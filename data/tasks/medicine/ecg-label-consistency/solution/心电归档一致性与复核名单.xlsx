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42ce15eeb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范围与口径" sheetId="1" r:id="R84d2d1365b564299"/>
    <x:sheet xmlns:r="http://schemas.openxmlformats.org/officeDocument/2006/relationships" name="患者配对" sheetId="2" r:id="R1397348ef7fe4c36"/>
    <x:sheet xmlns:r="http://schemas.openxmlformats.org/officeDocument/2006/relationships" name="目标结果" sheetId="3" r:id="Rdcb825ded9d84c62"/>
    <x:sheet xmlns:r="http://schemas.openxmlformats.org/officeDocument/2006/relationships" name="敏感性与分层" sheetId="4" r:id="Rc78af7bc53734447"/>
    <x:sheet xmlns:r="http://schemas.openxmlformats.org/officeDocument/2006/relationships" name="证据索引" sheetId="5" r:id="R652c4d1ad5ef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000000"/>
    <x:numFmt numFmtId="201" formatCode="0.0%"/>
    <x:numFmt numFmtId="202" formatCode="yyyy-mm-dd hh:mm:ss"/>
    <x:numFmt numFmtId="203" formatCode="0.0&quot; 个百分点&quot;"/>
  </x:numFmts>
  <x:fonts count="3">
    <x:font>
      <x:sz val="11"/>
      <x:name val="Carlito"/>
    </x:font>
    <x:font>
      <x:sz val="10"/>
      <x:color rgb="FF000000"/>
      <x:name val="微软雅黑"/>
    </x:font>
    <x:font>
      <x:b/>
      <x:sz val="11"/>
      <x:color rgb="FFFFFFFF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571b1f5174c05" /><Relationship Type="http://schemas.openxmlformats.org/officeDocument/2006/relationships/theme" Target="/xl/theme/theme1.xml" Id="Rd7d8f27cb17a41e4" /><Relationship Type="http://schemas.openxmlformats.org/officeDocument/2006/relationships/sharedStrings" Target="/xl/sharedStrings.xml" Id="R2ced68250d054ce2" /><Relationship Type="http://schemas.openxmlformats.org/officeDocument/2006/relationships/worksheet" Target="/xl/worksheets/sheet1.xml" Id="R84d2d1365b564299" /><Relationship Type="http://schemas.openxmlformats.org/officeDocument/2006/relationships/worksheet" Target="/xl/worksheets/sheet2.xml" Id="R1397348ef7fe4c36" /><Relationship Type="http://schemas.openxmlformats.org/officeDocument/2006/relationships/worksheet" Target="/xl/worksheets/sheet3.xml" Id="Rdcb825ded9d84c62" /><Relationship Type="http://schemas.openxmlformats.org/officeDocument/2006/relationships/worksheet" Target="/xl/worksheets/sheet4.xml" Id="Rc78af7bc53734447" /><Relationship Type="http://schemas.openxmlformats.org/officeDocument/2006/relationships/worksheet" Target="/xl/worksheets/sheet5.xml" Id="R652c4d1ad5ef45a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15" hidden="0" customWidth="1"/>
    <x:col min="3" max="3" width="110" hidden="0" customWidth="1"/>
  </x:cols>
  <x:sheetData>
    <x:row r="1" ht="40" customHeight="1">
      <x:c r="A1" s="16" t="str">
        <x:v>项目</x:v>
      </x:c>
      <x:c r="B1" s="16" t="str">
        <x:v>取值或规则</x:v>
      </x:c>
      <x:c r="C1" s="16" t="str">
        <x:v>依据与适用说明</x:v>
      </x:c>
    </x:row>
    <x:row r="2" ht="24" customHeight="1">
      <x:c r="A2" s="12" t="str">
        <x:v>评价范围</x:v>
      </x:c>
      <x:c r="B2" s="12" t="str">
        <x:v>三类归档标签与自动输出的一致性</x:v>
      </x:c>
      <x:c r="C2" s="12" t="str">
        <x:v>PTB-XL v1.0.3 / PTB-XL+ v1.0.1；本次不建立独立患者临床真值</x:v>
      </x:c>
    </x:row>
    <x:row r="3" ht="24" customHeight="1">
      <x:c r="A3" s="12" t="str">
        <x:v>参考数据版本</x:v>
      </x:c>
      <x:c r="B3" s="12" t="str">
        <x:v>PTB-XL v1.0.3</x:v>
      </x:c>
      <x:c r="C3" s="12" t="str">
        <x:v>ptbxl_database.csv；项目版本页与PTBXL_2020.pdf</x:v>
      </x:c>
    </x:row>
    <x:row r="4" ht="24" customHeight="1">
      <x:c r="A4" s="12" t="str">
        <x:v>自动数据版本</x:v>
      </x:c>
      <x:c r="B4" s="12" t="str">
        <x:v>PTB-XL+ v1.0.1</x:v>
      </x:c>
      <x:c r="C4" s="12" t="str">
        <x:v>12sl_statements.csv；原论文第3页Data processing将重分析版本记为v.243</x:v>
      </x:c>
    </x:row>
    <x:row r="5" ht="24" customHeight="1">
      <x:c r="A5" s="12" t="str">
        <x:v>成人与患者索引</x:v>
      </x:c>
      <x:c r="B5" s="12" t="str">
        <x:v>fold=10；成人；人工标志True；患者内最早移位时间，同时间ecg_id升序</x:v>
      </x:c>
      <x:c r="C5" s="12" t="str">
        <x:v>ptbxl_database.csv strat_fold/age/validated_by_human/patient_id/recording_date；复算程序compute</x:v>
      </x:c>
    </x:row>
    <x:row r="6" ht="24" customHeight="1">
      <x:c r="A6" s="12" t="str">
        <x:v>全量参考记录</x:v>
      </x:c>
      <x:c r="B6" s="12" t="n">
        <x:v>21799</x:v>
      </x:c>
      <x:c r="C6" s="12" t="str">
        <x:v>ptbxl_database.csv全部记录；ecg_id唯一</x:v>
      </x:c>
    </x:row>
    <x:row r="7" ht="24" customHeight="1">
      <x:c r="A7" s="12" t="str">
        <x:v>全量自动记录</x:v>
      </x:c>
      <x:c r="B7" s="12" t="n">
        <x:v>21799</x:v>
      </x:c>
      <x:c r="C7" s="12" t="str">
        <x:v>12sl_statements.csv全部记录；ecg_id唯一</x:v>
      </x:c>
    </x:row>
    <x:row r="8" ht="24" customHeight="1">
      <x:c r="A8" s="12" t="str">
        <x:v>全量配对交集</x:v>
      </x:c>
      <x:c r="B8" s="12" t="n">
        <x:v>21799</x:v>
      </x:c>
      <x:c r="C8" s="12" t="str">
        <x:v>双方独有均0；未以匹配结果预先删选发布记录</x:v>
      </x:c>
    </x:row>
    <x:row r="9" ht="24" customHeight="1">
      <x:c r="A9" s="12" t="str">
        <x:v>fold 10记录</x:v>
      </x:c>
      <x:c r="B9" s="12" t="n">
        <x:v>2198</x:v>
      </x:c>
      <x:c r="C9" s="12" t="str">
        <x:v>ptbxl_database.csv strat_fold=10</x:v>
      </x:c>
    </x:row>
    <x:row r="10" ht="24" customHeight="1">
      <x:c r="A10" s="12" t="str">
        <x:v>fold 10缺失年龄</x:v>
      </x:c>
      <x:c r="B10" s="12" t="n">
        <x:v>0</x:v>
      </x:c>
      <x:c r="C10" s="12" t="str">
        <x:v>缺失年龄另列，不补为成人</x:v>
      </x:c>
    </x:row>
    <x:row r="11" ht="24" customHeight="1">
      <x:c r="A11" s="12" t="str">
        <x:v>fold 10非成人</x:v>
      </x:c>
      <x:c r="B11" s="12" t="n">
        <x:v>13</x:v>
      </x:c>
      <x:c r="C11" s="12" t="str">
        <x:v>普通年龄&lt;18；此18岁为业务筛选条件，不是程序儿科边界</x:v>
      </x:c>
    </x:row>
    <x:row r="12" ht="24" customHeight="1">
      <x:c r="A12" s="12" t="str">
        <x:v>成人验证配对记录</x:v>
      </x:c>
      <x:c r="B12" s="12" t="n">
        <x:f>COUNTA('患者配对'!A2:A2186)</x:f>
        <x:v>2185</x:v>
      </x:c>
      <x:c r="C12" s="12" t="str">
        <x:v>患者配对全部数据记录</x:v>
      </x:c>
    </x:row>
    <x:row r="13" ht="24" customHeight="1">
      <x:c r="A13" s="12" t="str">
        <x:v>患者索引人数</x:v>
      </x:c>
      <x:c r="B13" s="12" t="n">
        <x:f>COUNTIFS('患者配对'!G2:G2186,1)</x:f>
        <x:v>1893</x:v>
      </x:c>
      <x:c r="C13" s="12" t="str">
        <x:v>患者配对G=1为索引，G=0为非索引</x:v>
      </x:c>
    </x:row>
    <x:row r="14" ht="24" customHeight="1">
      <x:c r="A14" s="12" t="str">
        <x:v>有复次记录的患者</x:v>
      </x:c>
      <x:c r="B14" s="12" t="n">
        <x:v>226</x:v>
      </x:c>
      <x:c r="C14" s="12" t="str">
        <x:v>符合条件记录按匿名patient_id分组</x:v>
      </x:c>
    </x:row>
    <x:row r="15" ht="24" customHeight="1">
      <x:c r="A15" s="12" t="str">
        <x:v>非索引复次记录</x:v>
      </x:c>
      <x:c r="B15" s="12" t="n">
        <x:f>B12-B13</x:f>
        <x:v>292</x:v>
      </x:c>
      <x:c r="C15" s="12" t="str">
        <x:v>保留于明细，仅用于记录层描述</x:v>
      </x:c>
    </x:row>
    <x:row r="16" ht="24" customHeight="1">
      <x:c r="A16" s="12" t="str">
        <x:v>索引中&gt;89岁特殊编码</x:v>
      </x:c>
      <x:c r="B16" s="12" t="n">
        <x:v>32</x:v>
      </x:c>
      <x:c r="C16" s="12" t="str">
        <x:v>原age≥300；v1.0.3项目页Methods说明该匿名化人群含义</x:v>
      </x:c>
    </x:row>
    <x:row r="17" ht="24" customHeight="1">
      <x:c r="A17" s="12" t="str">
        <x:v>Wilson z</x:v>
      </x:c>
      <x:c r="B17" s="13" t="n">
        <x:v>1.959963984540054</x:v>
      </x:c>
      <x:c r="C17" s="12" t="str">
        <x:v>双侧95% Wilson；计算式见NIST e-Handbook §7.2.4.1；FDA §7.2第26页说明score区间及含义</x:v>
      </x:c>
    </x:row>
    <x:row r="18" ht="24" customHeight="1">
      <x:c r="A18" s="12" t="str">
        <x:v>比较方向</x:v>
      </x:c>
      <x:c r="B18" s="12" t="str">
        <x:v>自动为行，参考为列；a双方+，b自动+/参考−，c自动−/参考+，d双方−</x:v>
      </x:c>
      <x:c r="C18" s="12" t="str">
        <x:v>FDA_71147_2007.pdf §7.2，第24至29页；此处参考为归档对照</x:v>
      </x:c>
    </x:row>
    <x:row r="19" ht="24" customHeight="1">
      <x:c r="A19" s="12" t="str">
        <x:v>AFIB原值处理</x:v>
      </x:c>
      <x:c r="B19" s="12" t="str">
        <x:v>rhythm条目出现即归档阳性，保留原0</x:v>
      </x:c>
      <x:c r="C19" s="12" t="str">
        <x:v>scp_statements.csv AFIB；PTBXL_2020.pdf第11页；2023论文第4页Table 1说明另一个参考发布表示已将非诊断certainty设为100</x:v>
      </x:c>
    </x:row>
    <x:row r="20" ht="24" customHeight="1">
      <x:c r="A20" s="12" t="str">
        <x:v>完全束支目标</x:v>
      </x:c>
      <x:c r="B20" s="12" t="str">
        <x:v>CLBBB/CRBBB保持具体目标；IRBBB/ILBBB另列</x:v>
      </x:c>
      <x:c r="C20" s="12" t="str">
        <x:v>原映射词典的Acronym、id/name条目；原厂手册第71至74页为其成人形态条件</x:v>
      </x:c>
    </x:row>
    <x:row r="21" ht="24" customHeight="1">
      <x:c r="A21" s="12" t="str">
        <x:v>采用的对应键</x:v>
      </x:c>
      <x:c r="B21" s="12" t="str">
        <x:v>AFIB 313217；CLBBB 4267892；CRBBB 4088337</x:v>
      </x:c>
      <x:c r="C21" s="12" t="str">
        <x:v>两原映射表同名诊断概念；CRBBB自动对应含RBBB及RVE+；snomed_description.csv in_both、informative=True；为本发布对应键</x:v>
      </x:c>
    </x:row>
    <x:row r="22" ht="24" customHeight="1">
      <x:c r="A22" s="12" t="str">
        <x:v>主要疑似规则</x:v>
      </x:c>
      <x:c r="B22" s="12" t="str">
        <x:v>诊断目标或自动对应目标0&lt;v&lt;100为疑似，主分析不二元化</x:v>
      </x:c>
      <x:c r="C22" s="12" t="str">
        <x:v>原CSV字段与原论文；非诊断0单独解释；非目标疑似不影响本目标</x:v>
      </x:c>
    </x:row>
    <x:row r="23" ht="24" customHeight="1">
      <x:c r="A23" s="12" t="str">
        <x:v>不可评价与阴性</x:v>
      </x:c>
      <x:c r="B23" s="12" t="str">
        <x:v>整份标签失效、未知目标值为不可评价；完整档案未列目标为归档阴性</x:v>
      </x:c>
      <x:c r="C23" s="12" t="str">
        <x:v>不将结构化未列视为真实无病；保留两侧状态及分母去向</x:v>
      </x:c>
    </x:row>
    <x:row r="24" ht="24" customHeight="1">
      <x:c r="A24" s="12" t="str">
        <x:v>边界情景</x:v>
      </x:c>
      <x:c r="B24" s="12" t="str">
        <x:v>仅本目标疑似全部归阳/全部归阴；不可评价不强行二元化</x:v>
      </x:c>
      <x:c r="C24" s="12" t="str">
        <x:v>三个目标在此患者索引队列无目标疑似，两情景与主要结果相同</x:v>
      </x:c>
    </x:row>
    <x:row r="25" ht="24" customHeight="1">
      <x:c r="A25" s="12" t="str">
        <x:v>sex分层</x:v>
      </x:c>
      <x:c r="B25" s="12" t="str">
        <x:v>原代码0、1、缺失/其他</x:v>
      </x:c>
      <x:c r="C25" s="12" t="str">
        <x:v>保留发布原代码，不以未经该来源确认的文字取代代码</x:v>
      </x:c>
    </x:row>
    <x:row r="26" ht="24" customHeight="1">
      <x:c r="A26" s="12" t="str">
        <x:v>质量分层</x:v>
      </x:c>
      <x:c r="B26" s="12" t="str">
        <x:v>四指定字段trim后任一非空=存在，否则=未记录</x:v>
      </x:c>
      <x:c r="C26" s="12" t="str">
        <x:v>固定业务条件；未记录不证明无噪声，图形质量逐例判断。</x:v>
      </x:c>
    </x:row>
    <x:row r="27" ht="24" customHeight="1">
      <x:c r="A27" s="12" t="str">
        <x:v>主要统计单位</x:v>
      </x:c>
      <x:c r="B27" s="12" t="str">
        <x:v>每患者一条；全部符合条件记录仅描述</x:v>
      </x:c>
      <x:c r="C27" s="12" t="str">
        <x:v>同患者复次记录不作为独立患者套用二项区间</x:v>
      </x:c>
    </x:row>
    <x:row r="28" ht="24" customHeight="1">
      <x:c r="A28" s="12" t="str">
        <x:v>图形复核与原统计</x:v>
      </x:c>
      <x:c r="B28" s="12" t="str">
        <x:v>八例单列观察和材料取舍，原标签及计数不回写</x:v>
      </x:c>
      <x:c r="C28" s="12" t="str">
        <x:v>固定富集对象不估计总体准确率；FDA §7.3，第30至33页</x:v>
      </x:c>
    </x:row>
    <x:row r="29" ht="24" customHeight="1">
      <x:c r="A29" s="12" t="str">
        <x:v>精度与零分母</x:v>
      </x:c>
      <x:c r="B29" s="12" t="str">
        <x:v>比例/区间显示1位小数百分比，保存中间精度；零分母不可估计</x:v>
      </x:c>
      <x:c r="C29" s="12" t="str">
        <x:v>主要及分层结果保留数值类型、分子/分母、方法与公式</x:v>
      </x:c>
    </x:row>
    <x:row r="30" ht="24" customHeight="1">
      <x:c r="A30" s="12" t="str">
        <x:v>四状态</x:v>
      </x:c>
      <x:c r="B30" s="12" t="str">
        <x:v>positive归档阳性；negative归档阴性；equivocal疑似；unavailable不可评价</x:v>
      </x:c>
      <x:c r="C30" s="12" t="str">
        <x:v>原值空白来自目标未列时与整份标签缺失区别处理</x:v>
      </x:c>
    </x:row>
    <x:row r="31" ht="24" customHeight="1">
      <x:c r="A31" s="12" t="str">
        <x:v>三个版本标记的关系</x:v>
      </x:c>
      <x:c r="B31" s="12" t="str">
        <x:v>重分析v.243；映射文件v23；原厂2056246-002C手册</x:v>
      </x:c>
      <x:c r="C31" s="12" t="str">
        <x:v>2023论文第3页明确重分析版本；词典文件名与手册不证明逐条完全相同实现，也不证明当前设备配置对应</x:v>
      </x:c>
    </x:row>
    <x:row r="32" ht="24" customHeight="1">
      <x:c r="A32" s="12" t="str">
        <x:v>图形校准</x:v>
      </x:c>
      <x:c r="B32" s="12" t="str">
        <x:v>500Hz；每导联5000点；HEA增益1000数字单位/mV、基线0</x:v>
      </x:c>
      <x:c r="C32" s="12" t="str">
        <x:v>八包HEA/DAT；参考图未额外滤波，逐导联纵坐标标mV；局部与全段时间同源</x:v>
      </x:c>
    </x:row>
    <x:row r="33" ht="24" customHeight="1">
      <x:c r="A33" s="12" t="str">
        <x:v>共享患者名额</x:v>
      </x:c>
      <x:c r="B33" s="12" t="n">
        <x:v>5</x:v>
      </x:c>
      <x:c r="C33" s="12" t="str">
        <x:v>业务压力情景；不估计实际标签错误率。一人可改多位，一人只耗一个名额；自动与索引均固定。</x:v>
      </x:c>
    </x:row>
    <x:row r="34" ht="24" customHeight="1">
      <x:c r="A34" s="12" t="str">
        <x:v>容量比例</x:v>
      </x:c>
      <x:c r="B34" s="14" t="n">
        <x:v>0.15</x:v>
      </x:c>
      <x:c r="C34" s="12" t="str">
        <x:v>优先复核占原主队列索引；所有报告仍由医生确认。</x:v>
      </x:c>
    </x:row>
    <x:row r="35" ht="24" customHeight="1">
      <x:c r="A35" s="12" t="str">
        <x:v>容量整数上限</x:v>
      </x:c>
      <x:c r="B35" s="12" t="n">
        <x:f>INT(B13*B34)</x:f>
        <x:v>283</x:v>
      </x:c>
      <x:c r="C35" s="12" t="str">
        <x:v>索引人数乘容量比例，向下取整。</x:v>
      </x:c>
    </x:row>
    <x:row r="36" ht="24" customHeight="1">
      <x:c r="A36" s="12" t="str">
        <x:v>区间族alpha</x:v>
      </x:c>
      <x:c r="B36" s="14" t="n">
        <x:v>0.05</x:v>
      </x:c>
      <x:c r="C36" s="12" t="str">
        <x:v>预先指定主队列三目标PPA/NPA共六项。</x:v>
      </x:c>
    </x:row>
    <x:row r="37" ht="24" customHeight="1">
      <x:c r="A37" s="12" t="str">
        <x:v>区间族m</x:v>
      </x:c>
      <x:c r="B37" s="12" t="n">
        <x:v>6</x:v>
      </x:c>
      <x:c r="C37" s="12" t="str">
        <x:v>Wilson单项为近似；Bonferroni不要求独立，不宣称精确族覆盖。</x:v>
      </x:c>
    </x:row>
    <x:row r="38" ht="24" customHeight="1">
      <x:c r="A38" s="12" t="str">
        <x:v>区间族z</x:v>
      </x:c>
      <x:c r="B38" s="13" t="n">
        <x:v>2.638257273476751</x:v>
      </x:c>
      <x:c r="C38" s="12" t="str">
        <x:v>NormalDist.inv_cdf(1−alpha/(2m))。</x:v>
      </x:c>
    </x:row>
    <x:row r="39" ht="24" customHeight="1">
      <x:c r="A39" s="12" t="str">
        <x:v>C0与C1</x:v>
      </x:c>
      <x:c r="B39" s="12" t="str">
        <x:v>C0冻结原名单；C1每情景重新比较参考与自动向量</x:v>
      </x:c>
      <x:c r="C39" s="12" t="str">
        <x:v>配对差值使用同一情景、同一参考阳性分母；名单重算不是临床改善证明。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27" hidden="0" customWidth="1"/>
    <x:col min="4" max="4" width="15" hidden="0" customWidth="1"/>
    <x:col min="5" max="5" width="17" hidden="0" customWidth="1"/>
    <x:col min="6" max="6" width="18" hidden="0" customWidth="1"/>
    <x:col min="7" max="7" width="18" hidden="0" customWidth="1"/>
    <x:col min="8" max="8" width="65" hidden="0" customWidth="1"/>
    <x:col min="9" max="9" width="80" hidden="0" customWidth="1"/>
    <x:col min="10" max="10" width="62" hidden="0" customWidth="1"/>
    <x:col min="11" max="11" width="62" hidden="0" customWidth="1"/>
    <x:col min="12" max="12" width="20" hidden="0" customWidth="1"/>
    <x:col min="13" max="13" width="22" hidden="0" customWidth="1"/>
    <x:col min="14" max="14" width="20" hidden="0" customWidth="1"/>
    <x:col min="15" max="15" width="22" hidden="0" customWidth="1"/>
    <x:col min="16" max="16" width="22" hidden="0" customWidth="1"/>
    <x:col min="17" max="17" width="20" hidden="0" customWidth="1"/>
    <x:col min="18" max="18" width="22" hidden="0" customWidth="1"/>
    <x:col min="19" max="19" width="20" hidden="0" customWidth="1"/>
    <x:col min="20" max="20" width="22" hidden="0" customWidth="1"/>
    <x:col min="21" max="21" width="22" hidden="0" customWidth="1"/>
    <x:col min="22" max="22" width="20" hidden="0" customWidth="1"/>
    <x:col min="23" max="23" width="22" hidden="0" customWidth="1"/>
    <x:col min="24" max="24" width="20" hidden="0" customWidth="1"/>
    <x:col min="25" max="25" width="22" hidden="0" customWidth="1"/>
    <x:col min="26" max="26" width="22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26" hidden="0" customWidth="1"/>
  </x:cols>
  <x:sheetData>
    <x:row r="1" ht="40" customHeight="1">
      <x:c r="A1" s="16" t="str">
        <x:v>心电标识</x:v>
      </x:c>
      <x:c r="B1" s="16" t="str">
        <x:v>匿名患者标识</x:v>
      </x:c>
      <x:c r="C1" s="16" t="str">
        <x:v>患者内移位时间</x:v>
      </x:c>
      <x:c r="D1" s="16" t="str">
        <x:v>年龄原值</x:v>
      </x:c>
      <x:c r="E1" s="16" t="str">
        <x:v>性别原代码</x:v>
      </x:c>
      <x:c r="F1" s="16" t="str">
        <x:v>质量记录分组</x:v>
      </x:c>
      <x:c r="G1" s="16" t="str">
        <x:v>患者索引标志</x:v>
      </x:c>
      <x:c r="H1" s="16" t="str">
        <x:v>参考SCP原值</x:v>
      </x:c>
      <x:c r="I1" s="16" t="str">
        <x:v>自动扩展原值</x:v>
      </x:c>
      <x:c r="J1" s="16" t="str">
        <x:v>参考取数定位</x:v>
      </x:c>
      <x:c r="K1" s="16" t="str">
        <x:v>自动取数定位</x:v>
      </x:c>
      <x:c r="L1" s="16" t="str">
        <x:v>AFIB参考原值</x:v>
      </x:c>
      <x:c r="M1" s="16" t="str">
        <x:v>AFIB参考状态</x:v>
      </x:c>
      <x:c r="N1" s="16" t="str">
        <x:v>AFIB自动原值</x:v>
      </x:c>
      <x:c r="O1" s="16" t="str">
        <x:v>AFIB自动状态</x:v>
      </x:c>
      <x:c r="P1" s="16" t="str">
        <x:v>AFIB主分析配对</x:v>
      </x:c>
      <x:c r="Q1" s="16" t="str">
        <x:v>CLBBB参考原值</x:v>
      </x:c>
      <x:c r="R1" s="16" t="str">
        <x:v>CLBBB参考状态</x:v>
      </x:c>
      <x:c r="S1" s="16" t="str">
        <x:v>CLBBB自动原值</x:v>
      </x:c>
      <x:c r="T1" s="16" t="str">
        <x:v>CLBBB自动状态</x:v>
      </x:c>
      <x:c r="U1" s="16" t="str">
        <x:v>CLBBB主分析配对</x:v>
      </x:c>
      <x:c r="V1" s="16" t="str">
        <x:v>CRBBB参考原值</x:v>
      </x:c>
      <x:c r="W1" s="16" t="str">
        <x:v>CRBBB参考状态</x:v>
      </x:c>
      <x:c r="X1" s="16" t="str">
        <x:v>CRBBB自动原值</x:v>
      </x:c>
      <x:c r="Y1" s="16" t="str">
        <x:v>CRBBB自动状态</x:v>
      </x:c>
      <x:c r="Z1" s="16" t="str">
        <x:v>CRBBB主分析配对</x:v>
      </x:c>
      <x:c r="AA1" s="16" t="str">
        <x:v>AFIB疑似归阳配对</x:v>
      </x:c>
      <x:c r="AB1" s="16" t="str">
        <x:v>AFIB疑似归阴配对</x:v>
      </x:c>
      <x:c r="AC1" s="16" t="str">
        <x:v>CLBBB疑似归阳配对</x:v>
      </x:c>
      <x:c r="AD1" s="16" t="str">
        <x:v>CLBBB疑似归阴配对</x:v>
      </x:c>
      <x:c r="AE1" s="16" t="str">
        <x:v>CRBBB疑似归阳配对</x:v>
      </x:c>
      <x:c r="AF1" s="16" t="str">
        <x:v>CRBBB疑似归阴配对</x:v>
      </x:c>
    </x:row>
    <x:row r="2" ht="24" customHeight="1">
      <x:c r="A2" s="12" t="str">
        <x:v>9</x:v>
      </x:c>
      <x:c r="B2" s="12" t="str">
        <x:v>18792</x:v>
      </x:c>
      <x:c r="C2" s="21" t="n">
        <x:v>31024.406053240742</x:v>
      </x:c>
      <x:c r="D2" s="12" t="n">
        <x:v>55</x:v>
      </x:c>
      <x:c r="E2" s="12" t="n">
        <x:v>0</x:v>
      </x:c>
      <x:c r="F2" s="12" t="str">
        <x:v>存在</x:v>
      </x:c>
      <x:c r="G2" s="12" t="n">
        <x:v>1</x:v>
      </x:c>
      <x:c r="H2" s="12" t="str">
        <x:v>{'NORM': 100.0, 'SR': 0.0}</x:v>
      </x:c>
      <x:c r="I2" s="12" t="str">
        <x:v>[('NSR', 100.0), ('NML', 100.0)]</x:v>
      </x:c>
      <x:c r="J2" s="12" t="str">
        <x:v>ptbxl_database.csv；ecg_id=9；scp_codes</x:v>
      </x:c>
      <x:c r="K2" s="12" t="str">
        <x:v>12sl_statements.csv；ecg_id=9；statements_ext_snomed</x:v>
      </x:c>
      <x:c r="L2" s="12"/>
      <x:c r="M2" s="12" t="str">
        <x:v>negative</x:v>
      </x:c>
      <x:c r="N2" s="12"/>
      <x:c r="O2" s="12" t="str">
        <x:v>negative</x:v>
      </x:c>
      <x:c r="P2" s="12" t="str">
        <x:f>IF(OR(M2="unavailable",O2="unavailable"),"不可评价",IF(OR(M2="equivocal",O2="equivocal"),"疑似",IF(AND(M2="positive",O2="positive"),"a",IF(O2="positive","b",IF(M2="positive","c","d")))))</x:f>
        <x:v>d</x:v>
      </x:c>
      <x:c r="Q2" s="12"/>
      <x:c r="R2" s="12" t="str">
        <x:v>negative</x:v>
      </x:c>
      <x:c r="S2" s="12"/>
      <x:c r="T2" s="12" t="str">
        <x:v>negative</x:v>
      </x:c>
      <x:c r="U2" s="12" t="str">
        <x:f>IF(OR(R2="unavailable",T2="unavailable"),"不可评价",IF(OR(R2="equivocal",T2="equivocal"),"疑似",IF(AND(R2="positive",T2="positive"),"a",IF(T2="positive","b",IF(R2="positive","c","d")))))</x:f>
        <x:v>d</x:v>
      </x:c>
      <x:c r="V2" s="12"/>
      <x:c r="W2" s="12" t="str">
        <x:v>negative</x:v>
      </x:c>
      <x:c r="X2" s="12"/>
      <x:c r="Y2" s="12" t="str">
        <x:v>negative</x:v>
      </x:c>
      <x:c r="Z2" s="12" t="str">
        <x:f>IF(OR(W2="unavailable",Y2="unavailable"),"不可评价",IF(OR(W2="equivocal",Y2="equivocal"),"疑似",IF(AND(W2="positive",Y2="positive"),"a",IF(Y2="positive","b",IF(W2="positive","c","d")))))</x:f>
        <x:v>d</x:v>
      </x:c>
      <x:c r="AA2" s="12" t="str">
        <x:f>IF(OR(M2="unavailable",O2="unavailable"),"不可评价",IF(AND(OR(M2="positive",M2="equivocal"),OR(O2="positive",O2="equivocal")),"a",IF(OR(O2="positive",O2="equivocal"),"b",IF(OR(M2="positive",M2="equivocal"),"c","d"))))</x:f>
        <x:v>d</x:v>
      </x:c>
      <x:c r="AB2" s="12" t="str">
        <x:f>IF(OR(M2="unavailable",O2="unavailable"),"不可评价",IF(AND(M2="positive",O2="positive"),"a",IF(O2="positive","b",IF(M2="positive","c","d"))))</x:f>
        <x:v>d</x:v>
      </x:c>
      <x:c r="AC2" s="12" t="str">
        <x:f>IF(OR(R2="unavailable",T2="unavailable"),"不可评价",IF(AND(OR(R2="positive",R2="equivocal"),OR(T2="positive",T2="equivocal")),"a",IF(OR(T2="positive",T2="equivocal"),"b",IF(OR(R2="positive",R2="equivocal"),"c","d"))))</x:f>
        <x:v>d</x:v>
      </x:c>
      <x:c r="AD2" s="12" t="str">
        <x:f>IF(OR(R2="unavailable",T2="unavailable"),"不可评价",IF(AND(R2="positive",T2="positive"),"a",IF(T2="positive","b",IF(R2="positive","c","d"))))</x:f>
        <x:v>d</x:v>
      </x:c>
      <x:c r="AE2" s="12" t="str">
        <x:f>IF(OR(W2="unavailable",Y2="unavailable"),"不可评价",IF(AND(OR(W2="positive",W2="equivocal"),OR(Y2="positive",Y2="equivocal")),"a",IF(OR(Y2="positive",Y2="equivocal"),"b",IF(OR(W2="positive",W2="equivocal"),"c","d"))))</x:f>
        <x:v>d</x:v>
      </x:c>
      <x:c r="AF2" s="12" t="str">
        <x:f>IF(OR(W2="unavailable",Y2="unavailable"),"不可评价",IF(AND(W2="positive",Y2="positive"),"a",IF(Y2="positive","b",IF(W2="positive","c","d"))))</x:f>
        <x:v>d</x:v>
      </x:c>
    </x:row>
    <x:row r="3" ht="24" customHeight="1">
      <x:c r="A3" s="12" t="str">
        <x:v>38</x:v>
      </x:c>
      <x:c r="B3" s="12" t="str">
        <x:v>17076</x:v>
      </x:c>
      <x:c r="C3" s="21" t="n">
        <x:v>31093.491921296296</x:v>
      </x:c>
      <x:c r="D3" s="12" t="n">
        <x:v>40</x:v>
      </x:c>
      <x:c r="E3" s="12" t="n">
        <x:v>0</x:v>
      </x:c>
      <x:c r="F3" s="12" t="str">
        <x:v>存在</x:v>
      </x:c>
      <x:c r="G3" s="12" t="n">
        <x:v>1</x:v>
      </x:c>
      <x:c r="H3" s="12" t="str">
        <x:v>{'NORM': 100.0, 'SR': 0.0}</x:v>
      </x:c>
      <x:c r="I3" s="12" t="str">
        <x:v>[('NSR', 100.0), ('NML', 100.0)]</x:v>
      </x:c>
      <x:c r="J3" s="12" t="str">
        <x:v>ptbxl_database.csv；ecg_id=38；scp_codes</x:v>
      </x:c>
      <x:c r="K3" s="12" t="str">
        <x:v>12sl_statements.csv；ecg_id=38；statements_ext_snomed</x:v>
      </x:c>
      <x:c r="L3" s="12"/>
      <x:c r="M3" s="12" t="str">
        <x:v>negative</x:v>
      </x:c>
      <x:c r="N3" s="12"/>
      <x:c r="O3" s="12" t="str">
        <x:v>negative</x:v>
      </x:c>
      <x:c r="P3" s="12" t="str">
        <x:f>IF(OR(M3="unavailable",O3="unavailable"),"不可评价",IF(OR(M3="equivocal",O3="equivocal"),"疑似",IF(AND(M3="positive",O3="positive"),"a",IF(O3="positive","b",IF(M3="positive","c","d")))))</x:f>
        <x:v>d</x:v>
      </x:c>
      <x:c r="Q3" s="12"/>
      <x:c r="R3" s="12" t="str">
        <x:v>negative</x:v>
      </x:c>
      <x:c r="S3" s="12"/>
      <x:c r="T3" s="12" t="str">
        <x:v>negative</x:v>
      </x:c>
      <x:c r="U3" s="12" t="str">
        <x:f>IF(OR(R3="unavailable",T3="unavailable"),"不可评价",IF(OR(R3="equivocal",T3="equivocal"),"疑似",IF(AND(R3="positive",T3="positive"),"a",IF(T3="positive","b",IF(R3="positive","c","d")))))</x:f>
        <x:v>d</x:v>
      </x:c>
      <x:c r="V3" s="12"/>
      <x:c r="W3" s="12" t="str">
        <x:v>negative</x:v>
      </x:c>
      <x:c r="X3" s="12"/>
      <x:c r="Y3" s="12" t="str">
        <x:v>negative</x:v>
      </x:c>
      <x:c r="Z3" s="12" t="str">
        <x:f>IF(OR(W3="unavailable",Y3="unavailable"),"不可评价",IF(OR(W3="equivocal",Y3="equivocal"),"疑似",IF(AND(W3="positive",Y3="positive"),"a",IF(Y3="positive","b",IF(W3="positive","c","d")))))</x:f>
        <x:v>d</x:v>
      </x:c>
      <x:c r="AA3" s="12" t="str">
        <x:f>IF(OR(M3="unavailable",O3="unavailable"),"不可评价",IF(AND(OR(M3="positive",M3="equivocal"),OR(O3="positive",O3="equivocal")),"a",IF(OR(O3="positive",O3="equivocal"),"b",IF(OR(M3="positive",M3="equivocal"),"c","d"))))</x:f>
        <x:v>d</x:v>
      </x:c>
      <x:c r="AB3" s="12" t="str">
        <x:f>IF(OR(M3="unavailable",O3="unavailable"),"不可评价",IF(AND(M3="positive",O3="positive"),"a",IF(O3="positive","b",IF(M3="positive","c","d"))))</x:f>
        <x:v>d</x:v>
      </x:c>
      <x:c r="AC3" s="12" t="str">
        <x:f>IF(OR(R3="unavailable",T3="unavailable"),"不可评价",IF(AND(OR(R3="positive",R3="equivocal"),OR(T3="positive",T3="equivocal")),"a",IF(OR(T3="positive",T3="equivocal"),"b",IF(OR(R3="positive",R3="equivocal"),"c","d"))))</x:f>
        <x:v>d</x:v>
      </x:c>
      <x:c r="AD3" s="12" t="str">
        <x:f>IF(OR(R3="unavailable",T3="unavailable"),"不可评价",IF(AND(R3="positive",T3="positive"),"a",IF(T3="positive","b",IF(R3="positive","c","d"))))</x:f>
        <x:v>d</x:v>
      </x:c>
      <x:c r="AE3" s="12" t="str">
        <x:f>IF(OR(W3="unavailable",Y3="unavailable"),"不可评价",IF(AND(OR(W3="positive",W3="equivocal"),OR(Y3="positive",Y3="equivocal")),"a",IF(OR(Y3="positive",Y3="equivocal"),"b",IF(OR(W3="positive",W3="equivocal"),"c","d"))))</x:f>
        <x:v>d</x:v>
      </x:c>
      <x:c r="AF3" s="12" t="str">
        <x:f>IF(OR(W3="unavailable",Y3="unavailable"),"不可评价",IF(AND(W3="positive",Y3="positive"),"a",IF(Y3="positive","b",IF(W3="positive","c","d"))))</x:f>
        <x:v>d</x:v>
      </x:c>
    </x:row>
    <x:row r="4" ht="24" customHeight="1">
      <x:c r="A4" s="12" t="str">
        <x:v>40</x:v>
      </x:c>
      <x:c r="B4" s="12" t="str">
        <x:v>19501</x:v>
      </x:c>
      <x:c r="C4" s="21" t="n">
        <x:v>31098.488715277777</x:v>
      </x:c>
      <x:c r="D4" s="12" t="n">
        <x:v>60</x:v>
      </x:c>
      <x:c r="E4" s="12" t="n">
        <x:v>0</x:v>
      </x:c>
      <x:c r="F4" s="12" t="str">
        <x:v>未记录</x:v>
      </x:c>
      <x:c r="G4" s="12" t="n">
        <x:v>1</x:v>
      </x:c>
      <x:c r="H4" s="12" t="str">
        <x:v>{'NORM': 80.0, 'SR': 0.0}</x:v>
      </x:c>
      <x:c r="I4" s="12" t="str">
        <x:v>[('NSR', 100.0), ('NML', 100.0)]</x:v>
      </x:c>
      <x:c r="J4" s="12" t="str">
        <x:v>ptbxl_database.csv；ecg_id=40；scp_codes</x:v>
      </x:c>
      <x:c r="K4" s="12" t="str">
        <x:v>12sl_statements.csv；ecg_id=40；statements_ext_snomed</x:v>
      </x:c>
      <x:c r="L4" s="12"/>
      <x:c r="M4" s="12" t="str">
        <x:v>negative</x:v>
      </x:c>
      <x:c r="N4" s="12"/>
      <x:c r="O4" s="12" t="str">
        <x:v>negative</x:v>
      </x:c>
      <x:c r="P4" s="12" t="str">
        <x:f>IF(OR(M4="unavailable",O4="unavailable"),"不可评价",IF(OR(M4="equivocal",O4="equivocal"),"疑似",IF(AND(M4="positive",O4="positive"),"a",IF(O4="positive","b",IF(M4="positive","c","d")))))</x:f>
        <x:v>d</x:v>
      </x:c>
      <x:c r="Q4" s="12"/>
      <x:c r="R4" s="12" t="str">
        <x:v>negative</x:v>
      </x:c>
      <x:c r="S4" s="12"/>
      <x:c r="T4" s="12" t="str">
        <x:v>negative</x:v>
      </x:c>
      <x:c r="U4" s="12" t="str">
        <x:f>IF(OR(R4="unavailable",T4="unavailable"),"不可评价",IF(OR(R4="equivocal",T4="equivocal"),"疑似",IF(AND(R4="positive",T4="positive"),"a",IF(T4="positive","b",IF(R4="positive","c","d")))))</x:f>
        <x:v>d</x:v>
      </x:c>
      <x:c r="V4" s="12"/>
      <x:c r="W4" s="12" t="str">
        <x:v>negative</x:v>
      </x:c>
      <x:c r="X4" s="12"/>
      <x:c r="Y4" s="12" t="str">
        <x:v>negative</x:v>
      </x:c>
      <x:c r="Z4" s="12" t="str">
        <x:f>IF(OR(W4="unavailable",Y4="unavailable"),"不可评价",IF(OR(W4="equivocal",Y4="equivocal"),"疑似",IF(AND(W4="positive",Y4="positive"),"a",IF(Y4="positive","b",IF(W4="positive","c","d")))))</x:f>
        <x:v>d</x:v>
      </x:c>
      <x:c r="AA4" s="12" t="str">
        <x:f>IF(OR(M4="unavailable",O4="unavailable"),"不可评价",IF(AND(OR(M4="positive",M4="equivocal"),OR(O4="positive",O4="equivocal")),"a",IF(OR(O4="positive",O4="equivocal"),"b",IF(OR(M4="positive",M4="equivocal"),"c","d"))))</x:f>
        <x:v>d</x:v>
      </x:c>
      <x:c r="AB4" s="12" t="str">
        <x:f>IF(OR(M4="unavailable",O4="unavailable"),"不可评价",IF(AND(M4="positive",O4="positive"),"a",IF(O4="positive","b",IF(M4="positive","c","d"))))</x:f>
        <x:v>d</x:v>
      </x:c>
      <x:c r="AC4" s="12" t="str">
        <x:f>IF(OR(R4="unavailable",T4="unavailable"),"不可评价",IF(AND(OR(R4="positive",R4="equivocal"),OR(T4="positive",T4="equivocal")),"a",IF(OR(T4="positive",T4="equivocal"),"b",IF(OR(R4="positive",R4="equivocal"),"c","d"))))</x:f>
        <x:v>d</x:v>
      </x:c>
      <x:c r="AD4" s="12" t="str">
        <x:f>IF(OR(R4="unavailable",T4="unavailable"),"不可评价",IF(AND(R4="positive",T4="positive"),"a",IF(T4="positive","b",IF(R4="positive","c","d"))))</x:f>
        <x:v>d</x:v>
      </x:c>
      <x:c r="AE4" s="12" t="str">
        <x:f>IF(OR(W4="unavailable",Y4="unavailable"),"不可评价",IF(AND(OR(W4="positive",W4="equivocal"),OR(Y4="positive",Y4="equivocal")),"a",IF(OR(Y4="positive",Y4="equivocal"),"b",IF(OR(W4="positive",W4="equivocal"),"c","d"))))</x:f>
        <x:v>d</x:v>
      </x:c>
      <x:c r="AF4" s="12" t="str">
        <x:f>IF(OR(W4="unavailable",Y4="unavailable"),"不可评价",IF(AND(W4="positive",Y4="positive"),"a",IF(Y4="positive","b",IF(W4="positive","c","d"))))</x:f>
        <x:v>d</x:v>
      </x:c>
    </x:row>
    <x:row r="5" ht="24" customHeight="1">
      <x:c r="A5" s="12" t="str">
        <x:v>57</x:v>
      </x:c>
      <x:c r="B5" s="12" t="str">
        <x:v>16063</x:v>
      </x:c>
      <x:c r="C5" s="21" t="n">
        <x:v>31204.48105324074</x:v>
      </x:c>
      <x:c r="D5" s="12" t="n">
        <x:v>26</x:v>
      </x:c>
      <x:c r="E5" s="12" t="n">
        <x:v>0</x:v>
      </x:c>
      <x:c r="F5" s="12" t="str">
        <x:v>未记录</x:v>
      </x:c>
      <x:c r="G5" s="12" t="n">
        <x:v>1</x:v>
      </x:c>
      <x:c r="H5" s="12" t="str">
        <x:v>{'NORM': 100.0, 'SR': 0.0}</x:v>
      </x:c>
      <x:c r="I5" s="12" t="str">
        <x:v>[('NSR', 100.0), ('NML', 100.0)]</x:v>
      </x:c>
      <x:c r="J5" s="12" t="str">
        <x:v>ptbxl_database.csv；ecg_id=57；scp_codes</x:v>
      </x:c>
      <x:c r="K5" s="12" t="str">
        <x:v>12sl_statements.csv；ecg_id=57；statements_ext_snomed</x:v>
      </x:c>
      <x:c r="L5" s="12"/>
      <x:c r="M5" s="12" t="str">
        <x:v>negative</x:v>
      </x:c>
      <x:c r="N5" s="12"/>
      <x:c r="O5" s="12" t="str">
        <x:v>negative</x:v>
      </x:c>
      <x:c r="P5" s="12" t="str">
        <x:f>IF(OR(M5="unavailable",O5="unavailable"),"不可评价",IF(OR(M5="equivocal",O5="equivocal"),"疑似",IF(AND(M5="positive",O5="positive"),"a",IF(O5="positive","b",IF(M5="positive","c","d")))))</x:f>
        <x:v>d</x:v>
      </x:c>
      <x:c r="Q5" s="12"/>
      <x:c r="R5" s="12" t="str">
        <x:v>negative</x:v>
      </x:c>
      <x:c r="S5" s="12"/>
      <x:c r="T5" s="12" t="str">
        <x:v>negative</x:v>
      </x:c>
      <x:c r="U5" s="12" t="str">
        <x:f>IF(OR(R5="unavailable",T5="unavailable"),"不可评价",IF(OR(R5="equivocal",T5="equivocal"),"疑似",IF(AND(R5="positive",T5="positive"),"a",IF(T5="positive","b",IF(R5="positive","c","d")))))</x:f>
        <x:v>d</x:v>
      </x:c>
      <x:c r="V5" s="12"/>
      <x:c r="W5" s="12" t="str">
        <x:v>negative</x:v>
      </x:c>
      <x:c r="X5" s="12"/>
      <x:c r="Y5" s="12" t="str">
        <x:v>negative</x:v>
      </x:c>
      <x:c r="Z5" s="12" t="str">
        <x:f>IF(OR(W5="unavailable",Y5="unavailable"),"不可评价",IF(OR(W5="equivocal",Y5="equivocal"),"疑似",IF(AND(W5="positive",Y5="positive"),"a",IF(Y5="positive","b",IF(W5="positive","c","d")))))</x:f>
        <x:v>d</x:v>
      </x:c>
      <x:c r="AA5" s="12" t="str">
        <x:f>IF(OR(M5="unavailable",O5="unavailable"),"不可评价",IF(AND(OR(M5="positive",M5="equivocal"),OR(O5="positive",O5="equivocal")),"a",IF(OR(O5="positive",O5="equivocal"),"b",IF(OR(M5="positive",M5="equivocal"),"c","d"))))</x:f>
        <x:v>d</x:v>
      </x:c>
      <x:c r="AB5" s="12" t="str">
        <x:f>IF(OR(M5="unavailable",O5="unavailable"),"不可评价",IF(AND(M5="positive",O5="positive"),"a",IF(O5="positive","b",IF(M5="positive","c","d"))))</x:f>
        <x:v>d</x:v>
      </x:c>
      <x:c r="AC5" s="12" t="str">
        <x:f>IF(OR(R5="unavailable",T5="unavailable"),"不可评价",IF(AND(OR(R5="positive",R5="equivocal"),OR(T5="positive",T5="equivocal")),"a",IF(OR(T5="positive",T5="equivocal"),"b",IF(OR(R5="positive",R5="equivocal"),"c","d"))))</x:f>
        <x:v>d</x:v>
      </x:c>
      <x:c r="AD5" s="12" t="str">
        <x:f>IF(OR(R5="unavailable",T5="unavailable"),"不可评价",IF(AND(R5="positive",T5="positive"),"a",IF(T5="positive","b",IF(R5="positive","c","d"))))</x:f>
        <x:v>d</x:v>
      </x:c>
      <x:c r="AE5" s="12" t="str">
        <x:f>IF(OR(W5="unavailable",Y5="unavailable"),"不可评价",IF(AND(OR(W5="positive",W5="equivocal"),OR(Y5="positive",Y5="equivocal")),"a",IF(OR(Y5="positive",Y5="equivocal"),"b",IF(OR(W5="positive",W5="equivocal"),"c","d"))))</x:f>
        <x:v>d</x:v>
      </x:c>
      <x:c r="AF5" s="12" t="str">
        <x:f>IF(OR(W5="unavailable",Y5="unavailable"),"不可评价",IF(AND(W5="positive",Y5="positive"),"a",IF(Y5="positive","b",IF(W5="positive","c","d"))))</x:f>
        <x:v>d</x:v>
      </x:c>
    </x:row>
    <x:row r="6" ht="24" customHeight="1">
      <x:c r="A6" s="12" t="str">
        <x:v>59</x:v>
      </x:c>
      <x:c r="B6" s="12" t="str">
        <x:v>19475</x:v>
      </x:c>
      <x:c r="C6" s="21" t="n">
        <x:v>31210.275011574075</x:v>
      </x:c>
      <x:c r="D6" s="12" t="n">
        <x:v>54</x:v>
      </x:c>
      <x:c r="E6" s="12" t="n">
        <x:v>0</x:v>
      </x:c>
      <x:c r="F6" s="12" t="str">
        <x:v>存在</x:v>
      </x:c>
      <x:c r="G6" s="12" t="n">
        <x:v>1</x:v>
      </x:c>
      <x:c r="H6" s="12" t="str">
        <x:v>{'NORM': 100.0, 'SR': 0.0}</x:v>
      </x:c>
      <x:c r="I6" s="12" t="str">
        <x:v>[('NSR', 100.0), ('NML', 100.0)]</x:v>
      </x:c>
      <x:c r="J6" s="12" t="str">
        <x:v>ptbxl_database.csv；ecg_id=59；scp_codes</x:v>
      </x:c>
      <x:c r="K6" s="12" t="str">
        <x:v>12sl_statements.csv；ecg_id=59；statements_ext_snomed</x:v>
      </x:c>
      <x:c r="L6" s="12"/>
      <x:c r="M6" s="12" t="str">
        <x:v>negative</x:v>
      </x:c>
      <x:c r="N6" s="12"/>
      <x:c r="O6" s="12" t="str">
        <x:v>negative</x:v>
      </x:c>
      <x:c r="P6" s="12" t="str">
        <x:f>IF(OR(M6="unavailable",O6="unavailable"),"不可评价",IF(OR(M6="equivocal",O6="equivocal"),"疑似",IF(AND(M6="positive",O6="positive"),"a",IF(O6="positive","b",IF(M6="positive","c","d")))))</x:f>
        <x:v>d</x:v>
      </x:c>
      <x:c r="Q6" s="12"/>
      <x:c r="R6" s="12" t="str">
        <x:v>negative</x:v>
      </x:c>
      <x:c r="S6" s="12"/>
      <x:c r="T6" s="12" t="str">
        <x:v>negative</x:v>
      </x:c>
      <x:c r="U6" s="12" t="str">
        <x:f>IF(OR(R6="unavailable",T6="unavailable"),"不可评价",IF(OR(R6="equivocal",T6="equivocal"),"疑似",IF(AND(R6="positive",T6="positive"),"a",IF(T6="positive","b",IF(R6="positive","c","d")))))</x:f>
        <x:v>d</x:v>
      </x:c>
      <x:c r="V6" s="12"/>
      <x:c r="W6" s="12" t="str">
        <x:v>negative</x:v>
      </x:c>
      <x:c r="X6" s="12"/>
      <x:c r="Y6" s="12" t="str">
        <x:v>negative</x:v>
      </x:c>
      <x:c r="Z6" s="12" t="str">
        <x:f>IF(OR(W6="unavailable",Y6="unavailable"),"不可评价",IF(OR(W6="equivocal",Y6="equivocal"),"疑似",IF(AND(W6="positive",Y6="positive"),"a",IF(Y6="positive","b",IF(W6="positive","c","d")))))</x:f>
        <x:v>d</x:v>
      </x:c>
      <x:c r="AA6" s="12" t="str">
        <x:f>IF(OR(M6="unavailable",O6="unavailable"),"不可评价",IF(AND(OR(M6="positive",M6="equivocal"),OR(O6="positive",O6="equivocal")),"a",IF(OR(O6="positive",O6="equivocal"),"b",IF(OR(M6="positive",M6="equivocal"),"c","d"))))</x:f>
        <x:v>d</x:v>
      </x:c>
      <x:c r="AB6" s="12" t="str">
        <x:f>IF(OR(M6="unavailable",O6="unavailable"),"不可评价",IF(AND(M6="positive",O6="positive"),"a",IF(O6="positive","b",IF(M6="positive","c","d"))))</x:f>
        <x:v>d</x:v>
      </x:c>
      <x:c r="AC6" s="12" t="str">
        <x:f>IF(OR(R6="unavailable",T6="unavailable"),"不可评价",IF(AND(OR(R6="positive",R6="equivocal"),OR(T6="positive",T6="equivocal")),"a",IF(OR(T6="positive",T6="equivocal"),"b",IF(OR(R6="positive",R6="equivocal"),"c","d"))))</x:f>
        <x:v>d</x:v>
      </x:c>
      <x:c r="AD6" s="12" t="str">
        <x:f>IF(OR(R6="unavailable",T6="unavailable"),"不可评价",IF(AND(R6="positive",T6="positive"),"a",IF(T6="positive","b",IF(R6="positive","c","d"))))</x:f>
        <x:v>d</x:v>
      </x:c>
      <x:c r="AE6" s="12" t="str">
        <x:f>IF(OR(W6="unavailable",Y6="unavailable"),"不可评价",IF(AND(OR(W6="positive",W6="equivocal"),OR(Y6="positive",Y6="equivocal")),"a",IF(OR(Y6="positive",Y6="equivocal"),"b",IF(OR(W6="positive",W6="equivocal"),"c","d"))))</x:f>
        <x:v>d</x:v>
      </x:c>
      <x:c r="AF6" s="12" t="str">
        <x:f>IF(OR(W6="unavailable",Y6="unavailable"),"不可评价",IF(AND(W6="positive",Y6="positive"),"a",IF(Y6="positive","b",IF(W6="positive","c","d"))))</x:f>
        <x:v>d</x:v>
      </x:c>
    </x:row>
    <x:row r="7" ht="24" customHeight="1">
      <x:c r="A7" s="12" t="str">
        <x:v>63</x:v>
      </x:c>
      <x:c r="B7" s="12" t="str">
        <x:v>15265</x:v>
      </x:c>
      <x:c r="C7" s="21" t="n">
        <x:v>31231.39386574074</x:v>
      </x:c>
      <x:c r="D7" s="12" t="n">
        <x:v>30</x:v>
      </x:c>
      <x:c r="E7" s="12" t="n">
        <x:v>0</x:v>
      </x:c>
      <x:c r="F7" s="12" t="str">
        <x:v>存在</x:v>
      </x:c>
      <x:c r="G7" s="12" t="n">
        <x:v>1</x:v>
      </x:c>
      <x:c r="H7" s="12" t="str">
        <x:v>{'ASMI': 15.0, 'ABQRS': 0.0, 'SR': 0.0}</x:v>
      </x:c>
      <x:c r="I7" s="12" t="str">
        <x:v>[('NSR', 100.0), ('NML', 100.0)]</x:v>
      </x:c>
      <x:c r="J7" s="12" t="str">
        <x:v>ptbxl_database.csv；ecg_id=63；scp_codes</x:v>
      </x:c>
      <x:c r="K7" s="12" t="str">
        <x:v>12sl_statements.csv；ecg_id=63；statements_ext_snomed</x:v>
      </x:c>
      <x:c r="L7" s="12"/>
      <x:c r="M7" s="12" t="str">
        <x:v>negative</x:v>
      </x:c>
      <x:c r="N7" s="12"/>
      <x:c r="O7" s="12" t="str">
        <x:v>negative</x:v>
      </x:c>
      <x:c r="P7" s="12" t="str">
        <x:f>IF(OR(M7="unavailable",O7="unavailable"),"不可评价",IF(OR(M7="equivocal",O7="equivocal"),"疑似",IF(AND(M7="positive",O7="positive"),"a",IF(O7="positive","b",IF(M7="positive","c","d")))))</x:f>
        <x:v>d</x:v>
      </x:c>
      <x:c r="Q7" s="12"/>
      <x:c r="R7" s="12" t="str">
        <x:v>negative</x:v>
      </x:c>
      <x:c r="S7" s="12"/>
      <x:c r="T7" s="12" t="str">
        <x:v>negative</x:v>
      </x:c>
      <x:c r="U7" s="12" t="str">
        <x:f>IF(OR(R7="unavailable",T7="unavailable"),"不可评价",IF(OR(R7="equivocal",T7="equivocal"),"疑似",IF(AND(R7="positive",T7="positive"),"a",IF(T7="positive","b",IF(R7="positive","c","d")))))</x:f>
        <x:v>d</x:v>
      </x:c>
      <x:c r="V7" s="12"/>
      <x:c r="W7" s="12" t="str">
        <x:v>negative</x:v>
      </x:c>
      <x:c r="X7" s="12"/>
      <x:c r="Y7" s="12" t="str">
        <x:v>negative</x:v>
      </x:c>
      <x:c r="Z7" s="12" t="str">
        <x:f>IF(OR(W7="unavailable",Y7="unavailable"),"不可评价",IF(OR(W7="equivocal",Y7="equivocal"),"疑似",IF(AND(W7="positive",Y7="positive"),"a",IF(Y7="positive","b",IF(W7="positive","c","d")))))</x:f>
        <x:v>d</x:v>
      </x:c>
      <x:c r="AA7" s="12" t="str">
        <x:f>IF(OR(M7="unavailable",O7="unavailable"),"不可评价",IF(AND(OR(M7="positive",M7="equivocal"),OR(O7="positive",O7="equivocal")),"a",IF(OR(O7="positive",O7="equivocal"),"b",IF(OR(M7="positive",M7="equivocal"),"c","d"))))</x:f>
        <x:v>d</x:v>
      </x:c>
      <x:c r="AB7" s="12" t="str">
        <x:f>IF(OR(M7="unavailable",O7="unavailable"),"不可评价",IF(AND(M7="positive",O7="positive"),"a",IF(O7="positive","b",IF(M7="positive","c","d"))))</x:f>
        <x:v>d</x:v>
      </x:c>
      <x:c r="AC7" s="12" t="str">
        <x:f>IF(OR(R7="unavailable",T7="unavailable"),"不可评价",IF(AND(OR(R7="positive",R7="equivocal"),OR(T7="positive",T7="equivocal")),"a",IF(OR(T7="positive",T7="equivocal"),"b",IF(OR(R7="positive",R7="equivocal"),"c","d"))))</x:f>
        <x:v>d</x:v>
      </x:c>
      <x:c r="AD7" s="12" t="str">
        <x:f>IF(OR(R7="unavailable",T7="unavailable"),"不可评价",IF(AND(R7="positive",T7="positive"),"a",IF(T7="positive","b",IF(R7="positive","c","d"))))</x:f>
        <x:v>d</x:v>
      </x:c>
      <x:c r="AE7" s="12" t="str">
        <x:f>IF(OR(W7="unavailable",Y7="unavailable"),"不可评价",IF(AND(OR(W7="positive",W7="equivocal"),OR(Y7="positive",Y7="equivocal")),"a",IF(OR(Y7="positive",Y7="equivocal"),"b",IF(OR(W7="positive",W7="equivocal"),"c","d"))))</x:f>
        <x:v>d</x:v>
      </x:c>
      <x:c r="AF7" s="12" t="str">
        <x:f>IF(OR(W7="unavailable",Y7="unavailable"),"不可评价",IF(AND(W7="positive",Y7="positive"),"a",IF(Y7="positive","b",IF(W7="positive","c","d"))))</x:f>
        <x:v>d</x:v>
      </x:c>
    </x:row>
    <x:row r="8" ht="24" customHeight="1">
      <x:c r="A8" s="12" t="str">
        <x:v>65</x:v>
      </x:c>
      <x:c r="B8" s="12" t="str">
        <x:v>19170</x:v>
      </x:c>
      <x:c r="C8" s="21" t="n">
        <x:v>31234.354930555557</x:v>
      </x:c>
      <x:c r="D8" s="12" t="n">
        <x:v>62</x:v>
      </x:c>
      <x:c r="E8" s="12" t="n">
        <x:v>0</x:v>
      </x:c>
      <x:c r="F8" s="12" t="str">
        <x:v>未记录</x:v>
      </x:c>
      <x:c r="G8" s="12" t="n">
        <x:v>1</x:v>
      </x:c>
      <x:c r="H8" s="12" t="str">
        <x:v>{'IRBBB': 100.0, 'SR': 0.0}</x:v>
      </x:c>
      <x:c r="I8" s="12" t="str">
        <x:v>[('NSR', 100.0), ('NML', 100.0)]</x:v>
      </x:c>
      <x:c r="J8" s="12" t="str">
        <x:v>ptbxl_database.csv；ecg_id=65；scp_codes</x:v>
      </x:c>
      <x:c r="K8" s="12" t="str">
        <x:v>12sl_statements.csv；ecg_id=65；statements_ext_snomed</x:v>
      </x:c>
      <x:c r="L8" s="12"/>
      <x:c r="M8" s="12" t="str">
        <x:v>negative</x:v>
      </x:c>
      <x:c r="N8" s="12"/>
      <x:c r="O8" s="12" t="str">
        <x:v>negative</x:v>
      </x:c>
      <x:c r="P8" s="12" t="str">
        <x:f>IF(OR(M8="unavailable",O8="unavailable"),"不可评价",IF(OR(M8="equivocal",O8="equivocal"),"疑似",IF(AND(M8="positive",O8="positive"),"a",IF(O8="positive","b",IF(M8="positive","c","d")))))</x:f>
        <x:v>d</x:v>
      </x:c>
      <x:c r="Q8" s="12"/>
      <x:c r="R8" s="12" t="str">
        <x:v>negative</x:v>
      </x:c>
      <x:c r="S8" s="12"/>
      <x:c r="T8" s="12" t="str">
        <x:v>negative</x:v>
      </x:c>
      <x:c r="U8" s="12" t="str">
        <x:f>IF(OR(R8="unavailable",T8="unavailable"),"不可评价",IF(OR(R8="equivocal",T8="equivocal"),"疑似",IF(AND(R8="positive",T8="positive"),"a",IF(T8="positive","b",IF(R8="positive","c","d")))))</x:f>
        <x:v>d</x:v>
      </x:c>
      <x:c r="V8" s="12"/>
      <x:c r="W8" s="12" t="str">
        <x:v>negative</x:v>
      </x:c>
      <x:c r="X8" s="12"/>
      <x:c r="Y8" s="12" t="str">
        <x:v>negative</x:v>
      </x:c>
      <x:c r="Z8" s="12" t="str">
        <x:f>IF(OR(W8="unavailable",Y8="unavailable"),"不可评价",IF(OR(W8="equivocal",Y8="equivocal"),"疑似",IF(AND(W8="positive",Y8="positive"),"a",IF(Y8="positive","b",IF(W8="positive","c","d")))))</x:f>
        <x:v>d</x:v>
      </x:c>
      <x:c r="AA8" s="12" t="str">
        <x:f>IF(OR(M8="unavailable",O8="unavailable"),"不可评价",IF(AND(OR(M8="positive",M8="equivocal"),OR(O8="positive",O8="equivocal")),"a",IF(OR(O8="positive",O8="equivocal"),"b",IF(OR(M8="positive",M8="equivocal"),"c","d"))))</x:f>
        <x:v>d</x:v>
      </x:c>
      <x:c r="AB8" s="12" t="str">
        <x:f>IF(OR(M8="unavailable",O8="unavailable"),"不可评价",IF(AND(M8="positive",O8="positive"),"a",IF(O8="positive","b",IF(M8="positive","c","d"))))</x:f>
        <x:v>d</x:v>
      </x:c>
      <x:c r="AC8" s="12" t="str">
        <x:f>IF(OR(R8="unavailable",T8="unavailable"),"不可评价",IF(AND(OR(R8="positive",R8="equivocal"),OR(T8="positive",T8="equivocal")),"a",IF(OR(T8="positive",T8="equivocal"),"b",IF(OR(R8="positive",R8="equivocal"),"c","d"))))</x:f>
        <x:v>d</x:v>
      </x:c>
      <x:c r="AD8" s="12" t="str">
        <x:f>IF(OR(R8="unavailable",T8="unavailable"),"不可评价",IF(AND(R8="positive",T8="positive"),"a",IF(T8="positive","b",IF(R8="positive","c","d"))))</x:f>
        <x:v>d</x:v>
      </x:c>
      <x:c r="AE8" s="12" t="str">
        <x:f>IF(OR(W8="unavailable",Y8="unavailable"),"不可评价",IF(AND(OR(W8="positive",W8="equivocal"),OR(Y8="positive",Y8="equivocal")),"a",IF(OR(Y8="positive",Y8="equivocal"),"b",IF(OR(W8="positive",W8="equivocal"),"c","d"))))</x:f>
        <x:v>d</x:v>
      </x:c>
      <x:c r="AF8" s="12" t="str">
        <x:f>IF(OR(W8="unavailable",Y8="unavailable"),"不可评价",IF(AND(W8="positive",Y8="positive"),"a",IF(Y8="positive","b",IF(W8="positive","c","d"))))</x:f>
        <x:v>d</x:v>
      </x:c>
    </x:row>
    <x:row r="9" ht="24" customHeight="1">
      <x:c r="A9" s="12" t="str">
        <x:v>75</x:v>
      </x:c>
      <x:c r="B9" s="12" t="str">
        <x:v>18502</x:v>
      </x:c>
      <x:c r="C9" s="21" t="n">
        <x:v>31304.299224537037</x:v>
      </x:c>
      <x:c r="D9" s="12" t="n">
        <x:v>31</x:v>
      </x:c>
      <x:c r="E9" s="12" t="n">
        <x:v>0</x:v>
      </x:c>
      <x:c r="F9" s="12" t="str">
        <x:v>存在</x:v>
      </x:c>
      <x:c r="G9" s="12" t="n">
        <x:v>1</x:v>
      </x:c>
      <x:c r="H9" s="12" t="str">
        <x:v>{'NORM': 100.0, 'SR': 0.0}</x:v>
      </x:c>
      <x:c r="I9" s="12" t="str">
        <x:v>[('SBRAD', 100.0), ('SPR', 100.0), ('ABR', 100.0)]</x:v>
      </x:c>
      <x:c r="J9" s="12" t="str">
        <x:v>ptbxl_database.csv；ecg_id=75；scp_codes</x:v>
      </x:c>
      <x:c r="K9" s="12" t="str">
        <x:v>12sl_statements.csv；ecg_id=75；statements_ext_snomed</x:v>
      </x:c>
      <x:c r="L9" s="12"/>
      <x:c r="M9" s="12" t="str">
        <x:v>negative</x:v>
      </x:c>
      <x:c r="N9" s="12"/>
      <x:c r="O9" s="12" t="str">
        <x:v>negative</x:v>
      </x:c>
      <x:c r="P9" s="12" t="str">
        <x:f>IF(OR(M9="unavailable",O9="unavailable"),"不可评价",IF(OR(M9="equivocal",O9="equivocal"),"疑似",IF(AND(M9="positive",O9="positive"),"a",IF(O9="positive","b",IF(M9="positive","c","d")))))</x:f>
        <x:v>d</x:v>
      </x:c>
      <x:c r="Q9" s="12"/>
      <x:c r="R9" s="12" t="str">
        <x:v>negative</x:v>
      </x:c>
      <x:c r="S9" s="12"/>
      <x:c r="T9" s="12" t="str">
        <x:v>negative</x:v>
      </x:c>
      <x:c r="U9" s="12" t="str">
        <x:f>IF(OR(R9="unavailable",T9="unavailable"),"不可评价",IF(OR(R9="equivocal",T9="equivocal"),"疑似",IF(AND(R9="positive",T9="positive"),"a",IF(T9="positive","b",IF(R9="positive","c","d")))))</x:f>
        <x:v>d</x:v>
      </x:c>
      <x:c r="V9" s="12"/>
      <x:c r="W9" s="12" t="str">
        <x:v>negative</x:v>
      </x:c>
      <x:c r="X9" s="12"/>
      <x:c r="Y9" s="12" t="str">
        <x:v>negative</x:v>
      </x:c>
      <x:c r="Z9" s="12" t="str">
        <x:f>IF(OR(W9="unavailable",Y9="unavailable"),"不可评价",IF(OR(W9="equivocal",Y9="equivocal"),"疑似",IF(AND(W9="positive",Y9="positive"),"a",IF(Y9="positive","b",IF(W9="positive","c","d")))))</x:f>
        <x:v>d</x:v>
      </x:c>
      <x:c r="AA9" s="12" t="str">
        <x:f>IF(OR(M9="unavailable",O9="unavailable"),"不可评价",IF(AND(OR(M9="positive",M9="equivocal"),OR(O9="positive",O9="equivocal")),"a",IF(OR(O9="positive",O9="equivocal"),"b",IF(OR(M9="positive",M9="equivocal"),"c","d"))))</x:f>
        <x:v>d</x:v>
      </x:c>
      <x:c r="AB9" s="12" t="str">
        <x:f>IF(OR(M9="unavailable",O9="unavailable"),"不可评价",IF(AND(M9="positive",O9="positive"),"a",IF(O9="positive","b",IF(M9="positive","c","d"))))</x:f>
        <x:v>d</x:v>
      </x:c>
      <x:c r="AC9" s="12" t="str">
        <x:f>IF(OR(R9="unavailable",T9="unavailable"),"不可评价",IF(AND(OR(R9="positive",R9="equivocal"),OR(T9="positive",T9="equivocal")),"a",IF(OR(T9="positive",T9="equivocal"),"b",IF(OR(R9="positive",R9="equivocal"),"c","d"))))</x:f>
        <x:v>d</x:v>
      </x:c>
      <x:c r="AD9" s="12" t="str">
        <x:f>IF(OR(R9="unavailable",T9="unavailable"),"不可评价",IF(AND(R9="positive",T9="positive"),"a",IF(T9="positive","b",IF(R9="positive","c","d"))))</x:f>
        <x:v>d</x:v>
      </x:c>
      <x:c r="AE9" s="12" t="str">
        <x:f>IF(OR(W9="unavailable",Y9="unavailable"),"不可评价",IF(AND(OR(W9="positive",W9="equivocal"),OR(Y9="positive",Y9="equivocal")),"a",IF(OR(Y9="positive",Y9="equivocal"),"b",IF(OR(W9="positive",W9="equivocal"),"c","d"))))</x:f>
        <x:v>d</x:v>
      </x:c>
      <x:c r="AF9" s="12" t="str">
        <x:f>IF(OR(W9="unavailable",Y9="unavailable"),"不可评价",IF(AND(W9="positive",Y9="positive"),"a",IF(Y9="positive","b",IF(W9="positive","c","d"))))</x:f>
        <x:v>d</x:v>
      </x:c>
    </x:row>
    <x:row r="10" ht="24" customHeight="1">
      <x:c r="A10" s="12" t="str">
        <x:v>76</x:v>
      </x:c>
      <x:c r="B10" s="12" t="str">
        <x:v>21214</x:v>
      </x:c>
      <x:c r="C10" s="21" t="n">
        <x:v>31311.461655092593</x:v>
      </x:c>
      <x:c r="D10" s="12" t="n">
        <x:v>38</x:v>
      </x:c>
      <x:c r="E10" s="12" t="n">
        <x:v>1</x:v>
      </x:c>
      <x:c r="F10" s="12" t="str">
        <x:v>存在</x:v>
      </x:c>
      <x:c r="G10" s="12" t="n">
        <x:v>1</x:v>
      </x:c>
      <x:c r="H10" s="12" t="str">
        <x:v>{'NORM': 80.0, 'SARRH': 0.0}</x:v>
      </x:c>
      <x:c r="I10" s="12" t="str">
        <x:v>[('NSR', 100.0), ('SAR', 100.0), ('NML', 100.0)]</x:v>
      </x:c>
      <x:c r="J10" s="12" t="str">
        <x:v>ptbxl_database.csv；ecg_id=76；scp_codes</x:v>
      </x:c>
      <x:c r="K10" s="12" t="str">
        <x:v>12sl_statements.csv；ecg_id=76；statements_ext_snomed</x:v>
      </x:c>
      <x:c r="L10" s="12"/>
      <x:c r="M10" s="12" t="str">
        <x:v>negative</x:v>
      </x:c>
      <x:c r="N10" s="12"/>
      <x:c r="O10" s="12" t="str">
        <x:v>negative</x:v>
      </x:c>
      <x:c r="P10" s="12" t="str">
        <x:f>IF(OR(M10="unavailable",O10="unavailable"),"不可评价",IF(OR(M10="equivocal",O10="equivocal"),"疑似",IF(AND(M10="positive",O10="positive"),"a",IF(O10="positive","b",IF(M10="positive","c","d")))))</x:f>
        <x:v>d</x:v>
      </x:c>
      <x:c r="Q10" s="12"/>
      <x:c r="R10" s="12" t="str">
        <x:v>negative</x:v>
      </x:c>
      <x:c r="S10" s="12"/>
      <x:c r="T10" s="12" t="str">
        <x:v>negative</x:v>
      </x:c>
      <x:c r="U10" s="12" t="str">
        <x:f>IF(OR(R10="unavailable",T10="unavailable"),"不可评价",IF(OR(R10="equivocal",T10="equivocal"),"疑似",IF(AND(R10="positive",T10="positive"),"a",IF(T10="positive","b",IF(R10="positive","c","d")))))</x:f>
        <x:v>d</x:v>
      </x:c>
      <x:c r="V10" s="12"/>
      <x:c r="W10" s="12" t="str">
        <x:v>negative</x:v>
      </x:c>
      <x:c r="X10" s="12"/>
      <x:c r="Y10" s="12" t="str">
        <x:v>negative</x:v>
      </x:c>
      <x:c r="Z10" s="12" t="str">
        <x:f>IF(OR(W10="unavailable",Y10="unavailable"),"不可评价",IF(OR(W10="equivocal",Y10="equivocal"),"疑似",IF(AND(W10="positive",Y10="positive"),"a",IF(Y10="positive","b",IF(W10="positive","c","d")))))</x:f>
        <x:v>d</x:v>
      </x:c>
      <x:c r="AA10" s="12" t="str">
        <x:f>IF(OR(M10="unavailable",O10="unavailable"),"不可评价",IF(AND(OR(M10="positive",M10="equivocal"),OR(O10="positive",O10="equivocal")),"a",IF(OR(O10="positive",O10="equivocal"),"b",IF(OR(M10="positive",M10="equivocal"),"c","d"))))</x:f>
        <x:v>d</x:v>
      </x:c>
      <x:c r="AB10" s="12" t="str">
        <x:f>IF(OR(M10="unavailable",O10="unavailable"),"不可评价",IF(AND(M10="positive",O10="positive"),"a",IF(O10="positive","b",IF(M10="positive","c","d"))))</x:f>
        <x:v>d</x:v>
      </x:c>
      <x:c r="AC10" s="12" t="str">
        <x:f>IF(OR(R10="unavailable",T10="unavailable"),"不可评价",IF(AND(OR(R10="positive",R10="equivocal"),OR(T10="positive",T10="equivocal")),"a",IF(OR(T10="positive",T10="equivocal"),"b",IF(OR(R10="positive",R10="equivocal"),"c","d"))))</x:f>
        <x:v>d</x:v>
      </x:c>
      <x:c r="AD10" s="12" t="str">
        <x:f>IF(OR(R10="unavailable",T10="unavailable"),"不可评价",IF(AND(R10="positive",T10="positive"),"a",IF(T10="positive","b",IF(R10="positive","c","d"))))</x:f>
        <x:v>d</x:v>
      </x:c>
      <x:c r="AE10" s="12" t="str">
        <x:f>IF(OR(W10="unavailable",Y10="unavailable"),"不可评价",IF(AND(OR(W10="positive",W10="equivocal"),OR(Y10="positive",Y10="equivocal")),"a",IF(OR(Y10="positive",Y10="equivocal"),"b",IF(OR(W10="positive",W10="equivocal"),"c","d"))))</x:f>
        <x:v>d</x:v>
      </x:c>
      <x:c r="AF10" s="12" t="str">
        <x:f>IF(OR(W10="unavailable",Y10="unavailable"),"不可评价",IF(AND(W10="positive",Y10="positive"),"a",IF(Y10="positive","b",IF(W10="positive","c","d"))))</x:f>
        <x:v>d</x:v>
      </x:c>
    </x:row>
    <x:row r="11" ht="24" customHeight="1">
      <x:c r="A11" s="12" t="str">
        <x:v>79</x:v>
      </x:c>
      <x:c r="B11" s="12" t="str">
        <x:v>17529</x:v>
      </x:c>
      <x:c r="C11" s="21" t="n">
        <x:v>31331.48398148148</x:v>
      </x:c>
      <x:c r="D11" s="12" t="n">
        <x:v>47</x:v>
      </x:c>
      <x:c r="E11" s="12" t="n">
        <x:v>0</x:v>
      </x:c>
      <x:c r="F11" s="12" t="str">
        <x:v>未记录</x:v>
      </x:c>
      <x:c r="G11" s="12" t="n">
        <x:v>1</x:v>
      </x:c>
      <x:c r="H11" s="12" t="str">
        <x:v>{'NORM': 100.0, 'SR': 0.0}</x:v>
      </x:c>
      <x:c r="I11" s="12" t="str">
        <x:v>[('SBRAD', 100.0), ('ABR', 100.0)]</x:v>
      </x:c>
      <x:c r="J11" s="12" t="str">
        <x:v>ptbxl_database.csv；ecg_id=79；scp_codes</x:v>
      </x:c>
      <x:c r="K11" s="12" t="str">
        <x:v>12sl_statements.csv；ecg_id=79；statements_ext_snomed</x:v>
      </x:c>
      <x:c r="L11" s="12"/>
      <x:c r="M11" s="12" t="str">
        <x:v>negative</x:v>
      </x:c>
      <x:c r="N11" s="12"/>
      <x:c r="O11" s="12" t="str">
        <x:v>negative</x:v>
      </x:c>
      <x:c r="P11" s="12" t="str">
        <x:f>IF(OR(M11="unavailable",O11="unavailable"),"不可评价",IF(OR(M11="equivocal",O11="equivocal"),"疑似",IF(AND(M11="positive",O11="positive"),"a",IF(O11="positive","b",IF(M11="positive","c","d")))))</x:f>
        <x:v>d</x:v>
      </x:c>
      <x:c r="Q11" s="12"/>
      <x:c r="R11" s="12" t="str">
        <x:v>negative</x:v>
      </x:c>
      <x:c r="S11" s="12"/>
      <x:c r="T11" s="12" t="str">
        <x:v>negative</x:v>
      </x:c>
      <x:c r="U11" s="12" t="str">
        <x:f>IF(OR(R11="unavailable",T11="unavailable"),"不可评价",IF(OR(R11="equivocal",T11="equivocal"),"疑似",IF(AND(R11="positive",T11="positive"),"a",IF(T11="positive","b",IF(R11="positive","c","d")))))</x:f>
        <x:v>d</x:v>
      </x:c>
      <x:c r="V11" s="12"/>
      <x:c r="W11" s="12" t="str">
        <x:v>negative</x:v>
      </x:c>
      <x:c r="X11" s="12"/>
      <x:c r="Y11" s="12" t="str">
        <x:v>negative</x:v>
      </x:c>
      <x:c r="Z11" s="12" t="str">
        <x:f>IF(OR(W11="unavailable",Y11="unavailable"),"不可评价",IF(OR(W11="equivocal",Y11="equivocal"),"疑似",IF(AND(W11="positive",Y11="positive"),"a",IF(Y11="positive","b",IF(W11="positive","c","d")))))</x:f>
        <x:v>d</x:v>
      </x:c>
      <x:c r="AA11" s="12" t="str">
        <x:f>IF(OR(M11="unavailable",O11="unavailable"),"不可评价",IF(AND(OR(M11="positive",M11="equivocal"),OR(O11="positive",O11="equivocal")),"a",IF(OR(O11="positive",O11="equivocal"),"b",IF(OR(M11="positive",M11="equivocal"),"c","d"))))</x:f>
        <x:v>d</x:v>
      </x:c>
      <x:c r="AB11" s="12" t="str">
        <x:f>IF(OR(M11="unavailable",O11="unavailable"),"不可评价",IF(AND(M11="positive",O11="positive"),"a",IF(O11="positive","b",IF(M11="positive","c","d"))))</x:f>
        <x:v>d</x:v>
      </x:c>
      <x:c r="AC11" s="12" t="str">
        <x:f>IF(OR(R11="unavailable",T11="unavailable"),"不可评价",IF(AND(OR(R11="positive",R11="equivocal"),OR(T11="positive",T11="equivocal")),"a",IF(OR(T11="positive",T11="equivocal"),"b",IF(OR(R11="positive",R11="equivocal"),"c","d"))))</x:f>
        <x:v>d</x:v>
      </x:c>
      <x:c r="AD11" s="12" t="str">
        <x:f>IF(OR(R11="unavailable",T11="unavailable"),"不可评价",IF(AND(R11="positive",T11="positive"),"a",IF(T11="positive","b",IF(R11="positive","c","d"))))</x:f>
        <x:v>d</x:v>
      </x:c>
      <x:c r="AE11" s="12" t="str">
        <x:f>IF(OR(W11="unavailable",Y11="unavailable"),"不可评价",IF(AND(OR(W11="positive",W11="equivocal"),OR(Y11="positive",Y11="equivocal")),"a",IF(OR(Y11="positive",Y11="equivocal"),"b",IF(OR(W11="positive",W11="equivocal"),"c","d"))))</x:f>
        <x:v>d</x:v>
      </x:c>
      <x:c r="AF11" s="12" t="str">
        <x:f>IF(OR(W11="unavailable",Y11="unavailable"),"不可评价",IF(AND(W11="positive",Y11="positive"),"a",IF(Y11="positive","b",IF(W11="positive","c","d"))))</x:f>
        <x:v>d</x:v>
      </x:c>
    </x:row>
    <x:row r="12" ht="24" customHeight="1">
      <x:c r="A12" s="12" t="str">
        <x:v>93</x:v>
      </x:c>
      <x:c r="B12" s="12" t="str">
        <x:v>10029</x:v>
      </x:c>
      <x:c r="C12" s="21" t="n">
        <x:v>31380.408761574075</x:v>
      </x:c>
      <x:c r="D12" s="12" t="n">
        <x:v>47</x:v>
      </x:c>
      <x:c r="E12" s="12" t="n">
        <x:v>0</x:v>
      </x:c>
      <x:c r="F12" s="12" t="str">
        <x:v>存在</x:v>
      </x:c>
      <x:c r="G12" s="12" t="n">
        <x:v>1</x:v>
      </x:c>
      <x:c r="H12" s="12" t="str">
        <x:v>{'NORM': 100.0, 'SR': 0.0}</x:v>
      </x:c>
      <x:c r="I12" s="12" t="str">
        <x:v>[('NSR', 100.0), ('NML', 100.0)]</x:v>
      </x:c>
      <x:c r="J12" s="12" t="str">
        <x:v>ptbxl_database.csv；ecg_id=93；scp_codes</x:v>
      </x:c>
      <x:c r="K12" s="12" t="str">
        <x:v>12sl_statements.csv；ecg_id=93；statements_ext_snomed</x:v>
      </x:c>
      <x:c r="L12" s="12"/>
      <x:c r="M12" s="12" t="str">
        <x:v>negative</x:v>
      </x:c>
      <x:c r="N12" s="12"/>
      <x:c r="O12" s="12" t="str">
        <x:v>negative</x:v>
      </x:c>
      <x:c r="P12" s="12" t="str">
        <x:f>IF(OR(M12="unavailable",O12="unavailable"),"不可评价",IF(OR(M12="equivocal",O12="equivocal"),"疑似",IF(AND(M12="positive",O12="positive"),"a",IF(O12="positive","b",IF(M12="positive","c","d")))))</x:f>
        <x:v>d</x:v>
      </x:c>
      <x:c r="Q12" s="12"/>
      <x:c r="R12" s="12" t="str">
        <x:v>negative</x:v>
      </x:c>
      <x:c r="S12" s="12"/>
      <x:c r="T12" s="12" t="str">
        <x:v>negative</x:v>
      </x:c>
      <x:c r="U12" s="12" t="str">
        <x:f>IF(OR(R12="unavailable",T12="unavailable"),"不可评价",IF(OR(R12="equivocal",T12="equivocal"),"疑似",IF(AND(R12="positive",T12="positive"),"a",IF(T12="positive","b",IF(R12="positive","c","d")))))</x:f>
        <x:v>d</x:v>
      </x:c>
      <x:c r="V12" s="12"/>
      <x:c r="W12" s="12" t="str">
        <x:v>negative</x:v>
      </x:c>
      <x:c r="X12" s="12"/>
      <x:c r="Y12" s="12" t="str">
        <x:v>negative</x:v>
      </x:c>
      <x:c r="Z12" s="12" t="str">
        <x:f>IF(OR(W12="unavailable",Y12="unavailable"),"不可评价",IF(OR(W12="equivocal",Y12="equivocal"),"疑似",IF(AND(W12="positive",Y12="positive"),"a",IF(Y12="positive","b",IF(W12="positive","c","d")))))</x:f>
        <x:v>d</x:v>
      </x:c>
      <x:c r="AA12" s="12" t="str">
        <x:f>IF(OR(M12="unavailable",O12="unavailable"),"不可评价",IF(AND(OR(M12="positive",M12="equivocal"),OR(O12="positive",O12="equivocal")),"a",IF(OR(O12="positive",O12="equivocal"),"b",IF(OR(M12="positive",M12="equivocal"),"c","d"))))</x:f>
        <x:v>d</x:v>
      </x:c>
      <x:c r="AB12" s="12" t="str">
        <x:f>IF(OR(M12="unavailable",O12="unavailable"),"不可评价",IF(AND(M12="positive",O12="positive"),"a",IF(O12="positive","b",IF(M12="positive","c","d"))))</x:f>
        <x:v>d</x:v>
      </x:c>
      <x:c r="AC12" s="12" t="str">
        <x:f>IF(OR(R12="unavailable",T12="unavailable"),"不可评价",IF(AND(OR(R12="positive",R12="equivocal"),OR(T12="positive",T12="equivocal")),"a",IF(OR(T12="positive",T12="equivocal"),"b",IF(OR(R12="positive",R12="equivocal"),"c","d"))))</x:f>
        <x:v>d</x:v>
      </x:c>
      <x:c r="AD12" s="12" t="str">
        <x:f>IF(OR(R12="unavailable",T12="unavailable"),"不可评价",IF(AND(R12="positive",T12="positive"),"a",IF(T12="positive","b",IF(R12="positive","c","d"))))</x:f>
        <x:v>d</x:v>
      </x:c>
      <x:c r="AE12" s="12" t="str">
        <x:f>IF(OR(W12="unavailable",Y12="unavailable"),"不可评价",IF(AND(OR(W12="positive",W12="equivocal"),OR(Y12="positive",Y12="equivocal")),"a",IF(OR(Y12="positive",Y12="equivocal"),"b",IF(OR(W12="positive",W12="equivocal"),"c","d"))))</x:f>
        <x:v>d</x:v>
      </x:c>
      <x:c r="AF12" s="12" t="str">
        <x:f>IF(OR(W12="unavailable",Y12="unavailable"),"不可评价",IF(AND(W12="positive",Y12="positive"),"a",IF(Y12="positive","b",IF(W12="positive","c","d"))))</x:f>
        <x:v>d</x:v>
      </x:c>
    </x:row>
    <x:row r="13" ht="24" customHeight="1">
      <x:c r="A13" s="12" t="str">
        <x:v>100</x:v>
      </x:c>
      <x:c r="B13" s="12" t="str">
        <x:v>21404</x:v>
      </x:c>
      <x:c r="C13" s="21" t="n">
        <x:v>31389.42263888889</x:v>
      </x:c>
      <x:c r="D13" s="12" t="n">
        <x:v>20</x:v>
      </x:c>
      <x:c r="E13" s="12" t="n">
        <x:v>1</x:v>
      </x:c>
      <x:c r="F13" s="12" t="str">
        <x:v>存在</x:v>
      </x:c>
      <x:c r="G13" s="12" t="n">
        <x:v>1</x:v>
      </x:c>
      <x:c r="H13" s="12" t="str">
        <x:v>{'NORM': 80.0, 'SARRH': 0.0}</x:v>
      </x:c>
      <x:c r="I13" s="12" t="str">
        <x:v>[('NSR', 100.0), ('SAR', 100.0), ('NML', 100.0)]</x:v>
      </x:c>
      <x:c r="J13" s="12" t="str">
        <x:v>ptbxl_database.csv；ecg_id=100；scp_codes</x:v>
      </x:c>
      <x:c r="K13" s="12" t="str">
        <x:v>12sl_statements.csv；ecg_id=100；statements_ext_snomed</x:v>
      </x:c>
      <x:c r="L13" s="12"/>
      <x:c r="M13" s="12" t="str">
        <x:v>negative</x:v>
      </x:c>
      <x:c r="N13" s="12"/>
      <x:c r="O13" s="12" t="str">
        <x:v>negative</x:v>
      </x:c>
      <x:c r="P13" s="12" t="str">
        <x:f>IF(OR(M13="unavailable",O13="unavailable"),"不可评价",IF(OR(M13="equivocal",O13="equivocal"),"疑似",IF(AND(M13="positive",O13="positive"),"a",IF(O13="positive","b",IF(M13="positive","c","d")))))</x:f>
        <x:v>d</x:v>
      </x:c>
      <x:c r="Q13" s="12"/>
      <x:c r="R13" s="12" t="str">
        <x:v>negative</x:v>
      </x:c>
      <x:c r="S13" s="12"/>
      <x:c r="T13" s="12" t="str">
        <x:v>negative</x:v>
      </x:c>
      <x:c r="U13" s="12" t="str">
        <x:f>IF(OR(R13="unavailable",T13="unavailable"),"不可评价",IF(OR(R13="equivocal",T13="equivocal"),"疑似",IF(AND(R13="positive",T13="positive"),"a",IF(T13="positive","b",IF(R13="positive","c","d")))))</x:f>
        <x:v>d</x:v>
      </x:c>
      <x:c r="V13" s="12"/>
      <x:c r="W13" s="12" t="str">
        <x:v>negative</x:v>
      </x:c>
      <x:c r="X13" s="12"/>
      <x:c r="Y13" s="12" t="str">
        <x:v>negative</x:v>
      </x:c>
      <x:c r="Z13" s="12" t="str">
        <x:f>IF(OR(W13="unavailable",Y13="unavailable"),"不可评价",IF(OR(W13="equivocal",Y13="equivocal"),"疑似",IF(AND(W13="positive",Y13="positive"),"a",IF(Y13="positive","b",IF(W13="positive","c","d")))))</x:f>
        <x:v>d</x:v>
      </x:c>
      <x:c r="AA13" s="12" t="str">
        <x:f>IF(OR(M13="unavailable",O13="unavailable"),"不可评价",IF(AND(OR(M13="positive",M13="equivocal"),OR(O13="positive",O13="equivocal")),"a",IF(OR(O13="positive",O13="equivocal"),"b",IF(OR(M13="positive",M13="equivocal"),"c","d"))))</x:f>
        <x:v>d</x:v>
      </x:c>
      <x:c r="AB13" s="12" t="str">
        <x:f>IF(OR(M13="unavailable",O13="unavailable"),"不可评价",IF(AND(M13="positive",O13="positive"),"a",IF(O13="positive","b",IF(M13="positive","c","d"))))</x:f>
        <x:v>d</x:v>
      </x:c>
      <x:c r="AC13" s="12" t="str">
        <x:f>IF(OR(R13="unavailable",T13="unavailable"),"不可评价",IF(AND(OR(R13="positive",R13="equivocal"),OR(T13="positive",T13="equivocal")),"a",IF(OR(T13="positive",T13="equivocal"),"b",IF(OR(R13="positive",R13="equivocal"),"c","d"))))</x:f>
        <x:v>d</x:v>
      </x:c>
      <x:c r="AD13" s="12" t="str">
        <x:f>IF(OR(R13="unavailable",T13="unavailable"),"不可评价",IF(AND(R13="positive",T13="positive"),"a",IF(T13="positive","b",IF(R13="positive","c","d"))))</x:f>
        <x:v>d</x:v>
      </x:c>
      <x:c r="AE13" s="12" t="str">
        <x:f>IF(OR(W13="unavailable",Y13="unavailable"),"不可评价",IF(AND(OR(W13="positive",W13="equivocal"),OR(Y13="positive",Y13="equivocal")),"a",IF(OR(Y13="positive",Y13="equivocal"),"b",IF(OR(W13="positive",W13="equivocal"),"c","d"))))</x:f>
        <x:v>d</x:v>
      </x:c>
      <x:c r="AF13" s="12" t="str">
        <x:f>IF(OR(W13="unavailable",Y13="unavailable"),"不可评价",IF(AND(W13="positive",Y13="positive"),"a",IF(Y13="positive","b",IF(W13="positive","c","d"))))</x:f>
        <x:v>d</x:v>
      </x:c>
    </x:row>
    <x:row r="14" ht="24" customHeight="1">
      <x:c r="A14" s="12" t="str">
        <x:v>112</x:v>
      </x:c>
      <x:c r="B14" s="12" t="str">
        <x:v>19832</x:v>
      </x:c>
      <x:c r="C14" s="21" t="n">
        <x:v>31418.461238425927</x:v>
      </x:c>
      <x:c r="D14" s="12" t="n">
        <x:v>44</x:v>
      </x:c>
      <x:c r="E14" s="12" t="n">
        <x:v>0</x:v>
      </x:c>
      <x:c r="F14" s="12" t="str">
        <x:v>未记录</x:v>
      </x:c>
      <x:c r="G14" s="12" t="n">
        <x:v>1</x:v>
      </x:c>
      <x:c r="H14" s="12" t="str">
        <x:v>{'NORM': 80.0, 'SR': 0.0}</x:v>
      </x:c>
      <x:c r="I14" s="12" t="str">
        <x:v>[('NSR', 100.0), ('NML', 100.0)]</x:v>
      </x:c>
      <x:c r="J14" s="12" t="str">
        <x:v>ptbxl_database.csv；ecg_id=112；scp_codes</x:v>
      </x:c>
      <x:c r="K14" s="12" t="str">
        <x:v>12sl_statements.csv；ecg_id=112；statements_ext_snomed</x:v>
      </x:c>
      <x:c r="L14" s="12"/>
      <x:c r="M14" s="12" t="str">
        <x:v>negative</x:v>
      </x:c>
      <x:c r="N14" s="12"/>
      <x:c r="O14" s="12" t="str">
        <x:v>negative</x:v>
      </x:c>
      <x:c r="P14" s="12" t="str">
        <x:f>IF(OR(M14="unavailable",O14="unavailable"),"不可评价",IF(OR(M14="equivocal",O14="equivocal"),"疑似",IF(AND(M14="positive",O14="positive"),"a",IF(O14="positive","b",IF(M14="positive","c","d")))))</x:f>
        <x:v>d</x:v>
      </x:c>
      <x:c r="Q14" s="12"/>
      <x:c r="R14" s="12" t="str">
        <x:v>negative</x:v>
      </x:c>
      <x:c r="S14" s="12"/>
      <x:c r="T14" s="12" t="str">
        <x:v>negative</x:v>
      </x:c>
      <x:c r="U14" s="12" t="str">
        <x:f>IF(OR(R14="unavailable",T14="unavailable"),"不可评价",IF(OR(R14="equivocal",T14="equivocal"),"疑似",IF(AND(R14="positive",T14="positive"),"a",IF(T14="positive","b",IF(R14="positive","c","d")))))</x:f>
        <x:v>d</x:v>
      </x:c>
      <x:c r="V14" s="12"/>
      <x:c r="W14" s="12" t="str">
        <x:v>negative</x:v>
      </x:c>
      <x:c r="X14" s="12"/>
      <x:c r="Y14" s="12" t="str">
        <x:v>negative</x:v>
      </x:c>
      <x:c r="Z14" s="12" t="str">
        <x:f>IF(OR(W14="unavailable",Y14="unavailable"),"不可评价",IF(OR(W14="equivocal",Y14="equivocal"),"疑似",IF(AND(W14="positive",Y14="positive"),"a",IF(Y14="positive","b",IF(W14="positive","c","d")))))</x:f>
        <x:v>d</x:v>
      </x:c>
      <x:c r="AA14" s="12" t="str">
        <x:f>IF(OR(M14="unavailable",O14="unavailable"),"不可评价",IF(AND(OR(M14="positive",M14="equivocal"),OR(O14="positive",O14="equivocal")),"a",IF(OR(O14="positive",O14="equivocal"),"b",IF(OR(M14="positive",M14="equivocal"),"c","d"))))</x:f>
        <x:v>d</x:v>
      </x:c>
      <x:c r="AB14" s="12" t="str">
        <x:f>IF(OR(M14="unavailable",O14="unavailable"),"不可评价",IF(AND(M14="positive",O14="positive"),"a",IF(O14="positive","b",IF(M14="positive","c","d"))))</x:f>
        <x:v>d</x:v>
      </x:c>
      <x:c r="AC14" s="12" t="str">
        <x:f>IF(OR(R14="unavailable",T14="unavailable"),"不可评价",IF(AND(OR(R14="positive",R14="equivocal"),OR(T14="positive",T14="equivocal")),"a",IF(OR(T14="positive",T14="equivocal"),"b",IF(OR(R14="positive",R14="equivocal"),"c","d"))))</x:f>
        <x:v>d</x:v>
      </x:c>
      <x:c r="AD14" s="12" t="str">
        <x:f>IF(OR(R14="unavailable",T14="unavailable"),"不可评价",IF(AND(R14="positive",T14="positive"),"a",IF(T14="positive","b",IF(R14="positive","c","d"))))</x:f>
        <x:v>d</x:v>
      </x:c>
      <x:c r="AE14" s="12" t="str">
        <x:f>IF(OR(W14="unavailable",Y14="unavailable"),"不可评价",IF(AND(OR(W14="positive",W14="equivocal"),OR(Y14="positive",Y14="equivocal")),"a",IF(OR(Y14="positive",Y14="equivocal"),"b",IF(OR(W14="positive",W14="equivocal"),"c","d"))))</x:f>
        <x:v>d</x:v>
      </x:c>
      <x:c r="AF14" s="12" t="str">
        <x:f>IF(OR(W14="unavailable",Y14="unavailable"),"不可评价",IF(AND(W14="positive",Y14="positive"),"a",IF(Y14="positive","b",IF(W14="positive","c","d"))))</x:f>
        <x:v>d</x:v>
      </x:c>
    </x:row>
    <x:row r="15" ht="24" customHeight="1">
      <x:c r="A15" s="12" t="str">
        <x:v>115</x:v>
      </x:c>
      <x:c r="B15" s="12" t="str">
        <x:v>11591</x:v>
      </x:c>
      <x:c r="C15" s="21" t="n">
        <x:v>31421.510520833333</x:v>
      </x:c>
      <x:c r="D15" s="12" t="n">
        <x:v>18</x:v>
      </x:c>
      <x:c r="E15" s="12" t="n">
        <x:v>1</x:v>
      </x:c>
      <x:c r="F15" s="12" t="str">
        <x:v>存在</x:v>
      </x:c>
      <x:c r="G15" s="12" t="n">
        <x:v>1</x:v>
      </x:c>
      <x:c r="H15" s="12" t="str">
        <x:v>{'NORM': 100.0, 'SR': 0.0}</x:v>
      </x:c>
      <x:c r="I15" s="12" t="str">
        <x:v>[('NSR', 100.0), ('NML', 100.0)]</x:v>
      </x:c>
      <x:c r="J15" s="12" t="str">
        <x:v>ptbxl_database.csv；ecg_id=115；scp_codes</x:v>
      </x:c>
      <x:c r="K15" s="12" t="str">
        <x:v>12sl_statements.csv；ecg_id=115；statements_ext_snomed</x:v>
      </x:c>
      <x:c r="L15" s="12"/>
      <x:c r="M15" s="12" t="str">
        <x:v>negative</x:v>
      </x:c>
      <x:c r="N15" s="12"/>
      <x:c r="O15" s="12" t="str">
        <x:v>negative</x:v>
      </x:c>
      <x:c r="P15" s="12" t="str">
        <x:f>IF(OR(M15="unavailable",O15="unavailable"),"不可评价",IF(OR(M15="equivocal",O15="equivocal"),"疑似",IF(AND(M15="positive",O15="positive"),"a",IF(O15="positive","b",IF(M15="positive","c","d")))))</x:f>
        <x:v>d</x:v>
      </x:c>
      <x:c r="Q15" s="12"/>
      <x:c r="R15" s="12" t="str">
        <x:v>negative</x:v>
      </x:c>
      <x:c r="S15" s="12"/>
      <x:c r="T15" s="12" t="str">
        <x:v>negative</x:v>
      </x:c>
      <x:c r="U15" s="12" t="str">
        <x:f>IF(OR(R15="unavailable",T15="unavailable"),"不可评价",IF(OR(R15="equivocal",T15="equivocal"),"疑似",IF(AND(R15="positive",T15="positive"),"a",IF(T15="positive","b",IF(R15="positive","c","d")))))</x:f>
        <x:v>d</x:v>
      </x:c>
      <x:c r="V15" s="12"/>
      <x:c r="W15" s="12" t="str">
        <x:v>negative</x:v>
      </x:c>
      <x:c r="X15" s="12"/>
      <x:c r="Y15" s="12" t="str">
        <x:v>negative</x:v>
      </x:c>
      <x:c r="Z15" s="12" t="str">
        <x:f>IF(OR(W15="unavailable",Y15="unavailable"),"不可评价",IF(OR(W15="equivocal",Y15="equivocal"),"疑似",IF(AND(W15="positive",Y15="positive"),"a",IF(Y15="positive","b",IF(W15="positive","c","d")))))</x:f>
        <x:v>d</x:v>
      </x:c>
      <x:c r="AA15" s="12" t="str">
        <x:f>IF(OR(M15="unavailable",O15="unavailable"),"不可评价",IF(AND(OR(M15="positive",M15="equivocal"),OR(O15="positive",O15="equivocal")),"a",IF(OR(O15="positive",O15="equivocal"),"b",IF(OR(M15="positive",M15="equivocal"),"c","d"))))</x:f>
        <x:v>d</x:v>
      </x:c>
      <x:c r="AB15" s="12" t="str">
        <x:f>IF(OR(M15="unavailable",O15="unavailable"),"不可评价",IF(AND(M15="positive",O15="positive"),"a",IF(O15="positive","b",IF(M15="positive","c","d"))))</x:f>
        <x:v>d</x:v>
      </x:c>
      <x:c r="AC15" s="12" t="str">
        <x:f>IF(OR(R15="unavailable",T15="unavailable"),"不可评价",IF(AND(OR(R15="positive",R15="equivocal"),OR(T15="positive",T15="equivocal")),"a",IF(OR(T15="positive",T15="equivocal"),"b",IF(OR(R15="positive",R15="equivocal"),"c","d"))))</x:f>
        <x:v>d</x:v>
      </x:c>
      <x:c r="AD15" s="12" t="str">
        <x:f>IF(OR(R15="unavailable",T15="unavailable"),"不可评价",IF(AND(R15="positive",T15="positive"),"a",IF(T15="positive","b",IF(R15="positive","c","d"))))</x:f>
        <x:v>d</x:v>
      </x:c>
      <x:c r="AE15" s="12" t="str">
        <x:f>IF(OR(W15="unavailable",Y15="unavailable"),"不可评价",IF(AND(OR(W15="positive",W15="equivocal"),OR(Y15="positive",Y15="equivocal")),"a",IF(OR(Y15="positive",Y15="equivocal"),"b",IF(OR(W15="positive",W15="equivocal"),"c","d"))))</x:f>
        <x:v>d</x:v>
      </x:c>
      <x:c r="AF15" s="12" t="str">
        <x:f>IF(OR(W15="unavailable",Y15="unavailable"),"不可评价",IF(AND(W15="positive",Y15="positive"),"a",IF(Y15="positive","b",IF(W15="positive","c","d"))))</x:f>
        <x:v>d</x:v>
      </x:c>
    </x:row>
    <x:row r="16" ht="24" customHeight="1">
      <x:c r="A16" s="12" t="str">
        <x:v>116</x:v>
      </x:c>
      <x:c r="B16" s="12" t="str">
        <x:v>19695</x:v>
      </x:c>
      <x:c r="C16" s="21" t="n">
        <x:v>31422.5834375</x:v>
      </x:c>
      <x:c r="D16" s="12" t="n">
        <x:v>49</x:v>
      </x:c>
      <x:c r="E16" s="12" t="n">
        <x:v>1</x:v>
      </x:c>
      <x:c r="F16" s="12" t="str">
        <x:v>存在</x:v>
      </x:c>
      <x:c r="G16" s="12" t="n">
        <x:v>1</x:v>
      </x:c>
      <x:c r="H16" s="12" t="str">
        <x:v>{'NDT': 100.0, 'SR': 0.0}</x:v>
      </x:c>
      <x:c r="I16" s="12" t="str">
        <x:v>[('NSR', 100.0), ('NML', 100.0)]</x:v>
      </x:c>
      <x:c r="J16" s="12" t="str">
        <x:v>ptbxl_database.csv；ecg_id=116；scp_codes</x:v>
      </x:c>
      <x:c r="K16" s="12" t="str">
        <x:v>12sl_statements.csv；ecg_id=116；statements_ext_snomed</x:v>
      </x:c>
      <x:c r="L16" s="12"/>
      <x:c r="M16" s="12" t="str">
        <x:v>negative</x:v>
      </x:c>
      <x:c r="N16" s="12"/>
      <x:c r="O16" s="12" t="str">
        <x:v>negative</x:v>
      </x:c>
      <x:c r="P16" s="12" t="str">
        <x:f>IF(OR(M16="unavailable",O16="unavailable"),"不可评价",IF(OR(M16="equivocal",O16="equivocal"),"疑似",IF(AND(M16="positive",O16="positive"),"a",IF(O16="positive","b",IF(M16="positive","c","d")))))</x:f>
        <x:v>d</x:v>
      </x:c>
      <x:c r="Q16" s="12"/>
      <x:c r="R16" s="12" t="str">
        <x:v>negative</x:v>
      </x:c>
      <x:c r="S16" s="12"/>
      <x:c r="T16" s="12" t="str">
        <x:v>negative</x:v>
      </x:c>
      <x:c r="U16" s="12" t="str">
        <x:f>IF(OR(R16="unavailable",T16="unavailable"),"不可评价",IF(OR(R16="equivocal",T16="equivocal"),"疑似",IF(AND(R16="positive",T16="positive"),"a",IF(T16="positive","b",IF(R16="positive","c","d")))))</x:f>
        <x:v>d</x:v>
      </x:c>
      <x:c r="V16" s="12"/>
      <x:c r="W16" s="12" t="str">
        <x:v>negative</x:v>
      </x:c>
      <x:c r="X16" s="12"/>
      <x:c r="Y16" s="12" t="str">
        <x:v>negative</x:v>
      </x:c>
      <x:c r="Z16" s="12" t="str">
        <x:f>IF(OR(W16="unavailable",Y16="unavailable"),"不可评价",IF(OR(W16="equivocal",Y16="equivocal"),"疑似",IF(AND(W16="positive",Y16="positive"),"a",IF(Y16="positive","b",IF(W16="positive","c","d")))))</x:f>
        <x:v>d</x:v>
      </x:c>
      <x:c r="AA16" s="12" t="str">
        <x:f>IF(OR(M16="unavailable",O16="unavailable"),"不可评价",IF(AND(OR(M16="positive",M16="equivocal"),OR(O16="positive",O16="equivocal")),"a",IF(OR(O16="positive",O16="equivocal"),"b",IF(OR(M16="positive",M16="equivocal"),"c","d"))))</x:f>
        <x:v>d</x:v>
      </x:c>
      <x:c r="AB16" s="12" t="str">
        <x:f>IF(OR(M16="unavailable",O16="unavailable"),"不可评价",IF(AND(M16="positive",O16="positive"),"a",IF(O16="positive","b",IF(M16="positive","c","d"))))</x:f>
        <x:v>d</x:v>
      </x:c>
      <x:c r="AC16" s="12" t="str">
        <x:f>IF(OR(R16="unavailable",T16="unavailable"),"不可评价",IF(AND(OR(R16="positive",R16="equivocal"),OR(T16="positive",T16="equivocal")),"a",IF(OR(T16="positive",T16="equivocal"),"b",IF(OR(R16="positive",R16="equivocal"),"c","d"))))</x:f>
        <x:v>d</x:v>
      </x:c>
      <x:c r="AD16" s="12" t="str">
        <x:f>IF(OR(R16="unavailable",T16="unavailable"),"不可评价",IF(AND(R16="positive",T16="positive"),"a",IF(T16="positive","b",IF(R16="positive","c","d"))))</x:f>
        <x:v>d</x:v>
      </x:c>
      <x:c r="AE16" s="12" t="str">
        <x:f>IF(OR(W16="unavailable",Y16="unavailable"),"不可评价",IF(AND(OR(W16="positive",W16="equivocal"),OR(Y16="positive",Y16="equivocal")),"a",IF(OR(Y16="positive",Y16="equivocal"),"b",IF(OR(W16="positive",W16="equivocal"),"c","d"))))</x:f>
        <x:v>d</x:v>
      </x:c>
      <x:c r="AF16" s="12" t="str">
        <x:f>IF(OR(W16="unavailable",Y16="unavailable"),"不可评价",IF(AND(W16="positive",Y16="positive"),"a",IF(Y16="positive","b",IF(W16="positive","c","d"))))</x:f>
        <x:v>d</x:v>
      </x:c>
    </x:row>
    <x:row r="17" ht="24" customHeight="1">
      <x:c r="A17" s="12" t="str">
        <x:v>117</x:v>
      </x:c>
      <x:c r="B17" s="12" t="str">
        <x:v>16747</x:v>
      </x:c>
      <x:c r="C17" s="21" t="n">
        <x:v>31423.581875</x:v>
      </x:c>
      <x:c r="D17" s="12" t="n">
        <x:v>54</x:v>
      </x:c>
      <x:c r="E17" s="12" t="n">
        <x:v>0</x:v>
      </x:c>
      <x:c r="F17" s="12" t="str">
        <x:v>存在</x:v>
      </x:c>
      <x:c r="G17" s="12" t="n">
        <x:v>1</x:v>
      </x:c>
      <x:c r="H17" s="12" t="str">
        <x:v>{'NORM': 100.0, 'SR': 0.0}</x:v>
      </x:c>
      <x:c r="I17" s="12" t="str">
        <x:v>[('NSR', 100.0), ('SAR', 100.0), ('NML', 100.0)]</x:v>
      </x:c>
      <x:c r="J17" s="12" t="str">
        <x:v>ptbxl_database.csv；ecg_id=117；scp_codes</x:v>
      </x:c>
      <x:c r="K17" s="12" t="str">
        <x:v>12sl_statements.csv；ecg_id=117；statements_ext_snomed</x:v>
      </x:c>
      <x:c r="L17" s="12"/>
      <x:c r="M17" s="12" t="str">
        <x:v>negative</x:v>
      </x:c>
      <x:c r="N17" s="12"/>
      <x:c r="O17" s="12" t="str">
        <x:v>negative</x:v>
      </x:c>
      <x:c r="P17" s="12" t="str">
        <x:f>IF(OR(M17="unavailable",O17="unavailable"),"不可评价",IF(OR(M17="equivocal",O17="equivocal"),"疑似",IF(AND(M17="positive",O17="positive"),"a",IF(O17="positive","b",IF(M17="positive","c","d")))))</x:f>
        <x:v>d</x:v>
      </x:c>
      <x:c r="Q17" s="12"/>
      <x:c r="R17" s="12" t="str">
        <x:v>negative</x:v>
      </x:c>
      <x:c r="S17" s="12"/>
      <x:c r="T17" s="12" t="str">
        <x:v>negative</x:v>
      </x:c>
      <x:c r="U17" s="12" t="str">
        <x:f>IF(OR(R17="unavailable",T17="unavailable"),"不可评价",IF(OR(R17="equivocal",T17="equivocal"),"疑似",IF(AND(R17="positive",T17="positive"),"a",IF(T17="positive","b",IF(R17="positive","c","d")))))</x:f>
        <x:v>d</x:v>
      </x:c>
      <x:c r="V17" s="12"/>
      <x:c r="W17" s="12" t="str">
        <x:v>negative</x:v>
      </x:c>
      <x:c r="X17" s="12"/>
      <x:c r="Y17" s="12" t="str">
        <x:v>negative</x:v>
      </x:c>
      <x:c r="Z17" s="12" t="str">
        <x:f>IF(OR(W17="unavailable",Y17="unavailable"),"不可评价",IF(OR(W17="equivocal",Y17="equivocal"),"疑似",IF(AND(W17="positive",Y17="positive"),"a",IF(Y17="positive","b",IF(W17="positive","c","d")))))</x:f>
        <x:v>d</x:v>
      </x:c>
      <x:c r="AA17" s="12" t="str">
        <x:f>IF(OR(M17="unavailable",O17="unavailable"),"不可评价",IF(AND(OR(M17="positive",M17="equivocal"),OR(O17="positive",O17="equivocal")),"a",IF(OR(O17="positive",O17="equivocal"),"b",IF(OR(M17="positive",M17="equivocal"),"c","d"))))</x:f>
        <x:v>d</x:v>
      </x:c>
      <x:c r="AB17" s="12" t="str">
        <x:f>IF(OR(M17="unavailable",O17="unavailable"),"不可评价",IF(AND(M17="positive",O17="positive"),"a",IF(O17="positive","b",IF(M17="positive","c","d"))))</x:f>
        <x:v>d</x:v>
      </x:c>
      <x:c r="AC17" s="12" t="str">
        <x:f>IF(OR(R17="unavailable",T17="unavailable"),"不可评价",IF(AND(OR(R17="positive",R17="equivocal"),OR(T17="positive",T17="equivocal")),"a",IF(OR(T17="positive",T17="equivocal"),"b",IF(OR(R17="positive",R17="equivocal"),"c","d"))))</x:f>
        <x:v>d</x:v>
      </x:c>
      <x:c r="AD17" s="12" t="str">
        <x:f>IF(OR(R17="unavailable",T17="unavailable"),"不可评价",IF(AND(R17="positive",T17="positive"),"a",IF(T17="positive","b",IF(R17="positive","c","d"))))</x:f>
        <x:v>d</x:v>
      </x:c>
      <x:c r="AE17" s="12" t="str">
        <x:f>IF(OR(W17="unavailable",Y17="unavailable"),"不可评价",IF(AND(OR(W17="positive",W17="equivocal"),OR(Y17="positive",Y17="equivocal")),"a",IF(OR(Y17="positive",Y17="equivocal"),"b",IF(OR(W17="positive",W17="equivocal"),"c","d"))))</x:f>
        <x:v>d</x:v>
      </x:c>
      <x:c r="AF17" s="12" t="str">
        <x:f>IF(OR(W17="unavailable",Y17="unavailable"),"不可评价",IF(AND(W17="positive",Y17="positive"),"a",IF(Y17="positive","b",IF(W17="positive","c","d"))))</x:f>
        <x:v>d</x:v>
      </x:c>
    </x:row>
    <x:row r="18" ht="24" customHeight="1">
      <x:c r="A18" s="12" t="str">
        <x:v>119</x:v>
      </x:c>
      <x:c r="B18" s="12" t="str">
        <x:v>16747</x:v>
      </x:c>
      <x:c r="C18" s="21" t="n">
        <x:v>31425.650497685187</x:v>
      </x:c>
      <x:c r="D18" s="12" t="n">
        <x:v>54</x:v>
      </x:c>
      <x:c r="E18" s="12" t="n">
        <x:v>0</x:v>
      </x:c>
      <x:c r="F18" s="12" t="str">
        <x:v>存在</x:v>
      </x:c>
      <x:c r="G18" s="12" t="n">
        <x:v>0</x:v>
      </x:c>
      <x:c r="H18" s="12" t="str">
        <x:v>{'NORM': 80.0, 'SR': 0.0}</x:v>
      </x:c>
      <x:c r="I18" s="12" t="str">
        <x:v>[('NSR', 100.0), ('NML', 100.0)]</x:v>
      </x:c>
      <x:c r="J18" s="12" t="str">
        <x:v>ptbxl_database.csv；ecg_id=119；scp_codes</x:v>
      </x:c>
      <x:c r="K18" s="12" t="str">
        <x:v>12sl_statements.csv；ecg_id=119；statements_ext_snomed</x:v>
      </x:c>
      <x:c r="L18" s="12"/>
      <x:c r="M18" s="12" t="str">
        <x:v>negative</x:v>
      </x:c>
      <x:c r="N18" s="12"/>
      <x:c r="O18" s="12" t="str">
        <x:v>negative</x:v>
      </x:c>
      <x:c r="P18" s="12" t="str">
        <x:f>IF(OR(M18="unavailable",O18="unavailable"),"不可评价",IF(OR(M18="equivocal",O18="equivocal"),"疑似",IF(AND(M18="positive",O18="positive"),"a",IF(O18="positive","b",IF(M18="positive","c","d")))))</x:f>
        <x:v>d</x:v>
      </x:c>
      <x:c r="Q18" s="12"/>
      <x:c r="R18" s="12" t="str">
        <x:v>negative</x:v>
      </x:c>
      <x:c r="S18" s="12"/>
      <x:c r="T18" s="12" t="str">
        <x:v>negative</x:v>
      </x:c>
      <x:c r="U18" s="12" t="str">
        <x:f>IF(OR(R18="unavailable",T18="unavailable"),"不可评价",IF(OR(R18="equivocal",T18="equivocal"),"疑似",IF(AND(R18="positive",T18="positive"),"a",IF(T18="positive","b",IF(R18="positive","c","d")))))</x:f>
        <x:v>d</x:v>
      </x:c>
      <x:c r="V18" s="12"/>
      <x:c r="W18" s="12" t="str">
        <x:v>negative</x:v>
      </x:c>
      <x:c r="X18" s="12"/>
      <x:c r="Y18" s="12" t="str">
        <x:v>negative</x:v>
      </x:c>
      <x:c r="Z18" s="12" t="str">
        <x:f>IF(OR(W18="unavailable",Y18="unavailable"),"不可评价",IF(OR(W18="equivocal",Y18="equivocal"),"疑似",IF(AND(W18="positive",Y18="positive"),"a",IF(Y18="positive","b",IF(W18="positive","c","d")))))</x:f>
        <x:v>d</x:v>
      </x:c>
      <x:c r="AA18" s="12" t="str">
        <x:f>IF(OR(M18="unavailable",O18="unavailable"),"不可评价",IF(AND(OR(M18="positive",M18="equivocal"),OR(O18="positive",O18="equivocal")),"a",IF(OR(O18="positive",O18="equivocal"),"b",IF(OR(M18="positive",M18="equivocal"),"c","d"))))</x:f>
        <x:v>d</x:v>
      </x:c>
      <x:c r="AB18" s="12" t="str">
        <x:f>IF(OR(M18="unavailable",O18="unavailable"),"不可评价",IF(AND(M18="positive",O18="positive"),"a",IF(O18="positive","b",IF(M18="positive","c","d"))))</x:f>
        <x:v>d</x:v>
      </x:c>
      <x:c r="AC18" s="12" t="str">
        <x:f>IF(OR(R18="unavailable",T18="unavailable"),"不可评价",IF(AND(OR(R18="positive",R18="equivocal"),OR(T18="positive",T18="equivocal")),"a",IF(OR(T18="positive",T18="equivocal"),"b",IF(OR(R18="positive",R18="equivocal"),"c","d"))))</x:f>
        <x:v>d</x:v>
      </x:c>
      <x:c r="AD18" s="12" t="str">
        <x:f>IF(OR(R18="unavailable",T18="unavailable"),"不可评价",IF(AND(R18="positive",T18="positive"),"a",IF(T18="positive","b",IF(R18="positive","c","d"))))</x:f>
        <x:v>d</x:v>
      </x:c>
      <x:c r="AE18" s="12" t="str">
        <x:f>IF(OR(W18="unavailable",Y18="unavailable"),"不可评价",IF(AND(OR(W18="positive",W18="equivocal"),OR(Y18="positive",Y18="equivocal")),"a",IF(OR(Y18="positive",Y18="equivocal"),"b",IF(OR(W18="positive",W18="equivocal"),"c","d"))))</x:f>
        <x:v>d</x:v>
      </x:c>
      <x:c r="AF18" s="12" t="str">
        <x:f>IF(OR(W18="unavailable",Y18="unavailable"),"不可评价",IF(AND(W18="positive",Y18="positive"),"a",IF(Y18="positive","b",IF(W18="positive","c","d"))))</x:f>
        <x:v>d</x:v>
      </x:c>
    </x:row>
    <x:row r="19" ht="24" customHeight="1">
      <x:c r="A19" s="12" t="str">
        <x:v>121</x:v>
      </x:c>
      <x:c r="B19" s="12" t="str">
        <x:v>16747</x:v>
      </x:c>
      <x:c r="C19" s="21" t="n">
        <x:v>31431.599780092594</x:v>
      </x:c>
      <x:c r="D19" s="12" t="n">
        <x:v>54</x:v>
      </x:c>
      <x:c r="E19" s="12" t="n">
        <x:v>0</x:v>
      </x:c>
      <x:c r="F19" s="12" t="str">
        <x:v>存在</x:v>
      </x:c>
      <x:c r="G19" s="12" t="n">
        <x:v>0</x:v>
      </x:c>
      <x:c r="H19" s="12" t="str">
        <x:v>{'NORM': 100.0, 'SR': 0.0}</x:v>
      </x:c>
      <x:c r="I19" s="12" t="str">
        <x:v>[('NSR', 100.0), ('NML', 100.0)]</x:v>
      </x:c>
      <x:c r="J19" s="12" t="str">
        <x:v>ptbxl_database.csv；ecg_id=121；scp_codes</x:v>
      </x:c>
      <x:c r="K19" s="12" t="str">
        <x:v>12sl_statements.csv；ecg_id=121；statements_ext_snomed</x:v>
      </x:c>
      <x:c r="L19" s="12"/>
      <x:c r="M19" s="12" t="str">
        <x:v>negative</x:v>
      </x:c>
      <x:c r="N19" s="12"/>
      <x:c r="O19" s="12" t="str">
        <x:v>negative</x:v>
      </x:c>
      <x:c r="P19" s="12" t="str">
        <x:f>IF(OR(M19="unavailable",O19="unavailable"),"不可评价",IF(OR(M19="equivocal",O19="equivocal"),"疑似",IF(AND(M19="positive",O19="positive"),"a",IF(O19="positive","b",IF(M19="positive","c","d")))))</x:f>
        <x:v>d</x:v>
      </x:c>
      <x:c r="Q19" s="12"/>
      <x:c r="R19" s="12" t="str">
        <x:v>negative</x:v>
      </x:c>
      <x:c r="S19" s="12"/>
      <x:c r="T19" s="12" t="str">
        <x:v>negative</x:v>
      </x:c>
      <x:c r="U19" s="12" t="str">
        <x:f>IF(OR(R19="unavailable",T19="unavailable"),"不可评价",IF(OR(R19="equivocal",T19="equivocal"),"疑似",IF(AND(R19="positive",T19="positive"),"a",IF(T19="positive","b",IF(R19="positive","c","d")))))</x:f>
        <x:v>d</x:v>
      </x:c>
      <x:c r="V19" s="12"/>
      <x:c r="W19" s="12" t="str">
        <x:v>negative</x:v>
      </x:c>
      <x:c r="X19" s="12"/>
      <x:c r="Y19" s="12" t="str">
        <x:v>negative</x:v>
      </x:c>
      <x:c r="Z19" s="12" t="str">
        <x:f>IF(OR(W19="unavailable",Y19="unavailable"),"不可评价",IF(OR(W19="equivocal",Y19="equivocal"),"疑似",IF(AND(W19="positive",Y19="positive"),"a",IF(Y19="positive","b",IF(W19="positive","c","d")))))</x:f>
        <x:v>d</x:v>
      </x:c>
      <x:c r="AA19" s="12" t="str">
        <x:f>IF(OR(M19="unavailable",O19="unavailable"),"不可评价",IF(AND(OR(M19="positive",M19="equivocal"),OR(O19="positive",O19="equivocal")),"a",IF(OR(O19="positive",O19="equivocal"),"b",IF(OR(M19="positive",M19="equivocal"),"c","d"))))</x:f>
        <x:v>d</x:v>
      </x:c>
      <x:c r="AB19" s="12" t="str">
        <x:f>IF(OR(M19="unavailable",O19="unavailable"),"不可评价",IF(AND(M19="positive",O19="positive"),"a",IF(O19="positive","b",IF(M19="positive","c","d"))))</x:f>
        <x:v>d</x:v>
      </x:c>
      <x:c r="AC19" s="12" t="str">
        <x:f>IF(OR(R19="unavailable",T19="unavailable"),"不可评价",IF(AND(OR(R19="positive",R19="equivocal"),OR(T19="positive",T19="equivocal")),"a",IF(OR(T19="positive",T19="equivocal"),"b",IF(OR(R19="positive",R19="equivocal"),"c","d"))))</x:f>
        <x:v>d</x:v>
      </x:c>
      <x:c r="AD19" s="12" t="str">
        <x:f>IF(OR(R19="unavailable",T19="unavailable"),"不可评价",IF(AND(R19="positive",T19="positive"),"a",IF(T19="positive","b",IF(R19="positive","c","d"))))</x:f>
        <x:v>d</x:v>
      </x:c>
      <x:c r="AE19" s="12" t="str">
        <x:f>IF(OR(W19="unavailable",Y19="unavailable"),"不可评价",IF(AND(OR(W19="positive",W19="equivocal"),OR(Y19="positive",Y19="equivocal")),"a",IF(OR(Y19="positive",Y19="equivocal"),"b",IF(OR(W19="positive",W19="equivocal"),"c","d"))))</x:f>
        <x:v>d</x:v>
      </x:c>
      <x:c r="AF19" s="12" t="str">
        <x:f>IF(OR(W19="unavailable",Y19="unavailable"),"不可评价",IF(AND(W19="positive",Y19="positive"),"a",IF(Y19="positive","b",IF(W19="positive","c","d"))))</x:f>
        <x:v>d</x:v>
      </x:c>
    </x:row>
    <x:row r="20" ht="24" customHeight="1">
      <x:c r="A20" s="12" t="str">
        <x:v>122</x:v>
      </x:c>
      <x:c r="B20" s="12" t="str">
        <x:v>19832</x:v>
      </x:c>
      <x:c r="C20" s="21" t="n">
        <x:v>31435.409409722222</x:v>
      </x:c>
      <x:c r="D20" s="12" t="n">
        <x:v>44</x:v>
      </x:c>
      <x:c r="E20" s="12" t="n">
        <x:v>0</x:v>
      </x:c>
      <x:c r="F20" s="12" t="str">
        <x:v>未记录</x:v>
      </x:c>
      <x:c r="G20" s="12" t="n">
        <x:v>0</x:v>
      </x:c>
      <x:c r="H20" s="12" t="str">
        <x:v>{'NORM': 80.0, 'SARRH': 0.0}</x:v>
      </x:c>
      <x:c r="I20" s="12" t="str">
        <x:v>[('NSR', 100.0), ('SAR', 100.0), ('NML', 100.0)]</x:v>
      </x:c>
      <x:c r="J20" s="12" t="str">
        <x:v>ptbxl_database.csv；ecg_id=122；scp_codes</x:v>
      </x:c>
      <x:c r="K20" s="12" t="str">
        <x:v>12sl_statements.csv；ecg_id=122；statements_ext_snomed</x:v>
      </x:c>
      <x:c r="L20" s="12"/>
      <x:c r="M20" s="12" t="str">
        <x:v>negative</x:v>
      </x:c>
      <x:c r="N20" s="12"/>
      <x:c r="O20" s="12" t="str">
        <x:v>negative</x:v>
      </x:c>
      <x:c r="P20" s="12" t="str">
        <x:f>IF(OR(M20="unavailable",O20="unavailable"),"不可评价",IF(OR(M20="equivocal",O20="equivocal"),"疑似",IF(AND(M20="positive",O20="positive"),"a",IF(O20="positive","b",IF(M20="positive","c","d")))))</x:f>
        <x:v>d</x:v>
      </x:c>
      <x:c r="Q20" s="12"/>
      <x:c r="R20" s="12" t="str">
        <x:v>negative</x:v>
      </x:c>
      <x:c r="S20" s="12"/>
      <x:c r="T20" s="12" t="str">
        <x:v>negative</x:v>
      </x:c>
      <x:c r="U20" s="12" t="str">
        <x:f>IF(OR(R20="unavailable",T20="unavailable"),"不可评价",IF(OR(R20="equivocal",T20="equivocal"),"疑似",IF(AND(R20="positive",T20="positive"),"a",IF(T20="positive","b",IF(R20="positive","c","d")))))</x:f>
        <x:v>d</x:v>
      </x:c>
      <x:c r="V20" s="12"/>
      <x:c r="W20" s="12" t="str">
        <x:v>negative</x:v>
      </x:c>
      <x:c r="X20" s="12"/>
      <x:c r="Y20" s="12" t="str">
        <x:v>negative</x:v>
      </x:c>
      <x:c r="Z20" s="12" t="str">
        <x:f>IF(OR(W20="unavailable",Y20="unavailable"),"不可评价",IF(OR(W20="equivocal",Y20="equivocal"),"疑似",IF(AND(W20="positive",Y20="positive"),"a",IF(Y20="positive","b",IF(W20="positive","c","d")))))</x:f>
        <x:v>d</x:v>
      </x:c>
      <x:c r="AA20" s="12" t="str">
        <x:f>IF(OR(M20="unavailable",O20="unavailable"),"不可评价",IF(AND(OR(M20="positive",M20="equivocal"),OR(O20="positive",O20="equivocal")),"a",IF(OR(O20="positive",O20="equivocal"),"b",IF(OR(M20="positive",M20="equivocal"),"c","d"))))</x:f>
        <x:v>d</x:v>
      </x:c>
      <x:c r="AB20" s="12" t="str">
        <x:f>IF(OR(M20="unavailable",O20="unavailable"),"不可评价",IF(AND(M20="positive",O20="positive"),"a",IF(O20="positive","b",IF(M20="positive","c","d"))))</x:f>
        <x:v>d</x:v>
      </x:c>
      <x:c r="AC20" s="12" t="str">
        <x:f>IF(OR(R20="unavailable",T20="unavailable"),"不可评价",IF(AND(OR(R20="positive",R20="equivocal"),OR(T20="positive",T20="equivocal")),"a",IF(OR(T20="positive",T20="equivocal"),"b",IF(OR(R20="positive",R20="equivocal"),"c","d"))))</x:f>
        <x:v>d</x:v>
      </x:c>
      <x:c r="AD20" s="12" t="str">
        <x:f>IF(OR(R20="unavailable",T20="unavailable"),"不可评价",IF(AND(R20="positive",T20="positive"),"a",IF(T20="positive","b",IF(R20="positive","c","d"))))</x:f>
        <x:v>d</x:v>
      </x:c>
      <x:c r="AE20" s="12" t="str">
        <x:f>IF(OR(W20="unavailable",Y20="unavailable"),"不可评价",IF(AND(OR(W20="positive",W20="equivocal"),OR(Y20="positive",Y20="equivocal")),"a",IF(OR(Y20="positive",Y20="equivocal"),"b",IF(OR(W20="positive",W20="equivocal"),"c","d"))))</x:f>
        <x:v>d</x:v>
      </x:c>
      <x:c r="AF20" s="12" t="str">
        <x:f>IF(OR(W20="unavailable",Y20="unavailable"),"不可评价",IF(AND(W20="positive",Y20="positive"),"a",IF(Y20="positive","b",IF(W20="positive","c","d"))))</x:f>
        <x:v>d</x:v>
      </x:c>
    </x:row>
    <x:row r="21" ht="24" customHeight="1">
      <x:c r="A21" s="12" t="str">
        <x:v>128</x:v>
      </x:c>
      <x:c r="B21" s="12" t="str">
        <x:v>17735</x:v>
      </x:c>
      <x:c r="C21" s="21" t="n">
        <x:v>31444.468761574073</x:v>
      </x:c>
      <x:c r="D21" s="12" t="n">
        <x:v>33</x:v>
      </x:c>
      <x:c r="E21" s="12" t="n">
        <x:v>0</x:v>
      </x:c>
      <x:c r="F21" s="12" t="str">
        <x:v>存在</x:v>
      </x:c>
      <x:c r="G21" s="12" t="n">
        <x:v>1</x:v>
      </x:c>
      <x:c r="H21" s="12" t="str">
        <x:v>{'NDT': 100.0}</x:v>
      </x:c>
      <x:c r="I21" s="12" t="str">
        <x:v>[('NSR', 100.0), ('IMI;AU', 15.0), ('AB', 100.0)]</x:v>
      </x:c>
      <x:c r="J21" s="12" t="str">
        <x:v>ptbxl_database.csv；ecg_id=128；scp_codes</x:v>
      </x:c>
      <x:c r="K21" s="12" t="str">
        <x:v>12sl_statements.csv；ecg_id=128；statements_ext_snomed</x:v>
      </x:c>
      <x:c r="L21" s="12"/>
      <x:c r="M21" s="12" t="str">
        <x:v>negative</x:v>
      </x:c>
      <x:c r="N21" s="12"/>
      <x:c r="O21" s="12" t="str">
        <x:v>negative</x:v>
      </x:c>
      <x:c r="P21" s="12" t="str">
        <x:f>IF(OR(M21="unavailable",O21="unavailable"),"不可评价",IF(OR(M21="equivocal",O21="equivocal"),"疑似",IF(AND(M21="positive",O21="positive"),"a",IF(O21="positive","b",IF(M21="positive","c","d")))))</x:f>
        <x:v>d</x:v>
      </x:c>
      <x:c r="Q21" s="12"/>
      <x:c r="R21" s="12" t="str">
        <x:v>negative</x:v>
      </x:c>
      <x:c r="S21" s="12"/>
      <x:c r="T21" s="12" t="str">
        <x:v>negative</x:v>
      </x:c>
      <x:c r="U21" s="12" t="str">
        <x:f>IF(OR(R21="unavailable",T21="unavailable"),"不可评价",IF(OR(R21="equivocal",T21="equivocal"),"疑似",IF(AND(R21="positive",T21="positive"),"a",IF(T21="positive","b",IF(R21="positive","c","d")))))</x:f>
        <x:v>d</x:v>
      </x:c>
      <x:c r="V21" s="12"/>
      <x:c r="W21" s="12" t="str">
        <x:v>negative</x:v>
      </x:c>
      <x:c r="X21" s="12"/>
      <x:c r="Y21" s="12" t="str">
        <x:v>negative</x:v>
      </x:c>
      <x:c r="Z21" s="12" t="str">
        <x:f>IF(OR(W21="unavailable",Y21="unavailable"),"不可评价",IF(OR(W21="equivocal",Y21="equivocal"),"疑似",IF(AND(W21="positive",Y21="positive"),"a",IF(Y21="positive","b",IF(W21="positive","c","d")))))</x:f>
        <x:v>d</x:v>
      </x:c>
      <x:c r="AA21" s="12" t="str">
        <x:f>IF(OR(M21="unavailable",O21="unavailable"),"不可评价",IF(AND(OR(M21="positive",M21="equivocal"),OR(O21="positive",O21="equivocal")),"a",IF(OR(O21="positive",O21="equivocal"),"b",IF(OR(M21="positive",M21="equivocal"),"c","d"))))</x:f>
        <x:v>d</x:v>
      </x:c>
      <x:c r="AB21" s="12" t="str">
        <x:f>IF(OR(M21="unavailable",O21="unavailable"),"不可评价",IF(AND(M21="positive",O21="positive"),"a",IF(O21="positive","b",IF(M21="positive","c","d"))))</x:f>
        <x:v>d</x:v>
      </x:c>
      <x:c r="AC21" s="12" t="str">
        <x:f>IF(OR(R21="unavailable",T21="unavailable"),"不可评价",IF(AND(OR(R21="positive",R21="equivocal"),OR(T21="positive",T21="equivocal")),"a",IF(OR(T21="positive",T21="equivocal"),"b",IF(OR(R21="positive",R21="equivocal"),"c","d"))))</x:f>
        <x:v>d</x:v>
      </x:c>
      <x:c r="AD21" s="12" t="str">
        <x:f>IF(OR(R21="unavailable",T21="unavailable"),"不可评价",IF(AND(R21="positive",T21="positive"),"a",IF(T21="positive","b",IF(R21="positive","c","d"))))</x:f>
        <x:v>d</x:v>
      </x:c>
      <x:c r="AE21" s="12" t="str">
        <x:f>IF(OR(W21="unavailable",Y21="unavailable"),"不可评价",IF(AND(OR(W21="positive",W21="equivocal"),OR(Y21="positive",Y21="equivocal")),"a",IF(OR(Y21="positive",Y21="equivocal"),"b",IF(OR(W21="positive",W21="equivocal"),"c","d"))))</x:f>
        <x:v>d</x:v>
      </x:c>
      <x:c r="AF21" s="12" t="str">
        <x:f>IF(OR(W21="unavailable",Y21="unavailable"),"不可评价",IF(AND(W21="positive",Y21="positive"),"a",IF(Y21="positive","b",IF(W21="positive","c","d"))))</x:f>
        <x:v>d</x:v>
      </x:c>
    </x:row>
    <x:row r="22" ht="24" customHeight="1">
      <x:c r="A22" s="12" t="str">
        <x:v>129</x:v>
      </x:c>
      <x:c r="B22" s="12" t="str">
        <x:v>16463</x:v>
      </x:c>
      <x:c r="C22" s="21" t="n">
        <x:v>31449.46287037037</x:v>
      </x:c>
      <x:c r="D22" s="12" t="n">
        <x:v>41</x:v>
      </x:c>
      <x:c r="E22" s="12" t="n">
        <x:v>0</x:v>
      </x:c>
      <x:c r="F22" s="12" t="str">
        <x:v>未记录</x:v>
      </x:c>
      <x:c r="G22" s="12" t="n">
        <x:v>1</x:v>
      </x:c>
      <x:c r="H22" s="12" t="str">
        <x:v>{'NORM': 100.0, 'SR': 0.0}</x:v>
      </x:c>
      <x:c r="I22" s="12" t="str">
        <x:v>[('NSR', 100.0), ('NML', 100.0)]</x:v>
      </x:c>
      <x:c r="J22" s="12" t="str">
        <x:v>ptbxl_database.csv；ecg_id=129；scp_codes</x:v>
      </x:c>
      <x:c r="K22" s="12" t="str">
        <x:v>12sl_statements.csv；ecg_id=129；statements_ext_snomed</x:v>
      </x:c>
      <x:c r="L22" s="12"/>
      <x:c r="M22" s="12" t="str">
        <x:v>negative</x:v>
      </x:c>
      <x:c r="N22" s="12"/>
      <x:c r="O22" s="12" t="str">
        <x:v>negative</x:v>
      </x:c>
      <x:c r="P22" s="12" t="str">
        <x:f>IF(OR(M22="unavailable",O22="unavailable"),"不可评价",IF(OR(M22="equivocal",O22="equivocal"),"疑似",IF(AND(M22="positive",O22="positive"),"a",IF(O22="positive","b",IF(M22="positive","c","d")))))</x:f>
        <x:v>d</x:v>
      </x:c>
      <x:c r="Q22" s="12"/>
      <x:c r="R22" s="12" t="str">
        <x:v>negative</x:v>
      </x:c>
      <x:c r="S22" s="12"/>
      <x:c r="T22" s="12" t="str">
        <x:v>negative</x:v>
      </x:c>
      <x:c r="U22" s="12" t="str">
        <x:f>IF(OR(R22="unavailable",T22="unavailable"),"不可评价",IF(OR(R22="equivocal",T22="equivocal"),"疑似",IF(AND(R22="positive",T22="positive"),"a",IF(T22="positive","b",IF(R22="positive","c","d")))))</x:f>
        <x:v>d</x:v>
      </x:c>
      <x:c r="V22" s="12"/>
      <x:c r="W22" s="12" t="str">
        <x:v>negative</x:v>
      </x:c>
      <x:c r="X22" s="12"/>
      <x:c r="Y22" s="12" t="str">
        <x:v>negative</x:v>
      </x:c>
      <x:c r="Z22" s="12" t="str">
        <x:f>IF(OR(W22="unavailable",Y22="unavailable"),"不可评价",IF(OR(W22="equivocal",Y22="equivocal"),"疑似",IF(AND(W22="positive",Y22="positive"),"a",IF(Y22="positive","b",IF(W22="positive","c","d")))))</x:f>
        <x:v>d</x:v>
      </x:c>
      <x:c r="AA22" s="12" t="str">
        <x:f>IF(OR(M22="unavailable",O22="unavailable"),"不可评价",IF(AND(OR(M22="positive",M22="equivocal"),OR(O22="positive",O22="equivocal")),"a",IF(OR(O22="positive",O22="equivocal"),"b",IF(OR(M22="positive",M22="equivocal"),"c","d"))))</x:f>
        <x:v>d</x:v>
      </x:c>
      <x:c r="AB22" s="12" t="str">
        <x:f>IF(OR(M22="unavailable",O22="unavailable"),"不可评价",IF(AND(M22="positive",O22="positive"),"a",IF(O22="positive","b",IF(M22="positive","c","d"))))</x:f>
        <x:v>d</x:v>
      </x:c>
      <x:c r="AC22" s="12" t="str">
        <x:f>IF(OR(R22="unavailable",T22="unavailable"),"不可评价",IF(AND(OR(R22="positive",R22="equivocal"),OR(T22="positive",T22="equivocal")),"a",IF(OR(T22="positive",T22="equivocal"),"b",IF(OR(R22="positive",R22="equivocal"),"c","d"))))</x:f>
        <x:v>d</x:v>
      </x:c>
      <x:c r="AD22" s="12" t="str">
        <x:f>IF(OR(R22="unavailable",T22="unavailable"),"不可评价",IF(AND(R22="positive",T22="positive"),"a",IF(T22="positive","b",IF(R22="positive","c","d"))))</x:f>
        <x:v>d</x:v>
      </x:c>
      <x:c r="AE22" s="12" t="str">
        <x:f>IF(OR(W22="unavailable",Y22="unavailable"),"不可评价",IF(AND(OR(W22="positive",W22="equivocal"),OR(Y22="positive",Y22="equivocal")),"a",IF(OR(Y22="positive",Y22="equivocal"),"b",IF(OR(W22="positive",W22="equivocal"),"c","d"))))</x:f>
        <x:v>d</x:v>
      </x:c>
      <x:c r="AF22" s="12" t="str">
        <x:f>IF(OR(W22="unavailable",Y22="unavailable"),"不可评价",IF(AND(W22="positive",Y22="positive"),"a",IF(Y22="positive","b",IF(W22="positive","c","d"))))</x:f>
        <x:v>d</x:v>
      </x:c>
    </x:row>
    <x:row r="23" ht="24" customHeight="1">
      <x:c r="A23" s="12" t="str">
        <x:v>132</x:v>
      </x:c>
      <x:c r="B23" s="12" t="str">
        <x:v>16747</x:v>
      </x:c>
      <x:c r="C23" s="21" t="n">
        <x:v>31458.592488425926</x:v>
      </x:c>
      <x:c r="D23" s="12" t="n">
        <x:v>54</x:v>
      </x:c>
      <x:c r="E23" s="12" t="n">
        <x:v>0</x:v>
      </x:c>
      <x:c r="F23" s="12" t="str">
        <x:v>未记录</x:v>
      </x:c>
      <x:c r="G23" s="12" t="n">
        <x:v>0</x:v>
      </x:c>
      <x:c r="H23" s="12" t="str">
        <x:v>{'NORM': 80.0, 'SR': 0.0}</x:v>
      </x:c>
      <x:c r="I23" s="12" t="str">
        <x:v>[('NSR', 100.0), ('NML', 100.0)]</x:v>
      </x:c>
      <x:c r="J23" s="12" t="str">
        <x:v>ptbxl_database.csv；ecg_id=132；scp_codes</x:v>
      </x:c>
      <x:c r="K23" s="12" t="str">
        <x:v>12sl_statements.csv；ecg_id=132；statements_ext_snomed</x:v>
      </x:c>
      <x:c r="L23" s="12"/>
      <x:c r="M23" s="12" t="str">
        <x:v>negative</x:v>
      </x:c>
      <x:c r="N23" s="12"/>
      <x:c r="O23" s="12" t="str">
        <x:v>negative</x:v>
      </x:c>
      <x:c r="P23" s="12" t="str">
        <x:f>IF(OR(M23="unavailable",O23="unavailable"),"不可评价",IF(OR(M23="equivocal",O23="equivocal"),"疑似",IF(AND(M23="positive",O23="positive"),"a",IF(O23="positive","b",IF(M23="positive","c","d")))))</x:f>
        <x:v>d</x:v>
      </x:c>
      <x:c r="Q23" s="12"/>
      <x:c r="R23" s="12" t="str">
        <x:v>negative</x:v>
      </x:c>
      <x:c r="S23" s="12"/>
      <x:c r="T23" s="12" t="str">
        <x:v>negative</x:v>
      </x:c>
      <x:c r="U23" s="12" t="str">
        <x:f>IF(OR(R23="unavailable",T23="unavailable"),"不可评价",IF(OR(R23="equivocal",T23="equivocal"),"疑似",IF(AND(R23="positive",T23="positive"),"a",IF(T23="positive","b",IF(R23="positive","c","d")))))</x:f>
        <x:v>d</x:v>
      </x:c>
      <x:c r="V23" s="12"/>
      <x:c r="W23" s="12" t="str">
        <x:v>negative</x:v>
      </x:c>
      <x:c r="X23" s="12"/>
      <x:c r="Y23" s="12" t="str">
        <x:v>negative</x:v>
      </x:c>
      <x:c r="Z23" s="12" t="str">
        <x:f>IF(OR(W23="unavailable",Y23="unavailable"),"不可评价",IF(OR(W23="equivocal",Y23="equivocal"),"疑似",IF(AND(W23="positive",Y23="positive"),"a",IF(Y23="positive","b",IF(W23="positive","c","d")))))</x:f>
        <x:v>d</x:v>
      </x:c>
      <x:c r="AA23" s="12" t="str">
        <x:f>IF(OR(M23="unavailable",O23="unavailable"),"不可评价",IF(AND(OR(M23="positive",M23="equivocal"),OR(O23="positive",O23="equivocal")),"a",IF(OR(O23="positive",O23="equivocal"),"b",IF(OR(M23="positive",M23="equivocal"),"c","d"))))</x:f>
        <x:v>d</x:v>
      </x:c>
      <x:c r="AB23" s="12" t="str">
        <x:f>IF(OR(M23="unavailable",O23="unavailable"),"不可评价",IF(AND(M23="positive",O23="positive"),"a",IF(O23="positive","b",IF(M23="positive","c","d"))))</x:f>
        <x:v>d</x:v>
      </x:c>
      <x:c r="AC23" s="12" t="str">
        <x:f>IF(OR(R23="unavailable",T23="unavailable"),"不可评价",IF(AND(OR(R23="positive",R23="equivocal"),OR(T23="positive",T23="equivocal")),"a",IF(OR(T23="positive",T23="equivocal"),"b",IF(OR(R23="positive",R23="equivocal"),"c","d"))))</x:f>
        <x:v>d</x:v>
      </x:c>
      <x:c r="AD23" s="12" t="str">
        <x:f>IF(OR(R23="unavailable",T23="unavailable"),"不可评价",IF(AND(R23="positive",T23="positive"),"a",IF(T23="positive","b",IF(R23="positive","c","d"))))</x:f>
        <x:v>d</x:v>
      </x:c>
      <x:c r="AE23" s="12" t="str">
        <x:f>IF(OR(W23="unavailable",Y23="unavailable"),"不可评价",IF(AND(OR(W23="positive",W23="equivocal"),OR(Y23="positive",Y23="equivocal")),"a",IF(OR(Y23="positive",Y23="equivocal"),"b",IF(OR(W23="positive",W23="equivocal"),"c","d"))))</x:f>
        <x:v>d</x:v>
      </x:c>
      <x:c r="AF23" s="12" t="str">
        <x:f>IF(OR(W23="unavailable",Y23="unavailable"),"不可评价",IF(AND(W23="positive",Y23="positive"),"a",IF(Y23="positive","b",IF(W23="positive","c","d"))))</x:f>
        <x:v>d</x:v>
      </x:c>
    </x:row>
    <x:row r="24" ht="24" customHeight="1">
      <x:c r="A24" s="12" t="str">
        <x:v>157</x:v>
      </x:c>
      <x:c r="B24" s="12" t="str">
        <x:v>8131</x:v>
      </x:c>
      <x:c r="C24" s="21" t="n">
        <x:v>31476.377916666668</x:v>
      </x:c>
      <x:c r="D24" s="12" t="n">
        <x:v>74</x:v>
      </x:c>
      <x:c r="E24" s="12" t="n">
        <x:v>1</x:v>
      </x:c>
      <x:c r="F24" s="12" t="str">
        <x:v>未记录</x:v>
      </x:c>
      <x:c r="G24" s="12" t="n">
        <x:v>1</x:v>
      </x:c>
      <x:c r="H24" s="12" t="str">
        <x:v>{'LAFB': 100.0, 'SR': 0.0}</x:v>
      </x:c>
      <x:c r="I24" s="12" t="str">
        <x:v>[('NSR', 100.0), ('NML', 100.0)]</x:v>
      </x:c>
      <x:c r="J24" s="12" t="str">
        <x:v>ptbxl_database.csv；ecg_id=157；scp_codes</x:v>
      </x:c>
      <x:c r="K24" s="12" t="str">
        <x:v>12sl_statements.csv；ecg_id=157；statements_ext_snomed</x:v>
      </x:c>
      <x:c r="L24" s="12"/>
      <x:c r="M24" s="12" t="str">
        <x:v>negative</x:v>
      </x:c>
      <x:c r="N24" s="12"/>
      <x:c r="O24" s="12" t="str">
        <x:v>negative</x:v>
      </x:c>
      <x:c r="P24" s="12" t="str">
        <x:f>IF(OR(M24="unavailable",O24="unavailable"),"不可评价",IF(OR(M24="equivocal",O24="equivocal"),"疑似",IF(AND(M24="positive",O24="positive"),"a",IF(O24="positive","b",IF(M24="positive","c","d")))))</x:f>
        <x:v>d</x:v>
      </x:c>
      <x:c r="Q24" s="12"/>
      <x:c r="R24" s="12" t="str">
        <x:v>negative</x:v>
      </x:c>
      <x:c r="S24" s="12"/>
      <x:c r="T24" s="12" t="str">
        <x:v>negative</x:v>
      </x:c>
      <x:c r="U24" s="12" t="str">
        <x:f>IF(OR(R24="unavailable",T24="unavailable"),"不可评价",IF(OR(R24="equivocal",T24="equivocal"),"疑似",IF(AND(R24="positive",T24="positive"),"a",IF(T24="positive","b",IF(R24="positive","c","d")))))</x:f>
        <x:v>d</x:v>
      </x:c>
      <x:c r="V24" s="12"/>
      <x:c r="W24" s="12" t="str">
        <x:v>negative</x:v>
      </x:c>
      <x:c r="X24" s="12"/>
      <x:c r="Y24" s="12" t="str">
        <x:v>negative</x:v>
      </x:c>
      <x:c r="Z24" s="12" t="str">
        <x:f>IF(OR(W24="unavailable",Y24="unavailable"),"不可评价",IF(OR(W24="equivocal",Y24="equivocal"),"疑似",IF(AND(W24="positive",Y24="positive"),"a",IF(Y24="positive","b",IF(W24="positive","c","d")))))</x:f>
        <x:v>d</x:v>
      </x:c>
      <x:c r="AA24" s="12" t="str">
        <x:f>IF(OR(M24="unavailable",O24="unavailable"),"不可评价",IF(AND(OR(M24="positive",M24="equivocal"),OR(O24="positive",O24="equivocal")),"a",IF(OR(O24="positive",O24="equivocal"),"b",IF(OR(M24="positive",M24="equivocal"),"c","d"))))</x:f>
        <x:v>d</x:v>
      </x:c>
      <x:c r="AB24" s="12" t="str">
        <x:f>IF(OR(M24="unavailable",O24="unavailable"),"不可评价",IF(AND(M24="positive",O24="positive"),"a",IF(O24="positive","b",IF(M24="positive","c","d"))))</x:f>
        <x:v>d</x:v>
      </x:c>
      <x:c r="AC24" s="12" t="str">
        <x:f>IF(OR(R24="unavailable",T24="unavailable"),"不可评价",IF(AND(OR(R24="positive",R24="equivocal"),OR(T24="positive",T24="equivocal")),"a",IF(OR(T24="positive",T24="equivocal"),"b",IF(OR(R24="positive",R24="equivocal"),"c","d"))))</x:f>
        <x:v>d</x:v>
      </x:c>
      <x:c r="AD24" s="12" t="str">
        <x:f>IF(OR(R24="unavailable",T24="unavailable"),"不可评价",IF(AND(R24="positive",T24="positive"),"a",IF(T24="positive","b",IF(R24="positive","c","d"))))</x:f>
        <x:v>d</x:v>
      </x:c>
      <x:c r="AE24" s="12" t="str">
        <x:f>IF(OR(W24="unavailable",Y24="unavailable"),"不可评价",IF(AND(OR(W24="positive",W24="equivocal"),OR(Y24="positive",Y24="equivocal")),"a",IF(OR(Y24="positive",Y24="equivocal"),"b",IF(OR(W24="positive",W24="equivocal"),"c","d"))))</x:f>
        <x:v>d</x:v>
      </x:c>
      <x:c r="AF24" s="12" t="str">
        <x:f>IF(OR(W24="unavailable",Y24="unavailable"),"不可评价",IF(AND(W24="positive",Y24="positive"),"a",IF(Y24="positive","b",IF(W24="positive","c","d"))))</x:f>
        <x:v>d</x:v>
      </x:c>
    </x:row>
    <x:row r="25" ht="24" customHeight="1">
      <x:c r="A25" s="12" t="str">
        <x:v>160</x:v>
      </x:c>
      <x:c r="B25" s="12" t="str">
        <x:v>13470</x:v>
      </x:c>
      <x:c r="C25" s="21" t="n">
        <x:v>31477.61744212963</x:v>
      </x:c>
      <x:c r="D25" s="12" t="n">
        <x:v>68</x:v>
      </x:c>
      <x:c r="E25" s="12" t="n">
        <x:v>1</x:v>
      </x:c>
      <x:c r="F25" s="12" t="str">
        <x:v>未记录</x:v>
      </x:c>
      <x:c r="G25" s="12" t="n">
        <x:v>1</x:v>
      </x:c>
      <x:c r="H25" s="12" t="str">
        <x:v>{'NST_': 100.0, 'SR': 0.0}</x:v>
      </x:c>
      <x:c r="I25" s="12" t="str">
        <x:v>[('SBRAD', 100.0), ('ABR', 100.0)]</x:v>
      </x:c>
      <x:c r="J25" s="12" t="str">
        <x:v>ptbxl_database.csv；ecg_id=160；scp_codes</x:v>
      </x:c>
      <x:c r="K25" s="12" t="str">
        <x:v>12sl_statements.csv；ecg_id=160；statements_ext_snomed</x:v>
      </x:c>
      <x:c r="L25" s="12"/>
      <x:c r="M25" s="12" t="str">
        <x:v>negative</x:v>
      </x:c>
      <x:c r="N25" s="12"/>
      <x:c r="O25" s="12" t="str">
        <x:v>negative</x:v>
      </x:c>
      <x:c r="P25" s="12" t="str">
        <x:f>IF(OR(M25="unavailable",O25="unavailable"),"不可评价",IF(OR(M25="equivocal",O25="equivocal"),"疑似",IF(AND(M25="positive",O25="positive"),"a",IF(O25="positive","b",IF(M25="positive","c","d")))))</x:f>
        <x:v>d</x:v>
      </x:c>
      <x:c r="Q25" s="12"/>
      <x:c r="R25" s="12" t="str">
        <x:v>negative</x:v>
      </x:c>
      <x:c r="S25" s="12"/>
      <x:c r="T25" s="12" t="str">
        <x:v>negative</x:v>
      </x:c>
      <x:c r="U25" s="12" t="str">
        <x:f>IF(OR(R25="unavailable",T25="unavailable"),"不可评价",IF(OR(R25="equivocal",T25="equivocal"),"疑似",IF(AND(R25="positive",T25="positive"),"a",IF(T25="positive","b",IF(R25="positive","c","d")))))</x:f>
        <x:v>d</x:v>
      </x:c>
      <x:c r="V25" s="12"/>
      <x:c r="W25" s="12" t="str">
        <x:v>negative</x:v>
      </x:c>
      <x:c r="X25" s="12"/>
      <x:c r="Y25" s="12" t="str">
        <x:v>negative</x:v>
      </x:c>
      <x:c r="Z25" s="12" t="str">
        <x:f>IF(OR(W25="unavailable",Y25="unavailable"),"不可评价",IF(OR(W25="equivocal",Y25="equivocal"),"疑似",IF(AND(W25="positive",Y25="positive"),"a",IF(Y25="positive","b",IF(W25="positive","c","d")))))</x:f>
        <x:v>d</x:v>
      </x:c>
      <x:c r="AA25" s="12" t="str">
        <x:f>IF(OR(M25="unavailable",O25="unavailable"),"不可评价",IF(AND(OR(M25="positive",M25="equivocal"),OR(O25="positive",O25="equivocal")),"a",IF(OR(O25="positive",O25="equivocal"),"b",IF(OR(M25="positive",M25="equivocal"),"c","d"))))</x:f>
        <x:v>d</x:v>
      </x:c>
      <x:c r="AB25" s="12" t="str">
        <x:f>IF(OR(M25="unavailable",O25="unavailable"),"不可评价",IF(AND(M25="positive",O25="positive"),"a",IF(O25="positive","b",IF(M25="positive","c","d"))))</x:f>
        <x:v>d</x:v>
      </x:c>
      <x:c r="AC25" s="12" t="str">
        <x:f>IF(OR(R25="unavailable",T25="unavailable"),"不可评价",IF(AND(OR(R25="positive",R25="equivocal"),OR(T25="positive",T25="equivocal")),"a",IF(OR(T25="positive",T25="equivocal"),"b",IF(OR(R25="positive",R25="equivocal"),"c","d"))))</x:f>
        <x:v>d</x:v>
      </x:c>
      <x:c r="AD25" s="12" t="str">
        <x:f>IF(OR(R25="unavailable",T25="unavailable"),"不可评价",IF(AND(R25="positive",T25="positive"),"a",IF(T25="positive","b",IF(R25="positive","c","d"))))</x:f>
        <x:v>d</x:v>
      </x:c>
      <x:c r="AE25" s="12" t="str">
        <x:f>IF(OR(W25="unavailable",Y25="unavailable"),"不可评价",IF(AND(OR(W25="positive",W25="equivocal"),OR(Y25="positive",Y25="equivocal")),"a",IF(OR(Y25="positive",Y25="equivocal"),"b",IF(OR(W25="positive",W25="equivocal"),"c","d"))))</x:f>
        <x:v>d</x:v>
      </x:c>
      <x:c r="AF25" s="12" t="str">
        <x:f>IF(OR(W25="unavailable",Y25="unavailable"),"不可评价",IF(AND(W25="positive",Y25="positive"),"a",IF(Y25="positive","b",IF(W25="positive","c","d"))))</x:f>
        <x:v>d</x:v>
      </x:c>
    </x:row>
    <x:row r="26" ht="39" customHeight="1">
      <x:c r="A26" s="12" t="str">
        <x:v>162</x:v>
      </x:c>
      <x:c r="B26" s="12" t="str">
        <x:v>9780</x:v>
      </x:c>
      <x:c r="C26" s="21" t="n">
        <x:v>31478.26546296296</x:v>
      </x:c>
      <x:c r="D26" s="12" t="n">
        <x:v>85</x:v>
      </x:c>
      <x:c r="E26" s="12" t="n">
        <x:v>1</x:v>
      </x:c>
      <x:c r="F26" s="12" t="str">
        <x:v>未记录</x:v>
      </x:c>
      <x:c r="G26" s="12" t="n">
        <x:v>1</x:v>
      </x:c>
      <x:c r="H26" s="12" t="str">
        <x:v>{'ASMI': 50.0, 'LAFB': 100.0, 'LVH': 50.0, 'ISC_': 100.0, 'SR': 0.0}</x:v>
      </x:c>
      <x:c r="I26" s="12" t="str">
        <x:v>[('NSR', 100.0), ('LAD3', 100.0), ('LVH2', 100.0), ('QRSW-2ST', 100.0), ('LNGQT', 100.0), ('AB', 100.0)]</x:v>
      </x:c>
      <x:c r="J26" s="12" t="str">
        <x:v>ptbxl_database.csv；ecg_id=162；scp_codes</x:v>
      </x:c>
      <x:c r="K26" s="12" t="str">
        <x:v>12sl_statements.csv；ecg_id=162；statements_ext_snomed</x:v>
      </x:c>
      <x:c r="L26" s="12"/>
      <x:c r="M26" s="12" t="str">
        <x:v>negative</x:v>
      </x:c>
      <x:c r="N26" s="12"/>
      <x:c r="O26" s="12" t="str">
        <x:v>negative</x:v>
      </x:c>
      <x:c r="P26" s="12" t="str">
        <x:f>IF(OR(M26="unavailable",O26="unavailable"),"不可评价",IF(OR(M26="equivocal",O26="equivocal"),"疑似",IF(AND(M26="positive",O26="positive"),"a",IF(O26="positive","b",IF(M26="positive","c","d")))))</x:f>
        <x:v>d</x:v>
      </x:c>
      <x:c r="Q26" s="12"/>
      <x:c r="R26" s="12" t="str">
        <x:v>negative</x:v>
      </x:c>
      <x:c r="S26" s="12"/>
      <x:c r="T26" s="12" t="str">
        <x:v>negative</x:v>
      </x:c>
      <x:c r="U26" s="12" t="str">
        <x:f>IF(OR(R26="unavailable",T26="unavailable"),"不可评价",IF(OR(R26="equivocal",T26="equivocal"),"疑似",IF(AND(R26="positive",T26="positive"),"a",IF(T26="positive","b",IF(R26="positive","c","d")))))</x:f>
        <x:v>d</x:v>
      </x:c>
      <x:c r="V26" s="12"/>
      <x:c r="W26" s="12" t="str">
        <x:v>negative</x:v>
      </x:c>
      <x:c r="X26" s="12"/>
      <x:c r="Y26" s="12" t="str">
        <x:v>negative</x:v>
      </x:c>
      <x:c r="Z26" s="12" t="str">
        <x:f>IF(OR(W26="unavailable",Y26="unavailable"),"不可评价",IF(OR(W26="equivocal",Y26="equivocal"),"疑似",IF(AND(W26="positive",Y26="positive"),"a",IF(Y26="positive","b",IF(W26="positive","c","d")))))</x:f>
        <x:v>d</x:v>
      </x:c>
      <x:c r="AA26" s="12" t="str">
        <x:f>IF(OR(M26="unavailable",O26="unavailable"),"不可评价",IF(AND(OR(M26="positive",M26="equivocal"),OR(O26="positive",O26="equivocal")),"a",IF(OR(O26="positive",O26="equivocal"),"b",IF(OR(M26="positive",M26="equivocal"),"c","d"))))</x:f>
        <x:v>d</x:v>
      </x:c>
      <x:c r="AB26" s="12" t="str">
        <x:f>IF(OR(M26="unavailable",O26="unavailable"),"不可评价",IF(AND(M26="positive",O26="positive"),"a",IF(O26="positive","b",IF(M26="positive","c","d"))))</x:f>
        <x:v>d</x:v>
      </x:c>
      <x:c r="AC26" s="12" t="str">
        <x:f>IF(OR(R26="unavailable",T26="unavailable"),"不可评价",IF(AND(OR(R26="positive",R26="equivocal"),OR(T26="positive",T26="equivocal")),"a",IF(OR(T26="positive",T26="equivocal"),"b",IF(OR(R26="positive",R26="equivocal"),"c","d"))))</x:f>
        <x:v>d</x:v>
      </x:c>
      <x:c r="AD26" s="12" t="str">
        <x:f>IF(OR(R26="unavailable",T26="unavailable"),"不可评价",IF(AND(R26="positive",T26="positive"),"a",IF(T26="positive","b",IF(R26="positive","c","d"))))</x:f>
        <x:v>d</x:v>
      </x:c>
      <x:c r="AE26" s="12" t="str">
        <x:f>IF(OR(W26="unavailable",Y26="unavailable"),"不可评价",IF(AND(OR(W26="positive",W26="equivocal"),OR(Y26="positive",Y26="equivocal")),"a",IF(OR(Y26="positive",Y26="equivocal"),"b",IF(OR(W26="positive",W26="equivocal"),"c","d"))))</x:f>
        <x:v>d</x:v>
      </x:c>
      <x:c r="AF26" s="12" t="str">
        <x:f>IF(OR(W26="unavailable",Y26="unavailable"),"不可评价",IF(AND(W26="positive",Y26="positive"),"a",IF(Y26="positive","b",IF(W26="positive","c","d"))))</x:f>
        <x:v>d</x:v>
      </x:c>
    </x:row>
    <x:row r="27" ht="24" customHeight="1">
      <x:c r="A27" s="12" t="str">
        <x:v>167</x:v>
      </x:c>
      <x:c r="B27" s="12" t="str">
        <x:v>16774</x:v>
      </x:c>
      <x:c r="C27" s="21" t="n">
        <x:v>31480.235243055555</x:v>
      </x:c>
      <x:c r="D27" s="12" t="n">
        <x:v>54</x:v>
      </x:c>
      <x:c r="E27" s="12" t="n">
        <x:v>0</x:v>
      </x:c>
      <x:c r="F27" s="12" t="str">
        <x:v>未记录</x:v>
      </x:c>
      <x:c r="G27" s="12" t="n">
        <x:v>1</x:v>
      </x:c>
      <x:c r="H27" s="12" t="str">
        <x:v>{'ISCAL': 100.0, 'SR': 0.0}</x:v>
      </x:c>
      <x:c r="I27" s="12" t="str">
        <x:v>[('SBRAD', 100.0), ('FAV', 100.0), ('ABR', 100.0)]</x:v>
      </x:c>
      <x:c r="J27" s="12" t="str">
        <x:v>ptbxl_database.csv；ecg_id=167；scp_codes</x:v>
      </x:c>
      <x:c r="K27" s="12" t="str">
        <x:v>12sl_statements.csv；ecg_id=167；statements_ext_snomed</x:v>
      </x:c>
      <x:c r="L27" s="12"/>
      <x:c r="M27" s="12" t="str">
        <x:v>negative</x:v>
      </x:c>
      <x:c r="N27" s="12"/>
      <x:c r="O27" s="12" t="str">
        <x:v>negative</x:v>
      </x:c>
      <x:c r="P27" s="12" t="str">
        <x:f>IF(OR(M27="unavailable",O27="unavailable"),"不可评价",IF(OR(M27="equivocal",O27="equivocal"),"疑似",IF(AND(M27="positive",O27="positive"),"a",IF(O27="positive","b",IF(M27="positive","c","d")))))</x:f>
        <x:v>d</x:v>
      </x:c>
      <x:c r="Q27" s="12"/>
      <x:c r="R27" s="12" t="str">
        <x:v>negative</x:v>
      </x:c>
      <x:c r="S27" s="12"/>
      <x:c r="T27" s="12" t="str">
        <x:v>negative</x:v>
      </x:c>
      <x:c r="U27" s="12" t="str">
        <x:f>IF(OR(R27="unavailable",T27="unavailable"),"不可评价",IF(OR(R27="equivocal",T27="equivocal"),"疑似",IF(AND(R27="positive",T27="positive"),"a",IF(T27="positive","b",IF(R27="positive","c","d")))))</x:f>
        <x:v>d</x:v>
      </x:c>
      <x:c r="V27" s="12"/>
      <x:c r="W27" s="12" t="str">
        <x:v>negative</x:v>
      </x:c>
      <x:c r="X27" s="12"/>
      <x:c r="Y27" s="12" t="str">
        <x:v>negative</x:v>
      </x:c>
      <x:c r="Z27" s="12" t="str">
        <x:f>IF(OR(W27="unavailable",Y27="unavailable"),"不可评价",IF(OR(W27="equivocal",Y27="equivocal"),"疑似",IF(AND(W27="positive",Y27="positive"),"a",IF(Y27="positive","b",IF(W27="positive","c","d")))))</x:f>
        <x:v>d</x:v>
      </x:c>
      <x:c r="AA27" s="12" t="str">
        <x:f>IF(OR(M27="unavailable",O27="unavailable"),"不可评价",IF(AND(OR(M27="positive",M27="equivocal"),OR(O27="positive",O27="equivocal")),"a",IF(OR(O27="positive",O27="equivocal"),"b",IF(OR(M27="positive",M27="equivocal"),"c","d"))))</x:f>
        <x:v>d</x:v>
      </x:c>
      <x:c r="AB27" s="12" t="str">
        <x:f>IF(OR(M27="unavailable",O27="unavailable"),"不可评价",IF(AND(M27="positive",O27="positive"),"a",IF(O27="positive","b",IF(M27="positive","c","d"))))</x:f>
        <x:v>d</x:v>
      </x:c>
      <x:c r="AC27" s="12" t="str">
        <x:f>IF(OR(R27="unavailable",T27="unavailable"),"不可评价",IF(AND(OR(R27="positive",R27="equivocal"),OR(T27="positive",T27="equivocal")),"a",IF(OR(T27="positive",T27="equivocal"),"b",IF(OR(R27="positive",R27="equivocal"),"c","d"))))</x:f>
        <x:v>d</x:v>
      </x:c>
      <x:c r="AD27" s="12" t="str">
        <x:f>IF(OR(R27="unavailable",T27="unavailable"),"不可评价",IF(AND(R27="positive",T27="positive"),"a",IF(T27="positive","b",IF(R27="positive","c","d"))))</x:f>
        <x:v>d</x:v>
      </x:c>
      <x:c r="AE27" s="12" t="str">
        <x:f>IF(OR(W27="unavailable",Y27="unavailable"),"不可评价",IF(AND(OR(W27="positive",W27="equivocal"),OR(Y27="positive",Y27="equivocal")),"a",IF(OR(Y27="positive",Y27="equivocal"),"b",IF(OR(W27="positive",W27="equivocal"),"c","d"))))</x:f>
        <x:v>d</x:v>
      </x:c>
      <x:c r="AF27" s="12" t="str">
        <x:f>IF(OR(W27="unavailable",Y27="unavailable"),"不可评价",IF(AND(W27="positive",Y27="positive"),"a",IF(Y27="positive","b",IF(W27="positive","c","d"))))</x:f>
        <x:v>d</x:v>
      </x:c>
    </x:row>
    <x:row r="28" ht="39" customHeight="1">
      <x:c r="A28" s="12" t="str">
        <x:v>172</x:v>
      </x:c>
      <x:c r="B28" s="12" t="str">
        <x:v>20766</x:v>
      </x:c>
      <x:c r="C28" s="21" t="n">
        <x:v>31484.440972222223</x:v>
      </x:c>
      <x:c r="D28" s="12" t="n">
        <x:v>62</x:v>
      </x:c>
      <x:c r="E28" s="12" t="n">
        <x:v>0</x:v>
      </x:c>
      <x:c r="F28" s="12" t="str">
        <x:v>未记录</x:v>
      </x:c>
      <x:c r="G28" s="12" t="n">
        <x:v>1</x:v>
      </x:c>
      <x:c r="H28" s="12" t="str">
        <x:v>{'CRBBB': 100.0, 'LAFB': 100.0, 'SR': 0.0}</x:v>
      </x:c>
      <x:c r="I28" s="12" t="str">
        <x:v>[('NSR', 100.0), ('RBBB', 100.0), ('AFB', 100.0), ('BIFB', 100.0), ('LT', 100.0), ('AB', 100.0)]</x:v>
      </x:c>
      <x:c r="J28" s="12" t="str">
        <x:v>ptbxl_database.csv；ecg_id=172；scp_codes</x:v>
      </x:c>
      <x:c r="K28" s="12" t="str">
        <x:v>12sl_statements.csv；ecg_id=172；statements_ext_snomed</x:v>
      </x:c>
      <x:c r="L28" s="12"/>
      <x:c r="M28" s="12" t="str">
        <x:v>negative</x:v>
      </x:c>
      <x:c r="N28" s="12"/>
      <x:c r="O28" s="12" t="str">
        <x:v>negative</x:v>
      </x:c>
      <x:c r="P28" s="12" t="str">
        <x:f>IF(OR(M28="unavailable",O28="unavailable"),"不可评价",IF(OR(M28="equivocal",O28="equivocal"),"疑似",IF(AND(M28="positive",O28="positive"),"a",IF(O28="positive","b",IF(M28="positive","c","d")))))</x:f>
        <x:v>d</x:v>
      </x:c>
      <x:c r="Q28" s="12"/>
      <x:c r="R28" s="12" t="str">
        <x:v>negative</x:v>
      </x:c>
      <x:c r="S28" s="12"/>
      <x:c r="T28" s="12" t="str">
        <x:v>negative</x:v>
      </x:c>
      <x:c r="U28" s="12" t="str">
        <x:f>IF(OR(R28="unavailable",T28="unavailable"),"不可评价",IF(OR(R28="equivocal",T28="equivocal"),"疑似",IF(AND(R28="positive",T28="positive"),"a",IF(T28="positive","b",IF(R28="positive","c","d")))))</x:f>
        <x:v>d</x:v>
      </x:c>
      <x:c r="V28" s="12" t="n">
        <x:v>100</x:v>
      </x:c>
      <x:c r="W28" s="12" t="str">
        <x:v>positive</x:v>
      </x:c>
      <x:c r="X28" s="12" t="n">
        <x:v>100</x:v>
      </x:c>
      <x:c r="Y28" s="12" t="str">
        <x:v>positive</x:v>
      </x:c>
      <x:c r="Z28" s="12" t="str">
        <x:f>IF(OR(W28="unavailable",Y28="unavailable"),"不可评价",IF(OR(W28="equivocal",Y28="equivocal"),"疑似",IF(AND(W28="positive",Y28="positive"),"a",IF(Y28="positive","b",IF(W28="positive","c","d")))))</x:f>
        <x:v>a</x:v>
      </x:c>
      <x:c r="AA28" s="12" t="str">
        <x:f>IF(OR(M28="unavailable",O28="unavailable"),"不可评价",IF(AND(OR(M28="positive",M28="equivocal"),OR(O28="positive",O28="equivocal")),"a",IF(OR(O28="positive",O28="equivocal"),"b",IF(OR(M28="positive",M28="equivocal"),"c","d"))))</x:f>
        <x:v>d</x:v>
      </x:c>
      <x:c r="AB28" s="12" t="str">
        <x:f>IF(OR(M28="unavailable",O28="unavailable"),"不可评价",IF(AND(M28="positive",O28="positive"),"a",IF(O28="positive","b",IF(M28="positive","c","d"))))</x:f>
        <x:v>d</x:v>
      </x:c>
      <x:c r="AC28" s="12" t="str">
        <x:f>IF(OR(R28="unavailable",T28="unavailable"),"不可评价",IF(AND(OR(R28="positive",R28="equivocal"),OR(T28="positive",T28="equivocal")),"a",IF(OR(T28="positive",T28="equivocal"),"b",IF(OR(R28="positive",R28="equivocal"),"c","d"))))</x:f>
        <x:v>d</x:v>
      </x:c>
      <x:c r="AD28" s="12" t="str">
        <x:f>IF(OR(R28="unavailable",T28="unavailable"),"不可评价",IF(AND(R28="positive",T28="positive"),"a",IF(T28="positive","b",IF(R28="positive","c","d"))))</x:f>
        <x:v>d</x:v>
      </x:c>
      <x:c r="AE28" s="12" t="str">
        <x:f>IF(OR(W28="unavailable",Y28="unavailable"),"不可评价",IF(AND(OR(W28="positive",W28="equivocal"),OR(Y28="positive",Y28="equivocal")),"a",IF(OR(Y28="positive",Y28="equivocal"),"b",IF(OR(W28="positive",W28="equivocal"),"c","d"))))</x:f>
        <x:v>a</x:v>
      </x:c>
      <x:c r="AF28" s="12" t="str">
        <x:f>IF(OR(W28="unavailable",Y28="unavailable"),"不可评价",IF(AND(W28="positive",Y28="positive"),"a",IF(Y28="positive","b",IF(W28="positive","c","d"))))</x:f>
        <x:v>a</x:v>
      </x:c>
    </x:row>
    <x:row r="29" ht="24" customHeight="1">
      <x:c r="A29" s="12" t="str">
        <x:v>175</x:v>
      </x:c>
      <x:c r="B29" s="12" t="str">
        <x:v>21114</x:v>
      </x:c>
      <x:c r="C29" s="21" t="n">
        <x:v>31485.387754629628</x:v>
      </x:c>
      <x:c r="D29" s="12" t="n">
        <x:v>64</x:v>
      </x:c>
      <x:c r="E29" s="12" t="n">
        <x:v>0</x:v>
      </x:c>
      <x:c r="F29" s="12" t="str">
        <x:v>存在</x:v>
      </x:c>
      <x:c r="G29" s="12" t="n">
        <x:v>1</x:v>
      </x:c>
      <x:c r="H29" s="12" t="str">
        <x:v>{'IMI': 15.0, 'ABQRS': 0.0, 'SR': 0.0}</x:v>
      </x:c>
      <x:c r="I29" s="12" t="str">
        <x:v>[('SBRAD', 100.0), ('LAE', 50.0), ('IMI;AU', 15.0), ('AB', 100.0)]</x:v>
      </x:c>
      <x:c r="J29" s="12" t="str">
        <x:v>ptbxl_database.csv；ecg_id=175；scp_codes</x:v>
      </x:c>
      <x:c r="K29" s="12" t="str">
        <x:v>12sl_statements.csv；ecg_id=175；statements_ext_snomed</x:v>
      </x:c>
      <x:c r="L29" s="12"/>
      <x:c r="M29" s="12" t="str">
        <x:v>negative</x:v>
      </x:c>
      <x:c r="N29" s="12"/>
      <x:c r="O29" s="12" t="str">
        <x:v>negative</x:v>
      </x:c>
      <x:c r="P29" s="12" t="str">
        <x:f>IF(OR(M29="unavailable",O29="unavailable"),"不可评价",IF(OR(M29="equivocal",O29="equivocal"),"疑似",IF(AND(M29="positive",O29="positive"),"a",IF(O29="positive","b",IF(M29="positive","c","d")))))</x:f>
        <x:v>d</x:v>
      </x:c>
      <x:c r="Q29" s="12"/>
      <x:c r="R29" s="12" t="str">
        <x:v>negative</x:v>
      </x:c>
      <x:c r="S29" s="12"/>
      <x:c r="T29" s="12" t="str">
        <x:v>negative</x:v>
      </x:c>
      <x:c r="U29" s="12" t="str">
        <x:f>IF(OR(R29="unavailable",T29="unavailable"),"不可评价",IF(OR(R29="equivocal",T29="equivocal"),"疑似",IF(AND(R29="positive",T29="positive"),"a",IF(T29="positive","b",IF(R29="positive","c","d")))))</x:f>
        <x:v>d</x:v>
      </x:c>
      <x:c r="V29" s="12"/>
      <x:c r="W29" s="12" t="str">
        <x:v>negative</x:v>
      </x:c>
      <x:c r="X29" s="12"/>
      <x:c r="Y29" s="12" t="str">
        <x:v>negative</x:v>
      </x:c>
      <x:c r="Z29" s="12" t="str">
        <x:f>IF(OR(W29="unavailable",Y29="unavailable"),"不可评价",IF(OR(W29="equivocal",Y29="equivocal"),"疑似",IF(AND(W29="positive",Y29="positive"),"a",IF(Y29="positive","b",IF(W29="positive","c","d")))))</x:f>
        <x:v>d</x:v>
      </x:c>
      <x:c r="AA29" s="12" t="str">
        <x:f>IF(OR(M29="unavailable",O29="unavailable"),"不可评价",IF(AND(OR(M29="positive",M29="equivocal"),OR(O29="positive",O29="equivocal")),"a",IF(OR(O29="positive",O29="equivocal"),"b",IF(OR(M29="positive",M29="equivocal"),"c","d"))))</x:f>
        <x:v>d</x:v>
      </x:c>
      <x:c r="AB29" s="12" t="str">
        <x:f>IF(OR(M29="unavailable",O29="unavailable"),"不可评价",IF(AND(M29="positive",O29="positive"),"a",IF(O29="positive","b",IF(M29="positive","c","d"))))</x:f>
        <x:v>d</x:v>
      </x:c>
      <x:c r="AC29" s="12" t="str">
        <x:f>IF(OR(R29="unavailable",T29="unavailable"),"不可评价",IF(AND(OR(R29="positive",R29="equivocal"),OR(T29="positive",T29="equivocal")),"a",IF(OR(T29="positive",T29="equivocal"),"b",IF(OR(R29="positive",R29="equivocal"),"c","d"))))</x:f>
        <x:v>d</x:v>
      </x:c>
      <x:c r="AD29" s="12" t="str">
        <x:f>IF(OR(R29="unavailable",T29="unavailable"),"不可评价",IF(AND(R29="positive",T29="positive"),"a",IF(T29="positive","b",IF(R29="positive","c","d"))))</x:f>
        <x:v>d</x:v>
      </x:c>
      <x:c r="AE29" s="12" t="str">
        <x:f>IF(OR(W29="unavailable",Y29="unavailable"),"不可评价",IF(AND(OR(W29="positive",W29="equivocal"),OR(Y29="positive",Y29="equivocal")),"a",IF(OR(Y29="positive",Y29="equivocal"),"b",IF(OR(W29="positive",W29="equivocal"),"c","d"))))</x:f>
        <x:v>d</x:v>
      </x:c>
      <x:c r="AF29" s="12" t="str">
        <x:f>IF(OR(W29="unavailable",Y29="unavailable"),"不可评价",IF(AND(W29="positive",Y29="positive"),"a",IF(Y29="positive","b",IF(W29="positive","c","d"))))</x:f>
        <x:v>d</x:v>
      </x:c>
    </x:row>
    <x:row r="30" ht="24" customHeight="1">
      <x:c r="A30" s="12" t="str">
        <x:v>180</x:v>
      </x:c>
      <x:c r="B30" s="12" t="str">
        <x:v>15592</x:v>
      </x:c>
      <x:c r="C30" s="21" t="n">
        <x:v>31487.31701388889</x:v>
      </x:c>
      <x:c r="D30" s="12" t="n">
        <x:v>81</x:v>
      </x:c>
      <x:c r="E30" s="12" t="n">
        <x:v>1</x:v>
      </x:c>
      <x:c r="F30" s="12" t="str">
        <x:v>存在</x:v>
      </x:c>
      <x:c r="G30" s="12" t="n">
        <x:v>1</x:v>
      </x:c>
      <x:c r="H30" s="12" t="str">
        <x:v>{'CLBBB': 100.0, 'SR': 0.0}</x:v>
      </x:c>
      <x:c r="I30" s="12" t="str">
        <x:v>[('NSR', 100.0), ('LBBB', 100.0), ('AB', 100.0)]</x:v>
      </x:c>
      <x:c r="J30" s="12" t="str">
        <x:v>ptbxl_database.csv；ecg_id=180；scp_codes</x:v>
      </x:c>
      <x:c r="K30" s="12" t="str">
        <x:v>12sl_statements.csv；ecg_id=180；statements_ext_snomed</x:v>
      </x:c>
      <x:c r="L30" s="12"/>
      <x:c r="M30" s="12" t="str">
        <x:v>negative</x:v>
      </x:c>
      <x:c r="N30" s="12"/>
      <x:c r="O30" s="12" t="str">
        <x:v>negative</x:v>
      </x:c>
      <x:c r="P30" s="12" t="str">
        <x:f>IF(OR(M30="unavailable",O30="unavailable"),"不可评价",IF(OR(M30="equivocal",O30="equivocal"),"疑似",IF(AND(M30="positive",O30="positive"),"a",IF(O30="positive","b",IF(M30="positive","c","d")))))</x:f>
        <x:v>d</x:v>
      </x:c>
      <x:c r="Q30" s="12" t="n">
        <x:v>100</x:v>
      </x:c>
      <x:c r="R30" s="12" t="str">
        <x:v>positive</x:v>
      </x:c>
      <x:c r="S30" s="12" t="n">
        <x:v>100</x:v>
      </x:c>
      <x:c r="T30" s="12" t="str">
        <x:v>positive</x:v>
      </x:c>
      <x:c r="U30" s="12" t="str">
        <x:f>IF(OR(R30="unavailable",T30="unavailable"),"不可评价",IF(OR(R30="equivocal",T30="equivocal"),"疑似",IF(AND(R30="positive",T30="positive"),"a",IF(T30="positive","b",IF(R30="positive","c","d")))))</x:f>
        <x:v>a</x:v>
      </x:c>
      <x:c r="V30" s="12"/>
      <x:c r="W30" s="12" t="str">
        <x:v>negative</x:v>
      </x:c>
      <x:c r="X30" s="12"/>
      <x:c r="Y30" s="12" t="str">
        <x:v>negative</x:v>
      </x:c>
      <x:c r="Z30" s="12" t="str">
        <x:f>IF(OR(W30="unavailable",Y30="unavailable"),"不可评价",IF(OR(W30="equivocal",Y30="equivocal"),"疑似",IF(AND(W30="positive",Y30="positive"),"a",IF(Y30="positive","b",IF(W30="positive","c","d")))))</x:f>
        <x:v>d</x:v>
      </x:c>
      <x:c r="AA30" s="12" t="str">
        <x:f>IF(OR(M30="unavailable",O30="unavailable"),"不可评价",IF(AND(OR(M30="positive",M30="equivocal"),OR(O30="positive",O30="equivocal")),"a",IF(OR(O30="positive",O30="equivocal"),"b",IF(OR(M30="positive",M30="equivocal"),"c","d"))))</x:f>
        <x:v>d</x:v>
      </x:c>
      <x:c r="AB30" s="12" t="str">
        <x:f>IF(OR(M30="unavailable",O30="unavailable"),"不可评价",IF(AND(M30="positive",O30="positive"),"a",IF(O30="positive","b",IF(M30="positive","c","d"))))</x:f>
        <x:v>d</x:v>
      </x:c>
      <x:c r="AC30" s="12" t="str">
        <x:f>IF(OR(R30="unavailable",T30="unavailable"),"不可评价",IF(AND(OR(R30="positive",R30="equivocal"),OR(T30="positive",T30="equivocal")),"a",IF(OR(T30="positive",T30="equivocal"),"b",IF(OR(R30="positive",R30="equivocal"),"c","d"))))</x:f>
        <x:v>a</x:v>
      </x:c>
      <x:c r="AD30" s="12" t="str">
        <x:f>IF(OR(R30="unavailable",T30="unavailable"),"不可评价",IF(AND(R30="positive",T30="positive"),"a",IF(T30="positive","b",IF(R30="positive","c","d"))))</x:f>
        <x:v>a</x:v>
      </x:c>
      <x:c r="AE30" s="12" t="str">
        <x:f>IF(OR(W30="unavailable",Y30="unavailable"),"不可评价",IF(AND(OR(W30="positive",W30="equivocal"),OR(Y30="positive",Y30="equivocal")),"a",IF(OR(Y30="positive",Y30="equivocal"),"b",IF(OR(W30="positive",W30="equivocal"),"c","d"))))</x:f>
        <x:v>d</x:v>
      </x:c>
      <x:c r="AF30" s="12" t="str">
        <x:f>IF(OR(W30="unavailable",Y30="unavailable"),"不可评价",IF(AND(W30="positive",Y30="positive"),"a",IF(Y30="positive","b",IF(W30="positive","c","d"))))</x:f>
        <x:v>d</x:v>
      </x:c>
    </x:row>
    <x:row r="31" ht="24" customHeight="1">
      <x:c r="A31" s="12" t="str">
        <x:v>201</x:v>
      </x:c>
      <x:c r="B31" s="12" t="str">
        <x:v>19208</x:v>
      </x:c>
      <x:c r="C31" s="21" t="n">
        <x:v>31528.47417824074</x:v>
      </x:c>
      <x:c r="D31" s="12" t="n">
        <x:v>32</x:v>
      </x:c>
      <x:c r="E31" s="12" t="n">
        <x:v>1</x:v>
      </x:c>
      <x:c r="F31" s="12" t="str">
        <x:v>未记录</x:v>
      </x:c>
      <x:c r="G31" s="12" t="n">
        <x:v>1</x:v>
      </x:c>
      <x:c r="H31" s="12" t="str">
        <x:v>{'NORM': 100.0, 'SR': 0.0}</x:v>
      </x:c>
      <x:c r="I31" s="12" t="str">
        <x:v>[('NSR', 100.0), ('NML', 100.0)]</x:v>
      </x:c>
      <x:c r="J31" s="12" t="str">
        <x:v>ptbxl_database.csv；ecg_id=201；scp_codes</x:v>
      </x:c>
      <x:c r="K31" s="12" t="str">
        <x:v>12sl_statements.csv；ecg_id=201；statements_ext_snomed</x:v>
      </x:c>
      <x:c r="L31" s="12"/>
      <x:c r="M31" s="12" t="str">
        <x:v>negative</x:v>
      </x:c>
      <x:c r="N31" s="12"/>
      <x:c r="O31" s="12" t="str">
        <x:v>negative</x:v>
      </x:c>
      <x:c r="P31" s="12" t="str">
        <x:f>IF(OR(M31="unavailable",O31="unavailable"),"不可评价",IF(OR(M31="equivocal",O31="equivocal"),"疑似",IF(AND(M31="positive",O31="positive"),"a",IF(O31="positive","b",IF(M31="positive","c","d")))))</x:f>
        <x:v>d</x:v>
      </x:c>
      <x:c r="Q31" s="12"/>
      <x:c r="R31" s="12" t="str">
        <x:v>negative</x:v>
      </x:c>
      <x:c r="S31" s="12"/>
      <x:c r="T31" s="12" t="str">
        <x:v>negative</x:v>
      </x:c>
      <x:c r="U31" s="12" t="str">
        <x:f>IF(OR(R31="unavailable",T31="unavailable"),"不可评价",IF(OR(R31="equivocal",T31="equivocal"),"疑似",IF(AND(R31="positive",T31="positive"),"a",IF(T31="positive","b",IF(R31="positive","c","d")))))</x:f>
        <x:v>d</x:v>
      </x:c>
      <x:c r="V31" s="12"/>
      <x:c r="W31" s="12" t="str">
        <x:v>negative</x:v>
      </x:c>
      <x:c r="X31" s="12"/>
      <x:c r="Y31" s="12" t="str">
        <x:v>negative</x:v>
      </x:c>
      <x:c r="Z31" s="12" t="str">
        <x:f>IF(OR(W31="unavailable",Y31="unavailable"),"不可评价",IF(OR(W31="equivocal",Y31="equivocal"),"疑似",IF(AND(W31="positive",Y31="positive"),"a",IF(Y31="positive","b",IF(W31="positive","c","d")))))</x:f>
        <x:v>d</x:v>
      </x:c>
      <x:c r="AA31" s="12" t="str">
        <x:f>IF(OR(M31="unavailable",O31="unavailable"),"不可评价",IF(AND(OR(M31="positive",M31="equivocal"),OR(O31="positive",O31="equivocal")),"a",IF(OR(O31="positive",O31="equivocal"),"b",IF(OR(M31="positive",M31="equivocal"),"c","d"))))</x:f>
        <x:v>d</x:v>
      </x:c>
      <x:c r="AB31" s="12" t="str">
        <x:f>IF(OR(M31="unavailable",O31="unavailable"),"不可评价",IF(AND(M31="positive",O31="positive"),"a",IF(O31="positive","b",IF(M31="positive","c","d"))))</x:f>
        <x:v>d</x:v>
      </x:c>
      <x:c r="AC31" s="12" t="str">
        <x:f>IF(OR(R31="unavailable",T31="unavailable"),"不可评价",IF(AND(OR(R31="positive",R31="equivocal"),OR(T31="positive",T31="equivocal")),"a",IF(OR(T31="positive",T31="equivocal"),"b",IF(OR(R31="positive",R31="equivocal"),"c","d"))))</x:f>
        <x:v>d</x:v>
      </x:c>
      <x:c r="AD31" s="12" t="str">
        <x:f>IF(OR(R31="unavailable",T31="unavailable"),"不可评价",IF(AND(R31="positive",T31="positive"),"a",IF(T31="positive","b",IF(R31="positive","c","d"))))</x:f>
        <x:v>d</x:v>
      </x:c>
      <x:c r="AE31" s="12" t="str">
        <x:f>IF(OR(W31="unavailable",Y31="unavailable"),"不可评价",IF(AND(OR(W31="positive",W31="equivocal"),OR(Y31="positive",Y31="equivocal")),"a",IF(OR(Y31="positive",Y31="equivocal"),"b",IF(OR(W31="positive",W31="equivocal"),"c","d"))))</x:f>
        <x:v>d</x:v>
      </x:c>
      <x:c r="AF31" s="12" t="str">
        <x:f>IF(OR(W31="unavailable",Y31="unavailable"),"不可评价",IF(AND(W31="positive",Y31="positive"),"a",IF(Y31="positive","b",IF(W31="positive","c","d"))))</x:f>
        <x:v>d</x:v>
      </x:c>
    </x:row>
    <x:row r="32" ht="24" customHeight="1">
      <x:c r="A32" s="12" t="str">
        <x:v>203</x:v>
      </x:c>
      <x:c r="B32" s="12" t="str">
        <x:v>11070</x:v>
      </x:c>
      <x:c r="C32" s="21" t="n">
        <x:v>31535.277303240742</x:v>
      </x:c>
      <x:c r="D32" s="12" t="n">
        <x:v>46</x:v>
      </x:c>
      <x:c r="E32" s="12" t="n">
        <x:v>0</x:v>
      </x:c>
      <x:c r="F32" s="12" t="str">
        <x:v>未记录</x:v>
      </x:c>
      <x:c r="G32" s="12" t="n">
        <x:v>1</x:v>
      </x:c>
      <x:c r="H32" s="12" t="str">
        <x:v>{'NORM': 100.0, 'SR': 0.0}</x:v>
      </x:c>
      <x:c r="I32" s="12" t="str">
        <x:v>[('SBRAD', 100.0), ('ABR', 100.0)]</x:v>
      </x:c>
      <x:c r="J32" s="12" t="str">
        <x:v>ptbxl_database.csv；ecg_id=203；scp_codes</x:v>
      </x:c>
      <x:c r="K32" s="12" t="str">
        <x:v>12sl_statements.csv；ecg_id=203；statements_ext_snomed</x:v>
      </x:c>
      <x:c r="L32" s="12"/>
      <x:c r="M32" s="12" t="str">
        <x:v>negative</x:v>
      </x:c>
      <x:c r="N32" s="12"/>
      <x:c r="O32" s="12" t="str">
        <x:v>negative</x:v>
      </x:c>
      <x:c r="P32" s="12" t="str">
        <x:f>IF(OR(M32="unavailable",O32="unavailable"),"不可评价",IF(OR(M32="equivocal",O32="equivocal"),"疑似",IF(AND(M32="positive",O32="positive"),"a",IF(O32="positive","b",IF(M32="positive","c","d")))))</x:f>
        <x:v>d</x:v>
      </x:c>
      <x:c r="Q32" s="12"/>
      <x:c r="R32" s="12" t="str">
        <x:v>negative</x:v>
      </x:c>
      <x:c r="S32" s="12"/>
      <x:c r="T32" s="12" t="str">
        <x:v>negative</x:v>
      </x:c>
      <x:c r="U32" s="12" t="str">
        <x:f>IF(OR(R32="unavailable",T32="unavailable"),"不可评价",IF(OR(R32="equivocal",T32="equivocal"),"疑似",IF(AND(R32="positive",T32="positive"),"a",IF(T32="positive","b",IF(R32="positive","c","d")))))</x:f>
        <x:v>d</x:v>
      </x:c>
      <x:c r="V32" s="12"/>
      <x:c r="W32" s="12" t="str">
        <x:v>negative</x:v>
      </x:c>
      <x:c r="X32" s="12"/>
      <x:c r="Y32" s="12" t="str">
        <x:v>negative</x:v>
      </x:c>
      <x:c r="Z32" s="12" t="str">
        <x:f>IF(OR(W32="unavailable",Y32="unavailable"),"不可评价",IF(OR(W32="equivocal",Y32="equivocal"),"疑似",IF(AND(W32="positive",Y32="positive"),"a",IF(Y32="positive","b",IF(W32="positive","c","d")))))</x:f>
        <x:v>d</x:v>
      </x:c>
      <x:c r="AA32" s="12" t="str">
        <x:f>IF(OR(M32="unavailable",O32="unavailable"),"不可评价",IF(AND(OR(M32="positive",M32="equivocal"),OR(O32="positive",O32="equivocal")),"a",IF(OR(O32="positive",O32="equivocal"),"b",IF(OR(M32="positive",M32="equivocal"),"c","d"))))</x:f>
        <x:v>d</x:v>
      </x:c>
      <x:c r="AB32" s="12" t="str">
        <x:f>IF(OR(M32="unavailable",O32="unavailable"),"不可评价",IF(AND(M32="positive",O32="positive"),"a",IF(O32="positive","b",IF(M32="positive","c","d"))))</x:f>
        <x:v>d</x:v>
      </x:c>
      <x:c r="AC32" s="12" t="str">
        <x:f>IF(OR(R32="unavailable",T32="unavailable"),"不可评价",IF(AND(OR(R32="positive",R32="equivocal"),OR(T32="positive",T32="equivocal")),"a",IF(OR(T32="positive",T32="equivocal"),"b",IF(OR(R32="positive",R32="equivocal"),"c","d"))))</x:f>
        <x:v>d</x:v>
      </x:c>
      <x:c r="AD32" s="12" t="str">
        <x:f>IF(OR(R32="unavailable",T32="unavailable"),"不可评价",IF(AND(R32="positive",T32="positive"),"a",IF(T32="positive","b",IF(R32="positive","c","d"))))</x:f>
        <x:v>d</x:v>
      </x:c>
      <x:c r="AE32" s="12" t="str">
        <x:f>IF(OR(W32="unavailable",Y32="unavailable"),"不可评价",IF(AND(OR(W32="positive",W32="equivocal"),OR(Y32="positive",Y32="equivocal")),"a",IF(OR(Y32="positive",Y32="equivocal"),"b",IF(OR(W32="positive",W32="equivocal"),"c","d"))))</x:f>
        <x:v>d</x:v>
      </x:c>
      <x:c r="AF32" s="12" t="str">
        <x:f>IF(OR(W32="unavailable",Y32="unavailable"),"不可评价",IF(AND(W32="positive",Y32="positive"),"a",IF(Y32="positive","b",IF(W32="positive","c","d"))))</x:f>
        <x:v>d</x:v>
      </x:c>
    </x:row>
    <x:row r="33" ht="24" customHeight="1">
      <x:c r="A33" s="12" t="str">
        <x:v>208</x:v>
      </x:c>
      <x:c r="B33" s="12" t="str">
        <x:v>8309</x:v>
      </x:c>
      <x:c r="C33" s="21" t="n">
        <x:v>31541.46384259259</x:v>
      </x:c>
      <x:c r="D33" s="12" t="n">
        <x:v>25</x:v>
      </x:c>
      <x:c r="E33" s="12" t="n">
        <x:v>1</x:v>
      </x:c>
      <x:c r="F33" s="12" t="str">
        <x:v>未记录</x:v>
      </x:c>
      <x:c r="G33" s="12" t="n">
        <x:v>1</x:v>
      </x:c>
      <x:c r="H33" s="12" t="str">
        <x:v>{'NORM': 100.0, 'SR': 0.0}</x:v>
      </x:c>
      <x:c r="I33" s="12" t="str">
        <x:v>[('NSR', 100.0), ('NML', 100.0)]</x:v>
      </x:c>
      <x:c r="J33" s="12" t="str">
        <x:v>ptbxl_database.csv；ecg_id=208；scp_codes</x:v>
      </x:c>
      <x:c r="K33" s="12" t="str">
        <x:v>12sl_statements.csv；ecg_id=208；statements_ext_snomed</x:v>
      </x:c>
      <x:c r="L33" s="12"/>
      <x:c r="M33" s="12" t="str">
        <x:v>negative</x:v>
      </x:c>
      <x:c r="N33" s="12"/>
      <x:c r="O33" s="12" t="str">
        <x:v>negative</x:v>
      </x:c>
      <x:c r="P33" s="12" t="str">
        <x:f>IF(OR(M33="unavailable",O33="unavailable"),"不可评价",IF(OR(M33="equivocal",O33="equivocal"),"疑似",IF(AND(M33="positive",O33="positive"),"a",IF(O33="positive","b",IF(M33="positive","c","d")))))</x:f>
        <x:v>d</x:v>
      </x:c>
      <x:c r="Q33" s="12"/>
      <x:c r="R33" s="12" t="str">
        <x:v>negative</x:v>
      </x:c>
      <x:c r="S33" s="12"/>
      <x:c r="T33" s="12" t="str">
        <x:v>negative</x:v>
      </x:c>
      <x:c r="U33" s="12" t="str">
        <x:f>IF(OR(R33="unavailable",T33="unavailable"),"不可评价",IF(OR(R33="equivocal",T33="equivocal"),"疑似",IF(AND(R33="positive",T33="positive"),"a",IF(T33="positive","b",IF(R33="positive","c","d")))))</x:f>
        <x:v>d</x:v>
      </x:c>
      <x:c r="V33" s="12"/>
      <x:c r="W33" s="12" t="str">
        <x:v>negative</x:v>
      </x:c>
      <x:c r="X33" s="12"/>
      <x:c r="Y33" s="12" t="str">
        <x:v>negative</x:v>
      </x:c>
      <x:c r="Z33" s="12" t="str">
        <x:f>IF(OR(W33="unavailable",Y33="unavailable"),"不可评价",IF(OR(W33="equivocal",Y33="equivocal"),"疑似",IF(AND(W33="positive",Y33="positive"),"a",IF(Y33="positive","b",IF(W33="positive","c","d")))))</x:f>
        <x:v>d</x:v>
      </x:c>
      <x:c r="AA33" s="12" t="str">
        <x:f>IF(OR(M33="unavailable",O33="unavailable"),"不可评价",IF(AND(OR(M33="positive",M33="equivocal"),OR(O33="positive",O33="equivocal")),"a",IF(OR(O33="positive",O33="equivocal"),"b",IF(OR(M33="positive",M33="equivocal"),"c","d"))))</x:f>
        <x:v>d</x:v>
      </x:c>
      <x:c r="AB33" s="12" t="str">
        <x:f>IF(OR(M33="unavailable",O33="unavailable"),"不可评价",IF(AND(M33="positive",O33="positive"),"a",IF(O33="positive","b",IF(M33="positive","c","d"))))</x:f>
        <x:v>d</x:v>
      </x:c>
      <x:c r="AC33" s="12" t="str">
        <x:f>IF(OR(R33="unavailable",T33="unavailable"),"不可评价",IF(AND(OR(R33="positive",R33="equivocal"),OR(T33="positive",T33="equivocal")),"a",IF(OR(T33="positive",T33="equivocal"),"b",IF(OR(R33="positive",R33="equivocal"),"c","d"))))</x:f>
        <x:v>d</x:v>
      </x:c>
      <x:c r="AD33" s="12" t="str">
        <x:f>IF(OR(R33="unavailable",T33="unavailable"),"不可评价",IF(AND(R33="positive",T33="positive"),"a",IF(T33="positive","b",IF(R33="positive","c","d"))))</x:f>
        <x:v>d</x:v>
      </x:c>
      <x:c r="AE33" s="12" t="str">
        <x:f>IF(OR(W33="unavailable",Y33="unavailable"),"不可评价",IF(AND(OR(W33="positive",W33="equivocal"),OR(Y33="positive",Y33="equivocal")),"a",IF(OR(Y33="positive",Y33="equivocal"),"b",IF(OR(W33="positive",W33="equivocal"),"c","d"))))</x:f>
        <x:v>d</x:v>
      </x:c>
      <x:c r="AF33" s="12" t="str">
        <x:f>IF(OR(W33="unavailable",Y33="unavailable"),"不可评价",IF(AND(W33="positive",Y33="positive"),"a",IF(Y33="positive","b",IF(W33="positive","c","d"))))</x:f>
        <x:v>d</x:v>
      </x:c>
    </x:row>
    <x:row r="34" ht="24" customHeight="1">
      <x:c r="A34" s="12" t="str">
        <x:v>210</x:v>
      </x:c>
      <x:c r="B34" s="12" t="str">
        <x:v>16062</x:v>
      </x:c>
      <x:c r="C34" s="21" t="n">
        <x:v>31548.282361111113</x:v>
      </x:c>
      <x:c r="D34" s="12" t="n">
        <x:v>58</x:v>
      </x:c>
      <x:c r="E34" s="12" t="n">
        <x:v>0</x:v>
      </x:c>
      <x:c r="F34" s="12" t="str">
        <x:v>存在</x:v>
      </x:c>
      <x:c r="G34" s="12" t="n">
        <x:v>1</x:v>
      </x:c>
      <x:c r="H34" s="12" t="str">
        <x:v>{'IMI': 80.0, 'SR': 0.0}</x:v>
      </x:c>
      <x:c r="I34" s="12" t="str">
        <x:v>[('NSR', 100.0), ('NML', 100.0)]</x:v>
      </x:c>
      <x:c r="J34" s="12" t="str">
        <x:v>ptbxl_database.csv；ecg_id=210；scp_codes</x:v>
      </x:c>
      <x:c r="K34" s="12" t="str">
        <x:v>12sl_statements.csv；ecg_id=210；statements_ext_snomed</x:v>
      </x:c>
      <x:c r="L34" s="12"/>
      <x:c r="M34" s="12" t="str">
        <x:v>negative</x:v>
      </x:c>
      <x:c r="N34" s="12"/>
      <x:c r="O34" s="12" t="str">
        <x:v>negative</x:v>
      </x:c>
      <x:c r="P34" s="12" t="str">
        <x:f>IF(OR(M34="unavailable",O34="unavailable"),"不可评价",IF(OR(M34="equivocal",O34="equivocal"),"疑似",IF(AND(M34="positive",O34="positive"),"a",IF(O34="positive","b",IF(M34="positive","c","d")))))</x:f>
        <x:v>d</x:v>
      </x:c>
      <x:c r="Q34" s="12"/>
      <x:c r="R34" s="12" t="str">
        <x:v>negative</x:v>
      </x:c>
      <x:c r="S34" s="12"/>
      <x:c r="T34" s="12" t="str">
        <x:v>negative</x:v>
      </x:c>
      <x:c r="U34" s="12" t="str">
        <x:f>IF(OR(R34="unavailable",T34="unavailable"),"不可评价",IF(OR(R34="equivocal",T34="equivocal"),"疑似",IF(AND(R34="positive",T34="positive"),"a",IF(T34="positive","b",IF(R34="positive","c","d")))))</x:f>
        <x:v>d</x:v>
      </x:c>
      <x:c r="V34" s="12"/>
      <x:c r="W34" s="12" t="str">
        <x:v>negative</x:v>
      </x:c>
      <x:c r="X34" s="12"/>
      <x:c r="Y34" s="12" t="str">
        <x:v>negative</x:v>
      </x:c>
      <x:c r="Z34" s="12" t="str">
        <x:f>IF(OR(W34="unavailable",Y34="unavailable"),"不可评价",IF(OR(W34="equivocal",Y34="equivocal"),"疑似",IF(AND(W34="positive",Y34="positive"),"a",IF(Y34="positive","b",IF(W34="positive","c","d")))))</x:f>
        <x:v>d</x:v>
      </x:c>
      <x:c r="AA34" s="12" t="str">
        <x:f>IF(OR(M34="unavailable",O34="unavailable"),"不可评价",IF(AND(OR(M34="positive",M34="equivocal"),OR(O34="positive",O34="equivocal")),"a",IF(OR(O34="positive",O34="equivocal"),"b",IF(OR(M34="positive",M34="equivocal"),"c","d"))))</x:f>
        <x:v>d</x:v>
      </x:c>
      <x:c r="AB34" s="12" t="str">
        <x:f>IF(OR(M34="unavailable",O34="unavailable"),"不可评价",IF(AND(M34="positive",O34="positive"),"a",IF(O34="positive","b",IF(M34="positive","c","d"))))</x:f>
        <x:v>d</x:v>
      </x:c>
      <x:c r="AC34" s="12" t="str">
        <x:f>IF(OR(R34="unavailable",T34="unavailable"),"不可评价",IF(AND(OR(R34="positive",R34="equivocal"),OR(T34="positive",T34="equivocal")),"a",IF(OR(T34="positive",T34="equivocal"),"b",IF(OR(R34="positive",R34="equivocal"),"c","d"))))</x:f>
        <x:v>d</x:v>
      </x:c>
      <x:c r="AD34" s="12" t="str">
        <x:f>IF(OR(R34="unavailable",T34="unavailable"),"不可评价",IF(AND(R34="positive",T34="positive"),"a",IF(T34="positive","b",IF(R34="positive","c","d"))))</x:f>
        <x:v>d</x:v>
      </x:c>
      <x:c r="AE34" s="12" t="str">
        <x:f>IF(OR(W34="unavailable",Y34="unavailable"),"不可评价",IF(AND(OR(W34="positive",W34="equivocal"),OR(Y34="positive",Y34="equivocal")),"a",IF(OR(Y34="positive",Y34="equivocal"),"b",IF(OR(W34="positive",W34="equivocal"),"c","d"))))</x:f>
        <x:v>d</x:v>
      </x:c>
      <x:c r="AF34" s="12" t="str">
        <x:f>IF(OR(W34="unavailable",Y34="unavailable"),"不可评价",IF(AND(W34="positive",Y34="positive"),"a",IF(Y34="positive","b",IF(W34="positive","c","d"))))</x:f>
        <x:v>d</x:v>
      </x:c>
    </x:row>
    <x:row r="35" ht="24" customHeight="1">
      <x:c r="A35" s="12" t="str">
        <x:v>218</x:v>
      </x:c>
      <x:c r="B35" s="12" t="str">
        <x:v>13925</x:v>
      </x:c>
      <x:c r="C35" s="21" t="n">
        <x:v>31560.67744212963</x:v>
      </x:c>
      <x:c r="D35" s="12" t="n">
        <x:v>60</x:v>
      </x:c>
      <x:c r="E35" s="12" t="n">
        <x:v>0</x:v>
      </x:c>
      <x:c r="F35" s="12" t="str">
        <x:v>未记录</x:v>
      </x:c>
      <x:c r="G35" s="12" t="n">
        <x:v>1</x:v>
      </x:c>
      <x:c r="H35" s="12" t="str">
        <x:v>{'NORM': 80.0, '1AVB': 100.0, 'SR': 0.0}</x:v>
      </x:c>
      <x:c r="I35" s="12" t="str">
        <x:v>[('NSR', 100.0), ('NML', 100.0)]</x:v>
      </x:c>
      <x:c r="J35" s="12" t="str">
        <x:v>ptbxl_database.csv；ecg_id=218；scp_codes</x:v>
      </x:c>
      <x:c r="K35" s="12" t="str">
        <x:v>12sl_statements.csv；ecg_id=218；statements_ext_snomed</x:v>
      </x:c>
      <x:c r="L35" s="12"/>
      <x:c r="M35" s="12" t="str">
        <x:v>negative</x:v>
      </x:c>
      <x:c r="N35" s="12"/>
      <x:c r="O35" s="12" t="str">
        <x:v>negative</x:v>
      </x:c>
      <x:c r="P35" s="12" t="str">
        <x:f>IF(OR(M35="unavailable",O35="unavailable"),"不可评价",IF(OR(M35="equivocal",O35="equivocal"),"疑似",IF(AND(M35="positive",O35="positive"),"a",IF(O35="positive","b",IF(M35="positive","c","d")))))</x:f>
        <x:v>d</x:v>
      </x:c>
      <x:c r="Q35" s="12"/>
      <x:c r="R35" s="12" t="str">
        <x:v>negative</x:v>
      </x:c>
      <x:c r="S35" s="12"/>
      <x:c r="T35" s="12" t="str">
        <x:v>negative</x:v>
      </x:c>
      <x:c r="U35" s="12" t="str">
        <x:f>IF(OR(R35="unavailable",T35="unavailable"),"不可评价",IF(OR(R35="equivocal",T35="equivocal"),"疑似",IF(AND(R35="positive",T35="positive"),"a",IF(T35="positive","b",IF(R35="positive","c","d")))))</x:f>
        <x:v>d</x:v>
      </x:c>
      <x:c r="V35" s="12"/>
      <x:c r="W35" s="12" t="str">
        <x:v>negative</x:v>
      </x:c>
      <x:c r="X35" s="12"/>
      <x:c r="Y35" s="12" t="str">
        <x:v>negative</x:v>
      </x:c>
      <x:c r="Z35" s="12" t="str">
        <x:f>IF(OR(W35="unavailable",Y35="unavailable"),"不可评价",IF(OR(W35="equivocal",Y35="equivocal"),"疑似",IF(AND(W35="positive",Y35="positive"),"a",IF(Y35="positive","b",IF(W35="positive","c","d")))))</x:f>
        <x:v>d</x:v>
      </x:c>
      <x:c r="AA35" s="12" t="str">
        <x:f>IF(OR(M35="unavailable",O35="unavailable"),"不可评价",IF(AND(OR(M35="positive",M35="equivocal"),OR(O35="positive",O35="equivocal")),"a",IF(OR(O35="positive",O35="equivocal"),"b",IF(OR(M35="positive",M35="equivocal"),"c","d"))))</x:f>
        <x:v>d</x:v>
      </x:c>
      <x:c r="AB35" s="12" t="str">
        <x:f>IF(OR(M35="unavailable",O35="unavailable"),"不可评价",IF(AND(M35="positive",O35="positive"),"a",IF(O35="positive","b",IF(M35="positive","c","d"))))</x:f>
        <x:v>d</x:v>
      </x:c>
      <x:c r="AC35" s="12" t="str">
        <x:f>IF(OR(R35="unavailable",T35="unavailable"),"不可评价",IF(AND(OR(R35="positive",R35="equivocal"),OR(T35="positive",T35="equivocal")),"a",IF(OR(T35="positive",T35="equivocal"),"b",IF(OR(R35="positive",R35="equivocal"),"c","d"))))</x:f>
        <x:v>d</x:v>
      </x:c>
      <x:c r="AD35" s="12" t="str">
        <x:f>IF(OR(R35="unavailable",T35="unavailable"),"不可评价",IF(AND(R35="positive",T35="positive"),"a",IF(T35="positive","b",IF(R35="positive","c","d"))))</x:f>
        <x:v>d</x:v>
      </x:c>
      <x:c r="AE35" s="12" t="str">
        <x:f>IF(OR(W35="unavailable",Y35="unavailable"),"不可评价",IF(AND(OR(W35="positive",W35="equivocal"),OR(Y35="positive",Y35="equivocal")),"a",IF(OR(Y35="positive",Y35="equivocal"),"b",IF(OR(W35="positive",W35="equivocal"),"c","d"))))</x:f>
        <x:v>d</x:v>
      </x:c>
      <x:c r="AF35" s="12" t="str">
        <x:f>IF(OR(W35="unavailable",Y35="unavailable"),"不可评价",IF(AND(W35="positive",Y35="positive"),"a",IF(Y35="positive","b",IF(W35="positive","c","d"))))</x:f>
        <x:v>d</x:v>
      </x:c>
    </x:row>
    <x:row r="36" ht="24" customHeight="1">
      <x:c r="A36" s="12" t="str">
        <x:v>240</x:v>
      </x:c>
      <x:c r="B36" s="12" t="str">
        <x:v>9601</x:v>
      </x:c>
      <x:c r="C36" s="21" t="n">
        <x:v>31611.949097222223</x:v>
      </x:c>
      <x:c r="D36" s="12" t="n">
        <x:v>54</x:v>
      </x:c>
      <x:c r="E36" s="12" t="n">
        <x:v>0</x:v>
      </x:c>
      <x:c r="F36" s="12" t="str">
        <x:v>存在</x:v>
      </x:c>
      <x:c r="G36" s="12" t="n">
        <x:v>1</x:v>
      </x:c>
      <x:c r="H36" s="12" t="str">
        <x:v>{'IMI': 50.0, 'ABQRS': 0.0, 'SBRAD': 0.0}</x:v>
      </x:c>
      <x:c r="I36" s="12" t="str">
        <x:v>[('SBRAD', 100.0), ('IMI;AU', 100.0), ('AB', 100.0)]</x:v>
      </x:c>
      <x:c r="J36" s="12" t="str">
        <x:v>ptbxl_database.csv；ecg_id=240；scp_codes</x:v>
      </x:c>
      <x:c r="K36" s="12" t="str">
        <x:v>12sl_statements.csv；ecg_id=240；statements_ext_snomed</x:v>
      </x:c>
      <x:c r="L36" s="12"/>
      <x:c r="M36" s="12" t="str">
        <x:v>negative</x:v>
      </x:c>
      <x:c r="N36" s="12"/>
      <x:c r="O36" s="12" t="str">
        <x:v>negative</x:v>
      </x:c>
      <x:c r="P36" s="12" t="str">
        <x:f>IF(OR(M36="unavailable",O36="unavailable"),"不可评价",IF(OR(M36="equivocal",O36="equivocal"),"疑似",IF(AND(M36="positive",O36="positive"),"a",IF(O36="positive","b",IF(M36="positive","c","d")))))</x:f>
        <x:v>d</x:v>
      </x:c>
      <x:c r="Q36" s="12"/>
      <x:c r="R36" s="12" t="str">
        <x:v>negative</x:v>
      </x:c>
      <x:c r="S36" s="12"/>
      <x:c r="T36" s="12" t="str">
        <x:v>negative</x:v>
      </x:c>
      <x:c r="U36" s="12" t="str">
        <x:f>IF(OR(R36="unavailable",T36="unavailable"),"不可评价",IF(OR(R36="equivocal",T36="equivocal"),"疑似",IF(AND(R36="positive",T36="positive"),"a",IF(T36="positive","b",IF(R36="positive","c","d")))))</x:f>
        <x:v>d</x:v>
      </x:c>
      <x:c r="V36" s="12"/>
      <x:c r="W36" s="12" t="str">
        <x:v>negative</x:v>
      </x:c>
      <x:c r="X36" s="12"/>
      <x:c r="Y36" s="12" t="str">
        <x:v>negative</x:v>
      </x:c>
      <x:c r="Z36" s="12" t="str">
        <x:f>IF(OR(W36="unavailable",Y36="unavailable"),"不可评价",IF(OR(W36="equivocal",Y36="equivocal"),"疑似",IF(AND(W36="positive",Y36="positive"),"a",IF(Y36="positive","b",IF(W36="positive","c","d")))))</x:f>
        <x:v>d</x:v>
      </x:c>
      <x:c r="AA36" s="12" t="str">
        <x:f>IF(OR(M36="unavailable",O36="unavailable"),"不可评价",IF(AND(OR(M36="positive",M36="equivocal"),OR(O36="positive",O36="equivocal")),"a",IF(OR(O36="positive",O36="equivocal"),"b",IF(OR(M36="positive",M36="equivocal"),"c","d"))))</x:f>
        <x:v>d</x:v>
      </x:c>
      <x:c r="AB36" s="12" t="str">
        <x:f>IF(OR(M36="unavailable",O36="unavailable"),"不可评价",IF(AND(M36="positive",O36="positive"),"a",IF(O36="positive","b",IF(M36="positive","c","d"))))</x:f>
        <x:v>d</x:v>
      </x:c>
      <x:c r="AC36" s="12" t="str">
        <x:f>IF(OR(R36="unavailable",T36="unavailable"),"不可评价",IF(AND(OR(R36="positive",R36="equivocal"),OR(T36="positive",T36="equivocal")),"a",IF(OR(T36="positive",T36="equivocal"),"b",IF(OR(R36="positive",R36="equivocal"),"c","d"))))</x:f>
        <x:v>d</x:v>
      </x:c>
      <x:c r="AD36" s="12" t="str">
        <x:f>IF(OR(R36="unavailable",T36="unavailable"),"不可评价",IF(AND(R36="positive",T36="positive"),"a",IF(T36="positive","b",IF(R36="positive","c","d"))))</x:f>
        <x:v>d</x:v>
      </x:c>
      <x:c r="AE36" s="12" t="str">
        <x:f>IF(OR(W36="unavailable",Y36="unavailable"),"不可评价",IF(AND(OR(W36="positive",W36="equivocal"),OR(Y36="positive",Y36="equivocal")),"a",IF(OR(Y36="positive",Y36="equivocal"),"b",IF(OR(W36="positive",W36="equivocal"),"c","d"))))</x:f>
        <x:v>d</x:v>
      </x:c>
      <x:c r="AF36" s="12" t="str">
        <x:f>IF(OR(W36="unavailable",Y36="unavailable"),"不可评价",IF(AND(W36="positive",Y36="positive"),"a",IF(Y36="positive","b",IF(W36="positive","c","d"))))</x:f>
        <x:v>d</x:v>
      </x:c>
    </x:row>
    <x:row r="37" ht="24" customHeight="1">
      <x:c r="A37" s="12" t="str">
        <x:v>241</x:v>
      </x:c>
      <x:c r="B37" s="12" t="str">
        <x:v>14702</x:v>
      </x:c>
      <x:c r="C37" s="21" t="n">
        <x:v>31612.397395833334</x:v>
      </x:c>
      <x:c r="D37" s="12" t="n">
        <x:v>23</x:v>
      </x:c>
      <x:c r="E37" s="12" t="n">
        <x:v>1</x:v>
      </x:c>
      <x:c r="F37" s="12" t="str">
        <x:v>未记录</x:v>
      </x:c>
      <x:c r="G37" s="12" t="n">
        <x:v>1</x:v>
      </x:c>
      <x:c r="H37" s="12" t="str">
        <x:v>{'NORM': 100.0, 'SR': 0.0}</x:v>
      </x:c>
      <x:c r="I37" s="12" t="str">
        <x:v>[('NSR', 100.0), ('NML', 100.0)]</x:v>
      </x:c>
      <x:c r="J37" s="12" t="str">
        <x:v>ptbxl_database.csv；ecg_id=241；scp_codes</x:v>
      </x:c>
      <x:c r="K37" s="12" t="str">
        <x:v>12sl_statements.csv；ecg_id=241；statements_ext_snomed</x:v>
      </x:c>
      <x:c r="L37" s="12"/>
      <x:c r="M37" s="12" t="str">
        <x:v>negative</x:v>
      </x:c>
      <x:c r="N37" s="12"/>
      <x:c r="O37" s="12" t="str">
        <x:v>negative</x:v>
      </x:c>
      <x:c r="P37" s="12" t="str">
        <x:f>IF(OR(M37="unavailable",O37="unavailable"),"不可评价",IF(OR(M37="equivocal",O37="equivocal"),"疑似",IF(AND(M37="positive",O37="positive"),"a",IF(O37="positive","b",IF(M37="positive","c","d")))))</x:f>
        <x:v>d</x:v>
      </x:c>
      <x:c r="Q37" s="12"/>
      <x:c r="R37" s="12" t="str">
        <x:v>negative</x:v>
      </x:c>
      <x:c r="S37" s="12"/>
      <x:c r="T37" s="12" t="str">
        <x:v>negative</x:v>
      </x:c>
      <x:c r="U37" s="12" t="str">
        <x:f>IF(OR(R37="unavailable",T37="unavailable"),"不可评价",IF(OR(R37="equivocal",T37="equivocal"),"疑似",IF(AND(R37="positive",T37="positive"),"a",IF(T37="positive","b",IF(R37="positive","c","d")))))</x:f>
        <x:v>d</x:v>
      </x:c>
      <x:c r="V37" s="12"/>
      <x:c r="W37" s="12" t="str">
        <x:v>negative</x:v>
      </x:c>
      <x:c r="X37" s="12"/>
      <x:c r="Y37" s="12" t="str">
        <x:v>negative</x:v>
      </x:c>
      <x:c r="Z37" s="12" t="str">
        <x:f>IF(OR(W37="unavailable",Y37="unavailable"),"不可评价",IF(OR(W37="equivocal",Y37="equivocal"),"疑似",IF(AND(W37="positive",Y37="positive"),"a",IF(Y37="positive","b",IF(W37="positive","c","d")))))</x:f>
        <x:v>d</x:v>
      </x:c>
      <x:c r="AA37" s="12" t="str">
        <x:f>IF(OR(M37="unavailable",O37="unavailable"),"不可评价",IF(AND(OR(M37="positive",M37="equivocal"),OR(O37="positive",O37="equivocal")),"a",IF(OR(O37="positive",O37="equivocal"),"b",IF(OR(M37="positive",M37="equivocal"),"c","d"))))</x:f>
        <x:v>d</x:v>
      </x:c>
      <x:c r="AB37" s="12" t="str">
        <x:f>IF(OR(M37="unavailable",O37="unavailable"),"不可评价",IF(AND(M37="positive",O37="positive"),"a",IF(O37="positive","b",IF(M37="positive","c","d"))))</x:f>
        <x:v>d</x:v>
      </x:c>
      <x:c r="AC37" s="12" t="str">
        <x:f>IF(OR(R37="unavailable",T37="unavailable"),"不可评价",IF(AND(OR(R37="positive",R37="equivocal"),OR(T37="positive",T37="equivocal")),"a",IF(OR(T37="positive",T37="equivocal"),"b",IF(OR(R37="positive",R37="equivocal"),"c","d"))))</x:f>
        <x:v>d</x:v>
      </x:c>
      <x:c r="AD37" s="12" t="str">
        <x:f>IF(OR(R37="unavailable",T37="unavailable"),"不可评价",IF(AND(R37="positive",T37="positive"),"a",IF(T37="positive","b",IF(R37="positive","c","d"))))</x:f>
        <x:v>d</x:v>
      </x:c>
      <x:c r="AE37" s="12" t="str">
        <x:f>IF(OR(W37="unavailable",Y37="unavailable"),"不可评价",IF(AND(OR(W37="positive",W37="equivocal"),OR(Y37="positive",Y37="equivocal")),"a",IF(OR(Y37="positive",Y37="equivocal"),"b",IF(OR(W37="positive",W37="equivocal"),"c","d"))))</x:f>
        <x:v>d</x:v>
      </x:c>
      <x:c r="AF37" s="12" t="str">
        <x:f>IF(OR(W37="unavailable",Y37="unavailable"),"不可评价",IF(AND(W37="positive",Y37="positive"),"a",IF(Y37="positive","b",IF(W37="positive","c","d"))))</x:f>
        <x:v>d</x:v>
      </x:c>
    </x:row>
    <x:row r="38" ht="24" customHeight="1">
      <x:c r="A38" s="12" t="str">
        <x:v>243</x:v>
      </x:c>
      <x:c r="B38" s="12" t="str">
        <x:v>11567</x:v>
      </x:c>
      <x:c r="C38" s="21" t="n">
        <x:v>31623.092743055557</x:v>
      </x:c>
      <x:c r="D38" s="12" t="n">
        <x:v>29</x:v>
      </x:c>
      <x:c r="E38" s="12" t="n">
        <x:v>1</x:v>
      </x:c>
      <x:c r="F38" s="12" t="str">
        <x:v>存在</x:v>
      </x:c>
      <x:c r="G38" s="12" t="n">
        <x:v>1</x:v>
      </x:c>
      <x:c r="H38" s="12" t="str">
        <x:v>{'NORM': 100.0, 'SR': 0.0}</x:v>
      </x:c>
      <x:c r="I38" s="12" t="str">
        <x:v>[('NSR', 100.0), ('SAR', 100.0), ('NML', 100.0)]</x:v>
      </x:c>
      <x:c r="J38" s="12" t="str">
        <x:v>ptbxl_database.csv；ecg_id=243；scp_codes</x:v>
      </x:c>
      <x:c r="K38" s="12" t="str">
        <x:v>12sl_statements.csv；ecg_id=243；statements_ext_snomed</x:v>
      </x:c>
      <x:c r="L38" s="12"/>
      <x:c r="M38" s="12" t="str">
        <x:v>negative</x:v>
      </x:c>
      <x:c r="N38" s="12"/>
      <x:c r="O38" s="12" t="str">
        <x:v>negative</x:v>
      </x:c>
      <x:c r="P38" s="12" t="str">
        <x:f>IF(OR(M38="unavailable",O38="unavailable"),"不可评价",IF(OR(M38="equivocal",O38="equivocal"),"疑似",IF(AND(M38="positive",O38="positive"),"a",IF(O38="positive","b",IF(M38="positive","c","d")))))</x:f>
        <x:v>d</x:v>
      </x:c>
      <x:c r="Q38" s="12"/>
      <x:c r="R38" s="12" t="str">
        <x:v>negative</x:v>
      </x:c>
      <x:c r="S38" s="12"/>
      <x:c r="T38" s="12" t="str">
        <x:v>negative</x:v>
      </x:c>
      <x:c r="U38" s="12" t="str">
        <x:f>IF(OR(R38="unavailable",T38="unavailable"),"不可评价",IF(OR(R38="equivocal",T38="equivocal"),"疑似",IF(AND(R38="positive",T38="positive"),"a",IF(T38="positive","b",IF(R38="positive","c","d")))))</x:f>
        <x:v>d</x:v>
      </x:c>
      <x:c r="V38" s="12"/>
      <x:c r="W38" s="12" t="str">
        <x:v>negative</x:v>
      </x:c>
      <x:c r="X38" s="12"/>
      <x:c r="Y38" s="12" t="str">
        <x:v>negative</x:v>
      </x:c>
      <x:c r="Z38" s="12" t="str">
        <x:f>IF(OR(W38="unavailable",Y38="unavailable"),"不可评价",IF(OR(W38="equivocal",Y38="equivocal"),"疑似",IF(AND(W38="positive",Y38="positive"),"a",IF(Y38="positive","b",IF(W38="positive","c","d")))))</x:f>
        <x:v>d</x:v>
      </x:c>
      <x:c r="AA38" s="12" t="str">
        <x:f>IF(OR(M38="unavailable",O38="unavailable"),"不可评价",IF(AND(OR(M38="positive",M38="equivocal"),OR(O38="positive",O38="equivocal")),"a",IF(OR(O38="positive",O38="equivocal"),"b",IF(OR(M38="positive",M38="equivocal"),"c","d"))))</x:f>
        <x:v>d</x:v>
      </x:c>
      <x:c r="AB38" s="12" t="str">
        <x:f>IF(OR(M38="unavailable",O38="unavailable"),"不可评价",IF(AND(M38="positive",O38="positive"),"a",IF(O38="positive","b",IF(M38="positive","c","d"))))</x:f>
        <x:v>d</x:v>
      </x:c>
      <x:c r="AC38" s="12" t="str">
        <x:f>IF(OR(R38="unavailable",T38="unavailable"),"不可评价",IF(AND(OR(R38="positive",R38="equivocal"),OR(T38="positive",T38="equivocal")),"a",IF(OR(T38="positive",T38="equivocal"),"b",IF(OR(R38="positive",R38="equivocal"),"c","d"))))</x:f>
        <x:v>d</x:v>
      </x:c>
      <x:c r="AD38" s="12" t="str">
        <x:f>IF(OR(R38="unavailable",T38="unavailable"),"不可评价",IF(AND(R38="positive",T38="positive"),"a",IF(T38="positive","b",IF(R38="positive","c","d"))))</x:f>
        <x:v>d</x:v>
      </x:c>
      <x:c r="AE38" s="12" t="str">
        <x:f>IF(OR(W38="unavailable",Y38="unavailable"),"不可评价",IF(AND(OR(W38="positive",W38="equivocal"),OR(Y38="positive",Y38="equivocal")),"a",IF(OR(Y38="positive",Y38="equivocal"),"b",IF(OR(W38="positive",W38="equivocal"),"c","d"))))</x:f>
        <x:v>d</x:v>
      </x:c>
      <x:c r="AF38" s="12" t="str">
        <x:f>IF(OR(W38="unavailable",Y38="unavailable"),"不可评价",IF(AND(W38="positive",Y38="positive"),"a",IF(Y38="positive","b",IF(W38="positive","c","d"))))</x:f>
        <x:v>d</x:v>
      </x:c>
    </x:row>
    <x:row r="39" ht="24" customHeight="1">
      <x:c r="A39" s="12" t="str">
        <x:v>245</x:v>
      </x:c>
      <x:c r="B39" s="12" t="str">
        <x:v>8294</x:v>
      </x:c>
      <x:c r="C39" s="21" t="n">
        <x:v>31632.10982638889</x:v>
      </x:c>
      <x:c r="D39" s="12" t="n">
        <x:v>46</x:v>
      </x:c>
      <x:c r="E39" s="12" t="n">
        <x:v>1</x:v>
      </x:c>
      <x:c r="F39" s="12" t="str">
        <x:v>存在</x:v>
      </x:c>
      <x:c r="G39" s="12" t="n">
        <x:v>1</x:v>
      </x:c>
      <x:c r="H39" s="12" t="str">
        <x:v>{'NORM': 100.0, 'SR': 0.0}</x:v>
      </x:c>
      <x:c r="I39" s="12" t="str">
        <x:v>[('NSR', 100.0), ('NST', 100.0), ('AB', 100.0)]</x:v>
      </x:c>
      <x:c r="J39" s="12" t="str">
        <x:v>ptbxl_database.csv；ecg_id=245；scp_codes</x:v>
      </x:c>
      <x:c r="K39" s="12" t="str">
        <x:v>12sl_statements.csv；ecg_id=245；statements_ext_snomed</x:v>
      </x:c>
      <x:c r="L39" s="12"/>
      <x:c r="M39" s="12" t="str">
        <x:v>negative</x:v>
      </x:c>
      <x:c r="N39" s="12"/>
      <x:c r="O39" s="12" t="str">
        <x:v>negative</x:v>
      </x:c>
      <x:c r="P39" s="12" t="str">
        <x:f>IF(OR(M39="unavailable",O39="unavailable"),"不可评价",IF(OR(M39="equivocal",O39="equivocal"),"疑似",IF(AND(M39="positive",O39="positive"),"a",IF(O39="positive","b",IF(M39="positive","c","d")))))</x:f>
        <x:v>d</x:v>
      </x:c>
      <x:c r="Q39" s="12"/>
      <x:c r="R39" s="12" t="str">
        <x:v>negative</x:v>
      </x:c>
      <x:c r="S39" s="12"/>
      <x:c r="T39" s="12" t="str">
        <x:v>negative</x:v>
      </x:c>
      <x:c r="U39" s="12" t="str">
        <x:f>IF(OR(R39="unavailable",T39="unavailable"),"不可评价",IF(OR(R39="equivocal",T39="equivocal"),"疑似",IF(AND(R39="positive",T39="positive"),"a",IF(T39="positive","b",IF(R39="positive","c","d")))))</x:f>
        <x:v>d</x:v>
      </x:c>
      <x:c r="V39" s="12"/>
      <x:c r="W39" s="12" t="str">
        <x:v>negative</x:v>
      </x:c>
      <x:c r="X39" s="12"/>
      <x:c r="Y39" s="12" t="str">
        <x:v>negative</x:v>
      </x:c>
      <x:c r="Z39" s="12" t="str">
        <x:f>IF(OR(W39="unavailable",Y39="unavailable"),"不可评价",IF(OR(W39="equivocal",Y39="equivocal"),"疑似",IF(AND(W39="positive",Y39="positive"),"a",IF(Y39="positive","b",IF(W39="positive","c","d")))))</x:f>
        <x:v>d</x:v>
      </x:c>
      <x:c r="AA39" s="12" t="str">
        <x:f>IF(OR(M39="unavailable",O39="unavailable"),"不可评价",IF(AND(OR(M39="positive",M39="equivocal"),OR(O39="positive",O39="equivocal")),"a",IF(OR(O39="positive",O39="equivocal"),"b",IF(OR(M39="positive",M39="equivocal"),"c","d"))))</x:f>
        <x:v>d</x:v>
      </x:c>
      <x:c r="AB39" s="12" t="str">
        <x:f>IF(OR(M39="unavailable",O39="unavailable"),"不可评价",IF(AND(M39="positive",O39="positive"),"a",IF(O39="positive","b",IF(M39="positive","c","d"))))</x:f>
        <x:v>d</x:v>
      </x:c>
      <x:c r="AC39" s="12" t="str">
        <x:f>IF(OR(R39="unavailable",T39="unavailable"),"不可评价",IF(AND(OR(R39="positive",R39="equivocal"),OR(T39="positive",T39="equivocal")),"a",IF(OR(T39="positive",T39="equivocal"),"b",IF(OR(R39="positive",R39="equivocal"),"c","d"))))</x:f>
        <x:v>d</x:v>
      </x:c>
      <x:c r="AD39" s="12" t="str">
        <x:f>IF(OR(R39="unavailable",T39="unavailable"),"不可评价",IF(AND(R39="positive",T39="positive"),"a",IF(T39="positive","b",IF(R39="positive","c","d"))))</x:f>
        <x:v>d</x:v>
      </x:c>
      <x:c r="AE39" s="12" t="str">
        <x:f>IF(OR(W39="unavailable",Y39="unavailable"),"不可评价",IF(AND(OR(W39="positive",W39="equivocal"),OR(Y39="positive",Y39="equivocal")),"a",IF(OR(Y39="positive",Y39="equivocal"),"b",IF(OR(W39="positive",W39="equivocal"),"c","d"))))</x:f>
        <x:v>d</x:v>
      </x:c>
      <x:c r="AF39" s="12" t="str">
        <x:f>IF(OR(W39="unavailable",Y39="unavailable"),"不可评价",IF(AND(W39="positive",Y39="positive"),"a",IF(Y39="positive","b",IF(W39="positive","c","d"))))</x:f>
        <x:v>d</x:v>
      </x:c>
    </x:row>
    <x:row r="40" ht="24" customHeight="1">
      <x:c r="A40" s="12" t="str">
        <x:v>252</x:v>
      </x:c>
      <x:c r="B40" s="12" t="str">
        <x:v>20848</x:v>
      </x:c>
      <x:c r="C40" s="21" t="n">
        <x:v>31653.399398148147</x:v>
      </x:c>
      <x:c r="D40" s="12" t="n">
        <x:v>50</x:v>
      </x:c>
      <x:c r="E40" s="12" t="n">
        <x:v>0</x:v>
      </x:c>
      <x:c r="F40" s="12" t="str">
        <x:v>存在</x:v>
      </x:c>
      <x:c r="G40" s="12" t="n">
        <x:v>1</x:v>
      </x:c>
      <x:c r="H40" s="12" t="str">
        <x:v>{'NORM': 100.0, 'SR': 0.0}</x:v>
      </x:c>
      <x:c r="I40" s="12" t="str">
        <x:v>[('NSR', 100.0), ('NML', 100.0)]</x:v>
      </x:c>
      <x:c r="J40" s="12" t="str">
        <x:v>ptbxl_database.csv；ecg_id=252；scp_codes</x:v>
      </x:c>
      <x:c r="K40" s="12" t="str">
        <x:v>12sl_statements.csv；ecg_id=252；statements_ext_snomed</x:v>
      </x:c>
      <x:c r="L40" s="12"/>
      <x:c r="M40" s="12" t="str">
        <x:v>negative</x:v>
      </x:c>
      <x:c r="N40" s="12"/>
      <x:c r="O40" s="12" t="str">
        <x:v>negative</x:v>
      </x:c>
      <x:c r="P40" s="12" t="str">
        <x:f>IF(OR(M40="unavailable",O40="unavailable"),"不可评价",IF(OR(M40="equivocal",O40="equivocal"),"疑似",IF(AND(M40="positive",O40="positive"),"a",IF(O40="positive","b",IF(M40="positive","c","d")))))</x:f>
        <x:v>d</x:v>
      </x:c>
      <x:c r="Q40" s="12"/>
      <x:c r="R40" s="12" t="str">
        <x:v>negative</x:v>
      </x:c>
      <x:c r="S40" s="12"/>
      <x:c r="T40" s="12" t="str">
        <x:v>negative</x:v>
      </x:c>
      <x:c r="U40" s="12" t="str">
        <x:f>IF(OR(R40="unavailable",T40="unavailable"),"不可评价",IF(OR(R40="equivocal",T40="equivocal"),"疑似",IF(AND(R40="positive",T40="positive"),"a",IF(T40="positive","b",IF(R40="positive","c","d")))))</x:f>
        <x:v>d</x:v>
      </x:c>
      <x:c r="V40" s="12"/>
      <x:c r="W40" s="12" t="str">
        <x:v>negative</x:v>
      </x:c>
      <x:c r="X40" s="12"/>
      <x:c r="Y40" s="12" t="str">
        <x:v>negative</x:v>
      </x:c>
      <x:c r="Z40" s="12" t="str">
        <x:f>IF(OR(W40="unavailable",Y40="unavailable"),"不可评价",IF(OR(W40="equivocal",Y40="equivocal"),"疑似",IF(AND(W40="positive",Y40="positive"),"a",IF(Y40="positive","b",IF(W40="positive","c","d")))))</x:f>
        <x:v>d</x:v>
      </x:c>
      <x:c r="AA40" s="12" t="str">
        <x:f>IF(OR(M40="unavailable",O40="unavailable"),"不可评价",IF(AND(OR(M40="positive",M40="equivocal"),OR(O40="positive",O40="equivocal")),"a",IF(OR(O40="positive",O40="equivocal"),"b",IF(OR(M40="positive",M40="equivocal"),"c","d"))))</x:f>
        <x:v>d</x:v>
      </x:c>
      <x:c r="AB40" s="12" t="str">
        <x:f>IF(OR(M40="unavailable",O40="unavailable"),"不可评价",IF(AND(M40="positive",O40="positive"),"a",IF(O40="positive","b",IF(M40="positive","c","d"))))</x:f>
        <x:v>d</x:v>
      </x:c>
      <x:c r="AC40" s="12" t="str">
        <x:f>IF(OR(R40="unavailable",T40="unavailable"),"不可评价",IF(AND(OR(R40="positive",R40="equivocal"),OR(T40="positive",T40="equivocal")),"a",IF(OR(T40="positive",T40="equivocal"),"b",IF(OR(R40="positive",R40="equivocal"),"c","d"))))</x:f>
        <x:v>d</x:v>
      </x:c>
      <x:c r="AD40" s="12" t="str">
        <x:f>IF(OR(R40="unavailable",T40="unavailable"),"不可评价",IF(AND(R40="positive",T40="positive"),"a",IF(T40="positive","b",IF(R40="positive","c","d"))))</x:f>
        <x:v>d</x:v>
      </x:c>
      <x:c r="AE40" s="12" t="str">
        <x:f>IF(OR(W40="unavailable",Y40="unavailable"),"不可评价",IF(AND(OR(W40="positive",W40="equivocal"),OR(Y40="positive",Y40="equivocal")),"a",IF(OR(Y40="positive",Y40="equivocal"),"b",IF(OR(W40="positive",W40="equivocal"),"c","d"))))</x:f>
        <x:v>d</x:v>
      </x:c>
      <x:c r="AF40" s="12" t="str">
        <x:f>IF(OR(W40="unavailable",Y40="unavailable"),"不可评价",IF(AND(W40="positive",Y40="positive"),"a",IF(Y40="positive","b",IF(W40="positive","c","d"))))</x:f>
        <x:v>d</x:v>
      </x:c>
    </x:row>
    <x:row r="41" ht="39" customHeight="1">
      <x:c r="A41" s="12" t="str">
        <x:v>271</x:v>
      </x:c>
      <x:c r="B41" s="12" t="str">
        <x:v>449</x:v>
      </x:c>
      <x:c r="C41" s="21" t="n">
        <x:v>31661.99769675926</x:v>
      </x:c>
      <x:c r="D41" s="12" t="n">
        <x:v>75</x:v>
      </x:c>
      <x:c r="E41" s="12" t="n">
        <x:v>0</x:v>
      </x:c>
      <x:c r="F41" s="12" t="str">
        <x:v>未记录</x:v>
      </x:c>
      <x:c r="G41" s="12" t="n">
        <x:v>1</x:v>
      </x:c>
      <x:c r="H41" s="12" t="str">
        <x:v>{'ASMI': 100.0, 'LVH': 100.0, 'ISC_': 100.0, 'PAC': 0.0, 'STD_': 0.0, 'SR': 0.0}</x:v>
      </x:c>
      <x:c r="I41" s="12" t="str">
        <x:v>[('SRTH', 100.0), ('PAC', 100.0), ('LAE', 50.0), ('SMI;AU', 100.0), ('ST&amp;', 100.0), ('LT', 100.0), ('AB', 100.0)]</x:v>
      </x:c>
      <x:c r="J41" s="12" t="str">
        <x:v>ptbxl_database.csv；ecg_id=271；scp_codes</x:v>
      </x:c>
      <x:c r="K41" s="12" t="str">
        <x:v>12sl_statements.csv；ecg_id=271；statements_ext_snomed</x:v>
      </x:c>
      <x:c r="L41" s="12"/>
      <x:c r="M41" s="12" t="str">
        <x:v>negative</x:v>
      </x:c>
      <x:c r="N41" s="12"/>
      <x:c r="O41" s="12" t="str">
        <x:v>negative</x:v>
      </x:c>
      <x:c r="P41" s="12" t="str">
        <x:f>IF(OR(M41="unavailable",O41="unavailable"),"不可评价",IF(OR(M41="equivocal",O41="equivocal"),"疑似",IF(AND(M41="positive",O41="positive"),"a",IF(O41="positive","b",IF(M41="positive","c","d")))))</x:f>
        <x:v>d</x:v>
      </x:c>
      <x:c r="Q41" s="12"/>
      <x:c r="R41" s="12" t="str">
        <x:v>negative</x:v>
      </x:c>
      <x:c r="S41" s="12"/>
      <x:c r="T41" s="12" t="str">
        <x:v>negative</x:v>
      </x:c>
      <x:c r="U41" s="12" t="str">
        <x:f>IF(OR(R41="unavailable",T41="unavailable"),"不可评价",IF(OR(R41="equivocal",T41="equivocal"),"疑似",IF(AND(R41="positive",T41="positive"),"a",IF(T41="positive","b",IF(R41="positive","c","d")))))</x:f>
        <x:v>d</x:v>
      </x:c>
      <x:c r="V41" s="12"/>
      <x:c r="W41" s="12" t="str">
        <x:v>negative</x:v>
      </x:c>
      <x:c r="X41" s="12"/>
      <x:c r="Y41" s="12" t="str">
        <x:v>negative</x:v>
      </x:c>
      <x:c r="Z41" s="12" t="str">
        <x:f>IF(OR(W41="unavailable",Y41="unavailable"),"不可评价",IF(OR(W41="equivocal",Y41="equivocal"),"疑似",IF(AND(W41="positive",Y41="positive"),"a",IF(Y41="positive","b",IF(W41="positive","c","d")))))</x:f>
        <x:v>d</x:v>
      </x:c>
      <x:c r="AA41" s="12" t="str">
        <x:f>IF(OR(M41="unavailable",O41="unavailable"),"不可评价",IF(AND(OR(M41="positive",M41="equivocal"),OR(O41="positive",O41="equivocal")),"a",IF(OR(O41="positive",O41="equivocal"),"b",IF(OR(M41="positive",M41="equivocal"),"c","d"))))</x:f>
        <x:v>d</x:v>
      </x:c>
      <x:c r="AB41" s="12" t="str">
        <x:f>IF(OR(M41="unavailable",O41="unavailable"),"不可评价",IF(AND(M41="positive",O41="positive"),"a",IF(O41="positive","b",IF(M41="positive","c","d"))))</x:f>
        <x:v>d</x:v>
      </x:c>
      <x:c r="AC41" s="12" t="str">
        <x:f>IF(OR(R41="unavailable",T41="unavailable"),"不可评价",IF(AND(OR(R41="positive",R41="equivocal"),OR(T41="positive",T41="equivocal")),"a",IF(OR(T41="positive",T41="equivocal"),"b",IF(OR(R41="positive",R41="equivocal"),"c","d"))))</x:f>
        <x:v>d</x:v>
      </x:c>
      <x:c r="AD41" s="12" t="str">
        <x:f>IF(OR(R41="unavailable",T41="unavailable"),"不可评价",IF(AND(R41="positive",T41="positive"),"a",IF(T41="positive","b",IF(R41="positive","c","d"))))</x:f>
        <x:v>d</x:v>
      </x:c>
      <x:c r="AE41" s="12" t="str">
        <x:f>IF(OR(W41="unavailable",Y41="unavailable"),"不可评价",IF(AND(OR(W41="positive",W41="equivocal"),OR(Y41="positive",Y41="equivocal")),"a",IF(OR(Y41="positive",Y41="equivocal"),"b",IF(OR(W41="positive",W41="equivocal"),"c","d"))))</x:f>
        <x:v>d</x:v>
      </x:c>
      <x:c r="AF41" s="12" t="str">
        <x:f>IF(OR(W41="unavailable",Y41="unavailable"),"不可评价",IF(AND(W41="positive",Y41="positive"),"a",IF(Y41="positive","b",IF(W41="positive","c","d"))))</x:f>
        <x:v>d</x:v>
      </x:c>
    </x:row>
    <x:row r="42" ht="39" customHeight="1">
      <x:c r="A42" s="12" t="str">
        <x:v>274</x:v>
      </x:c>
      <x:c r="B42" s="12" t="str">
        <x:v>5662</x:v>
      </x:c>
      <x:c r="C42" s="21" t="n">
        <x:v>31662.59146990741</x:v>
      </x:c>
      <x:c r="D42" s="12" t="n">
        <x:v>67</x:v>
      </x:c>
      <x:c r="E42" s="12" t="n">
        <x:v>1</x:v>
      </x:c>
      <x:c r="F42" s="12" t="str">
        <x:v>未记录</x:v>
      </x:c>
      <x:c r="G42" s="12" t="n">
        <x:v>1</x:v>
      </x:c>
      <x:c r="H42" s="12" t="str">
        <x:v>{'ASMI': 100.0, 'LVH': 100.0, 'ISC_': 100.0, 'LAO/LAE': 50.0, 'VCLVH': 0.0, 'INVT': 0.0, 'STD_': 0.0, 'SR': 0.0}</x:v>
      </x:c>
      <x:c r="I42" s="12" t="str">
        <x:v>[('NSR', 100.0), ('LAE', 50.0), ('LVH2', 100.0), ('2ST', 100.0), ('SMI;AU', 100.0), ('AB', 100.0)]</x:v>
      </x:c>
      <x:c r="J42" s="12" t="str">
        <x:v>ptbxl_database.csv；ecg_id=274；scp_codes</x:v>
      </x:c>
      <x:c r="K42" s="12" t="str">
        <x:v>12sl_statements.csv；ecg_id=274；statements_ext_snomed</x:v>
      </x:c>
      <x:c r="L42" s="12"/>
      <x:c r="M42" s="12" t="str">
        <x:v>negative</x:v>
      </x:c>
      <x:c r="N42" s="12"/>
      <x:c r="O42" s="12" t="str">
        <x:v>negative</x:v>
      </x:c>
      <x:c r="P42" s="12" t="str">
        <x:f>IF(OR(M42="unavailable",O42="unavailable"),"不可评价",IF(OR(M42="equivocal",O42="equivocal"),"疑似",IF(AND(M42="positive",O42="positive"),"a",IF(O42="positive","b",IF(M42="positive","c","d")))))</x:f>
        <x:v>d</x:v>
      </x:c>
      <x:c r="Q42" s="12"/>
      <x:c r="R42" s="12" t="str">
        <x:v>negative</x:v>
      </x:c>
      <x:c r="S42" s="12"/>
      <x:c r="T42" s="12" t="str">
        <x:v>negative</x:v>
      </x:c>
      <x:c r="U42" s="12" t="str">
        <x:f>IF(OR(R42="unavailable",T42="unavailable"),"不可评价",IF(OR(R42="equivocal",T42="equivocal"),"疑似",IF(AND(R42="positive",T42="positive"),"a",IF(T42="positive","b",IF(R42="positive","c","d")))))</x:f>
        <x:v>d</x:v>
      </x:c>
      <x:c r="V42" s="12"/>
      <x:c r="W42" s="12" t="str">
        <x:v>negative</x:v>
      </x:c>
      <x:c r="X42" s="12"/>
      <x:c r="Y42" s="12" t="str">
        <x:v>negative</x:v>
      </x:c>
      <x:c r="Z42" s="12" t="str">
        <x:f>IF(OR(W42="unavailable",Y42="unavailable"),"不可评价",IF(OR(W42="equivocal",Y42="equivocal"),"疑似",IF(AND(W42="positive",Y42="positive"),"a",IF(Y42="positive","b",IF(W42="positive","c","d")))))</x:f>
        <x:v>d</x:v>
      </x:c>
      <x:c r="AA42" s="12" t="str">
        <x:f>IF(OR(M42="unavailable",O42="unavailable"),"不可评价",IF(AND(OR(M42="positive",M42="equivocal"),OR(O42="positive",O42="equivocal")),"a",IF(OR(O42="positive",O42="equivocal"),"b",IF(OR(M42="positive",M42="equivocal"),"c","d"))))</x:f>
        <x:v>d</x:v>
      </x:c>
      <x:c r="AB42" s="12" t="str">
        <x:f>IF(OR(M42="unavailable",O42="unavailable"),"不可评价",IF(AND(M42="positive",O42="positive"),"a",IF(O42="positive","b",IF(M42="positive","c","d"))))</x:f>
        <x:v>d</x:v>
      </x:c>
      <x:c r="AC42" s="12" t="str">
        <x:f>IF(OR(R42="unavailable",T42="unavailable"),"不可评价",IF(AND(OR(R42="positive",R42="equivocal"),OR(T42="positive",T42="equivocal")),"a",IF(OR(T42="positive",T42="equivocal"),"b",IF(OR(R42="positive",R42="equivocal"),"c","d"))))</x:f>
        <x:v>d</x:v>
      </x:c>
      <x:c r="AD42" s="12" t="str">
        <x:f>IF(OR(R42="unavailable",T42="unavailable"),"不可评价",IF(AND(R42="positive",T42="positive"),"a",IF(T42="positive","b",IF(R42="positive","c","d"))))</x:f>
        <x:v>d</x:v>
      </x:c>
      <x:c r="AE42" s="12" t="str">
        <x:f>IF(OR(W42="unavailable",Y42="unavailable"),"不可评价",IF(AND(OR(W42="positive",W42="equivocal"),OR(Y42="positive",Y42="equivocal")),"a",IF(OR(Y42="positive",Y42="equivocal"),"b",IF(OR(W42="positive",W42="equivocal"),"c","d"))))</x:f>
        <x:v>d</x:v>
      </x:c>
      <x:c r="AF42" s="12" t="str">
        <x:f>IF(OR(W42="unavailable",Y42="unavailable"),"不可评价",IF(AND(W42="positive",Y42="positive"),"a",IF(Y42="positive","b",IF(W42="positive","c","d"))))</x:f>
        <x:v>d</x:v>
      </x:c>
    </x:row>
    <x:row r="43" ht="24" customHeight="1">
      <x:c r="A43" s="12" t="str">
        <x:v>299</x:v>
      </x:c>
      <x:c r="B43" s="12" t="str">
        <x:v>7852</x:v>
      </x:c>
      <x:c r="C43" s="21" t="n">
        <x:v>31667.54832175926</x:v>
      </x:c>
      <x:c r="D43" s="12" t="n">
        <x:v>59</x:v>
      </x:c>
      <x:c r="E43" s="12" t="n">
        <x:v>1</x:v>
      </x:c>
      <x:c r="F43" s="12" t="str">
        <x:v>未记录</x:v>
      </x:c>
      <x:c r="G43" s="12" t="n">
        <x:v>1</x:v>
      </x:c>
      <x:c r="H43" s="12" t="str">
        <x:v>{'LVH': 100.0, 'ISC_': 100.0, 'LAO/LAE': 50.0, 'SR': 0.0}</x:v>
      </x:c>
      <x:c r="I43" s="12" t="str">
        <x:v>[('NSR', 100.0), ('LSBINJ', 100.0), ('LNGQT', 100.0), ('AB', 100.0)]</x:v>
      </x:c>
      <x:c r="J43" s="12" t="str">
        <x:v>ptbxl_database.csv；ecg_id=299；scp_codes</x:v>
      </x:c>
      <x:c r="K43" s="12" t="str">
        <x:v>12sl_statements.csv；ecg_id=299；statements_ext_snomed</x:v>
      </x:c>
      <x:c r="L43" s="12"/>
      <x:c r="M43" s="12" t="str">
        <x:v>negative</x:v>
      </x:c>
      <x:c r="N43" s="12"/>
      <x:c r="O43" s="12" t="str">
        <x:v>negative</x:v>
      </x:c>
      <x:c r="P43" s="12" t="str">
        <x:f>IF(OR(M43="unavailable",O43="unavailable"),"不可评价",IF(OR(M43="equivocal",O43="equivocal"),"疑似",IF(AND(M43="positive",O43="positive"),"a",IF(O43="positive","b",IF(M43="positive","c","d")))))</x:f>
        <x:v>d</x:v>
      </x:c>
      <x:c r="Q43" s="12"/>
      <x:c r="R43" s="12" t="str">
        <x:v>negative</x:v>
      </x:c>
      <x:c r="S43" s="12"/>
      <x:c r="T43" s="12" t="str">
        <x:v>negative</x:v>
      </x:c>
      <x:c r="U43" s="12" t="str">
        <x:f>IF(OR(R43="unavailable",T43="unavailable"),"不可评价",IF(OR(R43="equivocal",T43="equivocal"),"疑似",IF(AND(R43="positive",T43="positive"),"a",IF(T43="positive","b",IF(R43="positive","c","d")))))</x:f>
        <x:v>d</x:v>
      </x:c>
      <x:c r="V43" s="12"/>
      <x:c r="W43" s="12" t="str">
        <x:v>negative</x:v>
      </x:c>
      <x:c r="X43" s="12"/>
      <x:c r="Y43" s="12" t="str">
        <x:v>negative</x:v>
      </x:c>
      <x:c r="Z43" s="12" t="str">
        <x:f>IF(OR(W43="unavailable",Y43="unavailable"),"不可评价",IF(OR(W43="equivocal",Y43="equivocal"),"疑似",IF(AND(W43="positive",Y43="positive"),"a",IF(Y43="positive","b",IF(W43="positive","c","d")))))</x:f>
        <x:v>d</x:v>
      </x:c>
      <x:c r="AA43" s="12" t="str">
        <x:f>IF(OR(M43="unavailable",O43="unavailable"),"不可评价",IF(AND(OR(M43="positive",M43="equivocal"),OR(O43="positive",O43="equivocal")),"a",IF(OR(O43="positive",O43="equivocal"),"b",IF(OR(M43="positive",M43="equivocal"),"c","d"))))</x:f>
        <x:v>d</x:v>
      </x:c>
      <x:c r="AB43" s="12" t="str">
        <x:f>IF(OR(M43="unavailable",O43="unavailable"),"不可评价",IF(AND(M43="positive",O43="positive"),"a",IF(O43="positive","b",IF(M43="positive","c","d"))))</x:f>
        <x:v>d</x:v>
      </x:c>
      <x:c r="AC43" s="12" t="str">
        <x:f>IF(OR(R43="unavailable",T43="unavailable"),"不可评价",IF(AND(OR(R43="positive",R43="equivocal"),OR(T43="positive",T43="equivocal")),"a",IF(OR(T43="positive",T43="equivocal"),"b",IF(OR(R43="positive",R43="equivocal"),"c","d"))))</x:f>
        <x:v>d</x:v>
      </x:c>
      <x:c r="AD43" s="12" t="str">
        <x:f>IF(OR(R43="unavailable",T43="unavailable"),"不可评价",IF(AND(R43="positive",T43="positive"),"a",IF(T43="positive","b",IF(R43="positive","c","d"))))</x:f>
        <x:v>d</x:v>
      </x:c>
      <x:c r="AE43" s="12" t="str">
        <x:f>IF(OR(W43="unavailable",Y43="unavailable"),"不可评价",IF(AND(OR(W43="positive",W43="equivocal"),OR(Y43="positive",Y43="equivocal")),"a",IF(OR(Y43="positive",Y43="equivocal"),"b",IF(OR(W43="positive",W43="equivocal"),"c","d"))))</x:f>
        <x:v>d</x:v>
      </x:c>
      <x:c r="AF43" s="12" t="str">
        <x:f>IF(OR(W43="unavailable",Y43="unavailable"),"不可评价",IF(AND(W43="positive",Y43="positive"),"a",IF(Y43="positive","b",IF(W43="positive","c","d"))))</x:f>
        <x:v>d</x:v>
      </x:c>
    </x:row>
    <x:row r="44" ht="24" customHeight="1">
      <x:c r="A44" s="12" t="str">
        <x:v>318</x:v>
      </x:c>
      <x:c r="B44" s="12" t="str">
        <x:v>2034</x:v>
      </x:c>
      <x:c r="C44" s="21" t="n">
        <x:v>31669.487025462964</x:v>
      </x:c>
      <x:c r="D44" s="12" t="n">
        <x:v>56</x:v>
      </x:c>
      <x:c r="E44" s="12" t="n">
        <x:v>0</x:v>
      </x:c>
      <x:c r="F44" s="12" t="str">
        <x:v>未记录</x:v>
      </x:c>
      <x:c r="G44" s="12" t="n">
        <x:v>1</x:v>
      </x:c>
      <x:c r="H44" s="12" t="str">
        <x:v>{'NDT': 100.0, 'DIG': 80.0, 'STD_': 0.0, 'AFIB': 0.0}</x:v>
      </x:c>
      <x:c r="I44" s="12" t="str">
        <x:v>[('AFIB', 100.0), ('IMI;AU', 50.0), ('AB', 100.0)]</x:v>
      </x:c>
      <x:c r="J44" s="12" t="str">
        <x:v>ptbxl_database.csv；ecg_id=318；scp_codes</x:v>
      </x:c>
      <x:c r="K44" s="12" t="str">
        <x:v>12sl_statements.csv；ecg_id=318；statements_ext_snomed</x:v>
      </x:c>
      <x:c r="L44" s="12" t="n">
        <x:v>0</x:v>
      </x:c>
      <x:c r="M44" s="12" t="str">
        <x:v>positive</x:v>
      </x:c>
      <x:c r="N44" s="12" t="n">
        <x:v>100</x:v>
      </x:c>
      <x:c r="O44" s="12" t="str">
        <x:v>positive</x:v>
      </x:c>
      <x:c r="P44" s="12" t="str">
        <x:f>IF(OR(M44="unavailable",O44="unavailable"),"不可评价",IF(OR(M44="equivocal",O44="equivocal"),"疑似",IF(AND(M44="positive",O44="positive"),"a",IF(O44="positive","b",IF(M44="positive","c","d")))))</x:f>
        <x:v>a</x:v>
      </x:c>
      <x:c r="Q44" s="12"/>
      <x:c r="R44" s="12" t="str">
        <x:v>negative</x:v>
      </x:c>
      <x:c r="S44" s="12"/>
      <x:c r="T44" s="12" t="str">
        <x:v>negative</x:v>
      </x:c>
      <x:c r="U44" s="12" t="str">
        <x:f>IF(OR(R44="unavailable",T44="unavailable"),"不可评价",IF(OR(R44="equivocal",T44="equivocal"),"疑似",IF(AND(R44="positive",T44="positive"),"a",IF(T44="positive","b",IF(R44="positive","c","d")))))</x:f>
        <x:v>d</x:v>
      </x:c>
      <x:c r="V44" s="12"/>
      <x:c r="W44" s="12" t="str">
        <x:v>negative</x:v>
      </x:c>
      <x:c r="X44" s="12"/>
      <x:c r="Y44" s="12" t="str">
        <x:v>negative</x:v>
      </x:c>
      <x:c r="Z44" s="12" t="str">
        <x:f>IF(OR(W44="unavailable",Y44="unavailable"),"不可评价",IF(OR(W44="equivocal",Y44="equivocal"),"疑似",IF(AND(W44="positive",Y44="positive"),"a",IF(Y44="positive","b",IF(W44="positive","c","d")))))</x:f>
        <x:v>d</x:v>
      </x:c>
      <x:c r="AA44" s="12" t="str">
        <x:f>IF(OR(M44="unavailable",O44="unavailable"),"不可评价",IF(AND(OR(M44="positive",M44="equivocal"),OR(O44="positive",O44="equivocal")),"a",IF(OR(O44="positive",O44="equivocal"),"b",IF(OR(M44="positive",M44="equivocal"),"c","d"))))</x:f>
        <x:v>a</x:v>
      </x:c>
      <x:c r="AB44" s="12" t="str">
        <x:f>IF(OR(M44="unavailable",O44="unavailable"),"不可评价",IF(AND(M44="positive",O44="positive"),"a",IF(O44="positive","b",IF(M44="positive","c","d"))))</x:f>
        <x:v>a</x:v>
      </x:c>
      <x:c r="AC44" s="12" t="str">
        <x:f>IF(OR(R44="unavailable",T44="unavailable"),"不可评价",IF(AND(OR(R44="positive",R44="equivocal"),OR(T44="positive",T44="equivocal")),"a",IF(OR(T44="positive",T44="equivocal"),"b",IF(OR(R44="positive",R44="equivocal"),"c","d"))))</x:f>
        <x:v>d</x:v>
      </x:c>
      <x:c r="AD44" s="12" t="str">
        <x:f>IF(OR(R44="unavailable",T44="unavailable"),"不可评价",IF(AND(R44="positive",T44="positive"),"a",IF(T44="positive","b",IF(R44="positive","c","d"))))</x:f>
        <x:v>d</x:v>
      </x:c>
      <x:c r="AE44" s="12" t="str">
        <x:f>IF(OR(W44="unavailable",Y44="unavailable"),"不可评价",IF(AND(OR(W44="positive",W44="equivocal"),OR(Y44="positive",Y44="equivocal")),"a",IF(OR(Y44="positive",Y44="equivocal"),"b",IF(OR(W44="positive",W44="equivocal"),"c","d"))))</x:f>
        <x:v>d</x:v>
      </x:c>
      <x:c r="AF44" s="12" t="str">
        <x:f>IF(OR(W44="unavailable",Y44="unavailable"),"不可评价",IF(AND(W44="positive",Y44="positive"),"a",IF(Y44="positive","b",IF(W44="positive","c","d"))))</x:f>
        <x:v>d</x:v>
      </x:c>
    </x:row>
    <x:row r="45" ht="24" customHeight="1">
      <x:c r="A45" s="12" t="str">
        <x:v>334</x:v>
      </x:c>
      <x:c r="B45" s="12" t="str">
        <x:v>2065</x:v>
      </x:c>
      <x:c r="C45" s="21" t="n">
        <x:v>31672.519340277777</x:v>
      </x:c>
      <x:c r="D45" s="12" t="n">
        <x:v>69</x:v>
      </x:c>
      <x:c r="E45" s="12" t="n">
        <x:v>1</x:v>
      </x:c>
      <x:c r="F45" s="12" t="str">
        <x:v>未记录</x:v>
      </x:c>
      <x:c r="G45" s="12" t="n">
        <x:v>1</x:v>
      </x:c>
      <x:c r="H45" s="12" t="str">
        <x:v>{'NORM': 100.0, 'SR': 0.0}</x:v>
      </x:c>
      <x:c r="I45" s="12" t="str">
        <x:v>[('SBRAD', 100.0), ('NSTT', 100.0), ('AB', 100.0)]</x:v>
      </x:c>
      <x:c r="J45" s="12" t="str">
        <x:v>ptbxl_database.csv；ecg_id=334；scp_codes</x:v>
      </x:c>
      <x:c r="K45" s="12" t="str">
        <x:v>12sl_statements.csv；ecg_id=334；statements_ext_snomed</x:v>
      </x:c>
      <x:c r="L45" s="12"/>
      <x:c r="M45" s="12" t="str">
        <x:v>negative</x:v>
      </x:c>
      <x:c r="N45" s="12"/>
      <x:c r="O45" s="12" t="str">
        <x:v>negative</x:v>
      </x:c>
      <x:c r="P45" s="12" t="str">
        <x:f>IF(OR(M45="unavailable",O45="unavailable"),"不可评价",IF(OR(M45="equivocal",O45="equivocal"),"疑似",IF(AND(M45="positive",O45="positive"),"a",IF(O45="positive","b",IF(M45="positive","c","d")))))</x:f>
        <x:v>d</x:v>
      </x:c>
      <x:c r="Q45" s="12"/>
      <x:c r="R45" s="12" t="str">
        <x:v>negative</x:v>
      </x:c>
      <x:c r="S45" s="12"/>
      <x:c r="T45" s="12" t="str">
        <x:v>negative</x:v>
      </x:c>
      <x:c r="U45" s="12" t="str">
        <x:f>IF(OR(R45="unavailable",T45="unavailable"),"不可评价",IF(OR(R45="equivocal",T45="equivocal"),"疑似",IF(AND(R45="positive",T45="positive"),"a",IF(T45="positive","b",IF(R45="positive","c","d")))))</x:f>
        <x:v>d</x:v>
      </x:c>
      <x:c r="V45" s="12"/>
      <x:c r="W45" s="12" t="str">
        <x:v>negative</x:v>
      </x:c>
      <x:c r="X45" s="12"/>
      <x:c r="Y45" s="12" t="str">
        <x:v>negative</x:v>
      </x:c>
      <x:c r="Z45" s="12" t="str">
        <x:f>IF(OR(W45="unavailable",Y45="unavailable"),"不可评价",IF(OR(W45="equivocal",Y45="equivocal"),"疑似",IF(AND(W45="positive",Y45="positive"),"a",IF(Y45="positive","b",IF(W45="positive","c","d")))))</x:f>
        <x:v>d</x:v>
      </x:c>
      <x:c r="AA45" s="12" t="str">
        <x:f>IF(OR(M45="unavailable",O45="unavailable"),"不可评价",IF(AND(OR(M45="positive",M45="equivocal"),OR(O45="positive",O45="equivocal")),"a",IF(OR(O45="positive",O45="equivocal"),"b",IF(OR(M45="positive",M45="equivocal"),"c","d"))))</x:f>
        <x:v>d</x:v>
      </x:c>
      <x:c r="AB45" s="12" t="str">
        <x:f>IF(OR(M45="unavailable",O45="unavailable"),"不可评价",IF(AND(M45="positive",O45="positive"),"a",IF(O45="positive","b",IF(M45="positive","c","d"))))</x:f>
        <x:v>d</x:v>
      </x:c>
      <x:c r="AC45" s="12" t="str">
        <x:f>IF(OR(R45="unavailable",T45="unavailable"),"不可评价",IF(AND(OR(R45="positive",R45="equivocal"),OR(T45="positive",T45="equivocal")),"a",IF(OR(T45="positive",T45="equivocal"),"b",IF(OR(R45="positive",R45="equivocal"),"c","d"))))</x:f>
        <x:v>d</x:v>
      </x:c>
      <x:c r="AD45" s="12" t="str">
        <x:f>IF(OR(R45="unavailable",T45="unavailable"),"不可评价",IF(AND(R45="positive",T45="positive"),"a",IF(T45="positive","b",IF(R45="positive","c","d"))))</x:f>
        <x:v>d</x:v>
      </x:c>
      <x:c r="AE45" s="12" t="str">
        <x:f>IF(OR(W45="unavailable",Y45="unavailable"),"不可评价",IF(AND(OR(W45="positive",W45="equivocal"),OR(Y45="positive",Y45="equivocal")),"a",IF(OR(Y45="positive",Y45="equivocal"),"b",IF(OR(W45="positive",W45="equivocal"),"c","d"))))</x:f>
        <x:v>d</x:v>
      </x:c>
      <x:c r="AF45" s="12" t="str">
        <x:f>IF(OR(W45="unavailable",Y45="unavailable"),"不可评价",IF(AND(W45="positive",Y45="positive"),"a",IF(Y45="positive","b",IF(W45="positive","c","d"))))</x:f>
        <x:v>d</x:v>
      </x:c>
    </x:row>
    <x:row r="46" ht="39" customHeight="1">
      <x:c r="A46" s="12" t="str">
        <x:v>336</x:v>
      </x:c>
      <x:c r="B46" s="12" t="str">
        <x:v>449</x:v>
      </x:c>
      <x:c r="C46" s="21" t="n">
        <x:v>31672.57263888889</x:v>
      </x:c>
      <x:c r="D46" s="12" t="n">
        <x:v>75</x:v>
      </x:c>
      <x:c r="E46" s="12" t="n">
        <x:v>0</x:v>
      </x:c>
      <x:c r="F46" s="12" t="str">
        <x:v>存在</x:v>
      </x:c>
      <x:c r="G46" s="12" t="n">
        <x:v>0</x:v>
      </x:c>
      <x:c r="H46" s="12" t="str">
        <x:v>{'LVH': 100.0, 'ISC_': 100.0, 'PVC': 100.0, 'NST_': 0.0, 'AFLT': 0.0, 'SVTAC': 0.0}</x:v>
      </x:c>
      <x:c r="I46" s="12" t="str">
        <x:v>[('FLUT', 100.0), ('VAVB', 100.0), ('ABER', 100.0), ('LVH2', 100.0), ('2ST', 100.0), ('AB', 100.0)]</x:v>
      </x:c>
      <x:c r="J46" s="12" t="str">
        <x:v>ptbxl_database.csv；ecg_id=336；scp_codes</x:v>
      </x:c>
      <x:c r="K46" s="12" t="str">
        <x:v>12sl_statements.csv；ecg_id=336；statements_ext_snomed</x:v>
      </x:c>
      <x:c r="L46" s="12"/>
      <x:c r="M46" s="12" t="str">
        <x:v>negative</x:v>
      </x:c>
      <x:c r="N46" s="12"/>
      <x:c r="O46" s="12" t="str">
        <x:v>negative</x:v>
      </x:c>
      <x:c r="P46" s="12" t="str">
        <x:f>IF(OR(M46="unavailable",O46="unavailable"),"不可评价",IF(OR(M46="equivocal",O46="equivocal"),"疑似",IF(AND(M46="positive",O46="positive"),"a",IF(O46="positive","b",IF(M46="positive","c","d")))))</x:f>
        <x:v>d</x:v>
      </x:c>
      <x:c r="Q46" s="12"/>
      <x:c r="R46" s="12" t="str">
        <x:v>negative</x:v>
      </x:c>
      <x:c r="S46" s="12"/>
      <x:c r="T46" s="12" t="str">
        <x:v>negative</x:v>
      </x:c>
      <x:c r="U46" s="12" t="str">
        <x:f>IF(OR(R46="unavailable",T46="unavailable"),"不可评价",IF(OR(R46="equivocal",T46="equivocal"),"疑似",IF(AND(R46="positive",T46="positive"),"a",IF(T46="positive","b",IF(R46="positive","c","d")))))</x:f>
        <x:v>d</x:v>
      </x:c>
      <x:c r="V46" s="12"/>
      <x:c r="W46" s="12" t="str">
        <x:v>negative</x:v>
      </x:c>
      <x:c r="X46" s="12"/>
      <x:c r="Y46" s="12" t="str">
        <x:v>negative</x:v>
      </x:c>
      <x:c r="Z46" s="12" t="str">
        <x:f>IF(OR(W46="unavailable",Y46="unavailable"),"不可评价",IF(OR(W46="equivocal",Y46="equivocal"),"疑似",IF(AND(W46="positive",Y46="positive"),"a",IF(Y46="positive","b",IF(W46="positive","c","d")))))</x:f>
        <x:v>d</x:v>
      </x:c>
      <x:c r="AA46" s="12" t="str">
        <x:f>IF(OR(M46="unavailable",O46="unavailable"),"不可评价",IF(AND(OR(M46="positive",M46="equivocal"),OR(O46="positive",O46="equivocal")),"a",IF(OR(O46="positive",O46="equivocal"),"b",IF(OR(M46="positive",M46="equivocal"),"c","d"))))</x:f>
        <x:v>d</x:v>
      </x:c>
      <x:c r="AB46" s="12" t="str">
        <x:f>IF(OR(M46="unavailable",O46="unavailable"),"不可评价",IF(AND(M46="positive",O46="positive"),"a",IF(O46="positive","b",IF(M46="positive","c","d"))))</x:f>
        <x:v>d</x:v>
      </x:c>
      <x:c r="AC46" s="12" t="str">
        <x:f>IF(OR(R46="unavailable",T46="unavailable"),"不可评价",IF(AND(OR(R46="positive",R46="equivocal"),OR(T46="positive",T46="equivocal")),"a",IF(OR(T46="positive",T46="equivocal"),"b",IF(OR(R46="positive",R46="equivocal"),"c","d"))))</x:f>
        <x:v>d</x:v>
      </x:c>
      <x:c r="AD46" s="12" t="str">
        <x:f>IF(OR(R46="unavailable",T46="unavailable"),"不可评价",IF(AND(R46="positive",T46="positive"),"a",IF(T46="positive","b",IF(R46="positive","c","d"))))</x:f>
        <x:v>d</x:v>
      </x:c>
      <x:c r="AE46" s="12" t="str">
        <x:f>IF(OR(W46="unavailable",Y46="unavailable"),"不可评价",IF(AND(OR(W46="positive",W46="equivocal"),OR(Y46="positive",Y46="equivocal")),"a",IF(OR(Y46="positive",Y46="equivocal"),"b",IF(OR(W46="positive",W46="equivocal"),"c","d"))))</x:f>
        <x:v>d</x:v>
      </x:c>
      <x:c r="AF46" s="12" t="str">
        <x:f>IF(OR(W46="unavailable",Y46="unavailable"),"不可评价",IF(AND(W46="positive",Y46="positive"),"a",IF(Y46="positive","b",IF(W46="positive","c","d"))))</x:f>
        <x:v>d</x:v>
      </x:c>
    </x:row>
    <x:row r="47" ht="39" customHeight="1">
      <x:c r="A47" s="12" t="str">
        <x:v>347</x:v>
      </x:c>
      <x:c r="B47" s="12" t="str">
        <x:v>449</x:v>
      </x:c>
      <x:c r="C47" s="21" t="n">
        <x:v>31681.47435185185</x:v>
      </x:c>
      <x:c r="D47" s="12" t="n">
        <x:v>75</x:v>
      </x:c>
      <x:c r="E47" s="12" t="n">
        <x:v>0</x:v>
      </x:c>
      <x:c r="F47" s="12" t="str">
        <x:v>未记录</x:v>
      </x:c>
      <x:c r="G47" s="12" t="n">
        <x:v>0</x:v>
      </x:c>
      <x:c r="H47" s="12" t="str">
        <x:v>{'LVH': 50.0, 'ISC_': 100.0, 'LAO/LAE': 50.0, '1AVB': 100.0, 'NST_': 0.0, 'LPR': 0.0, 'SR': 0.0, 'AFLT': 0.0}</x:v>
      </x:c>
      <x:c r="I47" s="12" t="str">
        <x:v>[('SRTH', 100.0), ('FAV', 100.0), ('LAE', 50.0), ('LVH2', 100.0), ('QRSW-2ST', 100.0), ('AB', 100.0)]</x:v>
      </x:c>
      <x:c r="J47" s="12" t="str">
        <x:v>ptbxl_database.csv；ecg_id=347；scp_codes</x:v>
      </x:c>
      <x:c r="K47" s="12" t="str">
        <x:v>12sl_statements.csv；ecg_id=347；statements_ext_snomed</x:v>
      </x:c>
      <x:c r="L47" s="12"/>
      <x:c r="M47" s="12" t="str">
        <x:v>negative</x:v>
      </x:c>
      <x:c r="N47" s="12"/>
      <x:c r="O47" s="12" t="str">
        <x:v>negative</x:v>
      </x:c>
      <x:c r="P47" s="12" t="str">
        <x:f>IF(OR(M47="unavailable",O47="unavailable"),"不可评价",IF(OR(M47="equivocal",O47="equivocal"),"疑似",IF(AND(M47="positive",O47="positive"),"a",IF(O47="positive","b",IF(M47="positive","c","d")))))</x:f>
        <x:v>d</x:v>
      </x:c>
      <x:c r="Q47" s="12"/>
      <x:c r="R47" s="12" t="str">
        <x:v>negative</x:v>
      </x:c>
      <x:c r="S47" s="12"/>
      <x:c r="T47" s="12" t="str">
        <x:v>negative</x:v>
      </x:c>
      <x:c r="U47" s="12" t="str">
        <x:f>IF(OR(R47="unavailable",T47="unavailable"),"不可评价",IF(OR(R47="equivocal",T47="equivocal"),"疑似",IF(AND(R47="positive",T47="positive"),"a",IF(T47="positive","b",IF(R47="positive","c","d")))))</x:f>
        <x:v>d</x:v>
      </x:c>
      <x:c r="V47" s="12"/>
      <x:c r="W47" s="12" t="str">
        <x:v>negative</x:v>
      </x:c>
      <x:c r="X47" s="12"/>
      <x:c r="Y47" s="12" t="str">
        <x:v>negative</x:v>
      </x:c>
      <x:c r="Z47" s="12" t="str">
        <x:f>IF(OR(W47="unavailable",Y47="unavailable"),"不可评价",IF(OR(W47="equivocal",Y47="equivocal"),"疑似",IF(AND(W47="positive",Y47="positive"),"a",IF(Y47="positive","b",IF(W47="positive","c","d")))))</x:f>
        <x:v>d</x:v>
      </x:c>
      <x:c r="AA47" s="12" t="str">
        <x:f>IF(OR(M47="unavailable",O47="unavailable"),"不可评价",IF(AND(OR(M47="positive",M47="equivocal"),OR(O47="positive",O47="equivocal")),"a",IF(OR(O47="positive",O47="equivocal"),"b",IF(OR(M47="positive",M47="equivocal"),"c","d"))))</x:f>
        <x:v>d</x:v>
      </x:c>
      <x:c r="AB47" s="12" t="str">
        <x:f>IF(OR(M47="unavailable",O47="unavailable"),"不可评价",IF(AND(M47="positive",O47="positive"),"a",IF(O47="positive","b",IF(M47="positive","c","d"))))</x:f>
        <x:v>d</x:v>
      </x:c>
      <x:c r="AC47" s="12" t="str">
        <x:f>IF(OR(R47="unavailable",T47="unavailable"),"不可评价",IF(AND(OR(R47="positive",R47="equivocal"),OR(T47="positive",T47="equivocal")),"a",IF(OR(T47="positive",T47="equivocal"),"b",IF(OR(R47="positive",R47="equivocal"),"c","d"))))</x:f>
        <x:v>d</x:v>
      </x:c>
      <x:c r="AD47" s="12" t="str">
        <x:f>IF(OR(R47="unavailable",T47="unavailable"),"不可评价",IF(AND(R47="positive",T47="positive"),"a",IF(T47="positive","b",IF(R47="positive","c","d"))))</x:f>
        <x:v>d</x:v>
      </x:c>
      <x:c r="AE47" s="12" t="str">
        <x:f>IF(OR(W47="unavailable",Y47="unavailable"),"不可评价",IF(AND(OR(W47="positive",W47="equivocal"),OR(Y47="positive",Y47="equivocal")),"a",IF(OR(Y47="positive",Y47="equivocal"),"b",IF(OR(W47="positive",W47="equivocal"),"c","d"))))</x:f>
        <x:v>d</x:v>
      </x:c>
      <x:c r="AF47" s="12" t="str">
        <x:f>IF(OR(W47="unavailable",Y47="unavailable"),"不可评价",IF(AND(W47="positive",Y47="positive"),"a",IF(Y47="positive","b",IF(W47="positive","c","d"))))</x:f>
        <x:v>d</x:v>
      </x:c>
    </x:row>
    <x:row r="48" ht="24" customHeight="1">
      <x:c r="A48" s="12" t="str">
        <x:v>361</x:v>
      </x:c>
      <x:c r="B48" s="12" t="str">
        <x:v>13000</x:v>
      </x:c>
      <x:c r="C48" s="21" t="n">
        <x:v>31725.291724537037</x:v>
      </x:c>
      <x:c r="D48" s="12" t="n">
        <x:v>50</x:v>
      </x:c>
      <x:c r="E48" s="12" t="n">
        <x:v>0</x:v>
      </x:c>
      <x:c r="F48" s="12" t="str">
        <x:v>未记录</x:v>
      </x:c>
      <x:c r="G48" s="12" t="n">
        <x:v>1</x:v>
      </x:c>
      <x:c r="H48" s="12" t="str">
        <x:v>{'NORM': 100.0, 'SR': 0.0}</x:v>
      </x:c>
      <x:c r="I48" s="12" t="str">
        <x:v>[('NSR', 100.0), ('NML', 100.0)]</x:v>
      </x:c>
      <x:c r="J48" s="12" t="str">
        <x:v>ptbxl_database.csv；ecg_id=361；scp_codes</x:v>
      </x:c>
      <x:c r="K48" s="12" t="str">
        <x:v>12sl_statements.csv；ecg_id=361；statements_ext_snomed</x:v>
      </x:c>
      <x:c r="L48" s="12"/>
      <x:c r="M48" s="12" t="str">
        <x:v>negative</x:v>
      </x:c>
      <x:c r="N48" s="12"/>
      <x:c r="O48" s="12" t="str">
        <x:v>negative</x:v>
      </x:c>
      <x:c r="P48" s="12" t="str">
        <x:f>IF(OR(M48="unavailable",O48="unavailable"),"不可评价",IF(OR(M48="equivocal",O48="equivocal"),"疑似",IF(AND(M48="positive",O48="positive"),"a",IF(O48="positive","b",IF(M48="positive","c","d")))))</x:f>
        <x:v>d</x:v>
      </x:c>
      <x:c r="Q48" s="12"/>
      <x:c r="R48" s="12" t="str">
        <x:v>negative</x:v>
      </x:c>
      <x:c r="S48" s="12"/>
      <x:c r="T48" s="12" t="str">
        <x:v>negative</x:v>
      </x:c>
      <x:c r="U48" s="12" t="str">
        <x:f>IF(OR(R48="unavailable",T48="unavailable"),"不可评价",IF(OR(R48="equivocal",T48="equivocal"),"疑似",IF(AND(R48="positive",T48="positive"),"a",IF(T48="positive","b",IF(R48="positive","c","d")))))</x:f>
        <x:v>d</x:v>
      </x:c>
      <x:c r="V48" s="12"/>
      <x:c r="W48" s="12" t="str">
        <x:v>negative</x:v>
      </x:c>
      <x:c r="X48" s="12"/>
      <x:c r="Y48" s="12" t="str">
        <x:v>negative</x:v>
      </x:c>
      <x:c r="Z48" s="12" t="str">
        <x:f>IF(OR(W48="unavailable",Y48="unavailable"),"不可评价",IF(OR(W48="equivocal",Y48="equivocal"),"疑似",IF(AND(W48="positive",Y48="positive"),"a",IF(Y48="positive","b",IF(W48="positive","c","d")))))</x:f>
        <x:v>d</x:v>
      </x:c>
      <x:c r="AA48" s="12" t="str">
        <x:f>IF(OR(M48="unavailable",O48="unavailable"),"不可评价",IF(AND(OR(M48="positive",M48="equivocal"),OR(O48="positive",O48="equivocal")),"a",IF(OR(O48="positive",O48="equivocal"),"b",IF(OR(M48="positive",M48="equivocal"),"c","d"))))</x:f>
        <x:v>d</x:v>
      </x:c>
      <x:c r="AB48" s="12" t="str">
        <x:f>IF(OR(M48="unavailable",O48="unavailable"),"不可评价",IF(AND(M48="positive",O48="positive"),"a",IF(O48="positive","b",IF(M48="positive","c","d"))))</x:f>
        <x:v>d</x:v>
      </x:c>
      <x:c r="AC48" s="12" t="str">
        <x:f>IF(OR(R48="unavailable",T48="unavailable"),"不可评价",IF(AND(OR(R48="positive",R48="equivocal"),OR(T48="positive",T48="equivocal")),"a",IF(OR(T48="positive",T48="equivocal"),"b",IF(OR(R48="positive",R48="equivocal"),"c","d"))))</x:f>
        <x:v>d</x:v>
      </x:c>
      <x:c r="AD48" s="12" t="str">
        <x:f>IF(OR(R48="unavailable",T48="unavailable"),"不可评价",IF(AND(R48="positive",T48="positive"),"a",IF(T48="positive","b",IF(R48="positive","c","d"))))</x:f>
        <x:v>d</x:v>
      </x:c>
      <x:c r="AE48" s="12" t="str">
        <x:f>IF(OR(W48="unavailable",Y48="unavailable"),"不可评价",IF(AND(OR(W48="positive",W48="equivocal"),OR(Y48="positive",Y48="equivocal")),"a",IF(OR(Y48="positive",Y48="equivocal"),"b",IF(OR(W48="positive",W48="equivocal"),"c","d"))))</x:f>
        <x:v>d</x:v>
      </x:c>
      <x:c r="AF48" s="12" t="str">
        <x:f>IF(OR(W48="unavailable",Y48="unavailable"),"不可评价",IF(AND(W48="positive",Y48="positive"),"a",IF(Y48="positive","b",IF(W48="positive","c","d"))))</x:f>
        <x:v>d</x:v>
      </x:c>
    </x:row>
    <x:row r="49" ht="24" customHeight="1">
      <x:c r="A49" s="12" t="str">
        <x:v>364</x:v>
      </x:c>
      <x:c r="B49" s="12" t="str">
        <x:v>15645</x:v>
      </x:c>
      <x:c r="C49" s="21" t="n">
        <x:v>31730.61763888889</x:v>
      </x:c>
      <x:c r="D49" s="12" t="n">
        <x:v>20</x:v>
      </x:c>
      <x:c r="E49" s="12" t="n">
        <x:v>0</x:v>
      </x:c>
      <x:c r="F49" s="12" t="str">
        <x:v>未记录</x:v>
      </x:c>
      <x:c r="G49" s="12" t="n">
        <x:v>1</x:v>
      </x:c>
      <x:c r="H49" s="12" t="str">
        <x:v>{'NORM': 100.0, 'SR': 0.0}</x:v>
      </x:c>
      <x:c r="I49" s="12" t="str">
        <x:v>[('SBRAD', 100.0), ('BORDE', 100.0)]</x:v>
      </x:c>
      <x:c r="J49" s="12" t="str">
        <x:v>ptbxl_database.csv；ecg_id=364；scp_codes</x:v>
      </x:c>
      <x:c r="K49" s="12" t="str">
        <x:v>12sl_statements.csv；ecg_id=364；statements_ext_snomed</x:v>
      </x:c>
      <x:c r="L49" s="12"/>
      <x:c r="M49" s="12" t="str">
        <x:v>negative</x:v>
      </x:c>
      <x:c r="N49" s="12"/>
      <x:c r="O49" s="12" t="str">
        <x:v>negative</x:v>
      </x:c>
      <x:c r="P49" s="12" t="str">
        <x:f>IF(OR(M49="unavailable",O49="unavailable"),"不可评价",IF(OR(M49="equivocal",O49="equivocal"),"疑似",IF(AND(M49="positive",O49="positive"),"a",IF(O49="positive","b",IF(M49="positive","c","d")))))</x:f>
        <x:v>d</x:v>
      </x:c>
      <x:c r="Q49" s="12"/>
      <x:c r="R49" s="12" t="str">
        <x:v>negative</x:v>
      </x:c>
      <x:c r="S49" s="12"/>
      <x:c r="T49" s="12" t="str">
        <x:v>negative</x:v>
      </x:c>
      <x:c r="U49" s="12" t="str">
        <x:f>IF(OR(R49="unavailable",T49="unavailable"),"不可评价",IF(OR(R49="equivocal",T49="equivocal"),"疑似",IF(AND(R49="positive",T49="positive"),"a",IF(T49="positive","b",IF(R49="positive","c","d")))))</x:f>
        <x:v>d</x:v>
      </x:c>
      <x:c r="V49" s="12"/>
      <x:c r="W49" s="12" t="str">
        <x:v>negative</x:v>
      </x:c>
      <x:c r="X49" s="12"/>
      <x:c r="Y49" s="12" t="str">
        <x:v>negative</x:v>
      </x:c>
      <x:c r="Z49" s="12" t="str">
        <x:f>IF(OR(W49="unavailable",Y49="unavailable"),"不可评价",IF(OR(W49="equivocal",Y49="equivocal"),"疑似",IF(AND(W49="positive",Y49="positive"),"a",IF(Y49="positive","b",IF(W49="positive","c","d")))))</x:f>
        <x:v>d</x:v>
      </x:c>
      <x:c r="AA49" s="12" t="str">
        <x:f>IF(OR(M49="unavailable",O49="unavailable"),"不可评价",IF(AND(OR(M49="positive",M49="equivocal"),OR(O49="positive",O49="equivocal")),"a",IF(OR(O49="positive",O49="equivocal"),"b",IF(OR(M49="positive",M49="equivocal"),"c","d"))))</x:f>
        <x:v>d</x:v>
      </x:c>
      <x:c r="AB49" s="12" t="str">
        <x:f>IF(OR(M49="unavailable",O49="unavailable"),"不可评价",IF(AND(M49="positive",O49="positive"),"a",IF(O49="positive","b",IF(M49="positive","c","d"))))</x:f>
        <x:v>d</x:v>
      </x:c>
      <x:c r="AC49" s="12" t="str">
        <x:f>IF(OR(R49="unavailable",T49="unavailable"),"不可评价",IF(AND(OR(R49="positive",R49="equivocal"),OR(T49="positive",T49="equivocal")),"a",IF(OR(T49="positive",T49="equivocal"),"b",IF(OR(R49="positive",R49="equivocal"),"c","d"))))</x:f>
        <x:v>d</x:v>
      </x:c>
      <x:c r="AD49" s="12" t="str">
        <x:f>IF(OR(R49="unavailable",T49="unavailable"),"不可评价",IF(AND(R49="positive",T49="positive"),"a",IF(T49="positive","b",IF(R49="positive","c","d"))))</x:f>
        <x:v>d</x:v>
      </x:c>
      <x:c r="AE49" s="12" t="str">
        <x:f>IF(OR(W49="unavailable",Y49="unavailable"),"不可评价",IF(AND(OR(W49="positive",W49="equivocal"),OR(Y49="positive",Y49="equivocal")),"a",IF(OR(Y49="positive",Y49="equivocal"),"b",IF(OR(W49="positive",W49="equivocal"),"c","d"))))</x:f>
        <x:v>d</x:v>
      </x:c>
      <x:c r="AF49" s="12" t="str">
        <x:f>IF(OR(W49="unavailable",Y49="unavailable"),"不可评价",IF(AND(W49="positive",Y49="positive"),"a",IF(Y49="positive","b",IF(W49="positive","c","d"))))</x:f>
        <x:v>d</x:v>
      </x:c>
    </x:row>
    <x:row r="50" ht="24" customHeight="1">
      <x:c r="A50" s="12" t="str">
        <x:v>382</x:v>
      </x:c>
      <x:c r="B50" s="12" t="str">
        <x:v>10186</x:v>
      </x:c>
      <x:c r="C50" s="21" t="n">
        <x:v>31757.369907407407</x:v>
      </x:c>
      <x:c r="D50" s="12" t="n">
        <x:v>81</x:v>
      </x:c>
      <x:c r="E50" s="12" t="n">
        <x:v>0</x:v>
      </x:c>
      <x:c r="F50" s="12" t="str">
        <x:v>存在</x:v>
      </x:c>
      <x:c r="G50" s="12" t="n">
        <x:v>1</x:v>
      </x:c>
      <x:c r="H50" s="12" t="str">
        <x:v>{'PACE': 100.0}</x:v>
      </x:c>
      <x:c r="I50" s="12" t="str">
        <x:v>[('AFIB', 100.0), ('VPCX', 100.0), ('QRST', 100.0), ('AB', 100.0)]</x:v>
      </x:c>
      <x:c r="J50" s="12" t="str">
        <x:v>ptbxl_database.csv；ecg_id=382；scp_codes</x:v>
      </x:c>
      <x:c r="K50" s="12" t="str">
        <x:v>12sl_statements.csv；ecg_id=382；statements_ext_snomed</x:v>
      </x:c>
      <x:c r="L50" s="12"/>
      <x:c r="M50" s="12" t="str">
        <x:v>negative</x:v>
      </x:c>
      <x:c r="N50" s="12" t="n">
        <x:v>100</x:v>
      </x:c>
      <x:c r="O50" s="12" t="str">
        <x:v>positive</x:v>
      </x:c>
      <x:c r="P50" s="12" t="str">
        <x:f>IF(OR(M50="unavailable",O50="unavailable"),"不可评价",IF(OR(M50="equivocal",O50="equivocal"),"疑似",IF(AND(M50="positive",O50="positive"),"a",IF(O50="positive","b",IF(M50="positive","c","d")))))</x:f>
        <x:v>b</x:v>
      </x:c>
      <x:c r="Q50" s="12"/>
      <x:c r="R50" s="12" t="str">
        <x:v>negative</x:v>
      </x:c>
      <x:c r="S50" s="12"/>
      <x:c r="T50" s="12" t="str">
        <x:v>negative</x:v>
      </x:c>
      <x:c r="U50" s="12" t="str">
        <x:f>IF(OR(R50="unavailable",T50="unavailable"),"不可评价",IF(OR(R50="equivocal",T50="equivocal"),"疑似",IF(AND(R50="positive",T50="positive"),"a",IF(T50="positive","b",IF(R50="positive","c","d")))))</x:f>
        <x:v>d</x:v>
      </x:c>
      <x:c r="V50" s="12"/>
      <x:c r="W50" s="12" t="str">
        <x:v>negative</x:v>
      </x:c>
      <x:c r="X50" s="12"/>
      <x:c r="Y50" s="12" t="str">
        <x:v>negative</x:v>
      </x:c>
      <x:c r="Z50" s="12" t="str">
        <x:f>IF(OR(W50="unavailable",Y50="unavailable"),"不可评价",IF(OR(W50="equivocal",Y50="equivocal"),"疑似",IF(AND(W50="positive",Y50="positive"),"a",IF(Y50="positive","b",IF(W50="positive","c","d")))))</x:f>
        <x:v>d</x:v>
      </x:c>
      <x:c r="AA50" s="12" t="str">
        <x:f>IF(OR(M50="unavailable",O50="unavailable"),"不可评价",IF(AND(OR(M50="positive",M50="equivocal"),OR(O50="positive",O50="equivocal")),"a",IF(OR(O50="positive",O50="equivocal"),"b",IF(OR(M50="positive",M50="equivocal"),"c","d"))))</x:f>
        <x:v>b</x:v>
      </x:c>
      <x:c r="AB50" s="12" t="str">
        <x:f>IF(OR(M50="unavailable",O50="unavailable"),"不可评价",IF(AND(M50="positive",O50="positive"),"a",IF(O50="positive","b",IF(M50="positive","c","d"))))</x:f>
        <x:v>b</x:v>
      </x:c>
      <x:c r="AC50" s="12" t="str">
        <x:f>IF(OR(R50="unavailable",T50="unavailable"),"不可评价",IF(AND(OR(R50="positive",R50="equivocal"),OR(T50="positive",T50="equivocal")),"a",IF(OR(T50="positive",T50="equivocal"),"b",IF(OR(R50="positive",R50="equivocal"),"c","d"))))</x:f>
        <x:v>d</x:v>
      </x:c>
      <x:c r="AD50" s="12" t="str">
        <x:f>IF(OR(R50="unavailable",T50="unavailable"),"不可评价",IF(AND(R50="positive",T50="positive"),"a",IF(T50="positive","b",IF(R50="positive","c","d"))))</x:f>
        <x:v>d</x:v>
      </x:c>
      <x:c r="AE50" s="12" t="str">
        <x:f>IF(OR(W50="unavailable",Y50="unavailable"),"不可评价",IF(AND(OR(W50="positive",W50="equivocal"),OR(Y50="positive",Y50="equivocal")),"a",IF(OR(Y50="positive",Y50="equivocal"),"b",IF(OR(W50="positive",W50="equivocal"),"c","d"))))</x:f>
        <x:v>d</x:v>
      </x:c>
      <x:c r="AF50" s="12" t="str">
        <x:f>IF(OR(W50="unavailable",Y50="unavailable"),"不可评价",IF(AND(W50="positive",Y50="positive"),"a",IF(Y50="positive","b",IF(W50="positive","c","d"))))</x:f>
        <x:v>d</x:v>
      </x:c>
    </x:row>
    <x:row r="51" ht="24" customHeight="1">
      <x:c r="A51" s="12" t="str">
        <x:v>388</x:v>
      </x:c>
      <x:c r="B51" s="12" t="str">
        <x:v>16023</x:v>
      </x:c>
      <x:c r="C51" s="21" t="n">
        <x:v>31759.47648148148</x:v>
      </x:c>
      <x:c r="D51" s="12" t="n">
        <x:v>83</x:v>
      </x:c>
      <x:c r="E51" s="12" t="n">
        <x:v>1</x:v>
      </x:c>
      <x:c r="F51" s="12" t="str">
        <x:v>存在</x:v>
      </x:c>
      <x:c r="G51" s="12" t="n">
        <x:v>1</x:v>
      </x:c>
      <x:c r="H51" s="12" t="str">
        <x:v>{'NST_': 100.0, 'SR': 0.0}</x:v>
      </x:c>
      <x:c r="I51" s="12" t="str">
        <x:v>[('NSR', 100.0), ('NT', 100.0), ('LNGQT', 100.0), ('AB', 100.0)]</x:v>
      </x:c>
      <x:c r="J51" s="12" t="str">
        <x:v>ptbxl_database.csv；ecg_id=388；scp_codes</x:v>
      </x:c>
      <x:c r="K51" s="12" t="str">
        <x:v>12sl_statements.csv；ecg_id=388；statements_ext_snomed</x:v>
      </x:c>
      <x:c r="L51" s="12"/>
      <x:c r="M51" s="12" t="str">
        <x:v>negative</x:v>
      </x:c>
      <x:c r="N51" s="12"/>
      <x:c r="O51" s="12" t="str">
        <x:v>negative</x:v>
      </x:c>
      <x:c r="P51" s="12" t="str">
        <x:f>IF(OR(M51="unavailable",O51="unavailable"),"不可评价",IF(OR(M51="equivocal",O51="equivocal"),"疑似",IF(AND(M51="positive",O51="positive"),"a",IF(O51="positive","b",IF(M51="positive","c","d")))))</x:f>
        <x:v>d</x:v>
      </x:c>
      <x:c r="Q51" s="12"/>
      <x:c r="R51" s="12" t="str">
        <x:v>negative</x:v>
      </x:c>
      <x:c r="S51" s="12"/>
      <x:c r="T51" s="12" t="str">
        <x:v>negative</x:v>
      </x:c>
      <x:c r="U51" s="12" t="str">
        <x:f>IF(OR(R51="unavailable",T51="unavailable"),"不可评价",IF(OR(R51="equivocal",T51="equivocal"),"疑似",IF(AND(R51="positive",T51="positive"),"a",IF(T51="positive","b",IF(R51="positive","c","d")))))</x:f>
        <x:v>d</x:v>
      </x:c>
      <x:c r="V51" s="12"/>
      <x:c r="W51" s="12" t="str">
        <x:v>negative</x:v>
      </x:c>
      <x:c r="X51" s="12"/>
      <x:c r="Y51" s="12" t="str">
        <x:v>negative</x:v>
      </x:c>
      <x:c r="Z51" s="12" t="str">
        <x:f>IF(OR(W51="unavailable",Y51="unavailable"),"不可评价",IF(OR(W51="equivocal",Y51="equivocal"),"疑似",IF(AND(W51="positive",Y51="positive"),"a",IF(Y51="positive","b",IF(W51="positive","c","d")))))</x:f>
        <x:v>d</x:v>
      </x:c>
      <x:c r="AA51" s="12" t="str">
        <x:f>IF(OR(M51="unavailable",O51="unavailable"),"不可评价",IF(AND(OR(M51="positive",M51="equivocal"),OR(O51="positive",O51="equivocal")),"a",IF(OR(O51="positive",O51="equivocal"),"b",IF(OR(M51="positive",M51="equivocal"),"c","d"))))</x:f>
        <x:v>d</x:v>
      </x:c>
      <x:c r="AB51" s="12" t="str">
        <x:f>IF(OR(M51="unavailable",O51="unavailable"),"不可评价",IF(AND(M51="positive",O51="positive"),"a",IF(O51="positive","b",IF(M51="positive","c","d"))))</x:f>
        <x:v>d</x:v>
      </x:c>
      <x:c r="AC51" s="12" t="str">
        <x:f>IF(OR(R51="unavailable",T51="unavailable"),"不可评价",IF(AND(OR(R51="positive",R51="equivocal"),OR(T51="positive",T51="equivocal")),"a",IF(OR(T51="positive",T51="equivocal"),"b",IF(OR(R51="positive",R51="equivocal"),"c","d"))))</x:f>
        <x:v>d</x:v>
      </x:c>
      <x:c r="AD51" s="12" t="str">
        <x:f>IF(OR(R51="unavailable",T51="unavailable"),"不可评价",IF(AND(R51="positive",T51="positive"),"a",IF(T51="positive","b",IF(R51="positive","c","d"))))</x:f>
        <x:v>d</x:v>
      </x:c>
      <x:c r="AE51" s="12" t="str">
        <x:f>IF(OR(W51="unavailable",Y51="unavailable"),"不可评价",IF(AND(OR(W51="positive",W51="equivocal"),OR(Y51="positive",Y51="equivocal")),"a",IF(OR(Y51="positive",Y51="equivocal"),"b",IF(OR(W51="positive",W51="equivocal"),"c","d"))))</x:f>
        <x:v>d</x:v>
      </x:c>
      <x:c r="AF51" s="12" t="str">
        <x:f>IF(OR(W51="unavailable",Y51="unavailable"),"不可评价",IF(AND(W51="positive",Y51="positive"),"a",IF(Y51="positive","b",IF(W51="positive","c","d"))))</x:f>
        <x:v>d</x:v>
      </x:c>
    </x:row>
    <x:row r="52" ht="24" customHeight="1">
      <x:c r="A52" s="12" t="str">
        <x:v>397</x:v>
      </x:c>
      <x:c r="B52" s="12" t="str">
        <x:v>15768</x:v>
      </x:c>
      <x:c r="C52" s="21" t="n">
        <x:v>31788.434548611112</x:v>
      </x:c>
      <x:c r="D52" s="12" t="n">
        <x:v>18</x:v>
      </x:c>
      <x:c r="E52" s="12" t="n">
        <x:v>1</x:v>
      </x:c>
      <x:c r="F52" s="12" t="str">
        <x:v>未记录</x:v>
      </x:c>
      <x:c r="G52" s="12" t="n">
        <x:v>1</x:v>
      </x:c>
      <x:c r="H52" s="12" t="str">
        <x:v>{'NORM': 100.0, 'SR': 0.0}</x:v>
      </x:c>
      <x:c r="I52" s="12" t="str">
        <x:v>[('NSR', 100.0), ('NML', 100.0)]</x:v>
      </x:c>
      <x:c r="J52" s="12" t="str">
        <x:v>ptbxl_database.csv；ecg_id=397；scp_codes</x:v>
      </x:c>
      <x:c r="K52" s="12" t="str">
        <x:v>12sl_statements.csv；ecg_id=397；statements_ext_snomed</x:v>
      </x:c>
      <x:c r="L52" s="12"/>
      <x:c r="M52" s="12" t="str">
        <x:v>negative</x:v>
      </x:c>
      <x:c r="N52" s="12"/>
      <x:c r="O52" s="12" t="str">
        <x:v>negative</x:v>
      </x:c>
      <x:c r="P52" s="12" t="str">
        <x:f>IF(OR(M52="unavailable",O52="unavailable"),"不可评价",IF(OR(M52="equivocal",O52="equivocal"),"疑似",IF(AND(M52="positive",O52="positive"),"a",IF(O52="positive","b",IF(M52="positive","c","d")))))</x:f>
        <x:v>d</x:v>
      </x:c>
      <x:c r="Q52" s="12"/>
      <x:c r="R52" s="12" t="str">
        <x:v>negative</x:v>
      </x:c>
      <x:c r="S52" s="12"/>
      <x:c r="T52" s="12" t="str">
        <x:v>negative</x:v>
      </x:c>
      <x:c r="U52" s="12" t="str">
        <x:f>IF(OR(R52="unavailable",T52="unavailable"),"不可评价",IF(OR(R52="equivocal",T52="equivocal"),"疑似",IF(AND(R52="positive",T52="positive"),"a",IF(T52="positive","b",IF(R52="positive","c","d")))))</x:f>
        <x:v>d</x:v>
      </x:c>
      <x:c r="V52" s="12"/>
      <x:c r="W52" s="12" t="str">
        <x:v>negative</x:v>
      </x:c>
      <x:c r="X52" s="12"/>
      <x:c r="Y52" s="12" t="str">
        <x:v>negative</x:v>
      </x:c>
      <x:c r="Z52" s="12" t="str">
        <x:f>IF(OR(W52="unavailable",Y52="unavailable"),"不可评价",IF(OR(W52="equivocal",Y52="equivocal"),"疑似",IF(AND(W52="positive",Y52="positive"),"a",IF(Y52="positive","b",IF(W52="positive","c","d")))))</x:f>
        <x:v>d</x:v>
      </x:c>
      <x:c r="AA52" s="12" t="str">
        <x:f>IF(OR(M52="unavailable",O52="unavailable"),"不可评价",IF(AND(OR(M52="positive",M52="equivocal"),OR(O52="positive",O52="equivocal")),"a",IF(OR(O52="positive",O52="equivocal"),"b",IF(OR(M52="positive",M52="equivocal"),"c","d"))))</x:f>
        <x:v>d</x:v>
      </x:c>
      <x:c r="AB52" s="12" t="str">
        <x:f>IF(OR(M52="unavailable",O52="unavailable"),"不可评价",IF(AND(M52="positive",O52="positive"),"a",IF(O52="positive","b",IF(M52="positive","c","d"))))</x:f>
        <x:v>d</x:v>
      </x:c>
      <x:c r="AC52" s="12" t="str">
        <x:f>IF(OR(R52="unavailable",T52="unavailable"),"不可评价",IF(AND(OR(R52="positive",R52="equivocal"),OR(T52="positive",T52="equivocal")),"a",IF(OR(T52="positive",T52="equivocal"),"b",IF(OR(R52="positive",R52="equivocal"),"c","d"))))</x:f>
        <x:v>d</x:v>
      </x:c>
      <x:c r="AD52" s="12" t="str">
        <x:f>IF(OR(R52="unavailable",T52="unavailable"),"不可评价",IF(AND(R52="positive",T52="positive"),"a",IF(T52="positive","b",IF(R52="positive","c","d"))))</x:f>
        <x:v>d</x:v>
      </x:c>
      <x:c r="AE52" s="12" t="str">
        <x:f>IF(OR(W52="unavailable",Y52="unavailable"),"不可评价",IF(AND(OR(W52="positive",W52="equivocal"),OR(Y52="positive",Y52="equivocal")),"a",IF(OR(Y52="positive",Y52="equivocal"),"b",IF(OR(W52="positive",W52="equivocal"),"c","d"))))</x:f>
        <x:v>d</x:v>
      </x:c>
      <x:c r="AF52" s="12" t="str">
        <x:f>IF(OR(W52="unavailable",Y52="unavailable"),"不可评价",IF(AND(W52="positive",Y52="positive"),"a",IF(Y52="positive","b",IF(W52="positive","c","d"))))</x:f>
        <x:v>d</x:v>
      </x:c>
    </x:row>
    <x:row r="53" ht="24" customHeight="1">
      <x:c r="A53" s="12" t="str">
        <x:v>400</x:v>
      </x:c>
      <x:c r="B53" s="12" t="str">
        <x:v>10987</x:v>
      </x:c>
      <x:c r="C53" s="21" t="n">
        <x:v>31796.310358796298</x:v>
      </x:c>
      <x:c r="D53" s="12" t="n">
        <x:v>38</x:v>
      </x:c>
      <x:c r="E53" s="12" t="n">
        <x:v>1</x:v>
      </x:c>
      <x:c r="F53" s="12" t="str">
        <x:v>未记录</x:v>
      </x:c>
      <x:c r="G53" s="12" t="n">
        <x:v>1</x:v>
      </x:c>
      <x:c r="H53" s="12" t="str">
        <x:v>{'NDT': 100.0, 'SR': 0.0}</x:v>
      </x:c>
      <x:c r="I53" s="12" t="str">
        <x:v>[('NSR', 100.0), ('SAR', 100.0), ('NML', 100.0)]</x:v>
      </x:c>
      <x:c r="J53" s="12" t="str">
        <x:v>ptbxl_database.csv；ecg_id=400；scp_codes</x:v>
      </x:c>
      <x:c r="K53" s="12" t="str">
        <x:v>12sl_statements.csv；ecg_id=400；statements_ext_snomed</x:v>
      </x:c>
      <x:c r="L53" s="12"/>
      <x:c r="M53" s="12" t="str">
        <x:v>negative</x:v>
      </x:c>
      <x:c r="N53" s="12"/>
      <x:c r="O53" s="12" t="str">
        <x:v>negative</x:v>
      </x:c>
      <x:c r="P53" s="12" t="str">
        <x:f>IF(OR(M53="unavailable",O53="unavailable"),"不可评价",IF(OR(M53="equivocal",O53="equivocal"),"疑似",IF(AND(M53="positive",O53="positive"),"a",IF(O53="positive","b",IF(M53="positive","c","d")))))</x:f>
        <x:v>d</x:v>
      </x:c>
      <x:c r="Q53" s="12"/>
      <x:c r="R53" s="12" t="str">
        <x:v>negative</x:v>
      </x:c>
      <x:c r="S53" s="12"/>
      <x:c r="T53" s="12" t="str">
        <x:v>negative</x:v>
      </x:c>
      <x:c r="U53" s="12" t="str">
        <x:f>IF(OR(R53="unavailable",T53="unavailable"),"不可评价",IF(OR(R53="equivocal",T53="equivocal"),"疑似",IF(AND(R53="positive",T53="positive"),"a",IF(T53="positive","b",IF(R53="positive","c","d")))))</x:f>
        <x:v>d</x:v>
      </x:c>
      <x:c r="V53" s="12"/>
      <x:c r="W53" s="12" t="str">
        <x:v>negative</x:v>
      </x:c>
      <x:c r="X53" s="12"/>
      <x:c r="Y53" s="12" t="str">
        <x:v>negative</x:v>
      </x:c>
      <x:c r="Z53" s="12" t="str">
        <x:f>IF(OR(W53="unavailable",Y53="unavailable"),"不可评价",IF(OR(W53="equivocal",Y53="equivocal"),"疑似",IF(AND(W53="positive",Y53="positive"),"a",IF(Y53="positive","b",IF(W53="positive","c","d")))))</x:f>
        <x:v>d</x:v>
      </x:c>
      <x:c r="AA53" s="12" t="str">
        <x:f>IF(OR(M53="unavailable",O53="unavailable"),"不可评价",IF(AND(OR(M53="positive",M53="equivocal"),OR(O53="positive",O53="equivocal")),"a",IF(OR(O53="positive",O53="equivocal"),"b",IF(OR(M53="positive",M53="equivocal"),"c","d"))))</x:f>
        <x:v>d</x:v>
      </x:c>
      <x:c r="AB53" s="12" t="str">
        <x:f>IF(OR(M53="unavailable",O53="unavailable"),"不可评价",IF(AND(M53="positive",O53="positive"),"a",IF(O53="positive","b",IF(M53="positive","c","d"))))</x:f>
        <x:v>d</x:v>
      </x:c>
      <x:c r="AC53" s="12" t="str">
        <x:f>IF(OR(R53="unavailable",T53="unavailable"),"不可评价",IF(AND(OR(R53="positive",R53="equivocal"),OR(T53="positive",T53="equivocal")),"a",IF(OR(T53="positive",T53="equivocal"),"b",IF(OR(R53="positive",R53="equivocal"),"c","d"))))</x:f>
        <x:v>d</x:v>
      </x:c>
      <x:c r="AD53" s="12" t="str">
        <x:f>IF(OR(R53="unavailable",T53="unavailable"),"不可评价",IF(AND(R53="positive",T53="positive"),"a",IF(T53="positive","b",IF(R53="positive","c","d"))))</x:f>
        <x:v>d</x:v>
      </x:c>
      <x:c r="AE53" s="12" t="str">
        <x:f>IF(OR(W53="unavailable",Y53="unavailable"),"不可评价",IF(AND(OR(W53="positive",W53="equivocal"),OR(Y53="positive",Y53="equivocal")),"a",IF(OR(Y53="positive",Y53="equivocal"),"b",IF(OR(W53="positive",W53="equivocal"),"c","d"))))</x:f>
        <x:v>d</x:v>
      </x:c>
      <x:c r="AF53" s="12" t="str">
        <x:f>IF(OR(W53="unavailable",Y53="unavailable"),"不可评价",IF(AND(W53="positive",Y53="positive"),"a",IF(Y53="positive","b",IF(W53="positive","c","d"))))</x:f>
        <x:v>d</x:v>
      </x:c>
    </x:row>
    <x:row r="54" ht="24" customHeight="1">
      <x:c r="A54" s="12" t="str">
        <x:v>405</x:v>
      </x:c>
      <x:c r="B54" s="12" t="str">
        <x:v>18087</x:v>
      </x:c>
      <x:c r="C54" s="21" t="n">
        <x:v>31802.489988425925</x:v>
      </x:c>
      <x:c r="D54" s="12" t="n">
        <x:v>38</x:v>
      </x:c>
      <x:c r="E54" s="12" t="n">
        <x:v>0</x:v>
      </x:c>
      <x:c r="F54" s="12" t="str">
        <x:v>存在</x:v>
      </x:c>
      <x:c r="G54" s="12" t="n">
        <x:v>1</x:v>
      </x:c>
      <x:c r="H54" s="12" t="str">
        <x:v>{'NORM': 100.0, 'SR': 0.0}</x:v>
      </x:c>
      <x:c r="I54" s="12" t="str">
        <x:v>[('NSR', 100.0), ('NML', 100.0)]</x:v>
      </x:c>
      <x:c r="J54" s="12" t="str">
        <x:v>ptbxl_database.csv；ecg_id=405；scp_codes</x:v>
      </x:c>
      <x:c r="K54" s="12" t="str">
        <x:v>12sl_statements.csv；ecg_id=405；statements_ext_snomed</x:v>
      </x:c>
      <x:c r="L54" s="12"/>
      <x:c r="M54" s="12" t="str">
        <x:v>negative</x:v>
      </x:c>
      <x:c r="N54" s="12"/>
      <x:c r="O54" s="12" t="str">
        <x:v>negative</x:v>
      </x:c>
      <x:c r="P54" s="12" t="str">
        <x:f>IF(OR(M54="unavailable",O54="unavailable"),"不可评价",IF(OR(M54="equivocal",O54="equivocal"),"疑似",IF(AND(M54="positive",O54="positive"),"a",IF(O54="positive","b",IF(M54="positive","c","d")))))</x:f>
        <x:v>d</x:v>
      </x:c>
      <x:c r="Q54" s="12"/>
      <x:c r="R54" s="12" t="str">
        <x:v>negative</x:v>
      </x:c>
      <x:c r="S54" s="12"/>
      <x:c r="T54" s="12" t="str">
        <x:v>negative</x:v>
      </x:c>
      <x:c r="U54" s="12" t="str">
        <x:f>IF(OR(R54="unavailable",T54="unavailable"),"不可评价",IF(OR(R54="equivocal",T54="equivocal"),"疑似",IF(AND(R54="positive",T54="positive"),"a",IF(T54="positive","b",IF(R54="positive","c","d")))))</x:f>
        <x:v>d</x:v>
      </x:c>
      <x:c r="V54" s="12"/>
      <x:c r="W54" s="12" t="str">
        <x:v>negative</x:v>
      </x:c>
      <x:c r="X54" s="12"/>
      <x:c r="Y54" s="12" t="str">
        <x:v>negative</x:v>
      </x:c>
      <x:c r="Z54" s="12" t="str">
        <x:f>IF(OR(W54="unavailable",Y54="unavailable"),"不可评价",IF(OR(W54="equivocal",Y54="equivocal"),"疑似",IF(AND(W54="positive",Y54="positive"),"a",IF(Y54="positive","b",IF(W54="positive","c","d")))))</x:f>
        <x:v>d</x:v>
      </x:c>
      <x:c r="AA54" s="12" t="str">
        <x:f>IF(OR(M54="unavailable",O54="unavailable"),"不可评价",IF(AND(OR(M54="positive",M54="equivocal"),OR(O54="positive",O54="equivocal")),"a",IF(OR(O54="positive",O54="equivocal"),"b",IF(OR(M54="positive",M54="equivocal"),"c","d"))))</x:f>
        <x:v>d</x:v>
      </x:c>
      <x:c r="AB54" s="12" t="str">
        <x:f>IF(OR(M54="unavailable",O54="unavailable"),"不可评价",IF(AND(M54="positive",O54="positive"),"a",IF(O54="positive","b",IF(M54="positive","c","d"))))</x:f>
        <x:v>d</x:v>
      </x:c>
      <x:c r="AC54" s="12" t="str">
        <x:f>IF(OR(R54="unavailable",T54="unavailable"),"不可评价",IF(AND(OR(R54="positive",R54="equivocal"),OR(T54="positive",T54="equivocal")),"a",IF(OR(T54="positive",T54="equivocal"),"b",IF(OR(R54="positive",R54="equivocal"),"c","d"))))</x:f>
        <x:v>d</x:v>
      </x:c>
      <x:c r="AD54" s="12" t="str">
        <x:f>IF(OR(R54="unavailable",T54="unavailable"),"不可评价",IF(AND(R54="positive",T54="positive"),"a",IF(T54="positive","b",IF(R54="positive","c","d"))))</x:f>
        <x:v>d</x:v>
      </x:c>
      <x:c r="AE54" s="12" t="str">
        <x:f>IF(OR(W54="unavailable",Y54="unavailable"),"不可评价",IF(AND(OR(W54="positive",W54="equivocal"),OR(Y54="positive",Y54="equivocal")),"a",IF(OR(Y54="positive",Y54="equivocal"),"b",IF(OR(W54="positive",W54="equivocal"),"c","d"))))</x:f>
        <x:v>d</x:v>
      </x:c>
      <x:c r="AF54" s="12" t="str">
        <x:f>IF(OR(W54="unavailable",Y54="unavailable"),"不可评价",IF(AND(W54="positive",Y54="positive"),"a",IF(Y54="positive","b",IF(W54="positive","c","d"))))</x:f>
        <x:v>d</x:v>
      </x:c>
    </x:row>
    <x:row r="55" ht="24" customHeight="1">
      <x:c r="A55" s="12" t="str">
        <x:v>417</x:v>
      </x:c>
      <x:c r="B55" s="12" t="str">
        <x:v>4938</x:v>
      </x:c>
      <x:c r="C55" s="21" t="n">
        <x:v>31806.702326388888</x:v>
      </x:c>
      <x:c r="D55" s="12" t="n">
        <x:v>75</x:v>
      </x:c>
      <x:c r="E55" s="12" t="n">
        <x:v>1</x:v>
      </x:c>
      <x:c r="F55" s="12" t="str">
        <x:v>未记录</x:v>
      </x:c>
      <x:c r="G55" s="12" t="n">
        <x:v>1</x:v>
      </x:c>
      <x:c r="H55" s="12" t="str">
        <x:v>{'NORM': 100.0, 'SR': 0.0}</x:v>
      </x:c>
      <x:c r="I55" s="12" t="str">
        <x:v>[('SBRAD', 100.0), ('ABR', 100.0)]</x:v>
      </x:c>
      <x:c r="J55" s="12" t="str">
        <x:v>ptbxl_database.csv；ecg_id=417；scp_codes</x:v>
      </x:c>
      <x:c r="K55" s="12" t="str">
        <x:v>12sl_statements.csv；ecg_id=417；statements_ext_snomed</x:v>
      </x:c>
      <x:c r="L55" s="12"/>
      <x:c r="M55" s="12" t="str">
        <x:v>negative</x:v>
      </x:c>
      <x:c r="N55" s="12"/>
      <x:c r="O55" s="12" t="str">
        <x:v>negative</x:v>
      </x:c>
      <x:c r="P55" s="12" t="str">
        <x:f>IF(OR(M55="unavailable",O55="unavailable"),"不可评价",IF(OR(M55="equivocal",O55="equivocal"),"疑似",IF(AND(M55="positive",O55="positive"),"a",IF(O55="positive","b",IF(M55="positive","c","d")))))</x:f>
        <x:v>d</x:v>
      </x:c>
      <x:c r="Q55" s="12"/>
      <x:c r="R55" s="12" t="str">
        <x:v>negative</x:v>
      </x:c>
      <x:c r="S55" s="12"/>
      <x:c r="T55" s="12" t="str">
        <x:v>negative</x:v>
      </x:c>
      <x:c r="U55" s="12" t="str">
        <x:f>IF(OR(R55="unavailable",T55="unavailable"),"不可评价",IF(OR(R55="equivocal",T55="equivocal"),"疑似",IF(AND(R55="positive",T55="positive"),"a",IF(T55="positive","b",IF(R55="positive","c","d")))))</x:f>
        <x:v>d</x:v>
      </x:c>
      <x:c r="V55" s="12"/>
      <x:c r="W55" s="12" t="str">
        <x:v>negative</x:v>
      </x:c>
      <x:c r="X55" s="12"/>
      <x:c r="Y55" s="12" t="str">
        <x:v>negative</x:v>
      </x:c>
      <x:c r="Z55" s="12" t="str">
        <x:f>IF(OR(W55="unavailable",Y55="unavailable"),"不可评价",IF(OR(W55="equivocal",Y55="equivocal"),"疑似",IF(AND(W55="positive",Y55="positive"),"a",IF(Y55="positive","b",IF(W55="positive","c","d")))))</x:f>
        <x:v>d</x:v>
      </x:c>
      <x:c r="AA55" s="12" t="str">
        <x:f>IF(OR(M55="unavailable",O55="unavailable"),"不可评价",IF(AND(OR(M55="positive",M55="equivocal"),OR(O55="positive",O55="equivocal")),"a",IF(OR(O55="positive",O55="equivocal"),"b",IF(OR(M55="positive",M55="equivocal"),"c","d"))))</x:f>
        <x:v>d</x:v>
      </x:c>
      <x:c r="AB55" s="12" t="str">
        <x:f>IF(OR(M55="unavailable",O55="unavailable"),"不可评价",IF(AND(M55="positive",O55="positive"),"a",IF(O55="positive","b",IF(M55="positive","c","d"))))</x:f>
        <x:v>d</x:v>
      </x:c>
      <x:c r="AC55" s="12" t="str">
        <x:f>IF(OR(R55="unavailable",T55="unavailable"),"不可评价",IF(AND(OR(R55="positive",R55="equivocal"),OR(T55="positive",T55="equivocal")),"a",IF(OR(T55="positive",T55="equivocal"),"b",IF(OR(R55="positive",R55="equivocal"),"c","d"))))</x:f>
        <x:v>d</x:v>
      </x:c>
      <x:c r="AD55" s="12" t="str">
        <x:f>IF(OR(R55="unavailable",T55="unavailable"),"不可评价",IF(AND(R55="positive",T55="positive"),"a",IF(T55="positive","b",IF(R55="positive","c","d"))))</x:f>
        <x:v>d</x:v>
      </x:c>
      <x:c r="AE55" s="12" t="str">
        <x:f>IF(OR(W55="unavailable",Y55="unavailable"),"不可评价",IF(AND(OR(W55="positive",W55="equivocal"),OR(Y55="positive",Y55="equivocal")),"a",IF(OR(Y55="positive",Y55="equivocal"),"b",IF(OR(W55="positive",W55="equivocal"),"c","d"))))</x:f>
        <x:v>d</x:v>
      </x:c>
      <x:c r="AF55" s="12" t="str">
        <x:f>IF(OR(W55="unavailable",Y55="unavailable"),"不可评价",IF(AND(W55="positive",Y55="positive"),"a",IF(Y55="positive","b",IF(W55="positive","c","d"))))</x:f>
        <x:v>d</x:v>
      </x:c>
    </x:row>
    <x:row r="56" ht="24" customHeight="1">
      <x:c r="A56" s="12" t="str">
        <x:v>427</x:v>
      </x:c>
      <x:c r="B56" s="12" t="str">
        <x:v>6476</x:v>
      </x:c>
      <x:c r="C56" s="21" t="n">
        <x:v>31807.58633101852</x:v>
      </x:c>
      <x:c r="D56" s="12" t="n">
        <x:v>86</x:v>
      </x:c>
      <x:c r="E56" s="12" t="n">
        <x:v>1</x:v>
      </x:c>
      <x:c r="F56" s="12" t="str">
        <x:v>未记录</x:v>
      </x:c>
      <x:c r="G56" s="12" t="n">
        <x:v>1</x:v>
      </x:c>
      <x:c r="H56" s="12" t="str">
        <x:v>{'NDT': 100.0, 'PAC': 0.0, 'SR': 0.0}</x:v>
      </x:c>
      <x:c r="I56" s="12" t="str">
        <x:v>[('NSR', 100.0), ('SAR', 100.0), ('NML', 100.0)]</x:v>
      </x:c>
      <x:c r="J56" s="12" t="str">
        <x:v>ptbxl_database.csv；ecg_id=427；scp_codes</x:v>
      </x:c>
      <x:c r="K56" s="12" t="str">
        <x:v>12sl_statements.csv；ecg_id=427；statements_ext_snomed</x:v>
      </x:c>
      <x:c r="L56" s="12"/>
      <x:c r="M56" s="12" t="str">
        <x:v>negative</x:v>
      </x:c>
      <x:c r="N56" s="12"/>
      <x:c r="O56" s="12" t="str">
        <x:v>negative</x:v>
      </x:c>
      <x:c r="P56" s="12" t="str">
        <x:f>IF(OR(M56="unavailable",O56="unavailable"),"不可评价",IF(OR(M56="equivocal",O56="equivocal"),"疑似",IF(AND(M56="positive",O56="positive"),"a",IF(O56="positive","b",IF(M56="positive","c","d")))))</x:f>
        <x:v>d</x:v>
      </x:c>
      <x:c r="Q56" s="12"/>
      <x:c r="R56" s="12" t="str">
        <x:v>negative</x:v>
      </x:c>
      <x:c r="S56" s="12"/>
      <x:c r="T56" s="12" t="str">
        <x:v>negative</x:v>
      </x:c>
      <x:c r="U56" s="12" t="str">
        <x:f>IF(OR(R56="unavailable",T56="unavailable"),"不可评价",IF(OR(R56="equivocal",T56="equivocal"),"疑似",IF(AND(R56="positive",T56="positive"),"a",IF(T56="positive","b",IF(R56="positive","c","d")))))</x:f>
        <x:v>d</x:v>
      </x:c>
      <x:c r="V56" s="12"/>
      <x:c r="W56" s="12" t="str">
        <x:v>negative</x:v>
      </x:c>
      <x:c r="X56" s="12"/>
      <x:c r="Y56" s="12" t="str">
        <x:v>negative</x:v>
      </x:c>
      <x:c r="Z56" s="12" t="str">
        <x:f>IF(OR(W56="unavailable",Y56="unavailable"),"不可评价",IF(OR(W56="equivocal",Y56="equivocal"),"疑似",IF(AND(W56="positive",Y56="positive"),"a",IF(Y56="positive","b",IF(W56="positive","c","d")))))</x:f>
        <x:v>d</x:v>
      </x:c>
      <x:c r="AA56" s="12" t="str">
        <x:f>IF(OR(M56="unavailable",O56="unavailable"),"不可评价",IF(AND(OR(M56="positive",M56="equivocal"),OR(O56="positive",O56="equivocal")),"a",IF(OR(O56="positive",O56="equivocal"),"b",IF(OR(M56="positive",M56="equivocal"),"c","d"))))</x:f>
        <x:v>d</x:v>
      </x:c>
      <x:c r="AB56" s="12" t="str">
        <x:f>IF(OR(M56="unavailable",O56="unavailable"),"不可评价",IF(AND(M56="positive",O56="positive"),"a",IF(O56="positive","b",IF(M56="positive","c","d"))))</x:f>
        <x:v>d</x:v>
      </x:c>
      <x:c r="AC56" s="12" t="str">
        <x:f>IF(OR(R56="unavailable",T56="unavailable"),"不可评价",IF(AND(OR(R56="positive",R56="equivocal"),OR(T56="positive",T56="equivocal")),"a",IF(OR(T56="positive",T56="equivocal"),"b",IF(OR(R56="positive",R56="equivocal"),"c","d"))))</x:f>
        <x:v>d</x:v>
      </x:c>
      <x:c r="AD56" s="12" t="str">
        <x:f>IF(OR(R56="unavailable",T56="unavailable"),"不可评价",IF(AND(R56="positive",T56="positive"),"a",IF(T56="positive","b",IF(R56="positive","c","d"))))</x:f>
        <x:v>d</x:v>
      </x:c>
      <x:c r="AE56" s="12" t="str">
        <x:f>IF(OR(W56="unavailable",Y56="unavailable"),"不可评价",IF(AND(OR(W56="positive",W56="equivocal"),OR(Y56="positive",Y56="equivocal")),"a",IF(OR(Y56="positive",Y56="equivocal"),"b",IF(OR(W56="positive",W56="equivocal"),"c","d"))))</x:f>
        <x:v>d</x:v>
      </x:c>
      <x:c r="AF56" s="12" t="str">
        <x:f>IF(OR(W56="unavailable",Y56="unavailable"),"不可评价",IF(AND(W56="positive",Y56="positive"),"a",IF(Y56="positive","b",IF(W56="positive","c","d"))))</x:f>
        <x:v>d</x:v>
      </x:c>
    </x:row>
    <x:row r="57" ht="24" customHeight="1">
      <x:c r="A57" s="12" t="str">
        <x:v>430</x:v>
      </x:c>
      <x:c r="B57" s="12" t="str">
        <x:v>1207</x:v>
      </x:c>
      <x:c r="C57" s="21" t="n">
        <x:v>31808.369733796295</x:v>
      </x:c>
      <x:c r="D57" s="12" t="n">
        <x:v>62</x:v>
      </x:c>
      <x:c r="E57" s="12" t="n">
        <x:v>0</x:v>
      </x:c>
      <x:c r="F57" s="12" t="str">
        <x:v>未记录</x:v>
      </x:c>
      <x:c r="G57" s="12" t="n">
        <x:v>1</x:v>
      </x:c>
      <x:c r="H57" s="12" t="str">
        <x:v>{'ASMI': 15.0, 'SR': 0.0}</x:v>
      </x:c>
      <x:c r="I57" s="12" t="str">
        <x:v>[('SBRAD', 100.0), ('SMI;AU', 100.0), ('AB', 100.0)]</x:v>
      </x:c>
      <x:c r="J57" s="12" t="str">
        <x:v>ptbxl_database.csv；ecg_id=430；scp_codes</x:v>
      </x:c>
      <x:c r="K57" s="12" t="str">
        <x:v>12sl_statements.csv；ecg_id=430；statements_ext_snomed</x:v>
      </x:c>
      <x:c r="L57" s="12"/>
      <x:c r="M57" s="12" t="str">
        <x:v>negative</x:v>
      </x:c>
      <x:c r="N57" s="12"/>
      <x:c r="O57" s="12" t="str">
        <x:v>negative</x:v>
      </x:c>
      <x:c r="P57" s="12" t="str">
        <x:f>IF(OR(M57="unavailable",O57="unavailable"),"不可评价",IF(OR(M57="equivocal",O57="equivocal"),"疑似",IF(AND(M57="positive",O57="positive"),"a",IF(O57="positive","b",IF(M57="positive","c","d")))))</x:f>
        <x:v>d</x:v>
      </x:c>
      <x:c r="Q57" s="12"/>
      <x:c r="R57" s="12" t="str">
        <x:v>negative</x:v>
      </x:c>
      <x:c r="S57" s="12"/>
      <x:c r="T57" s="12" t="str">
        <x:v>negative</x:v>
      </x:c>
      <x:c r="U57" s="12" t="str">
        <x:f>IF(OR(R57="unavailable",T57="unavailable"),"不可评价",IF(OR(R57="equivocal",T57="equivocal"),"疑似",IF(AND(R57="positive",T57="positive"),"a",IF(T57="positive","b",IF(R57="positive","c","d")))))</x:f>
        <x:v>d</x:v>
      </x:c>
      <x:c r="V57" s="12"/>
      <x:c r="W57" s="12" t="str">
        <x:v>negative</x:v>
      </x:c>
      <x:c r="X57" s="12"/>
      <x:c r="Y57" s="12" t="str">
        <x:v>negative</x:v>
      </x:c>
      <x:c r="Z57" s="12" t="str">
        <x:f>IF(OR(W57="unavailable",Y57="unavailable"),"不可评价",IF(OR(W57="equivocal",Y57="equivocal"),"疑似",IF(AND(W57="positive",Y57="positive"),"a",IF(Y57="positive","b",IF(W57="positive","c","d")))))</x:f>
        <x:v>d</x:v>
      </x:c>
      <x:c r="AA57" s="12" t="str">
        <x:f>IF(OR(M57="unavailable",O57="unavailable"),"不可评价",IF(AND(OR(M57="positive",M57="equivocal"),OR(O57="positive",O57="equivocal")),"a",IF(OR(O57="positive",O57="equivocal"),"b",IF(OR(M57="positive",M57="equivocal"),"c","d"))))</x:f>
        <x:v>d</x:v>
      </x:c>
      <x:c r="AB57" s="12" t="str">
        <x:f>IF(OR(M57="unavailable",O57="unavailable"),"不可评价",IF(AND(M57="positive",O57="positive"),"a",IF(O57="positive","b",IF(M57="positive","c","d"))))</x:f>
        <x:v>d</x:v>
      </x:c>
      <x:c r="AC57" s="12" t="str">
        <x:f>IF(OR(R57="unavailable",T57="unavailable"),"不可评价",IF(AND(OR(R57="positive",R57="equivocal"),OR(T57="positive",T57="equivocal")),"a",IF(OR(T57="positive",T57="equivocal"),"b",IF(OR(R57="positive",R57="equivocal"),"c","d"))))</x:f>
        <x:v>d</x:v>
      </x:c>
      <x:c r="AD57" s="12" t="str">
        <x:f>IF(OR(R57="unavailable",T57="unavailable"),"不可评价",IF(AND(R57="positive",T57="positive"),"a",IF(T57="positive","b",IF(R57="positive","c","d"))))</x:f>
        <x:v>d</x:v>
      </x:c>
      <x:c r="AE57" s="12" t="str">
        <x:f>IF(OR(W57="unavailable",Y57="unavailable"),"不可评价",IF(AND(OR(W57="positive",W57="equivocal"),OR(Y57="positive",Y57="equivocal")),"a",IF(OR(Y57="positive",Y57="equivocal"),"b",IF(OR(W57="positive",W57="equivocal"),"c","d"))))</x:f>
        <x:v>d</x:v>
      </x:c>
      <x:c r="AF57" s="12" t="str">
        <x:f>IF(OR(W57="unavailable",Y57="unavailable"),"不可评价",IF(AND(W57="positive",Y57="positive"),"a",IF(Y57="positive","b",IF(W57="positive","c","d"))))</x:f>
        <x:v>d</x:v>
      </x:c>
    </x:row>
    <x:row r="58" ht="24" customHeight="1">
      <x:c r="A58" s="12" t="str">
        <x:v>440</x:v>
      </x:c>
      <x:c r="B58" s="12" t="str">
        <x:v>2706</x:v>
      </x:c>
      <x:c r="C58" s="21" t="n">
        <x:v>31819.397939814815</x:v>
      </x:c>
      <x:c r="D58" s="12" t="n">
        <x:v>58</x:v>
      </x:c>
      <x:c r="E58" s="12" t="n">
        <x:v>1</x:v>
      </x:c>
      <x:c r="F58" s="12" t="str">
        <x:v>未记录</x:v>
      </x:c>
      <x:c r="G58" s="12" t="n">
        <x:v>1</x:v>
      </x:c>
      <x:c r="H58" s="12" t="str">
        <x:v>{'NORM': 100.0, 'SARRH': 0.0}</x:v>
      </x:c>
      <x:c r="I58" s="12" t="str">
        <x:v>[('NSR', 100.0), ('SAR', 100.0), ('NML', 100.0)]</x:v>
      </x:c>
      <x:c r="J58" s="12" t="str">
        <x:v>ptbxl_database.csv；ecg_id=440；scp_codes</x:v>
      </x:c>
      <x:c r="K58" s="12" t="str">
        <x:v>12sl_statements.csv；ecg_id=440；statements_ext_snomed</x:v>
      </x:c>
      <x:c r="L58" s="12"/>
      <x:c r="M58" s="12" t="str">
        <x:v>negative</x:v>
      </x:c>
      <x:c r="N58" s="12"/>
      <x:c r="O58" s="12" t="str">
        <x:v>negative</x:v>
      </x:c>
      <x:c r="P58" s="12" t="str">
        <x:f>IF(OR(M58="unavailable",O58="unavailable"),"不可评价",IF(OR(M58="equivocal",O58="equivocal"),"疑似",IF(AND(M58="positive",O58="positive"),"a",IF(O58="positive","b",IF(M58="positive","c","d")))))</x:f>
        <x:v>d</x:v>
      </x:c>
      <x:c r="Q58" s="12"/>
      <x:c r="R58" s="12" t="str">
        <x:v>negative</x:v>
      </x:c>
      <x:c r="S58" s="12"/>
      <x:c r="T58" s="12" t="str">
        <x:v>negative</x:v>
      </x:c>
      <x:c r="U58" s="12" t="str">
        <x:f>IF(OR(R58="unavailable",T58="unavailable"),"不可评价",IF(OR(R58="equivocal",T58="equivocal"),"疑似",IF(AND(R58="positive",T58="positive"),"a",IF(T58="positive","b",IF(R58="positive","c","d")))))</x:f>
        <x:v>d</x:v>
      </x:c>
      <x:c r="V58" s="12"/>
      <x:c r="W58" s="12" t="str">
        <x:v>negative</x:v>
      </x:c>
      <x:c r="X58" s="12"/>
      <x:c r="Y58" s="12" t="str">
        <x:v>negative</x:v>
      </x:c>
      <x:c r="Z58" s="12" t="str">
        <x:f>IF(OR(W58="unavailable",Y58="unavailable"),"不可评价",IF(OR(W58="equivocal",Y58="equivocal"),"疑似",IF(AND(W58="positive",Y58="positive"),"a",IF(Y58="positive","b",IF(W58="positive","c","d")))))</x:f>
        <x:v>d</x:v>
      </x:c>
      <x:c r="AA58" s="12" t="str">
        <x:f>IF(OR(M58="unavailable",O58="unavailable"),"不可评价",IF(AND(OR(M58="positive",M58="equivocal"),OR(O58="positive",O58="equivocal")),"a",IF(OR(O58="positive",O58="equivocal"),"b",IF(OR(M58="positive",M58="equivocal"),"c","d"))))</x:f>
        <x:v>d</x:v>
      </x:c>
      <x:c r="AB58" s="12" t="str">
        <x:f>IF(OR(M58="unavailable",O58="unavailable"),"不可评价",IF(AND(M58="positive",O58="positive"),"a",IF(O58="positive","b",IF(M58="positive","c","d"))))</x:f>
        <x:v>d</x:v>
      </x:c>
      <x:c r="AC58" s="12" t="str">
        <x:f>IF(OR(R58="unavailable",T58="unavailable"),"不可评价",IF(AND(OR(R58="positive",R58="equivocal"),OR(T58="positive",T58="equivocal")),"a",IF(OR(T58="positive",T58="equivocal"),"b",IF(OR(R58="positive",R58="equivocal"),"c","d"))))</x:f>
        <x:v>d</x:v>
      </x:c>
      <x:c r="AD58" s="12" t="str">
        <x:f>IF(OR(R58="unavailable",T58="unavailable"),"不可评价",IF(AND(R58="positive",T58="positive"),"a",IF(T58="positive","b",IF(R58="positive","c","d"))))</x:f>
        <x:v>d</x:v>
      </x:c>
      <x:c r="AE58" s="12" t="str">
        <x:f>IF(OR(W58="unavailable",Y58="unavailable"),"不可评价",IF(AND(OR(W58="positive",W58="equivocal"),OR(Y58="positive",Y58="equivocal")),"a",IF(OR(Y58="positive",Y58="equivocal"),"b",IF(OR(W58="positive",W58="equivocal"),"c","d"))))</x:f>
        <x:v>d</x:v>
      </x:c>
      <x:c r="AF58" s="12" t="str">
        <x:f>IF(OR(W58="unavailable",Y58="unavailable"),"不可评价",IF(AND(W58="positive",Y58="positive"),"a",IF(Y58="positive","b",IF(W58="positive","c","d"))))</x:f>
        <x:v>d</x:v>
      </x:c>
    </x:row>
    <x:row r="59" ht="24" customHeight="1">
      <x:c r="A59" s="12" t="str">
        <x:v>448</x:v>
      </x:c>
      <x:c r="B59" s="12" t="str">
        <x:v>12306</x:v>
      </x:c>
      <x:c r="C59" s="21" t="n">
        <x:v>31827.528194444443</x:v>
      </x:c>
      <x:c r="D59" s="12" t="n">
        <x:v>62</x:v>
      </x:c>
      <x:c r="E59" s="12" t="n">
        <x:v>0</x:v>
      </x:c>
      <x:c r="F59" s="12" t="str">
        <x:v>存在</x:v>
      </x:c>
      <x:c r="G59" s="12" t="n">
        <x:v>1</x:v>
      </x:c>
      <x:c r="H59" s="12" t="str">
        <x:v>{'LAFB': 100.0, 'SR': 0.0}</x:v>
      </x:c>
      <x:c r="I59" s="12" t="str">
        <x:v>[('SRTH', 100.0), ('PAC', 100.0), ('LAD3', 100.0), ('AB', 100.0)]</x:v>
      </x:c>
      <x:c r="J59" s="12" t="str">
        <x:v>ptbxl_database.csv；ecg_id=448；scp_codes</x:v>
      </x:c>
      <x:c r="K59" s="12" t="str">
        <x:v>12sl_statements.csv；ecg_id=448；statements_ext_snomed</x:v>
      </x:c>
      <x:c r="L59" s="12"/>
      <x:c r="M59" s="12" t="str">
        <x:v>negative</x:v>
      </x:c>
      <x:c r="N59" s="12"/>
      <x:c r="O59" s="12" t="str">
        <x:v>negative</x:v>
      </x:c>
      <x:c r="P59" s="12" t="str">
        <x:f>IF(OR(M59="unavailable",O59="unavailable"),"不可评价",IF(OR(M59="equivocal",O59="equivocal"),"疑似",IF(AND(M59="positive",O59="positive"),"a",IF(O59="positive","b",IF(M59="positive","c","d")))))</x:f>
        <x:v>d</x:v>
      </x:c>
      <x:c r="Q59" s="12"/>
      <x:c r="R59" s="12" t="str">
        <x:v>negative</x:v>
      </x:c>
      <x:c r="S59" s="12"/>
      <x:c r="T59" s="12" t="str">
        <x:v>negative</x:v>
      </x:c>
      <x:c r="U59" s="12" t="str">
        <x:f>IF(OR(R59="unavailable",T59="unavailable"),"不可评价",IF(OR(R59="equivocal",T59="equivocal"),"疑似",IF(AND(R59="positive",T59="positive"),"a",IF(T59="positive","b",IF(R59="positive","c","d")))))</x:f>
        <x:v>d</x:v>
      </x:c>
      <x:c r="V59" s="12"/>
      <x:c r="W59" s="12" t="str">
        <x:v>negative</x:v>
      </x:c>
      <x:c r="X59" s="12"/>
      <x:c r="Y59" s="12" t="str">
        <x:v>negative</x:v>
      </x:c>
      <x:c r="Z59" s="12" t="str">
        <x:f>IF(OR(W59="unavailable",Y59="unavailable"),"不可评价",IF(OR(W59="equivocal",Y59="equivocal"),"疑似",IF(AND(W59="positive",Y59="positive"),"a",IF(Y59="positive","b",IF(W59="positive","c","d")))))</x:f>
        <x:v>d</x:v>
      </x:c>
      <x:c r="AA59" s="12" t="str">
        <x:f>IF(OR(M59="unavailable",O59="unavailable"),"不可评价",IF(AND(OR(M59="positive",M59="equivocal"),OR(O59="positive",O59="equivocal")),"a",IF(OR(O59="positive",O59="equivocal"),"b",IF(OR(M59="positive",M59="equivocal"),"c","d"))))</x:f>
        <x:v>d</x:v>
      </x:c>
      <x:c r="AB59" s="12" t="str">
        <x:f>IF(OR(M59="unavailable",O59="unavailable"),"不可评价",IF(AND(M59="positive",O59="positive"),"a",IF(O59="positive","b",IF(M59="positive","c","d"))))</x:f>
        <x:v>d</x:v>
      </x:c>
      <x:c r="AC59" s="12" t="str">
        <x:f>IF(OR(R59="unavailable",T59="unavailable"),"不可评价",IF(AND(OR(R59="positive",R59="equivocal"),OR(T59="positive",T59="equivocal")),"a",IF(OR(T59="positive",T59="equivocal"),"b",IF(OR(R59="positive",R59="equivocal"),"c","d"))))</x:f>
        <x:v>d</x:v>
      </x:c>
      <x:c r="AD59" s="12" t="str">
        <x:f>IF(OR(R59="unavailable",T59="unavailable"),"不可评价",IF(AND(R59="positive",T59="positive"),"a",IF(T59="positive","b",IF(R59="positive","c","d"))))</x:f>
        <x:v>d</x:v>
      </x:c>
      <x:c r="AE59" s="12" t="str">
        <x:f>IF(OR(W59="unavailable",Y59="unavailable"),"不可评价",IF(AND(OR(W59="positive",W59="equivocal"),OR(Y59="positive",Y59="equivocal")),"a",IF(OR(Y59="positive",Y59="equivocal"),"b",IF(OR(W59="positive",W59="equivocal"),"c","d"))))</x:f>
        <x:v>d</x:v>
      </x:c>
      <x:c r="AF59" s="12" t="str">
        <x:f>IF(OR(W59="unavailable",Y59="unavailable"),"不可评价",IF(AND(W59="positive",Y59="positive"),"a",IF(Y59="positive","b",IF(W59="positive","c","d"))))</x:f>
        <x:v>d</x:v>
      </x:c>
    </x:row>
    <x:row r="60" ht="24" customHeight="1">
      <x:c r="A60" s="12" t="str">
        <x:v>449</x:v>
      </x:c>
      <x:c r="B60" s="12" t="str">
        <x:v>20057</x:v>
      </x:c>
      <x:c r="C60" s="21" t="n">
        <x:v>31829.309166666666</x:v>
      </x:c>
      <x:c r="D60" s="12" t="n">
        <x:v>63</x:v>
      </x:c>
      <x:c r="E60" s="12" t="n">
        <x:v>1</x:v>
      </x:c>
      <x:c r="F60" s="12" t="str">
        <x:v>未记录</x:v>
      </x:c>
      <x:c r="G60" s="12" t="n">
        <x:v>1</x:v>
      </x:c>
      <x:c r="H60" s="12" t="str">
        <x:v>{'AFLT': 100.0}</x:v>
      </x:c>
      <x:c r="I60" s="12" t="str">
        <x:v>[('SVT', 100.0), ('STDEP2', 100.0), ('QRST', 100.0), ('AB', 100.0)]</x:v>
      </x:c>
      <x:c r="J60" s="12" t="str">
        <x:v>ptbxl_database.csv；ecg_id=449；scp_codes</x:v>
      </x:c>
      <x:c r="K60" s="12" t="str">
        <x:v>12sl_statements.csv；ecg_id=449；statements_ext_snomed</x:v>
      </x:c>
      <x:c r="L60" s="12"/>
      <x:c r="M60" s="12" t="str">
        <x:v>negative</x:v>
      </x:c>
      <x:c r="N60" s="12"/>
      <x:c r="O60" s="12" t="str">
        <x:v>negative</x:v>
      </x:c>
      <x:c r="P60" s="12" t="str">
        <x:f>IF(OR(M60="unavailable",O60="unavailable"),"不可评价",IF(OR(M60="equivocal",O60="equivocal"),"疑似",IF(AND(M60="positive",O60="positive"),"a",IF(O60="positive","b",IF(M60="positive","c","d")))))</x:f>
        <x:v>d</x:v>
      </x:c>
      <x:c r="Q60" s="12"/>
      <x:c r="R60" s="12" t="str">
        <x:v>negative</x:v>
      </x:c>
      <x:c r="S60" s="12"/>
      <x:c r="T60" s="12" t="str">
        <x:v>negative</x:v>
      </x:c>
      <x:c r="U60" s="12" t="str">
        <x:f>IF(OR(R60="unavailable",T60="unavailable"),"不可评价",IF(OR(R60="equivocal",T60="equivocal"),"疑似",IF(AND(R60="positive",T60="positive"),"a",IF(T60="positive","b",IF(R60="positive","c","d")))))</x:f>
        <x:v>d</x:v>
      </x:c>
      <x:c r="V60" s="12"/>
      <x:c r="W60" s="12" t="str">
        <x:v>negative</x:v>
      </x:c>
      <x:c r="X60" s="12"/>
      <x:c r="Y60" s="12" t="str">
        <x:v>negative</x:v>
      </x:c>
      <x:c r="Z60" s="12" t="str">
        <x:f>IF(OR(W60="unavailable",Y60="unavailable"),"不可评价",IF(OR(W60="equivocal",Y60="equivocal"),"疑似",IF(AND(W60="positive",Y60="positive"),"a",IF(Y60="positive","b",IF(W60="positive","c","d")))))</x:f>
        <x:v>d</x:v>
      </x:c>
      <x:c r="AA60" s="12" t="str">
        <x:f>IF(OR(M60="unavailable",O60="unavailable"),"不可评价",IF(AND(OR(M60="positive",M60="equivocal"),OR(O60="positive",O60="equivocal")),"a",IF(OR(O60="positive",O60="equivocal"),"b",IF(OR(M60="positive",M60="equivocal"),"c","d"))))</x:f>
        <x:v>d</x:v>
      </x:c>
      <x:c r="AB60" s="12" t="str">
        <x:f>IF(OR(M60="unavailable",O60="unavailable"),"不可评价",IF(AND(M60="positive",O60="positive"),"a",IF(O60="positive","b",IF(M60="positive","c","d"))))</x:f>
        <x:v>d</x:v>
      </x:c>
      <x:c r="AC60" s="12" t="str">
        <x:f>IF(OR(R60="unavailable",T60="unavailable"),"不可评价",IF(AND(OR(R60="positive",R60="equivocal"),OR(T60="positive",T60="equivocal")),"a",IF(OR(T60="positive",T60="equivocal"),"b",IF(OR(R60="positive",R60="equivocal"),"c","d"))))</x:f>
        <x:v>d</x:v>
      </x:c>
      <x:c r="AD60" s="12" t="str">
        <x:f>IF(OR(R60="unavailable",T60="unavailable"),"不可评价",IF(AND(R60="positive",T60="positive"),"a",IF(T60="positive","b",IF(R60="positive","c","d"))))</x:f>
        <x:v>d</x:v>
      </x:c>
      <x:c r="AE60" s="12" t="str">
        <x:f>IF(OR(W60="unavailable",Y60="unavailable"),"不可评价",IF(AND(OR(W60="positive",W60="equivocal"),OR(Y60="positive",Y60="equivocal")),"a",IF(OR(Y60="positive",Y60="equivocal"),"b",IF(OR(W60="positive",W60="equivocal"),"c","d"))))</x:f>
        <x:v>d</x:v>
      </x:c>
      <x:c r="AF60" s="12" t="str">
        <x:f>IF(OR(W60="unavailable",Y60="unavailable"),"不可评价",IF(AND(W60="positive",Y60="positive"),"a",IF(Y60="positive","b",IF(W60="positive","c","d"))))</x:f>
        <x:v>d</x:v>
      </x:c>
    </x:row>
    <x:row r="61" ht="39" customHeight="1">
      <x:c r="A61" s="12" t="str">
        <x:v>452</x:v>
      </x:c>
      <x:c r="B61" s="12" t="str">
        <x:v>13110</x:v>
      </x:c>
      <x:c r="C61" s="21" t="n">
        <x:v>31829.57940972222</x:v>
      </x:c>
      <x:c r="D61" s="12" t="n">
        <x:v>78</x:v>
      </x:c>
      <x:c r="E61" s="12" t="n">
        <x:v>0</x:v>
      </x:c>
      <x:c r="F61" s="12" t="str">
        <x:v>未记录</x:v>
      </x:c>
      <x:c r="G61" s="12" t="n">
        <x:v>1</x:v>
      </x:c>
      <x:c r="H61" s="12" t="str">
        <x:v>{'LVH': 100.0, 'ISC_': 100.0, 'PVC': 100.0, 'AFIB': 0.0}</x:v>
      </x:c>
      <x:c r="I61" s="12" t="str">
        <x:v>[('AFIB', 100.0), ('ABER', 100.0), ('LAD3', 100.0), ('ILBBB', 100.0), ('LVH2', 100.0), ('2ST', 100.0), ('AB', 100.0)]</x:v>
      </x:c>
      <x:c r="J61" s="12" t="str">
        <x:v>ptbxl_database.csv；ecg_id=452；scp_codes</x:v>
      </x:c>
      <x:c r="K61" s="12" t="str">
        <x:v>12sl_statements.csv；ecg_id=452；statements_ext_snomed</x:v>
      </x:c>
      <x:c r="L61" s="12" t="n">
        <x:v>0</x:v>
      </x:c>
      <x:c r="M61" s="12" t="str">
        <x:v>positive</x:v>
      </x:c>
      <x:c r="N61" s="12" t="n">
        <x:v>100</x:v>
      </x:c>
      <x:c r="O61" s="12" t="str">
        <x:v>positive</x:v>
      </x:c>
      <x:c r="P61" s="12" t="str">
        <x:f>IF(OR(M61="unavailable",O61="unavailable"),"不可评价",IF(OR(M61="equivocal",O61="equivocal"),"疑似",IF(AND(M61="positive",O61="positive"),"a",IF(O61="positive","b",IF(M61="positive","c","d")))))</x:f>
        <x:v>a</x:v>
      </x:c>
      <x:c r="Q61" s="12"/>
      <x:c r="R61" s="12" t="str">
        <x:v>negative</x:v>
      </x:c>
      <x:c r="S61" s="12"/>
      <x:c r="T61" s="12" t="str">
        <x:v>negative</x:v>
      </x:c>
      <x:c r="U61" s="12" t="str">
        <x:f>IF(OR(R61="unavailable",T61="unavailable"),"不可评价",IF(OR(R61="equivocal",T61="equivocal"),"疑似",IF(AND(R61="positive",T61="positive"),"a",IF(T61="positive","b",IF(R61="positive","c","d")))))</x:f>
        <x:v>d</x:v>
      </x:c>
      <x:c r="V61" s="12"/>
      <x:c r="W61" s="12" t="str">
        <x:v>negative</x:v>
      </x:c>
      <x:c r="X61" s="12"/>
      <x:c r="Y61" s="12" t="str">
        <x:v>negative</x:v>
      </x:c>
      <x:c r="Z61" s="12" t="str">
        <x:f>IF(OR(W61="unavailable",Y61="unavailable"),"不可评价",IF(OR(W61="equivocal",Y61="equivocal"),"疑似",IF(AND(W61="positive",Y61="positive"),"a",IF(Y61="positive","b",IF(W61="positive","c","d")))))</x:f>
        <x:v>d</x:v>
      </x:c>
      <x:c r="AA61" s="12" t="str">
        <x:f>IF(OR(M61="unavailable",O61="unavailable"),"不可评价",IF(AND(OR(M61="positive",M61="equivocal"),OR(O61="positive",O61="equivocal")),"a",IF(OR(O61="positive",O61="equivocal"),"b",IF(OR(M61="positive",M61="equivocal"),"c","d"))))</x:f>
        <x:v>a</x:v>
      </x:c>
      <x:c r="AB61" s="12" t="str">
        <x:f>IF(OR(M61="unavailable",O61="unavailable"),"不可评价",IF(AND(M61="positive",O61="positive"),"a",IF(O61="positive","b",IF(M61="positive","c","d"))))</x:f>
        <x:v>a</x:v>
      </x:c>
      <x:c r="AC61" s="12" t="str">
        <x:f>IF(OR(R61="unavailable",T61="unavailable"),"不可评价",IF(AND(OR(R61="positive",R61="equivocal"),OR(T61="positive",T61="equivocal")),"a",IF(OR(T61="positive",T61="equivocal"),"b",IF(OR(R61="positive",R61="equivocal"),"c","d"))))</x:f>
        <x:v>d</x:v>
      </x:c>
      <x:c r="AD61" s="12" t="str">
        <x:f>IF(OR(R61="unavailable",T61="unavailable"),"不可评价",IF(AND(R61="positive",T61="positive"),"a",IF(T61="positive","b",IF(R61="positive","c","d"))))</x:f>
        <x:v>d</x:v>
      </x:c>
      <x:c r="AE61" s="12" t="str">
        <x:f>IF(OR(W61="unavailable",Y61="unavailable"),"不可评价",IF(AND(OR(W61="positive",W61="equivocal"),OR(Y61="positive",Y61="equivocal")),"a",IF(OR(Y61="positive",Y61="equivocal"),"b",IF(OR(W61="positive",W61="equivocal"),"c","d"))))</x:f>
        <x:v>d</x:v>
      </x:c>
      <x:c r="AF61" s="12" t="str">
        <x:f>IF(OR(W61="unavailable",Y61="unavailable"),"不可评价",IF(AND(W61="positive",Y61="positive"),"a",IF(Y61="positive","b",IF(W61="positive","c","d"))))</x:f>
        <x:v>d</x:v>
      </x:c>
    </x:row>
    <x:row r="62" ht="24" customHeight="1">
      <x:c r="A62" s="12" t="str">
        <x:v>472</x:v>
      </x:c>
      <x:c r="B62" s="12" t="str">
        <x:v>1360</x:v>
      </x:c>
      <x:c r="C62" s="21" t="n">
        <x:v>31834.51912037037</x:v>
      </x:c>
      <x:c r="D62" s="12" t="n">
        <x:v>62</x:v>
      </x:c>
      <x:c r="E62" s="12" t="n">
        <x:v>1</x:v>
      </x:c>
      <x:c r="F62" s="12" t="str">
        <x:v>存在</x:v>
      </x:c>
      <x:c r="G62" s="12" t="n">
        <x:v>1</x:v>
      </x:c>
      <x:c r="H62" s="12" t="str">
        <x:v>{'NORM': 100.0, 'SR': 0.0}</x:v>
      </x:c>
      <x:c r="I62" s="12" t="str">
        <x:v>[('NSR', 100.0), ('NST', 100.0), ('AB', 100.0)]</x:v>
      </x:c>
      <x:c r="J62" s="12" t="str">
        <x:v>ptbxl_database.csv；ecg_id=472；scp_codes</x:v>
      </x:c>
      <x:c r="K62" s="12" t="str">
        <x:v>12sl_statements.csv；ecg_id=472；statements_ext_snomed</x:v>
      </x:c>
      <x:c r="L62" s="12"/>
      <x:c r="M62" s="12" t="str">
        <x:v>negative</x:v>
      </x:c>
      <x:c r="N62" s="12"/>
      <x:c r="O62" s="12" t="str">
        <x:v>negative</x:v>
      </x:c>
      <x:c r="P62" s="12" t="str">
        <x:f>IF(OR(M62="unavailable",O62="unavailable"),"不可评价",IF(OR(M62="equivocal",O62="equivocal"),"疑似",IF(AND(M62="positive",O62="positive"),"a",IF(O62="positive","b",IF(M62="positive","c","d")))))</x:f>
        <x:v>d</x:v>
      </x:c>
      <x:c r="Q62" s="12"/>
      <x:c r="R62" s="12" t="str">
        <x:v>negative</x:v>
      </x:c>
      <x:c r="S62" s="12"/>
      <x:c r="T62" s="12" t="str">
        <x:v>negative</x:v>
      </x:c>
      <x:c r="U62" s="12" t="str">
        <x:f>IF(OR(R62="unavailable",T62="unavailable"),"不可评价",IF(OR(R62="equivocal",T62="equivocal"),"疑似",IF(AND(R62="positive",T62="positive"),"a",IF(T62="positive","b",IF(R62="positive","c","d")))))</x:f>
        <x:v>d</x:v>
      </x:c>
      <x:c r="V62" s="12"/>
      <x:c r="W62" s="12" t="str">
        <x:v>negative</x:v>
      </x:c>
      <x:c r="X62" s="12"/>
      <x:c r="Y62" s="12" t="str">
        <x:v>negative</x:v>
      </x:c>
      <x:c r="Z62" s="12" t="str">
        <x:f>IF(OR(W62="unavailable",Y62="unavailable"),"不可评价",IF(OR(W62="equivocal",Y62="equivocal"),"疑似",IF(AND(W62="positive",Y62="positive"),"a",IF(Y62="positive","b",IF(W62="positive","c","d")))))</x:f>
        <x:v>d</x:v>
      </x:c>
      <x:c r="AA62" s="12" t="str">
        <x:f>IF(OR(M62="unavailable",O62="unavailable"),"不可评价",IF(AND(OR(M62="positive",M62="equivocal"),OR(O62="positive",O62="equivocal")),"a",IF(OR(O62="positive",O62="equivocal"),"b",IF(OR(M62="positive",M62="equivocal"),"c","d"))))</x:f>
        <x:v>d</x:v>
      </x:c>
      <x:c r="AB62" s="12" t="str">
        <x:f>IF(OR(M62="unavailable",O62="unavailable"),"不可评价",IF(AND(M62="positive",O62="positive"),"a",IF(O62="positive","b",IF(M62="positive","c","d"))))</x:f>
        <x:v>d</x:v>
      </x:c>
      <x:c r="AC62" s="12" t="str">
        <x:f>IF(OR(R62="unavailable",T62="unavailable"),"不可评价",IF(AND(OR(R62="positive",R62="equivocal"),OR(T62="positive",T62="equivocal")),"a",IF(OR(T62="positive",T62="equivocal"),"b",IF(OR(R62="positive",R62="equivocal"),"c","d"))))</x:f>
        <x:v>d</x:v>
      </x:c>
      <x:c r="AD62" s="12" t="str">
        <x:f>IF(OR(R62="unavailable",T62="unavailable"),"不可评价",IF(AND(R62="positive",T62="positive"),"a",IF(T62="positive","b",IF(R62="positive","c","d"))))</x:f>
        <x:v>d</x:v>
      </x:c>
      <x:c r="AE62" s="12" t="str">
        <x:f>IF(OR(W62="unavailable",Y62="unavailable"),"不可评价",IF(AND(OR(W62="positive",W62="equivocal"),OR(Y62="positive",Y62="equivocal")),"a",IF(OR(Y62="positive",Y62="equivocal"),"b",IF(OR(W62="positive",W62="equivocal"),"c","d"))))</x:f>
        <x:v>d</x:v>
      </x:c>
      <x:c r="AF62" s="12" t="str">
        <x:f>IF(OR(W62="unavailable",Y62="unavailable"),"不可评价",IF(AND(W62="positive",Y62="positive"),"a",IF(Y62="positive","b",IF(W62="positive","c","d"))))</x:f>
        <x:v>d</x:v>
      </x:c>
    </x:row>
    <x:row r="63" ht="24" customHeight="1">
      <x:c r="A63" s="12" t="str">
        <x:v>473</x:v>
      </x:c>
      <x:c r="B63" s="12" t="str">
        <x:v>2398</x:v>
      </x:c>
      <x:c r="C63" s="21" t="n">
        <x:v>31834.55292824074</x:v>
      </x:c>
      <x:c r="D63" s="12" t="n">
        <x:v>58</x:v>
      </x:c>
      <x:c r="E63" s="12" t="n">
        <x:v>0</x:v>
      </x:c>
      <x:c r="F63" s="12" t="str">
        <x:v>未记录</x:v>
      </x:c>
      <x:c r="G63" s="12" t="n">
        <x:v>1</x:v>
      </x:c>
      <x:c r="H63" s="12" t="str">
        <x:v>{'NORM': 100.0, 'SR': 0.0}</x:v>
      </x:c>
      <x:c r="I63" s="12" t="str">
        <x:v>[('QCERR', 100.0), ('SBRAD', 100.0), ('ABR', 100.0)]</x:v>
      </x:c>
      <x:c r="J63" s="12" t="str">
        <x:v>ptbxl_database.csv；ecg_id=473；scp_codes</x:v>
      </x:c>
      <x:c r="K63" s="12" t="str">
        <x:v>12sl_statements.csv；ecg_id=473；statements_ext_snomed</x:v>
      </x:c>
      <x:c r="L63" s="12"/>
      <x:c r="M63" s="12" t="str">
        <x:v>negative</x:v>
      </x:c>
      <x:c r="N63" s="12"/>
      <x:c r="O63" s="12" t="str">
        <x:v>negative</x:v>
      </x:c>
      <x:c r="P63" s="12" t="str">
        <x:f>IF(OR(M63="unavailable",O63="unavailable"),"不可评价",IF(OR(M63="equivocal",O63="equivocal"),"疑似",IF(AND(M63="positive",O63="positive"),"a",IF(O63="positive","b",IF(M63="positive","c","d")))))</x:f>
        <x:v>d</x:v>
      </x:c>
      <x:c r="Q63" s="12"/>
      <x:c r="R63" s="12" t="str">
        <x:v>negative</x:v>
      </x:c>
      <x:c r="S63" s="12"/>
      <x:c r="T63" s="12" t="str">
        <x:v>negative</x:v>
      </x:c>
      <x:c r="U63" s="12" t="str">
        <x:f>IF(OR(R63="unavailable",T63="unavailable"),"不可评价",IF(OR(R63="equivocal",T63="equivocal"),"疑似",IF(AND(R63="positive",T63="positive"),"a",IF(T63="positive","b",IF(R63="positive","c","d")))))</x:f>
        <x:v>d</x:v>
      </x:c>
      <x:c r="V63" s="12"/>
      <x:c r="W63" s="12" t="str">
        <x:v>negative</x:v>
      </x:c>
      <x:c r="X63" s="12"/>
      <x:c r="Y63" s="12" t="str">
        <x:v>negative</x:v>
      </x:c>
      <x:c r="Z63" s="12" t="str">
        <x:f>IF(OR(W63="unavailable",Y63="unavailable"),"不可评价",IF(OR(W63="equivocal",Y63="equivocal"),"疑似",IF(AND(W63="positive",Y63="positive"),"a",IF(Y63="positive","b",IF(W63="positive","c","d")))))</x:f>
        <x:v>d</x:v>
      </x:c>
      <x:c r="AA63" s="12" t="str">
        <x:f>IF(OR(M63="unavailable",O63="unavailable"),"不可评价",IF(AND(OR(M63="positive",M63="equivocal"),OR(O63="positive",O63="equivocal")),"a",IF(OR(O63="positive",O63="equivocal"),"b",IF(OR(M63="positive",M63="equivocal"),"c","d"))))</x:f>
        <x:v>d</x:v>
      </x:c>
      <x:c r="AB63" s="12" t="str">
        <x:f>IF(OR(M63="unavailable",O63="unavailable"),"不可评价",IF(AND(M63="positive",O63="positive"),"a",IF(O63="positive","b",IF(M63="positive","c","d"))))</x:f>
        <x:v>d</x:v>
      </x:c>
      <x:c r="AC63" s="12" t="str">
        <x:f>IF(OR(R63="unavailable",T63="unavailable"),"不可评价",IF(AND(OR(R63="positive",R63="equivocal"),OR(T63="positive",T63="equivocal")),"a",IF(OR(T63="positive",T63="equivocal"),"b",IF(OR(R63="positive",R63="equivocal"),"c","d"))))</x:f>
        <x:v>d</x:v>
      </x:c>
      <x:c r="AD63" s="12" t="str">
        <x:f>IF(OR(R63="unavailable",T63="unavailable"),"不可评价",IF(AND(R63="positive",T63="positive"),"a",IF(T63="positive","b",IF(R63="positive","c","d"))))</x:f>
        <x:v>d</x:v>
      </x:c>
      <x:c r="AE63" s="12" t="str">
        <x:f>IF(OR(W63="unavailable",Y63="unavailable"),"不可评价",IF(AND(OR(W63="positive",W63="equivocal"),OR(Y63="positive",Y63="equivocal")),"a",IF(OR(Y63="positive",Y63="equivocal"),"b",IF(OR(W63="positive",W63="equivocal"),"c","d"))))</x:f>
        <x:v>d</x:v>
      </x:c>
      <x:c r="AF63" s="12" t="str">
        <x:f>IF(OR(W63="unavailable",Y63="unavailable"),"不可评价",IF(AND(W63="positive",Y63="positive"),"a",IF(Y63="positive","b",IF(W63="positive","c","d"))))</x:f>
        <x:v>d</x:v>
      </x:c>
    </x:row>
    <x:row r="64" ht="24" customHeight="1">
      <x:c r="A64" s="12" t="str">
        <x:v>478</x:v>
      </x:c>
      <x:c r="B64" s="12" t="str">
        <x:v>6312</x:v>
      </x:c>
      <x:c r="C64" s="21" t="n">
        <x:v>31835.286585648148</x:v>
      </x:c>
      <x:c r="D64" s="12" t="n">
        <x:v>39</x:v>
      </x:c>
      <x:c r="E64" s="12" t="n">
        <x:v>0</x:v>
      </x:c>
      <x:c r="F64" s="12" t="str">
        <x:v>未记录</x:v>
      </x:c>
      <x:c r="G64" s="12" t="n">
        <x:v>1</x:v>
      </x:c>
      <x:c r="H64" s="12" t="str">
        <x:v>{'NORM': 80.0, 'IRBBB': 100.0, 'SARRH': 0.0}</x:v>
      </x:c>
      <x:c r="I64" s="12" t="str">
        <x:v>[('NSR', 100.0), ('SAR', 100.0), ('RAD', 100.0), ('IRBBB', 100.0), ('BORDE', 100.0)]</x:v>
      </x:c>
      <x:c r="J64" s="12" t="str">
        <x:v>ptbxl_database.csv；ecg_id=478；scp_codes</x:v>
      </x:c>
      <x:c r="K64" s="12" t="str">
        <x:v>12sl_statements.csv；ecg_id=478；statements_ext_snomed</x:v>
      </x:c>
      <x:c r="L64" s="12"/>
      <x:c r="M64" s="12" t="str">
        <x:v>negative</x:v>
      </x:c>
      <x:c r="N64" s="12"/>
      <x:c r="O64" s="12" t="str">
        <x:v>negative</x:v>
      </x:c>
      <x:c r="P64" s="12" t="str">
        <x:f>IF(OR(M64="unavailable",O64="unavailable"),"不可评价",IF(OR(M64="equivocal",O64="equivocal"),"疑似",IF(AND(M64="positive",O64="positive"),"a",IF(O64="positive","b",IF(M64="positive","c","d")))))</x:f>
        <x:v>d</x:v>
      </x:c>
      <x:c r="Q64" s="12"/>
      <x:c r="R64" s="12" t="str">
        <x:v>negative</x:v>
      </x:c>
      <x:c r="S64" s="12"/>
      <x:c r="T64" s="12" t="str">
        <x:v>negative</x:v>
      </x:c>
      <x:c r="U64" s="12" t="str">
        <x:f>IF(OR(R64="unavailable",T64="unavailable"),"不可评价",IF(OR(R64="equivocal",T64="equivocal"),"疑似",IF(AND(R64="positive",T64="positive"),"a",IF(T64="positive","b",IF(R64="positive","c","d")))))</x:f>
        <x:v>d</x:v>
      </x:c>
      <x:c r="V64" s="12"/>
      <x:c r="W64" s="12" t="str">
        <x:v>negative</x:v>
      </x:c>
      <x:c r="X64" s="12"/>
      <x:c r="Y64" s="12" t="str">
        <x:v>negative</x:v>
      </x:c>
      <x:c r="Z64" s="12" t="str">
        <x:f>IF(OR(W64="unavailable",Y64="unavailable"),"不可评价",IF(OR(W64="equivocal",Y64="equivocal"),"疑似",IF(AND(W64="positive",Y64="positive"),"a",IF(Y64="positive","b",IF(W64="positive","c","d")))))</x:f>
        <x:v>d</x:v>
      </x:c>
      <x:c r="AA64" s="12" t="str">
        <x:f>IF(OR(M64="unavailable",O64="unavailable"),"不可评价",IF(AND(OR(M64="positive",M64="equivocal"),OR(O64="positive",O64="equivocal")),"a",IF(OR(O64="positive",O64="equivocal"),"b",IF(OR(M64="positive",M64="equivocal"),"c","d"))))</x:f>
        <x:v>d</x:v>
      </x:c>
      <x:c r="AB64" s="12" t="str">
        <x:f>IF(OR(M64="unavailable",O64="unavailable"),"不可评价",IF(AND(M64="positive",O64="positive"),"a",IF(O64="positive","b",IF(M64="positive","c","d"))))</x:f>
        <x:v>d</x:v>
      </x:c>
      <x:c r="AC64" s="12" t="str">
        <x:f>IF(OR(R64="unavailable",T64="unavailable"),"不可评价",IF(AND(OR(R64="positive",R64="equivocal"),OR(T64="positive",T64="equivocal")),"a",IF(OR(T64="positive",T64="equivocal"),"b",IF(OR(R64="positive",R64="equivocal"),"c","d"))))</x:f>
        <x:v>d</x:v>
      </x:c>
      <x:c r="AD64" s="12" t="str">
        <x:f>IF(OR(R64="unavailable",T64="unavailable"),"不可评价",IF(AND(R64="positive",T64="positive"),"a",IF(T64="positive","b",IF(R64="positive","c","d"))))</x:f>
        <x:v>d</x:v>
      </x:c>
      <x:c r="AE64" s="12" t="str">
        <x:f>IF(OR(W64="unavailable",Y64="unavailable"),"不可评价",IF(AND(OR(W64="positive",W64="equivocal"),OR(Y64="positive",Y64="equivocal")),"a",IF(OR(Y64="positive",Y64="equivocal"),"b",IF(OR(W64="positive",W64="equivocal"),"c","d"))))</x:f>
        <x:v>d</x:v>
      </x:c>
      <x:c r="AF64" s="12" t="str">
        <x:f>IF(OR(W64="unavailable",Y64="unavailable"),"不可评价",IF(AND(W64="positive",Y64="positive"),"a",IF(Y64="positive","b",IF(W64="positive","c","d"))))</x:f>
        <x:v>d</x:v>
      </x:c>
    </x:row>
    <x:row r="65" ht="24" customHeight="1">
      <x:c r="A65" s="12" t="str">
        <x:v>499</x:v>
      </x:c>
      <x:c r="B65" s="12" t="str">
        <x:v>2678</x:v>
      </x:c>
      <x:c r="C65" s="21" t="n">
        <x:v>31837.48837962963</x:v>
      </x:c>
      <x:c r="D65" s="12" t="n">
        <x:v>60</x:v>
      </x:c>
      <x:c r="E65" s="12" t="n">
        <x:v>0</x:v>
      </x:c>
      <x:c r="F65" s="12" t="str">
        <x:v>未记录</x:v>
      </x:c>
      <x:c r="G65" s="12" t="n">
        <x:v>1</x:v>
      </x:c>
      <x:c r="H65" s="12" t="str">
        <x:v>{'NDT': 100.0, 'NT_': 0.0, 'SR': 0.0}</x:v>
      </x:c>
      <x:c r="I65" s="12" t="str">
        <x:v>[('SBRAD', 100.0), ('NT', 100.0), ('AB', 100.0)]</x:v>
      </x:c>
      <x:c r="J65" s="12" t="str">
        <x:v>ptbxl_database.csv；ecg_id=499；scp_codes</x:v>
      </x:c>
      <x:c r="K65" s="12" t="str">
        <x:v>12sl_statements.csv；ecg_id=499；statements_ext_snomed</x:v>
      </x:c>
      <x:c r="L65" s="12"/>
      <x:c r="M65" s="12" t="str">
        <x:v>negative</x:v>
      </x:c>
      <x:c r="N65" s="12"/>
      <x:c r="O65" s="12" t="str">
        <x:v>negative</x:v>
      </x:c>
      <x:c r="P65" s="12" t="str">
        <x:f>IF(OR(M65="unavailable",O65="unavailable"),"不可评价",IF(OR(M65="equivocal",O65="equivocal"),"疑似",IF(AND(M65="positive",O65="positive"),"a",IF(O65="positive","b",IF(M65="positive","c","d")))))</x:f>
        <x:v>d</x:v>
      </x:c>
      <x:c r="Q65" s="12"/>
      <x:c r="R65" s="12" t="str">
        <x:v>negative</x:v>
      </x:c>
      <x:c r="S65" s="12"/>
      <x:c r="T65" s="12" t="str">
        <x:v>negative</x:v>
      </x:c>
      <x:c r="U65" s="12" t="str">
        <x:f>IF(OR(R65="unavailable",T65="unavailable"),"不可评价",IF(OR(R65="equivocal",T65="equivocal"),"疑似",IF(AND(R65="positive",T65="positive"),"a",IF(T65="positive","b",IF(R65="positive","c","d")))))</x:f>
        <x:v>d</x:v>
      </x:c>
      <x:c r="V65" s="12"/>
      <x:c r="W65" s="12" t="str">
        <x:v>negative</x:v>
      </x:c>
      <x:c r="X65" s="12"/>
      <x:c r="Y65" s="12" t="str">
        <x:v>negative</x:v>
      </x:c>
      <x:c r="Z65" s="12" t="str">
        <x:f>IF(OR(W65="unavailable",Y65="unavailable"),"不可评价",IF(OR(W65="equivocal",Y65="equivocal"),"疑似",IF(AND(W65="positive",Y65="positive"),"a",IF(Y65="positive","b",IF(W65="positive","c","d")))))</x:f>
        <x:v>d</x:v>
      </x:c>
      <x:c r="AA65" s="12" t="str">
        <x:f>IF(OR(M65="unavailable",O65="unavailable"),"不可评价",IF(AND(OR(M65="positive",M65="equivocal"),OR(O65="positive",O65="equivocal")),"a",IF(OR(O65="positive",O65="equivocal"),"b",IF(OR(M65="positive",M65="equivocal"),"c","d"))))</x:f>
        <x:v>d</x:v>
      </x:c>
      <x:c r="AB65" s="12" t="str">
        <x:f>IF(OR(M65="unavailable",O65="unavailable"),"不可评价",IF(AND(M65="positive",O65="positive"),"a",IF(O65="positive","b",IF(M65="positive","c","d"))))</x:f>
        <x:v>d</x:v>
      </x:c>
      <x:c r="AC65" s="12" t="str">
        <x:f>IF(OR(R65="unavailable",T65="unavailable"),"不可评价",IF(AND(OR(R65="positive",R65="equivocal"),OR(T65="positive",T65="equivocal")),"a",IF(OR(T65="positive",T65="equivocal"),"b",IF(OR(R65="positive",R65="equivocal"),"c","d"))))</x:f>
        <x:v>d</x:v>
      </x:c>
      <x:c r="AD65" s="12" t="str">
        <x:f>IF(OR(R65="unavailable",T65="unavailable"),"不可评价",IF(AND(R65="positive",T65="positive"),"a",IF(T65="positive","b",IF(R65="positive","c","d"))))</x:f>
        <x:v>d</x:v>
      </x:c>
      <x:c r="AE65" s="12" t="str">
        <x:f>IF(OR(W65="unavailable",Y65="unavailable"),"不可评价",IF(AND(OR(W65="positive",W65="equivocal"),OR(Y65="positive",Y65="equivocal")),"a",IF(OR(Y65="positive",Y65="equivocal"),"b",IF(OR(W65="positive",W65="equivocal"),"c","d"))))</x:f>
        <x:v>d</x:v>
      </x:c>
      <x:c r="AF65" s="12" t="str">
        <x:f>IF(OR(W65="unavailable",Y65="unavailable"),"不可评价",IF(AND(W65="positive",Y65="positive"),"a",IF(Y65="positive","b",IF(W65="positive","c","d"))))</x:f>
        <x:v>d</x:v>
      </x:c>
    </x:row>
    <x:row r="66" ht="24" customHeight="1">
      <x:c r="A66" s="12" t="str">
        <x:v>504</x:v>
      </x:c>
      <x:c r="B66" s="12" t="str">
        <x:v>3602</x:v>
      </x:c>
      <x:c r="C66" s="21" t="n">
        <x:v>31837.76577546296</x:v>
      </x:c>
      <x:c r="D66" s="12" t="n">
        <x:v>29</x:v>
      </x:c>
      <x:c r="E66" s="12" t="n">
        <x:v>1</x:v>
      </x:c>
      <x:c r="F66" s="12" t="str">
        <x:v>未记录</x:v>
      </x:c>
      <x:c r="G66" s="12" t="n">
        <x:v>1</x:v>
      </x:c>
      <x:c r="H66" s="12" t="str">
        <x:v>{'NORM': 100.0, 'SR': 0.0}</x:v>
      </x:c>
      <x:c r="I66" s="12" t="str">
        <x:v>[('NSR', 100.0), ('NML', 100.0)]</x:v>
      </x:c>
      <x:c r="J66" s="12" t="str">
        <x:v>ptbxl_database.csv；ecg_id=504；scp_codes</x:v>
      </x:c>
      <x:c r="K66" s="12" t="str">
        <x:v>12sl_statements.csv；ecg_id=504；statements_ext_snomed</x:v>
      </x:c>
      <x:c r="L66" s="12"/>
      <x:c r="M66" s="12" t="str">
        <x:v>negative</x:v>
      </x:c>
      <x:c r="N66" s="12"/>
      <x:c r="O66" s="12" t="str">
        <x:v>negative</x:v>
      </x:c>
      <x:c r="P66" s="12" t="str">
        <x:f>IF(OR(M66="unavailable",O66="unavailable"),"不可评价",IF(OR(M66="equivocal",O66="equivocal"),"疑似",IF(AND(M66="positive",O66="positive"),"a",IF(O66="positive","b",IF(M66="positive","c","d")))))</x:f>
        <x:v>d</x:v>
      </x:c>
      <x:c r="Q66" s="12"/>
      <x:c r="R66" s="12" t="str">
        <x:v>negative</x:v>
      </x:c>
      <x:c r="S66" s="12"/>
      <x:c r="T66" s="12" t="str">
        <x:v>negative</x:v>
      </x:c>
      <x:c r="U66" s="12" t="str">
        <x:f>IF(OR(R66="unavailable",T66="unavailable"),"不可评价",IF(OR(R66="equivocal",T66="equivocal"),"疑似",IF(AND(R66="positive",T66="positive"),"a",IF(T66="positive","b",IF(R66="positive","c","d")))))</x:f>
        <x:v>d</x:v>
      </x:c>
      <x:c r="V66" s="12"/>
      <x:c r="W66" s="12" t="str">
        <x:v>negative</x:v>
      </x:c>
      <x:c r="X66" s="12"/>
      <x:c r="Y66" s="12" t="str">
        <x:v>negative</x:v>
      </x:c>
      <x:c r="Z66" s="12" t="str">
        <x:f>IF(OR(W66="unavailable",Y66="unavailable"),"不可评价",IF(OR(W66="equivocal",Y66="equivocal"),"疑似",IF(AND(W66="positive",Y66="positive"),"a",IF(Y66="positive","b",IF(W66="positive","c","d")))))</x:f>
        <x:v>d</x:v>
      </x:c>
      <x:c r="AA66" s="12" t="str">
        <x:f>IF(OR(M66="unavailable",O66="unavailable"),"不可评价",IF(AND(OR(M66="positive",M66="equivocal"),OR(O66="positive",O66="equivocal")),"a",IF(OR(O66="positive",O66="equivocal"),"b",IF(OR(M66="positive",M66="equivocal"),"c","d"))))</x:f>
        <x:v>d</x:v>
      </x:c>
      <x:c r="AB66" s="12" t="str">
        <x:f>IF(OR(M66="unavailable",O66="unavailable"),"不可评价",IF(AND(M66="positive",O66="positive"),"a",IF(O66="positive","b",IF(M66="positive","c","d"))))</x:f>
        <x:v>d</x:v>
      </x:c>
      <x:c r="AC66" s="12" t="str">
        <x:f>IF(OR(R66="unavailable",T66="unavailable"),"不可评价",IF(AND(OR(R66="positive",R66="equivocal"),OR(T66="positive",T66="equivocal")),"a",IF(OR(T66="positive",T66="equivocal"),"b",IF(OR(R66="positive",R66="equivocal"),"c","d"))))</x:f>
        <x:v>d</x:v>
      </x:c>
      <x:c r="AD66" s="12" t="str">
        <x:f>IF(OR(R66="unavailable",T66="unavailable"),"不可评价",IF(AND(R66="positive",T66="positive"),"a",IF(T66="positive","b",IF(R66="positive","c","d"))))</x:f>
        <x:v>d</x:v>
      </x:c>
      <x:c r="AE66" s="12" t="str">
        <x:f>IF(OR(W66="unavailable",Y66="unavailable"),"不可评价",IF(AND(OR(W66="positive",W66="equivocal"),OR(Y66="positive",Y66="equivocal")),"a",IF(OR(Y66="positive",Y66="equivocal"),"b",IF(OR(W66="positive",W66="equivocal"),"c","d"))))</x:f>
        <x:v>d</x:v>
      </x:c>
      <x:c r="AF66" s="12" t="str">
        <x:f>IF(OR(W66="unavailable",Y66="unavailable"),"不可评价",IF(AND(W66="positive",Y66="positive"),"a",IF(Y66="positive","b",IF(W66="positive","c","d"))))</x:f>
        <x:v>d</x:v>
      </x:c>
    </x:row>
    <x:row r="67" ht="24" customHeight="1">
      <x:c r="A67" s="12" t="str">
        <x:v>512</x:v>
      </x:c>
      <x:c r="B67" s="12" t="str">
        <x:v>16695</x:v>
      </x:c>
      <x:c r="C67" s="21" t="n">
        <x:v>31841.50528935185</x:v>
      </x:c>
      <x:c r="D67" s="12" t="n">
        <x:v>77</x:v>
      </x:c>
      <x:c r="E67" s="12" t="n">
        <x:v>1</x:v>
      </x:c>
      <x:c r="F67" s="12" t="str">
        <x:v>存在</x:v>
      </x:c>
      <x:c r="G67" s="12" t="n">
        <x:v>1</x:v>
      </x:c>
      <x:c r="H67" s="12" t="str">
        <x:v>{'CRBBB': 100.0, 'ASMI': 100.0}</x:v>
      </x:c>
      <x:c r="I67" s="12" t="str">
        <x:v>[('$SWQR', 100.0), ('RBBB', 100.0), ('LMI;AU', 50.0), ('AB', 100.0)]</x:v>
      </x:c>
      <x:c r="J67" s="12" t="str">
        <x:v>ptbxl_database.csv；ecg_id=512；scp_codes</x:v>
      </x:c>
      <x:c r="K67" s="12" t="str">
        <x:v>12sl_statements.csv；ecg_id=512；statements_ext_snomed</x:v>
      </x:c>
      <x:c r="L67" s="12"/>
      <x:c r="M67" s="12" t="str">
        <x:v>negative</x:v>
      </x:c>
      <x:c r="N67" s="12"/>
      <x:c r="O67" s="12" t="str">
        <x:v>negative</x:v>
      </x:c>
      <x:c r="P67" s="12" t="str">
        <x:f>IF(OR(M67="unavailable",O67="unavailable"),"不可评价",IF(OR(M67="equivocal",O67="equivocal"),"疑似",IF(AND(M67="positive",O67="positive"),"a",IF(O67="positive","b",IF(M67="positive","c","d")))))</x:f>
        <x:v>d</x:v>
      </x:c>
      <x:c r="Q67" s="12"/>
      <x:c r="R67" s="12" t="str">
        <x:v>negative</x:v>
      </x:c>
      <x:c r="S67" s="12"/>
      <x:c r="T67" s="12" t="str">
        <x:v>negative</x:v>
      </x:c>
      <x:c r="U67" s="12" t="str">
        <x:f>IF(OR(R67="unavailable",T67="unavailable"),"不可评价",IF(OR(R67="equivocal",T67="equivocal"),"疑似",IF(AND(R67="positive",T67="positive"),"a",IF(T67="positive","b",IF(R67="positive","c","d")))))</x:f>
        <x:v>d</x:v>
      </x:c>
      <x:c r="V67" s="12" t="n">
        <x:v>100</x:v>
      </x:c>
      <x:c r="W67" s="12" t="str">
        <x:v>positive</x:v>
      </x:c>
      <x:c r="X67" s="12" t="n">
        <x:v>100</x:v>
      </x:c>
      <x:c r="Y67" s="12" t="str">
        <x:v>positive</x:v>
      </x:c>
      <x:c r="Z67" s="12" t="str">
        <x:f>IF(OR(W67="unavailable",Y67="unavailable"),"不可评价",IF(OR(W67="equivocal",Y67="equivocal"),"疑似",IF(AND(W67="positive",Y67="positive"),"a",IF(Y67="positive","b",IF(W67="positive","c","d")))))</x:f>
        <x:v>a</x:v>
      </x:c>
      <x:c r="AA67" s="12" t="str">
        <x:f>IF(OR(M67="unavailable",O67="unavailable"),"不可评价",IF(AND(OR(M67="positive",M67="equivocal"),OR(O67="positive",O67="equivocal")),"a",IF(OR(O67="positive",O67="equivocal"),"b",IF(OR(M67="positive",M67="equivocal"),"c","d"))))</x:f>
        <x:v>d</x:v>
      </x:c>
      <x:c r="AB67" s="12" t="str">
        <x:f>IF(OR(M67="unavailable",O67="unavailable"),"不可评价",IF(AND(M67="positive",O67="positive"),"a",IF(O67="positive","b",IF(M67="positive","c","d"))))</x:f>
        <x:v>d</x:v>
      </x:c>
      <x:c r="AC67" s="12" t="str">
        <x:f>IF(OR(R67="unavailable",T67="unavailable"),"不可评价",IF(AND(OR(R67="positive",R67="equivocal"),OR(T67="positive",T67="equivocal")),"a",IF(OR(T67="positive",T67="equivocal"),"b",IF(OR(R67="positive",R67="equivocal"),"c","d"))))</x:f>
        <x:v>d</x:v>
      </x:c>
      <x:c r="AD67" s="12" t="str">
        <x:f>IF(OR(R67="unavailable",T67="unavailable"),"不可评价",IF(AND(R67="positive",T67="positive"),"a",IF(T67="positive","b",IF(R67="positive","c","d"))))</x:f>
        <x:v>d</x:v>
      </x:c>
      <x:c r="AE67" s="12" t="str">
        <x:f>IF(OR(W67="unavailable",Y67="unavailable"),"不可评价",IF(AND(OR(W67="positive",W67="equivocal"),OR(Y67="positive",Y67="equivocal")),"a",IF(OR(Y67="positive",Y67="equivocal"),"b",IF(OR(W67="positive",W67="equivocal"),"c","d"))))</x:f>
        <x:v>a</x:v>
      </x:c>
      <x:c r="AF67" s="12" t="str">
        <x:f>IF(OR(W67="unavailable",Y67="unavailable"),"不可评价",IF(AND(W67="positive",Y67="positive"),"a",IF(Y67="positive","b",IF(W67="positive","c","d"))))</x:f>
        <x:v>a</x:v>
      </x:c>
    </x:row>
    <x:row r="68" ht="39" customHeight="1">
      <x:c r="A68" s="12" t="str">
        <x:v>514</x:v>
      </x:c>
      <x:c r="B68" s="12" t="str">
        <x:v>12005</x:v>
      </x:c>
      <x:c r="C68" s="21" t="n">
        <x:v>31842.24255787037</x:v>
      </x:c>
      <x:c r="D68" s="12" t="n">
        <x:v>61</x:v>
      </x:c>
      <x:c r="E68" s="12" t="n">
        <x:v>1</x:v>
      </x:c>
      <x:c r="F68" s="12" t="str">
        <x:v>存在</x:v>
      </x:c>
      <x:c r="G68" s="12" t="n">
        <x:v>1</x:v>
      </x:c>
      <x:c r="H68" s="12" t="str">
        <x:v>{'ILMI': 100.0, 'SR': 0.0}</x:v>
      </x:c>
      <x:c r="I68" s="12" t="str">
        <x:v>[('NSR', 100.0), ('LVH2', 100.0), ('2ST', 100.0), ('IMI;AC', 100.0), ('LINJ', 100.0), ('STEMI', 100.0), ('CRVI', 100.0), ('AB', 100.0)]</x:v>
      </x:c>
      <x:c r="J68" s="12" t="str">
        <x:v>ptbxl_database.csv；ecg_id=514；scp_codes</x:v>
      </x:c>
      <x:c r="K68" s="12" t="str">
        <x:v>12sl_statements.csv；ecg_id=514；statements_ext_snomed</x:v>
      </x:c>
      <x:c r="L68" s="12"/>
      <x:c r="M68" s="12" t="str">
        <x:v>negative</x:v>
      </x:c>
      <x:c r="N68" s="12"/>
      <x:c r="O68" s="12" t="str">
        <x:v>negative</x:v>
      </x:c>
      <x:c r="P68" s="12" t="str">
        <x:f>IF(OR(M68="unavailable",O68="unavailable"),"不可评价",IF(OR(M68="equivocal",O68="equivocal"),"疑似",IF(AND(M68="positive",O68="positive"),"a",IF(O68="positive","b",IF(M68="positive","c","d")))))</x:f>
        <x:v>d</x:v>
      </x:c>
      <x:c r="Q68" s="12"/>
      <x:c r="R68" s="12" t="str">
        <x:v>negative</x:v>
      </x:c>
      <x:c r="S68" s="12"/>
      <x:c r="T68" s="12" t="str">
        <x:v>negative</x:v>
      </x:c>
      <x:c r="U68" s="12" t="str">
        <x:f>IF(OR(R68="unavailable",T68="unavailable"),"不可评价",IF(OR(R68="equivocal",T68="equivocal"),"疑似",IF(AND(R68="positive",T68="positive"),"a",IF(T68="positive","b",IF(R68="positive","c","d")))))</x:f>
        <x:v>d</x:v>
      </x:c>
      <x:c r="V68" s="12"/>
      <x:c r="W68" s="12" t="str">
        <x:v>negative</x:v>
      </x:c>
      <x:c r="X68" s="12"/>
      <x:c r="Y68" s="12" t="str">
        <x:v>negative</x:v>
      </x:c>
      <x:c r="Z68" s="12" t="str">
        <x:f>IF(OR(W68="unavailable",Y68="unavailable"),"不可评价",IF(OR(W68="equivocal",Y68="equivocal"),"疑似",IF(AND(W68="positive",Y68="positive"),"a",IF(Y68="positive","b",IF(W68="positive","c","d")))))</x:f>
        <x:v>d</x:v>
      </x:c>
      <x:c r="AA68" s="12" t="str">
        <x:f>IF(OR(M68="unavailable",O68="unavailable"),"不可评价",IF(AND(OR(M68="positive",M68="equivocal"),OR(O68="positive",O68="equivocal")),"a",IF(OR(O68="positive",O68="equivocal"),"b",IF(OR(M68="positive",M68="equivocal"),"c","d"))))</x:f>
        <x:v>d</x:v>
      </x:c>
      <x:c r="AB68" s="12" t="str">
        <x:f>IF(OR(M68="unavailable",O68="unavailable"),"不可评价",IF(AND(M68="positive",O68="positive"),"a",IF(O68="positive","b",IF(M68="positive","c","d"))))</x:f>
        <x:v>d</x:v>
      </x:c>
      <x:c r="AC68" s="12" t="str">
        <x:f>IF(OR(R68="unavailable",T68="unavailable"),"不可评价",IF(AND(OR(R68="positive",R68="equivocal"),OR(T68="positive",T68="equivocal")),"a",IF(OR(T68="positive",T68="equivocal"),"b",IF(OR(R68="positive",R68="equivocal"),"c","d"))))</x:f>
        <x:v>d</x:v>
      </x:c>
      <x:c r="AD68" s="12" t="str">
        <x:f>IF(OR(R68="unavailable",T68="unavailable"),"不可评价",IF(AND(R68="positive",T68="positive"),"a",IF(T68="positive","b",IF(R68="positive","c","d"))))</x:f>
        <x:v>d</x:v>
      </x:c>
      <x:c r="AE68" s="12" t="str">
        <x:f>IF(OR(W68="unavailable",Y68="unavailable"),"不可评价",IF(AND(OR(W68="positive",W68="equivocal"),OR(Y68="positive",Y68="equivocal")),"a",IF(OR(Y68="positive",Y68="equivocal"),"b",IF(OR(W68="positive",W68="equivocal"),"c","d"))))</x:f>
        <x:v>d</x:v>
      </x:c>
      <x:c r="AF68" s="12" t="str">
        <x:f>IF(OR(W68="unavailable",Y68="unavailable"),"不可评价",IF(AND(W68="positive",Y68="positive"),"a",IF(Y68="positive","b",IF(W68="positive","c","d"))))</x:f>
        <x:v>d</x:v>
      </x:c>
    </x:row>
    <x:row r="69" ht="24" customHeight="1">
      <x:c r="A69" s="12" t="str">
        <x:v>516</x:v>
      </x:c>
      <x:c r="B69" s="12" t="str">
        <x:v>13237</x:v>
      </x:c>
      <x:c r="C69" s="21" t="n">
        <x:v>31842.5071875</x:v>
      </x:c>
      <x:c r="D69" s="12" t="n">
        <x:v>37</x:v>
      </x:c>
      <x:c r="E69" s="12" t="n">
        <x:v>0</x:v>
      </x:c>
      <x:c r="F69" s="12" t="str">
        <x:v>存在</x:v>
      </x:c>
      <x:c r="G69" s="12" t="n">
        <x:v>1</x:v>
      </x:c>
      <x:c r="H69" s="12" t="str">
        <x:v>{'LVH': 100.0, 'ISC_': 100.0, 'SR': 0.0}</x:v>
      </x:c>
      <x:c r="I69" s="12" t="str">
        <x:v>[('NSR', 100.0), ('LVH2', 100.0), ('QRSW-2ST', 100.0), ('AB', 100.0)]</x:v>
      </x:c>
      <x:c r="J69" s="12" t="str">
        <x:v>ptbxl_database.csv；ecg_id=516；scp_codes</x:v>
      </x:c>
      <x:c r="K69" s="12" t="str">
        <x:v>12sl_statements.csv；ecg_id=516；statements_ext_snomed</x:v>
      </x:c>
      <x:c r="L69" s="12"/>
      <x:c r="M69" s="12" t="str">
        <x:v>negative</x:v>
      </x:c>
      <x:c r="N69" s="12"/>
      <x:c r="O69" s="12" t="str">
        <x:v>negative</x:v>
      </x:c>
      <x:c r="P69" s="12" t="str">
        <x:f>IF(OR(M69="unavailable",O69="unavailable"),"不可评价",IF(OR(M69="equivocal",O69="equivocal"),"疑似",IF(AND(M69="positive",O69="positive"),"a",IF(O69="positive","b",IF(M69="positive","c","d")))))</x:f>
        <x:v>d</x:v>
      </x:c>
      <x:c r="Q69" s="12"/>
      <x:c r="R69" s="12" t="str">
        <x:v>negative</x:v>
      </x:c>
      <x:c r="S69" s="12"/>
      <x:c r="T69" s="12" t="str">
        <x:v>negative</x:v>
      </x:c>
      <x:c r="U69" s="12" t="str">
        <x:f>IF(OR(R69="unavailable",T69="unavailable"),"不可评价",IF(OR(R69="equivocal",T69="equivocal"),"疑似",IF(AND(R69="positive",T69="positive"),"a",IF(T69="positive","b",IF(R69="positive","c","d")))))</x:f>
        <x:v>d</x:v>
      </x:c>
      <x:c r="V69" s="12"/>
      <x:c r="W69" s="12" t="str">
        <x:v>negative</x:v>
      </x:c>
      <x:c r="X69" s="12"/>
      <x:c r="Y69" s="12" t="str">
        <x:v>negative</x:v>
      </x:c>
      <x:c r="Z69" s="12" t="str">
        <x:f>IF(OR(W69="unavailable",Y69="unavailable"),"不可评价",IF(OR(W69="equivocal",Y69="equivocal"),"疑似",IF(AND(W69="positive",Y69="positive"),"a",IF(Y69="positive","b",IF(W69="positive","c","d")))))</x:f>
        <x:v>d</x:v>
      </x:c>
      <x:c r="AA69" s="12" t="str">
        <x:f>IF(OR(M69="unavailable",O69="unavailable"),"不可评价",IF(AND(OR(M69="positive",M69="equivocal"),OR(O69="positive",O69="equivocal")),"a",IF(OR(O69="positive",O69="equivocal"),"b",IF(OR(M69="positive",M69="equivocal"),"c","d"))))</x:f>
        <x:v>d</x:v>
      </x:c>
      <x:c r="AB69" s="12" t="str">
        <x:f>IF(OR(M69="unavailable",O69="unavailable"),"不可评价",IF(AND(M69="positive",O69="positive"),"a",IF(O69="positive","b",IF(M69="positive","c","d"))))</x:f>
        <x:v>d</x:v>
      </x:c>
      <x:c r="AC69" s="12" t="str">
        <x:f>IF(OR(R69="unavailable",T69="unavailable"),"不可评价",IF(AND(OR(R69="positive",R69="equivocal"),OR(T69="positive",T69="equivocal")),"a",IF(OR(T69="positive",T69="equivocal"),"b",IF(OR(R69="positive",R69="equivocal"),"c","d"))))</x:f>
        <x:v>d</x:v>
      </x:c>
      <x:c r="AD69" s="12" t="str">
        <x:f>IF(OR(R69="unavailable",T69="unavailable"),"不可评价",IF(AND(R69="positive",T69="positive"),"a",IF(T69="positive","b",IF(R69="positive","c","d"))))</x:f>
        <x:v>d</x:v>
      </x:c>
      <x:c r="AE69" s="12" t="str">
        <x:f>IF(OR(W69="unavailable",Y69="unavailable"),"不可评价",IF(AND(OR(W69="positive",W69="equivocal"),OR(Y69="positive",Y69="equivocal")),"a",IF(OR(Y69="positive",Y69="equivocal"),"b",IF(OR(W69="positive",W69="equivocal"),"c","d"))))</x:f>
        <x:v>d</x:v>
      </x:c>
      <x:c r="AF69" s="12" t="str">
        <x:f>IF(OR(W69="unavailable",Y69="unavailable"),"不可评价",IF(AND(W69="positive",Y69="positive"),"a",IF(Y69="positive","b",IF(W69="positive","c","d"))))</x:f>
        <x:v>d</x:v>
      </x:c>
    </x:row>
    <x:row r="70" ht="24" customHeight="1">
      <x:c r="A70" s="12" t="str">
        <x:v>526</x:v>
      </x:c>
      <x:c r="B70" s="12" t="str">
        <x:v>13769</x:v>
      </x:c>
      <x:c r="C70" s="21" t="n">
        <x:v>31843.556828703702</x:v>
      </x:c>
      <x:c r="D70" s="12" t="n">
        <x:v>69</x:v>
      </x:c>
      <x:c r="E70" s="12" t="n">
        <x:v>0</x:v>
      </x:c>
      <x:c r="F70" s="12" t="str">
        <x:v>存在</x:v>
      </x:c>
      <x:c r="G70" s="12" t="n">
        <x:v>1</x:v>
      </x:c>
      <x:c r="H70" s="12" t="str">
        <x:v>{'ASMI': 100.0, 'SR': 0.0}</x:v>
      </x:c>
      <x:c r="I70" s="12" t="str">
        <x:v>[('NSR', 100.0), ('SMI;AU', 100.0), ('AB', 100.0)]</x:v>
      </x:c>
      <x:c r="J70" s="12" t="str">
        <x:v>ptbxl_database.csv；ecg_id=526；scp_codes</x:v>
      </x:c>
      <x:c r="K70" s="12" t="str">
        <x:v>12sl_statements.csv；ecg_id=526；statements_ext_snomed</x:v>
      </x:c>
      <x:c r="L70" s="12"/>
      <x:c r="M70" s="12" t="str">
        <x:v>negative</x:v>
      </x:c>
      <x:c r="N70" s="12"/>
      <x:c r="O70" s="12" t="str">
        <x:v>negative</x:v>
      </x:c>
      <x:c r="P70" s="12" t="str">
        <x:f>IF(OR(M70="unavailable",O70="unavailable"),"不可评价",IF(OR(M70="equivocal",O70="equivocal"),"疑似",IF(AND(M70="positive",O70="positive"),"a",IF(O70="positive","b",IF(M70="positive","c","d")))))</x:f>
        <x:v>d</x:v>
      </x:c>
      <x:c r="Q70" s="12"/>
      <x:c r="R70" s="12" t="str">
        <x:v>negative</x:v>
      </x:c>
      <x:c r="S70" s="12"/>
      <x:c r="T70" s="12" t="str">
        <x:v>negative</x:v>
      </x:c>
      <x:c r="U70" s="12" t="str">
        <x:f>IF(OR(R70="unavailable",T70="unavailable"),"不可评价",IF(OR(R70="equivocal",T70="equivocal"),"疑似",IF(AND(R70="positive",T70="positive"),"a",IF(T70="positive","b",IF(R70="positive","c","d")))))</x:f>
        <x:v>d</x:v>
      </x:c>
      <x:c r="V70" s="12"/>
      <x:c r="W70" s="12" t="str">
        <x:v>negative</x:v>
      </x:c>
      <x:c r="X70" s="12"/>
      <x:c r="Y70" s="12" t="str">
        <x:v>negative</x:v>
      </x:c>
      <x:c r="Z70" s="12" t="str">
        <x:f>IF(OR(W70="unavailable",Y70="unavailable"),"不可评价",IF(OR(W70="equivocal",Y70="equivocal"),"疑似",IF(AND(W70="positive",Y70="positive"),"a",IF(Y70="positive","b",IF(W70="positive","c","d")))))</x:f>
        <x:v>d</x:v>
      </x:c>
      <x:c r="AA70" s="12" t="str">
        <x:f>IF(OR(M70="unavailable",O70="unavailable"),"不可评价",IF(AND(OR(M70="positive",M70="equivocal"),OR(O70="positive",O70="equivocal")),"a",IF(OR(O70="positive",O70="equivocal"),"b",IF(OR(M70="positive",M70="equivocal"),"c","d"))))</x:f>
        <x:v>d</x:v>
      </x:c>
      <x:c r="AB70" s="12" t="str">
        <x:f>IF(OR(M70="unavailable",O70="unavailable"),"不可评价",IF(AND(M70="positive",O70="positive"),"a",IF(O70="positive","b",IF(M70="positive","c","d"))))</x:f>
        <x:v>d</x:v>
      </x:c>
      <x:c r="AC70" s="12" t="str">
        <x:f>IF(OR(R70="unavailable",T70="unavailable"),"不可评价",IF(AND(OR(R70="positive",R70="equivocal"),OR(T70="positive",T70="equivocal")),"a",IF(OR(T70="positive",T70="equivocal"),"b",IF(OR(R70="positive",R70="equivocal"),"c","d"))))</x:f>
        <x:v>d</x:v>
      </x:c>
      <x:c r="AD70" s="12" t="str">
        <x:f>IF(OR(R70="unavailable",T70="unavailable"),"不可评价",IF(AND(R70="positive",T70="positive"),"a",IF(T70="positive","b",IF(R70="positive","c","d"))))</x:f>
        <x:v>d</x:v>
      </x:c>
      <x:c r="AE70" s="12" t="str">
        <x:f>IF(OR(W70="unavailable",Y70="unavailable"),"不可评价",IF(AND(OR(W70="positive",W70="equivocal"),OR(Y70="positive",Y70="equivocal")),"a",IF(OR(Y70="positive",Y70="equivocal"),"b",IF(OR(W70="positive",W70="equivocal"),"c","d"))))</x:f>
        <x:v>d</x:v>
      </x:c>
      <x:c r="AF70" s="12" t="str">
        <x:f>IF(OR(W70="unavailable",Y70="unavailable"),"不可评价",IF(AND(W70="positive",Y70="positive"),"a",IF(Y70="positive","b",IF(W70="positive","c","d"))))</x:f>
        <x:v>d</x:v>
      </x:c>
    </x:row>
    <x:row r="71" ht="24" customHeight="1">
      <x:c r="A71" s="12" t="str">
        <x:v>527</x:v>
      </x:c>
      <x:c r="B71" s="12" t="str">
        <x:v>15828</x:v>
      </x:c>
      <x:c r="C71" s="21" t="n">
        <x:v>31844.305775462963</x:v>
      </x:c>
      <x:c r="D71" s="12" t="n">
        <x:v>61</x:v>
      </x:c>
      <x:c r="E71" s="12" t="n">
        <x:v>0</x:v>
      </x:c>
      <x:c r="F71" s="12" t="str">
        <x:v>存在</x:v>
      </x:c>
      <x:c r="G71" s="12" t="n">
        <x:v>1</x:v>
      </x:c>
      <x:c r="H71" s="12" t="str">
        <x:v>{'NDT': 100.0, 'IVCD': 100.0, 'SR': 0.0}</x:v>
      </x:c>
      <x:c r="I71" s="12" t="str">
        <x:v>[('NSR', 100.0), ('IMI;AU', 50.0), ('LNGQT', 100.0), ('AB', 100.0)]</x:v>
      </x:c>
      <x:c r="J71" s="12" t="str">
        <x:v>ptbxl_database.csv；ecg_id=527；scp_codes</x:v>
      </x:c>
      <x:c r="K71" s="12" t="str">
        <x:v>12sl_statements.csv；ecg_id=527；statements_ext_snomed</x:v>
      </x:c>
      <x:c r="L71" s="12"/>
      <x:c r="M71" s="12" t="str">
        <x:v>negative</x:v>
      </x:c>
      <x:c r="N71" s="12"/>
      <x:c r="O71" s="12" t="str">
        <x:v>negative</x:v>
      </x:c>
      <x:c r="P71" s="12" t="str">
        <x:f>IF(OR(M71="unavailable",O71="unavailable"),"不可评价",IF(OR(M71="equivocal",O71="equivocal"),"疑似",IF(AND(M71="positive",O71="positive"),"a",IF(O71="positive","b",IF(M71="positive","c","d")))))</x:f>
        <x:v>d</x:v>
      </x:c>
      <x:c r="Q71" s="12"/>
      <x:c r="R71" s="12" t="str">
        <x:v>negative</x:v>
      </x:c>
      <x:c r="S71" s="12"/>
      <x:c r="T71" s="12" t="str">
        <x:v>negative</x:v>
      </x:c>
      <x:c r="U71" s="12" t="str">
        <x:f>IF(OR(R71="unavailable",T71="unavailable"),"不可评价",IF(OR(R71="equivocal",T71="equivocal"),"疑似",IF(AND(R71="positive",T71="positive"),"a",IF(T71="positive","b",IF(R71="positive","c","d")))))</x:f>
        <x:v>d</x:v>
      </x:c>
      <x:c r="V71" s="12"/>
      <x:c r="W71" s="12" t="str">
        <x:v>negative</x:v>
      </x:c>
      <x:c r="X71" s="12"/>
      <x:c r="Y71" s="12" t="str">
        <x:v>negative</x:v>
      </x:c>
      <x:c r="Z71" s="12" t="str">
        <x:f>IF(OR(W71="unavailable",Y71="unavailable"),"不可评价",IF(OR(W71="equivocal",Y71="equivocal"),"疑似",IF(AND(W71="positive",Y71="positive"),"a",IF(Y71="positive","b",IF(W71="positive","c","d")))))</x:f>
        <x:v>d</x:v>
      </x:c>
      <x:c r="AA71" s="12" t="str">
        <x:f>IF(OR(M71="unavailable",O71="unavailable"),"不可评价",IF(AND(OR(M71="positive",M71="equivocal"),OR(O71="positive",O71="equivocal")),"a",IF(OR(O71="positive",O71="equivocal"),"b",IF(OR(M71="positive",M71="equivocal"),"c","d"))))</x:f>
        <x:v>d</x:v>
      </x:c>
      <x:c r="AB71" s="12" t="str">
        <x:f>IF(OR(M71="unavailable",O71="unavailable"),"不可评价",IF(AND(M71="positive",O71="positive"),"a",IF(O71="positive","b",IF(M71="positive","c","d"))))</x:f>
        <x:v>d</x:v>
      </x:c>
      <x:c r="AC71" s="12" t="str">
        <x:f>IF(OR(R71="unavailable",T71="unavailable"),"不可评价",IF(AND(OR(R71="positive",R71="equivocal"),OR(T71="positive",T71="equivocal")),"a",IF(OR(T71="positive",T71="equivocal"),"b",IF(OR(R71="positive",R71="equivocal"),"c","d"))))</x:f>
        <x:v>d</x:v>
      </x:c>
      <x:c r="AD71" s="12" t="str">
        <x:f>IF(OR(R71="unavailable",T71="unavailable"),"不可评价",IF(AND(R71="positive",T71="positive"),"a",IF(T71="positive","b",IF(R71="positive","c","d"))))</x:f>
        <x:v>d</x:v>
      </x:c>
      <x:c r="AE71" s="12" t="str">
        <x:f>IF(OR(W71="unavailable",Y71="unavailable"),"不可评价",IF(AND(OR(W71="positive",W71="equivocal"),OR(Y71="positive",Y71="equivocal")),"a",IF(OR(Y71="positive",Y71="equivocal"),"b",IF(OR(W71="positive",W71="equivocal"),"c","d"))))</x:f>
        <x:v>d</x:v>
      </x:c>
      <x:c r="AF71" s="12" t="str">
        <x:f>IF(OR(W71="unavailable",Y71="unavailable"),"不可评价",IF(AND(W71="positive",Y71="positive"),"a",IF(Y71="positive","b",IF(W71="positive","c","d"))))</x:f>
        <x:v>d</x:v>
      </x:c>
    </x:row>
    <x:row r="72" ht="24" customHeight="1">
      <x:c r="A72" s="12" t="str">
        <x:v>534</x:v>
      </x:c>
      <x:c r="B72" s="12" t="str">
        <x:v>20068</x:v>
      </x:c>
      <x:c r="C72" s="21" t="n">
        <x:v>31846.28315972222</x:v>
      </x:c>
      <x:c r="D72" s="12" t="n">
        <x:v>80</x:v>
      </x:c>
      <x:c r="E72" s="12" t="n">
        <x:v>1</x:v>
      </x:c>
      <x:c r="F72" s="12" t="str">
        <x:v>未记录</x:v>
      </x:c>
      <x:c r="G72" s="12" t="n">
        <x:v>1</x:v>
      </x:c>
      <x:c r="H72" s="12" t="str">
        <x:v>{'ISC_': 100.0, 'LVH': 100.0}</x:v>
      </x:c>
      <x:c r="I72" s="12" t="str">
        <x:v>[('SBRAD', 100.0), ('SAR', 100.0), ('ST&amp;', 100.0), ('MALT', 100.0), ('AB', 100.0)]</x:v>
      </x:c>
      <x:c r="J72" s="12" t="str">
        <x:v>ptbxl_database.csv；ecg_id=534；scp_codes</x:v>
      </x:c>
      <x:c r="K72" s="12" t="str">
        <x:v>12sl_statements.csv；ecg_id=534；statements_ext_snomed</x:v>
      </x:c>
      <x:c r="L72" s="12"/>
      <x:c r="M72" s="12" t="str">
        <x:v>negative</x:v>
      </x:c>
      <x:c r="N72" s="12"/>
      <x:c r="O72" s="12" t="str">
        <x:v>negative</x:v>
      </x:c>
      <x:c r="P72" s="12" t="str">
        <x:f>IF(OR(M72="unavailable",O72="unavailable"),"不可评价",IF(OR(M72="equivocal",O72="equivocal"),"疑似",IF(AND(M72="positive",O72="positive"),"a",IF(O72="positive","b",IF(M72="positive","c","d")))))</x:f>
        <x:v>d</x:v>
      </x:c>
      <x:c r="Q72" s="12"/>
      <x:c r="R72" s="12" t="str">
        <x:v>negative</x:v>
      </x:c>
      <x:c r="S72" s="12"/>
      <x:c r="T72" s="12" t="str">
        <x:v>negative</x:v>
      </x:c>
      <x:c r="U72" s="12" t="str">
        <x:f>IF(OR(R72="unavailable",T72="unavailable"),"不可评价",IF(OR(R72="equivocal",T72="equivocal"),"疑似",IF(AND(R72="positive",T72="positive"),"a",IF(T72="positive","b",IF(R72="positive","c","d")))))</x:f>
        <x:v>d</x:v>
      </x:c>
      <x:c r="V72" s="12"/>
      <x:c r="W72" s="12" t="str">
        <x:v>negative</x:v>
      </x:c>
      <x:c r="X72" s="12"/>
      <x:c r="Y72" s="12" t="str">
        <x:v>negative</x:v>
      </x:c>
      <x:c r="Z72" s="12" t="str">
        <x:f>IF(OR(W72="unavailable",Y72="unavailable"),"不可评价",IF(OR(W72="equivocal",Y72="equivocal"),"疑似",IF(AND(W72="positive",Y72="positive"),"a",IF(Y72="positive","b",IF(W72="positive","c","d")))))</x:f>
        <x:v>d</x:v>
      </x:c>
      <x:c r="AA72" s="12" t="str">
        <x:f>IF(OR(M72="unavailable",O72="unavailable"),"不可评价",IF(AND(OR(M72="positive",M72="equivocal"),OR(O72="positive",O72="equivocal")),"a",IF(OR(O72="positive",O72="equivocal"),"b",IF(OR(M72="positive",M72="equivocal"),"c","d"))))</x:f>
        <x:v>d</x:v>
      </x:c>
      <x:c r="AB72" s="12" t="str">
        <x:f>IF(OR(M72="unavailable",O72="unavailable"),"不可评价",IF(AND(M72="positive",O72="positive"),"a",IF(O72="positive","b",IF(M72="positive","c","d"))))</x:f>
        <x:v>d</x:v>
      </x:c>
      <x:c r="AC72" s="12" t="str">
        <x:f>IF(OR(R72="unavailable",T72="unavailable"),"不可评价",IF(AND(OR(R72="positive",R72="equivocal"),OR(T72="positive",T72="equivocal")),"a",IF(OR(T72="positive",T72="equivocal"),"b",IF(OR(R72="positive",R72="equivocal"),"c","d"))))</x:f>
        <x:v>d</x:v>
      </x:c>
      <x:c r="AD72" s="12" t="str">
        <x:f>IF(OR(R72="unavailable",T72="unavailable"),"不可评价",IF(AND(R72="positive",T72="positive"),"a",IF(T72="positive","b",IF(R72="positive","c","d"))))</x:f>
        <x:v>d</x:v>
      </x:c>
      <x:c r="AE72" s="12" t="str">
        <x:f>IF(OR(W72="unavailable",Y72="unavailable"),"不可评价",IF(AND(OR(W72="positive",W72="equivocal"),OR(Y72="positive",Y72="equivocal")),"a",IF(OR(Y72="positive",Y72="equivocal"),"b",IF(OR(W72="positive",W72="equivocal"),"c","d"))))</x:f>
        <x:v>d</x:v>
      </x:c>
      <x:c r="AF72" s="12" t="str">
        <x:f>IF(OR(W72="unavailable",Y72="unavailable"),"不可评价",IF(AND(W72="positive",Y72="positive"),"a",IF(Y72="positive","b",IF(W72="positive","c","d"))))</x:f>
        <x:v>d</x:v>
      </x:c>
    </x:row>
    <x:row r="73" ht="24" customHeight="1">
      <x:c r="A73" s="12" t="str">
        <x:v>559</x:v>
      </x:c>
      <x:c r="B73" s="12" t="str">
        <x:v>12042</x:v>
      </x:c>
      <x:c r="C73" s="21" t="n">
        <x:v>31856.43292824074</x:v>
      </x:c>
      <x:c r="D73" s="12" t="n">
        <x:v>58</x:v>
      </x:c>
      <x:c r="E73" s="12" t="n">
        <x:v>0</x:v>
      </x:c>
      <x:c r="F73" s="12" t="str">
        <x:v>未记录</x:v>
      </x:c>
      <x:c r="G73" s="12" t="n">
        <x:v>1</x:v>
      </x:c>
      <x:c r="H73" s="12" t="str">
        <x:v>{'NORM': 100.0, 'SR': 0.0}</x:v>
      </x:c>
      <x:c r="I73" s="12" t="str">
        <x:v>[('SBRAD', 100.0), ('FAV', 100.0), ('BORDE', 100.0)]</x:v>
      </x:c>
      <x:c r="J73" s="12" t="str">
        <x:v>ptbxl_database.csv；ecg_id=559；scp_codes</x:v>
      </x:c>
      <x:c r="K73" s="12" t="str">
        <x:v>12sl_statements.csv；ecg_id=559；statements_ext_snomed</x:v>
      </x:c>
      <x:c r="L73" s="12"/>
      <x:c r="M73" s="12" t="str">
        <x:v>negative</x:v>
      </x:c>
      <x:c r="N73" s="12"/>
      <x:c r="O73" s="12" t="str">
        <x:v>negative</x:v>
      </x:c>
      <x:c r="P73" s="12" t="str">
        <x:f>IF(OR(M73="unavailable",O73="unavailable"),"不可评价",IF(OR(M73="equivocal",O73="equivocal"),"疑似",IF(AND(M73="positive",O73="positive"),"a",IF(O73="positive","b",IF(M73="positive","c","d")))))</x:f>
        <x:v>d</x:v>
      </x:c>
      <x:c r="Q73" s="12"/>
      <x:c r="R73" s="12" t="str">
        <x:v>negative</x:v>
      </x:c>
      <x:c r="S73" s="12"/>
      <x:c r="T73" s="12" t="str">
        <x:v>negative</x:v>
      </x:c>
      <x:c r="U73" s="12" t="str">
        <x:f>IF(OR(R73="unavailable",T73="unavailable"),"不可评价",IF(OR(R73="equivocal",T73="equivocal"),"疑似",IF(AND(R73="positive",T73="positive"),"a",IF(T73="positive","b",IF(R73="positive","c","d")))))</x:f>
        <x:v>d</x:v>
      </x:c>
      <x:c r="V73" s="12"/>
      <x:c r="W73" s="12" t="str">
        <x:v>negative</x:v>
      </x:c>
      <x:c r="X73" s="12"/>
      <x:c r="Y73" s="12" t="str">
        <x:v>negative</x:v>
      </x:c>
      <x:c r="Z73" s="12" t="str">
        <x:f>IF(OR(W73="unavailable",Y73="unavailable"),"不可评价",IF(OR(W73="equivocal",Y73="equivocal"),"疑似",IF(AND(W73="positive",Y73="positive"),"a",IF(Y73="positive","b",IF(W73="positive","c","d")))))</x:f>
        <x:v>d</x:v>
      </x:c>
      <x:c r="AA73" s="12" t="str">
        <x:f>IF(OR(M73="unavailable",O73="unavailable"),"不可评价",IF(AND(OR(M73="positive",M73="equivocal"),OR(O73="positive",O73="equivocal")),"a",IF(OR(O73="positive",O73="equivocal"),"b",IF(OR(M73="positive",M73="equivocal"),"c","d"))))</x:f>
        <x:v>d</x:v>
      </x:c>
      <x:c r="AB73" s="12" t="str">
        <x:f>IF(OR(M73="unavailable",O73="unavailable"),"不可评价",IF(AND(M73="positive",O73="positive"),"a",IF(O73="positive","b",IF(M73="positive","c","d"))))</x:f>
        <x:v>d</x:v>
      </x:c>
      <x:c r="AC73" s="12" t="str">
        <x:f>IF(OR(R73="unavailable",T73="unavailable"),"不可评价",IF(AND(OR(R73="positive",R73="equivocal"),OR(T73="positive",T73="equivocal")),"a",IF(OR(T73="positive",T73="equivocal"),"b",IF(OR(R73="positive",R73="equivocal"),"c","d"))))</x:f>
        <x:v>d</x:v>
      </x:c>
      <x:c r="AD73" s="12" t="str">
        <x:f>IF(OR(R73="unavailable",T73="unavailable"),"不可评价",IF(AND(R73="positive",T73="positive"),"a",IF(T73="positive","b",IF(R73="positive","c","d"))))</x:f>
        <x:v>d</x:v>
      </x:c>
      <x:c r="AE73" s="12" t="str">
        <x:f>IF(OR(W73="unavailable",Y73="unavailable"),"不可评价",IF(AND(OR(W73="positive",W73="equivocal"),OR(Y73="positive",Y73="equivocal")),"a",IF(OR(Y73="positive",Y73="equivocal"),"b",IF(OR(W73="positive",W73="equivocal"),"c","d"))))</x:f>
        <x:v>d</x:v>
      </x:c>
      <x:c r="AF73" s="12" t="str">
        <x:f>IF(OR(W73="unavailable",Y73="unavailable"),"不可评价",IF(AND(W73="positive",Y73="positive"),"a",IF(Y73="positive","b",IF(W73="positive","c","d"))))</x:f>
        <x:v>d</x:v>
      </x:c>
    </x:row>
    <x:row r="74" ht="24" customHeight="1">
      <x:c r="A74" s="12" t="str">
        <x:v>564</x:v>
      </x:c>
      <x:c r="B74" s="12" t="str">
        <x:v>16912</x:v>
      </x:c>
      <x:c r="C74" s="21" t="n">
        <x:v>31857.42295138889</x:v>
      </x:c>
      <x:c r="D74" s="12" t="n">
        <x:v>62</x:v>
      </x:c>
      <x:c r="E74" s="12" t="n">
        <x:v>0</x:v>
      </x:c>
      <x:c r="F74" s="12" t="str">
        <x:v>存在</x:v>
      </x:c>
      <x:c r="G74" s="12" t="n">
        <x:v>1</x:v>
      </x:c>
      <x:c r="H74" s="12" t="str">
        <x:v>{'ASMI': 100.0, 'ANEUR': 50.0, 'ISCAL': 100.0, 'SR': 0.0}</x:v>
      </x:c>
      <x:c r="I74" s="12" t="str">
        <x:v>[('NSR', 100.0), ('AMI;AU', 15.0), ('LT', 100.0), ('AB', 100.0)]</x:v>
      </x:c>
      <x:c r="J74" s="12" t="str">
        <x:v>ptbxl_database.csv；ecg_id=564；scp_codes</x:v>
      </x:c>
      <x:c r="K74" s="12" t="str">
        <x:v>12sl_statements.csv；ecg_id=564；statements_ext_snomed</x:v>
      </x:c>
      <x:c r="L74" s="12"/>
      <x:c r="M74" s="12" t="str">
        <x:v>negative</x:v>
      </x:c>
      <x:c r="N74" s="12"/>
      <x:c r="O74" s="12" t="str">
        <x:v>negative</x:v>
      </x:c>
      <x:c r="P74" s="12" t="str">
        <x:f>IF(OR(M74="unavailable",O74="unavailable"),"不可评价",IF(OR(M74="equivocal",O74="equivocal"),"疑似",IF(AND(M74="positive",O74="positive"),"a",IF(O74="positive","b",IF(M74="positive","c","d")))))</x:f>
        <x:v>d</x:v>
      </x:c>
      <x:c r="Q74" s="12"/>
      <x:c r="R74" s="12" t="str">
        <x:v>negative</x:v>
      </x:c>
      <x:c r="S74" s="12"/>
      <x:c r="T74" s="12" t="str">
        <x:v>negative</x:v>
      </x:c>
      <x:c r="U74" s="12" t="str">
        <x:f>IF(OR(R74="unavailable",T74="unavailable"),"不可评价",IF(OR(R74="equivocal",T74="equivocal"),"疑似",IF(AND(R74="positive",T74="positive"),"a",IF(T74="positive","b",IF(R74="positive","c","d")))))</x:f>
        <x:v>d</x:v>
      </x:c>
      <x:c r="V74" s="12"/>
      <x:c r="W74" s="12" t="str">
        <x:v>negative</x:v>
      </x:c>
      <x:c r="X74" s="12"/>
      <x:c r="Y74" s="12" t="str">
        <x:v>negative</x:v>
      </x:c>
      <x:c r="Z74" s="12" t="str">
        <x:f>IF(OR(W74="unavailable",Y74="unavailable"),"不可评价",IF(OR(W74="equivocal",Y74="equivocal"),"疑似",IF(AND(W74="positive",Y74="positive"),"a",IF(Y74="positive","b",IF(W74="positive","c","d")))))</x:f>
        <x:v>d</x:v>
      </x:c>
      <x:c r="AA74" s="12" t="str">
        <x:f>IF(OR(M74="unavailable",O74="unavailable"),"不可评价",IF(AND(OR(M74="positive",M74="equivocal"),OR(O74="positive",O74="equivocal")),"a",IF(OR(O74="positive",O74="equivocal"),"b",IF(OR(M74="positive",M74="equivocal"),"c","d"))))</x:f>
        <x:v>d</x:v>
      </x:c>
      <x:c r="AB74" s="12" t="str">
        <x:f>IF(OR(M74="unavailable",O74="unavailable"),"不可评价",IF(AND(M74="positive",O74="positive"),"a",IF(O74="positive","b",IF(M74="positive","c","d"))))</x:f>
        <x:v>d</x:v>
      </x:c>
      <x:c r="AC74" s="12" t="str">
        <x:f>IF(OR(R74="unavailable",T74="unavailable"),"不可评价",IF(AND(OR(R74="positive",R74="equivocal"),OR(T74="positive",T74="equivocal")),"a",IF(OR(T74="positive",T74="equivocal"),"b",IF(OR(R74="positive",R74="equivocal"),"c","d"))))</x:f>
        <x:v>d</x:v>
      </x:c>
      <x:c r="AD74" s="12" t="str">
        <x:f>IF(OR(R74="unavailable",T74="unavailable"),"不可评价",IF(AND(R74="positive",T74="positive"),"a",IF(T74="positive","b",IF(R74="positive","c","d"))))</x:f>
        <x:v>d</x:v>
      </x:c>
      <x:c r="AE74" s="12" t="str">
        <x:f>IF(OR(W74="unavailable",Y74="unavailable"),"不可评价",IF(AND(OR(W74="positive",W74="equivocal"),OR(Y74="positive",Y74="equivocal")),"a",IF(OR(Y74="positive",Y74="equivocal"),"b",IF(OR(W74="positive",W74="equivocal"),"c","d"))))</x:f>
        <x:v>d</x:v>
      </x:c>
      <x:c r="AF74" s="12" t="str">
        <x:f>IF(OR(W74="unavailable",Y74="unavailable"),"不可评价",IF(AND(W74="positive",Y74="positive"),"a",IF(Y74="positive","b",IF(W74="positive","c","d"))))</x:f>
        <x:v>d</x:v>
      </x:c>
    </x:row>
    <x:row r="75" ht="39" customHeight="1">
      <x:c r="A75" s="12" t="str">
        <x:v>569</x:v>
      </x:c>
      <x:c r="B75" s="12" t="str">
        <x:v>2936</x:v>
      </x:c>
      <x:c r="C75" s="21" t="n">
        <x:v>31861.420995370372</x:v>
      </x:c>
      <x:c r="D75" s="12" t="n">
        <x:v>300</x:v>
      </x:c>
      <x:c r="E75" s="12" t="n">
        <x:v>1</x:v>
      </x:c>
      <x:c r="F75" s="12" t="str">
        <x:v>未记录</x:v>
      </x:c>
      <x:c r="G75" s="12" t="n">
        <x:v>1</x:v>
      </x:c>
      <x:c r="H75" s="12" t="str">
        <x:v>{'IRBBB': 100.0, 'LAFB': 100.0, 'NST_': 100.0, 'STD_': 0.0, 'AFIB': 0.0}</x:v>
      </x:c>
      <x:c r="I75" s="12" t="str">
        <x:v>[('AFIB', 100.0), ('RVR', 100.0), ('RBBB', 100.0), ('AB', 100.0)]</x:v>
      </x:c>
      <x:c r="J75" s="12" t="str">
        <x:v>ptbxl_database.csv；ecg_id=569；scp_codes</x:v>
      </x:c>
      <x:c r="K75" s="12" t="str">
        <x:v>12sl_statements.csv；ecg_id=569；statements_ext_snomed</x:v>
      </x:c>
      <x:c r="L75" s="12" t="n">
        <x:v>0</x:v>
      </x:c>
      <x:c r="M75" s="12" t="str">
        <x:v>positive</x:v>
      </x:c>
      <x:c r="N75" s="12" t="n">
        <x:v>100</x:v>
      </x:c>
      <x:c r="O75" s="12" t="str">
        <x:v>positive</x:v>
      </x:c>
      <x:c r="P75" s="12" t="str">
        <x:f>IF(OR(M75="unavailable",O75="unavailable"),"不可评价",IF(OR(M75="equivocal",O75="equivocal"),"疑似",IF(AND(M75="positive",O75="positive"),"a",IF(O75="positive","b",IF(M75="positive","c","d")))))</x:f>
        <x:v>a</x:v>
      </x:c>
      <x:c r="Q75" s="12"/>
      <x:c r="R75" s="12" t="str">
        <x:v>negative</x:v>
      </x:c>
      <x:c r="S75" s="12"/>
      <x:c r="T75" s="12" t="str">
        <x:v>negative</x:v>
      </x:c>
      <x:c r="U75" s="12" t="str">
        <x:f>IF(OR(R75="unavailable",T75="unavailable"),"不可评价",IF(OR(R75="equivocal",T75="equivocal"),"疑似",IF(AND(R75="positive",T75="positive"),"a",IF(T75="positive","b",IF(R75="positive","c","d")))))</x:f>
        <x:v>d</x:v>
      </x:c>
      <x:c r="V75" s="12"/>
      <x:c r="W75" s="12" t="str">
        <x:v>negative</x:v>
      </x:c>
      <x:c r="X75" s="12" t="n">
        <x:v>100</x:v>
      </x:c>
      <x:c r="Y75" s="12" t="str">
        <x:v>positive</x:v>
      </x:c>
      <x:c r="Z75" s="12" t="str">
        <x:f>IF(OR(W75="unavailable",Y75="unavailable"),"不可评价",IF(OR(W75="equivocal",Y75="equivocal"),"疑似",IF(AND(W75="positive",Y75="positive"),"a",IF(Y75="positive","b",IF(W75="positive","c","d")))))</x:f>
        <x:v>b</x:v>
      </x:c>
      <x:c r="AA75" s="12" t="str">
        <x:f>IF(OR(M75="unavailable",O75="unavailable"),"不可评价",IF(AND(OR(M75="positive",M75="equivocal"),OR(O75="positive",O75="equivocal")),"a",IF(OR(O75="positive",O75="equivocal"),"b",IF(OR(M75="positive",M75="equivocal"),"c","d"))))</x:f>
        <x:v>a</x:v>
      </x:c>
      <x:c r="AB75" s="12" t="str">
        <x:f>IF(OR(M75="unavailable",O75="unavailable"),"不可评价",IF(AND(M75="positive",O75="positive"),"a",IF(O75="positive","b",IF(M75="positive","c","d"))))</x:f>
        <x:v>a</x:v>
      </x:c>
      <x:c r="AC75" s="12" t="str">
        <x:f>IF(OR(R75="unavailable",T75="unavailable"),"不可评价",IF(AND(OR(R75="positive",R75="equivocal"),OR(T75="positive",T75="equivocal")),"a",IF(OR(T75="positive",T75="equivocal"),"b",IF(OR(R75="positive",R75="equivocal"),"c","d"))))</x:f>
        <x:v>d</x:v>
      </x:c>
      <x:c r="AD75" s="12" t="str">
        <x:f>IF(OR(R75="unavailable",T75="unavailable"),"不可评价",IF(AND(R75="positive",T75="positive"),"a",IF(T75="positive","b",IF(R75="positive","c","d"))))</x:f>
        <x:v>d</x:v>
      </x:c>
      <x:c r="AE75" s="12" t="str">
        <x:f>IF(OR(W75="unavailable",Y75="unavailable"),"不可评价",IF(AND(OR(W75="positive",W75="equivocal"),OR(Y75="positive",Y75="equivocal")),"a",IF(OR(Y75="positive",Y75="equivocal"),"b",IF(OR(W75="positive",W75="equivocal"),"c","d"))))</x:f>
        <x:v>b</x:v>
      </x:c>
      <x:c r="AF75" s="12" t="str">
        <x:f>IF(OR(W75="unavailable",Y75="unavailable"),"不可评价",IF(AND(W75="positive",Y75="positive"),"a",IF(Y75="positive","b",IF(W75="positive","c","d"))))</x:f>
        <x:v>b</x:v>
      </x:c>
    </x:row>
    <x:row r="76" ht="24" customHeight="1">
      <x:c r="A76" s="12" t="str">
        <x:v>570</x:v>
      </x:c>
      <x:c r="B76" s="12" t="str">
        <x:v>7793</x:v>
      </x:c>
      <x:c r="C76" s="21" t="n">
        <x:v>31861.462349537036</x:v>
      </x:c>
      <x:c r="D76" s="12" t="n">
        <x:v>47</x:v>
      </x:c>
      <x:c r="E76" s="12" t="n">
        <x:v>0</x:v>
      </x:c>
      <x:c r="F76" s="12" t="str">
        <x:v>未记录</x:v>
      </x:c>
      <x:c r="G76" s="12" t="n">
        <x:v>1</x:v>
      </x:c>
      <x:c r="H76" s="12" t="str">
        <x:v>{'NORM': 100.0, 'SR': 0.0}</x:v>
      </x:c>
      <x:c r="I76" s="12" t="str">
        <x:v>[('SBRAD', 100.0), ('IT', 100.0), ('AB', 100.0)]</x:v>
      </x:c>
      <x:c r="J76" s="12" t="str">
        <x:v>ptbxl_database.csv；ecg_id=570；scp_codes</x:v>
      </x:c>
      <x:c r="K76" s="12" t="str">
        <x:v>12sl_statements.csv；ecg_id=570；statements_ext_snomed</x:v>
      </x:c>
      <x:c r="L76" s="12"/>
      <x:c r="M76" s="12" t="str">
        <x:v>negative</x:v>
      </x:c>
      <x:c r="N76" s="12"/>
      <x:c r="O76" s="12" t="str">
        <x:v>negative</x:v>
      </x:c>
      <x:c r="P76" s="12" t="str">
        <x:f>IF(OR(M76="unavailable",O76="unavailable"),"不可评价",IF(OR(M76="equivocal",O76="equivocal"),"疑似",IF(AND(M76="positive",O76="positive"),"a",IF(O76="positive","b",IF(M76="positive","c","d")))))</x:f>
        <x:v>d</x:v>
      </x:c>
      <x:c r="Q76" s="12"/>
      <x:c r="R76" s="12" t="str">
        <x:v>negative</x:v>
      </x:c>
      <x:c r="S76" s="12"/>
      <x:c r="T76" s="12" t="str">
        <x:v>negative</x:v>
      </x:c>
      <x:c r="U76" s="12" t="str">
        <x:f>IF(OR(R76="unavailable",T76="unavailable"),"不可评价",IF(OR(R76="equivocal",T76="equivocal"),"疑似",IF(AND(R76="positive",T76="positive"),"a",IF(T76="positive","b",IF(R76="positive","c","d")))))</x:f>
        <x:v>d</x:v>
      </x:c>
      <x:c r="V76" s="12"/>
      <x:c r="W76" s="12" t="str">
        <x:v>negative</x:v>
      </x:c>
      <x:c r="X76" s="12"/>
      <x:c r="Y76" s="12" t="str">
        <x:v>negative</x:v>
      </x:c>
      <x:c r="Z76" s="12" t="str">
        <x:f>IF(OR(W76="unavailable",Y76="unavailable"),"不可评价",IF(OR(W76="equivocal",Y76="equivocal"),"疑似",IF(AND(W76="positive",Y76="positive"),"a",IF(Y76="positive","b",IF(W76="positive","c","d")))))</x:f>
        <x:v>d</x:v>
      </x:c>
      <x:c r="AA76" s="12" t="str">
        <x:f>IF(OR(M76="unavailable",O76="unavailable"),"不可评价",IF(AND(OR(M76="positive",M76="equivocal"),OR(O76="positive",O76="equivocal")),"a",IF(OR(O76="positive",O76="equivocal"),"b",IF(OR(M76="positive",M76="equivocal"),"c","d"))))</x:f>
        <x:v>d</x:v>
      </x:c>
      <x:c r="AB76" s="12" t="str">
        <x:f>IF(OR(M76="unavailable",O76="unavailable"),"不可评价",IF(AND(M76="positive",O76="positive"),"a",IF(O76="positive","b",IF(M76="positive","c","d"))))</x:f>
        <x:v>d</x:v>
      </x:c>
      <x:c r="AC76" s="12" t="str">
        <x:f>IF(OR(R76="unavailable",T76="unavailable"),"不可评价",IF(AND(OR(R76="positive",R76="equivocal"),OR(T76="positive",T76="equivocal")),"a",IF(OR(T76="positive",T76="equivocal"),"b",IF(OR(R76="positive",R76="equivocal"),"c","d"))))</x:f>
        <x:v>d</x:v>
      </x:c>
      <x:c r="AD76" s="12" t="str">
        <x:f>IF(OR(R76="unavailable",T76="unavailable"),"不可评价",IF(AND(R76="positive",T76="positive"),"a",IF(T76="positive","b",IF(R76="positive","c","d"))))</x:f>
        <x:v>d</x:v>
      </x:c>
      <x:c r="AE76" s="12" t="str">
        <x:f>IF(OR(W76="unavailable",Y76="unavailable"),"不可评价",IF(AND(OR(W76="positive",W76="equivocal"),OR(Y76="positive",Y76="equivocal")),"a",IF(OR(Y76="positive",Y76="equivocal"),"b",IF(OR(W76="positive",W76="equivocal"),"c","d"))))</x:f>
        <x:v>d</x:v>
      </x:c>
      <x:c r="AF76" s="12" t="str">
        <x:f>IF(OR(W76="unavailable",Y76="unavailable"),"不可评价",IF(AND(W76="positive",Y76="positive"),"a",IF(Y76="positive","b",IF(W76="positive","c","d"))))</x:f>
        <x:v>d</x:v>
      </x:c>
    </x:row>
    <x:row r="77" ht="24" customHeight="1">
      <x:c r="A77" s="12" t="str">
        <x:v>573</x:v>
      </x:c>
      <x:c r="B77" s="12" t="str">
        <x:v>5837</x:v>
      </x:c>
      <x:c r="C77" s="21" t="n">
        <x:v>31862.433125</x:v>
      </x:c>
      <x:c r="D77" s="12" t="n">
        <x:v>73</x:v>
      </x:c>
      <x:c r="E77" s="12" t="n">
        <x:v>1</x:v>
      </x:c>
      <x:c r="F77" s="12" t="str">
        <x:v>未记录</x:v>
      </x:c>
      <x:c r="G77" s="12" t="n">
        <x:v>1</x:v>
      </x:c>
      <x:c r="H77" s="12" t="str">
        <x:v>{'NDT': 100.0, 'LAO/LAE': 100.0, 'PVC': 100.0, 'LOWT': 0.0, 'SR': 0.0}</x:v>
      </x:c>
      <x:c r="I77" s="12" t="str">
        <x:v>[('SRTH', 100.0), ('PVC', 100.0), ('NT', 100.0), ('LNGQT', 100.0), ('AB', 100.0)]</x:v>
      </x:c>
      <x:c r="J77" s="12" t="str">
        <x:v>ptbxl_database.csv；ecg_id=573；scp_codes</x:v>
      </x:c>
      <x:c r="K77" s="12" t="str">
        <x:v>12sl_statements.csv；ecg_id=573；statements_ext_snomed</x:v>
      </x:c>
      <x:c r="L77" s="12"/>
      <x:c r="M77" s="12" t="str">
        <x:v>negative</x:v>
      </x:c>
      <x:c r="N77" s="12"/>
      <x:c r="O77" s="12" t="str">
        <x:v>negative</x:v>
      </x:c>
      <x:c r="P77" s="12" t="str">
        <x:f>IF(OR(M77="unavailable",O77="unavailable"),"不可评价",IF(OR(M77="equivocal",O77="equivocal"),"疑似",IF(AND(M77="positive",O77="positive"),"a",IF(O77="positive","b",IF(M77="positive","c","d")))))</x:f>
        <x:v>d</x:v>
      </x:c>
      <x:c r="Q77" s="12"/>
      <x:c r="R77" s="12" t="str">
        <x:v>negative</x:v>
      </x:c>
      <x:c r="S77" s="12"/>
      <x:c r="T77" s="12" t="str">
        <x:v>negative</x:v>
      </x:c>
      <x:c r="U77" s="12" t="str">
        <x:f>IF(OR(R77="unavailable",T77="unavailable"),"不可评价",IF(OR(R77="equivocal",T77="equivocal"),"疑似",IF(AND(R77="positive",T77="positive"),"a",IF(T77="positive","b",IF(R77="positive","c","d")))))</x:f>
        <x:v>d</x:v>
      </x:c>
      <x:c r="V77" s="12"/>
      <x:c r="W77" s="12" t="str">
        <x:v>negative</x:v>
      </x:c>
      <x:c r="X77" s="12"/>
      <x:c r="Y77" s="12" t="str">
        <x:v>negative</x:v>
      </x:c>
      <x:c r="Z77" s="12" t="str">
        <x:f>IF(OR(W77="unavailable",Y77="unavailable"),"不可评价",IF(OR(W77="equivocal",Y77="equivocal"),"疑似",IF(AND(W77="positive",Y77="positive"),"a",IF(Y77="positive","b",IF(W77="positive","c","d")))))</x:f>
        <x:v>d</x:v>
      </x:c>
      <x:c r="AA77" s="12" t="str">
        <x:f>IF(OR(M77="unavailable",O77="unavailable"),"不可评价",IF(AND(OR(M77="positive",M77="equivocal"),OR(O77="positive",O77="equivocal")),"a",IF(OR(O77="positive",O77="equivocal"),"b",IF(OR(M77="positive",M77="equivocal"),"c","d"))))</x:f>
        <x:v>d</x:v>
      </x:c>
      <x:c r="AB77" s="12" t="str">
        <x:f>IF(OR(M77="unavailable",O77="unavailable"),"不可评价",IF(AND(M77="positive",O77="positive"),"a",IF(O77="positive","b",IF(M77="positive","c","d"))))</x:f>
        <x:v>d</x:v>
      </x:c>
      <x:c r="AC77" s="12" t="str">
        <x:f>IF(OR(R77="unavailable",T77="unavailable"),"不可评价",IF(AND(OR(R77="positive",R77="equivocal"),OR(T77="positive",T77="equivocal")),"a",IF(OR(T77="positive",T77="equivocal"),"b",IF(OR(R77="positive",R77="equivocal"),"c","d"))))</x:f>
        <x:v>d</x:v>
      </x:c>
      <x:c r="AD77" s="12" t="str">
        <x:f>IF(OR(R77="unavailable",T77="unavailable"),"不可评价",IF(AND(R77="positive",T77="positive"),"a",IF(T77="positive","b",IF(R77="positive","c","d"))))</x:f>
        <x:v>d</x:v>
      </x:c>
      <x:c r="AE77" s="12" t="str">
        <x:f>IF(OR(W77="unavailable",Y77="unavailable"),"不可评价",IF(AND(OR(W77="positive",W77="equivocal"),OR(Y77="positive",Y77="equivocal")),"a",IF(OR(Y77="positive",Y77="equivocal"),"b",IF(OR(W77="positive",W77="equivocal"),"c","d"))))</x:f>
        <x:v>d</x:v>
      </x:c>
      <x:c r="AF77" s="12" t="str">
        <x:f>IF(OR(W77="unavailable",Y77="unavailable"),"不可评价",IF(AND(W77="positive",Y77="positive"),"a",IF(Y77="positive","b",IF(W77="positive","c","d"))))</x:f>
        <x:v>d</x:v>
      </x:c>
    </x:row>
    <x:row r="78" ht="39" customHeight="1">
      <x:c r="A78" s="12" t="str">
        <x:v>581</x:v>
      </x:c>
      <x:c r="B78" s="12" t="str">
        <x:v>583</x:v>
      </x:c>
      <x:c r="C78" s="21" t="n">
        <x:v>31868.510451388887</x:v>
      </x:c>
      <x:c r="D78" s="12" t="n">
        <x:v>73</x:v>
      </x:c>
      <x:c r="E78" s="12" t="n">
        <x:v>1</x:v>
      </x:c>
      <x:c r="F78" s="12" t="str">
        <x:v>未记录</x:v>
      </x:c>
      <x:c r="G78" s="12" t="n">
        <x:v>1</x:v>
      </x:c>
      <x:c r="H78" s="12" t="str">
        <x:v>{'ASMI': 100.0, 'IVCD': 100.0, 'NST_': 0.0, 'AFIB': 0.0}</x:v>
      </x:c>
      <x:c r="I78" s="12" t="str">
        <x:v>[('AFIB', 100.0), ('SVR', 100.0), ('LAD3', 100.0), ('ILBBB', 100.0), ('ST&amp;', 100.0), ('AT', 100.0), ('AB', 100.0)]</x:v>
      </x:c>
      <x:c r="J78" s="12" t="str">
        <x:v>ptbxl_database.csv；ecg_id=581；scp_codes</x:v>
      </x:c>
      <x:c r="K78" s="12" t="str">
        <x:v>12sl_statements.csv；ecg_id=581；statements_ext_snomed</x:v>
      </x:c>
      <x:c r="L78" s="12" t="n">
        <x:v>0</x:v>
      </x:c>
      <x:c r="M78" s="12" t="str">
        <x:v>positive</x:v>
      </x:c>
      <x:c r="N78" s="12" t="n">
        <x:v>100</x:v>
      </x:c>
      <x:c r="O78" s="12" t="str">
        <x:v>positive</x:v>
      </x:c>
      <x:c r="P78" s="12" t="str">
        <x:f>IF(OR(M78="unavailable",O78="unavailable"),"不可评价",IF(OR(M78="equivocal",O78="equivocal"),"疑似",IF(AND(M78="positive",O78="positive"),"a",IF(O78="positive","b",IF(M78="positive","c","d")))))</x:f>
        <x:v>a</x:v>
      </x:c>
      <x:c r="Q78" s="12"/>
      <x:c r="R78" s="12" t="str">
        <x:v>negative</x:v>
      </x:c>
      <x:c r="S78" s="12"/>
      <x:c r="T78" s="12" t="str">
        <x:v>negative</x:v>
      </x:c>
      <x:c r="U78" s="12" t="str">
        <x:f>IF(OR(R78="unavailable",T78="unavailable"),"不可评价",IF(OR(R78="equivocal",T78="equivocal"),"疑似",IF(AND(R78="positive",T78="positive"),"a",IF(T78="positive","b",IF(R78="positive","c","d")))))</x:f>
        <x:v>d</x:v>
      </x:c>
      <x:c r="V78" s="12"/>
      <x:c r="W78" s="12" t="str">
        <x:v>negative</x:v>
      </x:c>
      <x:c r="X78" s="12"/>
      <x:c r="Y78" s="12" t="str">
        <x:v>negative</x:v>
      </x:c>
      <x:c r="Z78" s="12" t="str">
        <x:f>IF(OR(W78="unavailable",Y78="unavailable"),"不可评价",IF(OR(W78="equivocal",Y78="equivocal"),"疑似",IF(AND(W78="positive",Y78="positive"),"a",IF(Y78="positive","b",IF(W78="positive","c","d")))))</x:f>
        <x:v>d</x:v>
      </x:c>
      <x:c r="AA78" s="12" t="str">
        <x:f>IF(OR(M78="unavailable",O78="unavailable"),"不可评价",IF(AND(OR(M78="positive",M78="equivocal"),OR(O78="positive",O78="equivocal")),"a",IF(OR(O78="positive",O78="equivocal"),"b",IF(OR(M78="positive",M78="equivocal"),"c","d"))))</x:f>
        <x:v>a</x:v>
      </x:c>
      <x:c r="AB78" s="12" t="str">
        <x:f>IF(OR(M78="unavailable",O78="unavailable"),"不可评价",IF(AND(M78="positive",O78="positive"),"a",IF(O78="positive","b",IF(M78="positive","c","d"))))</x:f>
        <x:v>a</x:v>
      </x:c>
      <x:c r="AC78" s="12" t="str">
        <x:f>IF(OR(R78="unavailable",T78="unavailable"),"不可评价",IF(AND(OR(R78="positive",R78="equivocal"),OR(T78="positive",T78="equivocal")),"a",IF(OR(T78="positive",T78="equivocal"),"b",IF(OR(R78="positive",R78="equivocal"),"c","d"))))</x:f>
        <x:v>d</x:v>
      </x:c>
      <x:c r="AD78" s="12" t="str">
        <x:f>IF(OR(R78="unavailable",T78="unavailable"),"不可评价",IF(AND(R78="positive",T78="positive"),"a",IF(T78="positive","b",IF(R78="positive","c","d"))))</x:f>
        <x:v>d</x:v>
      </x:c>
      <x:c r="AE78" s="12" t="str">
        <x:f>IF(OR(W78="unavailable",Y78="unavailable"),"不可评价",IF(AND(OR(W78="positive",W78="equivocal"),OR(Y78="positive",Y78="equivocal")),"a",IF(OR(Y78="positive",Y78="equivocal"),"b",IF(OR(W78="positive",W78="equivocal"),"c","d"))))</x:f>
        <x:v>d</x:v>
      </x:c>
      <x:c r="AF78" s="12" t="str">
        <x:f>IF(OR(W78="unavailable",Y78="unavailable"),"不可评价",IF(AND(W78="positive",Y78="positive"),"a",IF(Y78="positive","b",IF(W78="positive","c","d"))))</x:f>
        <x:v>d</x:v>
      </x:c>
    </x:row>
    <x:row r="79" ht="24" customHeight="1">
      <x:c r="A79" s="12" t="str">
        <x:v>582</x:v>
      </x:c>
      <x:c r="B79" s="12" t="str">
        <x:v>10987</x:v>
      </x:c>
      <x:c r="C79" s="21" t="n">
        <x:v>31870.287094907406</x:v>
      </x:c>
      <x:c r="D79" s="12" t="n">
        <x:v>38</x:v>
      </x:c>
      <x:c r="E79" s="12" t="n">
        <x:v>1</x:v>
      </x:c>
      <x:c r="F79" s="12" t="str">
        <x:v>存在</x:v>
      </x:c>
      <x:c r="G79" s="12" t="n">
        <x:v>0</x:v>
      </x:c>
      <x:c r="H79" s="12" t="str">
        <x:v>{'NORM': 100.0, 'SR': 0.0}</x:v>
      </x:c>
      <x:c r="I79" s="12" t="str">
        <x:v>[('NSR', 100.0), ('NML', 100.0)]</x:v>
      </x:c>
      <x:c r="J79" s="12" t="str">
        <x:v>ptbxl_database.csv；ecg_id=582；scp_codes</x:v>
      </x:c>
      <x:c r="K79" s="12" t="str">
        <x:v>12sl_statements.csv；ecg_id=582；statements_ext_snomed</x:v>
      </x:c>
      <x:c r="L79" s="12"/>
      <x:c r="M79" s="12" t="str">
        <x:v>negative</x:v>
      </x:c>
      <x:c r="N79" s="12"/>
      <x:c r="O79" s="12" t="str">
        <x:v>negative</x:v>
      </x:c>
      <x:c r="P79" s="12" t="str">
        <x:f>IF(OR(M79="unavailable",O79="unavailable"),"不可评价",IF(OR(M79="equivocal",O79="equivocal"),"疑似",IF(AND(M79="positive",O79="positive"),"a",IF(O79="positive","b",IF(M79="positive","c","d")))))</x:f>
        <x:v>d</x:v>
      </x:c>
      <x:c r="Q79" s="12"/>
      <x:c r="R79" s="12" t="str">
        <x:v>negative</x:v>
      </x:c>
      <x:c r="S79" s="12"/>
      <x:c r="T79" s="12" t="str">
        <x:v>negative</x:v>
      </x:c>
      <x:c r="U79" s="12" t="str">
        <x:f>IF(OR(R79="unavailable",T79="unavailable"),"不可评价",IF(OR(R79="equivocal",T79="equivocal"),"疑似",IF(AND(R79="positive",T79="positive"),"a",IF(T79="positive","b",IF(R79="positive","c","d")))))</x:f>
        <x:v>d</x:v>
      </x:c>
      <x:c r="V79" s="12"/>
      <x:c r="W79" s="12" t="str">
        <x:v>negative</x:v>
      </x:c>
      <x:c r="X79" s="12"/>
      <x:c r="Y79" s="12" t="str">
        <x:v>negative</x:v>
      </x:c>
      <x:c r="Z79" s="12" t="str">
        <x:f>IF(OR(W79="unavailable",Y79="unavailable"),"不可评价",IF(OR(W79="equivocal",Y79="equivocal"),"疑似",IF(AND(W79="positive",Y79="positive"),"a",IF(Y79="positive","b",IF(W79="positive","c","d")))))</x:f>
        <x:v>d</x:v>
      </x:c>
      <x:c r="AA79" s="12" t="str">
        <x:f>IF(OR(M79="unavailable",O79="unavailable"),"不可评价",IF(AND(OR(M79="positive",M79="equivocal"),OR(O79="positive",O79="equivocal")),"a",IF(OR(O79="positive",O79="equivocal"),"b",IF(OR(M79="positive",M79="equivocal"),"c","d"))))</x:f>
        <x:v>d</x:v>
      </x:c>
      <x:c r="AB79" s="12" t="str">
        <x:f>IF(OR(M79="unavailable",O79="unavailable"),"不可评价",IF(AND(M79="positive",O79="positive"),"a",IF(O79="positive","b",IF(M79="positive","c","d"))))</x:f>
        <x:v>d</x:v>
      </x:c>
      <x:c r="AC79" s="12" t="str">
        <x:f>IF(OR(R79="unavailable",T79="unavailable"),"不可评价",IF(AND(OR(R79="positive",R79="equivocal"),OR(T79="positive",T79="equivocal")),"a",IF(OR(T79="positive",T79="equivocal"),"b",IF(OR(R79="positive",R79="equivocal"),"c","d"))))</x:f>
        <x:v>d</x:v>
      </x:c>
      <x:c r="AD79" s="12" t="str">
        <x:f>IF(OR(R79="unavailable",T79="unavailable"),"不可评价",IF(AND(R79="positive",T79="positive"),"a",IF(T79="positive","b",IF(R79="positive","c","d"))))</x:f>
        <x:v>d</x:v>
      </x:c>
      <x:c r="AE79" s="12" t="str">
        <x:f>IF(OR(W79="unavailable",Y79="unavailable"),"不可评价",IF(AND(OR(W79="positive",W79="equivocal"),OR(Y79="positive",Y79="equivocal")),"a",IF(OR(Y79="positive",Y79="equivocal"),"b",IF(OR(W79="positive",W79="equivocal"),"c","d"))))</x:f>
        <x:v>d</x:v>
      </x:c>
      <x:c r="AF79" s="12" t="str">
        <x:f>IF(OR(W79="unavailable",Y79="unavailable"),"不可评价",IF(AND(W79="positive",Y79="positive"),"a",IF(Y79="positive","b",IF(W79="positive","c","d"))))</x:f>
        <x:v>d</x:v>
      </x:c>
    </x:row>
    <x:row r="80" ht="24" customHeight="1">
      <x:c r="A80" s="12" t="str">
        <x:v>584</x:v>
      </x:c>
      <x:c r="B80" s="12" t="str">
        <x:v>18236</x:v>
      </x:c>
      <x:c r="C80" s="21" t="n">
        <x:v>31870.512916666667</x:v>
      </x:c>
      <x:c r="D80" s="12" t="n">
        <x:v>41</x:v>
      </x:c>
      <x:c r="E80" s="12" t="n">
        <x:v>0</x:v>
      </x:c>
      <x:c r="F80" s="12" t="str">
        <x:v>未记录</x:v>
      </x:c>
      <x:c r="G80" s="12" t="n">
        <x:v>1</x:v>
      </x:c>
      <x:c r="H80" s="12" t="str">
        <x:v>{'NORM': 80.0, 'SR': 0.0}</x:v>
      </x:c>
      <x:c r="I80" s="12" t="str">
        <x:v>[('NSR', 100.0), ('NML', 100.0)]</x:v>
      </x:c>
      <x:c r="J80" s="12" t="str">
        <x:v>ptbxl_database.csv；ecg_id=584；scp_codes</x:v>
      </x:c>
      <x:c r="K80" s="12" t="str">
        <x:v>12sl_statements.csv；ecg_id=584；statements_ext_snomed</x:v>
      </x:c>
      <x:c r="L80" s="12"/>
      <x:c r="M80" s="12" t="str">
        <x:v>negative</x:v>
      </x:c>
      <x:c r="N80" s="12"/>
      <x:c r="O80" s="12" t="str">
        <x:v>negative</x:v>
      </x:c>
      <x:c r="P80" s="12" t="str">
        <x:f>IF(OR(M80="unavailable",O80="unavailable"),"不可评价",IF(OR(M80="equivocal",O80="equivocal"),"疑似",IF(AND(M80="positive",O80="positive"),"a",IF(O80="positive","b",IF(M80="positive","c","d")))))</x:f>
        <x:v>d</x:v>
      </x:c>
      <x:c r="Q80" s="12"/>
      <x:c r="R80" s="12" t="str">
        <x:v>negative</x:v>
      </x:c>
      <x:c r="S80" s="12"/>
      <x:c r="T80" s="12" t="str">
        <x:v>negative</x:v>
      </x:c>
      <x:c r="U80" s="12" t="str">
        <x:f>IF(OR(R80="unavailable",T80="unavailable"),"不可评价",IF(OR(R80="equivocal",T80="equivocal"),"疑似",IF(AND(R80="positive",T80="positive"),"a",IF(T80="positive","b",IF(R80="positive","c","d")))))</x:f>
        <x:v>d</x:v>
      </x:c>
      <x:c r="V80" s="12"/>
      <x:c r="W80" s="12" t="str">
        <x:v>negative</x:v>
      </x:c>
      <x:c r="X80" s="12"/>
      <x:c r="Y80" s="12" t="str">
        <x:v>negative</x:v>
      </x:c>
      <x:c r="Z80" s="12" t="str">
        <x:f>IF(OR(W80="unavailable",Y80="unavailable"),"不可评价",IF(OR(W80="equivocal",Y80="equivocal"),"疑似",IF(AND(W80="positive",Y80="positive"),"a",IF(Y80="positive","b",IF(W80="positive","c","d")))))</x:f>
        <x:v>d</x:v>
      </x:c>
      <x:c r="AA80" s="12" t="str">
        <x:f>IF(OR(M80="unavailable",O80="unavailable"),"不可评价",IF(AND(OR(M80="positive",M80="equivocal"),OR(O80="positive",O80="equivocal")),"a",IF(OR(O80="positive",O80="equivocal"),"b",IF(OR(M80="positive",M80="equivocal"),"c","d"))))</x:f>
        <x:v>d</x:v>
      </x:c>
      <x:c r="AB80" s="12" t="str">
        <x:f>IF(OR(M80="unavailable",O80="unavailable"),"不可评价",IF(AND(M80="positive",O80="positive"),"a",IF(O80="positive","b",IF(M80="positive","c","d"))))</x:f>
        <x:v>d</x:v>
      </x:c>
      <x:c r="AC80" s="12" t="str">
        <x:f>IF(OR(R80="unavailable",T80="unavailable"),"不可评价",IF(AND(OR(R80="positive",R80="equivocal"),OR(T80="positive",T80="equivocal")),"a",IF(OR(T80="positive",T80="equivocal"),"b",IF(OR(R80="positive",R80="equivocal"),"c","d"))))</x:f>
        <x:v>d</x:v>
      </x:c>
      <x:c r="AD80" s="12" t="str">
        <x:f>IF(OR(R80="unavailable",T80="unavailable"),"不可评价",IF(AND(R80="positive",T80="positive"),"a",IF(T80="positive","b",IF(R80="positive","c","d"))))</x:f>
        <x:v>d</x:v>
      </x:c>
      <x:c r="AE80" s="12" t="str">
        <x:f>IF(OR(W80="unavailable",Y80="unavailable"),"不可评价",IF(AND(OR(W80="positive",W80="equivocal"),OR(Y80="positive",Y80="equivocal")),"a",IF(OR(Y80="positive",Y80="equivocal"),"b",IF(OR(W80="positive",W80="equivocal"),"c","d"))))</x:f>
        <x:v>d</x:v>
      </x:c>
      <x:c r="AF80" s="12" t="str">
        <x:f>IF(OR(W80="unavailable",Y80="unavailable"),"不可评价",IF(AND(W80="positive",Y80="positive"),"a",IF(Y80="positive","b",IF(W80="positive","c","d"))))</x:f>
        <x:v>d</x:v>
      </x:c>
    </x:row>
    <x:row r="81" ht="24" customHeight="1">
      <x:c r="A81" s="12" t="str">
        <x:v>598</x:v>
      </x:c>
      <x:c r="B81" s="12" t="str">
        <x:v>583</x:v>
      </x:c>
      <x:c r="C81" s="21" t="n">
        <x:v>31878.311828703703</x:v>
      </x:c>
      <x:c r="D81" s="12" t="n">
        <x:v>73</x:v>
      </x:c>
      <x:c r="E81" s="12" t="n">
        <x:v>1</x:v>
      </x:c>
      <x:c r="F81" s="12" t="str">
        <x:v>未记录</x:v>
      </x:c>
      <x:c r="G81" s="12" t="n">
        <x:v>0</x:v>
      </x:c>
      <x:c r="H81" s="12" t="str">
        <x:v>{'CLBBB': 100.0, 'AFIB': 0.0}</x:v>
      </x:c>
      <x:c r="I81" s="12" t="str">
        <x:v>[('AFIB', 100.0), ('ABER', 100.0), ('LAD3', 100.0), ('LBBB', 100.0), ('AB', 100.0)]</x:v>
      </x:c>
      <x:c r="J81" s="12" t="str">
        <x:v>ptbxl_database.csv；ecg_id=598；scp_codes</x:v>
      </x:c>
      <x:c r="K81" s="12" t="str">
        <x:v>12sl_statements.csv；ecg_id=598；statements_ext_snomed</x:v>
      </x:c>
      <x:c r="L81" s="12" t="n">
        <x:v>0</x:v>
      </x:c>
      <x:c r="M81" s="12" t="str">
        <x:v>positive</x:v>
      </x:c>
      <x:c r="N81" s="12" t="n">
        <x:v>100</x:v>
      </x:c>
      <x:c r="O81" s="12" t="str">
        <x:v>positive</x:v>
      </x:c>
      <x:c r="P81" s="12" t="str">
        <x:f>IF(OR(M81="unavailable",O81="unavailable"),"不可评价",IF(OR(M81="equivocal",O81="equivocal"),"疑似",IF(AND(M81="positive",O81="positive"),"a",IF(O81="positive","b",IF(M81="positive","c","d")))))</x:f>
        <x:v>a</x:v>
      </x:c>
      <x:c r="Q81" s="12" t="n">
        <x:v>100</x:v>
      </x:c>
      <x:c r="R81" s="12" t="str">
        <x:v>positive</x:v>
      </x:c>
      <x:c r="S81" s="12" t="n">
        <x:v>100</x:v>
      </x:c>
      <x:c r="T81" s="12" t="str">
        <x:v>positive</x:v>
      </x:c>
      <x:c r="U81" s="12" t="str">
        <x:f>IF(OR(R81="unavailable",T81="unavailable"),"不可评价",IF(OR(R81="equivocal",T81="equivocal"),"疑似",IF(AND(R81="positive",T81="positive"),"a",IF(T81="positive","b",IF(R81="positive","c","d")))))</x:f>
        <x:v>a</x:v>
      </x:c>
      <x:c r="V81" s="12"/>
      <x:c r="W81" s="12" t="str">
        <x:v>negative</x:v>
      </x:c>
      <x:c r="X81" s="12"/>
      <x:c r="Y81" s="12" t="str">
        <x:v>negative</x:v>
      </x:c>
      <x:c r="Z81" s="12" t="str">
        <x:f>IF(OR(W81="unavailable",Y81="unavailable"),"不可评价",IF(OR(W81="equivocal",Y81="equivocal"),"疑似",IF(AND(W81="positive",Y81="positive"),"a",IF(Y81="positive","b",IF(W81="positive","c","d")))))</x:f>
        <x:v>d</x:v>
      </x:c>
      <x:c r="AA81" s="12" t="str">
        <x:f>IF(OR(M81="unavailable",O81="unavailable"),"不可评价",IF(AND(OR(M81="positive",M81="equivocal"),OR(O81="positive",O81="equivocal")),"a",IF(OR(O81="positive",O81="equivocal"),"b",IF(OR(M81="positive",M81="equivocal"),"c","d"))))</x:f>
        <x:v>a</x:v>
      </x:c>
      <x:c r="AB81" s="12" t="str">
        <x:f>IF(OR(M81="unavailable",O81="unavailable"),"不可评价",IF(AND(M81="positive",O81="positive"),"a",IF(O81="positive","b",IF(M81="positive","c","d"))))</x:f>
        <x:v>a</x:v>
      </x:c>
      <x:c r="AC81" s="12" t="str">
        <x:f>IF(OR(R81="unavailable",T81="unavailable"),"不可评价",IF(AND(OR(R81="positive",R81="equivocal"),OR(T81="positive",T81="equivocal")),"a",IF(OR(T81="positive",T81="equivocal"),"b",IF(OR(R81="positive",R81="equivocal"),"c","d"))))</x:f>
        <x:v>a</x:v>
      </x:c>
      <x:c r="AD81" s="12" t="str">
        <x:f>IF(OR(R81="unavailable",T81="unavailable"),"不可评价",IF(AND(R81="positive",T81="positive"),"a",IF(T81="positive","b",IF(R81="positive","c","d"))))</x:f>
        <x:v>a</x:v>
      </x:c>
      <x:c r="AE81" s="12" t="str">
        <x:f>IF(OR(W81="unavailable",Y81="unavailable"),"不可评价",IF(AND(OR(W81="positive",W81="equivocal"),OR(Y81="positive",Y81="equivocal")),"a",IF(OR(Y81="positive",Y81="equivocal"),"b",IF(OR(W81="positive",W81="equivocal"),"c","d"))))</x:f>
        <x:v>d</x:v>
      </x:c>
      <x:c r="AF81" s="12" t="str">
        <x:f>IF(OR(W81="unavailable",Y81="unavailable"),"不可评价",IF(AND(W81="positive",Y81="positive"),"a",IF(Y81="positive","b",IF(W81="positive","c","d"))))</x:f>
        <x:v>d</x:v>
      </x:c>
    </x:row>
    <x:row r="82" ht="24" customHeight="1">
      <x:c r="A82" s="12" t="str">
        <x:v>611</x:v>
      </x:c>
      <x:c r="B82" s="12" t="str">
        <x:v>4083</x:v>
      </x:c>
      <x:c r="C82" s="21" t="n">
        <x:v>31882.400416666667</x:v>
      </x:c>
      <x:c r="D82" s="12" t="n">
        <x:v>63</x:v>
      </x:c>
      <x:c r="E82" s="12" t="n">
        <x:v>0</x:v>
      </x:c>
      <x:c r="F82" s="12" t="str">
        <x:v>未记录</x:v>
      </x:c>
      <x:c r="G82" s="12" t="n">
        <x:v>1</x:v>
      </x:c>
      <x:c r="H82" s="12" t="str">
        <x:v>{'NORM': 100.0, 'SBRAD': 0.0}</x:v>
      </x:c>
      <x:c r="I82" s="12" t="str">
        <x:v>[('MSBRAD', 100.0), ('AB', 100.0)]</x:v>
      </x:c>
      <x:c r="J82" s="12" t="str">
        <x:v>ptbxl_database.csv；ecg_id=611；scp_codes</x:v>
      </x:c>
      <x:c r="K82" s="12" t="str">
        <x:v>12sl_statements.csv；ecg_id=611；statements_ext_snomed</x:v>
      </x:c>
      <x:c r="L82" s="12"/>
      <x:c r="M82" s="12" t="str">
        <x:v>negative</x:v>
      </x:c>
      <x:c r="N82" s="12"/>
      <x:c r="O82" s="12" t="str">
        <x:v>negative</x:v>
      </x:c>
      <x:c r="P82" s="12" t="str">
        <x:f>IF(OR(M82="unavailable",O82="unavailable"),"不可评价",IF(OR(M82="equivocal",O82="equivocal"),"疑似",IF(AND(M82="positive",O82="positive"),"a",IF(O82="positive","b",IF(M82="positive","c","d")))))</x:f>
        <x:v>d</x:v>
      </x:c>
      <x:c r="Q82" s="12"/>
      <x:c r="R82" s="12" t="str">
        <x:v>negative</x:v>
      </x:c>
      <x:c r="S82" s="12"/>
      <x:c r="T82" s="12" t="str">
        <x:v>negative</x:v>
      </x:c>
      <x:c r="U82" s="12" t="str">
        <x:f>IF(OR(R82="unavailable",T82="unavailable"),"不可评价",IF(OR(R82="equivocal",T82="equivocal"),"疑似",IF(AND(R82="positive",T82="positive"),"a",IF(T82="positive","b",IF(R82="positive","c","d")))))</x:f>
        <x:v>d</x:v>
      </x:c>
      <x:c r="V82" s="12"/>
      <x:c r="W82" s="12" t="str">
        <x:v>negative</x:v>
      </x:c>
      <x:c r="X82" s="12"/>
      <x:c r="Y82" s="12" t="str">
        <x:v>negative</x:v>
      </x:c>
      <x:c r="Z82" s="12" t="str">
        <x:f>IF(OR(W82="unavailable",Y82="unavailable"),"不可评价",IF(OR(W82="equivocal",Y82="equivocal"),"疑似",IF(AND(W82="positive",Y82="positive"),"a",IF(Y82="positive","b",IF(W82="positive","c","d")))))</x:f>
        <x:v>d</x:v>
      </x:c>
      <x:c r="AA82" s="12" t="str">
        <x:f>IF(OR(M82="unavailable",O82="unavailable"),"不可评价",IF(AND(OR(M82="positive",M82="equivocal"),OR(O82="positive",O82="equivocal")),"a",IF(OR(O82="positive",O82="equivocal"),"b",IF(OR(M82="positive",M82="equivocal"),"c","d"))))</x:f>
        <x:v>d</x:v>
      </x:c>
      <x:c r="AB82" s="12" t="str">
        <x:f>IF(OR(M82="unavailable",O82="unavailable"),"不可评价",IF(AND(M82="positive",O82="positive"),"a",IF(O82="positive","b",IF(M82="positive","c","d"))))</x:f>
        <x:v>d</x:v>
      </x:c>
      <x:c r="AC82" s="12" t="str">
        <x:f>IF(OR(R82="unavailable",T82="unavailable"),"不可评价",IF(AND(OR(R82="positive",R82="equivocal"),OR(T82="positive",T82="equivocal")),"a",IF(OR(T82="positive",T82="equivocal"),"b",IF(OR(R82="positive",R82="equivocal"),"c","d"))))</x:f>
        <x:v>d</x:v>
      </x:c>
      <x:c r="AD82" s="12" t="str">
        <x:f>IF(OR(R82="unavailable",T82="unavailable"),"不可评价",IF(AND(R82="positive",T82="positive"),"a",IF(T82="positive","b",IF(R82="positive","c","d"))))</x:f>
        <x:v>d</x:v>
      </x:c>
      <x:c r="AE82" s="12" t="str">
        <x:f>IF(OR(W82="unavailable",Y82="unavailable"),"不可评价",IF(AND(OR(W82="positive",W82="equivocal"),OR(Y82="positive",Y82="equivocal")),"a",IF(OR(Y82="positive",Y82="equivocal"),"b",IF(OR(W82="positive",W82="equivocal"),"c","d"))))</x:f>
        <x:v>d</x:v>
      </x:c>
      <x:c r="AF82" s="12" t="str">
        <x:f>IF(OR(W82="unavailable",Y82="unavailable"),"不可评价",IF(AND(W82="positive",Y82="positive"),"a",IF(Y82="positive","b",IF(W82="positive","c","d"))))</x:f>
        <x:v>d</x:v>
      </x:c>
    </x:row>
    <x:row r="83" ht="24" customHeight="1">
      <x:c r="A83" s="12" t="str">
        <x:v>618</x:v>
      </x:c>
      <x:c r="B83" s="12" t="str">
        <x:v>6417</x:v>
      </x:c>
      <x:c r="C83" s="21" t="n">
        <x:v>31882.610254629628</x:v>
      </x:c>
      <x:c r="D83" s="12" t="n">
        <x:v>81</x:v>
      </x:c>
      <x:c r="E83" s="12" t="n">
        <x:v>1</x:v>
      </x:c>
      <x:c r="F83" s="12" t="str">
        <x:v>未记录</x:v>
      </x:c>
      <x:c r="G83" s="12" t="n">
        <x:v>1</x:v>
      </x:c>
      <x:c r="H83" s="12" t="str">
        <x:v>{'CLBBB': 100.0, 'SR': 0.0}</x:v>
      </x:c>
      <x:c r="I83" s="12" t="str">
        <x:v>[('NSR', 100.0), ('LBBB', 100.0), ('AB', 100.0)]</x:v>
      </x:c>
      <x:c r="J83" s="12" t="str">
        <x:v>ptbxl_database.csv；ecg_id=618；scp_codes</x:v>
      </x:c>
      <x:c r="K83" s="12" t="str">
        <x:v>12sl_statements.csv；ecg_id=618；statements_ext_snomed</x:v>
      </x:c>
      <x:c r="L83" s="12"/>
      <x:c r="M83" s="12" t="str">
        <x:v>negative</x:v>
      </x:c>
      <x:c r="N83" s="12"/>
      <x:c r="O83" s="12" t="str">
        <x:v>negative</x:v>
      </x:c>
      <x:c r="P83" s="12" t="str">
        <x:f>IF(OR(M83="unavailable",O83="unavailable"),"不可评价",IF(OR(M83="equivocal",O83="equivocal"),"疑似",IF(AND(M83="positive",O83="positive"),"a",IF(O83="positive","b",IF(M83="positive","c","d")))))</x:f>
        <x:v>d</x:v>
      </x:c>
      <x:c r="Q83" s="12" t="n">
        <x:v>100</x:v>
      </x:c>
      <x:c r="R83" s="12" t="str">
        <x:v>positive</x:v>
      </x:c>
      <x:c r="S83" s="12" t="n">
        <x:v>100</x:v>
      </x:c>
      <x:c r="T83" s="12" t="str">
        <x:v>positive</x:v>
      </x:c>
      <x:c r="U83" s="12" t="str">
        <x:f>IF(OR(R83="unavailable",T83="unavailable"),"不可评价",IF(OR(R83="equivocal",T83="equivocal"),"疑似",IF(AND(R83="positive",T83="positive"),"a",IF(T83="positive","b",IF(R83="positive","c","d")))))</x:f>
        <x:v>a</x:v>
      </x:c>
      <x:c r="V83" s="12"/>
      <x:c r="W83" s="12" t="str">
        <x:v>negative</x:v>
      </x:c>
      <x:c r="X83" s="12"/>
      <x:c r="Y83" s="12" t="str">
        <x:v>negative</x:v>
      </x:c>
      <x:c r="Z83" s="12" t="str">
        <x:f>IF(OR(W83="unavailable",Y83="unavailable"),"不可评价",IF(OR(W83="equivocal",Y83="equivocal"),"疑似",IF(AND(W83="positive",Y83="positive"),"a",IF(Y83="positive","b",IF(W83="positive","c","d")))))</x:f>
        <x:v>d</x:v>
      </x:c>
      <x:c r="AA83" s="12" t="str">
        <x:f>IF(OR(M83="unavailable",O83="unavailable"),"不可评价",IF(AND(OR(M83="positive",M83="equivocal"),OR(O83="positive",O83="equivocal")),"a",IF(OR(O83="positive",O83="equivocal"),"b",IF(OR(M83="positive",M83="equivocal"),"c","d"))))</x:f>
        <x:v>d</x:v>
      </x:c>
      <x:c r="AB83" s="12" t="str">
        <x:f>IF(OR(M83="unavailable",O83="unavailable"),"不可评价",IF(AND(M83="positive",O83="positive"),"a",IF(O83="positive","b",IF(M83="positive","c","d"))))</x:f>
        <x:v>d</x:v>
      </x:c>
      <x:c r="AC83" s="12" t="str">
        <x:f>IF(OR(R83="unavailable",T83="unavailable"),"不可评价",IF(AND(OR(R83="positive",R83="equivocal"),OR(T83="positive",T83="equivocal")),"a",IF(OR(T83="positive",T83="equivocal"),"b",IF(OR(R83="positive",R83="equivocal"),"c","d"))))</x:f>
        <x:v>a</x:v>
      </x:c>
      <x:c r="AD83" s="12" t="str">
        <x:f>IF(OR(R83="unavailable",T83="unavailable"),"不可评价",IF(AND(R83="positive",T83="positive"),"a",IF(T83="positive","b",IF(R83="positive","c","d"))))</x:f>
        <x:v>a</x:v>
      </x:c>
      <x:c r="AE83" s="12" t="str">
        <x:f>IF(OR(W83="unavailable",Y83="unavailable"),"不可评价",IF(AND(OR(W83="positive",W83="equivocal"),OR(Y83="positive",Y83="equivocal")),"a",IF(OR(Y83="positive",Y83="equivocal"),"b",IF(OR(W83="positive",W83="equivocal"),"c","d"))))</x:f>
        <x:v>d</x:v>
      </x:c>
      <x:c r="AF83" s="12" t="str">
        <x:f>IF(OR(W83="unavailable",Y83="unavailable"),"不可评价",IF(AND(W83="positive",Y83="positive"),"a",IF(Y83="positive","b",IF(W83="positive","c","d"))))</x:f>
        <x:v>d</x:v>
      </x:c>
    </x:row>
    <x:row r="84" ht="24" customHeight="1">
      <x:c r="A84" s="12" t="str">
        <x:v>619</x:v>
      </x:c>
      <x:c r="B84" s="12" t="str">
        <x:v>1240</x:v>
      </x:c>
      <x:c r="C84" s="21" t="n">
        <x:v>31882.659363425926</x:v>
      </x:c>
      <x:c r="D84" s="12" t="n">
        <x:v>55</x:v>
      </x:c>
      <x:c r="E84" s="12" t="n">
        <x:v>1</x:v>
      </x:c>
      <x:c r="F84" s="12" t="str">
        <x:v>未记录</x:v>
      </x:c>
      <x:c r="G84" s="12" t="n">
        <x:v>1</x:v>
      </x:c>
      <x:c r="H84" s="12" t="str">
        <x:v>{'NORM': 100.0, 'NT_': 0.0, 'SR': 0.0}</x:v>
      </x:c>
      <x:c r="I84" s="12" t="str">
        <x:v>[('NSR', 100.0), ('SAR', 100.0), ('NML', 100.0)]</x:v>
      </x:c>
      <x:c r="J84" s="12" t="str">
        <x:v>ptbxl_database.csv；ecg_id=619；scp_codes</x:v>
      </x:c>
      <x:c r="K84" s="12" t="str">
        <x:v>12sl_statements.csv；ecg_id=619；statements_ext_snomed</x:v>
      </x:c>
      <x:c r="L84" s="12"/>
      <x:c r="M84" s="12" t="str">
        <x:v>negative</x:v>
      </x:c>
      <x:c r="N84" s="12"/>
      <x:c r="O84" s="12" t="str">
        <x:v>negative</x:v>
      </x:c>
      <x:c r="P84" s="12" t="str">
        <x:f>IF(OR(M84="unavailable",O84="unavailable"),"不可评价",IF(OR(M84="equivocal",O84="equivocal"),"疑似",IF(AND(M84="positive",O84="positive"),"a",IF(O84="positive","b",IF(M84="positive","c","d")))))</x:f>
        <x:v>d</x:v>
      </x:c>
      <x:c r="Q84" s="12"/>
      <x:c r="R84" s="12" t="str">
        <x:v>negative</x:v>
      </x:c>
      <x:c r="S84" s="12"/>
      <x:c r="T84" s="12" t="str">
        <x:v>negative</x:v>
      </x:c>
      <x:c r="U84" s="12" t="str">
        <x:f>IF(OR(R84="unavailable",T84="unavailable"),"不可评价",IF(OR(R84="equivocal",T84="equivocal"),"疑似",IF(AND(R84="positive",T84="positive"),"a",IF(T84="positive","b",IF(R84="positive","c","d")))))</x:f>
        <x:v>d</x:v>
      </x:c>
      <x:c r="V84" s="12"/>
      <x:c r="W84" s="12" t="str">
        <x:v>negative</x:v>
      </x:c>
      <x:c r="X84" s="12"/>
      <x:c r="Y84" s="12" t="str">
        <x:v>negative</x:v>
      </x:c>
      <x:c r="Z84" s="12" t="str">
        <x:f>IF(OR(W84="unavailable",Y84="unavailable"),"不可评价",IF(OR(W84="equivocal",Y84="equivocal"),"疑似",IF(AND(W84="positive",Y84="positive"),"a",IF(Y84="positive","b",IF(W84="positive","c","d")))))</x:f>
        <x:v>d</x:v>
      </x:c>
      <x:c r="AA84" s="12" t="str">
        <x:f>IF(OR(M84="unavailable",O84="unavailable"),"不可评价",IF(AND(OR(M84="positive",M84="equivocal"),OR(O84="positive",O84="equivocal")),"a",IF(OR(O84="positive",O84="equivocal"),"b",IF(OR(M84="positive",M84="equivocal"),"c","d"))))</x:f>
        <x:v>d</x:v>
      </x:c>
      <x:c r="AB84" s="12" t="str">
        <x:f>IF(OR(M84="unavailable",O84="unavailable"),"不可评价",IF(AND(M84="positive",O84="positive"),"a",IF(O84="positive","b",IF(M84="positive","c","d"))))</x:f>
        <x:v>d</x:v>
      </x:c>
      <x:c r="AC84" s="12" t="str">
        <x:f>IF(OR(R84="unavailable",T84="unavailable"),"不可评价",IF(AND(OR(R84="positive",R84="equivocal"),OR(T84="positive",T84="equivocal")),"a",IF(OR(T84="positive",T84="equivocal"),"b",IF(OR(R84="positive",R84="equivocal"),"c","d"))))</x:f>
        <x:v>d</x:v>
      </x:c>
      <x:c r="AD84" s="12" t="str">
        <x:f>IF(OR(R84="unavailable",T84="unavailable"),"不可评价",IF(AND(R84="positive",T84="positive"),"a",IF(T84="positive","b",IF(R84="positive","c","d"))))</x:f>
        <x:v>d</x:v>
      </x:c>
      <x:c r="AE84" s="12" t="str">
        <x:f>IF(OR(W84="unavailable",Y84="unavailable"),"不可评价",IF(AND(OR(W84="positive",W84="equivocal"),OR(Y84="positive",Y84="equivocal")),"a",IF(OR(Y84="positive",Y84="equivocal"),"b",IF(OR(W84="positive",W84="equivocal"),"c","d"))))</x:f>
        <x:v>d</x:v>
      </x:c>
      <x:c r="AF84" s="12" t="str">
        <x:f>IF(OR(W84="unavailable",Y84="unavailable"),"不可评价",IF(AND(W84="positive",Y84="positive"),"a",IF(Y84="positive","b",IF(W84="positive","c","d"))))</x:f>
        <x:v>d</x:v>
      </x:c>
    </x:row>
    <x:row r="85" ht="24" customHeight="1">
      <x:c r="A85" s="12" t="str">
        <x:v>658</x:v>
      </x:c>
      <x:c r="B85" s="12" t="str">
        <x:v>9050</x:v>
      </x:c>
      <x:c r="C85" s="21" t="n">
        <x:v>31891.59857638889</x:v>
      </x:c>
      <x:c r="D85" s="12" t="n">
        <x:v>46</x:v>
      </x:c>
      <x:c r="E85" s="12" t="n">
        <x:v>0</x:v>
      </x:c>
      <x:c r="F85" s="12" t="str">
        <x:v>未记录</x:v>
      </x:c>
      <x:c r="G85" s="12" t="n">
        <x:v>1</x:v>
      </x:c>
      <x:c r="H85" s="12" t="str">
        <x:v>{'IVCD': 100.0, 'SBRAD': 0.0}</x:v>
      </x:c>
      <x:c r="I85" s="12" t="str">
        <x:v>[('SBRAD', 100.0), ('ABR', 100.0)]</x:v>
      </x:c>
      <x:c r="J85" s="12" t="str">
        <x:v>ptbxl_database.csv；ecg_id=658；scp_codes</x:v>
      </x:c>
      <x:c r="K85" s="12" t="str">
        <x:v>12sl_statements.csv；ecg_id=658；statements_ext_snomed</x:v>
      </x:c>
      <x:c r="L85" s="12"/>
      <x:c r="M85" s="12" t="str">
        <x:v>negative</x:v>
      </x:c>
      <x:c r="N85" s="12"/>
      <x:c r="O85" s="12" t="str">
        <x:v>negative</x:v>
      </x:c>
      <x:c r="P85" s="12" t="str">
        <x:f>IF(OR(M85="unavailable",O85="unavailable"),"不可评价",IF(OR(M85="equivocal",O85="equivocal"),"疑似",IF(AND(M85="positive",O85="positive"),"a",IF(O85="positive","b",IF(M85="positive","c","d")))))</x:f>
        <x:v>d</x:v>
      </x:c>
      <x:c r="Q85" s="12"/>
      <x:c r="R85" s="12" t="str">
        <x:v>negative</x:v>
      </x:c>
      <x:c r="S85" s="12"/>
      <x:c r="T85" s="12" t="str">
        <x:v>negative</x:v>
      </x:c>
      <x:c r="U85" s="12" t="str">
        <x:f>IF(OR(R85="unavailable",T85="unavailable"),"不可评价",IF(OR(R85="equivocal",T85="equivocal"),"疑似",IF(AND(R85="positive",T85="positive"),"a",IF(T85="positive","b",IF(R85="positive","c","d")))))</x:f>
        <x:v>d</x:v>
      </x:c>
      <x:c r="V85" s="12"/>
      <x:c r="W85" s="12" t="str">
        <x:v>negative</x:v>
      </x:c>
      <x:c r="X85" s="12"/>
      <x:c r="Y85" s="12" t="str">
        <x:v>negative</x:v>
      </x:c>
      <x:c r="Z85" s="12" t="str">
        <x:f>IF(OR(W85="unavailable",Y85="unavailable"),"不可评价",IF(OR(W85="equivocal",Y85="equivocal"),"疑似",IF(AND(W85="positive",Y85="positive"),"a",IF(Y85="positive","b",IF(W85="positive","c","d")))))</x:f>
        <x:v>d</x:v>
      </x:c>
      <x:c r="AA85" s="12" t="str">
        <x:f>IF(OR(M85="unavailable",O85="unavailable"),"不可评价",IF(AND(OR(M85="positive",M85="equivocal"),OR(O85="positive",O85="equivocal")),"a",IF(OR(O85="positive",O85="equivocal"),"b",IF(OR(M85="positive",M85="equivocal"),"c","d"))))</x:f>
        <x:v>d</x:v>
      </x:c>
      <x:c r="AB85" s="12" t="str">
        <x:f>IF(OR(M85="unavailable",O85="unavailable"),"不可评价",IF(AND(M85="positive",O85="positive"),"a",IF(O85="positive","b",IF(M85="positive","c","d"))))</x:f>
        <x:v>d</x:v>
      </x:c>
      <x:c r="AC85" s="12" t="str">
        <x:f>IF(OR(R85="unavailable",T85="unavailable"),"不可评价",IF(AND(OR(R85="positive",R85="equivocal"),OR(T85="positive",T85="equivocal")),"a",IF(OR(T85="positive",T85="equivocal"),"b",IF(OR(R85="positive",R85="equivocal"),"c","d"))))</x:f>
        <x:v>d</x:v>
      </x:c>
      <x:c r="AD85" s="12" t="str">
        <x:f>IF(OR(R85="unavailable",T85="unavailable"),"不可评价",IF(AND(R85="positive",T85="positive"),"a",IF(T85="positive","b",IF(R85="positive","c","d"))))</x:f>
        <x:v>d</x:v>
      </x:c>
      <x:c r="AE85" s="12" t="str">
        <x:f>IF(OR(W85="unavailable",Y85="unavailable"),"不可评价",IF(AND(OR(W85="positive",W85="equivocal"),OR(Y85="positive",Y85="equivocal")),"a",IF(OR(Y85="positive",Y85="equivocal"),"b",IF(OR(W85="positive",W85="equivocal"),"c","d"))))</x:f>
        <x:v>d</x:v>
      </x:c>
      <x:c r="AF85" s="12" t="str">
        <x:f>IF(OR(W85="unavailable",Y85="unavailable"),"不可评价",IF(AND(W85="positive",Y85="positive"),"a",IF(Y85="positive","b",IF(W85="positive","c","d"))))</x:f>
        <x:v>d</x:v>
      </x:c>
    </x:row>
    <x:row r="86" ht="24" customHeight="1">
      <x:c r="A86" s="12" t="str">
        <x:v>685</x:v>
      </x:c>
      <x:c r="B86" s="12" t="str">
        <x:v>362</x:v>
      </x:c>
      <x:c r="C86" s="21" t="n">
        <x:v>31895.345439814813</x:v>
      </x:c>
      <x:c r="D86" s="12" t="n">
        <x:v>85</x:v>
      </x:c>
      <x:c r="E86" s="12" t="n">
        <x:v>0</x:v>
      </x:c>
      <x:c r="F86" s="12" t="str">
        <x:v>存在</x:v>
      </x:c>
      <x:c r="G86" s="12" t="n">
        <x:v>1</x:v>
      </x:c>
      <x:c r="H86" s="12" t="str">
        <x:v>{'IMI': 15.0, 'ILBBB': 100.0, '1AVB': 100.0, 'LPR': 0.0, 'SR': 0.0}</x:v>
      </x:c>
      <x:c r="I86" s="12" t="str">
        <x:v>[('SRTH', 100.0), ('FAV', 100.0), ('ILBBB', 100.0), ('LSBINJ', 100.0), ('AB', 100.0)]</x:v>
      </x:c>
      <x:c r="J86" s="12" t="str">
        <x:v>ptbxl_database.csv；ecg_id=685；scp_codes</x:v>
      </x:c>
      <x:c r="K86" s="12" t="str">
        <x:v>12sl_statements.csv；ecg_id=685；statements_ext_snomed</x:v>
      </x:c>
      <x:c r="L86" s="12"/>
      <x:c r="M86" s="12" t="str">
        <x:v>negative</x:v>
      </x:c>
      <x:c r="N86" s="12"/>
      <x:c r="O86" s="12" t="str">
        <x:v>negative</x:v>
      </x:c>
      <x:c r="P86" s="12" t="str">
        <x:f>IF(OR(M86="unavailable",O86="unavailable"),"不可评价",IF(OR(M86="equivocal",O86="equivocal"),"疑似",IF(AND(M86="positive",O86="positive"),"a",IF(O86="positive","b",IF(M86="positive","c","d")))))</x:f>
        <x:v>d</x:v>
      </x:c>
      <x:c r="Q86" s="12"/>
      <x:c r="R86" s="12" t="str">
        <x:v>negative</x:v>
      </x:c>
      <x:c r="S86" s="12"/>
      <x:c r="T86" s="12" t="str">
        <x:v>negative</x:v>
      </x:c>
      <x:c r="U86" s="12" t="str">
        <x:f>IF(OR(R86="unavailable",T86="unavailable"),"不可评价",IF(OR(R86="equivocal",T86="equivocal"),"疑似",IF(AND(R86="positive",T86="positive"),"a",IF(T86="positive","b",IF(R86="positive","c","d")))))</x:f>
        <x:v>d</x:v>
      </x:c>
      <x:c r="V86" s="12"/>
      <x:c r="W86" s="12" t="str">
        <x:v>negative</x:v>
      </x:c>
      <x:c r="X86" s="12"/>
      <x:c r="Y86" s="12" t="str">
        <x:v>negative</x:v>
      </x:c>
      <x:c r="Z86" s="12" t="str">
        <x:f>IF(OR(W86="unavailable",Y86="unavailable"),"不可评价",IF(OR(W86="equivocal",Y86="equivocal"),"疑似",IF(AND(W86="positive",Y86="positive"),"a",IF(Y86="positive","b",IF(W86="positive","c","d")))))</x:f>
        <x:v>d</x:v>
      </x:c>
      <x:c r="AA86" s="12" t="str">
        <x:f>IF(OR(M86="unavailable",O86="unavailable"),"不可评价",IF(AND(OR(M86="positive",M86="equivocal"),OR(O86="positive",O86="equivocal")),"a",IF(OR(O86="positive",O86="equivocal"),"b",IF(OR(M86="positive",M86="equivocal"),"c","d"))))</x:f>
        <x:v>d</x:v>
      </x:c>
      <x:c r="AB86" s="12" t="str">
        <x:f>IF(OR(M86="unavailable",O86="unavailable"),"不可评价",IF(AND(M86="positive",O86="positive"),"a",IF(O86="positive","b",IF(M86="positive","c","d"))))</x:f>
        <x:v>d</x:v>
      </x:c>
      <x:c r="AC86" s="12" t="str">
        <x:f>IF(OR(R86="unavailable",T86="unavailable"),"不可评价",IF(AND(OR(R86="positive",R86="equivocal"),OR(T86="positive",T86="equivocal")),"a",IF(OR(T86="positive",T86="equivocal"),"b",IF(OR(R86="positive",R86="equivocal"),"c","d"))))</x:f>
        <x:v>d</x:v>
      </x:c>
      <x:c r="AD86" s="12" t="str">
        <x:f>IF(OR(R86="unavailable",T86="unavailable"),"不可评价",IF(AND(R86="positive",T86="positive"),"a",IF(T86="positive","b",IF(R86="positive","c","d"))))</x:f>
        <x:v>d</x:v>
      </x:c>
      <x:c r="AE86" s="12" t="str">
        <x:f>IF(OR(W86="unavailable",Y86="unavailable"),"不可评价",IF(AND(OR(W86="positive",W86="equivocal"),OR(Y86="positive",Y86="equivocal")),"a",IF(OR(Y86="positive",Y86="equivocal"),"b",IF(OR(W86="positive",W86="equivocal"),"c","d"))))</x:f>
        <x:v>d</x:v>
      </x:c>
      <x:c r="AF86" s="12" t="str">
        <x:f>IF(OR(W86="unavailable",Y86="unavailable"),"不可评价",IF(AND(W86="positive",Y86="positive"),"a",IF(Y86="positive","b",IF(W86="positive","c","d"))))</x:f>
        <x:v>d</x:v>
      </x:c>
    </x:row>
    <x:row r="87" ht="24" customHeight="1">
      <x:c r="A87" s="12" t="str">
        <x:v>687</x:v>
      </x:c>
      <x:c r="B87" s="12" t="str">
        <x:v>7483</x:v>
      </x:c>
      <x:c r="C87" s="21" t="n">
        <x:v>31895.78891203704</x:v>
      </x:c>
      <x:c r="D87" s="12" t="n">
        <x:v>77</x:v>
      </x:c>
      <x:c r="E87" s="12" t="n">
        <x:v>1</x:v>
      </x:c>
      <x:c r="F87" s="12" t="str">
        <x:v>未记录</x:v>
      </x:c>
      <x:c r="G87" s="12" t="n">
        <x:v>1</x:v>
      </x:c>
      <x:c r="H87" s="12" t="str">
        <x:v>{'NORM': 100.0}</x:v>
      </x:c>
      <x:c r="I87" s="12" t="str">
        <x:v>[('SRTH', 100.0), ('PAC', 100.0), ('NST', 100.0), ('AB', 100.0)]</x:v>
      </x:c>
      <x:c r="J87" s="12" t="str">
        <x:v>ptbxl_database.csv；ecg_id=687；scp_codes</x:v>
      </x:c>
      <x:c r="K87" s="12" t="str">
        <x:v>12sl_statements.csv；ecg_id=687；statements_ext_snomed</x:v>
      </x:c>
      <x:c r="L87" s="12"/>
      <x:c r="M87" s="12" t="str">
        <x:v>negative</x:v>
      </x:c>
      <x:c r="N87" s="12"/>
      <x:c r="O87" s="12" t="str">
        <x:v>negative</x:v>
      </x:c>
      <x:c r="P87" s="12" t="str">
        <x:f>IF(OR(M87="unavailable",O87="unavailable"),"不可评价",IF(OR(M87="equivocal",O87="equivocal"),"疑似",IF(AND(M87="positive",O87="positive"),"a",IF(O87="positive","b",IF(M87="positive","c","d")))))</x:f>
        <x:v>d</x:v>
      </x:c>
      <x:c r="Q87" s="12"/>
      <x:c r="R87" s="12" t="str">
        <x:v>negative</x:v>
      </x:c>
      <x:c r="S87" s="12"/>
      <x:c r="T87" s="12" t="str">
        <x:v>negative</x:v>
      </x:c>
      <x:c r="U87" s="12" t="str">
        <x:f>IF(OR(R87="unavailable",T87="unavailable"),"不可评价",IF(OR(R87="equivocal",T87="equivocal"),"疑似",IF(AND(R87="positive",T87="positive"),"a",IF(T87="positive","b",IF(R87="positive","c","d")))))</x:f>
        <x:v>d</x:v>
      </x:c>
      <x:c r="V87" s="12"/>
      <x:c r="W87" s="12" t="str">
        <x:v>negative</x:v>
      </x:c>
      <x:c r="X87" s="12"/>
      <x:c r="Y87" s="12" t="str">
        <x:v>negative</x:v>
      </x:c>
      <x:c r="Z87" s="12" t="str">
        <x:f>IF(OR(W87="unavailable",Y87="unavailable"),"不可评价",IF(OR(W87="equivocal",Y87="equivocal"),"疑似",IF(AND(W87="positive",Y87="positive"),"a",IF(Y87="positive","b",IF(W87="positive","c","d")))))</x:f>
        <x:v>d</x:v>
      </x:c>
      <x:c r="AA87" s="12" t="str">
        <x:f>IF(OR(M87="unavailable",O87="unavailable"),"不可评价",IF(AND(OR(M87="positive",M87="equivocal"),OR(O87="positive",O87="equivocal")),"a",IF(OR(O87="positive",O87="equivocal"),"b",IF(OR(M87="positive",M87="equivocal"),"c","d"))))</x:f>
        <x:v>d</x:v>
      </x:c>
      <x:c r="AB87" s="12" t="str">
        <x:f>IF(OR(M87="unavailable",O87="unavailable"),"不可评价",IF(AND(M87="positive",O87="positive"),"a",IF(O87="positive","b",IF(M87="positive","c","d"))))</x:f>
        <x:v>d</x:v>
      </x:c>
      <x:c r="AC87" s="12" t="str">
        <x:f>IF(OR(R87="unavailable",T87="unavailable"),"不可评价",IF(AND(OR(R87="positive",R87="equivocal"),OR(T87="positive",T87="equivocal")),"a",IF(OR(T87="positive",T87="equivocal"),"b",IF(OR(R87="positive",R87="equivocal"),"c","d"))))</x:f>
        <x:v>d</x:v>
      </x:c>
      <x:c r="AD87" s="12" t="str">
        <x:f>IF(OR(R87="unavailable",T87="unavailable"),"不可评价",IF(AND(R87="positive",T87="positive"),"a",IF(T87="positive","b",IF(R87="positive","c","d"))))</x:f>
        <x:v>d</x:v>
      </x:c>
      <x:c r="AE87" s="12" t="str">
        <x:f>IF(OR(W87="unavailable",Y87="unavailable"),"不可评价",IF(AND(OR(W87="positive",W87="equivocal"),OR(Y87="positive",Y87="equivocal")),"a",IF(OR(Y87="positive",Y87="equivocal"),"b",IF(OR(W87="positive",W87="equivocal"),"c","d"))))</x:f>
        <x:v>d</x:v>
      </x:c>
      <x:c r="AF87" s="12" t="str">
        <x:f>IF(OR(W87="unavailable",Y87="unavailable"),"不可评价",IF(AND(W87="positive",Y87="positive"),"a",IF(Y87="positive","b",IF(W87="positive","c","d"))))</x:f>
        <x:v>d</x:v>
      </x:c>
    </x:row>
    <x:row r="88" ht="24" customHeight="1">
      <x:c r="A88" s="12" t="str">
        <x:v>688</x:v>
      </x:c>
      <x:c r="B88" s="12" t="str">
        <x:v>362</x:v>
      </x:c>
      <x:c r="C88" s="21" t="n">
        <x:v>31896.388171296298</x:v>
      </x:c>
      <x:c r="D88" s="12" t="n">
        <x:v>85</x:v>
      </x:c>
      <x:c r="E88" s="12" t="n">
        <x:v>0</x:v>
      </x:c>
      <x:c r="F88" s="12" t="str">
        <x:v>未记录</x:v>
      </x:c>
      <x:c r="G88" s="12" t="n">
        <x:v>0</x:v>
      </x:c>
      <x:c r="H88" s="12" t="str">
        <x:v>{'ISCIL': 100.0, 'IVCD': 100.0, '1AVB': 100.0, 'LPR': 0.0, 'SR': 0.0}</x:v>
      </x:c>
      <x:c r="I88" s="12" t="str">
        <x:v>[('SRTH', 100.0), ('FAV', 100.0), ('IMI;AU', 50.0), ('LNGQT', 100.0), ('AB', 100.0)]</x:v>
      </x:c>
      <x:c r="J88" s="12" t="str">
        <x:v>ptbxl_database.csv；ecg_id=688；scp_codes</x:v>
      </x:c>
      <x:c r="K88" s="12" t="str">
        <x:v>12sl_statements.csv；ecg_id=688；statements_ext_snomed</x:v>
      </x:c>
      <x:c r="L88" s="12"/>
      <x:c r="M88" s="12" t="str">
        <x:v>negative</x:v>
      </x:c>
      <x:c r="N88" s="12"/>
      <x:c r="O88" s="12" t="str">
        <x:v>negative</x:v>
      </x:c>
      <x:c r="P88" s="12" t="str">
        <x:f>IF(OR(M88="unavailable",O88="unavailable"),"不可评价",IF(OR(M88="equivocal",O88="equivocal"),"疑似",IF(AND(M88="positive",O88="positive"),"a",IF(O88="positive","b",IF(M88="positive","c","d")))))</x:f>
        <x:v>d</x:v>
      </x:c>
      <x:c r="Q88" s="12"/>
      <x:c r="R88" s="12" t="str">
        <x:v>negative</x:v>
      </x:c>
      <x:c r="S88" s="12"/>
      <x:c r="T88" s="12" t="str">
        <x:v>negative</x:v>
      </x:c>
      <x:c r="U88" s="12" t="str">
        <x:f>IF(OR(R88="unavailable",T88="unavailable"),"不可评价",IF(OR(R88="equivocal",T88="equivocal"),"疑似",IF(AND(R88="positive",T88="positive"),"a",IF(T88="positive","b",IF(R88="positive","c","d")))))</x:f>
        <x:v>d</x:v>
      </x:c>
      <x:c r="V88" s="12"/>
      <x:c r="W88" s="12" t="str">
        <x:v>negative</x:v>
      </x:c>
      <x:c r="X88" s="12"/>
      <x:c r="Y88" s="12" t="str">
        <x:v>negative</x:v>
      </x:c>
      <x:c r="Z88" s="12" t="str">
        <x:f>IF(OR(W88="unavailable",Y88="unavailable"),"不可评价",IF(OR(W88="equivocal",Y88="equivocal"),"疑似",IF(AND(W88="positive",Y88="positive"),"a",IF(Y88="positive","b",IF(W88="positive","c","d")))))</x:f>
        <x:v>d</x:v>
      </x:c>
      <x:c r="AA88" s="12" t="str">
        <x:f>IF(OR(M88="unavailable",O88="unavailable"),"不可评价",IF(AND(OR(M88="positive",M88="equivocal"),OR(O88="positive",O88="equivocal")),"a",IF(OR(O88="positive",O88="equivocal"),"b",IF(OR(M88="positive",M88="equivocal"),"c","d"))))</x:f>
        <x:v>d</x:v>
      </x:c>
      <x:c r="AB88" s="12" t="str">
        <x:f>IF(OR(M88="unavailable",O88="unavailable"),"不可评价",IF(AND(M88="positive",O88="positive"),"a",IF(O88="positive","b",IF(M88="positive","c","d"))))</x:f>
        <x:v>d</x:v>
      </x:c>
      <x:c r="AC88" s="12" t="str">
        <x:f>IF(OR(R88="unavailable",T88="unavailable"),"不可评价",IF(AND(OR(R88="positive",R88="equivocal"),OR(T88="positive",T88="equivocal")),"a",IF(OR(T88="positive",T88="equivocal"),"b",IF(OR(R88="positive",R88="equivocal"),"c","d"))))</x:f>
        <x:v>d</x:v>
      </x:c>
      <x:c r="AD88" s="12" t="str">
        <x:f>IF(OR(R88="unavailable",T88="unavailable"),"不可评价",IF(AND(R88="positive",T88="positive"),"a",IF(T88="positive","b",IF(R88="positive","c","d"))))</x:f>
        <x:v>d</x:v>
      </x:c>
      <x:c r="AE88" s="12" t="str">
        <x:f>IF(OR(W88="unavailable",Y88="unavailable"),"不可评价",IF(AND(OR(W88="positive",W88="equivocal"),OR(Y88="positive",Y88="equivocal")),"a",IF(OR(Y88="positive",Y88="equivocal"),"b",IF(OR(W88="positive",W88="equivocal"),"c","d"))))</x:f>
        <x:v>d</x:v>
      </x:c>
      <x:c r="AF88" s="12" t="str">
        <x:f>IF(OR(W88="unavailable",Y88="unavailable"),"不可评价",IF(AND(W88="positive",Y88="positive"),"a",IF(Y88="positive","b",IF(W88="positive","c","d"))))</x:f>
        <x:v>d</x:v>
      </x:c>
    </x:row>
    <x:row r="89" ht="24" customHeight="1">
      <x:c r="A89" s="12" t="str">
        <x:v>694</x:v>
      </x:c>
      <x:c r="B89" s="12" t="str">
        <x:v>4203</x:v>
      </x:c>
      <x:c r="C89" s="21" t="n">
        <x:v>31897.40619212963</x:v>
      </x:c>
      <x:c r="D89" s="12" t="n">
        <x:v>49</x:v>
      </x:c>
      <x:c r="E89" s="12" t="n">
        <x:v>1</x:v>
      </x:c>
      <x:c r="F89" s="12" t="str">
        <x:v>未记录</x:v>
      </x:c>
      <x:c r="G89" s="12" t="n">
        <x:v>1</x:v>
      </x:c>
      <x:c r="H89" s="12" t="str">
        <x:v>{'NORM': 100.0, 'SR': 0.0}</x:v>
      </x:c>
      <x:c r="I89" s="12" t="str">
        <x:v>[('NSR', 100.0), ('NML', 100.0)]</x:v>
      </x:c>
      <x:c r="J89" s="12" t="str">
        <x:v>ptbxl_database.csv；ecg_id=694；scp_codes</x:v>
      </x:c>
      <x:c r="K89" s="12" t="str">
        <x:v>12sl_statements.csv；ecg_id=694；statements_ext_snomed</x:v>
      </x:c>
      <x:c r="L89" s="12"/>
      <x:c r="M89" s="12" t="str">
        <x:v>negative</x:v>
      </x:c>
      <x:c r="N89" s="12"/>
      <x:c r="O89" s="12" t="str">
        <x:v>negative</x:v>
      </x:c>
      <x:c r="P89" s="12" t="str">
        <x:f>IF(OR(M89="unavailable",O89="unavailable"),"不可评价",IF(OR(M89="equivocal",O89="equivocal"),"疑似",IF(AND(M89="positive",O89="positive"),"a",IF(O89="positive","b",IF(M89="positive","c","d")))))</x:f>
        <x:v>d</x:v>
      </x:c>
      <x:c r="Q89" s="12"/>
      <x:c r="R89" s="12" t="str">
        <x:v>negative</x:v>
      </x:c>
      <x:c r="S89" s="12"/>
      <x:c r="T89" s="12" t="str">
        <x:v>negative</x:v>
      </x:c>
      <x:c r="U89" s="12" t="str">
        <x:f>IF(OR(R89="unavailable",T89="unavailable"),"不可评价",IF(OR(R89="equivocal",T89="equivocal"),"疑似",IF(AND(R89="positive",T89="positive"),"a",IF(T89="positive","b",IF(R89="positive","c","d")))))</x:f>
        <x:v>d</x:v>
      </x:c>
      <x:c r="V89" s="12"/>
      <x:c r="W89" s="12" t="str">
        <x:v>negative</x:v>
      </x:c>
      <x:c r="X89" s="12"/>
      <x:c r="Y89" s="12" t="str">
        <x:v>negative</x:v>
      </x:c>
      <x:c r="Z89" s="12" t="str">
        <x:f>IF(OR(W89="unavailable",Y89="unavailable"),"不可评价",IF(OR(W89="equivocal",Y89="equivocal"),"疑似",IF(AND(W89="positive",Y89="positive"),"a",IF(Y89="positive","b",IF(W89="positive","c","d")))))</x:f>
        <x:v>d</x:v>
      </x:c>
      <x:c r="AA89" s="12" t="str">
        <x:f>IF(OR(M89="unavailable",O89="unavailable"),"不可评价",IF(AND(OR(M89="positive",M89="equivocal"),OR(O89="positive",O89="equivocal")),"a",IF(OR(O89="positive",O89="equivocal"),"b",IF(OR(M89="positive",M89="equivocal"),"c","d"))))</x:f>
        <x:v>d</x:v>
      </x:c>
      <x:c r="AB89" s="12" t="str">
        <x:f>IF(OR(M89="unavailable",O89="unavailable"),"不可评价",IF(AND(M89="positive",O89="positive"),"a",IF(O89="positive","b",IF(M89="positive","c","d"))))</x:f>
        <x:v>d</x:v>
      </x:c>
      <x:c r="AC89" s="12" t="str">
        <x:f>IF(OR(R89="unavailable",T89="unavailable"),"不可评价",IF(AND(OR(R89="positive",R89="equivocal"),OR(T89="positive",T89="equivocal")),"a",IF(OR(T89="positive",T89="equivocal"),"b",IF(OR(R89="positive",R89="equivocal"),"c","d"))))</x:f>
        <x:v>d</x:v>
      </x:c>
      <x:c r="AD89" s="12" t="str">
        <x:f>IF(OR(R89="unavailable",T89="unavailable"),"不可评价",IF(AND(R89="positive",T89="positive"),"a",IF(T89="positive","b",IF(R89="positive","c","d"))))</x:f>
        <x:v>d</x:v>
      </x:c>
      <x:c r="AE89" s="12" t="str">
        <x:f>IF(OR(W89="unavailable",Y89="unavailable"),"不可评价",IF(AND(OR(W89="positive",W89="equivocal"),OR(Y89="positive",Y89="equivocal")),"a",IF(OR(Y89="positive",Y89="equivocal"),"b",IF(OR(W89="positive",W89="equivocal"),"c","d"))))</x:f>
        <x:v>d</x:v>
      </x:c>
      <x:c r="AF89" s="12" t="str">
        <x:f>IF(OR(W89="unavailable",Y89="unavailable"),"不可评价",IF(AND(W89="positive",Y89="positive"),"a",IF(Y89="positive","b",IF(W89="positive","c","d"))))</x:f>
        <x:v>d</x:v>
      </x:c>
    </x:row>
    <x:row r="90" ht="24" customHeight="1">
      <x:c r="A90" s="12" t="str">
        <x:v>696</x:v>
      </x:c>
      <x:c r="B90" s="12" t="str">
        <x:v>7153</x:v>
      </x:c>
      <x:c r="C90" s="21" t="n">
        <x:v>31897.45013888889</x:v>
      </x:c>
      <x:c r="D90" s="12" t="n">
        <x:v>57</x:v>
      </x:c>
      <x:c r="E90" s="12" t="n">
        <x:v>0</x:v>
      </x:c>
      <x:c r="F90" s="12" t="str">
        <x:v>未记录</x:v>
      </x:c>
      <x:c r="G90" s="12" t="n">
        <x:v>1</x:v>
      </x:c>
      <x:c r="H90" s="12" t="str">
        <x:v>{'NORM': 80.0, 'QWAVE': 0.0, 'SR': 0.0}</x:v>
      </x:c>
      <x:c r="I90" s="12" t="str">
        <x:v>[('NSR', 100.0), ('NML', 100.0)]</x:v>
      </x:c>
      <x:c r="J90" s="12" t="str">
        <x:v>ptbxl_database.csv；ecg_id=696；scp_codes</x:v>
      </x:c>
      <x:c r="K90" s="12" t="str">
        <x:v>12sl_statements.csv；ecg_id=696；statements_ext_snomed</x:v>
      </x:c>
      <x:c r="L90" s="12"/>
      <x:c r="M90" s="12" t="str">
        <x:v>negative</x:v>
      </x:c>
      <x:c r="N90" s="12"/>
      <x:c r="O90" s="12" t="str">
        <x:v>negative</x:v>
      </x:c>
      <x:c r="P90" s="12" t="str">
        <x:f>IF(OR(M90="unavailable",O90="unavailable"),"不可评价",IF(OR(M90="equivocal",O90="equivocal"),"疑似",IF(AND(M90="positive",O90="positive"),"a",IF(O90="positive","b",IF(M90="positive","c","d")))))</x:f>
        <x:v>d</x:v>
      </x:c>
      <x:c r="Q90" s="12"/>
      <x:c r="R90" s="12" t="str">
        <x:v>negative</x:v>
      </x:c>
      <x:c r="S90" s="12"/>
      <x:c r="T90" s="12" t="str">
        <x:v>negative</x:v>
      </x:c>
      <x:c r="U90" s="12" t="str">
        <x:f>IF(OR(R90="unavailable",T90="unavailable"),"不可评价",IF(OR(R90="equivocal",T90="equivocal"),"疑似",IF(AND(R90="positive",T90="positive"),"a",IF(T90="positive","b",IF(R90="positive","c","d")))))</x:f>
        <x:v>d</x:v>
      </x:c>
      <x:c r="V90" s="12"/>
      <x:c r="W90" s="12" t="str">
        <x:v>negative</x:v>
      </x:c>
      <x:c r="X90" s="12"/>
      <x:c r="Y90" s="12" t="str">
        <x:v>negative</x:v>
      </x:c>
      <x:c r="Z90" s="12" t="str">
        <x:f>IF(OR(W90="unavailable",Y90="unavailable"),"不可评价",IF(OR(W90="equivocal",Y90="equivocal"),"疑似",IF(AND(W90="positive",Y90="positive"),"a",IF(Y90="positive","b",IF(W90="positive","c","d")))))</x:f>
        <x:v>d</x:v>
      </x:c>
      <x:c r="AA90" s="12" t="str">
        <x:f>IF(OR(M90="unavailable",O90="unavailable"),"不可评价",IF(AND(OR(M90="positive",M90="equivocal"),OR(O90="positive",O90="equivocal")),"a",IF(OR(O90="positive",O90="equivocal"),"b",IF(OR(M90="positive",M90="equivocal"),"c","d"))))</x:f>
        <x:v>d</x:v>
      </x:c>
      <x:c r="AB90" s="12" t="str">
        <x:f>IF(OR(M90="unavailable",O90="unavailable"),"不可评价",IF(AND(M90="positive",O90="positive"),"a",IF(O90="positive","b",IF(M90="positive","c","d"))))</x:f>
        <x:v>d</x:v>
      </x:c>
      <x:c r="AC90" s="12" t="str">
        <x:f>IF(OR(R90="unavailable",T90="unavailable"),"不可评价",IF(AND(OR(R90="positive",R90="equivocal"),OR(T90="positive",T90="equivocal")),"a",IF(OR(T90="positive",T90="equivocal"),"b",IF(OR(R90="positive",R90="equivocal"),"c","d"))))</x:f>
        <x:v>d</x:v>
      </x:c>
      <x:c r="AD90" s="12" t="str">
        <x:f>IF(OR(R90="unavailable",T90="unavailable"),"不可评价",IF(AND(R90="positive",T90="positive"),"a",IF(T90="positive","b",IF(R90="positive","c","d"))))</x:f>
        <x:v>d</x:v>
      </x:c>
      <x:c r="AE90" s="12" t="str">
        <x:f>IF(OR(W90="unavailable",Y90="unavailable"),"不可评价",IF(AND(OR(W90="positive",W90="equivocal"),OR(Y90="positive",Y90="equivocal")),"a",IF(OR(Y90="positive",Y90="equivocal"),"b",IF(OR(W90="positive",W90="equivocal"),"c","d"))))</x:f>
        <x:v>d</x:v>
      </x:c>
      <x:c r="AF90" s="12" t="str">
        <x:f>IF(OR(W90="unavailable",Y90="unavailable"),"不可评价",IF(AND(W90="positive",Y90="positive"),"a",IF(Y90="positive","b",IF(W90="positive","c","d"))))</x:f>
        <x:v>d</x:v>
      </x:c>
    </x:row>
    <x:row r="91" ht="24" customHeight="1">
      <x:c r="A91" s="12" t="str">
        <x:v>707</x:v>
      </x:c>
      <x:c r="B91" s="12" t="str">
        <x:v>962</x:v>
      </x:c>
      <x:c r="C91" s="21" t="n">
        <x:v>31898.42564814815</x:v>
      </x:c>
      <x:c r="D91" s="12" t="n">
        <x:v>69</x:v>
      </x:c>
      <x:c r="E91" s="12" t="n">
        <x:v>1</x:v>
      </x:c>
      <x:c r="F91" s="12" t="str">
        <x:v>未记录</x:v>
      </x:c>
      <x:c r="G91" s="12" t="n">
        <x:v>1</x:v>
      </x:c>
      <x:c r="H91" s="12" t="str">
        <x:v>{'NDT': 100.0, 'SR': 0.0}</x:v>
      </x:c>
      <x:c r="I91" s="12" t="str">
        <x:v>[('NSR', 100.0), ('NML', 100.0)]</x:v>
      </x:c>
      <x:c r="J91" s="12" t="str">
        <x:v>ptbxl_database.csv；ecg_id=707；scp_codes</x:v>
      </x:c>
      <x:c r="K91" s="12" t="str">
        <x:v>12sl_statements.csv；ecg_id=707；statements_ext_snomed</x:v>
      </x:c>
      <x:c r="L91" s="12"/>
      <x:c r="M91" s="12" t="str">
        <x:v>negative</x:v>
      </x:c>
      <x:c r="N91" s="12"/>
      <x:c r="O91" s="12" t="str">
        <x:v>negative</x:v>
      </x:c>
      <x:c r="P91" s="12" t="str">
        <x:f>IF(OR(M91="unavailable",O91="unavailable"),"不可评价",IF(OR(M91="equivocal",O91="equivocal"),"疑似",IF(AND(M91="positive",O91="positive"),"a",IF(O91="positive","b",IF(M91="positive","c","d")))))</x:f>
        <x:v>d</x:v>
      </x:c>
      <x:c r="Q91" s="12"/>
      <x:c r="R91" s="12" t="str">
        <x:v>negative</x:v>
      </x:c>
      <x:c r="S91" s="12"/>
      <x:c r="T91" s="12" t="str">
        <x:v>negative</x:v>
      </x:c>
      <x:c r="U91" s="12" t="str">
        <x:f>IF(OR(R91="unavailable",T91="unavailable"),"不可评价",IF(OR(R91="equivocal",T91="equivocal"),"疑似",IF(AND(R91="positive",T91="positive"),"a",IF(T91="positive","b",IF(R91="positive","c","d")))))</x:f>
        <x:v>d</x:v>
      </x:c>
      <x:c r="V91" s="12"/>
      <x:c r="W91" s="12" t="str">
        <x:v>negative</x:v>
      </x:c>
      <x:c r="X91" s="12"/>
      <x:c r="Y91" s="12" t="str">
        <x:v>negative</x:v>
      </x:c>
      <x:c r="Z91" s="12" t="str">
        <x:f>IF(OR(W91="unavailable",Y91="unavailable"),"不可评价",IF(OR(W91="equivocal",Y91="equivocal"),"疑似",IF(AND(W91="positive",Y91="positive"),"a",IF(Y91="positive","b",IF(W91="positive","c","d")))))</x:f>
        <x:v>d</x:v>
      </x:c>
      <x:c r="AA91" s="12" t="str">
        <x:f>IF(OR(M91="unavailable",O91="unavailable"),"不可评价",IF(AND(OR(M91="positive",M91="equivocal"),OR(O91="positive",O91="equivocal")),"a",IF(OR(O91="positive",O91="equivocal"),"b",IF(OR(M91="positive",M91="equivocal"),"c","d"))))</x:f>
        <x:v>d</x:v>
      </x:c>
      <x:c r="AB91" s="12" t="str">
        <x:f>IF(OR(M91="unavailable",O91="unavailable"),"不可评价",IF(AND(M91="positive",O91="positive"),"a",IF(O91="positive","b",IF(M91="positive","c","d"))))</x:f>
        <x:v>d</x:v>
      </x:c>
      <x:c r="AC91" s="12" t="str">
        <x:f>IF(OR(R91="unavailable",T91="unavailable"),"不可评价",IF(AND(OR(R91="positive",R91="equivocal"),OR(T91="positive",T91="equivocal")),"a",IF(OR(T91="positive",T91="equivocal"),"b",IF(OR(R91="positive",R91="equivocal"),"c","d"))))</x:f>
        <x:v>d</x:v>
      </x:c>
      <x:c r="AD91" s="12" t="str">
        <x:f>IF(OR(R91="unavailable",T91="unavailable"),"不可评价",IF(AND(R91="positive",T91="positive"),"a",IF(T91="positive","b",IF(R91="positive","c","d"))))</x:f>
        <x:v>d</x:v>
      </x:c>
      <x:c r="AE91" s="12" t="str">
        <x:f>IF(OR(W91="unavailable",Y91="unavailable"),"不可评价",IF(AND(OR(W91="positive",W91="equivocal"),OR(Y91="positive",Y91="equivocal")),"a",IF(OR(Y91="positive",Y91="equivocal"),"b",IF(OR(W91="positive",W91="equivocal"),"c","d"))))</x:f>
        <x:v>d</x:v>
      </x:c>
      <x:c r="AF91" s="12" t="str">
        <x:f>IF(OR(W91="unavailable",Y91="unavailable"),"不可评价",IF(AND(W91="positive",Y91="positive"),"a",IF(Y91="positive","b",IF(W91="positive","c","d"))))</x:f>
        <x:v>d</x:v>
      </x:c>
    </x:row>
    <x:row r="92" ht="24" customHeight="1">
      <x:c r="A92" s="12" t="str">
        <x:v>723</x:v>
      </x:c>
      <x:c r="B92" s="12" t="str">
        <x:v>1290</x:v>
      </x:c>
      <x:c r="C92" s="21" t="n">
        <x:v>31899.846840277776</x:v>
      </x:c>
      <x:c r="D92" s="12" t="n">
        <x:v>71</x:v>
      </x:c>
      <x:c r="E92" s="12" t="n">
        <x:v>0</x:v>
      </x:c>
      <x:c r="F92" s="12" t="str">
        <x:v>未记录</x:v>
      </x:c>
      <x:c r="G92" s="12" t="n">
        <x:v>1</x:v>
      </x:c>
      <x:c r="H92" s="12" t="str">
        <x:v>{'ASMI': 100.0, 'ISCIN': 100.0, 'SR': 0.0}</x:v>
      </x:c>
      <x:c r="I92" s="12" t="str">
        <x:v>[('NSR', 100.0), ('IRBBB', 100.0), ('SMI;AU', 100.0), ('AB', 100.0)]</x:v>
      </x:c>
      <x:c r="J92" s="12" t="str">
        <x:v>ptbxl_database.csv；ecg_id=723；scp_codes</x:v>
      </x:c>
      <x:c r="K92" s="12" t="str">
        <x:v>12sl_statements.csv；ecg_id=723；statements_ext_snomed</x:v>
      </x:c>
      <x:c r="L92" s="12"/>
      <x:c r="M92" s="12" t="str">
        <x:v>negative</x:v>
      </x:c>
      <x:c r="N92" s="12"/>
      <x:c r="O92" s="12" t="str">
        <x:v>negative</x:v>
      </x:c>
      <x:c r="P92" s="12" t="str">
        <x:f>IF(OR(M92="unavailable",O92="unavailable"),"不可评价",IF(OR(M92="equivocal",O92="equivocal"),"疑似",IF(AND(M92="positive",O92="positive"),"a",IF(O92="positive","b",IF(M92="positive","c","d")))))</x:f>
        <x:v>d</x:v>
      </x:c>
      <x:c r="Q92" s="12"/>
      <x:c r="R92" s="12" t="str">
        <x:v>negative</x:v>
      </x:c>
      <x:c r="S92" s="12"/>
      <x:c r="T92" s="12" t="str">
        <x:v>negative</x:v>
      </x:c>
      <x:c r="U92" s="12" t="str">
        <x:f>IF(OR(R92="unavailable",T92="unavailable"),"不可评价",IF(OR(R92="equivocal",T92="equivocal"),"疑似",IF(AND(R92="positive",T92="positive"),"a",IF(T92="positive","b",IF(R92="positive","c","d")))))</x:f>
        <x:v>d</x:v>
      </x:c>
      <x:c r="V92" s="12"/>
      <x:c r="W92" s="12" t="str">
        <x:v>negative</x:v>
      </x:c>
      <x:c r="X92" s="12"/>
      <x:c r="Y92" s="12" t="str">
        <x:v>negative</x:v>
      </x:c>
      <x:c r="Z92" s="12" t="str">
        <x:f>IF(OR(W92="unavailable",Y92="unavailable"),"不可评价",IF(OR(W92="equivocal",Y92="equivocal"),"疑似",IF(AND(W92="positive",Y92="positive"),"a",IF(Y92="positive","b",IF(W92="positive","c","d")))))</x:f>
        <x:v>d</x:v>
      </x:c>
      <x:c r="AA92" s="12" t="str">
        <x:f>IF(OR(M92="unavailable",O92="unavailable"),"不可评价",IF(AND(OR(M92="positive",M92="equivocal"),OR(O92="positive",O92="equivocal")),"a",IF(OR(O92="positive",O92="equivocal"),"b",IF(OR(M92="positive",M92="equivocal"),"c","d"))))</x:f>
        <x:v>d</x:v>
      </x:c>
      <x:c r="AB92" s="12" t="str">
        <x:f>IF(OR(M92="unavailable",O92="unavailable"),"不可评价",IF(AND(M92="positive",O92="positive"),"a",IF(O92="positive","b",IF(M92="positive","c","d"))))</x:f>
        <x:v>d</x:v>
      </x:c>
      <x:c r="AC92" s="12" t="str">
        <x:f>IF(OR(R92="unavailable",T92="unavailable"),"不可评价",IF(AND(OR(R92="positive",R92="equivocal"),OR(T92="positive",T92="equivocal")),"a",IF(OR(T92="positive",T92="equivocal"),"b",IF(OR(R92="positive",R92="equivocal"),"c","d"))))</x:f>
        <x:v>d</x:v>
      </x:c>
      <x:c r="AD92" s="12" t="str">
        <x:f>IF(OR(R92="unavailable",T92="unavailable"),"不可评价",IF(AND(R92="positive",T92="positive"),"a",IF(T92="positive","b",IF(R92="positive","c","d"))))</x:f>
        <x:v>d</x:v>
      </x:c>
      <x:c r="AE92" s="12" t="str">
        <x:f>IF(OR(W92="unavailable",Y92="unavailable"),"不可评价",IF(AND(OR(W92="positive",W92="equivocal"),OR(Y92="positive",Y92="equivocal")),"a",IF(OR(Y92="positive",Y92="equivocal"),"b",IF(OR(W92="positive",W92="equivocal"),"c","d"))))</x:f>
        <x:v>d</x:v>
      </x:c>
      <x:c r="AF92" s="12" t="str">
        <x:f>IF(OR(W92="unavailable",Y92="unavailable"),"不可评价",IF(AND(W92="positive",Y92="positive"),"a",IF(Y92="positive","b",IF(W92="positive","c","d"))))</x:f>
        <x:v>d</x:v>
      </x:c>
    </x:row>
    <x:row r="93" ht="24" customHeight="1">
      <x:c r="A93" s="12" t="str">
        <x:v>726</x:v>
      </x:c>
      <x:c r="B93" s="12" t="str">
        <x:v>3280</x:v>
      </x:c>
      <x:c r="C93" s="21" t="n">
        <x:v>31900.464594907407</x:v>
      </x:c>
      <x:c r="D93" s="12" t="n">
        <x:v>60</x:v>
      </x:c>
      <x:c r="E93" s="12" t="n">
        <x:v>1</x:v>
      </x:c>
      <x:c r="F93" s="12" t="str">
        <x:v>未记录</x:v>
      </x:c>
      <x:c r="G93" s="12" t="n">
        <x:v>1</x:v>
      </x:c>
      <x:c r="H93" s="12" t="str">
        <x:v>{'NORM': 100.0, 'IRBBB': 100.0, 'LAFB': 100.0, 'SR': 0.0}</x:v>
      </x:c>
      <x:c r="I93" s="12" t="str">
        <x:v>[('NSR', 100.0), ('NML', 100.0)]</x:v>
      </x:c>
      <x:c r="J93" s="12" t="str">
        <x:v>ptbxl_database.csv；ecg_id=726；scp_codes</x:v>
      </x:c>
      <x:c r="K93" s="12" t="str">
        <x:v>12sl_statements.csv；ecg_id=726；statements_ext_snomed</x:v>
      </x:c>
      <x:c r="L93" s="12"/>
      <x:c r="M93" s="12" t="str">
        <x:v>negative</x:v>
      </x:c>
      <x:c r="N93" s="12"/>
      <x:c r="O93" s="12" t="str">
        <x:v>negative</x:v>
      </x:c>
      <x:c r="P93" s="12" t="str">
        <x:f>IF(OR(M93="unavailable",O93="unavailable"),"不可评价",IF(OR(M93="equivocal",O93="equivocal"),"疑似",IF(AND(M93="positive",O93="positive"),"a",IF(O93="positive","b",IF(M93="positive","c","d")))))</x:f>
        <x:v>d</x:v>
      </x:c>
      <x:c r="Q93" s="12"/>
      <x:c r="R93" s="12" t="str">
        <x:v>negative</x:v>
      </x:c>
      <x:c r="S93" s="12"/>
      <x:c r="T93" s="12" t="str">
        <x:v>negative</x:v>
      </x:c>
      <x:c r="U93" s="12" t="str">
        <x:f>IF(OR(R93="unavailable",T93="unavailable"),"不可评价",IF(OR(R93="equivocal",T93="equivocal"),"疑似",IF(AND(R93="positive",T93="positive"),"a",IF(T93="positive","b",IF(R93="positive","c","d")))))</x:f>
        <x:v>d</x:v>
      </x:c>
      <x:c r="V93" s="12"/>
      <x:c r="W93" s="12" t="str">
        <x:v>negative</x:v>
      </x:c>
      <x:c r="X93" s="12"/>
      <x:c r="Y93" s="12" t="str">
        <x:v>negative</x:v>
      </x:c>
      <x:c r="Z93" s="12" t="str">
        <x:f>IF(OR(W93="unavailable",Y93="unavailable"),"不可评价",IF(OR(W93="equivocal",Y93="equivocal"),"疑似",IF(AND(W93="positive",Y93="positive"),"a",IF(Y93="positive","b",IF(W93="positive","c","d")))))</x:f>
        <x:v>d</x:v>
      </x:c>
      <x:c r="AA93" s="12" t="str">
        <x:f>IF(OR(M93="unavailable",O93="unavailable"),"不可评价",IF(AND(OR(M93="positive",M93="equivocal"),OR(O93="positive",O93="equivocal")),"a",IF(OR(O93="positive",O93="equivocal"),"b",IF(OR(M93="positive",M93="equivocal"),"c","d"))))</x:f>
        <x:v>d</x:v>
      </x:c>
      <x:c r="AB93" s="12" t="str">
        <x:f>IF(OR(M93="unavailable",O93="unavailable"),"不可评价",IF(AND(M93="positive",O93="positive"),"a",IF(O93="positive","b",IF(M93="positive","c","d"))))</x:f>
        <x:v>d</x:v>
      </x:c>
      <x:c r="AC93" s="12" t="str">
        <x:f>IF(OR(R93="unavailable",T93="unavailable"),"不可评价",IF(AND(OR(R93="positive",R93="equivocal"),OR(T93="positive",T93="equivocal")),"a",IF(OR(T93="positive",T93="equivocal"),"b",IF(OR(R93="positive",R93="equivocal"),"c","d"))))</x:f>
        <x:v>d</x:v>
      </x:c>
      <x:c r="AD93" s="12" t="str">
        <x:f>IF(OR(R93="unavailable",T93="unavailable"),"不可评价",IF(AND(R93="positive",T93="positive"),"a",IF(T93="positive","b",IF(R93="positive","c","d"))))</x:f>
        <x:v>d</x:v>
      </x:c>
      <x:c r="AE93" s="12" t="str">
        <x:f>IF(OR(W93="unavailable",Y93="unavailable"),"不可评价",IF(AND(OR(W93="positive",W93="equivocal"),OR(Y93="positive",Y93="equivocal")),"a",IF(OR(Y93="positive",Y93="equivocal"),"b",IF(OR(W93="positive",W93="equivocal"),"c","d"))))</x:f>
        <x:v>d</x:v>
      </x:c>
      <x:c r="AF93" s="12" t="str">
        <x:f>IF(OR(W93="unavailable",Y93="unavailable"),"不可评价",IF(AND(W93="positive",Y93="positive"),"a",IF(Y93="positive","b",IF(W93="positive","c","d"))))</x:f>
        <x:v>d</x:v>
      </x:c>
    </x:row>
    <x:row r="94" ht="24" customHeight="1">
      <x:c r="A94" s="12" t="str">
        <x:v>732</x:v>
      </x:c>
      <x:c r="B94" s="12" t="str">
        <x:v>3289</x:v>
      </x:c>
      <x:c r="C94" s="21" t="n">
        <x:v>31903.35340277778</x:v>
      </x:c>
      <x:c r="D94" s="12" t="n">
        <x:v>49</x:v>
      </x:c>
      <x:c r="E94" s="12" t="n">
        <x:v>1</x:v>
      </x:c>
      <x:c r="F94" s="12" t="str">
        <x:v>未记录</x:v>
      </x:c>
      <x:c r="G94" s="12" t="n">
        <x:v>1</x:v>
      </x:c>
      <x:c r="H94" s="12" t="str">
        <x:v>{'NORM': 100.0, 'SR': 0.0}</x:v>
      </x:c>
      <x:c r="I94" s="12" t="str">
        <x:v>[('NSR', 100.0), ('NML', 100.0)]</x:v>
      </x:c>
      <x:c r="J94" s="12" t="str">
        <x:v>ptbxl_database.csv；ecg_id=732；scp_codes</x:v>
      </x:c>
      <x:c r="K94" s="12" t="str">
        <x:v>12sl_statements.csv；ecg_id=732；statements_ext_snomed</x:v>
      </x:c>
      <x:c r="L94" s="12"/>
      <x:c r="M94" s="12" t="str">
        <x:v>negative</x:v>
      </x:c>
      <x:c r="N94" s="12"/>
      <x:c r="O94" s="12" t="str">
        <x:v>negative</x:v>
      </x:c>
      <x:c r="P94" s="12" t="str">
        <x:f>IF(OR(M94="unavailable",O94="unavailable"),"不可评价",IF(OR(M94="equivocal",O94="equivocal"),"疑似",IF(AND(M94="positive",O94="positive"),"a",IF(O94="positive","b",IF(M94="positive","c","d")))))</x:f>
        <x:v>d</x:v>
      </x:c>
      <x:c r="Q94" s="12"/>
      <x:c r="R94" s="12" t="str">
        <x:v>negative</x:v>
      </x:c>
      <x:c r="S94" s="12"/>
      <x:c r="T94" s="12" t="str">
        <x:v>negative</x:v>
      </x:c>
      <x:c r="U94" s="12" t="str">
        <x:f>IF(OR(R94="unavailable",T94="unavailable"),"不可评价",IF(OR(R94="equivocal",T94="equivocal"),"疑似",IF(AND(R94="positive",T94="positive"),"a",IF(T94="positive","b",IF(R94="positive","c","d")))))</x:f>
        <x:v>d</x:v>
      </x:c>
      <x:c r="V94" s="12"/>
      <x:c r="W94" s="12" t="str">
        <x:v>negative</x:v>
      </x:c>
      <x:c r="X94" s="12"/>
      <x:c r="Y94" s="12" t="str">
        <x:v>negative</x:v>
      </x:c>
      <x:c r="Z94" s="12" t="str">
        <x:f>IF(OR(W94="unavailable",Y94="unavailable"),"不可评价",IF(OR(W94="equivocal",Y94="equivocal"),"疑似",IF(AND(W94="positive",Y94="positive"),"a",IF(Y94="positive","b",IF(W94="positive","c","d")))))</x:f>
        <x:v>d</x:v>
      </x:c>
      <x:c r="AA94" s="12" t="str">
        <x:f>IF(OR(M94="unavailable",O94="unavailable"),"不可评价",IF(AND(OR(M94="positive",M94="equivocal"),OR(O94="positive",O94="equivocal")),"a",IF(OR(O94="positive",O94="equivocal"),"b",IF(OR(M94="positive",M94="equivocal"),"c","d"))))</x:f>
        <x:v>d</x:v>
      </x:c>
      <x:c r="AB94" s="12" t="str">
        <x:f>IF(OR(M94="unavailable",O94="unavailable"),"不可评价",IF(AND(M94="positive",O94="positive"),"a",IF(O94="positive","b",IF(M94="positive","c","d"))))</x:f>
        <x:v>d</x:v>
      </x:c>
      <x:c r="AC94" s="12" t="str">
        <x:f>IF(OR(R94="unavailable",T94="unavailable"),"不可评价",IF(AND(OR(R94="positive",R94="equivocal"),OR(T94="positive",T94="equivocal")),"a",IF(OR(T94="positive",T94="equivocal"),"b",IF(OR(R94="positive",R94="equivocal"),"c","d"))))</x:f>
        <x:v>d</x:v>
      </x:c>
      <x:c r="AD94" s="12" t="str">
        <x:f>IF(OR(R94="unavailable",T94="unavailable"),"不可评价",IF(AND(R94="positive",T94="positive"),"a",IF(T94="positive","b",IF(R94="positive","c","d"))))</x:f>
        <x:v>d</x:v>
      </x:c>
      <x:c r="AE94" s="12" t="str">
        <x:f>IF(OR(W94="unavailable",Y94="unavailable"),"不可评价",IF(AND(OR(W94="positive",W94="equivocal"),OR(Y94="positive",Y94="equivocal")),"a",IF(OR(Y94="positive",Y94="equivocal"),"b",IF(OR(W94="positive",W94="equivocal"),"c","d"))))</x:f>
        <x:v>d</x:v>
      </x:c>
      <x:c r="AF94" s="12" t="str">
        <x:f>IF(OR(W94="unavailable",Y94="unavailable"),"不可评价",IF(AND(W94="positive",Y94="positive"),"a",IF(Y94="positive","b",IF(W94="positive","c","d"))))</x:f>
        <x:v>d</x:v>
      </x:c>
    </x:row>
    <x:row r="95" ht="24" customHeight="1">
      <x:c r="A95" s="12" t="str">
        <x:v>751</x:v>
      </x:c>
      <x:c r="B95" s="12" t="str">
        <x:v>419</x:v>
      </x:c>
      <x:c r="C95" s="21" t="n">
        <x:v>31904.752962962964</x:v>
      </x:c>
      <x:c r="D95" s="12" t="n">
        <x:v>64</x:v>
      </x:c>
      <x:c r="E95" s="12" t="n">
        <x:v>0</x:v>
      </x:c>
      <x:c r="F95" s="12" t="str">
        <x:v>未记录</x:v>
      </x:c>
      <x:c r="G95" s="12" t="n">
        <x:v>1</x:v>
      </x:c>
      <x:c r="H95" s="12" t="str">
        <x:v>{'NORM': 100.0, 'SR': 0.0}</x:v>
      </x:c>
      <x:c r="I95" s="12" t="str">
        <x:v>[('NSR', 100.0), ('NML', 100.0)]</x:v>
      </x:c>
      <x:c r="J95" s="12" t="str">
        <x:v>ptbxl_database.csv；ecg_id=751；scp_codes</x:v>
      </x:c>
      <x:c r="K95" s="12" t="str">
        <x:v>12sl_statements.csv；ecg_id=751；statements_ext_snomed</x:v>
      </x:c>
      <x:c r="L95" s="12"/>
      <x:c r="M95" s="12" t="str">
        <x:v>negative</x:v>
      </x:c>
      <x:c r="N95" s="12"/>
      <x:c r="O95" s="12" t="str">
        <x:v>negative</x:v>
      </x:c>
      <x:c r="P95" s="12" t="str">
        <x:f>IF(OR(M95="unavailable",O95="unavailable"),"不可评价",IF(OR(M95="equivocal",O95="equivocal"),"疑似",IF(AND(M95="positive",O95="positive"),"a",IF(O95="positive","b",IF(M95="positive","c","d")))))</x:f>
        <x:v>d</x:v>
      </x:c>
      <x:c r="Q95" s="12"/>
      <x:c r="R95" s="12" t="str">
        <x:v>negative</x:v>
      </x:c>
      <x:c r="S95" s="12"/>
      <x:c r="T95" s="12" t="str">
        <x:v>negative</x:v>
      </x:c>
      <x:c r="U95" s="12" t="str">
        <x:f>IF(OR(R95="unavailable",T95="unavailable"),"不可评价",IF(OR(R95="equivocal",T95="equivocal"),"疑似",IF(AND(R95="positive",T95="positive"),"a",IF(T95="positive","b",IF(R95="positive","c","d")))))</x:f>
        <x:v>d</x:v>
      </x:c>
      <x:c r="V95" s="12"/>
      <x:c r="W95" s="12" t="str">
        <x:v>negative</x:v>
      </x:c>
      <x:c r="X95" s="12"/>
      <x:c r="Y95" s="12" t="str">
        <x:v>negative</x:v>
      </x:c>
      <x:c r="Z95" s="12" t="str">
        <x:f>IF(OR(W95="unavailable",Y95="unavailable"),"不可评价",IF(OR(W95="equivocal",Y95="equivocal"),"疑似",IF(AND(W95="positive",Y95="positive"),"a",IF(Y95="positive","b",IF(W95="positive","c","d")))))</x:f>
        <x:v>d</x:v>
      </x:c>
      <x:c r="AA95" s="12" t="str">
        <x:f>IF(OR(M95="unavailable",O95="unavailable"),"不可评价",IF(AND(OR(M95="positive",M95="equivocal"),OR(O95="positive",O95="equivocal")),"a",IF(OR(O95="positive",O95="equivocal"),"b",IF(OR(M95="positive",M95="equivocal"),"c","d"))))</x:f>
        <x:v>d</x:v>
      </x:c>
      <x:c r="AB95" s="12" t="str">
        <x:f>IF(OR(M95="unavailable",O95="unavailable"),"不可评价",IF(AND(M95="positive",O95="positive"),"a",IF(O95="positive","b",IF(M95="positive","c","d"))))</x:f>
        <x:v>d</x:v>
      </x:c>
      <x:c r="AC95" s="12" t="str">
        <x:f>IF(OR(R95="unavailable",T95="unavailable"),"不可评价",IF(AND(OR(R95="positive",R95="equivocal"),OR(T95="positive",T95="equivocal")),"a",IF(OR(T95="positive",T95="equivocal"),"b",IF(OR(R95="positive",R95="equivocal"),"c","d"))))</x:f>
        <x:v>d</x:v>
      </x:c>
      <x:c r="AD95" s="12" t="str">
        <x:f>IF(OR(R95="unavailable",T95="unavailable"),"不可评价",IF(AND(R95="positive",T95="positive"),"a",IF(T95="positive","b",IF(R95="positive","c","d"))))</x:f>
        <x:v>d</x:v>
      </x:c>
      <x:c r="AE95" s="12" t="str">
        <x:f>IF(OR(W95="unavailable",Y95="unavailable"),"不可评价",IF(AND(OR(W95="positive",W95="equivocal"),OR(Y95="positive",Y95="equivocal")),"a",IF(OR(Y95="positive",Y95="equivocal"),"b",IF(OR(W95="positive",W95="equivocal"),"c","d"))))</x:f>
        <x:v>d</x:v>
      </x:c>
      <x:c r="AF95" s="12" t="str">
        <x:f>IF(OR(W95="unavailable",Y95="unavailable"),"不可评价",IF(AND(W95="positive",Y95="positive"),"a",IF(Y95="positive","b",IF(W95="positive","c","d"))))</x:f>
        <x:v>d</x:v>
      </x:c>
    </x:row>
    <x:row r="96" ht="24" customHeight="1">
      <x:c r="A96" s="12" t="str">
        <x:v>756</x:v>
      </x:c>
      <x:c r="B96" s="12" t="str">
        <x:v>4037</x:v>
      </x:c>
      <x:c r="C96" s="21" t="n">
        <x:v>31905.587905092594</x:v>
      </x:c>
      <x:c r="D96" s="12" t="n">
        <x:v>70</x:v>
      </x:c>
      <x:c r="E96" s="12" t="n">
        <x:v>1</x:v>
      </x:c>
      <x:c r="F96" s="12" t="str">
        <x:v>存在</x:v>
      </x:c>
      <x:c r="G96" s="12" t="n">
        <x:v>1</x:v>
      </x:c>
      <x:c r="H96" s="12" t="str">
        <x:v>{'NST_': 100.0, 'PAC': 0.0, 'STD_': 0.0, 'SR': 0.0}</x:v>
      </x:c>
      <x:c r="I96" s="12" t="str">
        <x:v>[('NSR', 100.0), ('SAR', 100.0), ('IMI;AU', 100.0), ('AB', 100.0)]</x:v>
      </x:c>
      <x:c r="J96" s="12" t="str">
        <x:v>ptbxl_database.csv；ecg_id=756；scp_codes</x:v>
      </x:c>
      <x:c r="K96" s="12" t="str">
        <x:v>12sl_statements.csv；ecg_id=756；statements_ext_snomed</x:v>
      </x:c>
      <x:c r="L96" s="12"/>
      <x:c r="M96" s="12" t="str">
        <x:v>negative</x:v>
      </x:c>
      <x:c r="N96" s="12"/>
      <x:c r="O96" s="12" t="str">
        <x:v>negative</x:v>
      </x:c>
      <x:c r="P96" s="12" t="str">
        <x:f>IF(OR(M96="unavailable",O96="unavailable"),"不可评价",IF(OR(M96="equivocal",O96="equivocal"),"疑似",IF(AND(M96="positive",O96="positive"),"a",IF(O96="positive","b",IF(M96="positive","c","d")))))</x:f>
        <x:v>d</x:v>
      </x:c>
      <x:c r="Q96" s="12"/>
      <x:c r="R96" s="12" t="str">
        <x:v>negative</x:v>
      </x:c>
      <x:c r="S96" s="12"/>
      <x:c r="T96" s="12" t="str">
        <x:v>negative</x:v>
      </x:c>
      <x:c r="U96" s="12" t="str">
        <x:f>IF(OR(R96="unavailable",T96="unavailable"),"不可评价",IF(OR(R96="equivocal",T96="equivocal"),"疑似",IF(AND(R96="positive",T96="positive"),"a",IF(T96="positive","b",IF(R96="positive","c","d")))))</x:f>
        <x:v>d</x:v>
      </x:c>
      <x:c r="V96" s="12"/>
      <x:c r="W96" s="12" t="str">
        <x:v>negative</x:v>
      </x:c>
      <x:c r="X96" s="12"/>
      <x:c r="Y96" s="12" t="str">
        <x:v>negative</x:v>
      </x:c>
      <x:c r="Z96" s="12" t="str">
        <x:f>IF(OR(W96="unavailable",Y96="unavailable"),"不可评价",IF(OR(W96="equivocal",Y96="equivocal"),"疑似",IF(AND(W96="positive",Y96="positive"),"a",IF(Y96="positive","b",IF(W96="positive","c","d")))))</x:f>
        <x:v>d</x:v>
      </x:c>
      <x:c r="AA96" s="12" t="str">
        <x:f>IF(OR(M96="unavailable",O96="unavailable"),"不可评价",IF(AND(OR(M96="positive",M96="equivocal"),OR(O96="positive",O96="equivocal")),"a",IF(OR(O96="positive",O96="equivocal"),"b",IF(OR(M96="positive",M96="equivocal"),"c","d"))))</x:f>
        <x:v>d</x:v>
      </x:c>
      <x:c r="AB96" s="12" t="str">
        <x:f>IF(OR(M96="unavailable",O96="unavailable"),"不可评价",IF(AND(M96="positive",O96="positive"),"a",IF(O96="positive","b",IF(M96="positive","c","d"))))</x:f>
        <x:v>d</x:v>
      </x:c>
      <x:c r="AC96" s="12" t="str">
        <x:f>IF(OR(R96="unavailable",T96="unavailable"),"不可评价",IF(AND(OR(R96="positive",R96="equivocal"),OR(T96="positive",T96="equivocal")),"a",IF(OR(T96="positive",T96="equivocal"),"b",IF(OR(R96="positive",R96="equivocal"),"c","d"))))</x:f>
        <x:v>d</x:v>
      </x:c>
      <x:c r="AD96" s="12" t="str">
        <x:f>IF(OR(R96="unavailable",T96="unavailable"),"不可评价",IF(AND(R96="positive",T96="positive"),"a",IF(T96="positive","b",IF(R96="positive","c","d"))))</x:f>
        <x:v>d</x:v>
      </x:c>
      <x:c r="AE96" s="12" t="str">
        <x:f>IF(OR(W96="unavailable",Y96="unavailable"),"不可评价",IF(AND(OR(W96="positive",W96="equivocal"),OR(Y96="positive",Y96="equivocal")),"a",IF(OR(Y96="positive",Y96="equivocal"),"b",IF(OR(W96="positive",W96="equivocal"),"c","d"))))</x:f>
        <x:v>d</x:v>
      </x:c>
      <x:c r="AF96" s="12" t="str">
        <x:f>IF(OR(W96="unavailable",Y96="unavailable"),"不可评价",IF(AND(W96="positive",Y96="positive"),"a",IF(Y96="positive","b",IF(W96="positive","c","d"))))</x:f>
        <x:v>d</x:v>
      </x:c>
    </x:row>
    <x:row r="97" ht="24" customHeight="1">
      <x:c r="A97" s="12" t="str">
        <x:v>758</x:v>
      </x:c>
      <x:c r="B97" s="12" t="str">
        <x:v>419</x:v>
      </x:c>
      <x:c r="C97" s="21" t="n">
        <x:v>31905.624282407407</x:v>
      </x:c>
      <x:c r="D97" s="12" t="n">
        <x:v>64</x:v>
      </x:c>
      <x:c r="E97" s="12" t="n">
        <x:v>0</x:v>
      </x:c>
      <x:c r="F97" s="12" t="str">
        <x:v>未记录</x:v>
      </x:c>
      <x:c r="G97" s="12" t="n">
        <x:v>0</x:v>
      </x:c>
      <x:c r="H97" s="12" t="str">
        <x:v>{'NORM': 100.0, 'SR': 0.0}</x:v>
      </x:c>
      <x:c r="I97" s="12" t="str">
        <x:v>[('SBRAD', 100.0), ('ABR', 100.0)]</x:v>
      </x:c>
      <x:c r="J97" s="12" t="str">
        <x:v>ptbxl_database.csv；ecg_id=758；scp_codes</x:v>
      </x:c>
      <x:c r="K97" s="12" t="str">
        <x:v>12sl_statements.csv；ecg_id=758；statements_ext_snomed</x:v>
      </x:c>
      <x:c r="L97" s="12"/>
      <x:c r="M97" s="12" t="str">
        <x:v>negative</x:v>
      </x:c>
      <x:c r="N97" s="12"/>
      <x:c r="O97" s="12" t="str">
        <x:v>negative</x:v>
      </x:c>
      <x:c r="P97" s="12" t="str">
        <x:f>IF(OR(M97="unavailable",O97="unavailable"),"不可评价",IF(OR(M97="equivocal",O97="equivocal"),"疑似",IF(AND(M97="positive",O97="positive"),"a",IF(O97="positive","b",IF(M97="positive","c","d")))))</x:f>
        <x:v>d</x:v>
      </x:c>
      <x:c r="Q97" s="12"/>
      <x:c r="R97" s="12" t="str">
        <x:v>negative</x:v>
      </x:c>
      <x:c r="S97" s="12"/>
      <x:c r="T97" s="12" t="str">
        <x:v>negative</x:v>
      </x:c>
      <x:c r="U97" s="12" t="str">
        <x:f>IF(OR(R97="unavailable",T97="unavailable"),"不可评价",IF(OR(R97="equivocal",T97="equivocal"),"疑似",IF(AND(R97="positive",T97="positive"),"a",IF(T97="positive","b",IF(R97="positive","c","d")))))</x:f>
        <x:v>d</x:v>
      </x:c>
      <x:c r="V97" s="12"/>
      <x:c r="W97" s="12" t="str">
        <x:v>negative</x:v>
      </x:c>
      <x:c r="X97" s="12"/>
      <x:c r="Y97" s="12" t="str">
        <x:v>negative</x:v>
      </x:c>
      <x:c r="Z97" s="12" t="str">
        <x:f>IF(OR(W97="unavailable",Y97="unavailable"),"不可评价",IF(OR(W97="equivocal",Y97="equivocal"),"疑似",IF(AND(W97="positive",Y97="positive"),"a",IF(Y97="positive","b",IF(W97="positive","c","d")))))</x:f>
        <x:v>d</x:v>
      </x:c>
      <x:c r="AA97" s="12" t="str">
        <x:f>IF(OR(M97="unavailable",O97="unavailable"),"不可评价",IF(AND(OR(M97="positive",M97="equivocal"),OR(O97="positive",O97="equivocal")),"a",IF(OR(O97="positive",O97="equivocal"),"b",IF(OR(M97="positive",M97="equivocal"),"c","d"))))</x:f>
        <x:v>d</x:v>
      </x:c>
      <x:c r="AB97" s="12" t="str">
        <x:f>IF(OR(M97="unavailable",O97="unavailable"),"不可评价",IF(AND(M97="positive",O97="positive"),"a",IF(O97="positive","b",IF(M97="positive","c","d"))))</x:f>
        <x:v>d</x:v>
      </x:c>
      <x:c r="AC97" s="12" t="str">
        <x:f>IF(OR(R97="unavailable",T97="unavailable"),"不可评价",IF(AND(OR(R97="positive",R97="equivocal"),OR(T97="positive",T97="equivocal")),"a",IF(OR(T97="positive",T97="equivocal"),"b",IF(OR(R97="positive",R97="equivocal"),"c","d"))))</x:f>
        <x:v>d</x:v>
      </x:c>
      <x:c r="AD97" s="12" t="str">
        <x:f>IF(OR(R97="unavailable",T97="unavailable"),"不可评价",IF(AND(R97="positive",T97="positive"),"a",IF(T97="positive","b",IF(R97="positive","c","d"))))</x:f>
        <x:v>d</x:v>
      </x:c>
      <x:c r="AE97" s="12" t="str">
        <x:f>IF(OR(W97="unavailable",Y97="unavailable"),"不可评价",IF(AND(OR(W97="positive",W97="equivocal"),OR(Y97="positive",Y97="equivocal")),"a",IF(OR(Y97="positive",Y97="equivocal"),"b",IF(OR(W97="positive",W97="equivocal"),"c","d"))))</x:f>
        <x:v>d</x:v>
      </x:c>
      <x:c r="AF97" s="12" t="str">
        <x:f>IF(OR(W97="unavailable",Y97="unavailable"),"不可评价",IF(AND(W97="positive",Y97="positive"),"a",IF(Y97="positive","b",IF(W97="positive","c","d"))))</x:f>
        <x:v>d</x:v>
      </x:c>
    </x:row>
    <x:row r="98" ht="24" customHeight="1">
      <x:c r="A98" s="12" t="str">
        <x:v>764</x:v>
      </x:c>
      <x:c r="B98" s="12" t="str">
        <x:v>7309</x:v>
      </x:c>
      <x:c r="C98" s="21" t="n">
        <x:v>31906.546921296296</x:v>
      </x:c>
      <x:c r="D98" s="12" t="n">
        <x:v>55</x:v>
      </x:c>
      <x:c r="E98" s="12" t="n">
        <x:v>1</x:v>
      </x:c>
      <x:c r="F98" s="12" t="str">
        <x:v>未记录</x:v>
      </x:c>
      <x:c r="G98" s="12" t="n">
        <x:v>1</x:v>
      </x:c>
      <x:c r="H98" s="12" t="str">
        <x:v>{'NORM': 100.0, 'SR': 0.0}</x:v>
      </x:c>
      <x:c r="I98" s="12" t="str">
        <x:v>[('NSR', 100.0), ('NML', 100.0)]</x:v>
      </x:c>
      <x:c r="J98" s="12" t="str">
        <x:v>ptbxl_database.csv；ecg_id=764；scp_codes</x:v>
      </x:c>
      <x:c r="K98" s="12" t="str">
        <x:v>12sl_statements.csv；ecg_id=764；statements_ext_snomed</x:v>
      </x:c>
      <x:c r="L98" s="12"/>
      <x:c r="M98" s="12" t="str">
        <x:v>negative</x:v>
      </x:c>
      <x:c r="N98" s="12"/>
      <x:c r="O98" s="12" t="str">
        <x:v>negative</x:v>
      </x:c>
      <x:c r="P98" s="12" t="str">
        <x:f>IF(OR(M98="unavailable",O98="unavailable"),"不可评价",IF(OR(M98="equivocal",O98="equivocal"),"疑似",IF(AND(M98="positive",O98="positive"),"a",IF(O98="positive","b",IF(M98="positive","c","d")))))</x:f>
        <x:v>d</x:v>
      </x:c>
      <x:c r="Q98" s="12"/>
      <x:c r="R98" s="12" t="str">
        <x:v>negative</x:v>
      </x:c>
      <x:c r="S98" s="12"/>
      <x:c r="T98" s="12" t="str">
        <x:v>negative</x:v>
      </x:c>
      <x:c r="U98" s="12" t="str">
        <x:f>IF(OR(R98="unavailable",T98="unavailable"),"不可评价",IF(OR(R98="equivocal",T98="equivocal"),"疑似",IF(AND(R98="positive",T98="positive"),"a",IF(T98="positive","b",IF(R98="positive","c","d")))))</x:f>
        <x:v>d</x:v>
      </x:c>
      <x:c r="V98" s="12"/>
      <x:c r="W98" s="12" t="str">
        <x:v>negative</x:v>
      </x:c>
      <x:c r="X98" s="12"/>
      <x:c r="Y98" s="12" t="str">
        <x:v>negative</x:v>
      </x:c>
      <x:c r="Z98" s="12" t="str">
        <x:f>IF(OR(W98="unavailable",Y98="unavailable"),"不可评价",IF(OR(W98="equivocal",Y98="equivocal"),"疑似",IF(AND(W98="positive",Y98="positive"),"a",IF(Y98="positive","b",IF(W98="positive","c","d")))))</x:f>
        <x:v>d</x:v>
      </x:c>
      <x:c r="AA98" s="12" t="str">
        <x:f>IF(OR(M98="unavailable",O98="unavailable"),"不可评价",IF(AND(OR(M98="positive",M98="equivocal"),OR(O98="positive",O98="equivocal")),"a",IF(OR(O98="positive",O98="equivocal"),"b",IF(OR(M98="positive",M98="equivocal"),"c","d"))))</x:f>
        <x:v>d</x:v>
      </x:c>
      <x:c r="AB98" s="12" t="str">
        <x:f>IF(OR(M98="unavailable",O98="unavailable"),"不可评价",IF(AND(M98="positive",O98="positive"),"a",IF(O98="positive","b",IF(M98="positive","c","d"))))</x:f>
        <x:v>d</x:v>
      </x:c>
      <x:c r="AC98" s="12" t="str">
        <x:f>IF(OR(R98="unavailable",T98="unavailable"),"不可评价",IF(AND(OR(R98="positive",R98="equivocal"),OR(T98="positive",T98="equivocal")),"a",IF(OR(T98="positive",T98="equivocal"),"b",IF(OR(R98="positive",R98="equivocal"),"c","d"))))</x:f>
        <x:v>d</x:v>
      </x:c>
      <x:c r="AD98" s="12" t="str">
        <x:f>IF(OR(R98="unavailable",T98="unavailable"),"不可评价",IF(AND(R98="positive",T98="positive"),"a",IF(T98="positive","b",IF(R98="positive","c","d"))))</x:f>
        <x:v>d</x:v>
      </x:c>
      <x:c r="AE98" s="12" t="str">
        <x:f>IF(OR(W98="unavailable",Y98="unavailable"),"不可评价",IF(AND(OR(W98="positive",W98="equivocal"),OR(Y98="positive",Y98="equivocal")),"a",IF(OR(Y98="positive",Y98="equivocal"),"b",IF(OR(W98="positive",W98="equivocal"),"c","d"))))</x:f>
        <x:v>d</x:v>
      </x:c>
      <x:c r="AF98" s="12" t="str">
        <x:f>IF(OR(W98="unavailable",Y98="unavailable"),"不可评价",IF(AND(W98="positive",Y98="positive"),"a",IF(Y98="positive","b",IF(W98="positive","c","d"))))</x:f>
        <x:v>d</x:v>
      </x:c>
    </x:row>
    <x:row r="99" ht="24" customHeight="1">
      <x:c r="A99" s="12" t="str">
        <x:v>765</x:v>
      </x:c>
      <x:c r="B99" s="12" t="str">
        <x:v>3194</x:v>
      </x:c>
      <x:c r="C99" s="21" t="n">
        <x:v>31906.570243055554</x:v>
      </x:c>
      <x:c r="D99" s="12" t="n">
        <x:v>63</x:v>
      </x:c>
      <x:c r="E99" s="12" t="n">
        <x:v>1</x:v>
      </x:c>
      <x:c r="F99" s="12" t="str">
        <x:v>未记录</x:v>
      </x:c>
      <x:c r="G99" s="12" t="n">
        <x:v>1</x:v>
      </x:c>
      <x:c r="H99" s="12" t="str">
        <x:v>{'IMI': 15.0, 'INJAS': 100.0, 'INVT': 0.0, 'SR': 0.0}</x:v>
      </x:c>
      <x:c r="I99" s="12" t="str">
        <x:v>[('SBRAD', 100.0), ('ST&amp;', 100.0), ('AT', 100.0), ('AB', 100.0)]</x:v>
      </x:c>
      <x:c r="J99" s="12" t="str">
        <x:v>ptbxl_database.csv；ecg_id=765；scp_codes</x:v>
      </x:c>
      <x:c r="K99" s="12" t="str">
        <x:v>12sl_statements.csv；ecg_id=765；statements_ext_snomed</x:v>
      </x:c>
      <x:c r="L99" s="12"/>
      <x:c r="M99" s="12" t="str">
        <x:v>negative</x:v>
      </x:c>
      <x:c r="N99" s="12"/>
      <x:c r="O99" s="12" t="str">
        <x:v>negative</x:v>
      </x:c>
      <x:c r="P99" s="12" t="str">
        <x:f>IF(OR(M99="unavailable",O99="unavailable"),"不可评价",IF(OR(M99="equivocal",O99="equivocal"),"疑似",IF(AND(M99="positive",O99="positive"),"a",IF(O99="positive","b",IF(M99="positive","c","d")))))</x:f>
        <x:v>d</x:v>
      </x:c>
      <x:c r="Q99" s="12"/>
      <x:c r="R99" s="12" t="str">
        <x:v>negative</x:v>
      </x:c>
      <x:c r="S99" s="12"/>
      <x:c r="T99" s="12" t="str">
        <x:v>negative</x:v>
      </x:c>
      <x:c r="U99" s="12" t="str">
        <x:f>IF(OR(R99="unavailable",T99="unavailable"),"不可评价",IF(OR(R99="equivocal",T99="equivocal"),"疑似",IF(AND(R99="positive",T99="positive"),"a",IF(T99="positive","b",IF(R99="positive","c","d")))))</x:f>
        <x:v>d</x:v>
      </x:c>
      <x:c r="V99" s="12"/>
      <x:c r="W99" s="12" t="str">
        <x:v>negative</x:v>
      </x:c>
      <x:c r="X99" s="12"/>
      <x:c r="Y99" s="12" t="str">
        <x:v>negative</x:v>
      </x:c>
      <x:c r="Z99" s="12" t="str">
        <x:f>IF(OR(W99="unavailable",Y99="unavailable"),"不可评价",IF(OR(W99="equivocal",Y99="equivocal"),"疑似",IF(AND(W99="positive",Y99="positive"),"a",IF(Y99="positive","b",IF(W99="positive","c","d")))))</x:f>
        <x:v>d</x:v>
      </x:c>
      <x:c r="AA99" s="12" t="str">
        <x:f>IF(OR(M99="unavailable",O99="unavailable"),"不可评价",IF(AND(OR(M99="positive",M99="equivocal"),OR(O99="positive",O99="equivocal")),"a",IF(OR(O99="positive",O99="equivocal"),"b",IF(OR(M99="positive",M99="equivocal"),"c","d"))))</x:f>
        <x:v>d</x:v>
      </x:c>
      <x:c r="AB99" s="12" t="str">
        <x:f>IF(OR(M99="unavailable",O99="unavailable"),"不可评价",IF(AND(M99="positive",O99="positive"),"a",IF(O99="positive","b",IF(M99="positive","c","d"))))</x:f>
        <x:v>d</x:v>
      </x:c>
      <x:c r="AC99" s="12" t="str">
        <x:f>IF(OR(R99="unavailable",T99="unavailable"),"不可评价",IF(AND(OR(R99="positive",R99="equivocal"),OR(T99="positive",T99="equivocal")),"a",IF(OR(T99="positive",T99="equivocal"),"b",IF(OR(R99="positive",R99="equivocal"),"c","d"))))</x:f>
        <x:v>d</x:v>
      </x:c>
      <x:c r="AD99" s="12" t="str">
        <x:f>IF(OR(R99="unavailable",T99="unavailable"),"不可评价",IF(AND(R99="positive",T99="positive"),"a",IF(T99="positive","b",IF(R99="positive","c","d"))))</x:f>
        <x:v>d</x:v>
      </x:c>
      <x:c r="AE99" s="12" t="str">
        <x:f>IF(OR(W99="unavailable",Y99="unavailable"),"不可评价",IF(AND(OR(W99="positive",W99="equivocal"),OR(Y99="positive",Y99="equivocal")),"a",IF(OR(Y99="positive",Y99="equivocal"),"b",IF(OR(W99="positive",W99="equivocal"),"c","d"))))</x:f>
        <x:v>d</x:v>
      </x:c>
      <x:c r="AF99" s="12" t="str">
        <x:f>IF(OR(W99="unavailable",Y99="unavailable"),"不可评价",IF(AND(W99="positive",Y99="positive"),"a",IF(Y99="positive","b",IF(W99="positive","c","d"))))</x:f>
        <x:v>d</x:v>
      </x:c>
    </x:row>
    <x:row r="100" ht="24" customHeight="1">
      <x:c r="A100" s="12" t="str">
        <x:v>775</x:v>
      </x:c>
      <x:c r="B100" s="12" t="str">
        <x:v>20803</x:v>
      </x:c>
      <x:c r="C100" s="21" t="n">
        <x:v>31913.378530092592</x:v>
      </x:c>
      <x:c r="D100" s="12" t="n">
        <x:v>40</x:v>
      </x:c>
      <x:c r="E100" s="12" t="n">
        <x:v>0</x:v>
      </x:c>
      <x:c r="F100" s="12" t="str">
        <x:v>未记录</x:v>
      </x:c>
      <x:c r="G100" s="12" t="n">
        <x:v>1</x:v>
      </x:c>
      <x:c r="H100" s="12" t="str">
        <x:v>{'NORM': 100.0, 'SR': 0.0}</x:v>
      </x:c>
      <x:c r="I100" s="12" t="str">
        <x:v>[('SBRAD', 100.0), ('ABR', 100.0)]</x:v>
      </x:c>
      <x:c r="J100" s="12" t="str">
        <x:v>ptbxl_database.csv；ecg_id=775；scp_codes</x:v>
      </x:c>
      <x:c r="K100" s="12" t="str">
        <x:v>12sl_statements.csv；ecg_id=775；statements_ext_snomed</x:v>
      </x:c>
      <x:c r="L100" s="12"/>
      <x:c r="M100" s="12" t="str">
        <x:v>negative</x:v>
      </x:c>
      <x:c r="N100" s="12"/>
      <x:c r="O100" s="12" t="str">
        <x:v>negative</x:v>
      </x:c>
      <x:c r="P100" s="12" t="str">
        <x:f>IF(OR(M100="unavailable",O100="unavailable"),"不可评价",IF(OR(M100="equivocal",O100="equivocal"),"疑似",IF(AND(M100="positive",O100="positive"),"a",IF(O100="positive","b",IF(M100="positive","c","d")))))</x:f>
        <x:v>d</x:v>
      </x:c>
      <x:c r="Q100" s="12"/>
      <x:c r="R100" s="12" t="str">
        <x:v>negative</x:v>
      </x:c>
      <x:c r="S100" s="12"/>
      <x:c r="T100" s="12" t="str">
        <x:v>negative</x:v>
      </x:c>
      <x:c r="U100" s="12" t="str">
        <x:f>IF(OR(R100="unavailable",T100="unavailable"),"不可评价",IF(OR(R100="equivocal",T100="equivocal"),"疑似",IF(AND(R100="positive",T100="positive"),"a",IF(T100="positive","b",IF(R100="positive","c","d")))))</x:f>
        <x:v>d</x:v>
      </x:c>
      <x:c r="V100" s="12"/>
      <x:c r="W100" s="12" t="str">
        <x:v>negative</x:v>
      </x:c>
      <x:c r="X100" s="12"/>
      <x:c r="Y100" s="12" t="str">
        <x:v>negative</x:v>
      </x:c>
      <x:c r="Z100" s="12" t="str">
        <x:f>IF(OR(W100="unavailable",Y100="unavailable"),"不可评价",IF(OR(W100="equivocal",Y100="equivocal"),"疑似",IF(AND(W100="positive",Y100="positive"),"a",IF(Y100="positive","b",IF(W100="positive","c","d")))))</x:f>
        <x:v>d</x:v>
      </x:c>
      <x:c r="AA100" s="12" t="str">
        <x:f>IF(OR(M100="unavailable",O100="unavailable"),"不可评价",IF(AND(OR(M100="positive",M100="equivocal"),OR(O100="positive",O100="equivocal")),"a",IF(OR(O100="positive",O100="equivocal"),"b",IF(OR(M100="positive",M100="equivocal"),"c","d"))))</x:f>
        <x:v>d</x:v>
      </x:c>
      <x:c r="AB100" s="12" t="str">
        <x:f>IF(OR(M100="unavailable",O100="unavailable"),"不可评价",IF(AND(M100="positive",O100="positive"),"a",IF(O100="positive","b",IF(M100="positive","c","d"))))</x:f>
        <x:v>d</x:v>
      </x:c>
      <x:c r="AC100" s="12" t="str">
        <x:f>IF(OR(R100="unavailable",T100="unavailable"),"不可评价",IF(AND(OR(R100="positive",R100="equivocal"),OR(T100="positive",T100="equivocal")),"a",IF(OR(T100="positive",T100="equivocal"),"b",IF(OR(R100="positive",R100="equivocal"),"c","d"))))</x:f>
        <x:v>d</x:v>
      </x:c>
      <x:c r="AD100" s="12" t="str">
        <x:f>IF(OR(R100="unavailable",T100="unavailable"),"不可评价",IF(AND(R100="positive",T100="positive"),"a",IF(T100="positive","b",IF(R100="positive","c","d"))))</x:f>
        <x:v>d</x:v>
      </x:c>
      <x:c r="AE100" s="12" t="str">
        <x:f>IF(OR(W100="unavailable",Y100="unavailable"),"不可评价",IF(AND(OR(W100="positive",W100="equivocal"),OR(Y100="positive",Y100="equivocal")),"a",IF(OR(Y100="positive",Y100="equivocal"),"b",IF(OR(W100="positive",W100="equivocal"),"c","d"))))</x:f>
        <x:v>d</x:v>
      </x:c>
      <x:c r="AF100" s="12" t="str">
        <x:f>IF(OR(W100="unavailable",Y100="unavailable"),"不可评价",IF(AND(W100="positive",Y100="positive"),"a",IF(Y100="positive","b",IF(W100="positive","c","d"))))</x:f>
        <x:v>d</x:v>
      </x:c>
    </x:row>
    <x:row r="101" ht="24" customHeight="1">
      <x:c r="A101" s="12" t="str">
        <x:v>779</x:v>
      </x:c>
      <x:c r="B101" s="12" t="str">
        <x:v>20190</x:v>
      </x:c>
      <x:c r="C101" s="21" t="n">
        <x:v>31915.48837962963</x:v>
      </x:c>
      <x:c r="D101" s="12" t="n">
        <x:v>41</x:v>
      </x:c>
      <x:c r="E101" s="12" t="n">
        <x:v>0</x:v>
      </x:c>
      <x:c r="F101" s="12" t="str">
        <x:v>未记录</x:v>
      </x:c>
      <x:c r="G101" s="12" t="n">
        <x:v>1</x:v>
      </x:c>
      <x:c r="H101" s="12" t="str">
        <x:v>{'NORM': 100.0, 'SR': 0.0}</x:v>
      </x:c>
      <x:c r="I101" s="12" t="str">
        <x:v>[('SBRAD', 100.0), ('ABR', 100.0)]</x:v>
      </x:c>
      <x:c r="J101" s="12" t="str">
        <x:v>ptbxl_database.csv；ecg_id=779；scp_codes</x:v>
      </x:c>
      <x:c r="K101" s="12" t="str">
        <x:v>12sl_statements.csv；ecg_id=779；statements_ext_snomed</x:v>
      </x:c>
      <x:c r="L101" s="12"/>
      <x:c r="M101" s="12" t="str">
        <x:v>negative</x:v>
      </x:c>
      <x:c r="N101" s="12"/>
      <x:c r="O101" s="12" t="str">
        <x:v>negative</x:v>
      </x:c>
      <x:c r="P101" s="12" t="str">
        <x:f>IF(OR(M101="unavailable",O101="unavailable"),"不可评价",IF(OR(M101="equivocal",O101="equivocal"),"疑似",IF(AND(M101="positive",O101="positive"),"a",IF(O101="positive","b",IF(M101="positive","c","d")))))</x:f>
        <x:v>d</x:v>
      </x:c>
      <x:c r="Q101" s="12"/>
      <x:c r="R101" s="12" t="str">
        <x:v>negative</x:v>
      </x:c>
      <x:c r="S101" s="12"/>
      <x:c r="T101" s="12" t="str">
        <x:v>negative</x:v>
      </x:c>
      <x:c r="U101" s="12" t="str">
        <x:f>IF(OR(R101="unavailable",T101="unavailable"),"不可评价",IF(OR(R101="equivocal",T101="equivocal"),"疑似",IF(AND(R101="positive",T101="positive"),"a",IF(T101="positive","b",IF(R101="positive","c","d")))))</x:f>
        <x:v>d</x:v>
      </x:c>
      <x:c r="V101" s="12"/>
      <x:c r="W101" s="12" t="str">
        <x:v>negative</x:v>
      </x:c>
      <x:c r="X101" s="12"/>
      <x:c r="Y101" s="12" t="str">
        <x:v>negative</x:v>
      </x:c>
      <x:c r="Z101" s="12" t="str">
        <x:f>IF(OR(W101="unavailable",Y101="unavailable"),"不可评价",IF(OR(W101="equivocal",Y101="equivocal"),"疑似",IF(AND(W101="positive",Y101="positive"),"a",IF(Y101="positive","b",IF(W101="positive","c","d")))))</x:f>
        <x:v>d</x:v>
      </x:c>
      <x:c r="AA101" s="12" t="str">
        <x:f>IF(OR(M101="unavailable",O101="unavailable"),"不可评价",IF(AND(OR(M101="positive",M101="equivocal"),OR(O101="positive",O101="equivocal")),"a",IF(OR(O101="positive",O101="equivocal"),"b",IF(OR(M101="positive",M101="equivocal"),"c","d"))))</x:f>
        <x:v>d</x:v>
      </x:c>
      <x:c r="AB101" s="12" t="str">
        <x:f>IF(OR(M101="unavailable",O101="unavailable"),"不可评价",IF(AND(M101="positive",O101="positive"),"a",IF(O101="positive","b",IF(M101="positive","c","d"))))</x:f>
        <x:v>d</x:v>
      </x:c>
      <x:c r="AC101" s="12" t="str">
        <x:f>IF(OR(R101="unavailable",T101="unavailable"),"不可评价",IF(AND(OR(R101="positive",R101="equivocal"),OR(T101="positive",T101="equivocal")),"a",IF(OR(T101="positive",T101="equivocal"),"b",IF(OR(R101="positive",R101="equivocal"),"c","d"))))</x:f>
        <x:v>d</x:v>
      </x:c>
      <x:c r="AD101" s="12" t="str">
        <x:f>IF(OR(R101="unavailable",T101="unavailable"),"不可评价",IF(AND(R101="positive",T101="positive"),"a",IF(T101="positive","b",IF(R101="positive","c","d"))))</x:f>
        <x:v>d</x:v>
      </x:c>
      <x:c r="AE101" s="12" t="str">
        <x:f>IF(OR(W101="unavailable",Y101="unavailable"),"不可评价",IF(AND(OR(W101="positive",W101="equivocal"),OR(Y101="positive",Y101="equivocal")),"a",IF(OR(Y101="positive",Y101="equivocal"),"b",IF(OR(W101="positive",W101="equivocal"),"c","d"))))</x:f>
        <x:v>d</x:v>
      </x:c>
      <x:c r="AF101" s="12" t="str">
        <x:f>IF(OR(W101="unavailable",Y101="unavailable"),"不可评价",IF(AND(W101="positive",Y101="positive"),"a",IF(Y101="positive","b",IF(W101="positive","c","d"))))</x:f>
        <x:v>d</x:v>
      </x:c>
    </x:row>
    <x:row r="102" ht="24" customHeight="1">
      <x:c r="A102" s="12" t="str">
        <x:v>789</x:v>
      </x:c>
      <x:c r="B102" s="12" t="str">
        <x:v>8997</x:v>
      </x:c>
      <x:c r="C102" s="21" t="n">
        <x:v>31925.624756944446</x:v>
      </x:c>
      <x:c r="D102" s="12" t="n">
        <x:v>70</x:v>
      </x:c>
      <x:c r="E102" s="12" t="n">
        <x:v>1</x:v>
      </x:c>
      <x:c r="F102" s="12" t="str">
        <x:v>未记录</x:v>
      </x:c>
      <x:c r="G102" s="12" t="n">
        <x:v>1</x:v>
      </x:c>
      <x:c r="H102" s="12" t="str">
        <x:v>{'LAFB': 100.0, 'SR': 0.0}</x:v>
      </x:c>
      <x:c r="I102" s="12" t="str">
        <x:v>[('NSR', 100.0), ('LAD3', 100.0), ('AB', 100.0)]</x:v>
      </x:c>
      <x:c r="J102" s="12" t="str">
        <x:v>ptbxl_database.csv；ecg_id=789；scp_codes</x:v>
      </x:c>
      <x:c r="K102" s="12" t="str">
        <x:v>12sl_statements.csv；ecg_id=789；statements_ext_snomed</x:v>
      </x:c>
      <x:c r="L102" s="12"/>
      <x:c r="M102" s="12" t="str">
        <x:v>negative</x:v>
      </x:c>
      <x:c r="N102" s="12"/>
      <x:c r="O102" s="12" t="str">
        <x:v>negative</x:v>
      </x:c>
      <x:c r="P102" s="12" t="str">
        <x:f>IF(OR(M102="unavailable",O102="unavailable"),"不可评价",IF(OR(M102="equivocal",O102="equivocal"),"疑似",IF(AND(M102="positive",O102="positive"),"a",IF(O102="positive","b",IF(M102="positive","c","d")))))</x:f>
        <x:v>d</x:v>
      </x:c>
      <x:c r="Q102" s="12"/>
      <x:c r="R102" s="12" t="str">
        <x:v>negative</x:v>
      </x:c>
      <x:c r="S102" s="12"/>
      <x:c r="T102" s="12" t="str">
        <x:v>negative</x:v>
      </x:c>
      <x:c r="U102" s="12" t="str">
        <x:f>IF(OR(R102="unavailable",T102="unavailable"),"不可评价",IF(OR(R102="equivocal",T102="equivocal"),"疑似",IF(AND(R102="positive",T102="positive"),"a",IF(T102="positive","b",IF(R102="positive","c","d")))))</x:f>
        <x:v>d</x:v>
      </x:c>
      <x:c r="V102" s="12"/>
      <x:c r="W102" s="12" t="str">
        <x:v>negative</x:v>
      </x:c>
      <x:c r="X102" s="12"/>
      <x:c r="Y102" s="12" t="str">
        <x:v>negative</x:v>
      </x:c>
      <x:c r="Z102" s="12" t="str">
        <x:f>IF(OR(W102="unavailable",Y102="unavailable"),"不可评价",IF(OR(W102="equivocal",Y102="equivocal"),"疑似",IF(AND(W102="positive",Y102="positive"),"a",IF(Y102="positive","b",IF(W102="positive","c","d")))))</x:f>
        <x:v>d</x:v>
      </x:c>
      <x:c r="AA102" s="12" t="str">
        <x:f>IF(OR(M102="unavailable",O102="unavailable"),"不可评价",IF(AND(OR(M102="positive",M102="equivocal"),OR(O102="positive",O102="equivocal")),"a",IF(OR(O102="positive",O102="equivocal"),"b",IF(OR(M102="positive",M102="equivocal"),"c","d"))))</x:f>
        <x:v>d</x:v>
      </x:c>
      <x:c r="AB102" s="12" t="str">
        <x:f>IF(OR(M102="unavailable",O102="unavailable"),"不可评价",IF(AND(M102="positive",O102="positive"),"a",IF(O102="positive","b",IF(M102="positive","c","d"))))</x:f>
        <x:v>d</x:v>
      </x:c>
      <x:c r="AC102" s="12" t="str">
        <x:f>IF(OR(R102="unavailable",T102="unavailable"),"不可评价",IF(AND(OR(R102="positive",R102="equivocal"),OR(T102="positive",T102="equivocal")),"a",IF(OR(T102="positive",T102="equivocal"),"b",IF(OR(R102="positive",R102="equivocal"),"c","d"))))</x:f>
        <x:v>d</x:v>
      </x:c>
      <x:c r="AD102" s="12" t="str">
        <x:f>IF(OR(R102="unavailable",T102="unavailable"),"不可评价",IF(AND(R102="positive",T102="positive"),"a",IF(T102="positive","b",IF(R102="positive","c","d"))))</x:f>
        <x:v>d</x:v>
      </x:c>
      <x:c r="AE102" s="12" t="str">
        <x:f>IF(OR(W102="unavailable",Y102="unavailable"),"不可评价",IF(AND(OR(W102="positive",W102="equivocal"),OR(Y102="positive",Y102="equivocal")),"a",IF(OR(Y102="positive",Y102="equivocal"),"b",IF(OR(W102="positive",W102="equivocal"),"c","d"))))</x:f>
        <x:v>d</x:v>
      </x:c>
      <x:c r="AF102" s="12" t="str">
        <x:f>IF(OR(W102="unavailable",Y102="unavailable"),"不可评价",IF(AND(W102="positive",Y102="positive"),"a",IF(Y102="positive","b",IF(W102="positive","c","d"))))</x:f>
        <x:v>d</x:v>
      </x:c>
    </x:row>
    <x:row r="103" ht="24" customHeight="1">
      <x:c r="A103" s="12" t="str">
        <x:v>795</x:v>
      </x:c>
      <x:c r="B103" s="12" t="str">
        <x:v>20029</x:v>
      </x:c>
      <x:c r="C103" s="21" t="n">
        <x:v>31928.617094907408</x:v>
      </x:c>
      <x:c r="D103" s="12" t="n">
        <x:v>60</x:v>
      </x:c>
      <x:c r="E103" s="12" t="n">
        <x:v>1</x:v>
      </x:c>
      <x:c r="F103" s="12" t="str">
        <x:v>未记录</x:v>
      </x:c>
      <x:c r="G103" s="12" t="n">
        <x:v>1</x:v>
      </x:c>
      <x:c r="H103" s="12" t="str">
        <x:v>{'NORM': 100.0, 'SR': 0.0}</x:v>
      </x:c>
      <x:c r="I103" s="12" t="str">
        <x:v>[('NSR', 100.0), ('AMI;AU', 15.0), ('AB', 100.0)]</x:v>
      </x:c>
      <x:c r="J103" s="12" t="str">
        <x:v>ptbxl_database.csv；ecg_id=795；scp_codes</x:v>
      </x:c>
      <x:c r="K103" s="12" t="str">
        <x:v>12sl_statements.csv；ecg_id=795；statements_ext_snomed</x:v>
      </x:c>
      <x:c r="L103" s="12"/>
      <x:c r="M103" s="12" t="str">
        <x:v>negative</x:v>
      </x:c>
      <x:c r="N103" s="12"/>
      <x:c r="O103" s="12" t="str">
        <x:v>negative</x:v>
      </x:c>
      <x:c r="P103" s="12" t="str">
        <x:f>IF(OR(M103="unavailable",O103="unavailable"),"不可评价",IF(OR(M103="equivocal",O103="equivocal"),"疑似",IF(AND(M103="positive",O103="positive"),"a",IF(O103="positive","b",IF(M103="positive","c","d")))))</x:f>
        <x:v>d</x:v>
      </x:c>
      <x:c r="Q103" s="12"/>
      <x:c r="R103" s="12" t="str">
        <x:v>negative</x:v>
      </x:c>
      <x:c r="S103" s="12"/>
      <x:c r="T103" s="12" t="str">
        <x:v>negative</x:v>
      </x:c>
      <x:c r="U103" s="12" t="str">
        <x:f>IF(OR(R103="unavailable",T103="unavailable"),"不可评价",IF(OR(R103="equivocal",T103="equivocal"),"疑似",IF(AND(R103="positive",T103="positive"),"a",IF(T103="positive","b",IF(R103="positive","c","d")))))</x:f>
        <x:v>d</x:v>
      </x:c>
      <x:c r="V103" s="12"/>
      <x:c r="W103" s="12" t="str">
        <x:v>negative</x:v>
      </x:c>
      <x:c r="X103" s="12"/>
      <x:c r="Y103" s="12" t="str">
        <x:v>negative</x:v>
      </x:c>
      <x:c r="Z103" s="12" t="str">
        <x:f>IF(OR(W103="unavailable",Y103="unavailable"),"不可评价",IF(OR(W103="equivocal",Y103="equivocal"),"疑似",IF(AND(W103="positive",Y103="positive"),"a",IF(Y103="positive","b",IF(W103="positive","c","d")))))</x:f>
        <x:v>d</x:v>
      </x:c>
      <x:c r="AA103" s="12" t="str">
        <x:f>IF(OR(M103="unavailable",O103="unavailable"),"不可评价",IF(AND(OR(M103="positive",M103="equivocal"),OR(O103="positive",O103="equivocal")),"a",IF(OR(O103="positive",O103="equivocal"),"b",IF(OR(M103="positive",M103="equivocal"),"c","d"))))</x:f>
        <x:v>d</x:v>
      </x:c>
      <x:c r="AB103" s="12" t="str">
        <x:f>IF(OR(M103="unavailable",O103="unavailable"),"不可评价",IF(AND(M103="positive",O103="positive"),"a",IF(O103="positive","b",IF(M103="positive","c","d"))))</x:f>
        <x:v>d</x:v>
      </x:c>
      <x:c r="AC103" s="12" t="str">
        <x:f>IF(OR(R103="unavailable",T103="unavailable"),"不可评价",IF(AND(OR(R103="positive",R103="equivocal"),OR(T103="positive",T103="equivocal")),"a",IF(OR(T103="positive",T103="equivocal"),"b",IF(OR(R103="positive",R103="equivocal"),"c","d"))))</x:f>
        <x:v>d</x:v>
      </x:c>
      <x:c r="AD103" s="12" t="str">
        <x:f>IF(OR(R103="unavailable",T103="unavailable"),"不可评价",IF(AND(R103="positive",T103="positive"),"a",IF(T103="positive","b",IF(R103="positive","c","d"))))</x:f>
        <x:v>d</x:v>
      </x:c>
      <x:c r="AE103" s="12" t="str">
        <x:f>IF(OR(W103="unavailable",Y103="unavailable"),"不可评价",IF(AND(OR(W103="positive",W103="equivocal"),OR(Y103="positive",Y103="equivocal")),"a",IF(OR(Y103="positive",Y103="equivocal"),"b",IF(OR(W103="positive",W103="equivocal"),"c","d"))))</x:f>
        <x:v>d</x:v>
      </x:c>
      <x:c r="AF103" s="12" t="str">
        <x:f>IF(OR(W103="unavailable",Y103="unavailable"),"不可评价",IF(AND(W103="positive",Y103="positive"),"a",IF(Y103="positive","b",IF(W103="positive","c","d"))))</x:f>
        <x:v>d</x:v>
      </x:c>
    </x:row>
    <x:row r="104" ht="24" customHeight="1">
      <x:c r="A104" s="12" t="str">
        <x:v>799</x:v>
      </x:c>
      <x:c r="B104" s="12" t="str">
        <x:v>18739</x:v>
      </x:c>
      <x:c r="C104" s="21" t="n">
        <x:v>31932.50634259259</x:v>
      </x:c>
      <x:c r="D104" s="12" t="n">
        <x:v>61</x:v>
      </x:c>
      <x:c r="E104" s="12" t="n">
        <x:v>0</x:v>
      </x:c>
      <x:c r="F104" s="12" t="str">
        <x:v>存在</x:v>
      </x:c>
      <x:c r="G104" s="12" t="n">
        <x:v>1</x:v>
      </x:c>
      <x:c r="H104" s="12" t="str">
        <x:v>{'IMI': 15.0, 'SR': 0.0}</x:v>
      </x:c>
      <x:c r="I104" s="12" t="str">
        <x:v>[('NSR', 100.0), ('NML', 100.0)]</x:v>
      </x:c>
      <x:c r="J104" s="12" t="str">
        <x:v>ptbxl_database.csv；ecg_id=799；scp_codes</x:v>
      </x:c>
      <x:c r="K104" s="12" t="str">
        <x:v>12sl_statements.csv；ecg_id=799；statements_ext_snomed</x:v>
      </x:c>
      <x:c r="L104" s="12"/>
      <x:c r="M104" s="12" t="str">
        <x:v>negative</x:v>
      </x:c>
      <x:c r="N104" s="12"/>
      <x:c r="O104" s="12" t="str">
        <x:v>negative</x:v>
      </x:c>
      <x:c r="P104" s="12" t="str">
        <x:f>IF(OR(M104="unavailable",O104="unavailable"),"不可评价",IF(OR(M104="equivocal",O104="equivocal"),"疑似",IF(AND(M104="positive",O104="positive"),"a",IF(O104="positive","b",IF(M104="positive","c","d")))))</x:f>
        <x:v>d</x:v>
      </x:c>
      <x:c r="Q104" s="12"/>
      <x:c r="R104" s="12" t="str">
        <x:v>negative</x:v>
      </x:c>
      <x:c r="S104" s="12"/>
      <x:c r="T104" s="12" t="str">
        <x:v>negative</x:v>
      </x:c>
      <x:c r="U104" s="12" t="str">
        <x:f>IF(OR(R104="unavailable",T104="unavailable"),"不可评价",IF(OR(R104="equivocal",T104="equivocal"),"疑似",IF(AND(R104="positive",T104="positive"),"a",IF(T104="positive","b",IF(R104="positive","c","d")))))</x:f>
        <x:v>d</x:v>
      </x:c>
      <x:c r="V104" s="12"/>
      <x:c r="W104" s="12" t="str">
        <x:v>negative</x:v>
      </x:c>
      <x:c r="X104" s="12"/>
      <x:c r="Y104" s="12" t="str">
        <x:v>negative</x:v>
      </x:c>
      <x:c r="Z104" s="12" t="str">
        <x:f>IF(OR(W104="unavailable",Y104="unavailable"),"不可评价",IF(OR(W104="equivocal",Y104="equivocal"),"疑似",IF(AND(W104="positive",Y104="positive"),"a",IF(Y104="positive","b",IF(W104="positive","c","d")))))</x:f>
        <x:v>d</x:v>
      </x:c>
      <x:c r="AA104" s="12" t="str">
        <x:f>IF(OR(M104="unavailable",O104="unavailable"),"不可评价",IF(AND(OR(M104="positive",M104="equivocal"),OR(O104="positive",O104="equivocal")),"a",IF(OR(O104="positive",O104="equivocal"),"b",IF(OR(M104="positive",M104="equivocal"),"c","d"))))</x:f>
        <x:v>d</x:v>
      </x:c>
      <x:c r="AB104" s="12" t="str">
        <x:f>IF(OR(M104="unavailable",O104="unavailable"),"不可评价",IF(AND(M104="positive",O104="positive"),"a",IF(O104="positive","b",IF(M104="positive","c","d"))))</x:f>
        <x:v>d</x:v>
      </x:c>
      <x:c r="AC104" s="12" t="str">
        <x:f>IF(OR(R104="unavailable",T104="unavailable"),"不可评价",IF(AND(OR(R104="positive",R104="equivocal"),OR(T104="positive",T104="equivocal")),"a",IF(OR(T104="positive",T104="equivocal"),"b",IF(OR(R104="positive",R104="equivocal"),"c","d"))))</x:f>
        <x:v>d</x:v>
      </x:c>
      <x:c r="AD104" s="12" t="str">
        <x:f>IF(OR(R104="unavailable",T104="unavailable"),"不可评价",IF(AND(R104="positive",T104="positive"),"a",IF(T104="positive","b",IF(R104="positive","c","d"))))</x:f>
        <x:v>d</x:v>
      </x:c>
      <x:c r="AE104" s="12" t="str">
        <x:f>IF(OR(W104="unavailable",Y104="unavailable"),"不可评价",IF(AND(OR(W104="positive",W104="equivocal"),OR(Y104="positive",Y104="equivocal")),"a",IF(OR(Y104="positive",Y104="equivocal"),"b",IF(OR(W104="positive",W104="equivocal"),"c","d"))))</x:f>
        <x:v>d</x:v>
      </x:c>
      <x:c r="AF104" s="12" t="str">
        <x:f>IF(OR(W104="unavailable",Y104="unavailable"),"不可评价",IF(AND(W104="positive",Y104="positive"),"a",IF(Y104="positive","b",IF(W104="positive","c","d"))))</x:f>
        <x:v>d</x:v>
      </x:c>
    </x:row>
    <x:row r="105" ht="24" customHeight="1">
      <x:c r="A105" s="12" t="str">
        <x:v>805</x:v>
      </x:c>
      <x:c r="B105" s="12" t="str">
        <x:v>14400</x:v>
      </x:c>
      <x:c r="C105" s="21" t="n">
        <x:v>31936.52054398148</x:v>
      </x:c>
      <x:c r="D105" s="12" t="n">
        <x:v>56</x:v>
      </x:c>
      <x:c r="E105" s="12" t="n">
        <x:v>1</x:v>
      </x:c>
      <x:c r="F105" s="12" t="str">
        <x:v>未记录</x:v>
      </x:c>
      <x:c r="G105" s="12" t="n">
        <x:v>1</x:v>
      </x:c>
      <x:c r="H105" s="12" t="str">
        <x:v>{'NORM': 15.0, 'ABQRS': 0.0, 'SR': 0.0}</x:v>
      </x:c>
      <x:c r="I105" s="12" t="str">
        <x:v>[('NSR', 100.0), ('NML', 100.0)]</x:v>
      </x:c>
      <x:c r="J105" s="12" t="str">
        <x:v>ptbxl_database.csv；ecg_id=805；scp_codes</x:v>
      </x:c>
      <x:c r="K105" s="12" t="str">
        <x:v>12sl_statements.csv；ecg_id=805；statements_ext_snomed</x:v>
      </x:c>
      <x:c r="L105" s="12"/>
      <x:c r="M105" s="12" t="str">
        <x:v>negative</x:v>
      </x:c>
      <x:c r="N105" s="12"/>
      <x:c r="O105" s="12" t="str">
        <x:v>negative</x:v>
      </x:c>
      <x:c r="P105" s="12" t="str">
        <x:f>IF(OR(M105="unavailable",O105="unavailable"),"不可评价",IF(OR(M105="equivocal",O105="equivocal"),"疑似",IF(AND(M105="positive",O105="positive"),"a",IF(O105="positive","b",IF(M105="positive","c","d")))))</x:f>
        <x:v>d</x:v>
      </x:c>
      <x:c r="Q105" s="12"/>
      <x:c r="R105" s="12" t="str">
        <x:v>negative</x:v>
      </x:c>
      <x:c r="S105" s="12"/>
      <x:c r="T105" s="12" t="str">
        <x:v>negative</x:v>
      </x:c>
      <x:c r="U105" s="12" t="str">
        <x:f>IF(OR(R105="unavailable",T105="unavailable"),"不可评价",IF(OR(R105="equivocal",T105="equivocal"),"疑似",IF(AND(R105="positive",T105="positive"),"a",IF(T105="positive","b",IF(R105="positive","c","d")))))</x:f>
        <x:v>d</x:v>
      </x:c>
      <x:c r="V105" s="12"/>
      <x:c r="W105" s="12" t="str">
        <x:v>negative</x:v>
      </x:c>
      <x:c r="X105" s="12"/>
      <x:c r="Y105" s="12" t="str">
        <x:v>negative</x:v>
      </x:c>
      <x:c r="Z105" s="12" t="str">
        <x:f>IF(OR(W105="unavailable",Y105="unavailable"),"不可评价",IF(OR(W105="equivocal",Y105="equivocal"),"疑似",IF(AND(W105="positive",Y105="positive"),"a",IF(Y105="positive","b",IF(W105="positive","c","d")))))</x:f>
        <x:v>d</x:v>
      </x:c>
      <x:c r="AA105" s="12" t="str">
        <x:f>IF(OR(M105="unavailable",O105="unavailable"),"不可评价",IF(AND(OR(M105="positive",M105="equivocal"),OR(O105="positive",O105="equivocal")),"a",IF(OR(O105="positive",O105="equivocal"),"b",IF(OR(M105="positive",M105="equivocal"),"c","d"))))</x:f>
        <x:v>d</x:v>
      </x:c>
      <x:c r="AB105" s="12" t="str">
        <x:f>IF(OR(M105="unavailable",O105="unavailable"),"不可评价",IF(AND(M105="positive",O105="positive"),"a",IF(O105="positive","b",IF(M105="positive","c","d"))))</x:f>
        <x:v>d</x:v>
      </x:c>
      <x:c r="AC105" s="12" t="str">
        <x:f>IF(OR(R105="unavailable",T105="unavailable"),"不可评价",IF(AND(OR(R105="positive",R105="equivocal"),OR(T105="positive",T105="equivocal")),"a",IF(OR(T105="positive",T105="equivocal"),"b",IF(OR(R105="positive",R105="equivocal"),"c","d"))))</x:f>
        <x:v>d</x:v>
      </x:c>
      <x:c r="AD105" s="12" t="str">
        <x:f>IF(OR(R105="unavailable",T105="unavailable"),"不可评价",IF(AND(R105="positive",T105="positive"),"a",IF(T105="positive","b",IF(R105="positive","c","d"))))</x:f>
        <x:v>d</x:v>
      </x:c>
      <x:c r="AE105" s="12" t="str">
        <x:f>IF(OR(W105="unavailable",Y105="unavailable"),"不可评价",IF(AND(OR(W105="positive",W105="equivocal"),OR(Y105="positive",Y105="equivocal")),"a",IF(OR(Y105="positive",Y105="equivocal"),"b",IF(OR(W105="positive",W105="equivocal"),"c","d"))))</x:f>
        <x:v>d</x:v>
      </x:c>
      <x:c r="AF105" s="12" t="str">
        <x:f>IF(OR(W105="unavailable",Y105="unavailable"),"不可评价",IF(AND(W105="positive",Y105="positive"),"a",IF(Y105="positive","b",IF(W105="positive","c","d"))))</x:f>
        <x:v>d</x:v>
      </x:c>
    </x:row>
    <x:row r="106" ht="24" customHeight="1">
      <x:c r="A106" s="12" t="str">
        <x:v>806</x:v>
      </x:c>
      <x:c r="B106" s="12" t="str">
        <x:v>16040</x:v>
      </x:c>
      <x:c r="C106" s="21" t="n">
        <x:v>31936.660347222223</x:v>
      </x:c>
      <x:c r="D106" s="12" t="n">
        <x:v>51</x:v>
      </x:c>
      <x:c r="E106" s="12" t="n">
        <x:v>1</x:v>
      </x:c>
      <x:c r="F106" s="12" t="str">
        <x:v>未记录</x:v>
      </x:c>
      <x:c r="G106" s="12" t="n">
        <x:v>1</x:v>
      </x:c>
      <x:c r="H106" s="12" t="str">
        <x:v>{'IRBBB': 80.0, 'SR': 0.0}</x:v>
      </x:c>
      <x:c r="I106" s="12" t="str">
        <x:v>[('NSR', 100.0), ('NT', 100.0), ('AB', 100.0)]</x:v>
      </x:c>
      <x:c r="J106" s="12" t="str">
        <x:v>ptbxl_database.csv；ecg_id=806；scp_codes</x:v>
      </x:c>
      <x:c r="K106" s="12" t="str">
        <x:v>12sl_statements.csv；ecg_id=806；statements_ext_snomed</x:v>
      </x:c>
      <x:c r="L106" s="12"/>
      <x:c r="M106" s="12" t="str">
        <x:v>negative</x:v>
      </x:c>
      <x:c r="N106" s="12"/>
      <x:c r="O106" s="12" t="str">
        <x:v>negative</x:v>
      </x:c>
      <x:c r="P106" s="12" t="str">
        <x:f>IF(OR(M106="unavailable",O106="unavailable"),"不可评价",IF(OR(M106="equivocal",O106="equivocal"),"疑似",IF(AND(M106="positive",O106="positive"),"a",IF(O106="positive","b",IF(M106="positive","c","d")))))</x:f>
        <x:v>d</x:v>
      </x:c>
      <x:c r="Q106" s="12"/>
      <x:c r="R106" s="12" t="str">
        <x:v>negative</x:v>
      </x:c>
      <x:c r="S106" s="12"/>
      <x:c r="T106" s="12" t="str">
        <x:v>negative</x:v>
      </x:c>
      <x:c r="U106" s="12" t="str">
        <x:f>IF(OR(R106="unavailable",T106="unavailable"),"不可评价",IF(OR(R106="equivocal",T106="equivocal"),"疑似",IF(AND(R106="positive",T106="positive"),"a",IF(T106="positive","b",IF(R106="positive","c","d")))))</x:f>
        <x:v>d</x:v>
      </x:c>
      <x:c r="V106" s="12"/>
      <x:c r="W106" s="12" t="str">
        <x:v>negative</x:v>
      </x:c>
      <x:c r="X106" s="12"/>
      <x:c r="Y106" s="12" t="str">
        <x:v>negative</x:v>
      </x:c>
      <x:c r="Z106" s="12" t="str">
        <x:f>IF(OR(W106="unavailable",Y106="unavailable"),"不可评价",IF(OR(W106="equivocal",Y106="equivocal"),"疑似",IF(AND(W106="positive",Y106="positive"),"a",IF(Y106="positive","b",IF(W106="positive","c","d")))))</x:f>
        <x:v>d</x:v>
      </x:c>
      <x:c r="AA106" s="12" t="str">
        <x:f>IF(OR(M106="unavailable",O106="unavailable"),"不可评价",IF(AND(OR(M106="positive",M106="equivocal"),OR(O106="positive",O106="equivocal")),"a",IF(OR(O106="positive",O106="equivocal"),"b",IF(OR(M106="positive",M106="equivocal"),"c","d"))))</x:f>
        <x:v>d</x:v>
      </x:c>
      <x:c r="AB106" s="12" t="str">
        <x:f>IF(OR(M106="unavailable",O106="unavailable"),"不可评价",IF(AND(M106="positive",O106="positive"),"a",IF(O106="positive","b",IF(M106="positive","c","d"))))</x:f>
        <x:v>d</x:v>
      </x:c>
      <x:c r="AC106" s="12" t="str">
        <x:f>IF(OR(R106="unavailable",T106="unavailable"),"不可评价",IF(AND(OR(R106="positive",R106="equivocal"),OR(T106="positive",T106="equivocal")),"a",IF(OR(T106="positive",T106="equivocal"),"b",IF(OR(R106="positive",R106="equivocal"),"c","d"))))</x:f>
        <x:v>d</x:v>
      </x:c>
      <x:c r="AD106" s="12" t="str">
        <x:f>IF(OR(R106="unavailable",T106="unavailable"),"不可评价",IF(AND(R106="positive",T106="positive"),"a",IF(T106="positive","b",IF(R106="positive","c","d"))))</x:f>
        <x:v>d</x:v>
      </x:c>
      <x:c r="AE106" s="12" t="str">
        <x:f>IF(OR(W106="unavailable",Y106="unavailable"),"不可评价",IF(AND(OR(W106="positive",W106="equivocal"),OR(Y106="positive",Y106="equivocal")),"a",IF(OR(Y106="positive",Y106="equivocal"),"b",IF(OR(W106="positive",W106="equivocal"),"c","d"))))</x:f>
        <x:v>d</x:v>
      </x:c>
      <x:c r="AF106" s="12" t="str">
        <x:f>IF(OR(W106="unavailable",Y106="unavailable"),"不可评价",IF(AND(W106="positive",Y106="positive"),"a",IF(Y106="positive","b",IF(W106="positive","c","d"))))</x:f>
        <x:v>d</x:v>
      </x:c>
    </x:row>
    <x:row r="107" ht="24" customHeight="1">
      <x:c r="A107" s="12" t="str">
        <x:v>821</x:v>
      </x:c>
      <x:c r="B107" s="12" t="str">
        <x:v>21490</x:v>
      </x:c>
      <x:c r="C107" s="21" t="n">
        <x:v>31954.299988425926</x:v>
      </x:c>
      <x:c r="D107" s="12" t="n">
        <x:v>53</x:v>
      </x:c>
      <x:c r="E107" s="12" t="n">
        <x:v>0</x:v>
      </x:c>
      <x:c r="F107" s="12" t="str">
        <x:v>存在</x:v>
      </x:c>
      <x:c r="G107" s="12" t="n">
        <x:v>1</x:v>
      </x:c>
      <x:c r="H107" s="12" t="str">
        <x:v>{'ILMI': 15.0, 'SR': 0.0}</x:v>
      </x:c>
      <x:c r="I107" s="12" t="str">
        <x:v>[('NSR', 100.0), ('NT', 100.0), ('AB', 100.0)]</x:v>
      </x:c>
      <x:c r="J107" s="12" t="str">
        <x:v>ptbxl_database.csv；ecg_id=821；scp_codes</x:v>
      </x:c>
      <x:c r="K107" s="12" t="str">
        <x:v>12sl_statements.csv；ecg_id=821；statements_ext_snomed</x:v>
      </x:c>
      <x:c r="L107" s="12"/>
      <x:c r="M107" s="12" t="str">
        <x:v>negative</x:v>
      </x:c>
      <x:c r="N107" s="12"/>
      <x:c r="O107" s="12" t="str">
        <x:v>negative</x:v>
      </x:c>
      <x:c r="P107" s="12" t="str">
        <x:f>IF(OR(M107="unavailable",O107="unavailable"),"不可评价",IF(OR(M107="equivocal",O107="equivocal"),"疑似",IF(AND(M107="positive",O107="positive"),"a",IF(O107="positive","b",IF(M107="positive","c","d")))))</x:f>
        <x:v>d</x:v>
      </x:c>
      <x:c r="Q107" s="12"/>
      <x:c r="R107" s="12" t="str">
        <x:v>negative</x:v>
      </x:c>
      <x:c r="S107" s="12"/>
      <x:c r="T107" s="12" t="str">
        <x:v>negative</x:v>
      </x:c>
      <x:c r="U107" s="12" t="str">
        <x:f>IF(OR(R107="unavailable",T107="unavailable"),"不可评价",IF(OR(R107="equivocal",T107="equivocal"),"疑似",IF(AND(R107="positive",T107="positive"),"a",IF(T107="positive","b",IF(R107="positive","c","d")))))</x:f>
        <x:v>d</x:v>
      </x:c>
      <x:c r="V107" s="12"/>
      <x:c r="W107" s="12" t="str">
        <x:v>negative</x:v>
      </x:c>
      <x:c r="X107" s="12"/>
      <x:c r="Y107" s="12" t="str">
        <x:v>negative</x:v>
      </x:c>
      <x:c r="Z107" s="12" t="str">
        <x:f>IF(OR(W107="unavailable",Y107="unavailable"),"不可评价",IF(OR(W107="equivocal",Y107="equivocal"),"疑似",IF(AND(W107="positive",Y107="positive"),"a",IF(Y107="positive","b",IF(W107="positive","c","d")))))</x:f>
        <x:v>d</x:v>
      </x:c>
      <x:c r="AA107" s="12" t="str">
        <x:f>IF(OR(M107="unavailable",O107="unavailable"),"不可评价",IF(AND(OR(M107="positive",M107="equivocal"),OR(O107="positive",O107="equivocal")),"a",IF(OR(O107="positive",O107="equivocal"),"b",IF(OR(M107="positive",M107="equivocal"),"c","d"))))</x:f>
        <x:v>d</x:v>
      </x:c>
      <x:c r="AB107" s="12" t="str">
        <x:f>IF(OR(M107="unavailable",O107="unavailable"),"不可评价",IF(AND(M107="positive",O107="positive"),"a",IF(O107="positive","b",IF(M107="positive","c","d"))))</x:f>
        <x:v>d</x:v>
      </x:c>
      <x:c r="AC107" s="12" t="str">
        <x:f>IF(OR(R107="unavailable",T107="unavailable"),"不可评价",IF(AND(OR(R107="positive",R107="equivocal"),OR(T107="positive",T107="equivocal")),"a",IF(OR(T107="positive",T107="equivocal"),"b",IF(OR(R107="positive",R107="equivocal"),"c","d"))))</x:f>
        <x:v>d</x:v>
      </x:c>
      <x:c r="AD107" s="12" t="str">
        <x:f>IF(OR(R107="unavailable",T107="unavailable"),"不可评价",IF(AND(R107="positive",T107="positive"),"a",IF(T107="positive","b",IF(R107="positive","c","d"))))</x:f>
        <x:v>d</x:v>
      </x:c>
      <x:c r="AE107" s="12" t="str">
        <x:f>IF(OR(W107="unavailable",Y107="unavailable"),"不可评价",IF(AND(OR(W107="positive",W107="equivocal"),OR(Y107="positive",Y107="equivocal")),"a",IF(OR(Y107="positive",Y107="equivocal"),"b",IF(OR(W107="positive",W107="equivocal"),"c","d"))))</x:f>
        <x:v>d</x:v>
      </x:c>
      <x:c r="AF107" s="12" t="str">
        <x:f>IF(OR(W107="unavailable",Y107="unavailable"),"不可评价",IF(AND(W107="positive",Y107="positive"),"a",IF(Y107="positive","b",IF(W107="positive","c","d"))))</x:f>
        <x:v>d</x:v>
      </x:c>
    </x:row>
    <x:row r="108" ht="24" customHeight="1">
      <x:c r="A108" s="12" t="str">
        <x:v>848</x:v>
      </x:c>
      <x:c r="B108" s="12" t="str">
        <x:v>7516</x:v>
      </x:c>
      <x:c r="C108" s="21" t="n">
        <x:v>31959.409166666668</x:v>
      </x:c>
      <x:c r="D108" s="12" t="n">
        <x:v>75</x:v>
      </x:c>
      <x:c r="E108" s="12" t="n">
        <x:v>0</x:v>
      </x:c>
      <x:c r="F108" s="12" t="str">
        <x:v>未记录</x:v>
      </x:c>
      <x:c r="G108" s="12" t="n">
        <x:v>1</x:v>
      </x:c>
      <x:c r="H108" s="12" t="str">
        <x:v>{'NORM': 100.0, 'NT_': 0.0, 'SR': 0.0}</x:v>
      </x:c>
      <x:c r="I108" s="12" t="str">
        <x:v>[('SBRAD', 100.0), ('ABR', 100.0)]</x:v>
      </x:c>
      <x:c r="J108" s="12" t="str">
        <x:v>ptbxl_database.csv；ecg_id=848；scp_codes</x:v>
      </x:c>
      <x:c r="K108" s="12" t="str">
        <x:v>12sl_statements.csv；ecg_id=848；statements_ext_snomed</x:v>
      </x:c>
      <x:c r="L108" s="12"/>
      <x:c r="M108" s="12" t="str">
        <x:v>negative</x:v>
      </x:c>
      <x:c r="N108" s="12"/>
      <x:c r="O108" s="12" t="str">
        <x:v>negative</x:v>
      </x:c>
      <x:c r="P108" s="12" t="str">
        <x:f>IF(OR(M108="unavailable",O108="unavailable"),"不可评价",IF(OR(M108="equivocal",O108="equivocal"),"疑似",IF(AND(M108="positive",O108="positive"),"a",IF(O108="positive","b",IF(M108="positive","c","d")))))</x:f>
        <x:v>d</x:v>
      </x:c>
      <x:c r="Q108" s="12"/>
      <x:c r="R108" s="12" t="str">
        <x:v>negative</x:v>
      </x:c>
      <x:c r="S108" s="12"/>
      <x:c r="T108" s="12" t="str">
        <x:v>negative</x:v>
      </x:c>
      <x:c r="U108" s="12" t="str">
        <x:f>IF(OR(R108="unavailable",T108="unavailable"),"不可评价",IF(OR(R108="equivocal",T108="equivocal"),"疑似",IF(AND(R108="positive",T108="positive"),"a",IF(T108="positive","b",IF(R108="positive","c","d")))))</x:f>
        <x:v>d</x:v>
      </x:c>
      <x:c r="V108" s="12"/>
      <x:c r="W108" s="12" t="str">
        <x:v>negative</x:v>
      </x:c>
      <x:c r="X108" s="12"/>
      <x:c r="Y108" s="12" t="str">
        <x:v>negative</x:v>
      </x:c>
      <x:c r="Z108" s="12" t="str">
        <x:f>IF(OR(W108="unavailable",Y108="unavailable"),"不可评价",IF(OR(W108="equivocal",Y108="equivocal"),"疑似",IF(AND(W108="positive",Y108="positive"),"a",IF(Y108="positive","b",IF(W108="positive","c","d")))))</x:f>
        <x:v>d</x:v>
      </x:c>
      <x:c r="AA108" s="12" t="str">
        <x:f>IF(OR(M108="unavailable",O108="unavailable"),"不可评价",IF(AND(OR(M108="positive",M108="equivocal"),OR(O108="positive",O108="equivocal")),"a",IF(OR(O108="positive",O108="equivocal"),"b",IF(OR(M108="positive",M108="equivocal"),"c","d"))))</x:f>
        <x:v>d</x:v>
      </x:c>
      <x:c r="AB108" s="12" t="str">
        <x:f>IF(OR(M108="unavailable",O108="unavailable"),"不可评价",IF(AND(M108="positive",O108="positive"),"a",IF(O108="positive","b",IF(M108="positive","c","d"))))</x:f>
        <x:v>d</x:v>
      </x:c>
      <x:c r="AC108" s="12" t="str">
        <x:f>IF(OR(R108="unavailable",T108="unavailable"),"不可评价",IF(AND(OR(R108="positive",R108="equivocal"),OR(T108="positive",T108="equivocal")),"a",IF(OR(T108="positive",T108="equivocal"),"b",IF(OR(R108="positive",R108="equivocal"),"c","d"))))</x:f>
        <x:v>d</x:v>
      </x:c>
      <x:c r="AD108" s="12" t="str">
        <x:f>IF(OR(R108="unavailable",T108="unavailable"),"不可评价",IF(AND(R108="positive",T108="positive"),"a",IF(T108="positive","b",IF(R108="positive","c","d"))))</x:f>
        <x:v>d</x:v>
      </x:c>
      <x:c r="AE108" s="12" t="str">
        <x:f>IF(OR(W108="unavailable",Y108="unavailable"),"不可评价",IF(AND(OR(W108="positive",W108="equivocal"),OR(Y108="positive",Y108="equivocal")),"a",IF(OR(Y108="positive",Y108="equivocal"),"b",IF(OR(W108="positive",W108="equivocal"),"c","d"))))</x:f>
        <x:v>d</x:v>
      </x:c>
      <x:c r="AF108" s="12" t="str">
        <x:f>IF(OR(W108="unavailable",Y108="unavailable"),"不可评价",IF(AND(W108="positive",Y108="positive"),"a",IF(Y108="positive","b",IF(W108="positive","c","d"))))</x:f>
        <x:v>d</x:v>
      </x:c>
    </x:row>
    <x:row r="109" ht="24" customHeight="1">
      <x:c r="A109" s="12" t="str">
        <x:v>854</x:v>
      </x:c>
      <x:c r="B109" s="12" t="str">
        <x:v>4319</x:v>
      </x:c>
      <x:c r="C109" s="21" t="n">
        <x:v>31959.703009259258</x:v>
      </x:c>
      <x:c r="D109" s="12" t="n">
        <x:v>53</x:v>
      </x:c>
      <x:c r="E109" s="12" t="n">
        <x:v>0</x:v>
      </x:c>
      <x:c r="F109" s="12" t="str">
        <x:v>未记录</x:v>
      </x:c>
      <x:c r="G109" s="12" t="n">
        <x:v>1</x:v>
      </x:c>
      <x:c r="H109" s="12" t="str">
        <x:v>{'ASMI': 100.0, 'ISCAL': 100.0}</x:v>
      </x:c>
      <x:c r="I109" s="12" t="str">
        <x:v>[('NSR', 100.0), ('LOWV', 100.0), ('LT', 100.0), ('AB', 100.0)]</x:v>
      </x:c>
      <x:c r="J109" s="12" t="str">
        <x:v>ptbxl_database.csv；ecg_id=854；scp_codes</x:v>
      </x:c>
      <x:c r="K109" s="12" t="str">
        <x:v>12sl_statements.csv；ecg_id=854；statements_ext_snomed</x:v>
      </x:c>
      <x:c r="L109" s="12"/>
      <x:c r="M109" s="12" t="str">
        <x:v>negative</x:v>
      </x:c>
      <x:c r="N109" s="12"/>
      <x:c r="O109" s="12" t="str">
        <x:v>negative</x:v>
      </x:c>
      <x:c r="P109" s="12" t="str">
        <x:f>IF(OR(M109="unavailable",O109="unavailable"),"不可评价",IF(OR(M109="equivocal",O109="equivocal"),"疑似",IF(AND(M109="positive",O109="positive"),"a",IF(O109="positive","b",IF(M109="positive","c","d")))))</x:f>
        <x:v>d</x:v>
      </x:c>
      <x:c r="Q109" s="12"/>
      <x:c r="R109" s="12" t="str">
        <x:v>negative</x:v>
      </x:c>
      <x:c r="S109" s="12"/>
      <x:c r="T109" s="12" t="str">
        <x:v>negative</x:v>
      </x:c>
      <x:c r="U109" s="12" t="str">
        <x:f>IF(OR(R109="unavailable",T109="unavailable"),"不可评价",IF(OR(R109="equivocal",T109="equivocal"),"疑似",IF(AND(R109="positive",T109="positive"),"a",IF(T109="positive","b",IF(R109="positive","c","d")))))</x:f>
        <x:v>d</x:v>
      </x:c>
      <x:c r="V109" s="12"/>
      <x:c r="W109" s="12" t="str">
        <x:v>negative</x:v>
      </x:c>
      <x:c r="X109" s="12"/>
      <x:c r="Y109" s="12" t="str">
        <x:v>negative</x:v>
      </x:c>
      <x:c r="Z109" s="12" t="str">
        <x:f>IF(OR(W109="unavailable",Y109="unavailable"),"不可评价",IF(OR(W109="equivocal",Y109="equivocal"),"疑似",IF(AND(W109="positive",Y109="positive"),"a",IF(Y109="positive","b",IF(W109="positive","c","d")))))</x:f>
        <x:v>d</x:v>
      </x:c>
      <x:c r="AA109" s="12" t="str">
        <x:f>IF(OR(M109="unavailable",O109="unavailable"),"不可评价",IF(AND(OR(M109="positive",M109="equivocal"),OR(O109="positive",O109="equivocal")),"a",IF(OR(O109="positive",O109="equivocal"),"b",IF(OR(M109="positive",M109="equivocal"),"c","d"))))</x:f>
        <x:v>d</x:v>
      </x:c>
      <x:c r="AB109" s="12" t="str">
        <x:f>IF(OR(M109="unavailable",O109="unavailable"),"不可评价",IF(AND(M109="positive",O109="positive"),"a",IF(O109="positive","b",IF(M109="positive","c","d"))))</x:f>
        <x:v>d</x:v>
      </x:c>
      <x:c r="AC109" s="12" t="str">
        <x:f>IF(OR(R109="unavailable",T109="unavailable"),"不可评价",IF(AND(OR(R109="positive",R109="equivocal"),OR(T109="positive",T109="equivocal")),"a",IF(OR(T109="positive",T109="equivocal"),"b",IF(OR(R109="positive",R109="equivocal"),"c","d"))))</x:f>
        <x:v>d</x:v>
      </x:c>
      <x:c r="AD109" s="12" t="str">
        <x:f>IF(OR(R109="unavailable",T109="unavailable"),"不可评价",IF(AND(R109="positive",T109="positive"),"a",IF(T109="positive","b",IF(R109="positive","c","d"))))</x:f>
        <x:v>d</x:v>
      </x:c>
      <x:c r="AE109" s="12" t="str">
        <x:f>IF(OR(W109="unavailable",Y109="unavailable"),"不可评价",IF(AND(OR(W109="positive",W109="equivocal"),OR(Y109="positive",Y109="equivocal")),"a",IF(OR(Y109="positive",Y109="equivocal"),"b",IF(OR(W109="positive",W109="equivocal"),"c","d"))))</x:f>
        <x:v>d</x:v>
      </x:c>
      <x:c r="AF109" s="12" t="str">
        <x:f>IF(OR(W109="unavailable",Y109="unavailable"),"不可评价",IF(AND(W109="positive",Y109="positive"),"a",IF(Y109="positive","b",IF(W109="positive","c","d"))))</x:f>
        <x:v>d</x:v>
      </x:c>
    </x:row>
    <x:row r="110" ht="24" customHeight="1">
      <x:c r="A110" s="12" t="str">
        <x:v>861</x:v>
      </x:c>
      <x:c r="B110" s="12" t="str">
        <x:v>1432</x:v>
      </x:c>
      <x:c r="C110" s="21" t="n">
        <x:v>31960.581041666668</x:v>
      </x:c>
      <x:c r="D110" s="12" t="n">
        <x:v>82</x:v>
      </x:c>
      <x:c r="E110" s="12" t="n">
        <x:v>1</x:v>
      </x:c>
      <x:c r="F110" s="12" t="str">
        <x:v>未记录</x:v>
      </x:c>
      <x:c r="G110" s="12" t="n">
        <x:v>1</x:v>
      </x:c>
      <x:c r="H110" s="12" t="str">
        <x:v>{'NST_': 100.0, 'PAC': 0.0, 'STD_': 0.0, 'SR': 0.0}</x:v>
      </x:c>
      <x:c r="I110" s="12" t="str">
        <x:v>[('SRTH', 100.0), ('PAC', 100.0), ('NST', 100.0), ('AB', 100.0)]</x:v>
      </x:c>
      <x:c r="J110" s="12" t="str">
        <x:v>ptbxl_database.csv；ecg_id=861；scp_codes</x:v>
      </x:c>
      <x:c r="K110" s="12" t="str">
        <x:v>12sl_statements.csv；ecg_id=861；statements_ext_snomed</x:v>
      </x:c>
      <x:c r="L110" s="12"/>
      <x:c r="M110" s="12" t="str">
        <x:v>negative</x:v>
      </x:c>
      <x:c r="N110" s="12"/>
      <x:c r="O110" s="12" t="str">
        <x:v>negative</x:v>
      </x:c>
      <x:c r="P110" s="12" t="str">
        <x:f>IF(OR(M110="unavailable",O110="unavailable"),"不可评价",IF(OR(M110="equivocal",O110="equivocal"),"疑似",IF(AND(M110="positive",O110="positive"),"a",IF(O110="positive","b",IF(M110="positive","c","d")))))</x:f>
        <x:v>d</x:v>
      </x:c>
      <x:c r="Q110" s="12"/>
      <x:c r="R110" s="12" t="str">
        <x:v>negative</x:v>
      </x:c>
      <x:c r="S110" s="12"/>
      <x:c r="T110" s="12" t="str">
        <x:v>negative</x:v>
      </x:c>
      <x:c r="U110" s="12" t="str">
        <x:f>IF(OR(R110="unavailable",T110="unavailable"),"不可评价",IF(OR(R110="equivocal",T110="equivocal"),"疑似",IF(AND(R110="positive",T110="positive"),"a",IF(T110="positive","b",IF(R110="positive","c","d")))))</x:f>
        <x:v>d</x:v>
      </x:c>
      <x:c r="V110" s="12"/>
      <x:c r="W110" s="12" t="str">
        <x:v>negative</x:v>
      </x:c>
      <x:c r="X110" s="12"/>
      <x:c r="Y110" s="12" t="str">
        <x:v>negative</x:v>
      </x:c>
      <x:c r="Z110" s="12" t="str">
        <x:f>IF(OR(W110="unavailable",Y110="unavailable"),"不可评价",IF(OR(W110="equivocal",Y110="equivocal"),"疑似",IF(AND(W110="positive",Y110="positive"),"a",IF(Y110="positive","b",IF(W110="positive","c","d")))))</x:f>
        <x:v>d</x:v>
      </x:c>
      <x:c r="AA110" s="12" t="str">
        <x:f>IF(OR(M110="unavailable",O110="unavailable"),"不可评价",IF(AND(OR(M110="positive",M110="equivocal"),OR(O110="positive",O110="equivocal")),"a",IF(OR(O110="positive",O110="equivocal"),"b",IF(OR(M110="positive",M110="equivocal"),"c","d"))))</x:f>
        <x:v>d</x:v>
      </x:c>
      <x:c r="AB110" s="12" t="str">
        <x:f>IF(OR(M110="unavailable",O110="unavailable"),"不可评价",IF(AND(M110="positive",O110="positive"),"a",IF(O110="positive","b",IF(M110="positive","c","d"))))</x:f>
        <x:v>d</x:v>
      </x:c>
      <x:c r="AC110" s="12" t="str">
        <x:f>IF(OR(R110="unavailable",T110="unavailable"),"不可评价",IF(AND(OR(R110="positive",R110="equivocal"),OR(T110="positive",T110="equivocal")),"a",IF(OR(T110="positive",T110="equivocal"),"b",IF(OR(R110="positive",R110="equivocal"),"c","d"))))</x:f>
        <x:v>d</x:v>
      </x:c>
      <x:c r="AD110" s="12" t="str">
        <x:f>IF(OR(R110="unavailable",T110="unavailable"),"不可评价",IF(AND(R110="positive",T110="positive"),"a",IF(T110="positive","b",IF(R110="positive","c","d"))))</x:f>
        <x:v>d</x:v>
      </x:c>
      <x:c r="AE110" s="12" t="str">
        <x:f>IF(OR(W110="unavailable",Y110="unavailable"),"不可评价",IF(AND(OR(W110="positive",W110="equivocal"),OR(Y110="positive",Y110="equivocal")),"a",IF(OR(Y110="positive",Y110="equivocal"),"b",IF(OR(W110="positive",W110="equivocal"),"c","d"))))</x:f>
        <x:v>d</x:v>
      </x:c>
      <x:c r="AF110" s="12" t="str">
        <x:f>IF(OR(W110="unavailable",Y110="unavailable"),"不可评价",IF(AND(W110="positive",Y110="positive"),"a",IF(Y110="positive","b",IF(W110="positive","c","d"))))</x:f>
        <x:v>d</x:v>
      </x:c>
    </x:row>
    <x:row r="111" ht="24" customHeight="1">
      <x:c r="A111" s="12" t="str">
        <x:v>886</x:v>
      </x:c>
      <x:c r="B111" s="12" t="str">
        <x:v>3744</x:v>
      </x:c>
      <x:c r="C111" s="21" t="n">
        <x:v>31963.60898148148</x:v>
      </x:c>
      <x:c r="D111" s="12" t="n">
        <x:v>79</x:v>
      </x:c>
      <x:c r="E111" s="12" t="n">
        <x:v>1</x:v>
      </x:c>
      <x:c r="F111" s="12" t="str">
        <x:v>未记录</x:v>
      </x:c>
      <x:c r="G111" s="12" t="n">
        <x:v>1</x:v>
      </x:c>
      <x:c r="H111" s="12" t="str">
        <x:v>{'NORM': 100.0, 'SR': 0.0}</x:v>
      </x:c>
      <x:c r="I111" s="12" t="str">
        <x:v>[('NSR', 100.0), ('RAE', 100.0), ('BORDE', 100.0)]</x:v>
      </x:c>
      <x:c r="J111" s="12" t="str">
        <x:v>ptbxl_database.csv；ecg_id=886；scp_codes</x:v>
      </x:c>
      <x:c r="K111" s="12" t="str">
        <x:v>12sl_statements.csv；ecg_id=886；statements_ext_snomed</x:v>
      </x:c>
      <x:c r="L111" s="12"/>
      <x:c r="M111" s="12" t="str">
        <x:v>negative</x:v>
      </x:c>
      <x:c r="N111" s="12"/>
      <x:c r="O111" s="12" t="str">
        <x:v>negative</x:v>
      </x:c>
      <x:c r="P111" s="12" t="str">
        <x:f>IF(OR(M111="unavailable",O111="unavailable"),"不可评价",IF(OR(M111="equivocal",O111="equivocal"),"疑似",IF(AND(M111="positive",O111="positive"),"a",IF(O111="positive","b",IF(M111="positive","c","d")))))</x:f>
        <x:v>d</x:v>
      </x:c>
      <x:c r="Q111" s="12"/>
      <x:c r="R111" s="12" t="str">
        <x:v>negative</x:v>
      </x:c>
      <x:c r="S111" s="12"/>
      <x:c r="T111" s="12" t="str">
        <x:v>negative</x:v>
      </x:c>
      <x:c r="U111" s="12" t="str">
        <x:f>IF(OR(R111="unavailable",T111="unavailable"),"不可评价",IF(OR(R111="equivocal",T111="equivocal"),"疑似",IF(AND(R111="positive",T111="positive"),"a",IF(T111="positive","b",IF(R111="positive","c","d")))))</x:f>
        <x:v>d</x:v>
      </x:c>
      <x:c r="V111" s="12"/>
      <x:c r="W111" s="12" t="str">
        <x:v>negative</x:v>
      </x:c>
      <x:c r="X111" s="12"/>
      <x:c r="Y111" s="12" t="str">
        <x:v>negative</x:v>
      </x:c>
      <x:c r="Z111" s="12" t="str">
        <x:f>IF(OR(W111="unavailable",Y111="unavailable"),"不可评价",IF(OR(W111="equivocal",Y111="equivocal"),"疑似",IF(AND(W111="positive",Y111="positive"),"a",IF(Y111="positive","b",IF(W111="positive","c","d")))))</x:f>
        <x:v>d</x:v>
      </x:c>
      <x:c r="AA111" s="12" t="str">
        <x:f>IF(OR(M111="unavailable",O111="unavailable"),"不可评价",IF(AND(OR(M111="positive",M111="equivocal"),OR(O111="positive",O111="equivocal")),"a",IF(OR(O111="positive",O111="equivocal"),"b",IF(OR(M111="positive",M111="equivocal"),"c","d"))))</x:f>
        <x:v>d</x:v>
      </x:c>
      <x:c r="AB111" s="12" t="str">
        <x:f>IF(OR(M111="unavailable",O111="unavailable"),"不可评价",IF(AND(M111="positive",O111="positive"),"a",IF(O111="positive","b",IF(M111="positive","c","d"))))</x:f>
        <x:v>d</x:v>
      </x:c>
      <x:c r="AC111" s="12" t="str">
        <x:f>IF(OR(R111="unavailable",T111="unavailable"),"不可评价",IF(AND(OR(R111="positive",R111="equivocal"),OR(T111="positive",T111="equivocal")),"a",IF(OR(T111="positive",T111="equivocal"),"b",IF(OR(R111="positive",R111="equivocal"),"c","d"))))</x:f>
        <x:v>d</x:v>
      </x:c>
      <x:c r="AD111" s="12" t="str">
        <x:f>IF(OR(R111="unavailable",T111="unavailable"),"不可评价",IF(AND(R111="positive",T111="positive"),"a",IF(T111="positive","b",IF(R111="positive","c","d"))))</x:f>
        <x:v>d</x:v>
      </x:c>
      <x:c r="AE111" s="12" t="str">
        <x:f>IF(OR(W111="unavailable",Y111="unavailable"),"不可评价",IF(AND(OR(W111="positive",W111="equivocal"),OR(Y111="positive",Y111="equivocal")),"a",IF(OR(Y111="positive",Y111="equivocal"),"b",IF(OR(W111="positive",W111="equivocal"),"c","d"))))</x:f>
        <x:v>d</x:v>
      </x:c>
      <x:c r="AF111" s="12" t="str">
        <x:f>IF(OR(W111="unavailable",Y111="unavailable"),"不可评价",IF(AND(W111="positive",Y111="positive"),"a",IF(Y111="positive","b",IF(W111="positive","c","d"))))</x:f>
        <x:v>d</x:v>
      </x:c>
    </x:row>
    <x:row r="112" ht="24" customHeight="1">
      <x:c r="A112" s="12" t="str">
        <x:v>892</x:v>
      </x:c>
      <x:c r="B112" s="12" t="str">
        <x:v>6569</x:v>
      </x:c>
      <x:c r="C112" s="21" t="n">
        <x:v>31966.461921296297</x:v>
      </x:c>
      <x:c r="D112" s="12" t="n">
        <x:v>77</x:v>
      </x:c>
      <x:c r="E112" s="12" t="n">
        <x:v>1</x:v>
      </x:c>
      <x:c r="F112" s="12" t="str">
        <x:v>未记录</x:v>
      </x:c>
      <x:c r="G112" s="12" t="n">
        <x:v>1</x:v>
      </x:c>
      <x:c r="H112" s="12" t="str">
        <x:v>{'NORM': 80.0, 'PVC': 0.0, 'STACH': 0.0}</x:v>
      </x:c>
      <x:c r="I112" s="12" t="str">
        <x:v>[('STACH', 100.0), ('PVC', 100.0), ('ABR', 100.0)]</x:v>
      </x:c>
      <x:c r="J112" s="12" t="str">
        <x:v>ptbxl_database.csv；ecg_id=892；scp_codes</x:v>
      </x:c>
      <x:c r="K112" s="12" t="str">
        <x:v>12sl_statements.csv；ecg_id=892；statements_ext_snomed</x:v>
      </x:c>
      <x:c r="L112" s="12"/>
      <x:c r="M112" s="12" t="str">
        <x:v>negative</x:v>
      </x:c>
      <x:c r="N112" s="12"/>
      <x:c r="O112" s="12" t="str">
        <x:v>negative</x:v>
      </x:c>
      <x:c r="P112" s="12" t="str">
        <x:f>IF(OR(M112="unavailable",O112="unavailable"),"不可评价",IF(OR(M112="equivocal",O112="equivocal"),"疑似",IF(AND(M112="positive",O112="positive"),"a",IF(O112="positive","b",IF(M112="positive","c","d")))))</x:f>
        <x:v>d</x:v>
      </x:c>
      <x:c r="Q112" s="12"/>
      <x:c r="R112" s="12" t="str">
        <x:v>negative</x:v>
      </x:c>
      <x:c r="S112" s="12"/>
      <x:c r="T112" s="12" t="str">
        <x:v>negative</x:v>
      </x:c>
      <x:c r="U112" s="12" t="str">
        <x:f>IF(OR(R112="unavailable",T112="unavailable"),"不可评价",IF(OR(R112="equivocal",T112="equivocal"),"疑似",IF(AND(R112="positive",T112="positive"),"a",IF(T112="positive","b",IF(R112="positive","c","d")))))</x:f>
        <x:v>d</x:v>
      </x:c>
      <x:c r="V112" s="12"/>
      <x:c r="W112" s="12" t="str">
        <x:v>negative</x:v>
      </x:c>
      <x:c r="X112" s="12"/>
      <x:c r="Y112" s="12" t="str">
        <x:v>negative</x:v>
      </x:c>
      <x:c r="Z112" s="12" t="str">
        <x:f>IF(OR(W112="unavailable",Y112="unavailable"),"不可评价",IF(OR(W112="equivocal",Y112="equivocal"),"疑似",IF(AND(W112="positive",Y112="positive"),"a",IF(Y112="positive","b",IF(W112="positive","c","d")))))</x:f>
        <x:v>d</x:v>
      </x:c>
      <x:c r="AA112" s="12" t="str">
        <x:f>IF(OR(M112="unavailable",O112="unavailable"),"不可评价",IF(AND(OR(M112="positive",M112="equivocal"),OR(O112="positive",O112="equivocal")),"a",IF(OR(O112="positive",O112="equivocal"),"b",IF(OR(M112="positive",M112="equivocal"),"c","d"))))</x:f>
        <x:v>d</x:v>
      </x:c>
      <x:c r="AB112" s="12" t="str">
        <x:f>IF(OR(M112="unavailable",O112="unavailable"),"不可评价",IF(AND(M112="positive",O112="positive"),"a",IF(O112="positive","b",IF(M112="positive","c","d"))))</x:f>
        <x:v>d</x:v>
      </x:c>
      <x:c r="AC112" s="12" t="str">
        <x:f>IF(OR(R112="unavailable",T112="unavailable"),"不可评价",IF(AND(OR(R112="positive",R112="equivocal"),OR(T112="positive",T112="equivocal")),"a",IF(OR(T112="positive",T112="equivocal"),"b",IF(OR(R112="positive",R112="equivocal"),"c","d"))))</x:f>
        <x:v>d</x:v>
      </x:c>
      <x:c r="AD112" s="12" t="str">
        <x:f>IF(OR(R112="unavailable",T112="unavailable"),"不可评价",IF(AND(R112="positive",T112="positive"),"a",IF(T112="positive","b",IF(R112="positive","c","d"))))</x:f>
        <x:v>d</x:v>
      </x:c>
      <x:c r="AE112" s="12" t="str">
        <x:f>IF(OR(W112="unavailable",Y112="unavailable"),"不可评价",IF(AND(OR(W112="positive",W112="equivocal"),OR(Y112="positive",Y112="equivocal")),"a",IF(OR(Y112="positive",Y112="equivocal"),"b",IF(OR(W112="positive",W112="equivocal"),"c","d"))))</x:f>
        <x:v>d</x:v>
      </x:c>
      <x:c r="AF112" s="12" t="str">
        <x:f>IF(OR(W112="unavailable",Y112="unavailable"),"不可评价",IF(AND(W112="positive",Y112="positive"),"a",IF(Y112="positive","b",IF(W112="positive","c","d"))))</x:f>
        <x:v>d</x:v>
      </x:c>
    </x:row>
    <x:row r="113" ht="24" customHeight="1">
      <x:c r="A113" s="12" t="str">
        <x:v>911</x:v>
      </x:c>
      <x:c r="B113" s="12" t="str">
        <x:v>6027</x:v>
      </x:c>
      <x:c r="C113" s="21" t="n">
        <x:v>31973.29556712963</x:v>
      </x:c>
      <x:c r="D113" s="12" t="n">
        <x:v>51</x:v>
      </x:c>
      <x:c r="E113" s="12" t="n">
        <x:v>1</x:v>
      </x:c>
      <x:c r="F113" s="12" t="str">
        <x:v>未记录</x:v>
      </x:c>
      <x:c r="G113" s="12" t="n">
        <x:v>1</x:v>
      </x:c>
      <x:c r="H113" s="12" t="str">
        <x:v>{'NORM': 100.0, 'SR': 0.0}</x:v>
      </x:c>
      <x:c r="I113" s="12" t="str">
        <x:v>[('NSR', 100.0), ('NML', 100.0)]</x:v>
      </x:c>
      <x:c r="J113" s="12" t="str">
        <x:v>ptbxl_database.csv；ecg_id=911；scp_codes</x:v>
      </x:c>
      <x:c r="K113" s="12" t="str">
        <x:v>12sl_statements.csv；ecg_id=911；statements_ext_snomed</x:v>
      </x:c>
      <x:c r="L113" s="12"/>
      <x:c r="M113" s="12" t="str">
        <x:v>negative</x:v>
      </x:c>
      <x:c r="N113" s="12"/>
      <x:c r="O113" s="12" t="str">
        <x:v>negative</x:v>
      </x:c>
      <x:c r="P113" s="12" t="str">
        <x:f>IF(OR(M113="unavailable",O113="unavailable"),"不可评价",IF(OR(M113="equivocal",O113="equivocal"),"疑似",IF(AND(M113="positive",O113="positive"),"a",IF(O113="positive","b",IF(M113="positive","c","d")))))</x:f>
        <x:v>d</x:v>
      </x:c>
      <x:c r="Q113" s="12"/>
      <x:c r="R113" s="12" t="str">
        <x:v>negative</x:v>
      </x:c>
      <x:c r="S113" s="12"/>
      <x:c r="T113" s="12" t="str">
        <x:v>negative</x:v>
      </x:c>
      <x:c r="U113" s="12" t="str">
        <x:f>IF(OR(R113="unavailable",T113="unavailable"),"不可评价",IF(OR(R113="equivocal",T113="equivocal"),"疑似",IF(AND(R113="positive",T113="positive"),"a",IF(T113="positive","b",IF(R113="positive","c","d")))))</x:f>
        <x:v>d</x:v>
      </x:c>
      <x:c r="V113" s="12"/>
      <x:c r="W113" s="12" t="str">
        <x:v>negative</x:v>
      </x:c>
      <x:c r="X113" s="12"/>
      <x:c r="Y113" s="12" t="str">
        <x:v>negative</x:v>
      </x:c>
      <x:c r="Z113" s="12" t="str">
        <x:f>IF(OR(W113="unavailable",Y113="unavailable"),"不可评价",IF(OR(W113="equivocal",Y113="equivocal"),"疑似",IF(AND(W113="positive",Y113="positive"),"a",IF(Y113="positive","b",IF(W113="positive","c","d")))))</x:f>
        <x:v>d</x:v>
      </x:c>
      <x:c r="AA113" s="12" t="str">
        <x:f>IF(OR(M113="unavailable",O113="unavailable"),"不可评价",IF(AND(OR(M113="positive",M113="equivocal"),OR(O113="positive",O113="equivocal")),"a",IF(OR(O113="positive",O113="equivocal"),"b",IF(OR(M113="positive",M113="equivocal"),"c","d"))))</x:f>
        <x:v>d</x:v>
      </x:c>
      <x:c r="AB113" s="12" t="str">
        <x:f>IF(OR(M113="unavailable",O113="unavailable"),"不可评价",IF(AND(M113="positive",O113="positive"),"a",IF(O113="positive","b",IF(M113="positive","c","d"))))</x:f>
        <x:v>d</x:v>
      </x:c>
      <x:c r="AC113" s="12" t="str">
        <x:f>IF(OR(R113="unavailable",T113="unavailable"),"不可评价",IF(AND(OR(R113="positive",R113="equivocal"),OR(T113="positive",T113="equivocal")),"a",IF(OR(T113="positive",T113="equivocal"),"b",IF(OR(R113="positive",R113="equivocal"),"c","d"))))</x:f>
        <x:v>d</x:v>
      </x:c>
      <x:c r="AD113" s="12" t="str">
        <x:f>IF(OR(R113="unavailable",T113="unavailable"),"不可评价",IF(AND(R113="positive",T113="positive"),"a",IF(T113="positive","b",IF(R113="positive","c","d"))))</x:f>
        <x:v>d</x:v>
      </x:c>
      <x:c r="AE113" s="12" t="str">
        <x:f>IF(OR(W113="unavailable",Y113="unavailable"),"不可评价",IF(AND(OR(W113="positive",W113="equivocal"),OR(Y113="positive",Y113="equivocal")),"a",IF(OR(Y113="positive",Y113="equivocal"),"b",IF(OR(W113="positive",W113="equivocal"),"c","d"))))</x:f>
        <x:v>d</x:v>
      </x:c>
      <x:c r="AF113" s="12" t="str">
        <x:f>IF(OR(W113="unavailable",Y113="unavailable"),"不可评价",IF(AND(W113="positive",Y113="positive"),"a",IF(Y113="positive","b",IF(W113="positive","c","d"))))</x:f>
        <x:v>d</x:v>
      </x:c>
    </x:row>
    <x:row r="114" ht="24" customHeight="1">
      <x:c r="A114" s="12" t="str">
        <x:v>917</x:v>
      </x:c>
      <x:c r="B114" s="12" t="str">
        <x:v>5200</x:v>
      </x:c>
      <x:c r="C114" s="21" t="n">
        <x:v>31973.59568287037</x:v>
      </x:c>
      <x:c r="D114" s="12" t="n">
        <x:v>49</x:v>
      </x:c>
      <x:c r="E114" s="12" t="n">
        <x:v>0</x:v>
      </x:c>
      <x:c r="F114" s="12" t="str">
        <x:v>未记录</x:v>
      </x:c>
      <x:c r="G114" s="12" t="n">
        <x:v>1</x:v>
      </x:c>
      <x:c r="H114" s="12" t="str">
        <x:v>{'NORM': 100.0, 'SR': 0.0}</x:v>
      </x:c>
      <x:c r="I114" s="12" t="str">
        <x:v>[('NSR', 100.0), ('NML', 100.0)]</x:v>
      </x:c>
      <x:c r="J114" s="12" t="str">
        <x:v>ptbxl_database.csv；ecg_id=917；scp_codes</x:v>
      </x:c>
      <x:c r="K114" s="12" t="str">
        <x:v>12sl_statements.csv；ecg_id=917；statements_ext_snomed</x:v>
      </x:c>
      <x:c r="L114" s="12"/>
      <x:c r="M114" s="12" t="str">
        <x:v>negative</x:v>
      </x:c>
      <x:c r="N114" s="12"/>
      <x:c r="O114" s="12" t="str">
        <x:v>negative</x:v>
      </x:c>
      <x:c r="P114" s="12" t="str">
        <x:f>IF(OR(M114="unavailable",O114="unavailable"),"不可评价",IF(OR(M114="equivocal",O114="equivocal"),"疑似",IF(AND(M114="positive",O114="positive"),"a",IF(O114="positive","b",IF(M114="positive","c","d")))))</x:f>
        <x:v>d</x:v>
      </x:c>
      <x:c r="Q114" s="12"/>
      <x:c r="R114" s="12" t="str">
        <x:v>negative</x:v>
      </x:c>
      <x:c r="S114" s="12"/>
      <x:c r="T114" s="12" t="str">
        <x:v>negative</x:v>
      </x:c>
      <x:c r="U114" s="12" t="str">
        <x:f>IF(OR(R114="unavailable",T114="unavailable"),"不可评价",IF(OR(R114="equivocal",T114="equivocal"),"疑似",IF(AND(R114="positive",T114="positive"),"a",IF(T114="positive","b",IF(R114="positive","c","d")))))</x:f>
        <x:v>d</x:v>
      </x:c>
      <x:c r="V114" s="12"/>
      <x:c r="W114" s="12" t="str">
        <x:v>negative</x:v>
      </x:c>
      <x:c r="X114" s="12"/>
      <x:c r="Y114" s="12" t="str">
        <x:v>negative</x:v>
      </x:c>
      <x:c r="Z114" s="12" t="str">
        <x:f>IF(OR(W114="unavailable",Y114="unavailable"),"不可评价",IF(OR(W114="equivocal",Y114="equivocal"),"疑似",IF(AND(W114="positive",Y114="positive"),"a",IF(Y114="positive","b",IF(W114="positive","c","d")))))</x:f>
        <x:v>d</x:v>
      </x:c>
      <x:c r="AA114" s="12" t="str">
        <x:f>IF(OR(M114="unavailable",O114="unavailable"),"不可评价",IF(AND(OR(M114="positive",M114="equivocal"),OR(O114="positive",O114="equivocal")),"a",IF(OR(O114="positive",O114="equivocal"),"b",IF(OR(M114="positive",M114="equivocal"),"c","d"))))</x:f>
        <x:v>d</x:v>
      </x:c>
      <x:c r="AB114" s="12" t="str">
        <x:f>IF(OR(M114="unavailable",O114="unavailable"),"不可评价",IF(AND(M114="positive",O114="positive"),"a",IF(O114="positive","b",IF(M114="positive","c","d"))))</x:f>
        <x:v>d</x:v>
      </x:c>
      <x:c r="AC114" s="12" t="str">
        <x:f>IF(OR(R114="unavailable",T114="unavailable"),"不可评价",IF(AND(OR(R114="positive",R114="equivocal"),OR(T114="positive",T114="equivocal")),"a",IF(OR(T114="positive",T114="equivocal"),"b",IF(OR(R114="positive",R114="equivocal"),"c","d"))))</x:f>
        <x:v>d</x:v>
      </x:c>
      <x:c r="AD114" s="12" t="str">
        <x:f>IF(OR(R114="unavailable",T114="unavailable"),"不可评价",IF(AND(R114="positive",T114="positive"),"a",IF(T114="positive","b",IF(R114="positive","c","d"))))</x:f>
        <x:v>d</x:v>
      </x:c>
      <x:c r="AE114" s="12" t="str">
        <x:f>IF(OR(W114="unavailable",Y114="unavailable"),"不可评价",IF(AND(OR(W114="positive",W114="equivocal"),OR(Y114="positive",Y114="equivocal")),"a",IF(OR(Y114="positive",Y114="equivocal"),"b",IF(OR(W114="positive",W114="equivocal"),"c","d"))))</x:f>
        <x:v>d</x:v>
      </x:c>
      <x:c r="AF114" s="12" t="str">
        <x:f>IF(OR(W114="unavailable",Y114="unavailable"),"不可评价",IF(AND(W114="positive",Y114="positive"),"a",IF(Y114="positive","b",IF(W114="positive","c","d"))))</x:f>
        <x:v>d</x:v>
      </x:c>
    </x:row>
    <x:row r="115" ht="24" customHeight="1">
      <x:c r="A115" s="12" t="str">
        <x:v>928</x:v>
      </x:c>
      <x:c r="B115" s="12" t="str">
        <x:v>4709</x:v>
      </x:c>
      <x:c r="C115" s="21" t="n">
        <x:v>31974.60171296296</x:v>
      </x:c>
      <x:c r="D115" s="12" t="n">
        <x:v>56</x:v>
      </x:c>
      <x:c r="E115" s="12" t="n">
        <x:v>1</x:v>
      </x:c>
      <x:c r="F115" s="12" t="str">
        <x:v>未记录</x:v>
      </x:c>
      <x:c r="G115" s="12" t="n">
        <x:v>1</x:v>
      </x:c>
      <x:c r="H115" s="12" t="str">
        <x:v>{'NORM': 100.0, 'SR': 0.0}</x:v>
      </x:c>
      <x:c r="I115" s="12" t="str">
        <x:v>[('NSR', 100.0), ('NML', 100.0)]</x:v>
      </x:c>
      <x:c r="J115" s="12" t="str">
        <x:v>ptbxl_database.csv；ecg_id=928；scp_codes</x:v>
      </x:c>
      <x:c r="K115" s="12" t="str">
        <x:v>12sl_statements.csv；ecg_id=928；statements_ext_snomed</x:v>
      </x:c>
      <x:c r="L115" s="12"/>
      <x:c r="M115" s="12" t="str">
        <x:v>negative</x:v>
      </x:c>
      <x:c r="N115" s="12"/>
      <x:c r="O115" s="12" t="str">
        <x:v>negative</x:v>
      </x:c>
      <x:c r="P115" s="12" t="str">
        <x:f>IF(OR(M115="unavailable",O115="unavailable"),"不可评价",IF(OR(M115="equivocal",O115="equivocal"),"疑似",IF(AND(M115="positive",O115="positive"),"a",IF(O115="positive","b",IF(M115="positive","c","d")))))</x:f>
        <x:v>d</x:v>
      </x:c>
      <x:c r="Q115" s="12"/>
      <x:c r="R115" s="12" t="str">
        <x:v>negative</x:v>
      </x:c>
      <x:c r="S115" s="12"/>
      <x:c r="T115" s="12" t="str">
        <x:v>negative</x:v>
      </x:c>
      <x:c r="U115" s="12" t="str">
        <x:f>IF(OR(R115="unavailable",T115="unavailable"),"不可评价",IF(OR(R115="equivocal",T115="equivocal"),"疑似",IF(AND(R115="positive",T115="positive"),"a",IF(T115="positive","b",IF(R115="positive","c","d")))))</x:f>
        <x:v>d</x:v>
      </x:c>
      <x:c r="V115" s="12"/>
      <x:c r="W115" s="12" t="str">
        <x:v>negative</x:v>
      </x:c>
      <x:c r="X115" s="12"/>
      <x:c r="Y115" s="12" t="str">
        <x:v>negative</x:v>
      </x:c>
      <x:c r="Z115" s="12" t="str">
        <x:f>IF(OR(W115="unavailable",Y115="unavailable"),"不可评价",IF(OR(W115="equivocal",Y115="equivocal"),"疑似",IF(AND(W115="positive",Y115="positive"),"a",IF(Y115="positive","b",IF(W115="positive","c","d")))))</x:f>
        <x:v>d</x:v>
      </x:c>
      <x:c r="AA115" s="12" t="str">
        <x:f>IF(OR(M115="unavailable",O115="unavailable"),"不可评价",IF(AND(OR(M115="positive",M115="equivocal"),OR(O115="positive",O115="equivocal")),"a",IF(OR(O115="positive",O115="equivocal"),"b",IF(OR(M115="positive",M115="equivocal"),"c","d"))))</x:f>
        <x:v>d</x:v>
      </x:c>
      <x:c r="AB115" s="12" t="str">
        <x:f>IF(OR(M115="unavailable",O115="unavailable"),"不可评价",IF(AND(M115="positive",O115="positive"),"a",IF(O115="positive","b",IF(M115="positive","c","d"))))</x:f>
        <x:v>d</x:v>
      </x:c>
      <x:c r="AC115" s="12" t="str">
        <x:f>IF(OR(R115="unavailable",T115="unavailable"),"不可评价",IF(AND(OR(R115="positive",R115="equivocal"),OR(T115="positive",T115="equivocal")),"a",IF(OR(T115="positive",T115="equivocal"),"b",IF(OR(R115="positive",R115="equivocal"),"c","d"))))</x:f>
        <x:v>d</x:v>
      </x:c>
      <x:c r="AD115" s="12" t="str">
        <x:f>IF(OR(R115="unavailable",T115="unavailable"),"不可评价",IF(AND(R115="positive",T115="positive"),"a",IF(T115="positive","b",IF(R115="positive","c","d"))))</x:f>
        <x:v>d</x:v>
      </x:c>
      <x:c r="AE115" s="12" t="str">
        <x:f>IF(OR(W115="unavailable",Y115="unavailable"),"不可评价",IF(AND(OR(W115="positive",W115="equivocal"),OR(Y115="positive",Y115="equivocal")),"a",IF(OR(Y115="positive",Y115="equivocal"),"b",IF(OR(W115="positive",W115="equivocal"),"c","d"))))</x:f>
        <x:v>d</x:v>
      </x:c>
      <x:c r="AF115" s="12" t="str">
        <x:f>IF(OR(W115="unavailable",Y115="unavailable"),"不可评价",IF(AND(W115="positive",Y115="positive"),"a",IF(Y115="positive","b",IF(W115="positive","c","d"))))</x:f>
        <x:v>d</x:v>
      </x:c>
    </x:row>
    <x:row r="116" ht="24" customHeight="1">
      <x:c r="A116" s="12" t="str">
        <x:v>931</x:v>
      </x:c>
      <x:c r="B116" s="12" t="str">
        <x:v>12493</x:v>
      </x:c>
      <x:c r="C116" s="21" t="n">
        <x:v>31975.318252314813</x:v>
      </x:c>
      <x:c r="D116" s="12" t="n">
        <x:v>32</x:v>
      </x:c>
      <x:c r="E116" s="12" t="n">
        <x:v>0</x:v>
      </x:c>
      <x:c r="F116" s="12" t="str">
        <x:v>未记录</x:v>
      </x:c>
      <x:c r="G116" s="12" t="n">
        <x:v>1</x:v>
      </x:c>
      <x:c r="H116" s="12" t="str">
        <x:v>{'NORM': 80.0, 'IVCD': 100.0, 'SR': 0.0}</x:v>
      </x:c>
      <x:c r="I116" s="12" t="str">
        <x:v>[('NSR', 100.0), ('NML', 100.0)]</x:v>
      </x:c>
      <x:c r="J116" s="12" t="str">
        <x:v>ptbxl_database.csv；ecg_id=931；scp_codes</x:v>
      </x:c>
      <x:c r="K116" s="12" t="str">
        <x:v>12sl_statements.csv；ecg_id=931；statements_ext_snomed</x:v>
      </x:c>
      <x:c r="L116" s="12"/>
      <x:c r="M116" s="12" t="str">
        <x:v>negative</x:v>
      </x:c>
      <x:c r="N116" s="12"/>
      <x:c r="O116" s="12" t="str">
        <x:v>negative</x:v>
      </x:c>
      <x:c r="P116" s="12" t="str">
        <x:f>IF(OR(M116="unavailable",O116="unavailable"),"不可评价",IF(OR(M116="equivocal",O116="equivocal"),"疑似",IF(AND(M116="positive",O116="positive"),"a",IF(O116="positive","b",IF(M116="positive","c","d")))))</x:f>
        <x:v>d</x:v>
      </x:c>
      <x:c r="Q116" s="12"/>
      <x:c r="R116" s="12" t="str">
        <x:v>negative</x:v>
      </x:c>
      <x:c r="S116" s="12"/>
      <x:c r="T116" s="12" t="str">
        <x:v>negative</x:v>
      </x:c>
      <x:c r="U116" s="12" t="str">
        <x:f>IF(OR(R116="unavailable",T116="unavailable"),"不可评价",IF(OR(R116="equivocal",T116="equivocal"),"疑似",IF(AND(R116="positive",T116="positive"),"a",IF(T116="positive","b",IF(R116="positive","c","d")))))</x:f>
        <x:v>d</x:v>
      </x:c>
      <x:c r="V116" s="12"/>
      <x:c r="W116" s="12" t="str">
        <x:v>negative</x:v>
      </x:c>
      <x:c r="X116" s="12"/>
      <x:c r="Y116" s="12" t="str">
        <x:v>negative</x:v>
      </x:c>
      <x:c r="Z116" s="12" t="str">
        <x:f>IF(OR(W116="unavailable",Y116="unavailable"),"不可评价",IF(OR(W116="equivocal",Y116="equivocal"),"疑似",IF(AND(W116="positive",Y116="positive"),"a",IF(Y116="positive","b",IF(W116="positive","c","d")))))</x:f>
        <x:v>d</x:v>
      </x:c>
      <x:c r="AA116" s="12" t="str">
        <x:f>IF(OR(M116="unavailable",O116="unavailable"),"不可评价",IF(AND(OR(M116="positive",M116="equivocal"),OR(O116="positive",O116="equivocal")),"a",IF(OR(O116="positive",O116="equivocal"),"b",IF(OR(M116="positive",M116="equivocal"),"c","d"))))</x:f>
        <x:v>d</x:v>
      </x:c>
      <x:c r="AB116" s="12" t="str">
        <x:f>IF(OR(M116="unavailable",O116="unavailable"),"不可评价",IF(AND(M116="positive",O116="positive"),"a",IF(O116="positive","b",IF(M116="positive","c","d"))))</x:f>
        <x:v>d</x:v>
      </x:c>
      <x:c r="AC116" s="12" t="str">
        <x:f>IF(OR(R116="unavailable",T116="unavailable"),"不可评价",IF(AND(OR(R116="positive",R116="equivocal"),OR(T116="positive",T116="equivocal")),"a",IF(OR(T116="positive",T116="equivocal"),"b",IF(OR(R116="positive",R116="equivocal"),"c","d"))))</x:f>
        <x:v>d</x:v>
      </x:c>
      <x:c r="AD116" s="12" t="str">
        <x:f>IF(OR(R116="unavailable",T116="unavailable"),"不可评价",IF(AND(R116="positive",T116="positive"),"a",IF(T116="positive","b",IF(R116="positive","c","d"))))</x:f>
        <x:v>d</x:v>
      </x:c>
      <x:c r="AE116" s="12" t="str">
        <x:f>IF(OR(W116="unavailable",Y116="unavailable"),"不可评价",IF(AND(OR(W116="positive",W116="equivocal"),OR(Y116="positive",Y116="equivocal")),"a",IF(OR(Y116="positive",Y116="equivocal"),"b",IF(OR(W116="positive",W116="equivocal"),"c","d"))))</x:f>
        <x:v>d</x:v>
      </x:c>
      <x:c r="AF116" s="12" t="str">
        <x:f>IF(OR(W116="unavailable",Y116="unavailable"),"不可评价",IF(AND(W116="positive",Y116="positive"),"a",IF(Y116="positive","b",IF(W116="positive","c","d"))))</x:f>
        <x:v>d</x:v>
      </x:c>
    </x:row>
    <x:row r="117" ht="24" customHeight="1">
      <x:c r="A117" s="12" t="str">
        <x:v>935</x:v>
      </x:c>
      <x:c r="B117" s="12" t="str">
        <x:v>13282</x:v>
      </x:c>
      <x:c r="C117" s="21" t="n">
        <x:v>31975.526099537037</x:v>
      </x:c>
      <x:c r="D117" s="12" t="n">
        <x:v>44</x:v>
      </x:c>
      <x:c r="E117" s="12" t="n">
        <x:v>0</x:v>
      </x:c>
      <x:c r="F117" s="12" t="str">
        <x:v>未记录</x:v>
      </x:c>
      <x:c r="G117" s="12" t="n">
        <x:v>1</x:v>
      </x:c>
      <x:c r="H117" s="12" t="str">
        <x:v>{'NORM': 100.0, 'SR': 0.0}</x:v>
      </x:c>
      <x:c r="I117" s="12" t="str">
        <x:v>[('NSR', 100.0), ('NML', 100.0)]</x:v>
      </x:c>
      <x:c r="J117" s="12" t="str">
        <x:v>ptbxl_database.csv；ecg_id=935；scp_codes</x:v>
      </x:c>
      <x:c r="K117" s="12" t="str">
        <x:v>12sl_statements.csv；ecg_id=935；statements_ext_snomed</x:v>
      </x:c>
      <x:c r="L117" s="12"/>
      <x:c r="M117" s="12" t="str">
        <x:v>negative</x:v>
      </x:c>
      <x:c r="N117" s="12"/>
      <x:c r="O117" s="12" t="str">
        <x:v>negative</x:v>
      </x:c>
      <x:c r="P117" s="12" t="str">
        <x:f>IF(OR(M117="unavailable",O117="unavailable"),"不可评价",IF(OR(M117="equivocal",O117="equivocal"),"疑似",IF(AND(M117="positive",O117="positive"),"a",IF(O117="positive","b",IF(M117="positive","c","d")))))</x:f>
        <x:v>d</x:v>
      </x:c>
      <x:c r="Q117" s="12"/>
      <x:c r="R117" s="12" t="str">
        <x:v>negative</x:v>
      </x:c>
      <x:c r="S117" s="12"/>
      <x:c r="T117" s="12" t="str">
        <x:v>negative</x:v>
      </x:c>
      <x:c r="U117" s="12" t="str">
        <x:f>IF(OR(R117="unavailable",T117="unavailable"),"不可评价",IF(OR(R117="equivocal",T117="equivocal"),"疑似",IF(AND(R117="positive",T117="positive"),"a",IF(T117="positive","b",IF(R117="positive","c","d")))))</x:f>
        <x:v>d</x:v>
      </x:c>
      <x:c r="V117" s="12"/>
      <x:c r="W117" s="12" t="str">
        <x:v>negative</x:v>
      </x:c>
      <x:c r="X117" s="12"/>
      <x:c r="Y117" s="12" t="str">
        <x:v>negative</x:v>
      </x:c>
      <x:c r="Z117" s="12" t="str">
        <x:f>IF(OR(W117="unavailable",Y117="unavailable"),"不可评价",IF(OR(W117="equivocal",Y117="equivocal"),"疑似",IF(AND(W117="positive",Y117="positive"),"a",IF(Y117="positive","b",IF(W117="positive","c","d")))))</x:f>
        <x:v>d</x:v>
      </x:c>
      <x:c r="AA117" s="12" t="str">
        <x:f>IF(OR(M117="unavailable",O117="unavailable"),"不可评价",IF(AND(OR(M117="positive",M117="equivocal"),OR(O117="positive",O117="equivocal")),"a",IF(OR(O117="positive",O117="equivocal"),"b",IF(OR(M117="positive",M117="equivocal"),"c","d"))))</x:f>
        <x:v>d</x:v>
      </x:c>
      <x:c r="AB117" s="12" t="str">
        <x:f>IF(OR(M117="unavailable",O117="unavailable"),"不可评价",IF(AND(M117="positive",O117="positive"),"a",IF(O117="positive","b",IF(M117="positive","c","d"))))</x:f>
        <x:v>d</x:v>
      </x:c>
      <x:c r="AC117" s="12" t="str">
        <x:f>IF(OR(R117="unavailable",T117="unavailable"),"不可评价",IF(AND(OR(R117="positive",R117="equivocal"),OR(T117="positive",T117="equivocal")),"a",IF(OR(T117="positive",T117="equivocal"),"b",IF(OR(R117="positive",R117="equivocal"),"c","d"))))</x:f>
        <x:v>d</x:v>
      </x:c>
      <x:c r="AD117" s="12" t="str">
        <x:f>IF(OR(R117="unavailable",T117="unavailable"),"不可评价",IF(AND(R117="positive",T117="positive"),"a",IF(T117="positive","b",IF(R117="positive","c","d"))))</x:f>
        <x:v>d</x:v>
      </x:c>
      <x:c r="AE117" s="12" t="str">
        <x:f>IF(OR(W117="unavailable",Y117="unavailable"),"不可评价",IF(AND(OR(W117="positive",W117="equivocal"),OR(Y117="positive",Y117="equivocal")),"a",IF(OR(Y117="positive",Y117="equivocal"),"b",IF(OR(W117="positive",W117="equivocal"),"c","d"))))</x:f>
        <x:v>d</x:v>
      </x:c>
      <x:c r="AF117" s="12" t="str">
        <x:f>IF(OR(W117="unavailable",Y117="unavailable"),"不可评价",IF(AND(W117="positive",Y117="positive"),"a",IF(Y117="positive","b",IF(W117="positive","c","d"))))</x:f>
        <x:v>d</x:v>
      </x:c>
    </x:row>
    <x:row r="118" ht="24" customHeight="1">
      <x:c r="A118" s="12" t="str">
        <x:v>943</x:v>
      </x:c>
      <x:c r="B118" s="12" t="str">
        <x:v>3493</x:v>
      </x:c>
      <x:c r="C118" s="21" t="n">
        <x:v>31976.404189814813</x:v>
      </x:c>
      <x:c r="D118" s="12" t="n">
        <x:v>62</x:v>
      </x:c>
      <x:c r="E118" s="12" t="n">
        <x:v>1</x:v>
      </x:c>
      <x:c r="F118" s="12" t="str">
        <x:v>未记录</x:v>
      </x:c>
      <x:c r="G118" s="12" t="n">
        <x:v>1</x:v>
      </x:c>
      <x:c r="H118" s="12" t="str">
        <x:v>{'ASMI': 100.0, 'LAO/LAE': 100.0, 'RAO/RAE': 100.0, 'STACH': 0.0}</x:v>
      </x:c>
      <x:c r="I118" s="12" t="str">
        <x:v>[('STACH', 100.0), ('RAE', 100.0), ('AMI;AU', 100.0), ('AB', 100.0)]</x:v>
      </x:c>
      <x:c r="J118" s="12" t="str">
        <x:v>ptbxl_database.csv；ecg_id=943；scp_codes</x:v>
      </x:c>
      <x:c r="K118" s="12" t="str">
        <x:v>12sl_statements.csv；ecg_id=943；statements_ext_snomed</x:v>
      </x:c>
      <x:c r="L118" s="12"/>
      <x:c r="M118" s="12" t="str">
        <x:v>negative</x:v>
      </x:c>
      <x:c r="N118" s="12"/>
      <x:c r="O118" s="12" t="str">
        <x:v>negative</x:v>
      </x:c>
      <x:c r="P118" s="12" t="str">
        <x:f>IF(OR(M118="unavailable",O118="unavailable"),"不可评价",IF(OR(M118="equivocal",O118="equivocal"),"疑似",IF(AND(M118="positive",O118="positive"),"a",IF(O118="positive","b",IF(M118="positive","c","d")))))</x:f>
        <x:v>d</x:v>
      </x:c>
      <x:c r="Q118" s="12"/>
      <x:c r="R118" s="12" t="str">
        <x:v>negative</x:v>
      </x:c>
      <x:c r="S118" s="12"/>
      <x:c r="T118" s="12" t="str">
        <x:v>negative</x:v>
      </x:c>
      <x:c r="U118" s="12" t="str">
        <x:f>IF(OR(R118="unavailable",T118="unavailable"),"不可评价",IF(OR(R118="equivocal",T118="equivocal"),"疑似",IF(AND(R118="positive",T118="positive"),"a",IF(T118="positive","b",IF(R118="positive","c","d")))))</x:f>
        <x:v>d</x:v>
      </x:c>
      <x:c r="V118" s="12"/>
      <x:c r="W118" s="12" t="str">
        <x:v>negative</x:v>
      </x:c>
      <x:c r="X118" s="12"/>
      <x:c r="Y118" s="12" t="str">
        <x:v>negative</x:v>
      </x:c>
      <x:c r="Z118" s="12" t="str">
        <x:f>IF(OR(W118="unavailable",Y118="unavailable"),"不可评价",IF(OR(W118="equivocal",Y118="equivocal"),"疑似",IF(AND(W118="positive",Y118="positive"),"a",IF(Y118="positive","b",IF(W118="positive","c","d")))))</x:f>
        <x:v>d</x:v>
      </x:c>
      <x:c r="AA118" s="12" t="str">
        <x:f>IF(OR(M118="unavailable",O118="unavailable"),"不可评价",IF(AND(OR(M118="positive",M118="equivocal"),OR(O118="positive",O118="equivocal")),"a",IF(OR(O118="positive",O118="equivocal"),"b",IF(OR(M118="positive",M118="equivocal"),"c","d"))))</x:f>
        <x:v>d</x:v>
      </x:c>
      <x:c r="AB118" s="12" t="str">
        <x:f>IF(OR(M118="unavailable",O118="unavailable"),"不可评价",IF(AND(M118="positive",O118="positive"),"a",IF(O118="positive","b",IF(M118="positive","c","d"))))</x:f>
        <x:v>d</x:v>
      </x:c>
      <x:c r="AC118" s="12" t="str">
        <x:f>IF(OR(R118="unavailable",T118="unavailable"),"不可评价",IF(AND(OR(R118="positive",R118="equivocal"),OR(T118="positive",T118="equivocal")),"a",IF(OR(T118="positive",T118="equivocal"),"b",IF(OR(R118="positive",R118="equivocal"),"c","d"))))</x:f>
        <x:v>d</x:v>
      </x:c>
      <x:c r="AD118" s="12" t="str">
        <x:f>IF(OR(R118="unavailable",T118="unavailable"),"不可评价",IF(AND(R118="positive",T118="positive"),"a",IF(T118="positive","b",IF(R118="positive","c","d"))))</x:f>
        <x:v>d</x:v>
      </x:c>
      <x:c r="AE118" s="12" t="str">
        <x:f>IF(OR(W118="unavailable",Y118="unavailable"),"不可评价",IF(AND(OR(W118="positive",W118="equivocal"),OR(Y118="positive",Y118="equivocal")),"a",IF(OR(Y118="positive",Y118="equivocal"),"b",IF(OR(W118="positive",W118="equivocal"),"c","d"))))</x:f>
        <x:v>d</x:v>
      </x:c>
      <x:c r="AF118" s="12" t="str">
        <x:f>IF(OR(W118="unavailable",Y118="unavailable"),"不可评价",IF(AND(W118="positive",Y118="positive"),"a",IF(Y118="positive","b",IF(W118="positive","c","d"))))</x:f>
        <x:v>d</x:v>
      </x:c>
    </x:row>
    <x:row r="119" ht="24" customHeight="1">
      <x:c r="A119" s="12" t="str">
        <x:v>947</x:v>
      </x:c>
      <x:c r="B119" s="12" t="str">
        <x:v>2560</x:v>
      </x:c>
      <x:c r="C119" s="21" t="n">
        <x:v>31976.752511574075</x:v>
      </x:c>
      <x:c r="D119" s="12" t="n">
        <x:v>71</x:v>
      </x:c>
      <x:c r="E119" s="12" t="n">
        <x:v>1</x:v>
      </x:c>
      <x:c r="F119" s="12" t="str">
        <x:v>未记录</x:v>
      </x:c>
      <x:c r="G119" s="12" t="n">
        <x:v>1</x:v>
      </x:c>
      <x:c r="H119" s="12" t="str">
        <x:v>{'ILMI': 100.0, 'SR': 0.0}</x:v>
      </x:c>
      <x:c r="I119" s="12" t="str">
        <x:v>[('NSR', 100.0), ('IPMI;AC', 100.0), ('LINJ', 100.0), ('STEMI', 100.0), ('AB', 100.0)]</x:v>
      </x:c>
      <x:c r="J119" s="12" t="str">
        <x:v>ptbxl_database.csv；ecg_id=947；scp_codes</x:v>
      </x:c>
      <x:c r="K119" s="12" t="str">
        <x:v>12sl_statements.csv；ecg_id=947；statements_ext_snomed</x:v>
      </x:c>
      <x:c r="L119" s="12"/>
      <x:c r="M119" s="12" t="str">
        <x:v>negative</x:v>
      </x:c>
      <x:c r="N119" s="12"/>
      <x:c r="O119" s="12" t="str">
        <x:v>negative</x:v>
      </x:c>
      <x:c r="P119" s="12" t="str">
        <x:f>IF(OR(M119="unavailable",O119="unavailable"),"不可评价",IF(OR(M119="equivocal",O119="equivocal"),"疑似",IF(AND(M119="positive",O119="positive"),"a",IF(O119="positive","b",IF(M119="positive","c","d")))))</x:f>
        <x:v>d</x:v>
      </x:c>
      <x:c r="Q119" s="12"/>
      <x:c r="R119" s="12" t="str">
        <x:v>negative</x:v>
      </x:c>
      <x:c r="S119" s="12"/>
      <x:c r="T119" s="12" t="str">
        <x:v>negative</x:v>
      </x:c>
      <x:c r="U119" s="12" t="str">
        <x:f>IF(OR(R119="unavailable",T119="unavailable"),"不可评价",IF(OR(R119="equivocal",T119="equivocal"),"疑似",IF(AND(R119="positive",T119="positive"),"a",IF(T119="positive","b",IF(R119="positive","c","d")))))</x:f>
        <x:v>d</x:v>
      </x:c>
      <x:c r="V119" s="12"/>
      <x:c r="W119" s="12" t="str">
        <x:v>negative</x:v>
      </x:c>
      <x:c r="X119" s="12"/>
      <x:c r="Y119" s="12" t="str">
        <x:v>negative</x:v>
      </x:c>
      <x:c r="Z119" s="12" t="str">
        <x:f>IF(OR(W119="unavailable",Y119="unavailable"),"不可评价",IF(OR(W119="equivocal",Y119="equivocal"),"疑似",IF(AND(W119="positive",Y119="positive"),"a",IF(Y119="positive","b",IF(W119="positive","c","d")))))</x:f>
        <x:v>d</x:v>
      </x:c>
      <x:c r="AA119" s="12" t="str">
        <x:f>IF(OR(M119="unavailable",O119="unavailable"),"不可评价",IF(AND(OR(M119="positive",M119="equivocal"),OR(O119="positive",O119="equivocal")),"a",IF(OR(O119="positive",O119="equivocal"),"b",IF(OR(M119="positive",M119="equivocal"),"c","d"))))</x:f>
        <x:v>d</x:v>
      </x:c>
      <x:c r="AB119" s="12" t="str">
        <x:f>IF(OR(M119="unavailable",O119="unavailable"),"不可评价",IF(AND(M119="positive",O119="positive"),"a",IF(O119="positive","b",IF(M119="positive","c","d"))))</x:f>
        <x:v>d</x:v>
      </x:c>
      <x:c r="AC119" s="12" t="str">
        <x:f>IF(OR(R119="unavailable",T119="unavailable"),"不可评价",IF(AND(OR(R119="positive",R119="equivocal"),OR(T119="positive",T119="equivocal")),"a",IF(OR(T119="positive",T119="equivocal"),"b",IF(OR(R119="positive",R119="equivocal"),"c","d"))))</x:f>
        <x:v>d</x:v>
      </x:c>
      <x:c r="AD119" s="12" t="str">
        <x:f>IF(OR(R119="unavailable",T119="unavailable"),"不可评价",IF(AND(R119="positive",T119="positive"),"a",IF(T119="positive","b",IF(R119="positive","c","d"))))</x:f>
        <x:v>d</x:v>
      </x:c>
      <x:c r="AE119" s="12" t="str">
        <x:f>IF(OR(W119="unavailable",Y119="unavailable"),"不可评价",IF(AND(OR(W119="positive",W119="equivocal"),OR(Y119="positive",Y119="equivocal")),"a",IF(OR(Y119="positive",Y119="equivocal"),"b",IF(OR(W119="positive",W119="equivocal"),"c","d"))))</x:f>
        <x:v>d</x:v>
      </x:c>
      <x:c r="AF119" s="12" t="str">
        <x:f>IF(OR(W119="unavailable",Y119="unavailable"),"不可评价",IF(AND(W119="positive",Y119="positive"),"a",IF(Y119="positive","b",IF(W119="positive","c","d"))))</x:f>
        <x:v>d</x:v>
      </x:c>
    </x:row>
    <x:row r="120" ht="24" customHeight="1">
      <x:c r="A120" s="12" t="str">
        <x:v>949</x:v>
      </x:c>
      <x:c r="B120" s="12" t="str">
        <x:v>2809</x:v>
      </x:c>
      <x:c r="C120" s="21" t="n">
        <x:v>31977.519039351853</x:v>
      </x:c>
      <x:c r="D120" s="12" t="n">
        <x:v>64</x:v>
      </x:c>
      <x:c r="E120" s="12" t="n">
        <x:v>1</x:v>
      </x:c>
      <x:c r="F120" s="12" t="str">
        <x:v>未记录</x:v>
      </x:c>
      <x:c r="G120" s="12" t="n">
        <x:v>1</x:v>
      </x:c>
      <x:c r="H120" s="12" t="str">
        <x:v>{'NORM': 100.0, 'SR': 0.0}</x:v>
      </x:c>
      <x:c r="I120" s="12" t="str">
        <x:v>[('NSR', 100.0), ('NML', 100.0)]</x:v>
      </x:c>
      <x:c r="J120" s="12" t="str">
        <x:v>ptbxl_database.csv；ecg_id=949；scp_codes</x:v>
      </x:c>
      <x:c r="K120" s="12" t="str">
        <x:v>12sl_statements.csv；ecg_id=949；statements_ext_snomed</x:v>
      </x:c>
      <x:c r="L120" s="12"/>
      <x:c r="M120" s="12" t="str">
        <x:v>negative</x:v>
      </x:c>
      <x:c r="N120" s="12"/>
      <x:c r="O120" s="12" t="str">
        <x:v>negative</x:v>
      </x:c>
      <x:c r="P120" s="12" t="str">
        <x:f>IF(OR(M120="unavailable",O120="unavailable"),"不可评价",IF(OR(M120="equivocal",O120="equivocal"),"疑似",IF(AND(M120="positive",O120="positive"),"a",IF(O120="positive","b",IF(M120="positive","c","d")))))</x:f>
        <x:v>d</x:v>
      </x:c>
      <x:c r="Q120" s="12"/>
      <x:c r="R120" s="12" t="str">
        <x:v>negative</x:v>
      </x:c>
      <x:c r="S120" s="12"/>
      <x:c r="T120" s="12" t="str">
        <x:v>negative</x:v>
      </x:c>
      <x:c r="U120" s="12" t="str">
        <x:f>IF(OR(R120="unavailable",T120="unavailable"),"不可评价",IF(OR(R120="equivocal",T120="equivocal"),"疑似",IF(AND(R120="positive",T120="positive"),"a",IF(T120="positive","b",IF(R120="positive","c","d")))))</x:f>
        <x:v>d</x:v>
      </x:c>
      <x:c r="V120" s="12"/>
      <x:c r="W120" s="12" t="str">
        <x:v>negative</x:v>
      </x:c>
      <x:c r="X120" s="12"/>
      <x:c r="Y120" s="12" t="str">
        <x:v>negative</x:v>
      </x:c>
      <x:c r="Z120" s="12" t="str">
        <x:f>IF(OR(W120="unavailable",Y120="unavailable"),"不可评价",IF(OR(W120="equivocal",Y120="equivocal"),"疑似",IF(AND(W120="positive",Y120="positive"),"a",IF(Y120="positive","b",IF(W120="positive","c","d")))))</x:f>
        <x:v>d</x:v>
      </x:c>
      <x:c r="AA120" s="12" t="str">
        <x:f>IF(OR(M120="unavailable",O120="unavailable"),"不可评价",IF(AND(OR(M120="positive",M120="equivocal"),OR(O120="positive",O120="equivocal")),"a",IF(OR(O120="positive",O120="equivocal"),"b",IF(OR(M120="positive",M120="equivocal"),"c","d"))))</x:f>
        <x:v>d</x:v>
      </x:c>
      <x:c r="AB120" s="12" t="str">
        <x:f>IF(OR(M120="unavailable",O120="unavailable"),"不可评价",IF(AND(M120="positive",O120="positive"),"a",IF(O120="positive","b",IF(M120="positive","c","d"))))</x:f>
        <x:v>d</x:v>
      </x:c>
      <x:c r="AC120" s="12" t="str">
        <x:f>IF(OR(R120="unavailable",T120="unavailable"),"不可评价",IF(AND(OR(R120="positive",R120="equivocal"),OR(T120="positive",T120="equivocal")),"a",IF(OR(T120="positive",T120="equivocal"),"b",IF(OR(R120="positive",R120="equivocal"),"c","d"))))</x:f>
        <x:v>d</x:v>
      </x:c>
      <x:c r="AD120" s="12" t="str">
        <x:f>IF(OR(R120="unavailable",T120="unavailable"),"不可评价",IF(AND(R120="positive",T120="positive"),"a",IF(T120="positive","b",IF(R120="positive","c","d"))))</x:f>
        <x:v>d</x:v>
      </x:c>
      <x:c r="AE120" s="12" t="str">
        <x:f>IF(OR(W120="unavailable",Y120="unavailable"),"不可评价",IF(AND(OR(W120="positive",W120="equivocal"),OR(Y120="positive",Y120="equivocal")),"a",IF(OR(Y120="positive",Y120="equivocal"),"b",IF(OR(W120="positive",W120="equivocal"),"c","d"))))</x:f>
        <x:v>d</x:v>
      </x:c>
      <x:c r="AF120" s="12" t="str">
        <x:f>IF(OR(W120="unavailable",Y120="unavailable"),"不可评价",IF(AND(W120="positive",Y120="positive"),"a",IF(Y120="positive","b",IF(W120="positive","c","d"))))</x:f>
        <x:v>d</x:v>
      </x:c>
    </x:row>
    <x:row r="121" ht="24" customHeight="1">
      <x:c r="A121" s="12" t="str">
        <x:v>950</x:v>
      </x:c>
      <x:c r="B121" s="12" t="str">
        <x:v>4533</x:v>
      </x:c>
      <x:c r="C121" s="21" t="n">
        <x:v>31977.52019675926</x:v>
      </x:c>
      <x:c r="D121" s="12" t="n">
        <x:v>76</x:v>
      </x:c>
      <x:c r="E121" s="12" t="n">
        <x:v>1</x:v>
      </x:c>
      <x:c r="F121" s="12" t="str">
        <x:v>未记录</x:v>
      </x:c>
      <x:c r="G121" s="12" t="n">
        <x:v>1</x:v>
      </x:c>
      <x:c r="H121" s="12" t="str">
        <x:v>{'IRBBB': 100.0, 'SR': 0.0}</x:v>
      </x:c>
      <x:c r="I121" s="12" t="str">
        <x:v>[('NSR', 100.0), ('RBBB', 100.0), ('AB', 100.0)]</x:v>
      </x:c>
      <x:c r="J121" s="12" t="str">
        <x:v>ptbxl_database.csv；ecg_id=950；scp_codes</x:v>
      </x:c>
      <x:c r="K121" s="12" t="str">
        <x:v>12sl_statements.csv；ecg_id=950；statements_ext_snomed</x:v>
      </x:c>
      <x:c r="L121" s="12"/>
      <x:c r="M121" s="12" t="str">
        <x:v>negative</x:v>
      </x:c>
      <x:c r="N121" s="12"/>
      <x:c r="O121" s="12" t="str">
        <x:v>negative</x:v>
      </x:c>
      <x:c r="P121" s="12" t="str">
        <x:f>IF(OR(M121="unavailable",O121="unavailable"),"不可评价",IF(OR(M121="equivocal",O121="equivocal"),"疑似",IF(AND(M121="positive",O121="positive"),"a",IF(O121="positive","b",IF(M121="positive","c","d")))))</x:f>
        <x:v>d</x:v>
      </x:c>
      <x:c r="Q121" s="12"/>
      <x:c r="R121" s="12" t="str">
        <x:v>negative</x:v>
      </x:c>
      <x:c r="S121" s="12"/>
      <x:c r="T121" s="12" t="str">
        <x:v>negative</x:v>
      </x:c>
      <x:c r="U121" s="12" t="str">
        <x:f>IF(OR(R121="unavailable",T121="unavailable"),"不可评价",IF(OR(R121="equivocal",T121="equivocal"),"疑似",IF(AND(R121="positive",T121="positive"),"a",IF(T121="positive","b",IF(R121="positive","c","d")))))</x:f>
        <x:v>d</x:v>
      </x:c>
      <x:c r="V121" s="12"/>
      <x:c r="W121" s="12" t="str">
        <x:v>negative</x:v>
      </x:c>
      <x:c r="X121" s="12" t="n">
        <x:v>100</x:v>
      </x:c>
      <x:c r="Y121" s="12" t="str">
        <x:v>positive</x:v>
      </x:c>
      <x:c r="Z121" s="12" t="str">
        <x:f>IF(OR(W121="unavailable",Y121="unavailable"),"不可评价",IF(OR(W121="equivocal",Y121="equivocal"),"疑似",IF(AND(W121="positive",Y121="positive"),"a",IF(Y121="positive","b",IF(W121="positive","c","d")))))</x:f>
        <x:v>b</x:v>
      </x:c>
      <x:c r="AA121" s="12" t="str">
        <x:f>IF(OR(M121="unavailable",O121="unavailable"),"不可评价",IF(AND(OR(M121="positive",M121="equivocal"),OR(O121="positive",O121="equivocal")),"a",IF(OR(O121="positive",O121="equivocal"),"b",IF(OR(M121="positive",M121="equivocal"),"c","d"))))</x:f>
        <x:v>d</x:v>
      </x:c>
      <x:c r="AB121" s="12" t="str">
        <x:f>IF(OR(M121="unavailable",O121="unavailable"),"不可评价",IF(AND(M121="positive",O121="positive"),"a",IF(O121="positive","b",IF(M121="positive","c","d"))))</x:f>
        <x:v>d</x:v>
      </x:c>
      <x:c r="AC121" s="12" t="str">
        <x:f>IF(OR(R121="unavailable",T121="unavailable"),"不可评价",IF(AND(OR(R121="positive",R121="equivocal"),OR(T121="positive",T121="equivocal")),"a",IF(OR(T121="positive",T121="equivocal"),"b",IF(OR(R121="positive",R121="equivocal"),"c","d"))))</x:f>
        <x:v>d</x:v>
      </x:c>
      <x:c r="AD121" s="12" t="str">
        <x:f>IF(OR(R121="unavailable",T121="unavailable"),"不可评价",IF(AND(R121="positive",T121="positive"),"a",IF(T121="positive","b",IF(R121="positive","c","d"))))</x:f>
        <x:v>d</x:v>
      </x:c>
      <x:c r="AE121" s="12" t="str">
        <x:f>IF(OR(W121="unavailable",Y121="unavailable"),"不可评价",IF(AND(OR(W121="positive",W121="equivocal"),OR(Y121="positive",Y121="equivocal")),"a",IF(OR(Y121="positive",Y121="equivocal"),"b",IF(OR(W121="positive",W121="equivocal"),"c","d"))))</x:f>
        <x:v>b</x:v>
      </x:c>
      <x:c r="AF121" s="12" t="str">
        <x:f>IF(OR(W121="unavailable",Y121="unavailable"),"不可评价",IF(AND(W121="positive",Y121="positive"),"a",IF(Y121="positive","b",IF(W121="positive","c","d"))))</x:f>
        <x:v>b</x:v>
      </x:c>
    </x:row>
    <x:row r="122" ht="24" customHeight="1">
      <x:c r="A122" s="12" t="str">
        <x:v>952</x:v>
      </x:c>
      <x:c r="B122" s="12" t="str">
        <x:v>1608</x:v>
      </x:c>
      <x:c r="C122" s="21" t="n">
        <x:v>31977.554490740742</x:v>
      </x:c>
      <x:c r="D122" s="12" t="n">
        <x:v>57</x:v>
      </x:c>
      <x:c r="E122" s="12" t="n">
        <x:v>1</x:v>
      </x:c>
      <x:c r="F122" s="12" t="str">
        <x:v>未记录</x:v>
      </x:c>
      <x:c r="G122" s="12" t="n">
        <x:v>1</x:v>
      </x:c>
      <x:c r="H122" s="12" t="str">
        <x:v>{'NORM': 100.0, 'SR': 0.0}</x:v>
      </x:c>
      <x:c r="I122" s="12" t="str">
        <x:v>[('NSR', 100.0), ('NML', 100.0)]</x:v>
      </x:c>
      <x:c r="J122" s="12" t="str">
        <x:v>ptbxl_database.csv；ecg_id=952；scp_codes</x:v>
      </x:c>
      <x:c r="K122" s="12" t="str">
        <x:v>12sl_statements.csv；ecg_id=952；statements_ext_snomed</x:v>
      </x:c>
      <x:c r="L122" s="12"/>
      <x:c r="M122" s="12" t="str">
        <x:v>negative</x:v>
      </x:c>
      <x:c r="N122" s="12"/>
      <x:c r="O122" s="12" t="str">
        <x:v>negative</x:v>
      </x:c>
      <x:c r="P122" s="12" t="str">
        <x:f>IF(OR(M122="unavailable",O122="unavailable"),"不可评价",IF(OR(M122="equivocal",O122="equivocal"),"疑似",IF(AND(M122="positive",O122="positive"),"a",IF(O122="positive","b",IF(M122="positive","c","d")))))</x:f>
        <x:v>d</x:v>
      </x:c>
      <x:c r="Q122" s="12"/>
      <x:c r="R122" s="12" t="str">
        <x:v>negative</x:v>
      </x:c>
      <x:c r="S122" s="12"/>
      <x:c r="T122" s="12" t="str">
        <x:v>negative</x:v>
      </x:c>
      <x:c r="U122" s="12" t="str">
        <x:f>IF(OR(R122="unavailable",T122="unavailable"),"不可评价",IF(OR(R122="equivocal",T122="equivocal"),"疑似",IF(AND(R122="positive",T122="positive"),"a",IF(T122="positive","b",IF(R122="positive","c","d")))))</x:f>
        <x:v>d</x:v>
      </x:c>
      <x:c r="V122" s="12"/>
      <x:c r="W122" s="12" t="str">
        <x:v>negative</x:v>
      </x:c>
      <x:c r="X122" s="12"/>
      <x:c r="Y122" s="12" t="str">
        <x:v>negative</x:v>
      </x:c>
      <x:c r="Z122" s="12" t="str">
        <x:f>IF(OR(W122="unavailable",Y122="unavailable"),"不可评价",IF(OR(W122="equivocal",Y122="equivocal"),"疑似",IF(AND(W122="positive",Y122="positive"),"a",IF(Y122="positive","b",IF(W122="positive","c","d")))))</x:f>
        <x:v>d</x:v>
      </x:c>
      <x:c r="AA122" s="12" t="str">
        <x:f>IF(OR(M122="unavailable",O122="unavailable"),"不可评价",IF(AND(OR(M122="positive",M122="equivocal"),OR(O122="positive",O122="equivocal")),"a",IF(OR(O122="positive",O122="equivocal"),"b",IF(OR(M122="positive",M122="equivocal"),"c","d"))))</x:f>
        <x:v>d</x:v>
      </x:c>
      <x:c r="AB122" s="12" t="str">
        <x:f>IF(OR(M122="unavailable",O122="unavailable"),"不可评价",IF(AND(M122="positive",O122="positive"),"a",IF(O122="positive","b",IF(M122="positive","c","d"))))</x:f>
        <x:v>d</x:v>
      </x:c>
      <x:c r="AC122" s="12" t="str">
        <x:f>IF(OR(R122="unavailable",T122="unavailable"),"不可评价",IF(AND(OR(R122="positive",R122="equivocal"),OR(T122="positive",T122="equivocal")),"a",IF(OR(T122="positive",T122="equivocal"),"b",IF(OR(R122="positive",R122="equivocal"),"c","d"))))</x:f>
        <x:v>d</x:v>
      </x:c>
      <x:c r="AD122" s="12" t="str">
        <x:f>IF(OR(R122="unavailable",T122="unavailable"),"不可评价",IF(AND(R122="positive",T122="positive"),"a",IF(T122="positive","b",IF(R122="positive","c","d"))))</x:f>
        <x:v>d</x:v>
      </x:c>
      <x:c r="AE122" s="12" t="str">
        <x:f>IF(OR(W122="unavailable",Y122="unavailable"),"不可评价",IF(AND(OR(W122="positive",W122="equivocal"),OR(Y122="positive",Y122="equivocal")),"a",IF(OR(Y122="positive",Y122="equivocal"),"b",IF(OR(W122="positive",W122="equivocal"),"c","d"))))</x:f>
        <x:v>d</x:v>
      </x:c>
      <x:c r="AF122" s="12" t="str">
        <x:f>IF(OR(W122="unavailable",Y122="unavailable"),"不可评价",IF(AND(W122="positive",Y122="positive"),"a",IF(Y122="positive","b",IF(W122="positive","c","d"))))</x:f>
        <x:v>d</x:v>
      </x:c>
    </x:row>
    <x:row r="123" ht="24" customHeight="1">
      <x:c r="A123" s="12" t="str">
        <x:v>958</x:v>
      </x:c>
      <x:c r="B123" s="12" t="str">
        <x:v>14961</x:v>
      </x:c>
      <x:c r="C123" s="21" t="n">
        <x:v>31978.574409722223</x:v>
      </x:c>
      <x:c r="D123" s="12" t="n">
        <x:v>19</x:v>
      </x:c>
      <x:c r="E123" s="12" t="n">
        <x:v>0</x:v>
      </x:c>
      <x:c r="F123" s="12" t="str">
        <x:v>存在</x:v>
      </x:c>
      <x:c r="G123" s="12" t="n">
        <x:v>1</x:v>
      </x:c>
      <x:c r="H123" s="12" t="str">
        <x:v>{'NORM': 100.0, 'SR': 0.0}</x:v>
      </x:c>
      <x:c r="I123" s="12" t="str">
        <x:v>[('NSR', 100.0), ('BORDE', 100.0)]</x:v>
      </x:c>
      <x:c r="J123" s="12" t="str">
        <x:v>ptbxl_database.csv；ecg_id=958；scp_codes</x:v>
      </x:c>
      <x:c r="K123" s="12" t="str">
        <x:v>12sl_statements.csv；ecg_id=958；statements_ext_snomed</x:v>
      </x:c>
      <x:c r="L123" s="12"/>
      <x:c r="M123" s="12" t="str">
        <x:v>negative</x:v>
      </x:c>
      <x:c r="N123" s="12"/>
      <x:c r="O123" s="12" t="str">
        <x:v>negative</x:v>
      </x:c>
      <x:c r="P123" s="12" t="str">
        <x:f>IF(OR(M123="unavailable",O123="unavailable"),"不可评价",IF(OR(M123="equivocal",O123="equivocal"),"疑似",IF(AND(M123="positive",O123="positive"),"a",IF(O123="positive","b",IF(M123="positive","c","d")))))</x:f>
        <x:v>d</x:v>
      </x:c>
      <x:c r="Q123" s="12"/>
      <x:c r="R123" s="12" t="str">
        <x:v>negative</x:v>
      </x:c>
      <x:c r="S123" s="12"/>
      <x:c r="T123" s="12" t="str">
        <x:v>negative</x:v>
      </x:c>
      <x:c r="U123" s="12" t="str">
        <x:f>IF(OR(R123="unavailable",T123="unavailable"),"不可评价",IF(OR(R123="equivocal",T123="equivocal"),"疑似",IF(AND(R123="positive",T123="positive"),"a",IF(T123="positive","b",IF(R123="positive","c","d")))))</x:f>
        <x:v>d</x:v>
      </x:c>
      <x:c r="V123" s="12"/>
      <x:c r="W123" s="12" t="str">
        <x:v>negative</x:v>
      </x:c>
      <x:c r="X123" s="12"/>
      <x:c r="Y123" s="12" t="str">
        <x:v>negative</x:v>
      </x:c>
      <x:c r="Z123" s="12" t="str">
        <x:f>IF(OR(W123="unavailable",Y123="unavailable"),"不可评价",IF(OR(W123="equivocal",Y123="equivocal"),"疑似",IF(AND(W123="positive",Y123="positive"),"a",IF(Y123="positive","b",IF(W123="positive","c","d")))))</x:f>
        <x:v>d</x:v>
      </x:c>
      <x:c r="AA123" s="12" t="str">
        <x:f>IF(OR(M123="unavailable",O123="unavailable"),"不可评价",IF(AND(OR(M123="positive",M123="equivocal"),OR(O123="positive",O123="equivocal")),"a",IF(OR(O123="positive",O123="equivocal"),"b",IF(OR(M123="positive",M123="equivocal"),"c","d"))))</x:f>
        <x:v>d</x:v>
      </x:c>
      <x:c r="AB123" s="12" t="str">
        <x:f>IF(OR(M123="unavailable",O123="unavailable"),"不可评价",IF(AND(M123="positive",O123="positive"),"a",IF(O123="positive","b",IF(M123="positive","c","d"))))</x:f>
        <x:v>d</x:v>
      </x:c>
      <x:c r="AC123" s="12" t="str">
        <x:f>IF(OR(R123="unavailable",T123="unavailable"),"不可评价",IF(AND(OR(R123="positive",R123="equivocal"),OR(T123="positive",T123="equivocal")),"a",IF(OR(T123="positive",T123="equivocal"),"b",IF(OR(R123="positive",R123="equivocal"),"c","d"))))</x:f>
        <x:v>d</x:v>
      </x:c>
      <x:c r="AD123" s="12" t="str">
        <x:f>IF(OR(R123="unavailable",T123="unavailable"),"不可评价",IF(AND(R123="positive",T123="positive"),"a",IF(T123="positive","b",IF(R123="positive","c","d"))))</x:f>
        <x:v>d</x:v>
      </x:c>
      <x:c r="AE123" s="12" t="str">
        <x:f>IF(OR(W123="unavailable",Y123="unavailable"),"不可评价",IF(AND(OR(W123="positive",W123="equivocal"),OR(Y123="positive",Y123="equivocal")),"a",IF(OR(Y123="positive",Y123="equivocal"),"b",IF(OR(W123="positive",W123="equivocal"),"c","d"))))</x:f>
        <x:v>d</x:v>
      </x:c>
      <x:c r="AF123" s="12" t="str">
        <x:f>IF(OR(W123="unavailable",Y123="unavailable"),"不可评价",IF(AND(W123="positive",Y123="positive"),"a",IF(Y123="positive","b",IF(W123="positive","c","d"))))</x:f>
        <x:v>d</x:v>
      </x:c>
    </x:row>
    <x:row r="124" ht="24" customHeight="1">
      <x:c r="A124" s="12" t="str">
        <x:v>959</x:v>
      </x:c>
      <x:c r="B124" s="12" t="str">
        <x:v>1981</x:v>
      </x:c>
      <x:c r="C124" s="21" t="n">
        <x:v>31979.766238425927</x:v>
      </x:c>
      <x:c r="D124" s="12" t="n">
        <x:v>88</x:v>
      </x:c>
      <x:c r="E124" s="12" t="n">
        <x:v>1</x:v>
      </x:c>
      <x:c r="F124" s="12" t="str">
        <x:v>未记录</x:v>
      </x:c>
      <x:c r="G124" s="12" t="n">
        <x:v>1</x:v>
      </x:c>
      <x:c r="H124" s="12" t="str">
        <x:v>{'ASMI': 15.0, 'IRBBB': 100.0, '3AVB': 100.0, 'SR': 0.0}</x:v>
      </x:c>
      <x:c r="I124" s="12" t="str">
        <x:v>[('STACH', 100.0), ('CHB', 100.0), ('$SIVR', 100.0), ('RBBB', 100.0), ('AB', 100.0)]</x:v>
      </x:c>
      <x:c r="J124" s="12" t="str">
        <x:v>ptbxl_database.csv；ecg_id=959；scp_codes</x:v>
      </x:c>
      <x:c r="K124" s="12" t="str">
        <x:v>12sl_statements.csv；ecg_id=959；statements_ext_snomed</x:v>
      </x:c>
      <x:c r="L124" s="12"/>
      <x:c r="M124" s="12" t="str">
        <x:v>negative</x:v>
      </x:c>
      <x:c r="N124" s="12"/>
      <x:c r="O124" s="12" t="str">
        <x:v>negative</x:v>
      </x:c>
      <x:c r="P124" s="12" t="str">
        <x:f>IF(OR(M124="unavailable",O124="unavailable"),"不可评价",IF(OR(M124="equivocal",O124="equivocal"),"疑似",IF(AND(M124="positive",O124="positive"),"a",IF(O124="positive","b",IF(M124="positive","c","d")))))</x:f>
        <x:v>d</x:v>
      </x:c>
      <x:c r="Q124" s="12"/>
      <x:c r="R124" s="12" t="str">
        <x:v>negative</x:v>
      </x:c>
      <x:c r="S124" s="12"/>
      <x:c r="T124" s="12" t="str">
        <x:v>negative</x:v>
      </x:c>
      <x:c r="U124" s="12" t="str">
        <x:f>IF(OR(R124="unavailable",T124="unavailable"),"不可评价",IF(OR(R124="equivocal",T124="equivocal"),"疑似",IF(AND(R124="positive",T124="positive"),"a",IF(T124="positive","b",IF(R124="positive","c","d")))))</x:f>
        <x:v>d</x:v>
      </x:c>
      <x:c r="V124" s="12"/>
      <x:c r="W124" s="12" t="str">
        <x:v>negative</x:v>
      </x:c>
      <x:c r="X124" s="12" t="n">
        <x:v>100</x:v>
      </x:c>
      <x:c r="Y124" s="12" t="str">
        <x:v>positive</x:v>
      </x:c>
      <x:c r="Z124" s="12" t="str">
        <x:f>IF(OR(W124="unavailable",Y124="unavailable"),"不可评价",IF(OR(W124="equivocal",Y124="equivocal"),"疑似",IF(AND(W124="positive",Y124="positive"),"a",IF(Y124="positive","b",IF(W124="positive","c","d")))))</x:f>
        <x:v>b</x:v>
      </x:c>
      <x:c r="AA124" s="12" t="str">
        <x:f>IF(OR(M124="unavailable",O124="unavailable"),"不可评价",IF(AND(OR(M124="positive",M124="equivocal"),OR(O124="positive",O124="equivocal")),"a",IF(OR(O124="positive",O124="equivocal"),"b",IF(OR(M124="positive",M124="equivocal"),"c","d"))))</x:f>
        <x:v>d</x:v>
      </x:c>
      <x:c r="AB124" s="12" t="str">
        <x:f>IF(OR(M124="unavailable",O124="unavailable"),"不可评价",IF(AND(M124="positive",O124="positive"),"a",IF(O124="positive","b",IF(M124="positive","c","d"))))</x:f>
        <x:v>d</x:v>
      </x:c>
      <x:c r="AC124" s="12" t="str">
        <x:f>IF(OR(R124="unavailable",T124="unavailable"),"不可评价",IF(AND(OR(R124="positive",R124="equivocal"),OR(T124="positive",T124="equivocal")),"a",IF(OR(T124="positive",T124="equivocal"),"b",IF(OR(R124="positive",R124="equivocal"),"c","d"))))</x:f>
        <x:v>d</x:v>
      </x:c>
      <x:c r="AD124" s="12" t="str">
        <x:f>IF(OR(R124="unavailable",T124="unavailable"),"不可评价",IF(AND(R124="positive",T124="positive"),"a",IF(T124="positive","b",IF(R124="positive","c","d"))))</x:f>
        <x:v>d</x:v>
      </x:c>
      <x:c r="AE124" s="12" t="str">
        <x:f>IF(OR(W124="unavailable",Y124="unavailable"),"不可评价",IF(AND(OR(W124="positive",W124="equivocal"),OR(Y124="positive",Y124="equivocal")),"a",IF(OR(Y124="positive",Y124="equivocal"),"b",IF(OR(W124="positive",W124="equivocal"),"c","d"))))</x:f>
        <x:v>b</x:v>
      </x:c>
      <x:c r="AF124" s="12" t="str">
        <x:f>IF(OR(W124="unavailable",Y124="unavailable"),"不可评价",IF(AND(W124="positive",Y124="positive"),"a",IF(Y124="positive","b",IF(W124="positive","c","d"))))</x:f>
        <x:v>b</x:v>
      </x:c>
    </x:row>
    <x:row r="125" ht="24" customHeight="1">
      <x:c r="A125" s="12" t="str">
        <x:v>963</x:v>
      </x:c>
      <x:c r="B125" s="12" t="str">
        <x:v>6546</x:v>
      </x:c>
      <x:c r="C125" s="21" t="n">
        <x:v>31980.585011574072</x:v>
      </x:c>
      <x:c r="D125" s="12" t="n">
        <x:v>86</x:v>
      </x:c>
      <x:c r="E125" s="12" t="n">
        <x:v>1</x:v>
      </x:c>
      <x:c r="F125" s="12" t="str">
        <x:v>未记录</x:v>
      </x:c>
      <x:c r="G125" s="12" t="n">
        <x:v>1</x:v>
      </x:c>
      <x:c r="H125" s="12" t="str">
        <x:v>{'NDT': 100.0, 'NT_': 0.0, 'AFIB': 0.0}</x:v>
      </x:c>
      <x:c r="I125" s="12" t="str">
        <x:v>[('AFIB', 100.0), ('RVR', 100.0), ('NT', 100.0), ('AB', 100.0)]</x:v>
      </x:c>
      <x:c r="J125" s="12" t="str">
        <x:v>ptbxl_database.csv；ecg_id=963；scp_codes</x:v>
      </x:c>
      <x:c r="K125" s="12" t="str">
        <x:v>12sl_statements.csv；ecg_id=963；statements_ext_snomed</x:v>
      </x:c>
      <x:c r="L125" s="12" t="n">
        <x:v>0</x:v>
      </x:c>
      <x:c r="M125" s="12" t="str">
        <x:v>positive</x:v>
      </x:c>
      <x:c r="N125" s="12" t="n">
        <x:v>100</x:v>
      </x:c>
      <x:c r="O125" s="12" t="str">
        <x:v>positive</x:v>
      </x:c>
      <x:c r="P125" s="12" t="str">
        <x:f>IF(OR(M125="unavailable",O125="unavailable"),"不可评价",IF(OR(M125="equivocal",O125="equivocal"),"疑似",IF(AND(M125="positive",O125="positive"),"a",IF(O125="positive","b",IF(M125="positive","c","d")))))</x:f>
        <x:v>a</x:v>
      </x:c>
      <x:c r="Q125" s="12"/>
      <x:c r="R125" s="12" t="str">
        <x:v>negative</x:v>
      </x:c>
      <x:c r="S125" s="12"/>
      <x:c r="T125" s="12" t="str">
        <x:v>negative</x:v>
      </x:c>
      <x:c r="U125" s="12" t="str">
        <x:f>IF(OR(R125="unavailable",T125="unavailable"),"不可评价",IF(OR(R125="equivocal",T125="equivocal"),"疑似",IF(AND(R125="positive",T125="positive"),"a",IF(T125="positive","b",IF(R125="positive","c","d")))))</x:f>
        <x:v>d</x:v>
      </x:c>
      <x:c r="V125" s="12"/>
      <x:c r="W125" s="12" t="str">
        <x:v>negative</x:v>
      </x:c>
      <x:c r="X125" s="12"/>
      <x:c r="Y125" s="12" t="str">
        <x:v>negative</x:v>
      </x:c>
      <x:c r="Z125" s="12" t="str">
        <x:f>IF(OR(W125="unavailable",Y125="unavailable"),"不可评价",IF(OR(W125="equivocal",Y125="equivocal"),"疑似",IF(AND(W125="positive",Y125="positive"),"a",IF(Y125="positive","b",IF(W125="positive","c","d")))))</x:f>
        <x:v>d</x:v>
      </x:c>
      <x:c r="AA125" s="12" t="str">
        <x:f>IF(OR(M125="unavailable",O125="unavailable"),"不可评价",IF(AND(OR(M125="positive",M125="equivocal"),OR(O125="positive",O125="equivocal")),"a",IF(OR(O125="positive",O125="equivocal"),"b",IF(OR(M125="positive",M125="equivocal"),"c","d"))))</x:f>
        <x:v>a</x:v>
      </x:c>
      <x:c r="AB125" s="12" t="str">
        <x:f>IF(OR(M125="unavailable",O125="unavailable"),"不可评价",IF(AND(M125="positive",O125="positive"),"a",IF(O125="positive","b",IF(M125="positive","c","d"))))</x:f>
        <x:v>a</x:v>
      </x:c>
      <x:c r="AC125" s="12" t="str">
        <x:f>IF(OR(R125="unavailable",T125="unavailable"),"不可评价",IF(AND(OR(R125="positive",R125="equivocal"),OR(T125="positive",T125="equivocal")),"a",IF(OR(T125="positive",T125="equivocal"),"b",IF(OR(R125="positive",R125="equivocal"),"c","d"))))</x:f>
        <x:v>d</x:v>
      </x:c>
      <x:c r="AD125" s="12" t="str">
        <x:f>IF(OR(R125="unavailable",T125="unavailable"),"不可评价",IF(AND(R125="positive",T125="positive"),"a",IF(T125="positive","b",IF(R125="positive","c","d"))))</x:f>
        <x:v>d</x:v>
      </x:c>
      <x:c r="AE125" s="12" t="str">
        <x:f>IF(OR(W125="unavailable",Y125="unavailable"),"不可评价",IF(AND(OR(W125="positive",W125="equivocal"),OR(Y125="positive",Y125="equivocal")),"a",IF(OR(Y125="positive",Y125="equivocal"),"b",IF(OR(W125="positive",W125="equivocal"),"c","d"))))</x:f>
        <x:v>d</x:v>
      </x:c>
      <x:c r="AF125" s="12" t="str">
        <x:f>IF(OR(W125="unavailable",Y125="unavailable"),"不可评价",IF(AND(W125="positive",Y125="positive"),"a",IF(Y125="positive","b",IF(W125="positive","c","d"))))</x:f>
        <x:v>d</x:v>
      </x:c>
    </x:row>
    <x:row r="126" ht="39" customHeight="1">
      <x:c r="A126" s="12" t="str">
        <x:v>968</x:v>
      </x:c>
      <x:c r="B126" s="12" t="str">
        <x:v>4944</x:v>
      </x:c>
      <x:c r="C126" s="21" t="n">
        <x:v>31981.42011574074</x:v>
      </x:c>
      <x:c r="D126" s="12" t="n">
        <x:v>79</x:v>
      </x:c>
      <x:c r="E126" s="12" t="n">
        <x:v>0</x:v>
      </x:c>
      <x:c r="F126" s="12" t="str">
        <x:v>未记录</x:v>
      </x:c>
      <x:c r="G126" s="12" t="n">
        <x:v>1</x:v>
      </x:c>
      <x:c r="H126" s="12" t="str">
        <x:v>{'ASMI': 50.0, 'INJIL': 100.0, 'INVT': 0.0, 'STD_': 0.0, 'SR': 0.0}</x:v>
      </x:c>
      <x:c r="I126" s="12" t="str">
        <x:v>[('NSR', 100.0), ('LOWV', 100.0), ('ST&amp;', 100.0), ('IT', 100.0), ('ST&amp;', 100.0), ('ALT', 100.0), ('AB', 100.0)]</x:v>
      </x:c>
      <x:c r="J126" s="12" t="str">
        <x:v>ptbxl_database.csv；ecg_id=968；scp_codes</x:v>
      </x:c>
      <x:c r="K126" s="12" t="str">
        <x:v>12sl_statements.csv；ecg_id=968；statements_ext_snomed</x:v>
      </x:c>
      <x:c r="L126" s="12"/>
      <x:c r="M126" s="12" t="str">
        <x:v>negative</x:v>
      </x:c>
      <x:c r="N126" s="12"/>
      <x:c r="O126" s="12" t="str">
        <x:v>negative</x:v>
      </x:c>
      <x:c r="P126" s="12" t="str">
        <x:f>IF(OR(M126="unavailable",O126="unavailable"),"不可评价",IF(OR(M126="equivocal",O126="equivocal"),"疑似",IF(AND(M126="positive",O126="positive"),"a",IF(O126="positive","b",IF(M126="positive","c","d")))))</x:f>
        <x:v>d</x:v>
      </x:c>
      <x:c r="Q126" s="12"/>
      <x:c r="R126" s="12" t="str">
        <x:v>negative</x:v>
      </x:c>
      <x:c r="S126" s="12"/>
      <x:c r="T126" s="12" t="str">
        <x:v>negative</x:v>
      </x:c>
      <x:c r="U126" s="12" t="str">
        <x:f>IF(OR(R126="unavailable",T126="unavailable"),"不可评价",IF(OR(R126="equivocal",T126="equivocal"),"疑似",IF(AND(R126="positive",T126="positive"),"a",IF(T126="positive","b",IF(R126="positive","c","d")))))</x:f>
        <x:v>d</x:v>
      </x:c>
      <x:c r="V126" s="12"/>
      <x:c r="W126" s="12" t="str">
        <x:v>negative</x:v>
      </x:c>
      <x:c r="X126" s="12"/>
      <x:c r="Y126" s="12" t="str">
        <x:v>negative</x:v>
      </x:c>
      <x:c r="Z126" s="12" t="str">
        <x:f>IF(OR(W126="unavailable",Y126="unavailable"),"不可评价",IF(OR(W126="equivocal",Y126="equivocal"),"疑似",IF(AND(W126="positive",Y126="positive"),"a",IF(Y126="positive","b",IF(W126="positive","c","d")))))</x:f>
        <x:v>d</x:v>
      </x:c>
      <x:c r="AA126" s="12" t="str">
        <x:f>IF(OR(M126="unavailable",O126="unavailable"),"不可评价",IF(AND(OR(M126="positive",M126="equivocal"),OR(O126="positive",O126="equivocal")),"a",IF(OR(O126="positive",O126="equivocal"),"b",IF(OR(M126="positive",M126="equivocal"),"c","d"))))</x:f>
        <x:v>d</x:v>
      </x:c>
      <x:c r="AB126" s="12" t="str">
        <x:f>IF(OR(M126="unavailable",O126="unavailable"),"不可评价",IF(AND(M126="positive",O126="positive"),"a",IF(O126="positive","b",IF(M126="positive","c","d"))))</x:f>
        <x:v>d</x:v>
      </x:c>
      <x:c r="AC126" s="12" t="str">
        <x:f>IF(OR(R126="unavailable",T126="unavailable"),"不可评价",IF(AND(OR(R126="positive",R126="equivocal"),OR(T126="positive",T126="equivocal")),"a",IF(OR(T126="positive",T126="equivocal"),"b",IF(OR(R126="positive",R126="equivocal"),"c","d"))))</x:f>
        <x:v>d</x:v>
      </x:c>
      <x:c r="AD126" s="12" t="str">
        <x:f>IF(OR(R126="unavailable",T126="unavailable"),"不可评价",IF(AND(R126="positive",T126="positive"),"a",IF(T126="positive","b",IF(R126="positive","c","d"))))</x:f>
        <x:v>d</x:v>
      </x:c>
      <x:c r="AE126" s="12" t="str">
        <x:f>IF(OR(W126="unavailable",Y126="unavailable"),"不可评价",IF(AND(OR(W126="positive",W126="equivocal"),OR(Y126="positive",Y126="equivocal")),"a",IF(OR(Y126="positive",Y126="equivocal"),"b",IF(OR(W126="positive",W126="equivocal"),"c","d"))))</x:f>
        <x:v>d</x:v>
      </x:c>
      <x:c r="AF126" s="12" t="str">
        <x:f>IF(OR(W126="unavailable",Y126="unavailable"),"不可评价",IF(AND(W126="positive",Y126="positive"),"a",IF(Y126="positive","b",IF(W126="positive","c","d"))))</x:f>
        <x:v>d</x:v>
      </x:c>
    </x:row>
    <x:row r="127" ht="24" customHeight="1">
      <x:c r="A127" s="12" t="str">
        <x:v>975</x:v>
      </x:c>
      <x:c r="B127" s="12" t="str">
        <x:v>672</x:v>
      </x:c>
      <x:c r="C127" s="21" t="n">
        <x:v>31981.730868055554</x:v>
      </x:c>
      <x:c r="D127" s="12" t="n">
        <x:v>44</x:v>
      </x:c>
      <x:c r="E127" s="12" t="n">
        <x:v>1</x:v>
      </x:c>
      <x:c r="F127" s="12" t="str">
        <x:v>存在</x:v>
      </x:c>
      <x:c r="G127" s="12" t="n">
        <x:v>1</x:v>
      </x:c>
      <x:c r="H127" s="12" t="str">
        <x:v>{'ASMI': 15.0, 'IRBBB': 100.0, 'LPFB': 100.0, 'PVC': 100.0, 'SR': 0.0}</x:v>
      </x:c>
      <x:c r="I127" s="12" t="str">
        <x:v>[('SRTH', 100.0), ('FAV', 100.0), ('PVC', 100.0), ('RBBB', 100.0), ('AB', 100.0)]</x:v>
      </x:c>
      <x:c r="J127" s="12" t="str">
        <x:v>ptbxl_database.csv；ecg_id=975；scp_codes</x:v>
      </x:c>
      <x:c r="K127" s="12" t="str">
        <x:v>12sl_statements.csv；ecg_id=975；statements_ext_snomed</x:v>
      </x:c>
      <x:c r="L127" s="12"/>
      <x:c r="M127" s="12" t="str">
        <x:v>negative</x:v>
      </x:c>
      <x:c r="N127" s="12"/>
      <x:c r="O127" s="12" t="str">
        <x:v>negative</x:v>
      </x:c>
      <x:c r="P127" s="12" t="str">
        <x:f>IF(OR(M127="unavailable",O127="unavailable"),"不可评价",IF(OR(M127="equivocal",O127="equivocal"),"疑似",IF(AND(M127="positive",O127="positive"),"a",IF(O127="positive","b",IF(M127="positive","c","d")))))</x:f>
        <x:v>d</x:v>
      </x:c>
      <x:c r="Q127" s="12"/>
      <x:c r="R127" s="12" t="str">
        <x:v>negative</x:v>
      </x:c>
      <x:c r="S127" s="12"/>
      <x:c r="T127" s="12" t="str">
        <x:v>negative</x:v>
      </x:c>
      <x:c r="U127" s="12" t="str">
        <x:f>IF(OR(R127="unavailable",T127="unavailable"),"不可评价",IF(OR(R127="equivocal",T127="equivocal"),"疑似",IF(AND(R127="positive",T127="positive"),"a",IF(T127="positive","b",IF(R127="positive","c","d")))))</x:f>
        <x:v>d</x:v>
      </x:c>
      <x:c r="V127" s="12"/>
      <x:c r="W127" s="12" t="str">
        <x:v>negative</x:v>
      </x:c>
      <x:c r="X127" s="12" t="n">
        <x:v>100</x:v>
      </x:c>
      <x:c r="Y127" s="12" t="str">
        <x:v>positive</x:v>
      </x:c>
      <x:c r="Z127" s="12" t="str">
        <x:f>IF(OR(W127="unavailable",Y127="unavailable"),"不可评价",IF(OR(W127="equivocal",Y127="equivocal"),"疑似",IF(AND(W127="positive",Y127="positive"),"a",IF(Y127="positive","b",IF(W127="positive","c","d")))))</x:f>
        <x:v>b</x:v>
      </x:c>
      <x:c r="AA127" s="12" t="str">
        <x:f>IF(OR(M127="unavailable",O127="unavailable"),"不可评价",IF(AND(OR(M127="positive",M127="equivocal"),OR(O127="positive",O127="equivocal")),"a",IF(OR(O127="positive",O127="equivocal"),"b",IF(OR(M127="positive",M127="equivocal"),"c","d"))))</x:f>
        <x:v>d</x:v>
      </x:c>
      <x:c r="AB127" s="12" t="str">
        <x:f>IF(OR(M127="unavailable",O127="unavailable"),"不可评价",IF(AND(M127="positive",O127="positive"),"a",IF(O127="positive","b",IF(M127="positive","c","d"))))</x:f>
        <x:v>d</x:v>
      </x:c>
      <x:c r="AC127" s="12" t="str">
        <x:f>IF(OR(R127="unavailable",T127="unavailable"),"不可评价",IF(AND(OR(R127="positive",R127="equivocal"),OR(T127="positive",T127="equivocal")),"a",IF(OR(T127="positive",T127="equivocal"),"b",IF(OR(R127="positive",R127="equivocal"),"c","d"))))</x:f>
        <x:v>d</x:v>
      </x:c>
      <x:c r="AD127" s="12" t="str">
        <x:f>IF(OR(R127="unavailable",T127="unavailable"),"不可评价",IF(AND(R127="positive",T127="positive"),"a",IF(T127="positive","b",IF(R127="positive","c","d"))))</x:f>
        <x:v>d</x:v>
      </x:c>
      <x:c r="AE127" s="12" t="str">
        <x:f>IF(OR(W127="unavailable",Y127="unavailable"),"不可评价",IF(AND(OR(W127="positive",W127="equivocal"),OR(Y127="positive",Y127="equivocal")),"a",IF(OR(Y127="positive",Y127="equivocal"),"b",IF(OR(W127="positive",W127="equivocal"),"c","d"))))</x:f>
        <x:v>b</x:v>
      </x:c>
      <x:c r="AF127" s="12" t="str">
        <x:f>IF(OR(W127="unavailable",Y127="unavailable"),"不可评价",IF(AND(W127="positive",Y127="positive"),"a",IF(Y127="positive","b",IF(W127="positive","c","d"))))</x:f>
        <x:v>b</x:v>
      </x:c>
    </x:row>
    <x:row r="128" ht="24" customHeight="1">
      <x:c r="A128" s="12" t="str">
        <x:v>1009</x:v>
      </x:c>
      <x:c r="B128" s="12" t="str">
        <x:v>2406</x:v>
      </x:c>
      <x:c r="C128" s="21" t="n">
        <x:v>31988.403668981482</x:v>
      </x:c>
      <x:c r="D128" s="12" t="n">
        <x:v>60</x:v>
      </x:c>
      <x:c r="E128" s="12" t="n">
        <x:v>1</x:v>
      </x:c>
      <x:c r="F128" s="12" t="str">
        <x:v>未记录</x:v>
      </x:c>
      <x:c r="G128" s="12" t="n">
        <x:v>1</x:v>
      </x:c>
      <x:c r="H128" s="12" t="str">
        <x:v>{'NDT': 100.0, 'STD_': 0.0, 'SR': 0.0}</x:v>
      </x:c>
      <x:c r="I128" s="12" t="str">
        <x:v>[('NSR', 100.0), ('NSTT', 100.0), ('AB', 100.0)]</x:v>
      </x:c>
      <x:c r="J128" s="12" t="str">
        <x:v>ptbxl_database.csv；ecg_id=1009；scp_codes</x:v>
      </x:c>
      <x:c r="K128" s="12" t="str">
        <x:v>12sl_statements.csv；ecg_id=1009；statements_ext_snomed</x:v>
      </x:c>
      <x:c r="L128" s="12"/>
      <x:c r="M128" s="12" t="str">
        <x:v>negative</x:v>
      </x:c>
      <x:c r="N128" s="12"/>
      <x:c r="O128" s="12" t="str">
        <x:v>negative</x:v>
      </x:c>
      <x:c r="P128" s="12" t="str">
        <x:f>IF(OR(M128="unavailable",O128="unavailable"),"不可评价",IF(OR(M128="equivocal",O128="equivocal"),"疑似",IF(AND(M128="positive",O128="positive"),"a",IF(O128="positive","b",IF(M128="positive","c","d")))))</x:f>
        <x:v>d</x:v>
      </x:c>
      <x:c r="Q128" s="12"/>
      <x:c r="R128" s="12" t="str">
        <x:v>negative</x:v>
      </x:c>
      <x:c r="S128" s="12"/>
      <x:c r="T128" s="12" t="str">
        <x:v>negative</x:v>
      </x:c>
      <x:c r="U128" s="12" t="str">
        <x:f>IF(OR(R128="unavailable",T128="unavailable"),"不可评价",IF(OR(R128="equivocal",T128="equivocal"),"疑似",IF(AND(R128="positive",T128="positive"),"a",IF(T128="positive","b",IF(R128="positive","c","d")))))</x:f>
        <x:v>d</x:v>
      </x:c>
      <x:c r="V128" s="12"/>
      <x:c r="W128" s="12" t="str">
        <x:v>negative</x:v>
      </x:c>
      <x:c r="X128" s="12"/>
      <x:c r="Y128" s="12" t="str">
        <x:v>negative</x:v>
      </x:c>
      <x:c r="Z128" s="12" t="str">
        <x:f>IF(OR(W128="unavailable",Y128="unavailable"),"不可评价",IF(OR(W128="equivocal",Y128="equivocal"),"疑似",IF(AND(W128="positive",Y128="positive"),"a",IF(Y128="positive","b",IF(W128="positive","c","d")))))</x:f>
        <x:v>d</x:v>
      </x:c>
      <x:c r="AA128" s="12" t="str">
        <x:f>IF(OR(M128="unavailable",O128="unavailable"),"不可评价",IF(AND(OR(M128="positive",M128="equivocal"),OR(O128="positive",O128="equivocal")),"a",IF(OR(O128="positive",O128="equivocal"),"b",IF(OR(M128="positive",M128="equivocal"),"c","d"))))</x:f>
        <x:v>d</x:v>
      </x:c>
      <x:c r="AB128" s="12" t="str">
        <x:f>IF(OR(M128="unavailable",O128="unavailable"),"不可评价",IF(AND(M128="positive",O128="positive"),"a",IF(O128="positive","b",IF(M128="positive","c","d"))))</x:f>
        <x:v>d</x:v>
      </x:c>
      <x:c r="AC128" s="12" t="str">
        <x:f>IF(OR(R128="unavailable",T128="unavailable"),"不可评价",IF(AND(OR(R128="positive",R128="equivocal"),OR(T128="positive",T128="equivocal")),"a",IF(OR(T128="positive",T128="equivocal"),"b",IF(OR(R128="positive",R128="equivocal"),"c","d"))))</x:f>
        <x:v>d</x:v>
      </x:c>
      <x:c r="AD128" s="12" t="str">
        <x:f>IF(OR(R128="unavailable",T128="unavailable"),"不可评价",IF(AND(R128="positive",T128="positive"),"a",IF(T128="positive","b",IF(R128="positive","c","d"))))</x:f>
        <x:v>d</x:v>
      </x:c>
      <x:c r="AE128" s="12" t="str">
        <x:f>IF(OR(W128="unavailable",Y128="unavailable"),"不可评价",IF(AND(OR(W128="positive",W128="equivocal"),OR(Y128="positive",Y128="equivocal")),"a",IF(OR(Y128="positive",Y128="equivocal"),"b",IF(OR(W128="positive",W128="equivocal"),"c","d"))))</x:f>
        <x:v>d</x:v>
      </x:c>
      <x:c r="AF128" s="12" t="str">
        <x:f>IF(OR(W128="unavailable",Y128="unavailable"),"不可评价",IF(AND(W128="positive",Y128="positive"),"a",IF(Y128="positive","b",IF(W128="positive","c","d"))))</x:f>
        <x:v>d</x:v>
      </x:c>
    </x:row>
    <x:row r="129" ht="24" customHeight="1">
      <x:c r="A129" s="12" t="str">
        <x:v>1013</x:v>
      </x:c>
      <x:c r="B129" s="12" t="str">
        <x:v>6079</x:v>
      </x:c>
      <x:c r="C129" s="21" t="n">
        <x:v>31988.87369212963</x:v>
      </x:c>
      <x:c r="D129" s="12" t="n">
        <x:v>68</x:v>
      </x:c>
      <x:c r="E129" s="12" t="n">
        <x:v>1</x:v>
      </x:c>
      <x:c r="F129" s="12" t="str">
        <x:v>未记录</x:v>
      </x:c>
      <x:c r="G129" s="12" t="n">
        <x:v>1</x:v>
      </x:c>
      <x:c r="H129" s="12" t="str">
        <x:v>{'LVH': 100.0, 'ISC_': 100.0, 'LOWT': 0.0, 'SR': 0.0}</x:v>
      </x:c>
      <x:c r="I129" s="12" t="str">
        <x:v>[('NSR', 100.0), ('LAD3', 100.0), ('LVH2', 100.0), ('2ST', 100.0), ('AB', 100.0)]</x:v>
      </x:c>
      <x:c r="J129" s="12" t="str">
        <x:v>ptbxl_database.csv；ecg_id=1013；scp_codes</x:v>
      </x:c>
      <x:c r="K129" s="12" t="str">
        <x:v>12sl_statements.csv；ecg_id=1013；statements_ext_snomed</x:v>
      </x:c>
      <x:c r="L129" s="12"/>
      <x:c r="M129" s="12" t="str">
        <x:v>negative</x:v>
      </x:c>
      <x:c r="N129" s="12"/>
      <x:c r="O129" s="12" t="str">
        <x:v>negative</x:v>
      </x:c>
      <x:c r="P129" s="12" t="str">
        <x:f>IF(OR(M129="unavailable",O129="unavailable"),"不可评价",IF(OR(M129="equivocal",O129="equivocal"),"疑似",IF(AND(M129="positive",O129="positive"),"a",IF(O129="positive","b",IF(M129="positive","c","d")))))</x:f>
        <x:v>d</x:v>
      </x:c>
      <x:c r="Q129" s="12"/>
      <x:c r="R129" s="12" t="str">
        <x:v>negative</x:v>
      </x:c>
      <x:c r="S129" s="12"/>
      <x:c r="T129" s="12" t="str">
        <x:v>negative</x:v>
      </x:c>
      <x:c r="U129" s="12" t="str">
        <x:f>IF(OR(R129="unavailable",T129="unavailable"),"不可评价",IF(OR(R129="equivocal",T129="equivocal"),"疑似",IF(AND(R129="positive",T129="positive"),"a",IF(T129="positive","b",IF(R129="positive","c","d")))))</x:f>
        <x:v>d</x:v>
      </x:c>
      <x:c r="V129" s="12"/>
      <x:c r="W129" s="12" t="str">
        <x:v>negative</x:v>
      </x:c>
      <x:c r="X129" s="12"/>
      <x:c r="Y129" s="12" t="str">
        <x:v>negative</x:v>
      </x:c>
      <x:c r="Z129" s="12" t="str">
        <x:f>IF(OR(W129="unavailable",Y129="unavailable"),"不可评价",IF(OR(W129="equivocal",Y129="equivocal"),"疑似",IF(AND(W129="positive",Y129="positive"),"a",IF(Y129="positive","b",IF(W129="positive","c","d")))))</x:f>
        <x:v>d</x:v>
      </x:c>
      <x:c r="AA129" s="12" t="str">
        <x:f>IF(OR(M129="unavailable",O129="unavailable"),"不可评价",IF(AND(OR(M129="positive",M129="equivocal"),OR(O129="positive",O129="equivocal")),"a",IF(OR(O129="positive",O129="equivocal"),"b",IF(OR(M129="positive",M129="equivocal"),"c","d"))))</x:f>
        <x:v>d</x:v>
      </x:c>
      <x:c r="AB129" s="12" t="str">
        <x:f>IF(OR(M129="unavailable",O129="unavailable"),"不可评价",IF(AND(M129="positive",O129="positive"),"a",IF(O129="positive","b",IF(M129="positive","c","d"))))</x:f>
        <x:v>d</x:v>
      </x:c>
      <x:c r="AC129" s="12" t="str">
        <x:f>IF(OR(R129="unavailable",T129="unavailable"),"不可评价",IF(AND(OR(R129="positive",R129="equivocal"),OR(T129="positive",T129="equivocal")),"a",IF(OR(T129="positive",T129="equivocal"),"b",IF(OR(R129="positive",R129="equivocal"),"c","d"))))</x:f>
        <x:v>d</x:v>
      </x:c>
      <x:c r="AD129" s="12" t="str">
        <x:f>IF(OR(R129="unavailable",T129="unavailable"),"不可评价",IF(AND(R129="positive",T129="positive"),"a",IF(T129="positive","b",IF(R129="positive","c","d"))))</x:f>
        <x:v>d</x:v>
      </x:c>
      <x:c r="AE129" s="12" t="str">
        <x:f>IF(OR(W129="unavailable",Y129="unavailable"),"不可评价",IF(AND(OR(W129="positive",W129="equivocal"),OR(Y129="positive",Y129="equivocal")),"a",IF(OR(Y129="positive",Y129="equivocal"),"b",IF(OR(W129="positive",W129="equivocal"),"c","d"))))</x:f>
        <x:v>d</x:v>
      </x:c>
      <x:c r="AF129" s="12" t="str">
        <x:f>IF(OR(W129="unavailable",Y129="unavailable"),"不可评价",IF(AND(W129="positive",Y129="positive"),"a",IF(Y129="positive","b",IF(W129="positive","c","d"))))</x:f>
        <x:v>d</x:v>
      </x:c>
    </x:row>
    <x:row r="130" ht="24" customHeight="1">
      <x:c r="A130" s="12" t="str">
        <x:v>1014</x:v>
      </x:c>
      <x:c r="B130" s="12" t="str">
        <x:v>2901</x:v>
      </x:c>
      <x:c r="C130" s="21" t="n">
        <x:v>31989.304421296296</x:v>
      </x:c>
      <x:c r="D130" s="12" t="n">
        <x:v>78</x:v>
      </x:c>
      <x:c r="E130" s="12" t="n">
        <x:v>0</x:v>
      </x:c>
      <x:c r="F130" s="12" t="str">
        <x:v>未记录</x:v>
      </x:c>
      <x:c r="G130" s="12" t="n">
        <x:v>1</x:v>
      </x:c>
      <x:c r="H130" s="12" t="str">
        <x:v>{'AMI': 100.0, '1AVB': 100.0, 'NT_': 0.0, 'LPR': 0.0, 'SR': 0.0}</x:v>
      </x:c>
      <x:c r="I130" s="12" t="str">
        <x:v>[('SRTH', 100.0), ('BLKED', 100.0), ('PAC', 100.0), ('NSTT', 100.0), ('AB', 100.0)]</x:v>
      </x:c>
      <x:c r="J130" s="12" t="str">
        <x:v>ptbxl_database.csv；ecg_id=1014；scp_codes</x:v>
      </x:c>
      <x:c r="K130" s="12" t="str">
        <x:v>12sl_statements.csv；ecg_id=1014；statements_ext_snomed</x:v>
      </x:c>
      <x:c r="L130" s="12"/>
      <x:c r="M130" s="12" t="str">
        <x:v>negative</x:v>
      </x:c>
      <x:c r="N130" s="12"/>
      <x:c r="O130" s="12" t="str">
        <x:v>negative</x:v>
      </x:c>
      <x:c r="P130" s="12" t="str">
        <x:f>IF(OR(M130="unavailable",O130="unavailable"),"不可评价",IF(OR(M130="equivocal",O130="equivocal"),"疑似",IF(AND(M130="positive",O130="positive"),"a",IF(O130="positive","b",IF(M130="positive","c","d")))))</x:f>
        <x:v>d</x:v>
      </x:c>
      <x:c r="Q130" s="12"/>
      <x:c r="R130" s="12" t="str">
        <x:v>negative</x:v>
      </x:c>
      <x:c r="S130" s="12"/>
      <x:c r="T130" s="12" t="str">
        <x:v>negative</x:v>
      </x:c>
      <x:c r="U130" s="12" t="str">
        <x:f>IF(OR(R130="unavailable",T130="unavailable"),"不可评价",IF(OR(R130="equivocal",T130="equivocal"),"疑似",IF(AND(R130="positive",T130="positive"),"a",IF(T130="positive","b",IF(R130="positive","c","d")))))</x:f>
        <x:v>d</x:v>
      </x:c>
      <x:c r="V130" s="12"/>
      <x:c r="W130" s="12" t="str">
        <x:v>negative</x:v>
      </x:c>
      <x:c r="X130" s="12"/>
      <x:c r="Y130" s="12" t="str">
        <x:v>negative</x:v>
      </x:c>
      <x:c r="Z130" s="12" t="str">
        <x:f>IF(OR(W130="unavailable",Y130="unavailable"),"不可评价",IF(OR(W130="equivocal",Y130="equivocal"),"疑似",IF(AND(W130="positive",Y130="positive"),"a",IF(Y130="positive","b",IF(W130="positive","c","d")))))</x:f>
        <x:v>d</x:v>
      </x:c>
      <x:c r="AA130" s="12" t="str">
        <x:f>IF(OR(M130="unavailable",O130="unavailable"),"不可评价",IF(AND(OR(M130="positive",M130="equivocal"),OR(O130="positive",O130="equivocal")),"a",IF(OR(O130="positive",O130="equivocal"),"b",IF(OR(M130="positive",M130="equivocal"),"c","d"))))</x:f>
        <x:v>d</x:v>
      </x:c>
      <x:c r="AB130" s="12" t="str">
        <x:f>IF(OR(M130="unavailable",O130="unavailable"),"不可评价",IF(AND(M130="positive",O130="positive"),"a",IF(O130="positive","b",IF(M130="positive","c","d"))))</x:f>
        <x:v>d</x:v>
      </x:c>
      <x:c r="AC130" s="12" t="str">
        <x:f>IF(OR(R130="unavailable",T130="unavailable"),"不可评价",IF(AND(OR(R130="positive",R130="equivocal"),OR(T130="positive",T130="equivocal")),"a",IF(OR(T130="positive",T130="equivocal"),"b",IF(OR(R130="positive",R130="equivocal"),"c","d"))))</x:f>
        <x:v>d</x:v>
      </x:c>
      <x:c r="AD130" s="12" t="str">
        <x:f>IF(OR(R130="unavailable",T130="unavailable"),"不可评价",IF(AND(R130="positive",T130="positive"),"a",IF(T130="positive","b",IF(R130="positive","c","d"))))</x:f>
        <x:v>d</x:v>
      </x:c>
      <x:c r="AE130" s="12" t="str">
        <x:f>IF(OR(W130="unavailable",Y130="unavailable"),"不可评价",IF(AND(OR(W130="positive",W130="equivocal"),OR(Y130="positive",Y130="equivocal")),"a",IF(OR(Y130="positive",Y130="equivocal"),"b",IF(OR(W130="positive",W130="equivocal"),"c","d"))))</x:f>
        <x:v>d</x:v>
      </x:c>
      <x:c r="AF130" s="12" t="str">
        <x:f>IF(OR(W130="unavailable",Y130="unavailable"),"不可评价",IF(AND(W130="positive",Y130="positive"),"a",IF(Y130="positive","b",IF(W130="positive","c","d"))))</x:f>
        <x:v>d</x:v>
      </x:c>
    </x:row>
    <x:row r="131" ht="24" customHeight="1">
      <x:c r="A131" s="12" t="str">
        <x:v>1016</x:v>
      </x:c>
      <x:c r="B131" s="12" t="str">
        <x:v>5676</x:v>
      </x:c>
      <x:c r="C131" s="21" t="n">
        <x:v>31989.47871527778</x:v>
      </x:c>
      <x:c r="D131" s="12" t="n">
        <x:v>39</x:v>
      </x:c>
      <x:c r="E131" s="12" t="n">
        <x:v>0</x:v>
      </x:c>
      <x:c r="F131" s="12" t="str">
        <x:v>未记录</x:v>
      </x:c>
      <x:c r="G131" s="12" t="n">
        <x:v>1</x:v>
      </x:c>
      <x:c r="H131" s="12" t="str">
        <x:v>{'NORM': 100.0, 'SR': 0.0}</x:v>
      </x:c>
      <x:c r="I131" s="12" t="str">
        <x:v>[('SBRAD', 100.0), ('ABR', 100.0)]</x:v>
      </x:c>
      <x:c r="J131" s="12" t="str">
        <x:v>ptbxl_database.csv；ecg_id=1016；scp_codes</x:v>
      </x:c>
      <x:c r="K131" s="12" t="str">
        <x:v>12sl_statements.csv；ecg_id=1016；statements_ext_snomed</x:v>
      </x:c>
      <x:c r="L131" s="12"/>
      <x:c r="M131" s="12" t="str">
        <x:v>negative</x:v>
      </x:c>
      <x:c r="N131" s="12"/>
      <x:c r="O131" s="12" t="str">
        <x:v>negative</x:v>
      </x:c>
      <x:c r="P131" s="12" t="str">
        <x:f>IF(OR(M131="unavailable",O131="unavailable"),"不可评价",IF(OR(M131="equivocal",O131="equivocal"),"疑似",IF(AND(M131="positive",O131="positive"),"a",IF(O131="positive","b",IF(M131="positive","c","d")))))</x:f>
        <x:v>d</x:v>
      </x:c>
      <x:c r="Q131" s="12"/>
      <x:c r="R131" s="12" t="str">
        <x:v>negative</x:v>
      </x:c>
      <x:c r="S131" s="12"/>
      <x:c r="T131" s="12" t="str">
        <x:v>negative</x:v>
      </x:c>
      <x:c r="U131" s="12" t="str">
        <x:f>IF(OR(R131="unavailable",T131="unavailable"),"不可评价",IF(OR(R131="equivocal",T131="equivocal"),"疑似",IF(AND(R131="positive",T131="positive"),"a",IF(T131="positive","b",IF(R131="positive","c","d")))))</x:f>
        <x:v>d</x:v>
      </x:c>
      <x:c r="V131" s="12"/>
      <x:c r="W131" s="12" t="str">
        <x:v>negative</x:v>
      </x:c>
      <x:c r="X131" s="12"/>
      <x:c r="Y131" s="12" t="str">
        <x:v>negative</x:v>
      </x:c>
      <x:c r="Z131" s="12" t="str">
        <x:f>IF(OR(W131="unavailable",Y131="unavailable"),"不可评价",IF(OR(W131="equivocal",Y131="equivocal"),"疑似",IF(AND(W131="positive",Y131="positive"),"a",IF(Y131="positive","b",IF(W131="positive","c","d")))))</x:f>
        <x:v>d</x:v>
      </x:c>
      <x:c r="AA131" s="12" t="str">
        <x:f>IF(OR(M131="unavailable",O131="unavailable"),"不可评价",IF(AND(OR(M131="positive",M131="equivocal"),OR(O131="positive",O131="equivocal")),"a",IF(OR(O131="positive",O131="equivocal"),"b",IF(OR(M131="positive",M131="equivocal"),"c","d"))))</x:f>
        <x:v>d</x:v>
      </x:c>
      <x:c r="AB131" s="12" t="str">
        <x:f>IF(OR(M131="unavailable",O131="unavailable"),"不可评价",IF(AND(M131="positive",O131="positive"),"a",IF(O131="positive","b",IF(M131="positive","c","d"))))</x:f>
        <x:v>d</x:v>
      </x:c>
      <x:c r="AC131" s="12" t="str">
        <x:f>IF(OR(R131="unavailable",T131="unavailable"),"不可评价",IF(AND(OR(R131="positive",R131="equivocal"),OR(T131="positive",T131="equivocal")),"a",IF(OR(T131="positive",T131="equivocal"),"b",IF(OR(R131="positive",R131="equivocal"),"c","d"))))</x:f>
        <x:v>d</x:v>
      </x:c>
      <x:c r="AD131" s="12" t="str">
        <x:f>IF(OR(R131="unavailable",T131="unavailable"),"不可评价",IF(AND(R131="positive",T131="positive"),"a",IF(T131="positive","b",IF(R131="positive","c","d"))))</x:f>
        <x:v>d</x:v>
      </x:c>
      <x:c r="AE131" s="12" t="str">
        <x:f>IF(OR(W131="unavailable",Y131="unavailable"),"不可评价",IF(AND(OR(W131="positive",W131="equivocal"),OR(Y131="positive",Y131="equivocal")),"a",IF(OR(Y131="positive",Y131="equivocal"),"b",IF(OR(W131="positive",W131="equivocal"),"c","d"))))</x:f>
        <x:v>d</x:v>
      </x:c>
      <x:c r="AF131" s="12" t="str">
        <x:f>IF(OR(W131="unavailable",Y131="unavailable"),"不可评价",IF(AND(W131="positive",Y131="positive"),"a",IF(Y131="positive","b",IF(W131="positive","c","d"))))</x:f>
        <x:v>d</x:v>
      </x:c>
    </x:row>
    <x:row r="132" ht="24" customHeight="1">
      <x:c r="A132" s="12" t="str">
        <x:v>1031</x:v>
      </x:c>
      <x:c r="B132" s="12" t="str">
        <x:v>1534</x:v>
      </x:c>
      <x:c r="C132" s="21" t="n">
        <x:v>31990.828645833335</x:v>
      </x:c>
      <x:c r="D132" s="12" t="n">
        <x:v>61</x:v>
      </x:c>
      <x:c r="E132" s="12" t="n">
        <x:v>0</x:v>
      </x:c>
      <x:c r="F132" s="12" t="str">
        <x:v>未记录</x:v>
      </x:c>
      <x:c r="G132" s="12" t="n">
        <x:v>1</x:v>
      </x:c>
      <x:c r="H132" s="12" t="str">
        <x:v>{'NORM': 100.0, 'SR': 0.0}</x:v>
      </x:c>
      <x:c r="I132" s="12" t="str">
        <x:v>[('NSR', 100.0), ('NML', 100.0)]</x:v>
      </x:c>
      <x:c r="J132" s="12" t="str">
        <x:v>ptbxl_database.csv；ecg_id=1031；scp_codes</x:v>
      </x:c>
      <x:c r="K132" s="12" t="str">
        <x:v>12sl_statements.csv；ecg_id=1031；statements_ext_snomed</x:v>
      </x:c>
      <x:c r="L132" s="12"/>
      <x:c r="M132" s="12" t="str">
        <x:v>negative</x:v>
      </x:c>
      <x:c r="N132" s="12"/>
      <x:c r="O132" s="12" t="str">
        <x:v>negative</x:v>
      </x:c>
      <x:c r="P132" s="12" t="str">
        <x:f>IF(OR(M132="unavailable",O132="unavailable"),"不可评价",IF(OR(M132="equivocal",O132="equivocal"),"疑似",IF(AND(M132="positive",O132="positive"),"a",IF(O132="positive","b",IF(M132="positive","c","d")))))</x:f>
        <x:v>d</x:v>
      </x:c>
      <x:c r="Q132" s="12"/>
      <x:c r="R132" s="12" t="str">
        <x:v>negative</x:v>
      </x:c>
      <x:c r="S132" s="12"/>
      <x:c r="T132" s="12" t="str">
        <x:v>negative</x:v>
      </x:c>
      <x:c r="U132" s="12" t="str">
        <x:f>IF(OR(R132="unavailable",T132="unavailable"),"不可评价",IF(OR(R132="equivocal",T132="equivocal"),"疑似",IF(AND(R132="positive",T132="positive"),"a",IF(T132="positive","b",IF(R132="positive","c","d")))))</x:f>
        <x:v>d</x:v>
      </x:c>
      <x:c r="V132" s="12"/>
      <x:c r="W132" s="12" t="str">
        <x:v>negative</x:v>
      </x:c>
      <x:c r="X132" s="12"/>
      <x:c r="Y132" s="12" t="str">
        <x:v>negative</x:v>
      </x:c>
      <x:c r="Z132" s="12" t="str">
        <x:f>IF(OR(W132="unavailable",Y132="unavailable"),"不可评价",IF(OR(W132="equivocal",Y132="equivocal"),"疑似",IF(AND(W132="positive",Y132="positive"),"a",IF(Y132="positive","b",IF(W132="positive","c","d")))))</x:f>
        <x:v>d</x:v>
      </x:c>
      <x:c r="AA132" s="12" t="str">
        <x:f>IF(OR(M132="unavailable",O132="unavailable"),"不可评价",IF(AND(OR(M132="positive",M132="equivocal"),OR(O132="positive",O132="equivocal")),"a",IF(OR(O132="positive",O132="equivocal"),"b",IF(OR(M132="positive",M132="equivocal"),"c","d"))))</x:f>
        <x:v>d</x:v>
      </x:c>
      <x:c r="AB132" s="12" t="str">
        <x:f>IF(OR(M132="unavailable",O132="unavailable"),"不可评价",IF(AND(M132="positive",O132="positive"),"a",IF(O132="positive","b",IF(M132="positive","c","d"))))</x:f>
        <x:v>d</x:v>
      </x:c>
      <x:c r="AC132" s="12" t="str">
        <x:f>IF(OR(R132="unavailable",T132="unavailable"),"不可评价",IF(AND(OR(R132="positive",R132="equivocal"),OR(T132="positive",T132="equivocal")),"a",IF(OR(T132="positive",T132="equivocal"),"b",IF(OR(R132="positive",R132="equivocal"),"c","d"))))</x:f>
        <x:v>d</x:v>
      </x:c>
      <x:c r="AD132" s="12" t="str">
        <x:f>IF(OR(R132="unavailable",T132="unavailable"),"不可评价",IF(AND(R132="positive",T132="positive"),"a",IF(T132="positive","b",IF(R132="positive","c","d"))))</x:f>
        <x:v>d</x:v>
      </x:c>
      <x:c r="AE132" s="12" t="str">
        <x:f>IF(OR(W132="unavailable",Y132="unavailable"),"不可评价",IF(AND(OR(W132="positive",W132="equivocal"),OR(Y132="positive",Y132="equivocal")),"a",IF(OR(Y132="positive",Y132="equivocal"),"b",IF(OR(W132="positive",W132="equivocal"),"c","d"))))</x:f>
        <x:v>d</x:v>
      </x:c>
      <x:c r="AF132" s="12" t="str">
        <x:f>IF(OR(W132="unavailable",Y132="unavailable"),"不可评价",IF(AND(W132="positive",Y132="positive"),"a",IF(Y132="positive","b",IF(W132="positive","c","d"))))</x:f>
        <x:v>d</x:v>
      </x:c>
    </x:row>
    <x:row r="133" ht="24" customHeight="1">
      <x:c r="A133" s="12" t="str">
        <x:v>1051</x:v>
      </x:c>
      <x:c r="B133" s="12" t="str">
        <x:v>1997</x:v>
      </x:c>
      <x:c r="C133" s="21" t="n">
        <x:v>31995.636226851853</x:v>
      </x:c>
      <x:c r="D133" s="12" t="n">
        <x:v>60</x:v>
      </x:c>
      <x:c r="E133" s="12" t="n">
        <x:v>0</x:v>
      </x:c>
      <x:c r="F133" s="12" t="str">
        <x:v>未记录</x:v>
      </x:c>
      <x:c r="G133" s="12" t="n">
        <x:v>1</x:v>
      </x:c>
      <x:c r="H133" s="12" t="str">
        <x:v>{'NORM': 100.0, 'SR': 0.0}</x:v>
      </x:c>
      <x:c r="I133" s="12" t="str">
        <x:v>[('NSR', 100.0), ('BORDE', 100.0)]</x:v>
      </x:c>
      <x:c r="J133" s="12" t="str">
        <x:v>ptbxl_database.csv；ecg_id=1051；scp_codes</x:v>
      </x:c>
      <x:c r="K133" s="12" t="str">
        <x:v>12sl_statements.csv；ecg_id=1051；statements_ext_snomed</x:v>
      </x:c>
      <x:c r="L133" s="12"/>
      <x:c r="M133" s="12" t="str">
        <x:v>negative</x:v>
      </x:c>
      <x:c r="N133" s="12"/>
      <x:c r="O133" s="12" t="str">
        <x:v>negative</x:v>
      </x:c>
      <x:c r="P133" s="12" t="str">
        <x:f>IF(OR(M133="unavailable",O133="unavailable"),"不可评价",IF(OR(M133="equivocal",O133="equivocal"),"疑似",IF(AND(M133="positive",O133="positive"),"a",IF(O133="positive","b",IF(M133="positive","c","d")))))</x:f>
        <x:v>d</x:v>
      </x:c>
      <x:c r="Q133" s="12"/>
      <x:c r="R133" s="12" t="str">
        <x:v>negative</x:v>
      </x:c>
      <x:c r="S133" s="12"/>
      <x:c r="T133" s="12" t="str">
        <x:v>negative</x:v>
      </x:c>
      <x:c r="U133" s="12" t="str">
        <x:f>IF(OR(R133="unavailable",T133="unavailable"),"不可评价",IF(OR(R133="equivocal",T133="equivocal"),"疑似",IF(AND(R133="positive",T133="positive"),"a",IF(T133="positive","b",IF(R133="positive","c","d")))))</x:f>
        <x:v>d</x:v>
      </x:c>
      <x:c r="V133" s="12"/>
      <x:c r="W133" s="12" t="str">
        <x:v>negative</x:v>
      </x:c>
      <x:c r="X133" s="12"/>
      <x:c r="Y133" s="12" t="str">
        <x:v>negative</x:v>
      </x:c>
      <x:c r="Z133" s="12" t="str">
        <x:f>IF(OR(W133="unavailable",Y133="unavailable"),"不可评价",IF(OR(W133="equivocal",Y133="equivocal"),"疑似",IF(AND(W133="positive",Y133="positive"),"a",IF(Y133="positive","b",IF(W133="positive","c","d")))))</x:f>
        <x:v>d</x:v>
      </x:c>
      <x:c r="AA133" s="12" t="str">
        <x:f>IF(OR(M133="unavailable",O133="unavailable"),"不可评价",IF(AND(OR(M133="positive",M133="equivocal"),OR(O133="positive",O133="equivocal")),"a",IF(OR(O133="positive",O133="equivocal"),"b",IF(OR(M133="positive",M133="equivocal"),"c","d"))))</x:f>
        <x:v>d</x:v>
      </x:c>
      <x:c r="AB133" s="12" t="str">
        <x:f>IF(OR(M133="unavailable",O133="unavailable"),"不可评价",IF(AND(M133="positive",O133="positive"),"a",IF(O133="positive","b",IF(M133="positive","c","d"))))</x:f>
        <x:v>d</x:v>
      </x:c>
      <x:c r="AC133" s="12" t="str">
        <x:f>IF(OR(R133="unavailable",T133="unavailable"),"不可评价",IF(AND(OR(R133="positive",R133="equivocal"),OR(T133="positive",T133="equivocal")),"a",IF(OR(T133="positive",T133="equivocal"),"b",IF(OR(R133="positive",R133="equivocal"),"c","d"))))</x:f>
        <x:v>d</x:v>
      </x:c>
      <x:c r="AD133" s="12" t="str">
        <x:f>IF(OR(R133="unavailable",T133="unavailable"),"不可评价",IF(AND(R133="positive",T133="positive"),"a",IF(T133="positive","b",IF(R133="positive","c","d"))))</x:f>
        <x:v>d</x:v>
      </x:c>
      <x:c r="AE133" s="12" t="str">
        <x:f>IF(OR(W133="unavailable",Y133="unavailable"),"不可评价",IF(AND(OR(W133="positive",W133="equivocal"),OR(Y133="positive",Y133="equivocal")),"a",IF(OR(Y133="positive",Y133="equivocal"),"b",IF(OR(W133="positive",W133="equivocal"),"c","d"))))</x:f>
        <x:v>d</x:v>
      </x:c>
      <x:c r="AF133" s="12" t="str">
        <x:f>IF(OR(W133="unavailable",Y133="unavailable"),"不可评价",IF(AND(W133="positive",Y133="positive"),"a",IF(Y133="positive","b",IF(W133="positive","c","d"))))</x:f>
        <x:v>d</x:v>
      </x:c>
    </x:row>
    <x:row r="134" ht="24" customHeight="1">
      <x:c r="A134" s="12" t="str">
        <x:v>1054</x:v>
      </x:c>
      <x:c r="B134" s="12" t="str">
        <x:v>17241</x:v>
      </x:c>
      <x:c r="C134" s="21" t="n">
        <x:v>31996.480277777777</x:v>
      </x:c>
      <x:c r="D134" s="12" t="n">
        <x:v>41</x:v>
      </x:c>
      <x:c r="E134" s="12" t="n">
        <x:v>0</x:v>
      </x:c>
      <x:c r="F134" s="12" t="str">
        <x:v>未记录</x:v>
      </x:c>
      <x:c r="G134" s="12" t="n">
        <x:v>1</x:v>
      </x:c>
      <x:c r="H134" s="12" t="str">
        <x:v>{'NORM': 100.0, 'SR': 0.0}</x:v>
      </x:c>
      <x:c r="I134" s="12" t="str">
        <x:v>[('SBRAD', 100.0), ('ABR', 100.0)]</x:v>
      </x:c>
      <x:c r="J134" s="12" t="str">
        <x:v>ptbxl_database.csv；ecg_id=1054；scp_codes</x:v>
      </x:c>
      <x:c r="K134" s="12" t="str">
        <x:v>12sl_statements.csv；ecg_id=1054；statements_ext_snomed</x:v>
      </x:c>
      <x:c r="L134" s="12"/>
      <x:c r="M134" s="12" t="str">
        <x:v>negative</x:v>
      </x:c>
      <x:c r="N134" s="12"/>
      <x:c r="O134" s="12" t="str">
        <x:v>negative</x:v>
      </x:c>
      <x:c r="P134" s="12" t="str">
        <x:f>IF(OR(M134="unavailable",O134="unavailable"),"不可评价",IF(OR(M134="equivocal",O134="equivocal"),"疑似",IF(AND(M134="positive",O134="positive"),"a",IF(O134="positive","b",IF(M134="positive","c","d")))))</x:f>
        <x:v>d</x:v>
      </x:c>
      <x:c r="Q134" s="12"/>
      <x:c r="R134" s="12" t="str">
        <x:v>negative</x:v>
      </x:c>
      <x:c r="S134" s="12"/>
      <x:c r="T134" s="12" t="str">
        <x:v>negative</x:v>
      </x:c>
      <x:c r="U134" s="12" t="str">
        <x:f>IF(OR(R134="unavailable",T134="unavailable"),"不可评价",IF(OR(R134="equivocal",T134="equivocal"),"疑似",IF(AND(R134="positive",T134="positive"),"a",IF(T134="positive","b",IF(R134="positive","c","d")))))</x:f>
        <x:v>d</x:v>
      </x:c>
      <x:c r="V134" s="12"/>
      <x:c r="W134" s="12" t="str">
        <x:v>negative</x:v>
      </x:c>
      <x:c r="X134" s="12"/>
      <x:c r="Y134" s="12" t="str">
        <x:v>negative</x:v>
      </x:c>
      <x:c r="Z134" s="12" t="str">
        <x:f>IF(OR(W134="unavailable",Y134="unavailable"),"不可评价",IF(OR(W134="equivocal",Y134="equivocal"),"疑似",IF(AND(W134="positive",Y134="positive"),"a",IF(Y134="positive","b",IF(W134="positive","c","d")))))</x:f>
        <x:v>d</x:v>
      </x:c>
      <x:c r="AA134" s="12" t="str">
        <x:f>IF(OR(M134="unavailable",O134="unavailable"),"不可评价",IF(AND(OR(M134="positive",M134="equivocal"),OR(O134="positive",O134="equivocal")),"a",IF(OR(O134="positive",O134="equivocal"),"b",IF(OR(M134="positive",M134="equivocal"),"c","d"))))</x:f>
        <x:v>d</x:v>
      </x:c>
      <x:c r="AB134" s="12" t="str">
        <x:f>IF(OR(M134="unavailable",O134="unavailable"),"不可评价",IF(AND(M134="positive",O134="positive"),"a",IF(O134="positive","b",IF(M134="positive","c","d"))))</x:f>
        <x:v>d</x:v>
      </x:c>
      <x:c r="AC134" s="12" t="str">
        <x:f>IF(OR(R134="unavailable",T134="unavailable"),"不可评价",IF(AND(OR(R134="positive",R134="equivocal"),OR(T134="positive",T134="equivocal")),"a",IF(OR(T134="positive",T134="equivocal"),"b",IF(OR(R134="positive",R134="equivocal"),"c","d"))))</x:f>
        <x:v>d</x:v>
      </x:c>
      <x:c r="AD134" s="12" t="str">
        <x:f>IF(OR(R134="unavailable",T134="unavailable"),"不可评价",IF(AND(R134="positive",T134="positive"),"a",IF(T134="positive","b",IF(R134="positive","c","d"))))</x:f>
        <x:v>d</x:v>
      </x:c>
      <x:c r="AE134" s="12" t="str">
        <x:f>IF(OR(W134="unavailable",Y134="unavailable"),"不可评价",IF(AND(OR(W134="positive",W134="equivocal"),OR(Y134="positive",Y134="equivocal")),"a",IF(OR(Y134="positive",Y134="equivocal"),"b",IF(OR(W134="positive",W134="equivocal"),"c","d"))))</x:f>
        <x:v>d</x:v>
      </x:c>
      <x:c r="AF134" s="12" t="str">
        <x:f>IF(OR(W134="unavailable",Y134="unavailable"),"不可评价",IF(AND(W134="positive",Y134="positive"),"a",IF(Y134="positive","b",IF(W134="positive","c","d"))))</x:f>
        <x:v>d</x:v>
      </x:c>
    </x:row>
    <x:row r="135" ht="39" customHeight="1">
      <x:c r="A135" s="12" t="str">
        <x:v>1056</x:v>
      </x:c>
      <x:c r="B135" s="12" t="str">
        <x:v>7772</x:v>
      </x:c>
      <x:c r="C135" s="21" t="n">
        <x:v>31996.620891203704</x:v>
      </x:c>
      <x:c r="D135" s="12" t="n">
        <x:v>72</x:v>
      </x:c>
      <x:c r="E135" s="12" t="n">
        <x:v>0</x:v>
      </x:c>
      <x:c r="F135" s="12" t="str">
        <x:v>未记录</x:v>
      </x:c>
      <x:c r="G135" s="12" t="n">
        <x:v>1</x:v>
      </x:c>
      <x:c r="H135" s="12" t="str">
        <x:v>{'ILMI': 100.0, 'ASMI': 100.0, 'CLBBB': 100.0, '1AVB': 100.0}</x:v>
      </x:c>
      <x:c r="I135" s="12" t="str">
        <x:v>[('SRTH', 100.0), ('FAV', 100.0), ('LAE', 50.0), ('LAD3', 100.0), ('LBBB', 100.0), ('AB', 100.0)]</x:v>
      </x:c>
      <x:c r="J135" s="12" t="str">
        <x:v>ptbxl_database.csv；ecg_id=1056；scp_codes</x:v>
      </x:c>
      <x:c r="K135" s="12" t="str">
        <x:v>12sl_statements.csv；ecg_id=1056；statements_ext_snomed</x:v>
      </x:c>
      <x:c r="L135" s="12"/>
      <x:c r="M135" s="12" t="str">
        <x:v>negative</x:v>
      </x:c>
      <x:c r="N135" s="12"/>
      <x:c r="O135" s="12" t="str">
        <x:v>negative</x:v>
      </x:c>
      <x:c r="P135" s="12" t="str">
        <x:f>IF(OR(M135="unavailable",O135="unavailable"),"不可评价",IF(OR(M135="equivocal",O135="equivocal"),"疑似",IF(AND(M135="positive",O135="positive"),"a",IF(O135="positive","b",IF(M135="positive","c","d")))))</x:f>
        <x:v>d</x:v>
      </x:c>
      <x:c r="Q135" s="12" t="n">
        <x:v>100</x:v>
      </x:c>
      <x:c r="R135" s="12" t="str">
        <x:v>positive</x:v>
      </x:c>
      <x:c r="S135" s="12" t="n">
        <x:v>100</x:v>
      </x:c>
      <x:c r="T135" s="12" t="str">
        <x:v>positive</x:v>
      </x:c>
      <x:c r="U135" s="12" t="str">
        <x:f>IF(OR(R135="unavailable",T135="unavailable"),"不可评价",IF(OR(R135="equivocal",T135="equivocal"),"疑似",IF(AND(R135="positive",T135="positive"),"a",IF(T135="positive","b",IF(R135="positive","c","d")))))</x:f>
        <x:v>a</x:v>
      </x:c>
      <x:c r="V135" s="12"/>
      <x:c r="W135" s="12" t="str">
        <x:v>negative</x:v>
      </x:c>
      <x:c r="X135" s="12"/>
      <x:c r="Y135" s="12" t="str">
        <x:v>negative</x:v>
      </x:c>
      <x:c r="Z135" s="12" t="str">
        <x:f>IF(OR(W135="unavailable",Y135="unavailable"),"不可评价",IF(OR(W135="equivocal",Y135="equivocal"),"疑似",IF(AND(W135="positive",Y135="positive"),"a",IF(Y135="positive","b",IF(W135="positive","c","d")))))</x:f>
        <x:v>d</x:v>
      </x:c>
      <x:c r="AA135" s="12" t="str">
        <x:f>IF(OR(M135="unavailable",O135="unavailable"),"不可评价",IF(AND(OR(M135="positive",M135="equivocal"),OR(O135="positive",O135="equivocal")),"a",IF(OR(O135="positive",O135="equivocal"),"b",IF(OR(M135="positive",M135="equivocal"),"c","d"))))</x:f>
        <x:v>d</x:v>
      </x:c>
      <x:c r="AB135" s="12" t="str">
        <x:f>IF(OR(M135="unavailable",O135="unavailable"),"不可评价",IF(AND(M135="positive",O135="positive"),"a",IF(O135="positive","b",IF(M135="positive","c","d"))))</x:f>
        <x:v>d</x:v>
      </x:c>
      <x:c r="AC135" s="12" t="str">
        <x:f>IF(OR(R135="unavailable",T135="unavailable"),"不可评价",IF(AND(OR(R135="positive",R135="equivocal"),OR(T135="positive",T135="equivocal")),"a",IF(OR(T135="positive",T135="equivocal"),"b",IF(OR(R135="positive",R135="equivocal"),"c","d"))))</x:f>
        <x:v>a</x:v>
      </x:c>
      <x:c r="AD135" s="12" t="str">
        <x:f>IF(OR(R135="unavailable",T135="unavailable"),"不可评价",IF(AND(R135="positive",T135="positive"),"a",IF(T135="positive","b",IF(R135="positive","c","d"))))</x:f>
        <x:v>a</x:v>
      </x:c>
      <x:c r="AE135" s="12" t="str">
        <x:f>IF(OR(W135="unavailable",Y135="unavailable"),"不可评价",IF(AND(OR(W135="positive",W135="equivocal"),OR(Y135="positive",Y135="equivocal")),"a",IF(OR(Y135="positive",Y135="equivocal"),"b",IF(OR(W135="positive",W135="equivocal"),"c","d"))))</x:f>
        <x:v>d</x:v>
      </x:c>
      <x:c r="AF135" s="12" t="str">
        <x:f>IF(OR(W135="unavailable",Y135="unavailable"),"不可评价",IF(AND(W135="positive",Y135="positive"),"a",IF(Y135="positive","b",IF(W135="positive","c","d"))))</x:f>
        <x:v>d</x:v>
      </x:c>
    </x:row>
    <x:row r="136" ht="24" customHeight="1">
      <x:c r="A136" s="12" t="str">
        <x:v>1061</x:v>
      </x:c>
      <x:c r="B136" s="12" t="str">
        <x:v>1302</x:v>
      </x:c>
      <x:c r="C136" s="21" t="n">
        <x:v>31997.41903935185</x:v>
      </x:c>
      <x:c r="D136" s="12" t="n">
        <x:v>35</x:v>
      </x:c>
      <x:c r="E136" s="12" t="n">
        <x:v>0</x:v>
      </x:c>
      <x:c r="F136" s="12" t="str">
        <x:v>未记录</x:v>
      </x:c>
      <x:c r="G136" s="12" t="n">
        <x:v>1</x:v>
      </x:c>
      <x:c r="H136" s="12" t="str">
        <x:v>{'NORM': 80.0, 'HVOLT': 0.0, 'SARRH': 0.0}</x:v>
      </x:c>
      <x:c r="I136" s="12" t="str">
        <x:v>[('SBRAD', 100.0), ('SAR', 100.0), ('SERYR2', 100.0), ('BORDE', 100.0)]</x:v>
      </x:c>
      <x:c r="J136" s="12" t="str">
        <x:v>ptbxl_database.csv；ecg_id=1061；scp_codes</x:v>
      </x:c>
      <x:c r="K136" s="12" t="str">
        <x:v>12sl_statements.csv；ecg_id=1061；statements_ext_snomed</x:v>
      </x:c>
      <x:c r="L136" s="12"/>
      <x:c r="M136" s="12" t="str">
        <x:v>negative</x:v>
      </x:c>
      <x:c r="N136" s="12"/>
      <x:c r="O136" s="12" t="str">
        <x:v>negative</x:v>
      </x:c>
      <x:c r="P136" s="12" t="str">
        <x:f>IF(OR(M136="unavailable",O136="unavailable"),"不可评价",IF(OR(M136="equivocal",O136="equivocal"),"疑似",IF(AND(M136="positive",O136="positive"),"a",IF(O136="positive","b",IF(M136="positive","c","d")))))</x:f>
        <x:v>d</x:v>
      </x:c>
      <x:c r="Q136" s="12"/>
      <x:c r="R136" s="12" t="str">
        <x:v>negative</x:v>
      </x:c>
      <x:c r="S136" s="12"/>
      <x:c r="T136" s="12" t="str">
        <x:v>negative</x:v>
      </x:c>
      <x:c r="U136" s="12" t="str">
        <x:f>IF(OR(R136="unavailable",T136="unavailable"),"不可评价",IF(OR(R136="equivocal",T136="equivocal"),"疑似",IF(AND(R136="positive",T136="positive"),"a",IF(T136="positive","b",IF(R136="positive","c","d")))))</x:f>
        <x:v>d</x:v>
      </x:c>
      <x:c r="V136" s="12"/>
      <x:c r="W136" s="12" t="str">
        <x:v>negative</x:v>
      </x:c>
      <x:c r="X136" s="12"/>
      <x:c r="Y136" s="12" t="str">
        <x:v>negative</x:v>
      </x:c>
      <x:c r="Z136" s="12" t="str">
        <x:f>IF(OR(W136="unavailable",Y136="unavailable"),"不可评价",IF(OR(W136="equivocal",Y136="equivocal"),"疑似",IF(AND(W136="positive",Y136="positive"),"a",IF(Y136="positive","b",IF(W136="positive","c","d")))))</x:f>
        <x:v>d</x:v>
      </x:c>
      <x:c r="AA136" s="12" t="str">
        <x:f>IF(OR(M136="unavailable",O136="unavailable"),"不可评价",IF(AND(OR(M136="positive",M136="equivocal"),OR(O136="positive",O136="equivocal")),"a",IF(OR(O136="positive",O136="equivocal"),"b",IF(OR(M136="positive",M136="equivocal"),"c","d"))))</x:f>
        <x:v>d</x:v>
      </x:c>
      <x:c r="AB136" s="12" t="str">
        <x:f>IF(OR(M136="unavailable",O136="unavailable"),"不可评价",IF(AND(M136="positive",O136="positive"),"a",IF(O136="positive","b",IF(M136="positive","c","d"))))</x:f>
        <x:v>d</x:v>
      </x:c>
      <x:c r="AC136" s="12" t="str">
        <x:f>IF(OR(R136="unavailable",T136="unavailable"),"不可评价",IF(AND(OR(R136="positive",R136="equivocal"),OR(T136="positive",T136="equivocal")),"a",IF(OR(T136="positive",T136="equivocal"),"b",IF(OR(R136="positive",R136="equivocal"),"c","d"))))</x:f>
        <x:v>d</x:v>
      </x:c>
      <x:c r="AD136" s="12" t="str">
        <x:f>IF(OR(R136="unavailable",T136="unavailable"),"不可评价",IF(AND(R136="positive",T136="positive"),"a",IF(T136="positive","b",IF(R136="positive","c","d"))))</x:f>
        <x:v>d</x:v>
      </x:c>
      <x:c r="AE136" s="12" t="str">
        <x:f>IF(OR(W136="unavailable",Y136="unavailable"),"不可评价",IF(AND(OR(W136="positive",W136="equivocal"),OR(Y136="positive",Y136="equivocal")),"a",IF(OR(Y136="positive",Y136="equivocal"),"b",IF(OR(W136="positive",W136="equivocal"),"c","d"))))</x:f>
        <x:v>d</x:v>
      </x:c>
      <x:c r="AF136" s="12" t="str">
        <x:f>IF(OR(W136="unavailable",Y136="unavailable"),"不可评价",IF(AND(W136="positive",Y136="positive"),"a",IF(Y136="positive","b",IF(W136="positive","c","d"))))</x:f>
        <x:v>d</x:v>
      </x:c>
    </x:row>
    <x:row r="137" ht="24" customHeight="1">
      <x:c r="A137" s="12" t="str">
        <x:v>1068</x:v>
      </x:c>
      <x:c r="B137" s="12" t="str">
        <x:v>1886</x:v>
      </x:c>
      <x:c r="C137" s="21" t="n">
        <x:v>31998.542743055557</x:v>
      </x:c>
      <x:c r="D137" s="12" t="n">
        <x:v>300</x:v>
      </x:c>
      <x:c r="E137" s="12" t="n">
        <x:v>1</x:v>
      </x:c>
      <x:c r="F137" s="12" t="str">
        <x:v>未记录</x:v>
      </x:c>
      <x:c r="G137" s="12" t="n">
        <x:v>1</x:v>
      </x:c>
      <x:c r="H137" s="12" t="str">
        <x:v>{'NST_': 100.0, 'EL': 100.0, 'SR': 0.0}</x:v>
      </x:c>
      <x:c r="I137" s="12" t="str">
        <x:v>[('NSR', 100.0), ('SAR', 100.0), ('NSTT', 100.0), ('AB', 100.0)]</x:v>
      </x:c>
      <x:c r="J137" s="12" t="str">
        <x:v>ptbxl_database.csv；ecg_id=1068；scp_codes</x:v>
      </x:c>
      <x:c r="K137" s="12" t="str">
        <x:v>12sl_statements.csv；ecg_id=1068；statements_ext_snomed</x:v>
      </x:c>
      <x:c r="L137" s="12"/>
      <x:c r="M137" s="12" t="str">
        <x:v>negative</x:v>
      </x:c>
      <x:c r="N137" s="12"/>
      <x:c r="O137" s="12" t="str">
        <x:v>negative</x:v>
      </x:c>
      <x:c r="P137" s="12" t="str">
        <x:f>IF(OR(M137="unavailable",O137="unavailable"),"不可评价",IF(OR(M137="equivocal",O137="equivocal"),"疑似",IF(AND(M137="positive",O137="positive"),"a",IF(O137="positive","b",IF(M137="positive","c","d")))))</x:f>
        <x:v>d</x:v>
      </x:c>
      <x:c r="Q137" s="12"/>
      <x:c r="R137" s="12" t="str">
        <x:v>negative</x:v>
      </x:c>
      <x:c r="S137" s="12"/>
      <x:c r="T137" s="12" t="str">
        <x:v>negative</x:v>
      </x:c>
      <x:c r="U137" s="12" t="str">
        <x:f>IF(OR(R137="unavailable",T137="unavailable"),"不可评价",IF(OR(R137="equivocal",T137="equivocal"),"疑似",IF(AND(R137="positive",T137="positive"),"a",IF(T137="positive","b",IF(R137="positive","c","d")))))</x:f>
        <x:v>d</x:v>
      </x:c>
      <x:c r="V137" s="12"/>
      <x:c r="W137" s="12" t="str">
        <x:v>negative</x:v>
      </x:c>
      <x:c r="X137" s="12"/>
      <x:c r="Y137" s="12" t="str">
        <x:v>negative</x:v>
      </x:c>
      <x:c r="Z137" s="12" t="str">
        <x:f>IF(OR(W137="unavailable",Y137="unavailable"),"不可评价",IF(OR(W137="equivocal",Y137="equivocal"),"疑似",IF(AND(W137="positive",Y137="positive"),"a",IF(Y137="positive","b",IF(W137="positive","c","d")))))</x:f>
        <x:v>d</x:v>
      </x:c>
      <x:c r="AA137" s="12" t="str">
        <x:f>IF(OR(M137="unavailable",O137="unavailable"),"不可评价",IF(AND(OR(M137="positive",M137="equivocal"),OR(O137="positive",O137="equivocal")),"a",IF(OR(O137="positive",O137="equivocal"),"b",IF(OR(M137="positive",M137="equivocal"),"c","d"))))</x:f>
        <x:v>d</x:v>
      </x:c>
      <x:c r="AB137" s="12" t="str">
        <x:f>IF(OR(M137="unavailable",O137="unavailable"),"不可评价",IF(AND(M137="positive",O137="positive"),"a",IF(O137="positive","b",IF(M137="positive","c","d"))))</x:f>
        <x:v>d</x:v>
      </x:c>
      <x:c r="AC137" s="12" t="str">
        <x:f>IF(OR(R137="unavailable",T137="unavailable"),"不可评价",IF(AND(OR(R137="positive",R137="equivocal"),OR(T137="positive",T137="equivocal")),"a",IF(OR(T137="positive",T137="equivocal"),"b",IF(OR(R137="positive",R137="equivocal"),"c","d"))))</x:f>
        <x:v>d</x:v>
      </x:c>
      <x:c r="AD137" s="12" t="str">
        <x:f>IF(OR(R137="unavailable",T137="unavailable"),"不可评价",IF(AND(R137="positive",T137="positive"),"a",IF(T137="positive","b",IF(R137="positive","c","d"))))</x:f>
        <x:v>d</x:v>
      </x:c>
      <x:c r="AE137" s="12" t="str">
        <x:f>IF(OR(W137="unavailable",Y137="unavailable"),"不可评价",IF(AND(OR(W137="positive",W137="equivocal"),OR(Y137="positive",Y137="equivocal")),"a",IF(OR(Y137="positive",Y137="equivocal"),"b",IF(OR(W137="positive",W137="equivocal"),"c","d"))))</x:f>
        <x:v>d</x:v>
      </x:c>
      <x:c r="AF137" s="12" t="str">
        <x:f>IF(OR(W137="unavailable",Y137="unavailable"),"不可评价",IF(AND(W137="positive",Y137="positive"),"a",IF(Y137="positive","b",IF(W137="positive","c","d"))))</x:f>
        <x:v>d</x:v>
      </x:c>
    </x:row>
    <x:row r="138" ht="24" customHeight="1">
      <x:c r="A138" s="12" t="str">
        <x:v>1078</x:v>
      </x:c>
      <x:c r="B138" s="12" t="str">
        <x:v>857</x:v>
      </x:c>
      <x:c r="C138" s="21" t="n">
        <x:v>32000.699583333335</x:v>
      </x:c>
      <x:c r="D138" s="12" t="n">
        <x:v>69</x:v>
      </x:c>
      <x:c r="E138" s="12" t="n">
        <x:v>0</x:v>
      </x:c>
      <x:c r="F138" s="12" t="str">
        <x:v>未记录</x:v>
      </x:c>
      <x:c r="G138" s="12" t="n">
        <x:v>1</x:v>
      </x:c>
      <x:c r="H138" s="12" t="str">
        <x:v>{'NORM': 100.0, 'SR': 0.0}</x:v>
      </x:c>
      <x:c r="I138" s="12" t="str">
        <x:v>[('NSR', 100.0), ('NML', 100.0)]</x:v>
      </x:c>
      <x:c r="J138" s="12" t="str">
        <x:v>ptbxl_database.csv；ecg_id=1078；scp_codes</x:v>
      </x:c>
      <x:c r="K138" s="12" t="str">
        <x:v>12sl_statements.csv；ecg_id=1078；statements_ext_snomed</x:v>
      </x:c>
      <x:c r="L138" s="12"/>
      <x:c r="M138" s="12" t="str">
        <x:v>negative</x:v>
      </x:c>
      <x:c r="N138" s="12"/>
      <x:c r="O138" s="12" t="str">
        <x:v>negative</x:v>
      </x:c>
      <x:c r="P138" s="12" t="str">
        <x:f>IF(OR(M138="unavailable",O138="unavailable"),"不可评价",IF(OR(M138="equivocal",O138="equivocal"),"疑似",IF(AND(M138="positive",O138="positive"),"a",IF(O138="positive","b",IF(M138="positive","c","d")))))</x:f>
        <x:v>d</x:v>
      </x:c>
      <x:c r="Q138" s="12"/>
      <x:c r="R138" s="12" t="str">
        <x:v>negative</x:v>
      </x:c>
      <x:c r="S138" s="12"/>
      <x:c r="T138" s="12" t="str">
        <x:v>negative</x:v>
      </x:c>
      <x:c r="U138" s="12" t="str">
        <x:f>IF(OR(R138="unavailable",T138="unavailable"),"不可评价",IF(OR(R138="equivocal",T138="equivocal"),"疑似",IF(AND(R138="positive",T138="positive"),"a",IF(T138="positive","b",IF(R138="positive","c","d")))))</x:f>
        <x:v>d</x:v>
      </x:c>
      <x:c r="V138" s="12"/>
      <x:c r="W138" s="12" t="str">
        <x:v>negative</x:v>
      </x:c>
      <x:c r="X138" s="12"/>
      <x:c r="Y138" s="12" t="str">
        <x:v>negative</x:v>
      </x:c>
      <x:c r="Z138" s="12" t="str">
        <x:f>IF(OR(W138="unavailable",Y138="unavailable"),"不可评价",IF(OR(W138="equivocal",Y138="equivocal"),"疑似",IF(AND(W138="positive",Y138="positive"),"a",IF(Y138="positive","b",IF(W138="positive","c","d")))))</x:f>
        <x:v>d</x:v>
      </x:c>
      <x:c r="AA138" s="12" t="str">
        <x:f>IF(OR(M138="unavailable",O138="unavailable"),"不可评价",IF(AND(OR(M138="positive",M138="equivocal"),OR(O138="positive",O138="equivocal")),"a",IF(OR(O138="positive",O138="equivocal"),"b",IF(OR(M138="positive",M138="equivocal"),"c","d"))))</x:f>
        <x:v>d</x:v>
      </x:c>
      <x:c r="AB138" s="12" t="str">
        <x:f>IF(OR(M138="unavailable",O138="unavailable"),"不可评价",IF(AND(M138="positive",O138="positive"),"a",IF(O138="positive","b",IF(M138="positive","c","d"))))</x:f>
        <x:v>d</x:v>
      </x:c>
      <x:c r="AC138" s="12" t="str">
        <x:f>IF(OR(R138="unavailable",T138="unavailable"),"不可评价",IF(AND(OR(R138="positive",R138="equivocal"),OR(T138="positive",T138="equivocal")),"a",IF(OR(T138="positive",T138="equivocal"),"b",IF(OR(R138="positive",R138="equivocal"),"c","d"))))</x:f>
        <x:v>d</x:v>
      </x:c>
      <x:c r="AD138" s="12" t="str">
        <x:f>IF(OR(R138="unavailable",T138="unavailable"),"不可评价",IF(AND(R138="positive",T138="positive"),"a",IF(T138="positive","b",IF(R138="positive","c","d"))))</x:f>
        <x:v>d</x:v>
      </x:c>
      <x:c r="AE138" s="12" t="str">
        <x:f>IF(OR(W138="unavailable",Y138="unavailable"),"不可评价",IF(AND(OR(W138="positive",W138="equivocal"),OR(Y138="positive",Y138="equivocal")),"a",IF(OR(Y138="positive",Y138="equivocal"),"b",IF(OR(W138="positive",W138="equivocal"),"c","d"))))</x:f>
        <x:v>d</x:v>
      </x:c>
      <x:c r="AF138" s="12" t="str">
        <x:f>IF(OR(W138="unavailable",Y138="unavailable"),"不可评价",IF(AND(W138="positive",Y138="positive"),"a",IF(Y138="positive","b",IF(W138="positive","c","d"))))</x:f>
        <x:v>d</x:v>
      </x:c>
    </x:row>
    <x:row r="139" ht="39" customHeight="1">
      <x:c r="A139" s="12" t="str">
        <x:v>1084</x:v>
      </x:c>
      <x:c r="B139" s="12" t="str">
        <x:v>7374</x:v>
      </x:c>
      <x:c r="C139" s="21" t="n">
        <x:v>32001.500069444446</x:v>
      </x:c>
      <x:c r="D139" s="12" t="n">
        <x:v>74</x:v>
      </x:c>
      <x:c r="E139" s="12" t="n">
        <x:v>0</x:v>
      </x:c>
      <x:c r="F139" s="12" t="str">
        <x:v>未记录</x:v>
      </x:c>
      <x:c r="G139" s="12" t="n">
        <x:v>1</x:v>
      </x:c>
      <x:c r="H139" s="12" t="str">
        <x:v>{'NORM': 80.0, 'PAC': 0.0, 'PVC': 0.0, 'SR': 0.0}</x:v>
      </x:c>
      <x:c r="I139" s="12" t="str">
        <x:v>[('SRTH', 100.0), ('PSVC', 100.0), ('OCC', 100.0), ('PVC', 100.0), ('NST', 100.0), ('AB', 100.0)]</x:v>
      </x:c>
      <x:c r="J139" s="12" t="str">
        <x:v>ptbxl_database.csv；ecg_id=1084；scp_codes</x:v>
      </x:c>
      <x:c r="K139" s="12" t="str">
        <x:v>12sl_statements.csv；ecg_id=1084；statements_ext_snomed</x:v>
      </x:c>
      <x:c r="L139" s="12"/>
      <x:c r="M139" s="12" t="str">
        <x:v>negative</x:v>
      </x:c>
      <x:c r="N139" s="12"/>
      <x:c r="O139" s="12" t="str">
        <x:v>negative</x:v>
      </x:c>
      <x:c r="P139" s="12" t="str">
        <x:f>IF(OR(M139="unavailable",O139="unavailable"),"不可评价",IF(OR(M139="equivocal",O139="equivocal"),"疑似",IF(AND(M139="positive",O139="positive"),"a",IF(O139="positive","b",IF(M139="positive","c","d")))))</x:f>
        <x:v>d</x:v>
      </x:c>
      <x:c r="Q139" s="12"/>
      <x:c r="R139" s="12" t="str">
        <x:v>negative</x:v>
      </x:c>
      <x:c r="S139" s="12"/>
      <x:c r="T139" s="12" t="str">
        <x:v>negative</x:v>
      </x:c>
      <x:c r="U139" s="12" t="str">
        <x:f>IF(OR(R139="unavailable",T139="unavailable"),"不可评价",IF(OR(R139="equivocal",T139="equivocal"),"疑似",IF(AND(R139="positive",T139="positive"),"a",IF(T139="positive","b",IF(R139="positive","c","d")))))</x:f>
        <x:v>d</x:v>
      </x:c>
      <x:c r="V139" s="12"/>
      <x:c r="W139" s="12" t="str">
        <x:v>negative</x:v>
      </x:c>
      <x:c r="X139" s="12"/>
      <x:c r="Y139" s="12" t="str">
        <x:v>negative</x:v>
      </x:c>
      <x:c r="Z139" s="12" t="str">
        <x:f>IF(OR(W139="unavailable",Y139="unavailable"),"不可评价",IF(OR(W139="equivocal",Y139="equivocal"),"疑似",IF(AND(W139="positive",Y139="positive"),"a",IF(Y139="positive","b",IF(W139="positive","c","d")))))</x:f>
        <x:v>d</x:v>
      </x:c>
      <x:c r="AA139" s="12" t="str">
        <x:f>IF(OR(M139="unavailable",O139="unavailable"),"不可评价",IF(AND(OR(M139="positive",M139="equivocal"),OR(O139="positive",O139="equivocal")),"a",IF(OR(O139="positive",O139="equivocal"),"b",IF(OR(M139="positive",M139="equivocal"),"c","d"))))</x:f>
        <x:v>d</x:v>
      </x:c>
      <x:c r="AB139" s="12" t="str">
        <x:f>IF(OR(M139="unavailable",O139="unavailable"),"不可评价",IF(AND(M139="positive",O139="positive"),"a",IF(O139="positive","b",IF(M139="positive","c","d"))))</x:f>
        <x:v>d</x:v>
      </x:c>
      <x:c r="AC139" s="12" t="str">
        <x:f>IF(OR(R139="unavailable",T139="unavailable"),"不可评价",IF(AND(OR(R139="positive",R139="equivocal"),OR(T139="positive",T139="equivocal")),"a",IF(OR(T139="positive",T139="equivocal"),"b",IF(OR(R139="positive",R139="equivocal"),"c","d"))))</x:f>
        <x:v>d</x:v>
      </x:c>
      <x:c r="AD139" s="12" t="str">
        <x:f>IF(OR(R139="unavailable",T139="unavailable"),"不可评价",IF(AND(R139="positive",T139="positive"),"a",IF(T139="positive","b",IF(R139="positive","c","d"))))</x:f>
        <x:v>d</x:v>
      </x:c>
      <x:c r="AE139" s="12" t="str">
        <x:f>IF(OR(W139="unavailable",Y139="unavailable"),"不可评价",IF(AND(OR(W139="positive",W139="equivocal"),OR(Y139="positive",Y139="equivocal")),"a",IF(OR(Y139="positive",Y139="equivocal"),"b",IF(OR(W139="positive",W139="equivocal"),"c","d"))))</x:f>
        <x:v>d</x:v>
      </x:c>
      <x:c r="AF139" s="12" t="str">
        <x:f>IF(OR(W139="unavailable",Y139="unavailable"),"不可评价",IF(AND(W139="positive",Y139="positive"),"a",IF(Y139="positive","b",IF(W139="positive","c","d"))))</x:f>
        <x:v>d</x:v>
      </x:c>
    </x:row>
    <x:row r="140" ht="24" customHeight="1">
      <x:c r="A140" s="12" t="str">
        <x:v>1093</x:v>
      </x:c>
      <x:c r="B140" s="12" t="str">
        <x:v>1623</x:v>
      </x:c>
      <x:c r="C140" s="21" t="n">
        <x:v>32002.563402777778</x:v>
      </x:c>
      <x:c r="D140" s="12" t="n">
        <x:v>77</x:v>
      </x:c>
      <x:c r="E140" s="12" t="n">
        <x:v>0</x:v>
      </x:c>
      <x:c r="F140" s="12" t="str">
        <x:v>存在</x:v>
      </x:c>
      <x:c r="G140" s="12" t="n">
        <x:v>1</x:v>
      </x:c>
      <x:c r="H140" s="12" t="str">
        <x:v>{'IMI': 15.0, 'CRBBB': 100.0, 'NST_': 0.0, 'LPR': 0.0, 'SR': 0.0}</x:v>
      </x:c>
      <x:c r="I140" s="12" t="str">
        <x:v>[('$SWQR', 100.0), ('RBBB', 100.0), ('IMI;AU', 100.0), ('AB', 100.0)]</x:v>
      </x:c>
      <x:c r="J140" s="12" t="str">
        <x:v>ptbxl_database.csv；ecg_id=1093；scp_codes</x:v>
      </x:c>
      <x:c r="K140" s="12" t="str">
        <x:v>12sl_statements.csv；ecg_id=1093；statements_ext_snomed</x:v>
      </x:c>
      <x:c r="L140" s="12"/>
      <x:c r="M140" s="12" t="str">
        <x:v>negative</x:v>
      </x:c>
      <x:c r="N140" s="12"/>
      <x:c r="O140" s="12" t="str">
        <x:v>negative</x:v>
      </x:c>
      <x:c r="P140" s="12" t="str">
        <x:f>IF(OR(M140="unavailable",O140="unavailable"),"不可评价",IF(OR(M140="equivocal",O140="equivocal"),"疑似",IF(AND(M140="positive",O140="positive"),"a",IF(O140="positive","b",IF(M140="positive","c","d")))))</x:f>
        <x:v>d</x:v>
      </x:c>
      <x:c r="Q140" s="12"/>
      <x:c r="R140" s="12" t="str">
        <x:v>negative</x:v>
      </x:c>
      <x:c r="S140" s="12"/>
      <x:c r="T140" s="12" t="str">
        <x:v>negative</x:v>
      </x:c>
      <x:c r="U140" s="12" t="str">
        <x:f>IF(OR(R140="unavailable",T140="unavailable"),"不可评价",IF(OR(R140="equivocal",T140="equivocal"),"疑似",IF(AND(R140="positive",T140="positive"),"a",IF(T140="positive","b",IF(R140="positive","c","d")))))</x:f>
        <x:v>d</x:v>
      </x:c>
      <x:c r="V140" s="12" t="n">
        <x:v>100</x:v>
      </x:c>
      <x:c r="W140" s="12" t="str">
        <x:v>positive</x:v>
      </x:c>
      <x:c r="X140" s="12" t="n">
        <x:v>100</x:v>
      </x:c>
      <x:c r="Y140" s="12" t="str">
        <x:v>positive</x:v>
      </x:c>
      <x:c r="Z140" s="12" t="str">
        <x:f>IF(OR(W140="unavailable",Y140="unavailable"),"不可评价",IF(OR(W140="equivocal",Y140="equivocal"),"疑似",IF(AND(W140="positive",Y140="positive"),"a",IF(Y140="positive","b",IF(W140="positive","c","d")))))</x:f>
        <x:v>a</x:v>
      </x:c>
      <x:c r="AA140" s="12" t="str">
        <x:f>IF(OR(M140="unavailable",O140="unavailable"),"不可评价",IF(AND(OR(M140="positive",M140="equivocal"),OR(O140="positive",O140="equivocal")),"a",IF(OR(O140="positive",O140="equivocal"),"b",IF(OR(M140="positive",M140="equivocal"),"c","d"))))</x:f>
        <x:v>d</x:v>
      </x:c>
      <x:c r="AB140" s="12" t="str">
        <x:f>IF(OR(M140="unavailable",O140="unavailable"),"不可评价",IF(AND(M140="positive",O140="positive"),"a",IF(O140="positive","b",IF(M140="positive","c","d"))))</x:f>
        <x:v>d</x:v>
      </x:c>
      <x:c r="AC140" s="12" t="str">
        <x:f>IF(OR(R140="unavailable",T140="unavailable"),"不可评价",IF(AND(OR(R140="positive",R140="equivocal"),OR(T140="positive",T140="equivocal")),"a",IF(OR(T140="positive",T140="equivocal"),"b",IF(OR(R140="positive",R140="equivocal"),"c","d"))))</x:f>
        <x:v>d</x:v>
      </x:c>
      <x:c r="AD140" s="12" t="str">
        <x:f>IF(OR(R140="unavailable",T140="unavailable"),"不可评价",IF(AND(R140="positive",T140="positive"),"a",IF(T140="positive","b",IF(R140="positive","c","d"))))</x:f>
        <x:v>d</x:v>
      </x:c>
      <x:c r="AE140" s="12" t="str">
        <x:f>IF(OR(W140="unavailable",Y140="unavailable"),"不可评价",IF(AND(OR(W140="positive",W140="equivocal"),OR(Y140="positive",Y140="equivocal")),"a",IF(OR(Y140="positive",Y140="equivocal"),"b",IF(OR(W140="positive",W140="equivocal"),"c","d"))))</x:f>
        <x:v>a</x:v>
      </x:c>
      <x:c r="AF140" s="12" t="str">
        <x:f>IF(OR(W140="unavailable",Y140="unavailable"),"不可评价",IF(AND(W140="positive",Y140="positive"),"a",IF(Y140="positive","b",IF(W140="positive","c","d"))))</x:f>
        <x:v>a</x:v>
      </x:c>
    </x:row>
    <x:row r="141" ht="24" customHeight="1">
      <x:c r="A141" s="12" t="str">
        <x:v>1094</x:v>
      </x:c>
      <x:c r="B141" s="12" t="str">
        <x:v>21499</x:v>
      </x:c>
      <x:c r="C141" s="21" t="n">
        <x:v>32003.20136574074</x:v>
      </x:c>
      <x:c r="D141" s="12" t="n">
        <x:v>21</x:v>
      </x:c>
      <x:c r="E141" s="12" t="n">
        <x:v>1</x:v>
      </x:c>
      <x:c r="F141" s="12" t="str">
        <x:v>未记录</x:v>
      </x:c>
      <x:c r="G141" s="12" t="n">
        <x:v>1</x:v>
      </x:c>
      <x:c r="H141" s="12" t="str">
        <x:v>{'NORM': 100.0, 'SR': 0.0}</x:v>
      </x:c>
      <x:c r="I141" s="12" t="str">
        <x:v>[('SBRAD', 100.0), ('ABR', 100.0)]</x:v>
      </x:c>
      <x:c r="J141" s="12" t="str">
        <x:v>ptbxl_database.csv；ecg_id=1094；scp_codes</x:v>
      </x:c>
      <x:c r="K141" s="12" t="str">
        <x:v>12sl_statements.csv；ecg_id=1094；statements_ext_snomed</x:v>
      </x:c>
      <x:c r="L141" s="12"/>
      <x:c r="M141" s="12" t="str">
        <x:v>negative</x:v>
      </x:c>
      <x:c r="N141" s="12"/>
      <x:c r="O141" s="12" t="str">
        <x:v>negative</x:v>
      </x:c>
      <x:c r="P141" s="12" t="str">
        <x:f>IF(OR(M141="unavailable",O141="unavailable"),"不可评价",IF(OR(M141="equivocal",O141="equivocal"),"疑似",IF(AND(M141="positive",O141="positive"),"a",IF(O141="positive","b",IF(M141="positive","c","d")))))</x:f>
        <x:v>d</x:v>
      </x:c>
      <x:c r="Q141" s="12"/>
      <x:c r="R141" s="12" t="str">
        <x:v>negative</x:v>
      </x:c>
      <x:c r="S141" s="12"/>
      <x:c r="T141" s="12" t="str">
        <x:v>negative</x:v>
      </x:c>
      <x:c r="U141" s="12" t="str">
        <x:f>IF(OR(R141="unavailable",T141="unavailable"),"不可评价",IF(OR(R141="equivocal",T141="equivocal"),"疑似",IF(AND(R141="positive",T141="positive"),"a",IF(T141="positive","b",IF(R141="positive","c","d")))))</x:f>
        <x:v>d</x:v>
      </x:c>
      <x:c r="V141" s="12"/>
      <x:c r="W141" s="12" t="str">
        <x:v>negative</x:v>
      </x:c>
      <x:c r="X141" s="12"/>
      <x:c r="Y141" s="12" t="str">
        <x:v>negative</x:v>
      </x:c>
      <x:c r="Z141" s="12" t="str">
        <x:f>IF(OR(W141="unavailable",Y141="unavailable"),"不可评价",IF(OR(W141="equivocal",Y141="equivocal"),"疑似",IF(AND(W141="positive",Y141="positive"),"a",IF(Y141="positive","b",IF(W141="positive","c","d")))))</x:f>
        <x:v>d</x:v>
      </x:c>
      <x:c r="AA141" s="12" t="str">
        <x:f>IF(OR(M141="unavailable",O141="unavailable"),"不可评价",IF(AND(OR(M141="positive",M141="equivocal"),OR(O141="positive",O141="equivocal")),"a",IF(OR(O141="positive",O141="equivocal"),"b",IF(OR(M141="positive",M141="equivocal"),"c","d"))))</x:f>
        <x:v>d</x:v>
      </x:c>
      <x:c r="AB141" s="12" t="str">
        <x:f>IF(OR(M141="unavailable",O141="unavailable"),"不可评价",IF(AND(M141="positive",O141="positive"),"a",IF(O141="positive","b",IF(M141="positive","c","d"))))</x:f>
        <x:v>d</x:v>
      </x:c>
      <x:c r="AC141" s="12" t="str">
        <x:f>IF(OR(R141="unavailable",T141="unavailable"),"不可评价",IF(AND(OR(R141="positive",R141="equivocal"),OR(T141="positive",T141="equivocal")),"a",IF(OR(T141="positive",T141="equivocal"),"b",IF(OR(R141="positive",R141="equivocal"),"c","d"))))</x:f>
        <x:v>d</x:v>
      </x:c>
      <x:c r="AD141" s="12" t="str">
        <x:f>IF(OR(R141="unavailable",T141="unavailable"),"不可评价",IF(AND(R141="positive",T141="positive"),"a",IF(T141="positive","b",IF(R141="positive","c","d"))))</x:f>
        <x:v>d</x:v>
      </x:c>
      <x:c r="AE141" s="12" t="str">
        <x:f>IF(OR(W141="unavailable",Y141="unavailable"),"不可评价",IF(AND(OR(W141="positive",W141="equivocal"),OR(Y141="positive",Y141="equivocal")),"a",IF(OR(Y141="positive",Y141="equivocal"),"b",IF(OR(W141="positive",W141="equivocal"),"c","d"))))</x:f>
        <x:v>d</x:v>
      </x:c>
      <x:c r="AF141" s="12" t="str">
        <x:f>IF(OR(W141="unavailable",Y141="unavailable"),"不可评价",IF(AND(W141="positive",Y141="positive"),"a",IF(Y141="positive","b",IF(W141="positive","c","d"))))</x:f>
        <x:v>d</x:v>
      </x:c>
    </x:row>
    <x:row r="142" ht="24" customHeight="1">
      <x:c r="A142" s="12" t="str">
        <x:v>1100</x:v>
      </x:c>
      <x:c r="B142" s="12" t="str">
        <x:v>1942</x:v>
      </x:c>
      <x:c r="C142" s="21" t="n">
        <x:v>32003.523449074073</x:v>
      </x:c>
      <x:c r="D142" s="12" t="n">
        <x:v>52</x:v>
      </x:c>
      <x:c r="E142" s="12" t="n">
        <x:v>1</x:v>
      </x:c>
      <x:c r="F142" s="12" t="str">
        <x:v>未记录</x:v>
      </x:c>
      <x:c r="G142" s="12" t="n">
        <x:v>1</x:v>
      </x:c>
      <x:c r="H142" s="12" t="str">
        <x:v>{'NORM': 100.0, 'SR': 0.0}</x:v>
      </x:c>
      <x:c r="I142" s="12" t="str">
        <x:v>[('NSR', 100.0), ('NML', 100.0)]</x:v>
      </x:c>
      <x:c r="J142" s="12" t="str">
        <x:v>ptbxl_database.csv；ecg_id=1100；scp_codes</x:v>
      </x:c>
      <x:c r="K142" s="12" t="str">
        <x:v>12sl_statements.csv；ecg_id=1100；statements_ext_snomed</x:v>
      </x:c>
      <x:c r="L142" s="12"/>
      <x:c r="M142" s="12" t="str">
        <x:v>negative</x:v>
      </x:c>
      <x:c r="N142" s="12"/>
      <x:c r="O142" s="12" t="str">
        <x:v>negative</x:v>
      </x:c>
      <x:c r="P142" s="12" t="str">
        <x:f>IF(OR(M142="unavailable",O142="unavailable"),"不可评价",IF(OR(M142="equivocal",O142="equivocal"),"疑似",IF(AND(M142="positive",O142="positive"),"a",IF(O142="positive","b",IF(M142="positive","c","d")))))</x:f>
        <x:v>d</x:v>
      </x:c>
      <x:c r="Q142" s="12"/>
      <x:c r="R142" s="12" t="str">
        <x:v>negative</x:v>
      </x:c>
      <x:c r="S142" s="12"/>
      <x:c r="T142" s="12" t="str">
        <x:v>negative</x:v>
      </x:c>
      <x:c r="U142" s="12" t="str">
        <x:f>IF(OR(R142="unavailable",T142="unavailable"),"不可评价",IF(OR(R142="equivocal",T142="equivocal"),"疑似",IF(AND(R142="positive",T142="positive"),"a",IF(T142="positive","b",IF(R142="positive","c","d")))))</x:f>
        <x:v>d</x:v>
      </x:c>
      <x:c r="V142" s="12"/>
      <x:c r="W142" s="12" t="str">
        <x:v>negative</x:v>
      </x:c>
      <x:c r="X142" s="12"/>
      <x:c r="Y142" s="12" t="str">
        <x:v>negative</x:v>
      </x:c>
      <x:c r="Z142" s="12" t="str">
        <x:f>IF(OR(W142="unavailable",Y142="unavailable"),"不可评价",IF(OR(W142="equivocal",Y142="equivocal"),"疑似",IF(AND(W142="positive",Y142="positive"),"a",IF(Y142="positive","b",IF(W142="positive","c","d")))))</x:f>
        <x:v>d</x:v>
      </x:c>
      <x:c r="AA142" s="12" t="str">
        <x:f>IF(OR(M142="unavailable",O142="unavailable"),"不可评价",IF(AND(OR(M142="positive",M142="equivocal"),OR(O142="positive",O142="equivocal")),"a",IF(OR(O142="positive",O142="equivocal"),"b",IF(OR(M142="positive",M142="equivocal"),"c","d"))))</x:f>
        <x:v>d</x:v>
      </x:c>
      <x:c r="AB142" s="12" t="str">
        <x:f>IF(OR(M142="unavailable",O142="unavailable"),"不可评价",IF(AND(M142="positive",O142="positive"),"a",IF(O142="positive","b",IF(M142="positive","c","d"))))</x:f>
        <x:v>d</x:v>
      </x:c>
      <x:c r="AC142" s="12" t="str">
        <x:f>IF(OR(R142="unavailable",T142="unavailable"),"不可评价",IF(AND(OR(R142="positive",R142="equivocal"),OR(T142="positive",T142="equivocal")),"a",IF(OR(T142="positive",T142="equivocal"),"b",IF(OR(R142="positive",R142="equivocal"),"c","d"))))</x:f>
        <x:v>d</x:v>
      </x:c>
      <x:c r="AD142" s="12" t="str">
        <x:f>IF(OR(R142="unavailable",T142="unavailable"),"不可评价",IF(AND(R142="positive",T142="positive"),"a",IF(T142="positive","b",IF(R142="positive","c","d"))))</x:f>
        <x:v>d</x:v>
      </x:c>
      <x:c r="AE142" s="12" t="str">
        <x:f>IF(OR(W142="unavailable",Y142="unavailable"),"不可评价",IF(AND(OR(W142="positive",W142="equivocal"),OR(Y142="positive",Y142="equivocal")),"a",IF(OR(Y142="positive",Y142="equivocal"),"b",IF(OR(W142="positive",W142="equivocal"),"c","d"))))</x:f>
        <x:v>d</x:v>
      </x:c>
      <x:c r="AF142" s="12" t="str">
        <x:f>IF(OR(W142="unavailable",Y142="unavailable"),"不可评价",IF(AND(W142="positive",Y142="positive"),"a",IF(Y142="positive","b",IF(W142="positive","c","d"))))</x:f>
        <x:v>d</x:v>
      </x:c>
    </x:row>
    <x:row r="143" ht="24" customHeight="1">
      <x:c r="A143" s="12" t="str">
        <x:v>1101</x:v>
      </x:c>
      <x:c r="B143" s="12" t="str">
        <x:v>6198</x:v>
      </x:c>
      <x:c r="C143" s="21" t="n">
        <x:v>32003.559224537035</x:v>
      </x:c>
      <x:c r="D143" s="12" t="n">
        <x:v>53</x:v>
      </x:c>
      <x:c r="E143" s="12" t="n">
        <x:v>1</x:v>
      </x:c>
      <x:c r="F143" s="12" t="str">
        <x:v>未记录</x:v>
      </x:c>
      <x:c r="G143" s="12" t="n">
        <x:v>1</x:v>
      </x:c>
      <x:c r="H143" s="12" t="str">
        <x:v>{'NORM': 100.0, 'SR': 0.0}</x:v>
      </x:c>
      <x:c r="I143" s="12" t="str">
        <x:v>[('NSR', 100.0), ('NML', 100.0)]</x:v>
      </x:c>
      <x:c r="J143" s="12" t="str">
        <x:v>ptbxl_database.csv；ecg_id=1101；scp_codes</x:v>
      </x:c>
      <x:c r="K143" s="12" t="str">
        <x:v>12sl_statements.csv；ecg_id=1101；statements_ext_snomed</x:v>
      </x:c>
      <x:c r="L143" s="12"/>
      <x:c r="M143" s="12" t="str">
        <x:v>negative</x:v>
      </x:c>
      <x:c r="N143" s="12"/>
      <x:c r="O143" s="12" t="str">
        <x:v>negative</x:v>
      </x:c>
      <x:c r="P143" s="12" t="str">
        <x:f>IF(OR(M143="unavailable",O143="unavailable"),"不可评价",IF(OR(M143="equivocal",O143="equivocal"),"疑似",IF(AND(M143="positive",O143="positive"),"a",IF(O143="positive","b",IF(M143="positive","c","d")))))</x:f>
        <x:v>d</x:v>
      </x:c>
      <x:c r="Q143" s="12"/>
      <x:c r="R143" s="12" t="str">
        <x:v>negative</x:v>
      </x:c>
      <x:c r="S143" s="12"/>
      <x:c r="T143" s="12" t="str">
        <x:v>negative</x:v>
      </x:c>
      <x:c r="U143" s="12" t="str">
        <x:f>IF(OR(R143="unavailable",T143="unavailable"),"不可评价",IF(OR(R143="equivocal",T143="equivocal"),"疑似",IF(AND(R143="positive",T143="positive"),"a",IF(T143="positive","b",IF(R143="positive","c","d")))))</x:f>
        <x:v>d</x:v>
      </x:c>
      <x:c r="V143" s="12"/>
      <x:c r="W143" s="12" t="str">
        <x:v>negative</x:v>
      </x:c>
      <x:c r="X143" s="12"/>
      <x:c r="Y143" s="12" t="str">
        <x:v>negative</x:v>
      </x:c>
      <x:c r="Z143" s="12" t="str">
        <x:f>IF(OR(W143="unavailable",Y143="unavailable"),"不可评价",IF(OR(W143="equivocal",Y143="equivocal"),"疑似",IF(AND(W143="positive",Y143="positive"),"a",IF(Y143="positive","b",IF(W143="positive","c","d")))))</x:f>
        <x:v>d</x:v>
      </x:c>
      <x:c r="AA143" s="12" t="str">
        <x:f>IF(OR(M143="unavailable",O143="unavailable"),"不可评价",IF(AND(OR(M143="positive",M143="equivocal"),OR(O143="positive",O143="equivocal")),"a",IF(OR(O143="positive",O143="equivocal"),"b",IF(OR(M143="positive",M143="equivocal"),"c","d"))))</x:f>
        <x:v>d</x:v>
      </x:c>
      <x:c r="AB143" s="12" t="str">
        <x:f>IF(OR(M143="unavailable",O143="unavailable"),"不可评价",IF(AND(M143="positive",O143="positive"),"a",IF(O143="positive","b",IF(M143="positive","c","d"))))</x:f>
        <x:v>d</x:v>
      </x:c>
      <x:c r="AC143" s="12" t="str">
        <x:f>IF(OR(R143="unavailable",T143="unavailable"),"不可评价",IF(AND(OR(R143="positive",R143="equivocal"),OR(T143="positive",T143="equivocal")),"a",IF(OR(T143="positive",T143="equivocal"),"b",IF(OR(R143="positive",R143="equivocal"),"c","d"))))</x:f>
        <x:v>d</x:v>
      </x:c>
      <x:c r="AD143" s="12" t="str">
        <x:f>IF(OR(R143="unavailable",T143="unavailable"),"不可评价",IF(AND(R143="positive",T143="positive"),"a",IF(T143="positive","b",IF(R143="positive","c","d"))))</x:f>
        <x:v>d</x:v>
      </x:c>
      <x:c r="AE143" s="12" t="str">
        <x:f>IF(OR(W143="unavailable",Y143="unavailable"),"不可评价",IF(AND(OR(W143="positive",W143="equivocal"),OR(Y143="positive",Y143="equivocal")),"a",IF(OR(Y143="positive",Y143="equivocal"),"b",IF(OR(W143="positive",W143="equivocal"),"c","d"))))</x:f>
        <x:v>d</x:v>
      </x:c>
      <x:c r="AF143" s="12" t="str">
        <x:f>IF(OR(W143="unavailable",Y143="unavailable"),"不可评价",IF(AND(W143="positive",Y143="positive"),"a",IF(Y143="positive","b",IF(W143="positive","c","d"))))</x:f>
        <x:v>d</x:v>
      </x:c>
    </x:row>
    <x:row r="144" ht="24" customHeight="1">
      <x:c r="A144" s="12" t="str">
        <x:v>1113</x:v>
      </x:c>
      <x:c r="B144" s="12" t="str">
        <x:v>16771</x:v>
      </x:c>
      <x:c r="C144" s="21" t="n">
        <x:v>32008.313472222224</x:v>
      </x:c>
      <x:c r="D144" s="12" t="n">
        <x:v>48</x:v>
      </x:c>
      <x:c r="E144" s="12" t="n">
        <x:v>0</x:v>
      </x:c>
      <x:c r="F144" s="12" t="str">
        <x:v>未记录</x:v>
      </x:c>
      <x:c r="G144" s="12" t="n">
        <x:v>1</x:v>
      </x:c>
      <x:c r="H144" s="12" t="str">
        <x:v>{'NORM': 100.0, 'SR': 0.0}</x:v>
      </x:c>
      <x:c r="I144" s="12" t="str">
        <x:v>[('NSR', 100.0), ('NML', 100.0)]</x:v>
      </x:c>
      <x:c r="J144" s="12" t="str">
        <x:v>ptbxl_database.csv；ecg_id=1113；scp_codes</x:v>
      </x:c>
      <x:c r="K144" s="12" t="str">
        <x:v>12sl_statements.csv；ecg_id=1113；statements_ext_snomed</x:v>
      </x:c>
      <x:c r="L144" s="12"/>
      <x:c r="M144" s="12" t="str">
        <x:v>negative</x:v>
      </x:c>
      <x:c r="N144" s="12"/>
      <x:c r="O144" s="12" t="str">
        <x:v>negative</x:v>
      </x:c>
      <x:c r="P144" s="12" t="str">
        <x:f>IF(OR(M144="unavailable",O144="unavailable"),"不可评价",IF(OR(M144="equivocal",O144="equivocal"),"疑似",IF(AND(M144="positive",O144="positive"),"a",IF(O144="positive","b",IF(M144="positive","c","d")))))</x:f>
        <x:v>d</x:v>
      </x:c>
      <x:c r="Q144" s="12"/>
      <x:c r="R144" s="12" t="str">
        <x:v>negative</x:v>
      </x:c>
      <x:c r="S144" s="12"/>
      <x:c r="T144" s="12" t="str">
        <x:v>negative</x:v>
      </x:c>
      <x:c r="U144" s="12" t="str">
        <x:f>IF(OR(R144="unavailable",T144="unavailable"),"不可评价",IF(OR(R144="equivocal",T144="equivocal"),"疑似",IF(AND(R144="positive",T144="positive"),"a",IF(T144="positive","b",IF(R144="positive","c","d")))))</x:f>
        <x:v>d</x:v>
      </x:c>
      <x:c r="V144" s="12"/>
      <x:c r="W144" s="12" t="str">
        <x:v>negative</x:v>
      </x:c>
      <x:c r="X144" s="12"/>
      <x:c r="Y144" s="12" t="str">
        <x:v>negative</x:v>
      </x:c>
      <x:c r="Z144" s="12" t="str">
        <x:f>IF(OR(W144="unavailable",Y144="unavailable"),"不可评价",IF(OR(W144="equivocal",Y144="equivocal"),"疑似",IF(AND(W144="positive",Y144="positive"),"a",IF(Y144="positive","b",IF(W144="positive","c","d")))))</x:f>
        <x:v>d</x:v>
      </x:c>
      <x:c r="AA144" s="12" t="str">
        <x:f>IF(OR(M144="unavailable",O144="unavailable"),"不可评价",IF(AND(OR(M144="positive",M144="equivocal"),OR(O144="positive",O144="equivocal")),"a",IF(OR(O144="positive",O144="equivocal"),"b",IF(OR(M144="positive",M144="equivocal"),"c","d"))))</x:f>
        <x:v>d</x:v>
      </x:c>
      <x:c r="AB144" s="12" t="str">
        <x:f>IF(OR(M144="unavailable",O144="unavailable"),"不可评价",IF(AND(M144="positive",O144="positive"),"a",IF(O144="positive","b",IF(M144="positive","c","d"))))</x:f>
        <x:v>d</x:v>
      </x:c>
      <x:c r="AC144" s="12" t="str">
        <x:f>IF(OR(R144="unavailable",T144="unavailable"),"不可评价",IF(AND(OR(R144="positive",R144="equivocal"),OR(T144="positive",T144="equivocal")),"a",IF(OR(T144="positive",T144="equivocal"),"b",IF(OR(R144="positive",R144="equivocal"),"c","d"))))</x:f>
        <x:v>d</x:v>
      </x:c>
      <x:c r="AD144" s="12" t="str">
        <x:f>IF(OR(R144="unavailable",T144="unavailable"),"不可评价",IF(AND(R144="positive",T144="positive"),"a",IF(T144="positive","b",IF(R144="positive","c","d"))))</x:f>
        <x:v>d</x:v>
      </x:c>
      <x:c r="AE144" s="12" t="str">
        <x:f>IF(OR(W144="unavailable",Y144="unavailable"),"不可评价",IF(AND(OR(W144="positive",W144="equivocal"),OR(Y144="positive",Y144="equivocal")),"a",IF(OR(Y144="positive",Y144="equivocal"),"b",IF(OR(W144="positive",W144="equivocal"),"c","d"))))</x:f>
        <x:v>d</x:v>
      </x:c>
      <x:c r="AF144" s="12" t="str">
        <x:f>IF(OR(W144="unavailable",Y144="unavailable"),"不可评价",IF(AND(W144="positive",Y144="positive"),"a",IF(Y144="positive","b",IF(W144="positive","c","d"))))</x:f>
        <x:v>d</x:v>
      </x:c>
    </x:row>
    <x:row r="145" ht="24" customHeight="1">
      <x:c r="A145" s="12" t="str">
        <x:v>1120</x:v>
      </x:c>
      <x:c r="B145" s="12" t="str">
        <x:v>17730</x:v>
      </x:c>
      <x:c r="C145" s="21" t="n">
        <x:v>32023.315520833334</x:v>
      </x:c>
      <x:c r="D145" s="12" t="n">
        <x:v>43</x:v>
      </x:c>
      <x:c r="E145" s="12" t="n">
        <x:v>0</x:v>
      </x:c>
      <x:c r="F145" s="12" t="str">
        <x:v>存在</x:v>
      </x:c>
      <x:c r="G145" s="12" t="n">
        <x:v>1</x:v>
      </x:c>
      <x:c r="H145" s="12" t="str">
        <x:v>{'IRBBB': 100.0, 'ABQRS': 0.0, 'SR': 0.0}</x:v>
      </x:c>
      <x:c r="I145" s="12" t="str">
        <x:v>[('SBRAD', 100.0), ('ABR', 100.0)]</x:v>
      </x:c>
      <x:c r="J145" s="12" t="str">
        <x:v>ptbxl_database.csv；ecg_id=1120；scp_codes</x:v>
      </x:c>
      <x:c r="K145" s="12" t="str">
        <x:v>12sl_statements.csv；ecg_id=1120；statements_ext_snomed</x:v>
      </x:c>
      <x:c r="L145" s="12"/>
      <x:c r="M145" s="12" t="str">
        <x:v>negative</x:v>
      </x:c>
      <x:c r="N145" s="12"/>
      <x:c r="O145" s="12" t="str">
        <x:v>negative</x:v>
      </x:c>
      <x:c r="P145" s="12" t="str">
        <x:f>IF(OR(M145="unavailable",O145="unavailable"),"不可评价",IF(OR(M145="equivocal",O145="equivocal"),"疑似",IF(AND(M145="positive",O145="positive"),"a",IF(O145="positive","b",IF(M145="positive","c","d")))))</x:f>
        <x:v>d</x:v>
      </x:c>
      <x:c r="Q145" s="12"/>
      <x:c r="R145" s="12" t="str">
        <x:v>negative</x:v>
      </x:c>
      <x:c r="S145" s="12"/>
      <x:c r="T145" s="12" t="str">
        <x:v>negative</x:v>
      </x:c>
      <x:c r="U145" s="12" t="str">
        <x:f>IF(OR(R145="unavailable",T145="unavailable"),"不可评价",IF(OR(R145="equivocal",T145="equivocal"),"疑似",IF(AND(R145="positive",T145="positive"),"a",IF(T145="positive","b",IF(R145="positive","c","d")))))</x:f>
        <x:v>d</x:v>
      </x:c>
      <x:c r="V145" s="12"/>
      <x:c r="W145" s="12" t="str">
        <x:v>negative</x:v>
      </x:c>
      <x:c r="X145" s="12"/>
      <x:c r="Y145" s="12" t="str">
        <x:v>negative</x:v>
      </x:c>
      <x:c r="Z145" s="12" t="str">
        <x:f>IF(OR(W145="unavailable",Y145="unavailable"),"不可评价",IF(OR(W145="equivocal",Y145="equivocal"),"疑似",IF(AND(W145="positive",Y145="positive"),"a",IF(Y145="positive","b",IF(W145="positive","c","d")))))</x:f>
        <x:v>d</x:v>
      </x:c>
      <x:c r="AA145" s="12" t="str">
        <x:f>IF(OR(M145="unavailable",O145="unavailable"),"不可评价",IF(AND(OR(M145="positive",M145="equivocal"),OR(O145="positive",O145="equivocal")),"a",IF(OR(O145="positive",O145="equivocal"),"b",IF(OR(M145="positive",M145="equivocal"),"c","d"))))</x:f>
        <x:v>d</x:v>
      </x:c>
      <x:c r="AB145" s="12" t="str">
        <x:f>IF(OR(M145="unavailable",O145="unavailable"),"不可评价",IF(AND(M145="positive",O145="positive"),"a",IF(O145="positive","b",IF(M145="positive","c","d"))))</x:f>
        <x:v>d</x:v>
      </x:c>
      <x:c r="AC145" s="12" t="str">
        <x:f>IF(OR(R145="unavailable",T145="unavailable"),"不可评价",IF(AND(OR(R145="positive",R145="equivocal"),OR(T145="positive",T145="equivocal")),"a",IF(OR(T145="positive",T145="equivocal"),"b",IF(OR(R145="positive",R145="equivocal"),"c","d"))))</x:f>
        <x:v>d</x:v>
      </x:c>
      <x:c r="AD145" s="12" t="str">
        <x:f>IF(OR(R145="unavailable",T145="unavailable"),"不可评价",IF(AND(R145="positive",T145="positive"),"a",IF(T145="positive","b",IF(R145="positive","c","d"))))</x:f>
        <x:v>d</x:v>
      </x:c>
      <x:c r="AE145" s="12" t="str">
        <x:f>IF(OR(W145="unavailable",Y145="unavailable"),"不可评价",IF(AND(OR(W145="positive",W145="equivocal"),OR(Y145="positive",Y145="equivocal")),"a",IF(OR(Y145="positive",Y145="equivocal"),"b",IF(OR(W145="positive",W145="equivocal"),"c","d"))))</x:f>
        <x:v>d</x:v>
      </x:c>
      <x:c r="AF145" s="12" t="str">
        <x:f>IF(OR(W145="unavailable",Y145="unavailable"),"不可评价",IF(AND(W145="positive",Y145="positive"),"a",IF(Y145="positive","b",IF(W145="positive","c","d"))))</x:f>
        <x:v>d</x:v>
      </x:c>
    </x:row>
    <x:row r="146" ht="24" customHeight="1">
      <x:c r="A146" s="12" t="str">
        <x:v>1133</x:v>
      </x:c>
      <x:c r="B146" s="12" t="str">
        <x:v>3160</x:v>
      </x:c>
      <x:c r="C146" s="21" t="n">
        <x:v>32027.36693287037</x:v>
      </x:c>
      <x:c r="D146" s="12" t="n">
        <x:v>62</x:v>
      </x:c>
      <x:c r="E146" s="12" t="n">
        <x:v>1</x:v>
      </x:c>
      <x:c r="F146" s="12" t="str">
        <x:v>未记录</x:v>
      </x:c>
      <x:c r="G146" s="12" t="n">
        <x:v>1</x:v>
      </x:c>
      <x:c r="H146" s="12" t="str">
        <x:v>{'NORM': 100.0, 'SR': 0.0}</x:v>
      </x:c>
      <x:c r="I146" s="12" t="str">
        <x:v>[('NSR', 100.0), ('NML', 100.0)]</x:v>
      </x:c>
      <x:c r="J146" s="12" t="str">
        <x:v>ptbxl_database.csv；ecg_id=1133；scp_codes</x:v>
      </x:c>
      <x:c r="K146" s="12" t="str">
        <x:v>12sl_statements.csv；ecg_id=1133；statements_ext_snomed</x:v>
      </x:c>
      <x:c r="L146" s="12"/>
      <x:c r="M146" s="12" t="str">
        <x:v>negative</x:v>
      </x:c>
      <x:c r="N146" s="12"/>
      <x:c r="O146" s="12" t="str">
        <x:v>negative</x:v>
      </x:c>
      <x:c r="P146" s="12" t="str">
        <x:f>IF(OR(M146="unavailable",O146="unavailable"),"不可评价",IF(OR(M146="equivocal",O146="equivocal"),"疑似",IF(AND(M146="positive",O146="positive"),"a",IF(O146="positive","b",IF(M146="positive","c","d")))))</x:f>
        <x:v>d</x:v>
      </x:c>
      <x:c r="Q146" s="12"/>
      <x:c r="R146" s="12" t="str">
        <x:v>negative</x:v>
      </x:c>
      <x:c r="S146" s="12"/>
      <x:c r="T146" s="12" t="str">
        <x:v>negative</x:v>
      </x:c>
      <x:c r="U146" s="12" t="str">
        <x:f>IF(OR(R146="unavailable",T146="unavailable"),"不可评价",IF(OR(R146="equivocal",T146="equivocal"),"疑似",IF(AND(R146="positive",T146="positive"),"a",IF(T146="positive","b",IF(R146="positive","c","d")))))</x:f>
        <x:v>d</x:v>
      </x:c>
      <x:c r="V146" s="12"/>
      <x:c r="W146" s="12" t="str">
        <x:v>negative</x:v>
      </x:c>
      <x:c r="X146" s="12"/>
      <x:c r="Y146" s="12" t="str">
        <x:v>negative</x:v>
      </x:c>
      <x:c r="Z146" s="12" t="str">
        <x:f>IF(OR(W146="unavailable",Y146="unavailable"),"不可评价",IF(OR(W146="equivocal",Y146="equivocal"),"疑似",IF(AND(W146="positive",Y146="positive"),"a",IF(Y146="positive","b",IF(W146="positive","c","d")))))</x:f>
        <x:v>d</x:v>
      </x:c>
      <x:c r="AA146" s="12" t="str">
        <x:f>IF(OR(M146="unavailable",O146="unavailable"),"不可评价",IF(AND(OR(M146="positive",M146="equivocal"),OR(O146="positive",O146="equivocal")),"a",IF(OR(O146="positive",O146="equivocal"),"b",IF(OR(M146="positive",M146="equivocal"),"c","d"))))</x:f>
        <x:v>d</x:v>
      </x:c>
      <x:c r="AB146" s="12" t="str">
        <x:f>IF(OR(M146="unavailable",O146="unavailable"),"不可评价",IF(AND(M146="positive",O146="positive"),"a",IF(O146="positive","b",IF(M146="positive","c","d"))))</x:f>
        <x:v>d</x:v>
      </x:c>
      <x:c r="AC146" s="12" t="str">
        <x:f>IF(OR(R146="unavailable",T146="unavailable"),"不可评价",IF(AND(OR(R146="positive",R146="equivocal"),OR(T146="positive",T146="equivocal")),"a",IF(OR(T146="positive",T146="equivocal"),"b",IF(OR(R146="positive",R146="equivocal"),"c","d"))))</x:f>
        <x:v>d</x:v>
      </x:c>
      <x:c r="AD146" s="12" t="str">
        <x:f>IF(OR(R146="unavailable",T146="unavailable"),"不可评价",IF(AND(R146="positive",T146="positive"),"a",IF(T146="positive","b",IF(R146="positive","c","d"))))</x:f>
        <x:v>d</x:v>
      </x:c>
      <x:c r="AE146" s="12" t="str">
        <x:f>IF(OR(W146="unavailable",Y146="unavailable"),"不可评价",IF(AND(OR(W146="positive",W146="equivocal"),OR(Y146="positive",Y146="equivocal")),"a",IF(OR(Y146="positive",Y146="equivocal"),"b",IF(OR(W146="positive",W146="equivocal"),"c","d"))))</x:f>
        <x:v>d</x:v>
      </x:c>
      <x:c r="AF146" s="12" t="str">
        <x:f>IF(OR(W146="unavailable",Y146="unavailable"),"不可评价",IF(AND(W146="positive",Y146="positive"),"a",IF(Y146="positive","b",IF(W146="positive","c","d"))))</x:f>
        <x:v>d</x:v>
      </x:c>
    </x:row>
    <x:row r="147" ht="24" customHeight="1">
      <x:c r="A147" s="12" t="str">
        <x:v>1147</x:v>
      </x:c>
      <x:c r="B147" s="12" t="str">
        <x:v>3273</x:v>
      </x:c>
      <x:c r="C147" s="21" t="n">
        <x:v>32030.524340277778</x:v>
      </x:c>
      <x:c r="D147" s="12" t="n">
        <x:v>43</x:v>
      </x:c>
      <x:c r="E147" s="12" t="n">
        <x:v>0</x:v>
      </x:c>
      <x:c r="F147" s="12" t="str">
        <x:v>未记录</x:v>
      </x:c>
      <x:c r="G147" s="12" t="n">
        <x:v>1</x:v>
      </x:c>
      <x:c r="H147" s="12" t="str">
        <x:v>{'NORM': 100.0}</x:v>
      </x:c>
      <x:c r="I147" s="12" t="str">
        <x:v>[('NSR', 100.0), ('NML', 100.0)]</x:v>
      </x:c>
      <x:c r="J147" s="12" t="str">
        <x:v>ptbxl_database.csv；ecg_id=1147；scp_codes</x:v>
      </x:c>
      <x:c r="K147" s="12" t="str">
        <x:v>12sl_statements.csv；ecg_id=1147；statements_ext_snomed</x:v>
      </x:c>
      <x:c r="L147" s="12"/>
      <x:c r="M147" s="12" t="str">
        <x:v>negative</x:v>
      </x:c>
      <x:c r="N147" s="12"/>
      <x:c r="O147" s="12" t="str">
        <x:v>negative</x:v>
      </x:c>
      <x:c r="P147" s="12" t="str">
        <x:f>IF(OR(M147="unavailable",O147="unavailable"),"不可评价",IF(OR(M147="equivocal",O147="equivocal"),"疑似",IF(AND(M147="positive",O147="positive"),"a",IF(O147="positive","b",IF(M147="positive","c","d")))))</x:f>
        <x:v>d</x:v>
      </x:c>
      <x:c r="Q147" s="12"/>
      <x:c r="R147" s="12" t="str">
        <x:v>negative</x:v>
      </x:c>
      <x:c r="S147" s="12"/>
      <x:c r="T147" s="12" t="str">
        <x:v>negative</x:v>
      </x:c>
      <x:c r="U147" s="12" t="str">
        <x:f>IF(OR(R147="unavailable",T147="unavailable"),"不可评价",IF(OR(R147="equivocal",T147="equivocal"),"疑似",IF(AND(R147="positive",T147="positive"),"a",IF(T147="positive","b",IF(R147="positive","c","d")))))</x:f>
        <x:v>d</x:v>
      </x:c>
      <x:c r="V147" s="12"/>
      <x:c r="W147" s="12" t="str">
        <x:v>negative</x:v>
      </x:c>
      <x:c r="X147" s="12"/>
      <x:c r="Y147" s="12" t="str">
        <x:v>negative</x:v>
      </x:c>
      <x:c r="Z147" s="12" t="str">
        <x:f>IF(OR(W147="unavailable",Y147="unavailable"),"不可评价",IF(OR(W147="equivocal",Y147="equivocal"),"疑似",IF(AND(W147="positive",Y147="positive"),"a",IF(Y147="positive","b",IF(W147="positive","c","d")))))</x:f>
        <x:v>d</x:v>
      </x:c>
      <x:c r="AA147" s="12" t="str">
        <x:f>IF(OR(M147="unavailable",O147="unavailable"),"不可评价",IF(AND(OR(M147="positive",M147="equivocal"),OR(O147="positive",O147="equivocal")),"a",IF(OR(O147="positive",O147="equivocal"),"b",IF(OR(M147="positive",M147="equivocal"),"c","d"))))</x:f>
        <x:v>d</x:v>
      </x:c>
      <x:c r="AB147" s="12" t="str">
        <x:f>IF(OR(M147="unavailable",O147="unavailable"),"不可评价",IF(AND(M147="positive",O147="positive"),"a",IF(O147="positive","b",IF(M147="positive","c","d"))))</x:f>
        <x:v>d</x:v>
      </x:c>
      <x:c r="AC147" s="12" t="str">
        <x:f>IF(OR(R147="unavailable",T147="unavailable"),"不可评价",IF(AND(OR(R147="positive",R147="equivocal"),OR(T147="positive",T147="equivocal")),"a",IF(OR(T147="positive",T147="equivocal"),"b",IF(OR(R147="positive",R147="equivocal"),"c","d"))))</x:f>
        <x:v>d</x:v>
      </x:c>
      <x:c r="AD147" s="12" t="str">
        <x:f>IF(OR(R147="unavailable",T147="unavailable"),"不可评价",IF(AND(R147="positive",T147="positive"),"a",IF(T147="positive","b",IF(R147="positive","c","d"))))</x:f>
        <x:v>d</x:v>
      </x:c>
      <x:c r="AE147" s="12" t="str">
        <x:f>IF(OR(W147="unavailable",Y147="unavailable"),"不可评价",IF(AND(OR(W147="positive",W147="equivocal"),OR(Y147="positive",Y147="equivocal")),"a",IF(OR(Y147="positive",Y147="equivocal"),"b",IF(OR(W147="positive",W147="equivocal"),"c","d"))))</x:f>
        <x:v>d</x:v>
      </x:c>
      <x:c r="AF147" s="12" t="str">
        <x:f>IF(OR(W147="unavailable",Y147="unavailable"),"不可评价",IF(AND(W147="positive",Y147="positive"),"a",IF(Y147="positive","b",IF(W147="positive","c","d"))))</x:f>
        <x:v>d</x:v>
      </x:c>
    </x:row>
    <x:row r="148" ht="39" customHeight="1">
      <x:c r="A148" s="12" t="str">
        <x:v>1157</x:v>
      </x:c>
      <x:c r="B148" s="12" t="str">
        <x:v>7718</x:v>
      </x:c>
      <x:c r="C148" s="21" t="n">
        <x:v>32031.50228009259</x:v>
      </x:c>
      <x:c r="D148" s="12" t="n">
        <x:v>81</x:v>
      </x:c>
      <x:c r="E148" s="12" t="n">
        <x:v>0</x:v>
      </x:c>
      <x:c r="F148" s="12" t="str">
        <x:v>存在</x:v>
      </x:c>
      <x:c r="G148" s="12" t="n">
        <x:v>1</x:v>
      </x:c>
      <x:c r="H148" s="12" t="str">
        <x:v>{'CRBBB': 100.0, 'LPFB': 100.0, 'IMI': 100.0, 'PVC': 0.0, 'SR': 0.0}</x:v>
      </x:c>
      <x:c r="I148" s="12" t="str">
        <x:v>[('ARM', 100.0), ('SRTH', 100.0), ('PVC', 100.0), ('RAE', 100.0), ('RBBB', 100.0), ('LMI;AU', 100.0), ('IT', 100.0), ('AB', 100.0)]</x:v>
      </x:c>
      <x:c r="J148" s="12" t="str">
        <x:v>ptbxl_database.csv；ecg_id=1157；scp_codes</x:v>
      </x:c>
      <x:c r="K148" s="12" t="str">
        <x:v>12sl_statements.csv；ecg_id=1157；statements_ext_snomed</x:v>
      </x:c>
      <x:c r="L148" s="12"/>
      <x:c r="M148" s="12" t="str">
        <x:v>negative</x:v>
      </x:c>
      <x:c r="N148" s="12"/>
      <x:c r="O148" s="12" t="str">
        <x:v>negative</x:v>
      </x:c>
      <x:c r="P148" s="12" t="str">
        <x:f>IF(OR(M148="unavailable",O148="unavailable"),"不可评价",IF(OR(M148="equivocal",O148="equivocal"),"疑似",IF(AND(M148="positive",O148="positive"),"a",IF(O148="positive","b",IF(M148="positive","c","d")))))</x:f>
        <x:v>d</x:v>
      </x:c>
      <x:c r="Q148" s="12"/>
      <x:c r="R148" s="12" t="str">
        <x:v>negative</x:v>
      </x:c>
      <x:c r="S148" s="12"/>
      <x:c r="T148" s="12" t="str">
        <x:v>negative</x:v>
      </x:c>
      <x:c r="U148" s="12" t="str">
        <x:f>IF(OR(R148="unavailable",T148="unavailable"),"不可评价",IF(OR(R148="equivocal",T148="equivocal"),"疑似",IF(AND(R148="positive",T148="positive"),"a",IF(T148="positive","b",IF(R148="positive","c","d")))))</x:f>
        <x:v>d</x:v>
      </x:c>
      <x:c r="V148" s="12" t="n">
        <x:v>100</x:v>
      </x:c>
      <x:c r="W148" s="12" t="str">
        <x:v>positive</x:v>
      </x:c>
      <x:c r="X148" s="12" t="n">
        <x:v>100</x:v>
      </x:c>
      <x:c r="Y148" s="12" t="str">
        <x:v>positive</x:v>
      </x:c>
      <x:c r="Z148" s="12" t="str">
        <x:f>IF(OR(W148="unavailable",Y148="unavailable"),"不可评价",IF(OR(W148="equivocal",Y148="equivocal"),"疑似",IF(AND(W148="positive",Y148="positive"),"a",IF(Y148="positive","b",IF(W148="positive","c","d")))))</x:f>
        <x:v>a</x:v>
      </x:c>
      <x:c r="AA148" s="12" t="str">
        <x:f>IF(OR(M148="unavailable",O148="unavailable"),"不可评价",IF(AND(OR(M148="positive",M148="equivocal"),OR(O148="positive",O148="equivocal")),"a",IF(OR(O148="positive",O148="equivocal"),"b",IF(OR(M148="positive",M148="equivocal"),"c","d"))))</x:f>
        <x:v>d</x:v>
      </x:c>
      <x:c r="AB148" s="12" t="str">
        <x:f>IF(OR(M148="unavailable",O148="unavailable"),"不可评价",IF(AND(M148="positive",O148="positive"),"a",IF(O148="positive","b",IF(M148="positive","c","d"))))</x:f>
        <x:v>d</x:v>
      </x:c>
      <x:c r="AC148" s="12" t="str">
        <x:f>IF(OR(R148="unavailable",T148="unavailable"),"不可评价",IF(AND(OR(R148="positive",R148="equivocal"),OR(T148="positive",T148="equivocal")),"a",IF(OR(T148="positive",T148="equivocal"),"b",IF(OR(R148="positive",R148="equivocal"),"c","d"))))</x:f>
        <x:v>d</x:v>
      </x:c>
      <x:c r="AD148" s="12" t="str">
        <x:f>IF(OR(R148="unavailable",T148="unavailable"),"不可评价",IF(AND(R148="positive",T148="positive"),"a",IF(T148="positive","b",IF(R148="positive","c","d"))))</x:f>
        <x:v>d</x:v>
      </x:c>
      <x:c r="AE148" s="12" t="str">
        <x:f>IF(OR(W148="unavailable",Y148="unavailable"),"不可评价",IF(AND(OR(W148="positive",W148="equivocal"),OR(Y148="positive",Y148="equivocal")),"a",IF(OR(Y148="positive",Y148="equivocal"),"b",IF(OR(W148="positive",W148="equivocal"),"c","d"))))</x:f>
        <x:v>a</x:v>
      </x:c>
      <x:c r="AF148" s="12" t="str">
        <x:f>IF(OR(W148="unavailable",Y148="unavailable"),"不可评价",IF(AND(W148="positive",Y148="positive"),"a",IF(Y148="positive","b",IF(W148="positive","c","d"))))</x:f>
        <x:v>a</x:v>
      </x:c>
    </x:row>
    <x:row r="149" ht="24" customHeight="1">
      <x:c r="A149" s="12" t="str">
        <x:v>1158</x:v>
      </x:c>
      <x:c r="B149" s="12" t="str">
        <x:v>3695</x:v>
      </x:c>
      <x:c r="C149" s="21" t="n">
        <x:v>32031.600671296295</x:v>
      </x:c>
      <x:c r="D149" s="12" t="n">
        <x:v>89</x:v>
      </x:c>
      <x:c r="E149" s="12" t="n">
        <x:v>1</x:v>
      </x:c>
      <x:c r="F149" s="12" t="str">
        <x:v>存在</x:v>
      </x:c>
      <x:c r="G149" s="12" t="n">
        <x:v>1</x:v>
      </x:c>
      <x:c r="H149" s="12" t="str">
        <x:v>{'NORM': 100.0, 'PAC': 0.0, 'NT_': 0.0, 'STACH': 0.0}</x:v>
      </x:c>
      <x:c r="I149" s="12" t="str">
        <x:v>[('QCERR', 100.0), ('STACH', 100.0), ('PAC', 100.0), ('NT', 100.0), ('AB', 100.0)]</x:v>
      </x:c>
      <x:c r="J149" s="12" t="str">
        <x:v>ptbxl_database.csv；ecg_id=1158；scp_codes</x:v>
      </x:c>
      <x:c r="K149" s="12" t="str">
        <x:v>12sl_statements.csv；ecg_id=1158；statements_ext_snomed</x:v>
      </x:c>
      <x:c r="L149" s="12"/>
      <x:c r="M149" s="12" t="str">
        <x:v>negative</x:v>
      </x:c>
      <x:c r="N149" s="12"/>
      <x:c r="O149" s="12" t="str">
        <x:v>negative</x:v>
      </x:c>
      <x:c r="P149" s="12" t="str">
        <x:f>IF(OR(M149="unavailable",O149="unavailable"),"不可评价",IF(OR(M149="equivocal",O149="equivocal"),"疑似",IF(AND(M149="positive",O149="positive"),"a",IF(O149="positive","b",IF(M149="positive","c","d")))))</x:f>
        <x:v>d</x:v>
      </x:c>
      <x:c r="Q149" s="12"/>
      <x:c r="R149" s="12" t="str">
        <x:v>negative</x:v>
      </x:c>
      <x:c r="S149" s="12"/>
      <x:c r="T149" s="12" t="str">
        <x:v>negative</x:v>
      </x:c>
      <x:c r="U149" s="12" t="str">
        <x:f>IF(OR(R149="unavailable",T149="unavailable"),"不可评价",IF(OR(R149="equivocal",T149="equivocal"),"疑似",IF(AND(R149="positive",T149="positive"),"a",IF(T149="positive","b",IF(R149="positive","c","d")))))</x:f>
        <x:v>d</x:v>
      </x:c>
      <x:c r="V149" s="12"/>
      <x:c r="W149" s="12" t="str">
        <x:v>negative</x:v>
      </x:c>
      <x:c r="X149" s="12"/>
      <x:c r="Y149" s="12" t="str">
        <x:v>negative</x:v>
      </x:c>
      <x:c r="Z149" s="12" t="str">
        <x:f>IF(OR(W149="unavailable",Y149="unavailable"),"不可评价",IF(OR(W149="equivocal",Y149="equivocal"),"疑似",IF(AND(W149="positive",Y149="positive"),"a",IF(Y149="positive","b",IF(W149="positive","c","d")))))</x:f>
        <x:v>d</x:v>
      </x:c>
      <x:c r="AA149" s="12" t="str">
        <x:f>IF(OR(M149="unavailable",O149="unavailable"),"不可评价",IF(AND(OR(M149="positive",M149="equivocal"),OR(O149="positive",O149="equivocal")),"a",IF(OR(O149="positive",O149="equivocal"),"b",IF(OR(M149="positive",M149="equivocal"),"c","d"))))</x:f>
        <x:v>d</x:v>
      </x:c>
      <x:c r="AB149" s="12" t="str">
        <x:f>IF(OR(M149="unavailable",O149="unavailable"),"不可评价",IF(AND(M149="positive",O149="positive"),"a",IF(O149="positive","b",IF(M149="positive","c","d"))))</x:f>
        <x:v>d</x:v>
      </x:c>
      <x:c r="AC149" s="12" t="str">
        <x:f>IF(OR(R149="unavailable",T149="unavailable"),"不可评价",IF(AND(OR(R149="positive",R149="equivocal"),OR(T149="positive",T149="equivocal")),"a",IF(OR(T149="positive",T149="equivocal"),"b",IF(OR(R149="positive",R149="equivocal"),"c","d"))))</x:f>
        <x:v>d</x:v>
      </x:c>
      <x:c r="AD149" s="12" t="str">
        <x:f>IF(OR(R149="unavailable",T149="unavailable"),"不可评价",IF(AND(R149="positive",T149="positive"),"a",IF(T149="positive","b",IF(R149="positive","c","d"))))</x:f>
        <x:v>d</x:v>
      </x:c>
      <x:c r="AE149" s="12" t="str">
        <x:f>IF(OR(W149="unavailable",Y149="unavailable"),"不可评价",IF(AND(OR(W149="positive",W149="equivocal"),OR(Y149="positive",Y149="equivocal")),"a",IF(OR(Y149="positive",Y149="equivocal"),"b",IF(OR(W149="positive",W149="equivocal"),"c","d"))))</x:f>
        <x:v>d</x:v>
      </x:c>
      <x:c r="AF149" s="12" t="str">
        <x:f>IF(OR(W149="unavailable",Y149="unavailable"),"不可评价",IF(AND(W149="positive",Y149="positive"),"a",IF(Y149="positive","b",IF(W149="positive","c","d"))))</x:f>
        <x:v>d</x:v>
      </x:c>
    </x:row>
    <x:row r="150" ht="24" customHeight="1">
      <x:c r="A150" s="12" t="str">
        <x:v>1166</x:v>
      </x:c>
      <x:c r="B150" s="12" t="str">
        <x:v>869</x:v>
      </x:c>
      <x:c r="C150" s="21" t="n">
        <x:v>32032.46346064815</x:v>
      </x:c>
      <x:c r="D150" s="12" t="n">
        <x:v>50</x:v>
      </x:c>
      <x:c r="E150" s="12" t="n">
        <x:v>1</x:v>
      </x:c>
      <x:c r="F150" s="12" t="str">
        <x:v>未记录</x:v>
      </x:c>
      <x:c r="G150" s="12" t="n">
        <x:v>1</x:v>
      </x:c>
      <x:c r="H150" s="12" t="str">
        <x:v>{'NORM': 80.0, 'SBRAD': 0.0}</x:v>
      </x:c>
      <x:c r="I150" s="12" t="str">
        <x:v>[('MSBRAD', 100.0), ('FAV', 100.0), ('PAC', 100.0), ('BIGEM', 100.0), ('AB', 100.0)]</x:v>
      </x:c>
      <x:c r="J150" s="12" t="str">
        <x:v>ptbxl_database.csv；ecg_id=1166；scp_codes</x:v>
      </x:c>
      <x:c r="K150" s="12" t="str">
        <x:v>12sl_statements.csv；ecg_id=1166；statements_ext_snomed</x:v>
      </x:c>
      <x:c r="L150" s="12"/>
      <x:c r="M150" s="12" t="str">
        <x:v>negative</x:v>
      </x:c>
      <x:c r="N150" s="12"/>
      <x:c r="O150" s="12" t="str">
        <x:v>negative</x:v>
      </x:c>
      <x:c r="P150" s="12" t="str">
        <x:f>IF(OR(M150="unavailable",O150="unavailable"),"不可评价",IF(OR(M150="equivocal",O150="equivocal"),"疑似",IF(AND(M150="positive",O150="positive"),"a",IF(O150="positive","b",IF(M150="positive","c","d")))))</x:f>
        <x:v>d</x:v>
      </x:c>
      <x:c r="Q150" s="12"/>
      <x:c r="R150" s="12" t="str">
        <x:v>negative</x:v>
      </x:c>
      <x:c r="S150" s="12"/>
      <x:c r="T150" s="12" t="str">
        <x:v>negative</x:v>
      </x:c>
      <x:c r="U150" s="12" t="str">
        <x:f>IF(OR(R150="unavailable",T150="unavailable"),"不可评价",IF(OR(R150="equivocal",T150="equivocal"),"疑似",IF(AND(R150="positive",T150="positive"),"a",IF(T150="positive","b",IF(R150="positive","c","d")))))</x:f>
        <x:v>d</x:v>
      </x:c>
      <x:c r="V150" s="12"/>
      <x:c r="W150" s="12" t="str">
        <x:v>negative</x:v>
      </x:c>
      <x:c r="X150" s="12"/>
      <x:c r="Y150" s="12" t="str">
        <x:v>negative</x:v>
      </x:c>
      <x:c r="Z150" s="12" t="str">
        <x:f>IF(OR(W150="unavailable",Y150="unavailable"),"不可评价",IF(OR(W150="equivocal",Y150="equivocal"),"疑似",IF(AND(W150="positive",Y150="positive"),"a",IF(Y150="positive","b",IF(W150="positive","c","d")))))</x:f>
        <x:v>d</x:v>
      </x:c>
      <x:c r="AA150" s="12" t="str">
        <x:f>IF(OR(M150="unavailable",O150="unavailable"),"不可评价",IF(AND(OR(M150="positive",M150="equivocal"),OR(O150="positive",O150="equivocal")),"a",IF(OR(O150="positive",O150="equivocal"),"b",IF(OR(M150="positive",M150="equivocal"),"c","d"))))</x:f>
        <x:v>d</x:v>
      </x:c>
      <x:c r="AB150" s="12" t="str">
        <x:f>IF(OR(M150="unavailable",O150="unavailable"),"不可评价",IF(AND(M150="positive",O150="positive"),"a",IF(O150="positive","b",IF(M150="positive","c","d"))))</x:f>
        <x:v>d</x:v>
      </x:c>
      <x:c r="AC150" s="12" t="str">
        <x:f>IF(OR(R150="unavailable",T150="unavailable"),"不可评价",IF(AND(OR(R150="positive",R150="equivocal"),OR(T150="positive",T150="equivocal")),"a",IF(OR(T150="positive",T150="equivocal"),"b",IF(OR(R150="positive",R150="equivocal"),"c","d"))))</x:f>
        <x:v>d</x:v>
      </x:c>
      <x:c r="AD150" s="12" t="str">
        <x:f>IF(OR(R150="unavailable",T150="unavailable"),"不可评价",IF(AND(R150="positive",T150="positive"),"a",IF(T150="positive","b",IF(R150="positive","c","d"))))</x:f>
        <x:v>d</x:v>
      </x:c>
      <x:c r="AE150" s="12" t="str">
        <x:f>IF(OR(W150="unavailable",Y150="unavailable"),"不可评价",IF(AND(OR(W150="positive",W150="equivocal"),OR(Y150="positive",Y150="equivocal")),"a",IF(OR(Y150="positive",Y150="equivocal"),"b",IF(OR(W150="positive",W150="equivocal"),"c","d"))))</x:f>
        <x:v>d</x:v>
      </x:c>
      <x:c r="AF150" s="12" t="str">
        <x:f>IF(OR(W150="unavailable",Y150="unavailable"),"不可评价",IF(AND(W150="positive",Y150="positive"),"a",IF(Y150="positive","b",IF(W150="positive","c","d"))))</x:f>
        <x:v>d</x:v>
      </x:c>
    </x:row>
    <x:row r="151" ht="24" customHeight="1">
      <x:c r="A151" s="12" t="str">
        <x:v>1169</x:v>
      </x:c>
      <x:c r="B151" s="12" t="str">
        <x:v>3963</x:v>
      </x:c>
      <x:c r="C151" s="21" t="n">
        <x:v>32032.71846064815</x:v>
      </x:c>
      <x:c r="D151" s="12" t="n">
        <x:v>57</x:v>
      </x:c>
      <x:c r="E151" s="12" t="n">
        <x:v>0</x:v>
      </x:c>
      <x:c r="F151" s="12" t="str">
        <x:v>未记录</x:v>
      </x:c>
      <x:c r="G151" s="12" t="n">
        <x:v>1</x:v>
      </x:c>
      <x:c r="H151" s="12" t="str">
        <x:v>{'NORM': 100.0, 'SR': 0.0}</x:v>
      </x:c>
      <x:c r="I151" s="12" t="str">
        <x:v>[('NSR', 100.0), ('NML', 100.0)]</x:v>
      </x:c>
      <x:c r="J151" s="12" t="str">
        <x:v>ptbxl_database.csv；ecg_id=1169；scp_codes</x:v>
      </x:c>
      <x:c r="K151" s="12" t="str">
        <x:v>12sl_statements.csv；ecg_id=1169；statements_ext_snomed</x:v>
      </x:c>
      <x:c r="L151" s="12"/>
      <x:c r="M151" s="12" t="str">
        <x:v>negative</x:v>
      </x:c>
      <x:c r="N151" s="12"/>
      <x:c r="O151" s="12" t="str">
        <x:v>negative</x:v>
      </x:c>
      <x:c r="P151" s="12" t="str">
        <x:f>IF(OR(M151="unavailable",O151="unavailable"),"不可评价",IF(OR(M151="equivocal",O151="equivocal"),"疑似",IF(AND(M151="positive",O151="positive"),"a",IF(O151="positive","b",IF(M151="positive","c","d")))))</x:f>
        <x:v>d</x:v>
      </x:c>
      <x:c r="Q151" s="12"/>
      <x:c r="R151" s="12" t="str">
        <x:v>negative</x:v>
      </x:c>
      <x:c r="S151" s="12"/>
      <x:c r="T151" s="12" t="str">
        <x:v>negative</x:v>
      </x:c>
      <x:c r="U151" s="12" t="str">
        <x:f>IF(OR(R151="unavailable",T151="unavailable"),"不可评价",IF(OR(R151="equivocal",T151="equivocal"),"疑似",IF(AND(R151="positive",T151="positive"),"a",IF(T151="positive","b",IF(R151="positive","c","d")))))</x:f>
        <x:v>d</x:v>
      </x:c>
      <x:c r="V151" s="12"/>
      <x:c r="W151" s="12" t="str">
        <x:v>negative</x:v>
      </x:c>
      <x:c r="X151" s="12"/>
      <x:c r="Y151" s="12" t="str">
        <x:v>negative</x:v>
      </x:c>
      <x:c r="Z151" s="12" t="str">
        <x:f>IF(OR(W151="unavailable",Y151="unavailable"),"不可评价",IF(OR(W151="equivocal",Y151="equivocal"),"疑似",IF(AND(W151="positive",Y151="positive"),"a",IF(Y151="positive","b",IF(W151="positive","c","d")))))</x:f>
        <x:v>d</x:v>
      </x:c>
      <x:c r="AA151" s="12" t="str">
        <x:f>IF(OR(M151="unavailable",O151="unavailable"),"不可评价",IF(AND(OR(M151="positive",M151="equivocal"),OR(O151="positive",O151="equivocal")),"a",IF(OR(O151="positive",O151="equivocal"),"b",IF(OR(M151="positive",M151="equivocal"),"c","d"))))</x:f>
        <x:v>d</x:v>
      </x:c>
      <x:c r="AB151" s="12" t="str">
        <x:f>IF(OR(M151="unavailable",O151="unavailable"),"不可评价",IF(AND(M151="positive",O151="positive"),"a",IF(O151="positive","b",IF(M151="positive","c","d"))))</x:f>
        <x:v>d</x:v>
      </x:c>
      <x:c r="AC151" s="12" t="str">
        <x:f>IF(OR(R151="unavailable",T151="unavailable"),"不可评价",IF(AND(OR(R151="positive",R151="equivocal"),OR(T151="positive",T151="equivocal")),"a",IF(OR(T151="positive",T151="equivocal"),"b",IF(OR(R151="positive",R151="equivocal"),"c","d"))))</x:f>
        <x:v>d</x:v>
      </x:c>
      <x:c r="AD151" s="12" t="str">
        <x:f>IF(OR(R151="unavailable",T151="unavailable"),"不可评价",IF(AND(R151="positive",T151="positive"),"a",IF(T151="positive","b",IF(R151="positive","c","d"))))</x:f>
        <x:v>d</x:v>
      </x:c>
      <x:c r="AE151" s="12" t="str">
        <x:f>IF(OR(W151="unavailable",Y151="unavailable"),"不可评价",IF(AND(OR(W151="positive",W151="equivocal"),OR(Y151="positive",Y151="equivocal")),"a",IF(OR(Y151="positive",Y151="equivocal"),"b",IF(OR(W151="positive",W151="equivocal"),"c","d"))))</x:f>
        <x:v>d</x:v>
      </x:c>
      <x:c r="AF151" s="12" t="str">
        <x:f>IF(OR(W151="unavailable",Y151="unavailable"),"不可评价",IF(AND(W151="positive",Y151="positive"),"a",IF(Y151="positive","b",IF(W151="positive","c","d"))))</x:f>
        <x:v>d</x:v>
      </x:c>
    </x:row>
    <x:row r="152" ht="24" customHeight="1">
      <x:c r="A152" s="12" t="str">
        <x:v>1172</x:v>
      </x:c>
      <x:c r="B152" s="12" t="str">
        <x:v>4228</x:v>
      </x:c>
      <x:c r="C152" s="21" t="n">
        <x:v>32033.569270833334</x:v>
      </x:c>
      <x:c r="D152" s="12" t="n">
        <x:v>72</x:v>
      </x:c>
      <x:c r="E152" s="12" t="n">
        <x:v>0</x:v>
      </x:c>
      <x:c r="F152" s="12" t="str">
        <x:v>未记录</x:v>
      </x:c>
      <x:c r="G152" s="12" t="n">
        <x:v>1</x:v>
      </x:c>
      <x:c r="H152" s="12" t="str">
        <x:v>{'NORM': 100.0, 'SR': 0.0}</x:v>
      </x:c>
      <x:c r="I152" s="12" t="str">
        <x:v>[('NSR', 100.0), ('LAE', 50.0), ('IRBBB', 100.0), ('BORDE', 100.0)]</x:v>
      </x:c>
      <x:c r="J152" s="12" t="str">
        <x:v>ptbxl_database.csv；ecg_id=1172；scp_codes</x:v>
      </x:c>
      <x:c r="K152" s="12" t="str">
        <x:v>12sl_statements.csv；ecg_id=1172；statements_ext_snomed</x:v>
      </x:c>
      <x:c r="L152" s="12"/>
      <x:c r="M152" s="12" t="str">
        <x:v>negative</x:v>
      </x:c>
      <x:c r="N152" s="12"/>
      <x:c r="O152" s="12" t="str">
        <x:v>negative</x:v>
      </x:c>
      <x:c r="P152" s="12" t="str">
        <x:f>IF(OR(M152="unavailable",O152="unavailable"),"不可评价",IF(OR(M152="equivocal",O152="equivocal"),"疑似",IF(AND(M152="positive",O152="positive"),"a",IF(O152="positive","b",IF(M152="positive","c","d")))))</x:f>
        <x:v>d</x:v>
      </x:c>
      <x:c r="Q152" s="12"/>
      <x:c r="R152" s="12" t="str">
        <x:v>negative</x:v>
      </x:c>
      <x:c r="S152" s="12"/>
      <x:c r="T152" s="12" t="str">
        <x:v>negative</x:v>
      </x:c>
      <x:c r="U152" s="12" t="str">
        <x:f>IF(OR(R152="unavailable",T152="unavailable"),"不可评价",IF(OR(R152="equivocal",T152="equivocal"),"疑似",IF(AND(R152="positive",T152="positive"),"a",IF(T152="positive","b",IF(R152="positive","c","d")))))</x:f>
        <x:v>d</x:v>
      </x:c>
      <x:c r="V152" s="12"/>
      <x:c r="W152" s="12" t="str">
        <x:v>negative</x:v>
      </x:c>
      <x:c r="X152" s="12"/>
      <x:c r="Y152" s="12" t="str">
        <x:v>negative</x:v>
      </x:c>
      <x:c r="Z152" s="12" t="str">
        <x:f>IF(OR(W152="unavailable",Y152="unavailable"),"不可评价",IF(OR(W152="equivocal",Y152="equivocal"),"疑似",IF(AND(W152="positive",Y152="positive"),"a",IF(Y152="positive","b",IF(W152="positive","c","d")))))</x:f>
        <x:v>d</x:v>
      </x:c>
      <x:c r="AA152" s="12" t="str">
        <x:f>IF(OR(M152="unavailable",O152="unavailable"),"不可评价",IF(AND(OR(M152="positive",M152="equivocal"),OR(O152="positive",O152="equivocal")),"a",IF(OR(O152="positive",O152="equivocal"),"b",IF(OR(M152="positive",M152="equivocal"),"c","d"))))</x:f>
        <x:v>d</x:v>
      </x:c>
      <x:c r="AB152" s="12" t="str">
        <x:f>IF(OR(M152="unavailable",O152="unavailable"),"不可评价",IF(AND(M152="positive",O152="positive"),"a",IF(O152="positive","b",IF(M152="positive","c","d"))))</x:f>
        <x:v>d</x:v>
      </x:c>
      <x:c r="AC152" s="12" t="str">
        <x:f>IF(OR(R152="unavailable",T152="unavailable"),"不可评价",IF(AND(OR(R152="positive",R152="equivocal"),OR(T152="positive",T152="equivocal")),"a",IF(OR(T152="positive",T152="equivocal"),"b",IF(OR(R152="positive",R152="equivocal"),"c","d"))))</x:f>
        <x:v>d</x:v>
      </x:c>
      <x:c r="AD152" s="12" t="str">
        <x:f>IF(OR(R152="unavailable",T152="unavailable"),"不可评价",IF(AND(R152="positive",T152="positive"),"a",IF(T152="positive","b",IF(R152="positive","c","d"))))</x:f>
        <x:v>d</x:v>
      </x:c>
      <x:c r="AE152" s="12" t="str">
        <x:f>IF(OR(W152="unavailable",Y152="unavailable"),"不可评价",IF(AND(OR(W152="positive",W152="equivocal"),OR(Y152="positive",Y152="equivocal")),"a",IF(OR(Y152="positive",Y152="equivocal"),"b",IF(OR(W152="positive",W152="equivocal"),"c","d"))))</x:f>
        <x:v>d</x:v>
      </x:c>
      <x:c r="AF152" s="12" t="str">
        <x:f>IF(OR(W152="unavailable",Y152="unavailable"),"不可评价",IF(AND(W152="positive",Y152="positive"),"a",IF(Y152="positive","b",IF(W152="positive","c","d"))))</x:f>
        <x:v>d</x:v>
      </x:c>
    </x:row>
    <x:row r="153" ht="24" customHeight="1">
      <x:c r="A153" s="12" t="str">
        <x:v>1175</x:v>
      </x:c>
      <x:c r="B153" s="12" t="str">
        <x:v>5275</x:v>
      </x:c>
      <x:c r="C153" s="21" t="n">
        <x:v>32034.33585648148</x:v>
      </x:c>
      <x:c r="D153" s="12" t="n">
        <x:v>63</x:v>
      </x:c>
      <x:c r="E153" s="12" t="n">
        <x:v>0</x:v>
      </x:c>
      <x:c r="F153" s="12" t="str">
        <x:v>未记录</x:v>
      </x:c>
      <x:c r="G153" s="12" t="n">
        <x:v>1</x:v>
      </x:c>
      <x:c r="H153" s="12" t="str">
        <x:v>{'ISCIN': 100.0, 'LOWT': 0.0, 'STD_': 0.0, 'SR': 0.0}</x:v>
      </x:c>
      <x:c r="I153" s="12" t="str">
        <x:v>[('NSR', 100.0), ('IT', 100.0), ('AB', 100.0)]</x:v>
      </x:c>
      <x:c r="J153" s="12" t="str">
        <x:v>ptbxl_database.csv；ecg_id=1175；scp_codes</x:v>
      </x:c>
      <x:c r="K153" s="12" t="str">
        <x:v>12sl_statements.csv；ecg_id=1175；statements_ext_snomed</x:v>
      </x:c>
      <x:c r="L153" s="12"/>
      <x:c r="M153" s="12" t="str">
        <x:v>negative</x:v>
      </x:c>
      <x:c r="N153" s="12"/>
      <x:c r="O153" s="12" t="str">
        <x:v>negative</x:v>
      </x:c>
      <x:c r="P153" s="12" t="str">
        <x:f>IF(OR(M153="unavailable",O153="unavailable"),"不可评价",IF(OR(M153="equivocal",O153="equivocal"),"疑似",IF(AND(M153="positive",O153="positive"),"a",IF(O153="positive","b",IF(M153="positive","c","d")))))</x:f>
        <x:v>d</x:v>
      </x:c>
      <x:c r="Q153" s="12"/>
      <x:c r="R153" s="12" t="str">
        <x:v>negative</x:v>
      </x:c>
      <x:c r="S153" s="12"/>
      <x:c r="T153" s="12" t="str">
        <x:v>negative</x:v>
      </x:c>
      <x:c r="U153" s="12" t="str">
        <x:f>IF(OR(R153="unavailable",T153="unavailable"),"不可评价",IF(OR(R153="equivocal",T153="equivocal"),"疑似",IF(AND(R153="positive",T153="positive"),"a",IF(T153="positive","b",IF(R153="positive","c","d")))))</x:f>
        <x:v>d</x:v>
      </x:c>
      <x:c r="V153" s="12"/>
      <x:c r="W153" s="12" t="str">
        <x:v>negative</x:v>
      </x:c>
      <x:c r="X153" s="12"/>
      <x:c r="Y153" s="12" t="str">
        <x:v>negative</x:v>
      </x:c>
      <x:c r="Z153" s="12" t="str">
        <x:f>IF(OR(W153="unavailable",Y153="unavailable"),"不可评价",IF(OR(W153="equivocal",Y153="equivocal"),"疑似",IF(AND(W153="positive",Y153="positive"),"a",IF(Y153="positive","b",IF(W153="positive","c","d")))))</x:f>
        <x:v>d</x:v>
      </x:c>
      <x:c r="AA153" s="12" t="str">
        <x:f>IF(OR(M153="unavailable",O153="unavailable"),"不可评价",IF(AND(OR(M153="positive",M153="equivocal"),OR(O153="positive",O153="equivocal")),"a",IF(OR(O153="positive",O153="equivocal"),"b",IF(OR(M153="positive",M153="equivocal"),"c","d"))))</x:f>
        <x:v>d</x:v>
      </x:c>
      <x:c r="AB153" s="12" t="str">
        <x:f>IF(OR(M153="unavailable",O153="unavailable"),"不可评价",IF(AND(M153="positive",O153="positive"),"a",IF(O153="positive","b",IF(M153="positive","c","d"))))</x:f>
        <x:v>d</x:v>
      </x:c>
      <x:c r="AC153" s="12" t="str">
        <x:f>IF(OR(R153="unavailable",T153="unavailable"),"不可评价",IF(AND(OR(R153="positive",R153="equivocal"),OR(T153="positive",T153="equivocal")),"a",IF(OR(T153="positive",T153="equivocal"),"b",IF(OR(R153="positive",R153="equivocal"),"c","d"))))</x:f>
        <x:v>d</x:v>
      </x:c>
      <x:c r="AD153" s="12" t="str">
        <x:f>IF(OR(R153="unavailable",T153="unavailable"),"不可评价",IF(AND(R153="positive",T153="positive"),"a",IF(T153="positive","b",IF(R153="positive","c","d"))))</x:f>
        <x:v>d</x:v>
      </x:c>
      <x:c r="AE153" s="12" t="str">
        <x:f>IF(OR(W153="unavailable",Y153="unavailable"),"不可评价",IF(AND(OR(W153="positive",W153="equivocal"),OR(Y153="positive",Y153="equivocal")),"a",IF(OR(Y153="positive",Y153="equivocal"),"b",IF(OR(W153="positive",W153="equivocal"),"c","d"))))</x:f>
        <x:v>d</x:v>
      </x:c>
      <x:c r="AF153" s="12" t="str">
        <x:f>IF(OR(W153="unavailable",Y153="unavailable"),"不可评价",IF(AND(W153="positive",Y153="positive"),"a",IF(Y153="positive","b",IF(W153="positive","c","d"))))</x:f>
        <x:v>d</x:v>
      </x:c>
    </x:row>
    <x:row r="154" ht="24" customHeight="1">
      <x:c r="A154" s="12" t="str">
        <x:v>1186</x:v>
      </x:c>
      <x:c r="B154" s="12" t="str">
        <x:v>651</x:v>
      </x:c>
      <x:c r="C154" s="21" t="n">
        <x:v>32037.615439814814</x:v>
      </x:c>
      <x:c r="D154" s="12" t="n">
        <x:v>86</x:v>
      </x:c>
      <x:c r="E154" s="12" t="n">
        <x:v>0</x:v>
      </x:c>
      <x:c r="F154" s="12" t="str">
        <x:v>未记录</x:v>
      </x:c>
      <x:c r="G154" s="12" t="n">
        <x:v>1</x:v>
      </x:c>
      <x:c r="H154" s="12" t="str">
        <x:v>{'NORM': 100.0}</x:v>
      </x:c>
      <x:c r="I154" s="12" t="str">
        <x:v>[('SBRAD', 100.0), ('FAV', 100.0), ('VESC', 100.0), ('IMI;AU', 100.0), ('AB', 100.0)]</x:v>
      </x:c>
      <x:c r="J154" s="12" t="str">
        <x:v>ptbxl_database.csv；ecg_id=1186；scp_codes</x:v>
      </x:c>
      <x:c r="K154" s="12" t="str">
        <x:v>12sl_statements.csv；ecg_id=1186；statements_ext_snomed</x:v>
      </x:c>
      <x:c r="L154" s="12"/>
      <x:c r="M154" s="12" t="str">
        <x:v>negative</x:v>
      </x:c>
      <x:c r="N154" s="12"/>
      <x:c r="O154" s="12" t="str">
        <x:v>negative</x:v>
      </x:c>
      <x:c r="P154" s="12" t="str">
        <x:f>IF(OR(M154="unavailable",O154="unavailable"),"不可评价",IF(OR(M154="equivocal",O154="equivocal"),"疑似",IF(AND(M154="positive",O154="positive"),"a",IF(O154="positive","b",IF(M154="positive","c","d")))))</x:f>
        <x:v>d</x:v>
      </x:c>
      <x:c r="Q154" s="12"/>
      <x:c r="R154" s="12" t="str">
        <x:v>negative</x:v>
      </x:c>
      <x:c r="S154" s="12"/>
      <x:c r="T154" s="12" t="str">
        <x:v>negative</x:v>
      </x:c>
      <x:c r="U154" s="12" t="str">
        <x:f>IF(OR(R154="unavailable",T154="unavailable"),"不可评价",IF(OR(R154="equivocal",T154="equivocal"),"疑似",IF(AND(R154="positive",T154="positive"),"a",IF(T154="positive","b",IF(R154="positive","c","d")))))</x:f>
        <x:v>d</x:v>
      </x:c>
      <x:c r="V154" s="12"/>
      <x:c r="W154" s="12" t="str">
        <x:v>negative</x:v>
      </x:c>
      <x:c r="X154" s="12"/>
      <x:c r="Y154" s="12" t="str">
        <x:v>negative</x:v>
      </x:c>
      <x:c r="Z154" s="12" t="str">
        <x:f>IF(OR(W154="unavailable",Y154="unavailable"),"不可评价",IF(OR(W154="equivocal",Y154="equivocal"),"疑似",IF(AND(W154="positive",Y154="positive"),"a",IF(Y154="positive","b",IF(W154="positive","c","d")))))</x:f>
        <x:v>d</x:v>
      </x:c>
      <x:c r="AA154" s="12" t="str">
        <x:f>IF(OR(M154="unavailable",O154="unavailable"),"不可评价",IF(AND(OR(M154="positive",M154="equivocal"),OR(O154="positive",O154="equivocal")),"a",IF(OR(O154="positive",O154="equivocal"),"b",IF(OR(M154="positive",M154="equivocal"),"c","d"))))</x:f>
        <x:v>d</x:v>
      </x:c>
      <x:c r="AB154" s="12" t="str">
        <x:f>IF(OR(M154="unavailable",O154="unavailable"),"不可评价",IF(AND(M154="positive",O154="positive"),"a",IF(O154="positive","b",IF(M154="positive","c","d"))))</x:f>
        <x:v>d</x:v>
      </x:c>
      <x:c r="AC154" s="12" t="str">
        <x:f>IF(OR(R154="unavailable",T154="unavailable"),"不可评价",IF(AND(OR(R154="positive",R154="equivocal"),OR(T154="positive",T154="equivocal")),"a",IF(OR(T154="positive",T154="equivocal"),"b",IF(OR(R154="positive",R154="equivocal"),"c","d"))))</x:f>
        <x:v>d</x:v>
      </x:c>
      <x:c r="AD154" s="12" t="str">
        <x:f>IF(OR(R154="unavailable",T154="unavailable"),"不可评价",IF(AND(R154="positive",T154="positive"),"a",IF(T154="positive","b",IF(R154="positive","c","d"))))</x:f>
        <x:v>d</x:v>
      </x:c>
      <x:c r="AE154" s="12" t="str">
        <x:f>IF(OR(W154="unavailable",Y154="unavailable"),"不可评价",IF(AND(OR(W154="positive",W154="equivocal"),OR(Y154="positive",Y154="equivocal")),"a",IF(OR(Y154="positive",Y154="equivocal"),"b",IF(OR(W154="positive",W154="equivocal"),"c","d"))))</x:f>
        <x:v>d</x:v>
      </x:c>
      <x:c r="AF154" s="12" t="str">
        <x:f>IF(OR(W154="unavailable",Y154="unavailable"),"不可评价",IF(AND(W154="positive",Y154="positive"),"a",IF(Y154="positive","b",IF(W154="positive","c","d"))))</x:f>
        <x:v>d</x:v>
      </x:c>
    </x:row>
    <x:row r="155" ht="24" customHeight="1">
      <x:c r="A155" s="12" t="str">
        <x:v>1197</x:v>
      </x:c>
      <x:c r="B155" s="12" t="str">
        <x:v>7417</x:v>
      </x:c>
      <x:c r="C155" s="21" t="n">
        <x:v>32043.740474537037</x:v>
      </x:c>
      <x:c r="D155" s="12" t="n">
        <x:v>35</x:v>
      </x:c>
      <x:c r="E155" s="12" t="n">
        <x:v>1</x:v>
      </x:c>
      <x:c r="F155" s="12" t="str">
        <x:v>未记录</x:v>
      </x:c>
      <x:c r="G155" s="12" t="n">
        <x:v>1</x:v>
      </x:c>
      <x:c r="H155" s="12" t="str">
        <x:v>{'NORM': 100.0, 'SARRH': 0.0}</x:v>
      </x:c>
      <x:c r="I155" s="12" t="str">
        <x:v>[('NSR', 100.0), ('SAR', 100.0), ('NML', 100.0)]</x:v>
      </x:c>
      <x:c r="J155" s="12" t="str">
        <x:v>ptbxl_database.csv；ecg_id=1197；scp_codes</x:v>
      </x:c>
      <x:c r="K155" s="12" t="str">
        <x:v>12sl_statements.csv；ecg_id=1197；statements_ext_snomed</x:v>
      </x:c>
      <x:c r="L155" s="12"/>
      <x:c r="M155" s="12" t="str">
        <x:v>negative</x:v>
      </x:c>
      <x:c r="N155" s="12"/>
      <x:c r="O155" s="12" t="str">
        <x:v>negative</x:v>
      </x:c>
      <x:c r="P155" s="12" t="str">
        <x:f>IF(OR(M155="unavailable",O155="unavailable"),"不可评价",IF(OR(M155="equivocal",O155="equivocal"),"疑似",IF(AND(M155="positive",O155="positive"),"a",IF(O155="positive","b",IF(M155="positive","c","d")))))</x:f>
        <x:v>d</x:v>
      </x:c>
      <x:c r="Q155" s="12"/>
      <x:c r="R155" s="12" t="str">
        <x:v>negative</x:v>
      </x:c>
      <x:c r="S155" s="12"/>
      <x:c r="T155" s="12" t="str">
        <x:v>negative</x:v>
      </x:c>
      <x:c r="U155" s="12" t="str">
        <x:f>IF(OR(R155="unavailable",T155="unavailable"),"不可评价",IF(OR(R155="equivocal",T155="equivocal"),"疑似",IF(AND(R155="positive",T155="positive"),"a",IF(T155="positive","b",IF(R155="positive","c","d")))))</x:f>
        <x:v>d</x:v>
      </x:c>
      <x:c r="V155" s="12"/>
      <x:c r="W155" s="12" t="str">
        <x:v>negative</x:v>
      </x:c>
      <x:c r="X155" s="12"/>
      <x:c r="Y155" s="12" t="str">
        <x:v>negative</x:v>
      </x:c>
      <x:c r="Z155" s="12" t="str">
        <x:f>IF(OR(W155="unavailable",Y155="unavailable"),"不可评价",IF(OR(W155="equivocal",Y155="equivocal"),"疑似",IF(AND(W155="positive",Y155="positive"),"a",IF(Y155="positive","b",IF(W155="positive","c","d")))))</x:f>
        <x:v>d</x:v>
      </x:c>
      <x:c r="AA155" s="12" t="str">
        <x:f>IF(OR(M155="unavailable",O155="unavailable"),"不可评价",IF(AND(OR(M155="positive",M155="equivocal"),OR(O155="positive",O155="equivocal")),"a",IF(OR(O155="positive",O155="equivocal"),"b",IF(OR(M155="positive",M155="equivocal"),"c","d"))))</x:f>
        <x:v>d</x:v>
      </x:c>
      <x:c r="AB155" s="12" t="str">
        <x:f>IF(OR(M155="unavailable",O155="unavailable"),"不可评价",IF(AND(M155="positive",O155="positive"),"a",IF(O155="positive","b",IF(M155="positive","c","d"))))</x:f>
        <x:v>d</x:v>
      </x:c>
      <x:c r="AC155" s="12" t="str">
        <x:f>IF(OR(R155="unavailable",T155="unavailable"),"不可评价",IF(AND(OR(R155="positive",R155="equivocal"),OR(T155="positive",T155="equivocal")),"a",IF(OR(T155="positive",T155="equivocal"),"b",IF(OR(R155="positive",R155="equivocal"),"c","d"))))</x:f>
        <x:v>d</x:v>
      </x:c>
      <x:c r="AD155" s="12" t="str">
        <x:f>IF(OR(R155="unavailable",T155="unavailable"),"不可评价",IF(AND(R155="positive",T155="positive"),"a",IF(T155="positive","b",IF(R155="positive","c","d"))))</x:f>
        <x:v>d</x:v>
      </x:c>
      <x:c r="AE155" s="12" t="str">
        <x:f>IF(OR(W155="unavailable",Y155="unavailable"),"不可评价",IF(AND(OR(W155="positive",W155="equivocal"),OR(Y155="positive",Y155="equivocal")),"a",IF(OR(Y155="positive",Y155="equivocal"),"b",IF(OR(W155="positive",W155="equivocal"),"c","d"))))</x:f>
        <x:v>d</x:v>
      </x:c>
      <x:c r="AF155" s="12" t="str">
        <x:f>IF(OR(W155="unavailable",Y155="unavailable"),"不可评价",IF(AND(W155="positive",Y155="positive"),"a",IF(Y155="positive","b",IF(W155="positive","c","d"))))</x:f>
        <x:v>d</x:v>
      </x:c>
    </x:row>
    <x:row r="156" ht="24" customHeight="1">
      <x:c r="A156" s="12" t="str">
        <x:v>1200</x:v>
      </x:c>
      <x:c r="B156" s="12" t="str">
        <x:v>5266</x:v>
      </x:c>
      <x:c r="C156" s="21" t="n">
        <x:v>32045.45121527778</x:v>
      </x:c>
      <x:c r="D156" s="12" t="n">
        <x:v>68</x:v>
      </x:c>
      <x:c r="E156" s="12" t="n">
        <x:v>0</x:v>
      </x:c>
      <x:c r="F156" s="12" t="str">
        <x:v>未记录</x:v>
      </x:c>
      <x:c r="G156" s="12" t="n">
        <x:v>1</x:v>
      </x:c>
      <x:c r="H156" s="12" t="str">
        <x:v>{'IMI': 15.0, 'IRBBB': 100.0, 'QWAVE': 0.0, 'SARRH': 0.0}</x:v>
      </x:c>
      <x:c r="I156" s="12" t="str">
        <x:v>[('SBRAD', 100.0), ('PAC', 100.0), ('IRBBB', 100.0), ('IMI;AU', 100.0), ('AB', 100.0)]</x:v>
      </x:c>
      <x:c r="J156" s="12" t="str">
        <x:v>ptbxl_database.csv；ecg_id=1200；scp_codes</x:v>
      </x:c>
      <x:c r="K156" s="12" t="str">
        <x:v>12sl_statements.csv；ecg_id=1200；statements_ext_snomed</x:v>
      </x:c>
      <x:c r="L156" s="12"/>
      <x:c r="M156" s="12" t="str">
        <x:v>negative</x:v>
      </x:c>
      <x:c r="N156" s="12"/>
      <x:c r="O156" s="12" t="str">
        <x:v>negative</x:v>
      </x:c>
      <x:c r="P156" s="12" t="str">
        <x:f>IF(OR(M156="unavailable",O156="unavailable"),"不可评价",IF(OR(M156="equivocal",O156="equivocal"),"疑似",IF(AND(M156="positive",O156="positive"),"a",IF(O156="positive","b",IF(M156="positive","c","d")))))</x:f>
        <x:v>d</x:v>
      </x:c>
      <x:c r="Q156" s="12"/>
      <x:c r="R156" s="12" t="str">
        <x:v>negative</x:v>
      </x:c>
      <x:c r="S156" s="12"/>
      <x:c r="T156" s="12" t="str">
        <x:v>negative</x:v>
      </x:c>
      <x:c r="U156" s="12" t="str">
        <x:f>IF(OR(R156="unavailable",T156="unavailable"),"不可评价",IF(OR(R156="equivocal",T156="equivocal"),"疑似",IF(AND(R156="positive",T156="positive"),"a",IF(T156="positive","b",IF(R156="positive","c","d")))))</x:f>
        <x:v>d</x:v>
      </x:c>
      <x:c r="V156" s="12"/>
      <x:c r="W156" s="12" t="str">
        <x:v>negative</x:v>
      </x:c>
      <x:c r="X156" s="12"/>
      <x:c r="Y156" s="12" t="str">
        <x:v>negative</x:v>
      </x:c>
      <x:c r="Z156" s="12" t="str">
        <x:f>IF(OR(W156="unavailable",Y156="unavailable"),"不可评价",IF(OR(W156="equivocal",Y156="equivocal"),"疑似",IF(AND(W156="positive",Y156="positive"),"a",IF(Y156="positive","b",IF(W156="positive","c","d")))))</x:f>
        <x:v>d</x:v>
      </x:c>
      <x:c r="AA156" s="12" t="str">
        <x:f>IF(OR(M156="unavailable",O156="unavailable"),"不可评价",IF(AND(OR(M156="positive",M156="equivocal"),OR(O156="positive",O156="equivocal")),"a",IF(OR(O156="positive",O156="equivocal"),"b",IF(OR(M156="positive",M156="equivocal"),"c","d"))))</x:f>
        <x:v>d</x:v>
      </x:c>
      <x:c r="AB156" s="12" t="str">
        <x:f>IF(OR(M156="unavailable",O156="unavailable"),"不可评价",IF(AND(M156="positive",O156="positive"),"a",IF(O156="positive","b",IF(M156="positive","c","d"))))</x:f>
        <x:v>d</x:v>
      </x:c>
      <x:c r="AC156" s="12" t="str">
        <x:f>IF(OR(R156="unavailable",T156="unavailable"),"不可评价",IF(AND(OR(R156="positive",R156="equivocal"),OR(T156="positive",T156="equivocal")),"a",IF(OR(T156="positive",T156="equivocal"),"b",IF(OR(R156="positive",R156="equivocal"),"c","d"))))</x:f>
        <x:v>d</x:v>
      </x:c>
      <x:c r="AD156" s="12" t="str">
        <x:f>IF(OR(R156="unavailable",T156="unavailable"),"不可评价",IF(AND(R156="positive",T156="positive"),"a",IF(T156="positive","b",IF(R156="positive","c","d"))))</x:f>
        <x:v>d</x:v>
      </x:c>
      <x:c r="AE156" s="12" t="str">
        <x:f>IF(OR(W156="unavailable",Y156="unavailable"),"不可评价",IF(AND(OR(W156="positive",W156="equivocal"),OR(Y156="positive",Y156="equivocal")),"a",IF(OR(Y156="positive",Y156="equivocal"),"b",IF(OR(W156="positive",W156="equivocal"),"c","d"))))</x:f>
        <x:v>d</x:v>
      </x:c>
      <x:c r="AF156" s="12" t="str">
        <x:f>IF(OR(W156="unavailable",Y156="unavailable"),"不可评价",IF(AND(W156="positive",Y156="positive"),"a",IF(Y156="positive","b",IF(W156="positive","c","d"))))</x:f>
        <x:v>d</x:v>
      </x:c>
    </x:row>
    <x:row r="157" ht="24" customHeight="1">
      <x:c r="A157" s="12" t="str">
        <x:v>1219</x:v>
      </x:c>
      <x:c r="B157" s="12" t="str">
        <x:v>6184</x:v>
      </x:c>
      <x:c r="C157" s="21" t="n">
        <x:v>32051.53423611111</x:v>
      </x:c>
      <x:c r="D157" s="12" t="n">
        <x:v>38</x:v>
      </x:c>
      <x:c r="E157" s="12" t="n">
        <x:v>1</x:v>
      </x:c>
      <x:c r="F157" s="12" t="str">
        <x:v>未记录</x:v>
      </x:c>
      <x:c r="G157" s="12" t="n">
        <x:v>1</x:v>
      </x:c>
      <x:c r="H157" s="12" t="str">
        <x:v>{'LVH': 35.0, 'VCLVH': 0.0, 'STACH': 0.0}</x:v>
      </x:c>
      <x:c r="I157" s="12" t="str">
        <x:v>[('STACH', 100.0), ('BORDE', 100.0)]</x:v>
      </x:c>
      <x:c r="J157" s="12" t="str">
        <x:v>ptbxl_database.csv；ecg_id=1219；scp_codes</x:v>
      </x:c>
      <x:c r="K157" s="12" t="str">
        <x:v>12sl_statements.csv；ecg_id=1219；statements_ext_snomed</x:v>
      </x:c>
      <x:c r="L157" s="12"/>
      <x:c r="M157" s="12" t="str">
        <x:v>negative</x:v>
      </x:c>
      <x:c r="N157" s="12"/>
      <x:c r="O157" s="12" t="str">
        <x:v>negative</x:v>
      </x:c>
      <x:c r="P157" s="12" t="str">
        <x:f>IF(OR(M157="unavailable",O157="unavailable"),"不可评价",IF(OR(M157="equivocal",O157="equivocal"),"疑似",IF(AND(M157="positive",O157="positive"),"a",IF(O157="positive","b",IF(M157="positive","c","d")))))</x:f>
        <x:v>d</x:v>
      </x:c>
      <x:c r="Q157" s="12"/>
      <x:c r="R157" s="12" t="str">
        <x:v>negative</x:v>
      </x:c>
      <x:c r="S157" s="12"/>
      <x:c r="T157" s="12" t="str">
        <x:v>negative</x:v>
      </x:c>
      <x:c r="U157" s="12" t="str">
        <x:f>IF(OR(R157="unavailable",T157="unavailable"),"不可评价",IF(OR(R157="equivocal",T157="equivocal"),"疑似",IF(AND(R157="positive",T157="positive"),"a",IF(T157="positive","b",IF(R157="positive","c","d")))))</x:f>
        <x:v>d</x:v>
      </x:c>
      <x:c r="V157" s="12"/>
      <x:c r="W157" s="12" t="str">
        <x:v>negative</x:v>
      </x:c>
      <x:c r="X157" s="12"/>
      <x:c r="Y157" s="12" t="str">
        <x:v>negative</x:v>
      </x:c>
      <x:c r="Z157" s="12" t="str">
        <x:f>IF(OR(W157="unavailable",Y157="unavailable"),"不可评价",IF(OR(W157="equivocal",Y157="equivocal"),"疑似",IF(AND(W157="positive",Y157="positive"),"a",IF(Y157="positive","b",IF(W157="positive","c","d")))))</x:f>
        <x:v>d</x:v>
      </x:c>
      <x:c r="AA157" s="12" t="str">
        <x:f>IF(OR(M157="unavailable",O157="unavailable"),"不可评价",IF(AND(OR(M157="positive",M157="equivocal"),OR(O157="positive",O157="equivocal")),"a",IF(OR(O157="positive",O157="equivocal"),"b",IF(OR(M157="positive",M157="equivocal"),"c","d"))))</x:f>
        <x:v>d</x:v>
      </x:c>
      <x:c r="AB157" s="12" t="str">
        <x:f>IF(OR(M157="unavailable",O157="unavailable"),"不可评价",IF(AND(M157="positive",O157="positive"),"a",IF(O157="positive","b",IF(M157="positive","c","d"))))</x:f>
        <x:v>d</x:v>
      </x:c>
      <x:c r="AC157" s="12" t="str">
        <x:f>IF(OR(R157="unavailable",T157="unavailable"),"不可评价",IF(AND(OR(R157="positive",R157="equivocal"),OR(T157="positive",T157="equivocal")),"a",IF(OR(T157="positive",T157="equivocal"),"b",IF(OR(R157="positive",R157="equivocal"),"c","d"))))</x:f>
        <x:v>d</x:v>
      </x:c>
      <x:c r="AD157" s="12" t="str">
        <x:f>IF(OR(R157="unavailable",T157="unavailable"),"不可评价",IF(AND(R157="positive",T157="positive"),"a",IF(T157="positive","b",IF(R157="positive","c","d"))))</x:f>
        <x:v>d</x:v>
      </x:c>
      <x:c r="AE157" s="12" t="str">
        <x:f>IF(OR(W157="unavailable",Y157="unavailable"),"不可评价",IF(AND(OR(W157="positive",W157="equivocal"),OR(Y157="positive",Y157="equivocal")),"a",IF(OR(Y157="positive",Y157="equivocal"),"b",IF(OR(W157="positive",W157="equivocal"),"c","d"))))</x:f>
        <x:v>d</x:v>
      </x:c>
      <x:c r="AF157" s="12" t="str">
        <x:f>IF(OR(W157="unavailable",Y157="unavailable"),"不可评价",IF(AND(W157="positive",Y157="positive"),"a",IF(Y157="positive","b",IF(W157="positive","c","d"))))</x:f>
        <x:v>d</x:v>
      </x:c>
    </x:row>
    <x:row r="158" ht="24" customHeight="1">
      <x:c r="A158" s="12" t="str">
        <x:v>1220</x:v>
      </x:c>
      <x:c r="B158" s="12" t="str">
        <x:v>1810</x:v>
      </x:c>
      <x:c r="C158" s="21" t="n">
        <x:v>32051.662256944444</x:v>
      </x:c>
      <x:c r="D158" s="12" t="n">
        <x:v>83</x:v>
      </x:c>
      <x:c r="E158" s="12" t="n">
        <x:v>1</x:v>
      </x:c>
      <x:c r="F158" s="12" t="str">
        <x:v>未记录</x:v>
      </x:c>
      <x:c r="G158" s="12" t="n">
        <x:v>1</x:v>
      </x:c>
      <x:c r="H158" s="12" t="str">
        <x:v>{'NORM': 50.0, 'LAFB': 100.0, 'SR': 0.0}</x:v>
      </x:c>
      <x:c r="I158" s="12" t="str">
        <x:v>[('NSR', 100.0), ('BORDE', 100.0)]</x:v>
      </x:c>
      <x:c r="J158" s="12" t="str">
        <x:v>ptbxl_database.csv；ecg_id=1220；scp_codes</x:v>
      </x:c>
      <x:c r="K158" s="12" t="str">
        <x:v>12sl_statements.csv；ecg_id=1220；statements_ext_snomed</x:v>
      </x:c>
      <x:c r="L158" s="12"/>
      <x:c r="M158" s="12" t="str">
        <x:v>negative</x:v>
      </x:c>
      <x:c r="N158" s="12"/>
      <x:c r="O158" s="12" t="str">
        <x:v>negative</x:v>
      </x:c>
      <x:c r="P158" s="12" t="str">
        <x:f>IF(OR(M158="unavailable",O158="unavailable"),"不可评价",IF(OR(M158="equivocal",O158="equivocal"),"疑似",IF(AND(M158="positive",O158="positive"),"a",IF(O158="positive","b",IF(M158="positive","c","d")))))</x:f>
        <x:v>d</x:v>
      </x:c>
      <x:c r="Q158" s="12"/>
      <x:c r="R158" s="12" t="str">
        <x:v>negative</x:v>
      </x:c>
      <x:c r="S158" s="12"/>
      <x:c r="T158" s="12" t="str">
        <x:v>negative</x:v>
      </x:c>
      <x:c r="U158" s="12" t="str">
        <x:f>IF(OR(R158="unavailable",T158="unavailable"),"不可评价",IF(OR(R158="equivocal",T158="equivocal"),"疑似",IF(AND(R158="positive",T158="positive"),"a",IF(T158="positive","b",IF(R158="positive","c","d")))))</x:f>
        <x:v>d</x:v>
      </x:c>
      <x:c r="V158" s="12"/>
      <x:c r="W158" s="12" t="str">
        <x:v>negative</x:v>
      </x:c>
      <x:c r="X158" s="12"/>
      <x:c r="Y158" s="12" t="str">
        <x:v>negative</x:v>
      </x:c>
      <x:c r="Z158" s="12" t="str">
        <x:f>IF(OR(W158="unavailable",Y158="unavailable"),"不可评价",IF(OR(W158="equivocal",Y158="equivocal"),"疑似",IF(AND(W158="positive",Y158="positive"),"a",IF(Y158="positive","b",IF(W158="positive","c","d")))))</x:f>
        <x:v>d</x:v>
      </x:c>
      <x:c r="AA158" s="12" t="str">
        <x:f>IF(OR(M158="unavailable",O158="unavailable"),"不可评价",IF(AND(OR(M158="positive",M158="equivocal"),OR(O158="positive",O158="equivocal")),"a",IF(OR(O158="positive",O158="equivocal"),"b",IF(OR(M158="positive",M158="equivocal"),"c","d"))))</x:f>
        <x:v>d</x:v>
      </x:c>
      <x:c r="AB158" s="12" t="str">
        <x:f>IF(OR(M158="unavailable",O158="unavailable"),"不可评价",IF(AND(M158="positive",O158="positive"),"a",IF(O158="positive","b",IF(M158="positive","c","d"))))</x:f>
        <x:v>d</x:v>
      </x:c>
      <x:c r="AC158" s="12" t="str">
        <x:f>IF(OR(R158="unavailable",T158="unavailable"),"不可评价",IF(AND(OR(R158="positive",R158="equivocal"),OR(T158="positive",T158="equivocal")),"a",IF(OR(T158="positive",T158="equivocal"),"b",IF(OR(R158="positive",R158="equivocal"),"c","d"))))</x:f>
        <x:v>d</x:v>
      </x:c>
      <x:c r="AD158" s="12" t="str">
        <x:f>IF(OR(R158="unavailable",T158="unavailable"),"不可评价",IF(AND(R158="positive",T158="positive"),"a",IF(T158="positive","b",IF(R158="positive","c","d"))))</x:f>
        <x:v>d</x:v>
      </x:c>
      <x:c r="AE158" s="12" t="str">
        <x:f>IF(OR(W158="unavailable",Y158="unavailable"),"不可评价",IF(AND(OR(W158="positive",W158="equivocal"),OR(Y158="positive",Y158="equivocal")),"a",IF(OR(Y158="positive",Y158="equivocal"),"b",IF(OR(W158="positive",W158="equivocal"),"c","d"))))</x:f>
        <x:v>d</x:v>
      </x:c>
      <x:c r="AF158" s="12" t="str">
        <x:f>IF(OR(W158="unavailable",Y158="unavailable"),"不可评价",IF(AND(W158="positive",Y158="positive"),"a",IF(Y158="positive","b",IF(W158="positive","c","d"))))</x:f>
        <x:v>d</x:v>
      </x:c>
    </x:row>
    <x:row r="159" ht="24" customHeight="1">
      <x:c r="A159" s="12" t="str">
        <x:v>1246</x:v>
      </x:c>
      <x:c r="B159" s="12" t="str">
        <x:v>11417</x:v>
      </x:c>
      <x:c r="C159" s="21" t="n">
        <x:v>32066.505162037036</x:v>
      </x:c>
      <x:c r="D159" s="12" t="n">
        <x:v>42</x:v>
      </x:c>
      <x:c r="E159" s="12" t="n">
        <x:v>1</x:v>
      </x:c>
      <x:c r="F159" s="12" t="str">
        <x:v>未记录</x:v>
      </x:c>
      <x:c r="G159" s="12" t="n">
        <x:v>1</x:v>
      </x:c>
      <x:c r="H159" s="12" t="str">
        <x:v>{'NORM': 100.0, 'ABQRS': 0.0, 'SR': 0.0}</x:v>
      </x:c>
      <x:c r="I159" s="12" t="str">
        <x:v>[('SBRAD', 100.0), ('ABR', 100.0)]</x:v>
      </x:c>
      <x:c r="J159" s="12" t="str">
        <x:v>ptbxl_database.csv；ecg_id=1246；scp_codes</x:v>
      </x:c>
      <x:c r="K159" s="12" t="str">
        <x:v>12sl_statements.csv；ecg_id=1246；statements_ext_snomed</x:v>
      </x:c>
      <x:c r="L159" s="12"/>
      <x:c r="M159" s="12" t="str">
        <x:v>negative</x:v>
      </x:c>
      <x:c r="N159" s="12"/>
      <x:c r="O159" s="12" t="str">
        <x:v>negative</x:v>
      </x:c>
      <x:c r="P159" s="12" t="str">
        <x:f>IF(OR(M159="unavailable",O159="unavailable"),"不可评价",IF(OR(M159="equivocal",O159="equivocal"),"疑似",IF(AND(M159="positive",O159="positive"),"a",IF(O159="positive","b",IF(M159="positive","c","d")))))</x:f>
        <x:v>d</x:v>
      </x:c>
      <x:c r="Q159" s="12"/>
      <x:c r="R159" s="12" t="str">
        <x:v>negative</x:v>
      </x:c>
      <x:c r="S159" s="12"/>
      <x:c r="T159" s="12" t="str">
        <x:v>negative</x:v>
      </x:c>
      <x:c r="U159" s="12" t="str">
        <x:f>IF(OR(R159="unavailable",T159="unavailable"),"不可评价",IF(OR(R159="equivocal",T159="equivocal"),"疑似",IF(AND(R159="positive",T159="positive"),"a",IF(T159="positive","b",IF(R159="positive","c","d")))))</x:f>
        <x:v>d</x:v>
      </x:c>
      <x:c r="V159" s="12"/>
      <x:c r="W159" s="12" t="str">
        <x:v>negative</x:v>
      </x:c>
      <x:c r="X159" s="12"/>
      <x:c r="Y159" s="12" t="str">
        <x:v>negative</x:v>
      </x:c>
      <x:c r="Z159" s="12" t="str">
        <x:f>IF(OR(W159="unavailable",Y159="unavailable"),"不可评价",IF(OR(W159="equivocal",Y159="equivocal"),"疑似",IF(AND(W159="positive",Y159="positive"),"a",IF(Y159="positive","b",IF(W159="positive","c","d")))))</x:f>
        <x:v>d</x:v>
      </x:c>
      <x:c r="AA159" s="12" t="str">
        <x:f>IF(OR(M159="unavailable",O159="unavailable"),"不可评价",IF(AND(OR(M159="positive",M159="equivocal"),OR(O159="positive",O159="equivocal")),"a",IF(OR(O159="positive",O159="equivocal"),"b",IF(OR(M159="positive",M159="equivocal"),"c","d"))))</x:f>
        <x:v>d</x:v>
      </x:c>
      <x:c r="AB159" s="12" t="str">
        <x:f>IF(OR(M159="unavailable",O159="unavailable"),"不可评价",IF(AND(M159="positive",O159="positive"),"a",IF(O159="positive","b",IF(M159="positive","c","d"))))</x:f>
        <x:v>d</x:v>
      </x:c>
      <x:c r="AC159" s="12" t="str">
        <x:f>IF(OR(R159="unavailable",T159="unavailable"),"不可评价",IF(AND(OR(R159="positive",R159="equivocal"),OR(T159="positive",T159="equivocal")),"a",IF(OR(T159="positive",T159="equivocal"),"b",IF(OR(R159="positive",R159="equivocal"),"c","d"))))</x:f>
        <x:v>d</x:v>
      </x:c>
      <x:c r="AD159" s="12" t="str">
        <x:f>IF(OR(R159="unavailable",T159="unavailable"),"不可评价",IF(AND(R159="positive",T159="positive"),"a",IF(T159="positive","b",IF(R159="positive","c","d"))))</x:f>
        <x:v>d</x:v>
      </x:c>
      <x:c r="AE159" s="12" t="str">
        <x:f>IF(OR(W159="unavailable",Y159="unavailable"),"不可评价",IF(AND(OR(W159="positive",W159="equivocal"),OR(Y159="positive",Y159="equivocal")),"a",IF(OR(Y159="positive",Y159="equivocal"),"b",IF(OR(W159="positive",W159="equivocal"),"c","d"))))</x:f>
        <x:v>d</x:v>
      </x:c>
      <x:c r="AF159" s="12" t="str">
        <x:f>IF(OR(W159="unavailable",Y159="unavailable"),"不可评价",IF(AND(W159="positive",Y159="positive"),"a",IF(Y159="positive","b",IF(W159="positive","c","d"))))</x:f>
        <x:v>d</x:v>
      </x:c>
    </x:row>
    <x:row r="160" ht="24" customHeight="1">
      <x:c r="A160" s="12" t="str">
        <x:v>1251</x:v>
      </x:c>
      <x:c r="B160" s="12" t="str">
        <x:v>8574</x:v>
      </x:c>
      <x:c r="C160" s="21" t="n">
        <x:v>32079.395555555555</x:v>
      </x:c>
      <x:c r="D160" s="12" t="n">
        <x:v>60</x:v>
      </x:c>
      <x:c r="E160" s="12" t="n">
        <x:v>1</x:v>
      </x:c>
      <x:c r="F160" s="12" t="str">
        <x:v>存在</x:v>
      </x:c>
      <x:c r="G160" s="12" t="n">
        <x:v>1</x:v>
      </x:c>
      <x:c r="H160" s="12" t="str">
        <x:v>{'NORM': 100.0, 'SR': 0.0}</x:v>
      </x:c>
      <x:c r="I160" s="12" t="str">
        <x:v>[('NSR', 100.0), ('NML', 100.0)]</x:v>
      </x:c>
      <x:c r="J160" s="12" t="str">
        <x:v>ptbxl_database.csv；ecg_id=1251；scp_codes</x:v>
      </x:c>
      <x:c r="K160" s="12" t="str">
        <x:v>12sl_statements.csv；ecg_id=1251；statements_ext_snomed</x:v>
      </x:c>
      <x:c r="L160" s="12"/>
      <x:c r="M160" s="12" t="str">
        <x:v>negative</x:v>
      </x:c>
      <x:c r="N160" s="12"/>
      <x:c r="O160" s="12" t="str">
        <x:v>negative</x:v>
      </x:c>
      <x:c r="P160" s="12" t="str">
        <x:f>IF(OR(M160="unavailable",O160="unavailable"),"不可评价",IF(OR(M160="equivocal",O160="equivocal"),"疑似",IF(AND(M160="positive",O160="positive"),"a",IF(O160="positive","b",IF(M160="positive","c","d")))))</x:f>
        <x:v>d</x:v>
      </x:c>
      <x:c r="Q160" s="12"/>
      <x:c r="R160" s="12" t="str">
        <x:v>negative</x:v>
      </x:c>
      <x:c r="S160" s="12"/>
      <x:c r="T160" s="12" t="str">
        <x:v>negative</x:v>
      </x:c>
      <x:c r="U160" s="12" t="str">
        <x:f>IF(OR(R160="unavailable",T160="unavailable"),"不可评价",IF(OR(R160="equivocal",T160="equivocal"),"疑似",IF(AND(R160="positive",T160="positive"),"a",IF(T160="positive","b",IF(R160="positive","c","d")))))</x:f>
        <x:v>d</x:v>
      </x:c>
      <x:c r="V160" s="12"/>
      <x:c r="W160" s="12" t="str">
        <x:v>negative</x:v>
      </x:c>
      <x:c r="X160" s="12"/>
      <x:c r="Y160" s="12" t="str">
        <x:v>negative</x:v>
      </x:c>
      <x:c r="Z160" s="12" t="str">
        <x:f>IF(OR(W160="unavailable",Y160="unavailable"),"不可评价",IF(OR(W160="equivocal",Y160="equivocal"),"疑似",IF(AND(W160="positive",Y160="positive"),"a",IF(Y160="positive","b",IF(W160="positive","c","d")))))</x:f>
        <x:v>d</x:v>
      </x:c>
      <x:c r="AA160" s="12" t="str">
        <x:f>IF(OR(M160="unavailable",O160="unavailable"),"不可评价",IF(AND(OR(M160="positive",M160="equivocal"),OR(O160="positive",O160="equivocal")),"a",IF(OR(O160="positive",O160="equivocal"),"b",IF(OR(M160="positive",M160="equivocal"),"c","d"))))</x:f>
        <x:v>d</x:v>
      </x:c>
      <x:c r="AB160" s="12" t="str">
        <x:f>IF(OR(M160="unavailable",O160="unavailable"),"不可评价",IF(AND(M160="positive",O160="positive"),"a",IF(O160="positive","b",IF(M160="positive","c","d"))))</x:f>
        <x:v>d</x:v>
      </x:c>
      <x:c r="AC160" s="12" t="str">
        <x:f>IF(OR(R160="unavailable",T160="unavailable"),"不可评价",IF(AND(OR(R160="positive",R160="equivocal"),OR(T160="positive",T160="equivocal")),"a",IF(OR(T160="positive",T160="equivocal"),"b",IF(OR(R160="positive",R160="equivocal"),"c","d"))))</x:f>
        <x:v>d</x:v>
      </x:c>
      <x:c r="AD160" s="12" t="str">
        <x:f>IF(OR(R160="unavailable",T160="unavailable"),"不可评价",IF(AND(R160="positive",T160="positive"),"a",IF(T160="positive","b",IF(R160="positive","c","d"))))</x:f>
        <x:v>d</x:v>
      </x:c>
      <x:c r="AE160" s="12" t="str">
        <x:f>IF(OR(W160="unavailable",Y160="unavailable"),"不可评价",IF(AND(OR(W160="positive",W160="equivocal"),OR(Y160="positive",Y160="equivocal")),"a",IF(OR(Y160="positive",Y160="equivocal"),"b",IF(OR(W160="positive",W160="equivocal"),"c","d"))))</x:f>
        <x:v>d</x:v>
      </x:c>
      <x:c r="AF160" s="12" t="str">
        <x:f>IF(OR(W160="unavailable",Y160="unavailable"),"不可评价",IF(AND(W160="positive",Y160="positive"),"a",IF(Y160="positive","b",IF(W160="positive","c","d"))))</x:f>
        <x:v>d</x:v>
      </x:c>
    </x:row>
    <x:row r="161" ht="24" customHeight="1">
      <x:c r="A161" s="12" t="str">
        <x:v>1266</x:v>
      </x:c>
      <x:c r="B161" s="12" t="str">
        <x:v>14284</x:v>
      </x:c>
      <x:c r="C161" s="21" t="n">
        <x:v>32105.412094907406</x:v>
      </x:c>
      <x:c r="D161" s="12" t="n">
        <x:v>50</x:v>
      </x:c>
      <x:c r="E161" s="12" t="n">
        <x:v>0</x:v>
      </x:c>
      <x:c r="F161" s="12" t="str">
        <x:v>未记录</x:v>
      </x:c>
      <x:c r="G161" s="12" t="n">
        <x:v>1</x:v>
      </x:c>
      <x:c r="H161" s="12" t="str">
        <x:v>{'NORM': 100.0, 'SR': 0.0}</x:v>
      </x:c>
      <x:c r="I161" s="12" t="str">
        <x:v>[('NSR', 100.0), ('NML', 100.0)]</x:v>
      </x:c>
      <x:c r="J161" s="12" t="str">
        <x:v>ptbxl_database.csv；ecg_id=1266；scp_codes</x:v>
      </x:c>
      <x:c r="K161" s="12" t="str">
        <x:v>12sl_statements.csv；ecg_id=1266；statements_ext_snomed</x:v>
      </x:c>
      <x:c r="L161" s="12"/>
      <x:c r="M161" s="12" t="str">
        <x:v>negative</x:v>
      </x:c>
      <x:c r="N161" s="12"/>
      <x:c r="O161" s="12" t="str">
        <x:v>negative</x:v>
      </x:c>
      <x:c r="P161" s="12" t="str">
        <x:f>IF(OR(M161="unavailable",O161="unavailable"),"不可评价",IF(OR(M161="equivocal",O161="equivocal"),"疑似",IF(AND(M161="positive",O161="positive"),"a",IF(O161="positive","b",IF(M161="positive","c","d")))))</x:f>
        <x:v>d</x:v>
      </x:c>
      <x:c r="Q161" s="12"/>
      <x:c r="R161" s="12" t="str">
        <x:v>negative</x:v>
      </x:c>
      <x:c r="S161" s="12"/>
      <x:c r="T161" s="12" t="str">
        <x:v>negative</x:v>
      </x:c>
      <x:c r="U161" s="12" t="str">
        <x:f>IF(OR(R161="unavailable",T161="unavailable"),"不可评价",IF(OR(R161="equivocal",T161="equivocal"),"疑似",IF(AND(R161="positive",T161="positive"),"a",IF(T161="positive","b",IF(R161="positive","c","d")))))</x:f>
        <x:v>d</x:v>
      </x:c>
      <x:c r="V161" s="12"/>
      <x:c r="W161" s="12" t="str">
        <x:v>negative</x:v>
      </x:c>
      <x:c r="X161" s="12"/>
      <x:c r="Y161" s="12" t="str">
        <x:v>negative</x:v>
      </x:c>
      <x:c r="Z161" s="12" t="str">
        <x:f>IF(OR(W161="unavailable",Y161="unavailable"),"不可评价",IF(OR(W161="equivocal",Y161="equivocal"),"疑似",IF(AND(W161="positive",Y161="positive"),"a",IF(Y161="positive","b",IF(W161="positive","c","d")))))</x:f>
        <x:v>d</x:v>
      </x:c>
      <x:c r="AA161" s="12" t="str">
        <x:f>IF(OR(M161="unavailable",O161="unavailable"),"不可评价",IF(AND(OR(M161="positive",M161="equivocal"),OR(O161="positive",O161="equivocal")),"a",IF(OR(O161="positive",O161="equivocal"),"b",IF(OR(M161="positive",M161="equivocal"),"c","d"))))</x:f>
        <x:v>d</x:v>
      </x:c>
      <x:c r="AB161" s="12" t="str">
        <x:f>IF(OR(M161="unavailable",O161="unavailable"),"不可评价",IF(AND(M161="positive",O161="positive"),"a",IF(O161="positive","b",IF(M161="positive","c","d"))))</x:f>
        <x:v>d</x:v>
      </x:c>
      <x:c r="AC161" s="12" t="str">
        <x:f>IF(OR(R161="unavailable",T161="unavailable"),"不可评价",IF(AND(OR(R161="positive",R161="equivocal"),OR(T161="positive",T161="equivocal")),"a",IF(OR(T161="positive",T161="equivocal"),"b",IF(OR(R161="positive",R161="equivocal"),"c","d"))))</x:f>
        <x:v>d</x:v>
      </x:c>
      <x:c r="AD161" s="12" t="str">
        <x:f>IF(OR(R161="unavailable",T161="unavailable"),"不可评价",IF(AND(R161="positive",T161="positive"),"a",IF(T161="positive","b",IF(R161="positive","c","d"))))</x:f>
        <x:v>d</x:v>
      </x:c>
      <x:c r="AE161" s="12" t="str">
        <x:f>IF(OR(W161="unavailable",Y161="unavailable"),"不可评价",IF(AND(OR(W161="positive",W161="equivocal"),OR(Y161="positive",Y161="equivocal")),"a",IF(OR(Y161="positive",Y161="equivocal"),"b",IF(OR(W161="positive",W161="equivocal"),"c","d"))))</x:f>
        <x:v>d</x:v>
      </x:c>
      <x:c r="AF161" s="12" t="str">
        <x:f>IF(OR(W161="unavailable",Y161="unavailable"),"不可评价",IF(AND(W161="positive",Y161="positive"),"a",IF(Y161="positive","b",IF(W161="positive","c","d"))))</x:f>
        <x:v>d</x:v>
      </x:c>
    </x:row>
    <x:row r="162" ht="24" customHeight="1">
      <x:c r="A162" s="12" t="str">
        <x:v>1268</x:v>
      </x:c>
      <x:c r="B162" s="12" t="str">
        <x:v>17735</x:v>
      </x:c>
      <x:c r="C162" s="21" t="n">
        <x:v>32116.3290625</x:v>
      </x:c>
      <x:c r="D162" s="12" t="n">
        <x:v>35</x:v>
      </x:c>
      <x:c r="E162" s="12" t="n">
        <x:v>0</x:v>
      </x:c>
      <x:c r="F162" s="12" t="str">
        <x:v>存在</x:v>
      </x:c>
      <x:c r="G162" s="12" t="n">
        <x:v>0</x:v>
      </x:c>
      <x:c r="H162" s="12" t="str">
        <x:v>{'NDT': 100.0, 'SR': 0.0}</x:v>
      </x:c>
      <x:c r="I162" s="12" t="str">
        <x:v>[('NSR', 100.0), ('NML', 100.0)]</x:v>
      </x:c>
      <x:c r="J162" s="12" t="str">
        <x:v>ptbxl_database.csv；ecg_id=1268；scp_codes</x:v>
      </x:c>
      <x:c r="K162" s="12" t="str">
        <x:v>12sl_statements.csv；ecg_id=1268；statements_ext_snomed</x:v>
      </x:c>
      <x:c r="L162" s="12"/>
      <x:c r="M162" s="12" t="str">
        <x:v>negative</x:v>
      </x:c>
      <x:c r="N162" s="12"/>
      <x:c r="O162" s="12" t="str">
        <x:v>negative</x:v>
      </x:c>
      <x:c r="P162" s="12" t="str">
        <x:f>IF(OR(M162="unavailable",O162="unavailable"),"不可评价",IF(OR(M162="equivocal",O162="equivocal"),"疑似",IF(AND(M162="positive",O162="positive"),"a",IF(O162="positive","b",IF(M162="positive","c","d")))))</x:f>
        <x:v>d</x:v>
      </x:c>
      <x:c r="Q162" s="12"/>
      <x:c r="R162" s="12" t="str">
        <x:v>negative</x:v>
      </x:c>
      <x:c r="S162" s="12"/>
      <x:c r="T162" s="12" t="str">
        <x:v>negative</x:v>
      </x:c>
      <x:c r="U162" s="12" t="str">
        <x:f>IF(OR(R162="unavailable",T162="unavailable"),"不可评价",IF(OR(R162="equivocal",T162="equivocal"),"疑似",IF(AND(R162="positive",T162="positive"),"a",IF(T162="positive","b",IF(R162="positive","c","d")))))</x:f>
        <x:v>d</x:v>
      </x:c>
      <x:c r="V162" s="12"/>
      <x:c r="W162" s="12" t="str">
        <x:v>negative</x:v>
      </x:c>
      <x:c r="X162" s="12"/>
      <x:c r="Y162" s="12" t="str">
        <x:v>negative</x:v>
      </x:c>
      <x:c r="Z162" s="12" t="str">
        <x:f>IF(OR(W162="unavailable",Y162="unavailable"),"不可评价",IF(OR(W162="equivocal",Y162="equivocal"),"疑似",IF(AND(W162="positive",Y162="positive"),"a",IF(Y162="positive","b",IF(W162="positive","c","d")))))</x:f>
        <x:v>d</x:v>
      </x:c>
      <x:c r="AA162" s="12" t="str">
        <x:f>IF(OR(M162="unavailable",O162="unavailable"),"不可评价",IF(AND(OR(M162="positive",M162="equivocal"),OR(O162="positive",O162="equivocal")),"a",IF(OR(O162="positive",O162="equivocal"),"b",IF(OR(M162="positive",M162="equivocal"),"c","d"))))</x:f>
        <x:v>d</x:v>
      </x:c>
      <x:c r="AB162" s="12" t="str">
        <x:f>IF(OR(M162="unavailable",O162="unavailable"),"不可评价",IF(AND(M162="positive",O162="positive"),"a",IF(O162="positive","b",IF(M162="positive","c","d"))))</x:f>
        <x:v>d</x:v>
      </x:c>
      <x:c r="AC162" s="12" t="str">
        <x:f>IF(OR(R162="unavailable",T162="unavailable"),"不可评价",IF(AND(OR(R162="positive",R162="equivocal"),OR(T162="positive",T162="equivocal")),"a",IF(OR(T162="positive",T162="equivocal"),"b",IF(OR(R162="positive",R162="equivocal"),"c","d"))))</x:f>
        <x:v>d</x:v>
      </x:c>
      <x:c r="AD162" s="12" t="str">
        <x:f>IF(OR(R162="unavailable",T162="unavailable"),"不可评价",IF(AND(R162="positive",T162="positive"),"a",IF(T162="positive","b",IF(R162="positive","c","d"))))</x:f>
        <x:v>d</x:v>
      </x:c>
      <x:c r="AE162" s="12" t="str">
        <x:f>IF(OR(W162="unavailable",Y162="unavailable"),"不可评价",IF(AND(OR(W162="positive",W162="equivocal"),OR(Y162="positive",Y162="equivocal")),"a",IF(OR(Y162="positive",Y162="equivocal"),"b",IF(OR(W162="positive",W162="equivocal"),"c","d"))))</x:f>
        <x:v>d</x:v>
      </x:c>
      <x:c r="AF162" s="12" t="str">
        <x:f>IF(OR(W162="unavailable",Y162="unavailable"),"不可评价",IF(AND(W162="positive",Y162="positive"),"a",IF(Y162="positive","b",IF(W162="positive","c","d"))))</x:f>
        <x:v>d</x:v>
      </x:c>
    </x:row>
    <x:row r="163" ht="39" customHeight="1">
      <x:c r="A163" s="12" t="str">
        <x:v>1275</x:v>
      </x:c>
      <x:c r="B163" s="12" t="str">
        <x:v>9170</x:v>
      </x:c>
      <x:c r="C163" s="21" t="n">
        <x:v>32122.219467592593</x:v>
      </x:c>
      <x:c r="D163" s="12" t="n">
        <x:v>79</x:v>
      </x:c>
      <x:c r="E163" s="12" t="n">
        <x:v>0</x:v>
      </x:c>
      <x:c r="F163" s="12" t="str">
        <x:v>存在</x:v>
      </x:c>
      <x:c r="G163" s="12" t="n">
        <x:v>1</x:v>
      </x:c>
      <x:c r="H163" s="12" t="str">
        <x:v>{'ASMI': 100.0, 'PVC': 100.0, 'AFIB': 0.0}</x:v>
      </x:c>
      <x:c r="I163" s="12" t="str">
        <x:v>[('AFIB', 100.0), ('ABER', 100.0), ('ASMI;AU', 100.0), ('ISBINJ', 100.0), ('AB', 100.0)]</x:v>
      </x:c>
      <x:c r="J163" s="12" t="str">
        <x:v>ptbxl_database.csv；ecg_id=1275；scp_codes</x:v>
      </x:c>
      <x:c r="K163" s="12" t="str">
        <x:v>12sl_statements.csv；ecg_id=1275；statements_ext_snomed</x:v>
      </x:c>
      <x:c r="L163" s="12" t="n">
        <x:v>0</x:v>
      </x:c>
      <x:c r="M163" s="12" t="str">
        <x:v>positive</x:v>
      </x:c>
      <x:c r="N163" s="12" t="n">
        <x:v>100</x:v>
      </x:c>
      <x:c r="O163" s="12" t="str">
        <x:v>positive</x:v>
      </x:c>
      <x:c r="P163" s="12" t="str">
        <x:f>IF(OR(M163="unavailable",O163="unavailable"),"不可评价",IF(OR(M163="equivocal",O163="equivocal"),"疑似",IF(AND(M163="positive",O163="positive"),"a",IF(O163="positive","b",IF(M163="positive","c","d")))))</x:f>
        <x:v>a</x:v>
      </x:c>
      <x:c r="Q163" s="12"/>
      <x:c r="R163" s="12" t="str">
        <x:v>negative</x:v>
      </x:c>
      <x:c r="S163" s="12"/>
      <x:c r="T163" s="12" t="str">
        <x:v>negative</x:v>
      </x:c>
      <x:c r="U163" s="12" t="str">
        <x:f>IF(OR(R163="unavailable",T163="unavailable"),"不可评价",IF(OR(R163="equivocal",T163="equivocal"),"疑似",IF(AND(R163="positive",T163="positive"),"a",IF(T163="positive","b",IF(R163="positive","c","d")))))</x:f>
        <x:v>d</x:v>
      </x:c>
      <x:c r="V163" s="12"/>
      <x:c r="W163" s="12" t="str">
        <x:v>negative</x:v>
      </x:c>
      <x:c r="X163" s="12"/>
      <x:c r="Y163" s="12" t="str">
        <x:v>negative</x:v>
      </x:c>
      <x:c r="Z163" s="12" t="str">
        <x:f>IF(OR(W163="unavailable",Y163="unavailable"),"不可评价",IF(OR(W163="equivocal",Y163="equivocal"),"疑似",IF(AND(W163="positive",Y163="positive"),"a",IF(Y163="positive","b",IF(W163="positive","c","d")))))</x:f>
        <x:v>d</x:v>
      </x:c>
      <x:c r="AA163" s="12" t="str">
        <x:f>IF(OR(M163="unavailable",O163="unavailable"),"不可评价",IF(AND(OR(M163="positive",M163="equivocal"),OR(O163="positive",O163="equivocal")),"a",IF(OR(O163="positive",O163="equivocal"),"b",IF(OR(M163="positive",M163="equivocal"),"c","d"))))</x:f>
        <x:v>a</x:v>
      </x:c>
      <x:c r="AB163" s="12" t="str">
        <x:f>IF(OR(M163="unavailable",O163="unavailable"),"不可评价",IF(AND(M163="positive",O163="positive"),"a",IF(O163="positive","b",IF(M163="positive","c","d"))))</x:f>
        <x:v>a</x:v>
      </x:c>
      <x:c r="AC163" s="12" t="str">
        <x:f>IF(OR(R163="unavailable",T163="unavailable"),"不可评价",IF(AND(OR(R163="positive",R163="equivocal"),OR(T163="positive",T163="equivocal")),"a",IF(OR(T163="positive",T163="equivocal"),"b",IF(OR(R163="positive",R163="equivocal"),"c","d"))))</x:f>
        <x:v>d</x:v>
      </x:c>
      <x:c r="AD163" s="12" t="str">
        <x:f>IF(OR(R163="unavailable",T163="unavailable"),"不可评价",IF(AND(R163="positive",T163="positive"),"a",IF(T163="positive","b",IF(R163="positive","c","d"))))</x:f>
        <x:v>d</x:v>
      </x:c>
      <x:c r="AE163" s="12" t="str">
        <x:f>IF(OR(W163="unavailable",Y163="unavailable"),"不可评价",IF(AND(OR(W163="positive",W163="equivocal"),OR(Y163="positive",Y163="equivocal")),"a",IF(OR(Y163="positive",Y163="equivocal"),"b",IF(OR(W163="positive",W163="equivocal"),"c","d"))))</x:f>
        <x:v>d</x:v>
      </x:c>
      <x:c r="AF163" s="12" t="str">
        <x:f>IF(OR(W163="unavailable",Y163="unavailable"),"不可评价",IF(AND(W163="positive",Y163="positive"),"a",IF(Y163="positive","b",IF(W163="positive","c","d"))))</x:f>
        <x:v>d</x:v>
      </x:c>
    </x:row>
    <x:row r="164" ht="24" customHeight="1">
      <x:c r="A164" s="12" t="str">
        <x:v>1280</x:v>
      </x:c>
      <x:c r="B164" s="12" t="str">
        <x:v>14661</x:v>
      </x:c>
      <x:c r="C164" s="21" t="n">
        <x:v>32124.377743055556</x:v>
      </x:c>
      <x:c r="D164" s="12" t="n">
        <x:v>19</x:v>
      </x:c>
      <x:c r="E164" s="12" t="n">
        <x:v>1</x:v>
      </x:c>
      <x:c r="F164" s="12" t="str">
        <x:v>存在</x:v>
      </x:c>
      <x:c r="G164" s="12" t="n">
        <x:v>1</x:v>
      </x:c>
      <x:c r="H164" s="12" t="str">
        <x:v>{'NORM': 100.0, 'SR': 0.0}</x:v>
      </x:c>
      <x:c r="I164" s="12" t="str">
        <x:v>[('NSR', 100.0), ('NML', 100.0)]</x:v>
      </x:c>
      <x:c r="J164" s="12" t="str">
        <x:v>ptbxl_database.csv；ecg_id=1280；scp_codes</x:v>
      </x:c>
      <x:c r="K164" s="12" t="str">
        <x:v>12sl_statements.csv；ecg_id=1280；statements_ext_snomed</x:v>
      </x:c>
      <x:c r="L164" s="12"/>
      <x:c r="M164" s="12" t="str">
        <x:v>negative</x:v>
      </x:c>
      <x:c r="N164" s="12"/>
      <x:c r="O164" s="12" t="str">
        <x:v>negative</x:v>
      </x:c>
      <x:c r="P164" s="12" t="str">
        <x:f>IF(OR(M164="unavailable",O164="unavailable"),"不可评价",IF(OR(M164="equivocal",O164="equivocal"),"疑似",IF(AND(M164="positive",O164="positive"),"a",IF(O164="positive","b",IF(M164="positive","c","d")))))</x:f>
        <x:v>d</x:v>
      </x:c>
      <x:c r="Q164" s="12"/>
      <x:c r="R164" s="12" t="str">
        <x:v>negative</x:v>
      </x:c>
      <x:c r="S164" s="12"/>
      <x:c r="T164" s="12" t="str">
        <x:v>negative</x:v>
      </x:c>
      <x:c r="U164" s="12" t="str">
        <x:f>IF(OR(R164="unavailable",T164="unavailable"),"不可评价",IF(OR(R164="equivocal",T164="equivocal"),"疑似",IF(AND(R164="positive",T164="positive"),"a",IF(T164="positive","b",IF(R164="positive","c","d")))))</x:f>
        <x:v>d</x:v>
      </x:c>
      <x:c r="V164" s="12"/>
      <x:c r="W164" s="12" t="str">
        <x:v>negative</x:v>
      </x:c>
      <x:c r="X164" s="12"/>
      <x:c r="Y164" s="12" t="str">
        <x:v>negative</x:v>
      </x:c>
      <x:c r="Z164" s="12" t="str">
        <x:f>IF(OR(W164="unavailable",Y164="unavailable"),"不可评价",IF(OR(W164="equivocal",Y164="equivocal"),"疑似",IF(AND(W164="positive",Y164="positive"),"a",IF(Y164="positive","b",IF(W164="positive","c","d")))))</x:f>
        <x:v>d</x:v>
      </x:c>
      <x:c r="AA164" s="12" t="str">
        <x:f>IF(OR(M164="unavailable",O164="unavailable"),"不可评价",IF(AND(OR(M164="positive",M164="equivocal"),OR(O164="positive",O164="equivocal")),"a",IF(OR(O164="positive",O164="equivocal"),"b",IF(OR(M164="positive",M164="equivocal"),"c","d"))))</x:f>
        <x:v>d</x:v>
      </x:c>
      <x:c r="AB164" s="12" t="str">
        <x:f>IF(OR(M164="unavailable",O164="unavailable"),"不可评价",IF(AND(M164="positive",O164="positive"),"a",IF(O164="positive","b",IF(M164="positive","c","d"))))</x:f>
        <x:v>d</x:v>
      </x:c>
      <x:c r="AC164" s="12" t="str">
        <x:f>IF(OR(R164="unavailable",T164="unavailable"),"不可评价",IF(AND(OR(R164="positive",R164="equivocal"),OR(T164="positive",T164="equivocal")),"a",IF(OR(T164="positive",T164="equivocal"),"b",IF(OR(R164="positive",R164="equivocal"),"c","d"))))</x:f>
        <x:v>d</x:v>
      </x:c>
      <x:c r="AD164" s="12" t="str">
        <x:f>IF(OR(R164="unavailable",T164="unavailable"),"不可评价",IF(AND(R164="positive",T164="positive"),"a",IF(T164="positive","b",IF(R164="positive","c","d"))))</x:f>
        <x:v>d</x:v>
      </x:c>
      <x:c r="AE164" s="12" t="str">
        <x:f>IF(OR(W164="unavailable",Y164="unavailable"),"不可评价",IF(AND(OR(W164="positive",W164="equivocal"),OR(Y164="positive",Y164="equivocal")),"a",IF(OR(Y164="positive",Y164="equivocal"),"b",IF(OR(W164="positive",W164="equivocal"),"c","d"))))</x:f>
        <x:v>d</x:v>
      </x:c>
      <x:c r="AF164" s="12" t="str">
        <x:f>IF(OR(W164="unavailable",Y164="unavailable"),"不可评价",IF(AND(W164="positive",Y164="positive"),"a",IF(Y164="positive","b",IF(W164="positive","c","d"))))</x:f>
        <x:v>d</x:v>
      </x:c>
    </x:row>
    <x:row r="165" ht="24" customHeight="1">
      <x:c r="A165" s="12" t="str">
        <x:v>1282</x:v>
      </x:c>
      <x:c r="B165" s="12" t="str">
        <x:v>9760</x:v>
      </x:c>
      <x:c r="C165" s="21" t="n">
        <x:v>32126.54824074074</x:v>
      </x:c>
      <x:c r="D165" s="12" t="n">
        <x:v>18</x:v>
      </x:c>
      <x:c r="E165" s="12" t="n">
        <x:v>1</x:v>
      </x:c>
      <x:c r="F165" s="12" t="str">
        <x:v>存在</x:v>
      </x:c>
      <x:c r="G165" s="12" t="n">
        <x:v>1</x:v>
      </x:c>
      <x:c r="H165" s="12" t="str">
        <x:v>{'NORM': 80.0, 'SARRH': 0.0}</x:v>
      </x:c>
      <x:c r="I165" s="12" t="str">
        <x:v>[('NSR', 100.0), ('SAR', 100.0), ('NML', 100.0)]</x:v>
      </x:c>
      <x:c r="J165" s="12" t="str">
        <x:v>ptbxl_database.csv；ecg_id=1282；scp_codes</x:v>
      </x:c>
      <x:c r="K165" s="12" t="str">
        <x:v>12sl_statements.csv；ecg_id=1282；statements_ext_snomed</x:v>
      </x:c>
      <x:c r="L165" s="12"/>
      <x:c r="M165" s="12" t="str">
        <x:v>negative</x:v>
      </x:c>
      <x:c r="N165" s="12"/>
      <x:c r="O165" s="12" t="str">
        <x:v>negative</x:v>
      </x:c>
      <x:c r="P165" s="12" t="str">
        <x:f>IF(OR(M165="unavailable",O165="unavailable"),"不可评价",IF(OR(M165="equivocal",O165="equivocal"),"疑似",IF(AND(M165="positive",O165="positive"),"a",IF(O165="positive","b",IF(M165="positive","c","d")))))</x:f>
        <x:v>d</x:v>
      </x:c>
      <x:c r="Q165" s="12"/>
      <x:c r="R165" s="12" t="str">
        <x:v>negative</x:v>
      </x:c>
      <x:c r="S165" s="12"/>
      <x:c r="T165" s="12" t="str">
        <x:v>negative</x:v>
      </x:c>
      <x:c r="U165" s="12" t="str">
        <x:f>IF(OR(R165="unavailable",T165="unavailable"),"不可评价",IF(OR(R165="equivocal",T165="equivocal"),"疑似",IF(AND(R165="positive",T165="positive"),"a",IF(T165="positive","b",IF(R165="positive","c","d")))))</x:f>
        <x:v>d</x:v>
      </x:c>
      <x:c r="V165" s="12"/>
      <x:c r="W165" s="12" t="str">
        <x:v>negative</x:v>
      </x:c>
      <x:c r="X165" s="12"/>
      <x:c r="Y165" s="12" t="str">
        <x:v>negative</x:v>
      </x:c>
      <x:c r="Z165" s="12" t="str">
        <x:f>IF(OR(W165="unavailable",Y165="unavailable"),"不可评价",IF(OR(W165="equivocal",Y165="equivocal"),"疑似",IF(AND(W165="positive",Y165="positive"),"a",IF(Y165="positive","b",IF(W165="positive","c","d")))))</x:f>
        <x:v>d</x:v>
      </x:c>
      <x:c r="AA165" s="12" t="str">
        <x:f>IF(OR(M165="unavailable",O165="unavailable"),"不可评价",IF(AND(OR(M165="positive",M165="equivocal"),OR(O165="positive",O165="equivocal")),"a",IF(OR(O165="positive",O165="equivocal"),"b",IF(OR(M165="positive",M165="equivocal"),"c","d"))))</x:f>
        <x:v>d</x:v>
      </x:c>
      <x:c r="AB165" s="12" t="str">
        <x:f>IF(OR(M165="unavailable",O165="unavailable"),"不可评价",IF(AND(M165="positive",O165="positive"),"a",IF(O165="positive","b",IF(M165="positive","c","d"))))</x:f>
        <x:v>d</x:v>
      </x:c>
      <x:c r="AC165" s="12" t="str">
        <x:f>IF(OR(R165="unavailable",T165="unavailable"),"不可评价",IF(AND(OR(R165="positive",R165="equivocal"),OR(T165="positive",T165="equivocal")),"a",IF(OR(T165="positive",T165="equivocal"),"b",IF(OR(R165="positive",R165="equivocal"),"c","d"))))</x:f>
        <x:v>d</x:v>
      </x:c>
      <x:c r="AD165" s="12" t="str">
        <x:f>IF(OR(R165="unavailable",T165="unavailable"),"不可评价",IF(AND(R165="positive",T165="positive"),"a",IF(T165="positive","b",IF(R165="positive","c","d"))))</x:f>
        <x:v>d</x:v>
      </x:c>
      <x:c r="AE165" s="12" t="str">
        <x:f>IF(OR(W165="unavailable",Y165="unavailable"),"不可评价",IF(AND(OR(W165="positive",W165="equivocal"),OR(Y165="positive",Y165="equivocal")),"a",IF(OR(Y165="positive",Y165="equivocal"),"b",IF(OR(W165="positive",W165="equivocal"),"c","d"))))</x:f>
        <x:v>d</x:v>
      </x:c>
      <x:c r="AF165" s="12" t="str">
        <x:f>IF(OR(W165="unavailable",Y165="unavailable"),"不可评价",IF(AND(W165="positive",Y165="positive"),"a",IF(Y165="positive","b",IF(W165="positive","c","d"))))</x:f>
        <x:v>d</x:v>
      </x:c>
    </x:row>
    <x:row r="166" ht="24" customHeight="1">
      <x:c r="A166" s="12" t="str">
        <x:v>1287</x:v>
      </x:c>
      <x:c r="B166" s="12" t="str">
        <x:v>20417</x:v>
      </x:c>
      <x:c r="C166" s="21" t="n">
        <x:v>32131.39054398148</x:v>
      </x:c>
      <x:c r="D166" s="12" t="n">
        <x:v>51</x:v>
      </x:c>
      <x:c r="E166" s="12" t="n">
        <x:v>0</x:v>
      </x:c>
      <x:c r="F166" s="12" t="str">
        <x:v>未记录</x:v>
      </x:c>
      <x:c r="G166" s="12" t="n">
        <x:v>1</x:v>
      </x:c>
      <x:c r="H166" s="12" t="str">
        <x:v>{'NORM': 100.0, 'SR': 0.0}</x:v>
      </x:c>
      <x:c r="I166" s="12" t="str">
        <x:v>[('NSR', 100.0), ('NML', 100.0)]</x:v>
      </x:c>
      <x:c r="J166" s="12" t="str">
        <x:v>ptbxl_database.csv；ecg_id=1287；scp_codes</x:v>
      </x:c>
      <x:c r="K166" s="12" t="str">
        <x:v>12sl_statements.csv；ecg_id=1287；statements_ext_snomed</x:v>
      </x:c>
      <x:c r="L166" s="12"/>
      <x:c r="M166" s="12" t="str">
        <x:v>negative</x:v>
      </x:c>
      <x:c r="N166" s="12"/>
      <x:c r="O166" s="12" t="str">
        <x:v>negative</x:v>
      </x:c>
      <x:c r="P166" s="12" t="str">
        <x:f>IF(OR(M166="unavailable",O166="unavailable"),"不可评价",IF(OR(M166="equivocal",O166="equivocal"),"疑似",IF(AND(M166="positive",O166="positive"),"a",IF(O166="positive","b",IF(M166="positive","c","d")))))</x:f>
        <x:v>d</x:v>
      </x:c>
      <x:c r="Q166" s="12"/>
      <x:c r="R166" s="12" t="str">
        <x:v>negative</x:v>
      </x:c>
      <x:c r="S166" s="12"/>
      <x:c r="T166" s="12" t="str">
        <x:v>negative</x:v>
      </x:c>
      <x:c r="U166" s="12" t="str">
        <x:f>IF(OR(R166="unavailable",T166="unavailable"),"不可评价",IF(OR(R166="equivocal",T166="equivocal"),"疑似",IF(AND(R166="positive",T166="positive"),"a",IF(T166="positive","b",IF(R166="positive","c","d")))))</x:f>
        <x:v>d</x:v>
      </x:c>
      <x:c r="V166" s="12"/>
      <x:c r="W166" s="12" t="str">
        <x:v>negative</x:v>
      </x:c>
      <x:c r="X166" s="12"/>
      <x:c r="Y166" s="12" t="str">
        <x:v>negative</x:v>
      </x:c>
      <x:c r="Z166" s="12" t="str">
        <x:f>IF(OR(W166="unavailable",Y166="unavailable"),"不可评价",IF(OR(W166="equivocal",Y166="equivocal"),"疑似",IF(AND(W166="positive",Y166="positive"),"a",IF(Y166="positive","b",IF(W166="positive","c","d")))))</x:f>
        <x:v>d</x:v>
      </x:c>
      <x:c r="AA166" s="12" t="str">
        <x:f>IF(OR(M166="unavailable",O166="unavailable"),"不可评价",IF(AND(OR(M166="positive",M166="equivocal"),OR(O166="positive",O166="equivocal")),"a",IF(OR(O166="positive",O166="equivocal"),"b",IF(OR(M166="positive",M166="equivocal"),"c","d"))))</x:f>
        <x:v>d</x:v>
      </x:c>
      <x:c r="AB166" s="12" t="str">
        <x:f>IF(OR(M166="unavailable",O166="unavailable"),"不可评价",IF(AND(M166="positive",O166="positive"),"a",IF(O166="positive","b",IF(M166="positive","c","d"))))</x:f>
        <x:v>d</x:v>
      </x:c>
      <x:c r="AC166" s="12" t="str">
        <x:f>IF(OR(R166="unavailable",T166="unavailable"),"不可评价",IF(AND(OR(R166="positive",R166="equivocal"),OR(T166="positive",T166="equivocal")),"a",IF(OR(T166="positive",T166="equivocal"),"b",IF(OR(R166="positive",R166="equivocal"),"c","d"))))</x:f>
        <x:v>d</x:v>
      </x:c>
      <x:c r="AD166" s="12" t="str">
        <x:f>IF(OR(R166="unavailable",T166="unavailable"),"不可评价",IF(AND(R166="positive",T166="positive"),"a",IF(T166="positive","b",IF(R166="positive","c","d"))))</x:f>
        <x:v>d</x:v>
      </x:c>
      <x:c r="AE166" s="12" t="str">
        <x:f>IF(OR(W166="unavailable",Y166="unavailable"),"不可评价",IF(AND(OR(W166="positive",W166="equivocal"),OR(Y166="positive",Y166="equivocal")),"a",IF(OR(Y166="positive",Y166="equivocal"),"b",IF(OR(W166="positive",W166="equivocal"),"c","d"))))</x:f>
        <x:v>d</x:v>
      </x:c>
      <x:c r="AF166" s="12" t="str">
        <x:f>IF(OR(W166="unavailable",Y166="unavailable"),"不可评价",IF(AND(W166="positive",Y166="positive"),"a",IF(Y166="positive","b",IF(W166="positive","c","d"))))</x:f>
        <x:v>d</x:v>
      </x:c>
    </x:row>
    <x:row r="167" ht="24" customHeight="1">
      <x:c r="A167" s="12" t="str">
        <x:v>1307</x:v>
      </x:c>
      <x:c r="B167" s="12" t="str">
        <x:v>18133</x:v>
      </x:c>
      <x:c r="C167" s="21" t="n">
        <x:v>32164.359305555554</x:v>
      </x:c>
      <x:c r="D167" s="12" t="n">
        <x:v>26</x:v>
      </x:c>
      <x:c r="E167" s="12" t="n">
        <x:v>0</x:v>
      </x:c>
      <x:c r="F167" s="12" t="str">
        <x:v>未记录</x:v>
      </x:c>
      <x:c r="G167" s="12" t="n">
        <x:v>1</x:v>
      </x:c>
      <x:c r="H167" s="12" t="str">
        <x:v>{'LVH': 50.0, 'VCLVH': 0.0, 'SR': 0.0}</x:v>
      </x:c>
      <x:c r="I167" s="12" t="str">
        <x:v>[('NSR', 100.0), ('REPOL', 100.0), ('BORDE', 100.0)]</x:v>
      </x:c>
      <x:c r="J167" s="12" t="str">
        <x:v>ptbxl_database.csv；ecg_id=1307；scp_codes</x:v>
      </x:c>
      <x:c r="K167" s="12" t="str">
        <x:v>12sl_statements.csv；ecg_id=1307；statements_ext_snomed</x:v>
      </x:c>
      <x:c r="L167" s="12"/>
      <x:c r="M167" s="12" t="str">
        <x:v>negative</x:v>
      </x:c>
      <x:c r="N167" s="12"/>
      <x:c r="O167" s="12" t="str">
        <x:v>negative</x:v>
      </x:c>
      <x:c r="P167" s="12" t="str">
        <x:f>IF(OR(M167="unavailable",O167="unavailable"),"不可评价",IF(OR(M167="equivocal",O167="equivocal"),"疑似",IF(AND(M167="positive",O167="positive"),"a",IF(O167="positive","b",IF(M167="positive","c","d")))))</x:f>
        <x:v>d</x:v>
      </x:c>
      <x:c r="Q167" s="12"/>
      <x:c r="R167" s="12" t="str">
        <x:v>negative</x:v>
      </x:c>
      <x:c r="S167" s="12"/>
      <x:c r="T167" s="12" t="str">
        <x:v>negative</x:v>
      </x:c>
      <x:c r="U167" s="12" t="str">
        <x:f>IF(OR(R167="unavailable",T167="unavailable"),"不可评价",IF(OR(R167="equivocal",T167="equivocal"),"疑似",IF(AND(R167="positive",T167="positive"),"a",IF(T167="positive","b",IF(R167="positive","c","d")))))</x:f>
        <x:v>d</x:v>
      </x:c>
      <x:c r="V167" s="12"/>
      <x:c r="W167" s="12" t="str">
        <x:v>negative</x:v>
      </x:c>
      <x:c r="X167" s="12"/>
      <x:c r="Y167" s="12" t="str">
        <x:v>negative</x:v>
      </x:c>
      <x:c r="Z167" s="12" t="str">
        <x:f>IF(OR(W167="unavailable",Y167="unavailable"),"不可评价",IF(OR(W167="equivocal",Y167="equivocal"),"疑似",IF(AND(W167="positive",Y167="positive"),"a",IF(Y167="positive","b",IF(W167="positive","c","d")))))</x:f>
        <x:v>d</x:v>
      </x:c>
      <x:c r="AA167" s="12" t="str">
        <x:f>IF(OR(M167="unavailable",O167="unavailable"),"不可评价",IF(AND(OR(M167="positive",M167="equivocal"),OR(O167="positive",O167="equivocal")),"a",IF(OR(O167="positive",O167="equivocal"),"b",IF(OR(M167="positive",M167="equivocal"),"c","d"))))</x:f>
        <x:v>d</x:v>
      </x:c>
      <x:c r="AB167" s="12" t="str">
        <x:f>IF(OR(M167="unavailable",O167="unavailable"),"不可评价",IF(AND(M167="positive",O167="positive"),"a",IF(O167="positive","b",IF(M167="positive","c","d"))))</x:f>
        <x:v>d</x:v>
      </x:c>
      <x:c r="AC167" s="12" t="str">
        <x:f>IF(OR(R167="unavailable",T167="unavailable"),"不可评价",IF(AND(OR(R167="positive",R167="equivocal"),OR(T167="positive",T167="equivocal")),"a",IF(OR(T167="positive",T167="equivocal"),"b",IF(OR(R167="positive",R167="equivocal"),"c","d"))))</x:f>
        <x:v>d</x:v>
      </x:c>
      <x:c r="AD167" s="12" t="str">
        <x:f>IF(OR(R167="unavailable",T167="unavailable"),"不可评价",IF(AND(R167="positive",T167="positive"),"a",IF(T167="positive","b",IF(R167="positive","c","d"))))</x:f>
        <x:v>d</x:v>
      </x:c>
      <x:c r="AE167" s="12" t="str">
        <x:f>IF(OR(W167="unavailable",Y167="unavailable"),"不可评价",IF(AND(OR(W167="positive",W167="equivocal"),OR(Y167="positive",Y167="equivocal")),"a",IF(OR(Y167="positive",Y167="equivocal"),"b",IF(OR(W167="positive",W167="equivocal"),"c","d"))))</x:f>
        <x:v>d</x:v>
      </x:c>
      <x:c r="AF167" s="12" t="str">
        <x:f>IF(OR(W167="unavailable",Y167="unavailable"),"不可评价",IF(AND(W167="positive",Y167="positive"),"a",IF(Y167="positive","b",IF(W167="positive","c","d"))))</x:f>
        <x:v>d</x:v>
      </x:c>
    </x:row>
    <x:row r="168" ht="24" customHeight="1">
      <x:c r="A168" s="12" t="str">
        <x:v>1311</x:v>
      </x:c>
      <x:c r="B168" s="12" t="str">
        <x:v>17508</x:v>
      </x:c>
      <x:c r="C168" s="21" t="n">
        <x:v>32165.4315625</x:v>
      </x:c>
      <x:c r="D168" s="12" t="n">
        <x:v>19</x:v>
      </x:c>
      <x:c r="E168" s="12" t="n">
        <x:v>1</x:v>
      </x:c>
      <x:c r="F168" s="12" t="str">
        <x:v>存在</x:v>
      </x:c>
      <x:c r="G168" s="12" t="n">
        <x:v>1</x:v>
      </x:c>
      <x:c r="H168" s="12" t="str">
        <x:v>{'NORM': 100.0, 'SR': 0.0}</x:v>
      </x:c>
      <x:c r="I168" s="12" t="str">
        <x:v>[('NSR', 100.0), ('NML', 100.0)]</x:v>
      </x:c>
      <x:c r="J168" s="12" t="str">
        <x:v>ptbxl_database.csv；ecg_id=1311；scp_codes</x:v>
      </x:c>
      <x:c r="K168" s="12" t="str">
        <x:v>12sl_statements.csv；ecg_id=1311；statements_ext_snomed</x:v>
      </x:c>
      <x:c r="L168" s="12"/>
      <x:c r="M168" s="12" t="str">
        <x:v>negative</x:v>
      </x:c>
      <x:c r="N168" s="12"/>
      <x:c r="O168" s="12" t="str">
        <x:v>negative</x:v>
      </x:c>
      <x:c r="P168" s="12" t="str">
        <x:f>IF(OR(M168="unavailable",O168="unavailable"),"不可评价",IF(OR(M168="equivocal",O168="equivocal"),"疑似",IF(AND(M168="positive",O168="positive"),"a",IF(O168="positive","b",IF(M168="positive","c","d")))))</x:f>
        <x:v>d</x:v>
      </x:c>
      <x:c r="Q168" s="12"/>
      <x:c r="R168" s="12" t="str">
        <x:v>negative</x:v>
      </x:c>
      <x:c r="S168" s="12"/>
      <x:c r="T168" s="12" t="str">
        <x:v>negative</x:v>
      </x:c>
      <x:c r="U168" s="12" t="str">
        <x:f>IF(OR(R168="unavailable",T168="unavailable"),"不可评价",IF(OR(R168="equivocal",T168="equivocal"),"疑似",IF(AND(R168="positive",T168="positive"),"a",IF(T168="positive","b",IF(R168="positive","c","d")))))</x:f>
        <x:v>d</x:v>
      </x:c>
      <x:c r="V168" s="12"/>
      <x:c r="W168" s="12" t="str">
        <x:v>negative</x:v>
      </x:c>
      <x:c r="X168" s="12"/>
      <x:c r="Y168" s="12" t="str">
        <x:v>negative</x:v>
      </x:c>
      <x:c r="Z168" s="12" t="str">
        <x:f>IF(OR(W168="unavailable",Y168="unavailable"),"不可评价",IF(OR(W168="equivocal",Y168="equivocal"),"疑似",IF(AND(W168="positive",Y168="positive"),"a",IF(Y168="positive","b",IF(W168="positive","c","d")))))</x:f>
        <x:v>d</x:v>
      </x:c>
      <x:c r="AA168" s="12" t="str">
        <x:f>IF(OR(M168="unavailable",O168="unavailable"),"不可评价",IF(AND(OR(M168="positive",M168="equivocal"),OR(O168="positive",O168="equivocal")),"a",IF(OR(O168="positive",O168="equivocal"),"b",IF(OR(M168="positive",M168="equivocal"),"c","d"))))</x:f>
        <x:v>d</x:v>
      </x:c>
      <x:c r="AB168" s="12" t="str">
        <x:f>IF(OR(M168="unavailable",O168="unavailable"),"不可评价",IF(AND(M168="positive",O168="positive"),"a",IF(O168="positive","b",IF(M168="positive","c","d"))))</x:f>
        <x:v>d</x:v>
      </x:c>
      <x:c r="AC168" s="12" t="str">
        <x:f>IF(OR(R168="unavailable",T168="unavailable"),"不可评价",IF(AND(OR(R168="positive",R168="equivocal"),OR(T168="positive",T168="equivocal")),"a",IF(OR(T168="positive",T168="equivocal"),"b",IF(OR(R168="positive",R168="equivocal"),"c","d"))))</x:f>
        <x:v>d</x:v>
      </x:c>
      <x:c r="AD168" s="12" t="str">
        <x:f>IF(OR(R168="unavailable",T168="unavailable"),"不可评价",IF(AND(R168="positive",T168="positive"),"a",IF(T168="positive","b",IF(R168="positive","c","d"))))</x:f>
        <x:v>d</x:v>
      </x:c>
      <x:c r="AE168" s="12" t="str">
        <x:f>IF(OR(W168="unavailable",Y168="unavailable"),"不可评价",IF(AND(OR(W168="positive",W168="equivocal"),OR(Y168="positive",Y168="equivocal")),"a",IF(OR(Y168="positive",Y168="equivocal"),"b",IF(OR(W168="positive",W168="equivocal"),"c","d"))))</x:f>
        <x:v>d</x:v>
      </x:c>
      <x:c r="AF168" s="12" t="str">
        <x:f>IF(OR(W168="unavailable",Y168="unavailable"),"不可评价",IF(AND(W168="positive",Y168="positive"),"a",IF(Y168="positive","b",IF(W168="positive","c","d"))))</x:f>
        <x:v>d</x:v>
      </x:c>
    </x:row>
    <x:row r="169" ht="24" customHeight="1">
      <x:c r="A169" s="12" t="str">
        <x:v>1315</x:v>
      </x:c>
      <x:c r="B169" s="12" t="str">
        <x:v>13702</x:v>
      </x:c>
      <x:c r="C169" s="21" t="n">
        <x:v>32167.43306712963</x:v>
      </x:c>
      <x:c r="D169" s="12" t="n">
        <x:v>25</x:v>
      </x:c>
      <x:c r="E169" s="12" t="n">
        <x:v>1</x:v>
      </x:c>
      <x:c r="F169" s="12" t="str">
        <x:v>存在</x:v>
      </x:c>
      <x:c r="G169" s="12" t="n">
        <x:v>1</x:v>
      </x:c>
      <x:c r="H169" s="12" t="str">
        <x:v>{'NORM': 100.0, 'SR': 0.0}</x:v>
      </x:c>
      <x:c r="I169" s="12" t="str">
        <x:v>[('NSR', 100.0), ('SAR', 100.0), ('NML', 100.0)]</x:v>
      </x:c>
      <x:c r="J169" s="12" t="str">
        <x:v>ptbxl_database.csv；ecg_id=1315；scp_codes</x:v>
      </x:c>
      <x:c r="K169" s="12" t="str">
        <x:v>12sl_statements.csv；ecg_id=1315；statements_ext_snomed</x:v>
      </x:c>
      <x:c r="L169" s="12"/>
      <x:c r="M169" s="12" t="str">
        <x:v>negative</x:v>
      </x:c>
      <x:c r="N169" s="12"/>
      <x:c r="O169" s="12" t="str">
        <x:v>negative</x:v>
      </x:c>
      <x:c r="P169" s="12" t="str">
        <x:f>IF(OR(M169="unavailable",O169="unavailable"),"不可评价",IF(OR(M169="equivocal",O169="equivocal"),"疑似",IF(AND(M169="positive",O169="positive"),"a",IF(O169="positive","b",IF(M169="positive","c","d")))))</x:f>
        <x:v>d</x:v>
      </x:c>
      <x:c r="Q169" s="12"/>
      <x:c r="R169" s="12" t="str">
        <x:v>negative</x:v>
      </x:c>
      <x:c r="S169" s="12"/>
      <x:c r="T169" s="12" t="str">
        <x:v>negative</x:v>
      </x:c>
      <x:c r="U169" s="12" t="str">
        <x:f>IF(OR(R169="unavailable",T169="unavailable"),"不可评价",IF(OR(R169="equivocal",T169="equivocal"),"疑似",IF(AND(R169="positive",T169="positive"),"a",IF(T169="positive","b",IF(R169="positive","c","d")))))</x:f>
        <x:v>d</x:v>
      </x:c>
      <x:c r="V169" s="12"/>
      <x:c r="W169" s="12" t="str">
        <x:v>negative</x:v>
      </x:c>
      <x:c r="X169" s="12"/>
      <x:c r="Y169" s="12" t="str">
        <x:v>negative</x:v>
      </x:c>
      <x:c r="Z169" s="12" t="str">
        <x:f>IF(OR(W169="unavailable",Y169="unavailable"),"不可评价",IF(OR(W169="equivocal",Y169="equivocal"),"疑似",IF(AND(W169="positive",Y169="positive"),"a",IF(Y169="positive","b",IF(W169="positive","c","d")))))</x:f>
        <x:v>d</x:v>
      </x:c>
      <x:c r="AA169" s="12" t="str">
        <x:f>IF(OR(M169="unavailable",O169="unavailable"),"不可评价",IF(AND(OR(M169="positive",M169="equivocal"),OR(O169="positive",O169="equivocal")),"a",IF(OR(O169="positive",O169="equivocal"),"b",IF(OR(M169="positive",M169="equivocal"),"c","d"))))</x:f>
        <x:v>d</x:v>
      </x:c>
      <x:c r="AB169" s="12" t="str">
        <x:f>IF(OR(M169="unavailable",O169="unavailable"),"不可评价",IF(AND(M169="positive",O169="positive"),"a",IF(O169="positive","b",IF(M169="positive","c","d"))))</x:f>
        <x:v>d</x:v>
      </x:c>
      <x:c r="AC169" s="12" t="str">
        <x:f>IF(OR(R169="unavailable",T169="unavailable"),"不可评价",IF(AND(OR(R169="positive",R169="equivocal"),OR(T169="positive",T169="equivocal")),"a",IF(OR(T169="positive",T169="equivocal"),"b",IF(OR(R169="positive",R169="equivocal"),"c","d"))))</x:f>
        <x:v>d</x:v>
      </x:c>
      <x:c r="AD169" s="12" t="str">
        <x:f>IF(OR(R169="unavailable",T169="unavailable"),"不可评价",IF(AND(R169="positive",T169="positive"),"a",IF(T169="positive","b",IF(R169="positive","c","d"))))</x:f>
        <x:v>d</x:v>
      </x:c>
      <x:c r="AE169" s="12" t="str">
        <x:f>IF(OR(W169="unavailable",Y169="unavailable"),"不可评价",IF(AND(OR(W169="positive",W169="equivocal"),OR(Y169="positive",Y169="equivocal")),"a",IF(OR(Y169="positive",Y169="equivocal"),"b",IF(OR(W169="positive",W169="equivocal"),"c","d"))))</x:f>
        <x:v>d</x:v>
      </x:c>
      <x:c r="AF169" s="12" t="str">
        <x:f>IF(OR(W169="unavailable",Y169="unavailable"),"不可评价",IF(AND(W169="positive",Y169="positive"),"a",IF(Y169="positive","b",IF(W169="positive","c","d"))))</x:f>
        <x:v>d</x:v>
      </x:c>
    </x:row>
    <x:row r="170" ht="39" customHeight="1">
      <x:c r="A170" s="12" t="str">
        <x:v>1320</x:v>
      </x:c>
      <x:c r="B170" s="12" t="str">
        <x:v>4332</x:v>
      </x:c>
      <x:c r="C170" s="21" t="n">
        <x:v>32170.682395833333</x:v>
      </x:c>
      <x:c r="D170" s="12" t="n">
        <x:v>80</x:v>
      </x:c>
      <x:c r="E170" s="12" t="n">
        <x:v>0</x:v>
      </x:c>
      <x:c r="F170" s="12" t="str">
        <x:v>存在</x:v>
      </x:c>
      <x:c r="G170" s="12" t="n">
        <x:v>1</x:v>
      </x:c>
      <x:c r="H170" s="12" t="str">
        <x:v>{'ASMI': 50.0, 'IMI': 15.0, 'LVH': 100.0, 'ISC_': 100.0, 'VCLVH': 0.0, 'STD_': 0.0, 'SR': 0.0}</x:v>
      </x:c>
      <x:c r="I170" s="12" t="str">
        <x:v>[('NSR', 100.0), ('LVH2', 100.0), ('2ST', 100.0), ('IMI;AU', 50.0), ('AB', 100.0)]</x:v>
      </x:c>
      <x:c r="J170" s="12" t="str">
        <x:v>ptbxl_database.csv；ecg_id=1320；scp_codes</x:v>
      </x:c>
      <x:c r="K170" s="12" t="str">
        <x:v>12sl_statements.csv；ecg_id=1320；statements_ext_snomed</x:v>
      </x:c>
      <x:c r="L170" s="12"/>
      <x:c r="M170" s="12" t="str">
        <x:v>negative</x:v>
      </x:c>
      <x:c r="N170" s="12"/>
      <x:c r="O170" s="12" t="str">
        <x:v>negative</x:v>
      </x:c>
      <x:c r="P170" s="12" t="str">
        <x:f>IF(OR(M170="unavailable",O170="unavailable"),"不可评价",IF(OR(M170="equivocal",O170="equivocal"),"疑似",IF(AND(M170="positive",O170="positive"),"a",IF(O170="positive","b",IF(M170="positive","c","d")))))</x:f>
        <x:v>d</x:v>
      </x:c>
      <x:c r="Q170" s="12"/>
      <x:c r="R170" s="12" t="str">
        <x:v>negative</x:v>
      </x:c>
      <x:c r="S170" s="12"/>
      <x:c r="T170" s="12" t="str">
        <x:v>negative</x:v>
      </x:c>
      <x:c r="U170" s="12" t="str">
        <x:f>IF(OR(R170="unavailable",T170="unavailable"),"不可评价",IF(OR(R170="equivocal",T170="equivocal"),"疑似",IF(AND(R170="positive",T170="positive"),"a",IF(T170="positive","b",IF(R170="positive","c","d")))))</x:f>
        <x:v>d</x:v>
      </x:c>
      <x:c r="V170" s="12"/>
      <x:c r="W170" s="12" t="str">
        <x:v>negative</x:v>
      </x:c>
      <x:c r="X170" s="12"/>
      <x:c r="Y170" s="12" t="str">
        <x:v>negative</x:v>
      </x:c>
      <x:c r="Z170" s="12" t="str">
        <x:f>IF(OR(W170="unavailable",Y170="unavailable"),"不可评价",IF(OR(W170="equivocal",Y170="equivocal"),"疑似",IF(AND(W170="positive",Y170="positive"),"a",IF(Y170="positive","b",IF(W170="positive","c","d")))))</x:f>
        <x:v>d</x:v>
      </x:c>
      <x:c r="AA170" s="12" t="str">
        <x:f>IF(OR(M170="unavailable",O170="unavailable"),"不可评价",IF(AND(OR(M170="positive",M170="equivocal"),OR(O170="positive",O170="equivocal")),"a",IF(OR(O170="positive",O170="equivocal"),"b",IF(OR(M170="positive",M170="equivocal"),"c","d"))))</x:f>
        <x:v>d</x:v>
      </x:c>
      <x:c r="AB170" s="12" t="str">
        <x:f>IF(OR(M170="unavailable",O170="unavailable"),"不可评价",IF(AND(M170="positive",O170="positive"),"a",IF(O170="positive","b",IF(M170="positive","c","d"))))</x:f>
        <x:v>d</x:v>
      </x:c>
      <x:c r="AC170" s="12" t="str">
        <x:f>IF(OR(R170="unavailable",T170="unavailable"),"不可评价",IF(AND(OR(R170="positive",R170="equivocal"),OR(T170="positive",T170="equivocal")),"a",IF(OR(T170="positive",T170="equivocal"),"b",IF(OR(R170="positive",R170="equivocal"),"c","d"))))</x:f>
        <x:v>d</x:v>
      </x:c>
      <x:c r="AD170" s="12" t="str">
        <x:f>IF(OR(R170="unavailable",T170="unavailable"),"不可评价",IF(AND(R170="positive",T170="positive"),"a",IF(T170="positive","b",IF(R170="positive","c","d"))))</x:f>
        <x:v>d</x:v>
      </x:c>
      <x:c r="AE170" s="12" t="str">
        <x:f>IF(OR(W170="unavailable",Y170="unavailable"),"不可评价",IF(AND(OR(W170="positive",W170="equivocal"),OR(Y170="positive",Y170="equivocal")),"a",IF(OR(Y170="positive",Y170="equivocal"),"b",IF(OR(W170="positive",W170="equivocal"),"c","d"))))</x:f>
        <x:v>d</x:v>
      </x:c>
      <x:c r="AF170" s="12" t="str">
        <x:f>IF(OR(W170="unavailable",Y170="unavailable"),"不可评价",IF(AND(W170="positive",Y170="positive"),"a",IF(Y170="positive","b",IF(W170="positive","c","d"))))</x:f>
        <x:v>d</x:v>
      </x:c>
    </x:row>
    <x:row r="171" ht="24" customHeight="1">
      <x:c r="A171" s="12" t="str">
        <x:v>1343</x:v>
      </x:c>
      <x:c r="B171" s="12" t="str">
        <x:v>20205</x:v>
      </x:c>
      <x:c r="C171" s="21" t="n">
        <x:v>32174.611724537037</x:v>
      </x:c>
      <x:c r="D171" s="12" t="n">
        <x:v>65</x:v>
      </x:c>
      <x:c r="E171" s="12" t="n">
        <x:v>0</x:v>
      </x:c>
      <x:c r="F171" s="12" t="str">
        <x:v>存在</x:v>
      </x:c>
      <x:c r="G171" s="12" t="n">
        <x:v>1</x:v>
      </x:c>
      <x:c r="H171" s="12" t="str">
        <x:v>{'IMI': 15.0, 'ABQRS': 0.0, 'SR': 0.0}</x:v>
      </x:c>
      <x:c r="I171" s="12" t="str">
        <x:v>[('NSR', 100.0), ('NML', 100.0)]</x:v>
      </x:c>
      <x:c r="J171" s="12" t="str">
        <x:v>ptbxl_database.csv；ecg_id=1343；scp_codes</x:v>
      </x:c>
      <x:c r="K171" s="12" t="str">
        <x:v>12sl_statements.csv；ecg_id=1343；statements_ext_snomed</x:v>
      </x:c>
      <x:c r="L171" s="12"/>
      <x:c r="M171" s="12" t="str">
        <x:v>negative</x:v>
      </x:c>
      <x:c r="N171" s="12"/>
      <x:c r="O171" s="12" t="str">
        <x:v>negative</x:v>
      </x:c>
      <x:c r="P171" s="12" t="str">
        <x:f>IF(OR(M171="unavailable",O171="unavailable"),"不可评价",IF(OR(M171="equivocal",O171="equivocal"),"疑似",IF(AND(M171="positive",O171="positive"),"a",IF(O171="positive","b",IF(M171="positive","c","d")))))</x:f>
        <x:v>d</x:v>
      </x:c>
      <x:c r="Q171" s="12"/>
      <x:c r="R171" s="12" t="str">
        <x:v>negative</x:v>
      </x:c>
      <x:c r="S171" s="12"/>
      <x:c r="T171" s="12" t="str">
        <x:v>negative</x:v>
      </x:c>
      <x:c r="U171" s="12" t="str">
        <x:f>IF(OR(R171="unavailable",T171="unavailable"),"不可评价",IF(OR(R171="equivocal",T171="equivocal"),"疑似",IF(AND(R171="positive",T171="positive"),"a",IF(T171="positive","b",IF(R171="positive","c","d")))))</x:f>
        <x:v>d</x:v>
      </x:c>
      <x:c r="V171" s="12"/>
      <x:c r="W171" s="12" t="str">
        <x:v>negative</x:v>
      </x:c>
      <x:c r="X171" s="12"/>
      <x:c r="Y171" s="12" t="str">
        <x:v>negative</x:v>
      </x:c>
      <x:c r="Z171" s="12" t="str">
        <x:f>IF(OR(W171="unavailable",Y171="unavailable"),"不可评价",IF(OR(W171="equivocal",Y171="equivocal"),"疑似",IF(AND(W171="positive",Y171="positive"),"a",IF(Y171="positive","b",IF(W171="positive","c","d")))))</x:f>
        <x:v>d</x:v>
      </x:c>
      <x:c r="AA171" s="12" t="str">
        <x:f>IF(OR(M171="unavailable",O171="unavailable"),"不可评价",IF(AND(OR(M171="positive",M171="equivocal"),OR(O171="positive",O171="equivocal")),"a",IF(OR(O171="positive",O171="equivocal"),"b",IF(OR(M171="positive",M171="equivocal"),"c","d"))))</x:f>
        <x:v>d</x:v>
      </x:c>
      <x:c r="AB171" s="12" t="str">
        <x:f>IF(OR(M171="unavailable",O171="unavailable"),"不可评价",IF(AND(M171="positive",O171="positive"),"a",IF(O171="positive","b",IF(M171="positive","c","d"))))</x:f>
        <x:v>d</x:v>
      </x:c>
      <x:c r="AC171" s="12" t="str">
        <x:f>IF(OR(R171="unavailable",T171="unavailable"),"不可评价",IF(AND(OR(R171="positive",R171="equivocal"),OR(T171="positive",T171="equivocal")),"a",IF(OR(T171="positive",T171="equivocal"),"b",IF(OR(R171="positive",R171="equivocal"),"c","d"))))</x:f>
        <x:v>d</x:v>
      </x:c>
      <x:c r="AD171" s="12" t="str">
        <x:f>IF(OR(R171="unavailable",T171="unavailable"),"不可评价",IF(AND(R171="positive",T171="positive"),"a",IF(T171="positive","b",IF(R171="positive","c","d"))))</x:f>
        <x:v>d</x:v>
      </x:c>
      <x:c r="AE171" s="12" t="str">
        <x:f>IF(OR(W171="unavailable",Y171="unavailable"),"不可评价",IF(AND(OR(W171="positive",W171="equivocal"),OR(Y171="positive",Y171="equivocal")),"a",IF(OR(Y171="positive",Y171="equivocal"),"b",IF(OR(W171="positive",W171="equivocal"),"c","d"))))</x:f>
        <x:v>d</x:v>
      </x:c>
      <x:c r="AF171" s="12" t="str">
        <x:f>IF(OR(W171="unavailable",Y171="unavailable"),"不可评价",IF(AND(W171="positive",Y171="positive"),"a",IF(Y171="positive","b",IF(W171="positive","c","d"))))</x:f>
        <x:v>d</x:v>
      </x:c>
    </x:row>
    <x:row r="172" ht="24" customHeight="1">
      <x:c r="A172" s="12" t="str">
        <x:v>1351</x:v>
      </x:c>
      <x:c r="B172" s="12" t="str">
        <x:v>2187</x:v>
      </x:c>
      <x:c r="C172" s="21" t="n">
        <x:v>32180.36167824074</x:v>
      </x:c>
      <x:c r="D172" s="12" t="n">
        <x:v>76</x:v>
      </x:c>
      <x:c r="E172" s="12" t="n">
        <x:v>0</x:v>
      </x:c>
      <x:c r="F172" s="12" t="str">
        <x:v>未记录</x:v>
      </x:c>
      <x:c r="G172" s="12" t="n">
        <x:v>1</x:v>
      </x:c>
      <x:c r="H172" s="12" t="str">
        <x:v>{'NORM': 100.0, 'SR': 0.0}</x:v>
      </x:c>
      <x:c r="I172" s="12" t="str">
        <x:v>[('SBRAD', 100.0), ('ABR', 100.0)]</x:v>
      </x:c>
      <x:c r="J172" s="12" t="str">
        <x:v>ptbxl_database.csv；ecg_id=1351；scp_codes</x:v>
      </x:c>
      <x:c r="K172" s="12" t="str">
        <x:v>12sl_statements.csv；ecg_id=1351；statements_ext_snomed</x:v>
      </x:c>
      <x:c r="L172" s="12"/>
      <x:c r="M172" s="12" t="str">
        <x:v>negative</x:v>
      </x:c>
      <x:c r="N172" s="12"/>
      <x:c r="O172" s="12" t="str">
        <x:v>negative</x:v>
      </x:c>
      <x:c r="P172" s="12" t="str">
        <x:f>IF(OR(M172="unavailable",O172="unavailable"),"不可评价",IF(OR(M172="equivocal",O172="equivocal"),"疑似",IF(AND(M172="positive",O172="positive"),"a",IF(O172="positive","b",IF(M172="positive","c","d")))))</x:f>
        <x:v>d</x:v>
      </x:c>
      <x:c r="Q172" s="12"/>
      <x:c r="R172" s="12" t="str">
        <x:v>negative</x:v>
      </x:c>
      <x:c r="S172" s="12"/>
      <x:c r="T172" s="12" t="str">
        <x:v>negative</x:v>
      </x:c>
      <x:c r="U172" s="12" t="str">
        <x:f>IF(OR(R172="unavailable",T172="unavailable"),"不可评价",IF(OR(R172="equivocal",T172="equivocal"),"疑似",IF(AND(R172="positive",T172="positive"),"a",IF(T172="positive","b",IF(R172="positive","c","d")))))</x:f>
        <x:v>d</x:v>
      </x:c>
      <x:c r="V172" s="12"/>
      <x:c r="W172" s="12" t="str">
        <x:v>negative</x:v>
      </x:c>
      <x:c r="X172" s="12"/>
      <x:c r="Y172" s="12" t="str">
        <x:v>negative</x:v>
      </x:c>
      <x:c r="Z172" s="12" t="str">
        <x:f>IF(OR(W172="unavailable",Y172="unavailable"),"不可评价",IF(OR(W172="equivocal",Y172="equivocal"),"疑似",IF(AND(W172="positive",Y172="positive"),"a",IF(Y172="positive","b",IF(W172="positive","c","d")))))</x:f>
        <x:v>d</x:v>
      </x:c>
      <x:c r="AA172" s="12" t="str">
        <x:f>IF(OR(M172="unavailable",O172="unavailable"),"不可评价",IF(AND(OR(M172="positive",M172="equivocal"),OR(O172="positive",O172="equivocal")),"a",IF(OR(O172="positive",O172="equivocal"),"b",IF(OR(M172="positive",M172="equivocal"),"c","d"))))</x:f>
        <x:v>d</x:v>
      </x:c>
      <x:c r="AB172" s="12" t="str">
        <x:f>IF(OR(M172="unavailable",O172="unavailable"),"不可评价",IF(AND(M172="positive",O172="positive"),"a",IF(O172="positive","b",IF(M172="positive","c","d"))))</x:f>
        <x:v>d</x:v>
      </x:c>
      <x:c r="AC172" s="12" t="str">
        <x:f>IF(OR(R172="unavailable",T172="unavailable"),"不可评价",IF(AND(OR(R172="positive",R172="equivocal"),OR(T172="positive",T172="equivocal")),"a",IF(OR(T172="positive",T172="equivocal"),"b",IF(OR(R172="positive",R172="equivocal"),"c","d"))))</x:f>
        <x:v>d</x:v>
      </x:c>
      <x:c r="AD172" s="12" t="str">
        <x:f>IF(OR(R172="unavailable",T172="unavailable"),"不可评价",IF(AND(R172="positive",T172="positive"),"a",IF(T172="positive","b",IF(R172="positive","c","d"))))</x:f>
        <x:v>d</x:v>
      </x:c>
      <x:c r="AE172" s="12" t="str">
        <x:f>IF(OR(W172="unavailable",Y172="unavailable"),"不可评价",IF(AND(OR(W172="positive",W172="equivocal"),OR(Y172="positive",Y172="equivocal")),"a",IF(OR(Y172="positive",Y172="equivocal"),"b",IF(OR(W172="positive",W172="equivocal"),"c","d"))))</x:f>
        <x:v>d</x:v>
      </x:c>
      <x:c r="AF172" s="12" t="str">
        <x:f>IF(OR(W172="unavailable",Y172="unavailable"),"不可评价",IF(AND(W172="positive",Y172="positive"),"a",IF(Y172="positive","b",IF(W172="positive","c","d"))))</x:f>
        <x:v>d</x:v>
      </x:c>
    </x:row>
    <x:row r="173" ht="24" customHeight="1">
      <x:c r="A173" s="12" t="str">
        <x:v>1353</x:v>
      </x:c>
      <x:c r="B173" s="12" t="str">
        <x:v>1788</x:v>
      </x:c>
      <x:c r="C173" s="21" t="n">
        <x:v>32181.437256944446</x:v>
      </x:c>
      <x:c r="D173" s="12" t="n">
        <x:v>83</x:v>
      </x:c>
      <x:c r="E173" s="12" t="n">
        <x:v>1</x:v>
      </x:c>
      <x:c r="F173" s="12" t="str">
        <x:v>未记录</x:v>
      </x:c>
      <x:c r="G173" s="12" t="n">
        <x:v>1</x:v>
      </x:c>
      <x:c r="H173" s="12" t="str">
        <x:v>{'NORM': 100.0, 'STD_': 0.0, 'SR': 0.0}</x:v>
      </x:c>
      <x:c r="I173" s="12" t="str">
        <x:v>[('SBRAD', 100.0), ('NST', 100.0), ('AB', 100.0)]</x:v>
      </x:c>
      <x:c r="J173" s="12" t="str">
        <x:v>ptbxl_database.csv；ecg_id=1353；scp_codes</x:v>
      </x:c>
      <x:c r="K173" s="12" t="str">
        <x:v>12sl_statements.csv；ecg_id=1353；statements_ext_snomed</x:v>
      </x:c>
      <x:c r="L173" s="12"/>
      <x:c r="M173" s="12" t="str">
        <x:v>negative</x:v>
      </x:c>
      <x:c r="N173" s="12"/>
      <x:c r="O173" s="12" t="str">
        <x:v>negative</x:v>
      </x:c>
      <x:c r="P173" s="12" t="str">
        <x:f>IF(OR(M173="unavailable",O173="unavailable"),"不可评价",IF(OR(M173="equivocal",O173="equivocal"),"疑似",IF(AND(M173="positive",O173="positive"),"a",IF(O173="positive","b",IF(M173="positive","c","d")))))</x:f>
        <x:v>d</x:v>
      </x:c>
      <x:c r="Q173" s="12"/>
      <x:c r="R173" s="12" t="str">
        <x:v>negative</x:v>
      </x:c>
      <x:c r="S173" s="12"/>
      <x:c r="T173" s="12" t="str">
        <x:v>negative</x:v>
      </x:c>
      <x:c r="U173" s="12" t="str">
        <x:f>IF(OR(R173="unavailable",T173="unavailable"),"不可评价",IF(OR(R173="equivocal",T173="equivocal"),"疑似",IF(AND(R173="positive",T173="positive"),"a",IF(T173="positive","b",IF(R173="positive","c","d")))))</x:f>
        <x:v>d</x:v>
      </x:c>
      <x:c r="V173" s="12"/>
      <x:c r="W173" s="12" t="str">
        <x:v>negative</x:v>
      </x:c>
      <x:c r="X173" s="12"/>
      <x:c r="Y173" s="12" t="str">
        <x:v>negative</x:v>
      </x:c>
      <x:c r="Z173" s="12" t="str">
        <x:f>IF(OR(W173="unavailable",Y173="unavailable"),"不可评价",IF(OR(W173="equivocal",Y173="equivocal"),"疑似",IF(AND(W173="positive",Y173="positive"),"a",IF(Y173="positive","b",IF(W173="positive","c","d")))))</x:f>
        <x:v>d</x:v>
      </x:c>
      <x:c r="AA173" s="12" t="str">
        <x:f>IF(OR(M173="unavailable",O173="unavailable"),"不可评价",IF(AND(OR(M173="positive",M173="equivocal"),OR(O173="positive",O173="equivocal")),"a",IF(OR(O173="positive",O173="equivocal"),"b",IF(OR(M173="positive",M173="equivocal"),"c","d"))))</x:f>
        <x:v>d</x:v>
      </x:c>
      <x:c r="AB173" s="12" t="str">
        <x:f>IF(OR(M173="unavailable",O173="unavailable"),"不可评价",IF(AND(M173="positive",O173="positive"),"a",IF(O173="positive","b",IF(M173="positive","c","d"))))</x:f>
        <x:v>d</x:v>
      </x:c>
      <x:c r="AC173" s="12" t="str">
        <x:f>IF(OR(R173="unavailable",T173="unavailable"),"不可评价",IF(AND(OR(R173="positive",R173="equivocal"),OR(T173="positive",T173="equivocal")),"a",IF(OR(T173="positive",T173="equivocal"),"b",IF(OR(R173="positive",R173="equivocal"),"c","d"))))</x:f>
        <x:v>d</x:v>
      </x:c>
      <x:c r="AD173" s="12" t="str">
        <x:f>IF(OR(R173="unavailable",T173="unavailable"),"不可评价",IF(AND(R173="positive",T173="positive"),"a",IF(T173="positive","b",IF(R173="positive","c","d"))))</x:f>
        <x:v>d</x:v>
      </x:c>
      <x:c r="AE173" s="12" t="str">
        <x:f>IF(OR(W173="unavailable",Y173="unavailable"),"不可评价",IF(AND(OR(W173="positive",W173="equivocal"),OR(Y173="positive",Y173="equivocal")),"a",IF(OR(Y173="positive",Y173="equivocal"),"b",IF(OR(W173="positive",W173="equivocal"),"c","d"))))</x:f>
        <x:v>d</x:v>
      </x:c>
      <x:c r="AF173" s="12" t="str">
        <x:f>IF(OR(W173="unavailable",Y173="unavailable"),"不可评价",IF(AND(W173="positive",Y173="positive"),"a",IF(Y173="positive","b",IF(W173="positive","c","d"))))</x:f>
        <x:v>d</x:v>
      </x:c>
    </x:row>
    <x:row r="174" ht="24" customHeight="1">
      <x:c r="A174" s="12" t="str">
        <x:v>1355</x:v>
      </x:c>
      <x:c r="B174" s="12" t="str">
        <x:v>2430</x:v>
      </x:c>
      <x:c r="C174" s="21" t="n">
        <x:v>32184.303333333333</x:v>
      </x:c>
      <x:c r="D174" s="12" t="n">
        <x:v>66</x:v>
      </x:c>
      <x:c r="E174" s="12" t="n">
        <x:v>1</x:v>
      </x:c>
      <x:c r="F174" s="12" t="str">
        <x:v>未记录</x:v>
      </x:c>
      <x:c r="G174" s="12" t="n">
        <x:v>1</x:v>
      </x:c>
      <x:c r="H174" s="12" t="str">
        <x:v>{'NORM': 100.0, 'SR': 0.0}</x:v>
      </x:c>
      <x:c r="I174" s="12" t="str">
        <x:v>[('NSR', 100.0), ('NML', 100.0)]</x:v>
      </x:c>
      <x:c r="J174" s="12" t="str">
        <x:v>ptbxl_database.csv；ecg_id=1355；scp_codes</x:v>
      </x:c>
      <x:c r="K174" s="12" t="str">
        <x:v>12sl_statements.csv；ecg_id=1355；statements_ext_snomed</x:v>
      </x:c>
      <x:c r="L174" s="12"/>
      <x:c r="M174" s="12" t="str">
        <x:v>negative</x:v>
      </x:c>
      <x:c r="N174" s="12"/>
      <x:c r="O174" s="12" t="str">
        <x:v>negative</x:v>
      </x:c>
      <x:c r="P174" s="12" t="str">
        <x:f>IF(OR(M174="unavailable",O174="unavailable"),"不可评价",IF(OR(M174="equivocal",O174="equivocal"),"疑似",IF(AND(M174="positive",O174="positive"),"a",IF(O174="positive","b",IF(M174="positive","c","d")))))</x:f>
        <x:v>d</x:v>
      </x:c>
      <x:c r="Q174" s="12"/>
      <x:c r="R174" s="12" t="str">
        <x:v>negative</x:v>
      </x:c>
      <x:c r="S174" s="12"/>
      <x:c r="T174" s="12" t="str">
        <x:v>negative</x:v>
      </x:c>
      <x:c r="U174" s="12" t="str">
        <x:f>IF(OR(R174="unavailable",T174="unavailable"),"不可评价",IF(OR(R174="equivocal",T174="equivocal"),"疑似",IF(AND(R174="positive",T174="positive"),"a",IF(T174="positive","b",IF(R174="positive","c","d")))))</x:f>
        <x:v>d</x:v>
      </x:c>
      <x:c r="V174" s="12"/>
      <x:c r="W174" s="12" t="str">
        <x:v>negative</x:v>
      </x:c>
      <x:c r="X174" s="12"/>
      <x:c r="Y174" s="12" t="str">
        <x:v>negative</x:v>
      </x:c>
      <x:c r="Z174" s="12" t="str">
        <x:f>IF(OR(W174="unavailable",Y174="unavailable"),"不可评价",IF(OR(W174="equivocal",Y174="equivocal"),"疑似",IF(AND(W174="positive",Y174="positive"),"a",IF(Y174="positive","b",IF(W174="positive","c","d")))))</x:f>
        <x:v>d</x:v>
      </x:c>
      <x:c r="AA174" s="12" t="str">
        <x:f>IF(OR(M174="unavailable",O174="unavailable"),"不可评价",IF(AND(OR(M174="positive",M174="equivocal"),OR(O174="positive",O174="equivocal")),"a",IF(OR(O174="positive",O174="equivocal"),"b",IF(OR(M174="positive",M174="equivocal"),"c","d"))))</x:f>
        <x:v>d</x:v>
      </x:c>
      <x:c r="AB174" s="12" t="str">
        <x:f>IF(OR(M174="unavailable",O174="unavailable"),"不可评价",IF(AND(M174="positive",O174="positive"),"a",IF(O174="positive","b",IF(M174="positive","c","d"))))</x:f>
        <x:v>d</x:v>
      </x:c>
      <x:c r="AC174" s="12" t="str">
        <x:f>IF(OR(R174="unavailable",T174="unavailable"),"不可评价",IF(AND(OR(R174="positive",R174="equivocal"),OR(T174="positive",T174="equivocal")),"a",IF(OR(T174="positive",T174="equivocal"),"b",IF(OR(R174="positive",R174="equivocal"),"c","d"))))</x:f>
        <x:v>d</x:v>
      </x:c>
      <x:c r="AD174" s="12" t="str">
        <x:f>IF(OR(R174="unavailable",T174="unavailable"),"不可评价",IF(AND(R174="positive",T174="positive"),"a",IF(T174="positive","b",IF(R174="positive","c","d"))))</x:f>
        <x:v>d</x:v>
      </x:c>
      <x:c r="AE174" s="12" t="str">
        <x:f>IF(OR(W174="unavailable",Y174="unavailable"),"不可评价",IF(AND(OR(W174="positive",W174="equivocal"),OR(Y174="positive",Y174="equivocal")),"a",IF(OR(Y174="positive",Y174="equivocal"),"b",IF(OR(W174="positive",W174="equivocal"),"c","d"))))</x:f>
        <x:v>d</x:v>
      </x:c>
      <x:c r="AF174" s="12" t="str">
        <x:f>IF(OR(W174="unavailable",Y174="unavailable"),"不可评价",IF(AND(W174="positive",Y174="positive"),"a",IF(Y174="positive","b",IF(W174="positive","c","d"))))</x:f>
        <x:v>d</x:v>
      </x:c>
    </x:row>
    <x:row r="175" ht="24" customHeight="1">
      <x:c r="A175" s="12" t="str">
        <x:v>1377</x:v>
      </x:c>
      <x:c r="B175" s="12" t="str">
        <x:v>5112</x:v>
      </x:c>
      <x:c r="C175" s="21" t="n">
        <x:v>32198.75105324074</x:v>
      </x:c>
      <x:c r="D175" s="12" t="n">
        <x:v>73</x:v>
      </x:c>
      <x:c r="E175" s="12" t="n">
        <x:v>0</x:v>
      </x:c>
      <x:c r="F175" s="12" t="str">
        <x:v>未记录</x:v>
      </x:c>
      <x:c r="G175" s="12" t="n">
        <x:v>1</x:v>
      </x:c>
      <x:c r="H175" s="12" t="str">
        <x:v>{'NDT': 100.0, 'SR': 0.0}</x:v>
      </x:c>
      <x:c r="I175" s="12" t="str">
        <x:v>[('NSR', 100.0), ('NML', 100.0)]</x:v>
      </x:c>
      <x:c r="J175" s="12" t="str">
        <x:v>ptbxl_database.csv；ecg_id=1377；scp_codes</x:v>
      </x:c>
      <x:c r="K175" s="12" t="str">
        <x:v>12sl_statements.csv；ecg_id=1377；statements_ext_snomed</x:v>
      </x:c>
      <x:c r="L175" s="12"/>
      <x:c r="M175" s="12" t="str">
        <x:v>negative</x:v>
      </x:c>
      <x:c r="N175" s="12"/>
      <x:c r="O175" s="12" t="str">
        <x:v>negative</x:v>
      </x:c>
      <x:c r="P175" s="12" t="str">
        <x:f>IF(OR(M175="unavailable",O175="unavailable"),"不可评价",IF(OR(M175="equivocal",O175="equivocal"),"疑似",IF(AND(M175="positive",O175="positive"),"a",IF(O175="positive","b",IF(M175="positive","c","d")))))</x:f>
        <x:v>d</x:v>
      </x:c>
      <x:c r="Q175" s="12"/>
      <x:c r="R175" s="12" t="str">
        <x:v>negative</x:v>
      </x:c>
      <x:c r="S175" s="12"/>
      <x:c r="T175" s="12" t="str">
        <x:v>negative</x:v>
      </x:c>
      <x:c r="U175" s="12" t="str">
        <x:f>IF(OR(R175="unavailable",T175="unavailable"),"不可评价",IF(OR(R175="equivocal",T175="equivocal"),"疑似",IF(AND(R175="positive",T175="positive"),"a",IF(T175="positive","b",IF(R175="positive","c","d")))))</x:f>
        <x:v>d</x:v>
      </x:c>
      <x:c r="V175" s="12"/>
      <x:c r="W175" s="12" t="str">
        <x:v>negative</x:v>
      </x:c>
      <x:c r="X175" s="12"/>
      <x:c r="Y175" s="12" t="str">
        <x:v>negative</x:v>
      </x:c>
      <x:c r="Z175" s="12" t="str">
        <x:f>IF(OR(W175="unavailable",Y175="unavailable"),"不可评价",IF(OR(W175="equivocal",Y175="equivocal"),"疑似",IF(AND(W175="positive",Y175="positive"),"a",IF(Y175="positive","b",IF(W175="positive","c","d")))))</x:f>
        <x:v>d</x:v>
      </x:c>
      <x:c r="AA175" s="12" t="str">
        <x:f>IF(OR(M175="unavailable",O175="unavailable"),"不可评价",IF(AND(OR(M175="positive",M175="equivocal"),OR(O175="positive",O175="equivocal")),"a",IF(OR(O175="positive",O175="equivocal"),"b",IF(OR(M175="positive",M175="equivocal"),"c","d"))))</x:f>
        <x:v>d</x:v>
      </x:c>
      <x:c r="AB175" s="12" t="str">
        <x:f>IF(OR(M175="unavailable",O175="unavailable"),"不可评价",IF(AND(M175="positive",O175="positive"),"a",IF(O175="positive","b",IF(M175="positive","c","d"))))</x:f>
        <x:v>d</x:v>
      </x:c>
      <x:c r="AC175" s="12" t="str">
        <x:f>IF(OR(R175="unavailable",T175="unavailable"),"不可评价",IF(AND(OR(R175="positive",R175="equivocal"),OR(T175="positive",T175="equivocal")),"a",IF(OR(T175="positive",T175="equivocal"),"b",IF(OR(R175="positive",R175="equivocal"),"c","d"))))</x:f>
        <x:v>d</x:v>
      </x:c>
      <x:c r="AD175" s="12" t="str">
        <x:f>IF(OR(R175="unavailable",T175="unavailable"),"不可评价",IF(AND(R175="positive",T175="positive"),"a",IF(T175="positive","b",IF(R175="positive","c","d"))))</x:f>
        <x:v>d</x:v>
      </x:c>
      <x:c r="AE175" s="12" t="str">
        <x:f>IF(OR(W175="unavailable",Y175="unavailable"),"不可评价",IF(AND(OR(W175="positive",W175="equivocal"),OR(Y175="positive",Y175="equivocal")),"a",IF(OR(Y175="positive",Y175="equivocal"),"b",IF(OR(W175="positive",W175="equivocal"),"c","d"))))</x:f>
        <x:v>d</x:v>
      </x:c>
      <x:c r="AF175" s="12" t="str">
        <x:f>IF(OR(W175="unavailable",Y175="unavailable"),"不可评价",IF(AND(W175="positive",Y175="positive"),"a",IF(Y175="positive","b",IF(W175="positive","c","d"))))</x:f>
        <x:v>d</x:v>
      </x:c>
    </x:row>
    <x:row r="176" ht="24" customHeight="1">
      <x:c r="A176" s="12" t="str">
        <x:v>1386</x:v>
      </x:c>
      <x:c r="B176" s="12" t="str">
        <x:v>7072</x:v>
      </x:c>
      <x:c r="C176" s="21" t="n">
        <x:v>32199.609270833334</x:v>
      </x:c>
      <x:c r="D176" s="12" t="n">
        <x:v>66</x:v>
      </x:c>
      <x:c r="E176" s="12" t="n">
        <x:v>0</x:v>
      </x:c>
      <x:c r="F176" s="12" t="str">
        <x:v>未记录</x:v>
      </x:c>
      <x:c r="G176" s="12" t="n">
        <x:v>1</x:v>
      </x:c>
      <x:c r="H176" s="12" t="str">
        <x:v>{'LVH': 15.0, 'SR': 0.0}</x:v>
      </x:c>
      <x:c r="I176" s="12" t="str">
        <x:v>[('SRTH', 100.0), ('FAV', 100.0), ('BORDE', 100.0)]</x:v>
      </x:c>
      <x:c r="J176" s="12" t="str">
        <x:v>ptbxl_database.csv；ecg_id=1386；scp_codes</x:v>
      </x:c>
      <x:c r="K176" s="12" t="str">
        <x:v>12sl_statements.csv；ecg_id=1386；statements_ext_snomed</x:v>
      </x:c>
      <x:c r="L176" s="12"/>
      <x:c r="M176" s="12" t="str">
        <x:v>negative</x:v>
      </x:c>
      <x:c r="N176" s="12"/>
      <x:c r="O176" s="12" t="str">
        <x:v>negative</x:v>
      </x:c>
      <x:c r="P176" s="12" t="str">
        <x:f>IF(OR(M176="unavailable",O176="unavailable"),"不可评价",IF(OR(M176="equivocal",O176="equivocal"),"疑似",IF(AND(M176="positive",O176="positive"),"a",IF(O176="positive","b",IF(M176="positive","c","d")))))</x:f>
        <x:v>d</x:v>
      </x:c>
      <x:c r="Q176" s="12"/>
      <x:c r="R176" s="12" t="str">
        <x:v>negative</x:v>
      </x:c>
      <x:c r="S176" s="12"/>
      <x:c r="T176" s="12" t="str">
        <x:v>negative</x:v>
      </x:c>
      <x:c r="U176" s="12" t="str">
        <x:f>IF(OR(R176="unavailable",T176="unavailable"),"不可评价",IF(OR(R176="equivocal",T176="equivocal"),"疑似",IF(AND(R176="positive",T176="positive"),"a",IF(T176="positive","b",IF(R176="positive","c","d")))))</x:f>
        <x:v>d</x:v>
      </x:c>
      <x:c r="V176" s="12"/>
      <x:c r="W176" s="12" t="str">
        <x:v>negative</x:v>
      </x:c>
      <x:c r="X176" s="12"/>
      <x:c r="Y176" s="12" t="str">
        <x:v>negative</x:v>
      </x:c>
      <x:c r="Z176" s="12" t="str">
        <x:f>IF(OR(W176="unavailable",Y176="unavailable"),"不可评价",IF(OR(W176="equivocal",Y176="equivocal"),"疑似",IF(AND(W176="positive",Y176="positive"),"a",IF(Y176="positive","b",IF(W176="positive","c","d")))))</x:f>
        <x:v>d</x:v>
      </x:c>
      <x:c r="AA176" s="12" t="str">
        <x:f>IF(OR(M176="unavailable",O176="unavailable"),"不可评价",IF(AND(OR(M176="positive",M176="equivocal"),OR(O176="positive",O176="equivocal")),"a",IF(OR(O176="positive",O176="equivocal"),"b",IF(OR(M176="positive",M176="equivocal"),"c","d"))))</x:f>
        <x:v>d</x:v>
      </x:c>
      <x:c r="AB176" s="12" t="str">
        <x:f>IF(OR(M176="unavailable",O176="unavailable"),"不可评价",IF(AND(M176="positive",O176="positive"),"a",IF(O176="positive","b",IF(M176="positive","c","d"))))</x:f>
        <x:v>d</x:v>
      </x:c>
      <x:c r="AC176" s="12" t="str">
        <x:f>IF(OR(R176="unavailable",T176="unavailable"),"不可评价",IF(AND(OR(R176="positive",R176="equivocal"),OR(T176="positive",T176="equivocal")),"a",IF(OR(T176="positive",T176="equivocal"),"b",IF(OR(R176="positive",R176="equivocal"),"c","d"))))</x:f>
        <x:v>d</x:v>
      </x:c>
      <x:c r="AD176" s="12" t="str">
        <x:f>IF(OR(R176="unavailable",T176="unavailable"),"不可评价",IF(AND(R176="positive",T176="positive"),"a",IF(T176="positive","b",IF(R176="positive","c","d"))))</x:f>
        <x:v>d</x:v>
      </x:c>
      <x:c r="AE176" s="12" t="str">
        <x:f>IF(OR(W176="unavailable",Y176="unavailable"),"不可评价",IF(AND(OR(W176="positive",W176="equivocal"),OR(Y176="positive",Y176="equivocal")),"a",IF(OR(Y176="positive",Y176="equivocal"),"b",IF(OR(W176="positive",W176="equivocal"),"c","d"))))</x:f>
        <x:v>d</x:v>
      </x:c>
      <x:c r="AF176" s="12" t="str">
        <x:f>IF(OR(W176="unavailable",Y176="unavailable"),"不可评价",IF(AND(W176="positive",Y176="positive"),"a",IF(Y176="positive","b",IF(W176="positive","c","d"))))</x:f>
        <x:v>d</x:v>
      </x:c>
    </x:row>
    <x:row r="177" ht="39" customHeight="1">
      <x:c r="A177" s="12" t="str">
        <x:v>1391</x:v>
      </x:c>
      <x:c r="B177" s="12" t="str">
        <x:v>13459</x:v>
      </x:c>
      <x:c r="C177" s="21" t="n">
        <x:v>32200.172881944443</x:v>
      </x:c>
      <x:c r="D177" s="12" t="n">
        <x:v>59</x:v>
      </x:c>
      <x:c r="E177" s="12" t="n">
        <x:v>0</x:v>
      </x:c>
      <x:c r="F177" s="12" t="str">
        <x:v>未记录</x:v>
      </x:c>
      <x:c r="G177" s="12" t="n">
        <x:v>1</x:v>
      </x:c>
      <x:c r="H177" s="12" t="str">
        <x:v>{'IMI': 100.0, 'ASMI': 100.0, 'LAFB': 100.0, 'SR': 0.0}</x:v>
      </x:c>
      <x:c r="I177" s="12" t="str">
        <x:v>[('NSR', 100.0), ('LAD3', 100.0), ('SMI;AU', 100.0), ('IMI;AU', 100.0), ('ST&amp;', 100.0), ('LT', 100.0), ('AB', 100.0)]</x:v>
      </x:c>
      <x:c r="J177" s="12" t="str">
        <x:v>ptbxl_database.csv；ecg_id=1391；scp_codes</x:v>
      </x:c>
      <x:c r="K177" s="12" t="str">
        <x:v>12sl_statements.csv；ecg_id=1391；statements_ext_snomed</x:v>
      </x:c>
      <x:c r="L177" s="12"/>
      <x:c r="M177" s="12" t="str">
        <x:v>negative</x:v>
      </x:c>
      <x:c r="N177" s="12"/>
      <x:c r="O177" s="12" t="str">
        <x:v>negative</x:v>
      </x:c>
      <x:c r="P177" s="12" t="str">
        <x:f>IF(OR(M177="unavailable",O177="unavailable"),"不可评价",IF(OR(M177="equivocal",O177="equivocal"),"疑似",IF(AND(M177="positive",O177="positive"),"a",IF(O177="positive","b",IF(M177="positive","c","d")))))</x:f>
        <x:v>d</x:v>
      </x:c>
      <x:c r="Q177" s="12"/>
      <x:c r="R177" s="12" t="str">
        <x:v>negative</x:v>
      </x:c>
      <x:c r="S177" s="12"/>
      <x:c r="T177" s="12" t="str">
        <x:v>negative</x:v>
      </x:c>
      <x:c r="U177" s="12" t="str">
        <x:f>IF(OR(R177="unavailable",T177="unavailable"),"不可评价",IF(OR(R177="equivocal",T177="equivocal"),"疑似",IF(AND(R177="positive",T177="positive"),"a",IF(T177="positive","b",IF(R177="positive","c","d")))))</x:f>
        <x:v>d</x:v>
      </x:c>
      <x:c r="V177" s="12"/>
      <x:c r="W177" s="12" t="str">
        <x:v>negative</x:v>
      </x:c>
      <x:c r="X177" s="12"/>
      <x:c r="Y177" s="12" t="str">
        <x:v>negative</x:v>
      </x:c>
      <x:c r="Z177" s="12" t="str">
        <x:f>IF(OR(W177="unavailable",Y177="unavailable"),"不可评价",IF(OR(W177="equivocal",Y177="equivocal"),"疑似",IF(AND(W177="positive",Y177="positive"),"a",IF(Y177="positive","b",IF(W177="positive","c","d")))))</x:f>
        <x:v>d</x:v>
      </x:c>
      <x:c r="AA177" s="12" t="str">
        <x:f>IF(OR(M177="unavailable",O177="unavailable"),"不可评价",IF(AND(OR(M177="positive",M177="equivocal"),OR(O177="positive",O177="equivocal")),"a",IF(OR(O177="positive",O177="equivocal"),"b",IF(OR(M177="positive",M177="equivocal"),"c","d"))))</x:f>
        <x:v>d</x:v>
      </x:c>
      <x:c r="AB177" s="12" t="str">
        <x:f>IF(OR(M177="unavailable",O177="unavailable"),"不可评价",IF(AND(M177="positive",O177="positive"),"a",IF(O177="positive","b",IF(M177="positive","c","d"))))</x:f>
        <x:v>d</x:v>
      </x:c>
      <x:c r="AC177" s="12" t="str">
        <x:f>IF(OR(R177="unavailable",T177="unavailable"),"不可评价",IF(AND(OR(R177="positive",R177="equivocal"),OR(T177="positive",T177="equivocal")),"a",IF(OR(T177="positive",T177="equivocal"),"b",IF(OR(R177="positive",R177="equivocal"),"c","d"))))</x:f>
        <x:v>d</x:v>
      </x:c>
      <x:c r="AD177" s="12" t="str">
        <x:f>IF(OR(R177="unavailable",T177="unavailable"),"不可评价",IF(AND(R177="positive",T177="positive"),"a",IF(T177="positive","b",IF(R177="positive","c","d"))))</x:f>
        <x:v>d</x:v>
      </x:c>
      <x:c r="AE177" s="12" t="str">
        <x:f>IF(OR(W177="unavailable",Y177="unavailable"),"不可评价",IF(AND(OR(W177="positive",W177="equivocal"),OR(Y177="positive",Y177="equivocal")),"a",IF(OR(Y177="positive",Y177="equivocal"),"b",IF(OR(W177="positive",W177="equivocal"),"c","d"))))</x:f>
        <x:v>d</x:v>
      </x:c>
      <x:c r="AF177" s="12" t="str">
        <x:f>IF(OR(W177="unavailable",Y177="unavailable"),"不可评价",IF(AND(W177="positive",Y177="positive"),"a",IF(Y177="positive","b",IF(W177="positive","c","d"))))</x:f>
        <x:v>d</x:v>
      </x:c>
    </x:row>
    <x:row r="178" ht="24" customHeight="1">
      <x:c r="A178" s="12" t="str">
        <x:v>1394</x:v>
      </x:c>
      <x:c r="B178" s="12" t="str">
        <x:v>11281</x:v>
      </x:c>
      <x:c r="C178" s="21" t="n">
        <x:v>32200.379178240742</x:v>
      </x:c>
      <x:c r="D178" s="12" t="n">
        <x:v>65</x:v>
      </x:c>
      <x:c r="E178" s="12" t="n">
        <x:v>1</x:v>
      </x:c>
      <x:c r="F178" s="12" t="str">
        <x:v>未记录</x:v>
      </x:c>
      <x:c r="G178" s="12" t="n">
        <x:v>1</x:v>
      </x:c>
      <x:c r="H178" s="12" t="str">
        <x:v>{'ISCIL': 100.0, 'SR': 0.0}</x:v>
      </x:c>
      <x:c r="I178" s="12" t="str">
        <x:v>[('NSR', 100.0), ('ST&amp;', 100.0), ('ILT', 100.0), ('AB', 100.0)]</x:v>
      </x:c>
      <x:c r="J178" s="12" t="str">
        <x:v>ptbxl_database.csv；ecg_id=1394；scp_codes</x:v>
      </x:c>
      <x:c r="K178" s="12" t="str">
        <x:v>12sl_statements.csv；ecg_id=1394；statements_ext_snomed</x:v>
      </x:c>
      <x:c r="L178" s="12"/>
      <x:c r="M178" s="12" t="str">
        <x:v>negative</x:v>
      </x:c>
      <x:c r="N178" s="12"/>
      <x:c r="O178" s="12" t="str">
        <x:v>negative</x:v>
      </x:c>
      <x:c r="P178" s="12" t="str">
        <x:f>IF(OR(M178="unavailable",O178="unavailable"),"不可评价",IF(OR(M178="equivocal",O178="equivocal"),"疑似",IF(AND(M178="positive",O178="positive"),"a",IF(O178="positive","b",IF(M178="positive","c","d")))))</x:f>
        <x:v>d</x:v>
      </x:c>
      <x:c r="Q178" s="12"/>
      <x:c r="R178" s="12" t="str">
        <x:v>negative</x:v>
      </x:c>
      <x:c r="S178" s="12"/>
      <x:c r="T178" s="12" t="str">
        <x:v>negative</x:v>
      </x:c>
      <x:c r="U178" s="12" t="str">
        <x:f>IF(OR(R178="unavailable",T178="unavailable"),"不可评价",IF(OR(R178="equivocal",T178="equivocal"),"疑似",IF(AND(R178="positive",T178="positive"),"a",IF(T178="positive","b",IF(R178="positive","c","d")))))</x:f>
        <x:v>d</x:v>
      </x:c>
      <x:c r="V178" s="12"/>
      <x:c r="W178" s="12" t="str">
        <x:v>negative</x:v>
      </x:c>
      <x:c r="X178" s="12"/>
      <x:c r="Y178" s="12" t="str">
        <x:v>negative</x:v>
      </x:c>
      <x:c r="Z178" s="12" t="str">
        <x:f>IF(OR(W178="unavailable",Y178="unavailable"),"不可评价",IF(OR(W178="equivocal",Y178="equivocal"),"疑似",IF(AND(W178="positive",Y178="positive"),"a",IF(Y178="positive","b",IF(W178="positive","c","d")))))</x:f>
        <x:v>d</x:v>
      </x:c>
      <x:c r="AA178" s="12" t="str">
        <x:f>IF(OR(M178="unavailable",O178="unavailable"),"不可评价",IF(AND(OR(M178="positive",M178="equivocal"),OR(O178="positive",O178="equivocal")),"a",IF(OR(O178="positive",O178="equivocal"),"b",IF(OR(M178="positive",M178="equivocal"),"c","d"))))</x:f>
        <x:v>d</x:v>
      </x:c>
      <x:c r="AB178" s="12" t="str">
        <x:f>IF(OR(M178="unavailable",O178="unavailable"),"不可评价",IF(AND(M178="positive",O178="positive"),"a",IF(O178="positive","b",IF(M178="positive","c","d"))))</x:f>
        <x:v>d</x:v>
      </x:c>
      <x:c r="AC178" s="12" t="str">
        <x:f>IF(OR(R178="unavailable",T178="unavailable"),"不可评价",IF(AND(OR(R178="positive",R178="equivocal"),OR(T178="positive",T178="equivocal")),"a",IF(OR(T178="positive",T178="equivocal"),"b",IF(OR(R178="positive",R178="equivocal"),"c","d"))))</x:f>
        <x:v>d</x:v>
      </x:c>
      <x:c r="AD178" s="12" t="str">
        <x:f>IF(OR(R178="unavailable",T178="unavailable"),"不可评价",IF(AND(R178="positive",T178="positive"),"a",IF(T178="positive","b",IF(R178="positive","c","d"))))</x:f>
        <x:v>d</x:v>
      </x:c>
      <x:c r="AE178" s="12" t="str">
        <x:f>IF(OR(W178="unavailable",Y178="unavailable"),"不可评价",IF(AND(OR(W178="positive",W178="equivocal"),OR(Y178="positive",Y178="equivocal")),"a",IF(OR(Y178="positive",Y178="equivocal"),"b",IF(OR(W178="positive",W178="equivocal"),"c","d"))))</x:f>
        <x:v>d</x:v>
      </x:c>
      <x:c r="AF178" s="12" t="str">
        <x:f>IF(OR(W178="unavailable",Y178="unavailable"),"不可评价",IF(AND(W178="positive",Y178="positive"),"a",IF(Y178="positive","b",IF(W178="positive","c","d"))))</x:f>
        <x:v>d</x:v>
      </x:c>
    </x:row>
    <x:row r="179" ht="39" customHeight="1">
      <x:c r="A179" s="12" t="str">
        <x:v>1405</x:v>
      </x:c>
      <x:c r="B179" s="12" t="str">
        <x:v>16781</x:v>
      </x:c>
      <x:c r="C179" s="21" t="n">
        <x:v>32201.57888888889</x:v>
      </x:c>
      <x:c r="D179" s="12" t="n">
        <x:v>70</x:v>
      </x:c>
      <x:c r="E179" s="12" t="n">
        <x:v>1</x:v>
      </x:c>
      <x:c r="F179" s="12" t="str">
        <x:v>存在</x:v>
      </x:c>
      <x:c r="G179" s="12" t="n">
        <x:v>1</x:v>
      </x:c>
      <x:c r="H179" s="12" t="str">
        <x:v>{'ASMI': 100.0, 'SR': 0.0}</x:v>
      </x:c>
      <x:c r="I179" s="12" t="str">
        <x:v>[('SRTH', 100.0), ('SAR', 100.0), ('$SFUS', 100.0), ('IVCB', 100.0), ('LMI;AU', 50.0), ('AB', 100.0)]</x:v>
      </x:c>
      <x:c r="J179" s="12" t="str">
        <x:v>ptbxl_database.csv；ecg_id=1405；scp_codes</x:v>
      </x:c>
      <x:c r="K179" s="12" t="str">
        <x:v>12sl_statements.csv；ecg_id=1405；statements_ext_snomed</x:v>
      </x:c>
      <x:c r="L179" s="12"/>
      <x:c r="M179" s="12" t="str">
        <x:v>negative</x:v>
      </x:c>
      <x:c r="N179" s="12"/>
      <x:c r="O179" s="12" t="str">
        <x:v>negative</x:v>
      </x:c>
      <x:c r="P179" s="12" t="str">
        <x:f>IF(OR(M179="unavailable",O179="unavailable"),"不可评价",IF(OR(M179="equivocal",O179="equivocal"),"疑似",IF(AND(M179="positive",O179="positive"),"a",IF(O179="positive","b",IF(M179="positive","c","d")))))</x:f>
        <x:v>d</x:v>
      </x:c>
      <x:c r="Q179" s="12"/>
      <x:c r="R179" s="12" t="str">
        <x:v>negative</x:v>
      </x:c>
      <x:c r="S179" s="12"/>
      <x:c r="T179" s="12" t="str">
        <x:v>negative</x:v>
      </x:c>
      <x:c r="U179" s="12" t="str">
        <x:f>IF(OR(R179="unavailable",T179="unavailable"),"不可评价",IF(OR(R179="equivocal",T179="equivocal"),"疑似",IF(AND(R179="positive",T179="positive"),"a",IF(T179="positive","b",IF(R179="positive","c","d")))))</x:f>
        <x:v>d</x:v>
      </x:c>
      <x:c r="V179" s="12"/>
      <x:c r="W179" s="12" t="str">
        <x:v>negative</x:v>
      </x:c>
      <x:c r="X179" s="12"/>
      <x:c r="Y179" s="12" t="str">
        <x:v>negative</x:v>
      </x:c>
      <x:c r="Z179" s="12" t="str">
        <x:f>IF(OR(W179="unavailable",Y179="unavailable"),"不可评价",IF(OR(W179="equivocal",Y179="equivocal"),"疑似",IF(AND(W179="positive",Y179="positive"),"a",IF(Y179="positive","b",IF(W179="positive","c","d")))))</x:f>
        <x:v>d</x:v>
      </x:c>
      <x:c r="AA179" s="12" t="str">
        <x:f>IF(OR(M179="unavailable",O179="unavailable"),"不可评价",IF(AND(OR(M179="positive",M179="equivocal"),OR(O179="positive",O179="equivocal")),"a",IF(OR(O179="positive",O179="equivocal"),"b",IF(OR(M179="positive",M179="equivocal"),"c","d"))))</x:f>
        <x:v>d</x:v>
      </x:c>
      <x:c r="AB179" s="12" t="str">
        <x:f>IF(OR(M179="unavailable",O179="unavailable"),"不可评价",IF(AND(M179="positive",O179="positive"),"a",IF(O179="positive","b",IF(M179="positive","c","d"))))</x:f>
        <x:v>d</x:v>
      </x:c>
      <x:c r="AC179" s="12" t="str">
        <x:f>IF(OR(R179="unavailable",T179="unavailable"),"不可评价",IF(AND(OR(R179="positive",R179="equivocal"),OR(T179="positive",T179="equivocal")),"a",IF(OR(T179="positive",T179="equivocal"),"b",IF(OR(R179="positive",R179="equivocal"),"c","d"))))</x:f>
        <x:v>d</x:v>
      </x:c>
      <x:c r="AD179" s="12" t="str">
        <x:f>IF(OR(R179="unavailable",T179="unavailable"),"不可评价",IF(AND(R179="positive",T179="positive"),"a",IF(T179="positive","b",IF(R179="positive","c","d"))))</x:f>
        <x:v>d</x:v>
      </x:c>
      <x:c r="AE179" s="12" t="str">
        <x:f>IF(OR(W179="unavailable",Y179="unavailable"),"不可评价",IF(AND(OR(W179="positive",W179="equivocal"),OR(Y179="positive",Y179="equivocal")),"a",IF(OR(Y179="positive",Y179="equivocal"),"b",IF(OR(W179="positive",W179="equivocal"),"c","d"))))</x:f>
        <x:v>d</x:v>
      </x:c>
      <x:c r="AF179" s="12" t="str">
        <x:f>IF(OR(W179="unavailable",Y179="unavailable"),"不可评价",IF(AND(W179="positive",Y179="positive"),"a",IF(Y179="positive","b",IF(W179="positive","c","d"))))</x:f>
        <x:v>d</x:v>
      </x:c>
    </x:row>
    <x:row r="180" ht="24" customHeight="1">
      <x:c r="A180" s="12" t="str">
        <x:v>1416</x:v>
      </x:c>
      <x:c r="B180" s="12" t="str">
        <x:v>16693</x:v>
      </x:c>
      <x:c r="C180" s="21" t="n">
        <x:v>32202.613796296297</x:v>
      </x:c>
      <x:c r="D180" s="12" t="n">
        <x:v>66</x:v>
      </x:c>
      <x:c r="E180" s="12" t="n">
        <x:v>1</x:v>
      </x:c>
      <x:c r="F180" s="12" t="str">
        <x:v>未记录</x:v>
      </x:c>
      <x:c r="G180" s="12" t="n">
        <x:v>1</x:v>
      </x:c>
      <x:c r="H180" s="12" t="str">
        <x:v>{'IVCD': 100.0, 'PVC': 100.0, 'SR': 0.0}</x:v>
      </x:c>
      <x:c r="I180" s="12" t="str">
        <x:v>[('SRTH', 100.0), ('PVC', 100.0), ('ABR', 100.0)]</x:v>
      </x:c>
      <x:c r="J180" s="12" t="str">
        <x:v>ptbxl_database.csv；ecg_id=1416；scp_codes</x:v>
      </x:c>
      <x:c r="K180" s="12" t="str">
        <x:v>12sl_statements.csv；ecg_id=1416；statements_ext_snomed</x:v>
      </x:c>
      <x:c r="L180" s="12"/>
      <x:c r="M180" s="12" t="str">
        <x:v>negative</x:v>
      </x:c>
      <x:c r="N180" s="12"/>
      <x:c r="O180" s="12" t="str">
        <x:v>negative</x:v>
      </x:c>
      <x:c r="P180" s="12" t="str">
        <x:f>IF(OR(M180="unavailable",O180="unavailable"),"不可评价",IF(OR(M180="equivocal",O180="equivocal"),"疑似",IF(AND(M180="positive",O180="positive"),"a",IF(O180="positive","b",IF(M180="positive","c","d")))))</x:f>
        <x:v>d</x:v>
      </x:c>
      <x:c r="Q180" s="12"/>
      <x:c r="R180" s="12" t="str">
        <x:v>negative</x:v>
      </x:c>
      <x:c r="S180" s="12"/>
      <x:c r="T180" s="12" t="str">
        <x:v>negative</x:v>
      </x:c>
      <x:c r="U180" s="12" t="str">
        <x:f>IF(OR(R180="unavailable",T180="unavailable"),"不可评价",IF(OR(R180="equivocal",T180="equivocal"),"疑似",IF(AND(R180="positive",T180="positive"),"a",IF(T180="positive","b",IF(R180="positive","c","d")))))</x:f>
        <x:v>d</x:v>
      </x:c>
      <x:c r="V180" s="12"/>
      <x:c r="W180" s="12" t="str">
        <x:v>negative</x:v>
      </x:c>
      <x:c r="X180" s="12"/>
      <x:c r="Y180" s="12" t="str">
        <x:v>negative</x:v>
      </x:c>
      <x:c r="Z180" s="12" t="str">
        <x:f>IF(OR(W180="unavailable",Y180="unavailable"),"不可评价",IF(OR(W180="equivocal",Y180="equivocal"),"疑似",IF(AND(W180="positive",Y180="positive"),"a",IF(Y180="positive","b",IF(W180="positive","c","d")))))</x:f>
        <x:v>d</x:v>
      </x:c>
      <x:c r="AA180" s="12" t="str">
        <x:f>IF(OR(M180="unavailable",O180="unavailable"),"不可评价",IF(AND(OR(M180="positive",M180="equivocal"),OR(O180="positive",O180="equivocal")),"a",IF(OR(O180="positive",O180="equivocal"),"b",IF(OR(M180="positive",M180="equivocal"),"c","d"))))</x:f>
        <x:v>d</x:v>
      </x:c>
      <x:c r="AB180" s="12" t="str">
        <x:f>IF(OR(M180="unavailable",O180="unavailable"),"不可评价",IF(AND(M180="positive",O180="positive"),"a",IF(O180="positive","b",IF(M180="positive","c","d"))))</x:f>
        <x:v>d</x:v>
      </x:c>
      <x:c r="AC180" s="12" t="str">
        <x:f>IF(OR(R180="unavailable",T180="unavailable"),"不可评价",IF(AND(OR(R180="positive",R180="equivocal"),OR(T180="positive",T180="equivocal")),"a",IF(OR(T180="positive",T180="equivocal"),"b",IF(OR(R180="positive",R180="equivocal"),"c","d"))))</x:f>
        <x:v>d</x:v>
      </x:c>
      <x:c r="AD180" s="12" t="str">
        <x:f>IF(OR(R180="unavailable",T180="unavailable"),"不可评价",IF(AND(R180="positive",T180="positive"),"a",IF(T180="positive","b",IF(R180="positive","c","d"))))</x:f>
        <x:v>d</x:v>
      </x:c>
      <x:c r="AE180" s="12" t="str">
        <x:f>IF(OR(W180="unavailable",Y180="unavailable"),"不可评价",IF(AND(OR(W180="positive",W180="equivocal"),OR(Y180="positive",Y180="equivocal")),"a",IF(OR(Y180="positive",Y180="equivocal"),"b",IF(OR(W180="positive",W180="equivocal"),"c","d"))))</x:f>
        <x:v>d</x:v>
      </x:c>
      <x:c r="AF180" s="12" t="str">
        <x:f>IF(OR(W180="unavailable",Y180="unavailable"),"不可评价",IF(AND(W180="positive",Y180="positive"),"a",IF(Y180="positive","b",IF(W180="positive","c","d"))))</x:f>
        <x:v>d</x:v>
      </x:c>
    </x:row>
    <x:row r="181" ht="24" customHeight="1">
      <x:c r="A181" s="12" t="str">
        <x:v>1424</x:v>
      </x:c>
      <x:c r="B181" s="12" t="str">
        <x:v>8130</x:v>
      </x:c>
      <x:c r="C181" s="21" t="n">
        <x:v>32206.46439814815</x:v>
      </x:c>
      <x:c r="D181" s="12" t="n">
        <x:v>78</x:v>
      </x:c>
      <x:c r="E181" s="12" t="n">
        <x:v>1</x:v>
      </x:c>
      <x:c r="F181" s="12" t="str">
        <x:v>存在</x:v>
      </x:c>
      <x:c r="G181" s="12" t="n">
        <x:v>1</x:v>
      </x:c>
      <x:c r="H181" s="12" t="str">
        <x:v>{'CRBBB': 100.0, 'ISCIN': 100.0, 'SR': 0.0}</x:v>
      </x:c>
      <x:c r="I181" s="12" t="str">
        <x:v>[('NSR', 100.0), ('RBBB', 100.0), ('IMI;AU', 100.0), ('AB', 100.0)]</x:v>
      </x:c>
      <x:c r="J181" s="12" t="str">
        <x:v>ptbxl_database.csv；ecg_id=1424；scp_codes</x:v>
      </x:c>
      <x:c r="K181" s="12" t="str">
        <x:v>12sl_statements.csv；ecg_id=1424；statements_ext_snomed</x:v>
      </x:c>
      <x:c r="L181" s="12"/>
      <x:c r="M181" s="12" t="str">
        <x:v>negative</x:v>
      </x:c>
      <x:c r="N181" s="12"/>
      <x:c r="O181" s="12" t="str">
        <x:v>negative</x:v>
      </x:c>
      <x:c r="P181" s="12" t="str">
        <x:f>IF(OR(M181="unavailable",O181="unavailable"),"不可评价",IF(OR(M181="equivocal",O181="equivocal"),"疑似",IF(AND(M181="positive",O181="positive"),"a",IF(O181="positive","b",IF(M181="positive","c","d")))))</x:f>
        <x:v>d</x:v>
      </x:c>
      <x:c r="Q181" s="12"/>
      <x:c r="R181" s="12" t="str">
        <x:v>negative</x:v>
      </x:c>
      <x:c r="S181" s="12"/>
      <x:c r="T181" s="12" t="str">
        <x:v>negative</x:v>
      </x:c>
      <x:c r="U181" s="12" t="str">
        <x:f>IF(OR(R181="unavailable",T181="unavailable"),"不可评价",IF(OR(R181="equivocal",T181="equivocal"),"疑似",IF(AND(R181="positive",T181="positive"),"a",IF(T181="positive","b",IF(R181="positive","c","d")))))</x:f>
        <x:v>d</x:v>
      </x:c>
      <x:c r="V181" s="12" t="n">
        <x:v>100</x:v>
      </x:c>
      <x:c r="W181" s="12" t="str">
        <x:v>positive</x:v>
      </x:c>
      <x:c r="X181" s="12" t="n">
        <x:v>100</x:v>
      </x:c>
      <x:c r="Y181" s="12" t="str">
        <x:v>positive</x:v>
      </x:c>
      <x:c r="Z181" s="12" t="str">
        <x:f>IF(OR(W181="unavailable",Y181="unavailable"),"不可评价",IF(OR(W181="equivocal",Y181="equivocal"),"疑似",IF(AND(W181="positive",Y181="positive"),"a",IF(Y181="positive","b",IF(W181="positive","c","d")))))</x:f>
        <x:v>a</x:v>
      </x:c>
      <x:c r="AA181" s="12" t="str">
        <x:f>IF(OR(M181="unavailable",O181="unavailable"),"不可评价",IF(AND(OR(M181="positive",M181="equivocal"),OR(O181="positive",O181="equivocal")),"a",IF(OR(O181="positive",O181="equivocal"),"b",IF(OR(M181="positive",M181="equivocal"),"c","d"))))</x:f>
        <x:v>d</x:v>
      </x:c>
      <x:c r="AB181" s="12" t="str">
        <x:f>IF(OR(M181="unavailable",O181="unavailable"),"不可评价",IF(AND(M181="positive",O181="positive"),"a",IF(O181="positive","b",IF(M181="positive","c","d"))))</x:f>
        <x:v>d</x:v>
      </x:c>
      <x:c r="AC181" s="12" t="str">
        <x:f>IF(OR(R181="unavailable",T181="unavailable"),"不可评价",IF(AND(OR(R181="positive",R181="equivocal"),OR(T181="positive",T181="equivocal")),"a",IF(OR(T181="positive",T181="equivocal"),"b",IF(OR(R181="positive",R181="equivocal"),"c","d"))))</x:f>
        <x:v>d</x:v>
      </x:c>
      <x:c r="AD181" s="12" t="str">
        <x:f>IF(OR(R181="unavailable",T181="unavailable"),"不可评价",IF(AND(R181="positive",T181="positive"),"a",IF(T181="positive","b",IF(R181="positive","c","d"))))</x:f>
        <x:v>d</x:v>
      </x:c>
      <x:c r="AE181" s="12" t="str">
        <x:f>IF(OR(W181="unavailable",Y181="unavailable"),"不可评价",IF(AND(OR(W181="positive",W181="equivocal"),OR(Y181="positive",Y181="equivocal")),"a",IF(OR(Y181="positive",Y181="equivocal"),"b",IF(OR(W181="positive",W181="equivocal"),"c","d"))))</x:f>
        <x:v>a</x:v>
      </x:c>
      <x:c r="AF181" s="12" t="str">
        <x:f>IF(OR(W181="unavailable",Y181="unavailable"),"不可评价",IF(AND(W181="positive",Y181="positive"),"a",IF(Y181="positive","b",IF(W181="positive","c","d"))))</x:f>
        <x:v>a</x:v>
      </x:c>
    </x:row>
    <x:row r="182" ht="39" customHeight="1">
      <x:c r="A182" s="12" t="str">
        <x:v>1426</x:v>
      </x:c>
      <x:c r="B182" s="12" t="str">
        <x:v>16997</x:v>
      </x:c>
      <x:c r="C182" s="21" t="n">
        <x:v>32206.664594907408</x:v>
      </x:c>
      <x:c r="D182" s="12" t="n">
        <x:v>60</x:v>
      </x:c>
      <x:c r="E182" s="12" t="n">
        <x:v>0</x:v>
      </x:c>
      <x:c r="F182" s="12" t="str">
        <x:v>未记录</x:v>
      </x:c>
      <x:c r="G182" s="12" t="n">
        <x:v>1</x:v>
      </x:c>
      <x:c r="H182" s="12" t="str">
        <x:v>{'LVH': 100.0, 'ISCIN': 100.0, 'PVC': 100.0}</x:v>
      </x:c>
      <x:c r="I182" s="12" t="str">
        <x:v>[('SRTH', 100.0), ('PVC', 100.0), ('BAE', 100.0), ('LVH2', 100.0), ('QRSW', 100.0), ('LNGQT', 100.0), ('AB', 100.0)]</x:v>
      </x:c>
      <x:c r="J182" s="12" t="str">
        <x:v>ptbxl_database.csv；ecg_id=1426；scp_codes</x:v>
      </x:c>
      <x:c r="K182" s="12" t="str">
        <x:v>12sl_statements.csv；ecg_id=1426；statements_ext_snomed</x:v>
      </x:c>
      <x:c r="L182" s="12"/>
      <x:c r="M182" s="12" t="str">
        <x:v>negative</x:v>
      </x:c>
      <x:c r="N182" s="12"/>
      <x:c r="O182" s="12" t="str">
        <x:v>negative</x:v>
      </x:c>
      <x:c r="P182" s="12" t="str">
        <x:f>IF(OR(M182="unavailable",O182="unavailable"),"不可评价",IF(OR(M182="equivocal",O182="equivocal"),"疑似",IF(AND(M182="positive",O182="positive"),"a",IF(O182="positive","b",IF(M182="positive","c","d")))))</x:f>
        <x:v>d</x:v>
      </x:c>
      <x:c r="Q182" s="12"/>
      <x:c r="R182" s="12" t="str">
        <x:v>negative</x:v>
      </x:c>
      <x:c r="S182" s="12"/>
      <x:c r="T182" s="12" t="str">
        <x:v>negative</x:v>
      </x:c>
      <x:c r="U182" s="12" t="str">
        <x:f>IF(OR(R182="unavailable",T182="unavailable"),"不可评价",IF(OR(R182="equivocal",T182="equivocal"),"疑似",IF(AND(R182="positive",T182="positive"),"a",IF(T182="positive","b",IF(R182="positive","c","d")))))</x:f>
        <x:v>d</x:v>
      </x:c>
      <x:c r="V182" s="12"/>
      <x:c r="W182" s="12" t="str">
        <x:v>negative</x:v>
      </x:c>
      <x:c r="X182" s="12"/>
      <x:c r="Y182" s="12" t="str">
        <x:v>negative</x:v>
      </x:c>
      <x:c r="Z182" s="12" t="str">
        <x:f>IF(OR(W182="unavailable",Y182="unavailable"),"不可评价",IF(OR(W182="equivocal",Y182="equivocal"),"疑似",IF(AND(W182="positive",Y182="positive"),"a",IF(Y182="positive","b",IF(W182="positive","c","d")))))</x:f>
        <x:v>d</x:v>
      </x:c>
      <x:c r="AA182" s="12" t="str">
        <x:f>IF(OR(M182="unavailable",O182="unavailable"),"不可评价",IF(AND(OR(M182="positive",M182="equivocal"),OR(O182="positive",O182="equivocal")),"a",IF(OR(O182="positive",O182="equivocal"),"b",IF(OR(M182="positive",M182="equivocal"),"c","d"))))</x:f>
        <x:v>d</x:v>
      </x:c>
      <x:c r="AB182" s="12" t="str">
        <x:f>IF(OR(M182="unavailable",O182="unavailable"),"不可评价",IF(AND(M182="positive",O182="positive"),"a",IF(O182="positive","b",IF(M182="positive","c","d"))))</x:f>
        <x:v>d</x:v>
      </x:c>
      <x:c r="AC182" s="12" t="str">
        <x:f>IF(OR(R182="unavailable",T182="unavailable"),"不可评价",IF(AND(OR(R182="positive",R182="equivocal"),OR(T182="positive",T182="equivocal")),"a",IF(OR(T182="positive",T182="equivocal"),"b",IF(OR(R182="positive",R182="equivocal"),"c","d"))))</x:f>
        <x:v>d</x:v>
      </x:c>
      <x:c r="AD182" s="12" t="str">
        <x:f>IF(OR(R182="unavailable",T182="unavailable"),"不可评价",IF(AND(R182="positive",T182="positive"),"a",IF(T182="positive","b",IF(R182="positive","c","d"))))</x:f>
        <x:v>d</x:v>
      </x:c>
      <x:c r="AE182" s="12" t="str">
        <x:f>IF(OR(W182="unavailable",Y182="unavailable"),"不可评价",IF(AND(OR(W182="positive",W182="equivocal"),OR(Y182="positive",Y182="equivocal")),"a",IF(OR(Y182="positive",Y182="equivocal"),"b",IF(OR(W182="positive",W182="equivocal"),"c","d"))))</x:f>
        <x:v>d</x:v>
      </x:c>
      <x:c r="AF182" s="12" t="str">
        <x:f>IF(OR(W182="unavailable",Y182="unavailable"),"不可评价",IF(AND(W182="positive",Y182="positive"),"a",IF(Y182="positive","b",IF(W182="positive","c","d"))))</x:f>
        <x:v>d</x:v>
      </x:c>
    </x:row>
    <x:row r="183" ht="24" customHeight="1">
      <x:c r="A183" s="12" t="str">
        <x:v>1429</x:v>
      </x:c>
      <x:c r="B183" s="12" t="str">
        <x:v>15586</x:v>
      </x:c>
      <x:c r="C183" s="21" t="n">
        <x:v>32207.426736111112</x:v>
      </x:c>
      <x:c r="D183" s="12" t="n">
        <x:v>62</x:v>
      </x:c>
      <x:c r="E183" s="12" t="n">
        <x:v>1</x:v>
      </x:c>
      <x:c r="F183" s="12" t="str">
        <x:v>未记录</x:v>
      </x:c>
      <x:c r="G183" s="12" t="n">
        <x:v>1</x:v>
      </x:c>
      <x:c r="H183" s="12" t="str">
        <x:v>{'ISCAL': 100.0, 'SR': 0.0}</x:v>
      </x:c>
      <x:c r="I183" s="12" t="str">
        <x:v>[('NSR', 100.0), ('NSTT', 100.0), ('AB', 100.0)]</x:v>
      </x:c>
      <x:c r="J183" s="12" t="str">
        <x:v>ptbxl_database.csv；ecg_id=1429；scp_codes</x:v>
      </x:c>
      <x:c r="K183" s="12" t="str">
        <x:v>12sl_statements.csv；ecg_id=1429；statements_ext_snomed</x:v>
      </x:c>
      <x:c r="L183" s="12"/>
      <x:c r="M183" s="12" t="str">
        <x:v>negative</x:v>
      </x:c>
      <x:c r="N183" s="12"/>
      <x:c r="O183" s="12" t="str">
        <x:v>negative</x:v>
      </x:c>
      <x:c r="P183" s="12" t="str">
        <x:f>IF(OR(M183="unavailable",O183="unavailable"),"不可评价",IF(OR(M183="equivocal",O183="equivocal"),"疑似",IF(AND(M183="positive",O183="positive"),"a",IF(O183="positive","b",IF(M183="positive","c","d")))))</x:f>
        <x:v>d</x:v>
      </x:c>
      <x:c r="Q183" s="12"/>
      <x:c r="R183" s="12" t="str">
        <x:v>negative</x:v>
      </x:c>
      <x:c r="S183" s="12"/>
      <x:c r="T183" s="12" t="str">
        <x:v>negative</x:v>
      </x:c>
      <x:c r="U183" s="12" t="str">
        <x:f>IF(OR(R183="unavailable",T183="unavailable"),"不可评价",IF(OR(R183="equivocal",T183="equivocal"),"疑似",IF(AND(R183="positive",T183="positive"),"a",IF(T183="positive","b",IF(R183="positive","c","d")))))</x:f>
        <x:v>d</x:v>
      </x:c>
      <x:c r="V183" s="12"/>
      <x:c r="W183" s="12" t="str">
        <x:v>negative</x:v>
      </x:c>
      <x:c r="X183" s="12"/>
      <x:c r="Y183" s="12" t="str">
        <x:v>negative</x:v>
      </x:c>
      <x:c r="Z183" s="12" t="str">
        <x:f>IF(OR(W183="unavailable",Y183="unavailable"),"不可评价",IF(OR(W183="equivocal",Y183="equivocal"),"疑似",IF(AND(W183="positive",Y183="positive"),"a",IF(Y183="positive","b",IF(W183="positive","c","d")))))</x:f>
        <x:v>d</x:v>
      </x:c>
      <x:c r="AA183" s="12" t="str">
        <x:f>IF(OR(M183="unavailable",O183="unavailable"),"不可评价",IF(AND(OR(M183="positive",M183="equivocal"),OR(O183="positive",O183="equivocal")),"a",IF(OR(O183="positive",O183="equivocal"),"b",IF(OR(M183="positive",M183="equivocal"),"c","d"))))</x:f>
        <x:v>d</x:v>
      </x:c>
      <x:c r="AB183" s="12" t="str">
        <x:f>IF(OR(M183="unavailable",O183="unavailable"),"不可评价",IF(AND(M183="positive",O183="positive"),"a",IF(O183="positive","b",IF(M183="positive","c","d"))))</x:f>
        <x:v>d</x:v>
      </x:c>
      <x:c r="AC183" s="12" t="str">
        <x:f>IF(OR(R183="unavailable",T183="unavailable"),"不可评价",IF(AND(OR(R183="positive",R183="equivocal"),OR(T183="positive",T183="equivocal")),"a",IF(OR(T183="positive",T183="equivocal"),"b",IF(OR(R183="positive",R183="equivocal"),"c","d"))))</x:f>
        <x:v>d</x:v>
      </x:c>
      <x:c r="AD183" s="12" t="str">
        <x:f>IF(OR(R183="unavailable",T183="unavailable"),"不可评价",IF(AND(R183="positive",T183="positive"),"a",IF(T183="positive","b",IF(R183="positive","c","d"))))</x:f>
        <x:v>d</x:v>
      </x:c>
      <x:c r="AE183" s="12" t="str">
        <x:f>IF(OR(W183="unavailable",Y183="unavailable"),"不可评价",IF(AND(OR(W183="positive",W183="equivocal"),OR(Y183="positive",Y183="equivocal")),"a",IF(OR(Y183="positive",Y183="equivocal"),"b",IF(OR(W183="positive",W183="equivocal"),"c","d"))))</x:f>
        <x:v>d</x:v>
      </x:c>
      <x:c r="AF183" s="12" t="str">
        <x:f>IF(OR(W183="unavailable",Y183="unavailable"),"不可评价",IF(AND(W183="positive",Y183="positive"),"a",IF(Y183="positive","b",IF(W183="positive","c","d"))))</x:f>
        <x:v>d</x:v>
      </x:c>
    </x:row>
    <x:row r="184" ht="24" customHeight="1">
      <x:c r="A184" s="12" t="str">
        <x:v>1447</x:v>
      </x:c>
      <x:c r="B184" s="12" t="str">
        <x:v>13478</x:v>
      </x:c>
      <x:c r="C184" s="21" t="n">
        <x:v>32215.43346064815</x:v>
      </x:c>
      <x:c r="D184" s="12" t="n">
        <x:v>64</x:v>
      </x:c>
      <x:c r="E184" s="12" t="n">
        <x:v>1</x:v>
      </x:c>
      <x:c r="F184" s="12" t="str">
        <x:v>存在</x:v>
      </x:c>
      <x:c r="G184" s="12" t="n">
        <x:v>1</x:v>
      </x:c>
      <x:c r="H184" s="12" t="str">
        <x:v>{'ASMI': 15.0, 'LAO/LAE': 50.0}</x:v>
      </x:c>
      <x:c r="I184" s="12" t="str">
        <x:v>[('SRTH', 100.0), ('PAC', 100.0), ('ABR', 100.0)]</x:v>
      </x:c>
      <x:c r="J184" s="12" t="str">
        <x:v>ptbxl_database.csv；ecg_id=1447；scp_codes</x:v>
      </x:c>
      <x:c r="K184" s="12" t="str">
        <x:v>12sl_statements.csv；ecg_id=1447；statements_ext_snomed</x:v>
      </x:c>
      <x:c r="L184" s="12"/>
      <x:c r="M184" s="12" t="str">
        <x:v>negative</x:v>
      </x:c>
      <x:c r="N184" s="12"/>
      <x:c r="O184" s="12" t="str">
        <x:v>negative</x:v>
      </x:c>
      <x:c r="P184" s="12" t="str">
        <x:f>IF(OR(M184="unavailable",O184="unavailable"),"不可评价",IF(OR(M184="equivocal",O184="equivocal"),"疑似",IF(AND(M184="positive",O184="positive"),"a",IF(O184="positive","b",IF(M184="positive","c","d")))))</x:f>
        <x:v>d</x:v>
      </x:c>
      <x:c r="Q184" s="12"/>
      <x:c r="R184" s="12" t="str">
        <x:v>negative</x:v>
      </x:c>
      <x:c r="S184" s="12"/>
      <x:c r="T184" s="12" t="str">
        <x:v>negative</x:v>
      </x:c>
      <x:c r="U184" s="12" t="str">
        <x:f>IF(OR(R184="unavailable",T184="unavailable"),"不可评价",IF(OR(R184="equivocal",T184="equivocal"),"疑似",IF(AND(R184="positive",T184="positive"),"a",IF(T184="positive","b",IF(R184="positive","c","d")))))</x:f>
        <x:v>d</x:v>
      </x:c>
      <x:c r="V184" s="12"/>
      <x:c r="W184" s="12" t="str">
        <x:v>negative</x:v>
      </x:c>
      <x:c r="X184" s="12"/>
      <x:c r="Y184" s="12" t="str">
        <x:v>negative</x:v>
      </x:c>
      <x:c r="Z184" s="12" t="str">
        <x:f>IF(OR(W184="unavailable",Y184="unavailable"),"不可评价",IF(OR(W184="equivocal",Y184="equivocal"),"疑似",IF(AND(W184="positive",Y184="positive"),"a",IF(Y184="positive","b",IF(W184="positive","c","d")))))</x:f>
        <x:v>d</x:v>
      </x:c>
      <x:c r="AA184" s="12" t="str">
        <x:f>IF(OR(M184="unavailable",O184="unavailable"),"不可评价",IF(AND(OR(M184="positive",M184="equivocal"),OR(O184="positive",O184="equivocal")),"a",IF(OR(O184="positive",O184="equivocal"),"b",IF(OR(M184="positive",M184="equivocal"),"c","d"))))</x:f>
        <x:v>d</x:v>
      </x:c>
      <x:c r="AB184" s="12" t="str">
        <x:f>IF(OR(M184="unavailable",O184="unavailable"),"不可评价",IF(AND(M184="positive",O184="positive"),"a",IF(O184="positive","b",IF(M184="positive","c","d"))))</x:f>
        <x:v>d</x:v>
      </x:c>
      <x:c r="AC184" s="12" t="str">
        <x:f>IF(OR(R184="unavailable",T184="unavailable"),"不可评价",IF(AND(OR(R184="positive",R184="equivocal"),OR(T184="positive",T184="equivocal")),"a",IF(OR(T184="positive",T184="equivocal"),"b",IF(OR(R184="positive",R184="equivocal"),"c","d"))))</x:f>
        <x:v>d</x:v>
      </x:c>
      <x:c r="AD184" s="12" t="str">
        <x:f>IF(OR(R184="unavailable",T184="unavailable"),"不可评价",IF(AND(R184="positive",T184="positive"),"a",IF(T184="positive","b",IF(R184="positive","c","d"))))</x:f>
        <x:v>d</x:v>
      </x:c>
      <x:c r="AE184" s="12" t="str">
        <x:f>IF(OR(W184="unavailable",Y184="unavailable"),"不可评价",IF(AND(OR(W184="positive",W184="equivocal"),OR(Y184="positive",Y184="equivocal")),"a",IF(OR(Y184="positive",Y184="equivocal"),"b",IF(OR(W184="positive",W184="equivocal"),"c","d"))))</x:f>
        <x:v>d</x:v>
      </x:c>
      <x:c r="AF184" s="12" t="str">
        <x:f>IF(OR(W184="unavailable",Y184="unavailable"),"不可评价",IF(AND(W184="positive",Y184="positive"),"a",IF(Y184="positive","b",IF(W184="positive","c","d"))))</x:f>
        <x:v>d</x:v>
      </x:c>
    </x:row>
    <x:row r="185" ht="39" customHeight="1">
      <x:c r="A185" s="12" t="str">
        <x:v>1456</x:v>
      </x:c>
      <x:c r="B185" s="12" t="str">
        <x:v>13776</x:v>
      </x:c>
      <x:c r="C185" s="21" t="n">
        <x:v>32216.729421296295</x:v>
      </x:c>
      <x:c r="D185" s="12" t="n">
        <x:v>78</x:v>
      </x:c>
      <x:c r="E185" s="12" t="n">
        <x:v>0</x:v>
      </x:c>
      <x:c r="F185" s="12" t="str">
        <x:v>存在</x:v>
      </x:c>
      <x:c r="G185" s="12" t="n">
        <x:v>1</x:v>
      </x:c>
      <x:c r="H185" s="12" t="str">
        <x:v>{'ISC_': 100.0}</x:v>
      </x:c>
      <x:c r="I185" s="12" t="str">
        <x:v>[('AFIB', 100.0), ('RVR', 100.0), ('IVCD', 100.0), ('ISBINJ', 100.0), ('ASBINJ', 100.0), ('AB', 100.0)]</x:v>
      </x:c>
      <x:c r="J185" s="12" t="str">
        <x:v>ptbxl_database.csv；ecg_id=1456；scp_codes</x:v>
      </x:c>
      <x:c r="K185" s="12" t="str">
        <x:v>12sl_statements.csv；ecg_id=1456；statements_ext_snomed</x:v>
      </x:c>
      <x:c r="L185" s="12"/>
      <x:c r="M185" s="12" t="str">
        <x:v>negative</x:v>
      </x:c>
      <x:c r="N185" s="12" t="n">
        <x:v>100</x:v>
      </x:c>
      <x:c r="O185" s="12" t="str">
        <x:v>positive</x:v>
      </x:c>
      <x:c r="P185" s="12" t="str">
        <x:f>IF(OR(M185="unavailable",O185="unavailable"),"不可评价",IF(OR(M185="equivocal",O185="equivocal"),"疑似",IF(AND(M185="positive",O185="positive"),"a",IF(O185="positive","b",IF(M185="positive","c","d")))))</x:f>
        <x:v>b</x:v>
      </x:c>
      <x:c r="Q185" s="12"/>
      <x:c r="R185" s="12" t="str">
        <x:v>negative</x:v>
      </x:c>
      <x:c r="S185" s="12"/>
      <x:c r="T185" s="12" t="str">
        <x:v>negative</x:v>
      </x:c>
      <x:c r="U185" s="12" t="str">
        <x:f>IF(OR(R185="unavailable",T185="unavailable"),"不可评价",IF(OR(R185="equivocal",T185="equivocal"),"疑似",IF(AND(R185="positive",T185="positive"),"a",IF(T185="positive","b",IF(R185="positive","c","d")))))</x:f>
        <x:v>d</x:v>
      </x:c>
      <x:c r="V185" s="12"/>
      <x:c r="W185" s="12" t="str">
        <x:v>negative</x:v>
      </x:c>
      <x:c r="X185" s="12"/>
      <x:c r="Y185" s="12" t="str">
        <x:v>negative</x:v>
      </x:c>
      <x:c r="Z185" s="12" t="str">
        <x:f>IF(OR(W185="unavailable",Y185="unavailable"),"不可评价",IF(OR(W185="equivocal",Y185="equivocal"),"疑似",IF(AND(W185="positive",Y185="positive"),"a",IF(Y185="positive","b",IF(W185="positive","c","d")))))</x:f>
        <x:v>d</x:v>
      </x:c>
      <x:c r="AA185" s="12" t="str">
        <x:f>IF(OR(M185="unavailable",O185="unavailable"),"不可评价",IF(AND(OR(M185="positive",M185="equivocal"),OR(O185="positive",O185="equivocal")),"a",IF(OR(O185="positive",O185="equivocal"),"b",IF(OR(M185="positive",M185="equivocal"),"c","d"))))</x:f>
        <x:v>b</x:v>
      </x:c>
      <x:c r="AB185" s="12" t="str">
        <x:f>IF(OR(M185="unavailable",O185="unavailable"),"不可评价",IF(AND(M185="positive",O185="positive"),"a",IF(O185="positive","b",IF(M185="positive","c","d"))))</x:f>
        <x:v>b</x:v>
      </x:c>
      <x:c r="AC185" s="12" t="str">
        <x:f>IF(OR(R185="unavailable",T185="unavailable"),"不可评价",IF(AND(OR(R185="positive",R185="equivocal"),OR(T185="positive",T185="equivocal")),"a",IF(OR(T185="positive",T185="equivocal"),"b",IF(OR(R185="positive",R185="equivocal"),"c","d"))))</x:f>
        <x:v>d</x:v>
      </x:c>
      <x:c r="AD185" s="12" t="str">
        <x:f>IF(OR(R185="unavailable",T185="unavailable"),"不可评价",IF(AND(R185="positive",T185="positive"),"a",IF(T185="positive","b",IF(R185="positive","c","d"))))</x:f>
        <x:v>d</x:v>
      </x:c>
      <x:c r="AE185" s="12" t="str">
        <x:f>IF(OR(W185="unavailable",Y185="unavailable"),"不可评价",IF(AND(OR(W185="positive",W185="equivocal"),OR(Y185="positive",Y185="equivocal")),"a",IF(OR(Y185="positive",Y185="equivocal"),"b",IF(OR(W185="positive",W185="equivocal"),"c","d"))))</x:f>
        <x:v>d</x:v>
      </x:c>
      <x:c r="AF185" s="12" t="str">
        <x:f>IF(OR(W185="unavailable",Y185="unavailable"),"不可评价",IF(AND(W185="positive",Y185="positive"),"a",IF(Y185="positive","b",IF(W185="positive","c","d"))))</x:f>
        <x:v>d</x:v>
      </x:c>
    </x:row>
    <x:row r="186" ht="24" customHeight="1">
      <x:c r="A186" s="12" t="str">
        <x:v>1458</x:v>
      </x:c>
      <x:c r="B186" s="12" t="str">
        <x:v>8150</x:v>
      </x:c>
      <x:c r="C186" s="21" t="n">
        <x:v>32217.60814814815</x:v>
      </x:c>
      <x:c r="D186" s="12" t="n">
        <x:v>20</x:v>
      </x:c>
      <x:c r="E186" s="12" t="n">
        <x:v>1</x:v>
      </x:c>
      <x:c r="F186" s="12" t="str">
        <x:v>存在</x:v>
      </x:c>
      <x:c r="G186" s="12" t="n">
        <x:v>1</x:v>
      </x:c>
      <x:c r="H186" s="12" t="str">
        <x:v>{'NORM': 100.0}</x:v>
      </x:c>
      <x:c r="I186" s="12" t="str">
        <x:v>[('NSR', 100.0), ('SAR', 100.0), ('NT', 100.0), ('AB', 100.0)]</x:v>
      </x:c>
      <x:c r="J186" s="12" t="str">
        <x:v>ptbxl_database.csv；ecg_id=1458；scp_codes</x:v>
      </x:c>
      <x:c r="K186" s="12" t="str">
        <x:v>12sl_statements.csv；ecg_id=1458；statements_ext_snomed</x:v>
      </x:c>
      <x:c r="L186" s="12"/>
      <x:c r="M186" s="12" t="str">
        <x:v>negative</x:v>
      </x:c>
      <x:c r="N186" s="12"/>
      <x:c r="O186" s="12" t="str">
        <x:v>negative</x:v>
      </x:c>
      <x:c r="P186" s="12" t="str">
        <x:f>IF(OR(M186="unavailable",O186="unavailable"),"不可评价",IF(OR(M186="equivocal",O186="equivocal"),"疑似",IF(AND(M186="positive",O186="positive"),"a",IF(O186="positive","b",IF(M186="positive","c","d")))))</x:f>
        <x:v>d</x:v>
      </x:c>
      <x:c r="Q186" s="12"/>
      <x:c r="R186" s="12" t="str">
        <x:v>negative</x:v>
      </x:c>
      <x:c r="S186" s="12"/>
      <x:c r="T186" s="12" t="str">
        <x:v>negative</x:v>
      </x:c>
      <x:c r="U186" s="12" t="str">
        <x:f>IF(OR(R186="unavailable",T186="unavailable"),"不可评价",IF(OR(R186="equivocal",T186="equivocal"),"疑似",IF(AND(R186="positive",T186="positive"),"a",IF(T186="positive","b",IF(R186="positive","c","d")))))</x:f>
        <x:v>d</x:v>
      </x:c>
      <x:c r="V186" s="12"/>
      <x:c r="W186" s="12" t="str">
        <x:v>negative</x:v>
      </x:c>
      <x:c r="X186" s="12"/>
      <x:c r="Y186" s="12" t="str">
        <x:v>negative</x:v>
      </x:c>
      <x:c r="Z186" s="12" t="str">
        <x:f>IF(OR(W186="unavailable",Y186="unavailable"),"不可评价",IF(OR(W186="equivocal",Y186="equivocal"),"疑似",IF(AND(W186="positive",Y186="positive"),"a",IF(Y186="positive","b",IF(W186="positive","c","d")))))</x:f>
        <x:v>d</x:v>
      </x:c>
      <x:c r="AA186" s="12" t="str">
        <x:f>IF(OR(M186="unavailable",O186="unavailable"),"不可评价",IF(AND(OR(M186="positive",M186="equivocal"),OR(O186="positive",O186="equivocal")),"a",IF(OR(O186="positive",O186="equivocal"),"b",IF(OR(M186="positive",M186="equivocal"),"c","d"))))</x:f>
        <x:v>d</x:v>
      </x:c>
      <x:c r="AB186" s="12" t="str">
        <x:f>IF(OR(M186="unavailable",O186="unavailable"),"不可评价",IF(AND(M186="positive",O186="positive"),"a",IF(O186="positive","b",IF(M186="positive","c","d"))))</x:f>
        <x:v>d</x:v>
      </x:c>
      <x:c r="AC186" s="12" t="str">
        <x:f>IF(OR(R186="unavailable",T186="unavailable"),"不可评价",IF(AND(OR(R186="positive",R186="equivocal"),OR(T186="positive",T186="equivocal")),"a",IF(OR(T186="positive",T186="equivocal"),"b",IF(OR(R186="positive",R186="equivocal"),"c","d"))))</x:f>
        <x:v>d</x:v>
      </x:c>
      <x:c r="AD186" s="12" t="str">
        <x:f>IF(OR(R186="unavailable",T186="unavailable"),"不可评价",IF(AND(R186="positive",T186="positive"),"a",IF(T186="positive","b",IF(R186="positive","c","d"))))</x:f>
        <x:v>d</x:v>
      </x:c>
      <x:c r="AE186" s="12" t="str">
        <x:f>IF(OR(W186="unavailable",Y186="unavailable"),"不可评价",IF(AND(OR(W186="positive",W186="equivocal"),OR(Y186="positive",Y186="equivocal")),"a",IF(OR(Y186="positive",Y186="equivocal"),"b",IF(OR(W186="positive",W186="equivocal"),"c","d"))))</x:f>
        <x:v>d</x:v>
      </x:c>
      <x:c r="AF186" s="12" t="str">
        <x:f>IF(OR(W186="unavailable",Y186="unavailable"),"不可评价",IF(AND(W186="positive",Y186="positive"),"a",IF(Y186="positive","b",IF(W186="positive","c","d"))))</x:f>
        <x:v>d</x:v>
      </x:c>
    </x:row>
    <x:row r="187" ht="24" customHeight="1">
      <x:c r="A187" s="12" t="str">
        <x:v>1468</x:v>
      </x:c>
      <x:c r="B187" s="12" t="str">
        <x:v>13411</x:v>
      </x:c>
      <x:c r="C187" s="21" t="n">
        <x:v>32223.380752314813</x:v>
      </x:c>
      <x:c r="D187" s="12" t="n">
        <x:v>75</x:v>
      </x:c>
      <x:c r="E187" s="12" t="n">
        <x:v>0</x:v>
      </x:c>
      <x:c r="F187" s="12" t="str">
        <x:v>存在</x:v>
      </x:c>
      <x:c r="G187" s="12" t="n">
        <x:v>1</x:v>
      </x:c>
      <x:c r="H187" s="12" t="str">
        <x:v>{'NORM': 100.0, 'SR': 0.0}</x:v>
      </x:c>
      <x:c r="I187" s="12" t="str">
        <x:v>[('NSR', 100.0), ('RAD', 100.0), ('BORDE', 100.0)]</x:v>
      </x:c>
      <x:c r="J187" s="12" t="str">
        <x:v>ptbxl_database.csv；ecg_id=1468；scp_codes</x:v>
      </x:c>
      <x:c r="K187" s="12" t="str">
        <x:v>12sl_statements.csv；ecg_id=1468；statements_ext_snomed</x:v>
      </x:c>
      <x:c r="L187" s="12"/>
      <x:c r="M187" s="12" t="str">
        <x:v>negative</x:v>
      </x:c>
      <x:c r="N187" s="12"/>
      <x:c r="O187" s="12" t="str">
        <x:v>negative</x:v>
      </x:c>
      <x:c r="P187" s="12" t="str">
        <x:f>IF(OR(M187="unavailable",O187="unavailable"),"不可评价",IF(OR(M187="equivocal",O187="equivocal"),"疑似",IF(AND(M187="positive",O187="positive"),"a",IF(O187="positive","b",IF(M187="positive","c","d")))))</x:f>
        <x:v>d</x:v>
      </x:c>
      <x:c r="Q187" s="12"/>
      <x:c r="R187" s="12" t="str">
        <x:v>negative</x:v>
      </x:c>
      <x:c r="S187" s="12"/>
      <x:c r="T187" s="12" t="str">
        <x:v>negative</x:v>
      </x:c>
      <x:c r="U187" s="12" t="str">
        <x:f>IF(OR(R187="unavailable",T187="unavailable"),"不可评价",IF(OR(R187="equivocal",T187="equivocal"),"疑似",IF(AND(R187="positive",T187="positive"),"a",IF(T187="positive","b",IF(R187="positive","c","d")))))</x:f>
        <x:v>d</x:v>
      </x:c>
      <x:c r="V187" s="12"/>
      <x:c r="W187" s="12" t="str">
        <x:v>negative</x:v>
      </x:c>
      <x:c r="X187" s="12"/>
      <x:c r="Y187" s="12" t="str">
        <x:v>negative</x:v>
      </x:c>
      <x:c r="Z187" s="12" t="str">
        <x:f>IF(OR(W187="unavailable",Y187="unavailable"),"不可评价",IF(OR(W187="equivocal",Y187="equivocal"),"疑似",IF(AND(W187="positive",Y187="positive"),"a",IF(Y187="positive","b",IF(W187="positive","c","d")))))</x:f>
        <x:v>d</x:v>
      </x:c>
      <x:c r="AA187" s="12" t="str">
        <x:f>IF(OR(M187="unavailable",O187="unavailable"),"不可评价",IF(AND(OR(M187="positive",M187="equivocal"),OR(O187="positive",O187="equivocal")),"a",IF(OR(O187="positive",O187="equivocal"),"b",IF(OR(M187="positive",M187="equivocal"),"c","d"))))</x:f>
        <x:v>d</x:v>
      </x:c>
      <x:c r="AB187" s="12" t="str">
        <x:f>IF(OR(M187="unavailable",O187="unavailable"),"不可评价",IF(AND(M187="positive",O187="positive"),"a",IF(O187="positive","b",IF(M187="positive","c","d"))))</x:f>
        <x:v>d</x:v>
      </x:c>
      <x:c r="AC187" s="12" t="str">
        <x:f>IF(OR(R187="unavailable",T187="unavailable"),"不可评价",IF(AND(OR(R187="positive",R187="equivocal"),OR(T187="positive",T187="equivocal")),"a",IF(OR(T187="positive",T187="equivocal"),"b",IF(OR(R187="positive",R187="equivocal"),"c","d"))))</x:f>
        <x:v>d</x:v>
      </x:c>
      <x:c r="AD187" s="12" t="str">
        <x:f>IF(OR(R187="unavailable",T187="unavailable"),"不可评价",IF(AND(R187="positive",T187="positive"),"a",IF(T187="positive","b",IF(R187="positive","c","d"))))</x:f>
        <x:v>d</x:v>
      </x:c>
      <x:c r="AE187" s="12" t="str">
        <x:f>IF(OR(W187="unavailable",Y187="unavailable"),"不可评价",IF(AND(OR(W187="positive",W187="equivocal"),OR(Y187="positive",Y187="equivocal")),"a",IF(OR(Y187="positive",Y187="equivocal"),"b",IF(OR(W187="positive",W187="equivocal"),"c","d"))))</x:f>
        <x:v>d</x:v>
      </x:c>
      <x:c r="AF187" s="12" t="str">
        <x:f>IF(OR(W187="unavailable",Y187="unavailable"),"不可评价",IF(AND(W187="positive",Y187="positive"),"a",IF(Y187="positive","b",IF(W187="positive","c","d"))))</x:f>
        <x:v>d</x:v>
      </x:c>
    </x:row>
    <x:row r="188" ht="24" customHeight="1">
      <x:c r="A188" s="12" t="str">
        <x:v>1479</x:v>
      </x:c>
      <x:c r="B188" s="12" t="str">
        <x:v>12663</x:v>
      </x:c>
      <x:c r="C188" s="21" t="n">
        <x:v>32228.61357638889</x:v>
      </x:c>
      <x:c r="D188" s="12" t="n">
        <x:v>49</x:v>
      </x:c>
      <x:c r="E188" s="12" t="n">
        <x:v>0</x:v>
      </x:c>
      <x:c r="F188" s="12" t="str">
        <x:v>未记录</x:v>
      </x:c>
      <x:c r="G188" s="12" t="n">
        <x:v>1</x:v>
      </x:c>
      <x:c r="H188" s="12" t="str">
        <x:v>{'NORM': 100.0, 'SR': 0.0}</x:v>
      </x:c>
      <x:c r="I188" s="12" t="str">
        <x:v>[('NSR', 100.0), ('NML', 100.0)]</x:v>
      </x:c>
      <x:c r="J188" s="12" t="str">
        <x:v>ptbxl_database.csv；ecg_id=1479；scp_codes</x:v>
      </x:c>
      <x:c r="K188" s="12" t="str">
        <x:v>12sl_statements.csv；ecg_id=1479；statements_ext_snomed</x:v>
      </x:c>
      <x:c r="L188" s="12"/>
      <x:c r="M188" s="12" t="str">
        <x:v>negative</x:v>
      </x:c>
      <x:c r="N188" s="12"/>
      <x:c r="O188" s="12" t="str">
        <x:v>negative</x:v>
      </x:c>
      <x:c r="P188" s="12" t="str">
        <x:f>IF(OR(M188="unavailable",O188="unavailable"),"不可评价",IF(OR(M188="equivocal",O188="equivocal"),"疑似",IF(AND(M188="positive",O188="positive"),"a",IF(O188="positive","b",IF(M188="positive","c","d")))))</x:f>
        <x:v>d</x:v>
      </x:c>
      <x:c r="Q188" s="12"/>
      <x:c r="R188" s="12" t="str">
        <x:v>negative</x:v>
      </x:c>
      <x:c r="S188" s="12"/>
      <x:c r="T188" s="12" t="str">
        <x:v>negative</x:v>
      </x:c>
      <x:c r="U188" s="12" t="str">
        <x:f>IF(OR(R188="unavailable",T188="unavailable"),"不可评价",IF(OR(R188="equivocal",T188="equivocal"),"疑似",IF(AND(R188="positive",T188="positive"),"a",IF(T188="positive","b",IF(R188="positive","c","d")))))</x:f>
        <x:v>d</x:v>
      </x:c>
      <x:c r="V188" s="12"/>
      <x:c r="W188" s="12" t="str">
        <x:v>negative</x:v>
      </x:c>
      <x:c r="X188" s="12"/>
      <x:c r="Y188" s="12" t="str">
        <x:v>negative</x:v>
      </x:c>
      <x:c r="Z188" s="12" t="str">
        <x:f>IF(OR(W188="unavailable",Y188="unavailable"),"不可评价",IF(OR(W188="equivocal",Y188="equivocal"),"疑似",IF(AND(W188="positive",Y188="positive"),"a",IF(Y188="positive","b",IF(W188="positive","c","d")))))</x:f>
        <x:v>d</x:v>
      </x:c>
      <x:c r="AA188" s="12" t="str">
        <x:f>IF(OR(M188="unavailable",O188="unavailable"),"不可评价",IF(AND(OR(M188="positive",M188="equivocal"),OR(O188="positive",O188="equivocal")),"a",IF(OR(O188="positive",O188="equivocal"),"b",IF(OR(M188="positive",M188="equivocal"),"c","d"))))</x:f>
        <x:v>d</x:v>
      </x:c>
      <x:c r="AB188" s="12" t="str">
        <x:f>IF(OR(M188="unavailable",O188="unavailable"),"不可评价",IF(AND(M188="positive",O188="positive"),"a",IF(O188="positive","b",IF(M188="positive","c","d"))))</x:f>
        <x:v>d</x:v>
      </x:c>
      <x:c r="AC188" s="12" t="str">
        <x:f>IF(OR(R188="unavailable",T188="unavailable"),"不可评价",IF(AND(OR(R188="positive",R188="equivocal"),OR(T188="positive",T188="equivocal")),"a",IF(OR(T188="positive",T188="equivocal"),"b",IF(OR(R188="positive",R188="equivocal"),"c","d"))))</x:f>
        <x:v>d</x:v>
      </x:c>
      <x:c r="AD188" s="12" t="str">
        <x:f>IF(OR(R188="unavailable",T188="unavailable"),"不可评价",IF(AND(R188="positive",T188="positive"),"a",IF(T188="positive","b",IF(R188="positive","c","d"))))</x:f>
        <x:v>d</x:v>
      </x:c>
      <x:c r="AE188" s="12" t="str">
        <x:f>IF(OR(W188="unavailable",Y188="unavailable"),"不可评价",IF(AND(OR(W188="positive",W188="equivocal"),OR(Y188="positive",Y188="equivocal")),"a",IF(OR(Y188="positive",Y188="equivocal"),"b",IF(OR(W188="positive",W188="equivocal"),"c","d"))))</x:f>
        <x:v>d</x:v>
      </x:c>
      <x:c r="AF188" s="12" t="str">
        <x:f>IF(OR(W188="unavailable",Y188="unavailable"),"不可评价",IF(AND(W188="positive",Y188="positive"),"a",IF(Y188="positive","b",IF(W188="positive","c","d"))))</x:f>
        <x:v>d</x:v>
      </x:c>
    </x:row>
    <x:row r="189" ht="24" customHeight="1">
      <x:c r="A189" s="12" t="str">
        <x:v>1480</x:v>
      </x:c>
      <x:c r="B189" s="12" t="str">
        <x:v>18328</x:v>
      </x:c>
      <x:c r="C189" s="21" t="n">
        <x:v>32229.476967592593</x:v>
      </x:c>
      <x:c r="D189" s="12" t="n">
        <x:v>39</x:v>
      </x:c>
      <x:c r="E189" s="12" t="n">
        <x:v>0</x:v>
      </x:c>
      <x:c r="F189" s="12" t="str">
        <x:v>存在</x:v>
      </x:c>
      <x:c r="G189" s="12" t="n">
        <x:v>1</x:v>
      </x:c>
      <x:c r="H189" s="12" t="str">
        <x:v>{'IMI': 15.0, 'LVH': 50.0, 'NDT': 100.0, 'ABQRS': 0.0, 'SR': 0.0}</x:v>
      </x:c>
      <x:c r="I189" s="12" t="str">
        <x:v>[('NSR', 100.0), ('IMI;AU', 100.0), ('AB', 100.0)]</x:v>
      </x:c>
      <x:c r="J189" s="12" t="str">
        <x:v>ptbxl_database.csv；ecg_id=1480；scp_codes</x:v>
      </x:c>
      <x:c r="K189" s="12" t="str">
        <x:v>12sl_statements.csv；ecg_id=1480；statements_ext_snomed</x:v>
      </x:c>
      <x:c r="L189" s="12"/>
      <x:c r="M189" s="12" t="str">
        <x:v>negative</x:v>
      </x:c>
      <x:c r="N189" s="12"/>
      <x:c r="O189" s="12" t="str">
        <x:v>negative</x:v>
      </x:c>
      <x:c r="P189" s="12" t="str">
        <x:f>IF(OR(M189="unavailable",O189="unavailable"),"不可评价",IF(OR(M189="equivocal",O189="equivocal"),"疑似",IF(AND(M189="positive",O189="positive"),"a",IF(O189="positive","b",IF(M189="positive","c","d")))))</x:f>
        <x:v>d</x:v>
      </x:c>
      <x:c r="Q189" s="12"/>
      <x:c r="R189" s="12" t="str">
        <x:v>negative</x:v>
      </x:c>
      <x:c r="S189" s="12"/>
      <x:c r="T189" s="12" t="str">
        <x:v>negative</x:v>
      </x:c>
      <x:c r="U189" s="12" t="str">
        <x:f>IF(OR(R189="unavailable",T189="unavailable"),"不可评价",IF(OR(R189="equivocal",T189="equivocal"),"疑似",IF(AND(R189="positive",T189="positive"),"a",IF(T189="positive","b",IF(R189="positive","c","d")))))</x:f>
        <x:v>d</x:v>
      </x:c>
      <x:c r="V189" s="12"/>
      <x:c r="W189" s="12" t="str">
        <x:v>negative</x:v>
      </x:c>
      <x:c r="X189" s="12"/>
      <x:c r="Y189" s="12" t="str">
        <x:v>negative</x:v>
      </x:c>
      <x:c r="Z189" s="12" t="str">
        <x:f>IF(OR(W189="unavailable",Y189="unavailable"),"不可评价",IF(OR(W189="equivocal",Y189="equivocal"),"疑似",IF(AND(W189="positive",Y189="positive"),"a",IF(Y189="positive","b",IF(W189="positive","c","d")))))</x:f>
        <x:v>d</x:v>
      </x:c>
      <x:c r="AA189" s="12" t="str">
        <x:f>IF(OR(M189="unavailable",O189="unavailable"),"不可评价",IF(AND(OR(M189="positive",M189="equivocal"),OR(O189="positive",O189="equivocal")),"a",IF(OR(O189="positive",O189="equivocal"),"b",IF(OR(M189="positive",M189="equivocal"),"c","d"))))</x:f>
        <x:v>d</x:v>
      </x:c>
      <x:c r="AB189" s="12" t="str">
        <x:f>IF(OR(M189="unavailable",O189="unavailable"),"不可评价",IF(AND(M189="positive",O189="positive"),"a",IF(O189="positive","b",IF(M189="positive","c","d"))))</x:f>
        <x:v>d</x:v>
      </x:c>
      <x:c r="AC189" s="12" t="str">
        <x:f>IF(OR(R189="unavailable",T189="unavailable"),"不可评价",IF(AND(OR(R189="positive",R189="equivocal"),OR(T189="positive",T189="equivocal")),"a",IF(OR(T189="positive",T189="equivocal"),"b",IF(OR(R189="positive",R189="equivocal"),"c","d"))))</x:f>
        <x:v>d</x:v>
      </x:c>
      <x:c r="AD189" s="12" t="str">
        <x:f>IF(OR(R189="unavailable",T189="unavailable"),"不可评价",IF(AND(R189="positive",T189="positive"),"a",IF(T189="positive","b",IF(R189="positive","c","d"))))</x:f>
        <x:v>d</x:v>
      </x:c>
      <x:c r="AE189" s="12" t="str">
        <x:f>IF(OR(W189="unavailable",Y189="unavailable"),"不可评价",IF(AND(OR(W189="positive",W189="equivocal"),OR(Y189="positive",Y189="equivocal")),"a",IF(OR(Y189="positive",Y189="equivocal"),"b",IF(OR(W189="positive",W189="equivocal"),"c","d"))))</x:f>
        <x:v>d</x:v>
      </x:c>
      <x:c r="AF189" s="12" t="str">
        <x:f>IF(OR(W189="unavailable",Y189="unavailable"),"不可评价",IF(AND(W189="positive",Y189="positive"),"a",IF(Y189="positive","b",IF(W189="positive","c","d"))))</x:f>
        <x:v>d</x:v>
      </x:c>
    </x:row>
    <x:row r="190" ht="24" customHeight="1">
      <x:c r="A190" s="12" t="str">
        <x:v>1487</x:v>
      </x:c>
      <x:c r="B190" s="12" t="str">
        <x:v>14823</x:v>
      </x:c>
      <x:c r="C190" s="21" t="n">
        <x:v>32233.604907407407</x:v>
      </x:c>
      <x:c r="D190" s="12" t="n">
        <x:v>34</x:v>
      </x:c>
      <x:c r="E190" s="12" t="n">
        <x:v>1</x:v>
      </x:c>
      <x:c r="F190" s="12" t="str">
        <x:v>未记录</x:v>
      </x:c>
      <x:c r="G190" s="12" t="n">
        <x:v>1</x:v>
      </x:c>
      <x:c r="H190" s="12" t="str">
        <x:v>{'NORM': 100.0, 'SR': 0.0}</x:v>
      </x:c>
      <x:c r="I190" s="12" t="str">
        <x:v>[('NSR', 100.0), ('NML', 100.0)]</x:v>
      </x:c>
      <x:c r="J190" s="12" t="str">
        <x:v>ptbxl_database.csv；ecg_id=1487；scp_codes</x:v>
      </x:c>
      <x:c r="K190" s="12" t="str">
        <x:v>12sl_statements.csv；ecg_id=1487；statements_ext_snomed</x:v>
      </x:c>
      <x:c r="L190" s="12"/>
      <x:c r="M190" s="12" t="str">
        <x:v>negative</x:v>
      </x:c>
      <x:c r="N190" s="12"/>
      <x:c r="O190" s="12" t="str">
        <x:v>negative</x:v>
      </x:c>
      <x:c r="P190" s="12" t="str">
        <x:f>IF(OR(M190="unavailable",O190="unavailable"),"不可评价",IF(OR(M190="equivocal",O190="equivocal"),"疑似",IF(AND(M190="positive",O190="positive"),"a",IF(O190="positive","b",IF(M190="positive","c","d")))))</x:f>
        <x:v>d</x:v>
      </x:c>
      <x:c r="Q190" s="12"/>
      <x:c r="R190" s="12" t="str">
        <x:v>negative</x:v>
      </x:c>
      <x:c r="S190" s="12"/>
      <x:c r="T190" s="12" t="str">
        <x:v>negative</x:v>
      </x:c>
      <x:c r="U190" s="12" t="str">
        <x:f>IF(OR(R190="unavailable",T190="unavailable"),"不可评价",IF(OR(R190="equivocal",T190="equivocal"),"疑似",IF(AND(R190="positive",T190="positive"),"a",IF(T190="positive","b",IF(R190="positive","c","d")))))</x:f>
        <x:v>d</x:v>
      </x:c>
      <x:c r="V190" s="12"/>
      <x:c r="W190" s="12" t="str">
        <x:v>negative</x:v>
      </x:c>
      <x:c r="X190" s="12"/>
      <x:c r="Y190" s="12" t="str">
        <x:v>negative</x:v>
      </x:c>
      <x:c r="Z190" s="12" t="str">
        <x:f>IF(OR(W190="unavailable",Y190="unavailable"),"不可评价",IF(OR(W190="equivocal",Y190="equivocal"),"疑似",IF(AND(W190="positive",Y190="positive"),"a",IF(Y190="positive","b",IF(W190="positive","c","d")))))</x:f>
        <x:v>d</x:v>
      </x:c>
      <x:c r="AA190" s="12" t="str">
        <x:f>IF(OR(M190="unavailable",O190="unavailable"),"不可评价",IF(AND(OR(M190="positive",M190="equivocal"),OR(O190="positive",O190="equivocal")),"a",IF(OR(O190="positive",O190="equivocal"),"b",IF(OR(M190="positive",M190="equivocal"),"c","d"))))</x:f>
        <x:v>d</x:v>
      </x:c>
      <x:c r="AB190" s="12" t="str">
        <x:f>IF(OR(M190="unavailable",O190="unavailable"),"不可评价",IF(AND(M190="positive",O190="positive"),"a",IF(O190="positive","b",IF(M190="positive","c","d"))))</x:f>
        <x:v>d</x:v>
      </x:c>
      <x:c r="AC190" s="12" t="str">
        <x:f>IF(OR(R190="unavailable",T190="unavailable"),"不可评价",IF(AND(OR(R190="positive",R190="equivocal"),OR(T190="positive",T190="equivocal")),"a",IF(OR(T190="positive",T190="equivocal"),"b",IF(OR(R190="positive",R190="equivocal"),"c","d"))))</x:f>
        <x:v>d</x:v>
      </x:c>
      <x:c r="AD190" s="12" t="str">
        <x:f>IF(OR(R190="unavailable",T190="unavailable"),"不可评价",IF(AND(R190="positive",T190="positive"),"a",IF(T190="positive","b",IF(R190="positive","c","d"))))</x:f>
        <x:v>d</x:v>
      </x:c>
      <x:c r="AE190" s="12" t="str">
        <x:f>IF(OR(W190="unavailable",Y190="unavailable"),"不可评价",IF(AND(OR(W190="positive",W190="equivocal"),OR(Y190="positive",Y190="equivocal")),"a",IF(OR(Y190="positive",Y190="equivocal"),"b",IF(OR(W190="positive",W190="equivocal"),"c","d"))))</x:f>
        <x:v>d</x:v>
      </x:c>
      <x:c r="AF190" s="12" t="str">
        <x:f>IF(OR(W190="unavailable",Y190="unavailable"),"不可评价",IF(AND(W190="positive",Y190="positive"),"a",IF(Y190="positive","b",IF(W190="positive","c","d"))))</x:f>
        <x:v>d</x:v>
      </x:c>
    </x:row>
    <x:row r="191" ht="24" customHeight="1">
      <x:c r="A191" s="12" t="str">
        <x:v>1491</x:v>
      </x:c>
      <x:c r="B191" s="12" t="str">
        <x:v>16837</x:v>
      </x:c>
      <x:c r="C191" s="21" t="n">
        <x:v>32236.317256944443</x:v>
      </x:c>
      <x:c r="D191" s="12" t="n">
        <x:v>70</x:v>
      </x:c>
      <x:c r="E191" s="12" t="n">
        <x:v>1</x:v>
      </x:c>
      <x:c r="F191" s="12" t="str">
        <x:v>未记录</x:v>
      </x:c>
      <x:c r="G191" s="12" t="n">
        <x:v>1</x:v>
      </x:c>
      <x:c r="H191" s="12" t="str">
        <x:v>{'NORM': 100.0, 'SR': 0.0}</x:v>
      </x:c>
      <x:c r="I191" s="12" t="str">
        <x:v>[('NSR', 100.0), ('NML', 100.0)]</x:v>
      </x:c>
      <x:c r="J191" s="12" t="str">
        <x:v>ptbxl_database.csv；ecg_id=1491；scp_codes</x:v>
      </x:c>
      <x:c r="K191" s="12" t="str">
        <x:v>12sl_statements.csv；ecg_id=1491；statements_ext_snomed</x:v>
      </x:c>
      <x:c r="L191" s="12"/>
      <x:c r="M191" s="12" t="str">
        <x:v>negative</x:v>
      </x:c>
      <x:c r="N191" s="12"/>
      <x:c r="O191" s="12" t="str">
        <x:v>negative</x:v>
      </x:c>
      <x:c r="P191" s="12" t="str">
        <x:f>IF(OR(M191="unavailable",O191="unavailable"),"不可评价",IF(OR(M191="equivocal",O191="equivocal"),"疑似",IF(AND(M191="positive",O191="positive"),"a",IF(O191="positive","b",IF(M191="positive","c","d")))))</x:f>
        <x:v>d</x:v>
      </x:c>
      <x:c r="Q191" s="12"/>
      <x:c r="R191" s="12" t="str">
        <x:v>negative</x:v>
      </x:c>
      <x:c r="S191" s="12"/>
      <x:c r="T191" s="12" t="str">
        <x:v>negative</x:v>
      </x:c>
      <x:c r="U191" s="12" t="str">
        <x:f>IF(OR(R191="unavailable",T191="unavailable"),"不可评价",IF(OR(R191="equivocal",T191="equivocal"),"疑似",IF(AND(R191="positive",T191="positive"),"a",IF(T191="positive","b",IF(R191="positive","c","d")))))</x:f>
        <x:v>d</x:v>
      </x:c>
      <x:c r="V191" s="12"/>
      <x:c r="W191" s="12" t="str">
        <x:v>negative</x:v>
      </x:c>
      <x:c r="X191" s="12"/>
      <x:c r="Y191" s="12" t="str">
        <x:v>negative</x:v>
      </x:c>
      <x:c r="Z191" s="12" t="str">
        <x:f>IF(OR(W191="unavailable",Y191="unavailable"),"不可评价",IF(OR(W191="equivocal",Y191="equivocal"),"疑似",IF(AND(W191="positive",Y191="positive"),"a",IF(Y191="positive","b",IF(W191="positive","c","d")))))</x:f>
        <x:v>d</x:v>
      </x:c>
      <x:c r="AA191" s="12" t="str">
        <x:f>IF(OR(M191="unavailable",O191="unavailable"),"不可评价",IF(AND(OR(M191="positive",M191="equivocal"),OR(O191="positive",O191="equivocal")),"a",IF(OR(O191="positive",O191="equivocal"),"b",IF(OR(M191="positive",M191="equivocal"),"c","d"))))</x:f>
        <x:v>d</x:v>
      </x:c>
      <x:c r="AB191" s="12" t="str">
        <x:f>IF(OR(M191="unavailable",O191="unavailable"),"不可评价",IF(AND(M191="positive",O191="positive"),"a",IF(O191="positive","b",IF(M191="positive","c","d"))))</x:f>
        <x:v>d</x:v>
      </x:c>
      <x:c r="AC191" s="12" t="str">
        <x:f>IF(OR(R191="unavailable",T191="unavailable"),"不可评价",IF(AND(OR(R191="positive",R191="equivocal"),OR(T191="positive",T191="equivocal")),"a",IF(OR(T191="positive",T191="equivocal"),"b",IF(OR(R191="positive",R191="equivocal"),"c","d"))))</x:f>
        <x:v>d</x:v>
      </x:c>
      <x:c r="AD191" s="12" t="str">
        <x:f>IF(OR(R191="unavailable",T191="unavailable"),"不可评价",IF(AND(R191="positive",T191="positive"),"a",IF(T191="positive","b",IF(R191="positive","c","d"))))</x:f>
        <x:v>d</x:v>
      </x:c>
      <x:c r="AE191" s="12" t="str">
        <x:f>IF(OR(W191="unavailable",Y191="unavailable"),"不可评价",IF(AND(OR(W191="positive",W191="equivocal"),OR(Y191="positive",Y191="equivocal")),"a",IF(OR(Y191="positive",Y191="equivocal"),"b",IF(OR(W191="positive",W191="equivocal"),"c","d"))))</x:f>
        <x:v>d</x:v>
      </x:c>
      <x:c r="AF191" s="12" t="str">
        <x:f>IF(OR(W191="unavailable",Y191="unavailable"),"不可评价",IF(AND(W191="positive",Y191="positive"),"a",IF(Y191="positive","b",IF(W191="positive","c","d"))))</x:f>
        <x:v>d</x:v>
      </x:c>
    </x:row>
    <x:row r="192" ht="24" customHeight="1">
      <x:c r="A192" s="12" t="str">
        <x:v>1494</x:v>
      </x:c>
      <x:c r="B192" s="12" t="str">
        <x:v>11070</x:v>
      </x:c>
      <x:c r="C192" s="21" t="n">
        <x:v>32239.277407407408</x:v>
      </x:c>
      <x:c r="D192" s="12" t="n">
        <x:v>48</x:v>
      </x:c>
      <x:c r="E192" s="12" t="n">
        <x:v>0</x:v>
      </x:c>
      <x:c r="F192" s="12" t="str">
        <x:v>存在</x:v>
      </x:c>
      <x:c r="G192" s="12" t="n">
        <x:v>0</x:v>
      </x:c>
      <x:c r="H192" s="12" t="str">
        <x:v>{'NORM': 100.0, 'SR': 0.0}</x:v>
      </x:c>
      <x:c r="I192" s="12" t="str">
        <x:v>[('SBRAD', 100.0), ('ABR', 100.0)]</x:v>
      </x:c>
      <x:c r="J192" s="12" t="str">
        <x:v>ptbxl_database.csv；ecg_id=1494；scp_codes</x:v>
      </x:c>
      <x:c r="K192" s="12" t="str">
        <x:v>12sl_statements.csv；ecg_id=1494；statements_ext_snomed</x:v>
      </x:c>
      <x:c r="L192" s="12"/>
      <x:c r="M192" s="12" t="str">
        <x:v>negative</x:v>
      </x:c>
      <x:c r="N192" s="12"/>
      <x:c r="O192" s="12" t="str">
        <x:v>negative</x:v>
      </x:c>
      <x:c r="P192" s="12" t="str">
        <x:f>IF(OR(M192="unavailable",O192="unavailable"),"不可评价",IF(OR(M192="equivocal",O192="equivocal"),"疑似",IF(AND(M192="positive",O192="positive"),"a",IF(O192="positive","b",IF(M192="positive","c","d")))))</x:f>
        <x:v>d</x:v>
      </x:c>
      <x:c r="Q192" s="12"/>
      <x:c r="R192" s="12" t="str">
        <x:v>negative</x:v>
      </x:c>
      <x:c r="S192" s="12"/>
      <x:c r="T192" s="12" t="str">
        <x:v>negative</x:v>
      </x:c>
      <x:c r="U192" s="12" t="str">
        <x:f>IF(OR(R192="unavailable",T192="unavailable"),"不可评价",IF(OR(R192="equivocal",T192="equivocal"),"疑似",IF(AND(R192="positive",T192="positive"),"a",IF(T192="positive","b",IF(R192="positive","c","d")))))</x:f>
        <x:v>d</x:v>
      </x:c>
      <x:c r="V192" s="12"/>
      <x:c r="W192" s="12" t="str">
        <x:v>negative</x:v>
      </x:c>
      <x:c r="X192" s="12"/>
      <x:c r="Y192" s="12" t="str">
        <x:v>negative</x:v>
      </x:c>
      <x:c r="Z192" s="12" t="str">
        <x:f>IF(OR(W192="unavailable",Y192="unavailable"),"不可评价",IF(OR(W192="equivocal",Y192="equivocal"),"疑似",IF(AND(W192="positive",Y192="positive"),"a",IF(Y192="positive","b",IF(W192="positive","c","d")))))</x:f>
        <x:v>d</x:v>
      </x:c>
      <x:c r="AA192" s="12" t="str">
        <x:f>IF(OR(M192="unavailable",O192="unavailable"),"不可评价",IF(AND(OR(M192="positive",M192="equivocal"),OR(O192="positive",O192="equivocal")),"a",IF(OR(O192="positive",O192="equivocal"),"b",IF(OR(M192="positive",M192="equivocal"),"c","d"))))</x:f>
        <x:v>d</x:v>
      </x:c>
      <x:c r="AB192" s="12" t="str">
        <x:f>IF(OR(M192="unavailable",O192="unavailable"),"不可评价",IF(AND(M192="positive",O192="positive"),"a",IF(O192="positive","b",IF(M192="positive","c","d"))))</x:f>
        <x:v>d</x:v>
      </x:c>
      <x:c r="AC192" s="12" t="str">
        <x:f>IF(OR(R192="unavailable",T192="unavailable"),"不可评价",IF(AND(OR(R192="positive",R192="equivocal"),OR(T192="positive",T192="equivocal")),"a",IF(OR(T192="positive",T192="equivocal"),"b",IF(OR(R192="positive",R192="equivocal"),"c","d"))))</x:f>
        <x:v>d</x:v>
      </x:c>
      <x:c r="AD192" s="12" t="str">
        <x:f>IF(OR(R192="unavailable",T192="unavailable"),"不可评价",IF(AND(R192="positive",T192="positive"),"a",IF(T192="positive","b",IF(R192="positive","c","d"))))</x:f>
        <x:v>d</x:v>
      </x:c>
      <x:c r="AE192" s="12" t="str">
        <x:f>IF(OR(W192="unavailable",Y192="unavailable"),"不可评价",IF(AND(OR(W192="positive",W192="equivocal"),OR(Y192="positive",Y192="equivocal")),"a",IF(OR(Y192="positive",Y192="equivocal"),"b",IF(OR(W192="positive",W192="equivocal"),"c","d"))))</x:f>
        <x:v>d</x:v>
      </x:c>
      <x:c r="AF192" s="12" t="str">
        <x:f>IF(OR(W192="unavailable",Y192="unavailable"),"不可评价",IF(AND(W192="positive",Y192="positive"),"a",IF(Y192="positive","b",IF(W192="positive","c","d"))))</x:f>
        <x:v>d</x:v>
      </x:c>
    </x:row>
    <x:row r="193" ht="24" customHeight="1">
      <x:c r="A193" s="12" t="str">
        <x:v>1498</x:v>
      </x:c>
      <x:c r="B193" s="12" t="str">
        <x:v>17124</x:v>
      </x:c>
      <x:c r="C193" s="21" t="n">
        <x:v>32241.325543981482</x:v>
      </x:c>
      <x:c r="D193" s="12" t="n">
        <x:v>42</x:v>
      </x:c>
      <x:c r="E193" s="12" t="n">
        <x:v>0</x:v>
      </x:c>
      <x:c r="F193" s="12" t="str">
        <x:v>存在</x:v>
      </x:c>
      <x:c r="G193" s="12" t="n">
        <x:v>1</x:v>
      </x:c>
      <x:c r="H193" s="12" t="str">
        <x:v>{'NORM': 100.0, 'SR': 0.0}</x:v>
      </x:c>
      <x:c r="I193" s="12" t="str">
        <x:v>[('NSR', 100.0), ('NML', 100.0)]</x:v>
      </x:c>
      <x:c r="J193" s="12" t="str">
        <x:v>ptbxl_database.csv；ecg_id=1498；scp_codes</x:v>
      </x:c>
      <x:c r="K193" s="12" t="str">
        <x:v>12sl_statements.csv；ecg_id=1498；statements_ext_snomed</x:v>
      </x:c>
      <x:c r="L193" s="12"/>
      <x:c r="M193" s="12" t="str">
        <x:v>negative</x:v>
      </x:c>
      <x:c r="N193" s="12"/>
      <x:c r="O193" s="12" t="str">
        <x:v>negative</x:v>
      </x:c>
      <x:c r="P193" s="12" t="str">
        <x:f>IF(OR(M193="unavailable",O193="unavailable"),"不可评价",IF(OR(M193="equivocal",O193="equivocal"),"疑似",IF(AND(M193="positive",O193="positive"),"a",IF(O193="positive","b",IF(M193="positive","c","d")))))</x:f>
        <x:v>d</x:v>
      </x:c>
      <x:c r="Q193" s="12"/>
      <x:c r="R193" s="12" t="str">
        <x:v>negative</x:v>
      </x:c>
      <x:c r="S193" s="12"/>
      <x:c r="T193" s="12" t="str">
        <x:v>negative</x:v>
      </x:c>
      <x:c r="U193" s="12" t="str">
        <x:f>IF(OR(R193="unavailable",T193="unavailable"),"不可评价",IF(OR(R193="equivocal",T193="equivocal"),"疑似",IF(AND(R193="positive",T193="positive"),"a",IF(T193="positive","b",IF(R193="positive","c","d")))))</x:f>
        <x:v>d</x:v>
      </x:c>
      <x:c r="V193" s="12"/>
      <x:c r="W193" s="12" t="str">
        <x:v>negative</x:v>
      </x:c>
      <x:c r="X193" s="12"/>
      <x:c r="Y193" s="12" t="str">
        <x:v>negative</x:v>
      </x:c>
      <x:c r="Z193" s="12" t="str">
        <x:f>IF(OR(W193="unavailable",Y193="unavailable"),"不可评价",IF(OR(W193="equivocal",Y193="equivocal"),"疑似",IF(AND(W193="positive",Y193="positive"),"a",IF(Y193="positive","b",IF(W193="positive","c","d")))))</x:f>
        <x:v>d</x:v>
      </x:c>
      <x:c r="AA193" s="12" t="str">
        <x:f>IF(OR(M193="unavailable",O193="unavailable"),"不可评价",IF(AND(OR(M193="positive",M193="equivocal"),OR(O193="positive",O193="equivocal")),"a",IF(OR(O193="positive",O193="equivocal"),"b",IF(OR(M193="positive",M193="equivocal"),"c","d"))))</x:f>
        <x:v>d</x:v>
      </x:c>
      <x:c r="AB193" s="12" t="str">
        <x:f>IF(OR(M193="unavailable",O193="unavailable"),"不可评价",IF(AND(M193="positive",O193="positive"),"a",IF(O193="positive","b",IF(M193="positive","c","d"))))</x:f>
        <x:v>d</x:v>
      </x:c>
      <x:c r="AC193" s="12" t="str">
        <x:f>IF(OR(R193="unavailable",T193="unavailable"),"不可评价",IF(AND(OR(R193="positive",R193="equivocal"),OR(T193="positive",T193="equivocal")),"a",IF(OR(T193="positive",T193="equivocal"),"b",IF(OR(R193="positive",R193="equivocal"),"c","d"))))</x:f>
        <x:v>d</x:v>
      </x:c>
      <x:c r="AD193" s="12" t="str">
        <x:f>IF(OR(R193="unavailable",T193="unavailable"),"不可评价",IF(AND(R193="positive",T193="positive"),"a",IF(T193="positive","b",IF(R193="positive","c","d"))))</x:f>
        <x:v>d</x:v>
      </x:c>
      <x:c r="AE193" s="12" t="str">
        <x:f>IF(OR(W193="unavailable",Y193="unavailable"),"不可评价",IF(AND(OR(W193="positive",W193="equivocal"),OR(Y193="positive",Y193="equivocal")),"a",IF(OR(Y193="positive",Y193="equivocal"),"b",IF(OR(W193="positive",W193="equivocal"),"c","d"))))</x:f>
        <x:v>d</x:v>
      </x:c>
      <x:c r="AF193" s="12" t="str">
        <x:f>IF(OR(W193="unavailable",Y193="unavailable"),"不可评价",IF(AND(W193="positive",Y193="positive"),"a",IF(Y193="positive","b",IF(W193="positive","c","d"))))</x:f>
        <x:v>d</x:v>
      </x:c>
    </x:row>
    <x:row r="194" ht="24" customHeight="1">
      <x:c r="A194" s="12" t="str">
        <x:v>1522</x:v>
      </x:c>
      <x:c r="B194" s="12" t="str">
        <x:v>2313</x:v>
      </x:c>
      <x:c r="C194" s="21" t="n">
        <x:v>32244.740069444444</x:v>
      </x:c>
      <x:c r="D194" s="12" t="n">
        <x:v>73</x:v>
      </x:c>
      <x:c r="E194" s="12" t="n">
        <x:v>0</x:v>
      </x:c>
      <x:c r="F194" s="12" t="str">
        <x:v>未记录</x:v>
      </x:c>
      <x:c r="G194" s="12" t="n">
        <x:v>1</x:v>
      </x:c>
      <x:c r="H194" s="12" t="str">
        <x:v>{'LVH': 35.0, 'VCLVH': 0.0, 'SR': 0.0}</x:v>
      </x:c>
      <x:c r="I194" s="12" t="str">
        <x:v>[('SBRAD', 100.0), ('BORDE', 100.0)]</x:v>
      </x:c>
      <x:c r="J194" s="12" t="str">
        <x:v>ptbxl_database.csv；ecg_id=1522；scp_codes</x:v>
      </x:c>
      <x:c r="K194" s="12" t="str">
        <x:v>12sl_statements.csv；ecg_id=1522；statements_ext_snomed</x:v>
      </x:c>
      <x:c r="L194" s="12"/>
      <x:c r="M194" s="12" t="str">
        <x:v>negative</x:v>
      </x:c>
      <x:c r="N194" s="12"/>
      <x:c r="O194" s="12" t="str">
        <x:v>negative</x:v>
      </x:c>
      <x:c r="P194" s="12" t="str">
        <x:f>IF(OR(M194="unavailable",O194="unavailable"),"不可评价",IF(OR(M194="equivocal",O194="equivocal"),"疑似",IF(AND(M194="positive",O194="positive"),"a",IF(O194="positive","b",IF(M194="positive","c","d")))))</x:f>
        <x:v>d</x:v>
      </x:c>
      <x:c r="Q194" s="12"/>
      <x:c r="R194" s="12" t="str">
        <x:v>negative</x:v>
      </x:c>
      <x:c r="S194" s="12"/>
      <x:c r="T194" s="12" t="str">
        <x:v>negative</x:v>
      </x:c>
      <x:c r="U194" s="12" t="str">
        <x:f>IF(OR(R194="unavailable",T194="unavailable"),"不可评价",IF(OR(R194="equivocal",T194="equivocal"),"疑似",IF(AND(R194="positive",T194="positive"),"a",IF(T194="positive","b",IF(R194="positive","c","d")))))</x:f>
        <x:v>d</x:v>
      </x:c>
      <x:c r="V194" s="12"/>
      <x:c r="W194" s="12" t="str">
        <x:v>negative</x:v>
      </x:c>
      <x:c r="X194" s="12"/>
      <x:c r="Y194" s="12" t="str">
        <x:v>negative</x:v>
      </x:c>
      <x:c r="Z194" s="12" t="str">
        <x:f>IF(OR(W194="unavailable",Y194="unavailable"),"不可评价",IF(OR(W194="equivocal",Y194="equivocal"),"疑似",IF(AND(W194="positive",Y194="positive"),"a",IF(Y194="positive","b",IF(W194="positive","c","d")))))</x:f>
        <x:v>d</x:v>
      </x:c>
      <x:c r="AA194" s="12" t="str">
        <x:f>IF(OR(M194="unavailable",O194="unavailable"),"不可评价",IF(AND(OR(M194="positive",M194="equivocal"),OR(O194="positive",O194="equivocal")),"a",IF(OR(O194="positive",O194="equivocal"),"b",IF(OR(M194="positive",M194="equivocal"),"c","d"))))</x:f>
        <x:v>d</x:v>
      </x:c>
      <x:c r="AB194" s="12" t="str">
        <x:f>IF(OR(M194="unavailable",O194="unavailable"),"不可评价",IF(AND(M194="positive",O194="positive"),"a",IF(O194="positive","b",IF(M194="positive","c","d"))))</x:f>
        <x:v>d</x:v>
      </x:c>
      <x:c r="AC194" s="12" t="str">
        <x:f>IF(OR(R194="unavailable",T194="unavailable"),"不可评价",IF(AND(OR(R194="positive",R194="equivocal"),OR(T194="positive",T194="equivocal")),"a",IF(OR(T194="positive",T194="equivocal"),"b",IF(OR(R194="positive",R194="equivocal"),"c","d"))))</x:f>
        <x:v>d</x:v>
      </x:c>
      <x:c r="AD194" s="12" t="str">
        <x:f>IF(OR(R194="unavailable",T194="unavailable"),"不可评价",IF(AND(R194="positive",T194="positive"),"a",IF(T194="positive","b",IF(R194="positive","c","d"))))</x:f>
        <x:v>d</x:v>
      </x:c>
      <x:c r="AE194" s="12" t="str">
        <x:f>IF(OR(W194="unavailable",Y194="unavailable"),"不可评价",IF(AND(OR(W194="positive",W194="equivocal"),OR(Y194="positive",Y194="equivocal")),"a",IF(OR(Y194="positive",Y194="equivocal"),"b",IF(OR(W194="positive",W194="equivocal"),"c","d"))))</x:f>
        <x:v>d</x:v>
      </x:c>
      <x:c r="AF194" s="12" t="str">
        <x:f>IF(OR(W194="unavailable",Y194="unavailable"),"不可评价",IF(AND(W194="positive",Y194="positive"),"a",IF(Y194="positive","b",IF(W194="positive","c","d"))))</x:f>
        <x:v>d</x:v>
      </x:c>
    </x:row>
    <x:row r="195" ht="24" customHeight="1">
      <x:c r="A195" s="12" t="str">
        <x:v>1534</x:v>
      </x:c>
      <x:c r="B195" s="12" t="str">
        <x:v>7120</x:v>
      </x:c>
      <x:c r="C195" s="21" t="n">
        <x:v>32248.40884259259</x:v>
      </x:c>
      <x:c r="D195" s="12" t="n">
        <x:v>45</x:v>
      </x:c>
      <x:c r="E195" s="12" t="n">
        <x:v>0</x:v>
      </x:c>
      <x:c r="F195" s="12" t="str">
        <x:v>未记录</x:v>
      </x:c>
      <x:c r="G195" s="12" t="n">
        <x:v>1</x:v>
      </x:c>
      <x:c r="H195" s="12" t="str">
        <x:v>{'LVH': 35.0, 'VCLVH': 0.0, 'SR': 0.0}</x:v>
      </x:c>
      <x:c r="I195" s="12" t="str">
        <x:v>[('NSR', 100.0), ('BORDE', 100.0)]</x:v>
      </x:c>
      <x:c r="J195" s="12" t="str">
        <x:v>ptbxl_database.csv；ecg_id=1534；scp_codes</x:v>
      </x:c>
      <x:c r="K195" s="12" t="str">
        <x:v>12sl_statements.csv；ecg_id=1534；statements_ext_snomed</x:v>
      </x:c>
      <x:c r="L195" s="12"/>
      <x:c r="M195" s="12" t="str">
        <x:v>negative</x:v>
      </x:c>
      <x:c r="N195" s="12"/>
      <x:c r="O195" s="12" t="str">
        <x:v>negative</x:v>
      </x:c>
      <x:c r="P195" s="12" t="str">
        <x:f>IF(OR(M195="unavailable",O195="unavailable"),"不可评价",IF(OR(M195="equivocal",O195="equivocal"),"疑似",IF(AND(M195="positive",O195="positive"),"a",IF(O195="positive","b",IF(M195="positive","c","d")))))</x:f>
        <x:v>d</x:v>
      </x:c>
      <x:c r="Q195" s="12"/>
      <x:c r="R195" s="12" t="str">
        <x:v>negative</x:v>
      </x:c>
      <x:c r="S195" s="12"/>
      <x:c r="T195" s="12" t="str">
        <x:v>negative</x:v>
      </x:c>
      <x:c r="U195" s="12" t="str">
        <x:f>IF(OR(R195="unavailable",T195="unavailable"),"不可评价",IF(OR(R195="equivocal",T195="equivocal"),"疑似",IF(AND(R195="positive",T195="positive"),"a",IF(T195="positive","b",IF(R195="positive","c","d")))))</x:f>
        <x:v>d</x:v>
      </x:c>
      <x:c r="V195" s="12"/>
      <x:c r="W195" s="12" t="str">
        <x:v>negative</x:v>
      </x:c>
      <x:c r="X195" s="12"/>
      <x:c r="Y195" s="12" t="str">
        <x:v>negative</x:v>
      </x:c>
      <x:c r="Z195" s="12" t="str">
        <x:f>IF(OR(W195="unavailable",Y195="unavailable"),"不可评价",IF(OR(W195="equivocal",Y195="equivocal"),"疑似",IF(AND(W195="positive",Y195="positive"),"a",IF(Y195="positive","b",IF(W195="positive","c","d")))))</x:f>
        <x:v>d</x:v>
      </x:c>
      <x:c r="AA195" s="12" t="str">
        <x:f>IF(OR(M195="unavailable",O195="unavailable"),"不可评价",IF(AND(OR(M195="positive",M195="equivocal"),OR(O195="positive",O195="equivocal")),"a",IF(OR(O195="positive",O195="equivocal"),"b",IF(OR(M195="positive",M195="equivocal"),"c","d"))))</x:f>
        <x:v>d</x:v>
      </x:c>
      <x:c r="AB195" s="12" t="str">
        <x:f>IF(OR(M195="unavailable",O195="unavailable"),"不可评价",IF(AND(M195="positive",O195="positive"),"a",IF(O195="positive","b",IF(M195="positive","c","d"))))</x:f>
        <x:v>d</x:v>
      </x:c>
      <x:c r="AC195" s="12" t="str">
        <x:f>IF(OR(R195="unavailable",T195="unavailable"),"不可评价",IF(AND(OR(R195="positive",R195="equivocal"),OR(T195="positive",T195="equivocal")),"a",IF(OR(T195="positive",T195="equivocal"),"b",IF(OR(R195="positive",R195="equivocal"),"c","d"))))</x:f>
        <x:v>d</x:v>
      </x:c>
      <x:c r="AD195" s="12" t="str">
        <x:f>IF(OR(R195="unavailable",T195="unavailable"),"不可评价",IF(AND(R195="positive",T195="positive"),"a",IF(T195="positive","b",IF(R195="positive","c","d"))))</x:f>
        <x:v>d</x:v>
      </x:c>
      <x:c r="AE195" s="12" t="str">
        <x:f>IF(OR(W195="unavailable",Y195="unavailable"),"不可评价",IF(AND(OR(W195="positive",W195="equivocal"),OR(Y195="positive",Y195="equivocal")),"a",IF(OR(Y195="positive",Y195="equivocal"),"b",IF(OR(W195="positive",W195="equivocal"),"c","d"))))</x:f>
        <x:v>d</x:v>
      </x:c>
      <x:c r="AF195" s="12" t="str">
        <x:f>IF(OR(W195="unavailable",Y195="unavailable"),"不可评价",IF(AND(W195="positive",Y195="positive"),"a",IF(Y195="positive","b",IF(W195="positive","c","d"))))</x:f>
        <x:v>d</x:v>
      </x:c>
    </x:row>
    <x:row r="196" ht="24" customHeight="1">
      <x:c r="A196" s="12" t="str">
        <x:v>1556</x:v>
      </x:c>
      <x:c r="B196" s="12" t="str">
        <x:v>3392</x:v>
      </x:c>
      <x:c r="C196" s="21" t="n">
        <x:v>32250.294444444444</x:v>
      </x:c>
      <x:c r="D196" s="12" t="n">
        <x:v>80</x:v>
      </x:c>
      <x:c r="E196" s="12" t="n">
        <x:v>1</x:v>
      </x:c>
      <x:c r="F196" s="12" t="str">
        <x:v>未记录</x:v>
      </x:c>
      <x:c r="G196" s="12" t="n">
        <x:v>1</x:v>
      </x:c>
      <x:c r="H196" s="12" t="str">
        <x:v>{'IMI': 50.0, 'LAO/LAE': 50.0, 'STD_': 0.0, 'STACH': 0.0}</x:v>
      </x:c>
      <x:c r="I196" s="12" t="str">
        <x:v>[('STACH', 100.0), ('NSTT', 100.0), ('AB', 100.0)]</x:v>
      </x:c>
      <x:c r="J196" s="12" t="str">
        <x:v>ptbxl_database.csv；ecg_id=1556；scp_codes</x:v>
      </x:c>
      <x:c r="K196" s="12" t="str">
        <x:v>12sl_statements.csv；ecg_id=1556；statements_ext_snomed</x:v>
      </x:c>
      <x:c r="L196" s="12"/>
      <x:c r="M196" s="12" t="str">
        <x:v>negative</x:v>
      </x:c>
      <x:c r="N196" s="12"/>
      <x:c r="O196" s="12" t="str">
        <x:v>negative</x:v>
      </x:c>
      <x:c r="P196" s="12" t="str">
        <x:f>IF(OR(M196="unavailable",O196="unavailable"),"不可评价",IF(OR(M196="equivocal",O196="equivocal"),"疑似",IF(AND(M196="positive",O196="positive"),"a",IF(O196="positive","b",IF(M196="positive","c","d")))))</x:f>
        <x:v>d</x:v>
      </x:c>
      <x:c r="Q196" s="12"/>
      <x:c r="R196" s="12" t="str">
        <x:v>negative</x:v>
      </x:c>
      <x:c r="S196" s="12"/>
      <x:c r="T196" s="12" t="str">
        <x:v>negative</x:v>
      </x:c>
      <x:c r="U196" s="12" t="str">
        <x:f>IF(OR(R196="unavailable",T196="unavailable"),"不可评价",IF(OR(R196="equivocal",T196="equivocal"),"疑似",IF(AND(R196="positive",T196="positive"),"a",IF(T196="positive","b",IF(R196="positive","c","d")))))</x:f>
        <x:v>d</x:v>
      </x:c>
      <x:c r="V196" s="12"/>
      <x:c r="W196" s="12" t="str">
        <x:v>negative</x:v>
      </x:c>
      <x:c r="X196" s="12"/>
      <x:c r="Y196" s="12" t="str">
        <x:v>negative</x:v>
      </x:c>
      <x:c r="Z196" s="12" t="str">
        <x:f>IF(OR(W196="unavailable",Y196="unavailable"),"不可评价",IF(OR(W196="equivocal",Y196="equivocal"),"疑似",IF(AND(W196="positive",Y196="positive"),"a",IF(Y196="positive","b",IF(W196="positive","c","d")))))</x:f>
        <x:v>d</x:v>
      </x:c>
      <x:c r="AA196" s="12" t="str">
        <x:f>IF(OR(M196="unavailable",O196="unavailable"),"不可评价",IF(AND(OR(M196="positive",M196="equivocal"),OR(O196="positive",O196="equivocal")),"a",IF(OR(O196="positive",O196="equivocal"),"b",IF(OR(M196="positive",M196="equivocal"),"c","d"))))</x:f>
        <x:v>d</x:v>
      </x:c>
      <x:c r="AB196" s="12" t="str">
        <x:f>IF(OR(M196="unavailable",O196="unavailable"),"不可评价",IF(AND(M196="positive",O196="positive"),"a",IF(O196="positive","b",IF(M196="positive","c","d"))))</x:f>
        <x:v>d</x:v>
      </x:c>
      <x:c r="AC196" s="12" t="str">
        <x:f>IF(OR(R196="unavailable",T196="unavailable"),"不可评价",IF(AND(OR(R196="positive",R196="equivocal"),OR(T196="positive",T196="equivocal")),"a",IF(OR(T196="positive",T196="equivocal"),"b",IF(OR(R196="positive",R196="equivocal"),"c","d"))))</x:f>
        <x:v>d</x:v>
      </x:c>
      <x:c r="AD196" s="12" t="str">
        <x:f>IF(OR(R196="unavailable",T196="unavailable"),"不可评价",IF(AND(R196="positive",T196="positive"),"a",IF(T196="positive","b",IF(R196="positive","c","d"))))</x:f>
        <x:v>d</x:v>
      </x:c>
      <x:c r="AE196" s="12" t="str">
        <x:f>IF(OR(W196="unavailable",Y196="unavailable"),"不可评价",IF(AND(OR(W196="positive",W196="equivocal"),OR(Y196="positive",Y196="equivocal")),"a",IF(OR(Y196="positive",Y196="equivocal"),"b",IF(OR(W196="positive",W196="equivocal"),"c","d"))))</x:f>
        <x:v>d</x:v>
      </x:c>
      <x:c r="AF196" s="12" t="str">
        <x:f>IF(OR(W196="unavailable",Y196="unavailable"),"不可评价",IF(AND(W196="positive",Y196="positive"),"a",IF(Y196="positive","b",IF(W196="positive","c","d"))))</x:f>
        <x:v>d</x:v>
      </x:c>
    </x:row>
    <x:row r="197" ht="24" customHeight="1">
      <x:c r="A197" s="12" t="str">
        <x:v>1564</x:v>
      </x:c>
      <x:c r="B197" s="12" t="str">
        <x:v>2281</x:v>
      </x:c>
      <x:c r="C197" s="21" t="n">
        <x:v>32250.705104166667</x:v>
      </x:c>
      <x:c r="D197" s="12" t="n">
        <x:v>76</x:v>
      </x:c>
      <x:c r="E197" s="12" t="n">
        <x:v>0</x:v>
      </x:c>
      <x:c r="F197" s="12" t="str">
        <x:v>未记录</x:v>
      </x:c>
      <x:c r="G197" s="12" t="n">
        <x:v>1</x:v>
      </x:c>
      <x:c r="H197" s="12" t="str">
        <x:v>{'CLBBB': 100.0}</x:v>
      </x:c>
      <x:c r="I197" s="12" t="str">
        <x:v>[('SBRAD', 100.0), ('FAV', 100.0), ('PAC', 100.0), ('LBBB', 100.0), ('AB', 100.0)]</x:v>
      </x:c>
      <x:c r="J197" s="12" t="str">
        <x:v>ptbxl_database.csv；ecg_id=1564；scp_codes</x:v>
      </x:c>
      <x:c r="K197" s="12" t="str">
        <x:v>12sl_statements.csv；ecg_id=1564；statements_ext_snomed</x:v>
      </x:c>
      <x:c r="L197" s="12"/>
      <x:c r="M197" s="12" t="str">
        <x:v>negative</x:v>
      </x:c>
      <x:c r="N197" s="12"/>
      <x:c r="O197" s="12" t="str">
        <x:v>negative</x:v>
      </x:c>
      <x:c r="P197" s="12" t="str">
        <x:f>IF(OR(M197="unavailable",O197="unavailable"),"不可评价",IF(OR(M197="equivocal",O197="equivocal"),"疑似",IF(AND(M197="positive",O197="positive"),"a",IF(O197="positive","b",IF(M197="positive","c","d")))))</x:f>
        <x:v>d</x:v>
      </x:c>
      <x:c r="Q197" s="12" t="n">
        <x:v>100</x:v>
      </x:c>
      <x:c r="R197" s="12" t="str">
        <x:v>positive</x:v>
      </x:c>
      <x:c r="S197" s="12" t="n">
        <x:v>100</x:v>
      </x:c>
      <x:c r="T197" s="12" t="str">
        <x:v>positive</x:v>
      </x:c>
      <x:c r="U197" s="12" t="str">
        <x:f>IF(OR(R197="unavailable",T197="unavailable"),"不可评价",IF(OR(R197="equivocal",T197="equivocal"),"疑似",IF(AND(R197="positive",T197="positive"),"a",IF(T197="positive","b",IF(R197="positive","c","d")))))</x:f>
        <x:v>a</x:v>
      </x:c>
      <x:c r="V197" s="12"/>
      <x:c r="W197" s="12" t="str">
        <x:v>negative</x:v>
      </x:c>
      <x:c r="X197" s="12"/>
      <x:c r="Y197" s="12" t="str">
        <x:v>negative</x:v>
      </x:c>
      <x:c r="Z197" s="12" t="str">
        <x:f>IF(OR(W197="unavailable",Y197="unavailable"),"不可评价",IF(OR(W197="equivocal",Y197="equivocal"),"疑似",IF(AND(W197="positive",Y197="positive"),"a",IF(Y197="positive","b",IF(W197="positive","c","d")))))</x:f>
        <x:v>d</x:v>
      </x:c>
      <x:c r="AA197" s="12" t="str">
        <x:f>IF(OR(M197="unavailable",O197="unavailable"),"不可评价",IF(AND(OR(M197="positive",M197="equivocal"),OR(O197="positive",O197="equivocal")),"a",IF(OR(O197="positive",O197="equivocal"),"b",IF(OR(M197="positive",M197="equivocal"),"c","d"))))</x:f>
        <x:v>d</x:v>
      </x:c>
      <x:c r="AB197" s="12" t="str">
        <x:f>IF(OR(M197="unavailable",O197="unavailable"),"不可评价",IF(AND(M197="positive",O197="positive"),"a",IF(O197="positive","b",IF(M197="positive","c","d"))))</x:f>
        <x:v>d</x:v>
      </x:c>
      <x:c r="AC197" s="12" t="str">
        <x:f>IF(OR(R197="unavailable",T197="unavailable"),"不可评价",IF(AND(OR(R197="positive",R197="equivocal"),OR(T197="positive",T197="equivocal")),"a",IF(OR(T197="positive",T197="equivocal"),"b",IF(OR(R197="positive",R197="equivocal"),"c","d"))))</x:f>
        <x:v>a</x:v>
      </x:c>
      <x:c r="AD197" s="12" t="str">
        <x:f>IF(OR(R197="unavailable",T197="unavailable"),"不可评价",IF(AND(R197="positive",T197="positive"),"a",IF(T197="positive","b",IF(R197="positive","c","d"))))</x:f>
        <x:v>a</x:v>
      </x:c>
      <x:c r="AE197" s="12" t="str">
        <x:f>IF(OR(W197="unavailable",Y197="unavailable"),"不可评价",IF(AND(OR(W197="positive",W197="equivocal"),OR(Y197="positive",Y197="equivocal")),"a",IF(OR(Y197="positive",Y197="equivocal"),"b",IF(OR(W197="positive",W197="equivocal"),"c","d"))))</x:f>
        <x:v>d</x:v>
      </x:c>
      <x:c r="AF197" s="12" t="str">
        <x:f>IF(OR(W197="unavailable",Y197="unavailable"),"不可评价",IF(AND(W197="positive",Y197="positive"),"a",IF(Y197="positive","b",IF(W197="positive","c","d"))))</x:f>
        <x:v>d</x:v>
      </x:c>
    </x:row>
    <x:row r="198" ht="24" customHeight="1">
      <x:c r="A198" s="12" t="str">
        <x:v>1571</x:v>
      </x:c>
      <x:c r="B198" s="12" t="str">
        <x:v>11710</x:v>
      </x:c>
      <x:c r="C198" s="21" t="n">
        <x:v>32254.74533564815</x:v>
      </x:c>
      <x:c r="D198" s="12" t="n">
        <x:v>79</x:v>
      </x:c>
      <x:c r="E198" s="12" t="n">
        <x:v>0</x:v>
      </x:c>
      <x:c r="F198" s="12" t="str">
        <x:v>未记录</x:v>
      </x:c>
      <x:c r="G198" s="12" t="n">
        <x:v>1</x:v>
      </x:c>
      <x:c r="H198" s="12" t="str">
        <x:v>{'IMI': 35.0, 'IVCD': 100.0, 'TAB_': 0.0, 'STD_': 0.0, 'SR': 0.0}</x:v>
      </x:c>
      <x:c r="I198" s="12" t="str">
        <x:v>[('NSR', 100.0), ('LAD3', 100.0), ('IMI;AU', 100.0), ('AB', 100.0)]</x:v>
      </x:c>
      <x:c r="J198" s="12" t="str">
        <x:v>ptbxl_database.csv；ecg_id=1571；scp_codes</x:v>
      </x:c>
      <x:c r="K198" s="12" t="str">
        <x:v>12sl_statements.csv；ecg_id=1571；statements_ext_snomed</x:v>
      </x:c>
      <x:c r="L198" s="12"/>
      <x:c r="M198" s="12" t="str">
        <x:v>negative</x:v>
      </x:c>
      <x:c r="N198" s="12"/>
      <x:c r="O198" s="12" t="str">
        <x:v>negative</x:v>
      </x:c>
      <x:c r="P198" s="12" t="str">
        <x:f>IF(OR(M198="unavailable",O198="unavailable"),"不可评价",IF(OR(M198="equivocal",O198="equivocal"),"疑似",IF(AND(M198="positive",O198="positive"),"a",IF(O198="positive","b",IF(M198="positive","c","d")))))</x:f>
        <x:v>d</x:v>
      </x:c>
      <x:c r="Q198" s="12"/>
      <x:c r="R198" s="12" t="str">
        <x:v>negative</x:v>
      </x:c>
      <x:c r="S198" s="12"/>
      <x:c r="T198" s="12" t="str">
        <x:v>negative</x:v>
      </x:c>
      <x:c r="U198" s="12" t="str">
        <x:f>IF(OR(R198="unavailable",T198="unavailable"),"不可评价",IF(OR(R198="equivocal",T198="equivocal"),"疑似",IF(AND(R198="positive",T198="positive"),"a",IF(T198="positive","b",IF(R198="positive","c","d")))))</x:f>
        <x:v>d</x:v>
      </x:c>
      <x:c r="V198" s="12"/>
      <x:c r="W198" s="12" t="str">
        <x:v>negative</x:v>
      </x:c>
      <x:c r="X198" s="12"/>
      <x:c r="Y198" s="12" t="str">
        <x:v>negative</x:v>
      </x:c>
      <x:c r="Z198" s="12" t="str">
        <x:f>IF(OR(W198="unavailable",Y198="unavailable"),"不可评价",IF(OR(W198="equivocal",Y198="equivocal"),"疑似",IF(AND(W198="positive",Y198="positive"),"a",IF(Y198="positive","b",IF(W198="positive","c","d")))))</x:f>
        <x:v>d</x:v>
      </x:c>
      <x:c r="AA198" s="12" t="str">
        <x:f>IF(OR(M198="unavailable",O198="unavailable"),"不可评价",IF(AND(OR(M198="positive",M198="equivocal"),OR(O198="positive",O198="equivocal")),"a",IF(OR(O198="positive",O198="equivocal"),"b",IF(OR(M198="positive",M198="equivocal"),"c","d"))))</x:f>
        <x:v>d</x:v>
      </x:c>
      <x:c r="AB198" s="12" t="str">
        <x:f>IF(OR(M198="unavailable",O198="unavailable"),"不可评价",IF(AND(M198="positive",O198="positive"),"a",IF(O198="positive","b",IF(M198="positive","c","d"))))</x:f>
        <x:v>d</x:v>
      </x:c>
      <x:c r="AC198" s="12" t="str">
        <x:f>IF(OR(R198="unavailable",T198="unavailable"),"不可评价",IF(AND(OR(R198="positive",R198="equivocal"),OR(T198="positive",T198="equivocal")),"a",IF(OR(T198="positive",T198="equivocal"),"b",IF(OR(R198="positive",R198="equivocal"),"c","d"))))</x:f>
        <x:v>d</x:v>
      </x:c>
      <x:c r="AD198" s="12" t="str">
        <x:f>IF(OR(R198="unavailable",T198="unavailable"),"不可评价",IF(AND(R198="positive",T198="positive"),"a",IF(T198="positive","b",IF(R198="positive","c","d"))))</x:f>
        <x:v>d</x:v>
      </x:c>
      <x:c r="AE198" s="12" t="str">
        <x:f>IF(OR(W198="unavailable",Y198="unavailable"),"不可评价",IF(AND(OR(W198="positive",W198="equivocal"),OR(Y198="positive",Y198="equivocal")),"a",IF(OR(Y198="positive",Y198="equivocal"),"b",IF(OR(W198="positive",W198="equivocal"),"c","d"))))</x:f>
        <x:v>d</x:v>
      </x:c>
      <x:c r="AF198" s="12" t="str">
        <x:f>IF(OR(W198="unavailable",Y198="unavailable"),"不可评价",IF(AND(W198="positive",Y198="positive"),"a",IF(Y198="positive","b",IF(W198="positive","c","d"))))</x:f>
        <x:v>d</x:v>
      </x:c>
    </x:row>
    <x:row r="199" ht="24" customHeight="1">
      <x:c r="A199" s="12" t="str">
        <x:v>1589</x:v>
      </x:c>
      <x:c r="B199" s="12" t="str">
        <x:v>3555</x:v>
      </x:c>
      <x:c r="C199" s="21" t="n">
        <x:v>32257.302372685186</x:v>
      </x:c>
      <x:c r="D199" s="12" t="n">
        <x:v>55</x:v>
      </x:c>
      <x:c r="E199" s="12" t="n">
        <x:v>1</x:v>
      </x:c>
      <x:c r="F199" s="12" t="str">
        <x:v>未记录</x:v>
      </x:c>
      <x:c r="G199" s="12" t="n">
        <x:v>1</x:v>
      </x:c>
      <x:c r="H199" s="12" t="str">
        <x:v>{'NORM': 100.0, 'SR': 0.0}</x:v>
      </x:c>
      <x:c r="I199" s="12" t="str">
        <x:v>[('NSR', 100.0), ('NML', 100.0)]</x:v>
      </x:c>
      <x:c r="J199" s="12" t="str">
        <x:v>ptbxl_database.csv；ecg_id=1589；scp_codes</x:v>
      </x:c>
      <x:c r="K199" s="12" t="str">
        <x:v>12sl_statements.csv；ecg_id=1589；statements_ext_snomed</x:v>
      </x:c>
      <x:c r="L199" s="12"/>
      <x:c r="M199" s="12" t="str">
        <x:v>negative</x:v>
      </x:c>
      <x:c r="N199" s="12"/>
      <x:c r="O199" s="12" t="str">
        <x:v>negative</x:v>
      </x:c>
      <x:c r="P199" s="12" t="str">
        <x:f>IF(OR(M199="unavailable",O199="unavailable"),"不可评价",IF(OR(M199="equivocal",O199="equivocal"),"疑似",IF(AND(M199="positive",O199="positive"),"a",IF(O199="positive","b",IF(M199="positive","c","d")))))</x:f>
        <x:v>d</x:v>
      </x:c>
      <x:c r="Q199" s="12"/>
      <x:c r="R199" s="12" t="str">
        <x:v>negative</x:v>
      </x:c>
      <x:c r="S199" s="12"/>
      <x:c r="T199" s="12" t="str">
        <x:v>negative</x:v>
      </x:c>
      <x:c r="U199" s="12" t="str">
        <x:f>IF(OR(R199="unavailable",T199="unavailable"),"不可评价",IF(OR(R199="equivocal",T199="equivocal"),"疑似",IF(AND(R199="positive",T199="positive"),"a",IF(T199="positive","b",IF(R199="positive","c","d")))))</x:f>
        <x:v>d</x:v>
      </x:c>
      <x:c r="V199" s="12"/>
      <x:c r="W199" s="12" t="str">
        <x:v>negative</x:v>
      </x:c>
      <x:c r="X199" s="12"/>
      <x:c r="Y199" s="12" t="str">
        <x:v>negative</x:v>
      </x:c>
      <x:c r="Z199" s="12" t="str">
        <x:f>IF(OR(W199="unavailable",Y199="unavailable"),"不可评价",IF(OR(W199="equivocal",Y199="equivocal"),"疑似",IF(AND(W199="positive",Y199="positive"),"a",IF(Y199="positive","b",IF(W199="positive","c","d")))))</x:f>
        <x:v>d</x:v>
      </x:c>
      <x:c r="AA199" s="12" t="str">
        <x:f>IF(OR(M199="unavailable",O199="unavailable"),"不可评价",IF(AND(OR(M199="positive",M199="equivocal"),OR(O199="positive",O199="equivocal")),"a",IF(OR(O199="positive",O199="equivocal"),"b",IF(OR(M199="positive",M199="equivocal"),"c","d"))))</x:f>
        <x:v>d</x:v>
      </x:c>
      <x:c r="AB199" s="12" t="str">
        <x:f>IF(OR(M199="unavailable",O199="unavailable"),"不可评价",IF(AND(M199="positive",O199="positive"),"a",IF(O199="positive","b",IF(M199="positive","c","d"))))</x:f>
        <x:v>d</x:v>
      </x:c>
      <x:c r="AC199" s="12" t="str">
        <x:f>IF(OR(R199="unavailable",T199="unavailable"),"不可评价",IF(AND(OR(R199="positive",R199="equivocal"),OR(T199="positive",T199="equivocal")),"a",IF(OR(T199="positive",T199="equivocal"),"b",IF(OR(R199="positive",R199="equivocal"),"c","d"))))</x:f>
        <x:v>d</x:v>
      </x:c>
      <x:c r="AD199" s="12" t="str">
        <x:f>IF(OR(R199="unavailable",T199="unavailable"),"不可评价",IF(AND(R199="positive",T199="positive"),"a",IF(T199="positive","b",IF(R199="positive","c","d"))))</x:f>
        <x:v>d</x:v>
      </x:c>
      <x:c r="AE199" s="12" t="str">
        <x:f>IF(OR(W199="unavailable",Y199="unavailable"),"不可评价",IF(AND(OR(W199="positive",W199="equivocal"),OR(Y199="positive",Y199="equivocal")),"a",IF(OR(Y199="positive",Y199="equivocal"),"b",IF(OR(W199="positive",W199="equivocal"),"c","d"))))</x:f>
        <x:v>d</x:v>
      </x:c>
      <x:c r="AF199" s="12" t="str">
        <x:f>IF(OR(W199="unavailable",Y199="unavailable"),"不可评价",IF(AND(W199="positive",Y199="positive"),"a",IF(Y199="positive","b",IF(W199="positive","c","d"))))</x:f>
        <x:v>d</x:v>
      </x:c>
    </x:row>
    <x:row r="200" ht="24" customHeight="1">
      <x:c r="A200" s="12" t="str">
        <x:v>1617</x:v>
      </x:c>
      <x:c r="B200" s="12" t="str">
        <x:v>5003</x:v>
      </x:c>
      <x:c r="C200" s="21" t="n">
        <x:v>32261.399074074074</x:v>
      </x:c>
      <x:c r="D200" s="12" t="n">
        <x:v>59</x:v>
      </x:c>
      <x:c r="E200" s="12" t="n">
        <x:v>0</x:v>
      </x:c>
      <x:c r="F200" s="12" t="str">
        <x:v>未记录</x:v>
      </x:c>
      <x:c r="G200" s="12" t="n">
        <x:v>1</x:v>
      </x:c>
      <x:c r="H200" s="12" t="str">
        <x:v>{'NORM': 80.0, 'QWAVE': 0.0, 'SR': 0.0}</x:v>
      </x:c>
      <x:c r="I200" s="12" t="str">
        <x:v>[('NSR', 100.0), ('NML', 100.0)]</x:v>
      </x:c>
      <x:c r="J200" s="12" t="str">
        <x:v>ptbxl_database.csv；ecg_id=1617；scp_codes</x:v>
      </x:c>
      <x:c r="K200" s="12" t="str">
        <x:v>12sl_statements.csv；ecg_id=1617；statements_ext_snomed</x:v>
      </x:c>
      <x:c r="L200" s="12"/>
      <x:c r="M200" s="12" t="str">
        <x:v>negative</x:v>
      </x:c>
      <x:c r="N200" s="12"/>
      <x:c r="O200" s="12" t="str">
        <x:v>negative</x:v>
      </x:c>
      <x:c r="P200" s="12" t="str">
        <x:f>IF(OR(M200="unavailable",O200="unavailable"),"不可评价",IF(OR(M200="equivocal",O200="equivocal"),"疑似",IF(AND(M200="positive",O200="positive"),"a",IF(O200="positive","b",IF(M200="positive","c","d")))))</x:f>
        <x:v>d</x:v>
      </x:c>
      <x:c r="Q200" s="12"/>
      <x:c r="R200" s="12" t="str">
        <x:v>negative</x:v>
      </x:c>
      <x:c r="S200" s="12"/>
      <x:c r="T200" s="12" t="str">
        <x:v>negative</x:v>
      </x:c>
      <x:c r="U200" s="12" t="str">
        <x:f>IF(OR(R200="unavailable",T200="unavailable"),"不可评价",IF(OR(R200="equivocal",T200="equivocal"),"疑似",IF(AND(R200="positive",T200="positive"),"a",IF(T200="positive","b",IF(R200="positive","c","d")))))</x:f>
        <x:v>d</x:v>
      </x:c>
      <x:c r="V200" s="12"/>
      <x:c r="W200" s="12" t="str">
        <x:v>negative</x:v>
      </x:c>
      <x:c r="X200" s="12"/>
      <x:c r="Y200" s="12" t="str">
        <x:v>negative</x:v>
      </x:c>
      <x:c r="Z200" s="12" t="str">
        <x:f>IF(OR(W200="unavailable",Y200="unavailable"),"不可评价",IF(OR(W200="equivocal",Y200="equivocal"),"疑似",IF(AND(W200="positive",Y200="positive"),"a",IF(Y200="positive","b",IF(W200="positive","c","d")))))</x:f>
        <x:v>d</x:v>
      </x:c>
      <x:c r="AA200" s="12" t="str">
        <x:f>IF(OR(M200="unavailable",O200="unavailable"),"不可评价",IF(AND(OR(M200="positive",M200="equivocal"),OR(O200="positive",O200="equivocal")),"a",IF(OR(O200="positive",O200="equivocal"),"b",IF(OR(M200="positive",M200="equivocal"),"c","d"))))</x:f>
        <x:v>d</x:v>
      </x:c>
      <x:c r="AB200" s="12" t="str">
        <x:f>IF(OR(M200="unavailable",O200="unavailable"),"不可评价",IF(AND(M200="positive",O200="positive"),"a",IF(O200="positive","b",IF(M200="positive","c","d"))))</x:f>
        <x:v>d</x:v>
      </x:c>
      <x:c r="AC200" s="12" t="str">
        <x:f>IF(OR(R200="unavailable",T200="unavailable"),"不可评价",IF(AND(OR(R200="positive",R200="equivocal"),OR(T200="positive",T200="equivocal")),"a",IF(OR(T200="positive",T200="equivocal"),"b",IF(OR(R200="positive",R200="equivocal"),"c","d"))))</x:f>
        <x:v>d</x:v>
      </x:c>
      <x:c r="AD200" s="12" t="str">
        <x:f>IF(OR(R200="unavailable",T200="unavailable"),"不可评价",IF(AND(R200="positive",T200="positive"),"a",IF(T200="positive","b",IF(R200="positive","c","d"))))</x:f>
        <x:v>d</x:v>
      </x:c>
      <x:c r="AE200" s="12" t="str">
        <x:f>IF(OR(W200="unavailable",Y200="unavailable"),"不可评价",IF(AND(OR(W200="positive",W200="equivocal"),OR(Y200="positive",Y200="equivocal")),"a",IF(OR(Y200="positive",Y200="equivocal"),"b",IF(OR(W200="positive",W200="equivocal"),"c","d"))))</x:f>
        <x:v>d</x:v>
      </x:c>
      <x:c r="AF200" s="12" t="str">
        <x:f>IF(OR(W200="unavailable",Y200="unavailable"),"不可评价",IF(AND(W200="positive",Y200="positive"),"a",IF(Y200="positive","b",IF(W200="positive","c","d"))))</x:f>
        <x:v>d</x:v>
      </x:c>
    </x:row>
    <x:row r="201" ht="24" customHeight="1">
      <x:c r="A201" s="12" t="str">
        <x:v>1618</x:v>
      </x:c>
      <x:c r="B201" s="12" t="str">
        <x:v>17507</x:v>
      </x:c>
      <x:c r="C201" s="21" t="n">
        <x:v>32261.40587962963</x:v>
      </x:c>
      <x:c r="D201" s="12" t="n">
        <x:v>39</x:v>
      </x:c>
      <x:c r="E201" s="12" t="n">
        <x:v>1</x:v>
      </x:c>
      <x:c r="F201" s="12" t="str">
        <x:v>存在</x:v>
      </x:c>
      <x:c r="G201" s="12" t="n">
        <x:v>1</x:v>
      </x:c>
      <x:c r="H201" s="12" t="str">
        <x:v>{'NORM': 100.0, 'SR': 0.0}</x:v>
      </x:c>
      <x:c r="I201" s="12" t="str">
        <x:v>[('NSR', 100.0), ('NML', 100.0)]</x:v>
      </x:c>
      <x:c r="J201" s="12" t="str">
        <x:v>ptbxl_database.csv；ecg_id=1618；scp_codes</x:v>
      </x:c>
      <x:c r="K201" s="12" t="str">
        <x:v>12sl_statements.csv；ecg_id=1618；statements_ext_snomed</x:v>
      </x:c>
      <x:c r="L201" s="12"/>
      <x:c r="M201" s="12" t="str">
        <x:v>negative</x:v>
      </x:c>
      <x:c r="N201" s="12"/>
      <x:c r="O201" s="12" t="str">
        <x:v>negative</x:v>
      </x:c>
      <x:c r="P201" s="12" t="str">
        <x:f>IF(OR(M201="unavailable",O201="unavailable"),"不可评价",IF(OR(M201="equivocal",O201="equivocal"),"疑似",IF(AND(M201="positive",O201="positive"),"a",IF(O201="positive","b",IF(M201="positive","c","d")))))</x:f>
        <x:v>d</x:v>
      </x:c>
      <x:c r="Q201" s="12"/>
      <x:c r="R201" s="12" t="str">
        <x:v>negative</x:v>
      </x:c>
      <x:c r="S201" s="12"/>
      <x:c r="T201" s="12" t="str">
        <x:v>negative</x:v>
      </x:c>
      <x:c r="U201" s="12" t="str">
        <x:f>IF(OR(R201="unavailable",T201="unavailable"),"不可评价",IF(OR(R201="equivocal",T201="equivocal"),"疑似",IF(AND(R201="positive",T201="positive"),"a",IF(T201="positive","b",IF(R201="positive","c","d")))))</x:f>
        <x:v>d</x:v>
      </x:c>
      <x:c r="V201" s="12"/>
      <x:c r="W201" s="12" t="str">
        <x:v>negative</x:v>
      </x:c>
      <x:c r="X201" s="12"/>
      <x:c r="Y201" s="12" t="str">
        <x:v>negative</x:v>
      </x:c>
      <x:c r="Z201" s="12" t="str">
        <x:f>IF(OR(W201="unavailable",Y201="unavailable"),"不可评价",IF(OR(W201="equivocal",Y201="equivocal"),"疑似",IF(AND(W201="positive",Y201="positive"),"a",IF(Y201="positive","b",IF(W201="positive","c","d")))))</x:f>
        <x:v>d</x:v>
      </x:c>
      <x:c r="AA201" s="12" t="str">
        <x:f>IF(OR(M201="unavailable",O201="unavailable"),"不可评价",IF(AND(OR(M201="positive",M201="equivocal"),OR(O201="positive",O201="equivocal")),"a",IF(OR(O201="positive",O201="equivocal"),"b",IF(OR(M201="positive",M201="equivocal"),"c","d"))))</x:f>
        <x:v>d</x:v>
      </x:c>
      <x:c r="AB201" s="12" t="str">
        <x:f>IF(OR(M201="unavailable",O201="unavailable"),"不可评价",IF(AND(M201="positive",O201="positive"),"a",IF(O201="positive","b",IF(M201="positive","c","d"))))</x:f>
        <x:v>d</x:v>
      </x:c>
      <x:c r="AC201" s="12" t="str">
        <x:f>IF(OR(R201="unavailable",T201="unavailable"),"不可评价",IF(AND(OR(R201="positive",R201="equivocal"),OR(T201="positive",T201="equivocal")),"a",IF(OR(T201="positive",T201="equivocal"),"b",IF(OR(R201="positive",R201="equivocal"),"c","d"))))</x:f>
        <x:v>d</x:v>
      </x:c>
      <x:c r="AD201" s="12" t="str">
        <x:f>IF(OR(R201="unavailable",T201="unavailable"),"不可评价",IF(AND(R201="positive",T201="positive"),"a",IF(T201="positive","b",IF(R201="positive","c","d"))))</x:f>
        <x:v>d</x:v>
      </x:c>
      <x:c r="AE201" s="12" t="str">
        <x:f>IF(OR(W201="unavailable",Y201="unavailable"),"不可评价",IF(AND(OR(W201="positive",W201="equivocal"),OR(Y201="positive",Y201="equivocal")),"a",IF(OR(Y201="positive",Y201="equivocal"),"b",IF(OR(W201="positive",W201="equivocal"),"c","d"))))</x:f>
        <x:v>d</x:v>
      </x:c>
      <x:c r="AF201" s="12" t="str">
        <x:f>IF(OR(W201="unavailable",Y201="unavailable"),"不可评价",IF(AND(W201="positive",Y201="positive"),"a",IF(Y201="positive","b",IF(W201="positive","c","d"))))</x:f>
        <x:v>d</x:v>
      </x:c>
    </x:row>
    <x:row r="202" ht="24" customHeight="1">
      <x:c r="A202" s="12" t="str">
        <x:v>1624</x:v>
      </x:c>
      <x:c r="B202" s="12" t="str">
        <x:v>5715</x:v>
      </x:c>
      <x:c r="C202" s="21" t="n">
        <x:v>32261.817592592593</x:v>
      </x:c>
      <x:c r="D202" s="12" t="n">
        <x:v>63</x:v>
      </x:c>
      <x:c r="E202" s="12" t="n">
        <x:v>0</x:v>
      </x:c>
      <x:c r="F202" s="12" t="str">
        <x:v>未记录</x:v>
      </x:c>
      <x:c r="G202" s="12" t="n">
        <x:v>1</x:v>
      </x:c>
      <x:c r="H202" s="12" t="str">
        <x:v>{'NDT': 100.0, 'DIG': 100.0, 'LOWT': 0.0, 'STD_': 0.0, 'AFIB': 0.0}</x:v>
      </x:c>
      <x:c r="I202" s="12" t="str">
        <x:v>[('AFIB', 100.0), ('NSTT', 100.0), ('AB', 100.0)]</x:v>
      </x:c>
      <x:c r="J202" s="12" t="str">
        <x:v>ptbxl_database.csv；ecg_id=1624；scp_codes</x:v>
      </x:c>
      <x:c r="K202" s="12" t="str">
        <x:v>12sl_statements.csv；ecg_id=1624；statements_ext_snomed</x:v>
      </x:c>
      <x:c r="L202" s="12" t="n">
        <x:v>0</x:v>
      </x:c>
      <x:c r="M202" s="12" t="str">
        <x:v>positive</x:v>
      </x:c>
      <x:c r="N202" s="12" t="n">
        <x:v>100</x:v>
      </x:c>
      <x:c r="O202" s="12" t="str">
        <x:v>positive</x:v>
      </x:c>
      <x:c r="P202" s="12" t="str">
        <x:f>IF(OR(M202="unavailable",O202="unavailable"),"不可评价",IF(OR(M202="equivocal",O202="equivocal"),"疑似",IF(AND(M202="positive",O202="positive"),"a",IF(O202="positive","b",IF(M202="positive","c","d")))))</x:f>
        <x:v>a</x:v>
      </x:c>
      <x:c r="Q202" s="12"/>
      <x:c r="R202" s="12" t="str">
        <x:v>negative</x:v>
      </x:c>
      <x:c r="S202" s="12"/>
      <x:c r="T202" s="12" t="str">
        <x:v>negative</x:v>
      </x:c>
      <x:c r="U202" s="12" t="str">
        <x:f>IF(OR(R202="unavailable",T202="unavailable"),"不可评价",IF(OR(R202="equivocal",T202="equivocal"),"疑似",IF(AND(R202="positive",T202="positive"),"a",IF(T202="positive","b",IF(R202="positive","c","d")))))</x:f>
        <x:v>d</x:v>
      </x:c>
      <x:c r="V202" s="12"/>
      <x:c r="W202" s="12" t="str">
        <x:v>negative</x:v>
      </x:c>
      <x:c r="X202" s="12"/>
      <x:c r="Y202" s="12" t="str">
        <x:v>negative</x:v>
      </x:c>
      <x:c r="Z202" s="12" t="str">
        <x:f>IF(OR(W202="unavailable",Y202="unavailable"),"不可评价",IF(OR(W202="equivocal",Y202="equivocal"),"疑似",IF(AND(W202="positive",Y202="positive"),"a",IF(Y202="positive","b",IF(W202="positive","c","d")))))</x:f>
        <x:v>d</x:v>
      </x:c>
      <x:c r="AA202" s="12" t="str">
        <x:f>IF(OR(M202="unavailable",O202="unavailable"),"不可评价",IF(AND(OR(M202="positive",M202="equivocal"),OR(O202="positive",O202="equivocal")),"a",IF(OR(O202="positive",O202="equivocal"),"b",IF(OR(M202="positive",M202="equivocal"),"c","d"))))</x:f>
        <x:v>a</x:v>
      </x:c>
      <x:c r="AB202" s="12" t="str">
        <x:f>IF(OR(M202="unavailable",O202="unavailable"),"不可评价",IF(AND(M202="positive",O202="positive"),"a",IF(O202="positive","b",IF(M202="positive","c","d"))))</x:f>
        <x:v>a</x:v>
      </x:c>
      <x:c r="AC202" s="12" t="str">
        <x:f>IF(OR(R202="unavailable",T202="unavailable"),"不可评价",IF(AND(OR(R202="positive",R202="equivocal"),OR(T202="positive",T202="equivocal")),"a",IF(OR(T202="positive",T202="equivocal"),"b",IF(OR(R202="positive",R202="equivocal"),"c","d"))))</x:f>
        <x:v>d</x:v>
      </x:c>
      <x:c r="AD202" s="12" t="str">
        <x:f>IF(OR(R202="unavailable",T202="unavailable"),"不可评价",IF(AND(R202="positive",T202="positive"),"a",IF(T202="positive","b",IF(R202="positive","c","d"))))</x:f>
        <x:v>d</x:v>
      </x:c>
      <x:c r="AE202" s="12" t="str">
        <x:f>IF(OR(W202="unavailable",Y202="unavailable"),"不可评价",IF(AND(OR(W202="positive",W202="equivocal"),OR(Y202="positive",Y202="equivocal")),"a",IF(OR(Y202="positive",Y202="equivocal"),"b",IF(OR(W202="positive",W202="equivocal"),"c","d"))))</x:f>
        <x:v>d</x:v>
      </x:c>
      <x:c r="AF202" s="12" t="str">
        <x:f>IF(OR(W202="unavailable",Y202="unavailable"),"不可评价",IF(AND(W202="positive",Y202="positive"),"a",IF(Y202="positive","b",IF(W202="positive","c","d"))))</x:f>
        <x:v>d</x:v>
      </x:c>
    </x:row>
    <x:row r="203" ht="24" customHeight="1">
      <x:c r="A203" s="12" t="str">
        <x:v>1630</x:v>
      </x:c>
      <x:c r="B203" s="12" t="str">
        <x:v>8804</x:v>
      </x:c>
      <x:c r="C203" s="21" t="n">
        <x:v>32262.516655092593</x:v>
      </x:c>
      <x:c r="D203" s="12" t="n">
        <x:v>50</x:v>
      </x:c>
      <x:c r="E203" s="12" t="n">
        <x:v>0</x:v>
      </x:c>
      <x:c r="F203" s="12" t="str">
        <x:v>存在</x:v>
      </x:c>
      <x:c r="G203" s="12" t="n">
        <x:v>1</x:v>
      </x:c>
      <x:c r="H203" s="12" t="str">
        <x:v>{'NORM': 80.0, 'SR': 0.0}</x:v>
      </x:c>
      <x:c r="I203" s="12" t="str">
        <x:v>[('NSR', 100.0), ('NML', 100.0)]</x:v>
      </x:c>
      <x:c r="J203" s="12" t="str">
        <x:v>ptbxl_database.csv；ecg_id=1630；scp_codes</x:v>
      </x:c>
      <x:c r="K203" s="12" t="str">
        <x:v>12sl_statements.csv；ecg_id=1630；statements_ext_snomed</x:v>
      </x:c>
      <x:c r="L203" s="12"/>
      <x:c r="M203" s="12" t="str">
        <x:v>negative</x:v>
      </x:c>
      <x:c r="N203" s="12"/>
      <x:c r="O203" s="12" t="str">
        <x:v>negative</x:v>
      </x:c>
      <x:c r="P203" s="12" t="str">
        <x:f>IF(OR(M203="unavailable",O203="unavailable"),"不可评价",IF(OR(M203="equivocal",O203="equivocal"),"疑似",IF(AND(M203="positive",O203="positive"),"a",IF(O203="positive","b",IF(M203="positive","c","d")))))</x:f>
        <x:v>d</x:v>
      </x:c>
      <x:c r="Q203" s="12"/>
      <x:c r="R203" s="12" t="str">
        <x:v>negative</x:v>
      </x:c>
      <x:c r="S203" s="12"/>
      <x:c r="T203" s="12" t="str">
        <x:v>negative</x:v>
      </x:c>
      <x:c r="U203" s="12" t="str">
        <x:f>IF(OR(R203="unavailable",T203="unavailable"),"不可评价",IF(OR(R203="equivocal",T203="equivocal"),"疑似",IF(AND(R203="positive",T203="positive"),"a",IF(T203="positive","b",IF(R203="positive","c","d")))))</x:f>
        <x:v>d</x:v>
      </x:c>
      <x:c r="V203" s="12"/>
      <x:c r="W203" s="12" t="str">
        <x:v>negative</x:v>
      </x:c>
      <x:c r="X203" s="12"/>
      <x:c r="Y203" s="12" t="str">
        <x:v>negative</x:v>
      </x:c>
      <x:c r="Z203" s="12" t="str">
        <x:f>IF(OR(W203="unavailable",Y203="unavailable"),"不可评价",IF(OR(W203="equivocal",Y203="equivocal"),"疑似",IF(AND(W203="positive",Y203="positive"),"a",IF(Y203="positive","b",IF(W203="positive","c","d")))))</x:f>
        <x:v>d</x:v>
      </x:c>
      <x:c r="AA203" s="12" t="str">
        <x:f>IF(OR(M203="unavailable",O203="unavailable"),"不可评价",IF(AND(OR(M203="positive",M203="equivocal"),OR(O203="positive",O203="equivocal")),"a",IF(OR(O203="positive",O203="equivocal"),"b",IF(OR(M203="positive",M203="equivocal"),"c","d"))))</x:f>
        <x:v>d</x:v>
      </x:c>
      <x:c r="AB203" s="12" t="str">
        <x:f>IF(OR(M203="unavailable",O203="unavailable"),"不可评价",IF(AND(M203="positive",O203="positive"),"a",IF(O203="positive","b",IF(M203="positive","c","d"))))</x:f>
        <x:v>d</x:v>
      </x:c>
      <x:c r="AC203" s="12" t="str">
        <x:f>IF(OR(R203="unavailable",T203="unavailable"),"不可评价",IF(AND(OR(R203="positive",R203="equivocal"),OR(T203="positive",T203="equivocal")),"a",IF(OR(T203="positive",T203="equivocal"),"b",IF(OR(R203="positive",R203="equivocal"),"c","d"))))</x:f>
        <x:v>d</x:v>
      </x:c>
      <x:c r="AD203" s="12" t="str">
        <x:f>IF(OR(R203="unavailable",T203="unavailable"),"不可评价",IF(AND(R203="positive",T203="positive"),"a",IF(T203="positive","b",IF(R203="positive","c","d"))))</x:f>
        <x:v>d</x:v>
      </x:c>
      <x:c r="AE203" s="12" t="str">
        <x:f>IF(OR(W203="unavailable",Y203="unavailable"),"不可评价",IF(AND(OR(W203="positive",W203="equivocal"),OR(Y203="positive",Y203="equivocal")),"a",IF(OR(Y203="positive",Y203="equivocal"),"b",IF(OR(W203="positive",W203="equivocal"),"c","d"))))</x:f>
        <x:v>d</x:v>
      </x:c>
      <x:c r="AF203" s="12" t="str">
        <x:f>IF(OR(W203="unavailable",Y203="unavailable"),"不可评价",IF(AND(W203="positive",Y203="positive"),"a",IF(Y203="positive","b",IF(W203="positive","c","d"))))</x:f>
        <x:v>d</x:v>
      </x:c>
    </x:row>
    <x:row r="204" ht="24" customHeight="1">
      <x:c r="A204" s="12" t="str">
        <x:v>1632</x:v>
      </x:c>
      <x:c r="B204" s="12" t="str">
        <x:v>3245</x:v>
      </x:c>
      <x:c r="C204" s="21" t="n">
        <x:v>32262.604363425926</x:v>
      </x:c>
      <x:c r="D204" s="12" t="n">
        <x:v>70</x:v>
      </x:c>
      <x:c r="E204" s="12" t="n">
        <x:v>1</x:v>
      </x:c>
      <x:c r="F204" s="12" t="str">
        <x:v>未记录</x:v>
      </x:c>
      <x:c r="G204" s="12" t="n">
        <x:v>1</x:v>
      </x:c>
      <x:c r="H204" s="12" t="str">
        <x:v>{'NORM': 100.0, 'SR': 0.0}</x:v>
      </x:c>
      <x:c r="I204" s="12" t="str">
        <x:v>[('NSR', 100.0), ('NT', 100.0), ('AB', 100.0)]</x:v>
      </x:c>
      <x:c r="J204" s="12" t="str">
        <x:v>ptbxl_database.csv；ecg_id=1632；scp_codes</x:v>
      </x:c>
      <x:c r="K204" s="12" t="str">
        <x:v>12sl_statements.csv；ecg_id=1632；statements_ext_snomed</x:v>
      </x:c>
      <x:c r="L204" s="12"/>
      <x:c r="M204" s="12" t="str">
        <x:v>negative</x:v>
      </x:c>
      <x:c r="N204" s="12"/>
      <x:c r="O204" s="12" t="str">
        <x:v>negative</x:v>
      </x:c>
      <x:c r="P204" s="12" t="str">
        <x:f>IF(OR(M204="unavailable",O204="unavailable"),"不可评价",IF(OR(M204="equivocal",O204="equivocal"),"疑似",IF(AND(M204="positive",O204="positive"),"a",IF(O204="positive","b",IF(M204="positive","c","d")))))</x:f>
        <x:v>d</x:v>
      </x:c>
      <x:c r="Q204" s="12"/>
      <x:c r="R204" s="12" t="str">
        <x:v>negative</x:v>
      </x:c>
      <x:c r="S204" s="12"/>
      <x:c r="T204" s="12" t="str">
        <x:v>negative</x:v>
      </x:c>
      <x:c r="U204" s="12" t="str">
        <x:f>IF(OR(R204="unavailable",T204="unavailable"),"不可评价",IF(OR(R204="equivocal",T204="equivocal"),"疑似",IF(AND(R204="positive",T204="positive"),"a",IF(T204="positive","b",IF(R204="positive","c","d")))))</x:f>
        <x:v>d</x:v>
      </x:c>
      <x:c r="V204" s="12"/>
      <x:c r="W204" s="12" t="str">
        <x:v>negative</x:v>
      </x:c>
      <x:c r="X204" s="12"/>
      <x:c r="Y204" s="12" t="str">
        <x:v>negative</x:v>
      </x:c>
      <x:c r="Z204" s="12" t="str">
        <x:f>IF(OR(W204="unavailable",Y204="unavailable"),"不可评价",IF(OR(W204="equivocal",Y204="equivocal"),"疑似",IF(AND(W204="positive",Y204="positive"),"a",IF(Y204="positive","b",IF(W204="positive","c","d")))))</x:f>
        <x:v>d</x:v>
      </x:c>
      <x:c r="AA204" s="12" t="str">
        <x:f>IF(OR(M204="unavailable",O204="unavailable"),"不可评价",IF(AND(OR(M204="positive",M204="equivocal"),OR(O204="positive",O204="equivocal")),"a",IF(OR(O204="positive",O204="equivocal"),"b",IF(OR(M204="positive",M204="equivocal"),"c","d"))))</x:f>
        <x:v>d</x:v>
      </x:c>
      <x:c r="AB204" s="12" t="str">
        <x:f>IF(OR(M204="unavailable",O204="unavailable"),"不可评价",IF(AND(M204="positive",O204="positive"),"a",IF(O204="positive","b",IF(M204="positive","c","d"))))</x:f>
        <x:v>d</x:v>
      </x:c>
      <x:c r="AC204" s="12" t="str">
        <x:f>IF(OR(R204="unavailable",T204="unavailable"),"不可评价",IF(AND(OR(R204="positive",R204="equivocal"),OR(T204="positive",T204="equivocal")),"a",IF(OR(T204="positive",T204="equivocal"),"b",IF(OR(R204="positive",R204="equivocal"),"c","d"))))</x:f>
        <x:v>d</x:v>
      </x:c>
      <x:c r="AD204" s="12" t="str">
        <x:f>IF(OR(R204="unavailable",T204="unavailable"),"不可评价",IF(AND(R204="positive",T204="positive"),"a",IF(T204="positive","b",IF(R204="positive","c","d"))))</x:f>
        <x:v>d</x:v>
      </x:c>
      <x:c r="AE204" s="12" t="str">
        <x:f>IF(OR(W204="unavailable",Y204="unavailable"),"不可评价",IF(AND(OR(W204="positive",W204="equivocal"),OR(Y204="positive",Y204="equivocal")),"a",IF(OR(Y204="positive",Y204="equivocal"),"b",IF(OR(W204="positive",W204="equivocal"),"c","d"))))</x:f>
        <x:v>d</x:v>
      </x:c>
      <x:c r="AF204" s="12" t="str">
        <x:f>IF(OR(W204="unavailable",Y204="unavailable"),"不可评价",IF(AND(W204="positive",Y204="positive"),"a",IF(Y204="positive","b",IF(W204="positive","c","d"))))</x:f>
        <x:v>d</x:v>
      </x:c>
    </x:row>
    <x:row r="205" ht="24" customHeight="1">
      <x:c r="A205" s="12" t="str">
        <x:v>1639</x:v>
      </x:c>
      <x:c r="B205" s="12" t="str">
        <x:v>3283</x:v>
      </x:c>
      <x:c r="C205" s="21" t="n">
        <x:v>32263.35616898148</x:v>
      </x:c>
      <x:c r="D205" s="12" t="n">
        <x:v>39</x:v>
      </x:c>
      <x:c r="E205" s="12" t="n">
        <x:v>0</x:v>
      </x:c>
      <x:c r="F205" s="12" t="str">
        <x:v>未记录</x:v>
      </x:c>
      <x:c r="G205" s="12" t="n">
        <x:v>1</x:v>
      </x:c>
      <x:c r="H205" s="12" t="str">
        <x:v>{'NORM': 100.0, 'SR': 0.0}</x:v>
      </x:c>
      <x:c r="I205" s="12" t="str">
        <x:v>[('SBRAD', 100.0), ('BORDE', 100.0)]</x:v>
      </x:c>
      <x:c r="J205" s="12" t="str">
        <x:v>ptbxl_database.csv；ecg_id=1639；scp_codes</x:v>
      </x:c>
      <x:c r="K205" s="12" t="str">
        <x:v>12sl_statements.csv；ecg_id=1639；statements_ext_snomed</x:v>
      </x:c>
      <x:c r="L205" s="12"/>
      <x:c r="M205" s="12" t="str">
        <x:v>negative</x:v>
      </x:c>
      <x:c r="N205" s="12"/>
      <x:c r="O205" s="12" t="str">
        <x:v>negative</x:v>
      </x:c>
      <x:c r="P205" s="12" t="str">
        <x:f>IF(OR(M205="unavailable",O205="unavailable"),"不可评价",IF(OR(M205="equivocal",O205="equivocal"),"疑似",IF(AND(M205="positive",O205="positive"),"a",IF(O205="positive","b",IF(M205="positive","c","d")))))</x:f>
        <x:v>d</x:v>
      </x:c>
      <x:c r="Q205" s="12"/>
      <x:c r="R205" s="12" t="str">
        <x:v>negative</x:v>
      </x:c>
      <x:c r="S205" s="12"/>
      <x:c r="T205" s="12" t="str">
        <x:v>negative</x:v>
      </x:c>
      <x:c r="U205" s="12" t="str">
        <x:f>IF(OR(R205="unavailable",T205="unavailable"),"不可评价",IF(OR(R205="equivocal",T205="equivocal"),"疑似",IF(AND(R205="positive",T205="positive"),"a",IF(T205="positive","b",IF(R205="positive","c","d")))))</x:f>
        <x:v>d</x:v>
      </x:c>
      <x:c r="V205" s="12"/>
      <x:c r="W205" s="12" t="str">
        <x:v>negative</x:v>
      </x:c>
      <x:c r="X205" s="12"/>
      <x:c r="Y205" s="12" t="str">
        <x:v>negative</x:v>
      </x:c>
      <x:c r="Z205" s="12" t="str">
        <x:f>IF(OR(W205="unavailable",Y205="unavailable"),"不可评价",IF(OR(W205="equivocal",Y205="equivocal"),"疑似",IF(AND(W205="positive",Y205="positive"),"a",IF(Y205="positive","b",IF(W205="positive","c","d")))))</x:f>
        <x:v>d</x:v>
      </x:c>
      <x:c r="AA205" s="12" t="str">
        <x:f>IF(OR(M205="unavailable",O205="unavailable"),"不可评价",IF(AND(OR(M205="positive",M205="equivocal"),OR(O205="positive",O205="equivocal")),"a",IF(OR(O205="positive",O205="equivocal"),"b",IF(OR(M205="positive",M205="equivocal"),"c","d"))))</x:f>
        <x:v>d</x:v>
      </x:c>
      <x:c r="AB205" s="12" t="str">
        <x:f>IF(OR(M205="unavailable",O205="unavailable"),"不可评价",IF(AND(M205="positive",O205="positive"),"a",IF(O205="positive","b",IF(M205="positive","c","d"))))</x:f>
        <x:v>d</x:v>
      </x:c>
      <x:c r="AC205" s="12" t="str">
        <x:f>IF(OR(R205="unavailable",T205="unavailable"),"不可评价",IF(AND(OR(R205="positive",R205="equivocal"),OR(T205="positive",T205="equivocal")),"a",IF(OR(T205="positive",T205="equivocal"),"b",IF(OR(R205="positive",R205="equivocal"),"c","d"))))</x:f>
        <x:v>d</x:v>
      </x:c>
      <x:c r="AD205" s="12" t="str">
        <x:f>IF(OR(R205="unavailable",T205="unavailable"),"不可评价",IF(AND(R205="positive",T205="positive"),"a",IF(T205="positive","b",IF(R205="positive","c","d"))))</x:f>
        <x:v>d</x:v>
      </x:c>
      <x:c r="AE205" s="12" t="str">
        <x:f>IF(OR(W205="unavailable",Y205="unavailable"),"不可评价",IF(AND(OR(W205="positive",W205="equivocal"),OR(Y205="positive",Y205="equivocal")),"a",IF(OR(Y205="positive",Y205="equivocal"),"b",IF(OR(W205="positive",W205="equivocal"),"c","d"))))</x:f>
        <x:v>d</x:v>
      </x:c>
      <x:c r="AF205" s="12" t="str">
        <x:f>IF(OR(W205="unavailable",Y205="unavailable"),"不可评价",IF(AND(W205="positive",Y205="positive"),"a",IF(Y205="positive","b",IF(W205="positive","c","d"))))</x:f>
        <x:v>d</x:v>
      </x:c>
    </x:row>
    <x:row r="206" ht="24" customHeight="1">
      <x:c r="A206" s="12" t="str">
        <x:v>1655</x:v>
      </x:c>
      <x:c r="B206" s="12" t="str">
        <x:v>7559</x:v>
      </x:c>
      <x:c r="C206" s="21" t="n">
        <x:v>32264.59689814815</x:v>
      </x:c>
      <x:c r="D206" s="12" t="n">
        <x:v>78</x:v>
      </x:c>
      <x:c r="E206" s="12" t="n">
        <x:v>0</x:v>
      </x:c>
      <x:c r="F206" s="12" t="str">
        <x:v>未记录</x:v>
      </x:c>
      <x:c r="G206" s="12" t="n">
        <x:v>1</x:v>
      </x:c>
      <x:c r="H206" s="12" t="str">
        <x:v>{'NORM': 100.0, 'SR': 0.0}</x:v>
      </x:c>
      <x:c r="I206" s="12" t="str">
        <x:v>[('NSR', 100.0), ('NML', 100.0)]</x:v>
      </x:c>
      <x:c r="J206" s="12" t="str">
        <x:v>ptbxl_database.csv；ecg_id=1655；scp_codes</x:v>
      </x:c>
      <x:c r="K206" s="12" t="str">
        <x:v>12sl_statements.csv；ecg_id=1655；statements_ext_snomed</x:v>
      </x:c>
      <x:c r="L206" s="12"/>
      <x:c r="M206" s="12" t="str">
        <x:v>negative</x:v>
      </x:c>
      <x:c r="N206" s="12"/>
      <x:c r="O206" s="12" t="str">
        <x:v>negative</x:v>
      </x:c>
      <x:c r="P206" s="12" t="str">
        <x:f>IF(OR(M206="unavailable",O206="unavailable"),"不可评价",IF(OR(M206="equivocal",O206="equivocal"),"疑似",IF(AND(M206="positive",O206="positive"),"a",IF(O206="positive","b",IF(M206="positive","c","d")))))</x:f>
        <x:v>d</x:v>
      </x:c>
      <x:c r="Q206" s="12"/>
      <x:c r="R206" s="12" t="str">
        <x:v>negative</x:v>
      </x:c>
      <x:c r="S206" s="12"/>
      <x:c r="T206" s="12" t="str">
        <x:v>negative</x:v>
      </x:c>
      <x:c r="U206" s="12" t="str">
        <x:f>IF(OR(R206="unavailable",T206="unavailable"),"不可评价",IF(OR(R206="equivocal",T206="equivocal"),"疑似",IF(AND(R206="positive",T206="positive"),"a",IF(T206="positive","b",IF(R206="positive","c","d")))))</x:f>
        <x:v>d</x:v>
      </x:c>
      <x:c r="V206" s="12"/>
      <x:c r="W206" s="12" t="str">
        <x:v>negative</x:v>
      </x:c>
      <x:c r="X206" s="12"/>
      <x:c r="Y206" s="12" t="str">
        <x:v>negative</x:v>
      </x:c>
      <x:c r="Z206" s="12" t="str">
        <x:f>IF(OR(W206="unavailable",Y206="unavailable"),"不可评价",IF(OR(W206="equivocal",Y206="equivocal"),"疑似",IF(AND(W206="positive",Y206="positive"),"a",IF(Y206="positive","b",IF(W206="positive","c","d")))))</x:f>
        <x:v>d</x:v>
      </x:c>
      <x:c r="AA206" s="12" t="str">
        <x:f>IF(OR(M206="unavailable",O206="unavailable"),"不可评价",IF(AND(OR(M206="positive",M206="equivocal"),OR(O206="positive",O206="equivocal")),"a",IF(OR(O206="positive",O206="equivocal"),"b",IF(OR(M206="positive",M206="equivocal"),"c","d"))))</x:f>
        <x:v>d</x:v>
      </x:c>
      <x:c r="AB206" s="12" t="str">
        <x:f>IF(OR(M206="unavailable",O206="unavailable"),"不可评价",IF(AND(M206="positive",O206="positive"),"a",IF(O206="positive","b",IF(M206="positive","c","d"))))</x:f>
        <x:v>d</x:v>
      </x:c>
      <x:c r="AC206" s="12" t="str">
        <x:f>IF(OR(R206="unavailable",T206="unavailable"),"不可评价",IF(AND(OR(R206="positive",R206="equivocal"),OR(T206="positive",T206="equivocal")),"a",IF(OR(T206="positive",T206="equivocal"),"b",IF(OR(R206="positive",R206="equivocal"),"c","d"))))</x:f>
        <x:v>d</x:v>
      </x:c>
      <x:c r="AD206" s="12" t="str">
        <x:f>IF(OR(R206="unavailable",T206="unavailable"),"不可评价",IF(AND(R206="positive",T206="positive"),"a",IF(T206="positive","b",IF(R206="positive","c","d"))))</x:f>
        <x:v>d</x:v>
      </x:c>
      <x:c r="AE206" s="12" t="str">
        <x:f>IF(OR(W206="unavailable",Y206="unavailable"),"不可评价",IF(AND(OR(W206="positive",W206="equivocal"),OR(Y206="positive",Y206="equivocal")),"a",IF(OR(Y206="positive",Y206="equivocal"),"b",IF(OR(W206="positive",W206="equivocal"),"c","d"))))</x:f>
        <x:v>d</x:v>
      </x:c>
      <x:c r="AF206" s="12" t="str">
        <x:f>IF(OR(W206="unavailable",Y206="unavailable"),"不可评价",IF(AND(W206="positive",Y206="positive"),"a",IF(Y206="positive","b",IF(W206="positive","c","d"))))</x:f>
        <x:v>d</x:v>
      </x:c>
    </x:row>
    <x:row r="207" ht="24" customHeight="1">
      <x:c r="A207" s="12" t="str">
        <x:v>1697</x:v>
      </x:c>
      <x:c r="B207" s="12" t="str">
        <x:v>9414</x:v>
      </x:c>
      <x:c r="C207" s="21" t="n">
        <x:v>32276.437858796296</x:v>
      </x:c>
      <x:c r="D207" s="12" t="n">
        <x:v>44</x:v>
      </x:c>
      <x:c r="E207" s="12" t="n">
        <x:v>0</x:v>
      </x:c>
      <x:c r="F207" s="12" t="str">
        <x:v>未记录</x:v>
      </x:c>
      <x:c r="G207" s="12" t="n">
        <x:v>1</x:v>
      </x:c>
      <x:c r="H207" s="12" t="str">
        <x:v>{'NORM': 100.0, 'SR': 0.0}</x:v>
      </x:c>
      <x:c r="I207" s="12" t="str">
        <x:v>[('NSR', 100.0), ('NML', 100.0)]</x:v>
      </x:c>
      <x:c r="J207" s="12" t="str">
        <x:v>ptbxl_database.csv；ecg_id=1697；scp_codes</x:v>
      </x:c>
      <x:c r="K207" s="12" t="str">
        <x:v>12sl_statements.csv；ecg_id=1697；statements_ext_snomed</x:v>
      </x:c>
      <x:c r="L207" s="12"/>
      <x:c r="M207" s="12" t="str">
        <x:v>negative</x:v>
      </x:c>
      <x:c r="N207" s="12"/>
      <x:c r="O207" s="12" t="str">
        <x:v>negative</x:v>
      </x:c>
      <x:c r="P207" s="12" t="str">
        <x:f>IF(OR(M207="unavailable",O207="unavailable"),"不可评价",IF(OR(M207="equivocal",O207="equivocal"),"疑似",IF(AND(M207="positive",O207="positive"),"a",IF(O207="positive","b",IF(M207="positive","c","d")))))</x:f>
        <x:v>d</x:v>
      </x:c>
      <x:c r="Q207" s="12"/>
      <x:c r="R207" s="12" t="str">
        <x:v>negative</x:v>
      </x:c>
      <x:c r="S207" s="12"/>
      <x:c r="T207" s="12" t="str">
        <x:v>negative</x:v>
      </x:c>
      <x:c r="U207" s="12" t="str">
        <x:f>IF(OR(R207="unavailable",T207="unavailable"),"不可评价",IF(OR(R207="equivocal",T207="equivocal"),"疑似",IF(AND(R207="positive",T207="positive"),"a",IF(T207="positive","b",IF(R207="positive","c","d")))))</x:f>
        <x:v>d</x:v>
      </x:c>
      <x:c r="V207" s="12"/>
      <x:c r="W207" s="12" t="str">
        <x:v>negative</x:v>
      </x:c>
      <x:c r="X207" s="12"/>
      <x:c r="Y207" s="12" t="str">
        <x:v>negative</x:v>
      </x:c>
      <x:c r="Z207" s="12" t="str">
        <x:f>IF(OR(W207="unavailable",Y207="unavailable"),"不可评价",IF(OR(W207="equivocal",Y207="equivocal"),"疑似",IF(AND(W207="positive",Y207="positive"),"a",IF(Y207="positive","b",IF(W207="positive","c","d")))))</x:f>
        <x:v>d</x:v>
      </x:c>
      <x:c r="AA207" s="12" t="str">
        <x:f>IF(OR(M207="unavailable",O207="unavailable"),"不可评价",IF(AND(OR(M207="positive",M207="equivocal"),OR(O207="positive",O207="equivocal")),"a",IF(OR(O207="positive",O207="equivocal"),"b",IF(OR(M207="positive",M207="equivocal"),"c","d"))))</x:f>
        <x:v>d</x:v>
      </x:c>
      <x:c r="AB207" s="12" t="str">
        <x:f>IF(OR(M207="unavailable",O207="unavailable"),"不可评价",IF(AND(M207="positive",O207="positive"),"a",IF(O207="positive","b",IF(M207="positive","c","d"))))</x:f>
        <x:v>d</x:v>
      </x:c>
      <x:c r="AC207" s="12" t="str">
        <x:f>IF(OR(R207="unavailable",T207="unavailable"),"不可评价",IF(AND(OR(R207="positive",R207="equivocal"),OR(T207="positive",T207="equivocal")),"a",IF(OR(T207="positive",T207="equivocal"),"b",IF(OR(R207="positive",R207="equivocal"),"c","d"))))</x:f>
        <x:v>d</x:v>
      </x:c>
      <x:c r="AD207" s="12" t="str">
        <x:f>IF(OR(R207="unavailable",T207="unavailable"),"不可评价",IF(AND(R207="positive",T207="positive"),"a",IF(T207="positive","b",IF(R207="positive","c","d"))))</x:f>
        <x:v>d</x:v>
      </x:c>
      <x:c r="AE207" s="12" t="str">
        <x:f>IF(OR(W207="unavailable",Y207="unavailable"),"不可评价",IF(AND(OR(W207="positive",W207="equivocal"),OR(Y207="positive",Y207="equivocal")),"a",IF(OR(Y207="positive",Y207="equivocal"),"b",IF(OR(W207="positive",W207="equivocal"),"c","d"))))</x:f>
        <x:v>d</x:v>
      </x:c>
      <x:c r="AF207" s="12" t="str">
        <x:f>IF(OR(W207="unavailable",Y207="unavailable"),"不可评价",IF(AND(W207="positive",Y207="positive"),"a",IF(Y207="positive","b",IF(W207="positive","c","d"))))</x:f>
        <x:v>d</x:v>
      </x:c>
    </x:row>
    <x:row r="208" ht="24" customHeight="1">
      <x:c r="A208" s="12" t="str">
        <x:v>1700</x:v>
      </x:c>
      <x:c r="B208" s="12" t="str">
        <x:v>14516</x:v>
      </x:c>
      <x:c r="C208" s="21" t="n">
        <x:v>32277.46300925926</x:v>
      </x:c>
      <x:c r="D208" s="12" t="n">
        <x:v>57</x:v>
      </x:c>
      <x:c r="E208" s="12" t="n">
        <x:v>0</x:v>
      </x:c>
      <x:c r="F208" s="12" t="str">
        <x:v>未记录</x:v>
      </x:c>
      <x:c r="G208" s="12" t="n">
        <x:v>1</x:v>
      </x:c>
      <x:c r="H208" s="12" t="str">
        <x:v>{'NORM': 100.0, 'SR': 0.0}</x:v>
      </x:c>
      <x:c r="I208" s="12" t="str">
        <x:v>[('SBRAD', 100.0), ('ABR', 100.0)]</x:v>
      </x:c>
      <x:c r="J208" s="12" t="str">
        <x:v>ptbxl_database.csv；ecg_id=1700；scp_codes</x:v>
      </x:c>
      <x:c r="K208" s="12" t="str">
        <x:v>12sl_statements.csv；ecg_id=1700；statements_ext_snomed</x:v>
      </x:c>
      <x:c r="L208" s="12"/>
      <x:c r="M208" s="12" t="str">
        <x:v>negative</x:v>
      </x:c>
      <x:c r="N208" s="12"/>
      <x:c r="O208" s="12" t="str">
        <x:v>negative</x:v>
      </x:c>
      <x:c r="P208" s="12" t="str">
        <x:f>IF(OR(M208="unavailable",O208="unavailable"),"不可评价",IF(OR(M208="equivocal",O208="equivocal"),"疑似",IF(AND(M208="positive",O208="positive"),"a",IF(O208="positive","b",IF(M208="positive","c","d")))))</x:f>
        <x:v>d</x:v>
      </x:c>
      <x:c r="Q208" s="12"/>
      <x:c r="R208" s="12" t="str">
        <x:v>negative</x:v>
      </x:c>
      <x:c r="S208" s="12"/>
      <x:c r="T208" s="12" t="str">
        <x:v>negative</x:v>
      </x:c>
      <x:c r="U208" s="12" t="str">
        <x:f>IF(OR(R208="unavailable",T208="unavailable"),"不可评价",IF(OR(R208="equivocal",T208="equivocal"),"疑似",IF(AND(R208="positive",T208="positive"),"a",IF(T208="positive","b",IF(R208="positive","c","d")))))</x:f>
        <x:v>d</x:v>
      </x:c>
      <x:c r="V208" s="12"/>
      <x:c r="W208" s="12" t="str">
        <x:v>negative</x:v>
      </x:c>
      <x:c r="X208" s="12"/>
      <x:c r="Y208" s="12" t="str">
        <x:v>negative</x:v>
      </x:c>
      <x:c r="Z208" s="12" t="str">
        <x:f>IF(OR(W208="unavailable",Y208="unavailable"),"不可评价",IF(OR(W208="equivocal",Y208="equivocal"),"疑似",IF(AND(W208="positive",Y208="positive"),"a",IF(Y208="positive","b",IF(W208="positive","c","d")))))</x:f>
        <x:v>d</x:v>
      </x:c>
      <x:c r="AA208" s="12" t="str">
        <x:f>IF(OR(M208="unavailable",O208="unavailable"),"不可评价",IF(AND(OR(M208="positive",M208="equivocal"),OR(O208="positive",O208="equivocal")),"a",IF(OR(O208="positive",O208="equivocal"),"b",IF(OR(M208="positive",M208="equivocal"),"c","d"))))</x:f>
        <x:v>d</x:v>
      </x:c>
      <x:c r="AB208" s="12" t="str">
        <x:f>IF(OR(M208="unavailable",O208="unavailable"),"不可评价",IF(AND(M208="positive",O208="positive"),"a",IF(O208="positive","b",IF(M208="positive","c","d"))))</x:f>
        <x:v>d</x:v>
      </x:c>
      <x:c r="AC208" s="12" t="str">
        <x:f>IF(OR(R208="unavailable",T208="unavailable"),"不可评价",IF(AND(OR(R208="positive",R208="equivocal"),OR(T208="positive",T208="equivocal")),"a",IF(OR(T208="positive",T208="equivocal"),"b",IF(OR(R208="positive",R208="equivocal"),"c","d"))))</x:f>
        <x:v>d</x:v>
      </x:c>
      <x:c r="AD208" s="12" t="str">
        <x:f>IF(OR(R208="unavailable",T208="unavailable"),"不可评价",IF(AND(R208="positive",T208="positive"),"a",IF(T208="positive","b",IF(R208="positive","c","d"))))</x:f>
        <x:v>d</x:v>
      </x:c>
      <x:c r="AE208" s="12" t="str">
        <x:f>IF(OR(W208="unavailable",Y208="unavailable"),"不可评价",IF(AND(OR(W208="positive",W208="equivocal"),OR(Y208="positive",Y208="equivocal")),"a",IF(OR(Y208="positive",Y208="equivocal"),"b",IF(OR(W208="positive",W208="equivocal"),"c","d"))))</x:f>
        <x:v>d</x:v>
      </x:c>
      <x:c r="AF208" s="12" t="str">
        <x:f>IF(OR(W208="unavailable",Y208="unavailable"),"不可评价",IF(AND(W208="positive",Y208="positive"),"a",IF(Y208="positive","b",IF(W208="positive","c","d"))))</x:f>
        <x:v>d</x:v>
      </x:c>
    </x:row>
    <x:row r="209" ht="24" customHeight="1">
      <x:c r="A209" s="12" t="str">
        <x:v>1705</x:v>
      </x:c>
      <x:c r="B209" s="12" t="str">
        <x:v>20120</x:v>
      </x:c>
      <x:c r="C209" s="21" t="n">
        <x:v>32279.298310185186</x:v>
      </x:c>
      <x:c r="D209" s="12" t="n">
        <x:v>47</x:v>
      </x:c>
      <x:c r="E209" s="12" t="n">
        <x:v>0</x:v>
      </x:c>
      <x:c r="F209" s="12" t="str">
        <x:v>未记录</x:v>
      </x:c>
      <x:c r="G209" s="12" t="n">
        <x:v>1</x:v>
      </x:c>
      <x:c r="H209" s="12" t="str">
        <x:v>{'NORM': 100.0, 'SR': 0.0}</x:v>
      </x:c>
      <x:c r="I209" s="12" t="str">
        <x:v>[('NSR', 100.0), ('SAR', 100.0), ('BORDE', 100.0)]</x:v>
      </x:c>
      <x:c r="J209" s="12" t="str">
        <x:v>ptbxl_database.csv；ecg_id=1705；scp_codes</x:v>
      </x:c>
      <x:c r="K209" s="12" t="str">
        <x:v>12sl_statements.csv；ecg_id=1705；statements_ext_snomed</x:v>
      </x:c>
      <x:c r="L209" s="12"/>
      <x:c r="M209" s="12" t="str">
        <x:v>negative</x:v>
      </x:c>
      <x:c r="N209" s="12"/>
      <x:c r="O209" s="12" t="str">
        <x:v>negative</x:v>
      </x:c>
      <x:c r="P209" s="12" t="str">
        <x:f>IF(OR(M209="unavailable",O209="unavailable"),"不可评价",IF(OR(M209="equivocal",O209="equivocal"),"疑似",IF(AND(M209="positive",O209="positive"),"a",IF(O209="positive","b",IF(M209="positive","c","d")))))</x:f>
        <x:v>d</x:v>
      </x:c>
      <x:c r="Q209" s="12"/>
      <x:c r="R209" s="12" t="str">
        <x:v>negative</x:v>
      </x:c>
      <x:c r="S209" s="12"/>
      <x:c r="T209" s="12" t="str">
        <x:v>negative</x:v>
      </x:c>
      <x:c r="U209" s="12" t="str">
        <x:f>IF(OR(R209="unavailable",T209="unavailable"),"不可评价",IF(OR(R209="equivocal",T209="equivocal"),"疑似",IF(AND(R209="positive",T209="positive"),"a",IF(T209="positive","b",IF(R209="positive","c","d")))))</x:f>
        <x:v>d</x:v>
      </x:c>
      <x:c r="V209" s="12"/>
      <x:c r="W209" s="12" t="str">
        <x:v>negative</x:v>
      </x:c>
      <x:c r="X209" s="12"/>
      <x:c r="Y209" s="12" t="str">
        <x:v>negative</x:v>
      </x:c>
      <x:c r="Z209" s="12" t="str">
        <x:f>IF(OR(W209="unavailable",Y209="unavailable"),"不可评价",IF(OR(W209="equivocal",Y209="equivocal"),"疑似",IF(AND(W209="positive",Y209="positive"),"a",IF(Y209="positive","b",IF(W209="positive","c","d")))))</x:f>
        <x:v>d</x:v>
      </x:c>
      <x:c r="AA209" s="12" t="str">
        <x:f>IF(OR(M209="unavailable",O209="unavailable"),"不可评价",IF(AND(OR(M209="positive",M209="equivocal"),OR(O209="positive",O209="equivocal")),"a",IF(OR(O209="positive",O209="equivocal"),"b",IF(OR(M209="positive",M209="equivocal"),"c","d"))))</x:f>
        <x:v>d</x:v>
      </x:c>
      <x:c r="AB209" s="12" t="str">
        <x:f>IF(OR(M209="unavailable",O209="unavailable"),"不可评价",IF(AND(M209="positive",O209="positive"),"a",IF(O209="positive","b",IF(M209="positive","c","d"))))</x:f>
        <x:v>d</x:v>
      </x:c>
      <x:c r="AC209" s="12" t="str">
        <x:f>IF(OR(R209="unavailable",T209="unavailable"),"不可评价",IF(AND(OR(R209="positive",R209="equivocal"),OR(T209="positive",T209="equivocal")),"a",IF(OR(T209="positive",T209="equivocal"),"b",IF(OR(R209="positive",R209="equivocal"),"c","d"))))</x:f>
        <x:v>d</x:v>
      </x:c>
      <x:c r="AD209" s="12" t="str">
        <x:f>IF(OR(R209="unavailable",T209="unavailable"),"不可评价",IF(AND(R209="positive",T209="positive"),"a",IF(T209="positive","b",IF(R209="positive","c","d"))))</x:f>
        <x:v>d</x:v>
      </x:c>
      <x:c r="AE209" s="12" t="str">
        <x:f>IF(OR(W209="unavailable",Y209="unavailable"),"不可评价",IF(AND(OR(W209="positive",W209="equivocal"),OR(Y209="positive",Y209="equivocal")),"a",IF(OR(Y209="positive",Y209="equivocal"),"b",IF(OR(W209="positive",W209="equivocal"),"c","d"))))</x:f>
        <x:v>d</x:v>
      </x:c>
      <x:c r="AF209" s="12" t="str">
        <x:f>IF(OR(W209="unavailable",Y209="unavailable"),"不可评价",IF(AND(W209="positive",Y209="positive"),"a",IF(Y209="positive","b",IF(W209="positive","c","d"))))</x:f>
        <x:v>d</x:v>
      </x:c>
    </x:row>
    <x:row r="210" ht="24" customHeight="1">
      <x:c r="A210" s="12" t="str">
        <x:v>1708</x:v>
      </x:c>
      <x:c r="B210" s="12" t="str">
        <x:v>21253</x:v>
      </x:c>
      <x:c r="C210" s="21" t="n">
        <x:v>32280.901851851853</x:v>
      </x:c>
      <x:c r="D210" s="12" t="n">
        <x:v>54</x:v>
      </x:c>
      <x:c r="E210" s="12" t="n">
        <x:v>0</x:v>
      </x:c>
      <x:c r="F210" s="12" t="str">
        <x:v>未记录</x:v>
      </x:c>
      <x:c r="G210" s="12" t="n">
        <x:v>1</x:v>
      </x:c>
      <x:c r="H210" s="12" t="str">
        <x:v>{'NORM': 100.0, 'SR': 0.0}</x:v>
      </x:c>
      <x:c r="I210" s="12" t="str">
        <x:v>[('NSR', 100.0), ('NML', 100.0)]</x:v>
      </x:c>
      <x:c r="J210" s="12" t="str">
        <x:v>ptbxl_database.csv；ecg_id=1708；scp_codes</x:v>
      </x:c>
      <x:c r="K210" s="12" t="str">
        <x:v>12sl_statements.csv；ecg_id=1708；statements_ext_snomed</x:v>
      </x:c>
      <x:c r="L210" s="12"/>
      <x:c r="M210" s="12" t="str">
        <x:v>negative</x:v>
      </x:c>
      <x:c r="N210" s="12"/>
      <x:c r="O210" s="12" t="str">
        <x:v>negative</x:v>
      </x:c>
      <x:c r="P210" s="12" t="str">
        <x:f>IF(OR(M210="unavailable",O210="unavailable"),"不可评价",IF(OR(M210="equivocal",O210="equivocal"),"疑似",IF(AND(M210="positive",O210="positive"),"a",IF(O210="positive","b",IF(M210="positive","c","d")))))</x:f>
        <x:v>d</x:v>
      </x:c>
      <x:c r="Q210" s="12"/>
      <x:c r="R210" s="12" t="str">
        <x:v>negative</x:v>
      </x:c>
      <x:c r="S210" s="12"/>
      <x:c r="T210" s="12" t="str">
        <x:v>negative</x:v>
      </x:c>
      <x:c r="U210" s="12" t="str">
        <x:f>IF(OR(R210="unavailable",T210="unavailable"),"不可评价",IF(OR(R210="equivocal",T210="equivocal"),"疑似",IF(AND(R210="positive",T210="positive"),"a",IF(T210="positive","b",IF(R210="positive","c","d")))))</x:f>
        <x:v>d</x:v>
      </x:c>
      <x:c r="V210" s="12"/>
      <x:c r="W210" s="12" t="str">
        <x:v>negative</x:v>
      </x:c>
      <x:c r="X210" s="12"/>
      <x:c r="Y210" s="12" t="str">
        <x:v>negative</x:v>
      </x:c>
      <x:c r="Z210" s="12" t="str">
        <x:f>IF(OR(W210="unavailable",Y210="unavailable"),"不可评价",IF(OR(W210="equivocal",Y210="equivocal"),"疑似",IF(AND(W210="positive",Y210="positive"),"a",IF(Y210="positive","b",IF(W210="positive","c","d")))))</x:f>
        <x:v>d</x:v>
      </x:c>
      <x:c r="AA210" s="12" t="str">
        <x:f>IF(OR(M210="unavailable",O210="unavailable"),"不可评价",IF(AND(OR(M210="positive",M210="equivocal"),OR(O210="positive",O210="equivocal")),"a",IF(OR(O210="positive",O210="equivocal"),"b",IF(OR(M210="positive",M210="equivocal"),"c","d"))))</x:f>
        <x:v>d</x:v>
      </x:c>
      <x:c r="AB210" s="12" t="str">
        <x:f>IF(OR(M210="unavailable",O210="unavailable"),"不可评价",IF(AND(M210="positive",O210="positive"),"a",IF(O210="positive","b",IF(M210="positive","c","d"))))</x:f>
        <x:v>d</x:v>
      </x:c>
      <x:c r="AC210" s="12" t="str">
        <x:f>IF(OR(R210="unavailable",T210="unavailable"),"不可评价",IF(AND(OR(R210="positive",R210="equivocal"),OR(T210="positive",T210="equivocal")),"a",IF(OR(T210="positive",T210="equivocal"),"b",IF(OR(R210="positive",R210="equivocal"),"c","d"))))</x:f>
        <x:v>d</x:v>
      </x:c>
      <x:c r="AD210" s="12" t="str">
        <x:f>IF(OR(R210="unavailable",T210="unavailable"),"不可评价",IF(AND(R210="positive",T210="positive"),"a",IF(T210="positive","b",IF(R210="positive","c","d"))))</x:f>
        <x:v>d</x:v>
      </x:c>
      <x:c r="AE210" s="12" t="str">
        <x:f>IF(OR(W210="unavailable",Y210="unavailable"),"不可评价",IF(AND(OR(W210="positive",W210="equivocal"),OR(Y210="positive",Y210="equivocal")),"a",IF(OR(Y210="positive",Y210="equivocal"),"b",IF(OR(W210="positive",W210="equivocal"),"c","d"))))</x:f>
        <x:v>d</x:v>
      </x:c>
      <x:c r="AF210" s="12" t="str">
        <x:f>IF(OR(W210="unavailable",Y210="unavailable"),"不可评价",IF(AND(W210="positive",Y210="positive"),"a",IF(Y210="positive","b",IF(W210="positive","c","d"))))</x:f>
        <x:v>d</x:v>
      </x:c>
    </x:row>
    <x:row r="211" ht="24" customHeight="1">
      <x:c r="A211" s="12" t="str">
        <x:v>1717</x:v>
      </x:c>
      <x:c r="B211" s="12" t="str">
        <x:v>20306</x:v>
      </x:c>
      <x:c r="C211" s="21" t="n">
        <x:v>32290.476759259258</x:v>
      </x:c>
      <x:c r="D211" s="12" t="n">
        <x:v>71</x:v>
      </x:c>
      <x:c r="E211" s="12" t="n">
        <x:v>0</x:v>
      </x:c>
      <x:c r="F211" s="12" t="str">
        <x:v>未记录</x:v>
      </x:c>
      <x:c r="G211" s="12" t="n">
        <x:v>1</x:v>
      </x:c>
      <x:c r="H211" s="12" t="str">
        <x:v>{'PACE': 100.0, 'SBRAD': 0.0}</x:v>
      </x:c>
      <x:c r="I211" s="12" t="str">
        <x:v>[('EABRAD', 100.0), ('IRREG', 100.0), ('LBBB', 100.0), ('AB', 100.0)]</x:v>
      </x:c>
      <x:c r="J211" s="12" t="str">
        <x:v>ptbxl_database.csv；ecg_id=1717；scp_codes</x:v>
      </x:c>
      <x:c r="K211" s="12" t="str">
        <x:v>12sl_statements.csv；ecg_id=1717；statements_ext_snomed</x:v>
      </x:c>
      <x:c r="L211" s="12"/>
      <x:c r="M211" s="12" t="str">
        <x:v>negative</x:v>
      </x:c>
      <x:c r="N211" s="12"/>
      <x:c r="O211" s="12" t="str">
        <x:v>negative</x:v>
      </x:c>
      <x:c r="P211" s="12" t="str">
        <x:f>IF(OR(M211="unavailable",O211="unavailable"),"不可评价",IF(OR(M211="equivocal",O211="equivocal"),"疑似",IF(AND(M211="positive",O211="positive"),"a",IF(O211="positive","b",IF(M211="positive","c","d")))))</x:f>
        <x:v>d</x:v>
      </x:c>
      <x:c r="Q211" s="12"/>
      <x:c r="R211" s="12" t="str">
        <x:v>negative</x:v>
      </x:c>
      <x:c r="S211" s="12" t="n">
        <x:v>100</x:v>
      </x:c>
      <x:c r="T211" s="12" t="str">
        <x:v>positive</x:v>
      </x:c>
      <x:c r="U211" s="12" t="str">
        <x:f>IF(OR(R211="unavailable",T211="unavailable"),"不可评价",IF(OR(R211="equivocal",T211="equivocal"),"疑似",IF(AND(R211="positive",T211="positive"),"a",IF(T211="positive","b",IF(R211="positive","c","d")))))</x:f>
        <x:v>b</x:v>
      </x:c>
      <x:c r="V211" s="12"/>
      <x:c r="W211" s="12" t="str">
        <x:v>negative</x:v>
      </x:c>
      <x:c r="X211" s="12"/>
      <x:c r="Y211" s="12" t="str">
        <x:v>negative</x:v>
      </x:c>
      <x:c r="Z211" s="12" t="str">
        <x:f>IF(OR(W211="unavailable",Y211="unavailable"),"不可评价",IF(OR(W211="equivocal",Y211="equivocal"),"疑似",IF(AND(W211="positive",Y211="positive"),"a",IF(Y211="positive","b",IF(W211="positive","c","d")))))</x:f>
        <x:v>d</x:v>
      </x:c>
      <x:c r="AA211" s="12" t="str">
        <x:f>IF(OR(M211="unavailable",O211="unavailable"),"不可评价",IF(AND(OR(M211="positive",M211="equivocal"),OR(O211="positive",O211="equivocal")),"a",IF(OR(O211="positive",O211="equivocal"),"b",IF(OR(M211="positive",M211="equivocal"),"c","d"))))</x:f>
        <x:v>d</x:v>
      </x:c>
      <x:c r="AB211" s="12" t="str">
        <x:f>IF(OR(M211="unavailable",O211="unavailable"),"不可评价",IF(AND(M211="positive",O211="positive"),"a",IF(O211="positive","b",IF(M211="positive","c","d"))))</x:f>
        <x:v>d</x:v>
      </x:c>
      <x:c r="AC211" s="12" t="str">
        <x:f>IF(OR(R211="unavailable",T211="unavailable"),"不可评价",IF(AND(OR(R211="positive",R211="equivocal"),OR(T211="positive",T211="equivocal")),"a",IF(OR(T211="positive",T211="equivocal"),"b",IF(OR(R211="positive",R211="equivocal"),"c","d"))))</x:f>
        <x:v>b</x:v>
      </x:c>
      <x:c r="AD211" s="12" t="str">
        <x:f>IF(OR(R211="unavailable",T211="unavailable"),"不可评价",IF(AND(R211="positive",T211="positive"),"a",IF(T211="positive","b",IF(R211="positive","c","d"))))</x:f>
        <x:v>b</x:v>
      </x:c>
      <x:c r="AE211" s="12" t="str">
        <x:f>IF(OR(W211="unavailable",Y211="unavailable"),"不可评价",IF(AND(OR(W211="positive",W211="equivocal"),OR(Y211="positive",Y211="equivocal")),"a",IF(OR(Y211="positive",Y211="equivocal"),"b",IF(OR(W211="positive",W211="equivocal"),"c","d"))))</x:f>
        <x:v>d</x:v>
      </x:c>
      <x:c r="AF211" s="12" t="str">
        <x:f>IF(OR(W211="unavailable",Y211="unavailable"),"不可评价",IF(AND(W211="positive",Y211="positive"),"a",IF(Y211="positive","b",IF(W211="positive","c","d"))))</x:f>
        <x:v>d</x:v>
      </x:c>
    </x:row>
    <x:row r="212" ht="24" customHeight="1">
      <x:c r="A212" s="12" t="str">
        <x:v>1736</x:v>
      </x:c>
      <x:c r="B212" s="12" t="str">
        <x:v>19382</x:v>
      </x:c>
      <x:c r="C212" s="21" t="n">
        <x:v>32304.614317129628</x:v>
      </x:c>
      <x:c r="D212" s="12" t="n">
        <x:v>76</x:v>
      </x:c>
      <x:c r="E212" s="12" t="n">
        <x:v>0</x:v>
      </x:c>
      <x:c r="F212" s="12" t="str">
        <x:v>未记录</x:v>
      </x:c>
      <x:c r="G212" s="12" t="n">
        <x:v>1</x:v>
      </x:c>
      <x:c r="H212" s="12" t="str">
        <x:v>{'NDT': 100.0, 'SR': 0.0}</x:v>
      </x:c>
      <x:c r="I212" s="12" t="str">
        <x:v>[('SRTH', 100.0), ('MSAR', 100.0), ('IMI;AU', 100.0), ('AB', 100.0)]</x:v>
      </x:c>
      <x:c r="J212" s="12" t="str">
        <x:v>ptbxl_database.csv；ecg_id=1736；scp_codes</x:v>
      </x:c>
      <x:c r="K212" s="12" t="str">
        <x:v>12sl_statements.csv；ecg_id=1736；statements_ext_snomed</x:v>
      </x:c>
      <x:c r="L212" s="12"/>
      <x:c r="M212" s="12" t="str">
        <x:v>negative</x:v>
      </x:c>
      <x:c r="N212" s="12"/>
      <x:c r="O212" s="12" t="str">
        <x:v>negative</x:v>
      </x:c>
      <x:c r="P212" s="12" t="str">
        <x:f>IF(OR(M212="unavailable",O212="unavailable"),"不可评价",IF(OR(M212="equivocal",O212="equivocal"),"疑似",IF(AND(M212="positive",O212="positive"),"a",IF(O212="positive","b",IF(M212="positive","c","d")))))</x:f>
        <x:v>d</x:v>
      </x:c>
      <x:c r="Q212" s="12"/>
      <x:c r="R212" s="12" t="str">
        <x:v>negative</x:v>
      </x:c>
      <x:c r="S212" s="12"/>
      <x:c r="T212" s="12" t="str">
        <x:v>negative</x:v>
      </x:c>
      <x:c r="U212" s="12" t="str">
        <x:f>IF(OR(R212="unavailable",T212="unavailable"),"不可评价",IF(OR(R212="equivocal",T212="equivocal"),"疑似",IF(AND(R212="positive",T212="positive"),"a",IF(T212="positive","b",IF(R212="positive","c","d")))))</x:f>
        <x:v>d</x:v>
      </x:c>
      <x:c r="V212" s="12"/>
      <x:c r="W212" s="12" t="str">
        <x:v>negative</x:v>
      </x:c>
      <x:c r="X212" s="12"/>
      <x:c r="Y212" s="12" t="str">
        <x:v>negative</x:v>
      </x:c>
      <x:c r="Z212" s="12" t="str">
        <x:f>IF(OR(W212="unavailable",Y212="unavailable"),"不可评价",IF(OR(W212="equivocal",Y212="equivocal"),"疑似",IF(AND(W212="positive",Y212="positive"),"a",IF(Y212="positive","b",IF(W212="positive","c","d")))))</x:f>
        <x:v>d</x:v>
      </x:c>
      <x:c r="AA212" s="12" t="str">
        <x:f>IF(OR(M212="unavailable",O212="unavailable"),"不可评价",IF(AND(OR(M212="positive",M212="equivocal"),OR(O212="positive",O212="equivocal")),"a",IF(OR(O212="positive",O212="equivocal"),"b",IF(OR(M212="positive",M212="equivocal"),"c","d"))))</x:f>
        <x:v>d</x:v>
      </x:c>
      <x:c r="AB212" s="12" t="str">
        <x:f>IF(OR(M212="unavailable",O212="unavailable"),"不可评价",IF(AND(M212="positive",O212="positive"),"a",IF(O212="positive","b",IF(M212="positive","c","d"))))</x:f>
        <x:v>d</x:v>
      </x:c>
      <x:c r="AC212" s="12" t="str">
        <x:f>IF(OR(R212="unavailable",T212="unavailable"),"不可评价",IF(AND(OR(R212="positive",R212="equivocal"),OR(T212="positive",T212="equivocal")),"a",IF(OR(T212="positive",T212="equivocal"),"b",IF(OR(R212="positive",R212="equivocal"),"c","d"))))</x:f>
        <x:v>d</x:v>
      </x:c>
      <x:c r="AD212" s="12" t="str">
        <x:f>IF(OR(R212="unavailable",T212="unavailable"),"不可评价",IF(AND(R212="positive",T212="positive"),"a",IF(T212="positive","b",IF(R212="positive","c","d"))))</x:f>
        <x:v>d</x:v>
      </x:c>
      <x:c r="AE212" s="12" t="str">
        <x:f>IF(OR(W212="unavailable",Y212="unavailable"),"不可评价",IF(AND(OR(W212="positive",W212="equivocal"),OR(Y212="positive",Y212="equivocal")),"a",IF(OR(Y212="positive",Y212="equivocal"),"b",IF(OR(W212="positive",W212="equivocal"),"c","d"))))</x:f>
        <x:v>d</x:v>
      </x:c>
      <x:c r="AF212" s="12" t="str">
        <x:f>IF(OR(W212="unavailable",Y212="unavailable"),"不可评价",IF(AND(W212="positive",Y212="positive"),"a",IF(Y212="positive","b",IF(W212="positive","c","d"))))</x:f>
        <x:v>d</x:v>
      </x:c>
    </x:row>
    <x:row r="213" ht="24" customHeight="1">
      <x:c r="A213" s="12" t="str">
        <x:v>1737</x:v>
      </x:c>
      <x:c r="B213" s="12" t="str">
        <x:v>13841</x:v>
      </x:c>
      <x:c r="C213" s="21" t="n">
        <x:v>32304.689108796298</x:v>
      </x:c>
      <x:c r="D213" s="12" t="n">
        <x:v>67</x:v>
      </x:c>
      <x:c r="E213" s="12" t="n">
        <x:v>1</x:v>
      </x:c>
      <x:c r="F213" s="12" t="str">
        <x:v>未记录</x:v>
      </x:c>
      <x:c r="G213" s="12" t="n">
        <x:v>1</x:v>
      </x:c>
      <x:c r="H213" s="12" t="str">
        <x:v>{'IMI': 100.0, 'SR': 0.0}</x:v>
      </x:c>
      <x:c r="I213" s="12" t="str">
        <x:v>[('NSR', 100.0), ('IMI;AU', 100.0), ('AB', 100.0)]</x:v>
      </x:c>
      <x:c r="J213" s="12" t="str">
        <x:v>ptbxl_database.csv；ecg_id=1737；scp_codes</x:v>
      </x:c>
      <x:c r="K213" s="12" t="str">
        <x:v>12sl_statements.csv；ecg_id=1737；statements_ext_snomed</x:v>
      </x:c>
      <x:c r="L213" s="12"/>
      <x:c r="M213" s="12" t="str">
        <x:v>negative</x:v>
      </x:c>
      <x:c r="N213" s="12"/>
      <x:c r="O213" s="12" t="str">
        <x:v>negative</x:v>
      </x:c>
      <x:c r="P213" s="12" t="str">
        <x:f>IF(OR(M213="unavailable",O213="unavailable"),"不可评价",IF(OR(M213="equivocal",O213="equivocal"),"疑似",IF(AND(M213="positive",O213="positive"),"a",IF(O213="positive","b",IF(M213="positive","c","d")))))</x:f>
        <x:v>d</x:v>
      </x:c>
      <x:c r="Q213" s="12"/>
      <x:c r="R213" s="12" t="str">
        <x:v>negative</x:v>
      </x:c>
      <x:c r="S213" s="12"/>
      <x:c r="T213" s="12" t="str">
        <x:v>negative</x:v>
      </x:c>
      <x:c r="U213" s="12" t="str">
        <x:f>IF(OR(R213="unavailable",T213="unavailable"),"不可评价",IF(OR(R213="equivocal",T213="equivocal"),"疑似",IF(AND(R213="positive",T213="positive"),"a",IF(T213="positive","b",IF(R213="positive","c","d")))))</x:f>
        <x:v>d</x:v>
      </x:c>
      <x:c r="V213" s="12"/>
      <x:c r="W213" s="12" t="str">
        <x:v>negative</x:v>
      </x:c>
      <x:c r="X213" s="12"/>
      <x:c r="Y213" s="12" t="str">
        <x:v>negative</x:v>
      </x:c>
      <x:c r="Z213" s="12" t="str">
        <x:f>IF(OR(W213="unavailable",Y213="unavailable"),"不可评价",IF(OR(W213="equivocal",Y213="equivocal"),"疑似",IF(AND(W213="positive",Y213="positive"),"a",IF(Y213="positive","b",IF(W213="positive","c","d")))))</x:f>
        <x:v>d</x:v>
      </x:c>
      <x:c r="AA213" s="12" t="str">
        <x:f>IF(OR(M213="unavailable",O213="unavailable"),"不可评价",IF(AND(OR(M213="positive",M213="equivocal"),OR(O213="positive",O213="equivocal")),"a",IF(OR(O213="positive",O213="equivocal"),"b",IF(OR(M213="positive",M213="equivocal"),"c","d"))))</x:f>
        <x:v>d</x:v>
      </x:c>
      <x:c r="AB213" s="12" t="str">
        <x:f>IF(OR(M213="unavailable",O213="unavailable"),"不可评价",IF(AND(M213="positive",O213="positive"),"a",IF(O213="positive","b",IF(M213="positive","c","d"))))</x:f>
        <x:v>d</x:v>
      </x:c>
      <x:c r="AC213" s="12" t="str">
        <x:f>IF(OR(R213="unavailable",T213="unavailable"),"不可评价",IF(AND(OR(R213="positive",R213="equivocal"),OR(T213="positive",T213="equivocal")),"a",IF(OR(T213="positive",T213="equivocal"),"b",IF(OR(R213="positive",R213="equivocal"),"c","d"))))</x:f>
        <x:v>d</x:v>
      </x:c>
      <x:c r="AD213" s="12" t="str">
        <x:f>IF(OR(R213="unavailable",T213="unavailable"),"不可评价",IF(AND(R213="positive",T213="positive"),"a",IF(T213="positive","b",IF(R213="positive","c","d"))))</x:f>
        <x:v>d</x:v>
      </x:c>
      <x:c r="AE213" s="12" t="str">
        <x:f>IF(OR(W213="unavailable",Y213="unavailable"),"不可评价",IF(AND(OR(W213="positive",W213="equivocal"),OR(Y213="positive",Y213="equivocal")),"a",IF(OR(Y213="positive",Y213="equivocal"),"b",IF(OR(W213="positive",W213="equivocal"),"c","d"))))</x:f>
        <x:v>d</x:v>
      </x:c>
      <x:c r="AF213" s="12" t="str">
        <x:f>IF(OR(W213="unavailable",Y213="unavailable"),"不可评价",IF(AND(W213="positive",Y213="positive"),"a",IF(Y213="positive","b",IF(W213="positive","c","d"))))</x:f>
        <x:v>d</x:v>
      </x:c>
    </x:row>
    <x:row r="214" ht="24" customHeight="1">
      <x:c r="A214" s="12" t="str">
        <x:v>1741</x:v>
      </x:c>
      <x:c r="B214" s="12" t="str">
        <x:v>9222</x:v>
      </x:c>
      <x:c r="C214" s="21" t="n">
        <x:v>32307.40849537037</x:v>
      </x:c>
      <x:c r="D214" s="12" t="n">
        <x:v>35</x:v>
      </x:c>
      <x:c r="E214" s="12" t="n">
        <x:v>1</x:v>
      </x:c>
      <x:c r="F214" s="12" t="str">
        <x:v>存在</x:v>
      </x:c>
      <x:c r="G214" s="12" t="n">
        <x:v>1</x:v>
      </x:c>
      <x:c r="H214" s="12" t="str">
        <x:v>{'NORM': 100.0, 'SR': 0.0}</x:v>
      </x:c>
      <x:c r="I214" s="12" t="str">
        <x:v>[('NSR', 100.0), ('NML', 100.0)]</x:v>
      </x:c>
      <x:c r="J214" s="12" t="str">
        <x:v>ptbxl_database.csv；ecg_id=1741；scp_codes</x:v>
      </x:c>
      <x:c r="K214" s="12" t="str">
        <x:v>12sl_statements.csv；ecg_id=1741；statements_ext_snomed</x:v>
      </x:c>
      <x:c r="L214" s="12"/>
      <x:c r="M214" s="12" t="str">
        <x:v>negative</x:v>
      </x:c>
      <x:c r="N214" s="12"/>
      <x:c r="O214" s="12" t="str">
        <x:v>negative</x:v>
      </x:c>
      <x:c r="P214" s="12" t="str">
        <x:f>IF(OR(M214="unavailable",O214="unavailable"),"不可评价",IF(OR(M214="equivocal",O214="equivocal"),"疑似",IF(AND(M214="positive",O214="positive"),"a",IF(O214="positive","b",IF(M214="positive","c","d")))))</x:f>
        <x:v>d</x:v>
      </x:c>
      <x:c r="Q214" s="12"/>
      <x:c r="R214" s="12" t="str">
        <x:v>negative</x:v>
      </x:c>
      <x:c r="S214" s="12"/>
      <x:c r="T214" s="12" t="str">
        <x:v>negative</x:v>
      </x:c>
      <x:c r="U214" s="12" t="str">
        <x:f>IF(OR(R214="unavailable",T214="unavailable"),"不可评价",IF(OR(R214="equivocal",T214="equivocal"),"疑似",IF(AND(R214="positive",T214="positive"),"a",IF(T214="positive","b",IF(R214="positive","c","d")))))</x:f>
        <x:v>d</x:v>
      </x:c>
      <x:c r="V214" s="12"/>
      <x:c r="W214" s="12" t="str">
        <x:v>negative</x:v>
      </x:c>
      <x:c r="X214" s="12"/>
      <x:c r="Y214" s="12" t="str">
        <x:v>negative</x:v>
      </x:c>
      <x:c r="Z214" s="12" t="str">
        <x:f>IF(OR(W214="unavailable",Y214="unavailable"),"不可评价",IF(OR(W214="equivocal",Y214="equivocal"),"疑似",IF(AND(W214="positive",Y214="positive"),"a",IF(Y214="positive","b",IF(W214="positive","c","d")))))</x:f>
        <x:v>d</x:v>
      </x:c>
      <x:c r="AA214" s="12" t="str">
        <x:f>IF(OR(M214="unavailable",O214="unavailable"),"不可评价",IF(AND(OR(M214="positive",M214="equivocal"),OR(O214="positive",O214="equivocal")),"a",IF(OR(O214="positive",O214="equivocal"),"b",IF(OR(M214="positive",M214="equivocal"),"c","d"))))</x:f>
        <x:v>d</x:v>
      </x:c>
      <x:c r="AB214" s="12" t="str">
        <x:f>IF(OR(M214="unavailable",O214="unavailable"),"不可评价",IF(AND(M214="positive",O214="positive"),"a",IF(O214="positive","b",IF(M214="positive","c","d"))))</x:f>
        <x:v>d</x:v>
      </x:c>
      <x:c r="AC214" s="12" t="str">
        <x:f>IF(OR(R214="unavailable",T214="unavailable"),"不可评价",IF(AND(OR(R214="positive",R214="equivocal"),OR(T214="positive",T214="equivocal")),"a",IF(OR(T214="positive",T214="equivocal"),"b",IF(OR(R214="positive",R214="equivocal"),"c","d"))))</x:f>
        <x:v>d</x:v>
      </x:c>
      <x:c r="AD214" s="12" t="str">
        <x:f>IF(OR(R214="unavailable",T214="unavailable"),"不可评价",IF(AND(R214="positive",T214="positive"),"a",IF(T214="positive","b",IF(R214="positive","c","d"))))</x:f>
        <x:v>d</x:v>
      </x:c>
      <x:c r="AE214" s="12" t="str">
        <x:f>IF(OR(W214="unavailable",Y214="unavailable"),"不可评价",IF(AND(OR(W214="positive",W214="equivocal"),OR(Y214="positive",Y214="equivocal")),"a",IF(OR(Y214="positive",Y214="equivocal"),"b",IF(OR(W214="positive",W214="equivocal"),"c","d"))))</x:f>
        <x:v>d</x:v>
      </x:c>
      <x:c r="AF214" s="12" t="str">
        <x:f>IF(OR(W214="unavailable",Y214="unavailable"),"不可评价",IF(AND(W214="positive",Y214="positive"),"a",IF(Y214="positive","b",IF(W214="positive","c","d"))))</x:f>
        <x:v>d</x:v>
      </x:c>
    </x:row>
    <x:row r="215" ht="24" customHeight="1">
      <x:c r="A215" s="12" t="str">
        <x:v>1745</x:v>
      </x:c>
      <x:c r="B215" s="12" t="str">
        <x:v>21332</x:v>
      </x:c>
      <x:c r="C215" s="21" t="n">
        <x:v>32311.63954861111</x:v>
      </x:c>
      <x:c r="D215" s="12" t="n">
        <x:v>71</x:v>
      </x:c>
      <x:c r="E215" s="12" t="n">
        <x:v>1</x:v>
      </x:c>
      <x:c r="F215" s="12" t="str">
        <x:v>未记录</x:v>
      </x:c>
      <x:c r="G215" s="12" t="n">
        <x:v>1</x:v>
      </x:c>
      <x:c r="H215" s="12" t="str">
        <x:v>{'LAO/LAE': 35.0, 'SR': 0.0}</x:v>
      </x:c>
      <x:c r="I215" s="12" t="str">
        <x:v>[('NSR', 100.0), ('NML', 100.0)]</x:v>
      </x:c>
      <x:c r="J215" s="12" t="str">
        <x:v>ptbxl_database.csv；ecg_id=1745；scp_codes</x:v>
      </x:c>
      <x:c r="K215" s="12" t="str">
        <x:v>12sl_statements.csv；ecg_id=1745；statements_ext_snomed</x:v>
      </x:c>
      <x:c r="L215" s="12"/>
      <x:c r="M215" s="12" t="str">
        <x:v>negative</x:v>
      </x:c>
      <x:c r="N215" s="12"/>
      <x:c r="O215" s="12" t="str">
        <x:v>negative</x:v>
      </x:c>
      <x:c r="P215" s="12" t="str">
        <x:f>IF(OR(M215="unavailable",O215="unavailable"),"不可评价",IF(OR(M215="equivocal",O215="equivocal"),"疑似",IF(AND(M215="positive",O215="positive"),"a",IF(O215="positive","b",IF(M215="positive","c","d")))))</x:f>
        <x:v>d</x:v>
      </x:c>
      <x:c r="Q215" s="12"/>
      <x:c r="R215" s="12" t="str">
        <x:v>negative</x:v>
      </x:c>
      <x:c r="S215" s="12"/>
      <x:c r="T215" s="12" t="str">
        <x:v>negative</x:v>
      </x:c>
      <x:c r="U215" s="12" t="str">
        <x:f>IF(OR(R215="unavailable",T215="unavailable"),"不可评价",IF(OR(R215="equivocal",T215="equivocal"),"疑似",IF(AND(R215="positive",T215="positive"),"a",IF(T215="positive","b",IF(R215="positive","c","d")))))</x:f>
        <x:v>d</x:v>
      </x:c>
      <x:c r="V215" s="12"/>
      <x:c r="W215" s="12" t="str">
        <x:v>negative</x:v>
      </x:c>
      <x:c r="X215" s="12"/>
      <x:c r="Y215" s="12" t="str">
        <x:v>negative</x:v>
      </x:c>
      <x:c r="Z215" s="12" t="str">
        <x:f>IF(OR(W215="unavailable",Y215="unavailable"),"不可评价",IF(OR(W215="equivocal",Y215="equivocal"),"疑似",IF(AND(W215="positive",Y215="positive"),"a",IF(Y215="positive","b",IF(W215="positive","c","d")))))</x:f>
        <x:v>d</x:v>
      </x:c>
      <x:c r="AA215" s="12" t="str">
        <x:f>IF(OR(M215="unavailable",O215="unavailable"),"不可评价",IF(AND(OR(M215="positive",M215="equivocal"),OR(O215="positive",O215="equivocal")),"a",IF(OR(O215="positive",O215="equivocal"),"b",IF(OR(M215="positive",M215="equivocal"),"c","d"))))</x:f>
        <x:v>d</x:v>
      </x:c>
      <x:c r="AB215" s="12" t="str">
        <x:f>IF(OR(M215="unavailable",O215="unavailable"),"不可评价",IF(AND(M215="positive",O215="positive"),"a",IF(O215="positive","b",IF(M215="positive","c","d"))))</x:f>
        <x:v>d</x:v>
      </x:c>
      <x:c r="AC215" s="12" t="str">
        <x:f>IF(OR(R215="unavailable",T215="unavailable"),"不可评价",IF(AND(OR(R215="positive",R215="equivocal"),OR(T215="positive",T215="equivocal")),"a",IF(OR(T215="positive",T215="equivocal"),"b",IF(OR(R215="positive",R215="equivocal"),"c","d"))))</x:f>
        <x:v>d</x:v>
      </x:c>
      <x:c r="AD215" s="12" t="str">
        <x:f>IF(OR(R215="unavailable",T215="unavailable"),"不可评价",IF(AND(R215="positive",T215="positive"),"a",IF(T215="positive","b",IF(R215="positive","c","d"))))</x:f>
        <x:v>d</x:v>
      </x:c>
      <x:c r="AE215" s="12" t="str">
        <x:f>IF(OR(W215="unavailable",Y215="unavailable"),"不可评价",IF(AND(OR(W215="positive",W215="equivocal"),OR(Y215="positive",Y215="equivocal")),"a",IF(OR(Y215="positive",Y215="equivocal"),"b",IF(OR(W215="positive",W215="equivocal"),"c","d"))))</x:f>
        <x:v>d</x:v>
      </x:c>
      <x:c r="AF215" s="12" t="str">
        <x:f>IF(OR(W215="unavailable",Y215="unavailable"),"不可评价",IF(AND(W215="positive",Y215="positive"),"a",IF(Y215="positive","b",IF(W215="positive","c","d"))))</x:f>
        <x:v>d</x:v>
      </x:c>
    </x:row>
    <x:row r="216" ht="24" customHeight="1">
      <x:c r="A216" s="12" t="str">
        <x:v>1746</x:v>
      </x:c>
      <x:c r="B216" s="12" t="str">
        <x:v>21588</x:v>
      </x:c>
      <x:c r="C216" s="21" t="n">
        <x:v>32312.27358796296</x:v>
      </x:c>
      <x:c r="D216" s="12" t="n">
        <x:v>26</x:v>
      </x:c>
      <x:c r="E216" s="12" t="n">
        <x:v>1</x:v>
      </x:c>
      <x:c r="F216" s="12" t="str">
        <x:v>存在</x:v>
      </x:c>
      <x:c r="G216" s="12" t="n">
        <x:v>1</x:v>
      </x:c>
      <x:c r="H216" s="12" t="str">
        <x:v>{'NORM': 80.0, 'SARRH': 0.0}</x:v>
      </x:c>
      <x:c r="I216" s="12" t="str">
        <x:v>[('SBRAD', 100.0), ('MSAR', 100.0), ('ABR', 100.0)]</x:v>
      </x:c>
      <x:c r="J216" s="12" t="str">
        <x:v>ptbxl_database.csv；ecg_id=1746；scp_codes</x:v>
      </x:c>
      <x:c r="K216" s="12" t="str">
        <x:v>12sl_statements.csv；ecg_id=1746；statements_ext_snomed</x:v>
      </x:c>
      <x:c r="L216" s="12"/>
      <x:c r="M216" s="12" t="str">
        <x:v>negative</x:v>
      </x:c>
      <x:c r="N216" s="12"/>
      <x:c r="O216" s="12" t="str">
        <x:v>negative</x:v>
      </x:c>
      <x:c r="P216" s="12" t="str">
        <x:f>IF(OR(M216="unavailable",O216="unavailable"),"不可评价",IF(OR(M216="equivocal",O216="equivocal"),"疑似",IF(AND(M216="positive",O216="positive"),"a",IF(O216="positive","b",IF(M216="positive","c","d")))))</x:f>
        <x:v>d</x:v>
      </x:c>
      <x:c r="Q216" s="12"/>
      <x:c r="R216" s="12" t="str">
        <x:v>negative</x:v>
      </x:c>
      <x:c r="S216" s="12"/>
      <x:c r="T216" s="12" t="str">
        <x:v>negative</x:v>
      </x:c>
      <x:c r="U216" s="12" t="str">
        <x:f>IF(OR(R216="unavailable",T216="unavailable"),"不可评价",IF(OR(R216="equivocal",T216="equivocal"),"疑似",IF(AND(R216="positive",T216="positive"),"a",IF(T216="positive","b",IF(R216="positive","c","d")))))</x:f>
        <x:v>d</x:v>
      </x:c>
      <x:c r="V216" s="12"/>
      <x:c r="W216" s="12" t="str">
        <x:v>negative</x:v>
      </x:c>
      <x:c r="X216" s="12"/>
      <x:c r="Y216" s="12" t="str">
        <x:v>negative</x:v>
      </x:c>
      <x:c r="Z216" s="12" t="str">
        <x:f>IF(OR(W216="unavailable",Y216="unavailable"),"不可评价",IF(OR(W216="equivocal",Y216="equivocal"),"疑似",IF(AND(W216="positive",Y216="positive"),"a",IF(Y216="positive","b",IF(W216="positive","c","d")))))</x:f>
        <x:v>d</x:v>
      </x:c>
      <x:c r="AA216" s="12" t="str">
        <x:f>IF(OR(M216="unavailable",O216="unavailable"),"不可评价",IF(AND(OR(M216="positive",M216="equivocal"),OR(O216="positive",O216="equivocal")),"a",IF(OR(O216="positive",O216="equivocal"),"b",IF(OR(M216="positive",M216="equivocal"),"c","d"))))</x:f>
        <x:v>d</x:v>
      </x:c>
      <x:c r="AB216" s="12" t="str">
        <x:f>IF(OR(M216="unavailable",O216="unavailable"),"不可评价",IF(AND(M216="positive",O216="positive"),"a",IF(O216="positive","b",IF(M216="positive","c","d"))))</x:f>
        <x:v>d</x:v>
      </x:c>
      <x:c r="AC216" s="12" t="str">
        <x:f>IF(OR(R216="unavailable",T216="unavailable"),"不可评价",IF(AND(OR(R216="positive",R216="equivocal"),OR(T216="positive",T216="equivocal")),"a",IF(OR(T216="positive",T216="equivocal"),"b",IF(OR(R216="positive",R216="equivocal"),"c","d"))))</x:f>
        <x:v>d</x:v>
      </x:c>
      <x:c r="AD216" s="12" t="str">
        <x:f>IF(OR(R216="unavailable",T216="unavailable"),"不可评价",IF(AND(R216="positive",T216="positive"),"a",IF(T216="positive","b",IF(R216="positive","c","d"))))</x:f>
        <x:v>d</x:v>
      </x:c>
      <x:c r="AE216" s="12" t="str">
        <x:f>IF(OR(W216="unavailable",Y216="unavailable"),"不可评价",IF(AND(OR(W216="positive",W216="equivocal"),OR(Y216="positive",Y216="equivocal")),"a",IF(OR(Y216="positive",Y216="equivocal"),"b",IF(OR(W216="positive",W216="equivocal"),"c","d"))))</x:f>
        <x:v>d</x:v>
      </x:c>
      <x:c r="AF216" s="12" t="str">
        <x:f>IF(OR(W216="unavailable",Y216="unavailable"),"不可评价",IF(AND(W216="positive",Y216="positive"),"a",IF(Y216="positive","b",IF(W216="positive","c","d"))))</x:f>
        <x:v>d</x:v>
      </x:c>
    </x:row>
    <x:row r="217" ht="24" customHeight="1">
      <x:c r="A217" s="12" t="str">
        <x:v>1747</x:v>
      </x:c>
      <x:c r="B217" s="12" t="str">
        <x:v>19382</x:v>
      </x:c>
      <x:c r="C217" s="21" t="n">
        <x:v>32312.386122685184</x:v>
      </x:c>
      <x:c r="D217" s="12" t="n">
        <x:v>76</x:v>
      </x:c>
      <x:c r="E217" s="12" t="n">
        <x:v>0</x:v>
      </x:c>
      <x:c r="F217" s="12" t="str">
        <x:v>未记录</x:v>
      </x:c>
      <x:c r="G217" s="12" t="n">
        <x:v>0</x:v>
      </x:c>
      <x:c r="H217" s="12" t="str">
        <x:v>{'IMI': 100.0, 'ABQRS': 0.0, 'SARRH': 0.0}</x:v>
      </x:c>
      <x:c r="I217" s="12" t="str">
        <x:v>[('SRTH', 100.0), ('PAC', 100.0), ('BIGEM', 100.0), ('IMI;AU', 100.0), ('AB', 100.0)]</x:v>
      </x:c>
      <x:c r="J217" s="12" t="str">
        <x:v>ptbxl_database.csv；ecg_id=1747；scp_codes</x:v>
      </x:c>
      <x:c r="K217" s="12" t="str">
        <x:v>12sl_statements.csv；ecg_id=1747；statements_ext_snomed</x:v>
      </x:c>
      <x:c r="L217" s="12"/>
      <x:c r="M217" s="12" t="str">
        <x:v>negative</x:v>
      </x:c>
      <x:c r="N217" s="12"/>
      <x:c r="O217" s="12" t="str">
        <x:v>negative</x:v>
      </x:c>
      <x:c r="P217" s="12" t="str">
        <x:f>IF(OR(M217="unavailable",O217="unavailable"),"不可评价",IF(OR(M217="equivocal",O217="equivocal"),"疑似",IF(AND(M217="positive",O217="positive"),"a",IF(O217="positive","b",IF(M217="positive","c","d")))))</x:f>
        <x:v>d</x:v>
      </x:c>
      <x:c r="Q217" s="12"/>
      <x:c r="R217" s="12" t="str">
        <x:v>negative</x:v>
      </x:c>
      <x:c r="S217" s="12"/>
      <x:c r="T217" s="12" t="str">
        <x:v>negative</x:v>
      </x:c>
      <x:c r="U217" s="12" t="str">
        <x:f>IF(OR(R217="unavailable",T217="unavailable"),"不可评价",IF(OR(R217="equivocal",T217="equivocal"),"疑似",IF(AND(R217="positive",T217="positive"),"a",IF(T217="positive","b",IF(R217="positive","c","d")))))</x:f>
        <x:v>d</x:v>
      </x:c>
      <x:c r="V217" s="12"/>
      <x:c r="W217" s="12" t="str">
        <x:v>negative</x:v>
      </x:c>
      <x:c r="X217" s="12"/>
      <x:c r="Y217" s="12" t="str">
        <x:v>negative</x:v>
      </x:c>
      <x:c r="Z217" s="12" t="str">
        <x:f>IF(OR(W217="unavailable",Y217="unavailable"),"不可评价",IF(OR(W217="equivocal",Y217="equivocal"),"疑似",IF(AND(W217="positive",Y217="positive"),"a",IF(Y217="positive","b",IF(W217="positive","c","d")))))</x:f>
        <x:v>d</x:v>
      </x:c>
      <x:c r="AA217" s="12" t="str">
        <x:f>IF(OR(M217="unavailable",O217="unavailable"),"不可评价",IF(AND(OR(M217="positive",M217="equivocal"),OR(O217="positive",O217="equivocal")),"a",IF(OR(O217="positive",O217="equivocal"),"b",IF(OR(M217="positive",M217="equivocal"),"c","d"))))</x:f>
        <x:v>d</x:v>
      </x:c>
      <x:c r="AB217" s="12" t="str">
        <x:f>IF(OR(M217="unavailable",O217="unavailable"),"不可评价",IF(AND(M217="positive",O217="positive"),"a",IF(O217="positive","b",IF(M217="positive","c","d"))))</x:f>
        <x:v>d</x:v>
      </x:c>
      <x:c r="AC217" s="12" t="str">
        <x:f>IF(OR(R217="unavailable",T217="unavailable"),"不可评价",IF(AND(OR(R217="positive",R217="equivocal"),OR(T217="positive",T217="equivocal")),"a",IF(OR(T217="positive",T217="equivocal"),"b",IF(OR(R217="positive",R217="equivocal"),"c","d"))))</x:f>
        <x:v>d</x:v>
      </x:c>
      <x:c r="AD217" s="12" t="str">
        <x:f>IF(OR(R217="unavailable",T217="unavailable"),"不可评价",IF(AND(R217="positive",T217="positive"),"a",IF(T217="positive","b",IF(R217="positive","c","d"))))</x:f>
        <x:v>d</x:v>
      </x:c>
      <x:c r="AE217" s="12" t="str">
        <x:f>IF(OR(W217="unavailable",Y217="unavailable"),"不可评价",IF(AND(OR(W217="positive",W217="equivocal"),OR(Y217="positive",Y217="equivocal")),"a",IF(OR(Y217="positive",Y217="equivocal"),"b",IF(OR(W217="positive",W217="equivocal"),"c","d"))))</x:f>
        <x:v>d</x:v>
      </x:c>
      <x:c r="AF217" s="12" t="str">
        <x:f>IF(OR(W217="unavailable",Y217="unavailable"),"不可评价",IF(AND(W217="positive",Y217="positive"),"a",IF(Y217="positive","b",IF(W217="positive","c","d"))))</x:f>
        <x:v>d</x:v>
      </x:c>
    </x:row>
    <x:row r="218" ht="24" customHeight="1">
      <x:c r="A218" s="12" t="str">
        <x:v>1753</x:v>
      </x:c>
      <x:c r="B218" s="12" t="str">
        <x:v>9838</x:v>
      </x:c>
      <x:c r="C218" s="21" t="n">
        <x:v>32314.507627314815</x:v>
      </x:c>
      <x:c r="D218" s="12" t="n">
        <x:v>61</x:v>
      </x:c>
      <x:c r="E218" s="12" t="n">
        <x:v>1</x:v>
      </x:c>
      <x:c r="F218" s="12" t="str">
        <x:v>未记录</x:v>
      </x:c>
      <x:c r="G218" s="12" t="n">
        <x:v>1</x:v>
      </x:c>
      <x:c r="H218" s="12" t="str">
        <x:v>{'LMI': 15.0, 'SR': 0.0}</x:v>
      </x:c>
      <x:c r="I218" s="12" t="str">
        <x:v>[('SBRAD', 100.0), ('BORDE', 100.0)]</x:v>
      </x:c>
      <x:c r="J218" s="12" t="str">
        <x:v>ptbxl_database.csv；ecg_id=1753；scp_codes</x:v>
      </x:c>
      <x:c r="K218" s="12" t="str">
        <x:v>12sl_statements.csv；ecg_id=1753；statements_ext_snomed</x:v>
      </x:c>
      <x:c r="L218" s="12"/>
      <x:c r="M218" s="12" t="str">
        <x:v>negative</x:v>
      </x:c>
      <x:c r="N218" s="12"/>
      <x:c r="O218" s="12" t="str">
        <x:v>negative</x:v>
      </x:c>
      <x:c r="P218" s="12" t="str">
        <x:f>IF(OR(M218="unavailable",O218="unavailable"),"不可评价",IF(OR(M218="equivocal",O218="equivocal"),"疑似",IF(AND(M218="positive",O218="positive"),"a",IF(O218="positive","b",IF(M218="positive","c","d")))))</x:f>
        <x:v>d</x:v>
      </x:c>
      <x:c r="Q218" s="12"/>
      <x:c r="R218" s="12" t="str">
        <x:v>negative</x:v>
      </x:c>
      <x:c r="S218" s="12"/>
      <x:c r="T218" s="12" t="str">
        <x:v>negative</x:v>
      </x:c>
      <x:c r="U218" s="12" t="str">
        <x:f>IF(OR(R218="unavailable",T218="unavailable"),"不可评价",IF(OR(R218="equivocal",T218="equivocal"),"疑似",IF(AND(R218="positive",T218="positive"),"a",IF(T218="positive","b",IF(R218="positive","c","d")))))</x:f>
        <x:v>d</x:v>
      </x:c>
      <x:c r="V218" s="12"/>
      <x:c r="W218" s="12" t="str">
        <x:v>negative</x:v>
      </x:c>
      <x:c r="X218" s="12"/>
      <x:c r="Y218" s="12" t="str">
        <x:v>negative</x:v>
      </x:c>
      <x:c r="Z218" s="12" t="str">
        <x:f>IF(OR(W218="unavailable",Y218="unavailable"),"不可评价",IF(OR(W218="equivocal",Y218="equivocal"),"疑似",IF(AND(W218="positive",Y218="positive"),"a",IF(Y218="positive","b",IF(W218="positive","c","d")))))</x:f>
        <x:v>d</x:v>
      </x:c>
      <x:c r="AA218" s="12" t="str">
        <x:f>IF(OR(M218="unavailable",O218="unavailable"),"不可评价",IF(AND(OR(M218="positive",M218="equivocal"),OR(O218="positive",O218="equivocal")),"a",IF(OR(O218="positive",O218="equivocal"),"b",IF(OR(M218="positive",M218="equivocal"),"c","d"))))</x:f>
        <x:v>d</x:v>
      </x:c>
      <x:c r="AB218" s="12" t="str">
        <x:f>IF(OR(M218="unavailable",O218="unavailable"),"不可评价",IF(AND(M218="positive",O218="positive"),"a",IF(O218="positive","b",IF(M218="positive","c","d"))))</x:f>
        <x:v>d</x:v>
      </x:c>
      <x:c r="AC218" s="12" t="str">
        <x:f>IF(OR(R218="unavailable",T218="unavailable"),"不可评价",IF(AND(OR(R218="positive",R218="equivocal"),OR(T218="positive",T218="equivocal")),"a",IF(OR(T218="positive",T218="equivocal"),"b",IF(OR(R218="positive",R218="equivocal"),"c","d"))))</x:f>
        <x:v>d</x:v>
      </x:c>
      <x:c r="AD218" s="12" t="str">
        <x:f>IF(OR(R218="unavailable",T218="unavailable"),"不可评价",IF(AND(R218="positive",T218="positive"),"a",IF(T218="positive","b",IF(R218="positive","c","d"))))</x:f>
        <x:v>d</x:v>
      </x:c>
      <x:c r="AE218" s="12" t="str">
        <x:f>IF(OR(W218="unavailable",Y218="unavailable"),"不可评价",IF(AND(OR(W218="positive",W218="equivocal"),OR(Y218="positive",Y218="equivocal")),"a",IF(OR(Y218="positive",Y218="equivocal"),"b",IF(OR(W218="positive",W218="equivocal"),"c","d"))))</x:f>
        <x:v>d</x:v>
      </x:c>
      <x:c r="AF218" s="12" t="str">
        <x:f>IF(OR(W218="unavailable",Y218="unavailable"),"不可评价",IF(AND(W218="positive",Y218="positive"),"a",IF(Y218="positive","b",IF(W218="positive","c","d"))))</x:f>
        <x:v>d</x:v>
      </x:c>
    </x:row>
    <x:row r="219" ht="24" customHeight="1">
      <x:c r="A219" s="12" t="str">
        <x:v>1757</x:v>
      </x:c>
      <x:c r="B219" s="12" t="str">
        <x:v>16264</x:v>
      </x:c>
      <x:c r="C219" s="21" t="n">
        <x:v>32315.491863425927</x:v>
      </x:c>
      <x:c r="D219" s="12" t="n">
        <x:v>35</x:v>
      </x:c>
      <x:c r="E219" s="12" t="n">
        <x:v>1</x:v>
      </x:c>
      <x:c r="F219" s="12" t="str">
        <x:v>未记录</x:v>
      </x:c>
      <x:c r="G219" s="12" t="n">
        <x:v>1</x:v>
      </x:c>
      <x:c r="H219" s="12" t="str">
        <x:v>{'NORM': 100.0, 'ABQRS': 0.0, 'SR': 0.0}</x:v>
      </x:c>
      <x:c r="I219" s="12" t="str">
        <x:v>[('NSR', 100.0), ('NML', 100.0)]</x:v>
      </x:c>
      <x:c r="J219" s="12" t="str">
        <x:v>ptbxl_database.csv；ecg_id=1757；scp_codes</x:v>
      </x:c>
      <x:c r="K219" s="12" t="str">
        <x:v>12sl_statements.csv；ecg_id=1757；statements_ext_snomed</x:v>
      </x:c>
      <x:c r="L219" s="12"/>
      <x:c r="M219" s="12" t="str">
        <x:v>negative</x:v>
      </x:c>
      <x:c r="N219" s="12"/>
      <x:c r="O219" s="12" t="str">
        <x:v>negative</x:v>
      </x:c>
      <x:c r="P219" s="12" t="str">
        <x:f>IF(OR(M219="unavailable",O219="unavailable"),"不可评价",IF(OR(M219="equivocal",O219="equivocal"),"疑似",IF(AND(M219="positive",O219="positive"),"a",IF(O219="positive","b",IF(M219="positive","c","d")))))</x:f>
        <x:v>d</x:v>
      </x:c>
      <x:c r="Q219" s="12"/>
      <x:c r="R219" s="12" t="str">
        <x:v>negative</x:v>
      </x:c>
      <x:c r="S219" s="12"/>
      <x:c r="T219" s="12" t="str">
        <x:v>negative</x:v>
      </x:c>
      <x:c r="U219" s="12" t="str">
        <x:f>IF(OR(R219="unavailable",T219="unavailable"),"不可评价",IF(OR(R219="equivocal",T219="equivocal"),"疑似",IF(AND(R219="positive",T219="positive"),"a",IF(T219="positive","b",IF(R219="positive","c","d")))))</x:f>
        <x:v>d</x:v>
      </x:c>
      <x:c r="V219" s="12"/>
      <x:c r="W219" s="12" t="str">
        <x:v>negative</x:v>
      </x:c>
      <x:c r="X219" s="12"/>
      <x:c r="Y219" s="12" t="str">
        <x:v>negative</x:v>
      </x:c>
      <x:c r="Z219" s="12" t="str">
        <x:f>IF(OR(W219="unavailable",Y219="unavailable"),"不可评价",IF(OR(W219="equivocal",Y219="equivocal"),"疑似",IF(AND(W219="positive",Y219="positive"),"a",IF(Y219="positive","b",IF(W219="positive","c","d")))))</x:f>
        <x:v>d</x:v>
      </x:c>
      <x:c r="AA219" s="12" t="str">
        <x:f>IF(OR(M219="unavailable",O219="unavailable"),"不可评价",IF(AND(OR(M219="positive",M219="equivocal"),OR(O219="positive",O219="equivocal")),"a",IF(OR(O219="positive",O219="equivocal"),"b",IF(OR(M219="positive",M219="equivocal"),"c","d"))))</x:f>
        <x:v>d</x:v>
      </x:c>
      <x:c r="AB219" s="12" t="str">
        <x:f>IF(OR(M219="unavailable",O219="unavailable"),"不可评价",IF(AND(M219="positive",O219="positive"),"a",IF(O219="positive","b",IF(M219="positive","c","d"))))</x:f>
        <x:v>d</x:v>
      </x:c>
      <x:c r="AC219" s="12" t="str">
        <x:f>IF(OR(R219="unavailable",T219="unavailable"),"不可评价",IF(AND(OR(R219="positive",R219="equivocal"),OR(T219="positive",T219="equivocal")),"a",IF(OR(T219="positive",T219="equivocal"),"b",IF(OR(R219="positive",R219="equivocal"),"c","d"))))</x:f>
        <x:v>d</x:v>
      </x:c>
      <x:c r="AD219" s="12" t="str">
        <x:f>IF(OR(R219="unavailable",T219="unavailable"),"不可评价",IF(AND(R219="positive",T219="positive"),"a",IF(T219="positive","b",IF(R219="positive","c","d"))))</x:f>
        <x:v>d</x:v>
      </x:c>
      <x:c r="AE219" s="12" t="str">
        <x:f>IF(OR(W219="unavailable",Y219="unavailable"),"不可评价",IF(AND(OR(W219="positive",W219="equivocal"),OR(Y219="positive",Y219="equivocal")),"a",IF(OR(Y219="positive",Y219="equivocal"),"b",IF(OR(W219="positive",W219="equivocal"),"c","d"))))</x:f>
        <x:v>d</x:v>
      </x:c>
      <x:c r="AF219" s="12" t="str">
        <x:f>IF(OR(W219="unavailable",Y219="unavailable"),"不可评价",IF(AND(W219="positive",Y219="positive"),"a",IF(Y219="positive","b",IF(W219="positive","c","d"))))</x:f>
        <x:v>d</x:v>
      </x:c>
    </x:row>
    <x:row r="220" ht="24" customHeight="1">
      <x:c r="A220" s="12" t="str">
        <x:v>1769</x:v>
      </x:c>
      <x:c r="B220" s="12" t="str">
        <x:v>2427</x:v>
      </x:c>
      <x:c r="C220" s="21" t="n">
        <x:v>32319.465011574073</x:v>
      </x:c>
      <x:c r="D220" s="12" t="n">
        <x:v>71</x:v>
      </x:c>
      <x:c r="E220" s="12" t="n">
        <x:v>1</x:v>
      </x:c>
      <x:c r="F220" s="12" t="str">
        <x:v>未记录</x:v>
      </x:c>
      <x:c r="G220" s="12" t="n">
        <x:v>1</x:v>
      </x:c>
      <x:c r="H220" s="12" t="str">
        <x:v>{'IMI': 50.0, 'SR': 0.0}</x:v>
      </x:c>
      <x:c r="I220" s="12" t="str">
        <x:v>[('NSR', 100.0), ('IMI;AU', 100.0), ('AB', 100.0)]</x:v>
      </x:c>
      <x:c r="J220" s="12" t="str">
        <x:v>ptbxl_database.csv；ecg_id=1769；scp_codes</x:v>
      </x:c>
      <x:c r="K220" s="12" t="str">
        <x:v>12sl_statements.csv；ecg_id=1769；statements_ext_snomed</x:v>
      </x:c>
      <x:c r="L220" s="12"/>
      <x:c r="M220" s="12" t="str">
        <x:v>negative</x:v>
      </x:c>
      <x:c r="N220" s="12"/>
      <x:c r="O220" s="12" t="str">
        <x:v>negative</x:v>
      </x:c>
      <x:c r="P220" s="12" t="str">
        <x:f>IF(OR(M220="unavailable",O220="unavailable"),"不可评价",IF(OR(M220="equivocal",O220="equivocal"),"疑似",IF(AND(M220="positive",O220="positive"),"a",IF(O220="positive","b",IF(M220="positive","c","d")))))</x:f>
        <x:v>d</x:v>
      </x:c>
      <x:c r="Q220" s="12"/>
      <x:c r="R220" s="12" t="str">
        <x:v>negative</x:v>
      </x:c>
      <x:c r="S220" s="12"/>
      <x:c r="T220" s="12" t="str">
        <x:v>negative</x:v>
      </x:c>
      <x:c r="U220" s="12" t="str">
        <x:f>IF(OR(R220="unavailable",T220="unavailable"),"不可评价",IF(OR(R220="equivocal",T220="equivocal"),"疑似",IF(AND(R220="positive",T220="positive"),"a",IF(T220="positive","b",IF(R220="positive","c","d")))))</x:f>
        <x:v>d</x:v>
      </x:c>
      <x:c r="V220" s="12"/>
      <x:c r="W220" s="12" t="str">
        <x:v>negative</x:v>
      </x:c>
      <x:c r="X220" s="12"/>
      <x:c r="Y220" s="12" t="str">
        <x:v>negative</x:v>
      </x:c>
      <x:c r="Z220" s="12" t="str">
        <x:f>IF(OR(W220="unavailable",Y220="unavailable"),"不可评价",IF(OR(W220="equivocal",Y220="equivocal"),"疑似",IF(AND(W220="positive",Y220="positive"),"a",IF(Y220="positive","b",IF(W220="positive","c","d")))))</x:f>
        <x:v>d</x:v>
      </x:c>
      <x:c r="AA220" s="12" t="str">
        <x:f>IF(OR(M220="unavailable",O220="unavailable"),"不可评价",IF(AND(OR(M220="positive",M220="equivocal"),OR(O220="positive",O220="equivocal")),"a",IF(OR(O220="positive",O220="equivocal"),"b",IF(OR(M220="positive",M220="equivocal"),"c","d"))))</x:f>
        <x:v>d</x:v>
      </x:c>
      <x:c r="AB220" s="12" t="str">
        <x:f>IF(OR(M220="unavailable",O220="unavailable"),"不可评价",IF(AND(M220="positive",O220="positive"),"a",IF(O220="positive","b",IF(M220="positive","c","d"))))</x:f>
        <x:v>d</x:v>
      </x:c>
      <x:c r="AC220" s="12" t="str">
        <x:f>IF(OR(R220="unavailable",T220="unavailable"),"不可评价",IF(AND(OR(R220="positive",R220="equivocal"),OR(T220="positive",T220="equivocal")),"a",IF(OR(T220="positive",T220="equivocal"),"b",IF(OR(R220="positive",R220="equivocal"),"c","d"))))</x:f>
        <x:v>d</x:v>
      </x:c>
      <x:c r="AD220" s="12" t="str">
        <x:f>IF(OR(R220="unavailable",T220="unavailable"),"不可评价",IF(AND(R220="positive",T220="positive"),"a",IF(T220="positive","b",IF(R220="positive","c","d"))))</x:f>
        <x:v>d</x:v>
      </x:c>
      <x:c r="AE220" s="12" t="str">
        <x:f>IF(OR(W220="unavailable",Y220="unavailable"),"不可评价",IF(AND(OR(W220="positive",W220="equivocal"),OR(Y220="positive",Y220="equivocal")),"a",IF(OR(Y220="positive",Y220="equivocal"),"b",IF(OR(W220="positive",W220="equivocal"),"c","d"))))</x:f>
        <x:v>d</x:v>
      </x:c>
      <x:c r="AF220" s="12" t="str">
        <x:f>IF(OR(W220="unavailable",Y220="unavailable"),"不可评价",IF(AND(W220="positive",Y220="positive"),"a",IF(Y220="positive","b",IF(W220="positive","c","d"))))</x:f>
        <x:v>d</x:v>
      </x:c>
    </x:row>
    <x:row r="221" ht="24" customHeight="1">
      <x:c r="A221" s="12" t="str">
        <x:v>1775</x:v>
      </x:c>
      <x:c r="B221" s="12" t="str">
        <x:v>4148</x:v>
      </x:c>
      <x:c r="C221" s="21" t="n">
        <x:v>32320.35920138889</x:v>
      </x:c>
      <x:c r="D221" s="12" t="n">
        <x:v>70</x:v>
      </x:c>
      <x:c r="E221" s="12" t="n">
        <x:v>1</x:v>
      </x:c>
      <x:c r="F221" s="12" t="str">
        <x:v>未记录</x:v>
      </x:c>
      <x:c r="G221" s="12" t="n">
        <x:v>1</x:v>
      </x:c>
      <x:c r="H221" s="12" t="str">
        <x:v>{'NORM': 100.0, 'SR': 0.0}</x:v>
      </x:c>
      <x:c r="I221" s="12" t="str">
        <x:v>[('NSR', 100.0), ('NML', 100.0)]</x:v>
      </x:c>
      <x:c r="J221" s="12" t="str">
        <x:v>ptbxl_database.csv；ecg_id=1775；scp_codes</x:v>
      </x:c>
      <x:c r="K221" s="12" t="str">
        <x:v>12sl_statements.csv；ecg_id=1775；statements_ext_snomed</x:v>
      </x:c>
      <x:c r="L221" s="12"/>
      <x:c r="M221" s="12" t="str">
        <x:v>negative</x:v>
      </x:c>
      <x:c r="N221" s="12"/>
      <x:c r="O221" s="12" t="str">
        <x:v>negative</x:v>
      </x:c>
      <x:c r="P221" s="12" t="str">
        <x:f>IF(OR(M221="unavailable",O221="unavailable"),"不可评价",IF(OR(M221="equivocal",O221="equivocal"),"疑似",IF(AND(M221="positive",O221="positive"),"a",IF(O221="positive","b",IF(M221="positive","c","d")))))</x:f>
        <x:v>d</x:v>
      </x:c>
      <x:c r="Q221" s="12"/>
      <x:c r="R221" s="12" t="str">
        <x:v>negative</x:v>
      </x:c>
      <x:c r="S221" s="12"/>
      <x:c r="T221" s="12" t="str">
        <x:v>negative</x:v>
      </x:c>
      <x:c r="U221" s="12" t="str">
        <x:f>IF(OR(R221="unavailable",T221="unavailable"),"不可评价",IF(OR(R221="equivocal",T221="equivocal"),"疑似",IF(AND(R221="positive",T221="positive"),"a",IF(T221="positive","b",IF(R221="positive","c","d")))))</x:f>
        <x:v>d</x:v>
      </x:c>
      <x:c r="V221" s="12"/>
      <x:c r="W221" s="12" t="str">
        <x:v>negative</x:v>
      </x:c>
      <x:c r="X221" s="12"/>
      <x:c r="Y221" s="12" t="str">
        <x:v>negative</x:v>
      </x:c>
      <x:c r="Z221" s="12" t="str">
        <x:f>IF(OR(W221="unavailable",Y221="unavailable"),"不可评价",IF(OR(W221="equivocal",Y221="equivocal"),"疑似",IF(AND(W221="positive",Y221="positive"),"a",IF(Y221="positive","b",IF(W221="positive","c","d")))))</x:f>
        <x:v>d</x:v>
      </x:c>
      <x:c r="AA221" s="12" t="str">
        <x:f>IF(OR(M221="unavailable",O221="unavailable"),"不可评价",IF(AND(OR(M221="positive",M221="equivocal"),OR(O221="positive",O221="equivocal")),"a",IF(OR(O221="positive",O221="equivocal"),"b",IF(OR(M221="positive",M221="equivocal"),"c","d"))))</x:f>
        <x:v>d</x:v>
      </x:c>
      <x:c r="AB221" s="12" t="str">
        <x:f>IF(OR(M221="unavailable",O221="unavailable"),"不可评价",IF(AND(M221="positive",O221="positive"),"a",IF(O221="positive","b",IF(M221="positive","c","d"))))</x:f>
        <x:v>d</x:v>
      </x:c>
      <x:c r="AC221" s="12" t="str">
        <x:f>IF(OR(R221="unavailable",T221="unavailable"),"不可评价",IF(AND(OR(R221="positive",R221="equivocal"),OR(T221="positive",T221="equivocal")),"a",IF(OR(T221="positive",T221="equivocal"),"b",IF(OR(R221="positive",R221="equivocal"),"c","d"))))</x:f>
        <x:v>d</x:v>
      </x:c>
      <x:c r="AD221" s="12" t="str">
        <x:f>IF(OR(R221="unavailable",T221="unavailable"),"不可评价",IF(AND(R221="positive",T221="positive"),"a",IF(T221="positive","b",IF(R221="positive","c","d"))))</x:f>
        <x:v>d</x:v>
      </x:c>
      <x:c r="AE221" s="12" t="str">
        <x:f>IF(OR(W221="unavailable",Y221="unavailable"),"不可评价",IF(AND(OR(W221="positive",W221="equivocal"),OR(Y221="positive",Y221="equivocal")),"a",IF(OR(Y221="positive",Y221="equivocal"),"b",IF(OR(W221="positive",W221="equivocal"),"c","d"))))</x:f>
        <x:v>d</x:v>
      </x:c>
      <x:c r="AF221" s="12" t="str">
        <x:f>IF(OR(W221="unavailable",Y221="unavailable"),"不可评价",IF(AND(W221="positive",Y221="positive"),"a",IF(Y221="positive","b",IF(W221="positive","c","d"))))</x:f>
        <x:v>d</x:v>
      </x:c>
    </x:row>
    <x:row r="222" ht="24" customHeight="1">
      <x:c r="A222" s="12" t="str">
        <x:v>1780</x:v>
      </x:c>
      <x:c r="B222" s="12" t="str">
        <x:v>1021</x:v>
      </x:c>
      <x:c r="C222" s="21" t="n">
        <x:v>32320.562604166666</x:v>
      </x:c>
      <x:c r="D222" s="12" t="n">
        <x:v>47</x:v>
      </x:c>
      <x:c r="E222" s="12" t="n">
        <x:v>1</x:v>
      </x:c>
      <x:c r="F222" s="12" t="str">
        <x:v>未记录</x:v>
      </x:c>
      <x:c r="G222" s="12" t="n">
        <x:v>1</x:v>
      </x:c>
      <x:c r="H222" s="12" t="str">
        <x:v>{'NORM': 100.0, 'SR': 0.0}</x:v>
      </x:c>
      <x:c r="I222" s="12" t="str">
        <x:v>[('NSR', 100.0), ('NML', 100.0)]</x:v>
      </x:c>
      <x:c r="J222" s="12" t="str">
        <x:v>ptbxl_database.csv；ecg_id=1780；scp_codes</x:v>
      </x:c>
      <x:c r="K222" s="12" t="str">
        <x:v>12sl_statements.csv；ecg_id=1780；statements_ext_snomed</x:v>
      </x:c>
      <x:c r="L222" s="12"/>
      <x:c r="M222" s="12" t="str">
        <x:v>negative</x:v>
      </x:c>
      <x:c r="N222" s="12"/>
      <x:c r="O222" s="12" t="str">
        <x:v>negative</x:v>
      </x:c>
      <x:c r="P222" s="12" t="str">
        <x:f>IF(OR(M222="unavailable",O222="unavailable"),"不可评价",IF(OR(M222="equivocal",O222="equivocal"),"疑似",IF(AND(M222="positive",O222="positive"),"a",IF(O222="positive","b",IF(M222="positive","c","d")))))</x:f>
        <x:v>d</x:v>
      </x:c>
      <x:c r="Q222" s="12"/>
      <x:c r="R222" s="12" t="str">
        <x:v>negative</x:v>
      </x:c>
      <x:c r="S222" s="12"/>
      <x:c r="T222" s="12" t="str">
        <x:v>negative</x:v>
      </x:c>
      <x:c r="U222" s="12" t="str">
        <x:f>IF(OR(R222="unavailable",T222="unavailable"),"不可评价",IF(OR(R222="equivocal",T222="equivocal"),"疑似",IF(AND(R222="positive",T222="positive"),"a",IF(T222="positive","b",IF(R222="positive","c","d")))))</x:f>
        <x:v>d</x:v>
      </x:c>
      <x:c r="V222" s="12"/>
      <x:c r="W222" s="12" t="str">
        <x:v>negative</x:v>
      </x:c>
      <x:c r="X222" s="12"/>
      <x:c r="Y222" s="12" t="str">
        <x:v>negative</x:v>
      </x:c>
      <x:c r="Z222" s="12" t="str">
        <x:f>IF(OR(W222="unavailable",Y222="unavailable"),"不可评价",IF(OR(W222="equivocal",Y222="equivocal"),"疑似",IF(AND(W222="positive",Y222="positive"),"a",IF(Y222="positive","b",IF(W222="positive","c","d")))))</x:f>
        <x:v>d</x:v>
      </x:c>
      <x:c r="AA222" s="12" t="str">
        <x:f>IF(OR(M222="unavailable",O222="unavailable"),"不可评价",IF(AND(OR(M222="positive",M222="equivocal"),OR(O222="positive",O222="equivocal")),"a",IF(OR(O222="positive",O222="equivocal"),"b",IF(OR(M222="positive",M222="equivocal"),"c","d"))))</x:f>
        <x:v>d</x:v>
      </x:c>
      <x:c r="AB222" s="12" t="str">
        <x:f>IF(OR(M222="unavailable",O222="unavailable"),"不可评价",IF(AND(M222="positive",O222="positive"),"a",IF(O222="positive","b",IF(M222="positive","c","d"))))</x:f>
        <x:v>d</x:v>
      </x:c>
      <x:c r="AC222" s="12" t="str">
        <x:f>IF(OR(R222="unavailable",T222="unavailable"),"不可评价",IF(AND(OR(R222="positive",R222="equivocal"),OR(T222="positive",T222="equivocal")),"a",IF(OR(T222="positive",T222="equivocal"),"b",IF(OR(R222="positive",R222="equivocal"),"c","d"))))</x:f>
        <x:v>d</x:v>
      </x:c>
      <x:c r="AD222" s="12" t="str">
        <x:f>IF(OR(R222="unavailable",T222="unavailable"),"不可评价",IF(AND(R222="positive",T222="positive"),"a",IF(T222="positive","b",IF(R222="positive","c","d"))))</x:f>
        <x:v>d</x:v>
      </x:c>
      <x:c r="AE222" s="12" t="str">
        <x:f>IF(OR(W222="unavailable",Y222="unavailable"),"不可评价",IF(AND(OR(W222="positive",W222="equivocal"),OR(Y222="positive",Y222="equivocal")),"a",IF(OR(Y222="positive",Y222="equivocal"),"b",IF(OR(W222="positive",W222="equivocal"),"c","d"))))</x:f>
        <x:v>d</x:v>
      </x:c>
      <x:c r="AF222" s="12" t="str">
        <x:f>IF(OR(W222="unavailable",Y222="unavailable"),"不可评价",IF(AND(W222="positive",Y222="positive"),"a",IF(Y222="positive","b",IF(W222="positive","c","d"))))</x:f>
        <x:v>d</x:v>
      </x:c>
    </x:row>
    <x:row r="223" ht="24" customHeight="1">
      <x:c r="A223" s="12" t="str">
        <x:v>1785</x:v>
      </x:c>
      <x:c r="B223" s="12" t="str">
        <x:v>13570</x:v>
      </x:c>
      <x:c r="C223" s="21" t="n">
        <x:v>32320.720787037037</x:v>
      </x:c>
      <x:c r="D223" s="12" t="n">
        <x:v>81</x:v>
      </x:c>
      <x:c r="E223" s="12" t="n">
        <x:v>0</x:v>
      </x:c>
      <x:c r="F223" s="12" t="str">
        <x:v>未记录</x:v>
      </x:c>
      <x:c r="G223" s="12" t="n">
        <x:v>1</x:v>
      </x:c>
      <x:c r="H223" s="12" t="str">
        <x:v>{'RAO/RAE': 100.0, 'SR': 0.0}</x:v>
      </x:c>
      <x:c r="I223" s="12" t="str">
        <x:v>[('SRTH', 100.0), ('PAC', 100.0), ('$SABCOND', 100.0), ('ABR', 100.0)]</x:v>
      </x:c>
      <x:c r="J223" s="12" t="str">
        <x:v>ptbxl_database.csv；ecg_id=1785；scp_codes</x:v>
      </x:c>
      <x:c r="K223" s="12" t="str">
        <x:v>12sl_statements.csv；ecg_id=1785；statements_ext_snomed</x:v>
      </x:c>
      <x:c r="L223" s="12"/>
      <x:c r="M223" s="12" t="str">
        <x:v>negative</x:v>
      </x:c>
      <x:c r="N223" s="12"/>
      <x:c r="O223" s="12" t="str">
        <x:v>negative</x:v>
      </x:c>
      <x:c r="P223" s="12" t="str">
        <x:f>IF(OR(M223="unavailable",O223="unavailable"),"不可评价",IF(OR(M223="equivocal",O223="equivocal"),"疑似",IF(AND(M223="positive",O223="positive"),"a",IF(O223="positive","b",IF(M223="positive","c","d")))))</x:f>
        <x:v>d</x:v>
      </x:c>
      <x:c r="Q223" s="12"/>
      <x:c r="R223" s="12" t="str">
        <x:v>negative</x:v>
      </x:c>
      <x:c r="S223" s="12"/>
      <x:c r="T223" s="12" t="str">
        <x:v>negative</x:v>
      </x:c>
      <x:c r="U223" s="12" t="str">
        <x:f>IF(OR(R223="unavailable",T223="unavailable"),"不可评价",IF(OR(R223="equivocal",T223="equivocal"),"疑似",IF(AND(R223="positive",T223="positive"),"a",IF(T223="positive","b",IF(R223="positive","c","d")))))</x:f>
        <x:v>d</x:v>
      </x:c>
      <x:c r="V223" s="12"/>
      <x:c r="W223" s="12" t="str">
        <x:v>negative</x:v>
      </x:c>
      <x:c r="X223" s="12"/>
      <x:c r="Y223" s="12" t="str">
        <x:v>negative</x:v>
      </x:c>
      <x:c r="Z223" s="12" t="str">
        <x:f>IF(OR(W223="unavailable",Y223="unavailable"),"不可评价",IF(OR(W223="equivocal",Y223="equivocal"),"疑似",IF(AND(W223="positive",Y223="positive"),"a",IF(Y223="positive","b",IF(W223="positive","c","d")))))</x:f>
        <x:v>d</x:v>
      </x:c>
      <x:c r="AA223" s="12" t="str">
        <x:f>IF(OR(M223="unavailable",O223="unavailable"),"不可评价",IF(AND(OR(M223="positive",M223="equivocal"),OR(O223="positive",O223="equivocal")),"a",IF(OR(O223="positive",O223="equivocal"),"b",IF(OR(M223="positive",M223="equivocal"),"c","d"))))</x:f>
        <x:v>d</x:v>
      </x:c>
      <x:c r="AB223" s="12" t="str">
        <x:f>IF(OR(M223="unavailable",O223="unavailable"),"不可评价",IF(AND(M223="positive",O223="positive"),"a",IF(O223="positive","b",IF(M223="positive","c","d"))))</x:f>
        <x:v>d</x:v>
      </x:c>
      <x:c r="AC223" s="12" t="str">
        <x:f>IF(OR(R223="unavailable",T223="unavailable"),"不可评价",IF(AND(OR(R223="positive",R223="equivocal"),OR(T223="positive",T223="equivocal")),"a",IF(OR(T223="positive",T223="equivocal"),"b",IF(OR(R223="positive",R223="equivocal"),"c","d"))))</x:f>
        <x:v>d</x:v>
      </x:c>
      <x:c r="AD223" s="12" t="str">
        <x:f>IF(OR(R223="unavailable",T223="unavailable"),"不可评价",IF(AND(R223="positive",T223="positive"),"a",IF(T223="positive","b",IF(R223="positive","c","d"))))</x:f>
        <x:v>d</x:v>
      </x:c>
      <x:c r="AE223" s="12" t="str">
        <x:f>IF(OR(W223="unavailable",Y223="unavailable"),"不可评价",IF(AND(OR(W223="positive",W223="equivocal"),OR(Y223="positive",Y223="equivocal")),"a",IF(OR(Y223="positive",Y223="equivocal"),"b",IF(OR(W223="positive",W223="equivocal"),"c","d"))))</x:f>
        <x:v>d</x:v>
      </x:c>
      <x:c r="AF223" s="12" t="str">
        <x:f>IF(OR(W223="unavailable",Y223="unavailable"),"不可评价",IF(AND(W223="positive",Y223="positive"),"a",IF(Y223="positive","b",IF(W223="positive","c","d"))))</x:f>
        <x:v>d</x:v>
      </x:c>
    </x:row>
    <x:row r="224" ht="24" customHeight="1">
      <x:c r="A224" s="12" t="str">
        <x:v>1790</x:v>
      </x:c>
      <x:c r="B224" s="12" t="str">
        <x:v>1839</x:v>
      </x:c>
      <x:c r="C224" s="21" t="n">
        <x:v>32321.512835648147</x:v>
      </x:c>
      <x:c r="D224" s="12" t="n">
        <x:v>73</x:v>
      </x:c>
      <x:c r="E224" s="12" t="n">
        <x:v>0</x:v>
      </x:c>
      <x:c r="F224" s="12" t="str">
        <x:v>未记录</x:v>
      </x:c>
      <x:c r="G224" s="12" t="n">
        <x:v>1</x:v>
      </x:c>
      <x:c r="H224" s="12" t="str">
        <x:v>{'NORM': 100.0, 'SR': 0.0}</x:v>
      </x:c>
      <x:c r="I224" s="12" t="str">
        <x:v>[('NSR', 100.0), ('NML', 100.0)]</x:v>
      </x:c>
      <x:c r="J224" s="12" t="str">
        <x:v>ptbxl_database.csv；ecg_id=1790；scp_codes</x:v>
      </x:c>
      <x:c r="K224" s="12" t="str">
        <x:v>12sl_statements.csv；ecg_id=1790；statements_ext_snomed</x:v>
      </x:c>
      <x:c r="L224" s="12"/>
      <x:c r="M224" s="12" t="str">
        <x:v>negative</x:v>
      </x:c>
      <x:c r="N224" s="12"/>
      <x:c r="O224" s="12" t="str">
        <x:v>negative</x:v>
      </x:c>
      <x:c r="P224" s="12" t="str">
        <x:f>IF(OR(M224="unavailable",O224="unavailable"),"不可评价",IF(OR(M224="equivocal",O224="equivocal"),"疑似",IF(AND(M224="positive",O224="positive"),"a",IF(O224="positive","b",IF(M224="positive","c","d")))))</x:f>
        <x:v>d</x:v>
      </x:c>
      <x:c r="Q224" s="12"/>
      <x:c r="R224" s="12" t="str">
        <x:v>negative</x:v>
      </x:c>
      <x:c r="S224" s="12"/>
      <x:c r="T224" s="12" t="str">
        <x:v>negative</x:v>
      </x:c>
      <x:c r="U224" s="12" t="str">
        <x:f>IF(OR(R224="unavailable",T224="unavailable"),"不可评价",IF(OR(R224="equivocal",T224="equivocal"),"疑似",IF(AND(R224="positive",T224="positive"),"a",IF(T224="positive","b",IF(R224="positive","c","d")))))</x:f>
        <x:v>d</x:v>
      </x:c>
      <x:c r="V224" s="12"/>
      <x:c r="W224" s="12" t="str">
        <x:v>negative</x:v>
      </x:c>
      <x:c r="X224" s="12"/>
      <x:c r="Y224" s="12" t="str">
        <x:v>negative</x:v>
      </x:c>
      <x:c r="Z224" s="12" t="str">
        <x:f>IF(OR(W224="unavailable",Y224="unavailable"),"不可评价",IF(OR(W224="equivocal",Y224="equivocal"),"疑似",IF(AND(W224="positive",Y224="positive"),"a",IF(Y224="positive","b",IF(W224="positive","c","d")))))</x:f>
        <x:v>d</x:v>
      </x:c>
      <x:c r="AA224" s="12" t="str">
        <x:f>IF(OR(M224="unavailable",O224="unavailable"),"不可评价",IF(AND(OR(M224="positive",M224="equivocal"),OR(O224="positive",O224="equivocal")),"a",IF(OR(O224="positive",O224="equivocal"),"b",IF(OR(M224="positive",M224="equivocal"),"c","d"))))</x:f>
        <x:v>d</x:v>
      </x:c>
      <x:c r="AB224" s="12" t="str">
        <x:f>IF(OR(M224="unavailable",O224="unavailable"),"不可评价",IF(AND(M224="positive",O224="positive"),"a",IF(O224="positive","b",IF(M224="positive","c","d"))))</x:f>
        <x:v>d</x:v>
      </x:c>
      <x:c r="AC224" s="12" t="str">
        <x:f>IF(OR(R224="unavailable",T224="unavailable"),"不可评价",IF(AND(OR(R224="positive",R224="equivocal"),OR(T224="positive",T224="equivocal")),"a",IF(OR(T224="positive",T224="equivocal"),"b",IF(OR(R224="positive",R224="equivocal"),"c","d"))))</x:f>
        <x:v>d</x:v>
      </x:c>
      <x:c r="AD224" s="12" t="str">
        <x:f>IF(OR(R224="unavailable",T224="unavailable"),"不可评价",IF(AND(R224="positive",T224="positive"),"a",IF(T224="positive","b",IF(R224="positive","c","d"))))</x:f>
        <x:v>d</x:v>
      </x:c>
      <x:c r="AE224" s="12" t="str">
        <x:f>IF(OR(W224="unavailable",Y224="unavailable"),"不可评价",IF(AND(OR(W224="positive",W224="equivocal"),OR(Y224="positive",Y224="equivocal")),"a",IF(OR(Y224="positive",Y224="equivocal"),"b",IF(OR(W224="positive",W224="equivocal"),"c","d"))))</x:f>
        <x:v>d</x:v>
      </x:c>
      <x:c r="AF224" s="12" t="str">
        <x:f>IF(OR(W224="unavailable",Y224="unavailable"),"不可评价",IF(AND(W224="positive",Y224="positive"),"a",IF(Y224="positive","b",IF(W224="positive","c","d"))))</x:f>
        <x:v>d</x:v>
      </x:c>
    </x:row>
    <x:row r="225" ht="24" customHeight="1">
      <x:c r="A225" s="12" t="str">
        <x:v>1792</x:v>
      </x:c>
      <x:c r="B225" s="12" t="str">
        <x:v>7719</x:v>
      </x:c>
      <x:c r="C225" s="21" t="n">
        <x:v>32321.616377314815</x:v>
      </x:c>
      <x:c r="D225" s="12" t="n">
        <x:v>300</x:v>
      </x:c>
      <x:c r="E225" s="12" t="n">
        <x:v>1</x:v>
      </x:c>
      <x:c r="F225" s="12" t="str">
        <x:v>未记录</x:v>
      </x:c>
      <x:c r="G225" s="12" t="n">
        <x:v>1</x:v>
      </x:c>
      <x:c r="H225" s="12" t="str">
        <x:v>{'NDT': 100.0, 'NT_': 0.0, 'SR': 0.0}</x:v>
      </x:c>
      <x:c r="I225" s="12" t="str">
        <x:v>[('NSR', 100.0), ('BORDE', 100.0)]</x:v>
      </x:c>
      <x:c r="J225" s="12" t="str">
        <x:v>ptbxl_database.csv；ecg_id=1792；scp_codes</x:v>
      </x:c>
      <x:c r="K225" s="12" t="str">
        <x:v>12sl_statements.csv；ecg_id=1792；statements_ext_snomed</x:v>
      </x:c>
      <x:c r="L225" s="12"/>
      <x:c r="M225" s="12" t="str">
        <x:v>negative</x:v>
      </x:c>
      <x:c r="N225" s="12"/>
      <x:c r="O225" s="12" t="str">
        <x:v>negative</x:v>
      </x:c>
      <x:c r="P225" s="12" t="str">
        <x:f>IF(OR(M225="unavailable",O225="unavailable"),"不可评价",IF(OR(M225="equivocal",O225="equivocal"),"疑似",IF(AND(M225="positive",O225="positive"),"a",IF(O225="positive","b",IF(M225="positive","c","d")))))</x:f>
        <x:v>d</x:v>
      </x:c>
      <x:c r="Q225" s="12"/>
      <x:c r="R225" s="12" t="str">
        <x:v>negative</x:v>
      </x:c>
      <x:c r="S225" s="12"/>
      <x:c r="T225" s="12" t="str">
        <x:v>negative</x:v>
      </x:c>
      <x:c r="U225" s="12" t="str">
        <x:f>IF(OR(R225="unavailable",T225="unavailable"),"不可评价",IF(OR(R225="equivocal",T225="equivocal"),"疑似",IF(AND(R225="positive",T225="positive"),"a",IF(T225="positive","b",IF(R225="positive","c","d")))))</x:f>
        <x:v>d</x:v>
      </x:c>
      <x:c r="V225" s="12"/>
      <x:c r="W225" s="12" t="str">
        <x:v>negative</x:v>
      </x:c>
      <x:c r="X225" s="12"/>
      <x:c r="Y225" s="12" t="str">
        <x:v>negative</x:v>
      </x:c>
      <x:c r="Z225" s="12" t="str">
        <x:f>IF(OR(W225="unavailable",Y225="unavailable"),"不可评价",IF(OR(W225="equivocal",Y225="equivocal"),"疑似",IF(AND(W225="positive",Y225="positive"),"a",IF(Y225="positive","b",IF(W225="positive","c","d")))))</x:f>
        <x:v>d</x:v>
      </x:c>
      <x:c r="AA225" s="12" t="str">
        <x:f>IF(OR(M225="unavailable",O225="unavailable"),"不可评价",IF(AND(OR(M225="positive",M225="equivocal"),OR(O225="positive",O225="equivocal")),"a",IF(OR(O225="positive",O225="equivocal"),"b",IF(OR(M225="positive",M225="equivocal"),"c","d"))))</x:f>
        <x:v>d</x:v>
      </x:c>
      <x:c r="AB225" s="12" t="str">
        <x:f>IF(OR(M225="unavailable",O225="unavailable"),"不可评价",IF(AND(M225="positive",O225="positive"),"a",IF(O225="positive","b",IF(M225="positive","c","d"))))</x:f>
        <x:v>d</x:v>
      </x:c>
      <x:c r="AC225" s="12" t="str">
        <x:f>IF(OR(R225="unavailable",T225="unavailable"),"不可评价",IF(AND(OR(R225="positive",R225="equivocal"),OR(T225="positive",T225="equivocal")),"a",IF(OR(T225="positive",T225="equivocal"),"b",IF(OR(R225="positive",R225="equivocal"),"c","d"))))</x:f>
        <x:v>d</x:v>
      </x:c>
      <x:c r="AD225" s="12" t="str">
        <x:f>IF(OR(R225="unavailable",T225="unavailable"),"不可评价",IF(AND(R225="positive",T225="positive"),"a",IF(T225="positive","b",IF(R225="positive","c","d"))))</x:f>
        <x:v>d</x:v>
      </x:c>
      <x:c r="AE225" s="12" t="str">
        <x:f>IF(OR(W225="unavailable",Y225="unavailable"),"不可评价",IF(AND(OR(W225="positive",W225="equivocal"),OR(Y225="positive",Y225="equivocal")),"a",IF(OR(Y225="positive",Y225="equivocal"),"b",IF(OR(W225="positive",W225="equivocal"),"c","d"))))</x:f>
        <x:v>d</x:v>
      </x:c>
      <x:c r="AF225" s="12" t="str">
        <x:f>IF(OR(W225="unavailable",Y225="unavailable"),"不可评价",IF(AND(W225="positive",Y225="positive"),"a",IF(Y225="positive","b",IF(W225="positive","c","d"))))</x:f>
        <x:v>d</x:v>
      </x:c>
    </x:row>
    <x:row r="226" ht="24" customHeight="1">
      <x:c r="A226" s="12" t="str">
        <x:v>1812</x:v>
      </x:c>
      <x:c r="B226" s="12" t="str">
        <x:v>2992</x:v>
      </x:c>
      <x:c r="C226" s="21" t="n">
        <x:v>32325.436435185184</x:v>
      </x:c>
      <x:c r="D226" s="12" t="n">
        <x:v>80</x:v>
      </x:c>
      <x:c r="E226" s="12" t="n">
        <x:v>1</x:v>
      </x:c>
      <x:c r="F226" s="12" t="str">
        <x:v>未记录</x:v>
      </x:c>
      <x:c r="G226" s="12" t="n">
        <x:v>1</x:v>
      </x:c>
      <x:c r="H226" s="12" t="str">
        <x:v>{'INJAS': 100.0, 'INJAL': 100.0, 'SR': 0.0}</x:v>
      </x:c>
      <x:c r="I226" s="12" t="str">
        <x:v>[('NSR', 100.0), ('ST&amp;', 100.0), ('ALT', 100.0), ('AB', 100.0)]</x:v>
      </x:c>
      <x:c r="J226" s="12" t="str">
        <x:v>ptbxl_database.csv；ecg_id=1812；scp_codes</x:v>
      </x:c>
      <x:c r="K226" s="12" t="str">
        <x:v>12sl_statements.csv；ecg_id=1812；statements_ext_snomed</x:v>
      </x:c>
      <x:c r="L226" s="12"/>
      <x:c r="M226" s="12" t="str">
        <x:v>negative</x:v>
      </x:c>
      <x:c r="N226" s="12"/>
      <x:c r="O226" s="12" t="str">
        <x:v>negative</x:v>
      </x:c>
      <x:c r="P226" s="12" t="str">
        <x:f>IF(OR(M226="unavailable",O226="unavailable"),"不可评价",IF(OR(M226="equivocal",O226="equivocal"),"疑似",IF(AND(M226="positive",O226="positive"),"a",IF(O226="positive","b",IF(M226="positive","c","d")))))</x:f>
        <x:v>d</x:v>
      </x:c>
      <x:c r="Q226" s="12"/>
      <x:c r="R226" s="12" t="str">
        <x:v>negative</x:v>
      </x:c>
      <x:c r="S226" s="12"/>
      <x:c r="T226" s="12" t="str">
        <x:v>negative</x:v>
      </x:c>
      <x:c r="U226" s="12" t="str">
        <x:f>IF(OR(R226="unavailable",T226="unavailable"),"不可评价",IF(OR(R226="equivocal",T226="equivocal"),"疑似",IF(AND(R226="positive",T226="positive"),"a",IF(T226="positive","b",IF(R226="positive","c","d")))))</x:f>
        <x:v>d</x:v>
      </x:c>
      <x:c r="V226" s="12"/>
      <x:c r="W226" s="12" t="str">
        <x:v>negative</x:v>
      </x:c>
      <x:c r="X226" s="12"/>
      <x:c r="Y226" s="12" t="str">
        <x:v>negative</x:v>
      </x:c>
      <x:c r="Z226" s="12" t="str">
        <x:f>IF(OR(W226="unavailable",Y226="unavailable"),"不可评价",IF(OR(W226="equivocal",Y226="equivocal"),"疑似",IF(AND(W226="positive",Y226="positive"),"a",IF(Y226="positive","b",IF(W226="positive","c","d")))))</x:f>
        <x:v>d</x:v>
      </x:c>
      <x:c r="AA226" s="12" t="str">
        <x:f>IF(OR(M226="unavailable",O226="unavailable"),"不可评价",IF(AND(OR(M226="positive",M226="equivocal"),OR(O226="positive",O226="equivocal")),"a",IF(OR(O226="positive",O226="equivocal"),"b",IF(OR(M226="positive",M226="equivocal"),"c","d"))))</x:f>
        <x:v>d</x:v>
      </x:c>
      <x:c r="AB226" s="12" t="str">
        <x:f>IF(OR(M226="unavailable",O226="unavailable"),"不可评价",IF(AND(M226="positive",O226="positive"),"a",IF(O226="positive","b",IF(M226="positive","c","d"))))</x:f>
        <x:v>d</x:v>
      </x:c>
      <x:c r="AC226" s="12" t="str">
        <x:f>IF(OR(R226="unavailable",T226="unavailable"),"不可评价",IF(AND(OR(R226="positive",R226="equivocal"),OR(T226="positive",T226="equivocal")),"a",IF(OR(T226="positive",T226="equivocal"),"b",IF(OR(R226="positive",R226="equivocal"),"c","d"))))</x:f>
        <x:v>d</x:v>
      </x:c>
      <x:c r="AD226" s="12" t="str">
        <x:f>IF(OR(R226="unavailable",T226="unavailable"),"不可评价",IF(AND(R226="positive",T226="positive"),"a",IF(T226="positive","b",IF(R226="positive","c","d"))))</x:f>
        <x:v>d</x:v>
      </x:c>
      <x:c r="AE226" s="12" t="str">
        <x:f>IF(OR(W226="unavailable",Y226="unavailable"),"不可评价",IF(AND(OR(W226="positive",W226="equivocal"),OR(Y226="positive",Y226="equivocal")),"a",IF(OR(Y226="positive",Y226="equivocal"),"b",IF(OR(W226="positive",W226="equivocal"),"c","d"))))</x:f>
        <x:v>d</x:v>
      </x:c>
      <x:c r="AF226" s="12" t="str">
        <x:f>IF(OR(W226="unavailable",Y226="unavailable"),"不可评价",IF(AND(W226="positive",Y226="positive"),"a",IF(Y226="positive","b",IF(W226="positive","c","d"))))</x:f>
        <x:v>d</x:v>
      </x:c>
    </x:row>
    <x:row r="227" ht="24" customHeight="1">
      <x:c r="A227" s="12" t="str">
        <x:v>1825</x:v>
      </x:c>
      <x:c r="B227" s="12" t="str">
        <x:v>4436</x:v>
      </x:c>
      <x:c r="C227" s="21" t="n">
        <x:v>32326.40633101852</x:v>
      </x:c>
      <x:c r="D227" s="12" t="n">
        <x:v>51</x:v>
      </x:c>
      <x:c r="E227" s="12" t="n">
        <x:v>0</x:v>
      </x:c>
      <x:c r="F227" s="12" t="str">
        <x:v>未记录</x:v>
      </x:c>
      <x:c r="G227" s="12" t="n">
        <x:v>1</x:v>
      </x:c>
      <x:c r="H227" s="12" t="str">
        <x:v>{'NORM': 100.0, 'SR': 0.0}</x:v>
      </x:c>
      <x:c r="I227" s="12" t="str">
        <x:v>[('NSR', 100.0), ('NML', 100.0)]</x:v>
      </x:c>
      <x:c r="J227" s="12" t="str">
        <x:v>ptbxl_database.csv；ecg_id=1825；scp_codes</x:v>
      </x:c>
      <x:c r="K227" s="12" t="str">
        <x:v>12sl_statements.csv；ecg_id=1825；statements_ext_snomed</x:v>
      </x:c>
      <x:c r="L227" s="12"/>
      <x:c r="M227" s="12" t="str">
        <x:v>negative</x:v>
      </x:c>
      <x:c r="N227" s="12"/>
      <x:c r="O227" s="12" t="str">
        <x:v>negative</x:v>
      </x:c>
      <x:c r="P227" s="12" t="str">
        <x:f>IF(OR(M227="unavailable",O227="unavailable"),"不可评价",IF(OR(M227="equivocal",O227="equivocal"),"疑似",IF(AND(M227="positive",O227="positive"),"a",IF(O227="positive","b",IF(M227="positive","c","d")))))</x:f>
        <x:v>d</x:v>
      </x:c>
      <x:c r="Q227" s="12"/>
      <x:c r="R227" s="12" t="str">
        <x:v>negative</x:v>
      </x:c>
      <x:c r="S227" s="12"/>
      <x:c r="T227" s="12" t="str">
        <x:v>negative</x:v>
      </x:c>
      <x:c r="U227" s="12" t="str">
        <x:f>IF(OR(R227="unavailable",T227="unavailable"),"不可评价",IF(OR(R227="equivocal",T227="equivocal"),"疑似",IF(AND(R227="positive",T227="positive"),"a",IF(T227="positive","b",IF(R227="positive","c","d")))))</x:f>
        <x:v>d</x:v>
      </x:c>
      <x:c r="V227" s="12"/>
      <x:c r="W227" s="12" t="str">
        <x:v>negative</x:v>
      </x:c>
      <x:c r="X227" s="12"/>
      <x:c r="Y227" s="12" t="str">
        <x:v>negative</x:v>
      </x:c>
      <x:c r="Z227" s="12" t="str">
        <x:f>IF(OR(W227="unavailable",Y227="unavailable"),"不可评价",IF(OR(W227="equivocal",Y227="equivocal"),"疑似",IF(AND(W227="positive",Y227="positive"),"a",IF(Y227="positive","b",IF(W227="positive","c","d")))))</x:f>
        <x:v>d</x:v>
      </x:c>
      <x:c r="AA227" s="12" t="str">
        <x:f>IF(OR(M227="unavailable",O227="unavailable"),"不可评价",IF(AND(OR(M227="positive",M227="equivocal"),OR(O227="positive",O227="equivocal")),"a",IF(OR(O227="positive",O227="equivocal"),"b",IF(OR(M227="positive",M227="equivocal"),"c","d"))))</x:f>
        <x:v>d</x:v>
      </x:c>
      <x:c r="AB227" s="12" t="str">
        <x:f>IF(OR(M227="unavailable",O227="unavailable"),"不可评价",IF(AND(M227="positive",O227="positive"),"a",IF(O227="positive","b",IF(M227="positive","c","d"))))</x:f>
        <x:v>d</x:v>
      </x:c>
      <x:c r="AC227" s="12" t="str">
        <x:f>IF(OR(R227="unavailable",T227="unavailable"),"不可评价",IF(AND(OR(R227="positive",R227="equivocal"),OR(T227="positive",T227="equivocal")),"a",IF(OR(T227="positive",T227="equivocal"),"b",IF(OR(R227="positive",R227="equivocal"),"c","d"))))</x:f>
        <x:v>d</x:v>
      </x:c>
      <x:c r="AD227" s="12" t="str">
        <x:f>IF(OR(R227="unavailable",T227="unavailable"),"不可评价",IF(AND(R227="positive",T227="positive"),"a",IF(T227="positive","b",IF(R227="positive","c","d"))))</x:f>
        <x:v>d</x:v>
      </x:c>
      <x:c r="AE227" s="12" t="str">
        <x:f>IF(OR(W227="unavailable",Y227="unavailable"),"不可评价",IF(AND(OR(W227="positive",W227="equivocal"),OR(Y227="positive",Y227="equivocal")),"a",IF(OR(Y227="positive",Y227="equivocal"),"b",IF(OR(W227="positive",W227="equivocal"),"c","d"))))</x:f>
        <x:v>d</x:v>
      </x:c>
      <x:c r="AF227" s="12" t="str">
        <x:f>IF(OR(W227="unavailable",Y227="unavailable"),"不可评价",IF(AND(W227="positive",Y227="positive"),"a",IF(Y227="positive","b",IF(W227="positive","c","d"))))</x:f>
        <x:v>d</x:v>
      </x:c>
    </x:row>
    <x:row r="228" ht="24" customHeight="1">
      <x:c r="A228" s="12" t="str">
        <x:v>1835</x:v>
      </x:c>
      <x:c r="B228" s="12" t="str">
        <x:v>15162</x:v>
      </x:c>
      <x:c r="C228" s="21" t="n">
        <x:v>32327.372291666667</x:v>
      </x:c>
      <x:c r="D228" s="12" t="n">
        <x:v>25</x:v>
      </x:c>
      <x:c r="E228" s="12" t="n">
        <x:v>1</x:v>
      </x:c>
      <x:c r="F228" s="12" t="str">
        <x:v>未记录</x:v>
      </x:c>
      <x:c r="G228" s="12" t="n">
        <x:v>1</x:v>
      </x:c>
      <x:c r="H228" s="12" t="str">
        <x:v>{'NORM': 100.0, 'SR': 0.0}</x:v>
      </x:c>
      <x:c r="I228" s="12" t="str">
        <x:v>[('NSR', 100.0), ('NML', 100.0)]</x:v>
      </x:c>
      <x:c r="J228" s="12" t="str">
        <x:v>ptbxl_database.csv；ecg_id=1835；scp_codes</x:v>
      </x:c>
      <x:c r="K228" s="12" t="str">
        <x:v>12sl_statements.csv；ecg_id=1835；statements_ext_snomed</x:v>
      </x:c>
      <x:c r="L228" s="12"/>
      <x:c r="M228" s="12" t="str">
        <x:v>negative</x:v>
      </x:c>
      <x:c r="N228" s="12"/>
      <x:c r="O228" s="12" t="str">
        <x:v>negative</x:v>
      </x:c>
      <x:c r="P228" s="12" t="str">
        <x:f>IF(OR(M228="unavailable",O228="unavailable"),"不可评价",IF(OR(M228="equivocal",O228="equivocal"),"疑似",IF(AND(M228="positive",O228="positive"),"a",IF(O228="positive","b",IF(M228="positive","c","d")))))</x:f>
        <x:v>d</x:v>
      </x:c>
      <x:c r="Q228" s="12"/>
      <x:c r="R228" s="12" t="str">
        <x:v>negative</x:v>
      </x:c>
      <x:c r="S228" s="12"/>
      <x:c r="T228" s="12" t="str">
        <x:v>negative</x:v>
      </x:c>
      <x:c r="U228" s="12" t="str">
        <x:f>IF(OR(R228="unavailable",T228="unavailable"),"不可评价",IF(OR(R228="equivocal",T228="equivocal"),"疑似",IF(AND(R228="positive",T228="positive"),"a",IF(T228="positive","b",IF(R228="positive","c","d")))))</x:f>
        <x:v>d</x:v>
      </x:c>
      <x:c r="V228" s="12"/>
      <x:c r="W228" s="12" t="str">
        <x:v>negative</x:v>
      </x:c>
      <x:c r="X228" s="12"/>
      <x:c r="Y228" s="12" t="str">
        <x:v>negative</x:v>
      </x:c>
      <x:c r="Z228" s="12" t="str">
        <x:f>IF(OR(W228="unavailable",Y228="unavailable"),"不可评价",IF(OR(W228="equivocal",Y228="equivocal"),"疑似",IF(AND(W228="positive",Y228="positive"),"a",IF(Y228="positive","b",IF(W228="positive","c","d")))))</x:f>
        <x:v>d</x:v>
      </x:c>
      <x:c r="AA228" s="12" t="str">
        <x:f>IF(OR(M228="unavailable",O228="unavailable"),"不可评价",IF(AND(OR(M228="positive",M228="equivocal"),OR(O228="positive",O228="equivocal")),"a",IF(OR(O228="positive",O228="equivocal"),"b",IF(OR(M228="positive",M228="equivocal"),"c","d"))))</x:f>
        <x:v>d</x:v>
      </x:c>
      <x:c r="AB228" s="12" t="str">
        <x:f>IF(OR(M228="unavailable",O228="unavailable"),"不可评价",IF(AND(M228="positive",O228="positive"),"a",IF(O228="positive","b",IF(M228="positive","c","d"))))</x:f>
        <x:v>d</x:v>
      </x:c>
      <x:c r="AC228" s="12" t="str">
        <x:f>IF(OR(R228="unavailable",T228="unavailable"),"不可评价",IF(AND(OR(R228="positive",R228="equivocal"),OR(T228="positive",T228="equivocal")),"a",IF(OR(T228="positive",T228="equivocal"),"b",IF(OR(R228="positive",R228="equivocal"),"c","d"))))</x:f>
        <x:v>d</x:v>
      </x:c>
      <x:c r="AD228" s="12" t="str">
        <x:f>IF(OR(R228="unavailable",T228="unavailable"),"不可评价",IF(AND(R228="positive",T228="positive"),"a",IF(T228="positive","b",IF(R228="positive","c","d"))))</x:f>
        <x:v>d</x:v>
      </x:c>
      <x:c r="AE228" s="12" t="str">
        <x:f>IF(OR(W228="unavailable",Y228="unavailable"),"不可评价",IF(AND(OR(W228="positive",W228="equivocal"),OR(Y228="positive",Y228="equivocal")),"a",IF(OR(Y228="positive",Y228="equivocal"),"b",IF(OR(W228="positive",W228="equivocal"),"c","d"))))</x:f>
        <x:v>d</x:v>
      </x:c>
      <x:c r="AF228" s="12" t="str">
        <x:f>IF(OR(W228="unavailable",Y228="unavailable"),"不可评价",IF(AND(W228="positive",Y228="positive"),"a",IF(Y228="positive","b",IF(W228="positive","c","d"))))</x:f>
        <x:v>d</x:v>
      </x:c>
    </x:row>
    <x:row r="229" ht="24" customHeight="1">
      <x:c r="A229" s="12" t="str">
        <x:v>1838</x:v>
      </x:c>
      <x:c r="B229" s="12" t="str">
        <x:v>3230</x:v>
      </x:c>
      <x:c r="C229" s="21" t="n">
        <x:v>32327.55068287037</x:v>
      </x:c>
      <x:c r="D229" s="12" t="n">
        <x:v>54</x:v>
      </x:c>
      <x:c r="E229" s="12" t="n">
        <x:v>0</x:v>
      </x:c>
      <x:c r="F229" s="12" t="str">
        <x:v>存在</x:v>
      </x:c>
      <x:c r="G229" s="12" t="n">
        <x:v>1</x:v>
      </x:c>
      <x:c r="H229" s="12" t="str">
        <x:v>{'NORM': 80.0, 'SBRAD': 0.0}</x:v>
      </x:c>
      <x:c r="I229" s="12" t="str">
        <x:v>[('SBRAD', 100.0), ('ABR', 100.0)]</x:v>
      </x:c>
      <x:c r="J229" s="12" t="str">
        <x:v>ptbxl_database.csv；ecg_id=1838；scp_codes</x:v>
      </x:c>
      <x:c r="K229" s="12" t="str">
        <x:v>12sl_statements.csv；ecg_id=1838；statements_ext_snomed</x:v>
      </x:c>
      <x:c r="L229" s="12"/>
      <x:c r="M229" s="12" t="str">
        <x:v>negative</x:v>
      </x:c>
      <x:c r="N229" s="12"/>
      <x:c r="O229" s="12" t="str">
        <x:v>negative</x:v>
      </x:c>
      <x:c r="P229" s="12" t="str">
        <x:f>IF(OR(M229="unavailable",O229="unavailable"),"不可评价",IF(OR(M229="equivocal",O229="equivocal"),"疑似",IF(AND(M229="positive",O229="positive"),"a",IF(O229="positive","b",IF(M229="positive","c","d")))))</x:f>
        <x:v>d</x:v>
      </x:c>
      <x:c r="Q229" s="12"/>
      <x:c r="R229" s="12" t="str">
        <x:v>negative</x:v>
      </x:c>
      <x:c r="S229" s="12"/>
      <x:c r="T229" s="12" t="str">
        <x:v>negative</x:v>
      </x:c>
      <x:c r="U229" s="12" t="str">
        <x:f>IF(OR(R229="unavailable",T229="unavailable"),"不可评价",IF(OR(R229="equivocal",T229="equivocal"),"疑似",IF(AND(R229="positive",T229="positive"),"a",IF(T229="positive","b",IF(R229="positive","c","d")))))</x:f>
        <x:v>d</x:v>
      </x:c>
      <x:c r="V229" s="12"/>
      <x:c r="W229" s="12" t="str">
        <x:v>negative</x:v>
      </x:c>
      <x:c r="X229" s="12"/>
      <x:c r="Y229" s="12" t="str">
        <x:v>negative</x:v>
      </x:c>
      <x:c r="Z229" s="12" t="str">
        <x:f>IF(OR(W229="unavailable",Y229="unavailable"),"不可评价",IF(OR(W229="equivocal",Y229="equivocal"),"疑似",IF(AND(W229="positive",Y229="positive"),"a",IF(Y229="positive","b",IF(W229="positive","c","d")))))</x:f>
        <x:v>d</x:v>
      </x:c>
      <x:c r="AA229" s="12" t="str">
        <x:f>IF(OR(M229="unavailable",O229="unavailable"),"不可评价",IF(AND(OR(M229="positive",M229="equivocal"),OR(O229="positive",O229="equivocal")),"a",IF(OR(O229="positive",O229="equivocal"),"b",IF(OR(M229="positive",M229="equivocal"),"c","d"))))</x:f>
        <x:v>d</x:v>
      </x:c>
      <x:c r="AB229" s="12" t="str">
        <x:f>IF(OR(M229="unavailable",O229="unavailable"),"不可评价",IF(AND(M229="positive",O229="positive"),"a",IF(O229="positive","b",IF(M229="positive","c","d"))))</x:f>
        <x:v>d</x:v>
      </x:c>
      <x:c r="AC229" s="12" t="str">
        <x:f>IF(OR(R229="unavailable",T229="unavailable"),"不可评价",IF(AND(OR(R229="positive",R229="equivocal"),OR(T229="positive",T229="equivocal")),"a",IF(OR(T229="positive",T229="equivocal"),"b",IF(OR(R229="positive",R229="equivocal"),"c","d"))))</x:f>
        <x:v>d</x:v>
      </x:c>
      <x:c r="AD229" s="12" t="str">
        <x:f>IF(OR(R229="unavailable",T229="unavailable"),"不可评价",IF(AND(R229="positive",T229="positive"),"a",IF(T229="positive","b",IF(R229="positive","c","d"))))</x:f>
        <x:v>d</x:v>
      </x:c>
      <x:c r="AE229" s="12" t="str">
        <x:f>IF(OR(W229="unavailable",Y229="unavailable"),"不可评价",IF(AND(OR(W229="positive",W229="equivocal"),OR(Y229="positive",Y229="equivocal")),"a",IF(OR(Y229="positive",Y229="equivocal"),"b",IF(OR(W229="positive",W229="equivocal"),"c","d"))))</x:f>
        <x:v>d</x:v>
      </x:c>
      <x:c r="AF229" s="12" t="str">
        <x:f>IF(OR(W229="unavailable",Y229="unavailable"),"不可评价",IF(AND(W229="positive",Y229="positive"),"a",IF(Y229="positive","b",IF(W229="positive","c","d"))))</x:f>
        <x:v>d</x:v>
      </x:c>
    </x:row>
    <x:row r="230" ht="24" customHeight="1">
      <x:c r="A230" s="12" t="str">
        <x:v>1843</x:v>
      </x:c>
      <x:c r="B230" s="12" t="str">
        <x:v>20283</x:v>
      </x:c>
      <x:c r="C230" s="21" t="n">
        <x:v>32328.416782407407</x:v>
      </x:c>
      <x:c r="D230" s="12" t="n">
        <x:v>65</x:v>
      </x:c>
      <x:c r="E230" s="12" t="n">
        <x:v>0</x:v>
      </x:c>
      <x:c r="F230" s="12" t="str">
        <x:v>存在</x:v>
      </x:c>
      <x:c r="G230" s="12" t="n">
        <x:v>1</x:v>
      </x:c>
      <x:c r="H230" s="12" t="str">
        <x:v>{'NORM': 80.0, 'SARRH': 0.0}</x:v>
      </x:c>
      <x:c r="I230" s="12" t="str">
        <x:v>[('SRTH', 100.0), ('MSAR', 100.0), ('ABR', 100.0)]</x:v>
      </x:c>
      <x:c r="J230" s="12" t="str">
        <x:v>ptbxl_database.csv；ecg_id=1843；scp_codes</x:v>
      </x:c>
      <x:c r="K230" s="12" t="str">
        <x:v>12sl_statements.csv；ecg_id=1843；statements_ext_snomed</x:v>
      </x:c>
      <x:c r="L230" s="12"/>
      <x:c r="M230" s="12" t="str">
        <x:v>negative</x:v>
      </x:c>
      <x:c r="N230" s="12"/>
      <x:c r="O230" s="12" t="str">
        <x:v>negative</x:v>
      </x:c>
      <x:c r="P230" s="12" t="str">
        <x:f>IF(OR(M230="unavailable",O230="unavailable"),"不可评价",IF(OR(M230="equivocal",O230="equivocal"),"疑似",IF(AND(M230="positive",O230="positive"),"a",IF(O230="positive","b",IF(M230="positive","c","d")))))</x:f>
        <x:v>d</x:v>
      </x:c>
      <x:c r="Q230" s="12"/>
      <x:c r="R230" s="12" t="str">
        <x:v>negative</x:v>
      </x:c>
      <x:c r="S230" s="12"/>
      <x:c r="T230" s="12" t="str">
        <x:v>negative</x:v>
      </x:c>
      <x:c r="U230" s="12" t="str">
        <x:f>IF(OR(R230="unavailable",T230="unavailable"),"不可评价",IF(OR(R230="equivocal",T230="equivocal"),"疑似",IF(AND(R230="positive",T230="positive"),"a",IF(T230="positive","b",IF(R230="positive","c","d")))))</x:f>
        <x:v>d</x:v>
      </x:c>
      <x:c r="V230" s="12"/>
      <x:c r="W230" s="12" t="str">
        <x:v>negative</x:v>
      </x:c>
      <x:c r="X230" s="12"/>
      <x:c r="Y230" s="12" t="str">
        <x:v>negative</x:v>
      </x:c>
      <x:c r="Z230" s="12" t="str">
        <x:f>IF(OR(W230="unavailable",Y230="unavailable"),"不可评价",IF(OR(W230="equivocal",Y230="equivocal"),"疑似",IF(AND(W230="positive",Y230="positive"),"a",IF(Y230="positive","b",IF(W230="positive","c","d")))))</x:f>
        <x:v>d</x:v>
      </x:c>
      <x:c r="AA230" s="12" t="str">
        <x:f>IF(OR(M230="unavailable",O230="unavailable"),"不可评价",IF(AND(OR(M230="positive",M230="equivocal"),OR(O230="positive",O230="equivocal")),"a",IF(OR(O230="positive",O230="equivocal"),"b",IF(OR(M230="positive",M230="equivocal"),"c","d"))))</x:f>
        <x:v>d</x:v>
      </x:c>
      <x:c r="AB230" s="12" t="str">
        <x:f>IF(OR(M230="unavailable",O230="unavailable"),"不可评价",IF(AND(M230="positive",O230="positive"),"a",IF(O230="positive","b",IF(M230="positive","c","d"))))</x:f>
        <x:v>d</x:v>
      </x:c>
      <x:c r="AC230" s="12" t="str">
        <x:f>IF(OR(R230="unavailable",T230="unavailable"),"不可评价",IF(AND(OR(R230="positive",R230="equivocal"),OR(T230="positive",T230="equivocal")),"a",IF(OR(T230="positive",T230="equivocal"),"b",IF(OR(R230="positive",R230="equivocal"),"c","d"))))</x:f>
        <x:v>d</x:v>
      </x:c>
      <x:c r="AD230" s="12" t="str">
        <x:f>IF(OR(R230="unavailable",T230="unavailable"),"不可评价",IF(AND(R230="positive",T230="positive"),"a",IF(T230="positive","b",IF(R230="positive","c","d"))))</x:f>
        <x:v>d</x:v>
      </x:c>
      <x:c r="AE230" s="12" t="str">
        <x:f>IF(OR(W230="unavailable",Y230="unavailable"),"不可评价",IF(AND(OR(W230="positive",W230="equivocal"),OR(Y230="positive",Y230="equivocal")),"a",IF(OR(Y230="positive",Y230="equivocal"),"b",IF(OR(W230="positive",W230="equivocal"),"c","d"))))</x:f>
        <x:v>d</x:v>
      </x:c>
      <x:c r="AF230" s="12" t="str">
        <x:f>IF(OR(W230="unavailable",Y230="unavailable"),"不可评价",IF(AND(W230="positive",Y230="positive"),"a",IF(Y230="positive","b",IF(W230="positive","c","d"))))</x:f>
        <x:v>d</x:v>
      </x:c>
    </x:row>
    <x:row r="231" ht="24" customHeight="1">
      <x:c r="A231" s="12" t="str">
        <x:v>1850</x:v>
      </x:c>
      <x:c r="B231" s="12" t="str">
        <x:v>4339</x:v>
      </x:c>
      <x:c r="C231" s="21" t="n">
        <x:v>32328.667488425926</x:v>
      </x:c>
      <x:c r="D231" s="12" t="n">
        <x:v>63</x:v>
      </x:c>
      <x:c r="E231" s="12" t="n">
        <x:v>1</x:v>
      </x:c>
      <x:c r="F231" s="12" t="str">
        <x:v>未记录</x:v>
      </x:c>
      <x:c r="G231" s="12" t="n">
        <x:v>1</x:v>
      </x:c>
      <x:c r="H231" s="12" t="str">
        <x:v>{'NORM': 100.0, 'SR': 0.0}</x:v>
      </x:c>
      <x:c r="I231" s="12" t="str">
        <x:v>[('NSR', 100.0), ('BORDE', 100.0)]</x:v>
      </x:c>
      <x:c r="J231" s="12" t="str">
        <x:v>ptbxl_database.csv；ecg_id=1850；scp_codes</x:v>
      </x:c>
      <x:c r="K231" s="12" t="str">
        <x:v>12sl_statements.csv；ecg_id=1850；statements_ext_snomed</x:v>
      </x:c>
      <x:c r="L231" s="12"/>
      <x:c r="M231" s="12" t="str">
        <x:v>negative</x:v>
      </x:c>
      <x:c r="N231" s="12"/>
      <x:c r="O231" s="12" t="str">
        <x:v>negative</x:v>
      </x:c>
      <x:c r="P231" s="12" t="str">
        <x:f>IF(OR(M231="unavailable",O231="unavailable"),"不可评价",IF(OR(M231="equivocal",O231="equivocal"),"疑似",IF(AND(M231="positive",O231="positive"),"a",IF(O231="positive","b",IF(M231="positive","c","d")))))</x:f>
        <x:v>d</x:v>
      </x:c>
      <x:c r="Q231" s="12"/>
      <x:c r="R231" s="12" t="str">
        <x:v>negative</x:v>
      </x:c>
      <x:c r="S231" s="12"/>
      <x:c r="T231" s="12" t="str">
        <x:v>negative</x:v>
      </x:c>
      <x:c r="U231" s="12" t="str">
        <x:f>IF(OR(R231="unavailable",T231="unavailable"),"不可评价",IF(OR(R231="equivocal",T231="equivocal"),"疑似",IF(AND(R231="positive",T231="positive"),"a",IF(T231="positive","b",IF(R231="positive","c","d")))))</x:f>
        <x:v>d</x:v>
      </x:c>
      <x:c r="V231" s="12"/>
      <x:c r="W231" s="12" t="str">
        <x:v>negative</x:v>
      </x:c>
      <x:c r="X231" s="12"/>
      <x:c r="Y231" s="12" t="str">
        <x:v>negative</x:v>
      </x:c>
      <x:c r="Z231" s="12" t="str">
        <x:f>IF(OR(W231="unavailable",Y231="unavailable"),"不可评价",IF(OR(W231="equivocal",Y231="equivocal"),"疑似",IF(AND(W231="positive",Y231="positive"),"a",IF(Y231="positive","b",IF(W231="positive","c","d")))))</x:f>
        <x:v>d</x:v>
      </x:c>
      <x:c r="AA231" s="12" t="str">
        <x:f>IF(OR(M231="unavailable",O231="unavailable"),"不可评价",IF(AND(OR(M231="positive",M231="equivocal"),OR(O231="positive",O231="equivocal")),"a",IF(OR(O231="positive",O231="equivocal"),"b",IF(OR(M231="positive",M231="equivocal"),"c","d"))))</x:f>
        <x:v>d</x:v>
      </x:c>
      <x:c r="AB231" s="12" t="str">
        <x:f>IF(OR(M231="unavailable",O231="unavailable"),"不可评价",IF(AND(M231="positive",O231="positive"),"a",IF(O231="positive","b",IF(M231="positive","c","d"))))</x:f>
        <x:v>d</x:v>
      </x:c>
      <x:c r="AC231" s="12" t="str">
        <x:f>IF(OR(R231="unavailable",T231="unavailable"),"不可评价",IF(AND(OR(R231="positive",R231="equivocal"),OR(T231="positive",T231="equivocal")),"a",IF(OR(T231="positive",T231="equivocal"),"b",IF(OR(R231="positive",R231="equivocal"),"c","d"))))</x:f>
        <x:v>d</x:v>
      </x:c>
      <x:c r="AD231" s="12" t="str">
        <x:f>IF(OR(R231="unavailable",T231="unavailable"),"不可评价",IF(AND(R231="positive",T231="positive"),"a",IF(T231="positive","b",IF(R231="positive","c","d"))))</x:f>
        <x:v>d</x:v>
      </x:c>
      <x:c r="AE231" s="12" t="str">
        <x:f>IF(OR(W231="unavailable",Y231="unavailable"),"不可评价",IF(AND(OR(W231="positive",W231="equivocal"),OR(Y231="positive",Y231="equivocal")),"a",IF(OR(Y231="positive",Y231="equivocal"),"b",IF(OR(W231="positive",W231="equivocal"),"c","d"))))</x:f>
        <x:v>d</x:v>
      </x:c>
      <x:c r="AF231" s="12" t="str">
        <x:f>IF(OR(W231="unavailable",Y231="unavailable"),"不可评价",IF(AND(W231="positive",Y231="positive"),"a",IF(Y231="positive","b",IF(W231="positive","c","d"))))</x:f>
        <x:v>d</x:v>
      </x:c>
    </x:row>
    <x:row r="232" ht="24" customHeight="1">
      <x:c r="A232" s="12" t="str">
        <x:v>1853</x:v>
      </x:c>
      <x:c r="B232" s="12" t="str">
        <x:v>6226</x:v>
      </x:c>
      <x:c r="C232" s="21" t="n">
        <x:v>32329.36087962963</x:v>
      </x:c>
      <x:c r="D232" s="12" t="n">
        <x:v>56</x:v>
      </x:c>
      <x:c r="E232" s="12" t="n">
        <x:v>1</x:v>
      </x:c>
      <x:c r="F232" s="12" t="str">
        <x:v>未记录</x:v>
      </x:c>
      <x:c r="G232" s="12" t="n">
        <x:v>1</x:v>
      </x:c>
      <x:c r="H232" s="12" t="str">
        <x:v>{'IMI': 100.0, 'AMI': 100.0, 'SR': 0.0}</x:v>
      </x:c>
      <x:c r="I232" s="12" t="str">
        <x:v>[('NSR', 100.0), ('SMI;AU', 100.0), ('IMI;AU', 100.0), ('AB', 100.0)]</x:v>
      </x:c>
      <x:c r="J232" s="12" t="str">
        <x:v>ptbxl_database.csv；ecg_id=1853；scp_codes</x:v>
      </x:c>
      <x:c r="K232" s="12" t="str">
        <x:v>12sl_statements.csv；ecg_id=1853；statements_ext_snomed</x:v>
      </x:c>
      <x:c r="L232" s="12"/>
      <x:c r="M232" s="12" t="str">
        <x:v>negative</x:v>
      </x:c>
      <x:c r="N232" s="12"/>
      <x:c r="O232" s="12" t="str">
        <x:v>negative</x:v>
      </x:c>
      <x:c r="P232" s="12" t="str">
        <x:f>IF(OR(M232="unavailable",O232="unavailable"),"不可评价",IF(OR(M232="equivocal",O232="equivocal"),"疑似",IF(AND(M232="positive",O232="positive"),"a",IF(O232="positive","b",IF(M232="positive","c","d")))))</x:f>
        <x:v>d</x:v>
      </x:c>
      <x:c r="Q232" s="12"/>
      <x:c r="R232" s="12" t="str">
        <x:v>negative</x:v>
      </x:c>
      <x:c r="S232" s="12"/>
      <x:c r="T232" s="12" t="str">
        <x:v>negative</x:v>
      </x:c>
      <x:c r="U232" s="12" t="str">
        <x:f>IF(OR(R232="unavailable",T232="unavailable"),"不可评价",IF(OR(R232="equivocal",T232="equivocal"),"疑似",IF(AND(R232="positive",T232="positive"),"a",IF(T232="positive","b",IF(R232="positive","c","d")))))</x:f>
        <x:v>d</x:v>
      </x:c>
      <x:c r="V232" s="12"/>
      <x:c r="W232" s="12" t="str">
        <x:v>negative</x:v>
      </x:c>
      <x:c r="X232" s="12"/>
      <x:c r="Y232" s="12" t="str">
        <x:v>negative</x:v>
      </x:c>
      <x:c r="Z232" s="12" t="str">
        <x:f>IF(OR(W232="unavailable",Y232="unavailable"),"不可评价",IF(OR(W232="equivocal",Y232="equivocal"),"疑似",IF(AND(W232="positive",Y232="positive"),"a",IF(Y232="positive","b",IF(W232="positive","c","d")))))</x:f>
        <x:v>d</x:v>
      </x:c>
      <x:c r="AA232" s="12" t="str">
        <x:f>IF(OR(M232="unavailable",O232="unavailable"),"不可评价",IF(AND(OR(M232="positive",M232="equivocal"),OR(O232="positive",O232="equivocal")),"a",IF(OR(O232="positive",O232="equivocal"),"b",IF(OR(M232="positive",M232="equivocal"),"c","d"))))</x:f>
        <x:v>d</x:v>
      </x:c>
      <x:c r="AB232" s="12" t="str">
        <x:f>IF(OR(M232="unavailable",O232="unavailable"),"不可评价",IF(AND(M232="positive",O232="positive"),"a",IF(O232="positive","b",IF(M232="positive","c","d"))))</x:f>
        <x:v>d</x:v>
      </x:c>
      <x:c r="AC232" s="12" t="str">
        <x:f>IF(OR(R232="unavailable",T232="unavailable"),"不可评价",IF(AND(OR(R232="positive",R232="equivocal"),OR(T232="positive",T232="equivocal")),"a",IF(OR(T232="positive",T232="equivocal"),"b",IF(OR(R232="positive",R232="equivocal"),"c","d"))))</x:f>
        <x:v>d</x:v>
      </x:c>
      <x:c r="AD232" s="12" t="str">
        <x:f>IF(OR(R232="unavailable",T232="unavailable"),"不可评价",IF(AND(R232="positive",T232="positive"),"a",IF(T232="positive","b",IF(R232="positive","c","d"))))</x:f>
        <x:v>d</x:v>
      </x:c>
      <x:c r="AE232" s="12" t="str">
        <x:f>IF(OR(W232="unavailable",Y232="unavailable"),"不可评价",IF(AND(OR(W232="positive",W232="equivocal"),OR(Y232="positive",Y232="equivocal")),"a",IF(OR(Y232="positive",Y232="equivocal"),"b",IF(OR(W232="positive",W232="equivocal"),"c","d"))))</x:f>
        <x:v>d</x:v>
      </x:c>
      <x:c r="AF232" s="12" t="str">
        <x:f>IF(OR(W232="unavailable",Y232="unavailable"),"不可评价",IF(AND(W232="positive",Y232="positive"),"a",IF(Y232="positive","b",IF(W232="positive","c","d"))))</x:f>
        <x:v>d</x:v>
      </x:c>
    </x:row>
    <x:row r="233" ht="24" customHeight="1">
      <x:c r="A233" s="12" t="str">
        <x:v>1857</x:v>
      </x:c>
      <x:c r="B233" s="12" t="str">
        <x:v>7866</x:v>
      </x:c>
      <x:c r="C233" s="21" t="n">
        <x:v>32329.478680555556</x:v>
      </x:c>
      <x:c r="D233" s="12" t="n">
        <x:v>24</x:v>
      </x:c>
      <x:c r="E233" s="12" t="n">
        <x:v>0</x:v>
      </x:c>
      <x:c r="F233" s="12" t="str">
        <x:v>未记录</x:v>
      </x:c>
      <x:c r="G233" s="12" t="n">
        <x:v>1</x:v>
      </x:c>
      <x:c r="H233" s="12" t="str">
        <x:v>{'NORM': 100.0, 'SR': 0.0}</x:v>
      </x:c>
      <x:c r="I233" s="12" t="str">
        <x:v>[('NSR', 100.0), ('BORDE', 100.0)]</x:v>
      </x:c>
      <x:c r="J233" s="12" t="str">
        <x:v>ptbxl_database.csv；ecg_id=1857；scp_codes</x:v>
      </x:c>
      <x:c r="K233" s="12" t="str">
        <x:v>12sl_statements.csv；ecg_id=1857；statements_ext_snomed</x:v>
      </x:c>
      <x:c r="L233" s="12"/>
      <x:c r="M233" s="12" t="str">
        <x:v>negative</x:v>
      </x:c>
      <x:c r="N233" s="12"/>
      <x:c r="O233" s="12" t="str">
        <x:v>negative</x:v>
      </x:c>
      <x:c r="P233" s="12" t="str">
        <x:f>IF(OR(M233="unavailable",O233="unavailable"),"不可评价",IF(OR(M233="equivocal",O233="equivocal"),"疑似",IF(AND(M233="positive",O233="positive"),"a",IF(O233="positive","b",IF(M233="positive","c","d")))))</x:f>
        <x:v>d</x:v>
      </x:c>
      <x:c r="Q233" s="12"/>
      <x:c r="R233" s="12" t="str">
        <x:v>negative</x:v>
      </x:c>
      <x:c r="S233" s="12"/>
      <x:c r="T233" s="12" t="str">
        <x:v>negative</x:v>
      </x:c>
      <x:c r="U233" s="12" t="str">
        <x:f>IF(OR(R233="unavailable",T233="unavailable"),"不可评价",IF(OR(R233="equivocal",T233="equivocal"),"疑似",IF(AND(R233="positive",T233="positive"),"a",IF(T233="positive","b",IF(R233="positive","c","d")))))</x:f>
        <x:v>d</x:v>
      </x:c>
      <x:c r="V233" s="12"/>
      <x:c r="W233" s="12" t="str">
        <x:v>negative</x:v>
      </x:c>
      <x:c r="X233" s="12"/>
      <x:c r="Y233" s="12" t="str">
        <x:v>negative</x:v>
      </x:c>
      <x:c r="Z233" s="12" t="str">
        <x:f>IF(OR(W233="unavailable",Y233="unavailable"),"不可评价",IF(OR(W233="equivocal",Y233="equivocal"),"疑似",IF(AND(W233="positive",Y233="positive"),"a",IF(Y233="positive","b",IF(W233="positive","c","d")))))</x:f>
        <x:v>d</x:v>
      </x:c>
      <x:c r="AA233" s="12" t="str">
        <x:f>IF(OR(M233="unavailable",O233="unavailable"),"不可评价",IF(AND(OR(M233="positive",M233="equivocal"),OR(O233="positive",O233="equivocal")),"a",IF(OR(O233="positive",O233="equivocal"),"b",IF(OR(M233="positive",M233="equivocal"),"c","d"))))</x:f>
        <x:v>d</x:v>
      </x:c>
      <x:c r="AB233" s="12" t="str">
        <x:f>IF(OR(M233="unavailable",O233="unavailable"),"不可评价",IF(AND(M233="positive",O233="positive"),"a",IF(O233="positive","b",IF(M233="positive","c","d"))))</x:f>
        <x:v>d</x:v>
      </x:c>
      <x:c r="AC233" s="12" t="str">
        <x:f>IF(OR(R233="unavailable",T233="unavailable"),"不可评价",IF(AND(OR(R233="positive",R233="equivocal"),OR(T233="positive",T233="equivocal")),"a",IF(OR(T233="positive",T233="equivocal"),"b",IF(OR(R233="positive",R233="equivocal"),"c","d"))))</x:f>
        <x:v>d</x:v>
      </x:c>
      <x:c r="AD233" s="12" t="str">
        <x:f>IF(OR(R233="unavailable",T233="unavailable"),"不可评价",IF(AND(R233="positive",T233="positive"),"a",IF(T233="positive","b",IF(R233="positive","c","d"))))</x:f>
        <x:v>d</x:v>
      </x:c>
      <x:c r="AE233" s="12" t="str">
        <x:f>IF(OR(W233="unavailable",Y233="unavailable"),"不可评价",IF(AND(OR(W233="positive",W233="equivocal"),OR(Y233="positive",Y233="equivocal")),"a",IF(OR(Y233="positive",Y233="equivocal"),"b",IF(OR(W233="positive",W233="equivocal"),"c","d"))))</x:f>
        <x:v>d</x:v>
      </x:c>
      <x:c r="AF233" s="12" t="str">
        <x:f>IF(OR(W233="unavailable",Y233="unavailable"),"不可评价",IF(AND(W233="positive",Y233="positive"),"a",IF(Y233="positive","b",IF(W233="positive","c","d"))))</x:f>
        <x:v>d</x:v>
      </x:c>
    </x:row>
    <x:row r="234" ht="24" customHeight="1">
      <x:c r="A234" s="12" t="str">
        <x:v>1860</x:v>
      </x:c>
      <x:c r="B234" s="12" t="str">
        <x:v>16593</x:v>
      </x:c>
      <x:c r="C234" s="21" t="n">
        <x:v>32330.598923611113</x:v>
      </x:c>
      <x:c r="D234" s="12" t="n">
        <x:v>33</x:v>
      </x:c>
      <x:c r="E234" s="12" t="n">
        <x:v>0</x:v>
      </x:c>
      <x:c r="F234" s="12" t="str">
        <x:v>未记录</x:v>
      </x:c>
      <x:c r="G234" s="12" t="n">
        <x:v>1</x:v>
      </x:c>
      <x:c r="H234" s="12" t="str">
        <x:v>{'NORM': 100.0, 'SR': 0.0}</x:v>
      </x:c>
      <x:c r="I234" s="12" t="str">
        <x:v>[('NSR', 100.0), ('NML', 100.0)]</x:v>
      </x:c>
      <x:c r="J234" s="12" t="str">
        <x:v>ptbxl_database.csv；ecg_id=1860；scp_codes</x:v>
      </x:c>
      <x:c r="K234" s="12" t="str">
        <x:v>12sl_statements.csv；ecg_id=1860；statements_ext_snomed</x:v>
      </x:c>
      <x:c r="L234" s="12"/>
      <x:c r="M234" s="12" t="str">
        <x:v>negative</x:v>
      </x:c>
      <x:c r="N234" s="12"/>
      <x:c r="O234" s="12" t="str">
        <x:v>negative</x:v>
      </x:c>
      <x:c r="P234" s="12" t="str">
        <x:f>IF(OR(M234="unavailable",O234="unavailable"),"不可评价",IF(OR(M234="equivocal",O234="equivocal"),"疑似",IF(AND(M234="positive",O234="positive"),"a",IF(O234="positive","b",IF(M234="positive","c","d")))))</x:f>
        <x:v>d</x:v>
      </x:c>
      <x:c r="Q234" s="12"/>
      <x:c r="R234" s="12" t="str">
        <x:v>negative</x:v>
      </x:c>
      <x:c r="S234" s="12"/>
      <x:c r="T234" s="12" t="str">
        <x:v>negative</x:v>
      </x:c>
      <x:c r="U234" s="12" t="str">
        <x:f>IF(OR(R234="unavailable",T234="unavailable"),"不可评价",IF(OR(R234="equivocal",T234="equivocal"),"疑似",IF(AND(R234="positive",T234="positive"),"a",IF(T234="positive","b",IF(R234="positive","c","d")))))</x:f>
        <x:v>d</x:v>
      </x:c>
      <x:c r="V234" s="12"/>
      <x:c r="W234" s="12" t="str">
        <x:v>negative</x:v>
      </x:c>
      <x:c r="X234" s="12"/>
      <x:c r="Y234" s="12" t="str">
        <x:v>negative</x:v>
      </x:c>
      <x:c r="Z234" s="12" t="str">
        <x:f>IF(OR(W234="unavailable",Y234="unavailable"),"不可评价",IF(OR(W234="equivocal",Y234="equivocal"),"疑似",IF(AND(W234="positive",Y234="positive"),"a",IF(Y234="positive","b",IF(W234="positive","c","d")))))</x:f>
        <x:v>d</x:v>
      </x:c>
      <x:c r="AA234" s="12" t="str">
        <x:f>IF(OR(M234="unavailable",O234="unavailable"),"不可评价",IF(AND(OR(M234="positive",M234="equivocal"),OR(O234="positive",O234="equivocal")),"a",IF(OR(O234="positive",O234="equivocal"),"b",IF(OR(M234="positive",M234="equivocal"),"c","d"))))</x:f>
        <x:v>d</x:v>
      </x:c>
      <x:c r="AB234" s="12" t="str">
        <x:f>IF(OR(M234="unavailable",O234="unavailable"),"不可评价",IF(AND(M234="positive",O234="positive"),"a",IF(O234="positive","b",IF(M234="positive","c","d"))))</x:f>
        <x:v>d</x:v>
      </x:c>
      <x:c r="AC234" s="12" t="str">
        <x:f>IF(OR(R234="unavailable",T234="unavailable"),"不可评价",IF(AND(OR(R234="positive",R234="equivocal"),OR(T234="positive",T234="equivocal")),"a",IF(OR(T234="positive",T234="equivocal"),"b",IF(OR(R234="positive",R234="equivocal"),"c","d"))))</x:f>
        <x:v>d</x:v>
      </x:c>
      <x:c r="AD234" s="12" t="str">
        <x:f>IF(OR(R234="unavailable",T234="unavailable"),"不可评价",IF(AND(R234="positive",T234="positive"),"a",IF(T234="positive","b",IF(R234="positive","c","d"))))</x:f>
        <x:v>d</x:v>
      </x:c>
      <x:c r="AE234" s="12" t="str">
        <x:f>IF(OR(W234="unavailable",Y234="unavailable"),"不可评价",IF(AND(OR(W234="positive",W234="equivocal"),OR(Y234="positive",Y234="equivocal")),"a",IF(OR(Y234="positive",Y234="equivocal"),"b",IF(OR(W234="positive",W234="equivocal"),"c","d"))))</x:f>
        <x:v>d</x:v>
      </x:c>
      <x:c r="AF234" s="12" t="str">
        <x:f>IF(OR(W234="unavailable",Y234="unavailable"),"不可评价",IF(AND(W234="positive",Y234="positive"),"a",IF(Y234="positive","b",IF(W234="positive","c","d"))))</x:f>
        <x:v>d</x:v>
      </x:c>
    </x:row>
    <x:row r="235" ht="39" customHeight="1">
      <x:c r="A235" s="12" t="str">
        <x:v>1864</x:v>
      </x:c>
      <x:c r="B235" s="12" t="str">
        <x:v>2666</x:v>
      </x:c>
      <x:c r="C235" s="21" t="n">
        <x:v>32331.535011574073</x:v>
      </x:c>
      <x:c r="D235" s="12" t="n">
        <x:v>81</x:v>
      </x:c>
      <x:c r="E235" s="12" t="n">
        <x:v>0</x:v>
      </x:c>
      <x:c r="F235" s="12" t="str">
        <x:v>未记录</x:v>
      </x:c>
      <x:c r="G235" s="12" t="n">
        <x:v>1</x:v>
      </x:c>
      <x:c r="H235" s="12" t="str">
        <x:v>{'ISC_': 100.0, 'LVH': 100.0, 'LAO/LAE': 100.0, 'PVC': 100.0, 'PAC': 0.0, 'LPR': 0.0, 'SR': 0.0}</x:v>
      </x:c>
      <x:c r="I235" s="12" t="str">
        <x:v>[('SRTH', 100.0), ('FAV', 100.0), ('PVC', 100.0), ('PAC', 100.0), ('LAE', 50.0), ('LVH2', 100.0), ('2ST', 100.0), ('AB', 100.0)]</x:v>
      </x:c>
      <x:c r="J235" s="12" t="str">
        <x:v>ptbxl_database.csv；ecg_id=1864；scp_codes</x:v>
      </x:c>
      <x:c r="K235" s="12" t="str">
        <x:v>12sl_statements.csv；ecg_id=1864；statements_ext_snomed</x:v>
      </x:c>
      <x:c r="L235" s="12"/>
      <x:c r="M235" s="12" t="str">
        <x:v>negative</x:v>
      </x:c>
      <x:c r="N235" s="12"/>
      <x:c r="O235" s="12" t="str">
        <x:v>negative</x:v>
      </x:c>
      <x:c r="P235" s="12" t="str">
        <x:f>IF(OR(M235="unavailable",O235="unavailable"),"不可评价",IF(OR(M235="equivocal",O235="equivocal"),"疑似",IF(AND(M235="positive",O235="positive"),"a",IF(O235="positive","b",IF(M235="positive","c","d")))))</x:f>
        <x:v>d</x:v>
      </x:c>
      <x:c r="Q235" s="12"/>
      <x:c r="R235" s="12" t="str">
        <x:v>negative</x:v>
      </x:c>
      <x:c r="S235" s="12"/>
      <x:c r="T235" s="12" t="str">
        <x:v>negative</x:v>
      </x:c>
      <x:c r="U235" s="12" t="str">
        <x:f>IF(OR(R235="unavailable",T235="unavailable"),"不可评价",IF(OR(R235="equivocal",T235="equivocal"),"疑似",IF(AND(R235="positive",T235="positive"),"a",IF(T235="positive","b",IF(R235="positive","c","d")))))</x:f>
        <x:v>d</x:v>
      </x:c>
      <x:c r="V235" s="12"/>
      <x:c r="W235" s="12" t="str">
        <x:v>negative</x:v>
      </x:c>
      <x:c r="X235" s="12"/>
      <x:c r="Y235" s="12" t="str">
        <x:v>negative</x:v>
      </x:c>
      <x:c r="Z235" s="12" t="str">
        <x:f>IF(OR(W235="unavailable",Y235="unavailable"),"不可评价",IF(OR(W235="equivocal",Y235="equivocal"),"疑似",IF(AND(W235="positive",Y235="positive"),"a",IF(Y235="positive","b",IF(W235="positive","c","d")))))</x:f>
        <x:v>d</x:v>
      </x:c>
      <x:c r="AA235" s="12" t="str">
        <x:f>IF(OR(M235="unavailable",O235="unavailable"),"不可评价",IF(AND(OR(M235="positive",M235="equivocal"),OR(O235="positive",O235="equivocal")),"a",IF(OR(O235="positive",O235="equivocal"),"b",IF(OR(M235="positive",M235="equivocal"),"c","d"))))</x:f>
        <x:v>d</x:v>
      </x:c>
      <x:c r="AB235" s="12" t="str">
        <x:f>IF(OR(M235="unavailable",O235="unavailable"),"不可评价",IF(AND(M235="positive",O235="positive"),"a",IF(O235="positive","b",IF(M235="positive","c","d"))))</x:f>
        <x:v>d</x:v>
      </x:c>
      <x:c r="AC235" s="12" t="str">
        <x:f>IF(OR(R235="unavailable",T235="unavailable"),"不可评价",IF(AND(OR(R235="positive",R235="equivocal"),OR(T235="positive",T235="equivocal")),"a",IF(OR(T235="positive",T235="equivocal"),"b",IF(OR(R235="positive",R235="equivocal"),"c","d"))))</x:f>
        <x:v>d</x:v>
      </x:c>
      <x:c r="AD235" s="12" t="str">
        <x:f>IF(OR(R235="unavailable",T235="unavailable"),"不可评价",IF(AND(R235="positive",T235="positive"),"a",IF(T235="positive","b",IF(R235="positive","c","d"))))</x:f>
        <x:v>d</x:v>
      </x:c>
      <x:c r="AE235" s="12" t="str">
        <x:f>IF(OR(W235="unavailable",Y235="unavailable"),"不可评价",IF(AND(OR(W235="positive",W235="equivocal"),OR(Y235="positive",Y235="equivocal")),"a",IF(OR(Y235="positive",Y235="equivocal"),"b",IF(OR(W235="positive",W235="equivocal"),"c","d"))))</x:f>
        <x:v>d</x:v>
      </x:c>
      <x:c r="AF235" s="12" t="str">
        <x:f>IF(OR(W235="unavailable",Y235="unavailable"),"不可评价",IF(AND(W235="positive",Y235="positive"),"a",IF(Y235="positive","b",IF(W235="positive","c","d"))))</x:f>
        <x:v>d</x:v>
      </x:c>
    </x:row>
    <x:row r="236" ht="24" customHeight="1">
      <x:c r="A236" s="12" t="str">
        <x:v>1867</x:v>
      </x:c>
      <x:c r="B236" s="12" t="str">
        <x:v>12695</x:v>
      </x:c>
      <x:c r="C236" s="21" t="n">
        <x:v>32332.466967592594</x:v>
      </x:c>
      <x:c r="D236" s="12" t="n">
        <x:v>47</x:v>
      </x:c>
      <x:c r="E236" s="12" t="n">
        <x:v>0</x:v>
      </x:c>
      <x:c r="F236" s="12" t="str">
        <x:v>未记录</x:v>
      </x:c>
      <x:c r="G236" s="12" t="n">
        <x:v>1</x:v>
      </x:c>
      <x:c r="H236" s="12" t="str">
        <x:v>{'NORM': 100.0, 'SR': 0.0}</x:v>
      </x:c>
      <x:c r="I236" s="12" t="str">
        <x:v>[('SBRAD', 100.0), ('ABR', 100.0)]</x:v>
      </x:c>
      <x:c r="J236" s="12" t="str">
        <x:v>ptbxl_database.csv；ecg_id=1867；scp_codes</x:v>
      </x:c>
      <x:c r="K236" s="12" t="str">
        <x:v>12sl_statements.csv；ecg_id=1867；statements_ext_snomed</x:v>
      </x:c>
      <x:c r="L236" s="12"/>
      <x:c r="M236" s="12" t="str">
        <x:v>negative</x:v>
      </x:c>
      <x:c r="N236" s="12"/>
      <x:c r="O236" s="12" t="str">
        <x:v>negative</x:v>
      </x:c>
      <x:c r="P236" s="12" t="str">
        <x:f>IF(OR(M236="unavailable",O236="unavailable"),"不可评价",IF(OR(M236="equivocal",O236="equivocal"),"疑似",IF(AND(M236="positive",O236="positive"),"a",IF(O236="positive","b",IF(M236="positive","c","d")))))</x:f>
        <x:v>d</x:v>
      </x:c>
      <x:c r="Q236" s="12"/>
      <x:c r="R236" s="12" t="str">
        <x:v>negative</x:v>
      </x:c>
      <x:c r="S236" s="12"/>
      <x:c r="T236" s="12" t="str">
        <x:v>negative</x:v>
      </x:c>
      <x:c r="U236" s="12" t="str">
        <x:f>IF(OR(R236="unavailable",T236="unavailable"),"不可评价",IF(OR(R236="equivocal",T236="equivocal"),"疑似",IF(AND(R236="positive",T236="positive"),"a",IF(T236="positive","b",IF(R236="positive","c","d")))))</x:f>
        <x:v>d</x:v>
      </x:c>
      <x:c r="V236" s="12"/>
      <x:c r="W236" s="12" t="str">
        <x:v>negative</x:v>
      </x:c>
      <x:c r="X236" s="12"/>
      <x:c r="Y236" s="12" t="str">
        <x:v>negative</x:v>
      </x:c>
      <x:c r="Z236" s="12" t="str">
        <x:f>IF(OR(W236="unavailable",Y236="unavailable"),"不可评价",IF(OR(W236="equivocal",Y236="equivocal"),"疑似",IF(AND(W236="positive",Y236="positive"),"a",IF(Y236="positive","b",IF(W236="positive","c","d")))))</x:f>
        <x:v>d</x:v>
      </x:c>
      <x:c r="AA236" s="12" t="str">
        <x:f>IF(OR(M236="unavailable",O236="unavailable"),"不可评价",IF(AND(OR(M236="positive",M236="equivocal"),OR(O236="positive",O236="equivocal")),"a",IF(OR(O236="positive",O236="equivocal"),"b",IF(OR(M236="positive",M236="equivocal"),"c","d"))))</x:f>
        <x:v>d</x:v>
      </x:c>
      <x:c r="AB236" s="12" t="str">
        <x:f>IF(OR(M236="unavailable",O236="unavailable"),"不可评价",IF(AND(M236="positive",O236="positive"),"a",IF(O236="positive","b",IF(M236="positive","c","d"))))</x:f>
        <x:v>d</x:v>
      </x:c>
      <x:c r="AC236" s="12" t="str">
        <x:f>IF(OR(R236="unavailable",T236="unavailable"),"不可评价",IF(AND(OR(R236="positive",R236="equivocal"),OR(T236="positive",T236="equivocal")),"a",IF(OR(T236="positive",T236="equivocal"),"b",IF(OR(R236="positive",R236="equivocal"),"c","d"))))</x:f>
        <x:v>d</x:v>
      </x:c>
      <x:c r="AD236" s="12" t="str">
        <x:f>IF(OR(R236="unavailable",T236="unavailable"),"不可评价",IF(AND(R236="positive",T236="positive"),"a",IF(T236="positive","b",IF(R236="positive","c","d"))))</x:f>
        <x:v>d</x:v>
      </x:c>
      <x:c r="AE236" s="12" t="str">
        <x:f>IF(OR(W236="unavailable",Y236="unavailable"),"不可评价",IF(AND(OR(W236="positive",W236="equivocal"),OR(Y236="positive",Y236="equivocal")),"a",IF(OR(Y236="positive",Y236="equivocal"),"b",IF(OR(W236="positive",W236="equivocal"),"c","d"))))</x:f>
        <x:v>d</x:v>
      </x:c>
      <x:c r="AF236" s="12" t="str">
        <x:f>IF(OR(W236="unavailable",Y236="unavailable"),"不可评价",IF(AND(W236="positive",Y236="positive"),"a",IF(Y236="positive","b",IF(W236="positive","c","d"))))</x:f>
        <x:v>d</x:v>
      </x:c>
    </x:row>
    <x:row r="237" ht="24" customHeight="1">
      <x:c r="A237" s="12" t="str">
        <x:v>1870</x:v>
      </x:c>
      <x:c r="B237" s="12" t="str">
        <x:v>10747</x:v>
      </x:c>
      <x:c r="C237" s="21" t="n">
        <x:v>32332.56803240741</x:v>
      </x:c>
      <x:c r="D237" s="12" t="n">
        <x:v>48</x:v>
      </x:c>
      <x:c r="E237" s="12" t="n">
        <x:v>0</x:v>
      </x:c>
      <x:c r="F237" s="12" t="str">
        <x:v>未记录</x:v>
      </x:c>
      <x:c r="G237" s="12" t="n">
        <x:v>1</x:v>
      </x:c>
      <x:c r="H237" s="12" t="str">
        <x:v>{'NORM': 100.0, 'SR': 0.0}</x:v>
      </x:c>
      <x:c r="I237" s="12" t="str">
        <x:v>[('NSR', 100.0), ('NML', 100.0)]</x:v>
      </x:c>
      <x:c r="J237" s="12" t="str">
        <x:v>ptbxl_database.csv；ecg_id=1870；scp_codes</x:v>
      </x:c>
      <x:c r="K237" s="12" t="str">
        <x:v>12sl_statements.csv；ecg_id=1870；statements_ext_snomed</x:v>
      </x:c>
      <x:c r="L237" s="12"/>
      <x:c r="M237" s="12" t="str">
        <x:v>negative</x:v>
      </x:c>
      <x:c r="N237" s="12"/>
      <x:c r="O237" s="12" t="str">
        <x:v>negative</x:v>
      </x:c>
      <x:c r="P237" s="12" t="str">
        <x:f>IF(OR(M237="unavailable",O237="unavailable"),"不可评价",IF(OR(M237="equivocal",O237="equivocal"),"疑似",IF(AND(M237="positive",O237="positive"),"a",IF(O237="positive","b",IF(M237="positive","c","d")))))</x:f>
        <x:v>d</x:v>
      </x:c>
      <x:c r="Q237" s="12"/>
      <x:c r="R237" s="12" t="str">
        <x:v>negative</x:v>
      </x:c>
      <x:c r="S237" s="12"/>
      <x:c r="T237" s="12" t="str">
        <x:v>negative</x:v>
      </x:c>
      <x:c r="U237" s="12" t="str">
        <x:f>IF(OR(R237="unavailable",T237="unavailable"),"不可评价",IF(OR(R237="equivocal",T237="equivocal"),"疑似",IF(AND(R237="positive",T237="positive"),"a",IF(T237="positive","b",IF(R237="positive","c","d")))))</x:f>
        <x:v>d</x:v>
      </x:c>
      <x:c r="V237" s="12"/>
      <x:c r="W237" s="12" t="str">
        <x:v>negative</x:v>
      </x:c>
      <x:c r="X237" s="12"/>
      <x:c r="Y237" s="12" t="str">
        <x:v>negative</x:v>
      </x:c>
      <x:c r="Z237" s="12" t="str">
        <x:f>IF(OR(W237="unavailable",Y237="unavailable"),"不可评价",IF(OR(W237="equivocal",Y237="equivocal"),"疑似",IF(AND(W237="positive",Y237="positive"),"a",IF(Y237="positive","b",IF(W237="positive","c","d")))))</x:f>
        <x:v>d</x:v>
      </x:c>
      <x:c r="AA237" s="12" t="str">
        <x:f>IF(OR(M237="unavailable",O237="unavailable"),"不可评价",IF(AND(OR(M237="positive",M237="equivocal"),OR(O237="positive",O237="equivocal")),"a",IF(OR(O237="positive",O237="equivocal"),"b",IF(OR(M237="positive",M237="equivocal"),"c","d"))))</x:f>
        <x:v>d</x:v>
      </x:c>
      <x:c r="AB237" s="12" t="str">
        <x:f>IF(OR(M237="unavailable",O237="unavailable"),"不可评价",IF(AND(M237="positive",O237="positive"),"a",IF(O237="positive","b",IF(M237="positive","c","d"))))</x:f>
        <x:v>d</x:v>
      </x:c>
      <x:c r="AC237" s="12" t="str">
        <x:f>IF(OR(R237="unavailable",T237="unavailable"),"不可评价",IF(AND(OR(R237="positive",R237="equivocal"),OR(T237="positive",T237="equivocal")),"a",IF(OR(T237="positive",T237="equivocal"),"b",IF(OR(R237="positive",R237="equivocal"),"c","d"))))</x:f>
        <x:v>d</x:v>
      </x:c>
      <x:c r="AD237" s="12" t="str">
        <x:f>IF(OR(R237="unavailable",T237="unavailable"),"不可评价",IF(AND(R237="positive",T237="positive"),"a",IF(T237="positive","b",IF(R237="positive","c","d"))))</x:f>
        <x:v>d</x:v>
      </x:c>
      <x:c r="AE237" s="12" t="str">
        <x:f>IF(OR(W237="unavailable",Y237="unavailable"),"不可评价",IF(AND(OR(W237="positive",W237="equivocal"),OR(Y237="positive",Y237="equivocal")),"a",IF(OR(Y237="positive",Y237="equivocal"),"b",IF(OR(W237="positive",W237="equivocal"),"c","d"))))</x:f>
        <x:v>d</x:v>
      </x:c>
      <x:c r="AF237" s="12" t="str">
        <x:f>IF(OR(W237="unavailable",Y237="unavailable"),"不可评价",IF(AND(W237="positive",Y237="positive"),"a",IF(Y237="positive","b",IF(W237="positive","c","d"))))</x:f>
        <x:v>d</x:v>
      </x:c>
    </x:row>
    <x:row r="238" ht="24" customHeight="1">
      <x:c r="A238" s="12" t="str">
        <x:v>1885</x:v>
      </x:c>
      <x:c r="B238" s="12" t="str">
        <x:v>17863</x:v>
      </x:c>
      <x:c r="C238" s="21" t="n">
        <x:v>32336.129942129628</x:v>
      </x:c>
      <x:c r="D238" s="12" t="n">
        <x:v>28</x:v>
      </x:c>
      <x:c r="E238" s="12" t="n">
        <x:v>1</x:v>
      </x:c>
      <x:c r="F238" s="12" t="str">
        <x:v>未记录</x:v>
      </x:c>
      <x:c r="G238" s="12" t="n">
        <x:v>1</x:v>
      </x:c>
      <x:c r="H238" s="12" t="str">
        <x:v>{'NORM': 100.0, 'SR': 0.0}</x:v>
      </x:c>
      <x:c r="I238" s="12" t="str">
        <x:v>[('NSR', 100.0), ('SAR', 100.0), ('NML', 100.0)]</x:v>
      </x:c>
      <x:c r="J238" s="12" t="str">
        <x:v>ptbxl_database.csv；ecg_id=1885；scp_codes</x:v>
      </x:c>
      <x:c r="K238" s="12" t="str">
        <x:v>12sl_statements.csv；ecg_id=1885；statements_ext_snomed</x:v>
      </x:c>
      <x:c r="L238" s="12"/>
      <x:c r="M238" s="12" t="str">
        <x:v>negative</x:v>
      </x:c>
      <x:c r="N238" s="12"/>
      <x:c r="O238" s="12" t="str">
        <x:v>negative</x:v>
      </x:c>
      <x:c r="P238" s="12" t="str">
        <x:f>IF(OR(M238="unavailable",O238="unavailable"),"不可评价",IF(OR(M238="equivocal",O238="equivocal"),"疑似",IF(AND(M238="positive",O238="positive"),"a",IF(O238="positive","b",IF(M238="positive","c","d")))))</x:f>
        <x:v>d</x:v>
      </x:c>
      <x:c r="Q238" s="12"/>
      <x:c r="R238" s="12" t="str">
        <x:v>negative</x:v>
      </x:c>
      <x:c r="S238" s="12"/>
      <x:c r="T238" s="12" t="str">
        <x:v>negative</x:v>
      </x:c>
      <x:c r="U238" s="12" t="str">
        <x:f>IF(OR(R238="unavailable",T238="unavailable"),"不可评价",IF(OR(R238="equivocal",T238="equivocal"),"疑似",IF(AND(R238="positive",T238="positive"),"a",IF(T238="positive","b",IF(R238="positive","c","d")))))</x:f>
        <x:v>d</x:v>
      </x:c>
      <x:c r="V238" s="12"/>
      <x:c r="W238" s="12" t="str">
        <x:v>negative</x:v>
      </x:c>
      <x:c r="X238" s="12"/>
      <x:c r="Y238" s="12" t="str">
        <x:v>negative</x:v>
      </x:c>
      <x:c r="Z238" s="12" t="str">
        <x:f>IF(OR(W238="unavailable",Y238="unavailable"),"不可评价",IF(OR(W238="equivocal",Y238="equivocal"),"疑似",IF(AND(W238="positive",Y238="positive"),"a",IF(Y238="positive","b",IF(W238="positive","c","d")))))</x:f>
        <x:v>d</x:v>
      </x:c>
      <x:c r="AA238" s="12" t="str">
        <x:f>IF(OR(M238="unavailable",O238="unavailable"),"不可评价",IF(AND(OR(M238="positive",M238="equivocal"),OR(O238="positive",O238="equivocal")),"a",IF(OR(O238="positive",O238="equivocal"),"b",IF(OR(M238="positive",M238="equivocal"),"c","d"))))</x:f>
        <x:v>d</x:v>
      </x:c>
      <x:c r="AB238" s="12" t="str">
        <x:f>IF(OR(M238="unavailable",O238="unavailable"),"不可评价",IF(AND(M238="positive",O238="positive"),"a",IF(O238="positive","b",IF(M238="positive","c","d"))))</x:f>
        <x:v>d</x:v>
      </x:c>
      <x:c r="AC238" s="12" t="str">
        <x:f>IF(OR(R238="unavailable",T238="unavailable"),"不可评价",IF(AND(OR(R238="positive",R238="equivocal"),OR(T238="positive",T238="equivocal")),"a",IF(OR(T238="positive",T238="equivocal"),"b",IF(OR(R238="positive",R238="equivocal"),"c","d"))))</x:f>
        <x:v>d</x:v>
      </x:c>
      <x:c r="AD238" s="12" t="str">
        <x:f>IF(OR(R238="unavailable",T238="unavailable"),"不可评价",IF(AND(R238="positive",T238="positive"),"a",IF(T238="positive","b",IF(R238="positive","c","d"))))</x:f>
        <x:v>d</x:v>
      </x:c>
      <x:c r="AE238" s="12" t="str">
        <x:f>IF(OR(W238="unavailable",Y238="unavailable"),"不可评价",IF(AND(OR(W238="positive",W238="equivocal"),OR(Y238="positive",Y238="equivocal")),"a",IF(OR(Y238="positive",Y238="equivocal"),"b",IF(OR(W238="positive",W238="equivocal"),"c","d"))))</x:f>
        <x:v>d</x:v>
      </x:c>
      <x:c r="AF238" s="12" t="str">
        <x:f>IF(OR(W238="unavailable",Y238="unavailable"),"不可评价",IF(AND(W238="positive",Y238="positive"),"a",IF(Y238="positive","b",IF(W238="positive","c","d"))))</x:f>
        <x:v>d</x:v>
      </x:c>
    </x:row>
    <x:row r="239" ht="24" customHeight="1">
      <x:c r="A239" s="12" t="str">
        <x:v>1899</x:v>
      </x:c>
      <x:c r="B239" s="12" t="str">
        <x:v>6774</x:v>
      </x:c>
      <x:c r="C239" s="21" t="n">
        <x:v>32338.826041666667</x:v>
      </x:c>
      <x:c r="D239" s="12" t="n">
        <x:v>50</x:v>
      </x:c>
      <x:c r="E239" s="12" t="n">
        <x:v>0</x:v>
      </x:c>
      <x:c r="F239" s="12" t="str">
        <x:v>未记录</x:v>
      </x:c>
      <x:c r="G239" s="12" t="n">
        <x:v>1</x:v>
      </x:c>
      <x:c r="H239" s="12" t="str">
        <x:v>{'NORM': 100.0, 'SR': 0.0}</x:v>
      </x:c>
      <x:c r="I239" s="12" t="str">
        <x:v>[('NSR', 100.0), ('NML', 100.0)]</x:v>
      </x:c>
      <x:c r="J239" s="12" t="str">
        <x:v>ptbxl_database.csv；ecg_id=1899；scp_codes</x:v>
      </x:c>
      <x:c r="K239" s="12" t="str">
        <x:v>12sl_statements.csv；ecg_id=1899；statements_ext_snomed</x:v>
      </x:c>
      <x:c r="L239" s="12"/>
      <x:c r="M239" s="12" t="str">
        <x:v>negative</x:v>
      </x:c>
      <x:c r="N239" s="12"/>
      <x:c r="O239" s="12" t="str">
        <x:v>negative</x:v>
      </x:c>
      <x:c r="P239" s="12" t="str">
        <x:f>IF(OR(M239="unavailable",O239="unavailable"),"不可评价",IF(OR(M239="equivocal",O239="equivocal"),"疑似",IF(AND(M239="positive",O239="positive"),"a",IF(O239="positive","b",IF(M239="positive","c","d")))))</x:f>
        <x:v>d</x:v>
      </x:c>
      <x:c r="Q239" s="12"/>
      <x:c r="R239" s="12" t="str">
        <x:v>negative</x:v>
      </x:c>
      <x:c r="S239" s="12"/>
      <x:c r="T239" s="12" t="str">
        <x:v>negative</x:v>
      </x:c>
      <x:c r="U239" s="12" t="str">
        <x:f>IF(OR(R239="unavailable",T239="unavailable"),"不可评价",IF(OR(R239="equivocal",T239="equivocal"),"疑似",IF(AND(R239="positive",T239="positive"),"a",IF(T239="positive","b",IF(R239="positive","c","d")))))</x:f>
        <x:v>d</x:v>
      </x:c>
      <x:c r="V239" s="12"/>
      <x:c r="W239" s="12" t="str">
        <x:v>negative</x:v>
      </x:c>
      <x:c r="X239" s="12"/>
      <x:c r="Y239" s="12" t="str">
        <x:v>negative</x:v>
      </x:c>
      <x:c r="Z239" s="12" t="str">
        <x:f>IF(OR(W239="unavailable",Y239="unavailable"),"不可评价",IF(OR(W239="equivocal",Y239="equivocal"),"疑似",IF(AND(W239="positive",Y239="positive"),"a",IF(Y239="positive","b",IF(W239="positive","c","d")))))</x:f>
        <x:v>d</x:v>
      </x:c>
      <x:c r="AA239" s="12" t="str">
        <x:f>IF(OR(M239="unavailable",O239="unavailable"),"不可评价",IF(AND(OR(M239="positive",M239="equivocal"),OR(O239="positive",O239="equivocal")),"a",IF(OR(O239="positive",O239="equivocal"),"b",IF(OR(M239="positive",M239="equivocal"),"c","d"))))</x:f>
        <x:v>d</x:v>
      </x:c>
      <x:c r="AB239" s="12" t="str">
        <x:f>IF(OR(M239="unavailable",O239="unavailable"),"不可评价",IF(AND(M239="positive",O239="positive"),"a",IF(O239="positive","b",IF(M239="positive","c","d"))))</x:f>
        <x:v>d</x:v>
      </x:c>
      <x:c r="AC239" s="12" t="str">
        <x:f>IF(OR(R239="unavailable",T239="unavailable"),"不可评价",IF(AND(OR(R239="positive",R239="equivocal"),OR(T239="positive",T239="equivocal")),"a",IF(OR(T239="positive",T239="equivocal"),"b",IF(OR(R239="positive",R239="equivocal"),"c","d"))))</x:f>
        <x:v>d</x:v>
      </x:c>
      <x:c r="AD239" s="12" t="str">
        <x:f>IF(OR(R239="unavailable",T239="unavailable"),"不可评价",IF(AND(R239="positive",T239="positive"),"a",IF(T239="positive","b",IF(R239="positive","c","d"))))</x:f>
        <x:v>d</x:v>
      </x:c>
      <x:c r="AE239" s="12" t="str">
        <x:f>IF(OR(W239="unavailable",Y239="unavailable"),"不可评价",IF(AND(OR(W239="positive",W239="equivocal"),OR(Y239="positive",Y239="equivocal")),"a",IF(OR(Y239="positive",Y239="equivocal"),"b",IF(OR(W239="positive",W239="equivocal"),"c","d"))))</x:f>
        <x:v>d</x:v>
      </x:c>
      <x:c r="AF239" s="12" t="str">
        <x:f>IF(OR(W239="unavailable",Y239="unavailable"),"不可评价",IF(AND(W239="positive",Y239="positive"),"a",IF(Y239="positive","b",IF(W239="positive","c","d"))))</x:f>
        <x:v>d</x:v>
      </x:c>
    </x:row>
    <x:row r="240" ht="24" customHeight="1">
      <x:c r="A240" s="12" t="str">
        <x:v>1920</x:v>
      </x:c>
      <x:c r="B240" s="12" t="str">
        <x:v>5576</x:v>
      </x:c>
      <x:c r="C240" s="21" t="n">
        <x:v>32341.47333333333</x:v>
      </x:c>
      <x:c r="D240" s="12" t="n">
        <x:v>88</x:v>
      </x:c>
      <x:c r="E240" s="12" t="n">
        <x:v>1</x:v>
      </x:c>
      <x:c r="F240" s="12" t="str">
        <x:v>存在</x:v>
      </x:c>
      <x:c r="G240" s="12" t="n">
        <x:v>1</x:v>
      </x:c>
      <x:c r="H240" s="12" t="str">
        <x:v>{'NST_': 100.0, 'NT_': 0.0, 'SR': 0.0}</x:v>
      </x:c>
      <x:c r="I240" s="12" t="str">
        <x:v>[('NSR', 100.0), ('IMI;AU', 100.0), ('AB', 100.0)]</x:v>
      </x:c>
      <x:c r="J240" s="12" t="str">
        <x:v>ptbxl_database.csv；ecg_id=1920；scp_codes</x:v>
      </x:c>
      <x:c r="K240" s="12" t="str">
        <x:v>12sl_statements.csv；ecg_id=1920；statements_ext_snomed</x:v>
      </x:c>
      <x:c r="L240" s="12"/>
      <x:c r="M240" s="12" t="str">
        <x:v>negative</x:v>
      </x:c>
      <x:c r="N240" s="12"/>
      <x:c r="O240" s="12" t="str">
        <x:v>negative</x:v>
      </x:c>
      <x:c r="P240" s="12" t="str">
        <x:f>IF(OR(M240="unavailable",O240="unavailable"),"不可评价",IF(OR(M240="equivocal",O240="equivocal"),"疑似",IF(AND(M240="positive",O240="positive"),"a",IF(O240="positive","b",IF(M240="positive","c","d")))))</x:f>
        <x:v>d</x:v>
      </x:c>
      <x:c r="Q240" s="12"/>
      <x:c r="R240" s="12" t="str">
        <x:v>negative</x:v>
      </x:c>
      <x:c r="S240" s="12"/>
      <x:c r="T240" s="12" t="str">
        <x:v>negative</x:v>
      </x:c>
      <x:c r="U240" s="12" t="str">
        <x:f>IF(OR(R240="unavailable",T240="unavailable"),"不可评价",IF(OR(R240="equivocal",T240="equivocal"),"疑似",IF(AND(R240="positive",T240="positive"),"a",IF(T240="positive","b",IF(R240="positive","c","d")))))</x:f>
        <x:v>d</x:v>
      </x:c>
      <x:c r="V240" s="12"/>
      <x:c r="W240" s="12" t="str">
        <x:v>negative</x:v>
      </x:c>
      <x:c r="X240" s="12"/>
      <x:c r="Y240" s="12" t="str">
        <x:v>negative</x:v>
      </x:c>
      <x:c r="Z240" s="12" t="str">
        <x:f>IF(OR(W240="unavailable",Y240="unavailable"),"不可评价",IF(OR(W240="equivocal",Y240="equivocal"),"疑似",IF(AND(W240="positive",Y240="positive"),"a",IF(Y240="positive","b",IF(W240="positive","c","d")))))</x:f>
        <x:v>d</x:v>
      </x:c>
      <x:c r="AA240" s="12" t="str">
        <x:f>IF(OR(M240="unavailable",O240="unavailable"),"不可评价",IF(AND(OR(M240="positive",M240="equivocal"),OR(O240="positive",O240="equivocal")),"a",IF(OR(O240="positive",O240="equivocal"),"b",IF(OR(M240="positive",M240="equivocal"),"c","d"))))</x:f>
        <x:v>d</x:v>
      </x:c>
      <x:c r="AB240" s="12" t="str">
        <x:f>IF(OR(M240="unavailable",O240="unavailable"),"不可评价",IF(AND(M240="positive",O240="positive"),"a",IF(O240="positive","b",IF(M240="positive","c","d"))))</x:f>
        <x:v>d</x:v>
      </x:c>
      <x:c r="AC240" s="12" t="str">
        <x:f>IF(OR(R240="unavailable",T240="unavailable"),"不可评价",IF(AND(OR(R240="positive",R240="equivocal"),OR(T240="positive",T240="equivocal")),"a",IF(OR(T240="positive",T240="equivocal"),"b",IF(OR(R240="positive",R240="equivocal"),"c","d"))))</x:f>
        <x:v>d</x:v>
      </x:c>
      <x:c r="AD240" s="12" t="str">
        <x:f>IF(OR(R240="unavailable",T240="unavailable"),"不可评价",IF(AND(R240="positive",T240="positive"),"a",IF(T240="positive","b",IF(R240="positive","c","d"))))</x:f>
        <x:v>d</x:v>
      </x:c>
      <x:c r="AE240" s="12" t="str">
        <x:f>IF(OR(W240="unavailable",Y240="unavailable"),"不可评价",IF(AND(OR(W240="positive",W240="equivocal"),OR(Y240="positive",Y240="equivocal")),"a",IF(OR(Y240="positive",Y240="equivocal"),"b",IF(OR(W240="positive",W240="equivocal"),"c","d"))))</x:f>
        <x:v>d</x:v>
      </x:c>
      <x:c r="AF240" s="12" t="str">
        <x:f>IF(OR(W240="unavailable",Y240="unavailable"),"不可评价",IF(AND(W240="positive",Y240="positive"),"a",IF(Y240="positive","b",IF(W240="positive","c","d"))))</x:f>
        <x:v>d</x:v>
      </x:c>
    </x:row>
    <x:row r="241" ht="24" customHeight="1">
      <x:c r="A241" s="12" t="str">
        <x:v>1933</x:v>
      </x:c>
      <x:c r="B241" s="12" t="str">
        <x:v>3173</x:v>
      </x:c>
      <x:c r="C241" s="21" t="n">
        <x:v>32342.514143518518</x:v>
      </x:c>
      <x:c r="D241" s="12" t="n">
        <x:v>40</x:v>
      </x:c>
      <x:c r="E241" s="12" t="n">
        <x:v>1</x:v>
      </x:c>
      <x:c r="F241" s="12" t="str">
        <x:v>未记录</x:v>
      </x:c>
      <x:c r="G241" s="12" t="n">
        <x:v>1</x:v>
      </x:c>
      <x:c r="H241" s="12" t="str">
        <x:v>{'NORM': 100.0, 'SR': 0.0}</x:v>
      </x:c>
      <x:c r="I241" s="12" t="str">
        <x:v>[('NSR', 100.0), ('NML', 100.0)]</x:v>
      </x:c>
      <x:c r="J241" s="12" t="str">
        <x:v>ptbxl_database.csv；ecg_id=1933；scp_codes</x:v>
      </x:c>
      <x:c r="K241" s="12" t="str">
        <x:v>12sl_statements.csv；ecg_id=1933；statements_ext_snomed</x:v>
      </x:c>
      <x:c r="L241" s="12"/>
      <x:c r="M241" s="12" t="str">
        <x:v>negative</x:v>
      </x:c>
      <x:c r="N241" s="12"/>
      <x:c r="O241" s="12" t="str">
        <x:v>negative</x:v>
      </x:c>
      <x:c r="P241" s="12" t="str">
        <x:f>IF(OR(M241="unavailable",O241="unavailable"),"不可评价",IF(OR(M241="equivocal",O241="equivocal"),"疑似",IF(AND(M241="positive",O241="positive"),"a",IF(O241="positive","b",IF(M241="positive","c","d")))))</x:f>
        <x:v>d</x:v>
      </x:c>
      <x:c r="Q241" s="12"/>
      <x:c r="R241" s="12" t="str">
        <x:v>negative</x:v>
      </x:c>
      <x:c r="S241" s="12"/>
      <x:c r="T241" s="12" t="str">
        <x:v>negative</x:v>
      </x:c>
      <x:c r="U241" s="12" t="str">
        <x:f>IF(OR(R241="unavailable",T241="unavailable"),"不可评价",IF(OR(R241="equivocal",T241="equivocal"),"疑似",IF(AND(R241="positive",T241="positive"),"a",IF(T241="positive","b",IF(R241="positive","c","d")))))</x:f>
        <x:v>d</x:v>
      </x:c>
      <x:c r="V241" s="12"/>
      <x:c r="W241" s="12" t="str">
        <x:v>negative</x:v>
      </x:c>
      <x:c r="X241" s="12"/>
      <x:c r="Y241" s="12" t="str">
        <x:v>negative</x:v>
      </x:c>
      <x:c r="Z241" s="12" t="str">
        <x:f>IF(OR(W241="unavailable",Y241="unavailable"),"不可评价",IF(OR(W241="equivocal",Y241="equivocal"),"疑似",IF(AND(W241="positive",Y241="positive"),"a",IF(Y241="positive","b",IF(W241="positive","c","d")))))</x:f>
        <x:v>d</x:v>
      </x:c>
      <x:c r="AA241" s="12" t="str">
        <x:f>IF(OR(M241="unavailable",O241="unavailable"),"不可评价",IF(AND(OR(M241="positive",M241="equivocal"),OR(O241="positive",O241="equivocal")),"a",IF(OR(O241="positive",O241="equivocal"),"b",IF(OR(M241="positive",M241="equivocal"),"c","d"))))</x:f>
        <x:v>d</x:v>
      </x:c>
      <x:c r="AB241" s="12" t="str">
        <x:f>IF(OR(M241="unavailable",O241="unavailable"),"不可评价",IF(AND(M241="positive",O241="positive"),"a",IF(O241="positive","b",IF(M241="positive","c","d"))))</x:f>
        <x:v>d</x:v>
      </x:c>
      <x:c r="AC241" s="12" t="str">
        <x:f>IF(OR(R241="unavailable",T241="unavailable"),"不可评价",IF(AND(OR(R241="positive",R241="equivocal"),OR(T241="positive",T241="equivocal")),"a",IF(OR(T241="positive",T241="equivocal"),"b",IF(OR(R241="positive",R241="equivocal"),"c","d"))))</x:f>
        <x:v>d</x:v>
      </x:c>
      <x:c r="AD241" s="12" t="str">
        <x:f>IF(OR(R241="unavailable",T241="unavailable"),"不可评价",IF(AND(R241="positive",T241="positive"),"a",IF(T241="positive","b",IF(R241="positive","c","d"))))</x:f>
        <x:v>d</x:v>
      </x:c>
      <x:c r="AE241" s="12" t="str">
        <x:f>IF(OR(W241="unavailable",Y241="unavailable"),"不可评价",IF(AND(OR(W241="positive",W241="equivocal"),OR(Y241="positive",Y241="equivocal")),"a",IF(OR(Y241="positive",Y241="equivocal"),"b",IF(OR(W241="positive",W241="equivocal"),"c","d"))))</x:f>
        <x:v>d</x:v>
      </x:c>
      <x:c r="AF241" s="12" t="str">
        <x:f>IF(OR(W241="unavailable",Y241="unavailable"),"不可评价",IF(AND(W241="positive",Y241="positive"),"a",IF(Y241="positive","b",IF(W241="positive","c","d"))))</x:f>
        <x:v>d</x:v>
      </x:c>
    </x:row>
    <x:row r="242" ht="24" customHeight="1">
      <x:c r="A242" s="12" t="str">
        <x:v>1938</x:v>
      </x:c>
      <x:c r="B242" s="12" t="str">
        <x:v>3986</x:v>
      </x:c>
      <x:c r="C242" s="21" t="n">
        <x:v>32342.66630787037</x:v>
      </x:c>
      <x:c r="D242" s="12" t="n">
        <x:v>57</x:v>
      </x:c>
      <x:c r="E242" s="12" t="n">
        <x:v>1</x:v>
      </x:c>
      <x:c r="F242" s="12" t="str">
        <x:v>未记录</x:v>
      </x:c>
      <x:c r="G242" s="12" t="n">
        <x:v>1</x:v>
      </x:c>
      <x:c r="H242" s="12" t="str">
        <x:v>{'NORM': 100.0, 'SR': 0.0}</x:v>
      </x:c>
      <x:c r="I242" s="12" t="str">
        <x:v>[('NSR', 100.0), ('NML', 100.0)]</x:v>
      </x:c>
      <x:c r="J242" s="12" t="str">
        <x:v>ptbxl_database.csv；ecg_id=1938；scp_codes</x:v>
      </x:c>
      <x:c r="K242" s="12" t="str">
        <x:v>12sl_statements.csv；ecg_id=1938；statements_ext_snomed</x:v>
      </x:c>
      <x:c r="L242" s="12"/>
      <x:c r="M242" s="12" t="str">
        <x:v>negative</x:v>
      </x:c>
      <x:c r="N242" s="12"/>
      <x:c r="O242" s="12" t="str">
        <x:v>negative</x:v>
      </x:c>
      <x:c r="P242" s="12" t="str">
        <x:f>IF(OR(M242="unavailable",O242="unavailable"),"不可评价",IF(OR(M242="equivocal",O242="equivocal"),"疑似",IF(AND(M242="positive",O242="positive"),"a",IF(O242="positive","b",IF(M242="positive","c","d")))))</x:f>
        <x:v>d</x:v>
      </x:c>
      <x:c r="Q242" s="12"/>
      <x:c r="R242" s="12" t="str">
        <x:v>negative</x:v>
      </x:c>
      <x:c r="S242" s="12"/>
      <x:c r="T242" s="12" t="str">
        <x:v>negative</x:v>
      </x:c>
      <x:c r="U242" s="12" t="str">
        <x:f>IF(OR(R242="unavailable",T242="unavailable"),"不可评价",IF(OR(R242="equivocal",T242="equivocal"),"疑似",IF(AND(R242="positive",T242="positive"),"a",IF(T242="positive","b",IF(R242="positive","c","d")))))</x:f>
        <x:v>d</x:v>
      </x:c>
      <x:c r="V242" s="12"/>
      <x:c r="W242" s="12" t="str">
        <x:v>negative</x:v>
      </x:c>
      <x:c r="X242" s="12"/>
      <x:c r="Y242" s="12" t="str">
        <x:v>negative</x:v>
      </x:c>
      <x:c r="Z242" s="12" t="str">
        <x:f>IF(OR(W242="unavailable",Y242="unavailable"),"不可评价",IF(OR(W242="equivocal",Y242="equivocal"),"疑似",IF(AND(W242="positive",Y242="positive"),"a",IF(Y242="positive","b",IF(W242="positive","c","d")))))</x:f>
        <x:v>d</x:v>
      </x:c>
      <x:c r="AA242" s="12" t="str">
        <x:f>IF(OR(M242="unavailable",O242="unavailable"),"不可评价",IF(AND(OR(M242="positive",M242="equivocal"),OR(O242="positive",O242="equivocal")),"a",IF(OR(O242="positive",O242="equivocal"),"b",IF(OR(M242="positive",M242="equivocal"),"c","d"))))</x:f>
        <x:v>d</x:v>
      </x:c>
      <x:c r="AB242" s="12" t="str">
        <x:f>IF(OR(M242="unavailable",O242="unavailable"),"不可评价",IF(AND(M242="positive",O242="positive"),"a",IF(O242="positive","b",IF(M242="positive","c","d"))))</x:f>
        <x:v>d</x:v>
      </x:c>
      <x:c r="AC242" s="12" t="str">
        <x:f>IF(OR(R242="unavailable",T242="unavailable"),"不可评价",IF(AND(OR(R242="positive",R242="equivocal"),OR(T242="positive",T242="equivocal")),"a",IF(OR(T242="positive",T242="equivocal"),"b",IF(OR(R242="positive",R242="equivocal"),"c","d"))))</x:f>
        <x:v>d</x:v>
      </x:c>
      <x:c r="AD242" s="12" t="str">
        <x:f>IF(OR(R242="unavailable",T242="unavailable"),"不可评价",IF(AND(R242="positive",T242="positive"),"a",IF(T242="positive","b",IF(R242="positive","c","d"))))</x:f>
        <x:v>d</x:v>
      </x:c>
      <x:c r="AE242" s="12" t="str">
        <x:f>IF(OR(W242="unavailable",Y242="unavailable"),"不可评价",IF(AND(OR(W242="positive",W242="equivocal"),OR(Y242="positive",Y242="equivocal")),"a",IF(OR(Y242="positive",Y242="equivocal"),"b",IF(OR(W242="positive",W242="equivocal"),"c","d"))))</x:f>
        <x:v>d</x:v>
      </x:c>
      <x:c r="AF242" s="12" t="str">
        <x:f>IF(OR(W242="unavailable",Y242="unavailable"),"不可评价",IF(AND(W242="positive",Y242="positive"),"a",IF(Y242="positive","b",IF(W242="positive","c","d"))))</x:f>
        <x:v>d</x:v>
      </x:c>
    </x:row>
    <x:row r="243" ht="24" customHeight="1">
      <x:c r="A243" s="12" t="str">
        <x:v>1940</x:v>
      </x:c>
      <x:c r="B243" s="12" t="str">
        <x:v>1496</x:v>
      </x:c>
      <x:c r="C243" s="21" t="n">
        <x:v>32343.516400462962</x:v>
      </x:c>
      <x:c r="D243" s="12" t="n">
        <x:v>76</x:v>
      </x:c>
      <x:c r="E243" s="12" t="n">
        <x:v>1</x:v>
      </x:c>
      <x:c r="F243" s="12" t="str">
        <x:v>未记录</x:v>
      </x:c>
      <x:c r="G243" s="12" t="n">
        <x:v>1</x:v>
      </x:c>
      <x:c r="H243" s="12" t="str">
        <x:v>{'ISCIL': 100.0, 'LAFB': 100.0, 'SR': 0.0}</x:v>
      </x:c>
      <x:c r="I243" s="12" t="str">
        <x:v>[('NSR', 100.0), ('IT', 100.0), ('AB', 100.0)]</x:v>
      </x:c>
      <x:c r="J243" s="12" t="str">
        <x:v>ptbxl_database.csv；ecg_id=1940；scp_codes</x:v>
      </x:c>
      <x:c r="K243" s="12" t="str">
        <x:v>12sl_statements.csv；ecg_id=1940；statements_ext_snomed</x:v>
      </x:c>
      <x:c r="L243" s="12"/>
      <x:c r="M243" s="12" t="str">
        <x:v>negative</x:v>
      </x:c>
      <x:c r="N243" s="12"/>
      <x:c r="O243" s="12" t="str">
        <x:v>negative</x:v>
      </x:c>
      <x:c r="P243" s="12" t="str">
        <x:f>IF(OR(M243="unavailable",O243="unavailable"),"不可评价",IF(OR(M243="equivocal",O243="equivocal"),"疑似",IF(AND(M243="positive",O243="positive"),"a",IF(O243="positive","b",IF(M243="positive","c","d")))))</x:f>
        <x:v>d</x:v>
      </x:c>
      <x:c r="Q243" s="12"/>
      <x:c r="R243" s="12" t="str">
        <x:v>negative</x:v>
      </x:c>
      <x:c r="S243" s="12"/>
      <x:c r="T243" s="12" t="str">
        <x:v>negative</x:v>
      </x:c>
      <x:c r="U243" s="12" t="str">
        <x:f>IF(OR(R243="unavailable",T243="unavailable"),"不可评价",IF(OR(R243="equivocal",T243="equivocal"),"疑似",IF(AND(R243="positive",T243="positive"),"a",IF(T243="positive","b",IF(R243="positive","c","d")))))</x:f>
        <x:v>d</x:v>
      </x:c>
      <x:c r="V243" s="12"/>
      <x:c r="W243" s="12" t="str">
        <x:v>negative</x:v>
      </x:c>
      <x:c r="X243" s="12"/>
      <x:c r="Y243" s="12" t="str">
        <x:v>negative</x:v>
      </x:c>
      <x:c r="Z243" s="12" t="str">
        <x:f>IF(OR(W243="unavailable",Y243="unavailable"),"不可评价",IF(OR(W243="equivocal",Y243="equivocal"),"疑似",IF(AND(W243="positive",Y243="positive"),"a",IF(Y243="positive","b",IF(W243="positive","c","d")))))</x:f>
        <x:v>d</x:v>
      </x:c>
      <x:c r="AA243" s="12" t="str">
        <x:f>IF(OR(M243="unavailable",O243="unavailable"),"不可评价",IF(AND(OR(M243="positive",M243="equivocal"),OR(O243="positive",O243="equivocal")),"a",IF(OR(O243="positive",O243="equivocal"),"b",IF(OR(M243="positive",M243="equivocal"),"c","d"))))</x:f>
        <x:v>d</x:v>
      </x:c>
      <x:c r="AB243" s="12" t="str">
        <x:f>IF(OR(M243="unavailable",O243="unavailable"),"不可评价",IF(AND(M243="positive",O243="positive"),"a",IF(O243="positive","b",IF(M243="positive","c","d"))))</x:f>
        <x:v>d</x:v>
      </x:c>
      <x:c r="AC243" s="12" t="str">
        <x:f>IF(OR(R243="unavailable",T243="unavailable"),"不可评价",IF(AND(OR(R243="positive",R243="equivocal"),OR(T243="positive",T243="equivocal")),"a",IF(OR(T243="positive",T243="equivocal"),"b",IF(OR(R243="positive",R243="equivocal"),"c","d"))))</x:f>
        <x:v>d</x:v>
      </x:c>
      <x:c r="AD243" s="12" t="str">
        <x:f>IF(OR(R243="unavailable",T243="unavailable"),"不可评价",IF(AND(R243="positive",T243="positive"),"a",IF(T243="positive","b",IF(R243="positive","c","d"))))</x:f>
        <x:v>d</x:v>
      </x:c>
      <x:c r="AE243" s="12" t="str">
        <x:f>IF(OR(W243="unavailable",Y243="unavailable"),"不可评价",IF(AND(OR(W243="positive",W243="equivocal"),OR(Y243="positive",Y243="equivocal")),"a",IF(OR(Y243="positive",Y243="equivocal"),"b",IF(OR(W243="positive",W243="equivocal"),"c","d"))))</x:f>
        <x:v>d</x:v>
      </x:c>
      <x:c r="AF243" s="12" t="str">
        <x:f>IF(OR(W243="unavailable",Y243="unavailable"),"不可评价",IF(AND(W243="positive",Y243="positive"),"a",IF(Y243="positive","b",IF(W243="positive","c","d"))))</x:f>
        <x:v>d</x:v>
      </x:c>
    </x:row>
    <x:row r="244" ht="24" customHeight="1">
      <x:c r="A244" s="12" t="str">
        <x:v>1944</x:v>
      </x:c>
      <x:c r="B244" s="12" t="str">
        <x:v>318</x:v>
      </x:c>
      <x:c r="C244" s="21" t="n">
        <x:v>32345.394351851854</x:v>
      </x:c>
      <x:c r="D244" s="12" t="n">
        <x:v>78</x:v>
      </x:c>
      <x:c r="E244" s="12" t="n">
        <x:v>0</x:v>
      </x:c>
      <x:c r="F244" s="12" t="str">
        <x:v>未记录</x:v>
      </x:c>
      <x:c r="G244" s="12" t="n">
        <x:v>1</x:v>
      </x:c>
      <x:c r="H244" s="12" t="str">
        <x:v>{'ILMI': 100.0, 'ISCAL': 100.0, 'SR': 0.0}</x:v>
      </x:c>
      <x:c r="I244" s="12" t="str">
        <x:v>[('NSR', 100.0), ('IMI;AU', 100.0), ('LNGQT', 100.0), ('AB', 100.0)]</x:v>
      </x:c>
      <x:c r="J244" s="12" t="str">
        <x:v>ptbxl_database.csv；ecg_id=1944；scp_codes</x:v>
      </x:c>
      <x:c r="K244" s="12" t="str">
        <x:v>12sl_statements.csv；ecg_id=1944；statements_ext_snomed</x:v>
      </x:c>
      <x:c r="L244" s="12"/>
      <x:c r="M244" s="12" t="str">
        <x:v>negative</x:v>
      </x:c>
      <x:c r="N244" s="12"/>
      <x:c r="O244" s="12" t="str">
        <x:v>negative</x:v>
      </x:c>
      <x:c r="P244" s="12" t="str">
        <x:f>IF(OR(M244="unavailable",O244="unavailable"),"不可评价",IF(OR(M244="equivocal",O244="equivocal"),"疑似",IF(AND(M244="positive",O244="positive"),"a",IF(O244="positive","b",IF(M244="positive","c","d")))))</x:f>
        <x:v>d</x:v>
      </x:c>
      <x:c r="Q244" s="12"/>
      <x:c r="R244" s="12" t="str">
        <x:v>negative</x:v>
      </x:c>
      <x:c r="S244" s="12"/>
      <x:c r="T244" s="12" t="str">
        <x:v>negative</x:v>
      </x:c>
      <x:c r="U244" s="12" t="str">
        <x:f>IF(OR(R244="unavailable",T244="unavailable"),"不可评价",IF(OR(R244="equivocal",T244="equivocal"),"疑似",IF(AND(R244="positive",T244="positive"),"a",IF(T244="positive","b",IF(R244="positive","c","d")))))</x:f>
        <x:v>d</x:v>
      </x:c>
      <x:c r="V244" s="12"/>
      <x:c r="W244" s="12" t="str">
        <x:v>negative</x:v>
      </x:c>
      <x:c r="X244" s="12"/>
      <x:c r="Y244" s="12" t="str">
        <x:v>negative</x:v>
      </x:c>
      <x:c r="Z244" s="12" t="str">
        <x:f>IF(OR(W244="unavailable",Y244="unavailable"),"不可评价",IF(OR(W244="equivocal",Y244="equivocal"),"疑似",IF(AND(W244="positive",Y244="positive"),"a",IF(Y244="positive","b",IF(W244="positive","c","d")))))</x:f>
        <x:v>d</x:v>
      </x:c>
      <x:c r="AA244" s="12" t="str">
        <x:f>IF(OR(M244="unavailable",O244="unavailable"),"不可评价",IF(AND(OR(M244="positive",M244="equivocal"),OR(O244="positive",O244="equivocal")),"a",IF(OR(O244="positive",O244="equivocal"),"b",IF(OR(M244="positive",M244="equivocal"),"c","d"))))</x:f>
        <x:v>d</x:v>
      </x:c>
      <x:c r="AB244" s="12" t="str">
        <x:f>IF(OR(M244="unavailable",O244="unavailable"),"不可评价",IF(AND(M244="positive",O244="positive"),"a",IF(O244="positive","b",IF(M244="positive","c","d"))))</x:f>
        <x:v>d</x:v>
      </x:c>
      <x:c r="AC244" s="12" t="str">
        <x:f>IF(OR(R244="unavailable",T244="unavailable"),"不可评价",IF(AND(OR(R244="positive",R244="equivocal"),OR(T244="positive",T244="equivocal")),"a",IF(OR(T244="positive",T244="equivocal"),"b",IF(OR(R244="positive",R244="equivocal"),"c","d"))))</x:f>
        <x:v>d</x:v>
      </x:c>
      <x:c r="AD244" s="12" t="str">
        <x:f>IF(OR(R244="unavailable",T244="unavailable"),"不可评价",IF(AND(R244="positive",T244="positive"),"a",IF(T244="positive","b",IF(R244="positive","c","d"))))</x:f>
        <x:v>d</x:v>
      </x:c>
      <x:c r="AE244" s="12" t="str">
        <x:f>IF(OR(W244="unavailable",Y244="unavailable"),"不可评价",IF(AND(OR(W244="positive",W244="equivocal"),OR(Y244="positive",Y244="equivocal")),"a",IF(OR(Y244="positive",Y244="equivocal"),"b",IF(OR(W244="positive",W244="equivocal"),"c","d"))))</x:f>
        <x:v>d</x:v>
      </x:c>
      <x:c r="AF244" s="12" t="str">
        <x:f>IF(OR(W244="unavailable",Y244="unavailable"),"不可评价",IF(AND(W244="positive",Y244="positive"),"a",IF(Y244="positive","b",IF(W244="positive","c","d"))))</x:f>
        <x:v>d</x:v>
      </x:c>
    </x:row>
    <x:row r="245" ht="24" customHeight="1">
      <x:c r="A245" s="12" t="str">
        <x:v>1946</x:v>
      </x:c>
      <x:c r="B245" s="12" t="str">
        <x:v>20935</x:v>
      </x:c>
      <x:c r="C245" s="21" t="n">
        <x:v>32345.467233796295</x:v>
      </x:c>
      <x:c r="D245" s="12" t="n">
        <x:v>21</x:v>
      </x:c>
      <x:c r="E245" s="12" t="n">
        <x:v>0</x:v>
      </x:c>
      <x:c r="F245" s="12" t="str">
        <x:v>未记录</x:v>
      </x:c>
      <x:c r="G245" s="12" t="n">
        <x:v>1</x:v>
      </x:c>
      <x:c r="H245" s="12" t="str">
        <x:v>{'NORM': 100.0, 'SR': 0.0}</x:v>
      </x:c>
      <x:c r="I245" s="12" t="str">
        <x:v>[('NSR', 100.0), ('BORDE', 100.0)]</x:v>
      </x:c>
      <x:c r="J245" s="12" t="str">
        <x:v>ptbxl_database.csv；ecg_id=1946；scp_codes</x:v>
      </x:c>
      <x:c r="K245" s="12" t="str">
        <x:v>12sl_statements.csv；ecg_id=1946；statements_ext_snomed</x:v>
      </x:c>
      <x:c r="L245" s="12"/>
      <x:c r="M245" s="12" t="str">
        <x:v>negative</x:v>
      </x:c>
      <x:c r="N245" s="12"/>
      <x:c r="O245" s="12" t="str">
        <x:v>negative</x:v>
      </x:c>
      <x:c r="P245" s="12" t="str">
        <x:f>IF(OR(M245="unavailable",O245="unavailable"),"不可评价",IF(OR(M245="equivocal",O245="equivocal"),"疑似",IF(AND(M245="positive",O245="positive"),"a",IF(O245="positive","b",IF(M245="positive","c","d")))))</x:f>
        <x:v>d</x:v>
      </x:c>
      <x:c r="Q245" s="12"/>
      <x:c r="R245" s="12" t="str">
        <x:v>negative</x:v>
      </x:c>
      <x:c r="S245" s="12"/>
      <x:c r="T245" s="12" t="str">
        <x:v>negative</x:v>
      </x:c>
      <x:c r="U245" s="12" t="str">
        <x:f>IF(OR(R245="unavailable",T245="unavailable"),"不可评价",IF(OR(R245="equivocal",T245="equivocal"),"疑似",IF(AND(R245="positive",T245="positive"),"a",IF(T245="positive","b",IF(R245="positive","c","d")))))</x:f>
        <x:v>d</x:v>
      </x:c>
      <x:c r="V245" s="12"/>
      <x:c r="W245" s="12" t="str">
        <x:v>negative</x:v>
      </x:c>
      <x:c r="X245" s="12"/>
      <x:c r="Y245" s="12" t="str">
        <x:v>negative</x:v>
      </x:c>
      <x:c r="Z245" s="12" t="str">
        <x:f>IF(OR(W245="unavailable",Y245="unavailable"),"不可评价",IF(OR(W245="equivocal",Y245="equivocal"),"疑似",IF(AND(W245="positive",Y245="positive"),"a",IF(Y245="positive","b",IF(W245="positive","c","d")))))</x:f>
        <x:v>d</x:v>
      </x:c>
      <x:c r="AA245" s="12" t="str">
        <x:f>IF(OR(M245="unavailable",O245="unavailable"),"不可评价",IF(AND(OR(M245="positive",M245="equivocal"),OR(O245="positive",O245="equivocal")),"a",IF(OR(O245="positive",O245="equivocal"),"b",IF(OR(M245="positive",M245="equivocal"),"c","d"))))</x:f>
        <x:v>d</x:v>
      </x:c>
      <x:c r="AB245" s="12" t="str">
        <x:f>IF(OR(M245="unavailable",O245="unavailable"),"不可评价",IF(AND(M245="positive",O245="positive"),"a",IF(O245="positive","b",IF(M245="positive","c","d"))))</x:f>
        <x:v>d</x:v>
      </x:c>
      <x:c r="AC245" s="12" t="str">
        <x:f>IF(OR(R245="unavailable",T245="unavailable"),"不可评价",IF(AND(OR(R245="positive",R245="equivocal"),OR(T245="positive",T245="equivocal")),"a",IF(OR(T245="positive",T245="equivocal"),"b",IF(OR(R245="positive",R245="equivocal"),"c","d"))))</x:f>
        <x:v>d</x:v>
      </x:c>
      <x:c r="AD245" s="12" t="str">
        <x:f>IF(OR(R245="unavailable",T245="unavailable"),"不可评价",IF(AND(R245="positive",T245="positive"),"a",IF(T245="positive","b",IF(R245="positive","c","d"))))</x:f>
        <x:v>d</x:v>
      </x:c>
      <x:c r="AE245" s="12" t="str">
        <x:f>IF(OR(W245="unavailable",Y245="unavailable"),"不可评价",IF(AND(OR(W245="positive",W245="equivocal"),OR(Y245="positive",Y245="equivocal")),"a",IF(OR(Y245="positive",Y245="equivocal"),"b",IF(OR(W245="positive",W245="equivocal"),"c","d"))))</x:f>
        <x:v>d</x:v>
      </x:c>
      <x:c r="AF245" s="12" t="str">
        <x:f>IF(OR(W245="unavailable",Y245="unavailable"),"不可评价",IF(AND(W245="positive",Y245="positive"),"a",IF(Y245="positive","b",IF(W245="positive","c","d"))))</x:f>
        <x:v>d</x:v>
      </x:c>
    </x:row>
    <x:row r="246" ht="24" customHeight="1">
      <x:c r="A246" s="12" t="str">
        <x:v>1950</x:v>
      </x:c>
      <x:c r="B246" s="12" t="str">
        <x:v>3267</x:v>
      </x:c>
      <x:c r="C246" s="21" t="n">
        <x:v>32345.659537037038</x:v>
      </x:c>
      <x:c r="D246" s="12" t="n">
        <x:v>68</x:v>
      </x:c>
      <x:c r="E246" s="12" t="n">
        <x:v>1</x:v>
      </x:c>
      <x:c r="F246" s="12" t="str">
        <x:v>存在</x:v>
      </x:c>
      <x:c r="G246" s="12" t="n">
        <x:v>1</x:v>
      </x:c>
      <x:c r="H246" s="12" t="str">
        <x:v>{'ILMI': 100.0, 'QWAVE': 0.0, 'SR': 0.0}</x:v>
      </x:c>
      <x:c r="I246" s="12" t="str">
        <x:v>[('NSR', 100.0), ('LMI;AU', 50.0), ('IMI;AU', 50.0), ('AB', 100.0)]</x:v>
      </x:c>
      <x:c r="J246" s="12" t="str">
        <x:v>ptbxl_database.csv；ecg_id=1950；scp_codes</x:v>
      </x:c>
      <x:c r="K246" s="12" t="str">
        <x:v>12sl_statements.csv；ecg_id=1950；statements_ext_snomed</x:v>
      </x:c>
      <x:c r="L246" s="12"/>
      <x:c r="M246" s="12" t="str">
        <x:v>negative</x:v>
      </x:c>
      <x:c r="N246" s="12"/>
      <x:c r="O246" s="12" t="str">
        <x:v>negative</x:v>
      </x:c>
      <x:c r="P246" s="12" t="str">
        <x:f>IF(OR(M246="unavailable",O246="unavailable"),"不可评价",IF(OR(M246="equivocal",O246="equivocal"),"疑似",IF(AND(M246="positive",O246="positive"),"a",IF(O246="positive","b",IF(M246="positive","c","d")))))</x:f>
        <x:v>d</x:v>
      </x:c>
      <x:c r="Q246" s="12"/>
      <x:c r="R246" s="12" t="str">
        <x:v>negative</x:v>
      </x:c>
      <x:c r="S246" s="12"/>
      <x:c r="T246" s="12" t="str">
        <x:v>negative</x:v>
      </x:c>
      <x:c r="U246" s="12" t="str">
        <x:f>IF(OR(R246="unavailable",T246="unavailable"),"不可评价",IF(OR(R246="equivocal",T246="equivocal"),"疑似",IF(AND(R246="positive",T246="positive"),"a",IF(T246="positive","b",IF(R246="positive","c","d")))))</x:f>
        <x:v>d</x:v>
      </x:c>
      <x:c r="V246" s="12"/>
      <x:c r="W246" s="12" t="str">
        <x:v>negative</x:v>
      </x:c>
      <x:c r="X246" s="12"/>
      <x:c r="Y246" s="12" t="str">
        <x:v>negative</x:v>
      </x:c>
      <x:c r="Z246" s="12" t="str">
        <x:f>IF(OR(W246="unavailable",Y246="unavailable"),"不可评价",IF(OR(W246="equivocal",Y246="equivocal"),"疑似",IF(AND(W246="positive",Y246="positive"),"a",IF(Y246="positive","b",IF(W246="positive","c","d")))))</x:f>
        <x:v>d</x:v>
      </x:c>
      <x:c r="AA246" s="12" t="str">
        <x:f>IF(OR(M246="unavailable",O246="unavailable"),"不可评价",IF(AND(OR(M246="positive",M246="equivocal"),OR(O246="positive",O246="equivocal")),"a",IF(OR(O246="positive",O246="equivocal"),"b",IF(OR(M246="positive",M246="equivocal"),"c","d"))))</x:f>
        <x:v>d</x:v>
      </x:c>
      <x:c r="AB246" s="12" t="str">
        <x:f>IF(OR(M246="unavailable",O246="unavailable"),"不可评价",IF(AND(M246="positive",O246="positive"),"a",IF(O246="positive","b",IF(M246="positive","c","d"))))</x:f>
        <x:v>d</x:v>
      </x:c>
      <x:c r="AC246" s="12" t="str">
        <x:f>IF(OR(R246="unavailable",T246="unavailable"),"不可评价",IF(AND(OR(R246="positive",R246="equivocal"),OR(T246="positive",T246="equivocal")),"a",IF(OR(T246="positive",T246="equivocal"),"b",IF(OR(R246="positive",R246="equivocal"),"c","d"))))</x:f>
        <x:v>d</x:v>
      </x:c>
      <x:c r="AD246" s="12" t="str">
        <x:f>IF(OR(R246="unavailable",T246="unavailable"),"不可评价",IF(AND(R246="positive",T246="positive"),"a",IF(T246="positive","b",IF(R246="positive","c","d"))))</x:f>
        <x:v>d</x:v>
      </x:c>
      <x:c r="AE246" s="12" t="str">
        <x:f>IF(OR(W246="unavailable",Y246="unavailable"),"不可评价",IF(AND(OR(W246="positive",W246="equivocal"),OR(Y246="positive",Y246="equivocal")),"a",IF(OR(Y246="positive",Y246="equivocal"),"b",IF(OR(W246="positive",W246="equivocal"),"c","d"))))</x:f>
        <x:v>d</x:v>
      </x:c>
      <x:c r="AF246" s="12" t="str">
        <x:f>IF(OR(W246="unavailable",Y246="unavailable"),"不可评价",IF(AND(W246="positive",Y246="positive"),"a",IF(Y246="positive","b",IF(W246="positive","c","d"))))</x:f>
        <x:v>d</x:v>
      </x:c>
    </x:row>
    <x:row r="247" ht="24" customHeight="1">
      <x:c r="A247" s="12" t="str">
        <x:v>1958</x:v>
      </x:c>
      <x:c r="B247" s="12" t="str">
        <x:v>7843</x:v>
      </x:c>
      <x:c r="C247" s="21" t="n">
        <x:v>32346.63869212963</x:v>
      </x:c>
      <x:c r="D247" s="12" t="n">
        <x:v>76</x:v>
      </x:c>
      <x:c r="E247" s="12" t="n">
        <x:v>1</x:v>
      </x:c>
      <x:c r="F247" s="12" t="str">
        <x:v>未记录</x:v>
      </x:c>
      <x:c r="G247" s="12" t="n">
        <x:v>1</x:v>
      </x:c>
      <x:c r="H247" s="12" t="str">
        <x:v>{'NORM': 100.0, 'SR': 0.0}</x:v>
      </x:c>
      <x:c r="I247" s="12" t="str">
        <x:v>[('NSR', 100.0), ('NML', 100.0)]</x:v>
      </x:c>
      <x:c r="J247" s="12" t="str">
        <x:v>ptbxl_database.csv；ecg_id=1958；scp_codes</x:v>
      </x:c>
      <x:c r="K247" s="12" t="str">
        <x:v>12sl_statements.csv；ecg_id=1958；statements_ext_snomed</x:v>
      </x:c>
      <x:c r="L247" s="12"/>
      <x:c r="M247" s="12" t="str">
        <x:v>negative</x:v>
      </x:c>
      <x:c r="N247" s="12"/>
      <x:c r="O247" s="12" t="str">
        <x:v>negative</x:v>
      </x:c>
      <x:c r="P247" s="12" t="str">
        <x:f>IF(OR(M247="unavailable",O247="unavailable"),"不可评价",IF(OR(M247="equivocal",O247="equivocal"),"疑似",IF(AND(M247="positive",O247="positive"),"a",IF(O247="positive","b",IF(M247="positive","c","d")))))</x:f>
        <x:v>d</x:v>
      </x:c>
      <x:c r="Q247" s="12"/>
      <x:c r="R247" s="12" t="str">
        <x:v>negative</x:v>
      </x:c>
      <x:c r="S247" s="12"/>
      <x:c r="T247" s="12" t="str">
        <x:v>negative</x:v>
      </x:c>
      <x:c r="U247" s="12" t="str">
        <x:f>IF(OR(R247="unavailable",T247="unavailable"),"不可评价",IF(OR(R247="equivocal",T247="equivocal"),"疑似",IF(AND(R247="positive",T247="positive"),"a",IF(T247="positive","b",IF(R247="positive","c","d")))))</x:f>
        <x:v>d</x:v>
      </x:c>
      <x:c r="V247" s="12"/>
      <x:c r="W247" s="12" t="str">
        <x:v>negative</x:v>
      </x:c>
      <x:c r="X247" s="12"/>
      <x:c r="Y247" s="12" t="str">
        <x:v>negative</x:v>
      </x:c>
      <x:c r="Z247" s="12" t="str">
        <x:f>IF(OR(W247="unavailable",Y247="unavailable"),"不可评价",IF(OR(W247="equivocal",Y247="equivocal"),"疑似",IF(AND(W247="positive",Y247="positive"),"a",IF(Y247="positive","b",IF(W247="positive","c","d")))))</x:f>
        <x:v>d</x:v>
      </x:c>
      <x:c r="AA247" s="12" t="str">
        <x:f>IF(OR(M247="unavailable",O247="unavailable"),"不可评价",IF(AND(OR(M247="positive",M247="equivocal"),OR(O247="positive",O247="equivocal")),"a",IF(OR(O247="positive",O247="equivocal"),"b",IF(OR(M247="positive",M247="equivocal"),"c","d"))))</x:f>
        <x:v>d</x:v>
      </x:c>
      <x:c r="AB247" s="12" t="str">
        <x:f>IF(OR(M247="unavailable",O247="unavailable"),"不可评价",IF(AND(M247="positive",O247="positive"),"a",IF(O247="positive","b",IF(M247="positive","c","d"))))</x:f>
        <x:v>d</x:v>
      </x:c>
      <x:c r="AC247" s="12" t="str">
        <x:f>IF(OR(R247="unavailable",T247="unavailable"),"不可评价",IF(AND(OR(R247="positive",R247="equivocal"),OR(T247="positive",T247="equivocal")),"a",IF(OR(T247="positive",T247="equivocal"),"b",IF(OR(R247="positive",R247="equivocal"),"c","d"))))</x:f>
        <x:v>d</x:v>
      </x:c>
      <x:c r="AD247" s="12" t="str">
        <x:f>IF(OR(R247="unavailable",T247="unavailable"),"不可评价",IF(AND(R247="positive",T247="positive"),"a",IF(T247="positive","b",IF(R247="positive","c","d"))))</x:f>
        <x:v>d</x:v>
      </x:c>
      <x:c r="AE247" s="12" t="str">
        <x:f>IF(OR(W247="unavailable",Y247="unavailable"),"不可评价",IF(AND(OR(W247="positive",W247="equivocal"),OR(Y247="positive",Y247="equivocal")),"a",IF(OR(Y247="positive",Y247="equivocal"),"b",IF(OR(W247="positive",W247="equivocal"),"c","d"))))</x:f>
        <x:v>d</x:v>
      </x:c>
      <x:c r="AF247" s="12" t="str">
        <x:f>IF(OR(W247="unavailable",Y247="unavailable"),"不可评价",IF(AND(W247="positive",Y247="positive"),"a",IF(Y247="positive","b",IF(W247="positive","c","d"))))</x:f>
        <x:v>d</x:v>
      </x:c>
    </x:row>
    <x:row r="248" ht="39" customHeight="1">
      <x:c r="A248" s="12" t="str">
        <x:v>1961</x:v>
      </x:c>
      <x:c r="B248" s="12" t="str">
        <x:v>4735</x:v>
      </x:c>
      <x:c r="C248" s="21" t="n">
        <x:v>32347.410509259258</x:v>
      </x:c>
      <x:c r="D248" s="12" t="n">
        <x:v>74</x:v>
      </x:c>
      <x:c r="E248" s="12" t="n">
        <x:v>1</x:v>
      </x:c>
      <x:c r="F248" s="12" t="str">
        <x:v>未记录</x:v>
      </x:c>
      <x:c r="G248" s="12" t="n">
        <x:v>1</x:v>
      </x:c>
      <x:c r="H248" s="12" t="str">
        <x:v>{'ASMI': 80.0, 'LVH': 100.0, 'STD_': 0.0, 'SR': 0.0}</x:v>
      </x:c>
      <x:c r="I248" s="12" t="str">
        <x:v>[('SBRAD', 100.0), ('LAE', 50.0), ('LVH2', 100.0), ('2ST', 100.0), ('ASMI;AU', 100.0), ('AB', 100.0)]</x:v>
      </x:c>
      <x:c r="J248" s="12" t="str">
        <x:v>ptbxl_database.csv；ecg_id=1961；scp_codes</x:v>
      </x:c>
      <x:c r="K248" s="12" t="str">
        <x:v>12sl_statements.csv；ecg_id=1961；statements_ext_snomed</x:v>
      </x:c>
      <x:c r="L248" s="12"/>
      <x:c r="M248" s="12" t="str">
        <x:v>negative</x:v>
      </x:c>
      <x:c r="N248" s="12"/>
      <x:c r="O248" s="12" t="str">
        <x:v>negative</x:v>
      </x:c>
      <x:c r="P248" s="12" t="str">
        <x:f>IF(OR(M248="unavailable",O248="unavailable"),"不可评价",IF(OR(M248="equivocal",O248="equivocal"),"疑似",IF(AND(M248="positive",O248="positive"),"a",IF(O248="positive","b",IF(M248="positive","c","d")))))</x:f>
        <x:v>d</x:v>
      </x:c>
      <x:c r="Q248" s="12"/>
      <x:c r="R248" s="12" t="str">
        <x:v>negative</x:v>
      </x:c>
      <x:c r="S248" s="12"/>
      <x:c r="T248" s="12" t="str">
        <x:v>negative</x:v>
      </x:c>
      <x:c r="U248" s="12" t="str">
        <x:f>IF(OR(R248="unavailable",T248="unavailable"),"不可评价",IF(OR(R248="equivocal",T248="equivocal"),"疑似",IF(AND(R248="positive",T248="positive"),"a",IF(T248="positive","b",IF(R248="positive","c","d")))))</x:f>
        <x:v>d</x:v>
      </x:c>
      <x:c r="V248" s="12"/>
      <x:c r="W248" s="12" t="str">
        <x:v>negative</x:v>
      </x:c>
      <x:c r="X248" s="12"/>
      <x:c r="Y248" s="12" t="str">
        <x:v>negative</x:v>
      </x:c>
      <x:c r="Z248" s="12" t="str">
        <x:f>IF(OR(W248="unavailable",Y248="unavailable"),"不可评价",IF(OR(W248="equivocal",Y248="equivocal"),"疑似",IF(AND(W248="positive",Y248="positive"),"a",IF(Y248="positive","b",IF(W248="positive","c","d")))))</x:f>
        <x:v>d</x:v>
      </x:c>
      <x:c r="AA248" s="12" t="str">
        <x:f>IF(OR(M248="unavailable",O248="unavailable"),"不可评价",IF(AND(OR(M248="positive",M248="equivocal"),OR(O248="positive",O248="equivocal")),"a",IF(OR(O248="positive",O248="equivocal"),"b",IF(OR(M248="positive",M248="equivocal"),"c","d"))))</x:f>
        <x:v>d</x:v>
      </x:c>
      <x:c r="AB248" s="12" t="str">
        <x:f>IF(OR(M248="unavailable",O248="unavailable"),"不可评价",IF(AND(M248="positive",O248="positive"),"a",IF(O248="positive","b",IF(M248="positive","c","d"))))</x:f>
        <x:v>d</x:v>
      </x:c>
      <x:c r="AC248" s="12" t="str">
        <x:f>IF(OR(R248="unavailable",T248="unavailable"),"不可评价",IF(AND(OR(R248="positive",R248="equivocal"),OR(T248="positive",T248="equivocal")),"a",IF(OR(T248="positive",T248="equivocal"),"b",IF(OR(R248="positive",R248="equivocal"),"c","d"))))</x:f>
        <x:v>d</x:v>
      </x:c>
      <x:c r="AD248" s="12" t="str">
        <x:f>IF(OR(R248="unavailable",T248="unavailable"),"不可评价",IF(AND(R248="positive",T248="positive"),"a",IF(T248="positive","b",IF(R248="positive","c","d"))))</x:f>
        <x:v>d</x:v>
      </x:c>
      <x:c r="AE248" s="12" t="str">
        <x:f>IF(OR(W248="unavailable",Y248="unavailable"),"不可评价",IF(AND(OR(W248="positive",W248="equivocal"),OR(Y248="positive",Y248="equivocal")),"a",IF(OR(Y248="positive",Y248="equivocal"),"b",IF(OR(W248="positive",W248="equivocal"),"c","d"))))</x:f>
        <x:v>d</x:v>
      </x:c>
      <x:c r="AF248" s="12" t="str">
        <x:f>IF(OR(W248="unavailable",Y248="unavailable"),"不可评价",IF(AND(W248="positive",Y248="positive"),"a",IF(Y248="positive","b",IF(W248="positive","c","d"))))</x:f>
        <x:v>d</x:v>
      </x:c>
    </x:row>
    <x:row r="249" ht="24" customHeight="1">
      <x:c r="A249" s="12" t="str">
        <x:v>1972</x:v>
      </x:c>
      <x:c r="B249" s="12" t="str">
        <x:v>18236</x:v>
      </x:c>
      <x:c r="C249" s="21" t="n">
        <x:v>32348.44675925926</x:v>
      </x:c>
      <x:c r="D249" s="12" t="n">
        <x:v>42</x:v>
      </x:c>
      <x:c r="E249" s="12" t="n">
        <x:v>0</x:v>
      </x:c>
      <x:c r="F249" s="12" t="str">
        <x:v>未记录</x:v>
      </x:c>
      <x:c r="G249" s="12" t="n">
        <x:v>0</x:v>
      </x:c>
      <x:c r="H249" s="12" t="str">
        <x:v>{'NORM': 80.0, 'SR': 0.0}</x:v>
      </x:c>
      <x:c r="I249" s="12" t="str">
        <x:v>[('NSR', 100.0), ('NML', 100.0)]</x:v>
      </x:c>
      <x:c r="J249" s="12" t="str">
        <x:v>ptbxl_database.csv；ecg_id=1972；scp_codes</x:v>
      </x:c>
      <x:c r="K249" s="12" t="str">
        <x:v>12sl_statements.csv；ecg_id=1972；statements_ext_snomed</x:v>
      </x:c>
      <x:c r="L249" s="12"/>
      <x:c r="M249" s="12" t="str">
        <x:v>negative</x:v>
      </x:c>
      <x:c r="N249" s="12"/>
      <x:c r="O249" s="12" t="str">
        <x:v>negative</x:v>
      </x:c>
      <x:c r="P249" s="12" t="str">
        <x:f>IF(OR(M249="unavailable",O249="unavailable"),"不可评价",IF(OR(M249="equivocal",O249="equivocal"),"疑似",IF(AND(M249="positive",O249="positive"),"a",IF(O249="positive","b",IF(M249="positive","c","d")))))</x:f>
        <x:v>d</x:v>
      </x:c>
      <x:c r="Q249" s="12"/>
      <x:c r="R249" s="12" t="str">
        <x:v>negative</x:v>
      </x:c>
      <x:c r="S249" s="12"/>
      <x:c r="T249" s="12" t="str">
        <x:v>negative</x:v>
      </x:c>
      <x:c r="U249" s="12" t="str">
        <x:f>IF(OR(R249="unavailable",T249="unavailable"),"不可评价",IF(OR(R249="equivocal",T249="equivocal"),"疑似",IF(AND(R249="positive",T249="positive"),"a",IF(T249="positive","b",IF(R249="positive","c","d")))))</x:f>
        <x:v>d</x:v>
      </x:c>
      <x:c r="V249" s="12"/>
      <x:c r="W249" s="12" t="str">
        <x:v>negative</x:v>
      </x:c>
      <x:c r="X249" s="12"/>
      <x:c r="Y249" s="12" t="str">
        <x:v>negative</x:v>
      </x:c>
      <x:c r="Z249" s="12" t="str">
        <x:f>IF(OR(W249="unavailable",Y249="unavailable"),"不可评价",IF(OR(W249="equivocal",Y249="equivocal"),"疑似",IF(AND(W249="positive",Y249="positive"),"a",IF(Y249="positive","b",IF(W249="positive","c","d")))))</x:f>
        <x:v>d</x:v>
      </x:c>
      <x:c r="AA249" s="12" t="str">
        <x:f>IF(OR(M249="unavailable",O249="unavailable"),"不可评价",IF(AND(OR(M249="positive",M249="equivocal"),OR(O249="positive",O249="equivocal")),"a",IF(OR(O249="positive",O249="equivocal"),"b",IF(OR(M249="positive",M249="equivocal"),"c","d"))))</x:f>
        <x:v>d</x:v>
      </x:c>
      <x:c r="AB249" s="12" t="str">
        <x:f>IF(OR(M249="unavailable",O249="unavailable"),"不可评价",IF(AND(M249="positive",O249="positive"),"a",IF(O249="positive","b",IF(M249="positive","c","d"))))</x:f>
        <x:v>d</x:v>
      </x:c>
      <x:c r="AC249" s="12" t="str">
        <x:f>IF(OR(R249="unavailable",T249="unavailable"),"不可评价",IF(AND(OR(R249="positive",R249="equivocal"),OR(T249="positive",T249="equivocal")),"a",IF(OR(T249="positive",T249="equivocal"),"b",IF(OR(R249="positive",R249="equivocal"),"c","d"))))</x:f>
        <x:v>d</x:v>
      </x:c>
      <x:c r="AD249" s="12" t="str">
        <x:f>IF(OR(R249="unavailable",T249="unavailable"),"不可评价",IF(AND(R249="positive",T249="positive"),"a",IF(T249="positive","b",IF(R249="positive","c","d"))))</x:f>
        <x:v>d</x:v>
      </x:c>
      <x:c r="AE249" s="12" t="str">
        <x:f>IF(OR(W249="unavailable",Y249="unavailable"),"不可评价",IF(AND(OR(W249="positive",W249="equivocal"),OR(Y249="positive",Y249="equivocal")),"a",IF(OR(Y249="positive",Y249="equivocal"),"b",IF(OR(W249="positive",W249="equivocal"),"c","d"))))</x:f>
        <x:v>d</x:v>
      </x:c>
      <x:c r="AF249" s="12" t="str">
        <x:f>IF(OR(W249="unavailable",Y249="unavailable"),"不可评价",IF(AND(W249="positive",Y249="positive"),"a",IF(Y249="positive","b",IF(W249="positive","c","d"))))</x:f>
        <x:v>d</x:v>
      </x:c>
    </x:row>
    <x:row r="250" ht="24" customHeight="1">
      <x:c r="A250" s="12" t="str">
        <x:v>1988</x:v>
      </x:c>
      <x:c r="B250" s="12" t="str">
        <x:v>2660</x:v>
      </x:c>
      <x:c r="C250" s="21" t="n">
        <x:v>32349.432638888888</x:v>
      </x:c>
      <x:c r="D250" s="12" t="n">
        <x:v>20</x:v>
      </x:c>
      <x:c r="E250" s="12" t="n">
        <x:v>1</x:v>
      </x:c>
      <x:c r="F250" s="12" t="str">
        <x:v>未记录</x:v>
      </x:c>
      <x:c r="G250" s="12" t="n">
        <x:v>1</x:v>
      </x:c>
      <x:c r="H250" s="12" t="str">
        <x:v>{'NORM': 100.0, 'SR': 0.0}</x:v>
      </x:c>
      <x:c r="I250" s="12" t="str">
        <x:v>[('NSR', 100.0), ('BORDE', 100.0)]</x:v>
      </x:c>
      <x:c r="J250" s="12" t="str">
        <x:v>ptbxl_database.csv；ecg_id=1988；scp_codes</x:v>
      </x:c>
      <x:c r="K250" s="12" t="str">
        <x:v>12sl_statements.csv；ecg_id=1988；statements_ext_snomed</x:v>
      </x:c>
      <x:c r="L250" s="12"/>
      <x:c r="M250" s="12" t="str">
        <x:v>negative</x:v>
      </x:c>
      <x:c r="N250" s="12"/>
      <x:c r="O250" s="12" t="str">
        <x:v>negative</x:v>
      </x:c>
      <x:c r="P250" s="12" t="str">
        <x:f>IF(OR(M250="unavailable",O250="unavailable"),"不可评价",IF(OR(M250="equivocal",O250="equivocal"),"疑似",IF(AND(M250="positive",O250="positive"),"a",IF(O250="positive","b",IF(M250="positive","c","d")))))</x:f>
        <x:v>d</x:v>
      </x:c>
      <x:c r="Q250" s="12"/>
      <x:c r="R250" s="12" t="str">
        <x:v>negative</x:v>
      </x:c>
      <x:c r="S250" s="12"/>
      <x:c r="T250" s="12" t="str">
        <x:v>negative</x:v>
      </x:c>
      <x:c r="U250" s="12" t="str">
        <x:f>IF(OR(R250="unavailable",T250="unavailable"),"不可评价",IF(OR(R250="equivocal",T250="equivocal"),"疑似",IF(AND(R250="positive",T250="positive"),"a",IF(T250="positive","b",IF(R250="positive","c","d")))))</x:f>
        <x:v>d</x:v>
      </x:c>
      <x:c r="V250" s="12"/>
      <x:c r="W250" s="12" t="str">
        <x:v>negative</x:v>
      </x:c>
      <x:c r="X250" s="12"/>
      <x:c r="Y250" s="12" t="str">
        <x:v>negative</x:v>
      </x:c>
      <x:c r="Z250" s="12" t="str">
        <x:f>IF(OR(W250="unavailable",Y250="unavailable"),"不可评价",IF(OR(W250="equivocal",Y250="equivocal"),"疑似",IF(AND(W250="positive",Y250="positive"),"a",IF(Y250="positive","b",IF(W250="positive","c","d")))))</x:f>
        <x:v>d</x:v>
      </x:c>
      <x:c r="AA250" s="12" t="str">
        <x:f>IF(OR(M250="unavailable",O250="unavailable"),"不可评价",IF(AND(OR(M250="positive",M250="equivocal"),OR(O250="positive",O250="equivocal")),"a",IF(OR(O250="positive",O250="equivocal"),"b",IF(OR(M250="positive",M250="equivocal"),"c","d"))))</x:f>
        <x:v>d</x:v>
      </x:c>
      <x:c r="AB250" s="12" t="str">
        <x:f>IF(OR(M250="unavailable",O250="unavailable"),"不可评价",IF(AND(M250="positive",O250="positive"),"a",IF(O250="positive","b",IF(M250="positive","c","d"))))</x:f>
        <x:v>d</x:v>
      </x:c>
      <x:c r="AC250" s="12" t="str">
        <x:f>IF(OR(R250="unavailable",T250="unavailable"),"不可评价",IF(AND(OR(R250="positive",R250="equivocal"),OR(T250="positive",T250="equivocal")),"a",IF(OR(T250="positive",T250="equivocal"),"b",IF(OR(R250="positive",R250="equivocal"),"c","d"))))</x:f>
        <x:v>d</x:v>
      </x:c>
      <x:c r="AD250" s="12" t="str">
        <x:f>IF(OR(R250="unavailable",T250="unavailable"),"不可评价",IF(AND(R250="positive",T250="positive"),"a",IF(T250="positive","b",IF(R250="positive","c","d"))))</x:f>
        <x:v>d</x:v>
      </x:c>
      <x:c r="AE250" s="12" t="str">
        <x:f>IF(OR(W250="unavailable",Y250="unavailable"),"不可评价",IF(AND(OR(W250="positive",W250="equivocal"),OR(Y250="positive",Y250="equivocal")),"a",IF(OR(Y250="positive",Y250="equivocal"),"b",IF(OR(W250="positive",W250="equivocal"),"c","d"))))</x:f>
        <x:v>d</x:v>
      </x:c>
      <x:c r="AF250" s="12" t="str">
        <x:f>IF(OR(W250="unavailable",Y250="unavailable"),"不可评价",IF(AND(W250="positive",Y250="positive"),"a",IF(Y250="positive","b",IF(W250="positive","c","d"))))</x:f>
        <x:v>d</x:v>
      </x:c>
    </x:row>
    <x:row r="251" ht="24" customHeight="1">
      <x:c r="A251" s="12" t="str">
        <x:v>1993</x:v>
      </x:c>
      <x:c r="B251" s="12" t="str">
        <x:v>7593</x:v>
      </x:c>
      <x:c r="C251" s="21" t="n">
        <x:v>32349.7290625</x:v>
      </x:c>
      <x:c r="D251" s="12" t="n">
        <x:v>73</x:v>
      </x:c>
      <x:c r="E251" s="12" t="n">
        <x:v>0</x:v>
      </x:c>
      <x:c r="F251" s="12" t="str">
        <x:v>未记录</x:v>
      </x:c>
      <x:c r="G251" s="12" t="n">
        <x:v>1</x:v>
      </x:c>
      <x:c r="H251" s="12" t="str">
        <x:v>{'NORM': 80.0, 'PVC': 100.0, 'SR': 0.0}</x:v>
      </x:c>
      <x:c r="I251" s="12" t="str">
        <x:v>[('SRTH', 100.0), ('PVC', 100.0), ('BORDE', 100.0)]</x:v>
      </x:c>
      <x:c r="J251" s="12" t="str">
        <x:v>ptbxl_database.csv；ecg_id=1993；scp_codes</x:v>
      </x:c>
      <x:c r="K251" s="12" t="str">
        <x:v>12sl_statements.csv；ecg_id=1993；statements_ext_snomed</x:v>
      </x:c>
      <x:c r="L251" s="12"/>
      <x:c r="M251" s="12" t="str">
        <x:v>negative</x:v>
      </x:c>
      <x:c r="N251" s="12"/>
      <x:c r="O251" s="12" t="str">
        <x:v>negative</x:v>
      </x:c>
      <x:c r="P251" s="12" t="str">
        <x:f>IF(OR(M251="unavailable",O251="unavailable"),"不可评价",IF(OR(M251="equivocal",O251="equivocal"),"疑似",IF(AND(M251="positive",O251="positive"),"a",IF(O251="positive","b",IF(M251="positive","c","d")))))</x:f>
        <x:v>d</x:v>
      </x:c>
      <x:c r="Q251" s="12"/>
      <x:c r="R251" s="12" t="str">
        <x:v>negative</x:v>
      </x:c>
      <x:c r="S251" s="12"/>
      <x:c r="T251" s="12" t="str">
        <x:v>negative</x:v>
      </x:c>
      <x:c r="U251" s="12" t="str">
        <x:f>IF(OR(R251="unavailable",T251="unavailable"),"不可评价",IF(OR(R251="equivocal",T251="equivocal"),"疑似",IF(AND(R251="positive",T251="positive"),"a",IF(T251="positive","b",IF(R251="positive","c","d")))))</x:f>
        <x:v>d</x:v>
      </x:c>
      <x:c r="V251" s="12"/>
      <x:c r="W251" s="12" t="str">
        <x:v>negative</x:v>
      </x:c>
      <x:c r="X251" s="12"/>
      <x:c r="Y251" s="12" t="str">
        <x:v>negative</x:v>
      </x:c>
      <x:c r="Z251" s="12" t="str">
        <x:f>IF(OR(W251="unavailable",Y251="unavailable"),"不可评价",IF(OR(W251="equivocal",Y251="equivocal"),"疑似",IF(AND(W251="positive",Y251="positive"),"a",IF(Y251="positive","b",IF(W251="positive","c","d")))))</x:f>
        <x:v>d</x:v>
      </x:c>
      <x:c r="AA251" s="12" t="str">
        <x:f>IF(OR(M251="unavailable",O251="unavailable"),"不可评价",IF(AND(OR(M251="positive",M251="equivocal"),OR(O251="positive",O251="equivocal")),"a",IF(OR(O251="positive",O251="equivocal"),"b",IF(OR(M251="positive",M251="equivocal"),"c","d"))))</x:f>
        <x:v>d</x:v>
      </x:c>
      <x:c r="AB251" s="12" t="str">
        <x:f>IF(OR(M251="unavailable",O251="unavailable"),"不可评价",IF(AND(M251="positive",O251="positive"),"a",IF(O251="positive","b",IF(M251="positive","c","d"))))</x:f>
        <x:v>d</x:v>
      </x:c>
      <x:c r="AC251" s="12" t="str">
        <x:f>IF(OR(R251="unavailable",T251="unavailable"),"不可评价",IF(AND(OR(R251="positive",R251="equivocal"),OR(T251="positive",T251="equivocal")),"a",IF(OR(T251="positive",T251="equivocal"),"b",IF(OR(R251="positive",R251="equivocal"),"c","d"))))</x:f>
        <x:v>d</x:v>
      </x:c>
      <x:c r="AD251" s="12" t="str">
        <x:f>IF(OR(R251="unavailable",T251="unavailable"),"不可评价",IF(AND(R251="positive",T251="positive"),"a",IF(T251="positive","b",IF(R251="positive","c","d"))))</x:f>
        <x:v>d</x:v>
      </x:c>
      <x:c r="AE251" s="12" t="str">
        <x:f>IF(OR(W251="unavailable",Y251="unavailable"),"不可评价",IF(AND(OR(W251="positive",W251="equivocal"),OR(Y251="positive",Y251="equivocal")),"a",IF(OR(Y251="positive",Y251="equivocal"),"b",IF(OR(W251="positive",W251="equivocal"),"c","d"))))</x:f>
        <x:v>d</x:v>
      </x:c>
      <x:c r="AF251" s="12" t="str">
        <x:f>IF(OR(W251="unavailable",Y251="unavailable"),"不可评价",IF(AND(W251="positive",Y251="positive"),"a",IF(Y251="positive","b",IF(W251="positive","c","d"))))</x:f>
        <x:v>d</x:v>
      </x:c>
    </x:row>
    <x:row r="252" ht="24" customHeight="1">
      <x:c r="A252" s="12" t="str">
        <x:v>1994</x:v>
      </x:c>
      <x:c r="B252" s="12" t="str">
        <x:v>15633</x:v>
      </x:c>
      <x:c r="C252" s="21" t="n">
        <x:v>32351.652858796297</x:v>
      </x:c>
      <x:c r="D252" s="12" t="n">
        <x:v>44</x:v>
      </x:c>
      <x:c r="E252" s="12" t="n">
        <x:v>0</x:v>
      </x:c>
      <x:c r="F252" s="12" t="str">
        <x:v>未记录</x:v>
      </x:c>
      <x:c r="G252" s="12" t="n">
        <x:v>1</x:v>
      </x:c>
      <x:c r="H252" s="12" t="str">
        <x:v>{'NST_': 100.0, 'SR': 0.0}</x:v>
      </x:c>
      <x:c r="I252" s="12" t="str">
        <x:v>[('NSR', 100.0), ('NT', 100.0), ('AB', 100.0)]</x:v>
      </x:c>
      <x:c r="J252" s="12" t="str">
        <x:v>ptbxl_database.csv；ecg_id=1994；scp_codes</x:v>
      </x:c>
      <x:c r="K252" s="12" t="str">
        <x:v>12sl_statements.csv；ecg_id=1994；statements_ext_snomed</x:v>
      </x:c>
      <x:c r="L252" s="12"/>
      <x:c r="M252" s="12" t="str">
        <x:v>negative</x:v>
      </x:c>
      <x:c r="N252" s="12"/>
      <x:c r="O252" s="12" t="str">
        <x:v>negative</x:v>
      </x:c>
      <x:c r="P252" s="12" t="str">
        <x:f>IF(OR(M252="unavailable",O252="unavailable"),"不可评价",IF(OR(M252="equivocal",O252="equivocal"),"疑似",IF(AND(M252="positive",O252="positive"),"a",IF(O252="positive","b",IF(M252="positive","c","d")))))</x:f>
        <x:v>d</x:v>
      </x:c>
      <x:c r="Q252" s="12"/>
      <x:c r="R252" s="12" t="str">
        <x:v>negative</x:v>
      </x:c>
      <x:c r="S252" s="12"/>
      <x:c r="T252" s="12" t="str">
        <x:v>negative</x:v>
      </x:c>
      <x:c r="U252" s="12" t="str">
        <x:f>IF(OR(R252="unavailable",T252="unavailable"),"不可评价",IF(OR(R252="equivocal",T252="equivocal"),"疑似",IF(AND(R252="positive",T252="positive"),"a",IF(T252="positive","b",IF(R252="positive","c","d")))))</x:f>
        <x:v>d</x:v>
      </x:c>
      <x:c r="V252" s="12"/>
      <x:c r="W252" s="12" t="str">
        <x:v>negative</x:v>
      </x:c>
      <x:c r="X252" s="12"/>
      <x:c r="Y252" s="12" t="str">
        <x:v>negative</x:v>
      </x:c>
      <x:c r="Z252" s="12" t="str">
        <x:f>IF(OR(W252="unavailable",Y252="unavailable"),"不可评价",IF(OR(W252="equivocal",Y252="equivocal"),"疑似",IF(AND(W252="positive",Y252="positive"),"a",IF(Y252="positive","b",IF(W252="positive","c","d")))))</x:f>
        <x:v>d</x:v>
      </x:c>
      <x:c r="AA252" s="12" t="str">
        <x:f>IF(OR(M252="unavailable",O252="unavailable"),"不可评价",IF(AND(OR(M252="positive",M252="equivocal"),OR(O252="positive",O252="equivocal")),"a",IF(OR(O252="positive",O252="equivocal"),"b",IF(OR(M252="positive",M252="equivocal"),"c","d"))))</x:f>
        <x:v>d</x:v>
      </x:c>
      <x:c r="AB252" s="12" t="str">
        <x:f>IF(OR(M252="unavailable",O252="unavailable"),"不可评价",IF(AND(M252="positive",O252="positive"),"a",IF(O252="positive","b",IF(M252="positive","c","d"))))</x:f>
        <x:v>d</x:v>
      </x:c>
      <x:c r="AC252" s="12" t="str">
        <x:f>IF(OR(R252="unavailable",T252="unavailable"),"不可评价",IF(AND(OR(R252="positive",R252="equivocal"),OR(T252="positive",T252="equivocal")),"a",IF(OR(T252="positive",T252="equivocal"),"b",IF(OR(R252="positive",R252="equivocal"),"c","d"))))</x:f>
        <x:v>d</x:v>
      </x:c>
      <x:c r="AD252" s="12" t="str">
        <x:f>IF(OR(R252="unavailable",T252="unavailable"),"不可评价",IF(AND(R252="positive",T252="positive"),"a",IF(T252="positive","b",IF(R252="positive","c","d"))))</x:f>
        <x:v>d</x:v>
      </x:c>
      <x:c r="AE252" s="12" t="str">
        <x:f>IF(OR(W252="unavailable",Y252="unavailable"),"不可评价",IF(AND(OR(W252="positive",W252="equivocal"),OR(Y252="positive",Y252="equivocal")),"a",IF(OR(Y252="positive",Y252="equivocal"),"b",IF(OR(W252="positive",W252="equivocal"),"c","d"))))</x:f>
        <x:v>d</x:v>
      </x:c>
      <x:c r="AF252" s="12" t="str">
        <x:f>IF(OR(W252="unavailable",Y252="unavailable"),"不可评价",IF(AND(W252="positive",Y252="positive"),"a",IF(Y252="positive","b",IF(W252="positive","c","d"))))</x:f>
        <x:v>d</x:v>
      </x:c>
    </x:row>
    <x:row r="253" ht="24" customHeight="1">
      <x:c r="A253" s="12" t="str">
        <x:v>1998</x:v>
      </x:c>
      <x:c r="B253" s="12" t="str">
        <x:v>318</x:v>
      </x:c>
      <x:c r="C253" s="21" t="n">
        <x:v>32352.386099537038</x:v>
      </x:c>
      <x:c r="D253" s="12" t="n">
        <x:v>78</x:v>
      </x:c>
      <x:c r="E253" s="12" t="n">
        <x:v>0</x:v>
      </x:c>
      <x:c r="F253" s="12" t="str">
        <x:v>未记录</x:v>
      </x:c>
      <x:c r="G253" s="12" t="n">
        <x:v>0</x:v>
      </x:c>
      <x:c r="H253" s="12" t="str">
        <x:v>{'IMI': 50.0, 'IRBBB': 100.0, 'NDT': 100.0, 'SR': 0.0}</x:v>
      </x:c>
      <x:c r="I253" s="12" t="str">
        <x:v>[('NSR', 100.0), ('IMI;AU', 100.0), ('AB', 100.0)]</x:v>
      </x:c>
      <x:c r="J253" s="12" t="str">
        <x:v>ptbxl_database.csv；ecg_id=1998；scp_codes</x:v>
      </x:c>
      <x:c r="K253" s="12" t="str">
        <x:v>12sl_statements.csv；ecg_id=1998；statements_ext_snomed</x:v>
      </x:c>
      <x:c r="L253" s="12"/>
      <x:c r="M253" s="12" t="str">
        <x:v>negative</x:v>
      </x:c>
      <x:c r="N253" s="12"/>
      <x:c r="O253" s="12" t="str">
        <x:v>negative</x:v>
      </x:c>
      <x:c r="P253" s="12" t="str">
        <x:f>IF(OR(M253="unavailable",O253="unavailable"),"不可评价",IF(OR(M253="equivocal",O253="equivocal"),"疑似",IF(AND(M253="positive",O253="positive"),"a",IF(O253="positive","b",IF(M253="positive","c","d")))))</x:f>
        <x:v>d</x:v>
      </x:c>
      <x:c r="Q253" s="12"/>
      <x:c r="R253" s="12" t="str">
        <x:v>negative</x:v>
      </x:c>
      <x:c r="S253" s="12"/>
      <x:c r="T253" s="12" t="str">
        <x:v>negative</x:v>
      </x:c>
      <x:c r="U253" s="12" t="str">
        <x:f>IF(OR(R253="unavailable",T253="unavailable"),"不可评价",IF(OR(R253="equivocal",T253="equivocal"),"疑似",IF(AND(R253="positive",T253="positive"),"a",IF(T253="positive","b",IF(R253="positive","c","d")))))</x:f>
        <x:v>d</x:v>
      </x:c>
      <x:c r="V253" s="12"/>
      <x:c r="W253" s="12" t="str">
        <x:v>negative</x:v>
      </x:c>
      <x:c r="X253" s="12"/>
      <x:c r="Y253" s="12" t="str">
        <x:v>negative</x:v>
      </x:c>
      <x:c r="Z253" s="12" t="str">
        <x:f>IF(OR(W253="unavailable",Y253="unavailable"),"不可评价",IF(OR(W253="equivocal",Y253="equivocal"),"疑似",IF(AND(W253="positive",Y253="positive"),"a",IF(Y253="positive","b",IF(W253="positive","c","d")))))</x:f>
        <x:v>d</x:v>
      </x:c>
      <x:c r="AA253" s="12" t="str">
        <x:f>IF(OR(M253="unavailable",O253="unavailable"),"不可评价",IF(AND(OR(M253="positive",M253="equivocal"),OR(O253="positive",O253="equivocal")),"a",IF(OR(O253="positive",O253="equivocal"),"b",IF(OR(M253="positive",M253="equivocal"),"c","d"))))</x:f>
        <x:v>d</x:v>
      </x:c>
      <x:c r="AB253" s="12" t="str">
        <x:f>IF(OR(M253="unavailable",O253="unavailable"),"不可评价",IF(AND(M253="positive",O253="positive"),"a",IF(O253="positive","b",IF(M253="positive","c","d"))))</x:f>
        <x:v>d</x:v>
      </x:c>
      <x:c r="AC253" s="12" t="str">
        <x:f>IF(OR(R253="unavailable",T253="unavailable"),"不可评价",IF(AND(OR(R253="positive",R253="equivocal"),OR(T253="positive",T253="equivocal")),"a",IF(OR(T253="positive",T253="equivocal"),"b",IF(OR(R253="positive",R253="equivocal"),"c","d"))))</x:f>
        <x:v>d</x:v>
      </x:c>
      <x:c r="AD253" s="12" t="str">
        <x:f>IF(OR(R253="unavailable",T253="unavailable"),"不可评价",IF(AND(R253="positive",T253="positive"),"a",IF(T253="positive","b",IF(R253="positive","c","d"))))</x:f>
        <x:v>d</x:v>
      </x:c>
      <x:c r="AE253" s="12" t="str">
        <x:f>IF(OR(W253="unavailable",Y253="unavailable"),"不可评价",IF(AND(OR(W253="positive",W253="equivocal"),OR(Y253="positive",Y253="equivocal")),"a",IF(OR(Y253="positive",Y253="equivocal"),"b",IF(OR(W253="positive",W253="equivocal"),"c","d"))))</x:f>
        <x:v>d</x:v>
      </x:c>
      <x:c r="AF253" s="12" t="str">
        <x:f>IF(OR(W253="unavailable",Y253="unavailable"),"不可评价",IF(AND(W253="positive",Y253="positive"),"a",IF(Y253="positive","b",IF(W253="positive","c","d"))))</x:f>
        <x:v>d</x:v>
      </x:c>
    </x:row>
    <x:row r="254" ht="39" customHeight="1">
      <x:c r="A254" s="12" t="str">
        <x:v>2019</x:v>
      </x:c>
      <x:c r="B254" s="12" t="str">
        <x:v>4098</x:v>
      </x:c>
      <x:c r="C254" s="21" t="n">
        <x:v>32353.756226851852</x:v>
      </x:c>
      <x:c r="D254" s="12" t="n">
        <x:v>300</x:v>
      </x:c>
      <x:c r="E254" s="12" t="n">
        <x:v>0</x:v>
      </x:c>
      <x:c r="F254" s="12" t="str">
        <x:v>未记录</x:v>
      </x:c>
      <x:c r="G254" s="12" t="n">
        <x:v>1</x:v>
      </x:c>
      <x:c r="H254" s="12" t="str">
        <x:v>{'ASMI': 100.0, 'IRBBB': 100.0, 'LAFB': 100.0, 'PVC': 100.0, 'QWAVE': 0.0, 'SR': 0.0}</x:v>
      </x:c>
      <x:c r="I254" s="12" t="str">
        <x:v>[('UR', 100.0), ('RBBB', 100.0), ('ASMI;AU', 15.0), ('LT', 100.0), ('AB', 100.0)]</x:v>
      </x:c>
      <x:c r="J254" s="12" t="str">
        <x:v>ptbxl_database.csv；ecg_id=2019；scp_codes</x:v>
      </x:c>
      <x:c r="K254" s="12" t="str">
        <x:v>12sl_statements.csv；ecg_id=2019；statements_ext_snomed</x:v>
      </x:c>
      <x:c r="L254" s="12"/>
      <x:c r="M254" s="12" t="str">
        <x:v>negative</x:v>
      </x:c>
      <x:c r="N254" s="12"/>
      <x:c r="O254" s="12" t="str">
        <x:v>negative</x:v>
      </x:c>
      <x:c r="P254" s="12" t="str">
        <x:f>IF(OR(M254="unavailable",O254="unavailable"),"不可评价",IF(OR(M254="equivocal",O254="equivocal"),"疑似",IF(AND(M254="positive",O254="positive"),"a",IF(O254="positive","b",IF(M254="positive","c","d")))))</x:f>
        <x:v>d</x:v>
      </x:c>
      <x:c r="Q254" s="12"/>
      <x:c r="R254" s="12" t="str">
        <x:v>negative</x:v>
      </x:c>
      <x:c r="S254" s="12"/>
      <x:c r="T254" s="12" t="str">
        <x:v>negative</x:v>
      </x:c>
      <x:c r="U254" s="12" t="str">
        <x:f>IF(OR(R254="unavailable",T254="unavailable"),"不可评价",IF(OR(R254="equivocal",T254="equivocal"),"疑似",IF(AND(R254="positive",T254="positive"),"a",IF(T254="positive","b",IF(R254="positive","c","d")))))</x:f>
        <x:v>d</x:v>
      </x:c>
      <x:c r="V254" s="12"/>
      <x:c r="W254" s="12" t="str">
        <x:v>negative</x:v>
      </x:c>
      <x:c r="X254" s="12" t="n">
        <x:v>100</x:v>
      </x:c>
      <x:c r="Y254" s="12" t="str">
        <x:v>positive</x:v>
      </x:c>
      <x:c r="Z254" s="12" t="str">
        <x:f>IF(OR(W254="unavailable",Y254="unavailable"),"不可评价",IF(OR(W254="equivocal",Y254="equivocal"),"疑似",IF(AND(W254="positive",Y254="positive"),"a",IF(Y254="positive","b",IF(W254="positive","c","d")))))</x:f>
        <x:v>b</x:v>
      </x:c>
      <x:c r="AA254" s="12" t="str">
        <x:f>IF(OR(M254="unavailable",O254="unavailable"),"不可评价",IF(AND(OR(M254="positive",M254="equivocal"),OR(O254="positive",O254="equivocal")),"a",IF(OR(O254="positive",O254="equivocal"),"b",IF(OR(M254="positive",M254="equivocal"),"c","d"))))</x:f>
        <x:v>d</x:v>
      </x:c>
      <x:c r="AB254" s="12" t="str">
        <x:f>IF(OR(M254="unavailable",O254="unavailable"),"不可评价",IF(AND(M254="positive",O254="positive"),"a",IF(O254="positive","b",IF(M254="positive","c","d"))))</x:f>
        <x:v>d</x:v>
      </x:c>
      <x:c r="AC254" s="12" t="str">
        <x:f>IF(OR(R254="unavailable",T254="unavailable"),"不可评价",IF(AND(OR(R254="positive",R254="equivocal"),OR(T254="positive",T254="equivocal")),"a",IF(OR(T254="positive",T254="equivocal"),"b",IF(OR(R254="positive",R254="equivocal"),"c","d"))))</x:f>
        <x:v>d</x:v>
      </x:c>
      <x:c r="AD254" s="12" t="str">
        <x:f>IF(OR(R254="unavailable",T254="unavailable"),"不可评价",IF(AND(R254="positive",T254="positive"),"a",IF(T254="positive","b",IF(R254="positive","c","d"))))</x:f>
        <x:v>d</x:v>
      </x:c>
      <x:c r="AE254" s="12" t="str">
        <x:f>IF(OR(W254="unavailable",Y254="unavailable"),"不可评价",IF(AND(OR(W254="positive",W254="equivocal"),OR(Y254="positive",Y254="equivocal")),"a",IF(OR(Y254="positive",Y254="equivocal"),"b",IF(OR(W254="positive",W254="equivocal"),"c","d"))))</x:f>
        <x:v>b</x:v>
      </x:c>
      <x:c r="AF254" s="12" t="str">
        <x:f>IF(OR(W254="unavailable",Y254="unavailable"),"不可评价",IF(AND(W254="positive",Y254="positive"),"a",IF(Y254="positive","b",IF(W254="positive","c","d"))))</x:f>
        <x:v>b</x:v>
      </x:c>
    </x:row>
    <x:row r="255" ht="24" customHeight="1">
      <x:c r="A255" s="12" t="str">
        <x:v>2039</x:v>
      </x:c>
      <x:c r="B255" s="12" t="str">
        <x:v>307</x:v>
      </x:c>
      <x:c r="C255" s="21" t="n">
        <x:v>32355.51931712963</x:v>
      </x:c>
      <x:c r="D255" s="12" t="n">
        <x:v>59</x:v>
      </x:c>
      <x:c r="E255" s="12" t="n">
        <x:v>1</x:v>
      </x:c>
      <x:c r="F255" s="12" t="str">
        <x:v>未记录</x:v>
      </x:c>
      <x:c r="G255" s="12" t="n">
        <x:v>1</x:v>
      </x:c>
      <x:c r="H255" s="12" t="str">
        <x:v>{'NDT': 100.0, 'LOWT': 0.0, 'STACH': 0.0}</x:v>
      </x:c>
      <x:c r="I255" s="12" t="str">
        <x:v>[('STACH', 100.0), ('LOWV', 100.0), ('NSTT', 100.0), ('AB', 100.0)]</x:v>
      </x:c>
      <x:c r="J255" s="12" t="str">
        <x:v>ptbxl_database.csv；ecg_id=2039；scp_codes</x:v>
      </x:c>
      <x:c r="K255" s="12" t="str">
        <x:v>12sl_statements.csv；ecg_id=2039；statements_ext_snomed</x:v>
      </x:c>
      <x:c r="L255" s="12"/>
      <x:c r="M255" s="12" t="str">
        <x:v>negative</x:v>
      </x:c>
      <x:c r="N255" s="12"/>
      <x:c r="O255" s="12" t="str">
        <x:v>negative</x:v>
      </x:c>
      <x:c r="P255" s="12" t="str">
        <x:f>IF(OR(M255="unavailable",O255="unavailable"),"不可评价",IF(OR(M255="equivocal",O255="equivocal"),"疑似",IF(AND(M255="positive",O255="positive"),"a",IF(O255="positive","b",IF(M255="positive","c","d")))))</x:f>
        <x:v>d</x:v>
      </x:c>
      <x:c r="Q255" s="12"/>
      <x:c r="R255" s="12" t="str">
        <x:v>negative</x:v>
      </x:c>
      <x:c r="S255" s="12"/>
      <x:c r="T255" s="12" t="str">
        <x:v>negative</x:v>
      </x:c>
      <x:c r="U255" s="12" t="str">
        <x:f>IF(OR(R255="unavailable",T255="unavailable"),"不可评价",IF(OR(R255="equivocal",T255="equivocal"),"疑似",IF(AND(R255="positive",T255="positive"),"a",IF(T255="positive","b",IF(R255="positive","c","d")))))</x:f>
        <x:v>d</x:v>
      </x:c>
      <x:c r="V255" s="12"/>
      <x:c r="W255" s="12" t="str">
        <x:v>negative</x:v>
      </x:c>
      <x:c r="X255" s="12"/>
      <x:c r="Y255" s="12" t="str">
        <x:v>negative</x:v>
      </x:c>
      <x:c r="Z255" s="12" t="str">
        <x:f>IF(OR(W255="unavailable",Y255="unavailable"),"不可评价",IF(OR(W255="equivocal",Y255="equivocal"),"疑似",IF(AND(W255="positive",Y255="positive"),"a",IF(Y255="positive","b",IF(W255="positive","c","d")))))</x:f>
        <x:v>d</x:v>
      </x:c>
      <x:c r="AA255" s="12" t="str">
        <x:f>IF(OR(M255="unavailable",O255="unavailable"),"不可评价",IF(AND(OR(M255="positive",M255="equivocal"),OR(O255="positive",O255="equivocal")),"a",IF(OR(O255="positive",O255="equivocal"),"b",IF(OR(M255="positive",M255="equivocal"),"c","d"))))</x:f>
        <x:v>d</x:v>
      </x:c>
      <x:c r="AB255" s="12" t="str">
        <x:f>IF(OR(M255="unavailable",O255="unavailable"),"不可评价",IF(AND(M255="positive",O255="positive"),"a",IF(O255="positive","b",IF(M255="positive","c","d"))))</x:f>
        <x:v>d</x:v>
      </x:c>
      <x:c r="AC255" s="12" t="str">
        <x:f>IF(OR(R255="unavailable",T255="unavailable"),"不可评价",IF(AND(OR(R255="positive",R255="equivocal"),OR(T255="positive",T255="equivocal")),"a",IF(OR(T255="positive",T255="equivocal"),"b",IF(OR(R255="positive",R255="equivocal"),"c","d"))))</x:f>
        <x:v>d</x:v>
      </x:c>
      <x:c r="AD255" s="12" t="str">
        <x:f>IF(OR(R255="unavailable",T255="unavailable"),"不可评价",IF(AND(R255="positive",T255="positive"),"a",IF(T255="positive","b",IF(R255="positive","c","d"))))</x:f>
        <x:v>d</x:v>
      </x:c>
      <x:c r="AE255" s="12" t="str">
        <x:f>IF(OR(W255="unavailable",Y255="unavailable"),"不可评价",IF(AND(OR(W255="positive",W255="equivocal"),OR(Y255="positive",Y255="equivocal")),"a",IF(OR(Y255="positive",Y255="equivocal"),"b",IF(OR(W255="positive",W255="equivocal"),"c","d"))))</x:f>
        <x:v>d</x:v>
      </x:c>
      <x:c r="AF255" s="12" t="str">
        <x:f>IF(OR(W255="unavailable",Y255="unavailable"),"不可评价",IF(AND(W255="positive",Y255="positive"),"a",IF(Y255="positive","b",IF(W255="positive","c","d"))))</x:f>
        <x:v>d</x:v>
      </x:c>
    </x:row>
    <x:row r="256" ht="24" customHeight="1">
      <x:c r="A256" s="12" t="str">
        <x:v>2045</x:v>
      </x:c>
      <x:c r="B256" s="12" t="str">
        <x:v>19860</x:v>
      </x:c>
      <x:c r="C256" s="21" t="n">
        <x:v>32356.384421296298</x:v>
      </x:c>
      <x:c r="D256" s="12" t="n">
        <x:v>25</x:v>
      </x:c>
      <x:c r="E256" s="12" t="n">
        <x:v>1</x:v>
      </x:c>
      <x:c r="F256" s="12" t="str">
        <x:v>未记录</x:v>
      </x:c>
      <x:c r="G256" s="12" t="n">
        <x:v>1</x:v>
      </x:c>
      <x:c r="H256" s="12" t="str">
        <x:v>{'NORM': 100.0, 'SR': 0.0}</x:v>
      </x:c>
      <x:c r="I256" s="12" t="str">
        <x:v>[('NSR', 100.0), ('NML', 100.0)]</x:v>
      </x:c>
      <x:c r="J256" s="12" t="str">
        <x:v>ptbxl_database.csv；ecg_id=2045；scp_codes</x:v>
      </x:c>
      <x:c r="K256" s="12" t="str">
        <x:v>12sl_statements.csv；ecg_id=2045；statements_ext_snomed</x:v>
      </x:c>
      <x:c r="L256" s="12"/>
      <x:c r="M256" s="12" t="str">
        <x:v>negative</x:v>
      </x:c>
      <x:c r="N256" s="12"/>
      <x:c r="O256" s="12" t="str">
        <x:v>negative</x:v>
      </x:c>
      <x:c r="P256" s="12" t="str">
        <x:f>IF(OR(M256="unavailable",O256="unavailable"),"不可评价",IF(OR(M256="equivocal",O256="equivocal"),"疑似",IF(AND(M256="positive",O256="positive"),"a",IF(O256="positive","b",IF(M256="positive","c","d")))))</x:f>
        <x:v>d</x:v>
      </x:c>
      <x:c r="Q256" s="12"/>
      <x:c r="R256" s="12" t="str">
        <x:v>negative</x:v>
      </x:c>
      <x:c r="S256" s="12"/>
      <x:c r="T256" s="12" t="str">
        <x:v>negative</x:v>
      </x:c>
      <x:c r="U256" s="12" t="str">
        <x:f>IF(OR(R256="unavailable",T256="unavailable"),"不可评价",IF(OR(R256="equivocal",T256="equivocal"),"疑似",IF(AND(R256="positive",T256="positive"),"a",IF(T256="positive","b",IF(R256="positive","c","d")))))</x:f>
        <x:v>d</x:v>
      </x:c>
      <x:c r="V256" s="12"/>
      <x:c r="W256" s="12" t="str">
        <x:v>negative</x:v>
      </x:c>
      <x:c r="X256" s="12"/>
      <x:c r="Y256" s="12" t="str">
        <x:v>negative</x:v>
      </x:c>
      <x:c r="Z256" s="12" t="str">
        <x:f>IF(OR(W256="unavailable",Y256="unavailable"),"不可评价",IF(OR(W256="equivocal",Y256="equivocal"),"疑似",IF(AND(W256="positive",Y256="positive"),"a",IF(Y256="positive","b",IF(W256="positive","c","d")))))</x:f>
        <x:v>d</x:v>
      </x:c>
      <x:c r="AA256" s="12" t="str">
        <x:f>IF(OR(M256="unavailable",O256="unavailable"),"不可评价",IF(AND(OR(M256="positive",M256="equivocal"),OR(O256="positive",O256="equivocal")),"a",IF(OR(O256="positive",O256="equivocal"),"b",IF(OR(M256="positive",M256="equivocal"),"c","d"))))</x:f>
        <x:v>d</x:v>
      </x:c>
      <x:c r="AB256" s="12" t="str">
        <x:f>IF(OR(M256="unavailable",O256="unavailable"),"不可评价",IF(AND(M256="positive",O256="positive"),"a",IF(O256="positive","b",IF(M256="positive","c","d"))))</x:f>
        <x:v>d</x:v>
      </x:c>
      <x:c r="AC256" s="12" t="str">
        <x:f>IF(OR(R256="unavailable",T256="unavailable"),"不可评价",IF(AND(OR(R256="positive",R256="equivocal"),OR(T256="positive",T256="equivocal")),"a",IF(OR(T256="positive",T256="equivocal"),"b",IF(OR(R256="positive",R256="equivocal"),"c","d"))))</x:f>
        <x:v>d</x:v>
      </x:c>
      <x:c r="AD256" s="12" t="str">
        <x:f>IF(OR(R256="unavailable",T256="unavailable"),"不可评价",IF(AND(R256="positive",T256="positive"),"a",IF(T256="positive","b",IF(R256="positive","c","d"))))</x:f>
        <x:v>d</x:v>
      </x:c>
      <x:c r="AE256" s="12" t="str">
        <x:f>IF(OR(W256="unavailable",Y256="unavailable"),"不可评价",IF(AND(OR(W256="positive",W256="equivocal"),OR(Y256="positive",Y256="equivocal")),"a",IF(OR(Y256="positive",Y256="equivocal"),"b",IF(OR(W256="positive",W256="equivocal"),"c","d"))))</x:f>
        <x:v>d</x:v>
      </x:c>
      <x:c r="AF256" s="12" t="str">
        <x:f>IF(OR(W256="unavailable",Y256="unavailable"),"不可评价",IF(AND(W256="positive",Y256="positive"),"a",IF(Y256="positive","b",IF(W256="positive","c","d"))))</x:f>
        <x:v>d</x:v>
      </x:c>
    </x:row>
    <x:row r="257" ht="24" customHeight="1">
      <x:c r="A257" s="12" t="str">
        <x:v>2050</x:v>
      </x:c>
      <x:c r="B257" s="12" t="str">
        <x:v>307</x:v>
      </x:c>
      <x:c r="C257" s="21" t="n">
        <x:v>32356.46085648148</x:v>
      </x:c>
      <x:c r="D257" s="12" t="n">
        <x:v>59</x:v>
      </x:c>
      <x:c r="E257" s="12" t="n">
        <x:v>1</x:v>
      </x:c>
      <x:c r="F257" s="12" t="str">
        <x:v>未记录</x:v>
      </x:c>
      <x:c r="G257" s="12" t="n">
        <x:v>0</x:v>
      </x:c>
      <x:c r="H257" s="12" t="str">
        <x:v>{'INJAS': 100.0, 'ISCAL': 100.0, 'LOWT': 0.0, 'STD_': 0.0, 'SR': 0.0}</x:v>
      </x:c>
      <x:c r="I257" s="12" t="str">
        <x:v>[('NSR', 100.0), ('LOWV', 100.0), ('ST&amp;', 100.0), ('AT', 100.0), ('AB', 100.0)]</x:v>
      </x:c>
      <x:c r="J257" s="12" t="str">
        <x:v>ptbxl_database.csv；ecg_id=2050；scp_codes</x:v>
      </x:c>
      <x:c r="K257" s="12" t="str">
        <x:v>12sl_statements.csv；ecg_id=2050；statements_ext_snomed</x:v>
      </x:c>
      <x:c r="L257" s="12"/>
      <x:c r="M257" s="12" t="str">
        <x:v>negative</x:v>
      </x:c>
      <x:c r="N257" s="12"/>
      <x:c r="O257" s="12" t="str">
        <x:v>negative</x:v>
      </x:c>
      <x:c r="P257" s="12" t="str">
        <x:f>IF(OR(M257="unavailable",O257="unavailable"),"不可评价",IF(OR(M257="equivocal",O257="equivocal"),"疑似",IF(AND(M257="positive",O257="positive"),"a",IF(O257="positive","b",IF(M257="positive","c","d")))))</x:f>
        <x:v>d</x:v>
      </x:c>
      <x:c r="Q257" s="12"/>
      <x:c r="R257" s="12" t="str">
        <x:v>negative</x:v>
      </x:c>
      <x:c r="S257" s="12"/>
      <x:c r="T257" s="12" t="str">
        <x:v>negative</x:v>
      </x:c>
      <x:c r="U257" s="12" t="str">
        <x:f>IF(OR(R257="unavailable",T257="unavailable"),"不可评价",IF(OR(R257="equivocal",T257="equivocal"),"疑似",IF(AND(R257="positive",T257="positive"),"a",IF(T257="positive","b",IF(R257="positive","c","d")))))</x:f>
        <x:v>d</x:v>
      </x:c>
      <x:c r="V257" s="12"/>
      <x:c r="W257" s="12" t="str">
        <x:v>negative</x:v>
      </x:c>
      <x:c r="X257" s="12"/>
      <x:c r="Y257" s="12" t="str">
        <x:v>negative</x:v>
      </x:c>
      <x:c r="Z257" s="12" t="str">
        <x:f>IF(OR(W257="unavailable",Y257="unavailable"),"不可评价",IF(OR(W257="equivocal",Y257="equivocal"),"疑似",IF(AND(W257="positive",Y257="positive"),"a",IF(Y257="positive","b",IF(W257="positive","c","d")))))</x:f>
        <x:v>d</x:v>
      </x:c>
      <x:c r="AA257" s="12" t="str">
        <x:f>IF(OR(M257="unavailable",O257="unavailable"),"不可评价",IF(AND(OR(M257="positive",M257="equivocal"),OR(O257="positive",O257="equivocal")),"a",IF(OR(O257="positive",O257="equivocal"),"b",IF(OR(M257="positive",M257="equivocal"),"c","d"))))</x:f>
        <x:v>d</x:v>
      </x:c>
      <x:c r="AB257" s="12" t="str">
        <x:f>IF(OR(M257="unavailable",O257="unavailable"),"不可评价",IF(AND(M257="positive",O257="positive"),"a",IF(O257="positive","b",IF(M257="positive","c","d"))))</x:f>
        <x:v>d</x:v>
      </x:c>
      <x:c r="AC257" s="12" t="str">
        <x:f>IF(OR(R257="unavailable",T257="unavailable"),"不可评价",IF(AND(OR(R257="positive",R257="equivocal"),OR(T257="positive",T257="equivocal")),"a",IF(OR(T257="positive",T257="equivocal"),"b",IF(OR(R257="positive",R257="equivocal"),"c","d"))))</x:f>
        <x:v>d</x:v>
      </x:c>
      <x:c r="AD257" s="12" t="str">
        <x:f>IF(OR(R257="unavailable",T257="unavailable"),"不可评价",IF(AND(R257="positive",T257="positive"),"a",IF(T257="positive","b",IF(R257="positive","c","d"))))</x:f>
        <x:v>d</x:v>
      </x:c>
      <x:c r="AE257" s="12" t="str">
        <x:f>IF(OR(W257="unavailable",Y257="unavailable"),"不可评价",IF(AND(OR(W257="positive",W257="equivocal"),OR(Y257="positive",Y257="equivocal")),"a",IF(OR(Y257="positive",Y257="equivocal"),"b",IF(OR(W257="positive",W257="equivocal"),"c","d"))))</x:f>
        <x:v>d</x:v>
      </x:c>
      <x:c r="AF257" s="12" t="str">
        <x:f>IF(OR(W257="unavailable",Y257="unavailable"),"不可评价",IF(AND(W257="positive",Y257="positive"),"a",IF(Y257="positive","b",IF(W257="positive","c","d"))))</x:f>
        <x:v>d</x:v>
      </x:c>
    </x:row>
    <x:row r="258" ht="39" customHeight="1">
      <x:c r="A258" s="12" t="str">
        <x:v>2055</x:v>
      </x:c>
      <x:c r="B258" s="12" t="str">
        <x:v>5056</x:v>
      </x:c>
      <x:c r="C258" s="21" t="n">
        <x:v>32356.573935185184</x:v>
      </x:c>
      <x:c r="D258" s="12" t="n">
        <x:v>70</x:v>
      </x:c>
      <x:c r="E258" s="12" t="n">
        <x:v>1</x:v>
      </x:c>
      <x:c r="F258" s="12" t="str">
        <x:v>未记录</x:v>
      </x:c>
      <x:c r="G258" s="12" t="n">
        <x:v>1</x:v>
      </x:c>
      <x:c r="H258" s="12" t="str">
        <x:v>{'ASMI': 50.0, 'LMI': 50.0, 'ISCIL': 100.0, 'INVT': 0.0, 'STD_': 0.0, 'AFIB': 0.0}</x:v>
      </x:c>
      <x:c r="I258" s="12" t="str">
        <x:v>[('AFIB', 100.0), ('RVR', 100.0), ('AMI;AU', 50.0), ('ST&amp;', 100.0), ('ILT', 100.0), ('AB', 100.0)]</x:v>
      </x:c>
      <x:c r="J258" s="12" t="str">
        <x:v>ptbxl_database.csv；ecg_id=2055；scp_codes</x:v>
      </x:c>
      <x:c r="K258" s="12" t="str">
        <x:v>12sl_statements.csv；ecg_id=2055；statements_ext_snomed</x:v>
      </x:c>
      <x:c r="L258" s="12" t="n">
        <x:v>0</x:v>
      </x:c>
      <x:c r="M258" s="12" t="str">
        <x:v>positive</x:v>
      </x:c>
      <x:c r="N258" s="12" t="n">
        <x:v>100</x:v>
      </x:c>
      <x:c r="O258" s="12" t="str">
        <x:v>positive</x:v>
      </x:c>
      <x:c r="P258" s="12" t="str">
        <x:f>IF(OR(M258="unavailable",O258="unavailable"),"不可评价",IF(OR(M258="equivocal",O258="equivocal"),"疑似",IF(AND(M258="positive",O258="positive"),"a",IF(O258="positive","b",IF(M258="positive","c","d")))))</x:f>
        <x:v>a</x:v>
      </x:c>
      <x:c r="Q258" s="12"/>
      <x:c r="R258" s="12" t="str">
        <x:v>negative</x:v>
      </x:c>
      <x:c r="S258" s="12"/>
      <x:c r="T258" s="12" t="str">
        <x:v>negative</x:v>
      </x:c>
      <x:c r="U258" s="12" t="str">
        <x:f>IF(OR(R258="unavailable",T258="unavailable"),"不可评价",IF(OR(R258="equivocal",T258="equivocal"),"疑似",IF(AND(R258="positive",T258="positive"),"a",IF(T258="positive","b",IF(R258="positive","c","d")))))</x:f>
        <x:v>d</x:v>
      </x:c>
      <x:c r="V258" s="12"/>
      <x:c r="W258" s="12" t="str">
        <x:v>negative</x:v>
      </x:c>
      <x:c r="X258" s="12"/>
      <x:c r="Y258" s="12" t="str">
        <x:v>negative</x:v>
      </x:c>
      <x:c r="Z258" s="12" t="str">
        <x:f>IF(OR(W258="unavailable",Y258="unavailable"),"不可评价",IF(OR(W258="equivocal",Y258="equivocal"),"疑似",IF(AND(W258="positive",Y258="positive"),"a",IF(Y258="positive","b",IF(W258="positive","c","d")))))</x:f>
        <x:v>d</x:v>
      </x:c>
      <x:c r="AA258" s="12" t="str">
        <x:f>IF(OR(M258="unavailable",O258="unavailable"),"不可评价",IF(AND(OR(M258="positive",M258="equivocal"),OR(O258="positive",O258="equivocal")),"a",IF(OR(O258="positive",O258="equivocal"),"b",IF(OR(M258="positive",M258="equivocal"),"c","d"))))</x:f>
        <x:v>a</x:v>
      </x:c>
      <x:c r="AB258" s="12" t="str">
        <x:f>IF(OR(M258="unavailable",O258="unavailable"),"不可评价",IF(AND(M258="positive",O258="positive"),"a",IF(O258="positive","b",IF(M258="positive","c","d"))))</x:f>
        <x:v>a</x:v>
      </x:c>
      <x:c r="AC258" s="12" t="str">
        <x:f>IF(OR(R258="unavailable",T258="unavailable"),"不可评价",IF(AND(OR(R258="positive",R258="equivocal"),OR(T258="positive",T258="equivocal")),"a",IF(OR(T258="positive",T258="equivocal"),"b",IF(OR(R258="positive",R258="equivocal"),"c","d"))))</x:f>
        <x:v>d</x:v>
      </x:c>
      <x:c r="AD258" s="12" t="str">
        <x:f>IF(OR(R258="unavailable",T258="unavailable"),"不可评价",IF(AND(R258="positive",T258="positive"),"a",IF(T258="positive","b",IF(R258="positive","c","d"))))</x:f>
        <x:v>d</x:v>
      </x:c>
      <x:c r="AE258" s="12" t="str">
        <x:f>IF(OR(W258="unavailable",Y258="unavailable"),"不可评价",IF(AND(OR(W258="positive",W258="equivocal"),OR(Y258="positive",Y258="equivocal")),"a",IF(OR(Y258="positive",Y258="equivocal"),"b",IF(OR(W258="positive",W258="equivocal"),"c","d"))))</x:f>
        <x:v>d</x:v>
      </x:c>
      <x:c r="AF258" s="12" t="str">
        <x:f>IF(OR(W258="unavailable",Y258="unavailable"),"不可评价",IF(AND(W258="positive",Y258="positive"),"a",IF(Y258="positive","b",IF(W258="positive","c","d"))))</x:f>
        <x:v>d</x:v>
      </x:c>
    </x:row>
    <x:row r="259" ht="24" customHeight="1">
      <x:c r="A259" s="12" t="str">
        <x:v>2064</x:v>
      </x:c>
      <x:c r="B259" s="12" t="str">
        <x:v>307</x:v>
      </x:c>
      <x:c r="C259" s="21" t="n">
        <x:v>32359.468217592592</x:v>
      </x:c>
      <x:c r="D259" s="12" t="n">
        <x:v>59</x:v>
      </x:c>
      <x:c r="E259" s="12" t="n">
        <x:v>1</x:v>
      </x:c>
      <x:c r="F259" s="12" t="str">
        <x:v>未记录</x:v>
      </x:c>
      <x:c r="G259" s="12" t="n">
        <x:v>0</x:v>
      </x:c>
      <x:c r="H259" s="12" t="str">
        <x:v>{'ISC_': 100.0, 'SR': 0.0}</x:v>
      </x:c>
      <x:c r="I259" s="12" t="str">
        <x:v>[('NSR', 100.0), ('LOWV', 100.0), ('AMI;AU', 15.0), ('AB', 100.0)]</x:v>
      </x:c>
      <x:c r="J259" s="12" t="str">
        <x:v>ptbxl_database.csv；ecg_id=2064；scp_codes</x:v>
      </x:c>
      <x:c r="K259" s="12" t="str">
        <x:v>12sl_statements.csv；ecg_id=2064；statements_ext_snomed</x:v>
      </x:c>
      <x:c r="L259" s="12"/>
      <x:c r="M259" s="12" t="str">
        <x:v>negative</x:v>
      </x:c>
      <x:c r="N259" s="12"/>
      <x:c r="O259" s="12" t="str">
        <x:v>negative</x:v>
      </x:c>
      <x:c r="P259" s="12" t="str">
        <x:f>IF(OR(M259="unavailable",O259="unavailable"),"不可评价",IF(OR(M259="equivocal",O259="equivocal"),"疑似",IF(AND(M259="positive",O259="positive"),"a",IF(O259="positive","b",IF(M259="positive","c","d")))))</x:f>
        <x:v>d</x:v>
      </x:c>
      <x:c r="Q259" s="12"/>
      <x:c r="R259" s="12" t="str">
        <x:v>negative</x:v>
      </x:c>
      <x:c r="S259" s="12"/>
      <x:c r="T259" s="12" t="str">
        <x:v>negative</x:v>
      </x:c>
      <x:c r="U259" s="12" t="str">
        <x:f>IF(OR(R259="unavailable",T259="unavailable"),"不可评价",IF(OR(R259="equivocal",T259="equivocal"),"疑似",IF(AND(R259="positive",T259="positive"),"a",IF(T259="positive","b",IF(R259="positive","c","d")))))</x:f>
        <x:v>d</x:v>
      </x:c>
      <x:c r="V259" s="12"/>
      <x:c r="W259" s="12" t="str">
        <x:v>negative</x:v>
      </x:c>
      <x:c r="X259" s="12"/>
      <x:c r="Y259" s="12" t="str">
        <x:v>negative</x:v>
      </x:c>
      <x:c r="Z259" s="12" t="str">
        <x:f>IF(OR(W259="unavailable",Y259="unavailable"),"不可评价",IF(OR(W259="equivocal",Y259="equivocal"),"疑似",IF(AND(W259="positive",Y259="positive"),"a",IF(Y259="positive","b",IF(W259="positive","c","d")))))</x:f>
        <x:v>d</x:v>
      </x:c>
      <x:c r="AA259" s="12" t="str">
        <x:f>IF(OR(M259="unavailable",O259="unavailable"),"不可评价",IF(AND(OR(M259="positive",M259="equivocal"),OR(O259="positive",O259="equivocal")),"a",IF(OR(O259="positive",O259="equivocal"),"b",IF(OR(M259="positive",M259="equivocal"),"c","d"))))</x:f>
        <x:v>d</x:v>
      </x:c>
      <x:c r="AB259" s="12" t="str">
        <x:f>IF(OR(M259="unavailable",O259="unavailable"),"不可评价",IF(AND(M259="positive",O259="positive"),"a",IF(O259="positive","b",IF(M259="positive","c","d"))))</x:f>
        <x:v>d</x:v>
      </x:c>
      <x:c r="AC259" s="12" t="str">
        <x:f>IF(OR(R259="unavailable",T259="unavailable"),"不可评价",IF(AND(OR(R259="positive",R259="equivocal"),OR(T259="positive",T259="equivocal")),"a",IF(OR(T259="positive",T259="equivocal"),"b",IF(OR(R259="positive",R259="equivocal"),"c","d"))))</x:f>
        <x:v>d</x:v>
      </x:c>
      <x:c r="AD259" s="12" t="str">
        <x:f>IF(OR(R259="unavailable",T259="unavailable"),"不可评价",IF(AND(R259="positive",T259="positive"),"a",IF(T259="positive","b",IF(R259="positive","c","d"))))</x:f>
        <x:v>d</x:v>
      </x:c>
      <x:c r="AE259" s="12" t="str">
        <x:f>IF(OR(W259="unavailable",Y259="unavailable"),"不可评价",IF(AND(OR(W259="positive",W259="equivocal"),OR(Y259="positive",Y259="equivocal")),"a",IF(OR(Y259="positive",Y259="equivocal"),"b",IF(OR(W259="positive",W259="equivocal"),"c","d"))))</x:f>
        <x:v>d</x:v>
      </x:c>
      <x:c r="AF259" s="12" t="str">
        <x:f>IF(OR(W259="unavailable",Y259="unavailable"),"不可评价",IF(AND(W259="positive",Y259="positive"),"a",IF(Y259="positive","b",IF(W259="positive","c","d"))))</x:f>
        <x:v>d</x:v>
      </x:c>
    </x:row>
    <x:row r="260" ht="24" customHeight="1">
      <x:c r="A260" s="12" t="str">
        <x:v>2083</x:v>
      </x:c>
      <x:c r="B260" s="12" t="str">
        <x:v>5861</x:v>
      </x:c>
      <x:c r="C260" s="21" t="n">
        <x:v>32360.580763888887</x:v>
      </x:c>
      <x:c r="D260" s="12" t="n">
        <x:v>44</x:v>
      </x:c>
      <x:c r="E260" s="12" t="n">
        <x:v>1</x:v>
      </x:c>
      <x:c r="F260" s="12" t="str">
        <x:v>未记录</x:v>
      </x:c>
      <x:c r="G260" s="12" t="n">
        <x:v>1</x:v>
      </x:c>
      <x:c r="H260" s="12" t="str">
        <x:v>{'NORM': 100.0, 'SR': 0.0}</x:v>
      </x:c>
      <x:c r="I260" s="12" t="str">
        <x:v>[('NSR', 100.0), ('NML', 100.0)]</x:v>
      </x:c>
      <x:c r="J260" s="12" t="str">
        <x:v>ptbxl_database.csv；ecg_id=2083；scp_codes</x:v>
      </x:c>
      <x:c r="K260" s="12" t="str">
        <x:v>12sl_statements.csv；ecg_id=2083；statements_ext_snomed</x:v>
      </x:c>
      <x:c r="L260" s="12"/>
      <x:c r="M260" s="12" t="str">
        <x:v>negative</x:v>
      </x:c>
      <x:c r="N260" s="12"/>
      <x:c r="O260" s="12" t="str">
        <x:v>negative</x:v>
      </x:c>
      <x:c r="P260" s="12" t="str">
        <x:f>IF(OR(M260="unavailable",O260="unavailable"),"不可评价",IF(OR(M260="equivocal",O260="equivocal"),"疑似",IF(AND(M260="positive",O260="positive"),"a",IF(O260="positive","b",IF(M260="positive","c","d")))))</x:f>
        <x:v>d</x:v>
      </x:c>
      <x:c r="Q260" s="12"/>
      <x:c r="R260" s="12" t="str">
        <x:v>negative</x:v>
      </x:c>
      <x:c r="S260" s="12"/>
      <x:c r="T260" s="12" t="str">
        <x:v>negative</x:v>
      </x:c>
      <x:c r="U260" s="12" t="str">
        <x:f>IF(OR(R260="unavailable",T260="unavailable"),"不可评价",IF(OR(R260="equivocal",T260="equivocal"),"疑似",IF(AND(R260="positive",T260="positive"),"a",IF(T260="positive","b",IF(R260="positive","c","d")))))</x:f>
        <x:v>d</x:v>
      </x:c>
      <x:c r="V260" s="12"/>
      <x:c r="W260" s="12" t="str">
        <x:v>negative</x:v>
      </x:c>
      <x:c r="X260" s="12"/>
      <x:c r="Y260" s="12" t="str">
        <x:v>negative</x:v>
      </x:c>
      <x:c r="Z260" s="12" t="str">
        <x:f>IF(OR(W260="unavailable",Y260="unavailable"),"不可评价",IF(OR(W260="equivocal",Y260="equivocal"),"疑似",IF(AND(W260="positive",Y260="positive"),"a",IF(Y260="positive","b",IF(W260="positive","c","d")))))</x:f>
        <x:v>d</x:v>
      </x:c>
      <x:c r="AA260" s="12" t="str">
        <x:f>IF(OR(M260="unavailable",O260="unavailable"),"不可评价",IF(AND(OR(M260="positive",M260="equivocal"),OR(O260="positive",O260="equivocal")),"a",IF(OR(O260="positive",O260="equivocal"),"b",IF(OR(M260="positive",M260="equivocal"),"c","d"))))</x:f>
        <x:v>d</x:v>
      </x:c>
      <x:c r="AB260" s="12" t="str">
        <x:f>IF(OR(M260="unavailable",O260="unavailable"),"不可评价",IF(AND(M260="positive",O260="positive"),"a",IF(O260="positive","b",IF(M260="positive","c","d"))))</x:f>
        <x:v>d</x:v>
      </x:c>
      <x:c r="AC260" s="12" t="str">
        <x:f>IF(OR(R260="unavailable",T260="unavailable"),"不可评价",IF(AND(OR(R260="positive",R260="equivocal"),OR(T260="positive",T260="equivocal")),"a",IF(OR(T260="positive",T260="equivocal"),"b",IF(OR(R260="positive",R260="equivocal"),"c","d"))))</x:f>
        <x:v>d</x:v>
      </x:c>
      <x:c r="AD260" s="12" t="str">
        <x:f>IF(OR(R260="unavailable",T260="unavailable"),"不可评价",IF(AND(R260="positive",T260="positive"),"a",IF(T260="positive","b",IF(R260="positive","c","d"))))</x:f>
        <x:v>d</x:v>
      </x:c>
      <x:c r="AE260" s="12" t="str">
        <x:f>IF(OR(W260="unavailable",Y260="unavailable"),"不可评价",IF(AND(OR(W260="positive",W260="equivocal"),OR(Y260="positive",Y260="equivocal")),"a",IF(OR(Y260="positive",Y260="equivocal"),"b",IF(OR(W260="positive",W260="equivocal"),"c","d"))))</x:f>
        <x:v>d</x:v>
      </x:c>
      <x:c r="AF260" s="12" t="str">
        <x:f>IF(OR(W260="unavailable",Y260="unavailable"),"不可评价",IF(AND(W260="positive",Y260="positive"),"a",IF(Y260="positive","b",IF(W260="positive","c","d"))))</x:f>
        <x:v>d</x:v>
      </x:c>
    </x:row>
    <x:row r="261" ht="24" customHeight="1">
      <x:c r="A261" s="12" t="str">
        <x:v>2101</x:v>
      </x:c>
      <x:c r="B261" s="12" t="str">
        <x:v>2726</x:v>
      </x:c>
      <x:c r="C261" s="21" t="n">
        <x:v>32361.719710648147</x:v>
      </x:c>
      <x:c r="D261" s="12" t="n">
        <x:v>64</x:v>
      </x:c>
      <x:c r="E261" s="12" t="n">
        <x:v>1</x:v>
      </x:c>
      <x:c r="F261" s="12" t="str">
        <x:v>未记录</x:v>
      </x:c>
      <x:c r="G261" s="12" t="n">
        <x:v>1</x:v>
      </x:c>
      <x:c r="H261" s="12" t="str">
        <x:v>{'ISCAL': 100.0, 'STD_': 0.0, 'SR': 0.0}</x:v>
      </x:c>
      <x:c r="I261" s="12" t="str">
        <x:v>[('NSR', 100.0), ('SMI;AU', 100.0), ('AB', 100.0)]</x:v>
      </x:c>
      <x:c r="J261" s="12" t="str">
        <x:v>ptbxl_database.csv；ecg_id=2101；scp_codes</x:v>
      </x:c>
      <x:c r="K261" s="12" t="str">
        <x:v>12sl_statements.csv；ecg_id=2101；statements_ext_snomed</x:v>
      </x:c>
      <x:c r="L261" s="12"/>
      <x:c r="M261" s="12" t="str">
        <x:v>negative</x:v>
      </x:c>
      <x:c r="N261" s="12"/>
      <x:c r="O261" s="12" t="str">
        <x:v>negative</x:v>
      </x:c>
      <x:c r="P261" s="12" t="str">
        <x:f>IF(OR(M261="unavailable",O261="unavailable"),"不可评价",IF(OR(M261="equivocal",O261="equivocal"),"疑似",IF(AND(M261="positive",O261="positive"),"a",IF(O261="positive","b",IF(M261="positive","c","d")))))</x:f>
        <x:v>d</x:v>
      </x:c>
      <x:c r="Q261" s="12"/>
      <x:c r="R261" s="12" t="str">
        <x:v>negative</x:v>
      </x:c>
      <x:c r="S261" s="12"/>
      <x:c r="T261" s="12" t="str">
        <x:v>negative</x:v>
      </x:c>
      <x:c r="U261" s="12" t="str">
        <x:f>IF(OR(R261="unavailable",T261="unavailable"),"不可评价",IF(OR(R261="equivocal",T261="equivocal"),"疑似",IF(AND(R261="positive",T261="positive"),"a",IF(T261="positive","b",IF(R261="positive","c","d")))))</x:f>
        <x:v>d</x:v>
      </x:c>
      <x:c r="V261" s="12"/>
      <x:c r="W261" s="12" t="str">
        <x:v>negative</x:v>
      </x:c>
      <x:c r="X261" s="12"/>
      <x:c r="Y261" s="12" t="str">
        <x:v>negative</x:v>
      </x:c>
      <x:c r="Z261" s="12" t="str">
        <x:f>IF(OR(W261="unavailable",Y261="unavailable"),"不可评价",IF(OR(W261="equivocal",Y261="equivocal"),"疑似",IF(AND(W261="positive",Y261="positive"),"a",IF(Y261="positive","b",IF(W261="positive","c","d")))))</x:f>
        <x:v>d</x:v>
      </x:c>
      <x:c r="AA261" s="12" t="str">
        <x:f>IF(OR(M261="unavailable",O261="unavailable"),"不可评价",IF(AND(OR(M261="positive",M261="equivocal"),OR(O261="positive",O261="equivocal")),"a",IF(OR(O261="positive",O261="equivocal"),"b",IF(OR(M261="positive",M261="equivocal"),"c","d"))))</x:f>
        <x:v>d</x:v>
      </x:c>
      <x:c r="AB261" s="12" t="str">
        <x:f>IF(OR(M261="unavailable",O261="unavailable"),"不可评价",IF(AND(M261="positive",O261="positive"),"a",IF(O261="positive","b",IF(M261="positive","c","d"))))</x:f>
        <x:v>d</x:v>
      </x:c>
      <x:c r="AC261" s="12" t="str">
        <x:f>IF(OR(R261="unavailable",T261="unavailable"),"不可评价",IF(AND(OR(R261="positive",R261="equivocal"),OR(T261="positive",T261="equivocal")),"a",IF(OR(T261="positive",T261="equivocal"),"b",IF(OR(R261="positive",R261="equivocal"),"c","d"))))</x:f>
        <x:v>d</x:v>
      </x:c>
      <x:c r="AD261" s="12" t="str">
        <x:f>IF(OR(R261="unavailable",T261="unavailable"),"不可评价",IF(AND(R261="positive",T261="positive"),"a",IF(T261="positive","b",IF(R261="positive","c","d"))))</x:f>
        <x:v>d</x:v>
      </x:c>
      <x:c r="AE261" s="12" t="str">
        <x:f>IF(OR(W261="unavailable",Y261="unavailable"),"不可评价",IF(AND(OR(W261="positive",W261="equivocal"),OR(Y261="positive",Y261="equivocal")),"a",IF(OR(Y261="positive",Y261="equivocal"),"b",IF(OR(W261="positive",W261="equivocal"),"c","d"))))</x:f>
        <x:v>d</x:v>
      </x:c>
      <x:c r="AF261" s="12" t="str">
        <x:f>IF(OR(W261="unavailable",Y261="unavailable"),"不可评价",IF(AND(W261="positive",Y261="positive"),"a",IF(Y261="positive","b",IF(W261="positive","c","d"))))</x:f>
        <x:v>d</x:v>
      </x:c>
    </x:row>
    <x:row r="262" ht="39" customHeight="1">
      <x:c r="A262" s="12" t="str">
        <x:v>2103</x:v>
      </x:c>
      <x:c r="B262" s="12" t="str">
        <x:v>2544</x:v>
      </x:c>
      <x:c r="C262" s="21" t="n">
        <x:v>32362.356354166666</x:v>
      </x:c>
      <x:c r="D262" s="12" t="n">
        <x:v>300</x:v>
      </x:c>
      <x:c r="E262" s="12" t="n">
        <x:v>1</x:v>
      </x:c>
      <x:c r="F262" s="12" t="str">
        <x:v>未记录</x:v>
      </x:c>
      <x:c r="G262" s="12" t="n">
        <x:v>1</x:v>
      </x:c>
      <x:c r="H262" s="12" t="str">
        <x:v>{'ISC_': 100.0, 'LVH': 100.0, 'PAC': 0.0, 'STD_': 0.0, 'SR': 0.0}</x:v>
      </x:c>
      <x:c r="I262" s="12" t="str">
        <x:v>[('SRTH', 100.0), ('PVC', 100.0), ('PAC', 100.0), ('LAD3', 100.0), ('LVH2', 100.0), ('2ST', 100.0), ('AB', 100.0)]</x:v>
      </x:c>
      <x:c r="J262" s="12" t="str">
        <x:v>ptbxl_database.csv；ecg_id=2103；scp_codes</x:v>
      </x:c>
      <x:c r="K262" s="12" t="str">
        <x:v>12sl_statements.csv；ecg_id=2103；statements_ext_snomed</x:v>
      </x:c>
      <x:c r="L262" s="12"/>
      <x:c r="M262" s="12" t="str">
        <x:v>negative</x:v>
      </x:c>
      <x:c r="N262" s="12"/>
      <x:c r="O262" s="12" t="str">
        <x:v>negative</x:v>
      </x:c>
      <x:c r="P262" s="12" t="str">
        <x:f>IF(OR(M262="unavailable",O262="unavailable"),"不可评价",IF(OR(M262="equivocal",O262="equivocal"),"疑似",IF(AND(M262="positive",O262="positive"),"a",IF(O262="positive","b",IF(M262="positive","c","d")))))</x:f>
        <x:v>d</x:v>
      </x:c>
      <x:c r="Q262" s="12"/>
      <x:c r="R262" s="12" t="str">
        <x:v>negative</x:v>
      </x:c>
      <x:c r="S262" s="12"/>
      <x:c r="T262" s="12" t="str">
        <x:v>negative</x:v>
      </x:c>
      <x:c r="U262" s="12" t="str">
        <x:f>IF(OR(R262="unavailable",T262="unavailable"),"不可评价",IF(OR(R262="equivocal",T262="equivocal"),"疑似",IF(AND(R262="positive",T262="positive"),"a",IF(T262="positive","b",IF(R262="positive","c","d")))))</x:f>
        <x:v>d</x:v>
      </x:c>
      <x:c r="V262" s="12"/>
      <x:c r="W262" s="12" t="str">
        <x:v>negative</x:v>
      </x:c>
      <x:c r="X262" s="12"/>
      <x:c r="Y262" s="12" t="str">
        <x:v>negative</x:v>
      </x:c>
      <x:c r="Z262" s="12" t="str">
        <x:f>IF(OR(W262="unavailable",Y262="unavailable"),"不可评价",IF(OR(W262="equivocal",Y262="equivocal"),"疑似",IF(AND(W262="positive",Y262="positive"),"a",IF(Y262="positive","b",IF(W262="positive","c","d")))))</x:f>
        <x:v>d</x:v>
      </x:c>
      <x:c r="AA262" s="12" t="str">
        <x:f>IF(OR(M262="unavailable",O262="unavailable"),"不可评价",IF(AND(OR(M262="positive",M262="equivocal"),OR(O262="positive",O262="equivocal")),"a",IF(OR(O262="positive",O262="equivocal"),"b",IF(OR(M262="positive",M262="equivocal"),"c","d"))))</x:f>
        <x:v>d</x:v>
      </x:c>
      <x:c r="AB262" s="12" t="str">
        <x:f>IF(OR(M262="unavailable",O262="unavailable"),"不可评价",IF(AND(M262="positive",O262="positive"),"a",IF(O262="positive","b",IF(M262="positive","c","d"))))</x:f>
        <x:v>d</x:v>
      </x:c>
      <x:c r="AC262" s="12" t="str">
        <x:f>IF(OR(R262="unavailable",T262="unavailable"),"不可评价",IF(AND(OR(R262="positive",R262="equivocal"),OR(T262="positive",T262="equivocal")),"a",IF(OR(T262="positive",T262="equivocal"),"b",IF(OR(R262="positive",R262="equivocal"),"c","d"))))</x:f>
        <x:v>d</x:v>
      </x:c>
      <x:c r="AD262" s="12" t="str">
        <x:f>IF(OR(R262="unavailable",T262="unavailable"),"不可评价",IF(AND(R262="positive",T262="positive"),"a",IF(T262="positive","b",IF(R262="positive","c","d"))))</x:f>
        <x:v>d</x:v>
      </x:c>
      <x:c r="AE262" s="12" t="str">
        <x:f>IF(OR(W262="unavailable",Y262="unavailable"),"不可评价",IF(AND(OR(W262="positive",W262="equivocal"),OR(Y262="positive",Y262="equivocal")),"a",IF(OR(Y262="positive",Y262="equivocal"),"b",IF(OR(W262="positive",W262="equivocal"),"c","d"))))</x:f>
        <x:v>d</x:v>
      </x:c>
      <x:c r="AF262" s="12" t="str">
        <x:f>IF(OR(W262="unavailable",Y262="unavailable"),"不可评价",IF(AND(W262="positive",Y262="positive"),"a",IF(Y262="positive","b",IF(W262="positive","c","d"))))</x:f>
        <x:v>d</x:v>
      </x:c>
    </x:row>
    <x:row r="263" ht="39" customHeight="1">
      <x:c r="A263" s="12" t="str">
        <x:v>2104</x:v>
      </x:c>
      <x:c r="B263" s="12" t="str">
        <x:v>3306</x:v>
      </x:c>
      <x:c r="C263" s="21" t="n">
        <x:v>32362.41391203704</x:v>
      </x:c>
      <x:c r="D263" s="12" t="n">
        <x:v>51</x:v>
      </x:c>
      <x:c r="E263" s="12" t="n">
        <x:v>1</x:v>
      </x:c>
      <x:c r="F263" s="12" t="str">
        <x:v>未记录</x:v>
      </x:c>
      <x:c r="G263" s="12" t="n">
        <x:v>1</x:v>
      </x:c>
      <x:c r="H263" s="12" t="str">
        <x:v>{'ASMI': 100.0, 'LVH': 100.0, 'ISC_': 100.0, 'LPR': 0.0, 'INVT': 0.0, 'STD_': 0.0, 'SR': 0.0}</x:v>
      </x:c>
      <x:c r="I263" s="12" t="str">
        <x:v>[('SRTH', 100.0), ('FAV', 100.0), ('LAE', 50.0), ('LVH2', 100.0), ('2ST', 100.0), ('SMI;AU', 15.0), ('AB', 100.0)]</x:v>
      </x:c>
      <x:c r="J263" s="12" t="str">
        <x:v>ptbxl_database.csv；ecg_id=2104；scp_codes</x:v>
      </x:c>
      <x:c r="K263" s="12" t="str">
        <x:v>12sl_statements.csv；ecg_id=2104；statements_ext_snomed</x:v>
      </x:c>
      <x:c r="L263" s="12"/>
      <x:c r="M263" s="12" t="str">
        <x:v>negative</x:v>
      </x:c>
      <x:c r="N263" s="12"/>
      <x:c r="O263" s="12" t="str">
        <x:v>negative</x:v>
      </x:c>
      <x:c r="P263" s="12" t="str">
        <x:f>IF(OR(M263="unavailable",O263="unavailable"),"不可评价",IF(OR(M263="equivocal",O263="equivocal"),"疑似",IF(AND(M263="positive",O263="positive"),"a",IF(O263="positive","b",IF(M263="positive","c","d")))))</x:f>
        <x:v>d</x:v>
      </x:c>
      <x:c r="Q263" s="12"/>
      <x:c r="R263" s="12" t="str">
        <x:v>negative</x:v>
      </x:c>
      <x:c r="S263" s="12"/>
      <x:c r="T263" s="12" t="str">
        <x:v>negative</x:v>
      </x:c>
      <x:c r="U263" s="12" t="str">
        <x:f>IF(OR(R263="unavailable",T263="unavailable"),"不可评价",IF(OR(R263="equivocal",T263="equivocal"),"疑似",IF(AND(R263="positive",T263="positive"),"a",IF(T263="positive","b",IF(R263="positive","c","d")))))</x:f>
        <x:v>d</x:v>
      </x:c>
      <x:c r="V263" s="12"/>
      <x:c r="W263" s="12" t="str">
        <x:v>negative</x:v>
      </x:c>
      <x:c r="X263" s="12"/>
      <x:c r="Y263" s="12" t="str">
        <x:v>negative</x:v>
      </x:c>
      <x:c r="Z263" s="12" t="str">
        <x:f>IF(OR(W263="unavailable",Y263="unavailable"),"不可评价",IF(OR(W263="equivocal",Y263="equivocal"),"疑似",IF(AND(W263="positive",Y263="positive"),"a",IF(Y263="positive","b",IF(W263="positive","c","d")))))</x:f>
        <x:v>d</x:v>
      </x:c>
      <x:c r="AA263" s="12" t="str">
        <x:f>IF(OR(M263="unavailable",O263="unavailable"),"不可评价",IF(AND(OR(M263="positive",M263="equivocal"),OR(O263="positive",O263="equivocal")),"a",IF(OR(O263="positive",O263="equivocal"),"b",IF(OR(M263="positive",M263="equivocal"),"c","d"))))</x:f>
        <x:v>d</x:v>
      </x:c>
      <x:c r="AB263" s="12" t="str">
        <x:f>IF(OR(M263="unavailable",O263="unavailable"),"不可评价",IF(AND(M263="positive",O263="positive"),"a",IF(O263="positive","b",IF(M263="positive","c","d"))))</x:f>
        <x:v>d</x:v>
      </x:c>
      <x:c r="AC263" s="12" t="str">
        <x:f>IF(OR(R263="unavailable",T263="unavailable"),"不可评价",IF(AND(OR(R263="positive",R263="equivocal"),OR(T263="positive",T263="equivocal")),"a",IF(OR(T263="positive",T263="equivocal"),"b",IF(OR(R263="positive",R263="equivocal"),"c","d"))))</x:f>
        <x:v>d</x:v>
      </x:c>
      <x:c r="AD263" s="12" t="str">
        <x:f>IF(OR(R263="unavailable",T263="unavailable"),"不可评价",IF(AND(R263="positive",T263="positive"),"a",IF(T263="positive","b",IF(R263="positive","c","d"))))</x:f>
        <x:v>d</x:v>
      </x:c>
      <x:c r="AE263" s="12" t="str">
        <x:f>IF(OR(W263="unavailable",Y263="unavailable"),"不可评价",IF(AND(OR(W263="positive",W263="equivocal"),OR(Y263="positive",Y263="equivocal")),"a",IF(OR(Y263="positive",Y263="equivocal"),"b",IF(OR(W263="positive",W263="equivocal"),"c","d"))))</x:f>
        <x:v>d</x:v>
      </x:c>
      <x:c r="AF263" s="12" t="str">
        <x:f>IF(OR(W263="unavailable",Y263="unavailable"),"不可评价",IF(AND(W263="positive",Y263="positive"),"a",IF(Y263="positive","b",IF(W263="positive","c","d"))))</x:f>
        <x:v>d</x:v>
      </x:c>
    </x:row>
    <x:row r="264" ht="24" customHeight="1">
      <x:c r="A264" s="12" t="str">
        <x:v>2110</x:v>
      </x:c>
      <x:c r="B264" s="12" t="str">
        <x:v>3131</x:v>
      </x:c>
      <x:c r="C264" s="21" t="n">
        <x:v>32363.539398148147</x:v>
      </x:c>
      <x:c r="D264" s="12" t="n">
        <x:v>79</x:v>
      </x:c>
      <x:c r="E264" s="12" t="n">
        <x:v>1</x:v>
      </x:c>
      <x:c r="F264" s="12" t="str">
        <x:v>未记录</x:v>
      </x:c>
      <x:c r="G264" s="12" t="n">
        <x:v>1</x:v>
      </x:c>
      <x:c r="H264" s="12" t="str">
        <x:v>{'NDT': 100.0, 'NT_': 0.0, 'SR': 0.0}</x:v>
      </x:c>
      <x:c r="I264" s="12" t="str">
        <x:v>[('SBRAD', 100.0), ('IMI;AU', 100.0), ('AB', 100.0)]</x:v>
      </x:c>
      <x:c r="J264" s="12" t="str">
        <x:v>ptbxl_database.csv；ecg_id=2110；scp_codes</x:v>
      </x:c>
      <x:c r="K264" s="12" t="str">
        <x:v>12sl_statements.csv；ecg_id=2110；statements_ext_snomed</x:v>
      </x:c>
      <x:c r="L264" s="12"/>
      <x:c r="M264" s="12" t="str">
        <x:v>negative</x:v>
      </x:c>
      <x:c r="N264" s="12"/>
      <x:c r="O264" s="12" t="str">
        <x:v>negative</x:v>
      </x:c>
      <x:c r="P264" s="12" t="str">
        <x:f>IF(OR(M264="unavailable",O264="unavailable"),"不可评价",IF(OR(M264="equivocal",O264="equivocal"),"疑似",IF(AND(M264="positive",O264="positive"),"a",IF(O264="positive","b",IF(M264="positive","c","d")))))</x:f>
        <x:v>d</x:v>
      </x:c>
      <x:c r="Q264" s="12"/>
      <x:c r="R264" s="12" t="str">
        <x:v>negative</x:v>
      </x:c>
      <x:c r="S264" s="12"/>
      <x:c r="T264" s="12" t="str">
        <x:v>negative</x:v>
      </x:c>
      <x:c r="U264" s="12" t="str">
        <x:f>IF(OR(R264="unavailable",T264="unavailable"),"不可评价",IF(OR(R264="equivocal",T264="equivocal"),"疑似",IF(AND(R264="positive",T264="positive"),"a",IF(T264="positive","b",IF(R264="positive","c","d")))))</x:f>
        <x:v>d</x:v>
      </x:c>
      <x:c r="V264" s="12"/>
      <x:c r="W264" s="12" t="str">
        <x:v>negative</x:v>
      </x:c>
      <x:c r="X264" s="12"/>
      <x:c r="Y264" s="12" t="str">
        <x:v>negative</x:v>
      </x:c>
      <x:c r="Z264" s="12" t="str">
        <x:f>IF(OR(W264="unavailable",Y264="unavailable"),"不可评价",IF(OR(W264="equivocal",Y264="equivocal"),"疑似",IF(AND(W264="positive",Y264="positive"),"a",IF(Y264="positive","b",IF(W264="positive","c","d")))))</x:f>
        <x:v>d</x:v>
      </x:c>
      <x:c r="AA264" s="12" t="str">
        <x:f>IF(OR(M264="unavailable",O264="unavailable"),"不可评价",IF(AND(OR(M264="positive",M264="equivocal"),OR(O264="positive",O264="equivocal")),"a",IF(OR(O264="positive",O264="equivocal"),"b",IF(OR(M264="positive",M264="equivocal"),"c","d"))))</x:f>
        <x:v>d</x:v>
      </x:c>
      <x:c r="AB264" s="12" t="str">
        <x:f>IF(OR(M264="unavailable",O264="unavailable"),"不可评价",IF(AND(M264="positive",O264="positive"),"a",IF(O264="positive","b",IF(M264="positive","c","d"))))</x:f>
        <x:v>d</x:v>
      </x:c>
      <x:c r="AC264" s="12" t="str">
        <x:f>IF(OR(R264="unavailable",T264="unavailable"),"不可评价",IF(AND(OR(R264="positive",R264="equivocal"),OR(T264="positive",T264="equivocal")),"a",IF(OR(T264="positive",T264="equivocal"),"b",IF(OR(R264="positive",R264="equivocal"),"c","d"))))</x:f>
        <x:v>d</x:v>
      </x:c>
      <x:c r="AD264" s="12" t="str">
        <x:f>IF(OR(R264="unavailable",T264="unavailable"),"不可评价",IF(AND(R264="positive",T264="positive"),"a",IF(T264="positive","b",IF(R264="positive","c","d"))))</x:f>
        <x:v>d</x:v>
      </x:c>
      <x:c r="AE264" s="12" t="str">
        <x:f>IF(OR(W264="unavailable",Y264="unavailable"),"不可评价",IF(AND(OR(W264="positive",W264="equivocal"),OR(Y264="positive",Y264="equivocal")),"a",IF(OR(Y264="positive",Y264="equivocal"),"b",IF(OR(W264="positive",W264="equivocal"),"c","d"))))</x:f>
        <x:v>d</x:v>
      </x:c>
      <x:c r="AF264" s="12" t="str">
        <x:f>IF(OR(W264="unavailable",Y264="unavailable"),"不可评价",IF(AND(W264="positive",Y264="positive"),"a",IF(Y264="positive","b",IF(W264="positive","c","d"))))</x:f>
        <x:v>d</x:v>
      </x:c>
    </x:row>
    <x:row r="265" ht="24" customHeight="1">
      <x:c r="A265" s="12" t="str">
        <x:v>2119</x:v>
      </x:c>
      <x:c r="B265" s="12" t="str">
        <x:v>4448</x:v>
      </x:c>
      <x:c r="C265" s="21" t="n">
        <x:v>32366.495949074073</x:v>
      </x:c>
      <x:c r="D265" s="12" t="n">
        <x:v>69</x:v>
      </x:c>
      <x:c r="E265" s="12" t="n">
        <x:v>1</x:v>
      </x:c>
      <x:c r="F265" s="12" t="str">
        <x:v>存在</x:v>
      </x:c>
      <x:c r="G265" s="12" t="n">
        <x:v>1</x:v>
      </x:c>
      <x:c r="H265" s="12" t="str">
        <x:v>{'LVH': 50.0, 'LPR': 0.0, 'VCLVH': 0.0, 'SR': 0.0}</x:v>
      </x:c>
      <x:c r="I265" s="12" t="str">
        <x:v>[('SRTH', 100.0), ('FAV', 100.0), ('BORDE', 100.0)]</x:v>
      </x:c>
      <x:c r="J265" s="12" t="str">
        <x:v>ptbxl_database.csv；ecg_id=2119；scp_codes</x:v>
      </x:c>
      <x:c r="K265" s="12" t="str">
        <x:v>12sl_statements.csv；ecg_id=2119；statements_ext_snomed</x:v>
      </x:c>
      <x:c r="L265" s="12"/>
      <x:c r="M265" s="12" t="str">
        <x:v>negative</x:v>
      </x:c>
      <x:c r="N265" s="12"/>
      <x:c r="O265" s="12" t="str">
        <x:v>negative</x:v>
      </x:c>
      <x:c r="P265" s="12" t="str">
        <x:f>IF(OR(M265="unavailable",O265="unavailable"),"不可评价",IF(OR(M265="equivocal",O265="equivocal"),"疑似",IF(AND(M265="positive",O265="positive"),"a",IF(O265="positive","b",IF(M265="positive","c","d")))))</x:f>
        <x:v>d</x:v>
      </x:c>
      <x:c r="Q265" s="12"/>
      <x:c r="R265" s="12" t="str">
        <x:v>negative</x:v>
      </x:c>
      <x:c r="S265" s="12"/>
      <x:c r="T265" s="12" t="str">
        <x:v>negative</x:v>
      </x:c>
      <x:c r="U265" s="12" t="str">
        <x:f>IF(OR(R265="unavailable",T265="unavailable"),"不可评价",IF(OR(R265="equivocal",T265="equivocal"),"疑似",IF(AND(R265="positive",T265="positive"),"a",IF(T265="positive","b",IF(R265="positive","c","d")))))</x:f>
        <x:v>d</x:v>
      </x:c>
      <x:c r="V265" s="12"/>
      <x:c r="W265" s="12" t="str">
        <x:v>negative</x:v>
      </x:c>
      <x:c r="X265" s="12"/>
      <x:c r="Y265" s="12" t="str">
        <x:v>negative</x:v>
      </x:c>
      <x:c r="Z265" s="12" t="str">
        <x:f>IF(OR(W265="unavailable",Y265="unavailable"),"不可评价",IF(OR(W265="equivocal",Y265="equivocal"),"疑似",IF(AND(W265="positive",Y265="positive"),"a",IF(Y265="positive","b",IF(W265="positive","c","d")))))</x:f>
        <x:v>d</x:v>
      </x:c>
      <x:c r="AA265" s="12" t="str">
        <x:f>IF(OR(M265="unavailable",O265="unavailable"),"不可评价",IF(AND(OR(M265="positive",M265="equivocal"),OR(O265="positive",O265="equivocal")),"a",IF(OR(O265="positive",O265="equivocal"),"b",IF(OR(M265="positive",M265="equivocal"),"c","d"))))</x:f>
        <x:v>d</x:v>
      </x:c>
      <x:c r="AB265" s="12" t="str">
        <x:f>IF(OR(M265="unavailable",O265="unavailable"),"不可评价",IF(AND(M265="positive",O265="positive"),"a",IF(O265="positive","b",IF(M265="positive","c","d"))))</x:f>
        <x:v>d</x:v>
      </x:c>
      <x:c r="AC265" s="12" t="str">
        <x:f>IF(OR(R265="unavailable",T265="unavailable"),"不可评价",IF(AND(OR(R265="positive",R265="equivocal"),OR(T265="positive",T265="equivocal")),"a",IF(OR(T265="positive",T265="equivocal"),"b",IF(OR(R265="positive",R265="equivocal"),"c","d"))))</x:f>
        <x:v>d</x:v>
      </x:c>
      <x:c r="AD265" s="12" t="str">
        <x:f>IF(OR(R265="unavailable",T265="unavailable"),"不可评价",IF(AND(R265="positive",T265="positive"),"a",IF(T265="positive","b",IF(R265="positive","c","d"))))</x:f>
        <x:v>d</x:v>
      </x:c>
      <x:c r="AE265" s="12" t="str">
        <x:f>IF(OR(W265="unavailable",Y265="unavailable"),"不可评价",IF(AND(OR(W265="positive",W265="equivocal"),OR(Y265="positive",Y265="equivocal")),"a",IF(OR(Y265="positive",Y265="equivocal"),"b",IF(OR(W265="positive",W265="equivocal"),"c","d"))))</x:f>
        <x:v>d</x:v>
      </x:c>
      <x:c r="AF265" s="12" t="str">
        <x:f>IF(OR(W265="unavailable",Y265="unavailable"),"不可评价",IF(AND(W265="positive",Y265="positive"),"a",IF(Y265="positive","b",IF(W265="positive","c","d"))))</x:f>
        <x:v>d</x:v>
      </x:c>
    </x:row>
    <x:row r="266" ht="24" customHeight="1">
      <x:c r="A266" s="12" t="str">
        <x:v>2144</x:v>
      </x:c>
      <x:c r="B266" s="12" t="str">
        <x:v>2628</x:v>
      </x:c>
      <x:c r="C266" s="21" t="n">
        <x:v>32369.49050925926</x:v>
      </x:c>
      <x:c r="D266" s="12" t="n">
        <x:v>50</x:v>
      </x:c>
      <x:c r="E266" s="12" t="n">
        <x:v>1</x:v>
      </x:c>
      <x:c r="F266" s="12" t="str">
        <x:v>未记录</x:v>
      </x:c>
      <x:c r="G266" s="12" t="n">
        <x:v>1</x:v>
      </x:c>
      <x:c r="H266" s="12" t="str">
        <x:v>{'NORM': 100.0, 'SR': 0.0}</x:v>
      </x:c>
      <x:c r="I266" s="12" t="str">
        <x:v>[('NSR', 100.0), ('NML', 100.0)]</x:v>
      </x:c>
      <x:c r="J266" s="12" t="str">
        <x:v>ptbxl_database.csv；ecg_id=2144；scp_codes</x:v>
      </x:c>
      <x:c r="K266" s="12" t="str">
        <x:v>12sl_statements.csv；ecg_id=2144；statements_ext_snomed</x:v>
      </x:c>
      <x:c r="L266" s="12"/>
      <x:c r="M266" s="12" t="str">
        <x:v>negative</x:v>
      </x:c>
      <x:c r="N266" s="12"/>
      <x:c r="O266" s="12" t="str">
        <x:v>negative</x:v>
      </x:c>
      <x:c r="P266" s="12" t="str">
        <x:f>IF(OR(M266="unavailable",O266="unavailable"),"不可评价",IF(OR(M266="equivocal",O266="equivocal"),"疑似",IF(AND(M266="positive",O266="positive"),"a",IF(O266="positive","b",IF(M266="positive","c","d")))))</x:f>
        <x:v>d</x:v>
      </x:c>
      <x:c r="Q266" s="12"/>
      <x:c r="R266" s="12" t="str">
        <x:v>negative</x:v>
      </x:c>
      <x:c r="S266" s="12"/>
      <x:c r="T266" s="12" t="str">
        <x:v>negative</x:v>
      </x:c>
      <x:c r="U266" s="12" t="str">
        <x:f>IF(OR(R266="unavailable",T266="unavailable"),"不可评价",IF(OR(R266="equivocal",T266="equivocal"),"疑似",IF(AND(R266="positive",T266="positive"),"a",IF(T266="positive","b",IF(R266="positive","c","d")))))</x:f>
        <x:v>d</x:v>
      </x:c>
      <x:c r="V266" s="12"/>
      <x:c r="W266" s="12" t="str">
        <x:v>negative</x:v>
      </x:c>
      <x:c r="X266" s="12"/>
      <x:c r="Y266" s="12" t="str">
        <x:v>negative</x:v>
      </x:c>
      <x:c r="Z266" s="12" t="str">
        <x:f>IF(OR(W266="unavailable",Y266="unavailable"),"不可评价",IF(OR(W266="equivocal",Y266="equivocal"),"疑似",IF(AND(W266="positive",Y266="positive"),"a",IF(Y266="positive","b",IF(W266="positive","c","d")))))</x:f>
        <x:v>d</x:v>
      </x:c>
      <x:c r="AA266" s="12" t="str">
        <x:f>IF(OR(M266="unavailable",O266="unavailable"),"不可评价",IF(AND(OR(M266="positive",M266="equivocal"),OR(O266="positive",O266="equivocal")),"a",IF(OR(O266="positive",O266="equivocal"),"b",IF(OR(M266="positive",M266="equivocal"),"c","d"))))</x:f>
        <x:v>d</x:v>
      </x:c>
      <x:c r="AB266" s="12" t="str">
        <x:f>IF(OR(M266="unavailable",O266="unavailable"),"不可评价",IF(AND(M266="positive",O266="positive"),"a",IF(O266="positive","b",IF(M266="positive","c","d"))))</x:f>
        <x:v>d</x:v>
      </x:c>
      <x:c r="AC266" s="12" t="str">
        <x:f>IF(OR(R266="unavailable",T266="unavailable"),"不可评价",IF(AND(OR(R266="positive",R266="equivocal"),OR(T266="positive",T266="equivocal")),"a",IF(OR(T266="positive",T266="equivocal"),"b",IF(OR(R266="positive",R266="equivocal"),"c","d"))))</x:f>
        <x:v>d</x:v>
      </x:c>
      <x:c r="AD266" s="12" t="str">
        <x:f>IF(OR(R266="unavailable",T266="unavailable"),"不可评价",IF(AND(R266="positive",T266="positive"),"a",IF(T266="positive","b",IF(R266="positive","c","d"))))</x:f>
        <x:v>d</x:v>
      </x:c>
      <x:c r="AE266" s="12" t="str">
        <x:f>IF(OR(W266="unavailable",Y266="unavailable"),"不可评价",IF(AND(OR(W266="positive",W266="equivocal"),OR(Y266="positive",Y266="equivocal")),"a",IF(OR(Y266="positive",Y266="equivocal"),"b",IF(OR(W266="positive",W266="equivocal"),"c","d"))))</x:f>
        <x:v>d</x:v>
      </x:c>
      <x:c r="AF266" s="12" t="str">
        <x:f>IF(OR(W266="unavailable",Y266="unavailable"),"不可评价",IF(AND(W266="positive",Y266="positive"),"a",IF(Y266="positive","b",IF(W266="positive","c","d"))))</x:f>
        <x:v>d</x:v>
      </x:c>
    </x:row>
    <x:row r="267" ht="24" customHeight="1">
      <x:c r="A267" s="12" t="str">
        <x:v>2146</x:v>
      </x:c>
      <x:c r="B267" s="12" t="str">
        <x:v>5629</x:v>
      </x:c>
      <x:c r="C267" s="21" t="n">
        <x:v>32369.642858796295</x:v>
      </x:c>
      <x:c r="D267" s="12" t="n">
        <x:v>68</x:v>
      </x:c>
      <x:c r="E267" s="12" t="n">
        <x:v>0</x:v>
      </x:c>
      <x:c r="F267" s="12" t="str">
        <x:v>存在</x:v>
      </x:c>
      <x:c r="G267" s="12" t="n">
        <x:v>1</x:v>
      </x:c>
      <x:c r="H267" s="12" t="str">
        <x:v>{'1AVB': 100.0, 'SR': 0.0}</x:v>
      </x:c>
      <x:c r="I267" s="12" t="str">
        <x:v>[('SRTH', 100.0), ('FAV', 100.0), ('ABR', 100.0)]</x:v>
      </x:c>
      <x:c r="J267" s="12" t="str">
        <x:v>ptbxl_database.csv；ecg_id=2146；scp_codes</x:v>
      </x:c>
      <x:c r="K267" s="12" t="str">
        <x:v>12sl_statements.csv；ecg_id=2146；statements_ext_snomed</x:v>
      </x:c>
      <x:c r="L267" s="12"/>
      <x:c r="M267" s="12" t="str">
        <x:v>negative</x:v>
      </x:c>
      <x:c r="N267" s="12"/>
      <x:c r="O267" s="12" t="str">
        <x:v>negative</x:v>
      </x:c>
      <x:c r="P267" s="12" t="str">
        <x:f>IF(OR(M267="unavailable",O267="unavailable"),"不可评价",IF(OR(M267="equivocal",O267="equivocal"),"疑似",IF(AND(M267="positive",O267="positive"),"a",IF(O267="positive","b",IF(M267="positive","c","d")))))</x:f>
        <x:v>d</x:v>
      </x:c>
      <x:c r="Q267" s="12"/>
      <x:c r="R267" s="12" t="str">
        <x:v>negative</x:v>
      </x:c>
      <x:c r="S267" s="12"/>
      <x:c r="T267" s="12" t="str">
        <x:v>negative</x:v>
      </x:c>
      <x:c r="U267" s="12" t="str">
        <x:f>IF(OR(R267="unavailable",T267="unavailable"),"不可评价",IF(OR(R267="equivocal",T267="equivocal"),"疑似",IF(AND(R267="positive",T267="positive"),"a",IF(T267="positive","b",IF(R267="positive","c","d")))))</x:f>
        <x:v>d</x:v>
      </x:c>
      <x:c r="V267" s="12"/>
      <x:c r="W267" s="12" t="str">
        <x:v>negative</x:v>
      </x:c>
      <x:c r="X267" s="12"/>
      <x:c r="Y267" s="12" t="str">
        <x:v>negative</x:v>
      </x:c>
      <x:c r="Z267" s="12" t="str">
        <x:f>IF(OR(W267="unavailable",Y267="unavailable"),"不可评价",IF(OR(W267="equivocal",Y267="equivocal"),"疑似",IF(AND(W267="positive",Y267="positive"),"a",IF(Y267="positive","b",IF(W267="positive","c","d")))))</x:f>
        <x:v>d</x:v>
      </x:c>
      <x:c r="AA267" s="12" t="str">
        <x:f>IF(OR(M267="unavailable",O267="unavailable"),"不可评价",IF(AND(OR(M267="positive",M267="equivocal"),OR(O267="positive",O267="equivocal")),"a",IF(OR(O267="positive",O267="equivocal"),"b",IF(OR(M267="positive",M267="equivocal"),"c","d"))))</x:f>
        <x:v>d</x:v>
      </x:c>
      <x:c r="AB267" s="12" t="str">
        <x:f>IF(OR(M267="unavailable",O267="unavailable"),"不可评价",IF(AND(M267="positive",O267="positive"),"a",IF(O267="positive","b",IF(M267="positive","c","d"))))</x:f>
        <x:v>d</x:v>
      </x:c>
      <x:c r="AC267" s="12" t="str">
        <x:f>IF(OR(R267="unavailable",T267="unavailable"),"不可评价",IF(AND(OR(R267="positive",R267="equivocal"),OR(T267="positive",T267="equivocal")),"a",IF(OR(T267="positive",T267="equivocal"),"b",IF(OR(R267="positive",R267="equivocal"),"c","d"))))</x:f>
        <x:v>d</x:v>
      </x:c>
      <x:c r="AD267" s="12" t="str">
        <x:f>IF(OR(R267="unavailable",T267="unavailable"),"不可评价",IF(AND(R267="positive",T267="positive"),"a",IF(T267="positive","b",IF(R267="positive","c","d"))))</x:f>
        <x:v>d</x:v>
      </x:c>
      <x:c r="AE267" s="12" t="str">
        <x:f>IF(OR(W267="unavailable",Y267="unavailable"),"不可评价",IF(AND(OR(W267="positive",W267="equivocal"),OR(Y267="positive",Y267="equivocal")),"a",IF(OR(Y267="positive",Y267="equivocal"),"b",IF(OR(W267="positive",W267="equivocal"),"c","d"))))</x:f>
        <x:v>d</x:v>
      </x:c>
      <x:c r="AF267" s="12" t="str">
        <x:f>IF(OR(W267="unavailable",Y267="unavailable"),"不可评价",IF(AND(W267="positive",Y267="positive"),"a",IF(Y267="positive","b",IF(W267="positive","c","d"))))</x:f>
        <x:v>d</x:v>
      </x:c>
    </x:row>
    <x:row r="268" ht="24" customHeight="1">
      <x:c r="A268" s="12" t="str">
        <x:v>2151</x:v>
      </x:c>
      <x:c r="B268" s="12" t="str">
        <x:v>10266</x:v>
      </x:c>
      <x:c r="C268" s="21" t="n">
        <x:v>32371.389386574076</x:v>
      </x:c>
      <x:c r="D268" s="12" t="n">
        <x:v>71</x:v>
      </x:c>
      <x:c r="E268" s="12" t="n">
        <x:v>0</x:v>
      </x:c>
      <x:c r="F268" s="12" t="str">
        <x:v>存在</x:v>
      </x:c>
      <x:c r="G268" s="12" t="n">
        <x:v>1</x:v>
      </x:c>
      <x:c r="H268" s="12" t="str">
        <x:v>{'NDT': 100.0, 'SR': 0.0}</x:v>
      </x:c>
      <x:c r="I268" s="12" t="str">
        <x:v>[('NSR', 100.0), ('LNGQT', 100.0), ('AB', 100.0)]</x:v>
      </x:c>
      <x:c r="J268" s="12" t="str">
        <x:v>ptbxl_database.csv；ecg_id=2151；scp_codes</x:v>
      </x:c>
      <x:c r="K268" s="12" t="str">
        <x:v>12sl_statements.csv；ecg_id=2151；statements_ext_snomed</x:v>
      </x:c>
      <x:c r="L268" s="12"/>
      <x:c r="M268" s="12" t="str">
        <x:v>negative</x:v>
      </x:c>
      <x:c r="N268" s="12"/>
      <x:c r="O268" s="12" t="str">
        <x:v>negative</x:v>
      </x:c>
      <x:c r="P268" s="12" t="str">
        <x:f>IF(OR(M268="unavailable",O268="unavailable"),"不可评价",IF(OR(M268="equivocal",O268="equivocal"),"疑似",IF(AND(M268="positive",O268="positive"),"a",IF(O268="positive","b",IF(M268="positive","c","d")))))</x:f>
        <x:v>d</x:v>
      </x:c>
      <x:c r="Q268" s="12"/>
      <x:c r="R268" s="12" t="str">
        <x:v>negative</x:v>
      </x:c>
      <x:c r="S268" s="12"/>
      <x:c r="T268" s="12" t="str">
        <x:v>negative</x:v>
      </x:c>
      <x:c r="U268" s="12" t="str">
        <x:f>IF(OR(R268="unavailable",T268="unavailable"),"不可评价",IF(OR(R268="equivocal",T268="equivocal"),"疑似",IF(AND(R268="positive",T268="positive"),"a",IF(T268="positive","b",IF(R268="positive","c","d")))))</x:f>
        <x:v>d</x:v>
      </x:c>
      <x:c r="V268" s="12"/>
      <x:c r="W268" s="12" t="str">
        <x:v>negative</x:v>
      </x:c>
      <x:c r="X268" s="12"/>
      <x:c r="Y268" s="12" t="str">
        <x:v>negative</x:v>
      </x:c>
      <x:c r="Z268" s="12" t="str">
        <x:f>IF(OR(W268="unavailable",Y268="unavailable"),"不可评价",IF(OR(W268="equivocal",Y268="equivocal"),"疑似",IF(AND(W268="positive",Y268="positive"),"a",IF(Y268="positive","b",IF(W268="positive","c","d")))))</x:f>
        <x:v>d</x:v>
      </x:c>
      <x:c r="AA268" s="12" t="str">
        <x:f>IF(OR(M268="unavailable",O268="unavailable"),"不可评价",IF(AND(OR(M268="positive",M268="equivocal"),OR(O268="positive",O268="equivocal")),"a",IF(OR(O268="positive",O268="equivocal"),"b",IF(OR(M268="positive",M268="equivocal"),"c","d"))))</x:f>
        <x:v>d</x:v>
      </x:c>
      <x:c r="AB268" s="12" t="str">
        <x:f>IF(OR(M268="unavailable",O268="unavailable"),"不可评价",IF(AND(M268="positive",O268="positive"),"a",IF(O268="positive","b",IF(M268="positive","c","d"))))</x:f>
        <x:v>d</x:v>
      </x:c>
      <x:c r="AC268" s="12" t="str">
        <x:f>IF(OR(R268="unavailable",T268="unavailable"),"不可评价",IF(AND(OR(R268="positive",R268="equivocal"),OR(T268="positive",T268="equivocal")),"a",IF(OR(T268="positive",T268="equivocal"),"b",IF(OR(R268="positive",R268="equivocal"),"c","d"))))</x:f>
        <x:v>d</x:v>
      </x:c>
      <x:c r="AD268" s="12" t="str">
        <x:f>IF(OR(R268="unavailable",T268="unavailable"),"不可评价",IF(AND(R268="positive",T268="positive"),"a",IF(T268="positive","b",IF(R268="positive","c","d"))))</x:f>
        <x:v>d</x:v>
      </x:c>
      <x:c r="AE268" s="12" t="str">
        <x:f>IF(OR(W268="unavailable",Y268="unavailable"),"不可评价",IF(AND(OR(W268="positive",W268="equivocal"),OR(Y268="positive",Y268="equivocal")),"a",IF(OR(Y268="positive",Y268="equivocal"),"b",IF(OR(W268="positive",W268="equivocal"),"c","d"))))</x:f>
        <x:v>d</x:v>
      </x:c>
      <x:c r="AF268" s="12" t="str">
        <x:f>IF(OR(W268="unavailable",Y268="unavailable"),"不可评价",IF(AND(W268="positive",Y268="positive"),"a",IF(Y268="positive","b",IF(W268="positive","c","d"))))</x:f>
        <x:v>d</x:v>
      </x:c>
    </x:row>
    <x:row r="269" ht="24" customHeight="1">
      <x:c r="A269" s="12" t="str">
        <x:v>2153</x:v>
      </x:c>
      <x:c r="B269" s="12" t="str">
        <x:v>20353</x:v>
      </x:c>
      <x:c r="C269" s="21" t="n">
        <x:v>32372.683634259258</x:v>
      </x:c>
      <x:c r="D269" s="12" t="n">
        <x:v>88</x:v>
      </x:c>
      <x:c r="E269" s="12" t="n">
        <x:v>0</x:v>
      </x:c>
      <x:c r="F269" s="12" t="str">
        <x:v>未记录</x:v>
      </x:c>
      <x:c r="G269" s="12" t="n">
        <x:v>1</x:v>
      </x:c>
      <x:c r="H269" s="12" t="str">
        <x:v>{'LAFB': 100.0, 'AFIB': 0.0}</x:v>
      </x:c>
      <x:c r="I269" s="12" t="str">
        <x:v>[('AFIB', 100.0), ('AFB', 100.0), ('AB', 100.0)]</x:v>
      </x:c>
      <x:c r="J269" s="12" t="str">
        <x:v>ptbxl_database.csv；ecg_id=2153；scp_codes</x:v>
      </x:c>
      <x:c r="K269" s="12" t="str">
        <x:v>12sl_statements.csv；ecg_id=2153；statements_ext_snomed</x:v>
      </x:c>
      <x:c r="L269" s="12" t="n">
        <x:v>0</x:v>
      </x:c>
      <x:c r="M269" s="12" t="str">
        <x:v>positive</x:v>
      </x:c>
      <x:c r="N269" s="12" t="n">
        <x:v>100</x:v>
      </x:c>
      <x:c r="O269" s="12" t="str">
        <x:v>positive</x:v>
      </x:c>
      <x:c r="P269" s="12" t="str">
        <x:f>IF(OR(M269="unavailable",O269="unavailable"),"不可评价",IF(OR(M269="equivocal",O269="equivocal"),"疑似",IF(AND(M269="positive",O269="positive"),"a",IF(O269="positive","b",IF(M269="positive","c","d")))))</x:f>
        <x:v>a</x:v>
      </x:c>
      <x:c r="Q269" s="12"/>
      <x:c r="R269" s="12" t="str">
        <x:v>negative</x:v>
      </x:c>
      <x:c r="S269" s="12"/>
      <x:c r="T269" s="12" t="str">
        <x:v>negative</x:v>
      </x:c>
      <x:c r="U269" s="12" t="str">
        <x:f>IF(OR(R269="unavailable",T269="unavailable"),"不可评价",IF(OR(R269="equivocal",T269="equivocal"),"疑似",IF(AND(R269="positive",T269="positive"),"a",IF(T269="positive","b",IF(R269="positive","c","d")))))</x:f>
        <x:v>d</x:v>
      </x:c>
      <x:c r="V269" s="12"/>
      <x:c r="W269" s="12" t="str">
        <x:v>negative</x:v>
      </x:c>
      <x:c r="X269" s="12"/>
      <x:c r="Y269" s="12" t="str">
        <x:v>negative</x:v>
      </x:c>
      <x:c r="Z269" s="12" t="str">
        <x:f>IF(OR(W269="unavailable",Y269="unavailable"),"不可评价",IF(OR(W269="equivocal",Y269="equivocal"),"疑似",IF(AND(W269="positive",Y269="positive"),"a",IF(Y269="positive","b",IF(W269="positive","c","d")))))</x:f>
        <x:v>d</x:v>
      </x:c>
      <x:c r="AA269" s="12" t="str">
        <x:f>IF(OR(M269="unavailable",O269="unavailable"),"不可评价",IF(AND(OR(M269="positive",M269="equivocal"),OR(O269="positive",O269="equivocal")),"a",IF(OR(O269="positive",O269="equivocal"),"b",IF(OR(M269="positive",M269="equivocal"),"c","d"))))</x:f>
        <x:v>a</x:v>
      </x:c>
      <x:c r="AB269" s="12" t="str">
        <x:f>IF(OR(M269="unavailable",O269="unavailable"),"不可评价",IF(AND(M269="positive",O269="positive"),"a",IF(O269="positive","b",IF(M269="positive","c","d"))))</x:f>
        <x:v>a</x:v>
      </x:c>
      <x:c r="AC269" s="12" t="str">
        <x:f>IF(OR(R269="unavailable",T269="unavailable"),"不可评价",IF(AND(OR(R269="positive",R269="equivocal"),OR(T269="positive",T269="equivocal")),"a",IF(OR(T269="positive",T269="equivocal"),"b",IF(OR(R269="positive",R269="equivocal"),"c","d"))))</x:f>
        <x:v>d</x:v>
      </x:c>
      <x:c r="AD269" s="12" t="str">
        <x:f>IF(OR(R269="unavailable",T269="unavailable"),"不可评价",IF(AND(R269="positive",T269="positive"),"a",IF(T269="positive","b",IF(R269="positive","c","d"))))</x:f>
        <x:v>d</x:v>
      </x:c>
      <x:c r="AE269" s="12" t="str">
        <x:f>IF(OR(W269="unavailable",Y269="unavailable"),"不可评价",IF(AND(OR(W269="positive",W269="equivocal"),OR(Y269="positive",Y269="equivocal")),"a",IF(OR(Y269="positive",Y269="equivocal"),"b",IF(OR(W269="positive",W269="equivocal"),"c","d"))))</x:f>
        <x:v>d</x:v>
      </x:c>
      <x:c r="AF269" s="12" t="str">
        <x:f>IF(OR(W269="unavailable",Y269="unavailable"),"不可评价",IF(AND(W269="positive",Y269="positive"),"a",IF(Y269="positive","b",IF(W269="positive","c","d"))))</x:f>
        <x:v>d</x:v>
      </x:c>
    </x:row>
    <x:row r="270" ht="24" customHeight="1">
      <x:c r="A270" s="12" t="str">
        <x:v>2158</x:v>
      </x:c>
      <x:c r="B270" s="12" t="str">
        <x:v>21397</x:v>
      </x:c>
      <x:c r="C270" s="21" t="n">
        <x:v>32374.602754629628</x:v>
      </x:c>
      <x:c r="D270" s="12" t="n">
        <x:v>72</x:v>
      </x:c>
      <x:c r="E270" s="12" t="n">
        <x:v>0</x:v>
      </x:c>
      <x:c r="F270" s="12" t="str">
        <x:v>未记录</x:v>
      </x:c>
      <x:c r="G270" s="12" t="n">
        <x:v>1</x:v>
      </x:c>
      <x:c r="H270" s="12" t="str">
        <x:v>{'NORM': 100.0, 'LVOLT': 0.0, 'SBRAD': 0.0}</x:v>
      </x:c>
      <x:c r="I270" s="12" t="str">
        <x:v>[('SBRAD', 100.0), ('ABR', 100.0)]</x:v>
      </x:c>
      <x:c r="J270" s="12" t="str">
        <x:v>ptbxl_database.csv；ecg_id=2158；scp_codes</x:v>
      </x:c>
      <x:c r="K270" s="12" t="str">
        <x:v>12sl_statements.csv；ecg_id=2158；statements_ext_snomed</x:v>
      </x:c>
      <x:c r="L270" s="12"/>
      <x:c r="M270" s="12" t="str">
        <x:v>negative</x:v>
      </x:c>
      <x:c r="N270" s="12"/>
      <x:c r="O270" s="12" t="str">
        <x:v>negative</x:v>
      </x:c>
      <x:c r="P270" s="12" t="str">
        <x:f>IF(OR(M270="unavailable",O270="unavailable"),"不可评价",IF(OR(M270="equivocal",O270="equivocal"),"疑似",IF(AND(M270="positive",O270="positive"),"a",IF(O270="positive","b",IF(M270="positive","c","d")))))</x:f>
        <x:v>d</x:v>
      </x:c>
      <x:c r="Q270" s="12"/>
      <x:c r="R270" s="12" t="str">
        <x:v>negative</x:v>
      </x:c>
      <x:c r="S270" s="12"/>
      <x:c r="T270" s="12" t="str">
        <x:v>negative</x:v>
      </x:c>
      <x:c r="U270" s="12" t="str">
        <x:f>IF(OR(R270="unavailable",T270="unavailable"),"不可评价",IF(OR(R270="equivocal",T270="equivocal"),"疑似",IF(AND(R270="positive",T270="positive"),"a",IF(T270="positive","b",IF(R270="positive","c","d")))))</x:f>
        <x:v>d</x:v>
      </x:c>
      <x:c r="V270" s="12"/>
      <x:c r="W270" s="12" t="str">
        <x:v>negative</x:v>
      </x:c>
      <x:c r="X270" s="12"/>
      <x:c r="Y270" s="12" t="str">
        <x:v>negative</x:v>
      </x:c>
      <x:c r="Z270" s="12" t="str">
        <x:f>IF(OR(W270="unavailable",Y270="unavailable"),"不可评价",IF(OR(W270="equivocal",Y270="equivocal"),"疑似",IF(AND(W270="positive",Y270="positive"),"a",IF(Y270="positive","b",IF(W270="positive","c","d")))))</x:f>
        <x:v>d</x:v>
      </x:c>
      <x:c r="AA270" s="12" t="str">
        <x:f>IF(OR(M270="unavailable",O270="unavailable"),"不可评价",IF(AND(OR(M270="positive",M270="equivocal"),OR(O270="positive",O270="equivocal")),"a",IF(OR(O270="positive",O270="equivocal"),"b",IF(OR(M270="positive",M270="equivocal"),"c","d"))))</x:f>
        <x:v>d</x:v>
      </x:c>
      <x:c r="AB270" s="12" t="str">
        <x:f>IF(OR(M270="unavailable",O270="unavailable"),"不可评价",IF(AND(M270="positive",O270="positive"),"a",IF(O270="positive","b",IF(M270="positive","c","d"))))</x:f>
        <x:v>d</x:v>
      </x:c>
      <x:c r="AC270" s="12" t="str">
        <x:f>IF(OR(R270="unavailable",T270="unavailable"),"不可评价",IF(AND(OR(R270="positive",R270="equivocal"),OR(T270="positive",T270="equivocal")),"a",IF(OR(T270="positive",T270="equivocal"),"b",IF(OR(R270="positive",R270="equivocal"),"c","d"))))</x:f>
        <x:v>d</x:v>
      </x:c>
      <x:c r="AD270" s="12" t="str">
        <x:f>IF(OR(R270="unavailable",T270="unavailable"),"不可评价",IF(AND(R270="positive",T270="positive"),"a",IF(T270="positive","b",IF(R270="positive","c","d"))))</x:f>
        <x:v>d</x:v>
      </x:c>
      <x:c r="AE270" s="12" t="str">
        <x:f>IF(OR(W270="unavailable",Y270="unavailable"),"不可评价",IF(AND(OR(W270="positive",W270="equivocal"),OR(Y270="positive",Y270="equivocal")),"a",IF(OR(Y270="positive",Y270="equivocal"),"b",IF(OR(W270="positive",W270="equivocal"),"c","d"))))</x:f>
        <x:v>d</x:v>
      </x:c>
      <x:c r="AF270" s="12" t="str">
        <x:f>IF(OR(W270="unavailable",Y270="unavailable"),"不可评价",IF(AND(W270="positive",Y270="positive"),"a",IF(Y270="positive","b",IF(W270="positive","c","d"))))</x:f>
        <x:v>d</x:v>
      </x:c>
    </x:row>
    <x:row r="271" ht="24" customHeight="1">
      <x:c r="A271" s="12" t="str">
        <x:v>2160</x:v>
      </x:c>
      <x:c r="B271" s="12" t="str">
        <x:v>15956</x:v>
      </x:c>
      <x:c r="C271" s="21" t="n">
        <x:v>32375.743425925924</x:v>
      </x:c>
      <x:c r="D271" s="12" t="n">
        <x:v>300</x:v>
      </x:c>
      <x:c r="E271" s="12" t="n">
        <x:v>0</x:v>
      </x:c>
      <x:c r="F271" s="12" t="str">
        <x:v>未记录</x:v>
      </x:c>
      <x:c r="G271" s="12" t="n">
        <x:v>1</x:v>
      </x:c>
      <x:c r="H271" s="12" t="str">
        <x:v>{'ISCAL': 100.0, 'STACH': 0.0, 'BIGU': 0.0}</x:v>
      </x:c>
      <x:c r="I271" s="12" t="str">
        <x:v>[('STACH', 100.0), ('PAC', 100.0), ('ST&amp;', 100.0), ('LT', 100.0), ('AB', 100.0)]</x:v>
      </x:c>
      <x:c r="J271" s="12" t="str">
        <x:v>ptbxl_database.csv；ecg_id=2160；scp_codes</x:v>
      </x:c>
      <x:c r="K271" s="12" t="str">
        <x:v>12sl_statements.csv；ecg_id=2160；statements_ext_snomed</x:v>
      </x:c>
      <x:c r="L271" s="12"/>
      <x:c r="M271" s="12" t="str">
        <x:v>negative</x:v>
      </x:c>
      <x:c r="N271" s="12"/>
      <x:c r="O271" s="12" t="str">
        <x:v>negative</x:v>
      </x:c>
      <x:c r="P271" s="12" t="str">
        <x:f>IF(OR(M271="unavailable",O271="unavailable"),"不可评价",IF(OR(M271="equivocal",O271="equivocal"),"疑似",IF(AND(M271="positive",O271="positive"),"a",IF(O271="positive","b",IF(M271="positive","c","d")))))</x:f>
        <x:v>d</x:v>
      </x:c>
      <x:c r="Q271" s="12"/>
      <x:c r="R271" s="12" t="str">
        <x:v>negative</x:v>
      </x:c>
      <x:c r="S271" s="12"/>
      <x:c r="T271" s="12" t="str">
        <x:v>negative</x:v>
      </x:c>
      <x:c r="U271" s="12" t="str">
        <x:f>IF(OR(R271="unavailable",T271="unavailable"),"不可评价",IF(OR(R271="equivocal",T271="equivocal"),"疑似",IF(AND(R271="positive",T271="positive"),"a",IF(T271="positive","b",IF(R271="positive","c","d")))))</x:f>
        <x:v>d</x:v>
      </x:c>
      <x:c r="V271" s="12"/>
      <x:c r="W271" s="12" t="str">
        <x:v>negative</x:v>
      </x:c>
      <x:c r="X271" s="12"/>
      <x:c r="Y271" s="12" t="str">
        <x:v>negative</x:v>
      </x:c>
      <x:c r="Z271" s="12" t="str">
        <x:f>IF(OR(W271="unavailable",Y271="unavailable"),"不可评价",IF(OR(W271="equivocal",Y271="equivocal"),"疑似",IF(AND(W271="positive",Y271="positive"),"a",IF(Y271="positive","b",IF(W271="positive","c","d")))))</x:f>
        <x:v>d</x:v>
      </x:c>
      <x:c r="AA271" s="12" t="str">
        <x:f>IF(OR(M271="unavailable",O271="unavailable"),"不可评价",IF(AND(OR(M271="positive",M271="equivocal"),OR(O271="positive",O271="equivocal")),"a",IF(OR(O271="positive",O271="equivocal"),"b",IF(OR(M271="positive",M271="equivocal"),"c","d"))))</x:f>
        <x:v>d</x:v>
      </x:c>
      <x:c r="AB271" s="12" t="str">
        <x:f>IF(OR(M271="unavailable",O271="unavailable"),"不可评价",IF(AND(M271="positive",O271="positive"),"a",IF(O271="positive","b",IF(M271="positive","c","d"))))</x:f>
        <x:v>d</x:v>
      </x:c>
      <x:c r="AC271" s="12" t="str">
        <x:f>IF(OR(R271="unavailable",T271="unavailable"),"不可评价",IF(AND(OR(R271="positive",R271="equivocal"),OR(T271="positive",T271="equivocal")),"a",IF(OR(T271="positive",T271="equivocal"),"b",IF(OR(R271="positive",R271="equivocal"),"c","d"))))</x:f>
        <x:v>d</x:v>
      </x:c>
      <x:c r="AD271" s="12" t="str">
        <x:f>IF(OR(R271="unavailable",T271="unavailable"),"不可评价",IF(AND(R271="positive",T271="positive"),"a",IF(T271="positive","b",IF(R271="positive","c","d"))))</x:f>
        <x:v>d</x:v>
      </x:c>
      <x:c r="AE271" s="12" t="str">
        <x:f>IF(OR(W271="unavailable",Y271="unavailable"),"不可评价",IF(AND(OR(W271="positive",W271="equivocal"),OR(Y271="positive",Y271="equivocal")),"a",IF(OR(Y271="positive",Y271="equivocal"),"b",IF(OR(W271="positive",W271="equivocal"),"c","d"))))</x:f>
        <x:v>d</x:v>
      </x:c>
      <x:c r="AF271" s="12" t="str">
        <x:f>IF(OR(W271="unavailable",Y271="unavailable"),"不可评价",IF(AND(W271="positive",Y271="positive"),"a",IF(Y271="positive","b",IF(W271="positive","c","d"))))</x:f>
        <x:v>d</x:v>
      </x:c>
    </x:row>
    <x:row r="272" ht="24" customHeight="1">
      <x:c r="A272" s="12" t="str">
        <x:v>2170</x:v>
      </x:c>
      <x:c r="B272" s="12" t="str">
        <x:v>19360</x:v>
      </x:c>
      <x:c r="C272" s="21" t="n">
        <x:v>32382.831851851854</x:v>
      </x:c>
      <x:c r="D272" s="12" t="n">
        <x:v>76</x:v>
      </x:c>
      <x:c r="E272" s="12" t="n">
        <x:v>1</x:v>
      </x:c>
      <x:c r="F272" s="12" t="str">
        <x:v>未记录</x:v>
      </x:c>
      <x:c r="G272" s="12" t="n">
        <x:v>1</x:v>
      </x:c>
      <x:c r="H272" s="12" t="str">
        <x:v>{'NDT': 100.0, 'SR': 0.0}</x:v>
      </x:c>
      <x:c r="I272" s="12" t="str">
        <x:v>[('NSR', 100.0), ('NT', 100.0), ('AB', 100.0)]</x:v>
      </x:c>
      <x:c r="J272" s="12" t="str">
        <x:v>ptbxl_database.csv；ecg_id=2170；scp_codes</x:v>
      </x:c>
      <x:c r="K272" s="12" t="str">
        <x:v>12sl_statements.csv；ecg_id=2170；statements_ext_snomed</x:v>
      </x:c>
      <x:c r="L272" s="12"/>
      <x:c r="M272" s="12" t="str">
        <x:v>negative</x:v>
      </x:c>
      <x:c r="N272" s="12"/>
      <x:c r="O272" s="12" t="str">
        <x:v>negative</x:v>
      </x:c>
      <x:c r="P272" s="12" t="str">
        <x:f>IF(OR(M272="unavailable",O272="unavailable"),"不可评价",IF(OR(M272="equivocal",O272="equivocal"),"疑似",IF(AND(M272="positive",O272="positive"),"a",IF(O272="positive","b",IF(M272="positive","c","d")))))</x:f>
        <x:v>d</x:v>
      </x:c>
      <x:c r="Q272" s="12"/>
      <x:c r="R272" s="12" t="str">
        <x:v>negative</x:v>
      </x:c>
      <x:c r="S272" s="12"/>
      <x:c r="T272" s="12" t="str">
        <x:v>negative</x:v>
      </x:c>
      <x:c r="U272" s="12" t="str">
        <x:f>IF(OR(R272="unavailable",T272="unavailable"),"不可评价",IF(OR(R272="equivocal",T272="equivocal"),"疑似",IF(AND(R272="positive",T272="positive"),"a",IF(T272="positive","b",IF(R272="positive","c","d")))))</x:f>
        <x:v>d</x:v>
      </x:c>
      <x:c r="V272" s="12"/>
      <x:c r="W272" s="12" t="str">
        <x:v>negative</x:v>
      </x:c>
      <x:c r="X272" s="12"/>
      <x:c r="Y272" s="12" t="str">
        <x:v>negative</x:v>
      </x:c>
      <x:c r="Z272" s="12" t="str">
        <x:f>IF(OR(W272="unavailable",Y272="unavailable"),"不可评价",IF(OR(W272="equivocal",Y272="equivocal"),"疑似",IF(AND(W272="positive",Y272="positive"),"a",IF(Y272="positive","b",IF(W272="positive","c","d")))))</x:f>
        <x:v>d</x:v>
      </x:c>
      <x:c r="AA272" s="12" t="str">
        <x:f>IF(OR(M272="unavailable",O272="unavailable"),"不可评价",IF(AND(OR(M272="positive",M272="equivocal"),OR(O272="positive",O272="equivocal")),"a",IF(OR(O272="positive",O272="equivocal"),"b",IF(OR(M272="positive",M272="equivocal"),"c","d"))))</x:f>
        <x:v>d</x:v>
      </x:c>
      <x:c r="AB272" s="12" t="str">
        <x:f>IF(OR(M272="unavailable",O272="unavailable"),"不可评价",IF(AND(M272="positive",O272="positive"),"a",IF(O272="positive","b",IF(M272="positive","c","d"))))</x:f>
        <x:v>d</x:v>
      </x:c>
      <x:c r="AC272" s="12" t="str">
        <x:f>IF(OR(R272="unavailable",T272="unavailable"),"不可评价",IF(AND(OR(R272="positive",R272="equivocal"),OR(T272="positive",T272="equivocal")),"a",IF(OR(T272="positive",T272="equivocal"),"b",IF(OR(R272="positive",R272="equivocal"),"c","d"))))</x:f>
        <x:v>d</x:v>
      </x:c>
      <x:c r="AD272" s="12" t="str">
        <x:f>IF(OR(R272="unavailable",T272="unavailable"),"不可评价",IF(AND(R272="positive",T272="positive"),"a",IF(T272="positive","b",IF(R272="positive","c","d"))))</x:f>
        <x:v>d</x:v>
      </x:c>
      <x:c r="AE272" s="12" t="str">
        <x:f>IF(OR(W272="unavailable",Y272="unavailable"),"不可评价",IF(AND(OR(W272="positive",W272="equivocal"),OR(Y272="positive",Y272="equivocal")),"a",IF(OR(Y272="positive",Y272="equivocal"),"b",IF(OR(W272="positive",W272="equivocal"),"c","d"))))</x:f>
        <x:v>d</x:v>
      </x:c>
      <x:c r="AF272" s="12" t="str">
        <x:f>IF(OR(W272="unavailable",Y272="unavailable"),"不可评价",IF(AND(W272="positive",Y272="positive"),"a",IF(Y272="positive","b",IF(W272="positive","c","d"))))</x:f>
        <x:v>d</x:v>
      </x:c>
    </x:row>
    <x:row r="273" ht="24" customHeight="1">
      <x:c r="A273" s="12" t="str">
        <x:v>2180</x:v>
      </x:c>
      <x:c r="B273" s="12" t="str">
        <x:v>14400</x:v>
      </x:c>
      <x:c r="C273" s="21" t="n">
        <x:v>32391.472824074073</x:v>
      </x:c>
      <x:c r="D273" s="12" t="n">
        <x:v>57</x:v>
      </x:c>
      <x:c r="E273" s="12" t="n">
        <x:v>1</x:v>
      </x:c>
      <x:c r="F273" s="12" t="str">
        <x:v>未记录</x:v>
      </x:c>
      <x:c r="G273" s="12" t="n">
        <x:v>0</x:v>
      </x:c>
      <x:c r="H273" s="12" t="str">
        <x:v>{'NDT': 100.0, 'SR': 0.0}</x:v>
      </x:c>
      <x:c r="I273" s="12" t="str">
        <x:v>[('NSR', 100.0), ('NT', 100.0), ('AB', 100.0)]</x:v>
      </x:c>
      <x:c r="J273" s="12" t="str">
        <x:v>ptbxl_database.csv；ecg_id=2180；scp_codes</x:v>
      </x:c>
      <x:c r="K273" s="12" t="str">
        <x:v>12sl_statements.csv；ecg_id=2180；statements_ext_snomed</x:v>
      </x:c>
      <x:c r="L273" s="12"/>
      <x:c r="M273" s="12" t="str">
        <x:v>negative</x:v>
      </x:c>
      <x:c r="N273" s="12"/>
      <x:c r="O273" s="12" t="str">
        <x:v>negative</x:v>
      </x:c>
      <x:c r="P273" s="12" t="str">
        <x:f>IF(OR(M273="unavailable",O273="unavailable"),"不可评价",IF(OR(M273="equivocal",O273="equivocal"),"疑似",IF(AND(M273="positive",O273="positive"),"a",IF(O273="positive","b",IF(M273="positive","c","d")))))</x:f>
        <x:v>d</x:v>
      </x:c>
      <x:c r="Q273" s="12"/>
      <x:c r="R273" s="12" t="str">
        <x:v>negative</x:v>
      </x:c>
      <x:c r="S273" s="12"/>
      <x:c r="T273" s="12" t="str">
        <x:v>negative</x:v>
      </x:c>
      <x:c r="U273" s="12" t="str">
        <x:f>IF(OR(R273="unavailable",T273="unavailable"),"不可评价",IF(OR(R273="equivocal",T273="equivocal"),"疑似",IF(AND(R273="positive",T273="positive"),"a",IF(T273="positive","b",IF(R273="positive","c","d")))))</x:f>
        <x:v>d</x:v>
      </x:c>
      <x:c r="V273" s="12"/>
      <x:c r="W273" s="12" t="str">
        <x:v>negative</x:v>
      </x:c>
      <x:c r="X273" s="12"/>
      <x:c r="Y273" s="12" t="str">
        <x:v>negative</x:v>
      </x:c>
      <x:c r="Z273" s="12" t="str">
        <x:f>IF(OR(W273="unavailable",Y273="unavailable"),"不可评价",IF(OR(W273="equivocal",Y273="equivocal"),"疑似",IF(AND(W273="positive",Y273="positive"),"a",IF(Y273="positive","b",IF(W273="positive","c","d")))))</x:f>
        <x:v>d</x:v>
      </x:c>
      <x:c r="AA273" s="12" t="str">
        <x:f>IF(OR(M273="unavailable",O273="unavailable"),"不可评价",IF(AND(OR(M273="positive",M273="equivocal"),OR(O273="positive",O273="equivocal")),"a",IF(OR(O273="positive",O273="equivocal"),"b",IF(OR(M273="positive",M273="equivocal"),"c","d"))))</x:f>
        <x:v>d</x:v>
      </x:c>
      <x:c r="AB273" s="12" t="str">
        <x:f>IF(OR(M273="unavailable",O273="unavailable"),"不可评价",IF(AND(M273="positive",O273="positive"),"a",IF(O273="positive","b",IF(M273="positive","c","d"))))</x:f>
        <x:v>d</x:v>
      </x:c>
      <x:c r="AC273" s="12" t="str">
        <x:f>IF(OR(R273="unavailable",T273="unavailable"),"不可评价",IF(AND(OR(R273="positive",R273="equivocal"),OR(T273="positive",T273="equivocal")),"a",IF(OR(T273="positive",T273="equivocal"),"b",IF(OR(R273="positive",R273="equivocal"),"c","d"))))</x:f>
        <x:v>d</x:v>
      </x:c>
      <x:c r="AD273" s="12" t="str">
        <x:f>IF(OR(R273="unavailable",T273="unavailable"),"不可评价",IF(AND(R273="positive",T273="positive"),"a",IF(T273="positive","b",IF(R273="positive","c","d"))))</x:f>
        <x:v>d</x:v>
      </x:c>
      <x:c r="AE273" s="12" t="str">
        <x:f>IF(OR(W273="unavailable",Y273="unavailable"),"不可评价",IF(AND(OR(W273="positive",W273="equivocal"),OR(Y273="positive",Y273="equivocal")),"a",IF(OR(Y273="positive",Y273="equivocal"),"b",IF(OR(W273="positive",W273="equivocal"),"c","d"))))</x:f>
        <x:v>d</x:v>
      </x:c>
      <x:c r="AF273" s="12" t="str">
        <x:f>IF(OR(W273="unavailable",Y273="unavailable"),"不可评价",IF(AND(W273="positive",Y273="positive"),"a",IF(Y273="positive","b",IF(W273="positive","c","d"))))</x:f>
        <x:v>d</x:v>
      </x:c>
    </x:row>
    <x:row r="274" ht="24" customHeight="1">
      <x:c r="A274" s="12" t="str">
        <x:v>2192</x:v>
      </x:c>
      <x:c r="B274" s="12" t="str">
        <x:v>12208</x:v>
      </x:c>
      <x:c r="C274" s="21" t="n">
        <x:v>32392.33622685185</x:v>
      </x:c>
      <x:c r="D274" s="12" t="n">
        <x:v>31</x:v>
      </x:c>
      <x:c r="E274" s="12" t="n">
        <x:v>1</x:v>
      </x:c>
      <x:c r="F274" s="12" t="str">
        <x:v>存在</x:v>
      </x:c>
      <x:c r="G274" s="12" t="n">
        <x:v>1</x:v>
      </x:c>
      <x:c r="H274" s="12" t="str">
        <x:v>{'NORM': 80.0, 'SBRAD': 0.0}</x:v>
      </x:c>
      <x:c r="I274" s="12" t="str">
        <x:v>[('SBRAD', 100.0), ('ABR', 100.0)]</x:v>
      </x:c>
      <x:c r="J274" s="12" t="str">
        <x:v>ptbxl_database.csv；ecg_id=2192；scp_codes</x:v>
      </x:c>
      <x:c r="K274" s="12" t="str">
        <x:v>12sl_statements.csv；ecg_id=2192；statements_ext_snomed</x:v>
      </x:c>
      <x:c r="L274" s="12"/>
      <x:c r="M274" s="12" t="str">
        <x:v>negative</x:v>
      </x:c>
      <x:c r="N274" s="12"/>
      <x:c r="O274" s="12" t="str">
        <x:v>negative</x:v>
      </x:c>
      <x:c r="P274" s="12" t="str">
        <x:f>IF(OR(M274="unavailable",O274="unavailable"),"不可评价",IF(OR(M274="equivocal",O274="equivocal"),"疑似",IF(AND(M274="positive",O274="positive"),"a",IF(O274="positive","b",IF(M274="positive","c","d")))))</x:f>
        <x:v>d</x:v>
      </x:c>
      <x:c r="Q274" s="12"/>
      <x:c r="R274" s="12" t="str">
        <x:v>negative</x:v>
      </x:c>
      <x:c r="S274" s="12"/>
      <x:c r="T274" s="12" t="str">
        <x:v>negative</x:v>
      </x:c>
      <x:c r="U274" s="12" t="str">
        <x:f>IF(OR(R274="unavailable",T274="unavailable"),"不可评价",IF(OR(R274="equivocal",T274="equivocal"),"疑似",IF(AND(R274="positive",T274="positive"),"a",IF(T274="positive","b",IF(R274="positive","c","d")))))</x:f>
        <x:v>d</x:v>
      </x:c>
      <x:c r="V274" s="12"/>
      <x:c r="W274" s="12" t="str">
        <x:v>negative</x:v>
      </x:c>
      <x:c r="X274" s="12"/>
      <x:c r="Y274" s="12" t="str">
        <x:v>negative</x:v>
      </x:c>
      <x:c r="Z274" s="12" t="str">
        <x:f>IF(OR(W274="unavailable",Y274="unavailable"),"不可评价",IF(OR(W274="equivocal",Y274="equivocal"),"疑似",IF(AND(W274="positive",Y274="positive"),"a",IF(Y274="positive","b",IF(W274="positive","c","d")))))</x:f>
        <x:v>d</x:v>
      </x:c>
      <x:c r="AA274" s="12" t="str">
        <x:f>IF(OR(M274="unavailable",O274="unavailable"),"不可评价",IF(AND(OR(M274="positive",M274="equivocal"),OR(O274="positive",O274="equivocal")),"a",IF(OR(O274="positive",O274="equivocal"),"b",IF(OR(M274="positive",M274="equivocal"),"c","d"))))</x:f>
        <x:v>d</x:v>
      </x:c>
      <x:c r="AB274" s="12" t="str">
        <x:f>IF(OR(M274="unavailable",O274="unavailable"),"不可评价",IF(AND(M274="positive",O274="positive"),"a",IF(O274="positive","b",IF(M274="positive","c","d"))))</x:f>
        <x:v>d</x:v>
      </x:c>
      <x:c r="AC274" s="12" t="str">
        <x:f>IF(OR(R274="unavailable",T274="unavailable"),"不可评价",IF(AND(OR(R274="positive",R274="equivocal"),OR(T274="positive",T274="equivocal")),"a",IF(OR(T274="positive",T274="equivocal"),"b",IF(OR(R274="positive",R274="equivocal"),"c","d"))))</x:f>
        <x:v>d</x:v>
      </x:c>
      <x:c r="AD274" s="12" t="str">
        <x:f>IF(OR(R274="unavailable",T274="unavailable"),"不可评价",IF(AND(R274="positive",T274="positive"),"a",IF(T274="positive","b",IF(R274="positive","c","d"))))</x:f>
        <x:v>d</x:v>
      </x:c>
      <x:c r="AE274" s="12" t="str">
        <x:f>IF(OR(W274="unavailable",Y274="unavailable"),"不可评价",IF(AND(OR(W274="positive",W274="equivocal"),OR(Y274="positive",Y274="equivocal")),"a",IF(OR(Y274="positive",Y274="equivocal"),"b",IF(OR(W274="positive",W274="equivocal"),"c","d"))))</x:f>
        <x:v>d</x:v>
      </x:c>
      <x:c r="AF274" s="12" t="str">
        <x:f>IF(OR(W274="unavailable",Y274="unavailable"),"不可评价",IF(AND(W274="positive",Y274="positive"),"a",IF(Y274="positive","b",IF(W274="positive","c","d"))))</x:f>
        <x:v>d</x:v>
      </x:c>
    </x:row>
    <x:row r="275" ht="24" customHeight="1">
      <x:c r="A275" s="12" t="str">
        <x:v>2193</x:v>
      </x:c>
      <x:c r="B275" s="12" t="str">
        <x:v>12208</x:v>
      </x:c>
      <x:c r="C275" s="21" t="n">
        <x:v>32392.336944444443</x:v>
      </x:c>
      <x:c r="D275" s="12" t="n">
        <x:v>31</x:v>
      </x:c>
      <x:c r="E275" s="12" t="n">
        <x:v>1</x:v>
      </x:c>
      <x:c r="F275" s="12" t="str">
        <x:v>存在</x:v>
      </x:c>
      <x:c r="G275" s="12" t="n">
        <x:v>0</x:v>
      </x:c>
      <x:c r="H275" s="12" t="str">
        <x:v>{'NORM': 100.0, 'SR': 0.0}</x:v>
      </x:c>
      <x:c r="I275" s="12" t="str">
        <x:v>[('SBRAD', 100.0), ('SPR', 100.0), ('ABR', 100.0)]</x:v>
      </x:c>
      <x:c r="J275" s="12" t="str">
        <x:v>ptbxl_database.csv；ecg_id=2193；scp_codes</x:v>
      </x:c>
      <x:c r="K275" s="12" t="str">
        <x:v>12sl_statements.csv；ecg_id=2193；statements_ext_snomed</x:v>
      </x:c>
      <x:c r="L275" s="12"/>
      <x:c r="M275" s="12" t="str">
        <x:v>negative</x:v>
      </x:c>
      <x:c r="N275" s="12"/>
      <x:c r="O275" s="12" t="str">
        <x:v>negative</x:v>
      </x:c>
      <x:c r="P275" s="12" t="str">
        <x:f>IF(OR(M275="unavailable",O275="unavailable"),"不可评价",IF(OR(M275="equivocal",O275="equivocal"),"疑似",IF(AND(M275="positive",O275="positive"),"a",IF(O275="positive","b",IF(M275="positive","c","d")))))</x:f>
        <x:v>d</x:v>
      </x:c>
      <x:c r="Q275" s="12"/>
      <x:c r="R275" s="12" t="str">
        <x:v>negative</x:v>
      </x:c>
      <x:c r="S275" s="12"/>
      <x:c r="T275" s="12" t="str">
        <x:v>negative</x:v>
      </x:c>
      <x:c r="U275" s="12" t="str">
        <x:f>IF(OR(R275="unavailable",T275="unavailable"),"不可评价",IF(OR(R275="equivocal",T275="equivocal"),"疑似",IF(AND(R275="positive",T275="positive"),"a",IF(T275="positive","b",IF(R275="positive","c","d")))))</x:f>
        <x:v>d</x:v>
      </x:c>
      <x:c r="V275" s="12"/>
      <x:c r="W275" s="12" t="str">
        <x:v>negative</x:v>
      </x:c>
      <x:c r="X275" s="12"/>
      <x:c r="Y275" s="12" t="str">
        <x:v>negative</x:v>
      </x:c>
      <x:c r="Z275" s="12" t="str">
        <x:f>IF(OR(W275="unavailable",Y275="unavailable"),"不可评价",IF(OR(W275="equivocal",Y275="equivocal"),"疑似",IF(AND(W275="positive",Y275="positive"),"a",IF(Y275="positive","b",IF(W275="positive","c","d")))))</x:f>
        <x:v>d</x:v>
      </x:c>
      <x:c r="AA275" s="12" t="str">
        <x:f>IF(OR(M275="unavailable",O275="unavailable"),"不可评价",IF(AND(OR(M275="positive",M275="equivocal"),OR(O275="positive",O275="equivocal")),"a",IF(OR(O275="positive",O275="equivocal"),"b",IF(OR(M275="positive",M275="equivocal"),"c","d"))))</x:f>
        <x:v>d</x:v>
      </x:c>
      <x:c r="AB275" s="12" t="str">
        <x:f>IF(OR(M275="unavailable",O275="unavailable"),"不可评价",IF(AND(M275="positive",O275="positive"),"a",IF(O275="positive","b",IF(M275="positive","c","d"))))</x:f>
        <x:v>d</x:v>
      </x:c>
      <x:c r="AC275" s="12" t="str">
        <x:f>IF(OR(R275="unavailable",T275="unavailable"),"不可评价",IF(AND(OR(R275="positive",R275="equivocal"),OR(T275="positive",T275="equivocal")),"a",IF(OR(T275="positive",T275="equivocal"),"b",IF(OR(R275="positive",R275="equivocal"),"c","d"))))</x:f>
        <x:v>d</x:v>
      </x:c>
      <x:c r="AD275" s="12" t="str">
        <x:f>IF(OR(R275="unavailable",T275="unavailable"),"不可评价",IF(AND(R275="positive",T275="positive"),"a",IF(T275="positive","b",IF(R275="positive","c","d"))))</x:f>
        <x:v>d</x:v>
      </x:c>
      <x:c r="AE275" s="12" t="str">
        <x:f>IF(OR(W275="unavailable",Y275="unavailable"),"不可评价",IF(AND(OR(W275="positive",W275="equivocal"),OR(Y275="positive",Y275="equivocal")),"a",IF(OR(Y275="positive",Y275="equivocal"),"b",IF(OR(W275="positive",W275="equivocal"),"c","d"))))</x:f>
        <x:v>d</x:v>
      </x:c>
      <x:c r="AF275" s="12" t="str">
        <x:f>IF(OR(W275="unavailable",Y275="unavailable"),"不可评价",IF(AND(W275="positive",Y275="positive"),"a",IF(Y275="positive","b",IF(W275="positive","c","d"))))</x:f>
        <x:v>d</x:v>
      </x:c>
    </x:row>
    <x:row r="276" ht="24" customHeight="1">
      <x:c r="A276" s="12" t="str">
        <x:v>2203</x:v>
      </x:c>
      <x:c r="B276" s="12" t="str">
        <x:v>7921</x:v>
      </x:c>
      <x:c r="C276" s="21" t="n">
        <x:v>32395.8371875</x:v>
      </x:c>
      <x:c r="D276" s="12" t="n">
        <x:v>58</x:v>
      </x:c>
      <x:c r="E276" s="12" t="n">
        <x:v>1</x:v>
      </x:c>
      <x:c r="F276" s="12" t="str">
        <x:v>未记录</x:v>
      </x:c>
      <x:c r="G276" s="12" t="n">
        <x:v>1</x:v>
      </x:c>
      <x:c r="H276" s="12" t="str">
        <x:v>{'NORM': 100.0, 'SR': 0.0}</x:v>
      </x:c>
      <x:c r="I276" s="12" t="str">
        <x:v>[('NSR', 100.0), ('NML', 100.0)]</x:v>
      </x:c>
      <x:c r="J276" s="12" t="str">
        <x:v>ptbxl_database.csv；ecg_id=2203；scp_codes</x:v>
      </x:c>
      <x:c r="K276" s="12" t="str">
        <x:v>12sl_statements.csv；ecg_id=2203；statements_ext_snomed</x:v>
      </x:c>
      <x:c r="L276" s="12"/>
      <x:c r="M276" s="12" t="str">
        <x:v>negative</x:v>
      </x:c>
      <x:c r="N276" s="12"/>
      <x:c r="O276" s="12" t="str">
        <x:v>negative</x:v>
      </x:c>
      <x:c r="P276" s="12" t="str">
        <x:f>IF(OR(M276="unavailable",O276="unavailable"),"不可评价",IF(OR(M276="equivocal",O276="equivocal"),"疑似",IF(AND(M276="positive",O276="positive"),"a",IF(O276="positive","b",IF(M276="positive","c","d")))))</x:f>
        <x:v>d</x:v>
      </x:c>
      <x:c r="Q276" s="12"/>
      <x:c r="R276" s="12" t="str">
        <x:v>negative</x:v>
      </x:c>
      <x:c r="S276" s="12"/>
      <x:c r="T276" s="12" t="str">
        <x:v>negative</x:v>
      </x:c>
      <x:c r="U276" s="12" t="str">
        <x:f>IF(OR(R276="unavailable",T276="unavailable"),"不可评价",IF(OR(R276="equivocal",T276="equivocal"),"疑似",IF(AND(R276="positive",T276="positive"),"a",IF(T276="positive","b",IF(R276="positive","c","d")))))</x:f>
        <x:v>d</x:v>
      </x:c>
      <x:c r="V276" s="12"/>
      <x:c r="W276" s="12" t="str">
        <x:v>negative</x:v>
      </x:c>
      <x:c r="X276" s="12"/>
      <x:c r="Y276" s="12" t="str">
        <x:v>negative</x:v>
      </x:c>
      <x:c r="Z276" s="12" t="str">
        <x:f>IF(OR(W276="unavailable",Y276="unavailable"),"不可评价",IF(OR(W276="equivocal",Y276="equivocal"),"疑似",IF(AND(W276="positive",Y276="positive"),"a",IF(Y276="positive","b",IF(W276="positive","c","d")))))</x:f>
        <x:v>d</x:v>
      </x:c>
      <x:c r="AA276" s="12" t="str">
        <x:f>IF(OR(M276="unavailable",O276="unavailable"),"不可评价",IF(AND(OR(M276="positive",M276="equivocal"),OR(O276="positive",O276="equivocal")),"a",IF(OR(O276="positive",O276="equivocal"),"b",IF(OR(M276="positive",M276="equivocal"),"c","d"))))</x:f>
        <x:v>d</x:v>
      </x:c>
      <x:c r="AB276" s="12" t="str">
        <x:f>IF(OR(M276="unavailable",O276="unavailable"),"不可评价",IF(AND(M276="positive",O276="positive"),"a",IF(O276="positive","b",IF(M276="positive","c","d"))))</x:f>
        <x:v>d</x:v>
      </x:c>
      <x:c r="AC276" s="12" t="str">
        <x:f>IF(OR(R276="unavailable",T276="unavailable"),"不可评价",IF(AND(OR(R276="positive",R276="equivocal"),OR(T276="positive",T276="equivocal")),"a",IF(OR(T276="positive",T276="equivocal"),"b",IF(OR(R276="positive",R276="equivocal"),"c","d"))))</x:f>
        <x:v>d</x:v>
      </x:c>
      <x:c r="AD276" s="12" t="str">
        <x:f>IF(OR(R276="unavailable",T276="unavailable"),"不可评价",IF(AND(R276="positive",T276="positive"),"a",IF(T276="positive","b",IF(R276="positive","c","d"))))</x:f>
        <x:v>d</x:v>
      </x:c>
      <x:c r="AE276" s="12" t="str">
        <x:f>IF(OR(W276="unavailable",Y276="unavailable"),"不可评价",IF(AND(OR(W276="positive",W276="equivocal"),OR(Y276="positive",Y276="equivocal")),"a",IF(OR(Y276="positive",Y276="equivocal"),"b",IF(OR(W276="positive",W276="equivocal"),"c","d"))))</x:f>
        <x:v>d</x:v>
      </x:c>
      <x:c r="AF276" s="12" t="str">
        <x:f>IF(OR(W276="unavailable",Y276="unavailable"),"不可评价",IF(AND(W276="positive",Y276="positive"),"a",IF(Y276="positive","b",IF(W276="positive","c","d"))))</x:f>
        <x:v>d</x:v>
      </x:c>
    </x:row>
    <x:row r="277" ht="24" customHeight="1">
      <x:c r="A277" s="12" t="str">
        <x:v>2210</x:v>
      </x:c>
      <x:c r="B277" s="12" t="str">
        <x:v>2760</x:v>
      </x:c>
      <x:c r="C277" s="21" t="n">
        <x:v>32396.708796296298</x:v>
      </x:c>
      <x:c r="D277" s="12" t="n">
        <x:v>44</x:v>
      </x:c>
      <x:c r="E277" s="12" t="n">
        <x:v>1</x:v>
      </x:c>
      <x:c r="F277" s="12" t="str">
        <x:v>未记录</x:v>
      </x:c>
      <x:c r="G277" s="12" t="n">
        <x:v>1</x:v>
      </x:c>
      <x:c r="H277" s="12" t="str">
        <x:v>{'NDT': 100.0, 'INVT': 0.0, 'LOWT': 0.0, 'SR': 0.0}</x:v>
      </x:c>
      <x:c r="I277" s="12" t="str">
        <x:v>[('NSR', 100.0), ('NSTT', 100.0), ('AB', 100.0)]</x:v>
      </x:c>
      <x:c r="J277" s="12" t="str">
        <x:v>ptbxl_database.csv；ecg_id=2210；scp_codes</x:v>
      </x:c>
      <x:c r="K277" s="12" t="str">
        <x:v>12sl_statements.csv；ecg_id=2210；statements_ext_snomed</x:v>
      </x:c>
      <x:c r="L277" s="12"/>
      <x:c r="M277" s="12" t="str">
        <x:v>negative</x:v>
      </x:c>
      <x:c r="N277" s="12"/>
      <x:c r="O277" s="12" t="str">
        <x:v>negative</x:v>
      </x:c>
      <x:c r="P277" s="12" t="str">
        <x:f>IF(OR(M277="unavailable",O277="unavailable"),"不可评价",IF(OR(M277="equivocal",O277="equivocal"),"疑似",IF(AND(M277="positive",O277="positive"),"a",IF(O277="positive","b",IF(M277="positive","c","d")))))</x:f>
        <x:v>d</x:v>
      </x:c>
      <x:c r="Q277" s="12"/>
      <x:c r="R277" s="12" t="str">
        <x:v>negative</x:v>
      </x:c>
      <x:c r="S277" s="12"/>
      <x:c r="T277" s="12" t="str">
        <x:v>negative</x:v>
      </x:c>
      <x:c r="U277" s="12" t="str">
        <x:f>IF(OR(R277="unavailable",T277="unavailable"),"不可评价",IF(OR(R277="equivocal",T277="equivocal"),"疑似",IF(AND(R277="positive",T277="positive"),"a",IF(T277="positive","b",IF(R277="positive","c","d")))))</x:f>
        <x:v>d</x:v>
      </x:c>
      <x:c r="V277" s="12"/>
      <x:c r="W277" s="12" t="str">
        <x:v>negative</x:v>
      </x:c>
      <x:c r="X277" s="12"/>
      <x:c r="Y277" s="12" t="str">
        <x:v>negative</x:v>
      </x:c>
      <x:c r="Z277" s="12" t="str">
        <x:f>IF(OR(W277="unavailable",Y277="unavailable"),"不可评价",IF(OR(W277="equivocal",Y277="equivocal"),"疑似",IF(AND(W277="positive",Y277="positive"),"a",IF(Y277="positive","b",IF(W277="positive","c","d")))))</x:f>
        <x:v>d</x:v>
      </x:c>
      <x:c r="AA277" s="12" t="str">
        <x:f>IF(OR(M277="unavailable",O277="unavailable"),"不可评价",IF(AND(OR(M277="positive",M277="equivocal"),OR(O277="positive",O277="equivocal")),"a",IF(OR(O277="positive",O277="equivocal"),"b",IF(OR(M277="positive",M277="equivocal"),"c","d"))))</x:f>
        <x:v>d</x:v>
      </x:c>
      <x:c r="AB277" s="12" t="str">
        <x:f>IF(OR(M277="unavailable",O277="unavailable"),"不可评价",IF(AND(M277="positive",O277="positive"),"a",IF(O277="positive","b",IF(M277="positive","c","d"))))</x:f>
        <x:v>d</x:v>
      </x:c>
      <x:c r="AC277" s="12" t="str">
        <x:f>IF(OR(R277="unavailable",T277="unavailable"),"不可评价",IF(AND(OR(R277="positive",R277="equivocal"),OR(T277="positive",T277="equivocal")),"a",IF(OR(T277="positive",T277="equivocal"),"b",IF(OR(R277="positive",R277="equivocal"),"c","d"))))</x:f>
        <x:v>d</x:v>
      </x:c>
      <x:c r="AD277" s="12" t="str">
        <x:f>IF(OR(R277="unavailable",T277="unavailable"),"不可评价",IF(AND(R277="positive",T277="positive"),"a",IF(T277="positive","b",IF(R277="positive","c","d"))))</x:f>
        <x:v>d</x:v>
      </x:c>
      <x:c r="AE277" s="12" t="str">
        <x:f>IF(OR(W277="unavailable",Y277="unavailable"),"不可评价",IF(AND(OR(W277="positive",W277="equivocal"),OR(Y277="positive",Y277="equivocal")),"a",IF(OR(Y277="positive",Y277="equivocal"),"b",IF(OR(W277="positive",W277="equivocal"),"c","d"))))</x:f>
        <x:v>d</x:v>
      </x:c>
      <x:c r="AF277" s="12" t="str">
        <x:f>IF(OR(W277="unavailable",Y277="unavailable"),"不可评价",IF(AND(W277="positive",Y277="positive"),"a",IF(Y277="positive","b",IF(W277="positive","c","d"))))</x:f>
        <x:v>d</x:v>
      </x:c>
    </x:row>
    <x:row r="278" ht="24" customHeight="1">
      <x:c r="A278" s="12" t="str">
        <x:v>2213</x:v>
      </x:c>
      <x:c r="B278" s="12" t="str">
        <x:v>7283</x:v>
      </x:c>
      <x:c r="C278" s="21" t="n">
        <x:v>32397.505011574074</x:v>
      </x:c>
      <x:c r="D278" s="12" t="n">
        <x:v>58</x:v>
      </x:c>
      <x:c r="E278" s="12" t="n">
        <x:v>0</x:v>
      </x:c>
      <x:c r="F278" s="12" t="str">
        <x:v>未记录</x:v>
      </x:c>
      <x:c r="G278" s="12" t="n">
        <x:v>1</x:v>
      </x:c>
      <x:c r="H278" s="12" t="str">
        <x:v>{'NDT': 100.0, 'LVH': 100.0, 'VCLVH': 0.0, 'LOWT': 0.0, 'SR': 0.0}</x:v>
      </x:c>
      <x:c r="I278" s="12" t="str">
        <x:v>[('SBRAD', 100.0), ('NT', 100.0), ('AB', 100.0)]</x:v>
      </x:c>
      <x:c r="J278" s="12" t="str">
        <x:v>ptbxl_database.csv；ecg_id=2213；scp_codes</x:v>
      </x:c>
      <x:c r="K278" s="12" t="str">
        <x:v>12sl_statements.csv；ecg_id=2213；statements_ext_snomed</x:v>
      </x:c>
      <x:c r="L278" s="12"/>
      <x:c r="M278" s="12" t="str">
        <x:v>negative</x:v>
      </x:c>
      <x:c r="N278" s="12"/>
      <x:c r="O278" s="12" t="str">
        <x:v>negative</x:v>
      </x:c>
      <x:c r="P278" s="12" t="str">
        <x:f>IF(OR(M278="unavailable",O278="unavailable"),"不可评价",IF(OR(M278="equivocal",O278="equivocal"),"疑似",IF(AND(M278="positive",O278="positive"),"a",IF(O278="positive","b",IF(M278="positive","c","d")))))</x:f>
        <x:v>d</x:v>
      </x:c>
      <x:c r="Q278" s="12"/>
      <x:c r="R278" s="12" t="str">
        <x:v>negative</x:v>
      </x:c>
      <x:c r="S278" s="12"/>
      <x:c r="T278" s="12" t="str">
        <x:v>negative</x:v>
      </x:c>
      <x:c r="U278" s="12" t="str">
        <x:f>IF(OR(R278="unavailable",T278="unavailable"),"不可评价",IF(OR(R278="equivocal",T278="equivocal"),"疑似",IF(AND(R278="positive",T278="positive"),"a",IF(T278="positive","b",IF(R278="positive","c","d")))))</x:f>
        <x:v>d</x:v>
      </x:c>
      <x:c r="V278" s="12"/>
      <x:c r="W278" s="12" t="str">
        <x:v>negative</x:v>
      </x:c>
      <x:c r="X278" s="12"/>
      <x:c r="Y278" s="12" t="str">
        <x:v>negative</x:v>
      </x:c>
      <x:c r="Z278" s="12" t="str">
        <x:f>IF(OR(W278="unavailable",Y278="unavailable"),"不可评价",IF(OR(W278="equivocal",Y278="equivocal"),"疑似",IF(AND(W278="positive",Y278="positive"),"a",IF(Y278="positive","b",IF(W278="positive","c","d")))))</x:f>
        <x:v>d</x:v>
      </x:c>
      <x:c r="AA278" s="12" t="str">
        <x:f>IF(OR(M278="unavailable",O278="unavailable"),"不可评价",IF(AND(OR(M278="positive",M278="equivocal"),OR(O278="positive",O278="equivocal")),"a",IF(OR(O278="positive",O278="equivocal"),"b",IF(OR(M278="positive",M278="equivocal"),"c","d"))))</x:f>
        <x:v>d</x:v>
      </x:c>
      <x:c r="AB278" s="12" t="str">
        <x:f>IF(OR(M278="unavailable",O278="unavailable"),"不可评价",IF(AND(M278="positive",O278="positive"),"a",IF(O278="positive","b",IF(M278="positive","c","d"))))</x:f>
        <x:v>d</x:v>
      </x:c>
      <x:c r="AC278" s="12" t="str">
        <x:f>IF(OR(R278="unavailable",T278="unavailable"),"不可评价",IF(AND(OR(R278="positive",R278="equivocal"),OR(T278="positive",T278="equivocal")),"a",IF(OR(T278="positive",T278="equivocal"),"b",IF(OR(R278="positive",R278="equivocal"),"c","d"))))</x:f>
        <x:v>d</x:v>
      </x:c>
      <x:c r="AD278" s="12" t="str">
        <x:f>IF(OR(R278="unavailable",T278="unavailable"),"不可评价",IF(AND(R278="positive",T278="positive"),"a",IF(T278="positive","b",IF(R278="positive","c","d"))))</x:f>
        <x:v>d</x:v>
      </x:c>
      <x:c r="AE278" s="12" t="str">
        <x:f>IF(OR(W278="unavailable",Y278="unavailable"),"不可评价",IF(AND(OR(W278="positive",W278="equivocal"),OR(Y278="positive",Y278="equivocal")),"a",IF(OR(Y278="positive",Y278="equivocal"),"b",IF(OR(W278="positive",W278="equivocal"),"c","d"))))</x:f>
        <x:v>d</x:v>
      </x:c>
      <x:c r="AF278" s="12" t="str">
        <x:f>IF(OR(W278="unavailable",Y278="unavailable"),"不可评价",IF(AND(W278="positive",Y278="positive"),"a",IF(Y278="positive","b",IF(W278="positive","c","d"))))</x:f>
        <x:v>d</x:v>
      </x:c>
    </x:row>
    <x:row r="279" ht="39" customHeight="1">
      <x:c r="A279" s="12" t="str">
        <x:v>2221</x:v>
      </x:c>
      <x:c r="B279" s="12" t="str">
        <x:v>6504</x:v>
      </x:c>
      <x:c r="C279" s="21" t="n">
        <x:v>32398.412210648148</x:v>
      </x:c>
      <x:c r="D279" s="12" t="n">
        <x:v>70</x:v>
      </x:c>
      <x:c r="E279" s="12" t="n">
        <x:v>1</x:v>
      </x:c>
      <x:c r="F279" s="12" t="str">
        <x:v>未记录</x:v>
      </x:c>
      <x:c r="G279" s="12" t="n">
        <x:v>1</x:v>
      </x:c>
      <x:c r="H279" s="12" t="str">
        <x:v>{'ASMI': 15.0, 'ILMI': 50.0, 'LNGQT': 100.0, 'EL': 100.0, 'INVT': 0.0, 'SR': 0.0}</x:v>
      </x:c>
      <x:c r="I279" s="12" t="str">
        <x:v>[('NSR', 100.0), ('NT', 100.0), ('AB', 100.0)]</x:v>
      </x:c>
      <x:c r="J279" s="12" t="str">
        <x:v>ptbxl_database.csv；ecg_id=2221；scp_codes</x:v>
      </x:c>
      <x:c r="K279" s="12" t="str">
        <x:v>12sl_statements.csv；ecg_id=2221；statements_ext_snomed</x:v>
      </x:c>
      <x:c r="L279" s="12"/>
      <x:c r="M279" s="12" t="str">
        <x:v>negative</x:v>
      </x:c>
      <x:c r="N279" s="12"/>
      <x:c r="O279" s="12" t="str">
        <x:v>negative</x:v>
      </x:c>
      <x:c r="P279" s="12" t="str">
        <x:f>IF(OR(M279="unavailable",O279="unavailable"),"不可评价",IF(OR(M279="equivocal",O279="equivocal"),"疑似",IF(AND(M279="positive",O279="positive"),"a",IF(O279="positive","b",IF(M279="positive","c","d")))))</x:f>
        <x:v>d</x:v>
      </x:c>
      <x:c r="Q279" s="12"/>
      <x:c r="R279" s="12" t="str">
        <x:v>negative</x:v>
      </x:c>
      <x:c r="S279" s="12"/>
      <x:c r="T279" s="12" t="str">
        <x:v>negative</x:v>
      </x:c>
      <x:c r="U279" s="12" t="str">
        <x:f>IF(OR(R279="unavailable",T279="unavailable"),"不可评价",IF(OR(R279="equivocal",T279="equivocal"),"疑似",IF(AND(R279="positive",T279="positive"),"a",IF(T279="positive","b",IF(R279="positive","c","d")))))</x:f>
        <x:v>d</x:v>
      </x:c>
      <x:c r="V279" s="12"/>
      <x:c r="W279" s="12" t="str">
        <x:v>negative</x:v>
      </x:c>
      <x:c r="X279" s="12"/>
      <x:c r="Y279" s="12" t="str">
        <x:v>negative</x:v>
      </x:c>
      <x:c r="Z279" s="12" t="str">
        <x:f>IF(OR(W279="unavailable",Y279="unavailable"),"不可评价",IF(OR(W279="equivocal",Y279="equivocal"),"疑似",IF(AND(W279="positive",Y279="positive"),"a",IF(Y279="positive","b",IF(W279="positive","c","d")))))</x:f>
        <x:v>d</x:v>
      </x:c>
      <x:c r="AA279" s="12" t="str">
        <x:f>IF(OR(M279="unavailable",O279="unavailable"),"不可评价",IF(AND(OR(M279="positive",M279="equivocal"),OR(O279="positive",O279="equivocal")),"a",IF(OR(O279="positive",O279="equivocal"),"b",IF(OR(M279="positive",M279="equivocal"),"c","d"))))</x:f>
        <x:v>d</x:v>
      </x:c>
      <x:c r="AB279" s="12" t="str">
        <x:f>IF(OR(M279="unavailable",O279="unavailable"),"不可评价",IF(AND(M279="positive",O279="positive"),"a",IF(O279="positive","b",IF(M279="positive","c","d"))))</x:f>
        <x:v>d</x:v>
      </x:c>
      <x:c r="AC279" s="12" t="str">
        <x:f>IF(OR(R279="unavailable",T279="unavailable"),"不可评价",IF(AND(OR(R279="positive",R279="equivocal"),OR(T279="positive",T279="equivocal")),"a",IF(OR(T279="positive",T279="equivocal"),"b",IF(OR(R279="positive",R279="equivocal"),"c","d"))))</x:f>
        <x:v>d</x:v>
      </x:c>
      <x:c r="AD279" s="12" t="str">
        <x:f>IF(OR(R279="unavailable",T279="unavailable"),"不可评价",IF(AND(R279="positive",T279="positive"),"a",IF(T279="positive","b",IF(R279="positive","c","d"))))</x:f>
        <x:v>d</x:v>
      </x:c>
      <x:c r="AE279" s="12" t="str">
        <x:f>IF(OR(W279="unavailable",Y279="unavailable"),"不可评价",IF(AND(OR(W279="positive",W279="equivocal"),OR(Y279="positive",Y279="equivocal")),"a",IF(OR(Y279="positive",Y279="equivocal"),"b",IF(OR(W279="positive",W279="equivocal"),"c","d"))))</x:f>
        <x:v>d</x:v>
      </x:c>
      <x:c r="AF279" s="12" t="str">
        <x:f>IF(OR(W279="unavailable",Y279="unavailable"),"不可评价",IF(AND(W279="positive",Y279="positive"),"a",IF(Y279="positive","b",IF(W279="positive","c","d"))))</x:f>
        <x:v>d</x:v>
      </x:c>
    </x:row>
    <x:row r="280" ht="24" customHeight="1">
      <x:c r="A280" s="12" t="str">
        <x:v>2224</x:v>
      </x:c>
      <x:c r="B280" s="12" t="str">
        <x:v>6810</x:v>
      </x:c>
      <x:c r="C280" s="21" t="n">
        <x:v>32398.48945601852</x:v>
      </x:c>
      <x:c r="D280" s="12" t="n">
        <x:v>56</x:v>
      </x:c>
      <x:c r="E280" s="12" t="n">
        <x:v>1</x:v>
      </x:c>
      <x:c r="F280" s="12" t="str">
        <x:v>未记录</x:v>
      </x:c>
      <x:c r="G280" s="12" t="n">
        <x:v>1</x:v>
      </x:c>
      <x:c r="H280" s="12" t="str">
        <x:v>{'NORM': 100.0, 'SR': 0.0}</x:v>
      </x:c>
      <x:c r="I280" s="12" t="str">
        <x:v>[('SRTH', 100.0), ('FAV', 100.0), ('ABR', 100.0)]</x:v>
      </x:c>
      <x:c r="J280" s="12" t="str">
        <x:v>ptbxl_database.csv；ecg_id=2224；scp_codes</x:v>
      </x:c>
      <x:c r="K280" s="12" t="str">
        <x:v>12sl_statements.csv；ecg_id=2224；statements_ext_snomed</x:v>
      </x:c>
      <x:c r="L280" s="12"/>
      <x:c r="M280" s="12" t="str">
        <x:v>negative</x:v>
      </x:c>
      <x:c r="N280" s="12"/>
      <x:c r="O280" s="12" t="str">
        <x:v>negative</x:v>
      </x:c>
      <x:c r="P280" s="12" t="str">
        <x:f>IF(OR(M280="unavailable",O280="unavailable"),"不可评价",IF(OR(M280="equivocal",O280="equivocal"),"疑似",IF(AND(M280="positive",O280="positive"),"a",IF(O280="positive","b",IF(M280="positive","c","d")))))</x:f>
        <x:v>d</x:v>
      </x:c>
      <x:c r="Q280" s="12"/>
      <x:c r="R280" s="12" t="str">
        <x:v>negative</x:v>
      </x:c>
      <x:c r="S280" s="12"/>
      <x:c r="T280" s="12" t="str">
        <x:v>negative</x:v>
      </x:c>
      <x:c r="U280" s="12" t="str">
        <x:f>IF(OR(R280="unavailable",T280="unavailable"),"不可评价",IF(OR(R280="equivocal",T280="equivocal"),"疑似",IF(AND(R280="positive",T280="positive"),"a",IF(T280="positive","b",IF(R280="positive","c","d")))))</x:f>
        <x:v>d</x:v>
      </x:c>
      <x:c r="V280" s="12"/>
      <x:c r="W280" s="12" t="str">
        <x:v>negative</x:v>
      </x:c>
      <x:c r="X280" s="12"/>
      <x:c r="Y280" s="12" t="str">
        <x:v>negative</x:v>
      </x:c>
      <x:c r="Z280" s="12" t="str">
        <x:f>IF(OR(W280="unavailable",Y280="unavailable"),"不可评价",IF(OR(W280="equivocal",Y280="equivocal"),"疑似",IF(AND(W280="positive",Y280="positive"),"a",IF(Y280="positive","b",IF(W280="positive","c","d")))))</x:f>
        <x:v>d</x:v>
      </x:c>
      <x:c r="AA280" s="12" t="str">
        <x:f>IF(OR(M280="unavailable",O280="unavailable"),"不可评价",IF(AND(OR(M280="positive",M280="equivocal"),OR(O280="positive",O280="equivocal")),"a",IF(OR(O280="positive",O280="equivocal"),"b",IF(OR(M280="positive",M280="equivocal"),"c","d"))))</x:f>
        <x:v>d</x:v>
      </x:c>
      <x:c r="AB280" s="12" t="str">
        <x:f>IF(OR(M280="unavailable",O280="unavailable"),"不可评价",IF(AND(M280="positive",O280="positive"),"a",IF(O280="positive","b",IF(M280="positive","c","d"))))</x:f>
        <x:v>d</x:v>
      </x:c>
      <x:c r="AC280" s="12" t="str">
        <x:f>IF(OR(R280="unavailable",T280="unavailable"),"不可评价",IF(AND(OR(R280="positive",R280="equivocal"),OR(T280="positive",T280="equivocal")),"a",IF(OR(T280="positive",T280="equivocal"),"b",IF(OR(R280="positive",R280="equivocal"),"c","d"))))</x:f>
        <x:v>d</x:v>
      </x:c>
      <x:c r="AD280" s="12" t="str">
        <x:f>IF(OR(R280="unavailable",T280="unavailable"),"不可评价",IF(AND(R280="positive",T280="positive"),"a",IF(T280="positive","b",IF(R280="positive","c","d"))))</x:f>
        <x:v>d</x:v>
      </x:c>
      <x:c r="AE280" s="12" t="str">
        <x:f>IF(OR(W280="unavailable",Y280="unavailable"),"不可评价",IF(AND(OR(W280="positive",W280="equivocal"),OR(Y280="positive",Y280="equivocal")),"a",IF(OR(Y280="positive",Y280="equivocal"),"b",IF(OR(W280="positive",W280="equivocal"),"c","d"))))</x:f>
        <x:v>d</x:v>
      </x:c>
      <x:c r="AF280" s="12" t="str">
        <x:f>IF(OR(W280="unavailable",Y280="unavailable"),"不可评价",IF(AND(W280="positive",Y280="positive"),"a",IF(Y280="positive","b",IF(W280="positive","c","d"))))</x:f>
        <x:v>d</x:v>
      </x:c>
    </x:row>
    <x:row r="281" ht="24" customHeight="1">
      <x:c r="A281" s="12" t="str">
        <x:v>2226</x:v>
      </x:c>
      <x:c r="B281" s="12" t="str">
        <x:v>7071</x:v>
      </x:c>
      <x:c r="C281" s="21" t="n">
        <x:v>32398.561724537038</x:v>
      </x:c>
      <x:c r="D281" s="12" t="n">
        <x:v>56</x:v>
      </x:c>
      <x:c r="E281" s="12" t="n">
        <x:v>1</x:v>
      </x:c>
      <x:c r="F281" s="12" t="str">
        <x:v>未记录</x:v>
      </x:c>
      <x:c r="G281" s="12" t="n">
        <x:v>1</x:v>
      </x:c>
      <x:c r="H281" s="12" t="str">
        <x:v>{'NORM': 100.0, 'SR': 0.0}</x:v>
      </x:c>
      <x:c r="I281" s="12" t="str">
        <x:v>[('NSR', 100.0), ('NML', 100.0)]</x:v>
      </x:c>
      <x:c r="J281" s="12" t="str">
        <x:v>ptbxl_database.csv；ecg_id=2226；scp_codes</x:v>
      </x:c>
      <x:c r="K281" s="12" t="str">
        <x:v>12sl_statements.csv；ecg_id=2226；statements_ext_snomed</x:v>
      </x:c>
      <x:c r="L281" s="12"/>
      <x:c r="M281" s="12" t="str">
        <x:v>negative</x:v>
      </x:c>
      <x:c r="N281" s="12"/>
      <x:c r="O281" s="12" t="str">
        <x:v>negative</x:v>
      </x:c>
      <x:c r="P281" s="12" t="str">
        <x:f>IF(OR(M281="unavailable",O281="unavailable"),"不可评价",IF(OR(M281="equivocal",O281="equivocal"),"疑似",IF(AND(M281="positive",O281="positive"),"a",IF(O281="positive","b",IF(M281="positive","c","d")))))</x:f>
        <x:v>d</x:v>
      </x:c>
      <x:c r="Q281" s="12"/>
      <x:c r="R281" s="12" t="str">
        <x:v>negative</x:v>
      </x:c>
      <x:c r="S281" s="12"/>
      <x:c r="T281" s="12" t="str">
        <x:v>negative</x:v>
      </x:c>
      <x:c r="U281" s="12" t="str">
        <x:f>IF(OR(R281="unavailable",T281="unavailable"),"不可评价",IF(OR(R281="equivocal",T281="equivocal"),"疑似",IF(AND(R281="positive",T281="positive"),"a",IF(T281="positive","b",IF(R281="positive","c","d")))))</x:f>
        <x:v>d</x:v>
      </x:c>
      <x:c r="V281" s="12"/>
      <x:c r="W281" s="12" t="str">
        <x:v>negative</x:v>
      </x:c>
      <x:c r="X281" s="12"/>
      <x:c r="Y281" s="12" t="str">
        <x:v>negative</x:v>
      </x:c>
      <x:c r="Z281" s="12" t="str">
        <x:f>IF(OR(W281="unavailable",Y281="unavailable"),"不可评价",IF(OR(W281="equivocal",Y281="equivocal"),"疑似",IF(AND(W281="positive",Y281="positive"),"a",IF(Y281="positive","b",IF(W281="positive","c","d")))))</x:f>
        <x:v>d</x:v>
      </x:c>
      <x:c r="AA281" s="12" t="str">
        <x:f>IF(OR(M281="unavailable",O281="unavailable"),"不可评价",IF(AND(OR(M281="positive",M281="equivocal"),OR(O281="positive",O281="equivocal")),"a",IF(OR(O281="positive",O281="equivocal"),"b",IF(OR(M281="positive",M281="equivocal"),"c","d"))))</x:f>
        <x:v>d</x:v>
      </x:c>
      <x:c r="AB281" s="12" t="str">
        <x:f>IF(OR(M281="unavailable",O281="unavailable"),"不可评价",IF(AND(M281="positive",O281="positive"),"a",IF(O281="positive","b",IF(M281="positive","c","d"))))</x:f>
        <x:v>d</x:v>
      </x:c>
      <x:c r="AC281" s="12" t="str">
        <x:f>IF(OR(R281="unavailable",T281="unavailable"),"不可评价",IF(AND(OR(R281="positive",R281="equivocal"),OR(T281="positive",T281="equivocal")),"a",IF(OR(T281="positive",T281="equivocal"),"b",IF(OR(R281="positive",R281="equivocal"),"c","d"))))</x:f>
        <x:v>d</x:v>
      </x:c>
      <x:c r="AD281" s="12" t="str">
        <x:f>IF(OR(R281="unavailable",T281="unavailable"),"不可评价",IF(AND(R281="positive",T281="positive"),"a",IF(T281="positive","b",IF(R281="positive","c","d"))))</x:f>
        <x:v>d</x:v>
      </x:c>
      <x:c r="AE281" s="12" t="str">
        <x:f>IF(OR(W281="unavailable",Y281="unavailable"),"不可评价",IF(AND(OR(W281="positive",W281="equivocal"),OR(Y281="positive",Y281="equivocal")),"a",IF(OR(Y281="positive",Y281="equivocal"),"b",IF(OR(W281="positive",W281="equivocal"),"c","d"))))</x:f>
        <x:v>d</x:v>
      </x:c>
      <x:c r="AF281" s="12" t="str">
        <x:f>IF(OR(W281="unavailable",Y281="unavailable"),"不可评价",IF(AND(W281="positive",Y281="positive"),"a",IF(Y281="positive","b",IF(W281="positive","c","d"))))</x:f>
        <x:v>d</x:v>
      </x:c>
    </x:row>
    <x:row r="282" ht="39" customHeight="1">
      <x:c r="A282" s="12" t="str">
        <x:v>2235</x:v>
      </x:c>
      <x:c r="B282" s="12" t="str">
        <x:v>951</x:v>
      </x:c>
      <x:c r="C282" s="21" t="n">
        <x:v>32399.524375</x:v>
      </x:c>
      <x:c r="D282" s="12" t="n">
        <x:v>78</x:v>
      </x:c>
      <x:c r="E282" s="12" t="n">
        <x:v>1</x:v>
      </x:c>
      <x:c r="F282" s="12" t="str">
        <x:v>未记录</x:v>
      </x:c>
      <x:c r="G282" s="12" t="n">
        <x:v>1</x:v>
      </x:c>
      <x:c r="H282" s="12" t="str">
        <x:v>{'ILMI': 100.0, 'ASMI': 15.0, 'LPR': 0.0, 'QWAVE': 0.0, 'LOWT': 0.0, 'SR': 0.0}</x:v>
      </x:c>
      <x:c r="I282" s="12" t="str">
        <x:v>[('SRTH', 100.0), ('FAV', 100.0), ('AMI;AU', 50.0), ('AB', 100.0)]</x:v>
      </x:c>
      <x:c r="J282" s="12" t="str">
        <x:v>ptbxl_database.csv；ecg_id=2235；scp_codes</x:v>
      </x:c>
      <x:c r="K282" s="12" t="str">
        <x:v>12sl_statements.csv；ecg_id=2235；statements_ext_snomed</x:v>
      </x:c>
      <x:c r="L282" s="12"/>
      <x:c r="M282" s="12" t="str">
        <x:v>negative</x:v>
      </x:c>
      <x:c r="N282" s="12"/>
      <x:c r="O282" s="12" t="str">
        <x:v>negative</x:v>
      </x:c>
      <x:c r="P282" s="12" t="str">
        <x:f>IF(OR(M282="unavailable",O282="unavailable"),"不可评价",IF(OR(M282="equivocal",O282="equivocal"),"疑似",IF(AND(M282="positive",O282="positive"),"a",IF(O282="positive","b",IF(M282="positive","c","d")))))</x:f>
        <x:v>d</x:v>
      </x:c>
      <x:c r="Q282" s="12"/>
      <x:c r="R282" s="12" t="str">
        <x:v>negative</x:v>
      </x:c>
      <x:c r="S282" s="12"/>
      <x:c r="T282" s="12" t="str">
        <x:v>negative</x:v>
      </x:c>
      <x:c r="U282" s="12" t="str">
        <x:f>IF(OR(R282="unavailable",T282="unavailable"),"不可评价",IF(OR(R282="equivocal",T282="equivocal"),"疑似",IF(AND(R282="positive",T282="positive"),"a",IF(T282="positive","b",IF(R282="positive","c","d")))))</x:f>
        <x:v>d</x:v>
      </x:c>
      <x:c r="V282" s="12"/>
      <x:c r="W282" s="12" t="str">
        <x:v>negative</x:v>
      </x:c>
      <x:c r="X282" s="12"/>
      <x:c r="Y282" s="12" t="str">
        <x:v>negative</x:v>
      </x:c>
      <x:c r="Z282" s="12" t="str">
        <x:f>IF(OR(W282="unavailable",Y282="unavailable"),"不可评价",IF(OR(W282="equivocal",Y282="equivocal"),"疑似",IF(AND(W282="positive",Y282="positive"),"a",IF(Y282="positive","b",IF(W282="positive","c","d")))))</x:f>
        <x:v>d</x:v>
      </x:c>
      <x:c r="AA282" s="12" t="str">
        <x:f>IF(OR(M282="unavailable",O282="unavailable"),"不可评价",IF(AND(OR(M282="positive",M282="equivocal"),OR(O282="positive",O282="equivocal")),"a",IF(OR(O282="positive",O282="equivocal"),"b",IF(OR(M282="positive",M282="equivocal"),"c","d"))))</x:f>
        <x:v>d</x:v>
      </x:c>
      <x:c r="AB282" s="12" t="str">
        <x:f>IF(OR(M282="unavailable",O282="unavailable"),"不可评价",IF(AND(M282="positive",O282="positive"),"a",IF(O282="positive","b",IF(M282="positive","c","d"))))</x:f>
        <x:v>d</x:v>
      </x:c>
      <x:c r="AC282" s="12" t="str">
        <x:f>IF(OR(R282="unavailable",T282="unavailable"),"不可评价",IF(AND(OR(R282="positive",R282="equivocal"),OR(T282="positive",T282="equivocal")),"a",IF(OR(T282="positive",T282="equivocal"),"b",IF(OR(R282="positive",R282="equivocal"),"c","d"))))</x:f>
        <x:v>d</x:v>
      </x:c>
      <x:c r="AD282" s="12" t="str">
        <x:f>IF(OR(R282="unavailable",T282="unavailable"),"不可评价",IF(AND(R282="positive",T282="positive"),"a",IF(T282="positive","b",IF(R282="positive","c","d"))))</x:f>
        <x:v>d</x:v>
      </x:c>
      <x:c r="AE282" s="12" t="str">
        <x:f>IF(OR(W282="unavailable",Y282="unavailable"),"不可评价",IF(AND(OR(W282="positive",W282="equivocal"),OR(Y282="positive",Y282="equivocal")),"a",IF(OR(Y282="positive",Y282="equivocal"),"b",IF(OR(W282="positive",W282="equivocal"),"c","d"))))</x:f>
        <x:v>d</x:v>
      </x:c>
      <x:c r="AF282" s="12" t="str">
        <x:f>IF(OR(W282="unavailable",Y282="unavailable"),"不可评价",IF(AND(W282="positive",Y282="positive"),"a",IF(Y282="positive","b",IF(W282="positive","c","d"))))</x:f>
        <x:v>d</x:v>
      </x:c>
    </x:row>
    <x:row r="283" ht="24" customHeight="1">
      <x:c r="A283" s="12" t="str">
        <x:v>2238</x:v>
      </x:c>
      <x:c r="B283" s="12" t="str">
        <x:v>1735</x:v>
      </x:c>
      <x:c r="C283" s="21" t="n">
        <x:v>32399.64590277778</x:v>
      </x:c>
      <x:c r="D283" s="12" t="n">
        <x:v>60</x:v>
      </x:c>
      <x:c r="E283" s="12" t="n">
        <x:v>0</x:v>
      </x:c>
      <x:c r="F283" s="12" t="str">
        <x:v>未记录</x:v>
      </x:c>
      <x:c r="G283" s="12" t="n">
        <x:v>1</x:v>
      </x:c>
      <x:c r="H283" s="12" t="str">
        <x:v>{'NORM': 100.0, 'SR': 0.0}</x:v>
      </x:c>
      <x:c r="I283" s="12" t="str">
        <x:v>[('SBRAD', 100.0), ('ABR', 100.0)]</x:v>
      </x:c>
      <x:c r="J283" s="12" t="str">
        <x:v>ptbxl_database.csv；ecg_id=2238；scp_codes</x:v>
      </x:c>
      <x:c r="K283" s="12" t="str">
        <x:v>12sl_statements.csv；ecg_id=2238；statements_ext_snomed</x:v>
      </x:c>
      <x:c r="L283" s="12"/>
      <x:c r="M283" s="12" t="str">
        <x:v>negative</x:v>
      </x:c>
      <x:c r="N283" s="12"/>
      <x:c r="O283" s="12" t="str">
        <x:v>negative</x:v>
      </x:c>
      <x:c r="P283" s="12" t="str">
        <x:f>IF(OR(M283="unavailable",O283="unavailable"),"不可评价",IF(OR(M283="equivocal",O283="equivocal"),"疑似",IF(AND(M283="positive",O283="positive"),"a",IF(O283="positive","b",IF(M283="positive","c","d")))))</x:f>
        <x:v>d</x:v>
      </x:c>
      <x:c r="Q283" s="12"/>
      <x:c r="R283" s="12" t="str">
        <x:v>negative</x:v>
      </x:c>
      <x:c r="S283" s="12"/>
      <x:c r="T283" s="12" t="str">
        <x:v>negative</x:v>
      </x:c>
      <x:c r="U283" s="12" t="str">
        <x:f>IF(OR(R283="unavailable",T283="unavailable"),"不可评价",IF(OR(R283="equivocal",T283="equivocal"),"疑似",IF(AND(R283="positive",T283="positive"),"a",IF(T283="positive","b",IF(R283="positive","c","d")))))</x:f>
        <x:v>d</x:v>
      </x:c>
      <x:c r="V283" s="12"/>
      <x:c r="W283" s="12" t="str">
        <x:v>negative</x:v>
      </x:c>
      <x:c r="X283" s="12"/>
      <x:c r="Y283" s="12" t="str">
        <x:v>negative</x:v>
      </x:c>
      <x:c r="Z283" s="12" t="str">
        <x:f>IF(OR(W283="unavailable",Y283="unavailable"),"不可评价",IF(OR(W283="equivocal",Y283="equivocal"),"疑似",IF(AND(W283="positive",Y283="positive"),"a",IF(Y283="positive","b",IF(W283="positive","c","d")))))</x:f>
        <x:v>d</x:v>
      </x:c>
      <x:c r="AA283" s="12" t="str">
        <x:f>IF(OR(M283="unavailable",O283="unavailable"),"不可评价",IF(AND(OR(M283="positive",M283="equivocal"),OR(O283="positive",O283="equivocal")),"a",IF(OR(O283="positive",O283="equivocal"),"b",IF(OR(M283="positive",M283="equivocal"),"c","d"))))</x:f>
        <x:v>d</x:v>
      </x:c>
      <x:c r="AB283" s="12" t="str">
        <x:f>IF(OR(M283="unavailable",O283="unavailable"),"不可评价",IF(AND(M283="positive",O283="positive"),"a",IF(O283="positive","b",IF(M283="positive","c","d"))))</x:f>
        <x:v>d</x:v>
      </x:c>
      <x:c r="AC283" s="12" t="str">
        <x:f>IF(OR(R283="unavailable",T283="unavailable"),"不可评价",IF(AND(OR(R283="positive",R283="equivocal"),OR(T283="positive",T283="equivocal")),"a",IF(OR(T283="positive",T283="equivocal"),"b",IF(OR(R283="positive",R283="equivocal"),"c","d"))))</x:f>
        <x:v>d</x:v>
      </x:c>
      <x:c r="AD283" s="12" t="str">
        <x:f>IF(OR(R283="unavailable",T283="unavailable"),"不可评价",IF(AND(R283="positive",T283="positive"),"a",IF(T283="positive","b",IF(R283="positive","c","d"))))</x:f>
        <x:v>d</x:v>
      </x:c>
      <x:c r="AE283" s="12" t="str">
        <x:f>IF(OR(W283="unavailable",Y283="unavailable"),"不可评价",IF(AND(OR(W283="positive",W283="equivocal"),OR(Y283="positive",Y283="equivocal")),"a",IF(OR(Y283="positive",Y283="equivocal"),"b",IF(OR(W283="positive",W283="equivocal"),"c","d"))))</x:f>
        <x:v>d</x:v>
      </x:c>
      <x:c r="AF283" s="12" t="str">
        <x:f>IF(OR(W283="unavailable",Y283="unavailable"),"不可评价",IF(AND(W283="positive",Y283="positive"),"a",IF(Y283="positive","b",IF(W283="positive","c","d"))))</x:f>
        <x:v>d</x:v>
      </x:c>
    </x:row>
    <x:row r="284" ht="24" customHeight="1">
      <x:c r="A284" s="12" t="str">
        <x:v>2252</x:v>
      </x:c>
      <x:c r="B284" s="12" t="str">
        <x:v>651</x:v>
      </x:c>
      <x:c r="C284" s="21" t="n">
        <x:v>32404.552824074075</x:v>
      </x:c>
      <x:c r="D284" s="12" t="n">
        <x:v>87</x:v>
      </x:c>
      <x:c r="E284" s="12" t="n">
        <x:v>0</x:v>
      </x:c>
      <x:c r="F284" s="12" t="str">
        <x:v>未记录</x:v>
      </x:c>
      <x:c r="G284" s="12" t="n">
        <x:v>0</x:v>
      </x:c>
      <x:c r="H284" s="12" t="str">
        <x:v>{'LAFB': 100.0}</x:v>
      </x:c>
      <x:c r="I284" s="12" t="str">
        <x:v>[('SRTH', 100.0), ('MSAR', 100.0), ('IVCD', 100.0), ('BORDE', 100.0)]</x:v>
      </x:c>
      <x:c r="J284" s="12" t="str">
        <x:v>ptbxl_database.csv；ecg_id=2252；scp_codes</x:v>
      </x:c>
      <x:c r="K284" s="12" t="str">
        <x:v>12sl_statements.csv；ecg_id=2252；statements_ext_snomed</x:v>
      </x:c>
      <x:c r="L284" s="12"/>
      <x:c r="M284" s="12" t="str">
        <x:v>negative</x:v>
      </x:c>
      <x:c r="N284" s="12"/>
      <x:c r="O284" s="12" t="str">
        <x:v>negative</x:v>
      </x:c>
      <x:c r="P284" s="12" t="str">
        <x:f>IF(OR(M284="unavailable",O284="unavailable"),"不可评价",IF(OR(M284="equivocal",O284="equivocal"),"疑似",IF(AND(M284="positive",O284="positive"),"a",IF(O284="positive","b",IF(M284="positive","c","d")))))</x:f>
        <x:v>d</x:v>
      </x:c>
      <x:c r="Q284" s="12"/>
      <x:c r="R284" s="12" t="str">
        <x:v>negative</x:v>
      </x:c>
      <x:c r="S284" s="12"/>
      <x:c r="T284" s="12" t="str">
        <x:v>negative</x:v>
      </x:c>
      <x:c r="U284" s="12" t="str">
        <x:f>IF(OR(R284="unavailable",T284="unavailable"),"不可评价",IF(OR(R284="equivocal",T284="equivocal"),"疑似",IF(AND(R284="positive",T284="positive"),"a",IF(T284="positive","b",IF(R284="positive","c","d")))))</x:f>
        <x:v>d</x:v>
      </x:c>
      <x:c r="V284" s="12"/>
      <x:c r="W284" s="12" t="str">
        <x:v>negative</x:v>
      </x:c>
      <x:c r="X284" s="12"/>
      <x:c r="Y284" s="12" t="str">
        <x:v>negative</x:v>
      </x:c>
      <x:c r="Z284" s="12" t="str">
        <x:f>IF(OR(W284="unavailable",Y284="unavailable"),"不可评价",IF(OR(W284="equivocal",Y284="equivocal"),"疑似",IF(AND(W284="positive",Y284="positive"),"a",IF(Y284="positive","b",IF(W284="positive","c","d")))))</x:f>
        <x:v>d</x:v>
      </x:c>
      <x:c r="AA284" s="12" t="str">
        <x:f>IF(OR(M284="unavailable",O284="unavailable"),"不可评价",IF(AND(OR(M284="positive",M284="equivocal"),OR(O284="positive",O284="equivocal")),"a",IF(OR(O284="positive",O284="equivocal"),"b",IF(OR(M284="positive",M284="equivocal"),"c","d"))))</x:f>
        <x:v>d</x:v>
      </x:c>
      <x:c r="AB284" s="12" t="str">
        <x:f>IF(OR(M284="unavailable",O284="unavailable"),"不可评价",IF(AND(M284="positive",O284="positive"),"a",IF(O284="positive","b",IF(M284="positive","c","d"))))</x:f>
        <x:v>d</x:v>
      </x:c>
      <x:c r="AC284" s="12" t="str">
        <x:f>IF(OR(R284="unavailable",T284="unavailable"),"不可评价",IF(AND(OR(R284="positive",R284="equivocal"),OR(T284="positive",T284="equivocal")),"a",IF(OR(T284="positive",T284="equivocal"),"b",IF(OR(R284="positive",R284="equivocal"),"c","d"))))</x:f>
        <x:v>d</x:v>
      </x:c>
      <x:c r="AD284" s="12" t="str">
        <x:f>IF(OR(R284="unavailable",T284="unavailable"),"不可评价",IF(AND(R284="positive",T284="positive"),"a",IF(T284="positive","b",IF(R284="positive","c","d"))))</x:f>
        <x:v>d</x:v>
      </x:c>
      <x:c r="AE284" s="12" t="str">
        <x:f>IF(OR(W284="unavailable",Y284="unavailable"),"不可评价",IF(AND(OR(W284="positive",W284="equivocal"),OR(Y284="positive",Y284="equivocal")),"a",IF(OR(Y284="positive",Y284="equivocal"),"b",IF(OR(W284="positive",W284="equivocal"),"c","d"))))</x:f>
        <x:v>d</x:v>
      </x:c>
      <x:c r="AF284" s="12" t="str">
        <x:f>IF(OR(W284="unavailable",Y284="unavailable"),"不可评价",IF(AND(W284="positive",Y284="positive"),"a",IF(Y284="positive","b",IF(W284="positive","c","d"))))</x:f>
        <x:v>d</x:v>
      </x:c>
    </x:row>
    <x:row r="285" ht="24" customHeight="1">
      <x:c r="A285" s="12" t="str">
        <x:v>2267</x:v>
      </x:c>
      <x:c r="B285" s="12" t="str">
        <x:v>18672</x:v>
      </x:c>
      <x:c r="C285" s="21" t="n">
        <x:v>32410.467627314814</x:v>
      </x:c>
      <x:c r="D285" s="12" t="n">
        <x:v>23</x:v>
      </x:c>
      <x:c r="E285" s="12" t="n">
        <x:v>1</x:v>
      </x:c>
      <x:c r="F285" s="12" t="str">
        <x:v>存在</x:v>
      </x:c>
      <x:c r="G285" s="12" t="n">
        <x:v>1</x:v>
      </x:c>
      <x:c r="H285" s="12" t="str">
        <x:v>{'NORM': 100.0, 'SR': 0.0}</x:v>
      </x:c>
      <x:c r="I285" s="12" t="str">
        <x:v>[('SBRAD', 100.0), ('SPR', 100.0), ('ABR', 100.0)]</x:v>
      </x:c>
      <x:c r="J285" s="12" t="str">
        <x:v>ptbxl_database.csv；ecg_id=2267；scp_codes</x:v>
      </x:c>
      <x:c r="K285" s="12" t="str">
        <x:v>12sl_statements.csv；ecg_id=2267；statements_ext_snomed</x:v>
      </x:c>
      <x:c r="L285" s="12"/>
      <x:c r="M285" s="12" t="str">
        <x:v>negative</x:v>
      </x:c>
      <x:c r="N285" s="12"/>
      <x:c r="O285" s="12" t="str">
        <x:v>negative</x:v>
      </x:c>
      <x:c r="P285" s="12" t="str">
        <x:f>IF(OR(M285="unavailable",O285="unavailable"),"不可评价",IF(OR(M285="equivocal",O285="equivocal"),"疑似",IF(AND(M285="positive",O285="positive"),"a",IF(O285="positive","b",IF(M285="positive","c","d")))))</x:f>
        <x:v>d</x:v>
      </x:c>
      <x:c r="Q285" s="12"/>
      <x:c r="R285" s="12" t="str">
        <x:v>negative</x:v>
      </x:c>
      <x:c r="S285" s="12"/>
      <x:c r="T285" s="12" t="str">
        <x:v>negative</x:v>
      </x:c>
      <x:c r="U285" s="12" t="str">
        <x:f>IF(OR(R285="unavailable",T285="unavailable"),"不可评价",IF(OR(R285="equivocal",T285="equivocal"),"疑似",IF(AND(R285="positive",T285="positive"),"a",IF(T285="positive","b",IF(R285="positive","c","d")))))</x:f>
        <x:v>d</x:v>
      </x:c>
      <x:c r="V285" s="12"/>
      <x:c r="W285" s="12" t="str">
        <x:v>negative</x:v>
      </x:c>
      <x:c r="X285" s="12"/>
      <x:c r="Y285" s="12" t="str">
        <x:v>negative</x:v>
      </x:c>
      <x:c r="Z285" s="12" t="str">
        <x:f>IF(OR(W285="unavailable",Y285="unavailable"),"不可评价",IF(OR(W285="equivocal",Y285="equivocal"),"疑似",IF(AND(W285="positive",Y285="positive"),"a",IF(Y285="positive","b",IF(W285="positive","c","d")))))</x:f>
        <x:v>d</x:v>
      </x:c>
      <x:c r="AA285" s="12" t="str">
        <x:f>IF(OR(M285="unavailable",O285="unavailable"),"不可评价",IF(AND(OR(M285="positive",M285="equivocal"),OR(O285="positive",O285="equivocal")),"a",IF(OR(O285="positive",O285="equivocal"),"b",IF(OR(M285="positive",M285="equivocal"),"c","d"))))</x:f>
        <x:v>d</x:v>
      </x:c>
      <x:c r="AB285" s="12" t="str">
        <x:f>IF(OR(M285="unavailable",O285="unavailable"),"不可评价",IF(AND(M285="positive",O285="positive"),"a",IF(O285="positive","b",IF(M285="positive","c","d"))))</x:f>
        <x:v>d</x:v>
      </x:c>
      <x:c r="AC285" s="12" t="str">
        <x:f>IF(OR(R285="unavailable",T285="unavailable"),"不可评价",IF(AND(OR(R285="positive",R285="equivocal"),OR(T285="positive",T285="equivocal")),"a",IF(OR(T285="positive",T285="equivocal"),"b",IF(OR(R285="positive",R285="equivocal"),"c","d"))))</x:f>
        <x:v>d</x:v>
      </x:c>
      <x:c r="AD285" s="12" t="str">
        <x:f>IF(OR(R285="unavailable",T285="unavailable"),"不可评价",IF(AND(R285="positive",T285="positive"),"a",IF(T285="positive","b",IF(R285="positive","c","d"))))</x:f>
        <x:v>d</x:v>
      </x:c>
      <x:c r="AE285" s="12" t="str">
        <x:f>IF(OR(W285="unavailable",Y285="unavailable"),"不可评价",IF(AND(OR(W285="positive",W285="equivocal"),OR(Y285="positive",Y285="equivocal")),"a",IF(OR(Y285="positive",Y285="equivocal"),"b",IF(OR(W285="positive",W285="equivocal"),"c","d"))))</x:f>
        <x:v>d</x:v>
      </x:c>
      <x:c r="AF285" s="12" t="str">
        <x:f>IF(OR(W285="unavailable",Y285="unavailable"),"不可评价",IF(AND(W285="positive",Y285="positive"),"a",IF(Y285="positive","b",IF(W285="positive","c","d"))))</x:f>
        <x:v>d</x:v>
      </x:c>
    </x:row>
    <x:row r="286" ht="24" customHeight="1">
      <x:c r="A286" s="12" t="str">
        <x:v>2270</x:v>
      </x:c>
      <x:c r="B286" s="12" t="str">
        <x:v>1990</x:v>
      </x:c>
      <x:c r="C286" s="21" t="n">
        <x:v>32411.387511574074</x:v>
      </x:c>
      <x:c r="D286" s="12" t="n">
        <x:v>26</x:v>
      </x:c>
      <x:c r="E286" s="12" t="n">
        <x:v>1</x:v>
      </x:c>
      <x:c r="F286" s="12" t="str">
        <x:v>存在</x:v>
      </x:c>
      <x:c r="G286" s="12" t="n">
        <x:v>1</x:v>
      </x:c>
      <x:c r="H286" s="12" t="str">
        <x:v>{'NORM': 100.0, 'SR': 0.0}</x:v>
      </x:c>
      <x:c r="I286" s="12" t="str">
        <x:v>[('NSR', 100.0), ('NML', 100.0)]</x:v>
      </x:c>
      <x:c r="J286" s="12" t="str">
        <x:v>ptbxl_database.csv；ecg_id=2270；scp_codes</x:v>
      </x:c>
      <x:c r="K286" s="12" t="str">
        <x:v>12sl_statements.csv；ecg_id=2270；statements_ext_snomed</x:v>
      </x:c>
      <x:c r="L286" s="12"/>
      <x:c r="M286" s="12" t="str">
        <x:v>negative</x:v>
      </x:c>
      <x:c r="N286" s="12"/>
      <x:c r="O286" s="12" t="str">
        <x:v>negative</x:v>
      </x:c>
      <x:c r="P286" s="12" t="str">
        <x:f>IF(OR(M286="unavailable",O286="unavailable"),"不可评价",IF(OR(M286="equivocal",O286="equivocal"),"疑似",IF(AND(M286="positive",O286="positive"),"a",IF(O286="positive","b",IF(M286="positive","c","d")))))</x:f>
        <x:v>d</x:v>
      </x:c>
      <x:c r="Q286" s="12"/>
      <x:c r="R286" s="12" t="str">
        <x:v>negative</x:v>
      </x:c>
      <x:c r="S286" s="12"/>
      <x:c r="T286" s="12" t="str">
        <x:v>negative</x:v>
      </x:c>
      <x:c r="U286" s="12" t="str">
        <x:f>IF(OR(R286="unavailable",T286="unavailable"),"不可评价",IF(OR(R286="equivocal",T286="equivocal"),"疑似",IF(AND(R286="positive",T286="positive"),"a",IF(T286="positive","b",IF(R286="positive","c","d")))))</x:f>
        <x:v>d</x:v>
      </x:c>
      <x:c r="V286" s="12"/>
      <x:c r="W286" s="12" t="str">
        <x:v>negative</x:v>
      </x:c>
      <x:c r="X286" s="12"/>
      <x:c r="Y286" s="12" t="str">
        <x:v>negative</x:v>
      </x:c>
      <x:c r="Z286" s="12" t="str">
        <x:f>IF(OR(W286="unavailable",Y286="unavailable"),"不可评价",IF(OR(W286="equivocal",Y286="equivocal"),"疑似",IF(AND(W286="positive",Y286="positive"),"a",IF(Y286="positive","b",IF(W286="positive","c","d")))))</x:f>
        <x:v>d</x:v>
      </x:c>
      <x:c r="AA286" s="12" t="str">
        <x:f>IF(OR(M286="unavailable",O286="unavailable"),"不可评价",IF(AND(OR(M286="positive",M286="equivocal"),OR(O286="positive",O286="equivocal")),"a",IF(OR(O286="positive",O286="equivocal"),"b",IF(OR(M286="positive",M286="equivocal"),"c","d"))))</x:f>
        <x:v>d</x:v>
      </x:c>
      <x:c r="AB286" s="12" t="str">
        <x:f>IF(OR(M286="unavailable",O286="unavailable"),"不可评价",IF(AND(M286="positive",O286="positive"),"a",IF(O286="positive","b",IF(M286="positive","c","d"))))</x:f>
        <x:v>d</x:v>
      </x:c>
      <x:c r="AC286" s="12" t="str">
        <x:f>IF(OR(R286="unavailable",T286="unavailable"),"不可评价",IF(AND(OR(R286="positive",R286="equivocal"),OR(T286="positive",T286="equivocal")),"a",IF(OR(T286="positive",T286="equivocal"),"b",IF(OR(R286="positive",R286="equivocal"),"c","d"))))</x:f>
        <x:v>d</x:v>
      </x:c>
      <x:c r="AD286" s="12" t="str">
        <x:f>IF(OR(R286="unavailable",T286="unavailable"),"不可评价",IF(AND(R286="positive",T286="positive"),"a",IF(T286="positive","b",IF(R286="positive","c","d"))))</x:f>
        <x:v>d</x:v>
      </x:c>
      <x:c r="AE286" s="12" t="str">
        <x:f>IF(OR(W286="unavailable",Y286="unavailable"),"不可评价",IF(AND(OR(W286="positive",W286="equivocal"),OR(Y286="positive",Y286="equivocal")),"a",IF(OR(Y286="positive",Y286="equivocal"),"b",IF(OR(W286="positive",W286="equivocal"),"c","d"))))</x:f>
        <x:v>d</x:v>
      </x:c>
      <x:c r="AF286" s="12" t="str">
        <x:f>IF(OR(W286="unavailable",Y286="unavailable"),"不可评价",IF(AND(W286="positive",Y286="positive"),"a",IF(Y286="positive","b",IF(W286="positive","c","d"))))</x:f>
        <x:v>d</x:v>
      </x:c>
    </x:row>
    <x:row r="287" ht="24" customHeight="1">
      <x:c r="A287" s="12" t="str">
        <x:v>2277</x:v>
      </x:c>
      <x:c r="B287" s="12" t="str">
        <x:v>3450</x:v>
      </x:c>
      <x:c r="C287" s="21" t="n">
        <x:v>32411.652939814816</x:v>
      </x:c>
      <x:c r="D287" s="12" t="n">
        <x:v>59</x:v>
      </x:c>
      <x:c r="E287" s="12" t="n">
        <x:v>0</x:v>
      </x:c>
      <x:c r="F287" s="12" t="str">
        <x:v>未记录</x:v>
      </x:c>
      <x:c r="G287" s="12" t="n">
        <x:v>1</x:v>
      </x:c>
      <x:c r="H287" s="12" t="str">
        <x:v>{'NORM': 80.0, 'STACH': 0.0}</x:v>
      </x:c>
      <x:c r="I287" s="12" t="str">
        <x:v>[('STACH', 100.0), ('ABR', 100.0)]</x:v>
      </x:c>
      <x:c r="J287" s="12" t="str">
        <x:v>ptbxl_database.csv；ecg_id=2277；scp_codes</x:v>
      </x:c>
      <x:c r="K287" s="12" t="str">
        <x:v>12sl_statements.csv；ecg_id=2277；statements_ext_snomed</x:v>
      </x:c>
      <x:c r="L287" s="12"/>
      <x:c r="M287" s="12" t="str">
        <x:v>negative</x:v>
      </x:c>
      <x:c r="N287" s="12"/>
      <x:c r="O287" s="12" t="str">
        <x:v>negative</x:v>
      </x:c>
      <x:c r="P287" s="12" t="str">
        <x:f>IF(OR(M287="unavailable",O287="unavailable"),"不可评价",IF(OR(M287="equivocal",O287="equivocal"),"疑似",IF(AND(M287="positive",O287="positive"),"a",IF(O287="positive","b",IF(M287="positive","c","d")))))</x:f>
        <x:v>d</x:v>
      </x:c>
      <x:c r="Q287" s="12"/>
      <x:c r="R287" s="12" t="str">
        <x:v>negative</x:v>
      </x:c>
      <x:c r="S287" s="12"/>
      <x:c r="T287" s="12" t="str">
        <x:v>negative</x:v>
      </x:c>
      <x:c r="U287" s="12" t="str">
        <x:f>IF(OR(R287="unavailable",T287="unavailable"),"不可评价",IF(OR(R287="equivocal",T287="equivocal"),"疑似",IF(AND(R287="positive",T287="positive"),"a",IF(T287="positive","b",IF(R287="positive","c","d")))))</x:f>
        <x:v>d</x:v>
      </x:c>
      <x:c r="V287" s="12"/>
      <x:c r="W287" s="12" t="str">
        <x:v>negative</x:v>
      </x:c>
      <x:c r="X287" s="12"/>
      <x:c r="Y287" s="12" t="str">
        <x:v>negative</x:v>
      </x:c>
      <x:c r="Z287" s="12" t="str">
        <x:f>IF(OR(W287="unavailable",Y287="unavailable"),"不可评价",IF(OR(W287="equivocal",Y287="equivocal"),"疑似",IF(AND(W287="positive",Y287="positive"),"a",IF(Y287="positive","b",IF(W287="positive","c","d")))))</x:f>
        <x:v>d</x:v>
      </x:c>
      <x:c r="AA287" s="12" t="str">
        <x:f>IF(OR(M287="unavailable",O287="unavailable"),"不可评价",IF(AND(OR(M287="positive",M287="equivocal"),OR(O287="positive",O287="equivocal")),"a",IF(OR(O287="positive",O287="equivocal"),"b",IF(OR(M287="positive",M287="equivocal"),"c","d"))))</x:f>
        <x:v>d</x:v>
      </x:c>
      <x:c r="AB287" s="12" t="str">
        <x:f>IF(OR(M287="unavailable",O287="unavailable"),"不可评价",IF(AND(M287="positive",O287="positive"),"a",IF(O287="positive","b",IF(M287="positive","c","d"))))</x:f>
        <x:v>d</x:v>
      </x:c>
      <x:c r="AC287" s="12" t="str">
        <x:f>IF(OR(R287="unavailable",T287="unavailable"),"不可评价",IF(AND(OR(R287="positive",R287="equivocal"),OR(T287="positive",T287="equivocal")),"a",IF(OR(T287="positive",T287="equivocal"),"b",IF(OR(R287="positive",R287="equivocal"),"c","d"))))</x:f>
        <x:v>d</x:v>
      </x:c>
      <x:c r="AD287" s="12" t="str">
        <x:f>IF(OR(R287="unavailable",T287="unavailable"),"不可评价",IF(AND(R287="positive",T287="positive"),"a",IF(T287="positive","b",IF(R287="positive","c","d"))))</x:f>
        <x:v>d</x:v>
      </x:c>
      <x:c r="AE287" s="12" t="str">
        <x:f>IF(OR(W287="unavailable",Y287="unavailable"),"不可评价",IF(AND(OR(W287="positive",W287="equivocal"),OR(Y287="positive",Y287="equivocal")),"a",IF(OR(Y287="positive",Y287="equivocal"),"b",IF(OR(W287="positive",W287="equivocal"),"c","d"))))</x:f>
        <x:v>d</x:v>
      </x:c>
      <x:c r="AF287" s="12" t="str">
        <x:f>IF(OR(W287="unavailable",Y287="unavailable"),"不可评价",IF(AND(W287="positive",Y287="positive"),"a",IF(Y287="positive","b",IF(W287="positive","c","d"))))</x:f>
        <x:v>d</x:v>
      </x:c>
    </x:row>
    <x:row r="288" ht="24" customHeight="1">
      <x:c r="A288" s="12" t="str">
        <x:v>2279</x:v>
      </x:c>
      <x:c r="B288" s="12" t="str">
        <x:v>4588</x:v>
      </x:c>
      <x:c r="C288" s="21" t="n">
        <x:v>32411.824861111112</x:v>
      </x:c>
      <x:c r="D288" s="12" t="n">
        <x:v>55</x:v>
      </x:c>
      <x:c r="E288" s="12" t="n">
        <x:v>1</x:v>
      </x:c>
      <x:c r="F288" s="12" t="str">
        <x:v>未记录</x:v>
      </x:c>
      <x:c r="G288" s="12" t="n">
        <x:v>1</x:v>
      </x:c>
      <x:c r="H288" s="12" t="str">
        <x:v>{'LAFB': 100.0, 'NDT': 100.0, 'NT_': 0.0, 'SR': 0.0}</x:v>
      </x:c>
      <x:c r="I288" s="12" t="str">
        <x:v>[('NSR', 100.0), ('NT', 100.0), ('AB', 100.0)]</x:v>
      </x:c>
      <x:c r="J288" s="12" t="str">
        <x:v>ptbxl_database.csv；ecg_id=2279；scp_codes</x:v>
      </x:c>
      <x:c r="K288" s="12" t="str">
        <x:v>12sl_statements.csv；ecg_id=2279；statements_ext_snomed</x:v>
      </x:c>
      <x:c r="L288" s="12"/>
      <x:c r="M288" s="12" t="str">
        <x:v>negative</x:v>
      </x:c>
      <x:c r="N288" s="12"/>
      <x:c r="O288" s="12" t="str">
        <x:v>negative</x:v>
      </x:c>
      <x:c r="P288" s="12" t="str">
        <x:f>IF(OR(M288="unavailable",O288="unavailable"),"不可评价",IF(OR(M288="equivocal",O288="equivocal"),"疑似",IF(AND(M288="positive",O288="positive"),"a",IF(O288="positive","b",IF(M288="positive","c","d")))))</x:f>
        <x:v>d</x:v>
      </x:c>
      <x:c r="Q288" s="12"/>
      <x:c r="R288" s="12" t="str">
        <x:v>negative</x:v>
      </x:c>
      <x:c r="S288" s="12"/>
      <x:c r="T288" s="12" t="str">
        <x:v>negative</x:v>
      </x:c>
      <x:c r="U288" s="12" t="str">
        <x:f>IF(OR(R288="unavailable",T288="unavailable"),"不可评价",IF(OR(R288="equivocal",T288="equivocal"),"疑似",IF(AND(R288="positive",T288="positive"),"a",IF(T288="positive","b",IF(R288="positive","c","d")))))</x:f>
        <x:v>d</x:v>
      </x:c>
      <x:c r="V288" s="12"/>
      <x:c r="W288" s="12" t="str">
        <x:v>negative</x:v>
      </x:c>
      <x:c r="X288" s="12"/>
      <x:c r="Y288" s="12" t="str">
        <x:v>negative</x:v>
      </x:c>
      <x:c r="Z288" s="12" t="str">
        <x:f>IF(OR(W288="unavailable",Y288="unavailable"),"不可评价",IF(OR(W288="equivocal",Y288="equivocal"),"疑似",IF(AND(W288="positive",Y288="positive"),"a",IF(Y288="positive","b",IF(W288="positive","c","d")))))</x:f>
        <x:v>d</x:v>
      </x:c>
      <x:c r="AA288" s="12" t="str">
        <x:f>IF(OR(M288="unavailable",O288="unavailable"),"不可评价",IF(AND(OR(M288="positive",M288="equivocal"),OR(O288="positive",O288="equivocal")),"a",IF(OR(O288="positive",O288="equivocal"),"b",IF(OR(M288="positive",M288="equivocal"),"c","d"))))</x:f>
        <x:v>d</x:v>
      </x:c>
      <x:c r="AB288" s="12" t="str">
        <x:f>IF(OR(M288="unavailable",O288="unavailable"),"不可评价",IF(AND(M288="positive",O288="positive"),"a",IF(O288="positive","b",IF(M288="positive","c","d"))))</x:f>
        <x:v>d</x:v>
      </x:c>
      <x:c r="AC288" s="12" t="str">
        <x:f>IF(OR(R288="unavailable",T288="unavailable"),"不可评价",IF(AND(OR(R288="positive",R288="equivocal"),OR(T288="positive",T288="equivocal")),"a",IF(OR(T288="positive",T288="equivocal"),"b",IF(OR(R288="positive",R288="equivocal"),"c","d"))))</x:f>
        <x:v>d</x:v>
      </x:c>
      <x:c r="AD288" s="12" t="str">
        <x:f>IF(OR(R288="unavailable",T288="unavailable"),"不可评价",IF(AND(R288="positive",T288="positive"),"a",IF(T288="positive","b",IF(R288="positive","c","d"))))</x:f>
        <x:v>d</x:v>
      </x:c>
      <x:c r="AE288" s="12" t="str">
        <x:f>IF(OR(W288="unavailable",Y288="unavailable"),"不可评价",IF(AND(OR(W288="positive",W288="equivocal"),OR(Y288="positive",Y288="equivocal")),"a",IF(OR(Y288="positive",Y288="equivocal"),"b",IF(OR(W288="positive",W288="equivocal"),"c","d"))))</x:f>
        <x:v>d</x:v>
      </x:c>
      <x:c r="AF288" s="12" t="str">
        <x:f>IF(OR(W288="unavailable",Y288="unavailable"),"不可评价",IF(AND(W288="positive",Y288="positive"),"a",IF(Y288="positive","b",IF(W288="positive","c","d"))))</x:f>
        <x:v>d</x:v>
      </x:c>
    </x:row>
    <x:row r="289" ht="24" customHeight="1">
      <x:c r="A289" s="12" t="str">
        <x:v>2281</x:v>
      </x:c>
      <x:c r="B289" s="12" t="str">
        <x:v>12043</x:v>
      </x:c>
      <x:c r="C289" s="21" t="n">
        <x:v>32413.500555555554</x:v>
      </x:c>
      <x:c r="D289" s="12" t="n">
        <x:v>77</x:v>
      </x:c>
      <x:c r="E289" s="12" t="n">
        <x:v>1</x:v>
      </x:c>
      <x:c r="F289" s="12" t="str">
        <x:v>存在</x:v>
      </x:c>
      <x:c r="G289" s="12" t="n">
        <x:v>1</x:v>
      </x:c>
      <x:c r="H289" s="12" t="str">
        <x:v>{'IRBBB': 100.0, 'SR': 0.0}</x:v>
      </x:c>
      <x:c r="I289" s="12" t="str">
        <x:v>[('NSR', 100.0), ('SAR', 100.0), ('NML', 100.0)]</x:v>
      </x:c>
      <x:c r="J289" s="12" t="str">
        <x:v>ptbxl_database.csv；ecg_id=2281；scp_codes</x:v>
      </x:c>
      <x:c r="K289" s="12" t="str">
        <x:v>12sl_statements.csv；ecg_id=2281；statements_ext_snomed</x:v>
      </x:c>
      <x:c r="L289" s="12"/>
      <x:c r="M289" s="12" t="str">
        <x:v>negative</x:v>
      </x:c>
      <x:c r="N289" s="12"/>
      <x:c r="O289" s="12" t="str">
        <x:v>negative</x:v>
      </x:c>
      <x:c r="P289" s="12" t="str">
        <x:f>IF(OR(M289="unavailable",O289="unavailable"),"不可评价",IF(OR(M289="equivocal",O289="equivocal"),"疑似",IF(AND(M289="positive",O289="positive"),"a",IF(O289="positive","b",IF(M289="positive","c","d")))))</x:f>
        <x:v>d</x:v>
      </x:c>
      <x:c r="Q289" s="12"/>
      <x:c r="R289" s="12" t="str">
        <x:v>negative</x:v>
      </x:c>
      <x:c r="S289" s="12"/>
      <x:c r="T289" s="12" t="str">
        <x:v>negative</x:v>
      </x:c>
      <x:c r="U289" s="12" t="str">
        <x:f>IF(OR(R289="unavailable",T289="unavailable"),"不可评价",IF(OR(R289="equivocal",T289="equivocal"),"疑似",IF(AND(R289="positive",T289="positive"),"a",IF(T289="positive","b",IF(R289="positive","c","d")))))</x:f>
        <x:v>d</x:v>
      </x:c>
      <x:c r="V289" s="12"/>
      <x:c r="W289" s="12" t="str">
        <x:v>negative</x:v>
      </x:c>
      <x:c r="X289" s="12"/>
      <x:c r="Y289" s="12" t="str">
        <x:v>negative</x:v>
      </x:c>
      <x:c r="Z289" s="12" t="str">
        <x:f>IF(OR(W289="unavailable",Y289="unavailable"),"不可评价",IF(OR(W289="equivocal",Y289="equivocal"),"疑似",IF(AND(W289="positive",Y289="positive"),"a",IF(Y289="positive","b",IF(W289="positive","c","d")))))</x:f>
        <x:v>d</x:v>
      </x:c>
      <x:c r="AA289" s="12" t="str">
        <x:f>IF(OR(M289="unavailable",O289="unavailable"),"不可评价",IF(AND(OR(M289="positive",M289="equivocal"),OR(O289="positive",O289="equivocal")),"a",IF(OR(O289="positive",O289="equivocal"),"b",IF(OR(M289="positive",M289="equivocal"),"c","d"))))</x:f>
        <x:v>d</x:v>
      </x:c>
      <x:c r="AB289" s="12" t="str">
        <x:f>IF(OR(M289="unavailable",O289="unavailable"),"不可评价",IF(AND(M289="positive",O289="positive"),"a",IF(O289="positive","b",IF(M289="positive","c","d"))))</x:f>
        <x:v>d</x:v>
      </x:c>
      <x:c r="AC289" s="12" t="str">
        <x:f>IF(OR(R289="unavailable",T289="unavailable"),"不可评价",IF(AND(OR(R289="positive",R289="equivocal"),OR(T289="positive",T289="equivocal")),"a",IF(OR(T289="positive",T289="equivocal"),"b",IF(OR(R289="positive",R289="equivocal"),"c","d"))))</x:f>
        <x:v>d</x:v>
      </x:c>
      <x:c r="AD289" s="12" t="str">
        <x:f>IF(OR(R289="unavailable",T289="unavailable"),"不可评价",IF(AND(R289="positive",T289="positive"),"a",IF(T289="positive","b",IF(R289="positive","c","d"))))</x:f>
        <x:v>d</x:v>
      </x:c>
      <x:c r="AE289" s="12" t="str">
        <x:f>IF(OR(W289="unavailable",Y289="unavailable"),"不可评价",IF(AND(OR(W289="positive",W289="equivocal"),OR(Y289="positive",Y289="equivocal")),"a",IF(OR(Y289="positive",Y289="equivocal"),"b",IF(OR(W289="positive",W289="equivocal"),"c","d"))))</x:f>
        <x:v>d</x:v>
      </x:c>
      <x:c r="AF289" s="12" t="str">
        <x:f>IF(OR(W289="unavailable",Y289="unavailable"),"不可评价",IF(AND(W289="positive",Y289="positive"),"a",IF(Y289="positive","b",IF(W289="positive","c","d"))))</x:f>
        <x:v>d</x:v>
      </x:c>
    </x:row>
    <x:row r="290" ht="24" customHeight="1">
      <x:c r="A290" s="12" t="str">
        <x:v>2282</x:v>
      </x:c>
      <x:c r="B290" s="12" t="str">
        <x:v>5991</x:v>
      </x:c>
      <x:c r="C290" s="21" t="n">
        <x:v>32415.438530092593</x:v>
      </x:c>
      <x:c r="D290" s="12" t="n">
        <x:v>55</x:v>
      </x:c>
      <x:c r="E290" s="12" t="n">
        <x:v>0</x:v>
      </x:c>
      <x:c r="F290" s="12" t="str">
        <x:v>存在</x:v>
      </x:c>
      <x:c r="G290" s="12" t="n">
        <x:v>1</x:v>
      </x:c>
      <x:c r="H290" s="12" t="str">
        <x:v>{'NORM': 100.0, 'SR': 0.0}</x:v>
      </x:c>
      <x:c r="I290" s="12" t="str">
        <x:v>[('NSR', 100.0), ('NML', 100.0)]</x:v>
      </x:c>
      <x:c r="J290" s="12" t="str">
        <x:v>ptbxl_database.csv；ecg_id=2282；scp_codes</x:v>
      </x:c>
      <x:c r="K290" s="12" t="str">
        <x:v>12sl_statements.csv；ecg_id=2282；statements_ext_snomed</x:v>
      </x:c>
      <x:c r="L290" s="12"/>
      <x:c r="M290" s="12" t="str">
        <x:v>negative</x:v>
      </x:c>
      <x:c r="N290" s="12"/>
      <x:c r="O290" s="12" t="str">
        <x:v>negative</x:v>
      </x:c>
      <x:c r="P290" s="12" t="str">
        <x:f>IF(OR(M290="unavailable",O290="unavailable"),"不可评价",IF(OR(M290="equivocal",O290="equivocal"),"疑似",IF(AND(M290="positive",O290="positive"),"a",IF(O290="positive","b",IF(M290="positive","c","d")))))</x:f>
        <x:v>d</x:v>
      </x:c>
      <x:c r="Q290" s="12"/>
      <x:c r="R290" s="12" t="str">
        <x:v>negative</x:v>
      </x:c>
      <x:c r="S290" s="12"/>
      <x:c r="T290" s="12" t="str">
        <x:v>negative</x:v>
      </x:c>
      <x:c r="U290" s="12" t="str">
        <x:f>IF(OR(R290="unavailable",T290="unavailable"),"不可评价",IF(OR(R290="equivocal",T290="equivocal"),"疑似",IF(AND(R290="positive",T290="positive"),"a",IF(T290="positive","b",IF(R290="positive","c","d")))))</x:f>
        <x:v>d</x:v>
      </x:c>
      <x:c r="V290" s="12"/>
      <x:c r="W290" s="12" t="str">
        <x:v>negative</x:v>
      </x:c>
      <x:c r="X290" s="12"/>
      <x:c r="Y290" s="12" t="str">
        <x:v>negative</x:v>
      </x:c>
      <x:c r="Z290" s="12" t="str">
        <x:f>IF(OR(W290="unavailable",Y290="unavailable"),"不可评价",IF(OR(W290="equivocal",Y290="equivocal"),"疑似",IF(AND(W290="positive",Y290="positive"),"a",IF(Y290="positive","b",IF(W290="positive","c","d")))))</x:f>
        <x:v>d</x:v>
      </x:c>
      <x:c r="AA290" s="12" t="str">
        <x:f>IF(OR(M290="unavailable",O290="unavailable"),"不可评价",IF(AND(OR(M290="positive",M290="equivocal"),OR(O290="positive",O290="equivocal")),"a",IF(OR(O290="positive",O290="equivocal"),"b",IF(OR(M290="positive",M290="equivocal"),"c","d"))))</x:f>
        <x:v>d</x:v>
      </x:c>
      <x:c r="AB290" s="12" t="str">
        <x:f>IF(OR(M290="unavailable",O290="unavailable"),"不可评价",IF(AND(M290="positive",O290="positive"),"a",IF(O290="positive","b",IF(M290="positive","c","d"))))</x:f>
        <x:v>d</x:v>
      </x:c>
      <x:c r="AC290" s="12" t="str">
        <x:f>IF(OR(R290="unavailable",T290="unavailable"),"不可评价",IF(AND(OR(R290="positive",R290="equivocal"),OR(T290="positive",T290="equivocal")),"a",IF(OR(T290="positive",T290="equivocal"),"b",IF(OR(R290="positive",R290="equivocal"),"c","d"))))</x:f>
        <x:v>d</x:v>
      </x:c>
      <x:c r="AD290" s="12" t="str">
        <x:f>IF(OR(R290="unavailable",T290="unavailable"),"不可评价",IF(AND(R290="positive",T290="positive"),"a",IF(T290="positive","b",IF(R290="positive","c","d"))))</x:f>
        <x:v>d</x:v>
      </x:c>
      <x:c r="AE290" s="12" t="str">
        <x:f>IF(OR(W290="unavailable",Y290="unavailable"),"不可评价",IF(AND(OR(W290="positive",W290="equivocal"),OR(Y290="positive",Y290="equivocal")),"a",IF(OR(Y290="positive",Y290="equivocal"),"b",IF(OR(W290="positive",W290="equivocal"),"c","d"))))</x:f>
        <x:v>d</x:v>
      </x:c>
      <x:c r="AF290" s="12" t="str">
        <x:f>IF(OR(W290="unavailable",Y290="unavailable"),"不可评价",IF(AND(W290="positive",Y290="positive"),"a",IF(Y290="positive","b",IF(W290="positive","c","d"))))</x:f>
        <x:v>d</x:v>
      </x:c>
    </x:row>
    <x:row r="291" ht="24" customHeight="1">
      <x:c r="A291" s="12" t="str">
        <x:v>2285</x:v>
      </x:c>
      <x:c r="B291" s="12" t="str">
        <x:v>2208</x:v>
      </x:c>
      <x:c r="C291" s="21" t="n">
        <x:v>32415.72653935185</x:v>
      </x:c>
      <x:c r="D291" s="12" t="n">
        <x:v>77</x:v>
      </x:c>
      <x:c r="E291" s="12" t="n">
        <x:v>0</x:v>
      </x:c>
      <x:c r="F291" s="12" t="str">
        <x:v>未记录</x:v>
      </x:c>
      <x:c r="G291" s="12" t="n">
        <x:v>1</x:v>
      </x:c>
      <x:c r="H291" s="12" t="str">
        <x:v>{'LAFB': 80.0, 'SR': 0.0}</x:v>
      </x:c>
      <x:c r="I291" s="12" t="str">
        <x:v>[('SRTH', 100.0), ('FAV', 100.0), ('IMI;AU', 100.0), ('AB', 100.0)]</x:v>
      </x:c>
      <x:c r="J291" s="12" t="str">
        <x:v>ptbxl_database.csv；ecg_id=2285；scp_codes</x:v>
      </x:c>
      <x:c r="K291" s="12" t="str">
        <x:v>12sl_statements.csv；ecg_id=2285；statements_ext_snomed</x:v>
      </x:c>
      <x:c r="L291" s="12"/>
      <x:c r="M291" s="12" t="str">
        <x:v>negative</x:v>
      </x:c>
      <x:c r="N291" s="12"/>
      <x:c r="O291" s="12" t="str">
        <x:v>negative</x:v>
      </x:c>
      <x:c r="P291" s="12" t="str">
        <x:f>IF(OR(M291="unavailable",O291="unavailable"),"不可评价",IF(OR(M291="equivocal",O291="equivocal"),"疑似",IF(AND(M291="positive",O291="positive"),"a",IF(O291="positive","b",IF(M291="positive","c","d")))))</x:f>
        <x:v>d</x:v>
      </x:c>
      <x:c r="Q291" s="12"/>
      <x:c r="R291" s="12" t="str">
        <x:v>negative</x:v>
      </x:c>
      <x:c r="S291" s="12"/>
      <x:c r="T291" s="12" t="str">
        <x:v>negative</x:v>
      </x:c>
      <x:c r="U291" s="12" t="str">
        <x:f>IF(OR(R291="unavailable",T291="unavailable"),"不可评价",IF(OR(R291="equivocal",T291="equivocal"),"疑似",IF(AND(R291="positive",T291="positive"),"a",IF(T291="positive","b",IF(R291="positive","c","d")))))</x:f>
        <x:v>d</x:v>
      </x:c>
      <x:c r="V291" s="12"/>
      <x:c r="W291" s="12" t="str">
        <x:v>negative</x:v>
      </x:c>
      <x:c r="X291" s="12"/>
      <x:c r="Y291" s="12" t="str">
        <x:v>negative</x:v>
      </x:c>
      <x:c r="Z291" s="12" t="str">
        <x:f>IF(OR(W291="unavailable",Y291="unavailable"),"不可评价",IF(OR(W291="equivocal",Y291="equivocal"),"疑似",IF(AND(W291="positive",Y291="positive"),"a",IF(Y291="positive","b",IF(W291="positive","c","d")))))</x:f>
        <x:v>d</x:v>
      </x:c>
      <x:c r="AA291" s="12" t="str">
        <x:f>IF(OR(M291="unavailable",O291="unavailable"),"不可评价",IF(AND(OR(M291="positive",M291="equivocal"),OR(O291="positive",O291="equivocal")),"a",IF(OR(O291="positive",O291="equivocal"),"b",IF(OR(M291="positive",M291="equivocal"),"c","d"))))</x:f>
        <x:v>d</x:v>
      </x:c>
      <x:c r="AB291" s="12" t="str">
        <x:f>IF(OR(M291="unavailable",O291="unavailable"),"不可评价",IF(AND(M291="positive",O291="positive"),"a",IF(O291="positive","b",IF(M291="positive","c","d"))))</x:f>
        <x:v>d</x:v>
      </x:c>
      <x:c r="AC291" s="12" t="str">
        <x:f>IF(OR(R291="unavailable",T291="unavailable"),"不可评价",IF(AND(OR(R291="positive",R291="equivocal"),OR(T291="positive",T291="equivocal")),"a",IF(OR(T291="positive",T291="equivocal"),"b",IF(OR(R291="positive",R291="equivocal"),"c","d"))))</x:f>
        <x:v>d</x:v>
      </x:c>
      <x:c r="AD291" s="12" t="str">
        <x:f>IF(OR(R291="unavailable",T291="unavailable"),"不可评价",IF(AND(R291="positive",T291="positive"),"a",IF(T291="positive","b",IF(R291="positive","c","d"))))</x:f>
        <x:v>d</x:v>
      </x:c>
      <x:c r="AE291" s="12" t="str">
        <x:f>IF(OR(W291="unavailable",Y291="unavailable"),"不可评价",IF(AND(OR(W291="positive",W291="equivocal"),OR(Y291="positive",Y291="equivocal")),"a",IF(OR(Y291="positive",Y291="equivocal"),"b",IF(OR(W291="positive",W291="equivocal"),"c","d"))))</x:f>
        <x:v>d</x:v>
      </x:c>
      <x:c r="AF291" s="12" t="str">
        <x:f>IF(OR(W291="unavailable",Y291="unavailable"),"不可评价",IF(AND(W291="positive",Y291="positive"),"a",IF(Y291="positive","b",IF(W291="positive","c","d"))))</x:f>
        <x:v>d</x:v>
      </x:c>
    </x:row>
    <x:row r="292" ht="24" customHeight="1">
      <x:c r="A292" s="12" t="str">
        <x:v>2293</x:v>
      </x:c>
      <x:c r="B292" s="12" t="str">
        <x:v>4321</x:v>
      </x:c>
      <x:c r="C292" s="21" t="n">
        <x:v>32417.41133101852</x:v>
      </x:c>
      <x:c r="D292" s="12" t="n">
        <x:v>300</x:v>
      </x:c>
      <x:c r="E292" s="12" t="n">
        <x:v>1</x:v>
      </x:c>
      <x:c r="F292" s="12" t="str">
        <x:v>未记录</x:v>
      </x:c>
      <x:c r="G292" s="12" t="n">
        <x:v>1</x:v>
      </x:c>
      <x:c r="H292" s="12" t="str">
        <x:v>{'NDT': 100.0}</x:v>
      </x:c>
      <x:c r="I292" s="12" t="str">
        <x:v>[('NSR', 100.0), ('NT', 100.0), ('AB', 100.0)]</x:v>
      </x:c>
      <x:c r="J292" s="12" t="str">
        <x:v>ptbxl_database.csv；ecg_id=2293；scp_codes</x:v>
      </x:c>
      <x:c r="K292" s="12" t="str">
        <x:v>12sl_statements.csv；ecg_id=2293；statements_ext_snomed</x:v>
      </x:c>
      <x:c r="L292" s="12"/>
      <x:c r="M292" s="12" t="str">
        <x:v>negative</x:v>
      </x:c>
      <x:c r="N292" s="12"/>
      <x:c r="O292" s="12" t="str">
        <x:v>negative</x:v>
      </x:c>
      <x:c r="P292" s="12" t="str">
        <x:f>IF(OR(M292="unavailable",O292="unavailable"),"不可评价",IF(OR(M292="equivocal",O292="equivocal"),"疑似",IF(AND(M292="positive",O292="positive"),"a",IF(O292="positive","b",IF(M292="positive","c","d")))))</x:f>
        <x:v>d</x:v>
      </x:c>
      <x:c r="Q292" s="12"/>
      <x:c r="R292" s="12" t="str">
        <x:v>negative</x:v>
      </x:c>
      <x:c r="S292" s="12"/>
      <x:c r="T292" s="12" t="str">
        <x:v>negative</x:v>
      </x:c>
      <x:c r="U292" s="12" t="str">
        <x:f>IF(OR(R292="unavailable",T292="unavailable"),"不可评价",IF(OR(R292="equivocal",T292="equivocal"),"疑似",IF(AND(R292="positive",T292="positive"),"a",IF(T292="positive","b",IF(R292="positive","c","d")))))</x:f>
        <x:v>d</x:v>
      </x:c>
      <x:c r="V292" s="12"/>
      <x:c r="W292" s="12" t="str">
        <x:v>negative</x:v>
      </x:c>
      <x:c r="X292" s="12"/>
      <x:c r="Y292" s="12" t="str">
        <x:v>negative</x:v>
      </x:c>
      <x:c r="Z292" s="12" t="str">
        <x:f>IF(OR(W292="unavailable",Y292="unavailable"),"不可评价",IF(OR(W292="equivocal",Y292="equivocal"),"疑似",IF(AND(W292="positive",Y292="positive"),"a",IF(Y292="positive","b",IF(W292="positive","c","d")))))</x:f>
        <x:v>d</x:v>
      </x:c>
      <x:c r="AA292" s="12" t="str">
        <x:f>IF(OR(M292="unavailable",O292="unavailable"),"不可评价",IF(AND(OR(M292="positive",M292="equivocal"),OR(O292="positive",O292="equivocal")),"a",IF(OR(O292="positive",O292="equivocal"),"b",IF(OR(M292="positive",M292="equivocal"),"c","d"))))</x:f>
        <x:v>d</x:v>
      </x:c>
      <x:c r="AB292" s="12" t="str">
        <x:f>IF(OR(M292="unavailable",O292="unavailable"),"不可评价",IF(AND(M292="positive",O292="positive"),"a",IF(O292="positive","b",IF(M292="positive","c","d"))))</x:f>
        <x:v>d</x:v>
      </x:c>
      <x:c r="AC292" s="12" t="str">
        <x:f>IF(OR(R292="unavailable",T292="unavailable"),"不可评价",IF(AND(OR(R292="positive",R292="equivocal"),OR(T292="positive",T292="equivocal")),"a",IF(OR(T292="positive",T292="equivocal"),"b",IF(OR(R292="positive",R292="equivocal"),"c","d"))))</x:f>
        <x:v>d</x:v>
      </x:c>
      <x:c r="AD292" s="12" t="str">
        <x:f>IF(OR(R292="unavailable",T292="unavailable"),"不可评价",IF(AND(R292="positive",T292="positive"),"a",IF(T292="positive","b",IF(R292="positive","c","d"))))</x:f>
        <x:v>d</x:v>
      </x:c>
      <x:c r="AE292" s="12" t="str">
        <x:f>IF(OR(W292="unavailable",Y292="unavailable"),"不可评价",IF(AND(OR(W292="positive",W292="equivocal"),OR(Y292="positive",Y292="equivocal")),"a",IF(OR(Y292="positive",Y292="equivocal"),"b",IF(OR(W292="positive",W292="equivocal"),"c","d"))))</x:f>
        <x:v>d</x:v>
      </x:c>
      <x:c r="AF292" s="12" t="str">
        <x:f>IF(OR(W292="unavailable",Y292="unavailable"),"不可评价",IF(AND(W292="positive",Y292="positive"),"a",IF(Y292="positive","b",IF(W292="positive","c","d"))))</x:f>
        <x:v>d</x:v>
      </x:c>
    </x:row>
    <x:row r="293" ht="24" customHeight="1">
      <x:c r="A293" s="12" t="str">
        <x:v>2302</x:v>
      </x:c>
      <x:c r="B293" s="12" t="str">
        <x:v>586</x:v>
      </x:c>
      <x:c r="C293" s="21" t="n">
        <x:v>32418.39880787037</x:v>
      </x:c>
      <x:c r="D293" s="12" t="n">
        <x:v>76</x:v>
      </x:c>
      <x:c r="E293" s="12" t="n">
        <x:v>1</x:v>
      </x:c>
      <x:c r="F293" s="12" t="str">
        <x:v>未记录</x:v>
      </x:c>
      <x:c r="G293" s="12" t="n">
        <x:v>1</x:v>
      </x:c>
      <x:c r="H293" s="12" t="str">
        <x:v>{'NORM': 100.0, 'NT_': 0.0, 'SR': 0.0}</x:v>
      </x:c>
      <x:c r="I293" s="12" t="str">
        <x:v>[('NSR', 100.0), ('NML', 100.0)]</x:v>
      </x:c>
      <x:c r="J293" s="12" t="str">
        <x:v>ptbxl_database.csv；ecg_id=2302；scp_codes</x:v>
      </x:c>
      <x:c r="K293" s="12" t="str">
        <x:v>12sl_statements.csv；ecg_id=2302；statements_ext_snomed</x:v>
      </x:c>
      <x:c r="L293" s="12"/>
      <x:c r="M293" s="12" t="str">
        <x:v>negative</x:v>
      </x:c>
      <x:c r="N293" s="12"/>
      <x:c r="O293" s="12" t="str">
        <x:v>negative</x:v>
      </x:c>
      <x:c r="P293" s="12" t="str">
        <x:f>IF(OR(M293="unavailable",O293="unavailable"),"不可评价",IF(OR(M293="equivocal",O293="equivocal"),"疑似",IF(AND(M293="positive",O293="positive"),"a",IF(O293="positive","b",IF(M293="positive","c","d")))))</x:f>
        <x:v>d</x:v>
      </x:c>
      <x:c r="Q293" s="12"/>
      <x:c r="R293" s="12" t="str">
        <x:v>negative</x:v>
      </x:c>
      <x:c r="S293" s="12"/>
      <x:c r="T293" s="12" t="str">
        <x:v>negative</x:v>
      </x:c>
      <x:c r="U293" s="12" t="str">
        <x:f>IF(OR(R293="unavailable",T293="unavailable"),"不可评价",IF(OR(R293="equivocal",T293="equivocal"),"疑似",IF(AND(R293="positive",T293="positive"),"a",IF(T293="positive","b",IF(R293="positive","c","d")))))</x:f>
        <x:v>d</x:v>
      </x:c>
      <x:c r="V293" s="12"/>
      <x:c r="W293" s="12" t="str">
        <x:v>negative</x:v>
      </x:c>
      <x:c r="X293" s="12"/>
      <x:c r="Y293" s="12" t="str">
        <x:v>negative</x:v>
      </x:c>
      <x:c r="Z293" s="12" t="str">
        <x:f>IF(OR(W293="unavailable",Y293="unavailable"),"不可评价",IF(OR(W293="equivocal",Y293="equivocal"),"疑似",IF(AND(W293="positive",Y293="positive"),"a",IF(Y293="positive","b",IF(W293="positive","c","d")))))</x:f>
        <x:v>d</x:v>
      </x:c>
      <x:c r="AA293" s="12" t="str">
        <x:f>IF(OR(M293="unavailable",O293="unavailable"),"不可评价",IF(AND(OR(M293="positive",M293="equivocal"),OR(O293="positive",O293="equivocal")),"a",IF(OR(O293="positive",O293="equivocal"),"b",IF(OR(M293="positive",M293="equivocal"),"c","d"))))</x:f>
        <x:v>d</x:v>
      </x:c>
      <x:c r="AB293" s="12" t="str">
        <x:f>IF(OR(M293="unavailable",O293="unavailable"),"不可评价",IF(AND(M293="positive",O293="positive"),"a",IF(O293="positive","b",IF(M293="positive","c","d"))))</x:f>
        <x:v>d</x:v>
      </x:c>
      <x:c r="AC293" s="12" t="str">
        <x:f>IF(OR(R293="unavailable",T293="unavailable"),"不可评价",IF(AND(OR(R293="positive",R293="equivocal"),OR(T293="positive",T293="equivocal")),"a",IF(OR(T293="positive",T293="equivocal"),"b",IF(OR(R293="positive",R293="equivocal"),"c","d"))))</x:f>
        <x:v>d</x:v>
      </x:c>
      <x:c r="AD293" s="12" t="str">
        <x:f>IF(OR(R293="unavailable",T293="unavailable"),"不可评价",IF(AND(R293="positive",T293="positive"),"a",IF(T293="positive","b",IF(R293="positive","c","d"))))</x:f>
        <x:v>d</x:v>
      </x:c>
      <x:c r="AE293" s="12" t="str">
        <x:f>IF(OR(W293="unavailable",Y293="unavailable"),"不可评价",IF(AND(OR(W293="positive",W293="equivocal"),OR(Y293="positive",Y293="equivocal")),"a",IF(OR(Y293="positive",Y293="equivocal"),"b",IF(OR(W293="positive",W293="equivocal"),"c","d"))))</x:f>
        <x:v>d</x:v>
      </x:c>
      <x:c r="AF293" s="12" t="str">
        <x:f>IF(OR(W293="unavailable",Y293="unavailable"),"不可评价",IF(AND(W293="positive",Y293="positive"),"a",IF(Y293="positive","b",IF(W293="positive","c","d"))))</x:f>
        <x:v>d</x:v>
      </x:c>
    </x:row>
    <x:row r="294" ht="39" customHeight="1">
      <x:c r="A294" s="12" t="str">
        <x:v>2317</x:v>
      </x:c>
      <x:c r="B294" s="12" t="str">
        <x:v>2689</x:v>
      </x:c>
      <x:c r="C294" s="21" t="n">
        <x:v>32419.478530092594</x:v>
      </x:c>
      <x:c r="D294" s="12" t="n">
        <x:v>75</x:v>
      </x:c>
      <x:c r="E294" s="12" t="n">
        <x:v>1</x:v>
      </x:c>
      <x:c r="F294" s="12" t="str">
        <x:v>未记录</x:v>
      </x:c>
      <x:c r="G294" s="12" t="n">
        <x:v>1</x:v>
      </x:c>
      <x:c r="H294" s="12" t="str">
        <x:v>{'LVH': 50.0, 'ISC_': 50.0, 'DIG': 100.0, 'PAC': 0.0, 'VCLVH': 0.0, 'STD_': 0.0, 'SBRAD': 0.0}</x:v>
      </x:c>
      <x:c r="I294" s="12" t="str">
        <x:v>[('MSBRAD', 100.0), ('MSAR', 100.0), ('LVH2', 100.0), ('2ST', 100.0), ('AB', 100.0)]</x:v>
      </x:c>
      <x:c r="J294" s="12" t="str">
        <x:v>ptbxl_database.csv；ecg_id=2317；scp_codes</x:v>
      </x:c>
      <x:c r="K294" s="12" t="str">
        <x:v>12sl_statements.csv；ecg_id=2317；statements_ext_snomed</x:v>
      </x:c>
      <x:c r="L294" s="12"/>
      <x:c r="M294" s="12" t="str">
        <x:v>negative</x:v>
      </x:c>
      <x:c r="N294" s="12"/>
      <x:c r="O294" s="12" t="str">
        <x:v>negative</x:v>
      </x:c>
      <x:c r="P294" s="12" t="str">
        <x:f>IF(OR(M294="unavailable",O294="unavailable"),"不可评价",IF(OR(M294="equivocal",O294="equivocal"),"疑似",IF(AND(M294="positive",O294="positive"),"a",IF(O294="positive","b",IF(M294="positive","c","d")))))</x:f>
        <x:v>d</x:v>
      </x:c>
      <x:c r="Q294" s="12"/>
      <x:c r="R294" s="12" t="str">
        <x:v>negative</x:v>
      </x:c>
      <x:c r="S294" s="12"/>
      <x:c r="T294" s="12" t="str">
        <x:v>negative</x:v>
      </x:c>
      <x:c r="U294" s="12" t="str">
        <x:f>IF(OR(R294="unavailable",T294="unavailable"),"不可评价",IF(OR(R294="equivocal",T294="equivocal"),"疑似",IF(AND(R294="positive",T294="positive"),"a",IF(T294="positive","b",IF(R294="positive","c","d")))))</x:f>
        <x:v>d</x:v>
      </x:c>
      <x:c r="V294" s="12"/>
      <x:c r="W294" s="12" t="str">
        <x:v>negative</x:v>
      </x:c>
      <x:c r="X294" s="12"/>
      <x:c r="Y294" s="12" t="str">
        <x:v>negative</x:v>
      </x:c>
      <x:c r="Z294" s="12" t="str">
        <x:f>IF(OR(W294="unavailable",Y294="unavailable"),"不可评价",IF(OR(W294="equivocal",Y294="equivocal"),"疑似",IF(AND(W294="positive",Y294="positive"),"a",IF(Y294="positive","b",IF(W294="positive","c","d")))))</x:f>
        <x:v>d</x:v>
      </x:c>
      <x:c r="AA294" s="12" t="str">
        <x:f>IF(OR(M294="unavailable",O294="unavailable"),"不可评价",IF(AND(OR(M294="positive",M294="equivocal"),OR(O294="positive",O294="equivocal")),"a",IF(OR(O294="positive",O294="equivocal"),"b",IF(OR(M294="positive",M294="equivocal"),"c","d"))))</x:f>
        <x:v>d</x:v>
      </x:c>
      <x:c r="AB294" s="12" t="str">
        <x:f>IF(OR(M294="unavailable",O294="unavailable"),"不可评价",IF(AND(M294="positive",O294="positive"),"a",IF(O294="positive","b",IF(M294="positive","c","d"))))</x:f>
        <x:v>d</x:v>
      </x:c>
      <x:c r="AC294" s="12" t="str">
        <x:f>IF(OR(R294="unavailable",T294="unavailable"),"不可评价",IF(AND(OR(R294="positive",R294="equivocal"),OR(T294="positive",T294="equivocal")),"a",IF(OR(T294="positive",T294="equivocal"),"b",IF(OR(R294="positive",R294="equivocal"),"c","d"))))</x:f>
        <x:v>d</x:v>
      </x:c>
      <x:c r="AD294" s="12" t="str">
        <x:f>IF(OR(R294="unavailable",T294="unavailable"),"不可评价",IF(AND(R294="positive",T294="positive"),"a",IF(T294="positive","b",IF(R294="positive","c","d"))))</x:f>
        <x:v>d</x:v>
      </x:c>
      <x:c r="AE294" s="12" t="str">
        <x:f>IF(OR(W294="unavailable",Y294="unavailable"),"不可评价",IF(AND(OR(W294="positive",W294="equivocal"),OR(Y294="positive",Y294="equivocal")),"a",IF(OR(Y294="positive",Y294="equivocal"),"b",IF(OR(W294="positive",W294="equivocal"),"c","d"))))</x:f>
        <x:v>d</x:v>
      </x:c>
      <x:c r="AF294" s="12" t="str">
        <x:f>IF(OR(W294="unavailable",Y294="unavailable"),"不可评价",IF(AND(W294="positive",Y294="positive"),"a",IF(Y294="positive","b",IF(W294="positive","c","d"))))</x:f>
        <x:v>d</x:v>
      </x:c>
    </x:row>
    <x:row r="295" ht="24" customHeight="1">
      <x:c r="A295" s="12" t="str">
        <x:v>2322</x:v>
      </x:c>
      <x:c r="B295" s="12" t="str">
        <x:v>586</x:v>
      </x:c>
      <x:c r="C295" s="21" t="n">
        <x:v>32420.312384259258</x:v>
      </x:c>
      <x:c r="D295" s="12" t="n">
        <x:v>76</x:v>
      </x:c>
      <x:c r="E295" s="12" t="n">
        <x:v>1</x:v>
      </x:c>
      <x:c r="F295" s="12" t="str">
        <x:v>未记录</x:v>
      </x:c>
      <x:c r="G295" s="12" t="n">
        <x:v>0</x:v>
      </x:c>
      <x:c r="H295" s="12" t="str">
        <x:v>{'ASMI': 100.0, 'LVH': 50.0, 'ISC_': 100.0, 'SR': 0.0}</x:v>
      </x:c>
      <x:c r="I295" s="12" t="str">
        <x:v>[('NSR', 100.0), ('AMI;AU', 15.0), ('ST&amp;', 100.0), ('LT', 100.0), ('AB', 100.0)]</x:v>
      </x:c>
      <x:c r="J295" s="12" t="str">
        <x:v>ptbxl_database.csv；ecg_id=2322；scp_codes</x:v>
      </x:c>
      <x:c r="K295" s="12" t="str">
        <x:v>12sl_statements.csv；ecg_id=2322；statements_ext_snomed</x:v>
      </x:c>
      <x:c r="L295" s="12"/>
      <x:c r="M295" s="12" t="str">
        <x:v>negative</x:v>
      </x:c>
      <x:c r="N295" s="12"/>
      <x:c r="O295" s="12" t="str">
        <x:v>negative</x:v>
      </x:c>
      <x:c r="P295" s="12" t="str">
        <x:f>IF(OR(M295="unavailable",O295="unavailable"),"不可评价",IF(OR(M295="equivocal",O295="equivocal"),"疑似",IF(AND(M295="positive",O295="positive"),"a",IF(O295="positive","b",IF(M295="positive","c","d")))))</x:f>
        <x:v>d</x:v>
      </x:c>
      <x:c r="Q295" s="12"/>
      <x:c r="R295" s="12" t="str">
        <x:v>negative</x:v>
      </x:c>
      <x:c r="S295" s="12"/>
      <x:c r="T295" s="12" t="str">
        <x:v>negative</x:v>
      </x:c>
      <x:c r="U295" s="12" t="str">
        <x:f>IF(OR(R295="unavailable",T295="unavailable"),"不可评价",IF(OR(R295="equivocal",T295="equivocal"),"疑似",IF(AND(R295="positive",T295="positive"),"a",IF(T295="positive","b",IF(R295="positive","c","d")))))</x:f>
        <x:v>d</x:v>
      </x:c>
      <x:c r="V295" s="12"/>
      <x:c r="W295" s="12" t="str">
        <x:v>negative</x:v>
      </x:c>
      <x:c r="X295" s="12"/>
      <x:c r="Y295" s="12" t="str">
        <x:v>negative</x:v>
      </x:c>
      <x:c r="Z295" s="12" t="str">
        <x:f>IF(OR(W295="unavailable",Y295="unavailable"),"不可评价",IF(OR(W295="equivocal",Y295="equivocal"),"疑似",IF(AND(W295="positive",Y295="positive"),"a",IF(Y295="positive","b",IF(W295="positive","c","d")))))</x:f>
        <x:v>d</x:v>
      </x:c>
      <x:c r="AA295" s="12" t="str">
        <x:f>IF(OR(M295="unavailable",O295="unavailable"),"不可评价",IF(AND(OR(M295="positive",M295="equivocal"),OR(O295="positive",O295="equivocal")),"a",IF(OR(O295="positive",O295="equivocal"),"b",IF(OR(M295="positive",M295="equivocal"),"c","d"))))</x:f>
        <x:v>d</x:v>
      </x:c>
      <x:c r="AB295" s="12" t="str">
        <x:f>IF(OR(M295="unavailable",O295="unavailable"),"不可评价",IF(AND(M295="positive",O295="positive"),"a",IF(O295="positive","b",IF(M295="positive","c","d"))))</x:f>
        <x:v>d</x:v>
      </x:c>
      <x:c r="AC295" s="12" t="str">
        <x:f>IF(OR(R295="unavailable",T295="unavailable"),"不可评价",IF(AND(OR(R295="positive",R295="equivocal"),OR(T295="positive",T295="equivocal")),"a",IF(OR(T295="positive",T295="equivocal"),"b",IF(OR(R295="positive",R295="equivocal"),"c","d"))))</x:f>
        <x:v>d</x:v>
      </x:c>
      <x:c r="AD295" s="12" t="str">
        <x:f>IF(OR(R295="unavailable",T295="unavailable"),"不可评价",IF(AND(R295="positive",T295="positive"),"a",IF(T295="positive","b",IF(R295="positive","c","d"))))</x:f>
        <x:v>d</x:v>
      </x:c>
      <x:c r="AE295" s="12" t="str">
        <x:f>IF(OR(W295="unavailable",Y295="unavailable"),"不可评价",IF(AND(OR(W295="positive",W295="equivocal"),OR(Y295="positive",Y295="equivocal")),"a",IF(OR(Y295="positive",Y295="equivocal"),"b",IF(OR(W295="positive",W295="equivocal"),"c","d"))))</x:f>
        <x:v>d</x:v>
      </x:c>
      <x:c r="AF295" s="12" t="str">
        <x:f>IF(OR(W295="unavailable",Y295="unavailable"),"不可评价",IF(AND(W295="positive",Y295="positive"),"a",IF(Y295="positive","b",IF(W295="positive","c","d"))))</x:f>
        <x:v>d</x:v>
      </x:c>
    </x:row>
    <x:row r="296" ht="39" customHeight="1">
      <x:c r="A296" s="12" t="str">
        <x:v>2324</x:v>
      </x:c>
      <x:c r="B296" s="12" t="str">
        <x:v>13883</x:v>
      </x:c>
      <x:c r="C296" s="21" t="n">
        <x:v>32421.40335648148</x:v>
      </x:c>
      <x:c r="D296" s="12" t="n">
        <x:v>69</x:v>
      </x:c>
      <x:c r="E296" s="12" t="n">
        <x:v>0</x:v>
      </x:c>
      <x:c r="F296" s="12" t="str">
        <x:v>未记录</x:v>
      </x:c>
      <x:c r="G296" s="12" t="n">
        <x:v>1</x:v>
      </x:c>
      <x:c r="H296" s="12" t="str">
        <x:v>{'ASMI': 100.0, 'IRBBB': 100.0, 'LAO/LAE': 100.0, 'ABQRS': 0.0, 'SR': 0.0}</x:v>
      </x:c>
      <x:c r="I296" s="12" t="str">
        <x:v>[('SBRAD', 100.0), ('LAE', 50.0), ('RSR', 100.0), ('ASMI;AU', 100.0), ('ST&amp;', 100.0), ('LT', 100.0), ('AB', 100.0)]</x:v>
      </x:c>
      <x:c r="J296" s="12" t="str">
        <x:v>ptbxl_database.csv；ecg_id=2324；scp_codes</x:v>
      </x:c>
      <x:c r="K296" s="12" t="str">
        <x:v>12sl_statements.csv；ecg_id=2324；statements_ext_snomed</x:v>
      </x:c>
      <x:c r="L296" s="12"/>
      <x:c r="M296" s="12" t="str">
        <x:v>negative</x:v>
      </x:c>
      <x:c r="N296" s="12"/>
      <x:c r="O296" s="12" t="str">
        <x:v>negative</x:v>
      </x:c>
      <x:c r="P296" s="12" t="str">
        <x:f>IF(OR(M296="unavailable",O296="unavailable"),"不可评价",IF(OR(M296="equivocal",O296="equivocal"),"疑似",IF(AND(M296="positive",O296="positive"),"a",IF(O296="positive","b",IF(M296="positive","c","d")))))</x:f>
        <x:v>d</x:v>
      </x:c>
      <x:c r="Q296" s="12"/>
      <x:c r="R296" s="12" t="str">
        <x:v>negative</x:v>
      </x:c>
      <x:c r="S296" s="12"/>
      <x:c r="T296" s="12" t="str">
        <x:v>negative</x:v>
      </x:c>
      <x:c r="U296" s="12" t="str">
        <x:f>IF(OR(R296="unavailable",T296="unavailable"),"不可评价",IF(OR(R296="equivocal",T296="equivocal"),"疑似",IF(AND(R296="positive",T296="positive"),"a",IF(T296="positive","b",IF(R296="positive","c","d")))))</x:f>
        <x:v>d</x:v>
      </x:c>
      <x:c r="V296" s="12"/>
      <x:c r="W296" s="12" t="str">
        <x:v>negative</x:v>
      </x:c>
      <x:c r="X296" s="12"/>
      <x:c r="Y296" s="12" t="str">
        <x:v>negative</x:v>
      </x:c>
      <x:c r="Z296" s="12" t="str">
        <x:f>IF(OR(W296="unavailable",Y296="unavailable"),"不可评价",IF(OR(W296="equivocal",Y296="equivocal"),"疑似",IF(AND(W296="positive",Y296="positive"),"a",IF(Y296="positive","b",IF(W296="positive","c","d")))))</x:f>
        <x:v>d</x:v>
      </x:c>
      <x:c r="AA296" s="12" t="str">
        <x:f>IF(OR(M296="unavailable",O296="unavailable"),"不可评价",IF(AND(OR(M296="positive",M296="equivocal"),OR(O296="positive",O296="equivocal")),"a",IF(OR(O296="positive",O296="equivocal"),"b",IF(OR(M296="positive",M296="equivocal"),"c","d"))))</x:f>
        <x:v>d</x:v>
      </x:c>
      <x:c r="AB296" s="12" t="str">
        <x:f>IF(OR(M296="unavailable",O296="unavailable"),"不可评价",IF(AND(M296="positive",O296="positive"),"a",IF(O296="positive","b",IF(M296="positive","c","d"))))</x:f>
        <x:v>d</x:v>
      </x:c>
      <x:c r="AC296" s="12" t="str">
        <x:f>IF(OR(R296="unavailable",T296="unavailable"),"不可评价",IF(AND(OR(R296="positive",R296="equivocal"),OR(T296="positive",T296="equivocal")),"a",IF(OR(T296="positive",T296="equivocal"),"b",IF(OR(R296="positive",R296="equivocal"),"c","d"))))</x:f>
        <x:v>d</x:v>
      </x:c>
      <x:c r="AD296" s="12" t="str">
        <x:f>IF(OR(R296="unavailable",T296="unavailable"),"不可评价",IF(AND(R296="positive",T296="positive"),"a",IF(T296="positive","b",IF(R296="positive","c","d"))))</x:f>
        <x:v>d</x:v>
      </x:c>
      <x:c r="AE296" s="12" t="str">
        <x:f>IF(OR(W296="unavailable",Y296="unavailable"),"不可评价",IF(AND(OR(W296="positive",W296="equivocal"),OR(Y296="positive",Y296="equivocal")),"a",IF(OR(Y296="positive",Y296="equivocal"),"b",IF(OR(W296="positive",W296="equivocal"),"c","d"))))</x:f>
        <x:v>d</x:v>
      </x:c>
      <x:c r="AF296" s="12" t="str">
        <x:f>IF(OR(W296="unavailable",Y296="unavailable"),"不可评价",IF(AND(W296="positive",Y296="positive"),"a",IF(Y296="positive","b",IF(W296="positive","c","d"))))</x:f>
        <x:v>d</x:v>
      </x:c>
    </x:row>
    <x:row r="297" ht="24" customHeight="1">
      <x:c r="A297" s="12" t="str">
        <x:v>2341</x:v>
      </x:c>
      <x:c r="B297" s="12" t="str">
        <x:v>14475</x:v>
      </x:c>
      <x:c r="C297" s="21" t="n">
        <x:v>32449.45980324074</x:v>
      </x:c>
      <x:c r="D297" s="12" t="n">
        <x:v>35</x:v>
      </x:c>
      <x:c r="E297" s="12" t="n">
        <x:v>0</x:v>
      </x:c>
      <x:c r="F297" s="12" t="str">
        <x:v>未记录</x:v>
      </x:c>
      <x:c r="G297" s="12" t="n">
        <x:v>1</x:v>
      </x:c>
      <x:c r="H297" s="12" t="str">
        <x:v>{'NORM': 100.0, 'SR': 0.0}</x:v>
      </x:c>
      <x:c r="I297" s="12" t="str">
        <x:v>[('NSR', 100.0), ('NML', 100.0)]</x:v>
      </x:c>
      <x:c r="J297" s="12" t="str">
        <x:v>ptbxl_database.csv；ecg_id=2341；scp_codes</x:v>
      </x:c>
      <x:c r="K297" s="12" t="str">
        <x:v>12sl_statements.csv；ecg_id=2341；statements_ext_snomed</x:v>
      </x:c>
      <x:c r="L297" s="12"/>
      <x:c r="M297" s="12" t="str">
        <x:v>negative</x:v>
      </x:c>
      <x:c r="N297" s="12"/>
      <x:c r="O297" s="12" t="str">
        <x:v>negative</x:v>
      </x:c>
      <x:c r="P297" s="12" t="str">
        <x:f>IF(OR(M297="unavailable",O297="unavailable"),"不可评价",IF(OR(M297="equivocal",O297="equivocal"),"疑似",IF(AND(M297="positive",O297="positive"),"a",IF(O297="positive","b",IF(M297="positive","c","d")))))</x:f>
        <x:v>d</x:v>
      </x:c>
      <x:c r="Q297" s="12"/>
      <x:c r="R297" s="12" t="str">
        <x:v>negative</x:v>
      </x:c>
      <x:c r="S297" s="12"/>
      <x:c r="T297" s="12" t="str">
        <x:v>negative</x:v>
      </x:c>
      <x:c r="U297" s="12" t="str">
        <x:f>IF(OR(R297="unavailable",T297="unavailable"),"不可评价",IF(OR(R297="equivocal",T297="equivocal"),"疑似",IF(AND(R297="positive",T297="positive"),"a",IF(T297="positive","b",IF(R297="positive","c","d")))))</x:f>
        <x:v>d</x:v>
      </x:c>
      <x:c r="V297" s="12"/>
      <x:c r="W297" s="12" t="str">
        <x:v>negative</x:v>
      </x:c>
      <x:c r="X297" s="12"/>
      <x:c r="Y297" s="12" t="str">
        <x:v>negative</x:v>
      </x:c>
      <x:c r="Z297" s="12" t="str">
        <x:f>IF(OR(W297="unavailable",Y297="unavailable"),"不可评价",IF(OR(W297="equivocal",Y297="equivocal"),"疑似",IF(AND(W297="positive",Y297="positive"),"a",IF(Y297="positive","b",IF(W297="positive","c","d")))))</x:f>
        <x:v>d</x:v>
      </x:c>
      <x:c r="AA297" s="12" t="str">
        <x:f>IF(OR(M297="unavailable",O297="unavailable"),"不可评价",IF(AND(OR(M297="positive",M297="equivocal"),OR(O297="positive",O297="equivocal")),"a",IF(OR(O297="positive",O297="equivocal"),"b",IF(OR(M297="positive",M297="equivocal"),"c","d"))))</x:f>
        <x:v>d</x:v>
      </x:c>
      <x:c r="AB297" s="12" t="str">
        <x:f>IF(OR(M297="unavailable",O297="unavailable"),"不可评价",IF(AND(M297="positive",O297="positive"),"a",IF(O297="positive","b",IF(M297="positive","c","d"))))</x:f>
        <x:v>d</x:v>
      </x:c>
      <x:c r="AC297" s="12" t="str">
        <x:f>IF(OR(R297="unavailable",T297="unavailable"),"不可评价",IF(AND(OR(R297="positive",R297="equivocal"),OR(T297="positive",T297="equivocal")),"a",IF(OR(T297="positive",T297="equivocal"),"b",IF(OR(R297="positive",R297="equivocal"),"c","d"))))</x:f>
        <x:v>d</x:v>
      </x:c>
      <x:c r="AD297" s="12" t="str">
        <x:f>IF(OR(R297="unavailable",T297="unavailable"),"不可评价",IF(AND(R297="positive",T297="positive"),"a",IF(T297="positive","b",IF(R297="positive","c","d"))))</x:f>
        <x:v>d</x:v>
      </x:c>
      <x:c r="AE297" s="12" t="str">
        <x:f>IF(OR(W297="unavailable",Y297="unavailable"),"不可评价",IF(AND(OR(W297="positive",W297="equivocal"),OR(Y297="positive",Y297="equivocal")),"a",IF(OR(Y297="positive",Y297="equivocal"),"b",IF(OR(W297="positive",W297="equivocal"),"c","d"))))</x:f>
        <x:v>d</x:v>
      </x:c>
      <x:c r="AF297" s="12" t="str">
        <x:f>IF(OR(W297="unavailable",Y297="unavailable"),"不可评价",IF(AND(W297="positive",Y297="positive"),"a",IF(Y297="positive","b",IF(W297="positive","c","d"))))</x:f>
        <x:v>d</x:v>
      </x:c>
    </x:row>
    <x:row r="298" ht="24" customHeight="1">
      <x:c r="A298" s="12" t="str">
        <x:v>2345</x:v>
      </x:c>
      <x:c r="B298" s="12" t="str">
        <x:v>11065</x:v>
      </x:c>
      <x:c r="C298" s="21" t="n">
        <x:v>32457.61559027778</x:v>
      </x:c>
      <x:c r="D298" s="12" t="n">
        <x:v>46</x:v>
      </x:c>
      <x:c r="E298" s="12" t="n">
        <x:v>1</x:v>
      </x:c>
      <x:c r="F298" s="12" t="str">
        <x:v>未记录</x:v>
      </x:c>
      <x:c r="G298" s="12" t="n">
        <x:v>1</x:v>
      </x:c>
      <x:c r="H298" s="12" t="str">
        <x:v>{'ASMI': 50.0, 'LAFB': 100.0, 'SR': 0.0}</x:v>
      </x:c>
      <x:c r="I298" s="12" t="str">
        <x:v>[('NSR', 100.0), ('LAD3', 100.0), ('SMI;AU', 100.0), ('AB', 100.0)]</x:v>
      </x:c>
      <x:c r="J298" s="12" t="str">
        <x:v>ptbxl_database.csv；ecg_id=2345；scp_codes</x:v>
      </x:c>
      <x:c r="K298" s="12" t="str">
        <x:v>12sl_statements.csv；ecg_id=2345；statements_ext_snomed</x:v>
      </x:c>
      <x:c r="L298" s="12"/>
      <x:c r="M298" s="12" t="str">
        <x:v>negative</x:v>
      </x:c>
      <x:c r="N298" s="12"/>
      <x:c r="O298" s="12" t="str">
        <x:v>negative</x:v>
      </x:c>
      <x:c r="P298" s="12" t="str">
        <x:f>IF(OR(M298="unavailable",O298="unavailable"),"不可评价",IF(OR(M298="equivocal",O298="equivocal"),"疑似",IF(AND(M298="positive",O298="positive"),"a",IF(O298="positive","b",IF(M298="positive","c","d")))))</x:f>
        <x:v>d</x:v>
      </x:c>
      <x:c r="Q298" s="12"/>
      <x:c r="R298" s="12" t="str">
        <x:v>negative</x:v>
      </x:c>
      <x:c r="S298" s="12"/>
      <x:c r="T298" s="12" t="str">
        <x:v>negative</x:v>
      </x:c>
      <x:c r="U298" s="12" t="str">
        <x:f>IF(OR(R298="unavailable",T298="unavailable"),"不可评价",IF(OR(R298="equivocal",T298="equivocal"),"疑似",IF(AND(R298="positive",T298="positive"),"a",IF(T298="positive","b",IF(R298="positive","c","d")))))</x:f>
        <x:v>d</x:v>
      </x:c>
      <x:c r="V298" s="12"/>
      <x:c r="W298" s="12" t="str">
        <x:v>negative</x:v>
      </x:c>
      <x:c r="X298" s="12"/>
      <x:c r="Y298" s="12" t="str">
        <x:v>negative</x:v>
      </x:c>
      <x:c r="Z298" s="12" t="str">
        <x:f>IF(OR(W298="unavailable",Y298="unavailable"),"不可评价",IF(OR(W298="equivocal",Y298="equivocal"),"疑似",IF(AND(W298="positive",Y298="positive"),"a",IF(Y298="positive","b",IF(W298="positive","c","d")))))</x:f>
        <x:v>d</x:v>
      </x:c>
      <x:c r="AA298" s="12" t="str">
        <x:f>IF(OR(M298="unavailable",O298="unavailable"),"不可评价",IF(AND(OR(M298="positive",M298="equivocal"),OR(O298="positive",O298="equivocal")),"a",IF(OR(O298="positive",O298="equivocal"),"b",IF(OR(M298="positive",M298="equivocal"),"c","d"))))</x:f>
        <x:v>d</x:v>
      </x:c>
      <x:c r="AB298" s="12" t="str">
        <x:f>IF(OR(M298="unavailable",O298="unavailable"),"不可评价",IF(AND(M298="positive",O298="positive"),"a",IF(O298="positive","b",IF(M298="positive","c","d"))))</x:f>
        <x:v>d</x:v>
      </x:c>
      <x:c r="AC298" s="12" t="str">
        <x:f>IF(OR(R298="unavailable",T298="unavailable"),"不可评价",IF(AND(OR(R298="positive",R298="equivocal"),OR(T298="positive",T298="equivocal")),"a",IF(OR(T298="positive",T298="equivocal"),"b",IF(OR(R298="positive",R298="equivocal"),"c","d"))))</x:f>
        <x:v>d</x:v>
      </x:c>
      <x:c r="AD298" s="12" t="str">
        <x:f>IF(OR(R298="unavailable",T298="unavailable"),"不可评价",IF(AND(R298="positive",T298="positive"),"a",IF(T298="positive","b",IF(R298="positive","c","d"))))</x:f>
        <x:v>d</x:v>
      </x:c>
      <x:c r="AE298" s="12" t="str">
        <x:f>IF(OR(W298="unavailable",Y298="unavailable"),"不可评价",IF(AND(OR(W298="positive",W298="equivocal"),OR(Y298="positive",Y298="equivocal")),"a",IF(OR(Y298="positive",Y298="equivocal"),"b",IF(OR(W298="positive",W298="equivocal"),"c","d"))))</x:f>
        <x:v>d</x:v>
      </x:c>
      <x:c r="AF298" s="12" t="str">
        <x:f>IF(OR(W298="unavailable",Y298="unavailable"),"不可评价",IF(AND(W298="positive",Y298="positive"),"a",IF(Y298="positive","b",IF(W298="positive","c","d"))))</x:f>
        <x:v>d</x:v>
      </x:c>
    </x:row>
    <x:row r="299" ht="24" customHeight="1">
      <x:c r="A299" s="12" t="str">
        <x:v>2355</x:v>
      </x:c>
      <x:c r="B299" s="12" t="str">
        <x:v>19188</x:v>
      </x:c>
      <x:c r="C299" s="21" t="n">
        <x:v>32469.545763888887</x:v>
      </x:c>
      <x:c r="D299" s="12" t="n">
        <x:v>41</x:v>
      </x:c>
      <x:c r="E299" s="12" t="n">
        <x:v>0</x:v>
      </x:c>
      <x:c r="F299" s="12" t="str">
        <x:v>未记录</x:v>
      </x:c>
      <x:c r="G299" s="12" t="n">
        <x:v>1</x:v>
      </x:c>
      <x:c r="H299" s="12" t="str">
        <x:v>{'NORM': 100.0, 'SR': 0.0}</x:v>
      </x:c>
      <x:c r="I299" s="12" t="str">
        <x:v>[('NSR', 100.0), ('NML', 100.0)]</x:v>
      </x:c>
      <x:c r="J299" s="12" t="str">
        <x:v>ptbxl_database.csv；ecg_id=2355；scp_codes</x:v>
      </x:c>
      <x:c r="K299" s="12" t="str">
        <x:v>12sl_statements.csv；ecg_id=2355；statements_ext_snomed</x:v>
      </x:c>
      <x:c r="L299" s="12"/>
      <x:c r="M299" s="12" t="str">
        <x:v>negative</x:v>
      </x:c>
      <x:c r="N299" s="12"/>
      <x:c r="O299" s="12" t="str">
        <x:v>negative</x:v>
      </x:c>
      <x:c r="P299" s="12" t="str">
        <x:f>IF(OR(M299="unavailable",O299="unavailable"),"不可评价",IF(OR(M299="equivocal",O299="equivocal"),"疑似",IF(AND(M299="positive",O299="positive"),"a",IF(O299="positive","b",IF(M299="positive","c","d")))))</x:f>
        <x:v>d</x:v>
      </x:c>
      <x:c r="Q299" s="12"/>
      <x:c r="R299" s="12" t="str">
        <x:v>negative</x:v>
      </x:c>
      <x:c r="S299" s="12"/>
      <x:c r="T299" s="12" t="str">
        <x:v>negative</x:v>
      </x:c>
      <x:c r="U299" s="12" t="str">
        <x:f>IF(OR(R299="unavailable",T299="unavailable"),"不可评价",IF(OR(R299="equivocal",T299="equivocal"),"疑似",IF(AND(R299="positive",T299="positive"),"a",IF(T299="positive","b",IF(R299="positive","c","d")))))</x:f>
        <x:v>d</x:v>
      </x:c>
      <x:c r="V299" s="12"/>
      <x:c r="W299" s="12" t="str">
        <x:v>negative</x:v>
      </x:c>
      <x:c r="X299" s="12"/>
      <x:c r="Y299" s="12" t="str">
        <x:v>negative</x:v>
      </x:c>
      <x:c r="Z299" s="12" t="str">
        <x:f>IF(OR(W299="unavailable",Y299="unavailable"),"不可评价",IF(OR(W299="equivocal",Y299="equivocal"),"疑似",IF(AND(W299="positive",Y299="positive"),"a",IF(Y299="positive","b",IF(W299="positive","c","d")))))</x:f>
        <x:v>d</x:v>
      </x:c>
      <x:c r="AA299" s="12" t="str">
        <x:f>IF(OR(M299="unavailable",O299="unavailable"),"不可评价",IF(AND(OR(M299="positive",M299="equivocal"),OR(O299="positive",O299="equivocal")),"a",IF(OR(O299="positive",O299="equivocal"),"b",IF(OR(M299="positive",M299="equivocal"),"c","d"))))</x:f>
        <x:v>d</x:v>
      </x:c>
      <x:c r="AB299" s="12" t="str">
        <x:f>IF(OR(M299="unavailable",O299="unavailable"),"不可评价",IF(AND(M299="positive",O299="positive"),"a",IF(O299="positive","b",IF(M299="positive","c","d"))))</x:f>
        <x:v>d</x:v>
      </x:c>
      <x:c r="AC299" s="12" t="str">
        <x:f>IF(OR(R299="unavailable",T299="unavailable"),"不可评价",IF(AND(OR(R299="positive",R299="equivocal"),OR(T299="positive",T299="equivocal")),"a",IF(OR(T299="positive",T299="equivocal"),"b",IF(OR(R299="positive",R299="equivocal"),"c","d"))))</x:f>
        <x:v>d</x:v>
      </x:c>
      <x:c r="AD299" s="12" t="str">
        <x:f>IF(OR(R299="unavailable",T299="unavailable"),"不可评价",IF(AND(R299="positive",T299="positive"),"a",IF(T299="positive","b",IF(R299="positive","c","d"))))</x:f>
        <x:v>d</x:v>
      </x:c>
      <x:c r="AE299" s="12" t="str">
        <x:f>IF(OR(W299="unavailable",Y299="unavailable"),"不可评价",IF(AND(OR(W299="positive",W299="equivocal"),OR(Y299="positive",Y299="equivocal")),"a",IF(OR(Y299="positive",Y299="equivocal"),"b",IF(OR(W299="positive",W299="equivocal"),"c","d"))))</x:f>
        <x:v>d</x:v>
      </x:c>
      <x:c r="AF299" s="12" t="str">
        <x:f>IF(OR(W299="unavailable",Y299="unavailable"),"不可评价",IF(AND(W299="positive",Y299="positive"),"a",IF(Y299="positive","b",IF(W299="positive","c","d"))))</x:f>
        <x:v>d</x:v>
      </x:c>
    </x:row>
    <x:row r="300" ht="24" customHeight="1">
      <x:c r="A300" s="12" t="str">
        <x:v>2368</x:v>
      </x:c>
      <x:c r="B300" s="12" t="str">
        <x:v>15335</x:v>
      </x:c>
      <x:c r="C300" s="21" t="n">
        <x:v>32478.346331018518</x:v>
      </x:c>
      <x:c r="D300" s="12" t="n">
        <x:v>18</x:v>
      </x:c>
      <x:c r="E300" s="12" t="n">
        <x:v>1</x:v>
      </x:c>
      <x:c r="F300" s="12" t="str">
        <x:v>未记录</x:v>
      </x:c>
      <x:c r="G300" s="12" t="n">
        <x:v>1</x:v>
      </x:c>
      <x:c r="H300" s="12" t="str">
        <x:v>{'NORM': 80.0, 'IRBBB': 100.0, 'SARRH': 0.0}</x:v>
      </x:c>
      <x:c r="I300" s="12" t="str">
        <x:v>[('NSR', 100.0), ('SAR', 100.0), ('NML', 100.0)]</x:v>
      </x:c>
      <x:c r="J300" s="12" t="str">
        <x:v>ptbxl_database.csv；ecg_id=2368；scp_codes</x:v>
      </x:c>
      <x:c r="K300" s="12" t="str">
        <x:v>12sl_statements.csv；ecg_id=2368；statements_ext_snomed</x:v>
      </x:c>
      <x:c r="L300" s="12"/>
      <x:c r="M300" s="12" t="str">
        <x:v>negative</x:v>
      </x:c>
      <x:c r="N300" s="12"/>
      <x:c r="O300" s="12" t="str">
        <x:v>negative</x:v>
      </x:c>
      <x:c r="P300" s="12" t="str">
        <x:f>IF(OR(M300="unavailable",O300="unavailable"),"不可评价",IF(OR(M300="equivocal",O300="equivocal"),"疑似",IF(AND(M300="positive",O300="positive"),"a",IF(O300="positive","b",IF(M300="positive","c","d")))))</x:f>
        <x:v>d</x:v>
      </x:c>
      <x:c r="Q300" s="12"/>
      <x:c r="R300" s="12" t="str">
        <x:v>negative</x:v>
      </x:c>
      <x:c r="S300" s="12"/>
      <x:c r="T300" s="12" t="str">
        <x:v>negative</x:v>
      </x:c>
      <x:c r="U300" s="12" t="str">
        <x:f>IF(OR(R300="unavailable",T300="unavailable"),"不可评价",IF(OR(R300="equivocal",T300="equivocal"),"疑似",IF(AND(R300="positive",T300="positive"),"a",IF(T300="positive","b",IF(R300="positive","c","d")))))</x:f>
        <x:v>d</x:v>
      </x:c>
      <x:c r="V300" s="12"/>
      <x:c r="W300" s="12" t="str">
        <x:v>negative</x:v>
      </x:c>
      <x:c r="X300" s="12"/>
      <x:c r="Y300" s="12" t="str">
        <x:v>negative</x:v>
      </x:c>
      <x:c r="Z300" s="12" t="str">
        <x:f>IF(OR(W300="unavailable",Y300="unavailable"),"不可评价",IF(OR(W300="equivocal",Y300="equivocal"),"疑似",IF(AND(W300="positive",Y300="positive"),"a",IF(Y300="positive","b",IF(W300="positive","c","d")))))</x:f>
        <x:v>d</x:v>
      </x:c>
      <x:c r="AA300" s="12" t="str">
        <x:f>IF(OR(M300="unavailable",O300="unavailable"),"不可评价",IF(AND(OR(M300="positive",M300="equivocal"),OR(O300="positive",O300="equivocal")),"a",IF(OR(O300="positive",O300="equivocal"),"b",IF(OR(M300="positive",M300="equivocal"),"c","d"))))</x:f>
        <x:v>d</x:v>
      </x:c>
      <x:c r="AB300" s="12" t="str">
        <x:f>IF(OR(M300="unavailable",O300="unavailable"),"不可评价",IF(AND(M300="positive",O300="positive"),"a",IF(O300="positive","b",IF(M300="positive","c","d"))))</x:f>
        <x:v>d</x:v>
      </x:c>
      <x:c r="AC300" s="12" t="str">
        <x:f>IF(OR(R300="unavailable",T300="unavailable"),"不可评价",IF(AND(OR(R300="positive",R300="equivocal"),OR(T300="positive",T300="equivocal")),"a",IF(OR(T300="positive",T300="equivocal"),"b",IF(OR(R300="positive",R300="equivocal"),"c","d"))))</x:f>
        <x:v>d</x:v>
      </x:c>
      <x:c r="AD300" s="12" t="str">
        <x:f>IF(OR(R300="unavailable",T300="unavailable"),"不可评价",IF(AND(R300="positive",T300="positive"),"a",IF(T300="positive","b",IF(R300="positive","c","d"))))</x:f>
        <x:v>d</x:v>
      </x:c>
      <x:c r="AE300" s="12" t="str">
        <x:f>IF(OR(W300="unavailable",Y300="unavailable"),"不可评价",IF(AND(OR(W300="positive",W300="equivocal"),OR(Y300="positive",Y300="equivocal")),"a",IF(OR(Y300="positive",Y300="equivocal"),"b",IF(OR(W300="positive",W300="equivocal"),"c","d"))))</x:f>
        <x:v>d</x:v>
      </x:c>
      <x:c r="AF300" s="12" t="str">
        <x:f>IF(OR(W300="unavailable",Y300="unavailable"),"不可评价",IF(AND(W300="positive",Y300="positive"),"a",IF(Y300="positive","b",IF(W300="positive","c","d"))))</x:f>
        <x:v>d</x:v>
      </x:c>
    </x:row>
    <x:row r="301" ht="24" customHeight="1">
      <x:c r="A301" s="12" t="str">
        <x:v>2369</x:v>
      </x:c>
      <x:c r="B301" s="12" t="str">
        <x:v>12547</x:v>
      </x:c>
      <x:c r="C301" s="21" t="n">
        <x:v>32478.430856481482</x:v>
      </x:c>
      <x:c r="D301" s="12" t="n">
        <x:v>58</x:v>
      </x:c>
      <x:c r="E301" s="12" t="n">
        <x:v>0</x:v>
      </x:c>
      <x:c r="F301" s="12" t="str">
        <x:v>未记录</x:v>
      </x:c>
      <x:c r="G301" s="12" t="n">
        <x:v>1</x:v>
      </x:c>
      <x:c r="H301" s="12" t="str">
        <x:v>{'NORM': 100.0, 'SR': 0.0}</x:v>
      </x:c>
      <x:c r="I301" s="12" t="str">
        <x:v>[('NSR', 100.0), ('NML', 100.0)]</x:v>
      </x:c>
      <x:c r="J301" s="12" t="str">
        <x:v>ptbxl_database.csv；ecg_id=2369；scp_codes</x:v>
      </x:c>
      <x:c r="K301" s="12" t="str">
        <x:v>12sl_statements.csv；ecg_id=2369；statements_ext_snomed</x:v>
      </x:c>
      <x:c r="L301" s="12"/>
      <x:c r="M301" s="12" t="str">
        <x:v>negative</x:v>
      </x:c>
      <x:c r="N301" s="12"/>
      <x:c r="O301" s="12" t="str">
        <x:v>negative</x:v>
      </x:c>
      <x:c r="P301" s="12" t="str">
        <x:f>IF(OR(M301="unavailable",O301="unavailable"),"不可评价",IF(OR(M301="equivocal",O301="equivocal"),"疑似",IF(AND(M301="positive",O301="positive"),"a",IF(O301="positive","b",IF(M301="positive","c","d")))))</x:f>
        <x:v>d</x:v>
      </x:c>
      <x:c r="Q301" s="12"/>
      <x:c r="R301" s="12" t="str">
        <x:v>negative</x:v>
      </x:c>
      <x:c r="S301" s="12"/>
      <x:c r="T301" s="12" t="str">
        <x:v>negative</x:v>
      </x:c>
      <x:c r="U301" s="12" t="str">
        <x:f>IF(OR(R301="unavailable",T301="unavailable"),"不可评价",IF(OR(R301="equivocal",T301="equivocal"),"疑似",IF(AND(R301="positive",T301="positive"),"a",IF(T301="positive","b",IF(R301="positive","c","d")))))</x:f>
        <x:v>d</x:v>
      </x:c>
      <x:c r="V301" s="12"/>
      <x:c r="W301" s="12" t="str">
        <x:v>negative</x:v>
      </x:c>
      <x:c r="X301" s="12"/>
      <x:c r="Y301" s="12" t="str">
        <x:v>negative</x:v>
      </x:c>
      <x:c r="Z301" s="12" t="str">
        <x:f>IF(OR(W301="unavailable",Y301="unavailable"),"不可评价",IF(OR(W301="equivocal",Y301="equivocal"),"疑似",IF(AND(W301="positive",Y301="positive"),"a",IF(Y301="positive","b",IF(W301="positive","c","d")))))</x:f>
        <x:v>d</x:v>
      </x:c>
      <x:c r="AA301" s="12" t="str">
        <x:f>IF(OR(M301="unavailable",O301="unavailable"),"不可评价",IF(AND(OR(M301="positive",M301="equivocal"),OR(O301="positive",O301="equivocal")),"a",IF(OR(O301="positive",O301="equivocal"),"b",IF(OR(M301="positive",M301="equivocal"),"c","d"))))</x:f>
        <x:v>d</x:v>
      </x:c>
      <x:c r="AB301" s="12" t="str">
        <x:f>IF(OR(M301="unavailable",O301="unavailable"),"不可评价",IF(AND(M301="positive",O301="positive"),"a",IF(O301="positive","b",IF(M301="positive","c","d"))))</x:f>
        <x:v>d</x:v>
      </x:c>
      <x:c r="AC301" s="12" t="str">
        <x:f>IF(OR(R301="unavailable",T301="unavailable"),"不可评价",IF(AND(OR(R301="positive",R301="equivocal"),OR(T301="positive",T301="equivocal")),"a",IF(OR(T301="positive",T301="equivocal"),"b",IF(OR(R301="positive",R301="equivocal"),"c","d"))))</x:f>
        <x:v>d</x:v>
      </x:c>
      <x:c r="AD301" s="12" t="str">
        <x:f>IF(OR(R301="unavailable",T301="unavailable"),"不可评价",IF(AND(R301="positive",T301="positive"),"a",IF(T301="positive","b",IF(R301="positive","c","d"))))</x:f>
        <x:v>d</x:v>
      </x:c>
      <x:c r="AE301" s="12" t="str">
        <x:f>IF(OR(W301="unavailable",Y301="unavailable"),"不可评价",IF(AND(OR(W301="positive",W301="equivocal"),OR(Y301="positive",Y301="equivocal")),"a",IF(OR(Y301="positive",Y301="equivocal"),"b",IF(OR(W301="positive",W301="equivocal"),"c","d"))))</x:f>
        <x:v>d</x:v>
      </x:c>
      <x:c r="AF301" s="12" t="str">
        <x:f>IF(OR(W301="unavailable",Y301="unavailable"),"不可评价",IF(AND(W301="positive",Y301="positive"),"a",IF(Y301="positive","b",IF(W301="positive","c","d"))))</x:f>
        <x:v>d</x:v>
      </x:c>
    </x:row>
    <x:row r="302" ht="24" customHeight="1">
      <x:c r="A302" s="12" t="str">
        <x:v>2370</x:v>
      </x:c>
      <x:c r="B302" s="12" t="str">
        <x:v>13793</x:v>
      </x:c>
      <x:c r="C302" s="21" t="n">
        <x:v>32478.565868055557</x:v>
      </x:c>
      <x:c r="D302" s="12" t="n">
        <x:v>40</x:v>
      </x:c>
      <x:c r="E302" s="12" t="n">
        <x:v>0</x:v>
      </x:c>
      <x:c r="F302" s="12" t="str">
        <x:v>未记录</x:v>
      </x:c>
      <x:c r="G302" s="12" t="n">
        <x:v>1</x:v>
      </x:c>
      <x:c r="H302" s="12" t="str">
        <x:v>{'LAFB': 100.0, 'SBRAD': 0.0}</x:v>
      </x:c>
      <x:c r="I302" s="12" t="str">
        <x:v>[('SBRAD', 100.0), ('LAD3', 100.0), ('IVCD', 100.0), ('AB', 100.0)]</x:v>
      </x:c>
      <x:c r="J302" s="12" t="str">
        <x:v>ptbxl_database.csv；ecg_id=2370；scp_codes</x:v>
      </x:c>
      <x:c r="K302" s="12" t="str">
        <x:v>12sl_statements.csv；ecg_id=2370；statements_ext_snomed</x:v>
      </x:c>
      <x:c r="L302" s="12"/>
      <x:c r="M302" s="12" t="str">
        <x:v>negative</x:v>
      </x:c>
      <x:c r="N302" s="12"/>
      <x:c r="O302" s="12" t="str">
        <x:v>negative</x:v>
      </x:c>
      <x:c r="P302" s="12" t="str">
        <x:f>IF(OR(M302="unavailable",O302="unavailable"),"不可评价",IF(OR(M302="equivocal",O302="equivocal"),"疑似",IF(AND(M302="positive",O302="positive"),"a",IF(O302="positive","b",IF(M302="positive","c","d")))))</x:f>
        <x:v>d</x:v>
      </x:c>
      <x:c r="Q302" s="12"/>
      <x:c r="R302" s="12" t="str">
        <x:v>negative</x:v>
      </x:c>
      <x:c r="S302" s="12"/>
      <x:c r="T302" s="12" t="str">
        <x:v>negative</x:v>
      </x:c>
      <x:c r="U302" s="12" t="str">
        <x:f>IF(OR(R302="unavailable",T302="unavailable"),"不可评价",IF(OR(R302="equivocal",T302="equivocal"),"疑似",IF(AND(R302="positive",T302="positive"),"a",IF(T302="positive","b",IF(R302="positive","c","d")))))</x:f>
        <x:v>d</x:v>
      </x:c>
      <x:c r="V302" s="12"/>
      <x:c r="W302" s="12" t="str">
        <x:v>negative</x:v>
      </x:c>
      <x:c r="X302" s="12"/>
      <x:c r="Y302" s="12" t="str">
        <x:v>negative</x:v>
      </x:c>
      <x:c r="Z302" s="12" t="str">
        <x:f>IF(OR(W302="unavailable",Y302="unavailable"),"不可评价",IF(OR(W302="equivocal",Y302="equivocal"),"疑似",IF(AND(W302="positive",Y302="positive"),"a",IF(Y302="positive","b",IF(W302="positive","c","d")))))</x:f>
        <x:v>d</x:v>
      </x:c>
      <x:c r="AA302" s="12" t="str">
        <x:f>IF(OR(M302="unavailable",O302="unavailable"),"不可评价",IF(AND(OR(M302="positive",M302="equivocal"),OR(O302="positive",O302="equivocal")),"a",IF(OR(O302="positive",O302="equivocal"),"b",IF(OR(M302="positive",M302="equivocal"),"c","d"))))</x:f>
        <x:v>d</x:v>
      </x:c>
      <x:c r="AB302" s="12" t="str">
        <x:f>IF(OR(M302="unavailable",O302="unavailable"),"不可评价",IF(AND(M302="positive",O302="positive"),"a",IF(O302="positive","b",IF(M302="positive","c","d"))))</x:f>
        <x:v>d</x:v>
      </x:c>
      <x:c r="AC302" s="12" t="str">
        <x:f>IF(OR(R302="unavailable",T302="unavailable"),"不可评价",IF(AND(OR(R302="positive",R302="equivocal"),OR(T302="positive",T302="equivocal")),"a",IF(OR(T302="positive",T302="equivocal"),"b",IF(OR(R302="positive",R302="equivocal"),"c","d"))))</x:f>
        <x:v>d</x:v>
      </x:c>
      <x:c r="AD302" s="12" t="str">
        <x:f>IF(OR(R302="unavailable",T302="unavailable"),"不可评价",IF(AND(R302="positive",T302="positive"),"a",IF(T302="positive","b",IF(R302="positive","c","d"))))</x:f>
        <x:v>d</x:v>
      </x:c>
      <x:c r="AE302" s="12" t="str">
        <x:f>IF(OR(W302="unavailable",Y302="unavailable"),"不可评价",IF(AND(OR(W302="positive",W302="equivocal"),OR(Y302="positive",Y302="equivocal")),"a",IF(OR(Y302="positive",Y302="equivocal"),"b",IF(OR(W302="positive",W302="equivocal"),"c","d"))))</x:f>
        <x:v>d</x:v>
      </x:c>
      <x:c r="AF302" s="12" t="str">
        <x:f>IF(OR(W302="unavailable",Y302="unavailable"),"不可评价",IF(AND(W302="positive",Y302="positive"),"a",IF(Y302="positive","b",IF(W302="positive","c","d"))))</x:f>
        <x:v>d</x:v>
      </x:c>
    </x:row>
    <x:row r="303" ht="24" customHeight="1">
      <x:c r="A303" s="12" t="str">
        <x:v>2375</x:v>
      </x:c>
      <x:c r="B303" s="12" t="str">
        <x:v>17107</x:v>
      </x:c>
      <x:c r="C303" s="21" t="n">
        <x:v>32480.558101851853</x:v>
      </x:c>
      <x:c r="D303" s="12" t="n">
        <x:v>20</x:v>
      </x:c>
      <x:c r="E303" s="12" t="n">
        <x:v>0</x:v>
      </x:c>
      <x:c r="F303" s="12" t="str">
        <x:v>存在</x:v>
      </x:c>
      <x:c r="G303" s="12" t="n">
        <x:v>1</x:v>
      </x:c>
      <x:c r="H303" s="12" t="str">
        <x:v>{'IRBBB': 100.0, 'SR': 0.0}</x:v>
      </x:c>
      <x:c r="I303" s="12" t="str">
        <x:v>[('NSR', 100.0), ('RAD', 100.0), ('BORDE', 100.0)]</x:v>
      </x:c>
      <x:c r="J303" s="12" t="str">
        <x:v>ptbxl_database.csv；ecg_id=2375；scp_codes</x:v>
      </x:c>
      <x:c r="K303" s="12" t="str">
        <x:v>12sl_statements.csv；ecg_id=2375；statements_ext_snomed</x:v>
      </x:c>
      <x:c r="L303" s="12"/>
      <x:c r="M303" s="12" t="str">
        <x:v>negative</x:v>
      </x:c>
      <x:c r="N303" s="12"/>
      <x:c r="O303" s="12" t="str">
        <x:v>negative</x:v>
      </x:c>
      <x:c r="P303" s="12" t="str">
        <x:f>IF(OR(M303="unavailable",O303="unavailable"),"不可评价",IF(OR(M303="equivocal",O303="equivocal"),"疑似",IF(AND(M303="positive",O303="positive"),"a",IF(O303="positive","b",IF(M303="positive","c","d")))))</x:f>
        <x:v>d</x:v>
      </x:c>
      <x:c r="Q303" s="12"/>
      <x:c r="R303" s="12" t="str">
        <x:v>negative</x:v>
      </x:c>
      <x:c r="S303" s="12"/>
      <x:c r="T303" s="12" t="str">
        <x:v>negative</x:v>
      </x:c>
      <x:c r="U303" s="12" t="str">
        <x:f>IF(OR(R303="unavailable",T303="unavailable"),"不可评价",IF(OR(R303="equivocal",T303="equivocal"),"疑似",IF(AND(R303="positive",T303="positive"),"a",IF(T303="positive","b",IF(R303="positive","c","d")))))</x:f>
        <x:v>d</x:v>
      </x:c>
      <x:c r="V303" s="12"/>
      <x:c r="W303" s="12" t="str">
        <x:v>negative</x:v>
      </x:c>
      <x:c r="X303" s="12"/>
      <x:c r="Y303" s="12" t="str">
        <x:v>negative</x:v>
      </x:c>
      <x:c r="Z303" s="12" t="str">
        <x:f>IF(OR(W303="unavailable",Y303="unavailable"),"不可评价",IF(OR(W303="equivocal",Y303="equivocal"),"疑似",IF(AND(W303="positive",Y303="positive"),"a",IF(Y303="positive","b",IF(W303="positive","c","d")))))</x:f>
        <x:v>d</x:v>
      </x:c>
      <x:c r="AA303" s="12" t="str">
        <x:f>IF(OR(M303="unavailable",O303="unavailable"),"不可评价",IF(AND(OR(M303="positive",M303="equivocal"),OR(O303="positive",O303="equivocal")),"a",IF(OR(O303="positive",O303="equivocal"),"b",IF(OR(M303="positive",M303="equivocal"),"c","d"))))</x:f>
        <x:v>d</x:v>
      </x:c>
      <x:c r="AB303" s="12" t="str">
        <x:f>IF(OR(M303="unavailable",O303="unavailable"),"不可评价",IF(AND(M303="positive",O303="positive"),"a",IF(O303="positive","b",IF(M303="positive","c","d"))))</x:f>
        <x:v>d</x:v>
      </x:c>
      <x:c r="AC303" s="12" t="str">
        <x:f>IF(OR(R303="unavailable",T303="unavailable"),"不可评价",IF(AND(OR(R303="positive",R303="equivocal"),OR(T303="positive",T303="equivocal")),"a",IF(OR(T303="positive",T303="equivocal"),"b",IF(OR(R303="positive",R303="equivocal"),"c","d"))))</x:f>
        <x:v>d</x:v>
      </x:c>
      <x:c r="AD303" s="12" t="str">
        <x:f>IF(OR(R303="unavailable",T303="unavailable"),"不可评价",IF(AND(R303="positive",T303="positive"),"a",IF(T303="positive","b",IF(R303="positive","c","d"))))</x:f>
        <x:v>d</x:v>
      </x:c>
      <x:c r="AE303" s="12" t="str">
        <x:f>IF(OR(W303="unavailable",Y303="unavailable"),"不可评价",IF(AND(OR(W303="positive",W303="equivocal"),OR(Y303="positive",Y303="equivocal")),"a",IF(OR(Y303="positive",Y303="equivocal"),"b",IF(OR(W303="positive",W303="equivocal"),"c","d"))))</x:f>
        <x:v>d</x:v>
      </x:c>
      <x:c r="AF303" s="12" t="str">
        <x:f>IF(OR(W303="unavailable",Y303="unavailable"),"不可评价",IF(AND(W303="positive",Y303="positive"),"a",IF(Y303="positive","b",IF(W303="positive","c","d"))))</x:f>
        <x:v>d</x:v>
      </x:c>
    </x:row>
    <x:row r="304" ht="24" customHeight="1">
      <x:c r="A304" s="12" t="str">
        <x:v>2379</x:v>
      </x:c>
      <x:c r="B304" s="12" t="str">
        <x:v>14184</x:v>
      </x:c>
      <x:c r="C304" s="21" t="n">
        <x:v>32481.601284722223</x:v>
      </x:c>
      <x:c r="D304" s="12" t="n">
        <x:v>62</x:v>
      </x:c>
      <x:c r="E304" s="12" t="n">
        <x:v>0</x:v>
      </x:c>
      <x:c r="F304" s="12" t="str">
        <x:v>未记录</x:v>
      </x:c>
      <x:c r="G304" s="12" t="n">
        <x:v>1</x:v>
      </x:c>
      <x:c r="H304" s="12" t="str">
        <x:v>{'NORM': 100.0, 'SR': 0.0}</x:v>
      </x:c>
      <x:c r="I304" s="12" t="str">
        <x:v>[('NSR', 100.0), ('NML', 100.0)]</x:v>
      </x:c>
      <x:c r="J304" s="12" t="str">
        <x:v>ptbxl_database.csv；ecg_id=2379；scp_codes</x:v>
      </x:c>
      <x:c r="K304" s="12" t="str">
        <x:v>12sl_statements.csv；ecg_id=2379；statements_ext_snomed</x:v>
      </x:c>
      <x:c r="L304" s="12"/>
      <x:c r="M304" s="12" t="str">
        <x:v>negative</x:v>
      </x:c>
      <x:c r="N304" s="12"/>
      <x:c r="O304" s="12" t="str">
        <x:v>negative</x:v>
      </x:c>
      <x:c r="P304" s="12" t="str">
        <x:f>IF(OR(M304="unavailable",O304="unavailable"),"不可评价",IF(OR(M304="equivocal",O304="equivocal"),"疑似",IF(AND(M304="positive",O304="positive"),"a",IF(O304="positive","b",IF(M304="positive","c","d")))))</x:f>
        <x:v>d</x:v>
      </x:c>
      <x:c r="Q304" s="12"/>
      <x:c r="R304" s="12" t="str">
        <x:v>negative</x:v>
      </x:c>
      <x:c r="S304" s="12"/>
      <x:c r="T304" s="12" t="str">
        <x:v>negative</x:v>
      </x:c>
      <x:c r="U304" s="12" t="str">
        <x:f>IF(OR(R304="unavailable",T304="unavailable"),"不可评价",IF(OR(R304="equivocal",T304="equivocal"),"疑似",IF(AND(R304="positive",T304="positive"),"a",IF(T304="positive","b",IF(R304="positive","c","d")))))</x:f>
        <x:v>d</x:v>
      </x:c>
      <x:c r="V304" s="12"/>
      <x:c r="W304" s="12" t="str">
        <x:v>negative</x:v>
      </x:c>
      <x:c r="X304" s="12"/>
      <x:c r="Y304" s="12" t="str">
        <x:v>negative</x:v>
      </x:c>
      <x:c r="Z304" s="12" t="str">
        <x:f>IF(OR(W304="unavailable",Y304="unavailable"),"不可评价",IF(OR(W304="equivocal",Y304="equivocal"),"疑似",IF(AND(W304="positive",Y304="positive"),"a",IF(Y304="positive","b",IF(W304="positive","c","d")))))</x:f>
        <x:v>d</x:v>
      </x:c>
      <x:c r="AA304" s="12" t="str">
        <x:f>IF(OR(M304="unavailable",O304="unavailable"),"不可评价",IF(AND(OR(M304="positive",M304="equivocal"),OR(O304="positive",O304="equivocal")),"a",IF(OR(O304="positive",O304="equivocal"),"b",IF(OR(M304="positive",M304="equivocal"),"c","d"))))</x:f>
        <x:v>d</x:v>
      </x:c>
      <x:c r="AB304" s="12" t="str">
        <x:f>IF(OR(M304="unavailable",O304="unavailable"),"不可评价",IF(AND(M304="positive",O304="positive"),"a",IF(O304="positive","b",IF(M304="positive","c","d"))))</x:f>
        <x:v>d</x:v>
      </x:c>
      <x:c r="AC304" s="12" t="str">
        <x:f>IF(OR(R304="unavailable",T304="unavailable"),"不可评价",IF(AND(OR(R304="positive",R304="equivocal"),OR(T304="positive",T304="equivocal")),"a",IF(OR(T304="positive",T304="equivocal"),"b",IF(OR(R304="positive",R304="equivocal"),"c","d"))))</x:f>
        <x:v>d</x:v>
      </x:c>
      <x:c r="AD304" s="12" t="str">
        <x:f>IF(OR(R304="unavailable",T304="unavailable"),"不可评价",IF(AND(R304="positive",T304="positive"),"a",IF(T304="positive","b",IF(R304="positive","c","d"))))</x:f>
        <x:v>d</x:v>
      </x:c>
      <x:c r="AE304" s="12" t="str">
        <x:f>IF(OR(W304="unavailable",Y304="unavailable"),"不可评价",IF(AND(OR(W304="positive",W304="equivocal"),OR(Y304="positive",Y304="equivocal")),"a",IF(OR(Y304="positive",Y304="equivocal"),"b",IF(OR(W304="positive",W304="equivocal"),"c","d"))))</x:f>
        <x:v>d</x:v>
      </x:c>
      <x:c r="AF304" s="12" t="str">
        <x:f>IF(OR(W304="unavailable",Y304="unavailable"),"不可评价",IF(AND(W304="positive",Y304="positive"),"a",IF(Y304="positive","b",IF(W304="positive","c","d"))))</x:f>
        <x:v>d</x:v>
      </x:c>
    </x:row>
    <x:row r="305" ht="24" customHeight="1">
      <x:c r="A305" s="12" t="str">
        <x:v>2381</x:v>
      </x:c>
      <x:c r="B305" s="12" t="str">
        <x:v>19457</x:v>
      </x:c>
      <x:c r="C305" s="21" t="n">
        <x:v>32482.371041666665</x:v>
      </x:c>
      <x:c r="D305" s="12" t="n">
        <x:v>27</x:v>
      </x:c>
      <x:c r="E305" s="12" t="n">
        <x:v>0</x:v>
      </x:c>
      <x:c r="F305" s="12" t="str">
        <x:v>存在</x:v>
      </x:c>
      <x:c r="G305" s="12" t="n">
        <x:v>1</x:v>
      </x:c>
      <x:c r="H305" s="12" t="str">
        <x:v>{'LNGQT': 100.0, 'SR': 0.0}</x:v>
      </x:c>
      <x:c r="I305" s="12" t="str">
        <x:v>[('SRTH', 100.0), ('PAC', 100.0), ('$SABCOND', 100.0), ('NSTT', 100.0), ('AB', 100.0)]</x:v>
      </x:c>
      <x:c r="J305" s="12" t="str">
        <x:v>ptbxl_database.csv；ecg_id=2381；scp_codes</x:v>
      </x:c>
      <x:c r="K305" s="12" t="str">
        <x:v>12sl_statements.csv；ecg_id=2381；statements_ext_snomed</x:v>
      </x:c>
      <x:c r="L305" s="12"/>
      <x:c r="M305" s="12" t="str">
        <x:v>negative</x:v>
      </x:c>
      <x:c r="N305" s="12"/>
      <x:c r="O305" s="12" t="str">
        <x:v>negative</x:v>
      </x:c>
      <x:c r="P305" s="12" t="str">
        <x:f>IF(OR(M305="unavailable",O305="unavailable"),"不可评价",IF(OR(M305="equivocal",O305="equivocal"),"疑似",IF(AND(M305="positive",O305="positive"),"a",IF(O305="positive","b",IF(M305="positive","c","d")))))</x:f>
        <x:v>d</x:v>
      </x:c>
      <x:c r="Q305" s="12"/>
      <x:c r="R305" s="12" t="str">
        <x:v>negative</x:v>
      </x:c>
      <x:c r="S305" s="12"/>
      <x:c r="T305" s="12" t="str">
        <x:v>negative</x:v>
      </x:c>
      <x:c r="U305" s="12" t="str">
        <x:f>IF(OR(R305="unavailable",T305="unavailable"),"不可评价",IF(OR(R305="equivocal",T305="equivocal"),"疑似",IF(AND(R305="positive",T305="positive"),"a",IF(T305="positive","b",IF(R305="positive","c","d")))))</x:f>
        <x:v>d</x:v>
      </x:c>
      <x:c r="V305" s="12"/>
      <x:c r="W305" s="12" t="str">
        <x:v>negative</x:v>
      </x:c>
      <x:c r="X305" s="12"/>
      <x:c r="Y305" s="12" t="str">
        <x:v>negative</x:v>
      </x:c>
      <x:c r="Z305" s="12" t="str">
        <x:f>IF(OR(W305="unavailable",Y305="unavailable"),"不可评价",IF(OR(W305="equivocal",Y305="equivocal"),"疑似",IF(AND(W305="positive",Y305="positive"),"a",IF(Y305="positive","b",IF(W305="positive","c","d")))))</x:f>
        <x:v>d</x:v>
      </x:c>
      <x:c r="AA305" s="12" t="str">
        <x:f>IF(OR(M305="unavailable",O305="unavailable"),"不可评价",IF(AND(OR(M305="positive",M305="equivocal"),OR(O305="positive",O305="equivocal")),"a",IF(OR(O305="positive",O305="equivocal"),"b",IF(OR(M305="positive",M305="equivocal"),"c","d"))))</x:f>
        <x:v>d</x:v>
      </x:c>
      <x:c r="AB305" s="12" t="str">
        <x:f>IF(OR(M305="unavailable",O305="unavailable"),"不可评价",IF(AND(M305="positive",O305="positive"),"a",IF(O305="positive","b",IF(M305="positive","c","d"))))</x:f>
        <x:v>d</x:v>
      </x:c>
      <x:c r="AC305" s="12" t="str">
        <x:f>IF(OR(R305="unavailable",T305="unavailable"),"不可评价",IF(AND(OR(R305="positive",R305="equivocal"),OR(T305="positive",T305="equivocal")),"a",IF(OR(T305="positive",T305="equivocal"),"b",IF(OR(R305="positive",R305="equivocal"),"c","d"))))</x:f>
        <x:v>d</x:v>
      </x:c>
      <x:c r="AD305" s="12" t="str">
        <x:f>IF(OR(R305="unavailable",T305="unavailable"),"不可评价",IF(AND(R305="positive",T305="positive"),"a",IF(T305="positive","b",IF(R305="positive","c","d"))))</x:f>
        <x:v>d</x:v>
      </x:c>
      <x:c r="AE305" s="12" t="str">
        <x:f>IF(OR(W305="unavailable",Y305="unavailable"),"不可评价",IF(AND(OR(W305="positive",W305="equivocal"),OR(Y305="positive",Y305="equivocal")),"a",IF(OR(Y305="positive",Y305="equivocal"),"b",IF(OR(W305="positive",W305="equivocal"),"c","d"))))</x:f>
        <x:v>d</x:v>
      </x:c>
      <x:c r="AF305" s="12" t="str">
        <x:f>IF(OR(W305="unavailable",Y305="unavailable"),"不可评价",IF(AND(W305="positive",Y305="positive"),"a",IF(Y305="positive","b",IF(W305="positive","c","d"))))</x:f>
        <x:v>d</x:v>
      </x:c>
    </x:row>
    <x:row r="306" ht="24" customHeight="1">
      <x:c r="A306" s="12" t="str">
        <x:v>2386</x:v>
      </x:c>
      <x:c r="B306" s="12" t="str">
        <x:v>10088</x:v>
      </x:c>
      <x:c r="C306" s="21" t="n">
        <x:v>32485.68023148148</x:v>
      </x:c>
      <x:c r="D306" s="12" t="n">
        <x:v>64</x:v>
      </x:c>
      <x:c r="E306" s="12" t="n">
        <x:v>0</x:v>
      </x:c>
      <x:c r="F306" s="12" t="str">
        <x:v>未记录</x:v>
      </x:c>
      <x:c r="G306" s="12" t="n">
        <x:v>1</x:v>
      </x:c>
      <x:c r="H306" s="12" t="str">
        <x:v>{'NORM': 100.0, 'SR': 0.0}</x:v>
      </x:c>
      <x:c r="I306" s="12" t="str">
        <x:v>[('NSR', 100.0), ('NML', 100.0)]</x:v>
      </x:c>
      <x:c r="J306" s="12" t="str">
        <x:v>ptbxl_database.csv；ecg_id=2386；scp_codes</x:v>
      </x:c>
      <x:c r="K306" s="12" t="str">
        <x:v>12sl_statements.csv；ecg_id=2386；statements_ext_snomed</x:v>
      </x:c>
      <x:c r="L306" s="12"/>
      <x:c r="M306" s="12" t="str">
        <x:v>negative</x:v>
      </x:c>
      <x:c r="N306" s="12"/>
      <x:c r="O306" s="12" t="str">
        <x:v>negative</x:v>
      </x:c>
      <x:c r="P306" s="12" t="str">
        <x:f>IF(OR(M306="unavailable",O306="unavailable"),"不可评价",IF(OR(M306="equivocal",O306="equivocal"),"疑似",IF(AND(M306="positive",O306="positive"),"a",IF(O306="positive","b",IF(M306="positive","c","d")))))</x:f>
        <x:v>d</x:v>
      </x:c>
      <x:c r="Q306" s="12"/>
      <x:c r="R306" s="12" t="str">
        <x:v>negative</x:v>
      </x:c>
      <x:c r="S306" s="12"/>
      <x:c r="T306" s="12" t="str">
        <x:v>negative</x:v>
      </x:c>
      <x:c r="U306" s="12" t="str">
        <x:f>IF(OR(R306="unavailable",T306="unavailable"),"不可评价",IF(OR(R306="equivocal",T306="equivocal"),"疑似",IF(AND(R306="positive",T306="positive"),"a",IF(T306="positive","b",IF(R306="positive","c","d")))))</x:f>
        <x:v>d</x:v>
      </x:c>
      <x:c r="V306" s="12"/>
      <x:c r="W306" s="12" t="str">
        <x:v>negative</x:v>
      </x:c>
      <x:c r="X306" s="12"/>
      <x:c r="Y306" s="12" t="str">
        <x:v>negative</x:v>
      </x:c>
      <x:c r="Z306" s="12" t="str">
        <x:f>IF(OR(W306="unavailable",Y306="unavailable"),"不可评价",IF(OR(W306="equivocal",Y306="equivocal"),"疑似",IF(AND(W306="positive",Y306="positive"),"a",IF(Y306="positive","b",IF(W306="positive","c","d")))))</x:f>
        <x:v>d</x:v>
      </x:c>
      <x:c r="AA306" s="12" t="str">
        <x:f>IF(OR(M306="unavailable",O306="unavailable"),"不可评价",IF(AND(OR(M306="positive",M306="equivocal"),OR(O306="positive",O306="equivocal")),"a",IF(OR(O306="positive",O306="equivocal"),"b",IF(OR(M306="positive",M306="equivocal"),"c","d"))))</x:f>
        <x:v>d</x:v>
      </x:c>
      <x:c r="AB306" s="12" t="str">
        <x:f>IF(OR(M306="unavailable",O306="unavailable"),"不可评价",IF(AND(M306="positive",O306="positive"),"a",IF(O306="positive","b",IF(M306="positive","c","d"))))</x:f>
        <x:v>d</x:v>
      </x:c>
      <x:c r="AC306" s="12" t="str">
        <x:f>IF(OR(R306="unavailable",T306="unavailable"),"不可评价",IF(AND(OR(R306="positive",R306="equivocal"),OR(T306="positive",T306="equivocal")),"a",IF(OR(T306="positive",T306="equivocal"),"b",IF(OR(R306="positive",R306="equivocal"),"c","d"))))</x:f>
        <x:v>d</x:v>
      </x:c>
      <x:c r="AD306" s="12" t="str">
        <x:f>IF(OR(R306="unavailable",T306="unavailable"),"不可评价",IF(AND(R306="positive",T306="positive"),"a",IF(T306="positive","b",IF(R306="positive","c","d"))))</x:f>
        <x:v>d</x:v>
      </x:c>
      <x:c r="AE306" s="12" t="str">
        <x:f>IF(OR(W306="unavailable",Y306="unavailable"),"不可评价",IF(AND(OR(W306="positive",W306="equivocal"),OR(Y306="positive",Y306="equivocal")),"a",IF(OR(Y306="positive",Y306="equivocal"),"b",IF(OR(W306="positive",W306="equivocal"),"c","d"))))</x:f>
        <x:v>d</x:v>
      </x:c>
      <x:c r="AF306" s="12" t="str">
        <x:f>IF(OR(W306="unavailable",Y306="unavailable"),"不可评价",IF(AND(W306="positive",Y306="positive"),"a",IF(Y306="positive","b",IF(W306="positive","c","d"))))</x:f>
        <x:v>d</x:v>
      </x:c>
    </x:row>
    <x:row r="307" ht="24" customHeight="1">
      <x:c r="A307" s="12" t="str">
        <x:v>2387</x:v>
      </x:c>
      <x:c r="B307" s="12" t="str">
        <x:v>15397</x:v>
      </x:c>
      <x:c r="C307" s="21" t="n">
        <x:v>32485.704814814813</x:v>
      </x:c>
      <x:c r="D307" s="12" t="n">
        <x:v>48</x:v>
      </x:c>
      <x:c r="E307" s="12" t="n">
        <x:v>0</x:v>
      </x:c>
      <x:c r="F307" s="12" t="str">
        <x:v>未记录</x:v>
      </x:c>
      <x:c r="G307" s="12" t="n">
        <x:v>1</x:v>
      </x:c>
      <x:c r="H307" s="12" t="str">
        <x:v>{'NORM': 35.0, 'STACH': 0.0}</x:v>
      </x:c>
      <x:c r="I307" s="12" t="str">
        <x:v>[('STACH', 100.0), ('ST&amp;', 100.0), ('IT', 100.0), ('AB', 100.0)]</x:v>
      </x:c>
      <x:c r="J307" s="12" t="str">
        <x:v>ptbxl_database.csv；ecg_id=2387；scp_codes</x:v>
      </x:c>
      <x:c r="K307" s="12" t="str">
        <x:v>12sl_statements.csv；ecg_id=2387；statements_ext_snomed</x:v>
      </x:c>
      <x:c r="L307" s="12"/>
      <x:c r="M307" s="12" t="str">
        <x:v>negative</x:v>
      </x:c>
      <x:c r="N307" s="12"/>
      <x:c r="O307" s="12" t="str">
        <x:v>negative</x:v>
      </x:c>
      <x:c r="P307" s="12" t="str">
        <x:f>IF(OR(M307="unavailable",O307="unavailable"),"不可评价",IF(OR(M307="equivocal",O307="equivocal"),"疑似",IF(AND(M307="positive",O307="positive"),"a",IF(O307="positive","b",IF(M307="positive","c","d")))))</x:f>
        <x:v>d</x:v>
      </x:c>
      <x:c r="Q307" s="12"/>
      <x:c r="R307" s="12" t="str">
        <x:v>negative</x:v>
      </x:c>
      <x:c r="S307" s="12"/>
      <x:c r="T307" s="12" t="str">
        <x:v>negative</x:v>
      </x:c>
      <x:c r="U307" s="12" t="str">
        <x:f>IF(OR(R307="unavailable",T307="unavailable"),"不可评价",IF(OR(R307="equivocal",T307="equivocal"),"疑似",IF(AND(R307="positive",T307="positive"),"a",IF(T307="positive","b",IF(R307="positive","c","d")))))</x:f>
        <x:v>d</x:v>
      </x:c>
      <x:c r="V307" s="12"/>
      <x:c r="W307" s="12" t="str">
        <x:v>negative</x:v>
      </x:c>
      <x:c r="X307" s="12"/>
      <x:c r="Y307" s="12" t="str">
        <x:v>negative</x:v>
      </x:c>
      <x:c r="Z307" s="12" t="str">
        <x:f>IF(OR(W307="unavailable",Y307="unavailable"),"不可评价",IF(OR(W307="equivocal",Y307="equivocal"),"疑似",IF(AND(W307="positive",Y307="positive"),"a",IF(Y307="positive","b",IF(W307="positive","c","d")))))</x:f>
        <x:v>d</x:v>
      </x:c>
      <x:c r="AA307" s="12" t="str">
        <x:f>IF(OR(M307="unavailable",O307="unavailable"),"不可评价",IF(AND(OR(M307="positive",M307="equivocal"),OR(O307="positive",O307="equivocal")),"a",IF(OR(O307="positive",O307="equivocal"),"b",IF(OR(M307="positive",M307="equivocal"),"c","d"))))</x:f>
        <x:v>d</x:v>
      </x:c>
      <x:c r="AB307" s="12" t="str">
        <x:f>IF(OR(M307="unavailable",O307="unavailable"),"不可评价",IF(AND(M307="positive",O307="positive"),"a",IF(O307="positive","b",IF(M307="positive","c","d"))))</x:f>
        <x:v>d</x:v>
      </x:c>
      <x:c r="AC307" s="12" t="str">
        <x:f>IF(OR(R307="unavailable",T307="unavailable"),"不可评价",IF(AND(OR(R307="positive",R307="equivocal"),OR(T307="positive",T307="equivocal")),"a",IF(OR(T307="positive",T307="equivocal"),"b",IF(OR(R307="positive",R307="equivocal"),"c","d"))))</x:f>
        <x:v>d</x:v>
      </x:c>
      <x:c r="AD307" s="12" t="str">
        <x:f>IF(OR(R307="unavailable",T307="unavailable"),"不可评价",IF(AND(R307="positive",T307="positive"),"a",IF(T307="positive","b",IF(R307="positive","c","d"))))</x:f>
        <x:v>d</x:v>
      </x:c>
      <x:c r="AE307" s="12" t="str">
        <x:f>IF(OR(W307="unavailable",Y307="unavailable"),"不可评价",IF(AND(OR(W307="positive",W307="equivocal"),OR(Y307="positive",Y307="equivocal")),"a",IF(OR(Y307="positive",Y307="equivocal"),"b",IF(OR(W307="positive",W307="equivocal"),"c","d"))))</x:f>
        <x:v>d</x:v>
      </x:c>
      <x:c r="AF307" s="12" t="str">
        <x:f>IF(OR(W307="unavailable",Y307="unavailable"),"不可评价",IF(AND(W307="positive",Y307="positive"),"a",IF(Y307="positive","b",IF(W307="positive","c","d"))))</x:f>
        <x:v>d</x:v>
      </x:c>
    </x:row>
    <x:row r="308" ht="24" customHeight="1">
      <x:c r="A308" s="12" t="str">
        <x:v>2390</x:v>
      </x:c>
      <x:c r="B308" s="12" t="str">
        <x:v>20707</x:v>
      </x:c>
      <x:c r="C308" s="21" t="n">
        <x:v>32487.514166666668</x:v>
      </x:c>
      <x:c r="D308" s="12" t="n">
        <x:v>67</x:v>
      </x:c>
      <x:c r="E308" s="12" t="n">
        <x:v>1</x:v>
      </x:c>
      <x:c r="F308" s="12" t="str">
        <x:v>未记录</x:v>
      </x:c>
      <x:c r="G308" s="12" t="n">
        <x:v>1</x:v>
      </x:c>
      <x:c r="H308" s="12" t="str">
        <x:v>{'NDT': 100.0, 'SR': 0.0}</x:v>
      </x:c>
      <x:c r="I308" s="12" t="str">
        <x:v>[('SBRAD', 100.0), ('NT', 100.0), ('AB', 100.0)]</x:v>
      </x:c>
      <x:c r="J308" s="12" t="str">
        <x:v>ptbxl_database.csv；ecg_id=2390；scp_codes</x:v>
      </x:c>
      <x:c r="K308" s="12" t="str">
        <x:v>12sl_statements.csv；ecg_id=2390；statements_ext_snomed</x:v>
      </x:c>
      <x:c r="L308" s="12"/>
      <x:c r="M308" s="12" t="str">
        <x:v>negative</x:v>
      </x:c>
      <x:c r="N308" s="12"/>
      <x:c r="O308" s="12" t="str">
        <x:v>negative</x:v>
      </x:c>
      <x:c r="P308" s="12" t="str">
        <x:f>IF(OR(M308="unavailable",O308="unavailable"),"不可评价",IF(OR(M308="equivocal",O308="equivocal"),"疑似",IF(AND(M308="positive",O308="positive"),"a",IF(O308="positive","b",IF(M308="positive","c","d")))))</x:f>
        <x:v>d</x:v>
      </x:c>
      <x:c r="Q308" s="12"/>
      <x:c r="R308" s="12" t="str">
        <x:v>negative</x:v>
      </x:c>
      <x:c r="S308" s="12"/>
      <x:c r="T308" s="12" t="str">
        <x:v>negative</x:v>
      </x:c>
      <x:c r="U308" s="12" t="str">
        <x:f>IF(OR(R308="unavailable",T308="unavailable"),"不可评价",IF(OR(R308="equivocal",T308="equivocal"),"疑似",IF(AND(R308="positive",T308="positive"),"a",IF(T308="positive","b",IF(R308="positive","c","d")))))</x:f>
        <x:v>d</x:v>
      </x:c>
      <x:c r="V308" s="12"/>
      <x:c r="W308" s="12" t="str">
        <x:v>negative</x:v>
      </x:c>
      <x:c r="X308" s="12"/>
      <x:c r="Y308" s="12" t="str">
        <x:v>negative</x:v>
      </x:c>
      <x:c r="Z308" s="12" t="str">
        <x:f>IF(OR(W308="unavailable",Y308="unavailable"),"不可评价",IF(OR(W308="equivocal",Y308="equivocal"),"疑似",IF(AND(W308="positive",Y308="positive"),"a",IF(Y308="positive","b",IF(W308="positive","c","d")))))</x:f>
        <x:v>d</x:v>
      </x:c>
      <x:c r="AA308" s="12" t="str">
        <x:f>IF(OR(M308="unavailable",O308="unavailable"),"不可评价",IF(AND(OR(M308="positive",M308="equivocal"),OR(O308="positive",O308="equivocal")),"a",IF(OR(O308="positive",O308="equivocal"),"b",IF(OR(M308="positive",M308="equivocal"),"c","d"))))</x:f>
        <x:v>d</x:v>
      </x:c>
      <x:c r="AB308" s="12" t="str">
        <x:f>IF(OR(M308="unavailable",O308="unavailable"),"不可评价",IF(AND(M308="positive",O308="positive"),"a",IF(O308="positive","b",IF(M308="positive","c","d"))))</x:f>
        <x:v>d</x:v>
      </x:c>
      <x:c r="AC308" s="12" t="str">
        <x:f>IF(OR(R308="unavailable",T308="unavailable"),"不可评价",IF(AND(OR(R308="positive",R308="equivocal"),OR(T308="positive",T308="equivocal")),"a",IF(OR(T308="positive",T308="equivocal"),"b",IF(OR(R308="positive",R308="equivocal"),"c","d"))))</x:f>
        <x:v>d</x:v>
      </x:c>
      <x:c r="AD308" s="12" t="str">
        <x:f>IF(OR(R308="unavailable",T308="unavailable"),"不可评价",IF(AND(R308="positive",T308="positive"),"a",IF(T308="positive","b",IF(R308="positive","c","d"))))</x:f>
        <x:v>d</x:v>
      </x:c>
      <x:c r="AE308" s="12" t="str">
        <x:f>IF(OR(W308="unavailable",Y308="unavailable"),"不可评价",IF(AND(OR(W308="positive",W308="equivocal"),OR(Y308="positive",Y308="equivocal")),"a",IF(OR(Y308="positive",Y308="equivocal"),"b",IF(OR(W308="positive",W308="equivocal"),"c","d"))))</x:f>
        <x:v>d</x:v>
      </x:c>
      <x:c r="AF308" s="12" t="str">
        <x:f>IF(OR(W308="unavailable",Y308="unavailable"),"不可评价",IF(AND(W308="positive",Y308="positive"),"a",IF(Y308="positive","b",IF(W308="positive","c","d"))))</x:f>
        <x:v>d</x:v>
      </x:c>
    </x:row>
    <x:row r="309" ht="24" customHeight="1">
      <x:c r="A309" s="12" t="str">
        <x:v>2403</x:v>
      </x:c>
      <x:c r="B309" s="12" t="str">
        <x:v>11393</x:v>
      </x:c>
      <x:c r="C309" s="21" t="n">
        <x:v>32495.314143518517</x:v>
      </x:c>
      <x:c r="D309" s="12" t="n">
        <x:v>31</x:v>
      </x:c>
      <x:c r="E309" s="12" t="n">
        <x:v>0</x:v>
      </x:c>
      <x:c r="F309" s="12" t="str">
        <x:v>未记录</x:v>
      </x:c>
      <x:c r="G309" s="12" t="n">
        <x:v>1</x:v>
      </x:c>
      <x:c r="H309" s="12" t="str">
        <x:v>{'NDT': 100.0, 'SR': 0.0}</x:v>
      </x:c>
      <x:c r="I309" s="12" t="str">
        <x:v>[('NSR', 100.0), ('IRBBB', 100.0), ('BORDE', 100.0)]</x:v>
      </x:c>
      <x:c r="J309" s="12" t="str">
        <x:v>ptbxl_database.csv；ecg_id=2403；scp_codes</x:v>
      </x:c>
      <x:c r="K309" s="12" t="str">
        <x:v>12sl_statements.csv；ecg_id=2403；statements_ext_snomed</x:v>
      </x:c>
      <x:c r="L309" s="12"/>
      <x:c r="M309" s="12" t="str">
        <x:v>negative</x:v>
      </x:c>
      <x:c r="N309" s="12"/>
      <x:c r="O309" s="12" t="str">
        <x:v>negative</x:v>
      </x:c>
      <x:c r="P309" s="12" t="str">
        <x:f>IF(OR(M309="unavailable",O309="unavailable"),"不可评价",IF(OR(M309="equivocal",O309="equivocal"),"疑似",IF(AND(M309="positive",O309="positive"),"a",IF(O309="positive","b",IF(M309="positive","c","d")))))</x:f>
        <x:v>d</x:v>
      </x:c>
      <x:c r="Q309" s="12"/>
      <x:c r="R309" s="12" t="str">
        <x:v>negative</x:v>
      </x:c>
      <x:c r="S309" s="12"/>
      <x:c r="T309" s="12" t="str">
        <x:v>negative</x:v>
      </x:c>
      <x:c r="U309" s="12" t="str">
        <x:f>IF(OR(R309="unavailable",T309="unavailable"),"不可评价",IF(OR(R309="equivocal",T309="equivocal"),"疑似",IF(AND(R309="positive",T309="positive"),"a",IF(T309="positive","b",IF(R309="positive","c","d")))))</x:f>
        <x:v>d</x:v>
      </x:c>
      <x:c r="V309" s="12"/>
      <x:c r="W309" s="12" t="str">
        <x:v>negative</x:v>
      </x:c>
      <x:c r="X309" s="12"/>
      <x:c r="Y309" s="12" t="str">
        <x:v>negative</x:v>
      </x:c>
      <x:c r="Z309" s="12" t="str">
        <x:f>IF(OR(W309="unavailable",Y309="unavailable"),"不可评价",IF(OR(W309="equivocal",Y309="equivocal"),"疑似",IF(AND(W309="positive",Y309="positive"),"a",IF(Y309="positive","b",IF(W309="positive","c","d")))))</x:f>
        <x:v>d</x:v>
      </x:c>
      <x:c r="AA309" s="12" t="str">
        <x:f>IF(OR(M309="unavailable",O309="unavailable"),"不可评价",IF(AND(OR(M309="positive",M309="equivocal"),OR(O309="positive",O309="equivocal")),"a",IF(OR(O309="positive",O309="equivocal"),"b",IF(OR(M309="positive",M309="equivocal"),"c","d"))))</x:f>
        <x:v>d</x:v>
      </x:c>
      <x:c r="AB309" s="12" t="str">
        <x:f>IF(OR(M309="unavailable",O309="unavailable"),"不可评价",IF(AND(M309="positive",O309="positive"),"a",IF(O309="positive","b",IF(M309="positive","c","d"))))</x:f>
        <x:v>d</x:v>
      </x:c>
      <x:c r="AC309" s="12" t="str">
        <x:f>IF(OR(R309="unavailable",T309="unavailable"),"不可评价",IF(AND(OR(R309="positive",R309="equivocal"),OR(T309="positive",T309="equivocal")),"a",IF(OR(T309="positive",T309="equivocal"),"b",IF(OR(R309="positive",R309="equivocal"),"c","d"))))</x:f>
        <x:v>d</x:v>
      </x:c>
      <x:c r="AD309" s="12" t="str">
        <x:f>IF(OR(R309="unavailable",T309="unavailable"),"不可评价",IF(AND(R309="positive",T309="positive"),"a",IF(T309="positive","b",IF(R309="positive","c","d"))))</x:f>
        <x:v>d</x:v>
      </x:c>
      <x:c r="AE309" s="12" t="str">
        <x:f>IF(OR(W309="unavailable",Y309="unavailable"),"不可评价",IF(AND(OR(W309="positive",W309="equivocal"),OR(Y309="positive",Y309="equivocal")),"a",IF(OR(Y309="positive",Y309="equivocal"),"b",IF(OR(W309="positive",W309="equivocal"),"c","d"))))</x:f>
        <x:v>d</x:v>
      </x:c>
      <x:c r="AF309" s="12" t="str">
        <x:f>IF(OR(W309="unavailable",Y309="unavailable"),"不可评价",IF(AND(W309="positive",Y309="positive"),"a",IF(Y309="positive","b",IF(W309="positive","c","d"))))</x:f>
        <x:v>d</x:v>
      </x:c>
    </x:row>
    <x:row r="310" ht="24" customHeight="1">
      <x:c r="A310" s="12" t="str">
        <x:v>2409</x:v>
      </x:c>
      <x:c r="B310" s="12" t="str">
        <x:v>19202</x:v>
      </x:c>
      <x:c r="C310" s="21" t="n">
        <x:v>32496.65164351852</x:v>
      </x:c>
      <x:c r="D310" s="12" t="n">
        <x:v>85</x:v>
      </x:c>
      <x:c r="E310" s="12" t="n">
        <x:v>0</x:v>
      </x:c>
      <x:c r="F310" s="12" t="str">
        <x:v>未记录</x:v>
      </x:c>
      <x:c r="G310" s="12" t="n">
        <x:v>1</x:v>
      </x:c>
      <x:c r="H310" s="12" t="str">
        <x:v>{'RVH': 50.0, 'IRBBB': 100.0, 'LAFB': 100.0, 'SR': 0.0}</x:v>
      </x:c>
      <x:c r="I310" s="12" t="str">
        <x:v>[('NSR', 100.0), ('RBBB', 100.0), ('AFB', 100.0), ('BIFB', 100.0), ('AB', 100.0)]</x:v>
      </x:c>
      <x:c r="J310" s="12" t="str">
        <x:v>ptbxl_database.csv；ecg_id=2409；scp_codes</x:v>
      </x:c>
      <x:c r="K310" s="12" t="str">
        <x:v>12sl_statements.csv；ecg_id=2409；statements_ext_snomed</x:v>
      </x:c>
      <x:c r="L310" s="12"/>
      <x:c r="M310" s="12" t="str">
        <x:v>negative</x:v>
      </x:c>
      <x:c r="N310" s="12"/>
      <x:c r="O310" s="12" t="str">
        <x:v>negative</x:v>
      </x:c>
      <x:c r="P310" s="12" t="str">
        <x:f>IF(OR(M310="unavailable",O310="unavailable"),"不可评价",IF(OR(M310="equivocal",O310="equivocal"),"疑似",IF(AND(M310="positive",O310="positive"),"a",IF(O310="positive","b",IF(M310="positive","c","d")))))</x:f>
        <x:v>d</x:v>
      </x:c>
      <x:c r="Q310" s="12"/>
      <x:c r="R310" s="12" t="str">
        <x:v>negative</x:v>
      </x:c>
      <x:c r="S310" s="12"/>
      <x:c r="T310" s="12" t="str">
        <x:v>negative</x:v>
      </x:c>
      <x:c r="U310" s="12" t="str">
        <x:f>IF(OR(R310="unavailable",T310="unavailable"),"不可评价",IF(OR(R310="equivocal",T310="equivocal"),"疑似",IF(AND(R310="positive",T310="positive"),"a",IF(T310="positive","b",IF(R310="positive","c","d")))))</x:f>
        <x:v>d</x:v>
      </x:c>
      <x:c r="V310" s="12"/>
      <x:c r="W310" s="12" t="str">
        <x:v>negative</x:v>
      </x:c>
      <x:c r="X310" s="12" t="n">
        <x:v>100</x:v>
      </x:c>
      <x:c r="Y310" s="12" t="str">
        <x:v>positive</x:v>
      </x:c>
      <x:c r="Z310" s="12" t="str">
        <x:f>IF(OR(W310="unavailable",Y310="unavailable"),"不可评价",IF(OR(W310="equivocal",Y310="equivocal"),"疑似",IF(AND(W310="positive",Y310="positive"),"a",IF(Y310="positive","b",IF(W310="positive","c","d")))))</x:f>
        <x:v>b</x:v>
      </x:c>
      <x:c r="AA310" s="12" t="str">
        <x:f>IF(OR(M310="unavailable",O310="unavailable"),"不可评价",IF(AND(OR(M310="positive",M310="equivocal"),OR(O310="positive",O310="equivocal")),"a",IF(OR(O310="positive",O310="equivocal"),"b",IF(OR(M310="positive",M310="equivocal"),"c","d"))))</x:f>
        <x:v>d</x:v>
      </x:c>
      <x:c r="AB310" s="12" t="str">
        <x:f>IF(OR(M310="unavailable",O310="unavailable"),"不可评价",IF(AND(M310="positive",O310="positive"),"a",IF(O310="positive","b",IF(M310="positive","c","d"))))</x:f>
        <x:v>d</x:v>
      </x:c>
      <x:c r="AC310" s="12" t="str">
        <x:f>IF(OR(R310="unavailable",T310="unavailable"),"不可评价",IF(AND(OR(R310="positive",R310="equivocal"),OR(T310="positive",T310="equivocal")),"a",IF(OR(T310="positive",T310="equivocal"),"b",IF(OR(R310="positive",R310="equivocal"),"c","d"))))</x:f>
        <x:v>d</x:v>
      </x:c>
      <x:c r="AD310" s="12" t="str">
        <x:f>IF(OR(R310="unavailable",T310="unavailable"),"不可评价",IF(AND(R310="positive",T310="positive"),"a",IF(T310="positive","b",IF(R310="positive","c","d"))))</x:f>
        <x:v>d</x:v>
      </x:c>
      <x:c r="AE310" s="12" t="str">
        <x:f>IF(OR(W310="unavailable",Y310="unavailable"),"不可评价",IF(AND(OR(W310="positive",W310="equivocal"),OR(Y310="positive",Y310="equivocal")),"a",IF(OR(Y310="positive",Y310="equivocal"),"b",IF(OR(W310="positive",W310="equivocal"),"c","d"))))</x:f>
        <x:v>b</x:v>
      </x:c>
      <x:c r="AF310" s="12" t="str">
        <x:f>IF(OR(W310="unavailable",Y310="unavailable"),"不可评价",IF(AND(W310="positive",Y310="positive"),"a",IF(Y310="positive","b",IF(W310="positive","c","d"))))</x:f>
        <x:v>b</x:v>
      </x:c>
    </x:row>
    <x:row r="311" ht="24" customHeight="1">
      <x:c r="A311" s="12" t="str">
        <x:v>2416</x:v>
      </x:c>
      <x:c r="B311" s="12" t="str">
        <x:v>9391</x:v>
      </x:c>
      <x:c r="C311" s="21" t="n">
        <x:v>32511.437280092592</x:v>
      </x:c>
      <x:c r="D311" s="12" t="n">
        <x:v>22</x:v>
      </x:c>
      <x:c r="E311" s="12" t="n">
        <x:v>1</x:v>
      </x:c>
      <x:c r="F311" s="12" t="str">
        <x:v>未记录</x:v>
      </x:c>
      <x:c r="G311" s="12" t="n">
        <x:v>1</x:v>
      </x:c>
      <x:c r="H311" s="12" t="str">
        <x:v>{'NORM': 100.0, 'SR': 0.0}</x:v>
      </x:c>
      <x:c r="I311" s="12" t="str">
        <x:v>[('NSR', 100.0), ('NML', 100.0)]</x:v>
      </x:c>
      <x:c r="J311" s="12" t="str">
        <x:v>ptbxl_database.csv；ecg_id=2416；scp_codes</x:v>
      </x:c>
      <x:c r="K311" s="12" t="str">
        <x:v>12sl_statements.csv；ecg_id=2416；statements_ext_snomed</x:v>
      </x:c>
      <x:c r="L311" s="12"/>
      <x:c r="M311" s="12" t="str">
        <x:v>negative</x:v>
      </x:c>
      <x:c r="N311" s="12"/>
      <x:c r="O311" s="12" t="str">
        <x:v>negative</x:v>
      </x:c>
      <x:c r="P311" s="12" t="str">
        <x:f>IF(OR(M311="unavailable",O311="unavailable"),"不可评价",IF(OR(M311="equivocal",O311="equivocal"),"疑似",IF(AND(M311="positive",O311="positive"),"a",IF(O311="positive","b",IF(M311="positive","c","d")))))</x:f>
        <x:v>d</x:v>
      </x:c>
      <x:c r="Q311" s="12"/>
      <x:c r="R311" s="12" t="str">
        <x:v>negative</x:v>
      </x:c>
      <x:c r="S311" s="12"/>
      <x:c r="T311" s="12" t="str">
        <x:v>negative</x:v>
      </x:c>
      <x:c r="U311" s="12" t="str">
        <x:f>IF(OR(R311="unavailable",T311="unavailable"),"不可评价",IF(OR(R311="equivocal",T311="equivocal"),"疑似",IF(AND(R311="positive",T311="positive"),"a",IF(T311="positive","b",IF(R311="positive","c","d")))))</x:f>
        <x:v>d</x:v>
      </x:c>
      <x:c r="V311" s="12"/>
      <x:c r="W311" s="12" t="str">
        <x:v>negative</x:v>
      </x:c>
      <x:c r="X311" s="12"/>
      <x:c r="Y311" s="12" t="str">
        <x:v>negative</x:v>
      </x:c>
      <x:c r="Z311" s="12" t="str">
        <x:f>IF(OR(W311="unavailable",Y311="unavailable"),"不可评价",IF(OR(W311="equivocal",Y311="equivocal"),"疑似",IF(AND(W311="positive",Y311="positive"),"a",IF(Y311="positive","b",IF(W311="positive","c","d")))))</x:f>
        <x:v>d</x:v>
      </x:c>
      <x:c r="AA311" s="12" t="str">
        <x:f>IF(OR(M311="unavailable",O311="unavailable"),"不可评价",IF(AND(OR(M311="positive",M311="equivocal"),OR(O311="positive",O311="equivocal")),"a",IF(OR(O311="positive",O311="equivocal"),"b",IF(OR(M311="positive",M311="equivocal"),"c","d"))))</x:f>
        <x:v>d</x:v>
      </x:c>
      <x:c r="AB311" s="12" t="str">
        <x:f>IF(OR(M311="unavailable",O311="unavailable"),"不可评价",IF(AND(M311="positive",O311="positive"),"a",IF(O311="positive","b",IF(M311="positive","c","d"))))</x:f>
        <x:v>d</x:v>
      </x:c>
      <x:c r="AC311" s="12" t="str">
        <x:f>IF(OR(R311="unavailable",T311="unavailable"),"不可评价",IF(AND(OR(R311="positive",R311="equivocal"),OR(T311="positive",T311="equivocal")),"a",IF(OR(T311="positive",T311="equivocal"),"b",IF(OR(R311="positive",R311="equivocal"),"c","d"))))</x:f>
        <x:v>d</x:v>
      </x:c>
      <x:c r="AD311" s="12" t="str">
        <x:f>IF(OR(R311="unavailable",T311="unavailable"),"不可评价",IF(AND(R311="positive",T311="positive"),"a",IF(T311="positive","b",IF(R311="positive","c","d"))))</x:f>
        <x:v>d</x:v>
      </x:c>
      <x:c r="AE311" s="12" t="str">
        <x:f>IF(OR(W311="unavailable",Y311="unavailable"),"不可评价",IF(AND(OR(W311="positive",W311="equivocal"),OR(Y311="positive",Y311="equivocal")),"a",IF(OR(Y311="positive",Y311="equivocal"),"b",IF(OR(W311="positive",W311="equivocal"),"c","d"))))</x:f>
        <x:v>d</x:v>
      </x:c>
      <x:c r="AF311" s="12" t="str">
        <x:f>IF(OR(W311="unavailable",Y311="unavailable"),"不可评价",IF(AND(W311="positive",Y311="positive"),"a",IF(Y311="positive","b",IF(W311="positive","c","d"))))</x:f>
        <x:v>d</x:v>
      </x:c>
    </x:row>
    <x:row r="312" ht="24" customHeight="1">
      <x:c r="A312" s="12" t="str">
        <x:v>2417</x:v>
      </x:c>
      <x:c r="B312" s="12" t="str">
        <x:v>21131</x:v>
      </x:c>
      <x:c r="C312" s="21" t="n">
        <x:v>32512.325694444444</x:v>
      </x:c>
      <x:c r="D312" s="12" t="n">
        <x:v>78</x:v>
      </x:c>
      <x:c r="E312" s="12" t="n">
        <x:v>1</x:v>
      </x:c>
      <x:c r="F312" s="12" t="str">
        <x:v>未记录</x:v>
      </x:c>
      <x:c r="G312" s="12" t="n">
        <x:v>1</x:v>
      </x:c>
      <x:c r="H312" s="12" t="str">
        <x:v>{'RVH': 100.0, 'SR': 0.0}</x:v>
      </x:c>
      <x:c r="I312" s="12" t="str">
        <x:v>[('NSR', 100.0), ('MALT', 100.0), ('LNGQT', 100.0), ('AB', 100.0)]</x:v>
      </x:c>
      <x:c r="J312" s="12" t="str">
        <x:v>ptbxl_database.csv；ecg_id=2417；scp_codes</x:v>
      </x:c>
      <x:c r="K312" s="12" t="str">
        <x:v>12sl_statements.csv；ecg_id=2417；statements_ext_snomed</x:v>
      </x:c>
      <x:c r="L312" s="12"/>
      <x:c r="M312" s="12" t="str">
        <x:v>negative</x:v>
      </x:c>
      <x:c r="N312" s="12"/>
      <x:c r="O312" s="12" t="str">
        <x:v>negative</x:v>
      </x:c>
      <x:c r="P312" s="12" t="str">
        <x:f>IF(OR(M312="unavailable",O312="unavailable"),"不可评价",IF(OR(M312="equivocal",O312="equivocal"),"疑似",IF(AND(M312="positive",O312="positive"),"a",IF(O312="positive","b",IF(M312="positive","c","d")))))</x:f>
        <x:v>d</x:v>
      </x:c>
      <x:c r="Q312" s="12"/>
      <x:c r="R312" s="12" t="str">
        <x:v>negative</x:v>
      </x:c>
      <x:c r="S312" s="12"/>
      <x:c r="T312" s="12" t="str">
        <x:v>negative</x:v>
      </x:c>
      <x:c r="U312" s="12" t="str">
        <x:f>IF(OR(R312="unavailable",T312="unavailable"),"不可评价",IF(OR(R312="equivocal",T312="equivocal"),"疑似",IF(AND(R312="positive",T312="positive"),"a",IF(T312="positive","b",IF(R312="positive","c","d")))))</x:f>
        <x:v>d</x:v>
      </x:c>
      <x:c r="V312" s="12"/>
      <x:c r="W312" s="12" t="str">
        <x:v>negative</x:v>
      </x:c>
      <x:c r="X312" s="12"/>
      <x:c r="Y312" s="12" t="str">
        <x:v>negative</x:v>
      </x:c>
      <x:c r="Z312" s="12" t="str">
        <x:f>IF(OR(W312="unavailable",Y312="unavailable"),"不可评价",IF(OR(W312="equivocal",Y312="equivocal"),"疑似",IF(AND(W312="positive",Y312="positive"),"a",IF(Y312="positive","b",IF(W312="positive","c","d")))))</x:f>
        <x:v>d</x:v>
      </x:c>
      <x:c r="AA312" s="12" t="str">
        <x:f>IF(OR(M312="unavailable",O312="unavailable"),"不可评价",IF(AND(OR(M312="positive",M312="equivocal"),OR(O312="positive",O312="equivocal")),"a",IF(OR(O312="positive",O312="equivocal"),"b",IF(OR(M312="positive",M312="equivocal"),"c","d"))))</x:f>
        <x:v>d</x:v>
      </x:c>
      <x:c r="AB312" s="12" t="str">
        <x:f>IF(OR(M312="unavailable",O312="unavailable"),"不可评价",IF(AND(M312="positive",O312="positive"),"a",IF(O312="positive","b",IF(M312="positive","c","d"))))</x:f>
        <x:v>d</x:v>
      </x:c>
      <x:c r="AC312" s="12" t="str">
        <x:f>IF(OR(R312="unavailable",T312="unavailable"),"不可评价",IF(AND(OR(R312="positive",R312="equivocal"),OR(T312="positive",T312="equivocal")),"a",IF(OR(T312="positive",T312="equivocal"),"b",IF(OR(R312="positive",R312="equivocal"),"c","d"))))</x:f>
        <x:v>d</x:v>
      </x:c>
      <x:c r="AD312" s="12" t="str">
        <x:f>IF(OR(R312="unavailable",T312="unavailable"),"不可评价",IF(AND(R312="positive",T312="positive"),"a",IF(T312="positive","b",IF(R312="positive","c","d"))))</x:f>
        <x:v>d</x:v>
      </x:c>
      <x:c r="AE312" s="12" t="str">
        <x:f>IF(OR(W312="unavailable",Y312="unavailable"),"不可评价",IF(AND(OR(W312="positive",W312="equivocal"),OR(Y312="positive",Y312="equivocal")),"a",IF(OR(Y312="positive",Y312="equivocal"),"b",IF(OR(W312="positive",W312="equivocal"),"c","d"))))</x:f>
        <x:v>d</x:v>
      </x:c>
      <x:c r="AF312" s="12" t="str">
        <x:f>IF(OR(W312="unavailable",Y312="unavailable"),"不可评价",IF(AND(W312="positive",Y312="positive"),"a",IF(Y312="positive","b",IF(W312="positive","c","d"))))</x:f>
        <x:v>d</x:v>
      </x:c>
    </x:row>
    <x:row r="313" ht="24" customHeight="1">
      <x:c r="A313" s="12" t="str">
        <x:v>2419</x:v>
      </x:c>
      <x:c r="B313" s="12" t="str">
        <x:v>10510</x:v>
      </x:c>
      <x:c r="C313" s="21" t="n">
        <x:v>32513.609872685185</x:v>
      </x:c>
      <x:c r="D313" s="12" t="n">
        <x:v>37</x:v>
      </x:c>
      <x:c r="E313" s="12" t="n">
        <x:v>0</x:v>
      </x:c>
      <x:c r="F313" s="12" t="str">
        <x:v>未记录</x:v>
      </x:c>
      <x:c r="G313" s="12" t="n">
        <x:v>1</x:v>
      </x:c>
      <x:c r="H313" s="12" t="str">
        <x:v>{'IVCD': 100.0, 'SBRAD': 0.0}</x:v>
      </x:c>
      <x:c r="I313" s="12" t="str">
        <x:v>[('SBRAD', 100.0), ('REPOL', 100.0), ('ABR', 100.0)]</x:v>
      </x:c>
      <x:c r="J313" s="12" t="str">
        <x:v>ptbxl_database.csv；ecg_id=2419；scp_codes</x:v>
      </x:c>
      <x:c r="K313" s="12" t="str">
        <x:v>12sl_statements.csv；ecg_id=2419；statements_ext_snomed</x:v>
      </x:c>
      <x:c r="L313" s="12"/>
      <x:c r="M313" s="12" t="str">
        <x:v>negative</x:v>
      </x:c>
      <x:c r="N313" s="12"/>
      <x:c r="O313" s="12" t="str">
        <x:v>negative</x:v>
      </x:c>
      <x:c r="P313" s="12" t="str">
        <x:f>IF(OR(M313="unavailable",O313="unavailable"),"不可评价",IF(OR(M313="equivocal",O313="equivocal"),"疑似",IF(AND(M313="positive",O313="positive"),"a",IF(O313="positive","b",IF(M313="positive","c","d")))))</x:f>
        <x:v>d</x:v>
      </x:c>
      <x:c r="Q313" s="12"/>
      <x:c r="R313" s="12" t="str">
        <x:v>negative</x:v>
      </x:c>
      <x:c r="S313" s="12"/>
      <x:c r="T313" s="12" t="str">
        <x:v>negative</x:v>
      </x:c>
      <x:c r="U313" s="12" t="str">
        <x:f>IF(OR(R313="unavailable",T313="unavailable"),"不可评价",IF(OR(R313="equivocal",T313="equivocal"),"疑似",IF(AND(R313="positive",T313="positive"),"a",IF(T313="positive","b",IF(R313="positive","c","d")))))</x:f>
        <x:v>d</x:v>
      </x:c>
      <x:c r="V313" s="12"/>
      <x:c r="W313" s="12" t="str">
        <x:v>negative</x:v>
      </x:c>
      <x:c r="X313" s="12"/>
      <x:c r="Y313" s="12" t="str">
        <x:v>negative</x:v>
      </x:c>
      <x:c r="Z313" s="12" t="str">
        <x:f>IF(OR(W313="unavailable",Y313="unavailable"),"不可评价",IF(OR(W313="equivocal",Y313="equivocal"),"疑似",IF(AND(W313="positive",Y313="positive"),"a",IF(Y313="positive","b",IF(W313="positive","c","d")))))</x:f>
        <x:v>d</x:v>
      </x:c>
      <x:c r="AA313" s="12" t="str">
        <x:f>IF(OR(M313="unavailable",O313="unavailable"),"不可评价",IF(AND(OR(M313="positive",M313="equivocal"),OR(O313="positive",O313="equivocal")),"a",IF(OR(O313="positive",O313="equivocal"),"b",IF(OR(M313="positive",M313="equivocal"),"c","d"))))</x:f>
        <x:v>d</x:v>
      </x:c>
      <x:c r="AB313" s="12" t="str">
        <x:f>IF(OR(M313="unavailable",O313="unavailable"),"不可评价",IF(AND(M313="positive",O313="positive"),"a",IF(O313="positive","b",IF(M313="positive","c","d"))))</x:f>
        <x:v>d</x:v>
      </x:c>
      <x:c r="AC313" s="12" t="str">
        <x:f>IF(OR(R313="unavailable",T313="unavailable"),"不可评价",IF(AND(OR(R313="positive",R313="equivocal"),OR(T313="positive",T313="equivocal")),"a",IF(OR(T313="positive",T313="equivocal"),"b",IF(OR(R313="positive",R313="equivocal"),"c","d"))))</x:f>
        <x:v>d</x:v>
      </x:c>
      <x:c r="AD313" s="12" t="str">
        <x:f>IF(OR(R313="unavailable",T313="unavailable"),"不可评价",IF(AND(R313="positive",T313="positive"),"a",IF(T313="positive","b",IF(R313="positive","c","d"))))</x:f>
        <x:v>d</x:v>
      </x:c>
      <x:c r="AE313" s="12" t="str">
        <x:f>IF(OR(W313="unavailable",Y313="unavailable"),"不可评价",IF(AND(OR(W313="positive",W313="equivocal"),OR(Y313="positive",Y313="equivocal")),"a",IF(OR(Y313="positive",Y313="equivocal"),"b",IF(OR(W313="positive",W313="equivocal"),"c","d"))))</x:f>
        <x:v>d</x:v>
      </x:c>
      <x:c r="AF313" s="12" t="str">
        <x:f>IF(OR(W313="unavailable",Y313="unavailable"),"不可评价",IF(AND(W313="positive",Y313="positive"),"a",IF(Y313="positive","b",IF(W313="positive","c","d"))))</x:f>
        <x:v>d</x:v>
      </x:c>
    </x:row>
    <x:row r="314" ht="24" customHeight="1">
      <x:c r="A314" s="12" t="str">
        <x:v>2422</x:v>
      </x:c>
      <x:c r="B314" s="12" t="str">
        <x:v>15635</x:v>
      </x:c>
      <x:c r="C314" s="21" t="n">
        <x:v>32515.52957175926</x:v>
      </x:c>
      <x:c r="D314" s="12" t="n">
        <x:v>73</x:v>
      </x:c>
      <x:c r="E314" s="12" t="n">
        <x:v>0</x:v>
      </x:c>
      <x:c r="F314" s="12" t="str">
        <x:v>未记录</x:v>
      </x:c>
      <x:c r="G314" s="12" t="n">
        <x:v>1</x:v>
      </x:c>
      <x:c r="H314" s="12" t="str">
        <x:v>{'IMI': 100.0, 'SR': 0.0}</x:v>
      </x:c>
      <x:c r="I314" s="12" t="str">
        <x:v>[('NSR', 100.0), ('IMI;AU', 100.0), ('AB', 100.0)]</x:v>
      </x:c>
      <x:c r="J314" s="12" t="str">
        <x:v>ptbxl_database.csv；ecg_id=2422；scp_codes</x:v>
      </x:c>
      <x:c r="K314" s="12" t="str">
        <x:v>12sl_statements.csv；ecg_id=2422；statements_ext_snomed</x:v>
      </x:c>
      <x:c r="L314" s="12"/>
      <x:c r="M314" s="12" t="str">
        <x:v>negative</x:v>
      </x:c>
      <x:c r="N314" s="12"/>
      <x:c r="O314" s="12" t="str">
        <x:v>negative</x:v>
      </x:c>
      <x:c r="P314" s="12" t="str">
        <x:f>IF(OR(M314="unavailable",O314="unavailable"),"不可评价",IF(OR(M314="equivocal",O314="equivocal"),"疑似",IF(AND(M314="positive",O314="positive"),"a",IF(O314="positive","b",IF(M314="positive","c","d")))))</x:f>
        <x:v>d</x:v>
      </x:c>
      <x:c r="Q314" s="12"/>
      <x:c r="R314" s="12" t="str">
        <x:v>negative</x:v>
      </x:c>
      <x:c r="S314" s="12"/>
      <x:c r="T314" s="12" t="str">
        <x:v>negative</x:v>
      </x:c>
      <x:c r="U314" s="12" t="str">
        <x:f>IF(OR(R314="unavailable",T314="unavailable"),"不可评价",IF(OR(R314="equivocal",T314="equivocal"),"疑似",IF(AND(R314="positive",T314="positive"),"a",IF(T314="positive","b",IF(R314="positive","c","d")))))</x:f>
        <x:v>d</x:v>
      </x:c>
      <x:c r="V314" s="12"/>
      <x:c r="W314" s="12" t="str">
        <x:v>negative</x:v>
      </x:c>
      <x:c r="X314" s="12"/>
      <x:c r="Y314" s="12" t="str">
        <x:v>negative</x:v>
      </x:c>
      <x:c r="Z314" s="12" t="str">
        <x:f>IF(OR(W314="unavailable",Y314="unavailable"),"不可评价",IF(OR(W314="equivocal",Y314="equivocal"),"疑似",IF(AND(W314="positive",Y314="positive"),"a",IF(Y314="positive","b",IF(W314="positive","c","d")))))</x:f>
        <x:v>d</x:v>
      </x:c>
      <x:c r="AA314" s="12" t="str">
        <x:f>IF(OR(M314="unavailable",O314="unavailable"),"不可评价",IF(AND(OR(M314="positive",M314="equivocal"),OR(O314="positive",O314="equivocal")),"a",IF(OR(O314="positive",O314="equivocal"),"b",IF(OR(M314="positive",M314="equivocal"),"c","d"))))</x:f>
        <x:v>d</x:v>
      </x:c>
      <x:c r="AB314" s="12" t="str">
        <x:f>IF(OR(M314="unavailable",O314="unavailable"),"不可评价",IF(AND(M314="positive",O314="positive"),"a",IF(O314="positive","b",IF(M314="positive","c","d"))))</x:f>
        <x:v>d</x:v>
      </x:c>
      <x:c r="AC314" s="12" t="str">
        <x:f>IF(OR(R314="unavailable",T314="unavailable"),"不可评价",IF(AND(OR(R314="positive",R314="equivocal"),OR(T314="positive",T314="equivocal")),"a",IF(OR(T314="positive",T314="equivocal"),"b",IF(OR(R314="positive",R314="equivocal"),"c","d"))))</x:f>
        <x:v>d</x:v>
      </x:c>
      <x:c r="AD314" s="12" t="str">
        <x:f>IF(OR(R314="unavailable",T314="unavailable"),"不可评价",IF(AND(R314="positive",T314="positive"),"a",IF(T314="positive","b",IF(R314="positive","c","d"))))</x:f>
        <x:v>d</x:v>
      </x:c>
      <x:c r="AE314" s="12" t="str">
        <x:f>IF(OR(W314="unavailable",Y314="unavailable"),"不可评价",IF(AND(OR(W314="positive",W314="equivocal"),OR(Y314="positive",Y314="equivocal")),"a",IF(OR(Y314="positive",Y314="equivocal"),"b",IF(OR(W314="positive",W314="equivocal"),"c","d"))))</x:f>
        <x:v>d</x:v>
      </x:c>
      <x:c r="AF314" s="12" t="str">
        <x:f>IF(OR(W314="unavailable",Y314="unavailable"),"不可评价",IF(AND(W314="positive",Y314="positive"),"a",IF(Y314="positive","b",IF(W314="positive","c","d"))))</x:f>
        <x:v>d</x:v>
      </x:c>
    </x:row>
    <x:row r="315" ht="24" customHeight="1">
      <x:c r="A315" s="12" t="str">
        <x:v>2427</x:v>
      </x:c>
      <x:c r="B315" s="12" t="str">
        <x:v>16319</x:v>
      </x:c>
      <x:c r="C315" s="21" t="n">
        <x:v>32517.442488425924</x:v>
      </x:c>
      <x:c r="D315" s="12" t="n">
        <x:v>32</x:v>
      </x:c>
      <x:c r="E315" s="12" t="n">
        <x:v>0</x:v>
      </x:c>
      <x:c r="F315" s="12" t="str">
        <x:v>未记录</x:v>
      </x:c>
      <x:c r="G315" s="12" t="n">
        <x:v>1</x:v>
      </x:c>
      <x:c r="H315" s="12" t="str">
        <x:v>{'NORM': 100.0, 'SR': 0.0}</x:v>
      </x:c>
      <x:c r="I315" s="12" t="str">
        <x:v>[('NSR', 100.0), ('NML', 100.0)]</x:v>
      </x:c>
      <x:c r="J315" s="12" t="str">
        <x:v>ptbxl_database.csv；ecg_id=2427；scp_codes</x:v>
      </x:c>
      <x:c r="K315" s="12" t="str">
        <x:v>12sl_statements.csv；ecg_id=2427；statements_ext_snomed</x:v>
      </x:c>
      <x:c r="L315" s="12"/>
      <x:c r="M315" s="12" t="str">
        <x:v>negative</x:v>
      </x:c>
      <x:c r="N315" s="12"/>
      <x:c r="O315" s="12" t="str">
        <x:v>negative</x:v>
      </x:c>
      <x:c r="P315" s="12" t="str">
        <x:f>IF(OR(M315="unavailable",O315="unavailable"),"不可评价",IF(OR(M315="equivocal",O315="equivocal"),"疑似",IF(AND(M315="positive",O315="positive"),"a",IF(O315="positive","b",IF(M315="positive","c","d")))))</x:f>
        <x:v>d</x:v>
      </x:c>
      <x:c r="Q315" s="12"/>
      <x:c r="R315" s="12" t="str">
        <x:v>negative</x:v>
      </x:c>
      <x:c r="S315" s="12"/>
      <x:c r="T315" s="12" t="str">
        <x:v>negative</x:v>
      </x:c>
      <x:c r="U315" s="12" t="str">
        <x:f>IF(OR(R315="unavailable",T315="unavailable"),"不可评价",IF(OR(R315="equivocal",T315="equivocal"),"疑似",IF(AND(R315="positive",T315="positive"),"a",IF(T315="positive","b",IF(R315="positive","c","d")))))</x:f>
        <x:v>d</x:v>
      </x:c>
      <x:c r="V315" s="12"/>
      <x:c r="W315" s="12" t="str">
        <x:v>negative</x:v>
      </x:c>
      <x:c r="X315" s="12"/>
      <x:c r="Y315" s="12" t="str">
        <x:v>negative</x:v>
      </x:c>
      <x:c r="Z315" s="12" t="str">
        <x:f>IF(OR(W315="unavailable",Y315="unavailable"),"不可评价",IF(OR(W315="equivocal",Y315="equivocal"),"疑似",IF(AND(W315="positive",Y315="positive"),"a",IF(Y315="positive","b",IF(W315="positive","c","d")))))</x:f>
        <x:v>d</x:v>
      </x:c>
      <x:c r="AA315" s="12" t="str">
        <x:f>IF(OR(M315="unavailable",O315="unavailable"),"不可评价",IF(AND(OR(M315="positive",M315="equivocal"),OR(O315="positive",O315="equivocal")),"a",IF(OR(O315="positive",O315="equivocal"),"b",IF(OR(M315="positive",M315="equivocal"),"c","d"))))</x:f>
        <x:v>d</x:v>
      </x:c>
      <x:c r="AB315" s="12" t="str">
        <x:f>IF(OR(M315="unavailable",O315="unavailable"),"不可评价",IF(AND(M315="positive",O315="positive"),"a",IF(O315="positive","b",IF(M315="positive","c","d"))))</x:f>
        <x:v>d</x:v>
      </x:c>
      <x:c r="AC315" s="12" t="str">
        <x:f>IF(OR(R315="unavailable",T315="unavailable"),"不可评价",IF(AND(OR(R315="positive",R315="equivocal"),OR(T315="positive",T315="equivocal")),"a",IF(OR(T315="positive",T315="equivocal"),"b",IF(OR(R315="positive",R315="equivocal"),"c","d"))))</x:f>
        <x:v>d</x:v>
      </x:c>
      <x:c r="AD315" s="12" t="str">
        <x:f>IF(OR(R315="unavailable",T315="unavailable"),"不可评价",IF(AND(R315="positive",T315="positive"),"a",IF(T315="positive","b",IF(R315="positive","c","d"))))</x:f>
        <x:v>d</x:v>
      </x:c>
      <x:c r="AE315" s="12" t="str">
        <x:f>IF(OR(W315="unavailable",Y315="unavailable"),"不可评价",IF(AND(OR(W315="positive",W315="equivocal"),OR(Y315="positive",Y315="equivocal")),"a",IF(OR(Y315="positive",Y315="equivocal"),"b",IF(OR(W315="positive",W315="equivocal"),"c","d"))))</x:f>
        <x:v>d</x:v>
      </x:c>
      <x:c r="AF315" s="12" t="str">
        <x:f>IF(OR(W315="unavailable",Y315="unavailable"),"不可评价",IF(AND(W315="positive",Y315="positive"),"a",IF(Y315="positive","b",IF(W315="positive","c","d"))))</x:f>
        <x:v>d</x:v>
      </x:c>
    </x:row>
    <x:row r="316" ht="24" customHeight="1">
      <x:c r="A316" s="12" t="str">
        <x:v>2432</x:v>
      </x:c>
      <x:c r="B316" s="12" t="str">
        <x:v>18899</x:v>
      </x:c>
      <x:c r="C316" s="21" t="n">
        <x:v>32519.525405092594</x:v>
      </x:c>
      <x:c r="D316" s="12" t="n">
        <x:v>19</x:v>
      </x:c>
      <x:c r="E316" s="12" t="n">
        <x:v>1</x:v>
      </x:c>
      <x:c r="F316" s="12" t="str">
        <x:v>未记录</x:v>
      </x:c>
      <x:c r="G316" s="12" t="n">
        <x:v>1</x:v>
      </x:c>
      <x:c r="H316" s="12" t="str">
        <x:v>{'NORM': 100.0, 'SARRH': 0.0}</x:v>
      </x:c>
      <x:c r="I316" s="12" t="str">
        <x:v>[('SBRAD', 100.0), ('SAR', 100.0), ('ABR', 100.0)]</x:v>
      </x:c>
      <x:c r="J316" s="12" t="str">
        <x:v>ptbxl_database.csv；ecg_id=2432；scp_codes</x:v>
      </x:c>
      <x:c r="K316" s="12" t="str">
        <x:v>12sl_statements.csv；ecg_id=2432；statements_ext_snomed</x:v>
      </x:c>
      <x:c r="L316" s="12"/>
      <x:c r="M316" s="12" t="str">
        <x:v>negative</x:v>
      </x:c>
      <x:c r="N316" s="12"/>
      <x:c r="O316" s="12" t="str">
        <x:v>negative</x:v>
      </x:c>
      <x:c r="P316" s="12" t="str">
        <x:f>IF(OR(M316="unavailable",O316="unavailable"),"不可评价",IF(OR(M316="equivocal",O316="equivocal"),"疑似",IF(AND(M316="positive",O316="positive"),"a",IF(O316="positive","b",IF(M316="positive","c","d")))))</x:f>
        <x:v>d</x:v>
      </x:c>
      <x:c r="Q316" s="12"/>
      <x:c r="R316" s="12" t="str">
        <x:v>negative</x:v>
      </x:c>
      <x:c r="S316" s="12"/>
      <x:c r="T316" s="12" t="str">
        <x:v>negative</x:v>
      </x:c>
      <x:c r="U316" s="12" t="str">
        <x:f>IF(OR(R316="unavailable",T316="unavailable"),"不可评价",IF(OR(R316="equivocal",T316="equivocal"),"疑似",IF(AND(R316="positive",T316="positive"),"a",IF(T316="positive","b",IF(R316="positive","c","d")))))</x:f>
        <x:v>d</x:v>
      </x:c>
      <x:c r="V316" s="12"/>
      <x:c r="W316" s="12" t="str">
        <x:v>negative</x:v>
      </x:c>
      <x:c r="X316" s="12"/>
      <x:c r="Y316" s="12" t="str">
        <x:v>negative</x:v>
      </x:c>
      <x:c r="Z316" s="12" t="str">
        <x:f>IF(OR(W316="unavailable",Y316="unavailable"),"不可评价",IF(OR(W316="equivocal",Y316="equivocal"),"疑似",IF(AND(W316="positive",Y316="positive"),"a",IF(Y316="positive","b",IF(W316="positive","c","d")))))</x:f>
        <x:v>d</x:v>
      </x:c>
      <x:c r="AA316" s="12" t="str">
        <x:f>IF(OR(M316="unavailable",O316="unavailable"),"不可评价",IF(AND(OR(M316="positive",M316="equivocal"),OR(O316="positive",O316="equivocal")),"a",IF(OR(O316="positive",O316="equivocal"),"b",IF(OR(M316="positive",M316="equivocal"),"c","d"))))</x:f>
        <x:v>d</x:v>
      </x:c>
      <x:c r="AB316" s="12" t="str">
        <x:f>IF(OR(M316="unavailable",O316="unavailable"),"不可评价",IF(AND(M316="positive",O316="positive"),"a",IF(O316="positive","b",IF(M316="positive","c","d"))))</x:f>
        <x:v>d</x:v>
      </x:c>
      <x:c r="AC316" s="12" t="str">
        <x:f>IF(OR(R316="unavailable",T316="unavailable"),"不可评价",IF(AND(OR(R316="positive",R316="equivocal"),OR(T316="positive",T316="equivocal")),"a",IF(OR(T316="positive",T316="equivocal"),"b",IF(OR(R316="positive",R316="equivocal"),"c","d"))))</x:f>
        <x:v>d</x:v>
      </x:c>
      <x:c r="AD316" s="12" t="str">
        <x:f>IF(OR(R316="unavailable",T316="unavailable"),"不可评价",IF(AND(R316="positive",T316="positive"),"a",IF(T316="positive","b",IF(R316="positive","c","d"))))</x:f>
        <x:v>d</x:v>
      </x:c>
      <x:c r="AE316" s="12" t="str">
        <x:f>IF(OR(W316="unavailable",Y316="unavailable"),"不可评价",IF(AND(OR(W316="positive",W316="equivocal"),OR(Y316="positive",Y316="equivocal")),"a",IF(OR(Y316="positive",Y316="equivocal"),"b",IF(OR(W316="positive",W316="equivocal"),"c","d"))))</x:f>
        <x:v>d</x:v>
      </x:c>
      <x:c r="AF316" s="12" t="str">
        <x:f>IF(OR(W316="unavailable",Y316="unavailable"),"不可评价",IF(AND(W316="positive",Y316="positive"),"a",IF(Y316="positive","b",IF(W316="positive","c","d"))))</x:f>
        <x:v>d</x:v>
      </x:c>
    </x:row>
    <x:row r="317" ht="24" customHeight="1">
      <x:c r="A317" s="12" t="str">
        <x:v>2433</x:v>
      </x:c>
      <x:c r="B317" s="12" t="str">
        <x:v>21554</x:v>
      </x:c>
      <x:c r="C317" s="21" t="n">
        <x:v>32519.68291666667</x:v>
      </x:c>
      <x:c r="D317" s="12" t="n">
        <x:v>43</x:v>
      </x:c>
      <x:c r="E317" s="12" t="n">
        <x:v>1</x:v>
      </x:c>
      <x:c r="F317" s="12" t="str">
        <x:v>存在</x:v>
      </x:c>
      <x:c r="G317" s="12" t="n">
        <x:v>1</x:v>
      </x:c>
      <x:c r="H317" s="12" t="str">
        <x:v>{'CRBBB': 100.0, 'SR': 0.0}</x:v>
      </x:c>
      <x:c r="I317" s="12" t="str">
        <x:v>[('SBRAD', 100.0), ('SPR', 100.0), ('RBBB', 100.0), ('AB', 100.0)]</x:v>
      </x:c>
      <x:c r="J317" s="12" t="str">
        <x:v>ptbxl_database.csv；ecg_id=2433；scp_codes</x:v>
      </x:c>
      <x:c r="K317" s="12" t="str">
        <x:v>12sl_statements.csv；ecg_id=2433；statements_ext_snomed</x:v>
      </x:c>
      <x:c r="L317" s="12"/>
      <x:c r="M317" s="12" t="str">
        <x:v>negative</x:v>
      </x:c>
      <x:c r="N317" s="12"/>
      <x:c r="O317" s="12" t="str">
        <x:v>negative</x:v>
      </x:c>
      <x:c r="P317" s="12" t="str">
        <x:f>IF(OR(M317="unavailable",O317="unavailable"),"不可评价",IF(OR(M317="equivocal",O317="equivocal"),"疑似",IF(AND(M317="positive",O317="positive"),"a",IF(O317="positive","b",IF(M317="positive","c","d")))))</x:f>
        <x:v>d</x:v>
      </x:c>
      <x:c r="Q317" s="12"/>
      <x:c r="R317" s="12" t="str">
        <x:v>negative</x:v>
      </x:c>
      <x:c r="S317" s="12"/>
      <x:c r="T317" s="12" t="str">
        <x:v>negative</x:v>
      </x:c>
      <x:c r="U317" s="12" t="str">
        <x:f>IF(OR(R317="unavailable",T317="unavailable"),"不可评价",IF(OR(R317="equivocal",T317="equivocal"),"疑似",IF(AND(R317="positive",T317="positive"),"a",IF(T317="positive","b",IF(R317="positive","c","d")))))</x:f>
        <x:v>d</x:v>
      </x:c>
      <x:c r="V317" s="12" t="n">
        <x:v>100</x:v>
      </x:c>
      <x:c r="W317" s="12" t="str">
        <x:v>positive</x:v>
      </x:c>
      <x:c r="X317" s="12" t="n">
        <x:v>100</x:v>
      </x:c>
      <x:c r="Y317" s="12" t="str">
        <x:v>positive</x:v>
      </x:c>
      <x:c r="Z317" s="12" t="str">
        <x:f>IF(OR(W317="unavailable",Y317="unavailable"),"不可评价",IF(OR(W317="equivocal",Y317="equivocal"),"疑似",IF(AND(W317="positive",Y317="positive"),"a",IF(Y317="positive","b",IF(W317="positive","c","d")))))</x:f>
        <x:v>a</x:v>
      </x:c>
      <x:c r="AA317" s="12" t="str">
        <x:f>IF(OR(M317="unavailable",O317="unavailable"),"不可评价",IF(AND(OR(M317="positive",M317="equivocal"),OR(O317="positive",O317="equivocal")),"a",IF(OR(O317="positive",O317="equivocal"),"b",IF(OR(M317="positive",M317="equivocal"),"c","d"))))</x:f>
        <x:v>d</x:v>
      </x:c>
      <x:c r="AB317" s="12" t="str">
        <x:f>IF(OR(M317="unavailable",O317="unavailable"),"不可评价",IF(AND(M317="positive",O317="positive"),"a",IF(O317="positive","b",IF(M317="positive","c","d"))))</x:f>
        <x:v>d</x:v>
      </x:c>
      <x:c r="AC317" s="12" t="str">
        <x:f>IF(OR(R317="unavailable",T317="unavailable"),"不可评价",IF(AND(OR(R317="positive",R317="equivocal"),OR(T317="positive",T317="equivocal")),"a",IF(OR(T317="positive",T317="equivocal"),"b",IF(OR(R317="positive",R317="equivocal"),"c","d"))))</x:f>
        <x:v>d</x:v>
      </x:c>
      <x:c r="AD317" s="12" t="str">
        <x:f>IF(OR(R317="unavailable",T317="unavailable"),"不可评价",IF(AND(R317="positive",T317="positive"),"a",IF(T317="positive","b",IF(R317="positive","c","d"))))</x:f>
        <x:v>d</x:v>
      </x:c>
      <x:c r="AE317" s="12" t="str">
        <x:f>IF(OR(W317="unavailable",Y317="unavailable"),"不可评价",IF(AND(OR(W317="positive",W317="equivocal"),OR(Y317="positive",Y317="equivocal")),"a",IF(OR(Y317="positive",Y317="equivocal"),"b",IF(OR(W317="positive",W317="equivocal"),"c","d"))))</x:f>
        <x:v>a</x:v>
      </x:c>
      <x:c r="AF317" s="12" t="str">
        <x:f>IF(OR(W317="unavailable",Y317="unavailable"),"不可评价",IF(AND(W317="positive",Y317="positive"),"a",IF(Y317="positive","b",IF(W317="positive","c","d"))))</x:f>
        <x:v>a</x:v>
      </x:c>
    </x:row>
    <x:row r="318" ht="24" customHeight="1">
      <x:c r="A318" s="12" t="str">
        <x:v>2449</x:v>
      </x:c>
      <x:c r="B318" s="12" t="str">
        <x:v>14511</x:v>
      </x:c>
      <x:c r="C318" s="21" t="n">
        <x:v>32530.525636574075</x:v>
      </x:c>
      <x:c r="D318" s="12" t="n">
        <x:v>52</x:v>
      </x:c>
      <x:c r="E318" s="12" t="n">
        <x:v>0</x:v>
      </x:c>
      <x:c r="F318" s="12" t="str">
        <x:v>未记录</x:v>
      </x:c>
      <x:c r="G318" s="12" t="n">
        <x:v>1</x:v>
      </x:c>
      <x:c r="H318" s="12" t="str">
        <x:v>{'NORM': 80.0, 'SR': 0.0}</x:v>
      </x:c>
      <x:c r="I318" s="12" t="str">
        <x:v>[('NSR', 100.0), ('NML', 100.0)]</x:v>
      </x:c>
      <x:c r="J318" s="12" t="str">
        <x:v>ptbxl_database.csv；ecg_id=2449；scp_codes</x:v>
      </x:c>
      <x:c r="K318" s="12" t="str">
        <x:v>12sl_statements.csv；ecg_id=2449；statements_ext_snomed</x:v>
      </x:c>
      <x:c r="L318" s="12"/>
      <x:c r="M318" s="12" t="str">
        <x:v>negative</x:v>
      </x:c>
      <x:c r="N318" s="12"/>
      <x:c r="O318" s="12" t="str">
        <x:v>negative</x:v>
      </x:c>
      <x:c r="P318" s="12" t="str">
        <x:f>IF(OR(M318="unavailable",O318="unavailable"),"不可评价",IF(OR(M318="equivocal",O318="equivocal"),"疑似",IF(AND(M318="positive",O318="positive"),"a",IF(O318="positive","b",IF(M318="positive","c","d")))))</x:f>
        <x:v>d</x:v>
      </x:c>
      <x:c r="Q318" s="12"/>
      <x:c r="R318" s="12" t="str">
        <x:v>negative</x:v>
      </x:c>
      <x:c r="S318" s="12"/>
      <x:c r="T318" s="12" t="str">
        <x:v>negative</x:v>
      </x:c>
      <x:c r="U318" s="12" t="str">
        <x:f>IF(OR(R318="unavailable",T318="unavailable"),"不可评价",IF(OR(R318="equivocal",T318="equivocal"),"疑似",IF(AND(R318="positive",T318="positive"),"a",IF(T318="positive","b",IF(R318="positive","c","d")))))</x:f>
        <x:v>d</x:v>
      </x:c>
      <x:c r="V318" s="12"/>
      <x:c r="W318" s="12" t="str">
        <x:v>negative</x:v>
      </x:c>
      <x:c r="X318" s="12"/>
      <x:c r="Y318" s="12" t="str">
        <x:v>negative</x:v>
      </x:c>
      <x:c r="Z318" s="12" t="str">
        <x:f>IF(OR(W318="unavailable",Y318="unavailable"),"不可评价",IF(OR(W318="equivocal",Y318="equivocal"),"疑似",IF(AND(W318="positive",Y318="positive"),"a",IF(Y318="positive","b",IF(W318="positive","c","d")))))</x:f>
        <x:v>d</x:v>
      </x:c>
      <x:c r="AA318" s="12" t="str">
        <x:f>IF(OR(M318="unavailable",O318="unavailable"),"不可评价",IF(AND(OR(M318="positive",M318="equivocal"),OR(O318="positive",O318="equivocal")),"a",IF(OR(O318="positive",O318="equivocal"),"b",IF(OR(M318="positive",M318="equivocal"),"c","d"))))</x:f>
        <x:v>d</x:v>
      </x:c>
      <x:c r="AB318" s="12" t="str">
        <x:f>IF(OR(M318="unavailable",O318="unavailable"),"不可评价",IF(AND(M318="positive",O318="positive"),"a",IF(O318="positive","b",IF(M318="positive","c","d"))))</x:f>
        <x:v>d</x:v>
      </x:c>
      <x:c r="AC318" s="12" t="str">
        <x:f>IF(OR(R318="unavailable",T318="unavailable"),"不可评价",IF(AND(OR(R318="positive",R318="equivocal"),OR(T318="positive",T318="equivocal")),"a",IF(OR(T318="positive",T318="equivocal"),"b",IF(OR(R318="positive",R318="equivocal"),"c","d"))))</x:f>
        <x:v>d</x:v>
      </x:c>
      <x:c r="AD318" s="12" t="str">
        <x:f>IF(OR(R318="unavailable",T318="unavailable"),"不可评价",IF(AND(R318="positive",T318="positive"),"a",IF(T318="positive","b",IF(R318="positive","c","d"))))</x:f>
        <x:v>d</x:v>
      </x:c>
      <x:c r="AE318" s="12" t="str">
        <x:f>IF(OR(W318="unavailable",Y318="unavailable"),"不可评价",IF(AND(OR(W318="positive",W318="equivocal"),OR(Y318="positive",Y318="equivocal")),"a",IF(OR(Y318="positive",Y318="equivocal"),"b",IF(OR(W318="positive",W318="equivocal"),"c","d"))))</x:f>
        <x:v>d</x:v>
      </x:c>
      <x:c r="AF318" s="12" t="str">
        <x:f>IF(OR(W318="unavailable",Y318="unavailable"),"不可评价",IF(AND(W318="positive",Y318="positive"),"a",IF(Y318="positive","b",IF(W318="positive","c","d"))))</x:f>
        <x:v>d</x:v>
      </x:c>
    </x:row>
    <x:row r="319" ht="24" customHeight="1">
      <x:c r="A319" s="12" t="str">
        <x:v>2455</x:v>
      </x:c>
      <x:c r="B319" s="12" t="str">
        <x:v>7416</x:v>
      </x:c>
      <x:c r="C319" s="21" t="n">
        <x:v>32535.607581018518</x:v>
      </x:c>
      <x:c r="D319" s="12" t="n">
        <x:v>76</x:v>
      </x:c>
      <x:c r="E319" s="12" t="n">
        <x:v>1</x:v>
      </x:c>
      <x:c r="F319" s="12" t="str">
        <x:v>未记录</x:v>
      </x:c>
      <x:c r="G319" s="12" t="n">
        <x:v>1</x:v>
      </x:c>
      <x:c r="H319" s="12" t="str">
        <x:v>{'NORM': 100.0, 'PVC': 0.0, 'STACH': 0.0}</x:v>
      </x:c>
      <x:c r="I319" s="12" t="str">
        <x:v>[('SRTH', 100.0), ('PVC', 100.0), ('IMI;AU', 100.0), ('AB', 100.0)]</x:v>
      </x:c>
      <x:c r="J319" s="12" t="str">
        <x:v>ptbxl_database.csv；ecg_id=2455；scp_codes</x:v>
      </x:c>
      <x:c r="K319" s="12" t="str">
        <x:v>12sl_statements.csv；ecg_id=2455；statements_ext_snomed</x:v>
      </x:c>
      <x:c r="L319" s="12"/>
      <x:c r="M319" s="12" t="str">
        <x:v>negative</x:v>
      </x:c>
      <x:c r="N319" s="12"/>
      <x:c r="O319" s="12" t="str">
        <x:v>negative</x:v>
      </x:c>
      <x:c r="P319" s="12" t="str">
        <x:f>IF(OR(M319="unavailable",O319="unavailable"),"不可评价",IF(OR(M319="equivocal",O319="equivocal"),"疑似",IF(AND(M319="positive",O319="positive"),"a",IF(O319="positive","b",IF(M319="positive","c","d")))))</x:f>
        <x:v>d</x:v>
      </x:c>
      <x:c r="Q319" s="12"/>
      <x:c r="R319" s="12" t="str">
        <x:v>negative</x:v>
      </x:c>
      <x:c r="S319" s="12"/>
      <x:c r="T319" s="12" t="str">
        <x:v>negative</x:v>
      </x:c>
      <x:c r="U319" s="12" t="str">
        <x:f>IF(OR(R319="unavailable",T319="unavailable"),"不可评价",IF(OR(R319="equivocal",T319="equivocal"),"疑似",IF(AND(R319="positive",T319="positive"),"a",IF(T319="positive","b",IF(R319="positive","c","d")))))</x:f>
        <x:v>d</x:v>
      </x:c>
      <x:c r="V319" s="12"/>
      <x:c r="W319" s="12" t="str">
        <x:v>negative</x:v>
      </x:c>
      <x:c r="X319" s="12"/>
      <x:c r="Y319" s="12" t="str">
        <x:v>negative</x:v>
      </x:c>
      <x:c r="Z319" s="12" t="str">
        <x:f>IF(OR(W319="unavailable",Y319="unavailable"),"不可评价",IF(OR(W319="equivocal",Y319="equivocal"),"疑似",IF(AND(W319="positive",Y319="positive"),"a",IF(Y319="positive","b",IF(W319="positive","c","d")))))</x:f>
        <x:v>d</x:v>
      </x:c>
      <x:c r="AA319" s="12" t="str">
        <x:f>IF(OR(M319="unavailable",O319="unavailable"),"不可评价",IF(AND(OR(M319="positive",M319="equivocal"),OR(O319="positive",O319="equivocal")),"a",IF(OR(O319="positive",O319="equivocal"),"b",IF(OR(M319="positive",M319="equivocal"),"c","d"))))</x:f>
        <x:v>d</x:v>
      </x:c>
      <x:c r="AB319" s="12" t="str">
        <x:f>IF(OR(M319="unavailable",O319="unavailable"),"不可评价",IF(AND(M319="positive",O319="positive"),"a",IF(O319="positive","b",IF(M319="positive","c","d"))))</x:f>
        <x:v>d</x:v>
      </x:c>
      <x:c r="AC319" s="12" t="str">
        <x:f>IF(OR(R319="unavailable",T319="unavailable"),"不可评价",IF(AND(OR(R319="positive",R319="equivocal"),OR(T319="positive",T319="equivocal")),"a",IF(OR(T319="positive",T319="equivocal"),"b",IF(OR(R319="positive",R319="equivocal"),"c","d"))))</x:f>
        <x:v>d</x:v>
      </x:c>
      <x:c r="AD319" s="12" t="str">
        <x:f>IF(OR(R319="unavailable",T319="unavailable"),"不可评价",IF(AND(R319="positive",T319="positive"),"a",IF(T319="positive","b",IF(R319="positive","c","d"))))</x:f>
        <x:v>d</x:v>
      </x:c>
      <x:c r="AE319" s="12" t="str">
        <x:f>IF(OR(W319="unavailable",Y319="unavailable"),"不可评价",IF(AND(OR(W319="positive",W319="equivocal"),OR(Y319="positive",Y319="equivocal")),"a",IF(OR(Y319="positive",Y319="equivocal"),"b",IF(OR(W319="positive",W319="equivocal"),"c","d"))))</x:f>
        <x:v>d</x:v>
      </x:c>
      <x:c r="AF319" s="12" t="str">
        <x:f>IF(OR(W319="unavailable",Y319="unavailable"),"不可评价",IF(AND(W319="positive",Y319="positive"),"a",IF(Y319="positive","b",IF(W319="positive","c","d"))))</x:f>
        <x:v>d</x:v>
      </x:c>
    </x:row>
    <x:row r="320" ht="24" customHeight="1">
      <x:c r="A320" s="12" t="str">
        <x:v>2473</x:v>
      </x:c>
      <x:c r="B320" s="12" t="str">
        <x:v>4913</x:v>
      </x:c>
      <x:c r="C320" s="21" t="n">
        <x:v>32538.63388888889</x:v>
      </x:c>
      <x:c r="D320" s="12" t="n">
        <x:v>63</x:v>
      </x:c>
      <x:c r="E320" s="12" t="n">
        <x:v>0</x:v>
      </x:c>
      <x:c r="F320" s="12" t="str">
        <x:v>未记录</x:v>
      </x:c>
      <x:c r="G320" s="12" t="n">
        <x:v>1</x:v>
      </x:c>
      <x:c r="H320" s="12" t="str">
        <x:v>{'LVH': 15.0, 'VCLVH': 0.0, 'SR': 0.0}</x:v>
      </x:c>
      <x:c r="I320" s="12" t="str">
        <x:v>[('NSR', 100.0), ('LAE', 50.0), ('BORDE', 100.0)]</x:v>
      </x:c>
      <x:c r="J320" s="12" t="str">
        <x:v>ptbxl_database.csv；ecg_id=2473；scp_codes</x:v>
      </x:c>
      <x:c r="K320" s="12" t="str">
        <x:v>12sl_statements.csv；ecg_id=2473；statements_ext_snomed</x:v>
      </x:c>
      <x:c r="L320" s="12"/>
      <x:c r="M320" s="12" t="str">
        <x:v>negative</x:v>
      </x:c>
      <x:c r="N320" s="12"/>
      <x:c r="O320" s="12" t="str">
        <x:v>negative</x:v>
      </x:c>
      <x:c r="P320" s="12" t="str">
        <x:f>IF(OR(M320="unavailable",O320="unavailable"),"不可评价",IF(OR(M320="equivocal",O320="equivocal"),"疑似",IF(AND(M320="positive",O320="positive"),"a",IF(O320="positive","b",IF(M320="positive","c","d")))))</x:f>
        <x:v>d</x:v>
      </x:c>
      <x:c r="Q320" s="12"/>
      <x:c r="R320" s="12" t="str">
        <x:v>negative</x:v>
      </x:c>
      <x:c r="S320" s="12"/>
      <x:c r="T320" s="12" t="str">
        <x:v>negative</x:v>
      </x:c>
      <x:c r="U320" s="12" t="str">
        <x:f>IF(OR(R320="unavailable",T320="unavailable"),"不可评价",IF(OR(R320="equivocal",T320="equivocal"),"疑似",IF(AND(R320="positive",T320="positive"),"a",IF(T320="positive","b",IF(R320="positive","c","d")))))</x:f>
        <x:v>d</x:v>
      </x:c>
      <x:c r="V320" s="12"/>
      <x:c r="W320" s="12" t="str">
        <x:v>negative</x:v>
      </x:c>
      <x:c r="X320" s="12"/>
      <x:c r="Y320" s="12" t="str">
        <x:v>negative</x:v>
      </x:c>
      <x:c r="Z320" s="12" t="str">
        <x:f>IF(OR(W320="unavailable",Y320="unavailable"),"不可评价",IF(OR(W320="equivocal",Y320="equivocal"),"疑似",IF(AND(W320="positive",Y320="positive"),"a",IF(Y320="positive","b",IF(W320="positive","c","d")))))</x:f>
        <x:v>d</x:v>
      </x:c>
      <x:c r="AA320" s="12" t="str">
        <x:f>IF(OR(M320="unavailable",O320="unavailable"),"不可评价",IF(AND(OR(M320="positive",M320="equivocal"),OR(O320="positive",O320="equivocal")),"a",IF(OR(O320="positive",O320="equivocal"),"b",IF(OR(M320="positive",M320="equivocal"),"c","d"))))</x:f>
        <x:v>d</x:v>
      </x:c>
      <x:c r="AB320" s="12" t="str">
        <x:f>IF(OR(M320="unavailable",O320="unavailable"),"不可评价",IF(AND(M320="positive",O320="positive"),"a",IF(O320="positive","b",IF(M320="positive","c","d"))))</x:f>
        <x:v>d</x:v>
      </x:c>
      <x:c r="AC320" s="12" t="str">
        <x:f>IF(OR(R320="unavailable",T320="unavailable"),"不可评价",IF(AND(OR(R320="positive",R320="equivocal"),OR(T320="positive",T320="equivocal")),"a",IF(OR(T320="positive",T320="equivocal"),"b",IF(OR(R320="positive",R320="equivocal"),"c","d"))))</x:f>
        <x:v>d</x:v>
      </x:c>
      <x:c r="AD320" s="12" t="str">
        <x:f>IF(OR(R320="unavailable",T320="unavailable"),"不可评价",IF(AND(R320="positive",T320="positive"),"a",IF(T320="positive","b",IF(R320="positive","c","d"))))</x:f>
        <x:v>d</x:v>
      </x:c>
      <x:c r="AE320" s="12" t="str">
        <x:f>IF(OR(W320="unavailable",Y320="unavailable"),"不可评价",IF(AND(OR(W320="positive",W320="equivocal"),OR(Y320="positive",Y320="equivocal")),"a",IF(OR(Y320="positive",Y320="equivocal"),"b",IF(OR(W320="positive",W320="equivocal"),"c","d"))))</x:f>
        <x:v>d</x:v>
      </x:c>
      <x:c r="AF320" s="12" t="str">
        <x:f>IF(OR(W320="unavailable",Y320="unavailable"),"不可评价",IF(AND(W320="positive",Y320="positive"),"a",IF(Y320="positive","b",IF(W320="positive","c","d"))))</x:f>
        <x:v>d</x:v>
      </x:c>
    </x:row>
    <x:row r="321" ht="24" customHeight="1">
      <x:c r="A321" s="12" t="str">
        <x:v>2476</x:v>
      </x:c>
      <x:c r="B321" s="12" t="str">
        <x:v>10510</x:v>
      </x:c>
      <x:c r="C321" s="21" t="n">
        <x:v>32540.517083333332</x:v>
      </x:c>
      <x:c r="D321" s="12" t="n">
        <x:v>38</x:v>
      </x:c>
      <x:c r="E321" s="12" t="n">
        <x:v>0</x:v>
      </x:c>
      <x:c r="F321" s="12" t="str">
        <x:v>存在</x:v>
      </x:c>
      <x:c r="G321" s="12" t="n">
        <x:v>0</x:v>
      </x:c>
      <x:c r="H321" s="12" t="str">
        <x:v>{'NORM': 100.0, 'SR': 0.0}</x:v>
      </x:c>
      <x:c r="I321" s="12" t="str">
        <x:v>[('NSR', 100.0), ('SERYR2', 100.0), ('BORDE', 100.0)]</x:v>
      </x:c>
      <x:c r="J321" s="12" t="str">
        <x:v>ptbxl_database.csv；ecg_id=2476；scp_codes</x:v>
      </x:c>
      <x:c r="K321" s="12" t="str">
        <x:v>12sl_statements.csv；ecg_id=2476；statements_ext_snomed</x:v>
      </x:c>
      <x:c r="L321" s="12"/>
      <x:c r="M321" s="12" t="str">
        <x:v>negative</x:v>
      </x:c>
      <x:c r="N321" s="12"/>
      <x:c r="O321" s="12" t="str">
        <x:v>negative</x:v>
      </x:c>
      <x:c r="P321" s="12" t="str">
        <x:f>IF(OR(M321="unavailable",O321="unavailable"),"不可评价",IF(OR(M321="equivocal",O321="equivocal"),"疑似",IF(AND(M321="positive",O321="positive"),"a",IF(O321="positive","b",IF(M321="positive","c","d")))))</x:f>
        <x:v>d</x:v>
      </x:c>
      <x:c r="Q321" s="12"/>
      <x:c r="R321" s="12" t="str">
        <x:v>negative</x:v>
      </x:c>
      <x:c r="S321" s="12"/>
      <x:c r="T321" s="12" t="str">
        <x:v>negative</x:v>
      </x:c>
      <x:c r="U321" s="12" t="str">
        <x:f>IF(OR(R321="unavailable",T321="unavailable"),"不可评价",IF(OR(R321="equivocal",T321="equivocal"),"疑似",IF(AND(R321="positive",T321="positive"),"a",IF(T321="positive","b",IF(R321="positive","c","d")))))</x:f>
        <x:v>d</x:v>
      </x:c>
      <x:c r="V321" s="12"/>
      <x:c r="W321" s="12" t="str">
        <x:v>negative</x:v>
      </x:c>
      <x:c r="X321" s="12"/>
      <x:c r="Y321" s="12" t="str">
        <x:v>negative</x:v>
      </x:c>
      <x:c r="Z321" s="12" t="str">
        <x:f>IF(OR(W321="unavailable",Y321="unavailable"),"不可评价",IF(OR(W321="equivocal",Y321="equivocal"),"疑似",IF(AND(W321="positive",Y321="positive"),"a",IF(Y321="positive","b",IF(W321="positive","c","d")))))</x:f>
        <x:v>d</x:v>
      </x:c>
      <x:c r="AA321" s="12" t="str">
        <x:f>IF(OR(M321="unavailable",O321="unavailable"),"不可评价",IF(AND(OR(M321="positive",M321="equivocal"),OR(O321="positive",O321="equivocal")),"a",IF(OR(O321="positive",O321="equivocal"),"b",IF(OR(M321="positive",M321="equivocal"),"c","d"))))</x:f>
        <x:v>d</x:v>
      </x:c>
      <x:c r="AB321" s="12" t="str">
        <x:f>IF(OR(M321="unavailable",O321="unavailable"),"不可评价",IF(AND(M321="positive",O321="positive"),"a",IF(O321="positive","b",IF(M321="positive","c","d"))))</x:f>
        <x:v>d</x:v>
      </x:c>
      <x:c r="AC321" s="12" t="str">
        <x:f>IF(OR(R321="unavailable",T321="unavailable"),"不可评价",IF(AND(OR(R321="positive",R321="equivocal"),OR(T321="positive",T321="equivocal")),"a",IF(OR(T321="positive",T321="equivocal"),"b",IF(OR(R321="positive",R321="equivocal"),"c","d"))))</x:f>
        <x:v>d</x:v>
      </x:c>
      <x:c r="AD321" s="12" t="str">
        <x:f>IF(OR(R321="unavailable",T321="unavailable"),"不可评价",IF(AND(R321="positive",T321="positive"),"a",IF(T321="positive","b",IF(R321="positive","c","d"))))</x:f>
        <x:v>d</x:v>
      </x:c>
      <x:c r="AE321" s="12" t="str">
        <x:f>IF(OR(W321="unavailable",Y321="unavailable"),"不可评价",IF(AND(OR(W321="positive",W321="equivocal"),OR(Y321="positive",Y321="equivocal")),"a",IF(OR(Y321="positive",Y321="equivocal"),"b",IF(OR(W321="positive",W321="equivocal"),"c","d"))))</x:f>
        <x:v>d</x:v>
      </x:c>
      <x:c r="AF321" s="12" t="str">
        <x:f>IF(OR(W321="unavailable",Y321="unavailable"),"不可评价",IF(AND(W321="positive",Y321="positive"),"a",IF(Y321="positive","b",IF(W321="positive","c","d"))))</x:f>
        <x:v>d</x:v>
      </x:c>
    </x:row>
    <x:row r="322" ht="24" customHeight="1">
      <x:c r="A322" s="12" t="str">
        <x:v>2492</x:v>
      </x:c>
      <x:c r="B322" s="12" t="str">
        <x:v>6283</x:v>
      </x:c>
      <x:c r="C322" s="21" t="n">
        <x:v>32549.685833333333</x:v>
      </x:c>
      <x:c r="D322" s="12" t="n">
        <x:v>80</x:v>
      </x:c>
      <x:c r="E322" s="12" t="n">
        <x:v>1</x:v>
      </x:c>
      <x:c r="F322" s="12" t="str">
        <x:v>存在</x:v>
      </x:c>
      <x:c r="G322" s="12" t="n">
        <x:v>1</x:v>
      </x:c>
      <x:c r="H322" s="12" t="str">
        <x:v>{'ASMI': 50.0}</x:v>
      </x:c>
      <x:c r="I322" s="12" t="str">
        <x:v>[('NSR', 100.0), ('AMI;AU', 50.0), ('AB', 100.0)]</x:v>
      </x:c>
      <x:c r="J322" s="12" t="str">
        <x:v>ptbxl_database.csv；ecg_id=2492；scp_codes</x:v>
      </x:c>
      <x:c r="K322" s="12" t="str">
        <x:v>12sl_statements.csv；ecg_id=2492；statements_ext_snomed</x:v>
      </x:c>
      <x:c r="L322" s="12"/>
      <x:c r="M322" s="12" t="str">
        <x:v>negative</x:v>
      </x:c>
      <x:c r="N322" s="12"/>
      <x:c r="O322" s="12" t="str">
        <x:v>negative</x:v>
      </x:c>
      <x:c r="P322" s="12" t="str">
        <x:f>IF(OR(M322="unavailable",O322="unavailable"),"不可评价",IF(OR(M322="equivocal",O322="equivocal"),"疑似",IF(AND(M322="positive",O322="positive"),"a",IF(O322="positive","b",IF(M322="positive","c","d")))))</x:f>
        <x:v>d</x:v>
      </x:c>
      <x:c r="Q322" s="12"/>
      <x:c r="R322" s="12" t="str">
        <x:v>negative</x:v>
      </x:c>
      <x:c r="S322" s="12"/>
      <x:c r="T322" s="12" t="str">
        <x:v>negative</x:v>
      </x:c>
      <x:c r="U322" s="12" t="str">
        <x:f>IF(OR(R322="unavailable",T322="unavailable"),"不可评价",IF(OR(R322="equivocal",T322="equivocal"),"疑似",IF(AND(R322="positive",T322="positive"),"a",IF(T322="positive","b",IF(R322="positive","c","d")))))</x:f>
        <x:v>d</x:v>
      </x:c>
      <x:c r="V322" s="12"/>
      <x:c r="W322" s="12" t="str">
        <x:v>negative</x:v>
      </x:c>
      <x:c r="X322" s="12"/>
      <x:c r="Y322" s="12" t="str">
        <x:v>negative</x:v>
      </x:c>
      <x:c r="Z322" s="12" t="str">
        <x:f>IF(OR(W322="unavailable",Y322="unavailable"),"不可评价",IF(OR(W322="equivocal",Y322="equivocal"),"疑似",IF(AND(W322="positive",Y322="positive"),"a",IF(Y322="positive","b",IF(W322="positive","c","d")))))</x:f>
        <x:v>d</x:v>
      </x:c>
      <x:c r="AA322" s="12" t="str">
        <x:f>IF(OR(M322="unavailable",O322="unavailable"),"不可评价",IF(AND(OR(M322="positive",M322="equivocal"),OR(O322="positive",O322="equivocal")),"a",IF(OR(O322="positive",O322="equivocal"),"b",IF(OR(M322="positive",M322="equivocal"),"c","d"))))</x:f>
        <x:v>d</x:v>
      </x:c>
      <x:c r="AB322" s="12" t="str">
        <x:f>IF(OR(M322="unavailable",O322="unavailable"),"不可评价",IF(AND(M322="positive",O322="positive"),"a",IF(O322="positive","b",IF(M322="positive","c","d"))))</x:f>
        <x:v>d</x:v>
      </x:c>
      <x:c r="AC322" s="12" t="str">
        <x:f>IF(OR(R322="unavailable",T322="unavailable"),"不可评价",IF(AND(OR(R322="positive",R322="equivocal"),OR(T322="positive",T322="equivocal")),"a",IF(OR(T322="positive",T322="equivocal"),"b",IF(OR(R322="positive",R322="equivocal"),"c","d"))))</x:f>
        <x:v>d</x:v>
      </x:c>
      <x:c r="AD322" s="12" t="str">
        <x:f>IF(OR(R322="unavailable",T322="unavailable"),"不可评价",IF(AND(R322="positive",T322="positive"),"a",IF(T322="positive","b",IF(R322="positive","c","d"))))</x:f>
        <x:v>d</x:v>
      </x:c>
      <x:c r="AE322" s="12" t="str">
        <x:f>IF(OR(W322="unavailable",Y322="unavailable"),"不可评价",IF(AND(OR(W322="positive",W322="equivocal"),OR(Y322="positive",Y322="equivocal")),"a",IF(OR(Y322="positive",Y322="equivocal"),"b",IF(OR(W322="positive",W322="equivocal"),"c","d"))))</x:f>
        <x:v>d</x:v>
      </x:c>
      <x:c r="AF322" s="12" t="str">
        <x:f>IF(OR(W322="unavailable",Y322="unavailable"),"不可评价",IF(AND(W322="positive",Y322="positive"),"a",IF(Y322="positive","b",IF(W322="positive","c","d"))))</x:f>
        <x:v>d</x:v>
      </x:c>
    </x:row>
    <x:row r="323" ht="24" customHeight="1">
      <x:c r="A323" s="12" t="str">
        <x:v>2507</x:v>
      </x:c>
      <x:c r="B323" s="12" t="str">
        <x:v>19468</x:v>
      </x:c>
      <x:c r="C323" s="21" t="n">
        <x:v>32560.563923611113</x:v>
      </x:c>
      <x:c r="D323" s="12" t="n">
        <x:v>62</x:v>
      </x:c>
      <x:c r="E323" s="12" t="n">
        <x:v>0</x:v>
      </x:c>
      <x:c r="F323" s="12" t="str">
        <x:v>未记录</x:v>
      </x:c>
      <x:c r="G323" s="12" t="n">
        <x:v>1</x:v>
      </x:c>
      <x:c r="H323" s="12" t="str">
        <x:v>{'NORM': 100.0, 'SR': 0.0}</x:v>
      </x:c>
      <x:c r="I323" s="12" t="str">
        <x:v>[('NSR', 100.0), ('NML', 100.0)]</x:v>
      </x:c>
      <x:c r="J323" s="12" t="str">
        <x:v>ptbxl_database.csv；ecg_id=2507；scp_codes</x:v>
      </x:c>
      <x:c r="K323" s="12" t="str">
        <x:v>12sl_statements.csv；ecg_id=2507；statements_ext_snomed</x:v>
      </x:c>
      <x:c r="L323" s="12"/>
      <x:c r="M323" s="12" t="str">
        <x:v>negative</x:v>
      </x:c>
      <x:c r="N323" s="12"/>
      <x:c r="O323" s="12" t="str">
        <x:v>negative</x:v>
      </x:c>
      <x:c r="P323" s="12" t="str">
        <x:f>IF(OR(M323="unavailable",O323="unavailable"),"不可评价",IF(OR(M323="equivocal",O323="equivocal"),"疑似",IF(AND(M323="positive",O323="positive"),"a",IF(O323="positive","b",IF(M323="positive","c","d")))))</x:f>
        <x:v>d</x:v>
      </x:c>
      <x:c r="Q323" s="12"/>
      <x:c r="R323" s="12" t="str">
        <x:v>negative</x:v>
      </x:c>
      <x:c r="S323" s="12"/>
      <x:c r="T323" s="12" t="str">
        <x:v>negative</x:v>
      </x:c>
      <x:c r="U323" s="12" t="str">
        <x:f>IF(OR(R323="unavailable",T323="unavailable"),"不可评价",IF(OR(R323="equivocal",T323="equivocal"),"疑似",IF(AND(R323="positive",T323="positive"),"a",IF(T323="positive","b",IF(R323="positive","c","d")))))</x:f>
        <x:v>d</x:v>
      </x:c>
      <x:c r="V323" s="12"/>
      <x:c r="W323" s="12" t="str">
        <x:v>negative</x:v>
      </x:c>
      <x:c r="X323" s="12"/>
      <x:c r="Y323" s="12" t="str">
        <x:v>negative</x:v>
      </x:c>
      <x:c r="Z323" s="12" t="str">
        <x:f>IF(OR(W323="unavailable",Y323="unavailable"),"不可评价",IF(OR(W323="equivocal",Y323="equivocal"),"疑似",IF(AND(W323="positive",Y323="positive"),"a",IF(Y323="positive","b",IF(W323="positive","c","d")))))</x:f>
        <x:v>d</x:v>
      </x:c>
      <x:c r="AA323" s="12" t="str">
        <x:f>IF(OR(M323="unavailable",O323="unavailable"),"不可评价",IF(AND(OR(M323="positive",M323="equivocal"),OR(O323="positive",O323="equivocal")),"a",IF(OR(O323="positive",O323="equivocal"),"b",IF(OR(M323="positive",M323="equivocal"),"c","d"))))</x:f>
        <x:v>d</x:v>
      </x:c>
      <x:c r="AB323" s="12" t="str">
        <x:f>IF(OR(M323="unavailable",O323="unavailable"),"不可评价",IF(AND(M323="positive",O323="positive"),"a",IF(O323="positive","b",IF(M323="positive","c","d"))))</x:f>
        <x:v>d</x:v>
      </x:c>
      <x:c r="AC323" s="12" t="str">
        <x:f>IF(OR(R323="unavailable",T323="unavailable"),"不可评价",IF(AND(OR(R323="positive",R323="equivocal"),OR(T323="positive",T323="equivocal")),"a",IF(OR(T323="positive",T323="equivocal"),"b",IF(OR(R323="positive",R323="equivocal"),"c","d"))))</x:f>
        <x:v>d</x:v>
      </x:c>
      <x:c r="AD323" s="12" t="str">
        <x:f>IF(OR(R323="unavailable",T323="unavailable"),"不可评价",IF(AND(R323="positive",T323="positive"),"a",IF(T323="positive","b",IF(R323="positive","c","d"))))</x:f>
        <x:v>d</x:v>
      </x:c>
      <x:c r="AE323" s="12" t="str">
        <x:f>IF(OR(W323="unavailable",Y323="unavailable"),"不可评价",IF(AND(OR(W323="positive",W323="equivocal"),OR(Y323="positive",Y323="equivocal")),"a",IF(OR(Y323="positive",Y323="equivocal"),"b",IF(OR(W323="positive",W323="equivocal"),"c","d"))))</x:f>
        <x:v>d</x:v>
      </x:c>
      <x:c r="AF323" s="12" t="str">
        <x:f>IF(OR(W323="unavailable",Y323="unavailable"),"不可评价",IF(AND(W323="positive",Y323="positive"),"a",IF(Y323="positive","b",IF(W323="positive","c","d"))))</x:f>
        <x:v>d</x:v>
      </x:c>
    </x:row>
    <x:row r="324" ht="24" customHeight="1">
      <x:c r="A324" s="12" t="str">
        <x:v>2549</x:v>
      </x:c>
      <x:c r="B324" s="12" t="str">
        <x:v>21158</x:v>
      </x:c>
      <x:c r="C324" s="21" t="n">
        <x:v>32569.34084490741</x:v>
      </x:c>
      <x:c r="D324" s="12" t="n">
        <x:v>77</x:v>
      </x:c>
      <x:c r="E324" s="12" t="n">
        <x:v>0</x:v>
      </x:c>
      <x:c r="F324" s="12" t="str">
        <x:v>未记录</x:v>
      </x:c>
      <x:c r="G324" s="12" t="n">
        <x:v>1</x:v>
      </x:c>
      <x:c r="H324" s="12" t="str">
        <x:v>{'INJAS': 100.0, 'ISCIL': 100.0, 'AFIB': 0.0}</x:v>
      </x:c>
      <x:c r="I324" s="12" t="str">
        <x:v>[('NSR', 100.0), ('ST&amp;', 100.0), ('LT', 100.0), ('AB', 100.0)]</x:v>
      </x:c>
      <x:c r="J324" s="12" t="str">
        <x:v>ptbxl_database.csv；ecg_id=2549；scp_codes</x:v>
      </x:c>
      <x:c r="K324" s="12" t="str">
        <x:v>12sl_statements.csv；ecg_id=2549；statements_ext_snomed</x:v>
      </x:c>
      <x:c r="L324" s="12" t="n">
        <x:v>0</x:v>
      </x:c>
      <x:c r="M324" s="12" t="str">
        <x:v>positive</x:v>
      </x:c>
      <x:c r="N324" s="12"/>
      <x:c r="O324" s="12" t="str">
        <x:v>negative</x:v>
      </x:c>
      <x:c r="P324" s="12" t="str">
        <x:f>IF(OR(M324="unavailable",O324="unavailable"),"不可评价",IF(OR(M324="equivocal",O324="equivocal"),"疑似",IF(AND(M324="positive",O324="positive"),"a",IF(O324="positive","b",IF(M324="positive","c","d")))))</x:f>
        <x:v>c</x:v>
      </x:c>
      <x:c r="Q324" s="12"/>
      <x:c r="R324" s="12" t="str">
        <x:v>negative</x:v>
      </x:c>
      <x:c r="S324" s="12"/>
      <x:c r="T324" s="12" t="str">
        <x:v>negative</x:v>
      </x:c>
      <x:c r="U324" s="12" t="str">
        <x:f>IF(OR(R324="unavailable",T324="unavailable"),"不可评价",IF(OR(R324="equivocal",T324="equivocal"),"疑似",IF(AND(R324="positive",T324="positive"),"a",IF(T324="positive","b",IF(R324="positive","c","d")))))</x:f>
        <x:v>d</x:v>
      </x:c>
      <x:c r="V324" s="12"/>
      <x:c r="W324" s="12" t="str">
        <x:v>negative</x:v>
      </x:c>
      <x:c r="X324" s="12"/>
      <x:c r="Y324" s="12" t="str">
        <x:v>negative</x:v>
      </x:c>
      <x:c r="Z324" s="12" t="str">
        <x:f>IF(OR(W324="unavailable",Y324="unavailable"),"不可评价",IF(OR(W324="equivocal",Y324="equivocal"),"疑似",IF(AND(W324="positive",Y324="positive"),"a",IF(Y324="positive","b",IF(W324="positive","c","d")))))</x:f>
        <x:v>d</x:v>
      </x:c>
      <x:c r="AA324" s="12" t="str">
        <x:f>IF(OR(M324="unavailable",O324="unavailable"),"不可评价",IF(AND(OR(M324="positive",M324="equivocal"),OR(O324="positive",O324="equivocal")),"a",IF(OR(O324="positive",O324="equivocal"),"b",IF(OR(M324="positive",M324="equivocal"),"c","d"))))</x:f>
        <x:v>c</x:v>
      </x:c>
      <x:c r="AB324" s="12" t="str">
        <x:f>IF(OR(M324="unavailable",O324="unavailable"),"不可评价",IF(AND(M324="positive",O324="positive"),"a",IF(O324="positive","b",IF(M324="positive","c","d"))))</x:f>
        <x:v>c</x:v>
      </x:c>
      <x:c r="AC324" s="12" t="str">
        <x:f>IF(OR(R324="unavailable",T324="unavailable"),"不可评价",IF(AND(OR(R324="positive",R324="equivocal"),OR(T324="positive",T324="equivocal")),"a",IF(OR(T324="positive",T324="equivocal"),"b",IF(OR(R324="positive",R324="equivocal"),"c","d"))))</x:f>
        <x:v>d</x:v>
      </x:c>
      <x:c r="AD324" s="12" t="str">
        <x:f>IF(OR(R324="unavailable",T324="unavailable"),"不可评价",IF(AND(R324="positive",T324="positive"),"a",IF(T324="positive","b",IF(R324="positive","c","d"))))</x:f>
        <x:v>d</x:v>
      </x:c>
      <x:c r="AE324" s="12" t="str">
        <x:f>IF(OR(W324="unavailable",Y324="unavailable"),"不可评价",IF(AND(OR(W324="positive",W324="equivocal"),OR(Y324="positive",Y324="equivocal")),"a",IF(OR(Y324="positive",Y324="equivocal"),"b",IF(OR(W324="positive",W324="equivocal"),"c","d"))))</x:f>
        <x:v>d</x:v>
      </x:c>
      <x:c r="AF324" s="12" t="str">
        <x:f>IF(OR(W324="unavailable",Y324="unavailable"),"不可评价",IF(AND(W324="positive",Y324="positive"),"a",IF(Y324="positive","b",IF(W324="positive","c","d"))))</x:f>
        <x:v>d</x:v>
      </x:c>
    </x:row>
    <x:row r="325" ht="24" customHeight="1">
      <x:c r="A325" s="12" t="str">
        <x:v>2550</x:v>
      </x:c>
      <x:c r="B325" s="12" t="str">
        <x:v>3259</x:v>
      </x:c>
      <x:c r="C325" s="21" t="n">
        <x:v>32570.310752314814</x:v>
      </x:c>
      <x:c r="D325" s="12" t="n">
        <x:v>36</x:v>
      </x:c>
      <x:c r="E325" s="12" t="n">
        <x:v>0</x:v>
      </x:c>
      <x:c r="F325" s="12" t="str">
        <x:v>未记录</x:v>
      </x:c>
      <x:c r="G325" s="12" t="n">
        <x:v>1</x:v>
      </x:c>
      <x:c r="H325" s="12" t="str">
        <x:v>{'NORM': 80.0, 'IRBBB': 100.0, 'SR': 0.0}</x:v>
      </x:c>
      <x:c r="I325" s="12" t="str">
        <x:v>[('NSR', 100.0), ('IRBBB', 100.0), ('BORDE', 100.0)]</x:v>
      </x:c>
      <x:c r="J325" s="12" t="str">
        <x:v>ptbxl_database.csv；ecg_id=2550；scp_codes</x:v>
      </x:c>
      <x:c r="K325" s="12" t="str">
        <x:v>12sl_statements.csv；ecg_id=2550；statements_ext_snomed</x:v>
      </x:c>
      <x:c r="L325" s="12"/>
      <x:c r="M325" s="12" t="str">
        <x:v>negative</x:v>
      </x:c>
      <x:c r="N325" s="12"/>
      <x:c r="O325" s="12" t="str">
        <x:v>negative</x:v>
      </x:c>
      <x:c r="P325" s="12" t="str">
        <x:f>IF(OR(M325="unavailable",O325="unavailable"),"不可评价",IF(OR(M325="equivocal",O325="equivocal"),"疑似",IF(AND(M325="positive",O325="positive"),"a",IF(O325="positive","b",IF(M325="positive","c","d")))))</x:f>
        <x:v>d</x:v>
      </x:c>
      <x:c r="Q325" s="12"/>
      <x:c r="R325" s="12" t="str">
        <x:v>negative</x:v>
      </x:c>
      <x:c r="S325" s="12"/>
      <x:c r="T325" s="12" t="str">
        <x:v>negative</x:v>
      </x:c>
      <x:c r="U325" s="12" t="str">
        <x:f>IF(OR(R325="unavailable",T325="unavailable"),"不可评价",IF(OR(R325="equivocal",T325="equivocal"),"疑似",IF(AND(R325="positive",T325="positive"),"a",IF(T325="positive","b",IF(R325="positive","c","d")))))</x:f>
        <x:v>d</x:v>
      </x:c>
      <x:c r="V325" s="12"/>
      <x:c r="W325" s="12" t="str">
        <x:v>negative</x:v>
      </x:c>
      <x:c r="X325" s="12"/>
      <x:c r="Y325" s="12" t="str">
        <x:v>negative</x:v>
      </x:c>
      <x:c r="Z325" s="12" t="str">
        <x:f>IF(OR(W325="unavailable",Y325="unavailable"),"不可评价",IF(OR(W325="equivocal",Y325="equivocal"),"疑似",IF(AND(W325="positive",Y325="positive"),"a",IF(Y325="positive","b",IF(W325="positive","c","d")))))</x:f>
        <x:v>d</x:v>
      </x:c>
      <x:c r="AA325" s="12" t="str">
        <x:f>IF(OR(M325="unavailable",O325="unavailable"),"不可评价",IF(AND(OR(M325="positive",M325="equivocal"),OR(O325="positive",O325="equivocal")),"a",IF(OR(O325="positive",O325="equivocal"),"b",IF(OR(M325="positive",M325="equivocal"),"c","d"))))</x:f>
        <x:v>d</x:v>
      </x:c>
      <x:c r="AB325" s="12" t="str">
        <x:f>IF(OR(M325="unavailable",O325="unavailable"),"不可评价",IF(AND(M325="positive",O325="positive"),"a",IF(O325="positive","b",IF(M325="positive","c","d"))))</x:f>
        <x:v>d</x:v>
      </x:c>
      <x:c r="AC325" s="12" t="str">
        <x:f>IF(OR(R325="unavailable",T325="unavailable"),"不可评价",IF(AND(OR(R325="positive",R325="equivocal"),OR(T325="positive",T325="equivocal")),"a",IF(OR(T325="positive",T325="equivocal"),"b",IF(OR(R325="positive",R325="equivocal"),"c","d"))))</x:f>
        <x:v>d</x:v>
      </x:c>
      <x:c r="AD325" s="12" t="str">
        <x:f>IF(OR(R325="unavailable",T325="unavailable"),"不可评价",IF(AND(R325="positive",T325="positive"),"a",IF(T325="positive","b",IF(R325="positive","c","d"))))</x:f>
        <x:v>d</x:v>
      </x:c>
      <x:c r="AE325" s="12" t="str">
        <x:f>IF(OR(W325="unavailable",Y325="unavailable"),"不可评价",IF(AND(OR(W325="positive",W325="equivocal"),OR(Y325="positive",Y325="equivocal")),"a",IF(OR(Y325="positive",Y325="equivocal"),"b",IF(OR(W325="positive",W325="equivocal"),"c","d"))))</x:f>
        <x:v>d</x:v>
      </x:c>
      <x:c r="AF325" s="12" t="str">
        <x:f>IF(OR(W325="unavailable",Y325="unavailable"),"不可评价",IF(AND(W325="positive",Y325="positive"),"a",IF(Y325="positive","b",IF(W325="positive","c","d"))))</x:f>
        <x:v>d</x:v>
      </x:c>
    </x:row>
    <x:row r="326" ht="24" customHeight="1">
      <x:c r="A326" s="12" t="str">
        <x:v>2551</x:v>
      </x:c>
      <x:c r="B326" s="12" t="str">
        <x:v>3387</x:v>
      </x:c>
      <x:c r="C326" s="21" t="n">
        <x:v>32570.37974537037</x:v>
      </x:c>
      <x:c r="D326" s="12" t="n">
        <x:v>71</x:v>
      </x:c>
      <x:c r="E326" s="12" t="n">
        <x:v>1</x:v>
      </x:c>
      <x:c r="F326" s="12" t="str">
        <x:v>未记录</x:v>
      </x:c>
      <x:c r="G326" s="12" t="n">
        <x:v>1</x:v>
      </x:c>
      <x:c r="H326" s="12" t="str">
        <x:v>{'NORM': 100.0, 'PAC': 0.0, 'SR': 0.0}</x:v>
      </x:c>
      <x:c r="I326" s="12" t="str">
        <x:v>[('SRTH', 100.0), ('PAC', 100.0), ('BORDE', 100.0)]</x:v>
      </x:c>
      <x:c r="J326" s="12" t="str">
        <x:v>ptbxl_database.csv；ecg_id=2551；scp_codes</x:v>
      </x:c>
      <x:c r="K326" s="12" t="str">
        <x:v>12sl_statements.csv；ecg_id=2551；statements_ext_snomed</x:v>
      </x:c>
      <x:c r="L326" s="12"/>
      <x:c r="M326" s="12" t="str">
        <x:v>negative</x:v>
      </x:c>
      <x:c r="N326" s="12"/>
      <x:c r="O326" s="12" t="str">
        <x:v>negative</x:v>
      </x:c>
      <x:c r="P326" s="12" t="str">
        <x:f>IF(OR(M326="unavailable",O326="unavailable"),"不可评价",IF(OR(M326="equivocal",O326="equivocal"),"疑似",IF(AND(M326="positive",O326="positive"),"a",IF(O326="positive","b",IF(M326="positive","c","d")))))</x:f>
        <x:v>d</x:v>
      </x:c>
      <x:c r="Q326" s="12"/>
      <x:c r="R326" s="12" t="str">
        <x:v>negative</x:v>
      </x:c>
      <x:c r="S326" s="12"/>
      <x:c r="T326" s="12" t="str">
        <x:v>negative</x:v>
      </x:c>
      <x:c r="U326" s="12" t="str">
        <x:f>IF(OR(R326="unavailable",T326="unavailable"),"不可评价",IF(OR(R326="equivocal",T326="equivocal"),"疑似",IF(AND(R326="positive",T326="positive"),"a",IF(T326="positive","b",IF(R326="positive","c","d")))))</x:f>
        <x:v>d</x:v>
      </x:c>
      <x:c r="V326" s="12"/>
      <x:c r="W326" s="12" t="str">
        <x:v>negative</x:v>
      </x:c>
      <x:c r="X326" s="12"/>
      <x:c r="Y326" s="12" t="str">
        <x:v>negative</x:v>
      </x:c>
      <x:c r="Z326" s="12" t="str">
        <x:f>IF(OR(W326="unavailable",Y326="unavailable"),"不可评价",IF(OR(W326="equivocal",Y326="equivocal"),"疑似",IF(AND(W326="positive",Y326="positive"),"a",IF(Y326="positive","b",IF(W326="positive","c","d")))))</x:f>
        <x:v>d</x:v>
      </x:c>
      <x:c r="AA326" s="12" t="str">
        <x:f>IF(OR(M326="unavailable",O326="unavailable"),"不可评价",IF(AND(OR(M326="positive",M326="equivocal"),OR(O326="positive",O326="equivocal")),"a",IF(OR(O326="positive",O326="equivocal"),"b",IF(OR(M326="positive",M326="equivocal"),"c","d"))))</x:f>
        <x:v>d</x:v>
      </x:c>
      <x:c r="AB326" s="12" t="str">
        <x:f>IF(OR(M326="unavailable",O326="unavailable"),"不可评价",IF(AND(M326="positive",O326="positive"),"a",IF(O326="positive","b",IF(M326="positive","c","d"))))</x:f>
        <x:v>d</x:v>
      </x:c>
      <x:c r="AC326" s="12" t="str">
        <x:f>IF(OR(R326="unavailable",T326="unavailable"),"不可评价",IF(AND(OR(R326="positive",R326="equivocal"),OR(T326="positive",T326="equivocal")),"a",IF(OR(T326="positive",T326="equivocal"),"b",IF(OR(R326="positive",R326="equivocal"),"c","d"))))</x:f>
        <x:v>d</x:v>
      </x:c>
      <x:c r="AD326" s="12" t="str">
        <x:f>IF(OR(R326="unavailable",T326="unavailable"),"不可评价",IF(AND(R326="positive",T326="positive"),"a",IF(T326="positive","b",IF(R326="positive","c","d"))))</x:f>
        <x:v>d</x:v>
      </x:c>
      <x:c r="AE326" s="12" t="str">
        <x:f>IF(OR(W326="unavailable",Y326="unavailable"),"不可评价",IF(AND(OR(W326="positive",W326="equivocal"),OR(Y326="positive",Y326="equivocal")),"a",IF(OR(Y326="positive",Y326="equivocal"),"b",IF(OR(W326="positive",W326="equivocal"),"c","d"))))</x:f>
        <x:v>d</x:v>
      </x:c>
      <x:c r="AF326" s="12" t="str">
        <x:f>IF(OR(W326="unavailable",Y326="unavailable"),"不可评价",IF(AND(W326="positive",Y326="positive"),"a",IF(Y326="positive","b",IF(W326="positive","c","d"))))</x:f>
        <x:v>d</x:v>
      </x:c>
    </x:row>
    <x:row r="327" ht="24" customHeight="1">
      <x:c r="A327" s="12" t="str">
        <x:v>2556</x:v>
      </x:c>
      <x:c r="B327" s="12" t="str">
        <x:v>21158</x:v>
      </x:c>
      <x:c r="C327" s="21" t="n">
        <x:v>32571.34574074074</x:v>
      </x:c>
      <x:c r="D327" s="12" t="n">
        <x:v>77</x:v>
      </x:c>
      <x:c r="E327" s="12" t="n">
        <x:v>0</x:v>
      </x:c>
      <x:c r="F327" s="12" t="str">
        <x:v>未记录</x:v>
      </x:c>
      <x:c r="G327" s="12" t="n">
        <x:v>0</x:v>
      </x:c>
      <x:c r="H327" s="12" t="str">
        <x:v>{'NDT': 100.0, 'SR': 0.0}</x:v>
      </x:c>
      <x:c r="I327" s="12" t="str">
        <x:v>[('SBRAD', 100.0), ('SAR', 100.0), ('IMI;AU', 100.0), ('AB', 100.0)]</x:v>
      </x:c>
      <x:c r="J327" s="12" t="str">
        <x:v>ptbxl_database.csv；ecg_id=2556；scp_codes</x:v>
      </x:c>
      <x:c r="K327" s="12" t="str">
        <x:v>12sl_statements.csv；ecg_id=2556；statements_ext_snomed</x:v>
      </x:c>
      <x:c r="L327" s="12"/>
      <x:c r="M327" s="12" t="str">
        <x:v>negative</x:v>
      </x:c>
      <x:c r="N327" s="12"/>
      <x:c r="O327" s="12" t="str">
        <x:v>negative</x:v>
      </x:c>
      <x:c r="P327" s="12" t="str">
        <x:f>IF(OR(M327="unavailable",O327="unavailable"),"不可评价",IF(OR(M327="equivocal",O327="equivocal"),"疑似",IF(AND(M327="positive",O327="positive"),"a",IF(O327="positive","b",IF(M327="positive","c","d")))))</x:f>
        <x:v>d</x:v>
      </x:c>
      <x:c r="Q327" s="12"/>
      <x:c r="R327" s="12" t="str">
        <x:v>negative</x:v>
      </x:c>
      <x:c r="S327" s="12"/>
      <x:c r="T327" s="12" t="str">
        <x:v>negative</x:v>
      </x:c>
      <x:c r="U327" s="12" t="str">
        <x:f>IF(OR(R327="unavailable",T327="unavailable"),"不可评价",IF(OR(R327="equivocal",T327="equivocal"),"疑似",IF(AND(R327="positive",T327="positive"),"a",IF(T327="positive","b",IF(R327="positive","c","d")))))</x:f>
        <x:v>d</x:v>
      </x:c>
      <x:c r="V327" s="12"/>
      <x:c r="W327" s="12" t="str">
        <x:v>negative</x:v>
      </x:c>
      <x:c r="X327" s="12"/>
      <x:c r="Y327" s="12" t="str">
        <x:v>negative</x:v>
      </x:c>
      <x:c r="Z327" s="12" t="str">
        <x:f>IF(OR(W327="unavailable",Y327="unavailable"),"不可评价",IF(OR(W327="equivocal",Y327="equivocal"),"疑似",IF(AND(W327="positive",Y327="positive"),"a",IF(Y327="positive","b",IF(W327="positive","c","d")))))</x:f>
        <x:v>d</x:v>
      </x:c>
      <x:c r="AA327" s="12" t="str">
        <x:f>IF(OR(M327="unavailable",O327="unavailable"),"不可评价",IF(AND(OR(M327="positive",M327="equivocal"),OR(O327="positive",O327="equivocal")),"a",IF(OR(O327="positive",O327="equivocal"),"b",IF(OR(M327="positive",M327="equivocal"),"c","d"))))</x:f>
        <x:v>d</x:v>
      </x:c>
      <x:c r="AB327" s="12" t="str">
        <x:f>IF(OR(M327="unavailable",O327="unavailable"),"不可评价",IF(AND(M327="positive",O327="positive"),"a",IF(O327="positive","b",IF(M327="positive","c","d"))))</x:f>
        <x:v>d</x:v>
      </x:c>
      <x:c r="AC327" s="12" t="str">
        <x:f>IF(OR(R327="unavailable",T327="unavailable"),"不可评价",IF(AND(OR(R327="positive",R327="equivocal"),OR(T327="positive",T327="equivocal")),"a",IF(OR(T327="positive",T327="equivocal"),"b",IF(OR(R327="positive",R327="equivocal"),"c","d"))))</x:f>
        <x:v>d</x:v>
      </x:c>
      <x:c r="AD327" s="12" t="str">
        <x:f>IF(OR(R327="unavailable",T327="unavailable"),"不可评价",IF(AND(R327="positive",T327="positive"),"a",IF(T327="positive","b",IF(R327="positive","c","d"))))</x:f>
        <x:v>d</x:v>
      </x:c>
      <x:c r="AE327" s="12" t="str">
        <x:f>IF(OR(W327="unavailable",Y327="unavailable"),"不可评价",IF(AND(OR(W327="positive",W327="equivocal"),OR(Y327="positive",Y327="equivocal")),"a",IF(OR(Y327="positive",Y327="equivocal"),"b",IF(OR(W327="positive",W327="equivocal"),"c","d"))))</x:f>
        <x:v>d</x:v>
      </x:c>
      <x:c r="AF327" s="12" t="str">
        <x:f>IF(OR(W327="unavailable",Y327="unavailable"),"不可评价",IF(AND(W327="positive",Y327="positive"),"a",IF(Y327="positive","b",IF(W327="positive","c","d"))))</x:f>
        <x:v>d</x:v>
      </x:c>
    </x:row>
    <x:row r="328" ht="24" customHeight="1">
      <x:c r="A328" s="12" t="str">
        <x:v>2560</x:v>
      </x:c>
      <x:c r="B328" s="12" t="str">
        <x:v>14976</x:v>
      </x:c>
      <x:c r="C328" s="21" t="n">
        <x:v>32573.429895833335</x:v>
      </x:c>
      <x:c r="D328" s="12" t="n">
        <x:v>52</x:v>
      </x:c>
      <x:c r="E328" s="12" t="n">
        <x:v>0</x:v>
      </x:c>
      <x:c r="F328" s="12" t="str">
        <x:v>未记录</x:v>
      </x:c>
      <x:c r="G328" s="12" t="n">
        <x:v>1</x:v>
      </x:c>
      <x:c r="H328" s="12" t="str">
        <x:v>{'NORM': 100.0, 'SR': 0.0}</x:v>
      </x:c>
      <x:c r="I328" s="12" t="str">
        <x:v>[('SBRAD', 100.0), ('ABR', 100.0)]</x:v>
      </x:c>
      <x:c r="J328" s="12" t="str">
        <x:v>ptbxl_database.csv；ecg_id=2560；scp_codes</x:v>
      </x:c>
      <x:c r="K328" s="12" t="str">
        <x:v>12sl_statements.csv；ecg_id=2560；statements_ext_snomed</x:v>
      </x:c>
      <x:c r="L328" s="12"/>
      <x:c r="M328" s="12" t="str">
        <x:v>negative</x:v>
      </x:c>
      <x:c r="N328" s="12"/>
      <x:c r="O328" s="12" t="str">
        <x:v>negative</x:v>
      </x:c>
      <x:c r="P328" s="12" t="str">
        <x:f>IF(OR(M328="unavailable",O328="unavailable"),"不可评价",IF(OR(M328="equivocal",O328="equivocal"),"疑似",IF(AND(M328="positive",O328="positive"),"a",IF(O328="positive","b",IF(M328="positive","c","d")))))</x:f>
        <x:v>d</x:v>
      </x:c>
      <x:c r="Q328" s="12"/>
      <x:c r="R328" s="12" t="str">
        <x:v>negative</x:v>
      </x:c>
      <x:c r="S328" s="12"/>
      <x:c r="T328" s="12" t="str">
        <x:v>negative</x:v>
      </x:c>
      <x:c r="U328" s="12" t="str">
        <x:f>IF(OR(R328="unavailable",T328="unavailable"),"不可评价",IF(OR(R328="equivocal",T328="equivocal"),"疑似",IF(AND(R328="positive",T328="positive"),"a",IF(T328="positive","b",IF(R328="positive","c","d")))))</x:f>
        <x:v>d</x:v>
      </x:c>
      <x:c r="V328" s="12"/>
      <x:c r="W328" s="12" t="str">
        <x:v>negative</x:v>
      </x:c>
      <x:c r="X328" s="12"/>
      <x:c r="Y328" s="12" t="str">
        <x:v>negative</x:v>
      </x:c>
      <x:c r="Z328" s="12" t="str">
        <x:f>IF(OR(W328="unavailable",Y328="unavailable"),"不可评价",IF(OR(W328="equivocal",Y328="equivocal"),"疑似",IF(AND(W328="positive",Y328="positive"),"a",IF(Y328="positive","b",IF(W328="positive","c","d")))))</x:f>
        <x:v>d</x:v>
      </x:c>
      <x:c r="AA328" s="12" t="str">
        <x:f>IF(OR(M328="unavailable",O328="unavailable"),"不可评价",IF(AND(OR(M328="positive",M328="equivocal"),OR(O328="positive",O328="equivocal")),"a",IF(OR(O328="positive",O328="equivocal"),"b",IF(OR(M328="positive",M328="equivocal"),"c","d"))))</x:f>
        <x:v>d</x:v>
      </x:c>
      <x:c r="AB328" s="12" t="str">
        <x:f>IF(OR(M328="unavailable",O328="unavailable"),"不可评价",IF(AND(M328="positive",O328="positive"),"a",IF(O328="positive","b",IF(M328="positive","c","d"))))</x:f>
        <x:v>d</x:v>
      </x:c>
      <x:c r="AC328" s="12" t="str">
        <x:f>IF(OR(R328="unavailable",T328="unavailable"),"不可评价",IF(AND(OR(R328="positive",R328="equivocal"),OR(T328="positive",T328="equivocal")),"a",IF(OR(T328="positive",T328="equivocal"),"b",IF(OR(R328="positive",R328="equivocal"),"c","d"))))</x:f>
        <x:v>d</x:v>
      </x:c>
      <x:c r="AD328" s="12" t="str">
        <x:f>IF(OR(R328="unavailable",T328="unavailable"),"不可评价",IF(AND(R328="positive",T328="positive"),"a",IF(T328="positive","b",IF(R328="positive","c","d"))))</x:f>
        <x:v>d</x:v>
      </x:c>
      <x:c r="AE328" s="12" t="str">
        <x:f>IF(OR(W328="unavailable",Y328="unavailable"),"不可评价",IF(AND(OR(W328="positive",W328="equivocal"),OR(Y328="positive",Y328="equivocal")),"a",IF(OR(Y328="positive",Y328="equivocal"),"b",IF(OR(W328="positive",W328="equivocal"),"c","d"))))</x:f>
        <x:v>d</x:v>
      </x:c>
      <x:c r="AF328" s="12" t="str">
        <x:f>IF(OR(W328="unavailable",Y328="unavailable"),"不可评价",IF(AND(W328="positive",Y328="positive"),"a",IF(Y328="positive","b",IF(W328="positive","c","d"))))</x:f>
        <x:v>d</x:v>
      </x:c>
    </x:row>
    <x:row r="329" ht="24" customHeight="1">
      <x:c r="A329" s="12" t="str">
        <x:v>2561</x:v>
      </x:c>
      <x:c r="B329" s="12" t="str">
        <x:v>15583</x:v>
      </x:c>
      <x:c r="C329" s="21" t="n">
        <x:v>32573.51585648148</x:v>
      </x:c>
      <x:c r="D329" s="12" t="n">
        <x:v>62</x:v>
      </x:c>
      <x:c r="E329" s="12" t="n">
        <x:v>1</x:v>
      </x:c>
      <x:c r="F329" s="12" t="str">
        <x:v>未记录</x:v>
      </x:c>
      <x:c r="G329" s="12" t="n">
        <x:v>1</x:v>
      </x:c>
      <x:c r="H329" s="12" t="str">
        <x:v>{'LMI': 50.0, 'SR': 0.0}</x:v>
      </x:c>
      <x:c r="I329" s="12" t="str">
        <x:v>[('NSR', 100.0), ('NST', 100.0), ('AB', 100.0)]</x:v>
      </x:c>
      <x:c r="J329" s="12" t="str">
        <x:v>ptbxl_database.csv；ecg_id=2561；scp_codes</x:v>
      </x:c>
      <x:c r="K329" s="12" t="str">
        <x:v>12sl_statements.csv；ecg_id=2561；statements_ext_snomed</x:v>
      </x:c>
      <x:c r="L329" s="12"/>
      <x:c r="M329" s="12" t="str">
        <x:v>negative</x:v>
      </x:c>
      <x:c r="N329" s="12"/>
      <x:c r="O329" s="12" t="str">
        <x:v>negative</x:v>
      </x:c>
      <x:c r="P329" s="12" t="str">
        <x:f>IF(OR(M329="unavailable",O329="unavailable"),"不可评价",IF(OR(M329="equivocal",O329="equivocal"),"疑似",IF(AND(M329="positive",O329="positive"),"a",IF(O329="positive","b",IF(M329="positive","c","d")))))</x:f>
        <x:v>d</x:v>
      </x:c>
      <x:c r="Q329" s="12"/>
      <x:c r="R329" s="12" t="str">
        <x:v>negative</x:v>
      </x:c>
      <x:c r="S329" s="12"/>
      <x:c r="T329" s="12" t="str">
        <x:v>negative</x:v>
      </x:c>
      <x:c r="U329" s="12" t="str">
        <x:f>IF(OR(R329="unavailable",T329="unavailable"),"不可评价",IF(OR(R329="equivocal",T329="equivocal"),"疑似",IF(AND(R329="positive",T329="positive"),"a",IF(T329="positive","b",IF(R329="positive","c","d")))))</x:f>
        <x:v>d</x:v>
      </x:c>
      <x:c r="V329" s="12"/>
      <x:c r="W329" s="12" t="str">
        <x:v>negative</x:v>
      </x:c>
      <x:c r="X329" s="12"/>
      <x:c r="Y329" s="12" t="str">
        <x:v>negative</x:v>
      </x:c>
      <x:c r="Z329" s="12" t="str">
        <x:f>IF(OR(W329="unavailable",Y329="unavailable"),"不可评价",IF(OR(W329="equivocal",Y329="equivocal"),"疑似",IF(AND(W329="positive",Y329="positive"),"a",IF(Y329="positive","b",IF(W329="positive","c","d")))))</x:f>
        <x:v>d</x:v>
      </x:c>
      <x:c r="AA329" s="12" t="str">
        <x:f>IF(OR(M329="unavailable",O329="unavailable"),"不可评价",IF(AND(OR(M329="positive",M329="equivocal"),OR(O329="positive",O329="equivocal")),"a",IF(OR(O329="positive",O329="equivocal"),"b",IF(OR(M329="positive",M329="equivocal"),"c","d"))))</x:f>
        <x:v>d</x:v>
      </x:c>
      <x:c r="AB329" s="12" t="str">
        <x:f>IF(OR(M329="unavailable",O329="unavailable"),"不可评价",IF(AND(M329="positive",O329="positive"),"a",IF(O329="positive","b",IF(M329="positive","c","d"))))</x:f>
        <x:v>d</x:v>
      </x:c>
      <x:c r="AC329" s="12" t="str">
        <x:f>IF(OR(R329="unavailable",T329="unavailable"),"不可评价",IF(AND(OR(R329="positive",R329="equivocal"),OR(T329="positive",T329="equivocal")),"a",IF(OR(T329="positive",T329="equivocal"),"b",IF(OR(R329="positive",R329="equivocal"),"c","d"))))</x:f>
        <x:v>d</x:v>
      </x:c>
      <x:c r="AD329" s="12" t="str">
        <x:f>IF(OR(R329="unavailable",T329="unavailable"),"不可评价",IF(AND(R329="positive",T329="positive"),"a",IF(T329="positive","b",IF(R329="positive","c","d"))))</x:f>
        <x:v>d</x:v>
      </x:c>
      <x:c r="AE329" s="12" t="str">
        <x:f>IF(OR(W329="unavailable",Y329="unavailable"),"不可评价",IF(AND(OR(W329="positive",W329="equivocal"),OR(Y329="positive",Y329="equivocal")),"a",IF(OR(Y329="positive",Y329="equivocal"),"b",IF(OR(W329="positive",W329="equivocal"),"c","d"))))</x:f>
        <x:v>d</x:v>
      </x:c>
      <x:c r="AF329" s="12" t="str">
        <x:f>IF(OR(W329="unavailable",Y329="unavailable"),"不可评价",IF(AND(W329="positive",Y329="positive"),"a",IF(Y329="positive","b",IF(W329="positive","c","d"))))</x:f>
        <x:v>d</x:v>
      </x:c>
    </x:row>
    <x:row r="330" ht="24" customHeight="1">
      <x:c r="A330" s="12" t="str">
        <x:v>2565</x:v>
      </x:c>
      <x:c r="B330" s="12" t="str">
        <x:v>8977</x:v>
      </x:c>
      <x:c r="C330" s="21" t="n">
        <x:v>32574.446192129628</x:v>
      </x:c>
      <x:c r="D330" s="12" t="n">
        <x:v>44</x:v>
      </x:c>
      <x:c r="E330" s="12" t="n">
        <x:v>0</x:v>
      </x:c>
      <x:c r="F330" s="12" t="str">
        <x:v>未记录</x:v>
      </x:c>
      <x:c r="G330" s="12" t="n">
        <x:v>1</x:v>
      </x:c>
      <x:c r="H330" s="12" t="str">
        <x:v>{'LVH': 100.0, 'ISC_': 100.0}</x:v>
      </x:c>
      <x:c r="I330" s="12" t="str">
        <x:v>[('SBRAD', 100.0), ('IVCB', 100.0), ('IMI;AU', 15.0), ('AB', 100.0)]</x:v>
      </x:c>
      <x:c r="J330" s="12" t="str">
        <x:v>ptbxl_database.csv；ecg_id=2565；scp_codes</x:v>
      </x:c>
      <x:c r="K330" s="12" t="str">
        <x:v>12sl_statements.csv；ecg_id=2565；statements_ext_snomed</x:v>
      </x:c>
      <x:c r="L330" s="12"/>
      <x:c r="M330" s="12" t="str">
        <x:v>negative</x:v>
      </x:c>
      <x:c r="N330" s="12"/>
      <x:c r="O330" s="12" t="str">
        <x:v>negative</x:v>
      </x:c>
      <x:c r="P330" s="12" t="str">
        <x:f>IF(OR(M330="unavailable",O330="unavailable"),"不可评价",IF(OR(M330="equivocal",O330="equivocal"),"疑似",IF(AND(M330="positive",O330="positive"),"a",IF(O330="positive","b",IF(M330="positive","c","d")))))</x:f>
        <x:v>d</x:v>
      </x:c>
      <x:c r="Q330" s="12"/>
      <x:c r="R330" s="12" t="str">
        <x:v>negative</x:v>
      </x:c>
      <x:c r="S330" s="12"/>
      <x:c r="T330" s="12" t="str">
        <x:v>negative</x:v>
      </x:c>
      <x:c r="U330" s="12" t="str">
        <x:f>IF(OR(R330="unavailable",T330="unavailable"),"不可评价",IF(OR(R330="equivocal",T330="equivocal"),"疑似",IF(AND(R330="positive",T330="positive"),"a",IF(T330="positive","b",IF(R330="positive","c","d")))))</x:f>
        <x:v>d</x:v>
      </x:c>
      <x:c r="V330" s="12"/>
      <x:c r="W330" s="12" t="str">
        <x:v>negative</x:v>
      </x:c>
      <x:c r="X330" s="12"/>
      <x:c r="Y330" s="12" t="str">
        <x:v>negative</x:v>
      </x:c>
      <x:c r="Z330" s="12" t="str">
        <x:f>IF(OR(W330="unavailable",Y330="unavailable"),"不可评价",IF(OR(W330="equivocal",Y330="equivocal"),"疑似",IF(AND(W330="positive",Y330="positive"),"a",IF(Y330="positive","b",IF(W330="positive","c","d")))))</x:f>
        <x:v>d</x:v>
      </x:c>
      <x:c r="AA330" s="12" t="str">
        <x:f>IF(OR(M330="unavailable",O330="unavailable"),"不可评价",IF(AND(OR(M330="positive",M330="equivocal"),OR(O330="positive",O330="equivocal")),"a",IF(OR(O330="positive",O330="equivocal"),"b",IF(OR(M330="positive",M330="equivocal"),"c","d"))))</x:f>
        <x:v>d</x:v>
      </x:c>
      <x:c r="AB330" s="12" t="str">
        <x:f>IF(OR(M330="unavailable",O330="unavailable"),"不可评价",IF(AND(M330="positive",O330="positive"),"a",IF(O330="positive","b",IF(M330="positive","c","d"))))</x:f>
        <x:v>d</x:v>
      </x:c>
      <x:c r="AC330" s="12" t="str">
        <x:f>IF(OR(R330="unavailable",T330="unavailable"),"不可评价",IF(AND(OR(R330="positive",R330="equivocal"),OR(T330="positive",T330="equivocal")),"a",IF(OR(T330="positive",T330="equivocal"),"b",IF(OR(R330="positive",R330="equivocal"),"c","d"))))</x:f>
        <x:v>d</x:v>
      </x:c>
      <x:c r="AD330" s="12" t="str">
        <x:f>IF(OR(R330="unavailable",T330="unavailable"),"不可评价",IF(AND(R330="positive",T330="positive"),"a",IF(T330="positive","b",IF(R330="positive","c","d"))))</x:f>
        <x:v>d</x:v>
      </x:c>
      <x:c r="AE330" s="12" t="str">
        <x:f>IF(OR(W330="unavailable",Y330="unavailable"),"不可评价",IF(AND(OR(W330="positive",W330="equivocal"),OR(Y330="positive",Y330="equivocal")),"a",IF(OR(Y330="positive",Y330="equivocal"),"b",IF(OR(W330="positive",W330="equivocal"),"c","d"))))</x:f>
        <x:v>d</x:v>
      </x:c>
      <x:c r="AF330" s="12" t="str">
        <x:f>IF(OR(W330="unavailable",Y330="unavailable"),"不可评价",IF(AND(W330="positive",Y330="positive"),"a",IF(Y330="positive","b",IF(W330="positive","c","d"))))</x:f>
        <x:v>d</x:v>
      </x:c>
    </x:row>
    <x:row r="331" ht="24" customHeight="1">
      <x:c r="A331" s="12" t="str">
        <x:v>2569</x:v>
      </x:c>
      <x:c r="B331" s="12" t="str">
        <x:v>17603</x:v>
      </x:c>
      <x:c r="C331" s="21" t="n">
        <x:v>32575.427002314816</x:v>
      </x:c>
      <x:c r="D331" s="12" t="n">
        <x:v>65</x:v>
      </x:c>
      <x:c r="E331" s="12" t="n">
        <x:v>0</x:v>
      </x:c>
      <x:c r="F331" s="12" t="str">
        <x:v>存在</x:v>
      </x:c>
      <x:c r="G331" s="12" t="n">
        <x:v>1</x:v>
      </x:c>
      <x:c r="H331" s="12" t="str">
        <x:v>{'IMI': 100.0, 'SR': 0.0}</x:v>
      </x:c>
      <x:c r="I331" s="12" t="str">
        <x:v>[('NSR', 100.0), ('LAD3', 100.0), ('NT', 100.0), ('AB', 100.0)]</x:v>
      </x:c>
      <x:c r="J331" s="12" t="str">
        <x:v>ptbxl_database.csv；ecg_id=2569；scp_codes</x:v>
      </x:c>
      <x:c r="K331" s="12" t="str">
        <x:v>12sl_statements.csv；ecg_id=2569；statements_ext_snomed</x:v>
      </x:c>
      <x:c r="L331" s="12"/>
      <x:c r="M331" s="12" t="str">
        <x:v>negative</x:v>
      </x:c>
      <x:c r="N331" s="12"/>
      <x:c r="O331" s="12" t="str">
        <x:v>negative</x:v>
      </x:c>
      <x:c r="P331" s="12" t="str">
        <x:f>IF(OR(M331="unavailable",O331="unavailable"),"不可评价",IF(OR(M331="equivocal",O331="equivocal"),"疑似",IF(AND(M331="positive",O331="positive"),"a",IF(O331="positive","b",IF(M331="positive","c","d")))))</x:f>
        <x:v>d</x:v>
      </x:c>
      <x:c r="Q331" s="12"/>
      <x:c r="R331" s="12" t="str">
        <x:v>negative</x:v>
      </x:c>
      <x:c r="S331" s="12"/>
      <x:c r="T331" s="12" t="str">
        <x:v>negative</x:v>
      </x:c>
      <x:c r="U331" s="12" t="str">
        <x:f>IF(OR(R331="unavailable",T331="unavailable"),"不可评价",IF(OR(R331="equivocal",T331="equivocal"),"疑似",IF(AND(R331="positive",T331="positive"),"a",IF(T331="positive","b",IF(R331="positive","c","d")))))</x:f>
        <x:v>d</x:v>
      </x:c>
      <x:c r="V331" s="12"/>
      <x:c r="W331" s="12" t="str">
        <x:v>negative</x:v>
      </x:c>
      <x:c r="X331" s="12"/>
      <x:c r="Y331" s="12" t="str">
        <x:v>negative</x:v>
      </x:c>
      <x:c r="Z331" s="12" t="str">
        <x:f>IF(OR(W331="unavailable",Y331="unavailable"),"不可评价",IF(OR(W331="equivocal",Y331="equivocal"),"疑似",IF(AND(W331="positive",Y331="positive"),"a",IF(Y331="positive","b",IF(W331="positive","c","d")))))</x:f>
        <x:v>d</x:v>
      </x:c>
      <x:c r="AA331" s="12" t="str">
        <x:f>IF(OR(M331="unavailable",O331="unavailable"),"不可评价",IF(AND(OR(M331="positive",M331="equivocal"),OR(O331="positive",O331="equivocal")),"a",IF(OR(O331="positive",O331="equivocal"),"b",IF(OR(M331="positive",M331="equivocal"),"c","d"))))</x:f>
        <x:v>d</x:v>
      </x:c>
      <x:c r="AB331" s="12" t="str">
        <x:f>IF(OR(M331="unavailable",O331="unavailable"),"不可评价",IF(AND(M331="positive",O331="positive"),"a",IF(O331="positive","b",IF(M331="positive","c","d"))))</x:f>
        <x:v>d</x:v>
      </x:c>
      <x:c r="AC331" s="12" t="str">
        <x:f>IF(OR(R331="unavailable",T331="unavailable"),"不可评价",IF(AND(OR(R331="positive",R331="equivocal"),OR(T331="positive",T331="equivocal")),"a",IF(OR(T331="positive",T331="equivocal"),"b",IF(OR(R331="positive",R331="equivocal"),"c","d"))))</x:f>
        <x:v>d</x:v>
      </x:c>
      <x:c r="AD331" s="12" t="str">
        <x:f>IF(OR(R331="unavailable",T331="unavailable"),"不可评价",IF(AND(R331="positive",T331="positive"),"a",IF(T331="positive","b",IF(R331="positive","c","d"))))</x:f>
        <x:v>d</x:v>
      </x:c>
      <x:c r="AE331" s="12" t="str">
        <x:f>IF(OR(W331="unavailable",Y331="unavailable"),"不可评价",IF(AND(OR(W331="positive",W331="equivocal"),OR(Y331="positive",Y331="equivocal")),"a",IF(OR(Y331="positive",Y331="equivocal"),"b",IF(OR(W331="positive",W331="equivocal"),"c","d"))))</x:f>
        <x:v>d</x:v>
      </x:c>
      <x:c r="AF331" s="12" t="str">
        <x:f>IF(OR(W331="unavailable",Y331="unavailable"),"不可评价",IF(AND(W331="positive",Y331="positive"),"a",IF(Y331="positive","b",IF(W331="positive","c","d"))))</x:f>
        <x:v>d</x:v>
      </x:c>
    </x:row>
    <x:row r="332" ht="24" customHeight="1">
      <x:c r="A332" s="12" t="str">
        <x:v>2579</x:v>
      </x:c>
      <x:c r="B332" s="12" t="str">
        <x:v>17038</x:v>
      </x:c>
      <x:c r="C332" s="21" t="n">
        <x:v>32579.65396990741</x:v>
      </x:c>
      <x:c r="D332" s="12" t="n">
        <x:v>57</x:v>
      </x:c>
      <x:c r="E332" s="12" t="n">
        <x:v>0</x:v>
      </x:c>
      <x:c r="F332" s="12" t="str">
        <x:v>存在</x:v>
      </x:c>
      <x:c r="G332" s="12" t="n">
        <x:v>1</x:v>
      </x:c>
      <x:c r="H332" s="12" t="str">
        <x:v>{'NORM': 100.0, 'SR': 0.0}</x:v>
      </x:c>
      <x:c r="I332" s="12" t="str">
        <x:v>[('NSR', 100.0), ('NML', 100.0)]</x:v>
      </x:c>
      <x:c r="J332" s="12" t="str">
        <x:v>ptbxl_database.csv；ecg_id=2579；scp_codes</x:v>
      </x:c>
      <x:c r="K332" s="12" t="str">
        <x:v>12sl_statements.csv；ecg_id=2579；statements_ext_snomed</x:v>
      </x:c>
      <x:c r="L332" s="12"/>
      <x:c r="M332" s="12" t="str">
        <x:v>negative</x:v>
      </x:c>
      <x:c r="N332" s="12"/>
      <x:c r="O332" s="12" t="str">
        <x:v>negative</x:v>
      </x:c>
      <x:c r="P332" s="12" t="str">
        <x:f>IF(OR(M332="unavailable",O332="unavailable"),"不可评价",IF(OR(M332="equivocal",O332="equivocal"),"疑似",IF(AND(M332="positive",O332="positive"),"a",IF(O332="positive","b",IF(M332="positive","c","d")))))</x:f>
        <x:v>d</x:v>
      </x:c>
      <x:c r="Q332" s="12"/>
      <x:c r="R332" s="12" t="str">
        <x:v>negative</x:v>
      </x:c>
      <x:c r="S332" s="12"/>
      <x:c r="T332" s="12" t="str">
        <x:v>negative</x:v>
      </x:c>
      <x:c r="U332" s="12" t="str">
        <x:f>IF(OR(R332="unavailable",T332="unavailable"),"不可评价",IF(OR(R332="equivocal",T332="equivocal"),"疑似",IF(AND(R332="positive",T332="positive"),"a",IF(T332="positive","b",IF(R332="positive","c","d")))))</x:f>
        <x:v>d</x:v>
      </x:c>
      <x:c r="V332" s="12"/>
      <x:c r="W332" s="12" t="str">
        <x:v>negative</x:v>
      </x:c>
      <x:c r="X332" s="12"/>
      <x:c r="Y332" s="12" t="str">
        <x:v>negative</x:v>
      </x:c>
      <x:c r="Z332" s="12" t="str">
        <x:f>IF(OR(W332="unavailable",Y332="unavailable"),"不可评价",IF(OR(W332="equivocal",Y332="equivocal"),"疑似",IF(AND(W332="positive",Y332="positive"),"a",IF(Y332="positive","b",IF(W332="positive","c","d")))))</x:f>
        <x:v>d</x:v>
      </x:c>
      <x:c r="AA332" s="12" t="str">
        <x:f>IF(OR(M332="unavailable",O332="unavailable"),"不可评价",IF(AND(OR(M332="positive",M332="equivocal"),OR(O332="positive",O332="equivocal")),"a",IF(OR(O332="positive",O332="equivocal"),"b",IF(OR(M332="positive",M332="equivocal"),"c","d"))))</x:f>
        <x:v>d</x:v>
      </x:c>
      <x:c r="AB332" s="12" t="str">
        <x:f>IF(OR(M332="unavailable",O332="unavailable"),"不可评价",IF(AND(M332="positive",O332="positive"),"a",IF(O332="positive","b",IF(M332="positive","c","d"))))</x:f>
        <x:v>d</x:v>
      </x:c>
      <x:c r="AC332" s="12" t="str">
        <x:f>IF(OR(R332="unavailable",T332="unavailable"),"不可评价",IF(AND(OR(R332="positive",R332="equivocal"),OR(T332="positive",T332="equivocal")),"a",IF(OR(T332="positive",T332="equivocal"),"b",IF(OR(R332="positive",R332="equivocal"),"c","d"))))</x:f>
        <x:v>d</x:v>
      </x:c>
      <x:c r="AD332" s="12" t="str">
        <x:f>IF(OR(R332="unavailable",T332="unavailable"),"不可评价",IF(AND(R332="positive",T332="positive"),"a",IF(T332="positive","b",IF(R332="positive","c","d"))))</x:f>
        <x:v>d</x:v>
      </x:c>
      <x:c r="AE332" s="12" t="str">
        <x:f>IF(OR(W332="unavailable",Y332="unavailable"),"不可评价",IF(AND(OR(W332="positive",W332="equivocal"),OR(Y332="positive",Y332="equivocal")),"a",IF(OR(Y332="positive",Y332="equivocal"),"b",IF(OR(W332="positive",W332="equivocal"),"c","d"))))</x:f>
        <x:v>d</x:v>
      </x:c>
      <x:c r="AF332" s="12" t="str">
        <x:f>IF(OR(W332="unavailable",Y332="unavailable"),"不可评价",IF(AND(W332="positive",Y332="positive"),"a",IF(Y332="positive","b",IF(W332="positive","c","d"))))</x:f>
        <x:v>d</x:v>
      </x:c>
    </x:row>
    <x:row r="333" ht="24" customHeight="1">
      <x:c r="A333" s="12" t="str">
        <x:v>2587</x:v>
      </x:c>
      <x:c r="B333" s="12" t="str">
        <x:v>19654</x:v>
      </x:c>
      <x:c r="C333" s="21" t="n">
        <x:v>32581.32810185185</x:v>
      </x:c>
      <x:c r="D333" s="12" t="n">
        <x:v>68</x:v>
      </x:c>
      <x:c r="E333" s="12" t="n">
        <x:v>1</x:v>
      </x:c>
      <x:c r="F333" s="12" t="str">
        <x:v>存在</x:v>
      </x:c>
      <x:c r="G333" s="12" t="n">
        <x:v>1</x:v>
      </x:c>
      <x:c r="H333" s="12" t="str">
        <x:v>{'PACE': 100.0}</x:v>
      </x:c>
      <x:c r="I333" s="12" t="str">
        <x:v>[('VPR', 100.0), ('AB', 100.0)]</x:v>
      </x:c>
      <x:c r="J333" s="12" t="str">
        <x:v>ptbxl_database.csv；ecg_id=2587；scp_codes</x:v>
      </x:c>
      <x:c r="K333" s="12" t="str">
        <x:v>12sl_statements.csv；ecg_id=2587；statements_ext_snomed</x:v>
      </x:c>
      <x:c r="L333" s="12"/>
      <x:c r="M333" s="12" t="str">
        <x:v>negative</x:v>
      </x:c>
      <x:c r="N333" s="12"/>
      <x:c r="O333" s="12" t="str">
        <x:v>negative</x:v>
      </x:c>
      <x:c r="P333" s="12" t="str">
        <x:f>IF(OR(M333="unavailable",O333="unavailable"),"不可评价",IF(OR(M333="equivocal",O333="equivocal"),"疑似",IF(AND(M333="positive",O333="positive"),"a",IF(O333="positive","b",IF(M333="positive","c","d")))))</x:f>
        <x:v>d</x:v>
      </x:c>
      <x:c r="Q333" s="12"/>
      <x:c r="R333" s="12" t="str">
        <x:v>negative</x:v>
      </x:c>
      <x:c r="S333" s="12"/>
      <x:c r="T333" s="12" t="str">
        <x:v>negative</x:v>
      </x:c>
      <x:c r="U333" s="12" t="str">
        <x:f>IF(OR(R333="unavailable",T333="unavailable"),"不可评价",IF(OR(R333="equivocal",T333="equivocal"),"疑似",IF(AND(R333="positive",T333="positive"),"a",IF(T333="positive","b",IF(R333="positive","c","d")))))</x:f>
        <x:v>d</x:v>
      </x:c>
      <x:c r="V333" s="12"/>
      <x:c r="W333" s="12" t="str">
        <x:v>negative</x:v>
      </x:c>
      <x:c r="X333" s="12"/>
      <x:c r="Y333" s="12" t="str">
        <x:v>negative</x:v>
      </x:c>
      <x:c r="Z333" s="12" t="str">
        <x:f>IF(OR(W333="unavailable",Y333="unavailable"),"不可评价",IF(OR(W333="equivocal",Y333="equivocal"),"疑似",IF(AND(W333="positive",Y333="positive"),"a",IF(Y333="positive","b",IF(W333="positive","c","d")))))</x:f>
        <x:v>d</x:v>
      </x:c>
      <x:c r="AA333" s="12" t="str">
        <x:f>IF(OR(M333="unavailable",O333="unavailable"),"不可评价",IF(AND(OR(M333="positive",M333="equivocal"),OR(O333="positive",O333="equivocal")),"a",IF(OR(O333="positive",O333="equivocal"),"b",IF(OR(M333="positive",M333="equivocal"),"c","d"))))</x:f>
        <x:v>d</x:v>
      </x:c>
      <x:c r="AB333" s="12" t="str">
        <x:f>IF(OR(M333="unavailable",O333="unavailable"),"不可评价",IF(AND(M333="positive",O333="positive"),"a",IF(O333="positive","b",IF(M333="positive","c","d"))))</x:f>
        <x:v>d</x:v>
      </x:c>
      <x:c r="AC333" s="12" t="str">
        <x:f>IF(OR(R333="unavailable",T333="unavailable"),"不可评价",IF(AND(OR(R333="positive",R333="equivocal"),OR(T333="positive",T333="equivocal")),"a",IF(OR(T333="positive",T333="equivocal"),"b",IF(OR(R333="positive",R333="equivocal"),"c","d"))))</x:f>
        <x:v>d</x:v>
      </x:c>
      <x:c r="AD333" s="12" t="str">
        <x:f>IF(OR(R333="unavailable",T333="unavailable"),"不可评价",IF(AND(R333="positive",T333="positive"),"a",IF(T333="positive","b",IF(R333="positive","c","d"))))</x:f>
        <x:v>d</x:v>
      </x:c>
      <x:c r="AE333" s="12" t="str">
        <x:f>IF(OR(W333="unavailable",Y333="unavailable"),"不可评价",IF(AND(OR(W333="positive",W333="equivocal"),OR(Y333="positive",Y333="equivocal")),"a",IF(OR(Y333="positive",Y333="equivocal"),"b",IF(OR(W333="positive",W333="equivocal"),"c","d"))))</x:f>
        <x:v>d</x:v>
      </x:c>
      <x:c r="AF333" s="12" t="str">
        <x:f>IF(OR(W333="unavailable",Y333="unavailable"),"不可评价",IF(AND(W333="positive",Y333="positive"),"a",IF(Y333="positive","b",IF(W333="positive","c","d"))))</x:f>
        <x:v>d</x:v>
      </x:c>
    </x:row>
    <x:row r="334" ht="24" customHeight="1">
      <x:c r="A334" s="12" t="str">
        <x:v>2592</x:v>
      </x:c>
      <x:c r="B334" s="12" t="str">
        <x:v>19654</x:v>
      </x:c>
      <x:c r="C334" s="21" t="n">
        <x:v>32582.351678240742</x:v>
      </x:c>
      <x:c r="D334" s="12" t="n">
        <x:v>68</x:v>
      </x:c>
      <x:c r="E334" s="12" t="n">
        <x:v>1</x:v>
      </x:c>
      <x:c r="F334" s="12" t="str">
        <x:v>存在</x:v>
      </x:c>
      <x:c r="G334" s="12" t="n">
        <x:v>0</x:v>
      </x:c>
      <x:c r="H334" s="12" t="str">
        <x:v>{'PACE': 100.0}</x:v>
      </x:c>
      <x:c r="I334" s="12" t="str">
        <x:v>[('VPR', 100.0), ('AB', 100.0)]</x:v>
      </x:c>
      <x:c r="J334" s="12" t="str">
        <x:v>ptbxl_database.csv；ecg_id=2592；scp_codes</x:v>
      </x:c>
      <x:c r="K334" s="12" t="str">
        <x:v>12sl_statements.csv；ecg_id=2592；statements_ext_snomed</x:v>
      </x:c>
      <x:c r="L334" s="12"/>
      <x:c r="M334" s="12" t="str">
        <x:v>negative</x:v>
      </x:c>
      <x:c r="N334" s="12"/>
      <x:c r="O334" s="12" t="str">
        <x:v>negative</x:v>
      </x:c>
      <x:c r="P334" s="12" t="str">
        <x:f>IF(OR(M334="unavailable",O334="unavailable"),"不可评价",IF(OR(M334="equivocal",O334="equivocal"),"疑似",IF(AND(M334="positive",O334="positive"),"a",IF(O334="positive","b",IF(M334="positive","c","d")))))</x:f>
        <x:v>d</x:v>
      </x:c>
      <x:c r="Q334" s="12"/>
      <x:c r="R334" s="12" t="str">
        <x:v>negative</x:v>
      </x:c>
      <x:c r="S334" s="12"/>
      <x:c r="T334" s="12" t="str">
        <x:v>negative</x:v>
      </x:c>
      <x:c r="U334" s="12" t="str">
        <x:f>IF(OR(R334="unavailable",T334="unavailable"),"不可评价",IF(OR(R334="equivocal",T334="equivocal"),"疑似",IF(AND(R334="positive",T334="positive"),"a",IF(T334="positive","b",IF(R334="positive","c","d")))))</x:f>
        <x:v>d</x:v>
      </x:c>
      <x:c r="V334" s="12"/>
      <x:c r="W334" s="12" t="str">
        <x:v>negative</x:v>
      </x:c>
      <x:c r="X334" s="12"/>
      <x:c r="Y334" s="12" t="str">
        <x:v>negative</x:v>
      </x:c>
      <x:c r="Z334" s="12" t="str">
        <x:f>IF(OR(W334="unavailable",Y334="unavailable"),"不可评价",IF(OR(W334="equivocal",Y334="equivocal"),"疑似",IF(AND(W334="positive",Y334="positive"),"a",IF(Y334="positive","b",IF(W334="positive","c","d")))))</x:f>
        <x:v>d</x:v>
      </x:c>
      <x:c r="AA334" s="12" t="str">
        <x:f>IF(OR(M334="unavailable",O334="unavailable"),"不可评价",IF(AND(OR(M334="positive",M334="equivocal"),OR(O334="positive",O334="equivocal")),"a",IF(OR(O334="positive",O334="equivocal"),"b",IF(OR(M334="positive",M334="equivocal"),"c","d"))))</x:f>
        <x:v>d</x:v>
      </x:c>
      <x:c r="AB334" s="12" t="str">
        <x:f>IF(OR(M334="unavailable",O334="unavailable"),"不可评价",IF(AND(M334="positive",O334="positive"),"a",IF(O334="positive","b",IF(M334="positive","c","d"))))</x:f>
        <x:v>d</x:v>
      </x:c>
      <x:c r="AC334" s="12" t="str">
        <x:f>IF(OR(R334="unavailable",T334="unavailable"),"不可评价",IF(AND(OR(R334="positive",R334="equivocal"),OR(T334="positive",T334="equivocal")),"a",IF(OR(T334="positive",T334="equivocal"),"b",IF(OR(R334="positive",R334="equivocal"),"c","d"))))</x:f>
        <x:v>d</x:v>
      </x:c>
      <x:c r="AD334" s="12" t="str">
        <x:f>IF(OR(R334="unavailable",T334="unavailable"),"不可评价",IF(AND(R334="positive",T334="positive"),"a",IF(T334="positive","b",IF(R334="positive","c","d"))))</x:f>
        <x:v>d</x:v>
      </x:c>
      <x:c r="AE334" s="12" t="str">
        <x:f>IF(OR(W334="unavailable",Y334="unavailable"),"不可评价",IF(AND(OR(W334="positive",W334="equivocal"),OR(Y334="positive",Y334="equivocal")),"a",IF(OR(Y334="positive",Y334="equivocal"),"b",IF(OR(W334="positive",W334="equivocal"),"c","d"))))</x:f>
        <x:v>d</x:v>
      </x:c>
      <x:c r="AF334" s="12" t="str">
        <x:f>IF(OR(W334="unavailable",Y334="unavailable"),"不可评价",IF(AND(W334="positive",Y334="positive"),"a",IF(Y334="positive","b",IF(W334="positive","c","d"))))</x:f>
        <x:v>d</x:v>
      </x:c>
    </x:row>
    <x:row r="335" ht="24" customHeight="1">
      <x:c r="A335" s="12" t="str">
        <x:v>2596</x:v>
      </x:c>
      <x:c r="B335" s="12" t="str">
        <x:v>20190</x:v>
      </x:c>
      <x:c r="C335" s="21" t="n">
        <x:v>32584.523321759258</x:v>
      </x:c>
      <x:c r="D335" s="12" t="n">
        <x:v>43</x:v>
      </x:c>
      <x:c r="E335" s="12" t="n">
        <x:v>0</x:v>
      </x:c>
      <x:c r="F335" s="12" t="str">
        <x:v>未记录</x:v>
      </x:c>
      <x:c r="G335" s="12" t="n">
        <x:v>0</x:v>
      </x:c>
      <x:c r="H335" s="12" t="str">
        <x:v>{'NORM': 100.0, 'SR': 0.0}</x:v>
      </x:c>
      <x:c r="I335" s="12" t="str">
        <x:v>[('NSR', 100.0), ('NML', 100.0)]</x:v>
      </x:c>
      <x:c r="J335" s="12" t="str">
        <x:v>ptbxl_database.csv；ecg_id=2596；scp_codes</x:v>
      </x:c>
      <x:c r="K335" s="12" t="str">
        <x:v>12sl_statements.csv；ecg_id=2596；statements_ext_snomed</x:v>
      </x:c>
      <x:c r="L335" s="12"/>
      <x:c r="M335" s="12" t="str">
        <x:v>negative</x:v>
      </x:c>
      <x:c r="N335" s="12"/>
      <x:c r="O335" s="12" t="str">
        <x:v>negative</x:v>
      </x:c>
      <x:c r="P335" s="12" t="str">
        <x:f>IF(OR(M335="unavailable",O335="unavailable"),"不可评价",IF(OR(M335="equivocal",O335="equivocal"),"疑似",IF(AND(M335="positive",O335="positive"),"a",IF(O335="positive","b",IF(M335="positive","c","d")))))</x:f>
        <x:v>d</x:v>
      </x:c>
      <x:c r="Q335" s="12"/>
      <x:c r="R335" s="12" t="str">
        <x:v>negative</x:v>
      </x:c>
      <x:c r="S335" s="12"/>
      <x:c r="T335" s="12" t="str">
        <x:v>negative</x:v>
      </x:c>
      <x:c r="U335" s="12" t="str">
        <x:f>IF(OR(R335="unavailable",T335="unavailable"),"不可评价",IF(OR(R335="equivocal",T335="equivocal"),"疑似",IF(AND(R335="positive",T335="positive"),"a",IF(T335="positive","b",IF(R335="positive","c","d")))))</x:f>
        <x:v>d</x:v>
      </x:c>
      <x:c r="V335" s="12"/>
      <x:c r="W335" s="12" t="str">
        <x:v>negative</x:v>
      </x:c>
      <x:c r="X335" s="12"/>
      <x:c r="Y335" s="12" t="str">
        <x:v>negative</x:v>
      </x:c>
      <x:c r="Z335" s="12" t="str">
        <x:f>IF(OR(W335="unavailable",Y335="unavailable"),"不可评价",IF(OR(W335="equivocal",Y335="equivocal"),"疑似",IF(AND(W335="positive",Y335="positive"),"a",IF(Y335="positive","b",IF(W335="positive","c","d")))))</x:f>
        <x:v>d</x:v>
      </x:c>
      <x:c r="AA335" s="12" t="str">
        <x:f>IF(OR(M335="unavailable",O335="unavailable"),"不可评价",IF(AND(OR(M335="positive",M335="equivocal"),OR(O335="positive",O335="equivocal")),"a",IF(OR(O335="positive",O335="equivocal"),"b",IF(OR(M335="positive",M335="equivocal"),"c","d"))))</x:f>
        <x:v>d</x:v>
      </x:c>
      <x:c r="AB335" s="12" t="str">
        <x:f>IF(OR(M335="unavailable",O335="unavailable"),"不可评价",IF(AND(M335="positive",O335="positive"),"a",IF(O335="positive","b",IF(M335="positive","c","d"))))</x:f>
        <x:v>d</x:v>
      </x:c>
      <x:c r="AC335" s="12" t="str">
        <x:f>IF(OR(R335="unavailable",T335="unavailable"),"不可评价",IF(AND(OR(R335="positive",R335="equivocal"),OR(T335="positive",T335="equivocal")),"a",IF(OR(T335="positive",T335="equivocal"),"b",IF(OR(R335="positive",R335="equivocal"),"c","d"))))</x:f>
        <x:v>d</x:v>
      </x:c>
      <x:c r="AD335" s="12" t="str">
        <x:f>IF(OR(R335="unavailable",T335="unavailable"),"不可评价",IF(AND(R335="positive",T335="positive"),"a",IF(T335="positive","b",IF(R335="positive","c","d"))))</x:f>
        <x:v>d</x:v>
      </x:c>
      <x:c r="AE335" s="12" t="str">
        <x:f>IF(OR(W335="unavailable",Y335="unavailable"),"不可评价",IF(AND(OR(W335="positive",W335="equivocal"),OR(Y335="positive",Y335="equivocal")),"a",IF(OR(Y335="positive",Y335="equivocal"),"b",IF(OR(W335="positive",W335="equivocal"),"c","d"))))</x:f>
        <x:v>d</x:v>
      </x:c>
      <x:c r="AF335" s="12" t="str">
        <x:f>IF(OR(W335="unavailable",Y335="unavailable"),"不可评价",IF(AND(W335="positive",Y335="positive"),"a",IF(Y335="positive","b",IF(W335="positive","c","d"))))</x:f>
        <x:v>d</x:v>
      </x:c>
    </x:row>
    <x:row r="336" ht="24" customHeight="1">
      <x:c r="A336" s="12" t="str">
        <x:v>2598</x:v>
      </x:c>
      <x:c r="B336" s="12" t="str">
        <x:v>13358</x:v>
      </x:c>
      <x:c r="C336" s="21" t="n">
        <x:v>32585.35922453704</x:v>
      </x:c>
      <x:c r="D336" s="12" t="n">
        <x:v>71</x:v>
      </x:c>
      <x:c r="E336" s="12" t="n">
        <x:v>0</x:v>
      </x:c>
      <x:c r="F336" s="12" t="str">
        <x:v>未记录</x:v>
      </x:c>
      <x:c r="G336" s="12" t="n">
        <x:v>1</x:v>
      </x:c>
      <x:c r="H336" s="12" t="str">
        <x:v>{'AMI': 50.0, 'NDT': 100.0}</x:v>
      </x:c>
      <x:c r="I336" s="12" t="str">
        <x:v>[('JUNCT-R', 100.0), ('NT', 100.0), ('AB', 100.0)]</x:v>
      </x:c>
      <x:c r="J336" s="12" t="str">
        <x:v>ptbxl_database.csv；ecg_id=2598；scp_codes</x:v>
      </x:c>
      <x:c r="K336" s="12" t="str">
        <x:v>12sl_statements.csv；ecg_id=2598；statements_ext_snomed</x:v>
      </x:c>
      <x:c r="L336" s="12"/>
      <x:c r="M336" s="12" t="str">
        <x:v>negative</x:v>
      </x:c>
      <x:c r="N336" s="12"/>
      <x:c r="O336" s="12" t="str">
        <x:v>negative</x:v>
      </x:c>
      <x:c r="P336" s="12" t="str">
        <x:f>IF(OR(M336="unavailable",O336="unavailable"),"不可评价",IF(OR(M336="equivocal",O336="equivocal"),"疑似",IF(AND(M336="positive",O336="positive"),"a",IF(O336="positive","b",IF(M336="positive","c","d")))))</x:f>
        <x:v>d</x:v>
      </x:c>
      <x:c r="Q336" s="12"/>
      <x:c r="R336" s="12" t="str">
        <x:v>negative</x:v>
      </x:c>
      <x:c r="S336" s="12"/>
      <x:c r="T336" s="12" t="str">
        <x:v>negative</x:v>
      </x:c>
      <x:c r="U336" s="12" t="str">
        <x:f>IF(OR(R336="unavailable",T336="unavailable"),"不可评价",IF(OR(R336="equivocal",T336="equivocal"),"疑似",IF(AND(R336="positive",T336="positive"),"a",IF(T336="positive","b",IF(R336="positive","c","d")))))</x:f>
        <x:v>d</x:v>
      </x:c>
      <x:c r="V336" s="12"/>
      <x:c r="W336" s="12" t="str">
        <x:v>negative</x:v>
      </x:c>
      <x:c r="X336" s="12"/>
      <x:c r="Y336" s="12" t="str">
        <x:v>negative</x:v>
      </x:c>
      <x:c r="Z336" s="12" t="str">
        <x:f>IF(OR(W336="unavailable",Y336="unavailable"),"不可评价",IF(OR(W336="equivocal",Y336="equivocal"),"疑似",IF(AND(W336="positive",Y336="positive"),"a",IF(Y336="positive","b",IF(W336="positive","c","d")))))</x:f>
        <x:v>d</x:v>
      </x:c>
      <x:c r="AA336" s="12" t="str">
        <x:f>IF(OR(M336="unavailable",O336="unavailable"),"不可评价",IF(AND(OR(M336="positive",M336="equivocal"),OR(O336="positive",O336="equivocal")),"a",IF(OR(O336="positive",O336="equivocal"),"b",IF(OR(M336="positive",M336="equivocal"),"c","d"))))</x:f>
        <x:v>d</x:v>
      </x:c>
      <x:c r="AB336" s="12" t="str">
        <x:f>IF(OR(M336="unavailable",O336="unavailable"),"不可评价",IF(AND(M336="positive",O336="positive"),"a",IF(O336="positive","b",IF(M336="positive","c","d"))))</x:f>
        <x:v>d</x:v>
      </x:c>
      <x:c r="AC336" s="12" t="str">
        <x:f>IF(OR(R336="unavailable",T336="unavailable"),"不可评价",IF(AND(OR(R336="positive",R336="equivocal"),OR(T336="positive",T336="equivocal")),"a",IF(OR(T336="positive",T336="equivocal"),"b",IF(OR(R336="positive",R336="equivocal"),"c","d"))))</x:f>
        <x:v>d</x:v>
      </x:c>
      <x:c r="AD336" s="12" t="str">
        <x:f>IF(OR(R336="unavailable",T336="unavailable"),"不可评价",IF(AND(R336="positive",T336="positive"),"a",IF(T336="positive","b",IF(R336="positive","c","d"))))</x:f>
        <x:v>d</x:v>
      </x:c>
      <x:c r="AE336" s="12" t="str">
        <x:f>IF(OR(W336="unavailable",Y336="unavailable"),"不可评价",IF(AND(OR(W336="positive",W336="equivocal"),OR(Y336="positive",Y336="equivocal")),"a",IF(OR(Y336="positive",Y336="equivocal"),"b",IF(OR(W336="positive",W336="equivocal"),"c","d"))))</x:f>
        <x:v>d</x:v>
      </x:c>
      <x:c r="AF336" s="12" t="str">
        <x:f>IF(OR(W336="unavailable",Y336="unavailable"),"不可评价",IF(AND(W336="positive",Y336="positive"),"a",IF(Y336="positive","b",IF(W336="positive","c","d"))))</x:f>
        <x:v>d</x:v>
      </x:c>
    </x:row>
    <x:row r="337" ht="24" customHeight="1">
      <x:c r="A337" s="12" t="str">
        <x:v>2602</x:v>
      </x:c>
      <x:c r="B337" s="12" t="str">
        <x:v>16718</x:v>
      </x:c>
      <x:c r="C337" s="21" t="n">
        <x:v>32586.32056712963</x:v>
      </x:c>
      <x:c r="D337" s="12" t="n">
        <x:v>88</x:v>
      </x:c>
      <x:c r="E337" s="12" t="n">
        <x:v>1</x:v>
      </x:c>
      <x:c r="F337" s="12" t="str">
        <x:v>未记录</x:v>
      </x:c>
      <x:c r="G337" s="12" t="n">
        <x:v>1</x:v>
      </x:c>
      <x:c r="H337" s="12" t="str">
        <x:v>{'LVH': 100.0, 'NST_': 100.0}</x:v>
      </x:c>
      <x:c r="I337" s="12" t="str">
        <x:v>[('SRTH', 100.0), ('MSAR', 100.0), ('LVH2', 100.0), ('2ST', 100.0), ('AB', 100.0)]</x:v>
      </x:c>
      <x:c r="J337" s="12" t="str">
        <x:v>ptbxl_database.csv；ecg_id=2602；scp_codes</x:v>
      </x:c>
      <x:c r="K337" s="12" t="str">
        <x:v>12sl_statements.csv；ecg_id=2602；statements_ext_snomed</x:v>
      </x:c>
      <x:c r="L337" s="12"/>
      <x:c r="M337" s="12" t="str">
        <x:v>negative</x:v>
      </x:c>
      <x:c r="N337" s="12"/>
      <x:c r="O337" s="12" t="str">
        <x:v>negative</x:v>
      </x:c>
      <x:c r="P337" s="12" t="str">
        <x:f>IF(OR(M337="unavailable",O337="unavailable"),"不可评价",IF(OR(M337="equivocal",O337="equivocal"),"疑似",IF(AND(M337="positive",O337="positive"),"a",IF(O337="positive","b",IF(M337="positive","c","d")))))</x:f>
        <x:v>d</x:v>
      </x:c>
      <x:c r="Q337" s="12"/>
      <x:c r="R337" s="12" t="str">
        <x:v>negative</x:v>
      </x:c>
      <x:c r="S337" s="12"/>
      <x:c r="T337" s="12" t="str">
        <x:v>negative</x:v>
      </x:c>
      <x:c r="U337" s="12" t="str">
        <x:f>IF(OR(R337="unavailable",T337="unavailable"),"不可评价",IF(OR(R337="equivocal",T337="equivocal"),"疑似",IF(AND(R337="positive",T337="positive"),"a",IF(T337="positive","b",IF(R337="positive","c","d")))))</x:f>
        <x:v>d</x:v>
      </x:c>
      <x:c r="V337" s="12"/>
      <x:c r="W337" s="12" t="str">
        <x:v>negative</x:v>
      </x:c>
      <x:c r="X337" s="12"/>
      <x:c r="Y337" s="12" t="str">
        <x:v>negative</x:v>
      </x:c>
      <x:c r="Z337" s="12" t="str">
        <x:f>IF(OR(W337="unavailable",Y337="unavailable"),"不可评价",IF(OR(W337="equivocal",Y337="equivocal"),"疑似",IF(AND(W337="positive",Y337="positive"),"a",IF(Y337="positive","b",IF(W337="positive","c","d")))))</x:f>
        <x:v>d</x:v>
      </x:c>
      <x:c r="AA337" s="12" t="str">
        <x:f>IF(OR(M337="unavailable",O337="unavailable"),"不可评价",IF(AND(OR(M337="positive",M337="equivocal"),OR(O337="positive",O337="equivocal")),"a",IF(OR(O337="positive",O337="equivocal"),"b",IF(OR(M337="positive",M337="equivocal"),"c","d"))))</x:f>
        <x:v>d</x:v>
      </x:c>
      <x:c r="AB337" s="12" t="str">
        <x:f>IF(OR(M337="unavailable",O337="unavailable"),"不可评价",IF(AND(M337="positive",O337="positive"),"a",IF(O337="positive","b",IF(M337="positive","c","d"))))</x:f>
        <x:v>d</x:v>
      </x:c>
      <x:c r="AC337" s="12" t="str">
        <x:f>IF(OR(R337="unavailable",T337="unavailable"),"不可评价",IF(AND(OR(R337="positive",R337="equivocal"),OR(T337="positive",T337="equivocal")),"a",IF(OR(T337="positive",T337="equivocal"),"b",IF(OR(R337="positive",R337="equivocal"),"c","d"))))</x:f>
        <x:v>d</x:v>
      </x:c>
      <x:c r="AD337" s="12" t="str">
        <x:f>IF(OR(R337="unavailable",T337="unavailable"),"不可评价",IF(AND(R337="positive",T337="positive"),"a",IF(T337="positive","b",IF(R337="positive","c","d"))))</x:f>
        <x:v>d</x:v>
      </x:c>
      <x:c r="AE337" s="12" t="str">
        <x:f>IF(OR(W337="unavailable",Y337="unavailable"),"不可评价",IF(AND(OR(W337="positive",W337="equivocal"),OR(Y337="positive",Y337="equivocal")),"a",IF(OR(Y337="positive",Y337="equivocal"),"b",IF(OR(W337="positive",W337="equivocal"),"c","d"))))</x:f>
        <x:v>d</x:v>
      </x:c>
      <x:c r="AF337" s="12" t="str">
        <x:f>IF(OR(W337="unavailable",Y337="unavailable"),"不可评价",IF(AND(W337="positive",Y337="positive"),"a",IF(Y337="positive","b",IF(W337="positive","c","d"))))</x:f>
        <x:v>d</x:v>
      </x:c>
    </x:row>
    <x:row r="338" ht="24" customHeight="1">
      <x:c r="A338" s="12" t="str">
        <x:v>2605</x:v>
      </x:c>
      <x:c r="B338" s="12" t="str">
        <x:v>19670</x:v>
      </x:c>
      <x:c r="C338" s="21" t="n">
        <x:v>32586.715625</x:v>
      </x:c>
      <x:c r="D338" s="12" t="n">
        <x:v>77</x:v>
      </x:c>
      <x:c r="E338" s="12" t="n">
        <x:v>0</x:v>
      </x:c>
      <x:c r="F338" s="12" t="str">
        <x:v>未记录</x:v>
      </x:c>
      <x:c r="G338" s="12" t="n">
        <x:v>1</x:v>
      </x:c>
      <x:c r="H338" s="12" t="str">
        <x:v>{'ILMI': 100.0, 'PVC': 100.0, 'ABQRS': 0.0, 'SR': 0.0}</x:v>
      </x:c>
      <x:c r="I338" s="12" t="str">
        <x:v>[('SRTH', 100.0), ('PVC', 100.0), ('LAD3', 100.0), ('IMI;AU', 100.0), ('AB', 100.0)]</x:v>
      </x:c>
      <x:c r="J338" s="12" t="str">
        <x:v>ptbxl_database.csv；ecg_id=2605；scp_codes</x:v>
      </x:c>
      <x:c r="K338" s="12" t="str">
        <x:v>12sl_statements.csv；ecg_id=2605；statements_ext_snomed</x:v>
      </x:c>
      <x:c r="L338" s="12"/>
      <x:c r="M338" s="12" t="str">
        <x:v>negative</x:v>
      </x:c>
      <x:c r="N338" s="12"/>
      <x:c r="O338" s="12" t="str">
        <x:v>negative</x:v>
      </x:c>
      <x:c r="P338" s="12" t="str">
        <x:f>IF(OR(M338="unavailable",O338="unavailable"),"不可评价",IF(OR(M338="equivocal",O338="equivocal"),"疑似",IF(AND(M338="positive",O338="positive"),"a",IF(O338="positive","b",IF(M338="positive","c","d")))))</x:f>
        <x:v>d</x:v>
      </x:c>
      <x:c r="Q338" s="12"/>
      <x:c r="R338" s="12" t="str">
        <x:v>negative</x:v>
      </x:c>
      <x:c r="S338" s="12"/>
      <x:c r="T338" s="12" t="str">
        <x:v>negative</x:v>
      </x:c>
      <x:c r="U338" s="12" t="str">
        <x:f>IF(OR(R338="unavailable",T338="unavailable"),"不可评价",IF(OR(R338="equivocal",T338="equivocal"),"疑似",IF(AND(R338="positive",T338="positive"),"a",IF(T338="positive","b",IF(R338="positive","c","d")))))</x:f>
        <x:v>d</x:v>
      </x:c>
      <x:c r="V338" s="12"/>
      <x:c r="W338" s="12" t="str">
        <x:v>negative</x:v>
      </x:c>
      <x:c r="X338" s="12"/>
      <x:c r="Y338" s="12" t="str">
        <x:v>negative</x:v>
      </x:c>
      <x:c r="Z338" s="12" t="str">
        <x:f>IF(OR(W338="unavailable",Y338="unavailable"),"不可评价",IF(OR(W338="equivocal",Y338="equivocal"),"疑似",IF(AND(W338="positive",Y338="positive"),"a",IF(Y338="positive","b",IF(W338="positive","c","d")))))</x:f>
        <x:v>d</x:v>
      </x:c>
      <x:c r="AA338" s="12" t="str">
        <x:f>IF(OR(M338="unavailable",O338="unavailable"),"不可评价",IF(AND(OR(M338="positive",M338="equivocal"),OR(O338="positive",O338="equivocal")),"a",IF(OR(O338="positive",O338="equivocal"),"b",IF(OR(M338="positive",M338="equivocal"),"c","d"))))</x:f>
        <x:v>d</x:v>
      </x:c>
      <x:c r="AB338" s="12" t="str">
        <x:f>IF(OR(M338="unavailable",O338="unavailable"),"不可评价",IF(AND(M338="positive",O338="positive"),"a",IF(O338="positive","b",IF(M338="positive","c","d"))))</x:f>
        <x:v>d</x:v>
      </x:c>
      <x:c r="AC338" s="12" t="str">
        <x:f>IF(OR(R338="unavailable",T338="unavailable"),"不可评价",IF(AND(OR(R338="positive",R338="equivocal"),OR(T338="positive",T338="equivocal")),"a",IF(OR(T338="positive",T338="equivocal"),"b",IF(OR(R338="positive",R338="equivocal"),"c","d"))))</x:f>
        <x:v>d</x:v>
      </x:c>
      <x:c r="AD338" s="12" t="str">
        <x:f>IF(OR(R338="unavailable",T338="unavailable"),"不可评价",IF(AND(R338="positive",T338="positive"),"a",IF(T338="positive","b",IF(R338="positive","c","d"))))</x:f>
        <x:v>d</x:v>
      </x:c>
      <x:c r="AE338" s="12" t="str">
        <x:f>IF(OR(W338="unavailable",Y338="unavailable"),"不可评价",IF(AND(OR(W338="positive",W338="equivocal"),OR(Y338="positive",Y338="equivocal")),"a",IF(OR(Y338="positive",Y338="equivocal"),"b",IF(OR(W338="positive",W338="equivocal"),"c","d"))))</x:f>
        <x:v>d</x:v>
      </x:c>
      <x:c r="AF338" s="12" t="str">
        <x:f>IF(OR(W338="unavailable",Y338="unavailable"),"不可评价",IF(AND(W338="positive",Y338="positive"),"a",IF(Y338="positive","b",IF(W338="positive","c","d"))))</x:f>
        <x:v>d</x:v>
      </x:c>
    </x:row>
    <x:row r="339" ht="24" customHeight="1">
      <x:c r="A339" s="12" t="str">
        <x:v>2606</x:v>
      </x:c>
      <x:c r="B339" s="12" t="str">
        <x:v>13485</x:v>
      </x:c>
      <x:c r="C339" s="21" t="n">
        <x:v>32587.335740740742</x:v>
      </x:c>
      <x:c r="D339" s="12" t="n">
        <x:v>74</x:v>
      </x:c>
      <x:c r="E339" s="12" t="n">
        <x:v>0</x:v>
      </x:c>
      <x:c r="F339" s="12" t="str">
        <x:v>存在</x:v>
      </x:c>
      <x:c r="G339" s="12" t="n">
        <x:v>1</x:v>
      </x:c>
      <x:c r="H339" s="12" t="str">
        <x:v>{'IMI': 15.0, '1AVB': 100.0, 'SR': 0.0}</x:v>
      </x:c>
      <x:c r="I339" s="12" t="str">
        <x:v>[('SBRAD', 100.0), ('FAV', 100.0), ('ABR', 100.0)]</x:v>
      </x:c>
      <x:c r="J339" s="12" t="str">
        <x:v>ptbxl_database.csv；ecg_id=2606；scp_codes</x:v>
      </x:c>
      <x:c r="K339" s="12" t="str">
        <x:v>12sl_statements.csv；ecg_id=2606；statements_ext_snomed</x:v>
      </x:c>
      <x:c r="L339" s="12"/>
      <x:c r="M339" s="12" t="str">
        <x:v>negative</x:v>
      </x:c>
      <x:c r="N339" s="12"/>
      <x:c r="O339" s="12" t="str">
        <x:v>negative</x:v>
      </x:c>
      <x:c r="P339" s="12" t="str">
        <x:f>IF(OR(M339="unavailable",O339="unavailable"),"不可评价",IF(OR(M339="equivocal",O339="equivocal"),"疑似",IF(AND(M339="positive",O339="positive"),"a",IF(O339="positive","b",IF(M339="positive","c","d")))))</x:f>
        <x:v>d</x:v>
      </x:c>
      <x:c r="Q339" s="12"/>
      <x:c r="R339" s="12" t="str">
        <x:v>negative</x:v>
      </x:c>
      <x:c r="S339" s="12"/>
      <x:c r="T339" s="12" t="str">
        <x:v>negative</x:v>
      </x:c>
      <x:c r="U339" s="12" t="str">
        <x:f>IF(OR(R339="unavailable",T339="unavailable"),"不可评价",IF(OR(R339="equivocal",T339="equivocal"),"疑似",IF(AND(R339="positive",T339="positive"),"a",IF(T339="positive","b",IF(R339="positive","c","d")))))</x:f>
        <x:v>d</x:v>
      </x:c>
      <x:c r="V339" s="12"/>
      <x:c r="W339" s="12" t="str">
        <x:v>negative</x:v>
      </x:c>
      <x:c r="X339" s="12"/>
      <x:c r="Y339" s="12" t="str">
        <x:v>negative</x:v>
      </x:c>
      <x:c r="Z339" s="12" t="str">
        <x:f>IF(OR(W339="unavailable",Y339="unavailable"),"不可评价",IF(OR(W339="equivocal",Y339="equivocal"),"疑似",IF(AND(W339="positive",Y339="positive"),"a",IF(Y339="positive","b",IF(W339="positive","c","d")))))</x:f>
        <x:v>d</x:v>
      </x:c>
      <x:c r="AA339" s="12" t="str">
        <x:f>IF(OR(M339="unavailable",O339="unavailable"),"不可评价",IF(AND(OR(M339="positive",M339="equivocal"),OR(O339="positive",O339="equivocal")),"a",IF(OR(O339="positive",O339="equivocal"),"b",IF(OR(M339="positive",M339="equivocal"),"c","d"))))</x:f>
        <x:v>d</x:v>
      </x:c>
      <x:c r="AB339" s="12" t="str">
        <x:f>IF(OR(M339="unavailable",O339="unavailable"),"不可评价",IF(AND(M339="positive",O339="positive"),"a",IF(O339="positive","b",IF(M339="positive","c","d"))))</x:f>
        <x:v>d</x:v>
      </x:c>
      <x:c r="AC339" s="12" t="str">
        <x:f>IF(OR(R339="unavailable",T339="unavailable"),"不可评价",IF(AND(OR(R339="positive",R339="equivocal"),OR(T339="positive",T339="equivocal")),"a",IF(OR(T339="positive",T339="equivocal"),"b",IF(OR(R339="positive",R339="equivocal"),"c","d"))))</x:f>
        <x:v>d</x:v>
      </x:c>
      <x:c r="AD339" s="12" t="str">
        <x:f>IF(OR(R339="unavailable",T339="unavailable"),"不可评价",IF(AND(R339="positive",T339="positive"),"a",IF(T339="positive","b",IF(R339="positive","c","d"))))</x:f>
        <x:v>d</x:v>
      </x:c>
      <x:c r="AE339" s="12" t="str">
        <x:f>IF(OR(W339="unavailable",Y339="unavailable"),"不可评价",IF(AND(OR(W339="positive",W339="equivocal"),OR(Y339="positive",Y339="equivocal")),"a",IF(OR(Y339="positive",Y339="equivocal"),"b",IF(OR(W339="positive",W339="equivocal"),"c","d"))))</x:f>
        <x:v>d</x:v>
      </x:c>
      <x:c r="AF339" s="12" t="str">
        <x:f>IF(OR(W339="unavailable",Y339="unavailable"),"不可评价",IF(AND(W339="positive",Y339="positive"),"a",IF(Y339="positive","b",IF(W339="positive","c","d"))))</x:f>
        <x:v>d</x:v>
      </x:c>
    </x:row>
    <x:row r="340" ht="24" customHeight="1">
      <x:c r="A340" s="12" t="str">
        <x:v>2626</x:v>
      </x:c>
      <x:c r="B340" s="12" t="str">
        <x:v>13026</x:v>
      </x:c>
      <x:c r="C340" s="21" t="n">
        <x:v>32592.491701388888</x:v>
      </x:c>
      <x:c r="D340" s="12" t="n">
        <x:v>81</x:v>
      </x:c>
      <x:c r="E340" s="12" t="n">
        <x:v>0</x:v>
      </x:c>
      <x:c r="F340" s="12" t="str">
        <x:v>未记录</x:v>
      </x:c>
      <x:c r="G340" s="12" t="n">
        <x:v>1</x:v>
      </x:c>
      <x:c r="H340" s="12" t="str">
        <x:v>{'IRBBB': 100.0, 'SARRH': 0.0}</x:v>
      </x:c>
      <x:c r="I340" s="12" t="str">
        <x:v>[('SRTH', 100.0), ('PAC', 100.0), ('RBBB', 100.0), ('AB', 100.0)]</x:v>
      </x:c>
      <x:c r="J340" s="12" t="str">
        <x:v>ptbxl_database.csv；ecg_id=2626；scp_codes</x:v>
      </x:c>
      <x:c r="K340" s="12" t="str">
        <x:v>12sl_statements.csv；ecg_id=2626；statements_ext_snomed</x:v>
      </x:c>
      <x:c r="L340" s="12"/>
      <x:c r="M340" s="12" t="str">
        <x:v>negative</x:v>
      </x:c>
      <x:c r="N340" s="12"/>
      <x:c r="O340" s="12" t="str">
        <x:v>negative</x:v>
      </x:c>
      <x:c r="P340" s="12" t="str">
        <x:f>IF(OR(M340="unavailable",O340="unavailable"),"不可评价",IF(OR(M340="equivocal",O340="equivocal"),"疑似",IF(AND(M340="positive",O340="positive"),"a",IF(O340="positive","b",IF(M340="positive","c","d")))))</x:f>
        <x:v>d</x:v>
      </x:c>
      <x:c r="Q340" s="12"/>
      <x:c r="R340" s="12" t="str">
        <x:v>negative</x:v>
      </x:c>
      <x:c r="S340" s="12"/>
      <x:c r="T340" s="12" t="str">
        <x:v>negative</x:v>
      </x:c>
      <x:c r="U340" s="12" t="str">
        <x:f>IF(OR(R340="unavailable",T340="unavailable"),"不可评价",IF(OR(R340="equivocal",T340="equivocal"),"疑似",IF(AND(R340="positive",T340="positive"),"a",IF(T340="positive","b",IF(R340="positive","c","d")))))</x:f>
        <x:v>d</x:v>
      </x:c>
      <x:c r="V340" s="12"/>
      <x:c r="W340" s="12" t="str">
        <x:v>negative</x:v>
      </x:c>
      <x:c r="X340" s="12" t="n">
        <x:v>100</x:v>
      </x:c>
      <x:c r="Y340" s="12" t="str">
        <x:v>positive</x:v>
      </x:c>
      <x:c r="Z340" s="12" t="str">
        <x:f>IF(OR(W340="unavailable",Y340="unavailable"),"不可评价",IF(OR(W340="equivocal",Y340="equivocal"),"疑似",IF(AND(W340="positive",Y340="positive"),"a",IF(Y340="positive","b",IF(W340="positive","c","d")))))</x:f>
        <x:v>b</x:v>
      </x:c>
      <x:c r="AA340" s="12" t="str">
        <x:f>IF(OR(M340="unavailable",O340="unavailable"),"不可评价",IF(AND(OR(M340="positive",M340="equivocal"),OR(O340="positive",O340="equivocal")),"a",IF(OR(O340="positive",O340="equivocal"),"b",IF(OR(M340="positive",M340="equivocal"),"c","d"))))</x:f>
        <x:v>d</x:v>
      </x:c>
      <x:c r="AB340" s="12" t="str">
        <x:f>IF(OR(M340="unavailable",O340="unavailable"),"不可评价",IF(AND(M340="positive",O340="positive"),"a",IF(O340="positive","b",IF(M340="positive","c","d"))))</x:f>
        <x:v>d</x:v>
      </x:c>
      <x:c r="AC340" s="12" t="str">
        <x:f>IF(OR(R340="unavailable",T340="unavailable"),"不可评价",IF(AND(OR(R340="positive",R340="equivocal"),OR(T340="positive",T340="equivocal")),"a",IF(OR(T340="positive",T340="equivocal"),"b",IF(OR(R340="positive",R340="equivocal"),"c","d"))))</x:f>
        <x:v>d</x:v>
      </x:c>
      <x:c r="AD340" s="12" t="str">
        <x:f>IF(OR(R340="unavailable",T340="unavailable"),"不可评价",IF(AND(R340="positive",T340="positive"),"a",IF(T340="positive","b",IF(R340="positive","c","d"))))</x:f>
        <x:v>d</x:v>
      </x:c>
      <x:c r="AE340" s="12" t="str">
        <x:f>IF(OR(W340="unavailable",Y340="unavailable"),"不可评价",IF(AND(OR(W340="positive",W340="equivocal"),OR(Y340="positive",Y340="equivocal")),"a",IF(OR(Y340="positive",Y340="equivocal"),"b",IF(OR(W340="positive",W340="equivocal"),"c","d"))))</x:f>
        <x:v>b</x:v>
      </x:c>
      <x:c r="AF340" s="12" t="str">
        <x:f>IF(OR(W340="unavailable",Y340="unavailable"),"不可评价",IF(AND(W340="positive",Y340="positive"),"a",IF(Y340="positive","b",IF(W340="positive","c","d"))))</x:f>
        <x:v>b</x:v>
      </x:c>
    </x:row>
    <x:row r="341" ht="24" customHeight="1">
      <x:c r="A341" s="12" t="str">
        <x:v>2627</x:v>
      </x:c>
      <x:c r="B341" s="12" t="str">
        <x:v>6589</x:v>
      </x:c>
      <x:c r="C341" s="21" t="n">
        <x:v>32592.65420138889</x:v>
      </x:c>
      <x:c r="D341" s="12" t="n">
        <x:v>45</x:v>
      </x:c>
      <x:c r="E341" s="12" t="n">
        <x:v>0</x:v>
      </x:c>
      <x:c r="F341" s="12" t="str">
        <x:v>未记录</x:v>
      </x:c>
      <x:c r="G341" s="12" t="n">
        <x:v>1</x:v>
      </x:c>
      <x:c r="H341" s="12" t="str">
        <x:v>{'IMI': 80.0, 'QWAVE': 0.0, 'SARRH': 0.0}</x:v>
      </x:c>
      <x:c r="I341" s="12" t="str">
        <x:v>[('NSR', 100.0), ('SAR', 100.0), ('IMI;AU', 100.0), ('AB', 100.0)]</x:v>
      </x:c>
      <x:c r="J341" s="12" t="str">
        <x:v>ptbxl_database.csv；ecg_id=2627；scp_codes</x:v>
      </x:c>
      <x:c r="K341" s="12" t="str">
        <x:v>12sl_statements.csv；ecg_id=2627；statements_ext_snomed</x:v>
      </x:c>
      <x:c r="L341" s="12"/>
      <x:c r="M341" s="12" t="str">
        <x:v>negative</x:v>
      </x:c>
      <x:c r="N341" s="12"/>
      <x:c r="O341" s="12" t="str">
        <x:v>negative</x:v>
      </x:c>
      <x:c r="P341" s="12" t="str">
        <x:f>IF(OR(M341="unavailable",O341="unavailable"),"不可评价",IF(OR(M341="equivocal",O341="equivocal"),"疑似",IF(AND(M341="positive",O341="positive"),"a",IF(O341="positive","b",IF(M341="positive","c","d")))))</x:f>
        <x:v>d</x:v>
      </x:c>
      <x:c r="Q341" s="12"/>
      <x:c r="R341" s="12" t="str">
        <x:v>negative</x:v>
      </x:c>
      <x:c r="S341" s="12"/>
      <x:c r="T341" s="12" t="str">
        <x:v>negative</x:v>
      </x:c>
      <x:c r="U341" s="12" t="str">
        <x:f>IF(OR(R341="unavailable",T341="unavailable"),"不可评价",IF(OR(R341="equivocal",T341="equivocal"),"疑似",IF(AND(R341="positive",T341="positive"),"a",IF(T341="positive","b",IF(R341="positive","c","d")))))</x:f>
        <x:v>d</x:v>
      </x:c>
      <x:c r="V341" s="12"/>
      <x:c r="W341" s="12" t="str">
        <x:v>negative</x:v>
      </x:c>
      <x:c r="X341" s="12"/>
      <x:c r="Y341" s="12" t="str">
        <x:v>negative</x:v>
      </x:c>
      <x:c r="Z341" s="12" t="str">
        <x:f>IF(OR(W341="unavailable",Y341="unavailable"),"不可评价",IF(OR(W341="equivocal",Y341="equivocal"),"疑似",IF(AND(W341="positive",Y341="positive"),"a",IF(Y341="positive","b",IF(W341="positive","c","d")))))</x:f>
        <x:v>d</x:v>
      </x:c>
      <x:c r="AA341" s="12" t="str">
        <x:f>IF(OR(M341="unavailable",O341="unavailable"),"不可评价",IF(AND(OR(M341="positive",M341="equivocal"),OR(O341="positive",O341="equivocal")),"a",IF(OR(O341="positive",O341="equivocal"),"b",IF(OR(M341="positive",M341="equivocal"),"c","d"))))</x:f>
        <x:v>d</x:v>
      </x:c>
      <x:c r="AB341" s="12" t="str">
        <x:f>IF(OR(M341="unavailable",O341="unavailable"),"不可评价",IF(AND(M341="positive",O341="positive"),"a",IF(O341="positive","b",IF(M341="positive","c","d"))))</x:f>
        <x:v>d</x:v>
      </x:c>
      <x:c r="AC341" s="12" t="str">
        <x:f>IF(OR(R341="unavailable",T341="unavailable"),"不可评价",IF(AND(OR(R341="positive",R341="equivocal"),OR(T341="positive",T341="equivocal")),"a",IF(OR(T341="positive",T341="equivocal"),"b",IF(OR(R341="positive",R341="equivocal"),"c","d"))))</x:f>
        <x:v>d</x:v>
      </x:c>
      <x:c r="AD341" s="12" t="str">
        <x:f>IF(OR(R341="unavailable",T341="unavailable"),"不可评价",IF(AND(R341="positive",T341="positive"),"a",IF(T341="positive","b",IF(R341="positive","c","d"))))</x:f>
        <x:v>d</x:v>
      </x:c>
      <x:c r="AE341" s="12" t="str">
        <x:f>IF(OR(W341="unavailable",Y341="unavailable"),"不可评价",IF(AND(OR(W341="positive",W341="equivocal"),OR(Y341="positive",Y341="equivocal")),"a",IF(OR(Y341="positive",Y341="equivocal"),"b",IF(OR(W341="positive",W341="equivocal"),"c","d"))))</x:f>
        <x:v>d</x:v>
      </x:c>
      <x:c r="AF341" s="12" t="str">
        <x:f>IF(OR(W341="unavailable",Y341="unavailable"),"不可评价",IF(AND(W341="positive",Y341="positive"),"a",IF(Y341="positive","b",IF(W341="positive","c","d"))))</x:f>
        <x:v>d</x:v>
      </x:c>
    </x:row>
    <x:row r="342" ht="24" customHeight="1">
      <x:c r="A342" s="12" t="str">
        <x:v>2638</x:v>
      </x:c>
      <x:c r="B342" s="12" t="str">
        <x:v>12184</x:v>
      </x:c>
      <x:c r="C342" s="21" t="n">
        <x:v>32601.584756944445</x:v>
      </x:c>
      <x:c r="D342" s="12" t="n">
        <x:v>29</x:v>
      </x:c>
      <x:c r="E342" s="12" t="n">
        <x:v>0</x:v>
      </x:c>
      <x:c r="F342" s="12" t="str">
        <x:v>存在</x:v>
      </x:c>
      <x:c r="G342" s="12" t="n">
        <x:v>1</x:v>
      </x:c>
      <x:c r="H342" s="12" t="str">
        <x:v>{'NORM': 100.0, 'SR': 0.0}</x:v>
      </x:c>
      <x:c r="I342" s="12" t="str">
        <x:v>[('NSR', 100.0), ('NST', 100.0), ('QRST', 100.0), ('AB', 100.0)]</x:v>
      </x:c>
      <x:c r="J342" s="12" t="str">
        <x:v>ptbxl_database.csv；ecg_id=2638；scp_codes</x:v>
      </x:c>
      <x:c r="K342" s="12" t="str">
        <x:v>12sl_statements.csv；ecg_id=2638；statements_ext_snomed</x:v>
      </x:c>
      <x:c r="L342" s="12"/>
      <x:c r="M342" s="12" t="str">
        <x:v>negative</x:v>
      </x:c>
      <x:c r="N342" s="12"/>
      <x:c r="O342" s="12" t="str">
        <x:v>negative</x:v>
      </x:c>
      <x:c r="P342" s="12" t="str">
        <x:f>IF(OR(M342="unavailable",O342="unavailable"),"不可评价",IF(OR(M342="equivocal",O342="equivocal"),"疑似",IF(AND(M342="positive",O342="positive"),"a",IF(O342="positive","b",IF(M342="positive","c","d")))))</x:f>
        <x:v>d</x:v>
      </x:c>
      <x:c r="Q342" s="12"/>
      <x:c r="R342" s="12" t="str">
        <x:v>negative</x:v>
      </x:c>
      <x:c r="S342" s="12"/>
      <x:c r="T342" s="12" t="str">
        <x:v>negative</x:v>
      </x:c>
      <x:c r="U342" s="12" t="str">
        <x:f>IF(OR(R342="unavailable",T342="unavailable"),"不可评价",IF(OR(R342="equivocal",T342="equivocal"),"疑似",IF(AND(R342="positive",T342="positive"),"a",IF(T342="positive","b",IF(R342="positive","c","d")))))</x:f>
        <x:v>d</x:v>
      </x:c>
      <x:c r="V342" s="12"/>
      <x:c r="W342" s="12" t="str">
        <x:v>negative</x:v>
      </x:c>
      <x:c r="X342" s="12"/>
      <x:c r="Y342" s="12" t="str">
        <x:v>negative</x:v>
      </x:c>
      <x:c r="Z342" s="12" t="str">
        <x:f>IF(OR(W342="unavailable",Y342="unavailable"),"不可评价",IF(OR(W342="equivocal",Y342="equivocal"),"疑似",IF(AND(W342="positive",Y342="positive"),"a",IF(Y342="positive","b",IF(W342="positive","c","d")))))</x:f>
        <x:v>d</x:v>
      </x:c>
      <x:c r="AA342" s="12" t="str">
        <x:f>IF(OR(M342="unavailable",O342="unavailable"),"不可评价",IF(AND(OR(M342="positive",M342="equivocal"),OR(O342="positive",O342="equivocal")),"a",IF(OR(O342="positive",O342="equivocal"),"b",IF(OR(M342="positive",M342="equivocal"),"c","d"))))</x:f>
        <x:v>d</x:v>
      </x:c>
      <x:c r="AB342" s="12" t="str">
        <x:f>IF(OR(M342="unavailable",O342="unavailable"),"不可评价",IF(AND(M342="positive",O342="positive"),"a",IF(O342="positive","b",IF(M342="positive","c","d"))))</x:f>
        <x:v>d</x:v>
      </x:c>
      <x:c r="AC342" s="12" t="str">
        <x:f>IF(OR(R342="unavailable",T342="unavailable"),"不可评价",IF(AND(OR(R342="positive",R342="equivocal"),OR(T342="positive",T342="equivocal")),"a",IF(OR(T342="positive",T342="equivocal"),"b",IF(OR(R342="positive",R342="equivocal"),"c","d"))))</x:f>
        <x:v>d</x:v>
      </x:c>
      <x:c r="AD342" s="12" t="str">
        <x:f>IF(OR(R342="unavailable",T342="unavailable"),"不可评价",IF(AND(R342="positive",T342="positive"),"a",IF(T342="positive","b",IF(R342="positive","c","d"))))</x:f>
        <x:v>d</x:v>
      </x:c>
      <x:c r="AE342" s="12" t="str">
        <x:f>IF(OR(W342="unavailable",Y342="unavailable"),"不可评价",IF(AND(OR(W342="positive",W342="equivocal"),OR(Y342="positive",Y342="equivocal")),"a",IF(OR(Y342="positive",Y342="equivocal"),"b",IF(OR(W342="positive",W342="equivocal"),"c","d"))))</x:f>
        <x:v>d</x:v>
      </x:c>
      <x:c r="AF342" s="12" t="str">
        <x:f>IF(OR(W342="unavailable",Y342="unavailable"),"不可评价",IF(AND(W342="positive",Y342="positive"),"a",IF(Y342="positive","b",IF(W342="positive","c","d"))))</x:f>
        <x:v>d</x:v>
      </x:c>
    </x:row>
    <x:row r="343" ht="24" customHeight="1">
      <x:c r="A343" s="12" t="str">
        <x:v>2649</x:v>
      </x:c>
      <x:c r="B343" s="12" t="str">
        <x:v>11117</x:v>
      </x:c>
      <x:c r="C343" s="21" t="n">
        <x:v>32607.451979166668</x:v>
      </x:c>
      <x:c r="D343" s="12" t="n">
        <x:v>39</x:v>
      </x:c>
      <x:c r="E343" s="12" t="n">
        <x:v>0</x:v>
      </x:c>
      <x:c r="F343" s="12" t="str">
        <x:v>未记录</x:v>
      </x:c>
      <x:c r="G343" s="12" t="n">
        <x:v>1</x:v>
      </x:c>
      <x:c r="H343" s="12" t="str">
        <x:v>{'NORM': 100.0, 'SR': 0.0}</x:v>
      </x:c>
      <x:c r="I343" s="12" t="str">
        <x:v>[('NSR', 100.0), ('NML', 100.0)]</x:v>
      </x:c>
      <x:c r="J343" s="12" t="str">
        <x:v>ptbxl_database.csv；ecg_id=2649；scp_codes</x:v>
      </x:c>
      <x:c r="K343" s="12" t="str">
        <x:v>12sl_statements.csv；ecg_id=2649；statements_ext_snomed</x:v>
      </x:c>
      <x:c r="L343" s="12"/>
      <x:c r="M343" s="12" t="str">
        <x:v>negative</x:v>
      </x:c>
      <x:c r="N343" s="12"/>
      <x:c r="O343" s="12" t="str">
        <x:v>negative</x:v>
      </x:c>
      <x:c r="P343" s="12" t="str">
        <x:f>IF(OR(M343="unavailable",O343="unavailable"),"不可评价",IF(OR(M343="equivocal",O343="equivocal"),"疑似",IF(AND(M343="positive",O343="positive"),"a",IF(O343="positive","b",IF(M343="positive","c","d")))))</x:f>
        <x:v>d</x:v>
      </x:c>
      <x:c r="Q343" s="12"/>
      <x:c r="R343" s="12" t="str">
        <x:v>negative</x:v>
      </x:c>
      <x:c r="S343" s="12"/>
      <x:c r="T343" s="12" t="str">
        <x:v>negative</x:v>
      </x:c>
      <x:c r="U343" s="12" t="str">
        <x:f>IF(OR(R343="unavailable",T343="unavailable"),"不可评价",IF(OR(R343="equivocal",T343="equivocal"),"疑似",IF(AND(R343="positive",T343="positive"),"a",IF(T343="positive","b",IF(R343="positive","c","d")))))</x:f>
        <x:v>d</x:v>
      </x:c>
      <x:c r="V343" s="12"/>
      <x:c r="W343" s="12" t="str">
        <x:v>negative</x:v>
      </x:c>
      <x:c r="X343" s="12"/>
      <x:c r="Y343" s="12" t="str">
        <x:v>negative</x:v>
      </x:c>
      <x:c r="Z343" s="12" t="str">
        <x:f>IF(OR(W343="unavailable",Y343="unavailable"),"不可评价",IF(OR(W343="equivocal",Y343="equivocal"),"疑似",IF(AND(W343="positive",Y343="positive"),"a",IF(Y343="positive","b",IF(W343="positive","c","d")))))</x:f>
        <x:v>d</x:v>
      </x:c>
      <x:c r="AA343" s="12" t="str">
        <x:f>IF(OR(M343="unavailable",O343="unavailable"),"不可评价",IF(AND(OR(M343="positive",M343="equivocal"),OR(O343="positive",O343="equivocal")),"a",IF(OR(O343="positive",O343="equivocal"),"b",IF(OR(M343="positive",M343="equivocal"),"c","d"))))</x:f>
        <x:v>d</x:v>
      </x:c>
      <x:c r="AB343" s="12" t="str">
        <x:f>IF(OR(M343="unavailable",O343="unavailable"),"不可评价",IF(AND(M343="positive",O343="positive"),"a",IF(O343="positive","b",IF(M343="positive","c","d"))))</x:f>
        <x:v>d</x:v>
      </x:c>
      <x:c r="AC343" s="12" t="str">
        <x:f>IF(OR(R343="unavailable",T343="unavailable"),"不可评价",IF(AND(OR(R343="positive",R343="equivocal"),OR(T343="positive",T343="equivocal")),"a",IF(OR(T343="positive",T343="equivocal"),"b",IF(OR(R343="positive",R343="equivocal"),"c","d"))))</x:f>
        <x:v>d</x:v>
      </x:c>
      <x:c r="AD343" s="12" t="str">
        <x:f>IF(OR(R343="unavailable",T343="unavailable"),"不可评价",IF(AND(R343="positive",T343="positive"),"a",IF(T343="positive","b",IF(R343="positive","c","d"))))</x:f>
        <x:v>d</x:v>
      </x:c>
      <x:c r="AE343" s="12" t="str">
        <x:f>IF(OR(W343="unavailable",Y343="unavailable"),"不可评价",IF(AND(OR(W343="positive",W343="equivocal"),OR(Y343="positive",Y343="equivocal")),"a",IF(OR(Y343="positive",Y343="equivocal"),"b",IF(OR(W343="positive",W343="equivocal"),"c","d"))))</x:f>
        <x:v>d</x:v>
      </x:c>
      <x:c r="AF343" s="12" t="str">
        <x:f>IF(OR(W343="unavailable",Y343="unavailable"),"不可评价",IF(AND(W343="positive",Y343="positive"),"a",IF(Y343="positive","b",IF(W343="positive","c","d"))))</x:f>
        <x:v>d</x:v>
      </x:c>
    </x:row>
    <x:row r="344" ht="24" customHeight="1">
      <x:c r="A344" s="12" t="str">
        <x:v>2693</x:v>
      </x:c>
      <x:c r="B344" s="12" t="str">
        <x:v>2087</x:v>
      </x:c>
      <x:c r="C344" s="21" t="n">
        <x:v>32612.780868055557</x:v>
      </x:c>
      <x:c r="D344" s="12" t="n">
        <x:v>67</x:v>
      </x:c>
      <x:c r="E344" s="12" t="n">
        <x:v>1</x:v>
      </x:c>
      <x:c r="F344" s="12" t="str">
        <x:v>未记录</x:v>
      </x:c>
      <x:c r="G344" s="12" t="n">
        <x:v>1</x:v>
      </x:c>
      <x:c r="H344" s="12" t="str">
        <x:v>{'ISC_': 80.0, 'LOWT': 0.0, 'SR': 0.0}</x:v>
      </x:c>
      <x:c r="I344" s="12" t="str">
        <x:v>[('NSR', 100.0), ('NSTT', 100.0), ('AB', 100.0)]</x:v>
      </x:c>
      <x:c r="J344" s="12" t="str">
        <x:v>ptbxl_database.csv；ecg_id=2693；scp_codes</x:v>
      </x:c>
      <x:c r="K344" s="12" t="str">
        <x:v>12sl_statements.csv；ecg_id=2693；statements_ext_snomed</x:v>
      </x:c>
      <x:c r="L344" s="12"/>
      <x:c r="M344" s="12" t="str">
        <x:v>negative</x:v>
      </x:c>
      <x:c r="N344" s="12"/>
      <x:c r="O344" s="12" t="str">
        <x:v>negative</x:v>
      </x:c>
      <x:c r="P344" s="12" t="str">
        <x:f>IF(OR(M344="unavailable",O344="unavailable"),"不可评价",IF(OR(M344="equivocal",O344="equivocal"),"疑似",IF(AND(M344="positive",O344="positive"),"a",IF(O344="positive","b",IF(M344="positive","c","d")))))</x:f>
        <x:v>d</x:v>
      </x:c>
      <x:c r="Q344" s="12"/>
      <x:c r="R344" s="12" t="str">
        <x:v>negative</x:v>
      </x:c>
      <x:c r="S344" s="12"/>
      <x:c r="T344" s="12" t="str">
        <x:v>negative</x:v>
      </x:c>
      <x:c r="U344" s="12" t="str">
        <x:f>IF(OR(R344="unavailable",T344="unavailable"),"不可评价",IF(OR(R344="equivocal",T344="equivocal"),"疑似",IF(AND(R344="positive",T344="positive"),"a",IF(T344="positive","b",IF(R344="positive","c","d")))))</x:f>
        <x:v>d</x:v>
      </x:c>
      <x:c r="V344" s="12"/>
      <x:c r="W344" s="12" t="str">
        <x:v>negative</x:v>
      </x:c>
      <x:c r="X344" s="12"/>
      <x:c r="Y344" s="12" t="str">
        <x:v>negative</x:v>
      </x:c>
      <x:c r="Z344" s="12" t="str">
        <x:f>IF(OR(W344="unavailable",Y344="unavailable"),"不可评价",IF(OR(W344="equivocal",Y344="equivocal"),"疑似",IF(AND(W344="positive",Y344="positive"),"a",IF(Y344="positive","b",IF(W344="positive","c","d")))))</x:f>
        <x:v>d</x:v>
      </x:c>
      <x:c r="AA344" s="12" t="str">
        <x:f>IF(OR(M344="unavailable",O344="unavailable"),"不可评价",IF(AND(OR(M344="positive",M344="equivocal"),OR(O344="positive",O344="equivocal")),"a",IF(OR(O344="positive",O344="equivocal"),"b",IF(OR(M344="positive",M344="equivocal"),"c","d"))))</x:f>
        <x:v>d</x:v>
      </x:c>
      <x:c r="AB344" s="12" t="str">
        <x:f>IF(OR(M344="unavailable",O344="unavailable"),"不可评价",IF(AND(M344="positive",O344="positive"),"a",IF(O344="positive","b",IF(M344="positive","c","d"))))</x:f>
        <x:v>d</x:v>
      </x:c>
      <x:c r="AC344" s="12" t="str">
        <x:f>IF(OR(R344="unavailable",T344="unavailable"),"不可评价",IF(AND(OR(R344="positive",R344="equivocal"),OR(T344="positive",T344="equivocal")),"a",IF(OR(T344="positive",T344="equivocal"),"b",IF(OR(R344="positive",R344="equivocal"),"c","d"))))</x:f>
        <x:v>d</x:v>
      </x:c>
      <x:c r="AD344" s="12" t="str">
        <x:f>IF(OR(R344="unavailable",T344="unavailable"),"不可评价",IF(AND(R344="positive",T344="positive"),"a",IF(T344="positive","b",IF(R344="positive","c","d"))))</x:f>
        <x:v>d</x:v>
      </x:c>
      <x:c r="AE344" s="12" t="str">
        <x:f>IF(OR(W344="unavailable",Y344="unavailable"),"不可评价",IF(AND(OR(W344="positive",W344="equivocal"),OR(Y344="positive",Y344="equivocal")),"a",IF(OR(Y344="positive",Y344="equivocal"),"b",IF(OR(W344="positive",W344="equivocal"),"c","d"))))</x:f>
        <x:v>d</x:v>
      </x:c>
      <x:c r="AF344" s="12" t="str">
        <x:f>IF(OR(W344="unavailable",Y344="unavailable"),"不可评价",IF(AND(W344="positive",Y344="positive"),"a",IF(Y344="positive","b",IF(W344="positive","c","d"))))</x:f>
        <x:v>d</x:v>
      </x:c>
    </x:row>
    <x:row r="345" ht="24" customHeight="1">
      <x:c r="A345" s="12" t="str">
        <x:v>2694</x:v>
      </x:c>
      <x:c r="B345" s="12" t="str">
        <x:v>18045</x:v>
      </x:c>
      <x:c r="C345" s="21" t="n">
        <x:v>32613.287627314814</x:v>
      </x:c>
      <x:c r="D345" s="12" t="n">
        <x:v>46</x:v>
      </x:c>
      <x:c r="E345" s="12" t="n">
        <x:v>1</x:v>
      </x:c>
      <x:c r="F345" s="12" t="str">
        <x:v>存在</x:v>
      </x:c>
      <x:c r="G345" s="12" t="n">
        <x:v>1</x:v>
      </x:c>
      <x:c r="H345" s="12" t="str">
        <x:v>{'NORM': 80.0, 'SBRAD': 0.0}</x:v>
      </x:c>
      <x:c r="I345" s="12" t="str">
        <x:v>[('SBRAD', 100.0), ('ABR', 100.0)]</x:v>
      </x:c>
      <x:c r="J345" s="12" t="str">
        <x:v>ptbxl_database.csv；ecg_id=2694；scp_codes</x:v>
      </x:c>
      <x:c r="K345" s="12" t="str">
        <x:v>12sl_statements.csv；ecg_id=2694；statements_ext_snomed</x:v>
      </x:c>
      <x:c r="L345" s="12"/>
      <x:c r="M345" s="12" t="str">
        <x:v>negative</x:v>
      </x:c>
      <x:c r="N345" s="12"/>
      <x:c r="O345" s="12" t="str">
        <x:v>negative</x:v>
      </x:c>
      <x:c r="P345" s="12" t="str">
        <x:f>IF(OR(M345="unavailable",O345="unavailable"),"不可评价",IF(OR(M345="equivocal",O345="equivocal"),"疑似",IF(AND(M345="positive",O345="positive"),"a",IF(O345="positive","b",IF(M345="positive","c","d")))))</x:f>
        <x:v>d</x:v>
      </x:c>
      <x:c r="Q345" s="12"/>
      <x:c r="R345" s="12" t="str">
        <x:v>negative</x:v>
      </x:c>
      <x:c r="S345" s="12"/>
      <x:c r="T345" s="12" t="str">
        <x:v>negative</x:v>
      </x:c>
      <x:c r="U345" s="12" t="str">
        <x:f>IF(OR(R345="unavailable",T345="unavailable"),"不可评价",IF(OR(R345="equivocal",T345="equivocal"),"疑似",IF(AND(R345="positive",T345="positive"),"a",IF(T345="positive","b",IF(R345="positive","c","d")))))</x:f>
        <x:v>d</x:v>
      </x:c>
      <x:c r="V345" s="12"/>
      <x:c r="W345" s="12" t="str">
        <x:v>negative</x:v>
      </x:c>
      <x:c r="X345" s="12"/>
      <x:c r="Y345" s="12" t="str">
        <x:v>negative</x:v>
      </x:c>
      <x:c r="Z345" s="12" t="str">
        <x:f>IF(OR(W345="unavailable",Y345="unavailable"),"不可评价",IF(OR(W345="equivocal",Y345="equivocal"),"疑似",IF(AND(W345="positive",Y345="positive"),"a",IF(Y345="positive","b",IF(W345="positive","c","d")))))</x:f>
        <x:v>d</x:v>
      </x:c>
      <x:c r="AA345" s="12" t="str">
        <x:f>IF(OR(M345="unavailable",O345="unavailable"),"不可评价",IF(AND(OR(M345="positive",M345="equivocal"),OR(O345="positive",O345="equivocal")),"a",IF(OR(O345="positive",O345="equivocal"),"b",IF(OR(M345="positive",M345="equivocal"),"c","d"))))</x:f>
        <x:v>d</x:v>
      </x:c>
      <x:c r="AB345" s="12" t="str">
        <x:f>IF(OR(M345="unavailable",O345="unavailable"),"不可评价",IF(AND(M345="positive",O345="positive"),"a",IF(O345="positive","b",IF(M345="positive","c","d"))))</x:f>
        <x:v>d</x:v>
      </x:c>
      <x:c r="AC345" s="12" t="str">
        <x:f>IF(OR(R345="unavailable",T345="unavailable"),"不可评价",IF(AND(OR(R345="positive",R345="equivocal"),OR(T345="positive",T345="equivocal")),"a",IF(OR(T345="positive",T345="equivocal"),"b",IF(OR(R345="positive",R345="equivocal"),"c","d"))))</x:f>
        <x:v>d</x:v>
      </x:c>
      <x:c r="AD345" s="12" t="str">
        <x:f>IF(OR(R345="unavailable",T345="unavailable"),"不可评价",IF(AND(R345="positive",T345="positive"),"a",IF(T345="positive","b",IF(R345="positive","c","d"))))</x:f>
        <x:v>d</x:v>
      </x:c>
      <x:c r="AE345" s="12" t="str">
        <x:f>IF(OR(W345="unavailable",Y345="unavailable"),"不可评价",IF(AND(OR(W345="positive",W345="equivocal"),OR(Y345="positive",Y345="equivocal")),"a",IF(OR(Y345="positive",Y345="equivocal"),"b",IF(OR(W345="positive",W345="equivocal"),"c","d"))))</x:f>
        <x:v>d</x:v>
      </x:c>
      <x:c r="AF345" s="12" t="str">
        <x:f>IF(OR(W345="unavailable",Y345="unavailable"),"不可评价",IF(AND(W345="positive",Y345="positive"),"a",IF(Y345="positive","b",IF(W345="positive","c","d"))))</x:f>
        <x:v>d</x:v>
      </x:c>
    </x:row>
    <x:row r="346" ht="39" customHeight="1">
      <x:c r="A346" s="12" t="str">
        <x:v>2722</x:v>
      </x:c>
      <x:c r="B346" s="12" t="str">
        <x:v>2425</x:v>
      </x:c>
      <x:c r="C346" s="21" t="n">
        <x:v>32620.363564814816</x:v>
      </x:c>
      <x:c r="D346" s="12" t="n">
        <x:v>88</x:v>
      </x:c>
      <x:c r="E346" s="12" t="n">
        <x:v>0</x:v>
      </x:c>
      <x:c r="F346" s="12" t="str">
        <x:v>未记录</x:v>
      </x:c>
      <x:c r="G346" s="12" t="n">
        <x:v>1</x:v>
      </x:c>
      <x:c r="H346" s="12" t="str">
        <x:v>{'LAFB': 100.0, 'AFIB': 0.0}</x:v>
      </x:c>
      <x:c r="I346" s="12" t="str">
        <x:v>[('AFIB', 100.0), ('SVR', 100.0), ('LAD3', 100.0), ('IVCB', 100.0), ('AMI;AU', 15.0), ('AB', 100.0)]</x:v>
      </x:c>
      <x:c r="J346" s="12" t="str">
        <x:v>ptbxl_database.csv；ecg_id=2722；scp_codes</x:v>
      </x:c>
      <x:c r="K346" s="12" t="str">
        <x:v>12sl_statements.csv；ecg_id=2722；statements_ext_snomed</x:v>
      </x:c>
      <x:c r="L346" s="12" t="n">
        <x:v>0</x:v>
      </x:c>
      <x:c r="M346" s="12" t="str">
        <x:v>positive</x:v>
      </x:c>
      <x:c r="N346" s="12" t="n">
        <x:v>100</x:v>
      </x:c>
      <x:c r="O346" s="12" t="str">
        <x:v>positive</x:v>
      </x:c>
      <x:c r="P346" s="12" t="str">
        <x:f>IF(OR(M346="unavailable",O346="unavailable"),"不可评价",IF(OR(M346="equivocal",O346="equivocal"),"疑似",IF(AND(M346="positive",O346="positive"),"a",IF(O346="positive","b",IF(M346="positive","c","d")))))</x:f>
        <x:v>a</x:v>
      </x:c>
      <x:c r="Q346" s="12"/>
      <x:c r="R346" s="12" t="str">
        <x:v>negative</x:v>
      </x:c>
      <x:c r="S346" s="12"/>
      <x:c r="T346" s="12" t="str">
        <x:v>negative</x:v>
      </x:c>
      <x:c r="U346" s="12" t="str">
        <x:f>IF(OR(R346="unavailable",T346="unavailable"),"不可评价",IF(OR(R346="equivocal",T346="equivocal"),"疑似",IF(AND(R346="positive",T346="positive"),"a",IF(T346="positive","b",IF(R346="positive","c","d")))))</x:f>
        <x:v>d</x:v>
      </x:c>
      <x:c r="V346" s="12"/>
      <x:c r="W346" s="12" t="str">
        <x:v>negative</x:v>
      </x:c>
      <x:c r="X346" s="12"/>
      <x:c r="Y346" s="12" t="str">
        <x:v>negative</x:v>
      </x:c>
      <x:c r="Z346" s="12" t="str">
        <x:f>IF(OR(W346="unavailable",Y346="unavailable"),"不可评价",IF(OR(W346="equivocal",Y346="equivocal"),"疑似",IF(AND(W346="positive",Y346="positive"),"a",IF(Y346="positive","b",IF(W346="positive","c","d")))))</x:f>
        <x:v>d</x:v>
      </x:c>
      <x:c r="AA346" s="12" t="str">
        <x:f>IF(OR(M346="unavailable",O346="unavailable"),"不可评价",IF(AND(OR(M346="positive",M346="equivocal"),OR(O346="positive",O346="equivocal")),"a",IF(OR(O346="positive",O346="equivocal"),"b",IF(OR(M346="positive",M346="equivocal"),"c","d"))))</x:f>
        <x:v>a</x:v>
      </x:c>
      <x:c r="AB346" s="12" t="str">
        <x:f>IF(OR(M346="unavailable",O346="unavailable"),"不可评价",IF(AND(M346="positive",O346="positive"),"a",IF(O346="positive","b",IF(M346="positive","c","d"))))</x:f>
        <x:v>a</x:v>
      </x:c>
      <x:c r="AC346" s="12" t="str">
        <x:f>IF(OR(R346="unavailable",T346="unavailable"),"不可评价",IF(AND(OR(R346="positive",R346="equivocal"),OR(T346="positive",T346="equivocal")),"a",IF(OR(T346="positive",T346="equivocal"),"b",IF(OR(R346="positive",R346="equivocal"),"c","d"))))</x:f>
        <x:v>d</x:v>
      </x:c>
      <x:c r="AD346" s="12" t="str">
        <x:f>IF(OR(R346="unavailable",T346="unavailable"),"不可评价",IF(AND(R346="positive",T346="positive"),"a",IF(T346="positive","b",IF(R346="positive","c","d"))))</x:f>
        <x:v>d</x:v>
      </x:c>
      <x:c r="AE346" s="12" t="str">
        <x:f>IF(OR(W346="unavailable",Y346="unavailable"),"不可评价",IF(AND(OR(W346="positive",W346="equivocal"),OR(Y346="positive",Y346="equivocal")),"a",IF(OR(Y346="positive",Y346="equivocal"),"b",IF(OR(W346="positive",W346="equivocal"),"c","d"))))</x:f>
        <x:v>d</x:v>
      </x:c>
      <x:c r="AF346" s="12" t="str">
        <x:f>IF(OR(W346="unavailable",Y346="unavailable"),"不可评价",IF(AND(W346="positive",Y346="positive"),"a",IF(Y346="positive","b",IF(W346="positive","c","d"))))</x:f>
        <x:v>d</x:v>
      </x:c>
    </x:row>
    <x:row r="347" ht="24" customHeight="1">
      <x:c r="A347" s="12" t="str">
        <x:v>2734</x:v>
      </x:c>
      <x:c r="B347" s="12" t="str">
        <x:v>3111</x:v>
      </x:c>
      <x:c r="C347" s="21" t="n">
        <x:v>32621.298229166667</x:v>
      </x:c>
      <x:c r="D347" s="12" t="n">
        <x:v>70</x:v>
      </x:c>
      <x:c r="E347" s="12" t="n">
        <x:v>1</x:v>
      </x:c>
      <x:c r="F347" s="12" t="str">
        <x:v>未记录</x:v>
      </x:c>
      <x:c r="G347" s="12" t="n">
        <x:v>1</x:v>
      </x:c>
      <x:c r="H347" s="12" t="str">
        <x:v>{'EL': 50.0, 'SR': 0.0}</x:v>
      </x:c>
      <x:c r="I347" s="12" t="str">
        <x:v>[('NSR', 100.0), ('BORDE', 100.0)]</x:v>
      </x:c>
      <x:c r="J347" s="12" t="str">
        <x:v>ptbxl_database.csv；ecg_id=2734；scp_codes</x:v>
      </x:c>
      <x:c r="K347" s="12" t="str">
        <x:v>12sl_statements.csv；ecg_id=2734；statements_ext_snomed</x:v>
      </x:c>
      <x:c r="L347" s="12"/>
      <x:c r="M347" s="12" t="str">
        <x:v>negative</x:v>
      </x:c>
      <x:c r="N347" s="12"/>
      <x:c r="O347" s="12" t="str">
        <x:v>negative</x:v>
      </x:c>
      <x:c r="P347" s="12" t="str">
        <x:f>IF(OR(M347="unavailable",O347="unavailable"),"不可评价",IF(OR(M347="equivocal",O347="equivocal"),"疑似",IF(AND(M347="positive",O347="positive"),"a",IF(O347="positive","b",IF(M347="positive","c","d")))))</x:f>
        <x:v>d</x:v>
      </x:c>
      <x:c r="Q347" s="12"/>
      <x:c r="R347" s="12" t="str">
        <x:v>negative</x:v>
      </x:c>
      <x:c r="S347" s="12"/>
      <x:c r="T347" s="12" t="str">
        <x:v>negative</x:v>
      </x:c>
      <x:c r="U347" s="12" t="str">
        <x:f>IF(OR(R347="unavailable",T347="unavailable"),"不可评价",IF(OR(R347="equivocal",T347="equivocal"),"疑似",IF(AND(R347="positive",T347="positive"),"a",IF(T347="positive","b",IF(R347="positive","c","d")))))</x:f>
        <x:v>d</x:v>
      </x:c>
      <x:c r="V347" s="12"/>
      <x:c r="W347" s="12" t="str">
        <x:v>negative</x:v>
      </x:c>
      <x:c r="X347" s="12"/>
      <x:c r="Y347" s="12" t="str">
        <x:v>negative</x:v>
      </x:c>
      <x:c r="Z347" s="12" t="str">
        <x:f>IF(OR(W347="unavailable",Y347="unavailable"),"不可评价",IF(OR(W347="equivocal",Y347="equivocal"),"疑似",IF(AND(W347="positive",Y347="positive"),"a",IF(Y347="positive","b",IF(W347="positive","c","d")))))</x:f>
        <x:v>d</x:v>
      </x:c>
      <x:c r="AA347" s="12" t="str">
        <x:f>IF(OR(M347="unavailable",O347="unavailable"),"不可评价",IF(AND(OR(M347="positive",M347="equivocal"),OR(O347="positive",O347="equivocal")),"a",IF(OR(O347="positive",O347="equivocal"),"b",IF(OR(M347="positive",M347="equivocal"),"c","d"))))</x:f>
        <x:v>d</x:v>
      </x:c>
      <x:c r="AB347" s="12" t="str">
        <x:f>IF(OR(M347="unavailable",O347="unavailable"),"不可评价",IF(AND(M347="positive",O347="positive"),"a",IF(O347="positive","b",IF(M347="positive","c","d"))))</x:f>
        <x:v>d</x:v>
      </x:c>
      <x:c r="AC347" s="12" t="str">
        <x:f>IF(OR(R347="unavailable",T347="unavailable"),"不可评价",IF(AND(OR(R347="positive",R347="equivocal"),OR(T347="positive",T347="equivocal")),"a",IF(OR(T347="positive",T347="equivocal"),"b",IF(OR(R347="positive",R347="equivocal"),"c","d"))))</x:f>
        <x:v>d</x:v>
      </x:c>
      <x:c r="AD347" s="12" t="str">
        <x:f>IF(OR(R347="unavailable",T347="unavailable"),"不可评价",IF(AND(R347="positive",T347="positive"),"a",IF(T347="positive","b",IF(R347="positive","c","d"))))</x:f>
        <x:v>d</x:v>
      </x:c>
      <x:c r="AE347" s="12" t="str">
        <x:f>IF(OR(W347="unavailable",Y347="unavailable"),"不可评价",IF(AND(OR(W347="positive",W347="equivocal"),OR(Y347="positive",Y347="equivocal")),"a",IF(OR(Y347="positive",Y347="equivocal"),"b",IF(OR(W347="positive",W347="equivocal"),"c","d"))))</x:f>
        <x:v>d</x:v>
      </x:c>
      <x:c r="AF347" s="12" t="str">
        <x:f>IF(OR(W347="unavailable",Y347="unavailable"),"不可评价",IF(AND(W347="positive",Y347="positive"),"a",IF(Y347="positive","b",IF(W347="positive","c","d"))))</x:f>
        <x:v>d</x:v>
      </x:c>
    </x:row>
    <x:row r="348" ht="24" customHeight="1">
      <x:c r="A348" s="12" t="str">
        <x:v>2736</x:v>
      </x:c>
      <x:c r="B348" s="12" t="str">
        <x:v>11305</x:v>
      </x:c>
      <x:c r="C348" s="21" t="n">
        <x:v>32621.425185185184</x:v>
      </x:c>
      <x:c r="D348" s="12" t="n">
        <x:v>58</x:v>
      </x:c>
      <x:c r="E348" s="12" t="n">
        <x:v>1</x:v>
      </x:c>
      <x:c r="F348" s="12" t="str">
        <x:v>存在</x:v>
      </x:c>
      <x:c r="G348" s="12" t="n">
        <x:v>1</x:v>
      </x:c>
      <x:c r="H348" s="12" t="str">
        <x:v>{'IMI': 35.0, 'SR': 0.0}</x:v>
      </x:c>
      <x:c r="I348" s="12" t="str">
        <x:v>[('NSR', 100.0), ('IMI;AU', 50.0), ('AB', 100.0)]</x:v>
      </x:c>
      <x:c r="J348" s="12" t="str">
        <x:v>ptbxl_database.csv；ecg_id=2736；scp_codes</x:v>
      </x:c>
      <x:c r="K348" s="12" t="str">
        <x:v>12sl_statements.csv；ecg_id=2736；statements_ext_snomed</x:v>
      </x:c>
      <x:c r="L348" s="12"/>
      <x:c r="M348" s="12" t="str">
        <x:v>negative</x:v>
      </x:c>
      <x:c r="N348" s="12"/>
      <x:c r="O348" s="12" t="str">
        <x:v>negative</x:v>
      </x:c>
      <x:c r="P348" s="12" t="str">
        <x:f>IF(OR(M348="unavailable",O348="unavailable"),"不可评价",IF(OR(M348="equivocal",O348="equivocal"),"疑似",IF(AND(M348="positive",O348="positive"),"a",IF(O348="positive","b",IF(M348="positive","c","d")))))</x:f>
        <x:v>d</x:v>
      </x:c>
      <x:c r="Q348" s="12"/>
      <x:c r="R348" s="12" t="str">
        <x:v>negative</x:v>
      </x:c>
      <x:c r="S348" s="12"/>
      <x:c r="T348" s="12" t="str">
        <x:v>negative</x:v>
      </x:c>
      <x:c r="U348" s="12" t="str">
        <x:f>IF(OR(R348="unavailable",T348="unavailable"),"不可评价",IF(OR(R348="equivocal",T348="equivocal"),"疑似",IF(AND(R348="positive",T348="positive"),"a",IF(T348="positive","b",IF(R348="positive","c","d")))))</x:f>
        <x:v>d</x:v>
      </x:c>
      <x:c r="V348" s="12"/>
      <x:c r="W348" s="12" t="str">
        <x:v>negative</x:v>
      </x:c>
      <x:c r="X348" s="12"/>
      <x:c r="Y348" s="12" t="str">
        <x:v>negative</x:v>
      </x:c>
      <x:c r="Z348" s="12" t="str">
        <x:f>IF(OR(W348="unavailable",Y348="unavailable"),"不可评价",IF(OR(W348="equivocal",Y348="equivocal"),"疑似",IF(AND(W348="positive",Y348="positive"),"a",IF(Y348="positive","b",IF(W348="positive","c","d")))))</x:f>
        <x:v>d</x:v>
      </x:c>
      <x:c r="AA348" s="12" t="str">
        <x:f>IF(OR(M348="unavailable",O348="unavailable"),"不可评价",IF(AND(OR(M348="positive",M348="equivocal"),OR(O348="positive",O348="equivocal")),"a",IF(OR(O348="positive",O348="equivocal"),"b",IF(OR(M348="positive",M348="equivocal"),"c","d"))))</x:f>
        <x:v>d</x:v>
      </x:c>
      <x:c r="AB348" s="12" t="str">
        <x:f>IF(OR(M348="unavailable",O348="unavailable"),"不可评价",IF(AND(M348="positive",O348="positive"),"a",IF(O348="positive","b",IF(M348="positive","c","d"))))</x:f>
        <x:v>d</x:v>
      </x:c>
      <x:c r="AC348" s="12" t="str">
        <x:f>IF(OR(R348="unavailable",T348="unavailable"),"不可评价",IF(AND(OR(R348="positive",R348="equivocal"),OR(T348="positive",T348="equivocal")),"a",IF(OR(T348="positive",T348="equivocal"),"b",IF(OR(R348="positive",R348="equivocal"),"c","d"))))</x:f>
        <x:v>d</x:v>
      </x:c>
      <x:c r="AD348" s="12" t="str">
        <x:f>IF(OR(R348="unavailable",T348="unavailable"),"不可评价",IF(AND(R348="positive",T348="positive"),"a",IF(T348="positive","b",IF(R348="positive","c","d"))))</x:f>
        <x:v>d</x:v>
      </x:c>
      <x:c r="AE348" s="12" t="str">
        <x:f>IF(OR(W348="unavailable",Y348="unavailable"),"不可评价",IF(AND(OR(W348="positive",W348="equivocal"),OR(Y348="positive",Y348="equivocal")),"a",IF(OR(Y348="positive",Y348="equivocal"),"b",IF(OR(W348="positive",W348="equivocal"),"c","d"))))</x:f>
        <x:v>d</x:v>
      </x:c>
      <x:c r="AF348" s="12" t="str">
        <x:f>IF(OR(W348="unavailable",Y348="unavailable"),"不可评价",IF(AND(W348="positive",Y348="positive"),"a",IF(Y348="positive","b",IF(W348="positive","c","d"))))</x:f>
        <x:v>d</x:v>
      </x:c>
    </x:row>
    <x:row r="349" ht="24" customHeight="1">
      <x:c r="A349" s="12" t="str">
        <x:v>2764</x:v>
      </x:c>
      <x:c r="B349" s="12" t="str">
        <x:v>15125</x:v>
      </x:c>
      <x:c r="C349" s="21" t="n">
        <x:v>32626.390613425927</x:v>
      </x:c>
      <x:c r="D349" s="12" t="n">
        <x:v>62</x:v>
      </x:c>
      <x:c r="E349" s="12" t="n">
        <x:v>0</x:v>
      </x:c>
      <x:c r="F349" s="12" t="str">
        <x:v>未记录</x:v>
      </x:c>
      <x:c r="G349" s="12" t="n">
        <x:v>1</x:v>
      </x:c>
      <x:c r="H349" s="12" t="str">
        <x:v>{'NORM': 100.0, 'SR': 0.0}</x:v>
      </x:c>
      <x:c r="I349" s="12" t="str">
        <x:v>[('NSR', 100.0), ('NML', 100.0)]</x:v>
      </x:c>
      <x:c r="J349" s="12" t="str">
        <x:v>ptbxl_database.csv；ecg_id=2764；scp_codes</x:v>
      </x:c>
      <x:c r="K349" s="12" t="str">
        <x:v>12sl_statements.csv；ecg_id=2764；statements_ext_snomed</x:v>
      </x:c>
      <x:c r="L349" s="12"/>
      <x:c r="M349" s="12" t="str">
        <x:v>negative</x:v>
      </x:c>
      <x:c r="N349" s="12"/>
      <x:c r="O349" s="12" t="str">
        <x:v>negative</x:v>
      </x:c>
      <x:c r="P349" s="12" t="str">
        <x:f>IF(OR(M349="unavailable",O349="unavailable"),"不可评价",IF(OR(M349="equivocal",O349="equivocal"),"疑似",IF(AND(M349="positive",O349="positive"),"a",IF(O349="positive","b",IF(M349="positive","c","d")))))</x:f>
        <x:v>d</x:v>
      </x:c>
      <x:c r="Q349" s="12"/>
      <x:c r="R349" s="12" t="str">
        <x:v>negative</x:v>
      </x:c>
      <x:c r="S349" s="12"/>
      <x:c r="T349" s="12" t="str">
        <x:v>negative</x:v>
      </x:c>
      <x:c r="U349" s="12" t="str">
        <x:f>IF(OR(R349="unavailable",T349="unavailable"),"不可评价",IF(OR(R349="equivocal",T349="equivocal"),"疑似",IF(AND(R349="positive",T349="positive"),"a",IF(T349="positive","b",IF(R349="positive","c","d")))))</x:f>
        <x:v>d</x:v>
      </x:c>
      <x:c r="V349" s="12"/>
      <x:c r="W349" s="12" t="str">
        <x:v>negative</x:v>
      </x:c>
      <x:c r="X349" s="12"/>
      <x:c r="Y349" s="12" t="str">
        <x:v>negative</x:v>
      </x:c>
      <x:c r="Z349" s="12" t="str">
        <x:f>IF(OR(W349="unavailable",Y349="unavailable"),"不可评价",IF(OR(W349="equivocal",Y349="equivocal"),"疑似",IF(AND(W349="positive",Y349="positive"),"a",IF(Y349="positive","b",IF(W349="positive","c","d")))))</x:f>
        <x:v>d</x:v>
      </x:c>
      <x:c r="AA349" s="12" t="str">
        <x:f>IF(OR(M349="unavailable",O349="unavailable"),"不可评价",IF(AND(OR(M349="positive",M349="equivocal"),OR(O349="positive",O349="equivocal")),"a",IF(OR(O349="positive",O349="equivocal"),"b",IF(OR(M349="positive",M349="equivocal"),"c","d"))))</x:f>
        <x:v>d</x:v>
      </x:c>
      <x:c r="AB349" s="12" t="str">
        <x:f>IF(OR(M349="unavailable",O349="unavailable"),"不可评价",IF(AND(M349="positive",O349="positive"),"a",IF(O349="positive","b",IF(M349="positive","c","d"))))</x:f>
        <x:v>d</x:v>
      </x:c>
      <x:c r="AC349" s="12" t="str">
        <x:f>IF(OR(R349="unavailable",T349="unavailable"),"不可评价",IF(AND(OR(R349="positive",R349="equivocal"),OR(T349="positive",T349="equivocal")),"a",IF(OR(T349="positive",T349="equivocal"),"b",IF(OR(R349="positive",R349="equivocal"),"c","d"))))</x:f>
        <x:v>d</x:v>
      </x:c>
      <x:c r="AD349" s="12" t="str">
        <x:f>IF(OR(R349="unavailable",T349="unavailable"),"不可评价",IF(AND(R349="positive",T349="positive"),"a",IF(T349="positive","b",IF(R349="positive","c","d"))))</x:f>
        <x:v>d</x:v>
      </x:c>
      <x:c r="AE349" s="12" t="str">
        <x:f>IF(OR(W349="unavailable",Y349="unavailable"),"不可评价",IF(AND(OR(W349="positive",W349="equivocal"),OR(Y349="positive",Y349="equivocal")),"a",IF(OR(Y349="positive",Y349="equivocal"),"b",IF(OR(W349="positive",W349="equivocal"),"c","d"))))</x:f>
        <x:v>d</x:v>
      </x:c>
      <x:c r="AF349" s="12" t="str">
        <x:f>IF(OR(W349="unavailable",Y349="unavailable"),"不可评价",IF(AND(W349="positive",Y349="positive"),"a",IF(Y349="positive","b",IF(W349="positive","c","d"))))</x:f>
        <x:v>d</x:v>
      </x:c>
    </x:row>
    <x:row r="350" ht="24" customHeight="1">
      <x:c r="A350" s="12" t="str">
        <x:v>2767</x:v>
      </x:c>
      <x:c r="B350" s="12" t="str">
        <x:v>16877</x:v>
      </x:c>
      <x:c r="C350" s="21" t="n">
        <x:v>32626.720949074075</x:v>
      </x:c>
      <x:c r="D350" s="12" t="n">
        <x:v>26</x:v>
      </x:c>
      <x:c r="E350" s="12" t="n">
        <x:v>0</x:v>
      </x:c>
      <x:c r="F350" s="12" t="str">
        <x:v>未记录</x:v>
      </x:c>
      <x:c r="G350" s="12" t="n">
        <x:v>1</x:v>
      </x:c>
      <x:c r="H350" s="12" t="str">
        <x:v>{'NORM': 100.0, 'IRBBB': 100.0, 'SR': 0.0}</x:v>
      </x:c>
      <x:c r="I350" s="12" t="str">
        <x:v>[('NSR', 100.0), ('IRBBB', 100.0), ('BORDE', 100.0)]</x:v>
      </x:c>
      <x:c r="J350" s="12" t="str">
        <x:v>ptbxl_database.csv；ecg_id=2767；scp_codes</x:v>
      </x:c>
      <x:c r="K350" s="12" t="str">
        <x:v>12sl_statements.csv；ecg_id=2767；statements_ext_snomed</x:v>
      </x:c>
      <x:c r="L350" s="12"/>
      <x:c r="M350" s="12" t="str">
        <x:v>negative</x:v>
      </x:c>
      <x:c r="N350" s="12"/>
      <x:c r="O350" s="12" t="str">
        <x:v>negative</x:v>
      </x:c>
      <x:c r="P350" s="12" t="str">
        <x:f>IF(OR(M350="unavailable",O350="unavailable"),"不可评价",IF(OR(M350="equivocal",O350="equivocal"),"疑似",IF(AND(M350="positive",O350="positive"),"a",IF(O350="positive","b",IF(M350="positive","c","d")))))</x:f>
        <x:v>d</x:v>
      </x:c>
      <x:c r="Q350" s="12"/>
      <x:c r="R350" s="12" t="str">
        <x:v>negative</x:v>
      </x:c>
      <x:c r="S350" s="12"/>
      <x:c r="T350" s="12" t="str">
        <x:v>negative</x:v>
      </x:c>
      <x:c r="U350" s="12" t="str">
        <x:f>IF(OR(R350="unavailable",T350="unavailable"),"不可评价",IF(OR(R350="equivocal",T350="equivocal"),"疑似",IF(AND(R350="positive",T350="positive"),"a",IF(T350="positive","b",IF(R350="positive","c","d")))))</x:f>
        <x:v>d</x:v>
      </x:c>
      <x:c r="V350" s="12"/>
      <x:c r="W350" s="12" t="str">
        <x:v>negative</x:v>
      </x:c>
      <x:c r="X350" s="12"/>
      <x:c r="Y350" s="12" t="str">
        <x:v>negative</x:v>
      </x:c>
      <x:c r="Z350" s="12" t="str">
        <x:f>IF(OR(W350="unavailable",Y350="unavailable"),"不可评价",IF(OR(W350="equivocal",Y350="equivocal"),"疑似",IF(AND(W350="positive",Y350="positive"),"a",IF(Y350="positive","b",IF(W350="positive","c","d")))))</x:f>
        <x:v>d</x:v>
      </x:c>
      <x:c r="AA350" s="12" t="str">
        <x:f>IF(OR(M350="unavailable",O350="unavailable"),"不可评价",IF(AND(OR(M350="positive",M350="equivocal"),OR(O350="positive",O350="equivocal")),"a",IF(OR(O350="positive",O350="equivocal"),"b",IF(OR(M350="positive",M350="equivocal"),"c","d"))))</x:f>
        <x:v>d</x:v>
      </x:c>
      <x:c r="AB350" s="12" t="str">
        <x:f>IF(OR(M350="unavailable",O350="unavailable"),"不可评价",IF(AND(M350="positive",O350="positive"),"a",IF(O350="positive","b",IF(M350="positive","c","d"))))</x:f>
        <x:v>d</x:v>
      </x:c>
      <x:c r="AC350" s="12" t="str">
        <x:f>IF(OR(R350="unavailable",T350="unavailable"),"不可评价",IF(AND(OR(R350="positive",R350="equivocal"),OR(T350="positive",T350="equivocal")),"a",IF(OR(T350="positive",T350="equivocal"),"b",IF(OR(R350="positive",R350="equivocal"),"c","d"))))</x:f>
        <x:v>d</x:v>
      </x:c>
      <x:c r="AD350" s="12" t="str">
        <x:f>IF(OR(R350="unavailable",T350="unavailable"),"不可评价",IF(AND(R350="positive",T350="positive"),"a",IF(T350="positive","b",IF(R350="positive","c","d"))))</x:f>
        <x:v>d</x:v>
      </x:c>
      <x:c r="AE350" s="12" t="str">
        <x:f>IF(OR(W350="unavailable",Y350="unavailable"),"不可评价",IF(AND(OR(W350="positive",W350="equivocal"),OR(Y350="positive",Y350="equivocal")),"a",IF(OR(Y350="positive",Y350="equivocal"),"b",IF(OR(W350="positive",W350="equivocal"),"c","d"))))</x:f>
        <x:v>d</x:v>
      </x:c>
      <x:c r="AF350" s="12" t="str">
        <x:f>IF(OR(W350="unavailable",Y350="unavailable"),"不可评价",IF(AND(W350="positive",Y350="positive"),"a",IF(Y350="positive","b",IF(W350="positive","c","d"))))</x:f>
        <x:v>d</x:v>
      </x:c>
    </x:row>
    <x:row r="351" ht="24" customHeight="1">
      <x:c r="A351" s="12" t="str">
        <x:v>2776</x:v>
      </x:c>
      <x:c r="B351" s="12" t="str">
        <x:v>11700</x:v>
      </x:c>
      <x:c r="C351" s="21" t="n">
        <x:v>32627.681319444444</x:v>
      </x:c>
      <x:c r="D351" s="12" t="n">
        <x:v>72</x:v>
      </x:c>
      <x:c r="E351" s="12" t="n">
        <x:v>1</x:v>
      </x:c>
      <x:c r="F351" s="12" t="str">
        <x:v>未记录</x:v>
      </x:c>
      <x:c r="G351" s="12" t="n">
        <x:v>1</x:v>
      </x:c>
      <x:c r="H351" s="12" t="str">
        <x:v>{'ASMI': 100.0, 'IMI': 15.0, 'QWAVE': 0.0, 'SR': 0.0}</x:v>
      </x:c>
      <x:c r="I351" s="12" t="str">
        <x:v>[('NSR', 100.0), ('AMI;AU', 50.0), ('LNGQT', 100.0), ('AB', 100.0)]</x:v>
      </x:c>
      <x:c r="J351" s="12" t="str">
        <x:v>ptbxl_database.csv；ecg_id=2776；scp_codes</x:v>
      </x:c>
      <x:c r="K351" s="12" t="str">
        <x:v>12sl_statements.csv；ecg_id=2776；statements_ext_snomed</x:v>
      </x:c>
      <x:c r="L351" s="12"/>
      <x:c r="M351" s="12" t="str">
        <x:v>negative</x:v>
      </x:c>
      <x:c r="N351" s="12"/>
      <x:c r="O351" s="12" t="str">
        <x:v>negative</x:v>
      </x:c>
      <x:c r="P351" s="12" t="str">
        <x:f>IF(OR(M351="unavailable",O351="unavailable"),"不可评价",IF(OR(M351="equivocal",O351="equivocal"),"疑似",IF(AND(M351="positive",O351="positive"),"a",IF(O351="positive","b",IF(M351="positive","c","d")))))</x:f>
        <x:v>d</x:v>
      </x:c>
      <x:c r="Q351" s="12"/>
      <x:c r="R351" s="12" t="str">
        <x:v>negative</x:v>
      </x:c>
      <x:c r="S351" s="12"/>
      <x:c r="T351" s="12" t="str">
        <x:v>negative</x:v>
      </x:c>
      <x:c r="U351" s="12" t="str">
        <x:f>IF(OR(R351="unavailable",T351="unavailable"),"不可评价",IF(OR(R351="equivocal",T351="equivocal"),"疑似",IF(AND(R351="positive",T351="positive"),"a",IF(T351="positive","b",IF(R351="positive","c","d")))))</x:f>
        <x:v>d</x:v>
      </x:c>
      <x:c r="V351" s="12"/>
      <x:c r="W351" s="12" t="str">
        <x:v>negative</x:v>
      </x:c>
      <x:c r="X351" s="12"/>
      <x:c r="Y351" s="12" t="str">
        <x:v>negative</x:v>
      </x:c>
      <x:c r="Z351" s="12" t="str">
        <x:f>IF(OR(W351="unavailable",Y351="unavailable"),"不可评价",IF(OR(W351="equivocal",Y351="equivocal"),"疑似",IF(AND(W351="positive",Y351="positive"),"a",IF(Y351="positive","b",IF(W351="positive","c","d")))))</x:f>
        <x:v>d</x:v>
      </x:c>
      <x:c r="AA351" s="12" t="str">
        <x:f>IF(OR(M351="unavailable",O351="unavailable"),"不可评价",IF(AND(OR(M351="positive",M351="equivocal"),OR(O351="positive",O351="equivocal")),"a",IF(OR(O351="positive",O351="equivocal"),"b",IF(OR(M351="positive",M351="equivocal"),"c","d"))))</x:f>
        <x:v>d</x:v>
      </x:c>
      <x:c r="AB351" s="12" t="str">
        <x:f>IF(OR(M351="unavailable",O351="unavailable"),"不可评价",IF(AND(M351="positive",O351="positive"),"a",IF(O351="positive","b",IF(M351="positive","c","d"))))</x:f>
        <x:v>d</x:v>
      </x:c>
      <x:c r="AC351" s="12" t="str">
        <x:f>IF(OR(R351="unavailable",T351="unavailable"),"不可评价",IF(AND(OR(R351="positive",R351="equivocal"),OR(T351="positive",T351="equivocal")),"a",IF(OR(T351="positive",T351="equivocal"),"b",IF(OR(R351="positive",R351="equivocal"),"c","d"))))</x:f>
        <x:v>d</x:v>
      </x:c>
      <x:c r="AD351" s="12" t="str">
        <x:f>IF(OR(R351="unavailable",T351="unavailable"),"不可评价",IF(AND(R351="positive",T351="positive"),"a",IF(T351="positive","b",IF(R351="positive","c","d"))))</x:f>
        <x:v>d</x:v>
      </x:c>
      <x:c r="AE351" s="12" t="str">
        <x:f>IF(OR(W351="unavailable",Y351="unavailable"),"不可评价",IF(AND(OR(W351="positive",W351="equivocal"),OR(Y351="positive",Y351="equivocal")),"a",IF(OR(Y351="positive",Y351="equivocal"),"b",IF(OR(W351="positive",W351="equivocal"),"c","d"))))</x:f>
        <x:v>d</x:v>
      </x:c>
      <x:c r="AF351" s="12" t="str">
        <x:f>IF(OR(W351="unavailable",Y351="unavailable"),"不可评价",IF(AND(W351="positive",Y351="positive"),"a",IF(Y351="positive","b",IF(W351="positive","c","d"))))</x:f>
        <x:v>d</x:v>
      </x:c>
    </x:row>
    <x:row r="352" ht="24" customHeight="1">
      <x:c r="A352" s="12" t="str">
        <x:v>2779</x:v>
      </x:c>
      <x:c r="B352" s="12" t="str">
        <x:v>5399</x:v>
      </x:c>
      <x:c r="C352" s="21" t="n">
        <x:v>32627.732233796298</x:v>
      </x:c>
      <x:c r="D352" s="12" t="n">
        <x:v>49</x:v>
      </x:c>
      <x:c r="E352" s="12" t="n">
        <x:v>0</x:v>
      </x:c>
      <x:c r="F352" s="12" t="str">
        <x:v>未记录</x:v>
      </x:c>
      <x:c r="G352" s="12" t="n">
        <x:v>1</x:v>
      </x:c>
      <x:c r="H352" s="12" t="str">
        <x:v>{'NORM': 100.0, 'SR': 0.0}</x:v>
      </x:c>
      <x:c r="I352" s="12" t="str">
        <x:v>[('NSR', 100.0), ('NML', 100.0)]</x:v>
      </x:c>
      <x:c r="J352" s="12" t="str">
        <x:v>ptbxl_database.csv；ecg_id=2779；scp_codes</x:v>
      </x:c>
      <x:c r="K352" s="12" t="str">
        <x:v>12sl_statements.csv；ecg_id=2779；statements_ext_snomed</x:v>
      </x:c>
      <x:c r="L352" s="12"/>
      <x:c r="M352" s="12" t="str">
        <x:v>negative</x:v>
      </x:c>
      <x:c r="N352" s="12"/>
      <x:c r="O352" s="12" t="str">
        <x:v>negative</x:v>
      </x:c>
      <x:c r="P352" s="12" t="str">
        <x:f>IF(OR(M352="unavailable",O352="unavailable"),"不可评价",IF(OR(M352="equivocal",O352="equivocal"),"疑似",IF(AND(M352="positive",O352="positive"),"a",IF(O352="positive","b",IF(M352="positive","c","d")))))</x:f>
        <x:v>d</x:v>
      </x:c>
      <x:c r="Q352" s="12"/>
      <x:c r="R352" s="12" t="str">
        <x:v>negative</x:v>
      </x:c>
      <x:c r="S352" s="12"/>
      <x:c r="T352" s="12" t="str">
        <x:v>negative</x:v>
      </x:c>
      <x:c r="U352" s="12" t="str">
        <x:f>IF(OR(R352="unavailable",T352="unavailable"),"不可评价",IF(OR(R352="equivocal",T352="equivocal"),"疑似",IF(AND(R352="positive",T352="positive"),"a",IF(T352="positive","b",IF(R352="positive","c","d")))))</x:f>
        <x:v>d</x:v>
      </x:c>
      <x:c r="V352" s="12"/>
      <x:c r="W352" s="12" t="str">
        <x:v>negative</x:v>
      </x:c>
      <x:c r="X352" s="12"/>
      <x:c r="Y352" s="12" t="str">
        <x:v>negative</x:v>
      </x:c>
      <x:c r="Z352" s="12" t="str">
        <x:f>IF(OR(W352="unavailable",Y352="unavailable"),"不可评价",IF(OR(W352="equivocal",Y352="equivocal"),"疑似",IF(AND(W352="positive",Y352="positive"),"a",IF(Y352="positive","b",IF(W352="positive","c","d")))))</x:f>
        <x:v>d</x:v>
      </x:c>
      <x:c r="AA352" s="12" t="str">
        <x:f>IF(OR(M352="unavailable",O352="unavailable"),"不可评价",IF(AND(OR(M352="positive",M352="equivocal"),OR(O352="positive",O352="equivocal")),"a",IF(OR(O352="positive",O352="equivocal"),"b",IF(OR(M352="positive",M352="equivocal"),"c","d"))))</x:f>
        <x:v>d</x:v>
      </x:c>
      <x:c r="AB352" s="12" t="str">
        <x:f>IF(OR(M352="unavailable",O352="unavailable"),"不可评价",IF(AND(M352="positive",O352="positive"),"a",IF(O352="positive","b",IF(M352="positive","c","d"))))</x:f>
        <x:v>d</x:v>
      </x:c>
      <x:c r="AC352" s="12" t="str">
        <x:f>IF(OR(R352="unavailable",T352="unavailable"),"不可评价",IF(AND(OR(R352="positive",R352="equivocal"),OR(T352="positive",T352="equivocal")),"a",IF(OR(T352="positive",T352="equivocal"),"b",IF(OR(R352="positive",R352="equivocal"),"c","d"))))</x:f>
        <x:v>d</x:v>
      </x:c>
      <x:c r="AD352" s="12" t="str">
        <x:f>IF(OR(R352="unavailable",T352="unavailable"),"不可评价",IF(AND(R352="positive",T352="positive"),"a",IF(T352="positive","b",IF(R352="positive","c","d"))))</x:f>
        <x:v>d</x:v>
      </x:c>
      <x:c r="AE352" s="12" t="str">
        <x:f>IF(OR(W352="unavailable",Y352="unavailable"),"不可评价",IF(AND(OR(W352="positive",W352="equivocal"),OR(Y352="positive",Y352="equivocal")),"a",IF(OR(Y352="positive",Y352="equivocal"),"b",IF(OR(W352="positive",W352="equivocal"),"c","d"))))</x:f>
        <x:v>d</x:v>
      </x:c>
      <x:c r="AF352" s="12" t="str">
        <x:f>IF(OR(W352="unavailable",Y352="unavailable"),"不可评价",IF(AND(W352="positive",Y352="positive"),"a",IF(Y352="positive","b",IF(W352="positive","c","d"))))</x:f>
        <x:v>d</x:v>
      </x:c>
    </x:row>
    <x:row r="353" ht="24" customHeight="1">
      <x:c r="A353" s="12" t="str">
        <x:v>2785</x:v>
      </x:c>
      <x:c r="B353" s="12" t="str">
        <x:v>1661</x:v>
      </x:c>
      <x:c r="C353" s="21" t="n">
        <x:v>32628.516087962962</x:v>
      </x:c>
      <x:c r="D353" s="12" t="n">
        <x:v>72</x:v>
      </x:c>
      <x:c r="E353" s="12" t="n">
        <x:v>1</x:v>
      </x:c>
      <x:c r="F353" s="12" t="str">
        <x:v>未记录</x:v>
      </x:c>
      <x:c r="G353" s="12" t="n">
        <x:v>1</x:v>
      </x:c>
      <x:c r="H353" s="12" t="str">
        <x:v>{'NORM': 100.0, 'SR': 0.0}</x:v>
      </x:c>
      <x:c r="I353" s="12" t="str">
        <x:v>[('NSR', 100.0), ('NST', 100.0), ('AB', 100.0)]</x:v>
      </x:c>
      <x:c r="J353" s="12" t="str">
        <x:v>ptbxl_database.csv；ecg_id=2785；scp_codes</x:v>
      </x:c>
      <x:c r="K353" s="12" t="str">
        <x:v>12sl_statements.csv；ecg_id=2785；statements_ext_snomed</x:v>
      </x:c>
      <x:c r="L353" s="12"/>
      <x:c r="M353" s="12" t="str">
        <x:v>negative</x:v>
      </x:c>
      <x:c r="N353" s="12"/>
      <x:c r="O353" s="12" t="str">
        <x:v>negative</x:v>
      </x:c>
      <x:c r="P353" s="12" t="str">
        <x:f>IF(OR(M353="unavailable",O353="unavailable"),"不可评价",IF(OR(M353="equivocal",O353="equivocal"),"疑似",IF(AND(M353="positive",O353="positive"),"a",IF(O353="positive","b",IF(M353="positive","c","d")))))</x:f>
        <x:v>d</x:v>
      </x:c>
      <x:c r="Q353" s="12"/>
      <x:c r="R353" s="12" t="str">
        <x:v>negative</x:v>
      </x:c>
      <x:c r="S353" s="12"/>
      <x:c r="T353" s="12" t="str">
        <x:v>negative</x:v>
      </x:c>
      <x:c r="U353" s="12" t="str">
        <x:f>IF(OR(R353="unavailable",T353="unavailable"),"不可评价",IF(OR(R353="equivocal",T353="equivocal"),"疑似",IF(AND(R353="positive",T353="positive"),"a",IF(T353="positive","b",IF(R353="positive","c","d")))))</x:f>
        <x:v>d</x:v>
      </x:c>
      <x:c r="V353" s="12"/>
      <x:c r="W353" s="12" t="str">
        <x:v>negative</x:v>
      </x:c>
      <x:c r="X353" s="12"/>
      <x:c r="Y353" s="12" t="str">
        <x:v>negative</x:v>
      </x:c>
      <x:c r="Z353" s="12" t="str">
        <x:f>IF(OR(W353="unavailable",Y353="unavailable"),"不可评价",IF(OR(W353="equivocal",Y353="equivocal"),"疑似",IF(AND(W353="positive",Y353="positive"),"a",IF(Y353="positive","b",IF(W353="positive","c","d")))))</x:f>
        <x:v>d</x:v>
      </x:c>
      <x:c r="AA353" s="12" t="str">
        <x:f>IF(OR(M353="unavailable",O353="unavailable"),"不可评价",IF(AND(OR(M353="positive",M353="equivocal"),OR(O353="positive",O353="equivocal")),"a",IF(OR(O353="positive",O353="equivocal"),"b",IF(OR(M353="positive",M353="equivocal"),"c","d"))))</x:f>
        <x:v>d</x:v>
      </x:c>
      <x:c r="AB353" s="12" t="str">
        <x:f>IF(OR(M353="unavailable",O353="unavailable"),"不可评价",IF(AND(M353="positive",O353="positive"),"a",IF(O353="positive","b",IF(M353="positive","c","d"))))</x:f>
        <x:v>d</x:v>
      </x:c>
      <x:c r="AC353" s="12" t="str">
        <x:f>IF(OR(R353="unavailable",T353="unavailable"),"不可评价",IF(AND(OR(R353="positive",R353="equivocal"),OR(T353="positive",T353="equivocal")),"a",IF(OR(T353="positive",T353="equivocal"),"b",IF(OR(R353="positive",R353="equivocal"),"c","d"))))</x:f>
        <x:v>d</x:v>
      </x:c>
      <x:c r="AD353" s="12" t="str">
        <x:f>IF(OR(R353="unavailable",T353="unavailable"),"不可评价",IF(AND(R353="positive",T353="positive"),"a",IF(T353="positive","b",IF(R353="positive","c","d"))))</x:f>
        <x:v>d</x:v>
      </x:c>
      <x:c r="AE353" s="12" t="str">
        <x:f>IF(OR(W353="unavailable",Y353="unavailable"),"不可评价",IF(AND(OR(W353="positive",W353="equivocal"),OR(Y353="positive",Y353="equivocal")),"a",IF(OR(Y353="positive",Y353="equivocal"),"b",IF(OR(W353="positive",W353="equivocal"),"c","d"))))</x:f>
        <x:v>d</x:v>
      </x:c>
      <x:c r="AF353" s="12" t="str">
        <x:f>IF(OR(W353="unavailable",Y353="unavailable"),"不可评价",IF(AND(W353="positive",Y353="positive"),"a",IF(Y353="positive","b",IF(W353="positive","c","d"))))</x:f>
        <x:v>d</x:v>
      </x:c>
    </x:row>
    <x:row r="354" ht="24" customHeight="1">
      <x:c r="A354" s="12" t="str">
        <x:v>2786</x:v>
      </x:c>
      <x:c r="B354" s="12" t="str">
        <x:v>14511</x:v>
      </x:c>
      <x:c r="C354" s="21" t="n">
        <x:v>32628.540578703705</x:v>
      </x:c>
      <x:c r="D354" s="12" t="n">
        <x:v>52</x:v>
      </x:c>
      <x:c r="E354" s="12" t="n">
        <x:v>0</x:v>
      </x:c>
      <x:c r="F354" s="12" t="str">
        <x:v>存在</x:v>
      </x:c>
      <x:c r="G354" s="12" t="n">
        <x:v>0</x:v>
      </x:c>
      <x:c r="H354" s="12" t="str">
        <x:v>{'NORM': 100.0, 'SR': 0.0}</x:v>
      </x:c>
      <x:c r="I354" s="12" t="str">
        <x:v>[('NSR', 100.0), ('NML', 100.0)]</x:v>
      </x:c>
      <x:c r="J354" s="12" t="str">
        <x:v>ptbxl_database.csv；ecg_id=2786；scp_codes</x:v>
      </x:c>
      <x:c r="K354" s="12" t="str">
        <x:v>12sl_statements.csv；ecg_id=2786；statements_ext_snomed</x:v>
      </x:c>
      <x:c r="L354" s="12"/>
      <x:c r="M354" s="12" t="str">
        <x:v>negative</x:v>
      </x:c>
      <x:c r="N354" s="12"/>
      <x:c r="O354" s="12" t="str">
        <x:v>negative</x:v>
      </x:c>
      <x:c r="P354" s="12" t="str">
        <x:f>IF(OR(M354="unavailable",O354="unavailable"),"不可评价",IF(OR(M354="equivocal",O354="equivocal"),"疑似",IF(AND(M354="positive",O354="positive"),"a",IF(O354="positive","b",IF(M354="positive","c","d")))))</x:f>
        <x:v>d</x:v>
      </x:c>
      <x:c r="Q354" s="12"/>
      <x:c r="R354" s="12" t="str">
        <x:v>negative</x:v>
      </x:c>
      <x:c r="S354" s="12"/>
      <x:c r="T354" s="12" t="str">
        <x:v>negative</x:v>
      </x:c>
      <x:c r="U354" s="12" t="str">
        <x:f>IF(OR(R354="unavailable",T354="unavailable"),"不可评价",IF(OR(R354="equivocal",T354="equivocal"),"疑似",IF(AND(R354="positive",T354="positive"),"a",IF(T354="positive","b",IF(R354="positive","c","d")))))</x:f>
        <x:v>d</x:v>
      </x:c>
      <x:c r="V354" s="12"/>
      <x:c r="W354" s="12" t="str">
        <x:v>negative</x:v>
      </x:c>
      <x:c r="X354" s="12"/>
      <x:c r="Y354" s="12" t="str">
        <x:v>negative</x:v>
      </x:c>
      <x:c r="Z354" s="12" t="str">
        <x:f>IF(OR(W354="unavailable",Y354="unavailable"),"不可评价",IF(OR(W354="equivocal",Y354="equivocal"),"疑似",IF(AND(W354="positive",Y354="positive"),"a",IF(Y354="positive","b",IF(W354="positive","c","d")))))</x:f>
        <x:v>d</x:v>
      </x:c>
      <x:c r="AA354" s="12" t="str">
        <x:f>IF(OR(M354="unavailable",O354="unavailable"),"不可评价",IF(AND(OR(M354="positive",M354="equivocal"),OR(O354="positive",O354="equivocal")),"a",IF(OR(O354="positive",O354="equivocal"),"b",IF(OR(M354="positive",M354="equivocal"),"c","d"))))</x:f>
        <x:v>d</x:v>
      </x:c>
      <x:c r="AB354" s="12" t="str">
        <x:f>IF(OR(M354="unavailable",O354="unavailable"),"不可评价",IF(AND(M354="positive",O354="positive"),"a",IF(O354="positive","b",IF(M354="positive","c","d"))))</x:f>
        <x:v>d</x:v>
      </x:c>
      <x:c r="AC354" s="12" t="str">
        <x:f>IF(OR(R354="unavailable",T354="unavailable"),"不可评价",IF(AND(OR(R354="positive",R354="equivocal"),OR(T354="positive",T354="equivocal")),"a",IF(OR(T354="positive",T354="equivocal"),"b",IF(OR(R354="positive",R354="equivocal"),"c","d"))))</x:f>
        <x:v>d</x:v>
      </x:c>
      <x:c r="AD354" s="12" t="str">
        <x:f>IF(OR(R354="unavailable",T354="unavailable"),"不可评价",IF(AND(R354="positive",T354="positive"),"a",IF(T354="positive","b",IF(R354="positive","c","d"))))</x:f>
        <x:v>d</x:v>
      </x:c>
      <x:c r="AE354" s="12" t="str">
        <x:f>IF(OR(W354="unavailable",Y354="unavailable"),"不可评价",IF(AND(OR(W354="positive",W354="equivocal"),OR(Y354="positive",Y354="equivocal")),"a",IF(OR(Y354="positive",Y354="equivocal"),"b",IF(OR(W354="positive",W354="equivocal"),"c","d"))))</x:f>
        <x:v>d</x:v>
      </x:c>
      <x:c r="AF354" s="12" t="str">
        <x:f>IF(OR(W354="unavailable",Y354="unavailable"),"不可评价",IF(AND(W354="positive",Y354="positive"),"a",IF(Y354="positive","b",IF(W354="positive","c","d"))))</x:f>
        <x:v>d</x:v>
      </x:c>
    </x:row>
    <x:row r="355" ht="24" customHeight="1">
      <x:c r="A355" s="12" t="str">
        <x:v>2789</x:v>
      </x:c>
      <x:c r="B355" s="12" t="str">
        <x:v>6368</x:v>
      </x:c>
      <x:c r="C355" s="21" t="n">
        <x:v>32628.641875</x:v>
      </x:c>
      <x:c r="D355" s="12" t="n">
        <x:v>65</x:v>
      </x:c>
      <x:c r="E355" s="12" t="n">
        <x:v>0</x:v>
      </x:c>
      <x:c r="F355" s="12" t="str">
        <x:v>存在</x:v>
      </x:c>
      <x:c r="G355" s="12" t="n">
        <x:v>1</x:v>
      </x:c>
      <x:c r="H355" s="12" t="str">
        <x:v>{'NORM': 80.0, 'SR': 0.0}</x:v>
      </x:c>
      <x:c r="I355" s="12" t="str">
        <x:v>[('NSR', 100.0), ('QESPMI', 100.0), ('AB', 100.0)]</x:v>
      </x:c>
      <x:c r="J355" s="12" t="str">
        <x:v>ptbxl_database.csv；ecg_id=2789；scp_codes</x:v>
      </x:c>
      <x:c r="K355" s="12" t="str">
        <x:v>12sl_statements.csv；ecg_id=2789；statements_ext_snomed</x:v>
      </x:c>
      <x:c r="L355" s="12"/>
      <x:c r="M355" s="12" t="str">
        <x:v>negative</x:v>
      </x:c>
      <x:c r="N355" s="12"/>
      <x:c r="O355" s="12" t="str">
        <x:v>negative</x:v>
      </x:c>
      <x:c r="P355" s="12" t="str">
        <x:f>IF(OR(M355="unavailable",O355="unavailable"),"不可评价",IF(OR(M355="equivocal",O355="equivocal"),"疑似",IF(AND(M355="positive",O355="positive"),"a",IF(O355="positive","b",IF(M355="positive","c","d")))))</x:f>
        <x:v>d</x:v>
      </x:c>
      <x:c r="Q355" s="12"/>
      <x:c r="R355" s="12" t="str">
        <x:v>negative</x:v>
      </x:c>
      <x:c r="S355" s="12"/>
      <x:c r="T355" s="12" t="str">
        <x:v>negative</x:v>
      </x:c>
      <x:c r="U355" s="12" t="str">
        <x:f>IF(OR(R355="unavailable",T355="unavailable"),"不可评价",IF(OR(R355="equivocal",T355="equivocal"),"疑似",IF(AND(R355="positive",T355="positive"),"a",IF(T355="positive","b",IF(R355="positive","c","d")))))</x:f>
        <x:v>d</x:v>
      </x:c>
      <x:c r="V355" s="12"/>
      <x:c r="W355" s="12" t="str">
        <x:v>negative</x:v>
      </x:c>
      <x:c r="X355" s="12"/>
      <x:c r="Y355" s="12" t="str">
        <x:v>negative</x:v>
      </x:c>
      <x:c r="Z355" s="12" t="str">
        <x:f>IF(OR(W355="unavailable",Y355="unavailable"),"不可评价",IF(OR(W355="equivocal",Y355="equivocal"),"疑似",IF(AND(W355="positive",Y355="positive"),"a",IF(Y355="positive","b",IF(W355="positive","c","d")))))</x:f>
        <x:v>d</x:v>
      </x:c>
      <x:c r="AA355" s="12" t="str">
        <x:f>IF(OR(M355="unavailable",O355="unavailable"),"不可评价",IF(AND(OR(M355="positive",M355="equivocal"),OR(O355="positive",O355="equivocal")),"a",IF(OR(O355="positive",O355="equivocal"),"b",IF(OR(M355="positive",M355="equivocal"),"c","d"))))</x:f>
        <x:v>d</x:v>
      </x:c>
      <x:c r="AB355" s="12" t="str">
        <x:f>IF(OR(M355="unavailable",O355="unavailable"),"不可评价",IF(AND(M355="positive",O355="positive"),"a",IF(O355="positive","b",IF(M355="positive","c","d"))))</x:f>
        <x:v>d</x:v>
      </x:c>
      <x:c r="AC355" s="12" t="str">
        <x:f>IF(OR(R355="unavailable",T355="unavailable"),"不可评价",IF(AND(OR(R355="positive",R355="equivocal"),OR(T355="positive",T355="equivocal")),"a",IF(OR(T355="positive",T355="equivocal"),"b",IF(OR(R355="positive",R355="equivocal"),"c","d"))))</x:f>
        <x:v>d</x:v>
      </x:c>
      <x:c r="AD355" s="12" t="str">
        <x:f>IF(OR(R355="unavailable",T355="unavailable"),"不可评价",IF(AND(R355="positive",T355="positive"),"a",IF(T355="positive","b",IF(R355="positive","c","d"))))</x:f>
        <x:v>d</x:v>
      </x:c>
      <x:c r="AE355" s="12" t="str">
        <x:f>IF(OR(W355="unavailable",Y355="unavailable"),"不可评价",IF(AND(OR(W355="positive",W355="equivocal"),OR(Y355="positive",Y355="equivocal")),"a",IF(OR(Y355="positive",Y355="equivocal"),"b",IF(OR(W355="positive",W355="equivocal"),"c","d"))))</x:f>
        <x:v>d</x:v>
      </x:c>
      <x:c r="AF355" s="12" t="str">
        <x:f>IF(OR(W355="unavailable",Y355="unavailable"),"不可评价",IF(AND(W355="positive",Y355="positive"),"a",IF(Y355="positive","b",IF(W355="positive","c","d"))))</x:f>
        <x:v>d</x:v>
      </x:c>
    </x:row>
    <x:row r="356" ht="24" customHeight="1">
      <x:c r="A356" s="12" t="str">
        <x:v>2791</x:v>
      </x:c>
      <x:c r="B356" s="12" t="str">
        <x:v>5062</x:v>
      </x:c>
      <x:c r="C356" s="21" t="n">
        <x:v>32628.731122685185</x:v>
      </x:c>
      <x:c r="D356" s="12" t="n">
        <x:v>55</x:v>
      </x:c>
      <x:c r="E356" s="12" t="n">
        <x:v>1</x:v>
      </x:c>
      <x:c r="F356" s="12" t="str">
        <x:v>未记录</x:v>
      </x:c>
      <x:c r="G356" s="12" t="n">
        <x:v>1</x:v>
      </x:c>
      <x:c r="H356" s="12" t="str">
        <x:v>{'NORM': 100.0, 'SR': 0.0}</x:v>
      </x:c>
      <x:c r="I356" s="12" t="str">
        <x:v>[('NSR', 100.0), ('NML', 100.0)]</x:v>
      </x:c>
      <x:c r="J356" s="12" t="str">
        <x:v>ptbxl_database.csv；ecg_id=2791；scp_codes</x:v>
      </x:c>
      <x:c r="K356" s="12" t="str">
        <x:v>12sl_statements.csv；ecg_id=2791；statements_ext_snomed</x:v>
      </x:c>
      <x:c r="L356" s="12"/>
      <x:c r="M356" s="12" t="str">
        <x:v>negative</x:v>
      </x:c>
      <x:c r="N356" s="12"/>
      <x:c r="O356" s="12" t="str">
        <x:v>negative</x:v>
      </x:c>
      <x:c r="P356" s="12" t="str">
        <x:f>IF(OR(M356="unavailable",O356="unavailable"),"不可评价",IF(OR(M356="equivocal",O356="equivocal"),"疑似",IF(AND(M356="positive",O356="positive"),"a",IF(O356="positive","b",IF(M356="positive","c","d")))))</x:f>
        <x:v>d</x:v>
      </x:c>
      <x:c r="Q356" s="12"/>
      <x:c r="R356" s="12" t="str">
        <x:v>negative</x:v>
      </x:c>
      <x:c r="S356" s="12"/>
      <x:c r="T356" s="12" t="str">
        <x:v>negative</x:v>
      </x:c>
      <x:c r="U356" s="12" t="str">
        <x:f>IF(OR(R356="unavailable",T356="unavailable"),"不可评价",IF(OR(R356="equivocal",T356="equivocal"),"疑似",IF(AND(R356="positive",T356="positive"),"a",IF(T356="positive","b",IF(R356="positive","c","d")))))</x:f>
        <x:v>d</x:v>
      </x:c>
      <x:c r="V356" s="12"/>
      <x:c r="W356" s="12" t="str">
        <x:v>negative</x:v>
      </x:c>
      <x:c r="X356" s="12"/>
      <x:c r="Y356" s="12" t="str">
        <x:v>negative</x:v>
      </x:c>
      <x:c r="Z356" s="12" t="str">
        <x:f>IF(OR(W356="unavailable",Y356="unavailable"),"不可评价",IF(OR(W356="equivocal",Y356="equivocal"),"疑似",IF(AND(W356="positive",Y356="positive"),"a",IF(Y356="positive","b",IF(W356="positive","c","d")))))</x:f>
        <x:v>d</x:v>
      </x:c>
      <x:c r="AA356" s="12" t="str">
        <x:f>IF(OR(M356="unavailable",O356="unavailable"),"不可评价",IF(AND(OR(M356="positive",M356="equivocal"),OR(O356="positive",O356="equivocal")),"a",IF(OR(O356="positive",O356="equivocal"),"b",IF(OR(M356="positive",M356="equivocal"),"c","d"))))</x:f>
        <x:v>d</x:v>
      </x:c>
      <x:c r="AB356" s="12" t="str">
        <x:f>IF(OR(M356="unavailable",O356="unavailable"),"不可评价",IF(AND(M356="positive",O356="positive"),"a",IF(O356="positive","b",IF(M356="positive","c","d"))))</x:f>
        <x:v>d</x:v>
      </x:c>
      <x:c r="AC356" s="12" t="str">
        <x:f>IF(OR(R356="unavailable",T356="unavailable"),"不可评价",IF(AND(OR(R356="positive",R356="equivocal"),OR(T356="positive",T356="equivocal")),"a",IF(OR(T356="positive",T356="equivocal"),"b",IF(OR(R356="positive",R356="equivocal"),"c","d"))))</x:f>
        <x:v>d</x:v>
      </x:c>
      <x:c r="AD356" s="12" t="str">
        <x:f>IF(OR(R356="unavailable",T356="unavailable"),"不可评价",IF(AND(R356="positive",T356="positive"),"a",IF(T356="positive","b",IF(R356="positive","c","d"))))</x:f>
        <x:v>d</x:v>
      </x:c>
      <x:c r="AE356" s="12" t="str">
        <x:f>IF(OR(W356="unavailable",Y356="unavailable"),"不可评价",IF(AND(OR(W356="positive",W356="equivocal"),OR(Y356="positive",Y356="equivocal")),"a",IF(OR(Y356="positive",Y356="equivocal"),"b",IF(OR(W356="positive",W356="equivocal"),"c","d"))))</x:f>
        <x:v>d</x:v>
      </x:c>
      <x:c r="AF356" s="12" t="str">
        <x:f>IF(OR(W356="unavailable",Y356="unavailable"),"不可评价",IF(AND(W356="positive",Y356="positive"),"a",IF(Y356="positive","b",IF(W356="positive","c","d"))))</x:f>
        <x:v>d</x:v>
      </x:c>
    </x:row>
    <x:row r="357" ht="39" customHeight="1">
      <x:c r="A357" s="12" t="str">
        <x:v>2802</x:v>
      </x:c>
      <x:c r="B357" s="12" t="str">
        <x:v>4602</x:v>
      </x:c>
      <x:c r="C357" s="21" t="n">
        <x:v>32629.54295138889</x:v>
      </x:c>
      <x:c r="D357" s="12" t="n">
        <x:v>75</x:v>
      </x:c>
      <x:c r="E357" s="12" t="n">
        <x:v>0</x:v>
      </x:c>
      <x:c r="F357" s="12" t="str">
        <x:v>未记录</x:v>
      </x:c>
      <x:c r="G357" s="12" t="n">
        <x:v>1</x:v>
      </x:c>
      <x:c r="H357" s="12" t="str">
        <x:v>{'AMI': 50.0, 'LVH': 50.0, 'ISC_': 100.0, 'LOWT': 0.0, 'STD_': 0.0, 'SR': 0.0}</x:v>
      </x:c>
      <x:c r="I357" s="12" t="str">
        <x:v>[('NSR', 100.0), ('SMI;AU', 100.0), ('AB', 100.0)]</x:v>
      </x:c>
      <x:c r="J357" s="12" t="str">
        <x:v>ptbxl_database.csv；ecg_id=2802；scp_codes</x:v>
      </x:c>
      <x:c r="K357" s="12" t="str">
        <x:v>12sl_statements.csv；ecg_id=2802；statements_ext_snomed</x:v>
      </x:c>
      <x:c r="L357" s="12"/>
      <x:c r="M357" s="12" t="str">
        <x:v>negative</x:v>
      </x:c>
      <x:c r="N357" s="12"/>
      <x:c r="O357" s="12" t="str">
        <x:v>negative</x:v>
      </x:c>
      <x:c r="P357" s="12" t="str">
        <x:f>IF(OR(M357="unavailable",O357="unavailable"),"不可评价",IF(OR(M357="equivocal",O357="equivocal"),"疑似",IF(AND(M357="positive",O357="positive"),"a",IF(O357="positive","b",IF(M357="positive","c","d")))))</x:f>
        <x:v>d</x:v>
      </x:c>
      <x:c r="Q357" s="12"/>
      <x:c r="R357" s="12" t="str">
        <x:v>negative</x:v>
      </x:c>
      <x:c r="S357" s="12"/>
      <x:c r="T357" s="12" t="str">
        <x:v>negative</x:v>
      </x:c>
      <x:c r="U357" s="12" t="str">
        <x:f>IF(OR(R357="unavailable",T357="unavailable"),"不可评价",IF(OR(R357="equivocal",T357="equivocal"),"疑似",IF(AND(R357="positive",T357="positive"),"a",IF(T357="positive","b",IF(R357="positive","c","d")))))</x:f>
        <x:v>d</x:v>
      </x:c>
      <x:c r="V357" s="12"/>
      <x:c r="W357" s="12" t="str">
        <x:v>negative</x:v>
      </x:c>
      <x:c r="X357" s="12"/>
      <x:c r="Y357" s="12" t="str">
        <x:v>negative</x:v>
      </x:c>
      <x:c r="Z357" s="12" t="str">
        <x:f>IF(OR(W357="unavailable",Y357="unavailable"),"不可评价",IF(OR(W357="equivocal",Y357="equivocal"),"疑似",IF(AND(W357="positive",Y357="positive"),"a",IF(Y357="positive","b",IF(W357="positive","c","d")))))</x:f>
        <x:v>d</x:v>
      </x:c>
      <x:c r="AA357" s="12" t="str">
        <x:f>IF(OR(M357="unavailable",O357="unavailable"),"不可评价",IF(AND(OR(M357="positive",M357="equivocal"),OR(O357="positive",O357="equivocal")),"a",IF(OR(O357="positive",O357="equivocal"),"b",IF(OR(M357="positive",M357="equivocal"),"c","d"))))</x:f>
        <x:v>d</x:v>
      </x:c>
      <x:c r="AB357" s="12" t="str">
        <x:f>IF(OR(M357="unavailable",O357="unavailable"),"不可评价",IF(AND(M357="positive",O357="positive"),"a",IF(O357="positive","b",IF(M357="positive","c","d"))))</x:f>
        <x:v>d</x:v>
      </x:c>
      <x:c r="AC357" s="12" t="str">
        <x:f>IF(OR(R357="unavailable",T357="unavailable"),"不可评价",IF(AND(OR(R357="positive",R357="equivocal"),OR(T357="positive",T357="equivocal")),"a",IF(OR(T357="positive",T357="equivocal"),"b",IF(OR(R357="positive",R357="equivocal"),"c","d"))))</x:f>
        <x:v>d</x:v>
      </x:c>
      <x:c r="AD357" s="12" t="str">
        <x:f>IF(OR(R357="unavailable",T357="unavailable"),"不可评价",IF(AND(R357="positive",T357="positive"),"a",IF(T357="positive","b",IF(R357="positive","c","d"))))</x:f>
        <x:v>d</x:v>
      </x:c>
      <x:c r="AE357" s="12" t="str">
        <x:f>IF(OR(W357="unavailable",Y357="unavailable"),"不可评价",IF(AND(OR(W357="positive",W357="equivocal"),OR(Y357="positive",Y357="equivocal")),"a",IF(OR(Y357="positive",Y357="equivocal"),"b",IF(OR(W357="positive",W357="equivocal"),"c","d"))))</x:f>
        <x:v>d</x:v>
      </x:c>
      <x:c r="AF357" s="12" t="str">
        <x:f>IF(OR(W357="unavailable",Y357="unavailable"),"不可评价",IF(AND(W357="positive",Y357="positive"),"a",IF(Y357="positive","b",IF(W357="positive","c","d"))))</x:f>
        <x:v>d</x:v>
      </x:c>
    </x:row>
    <x:row r="358" ht="24" customHeight="1">
      <x:c r="A358" s="12" t="str">
        <x:v>2813</x:v>
      </x:c>
      <x:c r="B358" s="12" t="str">
        <x:v>17738</x:v>
      </x:c>
      <x:c r="C358" s="21" t="n">
        <x:v>32632.415381944444</x:v>
      </x:c>
      <x:c r="D358" s="12" t="n">
        <x:v>23</x:v>
      </x:c>
      <x:c r="E358" s="12" t="n">
        <x:v>1</x:v>
      </x:c>
      <x:c r="F358" s="12" t="str">
        <x:v>未记录</x:v>
      </x:c>
      <x:c r="G358" s="12" t="n">
        <x:v>1</x:v>
      </x:c>
      <x:c r="H358" s="12" t="str">
        <x:v>{'NORM': 80.0, 'SR': 0.0}</x:v>
      </x:c>
      <x:c r="I358" s="12" t="str">
        <x:v>[('NSR', 100.0), ('NML', 100.0)]</x:v>
      </x:c>
      <x:c r="J358" s="12" t="str">
        <x:v>ptbxl_database.csv；ecg_id=2813；scp_codes</x:v>
      </x:c>
      <x:c r="K358" s="12" t="str">
        <x:v>12sl_statements.csv；ecg_id=2813；statements_ext_snomed</x:v>
      </x:c>
      <x:c r="L358" s="12"/>
      <x:c r="M358" s="12" t="str">
        <x:v>negative</x:v>
      </x:c>
      <x:c r="N358" s="12"/>
      <x:c r="O358" s="12" t="str">
        <x:v>negative</x:v>
      </x:c>
      <x:c r="P358" s="12" t="str">
        <x:f>IF(OR(M358="unavailable",O358="unavailable"),"不可评价",IF(OR(M358="equivocal",O358="equivocal"),"疑似",IF(AND(M358="positive",O358="positive"),"a",IF(O358="positive","b",IF(M358="positive","c","d")))))</x:f>
        <x:v>d</x:v>
      </x:c>
      <x:c r="Q358" s="12"/>
      <x:c r="R358" s="12" t="str">
        <x:v>negative</x:v>
      </x:c>
      <x:c r="S358" s="12"/>
      <x:c r="T358" s="12" t="str">
        <x:v>negative</x:v>
      </x:c>
      <x:c r="U358" s="12" t="str">
        <x:f>IF(OR(R358="unavailable",T358="unavailable"),"不可评价",IF(OR(R358="equivocal",T358="equivocal"),"疑似",IF(AND(R358="positive",T358="positive"),"a",IF(T358="positive","b",IF(R358="positive","c","d")))))</x:f>
        <x:v>d</x:v>
      </x:c>
      <x:c r="V358" s="12"/>
      <x:c r="W358" s="12" t="str">
        <x:v>negative</x:v>
      </x:c>
      <x:c r="X358" s="12"/>
      <x:c r="Y358" s="12" t="str">
        <x:v>negative</x:v>
      </x:c>
      <x:c r="Z358" s="12" t="str">
        <x:f>IF(OR(W358="unavailable",Y358="unavailable"),"不可评价",IF(OR(W358="equivocal",Y358="equivocal"),"疑似",IF(AND(W358="positive",Y358="positive"),"a",IF(Y358="positive","b",IF(W358="positive","c","d")))))</x:f>
        <x:v>d</x:v>
      </x:c>
      <x:c r="AA358" s="12" t="str">
        <x:f>IF(OR(M358="unavailable",O358="unavailable"),"不可评价",IF(AND(OR(M358="positive",M358="equivocal"),OR(O358="positive",O358="equivocal")),"a",IF(OR(O358="positive",O358="equivocal"),"b",IF(OR(M358="positive",M358="equivocal"),"c","d"))))</x:f>
        <x:v>d</x:v>
      </x:c>
      <x:c r="AB358" s="12" t="str">
        <x:f>IF(OR(M358="unavailable",O358="unavailable"),"不可评价",IF(AND(M358="positive",O358="positive"),"a",IF(O358="positive","b",IF(M358="positive","c","d"))))</x:f>
        <x:v>d</x:v>
      </x:c>
      <x:c r="AC358" s="12" t="str">
        <x:f>IF(OR(R358="unavailable",T358="unavailable"),"不可评价",IF(AND(OR(R358="positive",R358="equivocal"),OR(T358="positive",T358="equivocal")),"a",IF(OR(T358="positive",T358="equivocal"),"b",IF(OR(R358="positive",R358="equivocal"),"c","d"))))</x:f>
        <x:v>d</x:v>
      </x:c>
      <x:c r="AD358" s="12" t="str">
        <x:f>IF(OR(R358="unavailable",T358="unavailable"),"不可评价",IF(AND(R358="positive",T358="positive"),"a",IF(T358="positive","b",IF(R358="positive","c","d"))))</x:f>
        <x:v>d</x:v>
      </x:c>
      <x:c r="AE358" s="12" t="str">
        <x:f>IF(OR(W358="unavailable",Y358="unavailable"),"不可评价",IF(AND(OR(W358="positive",W358="equivocal"),OR(Y358="positive",Y358="equivocal")),"a",IF(OR(Y358="positive",Y358="equivocal"),"b",IF(OR(W358="positive",W358="equivocal"),"c","d"))))</x:f>
        <x:v>d</x:v>
      </x:c>
      <x:c r="AF358" s="12" t="str">
        <x:f>IF(OR(W358="unavailable",Y358="unavailable"),"不可评价",IF(AND(W358="positive",Y358="positive"),"a",IF(Y358="positive","b",IF(W358="positive","c","d"))))</x:f>
        <x:v>d</x:v>
      </x:c>
    </x:row>
    <x:row r="359" ht="24" customHeight="1">
      <x:c r="A359" s="12" t="str">
        <x:v>2819</x:v>
      </x:c>
      <x:c r="B359" s="12" t="str">
        <x:v>3839</x:v>
      </x:c>
      <x:c r="C359" s="21" t="n">
        <x:v>32633.459085648148</x:v>
      </x:c>
      <x:c r="D359" s="12" t="n">
        <x:v>66</x:v>
      </x:c>
      <x:c r="E359" s="12" t="n">
        <x:v>1</x:v>
      </x:c>
      <x:c r="F359" s="12" t="str">
        <x:v>未记录</x:v>
      </x:c>
      <x:c r="G359" s="12" t="n">
        <x:v>1</x:v>
      </x:c>
      <x:c r="H359" s="12" t="str">
        <x:v>{'NORM': 100.0, 'SR': 0.0}</x:v>
      </x:c>
      <x:c r="I359" s="12" t="str">
        <x:v>[('NSR', 100.0), ('BORDE', 100.0)]</x:v>
      </x:c>
      <x:c r="J359" s="12" t="str">
        <x:v>ptbxl_database.csv；ecg_id=2819；scp_codes</x:v>
      </x:c>
      <x:c r="K359" s="12" t="str">
        <x:v>12sl_statements.csv；ecg_id=2819；statements_ext_snomed</x:v>
      </x:c>
      <x:c r="L359" s="12"/>
      <x:c r="M359" s="12" t="str">
        <x:v>negative</x:v>
      </x:c>
      <x:c r="N359" s="12"/>
      <x:c r="O359" s="12" t="str">
        <x:v>negative</x:v>
      </x:c>
      <x:c r="P359" s="12" t="str">
        <x:f>IF(OR(M359="unavailable",O359="unavailable"),"不可评价",IF(OR(M359="equivocal",O359="equivocal"),"疑似",IF(AND(M359="positive",O359="positive"),"a",IF(O359="positive","b",IF(M359="positive","c","d")))))</x:f>
        <x:v>d</x:v>
      </x:c>
      <x:c r="Q359" s="12"/>
      <x:c r="R359" s="12" t="str">
        <x:v>negative</x:v>
      </x:c>
      <x:c r="S359" s="12"/>
      <x:c r="T359" s="12" t="str">
        <x:v>negative</x:v>
      </x:c>
      <x:c r="U359" s="12" t="str">
        <x:f>IF(OR(R359="unavailable",T359="unavailable"),"不可评价",IF(OR(R359="equivocal",T359="equivocal"),"疑似",IF(AND(R359="positive",T359="positive"),"a",IF(T359="positive","b",IF(R359="positive","c","d")))))</x:f>
        <x:v>d</x:v>
      </x:c>
      <x:c r="V359" s="12"/>
      <x:c r="W359" s="12" t="str">
        <x:v>negative</x:v>
      </x:c>
      <x:c r="X359" s="12"/>
      <x:c r="Y359" s="12" t="str">
        <x:v>negative</x:v>
      </x:c>
      <x:c r="Z359" s="12" t="str">
        <x:f>IF(OR(W359="unavailable",Y359="unavailable"),"不可评价",IF(OR(W359="equivocal",Y359="equivocal"),"疑似",IF(AND(W359="positive",Y359="positive"),"a",IF(Y359="positive","b",IF(W359="positive","c","d")))))</x:f>
        <x:v>d</x:v>
      </x:c>
      <x:c r="AA359" s="12" t="str">
        <x:f>IF(OR(M359="unavailable",O359="unavailable"),"不可评价",IF(AND(OR(M359="positive",M359="equivocal"),OR(O359="positive",O359="equivocal")),"a",IF(OR(O359="positive",O359="equivocal"),"b",IF(OR(M359="positive",M359="equivocal"),"c","d"))))</x:f>
        <x:v>d</x:v>
      </x:c>
      <x:c r="AB359" s="12" t="str">
        <x:f>IF(OR(M359="unavailable",O359="unavailable"),"不可评价",IF(AND(M359="positive",O359="positive"),"a",IF(O359="positive","b",IF(M359="positive","c","d"))))</x:f>
        <x:v>d</x:v>
      </x:c>
      <x:c r="AC359" s="12" t="str">
        <x:f>IF(OR(R359="unavailable",T359="unavailable"),"不可评价",IF(AND(OR(R359="positive",R359="equivocal"),OR(T359="positive",T359="equivocal")),"a",IF(OR(T359="positive",T359="equivocal"),"b",IF(OR(R359="positive",R359="equivocal"),"c","d"))))</x:f>
        <x:v>d</x:v>
      </x:c>
      <x:c r="AD359" s="12" t="str">
        <x:f>IF(OR(R359="unavailable",T359="unavailable"),"不可评价",IF(AND(R359="positive",T359="positive"),"a",IF(T359="positive","b",IF(R359="positive","c","d"))))</x:f>
        <x:v>d</x:v>
      </x:c>
      <x:c r="AE359" s="12" t="str">
        <x:f>IF(OR(W359="unavailable",Y359="unavailable"),"不可评价",IF(AND(OR(W359="positive",W359="equivocal"),OR(Y359="positive",Y359="equivocal")),"a",IF(OR(Y359="positive",Y359="equivocal"),"b",IF(OR(W359="positive",W359="equivocal"),"c","d"))))</x:f>
        <x:v>d</x:v>
      </x:c>
      <x:c r="AF359" s="12" t="str">
        <x:f>IF(OR(W359="unavailable",Y359="unavailable"),"不可评价",IF(AND(W359="positive",Y359="positive"),"a",IF(Y359="positive","b",IF(W359="positive","c","d"))))</x:f>
        <x:v>d</x:v>
      </x:c>
    </x:row>
    <x:row r="360" ht="24" customHeight="1">
      <x:c r="A360" s="12" t="str">
        <x:v>2830</x:v>
      </x:c>
      <x:c r="B360" s="12" t="str">
        <x:v>15236</x:v>
      </x:c>
      <x:c r="C360" s="21" t="n">
        <x:v>32634.352337962962</x:v>
      </x:c>
      <x:c r="D360" s="12" t="n">
        <x:v>35</x:v>
      </x:c>
      <x:c r="E360" s="12" t="n">
        <x:v>1</x:v>
      </x:c>
      <x:c r="F360" s="12" t="str">
        <x:v>未记录</x:v>
      </x:c>
      <x:c r="G360" s="12" t="n">
        <x:v>1</x:v>
      </x:c>
      <x:c r="H360" s="12" t="str">
        <x:v>{'NORM': 100.0, 'SARRH': 0.0}</x:v>
      </x:c>
      <x:c r="I360" s="12" t="str">
        <x:v>[('NSR', 100.0), ('SAR', 100.0), ('NML', 100.0)]</x:v>
      </x:c>
      <x:c r="J360" s="12" t="str">
        <x:v>ptbxl_database.csv；ecg_id=2830；scp_codes</x:v>
      </x:c>
      <x:c r="K360" s="12" t="str">
        <x:v>12sl_statements.csv；ecg_id=2830；statements_ext_snomed</x:v>
      </x:c>
      <x:c r="L360" s="12"/>
      <x:c r="M360" s="12" t="str">
        <x:v>negative</x:v>
      </x:c>
      <x:c r="N360" s="12"/>
      <x:c r="O360" s="12" t="str">
        <x:v>negative</x:v>
      </x:c>
      <x:c r="P360" s="12" t="str">
        <x:f>IF(OR(M360="unavailable",O360="unavailable"),"不可评价",IF(OR(M360="equivocal",O360="equivocal"),"疑似",IF(AND(M360="positive",O360="positive"),"a",IF(O360="positive","b",IF(M360="positive","c","d")))))</x:f>
        <x:v>d</x:v>
      </x:c>
      <x:c r="Q360" s="12"/>
      <x:c r="R360" s="12" t="str">
        <x:v>negative</x:v>
      </x:c>
      <x:c r="S360" s="12"/>
      <x:c r="T360" s="12" t="str">
        <x:v>negative</x:v>
      </x:c>
      <x:c r="U360" s="12" t="str">
        <x:f>IF(OR(R360="unavailable",T360="unavailable"),"不可评价",IF(OR(R360="equivocal",T360="equivocal"),"疑似",IF(AND(R360="positive",T360="positive"),"a",IF(T360="positive","b",IF(R360="positive","c","d")))))</x:f>
        <x:v>d</x:v>
      </x:c>
      <x:c r="V360" s="12"/>
      <x:c r="W360" s="12" t="str">
        <x:v>negative</x:v>
      </x:c>
      <x:c r="X360" s="12"/>
      <x:c r="Y360" s="12" t="str">
        <x:v>negative</x:v>
      </x:c>
      <x:c r="Z360" s="12" t="str">
        <x:f>IF(OR(W360="unavailable",Y360="unavailable"),"不可评价",IF(OR(W360="equivocal",Y360="equivocal"),"疑似",IF(AND(W360="positive",Y360="positive"),"a",IF(Y360="positive","b",IF(W360="positive","c","d")))))</x:f>
        <x:v>d</x:v>
      </x:c>
      <x:c r="AA360" s="12" t="str">
        <x:f>IF(OR(M360="unavailable",O360="unavailable"),"不可评价",IF(AND(OR(M360="positive",M360="equivocal"),OR(O360="positive",O360="equivocal")),"a",IF(OR(O360="positive",O360="equivocal"),"b",IF(OR(M360="positive",M360="equivocal"),"c","d"))))</x:f>
        <x:v>d</x:v>
      </x:c>
      <x:c r="AB360" s="12" t="str">
        <x:f>IF(OR(M360="unavailable",O360="unavailable"),"不可评价",IF(AND(M360="positive",O360="positive"),"a",IF(O360="positive","b",IF(M360="positive","c","d"))))</x:f>
        <x:v>d</x:v>
      </x:c>
      <x:c r="AC360" s="12" t="str">
        <x:f>IF(OR(R360="unavailable",T360="unavailable"),"不可评价",IF(AND(OR(R360="positive",R360="equivocal"),OR(T360="positive",T360="equivocal")),"a",IF(OR(T360="positive",T360="equivocal"),"b",IF(OR(R360="positive",R360="equivocal"),"c","d"))))</x:f>
        <x:v>d</x:v>
      </x:c>
      <x:c r="AD360" s="12" t="str">
        <x:f>IF(OR(R360="unavailable",T360="unavailable"),"不可评价",IF(AND(R360="positive",T360="positive"),"a",IF(T360="positive","b",IF(R360="positive","c","d"))))</x:f>
        <x:v>d</x:v>
      </x:c>
      <x:c r="AE360" s="12" t="str">
        <x:f>IF(OR(W360="unavailable",Y360="unavailable"),"不可评价",IF(AND(OR(W360="positive",W360="equivocal"),OR(Y360="positive",Y360="equivocal")),"a",IF(OR(Y360="positive",Y360="equivocal"),"b",IF(OR(W360="positive",W360="equivocal"),"c","d"))))</x:f>
        <x:v>d</x:v>
      </x:c>
      <x:c r="AF360" s="12" t="str">
        <x:f>IF(OR(W360="unavailable",Y360="unavailable"),"不可评价",IF(AND(W360="positive",Y360="positive"),"a",IF(Y360="positive","b",IF(W360="positive","c","d"))))</x:f>
        <x:v>d</x:v>
      </x:c>
    </x:row>
    <x:row r="361" ht="24" customHeight="1">
      <x:c r="A361" s="12" t="str">
        <x:v>2839</x:v>
      </x:c>
      <x:c r="B361" s="12" t="str">
        <x:v>11958</x:v>
      </x:c>
      <x:c r="C361" s="21" t="n">
        <x:v>32635.389814814815</x:v>
      </x:c>
      <x:c r="D361" s="12" t="n">
        <x:v>30</x:v>
      </x:c>
      <x:c r="E361" s="12" t="n">
        <x:v>0</x:v>
      </x:c>
      <x:c r="F361" s="12" t="str">
        <x:v>存在</x:v>
      </x:c>
      <x:c r="G361" s="12" t="n">
        <x:v>1</x:v>
      </x:c>
      <x:c r="H361" s="12" t="str">
        <x:v>{'NORM': 100.0, 'SR': 0.0}</x:v>
      </x:c>
      <x:c r="I361" s="12" t="str">
        <x:v>[('NSR', 100.0), ('NML', 100.0)]</x:v>
      </x:c>
      <x:c r="J361" s="12" t="str">
        <x:v>ptbxl_database.csv；ecg_id=2839；scp_codes</x:v>
      </x:c>
      <x:c r="K361" s="12" t="str">
        <x:v>12sl_statements.csv；ecg_id=2839；statements_ext_snomed</x:v>
      </x:c>
      <x:c r="L361" s="12"/>
      <x:c r="M361" s="12" t="str">
        <x:v>negative</x:v>
      </x:c>
      <x:c r="N361" s="12"/>
      <x:c r="O361" s="12" t="str">
        <x:v>negative</x:v>
      </x:c>
      <x:c r="P361" s="12" t="str">
        <x:f>IF(OR(M361="unavailable",O361="unavailable"),"不可评价",IF(OR(M361="equivocal",O361="equivocal"),"疑似",IF(AND(M361="positive",O361="positive"),"a",IF(O361="positive","b",IF(M361="positive","c","d")))))</x:f>
        <x:v>d</x:v>
      </x:c>
      <x:c r="Q361" s="12"/>
      <x:c r="R361" s="12" t="str">
        <x:v>negative</x:v>
      </x:c>
      <x:c r="S361" s="12"/>
      <x:c r="T361" s="12" t="str">
        <x:v>negative</x:v>
      </x:c>
      <x:c r="U361" s="12" t="str">
        <x:f>IF(OR(R361="unavailable",T361="unavailable"),"不可评价",IF(OR(R361="equivocal",T361="equivocal"),"疑似",IF(AND(R361="positive",T361="positive"),"a",IF(T361="positive","b",IF(R361="positive","c","d")))))</x:f>
        <x:v>d</x:v>
      </x:c>
      <x:c r="V361" s="12"/>
      <x:c r="W361" s="12" t="str">
        <x:v>negative</x:v>
      </x:c>
      <x:c r="X361" s="12"/>
      <x:c r="Y361" s="12" t="str">
        <x:v>negative</x:v>
      </x:c>
      <x:c r="Z361" s="12" t="str">
        <x:f>IF(OR(W361="unavailable",Y361="unavailable"),"不可评价",IF(OR(W361="equivocal",Y361="equivocal"),"疑似",IF(AND(W361="positive",Y361="positive"),"a",IF(Y361="positive","b",IF(W361="positive","c","d")))))</x:f>
        <x:v>d</x:v>
      </x:c>
      <x:c r="AA361" s="12" t="str">
        <x:f>IF(OR(M361="unavailable",O361="unavailable"),"不可评价",IF(AND(OR(M361="positive",M361="equivocal"),OR(O361="positive",O361="equivocal")),"a",IF(OR(O361="positive",O361="equivocal"),"b",IF(OR(M361="positive",M361="equivocal"),"c","d"))))</x:f>
        <x:v>d</x:v>
      </x:c>
      <x:c r="AB361" s="12" t="str">
        <x:f>IF(OR(M361="unavailable",O361="unavailable"),"不可评价",IF(AND(M361="positive",O361="positive"),"a",IF(O361="positive","b",IF(M361="positive","c","d"))))</x:f>
        <x:v>d</x:v>
      </x:c>
      <x:c r="AC361" s="12" t="str">
        <x:f>IF(OR(R361="unavailable",T361="unavailable"),"不可评价",IF(AND(OR(R361="positive",R361="equivocal"),OR(T361="positive",T361="equivocal")),"a",IF(OR(T361="positive",T361="equivocal"),"b",IF(OR(R361="positive",R361="equivocal"),"c","d"))))</x:f>
        <x:v>d</x:v>
      </x:c>
      <x:c r="AD361" s="12" t="str">
        <x:f>IF(OR(R361="unavailable",T361="unavailable"),"不可评价",IF(AND(R361="positive",T361="positive"),"a",IF(T361="positive","b",IF(R361="positive","c","d"))))</x:f>
        <x:v>d</x:v>
      </x:c>
      <x:c r="AE361" s="12" t="str">
        <x:f>IF(OR(W361="unavailable",Y361="unavailable"),"不可评价",IF(AND(OR(W361="positive",W361="equivocal"),OR(Y361="positive",Y361="equivocal")),"a",IF(OR(Y361="positive",Y361="equivocal"),"b",IF(OR(W361="positive",W361="equivocal"),"c","d"))))</x:f>
        <x:v>d</x:v>
      </x:c>
      <x:c r="AF361" s="12" t="str">
        <x:f>IF(OR(W361="unavailable",Y361="unavailable"),"不可评价",IF(AND(W361="positive",Y361="positive"),"a",IF(Y361="positive","b",IF(W361="positive","c","d"))))</x:f>
        <x:v>d</x:v>
      </x:c>
    </x:row>
    <x:row r="362" ht="24" customHeight="1">
      <x:c r="A362" s="12" t="str">
        <x:v>2848</x:v>
      </x:c>
      <x:c r="B362" s="12" t="str">
        <x:v>16463</x:v>
      </x:c>
      <x:c r="C362" s="21" t="n">
        <x:v>32636.423564814813</x:v>
      </x:c>
      <x:c r="D362" s="12" t="n">
        <x:v>44</x:v>
      </x:c>
      <x:c r="E362" s="12" t="n">
        <x:v>0</x:v>
      </x:c>
      <x:c r="F362" s="12" t="str">
        <x:v>存在</x:v>
      </x:c>
      <x:c r="G362" s="12" t="n">
        <x:v>0</x:v>
      </x:c>
      <x:c r="H362" s="12" t="str">
        <x:v>{'NORM': 100.0, 'SR': 0.0}</x:v>
      </x:c>
      <x:c r="I362" s="12" t="str">
        <x:v>[('NSR', 100.0), ('NML', 100.0)]</x:v>
      </x:c>
      <x:c r="J362" s="12" t="str">
        <x:v>ptbxl_database.csv；ecg_id=2848；scp_codes</x:v>
      </x:c>
      <x:c r="K362" s="12" t="str">
        <x:v>12sl_statements.csv；ecg_id=2848；statements_ext_snomed</x:v>
      </x:c>
      <x:c r="L362" s="12"/>
      <x:c r="M362" s="12" t="str">
        <x:v>negative</x:v>
      </x:c>
      <x:c r="N362" s="12"/>
      <x:c r="O362" s="12" t="str">
        <x:v>negative</x:v>
      </x:c>
      <x:c r="P362" s="12" t="str">
        <x:f>IF(OR(M362="unavailable",O362="unavailable"),"不可评价",IF(OR(M362="equivocal",O362="equivocal"),"疑似",IF(AND(M362="positive",O362="positive"),"a",IF(O362="positive","b",IF(M362="positive","c","d")))))</x:f>
        <x:v>d</x:v>
      </x:c>
      <x:c r="Q362" s="12"/>
      <x:c r="R362" s="12" t="str">
        <x:v>negative</x:v>
      </x:c>
      <x:c r="S362" s="12"/>
      <x:c r="T362" s="12" t="str">
        <x:v>negative</x:v>
      </x:c>
      <x:c r="U362" s="12" t="str">
        <x:f>IF(OR(R362="unavailable",T362="unavailable"),"不可评价",IF(OR(R362="equivocal",T362="equivocal"),"疑似",IF(AND(R362="positive",T362="positive"),"a",IF(T362="positive","b",IF(R362="positive","c","d")))))</x:f>
        <x:v>d</x:v>
      </x:c>
      <x:c r="V362" s="12"/>
      <x:c r="W362" s="12" t="str">
        <x:v>negative</x:v>
      </x:c>
      <x:c r="X362" s="12"/>
      <x:c r="Y362" s="12" t="str">
        <x:v>negative</x:v>
      </x:c>
      <x:c r="Z362" s="12" t="str">
        <x:f>IF(OR(W362="unavailable",Y362="unavailable"),"不可评价",IF(OR(W362="equivocal",Y362="equivocal"),"疑似",IF(AND(W362="positive",Y362="positive"),"a",IF(Y362="positive","b",IF(W362="positive","c","d")))))</x:f>
        <x:v>d</x:v>
      </x:c>
      <x:c r="AA362" s="12" t="str">
        <x:f>IF(OR(M362="unavailable",O362="unavailable"),"不可评价",IF(AND(OR(M362="positive",M362="equivocal"),OR(O362="positive",O362="equivocal")),"a",IF(OR(O362="positive",O362="equivocal"),"b",IF(OR(M362="positive",M362="equivocal"),"c","d"))))</x:f>
        <x:v>d</x:v>
      </x:c>
      <x:c r="AB362" s="12" t="str">
        <x:f>IF(OR(M362="unavailable",O362="unavailable"),"不可评价",IF(AND(M362="positive",O362="positive"),"a",IF(O362="positive","b",IF(M362="positive","c","d"))))</x:f>
        <x:v>d</x:v>
      </x:c>
      <x:c r="AC362" s="12" t="str">
        <x:f>IF(OR(R362="unavailable",T362="unavailable"),"不可评价",IF(AND(OR(R362="positive",R362="equivocal"),OR(T362="positive",T362="equivocal")),"a",IF(OR(T362="positive",T362="equivocal"),"b",IF(OR(R362="positive",R362="equivocal"),"c","d"))))</x:f>
        <x:v>d</x:v>
      </x:c>
      <x:c r="AD362" s="12" t="str">
        <x:f>IF(OR(R362="unavailable",T362="unavailable"),"不可评价",IF(AND(R362="positive",T362="positive"),"a",IF(T362="positive","b",IF(R362="positive","c","d"))))</x:f>
        <x:v>d</x:v>
      </x:c>
      <x:c r="AE362" s="12" t="str">
        <x:f>IF(OR(W362="unavailable",Y362="unavailable"),"不可评价",IF(AND(OR(W362="positive",W362="equivocal"),OR(Y362="positive",Y362="equivocal")),"a",IF(OR(Y362="positive",Y362="equivocal"),"b",IF(OR(W362="positive",W362="equivocal"),"c","d"))))</x:f>
        <x:v>d</x:v>
      </x:c>
      <x:c r="AF362" s="12" t="str">
        <x:f>IF(OR(W362="unavailable",Y362="unavailable"),"不可评价",IF(AND(W362="positive",Y362="positive"),"a",IF(Y362="positive","b",IF(W362="positive","c","d"))))</x:f>
        <x:v>d</x:v>
      </x:c>
    </x:row>
    <x:row r="363" ht="24" customHeight="1">
      <x:c r="A363" s="12" t="str">
        <x:v>2854</x:v>
      </x:c>
      <x:c r="B363" s="12" t="str">
        <x:v>4764</x:v>
      </x:c>
      <x:c r="C363" s="21" t="n">
        <x:v>32636.648530092592</x:v>
      </x:c>
      <x:c r="D363" s="12" t="n">
        <x:v>70</x:v>
      </x:c>
      <x:c r="E363" s="12" t="n">
        <x:v>1</x:v>
      </x:c>
      <x:c r="F363" s="12" t="str">
        <x:v>未记录</x:v>
      </x:c>
      <x:c r="G363" s="12" t="n">
        <x:v>1</x:v>
      </x:c>
      <x:c r="H363" s="12" t="str">
        <x:v>{'NORM': 100.0, 'SR': 0.0}</x:v>
      </x:c>
      <x:c r="I363" s="12" t="str">
        <x:v>[('NSR', 100.0), ('NML', 100.0)]</x:v>
      </x:c>
      <x:c r="J363" s="12" t="str">
        <x:v>ptbxl_database.csv；ecg_id=2854；scp_codes</x:v>
      </x:c>
      <x:c r="K363" s="12" t="str">
        <x:v>12sl_statements.csv；ecg_id=2854；statements_ext_snomed</x:v>
      </x:c>
      <x:c r="L363" s="12"/>
      <x:c r="M363" s="12" t="str">
        <x:v>negative</x:v>
      </x:c>
      <x:c r="N363" s="12"/>
      <x:c r="O363" s="12" t="str">
        <x:v>negative</x:v>
      </x:c>
      <x:c r="P363" s="12" t="str">
        <x:f>IF(OR(M363="unavailable",O363="unavailable"),"不可评价",IF(OR(M363="equivocal",O363="equivocal"),"疑似",IF(AND(M363="positive",O363="positive"),"a",IF(O363="positive","b",IF(M363="positive","c","d")))))</x:f>
        <x:v>d</x:v>
      </x:c>
      <x:c r="Q363" s="12"/>
      <x:c r="R363" s="12" t="str">
        <x:v>negative</x:v>
      </x:c>
      <x:c r="S363" s="12"/>
      <x:c r="T363" s="12" t="str">
        <x:v>negative</x:v>
      </x:c>
      <x:c r="U363" s="12" t="str">
        <x:f>IF(OR(R363="unavailable",T363="unavailable"),"不可评价",IF(OR(R363="equivocal",T363="equivocal"),"疑似",IF(AND(R363="positive",T363="positive"),"a",IF(T363="positive","b",IF(R363="positive","c","d")))))</x:f>
        <x:v>d</x:v>
      </x:c>
      <x:c r="V363" s="12"/>
      <x:c r="W363" s="12" t="str">
        <x:v>negative</x:v>
      </x:c>
      <x:c r="X363" s="12"/>
      <x:c r="Y363" s="12" t="str">
        <x:v>negative</x:v>
      </x:c>
      <x:c r="Z363" s="12" t="str">
        <x:f>IF(OR(W363="unavailable",Y363="unavailable"),"不可评价",IF(OR(W363="equivocal",Y363="equivocal"),"疑似",IF(AND(W363="positive",Y363="positive"),"a",IF(Y363="positive","b",IF(W363="positive","c","d")))))</x:f>
        <x:v>d</x:v>
      </x:c>
      <x:c r="AA363" s="12" t="str">
        <x:f>IF(OR(M363="unavailable",O363="unavailable"),"不可评价",IF(AND(OR(M363="positive",M363="equivocal"),OR(O363="positive",O363="equivocal")),"a",IF(OR(O363="positive",O363="equivocal"),"b",IF(OR(M363="positive",M363="equivocal"),"c","d"))))</x:f>
        <x:v>d</x:v>
      </x:c>
      <x:c r="AB363" s="12" t="str">
        <x:f>IF(OR(M363="unavailable",O363="unavailable"),"不可评价",IF(AND(M363="positive",O363="positive"),"a",IF(O363="positive","b",IF(M363="positive","c","d"))))</x:f>
        <x:v>d</x:v>
      </x:c>
      <x:c r="AC363" s="12" t="str">
        <x:f>IF(OR(R363="unavailable",T363="unavailable"),"不可评价",IF(AND(OR(R363="positive",R363="equivocal"),OR(T363="positive",T363="equivocal")),"a",IF(OR(T363="positive",T363="equivocal"),"b",IF(OR(R363="positive",R363="equivocal"),"c","d"))))</x:f>
        <x:v>d</x:v>
      </x:c>
      <x:c r="AD363" s="12" t="str">
        <x:f>IF(OR(R363="unavailable",T363="unavailable"),"不可评价",IF(AND(R363="positive",T363="positive"),"a",IF(T363="positive","b",IF(R363="positive","c","d"))))</x:f>
        <x:v>d</x:v>
      </x:c>
      <x:c r="AE363" s="12" t="str">
        <x:f>IF(OR(W363="unavailable",Y363="unavailable"),"不可评价",IF(AND(OR(W363="positive",W363="equivocal"),OR(Y363="positive",Y363="equivocal")),"a",IF(OR(Y363="positive",Y363="equivocal"),"b",IF(OR(W363="positive",W363="equivocal"),"c","d"))))</x:f>
        <x:v>d</x:v>
      </x:c>
      <x:c r="AF363" s="12" t="str">
        <x:f>IF(OR(W363="unavailable",Y363="unavailable"),"不可评价",IF(AND(W363="positive",Y363="positive"),"a",IF(Y363="positive","b",IF(W363="positive","c","d"))))</x:f>
        <x:v>d</x:v>
      </x:c>
    </x:row>
    <x:row r="364" ht="24" customHeight="1">
      <x:c r="A364" s="12" t="str">
        <x:v>2865</x:v>
      </x:c>
      <x:c r="B364" s="12" t="str">
        <x:v>13029</x:v>
      </x:c>
      <x:c r="C364" s="21" t="n">
        <x:v>32641.56409722222</x:v>
      </x:c>
      <x:c r="D364" s="12" t="n">
        <x:v>68</x:v>
      </x:c>
      <x:c r="E364" s="12" t="n">
        <x:v>0</x:v>
      </x:c>
      <x:c r="F364" s="12" t="str">
        <x:v>未记录</x:v>
      </x:c>
      <x:c r="G364" s="12" t="n">
        <x:v>1</x:v>
      </x:c>
      <x:c r="H364" s="12" t="str">
        <x:v>{'NST_': 100.0, 'QWAVE': 0.0, 'STD_': 0.0, 'SR': 0.0}</x:v>
      </x:c>
      <x:c r="I364" s="12" t="str">
        <x:v>[('NSR', 100.0), ('NST', 100.0), ('AB', 100.0)]</x:v>
      </x:c>
      <x:c r="J364" s="12" t="str">
        <x:v>ptbxl_database.csv；ecg_id=2865；scp_codes</x:v>
      </x:c>
      <x:c r="K364" s="12" t="str">
        <x:v>12sl_statements.csv；ecg_id=2865；statements_ext_snomed</x:v>
      </x:c>
      <x:c r="L364" s="12"/>
      <x:c r="M364" s="12" t="str">
        <x:v>negative</x:v>
      </x:c>
      <x:c r="N364" s="12"/>
      <x:c r="O364" s="12" t="str">
        <x:v>negative</x:v>
      </x:c>
      <x:c r="P364" s="12" t="str">
        <x:f>IF(OR(M364="unavailable",O364="unavailable"),"不可评价",IF(OR(M364="equivocal",O364="equivocal"),"疑似",IF(AND(M364="positive",O364="positive"),"a",IF(O364="positive","b",IF(M364="positive","c","d")))))</x:f>
        <x:v>d</x:v>
      </x:c>
      <x:c r="Q364" s="12"/>
      <x:c r="R364" s="12" t="str">
        <x:v>negative</x:v>
      </x:c>
      <x:c r="S364" s="12"/>
      <x:c r="T364" s="12" t="str">
        <x:v>negative</x:v>
      </x:c>
      <x:c r="U364" s="12" t="str">
        <x:f>IF(OR(R364="unavailable",T364="unavailable"),"不可评价",IF(OR(R364="equivocal",T364="equivocal"),"疑似",IF(AND(R364="positive",T364="positive"),"a",IF(T364="positive","b",IF(R364="positive","c","d")))))</x:f>
        <x:v>d</x:v>
      </x:c>
      <x:c r="V364" s="12"/>
      <x:c r="W364" s="12" t="str">
        <x:v>negative</x:v>
      </x:c>
      <x:c r="X364" s="12"/>
      <x:c r="Y364" s="12" t="str">
        <x:v>negative</x:v>
      </x:c>
      <x:c r="Z364" s="12" t="str">
        <x:f>IF(OR(W364="unavailable",Y364="unavailable"),"不可评价",IF(OR(W364="equivocal",Y364="equivocal"),"疑似",IF(AND(W364="positive",Y364="positive"),"a",IF(Y364="positive","b",IF(W364="positive","c","d")))))</x:f>
        <x:v>d</x:v>
      </x:c>
      <x:c r="AA364" s="12" t="str">
        <x:f>IF(OR(M364="unavailable",O364="unavailable"),"不可评价",IF(AND(OR(M364="positive",M364="equivocal"),OR(O364="positive",O364="equivocal")),"a",IF(OR(O364="positive",O364="equivocal"),"b",IF(OR(M364="positive",M364="equivocal"),"c","d"))))</x:f>
        <x:v>d</x:v>
      </x:c>
      <x:c r="AB364" s="12" t="str">
        <x:f>IF(OR(M364="unavailable",O364="unavailable"),"不可评价",IF(AND(M364="positive",O364="positive"),"a",IF(O364="positive","b",IF(M364="positive","c","d"))))</x:f>
        <x:v>d</x:v>
      </x:c>
      <x:c r="AC364" s="12" t="str">
        <x:f>IF(OR(R364="unavailable",T364="unavailable"),"不可评价",IF(AND(OR(R364="positive",R364="equivocal"),OR(T364="positive",T364="equivocal")),"a",IF(OR(T364="positive",T364="equivocal"),"b",IF(OR(R364="positive",R364="equivocal"),"c","d"))))</x:f>
        <x:v>d</x:v>
      </x:c>
      <x:c r="AD364" s="12" t="str">
        <x:f>IF(OR(R364="unavailable",T364="unavailable"),"不可评价",IF(AND(R364="positive",T364="positive"),"a",IF(T364="positive","b",IF(R364="positive","c","d"))))</x:f>
        <x:v>d</x:v>
      </x:c>
      <x:c r="AE364" s="12" t="str">
        <x:f>IF(OR(W364="unavailable",Y364="unavailable"),"不可评价",IF(AND(OR(W364="positive",W364="equivocal"),OR(Y364="positive",Y364="equivocal")),"a",IF(OR(Y364="positive",Y364="equivocal"),"b",IF(OR(W364="positive",W364="equivocal"),"c","d"))))</x:f>
        <x:v>d</x:v>
      </x:c>
      <x:c r="AF364" s="12" t="str">
        <x:f>IF(OR(W364="unavailable",Y364="unavailable"),"不可评价",IF(AND(W364="positive",Y364="positive"),"a",IF(Y364="positive","b",IF(W364="positive","c","d"))))</x:f>
        <x:v>d</x:v>
      </x:c>
    </x:row>
    <x:row r="365" ht="24" customHeight="1">
      <x:c r="A365" s="12" t="str">
        <x:v>2867</x:v>
      </x:c>
      <x:c r="B365" s="12" t="str">
        <x:v>11544</x:v>
      </x:c>
      <x:c r="C365" s="21" t="n">
        <x:v>32642.46673611111</x:v>
      </x:c>
      <x:c r="D365" s="12" t="n">
        <x:v>55</x:v>
      </x:c>
      <x:c r="E365" s="12" t="n">
        <x:v>1</x:v>
      </x:c>
      <x:c r="F365" s="12" t="str">
        <x:v>存在</x:v>
      </x:c>
      <x:c r="G365" s="12" t="n">
        <x:v>1</x:v>
      </x:c>
      <x:c r="H365" s="12" t="str">
        <x:v>{'NDT': 100.0, 'SR': 0.0}</x:v>
      </x:c>
      <x:c r="I365" s="12" t="str">
        <x:v>[('NSR', 100.0), ('NST', 100.0), ('AB', 100.0)]</x:v>
      </x:c>
      <x:c r="J365" s="12" t="str">
        <x:v>ptbxl_database.csv；ecg_id=2867；scp_codes</x:v>
      </x:c>
      <x:c r="K365" s="12" t="str">
        <x:v>12sl_statements.csv；ecg_id=2867；statements_ext_snomed</x:v>
      </x:c>
      <x:c r="L365" s="12"/>
      <x:c r="M365" s="12" t="str">
        <x:v>negative</x:v>
      </x:c>
      <x:c r="N365" s="12"/>
      <x:c r="O365" s="12" t="str">
        <x:v>negative</x:v>
      </x:c>
      <x:c r="P365" s="12" t="str">
        <x:f>IF(OR(M365="unavailable",O365="unavailable"),"不可评价",IF(OR(M365="equivocal",O365="equivocal"),"疑似",IF(AND(M365="positive",O365="positive"),"a",IF(O365="positive","b",IF(M365="positive","c","d")))))</x:f>
        <x:v>d</x:v>
      </x:c>
      <x:c r="Q365" s="12"/>
      <x:c r="R365" s="12" t="str">
        <x:v>negative</x:v>
      </x:c>
      <x:c r="S365" s="12"/>
      <x:c r="T365" s="12" t="str">
        <x:v>negative</x:v>
      </x:c>
      <x:c r="U365" s="12" t="str">
        <x:f>IF(OR(R365="unavailable",T365="unavailable"),"不可评价",IF(OR(R365="equivocal",T365="equivocal"),"疑似",IF(AND(R365="positive",T365="positive"),"a",IF(T365="positive","b",IF(R365="positive","c","d")))))</x:f>
        <x:v>d</x:v>
      </x:c>
      <x:c r="V365" s="12"/>
      <x:c r="W365" s="12" t="str">
        <x:v>negative</x:v>
      </x:c>
      <x:c r="X365" s="12"/>
      <x:c r="Y365" s="12" t="str">
        <x:v>negative</x:v>
      </x:c>
      <x:c r="Z365" s="12" t="str">
        <x:f>IF(OR(W365="unavailable",Y365="unavailable"),"不可评价",IF(OR(W365="equivocal",Y365="equivocal"),"疑似",IF(AND(W365="positive",Y365="positive"),"a",IF(Y365="positive","b",IF(W365="positive","c","d")))))</x:f>
        <x:v>d</x:v>
      </x:c>
      <x:c r="AA365" s="12" t="str">
        <x:f>IF(OR(M365="unavailable",O365="unavailable"),"不可评价",IF(AND(OR(M365="positive",M365="equivocal"),OR(O365="positive",O365="equivocal")),"a",IF(OR(O365="positive",O365="equivocal"),"b",IF(OR(M365="positive",M365="equivocal"),"c","d"))))</x:f>
        <x:v>d</x:v>
      </x:c>
      <x:c r="AB365" s="12" t="str">
        <x:f>IF(OR(M365="unavailable",O365="unavailable"),"不可评价",IF(AND(M365="positive",O365="positive"),"a",IF(O365="positive","b",IF(M365="positive","c","d"))))</x:f>
        <x:v>d</x:v>
      </x:c>
      <x:c r="AC365" s="12" t="str">
        <x:f>IF(OR(R365="unavailable",T365="unavailable"),"不可评价",IF(AND(OR(R365="positive",R365="equivocal"),OR(T365="positive",T365="equivocal")),"a",IF(OR(T365="positive",T365="equivocal"),"b",IF(OR(R365="positive",R365="equivocal"),"c","d"))))</x:f>
        <x:v>d</x:v>
      </x:c>
      <x:c r="AD365" s="12" t="str">
        <x:f>IF(OR(R365="unavailable",T365="unavailable"),"不可评价",IF(AND(R365="positive",T365="positive"),"a",IF(T365="positive","b",IF(R365="positive","c","d"))))</x:f>
        <x:v>d</x:v>
      </x:c>
      <x:c r="AE365" s="12" t="str">
        <x:f>IF(OR(W365="unavailable",Y365="unavailable"),"不可评价",IF(AND(OR(W365="positive",W365="equivocal"),OR(Y365="positive",Y365="equivocal")),"a",IF(OR(Y365="positive",Y365="equivocal"),"b",IF(OR(W365="positive",W365="equivocal"),"c","d"))))</x:f>
        <x:v>d</x:v>
      </x:c>
      <x:c r="AF365" s="12" t="str">
        <x:f>IF(OR(W365="unavailable",Y365="unavailable"),"不可评价",IF(AND(W365="positive",Y365="positive"),"a",IF(Y365="positive","b",IF(W365="positive","c","d"))))</x:f>
        <x:v>d</x:v>
      </x:c>
    </x:row>
    <x:row r="366" ht="24" customHeight="1">
      <x:c r="A366" s="12" t="str">
        <x:v>2871</x:v>
      </x:c>
      <x:c r="B366" s="12" t="str">
        <x:v>17370</x:v>
      </x:c>
      <x:c r="C366" s="21" t="n">
        <x:v>32646.326608796295</x:v>
      </x:c>
      <x:c r="D366" s="12" t="n">
        <x:v>54</x:v>
      </x:c>
      <x:c r="E366" s="12" t="n">
        <x:v>0</x:v>
      </x:c>
      <x:c r="F366" s="12" t="str">
        <x:v>存在</x:v>
      </x:c>
      <x:c r="G366" s="12" t="n">
        <x:v>1</x:v>
      </x:c>
      <x:c r="H366" s="12" t="str">
        <x:v>{'NORM': 100.0, 'SR': 0.0}</x:v>
      </x:c>
      <x:c r="I366" s="12" t="str">
        <x:v>[('SBRAD', 100.0), ('ABR', 100.0)]</x:v>
      </x:c>
      <x:c r="J366" s="12" t="str">
        <x:v>ptbxl_database.csv；ecg_id=2871；scp_codes</x:v>
      </x:c>
      <x:c r="K366" s="12" t="str">
        <x:v>12sl_statements.csv；ecg_id=2871；statements_ext_snomed</x:v>
      </x:c>
      <x:c r="L366" s="12"/>
      <x:c r="M366" s="12" t="str">
        <x:v>negative</x:v>
      </x:c>
      <x:c r="N366" s="12"/>
      <x:c r="O366" s="12" t="str">
        <x:v>negative</x:v>
      </x:c>
      <x:c r="P366" s="12" t="str">
        <x:f>IF(OR(M366="unavailable",O366="unavailable"),"不可评价",IF(OR(M366="equivocal",O366="equivocal"),"疑似",IF(AND(M366="positive",O366="positive"),"a",IF(O366="positive","b",IF(M366="positive","c","d")))))</x:f>
        <x:v>d</x:v>
      </x:c>
      <x:c r="Q366" s="12"/>
      <x:c r="R366" s="12" t="str">
        <x:v>negative</x:v>
      </x:c>
      <x:c r="S366" s="12"/>
      <x:c r="T366" s="12" t="str">
        <x:v>negative</x:v>
      </x:c>
      <x:c r="U366" s="12" t="str">
        <x:f>IF(OR(R366="unavailable",T366="unavailable"),"不可评价",IF(OR(R366="equivocal",T366="equivocal"),"疑似",IF(AND(R366="positive",T366="positive"),"a",IF(T366="positive","b",IF(R366="positive","c","d")))))</x:f>
        <x:v>d</x:v>
      </x:c>
      <x:c r="V366" s="12"/>
      <x:c r="W366" s="12" t="str">
        <x:v>negative</x:v>
      </x:c>
      <x:c r="X366" s="12"/>
      <x:c r="Y366" s="12" t="str">
        <x:v>negative</x:v>
      </x:c>
      <x:c r="Z366" s="12" t="str">
        <x:f>IF(OR(W366="unavailable",Y366="unavailable"),"不可评价",IF(OR(W366="equivocal",Y366="equivocal"),"疑似",IF(AND(W366="positive",Y366="positive"),"a",IF(Y366="positive","b",IF(W366="positive","c","d")))))</x:f>
        <x:v>d</x:v>
      </x:c>
      <x:c r="AA366" s="12" t="str">
        <x:f>IF(OR(M366="unavailable",O366="unavailable"),"不可评价",IF(AND(OR(M366="positive",M366="equivocal"),OR(O366="positive",O366="equivocal")),"a",IF(OR(O366="positive",O366="equivocal"),"b",IF(OR(M366="positive",M366="equivocal"),"c","d"))))</x:f>
        <x:v>d</x:v>
      </x:c>
      <x:c r="AB366" s="12" t="str">
        <x:f>IF(OR(M366="unavailable",O366="unavailable"),"不可评价",IF(AND(M366="positive",O366="positive"),"a",IF(O366="positive","b",IF(M366="positive","c","d"))))</x:f>
        <x:v>d</x:v>
      </x:c>
      <x:c r="AC366" s="12" t="str">
        <x:f>IF(OR(R366="unavailable",T366="unavailable"),"不可评价",IF(AND(OR(R366="positive",R366="equivocal"),OR(T366="positive",T366="equivocal")),"a",IF(OR(T366="positive",T366="equivocal"),"b",IF(OR(R366="positive",R366="equivocal"),"c","d"))))</x:f>
        <x:v>d</x:v>
      </x:c>
      <x:c r="AD366" s="12" t="str">
        <x:f>IF(OR(R366="unavailable",T366="unavailable"),"不可评价",IF(AND(R366="positive",T366="positive"),"a",IF(T366="positive","b",IF(R366="positive","c","d"))))</x:f>
        <x:v>d</x:v>
      </x:c>
      <x:c r="AE366" s="12" t="str">
        <x:f>IF(OR(W366="unavailable",Y366="unavailable"),"不可评价",IF(AND(OR(W366="positive",W366="equivocal"),OR(Y366="positive",Y366="equivocal")),"a",IF(OR(Y366="positive",Y366="equivocal"),"b",IF(OR(W366="positive",W366="equivocal"),"c","d"))))</x:f>
        <x:v>d</x:v>
      </x:c>
      <x:c r="AF366" s="12" t="str">
        <x:f>IF(OR(W366="unavailable",Y366="unavailable"),"不可评价",IF(AND(W366="positive",Y366="positive"),"a",IF(Y366="positive","b",IF(W366="positive","c","d"))))</x:f>
        <x:v>d</x:v>
      </x:c>
    </x:row>
    <x:row r="367" ht="24" customHeight="1">
      <x:c r="A367" s="12" t="str">
        <x:v>2905</x:v>
      </x:c>
      <x:c r="B367" s="12" t="str">
        <x:v>9028</x:v>
      </x:c>
      <x:c r="C367" s="21" t="n">
        <x:v>32662.385833333334</x:v>
      </x:c>
      <x:c r="D367" s="12" t="n">
        <x:v>52</x:v>
      </x:c>
      <x:c r="E367" s="12" t="n">
        <x:v>0</x:v>
      </x:c>
      <x:c r="F367" s="12" t="str">
        <x:v>未记录</x:v>
      </x:c>
      <x:c r="G367" s="12" t="n">
        <x:v>1</x:v>
      </x:c>
      <x:c r="H367" s="12" t="str">
        <x:v>{'NORM': 80.0, 'IRBBB': 100.0, 'SR': 0.0}</x:v>
      </x:c>
      <x:c r="I367" s="12" t="str">
        <x:v>[('NSR', 100.0), ('IRBBB', 100.0), ('BORDE', 100.0)]</x:v>
      </x:c>
      <x:c r="J367" s="12" t="str">
        <x:v>ptbxl_database.csv；ecg_id=2905；scp_codes</x:v>
      </x:c>
      <x:c r="K367" s="12" t="str">
        <x:v>12sl_statements.csv；ecg_id=2905；statements_ext_snomed</x:v>
      </x:c>
      <x:c r="L367" s="12"/>
      <x:c r="M367" s="12" t="str">
        <x:v>negative</x:v>
      </x:c>
      <x:c r="N367" s="12"/>
      <x:c r="O367" s="12" t="str">
        <x:v>negative</x:v>
      </x:c>
      <x:c r="P367" s="12" t="str">
        <x:f>IF(OR(M367="unavailable",O367="unavailable"),"不可评价",IF(OR(M367="equivocal",O367="equivocal"),"疑似",IF(AND(M367="positive",O367="positive"),"a",IF(O367="positive","b",IF(M367="positive","c","d")))))</x:f>
        <x:v>d</x:v>
      </x:c>
      <x:c r="Q367" s="12"/>
      <x:c r="R367" s="12" t="str">
        <x:v>negative</x:v>
      </x:c>
      <x:c r="S367" s="12"/>
      <x:c r="T367" s="12" t="str">
        <x:v>negative</x:v>
      </x:c>
      <x:c r="U367" s="12" t="str">
        <x:f>IF(OR(R367="unavailable",T367="unavailable"),"不可评价",IF(OR(R367="equivocal",T367="equivocal"),"疑似",IF(AND(R367="positive",T367="positive"),"a",IF(T367="positive","b",IF(R367="positive","c","d")))))</x:f>
        <x:v>d</x:v>
      </x:c>
      <x:c r="V367" s="12"/>
      <x:c r="W367" s="12" t="str">
        <x:v>negative</x:v>
      </x:c>
      <x:c r="X367" s="12"/>
      <x:c r="Y367" s="12" t="str">
        <x:v>negative</x:v>
      </x:c>
      <x:c r="Z367" s="12" t="str">
        <x:f>IF(OR(W367="unavailable",Y367="unavailable"),"不可评价",IF(OR(W367="equivocal",Y367="equivocal"),"疑似",IF(AND(W367="positive",Y367="positive"),"a",IF(Y367="positive","b",IF(W367="positive","c","d")))))</x:f>
        <x:v>d</x:v>
      </x:c>
      <x:c r="AA367" s="12" t="str">
        <x:f>IF(OR(M367="unavailable",O367="unavailable"),"不可评价",IF(AND(OR(M367="positive",M367="equivocal"),OR(O367="positive",O367="equivocal")),"a",IF(OR(O367="positive",O367="equivocal"),"b",IF(OR(M367="positive",M367="equivocal"),"c","d"))))</x:f>
        <x:v>d</x:v>
      </x:c>
      <x:c r="AB367" s="12" t="str">
        <x:f>IF(OR(M367="unavailable",O367="unavailable"),"不可评价",IF(AND(M367="positive",O367="positive"),"a",IF(O367="positive","b",IF(M367="positive","c","d"))))</x:f>
        <x:v>d</x:v>
      </x:c>
      <x:c r="AC367" s="12" t="str">
        <x:f>IF(OR(R367="unavailable",T367="unavailable"),"不可评价",IF(AND(OR(R367="positive",R367="equivocal"),OR(T367="positive",T367="equivocal")),"a",IF(OR(T367="positive",T367="equivocal"),"b",IF(OR(R367="positive",R367="equivocal"),"c","d"))))</x:f>
        <x:v>d</x:v>
      </x:c>
      <x:c r="AD367" s="12" t="str">
        <x:f>IF(OR(R367="unavailable",T367="unavailable"),"不可评价",IF(AND(R367="positive",T367="positive"),"a",IF(T367="positive","b",IF(R367="positive","c","d"))))</x:f>
        <x:v>d</x:v>
      </x:c>
      <x:c r="AE367" s="12" t="str">
        <x:f>IF(OR(W367="unavailable",Y367="unavailable"),"不可评价",IF(AND(OR(W367="positive",W367="equivocal"),OR(Y367="positive",Y367="equivocal")),"a",IF(OR(Y367="positive",Y367="equivocal"),"b",IF(OR(W367="positive",W367="equivocal"),"c","d"))))</x:f>
        <x:v>d</x:v>
      </x:c>
      <x:c r="AF367" s="12" t="str">
        <x:f>IF(OR(W367="unavailable",Y367="unavailable"),"不可评价",IF(AND(W367="positive",Y367="positive"),"a",IF(Y367="positive","b",IF(W367="positive","c","d"))))</x:f>
        <x:v>d</x:v>
      </x:c>
    </x:row>
    <x:row r="368" ht="24" customHeight="1">
      <x:c r="A368" s="12" t="str">
        <x:v>2909</x:v>
      </x:c>
      <x:c r="B368" s="12" t="str">
        <x:v>20468</x:v>
      </x:c>
      <x:c r="C368" s="21" t="n">
        <x:v>32663.67974537037</x:v>
      </x:c>
      <x:c r="D368" s="12" t="n">
        <x:v>48</x:v>
      </x:c>
      <x:c r="E368" s="12" t="n">
        <x:v>1</x:v>
      </x:c>
      <x:c r="F368" s="12" t="str">
        <x:v>未记录</x:v>
      </x:c>
      <x:c r="G368" s="12" t="n">
        <x:v>1</x:v>
      </x:c>
      <x:c r="H368" s="12" t="str">
        <x:v>{'NORM': 100.0, 'IVCD': 100.0, 'SBRAD': 0.0}</x:v>
      </x:c>
      <x:c r="I368" s="12" t="str">
        <x:v>[('SBRAD', 100.0), ('ABR', 100.0)]</x:v>
      </x:c>
      <x:c r="J368" s="12" t="str">
        <x:v>ptbxl_database.csv；ecg_id=2909；scp_codes</x:v>
      </x:c>
      <x:c r="K368" s="12" t="str">
        <x:v>12sl_statements.csv；ecg_id=2909；statements_ext_snomed</x:v>
      </x:c>
      <x:c r="L368" s="12"/>
      <x:c r="M368" s="12" t="str">
        <x:v>negative</x:v>
      </x:c>
      <x:c r="N368" s="12"/>
      <x:c r="O368" s="12" t="str">
        <x:v>negative</x:v>
      </x:c>
      <x:c r="P368" s="12" t="str">
        <x:f>IF(OR(M368="unavailable",O368="unavailable"),"不可评价",IF(OR(M368="equivocal",O368="equivocal"),"疑似",IF(AND(M368="positive",O368="positive"),"a",IF(O368="positive","b",IF(M368="positive","c","d")))))</x:f>
        <x:v>d</x:v>
      </x:c>
      <x:c r="Q368" s="12"/>
      <x:c r="R368" s="12" t="str">
        <x:v>negative</x:v>
      </x:c>
      <x:c r="S368" s="12"/>
      <x:c r="T368" s="12" t="str">
        <x:v>negative</x:v>
      </x:c>
      <x:c r="U368" s="12" t="str">
        <x:f>IF(OR(R368="unavailable",T368="unavailable"),"不可评价",IF(OR(R368="equivocal",T368="equivocal"),"疑似",IF(AND(R368="positive",T368="positive"),"a",IF(T368="positive","b",IF(R368="positive","c","d")))))</x:f>
        <x:v>d</x:v>
      </x:c>
      <x:c r="V368" s="12"/>
      <x:c r="W368" s="12" t="str">
        <x:v>negative</x:v>
      </x:c>
      <x:c r="X368" s="12"/>
      <x:c r="Y368" s="12" t="str">
        <x:v>negative</x:v>
      </x:c>
      <x:c r="Z368" s="12" t="str">
        <x:f>IF(OR(W368="unavailable",Y368="unavailable"),"不可评价",IF(OR(W368="equivocal",Y368="equivocal"),"疑似",IF(AND(W368="positive",Y368="positive"),"a",IF(Y368="positive","b",IF(W368="positive","c","d")))))</x:f>
        <x:v>d</x:v>
      </x:c>
      <x:c r="AA368" s="12" t="str">
        <x:f>IF(OR(M368="unavailable",O368="unavailable"),"不可评价",IF(AND(OR(M368="positive",M368="equivocal"),OR(O368="positive",O368="equivocal")),"a",IF(OR(O368="positive",O368="equivocal"),"b",IF(OR(M368="positive",M368="equivocal"),"c","d"))))</x:f>
        <x:v>d</x:v>
      </x:c>
      <x:c r="AB368" s="12" t="str">
        <x:f>IF(OR(M368="unavailable",O368="unavailable"),"不可评价",IF(AND(M368="positive",O368="positive"),"a",IF(O368="positive","b",IF(M368="positive","c","d"))))</x:f>
        <x:v>d</x:v>
      </x:c>
      <x:c r="AC368" s="12" t="str">
        <x:f>IF(OR(R368="unavailable",T368="unavailable"),"不可评价",IF(AND(OR(R368="positive",R368="equivocal"),OR(T368="positive",T368="equivocal")),"a",IF(OR(T368="positive",T368="equivocal"),"b",IF(OR(R368="positive",R368="equivocal"),"c","d"))))</x:f>
        <x:v>d</x:v>
      </x:c>
      <x:c r="AD368" s="12" t="str">
        <x:f>IF(OR(R368="unavailable",T368="unavailable"),"不可评价",IF(AND(R368="positive",T368="positive"),"a",IF(T368="positive","b",IF(R368="positive","c","d"))))</x:f>
        <x:v>d</x:v>
      </x:c>
      <x:c r="AE368" s="12" t="str">
        <x:f>IF(OR(W368="unavailable",Y368="unavailable"),"不可评价",IF(AND(OR(W368="positive",W368="equivocal"),OR(Y368="positive",Y368="equivocal")),"a",IF(OR(Y368="positive",Y368="equivocal"),"b",IF(OR(W368="positive",W368="equivocal"),"c","d"))))</x:f>
        <x:v>d</x:v>
      </x:c>
      <x:c r="AF368" s="12" t="str">
        <x:f>IF(OR(W368="unavailable",Y368="unavailable"),"不可评价",IF(AND(W368="positive",Y368="positive"),"a",IF(Y368="positive","b",IF(W368="positive","c","d"))))</x:f>
        <x:v>d</x:v>
      </x:c>
    </x:row>
    <x:row r="369" ht="24" customHeight="1">
      <x:c r="A369" s="12" t="str">
        <x:v>2910</x:v>
      </x:c>
      <x:c r="B369" s="12" t="str">
        <x:v>9849</x:v>
      </x:c>
      <x:c r="C369" s="21" t="n">
        <x:v>32663.77548611111</x:v>
      </x:c>
      <x:c r="D369" s="12" t="n">
        <x:v>84</x:v>
      </x:c>
      <x:c r="E369" s="12" t="n">
        <x:v>0</x:v>
      </x:c>
      <x:c r="F369" s="12" t="str">
        <x:v>未记录</x:v>
      </x:c>
      <x:c r="G369" s="12" t="n">
        <x:v>1</x:v>
      </x:c>
      <x:c r="H369" s="12" t="str">
        <x:v>{'NORM': 50.0, 'PVC': 100.0, 'SR': 0.0}</x:v>
      </x:c>
      <x:c r="I369" s="12" t="str">
        <x:v>[('SRTH', 100.0), ('PVC', 100.0), ('ABR', 100.0)]</x:v>
      </x:c>
      <x:c r="J369" s="12" t="str">
        <x:v>ptbxl_database.csv；ecg_id=2910；scp_codes</x:v>
      </x:c>
      <x:c r="K369" s="12" t="str">
        <x:v>12sl_statements.csv；ecg_id=2910；statements_ext_snomed</x:v>
      </x:c>
      <x:c r="L369" s="12"/>
      <x:c r="M369" s="12" t="str">
        <x:v>negative</x:v>
      </x:c>
      <x:c r="N369" s="12"/>
      <x:c r="O369" s="12" t="str">
        <x:v>negative</x:v>
      </x:c>
      <x:c r="P369" s="12" t="str">
        <x:f>IF(OR(M369="unavailable",O369="unavailable"),"不可评价",IF(OR(M369="equivocal",O369="equivocal"),"疑似",IF(AND(M369="positive",O369="positive"),"a",IF(O369="positive","b",IF(M369="positive","c","d")))))</x:f>
        <x:v>d</x:v>
      </x:c>
      <x:c r="Q369" s="12"/>
      <x:c r="R369" s="12" t="str">
        <x:v>negative</x:v>
      </x:c>
      <x:c r="S369" s="12"/>
      <x:c r="T369" s="12" t="str">
        <x:v>negative</x:v>
      </x:c>
      <x:c r="U369" s="12" t="str">
        <x:f>IF(OR(R369="unavailable",T369="unavailable"),"不可评价",IF(OR(R369="equivocal",T369="equivocal"),"疑似",IF(AND(R369="positive",T369="positive"),"a",IF(T369="positive","b",IF(R369="positive","c","d")))))</x:f>
        <x:v>d</x:v>
      </x:c>
      <x:c r="V369" s="12"/>
      <x:c r="W369" s="12" t="str">
        <x:v>negative</x:v>
      </x:c>
      <x:c r="X369" s="12"/>
      <x:c r="Y369" s="12" t="str">
        <x:v>negative</x:v>
      </x:c>
      <x:c r="Z369" s="12" t="str">
        <x:f>IF(OR(W369="unavailable",Y369="unavailable"),"不可评价",IF(OR(W369="equivocal",Y369="equivocal"),"疑似",IF(AND(W369="positive",Y369="positive"),"a",IF(Y369="positive","b",IF(W369="positive","c","d")))))</x:f>
        <x:v>d</x:v>
      </x:c>
      <x:c r="AA369" s="12" t="str">
        <x:f>IF(OR(M369="unavailable",O369="unavailable"),"不可评价",IF(AND(OR(M369="positive",M369="equivocal"),OR(O369="positive",O369="equivocal")),"a",IF(OR(O369="positive",O369="equivocal"),"b",IF(OR(M369="positive",M369="equivocal"),"c","d"))))</x:f>
        <x:v>d</x:v>
      </x:c>
      <x:c r="AB369" s="12" t="str">
        <x:f>IF(OR(M369="unavailable",O369="unavailable"),"不可评价",IF(AND(M369="positive",O369="positive"),"a",IF(O369="positive","b",IF(M369="positive","c","d"))))</x:f>
        <x:v>d</x:v>
      </x:c>
      <x:c r="AC369" s="12" t="str">
        <x:f>IF(OR(R369="unavailable",T369="unavailable"),"不可评价",IF(AND(OR(R369="positive",R369="equivocal"),OR(T369="positive",T369="equivocal")),"a",IF(OR(T369="positive",T369="equivocal"),"b",IF(OR(R369="positive",R369="equivocal"),"c","d"))))</x:f>
        <x:v>d</x:v>
      </x:c>
      <x:c r="AD369" s="12" t="str">
        <x:f>IF(OR(R369="unavailable",T369="unavailable"),"不可评价",IF(AND(R369="positive",T369="positive"),"a",IF(T369="positive","b",IF(R369="positive","c","d"))))</x:f>
        <x:v>d</x:v>
      </x:c>
      <x:c r="AE369" s="12" t="str">
        <x:f>IF(OR(W369="unavailable",Y369="unavailable"),"不可评价",IF(AND(OR(W369="positive",W369="equivocal"),OR(Y369="positive",Y369="equivocal")),"a",IF(OR(Y369="positive",Y369="equivocal"),"b",IF(OR(W369="positive",W369="equivocal"),"c","d"))))</x:f>
        <x:v>d</x:v>
      </x:c>
      <x:c r="AF369" s="12" t="str">
        <x:f>IF(OR(W369="unavailable",Y369="unavailable"),"不可评价",IF(AND(W369="positive",Y369="positive"),"a",IF(Y369="positive","b",IF(W369="positive","c","d"))))</x:f>
        <x:v>d</x:v>
      </x:c>
    </x:row>
    <x:row r="370" ht="24" customHeight="1">
      <x:c r="A370" s="12" t="str">
        <x:v>2913</x:v>
      </x:c>
      <x:c r="B370" s="12" t="str">
        <x:v>16279</x:v>
      </x:c>
      <x:c r="C370" s="21" t="n">
        <x:v>32664.624583333334</x:v>
      </x:c>
      <x:c r="D370" s="12" t="n">
        <x:v>62</x:v>
      </x:c>
      <x:c r="E370" s="12" t="n">
        <x:v>1</x:v>
      </x:c>
      <x:c r="F370" s="12" t="str">
        <x:v>未记录</x:v>
      </x:c>
      <x:c r="G370" s="12" t="n">
        <x:v>1</x:v>
      </x:c>
      <x:c r="H370" s="12" t="str">
        <x:v>{'NORM': 100.0, 'SR': 0.0}</x:v>
      </x:c>
      <x:c r="I370" s="12" t="str">
        <x:v>[('NSR', 100.0), ('NML', 100.0)]</x:v>
      </x:c>
      <x:c r="J370" s="12" t="str">
        <x:v>ptbxl_database.csv；ecg_id=2913；scp_codes</x:v>
      </x:c>
      <x:c r="K370" s="12" t="str">
        <x:v>12sl_statements.csv；ecg_id=2913；statements_ext_snomed</x:v>
      </x:c>
      <x:c r="L370" s="12"/>
      <x:c r="M370" s="12" t="str">
        <x:v>negative</x:v>
      </x:c>
      <x:c r="N370" s="12"/>
      <x:c r="O370" s="12" t="str">
        <x:v>negative</x:v>
      </x:c>
      <x:c r="P370" s="12" t="str">
        <x:f>IF(OR(M370="unavailable",O370="unavailable"),"不可评价",IF(OR(M370="equivocal",O370="equivocal"),"疑似",IF(AND(M370="positive",O370="positive"),"a",IF(O370="positive","b",IF(M370="positive","c","d")))))</x:f>
        <x:v>d</x:v>
      </x:c>
      <x:c r="Q370" s="12"/>
      <x:c r="R370" s="12" t="str">
        <x:v>negative</x:v>
      </x:c>
      <x:c r="S370" s="12"/>
      <x:c r="T370" s="12" t="str">
        <x:v>negative</x:v>
      </x:c>
      <x:c r="U370" s="12" t="str">
        <x:f>IF(OR(R370="unavailable",T370="unavailable"),"不可评价",IF(OR(R370="equivocal",T370="equivocal"),"疑似",IF(AND(R370="positive",T370="positive"),"a",IF(T370="positive","b",IF(R370="positive","c","d")))))</x:f>
        <x:v>d</x:v>
      </x:c>
      <x:c r="V370" s="12"/>
      <x:c r="W370" s="12" t="str">
        <x:v>negative</x:v>
      </x:c>
      <x:c r="X370" s="12"/>
      <x:c r="Y370" s="12" t="str">
        <x:v>negative</x:v>
      </x:c>
      <x:c r="Z370" s="12" t="str">
        <x:f>IF(OR(W370="unavailable",Y370="unavailable"),"不可评价",IF(OR(W370="equivocal",Y370="equivocal"),"疑似",IF(AND(W370="positive",Y370="positive"),"a",IF(Y370="positive","b",IF(W370="positive","c","d")))))</x:f>
        <x:v>d</x:v>
      </x:c>
      <x:c r="AA370" s="12" t="str">
        <x:f>IF(OR(M370="unavailable",O370="unavailable"),"不可评价",IF(AND(OR(M370="positive",M370="equivocal"),OR(O370="positive",O370="equivocal")),"a",IF(OR(O370="positive",O370="equivocal"),"b",IF(OR(M370="positive",M370="equivocal"),"c","d"))))</x:f>
        <x:v>d</x:v>
      </x:c>
      <x:c r="AB370" s="12" t="str">
        <x:f>IF(OR(M370="unavailable",O370="unavailable"),"不可评价",IF(AND(M370="positive",O370="positive"),"a",IF(O370="positive","b",IF(M370="positive","c","d"))))</x:f>
        <x:v>d</x:v>
      </x:c>
      <x:c r="AC370" s="12" t="str">
        <x:f>IF(OR(R370="unavailable",T370="unavailable"),"不可评价",IF(AND(OR(R370="positive",R370="equivocal"),OR(T370="positive",T370="equivocal")),"a",IF(OR(T370="positive",T370="equivocal"),"b",IF(OR(R370="positive",R370="equivocal"),"c","d"))))</x:f>
        <x:v>d</x:v>
      </x:c>
      <x:c r="AD370" s="12" t="str">
        <x:f>IF(OR(R370="unavailable",T370="unavailable"),"不可评价",IF(AND(R370="positive",T370="positive"),"a",IF(T370="positive","b",IF(R370="positive","c","d"))))</x:f>
        <x:v>d</x:v>
      </x:c>
      <x:c r="AE370" s="12" t="str">
        <x:f>IF(OR(W370="unavailable",Y370="unavailable"),"不可评价",IF(AND(OR(W370="positive",W370="equivocal"),OR(Y370="positive",Y370="equivocal")),"a",IF(OR(Y370="positive",Y370="equivocal"),"b",IF(OR(W370="positive",W370="equivocal"),"c","d"))))</x:f>
        <x:v>d</x:v>
      </x:c>
      <x:c r="AF370" s="12" t="str">
        <x:f>IF(OR(W370="unavailable",Y370="unavailable"),"不可评价",IF(AND(W370="positive",Y370="positive"),"a",IF(Y370="positive","b",IF(W370="positive","c","d"))))</x:f>
        <x:v>d</x:v>
      </x:c>
    </x:row>
    <x:row r="371" ht="24" customHeight="1">
      <x:c r="A371" s="12" t="str">
        <x:v>2920</x:v>
      </x:c>
      <x:c r="B371" s="12" t="str">
        <x:v>14943</x:v>
      </x:c>
      <x:c r="C371" s="21" t="n">
        <x:v>32668.45804398148</x:v>
      </x:c>
      <x:c r="D371" s="12" t="n">
        <x:v>64</x:v>
      </x:c>
      <x:c r="E371" s="12" t="n">
        <x:v>1</x:v>
      </x:c>
      <x:c r="F371" s="12" t="str">
        <x:v>未记录</x:v>
      </x:c>
      <x:c r="G371" s="12" t="n">
        <x:v>1</x:v>
      </x:c>
      <x:c r="H371" s="12" t="str">
        <x:v>{'NORM': 100.0, 'SR': 0.0}</x:v>
      </x:c>
      <x:c r="I371" s="12" t="str">
        <x:v>[('NSR', 100.0), ('SAR', 100.0), ('NML', 100.0)]</x:v>
      </x:c>
      <x:c r="J371" s="12" t="str">
        <x:v>ptbxl_database.csv；ecg_id=2920；scp_codes</x:v>
      </x:c>
      <x:c r="K371" s="12" t="str">
        <x:v>12sl_statements.csv；ecg_id=2920；statements_ext_snomed</x:v>
      </x:c>
      <x:c r="L371" s="12"/>
      <x:c r="M371" s="12" t="str">
        <x:v>negative</x:v>
      </x:c>
      <x:c r="N371" s="12"/>
      <x:c r="O371" s="12" t="str">
        <x:v>negative</x:v>
      </x:c>
      <x:c r="P371" s="12" t="str">
        <x:f>IF(OR(M371="unavailable",O371="unavailable"),"不可评价",IF(OR(M371="equivocal",O371="equivocal"),"疑似",IF(AND(M371="positive",O371="positive"),"a",IF(O371="positive","b",IF(M371="positive","c","d")))))</x:f>
        <x:v>d</x:v>
      </x:c>
      <x:c r="Q371" s="12"/>
      <x:c r="R371" s="12" t="str">
        <x:v>negative</x:v>
      </x:c>
      <x:c r="S371" s="12"/>
      <x:c r="T371" s="12" t="str">
        <x:v>negative</x:v>
      </x:c>
      <x:c r="U371" s="12" t="str">
        <x:f>IF(OR(R371="unavailable",T371="unavailable"),"不可评价",IF(OR(R371="equivocal",T371="equivocal"),"疑似",IF(AND(R371="positive",T371="positive"),"a",IF(T371="positive","b",IF(R371="positive","c","d")))))</x:f>
        <x:v>d</x:v>
      </x:c>
      <x:c r="V371" s="12"/>
      <x:c r="W371" s="12" t="str">
        <x:v>negative</x:v>
      </x:c>
      <x:c r="X371" s="12"/>
      <x:c r="Y371" s="12" t="str">
        <x:v>negative</x:v>
      </x:c>
      <x:c r="Z371" s="12" t="str">
        <x:f>IF(OR(W371="unavailable",Y371="unavailable"),"不可评价",IF(OR(W371="equivocal",Y371="equivocal"),"疑似",IF(AND(W371="positive",Y371="positive"),"a",IF(Y371="positive","b",IF(W371="positive","c","d")))))</x:f>
        <x:v>d</x:v>
      </x:c>
      <x:c r="AA371" s="12" t="str">
        <x:f>IF(OR(M371="unavailable",O371="unavailable"),"不可评价",IF(AND(OR(M371="positive",M371="equivocal"),OR(O371="positive",O371="equivocal")),"a",IF(OR(O371="positive",O371="equivocal"),"b",IF(OR(M371="positive",M371="equivocal"),"c","d"))))</x:f>
        <x:v>d</x:v>
      </x:c>
      <x:c r="AB371" s="12" t="str">
        <x:f>IF(OR(M371="unavailable",O371="unavailable"),"不可评价",IF(AND(M371="positive",O371="positive"),"a",IF(O371="positive","b",IF(M371="positive","c","d"))))</x:f>
        <x:v>d</x:v>
      </x:c>
      <x:c r="AC371" s="12" t="str">
        <x:f>IF(OR(R371="unavailable",T371="unavailable"),"不可评价",IF(AND(OR(R371="positive",R371="equivocal"),OR(T371="positive",T371="equivocal")),"a",IF(OR(T371="positive",T371="equivocal"),"b",IF(OR(R371="positive",R371="equivocal"),"c","d"))))</x:f>
        <x:v>d</x:v>
      </x:c>
      <x:c r="AD371" s="12" t="str">
        <x:f>IF(OR(R371="unavailable",T371="unavailable"),"不可评价",IF(AND(R371="positive",T371="positive"),"a",IF(T371="positive","b",IF(R371="positive","c","d"))))</x:f>
        <x:v>d</x:v>
      </x:c>
      <x:c r="AE371" s="12" t="str">
        <x:f>IF(OR(W371="unavailable",Y371="unavailable"),"不可评价",IF(AND(OR(W371="positive",W371="equivocal"),OR(Y371="positive",Y371="equivocal")),"a",IF(OR(Y371="positive",Y371="equivocal"),"b",IF(OR(W371="positive",W371="equivocal"),"c","d"))))</x:f>
        <x:v>d</x:v>
      </x:c>
      <x:c r="AF371" s="12" t="str">
        <x:f>IF(OR(W371="unavailable",Y371="unavailable"),"不可评价",IF(AND(W371="positive",Y371="positive"),"a",IF(Y371="positive","b",IF(W371="positive","c","d"))))</x:f>
        <x:v>d</x:v>
      </x:c>
    </x:row>
    <x:row r="372" ht="24" customHeight="1">
      <x:c r="A372" s="12" t="str">
        <x:v>2921</x:v>
      </x:c>
      <x:c r="B372" s="12" t="str">
        <x:v>17915</x:v>
      </x:c>
      <x:c r="C372" s="21" t="n">
        <x:v>32668.57665509259</x:v>
      </x:c>
      <x:c r="D372" s="12" t="n">
        <x:v>79</x:v>
      </x:c>
      <x:c r="E372" s="12" t="n">
        <x:v>0</x:v>
      </x:c>
      <x:c r="F372" s="12" t="str">
        <x:v>未记录</x:v>
      </x:c>
      <x:c r="G372" s="12" t="n">
        <x:v>1</x:v>
      </x:c>
      <x:c r="H372" s="12" t="str">
        <x:v>{'NORM': 100.0}</x:v>
      </x:c>
      <x:c r="I372" s="12" t="str">
        <x:v>[('NSR', 100.0), ('NST', 100.0), ('AB', 100.0)]</x:v>
      </x:c>
      <x:c r="J372" s="12" t="str">
        <x:v>ptbxl_database.csv；ecg_id=2921；scp_codes</x:v>
      </x:c>
      <x:c r="K372" s="12" t="str">
        <x:v>12sl_statements.csv；ecg_id=2921；statements_ext_snomed</x:v>
      </x:c>
      <x:c r="L372" s="12"/>
      <x:c r="M372" s="12" t="str">
        <x:v>negative</x:v>
      </x:c>
      <x:c r="N372" s="12"/>
      <x:c r="O372" s="12" t="str">
        <x:v>negative</x:v>
      </x:c>
      <x:c r="P372" s="12" t="str">
        <x:f>IF(OR(M372="unavailable",O372="unavailable"),"不可评价",IF(OR(M372="equivocal",O372="equivocal"),"疑似",IF(AND(M372="positive",O372="positive"),"a",IF(O372="positive","b",IF(M372="positive","c","d")))))</x:f>
        <x:v>d</x:v>
      </x:c>
      <x:c r="Q372" s="12"/>
      <x:c r="R372" s="12" t="str">
        <x:v>negative</x:v>
      </x:c>
      <x:c r="S372" s="12"/>
      <x:c r="T372" s="12" t="str">
        <x:v>negative</x:v>
      </x:c>
      <x:c r="U372" s="12" t="str">
        <x:f>IF(OR(R372="unavailable",T372="unavailable"),"不可评价",IF(OR(R372="equivocal",T372="equivocal"),"疑似",IF(AND(R372="positive",T372="positive"),"a",IF(T372="positive","b",IF(R372="positive","c","d")))))</x:f>
        <x:v>d</x:v>
      </x:c>
      <x:c r="V372" s="12"/>
      <x:c r="W372" s="12" t="str">
        <x:v>negative</x:v>
      </x:c>
      <x:c r="X372" s="12"/>
      <x:c r="Y372" s="12" t="str">
        <x:v>negative</x:v>
      </x:c>
      <x:c r="Z372" s="12" t="str">
        <x:f>IF(OR(W372="unavailable",Y372="unavailable"),"不可评价",IF(OR(W372="equivocal",Y372="equivocal"),"疑似",IF(AND(W372="positive",Y372="positive"),"a",IF(Y372="positive","b",IF(W372="positive","c","d")))))</x:f>
        <x:v>d</x:v>
      </x:c>
      <x:c r="AA372" s="12" t="str">
        <x:f>IF(OR(M372="unavailable",O372="unavailable"),"不可评价",IF(AND(OR(M372="positive",M372="equivocal"),OR(O372="positive",O372="equivocal")),"a",IF(OR(O372="positive",O372="equivocal"),"b",IF(OR(M372="positive",M372="equivocal"),"c","d"))))</x:f>
        <x:v>d</x:v>
      </x:c>
      <x:c r="AB372" s="12" t="str">
        <x:f>IF(OR(M372="unavailable",O372="unavailable"),"不可评价",IF(AND(M372="positive",O372="positive"),"a",IF(O372="positive","b",IF(M372="positive","c","d"))))</x:f>
        <x:v>d</x:v>
      </x:c>
      <x:c r="AC372" s="12" t="str">
        <x:f>IF(OR(R372="unavailable",T372="unavailable"),"不可评价",IF(AND(OR(R372="positive",R372="equivocal"),OR(T372="positive",T372="equivocal")),"a",IF(OR(T372="positive",T372="equivocal"),"b",IF(OR(R372="positive",R372="equivocal"),"c","d"))))</x:f>
        <x:v>d</x:v>
      </x:c>
      <x:c r="AD372" s="12" t="str">
        <x:f>IF(OR(R372="unavailable",T372="unavailable"),"不可评价",IF(AND(R372="positive",T372="positive"),"a",IF(T372="positive","b",IF(R372="positive","c","d"))))</x:f>
        <x:v>d</x:v>
      </x:c>
      <x:c r="AE372" s="12" t="str">
        <x:f>IF(OR(W372="unavailable",Y372="unavailable"),"不可评价",IF(AND(OR(W372="positive",W372="equivocal"),OR(Y372="positive",Y372="equivocal")),"a",IF(OR(Y372="positive",Y372="equivocal"),"b",IF(OR(W372="positive",W372="equivocal"),"c","d"))))</x:f>
        <x:v>d</x:v>
      </x:c>
      <x:c r="AF372" s="12" t="str">
        <x:f>IF(OR(W372="unavailable",Y372="unavailable"),"不可评价",IF(AND(W372="positive",Y372="positive"),"a",IF(Y372="positive","b",IF(W372="positive","c","d"))))</x:f>
        <x:v>d</x:v>
      </x:c>
    </x:row>
    <x:row r="373" ht="24" customHeight="1">
      <x:c r="A373" s="12" t="str">
        <x:v>2922</x:v>
      </x:c>
      <x:c r="B373" s="12" t="str">
        <x:v>13701</x:v>
      </x:c>
      <x:c r="C373" s="21" t="n">
        <x:v>32668.68060185185</x:v>
      </x:c>
      <x:c r="D373" s="12" t="n">
        <x:v>64</x:v>
      </x:c>
      <x:c r="E373" s="12" t="n">
        <x:v>0</x:v>
      </x:c>
      <x:c r="F373" s="12" t="str">
        <x:v>未记录</x:v>
      </x:c>
      <x:c r="G373" s="12" t="n">
        <x:v>1</x:v>
      </x:c>
      <x:c r="H373" s="12" t="str">
        <x:v>{'ISCAL': 100.0, 'SR': 0.0}</x:v>
      </x:c>
      <x:c r="I373" s="12" t="str">
        <x:v>[('NSR', 100.0), ('LVH2', 100.0), ('2ST', 100.0), ('AB', 100.0)]</x:v>
      </x:c>
      <x:c r="J373" s="12" t="str">
        <x:v>ptbxl_database.csv；ecg_id=2922；scp_codes</x:v>
      </x:c>
      <x:c r="K373" s="12" t="str">
        <x:v>12sl_statements.csv；ecg_id=2922；statements_ext_snomed</x:v>
      </x:c>
      <x:c r="L373" s="12"/>
      <x:c r="M373" s="12" t="str">
        <x:v>negative</x:v>
      </x:c>
      <x:c r="N373" s="12"/>
      <x:c r="O373" s="12" t="str">
        <x:v>negative</x:v>
      </x:c>
      <x:c r="P373" s="12" t="str">
        <x:f>IF(OR(M373="unavailable",O373="unavailable"),"不可评价",IF(OR(M373="equivocal",O373="equivocal"),"疑似",IF(AND(M373="positive",O373="positive"),"a",IF(O373="positive","b",IF(M373="positive","c","d")))))</x:f>
        <x:v>d</x:v>
      </x:c>
      <x:c r="Q373" s="12"/>
      <x:c r="R373" s="12" t="str">
        <x:v>negative</x:v>
      </x:c>
      <x:c r="S373" s="12"/>
      <x:c r="T373" s="12" t="str">
        <x:v>negative</x:v>
      </x:c>
      <x:c r="U373" s="12" t="str">
        <x:f>IF(OR(R373="unavailable",T373="unavailable"),"不可评价",IF(OR(R373="equivocal",T373="equivocal"),"疑似",IF(AND(R373="positive",T373="positive"),"a",IF(T373="positive","b",IF(R373="positive","c","d")))))</x:f>
        <x:v>d</x:v>
      </x:c>
      <x:c r="V373" s="12"/>
      <x:c r="W373" s="12" t="str">
        <x:v>negative</x:v>
      </x:c>
      <x:c r="X373" s="12"/>
      <x:c r="Y373" s="12" t="str">
        <x:v>negative</x:v>
      </x:c>
      <x:c r="Z373" s="12" t="str">
        <x:f>IF(OR(W373="unavailable",Y373="unavailable"),"不可评价",IF(OR(W373="equivocal",Y373="equivocal"),"疑似",IF(AND(W373="positive",Y373="positive"),"a",IF(Y373="positive","b",IF(W373="positive","c","d")))))</x:f>
        <x:v>d</x:v>
      </x:c>
      <x:c r="AA373" s="12" t="str">
        <x:f>IF(OR(M373="unavailable",O373="unavailable"),"不可评价",IF(AND(OR(M373="positive",M373="equivocal"),OR(O373="positive",O373="equivocal")),"a",IF(OR(O373="positive",O373="equivocal"),"b",IF(OR(M373="positive",M373="equivocal"),"c","d"))))</x:f>
        <x:v>d</x:v>
      </x:c>
      <x:c r="AB373" s="12" t="str">
        <x:f>IF(OR(M373="unavailable",O373="unavailable"),"不可评价",IF(AND(M373="positive",O373="positive"),"a",IF(O373="positive","b",IF(M373="positive","c","d"))))</x:f>
        <x:v>d</x:v>
      </x:c>
      <x:c r="AC373" s="12" t="str">
        <x:f>IF(OR(R373="unavailable",T373="unavailable"),"不可评价",IF(AND(OR(R373="positive",R373="equivocal"),OR(T373="positive",T373="equivocal")),"a",IF(OR(T373="positive",T373="equivocal"),"b",IF(OR(R373="positive",R373="equivocal"),"c","d"))))</x:f>
        <x:v>d</x:v>
      </x:c>
      <x:c r="AD373" s="12" t="str">
        <x:f>IF(OR(R373="unavailable",T373="unavailable"),"不可评价",IF(AND(R373="positive",T373="positive"),"a",IF(T373="positive","b",IF(R373="positive","c","d"))))</x:f>
        <x:v>d</x:v>
      </x:c>
      <x:c r="AE373" s="12" t="str">
        <x:f>IF(OR(W373="unavailable",Y373="unavailable"),"不可评价",IF(AND(OR(W373="positive",W373="equivocal"),OR(Y373="positive",Y373="equivocal")),"a",IF(OR(Y373="positive",Y373="equivocal"),"b",IF(OR(W373="positive",W373="equivocal"),"c","d"))))</x:f>
        <x:v>d</x:v>
      </x:c>
      <x:c r="AF373" s="12" t="str">
        <x:f>IF(OR(W373="unavailable",Y373="unavailable"),"不可评价",IF(AND(W373="positive",Y373="positive"),"a",IF(Y373="positive","b",IF(W373="positive","c","d"))))</x:f>
        <x:v>d</x:v>
      </x:c>
    </x:row>
    <x:row r="374" ht="24" customHeight="1">
      <x:c r="A374" s="12" t="str">
        <x:v>2928</x:v>
      </x:c>
      <x:c r="B374" s="12" t="str">
        <x:v>13098</x:v>
      </x:c>
      <x:c r="C374" s="21" t="n">
        <x:v>32673.661724537036</x:v>
      </x:c>
      <x:c r="D374" s="12" t="n">
        <x:v>38</x:v>
      </x:c>
      <x:c r="E374" s="12" t="n">
        <x:v>1</x:v>
      </x:c>
      <x:c r="F374" s="12" t="str">
        <x:v>未记录</x:v>
      </x:c>
      <x:c r="G374" s="12" t="n">
        <x:v>1</x:v>
      </x:c>
      <x:c r="H374" s="12" t="str">
        <x:v>{'NORM': 100.0, 'ABQRS': 0.0, 'SR': 0.0}</x:v>
      </x:c>
      <x:c r="I374" s="12" t="str">
        <x:v>[('SBRAD', 100.0), ('ABR', 100.0)]</x:v>
      </x:c>
      <x:c r="J374" s="12" t="str">
        <x:v>ptbxl_database.csv；ecg_id=2928；scp_codes</x:v>
      </x:c>
      <x:c r="K374" s="12" t="str">
        <x:v>12sl_statements.csv；ecg_id=2928；statements_ext_snomed</x:v>
      </x:c>
      <x:c r="L374" s="12"/>
      <x:c r="M374" s="12" t="str">
        <x:v>negative</x:v>
      </x:c>
      <x:c r="N374" s="12"/>
      <x:c r="O374" s="12" t="str">
        <x:v>negative</x:v>
      </x:c>
      <x:c r="P374" s="12" t="str">
        <x:f>IF(OR(M374="unavailable",O374="unavailable"),"不可评价",IF(OR(M374="equivocal",O374="equivocal"),"疑似",IF(AND(M374="positive",O374="positive"),"a",IF(O374="positive","b",IF(M374="positive","c","d")))))</x:f>
        <x:v>d</x:v>
      </x:c>
      <x:c r="Q374" s="12"/>
      <x:c r="R374" s="12" t="str">
        <x:v>negative</x:v>
      </x:c>
      <x:c r="S374" s="12"/>
      <x:c r="T374" s="12" t="str">
        <x:v>negative</x:v>
      </x:c>
      <x:c r="U374" s="12" t="str">
        <x:f>IF(OR(R374="unavailable",T374="unavailable"),"不可评价",IF(OR(R374="equivocal",T374="equivocal"),"疑似",IF(AND(R374="positive",T374="positive"),"a",IF(T374="positive","b",IF(R374="positive","c","d")))))</x:f>
        <x:v>d</x:v>
      </x:c>
      <x:c r="V374" s="12"/>
      <x:c r="W374" s="12" t="str">
        <x:v>negative</x:v>
      </x:c>
      <x:c r="X374" s="12"/>
      <x:c r="Y374" s="12" t="str">
        <x:v>negative</x:v>
      </x:c>
      <x:c r="Z374" s="12" t="str">
        <x:f>IF(OR(W374="unavailable",Y374="unavailable"),"不可评价",IF(OR(W374="equivocal",Y374="equivocal"),"疑似",IF(AND(W374="positive",Y374="positive"),"a",IF(Y374="positive","b",IF(W374="positive","c","d")))))</x:f>
        <x:v>d</x:v>
      </x:c>
      <x:c r="AA374" s="12" t="str">
        <x:f>IF(OR(M374="unavailable",O374="unavailable"),"不可评价",IF(AND(OR(M374="positive",M374="equivocal"),OR(O374="positive",O374="equivocal")),"a",IF(OR(O374="positive",O374="equivocal"),"b",IF(OR(M374="positive",M374="equivocal"),"c","d"))))</x:f>
        <x:v>d</x:v>
      </x:c>
      <x:c r="AB374" s="12" t="str">
        <x:f>IF(OR(M374="unavailable",O374="unavailable"),"不可评价",IF(AND(M374="positive",O374="positive"),"a",IF(O374="positive","b",IF(M374="positive","c","d"))))</x:f>
        <x:v>d</x:v>
      </x:c>
      <x:c r="AC374" s="12" t="str">
        <x:f>IF(OR(R374="unavailable",T374="unavailable"),"不可评价",IF(AND(OR(R374="positive",R374="equivocal"),OR(T374="positive",T374="equivocal")),"a",IF(OR(T374="positive",T374="equivocal"),"b",IF(OR(R374="positive",R374="equivocal"),"c","d"))))</x:f>
        <x:v>d</x:v>
      </x:c>
      <x:c r="AD374" s="12" t="str">
        <x:f>IF(OR(R374="unavailable",T374="unavailable"),"不可评价",IF(AND(R374="positive",T374="positive"),"a",IF(T374="positive","b",IF(R374="positive","c","d"))))</x:f>
        <x:v>d</x:v>
      </x:c>
      <x:c r="AE374" s="12" t="str">
        <x:f>IF(OR(W374="unavailable",Y374="unavailable"),"不可评价",IF(AND(OR(W374="positive",W374="equivocal"),OR(Y374="positive",Y374="equivocal")),"a",IF(OR(Y374="positive",Y374="equivocal"),"b",IF(OR(W374="positive",W374="equivocal"),"c","d"))))</x:f>
        <x:v>d</x:v>
      </x:c>
      <x:c r="AF374" s="12" t="str">
        <x:f>IF(OR(W374="unavailable",Y374="unavailable"),"不可评价",IF(AND(W374="positive",Y374="positive"),"a",IF(Y374="positive","b",IF(W374="positive","c","d"))))</x:f>
        <x:v>d</x:v>
      </x:c>
    </x:row>
    <x:row r="375" ht="24" customHeight="1">
      <x:c r="A375" s="12" t="str">
        <x:v>2929</x:v>
      </x:c>
      <x:c r="B375" s="12" t="str">
        <x:v>9414</x:v>
      </x:c>
      <x:c r="C375" s="21" t="n">
        <x:v>32674.373703703703</x:v>
      </x:c>
      <x:c r="D375" s="12" t="n">
        <x:v>45</x:v>
      </x:c>
      <x:c r="E375" s="12" t="n">
        <x:v>0</x:v>
      </x:c>
      <x:c r="F375" s="12" t="str">
        <x:v>未记录</x:v>
      </x:c>
      <x:c r="G375" s="12" t="n">
        <x:v>0</x:v>
      </x:c>
      <x:c r="H375" s="12" t="str">
        <x:v>{'NORM': 100.0, 'SR': 0.0}</x:v>
      </x:c>
      <x:c r="I375" s="12" t="str">
        <x:v>[('NSR', 100.0), ('NML', 100.0)]</x:v>
      </x:c>
      <x:c r="J375" s="12" t="str">
        <x:v>ptbxl_database.csv；ecg_id=2929；scp_codes</x:v>
      </x:c>
      <x:c r="K375" s="12" t="str">
        <x:v>12sl_statements.csv；ecg_id=2929；statements_ext_snomed</x:v>
      </x:c>
      <x:c r="L375" s="12"/>
      <x:c r="M375" s="12" t="str">
        <x:v>negative</x:v>
      </x:c>
      <x:c r="N375" s="12"/>
      <x:c r="O375" s="12" t="str">
        <x:v>negative</x:v>
      </x:c>
      <x:c r="P375" s="12" t="str">
        <x:f>IF(OR(M375="unavailable",O375="unavailable"),"不可评价",IF(OR(M375="equivocal",O375="equivocal"),"疑似",IF(AND(M375="positive",O375="positive"),"a",IF(O375="positive","b",IF(M375="positive","c","d")))))</x:f>
        <x:v>d</x:v>
      </x:c>
      <x:c r="Q375" s="12"/>
      <x:c r="R375" s="12" t="str">
        <x:v>negative</x:v>
      </x:c>
      <x:c r="S375" s="12"/>
      <x:c r="T375" s="12" t="str">
        <x:v>negative</x:v>
      </x:c>
      <x:c r="U375" s="12" t="str">
        <x:f>IF(OR(R375="unavailable",T375="unavailable"),"不可评价",IF(OR(R375="equivocal",T375="equivocal"),"疑似",IF(AND(R375="positive",T375="positive"),"a",IF(T375="positive","b",IF(R375="positive","c","d")))))</x:f>
        <x:v>d</x:v>
      </x:c>
      <x:c r="V375" s="12"/>
      <x:c r="W375" s="12" t="str">
        <x:v>negative</x:v>
      </x:c>
      <x:c r="X375" s="12"/>
      <x:c r="Y375" s="12" t="str">
        <x:v>negative</x:v>
      </x:c>
      <x:c r="Z375" s="12" t="str">
        <x:f>IF(OR(W375="unavailable",Y375="unavailable"),"不可评价",IF(OR(W375="equivocal",Y375="equivocal"),"疑似",IF(AND(W375="positive",Y375="positive"),"a",IF(Y375="positive","b",IF(W375="positive","c","d")))))</x:f>
        <x:v>d</x:v>
      </x:c>
      <x:c r="AA375" s="12" t="str">
        <x:f>IF(OR(M375="unavailable",O375="unavailable"),"不可评价",IF(AND(OR(M375="positive",M375="equivocal"),OR(O375="positive",O375="equivocal")),"a",IF(OR(O375="positive",O375="equivocal"),"b",IF(OR(M375="positive",M375="equivocal"),"c","d"))))</x:f>
        <x:v>d</x:v>
      </x:c>
      <x:c r="AB375" s="12" t="str">
        <x:f>IF(OR(M375="unavailable",O375="unavailable"),"不可评价",IF(AND(M375="positive",O375="positive"),"a",IF(O375="positive","b",IF(M375="positive","c","d"))))</x:f>
        <x:v>d</x:v>
      </x:c>
      <x:c r="AC375" s="12" t="str">
        <x:f>IF(OR(R375="unavailable",T375="unavailable"),"不可评价",IF(AND(OR(R375="positive",R375="equivocal"),OR(T375="positive",T375="equivocal")),"a",IF(OR(T375="positive",T375="equivocal"),"b",IF(OR(R375="positive",R375="equivocal"),"c","d"))))</x:f>
        <x:v>d</x:v>
      </x:c>
      <x:c r="AD375" s="12" t="str">
        <x:f>IF(OR(R375="unavailable",T375="unavailable"),"不可评价",IF(AND(R375="positive",T375="positive"),"a",IF(T375="positive","b",IF(R375="positive","c","d"))))</x:f>
        <x:v>d</x:v>
      </x:c>
      <x:c r="AE375" s="12" t="str">
        <x:f>IF(OR(W375="unavailable",Y375="unavailable"),"不可评价",IF(AND(OR(W375="positive",W375="equivocal"),OR(Y375="positive",Y375="equivocal")),"a",IF(OR(Y375="positive",Y375="equivocal"),"b",IF(OR(W375="positive",W375="equivocal"),"c","d"))))</x:f>
        <x:v>d</x:v>
      </x:c>
      <x:c r="AF375" s="12" t="str">
        <x:f>IF(OR(W375="unavailable",Y375="unavailable"),"不可评价",IF(AND(W375="positive",Y375="positive"),"a",IF(Y375="positive","b",IF(W375="positive","c","d"))))</x:f>
        <x:v>d</x:v>
      </x:c>
    </x:row>
    <x:row r="376" ht="24" customHeight="1">
      <x:c r="A376" s="12" t="str">
        <x:v>2935</x:v>
      </x:c>
      <x:c r="B376" s="12" t="str">
        <x:v>19755</x:v>
      </x:c>
      <x:c r="C376" s="21" t="n">
        <x:v>32676.473032407408</x:v>
      </x:c>
      <x:c r="D376" s="12" t="n">
        <x:v>25</x:v>
      </x:c>
      <x:c r="E376" s="12" t="n">
        <x:v>1</x:v>
      </x:c>
      <x:c r="F376" s="12" t="str">
        <x:v>存在</x:v>
      </x:c>
      <x:c r="G376" s="12" t="n">
        <x:v>1</x:v>
      </x:c>
      <x:c r="H376" s="12" t="str">
        <x:v>{'NORM': 100.0, 'SR': 0.0}</x:v>
      </x:c>
      <x:c r="I376" s="12" t="str">
        <x:v>[('SBRAD', 100.0), ('IT', 100.0), ('AB', 100.0)]</x:v>
      </x:c>
      <x:c r="J376" s="12" t="str">
        <x:v>ptbxl_database.csv；ecg_id=2935；scp_codes</x:v>
      </x:c>
      <x:c r="K376" s="12" t="str">
        <x:v>12sl_statements.csv；ecg_id=2935；statements_ext_snomed</x:v>
      </x:c>
      <x:c r="L376" s="12"/>
      <x:c r="M376" s="12" t="str">
        <x:v>negative</x:v>
      </x:c>
      <x:c r="N376" s="12"/>
      <x:c r="O376" s="12" t="str">
        <x:v>negative</x:v>
      </x:c>
      <x:c r="P376" s="12" t="str">
        <x:f>IF(OR(M376="unavailable",O376="unavailable"),"不可评价",IF(OR(M376="equivocal",O376="equivocal"),"疑似",IF(AND(M376="positive",O376="positive"),"a",IF(O376="positive","b",IF(M376="positive","c","d")))))</x:f>
        <x:v>d</x:v>
      </x:c>
      <x:c r="Q376" s="12"/>
      <x:c r="R376" s="12" t="str">
        <x:v>negative</x:v>
      </x:c>
      <x:c r="S376" s="12"/>
      <x:c r="T376" s="12" t="str">
        <x:v>negative</x:v>
      </x:c>
      <x:c r="U376" s="12" t="str">
        <x:f>IF(OR(R376="unavailable",T376="unavailable"),"不可评价",IF(OR(R376="equivocal",T376="equivocal"),"疑似",IF(AND(R376="positive",T376="positive"),"a",IF(T376="positive","b",IF(R376="positive","c","d")))))</x:f>
        <x:v>d</x:v>
      </x:c>
      <x:c r="V376" s="12"/>
      <x:c r="W376" s="12" t="str">
        <x:v>negative</x:v>
      </x:c>
      <x:c r="X376" s="12"/>
      <x:c r="Y376" s="12" t="str">
        <x:v>negative</x:v>
      </x:c>
      <x:c r="Z376" s="12" t="str">
        <x:f>IF(OR(W376="unavailable",Y376="unavailable"),"不可评价",IF(OR(W376="equivocal",Y376="equivocal"),"疑似",IF(AND(W376="positive",Y376="positive"),"a",IF(Y376="positive","b",IF(W376="positive","c","d")))))</x:f>
        <x:v>d</x:v>
      </x:c>
      <x:c r="AA376" s="12" t="str">
        <x:f>IF(OR(M376="unavailable",O376="unavailable"),"不可评价",IF(AND(OR(M376="positive",M376="equivocal"),OR(O376="positive",O376="equivocal")),"a",IF(OR(O376="positive",O376="equivocal"),"b",IF(OR(M376="positive",M376="equivocal"),"c","d"))))</x:f>
        <x:v>d</x:v>
      </x:c>
      <x:c r="AB376" s="12" t="str">
        <x:f>IF(OR(M376="unavailable",O376="unavailable"),"不可评价",IF(AND(M376="positive",O376="positive"),"a",IF(O376="positive","b",IF(M376="positive","c","d"))))</x:f>
        <x:v>d</x:v>
      </x:c>
      <x:c r="AC376" s="12" t="str">
        <x:f>IF(OR(R376="unavailable",T376="unavailable"),"不可评价",IF(AND(OR(R376="positive",R376="equivocal"),OR(T376="positive",T376="equivocal")),"a",IF(OR(T376="positive",T376="equivocal"),"b",IF(OR(R376="positive",R376="equivocal"),"c","d"))))</x:f>
        <x:v>d</x:v>
      </x:c>
      <x:c r="AD376" s="12" t="str">
        <x:f>IF(OR(R376="unavailable",T376="unavailable"),"不可评价",IF(AND(R376="positive",T376="positive"),"a",IF(T376="positive","b",IF(R376="positive","c","d"))))</x:f>
        <x:v>d</x:v>
      </x:c>
      <x:c r="AE376" s="12" t="str">
        <x:f>IF(OR(W376="unavailable",Y376="unavailable"),"不可评价",IF(AND(OR(W376="positive",W376="equivocal"),OR(Y376="positive",Y376="equivocal")),"a",IF(OR(Y376="positive",Y376="equivocal"),"b",IF(OR(W376="positive",W376="equivocal"),"c","d"))))</x:f>
        <x:v>d</x:v>
      </x:c>
      <x:c r="AF376" s="12" t="str">
        <x:f>IF(OR(W376="unavailable",Y376="unavailable"),"不可评价",IF(AND(W376="positive",Y376="positive"),"a",IF(Y376="positive","b",IF(W376="positive","c","d"))))</x:f>
        <x:v>d</x:v>
      </x:c>
    </x:row>
    <x:row r="377" ht="24" customHeight="1">
      <x:c r="A377" s="12" t="str">
        <x:v>2938</x:v>
      </x:c>
      <x:c r="B377" s="12" t="str">
        <x:v>13131</x:v>
      </x:c>
      <x:c r="C377" s="21" t="n">
        <x:v>32677.455949074076</x:v>
      </x:c>
      <x:c r="D377" s="12" t="n">
        <x:v>55</x:v>
      </x:c>
      <x:c r="E377" s="12" t="n">
        <x:v>1</x:v>
      </x:c>
      <x:c r="F377" s="12" t="str">
        <x:v>未记录</x:v>
      </x:c>
      <x:c r="G377" s="12" t="n">
        <x:v>1</x:v>
      </x:c>
      <x:c r="H377" s="12" t="str">
        <x:v>{'NDT': 100.0, 'SR': 0.0}</x:v>
      </x:c>
      <x:c r="I377" s="12" t="str">
        <x:v>[('NSR', 100.0), ('NML', 100.0)]</x:v>
      </x:c>
      <x:c r="J377" s="12" t="str">
        <x:v>ptbxl_database.csv；ecg_id=2938；scp_codes</x:v>
      </x:c>
      <x:c r="K377" s="12" t="str">
        <x:v>12sl_statements.csv；ecg_id=2938；statements_ext_snomed</x:v>
      </x:c>
      <x:c r="L377" s="12"/>
      <x:c r="M377" s="12" t="str">
        <x:v>negative</x:v>
      </x:c>
      <x:c r="N377" s="12"/>
      <x:c r="O377" s="12" t="str">
        <x:v>negative</x:v>
      </x:c>
      <x:c r="P377" s="12" t="str">
        <x:f>IF(OR(M377="unavailable",O377="unavailable"),"不可评价",IF(OR(M377="equivocal",O377="equivocal"),"疑似",IF(AND(M377="positive",O377="positive"),"a",IF(O377="positive","b",IF(M377="positive","c","d")))))</x:f>
        <x:v>d</x:v>
      </x:c>
      <x:c r="Q377" s="12"/>
      <x:c r="R377" s="12" t="str">
        <x:v>negative</x:v>
      </x:c>
      <x:c r="S377" s="12"/>
      <x:c r="T377" s="12" t="str">
        <x:v>negative</x:v>
      </x:c>
      <x:c r="U377" s="12" t="str">
        <x:f>IF(OR(R377="unavailable",T377="unavailable"),"不可评价",IF(OR(R377="equivocal",T377="equivocal"),"疑似",IF(AND(R377="positive",T377="positive"),"a",IF(T377="positive","b",IF(R377="positive","c","d")))))</x:f>
        <x:v>d</x:v>
      </x:c>
      <x:c r="V377" s="12"/>
      <x:c r="W377" s="12" t="str">
        <x:v>negative</x:v>
      </x:c>
      <x:c r="X377" s="12"/>
      <x:c r="Y377" s="12" t="str">
        <x:v>negative</x:v>
      </x:c>
      <x:c r="Z377" s="12" t="str">
        <x:f>IF(OR(W377="unavailable",Y377="unavailable"),"不可评价",IF(OR(W377="equivocal",Y377="equivocal"),"疑似",IF(AND(W377="positive",Y377="positive"),"a",IF(Y377="positive","b",IF(W377="positive","c","d")))))</x:f>
        <x:v>d</x:v>
      </x:c>
      <x:c r="AA377" s="12" t="str">
        <x:f>IF(OR(M377="unavailable",O377="unavailable"),"不可评价",IF(AND(OR(M377="positive",M377="equivocal"),OR(O377="positive",O377="equivocal")),"a",IF(OR(O377="positive",O377="equivocal"),"b",IF(OR(M377="positive",M377="equivocal"),"c","d"))))</x:f>
        <x:v>d</x:v>
      </x:c>
      <x:c r="AB377" s="12" t="str">
        <x:f>IF(OR(M377="unavailable",O377="unavailable"),"不可评价",IF(AND(M377="positive",O377="positive"),"a",IF(O377="positive","b",IF(M377="positive","c","d"))))</x:f>
        <x:v>d</x:v>
      </x:c>
      <x:c r="AC377" s="12" t="str">
        <x:f>IF(OR(R377="unavailable",T377="unavailable"),"不可评价",IF(AND(OR(R377="positive",R377="equivocal"),OR(T377="positive",T377="equivocal")),"a",IF(OR(T377="positive",T377="equivocal"),"b",IF(OR(R377="positive",R377="equivocal"),"c","d"))))</x:f>
        <x:v>d</x:v>
      </x:c>
      <x:c r="AD377" s="12" t="str">
        <x:f>IF(OR(R377="unavailable",T377="unavailable"),"不可评价",IF(AND(R377="positive",T377="positive"),"a",IF(T377="positive","b",IF(R377="positive","c","d"))))</x:f>
        <x:v>d</x:v>
      </x:c>
      <x:c r="AE377" s="12" t="str">
        <x:f>IF(OR(W377="unavailable",Y377="unavailable"),"不可评价",IF(AND(OR(W377="positive",W377="equivocal"),OR(Y377="positive",Y377="equivocal")),"a",IF(OR(Y377="positive",Y377="equivocal"),"b",IF(OR(W377="positive",W377="equivocal"),"c","d"))))</x:f>
        <x:v>d</x:v>
      </x:c>
      <x:c r="AF377" s="12" t="str">
        <x:f>IF(OR(W377="unavailable",Y377="unavailable"),"不可评价",IF(AND(W377="positive",Y377="positive"),"a",IF(Y377="positive","b",IF(W377="positive","c","d"))))</x:f>
        <x:v>d</x:v>
      </x:c>
    </x:row>
    <x:row r="378" ht="24" customHeight="1">
      <x:c r="A378" s="12" t="str">
        <x:v>2939</x:v>
      </x:c>
      <x:c r="B378" s="12" t="str">
        <x:v>20386</x:v>
      </x:c>
      <x:c r="C378" s="21" t="n">
        <x:v>32677.59207175926</x:v>
      </x:c>
      <x:c r="D378" s="12" t="n">
        <x:v>71</x:v>
      </x:c>
      <x:c r="E378" s="12" t="n">
        <x:v>0</x:v>
      </x:c>
      <x:c r="F378" s="12" t="str">
        <x:v>未记录</x:v>
      </x:c>
      <x:c r="G378" s="12" t="n">
        <x:v>1</x:v>
      </x:c>
      <x:c r="H378" s="12" t="str">
        <x:v>{'NORM': 100.0, 'SR': 0.0}</x:v>
      </x:c>
      <x:c r="I378" s="12" t="str">
        <x:v>[('NSR', 100.0), ('NML', 100.0)]</x:v>
      </x:c>
      <x:c r="J378" s="12" t="str">
        <x:v>ptbxl_database.csv；ecg_id=2939；scp_codes</x:v>
      </x:c>
      <x:c r="K378" s="12" t="str">
        <x:v>12sl_statements.csv；ecg_id=2939；statements_ext_snomed</x:v>
      </x:c>
      <x:c r="L378" s="12"/>
      <x:c r="M378" s="12" t="str">
        <x:v>negative</x:v>
      </x:c>
      <x:c r="N378" s="12"/>
      <x:c r="O378" s="12" t="str">
        <x:v>negative</x:v>
      </x:c>
      <x:c r="P378" s="12" t="str">
        <x:f>IF(OR(M378="unavailable",O378="unavailable"),"不可评价",IF(OR(M378="equivocal",O378="equivocal"),"疑似",IF(AND(M378="positive",O378="positive"),"a",IF(O378="positive","b",IF(M378="positive","c","d")))))</x:f>
        <x:v>d</x:v>
      </x:c>
      <x:c r="Q378" s="12"/>
      <x:c r="R378" s="12" t="str">
        <x:v>negative</x:v>
      </x:c>
      <x:c r="S378" s="12"/>
      <x:c r="T378" s="12" t="str">
        <x:v>negative</x:v>
      </x:c>
      <x:c r="U378" s="12" t="str">
        <x:f>IF(OR(R378="unavailable",T378="unavailable"),"不可评价",IF(OR(R378="equivocal",T378="equivocal"),"疑似",IF(AND(R378="positive",T378="positive"),"a",IF(T378="positive","b",IF(R378="positive","c","d")))))</x:f>
        <x:v>d</x:v>
      </x:c>
      <x:c r="V378" s="12"/>
      <x:c r="W378" s="12" t="str">
        <x:v>negative</x:v>
      </x:c>
      <x:c r="X378" s="12"/>
      <x:c r="Y378" s="12" t="str">
        <x:v>negative</x:v>
      </x:c>
      <x:c r="Z378" s="12" t="str">
        <x:f>IF(OR(W378="unavailable",Y378="unavailable"),"不可评价",IF(OR(W378="equivocal",Y378="equivocal"),"疑似",IF(AND(W378="positive",Y378="positive"),"a",IF(Y378="positive","b",IF(W378="positive","c","d")))))</x:f>
        <x:v>d</x:v>
      </x:c>
      <x:c r="AA378" s="12" t="str">
        <x:f>IF(OR(M378="unavailable",O378="unavailable"),"不可评价",IF(AND(OR(M378="positive",M378="equivocal"),OR(O378="positive",O378="equivocal")),"a",IF(OR(O378="positive",O378="equivocal"),"b",IF(OR(M378="positive",M378="equivocal"),"c","d"))))</x:f>
        <x:v>d</x:v>
      </x:c>
      <x:c r="AB378" s="12" t="str">
        <x:f>IF(OR(M378="unavailable",O378="unavailable"),"不可评价",IF(AND(M378="positive",O378="positive"),"a",IF(O378="positive","b",IF(M378="positive","c","d"))))</x:f>
        <x:v>d</x:v>
      </x:c>
      <x:c r="AC378" s="12" t="str">
        <x:f>IF(OR(R378="unavailable",T378="unavailable"),"不可评价",IF(AND(OR(R378="positive",R378="equivocal"),OR(T378="positive",T378="equivocal")),"a",IF(OR(T378="positive",T378="equivocal"),"b",IF(OR(R378="positive",R378="equivocal"),"c","d"))))</x:f>
        <x:v>d</x:v>
      </x:c>
      <x:c r="AD378" s="12" t="str">
        <x:f>IF(OR(R378="unavailable",T378="unavailable"),"不可评价",IF(AND(R378="positive",T378="positive"),"a",IF(T378="positive","b",IF(R378="positive","c","d"))))</x:f>
        <x:v>d</x:v>
      </x:c>
      <x:c r="AE378" s="12" t="str">
        <x:f>IF(OR(W378="unavailable",Y378="unavailable"),"不可评价",IF(AND(OR(W378="positive",W378="equivocal"),OR(Y378="positive",Y378="equivocal")),"a",IF(OR(Y378="positive",Y378="equivocal"),"b",IF(OR(W378="positive",W378="equivocal"),"c","d"))))</x:f>
        <x:v>d</x:v>
      </x:c>
      <x:c r="AF378" s="12" t="str">
        <x:f>IF(OR(W378="unavailable",Y378="unavailable"),"不可评价",IF(AND(W378="positive",Y378="positive"),"a",IF(Y378="positive","b",IF(W378="positive","c","d"))))</x:f>
        <x:v>d</x:v>
      </x:c>
    </x:row>
    <x:row r="379" ht="24" customHeight="1">
      <x:c r="A379" s="12" t="str">
        <x:v>2941</x:v>
      </x:c>
      <x:c r="B379" s="12" t="str">
        <x:v>8937</x:v>
      </x:c>
      <x:c r="C379" s="21" t="n">
        <x:v>32677.707534722223</x:v>
      </x:c>
      <x:c r="D379" s="12" t="n">
        <x:v>51</x:v>
      </x:c>
      <x:c r="E379" s="12" t="n">
        <x:v>1</x:v>
      </x:c>
      <x:c r="F379" s="12" t="str">
        <x:v>未记录</x:v>
      </x:c>
      <x:c r="G379" s="12" t="n">
        <x:v>1</x:v>
      </x:c>
      <x:c r="H379" s="12" t="str">
        <x:v>{'NORM': 100.0}</x:v>
      </x:c>
      <x:c r="I379" s="12" t="str">
        <x:v>[('NSR', 100.0), ('LAD3', 100.0), ('AB', 100.0)]</x:v>
      </x:c>
      <x:c r="J379" s="12" t="str">
        <x:v>ptbxl_database.csv；ecg_id=2941；scp_codes</x:v>
      </x:c>
      <x:c r="K379" s="12" t="str">
        <x:v>12sl_statements.csv；ecg_id=2941；statements_ext_snomed</x:v>
      </x:c>
      <x:c r="L379" s="12"/>
      <x:c r="M379" s="12" t="str">
        <x:v>negative</x:v>
      </x:c>
      <x:c r="N379" s="12"/>
      <x:c r="O379" s="12" t="str">
        <x:v>negative</x:v>
      </x:c>
      <x:c r="P379" s="12" t="str">
        <x:f>IF(OR(M379="unavailable",O379="unavailable"),"不可评价",IF(OR(M379="equivocal",O379="equivocal"),"疑似",IF(AND(M379="positive",O379="positive"),"a",IF(O379="positive","b",IF(M379="positive","c","d")))))</x:f>
        <x:v>d</x:v>
      </x:c>
      <x:c r="Q379" s="12"/>
      <x:c r="R379" s="12" t="str">
        <x:v>negative</x:v>
      </x:c>
      <x:c r="S379" s="12"/>
      <x:c r="T379" s="12" t="str">
        <x:v>negative</x:v>
      </x:c>
      <x:c r="U379" s="12" t="str">
        <x:f>IF(OR(R379="unavailable",T379="unavailable"),"不可评价",IF(OR(R379="equivocal",T379="equivocal"),"疑似",IF(AND(R379="positive",T379="positive"),"a",IF(T379="positive","b",IF(R379="positive","c","d")))))</x:f>
        <x:v>d</x:v>
      </x:c>
      <x:c r="V379" s="12"/>
      <x:c r="W379" s="12" t="str">
        <x:v>negative</x:v>
      </x:c>
      <x:c r="X379" s="12"/>
      <x:c r="Y379" s="12" t="str">
        <x:v>negative</x:v>
      </x:c>
      <x:c r="Z379" s="12" t="str">
        <x:f>IF(OR(W379="unavailable",Y379="unavailable"),"不可评价",IF(OR(W379="equivocal",Y379="equivocal"),"疑似",IF(AND(W379="positive",Y379="positive"),"a",IF(Y379="positive","b",IF(W379="positive","c","d")))))</x:f>
        <x:v>d</x:v>
      </x:c>
      <x:c r="AA379" s="12" t="str">
        <x:f>IF(OR(M379="unavailable",O379="unavailable"),"不可评价",IF(AND(OR(M379="positive",M379="equivocal"),OR(O379="positive",O379="equivocal")),"a",IF(OR(O379="positive",O379="equivocal"),"b",IF(OR(M379="positive",M379="equivocal"),"c","d"))))</x:f>
        <x:v>d</x:v>
      </x:c>
      <x:c r="AB379" s="12" t="str">
        <x:f>IF(OR(M379="unavailable",O379="unavailable"),"不可评价",IF(AND(M379="positive",O379="positive"),"a",IF(O379="positive","b",IF(M379="positive","c","d"))))</x:f>
        <x:v>d</x:v>
      </x:c>
      <x:c r="AC379" s="12" t="str">
        <x:f>IF(OR(R379="unavailable",T379="unavailable"),"不可评价",IF(AND(OR(R379="positive",R379="equivocal"),OR(T379="positive",T379="equivocal")),"a",IF(OR(T379="positive",T379="equivocal"),"b",IF(OR(R379="positive",R379="equivocal"),"c","d"))))</x:f>
        <x:v>d</x:v>
      </x:c>
      <x:c r="AD379" s="12" t="str">
        <x:f>IF(OR(R379="unavailable",T379="unavailable"),"不可评价",IF(AND(R379="positive",T379="positive"),"a",IF(T379="positive","b",IF(R379="positive","c","d"))))</x:f>
        <x:v>d</x:v>
      </x:c>
      <x:c r="AE379" s="12" t="str">
        <x:f>IF(OR(W379="unavailable",Y379="unavailable"),"不可评价",IF(AND(OR(W379="positive",W379="equivocal"),OR(Y379="positive",Y379="equivocal")),"a",IF(OR(Y379="positive",Y379="equivocal"),"b",IF(OR(W379="positive",W379="equivocal"),"c","d"))))</x:f>
        <x:v>d</x:v>
      </x:c>
      <x:c r="AF379" s="12" t="str">
        <x:f>IF(OR(W379="unavailable",Y379="unavailable"),"不可评价",IF(AND(W379="positive",Y379="positive"),"a",IF(Y379="positive","b",IF(W379="positive","c","d"))))</x:f>
        <x:v>d</x:v>
      </x:c>
    </x:row>
    <x:row r="380" ht="24" customHeight="1">
      <x:c r="A380" s="12" t="str">
        <x:v>2942</x:v>
      </x:c>
      <x:c r="B380" s="12" t="str">
        <x:v>10867</x:v>
      </x:c>
      <x:c r="C380" s="21" t="n">
        <x:v>32678.274699074074</x:v>
      </x:c>
      <x:c r="D380" s="12" t="n">
        <x:v>50</x:v>
      </x:c>
      <x:c r="E380" s="12" t="n">
        <x:v>0</x:v>
      </x:c>
      <x:c r="F380" s="12" t="str">
        <x:v>未记录</x:v>
      </x:c>
      <x:c r="G380" s="12" t="n">
        <x:v>1</x:v>
      </x:c>
      <x:c r="H380" s="12" t="str">
        <x:v>{'NORM': 100.0, 'SR': 0.0}</x:v>
      </x:c>
      <x:c r="I380" s="12" t="str">
        <x:v>[('NSR', 100.0), ('SAR', 100.0), ('NML', 100.0)]</x:v>
      </x:c>
      <x:c r="J380" s="12" t="str">
        <x:v>ptbxl_database.csv；ecg_id=2942；scp_codes</x:v>
      </x:c>
      <x:c r="K380" s="12" t="str">
        <x:v>12sl_statements.csv；ecg_id=2942；statements_ext_snomed</x:v>
      </x:c>
      <x:c r="L380" s="12"/>
      <x:c r="M380" s="12" t="str">
        <x:v>negative</x:v>
      </x:c>
      <x:c r="N380" s="12"/>
      <x:c r="O380" s="12" t="str">
        <x:v>negative</x:v>
      </x:c>
      <x:c r="P380" s="12" t="str">
        <x:f>IF(OR(M380="unavailable",O380="unavailable"),"不可评价",IF(OR(M380="equivocal",O380="equivocal"),"疑似",IF(AND(M380="positive",O380="positive"),"a",IF(O380="positive","b",IF(M380="positive","c","d")))))</x:f>
        <x:v>d</x:v>
      </x:c>
      <x:c r="Q380" s="12"/>
      <x:c r="R380" s="12" t="str">
        <x:v>negative</x:v>
      </x:c>
      <x:c r="S380" s="12"/>
      <x:c r="T380" s="12" t="str">
        <x:v>negative</x:v>
      </x:c>
      <x:c r="U380" s="12" t="str">
        <x:f>IF(OR(R380="unavailable",T380="unavailable"),"不可评价",IF(OR(R380="equivocal",T380="equivocal"),"疑似",IF(AND(R380="positive",T380="positive"),"a",IF(T380="positive","b",IF(R380="positive","c","d")))))</x:f>
        <x:v>d</x:v>
      </x:c>
      <x:c r="V380" s="12"/>
      <x:c r="W380" s="12" t="str">
        <x:v>negative</x:v>
      </x:c>
      <x:c r="X380" s="12"/>
      <x:c r="Y380" s="12" t="str">
        <x:v>negative</x:v>
      </x:c>
      <x:c r="Z380" s="12" t="str">
        <x:f>IF(OR(W380="unavailable",Y380="unavailable"),"不可评价",IF(OR(W380="equivocal",Y380="equivocal"),"疑似",IF(AND(W380="positive",Y380="positive"),"a",IF(Y380="positive","b",IF(W380="positive","c","d")))))</x:f>
        <x:v>d</x:v>
      </x:c>
      <x:c r="AA380" s="12" t="str">
        <x:f>IF(OR(M380="unavailable",O380="unavailable"),"不可评价",IF(AND(OR(M380="positive",M380="equivocal"),OR(O380="positive",O380="equivocal")),"a",IF(OR(O380="positive",O380="equivocal"),"b",IF(OR(M380="positive",M380="equivocal"),"c","d"))))</x:f>
        <x:v>d</x:v>
      </x:c>
      <x:c r="AB380" s="12" t="str">
        <x:f>IF(OR(M380="unavailable",O380="unavailable"),"不可评价",IF(AND(M380="positive",O380="positive"),"a",IF(O380="positive","b",IF(M380="positive","c","d"))))</x:f>
        <x:v>d</x:v>
      </x:c>
      <x:c r="AC380" s="12" t="str">
        <x:f>IF(OR(R380="unavailable",T380="unavailable"),"不可评价",IF(AND(OR(R380="positive",R380="equivocal"),OR(T380="positive",T380="equivocal")),"a",IF(OR(T380="positive",T380="equivocal"),"b",IF(OR(R380="positive",R380="equivocal"),"c","d"))))</x:f>
        <x:v>d</x:v>
      </x:c>
      <x:c r="AD380" s="12" t="str">
        <x:f>IF(OR(R380="unavailable",T380="unavailable"),"不可评价",IF(AND(R380="positive",T380="positive"),"a",IF(T380="positive","b",IF(R380="positive","c","d"))))</x:f>
        <x:v>d</x:v>
      </x:c>
      <x:c r="AE380" s="12" t="str">
        <x:f>IF(OR(W380="unavailable",Y380="unavailable"),"不可评价",IF(AND(OR(W380="positive",W380="equivocal"),OR(Y380="positive",Y380="equivocal")),"a",IF(OR(Y380="positive",Y380="equivocal"),"b",IF(OR(W380="positive",W380="equivocal"),"c","d"))))</x:f>
        <x:v>d</x:v>
      </x:c>
      <x:c r="AF380" s="12" t="str">
        <x:f>IF(OR(W380="unavailable",Y380="unavailable"),"不可评价",IF(AND(W380="positive",Y380="positive"),"a",IF(Y380="positive","b",IF(W380="positive","c","d"))))</x:f>
        <x:v>d</x:v>
      </x:c>
    </x:row>
    <x:row r="381" ht="24" customHeight="1">
      <x:c r="A381" s="12" t="str">
        <x:v>2963</x:v>
      </x:c>
      <x:c r="B381" s="12" t="str">
        <x:v>14190</x:v>
      </x:c>
      <x:c r="C381" s="21" t="n">
        <x:v>32684.654618055556</x:v>
      </x:c>
      <x:c r="D381" s="12" t="n">
        <x:v>20</x:v>
      </x:c>
      <x:c r="E381" s="12" t="n">
        <x:v>1</x:v>
      </x:c>
      <x:c r="F381" s="12" t="str">
        <x:v>存在</x:v>
      </x:c>
      <x:c r="G381" s="12" t="n">
        <x:v>1</x:v>
      </x:c>
      <x:c r="H381" s="12" t="str">
        <x:v>{'NORM': 100.0, 'SR': 0.0}</x:v>
      </x:c>
      <x:c r="I381" s="12" t="str">
        <x:v>[('NSR', 100.0), ('NML', 100.0)]</x:v>
      </x:c>
      <x:c r="J381" s="12" t="str">
        <x:v>ptbxl_database.csv；ecg_id=2963；scp_codes</x:v>
      </x:c>
      <x:c r="K381" s="12" t="str">
        <x:v>12sl_statements.csv；ecg_id=2963；statements_ext_snomed</x:v>
      </x:c>
      <x:c r="L381" s="12"/>
      <x:c r="M381" s="12" t="str">
        <x:v>negative</x:v>
      </x:c>
      <x:c r="N381" s="12"/>
      <x:c r="O381" s="12" t="str">
        <x:v>negative</x:v>
      </x:c>
      <x:c r="P381" s="12" t="str">
        <x:f>IF(OR(M381="unavailable",O381="unavailable"),"不可评价",IF(OR(M381="equivocal",O381="equivocal"),"疑似",IF(AND(M381="positive",O381="positive"),"a",IF(O381="positive","b",IF(M381="positive","c","d")))))</x:f>
        <x:v>d</x:v>
      </x:c>
      <x:c r="Q381" s="12"/>
      <x:c r="R381" s="12" t="str">
        <x:v>negative</x:v>
      </x:c>
      <x:c r="S381" s="12"/>
      <x:c r="T381" s="12" t="str">
        <x:v>negative</x:v>
      </x:c>
      <x:c r="U381" s="12" t="str">
        <x:f>IF(OR(R381="unavailable",T381="unavailable"),"不可评价",IF(OR(R381="equivocal",T381="equivocal"),"疑似",IF(AND(R381="positive",T381="positive"),"a",IF(T381="positive","b",IF(R381="positive","c","d")))))</x:f>
        <x:v>d</x:v>
      </x:c>
      <x:c r="V381" s="12"/>
      <x:c r="W381" s="12" t="str">
        <x:v>negative</x:v>
      </x:c>
      <x:c r="X381" s="12"/>
      <x:c r="Y381" s="12" t="str">
        <x:v>negative</x:v>
      </x:c>
      <x:c r="Z381" s="12" t="str">
        <x:f>IF(OR(W381="unavailable",Y381="unavailable"),"不可评价",IF(OR(W381="equivocal",Y381="equivocal"),"疑似",IF(AND(W381="positive",Y381="positive"),"a",IF(Y381="positive","b",IF(W381="positive","c","d")))))</x:f>
        <x:v>d</x:v>
      </x:c>
      <x:c r="AA381" s="12" t="str">
        <x:f>IF(OR(M381="unavailable",O381="unavailable"),"不可评价",IF(AND(OR(M381="positive",M381="equivocal"),OR(O381="positive",O381="equivocal")),"a",IF(OR(O381="positive",O381="equivocal"),"b",IF(OR(M381="positive",M381="equivocal"),"c","d"))))</x:f>
        <x:v>d</x:v>
      </x:c>
      <x:c r="AB381" s="12" t="str">
        <x:f>IF(OR(M381="unavailable",O381="unavailable"),"不可评价",IF(AND(M381="positive",O381="positive"),"a",IF(O381="positive","b",IF(M381="positive","c","d"))))</x:f>
        <x:v>d</x:v>
      </x:c>
      <x:c r="AC381" s="12" t="str">
        <x:f>IF(OR(R381="unavailable",T381="unavailable"),"不可评价",IF(AND(OR(R381="positive",R381="equivocal"),OR(T381="positive",T381="equivocal")),"a",IF(OR(T381="positive",T381="equivocal"),"b",IF(OR(R381="positive",R381="equivocal"),"c","d"))))</x:f>
        <x:v>d</x:v>
      </x:c>
      <x:c r="AD381" s="12" t="str">
        <x:f>IF(OR(R381="unavailable",T381="unavailable"),"不可评价",IF(AND(R381="positive",T381="positive"),"a",IF(T381="positive","b",IF(R381="positive","c","d"))))</x:f>
        <x:v>d</x:v>
      </x:c>
      <x:c r="AE381" s="12" t="str">
        <x:f>IF(OR(W381="unavailable",Y381="unavailable"),"不可评价",IF(AND(OR(W381="positive",W381="equivocal"),OR(Y381="positive",Y381="equivocal")),"a",IF(OR(Y381="positive",Y381="equivocal"),"b",IF(OR(W381="positive",W381="equivocal"),"c","d"))))</x:f>
        <x:v>d</x:v>
      </x:c>
      <x:c r="AF381" s="12" t="str">
        <x:f>IF(OR(W381="unavailable",Y381="unavailable"),"不可评价",IF(AND(W381="positive",Y381="positive"),"a",IF(Y381="positive","b",IF(W381="positive","c","d"))))</x:f>
        <x:v>d</x:v>
      </x:c>
    </x:row>
    <x:row r="382" ht="24" customHeight="1">
      <x:c r="A382" s="12" t="str">
        <x:v>2965</x:v>
      </x:c>
      <x:c r="B382" s="12" t="str">
        <x:v>21328</x:v>
      </x:c>
      <x:c r="C382" s="21" t="n">
        <x:v>32684.691886574074</x:v>
      </x:c>
      <x:c r="D382" s="12" t="n">
        <x:v>61</x:v>
      </x:c>
      <x:c r="E382" s="12" t="n">
        <x:v>1</x:v>
      </x:c>
      <x:c r="F382" s="12" t="str">
        <x:v>未记录</x:v>
      </x:c>
      <x:c r="G382" s="12" t="n">
        <x:v>1</x:v>
      </x:c>
      <x:c r="H382" s="12" t="str">
        <x:v>{'NORM': 80.0, 'SR': 0.0}</x:v>
      </x:c>
      <x:c r="I382" s="12" t="str">
        <x:v>[('NSR', 100.0), ('NML', 100.0)]</x:v>
      </x:c>
      <x:c r="J382" s="12" t="str">
        <x:v>ptbxl_database.csv；ecg_id=2965；scp_codes</x:v>
      </x:c>
      <x:c r="K382" s="12" t="str">
        <x:v>12sl_statements.csv；ecg_id=2965；statements_ext_snomed</x:v>
      </x:c>
      <x:c r="L382" s="12"/>
      <x:c r="M382" s="12" t="str">
        <x:v>negative</x:v>
      </x:c>
      <x:c r="N382" s="12"/>
      <x:c r="O382" s="12" t="str">
        <x:v>negative</x:v>
      </x:c>
      <x:c r="P382" s="12" t="str">
        <x:f>IF(OR(M382="unavailable",O382="unavailable"),"不可评价",IF(OR(M382="equivocal",O382="equivocal"),"疑似",IF(AND(M382="positive",O382="positive"),"a",IF(O382="positive","b",IF(M382="positive","c","d")))))</x:f>
        <x:v>d</x:v>
      </x:c>
      <x:c r="Q382" s="12"/>
      <x:c r="R382" s="12" t="str">
        <x:v>negative</x:v>
      </x:c>
      <x:c r="S382" s="12"/>
      <x:c r="T382" s="12" t="str">
        <x:v>negative</x:v>
      </x:c>
      <x:c r="U382" s="12" t="str">
        <x:f>IF(OR(R382="unavailable",T382="unavailable"),"不可评价",IF(OR(R382="equivocal",T382="equivocal"),"疑似",IF(AND(R382="positive",T382="positive"),"a",IF(T382="positive","b",IF(R382="positive","c","d")))))</x:f>
        <x:v>d</x:v>
      </x:c>
      <x:c r="V382" s="12"/>
      <x:c r="W382" s="12" t="str">
        <x:v>negative</x:v>
      </x:c>
      <x:c r="X382" s="12"/>
      <x:c r="Y382" s="12" t="str">
        <x:v>negative</x:v>
      </x:c>
      <x:c r="Z382" s="12" t="str">
        <x:f>IF(OR(W382="unavailable",Y382="unavailable"),"不可评价",IF(OR(W382="equivocal",Y382="equivocal"),"疑似",IF(AND(W382="positive",Y382="positive"),"a",IF(Y382="positive","b",IF(W382="positive","c","d")))))</x:f>
        <x:v>d</x:v>
      </x:c>
      <x:c r="AA382" s="12" t="str">
        <x:f>IF(OR(M382="unavailable",O382="unavailable"),"不可评价",IF(AND(OR(M382="positive",M382="equivocal"),OR(O382="positive",O382="equivocal")),"a",IF(OR(O382="positive",O382="equivocal"),"b",IF(OR(M382="positive",M382="equivocal"),"c","d"))))</x:f>
        <x:v>d</x:v>
      </x:c>
      <x:c r="AB382" s="12" t="str">
        <x:f>IF(OR(M382="unavailable",O382="unavailable"),"不可评价",IF(AND(M382="positive",O382="positive"),"a",IF(O382="positive","b",IF(M382="positive","c","d"))))</x:f>
        <x:v>d</x:v>
      </x:c>
      <x:c r="AC382" s="12" t="str">
        <x:f>IF(OR(R382="unavailable",T382="unavailable"),"不可评价",IF(AND(OR(R382="positive",R382="equivocal"),OR(T382="positive",T382="equivocal")),"a",IF(OR(T382="positive",T382="equivocal"),"b",IF(OR(R382="positive",R382="equivocal"),"c","d"))))</x:f>
        <x:v>d</x:v>
      </x:c>
      <x:c r="AD382" s="12" t="str">
        <x:f>IF(OR(R382="unavailable",T382="unavailable"),"不可评价",IF(AND(R382="positive",T382="positive"),"a",IF(T382="positive","b",IF(R382="positive","c","d"))))</x:f>
        <x:v>d</x:v>
      </x:c>
      <x:c r="AE382" s="12" t="str">
        <x:f>IF(OR(W382="unavailable",Y382="unavailable"),"不可评价",IF(AND(OR(W382="positive",W382="equivocal"),OR(Y382="positive",Y382="equivocal")),"a",IF(OR(Y382="positive",Y382="equivocal"),"b",IF(OR(W382="positive",W382="equivocal"),"c","d"))))</x:f>
        <x:v>d</x:v>
      </x:c>
      <x:c r="AF382" s="12" t="str">
        <x:f>IF(OR(W382="unavailable",Y382="unavailable"),"不可评价",IF(AND(W382="positive",Y382="positive"),"a",IF(Y382="positive","b",IF(W382="positive","c","d"))))</x:f>
        <x:v>d</x:v>
      </x:c>
    </x:row>
    <x:row r="383" ht="24" customHeight="1">
      <x:c r="A383" s="12" t="str">
        <x:v>2987</x:v>
      </x:c>
      <x:c r="B383" s="12" t="str">
        <x:v>7011</x:v>
      </x:c>
      <x:c r="C383" s="21" t="n">
        <x:v>32686.646956018518</x:v>
      </x:c>
      <x:c r="D383" s="12" t="n">
        <x:v>19</x:v>
      </x:c>
      <x:c r="E383" s="12" t="n">
        <x:v>1</x:v>
      </x:c>
      <x:c r="F383" s="12" t="str">
        <x:v>未记录</x:v>
      </x:c>
      <x:c r="G383" s="12" t="n">
        <x:v>1</x:v>
      </x:c>
      <x:c r="H383" s="12" t="str">
        <x:v>{'NORM': 100.0, 'SR': 0.0}</x:v>
      </x:c>
      <x:c r="I383" s="12" t="str">
        <x:v>[('NSR', 100.0), ('NML', 100.0)]</x:v>
      </x:c>
      <x:c r="J383" s="12" t="str">
        <x:v>ptbxl_database.csv；ecg_id=2987；scp_codes</x:v>
      </x:c>
      <x:c r="K383" s="12" t="str">
        <x:v>12sl_statements.csv；ecg_id=2987；statements_ext_snomed</x:v>
      </x:c>
      <x:c r="L383" s="12"/>
      <x:c r="M383" s="12" t="str">
        <x:v>negative</x:v>
      </x:c>
      <x:c r="N383" s="12"/>
      <x:c r="O383" s="12" t="str">
        <x:v>negative</x:v>
      </x:c>
      <x:c r="P383" s="12" t="str">
        <x:f>IF(OR(M383="unavailable",O383="unavailable"),"不可评价",IF(OR(M383="equivocal",O383="equivocal"),"疑似",IF(AND(M383="positive",O383="positive"),"a",IF(O383="positive","b",IF(M383="positive","c","d")))))</x:f>
        <x:v>d</x:v>
      </x:c>
      <x:c r="Q383" s="12"/>
      <x:c r="R383" s="12" t="str">
        <x:v>negative</x:v>
      </x:c>
      <x:c r="S383" s="12"/>
      <x:c r="T383" s="12" t="str">
        <x:v>negative</x:v>
      </x:c>
      <x:c r="U383" s="12" t="str">
        <x:f>IF(OR(R383="unavailable",T383="unavailable"),"不可评价",IF(OR(R383="equivocal",T383="equivocal"),"疑似",IF(AND(R383="positive",T383="positive"),"a",IF(T383="positive","b",IF(R383="positive","c","d")))))</x:f>
        <x:v>d</x:v>
      </x:c>
      <x:c r="V383" s="12"/>
      <x:c r="W383" s="12" t="str">
        <x:v>negative</x:v>
      </x:c>
      <x:c r="X383" s="12"/>
      <x:c r="Y383" s="12" t="str">
        <x:v>negative</x:v>
      </x:c>
      <x:c r="Z383" s="12" t="str">
        <x:f>IF(OR(W383="unavailable",Y383="unavailable"),"不可评价",IF(OR(W383="equivocal",Y383="equivocal"),"疑似",IF(AND(W383="positive",Y383="positive"),"a",IF(Y383="positive","b",IF(W383="positive","c","d")))))</x:f>
        <x:v>d</x:v>
      </x:c>
      <x:c r="AA383" s="12" t="str">
        <x:f>IF(OR(M383="unavailable",O383="unavailable"),"不可评价",IF(AND(OR(M383="positive",M383="equivocal"),OR(O383="positive",O383="equivocal")),"a",IF(OR(O383="positive",O383="equivocal"),"b",IF(OR(M383="positive",M383="equivocal"),"c","d"))))</x:f>
        <x:v>d</x:v>
      </x:c>
      <x:c r="AB383" s="12" t="str">
        <x:f>IF(OR(M383="unavailable",O383="unavailable"),"不可评价",IF(AND(M383="positive",O383="positive"),"a",IF(O383="positive","b",IF(M383="positive","c","d"))))</x:f>
        <x:v>d</x:v>
      </x:c>
      <x:c r="AC383" s="12" t="str">
        <x:f>IF(OR(R383="unavailable",T383="unavailable"),"不可评价",IF(AND(OR(R383="positive",R383="equivocal"),OR(T383="positive",T383="equivocal")),"a",IF(OR(T383="positive",T383="equivocal"),"b",IF(OR(R383="positive",R383="equivocal"),"c","d"))))</x:f>
        <x:v>d</x:v>
      </x:c>
      <x:c r="AD383" s="12" t="str">
        <x:f>IF(OR(R383="unavailable",T383="unavailable"),"不可评价",IF(AND(R383="positive",T383="positive"),"a",IF(T383="positive","b",IF(R383="positive","c","d"))))</x:f>
        <x:v>d</x:v>
      </x:c>
      <x:c r="AE383" s="12" t="str">
        <x:f>IF(OR(W383="unavailable",Y383="unavailable"),"不可评价",IF(AND(OR(W383="positive",W383="equivocal"),OR(Y383="positive",Y383="equivocal")),"a",IF(OR(Y383="positive",Y383="equivocal"),"b",IF(OR(W383="positive",W383="equivocal"),"c","d"))))</x:f>
        <x:v>d</x:v>
      </x:c>
      <x:c r="AF383" s="12" t="str">
        <x:f>IF(OR(W383="unavailable",Y383="unavailable"),"不可评价",IF(AND(W383="positive",Y383="positive"),"a",IF(Y383="positive","b",IF(W383="positive","c","d"))))</x:f>
        <x:v>d</x:v>
      </x:c>
    </x:row>
    <x:row r="384" ht="39" customHeight="1">
      <x:c r="A384" s="12" t="str">
        <x:v>3009</x:v>
      </x:c>
      <x:c r="B384" s="12" t="str">
        <x:v>3399</x:v>
      </x:c>
      <x:c r="C384" s="21" t="n">
        <x:v>32690.278611111113</x:v>
      </x:c>
      <x:c r="D384" s="12" t="n">
        <x:v>62</x:v>
      </x:c>
      <x:c r="E384" s="12" t="n">
        <x:v>1</x:v>
      </x:c>
      <x:c r="F384" s="12" t="str">
        <x:v>未记录</x:v>
      </x:c>
      <x:c r="G384" s="12" t="n">
        <x:v>1</x:v>
      </x:c>
      <x:c r="H384" s="12" t="str">
        <x:v>{'IMI': 50.0, 'NDT': 100.0, 'DIG': 50.0, 'QWAVE': 0.0, 'LOWT': 0.0, 'STD_': 0.0, 'AFIB': 0.0}</x:v>
      </x:c>
      <x:c r="I384" s="12" t="str">
        <x:v>[('AFIB', 100.0), ('IMI;AU', 100.0), ('AB', 100.0)]</x:v>
      </x:c>
      <x:c r="J384" s="12" t="str">
        <x:v>ptbxl_database.csv；ecg_id=3009；scp_codes</x:v>
      </x:c>
      <x:c r="K384" s="12" t="str">
        <x:v>12sl_statements.csv；ecg_id=3009；statements_ext_snomed</x:v>
      </x:c>
      <x:c r="L384" s="12" t="n">
        <x:v>0</x:v>
      </x:c>
      <x:c r="M384" s="12" t="str">
        <x:v>positive</x:v>
      </x:c>
      <x:c r="N384" s="12" t="n">
        <x:v>100</x:v>
      </x:c>
      <x:c r="O384" s="12" t="str">
        <x:v>positive</x:v>
      </x:c>
      <x:c r="P384" s="12" t="str">
        <x:f>IF(OR(M384="unavailable",O384="unavailable"),"不可评价",IF(OR(M384="equivocal",O384="equivocal"),"疑似",IF(AND(M384="positive",O384="positive"),"a",IF(O384="positive","b",IF(M384="positive","c","d")))))</x:f>
        <x:v>a</x:v>
      </x:c>
      <x:c r="Q384" s="12"/>
      <x:c r="R384" s="12" t="str">
        <x:v>negative</x:v>
      </x:c>
      <x:c r="S384" s="12"/>
      <x:c r="T384" s="12" t="str">
        <x:v>negative</x:v>
      </x:c>
      <x:c r="U384" s="12" t="str">
        <x:f>IF(OR(R384="unavailable",T384="unavailable"),"不可评价",IF(OR(R384="equivocal",T384="equivocal"),"疑似",IF(AND(R384="positive",T384="positive"),"a",IF(T384="positive","b",IF(R384="positive","c","d")))))</x:f>
        <x:v>d</x:v>
      </x:c>
      <x:c r="V384" s="12"/>
      <x:c r="W384" s="12" t="str">
        <x:v>negative</x:v>
      </x:c>
      <x:c r="X384" s="12"/>
      <x:c r="Y384" s="12" t="str">
        <x:v>negative</x:v>
      </x:c>
      <x:c r="Z384" s="12" t="str">
        <x:f>IF(OR(W384="unavailable",Y384="unavailable"),"不可评价",IF(OR(W384="equivocal",Y384="equivocal"),"疑似",IF(AND(W384="positive",Y384="positive"),"a",IF(Y384="positive","b",IF(W384="positive","c","d")))))</x:f>
        <x:v>d</x:v>
      </x:c>
      <x:c r="AA384" s="12" t="str">
        <x:f>IF(OR(M384="unavailable",O384="unavailable"),"不可评价",IF(AND(OR(M384="positive",M384="equivocal"),OR(O384="positive",O384="equivocal")),"a",IF(OR(O384="positive",O384="equivocal"),"b",IF(OR(M384="positive",M384="equivocal"),"c","d"))))</x:f>
        <x:v>a</x:v>
      </x:c>
      <x:c r="AB384" s="12" t="str">
        <x:f>IF(OR(M384="unavailable",O384="unavailable"),"不可评价",IF(AND(M384="positive",O384="positive"),"a",IF(O384="positive","b",IF(M384="positive","c","d"))))</x:f>
        <x:v>a</x:v>
      </x:c>
      <x:c r="AC384" s="12" t="str">
        <x:f>IF(OR(R384="unavailable",T384="unavailable"),"不可评价",IF(AND(OR(R384="positive",R384="equivocal"),OR(T384="positive",T384="equivocal")),"a",IF(OR(T384="positive",T384="equivocal"),"b",IF(OR(R384="positive",R384="equivocal"),"c","d"))))</x:f>
        <x:v>d</x:v>
      </x:c>
      <x:c r="AD384" s="12" t="str">
        <x:f>IF(OR(R384="unavailable",T384="unavailable"),"不可评价",IF(AND(R384="positive",T384="positive"),"a",IF(T384="positive","b",IF(R384="positive","c","d"))))</x:f>
        <x:v>d</x:v>
      </x:c>
      <x:c r="AE384" s="12" t="str">
        <x:f>IF(OR(W384="unavailable",Y384="unavailable"),"不可评价",IF(AND(OR(W384="positive",W384="equivocal"),OR(Y384="positive",Y384="equivocal")),"a",IF(OR(Y384="positive",Y384="equivocal"),"b",IF(OR(W384="positive",W384="equivocal"),"c","d"))))</x:f>
        <x:v>d</x:v>
      </x:c>
      <x:c r="AF384" s="12" t="str">
        <x:f>IF(OR(W384="unavailable",Y384="unavailable"),"不可评价",IF(AND(W384="positive",Y384="positive"),"a",IF(Y384="positive","b",IF(W384="positive","c","d"))))</x:f>
        <x:v>d</x:v>
      </x:c>
    </x:row>
    <x:row r="385" ht="24" customHeight="1">
      <x:c r="A385" s="12" t="str">
        <x:v>3022</x:v>
      </x:c>
      <x:c r="B385" s="12" t="str">
        <x:v>3635</x:v>
      </x:c>
      <x:c r="C385" s="21" t="n">
        <x:v>32691.471331018518</x:v>
      </x:c>
      <x:c r="D385" s="12" t="n">
        <x:v>75</x:v>
      </x:c>
      <x:c r="E385" s="12" t="n">
        <x:v>1</x:v>
      </x:c>
      <x:c r="F385" s="12" t="str">
        <x:v>未记录</x:v>
      </x:c>
      <x:c r="G385" s="12" t="n">
        <x:v>1</x:v>
      </x:c>
      <x:c r="H385" s="12" t="str">
        <x:v>{'NORM': 100.0, 'SR': 0.0}</x:v>
      </x:c>
      <x:c r="I385" s="12" t="str">
        <x:v>[('NSR', 100.0), ('NML', 100.0)]</x:v>
      </x:c>
      <x:c r="J385" s="12" t="str">
        <x:v>ptbxl_database.csv；ecg_id=3022；scp_codes</x:v>
      </x:c>
      <x:c r="K385" s="12" t="str">
        <x:v>12sl_statements.csv；ecg_id=3022；statements_ext_snomed</x:v>
      </x:c>
      <x:c r="L385" s="12"/>
      <x:c r="M385" s="12" t="str">
        <x:v>negative</x:v>
      </x:c>
      <x:c r="N385" s="12"/>
      <x:c r="O385" s="12" t="str">
        <x:v>negative</x:v>
      </x:c>
      <x:c r="P385" s="12" t="str">
        <x:f>IF(OR(M385="unavailable",O385="unavailable"),"不可评价",IF(OR(M385="equivocal",O385="equivocal"),"疑似",IF(AND(M385="positive",O385="positive"),"a",IF(O385="positive","b",IF(M385="positive","c","d")))))</x:f>
        <x:v>d</x:v>
      </x:c>
      <x:c r="Q385" s="12"/>
      <x:c r="R385" s="12" t="str">
        <x:v>negative</x:v>
      </x:c>
      <x:c r="S385" s="12"/>
      <x:c r="T385" s="12" t="str">
        <x:v>negative</x:v>
      </x:c>
      <x:c r="U385" s="12" t="str">
        <x:f>IF(OR(R385="unavailable",T385="unavailable"),"不可评价",IF(OR(R385="equivocal",T385="equivocal"),"疑似",IF(AND(R385="positive",T385="positive"),"a",IF(T385="positive","b",IF(R385="positive","c","d")))))</x:f>
        <x:v>d</x:v>
      </x:c>
      <x:c r="V385" s="12"/>
      <x:c r="W385" s="12" t="str">
        <x:v>negative</x:v>
      </x:c>
      <x:c r="X385" s="12"/>
      <x:c r="Y385" s="12" t="str">
        <x:v>negative</x:v>
      </x:c>
      <x:c r="Z385" s="12" t="str">
        <x:f>IF(OR(W385="unavailable",Y385="unavailable"),"不可评价",IF(OR(W385="equivocal",Y385="equivocal"),"疑似",IF(AND(W385="positive",Y385="positive"),"a",IF(Y385="positive","b",IF(W385="positive","c","d")))))</x:f>
        <x:v>d</x:v>
      </x:c>
      <x:c r="AA385" s="12" t="str">
        <x:f>IF(OR(M385="unavailable",O385="unavailable"),"不可评价",IF(AND(OR(M385="positive",M385="equivocal"),OR(O385="positive",O385="equivocal")),"a",IF(OR(O385="positive",O385="equivocal"),"b",IF(OR(M385="positive",M385="equivocal"),"c","d"))))</x:f>
        <x:v>d</x:v>
      </x:c>
      <x:c r="AB385" s="12" t="str">
        <x:f>IF(OR(M385="unavailable",O385="unavailable"),"不可评价",IF(AND(M385="positive",O385="positive"),"a",IF(O385="positive","b",IF(M385="positive","c","d"))))</x:f>
        <x:v>d</x:v>
      </x:c>
      <x:c r="AC385" s="12" t="str">
        <x:f>IF(OR(R385="unavailable",T385="unavailable"),"不可评价",IF(AND(OR(R385="positive",R385="equivocal"),OR(T385="positive",T385="equivocal")),"a",IF(OR(T385="positive",T385="equivocal"),"b",IF(OR(R385="positive",R385="equivocal"),"c","d"))))</x:f>
        <x:v>d</x:v>
      </x:c>
      <x:c r="AD385" s="12" t="str">
        <x:f>IF(OR(R385="unavailable",T385="unavailable"),"不可评价",IF(AND(R385="positive",T385="positive"),"a",IF(T385="positive","b",IF(R385="positive","c","d"))))</x:f>
        <x:v>d</x:v>
      </x:c>
      <x:c r="AE385" s="12" t="str">
        <x:f>IF(OR(W385="unavailable",Y385="unavailable"),"不可评价",IF(AND(OR(W385="positive",W385="equivocal"),OR(Y385="positive",Y385="equivocal")),"a",IF(OR(Y385="positive",Y385="equivocal"),"b",IF(OR(W385="positive",W385="equivocal"),"c","d"))))</x:f>
        <x:v>d</x:v>
      </x:c>
      <x:c r="AF385" s="12" t="str">
        <x:f>IF(OR(W385="unavailable",Y385="unavailable"),"不可评价",IF(AND(W385="positive",Y385="positive"),"a",IF(Y385="positive","b",IF(W385="positive","c","d"))))</x:f>
        <x:v>d</x:v>
      </x:c>
    </x:row>
    <x:row r="386" ht="24" customHeight="1">
      <x:c r="A386" s="12" t="str">
        <x:v>3027</x:v>
      </x:c>
      <x:c r="B386" s="12" t="str">
        <x:v>15767</x:v>
      </x:c>
      <x:c r="C386" s="21" t="n">
        <x:v>32691.58127314815</x:v>
      </x:c>
      <x:c r="D386" s="12" t="n">
        <x:v>32</x:v>
      </x:c>
      <x:c r="E386" s="12" t="n">
        <x:v>0</x:v>
      </x:c>
      <x:c r="F386" s="12" t="str">
        <x:v>存在</x:v>
      </x:c>
      <x:c r="G386" s="12" t="n">
        <x:v>1</x:v>
      </x:c>
      <x:c r="H386" s="12" t="str">
        <x:v>{'NORM': 50.0, 'VCLVH': 0.0, 'SR': 0.0}</x:v>
      </x:c>
      <x:c r="I386" s="12" t="str">
        <x:v>[('SBRAD', 100.0), ('SERYR2', 100.0), ('BORDE', 100.0)]</x:v>
      </x:c>
      <x:c r="J386" s="12" t="str">
        <x:v>ptbxl_database.csv；ecg_id=3027；scp_codes</x:v>
      </x:c>
      <x:c r="K386" s="12" t="str">
        <x:v>12sl_statements.csv；ecg_id=3027；statements_ext_snomed</x:v>
      </x:c>
      <x:c r="L386" s="12"/>
      <x:c r="M386" s="12" t="str">
        <x:v>negative</x:v>
      </x:c>
      <x:c r="N386" s="12"/>
      <x:c r="O386" s="12" t="str">
        <x:v>negative</x:v>
      </x:c>
      <x:c r="P386" s="12" t="str">
        <x:f>IF(OR(M386="unavailable",O386="unavailable"),"不可评价",IF(OR(M386="equivocal",O386="equivocal"),"疑似",IF(AND(M386="positive",O386="positive"),"a",IF(O386="positive","b",IF(M386="positive","c","d")))))</x:f>
        <x:v>d</x:v>
      </x:c>
      <x:c r="Q386" s="12"/>
      <x:c r="R386" s="12" t="str">
        <x:v>negative</x:v>
      </x:c>
      <x:c r="S386" s="12"/>
      <x:c r="T386" s="12" t="str">
        <x:v>negative</x:v>
      </x:c>
      <x:c r="U386" s="12" t="str">
        <x:f>IF(OR(R386="unavailable",T386="unavailable"),"不可评价",IF(OR(R386="equivocal",T386="equivocal"),"疑似",IF(AND(R386="positive",T386="positive"),"a",IF(T386="positive","b",IF(R386="positive","c","d")))))</x:f>
        <x:v>d</x:v>
      </x:c>
      <x:c r="V386" s="12"/>
      <x:c r="W386" s="12" t="str">
        <x:v>negative</x:v>
      </x:c>
      <x:c r="X386" s="12"/>
      <x:c r="Y386" s="12" t="str">
        <x:v>negative</x:v>
      </x:c>
      <x:c r="Z386" s="12" t="str">
        <x:f>IF(OR(W386="unavailable",Y386="unavailable"),"不可评价",IF(OR(W386="equivocal",Y386="equivocal"),"疑似",IF(AND(W386="positive",Y386="positive"),"a",IF(Y386="positive","b",IF(W386="positive","c","d")))))</x:f>
        <x:v>d</x:v>
      </x:c>
      <x:c r="AA386" s="12" t="str">
        <x:f>IF(OR(M386="unavailable",O386="unavailable"),"不可评价",IF(AND(OR(M386="positive",M386="equivocal"),OR(O386="positive",O386="equivocal")),"a",IF(OR(O386="positive",O386="equivocal"),"b",IF(OR(M386="positive",M386="equivocal"),"c","d"))))</x:f>
        <x:v>d</x:v>
      </x:c>
      <x:c r="AB386" s="12" t="str">
        <x:f>IF(OR(M386="unavailable",O386="unavailable"),"不可评价",IF(AND(M386="positive",O386="positive"),"a",IF(O386="positive","b",IF(M386="positive","c","d"))))</x:f>
        <x:v>d</x:v>
      </x:c>
      <x:c r="AC386" s="12" t="str">
        <x:f>IF(OR(R386="unavailable",T386="unavailable"),"不可评价",IF(AND(OR(R386="positive",R386="equivocal"),OR(T386="positive",T386="equivocal")),"a",IF(OR(T386="positive",T386="equivocal"),"b",IF(OR(R386="positive",R386="equivocal"),"c","d"))))</x:f>
        <x:v>d</x:v>
      </x:c>
      <x:c r="AD386" s="12" t="str">
        <x:f>IF(OR(R386="unavailable",T386="unavailable"),"不可评价",IF(AND(R386="positive",T386="positive"),"a",IF(T386="positive","b",IF(R386="positive","c","d"))))</x:f>
        <x:v>d</x:v>
      </x:c>
      <x:c r="AE386" s="12" t="str">
        <x:f>IF(OR(W386="unavailable",Y386="unavailable"),"不可评价",IF(AND(OR(W386="positive",W386="equivocal"),OR(Y386="positive",Y386="equivocal")),"a",IF(OR(Y386="positive",Y386="equivocal"),"b",IF(OR(W386="positive",W386="equivocal"),"c","d"))))</x:f>
        <x:v>d</x:v>
      </x:c>
      <x:c r="AF386" s="12" t="str">
        <x:f>IF(OR(W386="unavailable",Y386="unavailable"),"不可评价",IF(AND(W386="positive",Y386="positive"),"a",IF(Y386="positive","b",IF(W386="positive","c","d"))))</x:f>
        <x:v>d</x:v>
      </x:c>
    </x:row>
    <x:row r="387" ht="24" customHeight="1">
      <x:c r="A387" s="12" t="str">
        <x:v>3033</x:v>
      </x:c>
      <x:c r="B387" s="12" t="str">
        <x:v>20877</x:v>
      </x:c>
      <x:c r="C387" s="21" t="n">
        <x:v>32692.33568287037</x:v>
      </x:c>
      <x:c r="D387" s="12" t="n">
        <x:v>57</x:v>
      </x:c>
      <x:c r="E387" s="12" t="n">
        <x:v>1</x:v>
      </x:c>
      <x:c r="F387" s="12" t="str">
        <x:v>未记录</x:v>
      </x:c>
      <x:c r="G387" s="12" t="n">
        <x:v>1</x:v>
      </x:c>
      <x:c r="H387" s="12" t="str">
        <x:v>{'NDT': 100.0, 'SR': 0.0}</x:v>
      </x:c>
      <x:c r="I387" s="12" t="str">
        <x:v>[('NSR', 100.0), ('NSTT', 100.0), ('AB', 100.0)]</x:v>
      </x:c>
      <x:c r="J387" s="12" t="str">
        <x:v>ptbxl_database.csv；ecg_id=3033；scp_codes</x:v>
      </x:c>
      <x:c r="K387" s="12" t="str">
        <x:v>12sl_statements.csv；ecg_id=3033；statements_ext_snomed</x:v>
      </x:c>
      <x:c r="L387" s="12"/>
      <x:c r="M387" s="12" t="str">
        <x:v>negative</x:v>
      </x:c>
      <x:c r="N387" s="12"/>
      <x:c r="O387" s="12" t="str">
        <x:v>negative</x:v>
      </x:c>
      <x:c r="P387" s="12" t="str">
        <x:f>IF(OR(M387="unavailable",O387="unavailable"),"不可评价",IF(OR(M387="equivocal",O387="equivocal"),"疑似",IF(AND(M387="positive",O387="positive"),"a",IF(O387="positive","b",IF(M387="positive","c","d")))))</x:f>
        <x:v>d</x:v>
      </x:c>
      <x:c r="Q387" s="12"/>
      <x:c r="R387" s="12" t="str">
        <x:v>negative</x:v>
      </x:c>
      <x:c r="S387" s="12"/>
      <x:c r="T387" s="12" t="str">
        <x:v>negative</x:v>
      </x:c>
      <x:c r="U387" s="12" t="str">
        <x:f>IF(OR(R387="unavailable",T387="unavailable"),"不可评价",IF(OR(R387="equivocal",T387="equivocal"),"疑似",IF(AND(R387="positive",T387="positive"),"a",IF(T387="positive","b",IF(R387="positive","c","d")))))</x:f>
        <x:v>d</x:v>
      </x:c>
      <x:c r="V387" s="12"/>
      <x:c r="W387" s="12" t="str">
        <x:v>negative</x:v>
      </x:c>
      <x:c r="X387" s="12"/>
      <x:c r="Y387" s="12" t="str">
        <x:v>negative</x:v>
      </x:c>
      <x:c r="Z387" s="12" t="str">
        <x:f>IF(OR(W387="unavailable",Y387="unavailable"),"不可评价",IF(OR(W387="equivocal",Y387="equivocal"),"疑似",IF(AND(W387="positive",Y387="positive"),"a",IF(Y387="positive","b",IF(W387="positive","c","d")))))</x:f>
        <x:v>d</x:v>
      </x:c>
      <x:c r="AA387" s="12" t="str">
        <x:f>IF(OR(M387="unavailable",O387="unavailable"),"不可评价",IF(AND(OR(M387="positive",M387="equivocal"),OR(O387="positive",O387="equivocal")),"a",IF(OR(O387="positive",O387="equivocal"),"b",IF(OR(M387="positive",M387="equivocal"),"c","d"))))</x:f>
        <x:v>d</x:v>
      </x:c>
      <x:c r="AB387" s="12" t="str">
        <x:f>IF(OR(M387="unavailable",O387="unavailable"),"不可评价",IF(AND(M387="positive",O387="positive"),"a",IF(O387="positive","b",IF(M387="positive","c","d"))))</x:f>
        <x:v>d</x:v>
      </x:c>
      <x:c r="AC387" s="12" t="str">
        <x:f>IF(OR(R387="unavailable",T387="unavailable"),"不可评价",IF(AND(OR(R387="positive",R387="equivocal"),OR(T387="positive",T387="equivocal")),"a",IF(OR(T387="positive",T387="equivocal"),"b",IF(OR(R387="positive",R387="equivocal"),"c","d"))))</x:f>
        <x:v>d</x:v>
      </x:c>
      <x:c r="AD387" s="12" t="str">
        <x:f>IF(OR(R387="unavailable",T387="unavailable"),"不可评价",IF(AND(R387="positive",T387="positive"),"a",IF(T387="positive","b",IF(R387="positive","c","d"))))</x:f>
        <x:v>d</x:v>
      </x:c>
      <x:c r="AE387" s="12" t="str">
        <x:f>IF(OR(W387="unavailable",Y387="unavailable"),"不可评价",IF(AND(OR(W387="positive",W387="equivocal"),OR(Y387="positive",Y387="equivocal")),"a",IF(OR(Y387="positive",Y387="equivocal"),"b",IF(OR(W387="positive",W387="equivocal"),"c","d"))))</x:f>
        <x:v>d</x:v>
      </x:c>
      <x:c r="AF387" s="12" t="str">
        <x:f>IF(OR(W387="unavailable",Y387="unavailable"),"不可评价",IF(AND(W387="positive",Y387="positive"),"a",IF(Y387="positive","b",IF(W387="positive","c","d"))))</x:f>
        <x:v>d</x:v>
      </x:c>
    </x:row>
    <x:row r="388" ht="24" customHeight="1">
      <x:c r="A388" s="12" t="str">
        <x:v>3035</x:v>
      </x:c>
      <x:c r="B388" s="12" t="str">
        <x:v>6841</x:v>
      </x:c>
      <x:c r="C388" s="21" t="n">
        <x:v>32692.533518518518</x:v>
      </x:c>
      <x:c r="D388" s="12" t="n">
        <x:v>70</x:v>
      </x:c>
      <x:c r="E388" s="12" t="n">
        <x:v>1</x:v>
      </x:c>
      <x:c r="F388" s="12" t="str">
        <x:v>未记录</x:v>
      </x:c>
      <x:c r="G388" s="12" t="n">
        <x:v>1</x:v>
      </x:c>
      <x:c r="H388" s="12" t="str">
        <x:v>{'NORM': 80.0, 'IRBBB': 100.0, 'SR': 0.0}</x:v>
      </x:c>
      <x:c r="I388" s="12" t="str">
        <x:v>[('NSR', 100.0), ('NML', 100.0)]</x:v>
      </x:c>
      <x:c r="J388" s="12" t="str">
        <x:v>ptbxl_database.csv；ecg_id=3035；scp_codes</x:v>
      </x:c>
      <x:c r="K388" s="12" t="str">
        <x:v>12sl_statements.csv；ecg_id=3035；statements_ext_snomed</x:v>
      </x:c>
      <x:c r="L388" s="12"/>
      <x:c r="M388" s="12" t="str">
        <x:v>negative</x:v>
      </x:c>
      <x:c r="N388" s="12"/>
      <x:c r="O388" s="12" t="str">
        <x:v>negative</x:v>
      </x:c>
      <x:c r="P388" s="12" t="str">
        <x:f>IF(OR(M388="unavailable",O388="unavailable"),"不可评价",IF(OR(M388="equivocal",O388="equivocal"),"疑似",IF(AND(M388="positive",O388="positive"),"a",IF(O388="positive","b",IF(M388="positive","c","d")))))</x:f>
        <x:v>d</x:v>
      </x:c>
      <x:c r="Q388" s="12"/>
      <x:c r="R388" s="12" t="str">
        <x:v>negative</x:v>
      </x:c>
      <x:c r="S388" s="12"/>
      <x:c r="T388" s="12" t="str">
        <x:v>negative</x:v>
      </x:c>
      <x:c r="U388" s="12" t="str">
        <x:f>IF(OR(R388="unavailable",T388="unavailable"),"不可评价",IF(OR(R388="equivocal",T388="equivocal"),"疑似",IF(AND(R388="positive",T388="positive"),"a",IF(T388="positive","b",IF(R388="positive","c","d")))))</x:f>
        <x:v>d</x:v>
      </x:c>
      <x:c r="V388" s="12"/>
      <x:c r="W388" s="12" t="str">
        <x:v>negative</x:v>
      </x:c>
      <x:c r="X388" s="12"/>
      <x:c r="Y388" s="12" t="str">
        <x:v>negative</x:v>
      </x:c>
      <x:c r="Z388" s="12" t="str">
        <x:f>IF(OR(W388="unavailable",Y388="unavailable"),"不可评价",IF(OR(W388="equivocal",Y388="equivocal"),"疑似",IF(AND(W388="positive",Y388="positive"),"a",IF(Y388="positive","b",IF(W388="positive","c","d")))))</x:f>
        <x:v>d</x:v>
      </x:c>
      <x:c r="AA388" s="12" t="str">
        <x:f>IF(OR(M388="unavailable",O388="unavailable"),"不可评价",IF(AND(OR(M388="positive",M388="equivocal"),OR(O388="positive",O388="equivocal")),"a",IF(OR(O388="positive",O388="equivocal"),"b",IF(OR(M388="positive",M388="equivocal"),"c","d"))))</x:f>
        <x:v>d</x:v>
      </x:c>
      <x:c r="AB388" s="12" t="str">
        <x:f>IF(OR(M388="unavailable",O388="unavailable"),"不可评价",IF(AND(M388="positive",O388="positive"),"a",IF(O388="positive","b",IF(M388="positive","c","d"))))</x:f>
        <x:v>d</x:v>
      </x:c>
      <x:c r="AC388" s="12" t="str">
        <x:f>IF(OR(R388="unavailable",T388="unavailable"),"不可评价",IF(AND(OR(R388="positive",R388="equivocal"),OR(T388="positive",T388="equivocal")),"a",IF(OR(T388="positive",T388="equivocal"),"b",IF(OR(R388="positive",R388="equivocal"),"c","d"))))</x:f>
        <x:v>d</x:v>
      </x:c>
      <x:c r="AD388" s="12" t="str">
        <x:f>IF(OR(R388="unavailable",T388="unavailable"),"不可评价",IF(AND(R388="positive",T388="positive"),"a",IF(T388="positive","b",IF(R388="positive","c","d"))))</x:f>
        <x:v>d</x:v>
      </x:c>
      <x:c r="AE388" s="12" t="str">
        <x:f>IF(OR(W388="unavailable",Y388="unavailable"),"不可评价",IF(AND(OR(W388="positive",W388="equivocal"),OR(Y388="positive",Y388="equivocal")),"a",IF(OR(Y388="positive",Y388="equivocal"),"b",IF(OR(W388="positive",W388="equivocal"),"c","d"))))</x:f>
        <x:v>d</x:v>
      </x:c>
      <x:c r="AF388" s="12" t="str">
        <x:f>IF(OR(W388="unavailable",Y388="unavailable"),"不可评价",IF(AND(W388="positive",Y388="positive"),"a",IF(Y388="positive","b",IF(W388="positive","c","d"))))</x:f>
        <x:v>d</x:v>
      </x:c>
    </x:row>
    <x:row r="389" ht="24" customHeight="1">
      <x:c r="A389" s="12" t="str">
        <x:v>3043</x:v>
      </x:c>
      <x:c r="B389" s="12" t="str">
        <x:v>17136</x:v>
      </x:c>
      <x:c r="C389" s="21" t="n">
        <x:v>32693.356458333332</x:v>
      </x:c>
      <x:c r="D389" s="12" t="n">
        <x:v>36</x:v>
      </x:c>
      <x:c r="E389" s="12" t="n">
        <x:v>0</x:v>
      </x:c>
      <x:c r="F389" s="12" t="str">
        <x:v>未记录</x:v>
      </x:c>
      <x:c r="G389" s="12" t="n">
        <x:v>1</x:v>
      </x:c>
      <x:c r="H389" s="12" t="str">
        <x:v>{'NORM': 100.0, 'SR': 0.0}</x:v>
      </x:c>
      <x:c r="I389" s="12" t="str">
        <x:v>[('NSR', 100.0), ('NML', 100.0)]</x:v>
      </x:c>
      <x:c r="J389" s="12" t="str">
        <x:v>ptbxl_database.csv；ecg_id=3043；scp_codes</x:v>
      </x:c>
      <x:c r="K389" s="12" t="str">
        <x:v>12sl_statements.csv；ecg_id=3043；statements_ext_snomed</x:v>
      </x:c>
      <x:c r="L389" s="12"/>
      <x:c r="M389" s="12" t="str">
        <x:v>negative</x:v>
      </x:c>
      <x:c r="N389" s="12"/>
      <x:c r="O389" s="12" t="str">
        <x:v>negative</x:v>
      </x:c>
      <x:c r="P389" s="12" t="str">
        <x:f>IF(OR(M389="unavailable",O389="unavailable"),"不可评价",IF(OR(M389="equivocal",O389="equivocal"),"疑似",IF(AND(M389="positive",O389="positive"),"a",IF(O389="positive","b",IF(M389="positive","c","d")))))</x:f>
        <x:v>d</x:v>
      </x:c>
      <x:c r="Q389" s="12"/>
      <x:c r="R389" s="12" t="str">
        <x:v>negative</x:v>
      </x:c>
      <x:c r="S389" s="12"/>
      <x:c r="T389" s="12" t="str">
        <x:v>negative</x:v>
      </x:c>
      <x:c r="U389" s="12" t="str">
        <x:f>IF(OR(R389="unavailable",T389="unavailable"),"不可评价",IF(OR(R389="equivocal",T389="equivocal"),"疑似",IF(AND(R389="positive",T389="positive"),"a",IF(T389="positive","b",IF(R389="positive","c","d")))))</x:f>
        <x:v>d</x:v>
      </x:c>
      <x:c r="V389" s="12"/>
      <x:c r="W389" s="12" t="str">
        <x:v>negative</x:v>
      </x:c>
      <x:c r="X389" s="12"/>
      <x:c r="Y389" s="12" t="str">
        <x:v>negative</x:v>
      </x:c>
      <x:c r="Z389" s="12" t="str">
        <x:f>IF(OR(W389="unavailable",Y389="unavailable"),"不可评价",IF(OR(W389="equivocal",Y389="equivocal"),"疑似",IF(AND(W389="positive",Y389="positive"),"a",IF(Y389="positive","b",IF(W389="positive","c","d")))))</x:f>
        <x:v>d</x:v>
      </x:c>
      <x:c r="AA389" s="12" t="str">
        <x:f>IF(OR(M389="unavailable",O389="unavailable"),"不可评价",IF(AND(OR(M389="positive",M389="equivocal"),OR(O389="positive",O389="equivocal")),"a",IF(OR(O389="positive",O389="equivocal"),"b",IF(OR(M389="positive",M389="equivocal"),"c","d"))))</x:f>
        <x:v>d</x:v>
      </x:c>
      <x:c r="AB389" s="12" t="str">
        <x:f>IF(OR(M389="unavailable",O389="unavailable"),"不可评价",IF(AND(M389="positive",O389="positive"),"a",IF(O389="positive","b",IF(M389="positive","c","d"))))</x:f>
        <x:v>d</x:v>
      </x:c>
      <x:c r="AC389" s="12" t="str">
        <x:f>IF(OR(R389="unavailable",T389="unavailable"),"不可评价",IF(AND(OR(R389="positive",R389="equivocal"),OR(T389="positive",T389="equivocal")),"a",IF(OR(T389="positive",T389="equivocal"),"b",IF(OR(R389="positive",R389="equivocal"),"c","d"))))</x:f>
        <x:v>d</x:v>
      </x:c>
      <x:c r="AD389" s="12" t="str">
        <x:f>IF(OR(R389="unavailable",T389="unavailable"),"不可评价",IF(AND(R389="positive",T389="positive"),"a",IF(T389="positive","b",IF(R389="positive","c","d"))))</x:f>
        <x:v>d</x:v>
      </x:c>
      <x:c r="AE389" s="12" t="str">
        <x:f>IF(OR(W389="unavailable",Y389="unavailable"),"不可评价",IF(AND(OR(W389="positive",W389="equivocal"),OR(Y389="positive",Y389="equivocal")),"a",IF(OR(Y389="positive",Y389="equivocal"),"b",IF(OR(W389="positive",W389="equivocal"),"c","d"))))</x:f>
        <x:v>d</x:v>
      </x:c>
      <x:c r="AF389" s="12" t="str">
        <x:f>IF(OR(W389="unavailable",Y389="unavailable"),"不可评价",IF(AND(W389="positive",Y389="positive"),"a",IF(Y389="positive","b",IF(W389="positive","c","d"))))</x:f>
        <x:v>d</x:v>
      </x:c>
    </x:row>
    <x:row r="390" ht="39" customHeight="1">
      <x:c r="A390" s="12" t="str">
        <x:v>3052</x:v>
      </x:c>
      <x:c r="B390" s="12" t="str">
        <x:v>20308</x:v>
      </x:c>
      <x:c r="C390" s="21" t="n">
        <x:v>32694.677731481483</x:v>
      </x:c>
      <x:c r="D390" s="12" t="n">
        <x:v>49</x:v>
      </x:c>
      <x:c r="E390" s="12" t="n">
        <x:v>1</x:v>
      </x:c>
      <x:c r="F390" s="12" t="str">
        <x:v>存在</x:v>
      </x:c>
      <x:c r="G390" s="12" t="n">
        <x:v>1</x:v>
      </x:c>
      <x:c r="H390" s="12" t="str">
        <x:v>{'IMI': 100.0, 'ABQRS': 0.0, 'SR': 0.0}</x:v>
      </x:c>
      <x:c r="I390" s="12" t="str">
        <x:v>[('SRTH', 100.0), ('FAV', 100.0), ('LAD3', 100.0), ('IMI;AU', 100.0), ('AMI;AU', 50.0), ('AB', 100.0)]</x:v>
      </x:c>
      <x:c r="J390" s="12" t="str">
        <x:v>ptbxl_database.csv；ecg_id=3052；scp_codes</x:v>
      </x:c>
      <x:c r="K390" s="12" t="str">
        <x:v>12sl_statements.csv；ecg_id=3052；statements_ext_snomed</x:v>
      </x:c>
      <x:c r="L390" s="12"/>
      <x:c r="M390" s="12" t="str">
        <x:v>negative</x:v>
      </x:c>
      <x:c r="N390" s="12"/>
      <x:c r="O390" s="12" t="str">
        <x:v>negative</x:v>
      </x:c>
      <x:c r="P390" s="12" t="str">
        <x:f>IF(OR(M390="unavailable",O390="unavailable"),"不可评价",IF(OR(M390="equivocal",O390="equivocal"),"疑似",IF(AND(M390="positive",O390="positive"),"a",IF(O390="positive","b",IF(M390="positive","c","d")))))</x:f>
        <x:v>d</x:v>
      </x:c>
      <x:c r="Q390" s="12"/>
      <x:c r="R390" s="12" t="str">
        <x:v>negative</x:v>
      </x:c>
      <x:c r="S390" s="12"/>
      <x:c r="T390" s="12" t="str">
        <x:v>negative</x:v>
      </x:c>
      <x:c r="U390" s="12" t="str">
        <x:f>IF(OR(R390="unavailable",T390="unavailable"),"不可评价",IF(OR(R390="equivocal",T390="equivocal"),"疑似",IF(AND(R390="positive",T390="positive"),"a",IF(T390="positive","b",IF(R390="positive","c","d")))))</x:f>
        <x:v>d</x:v>
      </x:c>
      <x:c r="V390" s="12"/>
      <x:c r="W390" s="12" t="str">
        <x:v>negative</x:v>
      </x:c>
      <x:c r="X390" s="12"/>
      <x:c r="Y390" s="12" t="str">
        <x:v>negative</x:v>
      </x:c>
      <x:c r="Z390" s="12" t="str">
        <x:f>IF(OR(W390="unavailable",Y390="unavailable"),"不可评价",IF(OR(W390="equivocal",Y390="equivocal"),"疑似",IF(AND(W390="positive",Y390="positive"),"a",IF(Y390="positive","b",IF(W390="positive","c","d")))))</x:f>
        <x:v>d</x:v>
      </x:c>
      <x:c r="AA390" s="12" t="str">
        <x:f>IF(OR(M390="unavailable",O390="unavailable"),"不可评价",IF(AND(OR(M390="positive",M390="equivocal"),OR(O390="positive",O390="equivocal")),"a",IF(OR(O390="positive",O390="equivocal"),"b",IF(OR(M390="positive",M390="equivocal"),"c","d"))))</x:f>
        <x:v>d</x:v>
      </x:c>
      <x:c r="AB390" s="12" t="str">
        <x:f>IF(OR(M390="unavailable",O390="unavailable"),"不可评价",IF(AND(M390="positive",O390="positive"),"a",IF(O390="positive","b",IF(M390="positive","c","d"))))</x:f>
        <x:v>d</x:v>
      </x:c>
      <x:c r="AC390" s="12" t="str">
        <x:f>IF(OR(R390="unavailable",T390="unavailable"),"不可评价",IF(AND(OR(R390="positive",R390="equivocal"),OR(T390="positive",T390="equivocal")),"a",IF(OR(T390="positive",T390="equivocal"),"b",IF(OR(R390="positive",R390="equivocal"),"c","d"))))</x:f>
        <x:v>d</x:v>
      </x:c>
      <x:c r="AD390" s="12" t="str">
        <x:f>IF(OR(R390="unavailable",T390="unavailable"),"不可评价",IF(AND(R390="positive",T390="positive"),"a",IF(T390="positive","b",IF(R390="positive","c","d"))))</x:f>
        <x:v>d</x:v>
      </x:c>
      <x:c r="AE390" s="12" t="str">
        <x:f>IF(OR(W390="unavailable",Y390="unavailable"),"不可评价",IF(AND(OR(W390="positive",W390="equivocal"),OR(Y390="positive",Y390="equivocal")),"a",IF(OR(Y390="positive",Y390="equivocal"),"b",IF(OR(W390="positive",W390="equivocal"),"c","d"))))</x:f>
        <x:v>d</x:v>
      </x:c>
      <x:c r="AF390" s="12" t="str">
        <x:f>IF(OR(W390="unavailable",Y390="unavailable"),"不可评价",IF(AND(W390="positive",Y390="positive"),"a",IF(Y390="positive","b",IF(W390="positive","c","d"))))</x:f>
        <x:v>d</x:v>
      </x:c>
    </x:row>
    <x:row r="391" ht="24" customHeight="1">
      <x:c r="A391" s="12" t="str">
        <x:v>3060</x:v>
      </x:c>
      <x:c r="B391" s="12" t="str">
        <x:v>2251</x:v>
      </x:c>
      <x:c r="C391" s="21" t="n">
        <x:v>32696.54912037037</x:v>
      </x:c>
      <x:c r="D391" s="12" t="n">
        <x:v>67</x:v>
      </x:c>
      <x:c r="E391" s="12" t="n">
        <x:v>1</x:v>
      </x:c>
      <x:c r="F391" s="12" t="str">
        <x:v>未记录</x:v>
      </x:c>
      <x:c r="G391" s="12" t="n">
        <x:v>1</x:v>
      </x:c>
      <x:c r="H391" s="12" t="str">
        <x:v>{'NORM': 100.0, 'SR': 0.0}</x:v>
      </x:c>
      <x:c r="I391" s="12" t="str">
        <x:v>[('SBRAD', 100.0), ('ABR', 100.0)]</x:v>
      </x:c>
      <x:c r="J391" s="12" t="str">
        <x:v>ptbxl_database.csv；ecg_id=3060；scp_codes</x:v>
      </x:c>
      <x:c r="K391" s="12" t="str">
        <x:v>12sl_statements.csv；ecg_id=3060；statements_ext_snomed</x:v>
      </x:c>
      <x:c r="L391" s="12"/>
      <x:c r="M391" s="12" t="str">
        <x:v>negative</x:v>
      </x:c>
      <x:c r="N391" s="12"/>
      <x:c r="O391" s="12" t="str">
        <x:v>negative</x:v>
      </x:c>
      <x:c r="P391" s="12" t="str">
        <x:f>IF(OR(M391="unavailable",O391="unavailable"),"不可评价",IF(OR(M391="equivocal",O391="equivocal"),"疑似",IF(AND(M391="positive",O391="positive"),"a",IF(O391="positive","b",IF(M391="positive","c","d")))))</x:f>
        <x:v>d</x:v>
      </x:c>
      <x:c r="Q391" s="12"/>
      <x:c r="R391" s="12" t="str">
        <x:v>negative</x:v>
      </x:c>
      <x:c r="S391" s="12"/>
      <x:c r="T391" s="12" t="str">
        <x:v>negative</x:v>
      </x:c>
      <x:c r="U391" s="12" t="str">
        <x:f>IF(OR(R391="unavailable",T391="unavailable"),"不可评价",IF(OR(R391="equivocal",T391="equivocal"),"疑似",IF(AND(R391="positive",T391="positive"),"a",IF(T391="positive","b",IF(R391="positive","c","d")))))</x:f>
        <x:v>d</x:v>
      </x:c>
      <x:c r="V391" s="12"/>
      <x:c r="W391" s="12" t="str">
        <x:v>negative</x:v>
      </x:c>
      <x:c r="X391" s="12"/>
      <x:c r="Y391" s="12" t="str">
        <x:v>negative</x:v>
      </x:c>
      <x:c r="Z391" s="12" t="str">
        <x:f>IF(OR(W391="unavailable",Y391="unavailable"),"不可评价",IF(OR(W391="equivocal",Y391="equivocal"),"疑似",IF(AND(W391="positive",Y391="positive"),"a",IF(Y391="positive","b",IF(W391="positive","c","d")))))</x:f>
        <x:v>d</x:v>
      </x:c>
      <x:c r="AA391" s="12" t="str">
        <x:f>IF(OR(M391="unavailable",O391="unavailable"),"不可评价",IF(AND(OR(M391="positive",M391="equivocal"),OR(O391="positive",O391="equivocal")),"a",IF(OR(O391="positive",O391="equivocal"),"b",IF(OR(M391="positive",M391="equivocal"),"c","d"))))</x:f>
        <x:v>d</x:v>
      </x:c>
      <x:c r="AB391" s="12" t="str">
        <x:f>IF(OR(M391="unavailable",O391="unavailable"),"不可评价",IF(AND(M391="positive",O391="positive"),"a",IF(O391="positive","b",IF(M391="positive","c","d"))))</x:f>
        <x:v>d</x:v>
      </x:c>
      <x:c r="AC391" s="12" t="str">
        <x:f>IF(OR(R391="unavailable",T391="unavailable"),"不可评价",IF(AND(OR(R391="positive",R391="equivocal"),OR(T391="positive",T391="equivocal")),"a",IF(OR(T391="positive",T391="equivocal"),"b",IF(OR(R391="positive",R391="equivocal"),"c","d"))))</x:f>
        <x:v>d</x:v>
      </x:c>
      <x:c r="AD391" s="12" t="str">
        <x:f>IF(OR(R391="unavailable",T391="unavailable"),"不可评价",IF(AND(R391="positive",T391="positive"),"a",IF(T391="positive","b",IF(R391="positive","c","d"))))</x:f>
        <x:v>d</x:v>
      </x:c>
      <x:c r="AE391" s="12" t="str">
        <x:f>IF(OR(W391="unavailable",Y391="unavailable"),"不可评价",IF(AND(OR(W391="positive",W391="equivocal"),OR(Y391="positive",Y391="equivocal")),"a",IF(OR(Y391="positive",Y391="equivocal"),"b",IF(OR(W391="positive",W391="equivocal"),"c","d"))))</x:f>
        <x:v>d</x:v>
      </x:c>
      <x:c r="AF391" s="12" t="str">
        <x:f>IF(OR(W391="unavailable",Y391="unavailable"),"不可评价",IF(AND(W391="positive",Y391="positive"),"a",IF(Y391="positive","b",IF(W391="positive","c","d"))))</x:f>
        <x:v>d</x:v>
      </x:c>
    </x:row>
    <x:row r="392" ht="24" customHeight="1">
      <x:c r="A392" s="12" t="str">
        <x:v>3073</x:v>
      </x:c>
      <x:c r="B392" s="12" t="str">
        <x:v>6270</x:v>
      </x:c>
      <x:c r="C392" s="21" t="n">
        <x:v>32700.462974537037</x:v>
      </x:c>
      <x:c r="D392" s="12" t="n">
        <x:v>74</x:v>
      </x:c>
      <x:c r="E392" s="12" t="n">
        <x:v>1</x:v>
      </x:c>
      <x:c r="F392" s="12" t="str">
        <x:v>未记录</x:v>
      </x:c>
      <x:c r="G392" s="12" t="n">
        <x:v>1</x:v>
      </x:c>
      <x:c r="H392" s="12" t="str">
        <x:v>{'NORM': 100.0, 'SR': 0.0}</x:v>
      </x:c>
      <x:c r="I392" s="12" t="str">
        <x:v>[('NSR', 100.0), ('NML', 100.0)]</x:v>
      </x:c>
      <x:c r="J392" s="12" t="str">
        <x:v>ptbxl_database.csv；ecg_id=3073；scp_codes</x:v>
      </x:c>
      <x:c r="K392" s="12" t="str">
        <x:v>12sl_statements.csv；ecg_id=3073；statements_ext_snomed</x:v>
      </x:c>
      <x:c r="L392" s="12"/>
      <x:c r="M392" s="12" t="str">
        <x:v>negative</x:v>
      </x:c>
      <x:c r="N392" s="12"/>
      <x:c r="O392" s="12" t="str">
        <x:v>negative</x:v>
      </x:c>
      <x:c r="P392" s="12" t="str">
        <x:f>IF(OR(M392="unavailable",O392="unavailable"),"不可评价",IF(OR(M392="equivocal",O392="equivocal"),"疑似",IF(AND(M392="positive",O392="positive"),"a",IF(O392="positive","b",IF(M392="positive","c","d")))))</x:f>
        <x:v>d</x:v>
      </x:c>
      <x:c r="Q392" s="12"/>
      <x:c r="R392" s="12" t="str">
        <x:v>negative</x:v>
      </x:c>
      <x:c r="S392" s="12"/>
      <x:c r="T392" s="12" t="str">
        <x:v>negative</x:v>
      </x:c>
      <x:c r="U392" s="12" t="str">
        <x:f>IF(OR(R392="unavailable",T392="unavailable"),"不可评价",IF(OR(R392="equivocal",T392="equivocal"),"疑似",IF(AND(R392="positive",T392="positive"),"a",IF(T392="positive","b",IF(R392="positive","c","d")))))</x:f>
        <x:v>d</x:v>
      </x:c>
      <x:c r="V392" s="12"/>
      <x:c r="W392" s="12" t="str">
        <x:v>negative</x:v>
      </x:c>
      <x:c r="X392" s="12"/>
      <x:c r="Y392" s="12" t="str">
        <x:v>negative</x:v>
      </x:c>
      <x:c r="Z392" s="12" t="str">
        <x:f>IF(OR(W392="unavailable",Y392="unavailable"),"不可评价",IF(OR(W392="equivocal",Y392="equivocal"),"疑似",IF(AND(W392="positive",Y392="positive"),"a",IF(Y392="positive","b",IF(W392="positive","c","d")))))</x:f>
        <x:v>d</x:v>
      </x:c>
      <x:c r="AA392" s="12" t="str">
        <x:f>IF(OR(M392="unavailable",O392="unavailable"),"不可评价",IF(AND(OR(M392="positive",M392="equivocal"),OR(O392="positive",O392="equivocal")),"a",IF(OR(O392="positive",O392="equivocal"),"b",IF(OR(M392="positive",M392="equivocal"),"c","d"))))</x:f>
        <x:v>d</x:v>
      </x:c>
      <x:c r="AB392" s="12" t="str">
        <x:f>IF(OR(M392="unavailable",O392="unavailable"),"不可评价",IF(AND(M392="positive",O392="positive"),"a",IF(O392="positive","b",IF(M392="positive","c","d"))))</x:f>
        <x:v>d</x:v>
      </x:c>
      <x:c r="AC392" s="12" t="str">
        <x:f>IF(OR(R392="unavailable",T392="unavailable"),"不可评价",IF(AND(OR(R392="positive",R392="equivocal"),OR(T392="positive",T392="equivocal")),"a",IF(OR(T392="positive",T392="equivocal"),"b",IF(OR(R392="positive",R392="equivocal"),"c","d"))))</x:f>
        <x:v>d</x:v>
      </x:c>
      <x:c r="AD392" s="12" t="str">
        <x:f>IF(OR(R392="unavailable",T392="unavailable"),"不可评价",IF(AND(R392="positive",T392="positive"),"a",IF(T392="positive","b",IF(R392="positive","c","d"))))</x:f>
        <x:v>d</x:v>
      </x:c>
      <x:c r="AE392" s="12" t="str">
        <x:f>IF(OR(W392="unavailable",Y392="unavailable"),"不可评价",IF(AND(OR(W392="positive",W392="equivocal"),OR(Y392="positive",Y392="equivocal")),"a",IF(OR(Y392="positive",Y392="equivocal"),"b",IF(OR(W392="positive",W392="equivocal"),"c","d"))))</x:f>
        <x:v>d</x:v>
      </x:c>
      <x:c r="AF392" s="12" t="str">
        <x:f>IF(OR(W392="unavailable",Y392="unavailable"),"不可评价",IF(AND(W392="positive",Y392="positive"),"a",IF(Y392="positive","b",IF(W392="positive","c","d"))))</x:f>
        <x:v>d</x:v>
      </x:c>
    </x:row>
    <x:row r="393" ht="24" customHeight="1">
      <x:c r="A393" s="12" t="str">
        <x:v>3078</x:v>
      </x:c>
      <x:c r="B393" s="12" t="str">
        <x:v>12313</x:v>
      </x:c>
      <x:c r="C393" s="21" t="n">
        <x:v>32701.47957175926</x:v>
      </x:c>
      <x:c r="D393" s="12" t="n">
        <x:v>51</x:v>
      </x:c>
      <x:c r="E393" s="12" t="n">
        <x:v>1</x:v>
      </x:c>
      <x:c r="F393" s="12" t="str">
        <x:v>存在</x:v>
      </x:c>
      <x:c r="G393" s="12" t="n">
        <x:v>1</x:v>
      </x:c>
      <x:c r="H393" s="12" t="str">
        <x:v>{'ISCAL': 50.0, 'ISCIL': 50.0, 'SR': 0.0}</x:v>
      </x:c>
      <x:c r="I393" s="12" t="str">
        <x:v>[('NSR', 100.0), ('NST', 100.0), ('QRST', 100.0), ('AB', 100.0)]</x:v>
      </x:c>
      <x:c r="J393" s="12" t="str">
        <x:v>ptbxl_database.csv；ecg_id=3078；scp_codes</x:v>
      </x:c>
      <x:c r="K393" s="12" t="str">
        <x:v>12sl_statements.csv；ecg_id=3078；statements_ext_snomed</x:v>
      </x:c>
      <x:c r="L393" s="12"/>
      <x:c r="M393" s="12" t="str">
        <x:v>negative</x:v>
      </x:c>
      <x:c r="N393" s="12"/>
      <x:c r="O393" s="12" t="str">
        <x:v>negative</x:v>
      </x:c>
      <x:c r="P393" s="12" t="str">
        <x:f>IF(OR(M393="unavailable",O393="unavailable"),"不可评价",IF(OR(M393="equivocal",O393="equivocal"),"疑似",IF(AND(M393="positive",O393="positive"),"a",IF(O393="positive","b",IF(M393="positive","c","d")))))</x:f>
        <x:v>d</x:v>
      </x:c>
      <x:c r="Q393" s="12"/>
      <x:c r="R393" s="12" t="str">
        <x:v>negative</x:v>
      </x:c>
      <x:c r="S393" s="12"/>
      <x:c r="T393" s="12" t="str">
        <x:v>negative</x:v>
      </x:c>
      <x:c r="U393" s="12" t="str">
        <x:f>IF(OR(R393="unavailable",T393="unavailable"),"不可评价",IF(OR(R393="equivocal",T393="equivocal"),"疑似",IF(AND(R393="positive",T393="positive"),"a",IF(T393="positive","b",IF(R393="positive","c","d")))))</x:f>
        <x:v>d</x:v>
      </x:c>
      <x:c r="V393" s="12"/>
      <x:c r="W393" s="12" t="str">
        <x:v>negative</x:v>
      </x:c>
      <x:c r="X393" s="12"/>
      <x:c r="Y393" s="12" t="str">
        <x:v>negative</x:v>
      </x:c>
      <x:c r="Z393" s="12" t="str">
        <x:f>IF(OR(W393="unavailable",Y393="unavailable"),"不可评价",IF(OR(W393="equivocal",Y393="equivocal"),"疑似",IF(AND(W393="positive",Y393="positive"),"a",IF(Y393="positive","b",IF(W393="positive","c","d")))))</x:f>
        <x:v>d</x:v>
      </x:c>
      <x:c r="AA393" s="12" t="str">
        <x:f>IF(OR(M393="unavailable",O393="unavailable"),"不可评价",IF(AND(OR(M393="positive",M393="equivocal"),OR(O393="positive",O393="equivocal")),"a",IF(OR(O393="positive",O393="equivocal"),"b",IF(OR(M393="positive",M393="equivocal"),"c","d"))))</x:f>
        <x:v>d</x:v>
      </x:c>
      <x:c r="AB393" s="12" t="str">
        <x:f>IF(OR(M393="unavailable",O393="unavailable"),"不可评价",IF(AND(M393="positive",O393="positive"),"a",IF(O393="positive","b",IF(M393="positive","c","d"))))</x:f>
        <x:v>d</x:v>
      </x:c>
      <x:c r="AC393" s="12" t="str">
        <x:f>IF(OR(R393="unavailable",T393="unavailable"),"不可评价",IF(AND(OR(R393="positive",R393="equivocal"),OR(T393="positive",T393="equivocal")),"a",IF(OR(T393="positive",T393="equivocal"),"b",IF(OR(R393="positive",R393="equivocal"),"c","d"))))</x:f>
        <x:v>d</x:v>
      </x:c>
      <x:c r="AD393" s="12" t="str">
        <x:f>IF(OR(R393="unavailable",T393="unavailable"),"不可评价",IF(AND(R393="positive",T393="positive"),"a",IF(T393="positive","b",IF(R393="positive","c","d"))))</x:f>
        <x:v>d</x:v>
      </x:c>
      <x:c r="AE393" s="12" t="str">
        <x:f>IF(OR(W393="unavailable",Y393="unavailable"),"不可评价",IF(AND(OR(W393="positive",W393="equivocal"),OR(Y393="positive",Y393="equivocal")),"a",IF(OR(Y393="positive",Y393="equivocal"),"b",IF(OR(W393="positive",W393="equivocal"),"c","d"))))</x:f>
        <x:v>d</x:v>
      </x:c>
      <x:c r="AF393" s="12" t="str">
        <x:f>IF(OR(W393="unavailable",Y393="unavailable"),"不可评价",IF(AND(W393="positive",Y393="positive"),"a",IF(Y393="positive","b",IF(W393="positive","c","d"))))</x:f>
        <x:v>d</x:v>
      </x:c>
    </x:row>
    <x:row r="394" ht="24" customHeight="1">
      <x:c r="A394" s="12" t="str">
        <x:v>3092</x:v>
      </x:c>
      <x:c r="B394" s="12" t="str">
        <x:v>1366</x:v>
      </x:c>
      <x:c r="C394" s="21" t="n">
        <x:v>32703.34458333333</x:v>
      </x:c>
      <x:c r="D394" s="12" t="n">
        <x:v>44</x:v>
      </x:c>
      <x:c r="E394" s="12" t="n">
        <x:v>0</x:v>
      </x:c>
      <x:c r="F394" s="12" t="str">
        <x:v>未记录</x:v>
      </x:c>
      <x:c r="G394" s="12" t="n">
        <x:v>1</x:v>
      </x:c>
      <x:c r="H394" s="12" t="str">
        <x:v>{'LVH': 100.0, 'PVC': 100.0, 'VCLVH': 0.0, 'STD_': 0.0, 'SR': 0.0}</x:v>
      </x:c>
      <x:c r="I394" s="12" t="str">
        <x:v>[('SRTH', 100.0), ('SAR', 100.0), ('PVC', 100.0), ('AMI;AU', 15.0), ('AB', 100.0)]</x:v>
      </x:c>
      <x:c r="J394" s="12" t="str">
        <x:v>ptbxl_database.csv；ecg_id=3092；scp_codes</x:v>
      </x:c>
      <x:c r="K394" s="12" t="str">
        <x:v>12sl_statements.csv；ecg_id=3092；statements_ext_snomed</x:v>
      </x:c>
      <x:c r="L394" s="12"/>
      <x:c r="M394" s="12" t="str">
        <x:v>negative</x:v>
      </x:c>
      <x:c r="N394" s="12"/>
      <x:c r="O394" s="12" t="str">
        <x:v>negative</x:v>
      </x:c>
      <x:c r="P394" s="12" t="str">
        <x:f>IF(OR(M394="unavailable",O394="unavailable"),"不可评价",IF(OR(M394="equivocal",O394="equivocal"),"疑似",IF(AND(M394="positive",O394="positive"),"a",IF(O394="positive","b",IF(M394="positive","c","d")))))</x:f>
        <x:v>d</x:v>
      </x:c>
      <x:c r="Q394" s="12"/>
      <x:c r="R394" s="12" t="str">
        <x:v>negative</x:v>
      </x:c>
      <x:c r="S394" s="12"/>
      <x:c r="T394" s="12" t="str">
        <x:v>negative</x:v>
      </x:c>
      <x:c r="U394" s="12" t="str">
        <x:f>IF(OR(R394="unavailable",T394="unavailable"),"不可评价",IF(OR(R394="equivocal",T394="equivocal"),"疑似",IF(AND(R394="positive",T394="positive"),"a",IF(T394="positive","b",IF(R394="positive","c","d")))))</x:f>
        <x:v>d</x:v>
      </x:c>
      <x:c r="V394" s="12"/>
      <x:c r="W394" s="12" t="str">
        <x:v>negative</x:v>
      </x:c>
      <x:c r="X394" s="12"/>
      <x:c r="Y394" s="12" t="str">
        <x:v>negative</x:v>
      </x:c>
      <x:c r="Z394" s="12" t="str">
        <x:f>IF(OR(W394="unavailable",Y394="unavailable"),"不可评价",IF(OR(W394="equivocal",Y394="equivocal"),"疑似",IF(AND(W394="positive",Y394="positive"),"a",IF(Y394="positive","b",IF(W394="positive","c","d")))))</x:f>
        <x:v>d</x:v>
      </x:c>
      <x:c r="AA394" s="12" t="str">
        <x:f>IF(OR(M394="unavailable",O394="unavailable"),"不可评价",IF(AND(OR(M394="positive",M394="equivocal"),OR(O394="positive",O394="equivocal")),"a",IF(OR(O394="positive",O394="equivocal"),"b",IF(OR(M394="positive",M394="equivocal"),"c","d"))))</x:f>
        <x:v>d</x:v>
      </x:c>
      <x:c r="AB394" s="12" t="str">
        <x:f>IF(OR(M394="unavailable",O394="unavailable"),"不可评价",IF(AND(M394="positive",O394="positive"),"a",IF(O394="positive","b",IF(M394="positive","c","d"))))</x:f>
        <x:v>d</x:v>
      </x:c>
      <x:c r="AC394" s="12" t="str">
        <x:f>IF(OR(R394="unavailable",T394="unavailable"),"不可评价",IF(AND(OR(R394="positive",R394="equivocal"),OR(T394="positive",T394="equivocal")),"a",IF(OR(T394="positive",T394="equivocal"),"b",IF(OR(R394="positive",R394="equivocal"),"c","d"))))</x:f>
        <x:v>d</x:v>
      </x:c>
      <x:c r="AD394" s="12" t="str">
        <x:f>IF(OR(R394="unavailable",T394="unavailable"),"不可评价",IF(AND(R394="positive",T394="positive"),"a",IF(T394="positive","b",IF(R394="positive","c","d"))))</x:f>
        <x:v>d</x:v>
      </x:c>
      <x:c r="AE394" s="12" t="str">
        <x:f>IF(OR(W394="unavailable",Y394="unavailable"),"不可评价",IF(AND(OR(W394="positive",W394="equivocal"),OR(Y394="positive",Y394="equivocal")),"a",IF(OR(Y394="positive",Y394="equivocal"),"b",IF(OR(W394="positive",W394="equivocal"),"c","d"))))</x:f>
        <x:v>d</x:v>
      </x:c>
      <x:c r="AF394" s="12" t="str">
        <x:f>IF(OR(W394="unavailable",Y394="unavailable"),"不可评价",IF(AND(W394="positive",Y394="positive"),"a",IF(Y394="positive","b",IF(W394="positive","c","d"))))</x:f>
        <x:v>d</x:v>
      </x:c>
    </x:row>
    <x:row r="395" ht="24" customHeight="1">
      <x:c r="A395" s="12" t="str">
        <x:v>3103</x:v>
      </x:c>
      <x:c r="B395" s="12" t="str">
        <x:v>2961</x:v>
      </x:c>
      <x:c r="C395" s="21" t="n">
        <x:v>32704.46375</x:v>
      </x:c>
      <x:c r="D395" s="12" t="n">
        <x:v>78</x:v>
      </x:c>
      <x:c r="E395" s="12" t="n">
        <x:v>1</x:v>
      </x:c>
      <x:c r="F395" s="12" t="str">
        <x:v>未记录</x:v>
      </x:c>
      <x:c r="G395" s="12" t="n">
        <x:v>1</x:v>
      </x:c>
      <x:c r="H395" s="12" t="str">
        <x:v>{'NORM': 100.0, 'SR': 0.0}</x:v>
      </x:c>
      <x:c r="I395" s="12" t="str">
        <x:v>[('NSR', 100.0), ('NML', 100.0)]</x:v>
      </x:c>
      <x:c r="J395" s="12" t="str">
        <x:v>ptbxl_database.csv；ecg_id=3103；scp_codes</x:v>
      </x:c>
      <x:c r="K395" s="12" t="str">
        <x:v>12sl_statements.csv；ecg_id=3103；statements_ext_snomed</x:v>
      </x:c>
      <x:c r="L395" s="12"/>
      <x:c r="M395" s="12" t="str">
        <x:v>negative</x:v>
      </x:c>
      <x:c r="N395" s="12"/>
      <x:c r="O395" s="12" t="str">
        <x:v>negative</x:v>
      </x:c>
      <x:c r="P395" s="12" t="str">
        <x:f>IF(OR(M395="unavailable",O395="unavailable"),"不可评价",IF(OR(M395="equivocal",O395="equivocal"),"疑似",IF(AND(M395="positive",O395="positive"),"a",IF(O395="positive","b",IF(M395="positive","c","d")))))</x:f>
        <x:v>d</x:v>
      </x:c>
      <x:c r="Q395" s="12"/>
      <x:c r="R395" s="12" t="str">
        <x:v>negative</x:v>
      </x:c>
      <x:c r="S395" s="12"/>
      <x:c r="T395" s="12" t="str">
        <x:v>negative</x:v>
      </x:c>
      <x:c r="U395" s="12" t="str">
        <x:f>IF(OR(R395="unavailable",T395="unavailable"),"不可评价",IF(OR(R395="equivocal",T395="equivocal"),"疑似",IF(AND(R395="positive",T395="positive"),"a",IF(T395="positive","b",IF(R395="positive","c","d")))))</x:f>
        <x:v>d</x:v>
      </x:c>
      <x:c r="V395" s="12"/>
      <x:c r="W395" s="12" t="str">
        <x:v>negative</x:v>
      </x:c>
      <x:c r="X395" s="12"/>
      <x:c r="Y395" s="12" t="str">
        <x:v>negative</x:v>
      </x:c>
      <x:c r="Z395" s="12" t="str">
        <x:f>IF(OR(W395="unavailable",Y395="unavailable"),"不可评价",IF(OR(W395="equivocal",Y395="equivocal"),"疑似",IF(AND(W395="positive",Y395="positive"),"a",IF(Y395="positive","b",IF(W395="positive","c","d")))))</x:f>
        <x:v>d</x:v>
      </x:c>
      <x:c r="AA395" s="12" t="str">
        <x:f>IF(OR(M395="unavailable",O395="unavailable"),"不可评价",IF(AND(OR(M395="positive",M395="equivocal"),OR(O395="positive",O395="equivocal")),"a",IF(OR(O395="positive",O395="equivocal"),"b",IF(OR(M395="positive",M395="equivocal"),"c","d"))))</x:f>
        <x:v>d</x:v>
      </x:c>
      <x:c r="AB395" s="12" t="str">
        <x:f>IF(OR(M395="unavailable",O395="unavailable"),"不可评价",IF(AND(M395="positive",O395="positive"),"a",IF(O395="positive","b",IF(M395="positive","c","d"))))</x:f>
        <x:v>d</x:v>
      </x:c>
      <x:c r="AC395" s="12" t="str">
        <x:f>IF(OR(R395="unavailable",T395="unavailable"),"不可评价",IF(AND(OR(R395="positive",R395="equivocal"),OR(T395="positive",T395="equivocal")),"a",IF(OR(T395="positive",T395="equivocal"),"b",IF(OR(R395="positive",R395="equivocal"),"c","d"))))</x:f>
        <x:v>d</x:v>
      </x:c>
      <x:c r="AD395" s="12" t="str">
        <x:f>IF(OR(R395="unavailable",T395="unavailable"),"不可评价",IF(AND(R395="positive",T395="positive"),"a",IF(T395="positive","b",IF(R395="positive","c","d"))))</x:f>
        <x:v>d</x:v>
      </x:c>
      <x:c r="AE395" s="12" t="str">
        <x:f>IF(OR(W395="unavailable",Y395="unavailable"),"不可评价",IF(AND(OR(W395="positive",W395="equivocal"),OR(Y395="positive",Y395="equivocal")),"a",IF(OR(Y395="positive",Y395="equivocal"),"b",IF(OR(W395="positive",W395="equivocal"),"c","d"))))</x:f>
        <x:v>d</x:v>
      </x:c>
      <x:c r="AF395" s="12" t="str">
        <x:f>IF(OR(W395="unavailable",Y395="unavailable"),"不可评价",IF(AND(W395="positive",Y395="positive"),"a",IF(Y395="positive","b",IF(W395="positive","c","d"))))</x:f>
        <x:v>d</x:v>
      </x:c>
    </x:row>
    <x:row r="396" ht="24" customHeight="1">
      <x:c r="A396" s="12" t="str">
        <x:v>3108</x:v>
      </x:c>
      <x:c r="B396" s="12" t="str">
        <x:v>6121</x:v>
      </x:c>
      <x:c r="C396" s="21" t="n">
        <x:v>32704.584664351853</x:v>
      </x:c>
      <x:c r="D396" s="12" t="n">
        <x:v>62</x:v>
      </x:c>
      <x:c r="E396" s="12" t="n">
        <x:v>0</x:v>
      </x:c>
      <x:c r="F396" s="12" t="str">
        <x:v>未记录</x:v>
      </x:c>
      <x:c r="G396" s="12" t="n">
        <x:v>1</x:v>
      </x:c>
      <x:c r="H396" s="12" t="str">
        <x:v>{'NORM': 80.0, 'QWAVE': 0.0, 'SR': 0.0}</x:v>
      </x:c>
      <x:c r="I396" s="12" t="str">
        <x:v>[('NSR', 100.0), ('NML', 100.0)]</x:v>
      </x:c>
      <x:c r="J396" s="12" t="str">
        <x:v>ptbxl_database.csv；ecg_id=3108；scp_codes</x:v>
      </x:c>
      <x:c r="K396" s="12" t="str">
        <x:v>12sl_statements.csv；ecg_id=3108；statements_ext_snomed</x:v>
      </x:c>
      <x:c r="L396" s="12"/>
      <x:c r="M396" s="12" t="str">
        <x:v>negative</x:v>
      </x:c>
      <x:c r="N396" s="12"/>
      <x:c r="O396" s="12" t="str">
        <x:v>negative</x:v>
      </x:c>
      <x:c r="P396" s="12" t="str">
        <x:f>IF(OR(M396="unavailable",O396="unavailable"),"不可评价",IF(OR(M396="equivocal",O396="equivocal"),"疑似",IF(AND(M396="positive",O396="positive"),"a",IF(O396="positive","b",IF(M396="positive","c","d")))))</x:f>
        <x:v>d</x:v>
      </x:c>
      <x:c r="Q396" s="12"/>
      <x:c r="R396" s="12" t="str">
        <x:v>negative</x:v>
      </x:c>
      <x:c r="S396" s="12"/>
      <x:c r="T396" s="12" t="str">
        <x:v>negative</x:v>
      </x:c>
      <x:c r="U396" s="12" t="str">
        <x:f>IF(OR(R396="unavailable",T396="unavailable"),"不可评价",IF(OR(R396="equivocal",T396="equivocal"),"疑似",IF(AND(R396="positive",T396="positive"),"a",IF(T396="positive","b",IF(R396="positive","c","d")))))</x:f>
        <x:v>d</x:v>
      </x:c>
      <x:c r="V396" s="12"/>
      <x:c r="W396" s="12" t="str">
        <x:v>negative</x:v>
      </x:c>
      <x:c r="X396" s="12"/>
      <x:c r="Y396" s="12" t="str">
        <x:v>negative</x:v>
      </x:c>
      <x:c r="Z396" s="12" t="str">
        <x:f>IF(OR(W396="unavailable",Y396="unavailable"),"不可评价",IF(OR(W396="equivocal",Y396="equivocal"),"疑似",IF(AND(W396="positive",Y396="positive"),"a",IF(Y396="positive","b",IF(W396="positive","c","d")))))</x:f>
        <x:v>d</x:v>
      </x:c>
      <x:c r="AA396" s="12" t="str">
        <x:f>IF(OR(M396="unavailable",O396="unavailable"),"不可评价",IF(AND(OR(M396="positive",M396="equivocal"),OR(O396="positive",O396="equivocal")),"a",IF(OR(O396="positive",O396="equivocal"),"b",IF(OR(M396="positive",M396="equivocal"),"c","d"))))</x:f>
        <x:v>d</x:v>
      </x:c>
      <x:c r="AB396" s="12" t="str">
        <x:f>IF(OR(M396="unavailable",O396="unavailable"),"不可评价",IF(AND(M396="positive",O396="positive"),"a",IF(O396="positive","b",IF(M396="positive","c","d"))))</x:f>
        <x:v>d</x:v>
      </x:c>
      <x:c r="AC396" s="12" t="str">
        <x:f>IF(OR(R396="unavailable",T396="unavailable"),"不可评价",IF(AND(OR(R396="positive",R396="equivocal"),OR(T396="positive",T396="equivocal")),"a",IF(OR(T396="positive",T396="equivocal"),"b",IF(OR(R396="positive",R396="equivocal"),"c","d"))))</x:f>
        <x:v>d</x:v>
      </x:c>
      <x:c r="AD396" s="12" t="str">
        <x:f>IF(OR(R396="unavailable",T396="unavailable"),"不可评价",IF(AND(R396="positive",T396="positive"),"a",IF(T396="positive","b",IF(R396="positive","c","d"))))</x:f>
        <x:v>d</x:v>
      </x:c>
      <x:c r="AE396" s="12" t="str">
        <x:f>IF(OR(W396="unavailable",Y396="unavailable"),"不可评价",IF(AND(OR(W396="positive",W396="equivocal"),OR(Y396="positive",Y396="equivocal")),"a",IF(OR(Y396="positive",Y396="equivocal"),"b",IF(OR(W396="positive",W396="equivocal"),"c","d"))))</x:f>
        <x:v>d</x:v>
      </x:c>
      <x:c r="AF396" s="12" t="str">
        <x:f>IF(OR(W396="unavailable",Y396="unavailable"),"不可评价",IF(AND(W396="positive",Y396="positive"),"a",IF(Y396="positive","b",IF(W396="positive","c","d"))))</x:f>
        <x:v>d</x:v>
      </x:c>
    </x:row>
    <x:row r="397" ht="24" customHeight="1">
      <x:c r="A397" s="12" t="str">
        <x:v>3112</x:v>
      </x:c>
      <x:c r="B397" s="12" t="str">
        <x:v>2686</x:v>
      </x:c>
      <x:c r="C397" s="21" t="n">
        <x:v>32704.76644675926</x:v>
      </x:c>
      <x:c r="D397" s="12" t="n">
        <x:v>56</x:v>
      </x:c>
      <x:c r="E397" s="12" t="n">
        <x:v>0</x:v>
      </x:c>
      <x:c r="F397" s="12" t="str">
        <x:v>未记录</x:v>
      </x:c>
      <x:c r="G397" s="12" t="n">
        <x:v>1</x:v>
      </x:c>
      <x:c r="H397" s="12" t="str">
        <x:v>{'NORM': 100.0, 'SR': 0.0}</x:v>
      </x:c>
      <x:c r="I397" s="12" t="str">
        <x:v>[('NSR', 100.0), ('NML', 100.0)]</x:v>
      </x:c>
      <x:c r="J397" s="12" t="str">
        <x:v>ptbxl_database.csv；ecg_id=3112；scp_codes</x:v>
      </x:c>
      <x:c r="K397" s="12" t="str">
        <x:v>12sl_statements.csv；ecg_id=3112；statements_ext_snomed</x:v>
      </x:c>
      <x:c r="L397" s="12"/>
      <x:c r="M397" s="12" t="str">
        <x:v>negative</x:v>
      </x:c>
      <x:c r="N397" s="12"/>
      <x:c r="O397" s="12" t="str">
        <x:v>negative</x:v>
      </x:c>
      <x:c r="P397" s="12" t="str">
        <x:f>IF(OR(M397="unavailable",O397="unavailable"),"不可评价",IF(OR(M397="equivocal",O397="equivocal"),"疑似",IF(AND(M397="positive",O397="positive"),"a",IF(O397="positive","b",IF(M397="positive","c","d")))))</x:f>
        <x:v>d</x:v>
      </x:c>
      <x:c r="Q397" s="12"/>
      <x:c r="R397" s="12" t="str">
        <x:v>negative</x:v>
      </x:c>
      <x:c r="S397" s="12"/>
      <x:c r="T397" s="12" t="str">
        <x:v>negative</x:v>
      </x:c>
      <x:c r="U397" s="12" t="str">
        <x:f>IF(OR(R397="unavailable",T397="unavailable"),"不可评价",IF(OR(R397="equivocal",T397="equivocal"),"疑似",IF(AND(R397="positive",T397="positive"),"a",IF(T397="positive","b",IF(R397="positive","c","d")))))</x:f>
        <x:v>d</x:v>
      </x:c>
      <x:c r="V397" s="12"/>
      <x:c r="W397" s="12" t="str">
        <x:v>negative</x:v>
      </x:c>
      <x:c r="X397" s="12"/>
      <x:c r="Y397" s="12" t="str">
        <x:v>negative</x:v>
      </x:c>
      <x:c r="Z397" s="12" t="str">
        <x:f>IF(OR(W397="unavailable",Y397="unavailable"),"不可评价",IF(OR(W397="equivocal",Y397="equivocal"),"疑似",IF(AND(W397="positive",Y397="positive"),"a",IF(Y397="positive","b",IF(W397="positive","c","d")))))</x:f>
        <x:v>d</x:v>
      </x:c>
      <x:c r="AA397" s="12" t="str">
        <x:f>IF(OR(M397="unavailable",O397="unavailable"),"不可评价",IF(AND(OR(M397="positive",M397="equivocal"),OR(O397="positive",O397="equivocal")),"a",IF(OR(O397="positive",O397="equivocal"),"b",IF(OR(M397="positive",M397="equivocal"),"c","d"))))</x:f>
        <x:v>d</x:v>
      </x:c>
      <x:c r="AB397" s="12" t="str">
        <x:f>IF(OR(M397="unavailable",O397="unavailable"),"不可评价",IF(AND(M397="positive",O397="positive"),"a",IF(O397="positive","b",IF(M397="positive","c","d"))))</x:f>
        <x:v>d</x:v>
      </x:c>
      <x:c r="AC397" s="12" t="str">
        <x:f>IF(OR(R397="unavailable",T397="unavailable"),"不可评价",IF(AND(OR(R397="positive",R397="equivocal"),OR(T397="positive",T397="equivocal")),"a",IF(OR(T397="positive",T397="equivocal"),"b",IF(OR(R397="positive",R397="equivocal"),"c","d"))))</x:f>
        <x:v>d</x:v>
      </x:c>
      <x:c r="AD397" s="12" t="str">
        <x:f>IF(OR(R397="unavailable",T397="unavailable"),"不可评价",IF(AND(R397="positive",T397="positive"),"a",IF(T397="positive","b",IF(R397="positive","c","d"))))</x:f>
        <x:v>d</x:v>
      </x:c>
      <x:c r="AE397" s="12" t="str">
        <x:f>IF(OR(W397="unavailable",Y397="unavailable"),"不可评价",IF(AND(OR(W397="positive",W397="equivocal"),OR(Y397="positive",Y397="equivocal")),"a",IF(OR(Y397="positive",Y397="equivocal"),"b",IF(OR(W397="positive",W397="equivocal"),"c","d"))))</x:f>
        <x:v>d</x:v>
      </x:c>
      <x:c r="AF397" s="12" t="str">
        <x:f>IF(OR(W397="unavailable",Y397="unavailable"),"不可评价",IF(AND(W397="positive",Y397="positive"),"a",IF(Y397="positive","b",IF(W397="positive","c","d"))))</x:f>
        <x:v>d</x:v>
      </x:c>
    </x:row>
    <x:row r="398" ht="24" customHeight="1">
      <x:c r="A398" s="12" t="str">
        <x:v>3122</x:v>
      </x:c>
      <x:c r="B398" s="12" t="str">
        <x:v>1170</x:v>
      </x:c>
      <x:c r="C398" s="21" t="n">
        <x:v>32705.71545138889</x:v>
      </x:c>
      <x:c r="D398" s="12" t="n">
        <x:v>77</x:v>
      </x:c>
      <x:c r="E398" s="12" t="n">
        <x:v>0</x:v>
      </x:c>
      <x:c r="F398" s="12" t="str">
        <x:v>未记录</x:v>
      </x:c>
      <x:c r="G398" s="12" t="n">
        <x:v>1</x:v>
      </x:c>
      <x:c r="H398" s="12" t="str">
        <x:v>{'IMI': 80.0, 'QWAVE': 0.0, 'STD_': 0.0, 'SR': 0.0}</x:v>
      </x:c>
      <x:c r="I398" s="12" t="str">
        <x:v>[('NSR', 100.0), ('IRBBB', 100.0), ('IMI;AU', 50.0), ('AB', 100.0)]</x:v>
      </x:c>
      <x:c r="J398" s="12" t="str">
        <x:v>ptbxl_database.csv；ecg_id=3122；scp_codes</x:v>
      </x:c>
      <x:c r="K398" s="12" t="str">
        <x:v>12sl_statements.csv；ecg_id=3122；statements_ext_snomed</x:v>
      </x:c>
      <x:c r="L398" s="12"/>
      <x:c r="M398" s="12" t="str">
        <x:v>negative</x:v>
      </x:c>
      <x:c r="N398" s="12"/>
      <x:c r="O398" s="12" t="str">
        <x:v>negative</x:v>
      </x:c>
      <x:c r="P398" s="12" t="str">
        <x:f>IF(OR(M398="unavailable",O398="unavailable"),"不可评价",IF(OR(M398="equivocal",O398="equivocal"),"疑似",IF(AND(M398="positive",O398="positive"),"a",IF(O398="positive","b",IF(M398="positive","c","d")))))</x:f>
        <x:v>d</x:v>
      </x:c>
      <x:c r="Q398" s="12"/>
      <x:c r="R398" s="12" t="str">
        <x:v>negative</x:v>
      </x:c>
      <x:c r="S398" s="12"/>
      <x:c r="T398" s="12" t="str">
        <x:v>negative</x:v>
      </x:c>
      <x:c r="U398" s="12" t="str">
        <x:f>IF(OR(R398="unavailable",T398="unavailable"),"不可评价",IF(OR(R398="equivocal",T398="equivocal"),"疑似",IF(AND(R398="positive",T398="positive"),"a",IF(T398="positive","b",IF(R398="positive","c","d")))))</x:f>
        <x:v>d</x:v>
      </x:c>
      <x:c r="V398" s="12"/>
      <x:c r="W398" s="12" t="str">
        <x:v>negative</x:v>
      </x:c>
      <x:c r="X398" s="12"/>
      <x:c r="Y398" s="12" t="str">
        <x:v>negative</x:v>
      </x:c>
      <x:c r="Z398" s="12" t="str">
        <x:f>IF(OR(W398="unavailable",Y398="unavailable"),"不可评价",IF(OR(W398="equivocal",Y398="equivocal"),"疑似",IF(AND(W398="positive",Y398="positive"),"a",IF(Y398="positive","b",IF(W398="positive","c","d")))))</x:f>
        <x:v>d</x:v>
      </x:c>
      <x:c r="AA398" s="12" t="str">
        <x:f>IF(OR(M398="unavailable",O398="unavailable"),"不可评价",IF(AND(OR(M398="positive",M398="equivocal"),OR(O398="positive",O398="equivocal")),"a",IF(OR(O398="positive",O398="equivocal"),"b",IF(OR(M398="positive",M398="equivocal"),"c","d"))))</x:f>
        <x:v>d</x:v>
      </x:c>
      <x:c r="AB398" s="12" t="str">
        <x:f>IF(OR(M398="unavailable",O398="unavailable"),"不可评价",IF(AND(M398="positive",O398="positive"),"a",IF(O398="positive","b",IF(M398="positive","c","d"))))</x:f>
        <x:v>d</x:v>
      </x:c>
      <x:c r="AC398" s="12" t="str">
        <x:f>IF(OR(R398="unavailable",T398="unavailable"),"不可评价",IF(AND(OR(R398="positive",R398="equivocal"),OR(T398="positive",T398="equivocal")),"a",IF(OR(T398="positive",T398="equivocal"),"b",IF(OR(R398="positive",R398="equivocal"),"c","d"))))</x:f>
        <x:v>d</x:v>
      </x:c>
      <x:c r="AD398" s="12" t="str">
        <x:f>IF(OR(R398="unavailable",T398="unavailable"),"不可评价",IF(AND(R398="positive",T398="positive"),"a",IF(T398="positive","b",IF(R398="positive","c","d"))))</x:f>
        <x:v>d</x:v>
      </x:c>
      <x:c r="AE398" s="12" t="str">
        <x:f>IF(OR(W398="unavailable",Y398="unavailable"),"不可评价",IF(AND(OR(W398="positive",W398="equivocal"),OR(Y398="positive",Y398="equivocal")),"a",IF(OR(Y398="positive",Y398="equivocal"),"b",IF(OR(W398="positive",W398="equivocal"),"c","d"))))</x:f>
        <x:v>d</x:v>
      </x:c>
      <x:c r="AF398" s="12" t="str">
        <x:f>IF(OR(W398="unavailable",Y398="unavailable"),"不可评价",IF(AND(W398="positive",Y398="positive"),"a",IF(Y398="positive","b",IF(W398="positive","c","d"))))</x:f>
        <x:v>d</x:v>
      </x:c>
    </x:row>
    <x:row r="399" ht="24" customHeight="1">
      <x:c r="A399" s="12" t="str">
        <x:v>3128</x:v>
      </x:c>
      <x:c r="B399" s="12" t="str">
        <x:v>18187</x:v>
      </x:c>
      <x:c r="C399" s="21" t="n">
        <x:v>32706.52667824074</x:v>
      </x:c>
      <x:c r="D399" s="12" t="n">
        <x:v>54</x:v>
      </x:c>
      <x:c r="E399" s="12" t="n">
        <x:v>0</x:v>
      </x:c>
      <x:c r="F399" s="12" t="str">
        <x:v>未记录</x:v>
      </x:c>
      <x:c r="G399" s="12" t="n">
        <x:v>1</x:v>
      </x:c>
      <x:c r="H399" s="12" t="str">
        <x:v>{'NORM': 50.0, 'SR': 0.0}</x:v>
      </x:c>
      <x:c r="I399" s="12" t="str">
        <x:v>[('NSR', 100.0), ('NML', 100.0)]</x:v>
      </x:c>
      <x:c r="J399" s="12" t="str">
        <x:v>ptbxl_database.csv；ecg_id=3128；scp_codes</x:v>
      </x:c>
      <x:c r="K399" s="12" t="str">
        <x:v>12sl_statements.csv；ecg_id=3128；statements_ext_snomed</x:v>
      </x:c>
      <x:c r="L399" s="12"/>
      <x:c r="M399" s="12" t="str">
        <x:v>negative</x:v>
      </x:c>
      <x:c r="N399" s="12"/>
      <x:c r="O399" s="12" t="str">
        <x:v>negative</x:v>
      </x:c>
      <x:c r="P399" s="12" t="str">
        <x:f>IF(OR(M399="unavailable",O399="unavailable"),"不可评价",IF(OR(M399="equivocal",O399="equivocal"),"疑似",IF(AND(M399="positive",O399="positive"),"a",IF(O399="positive","b",IF(M399="positive","c","d")))))</x:f>
        <x:v>d</x:v>
      </x:c>
      <x:c r="Q399" s="12"/>
      <x:c r="R399" s="12" t="str">
        <x:v>negative</x:v>
      </x:c>
      <x:c r="S399" s="12"/>
      <x:c r="T399" s="12" t="str">
        <x:v>negative</x:v>
      </x:c>
      <x:c r="U399" s="12" t="str">
        <x:f>IF(OR(R399="unavailable",T399="unavailable"),"不可评价",IF(OR(R399="equivocal",T399="equivocal"),"疑似",IF(AND(R399="positive",T399="positive"),"a",IF(T399="positive","b",IF(R399="positive","c","d")))))</x:f>
        <x:v>d</x:v>
      </x:c>
      <x:c r="V399" s="12"/>
      <x:c r="W399" s="12" t="str">
        <x:v>negative</x:v>
      </x:c>
      <x:c r="X399" s="12"/>
      <x:c r="Y399" s="12" t="str">
        <x:v>negative</x:v>
      </x:c>
      <x:c r="Z399" s="12" t="str">
        <x:f>IF(OR(W399="unavailable",Y399="unavailable"),"不可评价",IF(OR(W399="equivocal",Y399="equivocal"),"疑似",IF(AND(W399="positive",Y399="positive"),"a",IF(Y399="positive","b",IF(W399="positive","c","d")))))</x:f>
        <x:v>d</x:v>
      </x:c>
      <x:c r="AA399" s="12" t="str">
        <x:f>IF(OR(M399="unavailable",O399="unavailable"),"不可评价",IF(AND(OR(M399="positive",M399="equivocal"),OR(O399="positive",O399="equivocal")),"a",IF(OR(O399="positive",O399="equivocal"),"b",IF(OR(M399="positive",M399="equivocal"),"c","d"))))</x:f>
        <x:v>d</x:v>
      </x:c>
      <x:c r="AB399" s="12" t="str">
        <x:f>IF(OR(M399="unavailable",O399="unavailable"),"不可评价",IF(AND(M399="positive",O399="positive"),"a",IF(O399="positive","b",IF(M399="positive","c","d"))))</x:f>
        <x:v>d</x:v>
      </x:c>
      <x:c r="AC399" s="12" t="str">
        <x:f>IF(OR(R399="unavailable",T399="unavailable"),"不可评价",IF(AND(OR(R399="positive",R399="equivocal"),OR(T399="positive",T399="equivocal")),"a",IF(OR(T399="positive",T399="equivocal"),"b",IF(OR(R399="positive",R399="equivocal"),"c","d"))))</x:f>
        <x:v>d</x:v>
      </x:c>
      <x:c r="AD399" s="12" t="str">
        <x:f>IF(OR(R399="unavailable",T399="unavailable"),"不可评价",IF(AND(R399="positive",T399="positive"),"a",IF(T399="positive","b",IF(R399="positive","c","d"))))</x:f>
        <x:v>d</x:v>
      </x:c>
      <x:c r="AE399" s="12" t="str">
        <x:f>IF(OR(W399="unavailable",Y399="unavailable"),"不可评价",IF(AND(OR(W399="positive",W399="equivocal"),OR(Y399="positive",Y399="equivocal")),"a",IF(OR(Y399="positive",Y399="equivocal"),"b",IF(OR(W399="positive",W399="equivocal"),"c","d"))))</x:f>
        <x:v>d</x:v>
      </x:c>
      <x:c r="AF399" s="12" t="str">
        <x:f>IF(OR(W399="unavailable",Y399="unavailable"),"不可评价",IF(AND(W399="positive",Y399="positive"),"a",IF(Y399="positive","b",IF(W399="positive","c","d"))))</x:f>
        <x:v>d</x:v>
      </x:c>
    </x:row>
    <x:row r="400" ht="24" customHeight="1">
      <x:c r="A400" s="12" t="str">
        <x:v>3148</x:v>
      </x:c>
      <x:c r="B400" s="12" t="str">
        <x:v>14943</x:v>
      </x:c>
      <x:c r="C400" s="21" t="n">
        <x:v>32710.363680555554</x:v>
      </x:c>
      <x:c r="D400" s="12" t="n">
        <x:v>64</x:v>
      </x:c>
      <x:c r="E400" s="12" t="n">
        <x:v>1</x:v>
      </x:c>
      <x:c r="F400" s="12" t="str">
        <x:v>未记录</x:v>
      </x:c>
      <x:c r="G400" s="12" t="n">
        <x:v>0</x:v>
      </x:c>
      <x:c r="H400" s="12" t="str">
        <x:v>{'NORM': 100.0, 'SR': 0.0}</x:v>
      </x:c>
      <x:c r="I400" s="12" t="str">
        <x:v>[('NSR', 100.0), ('NML', 100.0)]</x:v>
      </x:c>
      <x:c r="J400" s="12" t="str">
        <x:v>ptbxl_database.csv；ecg_id=3148；scp_codes</x:v>
      </x:c>
      <x:c r="K400" s="12" t="str">
        <x:v>12sl_statements.csv；ecg_id=3148；statements_ext_snomed</x:v>
      </x:c>
      <x:c r="L400" s="12"/>
      <x:c r="M400" s="12" t="str">
        <x:v>negative</x:v>
      </x:c>
      <x:c r="N400" s="12"/>
      <x:c r="O400" s="12" t="str">
        <x:v>negative</x:v>
      </x:c>
      <x:c r="P400" s="12" t="str">
        <x:f>IF(OR(M400="unavailable",O400="unavailable"),"不可评价",IF(OR(M400="equivocal",O400="equivocal"),"疑似",IF(AND(M400="positive",O400="positive"),"a",IF(O400="positive","b",IF(M400="positive","c","d")))))</x:f>
        <x:v>d</x:v>
      </x:c>
      <x:c r="Q400" s="12"/>
      <x:c r="R400" s="12" t="str">
        <x:v>negative</x:v>
      </x:c>
      <x:c r="S400" s="12"/>
      <x:c r="T400" s="12" t="str">
        <x:v>negative</x:v>
      </x:c>
      <x:c r="U400" s="12" t="str">
        <x:f>IF(OR(R400="unavailable",T400="unavailable"),"不可评价",IF(OR(R400="equivocal",T400="equivocal"),"疑似",IF(AND(R400="positive",T400="positive"),"a",IF(T400="positive","b",IF(R400="positive","c","d")))))</x:f>
        <x:v>d</x:v>
      </x:c>
      <x:c r="V400" s="12"/>
      <x:c r="W400" s="12" t="str">
        <x:v>negative</x:v>
      </x:c>
      <x:c r="X400" s="12"/>
      <x:c r="Y400" s="12" t="str">
        <x:v>negative</x:v>
      </x:c>
      <x:c r="Z400" s="12" t="str">
        <x:f>IF(OR(W400="unavailable",Y400="unavailable"),"不可评价",IF(OR(W400="equivocal",Y400="equivocal"),"疑似",IF(AND(W400="positive",Y400="positive"),"a",IF(Y400="positive","b",IF(W400="positive","c","d")))))</x:f>
        <x:v>d</x:v>
      </x:c>
      <x:c r="AA400" s="12" t="str">
        <x:f>IF(OR(M400="unavailable",O400="unavailable"),"不可评价",IF(AND(OR(M400="positive",M400="equivocal"),OR(O400="positive",O400="equivocal")),"a",IF(OR(O400="positive",O400="equivocal"),"b",IF(OR(M400="positive",M400="equivocal"),"c","d"))))</x:f>
        <x:v>d</x:v>
      </x:c>
      <x:c r="AB400" s="12" t="str">
        <x:f>IF(OR(M400="unavailable",O400="unavailable"),"不可评价",IF(AND(M400="positive",O400="positive"),"a",IF(O400="positive","b",IF(M400="positive","c","d"))))</x:f>
        <x:v>d</x:v>
      </x:c>
      <x:c r="AC400" s="12" t="str">
        <x:f>IF(OR(R400="unavailable",T400="unavailable"),"不可评价",IF(AND(OR(R400="positive",R400="equivocal"),OR(T400="positive",T400="equivocal")),"a",IF(OR(T400="positive",T400="equivocal"),"b",IF(OR(R400="positive",R400="equivocal"),"c","d"))))</x:f>
        <x:v>d</x:v>
      </x:c>
      <x:c r="AD400" s="12" t="str">
        <x:f>IF(OR(R400="unavailable",T400="unavailable"),"不可评价",IF(AND(R400="positive",T400="positive"),"a",IF(T400="positive","b",IF(R400="positive","c","d"))))</x:f>
        <x:v>d</x:v>
      </x:c>
      <x:c r="AE400" s="12" t="str">
        <x:f>IF(OR(W400="unavailable",Y400="unavailable"),"不可评价",IF(AND(OR(W400="positive",W400="equivocal"),OR(Y400="positive",Y400="equivocal")),"a",IF(OR(Y400="positive",Y400="equivocal"),"b",IF(OR(W400="positive",W400="equivocal"),"c","d"))))</x:f>
        <x:v>d</x:v>
      </x:c>
      <x:c r="AF400" s="12" t="str">
        <x:f>IF(OR(W400="unavailable",Y400="unavailable"),"不可评价",IF(AND(W400="positive",Y400="positive"),"a",IF(Y400="positive","b",IF(W400="positive","c","d"))))</x:f>
        <x:v>d</x:v>
      </x:c>
    </x:row>
    <x:row r="401" ht="24" customHeight="1">
      <x:c r="A401" s="12" t="str">
        <x:v>3159</x:v>
      </x:c>
      <x:c r="B401" s="12" t="str">
        <x:v>1568</x:v>
      </x:c>
      <x:c r="C401" s="21" t="n">
        <x:v>32711.316550925927</x:v>
      </x:c>
      <x:c r="D401" s="12" t="n">
        <x:v>74</x:v>
      </x:c>
      <x:c r="E401" s="12" t="n">
        <x:v>1</x:v>
      </x:c>
      <x:c r="F401" s="12" t="str">
        <x:v>未记录</x:v>
      </x:c>
      <x:c r="G401" s="12" t="n">
        <x:v>1</x:v>
      </x:c>
      <x:c r="H401" s="12" t="str">
        <x:v>{'NORM': 100.0, 'SR': 0.0}</x:v>
      </x:c>
      <x:c r="I401" s="12" t="str">
        <x:v>[('NSR', 100.0), ('NML', 100.0)]</x:v>
      </x:c>
      <x:c r="J401" s="12" t="str">
        <x:v>ptbxl_database.csv；ecg_id=3159；scp_codes</x:v>
      </x:c>
      <x:c r="K401" s="12" t="str">
        <x:v>12sl_statements.csv；ecg_id=3159；statements_ext_snomed</x:v>
      </x:c>
      <x:c r="L401" s="12"/>
      <x:c r="M401" s="12" t="str">
        <x:v>negative</x:v>
      </x:c>
      <x:c r="N401" s="12"/>
      <x:c r="O401" s="12" t="str">
        <x:v>negative</x:v>
      </x:c>
      <x:c r="P401" s="12" t="str">
        <x:f>IF(OR(M401="unavailable",O401="unavailable"),"不可评价",IF(OR(M401="equivocal",O401="equivocal"),"疑似",IF(AND(M401="positive",O401="positive"),"a",IF(O401="positive","b",IF(M401="positive","c","d")))))</x:f>
        <x:v>d</x:v>
      </x:c>
      <x:c r="Q401" s="12"/>
      <x:c r="R401" s="12" t="str">
        <x:v>negative</x:v>
      </x:c>
      <x:c r="S401" s="12"/>
      <x:c r="T401" s="12" t="str">
        <x:v>negative</x:v>
      </x:c>
      <x:c r="U401" s="12" t="str">
        <x:f>IF(OR(R401="unavailable",T401="unavailable"),"不可评价",IF(OR(R401="equivocal",T401="equivocal"),"疑似",IF(AND(R401="positive",T401="positive"),"a",IF(T401="positive","b",IF(R401="positive","c","d")))))</x:f>
        <x:v>d</x:v>
      </x:c>
      <x:c r="V401" s="12"/>
      <x:c r="W401" s="12" t="str">
        <x:v>negative</x:v>
      </x:c>
      <x:c r="X401" s="12"/>
      <x:c r="Y401" s="12" t="str">
        <x:v>negative</x:v>
      </x:c>
      <x:c r="Z401" s="12" t="str">
        <x:f>IF(OR(W401="unavailable",Y401="unavailable"),"不可评价",IF(OR(W401="equivocal",Y401="equivocal"),"疑似",IF(AND(W401="positive",Y401="positive"),"a",IF(Y401="positive","b",IF(W401="positive","c","d")))))</x:f>
        <x:v>d</x:v>
      </x:c>
      <x:c r="AA401" s="12" t="str">
        <x:f>IF(OR(M401="unavailable",O401="unavailable"),"不可评价",IF(AND(OR(M401="positive",M401="equivocal"),OR(O401="positive",O401="equivocal")),"a",IF(OR(O401="positive",O401="equivocal"),"b",IF(OR(M401="positive",M401="equivocal"),"c","d"))))</x:f>
        <x:v>d</x:v>
      </x:c>
      <x:c r="AB401" s="12" t="str">
        <x:f>IF(OR(M401="unavailable",O401="unavailable"),"不可评价",IF(AND(M401="positive",O401="positive"),"a",IF(O401="positive","b",IF(M401="positive","c","d"))))</x:f>
        <x:v>d</x:v>
      </x:c>
      <x:c r="AC401" s="12" t="str">
        <x:f>IF(OR(R401="unavailable",T401="unavailable"),"不可评价",IF(AND(OR(R401="positive",R401="equivocal"),OR(T401="positive",T401="equivocal")),"a",IF(OR(T401="positive",T401="equivocal"),"b",IF(OR(R401="positive",R401="equivocal"),"c","d"))))</x:f>
        <x:v>d</x:v>
      </x:c>
      <x:c r="AD401" s="12" t="str">
        <x:f>IF(OR(R401="unavailable",T401="unavailable"),"不可评价",IF(AND(R401="positive",T401="positive"),"a",IF(T401="positive","b",IF(R401="positive","c","d"))))</x:f>
        <x:v>d</x:v>
      </x:c>
      <x:c r="AE401" s="12" t="str">
        <x:f>IF(OR(W401="unavailable",Y401="unavailable"),"不可评价",IF(AND(OR(W401="positive",W401="equivocal"),OR(Y401="positive",Y401="equivocal")),"a",IF(OR(Y401="positive",Y401="equivocal"),"b",IF(OR(W401="positive",W401="equivocal"),"c","d"))))</x:f>
        <x:v>d</x:v>
      </x:c>
      <x:c r="AF401" s="12" t="str">
        <x:f>IF(OR(W401="unavailable",Y401="unavailable"),"不可评价",IF(AND(W401="positive",Y401="positive"),"a",IF(Y401="positive","b",IF(W401="positive","c","d"))))</x:f>
        <x:v>d</x:v>
      </x:c>
    </x:row>
    <x:row r="402" ht="24" customHeight="1">
      <x:c r="A402" s="12" t="str">
        <x:v>3164</x:v>
      </x:c>
      <x:c r="B402" s="12" t="str">
        <x:v>1674</x:v>
      </x:c>
      <x:c r="C402" s="21" t="n">
        <x:v>32711.659375</x:v>
      </x:c>
      <x:c r="D402" s="12" t="n">
        <x:v>45</x:v>
      </x:c>
      <x:c r="E402" s="12" t="n">
        <x:v>0</x:v>
      </x:c>
      <x:c r="F402" s="12" t="str">
        <x:v>未记录</x:v>
      </x:c>
      <x:c r="G402" s="12" t="n">
        <x:v>1</x:v>
      </x:c>
      <x:c r="H402" s="12" t="str">
        <x:v>{'NORM': 100.0, 'SR': 0.0}</x:v>
      </x:c>
      <x:c r="I402" s="12" t="str">
        <x:v>[('NSR', 100.0), ('NML', 100.0)]</x:v>
      </x:c>
      <x:c r="J402" s="12" t="str">
        <x:v>ptbxl_database.csv；ecg_id=3164；scp_codes</x:v>
      </x:c>
      <x:c r="K402" s="12" t="str">
        <x:v>12sl_statements.csv；ecg_id=3164；statements_ext_snomed</x:v>
      </x:c>
      <x:c r="L402" s="12"/>
      <x:c r="M402" s="12" t="str">
        <x:v>negative</x:v>
      </x:c>
      <x:c r="N402" s="12"/>
      <x:c r="O402" s="12" t="str">
        <x:v>negative</x:v>
      </x:c>
      <x:c r="P402" s="12" t="str">
        <x:f>IF(OR(M402="unavailable",O402="unavailable"),"不可评价",IF(OR(M402="equivocal",O402="equivocal"),"疑似",IF(AND(M402="positive",O402="positive"),"a",IF(O402="positive","b",IF(M402="positive","c","d")))))</x:f>
        <x:v>d</x:v>
      </x:c>
      <x:c r="Q402" s="12"/>
      <x:c r="R402" s="12" t="str">
        <x:v>negative</x:v>
      </x:c>
      <x:c r="S402" s="12"/>
      <x:c r="T402" s="12" t="str">
        <x:v>negative</x:v>
      </x:c>
      <x:c r="U402" s="12" t="str">
        <x:f>IF(OR(R402="unavailable",T402="unavailable"),"不可评价",IF(OR(R402="equivocal",T402="equivocal"),"疑似",IF(AND(R402="positive",T402="positive"),"a",IF(T402="positive","b",IF(R402="positive","c","d")))))</x:f>
        <x:v>d</x:v>
      </x:c>
      <x:c r="V402" s="12"/>
      <x:c r="W402" s="12" t="str">
        <x:v>negative</x:v>
      </x:c>
      <x:c r="X402" s="12"/>
      <x:c r="Y402" s="12" t="str">
        <x:v>negative</x:v>
      </x:c>
      <x:c r="Z402" s="12" t="str">
        <x:f>IF(OR(W402="unavailable",Y402="unavailable"),"不可评价",IF(OR(W402="equivocal",Y402="equivocal"),"疑似",IF(AND(W402="positive",Y402="positive"),"a",IF(Y402="positive","b",IF(W402="positive","c","d")))))</x:f>
        <x:v>d</x:v>
      </x:c>
      <x:c r="AA402" s="12" t="str">
        <x:f>IF(OR(M402="unavailable",O402="unavailable"),"不可评价",IF(AND(OR(M402="positive",M402="equivocal"),OR(O402="positive",O402="equivocal")),"a",IF(OR(O402="positive",O402="equivocal"),"b",IF(OR(M402="positive",M402="equivocal"),"c","d"))))</x:f>
        <x:v>d</x:v>
      </x:c>
      <x:c r="AB402" s="12" t="str">
        <x:f>IF(OR(M402="unavailable",O402="unavailable"),"不可评价",IF(AND(M402="positive",O402="positive"),"a",IF(O402="positive","b",IF(M402="positive","c","d"))))</x:f>
        <x:v>d</x:v>
      </x:c>
      <x:c r="AC402" s="12" t="str">
        <x:f>IF(OR(R402="unavailable",T402="unavailable"),"不可评价",IF(AND(OR(R402="positive",R402="equivocal"),OR(T402="positive",T402="equivocal")),"a",IF(OR(T402="positive",T402="equivocal"),"b",IF(OR(R402="positive",R402="equivocal"),"c","d"))))</x:f>
        <x:v>d</x:v>
      </x:c>
      <x:c r="AD402" s="12" t="str">
        <x:f>IF(OR(R402="unavailable",T402="unavailable"),"不可评价",IF(AND(R402="positive",T402="positive"),"a",IF(T402="positive","b",IF(R402="positive","c","d"))))</x:f>
        <x:v>d</x:v>
      </x:c>
      <x:c r="AE402" s="12" t="str">
        <x:f>IF(OR(W402="unavailable",Y402="unavailable"),"不可评价",IF(AND(OR(W402="positive",W402="equivocal"),OR(Y402="positive",Y402="equivocal")),"a",IF(OR(Y402="positive",Y402="equivocal"),"b",IF(OR(W402="positive",W402="equivocal"),"c","d"))))</x:f>
        <x:v>d</x:v>
      </x:c>
      <x:c r="AF402" s="12" t="str">
        <x:f>IF(OR(W402="unavailable",Y402="unavailable"),"不可评价",IF(AND(W402="positive",Y402="positive"),"a",IF(Y402="positive","b",IF(W402="positive","c","d"))))</x:f>
        <x:v>d</x:v>
      </x:c>
    </x:row>
    <x:row r="403" ht="24" customHeight="1">
      <x:c r="A403" s="12" t="str">
        <x:v>3165</x:v>
      </x:c>
      <x:c r="B403" s="12" t="str">
        <x:v>6323</x:v>
      </x:c>
      <x:c r="C403" s="21" t="n">
        <x:v>32712.332372685185</x:v>
      </x:c>
      <x:c r="D403" s="12" t="n">
        <x:v>36</x:v>
      </x:c>
      <x:c r="E403" s="12" t="n">
        <x:v>1</x:v>
      </x:c>
      <x:c r="F403" s="12" t="str">
        <x:v>未记录</x:v>
      </x:c>
      <x:c r="G403" s="12" t="n">
        <x:v>1</x:v>
      </x:c>
      <x:c r="H403" s="12" t="str">
        <x:v>{'NORM': 100.0, 'SR': 0.0}</x:v>
      </x:c>
      <x:c r="I403" s="12" t="str">
        <x:v>[('NSR', 100.0), ('NML', 100.0)]</x:v>
      </x:c>
      <x:c r="J403" s="12" t="str">
        <x:v>ptbxl_database.csv；ecg_id=3165；scp_codes</x:v>
      </x:c>
      <x:c r="K403" s="12" t="str">
        <x:v>12sl_statements.csv；ecg_id=3165；statements_ext_snomed</x:v>
      </x:c>
      <x:c r="L403" s="12"/>
      <x:c r="M403" s="12" t="str">
        <x:v>negative</x:v>
      </x:c>
      <x:c r="N403" s="12"/>
      <x:c r="O403" s="12" t="str">
        <x:v>negative</x:v>
      </x:c>
      <x:c r="P403" s="12" t="str">
        <x:f>IF(OR(M403="unavailable",O403="unavailable"),"不可评价",IF(OR(M403="equivocal",O403="equivocal"),"疑似",IF(AND(M403="positive",O403="positive"),"a",IF(O403="positive","b",IF(M403="positive","c","d")))))</x:f>
        <x:v>d</x:v>
      </x:c>
      <x:c r="Q403" s="12"/>
      <x:c r="R403" s="12" t="str">
        <x:v>negative</x:v>
      </x:c>
      <x:c r="S403" s="12"/>
      <x:c r="T403" s="12" t="str">
        <x:v>negative</x:v>
      </x:c>
      <x:c r="U403" s="12" t="str">
        <x:f>IF(OR(R403="unavailable",T403="unavailable"),"不可评价",IF(OR(R403="equivocal",T403="equivocal"),"疑似",IF(AND(R403="positive",T403="positive"),"a",IF(T403="positive","b",IF(R403="positive","c","d")))))</x:f>
        <x:v>d</x:v>
      </x:c>
      <x:c r="V403" s="12"/>
      <x:c r="W403" s="12" t="str">
        <x:v>negative</x:v>
      </x:c>
      <x:c r="X403" s="12"/>
      <x:c r="Y403" s="12" t="str">
        <x:v>negative</x:v>
      </x:c>
      <x:c r="Z403" s="12" t="str">
        <x:f>IF(OR(W403="unavailable",Y403="unavailable"),"不可评价",IF(OR(W403="equivocal",Y403="equivocal"),"疑似",IF(AND(W403="positive",Y403="positive"),"a",IF(Y403="positive","b",IF(W403="positive","c","d")))))</x:f>
        <x:v>d</x:v>
      </x:c>
      <x:c r="AA403" s="12" t="str">
        <x:f>IF(OR(M403="unavailable",O403="unavailable"),"不可评价",IF(AND(OR(M403="positive",M403="equivocal"),OR(O403="positive",O403="equivocal")),"a",IF(OR(O403="positive",O403="equivocal"),"b",IF(OR(M403="positive",M403="equivocal"),"c","d"))))</x:f>
        <x:v>d</x:v>
      </x:c>
      <x:c r="AB403" s="12" t="str">
        <x:f>IF(OR(M403="unavailable",O403="unavailable"),"不可评价",IF(AND(M403="positive",O403="positive"),"a",IF(O403="positive","b",IF(M403="positive","c","d"))))</x:f>
        <x:v>d</x:v>
      </x:c>
      <x:c r="AC403" s="12" t="str">
        <x:f>IF(OR(R403="unavailable",T403="unavailable"),"不可评价",IF(AND(OR(R403="positive",R403="equivocal"),OR(T403="positive",T403="equivocal")),"a",IF(OR(T403="positive",T403="equivocal"),"b",IF(OR(R403="positive",R403="equivocal"),"c","d"))))</x:f>
        <x:v>d</x:v>
      </x:c>
      <x:c r="AD403" s="12" t="str">
        <x:f>IF(OR(R403="unavailable",T403="unavailable"),"不可评价",IF(AND(R403="positive",T403="positive"),"a",IF(T403="positive","b",IF(R403="positive","c","d"))))</x:f>
        <x:v>d</x:v>
      </x:c>
      <x:c r="AE403" s="12" t="str">
        <x:f>IF(OR(W403="unavailable",Y403="unavailable"),"不可评价",IF(AND(OR(W403="positive",W403="equivocal"),OR(Y403="positive",Y403="equivocal")),"a",IF(OR(Y403="positive",Y403="equivocal"),"b",IF(OR(W403="positive",W403="equivocal"),"c","d"))))</x:f>
        <x:v>d</x:v>
      </x:c>
      <x:c r="AF403" s="12" t="str">
        <x:f>IF(OR(W403="unavailable",Y403="unavailable"),"不可评价",IF(AND(W403="positive",Y403="positive"),"a",IF(Y403="positive","b",IF(W403="positive","c","d"))))</x:f>
        <x:v>d</x:v>
      </x:c>
    </x:row>
    <x:row r="404" ht="24" customHeight="1">
      <x:c r="A404" s="12" t="str">
        <x:v>3174</x:v>
      </x:c>
      <x:c r="B404" s="12" t="str">
        <x:v>12856</x:v>
      </x:c>
      <x:c r="C404" s="21" t="n">
        <x:v>32713.037974537037</x:v>
      </x:c>
      <x:c r="D404" s="12" t="n">
        <x:v>27</x:v>
      </x:c>
      <x:c r="E404" s="12" t="n">
        <x:v>1</x:v>
      </x:c>
      <x:c r="F404" s="12" t="str">
        <x:v>未记录</x:v>
      </x:c>
      <x:c r="G404" s="12" t="n">
        <x:v>1</x:v>
      </x:c>
      <x:c r="H404" s="12" t="str">
        <x:v>{'NORM': 100.0, 'SR': 0.0}</x:v>
      </x:c>
      <x:c r="I404" s="12" t="str">
        <x:v>[('NSR', 100.0), ('NML', 100.0)]</x:v>
      </x:c>
      <x:c r="J404" s="12" t="str">
        <x:v>ptbxl_database.csv；ecg_id=3174；scp_codes</x:v>
      </x:c>
      <x:c r="K404" s="12" t="str">
        <x:v>12sl_statements.csv；ecg_id=3174；statements_ext_snomed</x:v>
      </x:c>
      <x:c r="L404" s="12"/>
      <x:c r="M404" s="12" t="str">
        <x:v>negative</x:v>
      </x:c>
      <x:c r="N404" s="12"/>
      <x:c r="O404" s="12" t="str">
        <x:v>negative</x:v>
      </x:c>
      <x:c r="P404" s="12" t="str">
        <x:f>IF(OR(M404="unavailable",O404="unavailable"),"不可评价",IF(OR(M404="equivocal",O404="equivocal"),"疑似",IF(AND(M404="positive",O404="positive"),"a",IF(O404="positive","b",IF(M404="positive","c","d")))))</x:f>
        <x:v>d</x:v>
      </x:c>
      <x:c r="Q404" s="12"/>
      <x:c r="R404" s="12" t="str">
        <x:v>negative</x:v>
      </x:c>
      <x:c r="S404" s="12"/>
      <x:c r="T404" s="12" t="str">
        <x:v>negative</x:v>
      </x:c>
      <x:c r="U404" s="12" t="str">
        <x:f>IF(OR(R404="unavailable",T404="unavailable"),"不可评价",IF(OR(R404="equivocal",T404="equivocal"),"疑似",IF(AND(R404="positive",T404="positive"),"a",IF(T404="positive","b",IF(R404="positive","c","d")))))</x:f>
        <x:v>d</x:v>
      </x:c>
      <x:c r="V404" s="12"/>
      <x:c r="W404" s="12" t="str">
        <x:v>negative</x:v>
      </x:c>
      <x:c r="X404" s="12"/>
      <x:c r="Y404" s="12" t="str">
        <x:v>negative</x:v>
      </x:c>
      <x:c r="Z404" s="12" t="str">
        <x:f>IF(OR(W404="unavailable",Y404="unavailable"),"不可评价",IF(OR(W404="equivocal",Y404="equivocal"),"疑似",IF(AND(W404="positive",Y404="positive"),"a",IF(Y404="positive","b",IF(W404="positive","c","d")))))</x:f>
        <x:v>d</x:v>
      </x:c>
      <x:c r="AA404" s="12" t="str">
        <x:f>IF(OR(M404="unavailable",O404="unavailable"),"不可评价",IF(AND(OR(M404="positive",M404="equivocal"),OR(O404="positive",O404="equivocal")),"a",IF(OR(O404="positive",O404="equivocal"),"b",IF(OR(M404="positive",M404="equivocal"),"c","d"))))</x:f>
        <x:v>d</x:v>
      </x:c>
      <x:c r="AB404" s="12" t="str">
        <x:f>IF(OR(M404="unavailable",O404="unavailable"),"不可评价",IF(AND(M404="positive",O404="positive"),"a",IF(O404="positive","b",IF(M404="positive","c","d"))))</x:f>
        <x:v>d</x:v>
      </x:c>
      <x:c r="AC404" s="12" t="str">
        <x:f>IF(OR(R404="unavailable",T404="unavailable"),"不可评价",IF(AND(OR(R404="positive",R404="equivocal"),OR(T404="positive",T404="equivocal")),"a",IF(OR(T404="positive",T404="equivocal"),"b",IF(OR(R404="positive",R404="equivocal"),"c","d"))))</x:f>
        <x:v>d</x:v>
      </x:c>
      <x:c r="AD404" s="12" t="str">
        <x:f>IF(OR(R404="unavailable",T404="unavailable"),"不可评价",IF(AND(R404="positive",T404="positive"),"a",IF(T404="positive","b",IF(R404="positive","c","d"))))</x:f>
        <x:v>d</x:v>
      </x:c>
      <x:c r="AE404" s="12" t="str">
        <x:f>IF(OR(W404="unavailable",Y404="unavailable"),"不可评价",IF(AND(OR(W404="positive",W404="equivocal"),OR(Y404="positive",Y404="equivocal")),"a",IF(OR(Y404="positive",Y404="equivocal"),"b",IF(OR(W404="positive",W404="equivocal"),"c","d"))))</x:f>
        <x:v>d</x:v>
      </x:c>
      <x:c r="AF404" s="12" t="str">
        <x:f>IF(OR(W404="unavailable",Y404="unavailable"),"不可评价",IF(AND(W404="positive",Y404="positive"),"a",IF(Y404="positive","b",IF(W404="positive","c","d"))))</x:f>
        <x:v>d</x:v>
      </x:c>
    </x:row>
    <x:row r="405" ht="24" customHeight="1">
      <x:c r="A405" s="12" t="str">
        <x:v>3201</x:v>
      </x:c>
      <x:c r="B405" s="12" t="str">
        <x:v>5902</x:v>
      </x:c>
      <x:c r="C405" s="21" t="n">
        <x:v>32714.63306712963</x:v>
      </x:c>
      <x:c r="D405" s="12" t="n">
        <x:v>66</x:v>
      </x:c>
      <x:c r="E405" s="12" t="n">
        <x:v>0</x:v>
      </x:c>
      <x:c r="F405" s="12" t="str">
        <x:v>未记录</x:v>
      </x:c>
      <x:c r="G405" s="12" t="n">
        <x:v>1</x:v>
      </x:c>
      <x:c r="H405" s="12" t="str">
        <x:v>{'LAFB': 100.0, 'SR': 0.0}</x:v>
      </x:c>
      <x:c r="I405" s="12" t="str">
        <x:v>[('NSR', 100.0), ('AFB', 100.0), ('AB', 100.0)]</x:v>
      </x:c>
      <x:c r="J405" s="12" t="str">
        <x:v>ptbxl_database.csv；ecg_id=3201；scp_codes</x:v>
      </x:c>
      <x:c r="K405" s="12" t="str">
        <x:v>12sl_statements.csv；ecg_id=3201；statements_ext_snomed</x:v>
      </x:c>
      <x:c r="L405" s="12"/>
      <x:c r="M405" s="12" t="str">
        <x:v>negative</x:v>
      </x:c>
      <x:c r="N405" s="12"/>
      <x:c r="O405" s="12" t="str">
        <x:v>negative</x:v>
      </x:c>
      <x:c r="P405" s="12" t="str">
        <x:f>IF(OR(M405="unavailable",O405="unavailable"),"不可评价",IF(OR(M405="equivocal",O405="equivocal"),"疑似",IF(AND(M405="positive",O405="positive"),"a",IF(O405="positive","b",IF(M405="positive","c","d")))))</x:f>
        <x:v>d</x:v>
      </x:c>
      <x:c r="Q405" s="12"/>
      <x:c r="R405" s="12" t="str">
        <x:v>negative</x:v>
      </x:c>
      <x:c r="S405" s="12"/>
      <x:c r="T405" s="12" t="str">
        <x:v>negative</x:v>
      </x:c>
      <x:c r="U405" s="12" t="str">
        <x:f>IF(OR(R405="unavailable",T405="unavailable"),"不可评价",IF(OR(R405="equivocal",T405="equivocal"),"疑似",IF(AND(R405="positive",T405="positive"),"a",IF(T405="positive","b",IF(R405="positive","c","d")))))</x:f>
        <x:v>d</x:v>
      </x:c>
      <x:c r="V405" s="12"/>
      <x:c r="W405" s="12" t="str">
        <x:v>negative</x:v>
      </x:c>
      <x:c r="X405" s="12"/>
      <x:c r="Y405" s="12" t="str">
        <x:v>negative</x:v>
      </x:c>
      <x:c r="Z405" s="12" t="str">
        <x:f>IF(OR(W405="unavailable",Y405="unavailable"),"不可评价",IF(OR(W405="equivocal",Y405="equivocal"),"疑似",IF(AND(W405="positive",Y405="positive"),"a",IF(Y405="positive","b",IF(W405="positive","c","d")))))</x:f>
        <x:v>d</x:v>
      </x:c>
      <x:c r="AA405" s="12" t="str">
        <x:f>IF(OR(M405="unavailable",O405="unavailable"),"不可评价",IF(AND(OR(M405="positive",M405="equivocal"),OR(O405="positive",O405="equivocal")),"a",IF(OR(O405="positive",O405="equivocal"),"b",IF(OR(M405="positive",M405="equivocal"),"c","d"))))</x:f>
        <x:v>d</x:v>
      </x:c>
      <x:c r="AB405" s="12" t="str">
        <x:f>IF(OR(M405="unavailable",O405="unavailable"),"不可评价",IF(AND(M405="positive",O405="positive"),"a",IF(O405="positive","b",IF(M405="positive","c","d"))))</x:f>
        <x:v>d</x:v>
      </x:c>
      <x:c r="AC405" s="12" t="str">
        <x:f>IF(OR(R405="unavailable",T405="unavailable"),"不可评价",IF(AND(OR(R405="positive",R405="equivocal"),OR(T405="positive",T405="equivocal")),"a",IF(OR(T405="positive",T405="equivocal"),"b",IF(OR(R405="positive",R405="equivocal"),"c","d"))))</x:f>
        <x:v>d</x:v>
      </x:c>
      <x:c r="AD405" s="12" t="str">
        <x:f>IF(OR(R405="unavailable",T405="unavailable"),"不可评价",IF(AND(R405="positive",T405="positive"),"a",IF(T405="positive","b",IF(R405="positive","c","d"))))</x:f>
        <x:v>d</x:v>
      </x:c>
      <x:c r="AE405" s="12" t="str">
        <x:f>IF(OR(W405="unavailable",Y405="unavailable"),"不可评价",IF(AND(OR(W405="positive",W405="equivocal"),OR(Y405="positive",Y405="equivocal")),"a",IF(OR(Y405="positive",Y405="equivocal"),"b",IF(OR(W405="positive",W405="equivocal"),"c","d"))))</x:f>
        <x:v>d</x:v>
      </x:c>
      <x:c r="AF405" s="12" t="str">
        <x:f>IF(OR(W405="unavailable",Y405="unavailable"),"不可评价",IF(AND(W405="positive",Y405="positive"),"a",IF(Y405="positive","b",IF(W405="positive","c","d"))))</x:f>
        <x:v>d</x:v>
      </x:c>
    </x:row>
    <x:row r="406" ht="24" customHeight="1">
      <x:c r="A406" s="12" t="str">
        <x:v>3208</x:v>
      </x:c>
      <x:c r="B406" s="12" t="str">
        <x:v>14560</x:v>
      </x:c>
      <x:c r="C406" s="21" t="n">
        <x:v>32716.64883101852</x:v>
      </x:c>
      <x:c r="D406" s="12" t="n">
        <x:v>79</x:v>
      </x:c>
      <x:c r="E406" s="12" t="n">
        <x:v>1</x:v>
      </x:c>
      <x:c r="F406" s="12" t="str">
        <x:v>未记录</x:v>
      </x:c>
      <x:c r="G406" s="12" t="n">
        <x:v>1</x:v>
      </x:c>
      <x:c r="H406" s="12" t="str">
        <x:v>{'IMI': 15.0, 'NDT': 100.0, 'ABQRS': 0.0, 'VCLVH': 0.0, 'SR': 0.0}</x:v>
      </x:c>
      <x:c r="I406" s="12" t="str">
        <x:v>[('NSR', 100.0), ('IMI;AU', 100.0), ('AB', 100.0)]</x:v>
      </x:c>
      <x:c r="J406" s="12" t="str">
        <x:v>ptbxl_database.csv；ecg_id=3208；scp_codes</x:v>
      </x:c>
      <x:c r="K406" s="12" t="str">
        <x:v>12sl_statements.csv；ecg_id=3208；statements_ext_snomed</x:v>
      </x:c>
      <x:c r="L406" s="12"/>
      <x:c r="M406" s="12" t="str">
        <x:v>negative</x:v>
      </x:c>
      <x:c r="N406" s="12"/>
      <x:c r="O406" s="12" t="str">
        <x:v>negative</x:v>
      </x:c>
      <x:c r="P406" s="12" t="str">
        <x:f>IF(OR(M406="unavailable",O406="unavailable"),"不可评价",IF(OR(M406="equivocal",O406="equivocal"),"疑似",IF(AND(M406="positive",O406="positive"),"a",IF(O406="positive","b",IF(M406="positive","c","d")))))</x:f>
        <x:v>d</x:v>
      </x:c>
      <x:c r="Q406" s="12"/>
      <x:c r="R406" s="12" t="str">
        <x:v>negative</x:v>
      </x:c>
      <x:c r="S406" s="12"/>
      <x:c r="T406" s="12" t="str">
        <x:v>negative</x:v>
      </x:c>
      <x:c r="U406" s="12" t="str">
        <x:f>IF(OR(R406="unavailable",T406="unavailable"),"不可评价",IF(OR(R406="equivocal",T406="equivocal"),"疑似",IF(AND(R406="positive",T406="positive"),"a",IF(T406="positive","b",IF(R406="positive","c","d")))))</x:f>
        <x:v>d</x:v>
      </x:c>
      <x:c r="V406" s="12"/>
      <x:c r="W406" s="12" t="str">
        <x:v>negative</x:v>
      </x:c>
      <x:c r="X406" s="12"/>
      <x:c r="Y406" s="12" t="str">
        <x:v>negative</x:v>
      </x:c>
      <x:c r="Z406" s="12" t="str">
        <x:f>IF(OR(W406="unavailable",Y406="unavailable"),"不可评价",IF(OR(W406="equivocal",Y406="equivocal"),"疑似",IF(AND(W406="positive",Y406="positive"),"a",IF(Y406="positive","b",IF(W406="positive","c","d")))))</x:f>
        <x:v>d</x:v>
      </x:c>
      <x:c r="AA406" s="12" t="str">
        <x:f>IF(OR(M406="unavailable",O406="unavailable"),"不可评价",IF(AND(OR(M406="positive",M406="equivocal"),OR(O406="positive",O406="equivocal")),"a",IF(OR(O406="positive",O406="equivocal"),"b",IF(OR(M406="positive",M406="equivocal"),"c","d"))))</x:f>
        <x:v>d</x:v>
      </x:c>
      <x:c r="AB406" s="12" t="str">
        <x:f>IF(OR(M406="unavailable",O406="unavailable"),"不可评价",IF(AND(M406="positive",O406="positive"),"a",IF(O406="positive","b",IF(M406="positive","c","d"))))</x:f>
        <x:v>d</x:v>
      </x:c>
      <x:c r="AC406" s="12" t="str">
        <x:f>IF(OR(R406="unavailable",T406="unavailable"),"不可评价",IF(AND(OR(R406="positive",R406="equivocal"),OR(T406="positive",T406="equivocal")),"a",IF(OR(T406="positive",T406="equivocal"),"b",IF(OR(R406="positive",R406="equivocal"),"c","d"))))</x:f>
        <x:v>d</x:v>
      </x:c>
      <x:c r="AD406" s="12" t="str">
        <x:f>IF(OR(R406="unavailable",T406="unavailable"),"不可评价",IF(AND(R406="positive",T406="positive"),"a",IF(T406="positive","b",IF(R406="positive","c","d"))))</x:f>
        <x:v>d</x:v>
      </x:c>
      <x:c r="AE406" s="12" t="str">
        <x:f>IF(OR(W406="unavailable",Y406="unavailable"),"不可评价",IF(AND(OR(W406="positive",W406="equivocal"),OR(Y406="positive",Y406="equivocal")),"a",IF(OR(Y406="positive",Y406="equivocal"),"b",IF(OR(W406="positive",W406="equivocal"),"c","d"))))</x:f>
        <x:v>d</x:v>
      </x:c>
      <x:c r="AF406" s="12" t="str">
        <x:f>IF(OR(W406="unavailable",Y406="unavailable"),"不可评价",IF(AND(W406="positive",Y406="positive"),"a",IF(Y406="positive","b",IF(W406="positive","c","d"))))</x:f>
        <x:v>d</x:v>
      </x:c>
    </x:row>
    <x:row r="407" ht="24" customHeight="1">
      <x:c r="A407" s="12" t="str">
        <x:v>3215</x:v>
      </x:c>
      <x:c r="B407" s="12" t="str">
        <x:v>2780</x:v>
      </x:c>
      <x:c r="C407" s="21" t="n">
        <x:v>32717.48116898148</x:v>
      </x:c>
      <x:c r="D407" s="12" t="n">
        <x:v>80</x:v>
      </x:c>
      <x:c r="E407" s="12" t="n">
        <x:v>1</x:v>
      </x:c>
      <x:c r="F407" s="12" t="str">
        <x:v>未记录</x:v>
      </x:c>
      <x:c r="G407" s="12" t="n">
        <x:v>1</x:v>
      </x:c>
      <x:c r="H407" s="12" t="str">
        <x:v>{'LVH': 50.0, 'PVC': 100.0, 'NST_': 0.0, 'AFIB': 0.0}</x:v>
      </x:c>
      <x:c r="I407" s="12" t="str">
        <x:v>[('AFIB', 100.0), ('RVR', 100.0), ('ABER', 100.0), ('NSTT', 100.0), ('AB', 100.0)]</x:v>
      </x:c>
      <x:c r="J407" s="12" t="str">
        <x:v>ptbxl_database.csv；ecg_id=3215；scp_codes</x:v>
      </x:c>
      <x:c r="K407" s="12" t="str">
        <x:v>12sl_statements.csv；ecg_id=3215；statements_ext_snomed</x:v>
      </x:c>
      <x:c r="L407" s="12" t="n">
        <x:v>0</x:v>
      </x:c>
      <x:c r="M407" s="12" t="str">
        <x:v>positive</x:v>
      </x:c>
      <x:c r="N407" s="12" t="n">
        <x:v>100</x:v>
      </x:c>
      <x:c r="O407" s="12" t="str">
        <x:v>positive</x:v>
      </x:c>
      <x:c r="P407" s="12" t="str">
        <x:f>IF(OR(M407="unavailable",O407="unavailable"),"不可评价",IF(OR(M407="equivocal",O407="equivocal"),"疑似",IF(AND(M407="positive",O407="positive"),"a",IF(O407="positive","b",IF(M407="positive","c","d")))))</x:f>
        <x:v>a</x:v>
      </x:c>
      <x:c r="Q407" s="12"/>
      <x:c r="R407" s="12" t="str">
        <x:v>negative</x:v>
      </x:c>
      <x:c r="S407" s="12"/>
      <x:c r="T407" s="12" t="str">
        <x:v>negative</x:v>
      </x:c>
      <x:c r="U407" s="12" t="str">
        <x:f>IF(OR(R407="unavailable",T407="unavailable"),"不可评价",IF(OR(R407="equivocal",T407="equivocal"),"疑似",IF(AND(R407="positive",T407="positive"),"a",IF(T407="positive","b",IF(R407="positive","c","d")))))</x:f>
        <x:v>d</x:v>
      </x:c>
      <x:c r="V407" s="12"/>
      <x:c r="W407" s="12" t="str">
        <x:v>negative</x:v>
      </x:c>
      <x:c r="X407" s="12"/>
      <x:c r="Y407" s="12" t="str">
        <x:v>negative</x:v>
      </x:c>
      <x:c r="Z407" s="12" t="str">
        <x:f>IF(OR(W407="unavailable",Y407="unavailable"),"不可评价",IF(OR(W407="equivocal",Y407="equivocal"),"疑似",IF(AND(W407="positive",Y407="positive"),"a",IF(Y407="positive","b",IF(W407="positive","c","d")))))</x:f>
        <x:v>d</x:v>
      </x:c>
      <x:c r="AA407" s="12" t="str">
        <x:f>IF(OR(M407="unavailable",O407="unavailable"),"不可评价",IF(AND(OR(M407="positive",M407="equivocal"),OR(O407="positive",O407="equivocal")),"a",IF(OR(O407="positive",O407="equivocal"),"b",IF(OR(M407="positive",M407="equivocal"),"c","d"))))</x:f>
        <x:v>a</x:v>
      </x:c>
      <x:c r="AB407" s="12" t="str">
        <x:f>IF(OR(M407="unavailable",O407="unavailable"),"不可评价",IF(AND(M407="positive",O407="positive"),"a",IF(O407="positive","b",IF(M407="positive","c","d"))))</x:f>
        <x:v>a</x:v>
      </x:c>
      <x:c r="AC407" s="12" t="str">
        <x:f>IF(OR(R407="unavailable",T407="unavailable"),"不可评价",IF(AND(OR(R407="positive",R407="equivocal"),OR(T407="positive",T407="equivocal")),"a",IF(OR(T407="positive",T407="equivocal"),"b",IF(OR(R407="positive",R407="equivocal"),"c","d"))))</x:f>
        <x:v>d</x:v>
      </x:c>
      <x:c r="AD407" s="12" t="str">
        <x:f>IF(OR(R407="unavailable",T407="unavailable"),"不可评价",IF(AND(R407="positive",T407="positive"),"a",IF(T407="positive","b",IF(R407="positive","c","d"))))</x:f>
        <x:v>d</x:v>
      </x:c>
      <x:c r="AE407" s="12" t="str">
        <x:f>IF(OR(W407="unavailable",Y407="unavailable"),"不可评价",IF(AND(OR(W407="positive",W407="equivocal"),OR(Y407="positive",Y407="equivocal")),"a",IF(OR(Y407="positive",Y407="equivocal"),"b",IF(OR(W407="positive",W407="equivocal"),"c","d"))))</x:f>
        <x:v>d</x:v>
      </x:c>
      <x:c r="AF407" s="12" t="str">
        <x:f>IF(OR(W407="unavailable",Y407="unavailable"),"不可评价",IF(AND(W407="positive",Y407="positive"),"a",IF(Y407="positive","b",IF(W407="positive","c","d"))))</x:f>
        <x:v>d</x:v>
      </x:c>
    </x:row>
    <x:row r="408" ht="24" customHeight="1">
      <x:c r="A408" s="12" t="str">
        <x:v>3220</x:v>
      </x:c>
      <x:c r="B408" s="12" t="str">
        <x:v>7267</x:v>
      </x:c>
      <x:c r="C408" s="21" t="n">
        <x:v>32717.729583333334</x:v>
      </x:c>
      <x:c r="D408" s="12" t="n">
        <x:v>73</x:v>
      </x:c>
      <x:c r="E408" s="12" t="n">
        <x:v>1</x:v>
      </x:c>
      <x:c r="F408" s="12" t="str">
        <x:v>未记录</x:v>
      </x:c>
      <x:c r="G408" s="12" t="n">
        <x:v>1</x:v>
      </x:c>
      <x:c r="H408" s="12" t="str">
        <x:v>{'NDT': 100.0, 'SR': 0.0}</x:v>
      </x:c>
      <x:c r="I408" s="12" t="str">
        <x:v>[('NSR', 100.0), ('AT', 100.0), ('AB', 100.0)]</x:v>
      </x:c>
      <x:c r="J408" s="12" t="str">
        <x:v>ptbxl_database.csv；ecg_id=3220；scp_codes</x:v>
      </x:c>
      <x:c r="K408" s="12" t="str">
        <x:v>12sl_statements.csv；ecg_id=3220；statements_ext_snomed</x:v>
      </x:c>
      <x:c r="L408" s="12"/>
      <x:c r="M408" s="12" t="str">
        <x:v>negative</x:v>
      </x:c>
      <x:c r="N408" s="12"/>
      <x:c r="O408" s="12" t="str">
        <x:v>negative</x:v>
      </x:c>
      <x:c r="P408" s="12" t="str">
        <x:f>IF(OR(M408="unavailable",O408="unavailable"),"不可评价",IF(OR(M408="equivocal",O408="equivocal"),"疑似",IF(AND(M408="positive",O408="positive"),"a",IF(O408="positive","b",IF(M408="positive","c","d")))))</x:f>
        <x:v>d</x:v>
      </x:c>
      <x:c r="Q408" s="12"/>
      <x:c r="R408" s="12" t="str">
        <x:v>negative</x:v>
      </x:c>
      <x:c r="S408" s="12"/>
      <x:c r="T408" s="12" t="str">
        <x:v>negative</x:v>
      </x:c>
      <x:c r="U408" s="12" t="str">
        <x:f>IF(OR(R408="unavailable",T408="unavailable"),"不可评价",IF(OR(R408="equivocal",T408="equivocal"),"疑似",IF(AND(R408="positive",T408="positive"),"a",IF(T408="positive","b",IF(R408="positive","c","d")))))</x:f>
        <x:v>d</x:v>
      </x:c>
      <x:c r="V408" s="12"/>
      <x:c r="W408" s="12" t="str">
        <x:v>negative</x:v>
      </x:c>
      <x:c r="X408" s="12"/>
      <x:c r="Y408" s="12" t="str">
        <x:v>negative</x:v>
      </x:c>
      <x:c r="Z408" s="12" t="str">
        <x:f>IF(OR(W408="unavailable",Y408="unavailable"),"不可评价",IF(OR(W408="equivocal",Y408="equivocal"),"疑似",IF(AND(W408="positive",Y408="positive"),"a",IF(Y408="positive","b",IF(W408="positive","c","d")))))</x:f>
        <x:v>d</x:v>
      </x:c>
      <x:c r="AA408" s="12" t="str">
        <x:f>IF(OR(M408="unavailable",O408="unavailable"),"不可评价",IF(AND(OR(M408="positive",M408="equivocal"),OR(O408="positive",O408="equivocal")),"a",IF(OR(O408="positive",O408="equivocal"),"b",IF(OR(M408="positive",M408="equivocal"),"c","d"))))</x:f>
        <x:v>d</x:v>
      </x:c>
      <x:c r="AB408" s="12" t="str">
        <x:f>IF(OR(M408="unavailable",O408="unavailable"),"不可评价",IF(AND(M408="positive",O408="positive"),"a",IF(O408="positive","b",IF(M408="positive","c","d"))))</x:f>
        <x:v>d</x:v>
      </x:c>
      <x:c r="AC408" s="12" t="str">
        <x:f>IF(OR(R408="unavailable",T408="unavailable"),"不可评价",IF(AND(OR(R408="positive",R408="equivocal"),OR(T408="positive",T408="equivocal")),"a",IF(OR(T408="positive",T408="equivocal"),"b",IF(OR(R408="positive",R408="equivocal"),"c","d"))))</x:f>
        <x:v>d</x:v>
      </x:c>
      <x:c r="AD408" s="12" t="str">
        <x:f>IF(OR(R408="unavailable",T408="unavailable"),"不可评价",IF(AND(R408="positive",T408="positive"),"a",IF(T408="positive","b",IF(R408="positive","c","d"))))</x:f>
        <x:v>d</x:v>
      </x:c>
      <x:c r="AE408" s="12" t="str">
        <x:f>IF(OR(W408="unavailable",Y408="unavailable"),"不可评价",IF(AND(OR(W408="positive",W408="equivocal"),OR(Y408="positive",Y408="equivocal")),"a",IF(OR(Y408="positive",Y408="equivocal"),"b",IF(OR(W408="positive",W408="equivocal"),"c","d"))))</x:f>
        <x:v>d</x:v>
      </x:c>
      <x:c r="AF408" s="12" t="str">
        <x:f>IF(OR(W408="unavailable",Y408="unavailable"),"不可评价",IF(AND(W408="positive",Y408="positive"),"a",IF(Y408="positive","b",IF(W408="positive","c","d"))))</x:f>
        <x:v>d</x:v>
      </x:c>
    </x:row>
    <x:row r="409" ht="24" customHeight="1">
      <x:c r="A409" s="12" t="str">
        <x:v>3235</x:v>
      </x:c>
      <x:c r="B409" s="12" t="str">
        <x:v>7294</x:v>
      </x:c>
      <x:c r="C409" s="21" t="n">
        <x:v>32719.70693287037</x:v>
      </x:c>
      <x:c r="D409" s="12" t="n">
        <x:v>70</x:v>
      </x:c>
      <x:c r="E409" s="12" t="n">
        <x:v>1</x:v>
      </x:c>
      <x:c r="F409" s="12" t="str">
        <x:v>未记录</x:v>
      </x:c>
      <x:c r="G409" s="12" t="n">
        <x:v>1</x:v>
      </x:c>
      <x:c r="H409" s="12" t="str">
        <x:v>{'NORM': 100.0, 'SR': 0.0}</x:v>
      </x:c>
      <x:c r="I409" s="12" t="str">
        <x:v>[('NSR', 100.0), ('NML', 100.0)]</x:v>
      </x:c>
      <x:c r="J409" s="12" t="str">
        <x:v>ptbxl_database.csv；ecg_id=3235；scp_codes</x:v>
      </x:c>
      <x:c r="K409" s="12" t="str">
        <x:v>12sl_statements.csv；ecg_id=3235；statements_ext_snomed</x:v>
      </x:c>
      <x:c r="L409" s="12"/>
      <x:c r="M409" s="12" t="str">
        <x:v>negative</x:v>
      </x:c>
      <x:c r="N409" s="12"/>
      <x:c r="O409" s="12" t="str">
        <x:v>negative</x:v>
      </x:c>
      <x:c r="P409" s="12" t="str">
        <x:f>IF(OR(M409="unavailable",O409="unavailable"),"不可评价",IF(OR(M409="equivocal",O409="equivocal"),"疑似",IF(AND(M409="positive",O409="positive"),"a",IF(O409="positive","b",IF(M409="positive","c","d")))))</x:f>
        <x:v>d</x:v>
      </x:c>
      <x:c r="Q409" s="12"/>
      <x:c r="R409" s="12" t="str">
        <x:v>negative</x:v>
      </x:c>
      <x:c r="S409" s="12"/>
      <x:c r="T409" s="12" t="str">
        <x:v>negative</x:v>
      </x:c>
      <x:c r="U409" s="12" t="str">
        <x:f>IF(OR(R409="unavailable",T409="unavailable"),"不可评价",IF(OR(R409="equivocal",T409="equivocal"),"疑似",IF(AND(R409="positive",T409="positive"),"a",IF(T409="positive","b",IF(R409="positive","c","d")))))</x:f>
        <x:v>d</x:v>
      </x:c>
      <x:c r="V409" s="12"/>
      <x:c r="W409" s="12" t="str">
        <x:v>negative</x:v>
      </x:c>
      <x:c r="X409" s="12"/>
      <x:c r="Y409" s="12" t="str">
        <x:v>negative</x:v>
      </x:c>
      <x:c r="Z409" s="12" t="str">
        <x:f>IF(OR(W409="unavailable",Y409="unavailable"),"不可评价",IF(OR(W409="equivocal",Y409="equivocal"),"疑似",IF(AND(W409="positive",Y409="positive"),"a",IF(Y409="positive","b",IF(W409="positive","c","d")))))</x:f>
        <x:v>d</x:v>
      </x:c>
      <x:c r="AA409" s="12" t="str">
        <x:f>IF(OR(M409="unavailable",O409="unavailable"),"不可评价",IF(AND(OR(M409="positive",M409="equivocal"),OR(O409="positive",O409="equivocal")),"a",IF(OR(O409="positive",O409="equivocal"),"b",IF(OR(M409="positive",M409="equivocal"),"c","d"))))</x:f>
        <x:v>d</x:v>
      </x:c>
      <x:c r="AB409" s="12" t="str">
        <x:f>IF(OR(M409="unavailable",O409="unavailable"),"不可评价",IF(AND(M409="positive",O409="positive"),"a",IF(O409="positive","b",IF(M409="positive","c","d"))))</x:f>
        <x:v>d</x:v>
      </x:c>
      <x:c r="AC409" s="12" t="str">
        <x:f>IF(OR(R409="unavailable",T409="unavailable"),"不可评价",IF(AND(OR(R409="positive",R409="equivocal"),OR(T409="positive",T409="equivocal")),"a",IF(OR(T409="positive",T409="equivocal"),"b",IF(OR(R409="positive",R409="equivocal"),"c","d"))))</x:f>
        <x:v>d</x:v>
      </x:c>
      <x:c r="AD409" s="12" t="str">
        <x:f>IF(OR(R409="unavailable",T409="unavailable"),"不可评价",IF(AND(R409="positive",T409="positive"),"a",IF(T409="positive","b",IF(R409="positive","c","d"))))</x:f>
        <x:v>d</x:v>
      </x:c>
      <x:c r="AE409" s="12" t="str">
        <x:f>IF(OR(W409="unavailable",Y409="unavailable"),"不可评价",IF(AND(OR(W409="positive",W409="equivocal"),OR(Y409="positive",Y409="equivocal")),"a",IF(OR(Y409="positive",Y409="equivocal"),"b",IF(OR(W409="positive",W409="equivocal"),"c","d"))))</x:f>
        <x:v>d</x:v>
      </x:c>
      <x:c r="AF409" s="12" t="str">
        <x:f>IF(OR(W409="unavailable",Y409="unavailable"),"不可评价",IF(AND(W409="positive",Y409="positive"),"a",IF(Y409="positive","b",IF(W409="positive","c","d"))))</x:f>
        <x:v>d</x:v>
      </x:c>
    </x:row>
    <x:row r="410" ht="24" customHeight="1">
      <x:c r="A410" s="12" t="str">
        <x:v>3241</x:v>
      </x:c>
      <x:c r="B410" s="12" t="str">
        <x:v>20550</x:v>
      </x:c>
      <x:c r="C410" s="21" t="n">
        <x:v>32720.452256944445</x:v>
      </x:c>
      <x:c r="D410" s="12" t="n">
        <x:v>75</x:v>
      </x:c>
      <x:c r="E410" s="12" t="n">
        <x:v>0</x:v>
      </x:c>
      <x:c r="F410" s="12" t="str">
        <x:v>未记录</x:v>
      </x:c>
      <x:c r="G410" s="12" t="n">
        <x:v>1</x:v>
      </x:c>
      <x:c r="H410" s="12" t="str">
        <x:v>{'IMI': 100.0, 'ASMI': 50.0, 'ABQRS': 0.0, 'AFIB': 0.0}</x:v>
      </x:c>
      <x:c r="I410" s="12" t="str">
        <x:v>[('AFIB', 100.0), ('LAD3', 100.0), ('LOWV', 100.0), ('AB', 100.0)]</x:v>
      </x:c>
      <x:c r="J410" s="12" t="str">
        <x:v>ptbxl_database.csv；ecg_id=3241；scp_codes</x:v>
      </x:c>
      <x:c r="K410" s="12" t="str">
        <x:v>12sl_statements.csv；ecg_id=3241；statements_ext_snomed</x:v>
      </x:c>
      <x:c r="L410" s="12" t="n">
        <x:v>0</x:v>
      </x:c>
      <x:c r="M410" s="12" t="str">
        <x:v>positive</x:v>
      </x:c>
      <x:c r="N410" s="12" t="n">
        <x:v>100</x:v>
      </x:c>
      <x:c r="O410" s="12" t="str">
        <x:v>positive</x:v>
      </x:c>
      <x:c r="P410" s="12" t="str">
        <x:f>IF(OR(M410="unavailable",O410="unavailable"),"不可评价",IF(OR(M410="equivocal",O410="equivocal"),"疑似",IF(AND(M410="positive",O410="positive"),"a",IF(O410="positive","b",IF(M410="positive","c","d")))))</x:f>
        <x:v>a</x:v>
      </x:c>
      <x:c r="Q410" s="12"/>
      <x:c r="R410" s="12" t="str">
        <x:v>negative</x:v>
      </x:c>
      <x:c r="S410" s="12"/>
      <x:c r="T410" s="12" t="str">
        <x:v>negative</x:v>
      </x:c>
      <x:c r="U410" s="12" t="str">
        <x:f>IF(OR(R410="unavailable",T410="unavailable"),"不可评价",IF(OR(R410="equivocal",T410="equivocal"),"疑似",IF(AND(R410="positive",T410="positive"),"a",IF(T410="positive","b",IF(R410="positive","c","d")))))</x:f>
        <x:v>d</x:v>
      </x:c>
      <x:c r="V410" s="12"/>
      <x:c r="W410" s="12" t="str">
        <x:v>negative</x:v>
      </x:c>
      <x:c r="X410" s="12"/>
      <x:c r="Y410" s="12" t="str">
        <x:v>negative</x:v>
      </x:c>
      <x:c r="Z410" s="12" t="str">
        <x:f>IF(OR(W410="unavailable",Y410="unavailable"),"不可评价",IF(OR(W410="equivocal",Y410="equivocal"),"疑似",IF(AND(W410="positive",Y410="positive"),"a",IF(Y410="positive","b",IF(W410="positive","c","d")))))</x:f>
        <x:v>d</x:v>
      </x:c>
      <x:c r="AA410" s="12" t="str">
        <x:f>IF(OR(M410="unavailable",O410="unavailable"),"不可评价",IF(AND(OR(M410="positive",M410="equivocal"),OR(O410="positive",O410="equivocal")),"a",IF(OR(O410="positive",O410="equivocal"),"b",IF(OR(M410="positive",M410="equivocal"),"c","d"))))</x:f>
        <x:v>a</x:v>
      </x:c>
      <x:c r="AB410" s="12" t="str">
        <x:f>IF(OR(M410="unavailable",O410="unavailable"),"不可评价",IF(AND(M410="positive",O410="positive"),"a",IF(O410="positive","b",IF(M410="positive","c","d"))))</x:f>
        <x:v>a</x:v>
      </x:c>
      <x:c r="AC410" s="12" t="str">
        <x:f>IF(OR(R410="unavailable",T410="unavailable"),"不可评价",IF(AND(OR(R410="positive",R410="equivocal"),OR(T410="positive",T410="equivocal")),"a",IF(OR(T410="positive",T410="equivocal"),"b",IF(OR(R410="positive",R410="equivocal"),"c","d"))))</x:f>
        <x:v>d</x:v>
      </x:c>
      <x:c r="AD410" s="12" t="str">
        <x:f>IF(OR(R410="unavailable",T410="unavailable"),"不可评价",IF(AND(R410="positive",T410="positive"),"a",IF(T410="positive","b",IF(R410="positive","c","d"))))</x:f>
        <x:v>d</x:v>
      </x:c>
      <x:c r="AE410" s="12" t="str">
        <x:f>IF(OR(W410="unavailable",Y410="unavailable"),"不可评价",IF(AND(OR(W410="positive",W410="equivocal"),OR(Y410="positive",Y410="equivocal")),"a",IF(OR(Y410="positive",Y410="equivocal"),"b",IF(OR(W410="positive",W410="equivocal"),"c","d"))))</x:f>
        <x:v>d</x:v>
      </x:c>
      <x:c r="AF410" s="12" t="str">
        <x:f>IF(OR(W410="unavailable",Y410="unavailable"),"不可评价",IF(AND(W410="positive",Y410="positive"),"a",IF(Y410="positive","b",IF(W410="positive","c","d"))))</x:f>
        <x:v>d</x:v>
      </x:c>
    </x:row>
    <x:row r="411" ht="39" customHeight="1">
      <x:c r="A411" s="12" t="str">
        <x:v>3246</x:v>
      </x:c>
      <x:c r="B411" s="12" t="str">
        <x:v>1597</x:v>
      </x:c>
      <x:c r="C411" s="21" t="n">
        <x:v>32720.718657407408</x:v>
      </x:c>
      <x:c r="D411" s="12" t="n">
        <x:v>87</x:v>
      </x:c>
      <x:c r="E411" s="12" t="n">
        <x:v>1</x:v>
      </x:c>
      <x:c r="F411" s="12" t="str">
        <x:v>未记录</x:v>
      </x:c>
      <x:c r="G411" s="12" t="n">
        <x:v>1</x:v>
      </x:c>
      <x:c r="H411" s="12" t="str">
        <x:v>{'ASMI': 15.0, 'IVCD': 100.0, 'PVC': 100.0, 'VCLVH': 0.0, 'STD_': 0.0, 'STACH': 0.0}</x:v>
      </x:c>
      <x:c r="I411" s="12" t="str">
        <x:v>[('STACH', 100.0), ('PAC', 100.0), ('$SABCOND', 100.0), ('ILBBB', 100.0), ('LVH2', 100.0), ('2ST', 100.0), ('AB', 100.0)]</x:v>
      </x:c>
      <x:c r="J411" s="12" t="str">
        <x:v>ptbxl_database.csv；ecg_id=3246；scp_codes</x:v>
      </x:c>
      <x:c r="K411" s="12" t="str">
        <x:v>12sl_statements.csv；ecg_id=3246；statements_ext_snomed</x:v>
      </x:c>
      <x:c r="L411" s="12"/>
      <x:c r="M411" s="12" t="str">
        <x:v>negative</x:v>
      </x:c>
      <x:c r="N411" s="12"/>
      <x:c r="O411" s="12" t="str">
        <x:v>negative</x:v>
      </x:c>
      <x:c r="P411" s="12" t="str">
        <x:f>IF(OR(M411="unavailable",O411="unavailable"),"不可评价",IF(OR(M411="equivocal",O411="equivocal"),"疑似",IF(AND(M411="positive",O411="positive"),"a",IF(O411="positive","b",IF(M411="positive","c","d")))))</x:f>
        <x:v>d</x:v>
      </x:c>
      <x:c r="Q411" s="12"/>
      <x:c r="R411" s="12" t="str">
        <x:v>negative</x:v>
      </x:c>
      <x:c r="S411" s="12"/>
      <x:c r="T411" s="12" t="str">
        <x:v>negative</x:v>
      </x:c>
      <x:c r="U411" s="12" t="str">
        <x:f>IF(OR(R411="unavailable",T411="unavailable"),"不可评价",IF(OR(R411="equivocal",T411="equivocal"),"疑似",IF(AND(R411="positive",T411="positive"),"a",IF(T411="positive","b",IF(R411="positive","c","d")))))</x:f>
        <x:v>d</x:v>
      </x:c>
      <x:c r="V411" s="12"/>
      <x:c r="W411" s="12" t="str">
        <x:v>negative</x:v>
      </x:c>
      <x:c r="X411" s="12"/>
      <x:c r="Y411" s="12" t="str">
        <x:v>negative</x:v>
      </x:c>
      <x:c r="Z411" s="12" t="str">
        <x:f>IF(OR(W411="unavailable",Y411="unavailable"),"不可评价",IF(OR(W411="equivocal",Y411="equivocal"),"疑似",IF(AND(W411="positive",Y411="positive"),"a",IF(Y411="positive","b",IF(W411="positive","c","d")))))</x:f>
        <x:v>d</x:v>
      </x:c>
      <x:c r="AA411" s="12" t="str">
        <x:f>IF(OR(M411="unavailable",O411="unavailable"),"不可评价",IF(AND(OR(M411="positive",M411="equivocal"),OR(O411="positive",O411="equivocal")),"a",IF(OR(O411="positive",O411="equivocal"),"b",IF(OR(M411="positive",M411="equivocal"),"c","d"))))</x:f>
        <x:v>d</x:v>
      </x:c>
      <x:c r="AB411" s="12" t="str">
        <x:f>IF(OR(M411="unavailable",O411="unavailable"),"不可评价",IF(AND(M411="positive",O411="positive"),"a",IF(O411="positive","b",IF(M411="positive","c","d"))))</x:f>
        <x:v>d</x:v>
      </x:c>
      <x:c r="AC411" s="12" t="str">
        <x:f>IF(OR(R411="unavailable",T411="unavailable"),"不可评价",IF(AND(OR(R411="positive",R411="equivocal"),OR(T411="positive",T411="equivocal")),"a",IF(OR(T411="positive",T411="equivocal"),"b",IF(OR(R411="positive",R411="equivocal"),"c","d"))))</x:f>
        <x:v>d</x:v>
      </x:c>
      <x:c r="AD411" s="12" t="str">
        <x:f>IF(OR(R411="unavailable",T411="unavailable"),"不可评价",IF(AND(R411="positive",T411="positive"),"a",IF(T411="positive","b",IF(R411="positive","c","d"))))</x:f>
        <x:v>d</x:v>
      </x:c>
      <x:c r="AE411" s="12" t="str">
        <x:f>IF(OR(W411="unavailable",Y411="unavailable"),"不可评价",IF(AND(OR(W411="positive",W411="equivocal"),OR(Y411="positive",Y411="equivocal")),"a",IF(OR(Y411="positive",Y411="equivocal"),"b",IF(OR(W411="positive",W411="equivocal"),"c","d"))))</x:f>
        <x:v>d</x:v>
      </x:c>
      <x:c r="AF411" s="12" t="str">
        <x:f>IF(OR(W411="unavailable",Y411="unavailable"),"不可评价",IF(AND(W411="positive",Y411="positive"),"a",IF(Y411="positive","b",IF(W411="positive","c","d"))))</x:f>
        <x:v>d</x:v>
      </x:c>
    </x:row>
    <x:row r="412" ht="24" customHeight="1">
      <x:c r="A412" s="12" t="str">
        <x:v>3248</x:v>
      </x:c>
      <x:c r="B412" s="12" t="str">
        <x:v>12493</x:v>
      </x:c>
      <x:c r="C412" s="21" t="n">
        <x:v>32721.317256944443</x:v>
      </x:c>
      <x:c r="D412" s="12" t="n">
        <x:v>34</x:v>
      </x:c>
      <x:c r="E412" s="12" t="n">
        <x:v>0</x:v>
      </x:c>
      <x:c r="F412" s="12" t="str">
        <x:v>未记录</x:v>
      </x:c>
      <x:c r="G412" s="12" t="n">
        <x:v>0</x:v>
      </x:c>
      <x:c r="H412" s="12" t="str">
        <x:v>{'NORM': 80.0, 'IVCD': 100.0, 'SR': 0.0}</x:v>
      </x:c>
      <x:c r="I412" s="12" t="str">
        <x:v>[('SBRAD', 100.0), ('ABR', 100.0)]</x:v>
      </x:c>
      <x:c r="J412" s="12" t="str">
        <x:v>ptbxl_database.csv；ecg_id=3248；scp_codes</x:v>
      </x:c>
      <x:c r="K412" s="12" t="str">
        <x:v>12sl_statements.csv；ecg_id=3248；statements_ext_snomed</x:v>
      </x:c>
      <x:c r="L412" s="12"/>
      <x:c r="M412" s="12" t="str">
        <x:v>negative</x:v>
      </x:c>
      <x:c r="N412" s="12"/>
      <x:c r="O412" s="12" t="str">
        <x:v>negative</x:v>
      </x:c>
      <x:c r="P412" s="12" t="str">
        <x:f>IF(OR(M412="unavailable",O412="unavailable"),"不可评价",IF(OR(M412="equivocal",O412="equivocal"),"疑似",IF(AND(M412="positive",O412="positive"),"a",IF(O412="positive","b",IF(M412="positive","c","d")))))</x:f>
        <x:v>d</x:v>
      </x:c>
      <x:c r="Q412" s="12"/>
      <x:c r="R412" s="12" t="str">
        <x:v>negative</x:v>
      </x:c>
      <x:c r="S412" s="12"/>
      <x:c r="T412" s="12" t="str">
        <x:v>negative</x:v>
      </x:c>
      <x:c r="U412" s="12" t="str">
        <x:f>IF(OR(R412="unavailable",T412="unavailable"),"不可评价",IF(OR(R412="equivocal",T412="equivocal"),"疑似",IF(AND(R412="positive",T412="positive"),"a",IF(T412="positive","b",IF(R412="positive","c","d")))))</x:f>
        <x:v>d</x:v>
      </x:c>
      <x:c r="V412" s="12"/>
      <x:c r="W412" s="12" t="str">
        <x:v>negative</x:v>
      </x:c>
      <x:c r="X412" s="12"/>
      <x:c r="Y412" s="12" t="str">
        <x:v>negative</x:v>
      </x:c>
      <x:c r="Z412" s="12" t="str">
        <x:f>IF(OR(W412="unavailable",Y412="unavailable"),"不可评价",IF(OR(W412="equivocal",Y412="equivocal"),"疑似",IF(AND(W412="positive",Y412="positive"),"a",IF(Y412="positive","b",IF(W412="positive","c","d")))))</x:f>
        <x:v>d</x:v>
      </x:c>
      <x:c r="AA412" s="12" t="str">
        <x:f>IF(OR(M412="unavailable",O412="unavailable"),"不可评价",IF(AND(OR(M412="positive",M412="equivocal"),OR(O412="positive",O412="equivocal")),"a",IF(OR(O412="positive",O412="equivocal"),"b",IF(OR(M412="positive",M412="equivocal"),"c","d"))))</x:f>
        <x:v>d</x:v>
      </x:c>
      <x:c r="AB412" s="12" t="str">
        <x:f>IF(OR(M412="unavailable",O412="unavailable"),"不可评价",IF(AND(M412="positive",O412="positive"),"a",IF(O412="positive","b",IF(M412="positive","c","d"))))</x:f>
        <x:v>d</x:v>
      </x:c>
      <x:c r="AC412" s="12" t="str">
        <x:f>IF(OR(R412="unavailable",T412="unavailable"),"不可评价",IF(AND(OR(R412="positive",R412="equivocal"),OR(T412="positive",T412="equivocal")),"a",IF(OR(T412="positive",T412="equivocal"),"b",IF(OR(R412="positive",R412="equivocal"),"c","d"))))</x:f>
        <x:v>d</x:v>
      </x:c>
      <x:c r="AD412" s="12" t="str">
        <x:f>IF(OR(R412="unavailable",T412="unavailable"),"不可评价",IF(AND(R412="positive",T412="positive"),"a",IF(T412="positive","b",IF(R412="positive","c","d"))))</x:f>
        <x:v>d</x:v>
      </x:c>
      <x:c r="AE412" s="12" t="str">
        <x:f>IF(OR(W412="unavailable",Y412="unavailable"),"不可评价",IF(AND(OR(W412="positive",W412="equivocal"),OR(Y412="positive",Y412="equivocal")),"a",IF(OR(Y412="positive",Y412="equivocal"),"b",IF(OR(W412="positive",W412="equivocal"),"c","d"))))</x:f>
        <x:v>d</x:v>
      </x:c>
      <x:c r="AF412" s="12" t="str">
        <x:f>IF(OR(W412="unavailable",Y412="unavailable"),"不可评价",IF(AND(W412="positive",Y412="positive"),"a",IF(Y412="positive","b",IF(W412="positive","c","d"))))</x:f>
        <x:v>d</x:v>
      </x:c>
    </x:row>
    <x:row r="413" ht="39" customHeight="1">
      <x:c r="A413" s="12" t="str">
        <x:v>3272</x:v>
      </x:c>
      <x:c r="B413" s="12" t="str">
        <x:v>4917</x:v>
      </x:c>
      <x:c r="C413" s="21" t="n">
        <x:v>32725.347465277777</x:v>
      </x:c>
      <x:c r="D413" s="12" t="n">
        <x:v>83</x:v>
      </x:c>
      <x:c r="E413" s="12" t="n">
        <x:v>1</x:v>
      </x:c>
      <x:c r="F413" s="12" t="str">
        <x:v>未记录</x:v>
      </x:c>
      <x:c r="G413" s="12" t="n">
        <x:v>1</x:v>
      </x:c>
      <x:c r="H413" s="12" t="str">
        <x:v>{'ASMI': 80.0, 'NST_': 100.0, 'DIG': 100.0, 'PAC': 0.0, 'LOWT': 0.0, 'STD_': 0.0, 'STACH': 0.0}</x:v>
      </x:c>
      <x:c r="I413" s="12" t="str">
        <x:v>[('STACH', 100.0), ('PAC', 100.0), ('AMI;AU', 50.0), ('LSBINJ', 100.0), ('AB', 100.0)]</x:v>
      </x:c>
      <x:c r="J413" s="12" t="str">
        <x:v>ptbxl_database.csv；ecg_id=3272；scp_codes</x:v>
      </x:c>
      <x:c r="K413" s="12" t="str">
        <x:v>12sl_statements.csv；ecg_id=3272；statements_ext_snomed</x:v>
      </x:c>
      <x:c r="L413" s="12"/>
      <x:c r="M413" s="12" t="str">
        <x:v>negative</x:v>
      </x:c>
      <x:c r="N413" s="12"/>
      <x:c r="O413" s="12" t="str">
        <x:v>negative</x:v>
      </x:c>
      <x:c r="P413" s="12" t="str">
        <x:f>IF(OR(M413="unavailable",O413="unavailable"),"不可评价",IF(OR(M413="equivocal",O413="equivocal"),"疑似",IF(AND(M413="positive",O413="positive"),"a",IF(O413="positive","b",IF(M413="positive","c","d")))))</x:f>
        <x:v>d</x:v>
      </x:c>
      <x:c r="Q413" s="12"/>
      <x:c r="R413" s="12" t="str">
        <x:v>negative</x:v>
      </x:c>
      <x:c r="S413" s="12"/>
      <x:c r="T413" s="12" t="str">
        <x:v>negative</x:v>
      </x:c>
      <x:c r="U413" s="12" t="str">
        <x:f>IF(OR(R413="unavailable",T413="unavailable"),"不可评价",IF(OR(R413="equivocal",T413="equivocal"),"疑似",IF(AND(R413="positive",T413="positive"),"a",IF(T413="positive","b",IF(R413="positive","c","d")))))</x:f>
        <x:v>d</x:v>
      </x:c>
      <x:c r="V413" s="12"/>
      <x:c r="W413" s="12" t="str">
        <x:v>negative</x:v>
      </x:c>
      <x:c r="X413" s="12"/>
      <x:c r="Y413" s="12" t="str">
        <x:v>negative</x:v>
      </x:c>
      <x:c r="Z413" s="12" t="str">
        <x:f>IF(OR(W413="unavailable",Y413="unavailable"),"不可评价",IF(OR(W413="equivocal",Y413="equivocal"),"疑似",IF(AND(W413="positive",Y413="positive"),"a",IF(Y413="positive","b",IF(W413="positive","c","d")))))</x:f>
        <x:v>d</x:v>
      </x:c>
      <x:c r="AA413" s="12" t="str">
        <x:f>IF(OR(M413="unavailable",O413="unavailable"),"不可评价",IF(AND(OR(M413="positive",M413="equivocal"),OR(O413="positive",O413="equivocal")),"a",IF(OR(O413="positive",O413="equivocal"),"b",IF(OR(M413="positive",M413="equivocal"),"c","d"))))</x:f>
        <x:v>d</x:v>
      </x:c>
      <x:c r="AB413" s="12" t="str">
        <x:f>IF(OR(M413="unavailable",O413="unavailable"),"不可评价",IF(AND(M413="positive",O413="positive"),"a",IF(O413="positive","b",IF(M413="positive","c","d"))))</x:f>
        <x:v>d</x:v>
      </x:c>
      <x:c r="AC413" s="12" t="str">
        <x:f>IF(OR(R413="unavailable",T413="unavailable"),"不可评价",IF(AND(OR(R413="positive",R413="equivocal"),OR(T413="positive",T413="equivocal")),"a",IF(OR(T413="positive",T413="equivocal"),"b",IF(OR(R413="positive",R413="equivocal"),"c","d"))))</x:f>
        <x:v>d</x:v>
      </x:c>
      <x:c r="AD413" s="12" t="str">
        <x:f>IF(OR(R413="unavailable",T413="unavailable"),"不可评价",IF(AND(R413="positive",T413="positive"),"a",IF(T413="positive","b",IF(R413="positive","c","d"))))</x:f>
        <x:v>d</x:v>
      </x:c>
      <x:c r="AE413" s="12" t="str">
        <x:f>IF(OR(W413="unavailable",Y413="unavailable"),"不可评价",IF(AND(OR(W413="positive",W413="equivocal"),OR(Y413="positive",Y413="equivocal")),"a",IF(OR(Y413="positive",Y413="equivocal"),"b",IF(OR(W413="positive",W413="equivocal"),"c","d"))))</x:f>
        <x:v>d</x:v>
      </x:c>
      <x:c r="AF413" s="12" t="str">
        <x:f>IF(OR(W413="unavailable",Y413="unavailable"),"不可评价",IF(AND(W413="positive",Y413="positive"),"a",IF(Y413="positive","b",IF(W413="positive","c","d"))))</x:f>
        <x:v>d</x:v>
      </x:c>
    </x:row>
    <x:row r="414" ht="39" customHeight="1">
      <x:c r="A414" s="12" t="str">
        <x:v>3275</x:v>
      </x:c>
      <x:c r="B414" s="12" t="str">
        <x:v>6135</x:v>
      </x:c>
      <x:c r="C414" s="21" t="n">
        <x:v>32725.452534722222</x:v>
      </x:c>
      <x:c r="D414" s="12" t="n">
        <x:v>80</x:v>
      </x:c>
      <x:c r="E414" s="12" t="n">
        <x:v>0</x:v>
      </x:c>
      <x:c r="F414" s="12" t="str">
        <x:v>未记录</x:v>
      </x:c>
      <x:c r="G414" s="12" t="n">
        <x:v>1</x:v>
      </x:c>
      <x:c r="H414" s="12" t="str">
        <x:v>{'IMI': 50.0, 'LVH': 100.0, 'ISC_': 100.0, 'IVCD': 100.0, 'LAO/LAE': 50.0, 'STD_': 0.0, 'SR': 0.0}</x:v>
      </x:c>
      <x:c r="I414" s="12" t="str">
        <x:v>[('NSR', 100.0), ('LAE', 50.0), ('LVH2', 100.0), ('2ST', 100.0), ('AB', 100.0)]</x:v>
      </x:c>
      <x:c r="J414" s="12" t="str">
        <x:v>ptbxl_database.csv；ecg_id=3275；scp_codes</x:v>
      </x:c>
      <x:c r="K414" s="12" t="str">
        <x:v>12sl_statements.csv；ecg_id=3275；statements_ext_snomed</x:v>
      </x:c>
      <x:c r="L414" s="12"/>
      <x:c r="M414" s="12" t="str">
        <x:v>negative</x:v>
      </x:c>
      <x:c r="N414" s="12"/>
      <x:c r="O414" s="12" t="str">
        <x:v>negative</x:v>
      </x:c>
      <x:c r="P414" s="12" t="str">
        <x:f>IF(OR(M414="unavailable",O414="unavailable"),"不可评价",IF(OR(M414="equivocal",O414="equivocal"),"疑似",IF(AND(M414="positive",O414="positive"),"a",IF(O414="positive","b",IF(M414="positive","c","d")))))</x:f>
        <x:v>d</x:v>
      </x:c>
      <x:c r="Q414" s="12"/>
      <x:c r="R414" s="12" t="str">
        <x:v>negative</x:v>
      </x:c>
      <x:c r="S414" s="12"/>
      <x:c r="T414" s="12" t="str">
        <x:v>negative</x:v>
      </x:c>
      <x:c r="U414" s="12" t="str">
        <x:f>IF(OR(R414="unavailable",T414="unavailable"),"不可评价",IF(OR(R414="equivocal",T414="equivocal"),"疑似",IF(AND(R414="positive",T414="positive"),"a",IF(T414="positive","b",IF(R414="positive","c","d")))))</x:f>
        <x:v>d</x:v>
      </x:c>
      <x:c r="V414" s="12"/>
      <x:c r="W414" s="12" t="str">
        <x:v>negative</x:v>
      </x:c>
      <x:c r="X414" s="12"/>
      <x:c r="Y414" s="12" t="str">
        <x:v>negative</x:v>
      </x:c>
      <x:c r="Z414" s="12" t="str">
        <x:f>IF(OR(W414="unavailable",Y414="unavailable"),"不可评价",IF(OR(W414="equivocal",Y414="equivocal"),"疑似",IF(AND(W414="positive",Y414="positive"),"a",IF(Y414="positive","b",IF(W414="positive","c","d")))))</x:f>
        <x:v>d</x:v>
      </x:c>
      <x:c r="AA414" s="12" t="str">
        <x:f>IF(OR(M414="unavailable",O414="unavailable"),"不可评价",IF(AND(OR(M414="positive",M414="equivocal"),OR(O414="positive",O414="equivocal")),"a",IF(OR(O414="positive",O414="equivocal"),"b",IF(OR(M414="positive",M414="equivocal"),"c","d"))))</x:f>
        <x:v>d</x:v>
      </x:c>
      <x:c r="AB414" s="12" t="str">
        <x:f>IF(OR(M414="unavailable",O414="unavailable"),"不可评价",IF(AND(M414="positive",O414="positive"),"a",IF(O414="positive","b",IF(M414="positive","c","d"))))</x:f>
        <x:v>d</x:v>
      </x:c>
      <x:c r="AC414" s="12" t="str">
        <x:f>IF(OR(R414="unavailable",T414="unavailable"),"不可评价",IF(AND(OR(R414="positive",R414="equivocal"),OR(T414="positive",T414="equivocal")),"a",IF(OR(T414="positive",T414="equivocal"),"b",IF(OR(R414="positive",R414="equivocal"),"c","d"))))</x:f>
        <x:v>d</x:v>
      </x:c>
      <x:c r="AD414" s="12" t="str">
        <x:f>IF(OR(R414="unavailable",T414="unavailable"),"不可评价",IF(AND(R414="positive",T414="positive"),"a",IF(T414="positive","b",IF(R414="positive","c","d"))))</x:f>
        <x:v>d</x:v>
      </x:c>
      <x:c r="AE414" s="12" t="str">
        <x:f>IF(OR(W414="unavailable",Y414="unavailable"),"不可评价",IF(AND(OR(W414="positive",W414="equivocal"),OR(Y414="positive",Y414="equivocal")),"a",IF(OR(Y414="positive",Y414="equivocal"),"b",IF(OR(W414="positive",W414="equivocal"),"c","d"))))</x:f>
        <x:v>d</x:v>
      </x:c>
      <x:c r="AF414" s="12" t="str">
        <x:f>IF(OR(W414="unavailable",Y414="unavailable"),"不可评价",IF(AND(W414="positive",Y414="positive"),"a",IF(Y414="positive","b",IF(W414="positive","c","d"))))</x:f>
        <x:v>d</x:v>
      </x:c>
    </x:row>
    <x:row r="415" ht="24" customHeight="1">
      <x:c r="A415" s="12" t="str">
        <x:v>3281</x:v>
      </x:c>
      <x:c r="B415" s="12" t="str">
        <x:v>3324</x:v>
      </x:c>
      <x:c r="C415" s="21" t="n">
        <x:v>32726.3928125</x:v>
      </x:c>
      <x:c r="D415" s="12" t="n">
        <x:v>62</x:v>
      </x:c>
      <x:c r="E415" s="12" t="n">
        <x:v>0</x:v>
      </x:c>
      <x:c r="F415" s="12" t="str">
        <x:v>未记录</x:v>
      </x:c>
      <x:c r="G415" s="12" t="n">
        <x:v>1</x:v>
      </x:c>
      <x:c r="H415" s="12" t="str">
        <x:v>{'ISC_': 100.0, 'LVH': 35.0, 'LOWT': 0.0, 'STD_': 0.0, 'SR': 0.0}</x:v>
      </x:c>
      <x:c r="I415" s="12" t="str">
        <x:v>[('SBRAD', 100.0), ('FAV', 100.0), ('ST&amp;', 100.0), ('LT', 100.0), ('AB', 100.0)]</x:v>
      </x:c>
      <x:c r="J415" s="12" t="str">
        <x:v>ptbxl_database.csv；ecg_id=3281；scp_codes</x:v>
      </x:c>
      <x:c r="K415" s="12" t="str">
        <x:v>12sl_statements.csv；ecg_id=3281；statements_ext_snomed</x:v>
      </x:c>
      <x:c r="L415" s="12"/>
      <x:c r="M415" s="12" t="str">
        <x:v>negative</x:v>
      </x:c>
      <x:c r="N415" s="12"/>
      <x:c r="O415" s="12" t="str">
        <x:v>negative</x:v>
      </x:c>
      <x:c r="P415" s="12" t="str">
        <x:f>IF(OR(M415="unavailable",O415="unavailable"),"不可评价",IF(OR(M415="equivocal",O415="equivocal"),"疑似",IF(AND(M415="positive",O415="positive"),"a",IF(O415="positive","b",IF(M415="positive","c","d")))))</x:f>
        <x:v>d</x:v>
      </x:c>
      <x:c r="Q415" s="12"/>
      <x:c r="R415" s="12" t="str">
        <x:v>negative</x:v>
      </x:c>
      <x:c r="S415" s="12"/>
      <x:c r="T415" s="12" t="str">
        <x:v>negative</x:v>
      </x:c>
      <x:c r="U415" s="12" t="str">
        <x:f>IF(OR(R415="unavailable",T415="unavailable"),"不可评价",IF(OR(R415="equivocal",T415="equivocal"),"疑似",IF(AND(R415="positive",T415="positive"),"a",IF(T415="positive","b",IF(R415="positive","c","d")))))</x:f>
        <x:v>d</x:v>
      </x:c>
      <x:c r="V415" s="12"/>
      <x:c r="W415" s="12" t="str">
        <x:v>negative</x:v>
      </x:c>
      <x:c r="X415" s="12"/>
      <x:c r="Y415" s="12" t="str">
        <x:v>negative</x:v>
      </x:c>
      <x:c r="Z415" s="12" t="str">
        <x:f>IF(OR(W415="unavailable",Y415="unavailable"),"不可评价",IF(OR(W415="equivocal",Y415="equivocal"),"疑似",IF(AND(W415="positive",Y415="positive"),"a",IF(Y415="positive","b",IF(W415="positive","c","d")))))</x:f>
        <x:v>d</x:v>
      </x:c>
      <x:c r="AA415" s="12" t="str">
        <x:f>IF(OR(M415="unavailable",O415="unavailable"),"不可评价",IF(AND(OR(M415="positive",M415="equivocal"),OR(O415="positive",O415="equivocal")),"a",IF(OR(O415="positive",O415="equivocal"),"b",IF(OR(M415="positive",M415="equivocal"),"c","d"))))</x:f>
        <x:v>d</x:v>
      </x:c>
      <x:c r="AB415" s="12" t="str">
        <x:f>IF(OR(M415="unavailable",O415="unavailable"),"不可评价",IF(AND(M415="positive",O415="positive"),"a",IF(O415="positive","b",IF(M415="positive","c","d"))))</x:f>
        <x:v>d</x:v>
      </x:c>
      <x:c r="AC415" s="12" t="str">
        <x:f>IF(OR(R415="unavailable",T415="unavailable"),"不可评价",IF(AND(OR(R415="positive",R415="equivocal"),OR(T415="positive",T415="equivocal")),"a",IF(OR(T415="positive",T415="equivocal"),"b",IF(OR(R415="positive",R415="equivocal"),"c","d"))))</x:f>
        <x:v>d</x:v>
      </x:c>
      <x:c r="AD415" s="12" t="str">
        <x:f>IF(OR(R415="unavailable",T415="unavailable"),"不可评价",IF(AND(R415="positive",T415="positive"),"a",IF(T415="positive","b",IF(R415="positive","c","d"))))</x:f>
        <x:v>d</x:v>
      </x:c>
      <x:c r="AE415" s="12" t="str">
        <x:f>IF(OR(W415="unavailable",Y415="unavailable"),"不可评价",IF(AND(OR(W415="positive",W415="equivocal"),OR(Y415="positive",Y415="equivocal")),"a",IF(OR(Y415="positive",Y415="equivocal"),"b",IF(OR(W415="positive",W415="equivocal"),"c","d"))))</x:f>
        <x:v>d</x:v>
      </x:c>
      <x:c r="AF415" s="12" t="str">
        <x:f>IF(OR(W415="unavailable",Y415="unavailable"),"不可评价",IF(AND(W415="positive",Y415="positive"),"a",IF(Y415="positive","b",IF(W415="positive","c","d"))))</x:f>
        <x:v>d</x:v>
      </x:c>
    </x:row>
    <x:row r="416" ht="24" customHeight="1">
      <x:c r="A416" s="12" t="str">
        <x:v>3282</x:v>
      </x:c>
      <x:c r="B416" s="12" t="str">
        <x:v>3659</x:v>
      </x:c>
      <x:c r="C416" s="21" t="n">
        <x:v>32726.4421875</x:v>
      </x:c>
      <x:c r="D416" s="12" t="n">
        <x:v>77</x:v>
      </x:c>
      <x:c r="E416" s="12" t="n">
        <x:v>1</x:v>
      </x:c>
      <x:c r="F416" s="12" t="str">
        <x:v>未记录</x:v>
      </x:c>
      <x:c r="G416" s="12" t="n">
        <x:v>1</x:v>
      </x:c>
      <x:c r="H416" s="12" t="str">
        <x:v>{'NDT': 100.0, 'LOWT': 0.0, 'SR': 0.0}</x:v>
      </x:c>
      <x:c r="I416" s="12" t="str">
        <x:v>[('NSR', 100.0), ('NML', 100.0)]</x:v>
      </x:c>
      <x:c r="J416" s="12" t="str">
        <x:v>ptbxl_database.csv；ecg_id=3282；scp_codes</x:v>
      </x:c>
      <x:c r="K416" s="12" t="str">
        <x:v>12sl_statements.csv；ecg_id=3282；statements_ext_snomed</x:v>
      </x:c>
      <x:c r="L416" s="12"/>
      <x:c r="M416" s="12" t="str">
        <x:v>negative</x:v>
      </x:c>
      <x:c r="N416" s="12"/>
      <x:c r="O416" s="12" t="str">
        <x:v>negative</x:v>
      </x:c>
      <x:c r="P416" s="12" t="str">
        <x:f>IF(OR(M416="unavailable",O416="unavailable"),"不可评价",IF(OR(M416="equivocal",O416="equivocal"),"疑似",IF(AND(M416="positive",O416="positive"),"a",IF(O416="positive","b",IF(M416="positive","c","d")))))</x:f>
        <x:v>d</x:v>
      </x:c>
      <x:c r="Q416" s="12"/>
      <x:c r="R416" s="12" t="str">
        <x:v>negative</x:v>
      </x:c>
      <x:c r="S416" s="12"/>
      <x:c r="T416" s="12" t="str">
        <x:v>negative</x:v>
      </x:c>
      <x:c r="U416" s="12" t="str">
        <x:f>IF(OR(R416="unavailable",T416="unavailable"),"不可评价",IF(OR(R416="equivocal",T416="equivocal"),"疑似",IF(AND(R416="positive",T416="positive"),"a",IF(T416="positive","b",IF(R416="positive","c","d")))))</x:f>
        <x:v>d</x:v>
      </x:c>
      <x:c r="V416" s="12"/>
      <x:c r="W416" s="12" t="str">
        <x:v>negative</x:v>
      </x:c>
      <x:c r="X416" s="12"/>
      <x:c r="Y416" s="12" t="str">
        <x:v>negative</x:v>
      </x:c>
      <x:c r="Z416" s="12" t="str">
        <x:f>IF(OR(W416="unavailable",Y416="unavailable"),"不可评价",IF(OR(W416="equivocal",Y416="equivocal"),"疑似",IF(AND(W416="positive",Y416="positive"),"a",IF(Y416="positive","b",IF(W416="positive","c","d")))))</x:f>
        <x:v>d</x:v>
      </x:c>
      <x:c r="AA416" s="12" t="str">
        <x:f>IF(OR(M416="unavailable",O416="unavailable"),"不可评价",IF(AND(OR(M416="positive",M416="equivocal"),OR(O416="positive",O416="equivocal")),"a",IF(OR(O416="positive",O416="equivocal"),"b",IF(OR(M416="positive",M416="equivocal"),"c","d"))))</x:f>
        <x:v>d</x:v>
      </x:c>
      <x:c r="AB416" s="12" t="str">
        <x:f>IF(OR(M416="unavailable",O416="unavailable"),"不可评价",IF(AND(M416="positive",O416="positive"),"a",IF(O416="positive","b",IF(M416="positive","c","d"))))</x:f>
        <x:v>d</x:v>
      </x:c>
      <x:c r="AC416" s="12" t="str">
        <x:f>IF(OR(R416="unavailable",T416="unavailable"),"不可评价",IF(AND(OR(R416="positive",R416="equivocal"),OR(T416="positive",T416="equivocal")),"a",IF(OR(T416="positive",T416="equivocal"),"b",IF(OR(R416="positive",R416="equivocal"),"c","d"))))</x:f>
        <x:v>d</x:v>
      </x:c>
      <x:c r="AD416" s="12" t="str">
        <x:f>IF(OR(R416="unavailable",T416="unavailable"),"不可评价",IF(AND(R416="positive",T416="positive"),"a",IF(T416="positive","b",IF(R416="positive","c","d"))))</x:f>
        <x:v>d</x:v>
      </x:c>
      <x:c r="AE416" s="12" t="str">
        <x:f>IF(OR(W416="unavailable",Y416="unavailable"),"不可评价",IF(AND(OR(W416="positive",W416="equivocal"),OR(Y416="positive",Y416="equivocal")),"a",IF(OR(Y416="positive",Y416="equivocal"),"b",IF(OR(W416="positive",W416="equivocal"),"c","d"))))</x:f>
        <x:v>d</x:v>
      </x:c>
      <x:c r="AF416" s="12" t="str">
        <x:f>IF(OR(W416="unavailable",Y416="unavailable"),"不可评价",IF(AND(W416="positive",Y416="positive"),"a",IF(Y416="positive","b",IF(W416="positive","c","d"))))</x:f>
        <x:v>d</x:v>
      </x:c>
    </x:row>
    <x:row r="417" ht="24" customHeight="1">
      <x:c r="A417" s="12" t="str">
        <x:v>3299</x:v>
      </x:c>
      <x:c r="B417" s="12" t="str">
        <x:v>1020</x:v>
      </x:c>
      <x:c r="C417" s="21" t="n">
        <x:v>32728.44866898148</x:v>
      </x:c>
      <x:c r="D417" s="12" t="n">
        <x:v>70</x:v>
      </x:c>
      <x:c r="E417" s="12" t="n">
        <x:v>0</x:v>
      </x:c>
      <x:c r="F417" s="12" t="str">
        <x:v>未记录</x:v>
      </x:c>
      <x:c r="G417" s="12" t="n">
        <x:v>1</x:v>
      </x:c>
      <x:c r="H417" s="12" t="str">
        <x:v>{'NORM': 80.0, 'IRBBB': 100.0, 'SR': 0.0}</x:v>
      </x:c>
      <x:c r="I417" s="12" t="str">
        <x:v>[('SBRAD', 100.0), ('IRBBB', 100.0), ('BORDE', 100.0)]</x:v>
      </x:c>
      <x:c r="J417" s="12" t="str">
        <x:v>ptbxl_database.csv；ecg_id=3299；scp_codes</x:v>
      </x:c>
      <x:c r="K417" s="12" t="str">
        <x:v>12sl_statements.csv；ecg_id=3299；statements_ext_snomed</x:v>
      </x:c>
      <x:c r="L417" s="12"/>
      <x:c r="M417" s="12" t="str">
        <x:v>negative</x:v>
      </x:c>
      <x:c r="N417" s="12"/>
      <x:c r="O417" s="12" t="str">
        <x:v>negative</x:v>
      </x:c>
      <x:c r="P417" s="12" t="str">
        <x:f>IF(OR(M417="unavailable",O417="unavailable"),"不可评价",IF(OR(M417="equivocal",O417="equivocal"),"疑似",IF(AND(M417="positive",O417="positive"),"a",IF(O417="positive","b",IF(M417="positive","c","d")))))</x:f>
        <x:v>d</x:v>
      </x:c>
      <x:c r="Q417" s="12"/>
      <x:c r="R417" s="12" t="str">
        <x:v>negative</x:v>
      </x:c>
      <x:c r="S417" s="12"/>
      <x:c r="T417" s="12" t="str">
        <x:v>negative</x:v>
      </x:c>
      <x:c r="U417" s="12" t="str">
        <x:f>IF(OR(R417="unavailable",T417="unavailable"),"不可评价",IF(OR(R417="equivocal",T417="equivocal"),"疑似",IF(AND(R417="positive",T417="positive"),"a",IF(T417="positive","b",IF(R417="positive","c","d")))))</x:f>
        <x:v>d</x:v>
      </x:c>
      <x:c r="V417" s="12"/>
      <x:c r="W417" s="12" t="str">
        <x:v>negative</x:v>
      </x:c>
      <x:c r="X417" s="12"/>
      <x:c r="Y417" s="12" t="str">
        <x:v>negative</x:v>
      </x:c>
      <x:c r="Z417" s="12" t="str">
        <x:f>IF(OR(W417="unavailable",Y417="unavailable"),"不可评价",IF(OR(W417="equivocal",Y417="equivocal"),"疑似",IF(AND(W417="positive",Y417="positive"),"a",IF(Y417="positive","b",IF(W417="positive","c","d")))))</x:f>
        <x:v>d</x:v>
      </x:c>
      <x:c r="AA417" s="12" t="str">
        <x:f>IF(OR(M417="unavailable",O417="unavailable"),"不可评价",IF(AND(OR(M417="positive",M417="equivocal"),OR(O417="positive",O417="equivocal")),"a",IF(OR(O417="positive",O417="equivocal"),"b",IF(OR(M417="positive",M417="equivocal"),"c","d"))))</x:f>
        <x:v>d</x:v>
      </x:c>
      <x:c r="AB417" s="12" t="str">
        <x:f>IF(OR(M417="unavailable",O417="unavailable"),"不可评价",IF(AND(M417="positive",O417="positive"),"a",IF(O417="positive","b",IF(M417="positive","c","d"))))</x:f>
        <x:v>d</x:v>
      </x:c>
      <x:c r="AC417" s="12" t="str">
        <x:f>IF(OR(R417="unavailable",T417="unavailable"),"不可评价",IF(AND(OR(R417="positive",R417="equivocal"),OR(T417="positive",T417="equivocal")),"a",IF(OR(T417="positive",T417="equivocal"),"b",IF(OR(R417="positive",R417="equivocal"),"c","d"))))</x:f>
        <x:v>d</x:v>
      </x:c>
      <x:c r="AD417" s="12" t="str">
        <x:f>IF(OR(R417="unavailable",T417="unavailable"),"不可评价",IF(AND(R417="positive",T417="positive"),"a",IF(T417="positive","b",IF(R417="positive","c","d"))))</x:f>
        <x:v>d</x:v>
      </x:c>
      <x:c r="AE417" s="12" t="str">
        <x:f>IF(OR(W417="unavailable",Y417="unavailable"),"不可评价",IF(AND(OR(W417="positive",W417="equivocal"),OR(Y417="positive",Y417="equivocal")),"a",IF(OR(Y417="positive",Y417="equivocal"),"b",IF(OR(W417="positive",W417="equivocal"),"c","d"))))</x:f>
        <x:v>d</x:v>
      </x:c>
      <x:c r="AF417" s="12" t="str">
        <x:f>IF(OR(W417="unavailable",Y417="unavailable"),"不可评价",IF(AND(W417="positive",Y417="positive"),"a",IF(Y417="positive","b",IF(W417="positive","c","d"))))</x:f>
        <x:v>d</x:v>
      </x:c>
    </x:row>
    <x:row r="418" ht="24" customHeight="1">
      <x:c r="A418" s="12" t="str">
        <x:v>3315</x:v>
      </x:c>
      <x:c r="B418" s="12" t="str">
        <x:v>2895</x:v>
      </x:c>
      <x:c r="C418" s="21" t="n">
        <x:v>32731.409965277777</x:v>
      </x:c>
      <x:c r="D418" s="12" t="n">
        <x:v>79</x:v>
      </x:c>
      <x:c r="E418" s="12" t="n">
        <x:v>0</x:v>
      </x:c>
      <x:c r="F418" s="12" t="str">
        <x:v>未记录</x:v>
      </x:c>
      <x:c r="G418" s="12" t="n">
        <x:v>1</x:v>
      </x:c>
      <x:c r="H418" s="12" t="str">
        <x:v>{'ASMI': 50.0, 'IMI': 15.0, 'SR': 0.0}</x:v>
      </x:c>
      <x:c r="I418" s="12" t="str">
        <x:v>[('SRTH', 100.0), ('PVC', 100.0), ('ASMI;AU', 15.0), ('LNGQT', 100.0), ('AB', 100.0)]</x:v>
      </x:c>
      <x:c r="J418" s="12" t="str">
        <x:v>ptbxl_database.csv；ecg_id=3315；scp_codes</x:v>
      </x:c>
      <x:c r="K418" s="12" t="str">
        <x:v>12sl_statements.csv；ecg_id=3315；statements_ext_snomed</x:v>
      </x:c>
      <x:c r="L418" s="12"/>
      <x:c r="M418" s="12" t="str">
        <x:v>negative</x:v>
      </x:c>
      <x:c r="N418" s="12"/>
      <x:c r="O418" s="12" t="str">
        <x:v>negative</x:v>
      </x:c>
      <x:c r="P418" s="12" t="str">
        <x:f>IF(OR(M418="unavailable",O418="unavailable"),"不可评价",IF(OR(M418="equivocal",O418="equivocal"),"疑似",IF(AND(M418="positive",O418="positive"),"a",IF(O418="positive","b",IF(M418="positive","c","d")))))</x:f>
        <x:v>d</x:v>
      </x:c>
      <x:c r="Q418" s="12"/>
      <x:c r="R418" s="12" t="str">
        <x:v>negative</x:v>
      </x:c>
      <x:c r="S418" s="12"/>
      <x:c r="T418" s="12" t="str">
        <x:v>negative</x:v>
      </x:c>
      <x:c r="U418" s="12" t="str">
        <x:f>IF(OR(R418="unavailable",T418="unavailable"),"不可评价",IF(OR(R418="equivocal",T418="equivocal"),"疑似",IF(AND(R418="positive",T418="positive"),"a",IF(T418="positive","b",IF(R418="positive","c","d")))))</x:f>
        <x:v>d</x:v>
      </x:c>
      <x:c r="V418" s="12"/>
      <x:c r="W418" s="12" t="str">
        <x:v>negative</x:v>
      </x:c>
      <x:c r="X418" s="12"/>
      <x:c r="Y418" s="12" t="str">
        <x:v>negative</x:v>
      </x:c>
      <x:c r="Z418" s="12" t="str">
        <x:f>IF(OR(W418="unavailable",Y418="unavailable"),"不可评价",IF(OR(W418="equivocal",Y418="equivocal"),"疑似",IF(AND(W418="positive",Y418="positive"),"a",IF(Y418="positive","b",IF(W418="positive","c","d")))))</x:f>
        <x:v>d</x:v>
      </x:c>
      <x:c r="AA418" s="12" t="str">
        <x:f>IF(OR(M418="unavailable",O418="unavailable"),"不可评价",IF(AND(OR(M418="positive",M418="equivocal"),OR(O418="positive",O418="equivocal")),"a",IF(OR(O418="positive",O418="equivocal"),"b",IF(OR(M418="positive",M418="equivocal"),"c","d"))))</x:f>
        <x:v>d</x:v>
      </x:c>
      <x:c r="AB418" s="12" t="str">
        <x:f>IF(OR(M418="unavailable",O418="unavailable"),"不可评价",IF(AND(M418="positive",O418="positive"),"a",IF(O418="positive","b",IF(M418="positive","c","d"))))</x:f>
        <x:v>d</x:v>
      </x:c>
      <x:c r="AC418" s="12" t="str">
        <x:f>IF(OR(R418="unavailable",T418="unavailable"),"不可评价",IF(AND(OR(R418="positive",R418="equivocal"),OR(T418="positive",T418="equivocal")),"a",IF(OR(T418="positive",T418="equivocal"),"b",IF(OR(R418="positive",R418="equivocal"),"c","d"))))</x:f>
        <x:v>d</x:v>
      </x:c>
      <x:c r="AD418" s="12" t="str">
        <x:f>IF(OR(R418="unavailable",T418="unavailable"),"不可评价",IF(AND(R418="positive",T418="positive"),"a",IF(T418="positive","b",IF(R418="positive","c","d"))))</x:f>
        <x:v>d</x:v>
      </x:c>
      <x:c r="AE418" s="12" t="str">
        <x:f>IF(OR(W418="unavailable",Y418="unavailable"),"不可评价",IF(AND(OR(W418="positive",W418="equivocal"),OR(Y418="positive",Y418="equivocal")),"a",IF(OR(Y418="positive",Y418="equivocal"),"b",IF(OR(W418="positive",W418="equivocal"),"c","d"))))</x:f>
        <x:v>d</x:v>
      </x:c>
      <x:c r="AF418" s="12" t="str">
        <x:f>IF(OR(W418="unavailable",Y418="unavailable"),"不可评价",IF(AND(W418="positive",Y418="positive"),"a",IF(Y418="positive","b",IF(W418="positive","c","d"))))</x:f>
        <x:v>d</x:v>
      </x:c>
    </x:row>
    <x:row r="419" ht="24" customHeight="1">
      <x:c r="A419" s="12" t="str">
        <x:v>3317</x:v>
      </x:c>
      <x:c r="B419" s="12" t="str">
        <x:v>3217</x:v>
      </x:c>
      <x:c r="C419" s="21" t="n">
        <x:v>32731.477766203705</x:v>
      </x:c>
      <x:c r="D419" s="12" t="n">
        <x:v>77</x:v>
      </x:c>
      <x:c r="E419" s="12" t="n">
        <x:v>0</x:v>
      </x:c>
      <x:c r="F419" s="12" t="str">
        <x:v>未记录</x:v>
      </x:c>
      <x:c r="G419" s="12" t="n">
        <x:v>1</x:v>
      </x:c>
      <x:c r="H419" s="12" t="str">
        <x:v>{'NST_': 100.0, 'SR': 0.0}</x:v>
      </x:c>
      <x:c r="I419" s="12" t="str">
        <x:v>[('NSR', 100.0), ('STDEP2', 100.0), ('AB', 100.0)]</x:v>
      </x:c>
      <x:c r="J419" s="12" t="str">
        <x:v>ptbxl_database.csv；ecg_id=3317；scp_codes</x:v>
      </x:c>
      <x:c r="K419" s="12" t="str">
        <x:v>12sl_statements.csv；ecg_id=3317；statements_ext_snomed</x:v>
      </x:c>
      <x:c r="L419" s="12"/>
      <x:c r="M419" s="12" t="str">
        <x:v>negative</x:v>
      </x:c>
      <x:c r="N419" s="12"/>
      <x:c r="O419" s="12" t="str">
        <x:v>negative</x:v>
      </x:c>
      <x:c r="P419" s="12" t="str">
        <x:f>IF(OR(M419="unavailable",O419="unavailable"),"不可评价",IF(OR(M419="equivocal",O419="equivocal"),"疑似",IF(AND(M419="positive",O419="positive"),"a",IF(O419="positive","b",IF(M419="positive","c","d")))))</x:f>
        <x:v>d</x:v>
      </x:c>
      <x:c r="Q419" s="12"/>
      <x:c r="R419" s="12" t="str">
        <x:v>negative</x:v>
      </x:c>
      <x:c r="S419" s="12"/>
      <x:c r="T419" s="12" t="str">
        <x:v>negative</x:v>
      </x:c>
      <x:c r="U419" s="12" t="str">
        <x:f>IF(OR(R419="unavailable",T419="unavailable"),"不可评价",IF(OR(R419="equivocal",T419="equivocal"),"疑似",IF(AND(R419="positive",T419="positive"),"a",IF(T419="positive","b",IF(R419="positive","c","d")))))</x:f>
        <x:v>d</x:v>
      </x:c>
      <x:c r="V419" s="12"/>
      <x:c r="W419" s="12" t="str">
        <x:v>negative</x:v>
      </x:c>
      <x:c r="X419" s="12"/>
      <x:c r="Y419" s="12" t="str">
        <x:v>negative</x:v>
      </x:c>
      <x:c r="Z419" s="12" t="str">
        <x:f>IF(OR(W419="unavailable",Y419="unavailable"),"不可评价",IF(OR(W419="equivocal",Y419="equivocal"),"疑似",IF(AND(W419="positive",Y419="positive"),"a",IF(Y419="positive","b",IF(W419="positive","c","d")))))</x:f>
        <x:v>d</x:v>
      </x:c>
      <x:c r="AA419" s="12" t="str">
        <x:f>IF(OR(M419="unavailable",O419="unavailable"),"不可评价",IF(AND(OR(M419="positive",M419="equivocal"),OR(O419="positive",O419="equivocal")),"a",IF(OR(O419="positive",O419="equivocal"),"b",IF(OR(M419="positive",M419="equivocal"),"c","d"))))</x:f>
        <x:v>d</x:v>
      </x:c>
      <x:c r="AB419" s="12" t="str">
        <x:f>IF(OR(M419="unavailable",O419="unavailable"),"不可评价",IF(AND(M419="positive",O419="positive"),"a",IF(O419="positive","b",IF(M419="positive","c","d"))))</x:f>
        <x:v>d</x:v>
      </x:c>
      <x:c r="AC419" s="12" t="str">
        <x:f>IF(OR(R419="unavailable",T419="unavailable"),"不可评价",IF(AND(OR(R419="positive",R419="equivocal"),OR(T419="positive",T419="equivocal")),"a",IF(OR(T419="positive",T419="equivocal"),"b",IF(OR(R419="positive",R419="equivocal"),"c","d"))))</x:f>
        <x:v>d</x:v>
      </x:c>
      <x:c r="AD419" s="12" t="str">
        <x:f>IF(OR(R419="unavailable",T419="unavailable"),"不可评价",IF(AND(R419="positive",T419="positive"),"a",IF(T419="positive","b",IF(R419="positive","c","d"))))</x:f>
        <x:v>d</x:v>
      </x:c>
      <x:c r="AE419" s="12" t="str">
        <x:f>IF(OR(W419="unavailable",Y419="unavailable"),"不可评价",IF(AND(OR(W419="positive",W419="equivocal"),OR(Y419="positive",Y419="equivocal")),"a",IF(OR(Y419="positive",Y419="equivocal"),"b",IF(OR(W419="positive",W419="equivocal"),"c","d"))))</x:f>
        <x:v>d</x:v>
      </x:c>
      <x:c r="AF419" s="12" t="str">
        <x:f>IF(OR(W419="unavailable",Y419="unavailable"),"不可评价",IF(AND(W419="positive",Y419="positive"),"a",IF(Y419="positive","b",IF(W419="positive","c","d"))))</x:f>
        <x:v>d</x:v>
      </x:c>
    </x:row>
    <x:row r="420" ht="24" customHeight="1">
      <x:c r="A420" s="12" t="str">
        <x:v>3320</x:v>
      </x:c>
      <x:c r="B420" s="12" t="str">
        <x:v>4763</x:v>
      </x:c>
      <x:c r="C420" s="21" t="n">
        <x:v>32731.487546296295</x:v>
      </x:c>
      <x:c r="D420" s="12" t="n">
        <x:v>86</x:v>
      </x:c>
      <x:c r="E420" s="12" t="n">
        <x:v>1</x:v>
      </x:c>
      <x:c r="F420" s="12" t="str">
        <x:v>未记录</x:v>
      </x:c>
      <x:c r="G420" s="12" t="n">
        <x:v>1</x:v>
      </x:c>
      <x:c r="H420" s="12" t="str">
        <x:v>{'NORM': 80.0, 'QWAVE': 0.0, 'SBRAD': 0.0}</x:v>
      </x:c>
      <x:c r="I420" s="12" t="str">
        <x:v>[('SBRAD', 100.0), ('MBZI', 100.0), ('AB', 100.0)]</x:v>
      </x:c>
      <x:c r="J420" s="12" t="str">
        <x:v>ptbxl_database.csv；ecg_id=3320；scp_codes</x:v>
      </x:c>
      <x:c r="K420" s="12" t="str">
        <x:v>12sl_statements.csv；ecg_id=3320；statements_ext_snomed</x:v>
      </x:c>
      <x:c r="L420" s="12"/>
      <x:c r="M420" s="12" t="str">
        <x:v>negative</x:v>
      </x:c>
      <x:c r="N420" s="12"/>
      <x:c r="O420" s="12" t="str">
        <x:v>negative</x:v>
      </x:c>
      <x:c r="P420" s="12" t="str">
        <x:f>IF(OR(M420="unavailable",O420="unavailable"),"不可评价",IF(OR(M420="equivocal",O420="equivocal"),"疑似",IF(AND(M420="positive",O420="positive"),"a",IF(O420="positive","b",IF(M420="positive","c","d")))))</x:f>
        <x:v>d</x:v>
      </x:c>
      <x:c r="Q420" s="12"/>
      <x:c r="R420" s="12" t="str">
        <x:v>negative</x:v>
      </x:c>
      <x:c r="S420" s="12"/>
      <x:c r="T420" s="12" t="str">
        <x:v>negative</x:v>
      </x:c>
      <x:c r="U420" s="12" t="str">
        <x:f>IF(OR(R420="unavailable",T420="unavailable"),"不可评价",IF(OR(R420="equivocal",T420="equivocal"),"疑似",IF(AND(R420="positive",T420="positive"),"a",IF(T420="positive","b",IF(R420="positive","c","d")))))</x:f>
        <x:v>d</x:v>
      </x:c>
      <x:c r="V420" s="12"/>
      <x:c r="W420" s="12" t="str">
        <x:v>negative</x:v>
      </x:c>
      <x:c r="X420" s="12"/>
      <x:c r="Y420" s="12" t="str">
        <x:v>negative</x:v>
      </x:c>
      <x:c r="Z420" s="12" t="str">
        <x:f>IF(OR(W420="unavailable",Y420="unavailable"),"不可评价",IF(OR(W420="equivocal",Y420="equivocal"),"疑似",IF(AND(W420="positive",Y420="positive"),"a",IF(Y420="positive","b",IF(W420="positive","c","d")))))</x:f>
        <x:v>d</x:v>
      </x:c>
      <x:c r="AA420" s="12" t="str">
        <x:f>IF(OR(M420="unavailable",O420="unavailable"),"不可评价",IF(AND(OR(M420="positive",M420="equivocal"),OR(O420="positive",O420="equivocal")),"a",IF(OR(O420="positive",O420="equivocal"),"b",IF(OR(M420="positive",M420="equivocal"),"c","d"))))</x:f>
        <x:v>d</x:v>
      </x:c>
      <x:c r="AB420" s="12" t="str">
        <x:f>IF(OR(M420="unavailable",O420="unavailable"),"不可评价",IF(AND(M420="positive",O420="positive"),"a",IF(O420="positive","b",IF(M420="positive","c","d"))))</x:f>
        <x:v>d</x:v>
      </x:c>
      <x:c r="AC420" s="12" t="str">
        <x:f>IF(OR(R420="unavailable",T420="unavailable"),"不可评价",IF(AND(OR(R420="positive",R420="equivocal"),OR(T420="positive",T420="equivocal")),"a",IF(OR(T420="positive",T420="equivocal"),"b",IF(OR(R420="positive",R420="equivocal"),"c","d"))))</x:f>
        <x:v>d</x:v>
      </x:c>
      <x:c r="AD420" s="12" t="str">
        <x:f>IF(OR(R420="unavailable",T420="unavailable"),"不可评价",IF(AND(R420="positive",T420="positive"),"a",IF(T420="positive","b",IF(R420="positive","c","d"))))</x:f>
        <x:v>d</x:v>
      </x:c>
      <x:c r="AE420" s="12" t="str">
        <x:f>IF(OR(W420="unavailable",Y420="unavailable"),"不可评价",IF(AND(OR(W420="positive",W420="equivocal"),OR(Y420="positive",Y420="equivocal")),"a",IF(OR(Y420="positive",Y420="equivocal"),"b",IF(OR(W420="positive",W420="equivocal"),"c","d"))))</x:f>
        <x:v>d</x:v>
      </x:c>
      <x:c r="AF420" s="12" t="str">
        <x:f>IF(OR(W420="unavailable",Y420="unavailable"),"不可评价",IF(AND(W420="positive",Y420="positive"),"a",IF(Y420="positive","b",IF(W420="positive","c","d"))))</x:f>
        <x:v>d</x:v>
      </x:c>
    </x:row>
    <x:row r="421" ht="24" customHeight="1">
      <x:c r="A421" s="12" t="str">
        <x:v>3326</x:v>
      </x:c>
      <x:c r="B421" s="12" t="str">
        <x:v>733</x:v>
      </x:c>
      <x:c r="C421" s="21" t="n">
        <x:v>32731.664409722223</x:v>
      </x:c>
      <x:c r="D421" s="12" t="n">
        <x:v>69</x:v>
      </x:c>
      <x:c r="E421" s="12" t="n">
        <x:v>1</x:v>
      </x:c>
      <x:c r="F421" s="12" t="str">
        <x:v>存在</x:v>
      </x:c>
      <x:c r="G421" s="12" t="n">
        <x:v>1</x:v>
      </x:c>
      <x:c r="H421" s="12" t="str">
        <x:v>{'NST_': 100.0, 'LNGQT': 100.0, 'EL': 50.0, 'SR': 0.0}</x:v>
      </x:c>
      <x:c r="I421" s="12" t="str">
        <x:v>[('NSR', 100.0), ('NT', 100.0), ('AB', 100.0)]</x:v>
      </x:c>
      <x:c r="J421" s="12" t="str">
        <x:v>ptbxl_database.csv；ecg_id=3326；scp_codes</x:v>
      </x:c>
      <x:c r="K421" s="12" t="str">
        <x:v>12sl_statements.csv；ecg_id=3326；statements_ext_snomed</x:v>
      </x:c>
      <x:c r="L421" s="12"/>
      <x:c r="M421" s="12" t="str">
        <x:v>negative</x:v>
      </x:c>
      <x:c r="N421" s="12"/>
      <x:c r="O421" s="12" t="str">
        <x:v>negative</x:v>
      </x:c>
      <x:c r="P421" s="12" t="str">
        <x:f>IF(OR(M421="unavailable",O421="unavailable"),"不可评价",IF(OR(M421="equivocal",O421="equivocal"),"疑似",IF(AND(M421="positive",O421="positive"),"a",IF(O421="positive","b",IF(M421="positive","c","d")))))</x:f>
        <x:v>d</x:v>
      </x:c>
      <x:c r="Q421" s="12"/>
      <x:c r="R421" s="12" t="str">
        <x:v>negative</x:v>
      </x:c>
      <x:c r="S421" s="12"/>
      <x:c r="T421" s="12" t="str">
        <x:v>negative</x:v>
      </x:c>
      <x:c r="U421" s="12" t="str">
        <x:f>IF(OR(R421="unavailable",T421="unavailable"),"不可评价",IF(OR(R421="equivocal",T421="equivocal"),"疑似",IF(AND(R421="positive",T421="positive"),"a",IF(T421="positive","b",IF(R421="positive","c","d")))))</x:f>
        <x:v>d</x:v>
      </x:c>
      <x:c r="V421" s="12"/>
      <x:c r="W421" s="12" t="str">
        <x:v>negative</x:v>
      </x:c>
      <x:c r="X421" s="12"/>
      <x:c r="Y421" s="12" t="str">
        <x:v>negative</x:v>
      </x:c>
      <x:c r="Z421" s="12" t="str">
        <x:f>IF(OR(W421="unavailable",Y421="unavailable"),"不可评价",IF(OR(W421="equivocal",Y421="equivocal"),"疑似",IF(AND(W421="positive",Y421="positive"),"a",IF(Y421="positive","b",IF(W421="positive","c","d")))))</x:f>
        <x:v>d</x:v>
      </x:c>
      <x:c r="AA421" s="12" t="str">
        <x:f>IF(OR(M421="unavailable",O421="unavailable"),"不可评价",IF(AND(OR(M421="positive",M421="equivocal"),OR(O421="positive",O421="equivocal")),"a",IF(OR(O421="positive",O421="equivocal"),"b",IF(OR(M421="positive",M421="equivocal"),"c","d"))))</x:f>
        <x:v>d</x:v>
      </x:c>
      <x:c r="AB421" s="12" t="str">
        <x:f>IF(OR(M421="unavailable",O421="unavailable"),"不可评价",IF(AND(M421="positive",O421="positive"),"a",IF(O421="positive","b",IF(M421="positive","c","d"))))</x:f>
        <x:v>d</x:v>
      </x:c>
      <x:c r="AC421" s="12" t="str">
        <x:f>IF(OR(R421="unavailable",T421="unavailable"),"不可评价",IF(AND(OR(R421="positive",R421="equivocal"),OR(T421="positive",T421="equivocal")),"a",IF(OR(T421="positive",T421="equivocal"),"b",IF(OR(R421="positive",R421="equivocal"),"c","d"))))</x:f>
        <x:v>d</x:v>
      </x:c>
      <x:c r="AD421" s="12" t="str">
        <x:f>IF(OR(R421="unavailable",T421="unavailable"),"不可评价",IF(AND(R421="positive",T421="positive"),"a",IF(T421="positive","b",IF(R421="positive","c","d"))))</x:f>
        <x:v>d</x:v>
      </x:c>
      <x:c r="AE421" s="12" t="str">
        <x:f>IF(OR(W421="unavailable",Y421="unavailable"),"不可评价",IF(AND(OR(W421="positive",W421="equivocal"),OR(Y421="positive",Y421="equivocal")),"a",IF(OR(Y421="positive",Y421="equivocal"),"b",IF(OR(W421="positive",W421="equivocal"),"c","d"))))</x:f>
        <x:v>d</x:v>
      </x:c>
      <x:c r="AF421" s="12" t="str">
        <x:f>IF(OR(W421="unavailable",Y421="unavailable"),"不可评价",IF(AND(W421="positive",Y421="positive"),"a",IF(Y421="positive","b",IF(W421="positive","c","d"))))</x:f>
        <x:v>d</x:v>
      </x:c>
    </x:row>
    <x:row r="422" ht="24" customHeight="1">
      <x:c r="A422" s="12" t="str">
        <x:v>3336</x:v>
      </x:c>
      <x:c r="B422" s="12" t="str">
        <x:v>9211</x:v>
      </x:c>
      <x:c r="C422" s="21" t="n">
        <x:v>32733.518564814814</x:v>
      </x:c>
      <x:c r="D422" s="12" t="n">
        <x:v>78</x:v>
      </x:c>
      <x:c r="E422" s="12" t="n">
        <x:v>1</x:v>
      </x:c>
      <x:c r="F422" s="12" t="str">
        <x:v>未记录</x:v>
      </x:c>
      <x:c r="G422" s="12" t="n">
        <x:v>1</x:v>
      </x:c>
      <x:c r="H422" s="12" t="str">
        <x:v>{'IMI': 50.0, 'SR': 0.0}</x:v>
      </x:c>
      <x:c r="I422" s="12" t="str">
        <x:v>[('NSR', 100.0), ('IMI;AU', 100.0), ('AB', 100.0)]</x:v>
      </x:c>
      <x:c r="J422" s="12" t="str">
        <x:v>ptbxl_database.csv；ecg_id=3336；scp_codes</x:v>
      </x:c>
      <x:c r="K422" s="12" t="str">
        <x:v>12sl_statements.csv；ecg_id=3336；statements_ext_snomed</x:v>
      </x:c>
      <x:c r="L422" s="12"/>
      <x:c r="M422" s="12" t="str">
        <x:v>negative</x:v>
      </x:c>
      <x:c r="N422" s="12"/>
      <x:c r="O422" s="12" t="str">
        <x:v>negative</x:v>
      </x:c>
      <x:c r="P422" s="12" t="str">
        <x:f>IF(OR(M422="unavailable",O422="unavailable"),"不可评价",IF(OR(M422="equivocal",O422="equivocal"),"疑似",IF(AND(M422="positive",O422="positive"),"a",IF(O422="positive","b",IF(M422="positive","c","d")))))</x:f>
        <x:v>d</x:v>
      </x:c>
      <x:c r="Q422" s="12"/>
      <x:c r="R422" s="12" t="str">
        <x:v>negative</x:v>
      </x:c>
      <x:c r="S422" s="12"/>
      <x:c r="T422" s="12" t="str">
        <x:v>negative</x:v>
      </x:c>
      <x:c r="U422" s="12" t="str">
        <x:f>IF(OR(R422="unavailable",T422="unavailable"),"不可评价",IF(OR(R422="equivocal",T422="equivocal"),"疑似",IF(AND(R422="positive",T422="positive"),"a",IF(T422="positive","b",IF(R422="positive","c","d")))))</x:f>
        <x:v>d</x:v>
      </x:c>
      <x:c r="V422" s="12"/>
      <x:c r="W422" s="12" t="str">
        <x:v>negative</x:v>
      </x:c>
      <x:c r="X422" s="12"/>
      <x:c r="Y422" s="12" t="str">
        <x:v>negative</x:v>
      </x:c>
      <x:c r="Z422" s="12" t="str">
        <x:f>IF(OR(W422="unavailable",Y422="unavailable"),"不可评价",IF(OR(W422="equivocal",Y422="equivocal"),"疑似",IF(AND(W422="positive",Y422="positive"),"a",IF(Y422="positive","b",IF(W422="positive","c","d")))))</x:f>
        <x:v>d</x:v>
      </x:c>
      <x:c r="AA422" s="12" t="str">
        <x:f>IF(OR(M422="unavailable",O422="unavailable"),"不可评价",IF(AND(OR(M422="positive",M422="equivocal"),OR(O422="positive",O422="equivocal")),"a",IF(OR(O422="positive",O422="equivocal"),"b",IF(OR(M422="positive",M422="equivocal"),"c","d"))))</x:f>
        <x:v>d</x:v>
      </x:c>
      <x:c r="AB422" s="12" t="str">
        <x:f>IF(OR(M422="unavailable",O422="unavailable"),"不可评价",IF(AND(M422="positive",O422="positive"),"a",IF(O422="positive","b",IF(M422="positive","c","d"))))</x:f>
        <x:v>d</x:v>
      </x:c>
      <x:c r="AC422" s="12" t="str">
        <x:f>IF(OR(R422="unavailable",T422="unavailable"),"不可评价",IF(AND(OR(R422="positive",R422="equivocal"),OR(T422="positive",T422="equivocal")),"a",IF(OR(T422="positive",T422="equivocal"),"b",IF(OR(R422="positive",R422="equivocal"),"c","d"))))</x:f>
        <x:v>d</x:v>
      </x:c>
      <x:c r="AD422" s="12" t="str">
        <x:f>IF(OR(R422="unavailable",T422="unavailable"),"不可评价",IF(AND(R422="positive",T422="positive"),"a",IF(T422="positive","b",IF(R422="positive","c","d"))))</x:f>
        <x:v>d</x:v>
      </x:c>
      <x:c r="AE422" s="12" t="str">
        <x:f>IF(OR(W422="unavailable",Y422="unavailable"),"不可评价",IF(AND(OR(W422="positive",W422="equivocal"),OR(Y422="positive",Y422="equivocal")),"a",IF(OR(Y422="positive",Y422="equivocal"),"b",IF(OR(W422="positive",W422="equivocal"),"c","d"))))</x:f>
        <x:v>d</x:v>
      </x:c>
      <x:c r="AF422" s="12" t="str">
        <x:f>IF(OR(W422="unavailable",Y422="unavailable"),"不可评价",IF(AND(W422="positive",Y422="positive"),"a",IF(Y422="positive","b",IF(W422="positive","c","d"))))</x:f>
        <x:v>d</x:v>
      </x:c>
    </x:row>
    <x:row r="423" ht="24" customHeight="1">
      <x:c r="A423" s="12" t="str">
        <x:v>3342</x:v>
      </x:c>
      <x:c r="B423" s="12" t="str">
        <x:v>3016</x:v>
      </x:c>
      <x:c r="C423" s="21" t="n">
        <x:v>32734.44064814815</x:v>
      </x:c>
      <x:c r="D423" s="12" t="n">
        <x:v>49</x:v>
      </x:c>
      <x:c r="E423" s="12" t="n">
        <x:v>1</x:v>
      </x:c>
      <x:c r="F423" s="12" t="str">
        <x:v>未记录</x:v>
      </x:c>
      <x:c r="G423" s="12" t="n">
        <x:v>1</x:v>
      </x:c>
      <x:c r="H423" s="12" t="str">
        <x:v>{'NDT': 100.0, 'SR': 0.0}</x:v>
      </x:c>
      <x:c r="I423" s="12" t="str">
        <x:v>[('NSR', 100.0), ('NSTT', 100.0), ('AB', 100.0)]</x:v>
      </x:c>
      <x:c r="J423" s="12" t="str">
        <x:v>ptbxl_database.csv；ecg_id=3342；scp_codes</x:v>
      </x:c>
      <x:c r="K423" s="12" t="str">
        <x:v>12sl_statements.csv；ecg_id=3342；statements_ext_snomed</x:v>
      </x:c>
      <x:c r="L423" s="12"/>
      <x:c r="M423" s="12" t="str">
        <x:v>negative</x:v>
      </x:c>
      <x:c r="N423" s="12"/>
      <x:c r="O423" s="12" t="str">
        <x:v>negative</x:v>
      </x:c>
      <x:c r="P423" s="12" t="str">
        <x:f>IF(OR(M423="unavailable",O423="unavailable"),"不可评价",IF(OR(M423="equivocal",O423="equivocal"),"疑似",IF(AND(M423="positive",O423="positive"),"a",IF(O423="positive","b",IF(M423="positive","c","d")))))</x:f>
        <x:v>d</x:v>
      </x:c>
      <x:c r="Q423" s="12"/>
      <x:c r="R423" s="12" t="str">
        <x:v>negative</x:v>
      </x:c>
      <x:c r="S423" s="12"/>
      <x:c r="T423" s="12" t="str">
        <x:v>negative</x:v>
      </x:c>
      <x:c r="U423" s="12" t="str">
        <x:f>IF(OR(R423="unavailable",T423="unavailable"),"不可评价",IF(OR(R423="equivocal",T423="equivocal"),"疑似",IF(AND(R423="positive",T423="positive"),"a",IF(T423="positive","b",IF(R423="positive","c","d")))))</x:f>
        <x:v>d</x:v>
      </x:c>
      <x:c r="V423" s="12"/>
      <x:c r="W423" s="12" t="str">
        <x:v>negative</x:v>
      </x:c>
      <x:c r="X423" s="12"/>
      <x:c r="Y423" s="12" t="str">
        <x:v>negative</x:v>
      </x:c>
      <x:c r="Z423" s="12" t="str">
        <x:f>IF(OR(W423="unavailable",Y423="unavailable"),"不可评价",IF(OR(W423="equivocal",Y423="equivocal"),"疑似",IF(AND(W423="positive",Y423="positive"),"a",IF(Y423="positive","b",IF(W423="positive","c","d")))))</x:f>
        <x:v>d</x:v>
      </x:c>
      <x:c r="AA423" s="12" t="str">
        <x:f>IF(OR(M423="unavailable",O423="unavailable"),"不可评价",IF(AND(OR(M423="positive",M423="equivocal"),OR(O423="positive",O423="equivocal")),"a",IF(OR(O423="positive",O423="equivocal"),"b",IF(OR(M423="positive",M423="equivocal"),"c","d"))))</x:f>
        <x:v>d</x:v>
      </x:c>
      <x:c r="AB423" s="12" t="str">
        <x:f>IF(OR(M423="unavailable",O423="unavailable"),"不可评价",IF(AND(M423="positive",O423="positive"),"a",IF(O423="positive","b",IF(M423="positive","c","d"))))</x:f>
        <x:v>d</x:v>
      </x:c>
      <x:c r="AC423" s="12" t="str">
        <x:f>IF(OR(R423="unavailable",T423="unavailable"),"不可评价",IF(AND(OR(R423="positive",R423="equivocal"),OR(T423="positive",T423="equivocal")),"a",IF(OR(T423="positive",T423="equivocal"),"b",IF(OR(R423="positive",R423="equivocal"),"c","d"))))</x:f>
        <x:v>d</x:v>
      </x:c>
      <x:c r="AD423" s="12" t="str">
        <x:f>IF(OR(R423="unavailable",T423="unavailable"),"不可评价",IF(AND(R423="positive",T423="positive"),"a",IF(T423="positive","b",IF(R423="positive","c","d"))))</x:f>
        <x:v>d</x:v>
      </x:c>
      <x:c r="AE423" s="12" t="str">
        <x:f>IF(OR(W423="unavailable",Y423="unavailable"),"不可评价",IF(AND(OR(W423="positive",W423="equivocal"),OR(Y423="positive",Y423="equivocal")),"a",IF(OR(Y423="positive",Y423="equivocal"),"b",IF(OR(W423="positive",W423="equivocal"),"c","d"))))</x:f>
        <x:v>d</x:v>
      </x:c>
      <x:c r="AF423" s="12" t="str">
        <x:f>IF(OR(W423="unavailable",Y423="unavailable"),"不可评价",IF(AND(W423="positive",Y423="positive"),"a",IF(Y423="positive","b",IF(W423="positive","c","d"))))</x:f>
        <x:v>d</x:v>
      </x:c>
    </x:row>
    <x:row r="424" ht="24" customHeight="1">
      <x:c r="A424" s="12" t="str">
        <x:v>3350</x:v>
      </x:c>
      <x:c r="B424" s="12" t="str">
        <x:v>20605</x:v>
      </x:c>
      <x:c r="C424" s="21" t="n">
        <x:v>32735.37783564815</x:v>
      </x:c>
      <x:c r="D424" s="12" t="n">
        <x:v>22</x:v>
      </x:c>
      <x:c r="E424" s="12" t="n">
        <x:v>1</x:v>
      </x:c>
      <x:c r="F424" s="12" t="str">
        <x:v>存在</x:v>
      </x:c>
      <x:c r="G424" s="12" t="n">
        <x:v>1</x:v>
      </x:c>
      <x:c r="H424" s="12" t="str">
        <x:v>{'NORM': 80.0, 'SARRH': 0.0}</x:v>
      </x:c>
      <x:c r="I424" s="12" t="str">
        <x:v>[('NSR', 100.0), ('SAR', 100.0), ('NML', 100.0)]</x:v>
      </x:c>
      <x:c r="J424" s="12" t="str">
        <x:v>ptbxl_database.csv；ecg_id=3350；scp_codes</x:v>
      </x:c>
      <x:c r="K424" s="12" t="str">
        <x:v>12sl_statements.csv；ecg_id=3350；statements_ext_snomed</x:v>
      </x:c>
      <x:c r="L424" s="12"/>
      <x:c r="M424" s="12" t="str">
        <x:v>negative</x:v>
      </x:c>
      <x:c r="N424" s="12"/>
      <x:c r="O424" s="12" t="str">
        <x:v>negative</x:v>
      </x:c>
      <x:c r="P424" s="12" t="str">
        <x:f>IF(OR(M424="unavailable",O424="unavailable"),"不可评价",IF(OR(M424="equivocal",O424="equivocal"),"疑似",IF(AND(M424="positive",O424="positive"),"a",IF(O424="positive","b",IF(M424="positive","c","d")))))</x:f>
        <x:v>d</x:v>
      </x:c>
      <x:c r="Q424" s="12"/>
      <x:c r="R424" s="12" t="str">
        <x:v>negative</x:v>
      </x:c>
      <x:c r="S424" s="12"/>
      <x:c r="T424" s="12" t="str">
        <x:v>negative</x:v>
      </x:c>
      <x:c r="U424" s="12" t="str">
        <x:f>IF(OR(R424="unavailable",T424="unavailable"),"不可评价",IF(OR(R424="equivocal",T424="equivocal"),"疑似",IF(AND(R424="positive",T424="positive"),"a",IF(T424="positive","b",IF(R424="positive","c","d")))))</x:f>
        <x:v>d</x:v>
      </x:c>
      <x:c r="V424" s="12"/>
      <x:c r="W424" s="12" t="str">
        <x:v>negative</x:v>
      </x:c>
      <x:c r="X424" s="12"/>
      <x:c r="Y424" s="12" t="str">
        <x:v>negative</x:v>
      </x:c>
      <x:c r="Z424" s="12" t="str">
        <x:f>IF(OR(W424="unavailable",Y424="unavailable"),"不可评价",IF(OR(W424="equivocal",Y424="equivocal"),"疑似",IF(AND(W424="positive",Y424="positive"),"a",IF(Y424="positive","b",IF(W424="positive","c","d")))))</x:f>
        <x:v>d</x:v>
      </x:c>
      <x:c r="AA424" s="12" t="str">
        <x:f>IF(OR(M424="unavailable",O424="unavailable"),"不可评价",IF(AND(OR(M424="positive",M424="equivocal"),OR(O424="positive",O424="equivocal")),"a",IF(OR(O424="positive",O424="equivocal"),"b",IF(OR(M424="positive",M424="equivocal"),"c","d"))))</x:f>
        <x:v>d</x:v>
      </x:c>
      <x:c r="AB424" s="12" t="str">
        <x:f>IF(OR(M424="unavailable",O424="unavailable"),"不可评价",IF(AND(M424="positive",O424="positive"),"a",IF(O424="positive","b",IF(M424="positive","c","d"))))</x:f>
        <x:v>d</x:v>
      </x:c>
      <x:c r="AC424" s="12" t="str">
        <x:f>IF(OR(R424="unavailable",T424="unavailable"),"不可评价",IF(AND(OR(R424="positive",R424="equivocal"),OR(T424="positive",T424="equivocal")),"a",IF(OR(T424="positive",T424="equivocal"),"b",IF(OR(R424="positive",R424="equivocal"),"c","d"))))</x:f>
        <x:v>d</x:v>
      </x:c>
      <x:c r="AD424" s="12" t="str">
        <x:f>IF(OR(R424="unavailable",T424="unavailable"),"不可评价",IF(AND(R424="positive",T424="positive"),"a",IF(T424="positive","b",IF(R424="positive","c","d"))))</x:f>
        <x:v>d</x:v>
      </x:c>
      <x:c r="AE424" s="12" t="str">
        <x:f>IF(OR(W424="unavailable",Y424="unavailable"),"不可评价",IF(AND(OR(W424="positive",W424="equivocal"),OR(Y424="positive",Y424="equivocal")),"a",IF(OR(Y424="positive",Y424="equivocal"),"b",IF(OR(W424="positive",W424="equivocal"),"c","d"))))</x:f>
        <x:v>d</x:v>
      </x:c>
      <x:c r="AF424" s="12" t="str">
        <x:f>IF(OR(W424="unavailable",Y424="unavailable"),"不可评价",IF(AND(W424="positive",Y424="positive"),"a",IF(Y424="positive","b",IF(W424="positive","c","d"))))</x:f>
        <x:v>d</x:v>
      </x:c>
    </x:row>
    <x:row r="425" ht="24" customHeight="1">
      <x:c r="A425" s="12" t="str">
        <x:v>3356</x:v>
      </x:c>
      <x:c r="B425" s="12" t="str">
        <x:v>14447</x:v>
      </x:c>
      <x:c r="C425" s="21" t="n">
        <x:v>32742.179641203704</x:v>
      </x:c>
      <x:c r="D425" s="12" t="n">
        <x:v>32</x:v>
      </x:c>
      <x:c r="E425" s="12" t="n">
        <x:v>0</x:v>
      </x:c>
      <x:c r="F425" s="12" t="str">
        <x:v>未记录</x:v>
      </x:c>
      <x:c r="G425" s="12" t="n">
        <x:v>1</x:v>
      </x:c>
      <x:c r="H425" s="12" t="str">
        <x:v>{'LAFB': 100.0, 'SR': 0.0}</x:v>
      </x:c>
      <x:c r="I425" s="12" t="str">
        <x:v>[('NSR', 100.0), ('NML', 100.0)]</x:v>
      </x:c>
      <x:c r="J425" s="12" t="str">
        <x:v>ptbxl_database.csv；ecg_id=3356；scp_codes</x:v>
      </x:c>
      <x:c r="K425" s="12" t="str">
        <x:v>12sl_statements.csv；ecg_id=3356；statements_ext_snomed</x:v>
      </x:c>
      <x:c r="L425" s="12"/>
      <x:c r="M425" s="12" t="str">
        <x:v>negative</x:v>
      </x:c>
      <x:c r="N425" s="12"/>
      <x:c r="O425" s="12" t="str">
        <x:v>negative</x:v>
      </x:c>
      <x:c r="P425" s="12" t="str">
        <x:f>IF(OR(M425="unavailable",O425="unavailable"),"不可评价",IF(OR(M425="equivocal",O425="equivocal"),"疑似",IF(AND(M425="positive",O425="positive"),"a",IF(O425="positive","b",IF(M425="positive","c","d")))))</x:f>
        <x:v>d</x:v>
      </x:c>
      <x:c r="Q425" s="12"/>
      <x:c r="R425" s="12" t="str">
        <x:v>negative</x:v>
      </x:c>
      <x:c r="S425" s="12"/>
      <x:c r="T425" s="12" t="str">
        <x:v>negative</x:v>
      </x:c>
      <x:c r="U425" s="12" t="str">
        <x:f>IF(OR(R425="unavailable",T425="unavailable"),"不可评价",IF(OR(R425="equivocal",T425="equivocal"),"疑似",IF(AND(R425="positive",T425="positive"),"a",IF(T425="positive","b",IF(R425="positive","c","d")))))</x:f>
        <x:v>d</x:v>
      </x:c>
      <x:c r="V425" s="12"/>
      <x:c r="W425" s="12" t="str">
        <x:v>negative</x:v>
      </x:c>
      <x:c r="X425" s="12"/>
      <x:c r="Y425" s="12" t="str">
        <x:v>negative</x:v>
      </x:c>
      <x:c r="Z425" s="12" t="str">
        <x:f>IF(OR(W425="unavailable",Y425="unavailable"),"不可评价",IF(OR(W425="equivocal",Y425="equivocal"),"疑似",IF(AND(W425="positive",Y425="positive"),"a",IF(Y425="positive","b",IF(W425="positive","c","d")))))</x:f>
        <x:v>d</x:v>
      </x:c>
      <x:c r="AA425" s="12" t="str">
        <x:f>IF(OR(M425="unavailable",O425="unavailable"),"不可评价",IF(AND(OR(M425="positive",M425="equivocal"),OR(O425="positive",O425="equivocal")),"a",IF(OR(O425="positive",O425="equivocal"),"b",IF(OR(M425="positive",M425="equivocal"),"c","d"))))</x:f>
        <x:v>d</x:v>
      </x:c>
      <x:c r="AB425" s="12" t="str">
        <x:f>IF(OR(M425="unavailable",O425="unavailable"),"不可评价",IF(AND(M425="positive",O425="positive"),"a",IF(O425="positive","b",IF(M425="positive","c","d"))))</x:f>
        <x:v>d</x:v>
      </x:c>
      <x:c r="AC425" s="12" t="str">
        <x:f>IF(OR(R425="unavailable",T425="unavailable"),"不可评价",IF(AND(OR(R425="positive",R425="equivocal"),OR(T425="positive",T425="equivocal")),"a",IF(OR(T425="positive",T425="equivocal"),"b",IF(OR(R425="positive",R425="equivocal"),"c","d"))))</x:f>
        <x:v>d</x:v>
      </x:c>
      <x:c r="AD425" s="12" t="str">
        <x:f>IF(OR(R425="unavailable",T425="unavailable"),"不可评价",IF(AND(R425="positive",T425="positive"),"a",IF(T425="positive","b",IF(R425="positive","c","d"))))</x:f>
        <x:v>d</x:v>
      </x:c>
      <x:c r="AE425" s="12" t="str">
        <x:f>IF(OR(W425="unavailable",Y425="unavailable"),"不可评价",IF(AND(OR(W425="positive",W425="equivocal"),OR(Y425="positive",Y425="equivocal")),"a",IF(OR(Y425="positive",Y425="equivocal"),"b",IF(OR(W425="positive",W425="equivocal"),"c","d"))))</x:f>
        <x:v>d</x:v>
      </x:c>
      <x:c r="AF425" s="12" t="str">
        <x:f>IF(OR(W425="unavailable",Y425="unavailable"),"不可评价",IF(AND(W425="positive",Y425="positive"),"a",IF(Y425="positive","b",IF(W425="positive","c","d"))))</x:f>
        <x:v>d</x:v>
      </x:c>
    </x:row>
    <x:row r="426" ht="24" customHeight="1">
      <x:c r="A426" s="12" t="str">
        <x:v>3363</x:v>
      </x:c>
      <x:c r="B426" s="12" t="str">
        <x:v>10575</x:v>
      </x:c>
      <x:c r="C426" s="21" t="n">
        <x:v>32750.304965277777</x:v>
      </x:c>
      <x:c r="D426" s="12" t="n">
        <x:v>40</x:v>
      </x:c>
      <x:c r="E426" s="12" t="n">
        <x:v>0</x:v>
      </x:c>
      <x:c r="F426" s="12" t="str">
        <x:v>存在</x:v>
      </x:c>
      <x:c r="G426" s="12" t="n">
        <x:v>1</x:v>
      </x:c>
      <x:c r="H426" s="12" t="str">
        <x:v>{'NDT': 100.0, 'SR': 0.0}</x:v>
      </x:c>
      <x:c r="I426" s="12" t="str">
        <x:v>[('NSR', 100.0), ('NT', 100.0), ('AB', 100.0)]</x:v>
      </x:c>
      <x:c r="J426" s="12" t="str">
        <x:v>ptbxl_database.csv；ecg_id=3363；scp_codes</x:v>
      </x:c>
      <x:c r="K426" s="12" t="str">
        <x:v>12sl_statements.csv；ecg_id=3363；statements_ext_snomed</x:v>
      </x:c>
      <x:c r="L426" s="12"/>
      <x:c r="M426" s="12" t="str">
        <x:v>negative</x:v>
      </x:c>
      <x:c r="N426" s="12"/>
      <x:c r="O426" s="12" t="str">
        <x:v>negative</x:v>
      </x:c>
      <x:c r="P426" s="12" t="str">
        <x:f>IF(OR(M426="unavailable",O426="unavailable"),"不可评价",IF(OR(M426="equivocal",O426="equivocal"),"疑似",IF(AND(M426="positive",O426="positive"),"a",IF(O426="positive","b",IF(M426="positive","c","d")))))</x:f>
        <x:v>d</x:v>
      </x:c>
      <x:c r="Q426" s="12"/>
      <x:c r="R426" s="12" t="str">
        <x:v>negative</x:v>
      </x:c>
      <x:c r="S426" s="12"/>
      <x:c r="T426" s="12" t="str">
        <x:v>negative</x:v>
      </x:c>
      <x:c r="U426" s="12" t="str">
        <x:f>IF(OR(R426="unavailable",T426="unavailable"),"不可评价",IF(OR(R426="equivocal",T426="equivocal"),"疑似",IF(AND(R426="positive",T426="positive"),"a",IF(T426="positive","b",IF(R426="positive","c","d")))))</x:f>
        <x:v>d</x:v>
      </x:c>
      <x:c r="V426" s="12"/>
      <x:c r="W426" s="12" t="str">
        <x:v>negative</x:v>
      </x:c>
      <x:c r="X426" s="12"/>
      <x:c r="Y426" s="12" t="str">
        <x:v>negative</x:v>
      </x:c>
      <x:c r="Z426" s="12" t="str">
        <x:f>IF(OR(W426="unavailable",Y426="unavailable"),"不可评价",IF(OR(W426="equivocal",Y426="equivocal"),"疑似",IF(AND(W426="positive",Y426="positive"),"a",IF(Y426="positive","b",IF(W426="positive","c","d")))))</x:f>
        <x:v>d</x:v>
      </x:c>
      <x:c r="AA426" s="12" t="str">
        <x:f>IF(OR(M426="unavailable",O426="unavailable"),"不可评价",IF(AND(OR(M426="positive",M426="equivocal"),OR(O426="positive",O426="equivocal")),"a",IF(OR(O426="positive",O426="equivocal"),"b",IF(OR(M426="positive",M426="equivocal"),"c","d"))))</x:f>
        <x:v>d</x:v>
      </x:c>
      <x:c r="AB426" s="12" t="str">
        <x:f>IF(OR(M426="unavailable",O426="unavailable"),"不可评价",IF(AND(M426="positive",O426="positive"),"a",IF(O426="positive","b",IF(M426="positive","c","d"))))</x:f>
        <x:v>d</x:v>
      </x:c>
      <x:c r="AC426" s="12" t="str">
        <x:f>IF(OR(R426="unavailable",T426="unavailable"),"不可评价",IF(AND(OR(R426="positive",R426="equivocal"),OR(T426="positive",T426="equivocal")),"a",IF(OR(T426="positive",T426="equivocal"),"b",IF(OR(R426="positive",R426="equivocal"),"c","d"))))</x:f>
        <x:v>d</x:v>
      </x:c>
      <x:c r="AD426" s="12" t="str">
        <x:f>IF(OR(R426="unavailable",T426="unavailable"),"不可评价",IF(AND(R426="positive",T426="positive"),"a",IF(T426="positive","b",IF(R426="positive","c","d"))))</x:f>
        <x:v>d</x:v>
      </x:c>
      <x:c r="AE426" s="12" t="str">
        <x:f>IF(OR(W426="unavailable",Y426="unavailable"),"不可评价",IF(AND(OR(W426="positive",W426="equivocal"),OR(Y426="positive",Y426="equivocal")),"a",IF(OR(Y426="positive",Y426="equivocal"),"b",IF(OR(W426="positive",W426="equivocal"),"c","d"))))</x:f>
        <x:v>d</x:v>
      </x:c>
      <x:c r="AF426" s="12" t="str">
        <x:f>IF(OR(W426="unavailable",Y426="unavailable"),"不可评价",IF(AND(W426="positive",Y426="positive"),"a",IF(Y426="positive","b",IF(W426="positive","c","d"))))</x:f>
        <x:v>d</x:v>
      </x:c>
    </x:row>
    <x:row r="427" ht="24" customHeight="1">
      <x:c r="A427" s="12" t="str">
        <x:v>3371</x:v>
      </x:c>
      <x:c r="B427" s="12" t="str">
        <x:v>10575</x:v>
      </x:c>
      <x:c r="C427" s="21" t="n">
        <x:v>32754.382800925927</x:v>
      </x:c>
      <x:c r="D427" s="12" t="n">
        <x:v>40</x:v>
      </x:c>
      <x:c r="E427" s="12" t="n">
        <x:v>0</x:v>
      </x:c>
      <x:c r="F427" s="12" t="str">
        <x:v>未记录</x:v>
      </x:c>
      <x:c r="G427" s="12" t="n">
        <x:v>0</x:v>
      </x:c>
      <x:c r="H427" s="12" t="str">
        <x:v>{'LVH': 50.0, 'SR': 0.0}</x:v>
      </x:c>
      <x:c r="I427" s="12" t="str">
        <x:v>[('NSR', 100.0), ('BORDE', 100.0)]</x:v>
      </x:c>
      <x:c r="J427" s="12" t="str">
        <x:v>ptbxl_database.csv；ecg_id=3371；scp_codes</x:v>
      </x:c>
      <x:c r="K427" s="12" t="str">
        <x:v>12sl_statements.csv；ecg_id=3371；statements_ext_snomed</x:v>
      </x:c>
      <x:c r="L427" s="12"/>
      <x:c r="M427" s="12" t="str">
        <x:v>negative</x:v>
      </x:c>
      <x:c r="N427" s="12"/>
      <x:c r="O427" s="12" t="str">
        <x:v>negative</x:v>
      </x:c>
      <x:c r="P427" s="12" t="str">
        <x:f>IF(OR(M427="unavailable",O427="unavailable"),"不可评价",IF(OR(M427="equivocal",O427="equivocal"),"疑似",IF(AND(M427="positive",O427="positive"),"a",IF(O427="positive","b",IF(M427="positive","c","d")))))</x:f>
        <x:v>d</x:v>
      </x:c>
      <x:c r="Q427" s="12"/>
      <x:c r="R427" s="12" t="str">
        <x:v>negative</x:v>
      </x:c>
      <x:c r="S427" s="12"/>
      <x:c r="T427" s="12" t="str">
        <x:v>negative</x:v>
      </x:c>
      <x:c r="U427" s="12" t="str">
        <x:f>IF(OR(R427="unavailable",T427="unavailable"),"不可评价",IF(OR(R427="equivocal",T427="equivocal"),"疑似",IF(AND(R427="positive",T427="positive"),"a",IF(T427="positive","b",IF(R427="positive","c","d")))))</x:f>
        <x:v>d</x:v>
      </x:c>
      <x:c r="V427" s="12"/>
      <x:c r="W427" s="12" t="str">
        <x:v>negative</x:v>
      </x:c>
      <x:c r="X427" s="12"/>
      <x:c r="Y427" s="12" t="str">
        <x:v>negative</x:v>
      </x:c>
      <x:c r="Z427" s="12" t="str">
        <x:f>IF(OR(W427="unavailable",Y427="unavailable"),"不可评价",IF(OR(W427="equivocal",Y427="equivocal"),"疑似",IF(AND(W427="positive",Y427="positive"),"a",IF(Y427="positive","b",IF(W427="positive","c","d")))))</x:f>
        <x:v>d</x:v>
      </x:c>
      <x:c r="AA427" s="12" t="str">
        <x:f>IF(OR(M427="unavailable",O427="unavailable"),"不可评价",IF(AND(OR(M427="positive",M427="equivocal"),OR(O427="positive",O427="equivocal")),"a",IF(OR(O427="positive",O427="equivocal"),"b",IF(OR(M427="positive",M427="equivocal"),"c","d"))))</x:f>
        <x:v>d</x:v>
      </x:c>
      <x:c r="AB427" s="12" t="str">
        <x:f>IF(OR(M427="unavailable",O427="unavailable"),"不可评价",IF(AND(M427="positive",O427="positive"),"a",IF(O427="positive","b",IF(M427="positive","c","d"))))</x:f>
        <x:v>d</x:v>
      </x:c>
      <x:c r="AC427" s="12" t="str">
        <x:f>IF(OR(R427="unavailable",T427="unavailable"),"不可评价",IF(AND(OR(R427="positive",R427="equivocal"),OR(T427="positive",T427="equivocal")),"a",IF(OR(T427="positive",T427="equivocal"),"b",IF(OR(R427="positive",R427="equivocal"),"c","d"))))</x:f>
        <x:v>d</x:v>
      </x:c>
      <x:c r="AD427" s="12" t="str">
        <x:f>IF(OR(R427="unavailable",T427="unavailable"),"不可评价",IF(AND(R427="positive",T427="positive"),"a",IF(T427="positive","b",IF(R427="positive","c","d"))))</x:f>
        <x:v>d</x:v>
      </x:c>
      <x:c r="AE427" s="12" t="str">
        <x:f>IF(OR(W427="unavailable",Y427="unavailable"),"不可评价",IF(AND(OR(W427="positive",W427="equivocal"),OR(Y427="positive",Y427="equivocal")),"a",IF(OR(Y427="positive",Y427="equivocal"),"b",IF(OR(W427="positive",W427="equivocal"),"c","d"))))</x:f>
        <x:v>d</x:v>
      </x:c>
      <x:c r="AF427" s="12" t="str">
        <x:f>IF(OR(W427="unavailable",Y427="unavailable"),"不可评价",IF(AND(W427="positive",Y427="positive"),"a",IF(Y427="positive","b",IF(W427="positive","c","d"))))</x:f>
        <x:v>d</x:v>
      </x:c>
    </x:row>
    <x:row r="428" ht="24" customHeight="1">
      <x:c r="A428" s="12" t="str">
        <x:v>3384</x:v>
      </x:c>
      <x:c r="B428" s="12" t="str">
        <x:v>4889</x:v>
      </x:c>
      <x:c r="C428" s="21" t="n">
        <x:v>32757.42478009259</x:v>
      </x:c>
      <x:c r="D428" s="12" t="n">
        <x:v>54</x:v>
      </x:c>
      <x:c r="E428" s="12" t="n">
        <x:v>0</x:v>
      </x:c>
      <x:c r="F428" s="12" t="str">
        <x:v>未记录</x:v>
      </x:c>
      <x:c r="G428" s="12" t="n">
        <x:v>1</x:v>
      </x:c>
      <x:c r="H428" s="12" t="str">
        <x:v>{'NORM': 100.0, 'SR': 0.0}</x:v>
      </x:c>
      <x:c r="I428" s="12" t="str">
        <x:v>[('NSR', 100.0), ('NML', 100.0)]</x:v>
      </x:c>
      <x:c r="J428" s="12" t="str">
        <x:v>ptbxl_database.csv；ecg_id=3384；scp_codes</x:v>
      </x:c>
      <x:c r="K428" s="12" t="str">
        <x:v>12sl_statements.csv；ecg_id=3384；statements_ext_snomed</x:v>
      </x:c>
      <x:c r="L428" s="12"/>
      <x:c r="M428" s="12" t="str">
        <x:v>negative</x:v>
      </x:c>
      <x:c r="N428" s="12"/>
      <x:c r="O428" s="12" t="str">
        <x:v>negative</x:v>
      </x:c>
      <x:c r="P428" s="12" t="str">
        <x:f>IF(OR(M428="unavailable",O428="unavailable"),"不可评价",IF(OR(M428="equivocal",O428="equivocal"),"疑似",IF(AND(M428="positive",O428="positive"),"a",IF(O428="positive","b",IF(M428="positive","c","d")))))</x:f>
        <x:v>d</x:v>
      </x:c>
      <x:c r="Q428" s="12"/>
      <x:c r="R428" s="12" t="str">
        <x:v>negative</x:v>
      </x:c>
      <x:c r="S428" s="12"/>
      <x:c r="T428" s="12" t="str">
        <x:v>negative</x:v>
      </x:c>
      <x:c r="U428" s="12" t="str">
        <x:f>IF(OR(R428="unavailable",T428="unavailable"),"不可评价",IF(OR(R428="equivocal",T428="equivocal"),"疑似",IF(AND(R428="positive",T428="positive"),"a",IF(T428="positive","b",IF(R428="positive","c","d")))))</x:f>
        <x:v>d</x:v>
      </x:c>
      <x:c r="V428" s="12"/>
      <x:c r="W428" s="12" t="str">
        <x:v>negative</x:v>
      </x:c>
      <x:c r="X428" s="12"/>
      <x:c r="Y428" s="12" t="str">
        <x:v>negative</x:v>
      </x:c>
      <x:c r="Z428" s="12" t="str">
        <x:f>IF(OR(W428="unavailable",Y428="unavailable"),"不可评价",IF(OR(W428="equivocal",Y428="equivocal"),"疑似",IF(AND(W428="positive",Y428="positive"),"a",IF(Y428="positive","b",IF(W428="positive","c","d")))))</x:f>
        <x:v>d</x:v>
      </x:c>
      <x:c r="AA428" s="12" t="str">
        <x:f>IF(OR(M428="unavailable",O428="unavailable"),"不可评价",IF(AND(OR(M428="positive",M428="equivocal"),OR(O428="positive",O428="equivocal")),"a",IF(OR(O428="positive",O428="equivocal"),"b",IF(OR(M428="positive",M428="equivocal"),"c","d"))))</x:f>
        <x:v>d</x:v>
      </x:c>
      <x:c r="AB428" s="12" t="str">
        <x:f>IF(OR(M428="unavailable",O428="unavailable"),"不可评价",IF(AND(M428="positive",O428="positive"),"a",IF(O428="positive","b",IF(M428="positive","c","d"))))</x:f>
        <x:v>d</x:v>
      </x:c>
      <x:c r="AC428" s="12" t="str">
        <x:f>IF(OR(R428="unavailable",T428="unavailable"),"不可评价",IF(AND(OR(R428="positive",R428="equivocal"),OR(T428="positive",T428="equivocal")),"a",IF(OR(T428="positive",T428="equivocal"),"b",IF(OR(R428="positive",R428="equivocal"),"c","d"))))</x:f>
        <x:v>d</x:v>
      </x:c>
      <x:c r="AD428" s="12" t="str">
        <x:f>IF(OR(R428="unavailable",T428="unavailable"),"不可评价",IF(AND(R428="positive",T428="positive"),"a",IF(T428="positive","b",IF(R428="positive","c","d"))))</x:f>
        <x:v>d</x:v>
      </x:c>
      <x:c r="AE428" s="12" t="str">
        <x:f>IF(OR(W428="unavailable",Y428="unavailable"),"不可评价",IF(AND(OR(W428="positive",W428="equivocal"),OR(Y428="positive",Y428="equivocal")),"a",IF(OR(Y428="positive",Y428="equivocal"),"b",IF(OR(W428="positive",W428="equivocal"),"c","d"))))</x:f>
        <x:v>d</x:v>
      </x:c>
      <x:c r="AF428" s="12" t="str">
        <x:f>IF(OR(W428="unavailable",Y428="unavailable"),"不可评价",IF(AND(W428="positive",Y428="positive"),"a",IF(Y428="positive","b",IF(W428="positive","c","d"))))</x:f>
        <x:v>d</x:v>
      </x:c>
    </x:row>
    <x:row r="429" ht="24" customHeight="1">
      <x:c r="A429" s="12" t="str">
        <x:v>3406</x:v>
      </x:c>
      <x:c r="B429" s="12" t="str">
        <x:v>6682</x:v>
      </x:c>
      <x:c r="C429" s="21" t="n">
        <x:v>32761.38265046296</x:v>
      </x:c>
      <x:c r="D429" s="12" t="n">
        <x:v>54</x:v>
      </x:c>
      <x:c r="E429" s="12" t="n">
        <x:v>1</x:v>
      </x:c>
      <x:c r="F429" s="12" t="str">
        <x:v>未记录</x:v>
      </x:c>
      <x:c r="G429" s="12" t="n">
        <x:v>1</x:v>
      </x:c>
      <x:c r="H429" s="12" t="str">
        <x:v>{'NORM': 100.0, 'SR': 0.0}</x:v>
      </x:c>
      <x:c r="I429" s="12" t="str">
        <x:v>[('NSR', 100.0), ('NML', 100.0)]</x:v>
      </x:c>
      <x:c r="J429" s="12" t="str">
        <x:v>ptbxl_database.csv；ecg_id=3406；scp_codes</x:v>
      </x:c>
      <x:c r="K429" s="12" t="str">
        <x:v>12sl_statements.csv；ecg_id=3406；statements_ext_snomed</x:v>
      </x:c>
      <x:c r="L429" s="12"/>
      <x:c r="M429" s="12" t="str">
        <x:v>negative</x:v>
      </x:c>
      <x:c r="N429" s="12"/>
      <x:c r="O429" s="12" t="str">
        <x:v>negative</x:v>
      </x:c>
      <x:c r="P429" s="12" t="str">
        <x:f>IF(OR(M429="unavailable",O429="unavailable"),"不可评价",IF(OR(M429="equivocal",O429="equivocal"),"疑似",IF(AND(M429="positive",O429="positive"),"a",IF(O429="positive","b",IF(M429="positive","c","d")))))</x:f>
        <x:v>d</x:v>
      </x:c>
      <x:c r="Q429" s="12"/>
      <x:c r="R429" s="12" t="str">
        <x:v>negative</x:v>
      </x:c>
      <x:c r="S429" s="12"/>
      <x:c r="T429" s="12" t="str">
        <x:v>negative</x:v>
      </x:c>
      <x:c r="U429" s="12" t="str">
        <x:f>IF(OR(R429="unavailable",T429="unavailable"),"不可评价",IF(OR(R429="equivocal",T429="equivocal"),"疑似",IF(AND(R429="positive",T429="positive"),"a",IF(T429="positive","b",IF(R429="positive","c","d")))))</x:f>
        <x:v>d</x:v>
      </x:c>
      <x:c r="V429" s="12"/>
      <x:c r="W429" s="12" t="str">
        <x:v>negative</x:v>
      </x:c>
      <x:c r="X429" s="12"/>
      <x:c r="Y429" s="12" t="str">
        <x:v>negative</x:v>
      </x:c>
      <x:c r="Z429" s="12" t="str">
        <x:f>IF(OR(W429="unavailable",Y429="unavailable"),"不可评价",IF(OR(W429="equivocal",Y429="equivocal"),"疑似",IF(AND(W429="positive",Y429="positive"),"a",IF(Y429="positive","b",IF(W429="positive","c","d")))))</x:f>
        <x:v>d</x:v>
      </x:c>
      <x:c r="AA429" s="12" t="str">
        <x:f>IF(OR(M429="unavailable",O429="unavailable"),"不可评价",IF(AND(OR(M429="positive",M429="equivocal"),OR(O429="positive",O429="equivocal")),"a",IF(OR(O429="positive",O429="equivocal"),"b",IF(OR(M429="positive",M429="equivocal"),"c","d"))))</x:f>
        <x:v>d</x:v>
      </x:c>
      <x:c r="AB429" s="12" t="str">
        <x:f>IF(OR(M429="unavailable",O429="unavailable"),"不可评价",IF(AND(M429="positive",O429="positive"),"a",IF(O429="positive","b",IF(M429="positive","c","d"))))</x:f>
        <x:v>d</x:v>
      </x:c>
      <x:c r="AC429" s="12" t="str">
        <x:f>IF(OR(R429="unavailable",T429="unavailable"),"不可评价",IF(AND(OR(R429="positive",R429="equivocal"),OR(T429="positive",T429="equivocal")),"a",IF(OR(T429="positive",T429="equivocal"),"b",IF(OR(R429="positive",R429="equivocal"),"c","d"))))</x:f>
        <x:v>d</x:v>
      </x:c>
      <x:c r="AD429" s="12" t="str">
        <x:f>IF(OR(R429="unavailable",T429="unavailable"),"不可评价",IF(AND(R429="positive",T429="positive"),"a",IF(T429="positive","b",IF(R429="positive","c","d"))))</x:f>
        <x:v>d</x:v>
      </x:c>
      <x:c r="AE429" s="12" t="str">
        <x:f>IF(OR(W429="unavailable",Y429="unavailable"),"不可评价",IF(AND(OR(W429="positive",W429="equivocal"),OR(Y429="positive",Y429="equivocal")),"a",IF(OR(Y429="positive",Y429="equivocal"),"b",IF(OR(W429="positive",W429="equivocal"),"c","d"))))</x:f>
        <x:v>d</x:v>
      </x:c>
      <x:c r="AF429" s="12" t="str">
        <x:f>IF(OR(W429="unavailable",Y429="unavailable"),"不可评价",IF(AND(W429="positive",Y429="positive"),"a",IF(Y429="positive","b",IF(W429="positive","c","d"))))</x:f>
        <x:v>d</x:v>
      </x:c>
    </x:row>
    <x:row r="430" ht="24" customHeight="1">
      <x:c r="A430" s="12" t="str">
        <x:v>3414</x:v>
      </x:c>
      <x:c r="B430" s="12" t="str">
        <x:v>7118</x:v>
      </x:c>
      <x:c r="C430" s="21" t="n">
        <x:v>32762.34758101852</x:v>
      </x:c>
      <x:c r="D430" s="12" t="n">
        <x:v>65</x:v>
      </x:c>
      <x:c r="E430" s="12" t="n">
        <x:v>1</x:v>
      </x:c>
      <x:c r="F430" s="12" t="str">
        <x:v>未记录</x:v>
      </x:c>
      <x:c r="G430" s="12" t="n">
        <x:v>1</x:v>
      </x:c>
      <x:c r="H430" s="12" t="str">
        <x:v>{'NORM': 50.0, 'SR': 0.0}</x:v>
      </x:c>
      <x:c r="I430" s="12" t="str">
        <x:v>[('NSR', 100.0), ('NML', 100.0)]</x:v>
      </x:c>
      <x:c r="J430" s="12" t="str">
        <x:v>ptbxl_database.csv；ecg_id=3414；scp_codes</x:v>
      </x:c>
      <x:c r="K430" s="12" t="str">
        <x:v>12sl_statements.csv；ecg_id=3414；statements_ext_snomed</x:v>
      </x:c>
      <x:c r="L430" s="12"/>
      <x:c r="M430" s="12" t="str">
        <x:v>negative</x:v>
      </x:c>
      <x:c r="N430" s="12"/>
      <x:c r="O430" s="12" t="str">
        <x:v>negative</x:v>
      </x:c>
      <x:c r="P430" s="12" t="str">
        <x:f>IF(OR(M430="unavailable",O430="unavailable"),"不可评价",IF(OR(M430="equivocal",O430="equivocal"),"疑似",IF(AND(M430="positive",O430="positive"),"a",IF(O430="positive","b",IF(M430="positive","c","d")))))</x:f>
        <x:v>d</x:v>
      </x:c>
      <x:c r="Q430" s="12"/>
      <x:c r="R430" s="12" t="str">
        <x:v>negative</x:v>
      </x:c>
      <x:c r="S430" s="12"/>
      <x:c r="T430" s="12" t="str">
        <x:v>negative</x:v>
      </x:c>
      <x:c r="U430" s="12" t="str">
        <x:f>IF(OR(R430="unavailable",T430="unavailable"),"不可评价",IF(OR(R430="equivocal",T430="equivocal"),"疑似",IF(AND(R430="positive",T430="positive"),"a",IF(T430="positive","b",IF(R430="positive","c","d")))))</x:f>
        <x:v>d</x:v>
      </x:c>
      <x:c r="V430" s="12"/>
      <x:c r="W430" s="12" t="str">
        <x:v>negative</x:v>
      </x:c>
      <x:c r="X430" s="12"/>
      <x:c r="Y430" s="12" t="str">
        <x:v>negative</x:v>
      </x:c>
      <x:c r="Z430" s="12" t="str">
        <x:f>IF(OR(W430="unavailable",Y430="unavailable"),"不可评价",IF(OR(W430="equivocal",Y430="equivocal"),"疑似",IF(AND(W430="positive",Y430="positive"),"a",IF(Y430="positive","b",IF(W430="positive","c","d")))))</x:f>
        <x:v>d</x:v>
      </x:c>
      <x:c r="AA430" s="12" t="str">
        <x:f>IF(OR(M430="unavailable",O430="unavailable"),"不可评价",IF(AND(OR(M430="positive",M430="equivocal"),OR(O430="positive",O430="equivocal")),"a",IF(OR(O430="positive",O430="equivocal"),"b",IF(OR(M430="positive",M430="equivocal"),"c","d"))))</x:f>
        <x:v>d</x:v>
      </x:c>
      <x:c r="AB430" s="12" t="str">
        <x:f>IF(OR(M430="unavailable",O430="unavailable"),"不可评价",IF(AND(M430="positive",O430="positive"),"a",IF(O430="positive","b",IF(M430="positive","c","d"))))</x:f>
        <x:v>d</x:v>
      </x:c>
      <x:c r="AC430" s="12" t="str">
        <x:f>IF(OR(R430="unavailable",T430="unavailable"),"不可评价",IF(AND(OR(R430="positive",R430="equivocal"),OR(T430="positive",T430="equivocal")),"a",IF(OR(T430="positive",T430="equivocal"),"b",IF(OR(R430="positive",R430="equivocal"),"c","d"))))</x:f>
        <x:v>d</x:v>
      </x:c>
      <x:c r="AD430" s="12" t="str">
        <x:f>IF(OR(R430="unavailable",T430="unavailable"),"不可评价",IF(AND(R430="positive",T430="positive"),"a",IF(T430="positive","b",IF(R430="positive","c","d"))))</x:f>
        <x:v>d</x:v>
      </x:c>
      <x:c r="AE430" s="12" t="str">
        <x:f>IF(OR(W430="unavailable",Y430="unavailable"),"不可评价",IF(AND(OR(W430="positive",W430="equivocal"),OR(Y430="positive",Y430="equivocal")),"a",IF(OR(Y430="positive",Y430="equivocal"),"b",IF(OR(W430="positive",W430="equivocal"),"c","d"))))</x:f>
        <x:v>d</x:v>
      </x:c>
      <x:c r="AF430" s="12" t="str">
        <x:f>IF(OR(W430="unavailable",Y430="unavailable"),"不可评价",IF(AND(W430="positive",Y430="positive"),"a",IF(Y430="positive","b",IF(W430="positive","c","d"))))</x:f>
        <x:v>d</x:v>
      </x:c>
    </x:row>
    <x:row r="431" ht="24" customHeight="1">
      <x:c r="A431" s="12" t="str">
        <x:v>3435</x:v>
      </x:c>
      <x:c r="B431" s="12" t="str">
        <x:v>10188</x:v>
      </x:c>
      <x:c r="C431" s="21" t="n">
        <x:v>32764.365925925926</x:v>
      </x:c>
      <x:c r="D431" s="12" t="n">
        <x:v>65</x:v>
      </x:c>
      <x:c r="E431" s="12" t="n">
        <x:v>1</x:v>
      </x:c>
      <x:c r="F431" s="12" t="str">
        <x:v>未记录</x:v>
      </x:c>
      <x:c r="G431" s="12" t="n">
        <x:v>1</x:v>
      </x:c>
      <x:c r="H431" s="12" t="str">
        <x:v>{'NORM': 80.0, 'STACH': 0.0}</x:v>
      </x:c>
      <x:c r="I431" s="12" t="str">
        <x:v>[('STACH', 100.0), ('ABR', 100.0)]</x:v>
      </x:c>
      <x:c r="J431" s="12" t="str">
        <x:v>ptbxl_database.csv；ecg_id=3435；scp_codes</x:v>
      </x:c>
      <x:c r="K431" s="12" t="str">
        <x:v>12sl_statements.csv；ecg_id=3435；statements_ext_snomed</x:v>
      </x:c>
      <x:c r="L431" s="12"/>
      <x:c r="M431" s="12" t="str">
        <x:v>negative</x:v>
      </x:c>
      <x:c r="N431" s="12"/>
      <x:c r="O431" s="12" t="str">
        <x:v>negative</x:v>
      </x:c>
      <x:c r="P431" s="12" t="str">
        <x:f>IF(OR(M431="unavailable",O431="unavailable"),"不可评价",IF(OR(M431="equivocal",O431="equivocal"),"疑似",IF(AND(M431="positive",O431="positive"),"a",IF(O431="positive","b",IF(M431="positive","c","d")))))</x:f>
        <x:v>d</x:v>
      </x:c>
      <x:c r="Q431" s="12"/>
      <x:c r="R431" s="12" t="str">
        <x:v>negative</x:v>
      </x:c>
      <x:c r="S431" s="12"/>
      <x:c r="T431" s="12" t="str">
        <x:v>negative</x:v>
      </x:c>
      <x:c r="U431" s="12" t="str">
        <x:f>IF(OR(R431="unavailable",T431="unavailable"),"不可评价",IF(OR(R431="equivocal",T431="equivocal"),"疑似",IF(AND(R431="positive",T431="positive"),"a",IF(T431="positive","b",IF(R431="positive","c","d")))))</x:f>
        <x:v>d</x:v>
      </x:c>
      <x:c r="V431" s="12"/>
      <x:c r="W431" s="12" t="str">
        <x:v>negative</x:v>
      </x:c>
      <x:c r="X431" s="12"/>
      <x:c r="Y431" s="12" t="str">
        <x:v>negative</x:v>
      </x:c>
      <x:c r="Z431" s="12" t="str">
        <x:f>IF(OR(W431="unavailable",Y431="unavailable"),"不可评价",IF(OR(W431="equivocal",Y431="equivocal"),"疑似",IF(AND(W431="positive",Y431="positive"),"a",IF(Y431="positive","b",IF(W431="positive","c","d")))))</x:f>
        <x:v>d</x:v>
      </x:c>
      <x:c r="AA431" s="12" t="str">
        <x:f>IF(OR(M431="unavailable",O431="unavailable"),"不可评价",IF(AND(OR(M431="positive",M431="equivocal"),OR(O431="positive",O431="equivocal")),"a",IF(OR(O431="positive",O431="equivocal"),"b",IF(OR(M431="positive",M431="equivocal"),"c","d"))))</x:f>
        <x:v>d</x:v>
      </x:c>
      <x:c r="AB431" s="12" t="str">
        <x:f>IF(OR(M431="unavailable",O431="unavailable"),"不可评价",IF(AND(M431="positive",O431="positive"),"a",IF(O431="positive","b",IF(M431="positive","c","d"))))</x:f>
        <x:v>d</x:v>
      </x:c>
      <x:c r="AC431" s="12" t="str">
        <x:f>IF(OR(R431="unavailable",T431="unavailable"),"不可评价",IF(AND(OR(R431="positive",R431="equivocal"),OR(T431="positive",T431="equivocal")),"a",IF(OR(T431="positive",T431="equivocal"),"b",IF(OR(R431="positive",R431="equivocal"),"c","d"))))</x:f>
        <x:v>d</x:v>
      </x:c>
      <x:c r="AD431" s="12" t="str">
        <x:f>IF(OR(R431="unavailable",T431="unavailable"),"不可评价",IF(AND(R431="positive",T431="positive"),"a",IF(T431="positive","b",IF(R431="positive","c","d"))))</x:f>
        <x:v>d</x:v>
      </x:c>
      <x:c r="AE431" s="12" t="str">
        <x:f>IF(OR(W431="unavailable",Y431="unavailable"),"不可评价",IF(AND(OR(W431="positive",W431="equivocal"),OR(Y431="positive",Y431="equivocal")),"a",IF(OR(Y431="positive",Y431="equivocal"),"b",IF(OR(W431="positive",W431="equivocal"),"c","d"))))</x:f>
        <x:v>d</x:v>
      </x:c>
      <x:c r="AF431" s="12" t="str">
        <x:f>IF(OR(W431="unavailable",Y431="unavailable"),"不可评价",IF(AND(W431="positive",Y431="positive"),"a",IF(Y431="positive","b",IF(W431="positive","c","d"))))</x:f>
        <x:v>d</x:v>
      </x:c>
    </x:row>
    <x:row r="432" ht="24" customHeight="1">
      <x:c r="A432" s="12" t="str">
        <x:v>3452</x:v>
      </x:c>
      <x:c r="B432" s="12" t="str">
        <x:v>4923</x:v>
      </x:c>
      <x:c r="C432" s="21" t="n">
        <x:v>32767.51609953704</x:v>
      </x:c>
      <x:c r="D432" s="12" t="n">
        <x:v>67</x:v>
      </x:c>
      <x:c r="E432" s="12" t="n">
        <x:v>0</x:v>
      </x:c>
      <x:c r="F432" s="12" t="str">
        <x:v>未记录</x:v>
      </x:c>
      <x:c r="G432" s="12" t="n">
        <x:v>1</x:v>
      </x:c>
      <x:c r="H432" s="12" t="str">
        <x:v>{'LAFB': 100.0, 'PVC': 100.0, 'LOWT': 0.0, 'STD_': 0.0, 'SR': 0.0}</x:v>
      </x:c>
      <x:c r="I432" s="12" t="str">
        <x:v>[('SRTH', 100.0), ('PVC', 100.0), ('AFB', 100.0), ('NST', 100.0), ('AB', 100.0)]</x:v>
      </x:c>
      <x:c r="J432" s="12" t="str">
        <x:v>ptbxl_database.csv；ecg_id=3452；scp_codes</x:v>
      </x:c>
      <x:c r="K432" s="12" t="str">
        <x:v>12sl_statements.csv；ecg_id=3452；statements_ext_snomed</x:v>
      </x:c>
      <x:c r="L432" s="12"/>
      <x:c r="M432" s="12" t="str">
        <x:v>negative</x:v>
      </x:c>
      <x:c r="N432" s="12"/>
      <x:c r="O432" s="12" t="str">
        <x:v>negative</x:v>
      </x:c>
      <x:c r="P432" s="12" t="str">
        <x:f>IF(OR(M432="unavailable",O432="unavailable"),"不可评价",IF(OR(M432="equivocal",O432="equivocal"),"疑似",IF(AND(M432="positive",O432="positive"),"a",IF(O432="positive","b",IF(M432="positive","c","d")))))</x:f>
        <x:v>d</x:v>
      </x:c>
      <x:c r="Q432" s="12"/>
      <x:c r="R432" s="12" t="str">
        <x:v>negative</x:v>
      </x:c>
      <x:c r="S432" s="12"/>
      <x:c r="T432" s="12" t="str">
        <x:v>negative</x:v>
      </x:c>
      <x:c r="U432" s="12" t="str">
        <x:f>IF(OR(R432="unavailable",T432="unavailable"),"不可评价",IF(OR(R432="equivocal",T432="equivocal"),"疑似",IF(AND(R432="positive",T432="positive"),"a",IF(T432="positive","b",IF(R432="positive","c","d")))))</x:f>
        <x:v>d</x:v>
      </x:c>
      <x:c r="V432" s="12"/>
      <x:c r="W432" s="12" t="str">
        <x:v>negative</x:v>
      </x:c>
      <x:c r="X432" s="12"/>
      <x:c r="Y432" s="12" t="str">
        <x:v>negative</x:v>
      </x:c>
      <x:c r="Z432" s="12" t="str">
        <x:f>IF(OR(W432="unavailable",Y432="unavailable"),"不可评价",IF(OR(W432="equivocal",Y432="equivocal"),"疑似",IF(AND(W432="positive",Y432="positive"),"a",IF(Y432="positive","b",IF(W432="positive","c","d")))))</x:f>
        <x:v>d</x:v>
      </x:c>
      <x:c r="AA432" s="12" t="str">
        <x:f>IF(OR(M432="unavailable",O432="unavailable"),"不可评价",IF(AND(OR(M432="positive",M432="equivocal"),OR(O432="positive",O432="equivocal")),"a",IF(OR(O432="positive",O432="equivocal"),"b",IF(OR(M432="positive",M432="equivocal"),"c","d"))))</x:f>
        <x:v>d</x:v>
      </x:c>
      <x:c r="AB432" s="12" t="str">
        <x:f>IF(OR(M432="unavailable",O432="unavailable"),"不可评价",IF(AND(M432="positive",O432="positive"),"a",IF(O432="positive","b",IF(M432="positive","c","d"))))</x:f>
        <x:v>d</x:v>
      </x:c>
      <x:c r="AC432" s="12" t="str">
        <x:f>IF(OR(R432="unavailable",T432="unavailable"),"不可评价",IF(AND(OR(R432="positive",R432="equivocal"),OR(T432="positive",T432="equivocal")),"a",IF(OR(T432="positive",T432="equivocal"),"b",IF(OR(R432="positive",R432="equivocal"),"c","d"))))</x:f>
        <x:v>d</x:v>
      </x:c>
      <x:c r="AD432" s="12" t="str">
        <x:f>IF(OR(R432="unavailable",T432="unavailable"),"不可评价",IF(AND(R432="positive",T432="positive"),"a",IF(T432="positive","b",IF(R432="positive","c","d"))))</x:f>
        <x:v>d</x:v>
      </x:c>
      <x:c r="AE432" s="12" t="str">
        <x:f>IF(OR(W432="unavailable",Y432="unavailable"),"不可评价",IF(AND(OR(W432="positive",W432="equivocal"),OR(Y432="positive",Y432="equivocal")),"a",IF(OR(Y432="positive",Y432="equivocal"),"b",IF(OR(W432="positive",W432="equivocal"),"c","d"))))</x:f>
        <x:v>d</x:v>
      </x:c>
      <x:c r="AF432" s="12" t="str">
        <x:f>IF(OR(W432="unavailable",Y432="unavailable"),"不可评价",IF(AND(W432="positive",Y432="positive"),"a",IF(Y432="positive","b",IF(W432="positive","c","d"))))</x:f>
        <x:v>d</x:v>
      </x:c>
    </x:row>
    <x:row r="433" ht="39" customHeight="1">
      <x:c r="A433" s="12" t="str">
        <x:v>3454</x:v>
      </x:c>
      <x:c r="B433" s="12" t="str">
        <x:v>11760</x:v>
      </x:c>
      <x:c r="C433" s="21" t="n">
        <x:v>32768.257152777776</x:v>
      </x:c>
      <x:c r="D433" s="12" t="n">
        <x:v>64</x:v>
      </x:c>
      <x:c r="E433" s="12" t="n">
        <x:v>0</x:v>
      </x:c>
      <x:c r="F433" s="12" t="str">
        <x:v>未记录</x:v>
      </x:c>
      <x:c r="G433" s="12" t="n">
        <x:v>1</x:v>
      </x:c>
      <x:c r="H433" s="12" t="str">
        <x:v>{'ASMI': 50.0, 'LVH': 50.0, 'ISC_': 100.0, 'PVC': 100.0, 'ABQRS': 0.0, 'AFIB': 0.0}</x:v>
      </x:c>
      <x:c r="I433" s="12" t="str">
        <x:v>[('AFIB', 100.0), ('RVR', 100.0), ('ABER', 100.0), ('LOWV', 100.0), ('ILBBB', 100.0), ('ST&amp;', 100.0), ('LT', 100.0), ('AB', 100.0)]</x:v>
      </x:c>
      <x:c r="J433" s="12" t="str">
        <x:v>ptbxl_database.csv；ecg_id=3454；scp_codes</x:v>
      </x:c>
      <x:c r="K433" s="12" t="str">
        <x:v>12sl_statements.csv；ecg_id=3454；statements_ext_snomed</x:v>
      </x:c>
      <x:c r="L433" s="12" t="n">
        <x:v>0</x:v>
      </x:c>
      <x:c r="M433" s="12" t="str">
        <x:v>positive</x:v>
      </x:c>
      <x:c r="N433" s="12" t="n">
        <x:v>100</x:v>
      </x:c>
      <x:c r="O433" s="12" t="str">
        <x:v>positive</x:v>
      </x:c>
      <x:c r="P433" s="12" t="str">
        <x:f>IF(OR(M433="unavailable",O433="unavailable"),"不可评价",IF(OR(M433="equivocal",O433="equivocal"),"疑似",IF(AND(M433="positive",O433="positive"),"a",IF(O433="positive","b",IF(M433="positive","c","d")))))</x:f>
        <x:v>a</x:v>
      </x:c>
      <x:c r="Q433" s="12"/>
      <x:c r="R433" s="12" t="str">
        <x:v>negative</x:v>
      </x:c>
      <x:c r="S433" s="12"/>
      <x:c r="T433" s="12" t="str">
        <x:v>negative</x:v>
      </x:c>
      <x:c r="U433" s="12" t="str">
        <x:f>IF(OR(R433="unavailable",T433="unavailable"),"不可评价",IF(OR(R433="equivocal",T433="equivocal"),"疑似",IF(AND(R433="positive",T433="positive"),"a",IF(T433="positive","b",IF(R433="positive","c","d")))))</x:f>
        <x:v>d</x:v>
      </x:c>
      <x:c r="V433" s="12"/>
      <x:c r="W433" s="12" t="str">
        <x:v>negative</x:v>
      </x:c>
      <x:c r="X433" s="12"/>
      <x:c r="Y433" s="12" t="str">
        <x:v>negative</x:v>
      </x:c>
      <x:c r="Z433" s="12" t="str">
        <x:f>IF(OR(W433="unavailable",Y433="unavailable"),"不可评价",IF(OR(W433="equivocal",Y433="equivocal"),"疑似",IF(AND(W433="positive",Y433="positive"),"a",IF(Y433="positive","b",IF(W433="positive","c","d")))))</x:f>
        <x:v>d</x:v>
      </x:c>
      <x:c r="AA433" s="12" t="str">
        <x:f>IF(OR(M433="unavailable",O433="unavailable"),"不可评价",IF(AND(OR(M433="positive",M433="equivocal"),OR(O433="positive",O433="equivocal")),"a",IF(OR(O433="positive",O433="equivocal"),"b",IF(OR(M433="positive",M433="equivocal"),"c","d"))))</x:f>
        <x:v>a</x:v>
      </x:c>
      <x:c r="AB433" s="12" t="str">
        <x:f>IF(OR(M433="unavailable",O433="unavailable"),"不可评价",IF(AND(M433="positive",O433="positive"),"a",IF(O433="positive","b",IF(M433="positive","c","d"))))</x:f>
        <x:v>a</x:v>
      </x:c>
      <x:c r="AC433" s="12" t="str">
        <x:f>IF(OR(R433="unavailable",T433="unavailable"),"不可评价",IF(AND(OR(R433="positive",R433="equivocal"),OR(T433="positive",T433="equivocal")),"a",IF(OR(T433="positive",T433="equivocal"),"b",IF(OR(R433="positive",R433="equivocal"),"c","d"))))</x:f>
        <x:v>d</x:v>
      </x:c>
      <x:c r="AD433" s="12" t="str">
        <x:f>IF(OR(R433="unavailable",T433="unavailable"),"不可评价",IF(AND(R433="positive",T433="positive"),"a",IF(T433="positive","b",IF(R433="positive","c","d"))))</x:f>
        <x:v>d</x:v>
      </x:c>
      <x:c r="AE433" s="12" t="str">
        <x:f>IF(OR(W433="unavailable",Y433="unavailable"),"不可评价",IF(AND(OR(W433="positive",W433="equivocal"),OR(Y433="positive",Y433="equivocal")),"a",IF(OR(Y433="positive",Y433="equivocal"),"b",IF(OR(W433="positive",W433="equivocal"),"c","d"))))</x:f>
        <x:v>d</x:v>
      </x:c>
      <x:c r="AF433" s="12" t="str">
        <x:f>IF(OR(W433="unavailable",Y433="unavailable"),"不可评价",IF(AND(W433="positive",Y433="positive"),"a",IF(Y433="positive","b",IF(W433="positive","c","d"))))</x:f>
        <x:v>d</x:v>
      </x:c>
    </x:row>
    <x:row r="434" ht="24" customHeight="1">
      <x:c r="A434" s="12" t="str">
        <x:v>3479</x:v>
      </x:c>
      <x:c r="B434" s="12" t="str">
        <x:v>16121</x:v>
      </x:c>
      <x:c r="C434" s="21" t="n">
        <x:v>32775.67151620371</x:v>
      </x:c>
      <x:c r="D434" s="12" t="n">
        <x:v>300</x:v>
      </x:c>
      <x:c r="E434" s="12" t="n">
        <x:v>1</x:v>
      </x:c>
      <x:c r="F434" s="12" t="str">
        <x:v>存在</x:v>
      </x:c>
      <x:c r="G434" s="12" t="n">
        <x:v>1</x:v>
      </x:c>
      <x:c r="H434" s="12" t="str">
        <x:v>{'CLBBB': 100.0, '1AVB': 100.0, 'PVC': 100.0, 'SR': 0.0}</x:v>
      </x:c>
      <x:c r="I434" s="12" t="str">
        <x:v>[('SRTH', 100.0), ('PVC', 100.0), ('LAD3', 100.0), ('LBBB', 100.0), ('AB', 100.0)]</x:v>
      </x:c>
      <x:c r="J434" s="12" t="str">
        <x:v>ptbxl_database.csv；ecg_id=3479；scp_codes</x:v>
      </x:c>
      <x:c r="K434" s="12" t="str">
        <x:v>12sl_statements.csv；ecg_id=3479；statements_ext_snomed</x:v>
      </x:c>
      <x:c r="L434" s="12"/>
      <x:c r="M434" s="12" t="str">
        <x:v>negative</x:v>
      </x:c>
      <x:c r="N434" s="12"/>
      <x:c r="O434" s="12" t="str">
        <x:v>negative</x:v>
      </x:c>
      <x:c r="P434" s="12" t="str">
        <x:f>IF(OR(M434="unavailable",O434="unavailable"),"不可评价",IF(OR(M434="equivocal",O434="equivocal"),"疑似",IF(AND(M434="positive",O434="positive"),"a",IF(O434="positive","b",IF(M434="positive","c","d")))))</x:f>
        <x:v>d</x:v>
      </x:c>
      <x:c r="Q434" s="12" t="n">
        <x:v>100</x:v>
      </x:c>
      <x:c r="R434" s="12" t="str">
        <x:v>positive</x:v>
      </x:c>
      <x:c r="S434" s="12" t="n">
        <x:v>100</x:v>
      </x:c>
      <x:c r="T434" s="12" t="str">
        <x:v>positive</x:v>
      </x:c>
      <x:c r="U434" s="12" t="str">
        <x:f>IF(OR(R434="unavailable",T434="unavailable"),"不可评价",IF(OR(R434="equivocal",T434="equivocal"),"疑似",IF(AND(R434="positive",T434="positive"),"a",IF(T434="positive","b",IF(R434="positive","c","d")))))</x:f>
        <x:v>a</x:v>
      </x:c>
      <x:c r="V434" s="12"/>
      <x:c r="W434" s="12" t="str">
        <x:v>negative</x:v>
      </x:c>
      <x:c r="X434" s="12"/>
      <x:c r="Y434" s="12" t="str">
        <x:v>negative</x:v>
      </x:c>
      <x:c r="Z434" s="12" t="str">
        <x:f>IF(OR(W434="unavailable",Y434="unavailable"),"不可评价",IF(OR(W434="equivocal",Y434="equivocal"),"疑似",IF(AND(W434="positive",Y434="positive"),"a",IF(Y434="positive","b",IF(W434="positive","c","d")))))</x:f>
        <x:v>d</x:v>
      </x:c>
      <x:c r="AA434" s="12" t="str">
        <x:f>IF(OR(M434="unavailable",O434="unavailable"),"不可评价",IF(AND(OR(M434="positive",M434="equivocal"),OR(O434="positive",O434="equivocal")),"a",IF(OR(O434="positive",O434="equivocal"),"b",IF(OR(M434="positive",M434="equivocal"),"c","d"))))</x:f>
        <x:v>d</x:v>
      </x:c>
      <x:c r="AB434" s="12" t="str">
        <x:f>IF(OR(M434="unavailable",O434="unavailable"),"不可评价",IF(AND(M434="positive",O434="positive"),"a",IF(O434="positive","b",IF(M434="positive","c","d"))))</x:f>
        <x:v>d</x:v>
      </x:c>
      <x:c r="AC434" s="12" t="str">
        <x:f>IF(OR(R434="unavailable",T434="unavailable"),"不可评价",IF(AND(OR(R434="positive",R434="equivocal"),OR(T434="positive",T434="equivocal")),"a",IF(OR(T434="positive",T434="equivocal"),"b",IF(OR(R434="positive",R434="equivocal"),"c","d"))))</x:f>
        <x:v>a</x:v>
      </x:c>
      <x:c r="AD434" s="12" t="str">
        <x:f>IF(OR(R434="unavailable",T434="unavailable"),"不可评价",IF(AND(R434="positive",T434="positive"),"a",IF(T434="positive","b",IF(R434="positive","c","d"))))</x:f>
        <x:v>a</x:v>
      </x:c>
      <x:c r="AE434" s="12" t="str">
        <x:f>IF(OR(W434="unavailable",Y434="unavailable"),"不可评价",IF(AND(OR(W434="positive",W434="equivocal"),OR(Y434="positive",Y434="equivocal")),"a",IF(OR(Y434="positive",Y434="equivocal"),"b",IF(OR(W434="positive",W434="equivocal"),"c","d"))))</x:f>
        <x:v>d</x:v>
      </x:c>
      <x:c r="AF434" s="12" t="str">
        <x:f>IF(OR(W434="unavailable",Y434="unavailable"),"不可评价",IF(AND(W434="positive",Y434="positive"),"a",IF(Y434="positive","b",IF(W434="positive","c","d"))))</x:f>
        <x:v>d</x:v>
      </x:c>
    </x:row>
    <x:row r="435" ht="24" customHeight="1">
      <x:c r="A435" s="12" t="str">
        <x:v>3484</x:v>
      </x:c>
      <x:c r="B435" s="12" t="str">
        <x:v>16121</x:v>
      </x:c>
      <x:c r="C435" s="21" t="n">
        <x:v>32776.46565972222</x:v>
      </x:c>
      <x:c r="D435" s="12" t="n">
        <x:v>300</x:v>
      </x:c>
      <x:c r="E435" s="12" t="n">
        <x:v>1</x:v>
      </x:c>
      <x:c r="F435" s="12" t="str">
        <x:v>未记录</x:v>
      </x:c>
      <x:c r="G435" s="12" t="n">
        <x:v>0</x:v>
      </x:c>
      <x:c r="H435" s="12" t="str">
        <x:v>{'CLBBB': 100.0, 'ISCAL': 100.0, 'SBRAD': 0.0}</x:v>
      </x:c>
      <x:c r="I435" s="12" t="str">
        <x:v>[('SBRAD', 100.0), ('PVC', 100.0), ('LAD3', 100.0), ('LBBB', 100.0), ('AB', 100.0)]</x:v>
      </x:c>
      <x:c r="J435" s="12" t="str">
        <x:v>ptbxl_database.csv；ecg_id=3484；scp_codes</x:v>
      </x:c>
      <x:c r="K435" s="12" t="str">
        <x:v>12sl_statements.csv；ecg_id=3484；statements_ext_snomed</x:v>
      </x:c>
      <x:c r="L435" s="12"/>
      <x:c r="M435" s="12" t="str">
        <x:v>negative</x:v>
      </x:c>
      <x:c r="N435" s="12"/>
      <x:c r="O435" s="12" t="str">
        <x:v>negative</x:v>
      </x:c>
      <x:c r="P435" s="12" t="str">
        <x:f>IF(OR(M435="unavailable",O435="unavailable"),"不可评价",IF(OR(M435="equivocal",O435="equivocal"),"疑似",IF(AND(M435="positive",O435="positive"),"a",IF(O435="positive","b",IF(M435="positive","c","d")))))</x:f>
        <x:v>d</x:v>
      </x:c>
      <x:c r="Q435" s="12" t="n">
        <x:v>100</x:v>
      </x:c>
      <x:c r="R435" s="12" t="str">
        <x:v>positive</x:v>
      </x:c>
      <x:c r="S435" s="12" t="n">
        <x:v>100</x:v>
      </x:c>
      <x:c r="T435" s="12" t="str">
        <x:v>positive</x:v>
      </x:c>
      <x:c r="U435" s="12" t="str">
        <x:f>IF(OR(R435="unavailable",T435="unavailable"),"不可评价",IF(OR(R435="equivocal",T435="equivocal"),"疑似",IF(AND(R435="positive",T435="positive"),"a",IF(T435="positive","b",IF(R435="positive","c","d")))))</x:f>
        <x:v>a</x:v>
      </x:c>
      <x:c r="V435" s="12"/>
      <x:c r="W435" s="12" t="str">
        <x:v>negative</x:v>
      </x:c>
      <x:c r="X435" s="12"/>
      <x:c r="Y435" s="12" t="str">
        <x:v>negative</x:v>
      </x:c>
      <x:c r="Z435" s="12" t="str">
        <x:f>IF(OR(W435="unavailable",Y435="unavailable"),"不可评价",IF(OR(W435="equivocal",Y435="equivocal"),"疑似",IF(AND(W435="positive",Y435="positive"),"a",IF(Y435="positive","b",IF(W435="positive","c","d")))))</x:f>
        <x:v>d</x:v>
      </x:c>
      <x:c r="AA435" s="12" t="str">
        <x:f>IF(OR(M435="unavailable",O435="unavailable"),"不可评价",IF(AND(OR(M435="positive",M435="equivocal"),OR(O435="positive",O435="equivocal")),"a",IF(OR(O435="positive",O435="equivocal"),"b",IF(OR(M435="positive",M435="equivocal"),"c","d"))))</x:f>
        <x:v>d</x:v>
      </x:c>
      <x:c r="AB435" s="12" t="str">
        <x:f>IF(OR(M435="unavailable",O435="unavailable"),"不可评价",IF(AND(M435="positive",O435="positive"),"a",IF(O435="positive","b",IF(M435="positive","c","d"))))</x:f>
        <x:v>d</x:v>
      </x:c>
      <x:c r="AC435" s="12" t="str">
        <x:f>IF(OR(R435="unavailable",T435="unavailable"),"不可评价",IF(AND(OR(R435="positive",R435="equivocal"),OR(T435="positive",T435="equivocal")),"a",IF(OR(T435="positive",T435="equivocal"),"b",IF(OR(R435="positive",R435="equivocal"),"c","d"))))</x:f>
        <x:v>a</x:v>
      </x:c>
      <x:c r="AD435" s="12" t="str">
        <x:f>IF(OR(R435="unavailable",T435="unavailable"),"不可评价",IF(AND(R435="positive",T435="positive"),"a",IF(T435="positive","b",IF(R435="positive","c","d"))))</x:f>
        <x:v>a</x:v>
      </x:c>
      <x:c r="AE435" s="12" t="str">
        <x:f>IF(OR(W435="unavailable",Y435="unavailable"),"不可评价",IF(AND(OR(W435="positive",W435="equivocal"),OR(Y435="positive",Y435="equivocal")),"a",IF(OR(Y435="positive",Y435="equivocal"),"b",IF(OR(W435="positive",W435="equivocal"),"c","d"))))</x:f>
        <x:v>d</x:v>
      </x:c>
      <x:c r="AF435" s="12" t="str">
        <x:f>IF(OR(W435="unavailable",Y435="unavailable"),"不可评价",IF(AND(W435="positive",Y435="positive"),"a",IF(Y435="positive","b",IF(W435="positive","c","d"))))</x:f>
        <x:v>d</x:v>
      </x:c>
    </x:row>
    <x:row r="436" ht="39" customHeight="1">
      <x:c r="A436" s="12" t="str">
        <x:v>3486</x:v>
      </x:c>
      <x:c r="B436" s="12" t="str">
        <x:v>5946</x:v>
      </x:c>
      <x:c r="C436" s="21" t="n">
        <x:v>32776.54605324074</x:v>
      </x:c>
      <x:c r="D436" s="12" t="n">
        <x:v>58</x:v>
      </x:c>
      <x:c r="E436" s="12" t="n">
        <x:v>0</x:v>
      </x:c>
      <x:c r="F436" s="12" t="str">
        <x:v>未记录</x:v>
      </x:c>
      <x:c r="G436" s="12" t="n">
        <x:v>1</x:v>
      </x:c>
      <x:c r="H436" s="12" t="str">
        <x:v>{'NORM': 50.0, 'IVCD': 100.0, 'LAO/LAE': 50.0, '1AVB': 100.0, 'STD_': 0.0, 'LPR': 0.0, 'QWAVE': 0.0, 'SR': 0.0}</x:v>
      </x:c>
      <x:c r="I436" s="12" t="str">
        <x:v>[('SRTH', 100.0), ('FAV', 100.0), ('ABR', 100.0)]</x:v>
      </x:c>
      <x:c r="J436" s="12" t="str">
        <x:v>ptbxl_database.csv；ecg_id=3486；scp_codes</x:v>
      </x:c>
      <x:c r="K436" s="12" t="str">
        <x:v>12sl_statements.csv；ecg_id=3486；statements_ext_snomed</x:v>
      </x:c>
      <x:c r="L436" s="12"/>
      <x:c r="M436" s="12" t="str">
        <x:v>negative</x:v>
      </x:c>
      <x:c r="N436" s="12"/>
      <x:c r="O436" s="12" t="str">
        <x:v>negative</x:v>
      </x:c>
      <x:c r="P436" s="12" t="str">
        <x:f>IF(OR(M436="unavailable",O436="unavailable"),"不可评价",IF(OR(M436="equivocal",O436="equivocal"),"疑似",IF(AND(M436="positive",O436="positive"),"a",IF(O436="positive","b",IF(M436="positive","c","d")))))</x:f>
        <x:v>d</x:v>
      </x:c>
      <x:c r="Q436" s="12"/>
      <x:c r="R436" s="12" t="str">
        <x:v>negative</x:v>
      </x:c>
      <x:c r="S436" s="12"/>
      <x:c r="T436" s="12" t="str">
        <x:v>negative</x:v>
      </x:c>
      <x:c r="U436" s="12" t="str">
        <x:f>IF(OR(R436="unavailable",T436="unavailable"),"不可评价",IF(OR(R436="equivocal",T436="equivocal"),"疑似",IF(AND(R436="positive",T436="positive"),"a",IF(T436="positive","b",IF(R436="positive","c","d")))))</x:f>
        <x:v>d</x:v>
      </x:c>
      <x:c r="V436" s="12"/>
      <x:c r="W436" s="12" t="str">
        <x:v>negative</x:v>
      </x:c>
      <x:c r="X436" s="12"/>
      <x:c r="Y436" s="12" t="str">
        <x:v>negative</x:v>
      </x:c>
      <x:c r="Z436" s="12" t="str">
        <x:f>IF(OR(W436="unavailable",Y436="unavailable"),"不可评价",IF(OR(W436="equivocal",Y436="equivocal"),"疑似",IF(AND(W436="positive",Y436="positive"),"a",IF(Y436="positive","b",IF(W436="positive","c","d")))))</x:f>
        <x:v>d</x:v>
      </x:c>
      <x:c r="AA436" s="12" t="str">
        <x:f>IF(OR(M436="unavailable",O436="unavailable"),"不可评价",IF(AND(OR(M436="positive",M436="equivocal"),OR(O436="positive",O436="equivocal")),"a",IF(OR(O436="positive",O436="equivocal"),"b",IF(OR(M436="positive",M436="equivocal"),"c","d"))))</x:f>
        <x:v>d</x:v>
      </x:c>
      <x:c r="AB436" s="12" t="str">
        <x:f>IF(OR(M436="unavailable",O436="unavailable"),"不可评价",IF(AND(M436="positive",O436="positive"),"a",IF(O436="positive","b",IF(M436="positive","c","d"))))</x:f>
        <x:v>d</x:v>
      </x:c>
      <x:c r="AC436" s="12" t="str">
        <x:f>IF(OR(R436="unavailable",T436="unavailable"),"不可评价",IF(AND(OR(R436="positive",R436="equivocal"),OR(T436="positive",T436="equivocal")),"a",IF(OR(T436="positive",T436="equivocal"),"b",IF(OR(R436="positive",R436="equivocal"),"c","d"))))</x:f>
        <x:v>d</x:v>
      </x:c>
      <x:c r="AD436" s="12" t="str">
        <x:f>IF(OR(R436="unavailable",T436="unavailable"),"不可评价",IF(AND(R436="positive",T436="positive"),"a",IF(T436="positive","b",IF(R436="positive","c","d"))))</x:f>
        <x:v>d</x:v>
      </x:c>
      <x:c r="AE436" s="12" t="str">
        <x:f>IF(OR(W436="unavailable",Y436="unavailable"),"不可评价",IF(AND(OR(W436="positive",W436="equivocal"),OR(Y436="positive",Y436="equivocal")),"a",IF(OR(Y436="positive",Y436="equivocal"),"b",IF(OR(W436="positive",W436="equivocal"),"c","d"))))</x:f>
        <x:v>d</x:v>
      </x:c>
      <x:c r="AF436" s="12" t="str">
        <x:f>IF(OR(W436="unavailable",Y436="unavailable"),"不可评价",IF(AND(W436="positive",Y436="positive"),"a",IF(Y436="positive","b",IF(W436="positive","c","d"))))</x:f>
        <x:v>d</x:v>
      </x:c>
    </x:row>
    <x:row r="437" ht="24" customHeight="1">
      <x:c r="A437" s="12" t="str">
        <x:v>3487</x:v>
      </x:c>
      <x:c r="B437" s="12" t="str">
        <x:v>1036</x:v>
      </x:c>
      <x:c r="C437" s="21" t="n">
        <x:v>32776.65304398148</x:v>
      </x:c>
      <x:c r="D437" s="12" t="n">
        <x:v>50</x:v>
      </x:c>
      <x:c r="E437" s="12" t="n">
        <x:v>0</x:v>
      </x:c>
      <x:c r="F437" s="12" t="str">
        <x:v>未记录</x:v>
      </x:c>
      <x:c r="G437" s="12" t="n">
        <x:v>1</x:v>
      </x:c>
      <x:c r="H437" s="12" t="str">
        <x:v>{'NORM': 80.0, 'STACH': 0.0}</x:v>
      </x:c>
      <x:c r="I437" s="12" t="str">
        <x:v>[('STACH', 100.0), ('BORDE', 100.0)]</x:v>
      </x:c>
      <x:c r="J437" s="12" t="str">
        <x:v>ptbxl_database.csv；ecg_id=3487；scp_codes</x:v>
      </x:c>
      <x:c r="K437" s="12" t="str">
        <x:v>12sl_statements.csv；ecg_id=3487；statements_ext_snomed</x:v>
      </x:c>
      <x:c r="L437" s="12"/>
      <x:c r="M437" s="12" t="str">
        <x:v>negative</x:v>
      </x:c>
      <x:c r="N437" s="12"/>
      <x:c r="O437" s="12" t="str">
        <x:v>negative</x:v>
      </x:c>
      <x:c r="P437" s="12" t="str">
        <x:f>IF(OR(M437="unavailable",O437="unavailable"),"不可评价",IF(OR(M437="equivocal",O437="equivocal"),"疑似",IF(AND(M437="positive",O437="positive"),"a",IF(O437="positive","b",IF(M437="positive","c","d")))))</x:f>
        <x:v>d</x:v>
      </x:c>
      <x:c r="Q437" s="12"/>
      <x:c r="R437" s="12" t="str">
        <x:v>negative</x:v>
      </x:c>
      <x:c r="S437" s="12"/>
      <x:c r="T437" s="12" t="str">
        <x:v>negative</x:v>
      </x:c>
      <x:c r="U437" s="12" t="str">
        <x:f>IF(OR(R437="unavailable",T437="unavailable"),"不可评价",IF(OR(R437="equivocal",T437="equivocal"),"疑似",IF(AND(R437="positive",T437="positive"),"a",IF(T437="positive","b",IF(R437="positive","c","d")))))</x:f>
        <x:v>d</x:v>
      </x:c>
      <x:c r="V437" s="12"/>
      <x:c r="W437" s="12" t="str">
        <x:v>negative</x:v>
      </x:c>
      <x:c r="X437" s="12"/>
      <x:c r="Y437" s="12" t="str">
        <x:v>negative</x:v>
      </x:c>
      <x:c r="Z437" s="12" t="str">
        <x:f>IF(OR(W437="unavailable",Y437="unavailable"),"不可评价",IF(OR(W437="equivocal",Y437="equivocal"),"疑似",IF(AND(W437="positive",Y437="positive"),"a",IF(Y437="positive","b",IF(W437="positive","c","d")))))</x:f>
        <x:v>d</x:v>
      </x:c>
      <x:c r="AA437" s="12" t="str">
        <x:f>IF(OR(M437="unavailable",O437="unavailable"),"不可评价",IF(AND(OR(M437="positive",M437="equivocal"),OR(O437="positive",O437="equivocal")),"a",IF(OR(O437="positive",O437="equivocal"),"b",IF(OR(M437="positive",M437="equivocal"),"c","d"))))</x:f>
        <x:v>d</x:v>
      </x:c>
      <x:c r="AB437" s="12" t="str">
        <x:f>IF(OR(M437="unavailable",O437="unavailable"),"不可评价",IF(AND(M437="positive",O437="positive"),"a",IF(O437="positive","b",IF(M437="positive","c","d"))))</x:f>
        <x:v>d</x:v>
      </x:c>
      <x:c r="AC437" s="12" t="str">
        <x:f>IF(OR(R437="unavailable",T437="unavailable"),"不可评价",IF(AND(OR(R437="positive",R437="equivocal"),OR(T437="positive",T437="equivocal")),"a",IF(OR(T437="positive",T437="equivocal"),"b",IF(OR(R437="positive",R437="equivocal"),"c","d"))))</x:f>
        <x:v>d</x:v>
      </x:c>
      <x:c r="AD437" s="12" t="str">
        <x:f>IF(OR(R437="unavailable",T437="unavailable"),"不可评价",IF(AND(R437="positive",T437="positive"),"a",IF(T437="positive","b",IF(R437="positive","c","d"))))</x:f>
        <x:v>d</x:v>
      </x:c>
      <x:c r="AE437" s="12" t="str">
        <x:f>IF(OR(W437="unavailable",Y437="unavailable"),"不可评价",IF(AND(OR(W437="positive",W437="equivocal"),OR(Y437="positive",Y437="equivocal")),"a",IF(OR(Y437="positive",Y437="equivocal"),"b",IF(OR(W437="positive",W437="equivocal"),"c","d"))))</x:f>
        <x:v>d</x:v>
      </x:c>
      <x:c r="AF437" s="12" t="str">
        <x:f>IF(OR(W437="unavailable",Y437="unavailable"),"不可评价",IF(AND(W437="positive",Y437="positive"),"a",IF(Y437="positive","b",IF(W437="positive","c","d"))))</x:f>
        <x:v>d</x:v>
      </x:c>
    </x:row>
    <x:row r="438" ht="24" customHeight="1">
      <x:c r="A438" s="12" t="str">
        <x:v>3497</x:v>
      </x:c>
      <x:c r="B438" s="12" t="str">
        <x:v>21068</x:v>
      </x:c>
      <x:c r="C438" s="21" t="n">
        <x:v>32780.30137731481</x:v>
      </x:c>
      <x:c r="D438" s="12" t="n">
        <x:v>42</x:v>
      </x:c>
      <x:c r="E438" s="12" t="n">
        <x:v>0</x:v>
      </x:c>
      <x:c r="F438" s="12" t="str">
        <x:v>未记录</x:v>
      </x:c>
      <x:c r="G438" s="12" t="n">
        <x:v>1</x:v>
      </x:c>
      <x:c r="H438" s="12" t="str">
        <x:v>{'NORM': 100.0, 'SR': 0.0}</x:v>
      </x:c>
      <x:c r="I438" s="12" t="str">
        <x:v>[('NSR', 100.0), ('NML', 100.0)]</x:v>
      </x:c>
      <x:c r="J438" s="12" t="str">
        <x:v>ptbxl_database.csv；ecg_id=3497；scp_codes</x:v>
      </x:c>
      <x:c r="K438" s="12" t="str">
        <x:v>12sl_statements.csv；ecg_id=3497；statements_ext_snomed</x:v>
      </x:c>
      <x:c r="L438" s="12"/>
      <x:c r="M438" s="12" t="str">
        <x:v>negative</x:v>
      </x:c>
      <x:c r="N438" s="12"/>
      <x:c r="O438" s="12" t="str">
        <x:v>negative</x:v>
      </x:c>
      <x:c r="P438" s="12" t="str">
        <x:f>IF(OR(M438="unavailable",O438="unavailable"),"不可评价",IF(OR(M438="equivocal",O438="equivocal"),"疑似",IF(AND(M438="positive",O438="positive"),"a",IF(O438="positive","b",IF(M438="positive","c","d")))))</x:f>
        <x:v>d</x:v>
      </x:c>
      <x:c r="Q438" s="12"/>
      <x:c r="R438" s="12" t="str">
        <x:v>negative</x:v>
      </x:c>
      <x:c r="S438" s="12"/>
      <x:c r="T438" s="12" t="str">
        <x:v>negative</x:v>
      </x:c>
      <x:c r="U438" s="12" t="str">
        <x:f>IF(OR(R438="unavailable",T438="unavailable"),"不可评价",IF(OR(R438="equivocal",T438="equivocal"),"疑似",IF(AND(R438="positive",T438="positive"),"a",IF(T438="positive","b",IF(R438="positive","c","d")))))</x:f>
        <x:v>d</x:v>
      </x:c>
      <x:c r="V438" s="12"/>
      <x:c r="W438" s="12" t="str">
        <x:v>negative</x:v>
      </x:c>
      <x:c r="X438" s="12"/>
      <x:c r="Y438" s="12" t="str">
        <x:v>negative</x:v>
      </x:c>
      <x:c r="Z438" s="12" t="str">
        <x:f>IF(OR(W438="unavailable",Y438="unavailable"),"不可评价",IF(OR(W438="equivocal",Y438="equivocal"),"疑似",IF(AND(W438="positive",Y438="positive"),"a",IF(Y438="positive","b",IF(W438="positive","c","d")))))</x:f>
        <x:v>d</x:v>
      </x:c>
      <x:c r="AA438" s="12" t="str">
        <x:f>IF(OR(M438="unavailable",O438="unavailable"),"不可评价",IF(AND(OR(M438="positive",M438="equivocal"),OR(O438="positive",O438="equivocal")),"a",IF(OR(O438="positive",O438="equivocal"),"b",IF(OR(M438="positive",M438="equivocal"),"c","d"))))</x:f>
        <x:v>d</x:v>
      </x:c>
      <x:c r="AB438" s="12" t="str">
        <x:f>IF(OR(M438="unavailable",O438="unavailable"),"不可评价",IF(AND(M438="positive",O438="positive"),"a",IF(O438="positive","b",IF(M438="positive","c","d"))))</x:f>
        <x:v>d</x:v>
      </x:c>
      <x:c r="AC438" s="12" t="str">
        <x:f>IF(OR(R438="unavailable",T438="unavailable"),"不可评价",IF(AND(OR(R438="positive",R438="equivocal"),OR(T438="positive",T438="equivocal")),"a",IF(OR(T438="positive",T438="equivocal"),"b",IF(OR(R438="positive",R438="equivocal"),"c","d"))))</x:f>
        <x:v>d</x:v>
      </x:c>
      <x:c r="AD438" s="12" t="str">
        <x:f>IF(OR(R438="unavailable",T438="unavailable"),"不可评价",IF(AND(R438="positive",T438="positive"),"a",IF(T438="positive","b",IF(R438="positive","c","d"))))</x:f>
        <x:v>d</x:v>
      </x:c>
      <x:c r="AE438" s="12" t="str">
        <x:f>IF(OR(W438="unavailable",Y438="unavailable"),"不可评价",IF(AND(OR(W438="positive",W438="equivocal"),OR(Y438="positive",Y438="equivocal")),"a",IF(OR(Y438="positive",Y438="equivocal"),"b",IF(OR(W438="positive",W438="equivocal"),"c","d"))))</x:f>
        <x:v>d</x:v>
      </x:c>
      <x:c r="AF438" s="12" t="str">
        <x:f>IF(OR(W438="unavailable",Y438="unavailable"),"不可评价",IF(AND(W438="positive",Y438="positive"),"a",IF(Y438="positive","b",IF(W438="positive","c","d"))))</x:f>
        <x:v>d</x:v>
      </x:c>
    </x:row>
    <x:row r="439" ht="24" customHeight="1">
      <x:c r="A439" s="12" t="str">
        <x:v>3507</x:v>
      </x:c>
      <x:c r="B439" s="12" t="str">
        <x:v>1960</x:v>
      </x:c>
      <x:c r="C439" s="21" t="n">
        <x:v>32781.49196759259</x:v>
      </x:c>
      <x:c r="D439" s="12" t="n">
        <x:v>72</x:v>
      </x:c>
      <x:c r="E439" s="12" t="n">
        <x:v>0</x:v>
      </x:c>
      <x:c r="F439" s="12" t="str">
        <x:v>未记录</x:v>
      </x:c>
      <x:c r="G439" s="12" t="n">
        <x:v>1</x:v>
      </x:c>
      <x:c r="H439" s="12" t="str">
        <x:v>{'NORM': 80.0, 'SBRAD': 0.0}</x:v>
      </x:c>
      <x:c r="I439" s="12" t="str">
        <x:v>[('SBRAD', 100.0), ('ABR', 100.0)]</x:v>
      </x:c>
      <x:c r="J439" s="12" t="str">
        <x:v>ptbxl_database.csv；ecg_id=3507；scp_codes</x:v>
      </x:c>
      <x:c r="K439" s="12" t="str">
        <x:v>12sl_statements.csv；ecg_id=3507；statements_ext_snomed</x:v>
      </x:c>
      <x:c r="L439" s="12"/>
      <x:c r="M439" s="12" t="str">
        <x:v>negative</x:v>
      </x:c>
      <x:c r="N439" s="12"/>
      <x:c r="O439" s="12" t="str">
        <x:v>negative</x:v>
      </x:c>
      <x:c r="P439" s="12" t="str">
        <x:f>IF(OR(M439="unavailable",O439="unavailable"),"不可评价",IF(OR(M439="equivocal",O439="equivocal"),"疑似",IF(AND(M439="positive",O439="positive"),"a",IF(O439="positive","b",IF(M439="positive","c","d")))))</x:f>
        <x:v>d</x:v>
      </x:c>
      <x:c r="Q439" s="12"/>
      <x:c r="R439" s="12" t="str">
        <x:v>negative</x:v>
      </x:c>
      <x:c r="S439" s="12"/>
      <x:c r="T439" s="12" t="str">
        <x:v>negative</x:v>
      </x:c>
      <x:c r="U439" s="12" t="str">
        <x:f>IF(OR(R439="unavailable",T439="unavailable"),"不可评价",IF(OR(R439="equivocal",T439="equivocal"),"疑似",IF(AND(R439="positive",T439="positive"),"a",IF(T439="positive","b",IF(R439="positive","c","d")))))</x:f>
        <x:v>d</x:v>
      </x:c>
      <x:c r="V439" s="12"/>
      <x:c r="W439" s="12" t="str">
        <x:v>negative</x:v>
      </x:c>
      <x:c r="X439" s="12"/>
      <x:c r="Y439" s="12" t="str">
        <x:v>negative</x:v>
      </x:c>
      <x:c r="Z439" s="12" t="str">
        <x:f>IF(OR(W439="unavailable",Y439="unavailable"),"不可评价",IF(OR(W439="equivocal",Y439="equivocal"),"疑似",IF(AND(W439="positive",Y439="positive"),"a",IF(Y439="positive","b",IF(W439="positive","c","d")))))</x:f>
        <x:v>d</x:v>
      </x:c>
      <x:c r="AA439" s="12" t="str">
        <x:f>IF(OR(M439="unavailable",O439="unavailable"),"不可评价",IF(AND(OR(M439="positive",M439="equivocal"),OR(O439="positive",O439="equivocal")),"a",IF(OR(O439="positive",O439="equivocal"),"b",IF(OR(M439="positive",M439="equivocal"),"c","d"))))</x:f>
        <x:v>d</x:v>
      </x:c>
      <x:c r="AB439" s="12" t="str">
        <x:f>IF(OR(M439="unavailable",O439="unavailable"),"不可评价",IF(AND(M439="positive",O439="positive"),"a",IF(O439="positive","b",IF(M439="positive","c","d"))))</x:f>
        <x:v>d</x:v>
      </x:c>
      <x:c r="AC439" s="12" t="str">
        <x:f>IF(OR(R439="unavailable",T439="unavailable"),"不可评价",IF(AND(OR(R439="positive",R439="equivocal"),OR(T439="positive",T439="equivocal")),"a",IF(OR(T439="positive",T439="equivocal"),"b",IF(OR(R439="positive",R439="equivocal"),"c","d"))))</x:f>
        <x:v>d</x:v>
      </x:c>
      <x:c r="AD439" s="12" t="str">
        <x:f>IF(OR(R439="unavailable",T439="unavailable"),"不可评价",IF(AND(R439="positive",T439="positive"),"a",IF(T439="positive","b",IF(R439="positive","c","d"))))</x:f>
        <x:v>d</x:v>
      </x:c>
      <x:c r="AE439" s="12" t="str">
        <x:f>IF(OR(W439="unavailable",Y439="unavailable"),"不可评价",IF(AND(OR(W439="positive",W439="equivocal"),OR(Y439="positive",Y439="equivocal")),"a",IF(OR(Y439="positive",Y439="equivocal"),"b",IF(OR(W439="positive",W439="equivocal"),"c","d"))))</x:f>
        <x:v>d</x:v>
      </x:c>
      <x:c r="AF439" s="12" t="str">
        <x:f>IF(OR(W439="unavailable",Y439="unavailable"),"不可评价",IF(AND(W439="positive",Y439="positive"),"a",IF(Y439="positive","b",IF(W439="positive","c","d"))))</x:f>
        <x:v>d</x:v>
      </x:c>
    </x:row>
    <x:row r="440" ht="24" customHeight="1">
      <x:c r="A440" s="12" t="str">
        <x:v>3508</x:v>
      </x:c>
      <x:c r="B440" s="12" t="str">
        <x:v>5670</x:v>
      </x:c>
      <x:c r="C440" s="21" t="n">
        <x:v>32781.56947916667</x:v>
      </x:c>
      <x:c r="D440" s="12" t="n">
        <x:v>73</x:v>
      </x:c>
      <x:c r="E440" s="12" t="n">
        <x:v>1</x:v>
      </x:c>
      <x:c r="F440" s="12" t="str">
        <x:v>未记录</x:v>
      </x:c>
      <x:c r="G440" s="12" t="n">
        <x:v>1</x:v>
      </x:c>
      <x:c r="H440" s="12" t="str">
        <x:v>{'NDT': 100.0, 'EL': 50.0, 'NT_': 0.0, 'SR': 0.0}</x:v>
      </x:c>
      <x:c r="I440" s="12" t="str">
        <x:v>[('AFIB', 100.0), ('NT', 100.0), ('AB', 100.0)]</x:v>
      </x:c>
      <x:c r="J440" s="12" t="str">
        <x:v>ptbxl_database.csv；ecg_id=3508；scp_codes</x:v>
      </x:c>
      <x:c r="K440" s="12" t="str">
        <x:v>12sl_statements.csv；ecg_id=3508；statements_ext_snomed</x:v>
      </x:c>
      <x:c r="L440" s="12"/>
      <x:c r="M440" s="12" t="str">
        <x:v>negative</x:v>
      </x:c>
      <x:c r="N440" s="12" t="n">
        <x:v>100</x:v>
      </x:c>
      <x:c r="O440" s="12" t="str">
        <x:v>positive</x:v>
      </x:c>
      <x:c r="P440" s="12" t="str">
        <x:f>IF(OR(M440="unavailable",O440="unavailable"),"不可评价",IF(OR(M440="equivocal",O440="equivocal"),"疑似",IF(AND(M440="positive",O440="positive"),"a",IF(O440="positive","b",IF(M440="positive","c","d")))))</x:f>
        <x:v>b</x:v>
      </x:c>
      <x:c r="Q440" s="12"/>
      <x:c r="R440" s="12" t="str">
        <x:v>negative</x:v>
      </x:c>
      <x:c r="S440" s="12"/>
      <x:c r="T440" s="12" t="str">
        <x:v>negative</x:v>
      </x:c>
      <x:c r="U440" s="12" t="str">
        <x:f>IF(OR(R440="unavailable",T440="unavailable"),"不可评价",IF(OR(R440="equivocal",T440="equivocal"),"疑似",IF(AND(R440="positive",T440="positive"),"a",IF(T440="positive","b",IF(R440="positive","c","d")))))</x:f>
        <x:v>d</x:v>
      </x:c>
      <x:c r="V440" s="12"/>
      <x:c r="W440" s="12" t="str">
        <x:v>negative</x:v>
      </x:c>
      <x:c r="X440" s="12"/>
      <x:c r="Y440" s="12" t="str">
        <x:v>negative</x:v>
      </x:c>
      <x:c r="Z440" s="12" t="str">
        <x:f>IF(OR(W440="unavailable",Y440="unavailable"),"不可评价",IF(OR(W440="equivocal",Y440="equivocal"),"疑似",IF(AND(W440="positive",Y440="positive"),"a",IF(Y440="positive","b",IF(W440="positive","c","d")))))</x:f>
        <x:v>d</x:v>
      </x:c>
      <x:c r="AA440" s="12" t="str">
        <x:f>IF(OR(M440="unavailable",O440="unavailable"),"不可评价",IF(AND(OR(M440="positive",M440="equivocal"),OR(O440="positive",O440="equivocal")),"a",IF(OR(O440="positive",O440="equivocal"),"b",IF(OR(M440="positive",M440="equivocal"),"c","d"))))</x:f>
        <x:v>b</x:v>
      </x:c>
      <x:c r="AB440" s="12" t="str">
        <x:f>IF(OR(M440="unavailable",O440="unavailable"),"不可评价",IF(AND(M440="positive",O440="positive"),"a",IF(O440="positive","b",IF(M440="positive","c","d"))))</x:f>
        <x:v>b</x:v>
      </x:c>
      <x:c r="AC440" s="12" t="str">
        <x:f>IF(OR(R440="unavailable",T440="unavailable"),"不可评价",IF(AND(OR(R440="positive",R440="equivocal"),OR(T440="positive",T440="equivocal")),"a",IF(OR(T440="positive",T440="equivocal"),"b",IF(OR(R440="positive",R440="equivocal"),"c","d"))))</x:f>
        <x:v>d</x:v>
      </x:c>
      <x:c r="AD440" s="12" t="str">
        <x:f>IF(OR(R440="unavailable",T440="unavailable"),"不可评价",IF(AND(R440="positive",T440="positive"),"a",IF(T440="positive","b",IF(R440="positive","c","d"))))</x:f>
        <x:v>d</x:v>
      </x:c>
      <x:c r="AE440" s="12" t="str">
        <x:f>IF(OR(W440="unavailable",Y440="unavailable"),"不可评价",IF(AND(OR(W440="positive",W440="equivocal"),OR(Y440="positive",Y440="equivocal")),"a",IF(OR(Y440="positive",Y440="equivocal"),"b",IF(OR(W440="positive",W440="equivocal"),"c","d"))))</x:f>
        <x:v>d</x:v>
      </x:c>
      <x:c r="AF440" s="12" t="str">
        <x:f>IF(OR(W440="unavailable",Y440="unavailable"),"不可评价",IF(AND(W440="positive",Y440="positive"),"a",IF(Y440="positive","b",IF(W440="positive","c","d"))))</x:f>
        <x:v>d</x:v>
      </x:c>
    </x:row>
    <x:row r="441" ht="24" customHeight="1">
      <x:c r="A441" s="12" t="str">
        <x:v>3515</x:v>
      </x:c>
      <x:c r="B441" s="12" t="str">
        <x:v>2345</x:v>
      </x:c>
      <x:c r="C441" s="21" t="n">
        <x:v>32782.49133101852</x:v>
      </x:c>
      <x:c r="D441" s="12" t="n">
        <x:v>65</x:v>
      </x:c>
      <x:c r="E441" s="12" t="n">
        <x:v>1</x:v>
      </x:c>
      <x:c r="F441" s="12" t="str">
        <x:v>未记录</x:v>
      </x:c>
      <x:c r="G441" s="12" t="n">
        <x:v>1</x:v>
      </x:c>
      <x:c r="H441" s="12" t="str">
        <x:v>{'NORM': 50.0, 'SR': 0.0}</x:v>
      </x:c>
      <x:c r="I441" s="12" t="str">
        <x:v>[('NSR', 100.0), ('BORDE', 100.0)]</x:v>
      </x:c>
      <x:c r="J441" s="12" t="str">
        <x:v>ptbxl_database.csv；ecg_id=3515；scp_codes</x:v>
      </x:c>
      <x:c r="K441" s="12" t="str">
        <x:v>12sl_statements.csv；ecg_id=3515；statements_ext_snomed</x:v>
      </x:c>
      <x:c r="L441" s="12"/>
      <x:c r="M441" s="12" t="str">
        <x:v>negative</x:v>
      </x:c>
      <x:c r="N441" s="12"/>
      <x:c r="O441" s="12" t="str">
        <x:v>negative</x:v>
      </x:c>
      <x:c r="P441" s="12" t="str">
        <x:f>IF(OR(M441="unavailable",O441="unavailable"),"不可评价",IF(OR(M441="equivocal",O441="equivocal"),"疑似",IF(AND(M441="positive",O441="positive"),"a",IF(O441="positive","b",IF(M441="positive","c","d")))))</x:f>
        <x:v>d</x:v>
      </x:c>
      <x:c r="Q441" s="12"/>
      <x:c r="R441" s="12" t="str">
        <x:v>negative</x:v>
      </x:c>
      <x:c r="S441" s="12"/>
      <x:c r="T441" s="12" t="str">
        <x:v>negative</x:v>
      </x:c>
      <x:c r="U441" s="12" t="str">
        <x:f>IF(OR(R441="unavailable",T441="unavailable"),"不可评价",IF(OR(R441="equivocal",T441="equivocal"),"疑似",IF(AND(R441="positive",T441="positive"),"a",IF(T441="positive","b",IF(R441="positive","c","d")))))</x:f>
        <x:v>d</x:v>
      </x:c>
      <x:c r="V441" s="12"/>
      <x:c r="W441" s="12" t="str">
        <x:v>negative</x:v>
      </x:c>
      <x:c r="X441" s="12"/>
      <x:c r="Y441" s="12" t="str">
        <x:v>negative</x:v>
      </x:c>
      <x:c r="Z441" s="12" t="str">
        <x:f>IF(OR(W441="unavailable",Y441="unavailable"),"不可评价",IF(OR(W441="equivocal",Y441="equivocal"),"疑似",IF(AND(W441="positive",Y441="positive"),"a",IF(Y441="positive","b",IF(W441="positive","c","d")))))</x:f>
        <x:v>d</x:v>
      </x:c>
      <x:c r="AA441" s="12" t="str">
        <x:f>IF(OR(M441="unavailable",O441="unavailable"),"不可评价",IF(AND(OR(M441="positive",M441="equivocal"),OR(O441="positive",O441="equivocal")),"a",IF(OR(O441="positive",O441="equivocal"),"b",IF(OR(M441="positive",M441="equivocal"),"c","d"))))</x:f>
        <x:v>d</x:v>
      </x:c>
      <x:c r="AB441" s="12" t="str">
        <x:f>IF(OR(M441="unavailable",O441="unavailable"),"不可评价",IF(AND(M441="positive",O441="positive"),"a",IF(O441="positive","b",IF(M441="positive","c","d"))))</x:f>
        <x:v>d</x:v>
      </x:c>
      <x:c r="AC441" s="12" t="str">
        <x:f>IF(OR(R441="unavailable",T441="unavailable"),"不可评价",IF(AND(OR(R441="positive",R441="equivocal"),OR(T441="positive",T441="equivocal")),"a",IF(OR(T441="positive",T441="equivocal"),"b",IF(OR(R441="positive",R441="equivocal"),"c","d"))))</x:f>
        <x:v>d</x:v>
      </x:c>
      <x:c r="AD441" s="12" t="str">
        <x:f>IF(OR(R441="unavailable",T441="unavailable"),"不可评价",IF(AND(R441="positive",T441="positive"),"a",IF(T441="positive","b",IF(R441="positive","c","d"))))</x:f>
        <x:v>d</x:v>
      </x:c>
      <x:c r="AE441" s="12" t="str">
        <x:f>IF(OR(W441="unavailable",Y441="unavailable"),"不可评价",IF(AND(OR(W441="positive",W441="equivocal"),OR(Y441="positive",Y441="equivocal")),"a",IF(OR(Y441="positive",Y441="equivocal"),"b",IF(OR(W441="positive",W441="equivocal"),"c","d"))))</x:f>
        <x:v>d</x:v>
      </x:c>
      <x:c r="AF441" s="12" t="str">
        <x:f>IF(OR(W441="unavailable",Y441="unavailable"),"不可评价",IF(AND(W441="positive",Y441="positive"),"a",IF(Y441="positive","b",IF(W441="positive","c","d"))))</x:f>
        <x:v>d</x:v>
      </x:c>
    </x:row>
    <x:row r="442" ht="24" customHeight="1">
      <x:c r="A442" s="12" t="str">
        <x:v>3521</x:v>
      </x:c>
      <x:c r="B442" s="12" t="str">
        <x:v>7493</x:v>
      </x:c>
      <x:c r="C442" s="21" t="n">
        <x:v>32782.76054398148</x:v>
      </x:c>
      <x:c r="D442" s="12" t="n">
        <x:v>34</x:v>
      </x:c>
      <x:c r="E442" s="12" t="n">
        <x:v>1</x:v>
      </x:c>
      <x:c r="F442" s="12" t="str">
        <x:v>未记录</x:v>
      </x:c>
      <x:c r="G442" s="12" t="n">
        <x:v>1</x:v>
      </x:c>
      <x:c r="H442" s="12" t="str">
        <x:v>{'NORM': 100.0, 'SR': 0.0}</x:v>
      </x:c>
      <x:c r="I442" s="12" t="str">
        <x:v>[('NSR', 100.0), ('SAR', 100.0), ('NML', 100.0)]</x:v>
      </x:c>
      <x:c r="J442" s="12" t="str">
        <x:v>ptbxl_database.csv；ecg_id=3521；scp_codes</x:v>
      </x:c>
      <x:c r="K442" s="12" t="str">
        <x:v>12sl_statements.csv；ecg_id=3521；statements_ext_snomed</x:v>
      </x:c>
      <x:c r="L442" s="12"/>
      <x:c r="M442" s="12" t="str">
        <x:v>negative</x:v>
      </x:c>
      <x:c r="N442" s="12"/>
      <x:c r="O442" s="12" t="str">
        <x:v>negative</x:v>
      </x:c>
      <x:c r="P442" s="12" t="str">
        <x:f>IF(OR(M442="unavailable",O442="unavailable"),"不可评价",IF(OR(M442="equivocal",O442="equivocal"),"疑似",IF(AND(M442="positive",O442="positive"),"a",IF(O442="positive","b",IF(M442="positive","c","d")))))</x:f>
        <x:v>d</x:v>
      </x:c>
      <x:c r="Q442" s="12"/>
      <x:c r="R442" s="12" t="str">
        <x:v>negative</x:v>
      </x:c>
      <x:c r="S442" s="12"/>
      <x:c r="T442" s="12" t="str">
        <x:v>negative</x:v>
      </x:c>
      <x:c r="U442" s="12" t="str">
        <x:f>IF(OR(R442="unavailable",T442="unavailable"),"不可评价",IF(OR(R442="equivocal",T442="equivocal"),"疑似",IF(AND(R442="positive",T442="positive"),"a",IF(T442="positive","b",IF(R442="positive","c","d")))))</x:f>
        <x:v>d</x:v>
      </x:c>
      <x:c r="V442" s="12"/>
      <x:c r="W442" s="12" t="str">
        <x:v>negative</x:v>
      </x:c>
      <x:c r="X442" s="12"/>
      <x:c r="Y442" s="12" t="str">
        <x:v>negative</x:v>
      </x:c>
      <x:c r="Z442" s="12" t="str">
        <x:f>IF(OR(W442="unavailable",Y442="unavailable"),"不可评价",IF(OR(W442="equivocal",Y442="equivocal"),"疑似",IF(AND(W442="positive",Y442="positive"),"a",IF(Y442="positive","b",IF(W442="positive","c","d")))))</x:f>
        <x:v>d</x:v>
      </x:c>
      <x:c r="AA442" s="12" t="str">
        <x:f>IF(OR(M442="unavailable",O442="unavailable"),"不可评价",IF(AND(OR(M442="positive",M442="equivocal"),OR(O442="positive",O442="equivocal")),"a",IF(OR(O442="positive",O442="equivocal"),"b",IF(OR(M442="positive",M442="equivocal"),"c","d"))))</x:f>
        <x:v>d</x:v>
      </x:c>
      <x:c r="AB442" s="12" t="str">
        <x:f>IF(OR(M442="unavailable",O442="unavailable"),"不可评价",IF(AND(M442="positive",O442="positive"),"a",IF(O442="positive","b",IF(M442="positive","c","d"))))</x:f>
        <x:v>d</x:v>
      </x:c>
      <x:c r="AC442" s="12" t="str">
        <x:f>IF(OR(R442="unavailable",T442="unavailable"),"不可评价",IF(AND(OR(R442="positive",R442="equivocal"),OR(T442="positive",T442="equivocal")),"a",IF(OR(T442="positive",T442="equivocal"),"b",IF(OR(R442="positive",R442="equivocal"),"c","d"))))</x:f>
        <x:v>d</x:v>
      </x:c>
      <x:c r="AD442" s="12" t="str">
        <x:f>IF(OR(R442="unavailable",T442="unavailable"),"不可评价",IF(AND(R442="positive",T442="positive"),"a",IF(T442="positive","b",IF(R442="positive","c","d"))))</x:f>
        <x:v>d</x:v>
      </x:c>
      <x:c r="AE442" s="12" t="str">
        <x:f>IF(OR(W442="unavailable",Y442="unavailable"),"不可评价",IF(AND(OR(W442="positive",W442="equivocal"),OR(Y442="positive",Y442="equivocal")),"a",IF(OR(Y442="positive",Y442="equivocal"),"b",IF(OR(W442="positive",W442="equivocal"),"c","d"))))</x:f>
        <x:v>d</x:v>
      </x:c>
      <x:c r="AF442" s="12" t="str">
        <x:f>IF(OR(W442="unavailable",Y442="unavailable"),"不可评价",IF(AND(W442="positive",Y442="positive"),"a",IF(Y442="positive","b",IF(W442="positive","c","d"))))</x:f>
        <x:v>d</x:v>
      </x:c>
    </x:row>
    <x:row r="443" ht="24" customHeight="1">
      <x:c r="A443" s="12" t="str">
        <x:v>3522</x:v>
      </x:c>
      <x:c r="B443" s="12" t="str">
        <x:v>1845</x:v>
      </x:c>
      <x:c r="C443" s="21" t="n">
        <x:v>32782.79822916666</x:v>
      </x:c>
      <x:c r="D443" s="12" t="n">
        <x:v>54</x:v>
      </x:c>
      <x:c r="E443" s="12" t="n">
        <x:v>1</x:v>
      </x:c>
      <x:c r="F443" s="12" t="str">
        <x:v>未记录</x:v>
      </x:c>
      <x:c r="G443" s="12" t="n">
        <x:v>1</x:v>
      </x:c>
      <x:c r="H443" s="12" t="str">
        <x:v>{'NORM': 100.0}</x:v>
      </x:c>
      <x:c r="I443" s="12" t="str">
        <x:v>[('SBRAD', 100.0), ('ABR', 100.0)]</x:v>
      </x:c>
      <x:c r="J443" s="12" t="str">
        <x:v>ptbxl_database.csv；ecg_id=3522；scp_codes</x:v>
      </x:c>
      <x:c r="K443" s="12" t="str">
        <x:v>12sl_statements.csv；ecg_id=3522；statements_ext_snomed</x:v>
      </x:c>
      <x:c r="L443" s="12"/>
      <x:c r="M443" s="12" t="str">
        <x:v>negative</x:v>
      </x:c>
      <x:c r="N443" s="12"/>
      <x:c r="O443" s="12" t="str">
        <x:v>negative</x:v>
      </x:c>
      <x:c r="P443" s="12" t="str">
        <x:f>IF(OR(M443="unavailable",O443="unavailable"),"不可评价",IF(OR(M443="equivocal",O443="equivocal"),"疑似",IF(AND(M443="positive",O443="positive"),"a",IF(O443="positive","b",IF(M443="positive","c","d")))))</x:f>
        <x:v>d</x:v>
      </x:c>
      <x:c r="Q443" s="12"/>
      <x:c r="R443" s="12" t="str">
        <x:v>negative</x:v>
      </x:c>
      <x:c r="S443" s="12"/>
      <x:c r="T443" s="12" t="str">
        <x:v>negative</x:v>
      </x:c>
      <x:c r="U443" s="12" t="str">
        <x:f>IF(OR(R443="unavailable",T443="unavailable"),"不可评价",IF(OR(R443="equivocal",T443="equivocal"),"疑似",IF(AND(R443="positive",T443="positive"),"a",IF(T443="positive","b",IF(R443="positive","c","d")))))</x:f>
        <x:v>d</x:v>
      </x:c>
      <x:c r="V443" s="12"/>
      <x:c r="W443" s="12" t="str">
        <x:v>negative</x:v>
      </x:c>
      <x:c r="X443" s="12"/>
      <x:c r="Y443" s="12" t="str">
        <x:v>negative</x:v>
      </x:c>
      <x:c r="Z443" s="12" t="str">
        <x:f>IF(OR(W443="unavailable",Y443="unavailable"),"不可评价",IF(OR(W443="equivocal",Y443="equivocal"),"疑似",IF(AND(W443="positive",Y443="positive"),"a",IF(Y443="positive","b",IF(W443="positive","c","d")))))</x:f>
        <x:v>d</x:v>
      </x:c>
      <x:c r="AA443" s="12" t="str">
        <x:f>IF(OR(M443="unavailable",O443="unavailable"),"不可评价",IF(AND(OR(M443="positive",M443="equivocal"),OR(O443="positive",O443="equivocal")),"a",IF(OR(O443="positive",O443="equivocal"),"b",IF(OR(M443="positive",M443="equivocal"),"c","d"))))</x:f>
        <x:v>d</x:v>
      </x:c>
      <x:c r="AB443" s="12" t="str">
        <x:f>IF(OR(M443="unavailable",O443="unavailable"),"不可评价",IF(AND(M443="positive",O443="positive"),"a",IF(O443="positive","b",IF(M443="positive","c","d"))))</x:f>
        <x:v>d</x:v>
      </x:c>
      <x:c r="AC443" s="12" t="str">
        <x:f>IF(OR(R443="unavailable",T443="unavailable"),"不可评价",IF(AND(OR(R443="positive",R443="equivocal"),OR(T443="positive",T443="equivocal")),"a",IF(OR(T443="positive",T443="equivocal"),"b",IF(OR(R443="positive",R443="equivocal"),"c","d"))))</x:f>
        <x:v>d</x:v>
      </x:c>
      <x:c r="AD443" s="12" t="str">
        <x:f>IF(OR(R443="unavailable",T443="unavailable"),"不可评价",IF(AND(R443="positive",T443="positive"),"a",IF(T443="positive","b",IF(R443="positive","c","d"))))</x:f>
        <x:v>d</x:v>
      </x:c>
      <x:c r="AE443" s="12" t="str">
        <x:f>IF(OR(W443="unavailable",Y443="unavailable"),"不可评价",IF(AND(OR(W443="positive",W443="equivocal"),OR(Y443="positive",Y443="equivocal")),"a",IF(OR(Y443="positive",Y443="equivocal"),"b",IF(OR(W443="positive",W443="equivocal"),"c","d"))))</x:f>
        <x:v>d</x:v>
      </x:c>
      <x:c r="AF443" s="12" t="str">
        <x:f>IF(OR(W443="unavailable",Y443="unavailable"),"不可评价",IF(AND(W443="positive",Y443="positive"),"a",IF(Y443="positive","b",IF(W443="positive","c","d"))))</x:f>
        <x:v>d</x:v>
      </x:c>
    </x:row>
    <x:row r="444" ht="24" customHeight="1">
      <x:c r="A444" s="12" t="str">
        <x:v>3537</x:v>
      </x:c>
      <x:c r="B444" s="12" t="str">
        <x:v>4787</x:v>
      </x:c>
      <x:c r="C444" s="21" t="n">
        <x:v>32784.520844907405</x:v>
      </x:c>
      <x:c r="D444" s="12" t="n">
        <x:v>19</x:v>
      </x:c>
      <x:c r="E444" s="12" t="n">
        <x:v>0</x:v>
      </x:c>
      <x:c r="F444" s="12" t="str">
        <x:v>未记录</x:v>
      </x:c>
      <x:c r="G444" s="12" t="n">
        <x:v>1</x:v>
      </x:c>
      <x:c r="H444" s="12" t="str">
        <x:v>{'NORM': 100.0, 'SR': 0.0}</x:v>
      </x:c>
      <x:c r="I444" s="12" t="str">
        <x:v>[('NSR', 100.0), ('SAR', 100.0), ('BORDE', 100.0)]</x:v>
      </x:c>
      <x:c r="J444" s="12" t="str">
        <x:v>ptbxl_database.csv；ecg_id=3537；scp_codes</x:v>
      </x:c>
      <x:c r="K444" s="12" t="str">
        <x:v>12sl_statements.csv；ecg_id=3537；statements_ext_snomed</x:v>
      </x:c>
      <x:c r="L444" s="12"/>
      <x:c r="M444" s="12" t="str">
        <x:v>negative</x:v>
      </x:c>
      <x:c r="N444" s="12"/>
      <x:c r="O444" s="12" t="str">
        <x:v>negative</x:v>
      </x:c>
      <x:c r="P444" s="12" t="str">
        <x:f>IF(OR(M444="unavailable",O444="unavailable"),"不可评价",IF(OR(M444="equivocal",O444="equivocal"),"疑似",IF(AND(M444="positive",O444="positive"),"a",IF(O444="positive","b",IF(M444="positive","c","d")))))</x:f>
        <x:v>d</x:v>
      </x:c>
      <x:c r="Q444" s="12"/>
      <x:c r="R444" s="12" t="str">
        <x:v>negative</x:v>
      </x:c>
      <x:c r="S444" s="12"/>
      <x:c r="T444" s="12" t="str">
        <x:v>negative</x:v>
      </x:c>
      <x:c r="U444" s="12" t="str">
        <x:f>IF(OR(R444="unavailable",T444="unavailable"),"不可评价",IF(OR(R444="equivocal",T444="equivocal"),"疑似",IF(AND(R444="positive",T444="positive"),"a",IF(T444="positive","b",IF(R444="positive","c","d")))))</x:f>
        <x:v>d</x:v>
      </x:c>
      <x:c r="V444" s="12"/>
      <x:c r="W444" s="12" t="str">
        <x:v>negative</x:v>
      </x:c>
      <x:c r="X444" s="12"/>
      <x:c r="Y444" s="12" t="str">
        <x:v>negative</x:v>
      </x:c>
      <x:c r="Z444" s="12" t="str">
        <x:f>IF(OR(W444="unavailable",Y444="unavailable"),"不可评价",IF(OR(W444="equivocal",Y444="equivocal"),"疑似",IF(AND(W444="positive",Y444="positive"),"a",IF(Y444="positive","b",IF(W444="positive","c","d")))))</x:f>
        <x:v>d</x:v>
      </x:c>
      <x:c r="AA444" s="12" t="str">
        <x:f>IF(OR(M444="unavailable",O444="unavailable"),"不可评价",IF(AND(OR(M444="positive",M444="equivocal"),OR(O444="positive",O444="equivocal")),"a",IF(OR(O444="positive",O444="equivocal"),"b",IF(OR(M444="positive",M444="equivocal"),"c","d"))))</x:f>
        <x:v>d</x:v>
      </x:c>
      <x:c r="AB444" s="12" t="str">
        <x:f>IF(OR(M444="unavailable",O444="unavailable"),"不可评价",IF(AND(M444="positive",O444="positive"),"a",IF(O444="positive","b",IF(M444="positive","c","d"))))</x:f>
        <x:v>d</x:v>
      </x:c>
      <x:c r="AC444" s="12" t="str">
        <x:f>IF(OR(R444="unavailable",T444="unavailable"),"不可评价",IF(AND(OR(R444="positive",R444="equivocal"),OR(T444="positive",T444="equivocal")),"a",IF(OR(T444="positive",T444="equivocal"),"b",IF(OR(R444="positive",R444="equivocal"),"c","d"))))</x:f>
        <x:v>d</x:v>
      </x:c>
      <x:c r="AD444" s="12" t="str">
        <x:f>IF(OR(R444="unavailable",T444="unavailable"),"不可评价",IF(AND(R444="positive",T444="positive"),"a",IF(T444="positive","b",IF(R444="positive","c","d"))))</x:f>
        <x:v>d</x:v>
      </x:c>
      <x:c r="AE444" s="12" t="str">
        <x:f>IF(OR(W444="unavailable",Y444="unavailable"),"不可评价",IF(AND(OR(W444="positive",W444="equivocal"),OR(Y444="positive",Y444="equivocal")),"a",IF(OR(Y444="positive",Y444="equivocal"),"b",IF(OR(W444="positive",W444="equivocal"),"c","d"))))</x:f>
        <x:v>d</x:v>
      </x:c>
      <x:c r="AF444" s="12" t="str">
        <x:f>IF(OR(W444="unavailable",Y444="unavailable"),"不可评价",IF(AND(W444="positive",Y444="positive"),"a",IF(Y444="positive","b",IF(W444="positive","c","d"))))</x:f>
        <x:v>d</x:v>
      </x:c>
    </x:row>
    <x:row r="445" ht="24" customHeight="1">
      <x:c r="A445" s="12" t="str">
        <x:v>3544</x:v>
      </x:c>
      <x:c r="B445" s="12" t="str">
        <x:v>19665</x:v>
      </x:c>
      <x:c r="C445" s="21" t="n">
        <x:v>32785.69167824074</x:v>
      </x:c>
      <x:c r="D445" s="12" t="n">
        <x:v>84</x:v>
      </x:c>
      <x:c r="E445" s="12" t="n">
        <x:v>1</x:v>
      </x:c>
      <x:c r="F445" s="12" t="str">
        <x:v>未记录</x:v>
      </x:c>
      <x:c r="G445" s="12" t="n">
        <x:v>1</x:v>
      </x:c>
      <x:c r="H445" s="12" t="str">
        <x:v>{'ASMI': 100.0, 'AFIB': 0.0}</x:v>
      </x:c>
      <x:c r="I445" s="12" t="str">
        <x:v>[('AFIB', 100.0), ('SMI;AU', 100.0), ('AB', 100.0)]</x:v>
      </x:c>
      <x:c r="J445" s="12" t="str">
        <x:v>ptbxl_database.csv；ecg_id=3544；scp_codes</x:v>
      </x:c>
      <x:c r="K445" s="12" t="str">
        <x:v>12sl_statements.csv；ecg_id=3544；statements_ext_snomed</x:v>
      </x:c>
      <x:c r="L445" s="12" t="n">
        <x:v>0</x:v>
      </x:c>
      <x:c r="M445" s="12" t="str">
        <x:v>positive</x:v>
      </x:c>
      <x:c r="N445" s="12" t="n">
        <x:v>100</x:v>
      </x:c>
      <x:c r="O445" s="12" t="str">
        <x:v>positive</x:v>
      </x:c>
      <x:c r="P445" s="12" t="str">
        <x:f>IF(OR(M445="unavailable",O445="unavailable"),"不可评价",IF(OR(M445="equivocal",O445="equivocal"),"疑似",IF(AND(M445="positive",O445="positive"),"a",IF(O445="positive","b",IF(M445="positive","c","d")))))</x:f>
        <x:v>a</x:v>
      </x:c>
      <x:c r="Q445" s="12"/>
      <x:c r="R445" s="12" t="str">
        <x:v>negative</x:v>
      </x:c>
      <x:c r="S445" s="12"/>
      <x:c r="T445" s="12" t="str">
        <x:v>negative</x:v>
      </x:c>
      <x:c r="U445" s="12" t="str">
        <x:f>IF(OR(R445="unavailable",T445="unavailable"),"不可评价",IF(OR(R445="equivocal",T445="equivocal"),"疑似",IF(AND(R445="positive",T445="positive"),"a",IF(T445="positive","b",IF(R445="positive","c","d")))))</x:f>
        <x:v>d</x:v>
      </x:c>
      <x:c r="V445" s="12"/>
      <x:c r="W445" s="12" t="str">
        <x:v>negative</x:v>
      </x:c>
      <x:c r="X445" s="12"/>
      <x:c r="Y445" s="12" t="str">
        <x:v>negative</x:v>
      </x:c>
      <x:c r="Z445" s="12" t="str">
        <x:f>IF(OR(W445="unavailable",Y445="unavailable"),"不可评价",IF(OR(W445="equivocal",Y445="equivocal"),"疑似",IF(AND(W445="positive",Y445="positive"),"a",IF(Y445="positive","b",IF(W445="positive","c","d")))))</x:f>
        <x:v>d</x:v>
      </x:c>
      <x:c r="AA445" s="12" t="str">
        <x:f>IF(OR(M445="unavailable",O445="unavailable"),"不可评价",IF(AND(OR(M445="positive",M445="equivocal"),OR(O445="positive",O445="equivocal")),"a",IF(OR(O445="positive",O445="equivocal"),"b",IF(OR(M445="positive",M445="equivocal"),"c","d"))))</x:f>
        <x:v>a</x:v>
      </x:c>
      <x:c r="AB445" s="12" t="str">
        <x:f>IF(OR(M445="unavailable",O445="unavailable"),"不可评价",IF(AND(M445="positive",O445="positive"),"a",IF(O445="positive","b",IF(M445="positive","c","d"))))</x:f>
        <x:v>a</x:v>
      </x:c>
      <x:c r="AC445" s="12" t="str">
        <x:f>IF(OR(R445="unavailable",T445="unavailable"),"不可评价",IF(AND(OR(R445="positive",R445="equivocal"),OR(T445="positive",T445="equivocal")),"a",IF(OR(T445="positive",T445="equivocal"),"b",IF(OR(R445="positive",R445="equivocal"),"c","d"))))</x:f>
        <x:v>d</x:v>
      </x:c>
      <x:c r="AD445" s="12" t="str">
        <x:f>IF(OR(R445="unavailable",T445="unavailable"),"不可评价",IF(AND(R445="positive",T445="positive"),"a",IF(T445="positive","b",IF(R445="positive","c","d"))))</x:f>
        <x:v>d</x:v>
      </x:c>
      <x:c r="AE445" s="12" t="str">
        <x:f>IF(OR(W445="unavailable",Y445="unavailable"),"不可评价",IF(AND(OR(W445="positive",W445="equivocal"),OR(Y445="positive",Y445="equivocal")),"a",IF(OR(Y445="positive",Y445="equivocal"),"b",IF(OR(W445="positive",W445="equivocal"),"c","d"))))</x:f>
        <x:v>d</x:v>
      </x:c>
      <x:c r="AF445" s="12" t="str">
        <x:f>IF(OR(W445="unavailable",Y445="unavailable"),"不可评价",IF(AND(W445="positive",Y445="positive"),"a",IF(Y445="positive","b",IF(W445="positive","c","d"))))</x:f>
        <x:v>d</x:v>
      </x:c>
    </x:row>
    <x:row r="446" ht="24" customHeight="1">
      <x:c r="A446" s="12" t="str">
        <x:v>3558</x:v>
      </x:c>
      <x:c r="B446" s="12" t="str">
        <x:v>20283</x:v>
      </x:c>
      <x:c r="C446" s="21" t="n">
        <x:v>32798.50449074074</x:v>
      </x:c>
      <x:c r="D446" s="12" t="n">
        <x:v>66</x:v>
      </x:c>
      <x:c r="E446" s="12" t="n">
        <x:v>0</x:v>
      </x:c>
      <x:c r="F446" s="12" t="str">
        <x:v>存在</x:v>
      </x:c>
      <x:c r="G446" s="12" t="n">
        <x:v>0</x:v>
      </x:c>
      <x:c r="H446" s="12" t="str">
        <x:v>{'NORM': 100.0, 'SR': 0.0}</x:v>
      </x:c>
      <x:c r="I446" s="12" t="str">
        <x:v>[('NSR', 100.0), ('IMI;AU', 50.0), ('AB', 100.0)]</x:v>
      </x:c>
      <x:c r="J446" s="12" t="str">
        <x:v>ptbxl_database.csv；ecg_id=3558；scp_codes</x:v>
      </x:c>
      <x:c r="K446" s="12" t="str">
        <x:v>12sl_statements.csv；ecg_id=3558；statements_ext_snomed</x:v>
      </x:c>
      <x:c r="L446" s="12"/>
      <x:c r="M446" s="12" t="str">
        <x:v>negative</x:v>
      </x:c>
      <x:c r="N446" s="12"/>
      <x:c r="O446" s="12" t="str">
        <x:v>negative</x:v>
      </x:c>
      <x:c r="P446" s="12" t="str">
        <x:f>IF(OR(M446="unavailable",O446="unavailable"),"不可评价",IF(OR(M446="equivocal",O446="equivocal"),"疑似",IF(AND(M446="positive",O446="positive"),"a",IF(O446="positive","b",IF(M446="positive","c","d")))))</x:f>
        <x:v>d</x:v>
      </x:c>
      <x:c r="Q446" s="12"/>
      <x:c r="R446" s="12" t="str">
        <x:v>negative</x:v>
      </x:c>
      <x:c r="S446" s="12"/>
      <x:c r="T446" s="12" t="str">
        <x:v>negative</x:v>
      </x:c>
      <x:c r="U446" s="12" t="str">
        <x:f>IF(OR(R446="unavailable",T446="unavailable"),"不可评价",IF(OR(R446="equivocal",T446="equivocal"),"疑似",IF(AND(R446="positive",T446="positive"),"a",IF(T446="positive","b",IF(R446="positive","c","d")))))</x:f>
        <x:v>d</x:v>
      </x:c>
      <x:c r="V446" s="12"/>
      <x:c r="W446" s="12" t="str">
        <x:v>negative</x:v>
      </x:c>
      <x:c r="X446" s="12"/>
      <x:c r="Y446" s="12" t="str">
        <x:v>negative</x:v>
      </x:c>
      <x:c r="Z446" s="12" t="str">
        <x:f>IF(OR(W446="unavailable",Y446="unavailable"),"不可评价",IF(OR(W446="equivocal",Y446="equivocal"),"疑似",IF(AND(W446="positive",Y446="positive"),"a",IF(Y446="positive","b",IF(W446="positive","c","d")))))</x:f>
        <x:v>d</x:v>
      </x:c>
      <x:c r="AA446" s="12" t="str">
        <x:f>IF(OR(M446="unavailable",O446="unavailable"),"不可评价",IF(AND(OR(M446="positive",M446="equivocal"),OR(O446="positive",O446="equivocal")),"a",IF(OR(O446="positive",O446="equivocal"),"b",IF(OR(M446="positive",M446="equivocal"),"c","d"))))</x:f>
        <x:v>d</x:v>
      </x:c>
      <x:c r="AB446" s="12" t="str">
        <x:f>IF(OR(M446="unavailable",O446="unavailable"),"不可评价",IF(AND(M446="positive",O446="positive"),"a",IF(O446="positive","b",IF(M446="positive","c","d"))))</x:f>
        <x:v>d</x:v>
      </x:c>
      <x:c r="AC446" s="12" t="str">
        <x:f>IF(OR(R446="unavailable",T446="unavailable"),"不可评价",IF(AND(OR(R446="positive",R446="equivocal"),OR(T446="positive",T446="equivocal")),"a",IF(OR(T446="positive",T446="equivocal"),"b",IF(OR(R446="positive",R446="equivocal"),"c","d"))))</x:f>
        <x:v>d</x:v>
      </x:c>
      <x:c r="AD446" s="12" t="str">
        <x:f>IF(OR(R446="unavailable",T446="unavailable"),"不可评价",IF(AND(R446="positive",T446="positive"),"a",IF(T446="positive","b",IF(R446="positive","c","d"))))</x:f>
        <x:v>d</x:v>
      </x:c>
      <x:c r="AE446" s="12" t="str">
        <x:f>IF(OR(W446="unavailable",Y446="unavailable"),"不可评价",IF(AND(OR(W446="positive",W446="equivocal"),OR(Y446="positive",Y446="equivocal")),"a",IF(OR(Y446="positive",Y446="equivocal"),"b",IF(OR(W446="positive",W446="equivocal"),"c","d"))))</x:f>
        <x:v>d</x:v>
      </x:c>
      <x:c r="AF446" s="12" t="str">
        <x:f>IF(OR(W446="unavailable",Y446="unavailable"),"不可评价",IF(AND(W446="positive",Y446="positive"),"a",IF(Y446="positive","b",IF(W446="positive","c","d"))))</x:f>
        <x:v>d</x:v>
      </x:c>
    </x:row>
    <x:row r="447" ht="24" customHeight="1">
      <x:c r="A447" s="12" t="str">
        <x:v>3559</x:v>
      </x:c>
      <x:c r="B447" s="12" t="str">
        <x:v>20967</x:v>
      </x:c>
      <x:c r="C447" s="21" t="n">
        <x:v>32799.51099537037</x:v>
      </x:c>
      <x:c r="D447" s="12" t="n">
        <x:v>55</x:v>
      </x:c>
      <x:c r="E447" s="12" t="n">
        <x:v>0</x:v>
      </x:c>
      <x:c r="F447" s="12" t="str">
        <x:v>存在</x:v>
      </x:c>
      <x:c r="G447" s="12" t="n">
        <x:v>1</x:v>
      </x:c>
      <x:c r="H447" s="12" t="str">
        <x:v>{'LMI': 50.0, 'IVCD': 100.0, 'ABQRS': 0.0, 'SR': 0.0}</x:v>
      </x:c>
      <x:c r="I447" s="12" t="str">
        <x:v>[('NSR', 100.0), ('LAD3', 100.0), ('AB', 100.0)]</x:v>
      </x:c>
      <x:c r="J447" s="12" t="str">
        <x:v>ptbxl_database.csv；ecg_id=3559；scp_codes</x:v>
      </x:c>
      <x:c r="K447" s="12" t="str">
        <x:v>12sl_statements.csv；ecg_id=3559；statements_ext_snomed</x:v>
      </x:c>
      <x:c r="L447" s="12"/>
      <x:c r="M447" s="12" t="str">
        <x:v>negative</x:v>
      </x:c>
      <x:c r="N447" s="12"/>
      <x:c r="O447" s="12" t="str">
        <x:v>negative</x:v>
      </x:c>
      <x:c r="P447" s="12" t="str">
        <x:f>IF(OR(M447="unavailable",O447="unavailable"),"不可评价",IF(OR(M447="equivocal",O447="equivocal"),"疑似",IF(AND(M447="positive",O447="positive"),"a",IF(O447="positive","b",IF(M447="positive","c","d")))))</x:f>
        <x:v>d</x:v>
      </x:c>
      <x:c r="Q447" s="12"/>
      <x:c r="R447" s="12" t="str">
        <x:v>negative</x:v>
      </x:c>
      <x:c r="S447" s="12"/>
      <x:c r="T447" s="12" t="str">
        <x:v>negative</x:v>
      </x:c>
      <x:c r="U447" s="12" t="str">
        <x:f>IF(OR(R447="unavailable",T447="unavailable"),"不可评价",IF(OR(R447="equivocal",T447="equivocal"),"疑似",IF(AND(R447="positive",T447="positive"),"a",IF(T447="positive","b",IF(R447="positive","c","d")))))</x:f>
        <x:v>d</x:v>
      </x:c>
      <x:c r="V447" s="12"/>
      <x:c r="W447" s="12" t="str">
        <x:v>negative</x:v>
      </x:c>
      <x:c r="X447" s="12"/>
      <x:c r="Y447" s="12" t="str">
        <x:v>negative</x:v>
      </x:c>
      <x:c r="Z447" s="12" t="str">
        <x:f>IF(OR(W447="unavailable",Y447="unavailable"),"不可评价",IF(OR(W447="equivocal",Y447="equivocal"),"疑似",IF(AND(W447="positive",Y447="positive"),"a",IF(Y447="positive","b",IF(W447="positive","c","d")))))</x:f>
        <x:v>d</x:v>
      </x:c>
      <x:c r="AA447" s="12" t="str">
        <x:f>IF(OR(M447="unavailable",O447="unavailable"),"不可评价",IF(AND(OR(M447="positive",M447="equivocal"),OR(O447="positive",O447="equivocal")),"a",IF(OR(O447="positive",O447="equivocal"),"b",IF(OR(M447="positive",M447="equivocal"),"c","d"))))</x:f>
        <x:v>d</x:v>
      </x:c>
      <x:c r="AB447" s="12" t="str">
        <x:f>IF(OR(M447="unavailable",O447="unavailable"),"不可评价",IF(AND(M447="positive",O447="positive"),"a",IF(O447="positive","b",IF(M447="positive","c","d"))))</x:f>
        <x:v>d</x:v>
      </x:c>
      <x:c r="AC447" s="12" t="str">
        <x:f>IF(OR(R447="unavailable",T447="unavailable"),"不可评价",IF(AND(OR(R447="positive",R447="equivocal"),OR(T447="positive",T447="equivocal")),"a",IF(OR(T447="positive",T447="equivocal"),"b",IF(OR(R447="positive",R447="equivocal"),"c","d"))))</x:f>
        <x:v>d</x:v>
      </x:c>
      <x:c r="AD447" s="12" t="str">
        <x:f>IF(OR(R447="unavailable",T447="unavailable"),"不可评价",IF(AND(R447="positive",T447="positive"),"a",IF(T447="positive","b",IF(R447="positive","c","d"))))</x:f>
        <x:v>d</x:v>
      </x:c>
      <x:c r="AE447" s="12" t="str">
        <x:f>IF(OR(W447="unavailable",Y447="unavailable"),"不可评价",IF(AND(OR(W447="positive",W447="equivocal"),OR(Y447="positive",Y447="equivocal")),"a",IF(OR(Y447="positive",Y447="equivocal"),"b",IF(OR(W447="positive",W447="equivocal"),"c","d"))))</x:f>
        <x:v>d</x:v>
      </x:c>
      <x:c r="AF447" s="12" t="str">
        <x:f>IF(OR(W447="unavailable",Y447="unavailable"),"不可评价",IF(AND(W447="positive",Y447="positive"),"a",IF(Y447="positive","b",IF(W447="positive","c","d"))))</x:f>
        <x:v>d</x:v>
      </x:c>
    </x:row>
    <x:row r="448" ht="39" customHeight="1">
      <x:c r="A448" s="12" t="str">
        <x:v>3568</x:v>
      </x:c>
      <x:c r="B448" s="12" t="str">
        <x:v>9001</x:v>
      </x:c>
      <x:c r="C448" s="21" t="n">
        <x:v>32804.69128472222</x:v>
      </x:c>
      <x:c r="D448" s="12" t="n">
        <x:v>77</x:v>
      </x:c>
      <x:c r="E448" s="12" t="n">
        <x:v>0</x:v>
      </x:c>
      <x:c r="F448" s="12" t="str">
        <x:v>未记录</x:v>
      </x:c>
      <x:c r="G448" s="12" t="n">
        <x:v>1</x:v>
      </x:c>
      <x:c r="H448" s="12" t="str">
        <x:v>{'ASMI': 50.0, 'ALMI': 100.0, 'IRBBB': 100.0, 'ABQRS': 0.0, 'SR': 0.0}</x:v>
      </x:c>
      <x:c r="I448" s="12" t="str">
        <x:v>[('NSR', 100.0), ('LAE', 50.0), ('IRBBB', 100.0), ('SMI;AU', 100.0), ('LMI;AU', 50.0), ('AB', 100.0)]</x:v>
      </x:c>
      <x:c r="J448" s="12" t="str">
        <x:v>ptbxl_database.csv；ecg_id=3568；scp_codes</x:v>
      </x:c>
      <x:c r="K448" s="12" t="str">
        <x:v>12sl_statements.csv；ecg_id=3568；statements_ext_snomed</x:v>
      </x:c>
      <x:c r="L448" s="12"/>
      <x:c r="M448" s="12" t="str">
        <x:v>negative</x:v>
      </x:c>
      <x:c r="N448" s="12"/>
      <x:c r="O448" s="12" t="str">
        <x:v>negative</x:v>
      </x:c>
      <x:c r="P448" s="12" t="str">
        <x:f>IF(OR(M448="unavailable",O448="unavailable"),"不可评价",IF(OR(M448="equivocal",O448="equivocal"),"疑似",IF(AND(M448="positive",O448="positive"),"a",IF(O448="positive","b",IF(M448="positive","c","d")))))</x:f>
        <x:v>d</x:v>
      </x:c>
      <x:c r="Q448" s="12"/>
      <x:c r="R448" s="12" t="str">
        <x:v>negative</x:v>
      </x:c>
      <x:c r="S448" s="12"/>
      <x:c r="T448" s="12" t="str">
        <x:v>negative</x:v>
      </x:c>
      <x:c r="U448" s="12" t="str">
        <x:f>IF(OR(R448="unavailable",T448="unavailable"),"不可评价",IF(OR(R448="equivocal",T448="equivocal"),"疑似",IF(AND(R448="positive",T448="positive"),"a",IF(T448="positive","b",IF(R448="positive","c","d")))))</x:f>
        <x:v>d</x:v>
      </x:c>
      <x:c r="V448" s="12"/>
      <x:c r="W448" s="12" t="str">
        <x:v>negative</x:v>
      </x:c>
      <x:c r="X448" s="12"/>
      <x:c r="Y448" s="12" t="str">
        <x:v>negative</x:v>
      </x:c>
      <x:c r="Z448" s="12" t="str">
        <x:f>IF(OR(W448="unavailable",Y448="unavailable"),"不可评价",IF(OR(W448="equivocal",Y448="equivocal"),"疑似",IF(AND(W448="positive",Y448="positive"),"a",IF(Y448="positive","b",IF(W448="positive","c","d")))))</x:f>
        <x:v>d</x:v>
      </x:c>
      <x:c r="AA448" s="12" t="str">
        <x:f>IF(OR(M448="unavailable",O448="unavailable"),"不可评价",IF(AND(OR(M448="positive",M448="equivocal"),OR(O448="positive",O448="equivocal")),"a",IF(OR(O448="positive",O448="equivocal"),"b",IF(OR(M448="positive",M448="equivocal"),"c","d"))))</x:f>
        <x:v>d</x:v>
      </x:c>
      <x:c r="AB448" s="12" t="str">
        <x:f>IF(OR(M448="unavailable",O448="unavailable"),"不可评价",IF(AND(M448="positive",O448="positive"),"a",IF(O448="positive","b",IF(M448="positive","c","d"))))</x:f>
        <x:v>d</x:v>
      </x:c>
      <x:c r="AC448" s="12" t="str">
        <x:f>IF(OR(R448="unavailable",T448="unavailable"),"不可评价",IF(AND(OR(R448="positive",R448="equivocal"),OR(T448="positive",T448="equivocal")),"a",IF(OR(T448="positive",T448="equivocal"),"b",IF(OR(R448="positive",R448="equivocal"),"c","d"))))</x:f>
        <x:v>d</x:v>
      </x:c>
      <x:c r="AD448" s="12" t="str">
        <x:f>IF(OR(R448="unavailable",T448="unavailable"),"不可评价",IF(AND(R448="positive",T448="positive"),"a",IF(T448="positive","b",IF(R448="positive","c","d"))))</x:f>
        <x:v>d</x:v>
      </x:c>
      <x:c r="AE448" s="12" t="str">
        <x:f>IF(OR(W448="unavailable",Y448="unavailable"),"不可评价",IF(AND(OR(W448="positive",W448="equivocal"),OR(Y448="positive",Y448="equivocal")),"a",IF(OR(Y448="positive",Y448="equivocal"),"b",IF(OR(W448="positive",W448="equivocal"),"c","d"))))</x:f>
        <x:v>d</x:v>
      </x:c>
      <x:c r="AF448" s="12" t="str">
        <x:f>IF(OR(W448="unavailable",Y448="unavailable"),"不可评价",IF(AND(W448="positive",Y448="positive"),"a",IF(Y448="positive","b",IF(W448="positive","c","d"))))</x:f>
        <x:v>d</x:v>
      </x:c>
    </x:row>
    <x:row r="449" ht="24" customHeight="1">
      <x:c r="A449" s="12" t="str">
        <x:v>3579</x:v>
      </x:c>
      <x:c r="B449" s="12" t="str">
        <x:v>16625</x:v>
      </x:c>
      <x:c r="C449" s="21" t="n">
        <x:v>32811.375810185185</x:v>
      </x:c>
      <x:c r="D449" s="12" t="n">
        <x:v>58</x:v>
      </x:c>
      <x:c r="E449" s="12" t="n">
        <x:v>1</x:v>
      </x:c>
      <x:c r="F449" s="12" t="str">
        <x:v>未记录</x:v>
      </x:c>
      <x:c r="G449" s="12" t="n">
        <x:v>1</x:v>
      </x:c>
      <x:c r="H449" s="12" t="str">
        <x:v>{'IMI': 50.0, 'ABQRS': 0.0, 'SR': 0.0}</x:v>
      </x:c>
      <x:c r="I449" s="12" t="str">
        <x:v>[('NSR', 100.0), ('NML', 100.0)]</x:v>
      </x:c>
      <x:c r="J449" s="12" t="str">
        <x:v>ptbxl_database.csv；ecg_id=3579；scp_codes</x:v>
      </x:c>
      <x:c r="K449" s="12" t="str">
        <x:v>12sl_statements.csv；ecg_id=3579；statements_ext_snomed</x:v>
      </x:c>
      <x:c r="L449" s="12"/>
      <x:c r="M449" s="12" t="str">
        <x:v>negative</x:v>
      </x:c>
      <x:c r="N449" s="12"/>
      <x:c r="O449" s="12" t="str">
        <x:v>negative</x:v>
      </x:c>
      <x:c r="P449" s="12" t="str">
        <x:f>IF(OR(M449="unavailable",O449="unavailable"),"不可评价",IF(OR(M449="equivocal",O449="equivocal"),"疑似",IF(AND(M449="positive",O449="positive"),"a",IF(O449="positive","b",IF(M449="positive","c","d")))))</x:f>
        <x:v>d</x:v>
      </x:c>
      <x:c r="Q449" s="12"/>
      <x:c r="R449" s="12" t="str">
        <x:v>negative</x:v>
      </x:c>
      <x:c r="S449" s="12"/>
      <x:c r="T449" s="12" t="str">
        <x:v>negative</x:v>
      </x:c>
      <x:c r="U449" s="12" t="str">
        <x:f>IF(OR(R449="unavailable",T449="unavailable"),"不可评价",IF(OR(R449="equivocal",T449="equivocal"),"疑似",IF(AND(R449="positive",T449="positive"),"a",IF(T449="positive","b",IF(R449="positive","c","d")))))</x:f>
        <x:v>d</x:v>
      </x:c>
      <x:c r="V449" s="12"/>
      <x:c r="W449" s="12" t="str">
        <x:v>negative</x:v>
      </x:c>
      <x:c r="X449" s="12"/>
      <x:c r="Y449" s="12" t="str">
        <x:v>negative</x:v>
      </x:c>
      <x:c r="Z449" s="12" t="str">
        <x:f>IF(OR(W449="unavailable",Y449="unavailable"),"不可评价",IF(OR(W449="equivocal",Y449="equivocal"),"疑似",IF(AND(W449="positive",Y449="positive"),"a",IF(Y449="positive","b",IF(W449="positive","c","d")))))</x:f>
        <x:v>d</x:v>
      </x:c>
      <x:c r="AA449" s="12" t="str">
        <x:f>IF(OR(M449="unavailable",O449="unavailable"),"不可评价",IF(AND(OR(M449="positive",M449="equivocal"),OR(O449="positive",O449="equivocal")),"a",IF(OR(O449="positive",O449="equivocal"),"b",IF(OR(M449="positive",M449="equivocal"),"c","d"))))</x:f>
        <x:v>d</x:v>
      </x:c>
      <x:c r="AB449" s="12" t="str">
        <x:f>IF(OR(M449="unavailable",O449="unavailable"),"不可评价",IF(AND(M449="positive",O449="positive"),"a",IF(O449="positive","b",IF(M449="positive","c","d"))))</x:f>
        <x:v>d</x:v>
      </x:c>
      <x:c r="AC449" s="12" t="str">
        <x:f>IF(OR(R449="unavailable",T449="unavailable"),"不可评价",IF(AND(OR(R449="positive",R449="equivocal"),OR(T449="positive",T449="equivocal")),"a",IF(OR(T449="positive",T449="equivocal"),"b",IF(OR(R449="positive",R449="equivocal"),"c","d"))))</x:f>
        <x:v>d</x:v>
      </x:c>
      <x:c r="AD449" s="12" t="str">
        <x:f>IF(OR(R449="unavailable",T449="unavailable"),"不可评价",IF(AND(R449="positive",T449="positive"),"a",IF(T449="positive","b",IF(R449="positive","c","d"))))</x:f>
        <x:v>d</x:v>
      </x:c>
      <x:c r="AE449" s="12" t="str">
        <x:f>IF(OR(W449="unavailable",Y449="unavailable"),"不可评价",IF(AND(OR(W449="positive",W449="equivocal"),OR(Y449="positive",Y449="equivocal")),"a",IF(OR(Y449="positive",Y449="equivocal"),"b",IF(OR(W449="positive",W449="equivocal"),"c","d"))))</x:f>
        <x:v>d</x:v>
      </x:c>
      <x:c r="AF449" s="12" t="str">
        <x:f>IF(OR(W449="unavailable",Y449="unavailable"),"不可评价",IF(AND(W449="positive",Y449="positive"),"a",IF(Y449="positive","b",IF(W449="positive","c","d"))))</x:f>
        <x:v>d</x:v>
      </x:c>
    </x:row>
    <x:row r="450" ht="39" customHeight="1">
      <x:c r="A450" s="12" t="str">
        <x:v>3582</x:v>
      </x:c>
      <x:c r="B450" s="12" t="str">
        <x:v>18551</x:v>
      </x:c>
      <x:c r="C450" s="21" t="n">
        <x:v>32813.29924768519</x:v>
      </x:c>
      <x:c r="D450" s="12" t="n">
        <x:v>45</x:v>
      </x:c>
      <x:c r="E450" s="12" t="n">
        <x:v>0</x:v>
      </x:c>
      <x:c r="F450" s="12" t="str">
        <x:v>未记录</x:v>
      </x:c>
      <x:c r="G450" s="12" t="n">
        <x:v>1</x:v>
      </x:c>
      <x:c r="H450" s="12" t="str">
        <x:v>{'IMI': 100.0, 'ASMI': 100.0, 'CRBBB': 100.0, 'ABQRS': 0.0, 'STACH': 0.0}</x:v>
      </x:c>
      <x:c r="I450" s="12" t="str">
        <x:v>[('STACH', 100.0), ('RBBB', 100.0), ('IMI;AU', 100.0), ('AB', 100.0)]</x:v>
      </x:c>
      <x:c r="J450" s="12" t="str">
        <x:v>ptbxl_database.csv；ecg_id=3582；scp_codes</x:v>
      </x:c>
      <x:c r="K450" s="12" t="str">
        <x:v>12sl_statements.csv；ecg_id=3582；statements_ext_snomed</x:v>
      </x:c>
      <x:c r="L450" s="12"/>
      <x:c r="M450" s="12" t="str">
        <x:v>negative</x:v>
      </x:c>
      <x:c r="N450" s="12"/>
      <x:c r="O450" s="12" t="str">
        <x:v>negative</x:v>
      </x:c>
      <x:c r="P450" s="12" t="str">
        <x:f>IF(OR(M450="unavailable",O450="unavailable"),"不可评价",IF(OR(M450="equivocal",O450="equivocal"),"疑似",IF(AND(M450="positive",O450="positive"),"a",IF(O450="positive","b",IF(M450="positive","c","d")))))</x:f>
        <x:v>d</x:v>
      </x:c>
      <x:c r="Q450" s="12"/>
      <x:c r="R450" s="12" t="str">
        <x:v>negative</x:v>
      </x:c>
      <x:c r="S450" s="12"/>
      <x:c r="T450" s="12" t="str">
        <x:v>negative</x:v>
      </x:c>
      <x:c r="U450" s="12" t="str">
        <x:f>IF(OR(R450="unavailable",T450="unavailable"),"不可评价",IF(OR(R450="equivocal",T450="equivocal"),"疑似",IF(AND(R450="positive",T450="positive"),"a",IF(T450="positive","b",IF(R450="positive","c","d")))))</x:f>
        <x:v>d</x:v>
      </x:c>
      <x:c r="V450" s="12" t="n">
        <x:v>100</x:v>
      </x:c>
      <x:c r="W450" s="12" t="str">
        <x:v>positive</x:v>
      </x:c>
      <x:c r="X450" s="12" t="n">
        <x:v>100</x:v>
      </x:c>
      <x:c r="Y450" s="12" t="str">
        <x:v>positive</x:v>
      </x:c>
      <x:c r="Z450" s="12" t="str">
        <x:f>IF(OR(W450="unavailable",Y450="unavailable"),"不可评价",IF(OR(W450="equivocal",Y450="equivocal"),"疑似",IF(AND(W450="positive",Y450="positive"),"a",IF(Y450="positive","b",IF(W450="positive","c","d")))))</x:f>
        <x:v>a</x:v>
      </x:c>
      <x:c r="AA450" s="12" t="str">
        <x:f>IF(OR(M450="unavailable",O450="unavailable"),"不可评价",IF(AND(OR(M450="positive",M450="equivocal"),OR(O450="positive",O450="equivocal")),"a",IF(OR(O450="positive",O450="equivocal"),"b",IF(OR(M450="positive",M450="equivocal"),"c","d"))))</x:f>
        <x:v>d</x:v>
      </x:c>
      <x:c r="AB450" s="12" t="str">
        <x:f>IF(OR(M450="unavailable",O450="unavailable"),"不可评价",IF(AND(M450="positive",O450="positive"),"a",IF(O450="positive","b",IF(M450="positive","c","d"))))</x:f>
        <x:v>d</x:v>
      </x:c>
      <x:c r="AC450" s="12" t="str">
        <x:f>IF(OR(R450="unavailable",T450="unavailable"),"不可评价",IF(AND(OR(R450="positive",R450="equivocal"),OR(T450="positive",T450="equivocal")),"a",IF(OR(T450="positive",T450="equivocal"),"b",IF(OR(R450="positive",R450="equivocal"),"c","d"))))</x:f>
        <x:v>d</x:v>
      </x:c>
      <x:c r="AD450" s="12" t="str">
        <x:f>IF(OR(R450="unavailable",T450="unavailable"),"不可评价",IF(AND(R450="positive",T450="positive"),"a",IF(T450="positive","b",IF(R450="positive","c","d"))))</x:f>
        <x:v>d</x:v>
      </x:c>
      <x:c r="AE450" s="12" t="str">
        <x:f>IF(OR(W450="unavailable",Y450="unavailable"),"不可评价",IF(AND(OR(W450="positive",W450="equivocal"),OR(Y450="positive",Y450="equivocal")),"a",IF(OR(Y450="positive",Y450="equivocal"),"b",IF(OR(W450="positive",W450="equivocal"),"c","d"))))</x:f>
        <x:v>a</x:v>
      </x:c>
      <x:c r="AF450" s="12" t="str">
        <x:f>IF(OR(W450="unavailable",Y450="unavailable"),"不可评价",IF(AND(W450="positive",Y450="positive"),"a",IF(Y450="positive","b",IF(W450="positive","c","d"))))</x:f>
        <x:v>a</x:v>
      </x:c>
    </x:row>
    <x:row r="451" ht="24" customHeight="1">
      <x:c r="A451" s="12" t="str">
        <x:v>3585</x:v>
      </x:c>
      <x:c r="B451" s="12" t="str">
        <x:v>17982</x:v>
      </x:c>
      <x:c r="C451" s="21" t="n">
        <x:v>32815.48792824074</x:v>
      </x:c>
      <x:c r="D451" s="12" t="n">
        <x:v>34</x:v>
      </x:c>
      <x:c r="E451" s="12" t="n">
        <x:v>0</x:v>
      </x:c>
      <x:c r="F451" s="12" t="str">
        <x:v>未记录</x:v>
      </x:c>
      <x:c r="G451" s="12" t="n">
        <x:v>1</x:v>
      </x:c>
      <x:c r="H451" s="12" t="str">
        <x:v>{'NORM': 100.0, 'SR': 0.0}</x:v>
      </x:c>
      <x:c r="I451" s="12" t="str">
        <x:v>[('NSR', 100.0), ('SAR', 100.0), ('NML', 100.0)]</x:v>
      </x:c>
      <x:c r="J451" s="12" t="str">
        <x:v>ptbxl_database.csv；ecg_id=3585；scp_codes</x:v>
      </x:c>
      <x:c r="K451" s="12" t="str">
        <x:v>12sl_statements.csv；ecg_id=3585；statements_ext_snomed</x:v>
      </x:c>
      <x:c r="L451" s="12"/>
      <x:c r="M451" s="12" t="str">
        <x:v>negative</x:v>
      </x:c>
      <x:c r="N451" s="12"/>
      <x:c r="O451" s="12" t="str">
        <x:v>negative</x:v>
      </x:c>
      <x:c r="P451" s="12" t="str">
        <x:f>IF(OR(M451="unavailable",O451="unavailable"),"不可评价",IF(OR(M451="equivocal",O451="equivocal"),"疑似",IF(AND(M451="positive",O451="positive"),"a",IF(O451="positive","b",IF(M451="positive","c","d")))))</x:f>
        <x:v>d</x:v>
      </x:c>
      <x:c r="Q451" s="12"/>
      <x:c r="R451" s="12" t="str">
        <x:v>negative</x:v>
      </x:c>
      <x:c r="S451" s="12"/>
      <x:c r="T451" s="12" t="str">
        <x:v>negative</x:v>
      </x:c>
      <x:c r="U451" s="12" t="str">
        <x:f>IF(OR(R451="unavailable",T451="unavailable"),"不可评价",IF(OR(R451="equivocal",T451="equivocal"),"疑似",IF(AND(R451="positive",T451="positive"),"a",IF(T451="positive","b",IF(R451="positive","c","d")))))</x:f>
        <x:v>d</x:v>
      </x:c>
      <x:c r="V451" s="12"/>
      <x:c r="W451" s="12" t="str">
        <x:v>negative</x:v>
      </x:c>
      <x:c r="X451" s="12"/>
      <x:c r="Y451" s="12" t="str">
        <x:v>negative</x:v>
      </x:c>
      <x:c r="Z451" s="12" t="str">
        <x:f>IF(OR(W451="unavailable",Y451="unavailable"),"不可评价",IF(OR(W451="equivocal",Y451="equivocal"),"疑似",IF(AND(W451="positive",Y451="positive"),"a",IF(Y451="positive","b",IF(W451="positive","c","d")))))</x:f>
        <x:v>d</x:v>
      </x:c>
      <x:c r="AA451" s="12" t="str">
        <x:f>IF(OR(M451="unavailable",O451="unavailable"),"不可评价",IF(AND(OR(M451="positive",M451="equivocal"),OR(O451="positive",O451="equivocal")),"a",IF(OR(O451="positive",O451="equivocal"),"b",IF(OR(M451="positive",M451="equivocal"),"c","d"))))</x:f>
        <x:v>d</x:v>
      </x:c>
      <x:c r="AB451" s="12" t="str">
        <x:f>IF(OR(M451="unavailable",O451="unavailable"),"不可评价",IF(AND(M451="positive",O451="positive"),"a",IF(O451="positive","b",IF(M451="positive","c","d"))))</x:f>
        <x:v>d</x:v>
      </x:c>
      <x:c r="AC451" s="12" t="str">
        <x:f>IF(OR(R451="unavailable",T451="unavailable"),"不可评价",IF(AND(OR(R451="positive",R451="equivocal"),OR(T451="positive",T451="equivocal")),"a",IF(OR(T451="positive",T451="equivocal"),"b",IF(OR(R451="positive",R451="equivocal"),"c","d"))))</x:f>
        <x:v>d</x:v>
      </x:c>
      <x:c r="AD451" s="12" t="str">
        <x:f>IF(OR(R451="unavailable",T451="unavailable"),"不可评价",IF(AND(R451="positive",T451="positive"),"a",IF(T451="positive","b",IF(R451="positive","c","d"))))</x:f>
        <x:v>d</x:v>
      </x:c>
      <x:c r="AE451" s="12" t="str">
        <x:f>IF(OR(W451="unavailable",Y451="unavailable"),"不可评价",IF(AND(OR(W451="positive",W451="equivocal"),OR(Y451="positive",Y451="equivocal")),"a",IF(OR(Y451="positive",Y451="equivocal"),"b",IF(OR(W451="positive",W451="equivocal"),"c","d"))))</x:f>
        <x:v>d</x:v>
      </x:c>
      <x:c r="AF451" s="12" t="str">
        <x:f>IF(OR(W451="unavailable",Y451="unavailable"),"不可评价",IF(AND(W451="positive",Y451="positive"),"a",IF(Y451="positive","b",IF(W451="positive","c","d"))))</x:f>
        <x:v>d</x:v>
      </x:c>
    </x:row>
    <x:row r="452" ht="24" customHeight="1">
      <x:c r="A452" s="12" t="str">
        <x:v>3590</x:v>
      </x:c>
      <x:c r="B452" s="12" t="str">
        <x:v>17915</x:v>
      </x:c>
      <x:c r="C452" s="21" t="n">
        <x:v>32816.41238425926</x:v>
      </x:c>
      <x:c r="D452" s="12" t="n">
        <x:v>80</x:v>
      </x:c>
      <x:c r="E452" s="12" t="n">
        <x:v>0</x:v>
      </x:c>
      <x:c r="F452" s="12" t="str">
        <x:v>未记录</x:v>
      </x:c>
      <x:c r="G452" s="12" t="n">
        <x:v>0</x:v>
      </x:c>
      <x:c r="H452" s="12" t="str">
        <x:v>{'ISCAS': 100.0, 'SR': 0.0}</x:v>
      </x:c>
      <x:c r="I452" s="12" t="str">
        <x:v>[('NSR', 100.0), ('NSTT', 100.0), ('AB', 100.0)]</x:v>
      </x:c>
      <x:c r="J452" s="12" t="str">
        <x:v>ptbxl_database.csv；ecg_id=3590；scp_codes</x:v>
      </x:c>
      <x:c r="K452" s="12" t="str">
        <x:v>12sl_statements.csv；ecg_id=3590；statements_ext_snomed</x:v>
      </x:c>
      <x:c r="L452" s="12"/>
      <x:c r="M452" s="12" t="str">
        <x:v>negative</x:v>
      </x:c>
      <x:c r="N452" s="12"/>
      <x:c r="O452" s="12" t="str">
        <x:v>negative</x:v>
      </x:c>
      <x:c r="P452" s="12" t="str">
        <x:f>IF(OR(M452="unavailable",O452="unavailable"),"不可评价",IF(OR(M452="equivocal",O452="equivocal"),"疑似",IF(AND(M452="positive",O452="positive"),"a",IF(O452="positive","b",IF(M452="positive","c","d")))))</x:f>
        <x:v>d</x:v>
      </x:c>
      <x:c r="Q452" s="12"/>
      <x:c r="R452" s="12" t="str">
        <x:v>negative</x:v>
      </x:c>
      <x:c r="S452" s="12"/>
      <x:c r="T452" s="12" t="str">
        <x:v>negative</x:v>
      </x:c>
      <x:c r="U452" s="12" t="str">
        <x:f>IF(OR(R452="unavailable",T452="unavailable"),"不可评价",IF(OR(R452="equivocal",T452="equivocal"),"疑似",IF(AND(R452="positive",T452="positive"),"a",IF(T452="positive","b",IF(R452="positive","c","d")))))</x:f>
        <x:v>d</x:v>
      </x:c>
      <x:c r="V452" s="12"/>
      <x:c r="W452" s="12" t="str">
        <x:v>negative</x:v>
      </x:c>
      <x:c r="X452" s="12"/>
      <x:c r="Y452" s="12" t="str">
        <x:v>negative</x:v>
      </x:c>
      <x:c r="Z452" s="12" t="str">
        <x:f>IF(OR(W452="unavailable",Y452="unavailable"),"不可评价",IF(OR(W452="equivocal",Y452="equivocal"),"疑似",IF(AND(W452="positive",Y452="positive"),"a",IF(Y452="positive","b",IF(W452="positive","c","d")))))</x:f>
        <x:v>d</x:v>
      </x:c>
      <x:c r="AA452" s="12" t="str">
        <x:f>IF(OR(M452="unavailable",O452="unavailable"),"不可评价",IF(AND(OR(M452="positive",M452="equivocal"),OR(O452="positive",O452="equivocal")),"a",IF(OR(O452="positive",O452="equivocal"),"b",IF(OR(M452="positive",M452="equivocal"),"c","d"))))</x:f>
        <x:v>d</x:v>
      </x:c>
      <x:c r="AB452" s="12" t="str">
        <x:f>IF(OR(M452="unavailable",O452="unavailable"),"不可评价",IF(AND(M452="positive",O452="positive"),"a",IF(O452="positive","b",IF(M452="positive","c","d"))))</x:f>
        <x:v>d</x:v>
      </x:c>
      <x:c r="AC452" s="12" t="str">
        <x:f>IF(OR(R452="unavailable",T452="unavailable"),"不可评价",IF(AND(OR(R452="positive",R452="equivocal"),OR(T452="positive",T452="equivocal")),"a",IF(OR(T452="positive",T452="equivocal"),"b",IF(OR(R452="positive",R452="equivocal"),"c","d"))))</x:f>
        <x:v>d</x:v>
      </x:c>
      <x:c r="AD452" s="12" t="str">
        <x:f>IF(OR(R452="unavailable",T452="unavailable"),"不可评价",IF(AND(R452="positive",T452="positive"),"a",IF(T452="positive","b",IF(R452="positive","c","d"))))</x:f>
        <x:v>d</x:v>
      </x:c>
      <x:c r="AE452" s="12" t="str">
        <x:f>IF(OR(W452="unavailable",Y452="unavailable"),"不可评价",IF(AND(OR(W452="positive",W452="equivocal"),OR(Y452="positive",Y452="equivocal")),"a",IF(OR(Y452="positive",Y452="equivocal"),"b",IF(OR(W452="positive",W452="equivocal"),"c","d"))))</x:f>
        <x:v>d</x:v>
      </x:c>
      <x:c r="AF452" s="12" t="str">
        <x:f>IF(OR(W452="unavailable",Y452="unavailable"),"不可评价",IF(AND(W452="positive",Y452="positive"),"a",IF(Y452="positive","b",IF(W452="positive","c","d"))))</x:f>
        <x:v>d</x:v>
      </x:c>
    </x:row>
    <x:row r="453" ht="24" customHeight="1">
      <x:c r="A453" s="12" t="str">
        <x:v>3600</x:v>
      </x:c>
      <x:c r="B453" s="12" t="str">
        <x:v>16869</x:v>
      </x:c>
      <x:c r="C453" s="21" t="n">
        <x:v>32825.41939814815</x:v>
      </x:c>
      <x:c r="D453" s="12" t="n">
        <x:v>60</x:v>
      </x:c>
      <x:c r="E453" s="12" t="n">
        <x:v>0</x:v>
      </x:c>
      <x:c r="F453" s="12" t="str">
        <x:v>未记录</x:v>
      </x:c>
      <x:c r="G453" s="12" t="n">
        <x:v>1</x:v>
      </x:c>
      <x:c r="H453" s="12" t="str">
        <x:v>{'IMI': 35.0, 'ABQRS': 0.0, 'SR': 0.0}</x:v>
      </x:c>
      <x:c r="I453" s="12" t="str">
        <x:v>[('NSR', 100.0), ('IMI;AU', 50.0), ('AB', 100.0)]</x:v>
      </x:c>
      <x:c r="J453" s="12" t="str">
        <x:v>ptbxl_database.csv；ecg_id=3600；scp_codes</x:v>
      </x:c>
      <x:c r="K453" s="12" t="str">
        <x:v>12sl_statements.csv；ecg_id=3600；statements_ext_snomed</x:v>
      </x:c>
      <x:c r="L453" s="12"/>
      <x:c r="M453" s="12" t="str">
        <x:v>negative</x:v>
      </x:c>
      <x:c r="N453" s="12"/>
      <x:c r="O453" s="12" t="str">
        <x:v>negative</x:v>
      </x:c>
      <x:c r="P453" s="12" t="str">
        <x:f>IF(OR(M453="unavailable",O453="unavailable"),"不可评价",IF(OR(M453="equivocal",O453="equivocal"),"疑似",IF(AND(M453="positive",O453="positive"),"a",IF(O453="positive","b",IF(M453="positive","c","d")))))</x:f>
        <x:v>d</x:v>
      </x:c>
      <x:c r="Q453" s="12"/>
      <x:c r="R453" s="12" t="str">
        <x:v>negative</x:v>
      </x:c>
      <x:c r="S453" s="12"/>
      <x:c r="T453" s="12" t="str">
        <x:v>negative</x:v>
      </x:c>
      <x:c r="U453" s="12" t="str">
        <x:f>IF(OR(R453="unavailable",T453="unavailable"),"不可评价",IF(OR(R453="equivocal",T453="equivocal"),"疑似",IF(AND(R453="positive",T453="positive"),"a",IF(T453="positive","b",IF(R453="positive","c","d")))))</x:f>
        <x:v>d</x:v>
      </x:c>
      <x:c r="V453" s="12"/>
      <x:c r="W453" s="12" t="str">
        <x:v>negative</x:v>
      </x:c>
      <x:c r="X453" s="12"/>
      <x:c r="Y453" s="12" t="str">
        <x:v>negative</x:v>
      </x:c>
      <x:c r="Z453" s="12" t="str">
        <x:f>IF(OR(W453="unavailable",Y453="unavailable"),"不可评价",IF(OR(W453="equivocal",Y453="equivocal"),"疑似",IF(AND(W453="positive",Y453="positive"),"a",IF(Y453="positive","b",IF(W453="positive","c","d")))))</x:f>
        <x:v>d</x:v>
      </x:c>
      <x:c r="AA453" s="12" t="str">
        <x:f>IF(OR(M453="unavailable",O453="unavailable"),"不可评价",IF(AND(OR(M453="positive",M453="equivocal"),OR(O453="positive",O453="equivocal")),"a",IF(OR(O453="positive",O453="equivocal"),"b",IF(OR(M453="positive",M453="equivocal"),"c","d"))))</x:f>
        <x:v>d</x:v>
      </x:c>
      <x:c r="AB453" s="12" t="str">
        <x:f>IF(OR(M453="unavailable",O453="unavailable"),"不可评价",IF(AND(M453="positive",O453="positive"),"a",IF(O453="positive","b",IF(M453="positive","c","d"))))</x:f>
        <x:v>d</x:v>
      </x:c>
      <x:c r="AC453" s="12" t="str">
        <x:f>IF(OR(R453="unavailable",T453="unavailable"),"不可评价",IF(AND(OR(R453="positive",R453="equivocal"),OR(T453="positive",T453="equivocal")),"a",IF(OR(T453="positive",T453="equivocal"),"b",IF(OR(R453="positive",R453="equivocal"),"c","d"))))</x:f>
        <x:v>d</x:v>
      </x:c>
      <x:c r="AD453" s="12" t="str">
        <x:f>IF(OR(R453="unavailable",T453="unavailable"),"不可评价",IF(AND(R453="positive",T453="positive"),"a",IF(T453="positive","b",IF(R453="positive","c","d"))))</x:f>
        <x:v>d</x:v>
      </x:c>
      <x:c r="AE453" s="12" t="str">
        <x:f>IF(OR(W453="unavailable",Y453="unavailable"),"不可评价",IF(AND(OR(W453="positive",W453="equivocal"),OR(Y453="positive",Y453="equivocal")),"a",IF(OR(Y453="positive",Y453="equivocal"),"b",IF(OR(W453="positive",W453="equivocal"),"c","d"))))</x:f>
        <x:v>d</x:v>
      </x:c>
      <x:c r="AF453" s="12" t="str">
        <x:f>IF(OR(W453="unavailable",Y453="unavailable"),"不可评价",IF(AND(W453="positive",Y453="positive"),"a",IF(Y453="positive","b",IF(W453="positive","c","d"))))</x:f>
        <x:v>d</x:v>
      </x:c>
    </x:row>
    <x:row r="454" ht="24" customHeight="1">
      <x:c r="A454" s="12" t="str">
        <x:v>3603</x:v>
      </x:c>
      <x:c r="B454" s="12" t="str">
        <x:v>19762</x:v>
      </x:c>
      <x:c r="C454" s="21" t="n">
        <x:v>32828.54630787037</x:v>
      </x:c>
      <x:c r="D454" s="12" t="n">
        <x:v>68</x:v>
      </x:c>
      <x:c r="E454" s="12" t="n">
        <x:v>1</x:v>
      </x:c>
      <x:c r="F454" s="12" t="str">
        <x:v>存在</x:v>
      </x:c>
      <x:c r="G454" s="12" t="n">
        <x:v>1</x:v>
      </x:c>
      <x:c r="H454" s="12" t="str">
        <x:v>{'LVH': 35.0, 'SARRH': 0.0}</x:v>
      </x:c>
      <x:c r="I454" s="12" t="str">
        <x:v>[('NSR', 100.0), ('SAR', 100.0), ('LAE', 50.0), ('BORDE', 100.0)]</x:v>
      </x:c>
      <x:c r="J454" s="12" t="str">
        <x:v>ptbxl_database.csv；ecg_id=3603；scp_codes</x:v>
      </x:c>
      <x:c r="K454" s="12" t="str">
        <x:v>12sl_statements.csv；ecg_id=3603；statements_ext_snomed</x:v>
      </x:c>
      <x:c r="L454" s="12"/>
      <x:c r="M454" s="12" t="str">
        <x:v>negative</x:v>
      </x:c>
      <x:c r="N454" s="12"/>
      <x:c r="O454" s="12" t="str">
        <x:v>negative</x:v>
      </x:c>
      <x:c r="P454" s="12" t="str">
        <x:f>IF(OR(M454="unavailable",O454="unavailable"),"不可评价",IF(OR(M454="equivocal",O454="equivocal"),"疑似",IF(AND(M454="positive",O454="positive"),"a",IF(O454="positive","b",IF(M454="positive","c","d")))))</x:f>
        <x:v>d</x:v>
      </x:c>
      <x:c r="Q454" s="12"/>
      <x:c r="R454" s="12" t="str">
        <x:v>negative</x:v>
      </x:c>
      <x:c r="S454" s="12"/>
      <x:c r="T454" s="12" t="str">
        <x:v>negative</x:v>
      </x:c>
      <x:c r="U454" s="12" t="str">
        <x:f>IF(OR(R454="unavailable",T454="unavailable"),"不可评价",IF(OR(R454="equivocal",T454="equivocal"),"疑似",IF(AND(R454="positive",T454="positive"),"a",IF(T454="positive","b",IF(R454="positive","c","d")))))</x:f>
        <x:v>d</x:v>
      </x:c>
      <x:c r="V454" s="12"/>
      <x:c r="W454" s="12" t="str">
        <x:v>negative</x:v>
      </x:c>
      <x:c r="X454" s="12"/>
      <x:c r="Y454" s="12" t="str">
        <x:v>negative</x:v>
      </x:c>
      <x:c r="Z454" s="12" t="str">
        <x:f>IF(OR(W454="unavailable",Y454="unavailable"),"不可评价",IF(OR(W454="equivocal",Y454="equivocal"),"疑似",IF(AND(W454="positive",Y454="positive"),"a",IF(Y454="positive","b",IF(W454="positive","c","d")))))</x:f>
        <x:v>d</x:v>
      </x:c>
      <x:c r="AA454" s="12" t="str">
        <x:f>IF(OR(M454="unavailable",O454="unavailable"),"不可评价",IF(AND(OR(M454="positive",M454="equivocal"),OR(O454="positive",O454="equivocal")),"a",IF(OR(O454="positive",O454="equivocal"),"b",IF(OR(M454="positive",M454="equivocal"),"c","d"))))</x:f>
        <x:v>d</x:v>
      </x:c>
      <x:c r="AB454" s="12" t="str">
        <x:f>IF(OR(M454="unavailable",O454="unavailable"),"不可评价",IF(AND(M454="positive",O454="positive"),"a",IF(O454="positive","b",IF(M454="positive","c","d"))))</x:f>
        <x:v>d</x:v>
      </x:c>
      <x:c r="AC454" s="12" t="str">
        <x:f>IF(OR(R454="unavailable",T454="unavailable"),"不可评价",IF(AND(OR(R454="positive",R454="equivocal"),OR(T454="positive",T454="equivocal")),"a",IF(OR(T454="positive",T454="equivocal"),"b",IF(OR(R454="positive",R454="equivocal"),"c","d"))))</x:f>
        <x:v>d</x:v>
      </x:c>
      <x:c r="AD454" s="12" t="str">
        <x:f>IF(OR(R454="unavailable",T454="unavailable"),"不可评价",IF(AND(R454="positive",T454="positive"),"a",IF(T454="positive","b",IF(R454="positive","c","d"))))</x:f>
        <x:v>d</x:v>
      </x:c>
      <x:c r="AE454" s="12" t="str">
        <x:f>IF(OR(W454="unavailable",Y454="unavailable"),"不可评价",IF(AND(OR(W454="positive",W454="equivocal"),OR(Y454="positive",Y454="equivocal")),"a",IF(OR(Y454="positive",Y454="equivocal"),"b",IF(OR(W454="positive",W454="equivocal"),"c","d"))))</x:f>
        <x:v>d</x:v>
      </x:c>
      <x:c r="AF454" s="12" t="str">
        <x:f>IF(OR(W454="unavailable",Y454="unavailable"),"不可评价",IF(AND(W454="positive",Y454="positive"),"a",IF(Y454="positive","b",IF(W454="positive","c","d"))))</x:f>
        <x:v>d</x:v>
      </x:c>
    </x:row>
    <x:row r="455" ht="24" customHeight="1">
      <x:c r="A455" s="12" t="str">
        <x:v>3606</x:v>
      </x:c>
      <x:c r="B455" s="12" t="str">
        <x:v>14506</x:v>
      </x:c>
      <x:c r="C455" s="21" t="n">
        <x:v>32829.687939814816</x:v>
      </x:c>
      <x:c r="D455" s="12" t="n">
        <x:v>55</x:v>
      </x:c>
      <x:c r="E455" s="12" t="n">
        <x:v>1</x:v>
      </x:c>
      <x:c r="F455" s="12" t="str">
        <x:v>未记录</x:v>
      </x:c>
      <x:c r="G455" s="12" t="n">
        <x:v>1</x:v>
      </x:c>
      <x:c r="H455" s="12" t="str">
        <x:v>{'ASMI': 100.0, 'LVH': 50.0, 'ABQRS': 0.0, 'SR': 0.0}</x:v>
      </x:c>
      <x:c r="I455" s="12" t="str">
        <x:v>[('NSR', 100.0), ('NST', 100.0), ('AB', 100.0)]</x:v>
      </x:c>
      <x:c r="J455" s="12" t="str">
        <x:v>ptbxl_database.csv；ecg_id=3606；scp_codes</x:v>
      </x:c>
      <x:c r="K455" s="12" t="str">
        <x:v>12sl_statements.csv；ecg_id=3606；statements_ext_snomed</x:v>
      </x:c>
      <x:c r="L455" s="12"/>
      <x:c r="M455" s="12" t="str">
        <x:v>negative</x:v>
      </x:c>
      <x:c r="N455" s="12"/>
      <x:c r="O455" s="12" t="str">
        <x:v>negative</x:v>
      </x:c>
      <x:c r="P455" s="12" t="str">
        <x:f>IF(OR(M455="unavailable",O455="unavailable"),"不可评价",IF(OR(M455="equivocal",O455="equivocal"),"疑似",IF(AND(M455="positive",O455="positive"),"a",IF(O455="positive","b",IF(M455="positive","c","d")))))</x:f>
        <x:v>d</x:v>
      </x:c>
      <x:c r="Q455" s="12"/>
      <x:c r="R455" s="12" t="str">
        <x:v>negative</x:v>
      </x:c>
      <x:c r="S455" s="12"/>
      <x:c r="T455" s="12" t="str">
        <x:v>negative</x:v>
      </x:c>
      <x:c r="U455" s="12" t="str">
        <x:f>IF(OR(R455="unavailable",T455="unavailable"),"不可评价",IF(OR(R455="equivocal",T455="equivocal"),"疑似",IF(AND(R455="positive",T455="positive"),"a",IF(T455="positive","b",IF(R455="positive","c","d")))))</x:f>
        <x:v>d</x:v>
      </x:c>
      <x:c r="V455" s="12"/>
      <x:c r="W455" s="12" t="str">
        <x:v>negative</x:v>
      </x:c>
      <x:c r="X455" s="12"/>
      <x:c r="Y455" s="12" t="str">
        <x:v>negative</x:v>
      </x:c>
      <x:c r="Z455" s="12" t="str">
        <x:f>IF(OR(W455="unavailable",Y455="unavailable"),"不可评价",IF(OR(W455="equivocal",Y455="equivocal"),"疑似",IF(AND(W455="positive",Y455="positive"),"a",IF(Y455="positive","b",IF(W455="positive","c","d")))))</x:f>
        <x:v>d</x:v>
      </x:c>
      <x:c r="AA455" s="12" t="str">
        <x:f>IF(OR(M455="unavailable",O455="unavailable"),"不可评价",IF(AND(OR(M455="positive",M455="equivocal"),OR(O455="positive",O455="equivocal")),"a",IF(OR(O455="positive",O455="equivocal"),"b",IF(OR(M455="positive",M455="equivocal"),"c","d"))))</x:f>
        <x:v>d</x:v>
      </x:c>
      <x:c r="AB455" s="12" t="str">
        <x:f>IF(OR(M455="unavailable",O455="unavailable"),"不可评价",IF(AND(M455="positive",O455="positive"),"a",IF(O455="positive","b",IF(M455="positive","c","d"))))</x:f>
        <x:v>d</x:v>
      </x:c>
      <x:c r="AC455" s="12" t="str">
        <x:f>IF(OR(R455="unavailable",T455="unavailable"),"不可评价",IF(AND(OR(R455="positive",R455="equivocal"),OR(T455="positive",T455="equivocal")),"a",IF(OR(T455="positive",T455="equivocal"),"b",IF(OR(R455="positive",R455="equivocal"),"c","d"))))</x:f>
        <x:v>d</x:v>
      </x:c>
      <x:c r="AD455" s="12" t="str">
        <x:f>IF(OR(R455="unavailable",T455="unavailable"),"不可评价",IF(AND(R455="positive",T455="positive"),"a",IF(T455="positive","b",IF(R455="positive","c","d"))))</x:f>
        <x:v>d</x:v>
      </x:c>
      <x:c r="AE455" s="12" t="str">
        <x:f>IF(OR(W455="unavailable",Y455="unavailable"),"不可评价",IF(AND(OR(W455="positive",W455="equivocal"),OR(Y455="positive",Y455="equivocal")),"a",IF(OR(Y455="positive",Y455="equivocal"),"b",IF(OR(W455="positive",W455="equivocal"),"c","d"))))</x:f>
        <x:v>d</x:v>
      </x:c>
      <x:c r="AF455" s="12" t="str">
        <x:f>IF(OR(W455="unavailable",Y455="unavailable"),"不可评价",IF(AND(W455="positive",Y455="positive"),"a",IF(Y455="positive","b",IF(W455="positive","c","d"))))</x:f>
        <x:v>d</x:v>
      </x:c>
    </x:row>
    <x:row r="456" ht="24" customHeight="1">
      <x:c r="A456" s="12" t="str">
        <x:v>3610</x:v>
      </x:c>
      <x:c r="B456" s="12" t="str">
        <x:v>18375</x:v>
      </x:c>
      <x:c r="C456" s="21" t="n">
        <x:v>32831.7959837963</x:v>
      </x:c>
      <x:c r="D456" s="12" t="n">
        <x:v>47</x:v>
      </x:c>
      <x:c r="E456" s="12" t="n">
        <x:v>0</x:v>
      </x:c>
      <x:c r="F456" s="12" t="str">
        <x:v>未记录</x:v>
      </x:c>
      <x:c r="G456" s="12" t="n">
        <x:v>1</x:v>
      </x:c>
      <x:c r="H456" s="12" t="str">
        <x:v>{'IMI': 50.0, 'ABQRS': 0.0, 'SR': 0.0}</x:v>
      </x:c>
      <x:c r="I456" s="12" t="str">
        <x:v>[('NSR', 100.0), ('LAE', 50.0), ('IMI;AU', 50.0), ('AB', 100.0)]</x:v>
      </x:c>
      <x:c r="J456" s="12" t="str">
        <x:v>ptbxl_database.csv；ecg_id=3610；scp_codes</x:v>
      </x:c>
      <x:c r="K456" s="12" t="str">
        <x:v>12sl_statements.csv；ecg_id=3610；statements_ext_snomed</x:v>
      </x:c>
      <x:c r="L456" s="12"/>
      <x:c r="M456" s="12" t="str">
        <x:v>negative</x:v>
      </x:c>
      <x:c r="N456" s="12"/>
      <x:c r="O456" s="12" t="str">
        <x:v>negative</x:v>
      </x:c>
      <x:c r="P456" s="12" t="str">
        <x:f>IF(OR(M456="unavailable",O456="unavailable"),"不可评价",IF(OR(M456="equivocal",O456="equivocal"),"疑似",IF(AND(M456="positive",O456="positive"),"a",IF(O456="positive","b",IF(M456="positive","c","d")))))</x:f>
        <x:v>d</x:v>
      </x:c>
      <x:c r="Q456" s="12"/>
      <x:c r="R456" s="12" t="str">
        <x:v>negative</x:v>
      </x:c>
      <x:c r="S456" s="12"/>
      <x:c r="T456" s="12" t="str">
        <x:v>negative</x:v>
      </x:c>
      <x:c r="U456" s="12" t="str">
        <x:f>IF(OR(R456="unavailable",T456="unavailable"),"不可评价",IF(OR(R456="equivocal",T456="equivocal"),"疑似",IF(AND(R456="positive",T456="positive"),"a",IF(T456="positive","b",IF(R456="positive","c","d")))))</x:f>
        <x:v>d</x:v>
      </x:c>
      <x:c r="V456" s="12"/>
      <x:c r="W456" s="12" t="str">
        <x:v>negative</x:v>
      </x:c>
      <x:c r="X456" s="12"/>
      <x:c r="Y456" s="12" t="str">
        <x:v>negative</x:v>
      </x:c>
      <x:c r="Z456" s="12" t="str">
        <x:f>IF(OR(W456="unavailable",Y456="unavailable"),"不可评价",IF(OR(W456="equivocal",Y456="equivocal"),"疑似",IF(AND(W456="positive",Y456="positive"),"a",IF(Y456="positive","b",IF(W456="positive","c","d")))))</x:f>
        <x:v>d</x:v>
      </x:c>
      <x:c r="AA456" s="12" t="str">
        <x:f>IF(OR(M456="unavailable",O456="unavailable"),"不可评价",IF(AND(OR(M456="positive",M456="equivocal"),OR(O456="positive",O456="equivocal")),"a",IF(OR(O456="positive",O456="equivocal"),"b",IF(OR(M456="positive",M456="equivocal"),"c","d"))))</x:f>
        <x:v>d</x:v>
      </x:c>
      <x:c r="AB456" s="12" t="str">
        <x:f>IF(OR(M456="unavailable",O456="unavailable"),"不可评价",IF(AND(M456="positive",O456="positive"),"a",IF(O456="positive","b",IF(M456="positive","c","d"))))</x:f>
        <x:v>d</x:v>
      </x:c>
      <x:c r="AC456" s="12" t="str">
        <x:f>IF(OR(R456="unavailable",T456="unavailable"),"不可评价",IF(AND(OR(R456="positive",R456="equivocal"),OR(T456="positive",T456="equivocal")),"a",IF(OR(T456="positive",T456="equivocal"),"b",IF(OR(R456="positive",R456="equivocal"),"c","d"))))</x:f>
        <x:v>d</x:v>
      </x:c>
      <x:c r="AD456" s="12" t="str">
        <x:f>IF(OR(R456="unavailable",T456="unavailable"),"不可评价",IF(AND(R456="positive",T456="positive"),"a",IF(T456="positive","b",IF(R456="positive","c","d"))))</x:f>
        <x:v>d</x:v>
      </x:c>
      <x:c r="AE456" s="12" t="str">
        <x:f>IF(OR(W456="unavailable",Y456="unavailable"),"不可评价",IF(AND(OR(W456="positive",W456="equivocal"),OR(Y456="positive",Y456="equivocal")),"a",IF(OR(Y456="positive",Y456="equivocal"),"b",IF(OR(W456="positive",W456="equivocal"),"c","d"))))</x:f>
        <x:v>d</x:v>
      </x:c>
      <x:c r="AF456" s="12" t="str">
        <x:f>IF(OR(W456="unavailable",Y456="unavailable"),"不可评价",IF(AND(W456="positive",Y456="positive"),"a",IF(Y456="positive","b",IF(W456="positive","c","d"))))</x:f>
        <x:v>d</x:v>
      </x:c>
    </x:row>
    <x:row r="457" ht="24" customHeight="1">
      <x:c r="A457" s="12" t="str">
        <x:v>3612</x:v>
      </x:c>
      <x:c r="B457" s="12" t="str">
        <x:v>19444</x:v>
      </x:c>
      <x:c r="C457" s="21" t="n">
        <x:v>32834.414606481485</x:v>
      </x:c>
      <x:c r="D457" s="12" t="n">
        <x:v>65</x:v>
      </x:c>
      <x:c r="E457" s="12" t="n">
        <x:v>1</x:v>
      </x:c>
      <x:c r="F457" s="12" t="str">
        <x:v>存在</x:v>
      </x:c>
      <x:c r="G457" s="12" t="n">
        <x:v>1</x:v>
      </x:c>
      <x:c r="H457" s="12" t="str">
        <x:v>{'NST_': 100.0, 'SR': 0.0}</x:v>
      </x:c>
      <x:c r="I457" s="12" t="str">
        <x:v>[('NSR', 100.0), ('NST', 100.0), ('AB', 100.0)]</x:v>
      </x:c>
      <x:c r="J457" s="12" t="str">
        <x:v>ptbxl_database.csv；ecg_id=3612；scp_codes</x:v>
      </x:c>
      <x:c r="K457" s="12" t="str">
        <x:v>12sl_statements.csv；ecg_id=3612；statements_ext_snomed</x:v>
      </x:c>
      <x:c r="L457" s="12"/>
      <x:c r="M457" s="12" t="str">
        <x:v>negative</x:v>
      </x:c>
      <x:c r="N457" s="12"/>
      <x:c r="O457" s="12" t="str">
        <x:v>negative</x:v>
      </x:c>
      <x:c r="P457" s="12" t="str">
        <x:f>IF(OR(M457="unavailable",O457="unavailable"),"不可评价",IF(OR(M457="equivocal",O457="equivocal"),"疑似",IF(AND(M457="positive",O457="positive"),"a",IF(O457="positive","b",IF(M457="positive","c","d")))))</x:f>
        <x:v>d</x:v>
      </x:c>
      <x:c r="Q457" s="12"/>
      <x:c r="R457" s="12" t="str">
        <x:v>negative</x:v>
      </x:c>
      <x:c r="S457" s="12"/>
      <x:c r="T457" s="12" t="str">
        <x:v>negative</x:v>
      </x:c>
      <x:c r="U457" s="12" t="str">
        <x:f>IF(OR(R457="unavailable",T457="unavailable"),"不可评价",IF(OR(R457="equivocal",T457="equivocal"),"疑似",IF(AND(R457="positive",T457="positive"),"a",IF(T457="positive","b",IF(R457="positive","c","d")))))</x:f>
        <x:v>d</x:v>
      </x:c>
      <x:c r="V457" s="12"/>
      <x:c r="W457" s="12" t="str">
        <x:v>negative</x:v>
      </x:c>
      <x:c r="X457" s="12"/>
      <x:c r="Y457" s="12" t="str">
        <x:v>negative</x:v>
      </x:c>
      <x:c r="Z457" s="12" t="str">
        <x:f>IF(OR(W457="unavailable",Y457="unavailable"),"不可评价",IF(OR(W457="equivocal",Y457="equivocal"),"疑似",IF(AND(W457="positive",Y457="positive"),"a",IF(Y457="positive","b",IF(W457="positive","c","d")))))</x:f>
        <x:v>d</x:v>
      </x:c>
      <x:c r="AA457" s="12" t="str">
        <x:f>IF(OR(M457="unavailable",O457="unavailable"),"不可评价",IF(AND(OR(M457="positive",M457="equivocal"),OR(O457="positive",O457="equivocal")),"a",IF(OR(O457="positive",O457="equivocal"),"b",IF(OR(M457="positive",M457="equivocal"),"c","d"))))</x:f>
        <x:v>d</x:v>
      </x:c>
      <x:c r="AB457" s="12" t="str">
        <x:f>IF(OR(M457="unavailable",O457="unavailable"),"不可评价",IF(AND(M457="positive",O457="positive"),"a",IF(O457="positive","b",IF(M457="positive","c","d"))))</x:f>
        <x:v>d</x:v>
      </x:c>
      <x:c r="AC457" s="12" t="str">
        <x:f>IF(OR(R457="unavailable",T457="unavailable"),"不可评价",IF(AND(OR(R457="positive",R457="equivocal"),OR(T457="positive",T457="equivocal")),"a",IF(OR(T457="positive",T457="equivocal"),"b",IF(OR(R457="positive",R457="equivocal"),"c","d"))))</x:f>
        <x:v>d</x:v>
      </x:c>
      <x:c r="AD457" s="12" t="str">
        <x:f>IF(OR(R457="unavailable",T457="unavailable"),"不可评价",IF(AND(R457="positive",T457="positive"),"a",IF(T457="positive","b",IF(R457="positive","c","d"))))</x:f>
        <x:v>d</x:v>
      </x:c>
      <x:c r="AE457" s="12" t="str">
        <x:f>IF(OR(W457="unavailable",Y457="unavailable"),"不可评价",IF(AND(OR(W457="positive",W457="equivocal"),OR(Y457="positive",Y457="equivocal")),"a",IF(OR(Y457="positive",Y457="equivocal"),"b",IF(OR(W457="positive",W457="equivocal"),"c","d"))))</x:f>
        <x:v>d</x:v>
      </x:c>
      <x:c r="AF457" s="12" t="str">
        <x:f>IF(OR(W457="unavailable",Y457="unavailable"),"不可评价",IF(AND(W457="positive",Y457="positive"),"a",IF(Y457="positive","b",IF(W457="positive","c","d"))))</x:f>
        <x:v>d</x:v>
      </x:c>
    </x:row>
    <x:row r="458" ht="24" customHeight="1">
      <x:c r="A458" s="12" t="str">
        <x:v>3613</x:v>
      </x:c>
      <x:c r="B458" s="12" t="str">
        <x:v>20724</x:v>
      </x:c>
      <x:c r="C458" s="21" t="n">
        <x:v>32834.60273148148</x:v>
      </x:c>
      <x:c r="D458" s="12" t="n">
        <x:v>73</x:v>
      </x:c>
      <x:c r="E458" s="12" t="n">
        <x:v>0</x:v>
      </x:c>
      <x:c r="F458" s="12" t="str">
        <x:v>存在</x:v>
      </x:c>
      <x:c r="G458" s="12" t="n">
        <x:v>1</x:v>
      </x:c>
      <x:c r="H458" s="12" t="str">
        <x:v>{'ILMI': 100.0, 'IVCD': 100.0, 'SR': 0.0}</x:v>
      </x:c>
      <x:c r="I458" s="12" t="str">
        <x:v>[('SBRAD', 100.0), ('PVC', 100.0), ('PAC', 100.0), ('IMI;AU', 100.0), ('AB', 100.0)]</x:v>
      </x:c>
      <x:c r="J458" s="12" t="str">
        <x:v>ptbxl_database.csv；ecg_id=3613；scp_codes</x:v>
      </x:c>
      <x:c r="K458" s="12" t="str">
        <x:v>12sl_statements.csv；ecg_id=3613；statements_ext_snomed</x:v>
      </x:c>
      <x:c r="L458" s="12"/>
      <x:c r="M458" s="12" t="str">
        <x:v>negative</x:v>
      </x:c>
      <x:c r="N458" s="12"/>
      <x:c r="O458" s="12" t="str">
        <x:v>negative</x:v>
      </x:c>
      <x:c r="P458" s="12" t="str">
        <x:f>IF(OR(M458="unavailable",O458="unavailable"),"不可评价",IF(OR(M458="equivocal",O458="equivocal"),"疑似",IF(AND(M458="positive",O458="positive"),"a",IF(O458="positive","b",IF(M458="positive","c","d")))))</x:f>
        <x:v>d</x:v>
      </x:c>
      <x:c r="Q458" s="12"/>
      <x:c r="R458" s="12" t="str">
        <x:v>negative</x:v>
      </x:c>
      <x:c r="S458" s="12"/>
      <x:c r="T458" s="12" t="str">
        <x:v>negative</x:v>
      </x:c>
      <x:c r="U458" s="12" t="str">
        <x:f>IF(OR(R458="unavailable",T458="unavailable"),"不可评价",IF(OR(R458="equivocal",T458="equivocal"),"疑似",IF(AND(R458="positive",T458="positive"),"a",IF(T458="positive","b",IF(R458="positive","c","d")))))</x:f>
        <x:v>d</x:v>
      </x:c>
      <x:c r="V458" s="12"/>
      <x:c r="W458" s="12" t="str">
        <x:v>negative</x:v>
      </x:c>
      <x:c r="X458" s="12"/>
      <x:c r="Y458" s="12" t="str">
        <x:v>negative</x:v>
      </x:c>
      <x:c r="Z458" s="12" t="str">
        <x:f>IF(OR(W458="unavailable",Y458="unavailable"),"不可评价",IF(OR(W458="equivocal",Y458="equivocal"),"疑似",IF(AND(W458="positive",Y458="positive"),"a",IF(Y458="positive","b",IF(W458="positive","c","d")))))</x:f>
        <x:v>d</x:v>
      </x:c>
      <x:c r="AA458" s="12" t="str">
        <x:f>IF(OR(M458="unavailable",O458="unavailable"),"不可评价",IF(AND(OR(M458="positive",M458="equivocal"),OR(O458="positive",O458="equivocal")),"a",IF(OR(O458="positive",O458="equivocal"),"b",IF(OR(M458="positive",M458="equivocal"),"c","d"))))</x:f>
        <x:v>d</x:v>
      </x:c>
      <x:c r="AB458" s="12" t="str">
        <x:f>IF(OR(M458="unavailable",O458="unavailable"),"不可评价",IF(AND(M458="positive",O458="positive"),"a",IF(O458="positive","b",IF(M458="positive","c","d"))))</x:f>
        <x:v>d</x:v>
      </x:c>
      <x:c r="AC458" s="12" t="str">
        <x:f>IF(OR(R458="unavailable",T458="unavailable"),"不可评价",IF(AND(OR(R458="positive",R458="equivocal"),OR(T458="positive",T458="equivocal")),"a",IF(OR(T458="positive",T458="equivocal"),"b",IF(OR(R458="positive",R458="equivocal"),"c","d"))))</x:f>
        <x:v>d</x:v>
      </x:c>
      <x:c r="AD458" s="12" t="str">
        <x:f>IF(OR(R458="unavailable",T458="unavailable"),"不可评价",IF(AND(R458="positive",T458="positive"),"a",IF(T458="positive","b",IF(R458="positive","c","d"))))</x:f>
        <x:v>d</x:v>
      </x:c>
      <x:c r="AE458" s="12" t="str">
        <x:f>IF(OR(W458="unavailable",Y458="unavailable"),"不可评价",IF(AND(OR(W458="positive",W458="equivocal"),OR(Y458="positive",Y458="equivocal")),"a",IF(OR(Y458="positive",Y458="equivocal"),"b",IF(OR(W458="positive",W458="equivocal"),"c","d"))))</x:f>
        <x:v>d</x:v>
      </x:c>
      <x:c r="AF458" s="12" t="str">
        <x:f>IF(OR(W458="unavailable",Y458="unavailable"),"不可评价",IF(AND(W458="positive",Y458="positive"),"a",IF(Y458="positive","b",IF(W458="positive","c","d"))))</x:f>
        <x:v>d</x:v>
      </x:c>
    </x:row>
    <x:row r="459" ht="24" customHeight="1">
      <x:c r="A459" s="12" t="str">
        <x:v>3615</x:v>
      </x:c>
      <x:c r="B459" s="12" t="str">
        <x:v>20386</x:v>
      </x:c>
      <x:c r="C459" s="21" t="n">
        <x:v>32835.392696759256</x:v>
      </x:c>
      <x:c r="D459" s="12" t="n">
        <x:v>71</x:v>
      </x:c>
      <x:c r="E459" s="12" t="n">
        <x:v>0</x:v>
      </x:c>
      <x:c r="F459" s="12" t="str">
        <x:v>未记录</x:v>
      </x:c>
      <x:c r="G459" s="12" t="n">
        <x:v>0</x:v>
      </x:c>
      <x:c r="H459" s="12" t="str">
        <x:v>{'NORM': 100.0, 'SR': 0.0}</x:v>
      </x:c>
      <x:c r="I459" s="12" t="str">
        <x:v>[('NSR', 100.0), ('NML', 100.0)]</x:v>
      </x:c>
      <x:c r="J459" s="12" t="str">
        <x:v>ptbxl_database.csv；ecg_id=3615；scp_codes</x:v>
      </x:c>
      <x:c r="K459" s="12" t="str">
        <x:v>12sl_statements.csv；ecg_id=3615；statements_ext_snomed</x:v>
      </x:c>
      <x:c r="L459" s="12"/>
      <x:c r="M459" s="12" t="str">
        <x:v>negative</x:v>
      </x:c>
      <x:c r="N459" s="12"/>
      <x:c r="O459" s="12" t="str">
        <x:v>negative</x:v>
      </x:c>
      <x:c r="P459" s="12" t="str">
        <x:f>IF(OR(M459="unavailable",O459="unavailable"),"不可评价",IF(OR(M459="equivocal",O459="equivocal"),"疑似",IF(AND(M459="positive",O459="positive"),"a",IF(O459="positive","b",IF(M459="positive","c","d")))))</x:f>
        <x:v>d</x:v>
      </x:c>
      <x:c r="Q459" s="12"/>
      <x:c r="R459" s="12" t="str">
        <x:v>negative</x:v>
      </x:c>
      <x:c r="S459" s="12"/>
      <x:c r="T459" s="12" t="str">
        <x:v>negative</x:v>
      </x:c>
      <x:c r="U459" s="12" t="str">
        <x:f>IF(OR(R459="unavailable",T459="unavailable"),"不可评价",IF(OR(R459="equivocal",T459="equivocal"),"疑似",IF(AND(R459="positive",T459="positive"),"a",IF(T459="positive","b",IF(R459="positive","c","d")))))</x:f>
        <x:v>d</x:v>
      </x:c>
      <x:c r="V459" s="12"/>
      <x:c r="W459" s="12" t="str">
        <x:v>negative</x:v>
      </x:c>
      <x:c r="X459" s="12"/>
      <x:c r="Y459" s="12" t="str">
        <x:v>negative</x:v>
      </x:c>
      <x:c r="Z459" s="12" t="str">
        <x:f>IF(OR(W459="unavailable",Y459="unavailable"),"不可评价",IF(OR(W459="equivocal",Y459="equivocal"),"疑似",IF(AND(W459="positive",Y459="positive"),"a",IF(Y459="positive","b",IF(W459="positive","c","d")))))</x:f>
        <x:v>d</x:v>
      </x:c>
      <x:c r="AA459" s="12" t="str">
        <x:f>IF(OR(M459="unavailable",O459="unavailable"),"不可评价",IF(AND(OR(M459="positive",M459="equivocal"),OR(O459="positive",O459="equivocal")),"a",IF(OR(O459="positive",O459="equivocal"),"b",IF(OR(M459="positive",M459="equivocal"),"c","d"))))</x:f>
        <x:v>d</x:v>
      </x:c>
      <x:c r="AB459" s="12" t="str">
        <x:f>IF(OR(M459="unavailable",O459="unavailable"),"不可评价",IF(AND(M459="positive",O459="positive"),"a",IF(O459="positive","b",IF(M459="positive","c","d"))))</x:f>
        <x:v>d</x:v>
      </x:c>
      <x:c r="AC459" s="12" t="str">
        <x:f>IF(OR(R459="unavailable",T459="unavailable"),"不可评价",IF(AND(OR(R459="positive",R459="equivocal"),OR(T459="positive",T459="equivocal")),"a",IF(OR(T459="positive",T459="equivocal"),"b",IF(OR(R459="positive",R459="equivocal"),"c","d"))))</x:f>
        <x:v>d</x:v>
      </x:c>
      <x:c r="AD459" s="12" t="str">
        <x:f>IF(OR(R459="unavailable",T459="unavailable"),"不可评价",IF(AND(R459="positive",T459="positive"),"a",IF(T459="positive","b",IF(R459="positive","c","d"))))</x:f>
        <x:v>d</x:v>
      </x:c>
      <x:c r="AE459" s="12" t="str">
        <x:f>IF(OR(W459="unavailable",Y459="unavailable"),"不可评价",IF(AND(OR(W459="positive",W459="equivocal"),OR(Y459="positive",Y459="equivocal")),"a",IF(OR(Y459="positive",Y459="equivocal"),"b",IF(OR(W459="positive",W459="equivocal"),"c","d"))))</x:f>
        <x:v>d</x:v>
      </x:c>
      <x:c r="AF459" s="12" t="str">
        <x:f>IF(OR(W459="unavailable",Y459="unavailable"),"不可评价",IF(AND(W459="positive",Y459="positive"),"a",IF(Y459="positive","b",IF(W459="positive","c","d"))))</x:f>
        <x:v>d</x:v>
      </x:c>
    </x:row>
    <x:row r="460" ht="24" customHeight="1">
      <x:c r="A460" s="12" t="str">
        <x:v>3618</x:v>
      </x:c>
      <x:c r="B460" s="12" t="str">
        <x:v>12205</x:v>
      </x:c>
      <x:c r="C460" s="21" t="n">
        <x:v>32836.38518518519</x:v>
      </x:c>
      <x:c r="D460" s="12" t="n">
        <x:v>44</x:v>
      </x:c>
      <x:c r="E460" s="12" t="n">
        <x:v>0</x:v>
      </x:c>
      <x:c r="F460" s="12" t="str">
        <x:v>未记录</x:v>
      </x:c>
      <x:c r="G460" s="12" t="n">
        <x:v>1</x:v>
      </x:c>
      <x:c r="H460" s="12" t="str">
        <x:v>{'NORM': 100.0, 'SR': 0.0}</x:v>
      </x:c>
      <x:c r="I460" s="12" t="str">
        <x:v>[('NSR', 100.0), ('NML', 100.0)]</x:v>
      </x:c>
      <x:c r="J460" s="12" t="str">
        <x:v>ptbxl_database.csv；ecg_id=3618；scp_codes</x:v>
      </x:c>
      <x:c r="K460" s="12" t="str">
        <x:v>12sl_statements.csv；ecg_id=3618；statements_ext_snomed</x:v>
      </x:c>
      <x:c r="L460" s="12"/>
      <x:c r="M460" s="12" t="str">
        <x:v>negative</x:v>
      </x:c>
      <x:c r="N460" s="12"/>
      <x:c r="O460" s="12" t="str">
        <x:v>negative</x:v>
      </x:c>
      <x:c r="P460" s="12" t="str">
        <x:f>IF(OR(M460="unavailable",O460="unavailable"),"不可评价",IF(OR(M460="equivocal",O460="equivocal"),"疑似",IF(AND(M460="positive",O460="positive"),"a",IF(O460="positive","b",IF(M460="positive","c","d")))))</x:f>
        <x:v>d</x:v>
      </x:c>
      <x:c r="Q460" s="12"/>
      <x:c r="R460" s="12" t="str">
        <x:v>negative</x:v>
      </x:c>
      <x:c r="S460" s="12"/>
      <x:c r="T460" s="12" t="str">
        <x:v>negative</x:v>
      </x:c>
      <x:c r="U460" s="12" t="str">
        <x:f>IF(OR(R460="unavailable",T460="unavailable"),"不可评价",IF(OR(R460="equivocal",T460="equivocal"),"疑似",IF(AND(R460="positive",T460="positive"),"a",IF(T460="positive","b",IF(R460="positive","c","d")))))</x:f>
        <x:v>d</x:v>
      </x:c>
      <x:c r="V460" s="12"/>
      <x:c r="W460" s="12" t="str">
        <x:v>negative</x:v>
      </x:c>
      <x:c r="X460" s="12"/>
      <x:c r="Y460" s="12" t="str">
        <x:v>negative</x:v>
      </x:c>
      <x:c r="Z460" s="12" t="str">
        <x:f>IF(OR(W460="unavailable",Y460="unavailable"),"不可评价",IF(OR(W460="equivocal",Y460="equivocal"),"疑似",IF(AND(W460="positive",Y460="positive"),"a",IF(Y460="positive","b",IF(W460="positive","c","d")))))</x:f>
        <x:v>d</x:v>
      </x:c>
      <x:c r="AA460" s="12" t="str">
        <x:f>IF(OR(M460="unavailable",O460="unavailable"),"不可评价",IF(AND(OR(M460="positive",M460="equivocal"),OR(O460="positive",O460="equivocal")),"a",IF(OR(O460="positive",O460="equivocal"),"b",IF(OR(M460="positive",M460="equivocal"),"c","d"))))</x:f>
        <x:v>d</x:v>
      </x:c>
      <x:c r="AB460" s="12" t="str">
        <x:f>IF(OR(M460="unavailable",O460="unavailable"),"不可评价",IF(AND(M460="positive",O460="positive"),"a",IF(O460="positive","b",IF(M460="positive","c","d"))))</x:f>
        <x:v>d</x:v>
      </x:c>
      <x:c r="AC460" s="12" t="str">
        <x:f>IF(OR(R460="unavailable",T460="unavailable"),"不可评价",IF(AND(OR(R460="positive",R460="equivocal"),OR(T460="positive",T460="equivocal")),"a",IF(OR(T460="positive",T460="equivocal"),"b",IF(OR(R460="positive",R460="equivocal"),"c","d"))))</x:f>
        <x:v>d</x:v>
      </x:c>
      <x:c r="AD460" s="12" t="str">
        <x:f>IF(OR(R460="unavailable",T460="unavailable"),"不可评价",IF(AND(R460="positive",T460="positive"),"a",IF(T460="positive","b",IF(R460="positive","c","d"))))</x:f>
        <x:v>d</x:v>
      </x:c>
      <x:c r="AE460" s="12" t="str">
        <x:f>IF(OR(W460="unavailable",Y460="unavailable"),"不可评价",IF(AND(OR(W460="positive",W460="equivocal"),OR(Y460="positive",Y460="equivocal")),"a",IF(OR(Y460="positive",Y460="equivocal"),"b",IF(OR(W460="positive",W460="equivocal"),"c","d"))))</x:f>
        <x:v>d</x:v>
      </x:c>
      <x:c r="AF460" s="12" t="str">
        <x:f>IF(OR(W460="unavailable",Y460="unavailable"),"不可评价",IF(AND(W460="positive",Y460="positive"),"a",IF(Y460="positive","b",IF(W460="positive","c","d"))))</x:f>
        <x:v>d</x:v>
      </x:c>
    </x:row>
    <x:row r="461" ht="24" customHeight="1">
      <x:c r="A461" s="12" t="str">
        <x:v>3625</x:v>
      </x:c>
      <x:c r="B461" s="12" t="str">
        <x:v>11588</x:v>
      </x:c>
      <x:c r="C461" s="21" t="n">
        <x:v>32838.359664351854</x:v>
      </x:c>
      <x:c r="D461" s="12" t="n">
        <x:v>61</x:v>
      </x:c>
      <x:c r="E461" s="12" t="n">
        <x:v>1</x:v>
      </x:c>
      <x:c r="F461" s="12" t="str">
        <x:v>未记录</x:v>
      </x:c>
      <x:c r="G461" s="12" t="n">
        <x:v>1</x:v>
      </x:c>
      <x:c r="H461" s="12" t="str">
        <x:v>{'NORM': 100.0, 'SR': 0.0}</x:v>
      </x:c>
      <x:c r="I461" s="12" t="str">
        <x:v>[('NSR', 100.0), ('NML', 100.0)]</x:v>
      </x:c>
      <x:c r="J461" s="12" t="str">
        <x:v>ptbxl_database.csv；ecg_id=3625；scp_codes</x:v>
      </x:c>
      <x:c r="K461" s="12" t="str">
        <x:v>12sl_statements.csv；ecg_id=3625；statements_ext_snomed</x:v>
      </x:c>
      <x:c r="L461" s="12"/>
      <x:c r="M461" s="12" t="str">
        <x:v>negative</x:v>
      </x:c>
      <x:c r="N461" s="12"/>
      <x:c r="O461" s="12" t="str">
        <x:v>negative</x:v>
      </x:c>
      <x:c r="P461" s="12" t="str">
        <x:f>IF(OR(M461="unavailable",O461="unavailable"),"不可评价",IF(OR(M461="equivocal",O461="equivocal"),"疑似",IF(AND(M461="positive",O461="positive"),"a",IF(O461="positive","b",IF(M461="positive","c","d")))))</x:f>
        <x:v>d</x:v>
      </x:c>
      <x:c r="Q461" s="12"/>
      <x:c r="R461" s="12" t="str">
        <x:v>negative</x:v>
      </x:c>
      <x:c r="S461" s="12"/>
      <x:c r="T461" s="12" t="str">
        <x:v>negative</x:v>
      </x:c>
      <x:c r="U461" s="12" t="str">
        <x:f>IF(OR(R461="unavailable",T461="unavailable"),"不可评价",IF(OR(R461="equivocal",T461="equivocal"),"疑似",IF(AND(R461="positive",T461="positive"),"a",IF(T461="positive","b",IF(R461="positive","c","d")))))</x:f>
        <x:v>d</x:v>
      </x:c>
      <x:c r="V461" s="12"/>
      <x:c r="W461" s="12" t="str">
        <x:v>negative</x:v>
      </x:c>
      <x:c r="X461" s="12"/>
      <x:c r="Y461" s="12" t="str">
        <x:v>negative</x:v>
      </x:c>
      <x:c r="Z461" s="12" t="str">
        <x:f>IF(OR(W461="unavailable",Y461="unavailable"),"不可评价",IF(OR(W461="equivocal",Y461="equivocal"),"疑似",IF(AND(W461="positive",Y461="positive"),"a",IF(Y461="positive","b",IF(W461="positive","c","d")))))</x:f>
        <x:v>d</x:v>
      </x:c>
      <x:c r="AA461" s="12" t="str">
        <x:f>IF(OR(M461="unavailable",O461="unavailable"),"不可评价",IF(AND(OR(M461="positive",M461="equivocal"),OR(O461="positive",O461="equivocal")),"a",IF(OR(O461="positive",O461="equivocal"),"b",IF(OR(M461="positive",M461="equivocal"),"c","d"))))</x:f>
        <x:v>d</x:v>
      </x:c>
      <x:c r="AB461" s="12" t="str">
        <x:f>IF(OR(M461="unavailable",O461="unavailable"),"不可评价",IF(AND(M461="positive",O461="positive"),"a",IF(O461="positive","b",IF(M461="positive","c","d"))))</x:f>
        <x:v>d</x:v>
      </x:c>
      <x:c r="AC461" s="12" t="str">
        <x:f>IF(OR(R461="unavailable",T461="unavailable"),"不可评价",IF(AND(OR(R461="positive",R461="equivocal"),OR(T461="positive",T461="equivocal")),"a",IF(OR(T461="positive",T461="equivocal"),"b",IF(OR(R461="positive",R461="equivocal"),"c","d"))))</x:f>
        <x:v>d</x:v>
      </x:c>
      <x:c r="AD461" s="12" t="str">
        <x:f>IF(OR(R461="unavailable",T461="unavailable"),"不可评价",IF(AND(R461="positive",T461="positive"),"a",IF(T461="positive","b",IF(R461="positive","c","d"))))</x:f>
        <x:v>d</x:v>
      </x:c>
      <x:c r="AE461" s="12" t="str">
        <x:f>IF(OR(W461="unavailable",Y461="unavailable"),"不可评价",IF(AND(OR(W461="positive",W461="equivocal"),OR(Y461="positive",Y461="equivocal")),"a",IF(OR(Y461="positive",Y461="equivocal"),"b",IF(OR(W461="positive",W461="equivocal"),"c","d"))))</x:f>
        <x:v>d</x:v>
      </x:c>
      <x:c r="AF461" s="12" t="str">
        <x:f>IF(OR(W461="unavailable",Y461="unavailable"),"不可评价",IF(AND(W461="positive",Y461="positive"),"a",IF(Y461="positive","b",IF(W461="positive","c","d"))))</x:f>
        <x:v>d</x:v>
      </x:c>
    </x:row>
    <x:row r="462" ht="24" customHeight="1">
      <x:c r="A462" s="12" t="str">
        <x:v>3629</x:v>
      </x:c>
      <x:c r="B462" s="12" t="str">
        <x:v>9001</x:v>
      </x:c>
      <x:c r="C462" s="21" t="n">
        <x:v>32839.67621527778</x:v>
      </x:c>
      <x:c r="D462" s="12" t="n">
        <x:v>77</x:v>
      </x:c>
      <x:c r="E462" s="12" t="n">
        <x:v>0</x:v>
      </x:c>
      <x:c r="F462" s="12" t="str">
        <x:v>未记录</x:v>
      </x:c>
      <x:c r="G462" s="12" t="n">
        <x:v>0</x:v>
      </x:c>
      <x:c r="H462" s="12" t="str">
        <x:v>{'ALMI': 50.0, 'IRBBB': 100.0, 'QWAVE': 0.0, 'SR': 0.0}</x:v>
      </x:c>
      <x:c r="I462" s="12" t="str">
        <x:v>[('NSR', 100.0), ('LMI;AU', 50.0), ('AB', 100.0)]</x:v>
      </x:c>
      <x:c r="J462" s="12" t="str">
        <x:v>ptbxl_database.csv；ecg_id=3629；scp_codes</x:v>
      </x:c>
      <x:c r="K462" s="12" t="str">
        <x:v>12sl_statements.csv；ecg_id=3629；statements_ext_snomed</x:v>
      </x:c>
      <x:c r="L462" s="12"/>
      <x:c r="M462" s="12" t="str">
        <x:v>negative</x:v>
      </x:c>
      <x:c r="N462" s="12"/>
      <x:c r="O462" s="12" t="str">
        <x:v>negative</x:v>
      </x:c>
      <x:c r="P462" s="12" t="str">
        <x:f>IF(OR(M462="unavailable",O462="unavailable"),"不可评价",IF(OR(M462="equivocal",O462="equivocal"),"疑似",IF(AND(M462="positive",O462="positive"),"a",IF(O462="positive","b",IF(M462="positive","c","d")))))</x:f>
        <x:v>d</x:v>
      </x:c>
      <x:c r="Q462" s="12"/>
      <x:c r="R462" s="12" t="str">
        <x:v>negative</x:v>
      </x:c>
      <x:c r="S462" s="12"/>
      <x:c r="T462" s="12" t="str">
        <x:v>negative</x:v>
      </x:c>
      <x:c r="U462" s="12" t="str">
        <x:f>IF(OR(R462="unavailable",T462="unavailable"),"不可评价",IF(OR(R462="equivocal",T462="equivocal"),"疑似",IF(AND(R462="positive",T462="positive"),"a",IF(T462="positive","b",IF(R462="positive","c","d")))))</x:f>
        <x:v>d</x:v>
      </x:c>
      <x:c r="V462" s="12"/>
      <x:c r="W462" s="12" t="str">
        <x:v>negative</x:v>
      </x:c>
      <x:c r="X462" s="12"/>
      <x:c r="Y462" s="12" t="str">
        <x:v>negative</x:v>
      </x:c>
      <x:c r="Z462" s="12" t="str">
        <x:f>IF(OR(W462="unavailable",Y462="unavailable"),"不可评价",IF(OR(W462="equivocal",Y462="equivocal"),"疑似",IF(AND(W462="positive",Y462="positive"),"a",IF(Y462="positive","b",IF(W462="positive","c","d")))))</x:f>
        <x:v>d</x:v>
      </x:c>
      <x:c r="AA462" s="12" t="str">
        <x:f>IF(OR(M462="unavailable",O462="unavailable"),"不可评价",IF(AND(OR(M462="positive",M462="equivocal"),OR(O462="positive",O462="equivocal")),"a",IF(OR(O462="positive",O462="equivocal"),"b",IF(OR(M462="positive",M462="equivocal"),"c","d"))))</x:f>
        <x:v>d</x:v>
      </x:c>
      <x:c r="AB462" s="12" t="str">
        <x:f>IF(OR(M462="unavailable",O462="unavailable"),"不可评价",IF(AND(M462="positive",O462="positive"),"a",IF(O462="positive","b",IF(M462="positive","c","d"))))</x:f>
        <x:v>d</x:v>
      </x:c>
      <x:c r="AC462" s="12" t="str">
        <x:f>IF(OR(R462="unavailable",T462="unavailable"),"不可评价",IF(AND(OR(R462="positive",R462="equivocal"),OR(T462="positive",T462="equivocal")),"a",IF(OR(T462="positive",T462="equivocal"),"b",IF(OR(R462="positive",R462="equivocal"),"c","d"))))</x:f>
        <x:v>d</x:v>
      </x:c>
      <x:c r="AD462" s="12" t="str">
        <x:f>IF(OR(R462="unavailable",T462="unavailable"),"不可评价",IF(AND(R462="positive",T462="positive"),"a",IF(T462="positive","b",IF(R462="positive","c","d"))))</x:f>
        <x:v>d</x:v>
      </x:c>
      <x:c r="AE462" s="12" t="str">
        <x:f>IF(OR(W462="unavailable",Y462="unavailable"),"不可评价",IF(AND(OR(W462="positive",W462="equivocal"),OR(Y462="positive",Y462="equivocal")),"a",IF(OR(Y462="positive",Y462="equivocal"),"b",IF(OR(W462="positive",W462="equivocal"),"c","d"))))</x:f>
        <x:v>d</x:v>
      </x:c>
      <x:c r="AF462" s="12" t="str">
        <x:f>IF(OR(W462="unavailable",Y462="unavailable"),"不可评价",IF(AND(W462="positive",Y462="positive"),"a",IF(Y462="positive","b",IF(W462="positive","c","d"))))</x:f>
        <x:v>d</x:v>
      </x:c>
    </x:row>
    <x:row r="463" ht="24" customHeight="1">
      <x:c r="A463" s="12" t="str">
        <x:v>3632</x:v>
      </x:c>
      <x:c r="B463" s="12" t="str">
        <x:v>15716</x:v>
      </x:c>
      <x:c r="C463" s="21" t="n">
        <x:v>32841.63715277778</x:v>
      </x:c>
      <x:c r="D463" s="12" t="n">
        <x:v>64</x:v>
      </x:c>
      <x:c r="E463" s="12" t="n">
        <x:v>1</x:v>
      </x:c>
      <x:c r="F463" s="12" t="str">
        <x:v>未记录</x:v>
      </x:c>
      <x:c r="G463" s="12" t="n">
        <x:v>1</x:v>
      </x:c>
      <x:c r="H463" s="12" t="str">
        <x:v>{'IMI': 15.0, 'SR': 0.0}</x:v>
      </x:c>
      <x:c r="I463" s="12" t="str">
        <x:v>[('NSR', 100.0), ('IMI;AU', 100.0), ('AMI;AU', 15.0), ('AB', 100.0)]</x:v>
      </x:c>
      <x:c r="J463" s="12" t="str">
        <x:v>ptbxl_database.csv；ecg_id=3632；scp_codes</x:v>
      </x:c>
      <x:c r="K463" s="12" t="str">
        <x:v>12sl_statements.csv；ecg_id=3632；statements_ext_snomed</x:v>
      </x:c>
      <x:c r="L463" s="12"/>
      <x:c r="M463" s="12" t="str">
        <x:v>negative</x:v>
      </x:c>
      <x:c r="N463" s="12"/>
      <x:c r="O463" s="12" t="str">
        <x:v>negative</x:v>
      </x:c>
      <x:c r="P463" s="12" t="str">
        <x:f>IF(OR(M463="unavailable",O463="unavailable"),"不可评价",IF(OR(M463="equivocal",O463="equivocal"),"疑似",IF(AND(M463="positive",O463="positive"),"a",IF(O463="positive","b",IF(M463="positive","c","d")))))</x:f>
        <x:v>d</x:v>
      </x:c>
      <x:c r="Q463" s="12"/>
      <x:c r="R463" s="12" t="str">
        <x:v>negative</x:v>
      </x:c>
      <x:c r="S463" s="12"/>
      <x:c r="T463" s="12" t="str">
        <x:v>negative</x:v>
      </x:c>
      <x:c r="U463" s="12" t="str">
        <x:f>IF(OR(R463="unavailable",T463="unavailable"),"不可评价",IF(OR(R463="equivocal",T463="equivocal"),"疑似",IF(AND(R463="positive",T463="positive"),"a",IF(T463="positive","b",IF(R463="positive","c","d")))))</x:f>
        <x:v>d</x:v>
      </x:c>
      <x:c r="V463" s="12"/>
      <x:c r="W463" s="12" t="str">
        <x:v>negative</x:v>
      </x:c>
      <x:c r="X463" s="12"/>
      <x:c r="Y463" s="12" t="str">
        <x:v>negative</x:v>
      </x:c>
      <x:c r="Z463" s="12" t="str">
        <x:f>IF(OR(W463="unavailable",Y463="unavailable"),"不可评价",IF(OR(W463="equivocal",Y463="equivocal"),"疑似",IF(AND(W463="positive",Y463="positive"),"a",IF(Y463="positive","b",IF(W463="positive","c","d")))))</x:f>
        <x:v>d</x:v>
      </x:c>
      <x:c r="AA463" s="12" t="str">
        <x:f>IF(OR(M463="unavailable",O463="unavailable"),"不可评价",IF(AND(OR(M463="positive",M463="equivocal"),OR(O463="positive",O463="equivocal")),"a",IF(OR(O463="positive",O463="equivocal"),"b",IF(OR(M463="positive",M463="equivocal"),"c","d"))))</x:f>
        <x:v>d</x:v>
      </x:c>
      <x:c r="AB463" s="12" t="str">
        <x:f>IF(OR(M463="unavailable",O463="unavailable"),"不可评价",IF(AND(M463="positive",O463="positive"),"a",IF(O463="positive","b",IF(M463="positive","c","d"))))</x:f>
        <x:v>d</x:v>
      </x:c>
      <x:c r="AC463" s="12" t="str">
        <x:f>IF(OR(R463="unavailable",T463="unavailable"),"不可评价",IF(AND(OR(R463="positive",R463="equivocal"),OR(T463="positive",T463="equivocal")),"a",IF(OR(T463="positive",T463="equivocal"),"b",IF(OR(R463="positive",R463="equivocal"),"c","d"))))</x:f>
        <x:v>d</x:v>
      </x:c>
      <x:c r="AD463" s="12" t="str">
        <x:f>IF(OR(R463="unavailable",T463="unavailable"),"不可评价",IF(AND(R463="positive",T463="positive"),"a",IF(T463="positive","b",IF(R463="positive","c","d"))))</x:f>
        <x:v>d</x:v>
      </x:c>
      <x:c r="AE463" s="12" t="str">
        <x:f>IF(OR(W463="unavailable",Y463="unavailable"),"不可评价",IF(AND(OR(W463="positive",W463="equivocal"),OR(Y463="positive",Y463="equivocal")),"a",IF(OR(Y463="positive",Y463="equivocal"),"b",IF(OR(W463="positive",W463="equivocal"),"c","d"))))</x:f>
        <x:v>d</x:v>
      </x:c>
      <x:c r="AF463" s="12" t="str">
        <x:f>IF(OR(W463="unavailable",Y463="unavailable"),"不可评价",IF(AND(W463="positive",Y463="positive"),"a",IF(Y463="positive","b",IF(W463="positive","c","d"))))</x:f>
        <x:v>d</x:v>
      </x:c>
    </x:row>
    <x:row r="464" ht="24" customHeight="1">
      <x:c r="A464" s="12" t="str">
        <x:v>3634</x:v>
      </x:c>
      <x:c r="B464" s="12" t="str">
        <x:v>11588</x:v>
      </x:c>
      <x:c r="C464" s="21" t="n">
        <x:v>32842.454409722224</x:v>
      </x:c>
      <x:c r="D464" s="12" t="n">
        <x:v>61</x:v>
      </x:c>
      <x:c r="E464" s="12" t="n">
        <x:v>1</x:v>
      </x:c>
      <x:c r="F464" s="12" t="str">
        <x:v>未记录</x:v>
      </x:c>
      <x:c r="G464" s="12" t="n">
        <x:v>0</x:v>
      </x:c>
      <x:c r="H464" s="12" t="str">
        <x:v>{'NORM': 100.0, 'SR': 0.0}</x:v>
      </x:c>
      <x:c r="I464" s="12" t="str">
        <x:v>[('NSR', 100.0), ('NST', 100.0), ('AB', 100.0)]</x:v>
      </x:c>
      <x:c r="J464" s="12" t="str">
        <x:v>ptbxl_database.csv；ecg_id=3634；scp_codes</x:v>
      </x:c>
      <x:c r="K464" s="12" t="str">
        <x:v>12sl_statements.csv；ecg_id=3634；statements_ext_snomed</x:v>
      </x:c>
      <x:c r="L464" s="12"/>
      <x:c r="M464" s="12" t="str">
        <x:v>negative</x:v>
      </x:c>
      <x:c r="N464" s="12"/>
      <x:c r="O464" s="12" t="str">
        <x:v>negative</x:v>
      </x:c>
      <x:c r="P464" s="12" t="str">
        <x:f>IF(OR(M464="unavailable",O464="unavailable"),"不可评价",IF(OR(M464="equivocal",O464="equivocal"),"疑似",IF(AND(M464="positive",O464="positive"),"a",IF(O464="positive","b",IF(M464="positive","c","d")))))</x:f>
        <x:v>d</x:v>
      </x:c>
      <x:c r="Q464" s="12"/>
      <x:c r="R464" s="12" t="str">
        <x:v>negative</x:v>
      </x:c>
      <x:c r="S464" s="12"/>
      <x:c r="T464" s="12" t="str">
        <x:v>negative</x:v>
      </x:c>
      <x:c r="U464" s="12" t="str">
        <x:f>IF(OR(R464="unavailable",T464="unavailable"),"不可评价",IF(OR(R464="equivocal",T464="equivocal"),"疑似",IF(AND(R464="positive",T464="positive"),"a",IF(T464="positive","b",IF(R464="positive","c","d")))))</x:f>
        <x:v>d</x:v>
      </x:c>
      <x:c r="V464" s="12"/>
      <x:c r="W464" s="12" t="str">
        <x:v>negative</x:v>
      </x:c>
      <x:c r="X464" s="12"/>
      <x:c r="Y464" s="12" t="str">
        <x:v>negative</x:v>
      </x:c>
      <x:c r="Z464" s="12" t="str">
        <x:f>IF(OR(W464="unavailable",Y464="unavailable"),"不可评价",IF(OR(W464="equivocal",Y464="equivocal"),"疑似",IF(AND(W464="positive",Y464="positive"),"a",IF(Y464="positive","b",IF(W464="positive","c","d")))))</x:f>
        <x:v>d</x:v>
      </x:c>
      <x:c r="AA464" s="12" t="str">
        <x:f>IF(OR(M464="unavailable",O464="unavailable"),"不可评价",IF(AND(OR(M464="positive",M464="equivocal"),OR(O464="positive",O464="equivocal")),"a",IF(OR(O464="positive",O464="equivocal"),"b",IF(OR(M464="positive",M464="equivocal"),"c","d"))))</x:f>
        <x:v>d</x:v>
      </x:c>
      <x:c r="AB464" s="12" t="str">
        <x:f>IF(OR(M464="unavailable",O464="unavailable"),"不可评价",IF(AND(M464="positive",O464="positive"),"a",IF(O464="positive","b",IF(M464="positive","c","d"))))</x:f>
        <x:v>d</x:v>
      </x:c>
      <x:c r="AC464" s="12" t="str">
        <x:f>IF(OR(R464="unavailable",T464="unavailable"),"不可评价",IF(AND(OR(R464="positive",R464="equivocal"),OR(T464="positive",T464="equivocal")),"a",IF(OR(T464="positive",T464="equivocal"),"b",IF(OR(R464="positive",R464="equivocal"),"c","d"))))</x:f>
        <x:v>d</x:v>
      </x:c>
      <x:c r="AD464" s="12" t="str">
        <x:f>IF(OR(R464="unavailable",T464="unavailable"),"不可评价",IF(AND(R464="positive",T464="positive"),"a",IF(T464="positive","b",IF(R464="positive","c","d"))))</x:f>
        <x:v>d</x:v>
      </x:c>
      <x:c r="AE464" s="12" t="str">
        <x:f>IF(OR(W464="unavailable",Y464="unavailable"),"不可评价",IF(AND(OR(W464="positive",W464="equivocal"),OR(Y464="positive",Y464="equivocal")),"a",IF(OR(Y464="positive",Y464="equivocal"),"b",IF(OR(W464="positive",W464="equivocal"),"c","d"))))</x:f>
        <x:v>d</x:v>
      </x:c>
      <x:c r="AF464" s="12" t="str">
        <x:f>IF(OR(W464="unavailable",Y464="unavailable"),"不可评价",IF(AND(W464="positive",Y464="positive"),"a",IF(Y464="positive","b",IF(W464="positive","c","d"))))</x:f>
        <x:v>d</x:v>
      </x:c>
    </x:row>
    <x:row r="465" ht="24" customHeight="1">
      <x:c r="A465" s="12" t="str">
        <x:v>3635</x:v>
      </x:c>
      <x:c r="B465" s="12" t="str">
        <x:v>18552</x:v>
      </x:c>
      <x:c r="C465" s="21" t="n">
        <x:v>32843.50755787037</x:v>
      </x:c>
      <x:c r="D465" s="12" t="n">
        <x:v>46</x:v>
      </x:c>
      <x:c r="E465" s="12" t="n">
        <x:v>1</x:v>
      </x:c>
      <x:c r="F465" s="12" t="str">
        <x:v>存在</x:v>
      </x:c>
      <x:c r="G465" s="12" t="n">
        <x:v>1</x:v>
      </x:c>
      <x:c r="H465" s="12" t="str">
        <x:v>{'NORM': 35.0, 'IVCD': 100.0, 'SARRH': 0.0}</x:v>
      </x:c>
      <x:c r="I465" s="12" t="str">
        <x:v>[('NSR', 100.0), ('SAR', 100.0), ('NML', 100.0)]</x:v>
      </x:c>
      <x:c r="J465" s="12" t="str">
        <x:v>ptbxl_database.csv；ecg_id=3635；scp_codes</x:v>
      </x:c>
      <x:c r="K465" s="12" t="str">
        <x:v>12sl_statements.csv；ecg_id=3635；statements_ext_snomed</x:v>
      </x:c>
      <x:c r="L465" s="12"/>
      <x:c r="M465" s="12" t="str">
        <x:v>negative</x:v>
      </x:c>
      <x:c r="N465" s="12"/>
      <x:c r="O465" s="12" t="str">
        <x:v>negative</x:v>
      </x:c>
      <x:c r="P465" s="12" t="str">
        <x:f>IF(OR(M465="unavailable",O465="unavailable"),"不可评价",IF(OR(M465="equivocal",O465="equivocal"),"疑似",IF(AND(M465="positive",O465="positive"),"a",IF(O465="positive","b",IF(M465="positive","c","d")))))</x:f>
        <x:v>d</x:v>
      </x:c>
      <x:c r="Q465" s="12"/>
      <x:c r="R465" s="12" t="str">
        <x:v>negative</x:v>
      </x:c>
      <x:c r="S465" s="12"/>
      <x:c r="T465" s="12" t="str">
        <x:v>negative</x:v>
      </x:c>
      <x:c r="U465" s="12" t="str">
        <x:f>IF(OR(R465="unavailable",T465="unavailable"),"不可评价",IF(OR(R465="equivocal",T465="equivocal"),"疑似",IF(AND(R465="positive",T465="positive"),"a",IF(T465="positive","b",IF(R465="positive","c","d")))))</x:f>
        <x:v>d</x:v>
      </x:c>
      <x:c r="V465" s="12"/>
      <x:c r="W465" s="12" t="str">
        <x:v>negative</x:v>
      </x:c>
      <x:c r="X465" s="12"/>
      <x:c r="Y465" s="12" t="str">
        <x:v>negative</x:v>
      </x:c>
      <x:c r="Z465" s="12" t="str">
        <x:f>IF(OR(W465="unavailable",Y465="unavailable"),"不可评价",IF(OR(W465="equivocal",Y465="equivocal"),"疑似",IF(AND(W465="positive",Y465="positive"),"a",IF(Y465="positive","b",IF(W465="positive","c","d")))))</x:f>
        <x:v>d</x:v>
      </x:c>
      <x:c r="AA465" s="12" t="str">
        <x:f>IF(OR(M465="unavailable",O465="unavailable"),"不可评价",IF(AND(OR(M465="positive",M465="equivocal"),OR(O465="positive",O465="equivocal")),"a",IF(OR(O465="positive",O465="equivocal"),"b",IF(OR(M465="positive",M465="equivocal"),"c","d"))))</x:f>
        <x:v>d</x:v>
      </x:c>
      <x:c r="AB465" s="12" t="str">
        <x:f>IF(OR(M465="unavailable",O465="unavailable"),"不可评价",IF(AND(M465="positive",O465="positive"),"a",IF(O465="positive","b",IF(M465="positive","c","d"))))</x:f>
        <x:v>d</x:v>
      </x:c>
      <x:c r="AC465" s="12" t="str">
        <x:f>IF(OR(R465="unavailable",T465="unavailable"),"不可评价",IF(AND(OR(R465="positive",R465="equivocal"),OR(T465="positive",T465="equivocal")),"a",IF(OR(T465="positive",T465="equivocal"),"b",IF(OR(R465="positive",R465="equivocal"),"c","d"))))</x:f>
        <x:v>d</x:v>
      </x:c>
      <x:c r="AD465" s="12" t="str">
        <x:f>IF(OR(R465="unavailable",T465="unavailable"),"不可评价",IF(AND(R465="positive",T465="positive"),"a",IF(T465="positive","b",IF(R465="positive","c","d"))))</x:f>
        <x:v>d</x:v>
      </x:c>
      <x:c r="AE465" s="12" t="str">
        <x:f>IF(OR(W465="unavailable",Y465="unavailable"),"不可评价",IF(AND(OR(W465="positive",W465="equivocal"),OR(Y465="positive",Y465="equivocal")),"a",IF(OR(Y465="positive",Y465="equivocal"),"b",IF(OR(W465="positive",W465="equivocal"),"c","d"))))</x:f>
        <x:v>d</x:v>
      </x:c>
      <x:c r="AF465" s="12" t="str">
        <x:f>IF(OR(W465="unavailable",Y465="unavailable"),"不可评价",IF(AND(W465="positive",Y465="positive"),"a",IF(Y465="positive","b",IF(W465="positive","c","d"))))</x:f>
        <x:v>d</x:v>
      </x:c>
    </x:row>
    <x:row r="466" ht="24" customHeight="1">
      <x:c r="A466" s="12" t="str">
        <x:v>3641</x:v>
      </x:c>
      <x:c r="B466" s="12" t="str">
        <x:v>18809</x:v>
      </x:c>
      <x:c r="C466" s="21" t="n">
        <x:v>32844.360034722224</x:v>
      </x:c>
      <x:c r="D466" s="12" t="n">
        <x:v>18</x:v>
      </x:c>
      <x:c r="E466" s="12" t="n">
        <x:v>0</x:v>
      </x:c>
      <x:c r="F466" s="12" t="str">
        <x:v>存在</x:v>
      </x:c>
      <x:c r="G466" s="12" t="n">
        <x:v>1</x:v>
      </x:c>
      <x:c r="H466" s="12" t="str">
        <x:v>{'IRBBB': 100.0, 'LPFB': 100.0, 'SR': 0.0}</x:v>
      </x:c>
      <x:c r="I466" s="12" t="str">
        <x:v>[('NSR', 100.0), ('RAD', 100.0), ('BORDE', 100.0)]</x:v>
      </x:c>
      <x:c r="J466" s="12" t="str">
        <x:v>ptbxl_database.csv；ecg_id=3641；scp_codes</x:v>
      </x:c>
      <x:c r="K466" s="12" t="str">
        <x:v>12sl_statements.csv；ecg_id=3641；statements_ext_snomed</x:v>
      </x:c>
      <x:c r="L466" s="12"/>
      <x:c r="M466" s="12" t="str">
        <x:v>negative</x:v>
      </x:c>
      <x:c r="N466" s="12"/>
      <x:c r="O466" s="12" t="str">
        <x:v>negative</x:v>
      </x:c>
      <x:c r="P466" s="12" t="str">
        <x:f>IF(OR(M466="unavailable",O466="unavailable"),"不可评价",IF(OR(M466="equivocal",O466="equivocal"),"疑似",IF(AND(M466="positive",O466="positive"),"a",IF(O466="positive","b",IF(M466="positive","c","d")))))</x:f>
        <x:v>d</x:v>
      </x:c>
      <x:c r="Q466" s="12"/>
      <x:c r="R466" s="12" t="str">
        <x:v>negative</x:v>
      </x:c>
      <x:c r="S466" s="12"/>
      <x:c r="T466" s="12" t="str">
        <x:v>negative</x:v>
      </x:c>
      <x:c r="U466" s="12" t="str">
        <x:f>IF(OR(R466="unavailable",T466="unavailable"),"不可评价",IF(OR(R466="equivocal",T466="equivocal"),"疑似",IF(AND(R466="positive",T466="positive"),"a",IF(T466="positive","b",IF(R466="positive","c","d")))))</x:f>
        <x:v>d</x:v>
      </x:c>
      <x:c r="V466" s="12"/>
      <x:c r="W466" s="12" t="str">
        <x:v>negative</x:v>
      </x:c>
      <x:c r="X466" s="12"/>
      <x:c r="Y466" s="12" t="str">
        <x:v>negative</x:v>
      </x:c>
      <x:c r="Z466" s="12" t="str">
        <x:f>IF(OR(W466="unavailable",Y466="unavailable"),"不可评价",IF(OR(W466="equivocal",Y466="equivocal"),"疑似",IF(AND(W466="positive",Y466="positive"),"a",IF(Y466="positive","b",IF(W466="positive","c","d")))))</x:f>
        <x:v>d</x:v>
      </x:c>
      <x:c r="AA466" s="12" t="str">
        <x:f>IF(OR(M466="unavailable",O466="unavailable"),"不可评价",IF(AND(OR(M466="positive",M466="equivocal"),OR(O466="positive",O466="equivocal")),"a",IF(OR(O466="positive",O466="equivocal"),"b",IF(OR(M466="positive",M466="equivocal"),"c","d"))))</x:f>
        <x:v>d</x:v>
      </x:c>
      <x:c r="AB466" s="12" t="str">
        <x:f>IF(OR(M466="unavailable",O466="unavailable"),"不可评价",IF(AND(M466="positive",O466="positive"),"a",IF(O466="positive","b",IF(M466="positive","c","d"))))</x:f>
        <x:v>d</x:v>
      </x:c>
      <x:c r="AC466" s="12" t="str">
        <x:f>IF(OR(R466="unavailable",T466="unavailable"),"不可评价",IF(AND(OR(R466="positive",R466="equivocal"),OR(T466="positive",T466="equivocal")),"a",IF(OR(T466="positive",T466="equivocal"),"b",IF(OR(R466="positive",R466="equivocal"),"c","d"))))</x:f>
        <x:v>d</x:v>
      </x:c>
      <x:c r="AD466" s="12" t="str">
        <x:f>IF(OR(R466="unavailable",T466="unavailable"),"不可评价",IF(AND(R466="positive",T466="positive"),"a",IF(T466="positive","b",IF(R466="positive","c","d"))))</x:f>
        <x:v>d</x:v>
      </x:c>
      <x:c r="AE466" s="12" t="str">
        <x:f>IF(OR(W466="unavailable",Y466="unavailable"),"不可评价",IF(AND(OR(W466="positive",W466="equivocal"),OR(Y466="positive",Y466="equivocal")),"a",IF(OR(Y466="positive",Y466="equivocal"),"b",IF(OR(W466="positive",W466="equivocal"),"c","d"))))</x:f>
        <x:v>d</x:v>
      </x:c>
      <x:c r="AF466" s="12" t="str">
        <x:f>IF(OR(W466="unavailable",Y466="unavailable"),"不可评价",IF(AND(W466="positive",Y466="positive"),"a",IF(Y466="positive","b",IF(W466="positive","c","d"))))</x:f>
        <x:v>d</x:v>
      </x:c>
    </x:row>
    <x:row r="467" ht="24" customHeight="1">
      <x:c r="A467" s="12" t="str">
        <x:v>3652</x:v>
      </x:c>
      <x:c r="B467" s="12" t="str">
        <x:v>8819</x:v>
      </x:c>
      <x:c r="C467" s="21" t="n">
        <x:v>32849.575011574074</x:v>
      </x:c>
      <x:c r="D467" s="12" t="n">
        <x:v>39</x:v>
      </x:c>
      <x:c r="E467" s="12" t="n">
        <x:v>0</x:v>
      </x:c>
      <x:c r="F467" s="12" t="str">
        <x:v>存在</x:v>
      </x:c>
      <x:c r="G467" s="12" t="n">
        <x:v>1</x:v>
      </x:c>
      <x:c r="H467" s="12" t="str">
        <x:v>{'NORM': 100.0, 'ABQRS': 0.0, 'SR': 0.0}</x:v>
      </x:c>
      <x:c r="I467" s="12" t="str">
        <x:v>[('NSR', 100.0), ('RAE', 100.0), ('BORDE', 100.0)]</x:v>
      </x:c>
      <x:c r="J467" s="12" t="str">
        <x:v>ptbxl_database.csv；ecg_id=3652；scp_codes</x:v>
      </x:c>
      <x:c r="K467" s="12" t="str">
        <x:v>12sl_statements.csv；ecg_id=3652；statements_ext_snomed</x:v>
      </x:c>
      <x:c r="L467" s="12"/>
      <x:c r="M467" s="12" t="str">
        <x:v>negative</x:v>
      </x:c>
      <x:c r="N467" s="12"/>
      <x:c r="O467" s="12" t="str">
        <x:v>negative</x:v>
      </x:c>
      <x:c r="P467" s="12" t="str">
        <x:f>IF(OR(M467="unavailable",O467="unavailable"),"不可评价",IF(OR(M467="equivocal",O467="equivocal"),"疑似",IF(AND(M467="positive",O467="positive"),"a",IF(O467="positive","b",IF(M467="positive","c","d")))))</x:f>
        <x:v>d</x:v>
      </x:c>
      <x:c r="Q467" s="12"/>
      <x:c r="R467" s="12" t="str">
        <x:v>negative</x:v>
      </x:c>
      <x:c r="S467" s="12"/>
      <x:c r="T467" s="12" t="str">
        <x:v>negative</x:v>
      </x:c>
      <x:c r="U467" s="12" t="str">
        <x:f>IF(OR(R467="unavailable",T467="unavailable"),"不可评价",IF(OR(R467="equivocal",T467="equivocal"),"疑似",IF(AND(R467="positive",T467="positive"),"a",IF(T467="positive","b",IF(R467="positive","c","d")))))</x:f>
        <x:v>d</x:v>
      </x:c>
      <x:c r="V467" s="12"/>
      <x:c r="W467" s="12" t="str">
        <x:v>negative</x:v>
      </x:c>
      <x:c r="X467" s="12"/>
      <x:c r="Y467" s="12" t="str">
        <x:v>negative</x:v>
      </x:c>
      <x:c r="Z467" s="12" t="str">
        <x:f>IF(OR(W467="unavailable",Y467="unavailable"),"不可评价",IF(OR(W467="equivocal",Y467="equivocal"),"疑似",IF(AND(W467="positive",Y467="positive"),"a",IF(Y467="positive","b",IF(W467="positive","c","d")))))</x:f>
        <x:v>d</x:v>
      </x:c>
      <x:c r="AA467" s="12" t="str">
        <x:f>IF(OR(M467="unavailable",O467="unavailable"),"不可评价",IF(AND(OR(M467="positive",M467="equivocal"),OR(O467="positive",O467="equivocal")),"a",IF(OR(O467="positive",O467="equivocal"),"b",IF(OR(M467="positive",M467="equivocal"),"c","d"))))</x:f>
        <x:v>d</x:v>
      </x:c>
      <x:c r="AB467" s="12" t="str">
        <x:f>IF(OR(M467="unavailable",O467="unavailable"),"不可评价",IF(AND(M467="positive",O467="positive"),"a",IF(O467="positive","b",IF(M467="positive","c","d"))))</x:f>
        <x:v>d</x:v>
      </x:c>
      <x:c r="AC467" s="12" t="str">
        <x:f>IF(OR(R467="unavailable",T467="unavailable"),"不可评价",IF(AND(OR(R467="positive",R467="equivocal"),OR(T467="positive",T467="equivocal")),"a",IF(OR(T467="positive",T467="equivocal"),"b",IF(OR(R467="positive",R467="equivocal"),"c","d"))))</x:f>
        <x:v>d</x:v>
      </x:c>
      <x:c r="AD467" s="12" t="str">
        <x:f>IF(OR(R467="unavailable",T467="unavailable"),"不可评价",IF(AND(R467="positive",T467="positive"),"a",IF(T467="positive","b",IF(R467="positive","c","d"))))</x:f>
        <x:v>d</x:v>
      </x:c>
      <x:c r="AE467" s="12" t="str">
        <x:f>IF(OR(W467="unavailable",Y467="unavailable"),"不可评价",IF(AND(OR(W467="positive",W467="equivocal"),OR(Y467="positive",Y467="equivocal")),"a",IF(OR(Y467="positive",Y467="equivocal"),"b",IF(OR(W467="positive",W467="equivocal"),"c","d"))))</x:f>
        <x:v>d</x:v>
      </x:c>
      <x:c r="AF467" s="12" t="str">
        <x:f>IF(OR(W467="unavailable",Y467="unavailable"),"不可评价",IF(AND(W467="positive",Y467="positive"),"a",IF(Y467="positive","b",IF(W467="positive","c","d"))))</x:f>
        <x:v>d</x:v>
      </x:c>
    </x:row>
    <x:row r="468" ht="24" customHeight="1">
      <x:c r="A468" s="12" t="str">
        <x:v>3657</x:v>
      </x:c>
      <x:c r="B468" s="12" t="str">
        <x:v>8563</x:v>
      </x:c>
      <x:c r="C468" s="21" t="n">
        <x:v>32850.59731481481</x:v>
      </x:c>
      <x:c r="D468" s="12" t="n">
        <x:v>72</x:v>
      </x:c>
      <x:c r="E468" s="12" t="n">
        <x:v>0</x:v>
      </x:c>
      <x:c r="F468" s="12" t="str">
        <x:v>未记录</x:v>
      </x:c>
      <x:c r="G468" s="12" t="n">
        <x:v>1</x:v>
      </x:c>
      <x:c r="H468" s="12" t="str">
        <x:v>{'NORM': 80.0, 'VCLVH': 0.0, 'SR': 0.0}</x:v>
      </x:c>
      <x:c r="I468" s="12" t="str">
        <x:v>[('NSR', 100.0), ('BORDE', 100.0)]</x:v>
      </x:c>
      <x:c r="J468" s="12" t="str">
        <x:v>ptbxl_database.csv；ecg_id=3657；scp_codes</x:v>
      </x:c>
      <x:c r="K468" s="12" t="str">
        <x:v>12sl_statements.csv；ecg_id=3657；statements_ext_snomed</x:v>
      </x:c>
      <x:c r="L468" s="12"/>
      <x:c r="M468" s="12" t="str">
        <x:v>negative</x:v>
      </x:c>
      <x:c r="N468" s="12"/>
      <x:c r="O468" s="12" t="str">
        <x:v>negative</x:v>
      </x:c>
      <x:c r="P468" s="12" t="str">
        <x:f>IF(OR(M468="unavailable",O468="unavailable"),"不可评价",IF(OR(M468="equivocal",O468="equivocal"),"疑似",IF(AND(M468="positive",O468="positive"),"a",IF(O468="positive","b",IF(M468="positive","c","d")))))</x:f>
        <x:v>d</x:v>
      </x:c>
      <x:c r="Q468" s="12"/>
      <x:c r="R468" s="12" t="str">
        <x:v>negative</x:v>
      </x:c>
      <x:c r="S468" s="12"/>
      <x:c r="T468" s="12" t="str">
        <x:v>negative</x:v>
      </x:c>
      <x:c r="U468" s="12" t="str">
        <x:f>IF(OR(R468="unavailable",T468="unavailable"),"不可评价",IF(OR(R468="equivocal",T468="equivocal"),"疑似",IF(AND(R468="positive",T468="positive"),"a",IF(T468="positive","b",IF(R468="positive","c","d")))))</x:f>
        <x:v>d</x:v>
      </x:c>
      <x:c r="V468" s="12"/>
      <x:c r="W468" s="12" t="str">
        <x:v>negative</x:v>
      </x:c>
      <x:c r="X468" s="12"/>
      <x:c r="Y468" s="12" t="str">
        <x:v>negative</x:v>
      </x:c>
      <x:c r="Z468" s="12" t="str">
        <x:f>IF(OR(W468="unavailable",Y468="unavailable"),"不可评价",IF(OR(W468="equivocal",Y468="equivocal"),"疑似",IF(AND(W468="positive",Y468="positive"),"a",IF(Y468="positive","b",IF(W468="positive","c","d")))))</x:f>
        <x:v>d</x:v>
      </x:c>
      <x:c r="AA468" s="12" t="str">
        <x:f>IF(OR(M468="unavailable",O468="unavailable"),"不可评价",IF(AND(OR(M468="positive",M468="equivocal"),OR(O468="positive",O468="equivocal")),"a",IF(OR(O468="positive",O468="equivocal"),"b",IF(OR(M468="positive",M468="equivocal"),"c","d"))))</x:f>
        <x:v>d</x:v>
      </x:c>
      <x:c r="AB468" s="12" t="str">
        <x:f>IF(OR(M468="unavailable",O468="unavailable"),"不可评价",IF(AND(M468="positive",O468="positive"),"a",IF(O468="positive","b",IF(M468="positive","c","d"))))</x:f>
        <x:v>d</x:v>
      </x:c>
      <x:c r="AC468" s="12" t="str">
        <x:f>IF(OR(R468="unavailable",T468="unavailable"),"不可评价",IF(AND(OR(R468="positive",R468="equivocal"),OR(T468="positive",T468="equivocal")),"a",IF(OR(T468="positive",T468="equivocal"),"b",IF(OR(R468="positive",R468="equivocal"),"c","d"))))</x:f>
        <x:v>d</x:v>
      </x:c>
      <x:c r="AD468" s="12" t="str">
        <x:f>IF(OR(R468="unavailable",T468="unavailable"),"不可评价",IF(AND(R468="positive",T468="positive"),"a",IF(T468="positive","b",IF(R468="positive","c","d"))))</x:f>
        <x:v>d</x:v>
      </x:c>
      <x:c r="AE468" s="12" t="str">
        <x:f>IF(OR(W468="unavailable",Y468="unavailable"),"不可评价",IF(AND(OR(W468="positive",W468="equivocal"),OR(Y468="positive",Y468="equivocal")),"a",IF(OR(Y468="positive",Y468="equivocal"),"b",IF(OR(W468="positive",W468="equivocal"),"c","d"))))</x:f>
        <x:v>d</x:v>
      </x:c>
      <x:c r="AF468" s="12" t="str">
        <x:f>IF(OR(W468="unavailable",Y468="unavailable"),"不可评价",IF(AND(W468="positive",Y468="positive"),"a",IF(Y468="positive","b",IF(W468="positive","c","d"))))</x:f>
        <x:v>d</x:v>
      </x:c>
    </x:row>
    <x:row r="469" ht="24" customHeight="1">
      <x:c r="A469" s="12" t="str">
        <x:v>3660</x:v>
      </x:c>
      <x:c r="B469" s="12" t="str">
        <x:v>14987</x:v>
      </x:c>
      <x:c r="C469" s="21" t="n">
        <x:v>32852.46665509259</x:v>
      </x:c>
      <x:c r="D469" s="12" t="n">
        <x:v>18</x:v>
      </x:c>
      <x:c r="E469" s="12" t="n">
        <x:v>0</x:v>
      </x:c>
      <x:c r="F469" s="12" t="str">
        <x:v>存在</x:v>
      </x:c>
      <x:c r="G469" s="12" t="n">
        <x:v>1</x:v>
      </x:c>
      <x:c r="H469" s="12" t="str">
        <x:v>{'LVH': 15.0, 'VCLVH': 0.0, 'SR': 0.0}</x:v>
      </x:c>
      <x:c r="I469" s="12" t="str">
        <x:v>[('SRTH', 100.0), ('PVC', 100.0), ('BORDE', 100.0)]</x:v>
      </x:c>
      <x:c r="J469" s="12" t="str">
        <x:v>ptbxl_database.csv；ecg_id=3660；scp_codes</x:v>
      </x:c>
      <x:c r="K469" s="12" t="str">
        <x:v>12sl_statements.csv；ecg_id=3660；statements_ext_snomed</x:v>
      </x:c>
      <x:c r="L469" s="12"/>
      <x:c r="M469" s="12" t="str">
        <x:v>negative</x:v>
      </x:c>
      <x:c r="N469" s="12"/>
      <x:c r="O469" s="12" t="str">
        <x:v>negative</x:v>
      </x:c>
      <x:c r="P469" s="12" t="str">
        <x:f>IF(OR(M469="unavailable",O469="unavailable"),"不可评价",IF(OR(M469="equivocal",O469="equivocal"),"疑似",IF(AND(M469="positive",O469="positive"),"a",IF(O469="positive","b",IF(M469="positive","c","d")))))</x:f>
        <x:v>d</x:v>
      </x:c>
      <x:c r="Q469" s="12"/>
      <x:c r="R469" s="12" t="str">
        <x:v>negative</x:v>
      </x:c>
      <x:c r="S469" s="12"/>
      <x:c r="T469" s="12" t="str">
        <x:v>negative</x:v>
      </x:c>
      <x:c r="U469" s="12" t="str">
        <x:f>IF(OR(R469="unavailable",T469="unavailable"),"不可评价",IF(OR(R469="equivocal",T469="equivocal"),"疑似",IF(AND(R469="positive",T469="positive"),"a",IF(T469="positive","b",IF(R469="positive","c","d")))))</x:f>
        <x:v>d</x:v>
      </x:c>
      <x:c r="V469" s="12"/>
      <x:c r="W469" s="12" t="str">
        <x:v>negative</x:v>
      </x:c>
      <x:c r="X469" s="12"/>
      <x:c r="Y469" s="12" t="str">
        <x:v>negative</x:v>
      </x:c>
      <x:c r="Z469" s="12" t="str">
        <x:f>IF(OR(W469="unavailable",Y469="unavailable"),"不可评价",IF(OR(W469="equivocal",Y469="equivocal"),"疑似",IF(AND(W469="positive",Y469="positive"),"a",IF(Y469="positive","b",IF(W469="positive","c","d")))))</x:f>
        <x:v>d</x:v>
      </x:c>
      <x:c r="AA469" s="12" t="str">
        <x:f>IF(OR(M469="unavailable",O469="unavailable"),"不可评价",IF(AND(OR(M469="positive",M469="equivocal"),OR(O469="positive",O469="equivocal")),"a",IF(OR(O469="positive",O469="equivocal"),"b",IF(OR(M469="positive",M469="equivocal"),"c","d"))))</x:f>
        <x:v>d</x:v>
      </x:c>
      <x:c r="AB469" s="12" t="str">
        <x:f>IF(OR(M469="unavailable",O469="unavailable"),"不可评价",IF(AND(M469="positive",O469="positive"),"a",IF(O469="positive","b",IF(M469="positive","c","d"))))</x:f>
        <x:v>d</x:v>
      </x:c>
      <x:c r="AC469" s="12" t="str">
        <x:f>IF(OR(R469="unavailable",T469="unavailable"),"不可评价",IF(AND(OR(R469="positive",R469="equivocal"),OR(T469="positive",T469="equivocal")),"a",IF(OR(T469="positive",T469="equivocal"),"b",IF(OR(R469="positive",R469="equivocal"),"c","d"))))</x:f>
        <x:v>d</x:v>
      </x:c>
      <x:c r="AD469" s="12" t="str">
        <x:f>IF(OR(R469="unavailable",T469="unavailable"),"不可评价",IF(AND(R469="positive",T469="positive"),"a",IF(T469="positive","b",IF(R469="positive","c","d"))))</x:f>
        <x:v>d</x:v>
      </x:c>
      <x:c r="AE469" s="12" t="str">
        <x:f>IF(OR(W469="unavailable",Y469="unavailable"),"不可评价",IF(AND(OR(W469="positive",W469="equivocal"),OR(Y469="positive",Y469="equivocal")),"a",IF(OR(Y469="positive",Y469="equivocal"),"b",IF(OR(W469="positive",W469="equivocal"),"c","d"))))</x:f>
        <x:v>d</x:v>
      </x:c>
      <x:c r="AF469" s="12" t="str">
        <x:f>IF(OR(W469="unavailable",Y469="unavailable"),"不可评价",IF(AND(W469="positive",Y469="positive"),"a",IF(Y469="positive","b",IF(W469="positive","c","d"))))</x:f>
        <x:v>d</x:v>
      </x:c>
    </x:row>
    <x:row r="470" ht="24" customHeight="1">
      <x:c r="A470" s="12" t="str">
        <x:v>3665</x:v>
      </x:c>
      <x:c r="B470" s="12" t="str">
        <x:v>16846</x:v>
      </x:c>
      <x:c r="C470" s="21" t="n">
        <x:v>32853.31452546296</x:v>
      </x:c>
      <x:c r="D470" s="12" t="n">
        <x:v>24</x:v>
      </x:c>
      <x:c r="E470" s="12" t="n">
        <x:v>0</x:v>
      </x:c>
      <x:c r="F470" s="12" t="str">
        <x:v>未记录</x:v>
      </x:c>
      <x:c r="G470" s="12" t="n">
        <x:v>1</x:v>
      </x:c>
      <x:c r="H470" s="12" t="str">
        <x:v>{'NORM': 80.0, 'SR': 0.0}</x:v>
      </x:c>
      <x:c r="I470" s="12" t="str">
        <x:v>[('SRTH', 100.0), ('PSVC', 100.0), ('ABR', 100.0)]</x:v>
      </x:c>
      <x:c r="J470" s="12" t="str">
        <x:v>ptbxl_database.csv；ecg_id=3665；scp_codes</x:v>
      </x:c>
      <x:c r="K470" s="12" t="str">
        <x:v>12sl_statements.csv；ecg_id=3665；statements_ext_snomed</x:v>
      </x:c>
      <x:c r="L470" s="12"/>
      <x:c r="M470" s="12" t="str">
        <x:v>negative</x:v>
      </x:c>
      <x:c r="N470" s="12"/>
      <x:c r="O470" s="12" t="str">
        <x:v>negative</x:v>
      </x:c>
      <x:c r="P470" s="12" t="str">
        <x:f>IF(OR(M470="unavailable",O470="unavailable"),"不可评价",IF(OR(M470="equivocal",O470="equivocal"),"疑似",IF(AND(M470="positive",O470="positive"),"a",IF(O470="positive","b",IF(M470="positive","c","d")))))</x:f>
        <x:v>d</x:v>
      </x:c>
      <x:c r="Q470" s="12"/>
      <x:c r="R470" s="12" t="str">
        <x:v>negative</x:v>
      </x:c>
      <x:c r="S470" s="12"/>
      <x:c r="T470" s="12" t="str">
        <x:v>negative</x:v>
      </x:c>
      <x:c r="U470" s="12" t="str">
        <x:f>IF(OR(R470="unavailable",T470="unavailable"),"不可评价",IF(OR(R470="equivocal",T470="equivocal"),"疑似",IF(AND(R470="positive",T470="positive"),"a",IF(T470="positive","b",IF(R470="positive","c","d")))))</x:f>
        <x:v>d</x:v>
      </x:c>
      <x:c r="V470" s="12"/>
      <x:c r="W470" s="12" t="str">
        <x:v>negative</x:v>
      </x:c>
      <x:c r="X470" s="12"/>
      <x:c r="Y470" s="12" t="str">
        <x:v>negative</x:v>
      </x:c>
      <x:c r="Z470" s="12" t="str">
        <x:f>IF(OR(W470="unavailable",Y470="unavailable"),"不可评价",IF(OR(W470="equivocal",Y470="equivocal"),"疑似",IF(AND(W470="positive",Y470="positive"),"a",IF(Y470="positive","b",IF(W470="positive","c","d")))))</x:f>
        <x:v>d</x:v>
      </x:c>
      <x:c r="AA470" s="12" t="str">
        <x:f>IF(OR(M470="unavailable",O470="unavailable"),"不可评价",IF(AND(OR(M470="positive",M470="equivocal"),OR(O470="positive",O470="equivocal")),"a",IF(OR(O470="positive",O470="equivocal"),"b",IF(OR(M470="positive",M470="equivocal"),"c","d"))))</x:f>
        <x:v>d</x:v>
      </x:c>
      <x:c r="AB470" s="12" t="str">
        <x:f>IF(OR(M470="unavailable",O470="unavailable"),"不可评价",IF(AND(M470="positive",O470="positive"),"a",IF(O470="positive","b",IF(M470="positive","c","d"))))</x:f>
        <x:v>d</x:v>
      </x:c>
      <x:c r="AC470" s="12" t="str">
        <x:f>IF(OR(R470="unavailable",T470="unavailable"),"不可评价",IF(AND(OR(R470="positive",R470="equivocal"),OR(T470="positive",T470="equivocal")),"a",IF(OR(T470="positive",T470="equivocal"),"b",IF(OR(R470="positive",R470="equivocal"),"c","d"))))</x:f>
        <x:v>d</x:v>
      </x:c>
      <x:c r="AD470" s="12" t="str">
        <x:f>IF(OR(R470="unavailable",T470="unavailable"),"不可评价",IF(AND(R470="positive",T470="positive"),"a",IF(T470="positive","b",IF(R470="positive","c","d"))))</x:f>
        <x:v>d</x:v>
      </x:c>
      <x:c r="AE470" s="12" t="str">
        <x:f>IF(OR(W470="unavailable",Y470="unavailable"),"不可评价",IF(AND(OR(W470="positive",W470="equivocal"),OR(Y470="positive",Y470="equivocal")),"a",IF(OR(Y470="positive",Y470="equivocal"),"b",IF(OR(W470="positive",W470="equivocal"),"c","d"))))</x:f>
        <x:v>d</x:v>
      </x:c>
      <x:c r="AF470" s="12" t="str">
        <x:f>IF(OR(W470="unavailable",Y470="unavailable"),"不可评价",IF(AND(W470="positive",Y470="positive"),"a",IF(Y470="positive","b",IF(W470="positive","c","d"))))</x:f>
        <x:v>d</x:v>
      </x:c>
    </x:row>
    <x:row r="471" ht="24" customHeight="1">
      <x:c r="A471" s="12" t="str">
        <x:v>3669</x:v>
      </x:c>
      <x:c r="B471" s="12" t="str">
        <x:v>19050</x:v>
      </x:c>
      <x:c r="C471" s="21" t="n">
        <x:v>32855.54542824074</x:v>
      </x:c>
      <x:c r="D471" s="12" t="n">
        <x:v>43</x:v>
      </x:c>
      <x:c r="E471" s="12" t="n">
        <x:v>0</x:v>
      </x:c>
      <x:c r="F471" s="12" t="str">
        <x:v>未记录</x:v>
      </x:c>
      <x:c r="G471" s="12" t="n">
        <x:v>1</x:v>
      </x:c>
      <x:c r="H471" s="12" t="str">
        <x:v>{'NORM': 100.0, 'SR': 0.0}</x:v>
      </x:c>
      <x:c r="I471" s="12" t="str">
        <x:v>[('NSR', 100.0), ('NML', 100.0)]</x:v>
      </x:c>
      <x:c r="J471" s="12" t="str">
        <x:v>ptbxl_database.csv；ecg_id=3669；scp_codes</x:v>
      </x:c>
      <x:c r="K471" s="12" t="str">
        <x:v>12sl_statements.csv；ecg_id=3669；statements_ext_snomed</x:v>
      </x:c>
      <x:c r="L471" s="12"/>
      <x:c r="M471" s="12" t="str">
        <x:v>negative</x:v>
      </x:c>
      <x:c r="N471" s="12"/>
      <x:c r="O471" s="12" t="str">
        <x:v>negative</x:v>
      </x:c>
      <x:c r="P471" s="12" t="str">
        <x:f>IF(OR(M471="unavailable",O471="unavailable"),"不可评价",IF(OR(M471="equivocal",O471="equivocal"),"疑似",IF(AND(M471="positive",O471="positive"),"a",IF(O471="positive","b",IF(M471="positive","c","d")))))</x:f>
        <x:v>d</x:v>
      </x:c>
      <x:c r="Q471" s="12"/>
      <x:c r="R471" s="12" t="str">
        <x:v>negative</x:v>
      </x:c>
      <x:c r="S471" s="12"/>
      <x:c r="T471" s="12" t="str">
        <x:v>negative</x:v>
      </x:c>
      <x:c r="U471" s="12" t="str">
        <x:f>IF(OR(R471="unavailable",T471="unavailable"),"不可评价",IF(OR(R471="equivocal",T471="equivocal"),"疑似",IF(AND(R471="positive",T471="positive"),"a",IF(T471="positive","b",IF(R471="positive","c","d")))))</x:f>
        <x:v>d</x:v>
      </x:c>
      <x:c r="V471" s="12"/>
      <x:c r="W471" s="12" t="str">
        <x:v>negative</x:v>
      </x:c>
      <x:c r="X471" s="12"/>
      <x:c r="Y471" s="12" t="str">
        <x:v>negative</x:v>
      </x:c>
      <x:c r="Z471" s="12" t="str">
        <x:f>IF(OR(W471="unavailable",Y471="unavailable"),"不可评价",IF(OR(W471="equivocal",Y471="equivocal"),"疑似",IF(AND(W471="positive",Y471="positive"),"a",IF(Y471="positive","b",IF(W471="positive","c","d")))))</x:f>
        <x:v>d</x:v>
      </x:c>
      <x:c r="AA471" s="12" t="str">
        <x:f>IF(OR(M471="unavailable",O471="unavailable"),"不可评价",IF(AND(OR(M471="positive",M471="equivocal"),OR(O471="positive",O471="equivocal")),"a",IF(OR(O471="positive",O471="equivocal"),"b",IF(OR(M471="positive",M471="equivocal"),"c","d"))))</x:f>
        <x:v>d</x:v>
      </x:c>
      <x:c r="AB471" s="12" t="str">
        <x:f>IF(OR(M471="unavailable",O471="unavailable"),"不可评价",IF(AND(M471="positive",O471="positive"),"a",IF(O471="positive","b",IF(M471="positive","c","d"))))</x:f>
        <x:v>d</x:v>
      </x:c>
      <x:c r="AC471" s="12" t="str">
        <x:f>IF(OR(R471="unavailable",T471="unavailable"),"不可评价",IF(AND(OR(R471="positive",R471="equivocal"),OR(T471="positive",T471="equivocal")),"a",IF(OR(T471="positive",T471="equivocal"),"b",IF(OR(R471="positive",R471="equivocal"),"c","d"))))</x:f>
        <x:v>d</x:v>
      </x:c>
      <x:c r="AD471" s="12" t="str">
        <x:f>IF(OR(R471="unavailable",T471="unavailable"),"不可评价",IF(AND(R471="positive",T471="positive"),"a",IF(T471="positive","b",IF(R471="positive","c","d"))))</x:f>
        <x:v>d</x:v>
      </x:c>
      <x:c r="AE471" s="12" t="str">
        <x:f>IF(OR(W471="unavailable",Y471="unavailable"),"不可评价",IF(AND(OR(W471="positive",W471="equivocal"),OR(Y471="positive",Y471="equivocal")),"a",IF(OR(Y471="positive",Y471="equivocal"),"b",IF(OR(W471="positive",W471="equivocal"),"c","d"))))</x:f>
        <x:v>d</x:v>
      </x:c>
      <x:c r="AF471" s="12" t="str">
        <x:f>IF(OR(W471="unavailable",Y471="unavailable"),"不可评价",IF(AND(W471="positive",Y471="positive"),"a",IF(Y471="positive","b",IF(W471="positive","c","d"))))</x:f>
        <x:v>d</x:v>
      </x:c>
    </x:row>
    <x:row r="472" ht="24" customHeight="1">
      <x:c r="A472" s="12" t="str">
        <x:v>3688</x:v>
      </x:c>
      <x:c r="B472" s="12" t="str">
        <x:v>19890</x:v>
      </x:c>
      <x:c r="C472" s="21" t="n">
        <x:v>32865.3331712963</x:v>
      </x:c>
      <x:c r="D472" s="12" t="n">
        <x:v>49</x:v>
      </x:c>
      <x:c r="E472" s="12" t="n">
        <x:v>0</x:v>
      </x:c>
      <x:c r="F472" s="12" t="str">
        <x:v>存在</x:v>
      </x:c>
      <x:c r="G472" s="12" t="n">
        <x:v>1</x:v>
      </x:c>
      <x:c r="H472" s="12" t="str">
        <x:v>{'LVH': 50.0, 'IVCD': 100.0, 'ABQRS': 0.0, 'STACH': 0.0}</x:v>
      </x:c>
      <x:c r="I472" s="12" t="str">
        <x:v>[('STACH', 100.0), ('ABR', 100.0)]</x:v>
      </x:c>
      <x:c r="J472" s="12" t="str">
        <x:v>ptbxl_database.csv；ecg_id=3688；scp_codes</x:v>
      </x:c>
      <x:c r="K472" s="12" t="str">
        <x:v>12sl_statements.csv；ecg_id=3688；statements_ext_snomed</x:v>
      </x:c>
      <x:c r="L472" s="12"/>
      <x:c r="M472" s="12" t="str">
        <x:v>negative</x:v>
      </x:c>
      <x:c r="N472" s="12"/>
      <x:c r="O472" s="12" t="str">
        <x:v>negative</x:v>
      </x:c>
      <x:c r="P472" s="12" t="str">
        <x:f>IF(OR(M472="unavailable",O472="unavailable"),"不可评价",IF(OR(M472="equivocal",O472="equivocal"),"疑似",IF(AND(M472="positive",O472="positive"),"a",IF(O472="positive","b",IF(M472="positive","c","d")))))</x:f>
        <x:v>d</x:v>
      </x:c>
      <x:c r="Q472" s="12"/>
      <x:c r="R472" s="12" t="str">
        <x:v>negative</x:v>
      </x:c>
      <x:c r="S472" s="12"/>
      <x:c r="T472" s="12" t="str">
        <x:v>negative</x:v>
      </x:c>
      <x:c r="U472" s="12" t="str">
        <x:f>IF(OR(R472="unavailable",T472="unavailable"),"不可评价",IF(OR(R472="equivocal",T472="equivocal"),"疑似",IF(AND(R472="positive",T472="positive"),"a",IF(T472="positive","b",IF(R472="positive","c","d")))))</x:f>
        <x:v>d</x:v>
      </x:c>
      <x:c r="V472" s="12"/>
      <x:c r="W472" s="12" t="str">
        <x:v>negative</x:v>
      </x:c>
      <x:c r="X472" s="12"/>
      <x:c r="Y472" s="12" t="str">
        <x:v>negative</x:v>
      </x:c>
      <x:c r="Z472" s="12" t="str">
        <x:f>IF(OR(W472="unavailable",Y472="unavailable"),"不可评价",IF(OR(W472="equivocal",Y472="equivocal"),"疑似",IF(AND(W472="positive",Y472="positive"),"a",IF(Y472="positive","b",IF(W472="positive","c","d")))))</x:f>
        <x:v>d</x:v>
      </x:c>
      <x:c r="AA472" s="12" t="str">
        <x:f>IF(OR(M472="unavailable",O472="unavailable"),"不可评价",IF(AND(OR(M472="positive",M472="equivocal"),OR(O472="positive",O472="equivocal")),"a",IF(OR(O472="positive",O472="equivocal"),"b",IF(OR(M472="positive",M472="equivocal"),"c","d"))))</x:f>
        <x:v>d</x:v>
      </x:c>
      <x:c r="AB472" s="12" t="str">
        <x:f>IF(OR(M472="unavailable",O472="unavailable"),"不可评价",IF(AND(M472="positive",O472="positive"),"a",IF(O472="positive","b",IF(M472="positive","c","d"))))</x:f>
        <x:v>d</x:v>
      </x:c>
      <x:c r="AC472" s="12" t="str">
        <x:f>IF(OR(R472="unavailable",T472="unavailable"),"不可评价",IF(AND(OR(R472="positive",R472="equivocal"),OR(T472="positive",T472="equivocal")),"a",IF(OR(T472="positive",T472="equivocal"),"b",IF(OR(R472="positive",R472="equivocal"),"c","d"))))</x:f>
        <x:v>d</x:v>
      </x:c>
      <x:c r="AD472" s="12" t="str">
        <x:f>IF(OR(R472="unavailable",T472="unavailable"),"不可评价",IF(AND(R472="positive",T472="positive"),"a",IF(T472="positive","b",IF(R472="positive","c","d"))))</x:f>
        <x:v>d</x:v>
      </x:c>
      <x:c r="AE472" s="12" t="str">
        <x:f>IF(OR(W472="unavailable",Y472="unavailable"),"不可评价",IF(AND(OR(W472="positive",W472="equivocal"),OR(Y472="positive",Y472="equivocal")),"a",IF(OR(Y472="positive",Y472="equivocal"),"b",IF(OR(W472="positive",W472="equivocal"),"c","d"))))</x:f>
        <x:v>d</x:v>
      </x:c>
      <x:c r="AF472" s="12" t="str">
        <x:f>IF(OR(W472="unavailable",Y472="unavailable"),"不可评价",IF(AND(W472="positive",Y472="positive"),"a",IF(Y472="positive","b",IF(W472="positive","c","d"))))</x:f>
        <x:v>d</x:v>
      </x:c>
    </x:row>
    <x:row r="473" ht="24" customHeight="1">
      <x:c r="A473" s="12" t="str">
        <x:v>3689</x:v>
      </x:c>
      <x:c r="B473" s="12" t="str">
        <x:v>18460</x:v>
      </x:c>
      <x:c r="C473" s="21" t="n">
        <x:v>32866.37050925926</x:v>
      </x:c>
      <x:c r="D473" s="12" t="n">
        <x:v>71</x:v>
      </x:c>
      <x:c r="E473" s="12" t="n">
        <x:v>1</x:v>
      </x:c>
      <x:c r="F473" s="12" t="str">
        <x:v>未记录</x:v>
      </x:c>
      <x:c r="G473" s="12" t="n">
        <x:v>1</x:v>
      </x:c>
      <x:c r="H473" s="12" t="str">
        <x:v>{'LMI': 15.0, 'NDT': 100.0, 'ABQRS': 0.0, 'SR': 0.0}</x:v>
      </x:c>
      <x:c r="I473" s="12" t="str">
        <x:v>[('NSR', 100.0), ('LVH2', 100.0), ('2ST', 100.0), ('LNGQT', 100.0), ('AB', 100.0)]</x:v>
      </x:c>
      <x:c r="J473" s="12" t="str">
        <x:v>ptbxl_database.csv；ecg_id=3689；scp_codes</x:v>
      </x:c>
      <x:c r="K473" s="12" t="str">
        <x:v>12sl_statements.csv；ecg_id=3689；statements_ext_snomed</x:v>
      </x:c>
      <x:c r="L473" s="12"/>
      <x:c r="M473" s="12" t="str">
        <x:v>negative</x:v>
      </x:c>
      <x:c r="N473" s="12"/>
      <x:c r="O473" s="12" t="str">
        <x:v>negative</x:v>
      </x:c>
      <x:c r="P473" s="12" t="str">
        <x:f>IF(OR(M473="unavailable",O473="unavailable"),"不可评价",IF(OR(M473="equivocal",O473="equivocal"),"疑似",IF(AND(M473="positive",O473="positive"),"a",IF(O473="positive","b",IF(M473="positive","c","d")))))</x:f>
        <x:v>d</x:v>
      </x:c>
      <x:c r="Q473" s="12"/>
      <x:c r="R473" s="12" t="str">
        <x:v>negative</x:v>
      </x:c>
      <x:c r="S473" s="12"/>
      <x:c r="T473" s="12" t="str">
        <x:v>negative</x:v>
      </x:c>
      <x:c r="U473" s="12" t="str">
        <x:f>IF(OR(R473="unavailable",T473="unavailable"),"不可评价",IF(OR(R473="equivocal",T473="equivocal"),"疑似",IF(AND(R473="positive",T473="positive"),"a",IF(T473="positive","b",IF(R473="positive","c","d")))))</x:f>
        <x:v>d</x:v>
      </x:c>
      <x:c r="V473" s="12"/>
      <x:c r="W473" s="12" t="str">
        <x:v>negative</x:v>
      </x:c>
      <x:c r="X473" s="12"/>
      <x:c r="Y473" s="12" t="str">
        <x:v>negative</x:v>
      </x:c>
      <x:c r="Z473" s="12" t="str">
        <x:f>IF(OR(W473="unavailable",Y473="unavailable"),"不可评价",IF(OR(W473="equivocal",Y473="equivocal"),"疑似",IF(AND(W473="positive",Y473="positive"),"a",IF(Y473="positive","b",IF(W473="positive","c","d")))))</x:f>
        <x:v>d</x:v>
      </x:c>
      <x:c r="AA473" s="12" t="str">
        <x:f>IF(OR(M473="unavailable",O473="unavailable"),"不可评价",IF(AND(OR(M473="positive",M473="equivocal"),OR(O473="positive",O473="equivocal")),"a",IF(OR(O473="positive",O473="equivocal"),"b",IF(OR(M473="positive",M473="equivocal"),"c","d"))))</x:f>
        <x:v>d</x:v>
      </x:c>
      <x:c r="AB473" s="12" t="str">
        <x:f>IF(OR(M473="unavailable",O473="unavailable"),"不可评价",IF(AND(M473="positive",O473="positive"),"a",IF(O473="positive","b",IF(M473="positive","c","d"))))</x:f>
        <x:v>d</x:v>
      </x:c>
      <x:c r="AC473" s="12" t="str">
        <x:f>IF(OR(R473="unavailable",T473="unavailable"),"不可评价",IF(AND(OR(R473="positive",R473="equivocal"),OR(T473="positive",T473="equivocal")),"a",IF(OR(T473="positive",T473="equivocal"),"b",IF(OR(R473="positive",R473="equivocal"),"c","d"))))</x:f>
        <x:v>d</x:v>
      </x:c>
      <x:c r="AD473" s="12" t="str">
        <x:f>IF(OR(R473="unavailable",T473="unavailable"),"不可评价",IF(AND(R473="positive",T473="positive"),"a",IF(T473="positive","b",IF(R473="positive","c","d"))))</x:f>
        <x:v>d</x:v>
      </x:c>
      <x:c r="AE473" s="12" t="str">
        <x:f>IF(OR(W473="unavailable",Y473="unavailable"),"不可评价",IF(AND(OR(W473="positive",W473="equivocal"),OR(Y473="positive",Y473="equivocal")),"a",IF(OR(Y473="positive",Y473="equivocal"),"b",IF(OR(W473="positive",W473="equivocal"),"c","d"))))</x:f>
        <x:v>d</x:v>
      </x:c>
      <x:c r="AF473" s="12" t="str">
        <x:f>IF(OR(W473="unavailable",Y473="unavailable"),"不可评价",IF(AND(W473="positive",Y473="positive"),"a",IF(Y473="positive","b",IF(W473="positive","c","d"))))</x:f>
        <x:v>d</x:v>
      </x:c>
    </x:row>
    <x:row r="474" ht="39" customHeight="1">
      <x:c r="A474" s="12" t="str">
        <x:v>3692</x:v>
      </x:c>
      <x:c r="B474" s="12" t="str">
        <x:v>18861</x:v>
      </x:c>
      <x:c r="C474" s="21" t="n">
        <x:v>32870.54209490741</x:v>
      </x:c>
      <x:c r="D474" s="12" t="n">
        <x:v>84</x:v>
      </x:c>
      <x:c r="E474" s="12" t="n">
        <x:v>0</x:v>
      </x:c>
      <x:c r="F474" s="12" t="str">
        <x:v>存在</x:v>
      </x:c>
      <x:c r="G474" s="12" t="n">
        <x:v>1</x:v>
      </x:c>
      <x:c r="H474" s="12" t="str">
        <x:v>{'IMI': 50.0, 'NST_': 100.0, 'AFIB': 0.0}</x:v>
      </x:c>
      <x:c r="I474" s="12" t="str">
        <x:v>[('FLUT', 100.0), ('VAVB', 100.0), ('RAD5', 100.0), ('ST&amp;', 100.0), ('AT', 100.0), ('AB', 100.0)]</x:v>
      </x:c>
      <x:c r="J474" s="12" t="str">
        <x:v>ptbxl_database.csv；ecg_id=3692；scp_codes</x:v>
      </x:c>
      <x:c r="K474" s="12" t="str">
        <x:v>12sl_statements.csv；ecg_id=3692；statements_ext_snomed</x:v>
      </x:c>
      <x:c r="L474" s="12" t="n">
        <x:v>0</x:v>
      </x:c>
      <x:c r="M474" s="12" t="str">
        <x:v>positive</x:v>
      </x:c>
      <x:c r="N474" s="12"/>
      <x:c r="O474" s="12" t="str">
        <x:v>negative</x:v>
      </x:c>
      <x:c r="P474" s="12" t="str">
        <x:f>IF(OR(M474="unavailable",O474="unavailable"),"不可评价",IF(OR(M474="equivocal",O474="equivocal"),"疑似",IF(AND(M474="positive",O474="positive"),"a",IF(O474="positive","b",IF(M474="positive","c","d")))))</x:f>
        <x:v>c</x:v>
      </x:c>
      <x:c r="Q474" s="12"/>
      <x:c r="R474" s="12" t="str">
        <x:v>negative</x:v>
      </x:c>
      <x:c r="S474" s="12"/>
      <x:c r="T474" s="12" t="str">
        <x:v>negative</x:v>
      </x:c>
      <x:c r="U474" s="12" t="str">
        <x:f>IF(OR(R474="unavailable",T474="unavailable"),"不可评价",IF(OR(R474="equivocal",T474="equivocal"),"疑似",IF(AND(R474="positive",T474="positive"),"a",IF(T474="positive","b",IF(R474="positive","c","d")))))</x:f>
        <x:v>d</x:v>
      </x:c>
      <x:c r="V474" s="12"/>
      <x:c r="W474" s="12" t="str">
        <x:v>negative</x:v>
      </x:c>
      <x:c r="X474" s="12"/>
      <x:c r="Y474" s="12" t="str">
        <x:v>negative</x:v>
      </x:c>
      <x:c r="Z474" s="12" t="str">
        <x:f>IF(OR(W474="unavailable",Y474="unavailable"),"不可评价",IF(OR(W474="equivocal",Y474="equivocal"),"疑似",IF(AND(W474="positive",Y474="positive"),"a",IF(Y474="positive","b",IF(W474="positive","c","d")))))</x:f>
        <x:v>d</x:v>
      </x:c>
      <x:c r="AA474" s="12" t="str">
        <x:f>IF(OR(M474="unavailable",O474="unavailable"),"不可评价",IF(AND(OR(M474="positive",M474="equivocal"),OR(O474="positive",O474="equivocal")),"a",IF(OR(O474="positive",O474="equivocal"),"b",IF(OR(M474="positive",M474="equivocal"),"c","d"))))</x:f>
        <x:v>c</x:v>
      </x:c>
      <x:c r="AB474" s="12" t="str">
        <x:f>IF(OR(M474="unavailable",O474="unavailable"),"不可评价",IF(AND(M474="positive",O474="positive"),"a",IF(O474="positive","b",IF(M474="positive","c","d"))))</x:f>
        <x:v>c</x:v>
      </x:c>
      <x:c r="AC474" s="12" t="str">
        <x:f>IF(OR(R474="unavailable",T474="unavailable"),"不可评价",IF(AND(OR(R474="positive",R474="equivocal"),OR(T474="positive",T474="equivocal")),"a",IF(OR(T474="positive",T474="equivocal"),"b",IF(OR(R474="positive",R474="equivocal"),"c","d"))))</x:f>
        <x:v>d</x:v>
      </x:c>
      <x:c r="AD474" s="12" t="str">
        <x:f>IF(OR(R474="unavailable",T474="unavailable"),"不可评价",IF(AND(R474="positive",T474="positive"),"a",IF(T474="positive","b",IF(R474="positive","c","d"))))</x:f>
        <x:v>d</x:v>
      </x:c>
      <x:c r="AE474" s="12" t="str">
        <x:f>IF(OR(W474="unavailable",Y474="unavailable"),"不可评价",IF(AND(OR(W474="positive",W474="equivocal"),OR(Y474="positive",Y474="equivocal")),"a",IF(OR(Y474="positive",Y474="equivocal"),"b",IF(OR(W474="positive",W474="equivocal"),"c","d"))))</x:f>
        <x:v>d</x:v>
      </x:c>
      <x:c r="AF474" s="12" t="str">
        <x:f>IF(OR(W474="unavailable",Y474="unavailable"),"不可评价",IF(AND(W474="positive",Y474="positive"),"a",IF(Y474="positive","b",IF(W474="positive","c","d"))))</x:f>
        <x:v>d</x:v>
      </x:c>
    </x:row>
    <x:row r="475" ht="24" customHeight="1">
      <x:c r="A475" s="12" t="str">
        <x:v>3696</x:v>
      </x:c>
      <x:c r="B475" s="12" t="str">
        <x:v>15437</x:v>
      </x:c>
      <x:c r="C475" s="21" t="n">
        <x:v>32871.50939814815</x:v>
      </x:c>
      <x:c r="D475" s="12" t="n">
        <x:v>60</x:v>
      </x:c>
      <x:c r="E475" s="12" t="n">
        <x:v>1</x:v>
      </x:c>
      <x:c r="F475" s="12" t="str">
        <x:v>未记录</x:v>
      </x:c>
      <x:c r="G475" s="12" t="n">
        <x:v>1</x:v>
      </x:c>
      <x:c r="H475" s="12" t="str">
        <x:v>{'IMI': 100.0, 'ABQRS': 0.0, 'SR': 0.0}</x:v>
      </x:c>
      <x:c r="I475" s="12" t="str">
        <x:v>[('NSR', 100.0), ('NML', 100.0)]</x:v>
      </x:c>
      <x:c r="J475" s="12" t="str">
        <x:v>ptbxl_database.csv；ecg_id=3696；scp_codes</x:v>
      </x:c>
      <x:c r="K475" s="12" t="str">
        <x:v>12sl_statements.csv；ecg_id=3696；statements_ext_snomed</x:v>
      </x:c>
      <x:c r="L475" s="12"/>
      <x:c r="M475" s="12" t="str">
        <x:v>negative</x:v>
      </x:c>
      <x:c r="N475" s="12"/>
      <x:c r="O475" s="12" t="str">
        <x:v>negative</x:v>
      </x:c>
      <x:c r="P475" s="12" t="str">
        <x:f>IF(OR(M475="unavailable",O475="unavailable"),"不可评价",IF(OR(M475="equivocal",O475="equivocal"),"疑似",IF(AND(M475="positive",O475="positive"),"a",IF(O475="positive","b",IF(M475="positive","c","d")))))</x:f>
        <x:v>d</x:v>
      </x:c>
      <x:c r="Q475" s="12"/>
      <x:c r="R475" s="12" t="str">
        <x:v>negative</x:v>
      </x:c>
      <x:c r="S475" s="12"/>
      <x:c r="T475" s="12" t="str">
        <x:v>negative</x:v>
      </x:c>
      <x:c r="U475" s="12" t="str">
        <x:f>IF(OR(R475="unavailable",T475="unavailable"),"不可评价",IF(OR(R475="equivocal",T475="equivocal"),"疑似",IF(AND(R475="positive",T475="positive"),"a",IF(T475="positive","b",IF(R475="positive","c","d")))))</x:f>
        <x:v>d</x:v>
      </x:c>
      <x:c r="V475" s="12"/>
      <x:c r="W475" s="12" t="str">
        <x:v>negative</x:v>
      </x:c>
      <x:c r="X475" s="12"/>
      <x:c r="Y475" s="12" t="str">
        <x:v>negative</x:v>
      </x:c>
      <x:c r="Z475" s="12" t="str">
        <x:f>IF(OR(W475="unavailable",Y475="unavailable"),"不可评价",IF(OR(W475="equivocal",Y475="equivocal"),"疑似",IF(AND(W475="positive",Y475="positive"),"a",IF(Y475="positive","b",IF(W475="positive","c","d")))))</x:f>
        <x:v>d</x:v>
      </x:c>
      <x:c r="AA475" s="12" t="str">
        <x:f>IF(OR(M475="unavailable",O475="unavailable"),"不可评价",IF(AND(OR(M475="positive",M475="equivocal"),OR(O475="positive",O475="equivocal")),"a",IF(OR(O475="positive",O475="equivocal"),"b",IF(OR(M475="positive",M475="equivocal"),"c","d"))))</x:f>
        <x:v>d</x:v>
      </x:c>
      <x:c r="AB475" s="12" t="str">
        <x:f>IF(OR(M475="unavailable",O475="unavailable"),"不可评价",IF(AND(M475="positive",O475="positive"),"a",IF(O475="positive","b",IF(M475="positive","c","d"))))</x:f>
        <x:v>d</x:v>
      </x:c>
      <x:c r="AC475" s="12" t="str">
        <x:f>IF(OR(R475="unavailable",T475="unavailable"),"不可评价",IF(AND(OR(R475="positive",R475="equivocal"),OR(T475="positive",T475="equivocal")),"a",IF(OR(T475="positive",T475="equivocal"),"b",IF(OR(R475="positive",R475="equivocal"),"c","d"))))</x:f>
        <x:v>d</x:v>
      </x:c>
      <x:c r="AD475" s="12" t="str">
        <x:f>IF(OR(R475="unavailable",T475="unavailable"),"不可评价",IF(AND(R475="positive",T475="positive"),"a",IF(T475="positive","b",IF(R475="positive","c","d"))))</x:f>
        <x:v>d</x:v>
      </x:c>
      <x:c r="AE475" s="12" t="str">
        <x:f>IF(OR(W475="unavailable",Y475="unavailable"),"不可评价",IF(AND(OR(W475="positive",W475="equivocal"),OR(Y475="positive",Y475="equivocal")),"a",IF(OR(Y475="positive",Y475="equivocal"),"b",IF(OR(W475="positive",W475="equivocal"),"c","d"))))</x:f>
        <x:v>d</x:v>
      </x:c>
      <x:c r="AF475" s="12" t="str">
        <x:f>IF(OR(W475="unavailable",Y475="unavailable"),"不可评价",IF(AND(W475="positive",Y475="positive"),"a",IF(Y475="positive","b",IF(W475="positive","c","d"))))</x:f>
        <x:v>d</x:v>
      </x:c>
    </x:row>
    <x:row r="476" ht="24" customHeight="1">
      <x:c r="A476" s="12" t="str">
        <x:v>3699</x:v>
      </x:c>
      <x:c r="B476" s="12" t="str">
        <x:v>17339</x:v>
      </x:c>
      <x:c r="C476" s="21" t="n">
        <x:v>32876.30332175926</x:v>
      </x:c>
      <x:c r="D476" s="12" t="n">
        <x:v>76</x:v>
      </x:c>
      <x:c r="E476" s="12" t="n">
        <x:v>0</x:v>
      </x:c>
      <x:c r="F476" s="12" t="str">
        <x:v>存在</x:v>
      </x:c>
      <x:c r="G476" s="12" t="n">
        <x:v>1</x:v>
      </x:c>
      <x:c r="H476" s="12" t="str">
        <x:v>{'LAFB': 100.0, 'SR': 0.0}</x:v>
      </x:c>
      <x:c r="I476" s="12" t="str">
        <x:v>[('NSR', 100.0), ('LAE', 50.0), ('BORDE', 100.0)]</x:v>
      </x:c>
      <x:c r="J476" s="12" t="str">
        <x:v>ptbxl_database.csv；ecg_id=3699；scp_codes</x:v>
      </x:c>
      <x:c r="K476" s="12" t="str">
        <x:v>12sl_statements.csv；ecg_id=3699；statements_ext_snomed</x:v>
      </x:c>
      <x:c r="L476" s="12"/>
      <x:c r="M476" s="12" t="str">
        <x:v>negative</x:v>
      </x:c>
      <x:c r="N476" s="12"/>
      <x:c r="O476" s="12" t="str">
        <x:v>negative</x:v>
      </x:c>
      <x:c r="P476" s="12" t="str">
        <x:f>IF(OR(M476="unavailable",O476="unavailable"),"不可评价",IF(OR(M476="equivocal",O476="equivocal"),"疑似",IF(AND(M476="positive",O476="positive"),"a",IF(O476="positive","b",IF(M476="positive","c","d")))))</x:f>
        <x:v>d</x:v>
      </x:c>
      <x:c r="Q476" s="12"/>
      <x:c r="R476" s="12" t="str">
        <x:v>negative</x:v>
      </x:c>
      <x:c r="S476" s="12"/>
      <x:c r="T476" s="12" t="str">
        <x:v>negative</x:v>
      </x:c>
      <x:c r="U476" s="12" t="str">
        <x:f>IF(OR(R476="unavailable",T476="unavailable"),"不可评价",IF(OR(R476="equivocal",T476="equivocal"),"疑似",IF(AND(R476="positive",T476="positive"),"a",IF(T476="positive","b",IF(R476="positive","c","d")))))</x:f>
        <x:v>d</x:v>
      </x:c>
      <x:c r="V476" s="12"/>
      <x:c r="W476" s="12" t="str">
        <x:v>negative</x:v>
      </x:c>
      <x:c r="X476" s="12"/>
      <x:c r="Y476" s="12" t="str">
        <x:v>negative</x:v>
      </x:c>
      <x:c r="Z476" s="12" t="str">
        <x:f>IF(OR(W476="unavailable",Y476="unavailable"),"不可评价",IF(OR(W476="equivocal",Y476="equivocal"),"疑似",IF(AND(W476="positive",Y476="positive"),"a",IF(Y476="positive","b",IF(W476="positive","c","d")))))</x:f>
        <x:v>d</x:v>
      </x:c>
      <x:c r="AA476" s="12" t="str">
        <x:f>IF(OR(M476="unavailable",O476="unavailable"),"不可评价",IF(AND(OR(M476="positive",M476="equivocal"),OR(O476="positive",O476="equivocal")),"a",IF(OR(O476="positive",O476="equivocal"),"b",IF(OR(M476="positive",M476="equivocal"),"c","d"))))</x:f>
        <x:v>d</x:v>
      </x:c>
      <x:c r="AB476" s="12" t="str">
        <x:f>IF(OR(M476="unavailable",O476="unavailable"),"不可评价",IF(AND(M476="positive",O476="positive"),"a",IF(O476="positive","b",IF(M476="positive","c","d"))))</x:f>
        <x:v>d</x:v>
      </x:c>
      <x:c r="AC476" s="12" t="str">
        <x:f>IF(OR(R476="unavailable",T476="unavailable"),"不可评价",IF(AND(OR(R476="positive",R476="equivocal"),OR(T476="positive",T476="equivocal")),"a",IF(OR(T476="positive",T476="equivocal"),"b",IF(OR(R476="positive",R476="equivocal"),"c","d"))))</x:f>
        <x:v>d</x:v>
      </x:c>
      <x:c r="AD476" s="12" t="str">
        <x:f>IF(OR(R476="unavailable",T476="unavailable"),"不可评价",IF(AND(R476="positive",T476="positive"),"a",IF(T476="positive","b",IF(R476="positive","c","d"))))</x:f>
        <x:v>d</x:v>
      </x:c>
      <x:c r="AE476" s="12" t="str">
        <x:f>IF(OR(W476="unavailable",Y476="unavailable"),"不可评价",IF(AND(OR(W476="positive",W476="equivocal"),OR(Y476="positive",Y476="equivocal")),"a",IF(OR(Y476="positive",Y476="equivocal"),"b",IF(OR(W476="positive",W476="equivocal"),"c","d"))))</x:f>
        <x:v>d</x:v>
      </x:c>
      <x:c r="AF476" s="12" t="str">
        <x:f>IF(OR(W476="unavailable",Y476="unavailable"),"不可评价",IF(AND(W476="positive",Y476="positive"),"a",IF(Y476="positive","b",IF(W476="positive","c","d"))))</x:f>
        <x:v>d</x:v>
      </x:c>
    </x:row>
    <x:row r="477" ht="24" customHeight="1">
      <x:c r="A477" s="12" t="str">
        <x:v>3702</x:v>
      </x:c>
      <x:c r="B477" s="12" t="str">
        <x:v>16830</x:v>
      </x:c>
      <x:c r="C477" s="21" t="n">
        <x:v>32878.38512731482</x:v>
      </x:c>
      <x:c r="D477" s="12" t="n">
        <x:v>54</x:v>
      </x:c>
      <x:c r="E477" s="12" t="n">
        <x:v>0</x:v>
      </x:c>
      <x:c r="F477" s="12" t="str">
        <x:v>未记录</x:v>
      </x:c>
      <x:c r="G477" s="12" t="n">
        <x:v>1</x:v>
      </x:c>
      <x:c r="H477" s="12" t="str">
        <x:v>{'NORM': 100.0, 'SR': 0.0}</x:v>
      </x:c>
      <x:c r="I477" s="12" t="str">
        <x:v>[('NSR', 100.0), ('NML', 100.0)]</x:v>
      </x:c>
      <x:c r="J477" s="12" t="str">
        <x:v>ptbxl_database.csv；ecg_id=3702；scp_codes</x:v>
      </x:c>
      <x:c r="K477" s="12" t="str">
        <x:v>12sl_statements.csv；ecg_id=3702；statements_ext_snomed</x:v>
      </x:c>
      <x:c r="L477" s="12"/>
      <x:c r="M477" s="12" t="str">
        <x:v>negative</x:v>
      </x:c>
      <x:c r="N477" s="12"/>
      <x:c r="O477" s="12" t="str">
        <x:v>negative</x:v>
      </x:c>
      <x:c r="P477" s="12" t="str">
        <x:f>IF(OR(M477="unavailable",O477="unavailable"),"不可评价",IF(OR(M477="equivocal",O477="equivocal"),"疑似",IF(AND(M477="positive",O477="positive"),"a",IF(O477="positive","b",IF(M477="positive","c","d")))))</x:f>
        <x:v>d</x:v>
      </x:c>
      <x:c r="Q477" s="12"/>
      <x:c r="R477" s="12" t="str">
        <x:v>negative</x:v>
      </x:c>
      <x:c r="S477" s="12"/>
      <x:c r="T477" s="12" t="str">
        <x:v>negative</x:v>
      </x:c>
      <x:c r="U477" s="12" t="str">
        <x:f>IF(OR(R477="unavailable",T477="unavailable"),"不可评价",IF(OR(R477="equivocal",T477="equivocal"),"疑似",IF(AND(R477="positive",T477="positive"),"a",IF(T477="positive","b",IF(R477="positive","c","d")))))</x:f>
        <x:v>d</x:v>
      </x:c>
      <x:c r="V477" s="12"/>
      <x:c r="W477" s="12" t="str">
        <x:v>negative</x:v>
      </x:c>
      <x:c r="X477" s="12"/>
      <x:c r="Y477" s="12" t="str">
        <x:v>negative</x:v>
      </x:c>
      <x:c r="Z477" s="12" t="str">
        <x:f>IF(OR(W477="unavailable",Y477="unavailable"),"不可评价",IF(OR(W477="equivocal",Y477="equivocal"),"疑似",IF(AND(W477="positive",Y477="positive"),"a",IF(Y477="positive","b",IF(W477="positive","c","d")))))</x:f>
        <x:v>d</x:v>
      </x:c>
      <x:c r="AA477" s="12" t="str">
        <x:f>IF(OR(M477="unavailable",O477="unavailable"),"不可评价",IF(AND(OR(M477="positive",M477="equivocal"),OR(O477="positive",O477="equivocal")),"a",IF(OR(O477="positive",O477="equivocal"),"b",IF(OR(M477="positive",M477="equivocal"),"c","d"))))</x:f>
        <x:v>d</x:v>
      </x:c>
      <x:c r="AB477" s="12" t="str">
        <x:f>IF(OR(M477="unavailable",O477="unavailable"),"不可评价",IF(AND(M477="positive",O477="positive"),"a",IF(O477="positive","b",IF(M477="positive","c","d"))))</x:f>
        <x:v>d</x:v>
      </x:c>
      <x:c r="AC477" s="12" t="str">
        <x:f>IF(OR(R477="unavailable",T477="unavailable"),"不可评价",IF(AND(OR(R477="positive",R477="equivocal"),OR(T477="positive",T477="equivocal")),"a",IF(OR(T477="positive",T477="equivocal"),"b",IF(OR(R477="positive",R477="equivocal"),"c","d"))))</x:f>
        <x:v>d</x:v>
      </x:c>
      <x:c r="AD477" s="12" t="str">
        <x:f>IF(OR(R477="unavailable",T477="unavailable"),"不可评价",IF(AND(R477="positive",T477="positive"),"a",IF(T477="positive","b",IF(R477="positive","c","d"))))</x:f>
        <x:v>d</x:v>
      </x:c>
      <x:c r="AE477" s="12" t="str">
        <x:f>IF(OR(W477="unavailable",Y477="unavailable"),"不可评价",IF(AND(OR(W477="positive",W477="equivocal"),OR(Y477="positive",Y477="equivocal")),"a",IF(OR(Y477="positive",Y477="equivocal"),"b",IF(OR(W477="positive",W477="equivocal"),"c","d"))))</x:f>
        <x:v>d</x:v>
      </x:c>
      <x:c r="AF477" s="12" t="str">
        <x:f>IF(OR(W477="unavailable",Y477="unavailable"),"不可评价",IF(AND(W477="positive",Y477="positive"),"a",IF(Y477="positive","b",IF(W477="positive","c","d"))))</x:f>
        <x:v>d</x:v>
      </x:c>
    </x:row>
    <x:row r="478" ht="24" customHeight="1">
      <x:c r="A478" s="12" t="str">
        <x:v>3704</x:v>
      </x:c>
      <x:c r="B478" s="12" t="str">
        <x:v>11417</x:v>
      </x:c>
      <x:c r="C478" s="21" t="n">
        <x:v>32880.585439814815</x:v>
      </x:c>
      <x:c r="D478" s="12" t="n">
        <x:v>44</x:v>
      </x:c>
      <x:c r="E478" s="12" t="n">
        <x:v>1</x:v>
      </x:c>
      <x:c r="F478" s="12" t="str">
        <x:v>存在</x:v>
      </x:c>
      <x:c r="G478" s="12" t="n">
        <x:v>0</x:v>
      </x:c>
      <x:c r="H478" s="12" t="str">
        <x:v>{'NORM': 80.0, 'SR': 0.0}</x:v>
      </x:c>
      <x:c r="I478" s="12" t="str">
        <x:v>[('SBRAD', 100.0), ('ABR', 100.0)]</x:v>
      </x:c>
      <x:c r="J478" s="12" t="str">
        <x:v>ptbxl_database.csv；ecg_id=3704；scp_codes</x:v>
      </x:c>
      <x:c r="K478" s="12" t="str">
        <x:v>12sl_statements.csv；ecg_id=3704；statements_ext_snomed</x:v>
      </x:c>
      <x:c r="L478" s="12"/>
      <x:c r="M478" s="12" t="str">
        <x:v>negative</x:v>
      </x:c>
      <x:c r="N478" s="12"/>
      <x:c r="O478" s="12" t="str">
        <x:v>negative</x:v>
      </x:c>
      <x:c r="P478" s="12" t="str">
        <x:f>IF(OR(M478="unavailable",O478="unavailable"),"不可评价",IF(OR(M478="equivocal",O478="equivocal"),"疑似",IF(AND(M478="positive",O478="positive"),"a",IF(O478="positive","b",IF(M478="positive","c","d")))))</x:f>
        <x:v>d</x:v>
      </x:c>
      <x:c r="Q478" s="12"/>
      <x:c r="R478" s="12" t="str">
        <x:v>negative</x:v>
      </x:c>
      <x:c r="S478" s="12"/>
      <x:c r="T478" s="12" t="str">
        <x:v>negative</x:v>
      </x:c>
      <x:c r="U478" s="12" t="str">
        <x:f>IF(OR(R478="unavailable",T478="unavailable"),"不可评价",IF(OR(R478="equivocal",T478="equivocal"),"疑似",IF(AND(R478="positive",T478="positive"),"a",IF(T478="positive","b",IF(R478="positive","c","d")))))</x:f>
        <x:v>d</x:v>
      </x:c>
      <x:c r="V478" s="12"/>
      <x:c r="W478" s="12" t="str">
        <x:v>negative</x:v>
      </x:c>
      <x:c r="X478" s="12"/>
      <x:c r="Y478" s="12" t="str">
        <x:v>negative</x:v>
      </x:c>
      <x:c r="Z478" s="12" t="str">
        <x:f>IF(OR(W478="unavailable",Y478="unavailable"),"不可评价",IF(OR(W478="equivocal",Y478="equivocal"),"疑似",IF(AND(W478="positive",Y478="positive"),"a",IF(Y478="positive","b",IF(W478="positive","c","d")))))</x:f>
        <x:v>d</x:v>
      </x:c>
      <x:c r="AA478" s="12" t="str">
        <x:f>IF(OR(M478="unavailable",O478="unavailable"),"不可评价",IF(AND(OR(M478="positive",M478="equivocal"),OR(O478="positive",O478="equivocal")),"a",IF(OR(O478="positive",O478="equivocal"),"b",IF(OR(M478="positive",M478="equivocal"),"c","d"))))</x:f>
        <x:v>d</x:v>
      </x:c>
      <x:c r="AB478" s="12" t="str">
        <x:f>IF(OR(M478="unavailable",O478="unavailable"),"不可评价",IF(AND(M478="positive",O478="positive"),"a",IF(O478="positive","b",IF(M478="positive","c","d"))))</x:f>
        <x:v>d</x:v>
      </x:c>
      <x:c r="AC478" s="12" t="str">
        <x:f>IF(OR(R478="unavailable",T478="unavailable"),"不可评价",IF(AND(OR(R478="positive",R478="equivocal"),OR(T478="positive",T478="equivocal")),"a",IF(OR(T478="positive",T478="equivocal"),"b",IF(OR(R478="positive",R478="equivocal"),"c","d"))))</x:f>
        <x:v>d</x:v>
      </x:c>
      <x:c r="AD478" s="12" t="str">
        <x:f>IF(OR(R478="unavailable",T478="unavailable"),"不可评价",IF(AND(R478="positive",T478="positive"),"a",IF(T478="positive","b",IF(R478="positive","c","d"))))</x:f>
        <x:v>d</x:v>
      </x:c>
      <x:c r="AE478" s="12" t="str">
        <x:f>IF(OR(W478="unavailable",Y478="unavailable"),"不可评价",IF(AND(OR(W478="positive",W478="equivocal"),OR(Y478="positive",Y478="equivocal")),"a",IF(OR(Y478="positive",Y478="equivocal"),"b",IF(OR(W478="positive",W478="equivocal"),"c","d"))))</x:f>
        <x:v>d</x:v>
      </x:c>
      <x:c r="AF478" s="12" t="str">
        <x:f>IF(OR(W478="unavailable",Y478="unavailable"),"不可评价",IF(AND(W478="positive",Y478="positive"),"a",IF(Y478="positive","b",IF(W478="positive","c","d"))))</x:f>
        <x:v>d</x:v>
      </x:c>
    </x:row>
    <x:row r="479" ht="24" customHeight="1">
      <x:c r="A479" s="12" t="str">
        <x:v>3708</x:v>
      </x:c>
      <x:c r="B479" s="12" t="str">
        <x:v>7939</x:v>
      </x:c>
      <x:c r="C479" s="21" t="n">
        <x:v>32882.66405092592</x:v>
      </x:c>
      <x:c r="D479" s="12" t="n">
        <x:v>78</x:v>
      </x:c>
      <x:c r="E479" s="12" t="n">
        <x:v>1</x:v>
      </x:c>
      <x:c r="F479" s="12" t="str">
        <x:v>存在</x:v>
      </x:c>
      <x:c r="G479" s="12" t="n">
        <x:v>1</x:v>
      </x:c>
      <x:c r="H479" s="12" t="str">
        <x:v>{'IRBBB': 100.0, 'SR': 0.0}</x:v>
      </x:c>
      <x:c r="I479" s="12" t="str">
        <x:v>[('NSR', 100.0), ('IRBBB', 100.0), ('AT', 100.0), ('LNGQT', 100.0), ('AB', 100.0)]</x:v>
      </x:c>
      <x:c r="J479" s="12" t="str">
        <x:v>ptbxl_database.csv；ecg_id=3708；scp_codes</x:v>
      </x:c>
      <x:c r="K479" s="12" t="str">
        <x:v>12sl_statements.csv；ecg_id=3708；statements_ext_snomed</x:v>
      </x:c>
      <x:c r="L479" s="12"/>
      <x:c r="M479" s="12" t="str">
        <x:v>negative</x:v>
      </x:c>
      <x:c r="N479" s="12"/>
      <x:c r="O479" s="12" t="str">
        <x:v>negative</x:v>
      </x:c>
      <x:c r="P479" s="12" t="str">
        <x:f>IF(OR(M479="unavailable",O479="unavailable"),"不可评价",IF(OR(M479="equivocal",O479="equivocal"),"疑似",IF(AND(M479="positive",O479="positive"),"a",IF(O479="positive","b",IF(M479="positive","c","d")))))</x:f>
        <x:v>d</x:v>
      </x:c>
      <x:c r="Q479" s="12"/>
      <x:c r="R479" s="12" t="str">
        <x:v>negative</x:v>
      </x:c>
      <x:c r="S479" s="12"/>
      <x:c r="T479" s="12" t="str">
        <x:v>negative</x:v>
      </x:c>
      <x:c r="U479" s="12" t="str">
        <x:f>IF(OR(R479="unavailable",T479="unavailable"),"不可评价",IF(OR(R479="equivocal",T479="equivocal"),"疑似",IF(AND(R479="positive",T479="positive"),"a",IF(T479="positive","b",IF(R479="positive","c","d")))))</x:f>
        <x:v>d</x:v>
      </x:c>
      <x:c r="V479" s="12"/>
      <x:c r="W479" s="12" t="str">
        <x:v>negative</x:v>
      </x:c>
      <x:c r="X479" s="12"/>
      <x:c r="Y479" s="12" t="str">
        <x:v>negative</x:v>
      </x:c>
      <x:c r="Z479" s="12" t="str">
        <x:f>IF(OR(W479="unavailable",Y479="unavailable"),"不可评价",IF(OR(W479="equivocal",Y479="equivocal"),"疑似",IF(AND(W479="positive",Y479="positive"),"a",IF(Y479="positive","b",IF(W479="positive","c","d")))))</x:f>
        <x:v>d</x:v>
      </x:c>
      <x:c r="AA479" s="12" t="str">
        <x:f>IF(OR(M479="unavailable",O479="unavailable"),"不可评价",IF(AND(OR(M479="positive",M479="equivocal"),OR(O479="positive",O479="equivocal")),"a",IF(OR(O479="positive",O479="equivocal"),"b",IF(OR(M479="positive",M479="equivocal"),"c","d"))))</x:f>
        <x:v>d</x:v>
      </x:c>
      <x:c r="AB479" s="12" t="str">
        <x:f>IF(OR(M479="unavailable",O479="unavailable"),"不可评价",IF(AND(M479="positive",O479="positive"),"a",IF(O479="positive","b",IF(M479="positive","c","d"))))</x:f>
        <x:v>d</x:v>
      </x:c>
      <x:c r="AC479" s="12" t="str">
        <x:f>IF(OR(R479="unavailable",T479="unavailable"),"不可评价",IF(AND(OR(R479="positive",R479="equivocal"),OR(T479="positive",T479="equivocal")),"a",IF(OR(T479="positive",T479="equivocal"),"b",IF(OR(R479="positive",R479="equivocal"),"c","d"))))</x:f>
        <x:v>d</x:v>
      </x:c>
      <x:c r="AD479" s="12" t="str">
        <x:f>IF(OR(R479="unavailable",T479="unavailable"),"不可评价",IF(AND(R479="positive",T479="positive"),"a",IF(T479="positive","b",IF(R479="positive","c","d"))))</x:f>
        <x:v>d</x:v>
      </x:c>
      <x:c r="AE479" s="12" t="str">
        <x:f>IF(OR(W479="unavailable",Y479="unavailable"),"不可评价",IF(AND(OR(W479="positive",W479="equivocal"),OR(Y479="positive",Y479="equivocal")),"a",IF(OR(Y479="positive",Y479="equivocal"),"b",IF(OR(W479="positive",W479="equivocal"),"c","d"))))</x:f>
        <x:v>d</x:v>
      </x:c>
      <x:c r="AF479" s="12" t="str">
        <x:f>IF(OR(W479="unavailable",Y479="unavailable"),"不可评价",IF(AND(W479="positive",Y479="positive"),"a",IF(Y479="positive","b",IF(W479="positive","c","d"))))</x:f>
        <x:v>d</x:v>
      </x:c>
    </x:row>
    <x:row r="480" ht="24" customHeight="1">
      <x:c r="A480" s="12" t="str">
        <x:v>3712</x:v>
      </x:c>
      <x:c r="B480" s="12" t="str">
        <x:v>12929</x:v>
      </x:c>
      <x:c r="C480" s="21" t="n">
        <x:v>32884.656180555554</x:v>
      </x:c>
      <x:c r="D480" s="12" t="n">
        <x:v>66</x:v>
      </x:c>
      <x:c r="E480" s="12" t="n">
        <x:v>1</x:v>
      </x:c>
      <x:c r="F480" s="12" t="str">
        <x:v>未记录</x:v>
      </x:c>
      <x:c r="G480" s="12" t="n">
        <x:v>1</x:v>
      </x:c>
      <x:c r="H480" s="12" t="str">
        <x:v>{'NORM': 100.0, 'SR': 0.0}</x:v>
      </x:c>
      <x:c r="I480" s="12" t="str">
        <x:v>[('NSR', 100.0), ('IMI;AU', 100.0), ('AB', 100.0)]</x:v>
      </x:c>
      <x:c r="J480" s="12" t="str">
        <x:v>ptbxl_database.csv；ecg_id=3712；scp_codes</x:v>
      </x:c>
      <x:c r="K480" s="12" t="str">
        <x:v>12sl_statements.csv；ecg_id=3712；statements_ext_snomed</x:v>
      </x:c>
      <x:c r="L480" s="12"/>
      <x:c r="M480" s="12" t="str">
        <x:v>negative</x:v>
      </x:c>
      <x:c r="N480" s="12"/>
      <x:c r="O480" s="12" t="str">
        <x:v>negative</x:v>
      </x:c>
      <x:c r="P480" s="12" t="str">
        <x:f>IF(OR(M480="unavailable",O480="unavailable"),"不可评价",IF(OR(M480="equivocal",O480="equivocal"),"疑似",IF(AND(M480="positive",O480="positive"),"a",IF(O480="positive","b",IF(M480="positive","c","d")))))</x:f>
        <x:v>d</x:v>
      </x:c>
      <x:c r="Q480" s="12"/>
      <x:c r="R480" s="12" t="str">
        <x:v>negative</x:v>
      </x:c>
      <x:c r="S480" s="12"/>
      <x:c r="T480" s="12" t="str">
        <x:v>negative</x:v>
      </x:c>
      <x:c r="U480" s="12" t="str">
        <x:f>IF(OR(R480="unavailable",T480="unavailable"),"不可评价",IF(OR(R480="equivocal",T480="equivocal"),"疑似",IF(AND(R480="positive",T480="positive"),"a",IF(T480="positive","b",IF(R480="positive","c","d")))))</x:f>
        <x:v>d</x:v>
      </x:c>
      <x:c r="V480" s="12"/>
      <x:c r="W480" s="12" t="str">
        <x:v>negative</x:v>
      </x:c>
      <x:c r="X480" s="12"/>
      <x:c r="Y480" s="12" t="str">
        <x:v>negative</x:v>
      </x:c>
      <x:c r="Z480" s="12" t="str">
        <x:f>IF(OR(W480="unavailable",Y480="unavailable"),"不可评价",IF(OR(W480="equivocal",Y480="equivocal"),"疑似",IF(AND(W480="positive",Y480="positive"),"a",IF(Y480="positive","b",IF(W480="positive","c","d")))))</x:f>
        <x:v>d</x:v>
      </x:c>
      <x:c r="AA480" s="12" t="str">
        <x:f>IF(OR(M480="unavailable",O480="unavailable"),"不可评价",IF(AND(OR(M480="positive",M480="equivocal"),OR(O480="positive",O480="equivocal")),"a",IF(OR(O480="positive",O480="equivocal"),"b",IF(OR(M480="positive",M480="equivocal"),"c","d"))))</x:f>
        <x:v>d</x:v>
      </x:c>
      <x:c r="AB480" s="12" t="str">
        <x:f>IF(OR(M480="unavailable",O480="unavailable"),"不可评价",IF(AND(M480="positive",O480="positive"),"a",IF(O480="positive","b",IF(M480="positive","c","d"))))</x:f>
        <x:v>d</x:v>
      </x:c>
      <x:c r="AC480" s="12" t="str">
        <x:f>IF(OR(R480="unavailable",T480="unavailable"),"不可评价",IF(AND(OR(R480="positive",R480="equivocal"),OR(T480="positive",T480="equivocal")),"a",IF(OR(T480="positive",T480="equivocal"),"b",IF(OR(R480="positive",R480="equivocal"),"c","d"))))</x:f>
        <x:v>d</x:v>
      </x:c>
      <x:c r="AD480" s="12" t="str">
        <x:f>IF(OR(R480="unavailable",T480="unavailable"),"不可评价",IF(AND(R480="positive",T480="positive"),"a",IF(T480="positive","b",IF(R480="positive","c","d"))))</x:f>
        <x:v>d</x:v>
      </x:c>
      <x:c r="AE480" s="12" t="str">
        <x:f>IF(OR(W480="unavailable",Y480="unavailable"),"不可评价",IF(AND(OR(W480="positive",W480="equivocal"),OR(Y480="positive",Y480="equivocal")),"a",IF(OR(Y480="positive",Y480="equivocal"),"b",IF(OR(W480="positive",W480="equivocal"),"c","d"))))</x:f>
        <x:v>d</x:v>
      </x:c>
      <x:c r="AF480" s="12" t="str">
        <x:f>IF(OR(W480="unavailable",Y480="unavailable"),"不可评价",IF(AND(W480="positive",Y480="positive"),"a",IF(Y480="positive","b",IF(W480="positive","c","d"))))</x:f>
        <x:v>d</x:v>
      </x:c>
    </x:row>
    <x:row r="481" ht="24" customHeight="1">
      <x:c r="A481" s="12" t="str">
        <x:v>3723</x:v>
      </x:c>
      <x:c r="B481" s="12" t="str">
        <x:v>8287</x:v>
      </x:c>
      <x:c r="C481" s="21" t="n">
        <x:v>32888.395891203705</x:v>
      </x:c>
      <x:c r="D481" s="12" t="n">
        <x:v>70</x:v>
      </x:c>
      <x:c r="E481" s="12" t="n">
        <x:v>1</x:v>
      </x:c>
      <x:c r="F481" s="12" t="str">
        <x:v>未记录</x:v>
      </x:c>
      <x:c r="G481" s="12" t="n">
        <x:v>1</x:v>
      </x:c>
      <x:c r="H481" s="12" t="str">
        <x:v>{'PACE': 100.0}</x:v>
      </x:c>
      <x:c r="I481" s="12" t="str">
        <x:v>[('ASVPR', 100.0), ('AB', 100.0)]</x:v>
      </x:c>
      <x:c r="J481" s="12" t="str">
        <x:v>ptbxl_database.csv；ecg_id=3723；scp_codes</x:v>
      </x:c>
      <x:c r="K481" s="12" t="str">
        <x:v>12sl_statements.csv；ecg_id=3723；statements_ext_snomed</x:v>
      </x:c>
      <x:c r="L481" s="12"/>
      <x:c r="M481" s="12" t="str">
        <x:v>negative</x:v>
      </x:c>
      <x:c r="N481" s="12"/>
      <x:c r="O481" s="12" t="str">
        <x:v>negative</x:v>
      </x:c>
      <x:c r="P481" s="12" t="str">
        <x:f>IF(OR(M481="unavailable",O481="unavailable"),"不可评价",IF(OR(M481="equivocal",O481="equivocal"),"疑似",IF(AND(M481="positive",O481="positive"),"a",IF(O481="positive","b",IF(M481="positive","c","d")))))</x:f>
        <x:v>d</x:v>
      </x:c>
      <x:c r="Q481" s="12"/>
      <x:c r="R481" s="12" t="str">
        <x:v>negative</x:v>
      </x:c>
      <x:c r="S481" s="12"/>
      <x:c r="T481" s="12" t="str">
        <x:v>negative</x:v>
      </x:c>
      <x:c r="U481" s="12" t="str">
        <x:f>IF(OR(R481="unavailable",T481="unavailable"),"不可评价",IF(OR(R481="equivocal",T481="equivocal"),"疑似",IF(AND(R481="positive",T481="positive"),"a",IF(T481="positive","b",IF(R481="positive","c","d")))))</x:f>
        <x:v>d</x:v>
      </x:c>
      <x:c r="V481" s="12"/>
      <x:c r="W481" s="12" t="str">
        <x:v>negative</x:v>
      </x:c>
      <x:c r="X481" s="12"/>
      <x:c r="Y481" s="12" t="str">
        <x:v>negative</x:v>
      </x:c>
      <x:c r="Z481" s="12" t="str">
        <x:f>IF(OR(W481="unavailable",Y481="unavailable"),"不可评价",IF(OR(W481="equivocal",Y481="equivocal"),"疑似",IF(AND(W481="positive",Y481="positive"),"a",IF(Y481="positive","b",IF(W481="positive","c","d")))))</x:f>
        <x:v>d</x:v>
      </x:c>
      <x:c r="AA481" s="12" t="str">
        <x:f>IF(OR(M481="unavailable",O481="unavailable"),"不可评价",IF(AND(OR(M481="positive",M481="equivocal"),OR(O481="positive",O481="equivocal")),"a",IF(OR(O481="positive",O481="equivocal"),"b",IF(OR(M481="positive",M481="equivocal"),"c","d"))))</x:f>
        <x:v>d</x:v>
      </x:c>
      <x:c r="AB481" s="12" t="str">
        <x:f>IF(OR(M481="unavailable",O481="unavailable"),"不可评价",IF(AND(M481="positive",O481="positive"),"a",IF(O481="positive","b",IF(M481="positive","c","d"))))</x:f>
        <x:v>d</x:v>
      </x:c>
      <x:c r="AC481" s="12" t="str">
        <x:f>IF(OR(R481="unavailable",T481="unavailable"),"不可评价",IF(AND(OR(R481="positive",R481="equivocal"),OR(T481="positive",T481="equivocal")),"a",IF(OR(T481="positive",T481="equivocal"),"b",IF(OR(R481="positive",R481="equivocal"),"c","d"))))</x:f>
        <x:v>d</x:v>
      </x:c>
      <x:c r="AD481" s="12" t="str">
        <x:f>IF(OR(R481="unavailable",T481="unavailable"),"不可评价",IF(AND(R481="positive",T481="positive"),"a",IF(T481="positive","b",IF(R481="positive","c","d"))))</x:f>
        <x:v>d</x:v>
      </x:c>
      <x:c r="AE481" s="12" t="str">
        <x:f>IF(OR(W481="unavailable",Y481="unavailable"),"不可评价",IF(AND(OR(W481="positive",W481="equivocal"),OR(Y481="positive",Y481="equivocal")),"a",IF(OR(Y481="positive",Y481="equivocal"),"b",IF(OR(W481="positive",W481="equivocal"),"c","d"))))</x:f>
        <x:v>d</x:v>
      </x:c>
      <x:c r="AF481" s="12" t="str">
        <x:f>IF(OR(W481="unavailable",Y481="unavailable"),"不可评价",IF(AND(W481="positive",Y481="positive"),"a",IF(Y481="positive","b",IF(W481="positive","c","d"))))</x:f>
        <x:v>d</x:v>
      </x:c>
    </x:row>
    <x:row r="482" ht="24" customHeight="1">
      <x:c r="A482" s="12" t="str">
        <x:v>3740</x:v>
      </x:c>
      <x:c r="B482" s="12" t="str">
        <x:v>11717</x:v>
      </x:c>
      <x:c r="C482" s="21" t="n">
        <x:v>32895.56943287037</x:v>
      </x:c>
      <x:c r="D482" s="12" t="n">
        <x:v>23</x:v>
      </x:c>
      <x:c r="E482" s="12" t="n">
        <x:v>0</x:v>
      </x:c>
      <x:c r="F482" s="12" t="str">
        <x:v>未记录</x:v>
      </x:c>
      <x:c r="G482" s="12" t="n">
        <x:v>1</x:v>
      </x:c>
      <x:c r="H482" s="12" t="str">
        <x:v>{'NORM': 80.0, 'IRBBB': 100.0, 'SR': 0.0}</x:v>
      </x:c>
      <x:c r="I482" s="12" t="str">
        <x:v>[('NSR', 100.0), ('RSR', 100.0), ('BORDE', 100.0)]</x:v>
      </x:c>
      <x:c r="J482" s="12" t="str">
        <x:v>ptbxl_database.csv；ecg_id=3740；scp_codes</x:v>
      </x:c>
      <x:c r="K482" s="12" t="str">
        <x:v>12sl_statements.csv；ecg_id=3740；statements_ext_snomed</x:v>
      </x:c>
      <x:c r="L482" s="12"/>
      <x:c r="M482" s="12" t="str">
        <x:v>negative</x:v>
      </x:c>
      <x:c r="N482" s="12"/>
      <x:c r="O482" s="12" t="str">
        <x:v>negative</x:v>
      </x:c>
      <x:c r="P482" s="12" t="str">
        <x:f>IF(OR(M482="unavailable",O482="unavailable"),"不可评价",IF(OR(M482="equivocal",O482="equivocal"),"疑似",IF(AND(M482="positive",O482="positive"),"a",IF(O482="positive","b",IF(M482="positive","c","d")))))</x:f>
        <x:v>d</x:v>
      </x:c>
      <x:c r="Q482" s="12"/>
      <x:c r="R482" s="12" t="str">
        <x:v>negative</x:v>
      </x:c>
      <x:c r="S482" s="12"/>
      <x:c r="T482" s="12" t="str">
        <x:v>negative</x:v>
      </x:c>
      <x:c r="U482" s="12" t="str">
        <x:f>IF(OR(R482="unavailable",T482="unavailable"),"不可评价",IF(OR(R482="equivocal",T482="equivocal"),"疑似",IF(AND(R482="positive",T482="positive"),"a",IF(T482="positive","b",IF(R482="positive","c","d")))))</x:f>
        <x:v>d</x:v>
      </x:c>
      <x:c r="V482" s="12"/>
      <x:c r="W482" s="12" t="str">
        <x:v>negative</x:v>
      </x:c>
      <x:c r="X482" s="12"/>
      <x:c r="Y482" s="12" t="str">
        <x:v>negative</x:v>
      </x:c>
      <x:c r="Z482" s="12" t="str">
        <x:f>IF(OR(W482="unavailable",Y482="unavailable"),"不可评价",IF(OR(W482="equivocal",Y482="equivocal"),"疑似",IF(AND(W482="positive",Y482="positive"),"a",IF(Y482="positive","b",IF(W482="positive","c","d")))))</x:f>
        <x:v>d</x:v>
      </x:c>
      <x:c r="AA482" s="12" t="str">
        <x:f>IF(OR(M482="unavailable",O482="unavailable"),"不可评价",IF(AND(OR(M482="positive",M482="equivocal"),OR(O482="positive",O482="equivocal")),"a",IF(OR(O482="positive",O482="equivocal"),"b",IF(OR(M482="positive",M482="equivocal"),"c","d"))))</x:f>
        <x:v>d</x:v>
      </x:c>
      <x:c r="AB482" s="12" t="str">
        <x:f>IF(OR(M482="unavailable",O482="unavailable"),"不可评价",IF(AND(M482="positive",O482="positive"),"a",IF(O482="positive","b",IF(M482="positive","c","d"))))</x:f>
        <x:v>d</x:v>
      </x:c>
      <x:c r="AC482" s="12" t="str">
        <x:f>IF(OR(R482="unavailable",T482="unavailable"),"不可评价",IF(AND(OR(R482="positive",R482="equivocal"),OR(T482="positive",T482="equivocal")),"a",IF(OR(T482="positive",T482="equivocal"),"b",IF(OR(R482="positive",R482="equivocal"),"c","d"))))</x:f>
        <x:v>d</x:v>
      </x:c>
      <x:c r="AD482" s="12" t="str">
        <x:f>IF(OR(R482="unavailable",T482="unavailable"),"不可评价",IF(AND(R482="positive",T482="positive"),"a",IF(T482="positive","b",IF(R482="positive","c","d"))))</x:f>
        <x:v>d</x:v>
      </x:c>
      <x:c r="AE482" s="12" t="str">
        <x:f>IF(OR(W482="unavailable",Y482="unavailable"),"不可评价",IF(AND(OR(W482="positive",W482="equivocal"),OR(Y482="positive",Y482="equivocal")),"a",IF(OR(Y482="positive",Y482="equivocal"),"b",IF(OR(W482="positive",W482="equivocal"),"c","d"))))</x:f>
        <x:v>d</x:v>
      </x:c>
      <x:c r="AF482" s="12" t="str">
        <x:f>IF(OR(W482="unavailable",Y482="unavailable"),"不可评价",IF(AND(W482="positive",Y482="positive"),"a",IF(Y482="positive","b",IF(W482="positive","c","d"))))</x:f>
        <x:v>d</x:v>
      </x:c>
    </x:row>
    <x:row r="483" ht="24" customHeight="1">
      <x:c r="A483" s="12" t="str">
        <x:v>3755</x:v>
      </x:c>
      <x:c r="B483" s="12" t="str">
        <x:v>7055</x:v>
      </x:c>
      <x:c r="C483" s="21" t="n">
        <x:v>32901.651875</x:v>
      </x:c>
      <x:c r="D483" s="12" t="n">
        <x:v>71</x:v>
      </x:c>
      <x:c r="E483" s="12" t="n">
        <x:v>0</x:v>
      </x:c>
      <x:c r="F483" s="12" t="str">
        <x:v>存在</x:v>
      </x:c>
      <x:c r="G483" s="12" t="n">
        <x:v>1</x:v>
      </x:c>
      <x:c r="H483" s="12" t="str">
        <x:v>{'ALMI': 15.0, '1AVB': 100.0, 'IVCD': 100.0, 'LPR': 0.0, 'SR': 0.0}</x:v>
      </x:c>
      <x:c r="I483" s="12" t="str">
        <x:v>[('SRTH', 100.0), ('FAV', 100.0), ('LVH2', 100.0), ('QRSW', 100.0), ('AB', 100.0)]</x:v>
      </x:c>
      <x:c r="J483" s="12" t="str">
        <x:v>ptbxl_database.csv；ecg_id=3755；scp_codes</x:v>
      </x:c>
      <x:c r="K483" s="12" t="str">
        <x:v>12sl_statements.csv；ecg_id=3755；statements_ext_snomed</x:v>
      </x:c>
      <x:c r="L483" s="12"/>
      <x:c r="M483" s="12" t="str">
        <x:v>negative</x:v>
      </x:c>
      <x:c r="N483" s="12"/>
      <x:c r="O483" s="12" t="str">
        <x:v>negative</x:v>
      </x:c>
      <x:c r="P483" s="12" t="str">
        <x:f>IF(OR(M483="unavailable",O483="unavailable"),"不可评价",IF(OR(M483="equivocal",O483="equivocal"),"疑似",IF(AND(M483="positive",O483="positive"),"a",IF(O483="positive","b",IF(M483="positive","c","d")))))</x:f>
        <x:v>d</x:v>
      </x:c>
      <x:c r="Q483" s="12"/>
      <x:c r="R483" s="12" t="str">
        <x:v>negative</x:v>
      </x:c>
      <x:c r="S483" s="12"/>
      <x:c r="T483" s="12" t="str">
        <x:v>negative</x:v>
      </x:c>
      <x:c r="U483" s="12" t="str">
        <x:f>IF(OR(R483="unavailable",T483="unavailable"),"不可评价",IF(OR(R483="equivocal",T483="equivocal"),"疑似",IF(AND(R483="positive",T483="positive"),"a",IF(T483="positive","b",IF(R483="positive","c","d")))))</x:f>
        <x:v>d</x:v>
      </x:c>
      <x:c r="V483" s="12"/>
      <x:c r="W483" s="12" t="str">
        <x:v>negative</x:v>
      </x:c>
      <x:c r="X483" s="12"/>
      <x:c r="Y483" s="12" t="str">
        <x:v>negative</x:v>
      </x:c>
      <x:c r="Z483" s="12" t="str">
        <x:f>IF(OR(W483="unavailable",Y483="unavailable"),"不可评价",IF(OR(W483="equivocal",Y483="equivocal"),"疑似",IF(AND(W483="positive",Y483="positive"),"a",IF(Y483="positive","b",IF(W483="positive","c","d")))))</x:f>
        <x:v>d</x:v>
      </x:c>
      <x:c r="AA483" s="12" t="str">
        <x:f>IF(OR(M483="unavailable",O483="unavailable"),"不可评价",IF(AND(OR(M483="positive",M483="equivocal"),OR(O483="positive",O483="equivocal")),"a",IF(OR(O483="positive",O483="equivocal"),"b",IF(OR(M483="positive",M483="equivocal"),"c","d"))))</x:f>
        <x:v>d</x:v>
      </x:c>
      <x:c r="AB483" s="12" t="str">
        <x:f>IF(OR(M483="unavailable",O483="unavailable"),"不可评价",IF(AND(M483="positive",O483="positive"),"a",IF(O483="positive","b",IF(M483="positive","c","d"))))</x:f>
        <x:v>d</x:v>
      </x:c>
      <x:c r="AC483" s="12" t="str">
        <x:f>IF(OR(R483="unavailable",T483="unavailable"),"不可评价",IF(AND(OR(R483="positive",R483="equivocal"),OR(T483="positive",T483="equivocal")),"a",IF(OR(T483="positive",T483="equivocal"),"b",IF(OR(R483="positive",R483="equivocal"),"c","d"))))</x:f>
        <x:v>d</x:v>
      </x:c>
      <x:c r="AD483" s="12" t="str">
        <x:f>IF(OR(R483="unavailable",T483="unavailable"),"不可评价",IF(AND(R483="positive",T483="positive"),"a",IF(T483="positive","b",IF(R483="positive","c","d"))))</x:f>
        <x:v>d</x:v>
      </x:c>
      <x:c r="AE483" s="12" t="str">
        <x:f>IF(OR(W483="unavailable",Y483="unavailable"),"不可评价",IF(AND(OR(W483="positive",W483="equivocal"),OR(Y483="positive",Y483="equivocal")),"a",IF(OR(Y483="positive",Y483="equivocal"),"b",IF(OR(W483="positive",W483="equivocal"),"c","d"))))</x:f>
        <x:v>d</x:v>
      </x:c>
      <x:c r="AF483" s="12" t="str">
        <x:f>IF(OR(W483="unavailable",Y483="unavailable"),"不可评价",IF(AND(W483="positive",Y483="positive"),"a",IF(Y483="positive","b",IF(W483="positive","c","d"))))</x:f>
        <x:v>d</x:v>
      </x:c>
    </x:row>
    <x:row r="484" ht="24" customHeight="1">
      <x:c r="A484" s="12" t="str">
        <x:v>3756</x:v>
      </x:c>
      <x:c r="B484" s="12" t="str">
        <x:v>7478</x:v>
      </x:c>
      <x:c r="C484" s="21" t="n">
        <x:v>32901.69173611111</x:v>
      </x:c>
      <x:c r="D484" s="12" t="n">
        <x:v>43</x:v>
      </x:c>
      <x:c r="E484" s="12" t="n">
        <x:v>1</x:v>
      </x:c>
      <x:c r="F484" s="12" t="str">
        <x:v>未记录</x:v>
      </x:c>
      <x:c r="G484" s="12" t="n">
        <x:v>1</x:v>
      </x:c>
      <x:c r="H484" s="12" t="str">
        <x:v>{'NORM': 100.0, 'SR': 0.0}</x:v>
      </x:c>
      <x:c r="I484" s="12" t="str">
        <x:v>[('NSR', 100.0), ('NML', 100.0)]</x:v>
      </x:c>
      <x:c r="J484" s="12" t="str">
        <x:v>ptbxl_database.csv；ecg_id=3756；scp_codes</x:v>
      </x:c>
      <x:c r="K484" s="12" t="str">
        <x:v>12sl_statements.csv；ecg_id=3756；statements_ext_snomed</x:v>
      </x:c>
      <x:c r="L484" s="12"/>
      <x:c r="M484" s="12" t="str">
        <x:v>negative</x:v>
      </x:c>
      <x:c r="N484" s="12"/>
      <x:c r="O484" s="12" t="str">
        <x:v>negative</x:v>
      </x:c>
      <x:c r="P484" s="12" t="str">
        <x:f>IF(OR(M484="unavailable",O484="unavailable"),"不可评价",IF(OR(M484="equivocal",O484="equivocal"),"疑似",IF(AND(M484="positive",O484="positive"),"a",IF(O484="positive","b",IF(M484="positive","c","d")))))</x:f>
        <x:v>d</x:v>
      </x:c>
      <x:c r="Q484" s="12"/>
      <x:c r="R484" s="12" t="str">
        <x:v>negative</x:v>
      </x:c>
      <x:c r="S484" s="12"/>
      <x:c r="T484" s="12" t="str">
        <x:v>negative</x:v>
      </x:c>
      <x:c r="U484" s="12" t="str">
        <x:f>IF(OR(R484="unavailable",T484="unavailable"),"不可评价",IF(OR(R484="equivocal",T484="equivocal"),"疑似",IF(AND(R484="positive",T484="positive"),"a",IF(T484="positive","b",IF(R484="positive","c","d")))))</x:f>
        <x:v>d</x:v>
      </x:c>
      <x:c r="V484" s="12"/>
      <x:c r="W484" s="12" t="str">
        <x:v>negative</x:v>
      </x:c>
      <x:c r="X484" s="12"/>
      <x:c r="Y484" s="12" t="str">
        <x:v>negative</x:v>
      </x:c>
      <x:c r="Z484" s="12" t="str">
        <x:f>IF(OR(W484="unavailable",Y484="unavailable"),"不可评价",IF(OR(W484="equivocal",Y484="equivocal"),"疑似",IF(AND(W484="positive",Y484="positive"),"a",IF(Y484="positive","b",IF(W484="positive","c","d")))))</x:f>
        <x:v>d</x:v>
      </x:c>
      <x:c r="AA484" s="12" t="str">
        <x:f>IF(OR(M484="unavailable",O484="unavailable"),"不可评价",IF(AND(OR(M484="positive",M484="equivocal"),OR(O484="positive",O484="equivocal")),"a",IF(OR(O484="positive",O484="equivocal"),"b",IF(OR(M484="positive",M484="equivocal"),"c","d"))))</x:f>
        <x:v>d</x:v>
      </x:c>
      <x:c r="AB484" s="12" t="str">
        <x:f>IF(OR(M484="unavailable",O484="unavailable"),"不可评价",IF(AND(M484="positive",O484="positive"),"a",IF(O484="positive","b",IF(M484="positive","c","d"))))</x:f>
        <x:v>d</x:v>
      </x:c>
      <x:c r="AC484" s="12" t="str">
        <x:f>IF(OR(R484="unavailable",T484="unavailable"),"不可评价",IF(AND(OR(R484="positive",R484="equivocal"),OR(T484="positive",T484="equivocal")),"a",IF(OR(T484="positive",T484="equivocal"),"b",IF(OR(R484="positive",R484="equivocal"),"c","d"))))</x:f>
        <x:v>d</x:v>
      </x:c>
      <x:c r="AD484" s="12" t="str">
        <x:f>IF(OR(R484="unavailable",T484="unavailable"),"不可评价",IF(AND(R484="positive",T484="positive"),"a",IF(T484="positive","b",IF(R484="positive","c","d"))))</x:f>
        <x:v>d</x:v>
      </x:c>
      <x:c r="AE484" s="12" t="str">
        <x:f>IF(OR(W484="unavailable",Y484="unavailable"),"不可评价",IF(AND(OR(W484="positive",W484="equivocal"),OR(Y484="positive",Y484="equivocal")),"a",IF(OR(Y484="positive",Y484="equivocal"),"b",IF(OR(W484="positive",W484="equivocal"),"c","d"))))</x:f>
        <x:v>d</x:v>
      </x:c>
      <x:c r="AF484" s="12" t="str">
        <x:f>IF(OR(W484="unavailable",Y484="unavailable"),"不可评价",IF(AND(W484="positive",Y484="positive"),"a",IF(Y484="positive","b",IF(W484="positive","c","d"))))</x:f>
        <x:v>d</x:v>
      </x:c>
    </x:row>
    <x:row r="485" ht="24" customHeight="1">
      <x:c r="A485" s="12" t="str">
        <x:v>3785</x:v>
      </x:c>
      <x:c r="B485" s="12" t="str">
        <x:v>12443</x:v>
      </x:c>
      <x:c r="C485" s="21" t="n">
        <x:v>32924.39674768518</x:v>
      </x:c>
      <x:c r="D485" s="12" t="n">
        <x:v>64</x:v>
      </x:c>
      <x:c r="E485" s="12" t="n">
        <x:v>0</x:v>
      </x:c>
      <x:c r="F485" s="12" t="str">
        <x:v>未记录</x:v>
      </x:c>
      <x:c r="G485" s="12" t="n">
        <x:v>1</x:v>
      </x:c>
      <x:c r="H485" s="12" t="str">
        <x:v>{'LVH': 100.0, 'SR': 0.0}</x:v>
      </x:c>
      <x:c r="I485" s="12" t="str">
        <x:v>[('NSR', 100.0), ('NML', 100.0)]</x:v>
      </x:c>
      <x:c r="J485" s="12" t="str">
        <x:v>ptbxl_database.csv；ecg_id=3785；scp_codes</x:v>
      </x:c>
      <x:c r="K485" s="12" t="str">
        <x:v>12sl_statements.csv；ecg_id=3785；statements_ext_snomed</x:v>
      </x:c>
      <x:c r="L485" s="12"/>
      <x:c r="M485" s="12" t="str">
        <x:v>negative</x:v>
      </x:c>
      <x:c r="N485" s="12"/>
      <x:c r="O485" s="12" t="str">
        <x:v>negative</x:v>
      </x:c>
      <x:c r="P485" s="12" t="str">
        <x:f>IF(OR(M485="unavailable",O485="unavailable"),"不可评价",IF(OR(M485="equivocal",O485="equivocal"),"疑似",IF(AND(M485="positive",O485="positive"),"a",IF(O485="positive","b",IF(M485="positive","c","d")))))</x:f>
        <x:v>d</x:v>
      </x:c>
      <x:c r="Q485" s="12"/>
      <x:c r="R485" s="12" t="str">
        <x:v>negative</x:v>
      </x:c>
      <x:c r="S485" s="12"/>
      <x:c r="T485" s="12" t="str">
        <x:v>negative</x:v>
      </x:c>
      <x:c r="U485" s="12" t="str">
        <x:f>IF(OR(R485="unavailable",T485="unavailable"),"不可评价",IF(OR(R485="equivocal",T485="equivocal"),"疑似",IF(AND(R485="positive",T485="positive"),"a",IF(T485="positive","b",IF(R485="positive","c","d")))))</x:f>
        <x:v>d</x:v>
      </x:c>
      <x:c r="V485" s="12"/>
      <x:c r="W485" s="12" t="str">
        <x:v>negative</x:v>
      </x:c>
      <x:c r="X485" s="12"/>
      <x:c r="Y485" s="12" t="str">
        <x:v>negative</x:v>
      </x:c>
      <x:c r="Z485" s="12" t="str">
        <x:f>IF(OR(W485="unavailable",Y485="unavailable"),"不可评价",IF(OR(W485="equivocal",Y485="equivocal"),"疑似",IF(AND(W485="positive",Y485="positive"),"a",IF(Y485="positive","b",IF(W485="positive","c","d")))))</x:f>
        <x:v>d</x:v>
      </x:c>
      <x:c r="AA485" s="12" t="str">
        <x:f>IF(OR(M485="unavailable",O485="unavailable"),"不可评价",IF(AND(OR(M485="positive",M485="equivocal"),OR(O485="positive",O485="equivocal")),"a",IF(OR(O485="positive",O485="equivocal"),"b",IF(OR(M485="positive",M485="equivocal"),"c","d"))))</x:f>
        <x:v>d</x:v>
      </x:c>
      <x:c r="AB485" s="12" t="str">
        <x:f>IF(OR(M485="unavailable",O485="unavailable"),"不可评价",IF(AND(M485="positive",O485="positive"),"a",IF(O485="positive","b",IF(M485="positive","c","d"))))</x:f>
        <x:v>d</x:v>
      </x:c>
      <x:c r="AC485" s="12" t="str">
        <x:f>IF(OR(R485="unavailable",T485="unavailable"),"不可评价",IF(AND(OR(R485="positive",R485="equivocal"),OR(T485="positive",T485="equivocal")),"a",IF(OR(T485="positive",T485="equivocal"),"b",IF(OR(R485="positive",R485="equivocal"),"c","d"))))</x:f>
        <x:v>d</x:v>
      </x:c>
      <x:c r="AD485" s="12" t="str">
        <x:f>IF(OR(R485="unavailable",T485="unavailable"),"不可评价",IF(AND(R485="positive",T485="positive"),"a",IF(T485="positive","b",IF(R485="positive","c","d"))))</x:f>
        <x:v>d</x:v>
      </x:c>
      <x:c r="AE485" s="12" t="str">
        <x:f>IF(OR(W485="unavailable",Y485="unavailable"),"不可评价",IF(AND(OR(W485="positive",W485="equivocal"),OR(Y485="positive",Y485="equivocal")),"a",IF(OR(Y485="positive",Y485="equivocal"),"b",IF(OR(W485="positive",W485="equivocal"),"c","d"))))</x:f>
        <x:v>d</x:v>
      </x:c>
      <x:c r="AF485" s="12" t="str">
        <x:f>IF(OR(W485="unavailable",Y485="unavailable"),"不可评价",IF(AND(W485="positive",Y485="positive"),"a",IF(Y485="positive","b",IF(W485="positive","c","d"))))</x:f>
        <x:v>d</x:v>
      </x:c>
    </x:row>
    <x:row r="486" ht="24" customHeight="1">
      <x:c r="A486" s="12" t="str">
        <x:v>3791</x:v>
      </x:c>
      <x:c r="B486" s="12" t="str">
        <x:v>13759</x:v>
      </x:c>
      <x:c r="C486" s="21" t="n">
        <x:v>32925.245844907404</x:v>
      </x:c>
      <x:c r="D486" s="12" t="n">
        <x:v>47</x:v>
      </x:c>
      <x:c r="E486" s="12" t="n">
        <x:v>0</x:v>
      </x:c>
      <x:c r="F486" s="12" t="str">
        <x:v>存在</x:v>
      </x:c>
      <x:c r="G486" s="12" t="n">
        <x:v>1</x:v>
      </x:c>
      <x:c r="H486" s="12" t="str">
        <x:v>{'IRBBB': 100.0, 'SR': 0.0}</x:v>
      </x:c>
      <x:c r="I486" s="12" t="str">
        <x:v>[('NSR', 100.0), ('NML', 100.0)]</x:v>
      </x:c>
      <x:c r="J486" s="12" t="str">
        <x:v>ptbxl_database.csv；ecg_id=3791；scp_codes</x:v>
      </x:c>
      <x:c r="K486" s="12" t="str">
        <x:v>12sl_statements.csv；ecg_id=3791；statements_ext_snomed</x:v>
      </x:c>
      <x:c r="L486" s="12"/>
      <x:c r="M486" s="12" t="str">
        <x:v>negative</x:v>
      </x:c>
      <x:c r="N486" s="12"/>
      <x:c r="O486" s="12" t="str">
        <x:v>negative</x:v>
      </x:c>
      <x:c r="P486" s="12" t="str">
        <x:f>IF(OR(M486="unavailable",O486="unavailable"),"不可评价",IF(OR(M486="equivocal",O486="equivocal"),"疑似",IF(AND(M486="positive",O486="positive"),"a",IF(O486="positive","b",IF(M486="positive","c","d")))))</x:f>
        <x:v>d</x:v>
      </x:c>
      <x:c r="Q486" s="12"/>
      <x:c r="R486" s="12" t="str">
        <x:v>negative</x:v>
      </x:c>
      <x:c r="S486" s="12"/>
      <x:c r="T486" s="12" t="str">
        <x:v>negative</x:v>
      </x:c>
      <x:c r="U486" s="12" t="str">
        <x:f>IF(OR(R486="unavailable",T486="unavailable"),"不可评价",IF(OR(R486="equivocal",T486="equivocal"),"疑似",IF(AND(R486="positive",T486="positive"),"a",IF(T486="positive","b",IF(R486="positive","c","d")))))</x:f>
        <x:v>d</x:v>
      </x:c>
      <x:c r="V486" s="12"/>
      <x:c r="W486" s="12" t="str">
        <x:v>negative</x:v>
      </x:c>
      <x:c r="X486" s="12"/>
      <x:c r="Y486" s="12" t="str">
        <x:v>negative</x:v>
      </x:c>
      <x:c r="Z486" s="12" t="str">
        <x:f>IF(OR(W486="unavailable",Y486="unavailable"),"不可评价",IF(OR(W486="equivocal",Y486="equivocal"),"疑似",IF(AND(W486="positive",Y486="positive"),"a",IF(Y486="positive","b",IF(W486="positive","c","d")))))</x:f>
        <x:v>d</x:v>
      </x:c>
      <x:c r="AA486" s="12" t="str">
        <x:f>IF(OR(M486="unavailable",O486="unavailable"),"不可评价",IF(AND(OR(M486="positive",M486="equivocal"),OR(O486="positive",O486="equivocal")),"a",IF(OR(O486="positive",O486="equivocal"),"b",IF(OR(M486="positive",M486="equivocal"),"c","d"))))</x:f>
        <x:v>d</x:v>
      </x:c>
      <x:c r="AB486" s="12" t="str">
        <x:f>IF(OR(M486="unavailable",O486="unavailable"),"不可评价",IF(AND(M486="positive",O486="positive"),"a",IF(O486="positive","b",IF(M486="positive","c","d"))))</x:f>
        <x:v>d</x:v>
      </x:c>
      <x:c r="AC486" s="12" t="str">
        <x:f>IF(OR(R486="unavailable",T486="unavailable"),"不可评价",IF(AND(OR(R486="positive",R486="equivocal"),OR(T486="positive",T486="equivocal")),"a",IF(OR(T486="positive",T486="equivocal"),"b",IF(OR(R486="positive",R486="equivocal"),"c","d"))))</x:f>
        <x:v>d</x:v>
      </x:c>
      <x:c r="AD486" s="12" t="str">
        <x:f>IF(OR(R486="unavailable",T486="unavailable"),"不可评价",IF(AND(R486="positive",T486="positive"),"a",IF(T486="positive","b",IF(R486="positive","c","d"))))</x:f>
        <x:v>d</x:v>
      </x:c>
      <x:c r="AE486" s="12" t="str">
        <x:f>IF(OR(W486="unavailable",Y486="unavailable"),"不可评价",IF(AND(OR(W486="positive",W486="equivocal"),OR(Y486="positive",Y486="equivocal")),"a",IF(OR(Y486="positive",Y486="equivocal"),"b",IF(OR(W486="positive",W486="equivocal"),"c","d"))))</x:f>
        <x:v>d</x:v>
      </x:c>
      <x:c r="AF486" s="12" t="str">
        <x:f>IF(OR(W486="unavailable",Y486="unavailable"),"不可评价",IF(AND(W486="positive",Y486="positive"),"a",IF(Y486="positive","b",IF(W486="positive","c","d"))))</x:f>
        <x:v>d</x:v>
      </x:c>
    </x:row>
    <x:row r="487" ht="24" customHeight="1">
      <x:c r="A487" s="12" t="str">
        <x:v>3793</x:v>
      </x:c>
      <x:c r="B487" s="12" t="str">
        <x:v>16721</x:v>
      </x:c>
      <x:c r="C487" s="21" t="n">
        <x:v>32925.41489583333</x:v>
      </x:c>
      <x:c r="D487" s="12" t="n">
        <x:v>64</x:v>
      </x:c>
      <x:c r="E487" s="12" t="n">
        <x:v>0</x:v>
      </x:c>
      <x:c r="F487" s="12" t="str">
        <x:v>存在</x:v>
      </x:c>
      <x:c r="G487" s="12" t="n">
        <x:v>1</x:v>
      </x:c>
      <x:c r="H487" s="12" t="str">
        <x:v>{'PACE': 100.0}</x:v>
      </x:c>
      <x:c r="I487" s="12" t="str">
        <x:v>[('VPR', 100.0), ('SCX', 100.0), ('OCC', 100.0), ('PVC', 100.0), ('AB', 100.0)]</x:v>
      </x:c>
      <x:c r="J487" s="12" t="str">
        <x:v>ptbxl_database.csv；ecg_id=3793；scp_codes</x:v>
      </x:c>
      <x:c r="K487" s="12" t="str">
        <x:v>12sl_statements.csv；ecg_id=3793；statements_ext_snomed</x:v>
      </x:c>
      <x:c r="L487" s="12"/>
      <x:c r="M487" s="12" t="str">
        <x:v>negative</x:v>
      </x:c>
      <x:c r="N487" s="12"/>
      <x:c r="O487" s="12" t="str">
        <x:v>negative</x:v>
      </x:c>
      <x:c r="P487" s="12" t="str">
        <x:f>IF(OR(M487="unavailable",O487="unavailable"),"不可评价",IF(OR(M487="equivocal",O487="equivocal"),"疑似",IF(AND(M487="positive",O487="positive"),"a",IF(O487="positive","b",IF(M487="positive","c","d")))))</x:f>
        <x:v>d</x:v>
      </x:c>
      <x:c r="Q487" s="12"/>
      <x:c r="R487" s="12" t="str">
        <x:v>negative</x:v>
      </x:c>
      <x:c r="S487" s="12"/>
      <x:c r="T487" s="12" t="str">
        <x:v>negative</x:v>
      </x:c>
      <x:c r="U487" s="12" t="str">
        <x:f>IF(OR(R487="unavailable",T487="unavailable"),"不可评价",IF(OR(R487="equivocal",T487="equivocal"),"疑似",IF(AND(R487="positive",T487="positive"),"a",IF(T487="positive","b",IF(R487="positive","c","d")))))</x:f>
        <x:v>d</x:v>
      </x:c>
      <x:c r="V487" s="12"/>
      <x:c r="W487" s="12" t="str">
        <x:v>negative</x:v>
      </x:c>
      <x:c r="X487" s="12"/>
      <x:c r="Y487" s="12" t="str">
        <x:v>negative</x:v>
      </x:c>
      <x:c r="Z487" s="12" t="str">
        <x:f>IF(OR(W487="unavailable",Y487="unavailable"),"不可评价",IF(OR(W487="equivocal",Y487="equivocal"),"疑似",IF(AND(W487="positive",Y487="positive"),"a",IF(Y487="positive","b",IF(W487="positive","c","d")))))</x:f>
        <x:v>d</x:v>
      </x:c>
      <x:c r="AA487" s="12" t="str">
        <x:f>IF(OR(M487="unavailable",O487="unavailable"),"不可评价",IF(AND(OR(M487="positive",M487="equivocal"),OR(O487="positive",O487="equivocal")),"a",IF(OR(O487="positive",O487="equivocal"),"b",IF(OR(M487="positive",M487="equivocal"),"c","d"))))</x:f>
        <x:v>d</x:v>
      </x:c>
      <x:c r="AB487" s="12" t="str">
        <x:f>IF(OR(M487="unavailable",O487="unavailable"),"不可评价",IF(AND(M487="positive",O487="positive"),"a",IF(O487="positive","b",IF(M487="positive","c","d"))))</x:f>
        <x:v>d</x:v>
      </x:c>
      <x:c r="AC487" s="12" t="str">
        <x:f>IF(OR(R487="unavailable",T487="unavailable"),"不可评价",IF(AND(OR(R487="positive",R487="equivocal"),OR(T487="positive",T487="equivocal")),"a",IF(OR(T487="positive",T487="equivocal"),"b",IF(OR(R487="positive",R487="equivocal"),"c","d"))))</x:f>
        <x:v>d</x:v>
      </x:c>
      <x:c r="AD487" s="12" t="str">
        <x:f>IF(OR(R487="unavailable",T487="unavailable"),"不可评价",IF(AND(R487="positive",T487="positive"),"a",IF(T487="positive","b",IF(R487="positive","c","d"))))</x:f>
        <x:v>d</x:v>
      </x:c>
      <x:c r="AE487" s="12" t="str">
        <x:f>IF(OR(W487="unavailable",Y487="unavailable"),"不可评价",IF(AND(OR(W487="positive",W487="equivocal"),OR(Y487="positive",Y487="equivocal")),"a",IF(OR(Y487="positive",Y487="equivocal"),"b",IF(OR(W487="positive",W487="equivocal"),"c","d"))))</x:f>
        <x:v>d</x:v>
      </x:c>
      <x:c r="AF487" s="12" t="str">
        <x:f>IF(OR(W487="unavailable",Y487="unavailable"),"不可评价",IF(AND(W487="positive",Y487="positive"),"a",IF(Y487="positive","b",IF(W487="positive","c","d"))))</x:f>
        <x:v>d</x:v>
      </x:c>
    </x:row>
    <x:row r="488" ht="24" customHeight="1">
      <x:c r="A488" s="12" t="str">
        <x:v>3805</x:v>
      </x:c>
      <x:c r="B488" s="12" t="str">
        <x:v>1889</x:v>
      </x:c>
      <x:c r="C488" s="21" t="n">
        <x:v>32928.71393518519</x:v>
      </x:c>
      <x:c r="D488" s="12" t="n">
        <x:v>73</x:v>
      </x:c>
      <x:c r="E488" s="12" t="n">
        <x:v>0</x:v>
      </x:c>
      <x:c r="F488" s="12" t="str">
        <x:v>未记录</x:v>
      </x:c>
      <x:c r="G488" s="12" t="n">
        <x:v>1</x:v>
      </x:c>
      <x:c r="H488" s="12" t="str">
        <x:v>{'ASMI': 100.0, 'LMI': 15.0}</x:v>
      </x:c>
      <x:c r="I488" s="12" t="str">
        <x:v>[('SRTH', 100.0), ('PVC', 100.0), ('AMI;AU', 15.0), ('AB', 100.0)]</x:v>
      </x:c>
      <x:c r="J488" s="12" t="str">
        <x:v>ptbxl_database.csv；ecg_id=3805；scp_codes</x:v>
      </x:c>
      <x:c r="K488" s="12" t="str">
        <x:v>12sl_statements.csv；ecg_id=3805；statements_ext_snomed</x:v>
      </x:c>
      <x:c r="L488" s="12"/>
      <x:c r="M488" s="12" t="str">
        <x:v>negative</x:v>
      </x:c>
      <x:c r="N488" s="12"/>
      <x:c r="O488" s="12" t="str">
        <x:v>negative</x:v>
      </x:c>
      <x:c r="P488" s="12" t="str">
        <x:f>IF(OR(M488="unavailable",O488="unavailable"),"不可评价",IF(OR(M488="equivocal",O488="equivocal"),"疑似",IF(AND(M488="positive",O488="positive"),"a",IF(O488="positive","b",IF(M488="positive","c","d")))))</x:f>
        <x:v>d</x:v>
      </x:c>
      <x:c r="Q488" s="12"/>
      <x:c r="R488" s="12" t="str">
        <x:v>negative</x:v>
      </x:c>
      <x:c r="S488" s="12"/>
      <x:c r="T488" s="12" t="str">
        <x:v>negative</x:v>
      </x:c>
      <x:c r="U488" s="12" t="str">
        <x:f>IF(OR(R488="unavailable",T488="unavailable"),"不可评价",IF(OR(R488="equivocal",T488="equivocal"),"疑似",IF(AND(R488="positive",T488="positive"),"a",IF(T488="positive","b",IF(R488="positive","c","d")))))</x:f>
        <x:v>d</x:v>
      </x:c>
      <x:c r="V488" s="12"/>
      <x:c r="W488" s="12" t="str">
        <x:v>negative</x:v>
      </x:c>
      <x:c r="X488" s="12"/>
      <x:c r="Y488" s="12" t="str">
        <x:v>negative</x:v>
      </x:c>
      <x:c r="Z488" s="12" t="str">
        <x:f>IF(OR(W488="unavailable",Y488="unavailable"),"不可评价",IF(OR(W488="equivocal",Y488="equivocal"),"疑似",IF(AND(W488="positive",Y488="positive"),"a",IF(Y488="positive","b",IF(W488="positive","c","d")))))</x:f>
        <x:v>d</x:v>
      </x:c>
      <x:c r="AA488" s="12" t="str">
        <x:f>IF(OR(M488="unavailable",O488="unavailable"),"不可评价",IF(AND(OR(M488="positive",M488="equivocal"),OR(O488="positive",O488="equivocal")),"a",IF(OR(O488="positive",O488="equivocal"),"b",IF(OR(M488="positive",M488="equivocal"),"c","d"))))</x:f>
        <x:v>d</x:v>
      </x:c>
      <x:c r="AB488" s="12" t="str">
        <x:f>IF(OR(M488="unavailable",O488="unavailable"),"不可评价",IF(AND(M488="positive",O488="positive"),"a",IF(O488="positive","b",IF(M488="positive","c","d"))))</x:f>
        <x:v>d</x:v>
      </x:c>
      <x:c r="AC488" s="12" t="str">
        <x:f>IF(OR(R488="unavailable",T488="unavailable"),"不可评价",IF(AND(OR(R488="positive",R488="equivocal"),OR(T488="positive",T488="equivocal")),"a",IF(OR(T488="positive",T488="equivocal"),"b",IF(OR(R488="positive",R488="equivocal"),"c","d"))))</x:f>
        <x:v>d</x:v>
      </x:c>
      <x:c r="AD488" s="12" t="str">
        <x:f>IF(OR(R488="unavailable",T488="unavailable"),"不可评价",IF(AND(R488="positive",T488="positive"),"a",IF(T488="positive","b",IF(R488="positive","c","d"))))</x:f>
        <x:v>d</x:v>
      </x:c>
      <x:c r="AE488" s="12" t="str">
        <x:f>IF(OR(W488="unavailable",Y488="unavailable"),"不可评价",IF(AND(OR(W488="positive",W488="equivocal"),OR(Y488="positive",Y488="equivocal")),"a",IF(OR(Y488="positive",Y488="equivocal"),"b",IF(OR(W488="positive",W488="equivocal"),"c","d"))))</x:f>
        <x:v>d</x:v>
      </x:c>
      <x:c r="AF488" s="12" t="str">
        <x:f>IF(OR(W488="unavailable",Y488="unavailable"),"不可评价",IF(AND(W488="positive",Y488="positive"),"a",IF(Y488="positive","b",IF(W488="positive","c","d"))))</x:f>
        <x:v>d</x:v>
      </x:c>
    </x:row>
    <x:row r="489" ht="39" customHeight="1">
      <x:c r="A489" s="12" t="str">
        <x:v>3827</x:v>
      </x:c>
      <x:c r="B489" s="12" t="str">
        <x:v>15293</x:v>
      </x:c>
      <x:c r="C489" s="21" t="n">
        <x:v>32930.511979166666</x:v>
      </x:c>
      <x:c r="D489" s="12" t="n">
        <x:v>300</x:v>
      </x:c>
      <x:c r="E489" s="12" t="n">
        <x:v>0</x:v>
      </x:c>
      <x:c r="F489" s="12" t="str">
        <x:v>未记录</x:v>
      </x:c>
      <x:c r="G489" s="12" t="n">
        <x:v>1</x:v>
      </x:c>
      <x:c r="H489" s="12" t="str">
        <x:v>{'IMI': 100.0, 'ASMI': 100.0, 'LVH': 80.0, 'ISC_': 100.0, 'LAFB': 100.0, 'SR': 0.0}</x:v>
      </x:c>
      <x:c r="I489" s="12" t="str">
        <x:v>[('SRTH', 100.0), ('FAV', 100.0), ('PAC', 100.0), ('$SABCOND', 100.0), ('LAD3', 100.0), ('ILBBB', 100.0), ('LVH2', 100.0), ('2ST', 100.0), ('AB', 100.0)]</x:v>
      </x:c>
      <x:c r="J489" s="12" t="str">
        <x:v>ptbxl_database.csv；ecg_id=3827；scp_codes</x:v>
      </x:c>
      <x:c r="K489" s="12" t="str">
        <x:v>12sl_statements.csv；ecg_id=3827；statements_ext_snomed</x:v>
      </x:c>
      <x:c r="L489" s="12"/>
      <x:c r="M489" s="12" t="str">
        <x:v>negative</x:v>
      </x:c>
      <x:c r="N489" s="12"/>
      <x:c r="O489" s="12" t="str">
        <x:v>negative</x:v>
      </x:c>
      <x:c r="P489" s="12" t="str">
        <x:f>IF(OR(M489="unavailable",O489="unavailable"),"不可评价",IF(OR(M489="equivocal",O489="equivocal"),"疑似",IF(AND(M489="positive",O489="positive"),"a",IF(O489="positive","b",IF(M489="positive","c","d")))))</x:f>
        <x:v>d</x:v>
      </x:c>
      <x:c r="Q489" s="12"/>
      <x:c r="R489" s="12" t="str">
        <x:v>negative</x:v>
      </x:c>
      <x:c r="S489" s="12"/>
      <x:c r="T489" s="12" t="str">
        <x:v>negative</x:v>
      </x:c>
      <x:c r="U489" s="12" t="str">
        <x:f>IF(OR(R489="unavailable",T489="unavailable"),"不可评价",IF(OR(R489="equivocal",T489="equivocal"),"疑似",IF(AND(R489="positive",T489="positive"),"a",IF(T489="positive","b",IF(R489="positive","c","d")))))</x:f>
        <x:v>d</x:v>
      </x:c>
      <x:c r="V489" s="12"/>
      <x:c r="W489" s="12" t="str">
        <x:v>negative</x:v>
      </x:c>
      <x:c r="X489" s="12"/>
      <x:c r="Y489" s="12" t="str">
        <x:v>negative</x:v>
      </x:c>
      <x:c r="Z489" s="12" t="str">
        <x:f>IF(OR(W489="unavailable",Y489="unavailable"),"不可评价",IF(OR(W489="equivocal",Y489="equivocal"),"疑似",IF(AND(W489="positive",Y489="positive"),"a",IF(Y489="positive","b",IF(W489="positive","c","d")))))</x:f>
        <x:v>d</x:v>
      </x:c>
      <x:c r="AA489" s="12" t="str">
        <x:f>IF(OR(M489="unavailable",O489="unavailable"),"不可评价",IF(AND(OR(M489="positive",M489="equivocal"),OR(O489="positive",O489="equivocal")),"a",IF(OR(O489="positive",O489="equivocal"),"b",IF(OR(M489="positive",M489="equivocal"),"c","d"))))</x:f>
        <x:v>d</x:v>
      </x:c>
      <x:c r="AB489" s="12" t="str">
        <x:f>IF(OR(M489="unavailable",O489="unavailable"),"不可评价",IF(AND(M489="positive",O489="positive"),"a",IF(O489="positive","b",IF(M489="positive","c","d"))))</x:f>
        <x:v>d</x:v>
      </x:c>
      <x:c r="AC489" s="12" t="str">
        <x:f>IF(OR(R489="unavailable",T489="unavailable"),"不可评价",IF(AND(OR(R489="positive",R489="equivocal"),OR(T489="positive",T489="equivocal")),"a",IF(OR(T489="positive",T489="equivocal"),"b",IF(OR(R489="positive",R489="equivocal"),"c","d"))))</x:f>
        <x:v>d</x:v>
      </x:c>
      <x:c r="AD489" s="12" t="str">
        <x:f>IF(OR(R489="unavailable",T489="unavailable"),"不可评价",IF(AND(R489="positive",T489="positive"),"a",IF(T489="positive","b",IF(R489="positive","c","d"))))</x:f>
        <x:v>d</x:v>
      </x:c>
      <x:c r="AE489" s="12" t="str">
        <x:f>IF(OR(W489="unavailable",Y489="unavailable"),"不可评价",IF(AND(OR(W489="positive",W489="equivocal"),OR(Y489="positive",Y489="equivocal")),"a",IF(OR(Y489="positive",Y489="equivocal"),"b",IF(OR(W489="positive",W489="equivocal"),"c","d"))))</x:f>
        <x:v>d</x:v>
      </x:c>
      <x:c r="AF489" s="12" t="str">
        <x:f>IF(OR(W489="unavailable",Y489="unavailable"),"不可评价",IF(AND(W489="positive",Y489="positive"),"a",IF(Y489="positive","b",IF(W489="positive","c","d"))))</x:f>
        <x:v>d</x:v>
      </x:c>
    </x:row>
    <x:row r="490" ht="24" customHeight="1">
      <x:c r="A490" s="12" t="str">
        <x:v>3842</x:v>
      </x:c>
      <x:c r="B490" s="12" t="str">
        <x:v>12477</x:v>
      </x:c>
      <x:c r="C490" s="21" t="n">
        <x:v>32932.45914351852</x:v>
      </x:c>
      <x:c r="D490" s="12" t="n">
        <x:v>61</x:v>
      </x:c>
      <x:c r="E490" s="12" t="n">
        <x:v>0</x:v>
      </x:c>
      <x:c r="F490" s="12" t="str">
        <x:v>未记录</x:v>
      </x:c>
      <x:c r="G490" s="12" t="n">
        <x:v>1</x:v>
      </x:c>
      <x:c r="H490" s="12" t="str">
        <x:v>{'NST_': 100.0, 'LVH': 50.0, 'SBRAD': 0.0}</x:v>
      </x:c>
      <x:c r="I490" s="12" t="str">
        <x:v>[('SBRAD', 100.0), ('BORDE', 100.0)]</x:v>
      </x:c>
      <x:c r="J490" s="12" t="str">
        <x:v>ptbxl_database.csv；ecg_id=3842；scp_codes</x:v>
      </x:c>
      <x:c r="K490" s="12" t="str">
        <x:v>12sl_statements.csv；ecg_id=3842；statements_ext_snomed</x:v>
      </x:c>
      <x:c r="L490" s="12"/>
      <x:c r="M490" s="12" t="str">
        <x:v>negative</x:v>
      </x:c>
      <x:c r="N490" s="12"/>
      <x:c r="O490" s="12" t="str">
        <x:v>negative</x:v>
      </x:c>
      <x:c r="P490" s="12" t="str">
        <x:f>IF(OR(M490="unavailable",O490="unavailable"),"不可评价",IF(OR(M490="equivocal",O490="equivocal"),"疑似",IF(AND(M490="positive",O490="positive"),"a",IF(O490="positive","b",IF(M490="positive","c","d")))))</x:f>
        <x:v>d</x:v>
      </x:c>
      <x:c r="Q490" s="12"/>
      <x:c r="R490" s="12" t="str">
        <x:v>negative</x:v>
      </x:c>
      <x:c r="S490" s="12"/>
      <x:c r="T490" s="12" t="str">
        <x:v>negative</x:v>
      </x:c>
      <x:c r="U490" s="12" t="str">
        <x:f>IF(OR(R490="unavailable",T490="unavailable"),"不可评价",IF(OR(R490="equivocal",T490="equivocal"),"疑似",IF(AND(R490="positive",T490="positive"),"a",IF(T490="positive","b",IF(R490="positive","c","d")))))</x:f>
        <x:v>d</x:v>
      </x:c>
      <x:c r="V490" s="12"/>
      <x:c r="W490" s="12" t="str">
        <x:v>negative</x:v>
      </x:c>
      <x:c r="X490" s="12"/>
      <x:c r="Y490" s="12" t="str">
        <x:v>negative</x:v>
      </x:c>
      <x:c r="Z490" s="12" t="str">
        <x:f>IF(OR(W490="unavailable",Y490="unavailable"),"不可评价",IF(OR(W490="equivocal",Y490="equivocal"),"疑似",IF(AND(W490="positive",Y490="positive"),"a",IF(Y490="positive","b",IF(W490="positive","c","d")))))</x:f>
        <x:v>d</x:v>
      </x:c>
      <x:c r="AA490" s="12" t="str">
        <x:f>IF(OR(M490="unavailable",O490="unavailable"),"不可评价",IF(AND(OR(M490="positive",M490="equivocal"),OR(O490="positive",O490="equivocal")),"a",IF(OR(O490="positive",O490="equivocal"),"b",IF(OR(M490="positive",M490="equivocal"),"c","d"))))</x:f>
        <x:v>d</x:v>
      </x:c>
      <x:c r="AB490" s="12" t="str">
        <x:f>IF(OR(M490="unavailable",O490="unavailable"),"不可评价",IF(AND(M490="positive",O490="positive"),"a",IF(O490="positive","b",IF(M490="positive","c","d"))))</x:f>
        <x:v>d</x:v>
      </x:c>
      <x:c r="AC490" s="12" t="str">
        <x:f>IF(OR(R490="unavailable",T490="unavailable"),"不可评价",IF(AND(OR(R490="positive",R490="equivocal"),OR(T490="positive",T490="equivocal")),"a",IF(OR(T490="positive",T490="equivocal"),"b",IF(OR(R490="positive",R490="equivocal"),"c","d"))))</x:f>
        <x:v>d</x:v>
      </x:c>
      <x:c r="AD490" s="12" t="str">
        <x:f>IF(OR(R490="unavailable",T490="unavailable"),"不可评价",IF(AND(R490="positive",T490="positive"),"a",IF(T490="positive","b",IF(R490="positive","c","d"))))</x:f>
        <x:v>d</x:v>
      </x:c>
      <x:c r="AE490" s="12" t="str">
        <x:f>IF(OR(W490="unavailable",Y490="unavailable"),"不可评价",IF(AND(OR(W490="positive",W490="equivocal"),OR(Y490="positive",Y490="equivocal")),"a",IF(OR(Y490="positive",Y490="equivocal"),"b",IF(OR(W490="positive",W490="equivocal"),"c","d"))))</x:f>
        <x:v>d</x:v>
      </x:c>
      <x:c r="AF490" s="12" t="str">
        <x:f>IF(OR(W490="unavailable",Y490="unavailable"),"不可评价",IF(AND(W490="positive",Y490="positive"),"a",IF(Y490="positive","b",IF(W490="positive","c","d"))))</x:f>
        <x:v>d</x:v>
      </x:c>
    </x:row>
    <x:row r="491" ht="39" customHeight="1">
      <x:c r="A491" s="12" t="str">
        <x:v>3855</x:v>
      </x:c>
      <x:c r="B491" s="12" t="str">
        <x:v>11055</x:v>
      </x:c>
      <x:c r="C491" s="21" t="n">
        <x:v>32936.4675</x:v>
      </x:c>
      <x:c r="D491" s="12" t="n">
        <x:v>81</x:v>
      </x:c>
      <x:c r="E491" s="12" t="n">
        <x:v>0</x:v>
      </x:c>
      <x:c r="F491" s="12" t="str">
        <x:v>未记录</x:v>
      </x:c>
      <x:c r="G491" s="12" t="n">
        <x:v>1</x:v>
      </x:c>
      <x:c r="H491" s="12" t="str">
        <x:v>{'ASMI': 100.0, '1AVB': 100.0}</x:v>
      </x:c>
      <x:c r="I491" s="12" t="str">
        <x:v>[('SRTH', 100.0), ('SAR', 100.0), ('FAV', 100.0), ('LAD3', 100.0), ('ASMI;AU', 15.0), ('AB', 100.0)]</x:v>
      </x:c>
      <x:c r="J491" s="12" t="str">
        <x:v>ptbxl_database.csv；ecg_id=3855；scp_codes</x:v>
      </x:c>
      <x:c r="K491" s="12" t="str">
        <x:v>12sl_statements.csv；ecg_id=3855；statements_ext_snomed</x:v>
      </x:c>
      <x:c r="L491" s="12"/>
      <x:c r="M491" s="12" t="str">
        <x:v>negative</x:v>
      </x:c>
      <x:c r="N491" s="12"/>
      <x:c r="O491" s="12" t="str">
        <x:v>negative</x:v>
      </x:c>
      <x:c r="P491" s="12" t="str">
        <x:f>IF(OR(M491="unavailable",O491="unavailable"),"不可评价",IF(OR(M491="equivocal",O491="equivocal"),"疑似",IF(AND(M491="positive",O491="positive"),"a",IF(O491="positive","b",IF(M491="positive","c","d")))))</x:f>
        <x:v>d</x:v>
      </x:c>
      <x:c r="Q491" s="12"/>
      <x:c r="R491" s="12" t="str">
        <x:v>negative</x:v>
      </x:c>
      <x:c r="S491" s="12"/>
      <x:c r="T491" s="12" t="str">
        <x:v>negative</x:v>
      </x:c>
      <x:c r="U491" s="12" t="str">
        <x:f>IF(OR(R491="unavailable",T491="unavailable"),"不可评价",IF(OR(R491="equivocal",T491="equivocal"),"疑似",IF(AND(R491="positive",T491="positive"),"a",IF(T491="positive","b",IF(R491="positive","c","d")))))</x:f>
        <x:v>d</x:v>
      </x:c>
      <x:c r="V491" s="12"/>
      <x:c r="W491" s="12" t="str">
        <x:v>negative</x:v>
      </x:c>
      <x:c r="X491" s="12"/>
      <x:c r="Y491" s="12" t="str">
        <x:v>negative</x:v>
      </x:c>
      <x:c r="Z491" s="12" t="str">
        <x:f>IF(OR(W491="unavailable",Y491="unavailable"),"不可评价",IF(OR(W491="equivocal",Y491="equivocal"),"疑似",IF(AND(W491="positive",Y491="positive"),"a",IF(Y491="positive","b",IF(W491="positive","c","d")))))</x:f>
        <x:v>d</x:v>
      </x:c>
      <x:c r="AA491" s="12" t="str">
        <x:f>IF(OR(M491="unavailable",O491="unavailable"),"不可评价",IF(AND(OR(M491="positive",M491="equivocal"),OR(O491="positive",O491="equivocal")),"a",IF(OR(O491="positive",O491="equivocal"),"b",IF(OR(M491="positive",M491="equivocal"),"c","d"))))</x:f>
        <x:v>d</x:v>
      </x:c>
      <x:c r="AB491" s="12" t="str">
        <x:f>IF(OR(M491="unavailable",O491="unavailable"),"不可评价",IF(AND(M491="positive",O491="positive"),"a",IF(O491="positive","b",IF(M491="positive","c","d"))))</x:f>
        <x:v>d</x:v>
      </x:c>
      <x:c r="AC491" s="12" t="str">
        <x:f>IF(OR(R491="unavailable",T491="unavailable"),"不可评价",IF(AND(OR(R491="positive",R491="equivocal"),OR(T491="positive",T491="equivocal")),"a",IF(OR(T491="positive",T491="equivocal"),"b",IF(OR(R491="positive",R491="equivocal"),"c","d"))))</x:f>
        <x:v>d</x:v>
      </x:c>
      <x:c r="AD491" s="12" t="str">
        <x:f>IF(OR(R491="unavailable",T491="unavailable"),"不可评价",IF(AND(R491="positive",T491="positive"),"a",IF(T491="positive","b",IF(R491="positive","c","d"))))</x:f>
        <x:v>d</x:v>
      </x:c>
      <x:c r="AE491" s="12" t="str">
        <x:f>IF(OR(W491="unavailable",Y491="unavailable"),"不可评价",IF(AND(OR(W491="positive",W491="equivocal"),OR(Y491="positive",Y491="equivocal")),"a",IF(OR(Y491="positive",Y491="equivocal"),"b",IF(OR(W491="positive",W491="equivocal"),"c","d"))))</x:f>
        <x:v>d</x:v>
      </x:c>
      <x:c r="AF491" s="12" t="str">
        <x:f>IF(OR(W491="unavailable",Y491="unavailable"),"不可评价",IF(AND(W491="positive",Y491="positive"),"a",IF(Y491="positive","b",IF(W491="positive","c","d"))))</x:f>
        <x:v>d</x:v>
      </x:c>
    </x:row>
    <x:row r="492" ht="24" customHeight="1">
      <x:c r="A492" s="12" t="str">
        <x:v>3863</x:v>
      </x:c>
      <x:c r="B492" s="12" t="str">
        <x:v>18845</x:v>
      </x:c>
      <x:c r="C492" s="21" t="n">
        <x:v>32938.36429398148</x:v>
      </x:c>
      <x:c r="D492" s="12" t="n">
        <x:v>72</x:v>
      </x:c>
      <x:c r="E492" s="12" t="n">
        <x:v>1</x:v>
      </x:c>
      <x:c r="F492" s="12" t="str">
        <x:v>存在</x:v>
      </x:c>
      <x:c r="G492" s="12" t="n">
        <x:v>1</x:v>
      </x:c>
      <x:c r="H492" s="12" t="str">
        <x:v>{'NORM': 100.0, 'SR': 0.0}</x:v>
      </x:c>
      <x:c r="I492" s="12" t="str">
        <x:v>[('NSR', 100.0), ('NST', 100.0), ('AB', 100.0)]</x:v>
      </x:c>
      <x:c r="J492" s="12" t="str">
        <x:v>ptbxl_database.csv；ecg_id=3863；scp_codes</x:v>
      </x:c>
      <x:c r="K492" s="12" t="str">
        <x:v>12sl_statements.csv；ecg_id=3863；statements_ext_snomed</x:v>
      </x:c>
      <x:c r="L492" s="12"/>
      <x:c r="M492" s="12" t="str">
        <x:v>negative</x:v>
      </x:c>
      <x:c r="N492" s="12"/>
      <x:c r="O492" s="12" t="str">
        <x:v>negative</x:v>
      </x:c>
      <x:c r="P492" s="12" t="str">
        <x:f>IF(OR(M492="unavailable",O492="unavailable"),"不可评价",IF(OR(M492="equivocal",O492="equivocal"),"疑似",IF(AND(M492="positive",O492="positive"),"a",IF(O492="positive","b",IF(M492="positive","c","d")))))</x:f>
        <x:v>d</x:v>
      </x:c>
      <x:c r="Q492" s="12"/>
      <x:c r="R492" s="12" t="str">
        <x:v>negative</x:v>
      </x:c>
      <x:c r="S492" s="12"/>
      <x:c r="T492" s="12" t="str">
        <x:v>negative</x:v>
      </x:c>
      <x:c r="U492" s="12" t="str">
        <x:f>IF(OR(R492="unavailable",T492="unavailable"),"不可评价",IF(OR(R492="equivocal",T492="equivocal"),"疑似",IF(AND(R492="positive",T492="positive"),"a",IF(T492="positive","b",IF(R492="positive","c","d")))))</x:f>
        <x:v>d</x:v>
      </x:c>
      <x:c r="V492" s="12"/>
      <x:c r="W492" s="12" t="str">
        <x:v>negative</x:v>
      </x:c>
      <x:c r="X492" s="12"/>
      <x:c r="Y492" s="12" t="str">
        <x:v>negative</x:v>
      </x:c>
      <x:c r="Z492" s="12" t="str">
        <x:f>IF(OR(W492="unavailable",Y492="unavailable"),"不可评价",IF(OR(W492="equivocal",Y492="equivocal"),"疑似",IF(AND(W492="positive",Y492="positive"),"a",IF(Y492="positive","b",IF(W492="positive","c","d")))))</x:f>
        <x:v>d</x:v>
      </x:c>
      <x:c r="AA492" s="12" t="str">
        <x:f>IF(OR(M492="unavailable",O492="unavailable"),"不可评价",IF(AND(OR(M492="positive",M492="equivocal"),OR(O492="positive",O492="equivocal")),"a",IF(OR(O492="positive",O492="equivocal"),"b",IF(OR(M492="positive",M492="equivocal"),"c","d"))))</x:f>
        <x:v>d</x:v>
      </x:c>
      <x:c r="AB492" s="12" t="str">
        <x:f>IF(OR(M492="unavailable",O492="unavailable"),"不可评价",IF(AND(M492="positive",O492="positive"),"a",IF(O492="positive","b",IF(M492="positive","c","d"))))</x:f>
        <x:v>d</x:v>
      </x:c>
      <x:c r="AC492" s="12" t="str">
        <x:f>IF(OR(R492="unavailable",T492="unavailable"),"不可评价",IF(AND(OR(R492="positive",R492="equivocal"),OR(T492="positive",T492="equivocal")),"a",IF(OR(T492="positive",T492="equivocal"),"b",IF(OR(R492="positive",R492="equivocal"),"c","d"))))</x:f>
        <x:v>d</x:v>
      </x:c>
      <x:c r="AD492" s="12" t="str">
        <x:f>IF(OR(R492="unavailable",T492="unavailable"),"不可评价",IF(AND(R492="positive",T492="positive"),"a",IF(T492="positive","b",IF(R492="positive","c","d"))))</x:f>
        <x:v>d</x:v>
      </x:c>
      <x:c r="AE492" s="12" t="str">
        <x:f>IF(OR(W492="unavailable",Y492="unavailable"),"不可评价",IF(AND(OR(W492="positive",W492="equivocal"),OR(Y492="positive",Y492="equivocal")),"a",IF(OR(Y492="positive",Y492="equivocal"),"b",IF(OR(W492="positive",W492="equivocal"),"c","d"))))</x:f>
        <x:v>d</x:v>
      </x:c>
      <x:c r="AF492" s="12" t="str">
        <x:f>IF(OR(W492="unavailable",Y492="unavailable"),"不可评价",IF(AND(W492="positive",Y492="positive"),"a",IF(Y492="positive","b",IF(W492="positive","c","d"))))</x:f>
        <x:v>d</x:v>
      </x:c>
    </x:row>
    <x:row r="493" ht="24" customHeight="1">
      <x:c r="A493" s="12" t="str">
        <x:v>3867</x:v>
      </x:c>
      <x:c r="B493" s="12" t="str">
        <x:v>20053</x:v>
      </x:c>
      <x:c r="C493" s="21" t="n">
        <x:v>32939.30403935185</x:v>
      </x:c>
      <x:c r="D493" s="12" t="n">
        <x:v>80</x:v>
      </x:c>
      <x:c r="E493" s="12" t="n">
        <x:v>1</x:v>
      </x:c>
      <x:c r="F493" s="12" t="str">
        <x:v>未记录</x:v>
      </x:c>
      <x:c r="G493" s="12" t="n">
        <x:v>1</x:v>
      </x:c>
      <x:c r="H493" s="12" t="str">
        <x:v>{'LVH': 100.0, 'ISC_': 100.0}</x:v>
      </x:c>
      <x:c r="I493" s="12" t="str">
        <x:v>[('SBRAD', 100.0), ('SAR', 100.0), ('LVH2', 100.0), ('2ST', 100.0), ('AB', 100.0)]</x:v>
      </x:c>
      <x:c r="J493" s="12" t="str">
        <x:v>ptbxl_database.csv；ecg_id=3867；scp_codes</x:v>
      </x:c>
      <x:c r="K493" s="12" t="str">
        <x:v>12sl_statements.csv；ecg_id=3867；statements_ext_snomed</x:v>
      </x:c>
      <x:c r="L493" s="12"/>
      <x:c r="M493" s="12" t="str">
        <x:v>negative</x:v>
      </x:c>
      <x:c r="N493" s="12"/>
      <x:c r="O493" s="12" t="str">
        <x:v>negative</x:v>
      </x:c>
      <x:c r="P493" s="12" t="str">
        <x:f>IF(OR(M493="unavailable",O493="unavailable"),"不可评价",IF(OR(M493="equivocal",O493="equivocal"),"疑似",IF(AND(M493="positive",O493="positive"),"a",IF(O493="positive","b",IF(M493="positive","c","d")))))</x:f>
        <x:v>d</x:v>
      </x:c>
      <x:c r="Q493" s="12"/>
      <x:c r="R493" s="12" t="str">
        <x:v>negative</x:v>
      </x:c>
      <x:c r="S493" s="12"/>
      <x:c r="T493" s="12" t="str">
        <x:v>negative</x:v>
      </x:c>
      <x:c r="U493" s="12" t="str">
        <x:f>IF(OR(R493="unavailable",T493="unavailable"),"不可评价",IF(OR(R493="equivocal",T493="equivocal"),"疑似",IF(AND(R493="positive",T493="positive"),"a",IF(T493="positive","b",IF(R493="positive","c","d")))))</x:f>
        <x:v>d</x:v>
      </x:c>
      <x:c r="V493" s="12"/>
      <x:c r="W493" s="12" t="str">
        <x:v>negative</x:v>
      </x:c>
      <x:c r="X493" s="12"/>
      <x:c r="Y493" s="12" t="str">
        <x:v>negative</x:v>
      </x:c>
      <x:c r="Z493" s="12" t="str">
        <x:f>IF(OR(W493="unavailable",Y493="unavailable"),"不可评价",IF(OR(W493="equivocal",Y493="equivocal"),"疑似",IF(AND(W493="positive",Y493="positive"),"a",IF(Y493="positive","b",IF(W493="positive","c","d")))))</x:f>
        <x:v>d</x:v>
      </x:c>
      <x:c r="AA493" s="12" t="str">
        <x:f>IF(OR(M493="unavailable",O493="unavailable"),"不可评价",IF(AND(OR(M493="positive",M493="equivocal"),OR(O493="positive",O493="equivocal")),"a",IF(OR(O493="positive",O493="equivocal"),"b",IF(OR(M493="positive",M493="equivocal"),"c","d"))))</x:f>
        <x:v>d</x:v>
      </x:c>
      <x:c r="AB493" s="12" t="str">
        <x:f>IF(OR(M493="unavailable",O493="unavailable"),"不可评价",IF(AND(M493="positive",O493="positive"),"a",IF(O493="positive","b",IF(M493="positive","c","d"))))</x:f>
        <x:v>d</x:v>
      </x:c>
      <x:c r="AC493" s="12" t="str">
        <x:f>IF(OR(R493="unavailable",T493="unavailable"),"不可评价",IF(AND(OR(R493="positive",R493="equivocal"),OR(T493="positive",T493="equivocal")),"a",IF(OR(T493="positive",T493="equivocal"),"b",IF(OR(R493="positive",R493="equivocal"),"c","d"))))</x:f>
        <x:v>d</x:v>
      </x:c>
      <x:c r="AD493" s="12" t="str">
        <x:f>IF(OR(R493="unavailable",T493="unavailable"),"不可评价",IF(AND(R493="positive",T493="positive"),"a",IF(T493="positive","b",IF(R493="positive","c","d"))))</x:f>
        <x:v>d</x:v>
      </x:c>
      <x:c r="AE493" s="12" t="str">
        <x:f>IF(OR(W493="unavailable",Y493="unavailable"),"不可评价",IF(AND(OR(W493="positive",W493="equivocal"),OR(Y493="positive",Y493="equivocal")),"a",IF(OR(Y493="positive",Y493="equivocal"),"b",IF(OR(W493="positive",W493="equivocal"),"c","d"))))</x:f>
        <x:v>d</x:v>
      </x:c>
      <x:c r="AF493" s="12" t="str">
        <x:f>IF(OR(W493="unavailable",Y493="unavailable"),"不可评价",IF(AND(W493="positive",Y493="positive"),"a",IF(Y493="positive","b",IF(W493="positive","c","d"))))</x:f>
        <x:v>d</x:v>
      </x:c>
    </x:row>
    <x:row r="494" ht="39" customHeight="1">
      <x:c r="A494" s="12" t="str">
        <x:v>3869</x:v>
      </x:c>
      <x:c r="B494" s="12" t="str">
        <x:v>20053</x:v>
      </x:c>
      <x:c r="C494" s="21" t="n">
        <x:v>32940.29804398148</x:v>
      </x:c>
      <x:c r="D494" s="12" t="n">
        <x:v>80</x:v>
      </x:c>
      <x:c r="E494" s="12" t="n">
        <x:v>1</x:v>
      </x:c>
      <x:c r="F494" s="12" t="str">
        <x:v>存在</x:v>
      </x:c>
      <x:c r="G494" s="12" t="n">
        <x:v>0</x:v>
      </x:c>
      <x:c r="H494" s="12" t="str">
        <x:v>{'LVH': 100.0, 'ISC_': 100.0}</x:v>
      </x:c>
      <x:c r="I494" s="12" t="str">
        <x:v>[('SBRAD', 100.0), ('SAR', 100.0), ('LVH2', 100.0), ('2ST', 100.0), ('AIOHAI', 100.0), ('STEMI', 100.0), ('AB', 100.0)]</x:v>
      </x:c>
      <x:c r="J494" s="12" t="str">
        <x:v>ptbxl_database.csv；ecg_id=3869；scp_codes</x:v>
      </x:c>
      <x:c r="K494" s="12" t="str">
        <x:v>12sl_statements.csv；ecg_id=3869；statements_ext_snomed</x:v>
      </x:c>
      <x:c r="L494" s="12"/>
      <x:c r="M494" s="12" t="str">
        <x:v>negative</x:v>
      </x:c>
      <x:c r="N494" s="12"/>
      <x:c r="O494" s="12" t="str">
        <x:v>negative</x:v>
      </x:c>
      <x:c r="P494" s="12" t="str">
        <x:f>IF(OR(M494="unavailable",O494="unavailable"),"不可评价",IF(OR(M494="equivocal",O494="equivocal"),"疑似",IF(AND(M494="positive",O494="positive"),"a",IF(O494="positive","b",IF(M494="positive","c","d")))))</x:f>
        <x:v>d</x:v>
      </x:c>
      <x:c r="Q494" s="12"/>
      <x:c r="R494" s="12" t="str">
        <x:v>negative</x:v>
      </x:c>
      <x:c r="S494" s="12"/>
      <x:c r="T494" s="12" t="str">
        <x:v>negative</x:v>
      </x:c>
      <x:c r="U494" s="12" t="str">
        <x:f>IF(OR(R494="unavailable",T494="unavailable"),"不可评价",IF(OR(R494="equivocal",T494="equivocal"),"疑似",IF(AND(R494="positive",T494="positive"),"a",IF(T494="positive","b",IF(R494="positive","c","d")))))</x:f>
        <x:v>d</x:v>
      </x:c>
      <x:c r="V494" s="12"/>
      <x:c r="W494" s="12" t="str">
        <x:v>negative</x:v>
      </x:c>
      <x:c r="X494" s="12"/>
      <x:c r="Y494" s="12" t="str">
        <x:v>negative</x:v>
      </x:c>
      <x:c r="Z494" s="12" t="str">
        <x:f>IF(OR(W494="unavailable",Y494="unavailable"),"不可评价",IF(OR(W494="equivocal",Y494="equivocal"),"疑似",IF(AND(W494="positive",Y494="positive"),"a",IF(Y494="positive","b",IF(W494="positive","c","d")))))</x:f>
        <x:v>d</x:v>
      </x:c>
      <x:c r="AA494" s="12" t="str">
        <x:f>IF(OR(M494="unavailable",O494="unavailable"),"不可评价",IF(AND(OR(M494="positive",M494="equivocal"),OR(O494="positive",O494="equivocal")),"a",IF(OR(O494="positive",O494="equivocal"),"b",IF(OR(M494="positive",M494="equivocal"),"c","d"))))</x:f>
        <x:v>d</x:v>
      </x:c>
      <x:c r="AB494" s="12" t="str">
        <x:f>IF(OR(M494="unavailable",O494="unavailable"),"不可评价",IF(AND(M494="positive",O494="positive"),"a",IF(O494="positive","b",IF(M494="positive","c","d"))))</x:f>
        <x:v>d</x:v>
      </x:c>
      <x:c r="AC494" s="12" t="str">
        <x:f>IF(OR(R494="unavailable",T494="unavailable"),"不可评价",IF(AND(OR(R494="positive",R494="equivocal"),OR(T494="positive",T494="equivocal")),"a",IF(OR(T494="positive",T494="equivocal"),"b",IF(OR(R494="positive",R494="equivocal"),"c","d"))))</x:f>
        <x:v>d</x:v>
      </x:c>
      <x:c r="AD494" s="12" t="str">
        <x:f>IF(OR(R494="unavailable",T494="unavailable"),"不可评价",IF(AND(R494="positive",T494="positive"),"a",IF(T494="positive","b",IF(R494="positive","c","d"))))</x:f>
        <x:v>d</x:v>
      </x:c>
      <x:c r="AE494" s="12" t="str">
        <x:f>IF(OR(W494="unavailable",Y494="unavailable"),"不可评价",IF(AND(OR(W494="positive",W494="equivocal"),OR(Y494="positive",Y494="equivocal")),"a",IF(OR(Y494="positive",Y494="equivocal"),"b",IF(OR(W494="positive",W494="equivocal"),"c","d"))))</x:f>
        <x:v>d</x:v>
      </x:c>
      <x:c r="AF494" s="12" t="str">
        <x:f>IF(OR(W494="unavailable",Y494="unavailable"),"不可评价",IF(AND(W494="positive",Y494="positive"),"a",IF(Y494="positive","b",IF(W494="positive","c","d"))))</x:f>
        <x:v>d</x:v>
      </x:c>
    </x:row>
    <x:row r="495" ht="24" customHeight="1">
      <x:c r="A495" s="12" t="str">
        <x:v>3872</x:v>
      </x:c>
      <x:c r="B495" s="12" t="str">
        <x:v>21713</x:v>
      </x:c>
      <x:c r="C495" s="21" t="n">
        <x:v>32941.49172453704</x:v>
      </x:c>
      <x:c r="D495" s="12" t="n">
        <x:v>21</x:v>
      </x:c>
      <x:c r="E495" s="12" t="n">
        <x:v>1</x:v>
      </x:c>
      <x:c r="F495" s="12" t="str">
        <x:v>存在</x:v>
      </x:c>
      <x:c r="G495" s="12" t="n">
        <x:v>1</x:v>
      </x:c>
      <x:c r="H495" s="12" t="str">
        <x:v>{'NORM': 80.0, 'IRBBB': 100.0, 'SARRH': 0.0}</x:v>
      </x:c>
      <x:c r="I495" s="12" t="str">
        <x:v>[('NSR', 100.0), ('SAR', 100.0), ('NML', 100.0)]</x:v>
      </x:c>
      <x:c r="J495" s="12" t="str">
        <x:v>ptbxl_database.csv；ecg_id=3872；scp_codes</x:v>
      </x:c>
      <x:c r="K495" s="12" t="str">
        <x:v>12sl_statements.csv；ecg_id=3872；statements_ext_snomed</x:v>
      </x:c>
      <x:c r="L495" s="12"/>
      <x:c r="M495" s="12" t="str">
        <x:v>negative</x:v>
      </x:c>
      <x:c r="N495" s="12"/>
      <x:c r="O495" s="12" t="str">
        <x:v>negative</x:v>
      </x:c>
      <x:c r="P495" s="12" t="str">
        <x:f>IF(OR(M495="unavailable",O495="unavailable"),"不可评价",IF(OR(M495="equivocal",O495="equivocal"),"疑似",IF(AND(M495="positive",O495="positive"),"a",IF(O495="positive","b",IF(M495="positive","c","d")))))</x:f>
        <x:v>d</x:v>
      </x:c>
      <x:c r="Q495" s="12"/>
      <x:c r="R495" s="12" t="str">
        <x:v>negative</x:v>
      </x:c>
      <x:c r="S495" s="12"/>
      <x:c r="T495" s="12" t="str">
        <x:v>negative</x:v>
      </x:c>
      <x:c r="U495" s="12" t="str">
        <x:f>IF(OR(R495="unavailable",T495="unavailable"),"不可评价",IF(OR(R495="equivocal",T495="equivocal"),"疑似",IF(AND(R495="positive",T495="positive"),"a",IF(T495="positive","b",IF(R495="positive","c","d")))))</x:f>
        <x:v>d</x:v>
      </x:c>
      <x:c r="V495" s="12"/>
      <x:c r="W495" s="12" t="str">
        <x:v>negative</x:v>
      </x:c>
      <x:c r="X495" s="12"/>
      <x:c r="Y495" s="12" t="str">
        <x:v>negative</x:v>
      </x:c>
      <x:c r="Z495" s="12" t="str">
        <x:f>IF(OR(W495="unavailable",Y495="unavailable"),"不可评价",IF(OR(W495="equivocal",Y495="equivocal"),"疑似",IF(AND(W495="positive",Y495="positive"),"a",IF(Y495="positive","b",IF(W495="positive","c","d")))))</x:f>
        <x:v>d</x:v>
      </x:c>
      <x:c r="AA495" s="12" t="str">
        <x:f>IF(OR(M495="unavailable",O495="unavailable"),"不可评价",IF(AND(OR(M495="positive",M495="equivocal"),OR(O495="positive",O495="equivocal")),"a",IF(OR(O495="positive",O495="equivocal"),"b",IF(OR(M495="positive",M495="equivocal"),"c","d"))))</x:f>
        <x:v>d</x:v>
      </x:c>
      <x:c r="AB495" s="12" t="str">
        <x:f>IF(OR(M495="unavailable",O495="unavailable"),"不可评价",IF(AND(M495="positive",O495="positive"),"a",IF(O495="positive","b",IF(M495="positive","c","d"))))</x:f>
        <x:v>d</x:v>
      </x:c>
      <x:c r="AC495" s="12" t="str">
        <x:f>IF(OR(R495="unavailable",T495="unavailable"),"不可评价",IF(AND(OR(R495="positive",R495="equivocal"),OR(T495="positive",T495="equivocal")),"a",IF(OR(T495="positive",T495="equivocal"),"b",IF(OR(R495="positive",R495="equivocal"),"c","d"))))</x:f>
        <x:v>d</x:v>
      </x:c>
      <x:c r="AD495" s="12" t="str">
        <x:f>IF(OR(R495="unavailable",T495="unavailable"),"不可评价",IF(AND(R495="positive",T495="positive"),"a",IF(T495="positive","b",IF(R495="positive","c","d"))))</x:f>
        <x:v>d</x:v>
      </x:c>
      <x:c r="AE495" s="12" t="str">
        <x:f>IF(OR(W495="unavailable",Y495="unavailable"),"不可评价",IF(AND(OR(W495="positive",W495="equivocal"),OR(Y495="positive",Y495="equivocal")),"a",IF(OR(Y495="positive",Y495="equivocal"),"b",IF(OR(W495="positive",W495="equivocal"),"c","d"))))</x:f>
        <x:v>d</x:v>
      </x:c>
      <x:c r="AF495" s="12" t="str">
        <x:f>IF(OR(W495="unavailable",Y495="unavailable"),"不可评价",IF(AND(W495="positive",Y495="positive"),"a",IF(Y495="positive","b",IF(W495="positive","c","d"))))</x:f>
        <x:v>d</x:v>
      </x:c>
    </x:row>
    <x:row r="496" ht="24" customHeight="1">
      <x:c r="A496" s="12" t="str">
        <x:v>3875</x:v>
      </x:c>
      <x:c r="B496" s="12" t="str">
        <x:v>12565</x:v>
      </x:c>
      <x:c r="C496" s="21" t="n">
        <x:v>32942.44965277778</x:v>
      </x:c>
      <x:c r="D496" s="12" t="n">
        <x:v>36</x:v>
      </x:c>
      <x:c r="E496" s="12" t="n">
        <x:v>0</x:v>
      </x:c>
      <x:c r="F496" s="12" t="str">
        <x:v>存在</x:v>
      </x:c>
      <x:c r="G496" s="12" t="n">
        <x:v>1</x:v>
      </x:c>
      <x:c r="H496" s="12" t="str">
        <x:v>{'AMI': 50.0, 'ABQRS': 0.0, 'SR': 0.0}</x:v>
      </x:c>
      <x:c r="I496" s="12" t="str">
        <x:v>[('NSR', 100.0), ('SMI;AU', 100.0), ('AB', 100.0)]</x:v>
      </x:c>
      <x:c r="J496" s="12" t="str">
        <x:v>ptbxl_database.csv；ecg_id=3875；scp_codes</x:v>
      </x:c>
      <x:c r="K496" s="12" t="str">
        <x:v>12sl_statements.csv；ecg_id=3875；statements_ext_snomed</x:v>
      </x:c>
      <x:c r="L496" s="12"/>
      <x:c r="M496" s="12" t="str">
        <x:v>negative</x:v>
      </x:c>
      <x:c r="N496" s="12"/>
      <x:c r="O496" s="12" t="str">
        <x:v>negative</x:v>
      </x:c>
      <x:c r="P496" s="12" t="str">
        <x:f>IF(OR(M496="unavailable",O496="unavailable"),"不可评价",IF(OR(M496="equivocal",O496="equivocal"),"疑似",IF(AND(M496="positive",O496="positive"),"a",IF(O496="positive","b",IF(M496="positive","c","d")))))</x:f>
        <x:v>d</x:v>
      </x:c>
      <x:c r="Q496" s="12"/>
      <x:c r="R496" s="12" t="str">
        <x:v>negative</x:v>
      </x:c>
      <x:c r="S496" s="12"/>
      <x:c r="T496" s="12" t="str">
        <x:v>negative</x:v>
      </x:c>
      <x:c r="U496" s="12" t="str">
        <x:f>IF(OR(R496="unavailable",T496="unavailable"),"不可评价",IF(OR(R496="equivocal",T496="equivocal"),"疑似",IF(AND(R496="positive",T496="positive"),"a",IF(T496="positive","b",IF(R496="positive","c","d")))))</x:f>
        <x:v>d</x:v>
      </x:c>
      <x:c r="V496" s="12"/>
      <x:c r="W496" s="12" t="str">
        <x:v>negative</x:v>
      </x:c>
      <x:c r="X496" s="12"/>
      <x:c r="Y496" s="12" t="str">
        <x:v>negative</x:v>
      </x:c>
      <x:c r="Z496" s="12" t="str">
        <x:f>IF(OR(W496="unavailable",Y496="unavailable"),"不可评价",IF(OR(W496="equivocal",Y496="equivocal"),"疑似",IF(AND(W496="positive",Y496="positive"),"a",IF(Y496="positive","b",IF(W496="positive","c","d")))))</x:f>
        <x:v>d</x:v>
      </x:c>
      <x:c r="AA496" s="12" t="str">
        <x:f>IF(OR(M496="unavailable",O496="unavailable"),"不可评价",IF(AND(OR(M496="positive",M496="equivocal"),OR(O496="positive",O496="equivocal")),"a",IF(OR(O496="positive",O496="equivocal"),"b",IF(OR(M496="positive",M496="equivocal"),"c","d"))))</x:f>
        <x:v>d</x:v>
      </x:c>
      <x:c r="AB496" s="12" t="str">
        <x:f>IF(OR(M496="unavailable",O496="unavailable"),"不可评价",IF(AND(M496="positive",O496="positive"),"a",IF(O496="positive","b",IF(M496="positive","c","d"))))</x:f>
        <x:v>d</x:v>
      </x:c>
      <x:c r="AC496" s="12" t="str">
        <x:f>IF(OR(R496="unavailable",T496="unavailable"),"不可评价",IF(AND(OR(R496="positive",R496="equivocal"),OR(T496="positive",T496="equivocal")),"a",IF(OR(T496="positive",T496="equivocal"),"b",IF(OR(R496="positive",R496="equivocal"),"c","d"))))</x:f>
        <x:v>d</x:v>
      </x:c>
      <x:c r="AD496" s="12" t="str">
        <x:f>IF(OR(R496="unavailable",T496="unavailable"),"不可评价",IF(AND(R496="positive",T496="positive"),"a",IF(T496="positive","b",IF(R496="positive","c","d"))))</x:f>
        <x:v>d</x:v>
      </x:c>
      <x:c r="AE496" s="12" t="str">
        <x:f>IF(OR(W496="unavailable",Y496="unavailable"),"不可评价",IF(AND(OR(W496="positive",W496="equivocal"),OR(Y496="positive",Y496="equivocal")),"a",IF(OR(Y496="positive",Y496="equivocal"),"b",IF(OR(W496="positive",W496="equivocal"),"c","d"))))</x:f>
        <x:v>d</x:v>
      </x:c>
      <x:c r="AF496" s="12" t="str">
        <x:f>IF(OR(W496="unavailable",Y496="unavailable"),"不可评价",IF(AND(W496="positive",Y496="positive"),"a",IF(Y496="positive","b",IF(W496="positive","c","d"))))</x:f>
        <x:v>d</x:v>
      </x:c>
    </x:row>
    <x:row r="497" ht="24" customHeight="1">
      <x:c r="A497" s="12" t="str">
        <x:v>3878</x:v>
      </x:c>
      <x:c r="B497" s="12" t="str">
        <x:v>16932</x:v>
      </x:c>
      <x:c r="C497" s="21" t="n">
        <x:v>32943.47746527778</x:v>
      </x:c>
      <x:c r="D497" s="12" t="n">
        <x:v>66</x:v>
      </x:c>
      <x:c r="E497" s="12" t="n">
        <x:v>0</x:v>
      </x:c>
      <x:c r="F497" s="12" t="str">
        <x:v>未记录</x:v>
      </x:c>
      <x:c r="G497" s="12" t="n">
        <x:v>1</x:v>
      </x:c>
      <x:c r="H497" s="12" t="str">
        <x:v>{'NORM': 80.0, 'SR': 0.0}</x:v>
      </x:c>
      <x:c r="I497" s="12" t="str">
        <x:v>[('NSR', 100.0), ('NML', 100.0)]</x:v>
      </x:c>
      <x:c r="J497" s="12" t="str">
        <x:v>ptbxl_database.csv；ecg_id=3878；scp_codes</x:v>
      </x:c>
      <x:c r="K497" s="12" t="str">
        <x:v>12sl_statements.csv；ecg_id=3878；statements_ext_snomed</x:v>
      </x:c>
      <x:c r="L497" s="12"/>
      <x:c r="M497" s="12" t="str">
        <x:v>negative</x:v>
      </x:c>
      <x:c r="N497" s="12"/>
      <x:c r="O497" s="12" t="str">
        <x:v>negative</x:v>
      </x:c>
      <x:c r="P497" s="12" t="str">
        <x:f>IF(OR(M497="unavailable",O497="unavailable"),"不可评价",IF(OR(M497="equivocal",O497="equivocal"),"疑似",IF(AND(M497="positive",O497="positive"),"a",IF(O497="positive","b",IF(M497="positive","c","d")))))</x:f>
        <x:v>d</x:v>
      </x:c>
      <x:c r="Q497" s="12"/>
      <x:c r="R497" s="12" t="str">
        <x:v>negative</x:v>
      </x:c>
      <x:c r="S497" s="12"/>
      <x:c r="T497" s="12" t="str">
        <x:v>negative</x:v>
      </x:c>
      <x:c r="U497" s="12" t="str">
        <x:f>IF(OR(R497="unavailable",T497="unavailable"),"不可评价",IF(OR(R497="equivocal",T497="equivocal"),"疑似",IF(AND(R497="positive",T497="positive"),"a",IF(T497="positive","b",IF(R497="positive","c","d")))))</x:f>
        <x:v>d</x:v>
      </x:c>
      <x:c r="V497" s="12"/>
      <x:c r="W497" s="12" t="str">
        <x:v>negative</x:v>
      </x:c>
      <x:c r="X497" s="12"/>
      <x:c r="Y497" s="12" t="str">
        <x:v>negative</x:v>
      </x:c>
      <x:c r="Z497" s="12" t="str">
        <x:f>IF(OR(W497="unavailable",Y497="unavailable"),"不可评价",IF(OR(W497="equivocal",Y497="equivocal"),"疑似",IF(AND(W497="positive",Y497="positive"),"a",IF(Y497="positive","b",IF(W497="positive","c","d")))))</x:f>
        <x:v>d</x:v>
      </x:c>
      <x:c r="AA497" s="12" t="str">
        <x:f>IF(OR(M497="unavailable",O497="unavailable"),"不可评价",IF(AND(OR(M497="positive",M497="equivocal"),OR(O497="positive",O497="equivocal")),"a",IF(OR(O497="positive",O497="equivocal"),"b",IF(OR(M497="positive",M497="equivocal"),"c","d"))))</x:f>
        <x:v>d</x:v>
      </x:c>
      <x:c r="AB497" s="12" t="str">
        <x:f>IF(OR(M497="unavailable",O497="unavailable"),"不可评价",IF(AND(M497="positive",O497="positive"),"a",IF(O497="positive","b",IF(M497="positive","c","d"))))</x:f>
        <x:v>d</x:v>
      </x:c>
      <x:c r="AC497" s="12" t="str">
        <x:f>IF(OR(R497="unavailable",T497="unavailable"),"不可评价",IF(AND(OR(R497="positive",R497="equivocal"),OR(T497="positive",T497="equivocal")),"a",IF(OR(T497="positive",T497="equivocal"),"b",IF(OR(R497="positive",R497="equivocal"),"c","d"))))</x:f>
        <x:v>d</x:v>
      </x:c>
      <x:c r="AD497" s="12" t="str">
        <x:f>IF(OR(R497="unavailable",T497="unavailable"),"不可评价",IF(AND(R497="positive",T497="positive"),"a",IF(T497="positive","b",IF(R497="positive","c","d"))))</x:f>
        <x:v>d</x:v>
      </x:c>
      <x:c r="AE497" s="12" t="str">
        <x:f>IF(OR(W497="unavailable",Y497="unavailable"),"不可评价",IF(AND(OR(W497="positive",W497="equivocal"),OR(Y497="positive",Y497="equivocal")),"a",IF(OR(Y497="positive",Y497="equivocal"),"b",IF(OR(W497="positive",W497="equivocal"),"c","d"))))</x:f>
        <x:v>d</x:v>
      </x:c>
      <x:c r="AF497" s="12" t="str">
        <x:f>IF(OR(W497="unavailable",Y497="unavailable"),"不可评价",IF(AND(W497="positive",Y497="positive"),"a",IF(Y497="positive","b",IF(W497="positive","c","d"))))</x:f>
        <x:v>d</x:v>
      </x:c>
    </x:row>
    <x:row r="498" ht="24" customHeight="1">
      <x:c r="A498" s="12" t="str">
        <x:v>3892</x:v>
      </x:c>
      <x:c r="B498" s="12" t="str">
        <x:v>13309</x:v>
      </x:c>
      <x:c r="C498" s="21" t="n">
        <x:v>32945.573217592595</x:v>
      </x:c>
      <x:c r="D498" s="12" t="n">
        <x:v>24</x:v>
      </x:c>
      <x:c r="E498" s="12" t="n">
        <x:v>1</x:v>
      </x:c>
      <x:c r="F498" s="12" t="str">
        <x:v>存在</x:v>
      </x:c>
      <x:c r="G498" s="12" t="n">
        <x:v>1</x:v>
      </x:c>
      <x:c r="H498" s="12" t="str">
        <x:v>{'NORM': 100.0, 'SR': 0.0}</x:v>
      </x:c>
      <x:c r="I498" s="12" t="str">
        <x:v>[('NSR', 100.0), ('SAR', 100.0), ('NML', 100.0)]</x:v>
      </x:c>
      <x:c r="J498" s="12" t="str">
        <x:v>ptbxl_database.csv；ecg_id=3892；scp_codes</x:v>
      </x:c>
      <x:c r="K498" s="12" t="str">
        <x:v>12sl_statements.csv；ecg_id=3892；statements_ext_snomed</x:v>
      </x:c>
      <x:c r="L498" s="12"/>
      <x:c r="M498" s="12" t="str">
        <x:v>negative</x:v>
      </x:c>
      <x:c r="N498" s="12"/>
      <x:c r="O498" s="12" t="str">
        <x:v>negative</x:v>
      </x:c>
      <x:c r="P498" s="12" t="str">
        <x:f>IF(OR(M498="unavailable",O498="unavailable"),"不可评价",IF(OR(M498="equivocal",O498="equivocal"),"疑似",IF(AND(M498="positive",O498="positive"),"a",IF(O498="positive","b",IF(M498="positive","c","d")))))</x:f>
        <x:v>d</x:v>
      </x:c>
      <x:c r="Q498" s="12"/>
      <x:c r="R498" s="12" t="str">
        <x:v>negative</x:v>
      </x:c>
      <x:c r="S498" s="12"/>
      <x:c r="T498" s="12" t="str">
        <x:v>negative</x:v>
      </x:c>
      <x:c r="U498" s="12" t="str">
        <x:f>IF(OR(R498="unavailable",T498="unavailable"),"不可评价",IF(OR(R498="equivocal",T498="equivocal"),"疑似",IF(AND(R498="positive",T498="positive"),"a",IF(T498="positive","b",IF(R498="positive","c","d")))))</x:f>
        <x:v>d</x:v>
      </x:c>
      <x:c r="V498" s="12"/>
      <x:c r="W498" s="12" t="str">
        <x:v>negative</x:v>
      </x:c>
      <x:c r="X498" s="12"/>
      <x:c r="Y498" s="12" t="str">
        <x:v>negative</x:v>
      </x:c>
      <x:c r="Z498" s="12" t="str">
        <x:f>IF(OR(W498="unavailable",Y498="unavailable"),"不可评价",IF(OR(W498="equivocal",Y498="equivocal"),"疑似",IF(AND(W498="positive",Y498="positive"),"a",IF(Y498="positive","b",IF(W498="positive","c","d")))))</x:f>
        <x:v>d</x:v>
      </x:c>
      <x:c r="AA498" s="12" t="str">
        <x:f>IF(OR(M498="unavailable",O498="unavailable"),"不可评价",IF(AND(OR(M498="positive",M498="equivocal"),OR(O498="positive",O498="equivocal")),"a",IF(OR(O498="positive",O498="equivocal"),"b",IF(OR(M498="positive",M498="equivocal"),"c","d"))))</x:f>
        <x:v>d</x:v>
      </x:c>
      <x:c r="AB498" s="12" t="str">
        <x:f>IF(OR(M498="unavailable",O498="unavailable"),"不可评价",IF(AND(M498="positive",O498="positive"),"a",IF(O498="positive","b",IF(M498="positive","c","d"))))</x:f>
        <x:v>d</x:v>
      </x:c>
      <x:c r="AC498" s="12" t="str">
        <x:f>IF(OR(R498="unavailable",T498="unavailable"),"不可评价",IF(AND(OR(R498="positive",R498="equivocal"),OR(T498="positive",T498="equivocal")),"a",IF(OR(T498="positive",T498="equivocal"),"b",IF(OR(R498="positive",R498="equivocal"),"c","d"))))</x:f>
        <x:v>d</x:v>
      </x:c>
      <x:c r="AD498" s="12" t="str">
        <x:f>IF(OR(R498="unavailable",T498="unavailable"),"不可评价",IF(AND(R498="positive",T498="positive"),"a",IF(T498="positive","b",IF(R498="positive","c","d"))))</x:f>
        <x:v>d</x:v>
      </x:c>
      <x:c r="AE498" s="12" t="str">
        <x:f>IF(OR(W498="unavailable",Y498="unavailable"),"不可评价",IF(AND(OR(W498="positive",W498="equivocal"),OR(Y498="positive",Y498="equivocal")),"a",IF(OR(Y498="positive",Y498="equivocal"),"b",IF(OR(W498="positive",W498="equivocal"),"c","d"))))</x:f>
        <x:v>d</x:v>
      </x:c>
      <x:c r="AF498" s="12" t="str">
        <x:f>IF(OR(W498="unavailable",Y498="unavailable"),"不可评价",IF(AND(W498="positive",Y498="positive"),"a",IF(Y498="positive","b",IF(W498="positive","c","d"))))</x:f>
        <x:v>d</x:v>
      </x:c>
    </x:row>
    <x:row r="499" ht="24" customHeight="1">
      <x:c r="A499" s="12" t="str">
        <x:v>3895</x:v>
      </x:c>
      <x:c r="B499" s="12" t="str">
        <x:v>16715</x:v>
      </x:c>
      <x:c r="C499" s="21" t="n">
        <x:v>32946.48287037037</x:v>
      </x:c>
      <x:c r="D499" s="12" t="n">
        <x:v>77</x:v>
      </x:c>
      <x:c r="E499" s="12" t="n">
        <x:v>1</x:v>
      </x:c>
      <x:c r="F499" s="12" t="str">
        <x:v>未记录</x:v>
      </x:c>
      <x:c r="G499" s="12" t="n">
        <x:v>1</x:v>
      </x:c>
      <x:c r="H499" s="12" t="str">
        <x:v>{'LVH': 100.0, 'ISC_': 100.0, 'SR': 0.0}</x:v>
      </x:c>
      <x:c r="I499" s="12" t="str">
        <x:v>[('NSR', 100.0), ('LVH2', 100.0), ('2ST', 100.0), ('AB', 100.0)]</x:v>
      </x:c>
      <x:c r="J499" s="12" t="str">
        <x:v>ptbxl_database.csv；ecg_id=3895；scp_codes</x:v>
      </x:c>
      <x:c r="K499" s="12" t="str">
        <x:v>12sl_statements.csv；ecg_id=3895；statements_ext_snomed</x:v>
      </x:c>
      <x:c r="L499" s="12"/>
      <x:c r="M499" s="12" t="str">
        <x:v>negative</x:v>
      </x:c>
      <x:c r="N499" s="12"/>
      <x:c r="O499" s="12" t="str">
        <x:v>negative</x:v>
      </x:c>
      <x:c r="P499" s="12" t="str">
        <x:f>IF(OR(M499="unavailable",O499="unavailable"),"不可评价",IF(OR(M499="equivocal",O499="equivocal"),"疑似",IF(AND(M499="positive",O499="positive"),"a",IF(O499="positive","b",IF(M499="positive","c","d")))))</x:f>
        <x:v>d</x:v>
      </x:c>
      <x:c r="Q499" s="12"/>
      <x:c r="R499" s="12" t="str">
        <x:v>negative</x:v>
      </x:c>
      <x:c r="S499" s="12"/>
      <x:c r="T499" s="12" t="str">
        <x:v>negative</x:v>
      </x:c>
      <x:c r="U499" s="12" t="str">
        <x:f>IF(OR(R499="unavailable",T499="unavailable"),"不可评价",IF(OR(R499="equivocal",T499="equivocal"),"疑似",IF(AND(R499="positive",T499="positive"),"a",IF(T499="positive","b",IF(R499="positive","c","d")))))</x:f>
        <x:v>d</x:v>
      </x:c>
      <x:c r="V499" s="12"/>
      <x:c r="W499" s="12" t="str">
        <x:v>negative</x:v>
      </x:c>
      <x:c r="X499" s="12"/>
      <x:c r="Y499" s="12" t="str">
        <x:v>negative</x:v>
      </x:c>
      <x:c r="Z499" s="12" t="str">
        <x:f>IF(OR(W499="unavailable",Y499="unavailable"),"不可评价",IF(OR(W499="equivocal",Y499="equivocal"),"疑似",IF(AND(W499="positive",Y499="positive"),"a",IF(Y499="positive","b",IF(W499="positive","c","d")))))</x:f>
        <x:v>d</x:v>
      </x:c>
      <x:c r="AA499" s="12" t="str">
        <x:f>IF(OR(M499="unavailable",O499="unavailable"),"不可评价",IF(AND(OR(M499="positive",M499="equivocal"),OR(O499="positive",O499="equivocal")),"a",IF(OR(O499="positive",O499="equivocal"),"b",IF(OR(M499="positive",M499="equivocal"),"c","d"))))</x:f>
        <x:v>d</x:v>
      </x:c>
      <x:c r="AB499" s="12" t="str">
        <x:f>IF(OR(M499="unavailable",O499="unavailable"),"不可评价",IF(AND(M499="positive",O499="positive"),"a",IF(O499="positive","b",IF(M499="positive","c","d"))))</x:f>
        <x:v>d</x:v>
      </x:c>
      <x:c r="AC499" s="12" t="str">
        <x:f>IF(OR(R499="unavailable",T499="unavailable"),"不可评价",IF(AND(OR(R499="positive",R499="equivocal"),OR(T499="positive",T499="equivocal")),"a",IF(OR(T499="positive",T499="equivocal"),"b",IF(OR(R499="positive",R499="equivocal"),"c","d"))))</x:f>
        <x:v>d</x:v>
      </x:c>
      <x:c r="AD499" s="12" t="str">
        <x:f>IF(OR(R499="unavailable",T499="unavailable"),"不可评价",IF(AND(R499="positive",T499="positive"),"a",IF(T499="positive","b",IF(R499="positive","c","d"))))</x:f>
        <x:v>d</x:v>
      </x:c>
      <x:c r="AE499" s="12" t="str">
        <x:f>IF(OR(W499="unavailable",Y499="unavailable"),"不可评价",IF(AND(OR(W499="positive",W499="equivocal"),OR(Y499="positive",Y499="equivocal")),"a",IF(OR(Y499="positive",Y499="equivocal"),"b",IF(OR(W499="positive",W499="equivocal"),"c","d"))))</x:f>
        <x:v>d</x:v>
      </x:c>
      <x:c r="AF499" s="12" t="str">
        <x:f>IF(OR(W499="unavailable",Y499="unavailable"),"不可评价",IF(AND(W499="positive",Y499="positive"),"a",IF(Y499="positive","b",IF(W499="positive","c","d"))))</x:f>
        <x:v>d</x:v>
      </x:c>
    </x:row>
    <x:row r="500" ht="24" customHeight="1">
      <x:c r="A500" s="12" t="str">
        <x:v>3904</x:v>
      </x:c>
      <x:c r="B500" s="12" t="str">
        <x:v>19462</x:v>
      </x:c>
      <x:c r="C500" s="21" t="n">
        <x:v>32950.237222222226</x:v>
      </x:c>
      <x:c r="D500" s="12" t="n">
        <x:v>55</x:v>
      </x:c>
      <x:c r="E500" s="12" t="n">
        <x:v>0</x:v>
      </x:c>
      <x:c r="F500" s="12" t="str">
        <x:v>存在</x:v>
      </x:c>
      <x:c r="G500" s="12" t="n">
        <x:v>1</x:v>
      </x:c>
      <x:c r="H500" s="12" t="str">
        <x:v>{'NORM': 80.0, 'SR': 0.0}</x:v>
      </x:c>
      <x:c r="I500" s="12" t="str">
        <x:v>[('SBRAD', 100.0), ('FAV', 100.0), ('NT', 100.0), ('AB', 100.0)]</x:v>
      </x:c>
      <x:c r="J500" s="12" t="str">
        <x:v>ptbxl_database.csv；ecg_id=3904；scp_codes</x:v>
      </x:c>
      <x:c r="K500" s="12" t="str">
        <x:v>12sl_statements.csv；ecg_id=3904；statements_ext_snomed</x:v>
      </x:c>
      <x:c r="L500" s="12"/>
      <x:c r="M500" s="12" t="str">
        <x:v>negative</x:v>
      </x:c>
      <x:c r="N500" s="12"/>
      <x:c r="O500" s="12" t="str">
        <x:v>negative</x:v>
      </x:c>
      <x:c r="P500" s="12" t="str">
        <x:f>IF(OR(M500="unavailable",O500="unavailable"),"不可评价",IF(OR(M500="equivocal",O500="equivocal"),"疑似",IF(AND(M500="positive",O500="positive"),"a",IF(O500="positive","b",IF(M500="positive","c","d")))))</x:f>
        <x:v>d</x:v>
      </x:c>
      <x:c r="Q500" s="12"/>
      <x:c r="R500" s="12" t="str">
        <x:v>negative</x:v>
      </x:c>
      <x:c r="S500" s="12"/>
      <x:c r="T500" s="12" t="str">
        <x:v>negative</x:v>
      </x:c>
      <x:c r="U500" s="12" t="str">
        <x:f>IF(OR(R500="unavailable",T500="unavailable"),"不可评价",IF(OR(R500="equivocal",T500="equivocal"),"疑似",IF(AND(R500="positive",T500="positive"),"a",IF(T500="positive","b",IF(R500="positive","c","d")))))</x:f>
        <x:v>d</x:v>
      </x:c>
      <x:c r="V500" s="12"/>
      <x:c r="W500" s="12" t="str">
        <x:v>negative</x:v>
      </x:c>
      <x:c r="X500" s="12"/>
      <x:c r="Y500" s="12" t="str">
        <x:v>negative</x:v>
      </x:c>
      <x:c r="Z500" s="12" t="str">
        <x:f>IF(OR(W500="unavailable",Y500="unavailable"),"不可评价",IF(OR(W500="equivocal",Y500="equivocal"),"疑似",IF(AND(W500="positive",Y500="positive"),"a",IF(Y500="positive","b",IF(W500="positive","c","d")))))</x:f>
        <x:v>d</x:v>
      </x:c>
      <x:c r="AA500" s="12" t="str">
        <x:f>IF(OR(M500="unavailable",O500="unavailable"),"不可评价",IF(AND(OR(M500="positive",M500="equivocal"),OR(O500="positive",O500="equivocal")),"a",IF(OR(O500="positive",O500="equivocal"),"b",IF(OR(M500="positive",M500="equivocal"),"c","d"))))</x:f>
        <x:v>d</x:v>
      </x:c>
      <x:c r="AB500" s="12" t="str">
        <x:f>IF(OR(M500="unavailable",O500="unavailable"),"不可评价",IF(AND(M500="positive",O500="positive"),"a",IF(O500="positive","b",IF(M500="positive","c","d"))))</x:f>
        <x:v>d</x:v>
      </x:c>
      <x:c r="AC500" s="12" t="str">
        <x:f>IF(OR(R500="unavailable",T500="unavailable"),"不可评价",IF(AND(OR(R500="positive",R500="equivocal"),OR(T500="positive",T500="equivocal")),"a",IF(OR(T500="positive",T500="equivocal"),"b",IF(OR(R500="positive",R500="equivocal"),"c","d"))))</x:f>
        <x:v>d</x:v>
      </x:c>
      <x:c r="AD500" s="12" t="str">
        <x:f>IF(OR(R500="unavailable",T500="unavailable"),"不可评价",IF(AND(R500="positive",T500="positive"),"a",IF(T500="positive","b",IF(R500="positive","c","d"))))</x:f>
        <x:v>d</x:v>
      </x:c>
      <x:c r="AE500" s="12" t="str">
        <x:f>IF(OR(W500="unavailable",Y500="unavailable"),"不可评价",IF(AND(OR(W500="positive",W500="equivocal"),OR(Y500="positive",Y500="equivocal")),"a",IF(OR(Y500="positive",Y500="equivocal"),"b",IF(OR(W500="positive",W500="equivocal"),"c","d"))))</x:f>
        <x:v>d</x:v>
      </x:c>
      <x:c r="AF500" s="12" t="str">
        <x:f>IF(OR(W500="unavailable",Y500="unavailable"),"不可评价",IF(AND(W500="positive",Y500="positive"),"a",IF(Y500="positive","b",IF(W500="positive","c","d"))))</x:f>
        <x:v>d</x:v>
      </x:c>
    </x:row>
    <x:row r="501" ht="24" customHeight="1">
      <x:c r="A501" s="12" t="str">
        <x:v>3908</x:v>
      </x:c>
      <x:c r="B501" s="12" t="str">
        <x:v>19462</x:v>
      </x:c>
      <x:c r="C501" s="21" t="n">
        <x:v>32951.242638888885</x:v>
      </x:c>
      <x:c r="D501" s="12" t="n">
        <x:v>55</x:v>
      </x:c>
      <x:c r="E501" s="12" t="n">
        <x:v>0</x:v>
      </x:c>
      <x:c r="F501" s="12" t="str">
        <x:v>未记录</x:v>
      </x:c>
      <x:c r="G501" s="12" t="n">
        <x:v>0</x:v>
      </x:c>
      <x:c r="H501" s="12" t="str">
        <x:v>{'ASMI': 100.0, 'SR': 0.0}</x:v>
      </x:c>
      <x:c r="I501" s="12" t="str">
        <x:v>[('SBRAD', 100.0), ('NT', 100.0), ('AB', 100.0)]</x:v>
      </x:c>
      <x:c r="J501" s="12" t="str">
        <x:v>ptbxl_database.csv；ecg_id=3908；scp_codes</x:v>
      </x:c>
      <x:c r="K501" s="12" t="str">
        <x:v>12sl_statements.csv；ecg_id=3908；statements_ext_snomed</x:v>
      </x:c>
      <x:c r="L501" s="12"/>
      <x:c r="M501" s="12" t="str">
        <x:v>negative</x:v>
      </x:c>
      <x:c r="N501" s="12"/>
      <x:c r="O501" s="12" t="str">
        <x:v>negative</x:v>
      </x:c>
      <x:c r="P501" s="12" t="str">
        <x:f>IF(OR(M501="unavailable",O501="unavailable"),"不可评价",IF(OR(M501="equivocal",O501="equivocal"),"疑似",IF(AND(M501="positive",O501="positive"),"a",IF(O501="positive","b",IF(M501="positive","c","d")))))</x:f>
        <x:v>d</x:v>
      </x:c>
      <x:c r="Q501" s="12"/>
      <x:c r="R501" s="12" t="str">
        <x:v>negative</x:v>
      </x:c>
      <x:c r="S501" s="12"/>
      <x:c r="T501" s="12" t="str">
        <x:v>negative</x:v>
      </x:c>
      <x:c r="U501" s="12" t="str">
        <x:f>IF(OR(R501="unavailable",T501="unavailable"),"不可评价",IF(OR(R501="equivocal",T501="equivocal"),"疑似",IF(AND(R501="positive",T501="positive"),"a",IF(T501="positive","b",IF(R501="positive","c","d")))))</x:f>
        <x:v>d</x:v>
      </x:c>
      <x:c r="V501" s="12"/>
      <x:c r="W501" s="12" t="str">
        <x:v>negative</x:v>
      </x:c>
      <x:c r="X501" s="12"/>
      <x:c r="Y501" s="12" t="str">
        <x:v>negative</x:v>
      </x:c>
      <x:c r="Z501" s="12" t="str">
        <x:f>IF(OR(W501="unavailable",Y501="unavailable"),"不可评价",IF(OR(W501="equivocal",Y501="equivocal"),"疑似",IF(AND(W501="positive",Y501="positive"),"a",IF(Y501="positive","b",IF(W501="positive","c","d")))))</x:f>
        <x:v>d</x:v>
      </x:c>
      <x:c r="AA501" s="12" t="str">
        <x:f>IF(OR(M501="unavailable",O501="unavailable"),"不可评价",IF(AND(OR(M501="positive",M501="equivocal"),OR(O501="positive",O501="equivocal")),"a",IF(OR(O501="positive",O501="equivocal"),"b",IF(OR(M501="positive",M501="equivocal"),"c","d"))))</x:f>
        <x:v>d</x:v>
      </x:c>
      <x:c r="AB501" s="12" t="str">
        <x:f>IF(OR(M501="unavailable",O501="unavailable"),"不可评价",IF(AND(M501="positive",O501="positive"),"a",IF(O501="positive","b",IF(M501="positive","c","d"))))</x:f>
        <x:v>d</x:v>
      </x:c>
      <x:c r="AC501" s="12" t="str">
        <x:f>IF(OR(R501="unavailable",T501="unavailable"),"不可评价",IF(AND(OR(R501="positive",R501="equivocal"),OR(T501="positive",T501="equivocal")),"a",IF(OR(T501="positive",T501="equivocal"),"b",IF(OR(R501="positive",R501="equivocal"),"c","d"))))</x:f>
        <x:v>d</x:v>
      </x:c>
      <x:c r="AD501" s="12" t="str">
        <x:f>IF(OR(R501="unavailable",T501="unavailable"),"不可评价",IF(AND(R501="positive",T501="positive"),"a",IF(T501="positive","b",IF(R501="positive","c","d"))))</x:f>
        <x:v>d</x:v>
      </x:c>
      <x:c r="AE501" s="12" t="str">
        <x:f>IF(OR(W501="unavailable",Y501="unavailable"),"不可评价",IF(AND(OR(W501="positive",W501="equivocal"),OR(Y501="positive",Y501="equivocal")),"a",IF(OR(Y501="positive",Y501="equivocal"),"b",IF(OR(W501="positive",W501="equivocal"),"c","d"))))</x:f>
        <x:v>d</x:v>
      </x:c>
      <x:c r="AF501" s="12" t="str">
        <x:f>IF(OR(W501="unavailable",Y501="unavailable"),"不可评价",IF(AND(W501="positive",Y501="positive"),"a",IF(Y501="positive","b",IF(W501="positive","c","d"))))</x:f>
        <x:v>d</x:v>
      </x:c>
    </x:row>
    <x:row r="502" ht="24" customHeight="1">
      <x:c r="A502" s="12" t="str">
        <x:v>3909</x:v>
      </x:c>
      <x:c r="B502" s="12" t="str">
        <x:v>19326</x:v>
      </x:c>
      <x:c r="C502" s="21" t="n">
        <x:v>32951.47012731482</x:v>
      </x:c>
      <x:c r="D502" s="12" t="n">
        <x:v>30</x:v>
      </x:c>
      <x:c r="E502" s="12" t="n">
        <x:v>1</x:v>
      </x:c>
      <x:c r="F502" s="12" t="str">
        <x:v>存在</x:v>
      </x:c>
      <x:c r="G502" s="12" t="n">
        <x:v>1</x:v>
      </x:c>
      <x:c r="H502" s="12" t="str">
        <x:v>{'NORM': 100.0, 'SR': 0.0}</x:v>
      </x:c>
      <x:c r="I502" s="12" t="str">
        <x:v>[('NSR', 100.0), ('NML', 100.0)]</x:v>
      </x:c>
      <x:c r="J502" s="12" t="str">
        <x:v>ptbxl_database.csv；ecg_id=3909；scp_codes</x:v>
      </x:c>
      <x:c r="K502" s="12" t="str">
        <x:v>12sl_statements.csv；ecg_id=3909；statements_ext_snomed</x:v>
      </x:c>
      <x:c r="L502" s="12"/>
      <x:c r="M502" s="12" t="str">
        <x:v>negative</x:v>
      </x:c>
      <x:c r="N502" s="12"/>
      <x:c r="O502" s="12" t="str">
        <x:v>negative</x:v>
      </x:c>
      <x:c r="P502" s="12" t="str">
        <x:f>IF(OR(M502="unavailable",O502="unavailable"),"不可评价",IF(OR(M502="equivocal",O502="equivocal"),"疑似",IF(AND(M502="positive",O502="positive"),"a",IF(O502="positive","b",IF(M502="positive","c","d")))))</x:f>
        <x:v>d</x:v>
      </x:c>
      <x:c r="Q502" s="12"/>
      <x:c r="R502" s="12" t="str">
        <x:v>negative</x:v>
      </x:c>
      <x:c r="S502" s="12"/>
      <x:c r="T502" s="12" t="str">
        <x:v>negative</x:v>
      </x:c>
      <x:c r="U502" s="12" t="str">
        <x:f>IF(OR(R502="unavailable",T502="unavailable"),"不可评价",IF(OR(R502="equivocal",T502="equivocal"),"疑似",IF(AND(R502="positive",T502="positive"),"a",IF(T502="positive","b",IF(R502="positive","c","d")))))</x:f>
        <x:v>d</x:v>
      </x:c>
      <x:c r="V502" s="12"/>
      <x:c r="W502" s="12" t="str">
        <x:v>negative</x:v>
      </x:c>
      <x:c r="X502" s="12"/>
      <x:c r="Y502" s="12" t="str">
        <x:v>negative</x:v>
      </x:c>
      <x:c r="Z502" s="12" t="str">
        <x:f>IF(OR(W502="unavailable",Y502="unavailable"),"不可评价",IF(OR(W502="equivocal",Y502="equivocal"),"疑似",IF(AND(W502="positive",Y502="positive"),"a",IF(Y502="positive","b",IF(W502="positive","c","d")))))</x:f>
        <x:v>d</x:v>
      </x:c>
      <x:c r="AA502" s="12" t="str">
        <x:f>IF(OR(M502="unavailable",O502="unavailable"),"不可评价",IF(AND(OR(M502="positive",M502="equivocal"),OR(O502="positive",O502="equivocal")),"a",IF(OR(O502="positive",O502="equivocal"),"b",IF(OR(M502="positive",M502="equivocal"),"c","d"))))</x:f>
        <x:v>d</x:v>
      </x:c>
      <x:c r="AB502" s="12" t="str">
        <x:f>IF(OR(M502="unavailable",O502="unavailable"),"不可评价",IF(AND(M502="positive",O502="positive"),"a",IF(O502="positive","b",IF(M502="positive","c","d"))))</x:f>
        <x:v>d</x:v>
      </x:c>
      <x:c r="AC502" s="12" t="str">
        <x:f>IF(OR(R502="unavailable",T502="unavailable"),"不可评价",IF(AND(OR(R502="positive",R502="equivocal"),OR(T502="positive",T502="equivocal")),"a",IF(OR(T502="positive",T502="equivocal"),"b",IF(OR(R502="positive",R502="equivocal"),"c","d"))))</x:f>
        <x:v>d</x:v>
      </x:c>
      <x:c r="AD502" s="12" t="str">
        <x:f>IF(OR(R502="unavailable",T502="unavailable"),"不可评价",IF(AND(R502="positive",T502="positive"),"a",IF(T502="positive","b",IF(R502="positive","c","d"))))</x:f>
        <x:v>d</x:v>
      </x:c>
      <x:c r="AE502" s="12" t="str">
        <x:f>IF(OR(W502="unavailable",Y502="unavailable"),"不可评价",IF(AND(OR(W502="positive",W502="equivocal"),OR(Y502="positive",Y502="equivocal")),"a",IF(OR(Y502="positive",Y502="equivocal"),"b",IF(OR(W502="positive",W502="equivocal"),"c","d"))))</x:f>
        <x:v>d</x:v>
      </x:c>
      <x:c r="AF502" s="12" t="str">
        <x:f>IF(OR(W502="unavailable",Y502="unavailable"),"不可评价",IF(AND(W502="positive",Y502="positive"),"a",IF(Y502="positive","b",IF(W502="positive","c","d"))))</x:f>
        <x:v>d</x:v>
      </x:c>
    </x:row>
    <x:row r="503" ht="24" customHeight="1">
      <x:c r="A503" s="12" t="str">
        <x:v>3910</x:v>
      </x:c>
      <x:c r="B503" s="12" t="str">
        <x:v>20260</x:v>
      </x:c>
      <x:c r="C503" s="21" t="n">
        <x:v>32951.54195601852</x:v>
      </x:c>
      <x:c r="D503" s="12" t="n">
        <x:v>71</x:v>
      </x:c>
      <x:c r="E503" s="12" t="n">
        <x:v>0</x:v>
      </x:c>
      <x:c r="F503" s="12" t="str">
        <x:v>存在</x:v>
      </x:c>
      <x:c r="G503" s="12" t="n">
        <x:v>1</x:v>
      </x:c>
      <x:c r="H503" s="12" t="str">
        <x:v>{'IMI': 100.0, 'LVH': 100.0, 'ISC_': 100.0, 'SR': 0.0}</x:v>
      </x:c>
      <x:c r="I503" s="12" t="str">
        <x:v>[('NSR', 100.0), ('LVH2', 100.0), ('2ST', 100.0), ('IMI;AU', 100.0), ('AB', 100.0)]</x:v>
      </x:c>
      <x:c r="J503" s="12" t="str">
        <x:v>ptbxl_database.csv；ecg_id=3910；scp_codes</x:v>
      </x:c>
      <x:c r="K503" s="12" t="str">
        <x:v>12sl_statements.csv；ecg_id=3910；statements_ext_snomed</x:v>
      </x:c>
      <x:c r="L503" s="12"/>
      <x:c r="M503" s="12" t="str">
        <x:v>negative</x:v>
      </x:c>
      <x:c r="N503" s="12"/>
      <x:c r="O503" s="12" t="str">
        <x:v>negative</x:v>
      </x:c>
      <x:c r="P503" s="12" t="str">
        <x:f>IF(OR(M503="unavailable",O503="unavailable"),"不可评价",IF(OR(M503="equivocal",O503="equivocal"),"疑似",IF(AND(M503="positive",O503="positive"),"a",IF(O503="positive","b",IF(M503="positive","c","d")))))</x:f>
        <x:v>d</x:v>
      </x:c>
      <x:c r="Q503" s="12"/>
      <x:c r="R503" s="12" t="str">
        <x:v>negative</x:v>
      </x:c>
      <x:c r="S503" s="12"/>
      <x:c r="T503" s="12" t="str">
        <x:v>negative</x:v>
      </x:c>
      <x:c r="U503" s="12" t="str">
        <x:f>IF(OR(R503="unavailable",T503="unavailable"),"不可评价",IF(OR(R503="equivocal",T503="equivocal"),"疑似",IF(AND(R503="positive",T503="positive"),"a",IF(T503="positive","b",IF(R503="positive","c","d")))))</x:f>
        <x:v>d</x:v>
      </x:c>
      <x:c r="V503" s="12"/>
      <x:c r="W503" s="12" t="str">
        <x:v>negative</x:v>
      </x:c>
      <x:c r="X503" s="12"/>
      <x:c r="Y503" s="12" t="str">
        <x:v>negative</x:v>
      </x:c>
      <x:c r="Z503" s="12" t="str">
        <x:f>IF(OR(W503="unavailable",Y503="unavailable"),"不可评价",IF(OR(W503="equivocal",Y503="equivocal"),"疑似",IF(AND(W503="positive",Y503="positive"),"a",IF(Y503="positive","b",IF(W503="positive","c","d")))))</x:f>
        <x:v>d</x:v>
      </x:c>
      <x:c r="AA503" s="12" t="str">
        <x:f>IF(OR(M503="unavailable",O503="unavailable"),"不可评价",IF(AND(OR(M503="positive",M503="equivocal"),OR(O503="positive",O503="equivocal")),"a",IF(OR(O503="positive",O503="equivocal"),"b",IF(OR(M503="positive",M503="equivocal"),"c","d"))))</x:f>
        <x:v>d</x:v>
      </x:c>
      <x:c r="AB503" s="12" t="str">
        <x:f>IF(OR(M503="unavailable",O503="unavailable"),"不可评价",IF(AND(M503="positive",O503="positive"),"a",IF(O503="positive","b",IF(M503="positive","c","d"))))</x:f>
        <x:v>d</x:v>
      </x:c>
      <x:c r="AC503" s="12" t="str">
        <x:f>IF(OR(R503="unavailable",T503="unavailable"),"不可评价",IF(AND(OR(R503="positive",R503="equivocal"),OR(T503="positive",T503="equivocal")),"a",IF(OR(T503="positive",T503="equivocal"),"b",IF(OR(R503="positive",R503="equivocal"),"c","d"))))</x:f>
        <x:v>d</x:v>
      </x:c>
      <x:c r="AD503" s="12" t="str">
        <x:f>IF(OR(R503="unavailable",T503="unavailable"),"不可评价",IF(AND(R503="positive",T503="positive"),"a",IF(T503="positive","b",IF(R503="positive","c","d"))))</x:f>
        <x:v>d</x:v>
      </x:c>
      <x:c r="AE503" s="12" t="str">
        <x:f>IF(OR(W503="unavailable",Y503="unavailable"),"不可评价",IF(AND(OR(W503="positive",W503="equivocal"),OR(Y503="positive",Y503="equivocal")),"a",IF(OR(Y503="positive",Y503="equivocal"),"b",IF(OR(W503="positive",W503="equivocal"),"c","d"))))</x:f>
        <x:v>d</x:v>
      </x:c>
      <x:c r="AF503" s="12" t="str">
        <x:f>IF(OR(W503="unavailable",Y503="unavailable"),"不可评价",IF(AND(W503="positive",Y503="positive"),"a",IF(Y503="positive","b",IF(W503="positive","c","d"))))</x:f>
        <x:v>d</x:v>
      </x:c>
    </x:row>
    <x:row r="504" ht="24" customHeight="1">
      <x:c r="A504" s="12" t="str">
        <x:v>3913</x:v>
      </x:c>
      <x:c r="B504" s="12" t="str">
        <x:v>19462</x:v>
      </x:c>
      <x:c r="C504" s="21" t="n">
        <x:v>32952.322164351855</x:v>
      </x:c>
      <x:c r="D504" s="12" t="n">
        <x:v>55</x:v>
      </x:c>
      <x:c r="E504" s="12" t="n">
        <x:v>0</x:v>
      </x:c>
      <x:c r="F504" s="12" t="str">
        <x:v>存在</x:v>
      </x:c>
      <x:c r="G504" s="12" t="n">
        <x:v>0</x:v>
      </x:c>
      <x:c r="H504" s="12" t="str">
        <x:v>{'AMI': 35.0, 'SR': 0.0}</x:v>
      </x:c>
      <x:c r="I504" s="12" t="str">
        <x:v>[('NSR', 100.0), ('NT', 100.0), ('AB', 100.0)]</x:v>
      </x:c>
      <x:c r="J504" s="12" t="str">
        <x:v>ptbxl_database.csv；ecg_id=3913；scp_codes</x:v>
      </x:c>
      <x:c r="K504" s="12" t="str">
        <x:v>12sl_statements.csv；ecg_id=3913；statements_ext_snomed</x:v>
      </x:c>
      <x:c r="L504" s="12"/>
      <x:c r="M504" s="12" t="str">
        <x:v>negative</x:v>
      </x:c>
      <x:c r="N504" s="12"/>
      <x:c r="O504" s="12" t="str">
        <x:v>negative</x:v>
      </x:c>
      <x:c r="P504" s="12" t="str">
        <x:f>IF(OR(M504="unavailable",O504="unavailable"),"不可评价",IF(OR(M504="equivocal",O504="equivocal"),"疑似",IF(AND(M504="positive",O504="positive"),"a",IF(O504="positive","b",IF(M504="positive","c","d")))))</x:f>
        <x:v>d</x:v>
      </x:c>
      <x:c r="Q504" s="12"/>
      <x:c r="R504" s="12" t="str">
        <x:v>negative</x:v>
      </x:c>
      <x:c r="S504" s="12"/>
      <x:c r="T504" s="12" t="str">
        <x:v>negative</x:v>
      </x:c>
      <x:c r="U504" s="12" t="str">
        <x:f>IF(OR(R504="unavailable",T504="unavailable"),"不可评价",IF(OR(R504="equivocal",T504="equivocal"),"疑似",IF(AND(R504="positive",T504="positive"),"a",IF(T504="positive","b",IF(R504="positive","c","d")))))</x:f>
        <x:v>d</x:v>
      </x:c>
      <x:c r="V504" s="12"/>
      <x:c r="W504" s="12" t="str">
        <x:v>negative</x:v>
      </x:c>
      <x:c r="X504" s="12"/>
      <x:c r="Y504" s="12" t="str">
        <x:v>negative</x:v>
      </x:c>
      <x:c r="Z504" s="12" t="str">
        <x:f>IF(OR(W504="unavailable",Y504="unavailable"),"不可评价",IF(OR(W504="equivocal",Y504="equivocal"),"疑似",IF(AND(W504="positive",Y504="positive"),"a",IF(Y504="positive","b",IF(W504="positive","c","d")))))</x:f>
        <x:v>d</x:v>
      </x:c>
      <x:c r="AA504" s="12" t="str">
        <x:f>IF(OR(M504="unavailable",O504="unavailable"),"不可评价",IF(AND(OR(M504="positive",M504="equivocal"),OR(O504="positive",O504="equivocal")),"a",IF(OR(O504="positive",O504="equivocal"),"b",IF(OR(M504="positive",M504="equivocal"),"c","d"))))</x:f>
        <x:v>d</x:v>
      </x:c>
      <x:c r="AB504" s="12" t="str">
        <x:f>IF(OR(M504="unavailable",O504="unavailable"),"不可评价",IF(AND(M504="positive",O504="positive"),"a",IF(O504="positive","b",IF(M504="positive","c","d"))))</x:f>
        <x:v>d</x:v>
      </x:c>
      <x:c r="AC504" s="12" t="str">
        <x:f>IF(OR(R504="unavailable",T504="unavailable"),"不可评价",IF(AND(OR(R504="positive",R504="equivocal"),OR(T504="positive",T504="equivocal")),"a",IF(OR(T504="positive",T504="equivocal"),"b",IF(OR(R504="positive",R504="equivocal"),"c","d"))))</x:f>
        <x:v>d</x:v>
      </x:c>
      <x:c r="AD504" s="12" t="str">
        <x:f>IF(OR(R504="unavailable",T504="unavailable"),"不可评价",IF(AND(R504="positive",T504="positive"),"a",IF(T504="positive","b",IF(R504="positive","c","d"))))</x:f>
        <x:v>d</x:v>
      </x:c>
      <x:c r="AE504" s="12" t="str">
        <x:f>IF(OR(W504="unavailable",Y504="unavailable"),"不可评价",IF(AND(OR(W504="positive",W504="equivocal"),OR(Y504="positive",Y504="equivocal")),"a",IF(OR(Y504="positive",Y504="equivocal"),"b",IF(OR(W504="positive",W504="equivocal"),"c","d"))))</x:f>
        <x:v>d</x:v>
      </x:c>
      <x:c r="AF504" s="12" t="str">
        <x:f>IF(OR(W504="unavailable",Y504="unavailable"),"不可评价",IF(AND(W504="positive",Y504="positive"),"a",IF(Y504="positive","b",IF(W504="positive","c","d"))))</x:f>
        <x:v>d</x:v>
      </x:c>
    </x:row>
    <x:row r="505" ht="24" customHeight="1">
      <x:c r="A505" s="12" t="str">
        <x:v>3914</x:v>
      </x:c>
      <x:c r="B505" s="12" t="str">
        <x:v>19462</x:v>
      </x:c>
      <x:c r="C505" s="21" t="n">
        <x:v>32952.5246412037</x:v>
      </x:c>
      <x:c r="D505" s="12" t="n">
        <x:v>55</x:v>
      </x:c>
      <x:c r="E505" s="12" t="n">
        <x:v>0</x:v>
      </x:c>
      <x:c r="F505" s="12" t="str">
        <x:v>未记录</x:v>
      </x:c>
      <x:c r="G505" s="12" t="n">
        <x:v>0</x:v>
      </x:c>
      <x:c r="H505" s="12" t="str">
        <x:v>{'ASMI': 15.0, 'SR': 0.0}</x:v>
      </x:c>
      <x:c r="I505" s="12" t="str">
        <x:v>[('NSR', 100.0), ('NT', 100.0), ('AB', 100.0)]</x:v>
      </x:c>
      <x:c r="J505" s="12" t="str">
        <x:v>ptbxl_database.csv；ecg_id=3914；scp_codes</x:v>
      </x:c>
      <x:c r="K505" s="12" t="str">
        <x:v>12sl_statements.csv；ecg_id=3914；statements_ext_snomed</x:v>
      </x:c>
      <x:c r="L505" s="12"/>
      <x:c r="M505" s="12" t="str">
        <x:v>negative</x:v>
      </x:c>
      <x:c r="N505" s="12"/>
      <x:c r="O505" s="12" t="str">
        <x:v>negative</x:v>
      </x:c>
      <x:c r="P505" s="12" t="str">
        <x:f>IF(OR(M505="unavailable",O505="unavailable"),"不可评价",IF(OR(M505="equivocal",O505="equivocal"),"疑似",IF(AND(M505="positive",O505="positive"),"a",IF(O505="positive","b",IF(M505="positive","c","d")))))</x:f>
        <x:v>d</x:v>
      </x:c>
      <x:c r="Q505" s="12"/>
      <x:c r="R505" s="12" t="str">
        <x:v>negative</x:v>
      </x:c>
      <x:c r="S505" s="12"/>
      <x:c r="T505" s="12" t="str">
        <x:v>negative</x:v>
      </x:c>
      <x:c r="U505" s="12" t="str">
        <x:f>IF(OR(R505="unavailable",T505="unavailable"),"不可评价",IF(OR(R505="equivocal",T505="equivocal"),"疑似",IF(AND(R505="positive",T505="positive"),"a",IF(T505="positive","b",IF(R505="positive","c","d")))))</x:f>
        <x:v>d</x:v>
      </x:c>
      <x:c r="V505" s="12"/>
      <x:c r="W505" s="12" t="str">
        <x:v>negative</x:v>
      </x:c>
      <x:c r="X505" s="12"/>
      <x:c r="Y505" s="12" t="str">
        <x:v>negative</x:v>
      </x:c>
      <x:c r="Z505" s="12" t="str">
        <x:f>IF(OR(W505="unavailable",Y505="unavailable"),"不可评价",IF(OR(W505="equivocal",Y505="equivocal"),"疑似",IF(AND(W505="positive",Y505="positive"),"a",IF(Y505="positive","b",IF(W505="positive","c","d")))))</x:f>
        <x:v>d</x:v>
      </x:c>
      <x:c r="AA505" s="12" t="str">
        <x:f>IF(OR(M505="unavailable",O505="unavailable"),"不可评价",IF(AND(OR(M505="positive",M505="equivocal"),OR(O505="positive",O505="equivocal")),"a",IF(OR(O505="positive",O505="equivocal"),"b",IF(OR(M505="positive",M505="equivocal"),"c","d"))))</x:f>
        <x:v>d</x:v>
      </x:c>
      <x:c r="AB505" s="12" t="str">
        <x:f>IF(OR(M505="unavailable",O505="unavailable"),"不可评价",IF(AND(M505="positive",O505="positive"),"a",IF(O505="positive","b",IF(M505="positive","c","d"))))</x:f>
        <x:v>d</x:v>
      </x:c>
      <x:c r="AC505" s="12" t="str">
        <x:f>IF(OR(R505="unavailable",T505="unavailable"),"不可评价",IF(AND(OR(R505="positive",R505="equivocal"),OR(T505="positive",T505="equivocal")),"a",IF(OR(T505="positive",T505="equivocal"),"b",IF(OR(R505="positive",R505="equivocal"),"c","d"))))</x:f>
        <x:v>d</x:v>
      </x:c>
      <x:c r="AD505" s="12" t="str">
        <x:f>IF(OR(R505="unavailable",T505="unavailable"),"不可评价",IF(AND(R505="positive",T505="positive"),"a",IF(T505="positive","b",IF(R505="positive","c","d"))))</x:f>
        <x:v>d</x:v>
      </x:c>
      <x:c r="AE505" s="12" t="str">
        <x:f>IF(OR(W505="unavailable",Y505="unavailable"),"不可评价",IF(AND(OR(W505="positive",W505="equivocal"),OR(Y505="positive",Y505="equivocal")),"a",IF(OR(Y505="positive",Y505="equivocal"),"b",IF(OR(W505="positive",W505="equivocal"),"c","d"))))</x:f>
        <x:v>d</x:v>
      </x:c>
      <x:c r="AF505" s="12" t="str">
        <x:f>IF(OR(W505="unavailable",Y505="unavailable"),"不可评价",IF(AND(W505="positive",Y505="positive"),"a",IF(Y505="positive","b",IF(W505="positive","c","d"))))</x:f>
        <x:v>d</x:v>
      </x:c>
    </x:row>
    <x:row r="506" ht="24" customHeight="1">
      <x:c r="A506" s="12" t="str">
        <x:v>3918</x:v>
      </x:c>
      <x:c r="B506" s="12" t="str">
        <x:v>6737</x:v>
      </x:c>
      <x:c r="C506" s="21" t="n">
        <x:v>32954.46230324074</x:v>
      </x:c>
      <x:c r="D506" s="12" t="n">
        <x:v>27</x:v>
      </x:c>
      <x:c r="E506" s="12" t="n">
        <x:v>0</x:v>
      </x:c>
      <x:c r="F506" s="12" t="str">
        <x:v>存在</x:v>
      </x:c>
      <x:c r="G506" s="12" t="n">
        <x:v>1</x:v>
      </x:c>
      <x:c r="H506" s="12" t="str">
        <x:v>{'NORM': 100.0, 'SR': 0.0}</x:v>
      </x:c>
      <x:c r="I506" s="12" t="str">
        <x:v>[('NSR', 100.0), ('NML', 100.0)]</x:v>
      </x:c>
      <x:c r="J506" s="12" t="str">
        <x:v>ptbxl_database.csv；ecg_id=3918；scp_codes</x:v>
      </x:c>
      <x:c r="K506" s="12" t="str">
        <x:v>12sl_statements.csv；ecg_id=3918；statements_ext_snomed</x:v>
      </x:c>
      <x:c r="L506" s="12"/>
      <x:c r="M506" s="12" t="str">
        <x:v>negative</x:v>
      </x:c>
      <x:c r="N506" s="12"/>
      <x:c r="O506" s="12" t="str">
        <x:v>negative</x:v>
      </x:c>
      <x:c r="P506" s="12" t="str">
        <x:f>IF(OR(M506="unavailable",O506="unavailable"),"不可评价",IF(OR(M506="equivocal",O506="equivocal"),"疑似",IF(AND(M506="positive",O506="positive"),"a",IF(O506="positive","b",IF(M506="positive","c","d")))))</x:f>
        <x:v>d</x:v>
      </x:c>
      <x:c r="Q506" s="12"/>
      <x:c r="R506" s="12" t="str">
        <x:v>negative</x:v>
      </x:c>
      <x:c r="S506" s="12"/>
      <x:c r="T506" s="12" t="str">
        <x:v>negative</x:v>
      </x:c>
      <x:c r="U506" s="12" t="str">
        <x:f>IF(OR(R506="unavailable",T506="unavailable"),"不可评价",IF(OR(R506="equivocal",T506="equivocal"),"疑似",IF(AND(R506="positive",T506="positive"),"a",IF(T506="positive","b",IF(R506="positive","c","d")))))</x:f>
        <x:v>d</x:v>
      </x:c>
      <x:c r="V506" s="12"/>
      <x:c r="W506" s="12" t="str">
        <x:v>negative</x:v>
      </x:c>
      <x:c r="X506" s="12"/>
      <x:c r="Y506" s="12" t="str">
        <x:v>negative</x:v>
      </x:c>
      <x:c r="Z506" s="12" t="str">
        <x:f>IF(OR(W506="unavailable",Y506="unavailable"),"不可评价",IF(OR(W506="equivocal",Y506="equivocal"),"疑似",IF(AND(W506="positive",Y506="positive"),"a",IF(Y506="positive","b",IF(W506="positive","c","d")))))</x:f>
        <x:v>d</x:v>
      </x:c>
      <x:c r="AA506" s="12" t="str">
        <x:f>IF(OR(M506="unavailable",O506="unavailable"),"不可评价",IF(AND(OR(M506="positive",M506="equivocal"),OR(O506="positive",O506="equivocal")),"a",IF(OR(O506="positive",O506="equivocal"),"b",IF(OR(M506="positive",M506="equivocal"),"c","d"))))</x:f>
        <x:v>d</x:v>
      </x:c>
      <x:c r="AB506" s="12" t="str">
        <x:f>IF(OR(M506="unavailable",O506="unavailable"),"不可评价",IF(AND(M506="positive",O506="positive"),"a",IF(O506="positive","b",IF(M506="positive","c","d"))))</x:f>
        <x:v>d</x:v>
      </x:c>
      <x:c r="AC506" s="12" t="str">
        <x:f>IF(OR(R506="unavailable",T506="unavailable"),"不可评价",IF(AND(OR(R506="positive",R506="equivocal"),OR(T506="positive",T506="equivocal")),"a",IF(OR(T506="positive",T506="equivocal"),"b",IF(OR(R506="positive",R506="equivocal"),"c","d"))))</x:f>
        <x:v>d</x:v>
      </x:c>
      <x:c r="AD506" s="12" t="str">
        <x:f>IF(OR(R506="unavailable",T506="unavailable"),"不可评价",IF(AND(R506="positive",T506="positive"),"a",IF(T506="positive","b",IF(R506="positive","c","d"))))</x:f>
        <x:v>d</x:v>
      </x:c>
      <x:c r="AE506" s="12" t="str">
        <x:f>IF(OR(W506="unavailable",Y506="unavailable"),"不可评价",IF(AND(OR(W506="positive",W506="equivocal"),OR(Y506="positive",Y506="equivocal")),"a",IF(OR(Y506="positive",Y506="equivocal"),"b",IF(OR(W506="positive",W506="equivocal"),"c","d"))))</x:f>
        <x:v>d</x:v>
      </x:c>
      <x:c r="AF506" s="12" t="str">
        <x:f>IF(OR(W506="unavailable",Y506="unavailable"),"不可评价",IF(AND(W506="positive",Y506="positive"),"a",IF(Y506="positive","b",IF(W506="positive","c","d"))))</x:f>
        <x:v>d</x:v>
      </x:c>
    </x:row>
    <x:row r="507" ht="24" customHeight="1">
      <x:c r="A507" s="12" t="str">
        <x:v>3923</x:v>
      </x:c>
      <x:c r="B507" s="12" t="str">
        <x:v>3107</x:v>
      </x:c>
      <x:c r="C507" s="21" t="n">
        <x:v>32955.90934027778</x:v>
      </x:c>
      <x:c r="D507" s="12" t="n">
        <x:v>63</x:v>
      </x:c>
      <x:c r="E507" s="12" t="n">
        <x:v>1</x:v>
      </x:c>
      <x:c r="F507" s="12" t="str">
        <x:v>未记录</x:v>
      </x:c>
      <x:c r="G507" s="12" t="n">
        <x:v>1</x:v>
      </x:c>
      <x:c r="H507" s="12" t="str">
        <x:v>{'NORM': 100.0, 'SR': 0.0}</x:v>
      </x:c>
      <x:c r="I507" s="12" t="str">
        <x:v>[('NSR', 100.0), ('NT', 100.0), ('AB', 100.0)]</x:v>
      </x:c>
      <x:c r="J507" s="12" t="str">
        <x:v>ptbxl_database.csv；ecg_id=3923；scp_codes</x:v>
      </x:c>
      <x:c r="K507" s="12" t="str">
        <x:v>12sl_statements.csv；ecg_id=3923；statements_ext_snomed</x:v>
      </x:c>
      <x:c r="L507" s="12"/>
      <x:c r="M507" s="12" t="str">
        <x:v>negative</x:v>
      </x:c>
      <x:c r="N507" s="12"/>
      <x:c r="O507" s="12" t="str">
        <x:v>negative</x:v>
      </x:c>
      <x:c r="P507" s="12" t="str">
        <x:f>IF(OR(M507="unavailable",O507="unavailable"),"不可评价",IF(OR(M507="equivocal",O507="equivocal"),"疑似",IF(AND(M507="positive",O507="positive"),"a",IF(O507="positive","b",IF(M507="positive","c","d")))))</x:f>
        <x:v>d</x:v>
      </x:c>
      <x:c r="Q507" s="12"/>
      <x:c r="R507" s="12" t="str">
        <x:v>negative</x:v>
      </x:c>
      <x:c r="S507" s="12"/>
      <x:c r="T507" s="12" t="str">
        <x:v>negative</x:v>
      </x:c>
      <x:c r="U507" s="12" t="str">
        <x:f>IF(OR(R507="unavailable",T507="unavailable"),"不可评价",IF(OR(R507="equivocal",T507="equivocal"),"疑似",IF(AND(R507="positive",T507="positive"),"a",IF(T507="positive","b",IF(R507="positive","c","d")))))</x:f>
        <x:v>d</x:v>
      </x:c>
      <x:c r="V507" s="12"/>
      <x:c r="W507" s="12" t="str">
        <x:v>negative</x:v>
      </x:c>
      <x:c r="X507" s="12"/>
      <x:c r="Y507" s="12" t="str">
        <x:v>negative</x:v>
      </x:c>
      <x:c r="Z507" s="12" t="str">
        <x:f>IF(OR(W507="unavailable",Y507="unavailable"),"不可评价",IF(OR(W507="equivocal",Y507="equivocal"),"疑似",IF(AND(W507="positive",Y507="positive"),"a",IF(Y507="positive","b",IF(W507="positive","c","d")))))</x:f>
        <x:v>d</x:v>
      </x:c>
      <x:c r="AA507" s="12" t="str">
        <x:f>IF(OR(M507="unavailable",O507="unavailable"),"不可评价",IF(AND(OR(M507="positive",M507="equivocal"),OR(O507="positive",O507="equivocal")),"a",IF(OR(O507="positive",O507="equivocal"),"b",IF(OR(M507="positive",M507="equivocal"),"c","d"))))</x:f>
        <x:v>d</x:v>
      </x:c>
      <x:c r="AB507" s="12" t="str">
        <x:f>IF(OR(M507="unavailable",O507="unavailable"),"不可评价",IF(AND(M507="positive",O507="positive"),"a",IF(O507="positive","b",IF(M507="positive","c","d"))))</x:f>
        <x:v>d</x:v>
      </x:c>
      <x:c r="AC507" s="12" t="str">
        <x:f>IF(OR(R507="unavailable",T507="unavailable"),"不可评价",IF(AND(OR(R507="positive",R507="equivocal"),OR(T507="positive",T507="equivocal")),"a",IF(OR(T507="positive",T507="equivocal"),"b",IF(OR(R507="positive",R507="equivocal"),"c","d"))))</x:f>
        <x:v>d</x:v>
      </x:c>
      <x:c r="AD507" s="12" t="str">
        <x:f>IF(OR(R507="unavailable",T507="unavailable"),"不可评价",IF(AND(R507="positive",T507="positive"),"a",IF(T507="positive","b",IF(R507="positive","c","d"))))</x:f>
        <x:v>d</x:v>
      </x:c>
      <x:c r="AE507" s="12" t="str">
        <x:f>IF(OR(W507="unavailable",Y507="unavailable"),"不可评价",IF(AND(OR(W507="positive",W507="equivocal"),OR(Y507="positive",Y507="equivocal")),"a",IF(OR(Y507="positive",Y507="equivocal"),"b",IF(OR(W507="positive",W507="equivocal"),"c","d"))))</x:f>
        <x:v>d</x:v>
      </x:c>
      <x:c r="AF507" s="12" t="str">
        <x:f>IF(OR(W507="unavailable",Y507="unavailable"),"不可评价",IF(AND(W507="positive",Y507="positive"),"a",IF(Y507="positive","b",IF(W507="positive","c","d"))))</x:f>
        <x:v>d</x:v>
      </x:c>
    </x:row>
    <x:row r="508" ht="24" customHeight="1">
      <x:c r="A508" s="12" t="str">
        <x:v>3925</x:v>
      </x:c>
      <x:c r="B508" s="12" t="str">
        <x:v>20227</x:v>
      </x:c>
      <x:c r="C508" s="21" t="n">
        <x:v>32956.36739583333</x:v>
      </x:c>
      <x:c r="D508" s="12" t="n">
        <x:v>24</x:v>
      </x:c>
      <x:c r="E508" s="12" t="n">
        <x:v>0</x:v>
      </x:c>
      <x:c r="F508" s="12" t="str">
        <x:v>存在</x:v>
      </x:c>
      <x:c r="G508" s="12" t="n">
        <x:v>1</x:v>
      </x:c>
      <x:c r="H508" s="12" t="str">
        <x:v>{'LPFB': 100.0, 'LVH': 50.0, 'SR': 0.0}</x:v>
      </x:c>
      <x:c r="I508" s="12" t="str">
        <x:v>[('NSR', 100.0), ('RAD', 100.0), ('BIVH', 100.0), ('QRST', 100.0), ('AB', 100.0)]</x:v>
      </x:c>
      <x:c r="J508" s="12" t="str">
        <x:v>ptbxl_database.csv；ecg_id=3925；scp_codes</x:v>
      </x:c>
      <x:c r="K508" s="12" t="str">
        <x:v>12sl_statements.csv；ecg_id=3925；statements_ext_snomed</x:v>
      </x:c>
      <x:c r="L508" s="12"/>
      <x:c r="M508" s="12" t="str">
        <x:v>negative</x:v>
      </x:c>
      <x:c r="N508" s="12"/>
      <x:c r="O508" s="12" t="str">
        <x:v>negative</x:v>
      </x:c>
      <x:c r="P508" s="12" t="str">
        <x:f>IF(OR(M508="unavailable",O508="unavailable"),"不可评价",IF(OR(M508="equivocal",O508="equivocal"),"疑似",IF(AND(M508="positive",O508="positive"),"a",IF(O508="positive","b",IF(M508="positive","c","d")))))</x:f>
        <x:v>d</x:v>
      </x:c>
      <x:c r="Q508" s="12"/>
      <x:c r="R508" s="12" t="str">
        <x:v>negative</x:v>
      </x:c>
      <x:c r="S508" s="12"/>
      <x:c r="T508" s="12" t="str">
        <x:v>negative</x:v>
      </x:c>
      <x:c r="U508" s="12" t="str">
        <x:f>IF(OR(R508="unavailable",T508="unavailable"),"不可评价",IF(OR(R508="equivocal",T508="equivocal"),"疑似",IF(AND(R508="positive",T508="positive"),"a",IF(T508="positive","b",IF(R508="positive","c","d")))))</x:f>
        <x:v>d</x:v>
      </x:c>
      <x:c r="V508" s="12"/>
      <x:c r="W508" s="12" t="str">
        <x:v>negative</x:v>
      </x:c>
      <x:c r="X508" s="12"/>
      <x:c r="Y508" s="12" t="str">
        <x:v>negative</x:v>
      </x:c>
      <x:c r="Z508" s="12" t="str">
        <x:f>IF(OR(W508="unavailable",Y508="unavailable"),"不可评价",IF(OR(W508="equivocal",Y508="equivocal"),"疑似",IF(AND(W508="positive",Y508="positive"),"a",IF(Y508="positive","b",IF(W508="positive","c","d")))))</x:f>
        <x:v>d</x:v>
      </x:c>
      <x:c r="AA508" s="12" t="str">
        <x:f>IF(OR(M508="unavailable",O508="unavailable"),"不可评价",IF(AND(OR(M508="positive",M508="equivocal"),OR(O508="positive",O508="equivocal")),"a",IF(OR(O508="positive",O508="equivocal"),"b",IF(OR(M508="positive",M508="equivocal"),"c","d"))))</x:f>
        <x:v>d</x:v>
      </x:c>
      <x:c r="AB508" s="12" t="str">
        <x:f>IF(OR(M508="unavailable",O508="unavailable"),"不可评价",IF(AND(M508="positive",O508="positive"),"a",IF(O508="positive","b",IF(M508="positive","c","d"))))</x:f>
        <x:v>d</x:v>
      </x:c>
      <x:c r="AC508" s="12" t="str">
        <x:f>IF(OR(R508="unavailable",T508="unavailable"),"不可评价",IF(AND(OR(R508="positive",R508="equivocal"),OR(T508="positive",T508="equivocal")),"a",IF(OR(T508="positive",T508="equivocal"),"b",IF(OR(R508="positive",R508="equivocal"),"c","d"))))</x:f>
        <x:v>d</x:v>
      </x:c>
      <x:c r="AD508" s="12" t="str">
        <x:f>IF(OR(R508="unavailable",T508="unavailable"),"不可评价",IF(AND(R508="positive",T508="positive"),"a",IF(T508="positive","b",IF(R508="positive","c","d"))))</x:f>
        <x:v>d</x:v>
      </x:c>
      <x:c r="AE508" s="12" t="str">
        <x:f>IF(OR(W508="unavailable",Y508="unavailable"),"不可评价",IF(AND(OR(W508="positive",W508="equivocal"),OR(Y508="positive",Y508="equivocal")),"a",IF(OR(Y508="positive",Y508="equivocal"),"b",IF(OR(W508="positive",W508="equivocal"),"c","d"))))</x:f>
        <x:v>d</x:v>
      </x:c>
      <x:c r="AF508" s="12" t="str">
        <x:f>IF(OR(W508="unavailable",Y508="unavailable"),"不可评价",IF(AND(W508="positive",Y508="positive"),"a",IF(Y508="positive","b",IF(W508="positive","c","d"))))</x:f>
        <x:v>d</x:v>
      </x:c>
    </x:row>
    <x:row r="509" ht="24" customHeight="1">
      <x:c r="A509" s="12" t="str">
        <x:v>3926</x:v>
      </x:c>
      <x:c r="B509" s="12" t="str">
        <x:v>18045</x:v>
      </x:c>
      <x:c r="C509" s="21" t="n">
        <x:v>32956.370150462964</x:v>
      </x:c>
      <x:c r="D509" s="12" t="n">
        <x:v>47</x:v>
      </x:c>
      <x:c r="E509" s="12" t="n">
        <x:v>1</x:v>
      </x:c>
      <x:c r="F509" s="12" t="str">
        <x:v>存在</x:v>
      </x:c>
      <x:c r="G509" s="12" t="n">
        <x:v>0</x:v>
      </x:c>
      <x:c r="H509" s="12" t="str">
        <x:v>{'NORM': 100.0, 'SR': 0.0}</x:v>
      </x:c>
      <x:c r="I509" s="12" t="str">
        <x:v>[('SBRAD', 100.0), ('ABR', 100.0)]</x:v>
      </x:c>
      <x:c r="J509" s="12" t="str">
        <x:v>ptbxl_database.csv；ecg_id=3926；scp_codes</x:v>
      </x:c>
      <x:c r="K509" s="12" t="str">
        <x:v>12sl_statements.csv；ecg_id=3926；statements_ext_snomed</x:v>
      </x:c>
      <x:c r="L509" s="12"/>
      <x:c r="M509" s="12" t="str">
        <x:v>negative</x:v>
      </x:c>
      <x:c r="N509" s="12"/>
      <x:c r="O509" s="12" t="str">
        <x:v>negative</x:v>
      </x:c>
      <x:c r="P509" s="12" t="str">
        <x:f>IF(OR(M509="unavailable",O509="unavailable"),"不可评价",IF(OR(M509="equivocal",O509="equivocal"),"疑似",IF(AND(M509="positive",O509="positive"),"a",IF(O509="positive","b",IF(M509="positive","c","d")))))</x:f>
        <x:v>d</x:v>
      </x:c>
      <x:c r="Q509" s="12"/>
      <x:c r="R509" s="12" t="str">
        <x:v>negative</x:v>
      </x:c>
      <x:c r="S509" s="12"/>
      <x:c r="T509" s="12" t="str">
        <x:v>negative</x:v>
      </x:c>
      <x:c r="U509" s="12" t="str">
        <x:f>IF(OR(R509="unavailable",T509="unavailable"),"不可评价",IF(OR(R509="equivocal",T509="equivocal"),"疑似",IF(AND(R509="positive",T509="positive"),"a",IF(T509="positive","b",IF(R509="positive","c","d")))))</x:f>
        <x:v>d</x:v>
      </x:c>
      <x:c r="V509" s="12"/>
      <x:c r="W509" s="12" t="str">
        <x:v>negative</x:v>
      </x:c>
      <x:c r="X509" s="12"/>
      <x:c r="Y509" s="12" t="str">
        <x:v>negative</x:v>
      </x:c>
      <x:c r="Z509" s="12" t="str">
        <x:f>IF(OR(W509="unavailable",Y509="unavailable"),"不可评价",IF(OR(W509="equivocal",Y509="equivocal"),"疑似",IF(AND(W509="positive",Y509="positive"),"a",IF(Y509="positive","b",IF(W509="positive","c","d")))))</x:f>
        <x:v>d</x:v>
      </x:c>
      <x:c r="AA509" s="12" t="str">
        <x:f>IF(OR(M509="unavailable",O509="unavailable"),"不可评价",IF(AND(OR(M509="positive",M509="equivocal"),OR(O509="positive",O509="equivocal")),"a",IF(OR(O509="positive",O509="equivocal"),"b",IF(OR(M509="positive",M509="equivocal"),"c","d"))))</x:f>
        <x:v>d</x:v>
      </x:c>
      <x:c r="AB509" s="12" t="str">
        <x:f>IF(OR(M509="unavailable",O509="unavailable"),"不可评价",IF(AND(M509="positive",O509="positive"),"a",IF(O509="positive","b",IF(M509="positive","c","d"))))</x:f>
        <x:v>d</x:v>
      </x:c>
      <x:c r="AC509" s="12" t="str">
        <x:f>IF(OR(R509="unavailable",T509="unavailable"),"不可评价",IF(AND(OR(R509="positive",R509="equivocal"),OR(T509="positive",T509="equivocal")),"a",IF(OR(T509="positive",T509="equivocal"),"b",IF(OR(R509="positive",R509="equivocal"),"c","d"))))</x:f>
        <x:v>d</x:v>
      </x:c>
      <x:c r="AD509" s="12" t="str">
        <x:f>IF(OR(R509="unavailable",T509="unavailable"),"不可评价",IF(AND(R509="positive",T509="positive"),"a",IF(T509="positive","b",IF(R509="positive","c","d"))))</x:f>
        <x:v>d</x:v>
      </x:c>
      <x:c r="AE509" s="12" t="str">
        <x:f>IF(OR(W509="unavailable",Y509="unavailable"),"不可评价",IF(AND(OR(W509="positive",W509="equivocal"),OR(Y509="positive",Y509="equivocal")),"a",IF(OR(Y509="positive",Y509="equivocal"),"b",IF(OR(W509="positive",W509="equivocal"),"c","d"))))</x:f>
        <x:v>d</x:v>
      </x:c>
      <x:c r="AF509" s="12" t="str">
        <x:f>IF(OR(W509="unavailable",Y509="unavailable"),"不可评价",IF(AND(W509="positive",Y509="positive"),"a",IF(Y509="positive","b",IF(W509="positive","c","d"))))</x:f>
        <x:v>d</x:v>
      </x:c>
    </x:row>
    <x:row r="510" ht="24" customHeight="1">
      <x:c r="A510" s="12" t="str">
        <x:v>3937</x:v>
      </x:c>
      <x:c r="B510" s="12" t="str">
        <x:v>19434</x:v>
      </x:c>
      <x:c r="C510" s="21" t="n">
        <x:v>32958.4296875</x:v>
      </x:c>
      <x:c r="D510" s="12" t="n">
        <x:v>32</x:v>
      </x:c>
      <x:c r="E510" s="12" t="n">
        <x:v>1</x:v>
      </x:c>
      <x:c r="F510" s="12" t="str">
        <x:v>未记录</x:v>
      </x:c>
      <x:c r="G510" s="12" t="n">
        <x:v>1</x:v>
      </x:c>
      <x:c r="H510" s="12" t="str">
        <x:v>{'NORM': 100.0, 'SR': 0.0}</x:v>
      </x:c>
      <x:c r="I510" s="12" t="str">
        <x:v>[('NSR', 100.0), ('NML', 100.0)]</x:v>
      </x:c>
      <x:c r="J510" s="12" t="str">
        <x:v>ptbxl_database.csv；ecg_id=3937；scp_codes</x:v>
      </x:c>
      <x:c r="K510" s="12" t="str">
        <x:v>12sl_statements.csv；ecg_id=3937；statements_ext_snomed</x:v>
      </x:c>
      <x:c r="L510" s="12"/>
      <x:c r="M510" s="12" t="str">
        <x:v>negative</x:v>
      </x:c>
      <x:c r="N510" s="12"/>
      <x:c r="O510" s="12" t="str">
        <x:v>negative</x:v>
      </x:c>
      <x:c r="P510" s="12" t="str">
        <x:f>IF(OR(M510="unavailable",O510="unavailable"),"不可评价",IF(OR(M510="equivocal",O510="equivocal"),"疑似",IF(AND(M510="positive",O510="positive"),"a",IF(O510="positive","b",IF(M510="positive","c","d")))))</x:f>
        <x:v>d</x:v>
      </x:c>
      <x:c r="Q510" s="12"/>
      <x:c r="R510" s="12" t="str">
        <x:v>negative</x:v>
      </x:c>
      <x:c r="S510" s="12"/>
      <x:c r="T510" s="12" t="str">
        <x:v>negative</x:v>
      </x:c>
      <x:c r="U510" s="12" t="str">
        <x:f>IF(OR(R510="unavailable",T510="unavailable"),"不可评价",IF(OR(R510="equivocal",T510="equivocal"),"疑似",IF(AND(R510="positive",T510="positive"),"a",IF(T510="positive","b",IF(R510="positive","c","d")))))</x:f>
        <x:v>d</x:v>
      </x:c>
      <x:c r="V510" s="12"/>
      <x:c r="W510" s="12" t="str">
        <x:v>negative</x:v>
      </x:c>
      <x:c r="X510" s="12"/>
      <x:c r="Y510" s="12" t="str">
        <x:v>negative</x:v>
      </x:c>
      <x:c r="Z510" s="12" t="str">
        <x:f>IF(OR(W510="unavailable",Y510="unavailable"),"不可评价",IF(OR(W510="equivocal",Y510="equivocal"),"疑似",IF(AND(W510="positive",Y510="positive"),"a",IF(Y510="positive","b",IF(W510="positive","c","d")))))</x:f>
        <x:v>d</x:v>
      </x:c>
      <x:c r="AA510" s="12" t="str">
        <x:f>IF(OR(M510="unavailable",O510="unavailable"),"不可评价",IF(AND(OR(M510="positive",M510="equivocal"),OR(O510="positive",O510="equivocal")),"a",IF(OR(O510="positive",O510="equivocal"),"b",IF(OR(M510="positive",M510="equivocal"),"c","d"))))</x:f>
        <x:v>d</x:v>
      </x:c>
      <x:c r="AB510" s="12" t="str">
        <x:f>IF(OR(M510="unavailable",O510="unavailable"),"不可评价",IF(AND(M510="positive",O510="positive"),"a",IF(O510="positive","b",IF(M510="positive","c","d"))))</x:f>
        <x:v>d</x:v>
      </x:c>
      <x:c r="AC510" s="12" t="str">
        <x:f>IF(OR(R510="unavailable",T510="unavailable"),"不可评价",IF(AND(OR(R510="positive",R510="equivocal"),OR(T510="positive",T510="equivocal")),"a",IF(OR(T510="positive",T510="equivocal"),"b",IF(OR(R510="positive",R510="equivocal"),"c","d"))))</x:f>
        <x:v>d</x:v>
      </x:c>
      <x:c r="AD510" s="12" t="str">
        <x:f>IF(OR(R510="unavailable",T510="unavailable"),"不可评价",IF(AND(R510="positive",T510="positive"),"a",IF(T510="positive","b",IF(R510="positive","c","d"))))</x:f>
        <x:v>d</x:v>
      </x:c>
      <x:c r="AE510" s="12" t="str">
        <x:f>IF(OR(W510="unavailable",Y510="unavailable"),"不可评价",IF(AND(OR(W510="positive",W510="equivocal"),OR(Y510="positive",Y510="equivocal")),"a",IF(OR(Y510="positive",Y510="equivocal"),"b",IF(OR(W510="positive",W510="equivocal"),"c","d"))))</x:f>
        <x:v>d</x:v>
      </x:c>
      <x:c r="AF510" s="12" t="str">
        <x:f>IF(OR(W510="unavailable",Y510="unavailable"),"不可评价",IF(AND(W510="positive",Y510="positive"),"a",IF(Y510="positive","b",IF(W510="positive","c","d"))))</x:f>
        <x:v>d</x:v>
      </x:c>
    </x:row>
    <x:row r="511" ht="24" customHeight="1">
      <x:c r="A511" s="12" t="str">
        <x:v>3947</x:v>
      </x:c>
      <x:c r="B511" s="12" t="str">
        <x:v>17456</x:v>
      </x:c>
      <x:c r="C511" s="21" t="n">
        <x:v>32968.73158564815</x:v>
      </x:c>
      <x:c r="D511" s="12" t="n">
        <x:v>70</x:v>
      </x:c>
      <x:c r="E511" s="12" t="n">
        <x:v>1</x:v>
      </x:c>
      <x:c r="F511" s="12" t="str">
        <x:v>未记录</x:v>
      </x:c>
      <x:c r="G511" s="12" t="n">
        <x:v>1</x:v>
      </x:c>
      <x:c r="H511" s="12" t="str">
        <x:v>{'CRBBB': 100.0, 'LPFB': 100.0, 'AFIB': 0.0}</x:v>
      </x:c>
      <x:c r="I511" s="12" t="str">
        <x:v>[('AFIB', 100.0), ('RVR', 100.0), ('RBBB', 100.0), ('LT', 100.0), ('AB', 100.0)]</x:v>
      </x:c>
      <x:c r="J511" s="12" t="str">
        <x:v>ptbxl_database.csv；ecg_id=3947；scp_codes</x:v>
      </x:c>
      <x:c r="K511" s="12" t="str">
        <x:v>12sl_statements.csv；ecg_id=3947；statements_ext_snomed</x:v>
      </x:c>
      <x:c r="L511" s="12" t="n">
        <x:v>0</x:v>
      </x:c>
      <x:c r="M511" s="12" t="str">
        <x:v>positive</x:v>
      </x:c>
      <x:c r="N511" s="12" t="n">
        <x:v>100</x:v>
      </x:c>
      <x:c r="O511" s="12" t="str">
        <x:v>positive</x:v>
      </x:c>
      <x:c r="P511" s="12" t="str">
        <x:f>IF(OR(M511="unavailable",O511="unavailable"),"不可评价",IF(OR(M511="equivocal",O511="equivocal"),"疑似",IF(AND(M511="positive",O511="positive"),"a",IF(O511="positive","b",IF(M511="positive","c","d")))))</x:f>
        <x:v>a</x:v>
      </x:c>
      <x:c r="Q511" s="12"/>
      <x:c r="R511" s="12" t="str">
        <x:v>negative</x:v>
      </x:c>
      <x:c r="S511" s="12"/>
      <x:c r="T511" s="12" t="str">
        <x:v>negative</x:v>
      </x:c>
      <x:c r="U511" s="12" t="str">
        <x:f>IF(OR(R511="unavailable",T511="unavailable"),"不可评价",IF(OR(R511="equivocal",T511="equivocal"),"疑似",IF(AND(R511="positive",T511="positive"),"a",IF(T511="positive","b",IF(R511="positive","c","d")))))</x:f>
        <x:v>d</x:v>
      </x:c>
      <x:c r="V511" s="12" t="n">
        <x:v>100</x:v>
      </x:c>
      <x:c r="W511" s="12" t="str">
        <x:v>positive</x:v>
      </x:c>
      <x:c r="X511" s="12" t="n">
        <x:v>100</x:v>
      </x:c>
      <x:c r="Y511" s="12" t="str">
        <x:v>positive</x:v>
      </x:c>
      <x:c r="Z511" s="12" t="str">
        <x:f>IF(OR(W511="unavailable",Y511="unavailable"),"不可评价",IF(OR(W511="equivocal",Y511="equivocal"),"疑似",IF(AND(W511="positive",Y511="positive"),"a",IF(Y511="positive","b",IF(W511="positive","c","d")))))</x:f>
        <x:v>a</x:v>
      </x:c>
      <x:c r="AA511" s="12" t="str">
        <x:f>IF(OR(M511="unavailable",O511="unavailable"),"不可评价",IF(AND(OR(M511="positive",M511="equivocal"),OR(O511="positive",O511="equivocal")),"a",IF(OR(O511="positive",O511="equivocal"),"b",IF(OR(M511="positive",M511="equivocal"),"c","d"))))</x:f>
        <x:v>a</x:v>
      </x:c>
      <x:c r="AB511" s="12" t="str">
        <x:f>IF(OR(M511="unavailable",O511="unavailable"),"不可评价",IF(AND(M511="positive",O511="positive"),"a",IF(O511="positive","b",IF(M511="positive","c","d"))))</x:f>
        <x:v>a</x:v>
      </x:c>
      <x:c r="AC511" s="12" t="str">
        <x:f>IF(OR(R511="unavailable",T511="unavailable"),"不可评价",IF(AND(OR(R511="positive",R511="equivocal"),OR(T511="positive",T511="equivocal")),"a",IF(OR(T511="positive",T511="equivocal"),"b",IF(OR(R511="positive",R511="equivocal"),"c","d"))))</x:f>
        <x:v>d</x:v>
      </x:c>
      <x:c r="AD511" s="12" t="str">
        <x:f>IF(OR(R511="unavailable",T511="unavailable"),"不可评价",IF(AND(R511="positive",T511="positive"),"a",IF(T511="positive","b",IF(R511="positive","c","d"))))</x:f>
        <x:v>d</x:v>
      </x:c>
      <x:c r="AE511" s="12" t="str">
        <x:f>IF(OR(W511="unavailable",Y511="unavailable"),"不可评价",IF(AND(OR(W511="positive",W511="equivocal"),OR(Y511="positive",Y511="equivocal")),"a",IF(OR(Y511="positive",Y511="equivocal"),"b",IF(OR(W511="positive",W511="equivocal"),"c","d"))))</x:f>
        <x:v>a</x:v>
      </x:c>
      <x:c r="AF511" s="12" t="str">
        <x:f>IF(OR(W511="unavailable",Y511="unavailable"),"不可评价",IF(AND(W511="positive",Y511="positive"),"a",IF(Y511="positive","b",IF(W511="positive","c","d"))))</x:f>
        <x:v>a</x:v>
      </x:c>
    </x:row>
    <x:row r="512" ht="24" customHeight="1">
      <x:c r="A512" s="12" t="str">
        <x:v>3948</x:v>
      </x:c>
      <x:c r="B512" s="12" t="str">
        <x:v>12209</x:v>
      </x:c>
      <x:c r="C512" s="21" t="n">
        <x:v>32972.41502314815</x:v>
      </x:c>
      <x:c r="D512" s="12" t="n">
        <x:v>72</x:v>
      </x:c>
      <x:c r="E512" s="12" t="n">
        <x:v>0</x:v>
      </x:c>
      <x:c r="F512" s="12" t="str">
        <x:v>未记录</x:v>
      </x:c>
      <x:c r="G512" s="12" t="n">
        <x:v>1</x:v>
      </x:c>
      <x:c r="H512" s="12" t="str">
        <x:v>{'1AVB': 100.0, 'SR': 0.0}</x:v>
      </x:c>
      <x:c r="I512" s="12" t="str">
        <x:v>[('SRTH', 100.0), ('FAV', 100.0), ('REPOL', 100.0), ('ABR', 100.0)]</x:v>
      </x:c>
      <x:c r="J512" s="12" t="str">
        <x:v>ptbxl_database.csv；ecg_id=3948；scp_codes</x:v>
      </x:c>
      <x:c r="K512" s="12" t="str">
        <x:v>12sl_statements.csv；ecg_id=3948；statements_ext_snomed</x:v>
      </x:c>
      <x:c r="L512" s="12"/>
      <x:c r="M512" s="12" t="str">
        <x:v>negative</x:v>
      </x:c>
      <x:c r="N512" s="12"/>
      <x:c r="O512" s="12" t="str">
        <x:v>negative</x:v>
      </x:c>
      <x:c r="P512" s="12" t="str">
        <x:f>IF(OR(M512="unavailable",O512="unavailable"),"不可评价",IF(OR(M512="equivocal",O512="equivocal"),"疑似",IF(AND(M512="positive",O512="positive"),"a",IF(O512="positive","b",IF(M512="positive","c","d")))))</x:f>
        <x:v>d</x:v>
      </x:c>
      <x:c r="Q512" s="12"/>
      <x:c r="R512" s="12" t="str">
        <x:v>negative</x:v>
      </x:c>
      <x:c r="S512" s="12"/>
      <x:c r="T512" s="12" t="str">
        <x:v>negative</x:v>
      </x:c>
      <x:c r="U512" s="12" t="str">
        <x:f>IF(OR(R512="unavailable",T512="unavailable"),"不可评价",IF(OR(R512="equivocal",T512="equivocal"),"疑似",IF(AND(R512="positive",T512="positive"),"a",IF(T512="positive","b",IF(R512="positive","c","d")))))</x:f>
        <x:v>d</x:v>
      </x:c>
      <x:c r="V512" s="12"/>
      <x:c r="W512" s="12" t="str">
        <x:v>negative</x:v>
      </x:c>
      <x:c r="X512" s="12"/>
      <x:c r="Y512" s="12" t="str">
        <x:v>negative</x:v>
      </x:c>
      <x:c r="Z512" s="12" t="str">
        <x:f>IF(OR(W512="unavailable",Y512="unavailable"),"不可评价",IF(OR(W512="equivocal",Y512="equivocal"),"疑似",IF(AND(W512="positive",Y512="positive"),"a",IF(Y512="positive","b",IF(W512="positive","c","d")))))</x:f>
        <x:v>d</x:v>
      </x:c>
      <x:c r="AA512" s="12" t="str">
        <x:f>IF(OR(M512="unavailable",O512="unavailable"),"不可评价",IF(AND(OR(M512="positive",M512="equivocal"),OR(O512="positive",O512="equivocal")),"a",IF(OR(O512="positive",O512="equivocal"),"b",IF(OR(M512="positive",M512="equivocal"),"c","d"))))</x:f>
        <x:v>d</x:v>
      </x:c>
      <x:c r="AB512" s="12" t="str">
        <x:f>IF(OR(M512="unavailable",O512="unavailable"),"不可评价",IF(AND(M512="positive",O512="positive"),"a",IF(O512="positive","b",IF(M512="positive","c","d"))))</x:f>
        <x:v>d</x:v>
      </x:c>
      <x:c r="AC512" s="12" t="str">
        <x:f>IF(OR(R512="unavailable",T512="unavailable"),"不可评价",IF(AND(OR(R512="positive",R512="equivocal"),OR(T512="positive",T512="equivocal")),"a",IF(OR(T512="positive",T512="equivocal"),"b",IF(OR(R512="positive",R512="equivocal"),"c","d"))))</x:f>
        <x:v>d</x:v>
      </x:c>
      <x:c r="AD512" s="12" t="str">
        <x:f>IF(OR(R512="unavailable",T512="unavailable"),"不可评价",IF(AND(R512="positive",T512="positive"),"a",IF(T512="positive","b",IF(R512="positive","c","d"))))</x:f>
        <x:v>d</x:v>
      </x:c>
      <x:c r="AE512" s="12" t="str">
        <x:f>IF(OR(W512="unavailable",Y512="unavailable"),"不可评价",IF(AND(OR(W512="positive",W512="equivocal"),OR(Y512="positive",Y512="equivocal")),"a",IF(OR(Y512="positive",Y512="equivocal"),"b",IF(OR(W512="positive",W512="equivocal"),"c","d"))))</x:f>
        <x:v>d</x:v>
      </x:c>
      <x:c r="AF512" s="12" t="str">
        <x:f>IF(OR(W512="unavailable",Y512="unavailable"),"不可评价",IF(AND(W512="positive",Y512="positive"),"a",IF(Y512="positive","b",IF(W512="positive","c","d"))))</x:f>
        <x:v>d</x:v>
      </x:c>
    </x:row>
    <x:row r="513" ht="39" customHeight="1">
      <x:c r="A513" s="12" t="str">
        <x:v>3949</x:v>
      </x:c>
      <x:c r="B513" s="12" t="str">
        <x:v>6188</x:v>
      </x:c>
      <x:c r="C513" s="21" t="n">
        <x:v>32972.418125</x:v>
      </x:c>
      <x:c r="D513" s="12" t="n">
        <x:v>71</x:v>
      </x:c>
      <x:c r="E513" s="12" t="n">
        <x:v>0</x:v>
      </x:c>
      <x:c r="F513" s="12" t="str">
        <x:v>存在</x:v>
      </x:c>
      <x:c r="G513" s="12" t="n">
        <x:v>1</x:v>
      </x:c>
      <x:c r="H513" s="12" t="str">
        <x:v>{'ILMI': 50.0, 'ASMI': 100.0, 'LPR': 0.0, 'QWAVE': 0.0, 'STD_': 0.0, 'SR': 0.0}</x:v>
      </x:c>
      <x:c r="I513" s="12" t="str">
        <x:v>[('SRTH', 100.0), ('FAV', 100.0), ('IMI;AU', 50.0), ('ASMI;AU', 100.0), ('AB', 100.0)]</x:v>
      </x:c>
      <x:c r="J513" s="12" t="str">
        <x:v>ptbxl_database.csv；ecg_id=3949；scp_codes</x:v>
      </x:c>
      <x:c r="K513" s="12" t="str">
        <x:v>12sl_statements.csv；ecg_id=3949；statements_ext_snomed</x:v>
      </x:c>
      <x:c r="L513" s="12"/>
      <x:c r="M513" s="12" t="str">
        <x:v>negative</x:v>
      </x:c>
      <x:c r="N513" s="12"/>
      <x:c r="O513" s="12" t="str">
        <x:v>negative</x:v>
      </x:c>
      <x:c r="P513" s="12" t="str">
        <x:f>IF(OR(M513="unavailable",O513="unavailable"),"不可评价",IF(OR(M513="equivocal",O513="equivocal"),"疑似",IF(AND(M513="positive",O513="positive"),"a",IF(O513="positive","b",IF(M513="positive","c","d")))))</x:f>
        <x:v>d</x:v>
      </x:c>
      <x:c r="Q513" s="12"/>
      <x:c r="R513" s="12" t="str">
        <x:v>negative</x:v>
      </x:c>
      <x:c r="S513" s="12"/>
      <x:c r="T513" s="12" t="str">
        <x:v>negative</x:v>
      </x:c>
      <x:c r="U513" s="12" t="str">
        <x:f>IF(OR(R513="unavailable",T513="unavailable"),"不可评价",IF(OR(R513="equivocal",T513="equivocal"),"疑似",IF(AND(R513="positive",T513="positive"),"a",IF(T513="positive","b",IF(R513="positive","c","d")))))</x:f>
        <x:v>d</x:v>
      </x:c>
      <x:c r="V513" s="12"/>
      <x:c r="W513" s="12" t="str">
        <x:v>negative</x:v>
      </x:c>
      <x:c r="X513" s="12"/>
      <x:c r="Y513" s="12" t="str">
        <x:v>negative</x:v>
      </x:c>
      <x:c r="Z513" s="12" t="str">
        <x:f>IF(OR(W513="unavailable",Y513="unavailable"),"不可评价",IF(OR(W513="equivocal",Y513="equivocal"),"疑似",IF(AND(W513="positive",Y513="positive"),"a",IF(Y513="positive","b",IF(W513="positive","c","d")))))</x:f>
        <x:v>d</x:v>
      </x:c>
      <x:c r="AA513" s="12" t="str">
        <x:f>IF(OR(M513="unavailable",O513="unavailable"),"不可评价",IF(AND(OR(M513="positive",M513="equivocal"),OR(O513="positive",O513="equivocal")),"a",IF(OR(O513="positive",O513="equivocal"),"b",IF(OR(M513="positive",M513="equivocal"),"c","d"))))</x:f>
        <x:v>d</x:v>
      </x:c>
      <x:c r="AB513" s="12" t="str">
        <x:f>IF(OR(M513="unavailable",O513="unavailable"),"不可评价",IF(AND(M513="positive",O513="positive"),"a",IF(O513="positive","b",IF(M513="positive","c","d"))))</x:f>
        <x:v>d</x:v>
      </x:c>
      <x:c r="AC513" s="12" t="str">
        <x:f>IF(OR(R513="unavailable",T513="unavailable"),"不可评价",IF(AND(OR(R513="positive",R513="equivocal"),OR(T513="positive",T513="equivocal")),"a",IF(OR(T513="positive",T513="equivocal"),"b",IF(OR(R513="positive",R513="equivocal"),"c","d"))))</x:f>
        <x:v>d</x:v>
      </x:c>
      <x:c r="AD513" s="12" t="str">
        <x:f>IF(OR(R513="unavailable",T513="unavailable"),"不可评价",IF(AND(R513="positive",T513="positive"),"a",IF(T513="positive","b",IF(R513="positive","c","d"))))</x:f>
        <x:v>d</x:v>
      </x:c>
      <x:c r="AE513" s="12" t="str">
        <x:f>IF(OR(W513="unavailable",Y513="unavailable"),"不可评价",IF(AND(OR(W513="positive",W513="equivocal"),OR(Y513="positive",Y513="equivocal")),"a",IF(OR(Y513="positive",Y513="equivocal"),"b",IF(OR(W513="positive",W513="equivocal"),"c","d"))))</x:f>
        <x:v>d</x:v>
      </x:c>
      <x:c r="AF513" s="12" t="str">
        <x:f>IF(OR(W513="unavailable",Y513="unavailable"),"不可评价",IF(AND(W513="positive",Y513="positive"),"a",IF(Y513="positive","b",IF(W513="positive","c","d"))))</x:f>
        <x:v>d</x:v>
      </x:c>
    </x:row>
    <x:row r="514" ht="24" customHeight="1">
      <x:c r="A514" s="12" t="str">
        <x:v>3967</x:v>
      </x:c>
      <x:c r="B514" s="12" t="str">
        <x:v>17761</x:v>
      </x:c>
      <x:c r="C514" s="21" t="n">
        <x:v>32974.447800925926</x:v>
      </x:c>
      <x:c r="D514" s="12" t="n">
        <x:v>50</x:v>
      </x:c>
      <x:c r="E514" s="12" t="n">
        <x:v>0</x:v>
      </x:c>
      <x:c r="F514" s="12" t="str">
        <x:v>存在</x:v>
      </x:c>
      <x:c r="G514" s="12" t="n">
        <x:v>1</x:v>
      </x:c>
      <x:c r="H514" s="12" t="str">
        <x:v>{'ASMI': 50.0, 'ABQRS': 0.0, 'SR': 0.0}</x:v>
      </x:c>
      <x:c r="I514" s="12" t="str">
        <x:v>[('NSR', 100.0), ('ASMI;AU', 100.0), ('AB', 100.0)]</x:v>
      </x:c>
      <x:c r="J514" s="12" t="str">
        <x:v>ptbxl_database.csv；ecg_id=3967；scp_codes</x:v>
      </x:c>
      <x:c r="K514" s="12" t="str">
        <x:v>12sl_statements.csv；ecg_id=3967；statements_ext_snomed</x:v>
      </x:c>
      <x:c r="L514" s="12"/>
      <x:c r="M514" s="12" t="str">
        <x:v>negative</x:v>
      </x:c>
      <x:c r="N514" s="12"/>
      <x:c r="O514" s="12" t="str">
        <x:v>negative</x:v>
      </x:c>
      <x:c r="P514" s="12" t="str">
        <x:f>IF(OR(M514="unavailable",O514="unavailable"),"不可评价",IF(OR(M514="equivocal",O514="equivocal"),"疑似",IF(AND(M514="positive",O514="positive"),"a",IF(O514="positive","b",IF(M514="positive","c","d")))))</x:f>
        <x:v>d</x:v>
      </x:c>
      <x:c r="Q514" s="12"/>
      <x:c r="R514" s="12" t="str">
        <x:v>negative</x:v>
      </x:c>
      <x:c r="S514" s="12"/>
      <x:c r="T514" s="12" t="str">
        <x:v>negative</x:v>
      </x:c>
      <x:c r="U514" s="12" t="str">
        <x:f>IF(OR(R514="unavailable",T514="unavailable"),"不可评价",IF(OR(R514="equivocal",T514="equivocal"),"疑似",IF(AND(R514="positive",T514="positive"),"a",IF(T514="positive","b",IF(R514="positive","c","d")))))</x:f>
        <x:v>d</x:v>
      </x:c>
      <x:c r="V514" s="12"/>
      <x:c r="W514" s="12" t="str">
        <x:v>negative</x:v>
      </x:c>
      <x:c r="X514" s="12"/>
      <x:c r="Y514" s="12" t="str">
        <x:v>negative</x:v>
      </x:c>
      <x:c r="Z514" s="12" t="str">
        <x:f>IF(OR(W514="unavailable",Y514="unavailable"),"不可评价",IF(OR(W514="equivocal",Y514="equivocal"),"疑似",IF(AND(W514="positive",Y514="positive"),"a",IF(Y514="positive","b",IF(W514="positive","c","d")))))</x:f>
        <x:v>d</x:v>
      </x:c>
      <x:c r="AA514" s="12" t="str">
        <x:f>IF(OR(M514="unavailable",O514="unavailable"),"不可评价",IF(AND(OR(M514="positive",M514="equivocal"),OR(O514="positive",O514="equivocal")),"a",IF(OR(O514="positive",O514="equivocal"),"b",IF(OR(M514="positive",M514="equivocal"),"c","d"))))</x:f>
        <x:v>d</x:v>
      </x:c>
      <x:c r="AB514" s="12" t="str">
        <x:f>IF(OR(M514="unavailable",O514="unavailable"),"不可评价",IF(AND(M514="positive",O514="positive"),"a",IF(O514="positive","b",IF(M514="positive","c","d"))))</x:f>
        <x:v>d</x:v>
      </x:c>
      <x:c r="AC514" s="12" t="str">
        <x:f>IF(OR(R514="unavailable",T514="unavailable"),"不可评价",IF(AND(OR(R514="positive",R514="equivocal"),OR(T514="positive",T514="equivocal")),"a",IF(OR(T514="positive",T514="equivocal"),"b",IF(OR(R514="positive",R514="equivocal"),"c","d"))))</x:f>
        <x:v>d</x:v>
      </x:c>
      <x:c r="AD514" s="12" t="str">
        <x:f>IF(OR(R514="unavailable",T514="unavailable"),"不可评价",IF(AND(R514="positive",T514="positive"),"a",IF(T514="positive","b",IF(R514="positive","c","d"))))</x:f>
        <x:v>d</x:v>
      </x:c>
      <x:c r="AE514" s="12" t="str">
        <x:f>IF(OR(W514="unavailable",Y514="unavailable"),"不可评价",IF(AND(OR(W514="positive",W514="equivocal"),OR(Y514="positive",Y514="equivocal")),"a",IF(OR(Y514="positive",Y514="equivocal"),"b",IF(OR(W514="positive",W514="equivocal"),"c","d"))))</x:f>
        <x:v>d</x:v>
      </x:c>
      <x:c r="AF514" s="12" t="str">
        <x:f>IF(OR(W514="unavailable",Y514="unavailable"),"不可评价",IF(AND(W514="positive",Y514="positive"),"a",IF(Y514="positive","b",IF(W514="positive","c","d"))))</x:f>
        <x:v>d</x:v>
      </x:c>
    </x:row>
    <x:row r="515" ht="24" customHeight="1">
      <x:c r="A515" s="12" t="str">
        <x:v>3984</x:v>
      </x:c>
      <x:c r="B515" s="12" t="str">
        <x:v>894</x:v>
      </x:c>
      <x:c r="C515" s="21" t="n">
        <x:v>32977.62721064815</x:v>
      </x:c>
      <x:c r="D515" s="12" t="n">
        <x:v>25</x:v>
      </x:c>
      <x:c r="E515" s="12" t="n">
        <x:v>1</x:v>
      </x:c>
      <x:c r="F515" s="12" t="str">
        <x:v>未记录</x:v>
      </x:c>
      <x:c r="G515" s="12" t="n">
        <x:v>1</x:v>
      </x:c>
      <x:c r="H515" s="12" t="str">
        <x:v>{'NORM': 100.0, 'SR': 0.0}</x:v>
      </x:c>
      <x:c r="I515" s="12" t="str">
        <x:v>[('SBRAD', 100.0), ('ABR', 100.0)]</x:v>
      </x:c>
      <x:c r="J515" s="12" t="str">
        <x:v>ptbxl_database.csv；ecg_id=3984；scp_codes</x:v>
      </x:c>
      <x:c r="K515" s="12" t="str">
        <x:v>12sl_statements.csv；ecg_id=3984；statements_ext_snomed</x:v>
      </x:c>
      <x:c r="L515" s="12"/>
      <x:c r="M515" s="12" t="str">
        <x:v>negative</x:v>
      </x:c>
      <x:c r="N515" s="12"/>
      <x:c r="O515" s="12" t="str">
        <x:v>negative</x:v>
      </x:c>
      <x:c r="P515" s="12" t="str">
        <x:f>IF(OR(M515="unavailable",O515="unavailable"),"不可评价",IF(OR(M515="equivocal",O515="equivocal"),"疑似",IF(AND(M515="positive",O515="positive"),"a",IF(O515="positive","b",IF(M515="positive","c","d")))))</x:f>
        <x:v>d</x:v>
      </x:c>
      <x:c r="Q515" s="12"/>
      <x:c r="R515" s="12" t="str">
        <x:v>negative</x:v>
      </x:c>
      <x:c r="S515" s="12"/>
      <x:c r="T515" s="12" t="str">
        <x:v>negative</x:v>
      </x:c>
      <x:c r="U515" s="12" t="str">
        <x:f>IF(OR(R515="unavailable",T515="unavailable"),"不可评价",IF(OR(R515="equivocal",T515="equivocal"),"疑似",IF(AND(R515="positive",T515="positive"),"a",IF(T515="positive","b",IF(R515="positive","c","d")))))</x:f>
        <x:v>d</x:v>
      </x:c>
      <x:c r="V515" s="12"/>
      <x:c r="W515" s="12" t="str">
        <x:v>negative</x:v>
      </x:c>
      <x:c r="X515" s="12"/>
      <x:c r="Y515" s="12" t="str">
        <x:v>negative</x:v>
      </x:c>
      <x:c r="Z515" s="12" t="str">
        <x:f>IF(OR(W515="unavailable",Y515="unavailable"),"不可评价",IF(OR(W515="equivocal",Y515="equivocal"),"疑似",IF(AND(W515="positive",Y515="positive"),"a",IF(Y515="positive","b",IF(W515="positive","c","d")))))</x:f>
        <x:v>d</x:v>
      </x:c>
      <x:c r="AA515" s="12" t="str">
        <x:f>IF(OR(M515="unavailable",O515="unavailable"),"不可评价",IF(AND(OR(M515="positive",M515="equivocal"),OR(O515="positive",O515="equivocal")),"a",IF(OR(O515="positive",O515="equivocal"),"b",IF(OR(M515="positive",M515="equivocal"),"c","d"))))</x:f>
        <x:v>d</x:v>
      </x:c>
      <x:c r="AB515" s="12" t="str">
        <x:f>IF(OR(M515="unavailable",O515="unavailable"),"不可评价",IF(AND(M515="positive",O515="positive"),"a",IF(O515="positive","b",IF(M515="positive","c","d"))))</x:f>
        <x:v>d</x:v>
      </x:c>
      <x:c r="AC515" s="12" t="str">
        <x:f>IF(OR(R515="unavailable",T515="unavailable"),"不可评价",IF(AND(OR(R515="positive",R515="equivocal"),OR(T515="positive",T515="equivocal")),"a",IF(OR(T515="positive",T515="equivocal"),"b",IF(OR(R515="positive",R515="equivocal"),"c","d"))))</x:f>
        <x:v>d</x:v>
      </x:c>
      <x:c r="AD515" s="12" t="str">
        <x:f>IF(OR(R515="unavailable",T515="unavailable"),"不可评价",IF(AND(R515="positive",T515="positive"),"a",IF(T515="positive","b",IF(R515="positive","c","d"))))</x:f>
        <x:v>d</x:v>
      </x:c>
      <x:c r="AE515" s="12" t="str">
        <x:f>IF(OR(W515="unavailable",Y515="unavailable"),"不可评价",IF(AND(OR(W515="positive",W515="equivocal"),OR(Y515="positive",Y515="equivocal")),"a",IF(OR(Y515="positive",Y515="equivocal"),"b",IF(OR(W515="positive",W515="equivocal"),"c","d"))))</x:f>
        <x:v>d</x:v>
      </x:c>
      <x:c r="AF515" s="12" t="str">
        <x:f>IF(OR(W515="unavailable",Y515="unavailable"),"不可评价",IF(AND(W515="positive",Y515="positive"),"a",IF(Y515="positive","b",IF(W515="positive","c","d"))))</x:f>
        <x:v>d</x:v>
      </x:c>
    </x:row>
    <x:row r="516" ht="24" customHeight="1">
      <x:c r="A516" s="12" t="str">
        <x:v>3986</x:v>
      </x:c>
      <x:c r="B516" s="12" t="str">
        <x:v>5434</x:v>
      </x:c>
      <x:c r="C516" s="21" t="n">
        <x:v>32978.32300925926</x:v>
      </x:c>
      <x:c r="D516" s="12" t="n">
        <x:v>45</x:v>
      </x:c>
      <x:c r="E516" s="12" t="n">
        <x:v>1</x:v>
      </x:c>
      <x:c r="F516" s="12" t="str">
        <x:v>未记录</x:v>
      </x:c>
      <x:c r="G516" s="12" t="n">
        <x:v>1</x:v>
      </x:c>
      <x:c r="H516" s="12" t="str">
        <x:v>{'NORM': 100.0, 'SR': 0.0}</x:v>
      </x:c>
      <x:c r="I516" s="12" t="str">
        <x:v>[('NSR', 100.0), ('NML', 100.0)]</x:v>
      </x:c>
      <x:c r="J516" s="12" t="str">
        <x:v>ptbxl_database.csv；ecg_id=3986；scp_codes</x:v>
      </x:c>
      <x:c r="K516" s="12" t="str">
        <x:v>12sl_statements.csv；ecg_id=3986；statements_ext_snomed</x:v>
      </x:c>
      <x:c r="L516" s="12"/>
      <x:c r="M516" s="12" t="str">
        <x:v>negative</x:v>
      </x:c>
      <x:c r="N516" s="12"/>
      <x:c r="O516" s="12" t="str">
        <x:v>negative</x:v>
      </x:c>
      <x:c r="P516" s="12" t="str">
        <x:f>IF(OR(M516="unavailable",O516="unavailable"),"不可评价",IF(OR(M516="equivocal",O516="equivocal"),"疑似",IF(AND(M516="positive",O516="positive"),"a",IF(O516="positive","b",IF(M516="positive","c","d")))))</x:f>
        <x:v>d</x:v>
      </x:c>
      <x:c r="Q516" s="12"/>
      <x:c r="R516" s="12" t="str">
        <x:v>negative</x:v>
      </x:c>
      <x:c r="S516" s="12"/>
      <x:c r="T516" s="12" t="str">
        <x:v>negative</x:v>
      </x:c>
      <x:c r="U516" s="12" t="str">
        <x:f>IF(OR(R516="unavailable",T516="unavailable"),"不可评价",IF(OR(R516="equivocal",T516="equivocal"),"疑似",IF(AND(R516="positive",T516="positive"),"a",IF(T516="positive","b",IF(R516="positive","c","d")))))</x:f>
        <x:v>d</x:v>
      </x:c>
      <x:c r="V516" s="12"/>
      <x:c r="W516" s="12" t="str">
        <x:v>negative</x:v>
      </x:c>
      <x:c r="X516" s="12"/>
      <x:c r="Y516" s="12" t="str">
        <x:v>negative</x:v>
      </x:c>
      <x:c r="Z516" s="12" t="str">
        <x:f>IF(OR(W516="unavailable",Y516="unavailable"),"不可评价",IF(OR(W516="equivocal",Y516="equivocal"),"疑似",IF(AND(W516="positive",Y516="positive"),"a",IF(Y516="positive","b",IF(W516="positive","c","d")))))</x:f>
        <x:v>d</x:v>
      </x:c>
      <x:c r="AA516" s="12" t="str">
        <x:f>IF(OR(M516="unavailable",O516="unavailable"),"不可评价",IF(AND(OR(M516="positive",M516="equivocal"),OR(O516="positive",O516="equivocal")),"a",IF(OR(O516="positive",O516="equivocal"),"b",IF(OR(M516="positive",M516="equivocal"),"c","d"))))</x:f>
        <x:v>d</x:v>
      </x:c>
      <x:c r="AB516" s="12" t="str">
        <x:f>IF(OR(M516="unavailable",O516="unavailable"),"不可评价",IF(AND(M516="positive",O516="positive"),"a",IF(O516="positive","b",IF(M516="positive","c","d"))))</x:f>
        <x:v>d</x:v>
      </x:c>
      <x:c r="AC516" s="12" t="str">
        <x:f>IF(OR(R516="unavailable",T516="unavailable"),"不可评价",IF(AND(OR(R516="positive",R516="equivocal"),OR(T516="positive",T516="equivocal")),"a",IF(OR(T516="positive",T516="equivocal"),"b",IF(OR(R516="positive",R516="equivocal"),"c","d"))))</x:f>
        <x:v>d</x:v>
      </x:c>
      <x:c r="AD516" s="12" t="str">
        <x:f>IF(OR(R516="unavailable",T516="unavailable"),"不可评价",IF(AND(R516="positive",T516="positive"),"a",IF(T516="positive","b",IF(R516="positive","c","d"))))</x:f>
        <x:v>d</x:v>
      </x:c>
      <x:c r="AE516" s="12" t="str">
        <x:f>IF(OR(W516="unavailable",Y516="unavailable"),"不可评价",IF(AND(OR(W516="positive",W516="equivocal"),OR(Y516="positive",Y516="equivocal")),"a",IF(OR(Y516="positive",Y516="equivocal"),"b",IF(OR(W516="positive",W516="equivocal"),"c","d"))))</x:f>
        <x:v>d</x:v>
      </x:c>
      <x:c r="AF516" s="12" t="str">
        <x:f>IF(OR(W516="unavailable",Y516="unavailable"),"不可评价",IF(AND(W516="positive",Y516="positive"),"a",IF(Y516="positive","b",IF(W516="positive","c","d"))))</x:f>
        <x:v>d</x:v>
      </x:c>
    </x:row>
    <x:row r="517" ht="24" customHeight="1">
      <x:c r="A517" s="12" t="str">
        <x:v>3990</x:v>
      </x:c>
      <x:c r="B517" s="12" t="str">
        <x:v>6017</x:v>
      </x:c>
      <x:c r="C517" s="21" t="n">
        <x:v>32978.62121527778</x:v>
      </x:c>
      <x:c r="D517" s="12" t="n">
        <x:v>76</x:v>
      </x:c>
      <x:c r="E517" s="12" t="n">
        <x:v>0</x:v>
      </x:c>
      <x:c r="F517" s="12" t="str">
        <x:v>未记录</x:v>
      </x:c>
      <x:c r="G517" s="12" t="n">
        <x:v>1</x:v>
      </x:c>
      <x:c r="H517" s="12" t="str">
        <x:v>{'PACE': 100.0}</x:v>
      </x:c>
      <x:c r="I517" s="12" t="str">
        <x:v>[('VPR', 100.0), ('AB', 100.0)]</x:v>
      </x:c>
      <x:c r="J517" s="12" t="str">
        <x:v>ptbxl_database.csv；ecg_id=3990；scp_codes</x:v>
      </x:c>
      <x:c r="K517" s="12" t="str">
        <x:v>12sl_statements.csv；ecg_id=3990；statements_ext_snomed</x:v>
      </x:c>
      <x:c r="L517" s="12"/>
      <x:c r="M517" s="12" t="str">
        <x:v>negative</x:v>
      </x:c>
      <x:c r="N517" s="12"/>
      <x:c r="O517" s="12" t="str">
        <x:v>negative</x:v>
      </x:c>
      <x:c r="P517" s="12" t="str">
        <x:f>IF(OR(M517="unavailable",O517="unavailable"),"不可评价",IF(OR(M517="equivocal",O517="equivocal"),"疑似",IF(AND(M517="positive",O517="positive"),"a",IF(O517="positive","b",IF(M517="positive","c","d")))))</x:f>
        <x:v>d</x:v>
      </x:c>
      <x:c r="Q517" s="12"/>
      <x:c r="R517" s="12" t="str">
        <x:v>negative</x:v>
      </x:c>
      <x:c r="S517" s="12"/>
      <x:c r="T517" s="12" t="str">
        <x:v>negative</x:v>
      </x:c>
      <x:c r="U517" s="12" t="str">
        <x:f>IF(OR(R517="unavailable",T517="unavailable"),"不可评价",IF(OR(R517="equivocal",T517="equivocal"),"疑似",IF(AND(R517="positive",T517="positive"),"a",IF(T517="positive","b",IF(R517="positive","c","d")))))</x:f>
        <x:v>d</x:v>
      </x:c>
      <x:c r="V517" s="12"/>
      <x:c r="W517" s="12" t="str">
        <x:v>negative</x:v>
      </x:c>
      <x:c r="X517" s="12"/>
      <x:c r="Y517" s="12" t="str">
        <x:v>negative</x:v>
      </x:c>
      <x:c r="Z517" s="12" t="str">
        <x:f>IF(OR(W517="unavailable",Y517="unavailable"),"不可评价",IF(OR(W517="equivocal",Y517="equivocal"),"疑似",IF(AND(W517="positive",Y517="positive"),"a",IF(Y517="positive","b",IF(W517="positive","c","d")))))</x:f>
        <x:v>d</x:v>
      </x:c>
      <x:c r="AA517" s="12" t="str">
        <x:f>IF(OR(M517="unavailable",O517="unavailable"),"不可评价",IF(AND(OR(M517="positive",M517="equivocal"),OR(O517="positive",O517="equivocal")),"a",IF(OR(O517="positive",O517="equivocal"),"b",IF(OR(M517="positive",M517="equivocal"),"c","d"))))</x:f>
        <x:v>d</x:v>
      </x:c>
      <x:c r="AB517" s="12" t="str">
        <x:f>IF(OR(M517="unavailable",O517="unavailable"),"不可评价",IF(AND(M517="positive",O517="positive"),"a",IF(O517="positive","b",IF(M517="positive","c","d"))))</x:f>
        <x:v>d</x:v>
      </x:c>
      <x:c r="AC517" s="12" t="str">
        <x:f>IF(OR(R517="unavailable",T517="unavailable"),"不可评价",IF(AND(OR(R517="positive",R517="equivocal"),OR(T517="positive",T517="equivocal")),"a",IF(OR(T517="positive",T517="equivocal"),"b",IF(OR(R517="positive",R517="equivocal"),"c","d"))))</x:f>
        <x:v>d</x:v>
      </x:c>
      <x:c r="AD517" s="12" t="str">
        <x:f>IF(OR(R517="unavailable",T517="unavailable"),"不可评价",IF(AND(R517="positive",T517="positive"),"a",IF(T517="positive","b",IF(R517="positive","c","d"))))</x:f>
        <x:v>d</x:v>
      </x:c>
      <x:c r="AE517" s="12" t="str">
        <x:f>IF(OR(W517="unavailable",Y517="unavailable"),"不可评价",IF(AND(OR(W517="positive",W517="equivocal"),OR(Y517="positive",Y517="equivocal")),"a",IF(OR(Y517="positive",Y517="equivocal"),"b",IF(OR(W517="positive",W517="equivocal"),"c","d"))))</x:f>
        <x:v>d</x:v>
      </x:c>
      <x:c r="AF517" s="12" t="str">
        <x:f>IF(OR(W517="unavailable",Y517="unavailable"),"不可评价",IF(AND(W517="positive",Y517="positive"),"a",IF(Y517="positive","b",IF(W517="positive","c","d"))))</x:f>
        <x:v>d</x:v>
      </x:c>
    </x:row>
    <x:row r="518" ht="24" customHeight="1">
      <x:c r="A518" s="12" t="str">
        <x:v>4016</x:v>
      </x:c>
      <x:c r="B518" s="12" t="str">
        <x:v>3457</x:v>
      </x:c>
      <x:c r="C518" s="21" t="n">
        <x:v>32983.51894675926</x:v>
      </x:c>
      <x:c r="D518" s="12" t="n">
        <x:v>68</x:v>
      </x:c>
      <x:c r="E518" s="12" t="n">
        <x:v>1</x:v>
      </x:c>
      <x:c r="F518" s="12" t="str">
        <x:v>未记录</x:v>
      </x:c>
      <x:c r="G518" s="12" t="n">
        <x:v>1</x:v>
      </x:c>
      <x:c r="H518" s="12" t="str">
        <x:v>{'CLBBB': 100.0, 'SR': 0.0}</x:v>
      </x:c>
      <x:c r="I518" s="12" t="str">
        <x:v>[('NSR', 100.0), ('LBBB', 100.0), ('AB', 100.0)]</x:v>
      </x:c>
      <x:c r="J518" s="12" t="str">
        <x:v>ptbxl_database.csv；ecg_id=4016；scp_codes</x:v>
      </x:c>
      <x:c r="K518" s="12" t="str">
        <x:v>12sl_statements.csv；ecg_id=4016；statements_ext_snomed</x:v>
      </x:c>
      <x:c r="L518" s="12"/>
      <x:c r="M518" s="12" t="str">
        <x:v>negative</x:v>
      </x:c>
      <x:c r="N518" s="12"/>
      <x:c r="O518" s="12" t="str">
        <x:v>negative</x:v>
      </x:c>
      <x:c r="P518" s="12" t="str">
        <x:f>IF(OR(M518="unavailable",O518="unavailable"),"不可评价",IF(OR(M518="equivocal",O518="equivocal"),"疑似",IF(AND(M518="positive",O518="positive"),"a",IF(O518="positive","b",IF(M518="positive","c","d")))))</x:f>
        <x:v>d</x:v>
      </x:c>
      <x:c r="Q518" s="12" t="n">
        <x:v>100</x:v>
      </x:c>
      <x:c r="R518" s="12" t="str">
        <x:v>positive</x:v>
      </x:c>
      <x:c r="S518" s="12" t="n">
        <x:v>100</x:v>
      </x:c>
      <x:c r="T518" s="12" t="str">
        <x:v>positive</x:v>
      </x:c>
      <x:c r="U518" s="12" t="str">
        <x:f>IF(OR(R518="unavailable",T518="unavailable"),"不可评价",IF(OR(R518="equivocal",T518="equivocal"),"疑似",IF(AND(R518="positive",T518="positive"),"a",IF(T518="positive","b",IF(R518="positive","c","d")))))</x:f>
        <x:v>a</x:v>
      </x:c>
      <x:c r="V518" s="12"/>
      <x:c r="W518" s="12" t="str">
        <x:v>negative</x:v>
      </x:c>
      <x:c r="X518" s="12"/>
      <x:c r="Y518" s="12" t="str">
        <x:v>negative</x:v>
      </x:c>
      <x:c r="Z518" s="12" t="str">
        <x:f>IF(OR(W518="unavailable",Y518="unavailable"),"不可评价",IF(OR(W518="equivocal",Y518="equivocal"),"疑似",IF(AND(W518="positive",Y518="positive"),"a",IF(Y518="positive","b",IF(W518="positive","c","d")))))</x:f>
        <x:v>d</x:v>
      </x:c>
      <x:c r="AA518" s="12" t="str">
        <x:f>IF(OR(M518="unavailable",O518="unavailable"),"不可评价",IF(AND(OR(M518="positive",M518="equivocal"),OR(O518="positive",O518="equivocal")),"a",IF(OR(O518="positive",O518="equivocal"),"b",IF(OR(M518="positive",M518="equivocal"),"c","d"))))</x:f>
        <x:v>d</x:v>
      </x:c>
      <x:c r="AB518" s="12" t="str">
        <x:f>IF(OR(M518="unavailable",O518="unavailable"),"不可评价",IF(AND(M518="positive",O518="positive"),"a",IF(O518="positive","b",IF(M518="positive","c","d"))))</x:f>
        <x:v>d</x:v>
      </x:c>
      <x:c r="AC518" s="12" t="str">
        <x:f>IF(OR(R518="unavailable",T518="unavailable"),"不可评价",IF(AND(OR(R518="positive",R518="equivocal"),OR(T518="positive",T518="equivocal")),"a",IF(OR(T518="positive",T518="equivocal"),"b",IF(OR(R518="positive",R518="equivocal"),"c","d"))))</x:f>
        <x:v>a</x:v>
      </x:c>
      <x:c r="AD518" s="12" t="str">
        <x:f>IF(OR(R518="unavailable",T518="unavailable"),"不可评价",IF(AND(R518="positive",T518="positive"),"a",IF(T518="positive","b",IF(R518="positive","c","d"))))</x:f>
        <x:v>a</x:v>
      </x:c>
      <x:c r="AE518" s="12" t="str">
        <x:f>IF(OR(W518="unavailable",Y518="unavailable"),"不可评价",IF(AND(OR(W518="positive",W518="equivocal"),OR(Y518="positive",Y518="equivocal")),"a",IF(OR(Y518="positive",Y518="equivocal"),"b",IF(OR(W518="positive",W518="equivocal"),"c","d"))))</x:f>
        <x:v>d</x:v>
      </x:c>
      <x:c r="AF518" s="12" t="str">
        <x:f>IF(OR(W518="unavailable",Y518="unavailable"),"不可评价",IF(AND(W518="positive",Y518="positive"),"a",IF(Y518="positive","b",IF(W518="positive","c","d"))))</x:f>
        <x:v>d</x:v>
      </x:c>
    </x:row>
    <x:row r="519" ht="24" customHeight="1">
      <x:c r="A519" s="12" t="str">
        <x:v>4025</x:v>
      </x:c>
      <x:c r="B519" s="12" t="str">
        <x:v>648</x:v>
      </x:c>
      <x:c r="C519" s="21" t="n">
        <x:v>32985.680752314816</x:v>
      </x:c>
      <x:c r="D519" s="12" t="n">
        <x:v>40</x:v>
      </x:c>
      <x:c r="E519" s="12" t="n">
        <x:v>1</x:v>
      </x:c>
      <x:c r="F519" s="12" t="str">
        <x:v>存在</x:v>
      </x:c>
      <x:c r="G519" s="12" t="n">
        <x:v>1</x:v>
      </x:c>
      <x:c r="H519" s="12" t="str">
        <x:v>{'NORM': 80.0, 'PAC': 0.0, 'PVC': 0.0, 'STACH': 0.0}</x:v>
      </x:c>
      <x:c r="I519" s="12" t="str">
        <x:v>[('STACH', 100.0), ('PVC', 100.0), ('RAE', 100.0), ('AB', 100.0)]</x:v>
      </x:c>
      <x:c r="J519" s="12" t="str">
        <x:v>ptbxl_database.csv；ecg_id=4025；scp_codes</x:v>
      </x:c>
      <x:c r="K519" s="12" t="str">
        <x:v>12sl_statements.csv；ecg_id=4025；statements_ext_snomed</x:v>
      </x:c>
      <x:c r="L519" s="12"/>
      <x:c r="M519" s="12" t="str">
        <x:v>negative</x:v>
      </x:c>
      <x:c r="N519" s="12"/>
      <x:c r="O519" s="12" t="str">
        <x:v>negative</x:v>
      </x:c>
      <x:c r="P519" s="12" t="str">
        <x:f>IF(OR(M519="unavailable",O519="unavailable"),"不可评价",IF(OR(M519="equivocal",O519="equivocal"),"疑似",IF(AND(M519="positive",O519="positive"),"a",IF(O519="positive","b",IF(M519="positive","c","d")))))</x:f>
        <x:v>d</x:v>
      </x:c>
      <x:c r="Q519" s="12"/>
      <x:c r="R519" s="12" t="str">
        <x:v>negative</x:v>
      </x:c>
      <x:c r="S519" s="12"/>
      <x:c r="T519" s="12" t="str">
        <x:v>negative</x:v>
      </x:c>
      <x:c r="U519" s="12" t="str">
        <x:f>IF(OR(R519="unavailable",T519="unavailable"),"不可评价",IF(OR(R519="equivocal",T519="equivocal"),"疑似",IF(AND(R519="positive",T519="positive"),"a",IF(T519="positive","b",IF(R519="positive","c","d")))))</x:f>
        <x:v>d</x:v>
      </x:c>
      <x:c r="V519" s="12"/>
      <x:c r="W519" s="12" t="str">
        <x:v>negative</x:v>
      </x:c>
      <x:c r="X519" s="12"/>
      <x:c r="Y519" s="12" t="str">
        <x:v>negative</x:v>
      </x:c>
      <x:c r="Z519" s="12" t="str">
        <x:f>IF(OR(W519="unavailable",Y519="unavailable"),"不可评价",IF(OR(W519="equivocal",Y519="equivocal"),"疑似",IF(AND(W519="positive",Y519="positive"),"a",IF(Y519="positive","b",IF(W519="positive","c","d")))))</x:f>
        <x:v>d</x:v>
      </x:c>
      <x:c r="AA519" s="12" t="str">
        <x:f>IF(OR(M519="unavailable",O519="unavailable"),"不可评价",IF(AND(OR(M519="positive",M519="equivocal"),OR(O519="positive",O519="equivocal")),"a",IF(OR(O519="positive",O519="equivocal"),"b",IF(OR(M519="positive",M519="equivocal"),"c","d"))))</x:f>
        <x:v>d</x:v>
      </x:c>
      <x:c r="AB519" s="12" t="str">
        <x:f>IF(OR(M519="unavailable",O519="unavailable"),"不可评价",IF(AND(M519="positive",O519="positive"),"a",IF(O519="positive","b",IF(M519="positive","c","d"))))</x:f>
        <x:v>d</x:v>
      </x:c>
      <x:c r="AC519" s="12" t="str">
        <x:f>IF(OR(R519="unavailable",T519="unavailable"),"不可评价",IF(AND(OR(R519="positive",R519="equivocal"),OR(T519="positive",T519="equivocal")),"a",IF(OR(T519="positive",T519="equivocal"),"b",IF(OR(R519="positive",R519="equivocal"),"c","d"))))</x:f>
        <x:v>d</x:v>
      </x:c>
      <x:c r="AD519" s="12" t="str">
        <x:f>IF(OR(R519="unavailable",T519="unavailable"),"不可评价",IF(AND(R519="positive",T519="positive"),"a",IF(T519="positive","b",IF(R519="positive","c","d"))))</x:f>
        <x:v>d</x:v>
      </x:c>
      <x:c r="AE519" s="12" t="str">
        <x:f>IF(OR(W519="unavailable",Y519="unavailable"),"不可评价",IF(AND(OR(W519="positive",W519="equivocal"),OR(Y519="positive",Y519="equivocal")),"a",IF(OR(Y519="positive",Y519="equivocal"),"b",IF(OR(W519="positive",W519="equivocal"),"c","d"))))</x:f>
        <x:v>d</x:v>
      </x:c>
      <x:c r="AF519" s="12" t="str">
        <x:f>IF(OR(W519="unavailable",Y519="unavailable"),"不可评价",IF(AND(W519="positive",Y519="positive"),"a",IF(Y519="positive","b",IF(W519="positive","c","d"))))</x:f>
        <x:v>d</x:v>
      </x:c>
    </x:row>
    <x:row r="520" ht="24" customHeight="1">
      <x:c r="A520" s="12" t="str">
        <x:v>4059</x:v>
      </x:c>
      <x:c r="B520" s="12" t="str">
        <x:v>9872</x:v>
      </x:c>
      <x:c r="C520" s="21" t="n">
        <x:v>32990.50289351852</x:v>
      </x:c>
      <x:c r="D520" s="12" t="n">
        <x:v>37</x:v>
      </x:c>
      <x:c r="E520" s="12" t="n">
        <x:v>0</x:v>
      </x:c>
      <x:c r="F520" s="12" t="str">
        <x:v>未记录</x:v>
      </x:c>
      <x:c r="G520" s="12" t="n">
        <x:v>1</x:v>
      </x:c>
      <x:c r="H520" s="12" t="str">
        <x:v>{'NORM': 50.0, 'STE_': 0.0, 'SBRAD': 0.0}</x:v>
      </x:c>
      <x:c r="I520" s="12" t="str">
        <x:v>[('SBRAD', 100.0), ('ABR', 100.0)]</x:v>
      </x:c>
      <x:c r="J520" s="12" t="str">
        <x:v>ptbxl_database.csv；ecg_id=4059；scp_codes</x:v>
      </x:c>
      <x:c r="K520" s="12" t="str">
        <x:v>12sl_statements.csv；ecg_id=4059；statements_ext_snomed</x:v>
      </x:c>
      <x:c r="L520" s="12"/>
      <x:c r="M520" s="12" t="str">
        <x:v>negative</x:v>
      </x:c>
      <x:c r="N520" s="12"/>
      <x:c r="O520" s="12" t="str">
        <x:v>negative</x:v>
      </x:c>
      <x:c r="P520" s="12" t="str">
        <x:f>IF(OR(M520="unavailable",O520="unavailable"),"不可评价",IF(OR(M520="equivocal",O520="equivocal"),"疑似",IF(AND(M520="positive",O520="positive"),"a",IF(O520="positive","b",IF(M520="positive","c","d")))))</x:f>
        <x:v>d</x:v>
      </x:c>
      <x:c r="Q520" s="12"/>
      <x:c r="R520" s="12" t="str">
        <x:v>negative</x:v>
      </x:c>
      <x:c r="S520" s="12"/>
      <x:c r="T520" s="12" t="str">
        <x:v>negative</x:v>
      </x:c>
      <x:c r="U520" s="12" t="str">
        <x:f>IF(OR(R520="unavailable",T520="unavailable"),"不可评价",IF(OR(R520="equivocal",T520="equivocal"),"疑似",IF(AND(R520="positive",T520="positive"),"a",IF(T520="positive","b",IF(R520="positive","c","d")))))</x:f>
        <x:v>d</x:v>
      </x:c>
      <x:c r="V520" s="12"/>
      <x:c r="W520" s="12" t="str">
        <x:v>negative</x:v>
      </x:c>
      <x:c r="X520" s="12"/>
      <x:c r="Y520" s="12" t="str">
        <x:v>negative</x:v>
      </x:c>
      <x:c r="Z520" s="12" t="str">
        <x:f>IF(OR(W520="unavailable",Y520="unavailable"),"不可评价",IF(OR(W520="equivocal",Y520="equivocal"),"疑似",IF(AND(W520="positive",Y520="positive"),"a",IF(Y520="positive","b",IF(W520="positive","c","d")))))</x:f>
        <x:v>d</x:v>
      </x:c>
      <x:c r="AA520" s="12" t="str">
        <x:f>IF(OR(M520="unavailable",O520="unavailable"),"不可评价",IF(AND(OR(M520="positive",M520="equivocal"),OR(O520="positive",O520="equivocal")),"a",IF(OR(O520="positive",O520="equivocal"),"b",IF(OR(M520="positive",M520="equivocal"),"c","d"))))</x:f>
        <x:v>d</x:v>
      </x:c>
      <x:c r="AB520" s="12" t="str">
        <x:f>IF(OR(M520="unavailable",O520="unavailable"),"不可评价",IF(AND(M520="positive",O520="positive"),"a",IF(O520="positive","b",IF(M520="positive","c","d"))))</x:f>
        <x:v>d</x:v>
      </x:c>
      <x:c r="AC520" s="12" t="str">
        <x:f>IF(OR(R520="unavailable",T520="unavailable"),"不可评价",IF(AND(OR(R520="positive",R520="equivocal"),OR(T520="positive",T520="equivocal")),"a",IF(OR(T520="positive",T520="equivocal"),"b",IF(OR(R520="positive",R520="equivocal"),"c","d"))))</x:f>
        <x:v>d</x:v>
      </x:c>
      <x:c r="AD520" s="12" t="str">
        <x:f>IF(OR(R520="unavailable",T520="unavailable"),"不可评价",IF(AND(R520="positive",T520="positive"),"a",IF(T520="positive","b",IF(R520="positive","c","d"))))</x:f>
        <x:v>d</x:v>
      </x:c>
      <x:c r="AE520" s="12" t="str">
        <x:f>IF(OR(W520="unavailable",Y520="unavailable"),"不可评价",IF(AND(OR(W520="positive",W520="equivocal"),OR(Y520="positive",Y520="equivocal")),"a",IF(OR(Y520="positive",Y520="equivocal"),"b",IF(OR(W520="positive",W520="equivocal"),"c","d"))))</x:f>
        <x:v>d</x:v>
      </x:c>
      <x:c r="AF520" s="12" t="str">
        <x:f>IF(OR(W520="unavailable",Y520="unavailable"),"不可评价",IF(AND(W520="positive",Y520="positive"),"a",IF(Y520="positive","b",IF(W520="positive","c","d"))))</x:f>
        <x:v>d</x:v>
      </x:c>
    </x:row>
    <x:row r="521" ht="24" customHeight="1">
      <x:c r="A521" s="12" t="str">
        <x:v>4066</x:v>
      </x:c>
      <x:c r="B521" s="12" t="str">
        <x:v>21465</x:v>
      </x:c>
      <x:c r="C521" s="21" t="n">
        <x:v>32991.4581712963</x:v>
      </x:c>
      <x:c r="D521" s="12" t="n">
        <x:v>57</x:v>
      </x:c>
      <x:c r="E521" s="12" t="n">
        <x:v>0</x:v>
      </x:c>
      <x:c r="F521" s="12" t="str">
        <x:v>存在</x:v>
      </x:c>
      <x:c r="G521" s="12" t="n">
        <x:v>1</x:v>
      </x:c>
      <x:c r="H521" s="12" t="str">
        <x:v>{'NORM': 80.0, 'SR': 0.0}</x:v>
      </x:c>
      <x:c r="I521" s="12" t="str">
        <x:v>[('NSR', 100.0), ('NML', 100.0)]</x:v>
      </x:c>
      <x:c r="J521" s="12" t="str">
        <x:v>ptbxl_database.csv；ecg_id=4066；scp_codes</x:v>
      </x:c>
      <x:c r="K521" s="12" t="str">
        <x:v>12sl_statements.csv；ecg_id=4066；statements_ext_snomed</x:v>
      </x:c>
      <x:c r="L521" s="12"/>
      <x:c r="M521" s="12" t="str">
        <x:v>negative</x:v>
      </x:c>
      <x:c r="N521" s="12"/>
      <x:c r="O521" s="12" t="str">
        <x:v>negative</x:v>
      </x:c>
      <x:c r="P521" s="12" t="str">
        <x:f>IF(OR(M521="unavailable",O521="unavailable"),"不可评价",IF(OR(M521="equivocal",O521="equivocal"),"疑似",IF(AND(M521="positive",O521="positive"),"a",IF(O521="positive","b",IF(M521="positive","c","d")))))</x:f>
        <x:v>d</x:v>
      </x:c>
      <x:c r="Q521" s="12"/>
      <x:c r="R521" s="12" t="str">
        <x:v>negative</x:v>
      </x:c>
      <x:c r="S521" s="12"/>
      <x:c r="T521" s="12" t="str">
        <x:v>negative</x:v>
      </x:c>
      <x:c r="U521" s="12" t="str">
        <x:f>IF(OR(R521="unavailable",T521="unavailable"),"不可评价",IF(OR(R521="equivocal",T521="equivocal"),"疑似",IF(AND(R521="positive",T521="positive"),"a",IF(T521="positive","b",IF(R521="positive","c","d")))))</x:f>
        <x:v>d</x:v>
      </x:c>
      <x:c r="V521" s="12"/>
      <x:c r="W521" s="12" t="str">
        <x:v>negative</x:v>
      </x:c>
      <x:c r="X521" s="12"/>
      <x:c r="Y521" s="12" t="str">
        <x:v>negative</x:v>
      </x:c>
      <x:c r="Z521" s="12" t="str">
        <x:f>IF(OR(W521="unavailable",Y521="unavailable"),"不可评价",IF(OR(W521="equivocal",Y521="equivocal"),"疑似",IF(AND(W521="positive",Y521="positive"),"a",IF(Y521="positive","b",IF(W521="positive","c","d")))))</x:f>
        <x:v>d</x:v>
      </x:c>
      <x:c r="AA521" s="12" t="str">
        <x:f>IF(OR(M521="unavailable",O521="unavailable"),"不可评价",IF(AND(OR(M521="positive",M521="equivocal"),OR(O521="positive",O521="equivocal")),"a",IF(OR(O521="positive",O521="equivocal"),"b",IF(OR(M521="positive",M521="equivocal"),"c","d"))))</x:f>
        <x:v>d</x:v>
      </x:c>
      <x:c r="AB521" s="12" t="str">
        <x:f>IF(OR(M521="unavailable",O521="unavailable"),"不可评价",IF(AND(M521="positive",O521="positive"),"a",IF(O521="positive","b",IF(M521="positive","c","d"))))</x:f>
        <x:v>d</x:v>
      </x:c>
      <x:c r="AC521" s="12" t="str">
        <x:f>IF(OR(R521="unavailable",T521="unavailable"),"不可评价",IF(AND(OR(R521="positive",R521="equivocal"),OR(T521="positive",T521="equivocal")),"a",IF(OR(T521="positive",T521="equivocal"),"b",IF(OR(R521="positive",R521="equivocal"),"c","d"))))</x:f>
        <x:v>d</x:v>
      </x:c>
      <x:c r="AD521" s="12" t="str">
        <x:f>IF(OR(R521="unavailable",T521="unavailable"),"不可评价",IF(AND(R521="positive",T521="positive"),"a",IF(T521="positive","b",IF(R521="positive","c","d"))))</x:f>
        <x:v>d</x:v>
      </x:c>
      <x:c r="AE521" s="12" t="str">
        <x:f>IF(OR(W521="unavailable",Y521="unavailable"),"不可评价",IF(AND(OR(W521="positive",W521="equivocal"),OR(Y521="positive",Y521="equivocal")),"a",IF(OR(Y521="positive",Y521="equivocal"),"b",IF(OR(W521="positive",W521="equivocal"),"c","d"))))</x:f>
        <x:v>d</x:v>
      </x:c>
      <x:c r="AF521" s="12" t="str">
        <x:f>IF(OR(W521="unavailable",Y521="unavailable"),"不可评价",IF(AND(W521="positive",Y521="positive"),"a",IF(Y521="positive","b",IF(W521="positive","c","d"))))</x:f>
        <x:v>d</x:v>
      </x:c>
    </x:row>
    <x:row r="522" ht="24" customHeight="1">
      <x:c r="A522" s="12" t="str">
        <x:v>4070</x:v>
      </x:c>
      <x:c r="B522" s="12" t="str">
        <x:v>6960</x:v>
      </x:c>
      <x:c r="C522" s="21" t="n">
        <x:v>32991.5153587963</x:v>
      </x:c>
      <x:c r="D522" s="12" t="n">
        <x:v>67</x:v>
      </x:c>
      <x:c r="E522" s="12" t="n">
        <x:v>0</x:v>
      </x:c>
      <x:c r="F522" s="12" t="str">
        <x:v>未记录</x:v>
      </x:c>
      <x:c r="G522" s="12" t="n">
        <x:v>1</x:v>
      </x:c>
      <x:c r="H522" s="12" t="str">
        <x:v>{'LAFB': 100.0, 'SR': 0.0}</x:v>
      </x:c>
      <x:c r="I522" s="12" t="str">
        <x:v>[('NSR', 100.0), ('AFB', 100.0), ('IMI;AU', 100.0), ('AB', 100.0)]</x:v>
      </x:c>
      <x:c r="J522" s="12" t="str">
        <x:v>ptbxl_database.csv；ecg_id=4070；scp_codes</x:v>
      </x:c>
      <x:c r="K522" s="12" t="str">
        <x:v>12sl_statements.csv；ecg_id=4070；statements_ext_snomed</x:v>
      </x:c>
      <x:c r="L522" s="12"/>
      <x:c r="M522" s="12" t="str">
        <x:v>negative</x:v>
      </x:c>
      <x:c r="N522" s="12"/>
      <x:c r="O522" s="12" t="str">
        <x:v>negative</x:v>
      </x:c>
      <x:c r="P522" s="12" t="str">
        <x:f>IF(OR(M522="unavailable",O522="unavailable"),"不可评价",IF(OR(M522="equivocal",O522="equivocal"),"疑似",IF(AND(M522="positive",O522="positive"),"a",IF(O522="positive","b",IF(M522="positive","c","d")))))</x:f>
        <x:v>d</x:v>
      </x:c>
      <x:c r="Q522" s="12"/>
      <x:c r="R522" s="12" t="str">
        <x:v>negative</x:v>
      </x:c>
      <x:c r="S522" s="12"/>
      <x:c r="T522" s="12" t="str">
        <x:v>negative</x:v>
      </x:c>
      <x:c r="U522" s="12" t="str">
        <x:f>IF(OR(R522="unavailable",T522="unavailable"),"不可评价",IF(OR(R522="equivocal",T522="equivocal"),"疑似",IF(AND(R522="positive",T522="positive"),"a",IF(T522="positive","b",IF(R522="positive","c","d")))))</x:f>
        <x:v>d</x:v>
      </x:c>
      <x:c r="V522" s="12"/>
      <x:c r="W522" s="12" t="str">
        <x:v>negative</x:v>
      </x:c>
      <x:c r="X522" s="12"/>
      <x:c r="Y522" s="12" t="str">
        <x:v>negative</x:v>
      </x:c>
      <x:c r="Z522" s="12" t="str">
        <x:f>IF(OR(W522="unavailable",Y522="unavailable"),"不可评价",IF(OR(W522="equivocal",Y522="equivocal"),"疑似",IF(AND(W522="positive",Y522="positive"),"a",IF(Y522="positive","b",IF(W522="positive","c","d")))))</x:f>
        <x:v>d</x:v>
      </x:c>
      <x:c r="AA522" s="12" t="str">
        <x:f>IF(OR(M522="unavailable",O522="unavailable"),"不可评价",IF(AND(OR(M522="positive",M522="equivocal"),OR(O522="positive",O522="equivocal")),"a",IF(OR(O522="positive",O522="equivocal"),"b",IF(OR(M522="positive",M522="equivocal"),"c","d"))))</x:f>
        <x:v>d</x:v>
      </x:c>
      <x:c r="AB522" s="12" t="str">
        <x:f>IF(OR(M522="unavailable",O522="unavailable"),"不可评价",IF(AND(M522="positive",O522="positive"),"a",IF(O522="positive","b",IF(M522="positive","c","d"))))</x:f>
        <x:v>d</x:v>
      </x:c>
      <x:c r="AC522" s="12" t="str">
        <x:f>IF(OR(R522="unavailable",T522="unavailable"),"不可评价",IF(AND(OR(R522="positive",R522="equivocal"),OR(T522="positive",T522="equivocal")),"a",IF(OR(T522="positive",T522="equivocal"),"b",IF(OR(R522="positive",R522="equivocal"),"c","d"))))</x:f>
        <x:v>d</x:v>
      </x:c>
      <x:c r="AD522" s="12" t="str">
        <x:f>IF(OR(R522="unavailable",T522="unavailable"),"不可评价",IF(AND(R522="positive",T522="positive"),"a",IF(T522="positive","b",IF(R522="positive","c","d"))))</x:f>
        <x:v>d</x:v>
      </x:c>
      <x:c r="AE522" s="12" t="str">
        <x:f>IF(OR(W522="unavailable",Y522="unavailable"),"不可评价",IF(AND(OR(W522="positive",W522="equivocal"),OR(Y522="positive",Y522="equivocal")),"a",IF(OR(Y522="positive",Y522="equivocal"),"b",IF(OR(W522="positive",W522="equivocal"),"c","d"))))</x:f>
        <x:v>d</x:v>
      </x:c>
      <x:c r="AF522" s="12" t="str">
        <x:f>IF(OR(W522="unavailable",Y522="unavailable"),"不可评价",IF(AND(W522="positive",Y522="positive"),"a",IF(Y522="positive","b",IF(W522="positive","c","d"))))</x:f>
        <x:v>d</x:v>
      </x:c>
    </x:row>
    <x:row r="523" ht="24" customHeight="1">
      <x:c r="A523" s="12" t="str">
        <x:v>4072</x:v>
      </x:c>
      <x:c r="B523" s="12" t="str">
        <x:v>4474</x:v>
      </x:c>
      <x:c r="C523" s="21" t="n">
        <x:v>32991.62322916667</x:v>
      </x:c>
      <x:c r="D523" s="12" t="n">
        <x:v>81</x:v>
      </x:c>
      <x:c r="E523" s="12" t="n">
        <x:v>1</x:v>
      </x:c>
      <x:c r="F523" s="12" t="str">
        <x:v>未记录</x:v>
      </x:c>
      <x:c r="G523" s="12" t="n">
        <x:v>1</x:v>
      </x:c>
      <x:c r="H523" s="12" t="str">
        <x:v>{'ASMI': 15.0, 'ISCLA': 100.0, 'AFIB': 0.0}</x:v>
      </x:c>
      <x:c r="I523" s="12" t="str">
        <x:v>[('AFIB', 100.0), ('LT', 100.0), ('AB', 100.0)]</x:v>
      </x:c>
      <x:c r="J523" s="12" t="str">
        <x:v>ptbxl_database.csv；ecg_id=4072；scp_codes</x:v>
      </x:c>
      <x:c r="K523" s="12" t="str">
        <x:v>12sl_statements.csv；ecg_id=4072；statements_ext_snomed</x:v>
      </x:c>
      <x:c r="L523" s="12" t="n">
        <x:v>0</x:v>
      </x:c>
      <x:c r="M523" s="12" t="str">
        <x:v>positive</x:v>
      </x:c>
      <x:c r="N523" s="12" t="n">
        <x:v>100</x:v>
      </x:c>
      <x:c r="O523" s="12" t="str">
        <x:v>positive</x:v>
      </x:c>
      <x:c r="P523" s="12" t="str">
        <x:f>IF(OR(M523="unavailable",O523="unavailable"),"不可评价",IF(OR(M523="equivocal",O523="equivocal"),"疑似",IF(AND(M523="positive",O523="positive"),"a",IF(O523="positive","b",IF(M523="positive","c","d")))))</x:f>
        <x:v>a</x:v>
      </x:c>
      <x:c r="Q523" s="12"/>
      <x:c r="R523" s="12" t="str">
        <x:v>negative</x:v>
      </x:c>
      <x:c r="S523" s="12"/>
      <x:c r="T523" s="12" t="str">
        <x:v>negative</x:v>
      </x:c>
      <x:c r="U523" s="12" t="str">
        <x:f>IF(OR(R523="unavailable",T523="unavailable"),"不可评价",IF(OR(R523="equivocal",T523="equivocal"),"疑似",IF(AND(R523="positive",T523="positive"),"a",IF(T523="positive","b",IF(R523="positive","c","d")))))</x:f>
        <x:v>d</x:v>
      </x:c>
      <x:c r="V523" s="12"/>
      <x:c r="W523" s="12" t="str">
        <x:v>negative</x:v>
      </x:c>
      <x:c r="X523" s="12"/>
      <x:c r="Y523" s="12" t="str">
        <x:v>negative</x:v>
      </x:c>
      <x:c r="Z523" s="12" t="str">
        <x:f>IF(OR(W523="unavailable",Y523="unavailable"),"不可评价",IF(OR(W523="equivocal",Y523="equivocal"),"疑似",IF(AND(W523="positive",Y523="positive"),"a",IF(Y523="positive","b",IF(W523="positive","c","d")))))</x:f>
        <x:v>d</x:v>
      </x:c>
      <x:c r="AA523" s="12" t="str">
        <x:f>IF(OR(M523="unavailable",O523="unavailable"),"不可评价",IF(AND(OR(M523="positive",M523="equivocal"),OR(O523="positive",O523="equivocal")),"a",IF(OR(O523="positive",O523="equivocal"),"b",IF(OR(M523="positive",M523="equivocal"),"c","d"))))</x:f>
        <x:v>a</x:v>
      </x:c>
      <x:c r="AB523" s="12" t="str">
        <x:f>IF(OR(M523="unavailable",O523="unavailable"),"不可评价",IF(AND(M523="positive",O523="positive"),"a",IF(O523="positive","b",IF(M523="positive","c","d"))))</x:f>
        <x:v>a</x:v>
      </x:c>
      <x:c r="AC523" s="12" t="str">
        <x:f>IF(OR(R523="unavailable",T523="unavailable"),"不可评价",IF(AND(OR(R523="positive",R523="equivocal"),OR(T523="positive",T523="equivocal")),"a",IF(OR(T523="positive",T523="equivocal"),"b",IF(OR(R523="positive",R523="equivocal"),"c","d"))))</x:f>
        <x:v>d</x:v>
      </x:c>
      <x:c r="AD523" s="12" t="str">
        <x:f>IF(OR(R523="unavailable",T523="unavailable"),"不可评价",IF(AND(R523="positive",T523="positive"),"a",IF(T523="positive","b",IF(R523="positive","c","d"))))</x:f>
        <x:v>d</x:v>
      </x:c>
      <x:c r="AE523" s="12" t="str">
        <x:f>IF(OR(W523="unavailable",Y523="unavailable"),"不可评价",IF(AND(OR(W523="positive",W523="equivocal"),OR(Y523="positive",Y523="equivocal")),"a",IF(OR(Y523="positive",Y523="equivocal"),"b",IF(OR(W523="positive",W523="equivocal"),"c","d"))))</x:f>
        <x:v>d</x:v>
      </x:c>
      <x:c r="AF523" s="12" t="str">
        <x:f>IF(OR(W523="unavailable",Y523="unavailable"),"不可评价",IF(AND(W523="positive",Y523="positive"),"a",IF(Y523="positive","b",IF(W523="positive","c","d"))))</x:f>
        <x:v>d</x:v>
      </x:c>
    </x:row>
    <x:row r="524" ht="24" customHeight="1">
      <x:c r="A524" s="12" t="str">
        <x:v>4079</x:v>
      </x:c>
      <x:c r="B524" s="12" t="str">
        <x:v>4492</x:v>
      </x:c>
      <x:c r="C524" s="21" t="n">
        <x:v>32991.74010416667</x:v>
      </x:c>
      <x:c r="D524" s="12" t="n">
        <x:v>69</x:v>
      </x:c>
      <x:c r="E524" s="12" t="n">
        <x:v>0</x:v>
      </x:c>
      <x:c r="F524" s="12" t="str">
        <x:v>未记录</x:v>
      </x:c>
      <x:c r="G524" s="12" t="n">
        <x:v>1</x:v>
      </x:c>
      <x:c r="H524" s="12" t="str">
        <x:v>{'NORM': 80.0, 'SR': 0.0, 'BIGU': 0.0}</x:v>
      </x:c>
      <x:c r="I524" s="12" t="str">
        <x:v>[('SRTH', 100.0), ('FAV', 100.0), ('PVC', 100.0), ('ABR', 100.0)]</x:v>
      </x:c>
      <x:c r="J524" s="12" t="str">
        <x:v>ptbxl_database.csv；ecg_id=4079；scp_codes</x:v>
      </x:c>
      <x:c r="K524" s="12" t="str">
        <x:v>12sl_statements.csv；ecg_id=4079；statements_ext_snomed</x:v>
      </x:c>
      <x:c r="L524" s="12"/>
      <x:c r="M524" s="12" t="str">
        <x:v>negative</x:v>
      </x:c>
      <x:c r="N524" s="12"/>
      <x:c r="O524" s="12" t="str">
        <x:v>negative</x:v>
      </x:c>
      <x:c r="P524" s="12" t="str">
        <x:f>IF(OR(M524="unavailable",O524="unavailable"),"不可评价",IF(OR(M524="equivocal",O524="equivocal"),"疑似",IF(AND(M524="positive",O524="positive"),"a",IF(O524="positive","b",IF(M524="positive","c","d")))))</x:f>
        <x:v>d</x:v>
      </x:c>
      <x:c r="Q524" s="12"/>
      <x:c r="R524" s="12" t="str">
        <x:v>negative</x:v>
      </x:c>
      <x:c r="S524" s="12"/>
      <x:c r="T524" s="12" t="str">
        <x:v>negative</x:v>
      </x:c>
      <x:c r="U524" s="12" t="str">
        <x:f>IF(OR(R524="unavailable",T524="unavailable"),"不可评价",IF(OR(R524="equivocal",T524="equivocal"),"疑似",IF(AND(R524="positive",T524="positive"),"a",IF(T524="positive","b",IF(R524="positive","c","d")))))</x:f>
        <x:v>d</x:v>
      </x:c>
      <x:c r="V524" s="12"/>
      <x:c r="W524" s="12" t="str">
        <x:v>negative</x:v>
      </x:c>
      <x:c r="X524" s="12"/>
      <x:c r="Y524" s="12" t="str">
        <x:v>negative</x:v>
      </x:c>
      <x:c r="Z524" s="12" t="str">
        <x:f>IF(OR(W524="unavailable",Y524="unavailable"),"不可评价",IF(OR(W524="equivocal",Y524="equivocal"),"疑似",IF(AND(W524="positive",Y524="positive"),"a",IF(Y524="positive","b",IF(W524="positive","c","d")))))</x:f>
        <x:v>d</x:v>
      </x:c>
      <x:c r="AA524" s="12" t="str">
        <x:f>IF(OR(M524="unavailable",O524="unavailable"),"不可评价",IF(AND(OR(M524="positive",M524="equivocal"),OR(O524="positive",O524="equivocal")),"a",IF(OR(O524="positive",O524="equivocal"),"b",IF(OR(M524="positive",M524="equivocal"),"c","d"))))</x:f>
        <x:v>d</x:v>
      </x:c>
      <x:c r="AB524" s="12" t="str">
        <x:f>IF(OR(M524="unavailable",O524="unavailable"),"不可评价",IF(AND(M524="positive",O524="positive"),"a",IF(O524="positive","b",IF(M524="positive","c","d"))))</x:f>
        <x:v>d</x:v>
      </x:c>
      <x:c r="AC524" s="12" t="str">
        <x:f>IF(OR(R524="unavailable",T524="unavailable"),"不可评价",IF(AND(OR(R524="positive",R524="equivocal"),OR(T524="positive",T524="equivocal")),"a",IF(OR(T524="positive",T524="equivocal"),"b",IF(OR(R524="positive",R524="equivocal"),"c","d"))))</x:f>
        <x:v>d</x:v>
      </x:c>
      <x:c r="AD524" s="12" t="str">
        <x:f>IF(OR(R524="unavailable",T524="unavailable"),"不可评价",IF(AND(R524="positive",T524="positive"),"a",IF(T524="positive","b",IF(R524="positive","c","d"))))</x:f>
        <x:v>d</x:v>
      </x:c>
      <x:c r="AE524" s="12" t="str">
        <x:f>IF(OR(W524="unavailable",Y524="unavailable"),"不可评价",IF(AND(OR(W524="positive",W524="equivocal"),OR(Y524="positive",Y524="equivocal")),"a",IF(OR(Y524="positive",Y524="equivocal"),"b",IF(OR(W524="positive",W524="equivocal"),"c","d"))))</x:f>
        <x:v>d</x:v>
      </x:c>
      <x:c r="AF524" s="12" t="str">
        <x:f>IF(OR(W524="unavailable",Y524="unavailable"),"不可评价",IF(AND(W524="positive",Y524="positive"),"a",IF(Y524="positive","b",IF(W524="positive","c","d"))))</x:f>
        <x:v>d</x:v>
      </x:c>
    </x:row>
    <x:row r="525" ht="24" customHeight="1">
      <x:c r="A525" s="12" t="str">
        <x:v>4090</x:v>
      </x:c>
      <x:c r="B525" s="12" t="str">
        <x:v>648</x:v>
      </x:c>
      <x:c r="C525" s="21" t="n">
        <x:v>32992.427569444444</x:v>
      </x:c>
      <x:c r="D525" s="12" t="n">
        <x:v>40</x:v>
      </x:c>
      <x:c r="E525" s="12" t="n">
        <x:v>1</x:v>
      </x:c>
      <x:c r="F525" s="12" t="str">
        <x:v>未记录</x:v>
      </x:c>
      <x:c r="G525" s="12" t="n">
        <x:v>0</x:v>
      </x:c>
      <x:c r="H525" s="12" t="str">
        <x:v>{'NORM': 100.0, 'PVC': 0.0, 'SR': 0.0}</x:v>
      </x:c>
      <x:c r="I525" s="12" t="str">
        <x:v>[('SRTH', 100.0), ('SAR', 100.0), ('PVC', 100.0), ('ABR', 100.0)]</x:v>
      </x:c>
      <x:c r="J525" s="12" t="str">
        <x:v>ptbxl_database.csv；ecg_id=4090；scp_codes</x:v>
      </x:c>
      <x:c r="K525" s="12" t="str">
        <x:v>12sl_statements.csv；ecg_id=4090；statements_ext_snomed</x:v>
      </x:c>
      <x:c r="L525" s="12"/>
      <x:c r="M525" s="12" t="str">
        <x:v>negative</x:v>
      </x:c>
      <x:c r="N525" s="12"/>
      <x:c r="O525" s="12" t="str">
        <x:v>negative</x:v>
      </x:c>
      <x:c r="P525" s="12" t="str">
        <x:f>IF(OR(M525="unavailable",O525="unavailable"),"不可评价",IF(OR(M525="equivocal",O525="equivocal"),"疑似",IF(AND(M525="positive",O525="positive"),"a",IF(O525="positive","b",IF(M525="positive","c","d")))))</x:f>
        <x:v>d</x:v>
      </x:c>
      <x:c r="Q525" s="12"/>
      <x:c r="R525" s="12" t="str">
        <x:v>negative</x:v>
      </x:c>
      <x:c r="S525" s="12"/>
      <x:c r="T525" s="12" t="str">
        <x:v>negative</x:v>
      </x:c>
      <x:c r="U525" s="12" t="str">
        <x:f>IF(OR(R525="unavailable",T525="unavailable"),"不可评价",IF(OR(R525="equivocal",T525="equivocal"),"疑似",IF(AND(R525="positive",T525="positive"),"a",IF(T525="positive","b",IF(R525="positive","c","d")))))</x:f>
        <x:v>d</x:v>
      </x:c>
      <x:c r="V525" s="12"/>
      <x:c r="W525" s="12" t="str">
        <x:v>negative</x:v>
      </x:c>
      <x:c r="X525" s="12"/>
      <x:c r="Y525" s="12" t="str">
        <x:v>negative</x:v>
      </x:c>
      <x:c r="Z525" s="12" t="str">
        <x:f>IF(OR(W525="unavailable",Y525="unavailable"),"不可评价",IF(OR(W525="equivocal",Y525="equivocal"),"疑似",IF(AND(W525="positive",Y525="positive"),"a",IF(Y525="positive","b",IF(W525="positive","c","d")))))</x:f>
        <x:v>d</x:v>
      </x:c>
      <x:c r="AA525" s="12" t="str">
        <x:f>IF(OR(M525="unavailable",O525="unavailable"),"不可评价",IF(AND(OR(M525="positive",M525="equivocal"),OR(O525="positive",O525="equivocal")),"a",IF(OR(O525="positive",O525="equivocal"),"b",IF(OR(M525="positive",M525="equivocal"),"c","d"))))</x:f>
        <x:v>d</x:v>
      </x:c>
      <x:c r="AB525" s="12" t="str">
        <x:f>IF(OR(M525="unavailable",O525="unavailable"),"不可评价",IF(AND(M525="positive",O525="positive"),"a",IF(O525="positive","b",IF(M525="positive","c","d"))))</x:f>
        <x:v>d</x:v>
      </x:c>
      <x:c r="AC525" s="12" t="str">
        <x:f>IF(OR(R525="unavailable",T525="unavailable"),"不可评价",IF(AND(OR(R525="positive",R525="equivocal"),OR(T525="positive",T525="equivocal")),"a",IF(OR(T525="positive",T525="equivocal"),"b",IF(OR(R525="positive",R525="equivocal"),"c","d"))))</x:f>
        <x:v>d</x:v>
      </x:c>
      <x:c r="AD525" s="12" t="str">
        <x:f>IF(OR(R525="unavailable",T525="unavailable"),"不可评价",IF(AND(R525="positive",T525="positive"),"a",IF(T525="positive","b",IF(R525="positive","c","d"))))</x:f>
        <x:v>d</x:v>
      </x:c>
      <x:c r="AE525" s="12" t="str">
        <x:f>IF(OR(W525="unavailable",Y525="unavailable"),"不可评价",IF(AND(OR(W525="positive",W525="equivocal"),OR(Y525="positive",Y525="equivocal")),"a",IF(OR(Y525="positive",Y525="equivocal"),"b",IF(OR(W525="positive",W525="equivocal"),"c","d"))))</x:f>
        <x:v>d</x:v>
      </x:c>
      <x:c r="AF525" s="12" t="str">
        <x:f>IF(OR(W525="unavailable",Y525="unavailable"),"不可评价",IF(AND(W525="positive",Y525="positive"),"a",IF(Y525="positive","b",IF(W525="positive","c","d"))))</x:f>
        <x:v>d</x:v>
      </x:c>
    </x:row>
    <x:row r="526" ht="24" customHeight="1">
      <x:c r="A526" s="12" t="str">
        <x:v>4097</x:v>
      </x:c>
      <x:c r="B526" s="12" t="str">
        <x:v>648</x:v>
      </x:c>
      <x:c r="C526" s="21" t="n">
        <x:v>32993.46357638889</x:v>
      </x:c>
      <x:c r="D526" s="12" t="n">
        <x:v>40</x:v>
      </x:c>
      <x:c r="E526" s="12" t="n">
        <x:v>1</x:v>
      </x:c>
      <x:c r="F526" s="12" t="str">
        <x:v>未记录</x:v>
      </x:c>
      <x:c r="G526" s="12" t="n">
        <x:v>0</x:v>
      </x:c>
      <x:c r="H526" s="12" t="str">
        <x:v>{'NORM': 80.0, 'PAC': 0.0, 'SR': 0.0}</x:v>
      </x:c>
      <x:c r="I526" s="12" t="str">
        <x:v>[('SRTH', 100.0), ('PAC', 100.0), ('RAE', 100.0), ('BORDE', 100.0)]</x:v>
      </x:c>
      <x:c r="J526" s="12" t="str">
        <x:v>ptbxl_database.csv；ecg_id=4097；scp_codes</x:v>
      </x:c>
      <x:c r="K526" s="12" t="str">
        <x:v>12sl_statements.csv；ecg_id=4097；statements_ext_snomed</x:v>
      </x:c>
      <x:c r="L526" s="12"/>
      <x:c r="M526" s="12" t="str">
        <x:v>negative</x:v>
      </x:c>
      <x:c r="N526" s="12"/>
      <x:c r="O526" s="12" t="str">
        <x:v>negative</x:v>
      </x:c>
      <x:c r="P526" s="12" t="str">
        <x:f>IF(OR(M526="unavailable",O526="unavailable"),"不可评价",IF(OR(M526="equivocal",O526="equivocal"),"疑似",IF(AND(M526="positive",O526="positive"),"a",IF(O526="positive","b",IF(M526="positive","c","d")))))</x:f>
        <x:v>d</x:v>
      </x:c>
      <x:c r="Q526" s="12"/>
      <x:c r="R526" s="12" t="str">
        <x:v>negative</x:v>
      </x:c>
      <x:c r="S526" s="12"/>
      <x:c r="T526" s="12" t="str">
        <x:v>negative</x:v>
      </x:c>
      <x:c r="U526" s="12" t="str">
        <x:f>IF(OR(R526="unavailable",T526="unavailable"),"不可评价",IF(OR(R526="equivocal",T526="equivocal"),"疑似",IF(AND(R526="positive",T526="positive"),"a",IF(T526="positive","b",IF(R526="positive","c","d")))))</x:f>
        <x:v>d</x:v>
      </x:c>
      <x:c r="V526" s="12"/>
      <x:c r="W526" s="12" t="str">
        <x:v>negative</x:v>
      </x:c>
      <x:c r="X526" s="12"/>
      <x:c r="Y526" s="12" t="str">
        <x:v>negative</x:v>
      </x:c>
      <x:c r="Z526" s="12" t="str">
        <x:f>IF(OR(W526="unavailable",Y526="unavailable"),"不可评价",IF(OR(W526="equivocal",Y526="equivocal"),"疑似",IF(AND(W526="positive",Y526="positive"),"a",IF(Y526="positive","b",IF(W526="positive","c","d")))))</x:f>
        <x:v>d</x:v>
      </x:c>
      <x:c r="AA526" s="12" t="str">
        <x:f>IF(OR(M526="unavailable",O526="unavailable"),"不可评价",IF(AND(OR(M526="positive",M526="equivocal"),OR(O526="positive",O526="equivocal")),"a",IF(OR(O526="positive",O526="equivocal"),"b",IF(OR(M526="positive",M526="equivocal"),"c","d"))))</x:f>
        <x:v>d</x:v>
      </x:c>
      <x:c r="AB526" s="12" t="str">
        <x:f>IF(OR(M526="unavailable",O526="unavailable"),"不可评价",IF(AND(M526="positive",O526="positive"),"a",IF(O526="positive","b",IF(M526="positive","c","d"))))</x:f>
        <x:v>d</x:v>
      </x:c>
      <x:c r="AC526" s="12" t="str">
        <x:f>IF(OR(R526="unavailable",T526="unavailable"),"不可评价",IF(AND(OR(R526="positive",R526="equivocal"),OR(T526="positive",T526="equivocal")),"a",IF(OR(T526="positive",T526="equivocal"),"b",IF(OR(R526="positive",R526="equivocal"),"c","d"))))</x:f>
        <x:v>d</x:v>
      </x:c>
      <x:c r="AD526" s="12" t="str">
        <x:f>IF(OR(R526="unavailable",T526="unavailable"),"不可评价",IF(AND(R526="positive",T526="positive"),"a",IF(T526="positive","b",IF(R526="positive","c","d"))))</x:f>
        <x:v>d</x:v>
      </x:c>
      <x:c r="AE526" s="12" t="str">
        <x:f>IF(OR(W526="unavailable",Y526="unavailable"),"不可评价",IF(AND(OR(W526="positive",W526="equivocal"),OR(Y526="positive",Y526="equivocal")),"a",IF(OR(Y526="positive",Y526="equivocal"),"b",IF(OR(W526="positive",W526="equivocal"),"c","d"))))</x:f>
        <x:v>d</x:v>
      </x:c>
      <x:c r="AF526" s="12" t="str">
        <x:f>IF(OR(W526="unavailable",Y526="unavailable"),"不可评价",IF(AND(W526="positive",Y526="positive"),"a",IF(Y526="positive","b",IF(W526="positive","c","d"))))</x:f>
        <x:v>d</x:v>
      </x:c>
    </x:row>
    <x:row r="527" ht="24" customHeight="1">
      <x:c r="A527" s="12" t="str">
        <x:v>4103</x:v>
      </x:c>
      <x:c r="B527" s="12" t="str">
        <x:v>648</x:v>
      </x:c>
      <x:c r="C527" s="21" t="n">
        <x:v>32993.723599537036</x:v>
      </x:c>
      <x:c r="D527" s="12" t="n">
        <x:v>40</x:v>
      </x:c>
      <x:c r="E527" s="12" t="n">
        <x:v>1</x:v>
      </x:c>
      <x:c r="F527" s="12" t="str">
        <x:v>未记录</x:v>
      </x:c>
      <x:c r="G527" s="12" t="n">
        <x:v>0</x:v>
      </x:c>
      <x:c r="H527" s="12" t="str">
        <x:v>{'NORM': 100.0, 'SR': 0.0}</x:v>
      </x:c>
      <x:c r="I527" s="12" t="str">
        <x:v>[('NSR', 100.0), ('RAE', 100.0), ('BORDE', 100.0)]</x:v>
      </x:c>
      <x:c r="J527" s="12" t="str">
        <x:v>ptbxl_database.csv；ecg_id=4103；scp_codes</x:v>
      </x:c>
      <x:c r="K527" s="12" t="str">
        <x:v>12sl_statements.csv；ecg_id=4103；statements_ext_snomed</x:v>
      </x:c>
      <x:c r="L527" s="12"/>
      <x:c r="M527" s="12" t="str">
        <x:v>negative</x:v>
      </x:c>
      <x:c r="N527" s="12"/>
      <x:c r="O527" s="12" t="str">
        <x:v>negative</x:v>
      </x:c>
      <x:c r="P527" s="12" t="str">
        <x:f>IF(OR(M527="unavailable",O527="unavailable"),"不可评价",IF(OR(M527="equivocal",O527="equivocal"),"疑似",IF(AND(M527="positive",O527="positive"),"a",IF(O527="positive","b",IF(M527="positive","c","d")))))</x:f>
        <x:v>d</x:v>
      </x:c>
      <x:c r="Q527" s="12"/>
      <x:c r="R527" s="12" t="str">
        <x:v>negative</x:v>
      </x:c>
      <x:c r="S527" s="12"/>
      <x:c r="T527" s="12" t="str">
        <x:v>negative</x:v>
      </x:c>
      <x:c r="U527" s="12" t="str">
        <x:f>IF(OR(R527="unavailable",T527="unavailable"),"不可评价",IF(OR(R527="equivocal",T527="equivocal"),"疑似",IF(AND(R527="positive",T527="positive"),"a",IF(T527="positive","b",IF(R527="positive","c","d")))))</x:f>
        <x:v>d</x:v>
      </x:c>
      <x:c r="V527" s="12"/>
      <x:c r="W527" s="12" t="str">
        <x:v>negative</x:v>
      </x:c>
      <x:c r="X527" s="12"/>
      <x:c r="Y527" s="12" t="str">
        <x:v>negative</x:v>
      </x:c>
      <x:c r="Z527" s="12" t="str">
        <x:f>IF(OR(W527="unavailable",Y527="unavailable"),"不可评价",IF(OR(W527="equivocal",Y527="equivocal"),"疑似",IF(AND(W527="positive",Y527="positive"),"a",IF(Y527="positive","b",IF(W527="positive","c","d")))))</x:f>
        <x:v>d</x:v>
      </x:c>
      <x:c r="AA527" s="12" t="str">
        <x:f>IF(OR(M527="unavailable",O527="unavailable"),"不可评价",IF(AND(OR(M527="positive",M527="equivocal"),OR(O527="positive",O527="equivocal")),"a",IF(OR(O527="positive",O527="equivocal"),"b",IF(OR(M527="positive",M527="equivocal"),"c","d"))))</x:f>
        <x:v>d</x:v>
      </x:c>
      <x:c r="AB527" s="12" t="str">
        <x:f>IF(OR(M527="unavailable",O527="unavailable"),"不可评价",IF(AND(M527="positive",O527="positive"),"a",IF(O527="positive","b",IF(M527="positive","c","d"))))</x:f>
        <x:v>d</x:v>
      </x:c>
      <x:c r="AC527" s="12" t="str">
        <x:f>IF(OR(R527="unavailable",T527="unavailable"),"不可评价",IF(AND(OR(R527="positive",R527="equivocal"),OR(T527="positive",T527="equivocal")),"a",IF(OR(T527="positive",T527="equivocal"),"b",IF(OR(R527="positive",R527="equivocal"),"c","d"))))</x:f>
        <x:v>d</x:v>
      </x:c>
      <x:c r="AD527" s="12" t="str">
        <x:f>IF(OR(R527="unavailable",T527="unavailable"),"不可评价",IF(AND(R527="positive",T527="positive"),"a",IF(T527="positive","b",IF(R527="positive","c","d"))))</x:f>
        <x:v>d</x:v>
      </x:c>
      <x:c r="AE527" s="12" t="str">
        <x:f>IF(OR(W527="unavailable",Y527="unavailable"),"不可评价",IF(AND(OR(W527="positive",W527="equivocal"),OR(Y527="positive",Y527="equivocal")),"a",IF(OR(Y527="positive",Y527="equivocal"),"b",IF(OR(W527="positive",W527="equivocal"),"c","d"))))</x:f>
        <x:v>d</x:v>
      </x:c>
      <x:c r="AF527" s="12" t="str">
        <x:f>IF(OR(W527="unavailable",Y527="unavailable"),"不可评价",IF(AND(W527="positive",Y527="positive"),"a",IF(Y527="positive","b",IF(W527="positive","c","d"))))</x:f>
        <x:v>d</x:v>
      </x:c>
    </x:row>
    <x:row r="528" ht="24" customHeight="1">
      <x:c r="A528" s="12" t="str">
        <x:v>4110</x:v>
      </x:c>
      <x:c r="B528" s="12" t="str">
        <x:v>648</x:v>
      </x:c>
      <x:c r="C528" s="21" t="n">
        <x:v>32994.66337962963</x:v>
      </x:c>
      <x:c r="D528" s="12" t="n">
        <x:v>40</x:v>
      </x:c>
      <x:c r="E528" s="12" t="n">
        <x:v>1</x:v>
      </x:c>
      <x:c r="F528" s="12" t="str">
        <x:v>未记录</x:v>
      </x:c>
      <x:c r="G528" s="12" t="n">
        <x:v>0</x:v>
      </x:c>
      <x:c r="H528" s="12" t="str">
        <x:v>{'NORM': 80.0, 'SR': 0.0}</x:v>
      </x:c>
      <x:c r="I528" s="12" t="str">
        <x:v>[('SRTH', 100.0), ('BLKED', 100.0), ('PAC', 100.0), ('ABR', 100.0)]</x:v>
      </x:c>
      <x:c r="J528" s="12" t="str">
        <x:v>ptbxl_database.csv；ecg_id=4110；scp_codes</x:v>
      </x:c>
      <x:c r="K528" s="12" t="str">
        <x:v>12sl_statements.csv；ecg_id=4110；statements_ext_snomed</x:v>
      </x:c>
      <x:c r="L528" s="12"/>
      <x:c r="M528" s="12" t="str">
        <x:v>negative</x:v>
      </x:c>
      <x:c r="N528" s="12"/>
      <x:c r="O528" s="12" t="str">
        <x:v>negative</x:v>
      </x:c>
      <x:c r="P528" s="12" t="str">
        <x:f>IF(OR(M528="unavailable",O528="unavailable"),"不可评价",IF(OR(M528="equivocal",O528="equivocal"),"疑似",IF(AND(M528="positive",O528="positive"),"a",IF(O528="positive","b",IF(M528="positive","c","d")))))</x:f>
        <x:v>d</x:v>
      </x:c>
      <x:c r="Q528" s="12"/>
      <x:c r="R528" s="12" t="str">
        <x:v>negative</x:v>
      </x:c>
      <x:c r="S528" s="12"/>
      <x:c r="T528" s="12" t="str">
        <x:v>negative</x:v>
      </x:c>
      <x:c r="U528" s="12" t="str">
        <x:f>IF(OR(R528="unavailable",T528="unavailable"),"不可评价",IF(OR(R528="equivocal",T528="equivocal"),"疑似",IF(AND(R528="positive",T528="positive"),"a",IF(T528="positive","b",IF(R528="positive","c","d")))))</x:f>
        <x:v>d</x:v>
      </x:c>
      <x:c r="V528" s="12"/>
      <x:c r="W528" s="12" t="str">
        <x:v>negative</x:v>
      </x:c>
      <x:c r="X528" s="12"/>
      <x:c r="Y528" s="12" t="str">
        <x:v>negative</x:v>
      </x:c>
      <x:c r="Z528" s="12" t="str">
        <x:f>IF(OR(W528="unavailable",Y528="unavailable"),"不可评价",IF(OR(W528="equivocal",Y528="equivocal"),"疑似",IF(AND(W528="positive",Y528="positive"),"a",IF(Y528="positive","b",IF(W528="positive","c","d")))))</x:f>
        <x:v>d</x:v>
      </x:c>
      <x:c r="AA528" s="12" t="str">
        <x:f>IF(OR(M528="unavailable",O528="unavailable"),"不可评价",IF(AND(OR(M528="positive",M528="equivocal"),OR(O528="positive",O528="equivocal")),"a",IF(OR(O528="positive",O528="equivocal"),"b",IF(OR(M528="positive",M528="equivocal"),"c","d"))))</x:f>
        <x:v>d</x:v>
      </x:c>
      <x:c r="AB528" s="12" t="str">
        <x:f>IF(OR(M528="unavailable",O528="unavailable"),"不可评价",IF(AND(M528="positive",O528="positive"),"a",IF(O528="positive","b",IF(M528="positive","c","d"))))</x:f>
        <x:v>d</x:v>
      </x:c>
      <x:c r="AC528" s="12" t="str">
        <x:f>IF(OR(R528="unavailable",T528="unavailable"),"不可评价",IF(AND(OR(R528="positive",R528="equivocal"),OR(T528="positive",T528="equivocal")),"a",IF(OR(T528="positive",T528="equivocal"),"b",IF(OR(R528="positive",R528="equivocal"),"c","d"))))</x:f>
        <x:v>d</x:v>
      </x:c>
      <x:c r="AD528" s="12" t="str">
        <x:f>IF(OR(R528="unavailable",T528="unavailable"),"不可评价",IF(AND(R528="positive",T528="positive"),"a",IF(T528="positive","b",IF(R528="positive","c","d"))))</x:f>
        <x:v>d</x:v>
      </x:c>
      <x:c r="AE528" s="12" t="str">
        <x:f>IF(OR(W528="unavailable",Y528="unavailable"),"不可评价",IF(AND(OR(W528="positive",W528="equivocal"),OR(Y528="positive",Y528="equivocal")),"a",IF(OR(Y528="positive",Y528="equivocal"),"b",IF(OR(W528="positive",W528="equivocal"),"c","d"))))</x:f>
        <x:v>d</x:v>
      </x:c>
      <x:c r="AF528" s="12" t="str">
        <x:f>IF(OR(W528="unavailable",Y528="unavailable"),"不可评价",IF(AND(W528="positive",Y528="positive"),"a",IF(Y528="positive","b",IF(W528="positive","c","d"))))</x:f>
        <x:v>d</x:v>
      </x:c>
    </x:row>
    <x:row r="529" ht="24" customHeight="1">
      <x:c r="A529" s="12" t="str">
        <x:v>4123</x:v>
      </x:c>
      <x:c r="B529" s="12" t="str">
        <x:v>3342</x:v>
      </x:c>
      <x:c r="C529" s="21" t="n">
        <x:v>32998.47881944444</x:v>
      </x:c>
      <x:c r="D529" s="12" t="n">
        <x:v>70</x:v>
      </x:c>
      <x:c r="E529" s="12" t="n">
        <x:v>1</x:v>
      </x:c>
      <x:c r="F529" s="12" t="str">
        <x:v>未记录</x:v>
      </x:c>
      <x:c r="G529" s="12" t="n">
        <x:v>1</x:v>
      </x:c>
      <x:c r="H529" s="12" t="str">
        <x:v>{'NORM': 50.0, 'PVC': 100.0, 'SR': 0.0}</x:v>
      </x:c>
      <x:c r="I529" s="12" t="str">
        <x:v>[('SRTH', 100.0), ('PVC', 100.0), ('ABR', 100.0)]</x:v>
      </x:c>
      <x:c r="J529" s="12" t="str">
        <x:v>ptbxl_database.csv；ecg_id=4123；scp_codes</x:v>
      </x:c>
      <x:c r="K529" s="12" t="str">
        <x:v>12sl_statements.csv；ecg_id=4123；statements_ext_snomed</x:v>
      </x:c>
      <x:c r="L529" s="12"/>
      <x:c r="M529" s="12" t="str">
        <x:v>negative</x:v>
      </x:c>
      <x:c r="N529" s="12"/>
      <x:c r="O529" s="12" t="str">
        <x:v>negative</x:v>
      </x:c>
      <x:c r="P529" s="12" t="str">
        <x:f>IF(OR(M529="unavailable",O529="unavailable"),"不可评价",IF(OR(M529="equivocal",O529="equivocal"),"疑似",IF(AND(M529="positive",O529="positive"),"a",IF(O529="positive","b",IF(M529="positive","c","d")))))</x:f>
        <x:v>d</x:v>
      </x:c>
      <x:c r="Q529" s="12"/>
      <x:c r="R529" s="12" t="str">
        <x:v>negative</x:v>
      </x:c>
      <x:c r="S529" s="12"/>
      <x:c r="T529" s="12" t="str">
        <x:v>negative</x:v>
      </x:c>
      <x:c r="U529" s="12" t="str">
        <x:f>IF(OR(R529="unavailable",T529="unavailable"),"不可评价",IF(OR(R529="equivocal",T529="equivocal"),"疑似",IF(AND(R529="positive",T529="positive"),"a",IF(T529="positive","b",IF(R529="positive","c","d")))))</x:f>
        <x:v>d</x:v>
      </x:c>
      <x:c r="V529" s="12"/>
      <x:c r="W529" s="12" t="str">
        <x:v>negative</x:v>
      </x:c>
      <x:c r="X529" s="12"/>
      <x:c r="Y529" s="12" t="str">
        <x:v>negative</x:v>
      </x:c>
      <x:c r="Z529" s="12" t="str">
        <x:f>IF(OR(W529="unavailable",Y529="unavailable"),"不可评价",IF(OR(W529="equivocal",Y529="equivocal"),"疑似",IF(AND(W529="positive",Y529="positive"),"a",IF(Y529="positive","b",IF(W529="positive","c","d")))))</x:f>
        <x:v>d</x:v>
      </x:c>
      <x:c r="AA529" s="12" t="str">
        <x:f>IF(OR(M529="unavailable",O529="unavailable"),"不可评价",IF(AND(OR(M529="positive",M529="equivocal"),OR(O529="positive",O529="equivocal")),"a",IF(OR(O529="positive",O529="equivocal"),"b",IF(OR(M529="positive",M529="equivocal"),"c","d"))))</x:f>
        <x:v>d</x:v>
      </x:c>
      <x:c r="AB529" s="12" t="str">
        <x:f>IF(OR(M529="unavailable",O529="unavailable"),"不可评价",IF(AND(M529="positive",O529="positive"),"a",IF(O529="positive","b",IF(M529="positive","c","d"))))</x:f>
        <x:v>d</x:v>
      </x:c>
      <x:c r="AC529" s="12" t="str">
        <x:f>IF(OR(R529="unavailable",T529="unavailable"),"不可评价",IF(AND(OR(R529="positive",R529="equivocal"),OR(T529="positive",T529="equivocal")),"a",IF(OR(T529="positive",T529="equivocal"),"b",IF(OR(R529="positive",R529="equivocal"),"c","d"))))</x:f>
        <x:v>d</x:v>
      </x:c>
      <x:c r="AD529" s="12" t="str">
        <x:f>IF(OR(R529="unavailable",T529="unavailable"),"不可评价",IF(AND(R529="positive",T529="positive"),"a",IF(T529="positive","b",IF(R529="positive","c","d"))))</x:f>
        <x:v>d</x:v>
      </x:c>
      <x:c r="AE529" s="12" t="str">
        <x:f>IF(OR(W529="unavailable",Y529="unavailable"),"不可评价",IF(AND(OR(W529="positive",W529="equivocal"),OR(Y529="positive",Y529="equivocal")),"a",IF(OR(Y529="positive",Y529="equivocal"),"b",IF(OR(W529="positive",W529="equivocal"),"c","d"))))</x:f>
        <x:v>d</x:v>
      </x:c>
      <x:c r="AF529" s="12" t="str">
        <x:f>IF(OR(W529="unavailable",Y529="unavailable"),"不可评价",IF(AND(W529="positive",Y529="positive"),"a",IF(Y529="positive","b",IF(W529="positive","c","d"))))</x:f>
        <x:v>d</x:v>
      </x:c>
    </x:row>
    <x:row r="530" ht="24" customHeight="1">
      <x:c r="A530" s="12" t="str">
        <x:v>4137</x:v>
      </x:c>
      <x:c r="B530" s="12" t="str">
        <x:v>5040</x:v>
      </x:c>
      <x:c r="C530" s="21" t="n">
        <x:v>33000.355578703704</x:v>
      </x:c>
      <x:c r="D530" s="12" t="n">
        <x:v>54</x:v>
      </x:c>
      <x:c r="E530" s="12" t="n">
        <x:v>1</x:v>
      </x:c>
      <x:c r="F530" s="12" t="str">
        <x:v>未记录</x:v>
      </x:c>
      <x:c r="G530" s="12" t="n">
        <x:v>1</x:v>
      </x:c>
      <x:c r="H530" s="12" t="str">
        <x:v>{'INJAS': 50.0, 'INVT': 0.0, 'SR': 0.0}</x:v>
      </x:c>
      <x:c r="I530" s="12" t="str">
        <x:v>[('SBRAD', 100.0), ('LT', 100.0), ('AB', 100.0)]</x:v>
      </x:c>
      <x:c r="J530" s="12" t="str">
        <x:v>ptbxl_database.csv；ecg_id=4137；scp_codes</x:v>
      </x:c>
      <x:c r="K530" s="12" t="str">
        <x:v>12sl_statements.csv；ecg_id=4137；statements_ext_snomed</x:v>
      </x:c>
      <x:c r="L530" s="12"/>
      <x:c r="M530" s="12" t="str">
        <x:v>negative</x:v>
      </x:c>
      <x:c r="N530" s="12"/>
      <x:c r="O530" s="12" t="str">
        <x:v>negative</x:v>
      </x:c>
      <x:c r="P530" s="12" t="str">
        <x:f>IF(OR(M530="unavailable",O530="unavailable"),"不可评价",IF(OR(M530="equivocal",O530="equivocal"),"疑似",IF(AND(M530="positive",O530="positive"),"a",IF(O530="positive","b",IF(M530="positive","c","d")))))</x:f>
        <x:v>d</x:v>
      </x:c>
      <x:c r="Q530" s="12"/>
      <x:c r="R530" s="12" t="str">
        <x:v>negative</x:v>
      </x:c>
      <x:c r="S530" s="12"/>
      <x:c r="T530" s="12" t="str">
        <x:v>negative</x:v>
      </x:c>
      <x:c r="U530" s="12" t="str">
        <x:f>IF(OR(R530="unavailable",T530="unavailable"),"不可评价",IF(OR(R530="equivocal",T530="equivocal"),"疑似",IF(AND(R530="positive",T530="positive"),"a",IF(T530="positive","b",IF(R530="positive","c","d")))))</x:f>
        <x:v>d</x:v>
      </x:c>
      <x:c r="V530" s="12"/>
      <x:c r="W530" s="12" t="str">
        <x:v>negative</x:v>
      </x:c>
      <x:c r="X530" s="12"/>
      <x:c r="Y530" s="12" t="str">
        <x:v>negative</x:v>
      </x:c>
      <x:c r="Z530" s="12" t="str">
        <x:f>IF(OR(W530="unavailable",Y530="unavailable"),"不可评价",IF(OR(W530="equivocal",Y530="equivocal"),"疑似",IF(AND(W530="positive",Y530="positive"),"a",IF(Y530="positive","b",IF(W530="positive","c","d")))))</x:f>
        <x:v>d</x:v>
      </x:c>
      <x:c r="AA530" s="12" t="str">
        <x:f>IF(OR(M530="unavailable",O530="unavailable"),"不可评价",IF(AND(OR(M530="positive",M530="equivocal"),OR(O530="positive",O530="equivocal")),"a",IF(OR(O530="positive",O530="equivocal"),"b",IF(OR(M530="positive",M530="equivocal"),"c","d"))))</x:f>
        <x:v>d</x:v>
      </x:c>
      <x:c r="AB530" s="12" t="str">
        <x:f>IF(OR(M530="unavailable",O530="unavailable"),"不可评价",IF(AND(M530="positive",O530="positive"),"a",IF(O530="positive","b",IF(M530="positive","c","d"))))</x:f>
        <x:v>d</x:v>
      </x:c>
      <x:c r="AC530" s="12" t="str">
        <x:f>IF(OR(R530="unavailable",T530="unavailable"),"不可评价",IF(AND(OR(R530="positive",R530="equivocal"),OR(T530="positive",T530="equivocal")),"a",IF(OR(T530="positive",T530="equivocal"),"b",IF(OR(R530="positive",R530="equivocal"),"c","d"))))</x:f>
        <x:v>d</x:v>
      </x:c>
      <x:c r="AD530" s="12" t="str">
        <x:f>IF(OR(R530="unavailable",T530="unavailable"),"不可评价",IF(AND(R530="positive",T530="positive"),"a",IF(T530="positive","b",IF(R530="positive","c","d"))))</x:f>
        <x:v>d</x:v>
      </x:c>
      <x:c r="AE530" s="12" t="str">
        <x:f>IF(OR(W530="unavailable",Y530="unavailable"),"不可评价",IF(AND(OR(W530="positive",W530="equivocal"),OR(Y530="positive",Y530="equivocal")),"a",IF(OR(Y530="positive",Y530="equivocal"),"b",IF(OR(W530="positive",W530="equivocal"),"c","d"))))</x:f>
        <x:v>d</x:v>
      </x:c>
      <x:c r="AF530" s="12" t="str">
        <x:f>IF(OR(W530="unavailable",Y530="unavailable"),"不可评价",IF(AND(W530="positive",Y530="positive"),"a",IF(Y530="positive","b",IF(W530="positive","c","d"))))</x:f>
        <x:v>d</x:v>
      </x:c>
    </x:row>
    <x:row r="531" ht="24" customHeight="1">
      <x:c r="A531" s="12" t="str">
        <x:v>4149</x:v>
      </x:c>
      <x:c r="B531" s="12" t="str">
        <x:v>5394</x:v>
      </x:c>
      <x:c r="C531" s="21" t="n">
        <x:v>33001.731516203705</x:v>
      </x:c>
      <x:c r="D531" s="12" t="n">
        <x:v>72</x:v>
      </x:c>
      <x:c r="E531" s="12" t="n">
        <x:v>1</x:v>
      </x:c>
      <x:c r="F531" s="12" t="str">
        <x:v>未记录</x:v>
      </x:c>
      <x:c r="G531" s="12" t="n">
        <x:v>1</x:v>
      </x:c>
      <x:c r="H531" s="12" t="str">
        <x:v>{'NST_': 100.0, 'LOWT': 0.0, 'STD_': 0.0, 'SR': 0.0}</x:v>
      </x:c>
      <x:c r="I531" s="12" t="str">
        <x:v>[('NSR', 100.0), ('NSTT', 100.0), ('AB', 100.0)]</x:v>
      </x:c>
      <x:c r="J531" s="12" t="str">
        <x:v>ptbxl_database.csv；ecg_id=4149；scp_codes</x:v>
      </x:c>
      <x:c r="K531" s="12" t="str">
        <x:v>12sl_statements.csv；ecg_id=4149；statements_ext_snomed</x:v>
      </x:c>
      <x:c r="L531" s="12"/>
      <x:c r="M531" s="12" t="str">
        <x:v>negative</x:v>
      </x:c>
      <x:c r="N531" s="12"/>
      <x:c r="O531" s="12" t="str">
        <x:v>negative</x:v>
      </x:c>
      <x:c r="P531" s="12" t="str">
        <x:f>IF(OR(M531="unavailable",O531="unavailable"),"不可评价",IF(OR(M531="equivocal",O531="equivocal"),"疑似",IF(AND(M531="positive",O531="positive"),"a",IF(O531="positive","b",IF(M531="positive","c","d")))))</x:f>
        <x:v>d</x:v>
      </x:c>
      <x:c r="Q531" s="12"/>
      <x:c r="R531" s="12" t="str">
        <x:v>negative</x:v>
      </x:c>
      <x:c r="S531" s="12"/>
      <x:c r="T531" s="12" t="str">
        <x:v>negative</x:v>
      </x:c>
      <x:c r="U531" s="12" t="str">
        <x:f>IF(OR(R531="unavailable",T531="unavailable"),"不可评价",IF(OR(R531="equivocal",T531="equivocal"),"疑似",IF(AND(R531="positive",T531="positive"),"a",IF(T531="positive","b",IF(R531="positive","c","d")))))</x:f>
        <x:v>d</x:v>
      </x:c>
      <x:c r="V531" s="12"/>
      <x:c r="W531" s="12" t="str">
        <x:v>negative</x:v>
      </x:c>
      <x:c r="X531" s="12"/>
      <x:c r="Y531" s="12" t="str">
        <x:v>negative</x:v>
      </x:c>
      <x:c r="Z531" s="12" t="str">
        <x:f>IF(OR(W531="unavailable",Y531="unavailable"),"不可评价",IF(OR(W531="equivocal",Y531="equivocal"),"疑似",IF(AND(W531="positive",Y531="positive"),"a",IF(Y531="positive","b",IF(W531="positive","c","d")))))</x:f>
        <x:v>d</x:v>
      </x:c>
      <x:c r="AA531" s="12" t="str">
        <x:f>IF(OR(M531="unavailable",O531="unavailable"),"不可评价",IF(AND(OR(M531="positive",M531="equivocal"),OR(O531="positive",O531="equivocal")),"a",IF(OR(O531="positive",O531="equivocal"),"b",IF(OR(M531="positive",M531="equivocal"),"c","d"))))</x:f>
        <x:v>d</x:v>
      </x:c>
      <x:c r="AB531" s="12" t="str">
        <x:f>IF(OR(M531="unavailable",O531="unavailable"),"不可评价",IF(AND(M531="positive",O531="positive"),"a",IF(O531="positive","b",IF(M531="positive","c","d"))))</x:f>
        <x:v>d</x:v>
      </x:c>
      <x:c r="AC531" s="12" t="str">
        <x:f>IF(OR(R531="unavailable",T531="unavailable"),"不可评价",IF(AND(OR(R531="positive",R531="equivocal"),OR(T531="positive",T531="equivocal")),"a",IF(OR(T531="positive",T531="equivocal"),"b",IF(OR(R531="positive",R531="equivocal"),"c","d"))))</x:f>
        <x:v>d</x:v>
      </x:c>
      <x:c r="AD531" s="12" t="str">
        <x:f>IF(OR(R531="unavailable",T531="unavailable"),"不可评价",IF(AND(R531="positive",T531="positive"),"a",IF(T531="positive","b",IF(R531="positive","c","d"))))</x:f>
        <x:v>d</x:v>
      </x:c>
      <x:c r="AE531" s="12" t="str">
        <x:f>IF(OR(W531="unavailable",Y531="unavailable"),"不可评价",IF(AND(OR(W531="positive",W531="equivocal"),OR(Y531="positive",Y531="equivocal")),"a",IF(OR(Y531="positive",Y531="equivocal"),"b",IF(OR(W531="positive",W531="equivocal"),"c","d"))))</x:f>
        <x:v>d</x:v>
      </x:c>
      <x:c r="AF531" s="12" t="str">
        <x:f>IF(OR(W531="unavailable",Y531="unavailable"),"不可评价",IF(AND(W531="positive",Y531="positive"),"a",IF(Y531="positive","b",IF(W531="positive","c","d"))))</x:f>
        <x:v>d</x:v>
      </x:c>
    </x:row>
    <x:row r="532" ht="24" customHeight="1">
      <x:c r="A532" s="12" t="str">
        <x:v>4153</x:v>
      </x:c>
      <x:c r="B532" s="12" t="str">
        <x:v>20939</x:v>
      </x:c>
      <x:c r="C532" s="21" t="n">
        <x:v>33002.513125</x:v>
      </x:c>
      <x:c r="D532" s="12" t="n">
        <x:v>73</x:v>
      </x:c>
      <x:c r="E532" s="12" t="n">
        <x:v>0</x:v>
      </x:c>
      <x:c r="F532" s="12" t="str">
        <x:v>未记录</x:v>
      </x:c>
      <x:c r="G532" s="12" t="n">
        <x:v>1</x:v>
      </x:c>
      <x:c r="H532" s="12" t="str">
        <x:v>{'IMI': 15.0, 'ABQRS': 0.0, 'SR': 0.0}</x:v>
      </x:c>
      <x:c r="I532" s="12" t="str">
        <x:v>[('NSR', 100.0), ('NML', 100.0)]</x:v>
      </x:c>
      <x:c r="J532" s="12" t="str">
        <x:v>ptbxl_database.csv；ecg_id=4153；scp_codes</x:v>
      </x:c>
      <x:c r="K532" s="12" t="str">
        <x:v>12sl_statements.csv；ecg_id=4153；statements_ext_snomed</x:v>
      </x:c>
      <x:c r="L532" s="12"/>
      <x:c r="M532" s="12" t="str">
        <x:v>negative</x:v>
      </x:c>
      <x:c r="N532" s="12"/>
      <x:c r="O532" s="12" t="str">
        <x:v>negative</x:v>
      </x:c>
      <x:c r="P532" s="12" t="str">
        <x:f>IF(OR(M532="unavailable",O532="unavailable"),"不可评价",IF(OR(M532="equivocal",O532="equivocal"),"疑似",IF(AND(M532="positive",O532="positive"),"a",IF(O532="positive","b",IF(M532="positive","c","d")))))</x:f>
        <x:v>d</x:v>
      </x:c>
      <x:c r="Q532" s="12"/>
      <x:c r="R532" s="12" t="str">
        <x:v>negative</x:v>
      </x:c>
      <x:c r="S532" s="12"/>
      <x:c r="T532" s="12" t="str">
        <x:v>negative</x:v>
      </x:c>
      <x:c r="U532" s="12" t="str">
        <x:f>IF(OR(R532="unavailable",T532="unavailable"),"不可评价",IF(OR(R532="equivocal",T532="equivocal"),"疑似",IF(AND(R532="positive",T532="positive"),"a",IF(T532="positive","b",IF(R532="positive","c","d")))))</x:f>
        <x:v>d</x:v>
      </x:c>
      <x:c r="V532" s="12"/>
      <x:c r="W532" s="12" t="str">
        <x:v>negative</x:v>
      </x:c>
      <x:c r="X532" s="12"/>
      <x:c r="Y532" s="12" t="str">
        <x:v>negative</x:v>
      </x:c>
      <x:c r="Z532" s="12" t="str">
        <x:f>IF(OR(W532="unavailable",Y532="unavailable"),"不可评价",IF(OR(W532="equivocal",Y532="equivocal"),"疑似",IF(AND(W532="positive",Y532="positive"),"a",IF(Y532="positive","b",IF(W532="positive","c","d")))))</x:f>
        <x:v>d</x:v>
      </x:c>
      <x:c r="AA532" s="12" t="str">
        <x:f>IF(OR(M532="unavailable",O532="unavailable"),"不可评价",IF(AND(OR(M532="positive",M532="equivocal"),OR(O532="positive",O532="equivocal")),"a",IF(OR(O532="positive",O532="equivocal"),"b",IF(OR(M532="positive",M532="equivocal"),"c","d"))))</x:f>
        <x:v>d</x:v>
      </x:c>
      <x:c r="AB532" s="12" t="str">
        <x:f>IF(OR(M532="unavailable",O532="unavailable"),"不可评价",IF(AND(M532="positive",O532="positive"),"a",IF(O532="positive","b",IF(M532="positive","c","d"))))</x:f>
        <x:v>d</x:v>
      </x:c>
      <x:c r="AC532" s="12" t="str">
        <x:f>IF(OR(R532="unavailable",T532="unavailable"),"不可评价",IF(AND(OR(R532="positive",R532="equivocal"),OR(T532="positive",T532="equivocal")),"a",IF(OR(T532="positive",T532="equivocal"),"b",IF(OR(R532="positive",R532="equivocal"),"c","d"))))</x:f>
        <x:v>d</x:v>
      </x:c>
      <x:c r="AD532" s="12" t="str">
        <x:f>IF(OR(R532="unavailable",T532="unavailable"),"不可评价",IF(AND(R532="positive",T532="positive"),"a",IF(T532="positive","b",IF(R532="positive","c","d"))))</x:f>
        <x:v>d</x:v>
      </x:c>
      <x:c r="AE532" s="12" t="str">
        <x:f>IF(OR(W532="unavailable",Y532="unavailable"),"不可评价",IF(AND(OR(W532="positive",W532="equivocal"),OR(Y532="positive",Y532="equivocal")),"a",IF(OR(Y532="positive",Y532="equivocal"),"b",IF(OR(W532="positive",W532="equivocal"),"c","d"))))</x:f>
        <x:v>d</x:v>
      </x:c>
      <x:c r="AF532" s="12" t="str">
        <x:f>IF(OR(W532="unavailable",Y532="unavailable"),"不可评价",IF(AND(W532="positive",Y532="positive"),"a",IF(Y532="positive","b",IF(W532="positive","c","d"))))</x:f>
        <x:v>d</x:v>
      </x:c>
    </x:row>
    <x:row r="533" ht="24" customHeight="1">
      <x:c r="A533" s="12" t="str">
        <x:v>4167</x:v>
      </x:c>
      <x:c r="B533" s="12" t="str">
        <x:v>21197</x:v>
      </x:c>
      <x:c r="C533" s="21" t="n">
        <x:v>33011.57775462963</x:v>
      </x:c>
      <x:c r="D533" s="12" t="n">
        <x:v>66</x:v>
      </x:c>
      <x:c r="E533" s="12" t="n">
        <x:v>1</x:v>
      </x:c>
      <x:c r="F533" s="12" t="str">
        <x:v>未记录</x:v>
      </x:c>
      <x:c r="G533" s="12" t="n">
        <x:v>1</x:v>
      </x:c>
      <x:c r="H533" s="12" t="str">
        <x:v>{'NORM': 50.0, 'IVCD': 100.0, 'LAO/LAE': 50.0, 'SR': 0.0}</x:v>
      </x:c>
      <x:c r="I533" s="12" t="str">
        <x:v>[('NSR', 100.0), ('JSTN', 100.0), ('BORDE', 100.0)]</x:v>
      </x:c>
      <x:c r="J533" s="12" t="str">
        <x:v>ptbxl_database.csv；ecg_id=4167；scp_codes</x:v>
      </x:c>
      <x:c r="K533" s="12" t="str">
        <x:v>12sl_statements.csv；ecg_id=4167；statements_ext_snomed</x:v>
      </x:c>
      <x:c r="L533" s="12"/>
      <x:c r="M533" s="12" t="str">
        <x:v>negative</x:v>
      </x:c>
      <x:c r="N533" s="12"/>
      <x:c r="O533" s="12" t="str">
        <x:v>negative</x:v>
      </x:c>
      <x:c r="P533" s="12" t="str">
        <x:f>IF(OR(M533="unavailable",O533="unavailable"),"不可评价",IF(OR(M533="equivocal",O533="equivocal"),"疑似",IF(AND(M533="positive",O533="positive"),"a",IF(O533="positive","b",IF(M533="positive","c","d")))))</x:f>
        <x:v>d</x:v>
      </x:c>
      <x:c r="Q533" s="12"/>
      <x:c r="R533" s="12" t="str">
        <x:v>negative</x:v>
      </x:c>
      <x:c r="S533" s="12"/>
      <x:c r="T533" s="12" t="str">
        <x:v>negative</x:v>
      </x:c>
      <x:c r="U533" s="12" t="str">
        <x:f>IF(OR(R533="unavailable",T533="unavailable"),"不可评价",IF(OR(R533="equivocal",T533="equivocal"),"疑似",IF(AND(R533="positive",T533="positive"),"a",IF(T533="positive","b",IF(R533="positive","c","d")))))</x:f>
        <x:v>d</x:v>
      </x:c>
      <x:c r="V533" s="12"/>
      <x:c r="W533" s="12" t="str">
        <x:v>negative</x:v>
      </x:c>
      <x:c r="X533" s="12"/>
      <x:c r="Y533" s="12" t="str">
        <x:v>negative</x:v>
      </x:c>
      <x:c r="Z533" s="12" t="str">
        <x:f>IF(OR(W533="unavailable",Y533="unavailable"),"不可评价",IF(OR(W533="equivocal",Y533="equivocal"),"疑似",IF(AND(W533="positive",Y533="positive"),"a",IF(Y533="positive","b",IF(W533="positive","c","d")))))</x:f>
        <x:v>d</x:v>
      </x:c>
      <x:c r="AA533" s="12" t="str">
        <x:f>IF(OR(M533="unavailable",O533="unavailable"),"不可评价",IF(AND(OR(M533="positive",M533="equivocal"),OR(O533="positive",O533="equivocal")),"a",IF(OR(O533="positive",O533="equivocal"),"b",IF(OR(M533="positive",M533="equivocal"),"c","d"))))</x:f>
        <x:v>d</x:v>
      </x:c>
      <x:c r="AB533" s="12" t="str">
        <x:f>IF(OR(M533="unavailable",O533="unavailable"),"不可评价",IF(AND(M533="positive",O533="positive"),"a",IF(O533="positive","b",IF(M533="positive","c","d"))))</x:f>
        <x:v>d</x:v>
      </x:c>
      <x:c r="AC533" s="12" t="str">
        <x:f>IF(OR(R533="unavailable",T533="unavailable"),"不可评价",IF(AND(OR(R533="positive",R533="equivocal"),OR(T533="positive",T533="equivocal")),"a",IF(OR(T533="positive",T533="equivocal"),"b",IF(OR(R533="positive",R533="equivocal"),"c","d"))))</x:f>
        <x:v>d</x:v>
      </x:c>
      <x:c r="AD533" s="12" t="str">
        <x:f>IF(OR(R533="unavailable",T533="unavailable"),"不可评价",IF(AND(R533="positive",T533="positive"),"a",IF(T533="positive","b",IF(R533="positive","c","d"))))</x:f>
        <x:v>d</x:v>
      </x:c>
      <x:c r="AE533" s="12" t="str">
        <x:f>IF(OR(W533="unavailable",Y533="unavailable"),"不可评价",IF(AND(OR(W533="positive",W533="equivocal"),OR(Y533="positive",Y533="equivocal")),"a",IF(OR(Y533="positive",Y533="equivocal"),"b",IF(OR(W533="positive",W533="equivocal"),"c","d"))))</x:f>
        <x:v>d</x:v>
      </x:c>
      <x:c r="AF533" s="12" t="str">
        <x:f>IF(OR(W533="unavailable",Y533="unavailable"),"不可评价",IF(AND(W533="positive",Y533="positive"),"a",IF(Y533="positive","b",IF(W533="positive","c","d"))))</x:f>
        <x:v>d</x:v>
      </x:c>
    </x:row>
    <x:row r="534" ht="24" customHeight="1">
      <x:c r="A534" s="12" t="str">
        <x:v>4175</x:v>
      </x:c>
      <x:c r="B534" s="12" t="str">
        <x:v>18463</x:v>
      </x:c>
      <x:c r="C534" s="21" t="n">
        <x:v>33016.60130787037</x:v>
      </x:c>
      <x:c r="D534" s="12" t="n">
        <x:v>87</x:v>
      </x:c>
      <x:c r="E534" s="12" t="n">
        <x:v>0</x:v>
      </x:c>
      <x:c r="F534" s="12" t="str">
        <x:v>未记录</x:v>
      </x:c>
      <x:c r="G534" s="12" t="n">
        <x:v>1</x:v>
      </x:c>
      <x:c r="H534" s="12" t="str">
        <x:v>{'INJAS': 100.0, 'SR': 0.0}</x:v>
      </x:c>
      <x:c r="I534" s="12" t="str">
        <x:v>[('NSR', 100.0), ('LOWV', 100.0), ('ST&amp;', 100.0), ('AT', 100.0), ('AB', 100.0)]</x:v>
      </x:c>
      <x:c r="J534" s="12" t="str">
        <x:v>ptbxl_database.csv；ecg_id=4175；scp_codes</x:v>
      </x:c>
      <x:c r="K534" s="12" t="str">
        <x:v>12sl_statements.csv；ecg_id=4175；statements_ext_snomed</x:v>
      </x:c>
      <x:c r="L534" s="12"/>
      <x:c r="M534" s="12" t="str">
        <x:v>negative</x:v>
      </x:c>
      <x:c r="N534" s="12"/>
      <x:c r="O534" s="12" t="str">
        <x:v>negative</x:v>
      </x:c>
      <x:c r="P534" s="12" t="str">
        <x:f>IF(OR(M534="unavailable",O534="unavailable"),"不可评价",IF(OR(M534="equivocal",O534="equivocal"),"疑似",IF(AND(M534="positive",O534="positive"),"a",IF(O534="positive","b",IF(M534="positive","c","d")))))</x:f>
        <x:v>d</x:v>
      </x:c>
      <x:c r="Q534" s="12"/>
      <x:c r="R534" s="12" t="str">
        <x:v>negative</x:v>
      </x:c>
      <x:c r="S534" s="12"/>
      <x:c r="T534" s="12" t="str">
        <x:v>negative</x:v>
      </x:c>
      <x:c r="U534" s="12" t="str">
        <x:f>IF(OR(R534="unavailable",T534="unavailable"),"不可评价",IF(OR(R534="equivocal",T534="equivocal"),"疑似",IF(AND(R534="positive",T534="positive"),"a",IF(T534="positive","b",IF(R534="positive","c","d")))))</x:f>
        <x:v>d</x:v>
      </x:c>
      <x:c r="V534" s="12"/>
      <x:c r="W534" s="12" t="str">
        <x:v>negative</x:v>
      </x:c>
      <x:c r="X534" s="12"/>
      <x:c r="Y534" s="12" t="str">
        <x:v>negative</x:v>
      </x:c>
      <x:c r="Z534" s="12" t="str">
        <x:f>IF(OR(W534="unavailable",Y534="unavailable"),"不可评价",IF(OR(W534="equivocal",Y534="equivocal"),"疑似",IF(AND(W534="positive",Y534="positive"),"a",IF(Y534="positive","b",IF(W534="positive","c","d")))))</x:f>
        <x:v>d</x:v>
      </x:c>
      <x:c r="AA534" s="12" t="str">
        <x:f>IF(OR(M534="unavailable",O534="unavailable"),"不可评价",IF(AND(OR(M534="positive",M534="equivocal"),OR(O534="positive",O534="equivocal")),"a",IF(OR(O534="positive",O534="equivocal"),"b",IF(OR(M534="positive",M534="equivocal"),"c","d"))))</x:f>
        <x:v>d</x:v>
      </x:c>
      <x:c r="AB534" s="12" t="str">
        <x:f>IF(OR(M534="unavailable",O534="unavailable"),"不可评价",IF(AND(M534="positive",O534="positive"),"a",IF(O534="positive","b",IF(M534="positive","c","d"))))</x:f>
        <x:v>d</x:v>
      </x:c>
      <x:c r="AC534" s="12" t="str">
        <x:f>IF(OR(R534="unavailable",T534="unavailable"),"不可评价",IF(AND(OR(R534="positive",R534="equivocal"),OR(T534="positive",T534="equivocal")),"a",IF(OR(T534="positive",T534="equivocal"),"b",IF(OR(R534="positive",R534="equivocal"),"c","d"))))</x:f>
        <x:v>d</x:v>
      </x:c>
      <x:c r="AD534" s="12" t="str">
        <x:f>IF(OR(R534="unavailable",T534="unavailable"),"不可评价",IF(AND(R534="positive",T534="positive"),"a",IF(T534="positive","b",IF(R534="positive","c","d"))))</x:f>
        <x:v>d</x:v>
      </x:c>
      <x:c r="AE534" s="12" t="str">
        <x:f>IF(OR(W534="unavailable",Y534="unavailable"),"不可评价",IF(AND(OR(W534="positive",W534="equivocal"),OR(Y534="positive",Y534="equivocal")),"a",IF(OR(Y534="positive",Y534="equivocal"),"b",IF(OR(W534="positive",W534="equivocal"),"c","d"))))</x:f>
        <x:v>d</x:v>
      </x:c>
      <x:c r="AF534" s="12" t="str">
        <x:f>IF(OR(W534="unavailable",Y534="unavailable"),"不可评价",IF(AND(W534="positive",Y534="positive"),"a",IF(Y534="positive","b",IF(W534="positive","c","d"))))</x:f>
        <x:v>d</x:v>
      </x:c>
    </x:row>
    <x:row r="535" ht="24" customHeight="1">
      <x:c r="A535" s="12" t="str">
        <x:v>4177</x:v>
      </x:c>
      <x:c r="B535" s="12" t="str">
        <x:v>8358</x:v>
      </x:c>
      <x:c r="C535" s="21" t="n">
        <x:v>33018.29657407408</x:v>
      </x:c>
      <x:c r="D535" s="12" t="n">
        <x:v>70</x:v>
      </x:c>
      <x:c r="E535" s="12" t="n">
        <x:v>1</x:v>
      </x:c>
      <x:c r="F535" s="12" t="str">
        <x:v>存在</x:v>
      </x:c>
      <x:c r="G535" s="12" t="n">
        <x:v>1</x:v>
      </x:c>
      <x:c r="H535" s="12" t="str">
        <x:v>{'AMI': 50.0, 'SR': 0.0}</x:v>
      </x:c>
      <x:c r="I535" s="12" t="str">
        <x:v>[('NSR', 100.0), ('NML', 100.0)]</x:v>
      </x:c>
      <x:c r="J535" s="12" t="str">
        <x:v>ptbxl_database.csv；ecg_id=4177；scp_codes</x:v>
      </x:c>
      <x:c r="K535" s="12" t="str">
        <x:v>12sl_statements.csv；ecg_id=4177；statements_ext_snomed</x:v>
      </x:c>
      <x:c r="L535" s="12"/>
      <x:c r="M535" s="12" t="str">
        <x:v>negative</x:v>
      </x:c>
      <x:c r="N535" s="12"/>
      <x:c r="O535" s="12" t="str">
        <x:v>negative</x:v>
      </x:c>
      <x:c r="P535" s="12" t="str">
        <x:f>IF(OR(M535="unavailable",O535="unavailable"),"不可评价",IF(OR(M535="equivocal",O535="equivocal"),"疑似",IF(AND(M535="positive",O535="positive"),"a",IF(O535="positive","b",IF(M535="positive","c","d")))))</x:f>
        <x:v>d</x:v>
      </x:c>
      <x:c r="Q535" s="12"/>
      <x:c r="R535" s="12" t="str">
        <x:v>negative</x:v>
      </x:c>
      <x:c r="S535" s="12"/>
      <x:c r="T535" s="12" t="str">
        <x:v>negative</x:v>
      </x:c>
      <x:c r="U535" s="12" t="str">
        <x:f>IF(OR(R535="unavailable",T535="unavailable"),"不可评价",IF(OR(R535="equivocal",T535="equivocal"),"疑似",IF(AND(R535="positive",T535="positive"),"a",IF(T535="positive","b",IF(R535="positive","c","d")))))</x:f>
        <x:v>d</x:v>
      </x:c>
      <x:c r="V535" s="12"/>
      <x:c r="W535" s="12" t="str">
        <x:v>negative</x:v>
      </x:c>
      <x:c r="X535" s="12"/>
      <x:c r="Y535" s="12" t="str">
        <x:v>negative</x:v>
      </x:c>
      <x:c r="Z535" s="12" t="str">
        <x:f>IF(OR(W535="unavailable",Y535="unavailable"),"不可评价",IF(OR(W535="equivocal",Y535="equivocal"),"疑似",IF(AND(W535="positive",Y535="positive"),"a",IF(Y535="positive","b",IF(W535="positive","c","d")))))</x:f>
        <x:v>d</x:v>
      </x:c>
      <x:c r="AA535" s="12" t="str">
        <x:f>IF(OR(M535="unavailable",O535="unavailable"),"不可评价",IF(AND(OR(M535="positive",M535="equivocal"),OR(O535="positive",O535="equivocal")),"a",IF(OR(O535="positive",O535="equivocal"),"b",IF(OR(M535="positive",M535="equivocal"),"c","d"))))</x:f>
        <x:v>d</x:v>
      </x:c>
      <x:c r="AB535" s="12" t="str">
        <x:f>IF(OR(M535="unavailable",O535="unavailable"),"不可评价",IF(AND(M535="positive",O535="positive"),"a",IF(O535="positive","b",IF(M535="positive","c","d"))))</x:f>
        <x:v>d</x:v>
      </x:c>
      <x:c r="AC535" s="12" t="str">
        <x:f>IF(OR(R535="unavailable",T535="unavailable"),"不可评价",IF(AND(OR(R535="positive",R535="equivocal"),OR(T535="positive",T535="equivocal")),"a",IF(OR(T535="positive",T535="equivocal"),"b",IF(OR(R535="positive",R535="equivocal"),"c","d"))))</x:f>
        <x:v>d</x:v>
      </x:c>
      <x:c r="AD535" s="12" t="str">
        <x:f>IF(OR(R535="unavailable",T535="unavailable"),"不可评价",IF(AND(R535="positive",T535="positive"),"a",IF(T535="positive","b",IF(R535="positive","c","d"))))</x:f>
        <x:v>d</x:v>
      </x:c>
      <x:c r="AE535" s="12" t="str">
        <x:f>IF(OR(W535="unavailable",Y535="unavailable"),"不可评价",IF(AND(OR(W535="positive",W535="equivocal"),OR(Y535="positive",Y535="equivocal")),"a",IF(OR(Y535="positive",Y535="equivocal"),"b",IF(OR(W535="positive",W535="equivocal"),"c","d"))))</x:f>
        <x:v>d</x:v>
      </x:c>
      <x:c r="AF535" s="12" t="str">
        <x:f>IF(OR(W535="unavailable",Y535="unavailable"),"不可评价",IF(AND(W535="positive",Y535="positive"),"a",IF(Y535="positive","b",IF(W535="positive","c","d"))))</x:f>
        <x:v>d</x:v>
      </x:c>
    </x:row>
    <x:row r="536" ht="24" customHeight="1">
      <x:c r="A536" s="12" t="str">
        <x:v>4203</x:v>
      </x:c>
      <x:c r="B536" s="12" t="str">
        <x:v>14374</x:v>
      </x:c>
      <x:c r="C536" s="21" t="n">
        <x:v>33029.59847222222</x:v>
      </x:c>
      <x:c r="D536" s="12" t="n">
        <x:v>86</x:v>
      </x:c>
      <x:c r="E536" s="12" t="n">
        <x:v>0</x:v>
      </x:c>
      <x:c r="F536" s="12" t="str">
        <x:v>未记录</x:v>
      </x:c>
      <x:c r="G536" s="12" t="n">
        <x:v>1</x:v>
      </x:c>
      <x:c r="H536" s="12" t="str">
        <x:v>{'ILMI': 100.0, 'ABQRS': 0.0, 'AFIB': 0.0}</x:v>
      </x:c>
      <x:c r="I536" s="12" t="str">
        <x:v>[('AFIB', 100.0), ('CJP', 100.0), ('LOWV', 100.0), ('IMI;AU', 15.0), ('AB', 100.0)]</x:v>
      </x:c>
      <x:c r="J536" s="12" t="str">
        <x:v>ptbxl_database.csv；ecg_id=4203；scp_codes</x:v>
      </x:c>
      <x:c r="K536" s="12" t="str">
        <x:v>12sl_statements.csv；ecg_id=4203；statements_ext_snomed</x:v>
      </x:c>
      <x:c r="L536" s="12" t="n">
        <x:v>0</x:v>
      </x:c>
      <x:c r="M536" s="12" t="str">
        <x:v>positive</x:v>
      </x:c>
      <x:c r="N536" s="12" t="n">
        <x:v>100</x:v>
      </x:c>
      <x:c r="O536" s="12" t="str">
        <x:v>positive</x:v>
      </x:c>
      <x:c r="P536" s="12" t="str">
        <x:f>IF(OR(M536="unavailable",O536="unavailable"),"不可评价",IF(OR(M536="equivocal",O536="equivocal"),"疑似",IF(AND(M536="positive",O536="positive"),"a",IF(O536="positive","b",IF(M536="positive","c","d")))))</x:f>
        <x:v>a</x:v>
      </x:c>
      <x:c r="Q536" s="12"/>
      <x:c r="R536" s="12" t="str">
        <x:v>negative</x:v>
      </x:c>
      <x:c r="S536" s="12"/>
      <x:c r="T536" s="12" t="str">
        <x:v>negative</x:v>
      </x:c>
      <x:c r="U536" s="12" t="str">
        <x:f>IF(OR(R536="unavailable",T536="unavailable"),"不可评价",IF(OR(R536="equivocal",T536="equivocal"),"疑似",IF(AND(R536="positive",T536="positive"),"a",IF(T536="positive","b",IF(R536="positive","c","d")))))</x:f>
        <x:v>d</x:v>
      </x:c>
      <x:c r="V536" s="12"/>
      <x:c r="W536" s="12" t="str">
        <x:v>negative</x:v>
      </x:c>
      <x:c r="X536" s="12"/>
      <x:c r="Y536" s="12" t="str">
        <x:v>negative</x:v>
      </x:c>
      <x:c r="Z536" s="12" t="str">
        <x:f>IF(OR(W536="unavailable",Y536="unavailable"),"不可评价",IF(OR(W536="equivocal",Y536="equivocal"),"疑似",IF(AND(W536="positive",Y536="positive"),"a",IF(Y536="positive","b",IF(W536="positive","c","d")))))</x:f>
        <x:v>d</x:v>
      </x:c>
      <x:c r="AA536" s="12" t="str">
        <x:f>IF(OR(M536="unavailable",O536="unavailable"),"不可评价",IF(AND(OR(M536="positive",M536="equivocal"),OR(O536="positive",O536="equivocal")),"a",IF(OR(O536="positive",O536="equivocal"),"b",IF(OR(M536="positive",M536="equivocal"),"c","d"))))</x:f>
        <x:v>a</x:v>
      </x:c>
      <x:c r="AB536" s="12" t="str">
        <x:f>IF(OR(M536="unavailable",O536="unavailable"),"不可评价",IF(AND(M536="positive",O536="positive"),"a",IF(O536="positive","b",IF(M536="positive","c","d"))))</x:f>
        <x:v>a</x:v>
      </x:c>
      <x:c r="AC536" s="12" t="str">
        <x:f>IF(OR(R536="unavailable",T536="unavailable"),"不可评价",IF(AND(OR(R536="positive",R536="equivocal"),OR(T536="positive",T536="equivocal")),"a",IF(OR(T536="positive",T536="equivocal"),"b",IF(OR(R536="positive",R536="equivocal"),"c","d"))))</x:f>
        <x:v>d</x:v>
      </x:c>
      <x:c r="AD536" s="12" t="str">
        <x:f>IF(OR(R536="unavailable",T536="unavailable"),"不可评价",IF(AND(R536="positive",T536="positive"),"a",IF(T536="positive","b",IF(R536="positive","c","d"))))</x:f>
        <x:v>d</x:v>
      </x:c>
      <x:c r="AE536" s="12" t="str">
        <x:f>IF(OR(W536="unavailable",Y536="unavailable"),"不可评价",IF(AND(OR(W536="positive",W536="equivocal"),OR(Y536="positive",Y536="equivocal")),"a",IF(OR(Y536="positive",Y536="equivocal"),"b",IF(OR(W536="positive",W536="equivocal"),"c","d"))))</x:f>
        <x:v>d</x:v>
      </x:c>
      <x:c r="AF536" s="12" t="str">
        <x:f>IF(OR(W536="unavailable",Y536="unavailable"),"不可评价",IF(AND(W536="positive",Y536="positive"),"a",IF(Y536="positive","b",IF(W536="positive","c","d"))))</x:f>
        <x:v>d</x:v>
      </x:c>
    </x:row>
    <x:row r="537" ht="24" customHeight="1">
      <x:c r="A537" s="12" t="str">
        <x:v>4220</x:v>
      </x:c>
      <x:c r="B537" s="12" t="str">
        <x:v>16204</x:v>
      </x:c>
      <x:c r="C537" s="21" t="n">
        <x:v>33034.436736111114</x:v>
      </x:c>
      <x:c r="D537" s="12" t="n">
        <x:v>58</x:v>
      </x:c>
      <x:c r="E537" s="12" t="n">
        <x:v>1</x:v>
      </x:c>
      <x:c r="F537" s="12" t="str">
        <x:v>未记录</x:v>
      </x:c>
      <x:c r="G537" s="12" t="n">
        <x:v>1</x:v>
      </x:c>
      <x:c r="H537" s="12" t="str">
        <x:v>{'LAFB': 100.0, 'SR': 0.0}</x:v>
      </x:c>
      <x:c r="I537" s="12" t="str">
        <x:v>[('NSR', 100.0), ('LAD3', 100.0), ('AB', 100.0)]</x:v>
      </x:c>
      <x:c r="J537" s="12" t="str">
        <x:v>ptbxl_database.csv；ecg_id=4220；scp_codes</x:v>
      </x:c>
      <x:c r="K537" s="12" t="str">
        <x:v>12sl_statements.csv；ecg_id=4220；statements_ext_snomed</x:v>
      </x:c>
      <x:c r="L537" s="12"/>
      <x:c r="M537" s="12" t="str">
        <x:v>negative</x:v>
      </x:c>
      <x:c r="N537" s="12"/>
      <x:c r="O537" s="12" t="str">
        <x:v>negative</x:v>
      </x:c>
      <x:c r="P537" s="12" t="str">
        <x:f>IF(OR(M537="unavailable",O537="unavailable"),"不可评价",IF(OR(M537="equivocal",O537="equivocal"),"疑似",IF(AND(M537="positive",O537="positive"),"a",IF(O537="positive","b",IF(M537="positive","c","d")))))</x:f>
        <x:v>d</x:v>
      </x:c>
      <x:c r="Q537" s="12"/>
      <x:c r="R537" s="12" t="str">
        <x:v>negative</x:v>
      </x:c>
      <x:c r="S537" s="12"/>
      <x:c r="T537" s="12" t="str">
        <x:v>negative</x:v>
      </x:c>
      <x:c r="U537" s="12" t="str">
        <x:f>IF(OR(R537="unavailable",T537="unavailable"),"不可评价",IF(OR(R537="equivocal",T537="equivocal"),"疑似",IF(AND(R537="positive",T537="positive"),"a",IF(T537="positive","b",IF(R537="positive","c","d")))))</x:f>
        <x:v>d</x:v>
      </x:c>
      <x:c r="V537" s="12"/>
      <x:c r="W537" s="12" t="str">
        <x:v>negative</x:v>
      </x:c>
      <x:c r="X537" s="12"/>
      <x:c r="Y537" s="12" t="str">
        <x:v>negative</x:v>
      </x:c>
      <x:c r="Z537" s="12" t="str">
        <x:f>IF(OR(W537="unavailable",Y537="unavailable"),"不可评价",IF(OR(W537="equivocal",Y537="equivocal"),"疑似",IF(AND(W537="positive",Y537="positive"),"a",IF(Y537="positive","b",IF(W537="positive","c","d")))))</x:f>
        <x:v>d</x:v>
      </x:c>
      <x:c r="AA537" s="12" t="str">
        <x:f>IF(OR(M537="unavailable",O537="unavailable"),"不可评价",IF(AND(OR(M537="positive",M537="equivocal"),OR(O537="positive",O537="equivocal")),"a",IF(OR(O537="positive",O537="equivocal"),"b",IF(OR(M537="positive",M537="equivocal"),"c","d"))))</x:f>
        <x:v>d</x:v>
      </x:c>
      <x:c r="AB537" s="12" t="str">
        <x:f>IF(OR(M537="unavailable",O537="unavailable"),"不可评价",IF(AND(M537="positive",O537="positive"),"a",IF(O537="positive","b",IF(M537="positive","c","d"))))</x:f>
        <x:v>d</x:v>
      </x:c>
      <x:c r="AC537" s="12" t="str">
        <x:f>IF(OR(R537="unavailable",T537="unavailable"),"不可评价",IF(AND(OR(R537="positive",R537="equivocal"),OR(T537="positive",T537="equivocal")),"a",IF(OR(T537="positive",T537="equivocal"),"b",IF(OR(R537="positive",R537="equivocal"),"c","d"))))</x:f>
        <x:v>d</x:v>
      </x:c>
      <x:c r="AD537" s="12" t="str">
        <x:f>IF(OR(R537="unavailable",T537="unavailable"),"不可评价",IF(AND(R537="positive",T537="positive"),"a",IF(T537="positive","b",IF(R537="positive","c","d"))))</x:f>
        <x:v>d</x:v>
      </x:c>
      <x:c r="AE537" s="12" t="str">
        <x:f>IF(OR(W537="unavailable",Y537="unavailable"),"不可评价",IF(AND(OR(W537="positive",W537="equivocal"),OR(Y537="positive",Y537="equivocal")),"a",IF(OR(Y537="positive",Y537="equivocal"),"b",IF(OR(W537="positive",W537="equivocal"),"c","d"))))</x:f>
        <x:v>d</x:v>
      </x:c>
      <x:c r="AF537" s="12" t="str">
        <x:f>IF(OR(W537="unavailable",Y537="unavailable"),"不可评价",IF(AND(W537="positive",Y537="positive"),"a",IF(Y537="positive","b",IF(W537="positive","c","d"))))</x:f>
        <x:v>d</x:v>
      </x:c>
    </x:row>
    <x:row r="538" ht="24" customHeight="1">
      <x:c r="A538" s="12" t="str">
        <x:v>4224</x:v>
      </x:c>
      <x:c r="B538" s="12" t="str">
        <x:v>9065</x:v>
      </x:c>
      <x:c r="C538" s="21" t="n">
        <x:v>33035.67946759259</x:v>
      </x:c>
      <x:c r="D538" s="12" t="n">
        <x:v>65</x:v>
      </x:c>
      <x:c r="E538" s="12" t="n">
        <x:v>1</x:v>
      </x:c>
      <x:c r="F538" s="12" t="str">
        <x:v>未记录</x:v>
      </x:c>
      <x:c r="G538" s="12" t="n">
        <x:v>1</x:v>
      </x:c>
      <x:c r="H538" s="12" t="str">
        <x:v>{'NORM': 80.0, 'SR': 0.0}</x:v>
      </x:c>
      <x:c r="I538" s="12" t="str">
        <x:v>[('SBRAD', 100.0), ('ABR', 100.0)]</x:v>
      </x:c>
      <x:c r="J538" s="12" t="str">
        <x:v>ptbxl_database.csv；ecg_id=4224；scp_codes</x:v>
      </x:c>
      <x:c r="K538" s="12" t="str">
        <x:v>12sl_statements.csv；ecg_id=4224；statements_ext_snomed</x:v>
      </x:c>
      <x:c r="L538" s="12"/>
      <x:c r="M538" s="12" t="str">
        <x:v>negative</x:v>
      </x:c>
      <x:c r="N538" s="12"/>
      <x:c r="O538" s="12" t="str">
        <x:v>negative</x:v>
      </x:c>
      <x:c r="P538" s="12" t="str">
        <x:f>IF(OR(M538="unavailable",O538="unavailable"),"不可评价",IF(OR(M538="equivocal",O538="equivocal"),"疑似",IF(AND(M538="positive",O538="positive"),"a",IF(O538="positive","b",IF(M538="positive","c","d")))))</x:f>
        <x:v>d</x:v>
      </x:c>
      <x:c r="Q538" s="12"/>
      <x:c r="R538" s="12" t="str">
        <x:v>negative</x:v>
      </x:c>
      <x:c r="S538" s="12"/>
      <x:c r="T538" s="12" t="str">
        <x:v>negative</x:v>
      </x:c>
      <x:c r="U538" s="12" t="str">
        <x:f>IF(OR(R538="unavailable",T538="unavailable"),"不可评价",IF(OR(R538="equivocal",T538="equivocal"),"疑似",IF(AND(R538="positive",T538="positive"),"a",IF(T538="positive","b",IF(R538="positive","c","d")))))</x:f>
        <x:v>d</x:v>
      </x:c>
      <x:c r="V538" s="12"/>
      <x:c r="W538" s="12" t="str">
        <x:v>negative</x:v>
      </x:c>
      <x:c r="X538" s="12"/>
      <x:c r="Y538" s="12" t="str">
        <x:v>negative</x:v>
      </x:c>
      <x:c r="Z538" s="12" t="str">
        <x:f>IF(OR(W538="unavailable",Y538="unavailable"),"不可评价",IF(OR(W538="equivocal",Y538="equivocal"),"疑似",IF(AND(W538="positive",Y538="positive"),"a",IF(Y538="positive","b",IF(W538="positive","c","d")))))</x:f>
        <x:v>d</x:v>
      </x:c>
      <x:c r="AA538" s="12" t="str">
        <x:f>IF(OR(M538="unavailable",O538="unavailable"),"不可评价",IF(AND(OR(M538="positive",M538="equivocal"),OR(O538="positive",O538="equivocal")),"a",IF(OR(O538="positive",O538="equivocal"),"b",IF(OR(M538="positive",M538="equivocal"),"c","d"))))</x:f>
        <x:v>d</x:v>
      </x:c>
      <x:c r="AB538" s="12" t="str">
        <x:f>IF(OR(M538="unavailable",O538="unavailable"),"不可评价",IF(AND(M538="positive",O538="positive"),"a",IF(O538="positive","b",IF(M538="positive","c","d"))))</x:f>
        <x:v>d</x:v>
      </x:c>
      <x:c r="AC538" s="12" t="str">
        <x:f>IF(OR(R538="unavailable",T538="unavailable"),"不可评价",IF(AND(OR(R538="positive",R538="equivocal"),OR(T538="positive",T538="equivocal")),"a",IF(OR(T538="positive",T538="equivocal"),"b",IF(OR(R538="positive",R538="equivocal"),"c","d"))))</x:f>
        <x:v>d</x:v>
      </x:c>
      <x:c r="AD538" s="12" t="str">
        <x:f>IF(OR(R538="unavailable",T538="unavailable"),"不可评价",IF(AND(R538="positive",T538="positive"),"a",IF(T538="positive","b",IF(R538="positive","c","d"))))</x:f>
        <x:v>d</x:v>
      </x:c>
      <x:c r="AE538" s="12" t="str">
        <x:f>IF(OR(W538="unavailable",Y538="unavailable"),"不可评价",IF(AND(OR(W538="positive",W538="equivocal"),OR(Y538="positive",Y538="equivocal")),"a",IF(OR(Y538="positive",Y538="equivocal"),"b",IF(OR(W538="positive",W538="equivocal"),"c","d"))))</x:f>
        <x:v>d</x:v>
      </x:c>
      <x:c r="AF538" s="12" t="str">
        <x:f>IF(OR(W538="unavailable",Y538="unavailable"),"不可评价",IF(AND(W538="positive",Y538="positive"),"a",IF(Y538="positive","b",IF(W538="positive","c","d"))))</x:f>
        <x:v>d</x:v>
      </x:c>
    </x:row>
    <x:row r="539" ht="24" customHeight="1">
      <x:c r="A539" s="12" t="str">
        <x:v>4225</x:v>
      </x:c>
      <x:c r="B539" s="12" t="str">
        <x:v>11939</x:v>
      </x:c>
      <x:c r="C539" s="21" t="n">
        <x:v>33035.77869212963</x:v>
      </x:c>
      <x:c r="D539" s="12" t="n">
        <x:v>55</x:v>
      </x:c>
      <x:c r="E539" s="12" t="n">
        <x:v>0</x:v>
      </x:c>
      <x:c r="F539" s="12" t="str">
        <x:v>未记录</x:v>
      </x:c>
      <x:c r="G539" s="12" t="n">
        <x:v>1</x:v>
      </x:c>
      <x:c r="H539" s="12" t="str">
        <x:v>{'IMI': 80.0, 'ABQRS': 0.0, 'SR': 0.0}</x:v>
      </x:c>
      <x:c r="I539" s="12" t="str">
        <x:v>[('NSR', 100.0), ('IMI;AU', 100.0), ('AB', 100.0)]</x:v>
      </x:c>
      <x:c r="J539" s="12" t="str">
        <x:v>ptbxl_database.csv；ecg_id=4225；scp_codes</x:v>
      </x:c>
      <x:c r="K539" s="12" t="str">
        <x:v>12sl_statements.csv；ecg_id=4225；statements_ext_snomed</x:v>
      </x:c>
      <x:c r="L539" s="12"/>
      <x:c r="M539" s="12" t="str">
        <x:v>negative</x:v>
      </x:c>
      <x:c r="N539" s="12"/>
      <x:c r="O539" s="12" t="str">
        <x:v>negative</x:v>
      </x:c>
      <x:c r="P539" s="12" t="str">
        <x:f>IF(OR(M539="unavailable",O539="unavailable"),"不可评价",IF(OR(M539="equivocal",O539="equivocal"),"疑似",IF(AND(M539="positive",O539="positive"),"a",IF(O539="positive","b",IF(M539="positive","c","d")))))</x:f>
        <x:v>d</x:v>
      </x:c>
      <x:c r="Q539" s="12"/>
      <x:c r="R539" s="12" t="str">
        <x:v>negative</x:v>
      </x:c>
      <x:c r="S539" s="12"/>
      <x:c r="T539" s="12" t="str">
        <x:v>negative</x:v>
      </x:c>
      <x:c r="U539" s="12" t="str">
        <x:f>IF(OR(R539="unavailable",T539="unavailable"),"不可评价",IF(OR(R539="equivocal",T539="equivocal"),"疑似",IF(AND(R539="positive",T539="positive"),"a",IF(T539="positive","b",IF(R539="positive","c","d")))))</x:f>
        <x:v>d</x:v>
      </x:c>
      <x:c r="V539" s="12"/>
      <x:c r="W539" s="12" t="str">
        <x:v>negative</x:v>
      </x:c>
      <x:c r="X539" s="12"/>
      <x:c r="Y539" s="12" t="str">
        <x:v>negative</x:v>
      </x:c>
      <x:c r="Z539" s="12" t="str">
        <x:f>IF(OR(W539="unavailable",Y539="unavailable"),"不可评价",IF(OR(W539="equivocal",Y539="equivocal"),"疑似",IF(AND(W539="positive",Y539="positive"),"a",IF(Y539="positive","b",IF(W539="positive","c","d")))))</x:f>
        <x:v>d</x:v>
      </x:c>
      <x:c r="AA539" s="12" t="str">
        <x:f>IF(OR(M539="unavailable",O539="unavailable"),"不可评价",IF(AND(OR(M539="positive",M539="equivocal"),OR(O539="positive",O539="equivocal")),"a",IF(OR(O539="positive",O539="equivocal"),"b",IF(OR(M539="positive",M539="equivocal"),"c","d"))))</x:f>
        <x:v>d</x:v>
      </x:c>
      <x:c r="AB539" s="12" t="str">
        <x:f>IF(OR(M539="unavailable",O539="unavailable"),"不可评价",IF(AND(M539="positive",O539="positive"),"a",IF(O539="positive","b",IF(M539="positive","c","d"))))</x:f>
        <x:v>d</x:v>
      </x:c>
      <x:c r="AC539" s="12" t="str">
        <x:f>IF(OR(R539="unavailable",T539="unavailable"),"不可评价",IF(AND(OR(R539="positive",R539="equivocal"),OR(T539="positive",T539="equivocal")),"a",IF(OR(T539="positive",T539="equivocal"),"b",IF(OR(R539="positive",R539="equivocal"),"c","d"))))</x:f>
        <x:v>d</x:v>
      </x:c>
      <x:c r="AD539" s="12" t="str">
        <x:f>IF(OR(R539="unavailable",T539="unavailable"),"不可评价",IF(AND(R539="positive",T539="positive"),"a",IF(T539="positive","b",IF(R539="positive","c","d"))))</x:f>
        <x:v>d</x:v>
      </x:c>
      <x:c r="AE539" s="12" t="str">
        <x:f>IF(OR(W539="unavailable",Y539="unavailable"),"不可评价",IF(AND(OR(W539="positive",W539="equivocal"),OR(Y539="positive",Y539="equivocal")),"a",IF(OR(Y539="positive",Y539="equivocal"),"b",IF(OR(W539="positive",W539="equivocal"),"c","d"))))</x:f>
        <x:v>d</x:v>
      </x:c>
      <x:c r="AF539" s="12" t="str">
        <x:f>IF(OR(W539="unavailable",Y539="unavailable"),"不可评价",IF(AND(W539="positive",Y539="positive"),"a",IF(Y539="positive","b",IF(W539="positive","c","d"))))</x:f>
        <x:v>d</x:v>
      </x:c>
    </x:row>
    <x:row r="540" ht="24" customHeight="1">
      <x:c r="A540" s="12" t="str">
        <x:v>4226</x:v>
      </x:c>
      <x:c r="B540" s="12" t="str">
        <x:v>20424</x:v>
      </x:c>
      <x:c r="C540" s="21" t="n">
        <x:v>33036.69483796296</x:v>
      </x:c>
      <x:c r="D540" s="12" t="n">
        <x:v>54</x:v>
      </x:c>
      <x:c r="E540" s="12" t="n">
        <x:v>0</x:v>
      </x:c>
      <x:c r="F540" s="12" t="str">
        <x:v>未记录</x:v>
      </x:c>
      <x:c r="G540" s="12" t="n">
        <x:v>1</x:v>
      </x:c>
      <x:c r="H540" s="12" t="str">
        <x:v>{'LAFB': 100.0, 'SR': 0.0}</x:v>
      </x:c>
      <x:c r="I540" s="12" t="str">
        <x:v>[('NSR', 100.0), ('LAD3', 100.0), ('AB', 100.0)]</x:v>
      </x:c>
      <x:c r="J540" s="12" t="str">
        <x:v>ptbxl_database.csv；ecg_id=4226；scp_codes</x:v>
      </x:c>
      <x:c r="K540" s="12" t="str">
        <x:v>12sl_statements.csv；ecg_id=4226；statements_ext_snomed</x:v>
      </x:c>
      <x:c r="L540" s="12"/>
      <x:c r="M540" s="12" t="str">
        <x:v>negative</x:v>
      </x:c>
      <x:c r="N540" s="12"/>
      <x:c r="O540" s="12" t="str">
        <x:v>negative</x:v>
      </x:c>
      <x:c r="P540" s="12" t="str">
        <x:f>IF(OR(M540="unavailable",O540="unavailable"),"不可评价",IF(OR(M540="equivocal",O540="equivocal"),"疑似",IF(AND(M540="positive",O540="positive"),"a",IF(O540="positive","b",IF(M540="positive","c","d")))))</x:f>
        <x:v>d</x:v>
      </x:c>
      <x:c r="Q540" s="12"/>
      <x:c r="R540" s="12" t="str">
        <x:v>negative</x:v>
      </x:c>
      <x:c r="S540" s="12"/>
      <x:c r="T540" s="12" t="str">
        <x:v>negative</x:v>
      </x:c>
      <x:c r="U540" s="12" t="str">
        <x:f>IF(OR(R540="unavailable",T540="unavailable"),"不可评价",IF(OR(R540="equivocal",T540="equivocal"),"疑似",IF(AND(R540="positive",T540="positive"),"a",IF(T540="positive","b",IF(R540="positive","c","d")))))</x:f>
        <x:v>d</x:v>
      </x:c>
      <x:c r="V540" s="12"/>
      <x:c r="W540" s="12" t="str">
        <x:v>negative</x:v>
      </x:c>
      <x:c r="X540" s="12"/>
      <x:c r="Y540" s="12" t="str">
        <x:v>negative</x:v>
      </x:c>
      <x:c r="Z540" s="12" t="str">
        <x:f>IF(OR(W540="unavailable",Y540="unavailable"),"不可评价",IF(OR(W540="equivocal",Y540="equivocal"),"疑似",IF(AND(W540="positive",Y540="positive"),"a",IF(Y540="positive","b",IF(W540="positive","c","d")))))</x:f>
        <x:v>d</x:v>
      </x:c>
      <x:c r="AA540" s="12" t="str">
        <x:f>IF(OR(M540="unavailable",O540="unavailable"),"不可评价",IF(AND(OR(M540="positive",M540="equivocal"),OR(O540="positive",O540="equivocal")),"a",IF(OR(O540="positive",O540="equivocal"),"b",IF(OR(M540="positive",M540="equivocal"),"c","d"))))</x:f>
        <x:v>d</x:v>
      </x:c>
      <x:c r="AB540" s="12" t="str">
        <x:f>IF(OR(M540="unavailable",O540="unavailable"),"不可评价",IF(AND(M540="positive",O540="positive"),"a",IF(O540="positive","b",IF(M540="positive","c","d"))))</x:f>
        <x:v>d</x:v>
      </x:c>
      <x:c r="AC540" s="12" t="str">
        <x:f>IF(OR(R540="unavailable",T540="unavailable"),"不可评价",IF(AND(OR(R540="positive",R540="equivocal"),OR(T540="positive",T540="equivocal")),"a",IF(OR(T540="positive",T540="equivocal"),"b",IF(OR(R540="positive",R540="equivocal"),"c","d"))))</x:f>
        <x:v>d</x:v>
      </x:c>
      <x:c r="AD540" s="12" t="str">
        <x:f>IF(OR(R540="unavailable",T540="unavailable"),"不可评价",IF(AND(R540="positive",T540="positive"),"a",IF(T540="positive","b",IF(R540="positive","c","d"))))</x:f>
        <x:v>d</x:v>
      </x:c>
      <x:c r="AE540" s="12" t="str">
        <x:f>IF(OR(W540="unavailable",Y540="unavailable"),"不可评价",IF(AND(OR(W540="positive",W540="equivocal"),OR(Y540="positive",Y540="equivocal")),"a",IF(OR(Y540="positive",Y540="equivocal"),"b",IF(OR(W540="positive",W540="equivocal"),"c","d"))))</x:f>
        <x:v>d</x:v>
      </x:c>
      <x:c r="AF540" s="12" t="str">
        <x:f>IF(OR(W540="unavailable",Y540="unavailable"),"不可评价",IF(AND(W540="positive",Y540="positive"),"a",IF(Y540="positive","b",IF(W540="positive","c","d"))))</x:f>
        <x:v>d</x:v>
      </x:c>
    </x:row>
    <x:row r="541" ht="24" customHeight="1">
      <x:c r="A541" s="12" t="str">
        <x:v>4229</x:v>
      </x:c>
      <x:c r="B541" s="12" t="str">
        <x:v>21768</x:v>
      </x:c>
      <x:c r="C541" s="21" t="n">
        <x:v>33037.67921296296</x:v>
      </x:c>
      <x:c r="D541" s="12" t="n">
        <x:v>78</x:v>
      </x:c>
      <x:c r="E541" s="12" t="n">
        <x:v>1</x:v>
      </x:c>
      <x:c r="F541" s="12" t="str">
        <x:v>存在</x:v>
      </x:c>
      <x:c r="G541" s="12" t="n">
        <x:v>1</x:v>
      </x:c>
      <x:c r="H541" s="12" t="str">
        <x:v>{'NORM': 100.0}</x:v>
      </x:c>
      <x:c r="I541" s="12" t="str">
        <x:v>[('SRTH', 100.0), ('PAC', 100.0), ('ABR', 100.0)]</x:v>
      </x:c>
      <x:c r="J541" s="12" t="str">
        <x:v>ptbxl_database.csv；ecg_id=4229；scp_codes</x:v>
      </x:c>
      <x:c r="K541" s="12" t="str">
        <x:v>12sl_statements.csv；ecg_id=4229；statements_ext_snomed</x:v>
      </x:c>
      <x:c r="L541" s="12"/>
      <x:c r="M541" s="12" t="str">
        <x:v>negative</x:v>
      </x:c>
      <x:c r="N541" s="12"/>
      <x:c r="O541" s="12" t="str">
        <x:v>negative</x:v>
      </x:c>
      <x:c r="P541" s="12" t="str">
        <x:f>IF(OR(M541="unavailable",O541="unavailable"),"不可评价",IF(OR(M541="equivocal",O541="equivocal"),"疑似",IF(AND(M541="positive",O541="positive"),"a",IF(O541="positive","b",IF(M541="positive","c","d")))))</x:f>
        <x:v>d</x:v>
      </x:c>
      <x:c r="Q541" s="12"/>
      <x:c r="R541" s="12" t="str">
        <x:v>negative</x:v>
      </x:c>
      <x:c r="S541" s="12"/>
      <x:c r="T541" s="12" t="str">
        <x:v>negative</x:v>
      </x:c>
      <x:c r="U541" s="12" t="str">
        <x:f>IF(OR(R541="unavailable",T541="unavailable"),"不可评价",IF(OR(R541="equivocal",T541="equivocal"),"疑似",IF(AND(R541="positive",T541="positive"),"a",IF(T541="positive","b",IF(R541="positive","c","d")))))</x:f>
        <x:v>d</x:v>
      </x:c>
      <x:c r="V541" s="12"/>
      <x:c r="W541" s="12" t="str">
        <x:v>negative</x:v>
      </x:c>
      <x:c r="X541" s="12"/>
      <x:c r="Y541" s="12" t="str">
        <x:v>negative</x:v>
      </x:c>
      <x:c r="Z541" s="12" t="str">
        <x:f>IF(OR(W541="unavailable",Y541="unavailable"),"不可评价",IF(OR(W541="equivocal",Y541="equivocal"),"疑似",IF(AND(W541="positive",Y541="positive"),"a",IF(Y541="positive","b",IF(W541="positive","c","d")))))</x:f>
        <x:v>d</x:v>
      </x:c>
      <x:c r="AA541" s="12" t="str">
        <x:f>IF(OR(M541="unavailable",O541="unavailable"),"不可评价",IF(AND(OR(M541="positive",M541="equivocal"),OR(O541="positive",O541="equivocal")),"a",IF(OR(O541="positive",O541="equivocal"),"b",IF(OR(M541="positive",M541="equivocal"),"c","d"))))</x:f>
        <x:v>d</x:v>
      </x:c>
      <x:c r="AB541" s="12" t="str">
        <x:f>IF(OR(M541="unavailable",O541="unavailable"),"不可评价",IF(AND(M541="positive",O541="positive"),"a",IF(O541="positive","b",IF(M541="positive","c","d"))))</x:f>
        <x:v>d</x:v>
      </x:c>
      <x:c r="AC541" s="12" t="str">
        <x:f>IF(OR(R541="unavailable",T541="unavailable"),"不可评价",IF(AND(OR(R541="positive",R541="equivocal"),OR(T541="positive",T541="equivocal")),"a",IF(OR(T541="positive",T541="equivocal"),"b",IF(OR(R541="positive",R541="equivocal"),"c","d"))))</x:f>
        <x:v>d</x:v>
      </x:c>
      <x:c r="AD541" s="12" t="str">
        <x:f>IF(OR(R541="unavailable",T541="unavailable"),"不可评价",IF(AND(R541="positive",T541="positive"),"a",IF(T541="positive","b",IF(R541="positive","c","d"))))</x:f>
        <x:v>d</x:v>
      </x:c>
      <x:c r="AE541" s="12" t="str">
        <x:f>IF(OR(W541="unavailable",Y541="unavailable"),"不可评价",IF(AND(OR(W541="positive",W541="equivocal"),OR(Y541="positive",Y541="equivocal")),"a",IF(OR(Y541="positive",Y541="equivocal"),"b",IF(OR(W541="positive",W541="equivocal"),"c","d"))))</x:f>
        <x:v>d</x:v>
      </x:c>
      <x:c r="AF541" s="12" t="str">
        <x:f>IF(OR(W541="unavailable",Y541="unavailable"),"不可评价",IF(AND(W541="positive",Y541="positive"),"a",IF(Y541="positive","b",IF(W541="positive","c","d"))))</x:f>
        <x:v>d</x:v>
      </x:c>
    </x:row>
    <x:row r="542" ht="24" customHeight="1">
      <x:c r="A542" s="12" t="str">
        <x:v>4230</x:v>
      </x:c>
      <x:c r="B542" s="12" t="str">
        <x:v>21768</x:v>
      </x:c>
      <x:c r="C542" s="21" t="n">
        <x:v>33039.36273148148</x:v>
      </x:c>
      <x:c r="D542" s="12" t="n">
        <x:v>78</x:v>
      </x:c>
      <x:c r="E542" s="12" t="n">
        <x:v>1</x:v>
      </x:c>
      <x:c r="F542" s="12" t="str">
        <x:v>存在</x:v>
      </x:c>
      <x:c r="G542" s="12" t="n">
        <x:v>0</x:v>
      </x:c>
      <x:c r="H542" s="12" t="str">
        <x:v>{'NDT': 100.0, 'SR': 0.0}</x:v>
      </x:c>
      <x:c r="I542" s="12" t="str">
        <x:v>[('NSR', 100.0), ('NML', 100.0)]</x:v>
      </x:c>
      <x:c r="J542" s="12" t="str">
        <x:v>ptbxl_database.csv；ecg_id=4230；scp_codes</x:v>
      </x:c>
      <x:c r="K542" s="12" t="str">
        <x:v>12sl_statements.csv；ecg_id=4230；statements_ext_snomed</x:v>
      </x:c>
      <x:c r="L542" s="12"/>
      <x:c r="M542" s="12" t="str">
        <x:v>negative</x:v>
      </x:c>
      <x:c r="N542" s="12"/>
      <x:c r="O542" s="12" t="str">
        <x:v>negative</x:v>
      </x:c>
      <x:c r="P542" s="12" t="str">
        <x:f>IF(OR(M542="unavailable",O542="unavailable"),"不可评价",IF(OR(M542="equivocal",O542="equivocal"),"疑似",IF(AND(M542="positive",O542="positive"),"a",IF(O542="positive","b",IF(M542="positive","c","d")))))</x:f>
        <x:v>d</x:v>
      </x:c>
      <x:c r="Q542" s="12"/>
      <x:c r="R542" s="12" t="str">
        <x:v>negative</x:v>
      </x:c>
      <x:c r="S542" s="12"/>
      <x:c r="T542" s="12" t="str">
        <x:v>negative</x:v>
      </x:c>
      <x:c r="U542" s="12" t="str">
        <x:f>IF(OR(R542="unavailable",T542="unavailable"),"不可评价",IF(OR(R542="equivocal",T542="equivocal"),"疑似",IF(AND(R542="positive",T542="positive"),"a",IF(T542="positive","b",IF(R542="positive","c","d")))))</x:f>
        <x:v>d</x:v>
      </x:c>
      <x:c r="V542" s="12"/>
      <x:c r="W542" s="12" t="str">
        <x:v>negative</x:v>
      </x:c>
      <x:c r="X542" s="12"/>
      <x:c r="Y542" s="12" t="str">
        <x:v>negative</x:v>
      </x:c>
      <x:c r="Z542" s="12" t="str">
        <x:f>IF(OR(W542="unavailable",Y542="unavailable"),"不可评价",IF(OR(W542="equivocal",Y542="equivocal"),"疑似",IF(AND(W542="positive",Y542="positive"),"a",IF(Y542="positive","b",IF(W542="positive","c","d")))))</x:f>
        <x:v>d</x:v>
      </x:c>
      <x:c r="AA542" s="12" t="str">
        <x:f>IF(OR(M542="unavailable",O542="unavailable"),"不可评价",IF(AND(OR(M542="positive",M542="equivocal"),OR(O542="positive",O542="equivocal")),"a",IF(OR(O542="positive",O542="equivocal"),"b",IF(OR(M542="positive",M542="equivocal"),"c","d"))))</x:f>
        <x:v>d</x:v>
      </x:c>
      <x:c r="AB542" s="12" t="str">
        <x:f>IF(OR(M542="unavailable",O542="unavailable"),"不可评价",IF(AND(M542="positive",O542="positive"),"a",IF(O542="positive","b",IF(M542="positive","c","d"))))</x:f>
        <x:v>d</x:v>
      </x:c>
      <x:c r="AC542" s="12" t="str">
        <x:f>IF(OR(R542="unavailable",T542="unavailable"),"不可评价",IF(AND(OR(R542="positive",R542="equivocal"),OR(T542="positive",T542="equivocal")),"a",IF(OR(T542="positive",T542="equivocal"),"b",IF(OR(R542="positive",R542="equivocal"),"c","d"))))</x:f>
        <x:v>d</x:v>
      </x:c>
      <x:c r="AD542" s="12" t="str">
        <x:f>IF(OR(R542="unavailable",T542="unavailable"),"不可评价",IF(AND(R542="positive",T542="positive"),"a",IF(T542="positive","b",IF(R542="positive","c","d"))))</x:f>
        <x:v>d</x:v>
      </x:c>
      <x:c r="AE542" s="12" t="str">
        <x:f>IF(OR(W542="unavailable",Y542="unavailable"),"不可评价",IF(AND(OR(W542="positive",W542="equivocal"),OR(Y542="positive",Y542="equivocal")),"a",IF(OR(Y542="positive",Y542="equivocal"),"b",IF(OR(W542="positive",W542="equivocal"),"c","d"))))</x:f>
        <x:v>d</x:v>
      </x:c>
      <x:c r="AF542" s="12" t="str">
        <x:f>IF(OR(W542="unavailable",Y542="unavailable"),"不可评价",IF(AND(W542="positive",Y542="positive"),"a",IF(Y542="positive","b",IF(W542="positive","c","d"))))</x:f>
        <x:v>d</x:v>
      </x:c>
    </x:row>
    <x:row r="543" ht="24" customHeight="1">
      <x:c r="A543" s="12" t="str">
        <x:v>4235</x:v>
      </x:c>
      <x:c r="B543" s="12" t="str">
        <x:v>10030</x:v>
      </x:c>
      <x:c r="C543" s="21" t="n">
        <x:v>33040.50540509259</x:v>
      </x:c>
      <x:c r="D543" s="12" t="n">
        <x:v>23</x:v>
      </x:c>
      <x:c r="E543" s="12" t="n">
        <x:v>1</x:v>
      </x:c>
      <x:c r="F543" s="12" t="str">
        <x:v>未记录</x:v>
      </x:c>
      <x:c r="G543" s="12" t="n">
        <x:v>1</x:v>
      </x:c>
      <x:c r="H543" s="12" t="str">
        <x:v>{'NORM': 100.0, 'SBRAD': 0.0}</x:v>
      </x:c>
      <x:c r="I543" s="12" t="str">
        <x:v>[('SBRAD', 100.0), ('VESC', 100.0), ('ABR', 100.0)]</x:v>
      </x:c>
      <x:c r="J543" s="12" t="str">
        <x:v>ptbxl_database.csv；ecg_id=4235；scp_codes</x:v>
      </x:c>
      <x:c r="K543" s="12" t="str">
        <x:v>12sl_statements.csv；ecg_id=4235；statements_ext_snomed</x:v>
      </x:c>
      <x:c r="L543" s="12"/>
      <x:c r="M543" s="12" t="str">
        <x:v>negative</x:v>
      </x:c>
      <x:c r="N543" s="12"/>
      <x:c r="O543" s="12" t="str">
        <x:v>negative</x:v>
      </x:c>
      <x:c r="P543" s="12" t="str">
        <x:f>IF(OR(M543="unavailable",O543="unavailable"),"不可评价",IF(OR(M543="equivocal",O543="equivocal"),"疑似",IF(AND(M543="positive",O543="positive"),"a",IF(O543="positive","b",IF(M543="positive","c","d")))))</x:f>
        <x:v>d</x:v>
      </x:c>
      <x:c r="Q543" s="12"/>
      <x:c r="R543" s="12" t="str">
        <x:v>negative</x:v>
      </x:c>
      <x:c r="S543" s="12"/>
      <x:c r="T543" s="12" t="str">
        <x:v>negative</x:v>
      </x:c>
      <x:c r="U543" s="12" t="str">
        <x:f>IF(OR(R543="unavailable",T543="unavailable"),"不可评价",IF(OR(R543="equivocal",T543="equivocal"),"疑似",IF(AND(R543="positive",T543="positive"),"a",IF(T543="positive","b",IF(R543="positive","c","d")))))</x:f>
        <x:v>d</x:v>
      </x:c>
      <x:c r="V543" s="12"/>
      <x:c r="W543" s="12" t="str">
        <x:v>negative</x:v>
      </x:c>
      <x:c r="X543" s="12"/>
      <x:c r="Y543" s="12" t="str">
        <x:v>negative</x:v>
      </x:c>
      <x:c r="Z543" s="12" t="str">
        <x:f>IF(OR(W543="unavailable",Y543="unavailable"),"不可评价",IF(OR(W543="equivocal",Y543="equivocal"),"疑似",IF(AND(W543="positive",Y543="positive"),"a",IF(Y543="positive","b",IF(W543="positive","c","d")))))</x:f>
        <x:v>d</x:v>
      </x:c>
      <x:c r="AA543" s="12" t="str">
        <x:f>IF(OR(M543="unavailable",O543="unavailable"),"不可评价",IF(AND(OR(M543="positive",M543="equivocal"),OR(O543="positive",O543="equivocal")),"a",IF(OR(O543="positive",O543="equivocal"),"b",IF(OR(M543="positive",M543="equivocal"),"c","d"))))</x:f>
        <x:v>d</x:v>
      </x:c>
      <x:c r="AB543" s="12" t="str">
        <x:f>IF(OR(M543="unavailable",O543="unavailable"),"不可评价",IF(AND(M543="positive",O543="positive"),"a",IF(O543="positive","b",IF(M543="positive","c","d"))))</x:f>
        <x:v>d</x:v>
      </x:c>
      <x:c r="AC543" s="12" t="str">
        <x:f>IF(OR(R543="unavailable",T543="unavailable"),"不可评价",IF(AND(OR(R543="positive",R543="equivocal"),OR(T543="positive",T543="equivocal")),"a",IF(OR(T543="positive",T543="equivocal"),"b",IF(OR(R543="positive",R543="equivocal"),"c","d"))))</x:f>
        <x:v>d</x:v>
      </x:c>
      <x:c r="AD543" s="12" t="str">
        <x:f>IF(OR(R543="unavailable",T543="unavailable"),"不可评价",IF(AND(R543="positive",T543="positive"),"a",IF(T543="positive","b",IF(R543="positive","c","d"))))</x:f>
        <x:v>d</x:v>
      </x:c>
      <x:c r="AE543" s="12" t="str">
        <x:f>IF(OR(W543="unavailable",Y543="unavailable"),"不可评价",IF(AND(OR(W543="positive",W543="equivocal"),OR(Y543="positive",Y543="equivocal")),"a",IF(OR(Y543="positive",Y543="equivocal"),"b",IF(OR(W543="positive",W543="equivocal"),"c","d"))))</x:f>
        <x:v>d</x:v>
      </x:c>
      <x:c r="AF543" s="12" t="str">
        <x:f>IF(OR(W543="unavailable",Y543="unavailable"),"不可评价",IF(AND(W543="positive",Y543="positive"),"a",IF(Y543="positive","b",IF(W543="positive","c","d"))))</x:f>
        <x:v>d</x:v>
      </x:c>
    </x:row>
    <x:row r="544" ht="24" customHeight="1">
      <x:c r="A544" s="12" t="str">
        <x:v>4238</x:v>
      </x:c>
      <x:c r="B544" s="12" t="str">
        <x:v>10949</x:v>
      </x:c>
      <x:c r="C544" s="21" t="n">
        <x:v>33040.702314814815</x:v>
      </x:c>
      <x:c r="D544" s="12" t="n">
        <x:v>55</x:v>
      </x:c>
      <x:c r="E544" s="12" t="n">
        <x:v>0</x:v>
      </x:c>
      <x:c r="F544" s="12" t="str">
        <x:v>未记录</x:v>
      </x:c>
      <x:c r="G544" s="12" t="n">
        <x:v>1</x:v>
      </x:c>
      <x:c r="H544" s="12" t="str">
        <x:v>{'IRBBB': 100.0, 'SBRAD': 0.0}</x:v>
      </x:c>
      <x:c r="I544" s="12" t="str">
        <x:v>[('SBRAD', 100.0), ('RBBB', 100.0), ('IMI;AU', 50.0), ('AB', 100.0)]</x:v>
      </x:c>
      <x:c r="J544" s="12" t="str">
        <x:v>ptbxl_database.csv；ecg_id=4238；scp_codes</x:v>
      </x:c>
      <x:c r="K544" s="12" t="str">
        <x:v>12sl_statements.csv；ecg_id=4238；statements_ext_snomed</x:v>
      </x:c>
      <x:c r="L544" s="12"/>
      <x:c r="M544" s="12" t="str">
        <x:v>negative</x:v>
      </x:c>
      <x:c r="N544" s="12"/>
      <x:c r="O544" s="12" t="str">
        <x:v>negative</x:v>
      </x:c>
      <x:c r="P544" s="12" t="str">
        <x:f>IF(OR(M544="unavailable",O544="unavailable"),"不可评价",IF(OR(M544="equivocal",O544="equivocal"),"疑似",IF(AND(M544="positive",O544="positive"),"a",IF(O544="positive","b",IF(M544="positive","c","d")))))</x:f>
        <x:v>d</x:v>
      </x:c>
      <x:c r="Q544" s="12"/>
      <x:c r="R544" s="12" t="str">
        <x:v>negative</x:v>
      </x:c>
      <x:c r="S544" s="12"/>
      <x:c r="T544" s="12" t="str">
        <x:v>negative</x:v>
      </x:c>
      <x:c r="U544" s="12" t="str">
        <x:f>IF(OR(R544="unavailable",T544="unavailable"),"不可评价",IF(OR(R544="equivocal",T544="equivocal"),"疑似",IF(AND(R544="positive",T544="positive"),"a",IF(T544="positive","b",IF(R544="positive","c","d")))))</x:f>
        <x:v>d</x:v>
      </x:c>
      <x:c r="V544" s="12"/>
      <x:c r="W544" s="12" t="str">
        <x:v>negative</x:v>
      </x:c>
      <x:c r="X544" s="12" t="n">
        <x:v>100</x:v>
      </x:c>
      <x:c r="Y544" s="12" t="str">
        <x:v>positive</x:v>
      </x:c>
      <x:c r="Z544" s="12" t="str">
        <x:f>IF(OR(W544="unavailable",Y544="unavailable"),"不可评价",IF(OR(W544="equivocal",Y544="equivocal"),"疑似",IF(AND(W544="positive",Y544="positive"),"a",IF(Y544="positive","b",IF(W544="positive","c","d")))))</x:f>
        <x:v>b</x:v>
      </x:c>
      <x:c r="AA544" s="12" t="str">
        <x:f>IF(OR(M544="unavailable",O544="unavailable"),"不可评价",IF(AND(OR(M544="positive",M544="equivocal"),OR(O544="positive",O544="equivocal")),"a",IF(OR(O544="positive",O544="equivocal"),"b",IF(OR(M544="positive",M544="equivocal"),"c","d"))))</x:f>
        <x:v>d</x:v>
      </x:c>
      <x:c r="AB544" s="12" t="str">
        <x:f>IF(OR(M544="unavailable",O544="unavailable"),"不可评价",IF(AND(M544="positive",O544="positive"),"a",IF(O544="positive","b",IF(M544="positive","c","d"))))</x:f>
        <x:v>d</x:v>
      </x:c>
      <x:c r="AC544" s="12" t="str">
        <x:f>IF(OR(R544="unavailable",T544="unavailable"),"不可评价",IF(AND(OR(R544="positive",R544="equivocal"),OR(T544="positive",T544="equivocal")),"a",IF(OR(T544="positive",T544="equivocal"),"b",IF(OR(R544="positive",R544="equivocal"),"c","d"))))</x:f>
        <x:v>d</x:v>
      </x:c>
      <x:c r="AD544" s="12" t="str">
        <x:f>IF(OR(R544="unavailable",T544="unavailable"),"不可评价",IF(AND(R544="positive",T544="positive"),"a",IF(T544="positive","b",IF(R544="positive","c","d"))))</x:f>
        <x:v>d</x:v>
      </x:c>
      <x:c r="AE544" s="12" t="str">
        <x:f>IF(OR(W544="unavailable",Y544="unavailable"),"不可评价",IF(AND(OR(W544="positive",W544="equivocal"),OR(Y544="positive",Y544="equivocal")),"a",IF(OR(Y544="positive",Y544="equivocal"),"b",IF(OR(W544="positive",W544="equivocal"),"c","d"))))</x:f>
        <x:v>b</x:v>
      </x:c>
      <x:c r="AF544" s="12" t="str">
        <x:f>IF(OR(W544="unavailable",Y544="unavailable"),"不可评价",IF(AND(W544="positive",Y544="positive"),"a",IF(Y544="positive","b",IF(W544="positive","c","d"))))</x:f>
        <x:v>b</x:v>
      </x:c>
    </x:row>
    <x:row r="545" ht="24" customHeight="1">
      <x:c r="A545" s="12" t="str">
        <x:v>4239</x:v>
      </x:c>
      <x:c r="B545" s="12" t="str">
        <x:v>9886</x:v>
      </x:c>
      <x:c r="C545" s="21" t="n">
        <x:v>33041.30197916667</x:v>
      </x:c>
      <x:c r="D545" s="12" t="n">
        <x:v>43</x:v>
      </x:c>
      <x:c r="E545" s="12" t="n">
        <x:v>0</x:v>
      </x:c>
      <x:c r="F545" s="12" t="str">
        <x:v>未记录</x:v>
      </x:c>
      <x:c r="G545" s="12" t="n">
        <x:v>1</x:v>
      </x:c>
      <x:c r="H545" s="12" t="str">
        <x:v>{'NORM': 80.0, 'SR': 0.0}</x:v>
      </x:c>
      <x:c r="I545" s="12" t="str">
        <x:v>[('NSR', 100.0), ('NML', 100.0)]</x:v>
      </x:c>
      <x:c r="J545" s="12" t="str">
        <x:v>ptbxl_database.csv；ecg_id=4239；scp_codes</x:v>
      </x:c>
      <x:c r="K545" s="12" t="str">
        <x:v>12sl_statements.csv；ecg_id=4239；statements_ext_snomed</x:v>
      </x:c>
      <x:c r="L545" s="12"/>
      <x:c r="M545" s="12" t="str">
        <x:v>negative</x:v>
      </x:c>
      <x:c r="N545" s="12"/>
      <x:c r="O545" s="12" t="str">
        <x:v>negative</x:v>
      </x:c>
      <x:c r="P545" s="12" t="str">
        <x:f>IF(OR(M545="unavailable",O545="unavailable"),"不可评价",IF(OR(M545="equivocal",O545="equivocal"),"疑似",IF(AND(M545="positive",O545="positive"),"a",IF(O545="positive","b",IF(M545="positive","c","d")))))</x:f>
        <x:v>d</x:v>
      </x:c>
      <x:c r="Q545" s="12"/>
      <x:c r="R545" s="12" t="str">
        <x:v>negative</x:v>
      </x:c>
      <x:c r="S545" s="12"/>
      <x:c r="T545" s="12" t="str">
        <x:v>negative</x:v>
      </x:c>
      <x:c r="U545" s="12" t="str">
        <x:f>IF(OR(R545="unavailable",T545="unavailable"),"不可评价",IF(OR(R545="equivocal",T545="equivocal"),"疑似",IF(AND(R545="positive",T545="positive"),"a",IF(T545="positive","b",IF(R545="positive","c","d")))))</x:f>
        <x:v>d</x:v>
      </x:c>
      <x:c r="V545" s="12"/>
      <x:c r="W545" s="12" t="str">
        <x:v>negative</x:v>
      </x:c>
      <x:c r="X545" s="12"/>
      <x:c r="Y545" s="12" t="str">
        <x:v>negative</x:v>
      </x:c>
      <x:c r="Z545" s="12" t="str">
        <x:f>IF(OR(W545="unavailable",Y545="unavailable"),"不可评价",IF(OR(W545="equivocal",Y545="equivocal"),"疑似",IF(AND(W545="positive",Y545="positive"),"a",IF(Y545="positive","b",IF(W545="positive","c","d")))))</x:f>
        <x:v>d</x:v>
      </x:c>
      <x:c r="AA545" s="12" t="str">
        <x:f>IF(OR(M545="unavailable",O545="unavailable"),"不可评价",IF(AND(OR(M545="positive",M545="equivocal"),OR(O545="positive",O545="equivocal")),"a",IF(OR(O545="positive",O545="equivocal"),"b",IF(OR(M545="positive",M545="equivocal"),"c","d"))))</x:f>
        <x:v>d</x:v>
      </x:c>
      <x:c r="AB545" s="12" t="str">
        <x:f>IF(OR(M545="unavailable",O545="unavailable"),"不可评价",IF(AND(M545="positive",O545="positive"),"a",IF(O545="positive","b",IF(M545="positive","c","d"))))</x:f>
        <x:v>d</x:v>
      </x:c>
      <x:c r="AC545" s="12" t="str">
        <x:f>IF(OR(R545="unavailable",T545="unavailable"),"不可评价",IF(AND(OR(R545="positive",R545="equivocal"),OR(T545="positive",T545="equivocal")),"a",IF(OR(T545="positive",T545="equivocal"),"b",IF(OR(R545="positive",R545="equivocal"),"c","d"))))</x:f>
        <x:v>d</x:v>
      </x:c>
      <x:c r="AD545" s="12" t="str">
        <x:f>IF(OR(R545="unavailable",T545="unavailable"),"不可评价",IF(AND(R545="positive",T545="positive"),"a",IF(T545="positive","b",IF(R545="positive","c","d"))))</x:f>
        <x:v>d</x:v>
      </x:c>
      <x:c r="AE545" s="12" t="str">
        <x:f>IF(OR(W545="unavailable",Y545="unavailable"),"不可评价",IF(AND(OR(W545="positive",W545="equivocal"),OR(Y545="positive",Y545="equivocal")),"a",IF(OR(Y545="positive",Y545="equivocal"),"b",IF(OR(W545="positive",W545="equivocal"),"c","d"))))</x:f>
        <x:v>d</x:v>
      </x:c>
      <x:c r="AF545" s="12" t="str">
        <x:f>IF(OR(W545="unavailable",Y545="unavailable"),"不可评价",IF(AND(W545="positive",Y545="positive"),"a",IF(Y545="positive","b",IF(W545="positive","c","d"))))</x:f>
        <x:v>d</x:v>
      </x:c>
    </x:row>
    <x:row r="546" ht="24" customHeight="1">
      <x:c r="A546" s="12" t="str">
        <x:v>4245</x:v>
      </x:c>
      <x:c r="B546" s="12" t="str">
        <x:v>17491</x:v>
      </x:c>
      <x:c r="C546" s="21" t="n">
        <x:v>33042.703784722224</x:v>
      </x:c>
      <x:c r="D546" s="12" t="n">
        <x:v>63</x:v>
      </x:c>
      <x:c r="E546" s="12" t="n">
        <x:v>0</x:v>
      </x:c>
      <x:c r="F546" s="12" t="str">
        <x:v>未记录</x:v>
      </x:c>
      <x:c r="G546" s="12" t="n">
        <x:v>1</x:v>
      </x:c>
      <x:c r="H546" s="12" t="str">
        <x:v>{'NORM': 50.0, 'IRBBB': 50.0, 'SBRAD': 0.0}</x:v>
      </x:c>
      <x:c r="I546" s="12" t="str">
        <x:v>[('SBRAD', 100.0), ('ABR', 100.0)]</x:v>
      </x:c>
      <x:c r="J546" s="12" t="str">
        <x:v>ptbxl_database.csv；ecg_id=4245；scp_codes</x:v>
      </x:c>
      <x:c r="K546" s="12" t="str">
        <x:v>12sl_statements.csv；ecg_id=4245；statements_ext_snomed</x:v>
      </x:c>
      <x:c r="L546" s="12"/>
      <x:c r="M546" s="12" t="str">
        <x:v>negative</x:v>
      </x:c>
      <x:c r="N546" s="12"/>
      <x:c r="O546" s="12" t="str">
        <x:v>negative</x:v>
      </x:c>
      <x:c r="P546" s="12" t="str">
        <x:f>IF(OR(M546="unavailable",O546="unavailable"),"不可评价",IF(OR(M546="equivocal",O546="equivocal"),"疑似",IF(AND(M546="positive",O546="positive"),"a",IF(O546="positive","b",IF(M546="positive","c","d")))))</x:f>
        <x:v>d</x:v>
      </x:c>
      <x:c r="Q546" s="12"/>
      <x:c r="R546" s="12" t="str">
        <x:v>negative</x:v>
      </x:c>
      <x:c r="S546" s="12"/>
      <x:c r="T546" s="12" t="str">
        <x:v>negative</x:v>
      </x:c>
      <x:c r="U546" s="12" t="str">
        <x:f>IF(OR(R546="unavailable",T546="unavailable"),"不可评价",IF(OR(R546="equivocal",T546="equivocal"),"疑似",IF(AND(R546="positive",T546="positive"),"a",IF(T546="positive","b",IF(R546="positive","c","d")))))</x:f>
        <x:v>d</x:v>
      </x:c>
      <x:c r="V546" s="12"/>
      <x:c r="W546" s="12" t="str">
        <x:v>negative</x:v>
      </x:c>
      <x:c r="X546" s="12"/>
      <x:c r="Y546" s="12" t="str">
        <x:v>negative</x:v>
      </x:c>
      <x:c r="Z546" s="12" t="str">
        <x:f>IF(OR(W546="unavailable",Y546="unavailable"),"不可评价",IF(OR(W546="equivocal",Y546="equivocal"),"疑似",IF(AND(W546="positive",Y546="positive"),"a",IF(Y546="positive","b",IF(W546="positive","c","d")))))</x:f>
        <x:v>d</x:v>
      </x:c>
      <x:c r="AA546" s="12" t="str">
        <x:f>IF(OR(M546="unavailable",O546="unavailable"),"不可评价",IF(AND(OR(M546="positive",M546="equivocal"),OR(O546="positive",O546="equivocal")),"a",IF(OR(O546="positive",O546="equivocal"),"b",IF(OR(M546="positive",M546="equivocal"),"c","d"))))</x:f>
        <x:v>d</x:v>
      </x:c>
      <x:c r="AB546" s="12" t="str">
        <x:f>IF(OR(M546="unavailable",O546="unavailable"),"不可评价",IF(AND(M546="positive",O546="positive"),"a",IF(O546="positive","b",IF(M546="positive","c","d"))))</x:f>
        <x:v>d</x:v>
      </x:c>
      <x:c r="AC546" s="12" t="str">
        <x:f>IF(OR(R546="unavailable",T546="unavailable"),"不可评价",IF(AND(OR(R546="positive",R546="equivocal"),OR(T546="positive",T546="equivocal")),"a",IF(OR(T546="positive",T546="equivocal"),"b",IF(OR(R546="positive",R546="equivocal"),"c","d"))))</x:f>
        <x:v>d</x:v>
      </x:c>
      <x:c r="AD546" s="12" t="str">
        <x:f>IF(OR(R546="unavailable",T546="unavailable"),"不可评价",IF(AND(R546="positive",T546="positive"),"a",IF(T546="positive","b",IF(R546="positive","c","d"))))</x:f>
        <x:v>d</x:v>
      </x:c>
      <x:c r="AE546" s="12" t="str">
        <x:f>IF(OR(W546="unavailable",Y546="unavailable"),"不可评价",IF(AND(OR(W546="positive",W546="equivocal"),OR(Y546="positive",Y546="equivocal")),"a",IF(OR(Y546="positive",Y546="equivocal"),"b",IF(OR(W546="positive",W546="equivocal"),"c","d"))))</x:f>
        <x:v>d</x:v>
      </x:c>
      <x:c r="AF546" s="12" t="str">
        <x:f>IF(OR(W546="unavailable",Y546="unavailable"),"不可评价",IF(AND(W546="positive",Y546="positive"),"a",IF(Y546="positive","b",IF(W546="positive","c","d"))))</x:f>
        <x:v>d</x:v>
      </x:c>
    </x:row>
    <x:row r="547" ht="39" customHeight="1">
      <x:c r="A547" s="12" t="str">
        <x:v>4254</x:v>
      </x:c>
      <x:c r="B547" s="12" t="str">
        <x:v>20030</x:v>
      </x:c>
      <x:c r="C547" s="21" t="n">
        <x:v>33045.69934027778</x:v>
      </x:c>
      <x:c r="D547" s="12" t="n">
        <x:v>70</x:v>
      </x:c>
      <x:c r="E547" s="12" t="n">
        <x:v>0</x:v>
      </x:c>
      <x:c r="F547" s="12" t="str">
        <x:v>未记录</x:v>
      </x:c>
      <x:c r="G547" s="12" t="n">
        <x:v>1</x:v>
      </x:c>
      <x:c r="H547" s="12" t="str">
        <x:v>{'IRBBB': 100.0, 'SR': 0.0}</x:v>
      </x:c>
      <x:c r="I547" s="12" t="str">
        <x:v>[('NSR', 100.0), ('RBBB', 100.0), ('AFB', 100.0), ('BIFB', 100.0), ('IMI;AU', 15.0), ('MAFB', 100.0), ('AB', 100.0)]</x:v>
      </x:c>
      <x:c r="J547" s="12" t="str">
        <x:v>ptbxl_database.csv；ecg_id=4254；scp_codes</x:v>
      </x:c>
      <x:c r="K547" s="12" t="str">
        <x:v>12sl_statements.csv；ecg_id=4254；statements_ext_snomed</x:v>
      </x:c>
      <x:c r="L547" s="12"/>
      <x:c r="M547" s="12" t="str">
        <x:v>negative</x:v>
      </x:c>
      <x:c r="N547" s="12"/>
      <x:c r="O547" s="12" t="str">
        <x:v>negative</x:v>
      </x:c>
      <x:c r="P547" s="12" t="str">
        <x:f>IF(OR(M547="unavailable",O547="unavailable"),"不可评价",IF(OR(M547="equivocal",O547="equivocal"),"疑似",IF(AND(M547="positive",O547="positive"),"a",IF(O547="positive","b",IF(M547="positive","c","d")))))</x:f>
        <x:v>d</x:v>
      </x:c>
      <x:c r="Q547" s="12"/>
      <x:c r="R547" s="12" t="str">
        <x:v>negative</x:v>
      </x:c>
      <x:c r="S547" s="12"/>
      <x:c r="T547" s="12" t="str">
        <x:v>negative</x:v>
      </x:c>
      <x:c r="U547" s="12" t="str">
        <x:f>IF(OR(R547="unavailable",T547="unavailable"),"不可评价",IF(OR(R547="equivocal",T547="equivocal"),"疑似",IF(AND(R547="positive",T547="positive"),"a",IF(T547="positive","b",IF(R547="positive","c","d")))))</x:f>
        <x:v>d</x:v>
      </x:c>
      <x:c r="V547" s="12"/>
      <x:c r="W547" s="12" t="str">
        <x:v>negative</x:v>
      </x:c>
      <x:c r="X547" s="12" t="n">
        <x:v>100</x:v>
      </x:c>
      <x:c r="Y547" s="12" t="str">
        <x:v>positive</x:v>
      </x:c>
      <x:c r="Z547" s="12" t="str">
        <x:f>IF(OR(W547="unavailable",Y547="unavailable"),"不可评价",IF(OR(W547="equivocal",Y547="equivocal"),"疑似",IF(AND(W547="positive",Y547="positive"),"a",IF(Y547="positive","b",IF(W547="positive","c","d")))))</x:f>
        <x:v>b</x:v>
      </x:c>
      <x:c r="AA547" s="12" t="str">
        <x:f>IF(OR(M547="unavailable",O547="unavailable"),"不可评价",IF(AND(OR(M547="positive",M547="equivocal"),OR(O547="positive",O547="equivocal")),"a",IF(OR(O547="positive",O547="equivocal"),"b",IF(OR(M547="positive",M547="equivocal"),"c","d"))))</x:f>
        <x:v>d</x:v>
      </x:c>
      <x:c r="AB547" s="12" t="str">
        <x:f>IF(OR(M547="unavailable",O547="unavailable"),"不可评价",IF(AND(M547="positive",O547="positive"),"a",IF(O547="positive","b",IF(M547="positive","c","d"))))</x:f>
        <x:v>d</x:v>
      </x:c>
      <x:c r="AC547" s="12" t="str">
        <x:f>IF(OR(R547="unavailable",T547="unavailable"),"不可评价",IF(AND(OR(R547="positive",R547="equivocal"),OR(T547="positive",T547="equivocal")),"a",IF(OR(T547="positive",T547="equivocal"),"b",IF(OR(R547="positive",R547="equivocal"),"c","d"))))</x:f>
        <x:v>d</x:v>
      </x:c>
      <x:c r="AD547" s="12" t="str">
        <x:f>IF(OR(R547="unavailable",T547="unavailable"),"不可评价",IF(AND(R547="positive",T547="positive"),"a",IF(T547="positive","b",IF(R547="positive","c","d"))))</x:f>
        <x:v>d</x:v>
      </x:c>
      <x:c r="AE547" s="12" t="str">
        <x:f>IF(OR(W547="unavailable",Y547="unavailable"),"不可评价",IF(AND(OR(W547="positive",W547="equivocal"),OR(Y547="positive",Y547="equivocal")),"a",IF(OR(Y547="positive",Y547="equivocal"),"b",IF(OR(W547="positive",W547="equivocal"),"c","d"))))</x:f>
        <x:v>b</x:v>
      </x:c>
      <x:c r="AF547" s="12" t="str">
        <x:f>IF(OR(W547="unavailable",Y547="unavailable"),"不可评价",IF(AND(W547="positive",Y547="positive"),"a",IF(Y547="positive","b",IF(W547="positive","c","d"))))</x:f>
        <x:v>b</x:v>
      </x:c>
    </x:row>
    <x:row r="548" ht="24" customHeight="1">
      <x:c r="A548" s="12" t="str">
        <x:v>4257</x:v>
      </x:c>
      <x:c r="B548" s="12" t="str">
        <x:v>10071</x:v>
      </x:c>
      <x:c r="C548" s="21" t="n">
        <x:v>33045.826053240744</x:v>
      </x:c>
      <x:c r="D548" s="12" t="n">
        <x:v>67</x:v>
      </x:c>
      <x:c r="E548" s="12" t="n">
        <x:v>0</x:v>
      </x:c>
      <x:c r="F548" s="12" t="str">
        <x:v>未记录</x:v>
      </x:c>
      <x:c r="G548" s="12" t="n">
        <x:v>1</x:v>
      </x:c>
      <x:c r="H548" s="12" t="str">
        <x:v>{'IMI': 35.0, 'ABQRS': 0.0, 'SARRH': 0.0}</x:v>
      </x:c>
      <x:c r="I548" s="12" t="str">
        <x:v>[('SRTH', 100.0), ('PAC', 100.0), ('LAD3', 100.0), ('LOWV', 100.0), ('AB', 100.0)]</x:v>
      </x:c>
      <x:c r="J548" s="12" t="str">
        <x:v>ptbxl_database.csv；ecg_id=4257；scp_codes</x:v>
      </x:c>
      <x:c r="K548" s="12" t="str">
        <x:v>12sl_statements.csv；ecg_id=4257；statements_ext_snomed</x:v>
      </x:c>
      <x:c r="L548" s="12"/>
      <x:c r="M548" s="12" t="str">
        <x:v>negative</x:v>
      </x:c>
      <x:c r="N548" s="12"/>
      <x:c r="O548" s="12" t="str">
        <x:v>negative</x:v>
      </x:c>
      <x:c r="P548" s="12" t="str">
        <x:f>IF(OR(M548="unavailable",O548="unavailable"),"不可评价",IF(OR(M548="equivocal",O548="equivocal"),"疑似",IF(AND(M548="positive",O548="positive"),"a",IF(O548="positive","b",IF(M548="positive","c","d")))))</x:f>
        <x:v>d</x:v>
      </x:c>
      <x:c r="Q548" s="12"/>
      <x:c r="R548" s="12" t="str">
        <x:v>negative</x:v>
      </x:c>
      <x:c r="S548" s="12"/>
      <x:c r="T548" s="12" t="str">
        <x:v>negative</x:v>
      </x:c>
      <x:c r="U548" s="12" t="str">
        <x:f>IF(OR(R548="unavailable",T548="unavailable"),"不可评价",IF(OR(R548="equivocal",T548="equivocal"),"疑似",IF(AND(R548="positive",T548="positive"),"a",IF(T548="positive","b",IF(R548="positive","c","d")))))</x:f>
        <x:v>d</x:v>
      </x:c>
      <x:c r="V548" s="12"/>
      <x:c r="W548" s="12" t="str">
        <x:v>negative</x:v>
      </x:c>
      <x:c r="X548" s="12"/>
      <x:c r="Y548" s="12" t="str">
        <x:v>negative</x:v>
      </x:c>
      <x:c r="Z548" s="12" t="str">
        <x:f>IF(OR(W548="unavailable",Y548="unavailable"),"不可评价",IF(OR(W548="equivocal",Y548="equivocal"),"疑似",IF(AND(W548="positive",Y548="positive"),"a",IF(Y548="positive","b",IF(W548="positive","c","d")))))</x:f>
        <x:v>d</x:v>
      </x:c>
      <x:c r="AA548" s="12" t="str">
        <x:f>IF(OR(M548="unavailable",O548="unavailable"),"不可评价",IF(AND(OR(M548="positive",M548="equivocal"),OR(O548="positive",O548="equivocal")),"a",IF(OR(O548="positive",O548="equivocal"),"b",IF(OR(M548="positive",M548="equivocal"),"c","d"))))</x:f>
        <x:v>d</x:v>
      </x:c>
      <x:c r="AB548" s="12" t="str">
        <x:f>IF(OR(M548="unavailable",O548="unavailable"),"不可评价",IF(AND(M548="positive",O548="positive"),"a",IF(O548="positive","b",IF(M548="positive","c","d"))))</x:f>
        <x:v>d</x:v>
      </x:c>
      <x:c r="AC548" s="12" t="str">
        <x:f>IF(OR(R548="unavailable",T548="unavailable"),"不可评价",IF(AND(OR(R548="positive",R548="equivocal"),OR(T548="positive",T548="equivocal")),"a",IF(OR(T548="positive",T548="equivocal"),"b",IF(OR(R548="positive",R548="equivocal"),"c","d"))))</x:f>
        <x:v>d</x:v>
      </x:c>
      <x:c r="AD548" s="12" t="str">
        <x:f>IF(OR(R548="unavailable",T548="unavailable"),"不可评价",IF(AND(R548="positive",T548="positive"),"a",IF(T548="positive","b",IF(R548="positive","c","d"))))</x:f>
        <x:v>d</x:v>
      </x:c>
      <x:c r="AE548" s="12" t="str">
        <x:f>IF(OR(W548="unavailable",Y548="unavailable"),"不可评价",IF(AND(OR(W548="positive",W548="equivocal"),OR(Y548="positive",Y548="equivocal")),"a",IF(OR(Y548="positive",Y548="equivocal"),"b",IF(OR(W548="positive",W548="equivocal"),"c","d"))))</x:f>
        <x:v>d</x:v>
      </x:c>
      <x:c r="AF548" s="12" t="str">
        <x:f>IF(OR(W548="unavailable",Y548="unavailable"),"不可评价",IF(AND(W548="positive",Y548="positive"),"a",IF(Y548="positive","b",IF(W548="positive","c","d"))))</x:f>
        <x:v>d</x:v>
      </x:c>
    </x:row>
    <x:row r="549" ht="24" customHeight="1">
      <x:c r="A549" s="12" t="str">
        <x:v>4261</x:v>
      </x:c>
      <x:c r="B549" s="12" t="str">
        <x:v>14976</x:v>
      </x:c>
      <x:c r="C549" s="21" t="n">
        <x:v>33047.36037037037</x:v>
      </x:c>
      <x:c r="D549" s="12" t="n">
        <x:v>54</x:v>
      </x:c>
      <x:c r="E549" s="12" t="n">
        <x:v>0</x:v>
      </x:c>
      <x:c r="F549" s="12" t="str">
        <x:v>未记录</x:v>
      </x:c>
      <x:c r="G549" s="12" t="n">
        <x:v>0</x:v>
      </x:c>
      <x:c r="H549" s="12" t="str">
        <x:v>{'NORM': 100.0, 'SR': 0.0}</x:v>
      </x:c>
      <x:c r="I549" s="12" t="str">
        <x:v>[('SBRAD', 100.0), ('ABR', 100.0)]</x:v>
      </x:c>
      <x:c r="J549" s="12" t="str">
        <x:v>ptbxl_database.csv；ecg_id=4261；scp_codes</x:v>
      </x:c>
      <x:c r="K549" s="12" t="str">
        <x:v>12sl_statements.csv；ecg_id=4261；statements_ext_snomed</x:v>
      </x:c>
      <x:c r="L549" s="12"/>
      <x:c r="M549" s="12" t="str">
        <x:v>negative</x:v>
      </x:c>
      <x:c r="N549" s="12"/>
      <x:c r="O549" s="12" t="str">
        <x:v>negative</x:v>
      </x:c>
      <x:c r="P549" s="12" t="str">
        <x:f>IF(OR(M549="unavailable",O549="unavailable"),"不可评价",IF(OR(M549="equivocal",O549="equivocal"),"疑似",IF(AND(M549="positive",O549="positive"),"a",IF(O549="positive","b",IF(M549="positive","c","d")))))</x:f>
        <x:v>d</x:v>
      </x:c>
      <x:c r="Q549" s="12"/>
      <x:c r="R549" s="12" t="str">
        <x:v>negative</x:v>
      </x:c>
      <x:c r="S549" s="12"/>
      <x:c r="T549" s="12" t="str">
        <x:v>negative</x:v>
      </x:c>
      <x:c r="U549" s="12" t="str">
        <x:f>IF(OR(R549="unavailable",T549="unavailable"),"不可评价",IF(OR(R549="equivocal",T549="equivocal"),"疑似",IF(AND(R549="positive",T549="positive"),"a",IF(T549="positive","b",IF(R549="positive","c","d")))))</x:f>
        <x:v>d</x:v>
      </x:c>
      <x:c r="V549" s="12"/>
      <x:c r="W549" s="12" t="str">
        <x:v>negative</x:v>
      </x:c>
      <x:c r="X549" s="12"/>
      <x:c r="Y549" s="12" t="str">
        <x:v>negative</x:v>
      </x:c>
      <x:c r="Z549" s="12" t="str">
        <x:f>IF(OR(W549="unavailable",Y549="unavailable"),"不可评价",IF(OR(W549="equivocal",Y549="equivocal"),"疑似",IF(AND(W549="positive",Y549="positive"),"a",IF(Y549="positive","b",IF(W549="positive","c","d")))))</x:f>
        <x:v>d</x:v>
      </x:c>
      <x:c r="AA549" s="12" t="str">
        <x:f>IF(OR(M549="unavailable",O549="unavailable"),"不可评价",IF(AND(OR(M549="positive",M549="equivocal"),OR(O549="positive",O549="equivocal")),"a",IF(OR(O549="positive",O549="equivocal"),"b",IF(OR(M549="positive",M549="equivocal"),"c","d"))))</x:f>
        <x:v>d</x:v>
      </x:c>
      <x:c r="AB549" s="12" t="str">
        <x:f>IF(OR(M549="unavailable",O549="unavailable"),"不可评价",IF(AND(M549="positive",O549="positive"),"a",IF(O549="positive","b",IF(M549="positive","c","d"))))</x:f>
        <x:v>d</x:v>
      </x:c>
      <x:c r="AC549" s="12" t="str">
        <x:f>IF(OR(R549="unavailable",T549="unavailable"),"不可评价",IF(AND(OR(R549="positive",R549="equivocal"),OR(T549="positive",T549="equivocal")),"a",IF(OR(T549="positive",T549="equivocal"),"b",IF(OR(R549="positive",R549="equivocal"),"c","d"))))</x:f>
        <x:v>d</x:v>
      </x:c>
      <x:c r="AD549" s="12" t="str">
        <x:f>IF(OR(R549="unavailable",T549="unavailable"),"不可评价",IF(AND(R549="positive",T549="positive"),"a",IF(T549="positive","b",IF(R549="positive","c","d"))))</x:f>
        <x:v>d</x:v>
      </x:c>
      <x:c r="AE549" s="12" t="str">
        <x:f>IF(OR(W549="unavailable",Y549="unavailable"),"不可评价",IF(AND(OR(W549="positive",W549="equivocal"),OR(Y549="positive",Y549="equivocal")),"a",IF(OR(Y549="positive",Y549="equivocal"),"b",IF(OR(W549="positive",W549="equivocal"),"c","d"))))</x:f>
        <x:v>d</x:v>
      </x:c>
      <x:c r="AF549" s="12" t="str">
        <x:f>IF(OR(W549="unavailable",Y549="unavailable"),"不可评价",IF(AND(W549="positive",Y549="positive"),"a",IF(Y549="positive","b",IF(W549="positive","c","d"))))</x:f>
        <x:v>d</x:v>
      </x:c>
    </x:row>
    <x:row r="550" ht="24" customHeight="1">
      <x:c r="A550" s="12" t="str">
        <x:v>4266</x:v>
      </x:c>
      <x:c r="B550" s="12" t="str">
        <x:v>8493</x:v>
      </x:c>
      <x:c r="C550" s="21" t="n">
        <x:v>33048.263819444444</x:v>
      </x:c>
      <x:c r="D550" s="12" t="n">
        <x:v>64</x:v>
      </x:c>
      <x:c r="E550" s="12" t="n">
        <x:v>1</x:v>
      </x:c>
      <x:c r="F550" s="12" t="str">
        <x:v>存在</x:v>
      </x:c>
      <x:c r="G550" s="12" t="n">
        <x:v>1</x:v>
      </x:c>
      <x:c r="H550" s="12" t="str">
        <x:v>{'NORM': 80.0, 'SR': 0.0}</x:v>
      </x:c>
      <x:c r="I550" s="12" t="str">
        <x:v>[('NSR', 100.0), ('NST', 100.0), ('AB', 100.0)]</x:v>
      </x:c>
      <x:c r="J550" s="12" t="str">
        <x:v>ptbxl_database.csv；ecg_id=4266；scp_codes</x:v>
      </x:c>
      <x:c r="K550" s="12" t="str">
        <x:v>12sl_statements.csv；ecg_id=4266；statements_ext_snomed</x:v>
      </x:c>
      <x:c r="L550" s="12"/>
      <x:c r="M550" s="12" t="str">
        <x:v>negative</x:v>
      </x:c>
      <x:c r="N550" s="12"/>
      <x:c r="O550" s="12" t="str">
        <x:v>negative</x:v>
      </x:c>
      <x:c r="P550" s="12" t="str">
        <x:f>IF(OR(M550="unavailable",O550="unavailable"),"不可评价",IF(OR(M550="equivocal",O550="equivocal"),"疑似",IF(AND(M550="positive",O550="positive"),"a",IF(O550="positive","b",IF(M550="positive","c","d")))))</x:f>
        <x:v>d</x:v>
      </x:c>
      <x:c r="Q550" s="12"/>
      <x:c r="R550" s="12" t="str">
        <x:v>negative</x:v>
      </x:c>
      <x:c r="S550" s="12"/>
      <x:c r="T550" s="12" t="str">
        <x:v>negative</x:v>
      </x:c>
      <x:c r="U550" s="12" t="str">
        <x:f>IF(OR(R550="unavailable",T550="unavailable"),"不可评价",IF(OR(R550="equivocal",T550="equivocal"),"疑似",IF(AND(R550="positive",T550="positive"),"a",IF(T550="positive","b",IF(R550="positive","c","d")))))</x:f>
        <x:v>d</x:v>
      </x:c>
      <x:c r="V550" s="12"/>
      <x:c r="W550" s="12" t="str">
        <x:v>negative</x:v>
      </x:c>
      <x:c r="X550" s="12"/>
      <x:c r="Y550" s="12" t="str">
        <x:v>negative</x:v>
      </x:c>
      <x:c r="Z550" s="12" t="str">
        <x:f>IF(OR(W550="unavailable",Y550="unavailable"),"不可评价",IF(OR(W550="equivocal",Y550="equivocal"),"疑似",IF(AND(W550="positive",Y550="positive"),"a",IF(Y550="positive","b",IF(W550="positive","c","d")))))</x:f>
        <x:v>d</x:v>
      </x:c>
      <x:c r="AA550" s="12" t="str">
        <x:f>IF(OR(M550="unavailable",O550="unavailable"),"不可评价",IF(AND(OR(M550="positive",M550="equivocal"),OR(O550="positive",O550="equivocal")),"a",IF(OR(O550="positive",O550="equivocal"),"b",IF(OR(M550="positive",M550="equivocal"),"c","d"))))</x:f>
        <x:v>d</x:v>
      </x:c>
      <x:c r="AB550" s="12" t="str">
        <x:f>IF(OR(M550="unavailable",O550="unavailable"),"不可评价",IF(AND(M550="positive",O550="positive"),"a",IF(O550="positive","b",IF(M550="positive","c","d"))))</x:f>
        <x:v>d</x:v>
      </x:c>
      <x:c r="AC550" s="12" t="str">
        <x:f>IF(OR(R550="unavailable",T550="unavailable"),"不可评价",IF(AND(OR(R550="positive",R550="equivocal"),OR(T550="positive",T550="equivocal")),"a",IF(OR(T550="positive",T550="equivocal"),"b",IF(OR(R550="positive",R550="equivocal"),"c","d"))))</x:f>
        <x:v>d</x:v>
      </x:c>
      <x:c r="AD550" s="12" t="str">
        <x:f>IF(OR(R550="unavailable",T550="unavailable"),"不可评价",IF(AND(R550="positive",T550="positive"),"a",IF(T550="positive","b",IF(R550="positive","c","d"))))</x:f>
        <x:v>d</x:v>
      </x:c>
      <x:c r="AE550" s="12" t="str">
        <x:f>IF(OR(W550="unavailable",Y550="unavailable"),"不可评价",IF(AND(OR(W550="positive",W550="equivocal"),OR(Y550="positive",Y550="equivocal")),"a",IF(OR(Y550="positive",Y550="equivocal"),"b",IF(OR(W550="positive",W550="equivocal"),"c","d"))))</x:f>
        <x:v>d</x:v>
      </x:c>
      <x:c r="AF550" s="12" t="str">
        <x:f>IF(OR(W550="unavailable",Y550="unavailable"),"不可评价",IF(AND(W550="positive",Y550="positive"),"a",IF(Y550="positive","b",IF(W550="positive","c","d"))))</x:f>
        <x:v>d</x:v>
      </x:c>
    </x:row>
    <x:row r="551" ht="24" customHeight="1">
      <x:c r="A551" s="12" t="str">
        <x:v>4269</x:v>
      </x:c>
      <x:c r="B551" s="12" t="str">
        <x:v>11845</x:v>
      </x:c>
      <x:c r="C551" s="21" t="n">
        <x:v>33048.560648148145</x:v>
      </x:c>
      <x:c r="D551" s="12" t="n">
        <x:v>67</x:v>
      </x:c>
      <x:c r="E551" s="12" t="n">
        <x:v>1</x:v>
      </x:c>
      <x:c r="F551" s="12" t="str">
        <x:v>未记录</x:v>
      </x:c>
      <x:c r="G551" s="12" t="n">
        <x:v>1</x:v>
      </x:c>
      <x:c r="H551" s="12" t="str">
        <x:v>{'ASMI': 100.0, 'ABQRS': 0.0, 'SR': 0.0}</x:v>
      </x:c>
      <x:c r="I551" s="12" t="str">
        <x:v>[('NSR', 100.0), ('SMI;AU', 100.0), ('AB', 100.0)]</x:v>
      </x:c>
      <x:c r="J551" s="12" t="str">
        <x:v>ptbxl_database.csv；ecg_id=4269；scp_codes</x:v>
      </x:c>
      <x:c r="K551" s="12" t="str">
        <x:v>12sl_statements.csv；ecg_id=4269；statements_ext_snomed</x:v>
      </x:c>
      <x:c r="L551" s="12"/>
      <x:c r="M551" s="12" t="str">
        <x:v>negative</x:v>
      </x:c>
      <x:c r="N551" s="12"/>
      <x:c r="O551" s="12" t="str">
        <x:v>negative</x:v>
      </x:c>
      <x:c r="P551" s="12" t="str">
        <x:f>IF(OR(M551="unavailable",O551="unavailable"),"不可评价",IF(OR(M551="equivocal",O551="equivocal"),"疑似",IF(AND(M551="positive",O551="positive"),"a",IF(O551="positive","b",IF(M551="positive","c","d")))))</x:f>
        <x:v>d</x:v>
      </x:c>
      <x:c r="Q551" s="12"/>
      <x:c r="R551" s="12" t="str">
        <x:v>negative</x:v>
      </x:c>
      <x:c r="S551" s="12"/>
      <x:c r="T551" s="12" t="str">
        <x:v>negative</x:v>
      </x:c>
      <x:c r="U551" s="12" t="str">
        <x:f>IF(OR(R551="unavailable",T551="unavailable"),"不可评价",IF(OR(R551="equivocal",T551="equivocal"),"疑似",IF(AND(R551="positive",T551="positive"),"a",IF(T551="positive","b",IF(R551="positive","c","d")))))</x:f>
        <x:v>d</x:v>
      </x:c>
      <x:c r="V551" s="12"/>
      <x:c r="W551" s="12" t="str">
        <x:v>negative</x:v>
      </x:c>
      <x:c r="X551" s="12"/>
      <x:c r="Y551" s="12" t="str">
        <x:v>negative</x:v>
      </x:c>
      <x:c r="Z551" s="12" t="str">
        <x:f>IF(OR(W551="unavailable",Y551="unavailable"),"不可评价",IF(OR(W551="equivocal",Y551="equivocal"),"疑似",IF(AND(W551="positive",Y551="positive"),"a",IF(Y551="positive","b",IF(W551="positive","c","d")))))</x:f>
        <x:v>d</x:v>
      </x:c>
      <x:c r="AA551" s="12" t="str">
        <x:f>IF(OR(M551="unavailable",O551="unavailable"),"不可评价",IF(AND(OR(M551="positive",M551="equivocal"),OR(O551="positive",O551="equivocal")),"a",IF(OR(O551="positive",O551="equivocal"),"b",IF(OR(M551="positive",M551="equivocal"),"c","d"))))</x:f>
        <x:v>d</x:v>
      </x:c>
      <x:c r="AB551" s="12" t="str">
        <x:f>IF(OR(M551="unavailable",O551="unavailable"),"不可评价",IF(AND(M551="positive",O551="positive"),"a",IF(O551="positive","b",IF(M551="positive","c","d"))))</x:f>
        <x:v>d</x:v>
      </x:c>
      <x:c r="AC551" s="12" t="str">
        <x:f>IF(OR(R551="unavailable",T551="unavailable"),"不可评价",IF(AND(OR(R551="positive",R551="equivocal"),OR(T551="positive",T551="equivocal")),"a",IF(OR(T551="positive",T551="equivocal"),"b",IF(OR(R551="positive",R551="equivocal"),"c","d"))))</x:f>
        <x:v>d</x:v>
      </x:c>
      <x:c r="AD551" s="12" t="str">
        <x:f>IF(OR(R551="unavailable",T551="unavailable"),"不可评价",IF(AND(R551="positive",T551="positive"),"a",IF(T551="positive","b",IF(R551="positive","c","d"))))</x:f>
        <x:v>d</x:v>
      </x:c>
      <x:c r="AE551" s="12" t="str">
        <x:f>IF(OR(W551="unavailable",Y551="unavailable"),"不可评价",IF(AND(OR(W551="positive",W551="equivocal"),OR(Y551="positive",Y551="equivocal")),"a",IF(OR(Y551="positive",Y551="equivocal"),"b",IF(OR(W551="positive",W551="equivocal"),"c","d"))))</x:f>
        <x:v>d</x:v>
      </x:c>
      <x:c r="AF551" s="12" t="str">
        <x:f>IF(OR(W551="unavailable",Y551="unavailable"),"不可评价",IF(AND(W551="positive",Y551="positive"),"a",IF(Y551="positive","b",IF(W551="positive","c","d"))))</x:f>
        <x:v>d</x:v>
      </x:c>
    </x:row>
    <x:row r="552" ht="24" customHeight="1">
      <x:c r="A552" s="12" t="str">
        <x:v>4278</x:v>
      </x:c>
      <x:c r="B552" s="12" t="str">
        <x:v>3800</x:v>
      </x:c>
      <x:c r="C552" s="21" t="n">
        <x:v>33049.519583333335</x:v>
      </x:c>
      <x:c r="D552" s="12" t="n">
        <x:v>70</x:v>
      </x:c>
      <x:c r="E552" s="12" t="n">
        <x:v>0</x:v>
      </x:c>
      <x:c r="F552" s="12" t="str">
        <x:v>未记录</x:v>
      </x:c>
      <x:c r="G552" s="12" t="n">
        <x:v>1</x:v>
      </x:c>
      <x:c r="H552" s="12" t="str">
        <x:v>{'LVH': 35.0, 'VCLVH': 0.0, 'SR': 0.0}</x:v>
      </x:c>
      <x:c r="I552" s="12" t="str">
        <x:v>[('NSR', 100.0), ('BORDE', 100.0)]</x:v>
      </x:c>
      <x:c r="J552" s="12" t="str">
        <x:v>ptbxl_database.csv；ecg_id=4278；scp_codes</x:v>
      </x:c>
      <x:c r="K552" s="12" t="str">
        <x:v>12sl_statements.csv；ecg_id=4278；statements_ext_snomed</x:v>
      </x:c>
      <x:c r="L552" s="12"/>
      <x:c r="M552" s="12" t="str">
        <x:v>negative</x:v>
      </x:c>
      <x:c r="N552" s="12"/>
      <x:c r="O552" s="12" t="str">
        <x:v>negative</x:v>
      </x:c>
      <x:c r="P552" s="12" t="str">
        <x:f>IF(OR(M552="unavailable",O552="unavailable"),"不可评价",IF(OR(M552="equivocal",O552="equivocal"),"疑似",IF(AND(M552="positive",O552="positive"),"a",IF(O552="positive","b",IF(M552="positive","c","d")))))</x:f>
        <x:v>d</x:v>
      </x:c>
      <x:c r="Q552" s="12"/>
      <x:c r="R552" s="12" t="str">
        <x:v>negative</x:v>
      </x:c>
      <x:c r="S552" s="12"/>
      <x:c r="T552" s="12" t="str">
        <x:v>negative</x:v>
      </x:c>
      <x:c r="U552" s="12" t="str">
        <x:f>IF(OR(R552="unavailable",T552="unavailable"),"不可评价",IF(OR(R552="equivocal",T552="equivocal"),"疑似",IF(AND(R552="positive",T552="positive"),"a",IF(T552="positive","b",IF(R552="positive","c","d")))))</x:f>
        <x:v>d</x:v>
      </x:c>
      <x:c r="V552" s="12"/>
      <x:c r="W552" s="12" t="str">
        <x:v>negative</x:v>
      </x:c>
      <x:c r="X552" s="12"/>
      <x:c r="Y552" s="12" t="str">
        <x:v>negative</x:v>
      </x:c>
      <x:c r="Z552" s="12" t="str">
        <x:f>IF(OR(W552="unavailable",Y552="unavailable"),"不可评价",IF(OR(W552="equivocal",Y552="equivocal"),"疑似",IF(AND(W552="positive",Y552="positive"),"a",IF(Y552="positive","b",IF(W552="positive","c","d")))))</x:f>
        <x:v>d</x:v>
      </x:c>
      <x:c r="AA552" s="12" t="str">
        <x:f>IF(OR(M552="unavailable",O552="unavailable"),"不可评价",IF(AND(OR(M552="positive",M552="equivocal"),OR(O552="positive",O552="equivocal")),"a",IF(OR(O552="positive",O552="equivocal"),"b",IF(OR(M552="positive",M552="equivocal"),"c","d"))))</x:f>
        <x:v>d</x:v>
      </x:c>
      <x:c r="AB552" s="12" t="str">
        <x:f>IF(OR(M552="unavailable",O552="unavailable"),"不可评价",IF(AND(M552="positive",O552="positive"),"a",IF(O552="positive","b",IF(M552="positive","c","d"))))</x:f>
        <x:v>d</x:v>
      </x:c>
      <x:c r="AC552" s="12" t="str">
        <x:f>IF(OR(R552="unavailable",T552="unavailable"),"不可评价",IF(AND(OR(R552="positive",R552="equivocal"),OR(T552="positive",T552="equivocal")),"a",IF(OR(T552="positive",T552="equivocal"),"b",IF(OR(R552="positive",R552="equivocal"),"c","d"))))</x:f>
        <x:v>d</x:v>
      </x:c>
      <x:c r="AD552" s="12" t="str">
        <x:f>IF(OR(R552="unavailable",T552="unavailable"),"不可评价",IF(AND(R552="positive",T552="positive"),"a",IF(T552="positive","b",IF(R552="positive","c","d"))))</x:f>
        <x:v>d</x:v>
      </x:c>
      <x:c r="AE552" s="12" t="str">
        <x:f>IF(OR(W552="unavailable",Y552="unavailable"),"不可评价",IF(AND(OR(W552="positive",W552="equivocal"),OR(Y552="positive",Y552="equivocal")),"a",IF(OR(Y552="positive",Y552="equivocal"),"b",IF(OR(W552="positive",W552="equivocal"),"c","d"))))</x:f>
        <x:v>d</x:v>
      </x:c>
      <x:c r="AF552" s="12" t="str">
        <x:f>IF(OR(W552="unavailable",Y552="unavailable"),"不可评价",IF(AND(W552="positive",Y552="positive"),"a",IF(Y552="positive","b",IF(W552="positive","c","d"))))</x:f>
        <x:v>d</x:v>
      </x:c>
    </x:row>
    <x:row r="553" ht="24" customHeight="1">
      <x:c r="A553" s="12" t="str">
        <x:v>4295</x:v>
      </x:c>
      <x:c r="B553" s="12" t="str">
        <x:v>11001</x:v>
      </x:c>
      <x:c r="C553" s="21" t="n">
        <x:v>33050.660844907405</x:v>
      </x:c>
      <x:c r="D553" s="12" t="n">
        <x:v>22</x:v>
      </x:c>
      <x:c r="E553" s="12" t="n">
        <x:v>1</x:v>
      </x:c>
      <x:c r="F553" s="12" t="str">
        <x:v>未记录</x:v>
      </x:c>
      <x:c r="G553" s="12" t="n">
        <x:v>1</x:v>
      </x:c>
      <x:c r="H553" s="12" t="str">
        <x:v>{'NORM': 100.0, 'SR': 0.0}</x:v>
      </x:c>
      <x:c r="I553" s="12" t="str">
        <x:v>[('NSR', 100.0), ('NML', 100.0)]</x:v>
      </x:c>
      <x:c r="J553" s="12" t="str">
        <x:v>ptbxl_database.csv；ecg_id=4295；scp_codes</x:v>
      </x:c>
      <x:c r="K553" s="12" t="str">
        <x:v>12sl_statements.csv；ecg_id=4295；statements_ext_snomed</x:v>
      </x:c>
      <x:c r="L553" s="12"/>
      <x:c r="M553" s="12" t="str">
        <x:v>negative</x:v>
      </x:c>
      <x:c r="N553" s="12"/>
      <x:c r="O553" s="12" t="str">
        <x:v>negative</x:v>
      </x:c>
      <x:c r="P553" s="12" t="str">
        <x:f>IF(OR(M553="unavailable",O553="unavailable"),"不可评价",IF(OR(M553="equivocal",O553="equivocal"),"疑似",IF(AND(M553="positive",O553="positive"),"a",IF(O553="positive","b",IF(M553="positive","c","d")))))</x:f>
        <x:v>d</x:v>
      </x:c>
      <x:c r="Q553" s="12"/>
      <x:c r="R553" s="12" t="str">
        <x:v>negative</x:v>
      </x:c>
      <x:c r="S553" s="12"/>
      <x:c r="T553" s="12" t="str">
        <x:v>negative</x:v>
      </x:c>
      <x:c r="U553" s="12" t="str">
        <x:f>IF(OR(R553="unavailable",T553="unavailable"),"不可评价",IF(OR(R553="equivocal",T553="equivocal"),"疑似",IF(AND(R553="positive",T553="positive"),"a",IF(T553="positive","b",IF(R553="positive","c","d")))))</x:f>
        <x:v>d</x:v>
      </x:c>
      <x:c r="V553" s="12"/>
      <x:c r="W553" s="12" t="str">
        <x:v>negative</x:v>
      </x:c>
      <x:c r="X553" s="12"/>
      <x:c r="Y553" s="12" t="str">
        <x:v>negative</x:v>
      </x:c>
      <x:c r="Z553" s="12" t="str">
        <x:f>IF(OR(W553="unavailable",Y553="unavailable"),"不可评价",IF(OR(W553="equivocal",Y553="equivocal"),"疑似",IF(AND(W553="positive",Y553="positive"),"a",IF(Y553="positive","b",IF(W553="positive","c","d")))))</x:f>
        <x:v>d</x:v>
      </x:c>
      <x:c r="AA553" s="12" t="str">
        <x:f>IF(OR(M553="unavailable",O553="unavailable"),"不可评价",IF(AND(OR(M553="positive",M553="equivocal"),OR(O553="positive",O553="equivocal")),"a",IF(OR(O553="positive",O553="equivocal"),"b",IF(OR(M553="positive",M553="equivocal"),"c","d"))))</x:f>
        <x:v>d</x:v>
      </x:c>
      <x:c r="AB553" s="12" t="str">
        <x:f>IF(OR(M553="unavailable",O553="unavailable"),"不可评价",IF(AND(M553="positive",O553="positive"),"a",IF(O553="positive","b",IF(M553="positive","c","d"))))</x:f>
        <x:v>d</x:v>
      </x:c>
      <x:c r="AC553" s="12" t="str">
        <x:f>IF(OR(R553="unavailable",T553="unavailable"),"不可评价",IF(AND(OR(R553="positive",R553="equivocal"),OR(T553="positive",T553="equivocal")),"a",IF(OR(T553="positive",T553="equivocal"),"b",IF(OR(R553="positive",R553="equivocal"),"c","d"))))</x:f>
        <x:v>d</x:v>
      </x:c>
      <x:c r="AD553" s="12" t="str">
        <x:f>IF(OR(R553="unavailable",T553="unavailable"),"不可评价",IF(AND(R553="positive",T553="positive"),"a",IF(T553="positive","b",IF(R553="positive","c","d"))))</x:f>
        <x:v>d</x:v>
      </x:c>
      <x:c r="AE553" s="12" t="str">
        <x:f>IF(OR(W553="unavailable",Y553="unavailable"),"不可评价",IF(AND(OR(W553="positive",W553="equivocal"),OR(Y553="positive",Y553="equivocal")),"a",IF(OR(Y553="positive",Y553="equivocal"),"b",IF(OR(W553="positive",W553="equivocal"),"c","d"))))</x:f>
        <x:v>d</x:v>
      </x:c>
      <x:c r="AF553" s="12" t="str">
        <x:f>IF(OR(W553="unavailable",Y553="unavailable"),"不可评价",IF(AND(W553="positive",Y553="positive"),"a",IF(Y553="positive","b",IF(W553="positive","c","d"))))</x:f>
        <x:v>d</x:v>
      </x:c>
    </x:row>
    <x:row r="554" ht="24" customHeight="1">
      <x:c r="A554" s="12" t="str">
        <x:v>4329</x:v>
      </x:c>
      <x:c r="B554" s="12" t="str">
        <x:v>5920</x:v>
      </x:c>
      <x:c r="C554" s="21" t="n">
        <x:v>33055.47479166667</x:v>
      </x:c>
      <x:c r="D554" s="12" t="n">
        <x:v>83</x:v>
      </x:c>
      <x:c r="E554" s="12" t="n">
        <x:v>1</x:v>
      </x:c>
      <x:c r="F554" s="12" t="str">
        <x:v>未记录</x:v>
      </x:c>
      <x:c r="G554" s="12" t="n">
        <x:v>1</x:v>
      </x:c>
      <x:c r="H554" s="12" t="str">
        <x:v>{'NDT': 100.0, 'PVC': 100.0, 'NT_': 0.0, 'SR': 0.0}</x:v>
      </x:c>
      <x:c r="I554" s="12" t="str">
        <x:v>[('SRTH', 100.0), ('PVC', 100.0), ('IMI;AU', 100.0), ('AB', 100.0)]</x:v>
      </x:c>
      <x:c r="J554" s="12" t="str">
        <x:v>ptbxl_database.csv；ecg_id=4329；scp_codes</x:v>
      </x:c>
      <x:c r="K554" s="12" t="str">
        <x:v>12sl_statements.csv；ecg_id=4329；statements_ext_snomed</x:v>
      </x:c>
      <x:c r="L554" s="12"/>
      <x:c r="M554" s="12" t="str">
        <x:v>negative</x:v>
      </x:c>
      <x:c r="N554" s="12"/>
      <x:c r="O554" s="12" t="str">
        <x:v>negative</x:v>
      </x:c>
      <x:c r="P554" s="12" t="str">
        <x:f>IF(OR(M554="unavailable",O554="unavailable"),"不可评价",IF(OR(M554="equivocal",O554="equivocal"),"疑似",IF(AND(M554="positive",O554="positive"),"a",IF(O554="positive","b",IF(M554="positive","c","d")))))</x:f>
        <x:v>d</x:v>
      </x:c>
      <x:c r="Q554" s="12"/>
      <x:c r="R554" s="12" t="str">
        <x:v>negative</x:v>
      </x:c>
      <x:c r="S554" s="12"/>
      <x:c r="T554" s="12" t="str">
        <x:v>negative</x:v>
      </x:c>
      <x:c r="U554" s="12" t="str">
        <x:f>IF(OR(R554="unavailable",T554="unavailable"),"不可评价",IF(OR(R554="equivocal",T554="equivocal"),"疑似",IF(AND(R554="positive",T554="positive"),"a",IF(T554="positive","b",IF(R554="positive","c","d")))))</x:f>
        <x:v>d</x:v>
      </x:c>
      <x:c r="V554" s="12"/>
      <x:c r="W554" s="12" t="str">
        <x:v>negative</x:v>
      </x:c>
      <x:c r="X554" s="12"/>
      <x:c r="Y554" s="12" t="str">
        <x:v>negative</x:v>
      </x:c>
      <x:c r="Z554" s="12" t="str">
        <x:f>IF(OR(W554="unavailable",Y554="unavailable"),"不可评价",IF(OR(W554="equivocal",Y554="equivocal"),"疑似",IF(AND(W554="positive",Y554="positive"),"a",IF(Y554="positive","b",IF(W554="positive","c","d")))))</x:f>
        <x:v>d</x:v>
      </x:c>
      <x:c r="AA554" s="12" t="str">
        <x:f>IF(OR(M554="unavailable",O554="unavailable"),"不可评价",IF(AND(OR(M554="positive",M554="equivocal"),OR(O554="positive",O554="equivocal")),"a",IF(OR(O554="positive",O554="equivocal"),"b",IF(OR(M554="positive",M554="equivocal"),"c","d"))))</x:f>
        <x:v>d</x:v>
      </x:c>
      <x:c r="AB554" s="12" t="str">
        <x:f>IF(OR(M554="unavailable",O554="unavailable"),"不可评价",IF(AND(M554="positive",O554="positive"),"a",IF(O554="positive","b",IF(M554="positive","c","d"))))</x:f>
        <x:v>d</x:v>
      </x:c>
      <x:c r="AC554" s="12" t="str">
        <x:f>IF(OR(R554="unavailable",T554="unavailable"),"不可评价",IF(AND(OR(R554="positive",R554="equivocal"),OR(T554="positive",T554="equivocal")),"a",IF(OR(T554="positive",T554="equivocal"),"b",IF(OR(R554="positive",R554="equivocal"),"c","d"))))</x:f>
        <x:v>d</x:v>
      </x:c>
      <x:c r="AD554" s="12" t="str">
        <x:f>IF(OR(R554="unavailable",T554="unavailable"),"不可评价",IF(AND(R554="positive",T554="positive"),"a",IF(T554="positive","b",IF(R554="positive","c","d"))))</x:f>
        <x:v>d</x:v>
      </x:c>
      <x:c r="AE554" s="12" t="str">
        <x:f>IF(OR(W554="unavailable",Y554="unavailable"),"不可评价",IF(AND(OR(W554="positive",W554="equivocal"),OR(Y554="positive",Y554="equivocal")),"a",IF(OR(Y554="positive",Y554="equivocal"),"b",IF(OR(W554="positive",W554="equivocal"),"c","d"))))</x:f>
        <x:v>d</x:v>
      </x:c>
      <x:c r="AF554" s="12" t="str">
        <x:f>IF(OR(W554="unavailable",Y554="unavailable"),"不可评价",IF(AND(W554="positive",Y554="positive"),"a",IF(Y554="positive","b",IF(W554="positive","c","d"))))</x:f>
        <x:v>d</x:v>
      </x:c>
    </x:row>
    <x:row r="555" ht="24" customHeight="1">
      <x:c r="A555" s="12" t="str">
        <x:v>4335</x:v>
      </x:c>
      <x:c r="B555" s="12" t="str">
        <x:v>20692</x:v>
      </x:c>
      <x:c r="C555" s="21" t="n">
        <x:v>33055.6096412037</x:v>
      </x:c>
      <x:c r="D555" s="12" t="n">
        <x:v>68</x:v>
      </x:c>
      <x:c r="E555" s="12" t="n">
        <x:v>0</x:v>
      </x:c>
      <x:c r="F555" s="12" t="str">
        <x:v>未记录</x:v>
      </x:c>
      <x:c r="G555" s="12" t="n">
        <x:v>1</x:v>
      </x:c>
      <x:c r="H555" s="12" t="str">
        <x:v>{'LVH': 100.0, 'ISC_': 100.0, 'AFIB': 0.0}</x:v>
      </x:c>
      <x:c r="I555" s="12" t="str">
        <x:v>[('AFIB', 100.0), ('LVH2', 100.0), ('2ST', 100.0), ('AB', 100.0)]</x:v>
      </x:c>
      <x:c r="J555" s="12" t="str">
        <x:v>ptbxl_database.csv；ecg_id=4335；scp_codes</x:v>
      </x:c>
      <x:c r="K555" s="12" t="str">
        <x:v>12sl_statements.csv；ecg_id=4335；statements_ext_snomed</x:v>
      </x:c>
      <x:c r="L555" s="12" t="n">
        <x:v>0</x:v>
      </x:c>
      <x:c r="M555" s="12" t="str">
        <x:v>positive</x:v>
      </x:c>
      <x:c r="N555" s="12" t="n">
        <x:v>100</x:v>
      </x:c>
      <x:c r="O555" s="12" t="str">
        <x:v>positive</x:v>
      </x:c>
      <x:c r="P555" s="12" t="str">
        <x:f>IF(OR(M555="unavailable",O555="unavailable"),"不可评价",IF(OR(M555="equivocal",O555="equivocal"),"疑似",IF(AND(M555="positive",O555="positive"),"a",IF(O555="positive","b",IF(M555="positive","c","d")))))</x:f>
        <x:v>a</x:v>
      </x:c>
      <x:c r="Q555" s="12"/>
      <x:c r="R555" s="12" t="str">
        <x:v>negative</x:v>
      </x:c>
      <x:c r="S555" s="12"/>
      <x:c r="T555" s="12" t="str">
        <x:v>negative</x:v>
      </x:c>
      <x:c r="U555" s="12" t="str">
        <x:f>IF(OR(R555="unavailable",T555="unavailable"),"不可评价",IF(OR(R555="equivocal",T555="equivocal"),"疑似",IF(AND(R555="positive",T555="positive"),"a",IF(T555="positive","b",IF(R555="positive","c","d")))))</x:f>
        <x:v>d</x:v>
      </x:c>
      <x:c r="V555" s="12"/>
      <x:c r="W555" s="12" t="str">
        <x:v>negative</x:v>
      </x:c>
      <x:c r="X555" s="12"/>
      <x:c r="Y555" s="12" t="str">
        <x:v>negative</x:v>
      </x:c>
      <x:c r="Z555" s="12" t="str">
        <x:f>IF(OR(W555="unavailable",Y555="unavailable"),"不可评价",IF(OR(W555="equivocal",Y555="equivocal"),"疑似",IF(AND(W555="positive",Y555="positive"),"a",IF(Y555="positive","b",IF(W555="positive","c","d")))))</x:f>
        <x:v>d</x:v>
      </x:c>
      <x:c r="AA555" s="12" t="str">
        <x:f>IF(OR(M555="unavailable",O555="unavailable"),"不可评价",IF(AND(OR(M555="positive",M555="equivocal"),OR(O555="positive",O555="equivocal")),"a",IF(OR(O555="positive",O555="equivocal"),"b",IF(OR(M555="positive",M555="equivocal"),"c","d"))))</x:f>
        <x:v>a</x:v>
      </x:c>
      <x:c r="AB555" s="12" t="str">
        <x:f>IF(OR(M555="unavailable",O555="unavailable"),"不可评价",IF(AND(M555="positive",O555="positive"),"a",IF(O555="positive","b",IF(M555="positive","c","d"))))</x:f>
        <x:v>a</x:v>
      </x:c>
      <x:c r="AC555" s="12" t="str">
        <x:f>IF(OR(R555="unavailable",T555="unavailable"),"不可评价",IF(AND(OR(R555="positive",R555="equivocal"),OR(T555="positive",T555="equivocal")),"a",IF(OR(T555="positive",T555="equivocal"),"b",IF(OR(R555="positive",R555="equivocal"),"c","d"))))</x:f>
        <x:v>d</x:v>
      </x:c>
      <x:c r="AD555" s="12" t="str">
        <x:f>IF(OR(R555="unavailable",T555="unavailable"),"不可评价",IF(AND(R555="positive",T555="positive"),"a",IF(T555="positive","b",IF(R555="positive","c","d"))))</x:f>
        <x:v>d</x:v>
      </x:c>
      <x:c r="AE555" s="12" t="str">
        <x:f>IF(OR(W555="unavailable",Y555="unavailable"),"不可评价",IF(AND(OR(W555="positive",W555="equivocal"),OR(Y555="positive",Y555="equivocal")),"a",IF(OR(Y555="positive",Y555="equivocal"),"b",IF(OR(W555="positive",W555="equivocal"),"c","d"))))</x:f>
        <x:v>d</x:v>
      </x:c>
      <x:c r="AF555" s="12" t="str">
        <x:f>IF(OR(W555="unavailable",Y555="unavailable"),"不可评价",IF(AND(W555="positive",Y555="positive"),"a",IF(Y555="positive","b",IF(W555="positive","c","d"))))</x:f>
        <x:v>d</x:v>
      </x:c>
    </x:row>
    <x:row r="556" ht="39" customHeight="1">
      <x:c r="A556" s="12" t="str">
        <x:v>4336</x:v>
      </x:c>
      <x:c r="B556" s="12" t="str">
        <x:v>806</x:v>
      </x:c>
      <x:c r="C556" s="21" t="n">
        <x:v>33055.619837962964</x:v>
      </x:c>
      <x:c r="D556" s="12" t="n">
        <x:v>57</x:v>
      </x:c>
      <x:c r="E556" s="12" t="n">
        <x:v>0</x:v>
      </x:c>
      <x:c r="F556" s="12" t="str">
        <x:v>未记录</x:v>
      </x:c>
      <x:c r="G556" s="12" t="n">
        <x:v>1</x:v>
      </x:c>
      <x:c r="H556" s="12" t="str">
        <x:v>{'LAFB': 80.0, 'LVH': 35.0, 'NDT': 100.0, 'NT_': 0.0, 'VCLVH': 0.0, 'SR': 0.0}</x:v>
      </x:c>
      <x:c r="I556" s="12" t="str">
        <x:v>[('NSR', 100.0), ('LAD3', 100.0), ('NT', 100.0), ('AB', 100.0)]</x:v>
      </x:c>
      <x:c r="J556" s="12" t="str">
        <x:v>ptbxl_database.csv；ecg_id=4336；scp_codes</x:v>
      </x:c>
      <x:c r="K556" s="12" t="str">
        <x:v>12sl_statements.csv；ecg_id=4336；statements_ext_snomed</x:v>
      </x:c>
      <x:c r="L556" s="12"/>
      <x:c r="M556" s="12" t="str">
        <x:v>negative</x:v>
      </x:c>
      <x:c r="N556" s="12"/>
      <x:c r="O556" s="12" t="str">
        <x:v>negative</x:v>
      </x:c>
      <x:c r="P556" s="12" t="str">
        <x:f>IF(OR(M556="unavailable",O556="unavailable"),"不可评价",IF(OR(M556="equivocal",O556="equivocal"),"疑似",IF(AND(M556="positive",O556="positive"),"a",IF(O556="positive","b",IF(M556="positive","c","d")))))</x:f>
        <x:v>d</x:v>
      </x:c>
      <x:c r="Q556" s="12"/>
      <x:c r="R556" s="12" t="str">
        <x:v>negative</x:v>
      </x:c>
      <x:c r="S556" s="12"/>
      <x:c r="T556" s="12" t="str">
        <x:v>negative</x:v>
      </x:c>
      <x:c r="U556" s="12" t="str">
        <x:f>IF(OR(R556="unavailable",T556="unavailable"),"不可评价",IF(OR(R556="equivocal",T556="equivocal"),"疑似",IF(AND(R556="positive",T556="positive"),"a",IF(T556="positive","b",IF(R556="positive","c","d")))))</x:f>
        <x:v>d</x:v>
      </x:c>
      <x:c r="V556" s="12"/>
      <x:c r="W556" s="12" t="str">
        <x:v>negative</x:v>
      </x:c>
      <x:c r="X556" s="12"/>
      <x:c r="Y556" s="12" t="str">
        <x:v>negative</x:v>
      </x:c>
      <x:c r="Z556" s="12" t="str">
        <x:f>IF(OR(W556="unavailable",Y556="unavailable"),"不可评价",IF(OR(W556="equivocal",Y556="equivocal"),"疑似",IF(AND(W556="positive",Y556="positive"),"a",IF(Y556="positive","b",IF(W556="positive","c","d")))))</x:f>
        <x:v>d</x:v>
      </x:c>
      <x:c r="AA556" s="12" t="str">
        <x:f>IF(OR(M556="unavailable",O556="unavailable"),"不可评价",IF(AND(OR(M556="positive",M556="equivocal"),OR(O556="positive",O556="equivocal")),"a",IF(OR(O556="positive",O556="equivocal"),"b",IF(OR(M556="positive",M556="equivocal"),"c","d"))))</x:f>
        <x:v>d</x:v>
      </x:c>
      <x:c r="AB556" s="12" t="str">
        <x:f>IF(OR(M556="unavailable",O556="unavailable"),"不可评价",IF(AND(M556="positive",O556="positive"),"a",IF(O556="positive","b",IF(M556="positive","c","d"))))</x:f>
        <x:v>d</x:v>
      </x:c>
      <x:c r="AC556" s="12" t="str">
        <x:f>IF(OR(R556="unavailable",T556="unavailable"),"不可评价",IF(AND(OR(R556="positive",R556="equivocal"),OR(T556="positive",T556="equivocal")),"a",IF(OR(T556="positive",T556="equivocal"),"b",IF(OR(R556="positive",R556="equivocal"),"c","d"))))</x:f>
        <x:v>d</x:v>
      </x:c>
      <x:c r="AD556" s="12" t="str">
        <x:f>IF(OR(R556="unavailable",T556="unavailable"),"不可评价",IF(AND(R556="positive",T556="positive"),"a",IF(T556="positive","b",IF(R556="positive","c","d"))))</x:f>
        <x:v>d</x:v>
      </x:c>
      <x:c r="AE556" s="12" t="str">
        <x:f>IF(OR(W556="unavailable",Y556="unavailable"),"不可评价",IF(AND(OR(W556="positive",W556="equivocal"),OR(Y556="positive",Y556="equivocal")),"a",IF(OR(Y556="positive",Y556="equivocal"),"b",IF(OR(W556="positive",W556="equivocal"),"c","d"))))</x:f>
        <x:v>d</x:v>
      </x:c>
      <x:c r="AF556" s="12" t="str">
        <x:f>IF(OR(W556="unavailable",Y556="unavailable"),"不可评价",IF(AND(W556="positive",Y556="positive"),"a",IF(Y556="positive","b",IF(W556="positive","c","d"))))</x:f>
        <x:v>d</x:v>
      </x:c>
    </x:row>
    <x:row r="557" ht="24" customHeight="1">
      <x:c r="A557" s="12" t="str">
        <x:v>4342</x:v>
      </x:c>
      <x:c r="B557" s="12" t="str">
        <x:v>6142</x:v>
      </x:c>
      <x:c r="C557" s="21" t="n">
        <x:v>33056.352106481485</x:v>
      </x:c>
      <x:c r="D557" s="12" t="n">
        <x:v>66</x:v>
      </x:c>
      <x:c r="E557" s="12" t="n">
        <x:v>0</x:v>
      </x:c>
      <x:c r="F557" s="12" t="str">
        <x:v>存在</x:v>
      </x:c>
      <x:c r="G557" s="12" t="n">
        <x:v>1</x:v>
      </x:c>
      <x:c r="H557" s="12" t="str">
        <x:v>{'NORM': 100.0, 'NST_': 0.0, 'SBRAD': 0.0}</x:v>
      </x:c>
      <x:c r="I557" s="12" t="str">
        <x:v>[('SBRAD', 100.0), ('NT', 100.0), ('AB', 100.0)]</x:v>
      </x:c>
      <x:c r="J557" s="12" t="str">
        <x:v>ptbxl_database.csv；ecg_id=4342；scp_codes</x:v>
      </x:c>
      <x:c r="K557" s="12" t="str">
        <x:v>12sl_statements.csv；ecg_id=4342；statements_ext_snomed</x:v>
      </x:c>
      <x:c r="L557" s="12"/>
      <x:c r="M557" s="12" t="str">
        <x:v>negative</x:v>
      </x:c>
      <x:c r="N557" s="12"/>
      <x:c r="O557" s="12" t="str">
        <x:v>negative</x:v>
      </x:c>
      <x:c r="P557" s="12" t="str">
        <x:f>IF(OR(M557="unavailable",O557="unavailable"),"不可评价",IF(OR(M557="equivocal",O557="equivocal"),"疑似",IF(AND(M557="positive",O557="positive"),"a",IF(O557="positive","b",IF(M557="positive","c","d")))))</x:f>
        <x:v>d</x:v>
      </x:c>
      <x:c r="Q557" s="12"/>
      <x:c r="R557" s="12" t="str">
        <x:v>negative</x:v>
      </x:c>
      <x:c r="S557" s="12"/>
      <x:c r="T557" s="12" t="str">
        <x:v>negative</x:v>
      </x:c>
      <x:c r="U557" s="12" t="str">
        <x:f>IF(OR(R557="unavailable",T557="unavailable"),"不可评价",IF(OR(R557="equivocal",T557="equivocal"),"疑似",IF(AND(R557="positive",T557="positive"),"a",IF(T557="positive","b",IF(R557="positive","c","d")))))</x:f>
        <x:v>d</x:v>
      </x:c>
      <x:c r="V557" s="12"/>
      <x:c r="W557" s="12" t="str">
        <x:v>negative</x:v>
      </x:c>
      <x:c r="X557" s="12"/>
      <x:c r="Y557" s="12" t="str">
        <x:v>negative</x:v>
      </x:c>
      <x:c r="Z557" s="12" t="str">
        <x:f>IF(OR(W557="unavailable",Y557="unavailable"),"不可评价",IF(OR(W557="equivocal",Y557="equivocal"),"疑似",IF(AND(W557="positive",Y557="positive"),"a",IF(Y557="positive","b",IF(W557="positive","c","d")))))</x:f>
        <x:v>d</x:v>
      </x:c>
      <x:c r="AA557" s="12" t="str">
        <x:f>IF(OR(M557="unavailable",O557="unavailable"),"不可评价",IF(AND(OR(M557="positive",M557="equivocal"),OR(O557="positive",O557="equivocal")),"a",IF(OR(O557="positive",O557="equivocal"),"b",IF(OR(M557="positive",M557="equivocal"),"c","d"))))</x:f>
        <x:v>d</x:v>
      </x:c>
      <x:c r="AB557" s="12" t="str">
        <x:f>IF(OR(M557="unavailable",O557="unavailable"),"不可评价",IF(AND(M557="positive",O557="positive"),"a",IF(O557="positive","b",IF(M557="positive","c","d"))))</x:f>
        <x:v>d</x:v>
      </x:c>
      <x:c r="AC557" s="12" t="str">
        <x:f>IF(OR(R557="unavailable",T557="unavailable"),"不可评价",IF(AND(OR(R557="positive",R557="equivocal"),OR(T557="positive",T557="equivocal")),"a",IF(OR(T557="positive",T557="equivocal"),"b",IF(OR(R557="positive",R557="equivocal"),"c","d"))))</x:f>
        <x:v>d</x:v>
      </x:c>
      <x:c r="AD557" s="12" t="str">
        <x:f>IF(OR(R557="unavailable",T557="unavailable"),"不可评价",IF(AND(R557="positive",T557="positive"),"a",IF(T557="positive","b",IF(R557="positive","c","d"))))</x:f>
        <x:v>d</x:v>
      </x:c>
      <x:c r="AE557" s="12" t="str">
        <x:f>IF(OR(W557="unavailable",Y557="unavailable"),"不可评价",IF(AND(OR(W557="positive",W557="equivocal"),OR(Y557="positive",Y557="equivocal")),"a",IF(OR(Y557="positive",Y557="equivocal"),"b",IF(OR(W557="positive",W557="equivocal"),"c","d"))))</x:f>
        <x:v>d</x:v>
      </x:c>
      <x:c r="AF557" s="12" t="str">
        <x:f>IF(OR(W557="unavailable",Y557="unavailable"),"不可评价",IF(AND(W557="positive",Y557="positive"),"a",IF(Y557="positive","b",IF(W557="positive","c","d"))))</x:f>
        <x:v>d</x:v>
      </x:c>
    </x:row>
    <x:row r="558" ht="24" customHeight="1">
      <x:c r="A558" s="12" t="str">
        <x:v>4354</x:v>
      </x:c>
      <x:c r="B558" s="12" t="str">
        <x:v>18056</x:v>
      </x:c>
      <x:c r="C558" s="21" t="n">
        <x:v>33057.43306712963</x:v>
      </x:c>
      <x:c r="D558" s="12" t="n">
        <x:v>54</x:v>
      </x:c>
      <x:c r="E558" s="12" t="n">
        <x:v>0</x:v>
      </x:c>
      <x:c r="F558" s="12" t="str">
        <x:v>未记录</x:v>
      </x:c>
      <x:c r="G558" s="12" t="n">
        <x:v>1</x:v>
      </x:c>
      <x:c r="H558" s="12" t="str">
        <x:v>{'NORM': 100.0, 'SR': 0.0}</x:v>
      </x:c>
      <x:c r="I558" s="12" t="str">
        <x:v>[('NSR', 100.0), ('BORDE', 100.0)]</x:v>
      </x:c>
      <x:c r="J558" s="12" t="str">
        <x:v>ptbxl_database.csv；ecg_id=4354；scp_codes</x:v>
      </x:c>
      <x:c r="K558" s="12" t="str">
        <x:v>12sl_statements.csv；ecg_id=4354；statements_ext_snomed</x:v>
      </x:c>
      <x:c r="L558" s="12"/>
      <x:c r="M558" s="12" t="str">
        <x:v>negative</x:v>
      </x:c>
      <x:c r="N558" s="12"/>
      <x:c r="O558" s="12" t="str">
        <x:v>negative</x:v>
      </x:c>
      <x:c r="P558" s="12" t="str">
        <x:f>IF(OR(M558="unavailable",O558="unavailable"),"不可评价",IF(OR(M558="equivocal",O558="equivocal"),"疑似",IF(AND(M558="positive",O558="positive"),"a",IF(O558="positive","b",IF(M558="positive","c","d")))))</x:f>
        <x:v>d</x:v>
      </x:c>
      <x:c r="Q558" s="12"/>
      <x:c r="R558" s="12" t="str">
        <x:v>negative</x:v>
      </x:c>
      <x:c r="S558" s="12"/>
      <x:c r="T558" s="12" t="str">
        <x:v>negative</x:v>
      </x:c>
      <x:c r="U558" s="12" t="str">
        <x:f>IF(OR(R558="unavailable",T558="unavailable"),"不可评价",IF(OR(R558="equivocal",T558="equivocal"),"疑似",IF(AND(R558="positive",T558="positive"),"a",IF(T558="positive","b",IF(R558="positive","c","d")))))</x:f>
        <x:v>d</x:v>
      </x:c>
      <x:c r="V558" s="12"/>
      <x:c r="W558" s="12" t="str">
        <x:v>negative</x:v>
      </x:c>
      <x:c r="X558" s="12"/>
      <x:c r="Y558" s="12" t="str">
        <x:v>negative</x:v>
      </x:c>
      <x:c r="Z558" s="12" t="str">
        <x:f>IF(OR(W558="unavailable",Y558="unavailable"),"不可评价",IF(OR(W558="equivocal",Y558="equivocal"),"疑似",IF(AND(W558="positive",Y558="positive"),"a",IF(Y558="positive","b",IF(W558="positive","c","d")))))</x:f>
        <x:v>d</x:v>
      </x:c>
      <x:c r="AA558" s="12" t="str">
        <x:f>IF(OR(M558="unavailable",O558="unavailable"),"不可评价",IF(AND(OR(M558="positive",M558="equivocal"),OR(O558="positive",O558="equivocal")),"a",IF(OR(O558="positive",O558="equivocal"),"b",IF(OR(M558="positive",M558="equivocal"),"c","d"))))</x:f>
        <x:v>d</x:v>
      </x:c>
      <x:c r="AB558" s="12" t="str">
        <x:f>IF(OR(M558="unavailable",O558="unavailable"),"不可评价",IF(AND(M558="positive",O558="positive"),"a",IF(O558="positive","b",IF(M558="positive","c","d"))))</x:f>
        <x:v>d</x:v>
      </x:c>
      <x:c r="AC558" s="12" t="str">
        <x:f>IF(OR(R558="unavailable",T558="unavailable"),"不可评价",IF(AND(OR(R558="positive",R558="equivocal"),OR(T558="positive",T558="equivocal")),"a",IF(OR(T558="positive",T558="equivocal"),"b",IF(OR(R558="positive",R558="equivocal"),"c","d"))))</x:f>
        <x:v>d</x:v>
      </x:c>
      <x:c r="AD558" s="12" t="str">
        <x:f>IF(OR(R558="unavailable",T558="unavailable"),"不可评价",IF(AND(R558="positive",T558="positive"),"a",IF(T558="positive","b",IF(R558="positive","c","d"))))</x:f>
        <x:v>d</x:v>
      </x:c>
      <x:c r="AE558" s="12" t="str">
        <x:f>IF(OR(W558="unavailable",Y558="unavailable"),"不可评价",IF(AND(OR(W558="positive",W558="equivocal"),OR(Y558="positive",Y558="equivocal")),"a",IF(OR(Y558="positive",Y558="equivocal"),"b",IF(OR(W558="positive",W558="equivocal"),"c","d"))))</x:f>
        <x:v>d</x:v>
      </x:c>
      <x:c r="AF558" s="12" t="str">
        <x:f>IF(OR(W558="unavailable",Y558="unavailable"),"不可评价",IF(AND(W558="positive",Y558="positive"),"a",IF(Y558="positive","b",IF(W558="positive","c","d"))))</x:f>
        <x:v>d</x:v>
      </x:c>
    </x:row>
    <x:row r="559" ht="24" customHeight="1">
      <x:c r="A559" s="12" t="str">
        <x:v>4362</x:v>
      </x:c>
      <x:c r="B559" s="12" t="str">
        <x:v>5313</x:v>
      </x:c>
      <x:c r="C559" s="21" t="n">
        <x:v>33057.7391087963</x:v>
      </x:c>
      <x:c r="D559" s="12" t="n">
        <x:v>78</x:v>
      </x:c>
      <x:c r="E559" s="12" t="n">
        <x:v>1</x:v>
      </x:c>
      <x:c r="F559" s="12" t="str">
        <x:v>未记录</x:v>
      </x:c>
      <x:c r="G559" s="12" t="n">
        <x:v>1</x:v>
      </x:c>
      <x:c r="H559" s="12" t="str">
        <x:v>{'IMI': 15.0, 'SR': 0.0}</x:v>
      </x:c>
      <x:c r="I559" s="12" t="str">
        <x:v>[('NSR', 100.0), ('NML', 100.0)]</x:v>
      </x:c>
      <x:c r="J559" s="12" t="str">
        <x:v>ptbxl_database.csv；ecg_id=4362；scp_codes</x:v>
      </x:c>
      <x:c r="K559" s="12" t="str">
        <x:v>12sl_statements.csv；ecg_id=4362；statements_ext_snomed</x:v>
      </x:c>
      <x:c r="L559" s="12"/>
      <x:c r="M559" s="12" t="str">
        <x:v>negative</x:v>
      </x:c>
      <x:c r="N559" s="12"/>
      <x:c r="O559" s="12" t="str">
        <x:v>negative</x:v>
      </x:c>
      <x:c r="P559" s="12" t="str">
        <x:f>IF(OR(M559="unavailable",O559="unavailable"),"不可评价",IF(OR(M559="equivocal",O559="equivocal"),"疑似",IF(AND(M559="positive",O559="positive"),"a",IF(O559="positive","b",IF(M559="positive","c","d")))))</x:f>
        <x:v>d</x:v>
      </x:c>
      <x:c r="Q559" s="12"/>
      <x:c r="R559" s="12" t="str">
        <x:v>negative</x:v>
      </x:c>
      <x:c r="S559" s="12"/>
      <x:c r="T559" s="12" t="str">
        <x:v>negative</x:v>
      </x:c>
      <x:c r="U559" s="12" t="str">
        <x:f>IF(OR(R559="unavailable",T559="unavailable"),"不可评价",IF(OR(R559="equivocal",T559="equivocal"),"疑似",IF(AND(R559="positive",T559="positive"),"a",IF(T559="positive","b",IF(R559="positive","c","d")))))</x:f>
        <x:v>d</x:v>
      </x:c>
      <x:c r="V559" s="12"/>
      <x:c r="W559" s="12" t="str">
        <x:v>negative</x:v>
      </x:c>
      <x:c r="X559" s="12"/>
      <x:c r="Y559" s="12" t="str">
        <x:v>negative</x:v>
      </x:c>
      <x:c r="Z559" s="12" t="str">
        <x:f>IF(OR(W559="unavailable",Y559="unavailable"),"不可评价",IF(OR(W559="equivocal",Y559="equivocal"),"疑似",IF(AND(W559="positive",Y559="positive"),"a",IF(Y559="positive","b",IF(W559="positive","c","d")))))</x:f>
        <x:v>d</x:v>
      </x:c>
      <x:c r="AA559" s="12" t="str">
        <x:f>IF(OR(M559="unavailable",O559="unavailable"),"不可评价",IF(AND(OR(M559="positive",M559="equivocal"),OR(O559="positive",O559="equivocal")),"a",IF(OR(O559="positive",O559="equivocal"),"b",IF(OR(M559="positive",M559="equivocal"),"c","d"))))</x:f>
        <x:v>d</x:v>
      </x:c>
      <x:c r="AB559" s="12" t="str">
        <x:f>IF(OR(M559="unavailable",O559="unavailable"),"不可评价",IF(AND(M559="positive",O559="positive"),"a",IF(O559="positive","b",IF(M559="positive","c","d"))))</x:f>
        <x:v>d</x:v>
      </x:c>
      <x:c r="AC559" s="12" t="str">
        <x:f>IF(OR(R559="unavailable",T559="unavailable"),"不可评价",IF(AND(OR(R559="positive",R559="equivocal"),OR(T559="positive",T559="equivocal")),"a",IF(OR(T559="positive",T559="equivocal"),"b",IF(OR(R559="positive",R559="equivocal"),"c","d"))))</x:f>
        <x:v>d</x:v>
      </x:c>
      <x:c r="AD559" s="12" t="str">
        <x:f>IF(OR(R559="unavailable",T559="unavailable"),"不可评价",IF(AND(R559="positive",T559="positive"),"a",IF(T559="positive","b",IF(R559="positive","c","d"))))</x:f>
        <x:v>d</x:v>
      </x:c>
      <x:c r="AE559" s="12" t="str">
        <x:f>IF(OR(W559="unavailable",Y559="unavailable"),"不可评价",IF(AND(OR(W559="positive",W559="equivocal"),OR(Y559="positive",Y559="equivocal")),"a",IF(OR(Y559="positive",Y559="equivocal"),"b",IF(OR(W559="positive",W559="equivocal"),"c","d"))))</x:f>
        <x:v>d</x:v>
      </x:c>
      <x:c r="AF559" s="12" t="str">
        <x:f>IF(OR(W559="unavailable",Y559="unavailable"),"不可评价",IF(AND(W559="positive",Y559="positive"),"a",IF(Y559="positive","b",IF(W559="positive","c","d"))))</x:f>
        <x:v>d</x:v>
      </x:c>
    </x:row>
    <x:row r="560" ht="24" customHeight="1">
      <x:c r="A560" s="12" t="str">
        <x:v>4363</x:v>
      </x:c>
      <x:c r="B560" s="12" t="str">
        <x:v>10867</x:v>
      </x:c>
      <x:c r="C560" s="21" t="n">
        <x:v>33058.24590277778</x:v>
      </x:c>
      <x:c r="D560" s="12" t="n">
        <x:v>51</x:v>
      </x:c>
      <x:c r="E560" s="12" t="n">
        <x:v>0</x:v>
      </x:c>
      <x:c r="F560" s="12" t="str">
        <x:v>存在</x:v>
      </x:c>
      <x:c r="G560" s="12" t="n">
        <x:v>0</x:v>
      </x:c>
      <x:c r="H560" s="12" t="str">
        <x:v>{'IRBBB': 100.0, 'LAO/LAE': 50.0, 'SR': 0.0}</x:v>
      </x:c>
      <x:c r="I560" s="12" t="str">
        <x:v>[('NSR', 100.0), ('RAD', 100.0), ('IRBBB', 100.0), ('BORDE', 100.0)]</x:v>
      </x:c>
      <x:c r="J560" s="12" t="str">
        <x:v>ptbxl_database.csv；ecg_id=4363；scp_codes</x:v>
      </x:c>
      <x:c r="K560" s="12" t="str">
        <x:v>12sl_statements.csv；ecg_id=4363；statements_ext_snomed</x:v>
      </x:c>
      <x:c r="L560" s="12"/>
      <x:c r="M560" s="12" t="str">
        <x:v>negative</x:v>
      </x:c>
      <x:c r="N560" s="12"/>
      <x:c r="O560" s="12" t="str">
        <x:v>negative</x:v>
      </x:c>
      <x:c r="P560" s="12" t="str">
        <x:f>IF(OR(M560="unavailable",O560="unavailable"),"不可评价",IF(OR(M560="equivocal",O560="equivocal"),"疑似",IF(AND(M560="positive",O560="positive"),"a",IF(O560="positive","b",IF(M560="positive","c","d")))))</x:f>
        <x:v>d</x:v>
      </x:c>
      <x:c r="Q560" s="12"/>
      <x:c r="R560" s="12" t="str">
        <x:v>negative</x:v>
      </x:c>
      <x:c r="S560" s="12"/>
      <x:c r="T560" s="12" t="str">
        <x:v>negative</x:v>
      </x:c>
      <x:c r="U560" s="12" t="str">
        <x:f>IF(OR(R560="unavailable",T560="unavailable"),"不可评价",IF(OR(R560="equivocal",T560="equivocal"),"疑似",IF(AND(R560="positive",T560="positive"),"a",IF(T560="positive","b",IF(R560="positive","c","d")))))</x:f>
        <x:v>d</x:v>
      </x:c>
      <x:c r="V560" s="12"/>
      <x:c r="W560" s="12" t="str">
        <x:v>negative</x:v>
      </x:c>
      <x:c r="X560" s="12"/>
      <x:c r="Y560" s="12" t="str">
        <x:v>negative</x:v>
      </x:c>
      <x:c r="Z560" s="12" t="str">
        <x:f>IF(OR(W560="unavailable",Y560="unavailable"),"不可评价",IF(OR(W560="equivocal",Y560="equivocal"),"疑似",IF(AND(W560="positive",Y560="positive"),"a",IF(Y560="positive","b",IF(W560="positive","c","d")))))</x:f>
        <x:v>d</x:v>
      </x:c>
      <x:c r="AA560" s="12" t="str">
        <x:f>IF(OR(M560="unavailable",O560="unavailable"),"不可评价",IF(AND(OR(M560="positive",M560="equivocal"),OR(O560="positive",O560="equivocal")),"a",IF(OR(O560="positive",O560="equivocal"),"b",IF(OR(M560="positive",M560="equivocal"),"c","d"))))</x:f>
        <x:v>d</x:v>
      </x:c>
      <x:c r="AB560" s="12" t="str">
        <x:f>IF(OR(M560="unavailable",O560="unavailable"),"不可评价",IF(AND(M560="positive",O560="positive"),"a",IF(O560="positive","b",IF(M560="positive","c","d"))))</x:f>
        <x:v>d</x:v>
      </x:c>
      <x:c r="AC560" s="12" t="str">
        <x:f>IF(OR(R560="unavailable",T560="unavailable"),"不可评价",IF(AND(OR(R560="positive",R560="equivocal"),OR(T560="positive",T560="equivocal")),"a",IF(OR(T560="positive",T560="equivocal"),"b",IF(OR(R560="positive",R560="equivocal"),"c","d"))))</x:f>
        <x:v>d</x:v>
      </x:c>
      <x:c r="AD560" s="12" t="str">
        <x:f>IF(OR(R560="unavailable",T560="unavailable"),"不可评价",IF(AND(R560="positive",T560="positive"),"a",IF(T560="positive","b",IF(R560="positive","c","d"))))</x:f>
        <x:v>d</x:v>
      </x:c>
      <x:c r="AE560" s="12" t="str">
        <x:f>IF(OR(W560="unavailable",Y560="unavailable"),"不可评价",IF(AND(OR(W560="positive",W560="equivocal"),OR(Y560="positive",Y560="equivocal")),"a",IF(OR(Y560="positive",Y560="equivocal"),"b",IF(OR(W560="positive",W560="equivocal"),"c","d"))))</x:f>
        <x:v>d</x:v>
      </x:c>
      <x:c r="AF560" s="12" t="str">
        <x:f>IF(OR(W560="unavailable",Y560="unavailable"),"不可评价",IF(AND(W560="positive",Y560="positive"),"a",IF(Y560="positive","b",IF(W560="positive","c","d"))))</x:f>
        <x:v>d</x:v>
      </x:c>
    </x:row>
    <x:row r="561" ht="24" customHeight="1">
      <x:c r="A561" s="12" t="str">
        <x:v>4391</x:v>
      </x:c>
      <x:c r="B561" s="12" t="str">
        <x:v>20939</x:v>
      </x:c>
      <x:c r="C561" s="21" t="n">
        <x:v>33061.339155092595</x:v>
      </x:c>
      <x:c r="D561" s="12" t="n">
        <x:v>73</x:v>
      </x:c>
      <x:c r="E561" s="12" t="n">
        <x:v>0</x:v>
      </x:c>
      <x:c r="F561" s="12" t="str">
        <x:v>未记录</x:v>
      </x:c>
      <x:c r="G561" s="12" t="n">
        <x:v>0</x:v>
      </x:c>
      <x:c r="H561" s="12" t="str">
        <x:v>{'ILMI': 50.0, 'ABQRS': 0.0, 'SR': 0.0}</x:v>
      </x:c>
      <x:c r="I561" s="12" t="str">
        <x:v>[('NSR', 100.0), ('IMI;AU', 100.0), ('AB', 100.0)]</x:v>
      </x:c>
      <x:c r="J561" s="12" t="str">
        <x:v>ptbxl_database.csv；ecg_id=4391；scp_codes</x:v>
      </x:c>
      <x:c r="K561" s="12" t="str">
        <x:v>12sl_statements.csv；ecg_id=4391；statements_ext_snomed</x:v>
      </x:c>
      <x:c r="L561" s="12"/>
      <x:c r="M561" s="12" t="str">
        <x:v>negative</x:v>
      </x:c>
      <x:c r="N561" s="12"/>
      <x:c r="O561" s="12" t="str">
        <x:v>negative</x:v>
      </x:c>
      <x:c r="P561" s="12" t="str">
        <x:f>IF(OR(M561="unavailable",O561="unavailable"),"不可评价",IF(OR(M561="equivocal",O561="equivocal"),"疑似",IF(AND(M561="positive",O561="positive"),"a",IF(O561="positive","b",IF(M561="positive","c","d")))))</x:f>
        <x:v>d</x:v>
      </x:c>
      <x:c r="Q561" s="12"/>
      <x:c r="R561" s="12" t="str">
        <x:v>negative</x:v>
      </x:c>
      <x:c r="S561" s="12"/>
      <x:c r="T561" s="12" t="str">
        <x:v>negative</x:v>
      </x:c>
      <x:c r="U561" s="12" t="str">
        <x:f>IF(OR(R561="unavailable",T561="unavailable"),"不可评价",IF(OR(R561="equivocal",T561="equivocal"),"疑似",IF(AND(R561="positive",T561="positive"),"a",IF(T561="positive","b",IF(R561="positive","c","d")))))</x:f>
        <x:v>d</x:v>
      </x:c>
      <x:c r="V561" s="12"/>
      <x:c r="W561" s="12" t="str">
        <x:v>negative</x:v>
      </x:c>
      <x:c r="X561" s="12"/>
      <x:c r="Y561" s="12" t="str">
        <x:v>negative</x:v>
      </x:c>
      <x:c r="Z561" s="12" t="str">
        <x:f>IF(OR(W561="unavailable",Y561="unavailable"),"不可评价",IF(OR(W561="equivocal",Y561="equivocal"),"疑似",IF(AND(W561="positive",Y561="positive"),"a",IF(Y561="positive","b",IF(W561="positive","c","d")))))</x:f>
        <x:v>d</x:v>
      </x:c>
      <x:c r="AA561" s="12" t="str">
        <x:f>IF(OR(M561="unavailable",O561="unavailable"),"不可评价",IF(AND(OR(M561="positive",M561="equivocal"),OR(O561="positive",O561="equivocal")),"a",IF(OR(O561="positive",O561="equivocal"),"b",IF(OR(M561="positive",M561="equivocal"),"c","d"))))</x:f>
        <x:v>d</x:v>
      </x:c>
      <x:c r="AB561" s="12" t="str">
        <x:f>IF(OR(M561="unavailable",O561="unavailable"),"不可评价",IF(AND(M561="positive",O561="positive"),"a",IF(O561="positive","b",IF(M561="positive","c","d"))))</x:f>
        <x:v>d</x:v>
      </x:c>
      <x:c r="AC561" s="12" t="str">
        <x:f>IF(OR(R561="unavailable",T561="unavailable"),"不可评价",IF(AND(OR(R561="positive",R561="equivocal"),OR(T561="positive",T561="equivocal")),"a",IF(OR(T561="positive",T561="equivocal"),"b",IF(OR(R561="positive",R561="equivocal"),"c","d"))))</x:f>
        <x:v>d</x:v>
      </x:c>
      <x:c r="AD561" s="12" t="str">
        <x:f>IF(OR(R561="unavailable",T561="unavailable"),"不可评价",IF(AND(R561="positive",T561="positive"),"a",IF(T561="positive","b",IF(R561="positive","c","d"))))</x:f>
        <x:v>d</x:v>
      </x:c>
      <x:c r="AE561" s="12" t="str">
        <x:f>IF(OR(W561="unavailable",Y561="unavailable"),"不可评价",IF(AND(OR(W561="positive",W561="equivocal"),OR(Y561="positive",Y561="equivocal")),"a",IF(OR(Y561="positive",Y561="equivocal"),"b",IF(OR(W561="positive",W561="equivocal"),"c","d"))))</x:f>
        <x:v>d</x:v>
      </x:c>
      <x:c r="AF561" s="12" t="str">
        <x:f>IF(OR(W561="unavailable",Y561="unavailable"),"不可评价",IF(AND(W561="positive",Y561="positive"),"a",IF(Y561="positive","b",IF(W561="positive","c","d"))))</x:f>
        <x:v>d</x:v>
      </x:c>
    </x:row>
    <x:row r="562" ht="24" customHeight="1">
      <x:c r="A562" s="12" t="str">
        <x:v>4410</x:v>
      </x:c>
      <x:c r="B562" s="12" t="str">
        <x:v>2647</x:v>
      </x:c>
      <x:c r="C562" s="21" t="n">
        <x:v>33063.402546296296</x:v>
      </x:c>
      <x:c r="D562" s="12" t="n">
        <x:v>67</x:v>
      </x:c>
      <x:c r="E562" s="12" t="n">
        <x:v>0</x:v>
      </x:c>
      <x:c r="F562" s="12" t="str">
        <x:v>存在</x:v>
      </x:c>
      <x:c r="G562" s="12" t="n">
        <x:v>1</x:v>
      </x:c>
      <x:c r="H562" s="12" t="str">
        <x:v>{'ISC_': 100.0, 'STD_': 0.0, 'SR': 0.0}</x:v>
      </x:c>
      <x:c r="I562" s="12" t="str">
        <x:v>[('NSR', 100.0), ('IVCB', 100.0), ('ILT', 100.0), ('AB', 100.0)]</x:v>
      </x:c>
      <x:c r="J562" s="12" t="str">
        <x:v>ptbxl_database.csv；ecg_id=4410；scp_codes</x:v>
      </x:c>
      <x:c r="K562" s="12" t="str">
        <x:v>12sl_statements.csv；ecg_id=4410；statements_ext_snomed</x:v>
      </x:c>
      <x:c r="L562" s="12"/>
      <x:c r="M562" s="12" t="str">
        <x:v>negative</x:v>
      </x:c>
      <x:c r="N562" s="12"/>
      <x:c r="O562" s="12" t="str">
        <x:v>negative</x:v>
      </x:c>
      <x:c r="P562" s="12" t="str">
        <x:f>IF(OR(M562="unavailable",O562="unavailable"),"不可评价",IF(OR(M562="equivocal",O562="equivocal"),"疑似",IF(AND(M562="positive",O562="positive"),"a",IF(O562="positive","b",IF(M562="positive","c","d")))))</x:f>
        <x:v>d</x:v>
      </x:c>
      <x:c r="Q562" s="12"/>
      <x:c r="R562" s="12" t="str">
        <x:v>negative</x:v>
      </x:c>
      <x:c r="S562" s="12"/>
      <x:c r="T562" s="12" t="str">
        <x:v>negative</x:v>
      </x:c>
      <x:c r="U562" s="12" t="str">
        <x:f>IF(OR(R562="unavailable",T562="unavailable"),"不可评价",IF(OR(R562="equivocal",T562="equivocal"),"疑似",IF(AND(R562="positive",T562="positive"),"a",IF(T562="positive","b",IF(R562="positive","c","d")))))</x:f>
        <x:v>d</x:v>
      </x:c>
      <x:c r="V562" s="12"/>
      <x:c r="W562" s="12" t="str">
        <x:v>negative</x:v>
      </x:c>
      <x:c r="X562" s="12"/>
      <x:c r="Y562" s="12" t="str">
        <x:v>negative</x:v>
      </x:c>
      <x:c r="Z562" s="12" t="str">
        <x:f>IF(OR(W562="unavailable",Y562="unavailable"),"不可评价",IF(OR(W562="equivocal",Y562="equivocal"),"疑似",IF(AND(W562="positive",Y562="positive"),"a",IF(Y562="positive","b",IF(W562="positive","c","d")))))</x:f>
        <x:v>d</x:v>
      </x:c>
      <x:c r="AA562" s="12" t="str">
        <x:f>IF(OR(M562="unavailable",O562="unavailable"),"不可评价",IF(AND(OR(M562="positive",M562="equivocal"),OR(O562="positive",O562="equivocal")),"a",IF(OR(O562="positive",O562="equivocal"),"b",IF(OR(M562="positive",M562="equivocal"),"c","d"))))</x:f>
        <x:v>d</x:v>
      </x:c>
      <x:c r="AB562" s="12" t="str">
        <x:f>IF(OR(M562="unavailable",O562="unavailable"),"不可评价",IF(AND(M562="positive",O562="positive"),"a",IF(O562="positive","b",IF(M562="positive","c","d"))))</x:f>
        <x:v>d</x:v>
      </x:c>
      <x:c r="AC562" s="12" t="str">
        <x:f>IF(OR(R562="unavailable",T562="unavailable"),"不可评价",IF(AND(OR(R562="positive",R562="equivocal"),OR(T562="positive",T562="equivocal")),"a",IF(OR(T562="positive",T562="equivocal"),"b",IF(OR(R562="positive",R562="equivocal"),"c","d"))))</x:f>
        <x:v>d</x:v>
      </x:c>
      <x:c r="AD562" s="12" t="str">
        <x:f>IF(OR(R562="unavailable",T562="unavailable"),"不可评价",IF(AND(R562="positive",T562="positive"),"a",IF(T562="positive","b",IF(R562="positive","c","d"))))</x:f>
        <x:v>d</x:v>
      </x:c>
      <x:c r="AE562" s="12" t="str">
        <x:f>IF(OR(W562="unavailable",Y562="unavailable"),"不可评价",IF(AND(OR(W562="positive",W562="equivocal"),OR(Y562="positive",Y562="equivocal")),"a",IF(OR(Y562="positive",Y562="equivocal"),"b",IF(OR(W562="positive",W562="equivocal"),"c","d"))))</x:f>
        <x:v>d</x:v>
      </x:c>
      <x:c r="AF562" s="12" t="str">
        <x:f>IF(OR(W562="unavailable",Y562="unavailable"),"不可评价",IF(AND(W562="positive",Y562="positive"),"a",IF(Y562="positive","b",IF(W562="positive","c","d"))))</x:f>
        <x:v>d</x:v>
      </x:c>
    </x:row>
    <x:row r="563" ht="24" customHeight="1">
      <x:c r="A563" s="12" t="str">
        <x:v>4414</x:v>
      </x:c>
      <x:c r="B563" s="12" t="str">
        <x:v>8880</x:v>
      </x:c>
      <x:c r="C563" s="21" t="n">
        <x:v>33063.50219907407</x:v>
      </x:c>
      <x:c r="D563" s="12" t="n">
        <x:v>39</x:v>
      </x:c>
      <x:c r="E563" s="12" t="n">
        <x:v>0</x:v>
      </x:c>
      <x:c r="F563" s="12" t="str">
        <x:v>存在</x:v>
      </x:c>
      <x:c r="G563" s="12" t="n">
        <x:v>1</x:v>
      </x:c>
      <x:c r="H563" s="12" t="str">
        <x:v>{'NORM': 100.0, 'SBRAD': 0.0}</x:v>
      </x:c>
      <x:c r="I563" s="12" t="str">
        <x:v>[('SBRAD', 100.0), ('ABR', 100.0)]</x:v>
      </x:c>
      <x:c r="J563" s="12" t="str">
        <x:v>ptbxl_database.csv；ecg_id=4414；scp_codes</x:v>
      </x:c>
      <x:c r="K563" s="12" t="str">
        <x:v>12sl_statements.csv；ecg_id=4414；statements_ext_snomed</x:v>
      </x:c>
      <x:c r="L563" s="12"/>
      <x:c r="M563" s="12" t="str">
        <x:v>negative</x:v>
      </x:c>
      <x:c r="N563" s="12"/>
      <x:c r="O563" s="12" t="str">
        <x:v>negative</x:v>
      </x:c>
      <x:c r="P563" s="12" t="str">
        <x:f>IF(OR(M563="unavailable",O563="unavailable"),"不可评价",IF(OR(M563="equivocal",O563="equivocal"),"疑似",IF(AND(M563="positive",O563="positive"),"a",IF(O563="positive","b",IF(M563="positive","c","d")))))</x:f>
        <x:v>d</x:v>
      </x:c>
      <x:c r="Q563" s="12"/>
      <x:c r="R563" s="12" t="str">
        <x:v>negative</x:v>
      </x:c>
      <x:c r="S563" s="12"/>
      <x:c r="T563" s="12" t="str">
        <x:v>negative</x:v>
      </x:c>
      <x:c r="U563" s="12" t="str">
        <x:f>IF(OR(R563="unavailable",T563="unavailable"),"不可评价",IF(OR(R563="equivocal",T563="equivocal"),"疑似",IF(AND(R563="positive",T563="positive"),"a",IF(T563="positive","b",IF(R563="positive","c","d")))))</x:f>
        <x:v>d</x:v>
      </x:c>
      <x:c r="V563" s="12"/>
      <x:c r="W563" s="12" t="str">
        <x:v>negative</x:v>
      </x:c>
      <x:c r="X563" s="12"/>
      <x:c r="Y563" s="12" t="str">
        <x:v>negative</x:v>
      </x:c>
      <x:c r="Z563" s="12" t="str">
        <x:f>IF(OR(W563="unavailable",Y563="unavailable"),"不可评价",IF(OR(W563="equivocal",Y563="equivocal"),"疑似",IF(AND(W563="positive",Y563="positive"),"a",IF(Y563="positive","b",IF(W563="positive","c","d")))))</x:f>
        <x:v>d</x:v>
      </x:c>
      <x:c r="AA563" s="12" t="str">
        <x:f>IF(OR(M563="unavailable",O563="unavailable"),"不可评价",IF(AND(OR(M563="positive",M563="equivocal"),OR(O563="positive",O563="equivocal")),"a",IF(OR(O563="positive",O563="equivocal"),"b",IF(OR(M563="positive",M563="equivocal"),"c","d"))))</x:f>
        <x:v>d</x:v>
      </x:c>
      <x:c r="AB563" s="12" t="str">
        <x:f>IF(OR(M563="unavailable",O563="unavailable"),"不可评价",IF(AND(M563="positive",O563="positive"),"a",IF(O563="positive","b",IF(M563="positive","c","d"))))</x:f>
        <x:v>d</x:v>
      </x:c>
      <x:c r="AC563" s="12" t="str">
        <x:f>IF(OR(R563="unavailable",T563="unavailable"),"不可评价",IF(AND(OR(R563="positive",R563="equivocal"),OR(T563="positive",T563="equivocal")),"a",IF(OR(T563="positive",T563="equivocal"),"b",IF(OR(R563="positive",R563="equivocal"),"c","d"))))</x:f>
        <x:v>d</x:v>
      </x:c>
      <x:c r="AD563" s="12" t="str">
        <x:f>IF(OR(R563="unavailable",T563="unavailable"),"不可评价",IF(AND(R563="positive",T563="positive"),"a",IF(T563="positive","b",IF(R563="positive","c","d"))))</x:f>
        <x:v>d</x:v>
      </x:c>
      <x:c r="AE563" s="12" t="str">
        <x:f>IF(OR(W563="unavailable",Y563="unavailable"),"不可评价",IF(AND(OR(W563="positive",W563="equivocal"),OR(Y563="positive",Y563="equivocal")),"a",IF(OR(Y563="positive",Y563="equivocal"),"b",IF(OR(W563="positive",W563="equivocal"),"c","d"))))</x:f>
        <x:v>d</x:v>
      </x:c>
      <x:c r="AF563" s="12" t="str">
        <x:f>IF(OR(W563="unavailable",Y563="unavailable"),"不可评价",IF(AND(W563="positive",Y563="positive"),"a",IF(Y563="positive","b",IF(W563="positive","c","d"))))</x:f>
        <x:v>d</x:v>
      </x:c>
    </x:row>
    <x:row r="564" ht="24" customHeight="1">
      <x:c r="A564" s="12" t="str">
        <x:v>4417</x:v>
      </x:c>
      <x:c r="B564" s="12" t="str">
        <x:v>8745</x:v>
      </x:c>
      <x:c r="C564" s="21" t="n">
        <x:v>33063.5828125</x:v>
      </x:c>
      <x:c r="D564" s="12" t="n">
        <x:v>62</x:v>
      </x:c>
      <x:c r="E564" s="12" t="n">
        <x:v>0</x:v>
      </x:c>
      <x:c r="F564" s="12" t="str">
        <x:v>未记录</x:v>
      </x:c>
      <x:c r="G564" s="12" t="n">
        <x:v>1</x:v>
      </x:c>
      <x:c r="H564" s="12" t="str">
        <x:v>{'NORM': 50.0, 'SR': 0.0}</x:v>
      </x:c>
      <x:c r="I564" s="12" t="str">
        <x:v>[('NSR', 100.0), ('NML', 100.0)]</x:v>
      </x:c>
      <x:c r="J564" s="12" t="str">
        <x:v>ptbxl_database.csv；ecg_id=4417；scp_codes</x:v>
      </x:c>
      <x:c r="K564" s="12" t="str">
        <x:v>12sl_statements.csv；ecg_id=4417；statements_ext_snomed</x:v>
      </x:c>
      <x:c r="L564" s="12"/>
      <x:c r="M564" s="12" t="str">
        <x:v>negative</x:v>
      </x:c>
      <x:c r="N564" s="12"/>
      <x:c r="O564" s="12" t="str">
        <x:v>negative</x:v>
      </x:c>
      <x:c r="P564" s="12" t="str">
        <x:f>IF(OR(M564="unavailable",O564="unavailable"),"不可评价",IF(OR(M564="equivocal",O564="equivocal"),"疑似",IF(AND(M564="positive",O564="positive"),"a",IF(O564="positive","b",IF(M564="positive","c","d")))))</x:f>
        <x:v>d</x:v>
      </x:c>
      <x:c r="Q564" s="12"/>
      <x:c r="R564" s="12" t="str">
        <x:v>negative</x:v>
      </x:c>
      <x:c r="S564" s="12"/>
      <x:c r="T564" s="12" t="str">
        <x:v>negative</x:v>
      </x:c>
      <x:c r="U564" s="12" t="str">
        <x:f>IF(OR(R564="unavailable",T564="unavailable"),"不可评价",IF(OR(R564="equivocal",T564="equivocal"),"疑似",IF(AND(R564="positive",T564="positive"),"a",IF(T564="positive","b",IF(R564="positive","c","d")))))</x:f>
        <x:v>d</x:v>
      </x:c>
      <x:c r="V564" s="12"/>
      <x:c r="W564" s="12" t="str">
        <x:v>negative</x:v>
      </x:c>
      <x:c r="X564" s="12"/>
      <x:c r="Y564" s="12" t="str">
        <x:v>negative</x:v>
      </x:c>
      <x:c r="Z564" s="12" t="str">
        <x:f>IF(OR(W564="unavailable",Y564="unavailable"),"不可评价",IF(OR(W564="equivocal",Y564="equivocal"),"疑似",IF(AND(W564="positive",Y564="positive"),"a",IF(Y564="positive","b",IF(W564="positive","c","d")))))</x:f>
        <x:v>d</x:v>
      </x:c>
      <x:c r="AA564" s="12" t="str">
        <x:f>IF(OR(M564="unavailable",O564="unavailable"),"不可评价",IF(AND(OR(M564="positive",M564="equivocal"),OR(O564="positive",O564="equivocal")),"a",IF(OR(O564="positive",O564="equivocal"),"b",IF(OR(M564="positive",M564="equivocal"),"c","d"))))</x:f>
        <x:v>d</x:v>
      </x:c>
      <x:c r="AB564" s="12" t="str">
        <x:f>IF(OR(M564="unavailable",O564="unavailable"),"不可评价",IF(AND(M564="positive",O564="positive"),"a",IF(O564="positive","b",IF(M564="positive","c","d"))))</x:f>
        <x:v>d</x:v>
      </x:c>
      <x:c r="AC564" s="12" t="str">
        <x:f>IF(OR(R564="unavailable",T564="unavailable"),"不可评价",IF(AND(OR(R564="positive",R564="equivocal"),OR(T564="positive",T564="equivocal")),"a",IF(OR(T564="positive",T564="equivocal"),"b",IF(OR(R564="positive",R564="equivocal"),"c","d"))))</x:f>
        <x:v>d</x:v>
      </x:c>
      <x:c r="AD564" s="12" t="str">
        <x:f>IF(OR(R564="unavailable",T564="unavailable"),"不可评价",IF(AND(R564="positive",T564="positive"),"a",IF(T564="positive","b",IF(R564="positive","c","d"))))</x:f>
        <x:v>d</x:v>
      </x:c>
      <x:c r="AE564" s="12" t="str">
        <x:f>IF(OR(W564="unavailable",Y564="unavailable"),"不可评价",IF(AND(OR(W564="positive",W564="equivocal"),OR(Y564="positive",Y564="equivocal")),"a",IF(OR(Y564="positive",Y564="equivocal"),"b",IF(OR(W564="positive",W564="equivocal"),"c","d"))))</x:f>
        <x:v>d</x:v>
      </x:c>
      <x:c r="AF564" s="12" t="str">
        <x:f>IF(OR(W564="unavailable",Y564="unavailable"),"不可评价",IF(AND(W564="positive",Y564="positive"),"a",IF(Y564="positive","b",IF(W564="positive","c","d"))))</x:f>
        <x:v>d</x:v>
      </x:c>
    </x:row>
    <x:row r="565" ht="24" customHeight="1">
      <x:c r="A565" s="12" t="str">
        <x:v>4432</x:v>
      </x:c>
      <x:c r="B565" s="12" t="str">
        <x:v>510</x:v>
      </x:c>
      <x:c r="C565" s="21" t="n">
        <x:v>33065.58797453704</x:v>
      </x:c>
      <x:c r="D565" s="12" t="n">
        <x:v>68</x:v>
      </x:c>
      <x:c r="E565" s="12" t="n">
        <x:v>0</x:v>
      </x:c>
      <x:c r="F565" s="12" t="str">
        <x:v>未记录</x:v>
      </x:c>
      <x:c r="G565" s="12" t="n">
        <x:v>1</x:v>
      </x:c>
      <x:c r="H565" s="12" t="str">
        <x:v>{'CLBBB': 100.0, 'SR': 0.0}</x:v>
      </x:c>
      <x:c r="I565" s="12" t="str">
        <x:v>[('SBRAD', 100.0), ('LAD3', 100.0), ('LBBB', 100.0), ('AB', 100.0)]</x:v>
      </x:c>
      <x:c r="J565" s="12" t="str">
        <x:v>ptbxl_database.csv；ecg_id=4432；scp_codes</x:v>
      </x:c>
      <x:c r="K565" s="12" t="str">
        <x:v>12sl_statements.csv；ecg_id=4432；statements_ext_snomed</x:v>
      </x:c>
      <x:c r="L565" s="12"/>
      <x:c r="M565" s="12" t="str">
        <x:v>negative</x:v>
      </x:c>
      <x:c r="N565" s="12"/>
      <x:c r="O565" s="12" t="str">
        <x:v>negative</x:v>
      </x:c>
      <x:c r="P565" s="12" t="str">
        <x:f>IF(OR(M565="unavailable",O565="unavailable"),"不可评价",IF(OR(M565="equivocal",O565="equivocal"),"疑似",IF(AND(M565="positive",O565="positive"),"a",IF(O565="positive","b",IF(M565="positive","c","d")))))</x:f>
        <x:v>d</x:v>
      </x:c>
      <x:c r="Q565" s="12" t="n">
        <x:v>100</x:v>
      </x:c>
      <x:c r="R565" s="12" t="str">
        <x:v>positive</x:v>
      </x:c>
      <x:c r="S565" s="12" t="n">
        <x:v>100</x:v>
      </x:c>
      <x:c r="T565" s="12" t="str">
        <x:v>positive</x:v>
      </x:c>
      <x:c r="U565" s="12" t="str">
        <x:f>IF(OR(R565="unavailable",T565="unavailable"),"不可评价",IF(OR(R565="equivocal",T565="equivocal"),"疑似",IF(AND(R565="positive",T565="positive"),"a",IF(T565="positive","b",IF(R565="positive","c","d")))))</x:f>
        <x:v>a</x:v>
      </x:c>
      <x:c r="V565" s="12"/>
      <x:c r="W565" s="12" t="str">
        <x:v>negative</x:v>
      </x:c>
      <x:c r="X565" s="12"/>
      <x:c r="Y565" s="12" t="str">
        <x:v>negative</x:v>
      </x:c>
      <x:c r="Z565" s="12" t="str">
        <x:f>IF(OR(W565="unavailable",Y565="unavailable"),"不可评价",IF(OR(W565="equivocal",Y565="equivocal"),"疑似",IF(AND(W565="positive",Y565="positive"),"a",IF(Y565="positive","b",IF(W565="positive","c","d")))))</x:f>
        <x:v>d</x:v>
      </x:c>
      <x:c r="AA565" s="12" t="str">
        <x:f>IF(OR(M565="unavailable",O565="unavailable"),"不可评价",IF(AND(OR(M565="positive",M565="equivocal"),OR(O565="positive",O565="equivocal")),"a",IF(OR(O565="positive",O565="equivocal"),"b",IF(OR(M565="positive",M565="equivocal"),"c","d"))))</x:f>
        <x:v>d</x:v>
      </x:c>
      <x:c r="AB565" s="12" t="str">
        <x:f>IF(OR(M565="unavailable",O565="unavailable"),"不可评价",IF(AND(M565="positive",O565="positive"),"a",IF(O565="positive","b",IF(M565="positive","c","d"))))</x:f>
        <x:v>d</x:v>
      </x:c>
      <x:c r="AC565" s="12" t="str">
        <x:f>IF(OR(R565="unavailable",T565="unavailable"),"不可评价",IF(AND(OR(R565="positive",R565="equivocal"),OR(T565="positive",T565="equivocal")),"a",IF(OR(T565="positive",T565="equivocal"),"b",IF(OR(R565="positive",R565="equivocal"),"c","d"))))</x:f>
        <x:v>a</x:v>
      </x:c>
      <x:c r="AD565" s="12" t="str">
        <x:f>IF(OR(R565="unavailable",T565="unavailable"),"不可评价",IF(AND(R565="positive",T565="positive"),"a",IF(T565="positive","b",IF(R565="positive","c","d"))))</x:f>
        <x:v>a</x:v>
      </x:c>
      <x:c r="AE565" s="12" t="str">
        <x:f>IF(OR(W565="unavailable",Y565="unavailable"),"不可评价",IF(AND(OR(W565="positive",W565="equivocal"),OR(Y565="positive",Y565="equivocal")),"a",IF(OR(Y565="positive",Y565="equivocal"),"b",IF(OR(W565="positive",W565="equivocal"),"c","d"))))</x:f>
        <x:v>d</x:v>
      </x:c>
      <x:c r="AF565" s="12" t="str">
        <x:f>IF(OR(W565="unavailable",Y565="unavailable"),"不可评价",IF(AND(W565="positive",Y565="positive"),"a",IF(Y565="positive","b",IF(W565="positive","c","d"))))</x:f>
        <x:v>d</x:v>
      </x:c>
    </x:row>
    <x:row r="566" ht="24" customHeight="1">
      <x:c r="A566" s="12" t="str">
        <x:v>4444</x:v>
      </x:c>
      <x:c r="B566" s="12" t="str">
        <x:v>5256</x:v>
      </x:c>
      <x:c r="C566" s="21" t="n">
        <x:v>33067.67616898148</x:v>
      </x:c>
      <x:c r="D566" s="12" t="n">
        <x:v>57</x:v>
      </x:c>
      <x:c r="E566" s="12" t="n">
        <x:v>0</x:v>
      </x:c>
      <x:c r="F566" s="12" t="str">
        <x:v>未记录</x:v>
      </x:c>
      <x:c r="G566" s="12" t="n">
        <x:v>1</x:v>
      </x:c>
      <x:c r="H566" s="12" t="str">
        <x:v>{'LAFB': 100.0}</x:v>
      </x:c>
      <x:c r="I566" s="12" t="str">
        <x:v>[('NSR', 100.0), ('LAD3', 100.0), ('AB', 100.0)]</x:v>
      </x:c>
      <x:c r="J566" s="12" t="str">
        <x:v>ptbxl_database.csv；ecg_id=4444；scp_codes</x:v>
      </x:c>
      <x:c r="K566" s="12" t="str">
        <x:v>12sl_statements.csv；ecg_id=4444；statements_ext_snomed</x:v>
      </x:c>
      <x:c r="L566" s="12"/>
      <x:c r="M566" s="12" t="str">
        <x:v>negative</x:v>
      </x:c>
      <x:c r="N566" s="12"/>
      <x:c r="O566" s="12" t="str">
        <x:v>negative</x:v>
      </x:c>
      <x:c r="P566" s="12" t="str">
        <x:f>IF(OR(M566="unavailable",O566="unavailable"),"不可评价",IF(OR(M566="equivocal",O566="equivocal"),"疑似",IF(AND(M566="positive",O566="positive"),"a",IF(O566="positive","b",IF(M566="positive","c","d")))))</x:f>
        <x:v>d</x:v>
      </x:c>
      <x:c r="Q566" s="12"/>
      <x:c r="R566" s="12" t="str">
        <x:v>negative</x:v>
      </x:c>
      <x:c r="S566" s="12"/>
      <x:c r="T566" s="12" t="str">
        <x:v>negative</x:v>
      </x:c>
      <x:c r="U566" s="12" t="str">
        <x:f>IF(OR(R566="unavailable",T566="unavailable"),"不可评价",IF(OR(R566="equivocal",T566="equivocal"),"疑似",IF(AND(R566="positive",T566="positive"),"a",IF(T566="positive","b",IF(R566="positive","c","d")))))</x:f>
        <x:v>d</x:v>
      </x:c>
      <x:c r="V566" s="12"/>
      <x:c r="W566" s="12" t="str">
        <x:v>negative</x:v>
      </x:c>
      <x:c r="X566" s="12"/>
      <x:c r="Y566" s="12" t="str">
        <x:v>negative</x:v>
      </x:c>
      <x:c r="Z566" s="12" t="str">
        <x:f>IF(OR(W566="unavailable",Y566="unavailable"),"不可评价",IF(OR(W566="equivocal",Y566="equivocal"),"疑似",IF(AND(W566="positive",Y566="positive"),"a",IF(Y566="positive","b",IF(W566="positive","c","d")))))</x:f>
        <x:v>d</x:v>
      </x:c>
      <x:c r="AA566" s="12" t="str">
        <x:f>IF(OR(M566="unavailable",O566="unavailable"),"不可评价",IF(AND(OR(M566="positive",M566="equivocal"),OR(O566="positive",O566="equivocal")),"a",IF(OR(O566="positive",O566="equivocal"),"b",IF(OR(M566="positive",M566="equivocal"),"c","d"))))</x:f>
        <x:v>d</x:v>
      </x:c>
      <x:c r="AB566" s="12" t="str">
        <x:f>IF(OR(M566="unavailable",O566="unavailable"),"不可评价",IF(AND(M566="positive",O566="positive"),"a",IF(O566="positive","b",IF(M566="positive","c","d"))))</x:f>
        <x:v>d</x:v>
      </x:c>
      <x:c r="AC566" s="12" t="str">
        <x:f>IF(OR(R566="unavailable",T566="unavailable"),"不可评价",IF(AND(OR(R566="positive",R566="equivocal"),OR(T566="positive",T566="equivocal")),"a",IF(OR(T566="positive",T566="equivocal"),"b",IF(OR(R566="positive",R566="equivocal"),"c","d"))))</x:f>
        <x:v>d</x:v>
      </x:c>
      <x:c r="AD566" s="12" t="str">
        <x:f>IF(OR(R566="unavailable",T566="unavailable"),"不可评价",IF(AND(R566="positive",T566="positive"),"a",IF(T566="positive","b",IF(R566="positive","c","d"))))</x:f>
        <x:v>d</x:v>
      </x:c>
      <x:c r="AE566" s="12" t="str">
        <x:f>IF(OR(W566="unavailable",Y566="unavailable"),"不可评价",IF(AND(OR(W566="positive",W566="equivocal"),OR(Y566="positive",Y566="equivocal")),"a",IF(OR(Y566="positive",Y566="equivocal"),"b",IF(OR(W566="positive",W566="equivocal"),"c","d"))))</x:f>
        <x:v>d</x:v>
      </x:c>
      <x:c r="AF566" s="12" t="str">
        <x:f>IF(OR(W566="unavailable",Y566="unavailable"),"不可评价",IF(AND(W566="positive",Y566="positive"),"a",IF(Y566="positive","b",IF(W566="positive","c","d"))))</x:f>
        <x:v>d</x:v>
      </x:c>
    </x:row>
    <x:row r="567" ht="24" customHeight="1">
      <x:c r="A567" s="12" t="str">
        <x:v>4448</x:v>
      </x:c>
      <x:c r="B567" s="12" t="str">
        <x:v>14291</x:v>
      </x:c>
      <x:c r="C567" s="21" t="n">
        <x:v>33068.31141203704</x:v>
      </x:c>
      <x:c r="D567" s="12" t="n">
        <x:v>63</x:v>
      </x:c>
      <x:c r="E567" s="12" t="n">
        <x:v>0</x:v>
      </x:c>
      <x:c r="F567" s="12" t="str">
        <x:v>未记录</x:v>
      </x:c>
      <x:c r="G567" s="12" t="n">
        <x:v>1</x:v>
      </x:c>
      <x:c r="H567" s="12" t="str">
        <x:v>{'IMI': 50.0, 'ASMI': 50.0, 'ABQRS': 0.0, 'SR': 0.0}</x:v>
      </x:c>
      <x:c r="I567" s="12" t="str">
        <x:v>[('NSR', 100.0), ('LOWV', 100.0), ('AMI;AU', 15.0), ('AB', 100.0)]</x:v>
      </x:c>
      <x:c r="J567" s="12" t="str">
        <x:v>ptbxl_database.csv；ecg_id=4448；scp_codes</x:v>
      </x:c>
      <x:c r="K567" s="12" t="str">
        <x:v>12sl_statements.csv；ecg_id=4448；statements_ext_snomed</x:v>
      </x:c>
      <x:c r="L567" s="12"/>
      <x:c r="M567" s="12" t="str">
        <x:v>negative</x:v>
      </x:c>
      <x:c r="N567" s="12"/>
      <x:c r="O567" s="12" t="str">
        <x:v>negative</x:v>
      </x:c>
      <x:c r="P567" s="12" t="str">
        <x:f>IF(OR(M567="unavailable",O567="unavailable"),"不可评价",IF(OR(M567="equivocal",O567="equivocal"),"疑似",IF(AND(M567="positive",O567="positive"),"a",IF(O567="positive","b",IF(M567="positive","c","d")))))</x:f>
        <x:v>d</x:v>
      </x:c>
      <x:c r="Q567" s="12"/>
      <x:c r="R567" s="12" t="str">
        <x:v>negative</x:v>
      </x:c>
      <x:c r="S567" s="12"/>
      <x:c r="T567" s="12" t="str">
        <x:v>negative</x:v>
      </x:c>
      <x:c r="U567" s="12" t="str">
        <x:f>IF(OR(R567="unavailable",T567="unavailable"),"不可评价",IF(OR(R567="equivocal",T567="equivocal"),"疑似",IF(AND(R567="positive",T567="positive"),"a",IF(T567="positive","b",IF(R567="positive","c","d")))))</x:f>
        <x:v>d</x:v>
      </x:c>
      <x:c r="V567" s="12"/>
      <x:c r="W567" s="12" t="str">
        <x:v>negative</x:v>
      </x:c>
      <x:c r="X567" s="12"/>
      <x:c r="Y567" s="12" t="str">
        <x:v>negative</x:v>
      </x:c>
      <x:c r="Z567" s="12" t="str">
        <x:f>IF(OR(W567="unavailable",Y567="unavailable"),"不可评价",IF(OR(W567="equivocal",Y567="equivocal"),"疑似",IF(AND(W567="positive",Y567="positive"),"a",IF(Y567="positive","b",IF(W567="positive","c","d")))))</x:f>
        <x:v>d</x:v>
      </x:c>
      <x:c r="AA567" s="12" t="str">
        <x:f>IF(OR(M567="unavailable",O567="unavailable"),"不可评价",IF(AND(OR(M567="positive",M567="equivocal"),OR(O567="positive",O567="equivocal")),"a",IF(OR(O567="positive",O567="equivocal"),"b",IF(OR(M567="positive",M567="equivocal"),"c","d"))))</x:f>
        <x:v>d</x:v>
      </x:c>
      <x:c r="AB567" s="12" t="str">
        <x:f>IF(OR(M567="unavailable",O567="unavailable"),"不可评价",IF(AND(M567="positive",O567="positive"),"a",IF(O567="positive","b",IF(M567="positive","c","d"))))</x:f>
        <x:v>d</x:v>
      </x:c>
      <x:c r="AC567" s="12" t="str">
        <x:f>IF(OR(R567="unavailable",T567="unavailable"),"不可评价",IF(AND(OR(R567="positive",R567="equivocal"),OR(T567="positive",T567="equivocal")),"a",IF(OR(T567="positive",T567="equivocal"),"b",IF(OR(R567="positive",R567="equivocal"),"c","d"))))</x:f>
        <x:v>d</x:v>
      </x:c>
      <x:c r="AD567" s="12" t="str">
        <x:f>IF(OR(R567="unavailable",T567="unavailable"),"不可评价",IF(AND(R567="positive",T567="positive"),"a",IF(T567="positive","b",IF(R567="positive","c","d"))))</x:f>
        <x:v>d</x:v>
      </x:c>
      <x:c r="AE567" s="12" t="str">
        <x:f>IF(OR(W567="unavailable",Y567="unavailable"),"不可评价",IF(AND(OR(W567="positive",W567="equivocal"),OR(Y567="positive",Y567="equivocal")),"a",IF(OR(Y567="positive",Y567="equivocal"),"b",IF(OR(W567="positive",W567="equivocal"),"c","d"))))</x:f>
        <x:v>d</x:v>
      </x:c>
      <x:c r="AF567" s="12" t="str">
        <x:f>IF(OR(W567="unavailable",Y567="unavailable"),"不可评价",IF(AND(W567="positive",Y567="positive"),"a",IF(Y567="positive","b",IF(W567="positive","c","d"))))</x:f>
        <x:v>d</x:v>
      </x:c>
    </x:row>
    <x:row r="568" ht="24" customHeight="1">
      <x:c r="A568" s="12" t="str">
        <x:v>4458</x:v>
      </x:c>
      <x:c r="B568" s="12" t="str">
        <x:v>877</x:v>
      </x:c>
      <x:c r="C568" s="21" t="n">
        <x:v>33068.57224537037</x:v>
      </x:c>
      <x:c r="D568" s="12" t="n">
        <x:v>54</x:v>
      </x:c>
      <x:c r="E568" s="12" t="n">
        <x:v>0</x:v>
      </x:c>
      <x:c r="F568" s="12" t="str">
        <x:v>未记录</x:v>
      </x:c>
      <x:c r="G568" s="12" t="n">
        <x:v>1</x:v>
      </x:c>
      <x:c r="H568" s="12" t="str">
        <x:v>{'LVH': 15.0, 'VCLVH': 0.0}</x:v>
      </x:c>
      <x:c r="I568" s="12" t="str">
        <x:v>[('NSR', 100.0), ('BORDE', 100.0)]</x:v>
      </x:c>
      <x:c r="J568" s="12" t="str">
        <x:v>ptbxl_database.csv；ecg_id=4458；scp_codes</x:v>
      </x:c>
      <x:c r="K568" s="12" t="str">
        <x:v>12sl_statements.csv；ecg_id=4458；statements_ext_snomed</x:v>
      </x:c>
      <x:c r="L568" s="12"/>
      <x:c r="M568" s="12" t="str">
        <x:v>negative</x:v>
      </x:c>
      <x:c r="N568" s="12"/>
      <x:c r="O568" s="12" t="str">
        <x:v>negative</x:v>
      </x:c>
      <x:c r="P568" s="12" t="str">
        <x:f>IF(OR(M568="unavailable",O568="unavailable"),"不可评价",IF(OR(M568="equivocal",O568="equivocal"),"疑似",IF(AND(M568="positive",O568="positive"),"a",IF(O568="positive","b",IF(M568="positive","c","d")))))</x:f>
        <x:v>d</x:v>
      </x:c>
      <x:c r="Q568" s="12"/>
      <x:c r="R568" s="12" t="str">
        <x:v>negative</x:v>
      </x:c>
      <x:c r="S568" s="12"/>
      <x:c r="T568" s="12" t="str">
        <x:v>negative</x:v>
      </x:c>
      <x:c r="U568" s="12" t="str">
        <x:f>IF(OR(R568="unavailable",T568="unavailable"),"不可评价",IF(OR(R568="equivocal",T568="equivocal"),"疑似",IF(AND(R568="positive",T568="positive"),"a",IF(T568="positive","b",IF(R568="positive","c","d")))))</x:f>
        <x:v>d</x:v>
      </x:c>
      <x:c r="V568" s="12"/>
      <x:c r="W568" s="12" t="str">
        <x:v>negative</x:v>
      </x:c>
      <x:c r="X568" s="12"/>
      <x:c r="Y568" s="12" t="str">
        <x:v>negative</x:v>
      </x:c>
      <x:c r="Z568" s="12" t="str">
        <x:f>IF(OR(W568="unavailable",Y568="unavailable"),"不可评价",IF(OR(W568="equivocal",Y568="equivocal"),"疑似",IF(AND(W568="positive",Y568="positive"),"a",IF(Y568="positive","b",IF(W568="positive","c","d")))))</x:f>
        <x:v>d</x:v>
      </x:c>
      <x:c r="AA568" s="12" t="str">
        <x:f>IF(OR(M568="unavailable",O568="unavailable"),"不可评价",IF(AND(OR(M568="positive",M568="equivocal"),OR(O568="positive",O568="equivocal")),"a",IF(OR(O568="positive",O568="equivocal"),"b",IF(OR(M568="positive",M568="equivocal"),"c","d"))))</x:f>
        <x:v>d</x:v>
      </x:c>
      <x:c r="AB568" s="12" t="str">
        <x:f>IF(OR(M568="unavailable",O568="unavailable"),"不可评价",IF(AND(M568="positive",O568="positive"),"a",IF(O568="positive","b",IF(M568="positive","c","d"))))</x:f>
        <x:v>d</x:v>
      </x:c>
      <x:c r="AC568" s="12" t="str">
        <x:f>IF(OR(R568="unavailable",T568="unavailable"),"不可评价",IF(AND(OR(R568="positive",R568="equivocal"),OR(T568="positive",T568="equivocal")),"a",IF(OR(T568="positive",T568="equivocal"),"b",IF(OR(R568="positive",R568="equivocal"),"c","d"))))</x:f>
        <x:v>d</x:v>
      </x:c>
      <x:c r="AD568" s="12" t="str">
        <x:f>IF(OR(R568="unavailable",T568="unavailable"),"不可评价",IF(AND(R568="positive",T568="positive"),"a",IF(T568="positive","b",IF(R568="positive","c","d"))))</x:f>
        <x:v>d</x:v>
      </x:c>
      <x:c r="AE568" s="12" t="str">
        <x:f>IF(OR(W568="unavailable",Y568="unavailable"),"不可评价",IF(AND(OR(W568="positive",W568="equivocal"),OR(Y568="positive",Y568="equivocal")),"a",IF(OR(Y568="positive",Y568="equivocal"),"b",IF(OR(W568="positive",W568="equivocal"),"c","d"))))</x:f>
        <x:v>d</x:v>
      </x:c>
      <x:c r="AF568" s="12" t="str">
        <x:f>IF(OR(W568="unavailable",Y568="unavailable"),"不可评价",IF(AND(W568="positive",Y568="positive"),"a",IF(Y568="positive","b",IF(W568="positive","c","d"))))</x:f>
        <x:v>d</x:v>
      </x:c>
    </x:row>
    <x:row r="569" ht="24" customHeight="1">
      <x:c r="A569" s="12" t="str">
        <x:v>4476</x:v>
      </x:c>
      <x:c r="B569" s="12" t="str">
        <x:v>19972</x:v>
      </x:c>
      <x:c r="C569" s="21" t="n">
        <x:v>33069.7115162037</x:v>
      </x:c>
      <x:c r="D569" s="12" t="n">
        <x:v>40</x:v>
      </x:c>
      <x:c r="E569" s="12" t="n">
        <x:v>1</x:v>
      </x:c>
      <x:c r="F569" s="12" t="str">
        <x:v>未记录</x:v>
      </x:c>
      <x:c r="G569" s="12" t="n">
        <x:v>1</x:v>
      </x:c>
      <x:c r="H569" s="12" t="str">
        <x:v>{'NDT': 100.0, 'SR': 0.0}</x:v>
      </x:c>
      <x:c r="I569" s="12" t="str">
        <x:v>[('NSR', 100.0), ('NML', 100.0)]</x:v>
      </x:c>
      <x:c r="J569" s="12" t="str">
        <x:v>ptbxl_database.csv；ecg_id=4476；scp_codes</x:v>
      </x:c>
      <x:c r="K569" s="12" t="str">
        <x:v>12sl_statements.csv；ecg_id=4476；statements_ext_snomed</x:v>
      </x:c>
      <x:c r="L569" s="12"/>
      <x:c r="M569" s="12" t="str">
        <x:v>negative</x:v>
      </x:c>
      <x:c r="N569" s="12"/>
      <x:c r="O569" s="12" t="str">
        <x:v>negative</x:v>
      </x:c>
      <x:c r="P569" s="12" t="str">
        <x:f>IF(OR(M569="unavailable",O569="unavailable"),"不可评价",IF(OR(M569="equivocal",O569="equivocal"),"疑似",IF(AND(M569="positive",O569="positive"),"a",IF(O569="positive","b",IF(M569="positive","c","d")))))</x:f>
        <x:v>d</x:v>
      </x:c>
      <x:c r="Q569" s="12"/>
      <x:c r="R569" s="12" t="str">
        <x:v>negative</x:v>
      </x:c>
      <x:c r="S569" s="12"/>
      <x:c r="T569" s="12" t="str">
        <x:v>negative</x:v>
      </x:c>
      <x:c r="U569" s="12" t="str">
        <x:f>IF(OR(R569="unavailable",T569="unavailable"),"不可评价",IF(OR(R569="equivocal",T569="equivocal"),"疑似",IF(AND(R569="positive",T569="positive"),"a",IF(T569="positive","b",IF(R569="positive","c","d")))))</x:f>
        <x:v>d</x:v>
      </x:c>
      <x:c r="V569" s="12"/>
      <x:c r="W569" s="12" t="str">
        <x:v>negative</x:v>
      </x:c>
      <x:c r="X569" s="12"/>
      <x:c r="Y569" s="12" t="str">
        <x:v>negative</x:v>
      </x:c>
      <x:c r="Z569" s="12" t="str">
        <x:f>IF(OR(W569="unavailable",Y569="unavailable"),"不可评价",IF(OR(W569="equivocal",Y569="equivocal"),"疑似",IF(AND(W569="positive",Y569="positive"),"a",IF(Y569="positive","b",IF(W569="positive","c","d")))))</x:f>
        <x:v>d</x:v>
      </x:c>
      <x:c r="AA569" s="12" t="str">
        <x:f>IF(OR(M569="unavailable",O569="unavailable"),"不可评价",IF(AND(OR(M569="positive",M569="equivocal"),OR(O569="positive",O569="equivocal")),"a",IF(OR(O569="positive",O569="equivocal"),"b",IF(OR(M569="positive",M569="equivocal"),"c","d"))))</x:f>
        <x:v>d</x:v>
      </x:c>
      <x:c r="AB569" s="12" t="str">
        <x:f>IF(OR(M569="unavailable",O569="unavailable"),"不可评价",IF(AND(M569="positive",O569="positive"),"a",IF(O569="positive","b",IF(M569="positive","c","d"))))</x:f>
        <x:v>d</x:v>
      </x:c>
      <x:c r="AC569" s="12" t="str">
        <x:f>IF(OR(R569="unavailable",T569="unavailable"),"不可评价",IF(AND(OR(R569="positive",R569="equivocal"),OR(T569="positive",T569="equivocal")),"a",IF(OR(T569="positive",T569="equivocal"),"b",IF(OR(R569="positive",R569="equivocal"),"c","d"))))</x:f>
        <x:v>d</x:v>
      </x:c>
      <x:c r="AD569" s="12" t="str">
        <x:f>IF(OR(R569="unavailable",T569="unavailable"),"不可评价",IF(AND(R569="positive",T569="positive"),"a",IF(T569="positive","b",IF(R569="positive","c","d"))))</x:f>
        <x:v>d</x:v>
      </x:c>
      <x:c r="AE569" s="12" t="str">
        <x:f>IF(OR(W569="unavailable",Y569="unavailable"),"不可评价",IF(AND(OR(W569="positive",W569="equivocal"),OR(Y569="positive",Y569="equivocal")),"a",IF(OR(Y569="positive",Y569="equivocal"),"b",IF(OR(W569="positive",W569="equivocal"),"c","d"))))</x:f>
        <x:v>d</x:v>
      </x:c>
      <x:c r="AF569" s="12" t="str">
        <x:f>IF(OR(W569="unavailable",Y569="unavailable"),"不可评价",IF(AND(W569="positive",Y569="positive"),"a",IF(Y569="positive","b",IF(W569="positive","c","d"))))</x:f>
        <x:v>d</x:v>
      </x:c>
    </x:row>
    <x:row r="570" ht="24" customHeight="1">
      <x:c r="A570" s="12" t="str">
        <x:v>4501</x:v>
      </x:c>
      <x:c r="B570" s="12" t="str">
        <x:v>15660</x:v>
      </x:c>
      <x:c r="C570" s="21" t="n">
        <x:v>33073.353125</x:v>
      </x:c>
      <x:c r="D570" s="12" t="n">
        <x:v>59</x:v>
      </x:c>
      <x:c r="E570" s="12" t="n">
        <x:v>0</x:v>
      </x:c>
      <x:c r="F570" s="12" t="str">
        <x:v>未记录</x:v>
      </x:c>
      <x:c r="G570" s="12" t="n">
        <x:v>1</x:v>
      </x:c>
      <x:c r="H570" s="12" t="str">
        <x:v>{'ISCIL': 100.0, 'SR': 0.0}</x:v>
      </x:c>
      <x:c r="I570" s="12" t="str">
        <x:v>[('NSR', 100.0), ('NT', 100.0), ('AB', 100.0)]</x:v>
      </x:c>
      <x:c r="J570" s="12" t="str">
        <x:v>ptbxl_database.csv；ecg_id=4501；scp_codes</x:v>
      </x:c>
      <x:c r="K570" s="12" t="str">
        <x:v>12sl_statements.csv；ecg_id=4501；statements_ext_snomed</x:v>
      </x:c>
      <x:c r="L570" s="12"/>
      <x:c r="M570" s="12" t="str">
        <x:v>negative</x:v>
      </x:c>
      <x:c r="N570" s="12"/>
      <x:c r="O570" s="12" t="str">
        <x:v>negative</x:v>
      </x:c>
      <x:c r="P570" s="12" t="str">
        <x:f>IF(OR(M570="unavailable",O570="unavailable"),"不可评价",IF(OR(M570="equivocal",O570="equivocal"),"疑似",IF(AND(M570="positive",O570="positive"),"a",IF(O570="positive","b",IF(M570="positive","c","d")))))</x:f>
        <x:v>d</x:v>
      </x:c>
      <x:c r="Q570" s="12"/>
      <x:c r="R570" s="12" t="str">
        <x:v>negative</x:v>
      </x:c>
      <x:c r="S570" s="12"/>
      <x:c r="T570" s="12" t="str">
        <x:v>negative</x:v>
      </x:c>
      <x:c r="U570" s="12" t="str">
        <x:f>IF(OR(R570="unavailable",T570="unavailable"),"不可评价",IF(OR(R570="equivocal",T570="equivocal"),"疑似",IF(AND(R570="positive",T570="positive"),"a",IF(T570="positive","b",IF(R570="positive","c","d")))))</x:f>
        <x:v>d</x:v>
      </x:c>
      <x:c r="V570" s="12"/>
      <x:c r="W570" s="12" t="str">
        <x:v>negative</x:v>
      </x:c>
      <x:c r="X570" s="12"/>
      <x:c r="Y570" s="12" t="str">
        <x:v>negative</x:v>
      </x:c>
      <x:c r="Z570" s="12" t="str">
        <x:f>IF(OR(W570="unavailable",Y570="unavailable"),"不可评价",IF(OR(W570="equivocal",Y570="equivocal"),"疑似",IF(AND(W570="positive",Y570="positive"),"a",IF(Y570="positive","b",IF(W570="positive","c","d")))))</x:f>
        <x:v>d</x:v>
      </x:c>
      <x:c r="AA570" s="12" t="str">
        <x:f>IF(OR(M570="unavailable",O570="unavailable"),"不可评价",IF(AND(OR(M570="positive",M570="equivocal"),OR(O570="positive",O570="equivocal")),"a",IF(OR(O570="positive",O570="equivocal"),"b",IF(OR(M570="positive",M570="equivocal"),"c","d"))))</x:f>
        <x:v>d</x:v>
      </x:c>
      <x:c r="AB570" s="12" t="str">
        <x:f>IF(OR(M570="unavailable",O570="unavailable"),"不可评价",IF(AND(M570="positive",O570="positive"),"a",IF(O570="positive","b",IF(M570="positive","c","d"))))</x:f>
        <x:v>d</x:v>
      </x:c>
      <x:c r="AC570" s="12" t="str">
        <x:f>IF(OR(R570="unavailable",T570="unavailable"),"不可评价",IF(AND(OR(R570="positive",R570="equivocal"),OR(T570="positive",T570="equivocal")),"a",IF(OR(T570="positive",T570="equivocal"),"b",IF(OR(R570="positive",R570="equivocal"),"c","d"))))</x:f>
        <x:v>d</x:v>
      </x:c>
      <x:c r="AD570" s="12" t="str">
        <x:f>IF(OR(R570="unavailable",T570="unavailable"),"不可评价",IF(AND(R570="positive",T570="positive"),"a",IF(T570="positive","b",IF(R570="positive","c","d"))))</x:f>
        <x:v>d</x:v>
      </x:c>
      <x:c r="AE570" s="12" t="str">
        <x:f>IF(OR(W570="unavailable",Y570="unavailable"),"不可评价",IF(AND(OR(W570="positive",W570="equivocal"),OR(Y570="positive",Y570="equivocal")),"a",IF(OR(Y570="positive",Y570="equivocal"),"b",IF(OR(W570="positive",W570="equivocal"),"c","d"))))</x:f>
        <x:v>d</x:v>
      </x:c>
      <x:c r="AF570" s="12" t="str">
        <x:f>IF(OR(W570="unavailable",Y570="unavailable"),"不可评价",IF(AND(W570="positive",Y570="positive"),"a",IF(Y570="positive","b",IF(W570="positive","c","d"))))</x:f>
        <x:v>d</x:v>
      </x:c>
    </x:row>
    <x:row r="571" ht="24" customHeight="1">
      <x:c r="A571" s="12" t="str">
        <x:v>4506</x:v>
      </x:c>
      <x:c r="B571" s="12" t="str">
        <x:v>19972</x:v>
      </x:c>
      <x:c r="C571" s="21" t="n">
        <x:v>33073.49539351852</x:v>
      </x:c>
      <x:c r="D571" s="12" t="n">
        <x:v>40</x:v>
      </x:c>
      <x:c r="E571" s="12" t="n">
        <x:v>1</x:v>
      </x:c>
      <x:c r="F571" s="12" t="str">
        <x:v>未记录</x:v>
      </x:c>
      <x:c r="G571" s="12" t="n">
        <x:v>0</x:v>
      </x:c>
      <x:c r="H571" s="12" t="str">
        <x:v>{'NORM': 80.0, 'VCLVH': 0.0, 'SARRH': 0.0}</x:v>
      </x:c>
      <x:c r="I571" s="12" t="str">
        <x:v>[('NSR', 100.0), ('SAR', 100.0), ('BORDE', 100.0)]</x:v>
      </x:c>
      <x:c r="J571" s="12" t="str">
        <x:v>ptbxl_database.csv；ecg_id=4506；scp_codes</x:v>
      </x:c>
      <x:c r="K571" s="12" t="str">
        <x:v>12sl_statements.csv；ecg_id=4506；statements_ext_snomed</x:v>
      </x:c>
      <x:c r="L571" s="12"/>
      <x:c r="M571" s="12" t="str">
        <x:v>negative</x:v>
      </x:c>
      <x:c r="N571" s="12"/>
      <x:c r="O571" s="12" t="str">
        <x:v>negative</x:v>
      </x:c>
      <x:c r="P571" s="12" t="str">
        <x:f>IF(OR(M571="unavailable",O571="unavailable"),"不可评价",IF(OR(M571="equivocal",O571="equivocal"),"疑似",IF(AND(M571="positive",O571="positive"),"a",IF(O571="positive","b",IF(M571="positive","c","d")))))</x:f>
        <x:v>d</x:v>
      </x:c>
      <x:c r="Q571" s="12"/>
      <x:c r="R571" s="12" t="str">
        <x:v>negative</x:v>
      </x:c>
      <x:c r="S571" s="12"/>
      <x:c r="T571" s="12" t="str">
        <x:v>negative</x:v>
      </x:c>
      <x:c r="U571" s="12" t="str">
        <x:f>IF(OR(R571="unavailable",T571="unavailable"),"不可评价",IF(OR(R571="equivocal",T571="equivocal"),"疑似",IF(AND(R571="positive",T571="positive"),"a",IF(T571="positive","b",IF(R571="positive","c","d")))))</x:f>
        <x:v>d</x:v>
      </x:c>
      <x:c r="V571" s="12"/>
      <x:c r="W571" s="12" t="str">
        <x:v>negative</x:v>
      </x:c>
      <x:c r="X571" s="12"/>
      <x:c r="Y571" s="12" t="str">
        <x:v>negative</x:v>
      </x:c>
      <x:c r="Z571" s="12" t="str">
        <x:f>IF(OR(W571="unavailable",Y571="unavailable"),"不可评价",IF(OR(W571="equivocal",Y571="equivocal"),"疑似",IF(AND(W571="positive",Y571="positive"),"a",IF(Y571="positive","b",IF(W571="positive","c","d")))))</x:f>
        <x:v>d</x:v>
      </x:c>
      <x:c r="AA571" s="12" t="str">
        <x:f>IF(OR(M571="unavailable",O571="unavailable"),"不可评价",IF(AND(OR(M571="positive",M571="equivocal"),OR(O571="positive",O571="equivocal")),"a",IF(OR(O571="positive",O571="equivocal"),"b",IF(OR(M571="positive",M571="equivocal"),"c","d"))))</x:f>
        <x:v>d</x:v>
      </x:c>
      <x:c r="AB571" s="12" t="str">
        <x:f>IF(OR(M571="unavailable",O571="unavailable"),"不可评价",IF(AND(M571="positive",O571="positive"),"a",IF(O571="positive","b",IF(M571="positive","c","d"))))</x:f>
        <x:v>d</x:v>
      </x:c>
      <x:c r="AC571" s="12" t="str">
        <x:f>IF(OR(R571="unavailable",T571="unavailable"),"不可评价",IF(AND(OR(R571="positive",R571="equivocal"),OR(T571="positive",T571="equivocal")),"a",IF(OR(T571="positive",T571="equivocal"),"b",IF(OR(R571="positive",R571="equivocal"),"c","d"))))</x:f>
        <x:v>d</x:v>
      </x:c>
      <x:c r="AD571" s="12" t="str">
        <x:f>IF(OR(R571="unavailable",T571="unavailable"),"不可评价",IF(AND(R571="positive",T571="positive"),"a",IF(T571="positive","b",IF(R571="positive","c","d"))))</x:f>
        <x:v>d</x:v>
      </x:c>
      <x:c r="AE571" s="12" t="str">
        <x:f>IF(OR(W571="unavailable",Y571="unavailable"),"不可评价",IF(AND(OR(W571="positive",W571="equivocal"),OR(Y571="positive",Y571="equivocal")),"a",IF(OR(Y571="positive",Y571="equivocal"),"b",IF(OR(W571="positive",W571="equivocal"),"c","d"))))</x:f>
        <x:v>d</x:v>
      </x:c>
      <x:c r="AF571" s="12" t="str">
        <x:f>IF(OR(W571="unavailable",Y571="unavailable"),"不可评价",IF(AND(W571="positive",Y571="positive"),"a",IF(Y571="positive","b",IF(W571="positive","c","d"))))</x:f>
        <x:v>d</x:v>
      </x:c>
    </x:row>
    <x:row r="572" ht="24" customHeight="1">
      <x:c r="A572" s="12" t="str">
        <x:v>4508</x:v>
      </x:c>
      <x:c r="B572" s="12" t="str">
        <x:v>9625</x:v>
      </x:c>
      <x:c r="C572" s="21" t="n">
        <x:v>33073.58803240741</x:v>
      </x:c>
      <x:c r="D572" s="12" t="n">
        <x:v>74</x:v>
      </x:c>
      <x:c r="E572" s="12" t="n">
        <x:v>1</x:v>
      </x:c>
      <x:c r="F572" s="12" t="str">
        <x:v>未记录</x:v>
      </x:c>
      <x:c r="G572" s="12" t="n">
        <x:v>1</x:v>
      </x:c>
      <x:c r="H572" s="12" t="str">
        <x:v>{'NDT': 100.0, 'SR': 0.0}</x:v>
      </x:c>
      <x:c r="I572" s="12" t="str">
        <x:v>[('NSR', 100.0), ('NST', 100.0), ('AB', 100.0)]</x:v>
      </x:c>
      <x:c r="J572" s="12" t="str">
        <x:v>ptbxl_database.csv；ecg_id=4508；scp_codes</x:v>
      </x:c>
      <x:c r="K572" s="12" t="str">
        <x:v>12sl_statements.csv；ecg_id=4508；statements_ext_snomed</x:v>
      </x:c>
      <x:c r="L572" s="12"/>
      <x:c r="M572" s="12" t="str">
        <x:v>negative</x:v>
      </x:c>
      <x:c r="N572" s="12"/>
      <x:c r="O572" s="12" t="str">
        <x:v>negative</x:v>
      </x:c>
      <x:c r="P572" s="12" t="str">
        <x:f>IF(OR(M572="unavailable",O572="unavailable"),"不可评价",IF(OR(M572="equivocal",O572="equivocal"),"疑似",IF(AND(M572="positive",O572="positive"),"a",IF(O572="positive","b",IF(M572="positive","c","d")))))</x:f>
        <x:v>d</x:v>
      </x:c>
      <x:c r="Q572" s="12"/>
      <x:c r="R572" s="12" t="str">
        <x:v>negative</x:v>
      </x:c>
      <x:c r="S572" s="12"/>
      <x:c r="T572" s="12" t="str">
        <x:v>negative</x:v>
      </x:c>
      <x:c r="U572" s="12" t="str">
        <x:f>IF(OR(R572="unavailable",T572="unavailable"),"不可评价",IF(OR(R572="equivocal",T572="equivocal"),"疑似",IF(AND(R572="positive",T572="positive"),"a",IF(T572="positive","b",IF(R572="positive","c","d")))))</x:f>
        <x:v>d</x:v>
      </x:c>
      <x:c r="V572" s="12"/>
      <x:c r="W572" s="12" t="str">
        <x:v>negative</x:v>
      </x:c>
      <x:c r="X572" s="12"/>
      <x:c r="Y572" s="12" t="str">
        <x:v>negative</x:v>
      </x:c>
      <x:c r="Z572" s="12" t="str">
        <x:f>IF(OR(W572="unavailable",Y572="unavailable"),"不可评价",IF(OR(W572="equivocal",Y572="equivocal"),"疑似",IF(AND(W572="positive",Y572="positive"),"a",IF(Y572="positive","b",IF(W572="positive","c","d")))))</x:f>
        <x:v>d</x:v>
      </x:c>
      <x:c r="AA572" s="12" t="str">
        <x:f>IF(OR(M572="unavailable",O572="unavailable"),"不可评价",IF(AND(OR(M572="positive",M572="equivocal"),OR(O572="positive",O572="equivocal")),"a",IF(OR(O572="positive",O572="equivocal"),"b",IF(OR(M572="positive",M572="equivocal"),"c","d"))))</x:f>
        <x:v>d</x:v>
      </x:c>
      <x:c r="AB572" s="12" t="str">
        <x:f>IF(OR(M572="unavailable",O572="unavailable"),"不可评价",IF(AND(M572="positive",O572="positive"),"a",IF(O572="positive","b",IF(M572="positive","c","d"))))</x:f>
        <x:v>d</x:v>
      </x:c>
      <x:c r="AC572" s="12" t="str">
        <x:f>IF(OR(R572="unavailable",T572="unavailable"),"不可评价",IF(AND(OR(R572="positive",R572="equivocal"),OR(T572="positive",T572="equivocal")),"a",IF(OR(T572="positive",T572="equivocal"),"b",IF(OR(R572="positive",R572="equivocal"),"c","d"))))</x:f>
        <x:v>d</x:v>
      </x:c>
      <x:c r="AD572" s="12" t="str">
        <x:f>IF(OR(R572="unavailable",T572="unavailable"),"不可评价",IF(AND(R572="positive",T572="positive"),"a",IF(T572="positive","b",IF(R572="positive","c","d"))))</x:f>
        <x:v>d</x:v>
      </x:c>
      <x:c r="AE572" s="12" t="str">
        <x:f>IF(OR(W572="unavailable",Y572="unavailable"),"不可评价",IF(AND(OR(W572="positive",W572="equivocal"),OR(Y572="positive",Y572="equivocal")),"a",IF(OR(Y572="positive",Y572="equivocal"),"b",IF(OR(W572="positive",W572="equivocal"),"c","d"))))</x:f>
        <x:v>d</x:v>
      </x:c>
      <x:c r="AF572" s="12" t="str">
        <x:f>IF(OR(W572="unavailable",Y572="unavailable"),"不可评价",IF(AND(W572="positive",Y572="positive"),"a",IF(Y572="positive","b",IF(W572="positive","c","d"))))</x:f>
        <x:v>d</x:v>
      </x:c>
    </x:row>
    <x:row r="573" ht="24" customHeight="1">
      <x:c r="A573" s="12" t="str">
        <x:v>4518</x:v>
      </x:c>
      <x:c r="B573" s="12" t="str">
        <x:v>316</x:v>
      </x:c>
      <x:c r="C573" s="21" t="n">
        <x:v>33075.42554398148</x:v>
      </x:c>
      <x:c r="D573" s="12" t="n">
        <x:v>69</x:v>
      </x:c>
      <x:c r="E573" s="12" t="n">
        <x:v>1</x:v>
      </x:c>
      <x:c r="F573" s="12" t="str">
        <x:v>未记录</x:v>
      </x:c>
      <x:c r="G573" s="12" t="n">
        <x:v>1</x:v>
      </x:c>
      <x:c r="H573" s="12" t="str">
        <x:v>{'IMI': 15.0, 'SR': 0.0}</x:v>
      </x:c>
      <x:c r="I573" s="12" t="str">
        <x:v>[('SBRAD', 100.0), ('IMI;AU', 100.0), ('AB', 100.0)]</x:v>
      </x:c>
      <x:c r="J573" s="12" t="str">
        <x:v>ptbxl_database.csv；ecg_id=4518；scp_codes</x:v>
      </x:c>
      <x:c r="K573" s="12" t="str">
        <x:v>12sl_statements.csv；ecg_id=4518；statements_ext_snomed</x:v>
      </x:c>
      <x:c r="L573" s="12"/>
      <x:c r="M573" s="12" t="str">
        <x:v>negative</x:v>
      </x:c>
      <x:c r="N573" s="12"/>
      <x:c r="O573" s="12" t="str">
        <x:v>negative</x:v>
      </x:c>
      <x:c r="P573" s="12" t="str">
        <x:f>IF(OR(M573="unavailable",O573="unavailable"),"不可评价",IF(OR(M573="equivocal",O573="equivocal"),"疑似",IF(AND(M573="positive",O573="positive"),"a",IF(O573="positive","b",IF(M573="positive","c","d")))))</x:f>
        <x:v>d</x:v>
      </x:c>
      <x:c r="Q573" s="12"/>
      <x:c r="R573" s="12" t="str">
        <x:v>negative</x:v>
      </x:c>
      <x:c r="S573" s="12"/>
      <x:c r="T573" s="12" t="str">
        <x:v>negative</x:v>
      </x:c>
      <x:c r="U573" s="12" t="str">
        <x:f>IF(OR(R573="unavailable",T573="unavailable"),"不可评价",IF(OR(R573="equivocal",T573="equivocal"),"疑似",IF(AND(R573="positive",T573="positive"),"a",IF(T573="positive","b",IF(R573="positive","c","d")))))</x:f>
        <x:v>d</x:v>
      </x:c>
      <x:c r="V573" s="12"/>
      <x:c r="W573" s="12" t="str">
        <x:v>negative</x:v>
      </x:c>
      <x:c r="X573" s="12"/>
      <x:c r="Y573" s="12" t="str">
        <x:v>negative</x:v>
      </x:c>
      <x:c r="Z573" s="12" t="str">
        <x:f>IF(OR(W573="unavailable",Y573="unavailable"),"不可评价",IF(OR(W573="equivocal",Y573="equivocal"),"疑似",IF(AND(W573="positive",Y573="positive"),"a",IF(Y573="positive","b",IF(W573="positive","c","d")))))</x:f>
        <x:v>d</x:v>
      </x:c>
      <x:c r="AA573" s="12" t="str">
        <x:f>IF(OR(M573="unavailable",O573="unavailable"),"不可评价",IF(AND(OR(M573="positive",M573="equivocal"),OR(O573="positive",O573="equivocal")),"a",IF(OR(O573="positive",O573="equivocal"),"b",IF(OR(M573="positive",M573="equivocal"),"c","d"))))</x:f>
        <x:v>d</x:v>
      </x:c>
      <x:c r="AB573" s="12" t="str">
        <x:f>IF(OR(M573="unavailable",O573="unavailable"),"不可评价",IF(AND(M573="positive",O573="positive"),"a",IF(O573="positive","b",IF(M573="positive","c","d"))))</x:f>
        <x:v>d</x:v>
      </x:c>
      <x:c r="AC573" s="12" t="str">
        <x:f>IF(OR(R573="unavailable",T573="unavailable"),"不可评价",IF(AND(OR(R573="positive",R573="equivocal"),OR(T573="positive",T573="equivocal")),"a",IF(OR(T573="positive",T573="equivocal"),"b",IF(OR(R573="positive",R573="equivocal"),"c","d"))))</x:f>
        <x:v>d</x:v>
      </x:c>
      <x:c r="AD573" s="12" t="str">
        <x:f>IF(OR(R573="unavailable",T573="unavailable"),"不可评价",IF(AND(R573="positive",T573="positive"),"a",IF(T573="positive","b",IF(R573="positive","c","d"))))</x:f>
        <x:v>d</x:v>
      </x:c>
      <x:c r="AE573" s="12" t="str">
        <x:f>IF(OR(W573="unavailable",Y573="unavailable"),"不可评价",IF(AND(OR(W573="positive",W573="equivocal"),OR(Y573="positive",Y573="equivocal")),"a",IF(OR(Y573="positive",Y573="equivocal"),"b",IF(OR(W573="positive",W573="equivocal"),"c","d"))))</x:f>
        <x:v>d</x:v>
      </x:c>
      <x:c r="AF573" s="12" t="str">
        <x:f>IF(OR(W573="unavailable",Y573="unavailable"),"不可评价",IF(AND(W573="positive",Y573="positive"),"a",IF(Y573="positive","b",IF(W573="positive","c","d"))))</x:f>
        <x:v>d</x:v>
      </x:c>
    </x:row>
    <x:row r="574" ht="24" customHeight="1">
      <x:c r="A574" s="12" t="str">
        <x:v>4542</x:v>
      </x:c>
      <x:c r="B574" s="12" t="str">
        <x:v>14368</x:v>
      </x:c>
      <x:c r="C574" s="21" t="n">
        <x:v>33077.00787037037</x:v>
      </x:c>
      <x:c r="D574" s="12" t="n">
        <x:v>22</x:v>
      </x:c>
      <x:c r="E574" s="12" t="n">
        <x:v>1</x:v>
      </x:c>
      <x:c r="F574" s="12" t="str">
        <x:v>未记录</x:v>
      </x:c>
      <x:c r="G574" s="12" t="n">
        <x:v>1</x:v>
      </x:c>
      <x:c r="H574" s="12" t="str">
        <x:v>{'NORM': 100.0, 'SR': 0.0}</x:v>
      </x:c>
      <x:c r="I574" s="12" t="str">
        <x:v>[('NSR', 100.0), ('NML', 100.0)]</x:v>
      </x:c>
      <x:c r="J574" s="12" t="str">
        <x:v>ptbxl_database.csv；ecg_id=4542；scp_codes</x:v>
      </x:c>
      <x:c r="K574" s="12" t="str">
        <x:v>12sl_statements.csv；ecg_id=4542；statements_ext_snomed</x:v>
      </x:c>
      <x:c r="L574" s="12"/>
      <x:c r="M574" s="12" t="str">
        <x:v>negative</x:v>
      </x:c>
      <x:c r="N574" s="12"/>
      <x:c r="O574" s="12" t="str">
        <x:v>negative</x:v>
      </x:c>
      <x:c r="P574" s="12" t="str">
        <x:f>IF(OR(M574="unavailable",O574="unavailable"),"不可评价",IF(OR(M574="equivocal",O574="equivocal"),"疑似",IF(AND(M574="positive",O574="positive"),"a",IF(O574="positive","b",IF(M574="positive","c","d")))))</x:f>
        <x:v>d</x:v>
      </x:c>
      <x:c r="Q574" s="12"/>
      <x:c r="R574" s="12" t="str">
        <x:v>negative</x:v>
      </x:c>
      <x:c r="S574" s="12"/>
      <x:c r="T574" s="12" t="str">
        <x:v>negative</x:v>
      </x:c>
      <x:c r="U574" s="12" t="str">
        <x:f>IF(OR(R574="unavailable",T574="unavailable"),"不可评价",IF(OR(R574="equivocal",T574="equivocal"),"疑似",IF(AND(R574="positive",T574="positive"),"a",IF(T574="positive","b",IF(R574="positive","c","d")))))</x:f>
        <x:v>d</x:v>
      </x:c>
      <x:c r="V574" s="12"/>
      <x:c r="W574" s="12" t="str">
        <x:v>negative</x:v>
      </x:c>
      <x:c r="X574" s="12"/>
      <x:c r="Y574" s="12" t="str">
        <x:v>negative</x:v>
      </x:c>
      <x:c r="Z574" s="12" t="str">
        <x:f>IF(OR(W574="unavailable",Y574="unavailable"),"不可评价",IF(OR(W574="equivocal",Y574="equivocal"),"疑似",IF(AND(W574="positive",Y574="positive"),"a",IF(Y574="positive","b",IF(W574="positive","c","d")))))</x:f>
        <x:v>d</x:v>
      </x:c>
      <x:c r="AA574" s="12" t="str">
        <x:f>IF(OR(M574="unavailable",O574="unavailable"),"不可评价",IF(AND(OR(M574="positive",M574="equivocal"),OR(O574="positive",O574="equivocal")),"a",IF(OR(O574="positive",O574="equivocal"),"b",IF(OR(M574="positive",M574="equivocal"),"c","d"))))</x:f>
        <x:v>d</x:v>
      </x:c>
      <x:c r="AB574" s="12" t="str">
        <x:f>IF(OR(M574="unavailable",O574="unavailable"),"不可评价",IF(AND(M574="positive",O574="positive"),"a",IF(O574="positive","b",IF(M574="positive","c","d"))))</x:f>
        <x:v>d</x:v>
      </x:c>
      <x:c r="AC574" s="12" t="str">
        <x:f>IF(OR(R574="unavailable",T574="unavailable"),"不可评价",IF(AND(OR(R574="positive",R574="equivocal"),OR(T574="positive",T574="equivocal")),"a",IF(OR(T574="positive",T574="equivocal"),"b",IF(OR(R574="positive",R574="equivocal"),"c","d"))))</x:f>
        <x:v>d</x:v>
      </x:c>
      <x:c r="AD574" s="12" t="str">
        <x:f>IF(OR(R574="unavailable",T574="unavailable"),"不可评价",IF(AND(R574="positive",T574="positive"),"a",IF(T574="positive","b",IF(R574="positive","c","d"))))</x:f>
        <x:v>d</x:v>
      </x:c>
      <x:c r="AE574" s="12" t="str">
        <x:f>IF(OR(W574="unavailable",Y574="unavailable"),"不可评价",IF(AND(OR(W574="positive",W574="equivocal"),OR(Y574="positive",Y574="equivocal")),"a",IF(OR(Y574="positive",Y574="equivocal"),"b",IF(OR(W574="positive",W574="equivocal"),"c","d"))))</x:f>
        <x:v>d</x:v>
      </x:c>
      <x:c r="AF574" s="12" t="str">
        <x:f>IF(OR(W574="unavailable",Y574="unavailable"),"不可评价",IF(AND(W574="positive",Y574="positive"),"a",IF(Y574="positive","b",IF(W574="positive","c","d"))))</x:f>
        <x:v>d</x:v>
      </x:c>
    </x:row>
    <x:row r="575" ht="24" customHeight="1">
      <x:c r="A575" s="12" t="str">
        <x:v>4546</x:v>
      </x:c>
      <x:c r="B575" s="12" t="str">
        <x:v>5814</x:v>
      </x:c>
      <x:c r="C575" s="21" t="n">
        <x:v>33077.410775462966</x:v>
      </x:c>
      <x:c r="D575" s="12" t="n">
        <x:v>62</x:v>
      </x:c>
      <x:c r="E575" s="12" t="n">
        <x:v>0</x:v>
      </x:c>
      <x:c r="F575" s="12" t="str">
        <x:v>未记录</x:v>
      </x:c>
      <x:c r="G575" s="12" t="n">
        <x:v>1</x:v>
      </x:c>
      <x:c r="H575" s="12" t="str">
        <x:v>{'IRBBB': 100.0, 'RAO/RAE': 50.0, 'SR': 0.0}</x:v>
      </x:c>
      <x:c r="I575" s="12" t="str">
        <x:v>[('NSR', 100.0), ('LAD3', 100.0), ('AB', 100.0)]</x:v>
      </x:c>
      <x:c r="J575" s="12" t="str">
        <x:v>ptbxl_database.csv；ecg_id=4546；scp_codes</x:v>
      </x:c>
      <x:c r="K575" s="12" t="str">
        <x:v>12sl_statements.csv；ecg_id=4546；statements_ext_snomed</x:v>
      </x:c>
      <x:c r="L575" s="12"/>
      <x:c r="M575" s="12" t="str">
        <x:v>negative</x:v>
      </x:c>
      <x:c r="N575" s="12"/>
      <x:c r="O575" s="12" t="str">
        <x:v>negative</x:v>
      </x:c>
      <x:c r="P575" s="12" t="str">
        <x:f>IF(OR(M575="unavailable",O575="unavailable"),"不可评价",IF(OR(M575="equivocal",O575="equivocal"),"疑似",IF(AND(M575="positive",O575="positive"),"a",IF(O575="positive","b",IF(M575="positive","c","d")))))</x:f>
        <x:v>d</x:v>
      </x:c>
      <x:c r="Q575" s="12"/>
      <x:c r="R575" s="12" t="str">
        <x:v>negative</x:v>
      </x:c>
      <x:c r="S575" s="12"/>
      <x:c r="T575" s="12" t="str">
        <x:v>negative</x:v>
      </x:c>
      <x:c r="U575" s="12" t="str">
        <x:f>IF(OR(R575="unavailable",T575="unavailable"),"不可评价",IF(OR(R575="equivocal",T575="equivocal"),"疑似",IF(AND(R575="positive",T575="positive"),"a",IF(T575="positive","b",IF(R575="positive","c","d")))))</x:f>
        <x:v>d</x:v>
      </x:c>
      <x:c r="V575" s="12"/>
      <x:c r="W575" s="12" t="str">
        <x:v>negative</x:v>
      </x:c>
      <x:c r="X575" s="12"/>
      <x:c r="Y575" s="12" t="str">
        <x:v>negative</x:v>
      </x:c>
      <x:c r="Z575" s="12" t="str">
        <x:f>IF(OR(W575="unavailable",Y575="unavailable"),"不可评价",IF(OR(W575="equivocal",Y575="equivocal"),"疑似",IF(AND(W575="positive",Y575="positive"),"a",IF(Y575="positive","b",IF(W575="positive","c","d")))))</x:f>
        <x:v>d</x:v>
      </x:c>
      <x:c r="AA575" s="12" t="str">
        <x:f>IF(OR(M575="unavailable",O575="unavailable"),"不可评价",IF(AND(OR(M575="positive",M575="equivocal"),OR(O575="positive",O575="equivocal")),"a",IF(OR(O575="positive",O575="equivocal"),"b",IF(OR(M575="positive",M575="equivocal"),"c","d"))))</x:f>
        <x:v>d</x:v>
      </x:c>
      <x:c r="AB575" s="12" t="str">
        <x:f>IF(OR(M575="unavailable",O575="unavailable"),"不可评价",IF(AND(M575="positive",O575="positive"),"a",IF(O575="positive","b",IF(M575="positive","c","d"))))</x:f>
        <x:v>d</x:v>
      </x:c>
      <x:c r="AC575" s="12" t="str">
        <x:f>IF(OR(R575="unavailable",T575="unavailable"),"不可评价",IF(AND(OR(R575="positive",R575="equivocal"),OR(T575="positive",T575="equivocal")),"a",IF(OR(T575="positive",T575="equivocal"),"b",IF(OR(R575="positive",R575="equivocal"),"c","d"))))</x:f>
        <x:v>d</x:v>
      </x:c>
      <x:c r="AD575" s="12" t="str">
        <x:f>IF(OR(R575="unavailable",T575="unavailable"),"不可评价",IF(AND(R575="positive",T575="positive"),"a",IF(T575="positive","b",IF(R575="positive","c","d"))))</x:f>
        <x:v>d</x:v>
      </x:c>
      <x:c r="AE575" s="12" t="str">
        <x:f>IF(OR(W575="unavailable",Y575="unavailable"),"不可评价",IF(AND(OR(W575="positive",W575="equivocal"),OR(Y575="positive",Y575="equivocal")),"a",IF(OR(Y575="positive",Y575="equivocal"),"b",IF(OR(W575="positive",W575="equivocal"),"c","d"))))</x:f>
        <x:v>d</x:v>
      </x:c>
      <x:c r="AF575" s="12" t="str">
        <x:f>IF(OR(W575="unavailable",Y575="unavailable"),"不可评价",IF(AND(W575="positive",Y575="positive"),"a",IF(Y575="positive","b",IF(W575="positive","c","d"))))</x:f>
        <x:v>d</x:v>
      </x:c>
    </x:row>
    <x:row r="576" ht="24" customHeight="1">
      <x:c r="A576" s="12" t="str">
        <x:v>4547</x:v>
      </x:c>
      <x:c r="B576" s="12" t="str">
        <x:v>316</x:v>
      </x:c>
      <x:c r="C576" s="21" t="n">
        <x:v>33077.42229166667</x:v>
      </x:c>
      <x:c r="D576" s="12" t="n">
        <x:v>69</x:v>
      </x:c>
      <x:c r="E576" s="12" t="n">
        <x:v>1</x:v>
      </x:c>
      <x:c r="F576" s="12" t="str">
        <x:v>未记录</x:v>
      </x:c>
      <x:c r="G576" s="12" t="n">
        <x:v>0</x:v>
      </x:c>
      <x:c r="H576" s="12" t="str">
        <x:v>{'LVH': 50.0, 'SR': 0.0}</x:v>
      </x:c>
      <x:c r="I576" s="12" t="str">
        <x:v>[('SBRAD', 100.0), ('IMI;AU', 100.0), ('AB', 100.0)]</x:v>
      </x:c>
      <x:c r="J576" s="12" t="str">
        <x:v>ptbxl_database.csv；ecg_id=4547；scp_codes</x:v>
      </x:c>
      <x:c r="K576" s="12" t="str">
        <x:v>12sl_statements.csv；ecg_id=4547；statements_ext_snomed</x:v>
      </x:c>
      <x:c r="L576" s="12"/>
      <x:c r="M576" s="12" t="str">
        <x:v>negative</x:v>
      </x:c>
      <x:c r="N576" s="12"/>
      <x:c r="O576" s="12" t="str">
        <x:v>negative</x:v>
      </x:c>
      <x:c r="P576" s="12" t="str">
        <x:f>IF(OR(M576="unavailable",O576="unavailable"),"不可评价",IF(OR(M576="equivocal",O576="equivocal"),"疑似",IF(AND(M576="positive",O576="positive"),"a",IF(O576="positive","b",IF(M576="positive","c","d")))))</x:f>
        <x:v>d</x:v>
      </x:c>
      <x:c r="Q576" s="12"/>
      <x:c r="R576" s="12" t="str">
        <x:v>negative</x:v>
      </x:c>
      <x:c r="S576" s="12"/>
      <x:c r="T576" s="12" t="str">
        <x:v>negative</x:v>
      </x:c>
      <x:c r="U576" s="12" t="str">
        <x:f>IF(OR(R576="unavailable",T576="unavailable"),"不可评价",IF(OR(R576="equivocal",T576="equivocal"),"疑似",IF(AND(R576="positive",T576="positive"),"a",IF(T576="positive","b",IF(R576="positive","c","d")))))</x:f>
        <x:v>d</x:v>
      </x:c>
      <x:c r="V576" s="12"/>
      <x:c r="W576" s="12" t="str">
        <x:v>negative</x:v>
      </x:c>
      <x:c r="X576" s="12"/>
      <x:c r="Y576" s="12" t="str">
        <x:v>negative</x:v>
      </x:c>
      <x:c r="Z576" s="12" t="str">
        <x:f>IF(OR(W576="unavailable",Y576="unavailable"),"不可评价",IF(OR(W576="equivocal",Y576="equivocal"),"疑似",IF(AND(W576="positive",Y576="positive"),"a",IF(Y576="positive","b",IF(W576="positive","c","d")))))</x:f>
        <x:v>d</x:v>
      </x:c>
      <x:c r="AA576" s="12" t="str">
        <x:f>IF(OR(M576="unavailable",O576="unavailable"),"不可评价",IF(AND(OR(M576="positive",M576="equivocal"),OR(O576="positive",O576="equivocal")),"a",IF(OR(O576="positive",O576="equivocal"),"b",IF(OR(M576="positive",M576="equivocal"),"c","d"))))</x:f>
        <x:v>d</x:v>
      </x:c>
      <x:c r="AB576" s="12" t="str">
        <x:f>IF(OR(M576="unavailable",O576="unavailable"),"不可评价",IF(AND(M576="positive",O576="positive"),"a",IF(O576="positive","b",IF(M576="positive","c","d"))))</x:f>
        <x:v>d</x:v>
      </x:c>
      <x:c r="AC576" s="12" t="str">
        <x:f>IF(OR(R576="unavailable",T576="unavailable"),"不可评价",IF(AND(OR(R576="positive",R576="equivocal"),OR(T576="positive",T576="equivocal")),"a",IF(OR(T576="positive",T576="equivocal"),"b",IF(OR(R576="positive",R576="equivocal"),"c","d"))))</x:f>
        <x:v>d</x:v>
      </x:c>
      <x:c r="AD576" s="12" t="str">
        <x:f>IF(OR(R576="unavailable",T576="unavailable"),"不可评价",IF(AND(R576="positive",T576="positive"),"a",IF(T576="positive","b",IF(R576="positive","c","d"))))</x:f>
        <x:v>d</x:v>
      </x:c>
      <x:c r="AE576" s="12" t="str">
        <x:f>IF(OR(W576="unavailable",Y576="unavailable"),"不可评价",IF(AND(OR(W576="positive",W576="equivocal"),OR(Y576="positive",Y576="equivocal")),"a",IF(OR(Y576="positive",Y576="equivocal"),"b",IF(OR(W576="positive",W576="equivocal"),"c","d"))))</x:f>
        <x:v>d</x:v>
      </x:c>
      <x:c r="AF576" s="12" t="str">
        <x:f>IF(OR(W576="unavailable",Y576="unavailable"),"不可评价",IF(AND(W576="positive",Y576="positive"),"a",IF(Y576="positive","b",IF(W576="positive","c","d"))))</x:f>
        <x:v>d</x:v>
      </x:c>
    </x:row>
    <x:row r="577" ht="24" customHeight="1">
      <x:c r="A577" s="12" t="str">
        <x:v>4556</x:v>
      </x:c>
      <x:c r="B577" s="12" t="str">
        <x:v>1186</x:v>
      </x:c>
      <x:c r="C577" s="21" t="n">
        <x:v>33077.75707175926</x:v>
      </x:c>
      <x:c r="D577" s="12" t="n">
        <x:v>78</x:v>
      </x:c>
      <x:c r="E577" s="12" t="n">
        <x:v>1</x:v>
      </x:c>
      <x:c r="F577" s="12" t="str">
        <x:v>未记录</x:v>
      </x:c>
      <x:c r="G577" s="12" t="n">
        <x:v>1</x:v>
      </x:c>
      <x:c r="H577" s="12" t="str">
        <x:v>{'NORM': 100.0, 'SR': 0.0}</x:v>
      </x:c>
      <x:c r="I577" s="12" t="str">
        <x:v>[('NSR', 100.0), ('IMI;AU', 100.0), ('AB', 100.0)]</x:v>
      </x:c>
      <x:c r="J577" s="12" t="str">
        <x:v>ptbxl_database.csv；ecg_id=4556；scp_codes</x:v>
      </x:c>
      <x:c r="K577" s="12" t="str">
        <x:v>12sl_statements.csv；ecg_id=4556；statements_ext_snomed</x:v>
      </x:c>
      <x:c r="L577" s="12"/>
      <x:c r="M577" s="12" t="str">
        <x:v>negative</x:v>
      </x:c>
      <x:c r="N577" s="12"/>
      <x:c r="O577" s="12" t="str">
        <x:v>negative</x:v>
      </x:c>
      <x:c r="P577" s="12" t="str">
        <x:f>IF(OR(M577="unavailable",O577="unavailable"),"不可评价",IF(OR(M577="equivocal",O577="equivocal"),"疑似",IF(AND(M577="positive",O577="positive"),"a",IF(O577="positive","b",IF(M577="positive","c","d")))))</x:f>
        <x:v>d</x:v>
      </x:c>
      <x:c r="Q577" s="12"/>
      <x:c r="R577" s="12" t="str">
        <x:v>negative</x:v>
      </x:c>
      <x:c r="S577" s="12"/>
      <x:c r="T577" s="12" t="str">
        <x:v>negative</x:v>
      </x:c>
      <x:c r="U577" s="12" t="str">
        <x:f>IF(OR(R577="unavailable",T577="unavailable"),"不可评价",IF(OR(R577="equivocal",T577="equivocal"),"疑似",IF(AND(R577="positive",T577="positive"),"a",IF(T577="positive","b",IF(R577="positive","c","d")))))</x:f>
        <x:v>d</x:v>
      </x:c>
      <x:c r="V577" s="12"/>
      <x:c r="W577" s="12" t="str">
        <x:v>negative</x:v>
      </x:c>
      <x:c r="X577" s="12"/>
      <x:c r="Y577" s="12" t="str">
        <x:v>negative</x:v>
      </x:c>
      <x:c r="Z577" s="12" t="str">
        <x:f>IF(OR(W577="unavailable",Y577="unavailable"),"不可评价",IF(OR(W577="equivocal",Y577="equivocal"),"疑似",IF(AND(W577="positive",Y577="positive"),"a",IF(Y577="positive","b",IF(W577="positive","c","d")))))</x:f>
        <x:v>d</x:v>
      </x:c>
      <x:c r="AA577" s="12" t="str">
        <x:f>IF(OR(M577="unavailable",O577="unavailable"),"不可评价",IF(AND(OR(M577="positive",M577="equivocal"),OR(O577="positive",O577="equivocal")),"a",IF(OR(O577="positive",O577="equivocal"),"b",IF(OR(M577="positive",M577="equivocal"),"c","d"))))</x:f>
        <x:v>d</x:v>
      </x:c>
      <x:c r="AB577" s="12" t="str">
        <x:f>IF(OR(M577="unavailable",O577="unavailable"),"不可评价",IF(AND(M577="positive",O577="positive"),"a",IF(O577="positive","b",IF(M577="positive","c","d"))))</x:f>
        <x:v>d</x:v>
      </x:c>
      <x:c r="AC577" s="12" t="str">
        <x:f>IF(OR(R577="unavailable",T577="unavailable"),"不可评价",IF(AND(OR(R577="positive",R577="equivocal"),OR(T577="positive",T577="equivocal")),"a",IF(OR(T577="positive",T577="equivocal"),"b",IF(OR(R577="positive",R577="equivocal"),"c","d"))))</x:f>
        <x:v>d</x:v>
      </x:c>
      <x:c r="AD577" s="12" t="str">
        <x:f>IF(OR(R577="unavailable",T577="unavailable"),"不可评价",IF(AND(R577="positive",T577="positive"),"a",IF(T577="positive","b",IF(R577="positive","c","d"))))</x:f>
        <x:v>d</x:v>
      </x:c>
      <x:c r="AE577" s="12" t="str">
        <x:f>IF(OR(W577="unavailable",Y577="unavailable"),"不可评价",IF(AND(OR(W577="positive",W577="equivocal"),OR(Y577="positive",Y577="equivocal")),"a",IF(OR(Y577="positive",Y577="equivocal"),"b",IF(OR(W577="positive",W577="equivocal"),"c","d"))))</x:f>
        <x:v>d</x:v>
      </x:c>
      <x:c r="AF577" s="12" t="str">
        <x:f>IF(OR(W577="unavailable",Y577="unavailable"),"不可评价",IF(AND(W577="positive",Y577="positive"),"a",IF(Y577="positive","b",IF(W577="positive","c","d"))))</x:f>
        <x:v>d</x:v>
      </x:c>
    </x:row>
    <x:row r="578" ht="24" customHeight="1">
      <x:c r="A578" s="12" t="str">
        <x:v>4560</x:v>
      </x:c>
      <x:c r="B578" s="12" t="str">
        <x:v>510</x:v>
      </x:c>
      <x:c r="C578" s="21" t="n">
        <x:v>33078.385092592594</x:v>
      </x:c>
      <x:c r="D578" s="12" t="n">
        <x:v>68</x:v>
      </x:c>
      <x:c r="E578" s="12" t="n">
        <x:v>0</x:v>
      </x:c>
      <x:c r="F578" s="12" t="str">
        <x:v>未记录</x:v>
      </x:c>
      <x:c r="G578" s="12" t="n">
        <x:v>0</x:v>
      </x:c>
      <x:c r="H578" s="12" t="str">
        <x:v>{'CLBBB': 100.0, 'SR': 0.0}</x:v>
      </x:c>
      <x:c r="I578" s="12" t="str">
        <x:v>[('NSR', 100.0), ('LBBB', 100.0), ('AB', 100.0)]</x:v>
      </x:c>
      <x:c r="J578" s="12" t="str">
        <x:v>ptbxl_database.csv；ecg_id=4560；scp_codes</x:v>
      </x:c>
      <x:c r="K578" s="12" t="str">
        <x:v>12sl_statements.csv；ecg_id=4560；statements_ext_snomed</x:v>
      </x:c>
      <x:c r="L578" s="12"/>
      <x:c r="M578" s="12" t="str">
        <x:v>negative</x:v>
      </x:c>
      <x:c r="N578" s="12"/>
      <x:c r="O578" s="12" t="str">
        <x:v>negative</x:v>
      </x:c>
      <x:c r="P578" s="12" t="str">
        <x:f>IF(OR(M578="unavailable",O578="unavailable"),"不可评价",IF(OR(M578="equivocal",O578="equivocal"),"疑似",IF(AND(M578="positive",O578="positive"),"a",IF(O578="positive","b",IF(M578="positive","c","d")))))</x:f>
        <x:v>d</x:v>
      </x:c>
      <x:c r="Q578" s="12" t="n">
        <x:v>100</x:v>
      </x:c>
      <x:c r="R578" s="12" t="str">
        <x:v>positive</x:v>
      </x:c>
      <x:c r="S578" s="12" t="n">
        <x:v>100</x:v>
      </x:c>
      <x:c r="T578" s="12" t="str">
        <x:v>positive</x:v>
      </x:c>
      <x:c r="U578" s="12" t="str">
        <x:f>IF(OR(R578="unavailable",T578="unavailable"),"不可评价",IF(OR(R578="equivocal",T578="equivocal"),"疑似",IF(AND(R578="positive",T578="positive"),"a",IF(T578="positive","b",IF(R578="positive","c","d")))))</x:f>
        <x:v>a</x:v>
      </x:c>
      <x:c r="V578" s="12"/>
      <x:c r="W578" s="12" t="str">
        <x:v>negative</x:v>
      </x:c>
      <x:c r="X578" s="12"/>
      <x:c r="Y578" s="12" t="str">
        <x:v>negative</x:v>
      </x:c>
      <x:c r="Z578" s="12" t="str">
        <x:f>IF(OR(W578="unavailable",Y578="unavailable"),"不可评价",IF(OR(W578="equivocal",Y578="equivocal"),"疑似",IF(AND(W578="positive",Y578="positive"),"a",IF(Y578="positive","b",IF(W578="positive","c","d")))))</x:f>
        <x:v>d</x:v>
      </x:c>
      <x:c r="AA578" s="12" t="str">
        <x:f>IF(OR(M578="unavailable",O578="unavailable"),"不可评价",IF(AND(OR(M578="positive",M578="equivocal"),OR(O578="positive",O578="equivocal")),"a",IF(OR(O578="positive",O578="equivocal"),"b",IF(OR(M578="positive",M578="equivocal"),"c","d"))))</x:f>
        <x:v>d</x:v>
      </x:c>
      <x:c r="AB578" s="12" t="str">
        <x:f>IF(OR(M578="unavailable",O578="unavailable"),"不可评价",IF(AND(M578="positive",O578="positive"),"a",IF(O578="positive","b",IF(M578="positive","c","d"))))</x:f>
        <x:v>d</x:v>
      </x:c>
      <x:c r="AC578" s="12" t="str">
        <x:f>IF(OR(R578="unavailable",T578="unavailable"),"不可评价",IF(AND(OR(R578="positive",R578="equivocal"),OR(T578="positive",T578="equivocal")),"a",IF(OR(T578="positive",T578="equivocal"),"b",IF(OR(R578="positive",R578="equivocal"),"c","d"))))</x:f>
        <x:v>a</x:v>
      </x:c>
      <x:c r="AD578" s="12" t="str">
        <x:f>IF(OR(R578="unavailable",T578="unavailable"),"不可评价",IF(AND(R578="positive",T578="positive"),"a",IF(T578="positive","b",IF(R578="positive","c","d"))))</x:f>
        <x:v>a</x:v>
      </x:c>
      <x:c r="AE578" s="12" t="str">
        <x:f>IF(OR(W578="unavailable",Y578="unavailable"),"不可评价",IF(AND(OR(W578="positive",W578="equivocal"),OR(Y578="positive",Y578="equivocal")),"a",IF(OR(Y578="positive",Y578="equivocal"),"b",IF(OR(W578="positive",W578="equivocal"),"c","d"))))</x:f>
        <x:v>d</x:v>
      </x:c>
      <x:c r="AF578" s="12" t="str">
        <x:f>IF(OR(W578="unavailable",Y578="unavailable"),"不可评价",IF(AND(W578="positive",Y578="positive"),"a",IF(Y578="positive","b",IF(W578="positive","c","d"))))</x:f>
        <x:v>d</x:v>
      </x:c>
    </x:row>
    <x:row r="579" ht="24" customHeight="1">
      <x:c r="A579" s="12" t="str">
        <x:v>4565</x:v>
      </x:c>
      <x:c r="B579" s="12" t="str">
        <x:v>16987</x:v>
      </x:c>
      <x:c r="C579" s="21" t="n">
        <x:v>33078.481886574074</x:v>
      </x:c>
      <x:c r="D579" s="12" t="n">
        <x:v>38</x:v>
      </x:c>
      <x:c r="E579" s="12" t="n">
        <x:v>0</x:v>
      </x:c>
      <x:c r="F579" s="12" t="str">
        <x:v>未记录</x:v>
      </x:c>
      <x:c r="G579" s="12" t="n">
        <x:v>1</x:v>
      </x:c>
      <x:c r="H579" s="12" t="str">
        <x:v>{'NORM': 80.0, 'SBRAD': 0.0}</x:v>
      </x:c>
      <x:c r="I579" s="12" t="str">
        <x:v>[('SBRAD', 100.0), ('ABR', 100.0)]</x:v>
      </x:c>
      <x:c r="J579" s="12" t="str">
        <x:v>ptbxl_database.csv；ecg_id=4565；scp_codes</x:v>
      </x:c>
      <x:c r="K579" s="12" t="str">
        <x:v>12sl_statements.csv；ecg_id=4565；statements_ext_snomed</x:v>
      </x:c>
      <x:c r="L579" s="12"/>
      <x:c r="M579" s="12" t="str">
        <x:v>negative</x:v>
      </x:c>
      <x:c r="N579" s="12"/>
      <x:c r="O579" s="12" t="str">
        <x:v>negative</x:v>
      </x:c>
      <x:c r="P579" s="12" t="str">
        <x:f>IF(OR(M579="unavailable",O579="unavailable"),"不可评价",IF(OR(M579="equivocal",O579="equivocal"),"疑似",IF(AND(M579="positive",O579="positive"),"a",IF(O579="positive","b",IF(M579="positive","c","d")))))</x:f>
        <x:v>d</x:v>
      </x:c>
      <x:c r="Q579" s="12"/>
      <x:c r="R579" s="12" t="str">
        <x:v>negative</x:v>
      </x:c>
      <x:c r="S579" s="12"/>
      <x:c r="T579" s="12" t="str">
        <x:v>negative</x:v>
      </x:c>
      <x:c r="U579" s="12" t="str">
        <x:f>IF(OR(R579="unavailable",T579="unavailable"),"不可评价",IF(OR(R579="equivocal",T579="equivocal"),"疑似",IF(AND(R579="positive",T579="positive"),"a",IF(T579="positive","b",IF(R579="positive","c","d")))))</x:f>
        <x:v>d</x:v>
      </x:c>
      <x:c r="V579" s="12"/>
      <x:c r="W579" s="12" t="str">
        <x:v>negative</x:v>
      </x:c>
      <x:c r="X579" s="12"/>
      <x:c r="Y579" s="12" t="str">
        <x:v>negative</x:v>
      </x:c>
      <x:c r="Z579" s="12" t="str">
        <x:f>IF(OR(W579="unavailable",Y579="unavailable"),"不可评价",IF(OR(W579="equivocal",Y579="equivocal"),"疑似",IF(AND(W579="positive",Y579="positive"),"a",IF(Y579="positive","b",IF(W579="positive","c","d")))))</x:f>
        <x:v>d</x:v>
      </x:c>
      <x:c r="AA579" s="12" t="str">
        <x:f>IF(OR(M579="unavailable",O579="unavailable"),"不可评价",IF(AND(OR(M579="positive",M579="equivocal"),OR(O579="positive",O579="equivocal")),"a",IF(OR(O579="positive",O579="equivocal"),"b",IF(OR(M579="positive",M579="equivocal"),"c","d"))))</x:f>
        <x:v>d</x:v>
      </x:c>
      <x:c r="AB579" s="12" t="str">
        <x:f>IF(OR(M579="unavailable",O579="unavailable"),"不可评价",IF(AND(M579="positive",O579="positive"),"a",IF(O579="positive","b",IF(M579="positive","c","d"))))</x:f>
        <x:v>d</x:v>
      </x:c>
      <x:c r="AC579" s="12" t="str">
        <x:f>IF(OR(R579="unavailable",T579="unavailable"),"不可评价",IF(AND(OR(R579="positive",R579="equivocal"),OR(T579="positive",T579="equivocal")),"a",IF(OR(T579="positive",T579="equivocal"),"b",IF(OR(R579="positive",R579="equivocal"),"c","d"))))</x:f>
        <x:v>d</x:v>
      </x:c>
      <x:c r="AD579" s="12" t="str">
        <x:f>IF(OR(R579="unavailable",T579="unavailable"),"不可评价",IF(AND(R579="positive",T579="positive"),"a",IF(T579="positive","b",IF(R579="positive","c","d"))))</x:f>
        <x:v>d</x:v>
      </x:c>
      <x:c r="AE579" s="12" t="str">
        <x:f>IF(OR(W579="unavailable",Y579="unavailable"),"不可评价",IF(AND(OR(W579="positive",W579="equivocal"),OR(Y579="positive",Y579="equivocal")),"a",IF(OR(Y579="positive",Y579="equivocal"),"b",IF(OR(W579="positive",W579="equivocal"),"c","d"))))</x:f>
        <x:v>d</x:v>
      </x:c>
      <x:c r="AF579" s="12" t="str">
        <x:f>IF(OR(W579="unavailable",Y579="unavailable"),"不可评价",IF(AND(W579="positive",Y579="positive"),"a",IF(Y579="positive","b",IF(W579="positive","c","d"))))</x:f>
        <x:v>d</x:v>
      </x:c>
    </x:row>
    <x:row r="580" ht="24" customHeight="1">
      <x:c r="A580" s="12" t="str">
        <x:v>4576</x:v>
      </x:c>
      <x:c r="B580" s="12" t="str">
        <x:v>430</x:v>
      </x:c>
      <x:c r="C580" s="21" t="n">
        <x:v>33079.405277777776</x:v>
      </x:c>
      <x:c r="D580" s="12" t="n">
        <x:v>81</x:v>
      </x:c>
      <x:c r="E580" s="12" t="n">
        <x:v>0</x:v>
      </x:c>
      <x:c r="F580" s="12" t="str">
        <x:v>未记录</x:v>
      </x:c>
      <x:c r="G580" s="12" t="n">
        <x:v>1</x:v>
      </x:c>
      <x:c r="H580" s="12" t="str">
        <x:v>{'ASMI': 100.0, 'STD_': 0.0, 'SR': 0.0}</x:v>
      </x:c>
      <x:c r="I580" s="12" t="str">
        <x:v>[('NSR', 100.0), ('LAE', 50.0), ('ASMI;AU', 100.0), ('AB', 100.0)]</x:v>
      </x:c>
      <x:c r="J580" s="12" t="str">
        <x:v>ptbxl_database.csv；ecg_id=4576；scp_codes</x:v>
      </x:c>
      <x:c r="K580" s="12" t="str">
        <x:v>12sl_statements.csv；ecg_id=4576；statements_ext_snomed</x:v>
      </x:c>
      <x:c r="L580" s="12"/>
      <x:c r="M580" s="12" t="str">
        <x:v>negative</x:v>
      </x:c>
      <x:c r="N580" s="12"/>
      <x:c r="O580" s="12" t="str">
        <x:v>negative</x:v>
      </x:c>
      <x:c r="P580" s="12" t="str">
        <x:f>IF(OR(M580="unavailable",O580="unavailable"),"不可评价",IF(OR(M580="equivocal",O580="equivocal"),"疑似",IF(AND(M580="positive",O580="positive"),"a",IF(O580="positive","b",IF(M580="positive","c","d")))))</x:f>
        <x:v>d</x:v>
      </x:c>
      <x:c r="Q580" s="12"/>
      <x:c r="R580" s="12" t="str">
        <x:v>negative</x:v>
      </x:c>
      <x:c r="S580" s="12"/>
      <x:c r="T580" s="12" t="str">
        <x:v>negative</x:v>
      </x:c>
      <x:c r="U580" s="12" t="str">
        <x:f>IF(OR(R580="unavailable",T580="unavailable"),"不可评价",IF(OR(R580="equivocal",T580="equivocal"),"疑似",IF(AND(R580="positive",T580="positive"),"a",IF(T580="positive","b",IF(R580="positive","c","d")))))</x:f>
        <x:v>d</x:v>
      </x:c>
      <x:c r="V580" s="12"/>
      <x:c r="W580" s="12" t="str">
        <x:v>negative</x:v>
      </x:c>
      <x:c r="X580" s="12"/>
      <x:c r="Y580" s="12" t="str">
        <x:v>negative</x:v>
      </x:c>
      <x:c r="Z580" s="12" t="str">
        <x:f>IF(OR(W580="unavailable",Y580="unavailable"),"不可评价",IF(OR(W580="equivocal",Y580="equivocal"),"疑似",IF(AND(W580="positive",Y580="positive"),"a",IF(Y580="positive","b",IF(W580="positive","c","d")))))</x:f>
        <x:v>d</x:v>
      </x:c>
      <x:c r="AA580" s="12" t="str">
        <x:f>IF(OR(M580="unavailable",O580="unavailable"),"不可评价",IF(AND(OR(M580="positive",M580="equivocal"),OR(O580="positive",O580="equivocal")),"a",IF(OR(O580="positive",O580="equivocal"),"b",IF(OR(M580="positive",M580="equivocal"),"c","d"))))</x:f>
        <x:v>d</x:v>
      </x:c>
      <x:c r="AB580" s="12" t="str">
        <x:f>IF(OR(M580="unavailable",O580="unavailable"),"不可评价",IF(AND(M580="positive",O580="positive"),"a",IF(O580="positive","b",IF(M580="positive","c","d"))))</x:f>
        <x:v>d</x:v>
      </x:c>
      <x:c r="AC580" s="12" t="str">
        <x:f>IF(OR(R580="unavailable",T580="unavailable"),"不可评价",IF(AND(OR(R580="positive",R580="equivocal"),OR(T580="positive",T580="equivocal")),"a",IF(OR(T580="positive",T580="equivocal"),"b",IF(OR(R580="positive",R580="equivocal"),"c","d"))))</x:f>
        <x:v>d</x:v>
      </x:c>
      <x:c r="AD580" s="12" t="str">
        <x:f>IF(OR(R580="unavailable",T580="unavailable"),"不可评价",IF(AND(R580="positive",T580="positive"),"a",IF(T580="positive","b",IF(R580="positive","c","d"))))</x:f>
        <x:v>d</x:v>
      </x:c>
      <x:c r="AE580" s="12" t="str">
        <x:f>IF(OR(W580="unavailable",Y580="unavailable"),"不可评价",IF(AND(OR(W580="positive",W580="equivocal"),OR(Y580="positive",Y580="equivocal")),"a",IF(OR(Y580="positive",Y580="equivocal"),"b",IF(OR(W580="positive",W580="equivocal"),"c","d"))))</x:f>
        <x:v>d</x:v>
      </x:c>
      <x:c r="AF580" s="12" t="str">
        <x:f>IF(OR(W580="unavailable",Y580="unavailable"),"不可评价",IF(AND(W580="positive",Y580="positive"),"a",IF(Y580="positive","b",IF(W580="positive","c","d"))))</x:f>
        <x:v>d</x:v>
      </x:c>
    </x:row>
    <x:row r="581" ht="24" customHeight="1">
      <x:c r="A581" s="12" t="str">
        <x:v>4602</x:v>
      </x:c>
      <x:c r="B581" s="12" t="str">
        <x:v>6066</x:v>
      </x:c>
      <x:c r="C581" s="21" t="n">
        <x:v>33082.48747685185</x:v>
      </x:c>
      <x:c r="D581" s="12" t="n">
        <x:v>53</x:v>
      </x:c>
      <x:c r="E581" s="12" t="n">
        <x:v>1</x:v>
      </x:c>
      <x:c r="F581" s="12" t="str">
        <x:v>未记录</x:v>
      </x:c>
      <x:c r="G581" s="12" t="n">
        <x:v>1</x:v>
      </x:c>
      <x:c r="H581" s="12" t="str">
        <x:v>{'IRBBB': 100.0, 'LAFB': 100.0, 'RVH': 50.0, 'STACH': 0.0}</x:v>
      </x:c>
      <x:c r="I581" s="12" t="str">
        <x:v>[('STACH', 100.0), ('LAD3', 100.0), ('RBBB', 100.0), ('AB', 100.0)]</x:v>
      </x:c>
      <x:c r="J581" s="12" t="str">
        <x:v>ptbxl_database.csv；ecg_id=4602；scp_codes</x:v>
      </x:c>
      <x:c r="K581" s="12" t="str">
        <x:v>12sl_statements.csv；ecg_id=4602；statements_ext_snomed</x:v>
      </x:c>
      <x:c r="L581" s="12"/>
      <x:c r="M581" s="12" t="str">
        <x:v>negative</x:v>
      </x:c>
      <x:c r="N581" s="12"/>
      <x:c r="O581" s="12" t="str">
        <x:v>negative</x:v>
      </x:c>
      <x:c r="P581" s="12" t="str">
        <x:f>IF(OR(M581="unavailable",O581="unavailable"),"不可评价",IF(OR(M581="equivocal",O581="equivocal"),"疑似",IF(AND(M581="positive",O581="positive"),"a",IF(O581="positive","b",IF(M581="positive","c","d")))))</x:f>
        <x:v>d</x:v>
      </x:c>
      <x:c r="Q581" s="12"/>
      <x:c r="R581" s="12" t="str">
        <x:v>negative</x:v>
      </x:c>
      <x:c r="S581" s="12"/>
      <x:c r="T581" s="12" t="str">
        <x:v>negative</x:v>
      </x:c>
      <x:c r="U581" s="12" t="str">
        <x:f>IF(OR(R581="unavailable",T581="unavailable"),"不可评价",IF(OR(R581="equivocal",T581="equivocal"),"疑似",IF(AND(R581="positive",T581="positive"),"a",IF(T581="positive","b",IF(R581="positive","c","d")))))</x:f>
        <x:v>d</x:v>
      </x:c>
      <x:c r="V581" s="12"/>
      <x:c r="W581" s="12" t="str">
        <x:v>negative</x:v>
      </x:c>
      <x:c r="X581" s="12" t="n">
        <x:v>100</x:v>
      </x:c>
      <x:c r="Y581" s="12" t="str">
        <x:v>positive</x:v>
      </x:c>
      <x:c r="Z581" s="12" t="str">
        <x:f>IF(OR(W581="unavailable",Y581="unavailable"),"不可评价",IF(OR(W581="equivocal",Y581="equivocal"),"疑似",IF(AND(W581="positive",Y581="positive"),"a",IF(Y581="positive","b",IF(W581="positive","c","d")))))</x:f>
        <x:v>b</x:v>
      </x:c>
      <x:c r="AA581" s="12" t="str">
        <x:f>IF(OR(M581="unavailable",O581="unavailable"),"不可评价",IF(AND(OR(M581="positive",M581="equivocal"),OR(O581="positive",O581="equivocal")),"a",IF(OR(O581="positive",O581="equivocal"),"b",IF(OR(M581="positive",M581="equivocal"),"c","d"))))</x:f>
        <x:v>d</x:v>
      </x:c>
      <x:c r="AB581" s="12" t="str">
        <x:f>IF(OR(M581="unavailable",O581="unavailable"),"不可评价",IF(AND(M581="positive",O581="positive"),"a",IF(O581="positive","b",IF(M581="positive","c","d"))))</x:f>
        <x:v>d</x:v>
      </x:c>
      <x:c r="AC581" s="12" t="str">
        <x:f>IF(OR(R581="unavailable",T581="unavailable"),"不可评价",IF(AND(OR(R581="positive",R581="equivocal"),OR(T581="positive",T581="equivocal")),"a",IF(OR(T581="positive",T581="equivocal"),"b",IF(OR(R581="positive",R581="equivocal"),"c","d"))))</x:f>
        <x:v>d</x:v>
      </x:c>
      <x:c r="AD581" s="12" t="str">
        <x:f>IF(OR(R581="unavailable",T581="unavailable"),"不可评价",IF(AND(R581="positive",T581="positive"),"a",IF(T581="positive","b",IF(R581="positive","c","d"))))</x:f>
        <x:v>d</x:v>
      </x:c>
      <x:c r="AE581" s="12" t="str">
        <x:f>IF(OR(W581="unavailable",Y581="unavailable"),"不可评价",IF(AND(OR(W581="positive",W581="equivocal"),OR(Y581="positive",Y581="equivocal")),"a",IF(OR(Y581="positive",Y581="equivocal"),"b",IF(OR(W581="positive",W581="equivocal"),"c","d"))))</x:f>
        <x:v>b</x:v>
      </x:c>
      <x:c r="AF581" s="12" t="str">
        <x:f>IF(OR(W581="unavailable",Y581="unavailable"),"不可评价",IF(AND(W581="positive",Y581="positive"),"a",IF(Y581="positive","b",IF(W581="positive","c","d"))))</x:f>
        <x:v>b</x:v>
      </x:c>
    </x:row>
    <x:row r="582" ht="24" customHeight="1">
      <x:c r="A582" s="12" t="str">
        <x:v>4609</x:v>
      </x:c>
      <x:c r="B582" s="12" t="str">
        <x:v>7750</x:v>
      </x:c>
      <x:c r="C582" s="21" t="n">
        <x:v>33082.68518518518</x:v>
      </x:c>
      <x:c r="D582" s="12" t="n">
        <x:v>67</x:v>
      </x:c>
      <x:c r="E582" s="12" t="n">
        <x:v>0</x:v>
      </x:c>
      <x:c r="F582" s="12" t="str">
        <x:v>未记录</x:v>
      </x:c>
      <x:c r="G582" s="12" t="n">
        <x:v>1</x:v>
      </x:c>
      <x:c r="H582" s="12" t="str">
        <x:v>{'NORM': 100.0, 'SR': 0.0}</x:v>
      </x:c>
      <x:c r="I582" s="12" t="str">
        <x:v>[('NSR', 100.0), ('IMI;AU', 100.0), ('AB', 100.0)]</x:v>
      </x:c>
      <x:c r="J582" s="12" t="str">
        <x:v>ptbxl_database.csv；ecg_id=4609；scp_codes</x:v>
      </x:c>
      <x:c r="K582" s="12" t="str">
        <x:v>12sl_statements.csv；ecg_id=4609；statements_ext_snomed</x:v>
      </x:c>
      <x:c r="L582" s="12"/>
      <x:c r="M582" s="12" t="str">
        <x:v>negative</x:v>
      </x:c>
      <x:c r="N582" s="12"/>
      <x:c r="O582" s="12" t="str">
        <x:v>negative</x:v>
      </x:c>
      <x:c r="P582" s="12" t="str">
        <x:f>IF(OR(M582="unavailable",O582="unavailable"),"不可评价",IF(OR(M582="equivocal",O582="equivocal"),"疑似",IF(AND(M582="positive",O582="positive"),"a",IF(O582="positive","b",IF(M582="positive","c","d")))))</x:f>
        <x:v>d</x:v>
      </x:c>
      <x:c r="Q582" s="12"/>
      <x:c r="R582" s="12" t="str">
        <x:v>negative</x:v>
      </x:c>
      <x:c r="S582" s="12"/>
      <x:c r="T582" s="12" t="str">
        <x:v>negative</x:v>
      </x:c>
      <x:c r="U582" s="12" t="str">
        <x:f>IF(OR(R582="unavailable",T582="unavailable"),"不可评价",IF(OR(R582="equivocal",T582="equivocal"),"疑似",IF(AND(R582="positive",T582="positive"),"a",IF(T582="positive","b",IF(R582="positive","c","d")))))</x:f>
        <x:v>d</x:v>
      </x:c>
      <x:c r="V582" s="12"/>
      <x:c r="W582" s="12" t="str">
        <x:v>negative</x:v>
      </x:c>
      <x:c r="X582" s="12"/>
      <x:c r="Y582" s="12" t="str">
        <x:v>negative</x:v>
      </x:c>
      <x:c r="Z582" s="12" t="str">
        <x:f>IF(OR(W582="unavailable",Y582="unavailable"),"不可评价",IF(OR(W582="equivocal",Y582="equivocal"),"疑似",IF(AND(W582="positive",Y582="positive"),"a",IF(Y582="positive","b",IF(W582="positive","c","d")))))</x:f>
        <x:v>d</x:v>
      </x:c>
      <x:c r="AA582" s="12" t="str">
        <x:f>IF(OR(M582="unavailable",O582="unavailable"),"不可评价",IF(AND(OR(M582="positive",M582="equivocal"),OR(O582="positive",O582="equivocal")),"a",IF(OR(O582="positive",O582="equivocal"),"b",IF(OR(M582="positive",M582="equivocal"),"c","d"))))</x:f>
        <x:v>d</x:v>
      </x:c>
      <x:c r="AB582" s="12" t="str">
        <x:f>IF(OR(M582="unavailable",O582="unavailable"),"不可评价",IF(AND(M582="positive",O582="positive"),"a",IF(O582="positive","b",IF(M582="positive","c","d"))))</x:f>
        <x:v>d</x:v>
      </x:c>
      <x:c r="AC582" s="12" t="str">
        <x:f>IF(OR(R582="unavailable",T582="unavailable"),"不可评价",IF(AND(OR(R582="positive",R582="equivocal"),OR(T582="positive",T582="equivocal")),"a",IF(OR(T582="positive",T582="equivocal"),"b",IF(OR(R582="positive",R582="equivocal"),"c","d"))))</x:f>
        <x:v>d</x:v>
      </x:c>
      <x:c r="AD582" s="12" t="str">
        <x:f>IF(OR(R582="unavailable",T582="unavailable"),"不可评价",IF(AND(R582="positive",T582="positive"),"a",IF(T582="positive","b",IF(R582="positive","c","d"))))</x:f>
        <x:v>d</x:v>
      </x:c>
      <x:c r="AE582" s="12" t="str">
        <x:f>IF(OR(W582="unavailable",Y582="unavailable"),"不可评价",IF(AND(OR(W582="positive",W582="equivocal"),OR(Y582="positive",Y582="equivocal")),"a",IF(OR(Y582="positive",Y582="equivocal"),"b",IF(OR(W582="positive",W582="equivocal"),"c","d"))))</x:f>
        <x:v>d</x:v>
      </x:c>
      <x:c r="AF582" s="12" t="str">
        <x:f>IF(OR(W582="unavailable",Y582="unavailable"),"不可评价",IF(AND(W582="positive",Y582="positive"),"a",IF(Y582="positive","b",IF(W582="positive","c","d"))))</x:f>
        <x:v>d</x:v>
      </x:c>
    </x:row>
    <x:row r="583" ht="39" customHeight="1">
      <x:c r="A583" s="12" t="str">
        <x:v>4614</x:v>
      </x:c>
      <x:c r="B583" s="12" t="str">
        <x:v>539</x:v>
      </x:c>
      <x:c r="C583" s="21" t="n">
        <x:v>33083.44107638889</x:v>
      </x:c>
      <x:c r="D583" s="12" t="n">
        <x:v>88</x:v>
      </x:c>
      <x:c r="E583" s="12" t="n">
        <x:v>1</x:v>
      </x:c>
      <x:c r="F583" s="12" t="str">
        <x:v>未记录</x:v>
      </x:c>
      <x:c r="G583" s="12" t="n">
        <x:v>1</x:v>
      </x:c>
      <x:c r="H583" s="12" t="str">
        <x:v>{'ASMI': 50.0, 'LVH': 50.0, 'ISC_': 50.0, 'LPR': 0.0, 'VCLVH': 0.0, 'STD_': 0.0, 'SR': 0.0}</x:v>
      </x:c>
      <x:c r="I583" s="12" t="str">
        <x:v>[('SRTH', 100.0), ('FAV', 100.0), ('LAD3', 100.0), ('LVH2', 100.0), ('2ST', 100.0), ('AB', 100.0)]</x:v>
      </x:c>
      <x:c r="J583" s="12" t="str">
        <x:v>ptbxl_database.csv；ecg_id=4614；scp_codes</x:v>
      </x:c>
      <x:c r="K583" s="12" t="str">
        <x:v>12sl_statements.csv；ecg_id=4614；statements_ext_snomed</x:v>
      </x:c>
      <x:c r="L583" s="12"/>
      <x:c r="M583" s="12" t="str">
        <x:v>negative</x:v>
      </x:c>
      <x:c r="N583" s="12"/>
      <x:c r="O583" s="12" t="str">
        <x:v>negative</x:v>
      </x:c>
      <x:c r="P583" s="12" t="str">
        <x:f>IF(OR(M583="unavailable",O583="unavailable"),"不可评价",IF(OR(M583="equivocal",O583="equivocal"),"疑似",IF(AND(M583="positive",O583="positive"),"a",IF(O583="positive","b",IF(M583="positive","c","d")))))</x:f>
        <x:v>d</x:v>
      </x:c>
      <x:c r="Q583" s="12"/>
      <x:c r="R583" s="12" t="str">
        <x:v>negative</x:v>
      </x:c>
      <x:c r="S583" s="12"/>
      <x:c r="T583" s="12" t="str">
        <x:v>negative</x:v>
      </x:c>
      <x:c r="U583" s="12" t="str">
        <x:f>IF(OR(R583="unavailable",T583="unavailable"),"不可评价",IF(OR(R583="equivocal",T583="equivocal"),"疑似",IF(AND(R583="positive",T583="positive"),"a",IF(T583="positive","b",IF(R583="positive","c","d")))))</x:f>
        <x:v>d</x:v>
      </x:c>
      <x:c r="V583" s="12"/>
      <x:c r="W583" s="12" t="str">
        <x:v>negative</x:v>
      </x:c>
      <x:c r="X583" s="12"/>
      <x:c r="Y583" s="12" t="str">
        <x:v>negative</x:v>
      </x:c>
      <x:c r="Z583" s="12" t="str">
        <x:f>IF(OR(W583="unavailable",Y583="unavailable"),"不可评价",IF(OR(W583="equivocal",Y583="equivocal"),"疑似",IF(AND(W583="positive",Y583="positive"),"a",IF(Y583="positive","b",IF(W583="positive","c","d")))))</x:f>
        <x:v>d</x:v>
      </x:c>
      <x:c r="AA583" s="12" t="str">
        <x:f>IF(OR(M583="unavailable",O583="unavailable"),"不可评价",IF(AND(OR(M583="positive",M583="equivocal"),OR(O583="positive",O583="equivocal")),"a",IF(OR(O583="positive",O583="equivocal"),"b",IF(OR(M583="positive",M583="equivocal"),"c","d"))))</x:f>
        <x:v>d</x:v>
      </x:c>
      <x:c r="AB583" s="12" t="str">
        <x:f>IF(OR(M583="unavailable",O583="unavailable"),"不可评价",IF(AND(M583="positive",O583="positive"),"a",IF(O583="positive","b",IF(M583="positive","c","d"))))</x:f>
        <x:v>d</x:v>
      </x:c>
      <x:c r="AC583" s="12" t="str">
        <x:f>IF(OR(R583="unavailable",T583="unavailable"),"不可评价",IF(AND(OR(R583="positive",R583="equivocal"),OR(T583="positive",T583="equivocal")),"a",IF(OR(T583="positive",T583="equivocal"),"b",IF(OR(R583="positive",R583="equivocal"),"c","d"))))</x:f>
        <x:v>d</x:v>
      </x:c>
      <x:c r="AD583" s="12" t="str">
        <x:f>IF(OR(R583="unavailable",T583="unavailable"),"不可评价",IF(AND(R583="positive",T583="positive"),"a",IF(T583="positive","b",IF(R583="positive","c","d"))))</x:f>
        <x:v>d</x:v>
      </x:c>
      <x:c r="AE583" s="12" t="str">
        <x:f>IF(OR(W583="unavailable",Y583="unavailable"),"不可评价",IF(AND(OR(W583="positive",W583="equivocal"),OR(Y583="positive",Y583="equivocal")),"a",IF(OR(Y583="positive",Y583="equivocal"),"b",IF(OR(W583="positive",W583="equivocal"),"c","d"))))</x:f>
        <x:v>d</x:v>
      </x:c>
      <x:c r="AF583" s="12" t="str">
        <x:f>IF(OR(W583="unavailable",Y583="unavailable"),"不可评价",IF(AND(W583="positive",Y583="positive"),"a",IF(Y583="positive","b",IF(W583="positive","c","d"))))</x:f>
        <x:v>d</x:v>
      </x:c>
    </x:row>
    <x:row r="584" ht="24" customHeight="1">
      <x:c r="A584" s="12" t="str">
        <x:v>4615</x:v>
      </x:c>
      <x:c r="B584" s="12" t="str">
        <x:v>430</x:v>
      </x:c>
      <x:c r="C584" s="21" t="n">
        <x:v>33083.45486111111</x:v>
      </x:c>
      <x:c r="D584" s="12" t="n">
        <x:v>81</x:v>
      </x:c>
      <x:c r="E584" s="12" t="n">
        <x:v>0</x:v>
      </x:c>
      <x:c r="F584" s="12" t="str">
        <x:v>未记录</x:v>
      </x:c>
      <x:c r="G584" s="12" t="n">
        <x:v>0</x:v>
      </x:c>
      <x:c r="H584" s="12" t="str">
        <x:v>{'ALMI': 80.0, 'ASMI': 100.0, 'INVT': 0.0, 'STD_': 0.0, 'SR': 0.0}</x:v>
      </x:c>
      <x:c r="I584" s="12" t="str">
        <x:v>[('NSR', 100.0), ('AIOHAI', 100.0), ('STEMI', 100.0), ('AB', 100.0)]</x:v>
      </x:c>
      <x:c r="J584" s="12" t="str">
        <x:v>ptbxl_database.csv；ecg_id=4615；scp_codes</x:v>
      </x:c>
      <x:c r="K584" s="12" t="str">
        <x:v>12sl_statements.csv；ecg_id=4615；statements_ext_snomed</x:v>
      </x:c>
      <x:c r="L584" s="12"/>
      <x:c r="M584" s="12" t="str">
        <x:v>negative</x:v>
      </x:c>
      <x:c r="N584" s="12"/>
      <x:c r="O584" s="12" t="str">
        <x:v>negative</x:v>
      </x:c>
      <x:c r="P584" s="12" t="str">
        <x:f>IF(OR(M584="unavailable",O584="unavailable"),"不可评价",IF(OR(M584="equivocal",O584="equivocal"),"疑似",IF(AND(M584="positive",O584="positive"),"a",IF(O584="positive","b",IF(M584="positive","c","d")))))</x:f>
        <x:v>d</x:v>
      </x:c>
      <x:c r="Q584" s="12"/>
      <x:c r="R584" s="12" t="str">
        <x:v>negative</x:v>
      </x:c>
      <x:c r="S584" s="12"/>
      <x:c r="T584" s="12" t="str">
        <x:v>negative</x:v>
      </x:c>
      <x:c r="U584" s="12" t="str">
        <x:f>IF(OR(R584="unavailable",T584="unavailable"),"不可评价",IF(OR(R584="equivocal",T584="equivocal"),"疑似",IF(AND(R584="positive",T584="positive"),"a",IF(T584="positive","b",IF(R584="positive","c","d")))))</x:f>
        <x:v>d</x:v>
      </x:c>
      <x:c r="V584" s="12"/>
      <x:c r="W584" s="12" t="str">
        <x:v>negative</x:v>
      </x:c>
      <x:c r="X584" s="12"/>
      <x:c r="Y584" s="12" t="str">
        <x:v>negative</x:v>
      </x:c>
      <x:c r="Z584" s="12" t="str">
        <x:f>IF(OR(W584="unavailable",Y584="unavailable"),"不可评价",IF(OR(W584="equivocal",Y584="equivocal"),"疑似",IF(AND(W584="positive",Y584="positive"),"a",IF(Y584="positive","b",IF(W584="positive","c","d")))))</x:f>
        <x:v>d</x:v>
      </x:c>
      <x:c r="AA584" s="12" t="str">
        <x:f>IF(OR(M584="unavailable",O584="unavailable"),"不可评价",IF(AND(OR(M584="positive",M584="equivocal"),OR(O584="positive",O584="equivocal")),"a",IF(OR(O584="positive",O584="equivocal"),"b",IF(OR(M584="positive",M584="equivocal"),"c","d"))))</x:f>
        <x:v>d</x:v>
      </x:c>
      <x:c r="AB584" s="12" t="str">
        <x:f>IF(OR(M584="unavailable",O584="unavailable"),"不可评价",IF(AND(M584="positive",O584="positive"),"a",IF(O584="positive","b",IF(M584="positive","c","d"))))</x:f>
        <x:v>d</x:v>
      </x:c>
      <x:c r="AC584" s="12" t="str">
        <x:f>IF(OR(R584="unavailable",T584="unavailable"),"不可评价",IF(AND(OR(R584="positive",R584="equivocal"),OR(T584="positive",T584="equivocal")),"a",IF(OR(T584="positive",T584="equivocal"),"b",IF(OR(R584="positive",R584="equivocal"),"c","d"))))</x:f>
        <x:v>d</x:v>
      </x:c>
      <x:c r="AD584" s="12" t="str">
        <x:f>IF(OR(R584="unavailable",T584="unavailable"),"不可评价",IF(AND(R584="positive",T584="positive"),"a",IF(T584="positive","b",IF(R584="positive","c","d"))))</x:f>
        <x:v>d</x:v>
      </x:c>
      <x:c r="AE584" s="12" t="str">
        <x:f>IF(OR(W584="unavailable",Y584="unavailable"),"不可评价",IF(AND(OR(W584="positive",W584="equivocal"),OR(Y584="positive",Y584="equivocal")),"a",IF(OR(Y584="positive",Y584="equivocal"),"b",IF(OR(W584="positive",W584="equivocal"),"c","d"))))</x:f>
        <x:v>d</x:v>
      </x:c>
      <x:c r="AF584" s="12" t="str">
        <x:f>IF(OR(W584="unavailable",Y584="unavailable"),"不可评价",IF(AND(W584="positive",Y584="positive"),"a",IF(Y584="positive","b",IF(W584="positive","c","d"))))</x:f>
        <x:v>d</x:v>
      </x:c>
    </x:row>
    <x:row r="585" ht="24" customHeight="1">
      <x:c r="A585" s="12" t="str">
        <x:v>4618</x:v>
      </x:c>
      <x:c r="B585" s="12" t="str">
        <x:v>1890</x:v>
      </x:c>
      <x:c r="C585" s="21" t="n">
        <x:v>33083.5312037037</x:v>
      </x:c>
      <x:c r="D585" s="12" t="n">
        <x:v>74</x:v>
      </x:c>
      <x:c r="E585" s="12" t="n">
        <x:v>1</x:v>
      </x:c>
      <x:c r="F585" s="12" t="str">
        <x:v>未记录</x:v>
      </x:c>
      <x:c r="G585" s="12" t="n">
        <x:v>1</x:v>
      </x:c>
      <x:c r="H585" s="12" t="str">
        <x:v>{'ASMI': 100.0, 'IMI': 50.0, 'ANEUR': 50.0, 'LAFB': 100.0, 'SR': 0.0}</x:v>
      </x:c>
      <x:c r="I585" s="12" t="str">
        <x:v>[('SRTH', 100.0), ('PVC', 100.0), ('LAD3', 100.0), ('LBBB', 100.0), ('AB', 100.0)]</x:v>
      </x:c>
      <x:c r="J585" s="12" t="str">
        <x:v>ptbxl_database.csv；ecg_id=4618；scp_codes</x:v>
      </x:c>
      <x:c r="K585" s="12" t="str">
        <x:v>12sl_statements.csv；ecg_id=4618；statements_ext_snomed</x:v>
      </x:c>
      <x:c r="L585" s="12"/>
      <x:c r="M585" s="12" t="str">
        <x:v>negative</x:v>
      </x:c>
      <x:c r="N585" s="12"/>
      <x:c r="O585" s="12" t="str">
        <x:v>negative</x:v>
      </x:c>
      <x:c r="P585" s="12" t="str">
        <x:f>IF(OR(M585="unavailable",O585="unavailable"),"不可评价",IF(OR(M585="equivocal",O585="equivocal"),"疑似",IF(AND(M585="positive",O585="positive"),"a",IF(O585="positive","b",IF(M585="positive","c","d")))))</x:f>
        <x:v>d</x:v>
      </x:c>
      <x:c r="Q585" s="12"/>
      <x:c r="R585" s="12" t="str">
        <x:v>negative</x:v>
      </x:c>
      <x:c r="S585" s="12" t="n">
        <x:v>100</x:v>
      </x:c>
      <x:c r="T585" s="12" t="str">
        <x:v>positive</x:v>
      </x:c>
      <x:c r="U585" s="12" t="str">
        <x:f>IF(OR(R585="unavailable",T585="unavailable"),"不可评价",IF(OR(R585="equivocal",T585="equivocal"),"疑似",IF(AND(R585="positive",T585="positive"),"a",IF(T585="positive","b",IF(R585="positive","c","d")))))</x:f>
        <x:v>b</x:v>
      </x:c>
      <x:c r="V585" s="12"/>
      <x:c r="W585" s="12" t="str">
        <x:v>negative</x:v>
      </x:c>
      <x:c r="X585" s="12"/>
      <x:c r="Y585" s="12" t="str">
        <x:v>negative</x:v>
      </x:c>
      <x:c r="Z585" s="12" t="str">
        <x:f>IF(OR(W585="unavailable",Y585="unavailable"),"不可评价",IF(OR(W585="equivocal",Y585="equivocal"),"疑似",IF(AND(W585="positive",Y585="positive"),"a",IF(Y585="positive","b",IF(W585="positive","c","d")))))</x:f>
        <x:v>d</x:v>
      </x:c>
      <x:c r="AA585" s="12" t="str">
        <x:f>IF(OR(M585="unavailable",O585="unavailable"),"不可评价",IF(AND(OR(M585="positive",M585="equivocal"),OR(O585="positive",O585="equivocal")),"a",IF(OR(O585="positive",O585="equivocal"),"b",IF(OR(M585="positive",M585="equivocal"),"c","d"))))</x:f>
        <x:v>d</x:v>
      </x:c>
      <x:c r="AB585" s="12" t="str">
        <x:f>IF(OR(M585="unavailable",O585="unavailable"),"不可评价",IF(AND(M585="positive",O585="positive"),"a",IF(O585="positive","b",IF(M585="positive","c","d"))))</x:f>
        <x:v>d</x:v>
      </x:c>
      <x:c r="AC585" s="12" t="str">
        <x:f>IF(OR(R585="unavailable",T585="unavailable"),"不可评价",IF(AND(OR(R585="positive",R585="equivocal"),OR(T585="positive",T585="equivocal")),"a",IF(OR(T585="positive",T585="equivocal"),"b",IF(OR(R585="positive",R585="equivocal"),"c","d"))))</x:f>
        <x:v>b</x:v>
      </x:c>
      <x:c r="AD585" s="12" t="str">
        <x:f>IF(OR(R585="unavailable",T585="unavailable"),"不可评价",IF(AND(R585="positive",T585="positive"),"a",IF(T585="positive","b",IF(R585="positive","c","d"))))</x:f>
        <x:v>b</x:v>
      </x:c>
      <x:c r="AE585" s="12" t="str">
        <x:f>IF(OR(W585="unavailable",Y585="unavailable"),"不可评价",IF(AND(OR(W585="positive",W585="equivocal"),OR(Y585="positive",Y585="equivocal")),"a",IF(OR(Y585="positive",Y585="equivocal"),"b",IF(OR(W585="positive",W585="equivocal"),"c","d"))))</x:f>
        <x:v>d</x:v>
      </x:c>
      <x:c r="AF585" s="12" t="str">
        <x:f>IF(OR(W585="unavailable",Y585="unavailable"),"不可评价",IF(AND(W585="positive",Y585="positive"),"a",IF(Y585="positive","b",IF(W585="positive","c","d"))))</x:f>
        <x:v>d</x:v>
      </x:c>
    </x:row>
    <x:row r="586" ht="24" customHeight="1">
      <x:c r="A586" s="12" t="str">
        <x:v>4619</x:v>
      </x:c>
      <x:c r="B586" s="12" t="str">
        <x:v>2622</x:v>
      </x:c>
      <x:c r="C586" s="21" t="n">
        <x:v>33083.54377314815</x:v>
      </x:c>
      <x:c r="D586" s="12" t="n">
        <x:v>62</x:v>
      </x:c>
      <x:c r="E586" s="12" t="n">
        <x:v>0</x:v>
      </x:c>
      <x:c r="F586" s="12" t="str">
        <x:v>未记录</x:v>
      </x:c>
      <x:c r="G586" s="12" t="n">
        <x:v>1</x:v>
      </x:c>
      <x:c r="H586" s="12" t="str">
        <x:v>{'LAFB': 100.0, 'SR': 0.0}</x:v>
      </x:c>
      <x:c r="I586" s="12" t="str">
        <x:v>[('NSR', 100.0), ('LAD3', 100.0), ('LOWV', 100.0), ('IMI;AU', 100.0), ('AB', 100.0)]</x:v>
      </x:c>
      <x:c r="J586" s="12" t="str">
        <x:v>ptbxl_database.csv；ecg_id=4619；scp_codes</x:v>
      </x:c>
      <x:c r="K586" s="12" t="str">
        <x:v>12sl_statements.csv；ecg_id=4619；statements_ext_snomed</x:v>
      </x:c>
      <x:c r="L586" s="12"/>
      <x:c r="M586" s="12" t="str">
        <x:v>negative</x:v>
      </x:c>
      <x:c r="N586" s="12"/>
      <x:c r="O586" s="12" t="str">
        <x:v>negative</x:v>
      </x:c>
      <x:c r="P586" s="12" t="str">
        <x:f>IF(OR(M586="unavailable",O586="unavailable"),"不可评价",IF(OR(M586="equivocal",O586="equivocal"),"疑似",IF(AND(M586="positive",O586="positive"),"a",IF(O586="positive","b",IF(M586="positive","c","d")))))</x:f>
        <x:v>d</x:v>
      </x:c>
      <x:c r="Q586" s="12"/>
      <x:c r="R586" s="12" t="str">
        <x:v>negative</x:v>
      </x:c>
      <x:c r="S586" s="12"/>
      <x:c r="T586" s="12" t="str">
        <x:v>negative</x:v>
      </x:c>
      <x:c r="U586" s="12" t="str">
        <x:f>IF(OR(R586="unavailable",T586="unavailable"),"不可评价",IF(OR(R586="equivocal",T586="equivocal"),"疑似",IF(AND(R586="positive",T586="positive"),"a",IF(T586="positive","b",IF(R586="positive","c","d")))))</x:f>
        <x:v>d</x:v>
      </x:c>
      <x:c r="V586" s="12"/>
      <x:c r="W586" s="12" t="str">
        <x:v>negative</x:v>
      </x:c>
      <x:c r="X586" s="12"/>
      <x:c r="Y586" s="12" t="str">
        <x:v>negative</x:v>
      </x:c>
      <x:c r="Z586" s="12" t="str">
        <x:f>IF(OR(W586="unavailable",Y586="unavailable"),"不可评价",IF(OR(W586="equivocal",Y586="equivocal"),"疑似",IF(AND(W586="positive",Y586="positive"),"a",IF(Y586="positive","b",IF(W586="positive","c","d")))))</x:f>
        <x:v>d</x:v>
      </x:c>
      <x:c r="AA586" s="12" t="str">
        <x:f>IF(OR(M586="unavailable",O586="unavailable"),"不可评价",IF(AND(OR(M586="positive",M586="equivocal"),OR(O586="positive",O586="equivocal")),"a",IF(OR(O586="positive",O586="equivocal"),"b",IF(OR(M586="positive",M586="equivocal"),"c","d"))))</x:f>
        <x:v>d</x:v>
      </x:c>
      <x:c r="AB586" s="12" t="str">
        <x:f>IF(OR(M586="unavailable",O586="unavailable"),"不可评价",IF(AND(M586="positive",O586="positive"),"a",IF(O586="positive","b",IF(M586="positive","c","d"))))</x:f>
        <x:v>d</x:v>
      </x:c>
      <x:c r="AC586" s="12" t="str">
        <x:f>IF(OR(R586="unavailable",T586="unavailable"),"不可评价",IF(AND(OR(R586="positive",R586="equivocal"),OR(T586="positive",T586="equivocal")),"a",IF(OR(T586="positive",T586="equivocal"),"b",IF(OR(R586="positive",R586="equivocal"),"c","d"))))</x:f>
        <x:v>d</x:v>
      </x:c>
      <x:c r="AD586" s="12" t="str">
        <x:f>IF(OR(R586="unavailable",T586="unavailable"),"不可评价",IF(AND(R586="positive",T586="positive"),"a",IF(T586="positive","b",IF(R586="positive","c","d"))))</x:f>
        <x:v>d</x:v>
      </x:c>
      <x:c r="AE586" s="12" t="str">
        <x:f>IF(OR(W586="unavailable",Y586="unavailable"),"不可评价",IF(AND(OR(W586="positive",W586="equivocal"),OR(Y586="positive",Y586="equivocal")),"a",IF(OR(Y586="positive",Y586="equivocal"),"b",IF(OR(W586="positive",W586="equivocal"),"c","d"))))</x:f>
        <x:v>d</x:v>
      </x:c>
      <x:c r="AF586" s="12" t="str">
        <x:f>IF(OR(W586="unavailable",Y586="unavailable"),"不可评价",IF(AND(W586="positive",Y586="positive"),"a",IF(Y586="positive","b",IF(W586="positive","c","d"))))</x:f>
        <x:v>d</x:v>
      </x:c>
    </x:row>
    <x:row r="587" ht="24" customHeight="1">
      <x:c r="A587" s="12" t="str">
        <x:v>4646</x:v>
      </x:c>
      <x:c r="B587" s="12" t="str">
        <x:v>4570</x:v>
      </x:c>
      <x:c r="C587" s="21" t="n">
        <x:v>33086.384930555556</x:v>
      </x:c>
      <x:c r="D587" s="12" t="n">
        <x:v>75</x:v>
      </x:c>
      <x:c r="E587" s="12" t="n">
        <x:v>0</x:v>
      </x:c>
      <x:c r="F587" s="12" t="str">
        <x:v>存在</x:v>
      </x:c>
      <x:c r="G587" s="12" t="n">
        <x:v>1</x:v>
      </x:c>
      <x:c r="H587" s="12" t="str">
        <x:v>{'ASMI': 100.0, 'ANEUR': 100.0, 'LOWT': 0.0, 'STD_': 0.0, 'SR': 0.0}</x:v>
      </x:c>
      <x:c r="I587" s="12" t="str">
        <x:v>[('NSR', 100.0), ('LAE', 50.0), ('IMI;AU', 15.0), ('ASMI;AU', 100.0), ('AB', 100.0)]</x:v>
      </x:c>
      <x:c r="J587" s="12" t="str">
        <x:v>ptbxl_database.csv；ecg_id=4646；scp_codes</x:v>
      </x:c>
      <x:c r="K587" s="12" t="str">
        <x:v>12sl_statements.csv；ecg_id=4646；statements_ext_snomed</x:v>
      </x:c>
      <x:c r="L587" s="12"/>
      <x:c r="M587" s="12" t="str">
        <x:v>negative</x:v>
      </x:c>
      <x:c r="N587" s="12"/>
      <x:c r="O587" s="12" t="str">
        <x:v>negative</x:v>
      </x:c>
      <x:c r="P587" s="12" t="str">
        <x:f>IF(OR(M587="unavailable",O587="unavailable"),"不可评价",IF(OR(M587="equivocal",O587="equivocal"),"疑似",IF(AND(M587="positive",O587="positive"),"a",IF(O587="positive","b",IF(M587="positive","c","d")))))</x:f>
        <x:v>d</x:v>
      </x:c>
      <x:c r="Q587" s="12"/>
      <x:c r="R587" s="12" t="str">
        <x:v>negative</x:v>
      </x:c>
      <x:c r="S587" s="12"/>
      <x:c r="T587" s="12" t="str">
        <x:v>negative</x:v>
      </x:c>
      <x:c r="U587" s="12" t="str">
        <x:f>IF(OR(R587="unavailable",T587="unavailable"),"不可评价",IF(OR(R587="equivocal",T587="equivocal"),"疑似",IF(AND(R587="positive",T587="positive"),"a",IF(T587="positive","b",IF(R587="positive","c","d")))))</x:f>
        <x:v>d</x:v>
      </x:c>
      <x:c r="V587" s="12"/>
      <x:c r="W587" s="12" t="str">
        <x:v>negative</x:v>
      </x:c>
      <x:c r="X587" s="12"/>
      <x:c r="Y587" s="12" t="str">
        <x:v>negative</x:v>
      </x:c>
      <x:c r="Z587" s="12" t="str">
        <x:f>IF(OR(W587="unavailable",Y587="unavailable"),"不可评价",IF(OR(W587="equivocal",Y587="equivocal"),"疑似",IF(AND(W587="positive",Y587="positive"),"a",IF(Y587="positive","b",IF(W587="positive","c","d")))))</x:f>
        <x:v>d</x:v>
      </x:c>
      <x:c r="AA587" s="12" t="str">
        <x:f>IF(OR(M587="unavailable",O587="unavailable"),"不可评价",IF(AND(OR(M587="positive",M587="equivocal"),OR(O587="positive",O587="equivocal")),"a",IF(OR(O587="positive",O587="equivocal"),"b",IF(OR(M587="positive",M587="equivocal"),"c","d"))))</x:f>
        <x:v>d</x:v>
      </x:c>
      <x:c r="AB587" s="12" t="str">
        <x:f>IF(OR(M587="unavailable",O587="unavailable"),"不可评价",IF(AND(M587="positive",O587="positive"),"a",IF(O587="positive","b",IF(M587="positive","c","d"))))</x:f>
        <x:v>d</x:v>
      </x:c>
      <x:c r="AC587" s="12" t="str">
        <x:f>IF(OR(R587="unavailable",T587="unavailable"),"不可评价",IF(AND(OR(R587="positive",R587="equivocal"),OR(T587="positive",T587="equivocal")),"a",IF(OR(T587="positive",T587="equivocal"),"b",IF(OR(R587="positive",R587="equivocal"),"c","d"))))</x:f>
        <x:v>d</x:v>
      </x:c>
      <x:c r="AD587" s="12" t="str">
        <x:f>IF(OR(R587="unavailable",T587="unavailable"),"不可评价",IF(AND(R587="positive",T587="positive"),"a",IF(T587="positive","b",IF(R587="positive","c","d"))))</x:f>
        <x:v>d</x:v>
      </x:c>
      <x:c r="AE587" s="12" t="str">
        <x:f>IF(OR(W587="unavailable",Y587="unavailable"),"不可评价",IF(AND(OR(W587="positive",W587="equivocal"),OR(Y587="positive",Y587="equivocal")),"a",IF(OR(Y587="positive",Y587="equivocal"),"b",IF(OR(W587="positive",W587="equivocal"),"c","d"))))</x:f>
        <x:v>d</x:v>
      </x:c>
      <x:c r="AF587" s="12" t="str">
        <x:f>IF(OR(W587="unavailable",Y587="unavailable"),"不可评价",IF(AND(W587="positive",Y587="positive"),"a",IF(Y587="positive","b",IF(W587="positive","c","d"))))</x:f>
        <x:v>d</x:v>
      </x:c>
    </x:row>
    <x:row r="588" ht="39" customHeight="1">
      <x:c r="A588" s="12" t="str">
        <x:v>4656</x:v>
      </x:c>
      <x:c r="B588" s="12" t="str">
        <x:v>539</x:v>
      </x:c>
      <x:c r="C588" s="21" t="n">
        <x:v>33086.658854166664</x:v>
      </x:c>
      <x:c r="D588" s="12" t="n">
        <x:v>88</x:v>
      </x:c>
      <x:c r="E588" s="12" t="n">
        <x:v>1</x:v>
      </x:c>
      <x:c r="F588" s="12" t="str">
        <x:v>未记录</x:v>
      </x:c>
      <x:c r="G588" s="12" t="n">
        <x:v>0</x:v>
      </x:c>
      <x:c r="H588" s="12" t="str">
        <x:v>{'ASMI': 100.0, 'ANEUR': 50.0, 'LVH': 100.0, 'ISCAL': 100.0, 'LPR': 0.0, 'VCLVH': 0.0, 'STD_': 0.0, 'SR': 0.0}</x:v>
      </x:c>
      <x:c r="I588" s="12" t="str">
        <x:v>[('SBRAD', 100.0), ('FAV', 100.0), ('LVH2', 100.0), ('2ST', 100.0), ('AB', 100.0)]</x:v>
      </x:c>
      <x:c r="J588" s="12" t="str">
        <x:v>ptbxl_database.csv；ecg_id=4656；scp_codes</x:v>
      </x:c>
      <x:c r="K588" s="12" t="str">
        <x:v>12sl_statements.csv；ecg_id=4656；statements_ext_snomed</x:v>
      </x:c>
      <x:c r="L588" s="12"/>
      <x:c r="M588" s="12" t="str">
        <x:v>negative</x:v>
      </x:c>
      <x:c r="N588" s="12"/>
      <x:c r="O588" s="12" t="str">
        <x:v>negative</x:v>
      </x:c>
      <x:c r="P588" s="12" t="str">
        <x:f>IF(OR(M588="unavailable",O588="unavailable"),"不可评价",IF(OR(M588="equivocal",O588="equivocal"),"疑似",IF(AND(M588="positive",O588="positive"),"a",IF(O588="positive","b",IF(M588="positive","c","d")))))</x:f>
        <x:v>d</x:v>
      </x:c>
      <x:c r="Q588" s="12"/>
      <x:c r="R588" s="12" t="str">
        <x:v>negative</x:v>
      </x:c>
      <x:c r="S588" s="12"/>
      <x:c r="T588" s="12" t="str">
        <x:v>negative</x:v>
      </x:c>
      <x:c r="U588" s="12" t="str">
        <x:f>IF(OR(R588="unavailable",T588="unavailable"),"不可评价",IF(OR(R588="equivocal",T588="equivocal"),"疑似",IF(AND(R588="positive",T588="positive"),"a",IF(T588="positive","b",IF(R588="positive","c","d")))))</x:f>
        <x:v>d</x:v>
      </x:c>
      <x:c r="V588" s="12"/>
      <x:c r="W588" s="12" t="str">
        <x:v>negative</x:v>
      </x:c>
      <x:c r="X588" s="12"/>
      <x:c r="Y588" s="12" t="str">
        <x:v>negative</x:v>
      </x:c>
      <x:c r="Z588" s="12" t="str">
        <x:f>IF(OR(W588="unavailable",Y588="unavailable"),"不可评价",IF(OR(W588="equivocal",Y588="equivocal"),"疑似",IF(AND(W588="positive",Y588="positive"),"a",IF(Y588="positive","b",IF(W588="positive","c","d")))))</x:f>
        <x:v>d</x:v>
      </x:c>
      <x:c r="AA588" s="12" t="str">
        <x:f>IF(OR(M588="unavailable",O588="unavailable"),"不可评价",IF(AND(OR(M588="positive",M588="equivocal"),OR(O588="positive",O588="equivocal")),"a",IF(OR(O588="positive",O588="equivocal"),"b",IF(OR(M588="positive",M588="equivocal"),"c","d"))))</x:f>
        <x:v>d</x:v>
      </x:c>
      <x:c r="AB588" s="12" t="str">
        <x:f>IF(OR(M588="unavailable",O588="unavailable"),"不可评价",IF(AND(M588="positive",O588="positive"),"a",IF(O588="positive","b",IF(M588="positive","c","d"))))</x:f>
        <x:v>d</x:v>
      </x:c>
      <x:c r="AC588" s="12" t="str">
        <x:f>IF(OR(R588="unavailable",T588="unavailable"),"不可评价",IF(AND(OR(R588="positive",R588="equivocal"),OR(T588="positive",T588="equivocal")),"a",IF(OR(T588="positive",T588="equivocal"),"b",IF(OR(R588="positive",R588="equivocal"),"c","d"))))</x:f>
        <x:v>d</x:v>
      </x:c>
      <x:c r="AD588" s="12" t="str">
        <x:f>IF(OR(R588="unavailable",T588="unavailable"),"不可评价",IF(AND(R588="positive",T588="positive"),"a",IF(T588="positive","b",IF(R588="positive","c","d"))))</x:f>
        <x:v>d</x:v>
      </x:c>
      <x:c r="AE588" s="12" t="str">
        <x:f>IF(OR(W588="unavailable",Y588="unavailable"),"不可评价",IF(AND(OR(W588="positive",W588="equivocal"),OR(Y588="positive",Y588="equivocal")),"a",IF(OR(Y588="positive",Y588="equivocal"),"b",IF(OR(W588="positive",W588="equivocal"),"c","d"))))</x:f>
        <x:v>d</x:v>
      </x:c>
      <x:c r="AF588" s="12" t="str">
        <x:f>IF(OR(W588="unavailable",Y588="unavailable"),"不可评价",IF(AND(W588="positive",Y588="positive"),"a",IF(Y588="positive","b",IF(W588="positive","c","d"))))</x:f>
        <x:v>d</x:v>
      </x:c>
    </x:row>
    <x:row r="589" ht="24" customHeight="1">
      <x:c r="A589" s="12" t="str">
        <x:v>4672</x:v>
      </x:c>
      <x:c r="B589" s="12" t="str">
        <x:v>2542</x:v>
      </x:c>
      <x:c r="C589" s="21" t="n">
        <x:v>33089.36072916666</x:v>
      </x:c>
      <x:c r="D589" s="12" t="n">
        <x:v>69</x:v>
      </x:c>
      <x:c r="E589" s="12" t="n">
        <x:v>1</x:v>
      </x:c>
      <x:c r="F589" s="12" t="str">
        <x:v>未记录</x:v>
      </x:c>
      <x:c r="G589" s="12" t="n">
        <x:v>1</x:v>
      </x:c>
      <x:c r="H589" s="12" t="str">
        <x:v>{'NORM': 80.0, 'PVC': 0.0, 'SR': 0.0}</x:v>
      </x:c>
      <x:c r="I589" s="12" t="str">
        <x:v>[('SRTH', 100.0), ('PVC', 100.0), ('ABR', 100.0)]</x:v>
      </x:c>
      <x:c r="J589" s="12" t="str">
        <x:v>ptbxl_database.csv；ecg_id=4672；scp_codes</x:v>
      </x:c>
      <x:c r="K589" s="12" t="str">
        <x:v>12sl_statements.csv；ecg_id=4672；statements_ext_snomed</x:v>
      </x:c>
      <x:c r="L589" s="12"/>
      <x:c r="M589" s="12" t="str">
        <x:v>negative</x:v>
      </x:c>
      <x:c r="N589" s="12"/>
      <x:c r="O589" s="12" t="str">
        <x:v>negative</x:v>
      </x:c>
      <x:c r="P589" s="12" t="str">
        <x:f>IF(OR(M589="unavailable",O589="unavailable"),"不可评价",IF(OR(M589="equivocal",O589="equivocal"),"疑似",IF(AND(M589="positive",O589="positive"),"a",IF(O589="positive","b",IF(M589="positive","c","d")))))</x:f>
        <x:v>d</x:v>
      </x:c>
      <x:c r="Q589" s="12"/>
      <x:c r="R589" s="12" t="str">
        <x:v>negative</x:v>
      </x:c>
      <x:c r="S589" s="12"/>
      <x:c r="T589" s="12" t="str">
        <x:v>negative</x:v>
      </x:c>
      <x:c r="U589" s="12" t="str">
        <x:f>IF(OR(R589="unavailable",T589="unavailable"),"不可评价",IF(OR(R589="equivocal",T589="equivocal"),"疑似",IF(AND(R589="positive",T589="positive"),"a",IF(T589="positive","b",IF(R589="positive","c","d")))))</x:f>
        <x:v>d</x:v>
      </x:c>
      <x:c r="V589" s="12"/>
      <x:c r="W589" s="12" t="str">
        <x:v>negative</x:v>
      </x:c>
      <x:c r="X589" s="12"/>
      <x:c r="Y589" s="12" t="str">
        <x:v>negative</x:v>
      </x:c>
      <x:c r="Z589" s="12" t="str">
        <x:f>IF(OR(W589="unavailable",Y589="unavailable"),"不可评价",IF(OR(W589="equivocal",Y589="equivocal"),"疑似",IF(AND(W589="positive",Y589="positive"),"a",IF(Y589="positive","b",IF(W589="positive","c","d")))))</x:f>
        <x:v>d</x:v>
      </x:c>
      <x:c r="AA589" s="12" t="str">
        <x:f>IF(OR(M589="unavailable",O589="unavailable"),"不可评价",IF(AND(OR(M589="positive",M589="equivocal"),OR(O589="positive",O589="equivocal")),"a",IF(OR(O589="positive",O589="equivocal"),"b",IF(OR(M589="positive",M589="equivocal"),"c","d"))))</x:f>
        <x:v>d</x:v>
      </x:c>
      <x:c r="AB589" s="12" t="str">
        <x:f>IF(OR(M589="unavailable",O589="unavailable"),"不可评价",IF(AND(M589="positive",O589="positive"),"a",IF(O589="positive","b",IF(M589="positive","c","d"))))</x:f>
        <x:v>d</x:v>
      </x:c>
      <x:c r="AC589" s="12" t="str">
        <x:f>IF(OR(R589="unavailable",T589="unavailable"),"不可评价",IF(AND(OR(R589="positive",R589="equivocal"),OR(T589="positive",T589="equivocal")),"a",IF(OR(T589="positive",T589="equivocal"),"b",IF(OR(R589="positive",R589="equivocal"),"c","d"))))</x:f>
        <x:v>d</x:v>
      </x:c>
      <x:c r="AD589" s="12" t="str">
        <x:f>IF(OR(R589="unavailable",T589="unavailable"),"不可评价",IF(AND(R589="positive",T589="positive"),"a",IF(T589="positive","b",IF(R589="positive","c","d"))))</x:f>
        <x:v>d</x:v>
      </x:c>
      <x:c r="AE589" s="12" t="str">
        <x:f>IF(OR(W589="unavailable",Y589="unavailable"),"不可评价",IF(AND(OR(W589="positive",W589="equivocal"),OR(Y589="positive",Y589="equivocal")),"a",IF(OR(Y589="positive",Y589="equivocal"),"b",IF(OR(W589="positive",W589="equivocal"),"c","d"))))</x:f>
        <x:v>d</x:v>
      </x:c>
      <x:c r="AF589" s="12" t="str">
        <x:f>IF(OR(W589="unavailable",Y589="unavailable"),"不可评价",IF(AND(W589="positive",Y589="positive"),"a",IF(Y589="positive","b",IF(W589="positive","c","d"))))</x:f>
        <x:v>d</x:v>
      </x:c>
    </x:row>
    <x:row r="590" ht="24" customHeight="1">
      <x:c r="A590" s="12" t="str">
        <x:v>4676</x:v>
      </x:c>
      <x:c r="B590" s="12" t="str">
        <x:v>5178</x:v>
      </x:c>
      <x:c r="C590" s="21" t="n">
        <x:v>33089.49790509259</x:v>
      </x:c>
      <x:c r="D590" s="12" t="n">
        <x:v>84</x:v>
      </x:c>
      <x:c r="E590" s="12" t="n">
        <x:v>1</x:v>
      </x:c>
      <x:c r="F590" s="12" t="str">
        <x:v>未记录</x:v>
      </x:c>
      <x:c r="G590" s="12" t="n">
        <x:v>1</x:v>
      </x:c>
      <x:c r="H590" s="12" t="str">
        <x:v>{'ISC_': 100.0, 'IVCD': 100.0, 'LOWT': 0.0, 'STD_': 0.0, 'SR': 0.0}</x:v>
      </x:c>
      <x:c r="I590" s="12" t="str">
        <x:v>[('SBRAD', 100.0), ('IVCD', 100.0), ('NSTT', 100.0), ('AB', 100.0)]</x:v>
      </x:c>
      <x:c r="J590" s="12" t="str">
        <x:v>ptbxl_database.csv；ecg_id=4676；scp_codes</x:v>
      </x:c>
      <x:c r="K590" s="12" t="str">
        <x:v>12sl_statements.csv；ecg_id=4676；statements_ext_snomed</x:v>
      </x:c>
      <x:c r="L590" s="12"/>
      <x:c r="M590" s="12" t="str">
        <x:v>negative</x:v>
      </x:c>
      <x:c r="N590" s="12"/>
      <x:c r="O590" s="12" t="str">
        <x:v>negative</x:v>
      </x:c>
      <x:c r="P590" s="12" t="str">
        <x:f>IF(OR(M590="unavailable",O590="unavailable"),"不可评价",IF(OR(M590="equivocal",O590="equivocal"),"疑似",IF(AND(M590="positive",O590="positive"),"a",IF(O590="positive","b",IF(M590="positive","c","d")))))</x:f>
        <x:v>d</x:v>
      </x:c>
      <x:c r="Q590" s="12"/>
      <x:c r="R590" s="12" t="str">
        <x:v>negative</x:v>
      </x:c>
      <x:c r="S590" s="12"/>
      <x:c r="T590" s="12" t="str">
        <x:v>negative</x:v>
      </x:c>
      <x:c r="U590" s="12" t="str">
        <x:f>IF(OR(R590="unavailable",T590="unavailable"),"不可评价",IF(OR(R590="equivocal",T590="equivocal"),"疑似",IF(AND(R590="positive",T590="positive"),"a",IF(T590="positive","b",IF(R590="positive","c","d")))))</x:f>
        <x:v>d</x:v>
      </x:c>
      <x:c r="V590" s="12"/>
      <x:c r="W590" s="12" t="str">
        <x:v>negative</x:v>
      </x:c>
      <x:c r="X590" s="12"/>
      <x:c r="Y590" s="12" t="str">
        <x:v>negative</x:v>
      </x:c>
      <x:c r="Z590" s="12" t="str">
        <x:f>IF(OR(W590="unavailable",Y590="unavailable"),"不可评价",IF(OR(W590="equivocal",Y590="equivocal"),"疑似",IF(AND(W590="positive",Y590="positive"),"a",IF(Y590="positive","b",IF(W590="positive","c","d")))))</x:f>
        <x:v>d</x:v>
      </x:c>
      <x:c r="AA590" s="12" t="str">
        <x:f>IF(OR(M590="unavailable",O590="unavailable"),"不可评价",IF(AND(OR(M590="positive",M590="equivocal"),OR(O590="positive",O590="equivocal")),"a",IF(OR(O590="positive",O590="equivocal"),"b",IF(OR(M590="positive",M590="equivocal"),"c","d"))))</x:f>
        <x:v>d</x:v>
      </x:c>
      <x:c r="AB590" s="12" t="str">
        <x:f>IF(OR(M590="unavailable",O590="unavailable"),"不可评价",IF(AND(M590="positive",O590="positive"),"a",IF(O590="positive","b",IF(M590="positive","c","d"))))</x:f>
        <x:v>d</x:v>
      </x:c>
      <x:c r="AC590" s="12" t="str">
        <x:f>IF(OR(R590="unavailable",T590="unavailable"),"不可评价",IF(AND(OR(R590="positive",R590="equivocal"),OR(T590="positive",T590="equivocal")),"a",IF(OR(T590="positive",T590="equivocal"),"b",IF(OR(R590="positive",R590="equivocal"),"c","d"))))</x:f>
        <x:v>d</x:v>
      </x:c>
      <x:c r="AD590" s="12" t="str">
        <x:f>IF(OR(R590="unavailable",T590="unavailable"),"不可评价",IF(AND(R590="positive",T590="positive"),"a",IF(T590="positive","b",IF(R590="positive","c","d"))))</x:f>
        <x:v>d</x:v>
      </x:c>
      <x:c r="AE590" s="12" t="str">
        <x:f>IF(OR(W590="unavailable",Y590="unavailable"),"不可评价",IF(AND(OR(W590="positive",W590="equivocal"),OR(Y590="positive",Y590="equivocal")),"a",IF(OR(Y590="positive",Y590="equivocal"),"b",IF(OR(W590="positive",W590="equivocal"),"c","d"))))</x:f>
        <x:v>d</x:v>
      </x:c>
      <x:c r="AF590" s="12" t="str">
        <x:f>IF(OR(W590="unavailable",Y590="unavailable"),"不可评价",IF(AND(W590="positive",Y590="positive"),"a",IF(Y590="positive","b",IF(W590="positive","c","d"))))</x:f>
        <x:v>d</x:v>
      </x:c>
    </x:row>
    <x:row r="591" ht="24" customHeight="1">
      <x:c r="A591" s="12" t="str">
        <x:v>4687</x:v>
      </x:c>
      <x:c r="B591" s="12" t="str">
        <x:v>3345</x:v>
      </x:c>
      <x:c r="C591" s="21" t="n">
        <x:v>33089.84983796296</x:v>
      </x:c>
      <x:c r="D591" s="12" t="n">
        <x:v>58</x:v>
      </x:c>
      <x:c r="E591" s="12" t="n">
        <x:v>1</x:v>
      </x:c>
      <x:c r="F591" s="12" t="str">
        <x:v>未记录</x:v>
      </x:c>
      <x:c r="G591" s="12" t="n">
        <x:v>1</x:v>
      </x:c>
      <x:c r="H591" s="12" t="str">
        <x:v>{'NDT': 100.0, 'NT_': 0.0, 'SR': 0.0}</x:v>
      </x:c>
      <x:c r="I591" s="12" t="str">
        <x:v>[('NSR', 100.0), ('NT', 100.0), ('LNGQT', 100.0), ('AB', 100.0)]</x:v>
      </x:c>
      <x:c r="J591" s="12" t="str">
        <x:v>ptbxl_database.csv；ecg_id=4687；scp_codes</x:v>
      </x:c>
      <x:c r="K591" s="12" t="str">
        <x:v>12sl_statements.csv；ecg_id=4687；statements_ext_snomed</x:v>
      </x:c>
      <x:c r="L591" s="12"/>
      <x:c r="M591" s="12" t="str">
        <x:v>negative</x:v>
      </x:c>
      <x:c r="N591" s="12"/>
      <x:c r="O591" s="12" t="str">
        <x:v>negative</x:v>
      </x:c>
      <x:c r="P591" s="12" t="str">
        <x:f>IF(OR(M591="unavailable",O591="unavailable"),"不可评价",IF(OR(M591="equivocal",O591="equivocal"),"疑似",IF(AND(M591="positive",O591="positive"),"a",IF(O591="positive","b",IF(M591="positive","c","d")))))</x:f>
        <x:v>d</x:v>
      </x:c>
      <x:c r="Q591" s="12"/>
      <x:c r="R591" s="12" t="str">
        <x:v>negative</x:v>
      </x:c>
      <x:c r="S591" s="12"/>
      <x:c r="T591" s="12" t="str">
        <x:v>negative</x:v>
      </x:c>
      <x:c r="U591" s="12" t="str">
        <x:f>IF(OR(R591="unavailable",T591="unavailable"),"不可评价",IF(OR(R591="equivocal",T591="equivocal"),"疑似",IF(AND(R591="positive",T591="positive"),"a",IF(T591="positive","b",IF(R591="positive","c","d")))))</x:f>
        <x:v>d</x:v>
      </x:c>
      <x:c r="V591" s="12"/>
      <x:c r="W591" s="12" t="str">
        <x:v>negative</x:v>
      </x:c>
      <x:c r="X591" s="12"/>
      <x:c r="Y591" s="12" t="str">
        <x:v>negative</x:v>
      </x:c>
      <x:c r="Z591" s="12" t="str">
        <x:f>IF(OR(W591="unavailable",Y591="unavailable"),"不可评价",IF(OR(W591="equivocal",Y591="equivocal"),"疑似",IF(AND(W591="positive",Y591="positive"),"a",IF(Y591="positive","b",IF(W591="positive","c","d")))))</x:f>
        <x:v>d</x:v>
      </x:c>
      <x:c r="AA591" s="12" t="str">
        <x:f>IF(OR(M591="unavailable",O591="unavailable"),"不可评价",IF(AND(OR(M591="positive",M591="equivocal"),OR(O591="positive",O591="equivocal")),"a",IF(OR(O591="positive",O591="equivocal"),"b",IF(OR(M591="positive",M591="equivocal"),"c","d"))))</x:f>
        <x:v>d</x:v>
      </x:c>
      <x:c r="AB591" s="12" t="str">
        <x:f>IF(OR(M591="unavailable",O591="unavailable"),"不可评价",IF(AND(M591="positive",O591="positive"),"a",IF(O591="positive","b",IF(M591="positive","c","d"))))</x:f>
        <x:v>d</x:v>
      </x:c>
      <x:c r="AC591" s="12" t="str">
        <x:f>IF(OR(R591="unavailable",T591="unavailable"),"不可评价",IF(AND(OR(R591="positive",R591="equivocal"),OR(T591="positive",T591="equivocal")),"a",IF(OR(T591="positive",T591="equivocal"),"b",IF(OR(R591="positive",R591="equivocal"),"c","d"))))</x:f>
        <x:v>d</x:v>
      </x:c>
      <x:c r="AD591" s="12" t="str">
        <x:f>IF(OR(R591="unavailable",T591="unavailable"),"不可评价",IF(AND(R591="positive",T591="positive"),"a",IF(T591="positive","b",IF(R591="positive","c","d"))))</x:f>
        <x:v>d</x:v>
      </x:c>
      <x:c r="AE591" s="12" t="str">
        <x:f>IF(OR(W591="unavailable",Y591="unavailable"),"不可评价",IF(AND(OR(W591="positive",W591="equivocal"),OR(Y591="positive",Y591="equivocal")),"a",IF(OR(Y591="positive",Y591="equivocal"),"b",IF(OR(W591="positive",W591="equivocal"),"c","d"))))</x:f>
        <x:v>d</x:v>
      </x:c>
      <x:c r="AF591" s="12" t="str">
        <x:f>IF(OR(W591="unavailable",Y591="unavailable"),"不可评价",IF(AND(W591="positive",Y591="positive"),"a",IF(Y591="positive","b",IF(W591="positive","c","d"))))</x:f>
        <x:v>d</x:v>
      </x:c>
    </x:row>
    <x:row r="592" ht="24" customHeight="1">
      <x:c r="A592" s="12" t="str">
        <x:v>4704</x:v>
      </x:c>
      <x:c r="B592" s="12" t="str">
        <x:v>11334</x:v>
      </x:c>
      <x:c r="C592" s="21" t="n">
        <x:v>33090.5730787037</x:v>
      </x:c>
      <x:c r="D592" s="12" t="n">
        <x:v>73</x:v>
      </x:c>
      <x:c r="E592" s="12" t="n">
        <x:v>1</x:v>
      </x:c>
      <x:c r="F592" s="12" t="str">
        <x:v>未记录</x:v>
      </x:c>
      <x:c r="G592" s="12" t="n">
        <x:v>1</x:v>
      </x:c>
      <x:c r="H592" s="12" t="str">
        <x:v>{'NORM': 80.0, 'SR': 0.0}</x:v>
      </x:c>
      <x:c r="I592" s="12" t="str">
        <x:v>[('NSR', 100.0), ('NST', 100.0), ('AB', 100.0)]</x:v>
      </x:c>
      <x:c r="J592" s="12" t="str">
        <x:v>ptbxl_database.csv；ecg_id=4704；scp_codes</x:v>
      </x:c>
      <x:c r="K592" s="12" t="str">
        <x:v>12sl_statements.csv；ecg_id=4704；statements_ext_snomed</x:v>
      </x:c>
      <x:c r="L592" s="12"/>
      <x:c r="M592" s="12" t="str">
        <x:v>negative</x:v>
      </x:c>
      <x:c r="N592" s="12"/>
      <x:c r="O592" s="12" t="str">
        <x:v>negative</x:v>
      </x:c>
      <x:c r="P592" s="12" t="str">
        <x:f>IF(OR(M592="unavailable",O592="unavailable"),"不可评价",IF(OR(M592="equivocal",O592="equivocal"),"疑似",IF(AND(M592="positive",O592="positive"),"a",IF(O592="positive","b",IF(M592="positive","c","d")))))</x:f>
        <x:v>d</x:v>
      </x:c>
      <x:c r="Q592" s="12"/>
      <x:c r="R592" s="12" t="str">
        <x:v>negative</x:v>
      </x:c>
      <x:c r="S592" s="12"/>
      <x:c r="T592" s="12" t="str">
        <x:v>negative</x:v>
      </x:c>
      <x:c r="U592" s="12" t="str">
        <x:f>IF(OR(R592="unavailable",T592="unavailable"),"不可评价",IF(OR(R592="equivocal",T592="equivocal"),"疑似",IF(AND(R592="positive",T592="positive"),"a",IF(T592="positive","b",IF(R592="positive","c","d")))))</x:f>
        <x:v>d</x:v>
      </x:c>
      <x:c r="V592" s="12"/>
      <x:c r="W592" s="12" t="str">
        <x:v>negative</x:v>
      </x:c>
      <x:c r="X592" s="12"/>
      <x:c r="Y592" s="12" t="str">
        <x:v>negative</x:v>
      </x:c>
      <x:c r="Z592" s="12" t="str">
        <x:f>IF(OR(W592="unavailable",Y592="unavailable"),"不可评价",IF(OR(W592="equivocal",Y592="equivocal"),"疑似",IF(AND(W592="positive",Y592="positive"),"a",IF(Y592="positive","b",IF(W592="positive","c","d")))))</x:f>
        <x:v>d</x:v>
      </x:c>
      <x:c r="AA592" s="12" t="str">
        <x:f>IF(OR(M592="unavailable",O592="unavailable"),"不可评价",IF(AND(OR(M592="positive",M592="equivocal"),OR(O592="positive",O592="equivocal")),"a",IF(OR(O592="positive",O592="equivocal"),"b",IF(OR(M592="positive",M592="equivocal"),"c","d"))))</x:f>
        <x:v>d</x:v>
      </x:c>
      <x:c r="AB592" s="12" t="str">
        <x:f>IF(OR(M592="unavailable",O592="unavailable"),"不可评价",IF(AND(M592="positive",O592="positive"),"a",IF(O592="positive","b",IF(M592="positive","c","d"))))</x:f>
        <x:v>d</x:v>
      </x:c>
      <x:c r="AC592" s="12" t="str">
        <x:f>IF(OR(R592="unavailable",T592="unavailable"),"不可评价",IF(AND(OR(R592="positive",R592="equivocal"),OR(T592="positive",T592="equivocal")),"a",IF(OR(T592="positive",T592="equivocal"),"b",IF(OR(R592="positive",R592="equivocal"),"c","d"))))</x:f>
        <x:v>d</x:v>
      </x:c>
      <x:c r="AD592" s="12" t="str">
        <x:f>IF(OR(R592="unavailable",T592="unavailable"),"不可评价",IF(AND(R592="positive",T592="positive"),"a",IF(T592="positive","b",IF(R592="positive","c","d"))))</x:f>
        <x:v>d</x:v>
      </x:c>
      <x:c r="AE592" s="12" t="str">
        <x:f>IF(OR(W592="unavailable",Y592="unavailable"),"不可评价",IF(AND(OR(W592="positive",W592="equivocal"),OR(Y592="positive",Y592="equivocal")),"a",IF(OR(Y592="positive",Y592="equivocal"),"b",IF(OR(W592="positive",W592="equivocal"),"c","d"))))</x:f>
        <x:v>d</x:v>
      </x:c>
      <x:c r="AF592" s="12" t="str">
        <x:f>IF(OR(W592="unavailable",Y592="unavailable"),"不可评价",IF(AND(W592="positive",Y592="positive"),"a",IF(Y592="positive","b",IF(W592="positive","c","d"))))</x:f>
        <x:v>d</x:v>
      </x:c>
    </x:row>
    <x:row r="593" ht="24" customHeight="1">
      <x:c r="A593" s="12" t="str">
        <x:v>4719</x:v>
      </x:c>
      <x:c r="B593" s="12" t="str">
        <x:v>18268</x:v>
      </x:c>
      <x:c r="C593" s="21" t="n">
        <x:v>33092.46673611111</x:v>
      </x:c>
      <x:c r="D593" s="12" t="n">
        <x:v>43</x:v>
      </x:c>
      <x:c r="E593" s="12" t="n">
        <x:v>1</x:v>
      </x:c>
      <x:c r="F593" s="12" t="str">
        <x:v>未记录</x:v>
      </x:c>
      <x:c r="G593" s="12" t="n">
        <x:v>1</x:v>
      </x:c>
      <x:c r="H593" s="12" t="str">
        <x:v>{'NORM': 80.0, 'SARRH': 0.0}</x:v>
      </x:c>
      <x:c r="I593" s="12" t="str">
        <x:v>[('SRTH', 100.0), ('MSAR', 100.0), ('ABR', 100.0)]</x:v>
      </x:c>
      <x:c r="J593" s="12" t="str">
        <x:v>ptbxl_database.csv；ecg_id=4719；scp_codes</x:v>
      </x:c>
      <x:c r="K593" s="12" t="str">
        <x:v>12sl_statements.csv；ecg_id=4719；statements_ext_snomed</x:v>
      </x:c>
      <x:c r="L593" s="12"/>
      <x:c r="M593" s="12" t="str">
        <x:v>negative</x:v>
      </x:c>
      <x:c r="N593" s="12"/>
      <x:c r="O593" s="12" t="str">
        <x:v>negative</x:v>
      </x:c>
      <x:c r="P593" s="12" t="str">
        <x:f>IF(OR(M593="unavailable",O593="unavailable"),"不可评价",IF(OR(M593="equivocal",O593="equivocal"),"疑似",IF(AND(M593="positive",O593="positive"),"a",IF(O593="positive","b",IF(M593="positive","c","d")))))</x:f>
        <x:v>d</x:v>
      </x:c>
      <x:c r="Q593" s="12"/>
      <x:c r="R593" s="12" t="str">
        <x:v>negative</x:v>
      </x:c>
      <x:c r="S593" s="12"/>
      <x:c r="T593" s="12" t="str">
        <x:v>negative</x:v>
      </x:c>
      <x:c r="U593" s="12" t="str">
        <x:f>IF(OR(R593="unavailable",T593="unavailable"),"不可评价",IF(OR(R593="equivocal",T593="equivocal"),"疑似",IF(AND(R593="positive",T593="positive"),"a",IF(T593="positive","b",IF(R593="positive","c","d")))))</x:f>
        <x:v>d</x:v>
      </x:c>
      <x:c r="V593" s="12"/>
      <x:c r="W593" s="12" t="str">
        <x:v>negative</x:v>
      </x:c>
      <x:c r="X593" s="12"/>
      <x:c r="Y593" s="12" t="str">
        <x:v>negative</x:v>
      </x:c>
      <x:c r="Z593" s="12" t="str">
        <x:f>IF(OR(W593="unavailable",Y593="unavailable"),"不可评价",IF(OR(W593="equivocal",Y593="equivocal"),"疑似",IF(AND(W593="positive",Y593="positive"),"a",IF(Y593="positive","b",IF(W593="positive","c","d")))))</x:f>
        <x:v>d</x:v>
      </x:c>
      <x:c r="AA593" s="12" t="str">
        <x:f>IF(OR(M593="unavailable",O593="unavailable"),"不可评价",IF(AND(OR(M593="positive",M593="equivocal"),OR(O593="positive",O593="equivocal")),"a",IF(OR(O593="positive",O593="equivocal"),"b",IF(OR(M593="positive",M593="equivocal"),"c","d"))))</x:f>
        <x:v>d</x:v>
      </x:c>
      <x:c r="AB593" s="12" t="str">
        <x:f>IF(OR(M593="unavailable",O593="unavailable"),"不可评价",IF(AND(M593="positive",O593="positive"),"a",IF(O593="positive","b",IF(M593="positive","c","d"))))</x:f>
        <x:v>d</x:v>
      </x:c>
      <x:c r="AC593" s="12" t="str">
        <x:f>IF(OR(R593="unavailable",T593="unavailable"),"不可评价",IF(AND(OR(R593="positive",R593="equivocal"),OR(T593="positive",T593="equivocal")),"a",IF(OR(T593="positive",T593="equivocal"),"b",IF(OR(R593="positive",R593="equivocal"),"c","d"))))</x:f>
        <x:v>d</x:v>
      </x:c>
      <x:c r="AD593" s="12" t="str">
        <x:f>IF(OR(R593="unavailable",T593="unavailable"),"不可评价",IF(AND(R593="positive",T593="positive"),"a",IF(T593="positive","b",IF(R593="positive","c","d"))))</x:f>
        <x:v>d</x:v>
      </x:c>
      <x:c r="AE593" s="12" t="str">
        <x:f>IF(OR(W593="unavailable",Y593="unavailable"),"不可评价",IF(AND(OR(W593="positive",W593="equivocal"),OR(Y593="positive",Y593="equivocal")),"a",IF(OR(Y593="positive",Y593="equivocal"),"b",IF(OR(W593="positive",W593="equivocal"),"c","d"))))</x:f>
        <x:v>d</x:v>
      </x:c>
      <x:c r="AF593" s="12" t="str">
        <x:f>IF(OR(W593="unavailable",Y593="unavailable"),"不可评价",IF(AND(W593="positive",Y593="positive"),"a",IF(Y593="positive","b",IF(W593="positive","c","d"))))</x:f>
        <x:v>d</x:v>
      </x:c>
    </x:row>
    <x:row r="594" ht="24" customHeight="1">
      <x:c r="A594" s="12" t="str">
        <x:v>4747</x:v>
      </x:c>
      <x:c r="B594" s="12" t="str">
        <x:v>5126</x:v>
      </x:c>
      <x:c r="C594" s="21" t="n">
        <x:v>33095.78884259259</x:v>
      </x:c>
      <x:c r="D594" s="12" t="n">
        <x:v>36</x:v>
      </x:c>
      <x:c r="E594" s="12" t="n">
        <x:v>0</x:v>
      </x:c>
      <x:c r="F594" s="12" t="str">
        <x:v>未记录</x:v>
      </x:c>
      <x:c r="G594" s="12" t="n">
        <x:v>1</x:v>
      </x:c>
      <x:c r="H594" s="12" t="str">
        <x:v>{'NORM': 100.0}</x:v>
      </x:c>
      <x:c r="I594" s="12" t="str">
        <x:v>[('NSR', 100.0), ('NML', 100.0)]</x:v>
      </x:c>
      <x:c r="J594" s="12" t="str">
        <x:v>ptbxl_database.csv；ecg_id=4747；scp_codes</x:v>
      </x:c>
      <x:c r="K594" s="12" t="str">
        <x:v>12sl_statements.csv；ecg_id=4747；statements_ext_snomed</x:v>
      </x:c>
      <x:c r="L594" s="12"/>
      <x:c r="M594" s="12" t="str">
        <x:v>negative</x:v>
      </x:c>
      <x:c r="N594" s="12"/>
      <x:c r="O594" s="12" t="str">
        <x:v>negative</x:v>
      </x:c>
      <x:c r="P594" s="12" t="str">
        <x:f>IF(OR(M594="unavailable",O594="unavailable"),"不可评价",IF(OR(M594="equivocal",O594="equivocal"),"疑似",IF(AND(M594="positive",O594="positive"),"a",IF(O594="positive","b",IF(M594="positive","c","d")))))</x:f>
        <x:v>d</x:v>
      </x:c>
      <x:c r="Q594" s="12"/>
      <x:c r="R594" s="12" t="str">
        <x:v>negative</x:v>
      </x:c>
      <x:c r="S594" s="12"/>
      <x:c r="T594" s="12" t="str">
        <x:v>negative</x:v>
      </x:c>
      <x:c r="U594" s="12" t="str">
        <x:f>IF(OR(R594="unavailable",T594="unavailable"),"不可评价",IF(OR(R594="equivocal",T594="equivocal"),"疑似",IF(AND(R594="positive",T594="positive"),"a",IF(T594="positive","b",IF(R594="positive","c","d")))))</x:f>
        <x:v>d</x:v>
      </x:c>
      <x:c r="V594" s="12"/>
      <x:c r="W594" s="12" t="str">
        <x:v>negative</x:v>
      </x:c>
      <x:c r="X594" s="12"/>
      <x:c r="Y594" s="12" t="str">
        <x:v>negative</x:v>
      </x:c>
      <x:c r="Z594" s="12" t="str">
        <x:f>IF(OR(W594="unavailable",Y594="unavailable"),"不可评价",IF(OR(W594="equivocal",Y594="equivocal"),"疑似",IF(AND(W594="positive",Y594="positive"),"a",IF(Y594="positive","b",IF(W594="positive","c","d")))))</x:f>
        <x:v>d</x:v>
      </x:c>
      <x:c r="AA594" s="12" t="str">
        <x:f>IF(OR(M594="unavailable",O594="unavailable"),"不可评价",IF(AND(OR(M594="positive",M594="equivocal"),OR(O594="positive",O594="equivocal")),"a",IF(OR(O594="positive",O594="equivocal"),"b",IF(OR(M594="positive",M594="equivocal"),"c","d"))))</x:f>
        <x:v>d</x:v>
      </x:c>
      <x:c r="AB594" s="12" t="str">
        <x:f>IF(OR(M594="unavailable",O594="unavailable"),"不可评价",IF(AND(M594="positive",O594="positive"),"a",IF(O594="positive","b",IF(M594="positive","c","d"))))</x:f>
        <x:v>d</x:v>
      </x:c>
      <x:c r="AC594" s="12" t="str">
        <x:f>IF(OR(R594="unavailable",T594="unavailable"),"不可评价",IF(AND(OR(R594="positive",R594="equivocal"),OR(T594="positive",T594="equivocal")),"a",IF(OR(T594="positive",T594="equivocal"),"b",IF(OR(R594="positive",R594="equivocal"),"c","d"))))</x:f>
        <x:v>d</x:v>
      </x:c>
      <x:c r="AD594" s="12" t="str">
        <x:f>IF(OR(R594="unavailable",T594="unavailable"),"不可评价",IF(AND(R594="positive",T594="positive"),"a",IF(T594="positive","b",IF(R594="positive","c","d"))))</x:f>
        <x:v>d</x:v>
      </x:c>
      <x:c r="AE594" s="12" t="str">
        <x:f>IF(OR(W594="unavailable",Y594="unavailable"),"不可评价",IF(AND(OR(W594="positive",W594="equivocal"),OR(Y594="positive",Y594="equivocal")),"a",IF(OR(Y594="positive",Y594="equivocal"),"b",IF(OR(W594="positive",W594="equivocal"),"c","d"))))</x:f>
        <x:v>d</x:v>
      </x:c>
      <x:c r="AF594" s="12" t="str">
        <x:f>IF(OR(W594="unavailable",Y594="unavailable"),"不可评价",IF(AND(W594="positive",Y594="positive"),"a",IF(Y594="positive","b",IF(W594="positive","c","d"))))</x:f>
        <x:v>d</x:v>
      </x:c>
    </x:row>
    <x:row r="595" ht="24" customHeight="1">
      <x:c r="A595" s="12" t="str">
        <x:v>4749</x:v>
      </x:c>
      <x:c r="B595" s="12" t="str">
        <x:v>4394</x:v>
      </x:c>
      <x:c r="C595" s="21" t="n">
        <x:v>33095.93827546296</x:v>
      </x:c>
      <x:c r="D595" s="12" t="n">
        <x:v>77</x:v>
      </x:c>
      <x:c r="E595" s="12" t="n">
        <x:v>0</x:v>
      </x:c>
      <x:c r="F595" s="12" t="str">
        <x:v>未记录</x:v>
      </x:c>
      <x:c r="G595" s="12" t="n">
        <x:v>1</x:v>
      </x:c>
      <x:c r="H595" s="12" t="str">
        <x:v>{'ASMI': 50.0, 'LVH': 100.0, 'ISC_': 100.0, 'DIG': 50.0, 'SR': 0.0}</x:v>
      </x:c>
      <x:c r="I595" s="12" t="str">
        <x:v>[('SBRAD', 100.0), ('LAD3', 100.0), ('LVH2', 100.0), ('2ST', 100.0), ('AB', 100.0)]</x:v>
      </x:c>
      <x:c r="J595" s="12" t="str">
        <x:v>ptbxl_database.csv；ecg_id=4749；scp_codes</x:v>
      </x:c>
      <x:c r="K595" s="12" t="str">
        <x:v>12sl_statements.csv；ecg_id=4749；statements_ext_snomed</x:v>
      </x:c>
      <x:c r="L595" s="12"/>
      <x:c r="M595" s="12" t="str">
        <x:v>negative</x:v>
      </x:c>
      <x:c r="N595" s="12"/>
      <x:c r="O595" s="12" t="str">
        <x:v>negative</x:v>
      </x:c>
      <x:c r="P595" s="12" t="str">
        <x:f>IF(OR(M595="unavailable",O595="unavailable"),"不可评价",IF(OR(M595="equivocal",O595="equivocal"),"疑似",IF(AND(M595="positive",O595="positive"),"a",IF(O595="positive","b",IF(M595="positive","c","d")))))</x:f>
        <x:v>d</x:v>
      </x:c>
      <x:c r="Q595" s="12"/>
      <x:c r="R595" s="12" t="str">
        <x:v>negative</x:v>
      </x:c>
      <x:c r="S595" s="12"/>
      <x:c r="T595" s="12" t="str">
        <x:v>negative</x:v>
      </x:c>
      <x:c r="U595" s="12" t="str">
        <x:f>IF(OR(R595="unavailable",T595="unavailable"),"不可评价",IF(OR(R595="equivocal",T595="equivocal"),"疑似",IF(AND(R595="positive",T595="positive"),"a",IF(T595="positive","b",IF(R595="positive","c","d")))))</x:f>
        <x:v>d</x:v>
      </x:c>
      <x:c r="V595" s="12"/>
      <x:c r="W595" s="12" t="str">
        <x:v>negative</x:v>
      </x:c>
      <x:c r="X595" s="12"/>
      <x:c r="Y595" s="12" t="str">
        <x:v>negative</x:v>
      </x:c>
      <x:c r="Z595" s="12" t="str">
        <x:f>IF(OR(W595="unavailable",Y595="unavailable"),"不可评价",IF(OR(W595="equivocal",Y595="equivocal"),"疑似",IF(AND(W595="positive",Y595="positive"),"a",IF(Y595="positive","b",IF(W595="positive","c","d")))))</x:f>
        <x:v>d</x:v>
      </x:c>
      <x:c r="AA595" s="12" t="str">
        <x:f>IF(OR(M595="unavailable",O595="unavailable"),"不可评价",IF(AND(OR(M595="positive",M595="equivocal"),OR(O595="positive",O595="equivocal")),"a",IF(OR(O595="positive",O595="equivocal"),"b",IF(OR(M595="positive",M595="equivocal"),"c","d"))))</x:f>
        <x:v>d</x:v>
      </x:c>
      <x:c r="AB595" s="12" t="str">
        <x:f>IF(OR(M595="unavailable",O595="unavailable"),"不可评价",IF(AND(M595="positive",O595="positive"),"a",IF(O595="positive","b",IF(M595="positive","c","d"))))</x:f>
        <x:v>d</x:v>
      </x:c>
      <x:c r="AC595" s="12" t="str">
        <x:f>IF(OR(R595="unavailable",T595="unavailable"),"不可评价",IF(AND(OR(R595="positive",R595="equivocal"),OR(T595="positive",T595="equivocal")),"a",IF(OR(T595="positive",T595="equivocal"),"b",IF(OR(R595="positive",R595="equivocal"),"c","d"))))</x:f>
        <x:v>d</x:v>
      </x:c>
      <x:c r="AD595" s="12" t="str">
        <x:f>IF(OR(R595="unavailable",T595="unavailable"),"不可评价",IF(AND(R595="positive",T595="positive"),"a",IF(T595="positive","b",IF(R595="positive","c","d"))))</x:f>
        <x:v>d</x:v>
      </x:c>
      <x:c r="AE595" s="12" t="str">
        <x:f>IF(OR(W595="unavailable",Y595="unavailable"),"不可评价",IF(AND(OR(W595="positive",W595="equivocal"),OR(Y595="positive",Y595="equivocal")),"a",IF(OR(Y595="positive",Y595="equivocal"),"b",IF(OR(W595="positive",W595="equivocal"),"c","d"))))</x:f>
        <x:v>d</x:v>
      </x:c>
      <x:c r="AF595" s="12" t="str">
        <x:f>IF(OR(W595="unavailable",Y595="unavailable"),"不可评价",IF(AND(W595="positive",Y595="positive"),"a",IF(Y595="positive","b",IF(W595="positive","c","d"))))</x:f>
        <x:v>d</x:v>
      </x:c>
    </x:row>
    <x:row r="596" ht="24" customHeight="1">
      <x:c r="A596" s="12" t="str">
        <x:v>4755</x:v>
      </x:c>
      <x:c r="B596" s="12" t="str">
        <x:v>13893</x:v>
      </x:c>
      <x:c r="C596" s="21" t="n">
        <x:v>33096.49108796296</x:v>
      </x:c>
      <x:c r="D596" s="12" t="n">
        <x:v>43</x:v>
      </x:c>
      <x:c r="E596" s="12" t="n">
        <x:v>0</x:v>
      </x:c>
      <x:c r="F596" s="12" t="str">
        <x:v>未记录</x:v>
      </x:c>
      <x:c r="G596" s="12" t="n">
        <x:v>1</x:v>
      </x:c>
      <x:c r="H596" s="12" t="str">
        <x:v>{'IMI': 15.0, 'ISCAS': 100.0, 'ISCAL': 100.0, 'ABQRS': 0.0, 'SR': 0.0}</x:v>
      </x:c>
      <x:c r="I596" s="12" t="str">
        <x:v>[('NSR', 100.0), ('IMI;AU', 50.0), ('ST&amp;', 100.0), ('ALT', 100.0), ('AB', 100.0)]</x:v>
      </x:c>
      <x:c r="J596" s="12" t="str">
        <x:v>ptbxl_database.csv；ecg_id=4755；scp_codes</x:v>
      </x:c>
      <x:c r="K596" s="12" t="str">
        <x:v>12sl_statements.csv；ecg_id=4755；statements_ext_snomed</x:v>
      </x:c>
      <x:c r="L596" s="12"/>
      <x:c r="M596" s="12" t="str">
        <x:v>negative</x:v>
      </x:c>
      <x:c r="N596" s="12"/>
      <x:c r="O596" s="12" t="str">
        <x:v>negative</x:v>
      </x:c>
      <x:c r="P596" s="12" t="str">
        <x:f>IF(OR(M596="unavailable",O596="unavailable"),"不可评价",IF(OR(M596="equivocal",O596="equivocal"),"疑似",IF(AND(M596="positive",O596="positive"),"a",IF(O596="positive","b",IF(M596="positive","c","d")))))</x:f>
        <x:v>d</x:v>
      </x:c>
      <x:c r="Q596" s="12"/>
      <x:c r="R596" s="12" t="str">
        <x:v>negative</x:v>
      </x:c>
      <x:c r="S596" s="12"/>
      <x:c r="T596" s="12" t="str">
        <x:v>negative</x:v>
      </x:c>
      <x:c r="U596" s="12" t="str">
        <x:f>IF(OR(R596="unavailable",T596="unavailable"),"不可评价",IF(OR(R596="equivocal",T596="equivocal"),"疑似",IF(AND(R596="positive",T596="positive"),"a",IF(T596="positive","b",IF(R596="positive","c","d")))))</x:f>
        <x:v>d</x:v>
      </x:c>
      <x:c r="V596" s="12"/>
      <x:c r="W596" s="12" t="str">
        <x:v>negative</x:v>
      </x:c>
      <x:c r="X596" s="12"/>
      <x:c r="Y596" s="12" t="str">
        <x:v>negative</x:v>
      </x:c>
      <x:c r="Z596" s="12" t="str">
        <x:f>IF(OR(W596="unavailable",Y596="unavailable"),"不可评价",IF(OR(W596="equivocal",Y596="equivocal"),"疑似",IF(AND(W596="positive",Y596="positive"),"a",IF(Y596="positive","b",IF(W596="positive","c","d")))))</x:f>
        <x:v>d</x:v>
      </x:c>
      <x:c r="AA596" s="12" t="str">
        <x:f>IF(OR(M596="unavailable",O596="unavailable"),"不可评价",IF(AND(OR(M596="positive",M596="equivocal"),OR(O596="positive",O596="equivocal")),"a",IF(OR(O596="positive",O596="equivocal"),"b",IF(OR(M596="positive",M596="equivocal"),"c","d"))))</x:f>
        <x:v>d</x:v>
      </x:c>
      <x:c r="AB596" s="12" t="str">
        <x:f>IF(OR(M596="unavailable",O596="unavailable"),"不可评价",IF(AND(M596="positive",O596="positive"),"a",IF(O596="positive","b",IF(M596="positive","c","d"))))</x:f>
        <x:v>d</x:v>
      </x:c>
      <x:c r="AC596" s="12" t="str">
        <x:f>IF(OR(R596="unavailable",T596="unavailable"),"不可评价",IF(AND(OR(R596="positive",R596="equivocal"),OR(T596="positive",T596="equivocal")),"a",IF(OR(T596="positive",T596="equivocal"),"b",IF(OR(R596="positive",R596="equivocal"),"c","d"))))</x:f>
        <x:v>d</x:v>
      </x:c>
      <x:c r="AD596" s="12" t="str">
        <x:f>IF(OR(R596="unavailable",T596="unavailable"),"不可评价",IF(AND(R596="positive",T596="positive"),"a",IF(T596="positive","b",IF(R596="positive","c","d"))))</x:f>
        <x:v>d</x:v>
      </x:c>
      <x:c r="AE596" s="12" t="str">
        <x:f>IF(OR(W596="unavailable",Y596="unavailable"),"不可评价",IF(AND(OR(W596="positive",W596="equivocal"),OR(Y596="positive",Y596="equivocal")),"a",IF(OR(Y596="positive",Y596="equivocal"),"b",IF(OR(W596="positive",W596="equivocal"),"c","d"))))</x:f>
        <x:v>d</x:v>
      </x:c>
      <x:c r="AF596" s="12" t="str">
        <x:f>IF(OR(W596="unavailable",Y596="unavailable"),"不可评价",IF(AND(W596="positive",Y596="positive"),"a",IF(Y596="positive","b",IF(W596="positive","c","d"))))</x:f>
        <x:v>d</x:v>
      </x:c>
    </x:row>
    <x:row r="597" ht="24" customHeight="1">
      <x:c r="A597" s="12" t="str">
        <x:v>4758</x:v>
      </x:c>
      <x:c r="B597" s="12" t="str">
        <x:v>6204</x:v>
      </x:c>
      <x:c r="C597" s="21" t="n">
        <x:v>33096.593831018516</x:v>
      </x:c>
      <x:c r="D597" s="12" t="n">
        <x:v>80</x:v>
      </x:c>
      <x:c r="E597" s="12" t="n">
        <x:v>0</x:v>
      </x:c>
      <x:c r="F597" s="12" t="str">
        <x:v>存在</x:v>
      </x:c>
      <x:c r="G597" s="12" t="n">
        <x:v>1</x:v>
      </x:c>
      <x:c r="H597" s="12" t="str">
        <x:v>{'CRBBB': 100.0, 'SR': 0.0}</x:v>
      </x:c>
      <x:c r="I597" s="12" t="str">
        <x:v>[('NSR', 100.0), ('RBBB', 100.0), ('AB', 100.0)]</x:v>
      </x:c>
      <x:c r="J597" s="12" t="str">
        <x:v>ptbxl_database.csv；ecg_id=4758；scp_codes</x:v>
      </x:c>
      <x:c r="K597" s="12" t="str">
        <x:v>12sl_statements.csv；ecg_id=4758；statements_ext_snomed</x:v>
      </x:c>
      <x:c r="L597" s="12"/>
      <x:c r="M597" s="12" t="str">
        <x:v>negative</x:v>
      </x:c>
      <x:c r="N597" s="12"/>
      <x:c r="O597" s="12" t="str">
        <x:v>negative</x:v>
      </x:c>
      <x:c r="P597" s="12" t="str">
        <x:f>IF(OR(M597="unavailable",O597="unavailable"),"不可评价",IF(OR(M597="equivocal",O597="equivocal"),"疑似",IF(AND(M597="positive",O597="positive"),"a",IF(O597="positive","b",IF(M597="positive","c","d")))))</x:f>
        <x:v>d</x:v>
      </x:c>
      <x:c r="Q597" s="12"/>
      <x:c r="R597" s="12" t="str">
        <x:v>negative</x:v>
      </x:c>
      <x:c r="S597" s="12"/>
      <x:c r="T597" s="12" t="str">
        <x:v>negative</x:v>
      </x:c>
      <x:c r="U597" s="12" t="str">
        <x:f>IF(OR(R597="unavailable",T597="unavailable"),"不可评价",IF(OR(R597="equivocal",T597="equivocal"),"疑似",IF(AND(R597="positive",T597="positive"),"a",IF(T597="positive","b",IF(R597="positive","c","d")))))</x:f>
        <x:v>d</x:v>
      </x:c>
      <x:c r="V597" s="12" t="n">
        <x:v>100</x:v>
      </x:c>
      <x:c r="W597" s="12" t="str">
        <x:v>positive</x:v>
      </x:c>
      <x:c r="X597" s="12" t="n">
        <x:v>100</x:v>
      </x:c>
      <x:c r="Y597" s="12" t="str">
        <x:v>positive</x:v>
      </x:c>
      <x:c r="Z597" s="12" t="str">
        <x:f>IF(OR(W597="unavailable",Y597="unavailable"),"不可评价",IF(OR(W597="equivocal",Y597="equivocal"),"疑似",IF(AND(W597="positive",Y597="positive"),"a",IF(Y597="positive","b",IF(W597="positive","c","d")))))</x:f>
        <x:v>a</x:v>
      </x:c>
      <x:c r="AA597" s="12" t="str">
        <x:f>IF(OR(M597="unavailable",O597="unavailable"),"不可评价",IF(AND(OR(M597="positive",M597="equivocal"),OR(O597="positive",O597="equivocal")),"a",IF(OR(O597="positive",O597="equivocal"),"b",IF(OR(M597="positive",M597="equivocal"),"c","d"))))</x:f>
        <x:v>d</x:v>
      </x:c>
      <x:c r="AB597" s="12" t="str">
        <x:f>IF(OR(M597="unavailable",O597="unavailable"),"不可评价",IF(AND(M597="positive",O597="positive"),"a",IF(O597="positive","b",IF(M597="positive","c","d"))))</x:f>
        <x:v>d</x:v>
      </x:c>
      <x:c r="AC597" s="12" t="str">
        <x:f>IF(OR(R597="unavailable",T597="unavailable"),"不可评价",IF(AND(OR(R597="positive",R597="equivocal"),OR(T597="positive",T597="equivocal")),"a",IF(OR(T597="positive",T597="equivocal"),"b",IF(OR(R597="positive",R597="equivocal"),"c","d"))))</x:f>
        <x:v>d</x:v>
      </x:c>
      <x:c r="AD597" s="12" t="str">
        <x:f>IF(OR(R597="unavailable",T597="unavailable"),"不可评价",IF(AND(R597="positive",T597="positive"),"a",IF(T597="positive","b",IF(R597="positive","c","d"))))</x:f>
        <x:v>d</x:v>
      </x:c>
      <x:c r="AE597" s="12" t="str">
        <x:f>IF(OR(W597="unavailable",Y597="unavailable"),"不可评价",IF(AND(OR(W597="positive",W597="equivocal"),OR(Y597="positive",Y597="equivocal")),"a",IF(OR(Y597="positive",Y597="equivocal"),"b",IF(OR(W597="positive",W597="equivocal"),"c","d"))))</x:f>
        <x:v>a</x:v>
      </x:c>
      <x:c r="AF597" s="12" t="str">
        <x:f>IF(OR(W597="unavailable",Y597="unavailable"),"不可评价",IF(AND(W597="positive",Y597="positive"),"a",IF(Y597="positive","b",IF(W597="positive","c","d"))))</x:f>
        <x:v>a</x:v>
      </x:c>
    </x:row>
    <x:row r="598" ht="24" customHeight="1">
      <x:c r="A598" s="12" t="str">
        <x:v>4769</x:v>
      </x:c>
      <x:c r="B598" s="12" t="str">
        <x:v>6178</x:v>
      </x:c>
      <x:c r="C598" s="21" t="n">
        <x:v>33097.54344907407</x:v>
      </x:c>
      <x:c r="D598" s="12" t="n">
        <x:v>81</x:v>
      </x:c>
      <x:c r="E598" s="12" t="n">
        <x:v>0</x:v>
      </x:c>
      <x:c r="F598" s="12" t="str">
        <x:v>未记录</x:v>
      </x:c>
      <x:c r="G598" s="12" t="n">
        <x:v>1</x:v>
      </x:c>
      <x:c r="H598" s="12" t="str">
        <x:v>{'ISCIN': 100.0, 'AFIB': 0.0, 'AFLT': 0.0}</x:v>
      </x:c>
      <x:c r="I598" s="12" t="str">
        <x:v>[('AFIB', 100.0), ('RVR', 100.0), ('ST&amp;', 100.0), ('IT', 100.0), ('AB', 100.0)]</x:v>
      </x:c>
      <x:c r="J598" s="12" t="str">
        <x:v>ptbxl_database.csv；ecg_id=4769；scp_codes</x:v>
      </x:c>
      <x:c r="K598" s="12" t="str">
        <x:v>12sl_statements.csv；ecg_id=4769；statements_ext_snomed</x:v>
      </x:c>
      <x:c r="L598" s="12" t="n">
        <x:v>0</x:v>
      </x:c>
      <x:c r="M598" s="12" t="str">
        <x:v>positive</x:v>
      </x:c>
      <x:c r="N598" s="12" t="n">
        <x:v>100</x:v>
      </x:c>
      <x:c r="O598" s="12" t="str">
        <x:v>positive</x:v>
      </x:c>
      <x:c r="P598" s="12" t="str">
        <x:f>IF(OR(M598="unavailable",O598="unavailable"),"不可评价",IF(OR(M598="equivocal",O598="equivocal"),"疑似",IF(AND(M598="positive",O598="positive"),"a",IF(O598="positive","b",IF(M598="positive","c","d")))))</x:f>
        <x:v>a</x:v>
      </x:c>
      <x:c r="Q598" s="12"/>
      <x:c r="R598" s="12" t="str">
        <x:v>negative</x:v>
      </x:c>
      <x:c r="S598" s="12"/>
      <x:c r="T598" s="12" t="str">
        <x:v>negative</x:v>
      </x:c>
      <x:c r="U598" s="12" t="str">
        <x:f>IF(OR(R598="unavailable",T598="unavailable"),"不可评价",IF(OR(R598="equivocal",T598="equivocal"),"疑似",IF(AND(R598="positive",T598="positive"),"a",IF(T598="positive","b",IF(R598="positive","c","d")))))</x:f>
        <x:v>d</x:v>
      </x:c>
      <x:c r="V598" s="12"/>
      <x:c r="W598" s="12" t="str">
        <x:v>negative</x:v>
      </x:c>
      <x:c r="X598" s="12"/>
      <x:c r="Y598" s="12" t="str">
        <x:v>negative</x:v>
      </x:c>
      <x:c r="Z598" s="12" t="str">
        <x:f>IF(OR(W598="unavailable",Y598="unavailable"),"不可评价",IF(OR(W598="equivocal",Y598="equivocal"),"疑似",IF(AND(W598="positive",Y598="positive"),"a",IF(Y598="positive","b",IF(W598="positive","c","d")))))</x:f>
        <x:v>d</x:v>
      </x:c>
      <x:c r="AA598" s="12" t="str">
        <x:f>IF(OR(M598="unavailable",O598="unavailable"),"不可评价",IF(AND(OR(M598="positive",M598="equivocal"),OR(O598="positive",O598="equivocal")),"a",IF(OR(O598="positive",O598="equivocal"),"b",IF(OR(M598="positive",M598="equivocal"),"c","d"))))</x:f>
        <x:v>a</x:v>
      </x:c>
      <x:c r="AB598" s="12" t="str">
        <x:f>IF(OR(M598="unavailable",O598="unavailable"),"不可评价",IF(AND(M598="positive",O598="positive"),"a",IF(O598="positive","b",IF(M598="positive","c","d"))))</x:f>
        <x:v>a</x:v>
      </x:c>
      <x:c r="AC598" s="12" t="str">
        <x:f>IF(OR(R598="unavailable",T598="unavailable"),"不可评价",IF(AND(OR(R598="positive",R598="equivocal"),OR(T598="positive",T598="equivocal")),"a",IF(OR(T598="positive",T598="equivocal"),"b",IF(OR(R598="positive",R598="equivocal"),"c","d"))))</x:f>
        <x:v>d</x:v>
      </x:c>
      <x:c r="AD598" s="12" t="str">
        <x:f>IF(OR(R598="unavailable",T598="unavailable"),"不可评价",IF(AND(R598="positive",T598="positive"),"a",IF(T598="positive","b",IF(R598="positive","c","d"))))</x:f>
        <x:v>d</x:v>
      </x:c>
      <x:c r="AE598" s="12" t="str">
        <x:f>IF(OR(W598="unavailable",Y598="unavailable"),"不可评价",IF(AND(OR(W598="positive",W598="equivocal"),OR(Y598="positive",Y598="equivocal")),"a",IF(OR(Y598="positive",Y598="equivocal"),"b",IF(OR(W598="positive",W598="equivocal"),"c","d"))))</x:f>
        <x:v>d</x:v>
      </x:c>
      <x:c r="AF598" s="12" t="str">
        <x:f>IF(OR(W598="unavailable",Y598="unavailable"),"不可评价",IF(AND(W598="positive",Y598="positive"),"a",IF(Y598="positive","b",IF(W598="positive","c","d"))))</x:f>
        <x:v>d</x:v>
      </x:c>
    </x:row>
    <x:row r="599" ht="39" customHeight="1">
      <x:c r="A599" s="12" t="str">
        <x:v>4771</x:v>
      </x:c>
      <x:c r="B599" s="12" t="str">
        <x:v>6657</x:v>
      </x:c>
      <x:c r="C599" s="21" t="n">
        <x:v>33098.30710648148</x:v>
      </x:c>
      <x:c r="D599" s="12" t="n">
        <x:v>72</x:v>
      </x:c>
      <x:c r="E599" s="12" t="n">
        <x:v>0</x:v>
      </x:c>
      <x:c r="F599" s="12" t="str">
        <x:v>未记录</x:v>
      </x:c>
      <x:c r="G599" s="12" t="n">
        <x:v>1</x:v>
      </x:c>
      <x:c r="H599" s="12" t="str">
        <x:v>{'LAFB': 100.0, 'SR': 0.0}</x:v>
      </x:c>
      <x:c r="I599" s="12" t="str">
        <x:v>[('SRTH', 100.0), ('PVC', 100.0), ('LAD3', 100.0), ('IRBBB', 100.0), ('NST', 100.0), ('AB', 100.0)]</x:v>
      </x:c>
      <x:c r="J599" s="12" t="str">
        <x:v>ptbxl_database.csv；ecg_id=4771；scp_codes</x:v>
      </x:c>
      <x:c r="K599" s="12" t="str">
        <x:v>12sl_statements.csv；ecg_id=4771；statements_ext_snomed</x:v>
      </x:c>
      <x:c r="L599" s="12"/>
      <x:c r="M599" s="12" t="str">
        <x:v>negative</x:v>
      </x:c>
      <x:c r="N599" s="12"/>
      <x:c r="O599" s="12" t="str">
        <x:v>negative</x:v>
      </x:c>
      <x:c r="P599" s="12" t="str">
        <x:f>IF(OR(M599="unavailable",O599="unavailable"),"不可评价",IF(OR(M599="equivocal",O599="equivocal"),"疑似",IF(AND(M599="positive",O599="positive"),"a",IF(O599="positive","b",IF(M599="positive","c","d")))))</x:f>
        <x:v>d</x:v>
      </x:c>
      <x:c r="Q599" s="12"/>
      <x:c r="R599" s="12" t="str">
        <x:v>negative</x:v>
      </x:c>
      <x:c r="S599" s="12"/>
      <x:c r="T599" s="12" t="str">
        <x:v>negative</x:v>
      </x:c>
      <x:c r="U599" s="12" t="str">
        <x:f>IF(OR(R599="unavailable",T599="unavailable"),"不可评价",IF(OR(R599="equivocal",T599="equivocal"),"疑似",IF(AND(R599="positive",T599="positive"),"a",IF(T599="positive","b",IF(R599="positive","c","d")))))</x:f>
        <x:v>d</x:v>
      </x:c>
      <x:c r="V599" s="12"/>
      <x:c r="W599" s="12" t="str">
        <x:v>negative</x:v>
      </x:c>
      <x:c r="X599" s="12"/>
      <x:c r="Y599" s="12" t="str">
        <x:v>negative</x:v>
      </x:c>
      <x:c r="Z599" s="12" t="str">
        <x:f>IF(OR(W599="unavailable",Y599="unavailable"),"不可评价",IF(OR(W599="equivocal",Y599="equivocal"),"疑似",IF(AND(W599="positive",Y599="positive"),"a",IF(Y599="positive","b",IF(W599="positive","c","d")))))</x:f>
        <x:v>d</x:v>
      </x:c>
      <x:c r="AA599" s="12" t="str">
        <x:f>IF(OR(M599="unavailable",O599="unavailable"),"不可评价",IF(AND(OR(M599="positive",M599="equivocal"),OR(O599="positive",O599="equivocal")),"a",IF(OR(O599="positive",O599="equivocal"),"b",IF(OR(M599="positive",M599="equivocal"),"c","d"))))</x:f>
        <x:v>d</x:v>
      </x:c>
      <x:c r="AB599" s="12" t="str">
        <x:f>IF(OR(M599="unavailable",O599="unavailable"),"不可评价",IF(AND(M599="positive",O599="positive"),"a",IF(O599="positive","b",IF(M599="positive","c","d"))))</x:f>
        <x:v>d</x:v>
      </x:c>
      <x:c r="AC599" s="12" t="str">
        <x:f>IF(OR(R599="unavailable",T599="unavailable"),"不可评价",IF(AND(OR(R599="positive",R599="equivocal"),OR(T599="positive",T599="equivocal")),"a",IF(OR(T599="positive",T599="equivocal"),"b",IF(OR(R599="positive",R599="equivocal"),"c","d"))))</x:f>
        <x:v>d</x:v>
      </x:c>
      <x:c r="AD599" s="12" t="str">
        <x:f>IF(OR(R599="unavailable",T599="unavailable"),"不可评价",IF(AND(R599="positive",T599="positive"),"a",IF(T599="positive","b",IF(R599="positive","c","d"))))</x:f>
        <x:v>d</x:v>
      </x:c>
      <x:c r="AE599" s="12" t="str">
        <x:f>IF(OR(W599="unavailable",Y599="unavailable"),"不可评价",IF(AND(OR(W599="positive",W599="equivocal"),OR(Y599="positive",Y599="equivocal")),"a",IF(OR(Y599="positive",Y599="equivocal"),"b",IF(OR(W599="positive",W599="equivocal"),"c","d"))))</x:f>
        <x:v>d</x:v>
      </x:c>
      <x:c r="AF599" s="12" t="str">
        <x:f>IF(OR(W599="unavailable",Y599="unavailable"),"不可评价",IF(AND(W599="positive",Y599="positive"),"a",IF(Y599="positive","b",IF(W599="positive","c","d"))))</x:f>
        <x:v>d</x:v>
      </x:c>
    </x:row>
    <x:row r="600" ht="24" customHeight="1">
      <x:c r="A600" s="12" t="str">
        <x:v>4785</x:v>
      </x:c>
      <x:c r="B600" s="12" t="str">
        <x:v>9903</x:v>
      </x:c>
      <x:c r="C600" s="21" t="n">
        <x:v>33099.63375</x:v>
      </x:c>
      <x:c r="D600" s="12" t="n">
        <x:v>88</x:v>
      </x:c>
      <x:c r="E600" s="12" t="n">
        <x:v>0</x:v>
      </x:c>
      <x:c r="F600" s="12" t="str">
        <x:v>未记录</x:v>
      </x:c>
      <x:c r="G600" s="12" t="n">
        <x:v>1</x:v>
      </x:c>
      <x:c r="H600" s="12" t="str">
        <x:v>{'NDT': 100.0, 'AFIB': 0.0}</x:v>
      </x:c>
      <x:c r="I600" s="12" t="str">
        <x:v>[('FLUT', 100.0), ('VAVB', 100.0), ('ABER', 100.0), ('LNGQT', 100.0), ('AB', 100.0)]</x:v>
      </x:c>
      <x:c r="J600" s="12" t="str">
        <x:v>ptbxl_database.csv；ecg_id=4785；scp_codes</x:v>
      </x:c>
      <x:c r="K600" s="12" t="str">
        <x:v>12sl_statements.csv；ecg_id=4785；statements_ext_snomed</x:v>
      </x:c>
      <x:c r="L600" s="12" t="n">
        <x:v>0</x:v>
      </x:c>
      <x:c r="M600" s="12" t="str">
        <x:v>positive</x:v>
      </x:c>
      <x:c r="N600" s="12"/>
      <x:c r="O600" s="12" t="str">
        <x:v>negative</x:v>
      </x:c>
      <x:c r="P600" s="12" t="str">
        <x:f>IF(OR(M600="unavailable",O600="unavailable"),"不可评价",IF(OR(M600="equivocal",O600="equivocal"),"疑似",IF(AND(M600="positive",O600="positive"),"a",IF(O600="positive","b",IF(M600="positive","c","d")))))</x:f>
        <x:v>c</x:v>
      </x:c>
      <x:c r="Q600" s="12"/>
      <x:c r="R600" s="12" t="str">
        <x:v>negative</x:v>
      </x:c>
      <x:c r="S600" s="12"/>
      <x:c r="T600" s="12" t="str">
        <x:v>negative</x:v>
      </x:c>
      <x:c r="U600" s="12" t="str">
        <x:f>IF(OR(R600="unavailable",T600="unavailable"),"不可评价",IF(OR(R600="equivocal",T600="equivocal"),"疑似",IF(AND(R600="positive",T600="positive"),"a",IF(T600="positive","b",IF(R600="positive","c","d")))))</x:f>
        <x:v>d</x:v>
      </x:c>
      <x:c r="V600" s="12"/>
      <x:c r="W600" s="12" t="str">
        <x:v>negative</x:v>
      </x:c>
      <x:c r="X600" s="12"/>
      <x:c r="Y600" s="12" t="str">
        <x:v>negative</x:v>
      </x:c>
      <x:c r="Z600" s="12" t="str">
        <x:f>IF(OR(W600="unavailable",Y600="unavailable"),"不可评价",IF(OR(W600="equivocal",Y600="equivocal"),"疑似",IF(AND(W600="positive",Y600="positive"),"a",IF(Y600="positive","b",IF(W600="positive","c","d")))))</x:f>
        <x:v>d</x:v>
      </x:c>
      <x:c r="AA600" s="12" t="str">
        <x:f>IF(OR(M600="unavailable",O600="unavailable"),"不可评价",IF(AND(OR(M600="positive",M600="equivocal"),OR(O600="positive",O600="equivocal")),"a",IF(OR(O600="positive",O600="equivocal"),"b",IF(OR(M600="positive",M600="equivocal"),"c","d"))))</x:f>
        <x:v>c</x:v>
      </x:c>
      <x:c r="AB600" s="12" t="str">
        <x:f>IF(OR(M600="unavailable",O600="unavailable"),"不可评价",IF(AND(M600="positive",O600="positive"),"a",IF(O600="positive","b",IF(M600="positive","c","d"))))</x:f>
        <x:v>c</x:v>
      </x:c>
      <x:c r="AC600" s="12" t="str">
        <x:f>IF(OR(R600="unavailable",T600="unavailable"),"不可评价",IF(AND(OR(R600="positive",R600="equivocal"),OR(T600="positive",T600="equivocal")),"a",IF(OR(T600="positive",T600="equivocal"),"b",IF(OR(R600="positive",R600="equivocal"),"c","d"))))</x:f>
        <x:v>d</x:v>
      </x:c>
      <x:c r="AD600" s="12" t="str">
        <x:f>IF(OR(R600="unavailable",T600="unavailable"),"不可评价",IF(AND(R600="positive",T600="positive"),"a",IF(T600="positive","b",IF(R600="positive","c","d"))))</x:f>
        <x:v>d</x:v>
      </x:c>
      <x:c r="AE600" s="12" t="str">
        <x:f>IF(OR(W600="unavailable",Y600="unavailable"),"不可评价",IF(AND(OR(W600="positive",W600="equivocal"),OR(Y600="positive",Y600="equivocal")),"a",IF(OR(Y600="positive",Y600="equivocal"),"b",IF(OR(W600="positive",W600="equivocal"),"c","d"))))</x:f>
        <x:v>d</x:v>
      </x:c>
      <x:c r="AF600" s="12" t="str">
        <x:f>IF(OR(W600="unavailable",Y600="unavailable"),"不可评价",IF(AND(W600="positive",Y600="positive"),"a",IF(Y600="positive","b",IF(W600="positive","c","d"))))</x:f>
        <x:v>d</x:v>
      </x:c>
    </x:row>
    <x:row r="601" ht="24" customHeight="1">
      <x:c r="A601" s="12" t="str">
        <x:v>4786</x:v>
      </x:c>
      <x:c r="B601" s="12" t="str">
        <x:v>854</x:v>
      </x:c>
      <x:c r="C601" s="21" t="n">
        <x:v>33099.660520833335</x:v>
      </x:c>
      <x:c r="D601" s="12" t="n">
        <x:v>55</x:v>
      </x:c>
      <x:c r="E601" s="12" t="n">
        <x:v>0</x:v>
      </x:c>
      <x:c r="F601" s="12" t="str">
        <x:v>未记录</x:v>
      </x:c>
      <x:c r="G601" s="12" t="n">
        <x:v>1</x:v>
      </x:c>
      <x:c r="H601" s="12" t="str">
        <x:v>{'NORM': 50.0, 'PVC': 100.0, 'SR': 0.0}</x:v>
      </x:c>
      <x:c r="I601" s="12" t="str">
        <x:v>[('SRTH', 100.0), ('PVC', 100.0), ('ABR', 100.0)]</x:v>
      </x:c>
      <x:c r="J601" s="12" t="str">
        <x:v>ptbxl_database.csv；ecg_id=4786；scp_codes</x:v>
      </x:c>
      <x:c r="K601" s="12" t="str">
        <x:v>12sl_statements.csv；ecg_id=4786；statements_ext_snomed</x:v>
      </x:c>
      <x:c r="L601" s="12"/>
      <x:c r="M601" s="12" t="str">
        <x:v>negative</x:v>
      </x:c>
      <x:c r="N601" s="12"/>
      <x:c r="O601" s="12" t="str">
        <x:v>negative</x:v>
      </x:c>
      <x:c r="P601" s="12" t="str">
        <x:f>IF(OR(M601="unavailable",O601="unavailable"),"不可评价",IF(OR(M601="equivocal",O601="equivocal"),"疑似",IF(AND(M601="positive",O601="positive"),"a",IF(O601="positive","b",IF(M601="positive","c","d")))))</x:f>
        <x:v>d</x:v>
      </x:c>
      <x:c r="Q601" s="12"/>
      <x:c r="R601" s="12" t="str">
        <x:v>negative</x:v>
      </x:c>
      <x:c r="S601" s="12"/>
      <x:c r="T601" s="12" t="str">
        <x:v>negative</x:v>
      </x:c>
      <x:c r="U601" s="12" t="str">
        <x:f>IF(OR(R601="unavailable",T601="unavailable"),"不可评价",IF(OR(R601="equivocal",T601="equivocal"),"疑似",IF(AND(R601="positive",T601="positive"),"a",IF(T601="positive","b",IF(R601="positive","c","d")))))</x:f>
        <x:v>d</x:v>
      </x:c>
      <x:c r="V601" s="12"/>
      <x:c r="W601" s="12" t="str">
        <x:v>negative</x:v>
      </x:c>
      <x:c r="X601" s="12"/>
      <x:c r="Y601" s="12" t="str">
        <x:v>negative</x:v>
      </x:c>
      <x:c r="Z601" s="12" t="str">
        <x:f>IF(OR(W601="unavailable",Y601="unavailable"),"不可评价",IF(OR(W601="equivocal",Y601="equivocal"),"疑似",IF(AND(W601="positive",Y601="positive"),"a",IF(Y601="positive","b",IF(W601="positive","c","d")))))</x:f>
        <x:v>d</x:v>
      </x:c>
      <x:c r="AA601" s="12" t="str">
        <x:f>IF(OR(M601="unavailable",O601="unavailable"),"不可评价",IF(AND(OR(M601="positive",M601="equivocal"),OR(O601="positive",O601="equivocal")),"a",IF(OR(O601="positive",O601="equivocal"),"b",IF(OR(M601="positive",M601="equivocal"),"c","d"))))</x:f>
        <x:v>d</x:v>
      </x:c>
      <x:c r="AB601" s="12" t="str">
        <x:f>IF(OR(M601="unavailable",O601="unavailable"),"不可评价",IF(AND(M601="positive",O601="positive"),"a",IF(O601="positive","b",IF(M601="positive","c","d"))))</x:f>
        <x:v>d</x:v>
      </x:c>
      <x:c r="AC601" s="12" t="str">
        <x:f>IF(OR(R601="unavailable",T601="unavailable"),"不可评价",IF(AND(OR(R601="positive",R601="equivocal"),OR(T601="positive",T601="equivocal")),"a",IF(OR(T601="positive",T601="equivocal"),"b",IF(OR(R601="positive",R601="equivocal"),"c","d"))))</x:f>
        <x:v>d</x:v>
      </x:c>
      <x:c r="AD601" s="12" t="str">
        <x:f>IF(OR(R601="unavailable",T601="unavailable"),"不可评价",IF(AND(R601="positive",T601="positive"),"a",IF(T601="positive","b",IF(R601="positive","c","d"))))</x:f>
        <x:v>d</x:v>
      </x:c>
      <x:c r="AE601" s="12" t="str">
        <x:f>IF(OR(W601="unavailable",Y601="unavailable"),"不可评价",IF(AND(OR(W601="positive",W601="equivocal"),OR(Y601="positive",Y601="equivocal")),"a",IF(OR(Y601="positive",Y601="equivocal"),"b",IF(OR(W601="positive",W601="equivocal"),"c","d"))))</x:f>
        <x:v>d</x:v>
      </x:c>
      <x:c r="AF601" s="12" t="str">
        <x:f>IF(OR(W601="unavailable",Y601="unavailable"),"不可评价",IF(AND(W601="positive",Y601="positive"),"a",IF(Y601="positive","b",IF(W601="positive","c","d"))))</x:f>
        <x:v>d</x:v>
      </x:c>
    </x:row>
    <x:row r="602" ht="24" customHeight="1">
      <x:c r="A602" s="12" t="str">
        <x:v>4797</x:v>
      </x:c>
      <x:c r="B602" s="12" t="str">
        <x:v>9903</x:v>
      </x:c>
      <x:c r="C602" s="21" t="n">
        <x:v>33101.502430555556</x:v>
      </x:c>
      <x:c r="D602" s="12" t="n">
        <x:v>88</x:v>
      </x:c>
      <x:c r="E602" s="12" t="n">
        <x:v>0</x:v>
      </x:c>
      <x:c r="F602" s="12" t="str">
        <x:v>未记录</x:v>
      </x:c>
      <x:c r="G602" s="12" t="n">
        <x:v>0</x:v>
      </x:c>
      <x:c r="H602" s="12" t="str">
        <x:v>{'NST_': 100.0, 'SR': 0.0}</x:v>
      </x:c>
      <x:c r="I602" s="12" t="str">
        <x:v>[('SRTH', 100.0), ('FAV', 100.0), ('PVC', 100.0), ('NT', 100.0), ('AB', 100.0)]</x:v>
      </x:c>
      <x:c r="J602" s="12" t="str">
        <x:v>ptbxl_database.csv；ecg_id=4797；scp_codes</x:v>
      </x:c>
      <x:c r="K602" s="12" t="str">
        <x:v>12sl_statements.csv；ecg_id=4797；statements_ext_snomed</x:v>
      </x:c>
      <x:c r="L602" s="12"/>
      <x:c r="M602" s="12" t="str">
        <x:v>negative</x:v>
      </x:c>
      <x:c r="N602" s="12"/>
      <x:c r="O602" s="12" t="str">
        <x:v>negative</x:v>
      </x:c>
      <x:c r="P602" s="12" t="str">
        <x:f>IF(OR(M602="unavailable",O602="unavailable"),"不可评价",IF(OR(M602="equivocal",O602="equivocal"),"疑似",IF(AND(M602="positive",O602="positive"),"a",IF(O602="positive","b",IF(M602="positive","c","d")))))</x:f>
        <x:v>d</x:v>
      </x:c>
      <x:c r="Q602" s="12"/>
      <x:c r="R602" s="12" t="str">
        <x:v>negative</x:v>
      </x:c>
      <x:c r="S602" s="12"/>
      <x:c r="T602" s="12" t="str">
        <x:v>negative</x:v>
      </x:c>
      <x:c r="U602" s="12" t="str">
        <x:f>IF(OR(R602="unavailable",T602="unavailable"),"不可评价",IF(OR(R602="equivocal",T602="equivocal"),"疑似",IF(AND(R602="positive",T602="positive"),"a",IF(T602="positive","b",IF(R602="positive","c","d")))))</x:f>
        <x:v>d</x:v>
      </x:c>
      <x:c r="V602" s="12"/>
      <x:c r="W602" s="12" t="str">
        <x:v>negative</x:v>
      </x:c>
      <x:c r="X602" s="12"/>
      <x:c r="Y602" s="12" t="str">
        <x:v>negative</x:v>
      </x:c>
      <x:c r="Z602" s="12" t="str">
        <x:f>IF(OR(W602="unavailable",Y602="unavailable"),"不可评价",IF(OR(W602="equivocal",Y602="equivocal"),"疑似",IF(AND(W602="positive",Y602="positive"),"a",IF(Y602="positive","b",IF(W602="positive","c","d")))))</x:f>
        <x:v>d</x:v>
      </x:c>
      <x:c r="AA602" s="12" t="str">
        <x:f>IF(OR(M602="unavailable",O602="unavailable"),"不可评价",IF(AND(OR(M602="positive",M602="equivocal"),OR(O602="positive",O602="equivocal")),"a",IF(OR(O602="positive",O602="equivocal"),"b",IF(OR(M602="positive",M602="equivocal"),"c","d"))))</x:f>
        <x:v>d</x:v>
      </x:c>
      <x:c r="AB602" s="12" t="str">
        <x:f>IF(OR(M602="unavailable",O602="unavailable"),"不可评价",IF(AND(M602="positive",O602="positive"),"a",IF(O602="positive","b",IF(M602="positive","c","d"))))</x:f>
        <x:v>d</x:v>
      </x:c>
      <x:c r="AC602" s="12" t="str">
        <x:f>IF(OR(R602="unavailable",T602="unavailable"),"不可评价",IF(AND(OR(R602="positive",R602="equivocal"),OR(T602="positive",T602="equivocal")),"a",IF(OR(T602="positive",T602="equivocal"),"b",IF(OR(R602="positive",R602="equivocal"),"c","d"))))</x:f>
        <x:v>d</x:v>
      </x:c>
      <x:c r="AD602" s="12" t="str">
        <x:f>IF(OR(R602="unavailable",T602="unavailable"),"不可评价",IF(AND(R602="positive",T602="positive"),"a",IF(T602="positive","b",IF(R602="positive","c","d"))))</x:f>
        <x:v>d</x:v>
      </x:c>
      <x:c r="AE602" s="12" t="str">
        <x:f>IF(OR(W602="unavailable",Y602="unavailable"),"不可评价",IF(AND(OR(W602="positive",W602="equivocal"),OR(Y602="positive",Y602="equivocal")),"a",IF(OR(Y602="positive",Y602="equivocal"),"b",IF(OR(W602="positive",W602="equivocal"),"c","d"))))</x:f>
        <x:v>d</x:v>
      </x:c>
      <x:c r="AF602" s="12" t="str">
        <x:f>IF(OR(W602="unavailable",Y602="unavailable"),"不可评价",IF(AND(W602="positive",Y602="positive"),"a",IF(Y602="positive","b",IF(W602="positive","c","d"))))</x:f>
        <x:v>d</x:v>
      </x:c>
    </x:row>
    <x:row r="603" ht="24" customHeight="1">
      <x:c r="A603" s="12" t="str">
        <x:v>4805</x:v>
      </x:c>
      <x:c r="B603" s="12" t="str">
        <x:v>12493</x:v>
      </x:c>
      <x:c r="C603" s="21" t="n">
        <x:v>33103.46140046296</x:v>
      </x:c>
      <x:c r="D603" s="12" t="n">
        <x:v>36</x:v>
      </x:c>
      <x:c r="E603" s="12" t="n">
        <x:v>0</x:v>
      </x:c>
      <x:c r="F603" s="12" t="str">
        <x:v>存在</x:v>
      </x:c>
      <x:c r="G603" s="12" t="n">
        <x:v>0</x:v>
      </x:c>
      <x:c r="H603" s="12" t="str">
        <x:v>{'NORM': 100.0, 'SR': 0.0}</x:v>
      </x:c>
      <x:c r="I603" s="12" t="str">
        <x:v>[('SBRAD', 100.0), ('IRBBB', 100.0), ('BORDE', 100.0)]</x:v>
      </x:c>
      <x:c r="J603" s="12" t="str">
        <x:v>ptbxl_database.csv；ecg_id=4805；scp_codes</x:v>
      </x:c>
      <x:c r="K603" s="12" t="str">
        <x:v>12sl_statements.csv；ecg_id=4805；statements_ext_snomed</x:v>
      </x:c>
      <x:c r="L603" s="12"/>
      <x:c r="M603" s="12" t="str">
        <x:v>negative</x:v>
      </x:c>
      <x:c r="N603" s="12"/>
      <x:c r="O603" s="12" t="str">
        <x:v>negative</x:v>
      </x:c>
      <x:c r="P603" s="12" t="str">
        <x:f>IF(OR(M603="unavailable",O603="unavailable"),"不可评价",IF(OR(M603="equivocal",O603="equivocal"),"疑似",IF(AND(M603="positive",O603="positive"),"a",IF(O603="positive","b",IF(M603="positive","c","d")))))</x:f>
        <x:v>d</x:v>
      </x:c>
      <x:c r="Q603" s="12"/>
      <x:c r="R603" s="12" t="str">
        <x:v>negative</x:v>
      </x:c>
      <x:c r="S603" s="12"/>
      <x:c r="T603" s="12" t="str">
        <x:v>negative</x:v>
      </x:c>
      <x:c r="U603" s="12" t="str">
        <x:f>IF(OR(R603="unavailable",T603="unavailable"),"不可评价",IF(OR(R603="equivocal",T603="equivocal"),"疑似",IF(AND(R603="positive",T603="positive"),"a",IF(T603="positive","b",IF(R603="positive","c","d")))))</x:f>
        <x:v>d</x:v>
      </x:c>
      <x:c r="V603" s="12"/>
      <x:c r="W603" s="12" t="str">
        <x:v>negative</x:v>
      </x:c>
      <x:c r="X603" s="12"/>
      <x:c r="Y603" s="12" t="str">
        <x:v>negative</x:v>
      </x:c>
      <x:c r="Z603" s="12" t="str">
        <x:f>IF(OR(W603="unavailable",Y603="unavailable"),"不可评价",IF(OR(W603="equivocal",Y603="equivocal"),"疑似",IF(AND(W603="positive",Y603="positive"),"a",IF(Y603="positive","b",IF(W603="positive","c","d")))))</x:f>
        <x:v>d</x:v>
      </x:c>
      <x:c r="AA603" s="12" t="str">
        <x:f>IF(OR(M603="unavailable",O603="unavailable"),"不可评价",IF(AND(OR(M603="positive",M603="equivocal"),OR(O603="positive",O603="equivocal")),"a",IF(OR(O603="positive",O603="equivocal"),"b",IF(OR(M603="positive",M603="equivocal"),"c","d"))))</x:f>
        <x:v>d</x:v>
      </x:c>
      <x:c r="AB603" s="12" t="str">
        <x:f>IF(OR(M603="unavailable",O603="unavailable"),"不可评价",IF(AND(M603="positive",O603="positive"),"a",IF(O603="positive","b",IF(M603="positive","c","d"))))</x:f>
        <x:v>d</x:v>
      </x:c>
      <x:c r="AC603" s="12" t="str">
        <x:f>IF(OR(R603="unavailable",T603="unavailable"),"不可评价",IF(AND(OR(R603="positive",R603="equivocal"),OR(T603="positive",T603="equivocal")),"a",IF(OR(T603="positive",T603="equivocal"),"b",IF(OR(R603="positive",R603="equivocal"),"c","d"))))</x:f>
        <x:v>d</x:v>
      </x:c>
      <x:c r="AD603" s="12" t="str">
        <x:f>IF(OR(R603="unavailable",T603="unavailable"),"不可评价",IF(AND(R603="positive",T603="positive"),"a",IF(T603="positive","b",IF(R603="positive","c","d"))))</x:f>
        <x:v>d</x:v>
      </x:c>
      <x:c r="AE603" s="12" t="str">
        <x:f>IF(OR(W603="unavailable",Y603="unavailable"),"不可评价",IF(AND(OR(W603="positive",W603="equivocal"),OR(Y603="positive",Y603="equivocal")),"a",IF(OR(Y603="positive",Y603="equivocal"),"b",IF(OR(W603="positive",W603="equivocal"),"c","d"))))</x:f>
        <x:v>d</x:v>
      </x:c>
      <x:c r="AF603" s="12" t="str">
        <x:f>IF(OR(W603="unavailable",Y603="unavailable"),"不可评价",IF(AND(W603="positive",Y603="positive"),"a",IF(Y603="positive","b",IF(W603="positive","c","d"))))</x:f>
        <x:v>d</x:v>
      </x:c>
    </x:row>
    <x:row r="604" ht="24" customHeight="1">
      <x:c r="A604" s="12" t="str">
        <x:v>4809</x:v>
      </x:c>
      <x:c r="B604" s="12" t="str">
        <x:v>9903</x:v>
      </x:c>
      <x:c r="C604" s="21" t="n">
        <x:v>33103.74829861111</x:v>
      </x:c>
      <x:c r="D604" s="12" t="n">
        <x:v>88</x:v>
      </x:c>
      <x:c r="E604" s="12" t="n">
        <x:v>0</x:v>
      </x:c>
      <x:c r="F604" s="12" t="str">
        <x:v>未记录</x:v>
      </x:c>
      <x:c r="G604" s="12" t="n">
        <x:v>0</x:v>
      </x:c>
      <x:c r="H604" s="12" t="str">
        <x:v>{'NDT': 100.0, 'SR': 0.0}</x:v>
      </x:c>
      <x:c r="I604" s="12" t="str">
        <x:v>[('NSR', 100.0), ('NSTT', 100.0), ('AB', 100.0)]</x:v>
      </x:c>
      <x:c r="J604" s="12" t="str">
        <x:v>ptbxl_database.csv；ecg_id=4809；scp_codes</x:v>
      </x:c>
      <x:c r="K604" s="12" t="str">
        <x:v>12sl_statements.csv；ecg_id=4809；statements_ext_snomed</x:v>
      </x:c>
      <x:c r="L604" s="12"/>
      <x:c r="M604" s="12" t="str">
        <x:v>negative</x:v>
      </x:c>
      <x:c r="N604" s="12"/>
      <x:c r="O604" s="12" t="str">
        <x:v>negative</x:v>
      </x:c>
      <x:c r="P604" s="12" t="str">
        <x:f>IF(OR(M604="unavailable",O604="unavailable"),"不可评价",IF(OR(M604="equivocal",O604="equivocal"),"疑似",IF(AND(M604="positive",O604="positive"),"a",IF(O604="positive","b",IF(M604="positive","c","d")))))</x:f>
        <x:v>d</x:v>
      </x:c>
      <x:c r="Q604" s="12"/>
      <x:c r="R604" s="12" t="str">
        <x:v>negative</x:v>
      </x:c>
      <x:c r="S604" s="12"/>
      <x:c r="T604" s="12" t="str">
        <x:v>negative</x:v>
      </x:c>
      <x:c r="U604" s="12" t="str">
        <x:f>IF(OR(R604="unavailable",T604="unavailable"),"不可评价",IF(OR(R604="equivocal",T604="equivocal"),"疑似",IF(AND(R604="positive",T604="positive"),"a",IF(T604="positive","b",IF(R604="positive","c","d")))))</x:f>
        <x:v>d</x:v>
      </x:c>
      <x:c r="V604" s="12"/>
      <x:c r="W604" s="12" t="str">
        <x:v>negative</x:v>
      </x:c>
      <x:c r="X604" s="12"/>
      <x:c r="Y604" s="12" t="str">
        <x:v>negative</x:v>
      </x:c>
      <x:c r="Z604" s="12" t="str">
        <x:f>IF(OR(W604="unavailable",Y604="unavailable"),"不可评价",IF(OR(W604="equivocal",Y604="equivocal"),"疑似",IF(AND(W604="positive",Y604="positive"),"a",IF(Y604="positive","b",IF(W604="positive","c","d")))))</x:f>
        <x:v>d</x:v>
      </x:c>
      <x:c r="AA604" s="12" t="str">
        <x:f>IF(OR(M604="unavailable",O604="unavailable"),"不可评价",IF(AND(OR(M604="positive",M604="equivocal"),OR(O604="positive",O604="equivocal")),"a",IF(OR(O604="positive",O604="equivocal"),"b",IF(OR(M604="positive",M604="equivocal"),"c","d"))))</x:f>
        <x:v>d</x:v>
      </x:c>
      <x:c r="AB604" s="12" t="str">
        <x:f>IF(OR(M604="unavailable",O604="unavailable"),"不可评价",IF(AND(M604="positive",O604="positive"),"a",IF(O604="positive","b",IF(M604="positive","c","d"))))</x:f>
        <x:v>d</x:v>
      </x:c>
      <x:c r="AC604" s="12" t="str">
        <x:f>IF(OR(R604="unavailable",T604="unavailable"),"不可评价",IF(AND(OR(R604="positive",R604="equivocal"),OR(T604="positive",T604="equivocal")),"a",IF(OR(T604="positive",T604="equivocal"),"b",IF(OR(R604="positive",R604="equivocal"),"c","d"))))</x:f>
        <x:v>d</x:v>
      </x:c>
      <x:c r="AD604" s="12" t="str">
        <x:f>IF(OR(R604="unavailable",T604="unavailable"),"不可评价",IF(AND(R604="positive",T604="positive"),"a",IF(T604="positive","b",IF(R604="positive","c","d"))))</x:f>
        <x:v>d</x:v>
      </x:c>
      <x:c r="AE604" s="12" t="str">
        <x:f>IF(OR(W604="unavailable",Y604="unavailable"),"不可评价",IF(AND(OR(W604="positive",W604="equivocal"),OR(Y604="positive",Y604="equivocal")),"a",IF(OR(Y604="positive",Y604="equivocal"),"b",IF(OR(W604="positive",W604="equivocal"),"c","d"))))</x:f>
        <x:v>d</x:v>
      </x:c>
      <x:c r="AF604" s="12" t="str">
        <x:f>IF(OR(W604="unavailable",Y604="unavailable"),"不可评价",IF(AND(W604="positive",Y604="positive"),"a",IF(Y604="positive","b",IF(W604="positive","c","d"))))</x:f>
        <x:v>d</x:v>
      </x:c>
    </x:row>
    <x:row r="605" ht="24" customHeight="1">
      <x:c r="A605" s="12" t="str">
        <x:v>4820</x:v>
      </x:c>
      <x:c r="B605" s="12" t="str">
        <x:v>10499</x:v>
      </x:c>
      <x:c r="C605" s="21" t="n">
        <x:v>33107.41465277778</x:v>
      </x:c>
      <x:c r="D605" s="12" t="n">
        <x:v>50</x:v>
      </x:c>
      <x:c r="E605" s="12" t="n">
        <x:v>1</x:v>
      </x:c>
      <x:c r="F605" s="12" t="str">
        <x:v>存在</x:v>
      </x:c>
      <x:c r="G605" s="12" t="n">
        <x:v>1</x:v>
      </x:c>
      <x:c r="H605" s="12" t="str">
        <x:v>{'NORM': 80.0, 'SBRAD': 0.0}</x:v>
      </x:c>
      <x:c r="I605" s="12" t="str">
        <x:v>[('SBRAD', 100.0), ('ABR', 100.0)]</x:v>
      </x:c>
      <x:c r="J605" s="12" t="str">
        <x:v>ptbxl_database.csv；ecg_id=4820；scp_codes</x:v>
      </x:c>
      <x:c r="K605" s="12" t="str">
        <x:v>12sl_statements.csv；ecg_id=4820；statements_ext_snomed</x:v>
      </x:c>
      <x:c r="L605" s="12"/>
      <x:c r="M605" s="12" t="str">
        <x:v>negative</x:v>
      </x:c>
      <x:c r="N605" s="12"/>
      <x:c r="O605" s="12" t="str">
        <x:v>negative</x:v>
      </x:c>
      <x:c r="P605" s="12" t="str">
        <x:f>IF(OR(M605="unavailable",O605="unavailable"),"不可评价",IF(OR(M605="equivocal",O605="equivocal"),"疑似",IF(AND(M605="positive",O605="positive"),"a",IF(O605="positive","b",IF(M605="positive","c","d")))))</x:f>
        <x:v>d</x:v>
      </x:c>
      <x:c r="Q605" s="12"/>
      <x:c r="R605" s="12" t="str">
        <x:v>negative</x:v>
      </x:c>
      <x:c r="S605" s="12"/>
      <x:c r="T605" s="12" t="str">
        <x:v>negative</x:v>
      </x:c>
      <x:c r="U605" s="12" t="str">
        <x:f>IF(OR(R605="unavailable",T605="unavailable"),"不可评价",IF(OR(R605="equivocal",T605="equivocal"),"疑似",IF(AND(R605="positive",T605="positive"),"a",IF(T605="positive","b",IF(R605="positive","c","d")))))</x:f>
        <x:v>d</x:v>
      </x:c>
      <x:c r="V605" s="12"/>
      <x:c r="W605" s="12" t="str">
        <x:v>negative</x:v>
      </x:c>
      <x:c r="X605" s="12"/>
      <x:c r="Y605" s="12" t="str">
        <x:v>negative</x:v>
      </x:c>
      <x:c r="Z605" s="12" t="str">
        <x:f>IF(OR(W605="unavailable",Y605="unavailable"),"不可评价",IF(OR(W605="equivocal",Y605="equivocal"),"疑似",IF(AND(W605="positive",Y605="positive"),"a",IF(Y605="positive","b",IF(W605="positive","c","d")))))</x:f>
        <x:v>d</x:v>
      </x:c>
      <x:c r="AA605" s="12" t="str">
        <x:f>IF(OR(M605="unavailable",O605="unavailable"),"不可评价",IF(AND(OR(M605="positive",M605="equivocal"),OR(O605="positive",O605="equivocal")),"a",IF(OR(O605="positive",O605="equivocal"),"b",IF(OR(M605="positive",M605="equivocal"),"c","d"))))</x:f>
        <x:v>d</x:v>
      </x:c>
      <x:c r="AB605" s="12" t="str">
        <x:f>IF(OR(M605="unavailable",O605="unavailable"),"不可评价",IF(AND(M605="positive",O605="positive"),"a",IF(O605="positive","b",IF(M605="positive","c","d"))))</x:f>
        <x:v>d</x:v>
      </x:c>
      <x:c r="AC605" s="12" t="str">
        <x:f>IF(OR(R605="unavailable",T605="unavailable"),"不可评价",IF(AND(OR(R605="positive",R605="equivocal"),OR(T605="positive",T605="equivocal")),"a",IF(OR(T605="positive",T605="equivocal"),"b",IF(OR(R605="positive",R605="equivocal"),"c","d"))))</x:f>
        <x:v>d</x:v>
      </x:c>
      <x:c r="AD605" s="12" t="str">
        <x:f>IF(OR(R605="unavailable",T605="unavailable"),"不可评价",IF(AND(R605="positive",T605="positive"),"a",IF(T605="positive","b",IF(R605="positive","c","d"))))</x:f>
        <x:v>d</x:v>
      </x:c>
      <x:c r="AE605" s="12" t="str">
        <x:f>IF(OR(W605="unavailable",Y605="unavailable"),"不可评价",IF(AND(OR(W605="positive",W605="equivocal"),OR(Y605="positive",Y605="equivocal")),"a",IF(OR(Y605="positive",Y605="equivocal"),"b",IF(OR(W605="positive",W605="equivocal"),"c","d"))))</x:f>
        <x:v>d</x:v>
      </x:c>
      <x:c r="AF605" s="12" t="str">
        <x:f>IF(OR(W605="unavailable",Y605="unavailable"),"不可评价",IF(AND(W605="positive",Y605="positive"),"a",IF(Y605="positive","b",IF(W605="positive","c","d"))))</x:f>
        <x:v>d</x:v>
      </x:c>
    </x:row>
    <x:row r="606" ht="24" customHeight="1">
      <x:c r="A606" s="12" t="str">
        <x:v>4822</x:v>
      </x:c>
      <x:c r="B606" s="12" t="str">
        <x:v>15960</x:v>
      </x:c>
      <x:c r="C606" s="21" t="n">
        <x:v>33107.58038194444</x:v>
      </x:c>
      <x:c r="D606" s="12" t="n">
        <x:v>38</x:v>
      </x:c>
      <x:c r="E606" s="12" t="n">
        <x:v>1</x:v>
      </x:c>
      <x:c r="F606" s="12" t="str">
        <x:v>未记录</x:v>
      </x:c>
      <x:c r="G606" s="12" t="n">
        <x:v>1</x:v>
      </x:c>
      <x:c r="H606" s="12" t="str">
        <x:v>{'NORM': 100.0, 'STE_': 0.0, 'STD_': 0.0, 'STACH': 0.0}</x:v>
      </x:c>
      <x:c r="I606" s="12" t="str">
        <x:v>[('STACH', 100.0), ('ABR', 100.0)]</x:v>
      </x:c>
      <x:c r="J606" s="12" t="str">
        <x:v>ptbxl_database.csv；ecg_id=4822；scp_codes</x:v>
      </x:c>
      <x:c r="K606" s="12" t="str">
        <x:v>12sl_statements.csv；ecg_id=4822；statements_ext_snomed</x:v>
      </x:c>
      <x:c r="L606" s="12"/>
      <x:c r="M606" s="12" t="str">
        <x:v>negative</x:v>
      </x:c>
      <x:c r="N606" s="12"/>
      <x:c r="O606" s="12" t="str">
        <x:v>negative</x:v>
      </x:c>
      <x:c r="P606" s="12" t="str">
        <x:f>IF(OR(M606="unavailable",O606="unavailable"),"不可评价",IF(OR(M606="equivocal",O606="equivocal"),"疑似",IF(AND(M606="positive",O606="positive"),"a",IF(O606="positive","b",IF(M606="positive","c","d")))))</x:f>
        <x:v>d</x:v>
      </x:c>
      <x:c r="Q606" s="12"/>
      <x:c r="R606" s="12" t="str">
        <x:v>negative</x:v>
      </x:c>
      <x:c r="S606" s="12"/>
      <x:c r="T606" s="12" t="str">
        <x:v>negative</x:v>
      </x:c>
      <x:c r="U606" s="12" t="str">
        <x:f>IF(OR(R606="unavailable",T606="unavailable"),"不可评价",IF(OR(R606="equivocal",T606="equivocal"),"疑似",IF(AND(R606="positive",T606="positive"),"a",IF(T606="positive","b",IF(R606="positive","c","d")))))</x:f>
        <x:v>d</x:v>
      </x:c>
      <x:c r="V606" s="12"/>
      <x:c r="W606" s="12" t="str">
        <x:v>negative</x:v>
      </x:c>
      <x:c r="X606" s="12"/>
      <x:c r="Y606" s="12" t="str">
        <x:v>negative</x:v>
      </x:c>
      <x:c r="Z606" s="12" t="str">
        <x:f>IF(OR(W606="unavailable",Y606="unavailable"),"不可评价",IF(OR(W606="equivocal",Y606="equivocal"),"疑似",IF(AND(W606="positive",Y606="positive"),"a",IF(Y606="positive","b",IF(W606="positive","c","d")))))</x:f>
        <x:v>d</x:v>
      </x:c>
      <x:c r="AA606" s="12" t="str">
        <x:f>IF(OR(M606="unavailable",O606="unavailable"),"不可评价",IF(AND(OR(M606="positive",M606="equivocal"),OR(O606="positive",O606="equivocal")),"a",IF(OR(O606="positive",O606="equivocal"),"b",IF(OR(M606="positive",M606="equivocal"),"c","d"))))</x:f>
        <x:v>d</x:v>
      </x:c>
      <x:c r="AB606" s="12" t="str">
        <x:f>IF(OR(M606="unavailable",O606="unavailable"),"不可评价",IF(AND(M606="positive",O606="positive"),"a",IF(O606="positive","b",IF(M606="positive","c","d"))))</x:f>
        <x:v>d</x:v>
      </x:c>
      <x:c r="AC606" s="12" t="str">
        <x:f>IF(OR(R606="unavailable",T606="unavailable"),"不可评价",IF(AND(OR(R606="positive",R606="equivocal"),OR(T606="positive",T606="equivocal")),"a",IF(OR(T606="positive",T606="equivocal"),"b",IF(OR(R606="positive",R606="equivocal"),"c","d"))))</x:f>
        <x:v>d</x:v>
      </x:c>
      <x:c r="AD606" s="12" t="str">
        <x:f>IF(OR(R606="unavailable",T606="unavailable"),"不可评价",IF(AND(R606="positive",T606="positive"),"a",IF(T606="positive","b",IF(R606="positive","c","d"))))</x:f>
        <x:v>d</x:v>
      </x:c>
      <x:c r="AE606" s="12" t="str">
        <x:f>IF(OR(W606="unavailable",Y606="unavailable"),"不可评价",IF(AND(OR(W606="positive",W606="equivocal"),OR(Y606="positive",Y606="equivocal")),"a",IF(OR(Y606="positive",Y606="equivocal"),"b",IF(OR(W606="positive",W606="equivocal"),"c","d"))))</x:f>
        <x:v>d</x:v>
      </x:c>
      <x:c r="AF606" s="12" t="str">
        <x:f>IF(OR(W606="unavailable",Y606="unavailable"),"不可评价",IF(AND(W606="positive",Y606="positive"),"a",IF(Y606="positive","b",IF(W606="positive","c","d"))))</x:f>
        <x:v>d</x:v>
      </x:c>
    </x:row>
    <x:row r="607" ht="24" customHeight="1">
      <x:c r="A607" s="12" t="str">
        <x:v>4825</x:v>
      </x:c>
      <x:c r="B607" s="12" t="str">
        <x:v>19477</x:v>
      </x:c>
      <x:c r="C607" s="21" t="n">
        <x:v>33107.735601851855</x:v>
      </x:c>
      <x:c r="D607" s="12" t="n">
        <x:v>45</x:v>
      </x:c>
      <x:c r="E607" s="12" t="n">
        <x:v>0</x:v>
      </x:c>
      <x:c r="F607" s="12" t="str">
        <x:v>未记录</x:v>
      </x:c>
      <x:c r="G607" s="12" t="n">
        <x:v>1</x:v>
      </x:c>
      <x:c r="H607" s="12" t="str">
        <x:v>{'WPW': 100.0, 'ABQRS': 0.0, 'SR': 0.0}</x:v>
      </x:c>
      <x:c r="I607" s="12" t="str">
        <x:v>[('NSR', 100.0), ('LAE', 50.0), ('BORDE', 100.0)]</x:v>
      </x:c>
      <x:c r="J607" s="12" t="str">
        <x:v>ptbxl_database.csv；ecg_id=4825；scp_codes</x:v>
      </x:c>
      <x:c r="K607" s="12" t="str">
        <x:v>12sl_statements.csv；ecg_id=4825；statements_ext_snomed</x:v>
      </x:c>
      <x:c r="L607" s="12"/>
      <x:c r="M607" s="12" t="str">
        <x:v>negative</x:v>
      </x:c>
      <x:c r="N607" s="12"/>
      <x:c r="O607" s="12" t="str">
        <x:v>negative</x:v>
      </x:c>
      <x:c r="P607" s="12" t="str">
        <x:f>IF(OR(M607="unavailable",O607="unavailable"),"不可评价",IF(OR(M607="equivocal",O607="equivocal"),"疑似",IF(AND(M607="positive",O607="positive"),"a",IF(O607="positive","b",IF(M607="positive","c","d")))))</x:f>
        <x:v>d</x:v>
      </x:c>
      <x:c r="Q607" s="12"/>
      <x:c r="R607" s="12" t="str">
        <x:v>negative</x:v>
      </x:c>
      <x:c r="S607" s="12"/>
      <x:c r="T607" s="12" t="str">
        <x:v>negative</x:v>
      </x:c>
      <x:c r="U607" s="12" t="str">
        <x:f>IF(OR(R607="unavailable",T607="unavailable"),"不可评价",IF(OR(R607="equivocal",T607="equivocal"),"疑似",IF(AND(R607="positive",T607="positive"),"a",IF(T607="positive","b",IF(R607="positive","c","d")))))</x:f>
        <x:v>d</x:v>
      </x:c>
      <x:c r="V607" s="12"/>
      <x:c r="W607" s="12" t="str">
        <x:v>negative</x:v>
      </x:c>
      <x:c r="X607" s="12"/>
      <x:c r="Y607" s="12" t="str">
        <x:v>negative</x:v>
      </x:c>
      <x:c r="Z607" s="12" t="str">
        <x:f>IF(OR(W607="unavailable",Y607="unavailable"),"不可评价",IF(OR(W607="equivocal",Y607="equivocal"),"疑似",IF(AND(W607="positive",Y607="positive"),"a",IF(Y607="positive","b",IF(W607="positive","c","d")))))</x:f>
        <x:v>d</x:v>
      </x:c>
      <x:c r="AA607" s="12" t="str">
        <x:f>IF(OR(M607="unavailable",O607="unavailable"),"不可评价",IF(AND(OR(M607="positive",M607="equivocal"),OR(O607="positive",O607="equivocal")),"a",IF(OR(O607="positive",O607="equivocal"),"b",IF(OR(M607="positive",M607="equivocal"),"c","d"))))</x:f>
        <x:v>d</x:v>
      </x:c>
      <x:c r="AB607" s="12" t="str">
        <x:f>IF(OR(M607="unavailable",O607="unavailable"),"不可评价",IF(AND(M607="positive",O607="positive"),"a",IF(O607="positive","b",IF(M607="positive","c","d"))))</x:f>
        <x:v>d</x:v>
      </x:c>
      <x:c r="AC607" s="12" t="str">
        <x:f>IF(OR(R607="unavailable",T607="unavailable"),"不可评价",IF(AND(OR(R607="positive",R607="equivocal"),OR(T607="positive",T607="equivocal")),"a",IF(OR(T607="positive",T607="equivocal"),"b",IF(OR(R607="positive",R607="equivocal"),"c","d"))))</x:f>
        <x:v>d</x:v>
      </x:c>
      <x:c r="AD607" s="12" t="str">
        <x:f>IF(OR(R607="unavailable",T607="unavailable"),"不可评价",IF(AND(R607="positive",T607="positive"),"a",IF(T607="positive","b",IF(R607="positive","c","d"))))</x:f>
        <x:v>d</x:v>
      </x:c>
      <x:c r="AE607" s="12" t="str">
        <x:f>IF(OR(W607="unavailable",Y607="unavailable"),"不可评价",IF(AND(OR(W607="positive",W607="equivocal"),OR(Y607="positive",Y607="equivocal")),"a",IF(OR(Y607="positive",Y607="equivocal"),"b",IF(OR(W607="positive",W607="equivocal"),"c","d"))))</x:f>
        <x:v>d</x:v>
      </x:c>
      <x:c r="AF607" s="12" t="str">
        <x:f>IF(OR(W607="unavailable",Y607="unavailable"),"不可评价",IF(AND(W607="positive",Y607="positive"),"a",IF(Y607="positive","b",IF(W607="positive","c","d"))))</x:f>
        <x:v>d</x:v>
      </x:c>
    </x:row>
    <x:row r="608" ht="24" customHeight="1">
      <x:c r="A608" s="12" t="str">
        <x:v>4836</x:v>
      </x:c>
      <x:c r="B608" s="12" t="str">
        <x:v>10399</x:v>
      </x:c>
      <x:c r="C608" s="21" t="n">
        <x:v>33109.43609953704</x:v>
      </x:c>
      <x:c r="D608" s="12" t="n">
        <x:v>56</x:v>
      </x:c>
      <x:c r="E608" s="12" t="n">
        <x:v>0</x:v>
      </x:c>
      <x:c r="F608" s="12" t="str">
        <x:v>存在</x:v>
      </x:c>
      <x:c r="G608" s="12" t="n">
        <x:v>1</x:v>
      </x:c>
      <x:c r="H608" s="12" t="str">
        <x:v>{'NORM': 100.0, 'SR': 0.0}</x:v>
      </x:c>
      <x:c r="I608" s="12" t="str">
        <x:v>[('NSR', 100.0), ('NML', 100.0)]</x:v>
      </x:c>
      <x:c r="J608" s="12" t="str">
        <x:v>ptbxl_database.csv；ecg_id=4836；scp_codes</x:v>
      </x:c>
      <x:c r="K608" s="12" t="str">
        <x:v>12sl_statements.csv；ecg_id=4836；statements_ext_snomed</x:v>
      </x:c>
      <x:c r="L608" s="12"/>
      <x:c r="M608" s="12" t="str">
        <x:v>negative</x:v>
      </x:c>
      <x:c r="N608" s="12"/>
      <x:c r="O608" s="12" t="str">
        <x:v>negative</x:v>
      </x:c>
      <x:c r="P608" s="12" t="str">
        <x:f>IF(OR(M608="unavailable",O608="unavailable"),"不可评价",IF(OR(M608="equivocal",O608="equivocal"),"疑似",IF(AND(M608="positive",O608="positive"),"a",IF(O608="positive","b",IF(M608="positive","c","d")))))</x:f>
        <x:v>d</x:v>
      </x:c>
      <x:c r="Q608" s="12"/>
      <x:c r="R608" s="12" t="str">
        <x:v>negative</x:v>
      </x:c>
      <x:c r="S608" s="12"/>
      <x:c r="T608" s="12" t="str">
        <x:v>negative</x:v>
      </x:c>
      <x:c r="U608" s="12" t="str">
        <x:f>IF(OR(R608="unavailable",T608="unavailable"),"不可评价",IF(OR(R608="equivocal",T608="equivocal"),"疑似",IF(AND(R608="positive",T608="positive"),"a",IF(T608="positive","b",IF(R608="positive","c","d")))))</x:f>
        <x:v>d</x:v>
      </x:c>
      <x:c r="V608" s="12"/>
      <x:c r="W608" s="12" t="str">
        <x:v>negative</x:v>
      </x:c>
      <x:c r="X608" s="12"/>
      <x:c r="Y608" s="12" t="str">
        <x:v>negative</x:v>
      </x:c>
      <x:c r="Z608" s="12" t="str">
        <x:f>IF(OR(W608="unavailable",Y608="unavailable"),"不可评价",IF(OR(W608="equivocal",Y608="equivocal"),"疑似",IF(AND(W608="positive",Y608="positive"),"a",IF(Y608="positive","b",IF(W608="positive","c","d")))))</x:f>
        <x:v>d</x:v>
      </x:c>
      <x:c r="AA608" s="12" t="str">
        <x:f>IF(OR(M608="unavailable",O608="unavailable"),"不可评价",IF(AND(OR(M608="positive",M608="equivocal"),OR(O608="positive",O608="equivocal")),"a",IF(OR(O608="positive",O608="equivocal"),"b",IF(OR(M608="positive",M608="equivocal"),"c","d"))))</x:f>
        <x:v>d</x:v>
      </x:c>
      <x:c r="AB608" s="12" t="str">
        <x:f>IF(OR(M608="unavailable",O608="unavailable"),"不可评价",IF(AND(M608="positive",O608="positive"),"a",IF(O608="positive","b",IF(M608="positive","c","d"))))</x:f>
        <x:v>d</x:v>
      </x:c>
      <x:c r="AC608" s="12" t="str">
        <x:f>IF(OR(R608="unavailable",T608="unavailable"),"不可评价",IF(AND(OR(R608="positive",R608="equivocal"),OR(T608="positive",T608="equivocal")),"a",IF(OR(T608="positive",T608="equivocal"),"b",IF(OR(R608="positive",R608="equivocal"),"c","d"))))</x:f>
        <x:v>d</x:v>
      </x:c>
      <x:c r="AD608" s="12" t="str">
        <x:f>IF(OR(R608="unavailable",T608="unavailable"),"不可评价",IF(AND(R608="positive",T608="positive"),"a",IF(T608="positive","b",IF(R608="positive","c","d"))))</x:f>
        <x:v>d</x:v>
      </x:c>
      <x:c r="AE608" s="12" t="str">
        <x:f>IF(OR(W608="unavailable",Y608="unavailable"),"不可评价",IF(AND(OR(W608="positive",W608="equivocal"),OR(Y608="positive",Y608="equivocal")),"a",IF(OR(Y608="positive",Y608="equivocal"),"b",IF(OR(W608="positive",W608="equivocal"),"c","d"))))</x:f>
        <x:v>d</x:v>
      </x:c>
      <x:c r="AF608" s="12" t="str">
        <x:f>IF(OR(W608="unavailable",Y608="unavailable"),"不可评价",IF(AND(W608="positive",Y608="positive"),"a",IF(Y608="positive","b",IF(W608="positive","c","d"))))</x:f>
        <x:v>d</x:v>
      </x:c>
    </x:row>
    <x:row r="609" ht="24" customHeight="1">
      <x:c r="A609" s="12" t="str">
        <x:v>4866</x:v>
      </x:c>
      <x:c r="B609" s="12" t="str">
        <x:v>20895</x:v>
      </x:c>
      <x:c r="C609" s="21" t="n">
        <x:v>33116.50239583333</x:v>
      </x:c>
      <x:c r="D609" s="12" t="n">
        <x:v>74</x:v>
      </x:c>
      <x:c r="E609" s="12" t="n">
        <x:v>1</x:v>
      </x:c>
      <x:c r="F609" s="12" t="str">
        <x:v>未记录</x:v>
      </x:c>
      <x:c r="G609" s="12" t="n">
        <x:v>1</x:v>
      </x:c>
      <x:c r="H609" s="12" t="str">
        <x:v>{'IMI': 15.0, 'SARRH': 0.0}</x:v>
      </x:c>
      <x:c r="I609" s="12" t="str">
        <x:v>[('SRTH', 100.0), ('MSAR', 100.0), ('NST', 100.0), ('AB', 100.0)]</x:v>
      </x:c>
      <x:c r="J609" s="12" t="str">
        <x:v>ptbxl_database.csv；ecg_id=4866；scp_codes</x:v>
      </x:c>
      <x:c r="K609" s="12" t="str">
        <x:v>12sl_statements.csv；ecg_id=4866；statements_ext_snomed</x:v>
      </x:c>
      <x:c r="L609" s="12"/>
      <x:c r="M609" s="12" t="str">
        <x:v>negative</x:v>
      </x:c>
      <x:c r="N609" s="12"/>
      <x:c r="O609" s="12" t="str">
        <x:v>negative</x:v>
      </x:c>
      <x:c r="P609" s="12" t="str">
        <x:f>IF(OR(M609="unavailable",O609="unavailable"),"不可评价",IF(OR(M609="equivocal",O609="equivocal"),"疑似",IF(AND(M609="positive",O609="positive"),"a",IF(O609="positive","b",IF(M609="positive","c","d")))))</x:f>
        <x:v>d</x:v>
      </x:c>
      <x:c r="Q609" s="12"/>
      <x:c r="R609" s="12" t="str">
        <x:v>negative</x:v>
      </x:c>
      <x:c r="S609" s="12"/>
      <x:c r="T609" s="12" t="str">
        <x:v>negative</x:v>
      </x:c>
      <x:c r="U609" s="12" t="str">
        <x:f>IF(OR(R609="unavailable",T609="unavailable"),"不可评价",IF(OR(R609="equivocal",T609="equivocal"),"疑似",IF(AND(R609="positive",T609="positive"),"a",IF(T609="positive","b",IF(R609="positive","c","d")))))</x:f>
        <x:v>d</x:v>
      </x:c>
      <x:c r="V609" s="12"/>
      <x:c r="W609" s="12" t="str">
        <x:v>negative</x:v>
      </x:c>
      <x:c r="X609" s="12"/>
      <x:c r="Y609" s="12" t="str">
        <x:v>negative</x:v>
      </x:c>
      <x:c r="Z609" s="12" t="str">
        <x:f>IF(OR(W609="unavailable",Y609="unavailable"),"不可评价",IF(OR(W609="equivocal",Y609="equivocal"),"疑似",IF(AND(W609="positive",Y609="positive"),"a",IF(Y609="positive","b",IF(W609="positive","c","d")))))</x:f>
        <x:v>d</x:v>
      </x:c>
      <x:c r="AA609" s="12" t="str">
        <x:f>IF(OR(M609="unavailable",O609="unavailable"),"不可评价",IF(AND(OR(M609="positive",M609="equivocal"),OR(O609="positive",O609="equivocal")),"a",IF(OR(O609="positive",O609="equivocal"),"b",IF(OR(M609="positive",M609="equivocal"),"c","d"))))</x:f>
        <x:v>d</x:v>
      </x:c>
      <x:c r="AB609" s="12" t="str">
        <x:f>IF(OR(M609="unavailable",O609="unavailable"),"不可评价",IF(AND(M609="positive",O609="positive"),"a",IF(O609="positive","b",IF(M609="positive","c","d"))))</x:f>
        <x:v>d</x:v>
      </x:c>
      <x:c r="AC609" s="12" t="str">
        <x:f>IF(OR(R609="unavailable",T609="unavailable"),"不可评价",IF(AND(OR(R609="positive",R609="equivocal"),OR(T609="positive",T609="equivocal")),"a",IF(OR(T609="positive",T609="equivocal"),"b",IF(OR(R609="positive",R609="equivocal"),"c","d"))))</x:f>
        <x:v>d</x:v>
      </x:c>
      <x:c r="AD609" s="12" t="str">
        <x:f>IF(OR(R609="unavailable",T609="unavailable"),"不可评价",IF(AND(R609="positive",T609="positive"),"a",IF(T609="positive","b",IF(R609="positive","c","d"))))</x:f>
        <x:v>d</x:v>
      </x:c>
      <x:c r="AE609" s="12" t="str">
        <x:f>IF(OR(W609="unavailable",Y609="unavailable"),"不可评价",IF(AND(OR(W609="positive",W609="equivocal"),OR(Y609="positive",Y609="equivocal")),"a",IF(OR(Y609="positive",Y609="equivocal"),"b",IF(OR(W609="positive",W609="equivocal"),"c","d"))))</x:f>
        <x:v>d</x:v>
      </x:c>
      <x:c r="AF609" s="12" t="str">
        <x:f>IF(OR(W609="unavailable",Y609="unavailable"),"不可评价",IF(AND(W609="positive",Y609="positive"),"a",IF(Y609="positive","b",IF(W609="positive","c","d"))))</x:f>
        <x:v>d</x:v>
      </x:c>
    </x:row>
    <x:row r="610" ht="24" customHeight="1">
      <x:c r="A610" s="12" t="str">
        <x:v>4873</x:v>
      </x:c>
      <x:c r="B610" s="12" t="str">
        <x:v>9553</x:v>
      </x:c>
      <x:c r="C610" s="21" t="n">
        <x:v>33118.35607638889</x:v>
      </x:c>
      <x:c r="D610" s="12" t="n">
        <x:v>52</x:v>
      </x:c>
      <x:c r="E610" s="12" t="n">
        <x:v>0</x:v>
      </x:c>
      <x:c r="F610" s="12" t="str">
        <x:v>存在</x:v>
      </x:c>
      <x:c r="G610" s="12" t="n">
        <x:v>1</x:v>
      </x:c>
      <x:c r="H610" s="12" t="str">
        <x:v>{'NORM': 100.0, 'SR': 0.0}</x:v>
      </x:c>
      <x:c r="I610" s="12" t="str">
        <x:v>[('NSR', 100.0), ('RAD', 100.0), ('LNGQT', 100.0), ('AB', 100.0)]</x:v>
      </x:c>
      <x:c r="J610" s="12" t="str">
        <x:v>ptbxl_database.csv；ecg_id=4873；scp_codes</x:v>
      </x:c>
      <x:c r="K610" s="12" t="str">
        <x:v>12sl_statements.csv；ecg_id=4873；statements_ext_snomed</x:v>
      </x:c>
      <x:c r="L610" s="12"/>
      <x:c r="M610" s="12" t="str">
        <x:v>negative</x:v>
      </x:c>
      <x:c r="N610" s="12"/>
      <x:c r="O610" s="12" t="str">
        <x:v>negative</x:v>
      </x:c>
      <x:c r="P610" s="12" t="str">
        <x:f>IF(OR(M610="unavailable",O610="unavailable"),"不可评价",IF(OR(M610="equivocal",O610="equivocal"),"疑似",IF(AND(M610="positive",O610="positive"),"a",IF(O610="positive","b",IF(M610="positive","c","d")))))</x:f>
        <x:v>d</x:v>
      </x:c>
      <x:c r="Q610" s="12"/>
      <x:c r="R610" s="12" t="str">
        <x:v>negative</x:v>
      </x:c>
      <x:c r="S610" s="12"/>
      <x:c r="T610" s="12" t="str">
        <x:v>negative</x:v>
      </x:c>
      <x:c r="U610" s="12" t="str">
        <x:f>IF(OR(R610="unavailable",T610="unavailable"),"不可评价",IF(OR(R610="equivocal",T610="equivocal"),"疑似",IF(AND(R610="positive",T610="positive"),"a",IF(T610="positive","b",IF(R610="positive","c","d")))))</x:f>
        <x:v>d</x:v>
      </x:c>
      <x:c r="V610" s="12"/>
      <x:c r="W610" s="12" t="str">
        <x:v>negative</x:v>
      </x:c>
      <x:c r="X610" s="12"/>
      <x:c r="Y610" s="12" t="str">
        <x:v>negative</x:v>
      </x:c>
      <x:c r="Z610" s="12" t="str">
        <x:f>IF(OR(W610="unavailable",Y610="unavailable"),"不可评价",IF(OR(W610="equivocal",Y610="equivocal"),"疑似",IF(AND(W610="positive",Y610="positive"),"a",IF(Y610="positive","b",IF(W610="positive","c","d")))))</x:f>
        <x:v>d</x:v>
      </x:c>
      <x:c r="AA610" s="12" t="str">
        <x:f>IF(OR(M610="unavailable",O610="unavailable"),"不可评价",IF(AND(OR(M610="positive",M610="equivocal"),OR(O610="positive",O610="equivocal")),"a",IF(OR(O610="positive",O610="equivocal"),"b",IF(OR(M610="positive",M610="equivocal"),"c","d"))))</x:f>
        <x:v>d</x:v>
      </x:c>
      <x:c r="AB610" s="12" t="str">
        <x:f>IF(OR(M610="unavailable",O610="unavailable"),"不可评价",IF(AND(M610="positive",O610="positive"),"a",IF(O610="positive","b",IF(M610="positive","c","d"))))</x:f>
        <x:v>d</x:v>
      </x:c>
      <x:c r="AC610" s="12" t="str">
        <x:f>IF(OR(R610="unavailable",T610="unavailable"),"不可评价",IF(AND(OR(R610="positive",R610="equivocal"),OR(T610="positive",T610="equivocal")),"a",IF(OR(T610="positive",T610="equivocal"),"b",IF(OR(R610="positive",R610="equivocal"),"c","d"))))</x:f>
        <x:v>d</x:v>
      </x:c>
      <x:c r="AD610" s="12" t="str">
        <x:f>IF(OR(R610="unavailable",T610="unavailable"),"不可评价",IF(AND(R610="positive",T610="positive"),"a",IF(T610="positive","b",IF(R610="positive","c","d"))))</x:f>
        <x:v>d</x:v>
      </x:c>
      <x:c r="AE610" s="12" t="str">
        <x:f>IF(OR(W610="unavailable",Y610="unavailable"),"不可评价",IF(AND(OR(W610="positive",W610="equivocal"),OR(Y610="positive",Y610="equivocal")),"a",IF(OR(Y610="positive",Y610="equivocal"),"b",IF(OR(W610="positive",W610="equivocal"),"c","d"))))</x:f>
        <x:v>d</x:v>
      </x:c>
      <x:c r="AF610" s="12" t="str">
        <x:f>IF(OR(W610="unavailable",Y610="unavailable"),"不可评价",IF(AND(W610="positive",Y610="positive"),"a",IF(Y610="positive","b",IF(W610="positive","c","d"))))</x:f>
        <x:v>d</x:v>
      </x:c>
    </x:row>
    <x:row r="611" ht="24" customHeight="1">
      <x:c r="A611" s="12" t="str">
        <x:v>4880</x:v>
      </x:c>
      <x:c r="B611" s="12" t="str">
        <x:v>16127</x:v>
      </x:c>
      <x:c r="C611" s="21" t="n">
        <x:v>33120.36806712963</x:v>
      </x:c>
      <x:c r="D611" s="12" t="n">
        <x:v>57</x:v>
      </x:c>
      <x:c r="E611" s="12" t="n">
        <x:v>0</x:v>
      </x:c>
      <x:c r="F611" s="12" t="str">
        <x:v>存在</x:v>
      </x:c>
      <x:c r="G611" s="12" t="n">
        <x:v>1</x:v>
      </x:c>
      <x:c r="H611" s="12" t="str">
        <x:v>{'NORM': 80.0, 'SR': 0.0}</x:v>
      </x:c>
      <x:c r="I611" s="12" t="str">
        <x:v>[('NSR', 100.0), ('NML', 100.0)]</x:v>
      </x:c>
      <x:c r="J611" s="12" t="str">
        <x:v>ptbxl_database.csv；ecg_id=4880；scp_codes</x:v>
      </x:c>
      <x:c r="K611" s="12" t="str">
        <x:v>12sl_statements.csv；ecg_id=4880；statements_ext_snomed</x:v>
      </x:c>
      <x:c r="L611" s="12"/>
      <x:c r="M611" s="12" t="str">
        <x:v>negative</x:v>
      </x:c>
      <x:c r="N611" s="12"/>
      <x:c r="O611" s="12" t="str">
        <x:v>negative</x:v>
      </x:c>
      <x:c r="P611" s="12" t="str">
        <x:f>IF(OR(M611="unavailable",O611="unavailable"),"不可评价",IF(OR(M611="equivocal",O611="equivocal"),"疑似",IF(AND(M611="positive",O611="positive"),"a",IF(O611="positive","b",IF(M611="positive","c","d")))))</x:f>
        <x:v>d</x:v>
      </x:c>
      <x:c r="Q611" s="12"/>
      <x:c r="R611" s="12" t="str">
        <x:v>negative</x:v>
      </x:c>
      <x:c r="S611" s="12"/>
      <x:c r="T611" s="12" t="str">
        <x:v>negative</x:v>
      </x:c>
      <x:c r="U611" s="12" t="str">
        <x:f>IF(OR(R611="unavailable",T611="unavailable"),"不可评价",IF(OR(R611="equivocal",T611="equivocal"),"疑似",IF(AND(R611="positive",T611="positive"),"a",IF(T611="positive","b",IF(R611="positive","c","d")))))</x:f>
        <x:v>d</x:v>
      </x:c>
      <x:c r="V611" s="12"/>
      <x:c r="W611" s="12" t="str">
        <x:v>negative</x:v>
      </x:c>
      <x:c r="X611" s="12"/>
      <x:c r="Y611" s="12" t="str">
        <x:v>negative</x:v>
      </x:c>
      <x:c r="Z611" s="12" t="str">
        <x:f>IF(OR(W611="unavailable",Y611="unavailable"),"不可评价",IF(OR(W611="equivocal",Y611="equivocal"),"疑似",IF(AND(W611="positive",Y611="positive"),"a",IF(Y611="positive","b",IF(W611="positive","c","d")))))</x:f>
        <x:v>d</x:v>
      </x:c>
      <x:c r="AA611" s="12" t="str">
        <x:f>IF(OR(M611="unavailable",O611="unavailable"),"不可评价",IF(AND(OR(M611="positive",M611="equivocal"),OR(O611="positive",O611="equivocal")),"a",IF(OR(O611="positive",O611="equivocal"),"b",IF(OR(M611="positive",M611="equivocal"),"c","d"))))</x:f>
        <x:v>d</x:v>
      </x:c>
      <x:c r="AB611" s="12" t="str">
        <x:f>IF(OR(M611="unavailable",O611="unavailable"),"不可评价",IF(AND(M611="positive",O611="positive"),"a",IF(O611="positive","b",IF(M611="positive","c","d"))))</x:f>
        <x:v>d</x:v>
      </x:c>
      <x:c r="AC611" s="12" t="str">
        <x:f>IF(OR(R611="unavailable",T611="unavailable"),"不可评价",IF(AND(OR(R611="positive",R611="equivocal"),OR(T611="positive",T611="equivocal")),"a",IF(OR(T611="positive",T611="equivocal"),"b",IF(OR(R611="positive",R611="equivocal"),"c","d"))))</x:f>
        <x:v>d</x:v>
      </x:c>
      <x:c r="AD611" s="12" t="str">
        <x:f>IF(OR(R611="unavailable",T611="unavailable"),"不可评价",IF(AND(R611="positive",T611="positive"),"a",IF(T611="positive","b",IF(R611="positive","c","d"))))</x:f>
        <x:v>d</x:v>
      </x:c>
      <x:c r="AE611" s="12" t="str">
        <x:f>IF(OR(W611="unavailable",Y611="unavailable"),"不可评价",IF(AND(OR(W611="positive",W611="equivocal"),OR(Y611="positive",Y611="equivocal")),"a",IF(OR(Y611="positive",Y611="equivocal"),"b",IF(OR(W611="positive",W611="equivocal"),"c","d"))))</x:f>
        <x:v>d</x:v>
      </x:c>
      <x:c r="AF611" s="12" t="str">
        <x:f>IF(OR(W611="unavailable",Y611="unavailable"),"不可评价",IF(AND(W611="positive",Y611="positive"),"a",IF(Y611="positive","b",IF(W611="positive","c","d"))))</x:f>
        <x:v>d</x:v>
      </x:c>
    </x:row>
    <x:row r="612" ht="24" customHeight="1">
      <x:c r="A612" s="12" t="str">
        <x:v>4893</x:v>
      </x:c>
      <x:c r="B612" s="12" t="str">
        <x:v>5052</x:v>
      </x:c>
      <x:c r="C612" s="21" t="n">
        <x:v>33121.59354166667</x:v>
      </x:c>
      <x:c r="D612" s="12" t="n">
        <x:v>55</x:v>
      </x:c>
      <x:c r="E612" s="12" t="n">
        <x:v>0</x:v>
      </x:c>
      <x:c r="F612" s="12" t="str">
        <x:v>未记录</x:v>
      </x:c>
      <x:c r="G612" s="12" t="n">
        <x:v>1</x:v>
      </x:c>
      <x:c r="H612" s="12" t="str">
        <x:v>{'CLBBB': 100.0, 'STACH': 0.0}</x:v>
      </x:c>
      <x:c r="I612" s="12" t="str">
        <x:v>[('STACH', 100.0), ('LAD3', 100.0), ('LBBB', 100.0), ('AB', 100.0)]</x:v>
      </x:c>
      <x:c r="J612" s="12" t="str">
        <x:v>ptbxl_database.csv；ecg_id=4893；scp_codes</x:v>
      </x:c>
      <x:c r="K612" s="12" t="str">
        <x:v>12sl_statements.csv；ecg_id=4893；statements_ext_snomed</x:v>
      </x:c>
      <x:c r="L612" s="12"/>
      <x:c r="M612" s="12" t="str">
        <x:v>negative</x:v>
      </x:c>
      <x:c r="N612" s="12"/>
      <x:c r="O612" s="12" t="str">
        <x:v>negative</x:v>
      </x:c>
      <x:c r="P612" s="12" t="str">
        <x:f>IF(OR(M612="unavailable",O612="unavailable"),"不可评价",IF(OR(M612="equivocal",O612="equivocal"),"疑似",IF(AND(M612="positive",O612="positive"),"a",IF(O612="positive","b",IF(M612="positive","c","d")))))</x:f>
        <x:v>d</x:v>
      </x:c>
      <x:c r="Q612" s="12" t="n">
        <x:v>100</x:v>
      </x:c>
      <x:c r="R612" s="12" t="str">
        <x:v>positive</x:v>
      </x:c>
      <x:c r="S612" s="12" t="n">
        <x:v>100</x:v>
      </x:c>
      <x:c r="T612" s="12" t="str">
        <x:v>positive</x:v>
      </x:c>
      <x:c r="U612" s="12" t="str">
        <x:f>IF(OR(R612="unavailable",T612="unavailable"),"不可评价",IF(OR(R612="equivocal",T612="equivocal"),"疑似",IF(AND(R612="positive",T612="positive"),"a",IF(T612="positive","b",IF(R612="positive","c","d")))))</x:f>
        <x:v>a</x:v>
      </x:c>
      <x:c r="V612" s="12"/>
      <x:c r="W612" s="12" t="str">
        <x:v>negative</x:v>
      </x:c>
      <x:c r="X612" s="12"/>
      <x:c r="Y612" s="12" t="str">
        <x:v>negative</x:v>
      </x:c>
      <x:c r="Z612" s="12" t="str">
        <x:f>IF(OR(W612="unavailable",Y612="unavailable"),"不可评价",IF(OR(W612="equivocal",Y612="equivocal"),"疑似",IF(AND(W612="positive",Y612="positive"),"a",IF(Y612="positive","b",IF(W612="positive","c","d")))))</x:f>
        <x:v>d</x:v>
      </x:c>
      <x:c r="AA612" s="12" t="str">
        <x:f>IF(OR(M612="unavailable",O612="unavailable"),"不可评价",IF(AND(OR(M612="positive",M612="equivocal"),OR(O612="positive",O612="equivocal")),"a",IF(OR(O612="positive",O612="equivocal"),"b",IF(OR(M612="positive",M612="equivocal"),"c","d"))))</x:f>
        <x:v>d</x:v>
      </x:c>
      <x:c r="AB612" s="12" t="str">
        <x:f>IF(OR(M612="unavailable",O612="unavailable"),"不可评价",IF(AND(M612="positive",O612="positive"),"a",IF(O612="positive","b",IF(M612="positive","c","d"))))</x:f>
        <x:v>d</x:v>
      </x:c>
      <x:c r="AC612" s="12" t="str">
        <x:f>IF(OR(R612="unavailable",T612="unavailable"),"不可评价",IF(AND(OR(R612="positive",R612="equivocal"),OR(T612="positive",T612="equivocal")),"a",IF(OR(T612="positive",T612="equivocal"),"b",IF(OR(R612="positive",R612="equivocal"),"c","d"))))</x:f>
        <x:v>a</x:v>
      </x:c>
      <x:c r="AD612" s="12" t="str">
        <x:f>IF(OR(R612="unavailable",T612="unavailable"),"不可评价",IF(AND(R612="positive",T612="positive"),"a",IF(T612="positive","b",IF(R612="positive","c","d"))))</x:f>
        <x:v>a</x:v>
      </x:c>
      <x:c r="AE612" s="12" t="str">
        <x:f>IF(OR(W612="unavailable",Y612="unavailable"),"不可评价",IF(AND(OR(W612="positive",W612="equivocal"),OR(Y612="positive",Y612="equivocal")),"a",IF(OR(Y612="positive",Y612="equivocal"),"b",IF(OR(W612="positive",W612="equivocal"),"c","d"))))</x:f>
        <x:v>d</x:v>
      </x:c>
      <x:c r="AF612" s="12" t="str">
        <x:f>IF(OR(W612="unavailable",Y612="unavailable"),"不可评价",IF(AND(W612="positive",Y612="positive"),"a",IF(Y612="positive","b",IF(W612="positive","c","d"))))</x:f>
        <x:v>d</x:v>
      </x:c>
    </x:row>
    <x:row r="613" ht="24" customHeight="1">
      <x:c r="A613" s="12" t="str">
        <x:v>4900</x:v>
      </x:c>
      <x:c r="B613" s="12" t="str">
        <x:v>5470</x:v>
      </x:c>
      <x:c r="C613" s="21" t="n">
        <x:v>33122.39672453704</x:v>
      </x:c>
      <x:c r="D613" s="12" t="n">
        <x:v>67</x:v>
      </x:c>
      <x:c r="E613" s="12" t="n">
        <x:v>1</x:v>
      </x:c>
      <x:c r="F613" s="12" t="str">
        <x:v>未记录</x:v>
      </x:c>
      <x:c r="G613" s="12" t="n">
        <x:v>1</x:v>
      </x:c>
      <x:c r="H613" s="12" t="str">
        <x:v>{'NORM': 100.0, 'SR': 0.0}</x:v>
      </x:c>
      <x:c r="I613" s="12" t="str">
        <x:v>[('NSR', 100.0), ('NML', 100.0)]</x:v>
      </x:c>
      <x:c r="J613" s="12" t="str">
        <x:v>ptbxl_database.csv；ecg_id=4900；scp_codes</x:v>
      </x:c>
      <x:c r="K613" s="12" t="str">
        <x:v>12sl_statements.csv；ecg_id=4900；statements_ext_snomed</x:v>
      </x:c>
      <x:c r="L613" s="12"/>
      <x:c r="M613" s="12" t="str">
        <x:v>negative</x:v>
      </x:c>
      <x:c r="N613" s="12"/>
      <x:c r="O613" s="12" t="str">
        <x:v>negative</x:v>
      </x:c>
      <x:c r="P613" s="12" t="str">
        <x:f>IF(OR(M613="unavailable",O613="unavailable"),"不可评价",IF(OR(M613="equivocal",O613="equivocal"),"疑似",IF(AND(M613="positive",O613="positive"),"a",IF(O613="positive","b",IF(M613="positive","c","d")))))</x:f>
        <x:v>d</x:v>
      </x:c>
      <x:c r="Q613" s="12"/>
      <x:c r="R613" s="12" t="str">
        <x:v>negative</x:v>
      </x:c>
      <x:c r="S613" s="12"/>
      <x:c r="T613" s="12" t="str">
        <x:v>negative</x:v>
      </x:c>
      <x:c r="U613" s="12" t="str">
        <x:f>IF(OR(R613="unavailable",T613="unavailable"),"不可评价",IF(OR(R613="equivocal",T613="equivocal"),"疑似",IF(AND(R613="positive",T613="positive"),"a",IF(T613="positive","b",IF(R613="positive","c","d")))))</x:f>
        <x:v>d</x:v>
      </x:c>
      <x:c r="V613" s="12"/>
      <x:c r="W613" s="12" t="str">
        <x:v>negative</x:v>
      </x:c>
      <x:c r="X613" s="12"/>
      <x:c r="Y613" s="12" t="str">
        <x:v>negative</x:v>
      </x:c>
      <x:c r="Z613" s="12" t="str">
        <x:f>IF(OR(W613="unavailable",Y613="unavailable"),"不可评价",IF(OR(W613="equivocal",Y613="equivocal"),"疑似",IF(AND(W613="positive",Y613="positive"),"a",IF(Y613="positive","b",IF(W613="positive","c","d")))))</x:f>
        <x:v>d</x:v>
      </x:c>
      <x:c r="AA613" s="12" t="str">
        <x:f>IF(OR(M613="unavailable",O613="unavailable"),"不可评价",IF(AND(OR(M613="positive",M613="equivocal"),OR(O613="positive",O613="equivocal")),"a",IF(OR(O613="positive",O613="equivocal"),"b",IF(OR(M613="positive",M613="equivocal"),"c","d"))))</x:f>
        <x:v>d</x:v>
      </x:c>
      <x:c r="AB613" s="12" t="str">
        <x:f>IF(OR(M613="unavailable",O613="unavailable"),"不可评价",IF(AND(M613="positive",O613="positive"),"a",IF(O613="positive","b",IF(M613="positive","c","d"))))</x:f>
        <x:v>d</x:v>
      </x:c>
      <x:c r="AC613" s="12" t="str">
        <x:f>IF(OR(R613="unavailable",T613="unavailable"),"不可评价",IF(AND(OR(R613="positive",R613="equivocal"),OR(T613="positive",T613="equivocal")),"a",IF(OR(T613="positive",T613="equivocal"),"b",IF(OR(R613="positive",R613="equivocal"),"c","d"))))</x:f>
        <x:v>d</x:v>
      </x:c>
      <x:c r="AD613" s="12" t="str">
        <x:f>IF(OR(R613="unavailable",T613="unavailable"),"不可评价",IF(AND(R613="positive",T613="positive"),"a",IF(T613="positive","b",IF(R613="positive","c","d"))))</x:f>
        <x:v>d</x:v>
      </x:c>
      <x:c r="AE613" s="12" t="str">
        <x:f>IF(OR(W613="unavailable",Y613="unavailable"),"不可评价",IF(AND(OR(W613="positive",W613="equivocal"),OR(Y613="positive",Y613="equivocal")),"a",IF(OR(Y613="positive",Y613="equivocal"),"b",IF(OR(W613="positive",W613="equivocal"),"c","d"))))</x:f>
        <x:v>d</x:v>
      </x:c>
      <x:c r="AF613" s="12" t="str">
        <x:f>IF(OR(W613="unavailable",Y613="unavailable"),"不可评价",IF(AND(W613="positive",Y613="positive"),"a",IF(Y613="positive","b",IF(W613="positive","c","d"))))</x:f>
        <x:v>d</x:v>
      </x:c>
    </x:row>
    <x:row r="614" ht="24" customHeight="1">
      <x:c r="A614" s="12" t="str">
        <x:v>4922</x:v>
      </x:c>
      <x:c r="B614" s="12" t="str">
        <x:v>8287</x:v>
      </x:c>
      <x:c r="C614" s="21" t="n">
        <x:v>33124.584085648145</x:v>
      </x:c>
      <x:c r="D614" s="12" t="n">
        <x:v>71</x:v>
      </x:c>
      <x:c r="E614" s="12" t="n">
        <x:v>1</x:v>
      </x:c>
      <x:c r="F614" s="12" t="str">
        <x:v>存在</x:v>
      </x:c>
      <x:c r="G614" s="12" t="n">
        <x:v>0</x:v>
      </x:c>
      <x:c r="H614" s="12" t="str">
        <x:v>{'PACE': 100.0}</x:v>
      </x:c>
      <x:c r="I614" s="12" t="str">
        <x:v>[('ASVPR', 100.0), ('AB', 100.0)]</x:v>
      </x:c>
      <x:c r="J614" s="12" t="str">
        <x:v>ptbxl_database.csv；ecg_id=4922；scp_codes</x:v>
      </x:c>
      <x:c r="K614" s="12" t="str">
        <x:v>12sl_statements.csv；ecg_id=4922；statements_ext_snomed</x:v>
      </x:c>
      <x:c r="L614" s="12"/>
      <x:c r="M614" s="12" t="str">
        <x:v>negative</x:v>
      </x:c>
      <x:c r="N614" s="12"/>
      <x:c r="O614" s="12" t="str">
        <x:v>negative</x:v>
      </x:c>
      <x:c r="P614" s="12" t="str">
        <x:f>IF(OR(M614="unavailable",O614="unavailable"),"不可评价",IF(OR(M614="equivocal",O614="equivocal"),"疑似",IF(AND(M614="positive",O614="positive"),"a",IF(O614="positive","b",IF(M614="positive","c","d")))))</x:f>
        <x:v>d</x:v>
      </x:c>
      <x:c r="Q614" s="12"/>
      <x:c r="R614" s="12" t="str">
        <x:v>negative</x:v>
      </x:c>
      <x:c r="S614" s="12"/>
      <x:c r="T614" s="12" t="str">
        <x:v>negative</x:v>
      </x:c>
      <x:c r="U614" s="12" t="str">
        <x:f>IF(OR(R614="unavailable",T614="unavailable"),"不可评价",IF(OR(R614="equivocal",T614="equivocal"),"疑似",IF(AND(R614="positive",T614="positive"),"a",IF(T614="positive","b",IF(R614="positive","c","d")))))</x:f>
        <x:v>d</x:v>
      </x:c>
      <x:c r="V614" s="12"/>
      <x:c r="W614" s="12" t="str">
        <x:v>negative</x:v>
      </x:c>
      <x:c r="X614" s="12"/>
      <x:c r="Y614" s="12" t="str">
        <x:v>negative</x:v>
      </x:c>
      <x:c r="Z614" s="12" t="str">
        <x:f>IF(OR(W614="unavailable",Y614="unavailable"),"不可评价",IF(OR(W614="equivocal",Y614="equivocal"),"疑似",IF(AND(W614="positive",Y614="positive"),"a",IF(Y614="positive","b",IF(W614="positive","c","d")))))</x:f>
        <x:v>d</x:v>
      </x:c>
      <x:c r="AA614" s="12" t="str">
        <x:f>IF(OR(M614="unavailable",O614="unavailable"),"不可评价",IF(AND(OR(M614="positive",M614="equivocal"),OR(O614="positive",O614="equivocal")),"a",IF(OR(O614="positive",O614="equivocal"),"b",IF(OR(M614="positive",M614="equivocal"),"c","d"))))</x:f>
        <x:v>d</x:v>
      </x:c>
      <x:c r="AB614" s="12" t="str">
        <x:f>IF(OR(M614="unavailable",O614="unavailable"),"不可评价",IF(AND(M614="positive",O614="positive"),"a",IF(O614="positive","b",IF(M614="positive","c","d"))))</x:f>
        <x:v>d</x:v>
      </x:c>
      <x:c r="AC614" s="12" t="str">
        <x:f>IF(OR(R614="unavailable",T614="unavailable"),"不可评价",IF(AND(OR(R614="positive",R614="equivocal"),OR(T614="positive",T614="equivocal")),"a",IF(OR(T614="positive",T614="equivocal"),"b",IF(OR(R614="positive",R614="equivocal"),"c","d"))))</x:f>
        <x:v>d</x:v>
      </x:c>
      <x:c r="AD614" s="12" t="str">
        <x:f>IF(OR(R614="unavailable",T614="unavailable"),"不可评价",IF(AND(R614="positive",T614="positive"),"a",IF(T614="positive","b",IF(R614="positive","c","d"))))</x:f>
        <x:v>d</x:v>
      </x:c>
      <x:c r="AE614" s="12" t="str">
        <x:f>IF(OR(W614="unavailable",Y614="unavailable"),"不可评价",IF(AND(OR(W614="positive",W614="equivocal"),OR(Y614="positive",Y614="equivocal")),"a",IF(OR(Y614="positive",Y614="equivocal"),"b",IF(OR(W614="positive",W614="equivocal"),"c","d"))))</x:f>
        <x:v>d</x:v>
      </x:c>
      <x:c r="AF614" s="12" t="str">
        <x:f>IF(OR(W614="unavailable",Y614="unavailable"),"不可评价",IF(AND(W614="positive",Y614="positive"),"a",IF(Y614="positive","b",IF(W614="positive","c","d"))))</x:f>
        <x:v>d</x:v>
      </x:c>
    </x:row>
    <x:row r="615" ht="24" customHeight="1">
      <x:c r="A615" s="12" t="str">
        <x:v>4926</x:v>
      </x:c>
      <x:c r="B615" s="12" t="str">
        <x:v>18168</x:v>
      </x:c>
      <x:c r="C615" s="21" t="n">
        <x:v>33125.33912037037</x:v>
      </x:c>
      <x:c r="D615" s="12" t="n">
        <x:v>74</x:v>
      </x:c>
      <x:c r="E615" s="12" t="n">
        <x:v>0</x:v>
      </x:c>
      <x:c r="F615" s="12" t="str">
        <x:v>未记录</x:v>
      </x:c>
      <x:c r="G615" s="12" t="n">
        <x:v>1</x:v>
      </x:c>
      <x:c r="H615" s="12" t="str">
        <x:v>{'NDT': 100.0, 'SR': 0.0}</x:v>
      </x:c>
      <x:c r="I615" s="12" t="str">
        <x:v>[('NSR', 100.0), ('NSTT', 100.0), ('AB', 100.0)]</x:v>
      </x:c>
      <x:c r="J615" s="12" t="str">
        <x:v>ptbxl_database.csv；ecg_id=4926；scp_codes</x:v>
      </x:c>
      <x:c r="K615" s="12" t="str">
        <x:v>12sl_statements.csv；ecg_id=4926；statements_ext_snomed</x:v>
      </x:c>
      <x:c r="L615" s="12"/>
      <x:c r="M615" s="12" t="str">
        <x:v>negative</x:v>
      </x:c>
      <x:c r="N615" s="12"/>
      <x:c r="O615" s="12" t="str">
        <x:v>negative</x:v>
      </x:c>
      <x:c r="P615" s="12" t="str">
        <x:f>IF(OR(M615="unavailable",O615="unavailable"),"不可评价",IF(OR(M615="equivocal",O615="equivocal"),"疑似",IF(AND(M615="positive",O615="positive"),"a",IF(O615="positive","b",IF(M615="positive","c","d")))))</x:f>
        <x:v>d</x:v>
      </x:c>
      <x:c r="Q615" s="12"/>
      <x:c r="R615" s="12" t="str">
        <x:v>negative</x:v>
      </x:c>
      <x:c r="S615" s="12"/>
      <x:c r="T615" s="12" t="str">
        <x:v>negative</x:v>
      </x:c>
      <x:c r="U615" s="12" t="str">
        <x:f>IF(OR(R615="unavailable",T615="unavailable"),"不可评价",IF(OR(R615="equivocal",T615="equivocal"),"疑似",IF(AND(R615="positive",T615="positive"),"a",IF(T615="positive","b",IF(R615="positive","c","d")))))</x:f>
        <x:v>d</x:v>
      </x:c>
      <x:c r="V615" s="12"/>
      <x:c r="W615" s="12" t="str">
        <x:v>negative</x:v>
      </x:c>
      <x:c r="X615" s="12"/>
      <x:c r="Y615" s="12" t="str">
        <x:v>negative</x:v>
      </x:c>
      <x:c r="Z615" s="12" t="str">
        <x:f>IF(OR(W615="unavailable",Y615="unavailable"),"不可评价",IF(OR(W615="equivocal",Y615="equivocal"),"疑似",IF(AND(W615="positive",Y615="positive"),"a",IF(Y615="positive","b",IF(W615="positive","c","d")))))</x:f>
        <x:v>d</x:v>
      </x:c>
      <x:c r="AA615" s="12" t="str">
        <x:f>IF(OR(M615="unavailable",O615="unavailable"),"不可评价",IF(AND(OR(M615="positive",M615="equivocal"),OR(O615="positive",O615="equivocal")),"a",IF(OR(O615="positive",O615="equivocal"),"b",IF(OR(M615="positive",M615="equivocal"),"c","d"))))</x:f>
        <x:v>d</x:v>
      </x:c>
      <x:c r="AB615" s="12" t="str">
        <x:f>IF(OR(M615="unavailable",O615="unavailable"),"不可评价",IF(AND(M615="positive",O615="positive"),"a",IF(O615="positive","b",IF(M615="positive","c","d"))))</x:f>
        <x:v>d</x:v>
      </x:c>
      <x:c r="AC615" s="12" t="str">
        <x:f>IF(OR(R615="unavailable",T615="unavailable"),"不可评价",IF(AND(OR(R615="positive",R615="equivocal"),OR(T615="positive",T615="equivocal")),"a",IF(OR(T615="positive",T615="equivocal"),"b",IF(OR(R615="positive",R615="equivocal"),"c","d"))))</x:f>
        <x:v>d</x:v>
      </x:c>
      <x:c r="AD615" s="12" t="str">
        <x:f>IF(OR(R615="unavailable",T615="unavailable"),"不可评价",IF(AND(R615="positive",T615="positive"),"a",IF(T615="positive","b",IF(R615="positive","c","d"))))</x:f>
        <x:v>d</x:v>
      </x:c>
      <x:c r="AE615" s="12" t="str">
        <x:f>IF(OR(W615="unavailable",Y615="unavailable"),"不可评价",IF(AND(OR(W615="positive",W615="equivocal"),OR(Y615="positive",Y615="equivocal")),"a",IF(OR(Y615="positive",Y615="equivocal"),"b",IF(OR(W615="positive",W615="equivocal"),"c","d"))))</x:f>
        <x:v>d</x:v>
      </x:c>
      <x:c r="AF615" s="12" t="str">
        <x:f>IF(OR(W615="unavailable",Y615="unavailable"),"不可评价",IF(AND(W615="positive",Y615="positive"),"a",IF(Y615="positive","b",IF(W615="positive","c","d"))))</x:f>
        <x:v>d</x:v>
      </x:c>
    </x:row>
    <x:row r="616" ht="24" customHeight="1">
      <x:c r="A616" s="12" t="str">
        <x:v>4945</x:v>
      </x:c>
      <x:c r="B616" s="12" t="str">
        <x:v>6695</x:v>
      </x:c>
      <x:c r="C616" s="21" t="n">
        <x:v>33127.31667824074</x:v>
      </x:c>
      <x:c r="D616" s="12" t="n">
        <x:v>37</x:v>
      </x:c>
      <x:c r="E616" s="12" t="n">
        <x:v>0</x:v>
      </x:c>
      <x:c r="F616" s="12" t="str">
        <x:v>未记录</x:v>
      </x:c>
      <x:c r="G616" s="12" t="n">
        <x:v>1</x:v>
      </x:c>
      <x:c r="H616" s="12" t="str">
        <x:v>{'NORM': 80.0, 'PAC': 0.0, 'SR': 0.0}</x:v>
      </x:c>
      <x:c r="I616" s="12" t="str">
        <x:v>[('SRTH', 100.0), ('PAC', 100.0), ('$SABCOND', 100.0), ('ABR', 100.0)]</x:v>
      </x:c>
      <x:c r="J616" s="12" t="str">
        <x:v>ptbxl_database.csv；ecg_id=4945；scp_codes</x:v>
      </x:c>
      <x:c r="K616" s="12" t="str">
        <x:v>12sl_statements.csv；ecg_id=4945；statements_ext_snomed</x:v>
      </x:c>
      <x:c r="L616" s="12"/>
      <x:c r="M616" s="12" t="str">
        <x:v>negative</x:v>
      </x:c>
      <x:c r="N616" s="12"/>
      <x:c r="O616" s="12" t="str">
        <x:v>negative</x:v>
      </x:c>
      <x:c r="P616" s="12" t="str">
        <x:f>IF(OR(M616="unavailable",O616="unavailable"),"不可评价",IF(OR(M616="equivocal",O616="equivocal"),"疑似",IF(AND(M616="positive",O616="positive"),"a",IF(O616="positive","b",IF(M616="positive","c","d")))))</x:f>
        <x:v>d</x:v>
      </x:c>
      <x:c r="Q616" s="12"/>
      <x:c r="R616" s="12" t="str">
        <x:v>negative</x:v>
      </x:c>
      <x:c r="S616" s="12"/>
      <x:c r="T616" s="12" t="str">
        <x:v>negative</x:v>
      </x:c>
      <x:c r="U616" s="12" t="str">
        <x:f>IF(OR(R616="unavailable",T616="unavailable"),"不可评价",IF(OR(R616="equivocal",T616="equivocal"),"疑似",IF(AND(R616="positive",T616="positive"),"a",IF(T616="positive","b",IF(R616="positive","c","d")))))</x:f>
        <x:v>d</x:v>
      </x:c>
      <x:c r="V616" s="12"/>
      <x:c r="W616" s="12" t="str">
        <x:v>negative</x:v>
      </x:c>
      <x:c r="X616" s="12"/>
      <x:c r="Y616" s="12" t="str">
        <x:v>negative</x:v>
      </x:c>
      <x:c r="Z616" s="12" t="str">
        <x:f>IF(OR(W616="unavailable",Y616="unavailable"),"不可评价",IF(OR(W616="equivocal",Y616="equivocal"),"疑似",IF(AND(W616="positive",Y616="positive"),"a",IF(Y616="positive","b",IF(W616="positive","c","d")))))</x:f>
        <x:v>d</x:v>
      </x:c>
      <x:c r="AA616" s="12" t="str">
        <x:f>IF(OR(M616="unavailable",O616="unavailable"),"不可评价",IF(AND(OR(M616="positive",M616="equivocal"),OR(O616="positive",O616="equivocal")),"a",IF(OR(O616="positive",O616="equivocal"),"b",IF(OR(M616="positive",M616="equivocal"),"c","d"))))</x:f>
        <x:v>d</x:v>
      </x:c>
      <x:c r="AB616" s="12" t="str">
        <x:f>IF(OR(M616="unavailable",O616="unavailable"),"不可评价",IF(AND(M616="positive",O616="positive"),"a",IF(O616="positive","b",IF(M616="positive","c","d"))))</x:f>
        <x:v>d</x:v>
      </x:c>
      <x:c r="AC616" s="12" t="str">
        <x:f>IF(OR(R616="unavailable",T616="unavailable"),"不可评价",IF(AND(OR(R616="positive",R616="equivocal"),OR(T616="positive",T616="equivocal")),"a",IF(OR(T616="positive",T616="equivocal"),"b",IF(OR(R616="positive",R616="equivocal"),"c","d"))))</x:f>
        <x:v>d</x:v>
      </x:c>
      <x:c r="AD616" s="12" t="str">
        <x:f>IF(OR(R616="unavailable",T616="unavailable"),"不可评价",IF(AND(R616="positive",T616="positive"),"a",IF(T616="positive","b",IF(R616="positive","c","d"))))</x:f>
        <x:v>d</x:v>
      </x:c>
      <x:c r="AE616" s="12" t="str">
        <x:f>IF(OR(W616="unavailable",Y616="unavailable"),"不可评价",IF(AND(OR(W616="positive",W616="equivocal"),OR(Y616="positive",Y616="equivocal")),"a",IF(OR(Y616="positive",Y616="equivocal"),"b",IF(OR(W616="positive",W616="equivocal"),"c","d"))))</x:f>
        <x:v>d</x:v>
      </x:c>
      <x:c r="AF616" s="12" t="str">
        <x:f>IF(OR(W616="unavailable",Y616="unavailable"),"不可评价",IF(AND(W616="positive",Y616="positive"),"a",IF(Y616="positive","b",IF(W616="positive","c","d"))))</x:f>
        <x:v>d</x:v>
      </x:c>
    </x:row>
    <x:row r="617" ht="24" customHeight="1">
      <x:c r="A617" s="12" t="str">
        <x:v>4951</x:v>
      </x:c>
      <x:c r="B617" s="12" t="str">
        <x:v>6726</x:v>
      </x:c>
      <x:c r="C617" s="21" t="n">
        <x:v>33127.496712962966</x:v>
      </x:c>
      <x:c r="D617" s="12" t="n">
        <x:v>68</x:v>
      </x:c>
      <x:c r="E617" s="12" t="n">
        <x:v>1</x:v>
      </x:c>
      <x:c r="F617" s="12" t="str">
        <x:v>未记录</x:v>
      </x:c>
      <x:c r="G617" s="12" t="n">
        <x:v>1</x:v>
      </x:c>
      <x:c r="H617" s="12" t="str">
        <x:v>{'NORM': 100.0, 'NT_': 0.0, 'SR': 0.0}</x:v>
      </x:c>
      <x:c r="I617" s="12" t="str">
        <x:v>[('NSR', 100.0), ('BORDE', 100.0)]</x:v>
      </x:c>
      <x:c r="J617" s="12" t="str">
        <x:v>ptbxl_database.csv；ecg_id=4951；scp_codes</x:v>
      </x:c>
      <x:c r="K617" s="12" t="str">
        <x:v>12sl_statements.csv；ecg_id=4951；statements_ext_snomed</x:v>
      </x:c>
      <x:c r="L617" s="12"/>
      <x:c r="M617" s="12" t="str">
        <x:v>negative</x:v>
      </x:c>
      <x:c r="N617" s="12"/>
      <x:c r="O617" s="12" t="str">
        <x:v>negative</x:v>
      </x:c>
      <x:c r="P617" s="12" t="str">
        <x:f>IF(OR(M617="unavailable",O617="unavailable"),"不可评价",IF(OR(M617="equivocal",O617="equivocal"),"疑似",IF(AND(M617="positive",O617="positive"),"a",IF(O617="positive","b",IF(M617="positive","c","d")))))</x:f>
        <x:v>d</x:v>
      </x:c>
      <x:c r="Q617" s="12"/>
      <x:c r="R617" s="12" t="str">
        <x:v>negative</x:v>
      </x:c>
      <x:c r="S617" s="12"/>
      <x:c r="T617" s="12" t="str">
        <x:v>negative</x:v>
      </x:c>
      <x:c r="U617" s="12" t="str">
        <x:f>IF(OR(R617="unavailable",T617="unavailable"),"不可评价",IF(OR(R617="equivocal",T617="equivocal"),"疑似",IF(AND(R617="positive",T617="positive"),"a",IF(T617="positive","b",IF(R617="positive","c","d")))))</x:f>
        <x:v>d</x:v>
      </x:c>
      <x:c r="V617" s="12"/>
      <x:c r="W617" s="12" t="str">
        <x:v>negative</x:v>
      </x:c>
      <x:c r="X617" s="12"/>
      <x:c r="Y617" s="12" t="str">
        <x:v>negative</x:v>
      </x:c>
      <x:c r="Z617" s="12" t="str">
        <x:f>IF(OR(W617="unavailable",Y617="unavailable"),"不可评价",IF(OR(W617="equivocal",Y617="equivocal"),"疑似",IF(AND(W617="positive",Y617="positive"),"a",IF(Y617="positive","b",IF(W617="positive","c","d")))))</x:f>
        <x:v>d</x:v>
      </x:c>
      <x:c r="AA617" s="12" t="str">
        <x:f>IF(OR(M617="unavailable",O617="unavailable"),"不可评价",IF(AND(OR(M617="positive",M617="equivocal"),OR(O617="positive",O617="equivocal")),"a",IF(OR(O617="positive",O617="equivocal"),"b",IF(OR(M617="positive",M617="equivocal"),"c","d"))))</x:f>
        <x:v>d</x:v>
      </x:c>
      <x:c r="AB617" s="12" t="str">
        <x:f>IF(OR(M617="unavailable",O617="unavailable"),"不可评价",IF(AND(M617="positive",O617="positive"),"a",IF(O617="positive","b",IF(M617="positive","c","d"))))</x:f>
        <x:v>d</x:v>
      </x:c>
      <x:c r="AC617" s="12" t="str">
        <x:f>IF(OR(R617="unavailable",T617="unavailable"),"不可评价",IF(AND(OR(R617="positive",R617="equivocal"),OR(T617="positive",T617="equivocal")),"a",IF(OR(T617="positive",T617="equivocal"),"b",IF(OR(R617="positive",R617="equivocal"),"c","d"))))</x:f>
        <x:v>d</x:v>
      </x:c>
      <x:c r="AD617" s="12" t="str">
        <x:f>IF(OR(R617="unavailable",T617="unavailable"),"不可评价",IF(AND(R617="positive",T617="positive"),"a",IF(T617="positive","b",IF(R617="positive","c","d"))))</x:f>
        <x:v>d</x:v>
      </x:c>
      <x:c r="AE617" s="12" t="str">
        <x:f>IF(OR(W617="unavailable",Y617="unavailable"),"不可评价",IF(AND(OR(W617="positive",W617="equivocal"),OR(Y617="positive",Y617="equivocal")),"a",IF(OR(Y617="positive",Y617="equivocal"),"b",IF(OR(W617="positive",W617="equivocal"),"c","d"))))</x:f>
        <x:v>d</x:v>
      </x:c>
      <x:c r="AF617" s="12" t="str">
        <x:f>IF(OR(W617="unavailable",Y617="unavailable"),"不可评价",IF(AND(W617="positive",Y617="positive"),"a",IF(Y617="positive","b",IF(W617="positive","c","d"))))</x:f>
        <x:v>d</x:v>
      </x:c>
    </x:row>
    <x:row r="618" ht="24" customHeight="1">
      <x:c r="A618" s="12" t="str">
        <x:v>4960</x:v>
      </x:c>
      <x:c r="B618" s="12" t="str">
        <x:v>7598</x:v>
      </x:c>
      <x:c r="C618" s="21" t="n">
        <x:v>33128.36766203704</x:v>
      </x:c>
      <x:c r="D618" s="12" t="n">
        <x:v>47</x:v>
      </x:c>
      <x:c r="E618" s="12" t="n">
        <x:v>1</x:v>
      </x:c>
      <x:c r="F618" s="12" t="str">
        <x:v>未记录</x:v>
      </x:c>
      <x:c r="G618" s="12" t="n">
        <x:v>1</x:v>
      </x:c>
      <x:c r="H618" s="12" t="str">
        <x:v>{'NORM': 80.0, 'SBRAD': 0.0}</x:v>
      </x:c>
      <x:c r="I618" s="12" t="str">
        <x:v>[('SBRAD', 100.0), ('ABR', 100.0)]</x:v>
      </x:c>
      <x:c r="J618" s="12" t="str">
        <x:v>ptbxl_database.csv；ecg_id=4960；scp_codes</x:v>
      </x:c>
      <x:c r="K618" s="12" t="str">
        <x:v>12sl_statements.csv；ecg_id=4960；statements_ext_snomed</x:v>
      </x:c>
      <x:c r="L618" s="12"/>
      <x:c r="M618" s="12" t="str">
        <x:v>negative</x:v>
      </x:c>
      <x:c r="N618" s="12"/>
      <x:c r="O618" s="12" t="str">
        <x:v>negative</x:v>
      </x:c>
      <x:c r="P618" s="12" t="str">
        <x:f>IF(OR(M618="unavailable",O618="unavailable"),"不可评价",IF(OR(M618="equivocal",O618="equivocal"),"疑似",IF(AND(M618="positive",O618="positive"),"a",IF(O618="positive","b",IF(M618="positive","c","d")))))</x:f>
        <x:v>d</x:v>
      </x:c>
      <x:c r="Q618" s="12"/>
      <x:c r="R618" s="12" t="str">
        <x:v>negative</x:v>
      </x:c>
      <x:c r="S618" s="12"/>
      <x:c r="T618" s="12" t="str">
        <x:v>negative</x:v>
      </x:c>
      <x:c r="U618" s="12" t="str">
        <x:f>IF(OR(R618="unavailable",T618="unavailable"),"不可评价",IF(OR(R618="equivocal",T618="equivocal"),"疑似",IF(AND(R618="positive",T618="positive"),"a",IF(T618="positive","b",IF(R618="positive","c","d")))))</x:f>
        <x:v>d</x:v>
      </x:c>
      <x:c r="V618" s="12"/>
      <x:c r="W618" s="12" t="str">
        <x:v>negative</x:v>
      </x:c>
      <x:c r="X618" s="12"/>
      <x:c r="Y618" s="12" t="str">
        <x:v>negative</x:v>
      </x:c>
      <x:c r="Z618" s="12" t="str">
        <x:f>IF(OR(W618="unavailable",Y618="unavailable"),"不可评价",IF(OR(W618="equivocal",Y618="equivocal"),"疑似",IF(AND(W618="positive",Y618="positive"),"a",IF(Y618="positive","b",IF(W618="positive","c","d")))))</x:f>
        <x:v>d</x:v>
      </x:c>
      <x:c r="AA618" s="12" t="str">
        <x:f>IF(OR(M618="unavailable",O618="unavailable"),"不可评价",IF(AND(OR(M618="positive",M618="equivocal"),OR(O618="positive",O618="equivocal")),"a",IF(OR(O618="positive",O618="equivocal"),"b",IF(OR(M618="positive",M618="equivocal"),"c","d"))))</x:f>
        <x:v>d</x:v>
      </x:c>
      <x:c r="AB618" s="12" t="str">
        <x:f>IF(OR(M618="unavailable",O618="unavailable"),"不可评价",IF(AND(M618="positive",O618="positive"),"a",IF(O618="positive","b",IF(M618="positive","c","d"))))</x:f>
        <x:v>d</x:v>
      </x:c>
      <x:c r="AC618" s="12" t="str">
        <x:f>IF(OR(R618="unavailable",T618="unavailable"),"不可评价",IF(AND(OR(R618="positive",R618="equivocal"),OR(T618="positive",T618="equivocal")),"a",IF(OR(T618="positive",T618="equivocal"),"b",IF(OR(R618="positive",R618="equivocal"),"c","d"))))</x:f>
        <x:v>d</x:v>
      </x:c>
      <x:c r="AD618" s="12" t="str">
        <x:f>IF(OR(R618="unavailable",T618="unavailable"),"不可评价",IF(AND(R618="positive",T618="positive"),"a",IF(T618="positive","b",IF(R618="positive","c","d"))))</x:f>
        <x:v>d</x:v>
      </x:c>
      <x:c r="AE618" s="12" t="str">
        <x:f>IF(OR(W618="unavailable",Y618="unavailable"),"不可评价",IF(AND(OR(W618="positive",W618="equivocal"),OR(Y618="positive",Y618="equivocal")),"a",IF(OR(Y618="positive",Y618="equivocal"),"b",IF(OR(W618="positive",W618="equivocal"),"c","d"))))</x:f>
        <x:v>d</x:v>
      </x:c>
      <x:c r="AF618" s="12" t="str">
        <x:f>IF(OR(W618="unavailable",Y618="unavailable"),"不可评价",IF(AND(W618="positive",Y618="positive"),"a",IF(Y618="positive","b",IF(W618="positive","c","d"))))</x:f>
        <x:v>d</x:v>
      </x:c>
    </x:row>
    <x:row r="619" ht="24" customHeight="1">
      <x:c r="A619" s="12" t="str">
        <x:v>4979</x:v>
      </x:c>
      <x:c r="B619" s="12" t="str">
        <x:v>4341</x:v>
      </x:c>
      <x:c r="C619" s="21" t="n">
        <x:v>33129.679189814815</x:v>
      </x:c>
      <x:c r="D619" s="12" t="n">
        <x:v>81</x:v>
      </x:c>
      <x:c r="E619" s="12" t="n">
        <x:v>1</x:v>
      </x:c>
      <x:c r="F619" s="12" t="str">
        <x:v>未记录</x:v>
      </x:c>
      <x:c r="G619" s="12" t="n">
        <x:v>1</x:v>
      </x:c>
      <x:c r="H619" s="12" t="str">
        <x:v>{'NORM': 80.0, 'NST_': 0.0, 'SR': 0.0}</x:v>
      </x:c>
      <x:c r="I619" s="12" t="str">
        <x:v>[('NSR', 100.0), ('SMI;AU', 100.0), ('AB', 100.0)]</x:v>
      </x:c>
      <x:c r="J619" s="12" t="str">
        <x:v>ptbxl_database.csv；ecg_id=4979；scp_codes</x:v>
      </x:c>
      <x:c r="K619" s="12" t="str">
        <x:v>12sl_statements.csv；ecg_id=4979；statements_ext_snomed</x:v>
      </x:c>
      <x:c r="L619" s="12"/>
      <x:c r="M619" s="12" t="str">
        <x:v>negative</x:v>
      </x:c>
      <x:c r="N619" s="12"/>
      <x:c r="O619" s="12" t="str">
        <x:v>negative</x:v>
      </x:c>
      <x:c r="P619" s="12" t="str">
        <x:f>IF(OR(M619="unavailable",O619="unavailable"),"不可评价",IF(OR(M619="equivocal",O619="equivocal"),"疑似",IF(AND(M619="positive",O619="positive"),"a",IF(O619="positive","b",IF(M619="positive","c","d")))))</x:f>
        <x:v>d</x:v>
      </x:c>
      <x:c r="Q619" s="12"/>
      <x:c r="R619" s="12" t="str">
        <x:v>negative</x:v>
      </x:c>
      <x:c r="S619" s="12"/>
      <x:c r="T619" s="12" t="str">
        <x:v>negative</x:v>
      </x:c>
      <x:c r="U619" s="12" t="str">
        <x:f>IF(OR(R619="unavailable",T619="unavailable"),"不可评价",IF(OR(R619="equivocal",T619="equivocal"),"疑似",IF(AND(R619="positive",T619="positive"),"a",IF(T619="positive","b",IF(R619="positive","c","d")))))</x:f>
        <x:v>d</x:v>
      </x:c>
      <x:c r="V619" s="12"/>
      <x:c r="W619" s="12" t="str">
        <x:v>negative</x:v>
      </x:c>
      <x:c r="X619" s="12"/>
      <x:c r="Y619" s="12" t="str">
        <x:v>negative</x:v>
      </x:c>
      <x:c r="Z619" s="12" t="str">
        <x:f>IF(OR(W619="unavailable",Y619="unavailable"),"不可评价",IF(OR(W619="equivocal",Y619="equivocal"),"疑似",IF(AND(W619="positive",Y619="positive"),"a",IF(Y619="positive","b",IF(W619="positive","c","d")))))</x:f>
        <x:v>d</x:v>
      </x:c>
      <x:c r="AA619" s="12" t="str">
        <x:f>IF(OR(M619="unavailable",O619="unavailable"),"不可评价",IF(AND(OR(M619="positive",M619="equivocal"),OR(O619="positive",O619="equivocal")),"a",IF(OR(O619="positive",O619="equivocal"),"b",IF(OR(M619="positive",M619="equivocal"),"c","d"))))</x:f>
        <x:v>d</x:v>
      </x:c>
      <x:c r="AB619" s="12" t="str">
        <x:f>IF(OR(M619="unavailable",O619="unavailable"),"不可评价",IF(AND(M619="positive",O619="positive"),"a",IF(O619="positive","b",IF(M619="positive","c","d"))))</x:f>
        <x:v>d</x:v>
      </x:c>
      <x:c r="AC619" s="12" t="str">
        <x:f>IF(OR(R619="unavailable",T619="unavailable"),"不可评价",IF(AND(OR(R619="positive",R619="equivocal"),OR(T619="positive",T619="equivocal")),"a",IF(OR(T619="positive",T619="equivocal"),"b",IF(OR(R619="positive",R619="equivocal"),"c","d"))))</x:f>
        <x:v>d</x:v>
      </x:c>
      <x:c r="AD619" s="12" t="str">
        <x:f>IF(OR(R619="unavailable",T619="unavailable"),"不可评价",IF(AND(R619="positive",T619="positive"),"a",IF(T619="positive","b",IF(R619="positive","c","d"))))</x:f>
        <x:v>d</x:v>
      </x:c>
      <x:c r="AE619" s="12" t="str">
        <x:f>IF(OR(W619="unavailable",Y619="unavailable"),"不可评价",IF(AND(OR(W619="positive",W619="equivocal"),OR(Y619="positive",Y619="equivocal")),"a",IF(OR(Y619="positive",Y619="equivocal"),"b",IF(OR(W619="positive",W619="equivocal"),"c","d"))))</x:f>
        <x:v>d</x:v>
      </x:c>
      <x:c r="AF619" s="12" t="str">
        <x:f>IF(OR(W619="unavailable",Y619="unavailable"),"不可评价",IF(AND(W619="positive",Y619="positive"),"a",IF(Y619="positive","b",IF(W619="positive","c","d"))))</x:f>
        <x:v>d</x:v>
      </x:c>
    </x:row>
    <x:row r="620" ht="39" customHeight="1">
      <x:c r="A620" s="12" t="str">
        <x:v>4995</x:v>
      </x:c>
      <x:c r="B620" s="12" t="str">
        <x:v>20822</x:v>
      </x:c>
      <x:c r="C620" s="21" t="n">
        <x:v>33131.56594907407</x:v>
      </x:c>
      <x:c r="D620" s="12" t="n">
        <x:v>84</x:v>
      </x:c>
      <x:c r="E620" s="12" t="n">
        <x:v>1</x:v>
      </x:c>
      <x:c r="F620" s="12" t="str">
        <x:v>存在</x:v>
      </x:c>
      <x:c r="G620" s="12" t="n">
        <x:v>1</x:v>
      </x:c>
      <x:c r="H620" s="12" t="str">
        <x:v>{'1AVB': 100.0, 'LAO/LAE': 100.0, 'RAO/RAE': 100.0, 'DIG': 100.0, 'SR': 0.0}</x:v>
      </x:c>
      <x:c r="I620" s="12" t="str">
        <x:v>[('SRTH', 100.0), ('FAV', 100.0), ('PULD', 100.0), ('IMI;AU', 15.0), ('AB', 100.0)]</x:v>
      </x:c>
      <x:c r="J620" s="12" t="str">
        <x:v>ptbxl_database.csv；ecg_id=4995；scp_codes</x:v>
      </x:c>
      <x:c r="K620" s="12" t="str">
        <x:v>12sl_statements.csv；ecg_id=4995；statements_ext_snomed</x:v>
      </x:c>
      <x:c r="L620" s="12"/>
      <x:c r="M620" s="12" t="str">
        <x:v>negative</x:v>
      </x:c>
      <x:c r="N620" s="12"/>
      <x:c r="O620" s="12" t="str">
        <x:v>negative</x:v>
      </x:c>
      <x:c r="P620" s="12" t="str">
        <x:f>IF(OR(M620="unavailable",O620="unavailable"),"不可评价",IF(OR(M620="equivocal",O620="equivocal"),"疑似",IF(AND(M620="positive",O620="positive"),"a",IF(O620="positive","b",IF(M620="positive","c","d")))))</x:f>
        <x:v>d</x:v>
      </x:c>
      <x:c r="Q620" s="12"/>
      <x:c r="R620" s="12" t="str">
        <x:v>negative</x:v>
      </x:c>
      <x:c r="S620" s="12"/>
      <x:c r="T620" s="12" t="str">
        <x:v>negative</x:v>
      </x:c>
      <x:c r="U620" s="12" t="str">
        <x:f>IF(OR(R620="unavailable",T620="unavailable"),"不可评价",IF(OR(R620="equivocal",T620="equivocal"),"疑似",IF(AND(R620="positive",T620="positive"),"a",IF(T620="positive","b",IF(R620="positive","c","d")))))</x:f>
        <x:v>d</x:v>
      </x:c>
      <x:c r="V620" s="12"/>
      <x:c r="W620" s="12" t="str">
        <x:v>negative</x:v>
      </x:c>
      <x:c r="X620" s="12"/>
      <x:c r="Y620" s="12" t="str">
        <x:v>negative</x:v>
      </x:c>
      <x:c r="Z620" s="12" t="str">
        <x:f>IF(OR(W620="unavailable",Y620="unavailable"),"不可评价",IF(OR(W620="equivocal",Y620="equivocal"),"疑似",IF(AND(W620="positive",Y620="positive"),"a",IF(Y620="positive","b",IF(W620="positive","c","d")))))</x:f>
        <x:v>d</x:v>
      </x:c>
      <x:c r="AA620" s="12" t="str">
        <x:f>IF(OR(M620="unavailable",O620="unavailable"),"不可评价",IF(AND(OR(M620="positive",M620="equivocal"),OR(O620="positive",O620="equivocal")),"a",IF(OR(O620="positive",O620="equivocal"),"b",IF(OR(M620="positive",M620="equivocal"),"c","d"))))</x:f>
        <x:v>d</x:v>
      </x:c>
      <x:c r="AB620" s="12" t="str">
        <x:f>IF(OR(M620="unavailable",O620="unavailable"),"不可评价",IF(AND(M620="positive",O620="positive"),"a",IF(O620="positive","b",IF(M620="positive","c","d"))))</x:f>
        <x:v>d</x:v>
      </x:c>
      <x:c r="AC620" s="12" t="str">
        <x:f>IF(OR(R620="unavailable",T620="unavailable"),"不可评价",IF(AND(OR(R620="positive",R620="equivocal"),OR(T620="positive",T620="equivocal")),"a",IF(OR(T620="positive",T620="equivocal"),"b",IF(OR(R620="positive",R620="equivocal"),"c","d"))))</x:f>
        <x:v>d</x:v>
      </x:c>
      <x:c r="AD620" s="12" t="str">
        <x:f>IF(OR(R620="unavailable",T620="unavailable"),"不可评价",IF(AND(R620="positive",T620="positive"),"a",IF(T620="positive","b",IF(R620="positive","c","d"))))</x:f>
        <x:v>d</x:v>
      </x:c>
      <x:c r="AE620" s="12" t="str">
        <x:f>IF(OR(W620="unavailable",Y620="unavailable"),"不可评价",IF(AND(OR(W620="positive",W620="equivocal"),OR(Y620="positive",Y620="equivocal")),"a",IF(OR(Y620="positive",Y620="equivocal"),"b",IF(OR(W620="positive",W620="equivocal"),"c","d"))))</x:f>
        <x:v>d</x:v>
      </x:c>
      <x:c r="AF620" s="12" t="str">
        <x:f>IF(OR(W620="unavailable",Y620="unavailable"),"不可评价",IF(AND(W620="positive",Y620="positive"),"a",IF(Y620="positive","b",IF(W620="positive","c","d"))))</x:f>
        <x:v>d</x:v>
      </x:c>
    </x:row>
    <x:row r="621" ht="24" customHeight="1">
      <x:c r="A621" s="12" t="str">
        <x:v>5000</x:v>
      </x:c>
      <x:c r="B621" s="12" t="str">
        <x:v>7207</x:v>
      </x:c>
      <x:c r="C621" s="21" t="n">
        <x:v>33132.48324074074</x:v>
      </x:c>
      <x:c r="D621" s="12" t="n">
        <x:v>64</x:v>
      </x:c>
      <x:c r="E621" s="12" t="n">
        <x:v>0</x:v>
      </x:c>
      <x:c r="F621" s="12" t="str">
        <x:v>未记录</x:v>
      </x:c>
      <x:c r="G621" s="12" t="n">
        <x:v>1</x:v>
      </x:c>
      <x:c r="H621" s="12" t="str">
        <x:v>{'NORM': 100.0, 'SR': 0.0}</x:v>
      </x:c>
      <x:c r="I621" s="12" t="str">
        <x:v>[('NSR', 100.0), ('NML', 100.0)]</x:v>
      </x:c>
      <x:c r="J621" s="12" t="str">
        <x:v>ptbxl_database.csv；ecg_id=5000；scp_codes</x:v>
      </x:c>
      <x:c r="K621" s="12" t="str">
        <x:v>12sl_statements.csv；ecg_id=5000；statements_ext_snomed</x:v>
      </x:c>
      <x:c r="L621" s="12"/>
      <x:c r="M621" s="12" t="str">
        <x:v>negative</x:v>
      </x:c>
      <x:c r="N621" s="12"/>
      <x:c r="O621" s="12" t="str">
        <x:v>negative</x:v>
      </x:c>
      <x:c r="P621" s="12" t="str">
        <x:f>IF(OR(M621="unavailable",O621="unavailable"),"不可评价",IF(OR(M621="equivocal",O621="equivocal"),"疑似",IF(AND(M621="positive",O621="positive"),"a",IF(O621="positive","b",IF(M621="positive","c","d")))))</x:f>
        <x:v>d</x:v>
      </x:c>
      <x:c r="Q621" s="12"/>
      <x:c r="R621" s="12" t="str">
        <x:v>negative</x:v>
      </x:c>
      <x:c r="S621" s="12"/>
      <x:c r="T621" s="12" t="str">
        <x:v>negative</x:v>
      </x:c>
      <x:c r="U621" s="12" t="str">
        <x:f>IF(OR(R621="unavailable",T621="unavailable"),"不可评价",IF(OR(R621="equivocal",T621="equivocal"),"疑似",IF(AND(R621="positive",T621="positive"),"a",IF(T621="positive","b",IF(R621="positive","c","d")))))</x:f>
        <x:v>d</x:v>
      </x:c>
      <x:c r="V621" s="12"/>
      <x:c r="W621" s="12" t="str">
        <x:v>negative</x:v>
      </x:c>
      <x:c r="X621" s="12"/>
      <x:c r="Y621" s="12" t="str">
        <x:v>negative</x:v>
      </x:c>
      <x:c r="Z621" s="12" t="str">
        <x:f>IF(OR(W621="unavailable",Y621="unavailable"),"不可评价",IF(OR(W621="equivocal",Y621="equivocal"),"疑似",IF(AND(W621="positive",Y621="positive"),"a",IF(Y621="positive","b",IF(W621="positive","c","d")))))</x:f>
        <x:v>d</x:v>
      </x:c>
      <x:c r="AA621" s="12" t="str">
        <x:f>IF(OR(M621="unavailable",O621="unavailable"),"不可评价",IF(AND(OR(M621="positive",M621="equivocal"),OR(O621="positive",O621="equivocal")),"a",IF(OR(O621="positive",O621="equivocal"),"b",IF(OR(M621="positive",M621="equivocal"),"c","d"))))</x:f>
        <x:v>d</x:v>
      </x:c>
      <x:c r="AB621" s="12" t="str">
        <x:f>IF(OR(M621="unavailable",O621="unavailable"),"不可评价",IF(AND(M621="positive",O621="positive"),"a",IF(O621="positive","b",IF(M621="positive","c","d"))))</x:f>
        <x:v>d</x:v>
      </x:c>
      <x:c r="AC621" s="12" t="str">
        <x:f>IF(OR(R621="unavailable",T621="unavailable"),"不可评价",IF(AND(OR(R621="positive",R621="equivocal"),OR(T621="positive",T621="equivocal")),"a",IF(OR(T621="positive",T621="equivocal"),"b",IF(OR(R621="positive",R621="equivocal"),"c","d"))))</x:f>
        <x:v>d</x:v>
      </x:c>
      <x:c r="AD621" s="12" t="str">
        <x:f>IF(OR(R621="unavailable",T621="unavailable"),"不可评价",IF(AND(R621="positive",T621="positive"),"a",IF(T621="positive","b",IF(R621="positive","c","d"))))</x:f>
        <x:v>d</x:v>
      </x:c>
      <x:c r="AE621" s="12" t="str">
        <x:f>IF(OR(W621="unavailable",Y621="unavailable"),"不可评价",IF(AND(OR(W621="positive",W621="equivocal"),OR(Y621="positive",Y621="equivocal")),"a",IF(OR(Y621="positive",Y621="equivocal"),"b",IF(OR(W621="positive",W621="equivocal"),"c","d"))))</x:f>
        <x:v>d</x:v>
      </x:c>
      <x:c r="AF621" s="12" t="str">
        <x:f>IF(OR(W621="unavailable",Y621="unavailable"),"不可评价",IF(AND(W621="positive",Y621="positive"),"a",IF(Y621="positive","b",IF(W621="positive","c","d"))))</x:f>
        <x:v>d</x:v>
      </x:c>
    </x:row>
    <x:row r="622" ht="24" customHeight="1">
      <x:c r="A622" s="12" t="str">
        <x:v>5029</x:v>
      </x:c>
      <x:c r="B622" s="12" t="str">
        <x:v>17619</x:v>
      </x:c>
      <x:c r="C622" s="21" t="n">
        <x:v>33137.31962962963</x:v>
      </x:c>
      <x:c r="D622" s="12" t="n">
        <x:v>78</x:v>
      </x:c>
      <x:c r="E622" s="12" t="n">
        <x:v>1</x:v>
      </x:c>
      <x:c r="F622" s="12" t="str">
        <x:v>未记录</x:v>
      </x:c>
      <x:c r="G622" s="12" t="n">
        <x:v>1</x:v>
      </x:c>
      <x:c r="H622" s="12" t="str">
        <x:v>{'IMI': 50.0, 'LAFB': 100.0, 'ABQRS': 0.0, 'SR': 0.0}</x:v>
      </x:c>
      <x:c r="I622" s="12" t="str">
        <x:v>[('NSR', 100.0), ('LAD3', 100.0), ('AB', 100.0)]</x:v>
      </x:c>
      <x:c r="J622" s="12" t="str">
        <x:v>ptbxl_database.csv；ecg_id=5029；scp_codes</x:v>
      </x:c>
      <x:c r="K622" s="12" t="str">
        <x:v>12sl_statements.csv；ecg_id=5029；statements_ext_snomed</x:v>
      </x:c>
      <x:c r="L622" s="12"/>
      <x:c r="M622" s="12" t="str">
        <x:v>negative</x:v>
      </x:c>
      <x:c r="N622" s="12"/>
      <x:c r="O622" s="12" t="str">
        <x:v>negative</x:v>
      </x:c>
      <x:c r="P622" s="12" t="str">
        <x:f>IF(OR(M622="unavailable",O622="unavailable"),"不可评价",IF(OR(M622="equivocal",O622="equivocal"),"疑似",IF(AND(M622="positive",O622="positive"),"a",IF(O622="positive","b",IF(M622="positive","c","d")))))</x:f>
        <x:v>d</x:v>
      </x:c>
      <x:c r="Q622" s="12"/>
      <x:c r="R622" s="12" t="str">
        <x:v>negative</x:v>
      </x:c>
      <x:c r="S622" s="12"/>
      <x:c r="T622" s="12" t="str">
        <x:v>negative</x:v>
      </x:c>
      <x:c r="U622" s="12" t="str">
        <x:f>IF(OR(R622="unavailable",T622="unavailable"),"不可评价",IF(OR(R622="equivocal",T622="equivocal"),"疑似",IF(AND(R622="positive",T622="positive"),"a",IF(T622="positive","b",IF(R622="positive","c","d")))))</x:f>
        <x:v>d</x:v>
      </x:c>
      <x:c r="V622" s="12"/>
      <x:c r="W622" s="12" t="str">
        <x:v>negative</x:v>
      </x:c>
      <x:c r="X622" s="12"/>
      <x:c r="Y622" s="12" t="str">
        <x:v>negative</x:v>
      </x:c>
      <x:c r="Z622" s="12" t="str">
        <x:f>IF(OR(W622="unavailable",Y622="unavailable"),"不可评价",IF(OR(W622="equivocal",Y622="equivocal"),"疑似",IF(AND(W622="positive",Y622="positive"),"a",IF(Y622="positive","b",IF(W622="positive","c","d")))))</x:f>
        <x:v>d</x:v>
      </x:c>
      <x:c r="AA622" s="12" t="str">
        <x:f>IF(OR(M622="unavailable",O622="unavailable"),"不可评价",IF(AND(OR(M622="positive",M622="equivocal"),OR(O622="positive",O622="equivocal")),"a",IF(OR(O622="positive",O622="equivocal"),"b",IF(OR(M622="positive",M622="equivocal"),"c","d"))))</x:f>
        <x:v>d</x:v>
      </x:c>
      <x:c r="AB622" s="12" t="str">
        <x:f>IF(OR(M622="unavailable",O622="unavailable"),"不可评价",IF(AND(M622="positive",O622="positive"),"a",IF(O622="positive","b",IF(M622="positive","c","d"))))</x:f>
        <x:v>d</x:v>
      </x:c>
      <x:c r="AC622" s="12" t="str">
        <x:f>IF(OR(R622="unavailable",T622="unavailable"),"不可评价",IF(AND(OR(R622="positive",R622="equivocal"),OR(T622="positive",T622="equivocal")),"a",IF(OR(T622="positive",T622="equivocal"),"b",IF(OR(R622="positive",R622="equivocal"),"c","d"))))</x:f>
        <x:v>d</x:v>
      </x:c>
      <x:c r="AD622" s="12" t="str">
        <x:f>IF(OR(R622="unavailable",T622="unavailable"),"不可评价",IF(AND(R622="positive",T622="positive"),"a",IF(T622="positive","b",IF(R622="positive","c","d"))))</x:f>
        <x:v>d</x:v>
      </x:c>
      <x:c r="AE622" s="12" t="str">
        <x:f>IF(OR(W622="unavailable",Y622="unavailable"),"不可评价",IF(AND(OR(W622="positive",W622="equivocal"),OR(Y622="positive",Y622="equivocal")),"a",IF(OR(Y622="positive",Y622="equivocal"),"b",IF(OR(W622="positive",W622="equivocal"),"c","d"))))</x:f>
        <x:v>d</x:v>
      </x:c>
      <x:c r="AF622" s="12" t="str">
        <x:f>IF(OR(W622="unavailable",Y622="unavailable"),"不可评价",IF(AND(W622="positive",Y622="positive"),"a",IF(Y622="positive","b",IF(W622="positive","c","d"))))</x:f>
        <x:v>d</x:v>
      </x:c>
    </x:row>
    <x:row r="623" ht="24" customHeight="1">
      <x:c r="A623" s="12" t="str">
        <x:v>5054</x:v>
      </x:c>
      <x:c r="B623" s="12" t="str">
        <x:v>3579</x:v>
      </x:c>
      <x:c r="C623" s="21" t="n">
        <x:v>33141.40828703704</x:v>
      </x:c>
      <x:c r="D623" s="12" t="n">
        <x:v>66</x:v>
      </x:c>
      <x:c r="E623" s="12" t="n">
        <x:v>0</x:v>
      </x:c>
      <x:c r="F623" s="12" t="str">
        <x:v>未记录</x:v>
      </x:c>
      <x:c r="G623" s="12" t="n">
        <x:v>1</x:v>
      </x:c>
      <x:c r="H623" s="12" t="str">
        <x:v>{'NDT': 100.0, 'SR': 0.0}</x:v>
      </x:c>
      <x:c r="I623" s="12" t="str">
        <x:v>[('SBRAD', 100.0), ('ABR', 100.0)]</x:v>
      </x:c>
      <x:c r="J623" s="12" t="str">
        <x:v>ptbxl_database.csv；ecg_id=5054；scp_codes</x:v>
      </x:c>
      <x:c r="K623" s="12" t="str">
        <x:v>12sl_statements.csv；ecg_id=5054；statements_ext_snomed</x:v>
      </x:c>
      <x:c r="L623" s="12"/>
      <x:c r="M623" s="12" t="str">
        <x:v>negative</x:v>
      </x:c>
      <x:c r="N623" s="12"/>
      <x:c r="O623" s="12" t="str">
        <x:v>negative</x:v>
      </x:c>
      <x:c r="P623" s="12" t="str">
        <x:f>IF(OR(M623="unavailable",O623="unavailable"),"不可评价",IF(OR(M623="equivocal",O623="equivocal"),"疑似",IF(AND(M623="positive",O623="positive"),"a",IF(O623="positive","b",IF(M623="positive","c","d")))))</x:f>
        <x:v>d</x:v>
      </x:c>
      <x:c r="Q623" s="12"/>
      <x:c r="R623" s="12" t="str">
        <x:v>negative</x:v>
      </x:c>
      <x:c r="S623" s="12"/>
      <x:c r="T623" s="12" t="str">
        <x:v>negative</x:v>
      </x:c>
      <x:c r="U623" s="12" t="str">
        <x:f>IF(OR(R623="unavailable",T623="unavailable"),"不可评价",IF(OR(R623="equivocal",T623="equivocal"),"疑似",IF(AND(R623="positive",T623="positive"),"a",IF(T623="positive","b",IF(R623="positive","c","d")))))</x:f>
        <x:v>d</x:v>
      </x:c>
      <x:c r="V623" s="12"/>
      <x:c r="W623" s="12" t="str">
        <x:v>negative</x:v>
      </x:c>
      <x:c r="X623" s="12"/>
      <x:c r="Y623" s="12" t="str">
        <x:v>negative</x:v>
      </x:c>
      <x:c r="Z623" s="12" t="str">
        <x:f>IF(OR(W623="unavailable",Y623="unavailable"),"不可评价",IF(OR(W623="equivocal",Y623="equivocal"),"疑似",IF(AND(W623="positive",Y623="positive"),"a",IF(Y623="positive","b",IF(W623="positive","c","d")))))</x:f>
        <x:v>d</x:v>
      </x:c>
      <x:c r="AA623" s="12" t="str">
        <x:f>IF(OR(M623="unavailable",O623="unavailable"),"不可评价",IF(AND(OR(M623="positive",M623="equivocal"),OR(O623="positive",O623="equivocal")),"a",IF(OR(O623="positive",O623="equivocal"),"b",IF(OR(M623="positive",M623="equivocal"),"c","d"))))</x:f>
        <x:v>d</x:v>
      </x:c>
      <x:c r="AB623" s="12" t="str">
        <x:f>IF(OR(M623="unavailable",O623="unavailable"),"不可评价",IF(AND(M623="positive",O623="positive"),"a",IF(O623="positive","b",IF(M623="positive","c","d"))))</x:f>
        <x:v>d</x:v>
      </x:c>
      <x:c r="AC623" s="12" t="str">
        <x:f>IF(OR(R623="unavailable",T623="unavailable"),"不可评价",IF(AND(OR(R623="positive",R623="equivocal"),OR(T623="positive",T623="equivocal")),"a",IF(OR(T623="positive",T623="equivocal"),"b",IF(OR(R623="positive",R623="equivocal"),"c","d"))))</x:f>
        <x:v>d</x:v>
      </x:c>
      <x:c r="AD623" s="12" t="str">
        <x:f>IF(OR(R623="unavailable",T623="unavailable"),"不可评价",IF(AND(R623="positive",T623="positive"),"a",IF(T623="positive","b",IF(R623="positive","c","d"))))</x:f>
        <x:v>d</x:v>
      </x:c>
      <x:c r="AE623" s="12" t="str">
        <x:f>IF(OR(W623="unavailable",Y623="unavailable"),"不可评价",IF(AND(OR(W623="positive",W623="equivocal"),OR(Y623="positive",Y623="equivocal")),"a",IF(OR(Y623="positive",Y623="equivocal"),"b",IF(OR(W623="positive",W623="equivocal"),"c","d"))))</x:f>
        <x:v>d</x:v>
      </x:c>
      <x:c r="AF623" s="12" t="str">
        <x:f>IF(OR(W623="unavailable",Y623="unavailable"),"不可评价",IF(AND(W623="positive",Y623="positive"),"a",IF(Y623="positive","b",IF(W623="positive","c","d"))))</x:f>
        <x:v>d</x:v>
      </x:c>
    </x:row>
    <x:row r="624" ht="24" customHeight="1">
      <x:c r="A624" s="12" t="str">
        <x:v>5067</x:v>
      </x:c>
      <x:c r="B624" s="12" t="str">
        <x:v>16979</x:v>
      </x:c>
      <x:c r="C624" s="21" t="n">
        <x:v>33143.48291666667</x:v>
      </x:c>
      <x:c r="D624" s="12" t="n">
        <x:v>38</x:v>
      </x:c>
      <x:c r="E624" s="12" t="n">
        <x:v>0</x:v>
      </x:c>
      <x:c r="F624" s="12" t="str">
        <x:v>未记录</x:v>
      </x:c>
      <x:c r="G624" s="12" t="n">
        <x:v>1</x:v>
      </x:c>
      <x:c r="H624" s="12" t="str">
        <x:v>{'NORM': 100.0, 'SR': 0.0}</x:v>
      </x:c>
      <x:c r="I624" s="12" t="str">
        <x:v>[('NSR', 100.0), ('BORDE', 100.0)]</x:v>
      </x:c>
      <x:c r="J624" s="12" t="str">
        <x:v>ptbxl_database.csv；ecg_id=5067；scp_codes</x:v>
      </x:c>
      <x:c r="K624" s="12" t="str">
        <x:v>12sl_statements.csv；ecg_id=5067；statements_ext_snomed</x:v>
      </x:c>
      <x:c r="L624" s="12"/>
      <x:c r="M624" s="12" t="str">
        <x:v>negative</x:v>
      </x:c>
      <x:c r="N624" s="12"/>
      <x:c r="O624" s="12" t="str">
        <x:v>negative</x:v>
      </x:c>
      <x:c r="P624" s="12" t="str">
        <x:f>IF(OR(M624="unavailable",O624="unavailable"),"不可评价",IF(OR(M624="equivocal",O624="equivocal"),"疑似",IF(AND(M624="positive",O624="positive"),"a",IF(O624="positive","b",IF(M624="positive","c","d")))))</x:f>
        <x:v>d</x:v>
      </x:c>
      <x:c r="Q624" s="12"/>
      <x:c r="R624" s="12" t="str">
        <x:v>negative</x:v>
      </x:c>
      <x:c r="S624" s="12"/>
      <x:c r="T624" s="12" t="str">
        <x:v>negative</x:v>
      </x:c>
      <x:c r="U624" s="12" t="str">
        <x:f>IF(OR(R624="unavailable",T624="unavailable"),"不可评价",IF(OR(R624="equivocal",T624="equivocal"),"疑似",IF(AND(R624="positive",T624="positive"),"a",IF(T624="positive","b",IF(R624="positive","c","d")))))</x:f>
        <x:v>d</x:v>
      </x:c>
      <x:c r="V624" s="12"/>
      <x:c r="W624" s="12" t="str">
        <x:v>negative</x:v>
      </x:c>
      <x:c r="X624" s="12"/>
      <x:c r="Y624" s="12" t="str">
        <x:v>negative</x:v>
      </x:c>
      <x:c r="Z624" s="12" t="str">
        <x:f>IF(OR(W624="unavailable",Y624="unavailable"),"不可评价",IF(OR(W624="equivocal",Y624="equivocal"),"疑似",IF(AND(W624="positive",Y624="positive"),"a",IF(Y624="positive","b",IF(W624="positive","c","d")))))</x:f>
        <x:v>d</x:v>
      </x:c>
      <x:c r="AA624" s="12" t="str">
        <x:f>IF(OR(M624="unavailable",O624="unavailable"),"不可评价",IF(AND(OR(M624="positive",M624="equivocal"),OR(O624="positive",O624="equivocal")),"a",IF(OR(O624="positive",O624="equivocal"),"b",IF(OR(M624="positive",M624="equivocal"),"c","d"))))</x:f>
        <x:v>d</x:v>
      </x:c>
      <x:c r="AB624" s="12" t="str">
        <x:f>IF(OR(M624="unavailable",O624="unavailable"),"不可评价",IF(AND(M624="positive",O624="positive"),"a",IF(O624="positive","b",IF(M624="positive","c","d"))))</x:f>
        <x:v>d</x:v>
      </x:c>
      <x:c r="AC624" s="12" t="str">
        <x:f>IF(OR(R624="unavailable",T624="unavailable"),"不可评价",IF(AND(OR(R624="positive",R624="equivocal"),OR(T624="positive",T624="equivocal")),"a",IF(OR(T624="positive",T624="equivocal"),"b",IF(OR(R624="positive",R624="equivocal"),"c","d"))))</x:f>
        <x:v>d</x:v>
      </x:c>
      <x:c r="AD624" s="12" t="str">
        <x:f>IF(OR(R624="unavailable",T624="unavailable"),"不可评价",IF(AND(R624="positive",T624="positive"),"a",IF(T624="positive","b",IF(R624="positive","c","d"))))</x:f>
        <x:v>d</x:v>
      </x:c>
      <x:c r="AE624" s="12" t="str">
        <x:f>IF(OR(W624="unavailable",Y624="unavailable"),"不可评价",IF(AND(OR(W624="positive",W624="equivocal"),OR(Y624="positive",Y624="equivocal")),"a",IF(OR(Y624="positive",Y624="equivocal"),"b",IF(OR(W624="positive",W624="equivocal"),"c","d"))))</x:f>
        <x:v>d</x:v>
      </x:c>
      <x:c r="AF624" s="12" t="str">
        <x:f>IF(OR(W624="unavailable",Y624="unavailable"),"不可评价",IF(AND(W624="positive",Y624="positive"),"a",IF(Y624="positive","b",IF(W624="positive","c","d"))))</x:f>
        <x:v>d</x:v>
      </x:c>
    </x:row>
    <x:row r="625" ht="24" customHeight="1">
      <x:c r="A625" s="12" t="str">
        <x:v>5087</x:v>
      </x:c>
      <x:c r="B625" s="12" t="str">
        <x:v>4214</x:v>
      </x:c>
      <x:c r="C625" s="21" t="n">
        <x:v>33147.3702662037</x:v>
      </x:c>
      <x:c r="D625" s="12" t="n">
        <x:v>69</x:v>
      </x:c>
      <x:c r="E625" s="12" t="n">
        <x:v>1</x:v>
      </x:c>
      <x:c r="F625" s="12" t="str">
        <x:v>未记录</x:v>
      </x:c>
      <x:c r="G625" s="12" t="n">
        <x:v>1</x:v>
      </x:c>
      <x:c r="H625" s="12" t="str">
        <x:v>{'ISC_': 100.0, 'LVH': 100.0, 'NT_': 0.0, 'VCLVH': 0.0, 'SR': 0.0}</x:v>
      </x:c>
      <x:c r="I625" s="12" t="str">
        <x:v>[('NSR', 100.0), ('LVH2', 100.0), ('QRSW-2ST', 100.0), ('AB', 100.0)]</x:v>
      </x:c>
      <x:c r="J625" s="12" t="str">
        <x:v>ptbxl_database.csv；ecg_id=5087；scp_codes</x:v>
      </x:c>
      <x:c r="K625" s="12" t="str">
        <x:v>12sl_statements.csv；ecg_id=5087；statements_ext_snomed</x:v>
      </x:c>
      <x:c r="L625" s="12"/>
      <x:c r="M625" s="12" t="str">
        <x:v>negative</x:v>
      </x:c>
      <x:c r="N625" s="12"/>
      <x:c r="O625" s="12" t="str">
        <x:v>negative</x:v>
      </x:c>
      <x:c r="P625" s="12" t="str">
        <x:f>IF(OR(M625="unavailable",O625="unavailable"),"不可评价",IF(OR(M625="equivocal",O625="equivocal"),"疑似",IF(AND(M625="positive",O625="positive"),"a",IF(O625="positive","b",IF(M625="positive","c","d")))))</x:f>
        <x:v>d</x:v>
      </x:c>
      <x:c r="Q625" s="12"/>
      <x:c r="R625" s="12" t="str">
        <x:v>negative</x:v>
      </x:c>
      <x:c r="S625" s="12"/>
      <x:c r="T625" s="12" t="str">
        <x:v>negative</x:v>
      </x:c>
      <x:c r="U625" s="12" t="str">
        <x:f>IF(OR(R625="unavailable",T625="unavailable"),"不可评价",IF(OR(R625="equivocal",T625="equivocal"),"疑似",IF(AND(R625="positive",T625="positive"),"a",IF(T625="positive","b",IF(R625="positive","c","d")))))</x:f>
        <x:v>d</x:v>
      </x:c>
      <x:c r="V625" s="12"/>
      <x:c r="W625" s="12" t="str">
        <x:v>negative</x:v>
      </x:c>
      <x:c r="X625" s="12"/>
      <x:c r="Y625" s="12" t="str">
        <x:v>negative</x:v>
      </x:c>
      <x:c r="Z625" s="12" t="str">
        <x:f>IF(OR(W625="unavailable",Y625="unavailable"),"不可评价",IF(OR(W625="equivocal",Y625="equivocal"),"疑似",IF(AND(W625="positive",Y625="positive"),"a",IF(Y625="positive","b",IF(W625="positive","c","d")))))</x:f>
        <x:v>d</x:v>
      </x:c>
      <x:c r="AA625" s="12" t="str">
        <x:f>IF(OR(M625="unavailable",O625="unavailable"),"不可评价",IF(AND(OR(M625="positive",M625="equivocal"),OR(O625="positive",O625="equivocal")),"a",IF(OR(O625="positive",O625="equivocal"),"b",IF(OR(M625="positive",M625="equivocal"),"c","d"))))</x:f>
        <x:v>d</x:v>
      </x:c>
      <x:c r="AB625" s="12" t="str">
        <x:f>IF(OR(M625="unavailable",O625="unavailable"),"不可评价",IF(AND(M625="positive",O625="positive"),"a",IF(O625="positive","b",IF(M625="positive","c","d"))))</x:f>
        <x:v>d</x:v>
      </x:c>
      <x:c r="AC625" s="12" t="str">
        <x:f>IF(OR(R625="unavailable",T625="unavailable"),"不可评价",IF(AND(OR(R625="positive",R625="equivocal"),OR(T625="positive",T625="equivocal")),"a",IF(OR(T625="positive",T625="equivocal"),"b",IF(OR(R625="positive",R625="equivocal"),"c","d"))))</x:f>
        <x:v>d</x:v>
      </x:c>
      <x:c r="AD625" s="12" t="str">
        <x:f>IF(OR(R625="unavailable",T625="unavailable"),"不可评价",IF(AND(R625="positive",T625="positive"),"a",IF(T625="positive","b",IF(R625="positive","c","d"))))</x:f>
        <x:v>d</x:v>
      </x:c>
      <x:c r="AE625" s="12" t="str">
        <x:f>IF(OR(W625="unavailable",Y625="unavailable"),"不可评价",IF(AND(OR(W625="positive",W625="equivocal"),OR(Y625="positive",Y625="equivocal")),"a",IF(OR(Y625="positive",Y625="equivocal"),"b",IF(OR(W625="positive",W625="equivocal"),"c","d"))))</x:f>
        <x:v>d</x:v>
      </x:c>
      <x:c r="AF625" s="12" t="str">
        <x:f>IF(OR(W625="unavailable",Y625="unavailable"),"不可评价",IF(AND(W625="positive",Y625="positive"),"a",IF(Y625="positive","b",IF(W625="positive","c","d"))))</x:f>
        <x:v>d</x:v>
      </x:c>
    </x:row>
    <x:row r="626" ht="24" customHeight="1">
      <x:c r="A626" s="12" t="str">
        <x:v>5099</x:v>
      </x:c>
      <x:c r="B626" s="12" t="str">
        <x:v>5732</x:v>
      </x:c>
      <x:c r="C626" s="21" t="n">
        <x:v>33149.50791666667</x:v>
      </x:c>
      <x:c r="D626" s="12" t="n">
        <x:v>49</x:v>
      </x:c>
      <x:c r="E626" s="12" t="n">
        <x:v>1</x:v>
      </x:c>
      <x:c r="F626" s="12" t="str">
        <x:v>未记录</x:v>
      </x:c>
      <x:c r="G626" s="12" t="n">
        <x:v>1</x:v>
      </x:c>
      <x:c r="H626" s="12" t="str">
        <x:v>{'NORM': 100.0, 'SR': 0.0}</x:v>
      </x:c>
      <x:c r="I626" s="12" t="str">
        <x:v>[('NSR', 100.0), ('NML', 100.0)]</x:v>
      </x:c>
      <x:c r="J626" s="12" t="str">
        <x:v>ptbxl_database.csv；ecg_id=5099；scp_codes</x:v>
      </x:c>
      <x:c r="K626" s="12" t="str">
        <x:v>12sl_statements.csv；ecg_id=5099；statements_ext_snomed</x:v>
      </x:c>
      <x:c r="L626" s="12"/>
      <x:c r="M626" s="12" t="str">
        <x:v>negative</x:v>
      </x:c>
      <x:c r="N626" s="12"/>
      <x:c r="O626" s="12" t="str">
        <x:v>negative</x:v>
      </x:c>
      <x:c r="P626" s="12" t="str">
        <x:f>IF(OR(M626="unavailable",O626="unavailable"),"不可评价",IF(OR(M626="equivocal",O626="equivocal"),"疑似",IF(AND(M626="positive",O626="positive"),"a",IF(O626="positive","b",IF(M626="positive","c","d")))))</x:f>
        <x:v>d</x:v>
      </x:c>
      <x:c r="Q626" s="12"/>
      <x:c r="R626" s="12" t="str">
        <x:v>negative</x:v>
      </x:c>
      <x:c r="S626" s="12"/>
      <x:c r="T626" s="12" t="str">
        <x:v>negative</x:v>
      </x:c>
      <x:c r="U626" s="12" t="str">
        <x:f>IF(OR(R626="unavailable",T626="unavailable"),"不可评价",IF(OR(R626="equivocal",T626="equivocal"),"疑似",IF(AND(R626="positive",T626="positive"),"a",IF(T626="positive","b",IF(R626="positive","c","d")))))</x:f>
        <x:v>d</x:v>
      </x:c>
      <x:c r="V626" s="12"/>
      <x:c r="W626" s="12" t="str">
        <x:v>negative</x:v>
      </x:c>
      <x:c r="X626" s="12"/>
      <x:c r="Y626" s="12" t="str">
        <x:v>negative</x:v>
      </x:c>
      <x:c r="Z626" s="12" t="str">
        <x:f>IF(OR(W626="unavailable",Y626="unavailable"),"不可评价",IF(OR(W626="equivocal",Y626="equivocal"),"疑似",IF(AND(W626="positive",Y626="positive"),"a",IF(Y626="positive","b",IF(W626="positive","c","d")))))</x:f>
        <x:v>d</x:v>
      </x:c>
      <x:c r="AA626" s="12" t="str">
        <x:f>IF(OR(M626="unavailable",O626="unavailable"),"不可评价",IF(AND(OR(M626="positive",M626="equivocal"),OR(O626="positive",O626="equivocal")),"a",IF(OR(O626="positive",O626="equivocal"),"b",IF(OR(M626="positive",M626="equivocal"),"c","d"))))</x:f>
        <x:v>d</x:v>
      </x:c>
      <x:c r="AB626" s="12" t="str">
        <x:f>IF(OR(M626="unavailable",O626="unavailable"),"不可评价",IF(AND(M626="positive",O626="positive"),"a",IF(O626="positive","b",IF(M626="positive","c","d"))))</x:f>
        <x:v>d</x:v>
      </x:c>
      <x:c r="AC626" s="12" t="str">
        <x:f>IF(OR(R626="unavailable",T626="unavailable"),"不可评价",IF(AND(OR(R626="positive",R626="equivocal"),OR(T626="positive",T626="equivocal")),"a",IF(OR(T626="positive",T626="equivocal"),"b",IF(OR(R626="positive",R626="equivocal"),"c","d"))))</x:f>
        <x:v>d</x:v>
      </x:c>
      <x:c r="AD626" s="12" t="str">
        <x:f>IF(OR(R626="unavailable",T626="unavailable"),"不可评价",IF(AND(R626="positive",T626="positive"),"a",IF(T626="positive","b",IF(R626="positive","c","d"))))</x:f>
        <x:v>d</x:v>
      </x:c>
      <x:c r="AE626" s="12" t="str">
        <x:f>IF(OR(W626="unavailable",Y626="unavailable"),"不可评价",IF(AND(OR(W626="positive",W626="equivocal"),OR(Y626="positive",Y626="equivocal")),"a",IF(OR(Y626="positive",Y626="equivocal"),"b",IF(OR(W626="positive",W626="equivocal"),"c","d"))))</x:f>
        <x:v>d</x:v>
      </x:c>
      <x:c r="AF626" s="12" t="str">
        <x:f>IF(OR(W626="unavailable",Y626="unavailable"),"不可评价",IF(AND(W626="positive",Y626="positive"),"a",IF(Y626="positive","b",IF(W626="positive","c","d"))))</x:f>
        <x:v>d</x:v>
      </x:c>
    </x:row>
    <x:row r="627" ht="24" customHeight="1">
      <x:c r="A627" s="12" t="str">
        <x:v>5117</x:v>
      </x:c>
      <x:c r="B627" s="12" t="str">
        <x:v>8425</x:v>
      </x:c>
      <x:c r="C627" s="21" t="n">
        <x:v>33152.56935185185</x:v>
      </x:c>
      <x:c r="D627" s="12" t="n">
        <x:v>67</x:v>
      </x:c>
      <x:c r="E627" s="12" t="n">
        <x:v>0</x:v>
      </x:c>
      <x:c r="F627" s="12" t="str">
        <x:v>未记录</x:v>
      </x:c>
      <x:c r="G627" s="12" t="n">
        <x:v>1</x:v>
      </x:c>
      <x:c r="H627" s="12" t="str">
        <x:v>{'NORM': 50.0, 'IRBBB': 100.0, 'ABQRS': 0.0, 'SR': 0.0}</x:v>
      </x:c>
      <x:c r="I627" s="12" t="str">
        <x:v>[('NSR', 100.0), ('NML', 100.0)]</x:v>
      </x:c>
      <x:c r="J627" s="12" t="str">
        <x:v>ptbxl_database.csv；ecg_id=5117；scp_codes</x:v>
      </x:c>
      <x:c r="K627" s="12" t="str">
        <x:v>12sl_statements.csv；ecg_id=5117；statements_ext_snomed</x:v>
      </x:c>
      <x:c r="L627" s="12"/>
      <x:c r="M627" s="12" t="str">
        <x:v>negative</x:v>
      </x:c>
      <x:c r="N627" s="12"/>
      <x:c r="O627" s="12" t="str">
        <x:v>negative</x:v>
      </x:c>
      <x:c r="P627" s="12" t="str">
        <x:f>IF(OR(M627="unavailable",O627="unavailable"),"不可评价",IF(OR(M627="equivocal",O627="equivocal"),"疑似",IF(AND(M627="positive",O627="positive"),"a",IF(O627="positive","b",IF(M627="positive","c","d")))))</x:f>
        <x:v>d</x:v>
      </x:c>
      <x:c r="Q627" s="12"/>
      <x:c r="R627" s="12" t="str">
        <x:v>negative</x:v>
      </x:c>
      <x:c r="S627" s="12"/>
      <x:c r="T627" s="12" t="str">
        <x:v>negative</x:v>
      </x:c>
      <x:c r="U627" s="12" t="str">
        <x:f>IF(OR(R627="unavailable",T627="unavailable"),"不可评价",IF(OR(R627="equivocal",T627="equivocal"),"疑似",IF(AND(R627="positive",T627="positive"),"a",IF(T627="positive","b",IF(R627="positive","c","d")))))</x:f>
        <x:v>d</x:v>
      </x:c>
      <x:c r="V627" s="12"/>
      <x:c r="W627" s="12" t="str">
        <x:v>negative</x:v>
      </x:c>
      <x:c r="X627" s="12"/>
      <x:c r="Y627" s="12" t="str">
        <x:v>negative</x:v>
      </x:c>
      <x:c r="Z627" s="12" t="str">
        <x:f>IF(OR(W627="unavailable",Y627="unavailable"),"不可评价",IF(OR(W627="equivocal",Y627="equivocal"),"疑似",IF(AND(W627="positive",Y627="positive"),"a",IF(Y627="positive","b",IF(W627="positive","c","d")))))</x:f>
        <x:v>d</x:v>
      </x:c>
      <x:c r="AA627" s="12" t="str">
        <x:f>IF(OR(M627="unavailable",O627="unavailable"),"不可评价",IF(AND(OR(M627="positive",M627="equivocal"),OR(O627="positive",O627="equivocal")),"a",IF(OR(O627="positive",O627="equivocal"),"b",IF(OR(M627="positive",M627="equivocal"),"c","d"))))</x:f>
        <x:v>d</x:v>
      </x:c>
      <x:c r="AB627" s="12" t="str">
        <x:f>IF(OR(M627="unavailable",O627="unavailable"),"不可评价",IF(AND(M627="positive",O627="positive"),"a",IF(O627="positive","b",IF(M627="positive","c","d"))))</x:f>
        <x:v>d</x:v>
      </x:c>
      <x:c r="AC627" s="12" t="str">
        <x:f>IF(OR(R627="unavailable",T627="unavailable"),"不可评价",IF(AND(OR(R627="positive",R627="equivocal"),OR(T627="positive",T627="equivocal")),"a",IF(OR(T627="positive",T627="equivocal"),"b",IF(OR(R627="positive",R627="equivocal"),"c","d"))))</x:f>
        <x:v>d</x:v>
      </x:c>
      <x:c r="AD627" s="12" t="str">
        <x:f>IF(OR(R627="unavailable",T627="unavailable"),"不可评价",IF(AND(R627="positive",T627="positive"),"a",IF(T627="positive","b",IF(R627="positive","c","d"))))</x:f>
        <x:v>d</x:v>
      </x:c>
      <x:c r="AE627" s="12" t="str">
        <x:f>IF(OR(W627="unavailable",Y627="unavailable"),"不可评价",IF(AND(OR(W627="positive",W627="equivocal"),OR(Y627="positive",Y627="equivocal")),"a",IF(OR(Y627="positive",Y627="equivocal"),"b",IF(OR(W627="positive",W627="equivocal"),"c","d"))))</x:f>
        <x:v>d</x:v>
      </x:c>
      <x:c r="AF627" s="12" t="str">
        <x:f>IF(OR(W627="unavailable",Y627="unavailable"),"不可评价",IF(AND(W627="positive",Y627="positive"),"a",IF(Y627="positive","b",IF(W627="positive","c","d"))))</x:f>
        <x:v>d</x:v>
      </x:c>
    </x:row>
    <x:row r="628" ht="24" customHeight="1">
      <x:c r="A628" s="12" t="str">
        <x:v>5122</x:v>
      </x:c>
      <x:c r="B628" s="12" t="str">
        <x:v>17141</x:v>
      </x:c>
      <x:c r="C628" s="21" t="n">
        <x:v>33153.36209490741</x:v>
      </x:c>
      <x:c r="D628" s="12" t="n">
        <x:v>54</x:v>
      </x:c>
      <x:c r="E628" s="12" t="n">
        <x:v>0</x:v>
      </x:c>
      <x:c r="F628" s="12" t="str">
        <x:v>未记录</x:v>
      </x:c>
      <x:c r="G628" s="12" t="n">
        <x:v>1</x:v>
      </x:c>
      <x:c r="H628" s="12" t="str">
        <x:v>{'NDT': 100.0, 'SR': 0.0}</x:v>
      </x:c>
      <x:c r="I628" s="12" t="str">
        <x:v>[('NSR', 100.0), ('NSTT', 100.0), ('LNGQT', 100.0), ('AB', 100.0)]</x:v>
      </x:c>
      <x:c r="J628" s="12" t="str">
        <x:v>ptbxl_database.csv；ecg_id=5122；scp_codes</x:v>
      </x:c>
      <x:c r="K628" s="12" t="str">
        <x:v>12sl_statements.csv；ecg_id=5122；statements_ext_snomed</x:v>
      </x:c>
      <x:c r="L628" s="12"/>
      <x:c r="M628" s="12" t="str">
        <x:v>negative</x:v>
      </x:c>
      <x:c r="N628" s="12"/>
      <x:c r="O628" s="12" t="str">
        <x:v>negative</x:v>
      </x:c>
      <x:c r="P628" s="12" t="str">
        <x:f>IF(OR(M628="unavailable",O628="unavailable"),"不可评价",IF(OR(M628="equivocal",O628="equivocal"),"疑似",IF(AND(M628="positive",O628="positive"),"a",IF(O628="positive","b",IF(M628="positive","c","d")))))</x:f>
        <x:v>d</x:v>
      </x:c>
      <x:c r="Q628" s="12"/>
      <x:c r="R628" s="12" t="str">
        <x:v>negative</x:v>
      </x:c>
      <x:c r="S628" s="12"/>
      <x:c r="T628" s="12" t="str">
        <x:v>negative</x:v>
      </x:c>
      <x:c r="U628" s="12" t="str">
        <x:f>IF(OR(R628="unavailable",T628="unavailable"),"不可评价",IF(OR(R628="equivocal",T628="equivocal"),"疑似",IF(AND(R628="positive",T628="positive"),"a",IF(T628="positive","b",IF(R628="positive","c","d")))))</x:f>
        <x:v>d</x:v>
      </x:c>
      <x:c r="V628" s="12"/>
      <x:c r="W628" s="12" t="str">
        <x:v>negative</x:v>
      </x:c>
      <x:c r="X628" s="12"/>
      <x:c r="Y628" s="12" t="str">
        <x:v>negative</x:v>
      </x:c>
      <x:c r="Z628" s="12" t="str">
        <x:f>IF(OR(W628="unavailable",Y628="unavailable"),"不可评价",IF(OR(W628="equivocal",Y628="equivocal"),"疑似",IF(AND(W628="positive",Y628="positive"),"a",IF(Y628="positive","b",IF(W628="positive","c","d")))))</x:f>
        <x:v>d</x:v>
      </x:c>
      <x:c r="AA628" s="12" t="str">
        <x:f>IF(OR(M628="unavailable",O628="unavailable"),"不可评价",IF(AND(OR(M628="positive",M628="equivocal"),OR(O628="positive",O628="equivocal")),"a",IF(OR(O628="positive",O628="equivocal"),"b",IF(OR(M628="positive",M628="equivocal"),"c","d"))))</x:f>
        <x:v>d</x:v>
      </x:c>
      <x:c r="AB628" s="12" t="str">
        <x:f>IF(OR(M628="unavailable",O628="unavailable"),"不可评价",IF(AND(M628="positive",O628="positive"),"a",IF(O628="positive","b",IF(M628="positive","c","d"))))</x:f>
        <x:v>d</x:v>
      </x:c>
      <x:c r="AC628" s="12" t="str">
        <x:f>IF(OR(R628="unavailable",T628="unavailable"),"不可评价",IF(AND(OR(R628="positive",R628="equivocal"),OR(T628="positive",T628="equivocal")),"a",IF(OR(T628="positive",T628="equivocal"),"b",IF(OR(R628="positive",R628="equivocal"),"c","d"))))</x:f>
        <x:v>d</x:v>
      </x:c>
      <x:c r="AD628" s="12" t="str">
        <x:f>IF(OR(R628="unavailable",T628="unavailable"),"不可评价",IF(AND(R628="positive",T628="positive"),"a",IF(T628="positive","b",IF(R628="positive","c","d"))))</x:f>
        <x:v>d</x:v>
      </x:c>
      <x:c r="AE628" s="12" t="str">
        <x:f>IF(OR(W628="unavailable",Y628="unavailable"),"不可评价",IF(AND(OR(W628="positive",W628="equivocal"),OR(Y628="positive",Y628="equivocal")),"a",IF(OR(Y628="positive",Y628="equivocal"),"b",IF(OR(W628="positive",W628="equivocal"),"c","d"))))</x:f>
        <x:v>d</x:v>
      </x:c>
      <x:c r="AF628" s="12" t="str">
        <x:f>IF(OR(W628="unavailable",Y628="unavailable"),"不可评价",IF(AND(W628="positive",Y628="positive"),"a",IF(Y628="positive","b",IF(W628="positive","c","d"))))</x:f>
        <x:v>d</x:v>
      </x:c>
    </x:row>
    <x:row r="629" ht="24" customHeight="1">
      <x:c r="A629" s="12" t="str">
        <x:v>5126</x:v>
      </x:c>
      <x:c r="B629" s="12" t="str">
        <x:v>16392</x:v>
      </x:c>
      <x:c r="C629" s="21" t="n">
        <x:v>33153.484351851854</x:v>
      </x:c>
      <x:c r="D629" s="12" t="n">
        <x:v>45</x:v>
      </x:c>
      <x:c r="E629" s="12" t="n">
        <x:v>0</x:v>
      </x:c>
      <x:c r="F629" s="12" t="str">
        <x:v>未记录</x:v>
      </x:c>
      <x:c r="G629" s="12" t="n">
        <x:v>1</x:v>
      </x:c>
      <x:c r="H629" s="12" t="str">
        <x:v>{'NORM': 80.0, 'SARRH': 0.0}</x:v>
      </x:c>
      <x:c r="I629" s="12" t="str">
        <x:v>[('NSR', 100.0), ('SAR', 100.0), ('NML', 100.0)]</x:v>
      </x:c>
      <x:c r="J629" s="12" t="str">
        <x:v>ptbxl_database.csv；ecg_id=5126；scp_codes</x:v>
      </x:c>
      <x:c r="K629" s="12" t="str">
        <x:v>12sl_statements.csv；ecg_id=5126；statements_ext_snomed</x:v>
      </x:c>
      <x:c r="L629" s="12"/>
      <x:c r="M629" s="12" t="str">
        <x:v>negative</x:v>
      </x:c>
      <x:c r="N629" s="12"/>
      <x:c r="O629" s="12" t="str">
        <x:v>negative</x:v>
      </x:c>
      <x:c r="P629" s="12" t="str">
        <x:f>IF(OR(M629="unavailable",O629="unavailable"),"不可评价",IF(OR(M629="equivocal",O629="equivocal"),"疑似",IF(AND(M629="positive",O629="positive"),"a",IF(O629="positive","b",IF(M629="positive","c","d")))))</x:f>
        <x:v>d</x:v>
      </x:c>
      <x:c r="Q629" s="12"/>
      <x:c r="R629" s="12" t="str">
        <x:v>negative</x:v>
      </x:c>
      <x:c r="S629" s="12"/>
      <x:c r="T629" s="12" t="str">
        <x:v>negative</x:v>
      </x:c>
      <x:c r="U629" s="12" t="str">
        <x:f>IF(OR(R629="unavailable",T629="unavailable"),"不可评价",IF(OR(R629="equivocal",T629="equivocal"),"疑似",IF(AND(R629="positive",T629="positive"),"a",IF(T629="positive","b",IF(R629="positive","c","d")))))</x:f>
        <x:v>d</x:v>
      </x:c>
      <x:c r="V629" s="12"/>
      <x:c r="W629" s="12" t="str">
        <x:v>negative</x:v>
      </x:c>
      <x:c r="X629" s="12"/>
      <x:c r="Y629" s="12" t="str">
        <x:v>negative</x:v>
      </x:c>
      <x:c r="Z629" s="12" t="str">
        <x:f>IF(OR(W629="unavailable",Y629="unavailable"),"不可评价",IF(OR(W629="equivocal",Y629="equivocal"),"疑似",IF(AND(W629="positive",Y629="positive"),"a",IF(Y629="positive","b",IF(W629="positive","c","d")))))</x:f>
        <x:v>d</x:v>
      </x:c>
      <x:c r="AA629" s="12" t="str">
        <x:f>IF(OR(M629="unavailable",O629="unavailable"),"不可评价",IF(AND(OR(M629="positive",M629="equivocal"),OR(O629="positive",O629="equivocal")),"a",IF(OR(O629="positive",O629="equivocal"),"b",IF(OR(M629="positive",M629="equivocal"),"c","d"))))</x:f>
        <x:v>d</x:v>
      </x:c>
      <x:c r="AB629" s="12" t="str">
        <x:f>IF(OR(M629="unavailable",O629="unavailable"),"不可评价",IF(AND(M629="positive",O629="positive"),"a",IF(O629="positive","b",IF(M629="positive","c","d"))))</x:f>
        <x:v>d</x:v>
      </x:c>
      <x:c r="AC629" s="12" t="str">
        <x:f>IF(OR(R629="unavailable",T629="unavailable"),"不可评价",IF(AND(OR(R629="positive",R629="equivocal"),OR(T629="positive",T629="equivocal")),"a",IF(OR(T629="positive",T629="equivocal"),"b",IF(OR(R629="positive",R629="equivocal"),"c","d"))))</x:f>
        <x:v>d</x:v>
      </x:c>
      <x:c r="AD629" s="12" t="str">
        <x:f>IF(OR(R629="unavailable",T629="unavailable"),"不可评价",IF(AND(R629="positive",T629="positive"),"a",IF(T629="positive","b",IF(R629="positive","c","d"))))</x:f>
        <x:v>d</x:v>
      </x:c>
      <x:c r="AE629" s="12" t="str">
        <x:f>IF(OR(W629="unavailable",Y629="unavailable"),"不可评价",IF(AND(OR(W629="positive",W629="equivocal"),OR(Y629="positive",Y629="equivocal")),"a",IF(OR(Y629="positive",Y629="equivocal"),"b",IF(OR(W629="positive",W629="equivocal"),"c","d"))))</x:f>
        <x:v>d</x:v>
      </x:c>
      <x:c r="AF629" s="12" t="str">
        <x:f>IF(OR(W629="unavailable",Y629="unavailable"),"不可评价",IF(AND(W629="positive",Y629="positive"),"a",IF(Y629="positive","b",IF(W629="positive","c","d"))))</x:f>
        <x:v>d</x:v>
      </x:c>
    </x:row>
    <x:row r="630" ht="24" customHeight="1">
      <x:c r="A630" s="12" t="str">
        <x:v>5147</x:v>
      </x:c>
      <x:c r="B630" s="12" t="str">
        <x:v>9001</x:v>
      </x:c>
      <x:c r="C630" s="21" t="n">
        <x:v>33157.593125</x:v>
      </x:c>
      <x:c r="D630" s="12" t="n">
        <x:v>78</x:v>
      </x:c>
      <x:c r="E630" s="12" t="n">
        <x:v>0</x:v>
      </x:c>
      <x:c r="F630" s="12" t="str">
        <x:v>未记录</x:v>
      </x:c>
      <x:c r="G630" s="12" t="n">
        <x:v>0</x:v>
      </x:c>
      <x:c r="H630" s="12" t="str">
        <x:v>{'ALMI': 35.0, 'ABQRS': 0.0, 'SR': 0.0}</x:v>
      </x:c>
      <x:c r="I630" s="12" t="str">
        <x:v>[('NSR', 100.0), ('ALMI;AU', 50.0), ('AB', 100.0)]</x:v>
      </x:c>
      <x:c r="J630" s="12" t="str">
        <x:v>ptbxl_database.csv；ecg_id=5147；scp_codes</x:v>
      </x:c>
      <x:c r="K630" s="12" t="str">
        <x:v>12sl_statements.csv；ecg_id=5147；statements_ext_snomed</x:v>
      </x:c>
      <x:c r="L630" s="12"/>
      <x:c r="M630" s="12" t="str">
        <x:v>negative</x:v>
      </x:c>
      <x:c r="N630" s="12"/>
      <x:c r="O630" s="12" t="str">
        <x:v>negative</x:v>
      </x:c>
      <x:c r="P630" s="12" t="str">
        <x:f>IF(OR(M630="unavailable",O630="unavailable"),"不可评价",IF(OR(M630="equivocal",O630="equivocal"),"疑似",IF(AND(M630="positive",O630="positive"),"a",IF(O630="positive","b",IF(M630="positive","c","d")))))</x:f>
        <x:v>d</x:v>
      </x:c>
      <x:c r="Q630" s="12"/>
      <x:c r="R630" s="12" t="str">
        <x:v>negative</x:v>
      </x:c>
      <x:c r="S630" s="12"/>
      <x:c r="T630" s="12" t="str">
        <x:v>negative</x:v>
      </x:c>
      <x:c r="U630" s="12" t="str">
        <x:f>IF(OR(R630="unavailable",T630="unavailable"),"不可评价",IF(OR(R630="equivocal",T630="equivocal"),"疑似",IF(AND(R630="positive",T630="positive"),"a",IF(T630="positive","b",IF(R630="positive","c","d")))))</x:f>
        <x:v>d</x:v>
      </x:c>
      <x:c r="V630" s="12"/>
      <x:c r="W630" s="12" t="str">
        <x:v>negative</x:v>
      </x:c>
      <x:c r="X630" s="12"/>
      <x:c r="Y630" s="12" t="str">
        <x:v>negative</x:v>
      </x:c>
      <x:c r="Z630" s="12" t="str">
        <x:f>IF(OR(W630="unavailable",Y630="unavailable"),"不可评价",IF(OR(W630="equivocal",Y630="equivocal"),"疑似",IF(AND(W630="positive",Y630="positive"),"a",IF(Y630="positive","b",IF(W630="positive","c","d")))))</x:f>
        <x:v>d</x:v>
      </x:c>
      <x:c r="AA630" s="12" t="str">
        <x:f>IF(OR(M630="unavailable",O630="unavailable"),"不可评价",IF(AND(OR(M630="positive",M630="equivocal"),OR(O630="positive",O630="equivocal")),"a",IF(OR(O630="positive",O630="equivocal"),"b",IF(OR(M630="positive",M630="equivocal"),"c","d"))))</x:f>
        <x:v>d</x:v>
      </x:c>
      <x:c r="AB630" s="12" t="str">
        <x:f>IF(OR(M630="unavailable",O630="unavailable"),"不可评价",IF(AND(M630="positive",O630="positive"),"a",IF(O630="positive","b",IF(M630="positive","c","d"))))</x:f>
        <x:v>d</x:v>
      </x:c>
      <x:c r="AC630" s="12" t="str">
        <x:f>IF(OR(R630="unavailable",T630="unavailable"),"不可评价",IF(AND(OR(R630="positive",R630="equivocal"),OR(T630="positive",T630="equivocal")),"a",IF(OR(T630="positive",T630="equivocal"),"b",IF(OR(R630="positive",R630="equivocal"),"c","d"))))</x:f>
        <x:v>d</x:v>
      </x:c>
      <x:c r="AD630" s="12" t="str">
        <x:f>IF(OR(R630="unavailable",T630="unavailable"),"不可评价",IF(AND(R630="positive",T630="positive"),"a",IF(T630="positive","b",IF(R630="positive","c","d"))))</x:f>
        <x:v>d</x:v>
      </x:c>
      <x:c r="AE630" s="12" t="str">
        <x:f>IF(OR(W630="unavailable",Y630="unavailable"),"不可评价",IF(AND(OR(W630="positive",W630="equivocal"),OR(Y630="positive",Y630="equivocal")),"a",IF(OR(Y630="positive",Y630="equivocal"),"b",IF(OR(W630="positive",W630="equivocal"),"c","d"))))</x:f>
        <x:v>d</x:v>
      </x:c>
      <x:c r="AF630" s="12" t="str">
        <x:f>IF(OR(W630="unavailable",Y630="unavailable"),"不可评价",IF(AND(W630="positive",Y630="positive"),"a",IF(Y630="positive","b",IF(W630="positive","c","d"))))</x:f>
        <x:v>d</x:v>
      </x:c>
    </x:row>
    <x:row r="631" ht="24" customHeight="1">
      <x:c r="A631" s="12" t="str">
        <x:v>5151</x:v>
      </x:c>
      <x:c r="B631" s="12" t="str">
        <x:v>14247</x:v>
      </x:c>
      <x:c r="C631" s="21" t="n">
        <x:v>33158.37961805556</x:v>
      </x:c>
      <x:c r="D631" s="12" t="n">
        <x:v>46</x:v>
      </x:c>
      <x:c r="E631" s="12" t="n">
        <x:v>1</x:v>
      </x:c>
      <x:c r="F631" s="12" t="str">
        <x:v>未记录</x:v>
      </x:c>
      <x:c r="G631" s="12" t="n">
        <x:v>1</x:v>
      </x:c>
      <x:c r="H631" s="12" t="str">
        <x:v>{'NORM': 100.0}</x:v>
      </x:c>
      <x:c r="I631" s="12" t="str">
        <x:v>[('SBRAD', 100.0), ('ABR', 100.0)]</x:v>
      </x:c>
      <x:c r="J631" s="12" t="str">
        <x:v>ptbxl_database.csv；ecg_id=5151；scp_codes</x:v>
      </x:c>
      <x:c r="K631" s="12" t="str">
        <x:v>12sl_statements.csv；ecg_id=5151；statements_ext_snomed</x:v>
      </x:c>
      <x:c r="L631" s="12"/>
      <x:c r="M631" s="12" t="str">
        <x:v>negative</x:v>
      </x:c>
      <x:c r="N631" s="12"/>
      <x:c r="O631" s="12" t="str">
        <x:v>negative</x:v>
      </x:c>
      <x:c r="P631" s="12" t="str">
        <x:f>IF(OR(M631="unavailable",O631="unavailable"),"不可评价",IF(OR(M631="equivocal",O631="equivocal"),"疑似",IF(AND(M631="positive",O631="positive"),"a",IF(O631="positive","b",IF(M631="positive","c","d")))))</x:f>
        <x:v>d</x:v>
      </x:c>
      <x:c r="Q631" s="12"/>
      <x:c r="R631" s="12" t="str">
        <x:v>negative</x:v>
      </x:c>
      <x:c r="S631" s="12"/>
      <x:c r="T631" s="12" t="str">
        <x:v>negative</x:v>
      </x:c>
      <x:c r="U631" s="12" t="str">
        <x:f>IF(OR(R631="unavailable",T631="unavailable"),"不可评价",IF(OR(R631="equivocal",T631="equivocal"),"疑似",IF(AND(R631="positive",T631="positive"),"a",IF(T631="positive","b",IF(R631="positive","c","d")))))</x:f>
        <x:v>d</x:v>
      </x:c>
      <x:c r="V631" s="12"/>
      <x:c r="W631" s="12" t="str">
        <x:v>negative</x:v>
      </x:c>
      <x:c r="X631" s="12"/>
      <x:c r="Y631" s="12" t="str">
        <x:v>negative</x:v>
      </x:c>
      <x:c r="Z631" s="12" t="str">
        <x:f>IF(OR(W631="unavailable",Y631="unavailable"),"不可评价",IF(OR(W631="equivocal",Y631="equivocal"),"疑似",IF(AND(W631="positive",Y631="positive"),"a",IF(Y631="positive","b",IF(W631="positive","c","d")))))</x:f>
        <x:v>d</x:v>
      </x:c>
      <x:c r="AA631" s="12" t="str">
        <x:f>IF(OR(M631="unavailable",O631="unavailable"),"不可评价",IF(AND(OR(M631="positive",M631="equivocal"),OR(O631="positive",O631="equivocal")),"a",IF(OR(O631="positive",O631="equivocal"),"b",IF(OR(M631="positive",M631="equivocal"),"c","d"))))</x:f>
        <x:v>d</x:v>
      </x:c>
      <x:c r="AB631" s="12" t="str">
        <x:f>IF(OR(M631="unavailable",O631="unavailable"),"不可评价",IF(AND(M631="positive",O631="positive"),"a",IF(O631="positive","b",IF(M631="positive","c","d"))))</x:f>
        <x:v>d</x:v>
      </x:c>
      <x:c r="AC631" s="12" t="str">
        <x:f>IF(OR(R631="unavailable",T631="unavailable"),"不可评价",IF(AND(OR(R631="positive",R631="equivocal"),OR(T631="positive",T631="equivocal")),"a",IF(OR(T631="positive",T631="equivocal"),"b",IF(OR(R631="positive",R631="equivocal"),"c","d"))))</x:f>
        <x:v>d</x:v>
      </x:c>
      <x:c r="AD631" s="12" t="str">
        <x:f>IF(OR(R631="unavailable",T631="unavailable"),"不可评价",IF(AND(R631="positive",T631="positive"),"a",IF(T631="positive","b",IF(R631="positive","c","d"))))</x:f>
        <x:v>d</x:v>
      </x:c>
      <x:c r="AE631" s="12" t="str">
        <x:f>IF(OR(W631="unavailable",Y631="unavailable"),"不可评价",IF(AND(OR(W631="positive",W631="equivocal"),OR(Y631="positive",Y631="equivocal")),"a",IF(OR(Y631="positive",Y631="equivocal"),"b",IF(OR(W631="positive",W631="equivocal"),"c","d"))))</x:f>
        <x:v>d</x:v>
      </x:c>
      <x:c r="AF631" s="12" t="str">
        <x:f>IF(OR(W631="unavailable",Y631="unavailable"),"不可评价",IF(AND(W631="positive",Y631="positive"),"a",IF(Y631="positive","b",IF(W631="positive","c","d"))))</x:f>
        <x:v>d</x:v>
      </x:c>
    </x:row>
    <x:row r="632" ht="24" customHeight="1">
      <x:c r="A632" s="12" t="str">
        <x:v>5154</x:v>
      </x:c>
      <x:c r="B632" s="12" t="str">
        <x:v>9001</x:v>
      </x:c>
      <x:c r="C632" s="21" t="n">
        <x:v>33158.470034722224</x:v>
      </x:c>
      <x:c r="D632" s="12" t="n">
        <x:v>78</x:v>
      </x:c>
      <x:c r="E632" s="12" t="n">
        <x:v>0</x:v>
      </x:c>
      <x:c r="F632" s="12" t="str">
        <x:v>未记录</x:v>
      </x:c>
      <x:c r="G632" s="12" t="n">
        <x:v>0</x:v>
      </x:c>
      <x:c r="H632" s="12" t="str">
        <x:v>{'ASMI': 50.0, 'ALMI': 100.0, 'IRBBB': 100.0, 'ABQRS': 0.0, 'SR': 0.0}</x:v>
      </x:c>
      <x:c r="I632" s="12" t="str">
        <x:v>[('NSR', 100.0), ('ALMI;AU', 50.0), ('AB', 100.0)]</x:v>
      </x:c>
      <x:c r="J632" s="12" t="str">
        <x:v>ptbxl_database.csv；ecg_id=5154；scp_codes</x:v>
      </x:c>
      <x:c r="K632" s="12" t="str">
        <x:v>12sl_statements.csv；ecg_id=5154；statements_ext_snomed</x:v>
      </x:c>
      <x:c r="L632" s="12"/>
      <x:c r="M632" s="12" t="str">
        <x:v>negative</x:v>
      </x:c>
      <x:c r="N632" s="12"/>
      <x:c r="O632" s="12" t="str">
        <x:v>negative</x:v>
      </x:c>
      <x:c r="P632" s="12" t="str">
        <x:f>IF(OR(M632="unavailable",O632="unavailable"),"不可评价",IF(OR(M632="equivocal",O632="equivocal"),"疑似",IF(AND(M632="positive",O632="positive"),"a",IF(O632="positive","b",IF(M632="positive","c","d")))))</x:f>
        <x:v>d</x:v>
      </x:c>
      <x:c r="Q632" s="12"/>
      <x:c r="R632" s="12" t="str">
        <x:v>negative</x:v>
      </x:c>
      <x:c r="S632" s="12"/>
      <x:c r="T632" s="12" t="str">
        <x:v>negative</x:v>
      </x:c>
      <x:c r="U632" s="12" t="str">
        <x:f>IF(OR(R632="unavailable",T632="unavailable"),"不可评价",IF(OR(R632="equivocal",T632="equivocal"),"疑似",IF(AND(R632="positive",T632="positive"),"a",IF(T632="positive","b",IF(R632="positive","c","d")))))</x:f>
        <x:v>d</x:v>
      </x:c>
      <x:c r="V632" s="12"/>
      <x:c r="W632" s="12" t="str">
        <x:v>negative</x:v>
      </x:c>
      <x:c r="X632" s="12"/>
      <x:c r="Y632" s="12" t="str">
        <x:v>negative</x:v>
      </x:c>
      <x:c r="Z632" s="12" t="str">
        <x:f>IF(OR(W632="unavailable",Y632="unavailable"),"不可评价",IF(OR(W632="equivocal",Y632="equivocal"),"疑似",IF(AND(W632="positive",Y632="positive"),"a",IF(Y632="positive","b",IF(W632="positive","c","d")))))</x:f>
        <x:v>d</x:v>
      </x:c>
      <x:c r="AA632" s="12" t="str">
        <x:f>IF(OR(M632="unavailable",O632="unavailable"),"不可评价",IF(AND(OR(M632="positive",M632="equivocal"),OR(O632="positive",O632="equivocal")),"a",IF(OR(O632="positive",O632="equivocal"),"b",IF(OR(M632="positive",M632="equivocal"),"c","d"))))</x:f>
        <x:v>d</x:v>
      </x:c>
      <x:c r="AB632" s="12" t="str">
        <x:f>IF(OR(M632="unavailable",O632="unavailable"),"不可评价",IF(AND(M632="positive",O632="positive"),"a",IF(O632="positive","b",IF(M632="positive","c","d"))))</x:f>
        <x:v>d</x:v>
      </x:c>
      <x:c r="AC632" s="12" t="str">
        <x:f>IF(OR(R632="unavailable",T632="unavailable"),"不可评价",IF(AND(OR(R632="positive",R632="equivocal"),OR(T632="positive",T632="equivocal")),"a",IF(OR(T632="positive",T632="equivocal"),"b",IF(OR(R632="positive",R632="equivocal"),"c","d"))))</x:f>
        <x:v>d</x:v>
      </x:c>
      <x:c r="AD632" s="12" t="str">
        <x:f>IF(OR(R632="unavailable",T632="unavailable"),"不可评价",IF(AND(R632="positive",T632="positive"),"a",IF(T632="positive","b",IF(R632="positive","c","d"))))</x:f>
        <x:v>d</x:v>
      </x:c>
      <x:c r="AE632" s="12" t="str">
        <x:f>IF(OR(W632="unavailable",Y632="unavailable"),"不可评价",IF(AND(OR(W632="positive",W632="equivocal"),OR(Y632="positive",Y632="equivocal")),"a",IF(OR(Y632="positive",Y632="equivocal"),"b",IF(OR(W632="positive",W632="equivocal"),"c","d"))))</x:f>
        <x:v>d</x:v>
      </x:c>
      <x:c r="AF632" s="12" t="str">
        <x:f>IF(OR(W632="unavailable",Y632="unavailable"),"不可评价",IF(AND(W632="positive",Y632="positive"),"a",IF(Y632="positive","b",IF(W632="positive","c","d"))))</x:f>
        <x:v>d</x:v>
      </x:c>
    </x:row>
    <x:row r="633" ht="24" customHeight="1">
      <x:c r="A633" s="12" t="str">
        <x:v>5159</x:v>
      </x:c>
      <x:c r="B633" s="12" t="str">
        <x:v>9001</x:v>
      </x:c>
      <x:c r="C633" s="21" t="n">
        <x:v>33159.42568287037</x:v>
      </x:c>
      <x:c r="D633" s="12" t="n">
        <x:v>78</x:v>
      </x:c>
      <x:c r="E633" s="12" t="n">
        <x:v>0</x:v>
      </x:c>
      <x:c r="F633" s="12" t="str">
        <x:v>存在</x:v>
      </x:c>
      <x:c r="G633" s="12" t="n">
        <x:v>0</x:v>
      </x:c>
      <x:c r="H633" s="12" t="str">
        <x:v>{'ALMI': 100.0, 'ABQRS': 0.0, 'SR': 0.0}</x:v>
      </x:c>
      <x:c r="I633" s="12" t="str">
        <x:v>[('NSR', 100.0), ('ALMI;AU', 50.0), ('AB', 100.0)]</x:v>
      </x:c>
      <x:c r="J633" s="12" t="str">
        <x:v>ptbxl_database.csv；ecg_id=5159；scp_codes</x:v>
      </x:c>
      <x:c r="K633" s="12" t="str">
        <x:v>12sl_statements.csv；ecg_id=5159；statements_ext_snomed</x:v>
      </x:c>
      <x:c r="L633" s="12"/>
      <x:c r="M633" s="12" t="str">
        <x:v>negative</x:v>
      </x:c>
      <x:c r="N633" s="12"/>
      <x:c r="O633" s="12" t="str">
        <x:v>negative</x:v>
      </x:c>
      <x:c r="P633" s="12" t="str">
        <x:f>IF(OR(M633="unavailable",O633="unavailable"),"不可评价",IF(OR(M633="equivocal",O633="equivocal"),"疑似",IF(AND(M633="positive",O633="positive"),"a",IF(O633="positive","b",IF(M633="positive","c","d")))))</x:f>
        <x:v>d</x:v>
      </x:c>
      <x:c r="Q633" s="12"/>
      <x:c r="R633" s="12" t="str">
        <x:v>negative</x:v>
      </x:c>
      <x:c r="S633" s="12"/>
      <x:c r="T633" s="12" t="str">
        <x:v>negative</x:v>
      </x:c>
      <x:c r="U633" s="12" t="str">
        <x:f>IF(OR(R633="unavailable",T633="unavailable"),"不可评价",IF(OR(R633="equivocal",T633="equivocal"),"疑似",IF(AND(R633="positive",T633="positive"),"a",IF(T633="positive","b",IF(R633="positive","c","d")))))</x:f>
        <x:v>d</x:v>
      </x:c>
      <x:c r="V633" s="12"/>
      <x:c r="W633" s="12" t="str">
        <x:v>negative</x:v>
      </x:c>
      <x:c r="X633" s="12"/>
      <x:c r="Y633" s="12" t="str">
        <x:v>negative</x:v>
      </x:c>
      <x:c r="Z633" s="12" t="str">
        <x:f>IF(OR(W633="unavailable",Y633="unavailable"),"不可评价",IF(OR(W633="equivocal",Y633="equivocal"),"疑似",IF(AND(W633="positive",Y633="positive"),"a",IF(Y633="positive","b",IF(W633="positive","c","d")))))</x:f>
        <x:v>d</x:v>
      </x:c>
      <x:c r="AA633" s="12" t="str">
        <x:f>IF(OR(M633="unavailable",O633="unavailable"),"不可评价",IF(AND(OR(M633="positive",M633="equivocal"),OR(O633="positive",O633="equivocal")),"a",IF(OR(O633="positive",O633="equivocal"),"b",IF(OR(M633="positive",M633="equivocal"),"c","d"))))</x:f>
        <x:v>d</x:v>
      </x:c>
      <x:c r="AB633" s="12" t="str">
        <x:f>IF(OR(M633="unavailable",O633="unavailable"),"不可评价",IF(AND(M633="positive",O633="positive"),"a",IF(O633="positive","b",IF(M633="positive","c","d"))))</x:f>
        <x:v>d</x:v>
      </x:c>
      <x:c r="AC633" s="12" t="str">
        <x:f>IF(OR(R633="unavailable",T633="unavailable"),"不可评价",IF(AND(OR(R633="positive",R633="equivocal"),OR(T633="positive",T633="equivocal")),"a",IF(OR(T633="positive",T633="equivocal"),"b",IF(OR(R633="positive",R633="equivocal"),"c","d"))))</x:f>
        <x:v>d</x:v>
      </x:c>
      <x:c r="AD633" s="12" t="str">
        <x:f>IF(OR(R633="unavailable",T633="unavailable"),"不可评价",IF(AND(R633="positive",T633="positive"),"a",IF(T633="positive","b",IF(R633="positive","c","d"))))</x:f>
        <x:v>d</x:v>
      </x:c>
      <x:c r="AE633" s="12" t="str">
        <x:f>IF(OR(W633="unavailable",Y633="unavailable"),"不可评价",IF(AND(OR(W633="positive",W633="equivocal"),OR(Y633="positive",Y633="equivocal")),"a",IF(OR(Y633="positive",Y633="equivocal"),"b",IF(OR(W633="positive",W633="equivocal"),"c","d"))))</x:f>
        <x:v>d</x:v>
      </x:c>
      <x:c r="AF633" s="12" t="str">
        <x:f>IF(OR(W633="unavailable",Y633="unavailable"),"不可评价",IF(AND(W633="positive",Y633="positive"),"a",IF(Y633="positive","b",IF(W633="positive","c","d"))))</x:f>
        <x:v>d</x:v>
      </x:c>
    </x:row>
    <x:row r="634" ht="39" customHeight="1">
      <x:c r="A634" s="12" t="str">
        <x:v>5163</x:v>
      </x:c>
      <x:c r="B634" s="12" t="str">
        <x:v>19116</x:v>
      </x:c>
      <x:c r="C634" s="21" t="n">
        <x:v>33160.37090277778</x:v>
      </x:c>
      <x:c r="D634" s="12" t="n">
        <x:v>71</x:v>
      </x:c>
      <x:c r="E634" s="12" t="n">
        <x:v>0</x:v>
      </x:c>
      <x:c r="F634" s="12" t="str">
        <x:v>存在</x:v>
      </x:c>
      <x:c r="G634" s="12" t="n">
        <x:v>1</x:v>
      </x:c>
      <x:c r="H634" s="12" t="str">
        <x:v>{'IMI': 100.0, 'LVH': 50.0, 'ISC_': 100.0, 'IVCD': 100.0, 'ABQRS': 0.0, 'AFIB': 0.0}</x:v>
      </x:c>
      <x:c r="I634" s="12" t="str">
        <x:v>[('AFIB', 100.0), ('IMI;AU', 100.0), ('ST&amp;', 100.0), ('ALT', 100.0), ('AB', 100.0)]</x:v>
      </x:c>
      <x:c r="J634" s="12" t="str">
        <x:v>ptbxl_database.csv；ecg_id=5163；scp_codes</x:v>
      </x:c>
      <x:c r="K634" s="12" t="str">
        <x:v>12sl_statements.csv；ecg_id=5163；statements_ext_snomed</x:v>
      </x:c>
      <x:c r="L634" s="12" t="n">
        <x:v>0</x:v>
      </x:c>
      <x:c r="M634" s="12" t="str">
        <x:v>positive</x:v>
      </x:c>
      <x:c r="N634" s="12" t="n">
        <x:v>100</x:v>
      </x:c>
      <x:c r="O634" s="12" t="str">
        <x:v>positive</x:v>
      </x:c>
      <x:c r="P634" s="12" t="str">
        <x:f>IF(OR(M634="unavailable",O634="unavailable"),"不可评价",IF(OR(M634="equivocal",O634="equivocal"),"疑似",IF(AND(M634="positive",O634="positive"),"a",IF(O634="positive","b",IF(M634="positive","c","d")))))</x:f>
        <x:v>a</x:v>
      </x:c>
      <x:c r="Q634" s="12"/>
      <x:c r="R634" s="12" t="str">
        <x:v>negative</x:v>
      </x:c>
      <x:c r="S634" s="12"/>
      <x:c r="T634" s="12" t="str">
        <x:v>negative</x:v>
      </x:c>
      <x:c r="U634" s="12" t="str">
        <x:f>IF(OR(R634="unavailable",T634="unavailable"),"不可评价",IF(OR(R634="equivocal",T634="equivocal"),"疑似",IF(AND(R634="positive",T634="positive"),"a",IF(T634="positive","b",IF(R634="positive","c","d")))))</x:f>
        <x:v>d</x:v>
      </x:c>
      <x:c r="V634" s="12"/>
      <x:c r="W634" s="12" t="str">
        <x:v>negative</x:v>
      </x:c>
      <x:c r="X634" s="12"/>
      <x:c r="Y634" s="12" t="str">
        <x:v>negative</x:v>
      </x:c>
      <x:c r="Z634" s="12" t="str">
        <x:f>IF(OR(W634="unavailable",Y634="unavailable"),"不可评价",IF(OR(W634="equivocal",Y634="equivocal"),"疑似",IF(AND(W634="positive",Y634="positive"),"a",IF(Y634="positive","b",IF(W634="positive","c","d")))))</x:f>
        <x:v>d</x:v>
      </x:c>
      <x:c r="AA634" s="12" t="str">
        <x:f>IF(OR(M634="unavailable",O634="unavailable"),"不可评价",IF(AND(OR(M634="positive",M634="equivocal"),OR(O634="positive",O634="equivocal")),"a",IF(OR(O634="positive",O634="equivocal"),"b",IF(OR(M634="positive",M634="equivocal"),"c","d"))))</x:f>
        <x:v>a</x:v>
      </x:c>
      <x:c r="AB634" s="12" t="str">
        <x:f>IF(OR(M634="unavailable",O634="unavailable"),"不可评价",IF(AND(M634="positive",O634="positive"),"a",IF(O634="positive","b",IF(M634="positive","c","d"))))</x:f>
        <x:v>a</x:v>
      </x:c>
      <x:c r="AC634" s="12" t="str">
        <x:f>IF(OR(R634="unavailable",T634="unavailable"),"不可评价",IF(AND(OR(R634="positive",R634="equivocal"),OR(T634="positive",T634="equivocal")),"a",IF(OR(T634="positive",T634="equivocal"),"b",IF(OR(R634="positive",R634="equivocal"),"c","d"))))</x:f>
        <x:v>d</x:v>
      </x:c>
      <x:c r="AD634" s="12" t="str">
        <x:f>IF(OR(R634="unavailable",T634="unavailable"),"不可评价",IF(AND(R634="positive",T634="positive"),"a",IF(T634="positive","b",IF(R634="positive","c","d"))))</x:f>
        <x:v>d</x:v>
      </x:c>
      <x:c r="AE634" s="12" t="str">
        <x:f>IF(OR(W634="unavailable",Y634="unavailable"),"不可评价",IF(AND(OR(W634="positive",W634="equivocal"),OR(Y634="positive",Y634="equivocal")),"a",IF(OR(Y634="positive",Y634="equivocal"),"b",IF(OR(W634="positive",W634="equivocal"),"c","d"))))</x:f>
        <x:v>d</x:v>
      </x:c>
      <x:c r="AF634" s="12" t="str">
        <x:f>IF(OR(W634="unavailable",Y634="unavailable"),"不可评价",IF(AND(W634="positive",Y634="positive"),"a",IF(Y634="positive","b",IF(W634="positive","c","d"))))</x:f>
        <x:v>d</x:v>
      </x:c>
    </x:row>
    <x:row r="635" ht="24" customHeight="1">
      <x:c r="A635" s="12" t="str">
        <x:v>5170</x:v>
      </x:c>
      <x:c r="B635" s="12" t="str">
        <x:v>21124</x:v>
      </x:c>
      <x:c r="C635" s="21" t="n">
        <x:v>33161.42289351852</x:v>
      </x:c>
      <x:c r="D635" s="12" t="n">
        <x:v>33</x:v>
      </x:c>
      <x:c r="E635" s="12" t="n">
        <x:v>0</x:v>
      </x:c>
      <x:c r="F635" s="12" t="str">
        <x:v>未记录</x:v>
      </x:c>
      <x:c r="G635" s="12" t="n">
        <x:v>1</x:v>
      </x:c>
      <x:c r="H635" s="12" t="str">
        <x:v>{'IRBBB': 80.0, 'SR': 0.0}</x:v>
      </x:c>
      <x:c r="I635" s="12" t="str">
        <x:v>[('SBRAD', 100.0), ('ABR', 100.0)]</x:v>
      </x:c>
      <x:c r="J635" s="12" t="str">
        <x:v>ptbxl_database.csv；ecg_id=5170；scp_codes</x:v>
      </x:c>
      <x:c r="K635" s="12" t="str">
        <x:v>12sl_statements.csv；ecg_id=5170；statements_ext_snomed</x:v>
      </x:c>
      <x:c r="L635" s="12"/>
      <x:c r="M635" s="12" t="str">
        <x:v>negative</x:v>
      </x:c>
      <x:c r="N635" s="12"/>
      <x:c r="O635" s="12" t="str">
        <x:v>negative</x:v>
      </x:c>
      <x:c r="P635" s="12" t="str">
        <x:f>IF(OR(M635="unavailable",O635="unavailable"),"不可评价",IF(OR(M635="equivocal",O635="equivocal"),"疑似",IF(AND(M635="positive",O635="positive"),"a",IF(O635="positive","b",IF(M635="positive","c","d")))))</x:f>
        <x:v>d</x:v>
      </x:c>
      <x:c r="Q635" s="12"/>
      <x:c r="R635" s="12" t="str">
        <x:v>negative</x:v>
      </x:c>
      <x:c r="S635" s="12"/>
      <x:c r="T635" s="12" t="str">
        <x:v>negative</x:v>
      </x:c>
      <x:c r="U635" s="12" t="str">
        <x:f>IF(OR(R635="unavailable",T635="unavailable"),"不可评价",IF(OR(R635="equivocal",T635="equivocal"),"疑似",IF(AND(R635="positive",T635="positive"),"a",IF(T635="positive","b",IF(R635="positive","c","d")))))</x:f>
        <x:v>d</x:v>
      </x:c>
      <x:c r="V635" s="12"/>
      <x:c r="W635" s="12" t="str">
        <x:v>negative</x:v>
      </x:c>
      <x:c r="X635" s="12"/>
      <x:c r="Y635" s="12" t="str">
        <x:v>negative</x:v>
      </x:c>
      <x:c r="Z635" s="12" t="str">
        <x:f>IF(OR(W635="unavailable",Y635="unavailable"),"不可评价",IF(OR(W635="equivocal",Y635="equivocal"),"疑似",IF(AND(W635="positive",Y635="positive"),"a",IF(Y635="positive","b",IF(W635="positive","c","d")))))</x:f>
        <x:v>d</x:v>
      </x:c>
      <x:c r="AA635" s="12" t="str">
        <x:f>IF(OR(M635="unavailable",O635="unavailable"),"不可评价",IF(AND(OR(M635="positive",M635="equivocal"),OR(O635="positive",O635="equivocal")),"a",IF(OR(O635="positive",O635="equivocal"),"b",IF(OR(M635="positive",M635="equivocal"),"c","d"))))</x:f>
        <x:v>d</x:v>
      </x:c>
      <x:c r="AB635" s="12" t="str">
        <x:f>IF(OR(M635="unavailable",O635="unavailable"),"不可评价",IF(AND(M635="positive",O635="positive"),"a",IF(O635="positive","b",IF(M635="positive","c","d"))))</x:f>
        <x:v>d</x:v>
      </x:c>
      <x:c r="AC635" s="12" t="str">
        <x:f>IF(OR(R635="unavailable",T635="unavailable"),"不可评价",IF(AND(OR(R635="positive",R635="equivocal"),OR(T635="positive",T635="equivocal")),"a",IF(OR(T635="positive",T635="equivocal"),"b",IF(OR(R635="positive",R635="equivocal"),"c","d"))))</x:f>
        <x:v>d</x:v>
      </x:c>
      <x:c r="AD635" s="12" t="str">
        <x:f>IF(OR(R635="unavailable",T635="unavailable"),"不可评价",IF(AND(R635="positive",T635="positive"),"a",IF(T635="positive","b",IF(R635="positive","c","d"))))</x:f>
        <x:v>d</x:v>
      </x:c>
      <x:c r="AE635" s="12" t="str">
        <x:f>IF(OR(W635="unavailable",Y635="unavailable"),"不可评价",IF(AND(OR(W635="positive",W635="equivocal"),OR(Y635="positive",Y635="equivocal")),"a",IF(OR(Y635="positive",Y635="equivocal"),"b",IF(OR(W635="positive",W635="equivocal"),"c","d"))))</x:f>
        <x:v>d</x:v>
      </x:c>
      <x:c r="AF635" s="12" t="str">
        <x:f>IF(OR(W635="unavailable",Y635="unavailable"),"不可评价",IF(AND(W635="positive",Y635="positive"),"a",IF(Y635="positive","b",IF(W635="positive","c","d"))))</x:f>
        <x:v>d</x:v>
      </x:c>
    </x:row>
    <x:row r="636" ht="24" customHeight="1">
      <x:c r="A636" s="12" t="str">
        <x:v>5172</x:v>
      </x:c>
      <x:c r="B636" s="12" t="str">
        <x:v>13650</x:v>
      </x:c>
      <x:c r="C636" s="21" t="n">
        <x:v>33162.76048611111</x:v>
      </x:c>
      <x:c r="D636" s="12" t="n">
        <x:v>64</x:v>
      </x:c>
      <x:c r="E636" s="12" t="n">
        <x:v>0</x:v>
      </x:c>
      <x:c r="F636" s="12" t="str">
        <x:v>未记录</x:v>
      </x:c>
      <x:c r="G636" s="12" t="n">
        <x:v>1</x:v>
      </x:c>
      <x:c r="H636" s="12" t="str">
        <x:v>{'NORM': 50.0, 'ABQRS': 0.0, 'SR': 0.0}</x:v>
      </x:c>
      <x:c r="I636" s="12" t="str">
        <x:v>[('NSR', 100.0), ('NST', 100.0), ('AB', 100.0)]</x:v>
      </x:c>
      <x:c r="J636" s="12" t="str">
        <x:v>ptbxl_database.csv；ecg_id=5172；scp_codes</x:v>
      </x:c>
      <x:c r="K636" s="12" t="str">
        <x:v>12sl_statements.csv；ecg_id=5172；statements_ext_snomed</x:v>
      </x:c>
      <x:c r="L636" s="12"/>
      <x:c r="M636" s="12" t="str">
        <x:v>negative</x:v>
      </x:c>
      <x:c r="N636" s="12"/>
      <x:c r="O636" s="12" t="str">
        <x:v>negative</x:v>
      </x:c>
      <x:c r="P636" s="12" t="str">
        <x:f>IF(OR(M636="unavailable",O636="unavailable"),"不可评价",IF(OR(M636="equivocal",O636="equivocal"),"疑似",IF(AND(M636="positive",O636="positive"),"a",IF(O636="positive","b",IF(M636="positive","c","d")))))</x:f>
        <x:v>d</x:v>
      </x:c>
      <x:c r="Q636" s="12"/>
      <x:c r="R636" s="12" t="str">
        <x:v>negative</x:v>
      </x:c>
      <x:c r="S636" s="12"/>
      <x:c r="T636" s="12" t="str">
        <x:v>negative</x:v>
      </x:c>
      <x:c r="U636" s="12" t="str">
        <x:f>IF(OR(R636="unavailable",T636="unavailable"),"不可评价",IF(OR(R636="equivocal",T636="equivocal"),"疑似",IF(AND(R636="positive",T636="positive"),"a",IF(T636="positive","b",IF(R636="positive","c","d")))))</x:f>
        <x:v>d</x:v>
      </x:c>
      <x:c r="V636" s="12"/>
      <x:c r="W636" s="12" t="str">
        <x:v>negative</x:v>
      </x:c>
      <x:c r="X636" s="12"/>
      <x:c r="Y636" s="12" t="str">
        <x:v>negative</x:v>
      </x:c>
      <x:c r="Z636" s="12" t="str">
        <x:f>IF(OR(W636="unavailable",Y636="unavailable"),"不可评价",IF(OR(W636="equivocal",Y636="equivocal"),"疑似",IF(AND(W636="positive",Y636="positive"),"a",IF(Y636="positive","b",IF(W636="positive","c","d")))))</x:f>
        <x:v>d</x:v>
      </x:c>
      <x:c r="AA636" s="12" t="str">
        <x:f>IF(OR(M636="unavailable",O636="unavailable"),"不可评价",IF(AND(OR(M636="positive",M636="equivocal"),OR(O636="positive",O636="equivocal")),"a",IF(OR(O636="positive",O636="equivocal"),"b",IF(OR(M636="positive",M636="equivocal"),"c","d"))))</x:f>
        <x:v>d</x:v>
      </x:c>
      <x:c r="AB636" s="12" t="str">
        <x:f>IF(OR(M636="unavailable",O636="unavailable"),"不可评价",IF(AND(M636="positive",O636="positive"),"a",IF(O636="positive","b",IF(M636="positive","c","d"))))</x:f>
        <x:v>d</x:v>
      </x:c>
      <x:c r="AC636" s="12" t="str">
        <x:f>IF(OR(R636="unavailable",T636="unavailable"),"不可评价",IF(AND(OR(R636="positive",R636="equivocal"),OR(T636="positive",T636="equivocal")),"a",IF(OR(T636="positive",T636="equivocal"),"b",IF(OR(R636="positive",R636="equivocal"),"c","d"))))</x:f>
        <x:v>d</x:v>
      </x:c>
      <x:c r="AD636" s="12" t="str">
        <x:f>IF(OR(R636="unavailable",T636="unavailable"),"不可评价",IF(AND(R636="positive",T636="positive"),"a",IF(T636="positive","b",IF(R636="positive","c","d"))))</x:f>
        <x:v>d</x:v>
      </x:c>
      <x:c r="AE636" s="12" t="str">
        <x:f>IF(OR(W636="unavailable",Y636="unavailable"),"不可评价",IF(AND(OR(W636="positive",W636="equivocal"),OR(Y636="positive",Y636="equivocal")),"a",IF(OR(Y636="positive",Y636="equivocal"),"b",IF(OR(W636="positive",W636="equivocal"),"c","d"))))</x:f>
        <x:v>d</x:v>
      </x:c>
      <x:c r="AF636" s="12" t="str">
        <x:f>IF(OR(W636="unavailable",Y636="unavailable"),"不可评价",IF(AND(W636="positive",Y636="positive"),"a",IF(Y636="positive","b",IF(W636="positive","c","d"))))</x:f>
        <x:v>d</x:v>
      </x:c>
    </x:row>
    <x:row r="637" ht="24" customHeight="1">
      <x:c r="A637" s="12" t="str">
        <x:v>5182</x:v>
      </x:c>
      <x:c r="B637" s="12" t="str">
        <x:v>11132</x:v>
      </x:c>
      <x:c r="C637" s="21" t="n">
        <x:v>33164.56460648148</x:v>
      </x:c>
      <x:c r="D637" s="12" t="n">
        <x:v>84</x:v>
      </x:c>
      <x:c r="E637" s="12" t="n">
        <x:v>0</x:v>
      </x:c>
      <x:c r="F637" s="12" t="str">
        <x:v>未记录</x:v>
      </x:c>
      <x:c r="G637" s="12" t="n">
        <x:v>1</x:v>
      </x:c>
      <x:c r="H637" s="12" t="str">
        <x:v>{'NORM': 100.0, 'SR': 0.0}</x:v>
      </x:c>
      <x:c r="I637" s="12" t="str">
        <x:v>[('NSR', 100.0), ('NML', 100.0)]</x:v>
      </x:c>
      <x:c r="J637" s="12" t="str">
        <x:v>ptbxl_database.csv；ecg_id=5182；scp_codes</x:v>
      </x:c>
      <x:c r="K637" s="12" t="str">
        <x:v>12sl_statements.csv；ecg_id=5182；statements_ext_snomed</x:v>
      </x:c>
      <x:c r="L637" s="12"/>
      <x:c r="M637" s="12" t="str">
        <x:v>negative</x:v>
      </x:c>
      <x:c r="N637" s="12"/>
      <x:c r="O637" s="12" t="str">
        <x:v>negative</x:v>
      </x:c>
      <x:c r="P637" s="12" t="str">
        <x:f>IF(OR(M637="unavailable",O637="unavailable"),"不可评价",IF(OR(M637="equivocal",O637="equivocal"),"疑似",IF(AND(M637="positive",O637="positive"),"a",IF(O637="positive","b",IF(M637="positive","c","d")))))</x:f>
        <x:v>d</x:v>
      </x:c>
      <x:c r="Q637" s="12"/>
      <x:c r="R637" s="12" t="str">
        <x:v>negative</x:v>
      </x:c>
      <x:c r="S637" s="12"/>
      <x:c r="T637" s="12" t="str">
        <x:v>negative</x:v>
      </x:c>
      <x:c r="U637" s="12" t="str">
        <x:f>IF(OR(R637="unavailable",T637="unavailable"),"不可评价",IF(OR(R637="equivocal",T637="equivocal"),"疑似",IF(AND(R637="positive",T637="positive"),"a",IF(T637="positive","b",IF(R637="positive","c","d")))))</x:f>
        <x:v>d</x:v>
      </x:c>
      <x:c r="V637" s="12"/>
      <x:c r="W637" s="12" t="str">
        <x:v>negative</x:v>
      </x:c>
      <x:c r="X637" s="12"/>
      <x:c r="Y637" s="12" t="str">
        <x:v>negative</x:v>
      </x:c>
      <x:c r="Z637" s="12" t="str">
        <x:f>IF(OR(W637="unavailable",Y637="unavailable"),"不可评价",IF(OR(W637="equivocal",Y637="equivocal"),"疑似",IF(AND(W637="positive",Y637="positive"),"a",IF(Y637="positive","b",IF(W637="positive","c","d")))))</x:f>
        <x:v>d</x:v>
      </x:c>
      <x:c r="AA637" s="12" t="str">
        <x:f>IF(OR(M637="unavailable",O637="unavailable"),"不可评价",IF(AND(OR(M637="positive",M637="equivocal"),OR(O637="positive",O637="equivocal")),"a",IF(OR(O637="positive",O637="equivocal"),"b",IF(OR(M637="positive",M637="equivocal"),"c","d"))))</x:f>
        <x:v>d</x:v>
      </x:c>
      <x:c r="AB637" s="12" t="str">
        <x:f>IF(OR(M637="unavailable",O637="unavailable"),"不可评价",IF(AND(M637="positive",O637="positive"),"a",IF(O637="positive","b",IF(M637="positive","c","d"))))</x:f>
        <x:v>d</x:v>
      </x:c>
      <x:c r="AC637" s="12" t="str">
        <x:f>IF(OR(R637="unavailable",T637="unavailable"),"不可评价",IF(AND(OR(R637="positive",R637="equivocal"),OR(T637="positive",T637="equivocal")),"a",IF(OR(T637="positive",T637="equivocal"),"b",IF(OR(R637="positive",R637="equivocal"),"c","d"))))</x:f>
        <x:v>d</x:v>
      </x:c>
      <x:c r="AD637" s="12" t="str">
        <x:f>IF(OR(R637="unavailable",T637="unavailable"),"不可评价",IF(AND(R637="positive",T637="positive"),"a",IF(T637="positive","b",IF(R637="positive","c","d"))))</x:f>
        <x:v>d</x:v>
      </x:c>
      <x:c r="AE637" s="12" t="str">
        <x:f>IF(OR(W637="unavailable",Y637="unavailable"),"不可评价",IF(AND(OR(W637="positive",W637="equivocal"),OR(Y637="positive",Y637="equivocal")),"a",IF(OR(Y637="positive",Y637="equivocal"),"b",IF(OR(W637="positive",W637="equivocal"),"c","d"))))</x:f>
        <x:v>d</x:v>
      </x:c>
      <x:c r="AF637" s="12" t="str">
        <x:f>IF(OR(W637="unavailable",Y637="unavailable"),"不可评价",IF(AND(W637="positive",Y637="positive"),"a",IF(Y637="positive","b",IF(W637="positive","c","d"))))</x:f>
        <x:v>d</x:v>
      </x:c>
    </x:row>
    <x:row r="638" ht="24" customHeight="1">
      <x:c r="A638" s="12" t="str">
        <x:v>5185</x:v>
      </x:c>
      <x:c r="B638" s="12" t="str">
        <x:v>18055</x:v>
      </x:c>
      <x:c r="C638" s="21" t="n">
        <x:v>33165.352858796294</x:v>
      </x:c>
      <x:c r="D638" s="12" t="n">
        <x:v>70</x:v>
      </x:c>
      <x:c r="E638" s="12" t="n">
        <x:v>1</x:v>
      </x:c>
      <x:c r="F638" s="12" t="str">
        <x:v>存在</x:v>
      </x:c>
      <x:c r="G638" s="12" t="n">
        <x:v>1</x:v>
      </x:c>
      <x:c r="H638" s="12" t="str">
        <x:v>{'IMI': 100.0, 'ABQRS': 0.0, 'SR': 0.0}</x:v>
      </x:c>
      <x:c r="I638" s="12" t="str">
        <x:v>[('NSR', 100.0), ('NML', 100.0)]</x:v>
      </x:c>
      <x:c r="J638" s="12" t="str">
        <x:v>ptbxl_database.csv；ecg_id=5185；scp_codes</x:v>
      </x:c>
      <x:c r="K638" s="12" t="str">
        <x:v>12sl_statements.csv；ecg_id=5185；statements_ext_snomed</x:v>
      </x:c>
      <x:c r="L638" s="12"/>
      <x:c r="M638" s="12" t="str">
        <x:v>negative</x:v>
      </x:c>
      <x:c r="N638" s="12"/>
      <x:c r="O638" s="12" t="str">
        <x:v>negative</x:v>
      </x:c>
      <x:c r="P638" s="12" t="str">
        <x:f>IF(OR(M638="unavailable",O638="unavailable"),"不可评价",IF(OR(M638="equivocal",O638="equivocal"),"疑似",IF(AND(M638="positive",O638="positive"),"a",IF(O638="positive","b",IF(M638="positive","c","d")))))</x:f>
        <x:v>d</x:v>
      </x:c>
      <x:c r="Q638" s="12"/>
      <x:c r="R638" s="12" t="str">
        <x:v>negative</x:v>
      </x:c>
      <x:c r="S638" s="12"/>
      <x:c r="T638" s="12" t="str">
        <x:v>negative</x:v>
      </x:c>
      <x:c r="U638" s="12" t="str">
        <x:f>IF(OR(R638="unavailable",T638="unavailable"),"不可评价",IF(OR(R638="equivocal",T638="equivocal"),"疑似",IF(AND(R638="positive",T638="positive"),"a",IF(T638="positive","b",IF(R638="positive","c","d")))))</x:f>
        <x:v>d</x:v>
      </x:c>
      <x:c r="V638" s="12"/>
      <x:c r="W638" s="12" t="str">
        <x:v>negative</x:v>
      </x:c>
      <x:c r="X638" s="12"/>
      <x:c r="Y638" s="12" t="str">
        <x:v>negative</x:v>
      </x:c>
      <x:c r="Z638" s="12" t="str">
        <x:f>IF(OR(W638="unavailable",Y638="unavailable"),"不可评价",IF(OR(W638="equivocal",Y638="equivocal"),"疑似",IF(AND(W638="positive",Y638="positive"),"a",IF(Y638="positive","b",IF(W638="positive","c","d")))))</x:f>
        <x:v>d</x:v>
      </x:c>
      <x:c r="AA638" s="12" t="str">
        <x:f>IF(OR(M638="unavailable",O638="unavailable"),"不可评价",IF(AND(OR(M638="positive",M638="equivocal"),OR(O638="positive",O638="equivocal")),"a",IF(OR(O638="positive",O638="equivocal"),"b",IF(OR(M638="positive",M638="equivocal"),"c","d"))))</x:f>
        <x:v>d</x:v>
      </x:c>
      <x:c r="AB638" s="12" t="str">
        <x:f>IF(OR(M638="unavailable",O638="unavailable"),"不可评价",IF(AND(M638="positive",O638="positive"),"a",IF(O638="positive","b",IF(M638="positive","c","d"))))</x:f>
        <x:v>d</x:v>
      </x:c>
      <x:c r="AC638" s="12" t="str">
        <x:f>IF(OR(R638="unavailable",T638="unavailable"),"不可评价",IF(AND(OR(R638="positive",R638="equivocal"),OR(T638="positive",T638="equivocal")),"a",IF(OR(T638="positive",T638="equivocal"),"b",IF(OR(R638="positive",R638="equivocal"),"c","d"))))</x:f>
        <x:v>d</x:v>
      </x:c>
      <x:c r="AD638" s="12" t="str">
        <x:f>IF(OR(R638="unavailable",T638="unavailable"),"不可评价",IF(AND(R638="positive",T638="positive"),"a",IF(T638="positive","b",IF(R638="positive","c","d"))))</x:f>
        <x:v>d</x:v>
      </x:c>
      <x:c r="AE638" s="12" t="str">
        <x:f>IF(OR(W638="unavailable",Y638="unavailable"),"不可评价",IF(AND(OR(W638="positive",W638="equivocal"),OR(Y638="positive",Y638="equivocal")),"a",IF(OR(Y638="positive",Y638="equivocal"),"b",IF(OR(W638="positive",W638="equivocal"),"c","d"))))</x:f>
        <x:v>d</x:v>
      </x:c>
      <x:c r="AF638" s="12" t="str">
        <x:f>IF(OR(W638="unavailable",Y638="unavailable"),"不可评价",IF(AND(W638="positive",Y638="positive"),"a",IF(Y638="positive","b",IF(W638="positive","c","d"))))</x:f>
        <x:v>d</x:v>
      </x:c>
    </x:row>
    <x:row r="639" ht="24" customHeight="1">
      <x:c r="A639" s="12" t="str">
        <x:v>5212</x:v>
      </x:c>
      <x:c r="B639" s="12" t="str">
        <x:v>8809</x:v>
      </x:c>
      <x:c r="C639" s="21" t="n">
        <x:v>33170.41140046297</x:v>
      </x:c>
      <x:c r="D639" s="12" t="n">
        <x:v>56</x:v>
      </x:c>
      <x:c r="E639" s="12" t="n">
        <x:v>0</x:v>
      </x:c>
      <x:c r="F639" s="12" t="str">
        <x:v>未记录</x:v>
      </x:c>
      <x:c r="G639" s="12" t="n">
        <x:v>1</x:v>
      </x:c>
      <x:c r="H639" s="12" t="str">
        <x:v>{'CRBBB': 100.0}</x:v>
      </x:c>
      <x:c r="I639" s="12" t="str">
        <x:v>[('SRTH', 100.0), ('PAC', 100.0), ('RBBB', 100.0), ('AB', 100.0)]</x:v>
      </x:c>
      <x:c r="J639" s="12" t="str">
        <x:v>ptbxl_database.csv；ecg_id=5212；scp_codes</x:v>
      </x:c>
      <x:c r="K639" s="12" t="str">
        <x:v>12sl_statements.csv；ecg_id=5212；statements_ext_snomed</x:v>
      </x:c>
      <x:c r="L639" s="12"/>
      <x:c r="M639" s="12" t="str">
        <x:v>negative</x:v>
      </x:c>
      <x:c r="N639" s="12"/>
      <x:c r="O639" s="12" t="str">
        <x:v>negative</x:v>
      </x:c>
      <x:c r="P639" s="12" t="str">
        <x:f>IF(OR(M639="unavailable",O639="unavailable"),"不可评价",IF(OR(M639="equivocal",O639="equivocal"),"疑似",IF(AND(M639="positive",O639="positive"),"a",IF(O639="positive","b",IF(M639="positive","c","d")))))</x:f>
        <x:v>d</x:v>
      </x:c>
      <x:c r="Q639" s="12"/>
      <x:c r="R639" s="12" t="str">
        <x:v>negative</x:v>
      </x:c>
      <x:c r="S639" s="12"/>
      <x:c r="T639" s="12" t="str">
        <x:v>negative</x:v>
      </x:c>
      <x:c r="U639" s="12" t="str">
        <x:f>IF(OR(R639="unavailable",T639="unavailable"),"不可评价",IF(OR(R639="equivocal",T639="equivocal"),"疑似",IF(AND(R639="positive",T639="positive"),"a",IF(T639="positive","b",IF(R639="positive","c","d")))))</x:f>
        <x:v>d</x:v>
      </x:c>
      <x:c r="V639" s="12" t="n">
        <x:v>100</x:v>
      </x:c>
      <x:c r="W639" s="12" t="str">
        <x:v>positive</x:v>
      </x:c>
      <x:c r="X639" s="12" t="n">
        <x:v>100</x:v>
      </x:c>
      <x:c r="Y639" s="12" t="str">
        <x:v>positive</x:v>
      </x:c>
      <x:c r="Z639" s="12" t="str">
        <x:f>IF(OR(W639="unavailable",Y639="unavailable"),"不可评价",IF(OR(W639="equivocal",Y639="equivocal"),"疑似",IF(AND(W639="positive",Y639="positive"),"a",IF(Y639="positive","b",IF(W639="positive","c","d")))))</x:f>
        <x:v>a</x:v>
      </x:c>
      <x:c r="AA639" s="12" t="str">
        <x:f>IF(OR(M639="unavailable",O639="unavailable"),"不可评价",IF(AND(OR(M639="positive",M639="equivocal"),OR(O639="positive",O639="equivocal")),"a",IF(OR(O639="positive",O639="equivocal"),"b",IF(OR(M639="positive",M639="equivocal"),"c","d"))))</x:f>
        <x:v>d</x:v>
      </x:c>
      <x:c r="AB639" s="12" t="str">
        <x:f>IF(OR(M639="unavailable",O639="unavailable"),"不可评价",IF(AND(M639="positive",O639="positive"),"a",IF(O639="positive","b",IF(M639="positive","c","d"))))</x:f>
        <x:v>d</x:v>
      </x:c>
      <x:c r="AC639" s="12" t="str">
        <x:f>IF(OR(R639="unavailable",T639="unavailable"),"不可评价",IF(AND(OR(R639="positive",R639="equivocal"),OR(T639="positive",T639="equivocal")),"a",IF(OR(T639="positive",T639="equivocal"),"b",IF(OR(R639="positive",R639="equivocal"),"c","d"))))</x:f>
        <x:v>d</x:v>
      </x:c>
      <x:c r="AD639" s="12" t="str">
        <x:f>IF(OR(R639="unavailable",T639="unavailable"),"不可评价",IF(AND(R639="positive",T639="positive"),"a",IF(T639="positive","b",IF(R639="positive","c","d"))))</x:f>
        <x:v>d</x:v>
      </x:c>
      <x:c r="AE639" s="12" t="str">
        <x:f>IF(OR(W639="unavailable",Y639="unavailable"),"不可评价",IF(AND(OR(W639="positive",W639="equivocal"),OR(Y639="positive",Y639="equivocal")),"a",IF(OR(Y639="positive",Y639="equivocal"),"b",IF(OR(W639="positive",W639="equivocal"),"c","d"))))</x:f>
        <x:v>a</x:v>
      </x:c>
      <x:c r="AF639" s="12" t="str">
        <x:f>IF(OR(W639="unavailable",Y639="unavailable"),"不可评价",IF(AND(W639="positive",Y639="positive"),"a",IF(Y639="positive","b",IF(W639="positive","c","d"))))</x:f>
        <x:v>a</x:v>
      </x:c>
    </x:row>
    <x:row r="640" ht="24" customHeight="1">
      <x:c r="A640" s="12" t="str">
        <x:v>5217</x:v>
      </x:c>
      <x:c r="B640" s="12" t="str">
        <x:v>18672</x:v>
      </x:c>
      <x:c r="C640" s="21" t="n">
        <x:v>33170.589837962965</x:v>
      </x:c>
      <x:c r="D640" s="12" t="n">
        <x:v>25</x:v>
      </x:c>
      <x:c r="E640" s="12" t="n">
        <x:v>1</x:v>
      </x:c>
      <x:c r="F640" s="12" t="str">
        <x:v>未记录</x:v>
      </x:c>
      <x:c r="G640" s="12" t="n">
        <x:v>0</x:v>
      </x:c>
      <x:c r="H640" s="12" t="str">
        <x:v>{'NORM': 80.0, 'SARRH': 0.0}</x:v>
      </x:c>
      <x:c r="I640" s="12" t="str">
        <x:v>[('NSR', 100.0), ('SAR', 100.0), ('NML', 100.0)]</x:v>
      </x:c>
      <x:c r="J640" s="12" t="str">
        <x:v>ptbxl_database.csv；ecg_id=5217；scp_codes</x:v>
      </x:c>
      <x:c r="K640" s="12" t="str">
        <x:v>12sl_statements.csv；ecg_id=5217；statements_ext_snomed</x:v>
      </x:c>
      <x:c r="L640" s="12"/>
      <x:c r="M640" s="12" t="str">
        <x:v>negative</x:v>
      </x:c>
      <x:c r="N640" s="12"/>
      <x:c r="O640" s="12" t="str">
        <x:v>negative</x:v>
      </x:c>
      <x:c r="P640" s="12" t="str">
        <x:f>IF(OR(M640="unavailable",O640="unavailable"),"不可评价",IF(OR(M640="equivocal",O640="equivocal"),"疑似",IF(AND(M640="positive",O640="positive"),"a",IF(O640="positive","b",IF(M640="positive","c","d")))))</x:f>
        <x:v>d</x:v>
      </x:c>
      <x:c r="Q640" s="12"/>
      <x:c r="R640" s="12" t="str">
        <x:v>negative</x:v>
      </x:c>
      <x:c r="S640" s="12"/>
      <x:c r="T640" s="12" t="str">
        <x:v>negative</x:v>
      </x:c>
      <x:c r="U640" s="12" t="str">
        <x:f>IF(OR(R640="unavailable",T640="unavailable"),"不可评价",IF(OR(R640="equivocal",T640="equivocal"),"疑似",IF(AND(R640="positive",T640="positive"),"a",IF(T640="positive","b",IF(R640="positive","c","d")))))</x:f>
        <x:v>d</x:v>
      </x:c>
      <x:c r="V640" s="12"/>
      <x:c r="W640" s="12" t="str">
        <x:v>negative</x:v>
      </x:c>
      <x:c r="X640" s="12"/>
      <x:c r="Y640" s="12" t="str">
        <x:v>negative</x:v>
      </x:c>
      <x:c r="Z640" s="12" t="str">
        <x:f>IF(OR(W640="unavailable",Y640="unavailable"),"不可评价",IF(OR(W640="equivocal",Y640="equivocal"),"疑似",IF(AND(W640="positive",Y640="positive"),"a",IF(Y640="positive","b",IF(W640="positive","c","d")))))</x:f>
        <x:v>d</x:v>
      </x:c>
      <x:c r="AA640" s="12" t="str">
        <x:f>IF(OR(M640="unavailable",O640="unavailable"),"不可评价",IF(AND(OR(M640="positive",M640="equivocal"),OR(O640="positive",O640="equivocal")),"a",IF(OR(O640="positive",O640="equivocal"),"b",IF(OR(M640="positive",M640="equivocal"),"c","d"))))</x:f>
        <x:v>d</x:v>
      </x:c>
      <x:c r="AB640" s="12" t="str">
        <x:f>IF(OR(M640="unavailable",O640="unavailable"),"不可评价",IF(AND(M640="positive",O640="positive"),"a",IF(O640="positive","b",IF(M640="positive","c","d"))))</x:f>
        <x:v>d</x:v>
      </x:c>
      <x:c r="AC640" s="12" t="str">
        <x:f>IF(OR(R640="unavailable",T640="unavailable"),"不可评价",IF(AND(OR(R640="positive",R640="equivocal"),OR(T640="positive",T640="equivocal")),"a",IF(OR(T640="positive",T640="equivocal"),"b",IF(OR(R640="positive",R640="equivocal"),"c","d"))))</x:f>
        <x:v>d</x:v>
      </x:c>
      <x:c r="AD640" s="12" t="str">
        <x:f>IF(OR(R640="unavailable",T640="unavailable"),"不可评价",IF(AND(R640="positive",T640="positive"),"a",IF(T640="positive","b",IF(R640="positive","c","d"))))</x:f>
        <x:v>d</x:v>
      </x:c>
      <x:c r="AE640" s="12" t="str">
        <x:f>IF(OR(W640="unavailable",Y640="unavailable"),"不可评价",IF(AND(OR(W640="positive",W640="equivocal"),OR(Y640="positive",Y640="equivocal")),"a",IF(OR(Y640="positive",Y640="equivocal"),"b",IF(OR(W640="positive",W640="equivocal"),"c","d"))))</x:f>
        <x:v>d</x:v>
      </x:c>
      <x:c r="AF640" s="12" t="str">
        <x:f>IF(OR(W640="unavailable",Y640="unavailable"),"不可评价",IF(AND(W640="positive",Y640="positive"),"a",IF(Y640="positive","b",IF(W640="positive","c","d"))))</x:f>
        <x:v>d</x:v>
      </x:c>
    </x:row>
    <x:row r="641" ht="39" customHeight="1">
      <x:c r="A641" s="12" t="str">
        <x:v>5219</x:v>
      </x:c>
      <x:c r="B641" s="12" t="str">
        <x:v>18551</x:v>
      </x:c>
      <x:c r="C641" s="21" t="n">
        <x:v>33170.6241087963</x:v>
      </x:c>
      <x:c r="D641" s="12" t="n">
        <x:v>46</x:v>
      </x:c>
      <x:c r="E641" s="12" t="n">
        <x:v>0</x:v>
      </x:c>
      <x:c r="F641" s="12" t="str">
        <x:v>未记录</x:v>
      </x:c>
      <x:c r="G641" s="12" t="n">
        <x:v>0</x:v>
      </x:c>
      <x:c r="H641" s="12" t="str">
        <x:v>{'IMI': 100.0, 'ASMI': 35.0, 'CRBBB': 100.0, 'ABQRS': 0.0, 'SARRH': 0.0}</x:v>
      </x:c>
      <x:c r="I641" s="12" t="str">
        <x:v>[('NSR', 100.0), ('SAR', 100.0), ('RBBB', 100.0), ('IMI;AU', 100.0), ('AB', 100.0)]</x:v>
      </x:c>
      <x:c r="J641" s="12" t="str">
        <x:v>ptbxl_database.csv；ecg_id=5219；scp_codes</x:v>
      </x:c>
      <x:c r="K641" s="12" t="str">
        <x:v>12sl_statements.csv；ecg_id=5219；statements_ext_snomed</x:v>
      </x:c>
      <x:c r="L641" s="12"/>
      <x:c r="M641" s="12" t="str">
        <x:v>negative</x:v>
      </x:c>
      <x:c r="N641" s="12"/>
      <x:c r="O641" s="12" t="str">
        <x:v>negative</x:v>
      </x:c>
      <x:c r="P641" s="12" t="str">
        <x:f>IF(OR(M641="unavailable",O641="unavailable"),"不可评价",IF(OR(M641="equivocal",O641="equivocal"),"疑似",IF(AND(M641="positive",O641="positive"),"a",IF(O641="positive","b",IF(M641="positive","c","d")))))</x:f>
        <x:v>d</x:v>
      </x:c>
      <x:c r="Q641" s="12"/>
      <x:c r="R641" s="12" t="str">
        <x:v>negative</x:v>
      </x:c>
      <x:c r="S641" s="12"/>
      <x:c r="T641" s="12" t="str">
        <x:v>negative</x:v>
      </x:c>
      <x:c r="U641" s="12" t="str">
        <x:f>IF(OR(R641="unavailable",T641="unavailable"),"不可评价",IF(OR(R641="equivocal",T641="equivocal"),"疑似",IF(AND(R641="positive",T641="positive"),"a",IF(T641="positive","b",IF(R641="positive","c","d")))))</x:f>
        <x:v>d</x:v>
      </x:c>
      <x:c r="V641" s="12" t="n">
        <x:v>100</x:v>
      </x:c>
      <x:c r="W641" s="12" t="str">
        <x:v>positive</x:v>
      </x:c>
      <x:c r="X641" s="12" t="n">
        <x:v>100</x:v>
      </x:c>
      <x:c r="Y641" s="12" t="str">
        <x:v>positive</x:v>
      </x:c>
      <x:c r="Z641" s="12" t="str">
        <x:f>IF(OR(W641="unavailable",Y641="unavailable"),"不可评价",IF(OR(W641="equivocal",Y641="equivocal"),"疑似",IF(AND(W641="positive",Y641="positive"),"a",IF(Y641="positive","b",IF(W641="positive","c","d")))))</x:f>
        <x:v>a</x:v>
      </x:c>
      <x:c r="AA641" s="12" t="str">
        <x:f>IF(OR(M641="unavailable",O641="unavailable"),"不可评价",IF(AND(OR(M641="positive",M641="equivocal"),OR(O641="positive",O641="equivocal")),"a",IF(OR(O641="positive",O641="equivocal"),"b",IF(OR(M641="positive",M641="equivocal"),"c","d"))))</x:f>
        <x:v>d</x:v>
      </x:c>
      <x:c r="AB641" s="12" t="str">
        <x:f>IF(OR(M641="unavailable",O641="unavailable"),"不可评价",IF(AND(M641="positive",O641="positive"),"a",IF(O641="positive","b",IF(M641="positive","c","d"))))</x:f>
        <x:v>d</x:v>
      </x:c>
      <x:c r="AC641" s="12" t="str">
        <x:f>IF(OR(R641="unavailable",T641="unavailable"),"不可评价",IF(AND(OR(R641="positive",R641="equivocal"),OR(T641="positive",T641="equivocal")),"a",IF(OR(T641="positive",T641="equivocal"),"b",IF(OR(R641="positive",R641="equivocal"),"c","d"))))</x:f>
        <x:v>d</x:v>
      </x:c>
      <x:c r="AD641" s="12" t="str">
        <x:f>IF(OR(R641="unavailable",T641="unavailable"),"不可评价",IF(AND(R641="positive",T641="positive"),"a",IF(T641="positive","b",IF(R641="positive","c","d"))))</x:f>
        <x:v>d</x:v>
      </x:c>
      <x:c r="AE641" s="12" t="str">
        <x:f>IF(OR(W641="unavailable",Y641="unavailable"),"不可评价",IF(AND(OR(W641="positive",W641="equivocal"),OR(Y641="positive",Y641="equivocal")),"a",IF(OR(Y641="positive",Y641="equivocal"),"b",IF(OR(W641="positive",W641="equivocal"),"c","d"))))</x:f>
        <x:v>a</x:v>
      </x:c>
      <x:c r="AF641" s="12" t="str">
        <x:f>IF(OR(W641="unavailable",Y641="unavailable"),"不可评价",IF(AND(W641="positive",Y641="positive"),"a",IF(Y641="positive","b",IF(W641="positive","c","d"))))</x:f>
        <x:v>a</x:v>
      </x:c>
    </x:row>
    <x:row r="642" ht="24" customHeight="1">
      <x:c r="A642" s="12" t="str">
        <x:v>5251</x:v>
      </x:c>
      <x:c r="B642" s="12" t="str">
        <x:v>14952</x:v>
      </x:c>
      <x:c r="C642" s="21" t="n">
        <x:v>33172.75255787037</x:v>
      </x:c>
      <x:c r="D642" s="12" t="n">
        <x:v>75</x:v>
      </x:c>
      <x:c r="E642" s="12" t="n">
        <x:v>1</x:v>
      </x:c>
      <x:c r="F642" s="12" t="str">
        <x:v>存在</x:v>
      </x:c>
      <x:c r="G642" s="12" t="n">
        <x:v>1</x:v>
      </x:c>
      <x:c r="H642" s="12" t="str">
        <x:v>{'ASMI': 100.0, 'STACH': 0.0}</x:v>
      </x:c>
      <x:c r="I642" s="12" t="str">
        <x:v>[('STACH', 100.0), ('ABR', 100.0)]</x:v>
      </x:c>
      <x:c r="J642" s="12" t="str">
        <x:v>ptbxl_database.csv；ecg_id=5251；scp_codes</x:v>
      </x:c>
      <x:c r="K642" s="12" t="str">
        <x:v>12sl_statements.csv；ecg_id=5251；statements_ext_snomed</x:v>
      </x:c>
      <x:c r="L642" s="12"/>
      <x:c r="M642" s="12" t="str">
        <x:v>negative</x:v>
      </x:c>
      <x:c r="N642" s="12"/>
      <x:c r="O642" s="12" t="str">
        <x:v>negative</x:v>
      </x:c>
      <x:c r="P642" s="12" t="str">
        <x:f>IF(OR(M642="unavailable",O642="unavailable"),"不可评价",IF(OR(M642="equivocal",O642="equivocal"),"疑似",IF(AND(M642="positive",O642="positive"),"a",IF(O642="positive","b",IF(M642="positive","c","d")))))</x:f>
        <x:v>d</x:v>
      </x:c>
      <x:c r="Q642" s="12"/>
      <x:c r="R642" s="12" t="str">
        <x:v>negative</x:v>
      </x:c>
      <x:c r="S642" s="12"/>
      <x:c r="T642" s="12" t="str">
        <x:v>negative</x:v>
      </x:c>
      <x:c r="U642" s="12" t="str">
        <x:f>IF(OR(R642="unavailable",T642="unavailable"),"不可评价",IF(OR(R642="equivocal",T642="equivocal"),"疑似",IF(AND(R642="positive",T642="positive"),"a",IF(T642="positive","b",IF(R642="positive","c","d")))))</x:f>
        <x:v>d</x:v>
      </x:c>
      <x:c r="V642" s="12"/>
      <x:c r="W642" s="12" t="str">
        <x:v>negative</x:v>
      </x:c>
      <x:c r="X642" s="12"/>
      <x:c r="Y642" s="12" t="str">
        <x:v>negative</x:v>
      </x:c>
      <x:c r="Z642" s="12" t="str">
        <x:f>IF(OR(W642="unavailable",Y642="unavailable"),"不可评价",IF(OR(W642="equivocal",Y642="equivocal"),"疑似",IF(AND(W642="positive",Y642="positive"),"a",IF(Y642="positive","b",IF(W642="positive","c","d")))))</x:f>
        <x:v>d</x:v>
      </x:c>
      <x:c r="AA642" s="12" t="str">
        <x:f>IF(OR(M642="unavailable",O642="unavailable"),"不可评价",IF(AND(OR(M642="positive",M642="equivocal"),OR(O642="positive",O642="equivocal")),"a",IF(OR(O642="positive",O642="equivocal"),"b",IF(OR(M642="positive",M642="equivocal"),"c","d"))))</x:f>
        <x:v>d</x:v>
      </x:c>
      <x:c r="AB642" s="12" t="str">
        <x:f>IF(OR(M642="unavailable",O642="unavailable"),"不可评价",IF(AND(M642="positive",O642="positive"),"a",IF(O642="positive","b",IF(M642="positive","c","d"))))</x:f>
        <x:v>d</x:v>
      </x:c>
      <x:c r="AC642" s="12" t="str">
        <x:f>IF(OR(R642="unavailable",T642="unavailable"),"不可评价",IF(AND(OR(R642="positive",R642="equivocal"),OR(T642="positive",T642="equivocal")),"a",IF(OR(T642="positive",T642="equivocal"),"b",IF(OR(R642="positive",R642="equivocal"),"c","d"))))</x:f>
        <x:v>d</x:v>
      </x:c>
      <x:c r="AD642" s="12" t="str">
        <x:f>IF(OR(R642="unavailable",T642="unavailable"),"不可评价",IF(AND(R642="positive",T642="positive"),"a",IF(T642="positive","b",IF(R642="positive","c","d"))))</x:f>
        <x:v>d</x:v>
      </x:c>
      <x:c r="AE642" s="12" t="str">
        <x:f>IF(OR(W642="unavailable",Y642="unavailable"),"不可评价",IF(AND(OR(W642="positive",W642="equivocal"),OR(Y642="positive",Y642="equivocal")),"a",IF(OR(Y642="positive",Y642="equivocal"),"b",IF(OR(W642="positive",W642="equivocal"),"c","d"))))</x:f>
        <x:v>d</x:v>
      </x:c>
      <x:c r="AF642" s="12" t="str">
        <x:f>IF(OR(W642="unavailable",Y642="unavailable"),"不可评价",IF(AND(W642="positive",Y642="positive"),"a",IF(Y642="positive","b",IF(W642="positive","c","d"))))</x:f>
        <x:v>d</x:v>
      </x:c>
    </x:row>
    <x:row r="643" ht="24" customHeight="1">
      <x:c r="A643" s="12" t="str">
        <x:v>5252</x:v>
      </x:c>
      <x:c r="B643" s="12" t="str">
        <x:v>11132</x:v>
      </x:c>
      <x:c r="C643" s="21" t="n">
        <x:v>33173.21497685185</x:v>
      </x:c>
      <x:c r="D643" s="12" t="n">
        <x:v>84</x:v>
      </x:c>
      <x:c r="E643" s="12" t="n">
        <x:v>0</x:v>
      </x:c>
      <x:c r="F643" s="12" t="str">
        <x:v>未记录</x:v>
      </x:c>
      <x:c r="G643" s="12" t="n">
        <x:v>0</x:v>
      </x:c>
      <x:c r="H643" s="12" t="str">
        <x:v>{'AFLT': 100.0, 'SR': 0.0}</x:v>
      </x:c>
      <x:c r="I643" s="12" t="str">
        <x:v>[('STACH', 100.0), ('ASBINJ', 100.0), ('AB', 100.0)]</x:v>
      </x:c>
      <x:c r="J643" s="12" t="str">
        <x:v>ptbxl_database.csv；ecg_id=5252；scp_codes</x:v>
      </x:c>
      <x:c r="K643" s="12" t="str">
        <x:v>12sl_statements.csv；ecg_id=5252；statements_ext_snomed</x:v>
      </x:c>
      <x:c r="L643" s="12"/>
      <x:c r="M643" s="12" t="str">
        <x:v>negative</x:v>
      </x:c>
      <x:c r="N643" s="12"/>
      <x:c r="O643" s="12" t="str">
        <x:v>negative</x:v>
      </x:c>
      <x:c r="P643" s="12" t="str">
        <x:f>IF(OR(M643="unavailable",O643="unavailable"),"不可评价",IF(OR(M643="equivocal",O643="equivocal"),"疑似",IF(AND(M643="positive",O643="positive"),"a",IF(O643="positive","b",IF(M643="positive","c","d")))))</x:f>
        <x:v>d</x:v>
      </x:c>
      <x:c r="Q643" s="12"/>
      <x:c r="R643" s="12" t="str">
        <x:v>negative</x:v>
      </x:c>
      <x:c r="S643" s="12"/>
      <x:c r="T643" s="12" t="str">
        <x:v>negative</x:v>
      </x:c>
      <x:c r="U643" s="12" t="str">
        <x:f>IF(OR(R643="unavailable",T643="unavailable"),"不可评价",IF(OR(R643="equivocal",T643="equivocal"),"疑似",IF(AND(R643="positive",T643="positive"),"a",IF(T643="positive","b",IF(R643="positive","c","d")))))</x:f>
        <x:v>d</x:v>
      </x:c>
      <x:c r="V643" s="12"/>
      <x:c r="W643" s="12" t="str">
        <x:v>negative</x:v>
      </x:c>
      <x:c r="X643" s="12"/>
      <x:c r="Y643" s="12" t="str">
        <x:v>negative</x:v>
      </x:c>
      <x:c r="Z643" s="12" t="str">
        <x:f>IF(OR(W643="unavailable",Y643="unavailable"),"不可评价",IF(OR(W643="equivocal",Y643="equivocal"),"疑似",IF(AND(W643="positive",Y643="positive"),"a",IF(Y643="positive","b",IF(W643="positive","c","d")))))</x:f>
        <x:v>d</x:v>
      </x:c>
      <x:c r="AA643" s="12" t="str">
        <x:f>IF(OR(M643="unavailable",O643="unavailable"),"不可评价",IF(AND(OR(M643="positive",M643="equivocal"),OR(O643="positive",O643="equivocal")),"a",IF(OR(O643="positive",O643="equivocal"),"b",IF(OR(M643="positive",M643="equivocal"),"c","d"))))</x:f>
        <x:v>d</x:v>
      </x:c>
      <x:c r="AB643" s="12" t="str">
        <x:f>IF(OR(M643="unavailable",O643="unavailable"),"不可评价",IF(AND(M643="positive",O643="positive"),"a",IF(O643="positive","b",IF(M643="positive","c","d"))))</x:f>
        <x:v>d</x:v>
      </x:c>
      <x:c r="AC643" s="12" t="str">
        <x:f>IF(OR(R643="unavailable",T643="unavailable"),"不可评价",IF(AND(OR(R643="positive",R643="equivocal"),OR(T643="positive",T643="equivocal")),"a",IF(OR(T643="positive",T643="equivocal"),"b",IF(OR(R643="positive",R643="equivocal"),"c","d"))))</x:f>
        <x:v>d</x:v>
      </x:c>
      <x:c r="AD643" s="12" t="str">
        <x:f>IF(OR(R643="unavailable",T643="unavailable"),"不可评价",IF(AND(R643="positive",T643="positive"),"a",IF(T643="positive","b",IF(R643="positive","c","d"))))</x:f>
        <x:v>d</x:v>
      </x:c>
      <x:c r="AE643" s="12" t="str">
        <x:f>IF(OR(W643="unavailable",Y643="unavailable"),"不可评价",IF(AND(OR(W643="positive",W643="equivocal"),OR(Y643="positive",Y643="equivocal")),"a",IF(OR(Y643="positive",Y643="equivocal"),"b",IF(OR(W643="positive",W643="equivocal"),"c","d"))))</x:f>
        <x:v>d</x:v>
      </x:c>
      <x:c r="AF643" s="12" t="str">
        <x:f>IF(OR(W643="unavailable",Y643="unavailable"),"不可评价",IF(AND(W643="positive",Y643="positive"),"a",IF(Y643="positive","b",IF(W643="positive","c","d"))))</x:f>
        <x:v>d</x:v>
      </x:c>
    </x:row>
    <x:row r="644" ht="24" customHeight="1">
      <x:c r="A644" s="12" t="str">
        <x:v>5257</x:v>
      </x:c>
      <x:c r="B644" s="12" t="str">
        <x:v>14952</x:v>
      </x:c>
      <x:c r="C644" s="21" t="n">
        <x:v>33173.6096875</x:v>
      </x:c>
      <x:c r="D644" s="12" t="n">
        <x:v>75</x:v>
      </x:c>
      <x:c r="E644" s="12" t="n">
        <x:v>1</x:v>
      </x:c>
      <x:c r="F644" s="12" t="str">
        <x:v>存在</x:v>
      </x:c>
      <x:c r="G644" s="12" t="n">
        <x:v>0</x:v>
      </x:c>
      <x:c r="H644" s="12" t="str">
        <x:v>{'ASMI': 15.0, 'AFIB': 0.0}</x:v>
      </x:c>
      <x:c r="I644" s="12" t="str">
        <x:v>[('AFIB', 100.0), ('RVR', 100.0), ('AB', 100.0)]</x:v>
      </x:c>
      <x:c r="J644" s="12" t="str">
        <x:v>ptbxl_database.csv；ecg_id=5257；scp_codes</x:v>
      </x:c>
      <x:c r="K644" s="12" t="str">
        <x:v>12sl_statements.csv；ecg_id=5257；statements_ext_snomed</x:v>
      </x:c>
      <x:c r="L644" s="12" t="n">
        <x:v>0</x:v>
      </x:c>
      <x:c r="M644" s="12" t="str">
        <x:v>positive</x:v>
      </x:c>
      <x:c r="N644" s="12" t="n">
        <x:v>100</x:v>
      </x:c>
      <x:c r="O644" s="12" t="str">
        <x:v>positive</x:v>
      </x:c>
      <x:c r="P644" s="12" t="str">
        <x:f>IF(OR(M644="unavailable",O644="unavailable"),"不可评价",IF(OR(M644="equivocal",O644="equivocal"),"疑似",IF(AND(M644="positive",O644="positive"),"a",IF(O644="positive","b",IF(M644="positive","c","d")))))</x:f>
        <x:v>a</x:v>
      </x:c>
      <x:c r="Q644" s="12"/>
      <x:c r="R644" s="12" t="str">
        <x:v>negative</x:v>
      </x:c>
      <x:c r="S644" s="12"/>
      <x:c r="T644" s="12" t="str">
        <x:v>negative</x:v>
      </x:c>
      <x:c r="U644" s="12" t="str">
        <x:f>IF(OR(R644="unavailable",T644="unavailable"),"不可评价",IF(OR(R644="equivocal",T644="equivocal"),"疑似",IF(AND(R644="positive",T644="positive"),"a",IF(T644="positive","b",IF(R644="positive","c","d")))))</x:f>
        <x:v>d</x:v>
      </x:c>
      <x:c r="V644" s="12"/>
      <x:c r="W644" s="12" t="str">
        <x:v>negative</x:v>
      </x:c>
      <x:c r="X644" s="12"/>
      <x:c r="Y644" s="12" t="str">
        <x:v>negative</x:v>
      </x:c>
      <x:c r="Z644" s="12" t="str">
        <x:f>IF(OR(W644="unavailable",Y644="unavailable"),"不可评价",IF(OR(W644="equivocal",Y644="equivocal"),"疑似",IF(AND(W644="positive",Y644="positive"),"a",IF(Y644="positive","b",IF(W644="positive","c","d")))))</x:f>
        <x:v>d</x:v>
      </x:c>
      <x:c r="AA644" s="12" t="str">
        <x:f>IF(OR(M644="unavailable",O644="unavailable"),"不可评价",IF(AND(OR(M644="positive",M644="equivocal"),OR(O644="positive",O644="equivocal")),"a",IF(OR(O644="positive",O644="equivocal"),"b",IF(OR(M644="positive",M644="equivocal"),"c","d"))))</x:f>
        <x:v>a</x:v>
      </x:c>
      <x:c r="AB644" s="12" t="str">
        <x:f>IF(OR(M644="unavailable",O644="unavailable"),"不可评价",IF(AND(M644="positive",O644="positive"),"a",IF(O644="positive","b",IF(M644="positive","c","d"))))</x:f>
        <x:v>a</x:v>
      </x:c>
      <x:c r="AC644" s="12" t="str">
        <x:f>IF(OR(R644="unavailable",T644="unavailable"),"不可评价",IF(AND(OR(R644="positive",R644="equivocal"),OR(T644="positive",T644="equivocal")),"a",IF(OR(T644="positive",T644="equivocal"),"b",IF(OR(R644="positive",R644="equivocal"),"c","d"))))</x:f>
        <x:v>d</x:v>
      </x:c>
      <x:c r="AD644" s="12" t="str">
        <x:f>IF(OR(R644="unavailable",T644="unavailable"),"不可评价",IF(AND(R644="positive",T644="positive"),"a",IF(T644="positive","b",IF(R644="positive","c","d"))))</x:f>
        <x:v>d</x:v>
      </x:c>
      <x:c r="AE644" s="12" t="str">
        <x:f>IF(OR(W644="unavailable",Y644="unavailable"),"不可评价",IF(AND(OR(W644="positive",W644="equivocal"),OR(Y644="positive",Y644="equivocal")),"a",IF(OR(Y644="positive",Y644="equivocal"),"b",IF(OR(W644="positive",W644="equivocal"),"c","d"))))</x:f>
        <x:v>d</x:v>
      </x:c>
      <x:c r="AF644" s="12" t="str">
        <x:f>IF(OR(W644="unavailable",Y644="unavailable"),"不可评价",IF(AND(W644="positive",Y644="positive"),"a",IF(Y644="positive","b",IF(W644="positive","c","d"))))</x:f>
        <x:v>d</x:v>
      </x:c>
    </x:row>
    <x:row r="645" ht="24" customHeight="1">
      <x:c r="A645" s="12" t="str">
        <x:v>5269</x:v>
      </x:c>
      <x:c r="B645" s="12" t="str">
        <x:v>21651</x:v>
      </x:c>
      <x:c r="C645" s="21" t="n">
        <x:v>33177.44432870371</x:v>
      </x:c>
      <x:c r="D645" s="12" t="n">
        <x:v>37</x:v>
      </x:c>
      <x:c r="E645" s="12" t="n">
        <x:v>0</x:v>
      </x:c>
      <x:c r="F645" s="12" t="str">
        <x:v>未记录</x:v>
      </x:c>
      <x:c r="G645" s="12" t="n">
        <x:v>1</x:v>
      </x:c>
      <x:c r="H645" s="12" t="str">
        <x:v>{'NORM': 100.0, 'VCLVH': 0.0, 'SR': 0.0}</x:v>
      </x:c>
      <x:c r="I645" s="12" t="str">
        <x:v>[('SBRAD', 100.0), ('BORDE', 100.0)]</x:v>
      </x:c>
      <x:c r="J645" s="12" t="str">
        <x:v>ptbxl_database.csv；ecg_id=5269；scp_codes</x:v>
      </x:c>
      <x:c r="K645" s="12" t="str">
        <x:v>12sl_statements.csv；ecg_id=5269；statements_ext_snomed</x:v>
      </x:c>
      <x:c r="L645" s="12"/>
      <x:c r="M645" s="12" t="str">
        <x:v>negative</x:v>
      </x:c>
      <x:c r="N645" s="12"/>
      <x:c r="O645" s="12" t="str">
        <x:v>negative</x:v>
      </x:c>
      <x:c r="P645" s="12" t="str">
        <x:f>IF(OR(M645="unavailable",O645="unavailable"),"不可评价",IF(OR(M645="equivocal",O645="equivocal"),"疑似",IF(AND(M645="positive",O645="positive"),"a",IF(O645="positive","b",IF(M645="positive","c","d")))))</x:f>
        <x:v>d</x:v>
      </x:c>
      <x:c r="Q645" s="12"/>
      <x:c r="R645" s="12" t="str">
        <x:v>negative</x:v>
      </x:c>
      <x:c r="S645" s="12"/>
      <x:c r="T645" s="12" t="str">
        <x:v>negative</x:v>
      </x:c>
      <x:c r="U645" s="12" t="str">
        <x:f>IF(OR(R645="unavailable",T645="unavailable"),"不可评价",IF(OR(R645="equivocal",T645="equivocal"),"疑似",IF(AND(R645="positive",T645="positive"),"a",IF(T645="positive","b",IF(R645="positive","c","d")))))</x:f>
        <x:v>d</x:v>
      </x:c>
      <x:c r="V645" s="12"/>
      <x:c r="W645" s="12" t="str">
        <x:v>negative</x:v>
      </x:c>
      <x:c r="X645" s="12"/>
      <x:c r="Y645" s="12" t="str">
        <x:v>negative</x:v>
      </x:c>
      <x:c r="Z645" s="12" t="str">
        <x:f>IF(OR(W645="unavailable",Y645="unavailable"),"不可评价",IF(OR(W645="equivocal",Y645="equivocal"),"疑似",IF(AND(W645="positive",Y645="positive"),"a",IF(Y645="positive","b",IF(W645="positive","c","d")))))</x:f>
        <x:v>d</x:v>
      </x:c>
      <x:c r="AA645" s="12" t="str">
        <x:f>IF(OR(M645="unavailable",O645="unavailable"),"不可评价",IF(AND(OR(M645="positive",M645="equivocal"),OR(O645="positive",O645="equivocal")),"a",IF(OR(O645="positive",O645="equivocal"),"b",IF(OR(M645="positive",M645="equivocal"),"c","d"))))</x:f>
        <x:v>d</x:v>
      </x:c>
      <x:c r="AB645" s="12" t="str">
        <x:f>IF(OR(M645="unavailable",O645="unavailable"),"不可评价",IF(AND(M645="positive",O645="positive"),"a",IF(O645="positive","b",IF(M645="positive","c","d"))))</x:f>
        <x:v>d</x:v>
      </x:c>
      <x:c r="AC645" s="12" t="str">
        <x:f>IF(OR(R645="unavailable",T645="unavailable"),"不可评价",IF(AND(OR(R645="positive",R645="equivocal"),OR(T645="positive",T645="equivocal")),"a",IF(OR(T645="positive",T645="equivocal"),"b",IF(OR(R645="positive",R645="equivocal"),"c","d"))))</x:f>
        <x:v>d</x:v>
      </x:c>
      <x:c r="AD645" s="12" t="str">
        <x:f>IF(OR(R645="unavailable",T645="unavailable"),"不可评价",IF(AND(R645="positive",T645="positive"),"a",IF(T645="positive","b",IF(R645="positive","c","d"))))</x:f>
        <x:v>d</x:v>
      </x:c>
      <x:c r="AE645" s="12" t="str">
        <x:f>IF(OR(W645="unavailable",Y645="unavailable"),"不可评价",IF(AND(OR(W645="positive",W645="equivocal"),OR(Y645="positive",Y645="equivocal")),"a",IF(OR(Y645="positive",Y645="equivocal"),"b",IF(OR(W645="positive",W645="equivocal"),"c","d"))))</x:f>
        <x:v>d</x:v>
      </x:c>
      <x:c r="AF645" s="12" t="str">
        <x:f>IF(OR(W645="unavailable",Y645="unavailable"),"不可评价",IF(AND(W645="positive",Y645="positive"),"a",IF(Y645="positive","b",IF(W645="positive","c","d"))))</x:f>
        <x:v>d</x:v>
      </x:c>
    </x:row>
    <x:row r="646" ht="24" customHeight="1">
      <x:c r="A646" s="12" t="str">
        <x:v>5275</x:v>
      </x:c>
      <x:c r="B646" s="12" t="str">
        <x:v>21632</x:v>
      </x:c>
      <x:c r="C646" s="21" t="n">
        <x:v>33177.68918981482</x:v>
      </x:c>
      <x:c r="D646" s="12" t="n">
        <x:v>62</x:v>
      </x:c>
      <x:c r="E646" s="12" t="n">
        <x:v>1</x:v>
      </x:c>
      <x:c r="F646" s="12" t="str">
        <x:v>未记录</x:v>
      </x:c>
      <x:c r="G646" s="12" t="n">
        <x:v>1</x:v>
      </x:c>
      <x:c r="H646" s="12" t="str">
        <x:v>{'NORM': 100.0, 'SR': 0.0}</x:v>
      </x:c>
      <x:c r="I646" s="12" t="str">
        <x:v>[('NSR', 100.0), ('NML', 100.0)]</x:v>
      </x:c>
      <x:c r="J646" s="12" t="str">
        <x:v>ptbxl_database.csv；ecg_id=5275；scp_codes</x:v>
      </x:c>
      <x:c r="K646" s="12" t="str">
        <x:v>12sl_statements.csv；ecg_id=5275；statements_ext_snomed</x:v>
      </x:c>
      <x:c r="L646" s="12"/>
      <x:c r="M646" s="12" t="str">
        <x:v>negative</x:v>
      </x:c>
      <x:c r="N646" s="12"/>
      <x:c r="O646" s="12" t="str">
        <x:v>negative</x:v>
      </x:c>
      <x:c r="P646" s="12" t="str">
        <x:f>IF(OR(M646="unavailable",O646="unavailable"),"不可评价",IF(OR(M646="equivocal",O646="equivocal"),"疑似",IF(AND(M646="positive",O646="positive"),"a",IF(O646="positive","b",IF(M646="positive","c","d")))))</x:f>
        <x:v>d</x:v>
      </x:c>
      <x:c r="Q646" s="12"/>
      <x:c r="R646" s="12" t="str">
        <x:v>negative</x:v>
      </x:c>
      <x:c r="S646" s="12"/>
      <x:c r="T646" s="12" t="str">
        <x:v>negative</x:v>
      </x:c>
      <x:c r="U646" s="12" t="str">
        <x:f>IF(OR(R646="unavailable",T646="unavailable"),"不可评价",IF(OR(R646="equivocal",T646="equivocal"),"疑似",IF(AND(R646="positive",T646="positive"),"a",IF(T646="positive","b",IF(R646="positive","c","d")))))</x:f>
        <x:v>d</x:v>
      </x:c>
      <x:c r="V646" s="12"/>
      <x:c r="W646" s="12" t="str">
        <x:v>negative</x:v>
      </x:c>
      <x:c r="X646" s="12"/>
      <x:c r="Y646" s="12" t="str">
        <x:v>negative</x:v>
      </x:c>
      <x:c r="Z646" s="12" t="str">
        <x:f>IF(OR(W646="unavailable",Y646="unavailable"),"不可评价",IF(OR(W646="equivocal",Y646="equivocal"),"疑似",IF(AND(W646="positive",Y646="positive"),"a",IF(Y646="positive","b",IF(W646="positive","c","d")))))</x:f>
        <x:v>d</x:v>
      </x:c>
      <x:c r="AA646" s="12" t="str">
        <x:f>IF(OR(M646="unavailable",O646="unavailable"),"不可评价",IF(AND(OR(M646="positive",M646="equivocal"),OR(O646="positive",O646="equivocal")),"a",IF(OR(O646="positive",O646="equivocal"),"b",IF(OR(M646="positive",M646="equivocal"),"c","d"))))</x:f>
        <x:v>d</x:v>
      </x:c>
      <x:c r="AB646" s="12" t="str">
        <x:f>IF(OR(M646="unavailable",O646="unavailable"),"不可评价",IF(AND(M646="positive",O646="positive"),"a",IF(O646="positive","b",IF(M646="positive","c","d"))))</x:f>
        <x:v>d</x:v>
      </x:c>
      <x:c r="AC646" s="12" t="str">
        <x:f>IF(OR(R646="unavailable",T646="unavailable"),"不可评价",IF(AND(OR(R646="positive",R646="equivocal"),OR(T646="positive",T646="equivocal")),"a",IF(OR(T646="positive",T646="equivocal"),"b",IF(OR(R646="positive",R646="equivocal"),"c","d"))))</x:f>
        <x:v>d</x:v>
      </x:c>
      <x:c r="AD646" s="12" t="str">
        <x:f>IF(OR(R646="unavailable",T646="unavailable"),"不可评价",IF(AND(R646="positive",T646="positive"),"a",IF(T646="positive","b",IF(R646="positive","c","d"))))</x:f>
        <x:v>d</x:v>
      </x:c>
      <x:c r="AE646" s="12" t="str">
        <x:f>IF(OR(W646="unavailable",Y646="unavailable"),"不可评价",IF(AND(OR(W646="positive",W646="equivocal"),OR(Y646="positive",Y646="equivocal")),"a",IF(OR(Y646="positive",Y646="equivocal"),"b",IF(OR(W646="positive",W646="equivocal"),"c","d"))))</x:f>
        <x:v>d</x:v>
      </x:c>
      <x:c r="AF646" s="12" t="str">
        <x:f>IF(OR(W646="unavailable",Y646="unavailable"),"不可评价",IF(AND(W646="positive",Y646="positive"),"a",IF(Y646="positive","b",IF(W646="positive","c","d"))))</x:f>
        <x:v>d</x:v>
      </x:c>
    </x:row>
    <x:row r="647" ht="24" customHeight="1">
      <x:c r="A647" s="12" t="str">
        <x:v>5276</x:v>
      </x:c>
      <x:c r="B647" s="12" t="str">
        <x:v>13847</x:v>
      </x:c>
      <x:c r="C647" s="21" t="n">
        <x:v>33177.718935185185</x:v>
      </x:c>
      <x:c r="D647" s="12" t="n">
        <x:v>73</x:v>
      </x:c>
      <x:c r="E647" s="12" t="n">
        <x:v>1</x:v>
      </x:c>
      <x:c r="F647" s="12" t="str">
        <x:v>未记录</x:v>
      </x:c>
      <x:c r="G647" s="12" t="n">
        <x:v>1</x:v>
      </x:c>
      <x:c r="H647" s="12" t="str">
        <x:v>{'IMI': 15.0, 'INJAS': 100.0, 'SR': 0.0}</x:v>
      </x:c>
      <x:c r="I647" s="12" t="str">
        <x:v>[('NSR', 100.0), ('ST&amp;', 100.0), ('AT', 100.0), ('AB', 100.0)]</x:v>
      </x:c>
      <x:c r="J647" s="12" t="str">
        <x:v>ptbxl_database.csv；ecg_id=5276；scp_codes</x:v>
      </x:c>
      <x:c r="K647" s="12" t="str">
        <x:v>12sl_statements.csv；ecg_id=5276；statements_ext_snomed</x:v>
      </x:c>
      <x:c r="L647" s="12"/>
      <x:c r="M647" s="12" t="str">
        <x:v>negative</x:v>
      </x:c>
      <x:c r="N647" s="12"/>
      <x:c r="O647" s="12" t="str">
        <x:v>negative</x:v>
      </x:c>
      <x:c r="P647" s="12" t="str">
        <x:f>IF(OR(M647="unavailable",O647="unavailable"),"不可评价",IF(OR(M647="equivocal",O647="equivocal"),"疑似",IF(AND(M647="positive",O647="positive"),"a",IF(O647="positive","b",IF(M647="positive","c","d")))))</x:f>
        <x:v>d</x:v>
      </x:c>
      <x:c r="Q647" s="12"/>
      <x:c r="R647" s="12" t="str">
        <x:v>negative</x:v>
      </x:c>
      <x:c r="S647" s="12"/>
      <x:c r="T647" s="12" t="str">
        <x:v>negative</x:v>
      </x:c>
      <x:c r="U647" s="12" t="str">
        <x:f>IF(OR(R647="unavailable",T647="unavailable"),"不可评价",IF(OR(R647="equivocal",T647="equivocal"),"疑似",IF(AND(R647="positive",T647="positive"),"a",IF(T647="positive","b",IF(R647="positive","c","d")))))</x:f>
        <x:v>d</x:v>
      </x:c>
      <x:c r="V647" s="12"/>
      <x:c r="W647" s="12" t="str">
        <x:v>negative</x:v>
      </x:c>
      <x:c r="X647" s="12"/>
      <x:c r="Y647" s="12" t="str">
        <x:v>negative</x:v>
      </x:c>
      <x:c r="Z647" s="12" t="str">
        <x:f>IF(OR(W647="unavailable",Y647="unavailable"),"不可评价",IF(OR(W647="equivocal",Y647="equivocal"),"疑似",IF(AND(W647="positive",Y647="positive"),"a",IF(Y647="positive","b",IF(W647="positive","c","d")))))</x:f>
        <x:v>d</x:v>
      </x:c>
      <x:c r="AA647" s="12" t="str">
        <x:f>IF(OR(M647="unavailable",O647="unavailable"),"不可评价",IF(AND(OR(M647="positive",M647="equivocal"),OR(O647="positive",O647="equivocal")),"a",IF(OR(O647="positive",O647="equivocal"),"b",IF(OR(M647="positive",M647="equivocal"),"c","d"))))</x:f>
        <x:v>d</x:v>
      </x:c>
      <x:c r="AB647" s="12" t="str">
        <x:f>IF(OR(M647="unavailable",O647="unavailable"),"不可评价",IF(AND(M647="positive",O647="positive"),"a",IF(O647="positive","b",IF(M647="positive","c","d"))))</x:f>
        <x:v>d</x:v>
      </x:c>
      <x:c r="AC647" s="12" t="str">
        <x:f>IF(OR(R647="unavailable",T647="unavailable"),"不可评价",IF(AND(OR(R647="positive",R647="equivocal"),OR(T647="positive",T647="equivocal")),"a",IF(OR(T647="positive",T647="equivocal"),"b",IF(OR(R647="positive",R647="equivocal"),"c","d"))))</x:f>
        <x:v>d</x:v>
      </x:c>
      <x:c r="AD647" s="12" t="str">
        <x:f>IF(OR(R647="unavailable",T647="unavailable"),"不可评价",IF(AND(R647="positive",T647="positive"),"a",IF(T647="positive","b",IF(R647="positive","c","d"))))</x:f>
        <x:v>d</x:v>
      </x:c>
      <x:c r="AE647" s="12" t="str">
        <x:f>IF(OR(W647="unavailable",Y647="unavailable"),"不可评价",IF(AND(OR(W647="positive",W647="equivocal"),OR(Y647="positive",Y647="equivocal")),"a",IF(OR(Y647="positive",Y647="equivocal"),"b",IF(OR(W647="positive",W647="equivocal"),"c","d"))))</x:f>
        <x:v>d</x:v>
      </x:c>
      <x:c r="AF647" s="12" t="str">
        <x:f>IF(OR(W647="unavailable",Y647="unavailable"),"不可评价",IF(AND(W647="positive",Y647="positive"),"a",IF(Y647="positive","b",IF(W647="positive","c","d"))))</x:f>
        <x:v>d</x:v>
      </x:c>
    </x:row>
    <x:row r="648" ht="24" customHeight="1">
      <x:c r="A648" s="12" t="str">
        <x:v>5278</x:v>
      </x:c>
      <x:c r="B648" s="12" t="str">
        <x:v>11132</x:v>
      </x:c>
      <x:c r="C648" s="21" t="n">
        <x:v>33178.36835648148</x:v>
      </x:c>
      <x:c r="D648" s="12" t="n">
        <x:v>84</x:v>
      </x:c>
      <x:c r="E648" s="12" t="n">
        <x:v>0</x:v>
      </x:c>
      <x:c r="F648" s="12" t="str">
        <x:v>存在</x:v>
      </x:c>
      <x:c r="G648" s="12" t="n">
        <x:v>0</x:v>
      </x:c>
      <x:c r="H648" s="12" t="str">
        <x:v>{'NST_': 100.0, 'SR': 0.0}</x:v>
      </x:c>
      <x:c r="I648" s="12" t="str">
        <x:v>[('NSR', 100.0), ('NST', 100.0), ('AB', 100.0)]</x:v>
      </x:c>
      <x:c r="J648" s="12" t="str">
        <x:v>ptbxl_database.csv；ecg_id=5278；scp_codes</x:v>
      </x:c>
      <x:c r="K648" s="12" t="str">
        <x:v>12sl_statements.csv；ecg_id=5278；statements_ext_snomed</x:v>
      </x:c>
      <x:c r="L648" s="12"/>
      <x:c r="M648" s="12" t="str">
        <x:v>negative</x:v>
      </x:c>
      <x:c r="N648" s="12"/>
      <x:c r="O648" s="12" t="str">
        <x:v>negative</x:v>
      </x:c>
      <x:c r="P648" s="12" t="str">
        <x:f>IF(OR(M648="unavailable",O648="unavailable"),"不可评价",IF(OR(M648="equivocal",O648="equivocal"),"疑似",IF(AND(M648="positive",O648="positive"),"a",IF(O648="positive","b",IF(M648="positive","c","d")))))</x:f>
        <x:v>d</x:v>
      </x:c>
      <x:c r="Q648" s="12"/>
      <x:c r="R648" s="12" t="str">
        <x:v>negative</x:v>
      </x:c>
      <x:c r="S648" s="12"/>
      <x:c r="T648" s="12" t="str">
        <x:v>negative</x:v>
      </x:c>
      <x:c r="U648" s="12" t="str">
        <x:f>IF(OR(R648="unavailable",T648="unavailable"),"不可评价",IF(OR(R648="equivocal",T648="equivocal"),"疑似",IF(AND(R648="positive",T648="positive"),"a",IF(T648="positive","b",IF(R648="positive","c","d")))))</x:f>
        <x:v>d</x:v>
      </x:c>
      <x:c r="V648" s="12"/>
      <x:c r="W648" s="12" t="str">
        <x:v>negative</x:v>
      </x:c>
      <x:c r="X648" s="12"/>
      <x:c r="Y648" s="12" t="str">
        <x:v>negative</x:v>
      </x:c>
      <x:c r="Z648" s="12" t="str">
        <x:f>IF(OR(W648="unavailable",Y648="unavailable"),"不可评价",IF(OR(W648="equivocal",Y648="equivocal"),"疑似",IF(AND(W648="positive",Y648="positive"),"a",IF(Y648="positive","b",IF(W648="positive","c","d")))))</x:f>
        <x:v>d</x:v>
      </x:c>
      <x:c r="AA648" s="12" t="str">
        <x:f>IF(OR(M648="unavailable",O648="unavailable"),"不可评价",IF(AND(OR(M648="positive",M648="equivocal"),OR(O648="positive",O648="equivocal")),"a",IF(OR(O648="positive",O648="equivocal"),"b",IF(OR(M648="positive",M648="equivocal"),"c","d"))))</x:f>
        <x:v>d</x:v>
      </x:c>
      <x:c r="AB648" s="12" t="str">
        <x:f>IF(OR(M648="unavailable",O648="unavailable"),"不可评价",IF(AND(M648="positive",O648="positive"),"a",IF(O648="positive","b",IF(M648="positive","c","d"))))</x:f>
        <x:v>d</x:v>
      </x:c>
      <x:c r="AC648" s="12" t="str">
        <x:f>IF(OR(R648="unavailable",T648="unavailable"),"不可评价",IF(AND(OR(R648="positive",R648="equivocal"),OR(T648="positive",T648="equivocal")),"a",IF(OR(T648="positive",T648="equivocal"),"b",IF(OR(R648="positive",R648="equivocal"),"c","d"))))</x:f>
        <x:v>d</x:v>
      </x:c>
      <x:c r="AD648" s="12" t="str">
        <x:f>IF(OR(R648="unavailable",T648="unavailable"),"不可评价",IF(AND(R648="positive",T648="positive"),"a",IF(T648="positive","b",IF(R648="positive","c","d"))))</x:f>
        <x:v>d</x:v>
      </x:c>
      <x:c r="AE648" s="12" t="str">
        <x:f>IF(OR(W648="unavailable",Y648="unavailable"),"不可评价",IF(AND(OR(W648="positive",W648="equivocal"),OR(Y648="positive",Y648="equivocal")),"a",IF(OR(Y648="positive",Y648="equivocal"),"b",IF(OR(W648="positive",W648="equivocal"),"c","d"))))</x:f>
        <x:v>d</x:v>
      </x:c>
      <x:c r="AF648" s="12" t="str">
        <x:f>IF(OR(W648="unavailable",Y648="unavailable"),"不可评价",IF(AND(W648="positive",Y648="positive"),"a",IF(Y648="positive","b",IF(W648="positive","c","d"))))</x:f>
        <x:v>d</x:v>
      </x:c>
    </x:row>
    <x:row r="649" ht="24" customHeight="1">
      <x:c r="A649" s="12" t="str">
        <x:v>5281</x:v>
      </x:c>
      <x:c r="B649" s="12" t="str">
        <x:v>14040</x:v>
      </x:c>
      <x:c r="C649" s="21" t="n">
        <x:v>33178.72019675926</x:v>
      </x:c>
      <x:c r="D649" s="12" t="n">
        <x:v>51</x:v>
      </x:c>
      <x:c r="E649" s="12" t="n">
        <x:v>0</x:v>
      </x:c>
      <x:c r="F649" s="12" t="str">
        <x:v>存在</x:v>
      </x:c>
      <x:c r="G649" s="12" t="n">
        <x:v>1</x:v>
      </x:c>
      <x:c r="H649" s="12" t="str">
        <x:v>{'NORM': 100.0, 'SR': 0.0}</x:v>
      </x:c>
      <x:c r="I649" s="12" t="str">
        <x:v>[('NSR', 100.0), ('NT', 100.0), ('AB', 100.0)]</x:v>
      </x:c>
      <x:c r="J649" s="12" t="str">
        <x:v>ptbxl_database.csv；ecg_id=5281；scp_codes</x:v>
      </x:c>
      <x:c r="K649" s="12" t="str">
        <x:v>12sl_statements.csv；ecg_id=5281；statements_ext_snomed</x:v>
      </x:c>
      <x:c r="L649" s="12"/>
      <x:c r="M649" s="12" t="str">
        <x:v>negative</x:v>
      </x:c>
      <x:c r="N649" s="12"/>
      <x:c r="O649" s="12" t="str">
        <x:v>negative</x:v>
      </x:c>
      <x:c r="P649" s="12" t="str">
        <x:f>IF(OR(M649="unavailable",O649="unavailable"),"不可评价",IF(OR(M649="equivocal",O649="equivocal"),"疑似",IF(AND(M649="positive",O649="positive"),"a",IF(O649="positive","b",IF(M649="positive","c","d")))))</x:f>
        <x:v>d</x:v>
      </x:c>
      <x:c r="Q649" s="12"/>
      <x:c r="R649" s="12" t="str">
        <x:v>negative</x:v>
      </x:c>
      <x:c r="S649" s="12"/>
      <x:c r="T649" s="12" t="str">
        <x:v>negative</x:v>
      </x:c>
      <x:c r="U649" s="12" t="str">
        <x:f>IF(OR(R649="unavailable",T649="unavailable"),"不可评价",IF(OR(R649="equivocal",T649="equivocal"),"疑似",IF(AND(R649="positive",T649="positive"),"a",IF(T649="positive","b",IF(R649="positive","c","d")))))</x:f>
        <x:v>d</x:v>
      </x:c>
      <x:c r="V649" s="12"/>
      <x:c r="W649" s="12" t="str">
        <x:v>negative</x:v>
      </x:c>
      <x:c r="X649" s="12"/>
      <x:c r="Y649" s="12" t="str">
        <x:v>negative</x:v>
      </x:c>
      <x:c r="Z649" s="12" t="str">
        <x:f>IF(OR(W649="unavailable",Y649="unavailable"),"不可评价",IF(OR(W649="equivocal",Y649="equivocal"),"疑似",IF(AND(W649="positive",Y649="positive"),"a",IF(Y649="positive","b",IF(W649="positive","c","d")))))</x:f>
        <x:v>d</x:v>
      </x:c>
      <x:c r="AA649" s="12" t="str">
        <x:f>IF(OR(M649="unavailable",O649="unavailable"),"不可评价",IF(AND(OR(M649="positive",M649="equivocal"),OR(O649="positive",O649="equivocal")),"a",IF(OR(O649="positive",O649="equivocal"),"b",IF(OR(M649="positive",M649="equivocal"),"c","d"))))</x:f>
        <x:v>d</x:v>
      </x:c>
      <x:c r="AB649" s="12" t="str">
        <x:f>IF(OR(M649="unavailable",O649="unavailable"),"不可评价",IF(AND(M649="positive",O649="positive"),"a",IF(O649="positive","b",IF(M649="positive","c","d"))))</x:f>
        <x:v>d</x:v>
      </x:c>
      <x:c r="AC649" s="12" t="str">
        <x:f>IF(OR(R649="unavailable",T649="unavailable"),"不可评价",IF(AND(OR(R649="positive",R649="equivocal"),OR(T649="positive",T649="equivocal")),"a",IF(OR(T649="positive",T649="equivocal"),"b",IF(OR(R649="positive",R649="equivocal"),"c","d"))))</x:f>
        <x:v>d</x:v>
      </x:c>
      <x:c r="AD649" s="12" t="str">
        <x:f>IF(OR(R649="unavailable",T649="unavailable"),"不可评价",IF(AND(R649="positive",T649="positive"),"a",IF(T649="positive","b",IF(R649="positive","c","d"))))</x:f>
        <x:v>d</x:v>
      </x:c>
      <x:c r="AE649" s="12" t="str">
        <x:f>IF(OR(W649="unavailable",Y649="unavailable"),"不可评价",IF(AND(OR(W649="positive",W649="equivocal"),OR(Y649="positive",Y649="equivocal")),"a",IF(OR(Y649="positive",Y649="equivocal"),"b",IF(OR(W649="positive",W649="equivocal"),"c","d"))))</x:f>
        <x:v>d</x:v>
      </x:c>
      <x:c r="AF649" s="12" t="str">
        <x:f>IF(OR(W649="unavailable",Y649="unavailable"),"不可评价",IF(AND(W649="positive",Y649="positive"),"a",IF(Y649="positive","b",IF(W649="positive","c","d"))))</x:f>
        <x:v>d</x:v>
      </x:c>
    </x:row>
    <x:row r="650" ht="24" customHeight="1">
      <x:c r="A650" s="12" t="str">
        <x:v>5289</x:v>
      </x:c>
      <x:c r="B650" s="12" t="str">
        <x:v>14952</x:v>
      </x:c>
      <x:c r="C650" s="21" t="n">
        <x:v>33179.53159722222</x:v>
      </x:c>
      <x:c r="D650" s="12" t="n">
        <x:v>75</x:v>
      </x:c>
      <x:c r="E650" s="12" t="n">
        <x:v>1</x:v>
      </x:c>
      <x:c r="F650" s="12" t="str">
        <x:v>未记录</x:v>
      </x:c>
      <x:c r="G650" s="12" t="n">
        <x:v>0</x:v>
      </x:c>
      <x:c r="H650" s="12" t="str">
        <x:v>{'LAO/LAE': 100.0, 'NDT': 100.0, 'SR': 0.0}</x:v>
      </x:c>
      <x:c r="I650" s="12" t="str">
        <x:v>[('NSR', 100.0), ('AMI;AU', 15.0), ('AB', 100.0)]</x:v>
      </x:c>
      <x:c r="J650" s="12" t="str">
        <x:v>ptbxl_database.csv；ecg_id=5289；scp_codes</x:v>
      </x:c>
      <x:c r="K650" s="12" t="str">
        <x:v>12sl_statements.csv；ecg_id=5289；statements_ext_snomed</x:v>
      </x:c>
      <x:c r="L650" s="12"/>
      <x:c r="M650" s="12" t="str">
        <x:v>negative</x:v>
      </x:c>
      <x:c r="N650" s="12"/>
      <x:c r="O650" s="12" t="str">
        <x:v>negative</x:v>
      </x:c>
      <x:c r="P650" s="12" t="str">
        <x:f>IF(OR(M650="unavailable",O650="unavailable"),"不可评价",IF(OR(M650="equivocal",O650="equivocal"),"疑似",IF(AND(M650="positive",O650="positive"),"a",IF(O650="positive","b",IF(M650="positive","c","d")))))</x:f>
        <x:v>d</x:v>
      </x:c>
      <x:c r="Q650" s="12"/>
      <x:c r="R650" s="12" t="str">
        <x:v>negative</x:v>
      </x:c>
      <x:c r="S650" s="12"/>
      <x:c r="T650" s="12" t="str">
        <x:v>negative</x:v>
      </x:c>
      <x:c r="U650" s="12" t="str">
        <x:f>IF(OR(R650="unavailable",T650="unavailable"),"不可评价",IF(OR(R650="equivocal",T650="equivocal"),"疑似",IF(AND(R650="positive",T650="positive"),"a",IF(T650="positive","b",IF(R650="positive","c","d")))))</x:f>
        <x:v>d</x:v>
      </x:c>
      <x:c r="V650" s="12"/>
      <x:c r="W650" s="12" t="str">
        <x:v>negative</x:v>
      </x:c>
      <x:c r="X650" s="12"/>
      <x:c r="Y650" s="12" t="str">
        <x:v>negative</x:v>
      </x:c>
      <x:c r="Z650" s="12" t="str">
        <x:f>IF(OR(W650="unavailable",Y650="unavailable"),"不可评价",IF(OR(W650="equivocal",Y650="equivocal"),"疑似",IF(AND(W650="positive",Y650="positive"),"a",IF(Y650="positive","b",IF(W650="positive","c","d")))))</x:f>
        <x:v>d</x:v>
      </x:c>
      <x:c r="AA650" s="12" t="str">
        <x:f>IF(OR(M650="unavailable",O650="unavailable"),"不可评价",IF(AND(OR(M650="positive",M650="equivocal"),OR(O650="positive",O650="equivocal")),"a",IF(OR(O650="positive",O650="equivocal"),"b",IF(OR(M650="positive",M650="equivocal"),"c","d"))))</x:f>
        <x:v>d</x:v>
      </x:c>
      <x:c r="AB650" s="12" t="str">
        <x:f>IF(OR(M650="unavailable",O650="unavailable"),"不可评价",IF(AND(M650="positive",O650="positive"),"a",IF(O650="positive","b",IF(M650="positive","c","d"))))</x:f>
        <x:v>d</x:v>
      </x:c>
      <x:c r="AC650" s="12" t="str">
        <x:f>IF(OR(R650="unavailable",T650="unavailable"),"不可评价",IF(AND(OR(R650="positive",R650="equivocal"),OR(T650="positive",T650="equivocal")),"a",IF(OR(T650="positive",T650="equivocal"),"b",IF(OR(R650="positive",R650="equivocal"),"c","d"))))</x:f>
        <x:v>d</x:v>
      </x:c>
      <x:c r="AD650" s="12" t="str">
        <x:f>IF(OR(R650="unavailable",T650="unavailable"),"不可评价",IF(AND(R650="positive",T650="positive"),"a",IF(T650="positive","b",IF(R650="positive","c","d"))))</x:f>
        <x:v>d</x:v>
      </x:c>
      <x:c r="AE650" s="12" t="str">
        <x:f>IF(OR(W650="unavailable",Y650="unavailable"),"不可评价",IF(AND(OR(W650="positive",W650="equivocal"),OR(Y650="positive",Y650="equivocal")),"a",IF(OR(Y650="positive",Y650="equivocal"),"b",IF(OR(W650="positive",W650="equivocal"),"c","d"))))</x:f>
        <x:v>d</x:v>
      </x:c>
      <x:c r="AF650" s="12" t="str">
        <x:f>IF(OR(W650="unavailable",Y650="unavailable"),"不可评价",IF(AND(W650="positive",Y650="positive"),"a",IF(Y650="positive","b",IF(W650="positive","c","d"))))</x:f>
        <x:v>d</x:v>
      </x:c>
    </x:row>
    <x:row r="651" ht="24" customHeight="1">
      <x:c r="A651" s="12" t="str">
        <x:v>5298</x:v>
      </x:c>
      <x:c r="B651" s="12" t="str">
        <x:v>9019</x:v>
      </x:c>
      <x:c r="C651" s="21" t="n">
        <x:v>33180.61570601852</x:v>
      </x:c>
      <x:c r="D651" s="12" t="n">
        <x:v>29</x:v>
      </x:c>
      <x:c r="E651" s="12" t="n">
        <x:v>0</x:v>
      </x:c>
      <x:c r="F651" s="12" t="str">
        <x:v>未记录</x:v>
      </x:c>
      <x:c r="G651" s="12" t="n">
        <x:v>1</x:v>
      </x:c>
      <x:c r="H651" s="12" t="str">
        <x:v>{'NORM': 100.0, 'SR': 0.0}</x:v>
      </x:c>
      <x:c r="I651" s="12" t="str">
        <x:v>[('NSR', 100.0), ('NML', 100.0)]</x:v>
      </x:c>
      <x:c r="J651" s="12" t="str">
        <x:v>ptbxl_database.csv；ecg_id=5298；scp_codes</x:v>
      </x:c>
      <x:c r="K651" s="12" t="str">
        <x:v>12sl_statements.csv；ecg_id=5298；statements_ext_snomed</x:v>
      </x:c>
      <x:c r="L651" s="12"/>
      <x:c r="M651" s="12" t="str">
        <x:v>negative</x:v>
      </x:c>
      <x:c r="N651" s="12"/>
      <x:c r="O651" s="12" t="str">
        <x:v>negative</x:v>
      </x:c>
      <x:c r="P651" s="12" t="str">
        <x:f>IF(OR(M651="unavailable",O651="unavailable"),"不可评价",IF(OR(M651="equivocal",O651="equivocal"),"疑似",IF(AND(M651="positive",O651="positive"),"a",IF(O651="positive","b",IF(M651="positive","c","d")))))</x:f>
        <x:v>d</x:v>
      </x:c>
      <x:c r="Q651" s="12"/>
      <x:c r="R651" s="12" t="str">
        <x:v>negative</x:v>
      </x:c>
      <x:c r="S651" s="12"/>
      <x:c r="T651" s="12" t="str">
        <x:v>negative</x:v>
      </x:c>
      <x:c r="U651" s="12" t="str">
        <x:f>IF(OR(R651="unavailable",T651="unavailable"),"不可评价",IF(OR(R651="equivocal",T651="equivocal"),"疑似",IF(AND(R651="positive",T651="positive"),"a",IF(T651="positive","b",IF(R651="positive","c","d")))))</x:f>
        <x:v>d</x:v>
      </x:c>
      <x:c r="V651" s="12"/>
      <x:c r="W651" s="12" t="str">
        <x:v>negative</x:v>
      </x:c>
      <x:c r="X651" s="12"/>
      <x:c r="Y651" s="12" t="str">
        <x:v>negative</x:v>
      </x:c>
      <x:c r="Z651" s="12" t="str">
        <x:f>IF(OR(W651="unavailable",Y651="unavailable"),"不可评价",IF(OR(W651="equivocal",Y651="equivocal"),"疑似",IF(AND(W651="positive",Y651="positive"),"a",IF(Y651="positive","b",IF(W651="positive","c","d")))))</x:f>
        <x:v>d</x:v>
      </x:c>
      <x:c r="AA651" s="12" t="str">
        <x:f>IF(OR(M651="unavailable",O651="unavailable"),"不可评价",IF(AND(OR(M651="positive",M651="equivocal"),OR(O651="positive",O651="equivocal")),"a",IF(OR(O651="positive",O651="equivocal"),"b",IF(OR(M651="positive",M651="equivocal"),"c","d"))))</x:f>
        <x:v>d</x:v>
      </x:c>
      <x:c r="AB651" s="12" t="str">
        <x:f>IF(OR(M651="unavailable",O651="unavailable"),"不可评价",IF(AND(M651="positive",O651="positive"),"a",IF(O651="positive","b",IF(M651="positive","c","d"))))</x:f>
        <x:v>d</x:v>
      </x:c>
      <x:c r="AC651" s="12" t="str">
        <x:f>IF(OR(R651="unavailable",T651="unavailable"),"不可评价",IF(AND(OR(R651="positive",R651="equivocal"),OR(T651="positive",T651="equivocal")),"a",IF(OR(T651="positive",T651="equivocal"),"b",IF(OR(R651="positive",R651="equivocal"),"c","d"))))</x:f>
        <x:v>d</x:v>
      </x:c>
      <x:c r="AD651" s="12" t="str">
        <x:f>IF(OR(R651="unavailable",T651="unavailable"),"不可评价",IF(AND(R651="positive",T651="positive"),"a",IF(T651="positive","b",IF(R651="positive","c","d"))))</x:f>
        <x:v>d</x:v>
      </x:c>
      <x:c r="AE651" s="12" t="str">
        <x:f>IF(OR(W651="unavailable",Y651="unavailable"),"不可评价",IF(AND(OR(W651="positive",W651="equivocal"),OR(Y651="positive",Y651="equivocal")),"a",IF(OR(Y651="positive",Y651="equivocal"),"b",IF(OR(W651="positive",W651="equivocal"),"c","d"))))</x:f>
        <x:v>d</x:v>
      </x:c>
      <x:c r="AF651" s="12" t="str">
        <x:f>IF(OR(W651="unavailable",Y651="unavailable"),"不可评价",IF(AND(W651="positive",Y651="positive"),"a",IF(Y651="positive","b",IF(W651="positive","c","d"))))</x:f>
        <x:v>d</x:v>
      </x:c>
    </x:row>
    <x:row r="652" ht="24" customHeight="1">
      <x:c r="A652" s="12" t="str">
        <x:v>5299</x:v>
      </x:c>
      <x:c r="B652" s="12" t="str">
        <x:v>18521</x:v>
      </x:c>
      <x:c r="C652" s="21" t="n">
        <x:v>33180.71462962963</x:v>
      </x:c>
      <x:c r="D652" s="12" t="n">
        <x:v>66</x:v>
      </x:c>
      <x:c r="E652" s="12" t="n">
        <x:v>0</x:v>
      </x:c>
      <x:c r="F652" s="12" t="str">
        <x:v>未记录</x:v>
      </x:c>
      <x:c r="G652" s="12" t="n">
        <x:v>1</x:v>
      </x:c>
      <x:c r="H652" s="12" t="str">
        <x:v>{'NDT': 100.0, 'SR': 0.0}</x:v>
      </x:c>
      <x:c r="I652" s="12" t="str">
        <x:v>[('SRTH', 100.0), ('PSVC', 100.0), ('JSTN', 100.0), ('BORDE', 100.0)]</x:v>
      </x:c>
      <x:c r="J652" s="12" t="str">
        <x:v>ptbxl_database.csv；ecg_id=5299；scp_codes</x:v>
      </x:c>
      <x:c r="K652" s="12" t="str">
        <x:v>12sl_statements.csv；ecg_id=5299；statements_ext_snomed</x:v>
      </x:c>
      <x:c r="L652" s="12"/>
      <x:c r="M652" s="12" t="str">
        <x:v>negative</x:v>
      </x:c>
      <x:c r="N652" s="12"/>
      <x:c r="O652" s="12" t="str">
        <x:v>negative</x:v>
      </x:c>
      <x:c r="P652" s="12" t="str">
        <x:f>IF(OR(M652="unavailable",O652="unavailable"),"不可评价",IF(OR(M652="equivocal",O652="equivocal"),"疑似",IF(AND(M652="positive",O652="positive"),"a",IF(O652="positive","b",IF(M652="positive","c","d")))))</x:f>
        <x:v>d</x:v>
      </x:c>
      <x:c r="Q652" s="12"/>
      <x:c r="R652" s="12" t="str">
        <x:v>negative</x:v>
      </x:c>
      <x:c r="S652" s="12"/>
      <x:c r="T652" s="12" t="str">
        <x:v>negative</x:v>
      </x:c>
      <x:c r="U652" s="12" t="str">
        <x:f>IF(OR(R652="unavailable",T652="unavailable"),"不可评价",IF(OR(R652="equivocal",T652="equivocal"),"疑似",IF(AND(R652="positive",T652="positive"),"a",IF(T652="positive","b",IF(R652="positive","c","d")))))</x:f>
        <x:v>d</x:v>
      </x:c>
      <x:c r="V652" s="12"/>
      <x:c r="W652" s="12" t="str">
        <x:v>negative</x:v>
      </x:c>
      <x:c r="X652" s="12"/>
      <x:c r="Y652" s="12" t="str">
        <x:v>negative</x:v>
      </x:c>
      <x:c r="Z652" s="12" t="str">
        <x:f>IF(OR(W652="unavailable",Y652="unavailable"),"不可评价",IF(OR(W652="equivocal",Y652="equivocal"),"疑似",IF(AND(W652="positive",Y652="positive"),"a",IF(Y652="positive","b",IF(W652="positive","c","d")))))</x:f>
        <x:v>d</x:v>
      </x:c>
      <x:c r="AA652" s="12" t="str">
        <x:f>IF(OR(M652="unavailable",O652="unavailable"),"不可评价",IF(AND(OR(M652="positive",M652="equivocal"),OR(O652="positive",O652="equivocal")),"a",IF(OR(O652="positive",O652="equivocal"),"b",IF(OR(M652="positive",M652="equivocal"),"c","d"))))</x:f>
        <x:v>d</x:v>
      </x:c>
      <x:c r="AB652" s="12" t="str">
        <x:f>IF(OR(M652="unavailable",O652="unavailable"),"不可评价",IF(AND(M652="positive",O652="positive"),"a",IF(O652="positive","b",IF(M652="positive","c","d"))))</x:f>
        <x:v>d</x:v>
      </x:c>
      <x:c r="AC652" s="12" t="str">
        <x:f>IF(OR(R652="unavailable",T652="unavailable"),"不可评价",IF(AND(OR(R652="positive",R652="equivocal"),OR(T652="positive",T652="equivocal")),"a",IF(OR(T652="positive",T652="equivocal"),"b",IF(OR(R652="positive",R652="equivocal"),"c","d"))))</x:f>
        <x:v>d</x:v>
      </x:c>
      <x:c r="AD652" s="12" t="str">
        <x:f>IF(OR(R652="unavailable",T652="unavailable"),"不可评价",IF(AND(R652="positive",T652="positive"),"a",IF(T652="positive","b",IF(R652="positive","c","d"))))</x:f>
        <x:v>d</x:v>
      </x:c>
      <x:c r="AE652" s="12" t="str">
        <x:f>IF(OR(W652="unavailable",Y652="unavailable"),"不可评价",IF(AND(OR(W652="positive",W652="equivocal"),OR(Y652="positive",Y652="equivocal")),"a",IF(OR(Y652="positive",Y652="equivocal"),"b",IF(OR(W652="positive",W652="equivocal"),"c","d"))))</x:f>
        <x:v>d</x:v>
      </x:c>
      <x:c r="AF652" s="12" t="str">
        <x:f>IF(OR(W652="unavailable",Y652="unavailable"),"不可评价",IF(AND(W652="positive",Y652="positive"),"a",IF(Y652="positive","b",IF(W652="positive","c","d"))))</x:f>
        <x:v>d</x:v>
      </x:c>
    </x:row>
    <x:row r="653" ht="24" customHeight="1">
      <x:c r="A653" s="12" t="str">
        <x:v>5304</x:v>
      </x:c>
      <x:c r="B653" s="12" t="str">
        <x:v>11143</x:v>
      </x:c>
      <x:c r="C653" s="21" t="n">
        <x:v>33182.63247685185</x:v>
      </x:c>
      <x:c r="D653" s="12" t="n">
        <x:v>49</x:v>
      </x:c>
      <x:c r="E653" s="12" t="n">
        <x:v>0</x:v>
      </x:c>
      <x:c r="F653" s="12" t="str">
        <x:v>存在</x:v>
      </x:c>
      <x:c r="G653" s="12" t="n">
        <x:v>1</x:v>
      </x:c>
      <x:c r="H653" s="12" t="str">
        <x:v>{'NORM': 100.0, 'SR': 0.0}</x:v>
      </x:c>
      <x:c r="I653" s="12" t="str">
        <x:v>[('NSR', 100.0), ('SAR', 100.0), ('NML', 100.0)]</x:v>
      </x:c>
      <x:c r="J653" s="12" t="str">
        <x:v>ptbxl_database.csv；ecg_id=5304；scp_codes</x:v>
      </x:c>
      <x:c r="K653" s="12" t="str">
        <x:v>12sl_statements.csv；ecg_id=5304；statements_ext_snomed</x:v>
      </x:c>
      <x:c r="L653" s="12"/>
      <x:c r="M653" s="12" t="str">
        <x:v>negative</x:v>
      </x:c>
      <x:c r="N653" s="12"/>
      <x:c r="O653" s="12" t="str">
        <x:v>negative</x:v>
      </x:c>
      <x:c r="P653" s="12" t="str">
        <x:f>IF(OR(M653="unavailable",O653="unavailable"),"不可评价",IF(OR(M653="equivocal",O653="equivocal"),"疑似",IF(AND(M653="positive",O653="positive"),"a",IF(O653="positive","b",IF(M653="positive","c","d")))))</x:f>
        <x:v>d</x:v>
      </x:c>
      <x:c r="Q653" s="12"/>
      <x:c r="R653" s="12" t="str">
        <x:v>negative</x:v>
      </x:c>
      <x:c r="S653" s="12"/>
      <x:c r="T653" s="12" t="str">
        <x:v>negative</x:v>
      </x:c>
      <x:c r="U653" s="12" t="str">
        <x:f>IF(OR(R653="unavailable",T653="unavailable"),"不可评价",IF(OR(R653="equivocal",T653="equivocal"),"疑似",IF(AND(R653="positive",T653="positive"),"a",IF(T653="positive","b",IF(R653="positive","c","d")))))</x:f>
        <x:v>d</x:v>
      </x:c>
      <x:c r="V653" s="12"/>
      <x:c r="W653" s="12" t="str">
        <x:v>negative</x:v>
      </x:c>
      <x:c r="X653" s="12"/>
      <x:c r="Y653" s="12" t="str">
        <x:v>negative</x:v>
      </x:c>
      <x:c r="Z653" s="12" t="str">
        <x:f>IF(OR(W653="unavailable",Y653="unavailable"),"不可评价",IF(OR(W653="equivocal",Y653="equivocal"),"疑似",IF(AND(W653="positive",Y653="positive"),"a",IF(Y653="positive","b",IF(W653="positive","c","d")))))</x:f>
        <x:v>d</x:v>
      </x:c>
      <x:c r="AA653" s="12" t="str">
        <x:f>IF(OR(M653="unavailable",O653="unavailable"),"不可评价",IF(AND(OR(M653="positive",M653="equivocal"),OR(O653="positive",O653="equivocal")),"a",IF(OR(O653="positive",O653="equivocal"),"b",IF(OR(M653="positive",M653="equivocal"),"c","d"))))</x:f>
        <x:v>d</x:v>
      </x:c>
      <x:c r="AB653" s="12" t="str">
        <x:f>IF(OR(M653="unavailable",O653="unavailable"),"不可评价",IF(AND(M653="positive",O653="positive"),"a",IF(O653="positive","b",IF(M653="positive","c","d"))))</x:f>
        <x:v>d</x:v>
      </x:c>
      <x:c r="AC653" s="12" t="str">
        <x:f>IF(OR(R653="unavailable",T653="unavailable"),"不可评价",IF(AND(OR(R653="positive",R653="equivocal"),OR(T653="positive",T653="equivocal")),"a",IF(OR(T653="positive",T653="equivocal"),"b",IF(OR(R653="positive",R653="equivocal"),"c","d"))))</x:f>
        <x:v>d</x:v>
      </x:c>
      <x:c r="AD653" s="12" t="str">
        <x:f>IF(OR(R653="unavailable",T653="unavailable"),"不可评价",IF(AND(R653="positive",T653="positive"),"a",IF(T653="positive","b",IF(R653="positive","c","d"))))</x:f>
        <x:v>d</x:v>
      </x:c>
      <x:c r="AE653" s="12" t="str">
        <x:f>IF(OR(W653="unavailable",Y653="unavailable"),"不可评价",IF(AND(OR(W653="positive",W653="equivocal"),OR(Y653="positive",Y653="equivocal")),"a",IF(OR(Y653="positive",Y653="equivocal"),"b",IF(OR(W653="positive",W653="equivocal"),"c","d"))))</x:f>
        <x:v>d</x:v>
      </x:c>
      <x:c r="AF653" s="12" t="str">
        <x:f>IF(OR(W653="unavailable",Y653="unavailable"),"不可评价",IF(AND(W653="positive",Y653="positive"),"a",IF(Y653="positive","b",IF(W653="positive","c","d"))))</x:f>
        <x:v>d</x:v>
      </x:c>
    </x:row>
    <x:row r="654" ht="24" customHeight="1">
      <x:c r="A654" s="12" t="str">
        <x:v>5316</x:v>
      </x:c>
      <x:c r="B654" s="12" t="str">
        <x:v>14208</x:v>
      </x:c>
      <x:c r="C654" s="21" t="n">
        <x:v>33185.51596064815</x:v>
      </x:c>
      <x:c r="D654" s="12" t="n">
        <x:v>18</x:v>
      </x:c>
      <x:c r="E654" s="12" t="n">
        <x:v>1</x:v>
      </x:c>
      <x:c r="F654" s="12" t="str">
        <x:v>存在</x:v>
      </x:c>
      <x:c r="G654" s="12" t="n">
        <x:v>1</x:v>
      </x:c>
      <x:c r="H654" s="12" t="str">
        <x:v>{'NORM': 80.0, 'SR': 0.0}</x:v>
      </x:c>
      <x:c r="I654" s="12" t="str">
        <x:v>[('NSR', 100.0), ('RAD', 100.0), ('BORDE', 100.0)]</x:v>
      </x:c>
      <x:c r="J654" s="12" t="str">
        <x:v>ptbxl_database.csv；ecg_id=5316；scp_codes</x:v>
      </x:c>
      <x:c r="K654" s="12" t="str">
        <x:v>12sl_statements.csv；ecg_id=5316；statements_ext_snomed</x:v>
      </x:c>
      <x:c r="L654" s="12"/>
      <x:c r="M654" s="12" t="str">
        <x:v>negative</x:v>
      </x:c>
      <x:c r="N654" s="12"/>
      <x:c r="O654" s="12" t="str">
        <x:v>negative</x:v>
      </x:c>
      <x:c r="P654" s="12" t="str">
        <x:f>IF(OR(M654="unavailable",O654="unavailable"),"不可评价",IF(OR(M654="equivocal",O654="equivocal"),"疑似",IF(AND(M654="positive",O654="positive"),"a",IF(O654="positive","b",IF(M654="positive","c","d")))))</x:f>
        <x:v>d</x:v>
      </x:c>
      <x:c r="Q654" s="12"/>
      <x:c r="R654" s="12" t="str">
        <x:v>negative</x:v>
      </x:c>
      <x:c r="S654" s="12"/>
      <x:c r="T654" s="12" t="str">
        <x:v>negative</x:v>
      </x:c>
      <x:c r="U654" s="12" t="str">
        <x:f>IF(OR(R654="unavailable",T654="unavailable"),"不可评价",IF(OR(R654="equivocal",T654="equivocal"),"疑似",IF(AND(R654="positive",T654="positive"),"a",IF(T654="positive","b",IF(R654="positive","c","d")))))</x:f>
        <x:v>d</x:v>
      </x:c>
      <x:c r="V654" s="12"/>
      <x:c r="W654" s="12" t="str">
        <x:v>negative</x:v>
      </x:c>
      <x:c r="X654" s="12"/>
      <x:c r="Y654" s="12" t="str">
        <x:v>negative</x:v>
      </x:c>
      <x:c r="Z654" s="12" t="str">
        <x:f>IF(OR(W654="unavailable",Y654="unavailable"),"不可评价",IF(OR(W654="equivocal",Y654="equivocal"),"疑似",IF(AND(W654="positive",Y654="positive"),"a",IF(Y654="positive","b",IF(W654="positive","c","d")))))</x:f>
        <x:v>d</x:v>
      </x:c>
      <x:c r="AA654" s="12" t="str">
        <x:f>IF(OR(M654="unavailable",O654="unavailable"),"不可评价",IF(AND(OR(M654="positive",M654="equivocal"),OR(O654="positive",O654="equivocal")),"a",IF(OR(O654="positive",O654="equivocal"),"b",IF(OR(M654="positive",M654="equivocal"),"c","d"))))</x:f>
        <x:v>d</x:v>
      </x:c>
      <x:c r="AB654" s="12" t="str">
        <x:f>IF(OR(M654="unavailable",O654="unavailable"),"不可评价",IF(AND(M654="positive",O654="positive"),"a",IF(O654="positive","b",IF(M654="positive","c","d"))))</x:f>
        <x:v>d</x:v>
      </x:c>
      <x:c r="AC654" s="12" t="str">
        <x:f>IF(OR(R654="unavailable",T654="unavailable"),"不可评价",IF(AND(OR(R654="positive",R654="equivocal"),OR(T654="positive",T654="equivocal")),"a",IF(OR(T654="positive",T654="equivocal"),"b",IF(OR(R654="positive",R654="equivocal"),"c","d"))))</x:f>
        <x:v>d</x:v>
      </x:c>
      <x:c r="AD654" s="12" t="str">
        <x:f>IF(OR(R654="unavailable",T654="unavailable"),"不可评价",IF(AND(R654="positive",T654="positive"),"a",IF(T654="positive","b",IF(R654="positive","c","d"))))</x:f>
        <x:v>d</x:v>
      </x:c>
      <x:c r="AE654" s="12" t="str">
        <x:f>IF(OR(W654="unavailable",Y654="unavailable"),"不可评价",IF(AND(OR(W654="positive",W654="equivocal"),OR(Y654="positive",Y654="equivocal")),"a",IF(OR(Y654="positive",Y654="equivocal"),"b",IF(OR(W654="positive",W654="equivocal"),"c","d"))))</x:f>
        <x:v>d</x:v>
      </x:c>
      <x:c r="AF654" s="12" t="str">
        <x:f>IF(OR(W654="unavailable",Y654="unavailable"),"不可评价",IF(AND(W654="positive",Y654="positive"),"a",IF(Y654="positive","b",IF(W654="positive","c","d"))))</x:f>
        <x:v>d</x:v>
      </x:c>
    </x:row>
    <x:row r="655" ht="24" customHeight="1">
      <x:c r="A655" s="12" t="str">
        <x:v>5331</x:v>
      </x:c>
      <x:c r="B655" s="12" t="str">
        <x:v>19996</x:v>
      </x:c>
      <x:c r="C655" s="21" t="n">
        <x:v>33186.67519675926</x:v>
      </x:c>
      <x:c r="D655" s="12" t="n">
        <x:v>71</x:v>
      </x:c>
      <x:c r="E655" s="12" t="n">
        <x:v>0</x:v>
      </x:c>
      <x:c r="F655" s="12" t="str">
        <x:v>未记录</x:v>
      </x:c>
      <x:c r="G655" s="12" t="n">
        <x:v>1</x:v>
      </x:c>
      <x:c r="H655" s="12" t="str">
        <x:v>{'NORM': 80.0, 'SR': 0.0}</x:v>
      </x:c>
      <x:c r="I655" s="12" t="str">
        <x:v>[('SRTH', 100.0), ('FAV', 100.0), ('BORDE', 100.0)]</x:v>
      </x:c>
      <x:c r="J655" s="12" t="str">
        <x:v>ptbxl_database.csv；ecg_id=5331；scp_codes</x:v>
      </x:c>
      <x:c r="K655" s="12" t="str">
        <x:v>12sl_statements.csv；ecg_id=5331；statements_ext_snomed</x:v>
      </x:c>
      <x:c r="L655" s="12"/>
      <x:c r="M655" s="12" t="str">
        <x:v>negative</x:v>
      </x:c>
      <x:c r="N655" s="12"/>
      <x:c r="O655" s="12" t="str">
        <x:v>negative</x:v>
      </x:c>
      <x:c r="P655" s="12" t="str">
        <x:f>IF(OR(M655="unavailable",O655="unavailable"),"不可评价",IF(OR(M655="equivocal",O655="equivocal"),"疑似",IF(AND(M655="positive",O655="positive"),"a",IF(O655="positive","b",IF(M655="positive","c","d")))))</x:f>
        <x:v>d</x:v>
      </x:c>
      <x:c r="Q655" s="12"/>
      <x:c r="R655" s="12" t="str">
        <x:v>negative</x:v>
      </x:c>
      <x:c r="S655" s="12"/>
      <x:c r="T655" s="12" t="str">
        <x:v>negative</x:v>
      </x:c>
      <x:c r="U655" s="12" t="str">
        <x:f>IF(OR(R655="unavailable",T655="unavailable"),"不可评价",IF(OR(R655="equivocal",T655="equivocal"),"疑似",IF(AND(R655="positive",T655="positive"),"a",IF(T655="positive","b",IF(R655="positive","c","d")))))</x:f>
        <x:v>d</x:v>
      </x:c>
      <x:c r="V655" s="12"/>
      <x:c r="W655" s="12" t="str">
        <x:v>negative</x:v>
      </x:c>
      <x:c r="X655" s="12"/>
      <x:c r="Y655" s="12" t="str">
        <x:v>negative</x:v>
      </x:c>
      <x:c r="Z655" s="12" t="str">
        <x:f>IF(OR(W655="unavailable",Y655="unavailable"),"不可评价",IF(OR(W655="equivocal",Y655="equivocal"),"疑似",IF(AND(W655="positive",Y655="positive"),"a",IF(Y655="positive","b",IF(W655="positive","c","d")))))</x:f>
        <x:v>d</x:v>
      </x:c>
      <x:c r="AA655" s="12" t="str">
        <x:f>IF(OR(M655="unavailable",O655="unavailable"),"不可评价",IF(AND(OR(M655="positive",M655="equivocal"),OR(O655="positive",O655="equivocal")),"a",IF(OR(O655="positive",O655="equivocal"),"b",IF(OR(M655="positive",M655="equivocal"),"c","d"))))</x:f>
        <x:v>d</x:v>
      </x:c>
      <x:c r="AB655" s="12" t="str">
        <x:f>IF(OR(M655="unavailable",O655="unavailable"),"不可评价",IF(AND(M655="positive",O655="positive"),"a",IF(O655="positive","b",IF(M655="positive","c","d"))))</x:f>
        <x:v>d</x:v>
      </x:c>
      <x:c r="AC655" s="12" t="str">
        <x:f>IF(OR(R655="unavailable",T655="unavailable"),"不可评价",IF(AND(OR(R655="positive",R655="equivocal"),OR(T655="positive",T655="equivocal")),"a",IF(OR(T655="positive",T655="equivocal"),"b",IF(OR(R655="positive",R655="equivocal"),"c","d"))))</x:f>
        <x:v>d</x:v>
      </x:c>
      <x:c r="AD655" s="12" t="str">
        <x:f>IF(OR(R655="unavailable",T655="unavailable"),"不可评价",IF(AND(R655="positive",T655="positive"),"a",IF(T655="positive","b",IF(R655="positive","c","d"))))</x:f>
        <x:v>d</x:v>
      </x:c>
      <x:c r="AE655" s="12" t="str">
        <x:f>IF(OR(W655="unavailable",Y655="unavailable"),"不可评价",IF(AND(OR(W655="positive",W655="equivocal"),OR(Y655="positive",Y655="equivocal")),"a",IF(OR(Y655="positive",Y655="equivocal"),"b",IF(OR(W655="positive",W655="equivocal"),"c","d"))))</x:f>
        <x:v>d</x:v>
      </x:c>
      <x:c r="AF655" s="12" t="str">
        <x:f>IF(OR(W655="unavailable",Y655="unavailable"),"不可评价",IF(AND(W655="positive",Y655="positive"),"a",IF(Y655="positive","b",IF(W655="positive","c","d"))))</x:f>
        <x:v>d</x:v>
      </x:c>
    </x:row>
    <x:row r="656" ht="24" customHeight="1">
      <x:c r="A656" s="12" t="str">
        <x:v>5336</x:v>
      </x:c>
      <x:c r="B656" s="12" t="str">
        <x:v>14803</x:v>
      </x:c>
      <x:c r="C656" s="21" t="n">
        <x:v>33187.59059027778</x:v>
      </x:c>
      <x:c r="D656" s="12" t="n">
        <x:v>64</x:v>
      </x:c>
      <x:c r="E656" s="12" t="n">
        <x:v>1</x:v>
      </x:c>
      <x:c r="F656" s="12" t="str">
        <x:v>存在</x:v>
      </x:c>
      <x:c r="G656" s="12" t="n">
        <x:v>1</x:v>
      </x:c>
      <x:c r="H656" s="12" t="str">
        <x:v>{'NORM': 80.0, 'STACH': 0.0}</x:v>
      </x:c>
      <x:c r="I656" s="12" t="str">
        <x:v>[('STACH', 100.0), ('ABR', 100.0)]</x:v>
      </x:c>
      <x:c r="J656" s="12" t="str">
        <x:v>ptbxl_database.csv；ecg_id=5336；scp_codes</x:v>
      </x:c>
      <x:c r="K656" s="12" t="str">
        <x:v>12sl_statements.csv；ecg_id=5336；statements_ext_snomed</x:v>
      </x:c>
      <x:c r="L656" s="12"/>
      <x:c r="M656" s="12" t="str">
        <x:v>negative</x:v>
      </x:c>
      <x:c r="N656" s="12"/>
      <x:c r="O656" s="12" t="str">
        <x:v>negative</x:v>
      </x:c>
      <x:c r="P656" s="12" t="str">
        <x:f>IF(OR(M656="unavailable",O656="unavailable"),"不可评价",IF(OR(M656="equivocal",O656="equivocal"),"疑似",IF(AND(M656="positive",O656="positive"),"a",IF(O656="positive","b",IF(M656="positive","c","d")))))</x:f>
        <x:v>d</x:v>
      </x:c>
      <x:c r="Q656" s="12"/>
      <x:c r="R656" s="12" t="str">
        <x:v>negative</x:v>
      </x:c>
      <x:c r="S656" s="12"/>
      <x:c r="T656" s="12" t="str">
        <x:v>negative</x:v>
      </x:c>
      <x:c r="U656" s="12" t="str">
        <x:f>IF(OR(R656="unavailable",T656="unavailable"),"不可评价",IF(OR(R656="equivocal",T656="equivocal"),"疑似",IF(AND(R656="positive",T656="positive"),"a",IF(T656="positive","b",IF(R656="positive","c","d")))))</x:f>
        <x:v>d</x:v>
      </x:c>
      <x:c r="V656" s="12"/>
      <x:c r="W656" s="12" t="str">
        <x:v>negative</x:v>
      </x:c>
      <x:c r="X656" s="12"/>
      <x:c r="Y656" s="12" t="str">
        <x:v>negative</x:v>
      </x:c>
      <x:c r="Z656" s="12" t="str">
        <x:f>IF(OR(W656="unavailable",Y656="unavailable"),"不可评价",IF(OR(W656="equivocal",Y656="equivocal"),"疑似",IF(AND(W656="positive",Y656="positive"),"a",IF(Y656="positive","b",IF(W656="positive","c","d")))))</x:f>
        <x:v>d</x:v>
      </x:c>
      <x:c r="AA656" s="12" t="str">
        <x:f>IF(OR(M656="unavailable",O656="unavailable"),"不可评价",IF(AND(OR(M656="positive",M656="equivocal"),OR(O656="positive",O656="equivocal")),"a",IF(OR(O656="positive",O656="equivocal"),"b",IF(OR(M656="positive",M656="equivocal"),"c","d"))))</x:f>
        <x:v>d</x:v>
      </x:c>
      <x:c r="AB656" s="12" t="str">
        <x:f>IF(OR(M656="unavailable",O656="unavailable"),"不可评价",IF(AND(M656="positive",O656="positive"),"a",IF(O656="positive","b",IF(M656="positive","c","d"))))</x:f>
        <x:v>d</x:v>
      </x:c>
      <x:c r="AC656" s="12" t="str">
        <x:f>IF(OR(R656="unavailable",T656="unavailable"),"不可评价",IF(AND(OR(R656="positive",R656="equivocal"),OR(T656="positive",T656="equivocal")),"a",IF(OR(T656="positive",T656="equivocal"),"b",IF(OR(R656="positive",R656="equivocal"),"c","d"))))</x:f>
        <x:v>d</x:v>
      </x:c>
      <x:c r="AD656" s="12" t="str">
        <x:f>IF(OR(R656="unavailable",T656="unavailable"),"不可评价",IF(AND(R656="positive",T656="positive"),"a",IF(T656="positive","b",IF(R656="positive","c","d"))))</x:f>
        <x:v>d</x:v>
      </x:c>
      <x:c r="AE656" s="12" t="str">
        <x:f>IF(OR(W656="unavailable",Y656="unavailable"),"不可评价",IF(AND(OR(W656="positive",W656="equivocal"),OR(Y656="positive",Y656="equivocal")),"a",IF(OR(Y656="positive",Y656="equivocal"),"b",IF(OR(W656="positive",W656="equivocal"),"c","d"))))</x:f>
        <x:v>d</x:v>
      </x:c>
      <x:c r="AF656" s="12" t="str">
        <x:f>IF(OR(W656="unavailable",Y656="unavailable"),"不可评价",IF(AND(W656="positive",Y656="positive"),"a",IF(Y656="positive","b",IF(W656="positive","c","d"))))</x:f>
        <x:v>d</x:v>
      </x:c>
    </x:row>
    <x:row r="657" ht="24" customHeight="1">
      <x:c r="A657" s="12" t="str">
        <x:v>5337</x:v>
      </x:c>
      <x:c r="B657" s="12" t="str">
        <x:v>15306</x:v>
      </x:c>
      <x:c r="C657" s="21" t="n">
        <x:v>33187.64244212963</x:v>
      </x:c>
      <x:c r="D657" s="12" t="n">
        <x:v>63</x:v>
      </x:c>
      <x:c r="E657" s="12" t="n">
        <x:v>1</x:v>
      </x:c>
      <x:c r="F657" s="12" t="str">
        <x:v>未记录</x:v>
      </x:c>
      <x:c r="G657" s="12" t="n">
        <x:v>1</x:v>
      </x:c>
      <x:c r="H657" s="12" t="str">
        <x:v>{'IVCD': 100.0, 'SR': 0.0}</x:v>
      </x:c>
      <x:c r="I657" s="12" t="str">
        <x:v>[('NSR', 100.0), ('NML', 100.0)]</x:v>
      </x:c>
      <x:c r="J657" s="12" t="str">
        <x:v>ptbxl_database.csv；ecg_id=5337；scp_codes</x:v>
      </x:c>
      <x:c r="K657" s="12" t="str">
        <x:v>12sl_statements.csv；ecg_id=5337；statements_ext_snomed</x:v>
      </x:c>
      <x:c r="L657" s="12"/>
      <x:c r="M657" s="12" t="str">
        <x:v>negative</x:v>
      </x:c>
      <x:c r="N657" s="12"/>
      <x:c r="O657" s="12" t="str">
        <x:v>negative</x:v>
      </x:c>
      <x:c r="P657" s="12" t="str">
        <x:f>IF(OR(M657="unavailable",O657="unavailable"),"不可评价",IF(OR(M657="equivocal",O657="equivocal"),"疑似",IF(AND(M657="positive",O657="positive"),"a",IF(O657="positive","b",IF(M657="positive","c","d")))))</x:f>
        <x:v>d</x:v>
      </x:c>
      <x:c r="Q657" s="12"/>
      <x:c r="R657" s="12" t="str">
        <x:v>negative</x:v>
      </x:c>
      <x:c r="S657" s="12"/>
      <x:c r="T657" s="12" t="str">
        <x:v>negative</x:v>
      </x:c>
      <x:c r="U657" s="12" t="str">
        <x:f>IF(OR(R657="unavailable",T657="unavailable"),"不可评价",IF(OR(R657="equivocal",T657="equivocal"),"疑似",IF(AND(R657="positive",T657="positive"),"a",IF(T657="positive","b",IF(R657="positive","c","d")))))</x:f>
        <x:v>d</x:v>
      </x:c>
      <x:c r="V657" s="12"/>
      <x:c r="W657" s="12" t="str">
        <x:v>negative</x:v>
      </x:c>
      <x:c r="X657" s="12"/>
      <x:c r="Y657" s="12" t="str">
        <x:v>negative</x:v>
      </x:c>
      <x:c r="Z657" s="12" t="str">
        <x:f>IF(OR(W657="unavailable",Y657="unavailable"),"不可评价",IF(OR(W657="equivocal",Y657="equivocal"),"疑似",IF(AND(W657="positive",Y657="positive"),"a",IF(Y657="positive","b",IF(W657="positive","c","d")))))</x:f>
        <x:v>d</x:v>
      </x:c>
      <x:c r="AA657" s="12" t="str">
        <x:f>IF(OR(M657="unavailable",O657="unavailable"),"不可评价",IF(AND(OR(M657="positive",M657="equivocal"),OR(O657="positive",O657="equivocal")),"a",IF(OR(O657="positive",O657="equivocal"),"b",IF(OR(M657="positive",M657="equivocal"),"c","d"))))</x:f>
        <x:v>d</x:v>
      </x:c>
      <x:c r="AB657" s="12" t="str">
        <x:f>IF(OR(M657="unavailable",O657="unavailable"),"不可评价",IF(AND(M657="positive",O657="positive"),"a",IF(O657="positive","b",IF(M657="positive","c","d"))))</x:f>
        <x:v>d</x:v>
      </x:c>
      <x:c r="AC657" s="12" t="str">
        <x:f>IF(OR(R657="unavailable",T657="unavailable"),"不可评价",IF(AND(OR(R657="positive",R657="equivocal"),OR(T657="positive",T657="equivocal")),"a",IF(OR(T657="positive",T657="equivocal"),"b",IF(OR(R657="positive",R657="equivocal"),"c","d"))))</x:f>
        <x:v>d</x:v>
      </x:c>
      <x:c r="AD657" s="12" t="str">
        <x:f>IF(OR(R657="unavailable",T657="unavailable"),"不可评价",IF(AND(R657="positive",T657="positive"),"a",IF(T657="positive","b",IF(R657="positive","c","d"))))</x:f>
        <x:v>d</x:v>
      </x:c>
      <x:c r="AE657" s="12" t="str">
        <x:f>IF(OR(W657="unavailable",Y657="unavailable"),"不可评价",IF(AND(OR(W657="positive",W657="equivocal"),OR(Y657="positive",Y657="equivocal")),"a",IF(OR(Y657="positive",Y657="equivocal"),"b",IF(OR(W657="positive",W657="equivocal"),"c","d"))))</x:f>
        <x:v>d</x:v>
      </x:c>
      <x:c r="AF657" s="12" t="str">
        <x:f>IF(OR(W657="unavailable",Y657="unavailable"),"不可评价",IF(AND(W657="positive",Y657="positive"),"a",IF(Y657="positive","b",IF(W657="positive","c","d"))))</x:f>
        <x:v>d</x:v>
      </x:c>
    </x:row>
    <x:row r="658" ht="39" customHeight="1">
      <x:c r="A658" s="12" t="str">
        <x:v>5338</x:v>
      </x:c>
      <x:c r="B658" s="12" t="str">
        <x:v>11960</x:v>
      </x:c>
      <x:c r="C658" s="21" t="n">
        <x:v>33187.85152777778</x:v>
      </x:c>
      <x:c r="D658" s="12" t="n">
        <x:v>86</x:v>
      </x:c>
      <x:c r="E658" s="12" t="n">
        <x:v>0</x:v>
      </x:c>
      <x:c r="F658" s="12" t="str">
        <x:v>存在</x:v>
      </x:c>
      <x:c r="G658" s="12" t="n">
        <x:v>1</x:v>
      </x:c>
      <x:c r="H658" s="12" t="str">
        <x:v>{'IRBBB': 100.0, 'LAFB': 100.0, 'RVH': 100.0, 'ABQRS': 0.0, 'SARRH': 0.0}</x:v>
      </x:c>
      <x:c r="I658" s="12" t="str">
        <x:v>[('NSR', 100.0), ('SAR', 100.0), ('RBBB', 100.0), ('AFB', 100.0), ('BIFB', 100.0), ('AB', 100.0)]</x:v>
      </x:c>
      <x:c r="J658" s="12" t="str">
        <x:v>ptbxl_database.csv；ecg_id=5338；scp_codes</x:v>
      </x:c>
      <x:c r="K658" s="12" t="str">
        <x:v>12sl_statements.csv；ecg_id=5338；statements_ext_snomed</x:v>
      </x:c>
      <x:c r="L658" s="12"/>
      <x:c r="M658" s="12" t="str">
        <x:v>negative</x:v>
      </x:c>
      <x:c r="N658" s="12"/>
      <x:c r="O658" s="12" t="str">
        <x:v>negative</x:v>
      </x:c>
      <x:c r="P658" s="12" t="str">
        <x:f>IF(OR(M658="unavailable",O658="unavailable"),"不可评价",IF(OR(M658="equivocal",O658="equivocal"),"疑似",IF(AND(M658="positive",O658="positive"),"a",IF(O658="positive","b",IF(M658="positive","c","d")))))</x:f>
        <x:v>d</x:v>
      </x:c>
      <x:c r="Q658" s="12"/>
      <x:c r="R658" s="12" t="str">
        <x:v>negative</x:v>
      </x:c>
      <x:c r="S658" s="12"/>
      <x:c r="T658" s="12" t="str">
        <x:v>negative</x:v>
      </x:c>
      <x:c r="U658" s="12" t="str">
        <x:f>IF(OR(R658="unavailable",T658="unavailable"),"不可评价",IF(OR(R658="equivocal",T658="equivocal"),"疑似",IF(AND(R658="positive",T658="positive"),"a",IF(T658="positive","b",IF(R658="positive","c","d")))))</x:f>
        <x:v>d</x:v>
      </x:c>
      <x:c r="V658" s="12"/>
      <x:c r="W658" s="12" t="str">
        <x:v>negative</x:v>
      </x:c>
      <x:c r="X658" s="12" t="n">
        <x:v>100</x:v>
      </x:c>
      <x:c r="Y658" s="12" t="str">
        <x:v>positive</x:v>
      </x:c>
      <x:c r="Z658" s="12" t="str">
        <x:f>IF(OR(W658="unavailable",Y658="unavailable"),"不可评价",IF(OR(W658="equivocal",Y658="equivocal"),"疑似",IF(AND(W658="positive",Y658="positive"),"a",IF(Y658="positive","b",IF(W658="positive","c","d")))))</x:f>
        <x:v>b</x:v>
      </x:c>
      <x:c r="AA658" s="12" t="str">
        <x:f>IF(OR(M658="unavailable",O658="unavailable"),"不可评价",IF(AND(OR(M658="positive",M658="equivocal"),OR(O658="positive",O658="equivocal")),"a",IF(OR(O658="positive",O658="equivocal"),"b",IF(OR(M658="positive",M658="equivocal"),"c","d"))))</x:f>
        <x:v>d</x:v>
      </x:c>
      <x:c r="AB658" s="12" t="str">
        <x:f>IF(OR(M658="unavailable",O658="unavailable"),"不可评价",IF(AND(M658="positive",O658="positive"),"a",IF(O658="positive","b",IF(M658="positive","c","d"))))</x:f>
        <x:v>d</x:v>
      </x:c>
      <x:c r="AC658" s="12" t="str">
        <x:f>IF(OR(R658="unavailable",T658="unavailable"),"不可评价",IF(AND(OR(R658="positive",R658="equivocal"),OR(T658="positive",T658="equivocal")),"a",IF(OR(T658="positive",T658="equivocal"),"b",IF(OR(R658="positive",R658="equivocal"),"c","d"))))</x:f>
        <x:v>d</x:v>
      </x:c>
      <x:c r="AD658" s="12" t="str">
        <x:f>IF(OR(R658="unavailable",T658="unavailable"),"不可评价",IF(AND(R658="positive",T658="positive"),"a",IF(T658="positive","b",IF(R658="positive","c","d"))))</x:f>
        <x:v>d</x:v>
      </x:c>
      <x:c r="AE658" s="12" t="str">
        <x:f>IF(OR(W658="unavailable",Y658="unavailable"),"不可评价",IF(AND(OR(W658="positive",W658="equivocal"),OR(Y658="positive",Y658="equivocal")),"a",IF(OR(Y658="positive",Y658="equivocal"),"b",IF(OR(W658="positive",W658="equivocal"),"c","d"))))</x:f>
        <x:v>b</x:v>
      </x:c>
      <x:c r="AF658" s="12" t="str">
        <x:f>IF(OR(W658="unavailable",Y658="unavailable"),"不可评价",IF(AND(W658="positive",Y658="positive"),"a",IF(Y658="positive","b",IF(W658="positive","c","d"))))</x:f>
        <x:v>b</x:v>
      </x:c>
    </x:row>
    <x:row r="659" ht="39" customHeight="1">
      <x:c r="A659" s="12" t="str">
        <x:v>5343</x:v>
      </x:c>
      <x:c r="B659" s="12" t="str">
        <x:v>16426</x:v>
      </x:c>
      <x:c r="C659" s="21" t="n">
        <x:v>33188.498611111114</x:v>
      </x:c>
      <x:c r="D659" s="12" t="n">
        <x:v>56</x:v>
      </x:c>
      <x:c r="E659" s="12" t="n">
        <x:v>0</x:v>
      </x:c>
      <x:c r="F659" s="12" t="str">
        <x:v>未记录</x:v>
      </x:c>
      <x:c r="G659" s="12" t="n">
        <x:v>1</x:v>
      </x:c>
      <x:c r="H659" s="12" t="str">
        <x:v>{'IMI': 100.0, 'ASMI': 100.0, '1AVB': 100.0, 'LAO/LAE': 100.0, 'ABQRS': 0.0, 'SVARR': 0.0}</x:v>
      </x:c>
      <x:c r="I659" s="12" t="str">
        <x:v>[('SRTH', 100.0), ('PVC', 100.0), ('SMI;AU', 100.0), ('IMI;AU', 50.0), ('ST&amp;', 100.0), ('LT', 100.0), ('AB', 100.0)]</x:v>
      </x:c>
      <x:c r="J659" s="12" t="str">
        <x:v>ptbxl_database.csv；ecg_id=5343；scp_codes</x:v>
      </x:c>
      <x:c r="K659" s="12" t="str">
        <x:v>12sl_statements.csv；ecg_id=5343；statements_ext_snomed</x:v>
      </x:c>
      <x:c r="L659" s="12"/>
      <x:c r="M659" s="12" t="str">
        <x:v>negative</x:v>
      </x:c>
      <x:c r="N659" s="12"/>
      <x:c r="O659" s="12" t="str">
        <x:v>negative</x:v>
      </x:c>
      <x:c r="P659" s="12" t="str">
        <x:f>IF(OR(M659="unavailable",O659="unavailable"),"不可评价",IF(OR(M659="equivocal",O659="equivocal"),"疑似",IF(AND(M659="positive",O659="positive"),"a",IF(O659="positive","b",IF(M659="positive","c","d")))))</x:f>
        <x:v>d</x:v>
      </x:c>
      <x:c r="Q659" s="12"/>
      <x:c r="R659" s="12" t="str">
        <x:v>negative</x:v>
      </x:c>
      <x:c r="S659" s="12"/>
      <x:c r="T659" s="12" t="str">
        <x:v>negative</x:v>
      </x:c>
      <x:c r="U659" s="12" t="str">
        <x:f>IF(OR(R659="unavailable",T659="unavailable"),"不可评价",IF(OR(R659="equivocal",T659="equivocal"),"疑似",IF(AND(R659="positive",T659="positive"),"a",IF(T659="positive","b",IF(R659="positive","c","d")))))</x:f>
        <x:v>d</x:v>
      </x:c>
      <x:c r="V659" s="12"/>
      <x:c r="W659" s="12" t="str">
        <x:v>negative</x:v>
      </x:c>
      <x:c r="X659" s="12"/>
      <x:c r="Y659" s="12" t="str">
        <x:v>negative</x:v>
      </x:c>
      <x:c r="Z659" s="12" t="str">
        <x:f>IF(OR(W659="unavailable",Y659="unavailable"),"不可评价",IF(OR(W659="equivocal",Y659="equivocal"),"疑似",IF(AND(W659="positive",Y659="positive"),"a",IF(Y659="positive","b",IF(W659="positive","c","d")))))</x:f>
        <x:v>d</x:v>
      </x:c>
      <x:c r="AA659" s="12" t="str">
        <x:f>IF(OR(M659="unavailable",O659="unavailable"),"不可评价",IF(AND(OR(M659="positive",M659="equivocal"),OR(O659="positive",O659="equivocal")),"a",IF(OR(O659="positive",O659="equivocal"),"b",IF(OR(M659="positive",M659="equivocal"),"c","d"))))</x:f>
        <x:v>d</x:v>
      </x:c>
      <x:c r="AB659" s="12" t="str">
        <x:f>IF(OR(M659="unavailable",O659="unavailable"),"不可评价",IF(AND(M659="positive",O659="positive"),"a",IF(O659="positive","b",IF(M659="positive","c","d"))))</x:f>
        <x:v>d</x:v>
      </x:c>
      <x:c r="AC659" s="12" t="str">
        <x:f>IF(OR(R659="unavailable",T659="unavailable"),"不可评价",IF(AND(OR(R659="positive",R659="equivocal"),OR(T659="positive",T659="equivocal")),"a",IF(OR(T659="positive",T659="equivocal"),"b",IF(OR(R659="positive",R659="equivocal"),"c","d"))))</x:f>
        <x:v>d</x:v>
      </x:c>
      <x:c r="AD659" s="12" t="str">
        <x:f>IF(OR(R659="unavailable",T659="unavailable"),"不可评价",IF(AND(R659="positive",T659="positive"),"a",IF(T659="positive","b",IF(R659="positive","c","d"))))</x:f>
        <x:v>d</x:v>
      </x:c>
      <x:c r="AE659" s="12" t="str">
        <x:f>IF(OR(W659="unavailable",Y659="unavailable"),"不可评价",IF(AND(OR(W659="positive",W659="equivocal"),OR(Y659="positive",Y659="equivocal")),"a",IF(OR(Y659="positive",Y659="equivocal"),"b",IF(OR(W659="positive",W659="equivocal"),"c","d"))))</x:f>
        <x:v>d</x:v>
      </x:c>
      <x:c r="AF659" s="12" t="str">
        <x:f>IF(OR(W659="unavailable",Y659="unavailable"),"不可评价",IF(AND(W659="positive",Y659="positive"),"a",IF(Y659="positive","b",IF(W659="positive","c","d"))))</x:f>
        <x:v>d</x:v>
      </x:c>
    </x:row>
    <x:row r="660" ht="39" customHeight="1">
      <x:c r="A660" s="12" t="str">
        <x:v>5351</x:v>
      </x:c>
      <x:c r="B660" s="12" t="str">
        <x:v>16526</x:v>
      </x:c>
      <x:c r="C660" s="21" t="n">
        <x:v>33190.6609837963</x:v>
      </x:c>
      <x:c r="D660" s="12" t="n">
        <x:v>79</x:v>
      </x:c>
      <x:c r="E660" s="12" t="n">
        <x:v>0</x:v>
      </x:c>
      <x:c r="F660" s="12" t="str">
        <x:v>存在</x:v>
      </x:c>
      <x:c r="G660" s="12" t="n">
        <x:v>1</x:v>
      </x:c>
      <x:c r="H660" s="12" t="str">
        <x:v>{'IMI': 50.0, 'ASMI': 50.0, 'ISCLA': 100.0, 'ABQRS': 0.0, 'AFIB': 0.0}</x:v>
      </x:c>
      <x:c r="I660" s="12" t="str">
        <x:v>[('AFIB', 100.0), ('LAD3', 100.0), ('SMI;AU', 100.0), ('IMI;AU', 100.0), ('AB', 100.0)]</x:v>
      </x:c>
      <x:c r="J660" s="12" t="str">
        <x:v>ptbxl_database.csv；ecg_id=5351；scp_codes</x:v>
      </x:c>
      <x:c r="K660" s="12" t="str">
        <x:v>12sl_statements.csv；ecg_id=5351；statements_ext_snomed</x:v>
      </x:c>
      <x:c r="L660" s="12" t="n">
        <x:v>0</x:v>
      </x:c>
      <x:c r="M660" s="12" t="str">
        <x:v>positive</x:v>
      </x:c>
      <x:c r="N660" s="12" t="n">
        <x:v>100</x:v>
      </x:c>
      <x:c r="O660" s="12" t="str">
        <x:v>positive</x:v>
      </x:c>
      <x:c r="P660" s="12" t="str">
        <x:f>IF(OR(M660="unavailable",O660="unavailable"),"不可评价",IF(OR(M660="equivocal",O660="equivocal"),"疑似",IF(AND(M660="positive",O660="positive"),"a",IF(O660="positive","b",IF(M660="positive","c","d")))))</x:f>
        <x:v>a</x:v>
      </x:c>
      <x:c r="Q660" s="12"/>
      <x:c r="R660" s="12" t="str">
        <x:v>negative</x:v>
      </x:c>
      <x:c r="S660" s="12"/>
      <x:c r="T660" s="12" t="str">
        <x:v>negative</x:v>
      </x:c>
      <x:c r="U660" s="12" t="str">
        <x:f>IF(OR(R660="unavailable",T660="unavailable"),"不可评价",IF(OR(R660="equivocal",T660="equivocal"),"疑似",IF(AND(R660="positive",T660="positive"),"a",IF(T660="positive","b",IF(R660="positive","c","d")))))</x:f>
        <x:v>d</x:v>
      </x:c>
      <x:c r="V660" s="12"/>
      <x:c r="W660" s="12" t="str">
        <x:v>negative</x:v>
      </x:c>
      <x:c r="X660" s="12"/>
      <x:c r="Y660" s="12" t="str">
        <x:v>negative</x:v>
      </x:c>
      <x:c r="Z660" s="12" t="str">
        <x:f>IF(OR(W660="unavailable",Y660="unavailable"),"不可评价",IF(OR(W660="equivocal",Y660="equivocal"),"疑似",IF(AND(W660="positive",Y660="positive"),"a",IF(Y660="positive","b",IF(W660="positive","c","d")))))</x:f>
        <x:v>d</x:v>
      </x:c>
      <x:c r="AA660" s="12" t="str">
        <x:f>IF(OR(M660="unavailable",O660="unavailable"),"不可评价",IF(AND(OR(M660="positive",M660="equivocal"),OR(O660="positive",O660="equivocal")),"a",IF(OR(O660="positive",O660="equivocal"),"b",IF(OR(M660="positive",M660="equivocal"),"c","d"))))</x:f>
        <x:v>a</x:v>
      </x:c>
      <x:c r="AB660" s="12" t="str">
        <x:f>IF(OR(M660="unavailable",O660="unavailable"),"不可评价",IF(AND(M660="positive",O660="positive"),"a",IF(O660="positive","b",IF(M660="positive","c","d"))))</x:f>
        <x:v>a</x:v>
      </x:c>
      <x:c r="AC660" s="12" t="str">
        <x:f>IF(OR(R660="unavailable",T660="unavailable"),"不可评价",IF(AND(OR(R660="positive",R660="equivocal"),OR(T660="positive",T660="equivocal")),"a",IF(OR(T660="positive",T660="equivocal"),"b",IF(OR(R660="positive",R660="equivocal"),"c","d"))))</x:f>
        <x:v>d</x:v>
      </x:c>
      <x:c r="AD660" s="12" t="str">
        <x:f>IF(OR(R660="unavailable",T660="unavailable"),"不可评价",IF(AND(R660="positive",T660="positive"),"a",IF(T660="positive","b",IF(R660="positive","c","d"))))</x:f>
        <x:v>d</x:v>
      </x:c>
      <x:c r="AE660" s="12" t="str">
        <x:f>IF(OR(W660="unavailable",Y660="unavailable"),"不可评价",IF(AND(OR(W660="positive",W660="equivocal"),OR(Y660="positive",Y660="equivocal")),"a",IF(OR(Y660="positive",Y660="equivocal"),"b",IF(OR(W660="positive",W660="equivocal"),"c","d"))))</x:f>
        <x:v>d</x:v>
      </x:c>
      <x:c r="AF660" s="12" t="str">
        <x:f>IF(OR(W660="unavailable",Y660="unavailable"),"不可评价",IF(AND(W660="positive",Y660="positive"),"a",IF(Y660="positive","b",IF(W660="positive","c","d"))))</x:f>
        <x:v>d</x:v>
      </x:c>
    </x:row>
    <x:row r="661" ht="24" customHeight="1">
      <x:c r="A661" s="12" t="str">
        <x:v>5360</x:v>
      </x:c>
      <x:c r="B661" s="12" t="str">
        <x:v>20205</x:v>
      </x:c>
      <x:c r="C661" s="21" t="n">
        <x:v>33191.52177083334</x:v>
      </x:c>
      <x:c r="D661" s="12" t="n">
        <x:v>67</x:v>
      </x:c>
      <x:c r="E661" s="12" t="n">
        <x:v>0</x:v>
      </x:c>
      <x:c r="F661" s="12" t="str">
        <x:v>存在</x:v>
      </x:c>
      <x:c r="G661" s="12" t="n">
        <x:v>0</x:v>
      </x:c>
      <x:c r="H661" s="12" t="str">
        <x:v>{'IMI': 15.0, 'ABQRS': 0.0, 'SR': 0.0}</x:v>
      </x:c>
      <x:c r="I661" s="12" t="str">
        <x:v>[('NSR', 100.0), ('NML', 100.0)]</x:v>
      </x:c>
      <x:c r="J661" s="12" t="str">
        <x:v>ptbxl_database.csv；ecg_id=5360；scp_codes</x:v>
      </x:c>
      <x:c r="K661" s="12" t="str">
        <x:v>12sl_statements.csv；ecg_id=5360；statements_ext_snomed</x:v>
      </x:c>
      <x:c r="L661" s="12"/>
      <x:c r="M661" s="12" t="str">
        <x:v>negative</x:v>
      </x:c>
      <x:c r="N661" s="12"/>
      <x:c r="O661" s="12" t="str">
        <x:v>negative</x:v>
      </x:c>
      <x:c r="P661" s="12" t="str">
        <x:f>IF(OR(M661="unavailable",O661="unavailable"),"不可评价",IF(OR(M661="equivocal",O661="equivocal"),"疑似",IF(AND(M661="positive",O661="positive"),"a",IF(O661="positive","b",IF(M661="positive","c","d")))))</x:f>
        <x:v>d</x:v>
      </x:c>
      <x:c r="Q661" s="12"/>
      <x:c r="R661" s="12" t="str">
        <x:v>negative</x:v>
      </x:c>
      <x:c r="S661" s="12"/>
      <x:c r="T661" s="12" t="str">
        <x:v>negative</x:v>
      </x:c>
      <x:c r="U661" s="12" t="str">
        <x:f>IF(OR(R661="unavailable",T661="unavailable"),"不可评价",IF(OR(R661="equivocal",T661="equivocal"),"疑似",IF(AND(R661="positive",T661="positive"),"a",IF(T661="positive","b",IF(R661="positive","c","d")))))</x:f>
        <x:v>d</x:v>
      </x:c>
      <x:c r="V661" s="12"/>
      <x:c r="W661" s="12" t="str">
        <x:v>negative</x:v>
      </x:c>
      <x:c r="X661" s="12"/>
      <x:c r="Y661" s="12" t="str">
        <x:v>negative</x:v>
      </x:c>
      <x:c r="Z661" s="12" t="str">
        <x:f>IF(OR(W661="unavailable",Y661="unavailable"),"不可评价",IF(OR(W661="equivocal",Y661="equivocal"),"疑似",IF(AND(W661="positive",Y661="positive"),"a",IF(Y661="positive","b",IF(W661="positive","c","d")))))</x:f>
        <x:v>d</x:v>
      </x:c>
      <x:c r="AA661" s="12" t="str">
        <x:f>IF(OR(M661="unavailable",O661="unavailable"),"不可评价",IF(AND(OR(M661="positive",M661="equivocal"),OR(O661="positive",O661="equivocal")),"a",IF(OR(O661="positive",O661="equivocal"),"b",IF(OR(M661="positive",M661="equivocal"),"c","d"))))</x:f>
        <x:v>d</x:v>
      </x:c>
      <x:c r="AB661" s="12" t="str">
        <x:f>IF(OR(M661="unavailable",O661="unavailable"),"不可评价",IF(AND(M661="positive",O661="positive"),"a",IF(O661="positive","b",IF(M661="positive","c","d"))))</x:f>
        <x:v>d</x:v>
      </x:c>
      <x:c r="AC661" s="12" t="str">
        <x:f>IF(OR(R661="unavailable",T661="unavailable"),"不可评价",IF(AND(OR(R661="positive",R661="equivocal"),OR(T661="positive",T661="equivocal")),"a",IF(OR(T661="positive",T661="equivocal"),"b",IF(OR(R661="positive",R661="equivocal"),"c","d"))))</x:f>
        <x:v>d</x:v>
      </x:c>
      <x:c r="AD661" s="12" t="str">
        <x:f>IF(OR(R661="unavailable",T661="unavailable"),"不可评价",IF(AND(R661="positive",T661="positive"),"a",IF(T661="positive","b",IF(R661="positive","c","d"))))</x:f>
        <x:v>d</x:v>
      </x:c>
      <x:c r="AE661" s="12" t="str">
        <x:f>IF(OR(W661="unavailable",Y661="unavailable"),"不可评价",IF(AND(OR(W661="positive",W661="equivocal"),OR(Y661="positive",Y661="equivocal")),"a",IF(OR(Y661="positive",Y661="equivocal"),"b",IF(OR(W661="positive",W661="equivocal"),"c","d"))))</x:f>
        <x:v>d</x:v>
      </x:c>
      <x:c r="AF661" s="12" t="str">
        <x:f>IF(OR(W661="unavailable",Y661="unavailable"),"不可评价",IF(AND(W661="positive",Y661="positive"),"a",IF(Y661="positive","b",IF(W661="positive","c","d"))))</x:f>
        <x:v>d</x:v>
      </x:c>
    </x:row>
    <x:row r="662" ht="24" customHeight="1">
      <x:c r="A662" s="12" t="str">
        <x:v>5370</x:v>
      </x:c>
      <x:c r="B662" s="12" t="str">
        <x:v>12862</x:v>
      </x:c>
      <x:c r="C662" s="21" t="n">
        <x:v>33192.55334490741</x:v>
      </x:c>
      <x:c r="D662" s="12" t="n">
        <x:v>18</x:v>
      </x:c>
      <x:c r="E662" s="12" t="n">
        <x:v>0</x:v>
      </x:c>
      <x:c r="F662" s="12" t="str">
        <x:v>未记录</x:v>
      </x:c>
      <x:c r="G662" s="12" t="n">
        <x:v>1</x:v>
      </x:c>
      <x:c r="H662" s="12" t="str">
        <x:v>{'NORM': 100.0, 'SR': 0.0}</x:v>
      </x:c>
      <x:c r="I662" s="12" t="str">
        <x:v>[('NSR', 100.0), ('NML', 100.0)]</x:v>
      </x:c>
      <x:c r="J662" s="12" t="str">
        <x:v>ptbxl_database.csv；ecg_id=5370；scp_codes</x:v>
      </x:c>
      <x:c r="K662" s="12" t="str">
        <x:v>12sl_statements.csv；ecg_id=5370；statements_ext_snomed</x:v>
      </x:c>
      <x:c r="L662" s="12"/>
      <x:c r="M662" s="12" t="str">
        <x:v>negative</x:v>
      </x:c>
      <x:c r="N662" s="12"/>
      <x:c r="O662" s="12" t="str">
        <x:v>negative</x:v>
      </x:c>
      <x:c r="P662" s="12" t="str">
        <x:f>IF(OR(M662="unavailable",O662="unavailable"),"不可评价",IF(OR(M662="equivocal",O662="equivocal"),"疑似",IF(AND(M662="positive",O662="positive"),"a",IF(O662="positive","b",IF(M662="positive","c","d")))))</x:f>
        <x:v>d</x:v>
      </x:c>
      <x:c r="Q662" s="12"/>
      <x:c r="R662" s="12" t="str">
        <x:v>negative</x:v>
      </x:c>
      <x:c r="S662" s="12"/>
      <x:c r="T662" s="12" t="str">
        <x:v>negative</x:v>
      </x:c>
      <x:c r="U662" s="12" t="str">
        <x:f>IF(OR(R662="unavailable",T662="unavailable"),"不可评价",IF(OR(R662="equivocal",T662="equivocal"),"疑似",IF(AND(R662="positive",T662="positive"),"a",IF(T662="positive","b",IF(R662="positive","c","d")))))</x:f>
        <x:v>d</x:v>
      </x:c>
      <x:c r="V662" s="12"/>
      <x:c r="W662" s="12" t="str">
        <x:v>negative</x:v>
      </x:c>
      <x:c r="X662" s="12"/>
      <x:c r="Y662" s="12" t="str">
        <x:v>negative</x:v>
      </x:c>
      <x:c r="Z662" s="12" t="str">
        <x:f>IF(OR(W662="unavailable",Y662="unavailable"),"不可评价",IF(OR(W662="equivocal",Y662="equivocal"),"疑似",IF(AND(W662="positive",Y662="positive"),"a",IF(Y662="positive","b",IF(W662="positive","c","d")))))</x:f>
        <x:v>d</x:v>
      </x:c>
      <x:c r="AA662" s="12" t="str">
        <x:f>IF(OR(M662="unavailable",O662="unavailable"),"不可评价",IF(AND(OR(M662="positive",M662="equivocal"),OR(O662="positive",O662="equivocal")),"a",IF(OR(O662="positive",O662="equivocal"),"b",IF(OR(M662="positive",M662="equivocal"),"c","d"))))</x:f>
        <x:v>d</x:v>
      </x:c>
      <x:c r="AB662" s="12" t="str">
        <x:f>IF(OR(M662="unavailable",O662="unavailable"),"不可评价",IF(AND(M662="positive",O662="positive"),"a",IF(O662="positive","b",IF(M662="positive","c","d"))))</x:f>
        <x:v>d</x:v>
      </x:c>
      <x:c r="AC662" s="12" t="str">
        <x:f>IF(OR(R662="unavailable",T662="unavailable"),"不可评价",IF(AND(OR(R662="positive",R662="equivocal"),OR(T662="positive",T662="equivocal")),"a",IF(OR(T662="positive",T662="equivocal"),"b",IF(OR(R662="positive",R662="equivocal"),"c","d"))))</x:f>
        <x:v>d</x:v>
      </x:c>
      <x:c r="AD662" s="12" t="str">
        <x:f>IF(OR(R662="unavailable",T662="unavailable"),"不可评价",IF(AND(R662="positive",T662="positive"),"a",IF(T662="positive","b",IF(R662="positive","c","d"))))</x:f>
        <x:v>d</x:v>
      </x:c>
      <x:c r="AE662" s="12" t="str">
        <x:f>IF(OR(W662="unavailable",Y662="unavailable"),"不可评价",IF(AND(OR(W662="positive",W662="equivocal"),OR(Y662="positive",Y662="equivocal")),"a",IF(OR(Y662="positive",Y662="equivocal"),"b",IF(OR(W662="positive",W662="equivocal"),"c","d"))))</x:f>
        <x:v>d</x:v>
      </x:c>
      <x:c r="AF662" s="12" t="str">
        <x:f>IF(OR(W662="unavailable",Y662="unavailable"),"不可评价",IF(AND(W662="positive",Y662="positive"),"a",IF(Y662="positive","b",IF(W662="positive","c","d"))))</x:f>
        <x:v>d</x:v>
      </x:c>
    </x:row>
    <x:row r="663" ht="24" customHeight="1">
      <x:c r="A663" s="12" t="str">
        <x:v>5373</x:v>
      </x:c>
      <x:c r="B663" s="12" t="str">
        <x:v>20433</x:v>
      </x:c>
      <x:c r="C663" s="21" t="n">
        <x:v>33192.785219907404</x:v>
      </x:c>
      <x:c r="D663" s="12" t="n">
        <x:v>54</x:v>
      </x:c>
      <x:c r="E663" s="12" t="n">
        <x:v>1</x:v>
      </x:c>
      <x:c r="F663" s="12" t="str">
        <x:v>未记录</x:v>
      </x:c>
      <x:c r="G663" s="12" t="n">
        <x:v>1</x:v>
      </x:c>
      <x:c r="H663" s="12" t="str">
        <x:v>{'NORM': 100.0, 'VCLVH': 0.0, 'SR': 0.0}</x:v>
      </x:c>
      <x:c r="I663" s="12" t="str">
        <x:v>[('NSR', 100.0), ('NML', 100.0)]</x:v>
      </x:c>
      <x:c r="J663" s="12" t="str">
        <x:v>ptbxl_database.csv；ecg_id=5373；scp_codes</x:v>
      </x:c>
      <x:c r="K663" s="12" t="str">
        <x:v>12sl_statements.csv；ecg_id=5373；statements_ext_snomed</x:v>
      </x:c>
      <x:c r="L663" s="12"/>
      <x:c r="M663" s="12" t="str">
        <x:v>negative</x:v>
      </x:c>
      <x:c r="N663" s="12"/>
      <x:c r="O663" s="12" t="str">
        <x:v>negative</x:v>
      </x:c>
      <x:c r="P663" s="12" t="str">
        <x:f>IF(OR(M663="unavailable",O663="unavailable"),"不可评价",IF(OR(M663="equivocal",O663="equivocal"),"疑似",IF(AND(M663="positive",O663="positive"),"a",IF(O663="positive","b",IF(M663="positive","c","d")))))</x:f>
        <x:v>d</x:v>
      </x:c>
      <x:c r="Q663" s="12"/>
      <x:c r="R663" s="12" t="str">
        <x:v>negative</x:v>
      </x:c>
      <x:c r="S663" s="12"/>
      <x:c r="T663" s="12" t="str">
        <x:v>negative</x:v>
      </x:c>
      <x:c r="U663" s="12" t="str">
        <x:f>IF(OR(R663="unavailable",T663="unavailable"),"不可评价",IF(OR(R663="equivocal",T663="equivocal"),"疑似",IF(AND(R663="positive",T663="positive"),"a",IF(T663="positive","b",IF(R663="positive","c","d")))))</x:f>
        <x:v>d</x:v>
      </x:c>
      <x:c r="V663" s="12"/>
      <x:c r="W663" s="12" t="str">
        <x:v>negative</x:v>
      </x:c>
      <x:c r="X663" s="12"/>
      <x:c r="Y663" s="12" t="str">
        <x:v>negative</x:v>
      </x:c>
      <x:c r="Z663" s="12" t="str">
        <x:f>IF(OR(W663="unavailable",Y663="unavailable"),"不可评价",IF(OR(W663="equivocal",Y663="equivocal"),"疑似",IF(AND(W663="positive",Y663="positive"),"a",IF(Y663="positive","b",IF(W663="positive","c","d")))))</x:f>
        <x:v>d</x:v>
      </x:c>
      <x:c r="AA663" s="12" t="str">
        <x:f>IF(OR(M663="unavailable",O663="unavailable"),"不可评价",IF(AND(OR(M663="positive",M663="equivocal"),OR(O663="positive",O663="equivocal")),"a",IF(OR(O663="positive",O663="equivocal"),"b",IF(OR(M663="positive",M663="equivocal"),"c","d"))))</x:f>
        <x:v>d</x:v>
      </x:c>
      <x:c r="AB663" s="12" t="str">
        <x:f>IF(OR(M663="unavailable",O663="unavailable"),"不可评价",IF(AND(M663="positive",O663="positive"),"a",IF(O663="positive","b",IF(M663="positive","c","d"))))</x:f>
        <x:v>d</x:v>
      </x:c>
      <x:c r="AC663" s="12" t="str">
        <x:f>IF(OR(R663="unavailable",T663="unavailable"),"不可评价",IF(AND(OR(R663="positive",R663="equivocal"),OR(T663="positive",T663="equivocal")),"a",IF(OR(T663="positive",T663="equivocal"),"b",IF(OR(R663="positive",R663="equivocal"),"c","d"))))</x:f>
        <x:v>d</x:v>
      </x:c>
      <x:c r="AD663" s="12" t="str">
        <x:f>IF(OR(R663="unavailable",T663="unavailable"),"不可评价",IF(AND(R663="positive",T663="positive"),"a",IF(T663="positive","b",IF(R663="positive","c","d"))))</x:f>
        <x:v>d</x:v>
      </x:c>
      <x:c r="AE663" s="12" t="str">
        <x:f>IF(OR(W663="unavailable",Y663="unavailable"),"不可评价",IF(AND(OR(W663="positive",W663="equivocal"),OR(Y663="positive",Y663="equivocal")),"a",IF(OR(Y663="positive",Y663="equivocal"),"b",IF(OR(W663="positive",W663="equivocal"),"c","d"))))</x:f>
        <x:v>d</x:v>
      </x:c>
      <x:c r="AF663" s="12" t="str">
        <x:f>IF(OR(W663="unavailable",Y663="unavailable"),"不可评价",IF(AND(W663="positive",Y663="positive"),"a",IF(Y663="positive","b",IF(W663="positive","c","d"))))</x:f>
        <x:v>d</x:v>
      </x:c>
    </x:row>
    <x:row r="664" ht="24" customHeight="1">
      <x:c r="A664" s="12" t="str">
        <x:v>5383</x:v>
      </x:c>
      <x:c r="B664" s="12" t="str">
        <x:v>8881</x:v>
      </x:c>
      <x:c r="C664" s="21" t="n">
        <x:v>33195.43503472222</x:v>
      </x:c>
      <x:c r="D664" s="12" t="n">
        <x:v>52</x:v>
      </x:c>
      <x:c r="E664" s="12" t="n">
        <x:v>0</x:v>
      </x:c>
      <x:c r="F664" s="12" t="str">
        <x:v>存在</x:v>
      </x:c>
      <x:c r="G664" s="12" t="n">
        <x:v>1</x:v>
      </x:c>
      <x:c r="H664" s="12" t="str">
        <x:v>{'NORM': 100.0, 'SR': 0.0}</x:v>
      </x:c>
      <x:c r="I664" s="12" t="str">
        <x:v>[('SBRAD', 100.0), ('ABR', 100.0)]</x:v>
      </x:c>
      <x:c r="J664" s="12" t="str">
        <x:v>ptbxl_database.csv；ecg_id=5383；scp_codes</x:v>
      </x:c>
      <x:c r="K664" s="12" t="str">
        <x:v>12sl_statements.csv；ecg_id=5383；statements_ext_snomed</x:v>
      </x:c>
      <x:c r="L664" s="12"/>
      <x:c r="M664" s="12" t="str">
        <x:v>negative</x:v>
      </x:c>
      <x:c r="N664" s="12"/>
      <x:c r="O664" s="12" t="str">
        <x:v>negative</x:v>
      </x:c>
      <x:c r="P664" s="12" t="str">
        <x:f>IF(OR(M664="unavailable",O664="unavailable"),"不可评价",IF(OR(M664="equivocal",O664="equivocal"),"疑似",IF(AND(M664="positive",O664="positive"),"a",IF(O664="positive","b",IF(M664="positive","c","d")))))</x:f>
        <x:v>d</x:v>
      </x:c>
      <x:c r="Q664" s="12"/>
      <x:c r="R664" s="12" t="str">
        <x:v>negative</x:v>
      </x:c>
      <x:c r="S664" s="12"/>
      <x:c r="T664" s="12" t="str">
        <x:v>negative</x:v>
      </x:c>
      <x:c r="U664" s="12" t="str">
        <x:f>IF(OR(R664="unavailable",T664="unavailable"),"不可评价",IF(OR(R664="equivocal",T664="equivocal"),"疑似",IF(AND(R664="positive",T664="positive"),"a",IF(T664="positive","b",IF(R664="positive","c","d")))))</x:f>
        <x:v>d</x:v>
      </x:c>
      <x:c r="V664" s="12"/>
      <x:c r="W664" s="12" t="str">
        <x:v>negative</x:v>
      </x:c>
      <x:c r="X664" s="12"/>
      <x:c r="Y664" s="12" t="str">
        <x:v>negative</x:v>
      </x:c>
      <x:c r="Z664" s="12" t="str">
        <x:f>IF(OR(W664="unavailable",Y664="unavailable"),"不可评价",IF(OR(W664="equivocal",Y664="equivocal"),"疑似",IF(AND(W664="positive",Y664="positive"),"a",IF(Y664="positive","b",IF(W664="positive","c","d")))))</x:f>
        <x:v>d</x:v>
      </x:c>
      <x:c r="AA664" s="12" t="str">
        <x:f>IF(OR(M664="unavailable",O664="unavailable"),"不可评价",IF(AND(OR(M664="positive",M664="equivocal"),OR(O664="positive",O664="equivocal")),"a",IF(OR(O664="positive",O664="equivocal"),"b",IF(OR(M664="positive",M664="equivocal"),"c","d"))))</x:f>
        <x:v>d</x:v>
      </x:c>
      <x:c r="AB664" s="12" t="str">
        <x:f>IF(OR(M664="unavailable",O664="unavailable"),"不可评价",IF(AND(M664="positive",O664="positive"),"a",IF(O664="positive","b",IF(M664="positive","c","d"))))</x:f>
        <x:v>d</x:v>
      </x:c>
      <x:c r="AC664" s="12" t="str">
        <x:f>IF(OR(R664="unavailable",T664="unavailable"),"不可评价",IF(AND(OR(R664="positive",R664="equivocal"),OR(T664="positive",T664="equivocal")),"a",IF(OR(T664="positive",T664="equivocal"),"b",IF(OR(R664="positive",R664="equivocal"),"c","d"))))</x:f>
        <x:v>d</x:v>
      </x:c>
      <x:c r="AD664" s="12" t="str">
        <x:f>IF(OR(R664="unavailable",T664="unavailable"),"不可评价",IF(AND(R664="positive",T664="positive"),"a",IF(T664="positive","b",IF(R664="positive","c","d"))))</x:f>
        <x:v>d</x:v>
      </x:c>
      <x:c r="AE664" s="12" t="str">
        <x:f>IF(OR(W664="unavailable",Y664="unavailable"),"不可评价",IF(AND(OR(W664="positive",W664="equivocal"),OR(Y664="positive",Y664="equivocal")),"a",IF(OR(Y664="positive",Y664="equivocal"),"b",IF(OR(W664="positive",W664="equivocal"),"c","d"))))</x:f>
        <x:v>d</x:v>
      </x:c>
      <x:c r="AF664" s="12" t="str">
        <x:f>IF(OR(W664="unavailable",Y664="unavailable"),"不可评价",IF(AND(W664="positive",Y664="positive"),"a",IF(Y664="positive","b",IF(W664="positive","c","d"))))</x:f>
        <x:v>d</x:v>
      </x:c>
    </x:row>
    <x:row r="665" ht="39" customHeight="1">
      <x:c r="A665" s="12" t="str">
        <x:v>5384</x:v>
      </x:c>
      <x:c r="B665" s="12" t="str">
        <x:v>17294</x:v>
      </x:c>
      <x:c r="C665" s="21" t="n">
        <x:v>33195.477488425924</x:v>
      </x:c>
      <x:c r="D665" s="12" t="n">
        <x:v>53</x:v>
      </x:c>
      <x:c r="E665" s="12" t="n">
        <x:v>0</x:v>
      </x:c>
      <x:c r="F665" s="12" t="str">
        <x:v>存在</x:v>
      </x:c>
      <x:c r="G665" s="12" t="n">
        <x:v>1</x:v>
      </x:c>
      <x:c r="H665" s="12" t="str">
        <x:v>{'ISCAL': 100.0, 'ISCIN': 100.0, 'PVC': 100.0, 'SR': 0.0}</x:v>
      </x:c>
      <x:c r="I665" s="12" t="str">
        <x:v>[('SRTH', 100.0), ('PVC', 100.0), ('ST&amp;', 100.0), ('IT', 100.0), ('ST&amp;', 100.0), ('ALT', 100.0), ('AB', 100.0)]</x:v>
      </x:c>
      <x:c r="J665" s="12" t="str">
        <x:v>ptbxl_database.csv；ecg_id=5384；scp_codes</x:v>
      </x:c>
      <x:c r="K665" s="12" t="str">
        <x:v>12sl_statements.csv；ecg_id=5384；statements_ext_snomed</x:v>
      </x:c>
      <x:c r="L665" s="12"/>
      <x:c r="M665" s="12" t="str">
        <x:v>negative</x:v>
      </x:c>
      <x:c r="N665" s="12"/>
      <x:c r="O665" s="12" t="str">
        <x:v>negative</x:v>
      </x:c>
      <x:c r="P665" s="12" t="str">
        <x:f>IF(OR(M665="unavailable",O665="unavailable"),"不可评价",IF(OR(M665="equivocal",O665="equivocal"),"疑似",IF(AND(M665="positive",O665="positive"),"a",IF(O665="positive","b",IF(M665="positive","c","d")))))</x:f>
        <x:v>d</x:v>
      </x:c>
      <x:c r="Q665" s="12"/>
      <x:c r="R665" s="12" t="str">
        <x:v>negative</x:v>
      </x:c>
      <x:c r="S665" s="12"/>
      <x:c r="T665" s="12" t="str">
        <x:v>negative</x:v>
      </x:c>
      <x:c r="U665" s="12" t="str">
        <x:f>IF(OR(R665="unavailable",T665="unavailable"),"不可评价",IF(OR(R665="equivocal",T665="equivocal"),"疑似",IF(AND(R665="positive",T665="positive"),"a",IF(T665="positive","b",IF(R665="positive","c","d")))))</x:f>
        <x:v>d</x:v>
      </x:c>
      <x:c r="V665" s="12"/>
      <x:c r="W665" s="12" t="str">
        <x:v>negative</x:v>
      </x:c>
      <x:c r="X665" s="12"/>
      <x:c r="Y665" s="12" t="str">
        <x:v>negative</x:v>
      </x:c>
      <x:c r="Z665" s="12" t="str">
        <x:f>IF(OR(W665="unavailable",Y665="unavailable"),"不可评价",IF(OR(W665="equivocal",Y665="equivocal"),"疑似",IF(AND(W665="positive",Y665="positive"),"a",IF(Y665="positive","b",IF(W665="positive","c","d")))))</x:f>
        <x:v>d</x:v>
      </x:c>
      <x:c r="AA665" s="12" t="str">
        <x:f>IF(OR(M665="unavailable",O665="unavailable"),"不可评价",IF(AND(OR(M665="positive",M665="equivocal"),OR(O665="positive",O665="equivocal")),"a",IF(OR(O665="positive",O665="equivocal"),"b",IF(OR(M665="positive",M665="equivocal"),"c","d"))))</x:f>
        <x:v>d</x:v>
      </x:c>
      <x:c r="AB665" s="12" t="str">
        <x:f>IF(OR(M665="unavailable",O665="unavailable"),"不可评价",IF(AND(M665="positive",O665="positive"),"a",IF(O665="positive","b",IF(M665="positive","c","d"))))</x:f>
        <x:v>d</x:v>
      </x:c>
      <x:c r="AC665" s="12" t="str">
        <x:f>IF(OR(R665="unavailable",T665="unavailable"),"不可评价",IF(AND(OR(R665="positive",R665="equivocal"),OR(T665="positive",T665="equivocal")),"a",IF(OR(T665="positive",T665="equivocal"),"b",IF(OR(R665="positive",R665="equivocal"),"c","d"))))</x:f>
        <x:v>d</x:v>
      </x:c>
      <x:c r="AD665" s="12" t="str">
        <x:f>IF(OR(R665="unavailable",T665="unavailable"),"不可评价",IF(AND(R665="positive",T665="positive"),"a",IF(T665="positive","b",IF(R665="positive","c","d"))))</x:f>
        <x:v>d</x:v>
      </x:c>
      <x:c r="AE665" s="12" t="str">
        <x:f>IF(OR(W665="unavailable",Y665="unavailable"),"不可评价",IF(AND(OR(W665="positive",W665="equivocal"),OR(Y665="positive",Y665="equivocal")),"a",IF(OR(Y665="positive",Y665="equivocal"),"b",IF(OR(W665="positive",W665="equivocal"),"c","d"))))</x:f>
        <x:v>d</x:v>
      </x:c>
      <x:c r="AF665" s="12" t="str">
        <x:f>IF(OR(W665="unavailable",Y665="unavailable"),"不可评价",IF(AND(W665="positive",Y665="positive"),"a",IF(Y665="positive","b",IF(W665="positive","c","d"))))</x:f>
        <x:v>d</x:v>
      </x:c>
    </x:row>
    <x:row r="666" ht="24" customHeight="1">
      <x:c r="A666" s="12" t="str">
        <x:v>5386</x:v>
      </x:c>
      <x:c r="B666" s="12" t="str">
        <x:v>15509</x:v>
      </x:c>
      <x:c r="C666" s="21" t="n">
        <x:v>33195.595821759256</x:v>
      </x:c>
      <x:c r="D666" s="12" t="n">
        <x:v>67</x:v>
      </x:c>
      <x:c r="E666" s="12" t="n">
        <x:v>0</x:v>
      </x:c>
      <x:c r="F666" s="12" t="str">
        <x:v>未记录</x:v>
      </x:c>
      <x:c r="G666" s="12" t="n">
        <x:v>1</x:v>
      </x:c>
      <x:c r="H666" s="12" t="str">
        <x:v>{'IMI': 50.0, 'ABQRS': 0.0, 'SR': 0.0}</x:v>
      </x:c>
      <x:c r="I666" s="12" t="str">
        <x:v>[('NSR', 100.0), ('IMI;AU', 100.0), ('AB', 100.0)]</x:v>
      </x:c>
      <x:c r="J666" s="12" t="str">
        <x:v>ptbxl_database.csv；ecg_id=5386；scp_codes</x:v>
      </x:c>
      <x:c r="K666" s="12" t="str">
        <x:v>12sl_statements.csv；ecg_id=5386；statements_ext_snomed</x:v>
      </x:c>
      <x:c r="L666" s="12"/>
      <x:c r="M666" s="12" t="str">
        <x:v>negative</x:v>
      </x:c>
      <x:c r="N666" s="12"/>
      <x:c r="O666" s="12" t="str">
        <x:v>negative</x:v>
      </x:c>
      <x:c r="P666" s="12" t="str">
        <x:f>IF(OR(M666="unavailable",O666="unavailable"),"不可评价",IF(OR(M666="equivocal",O666="equivocal"),"疑似",IF(AND(M666="positive",O666="positive"),"a",IF(O666="positive","b",IF(M666="positive","c","d")))))</x:f>
        <x:v>d</x:v>
      </x:c>
      <x:c r="Q666" s="12"/>
      <x:c r="R666" s="12" t="str">
        <x:v>negative</x:v>
      </x:c>
      <x:c r="S666" s="12"/>
      <x:c r="T666" s="12" t="str">
        <x:v>negative</x:v>
      </x:c>
      <x:c r="U666" s="12" t="str">
        <x:f>IF(OR(R666="unavailable",T666="unavailable"),"不可评价",IF(OR(R666="equivocal",T666="equivocal"),"疑似",IF(AND(R666="positive",T666="positive"),"a",IF(T666="positive","b",IF(R666="positive","c","d")))))</x:f>
        <x:v>d</x:v>
      </x:c>
      <x:c r="V666" s="12"/>
      <x:c r="W666" s="12" t="str">
        <x:v>negative</x:v>
      </x:c>
      <x:c r="X666" s="12"/>
      <x:c r="Y666" s="12" t="str">
        <x:v>negative</x:v>
      </x:c>
      <x:c r="Z666" s="12" t="str">
        <x:f>IF(OR(W666="unavailable",Y666="unavailable"),"不可评价",IF(OR(W666="equivocal",Y666="equivocal"),"疑似",IF(AND(W666="positive",Y666="positive"),"a",IF(Y666="positive","b",IF(W666="positive","c","d")))))</x:f>
        <x:v>d</x:v>
      </x:c>
      <x:c r="AA666" s="12" t="str">
        <x:f>IF(OR(M666="unavailable",O666="unavailable"),"不可评价",IF(AND(OR(M666="positive",M666="equivocal"),OR(O666="positive",O666="equivocal")),"a",IF(OR(O666="positive",O666="equivocal"),"b",IF(OR(M666="positive",M666="equivocal"),"c","d"))))</x:f>
        <x:v>d</x:v>
      </x:c>
      <x:c r="AB666" s="12" t="str">
        <x:f>IF(OR(M666="unavailable",O666="unavailable"),"不可评价",IF(AND(M666="positive",O666="positive"),"a",IF(O666="positive","b",IF(M666="positive","c","d"))))</x:f>
        <x:v>d</x:v>
      </x:c>
      <x:c r="AC666" s="12" t="str">
        <x:f>IF(OR(R666="unavailable",T666="unavailable"),"不可评价",IF(AND(OR(R666="positive",R666="equivocal"),OR(T666="positive",T666="equivocal")),"a",IF(OR(T666="positive",T666="equivocal"),"b",IF(OR(R666="positive",R666="equivocal"),"c","d"))))</x:f>
        <x:v>d</x:v>
      </x:c>
      <x:c r="AD666" s="12" t="str">
        <x:f>IF(OR(R666="unavailable",T666="unavailable"),"不可评价",IF(AND(R666="positive",T666="positive"),"a",IF(T666="positive","b",IF(R666="positive","c","d"))))</x:f>
        <x:v>d</x:v>
      </x:c>
      <x:c r="AE666" s="12" t="str">
        <x:f>IF(OR(W666="unavailable",Y666="unavailable"),"不可评价",IF(AND(OR(W666="positive",W666="equivocal"),OR(Y666="positive",Y666="equivocal")),"a",IF(OR(Y666="positive",Y666="equivocal"),"b",IF(OR(W666="positive",W666="equivocal"),"c","d"))))</x:f>
        <x:v>d</x:v>
      </x:c>
      <x:c r="AF666" s="12" t="str">
        <x:f>IF(OR(W666="unavailable",Y666="unavailable"),"不可评价",IF(AND(W666="positive",Y666="positive"),"a",IF(Y666="positive","b",IF(W666="positive","c","d"))))</x:f>
        <x:v>d</x:v>
      </x:c>
    </x:row>
    <x:row r="667" ht="24" customHeight="1">
      <x:c r="A667" s="12" t="str">
        <x:v>5395</x:v>
      </x:c>
      <x:c r="B667" s="12" t="str">
        <x:v>8276</x:v>
      </x:c>
      <x:c r="C667" s="21" t="n">
        <x:v>33199.30180555556</x:v>
      </x:c>
      <x:c r="D667" s="12" t="n">
        <x:v>58</x:v>
      </x:c>
      <x:c r="E667" s="12" t="n">
        <x:v>0</x:v>
      </x:c>
      <x:c r="F667" s="12" t="str">
        <x:v>未记录</x:v>
      </x:c>
      <x:c r="G667" s="12" t="n">
        <x:v>1</x:v>
      </x:c>
      <x:c r="H667" s="12" t="str">
        <x:v>{'NORM': 80.0, 'SR': 0.0}</x:v>
      </x:c>
      <x:c r="I667" s="12" t="str">
        <x:v>[('NSR', 100.0), ('BORDE', 100.0)]</x:v>
      </x:c>
      <x:c r="J667" s="12" t="str">
        <x:v>ptbxl_database.csv；ecg_id=5395；scp_codes</x:v>
      </x:c>
      <x:c r="K667" s="12" t="str">
        <x:v>12sl_statements.csv；ecg_id=5395；statements_ext_snomed</x:v>
      </x:c>
      <x:c r="L667" s="12"/>
      <x:c r="M667" s="12" t="str">
        <x:v>negative</x:v>
      </x:c>
      <x:c r="N667" s="12"/>
      <x:c r="O667" s="12" t="str">
        <x:v>negative</x:v>
      </x:c>
      <x:c r="P667" s="12" t="str">
        <x:f>IF(OR(M667="unavailable",O667="unavailable"),"不可评价",IF(OR(M667="equivocal",O667="equivocal"),"疑似",IF(AND(M667="positive",O667="positive"),"a",IF(O667="positive","b",IF(M667="positive","c","d")))))</x:f>
        <x:v>d</x:v>
      </x:c>
      <x:c r="Q667" s="12"/>
      <x:c r="R667" s="12" t="str">
        <x:v>negative</x:v>
      </x:c>
      <x:c r="S667" s="12"/>
      <x:c r="T667" s="12" t="str">
        <x:v>negative</x:v>
      </x:c>
      <x:c r="U667" s="12" t="str">
        <x:f>IF(OR(R667="unavailable",T667="unavailable"),"不可评价",IF(OR(R667="equivocal",T667="equivocal"),"疑似",IF(AND(R667="positive",T667="positive"),"a",IF(T667="positive","b",IF(R667="positive","c","d")))))</x:f>
        <x:v>d</x:v>
      </x:c>
      <x:c r="V667" s="12"/>
      <x:c r="W667" s="12" t="str">
        <x:v>negative</x:v>
      </x:c>
      <x:c r="X667" s="12"/>
      <x:c r="Y667" s="12" t="str">
        <x:v>negative</x:v>
      </x:c>
      <x:c r="Z667" s="12" t="str">
        <x:f>IF(OR(W667="unavailable",Y667="unavailable"),"不可评价",IF(OR(W667="equivocal",Y667="equivocal"),"疑似",IF(AND(W667="positive",Y667="positive"),"a",IF(Y667="positive","b",IF(W667="positive","c","d")))))</x:f>
        <x:v>d</x:v>
      </x:c>
      <x:c r="AA667" s="12" t="str">
        <x:f>IF(OR(M667="unavailable",O667="unavailable"),"不可评价",IF(AND(OR(M667="positive",M667="equivocal"),OR(O667="positive",O667="equivocal")),"a",IF(OR(O667="positive",O667="equivocal"),"b",IF(OR(M667="positive",M667="equivocal"),"c","d"))))</x:f>
        <x:v>d</x:v>
      </x:c>
      <x:c r="AB667" s="12" t="str">
        <x:f>IF(OR(M667="unavailable",O667="unavailable"),"不可评价",IF(AND(M667="positive",O667="positive"),"a",IF(O667="positive","b",IF(M667="positive","c","d"))))</x:f>
        <x:v>d</x:v>
      </x:c>
      <x:c r="AC667" s="12" t="str">
        <x:f>IF(OR(R667="unavailable",T667="unavailable"),"不可评价",IF(AND(OR(R667="positive",R667="equivocal"),OR(T667="positive",T667="equivocal")),"a",IF(OR(T667="positive",T667="equivocal"),"b",IF(OR(R667="positive",R667="equivocal"),"c","d"))))</x:f>
        <x:v>d</x:v>
      </x:c>
      <x:c r="AD667" s="12" t="str">
        <x:f>IF(OR(R667="unavailable",T667="unavailable"),"不可评价",IF(AND(R667="positive",T667="positive"),"a",IF(T667="positive","b",IF(R667="positive","c","d"))))</x:f>
        <x:v>d</x:v>
      </x:c>
      <x:c r="AE667" s="12" t="str">
        <x:f>IF(OR(W667="unavailable",Y667="unavailable"),"不可评价",IF(AND(OR(W667="positive",W667="equivocal"),OR(Y667="positive",Y667="equivocal")),"a",IF(OR(Y667="positive",Y667="equivocal"),"b",IF(OR(W667="positive",W667="equivocal"),"c","d"))))</x:f>
        <x:v>d</x:v>
      </x:c>
      <x:c r="AF667" s="12" t="str">
        <x:f>IF(OR(W667="unavailable",Y667="unavailable"),"不可评价",IF(AND(W667="positive",Y667="positive"),"a",IF(Y667="positive","b",IF(W667="positive","c","d"))))</x:f>
        <x:v>d</x:v>
      </x:c>
    </x:row>
    <x:row r="668" ht="39" customHeight="1">
      <x:c r="A668" s="12" t="str">
        <x:v>5413</x:v>
      </x:c>
      <x:c r="B668" s="12" t="str">
        <x:v>16526</x:v>
      </x:c>
      <x:c r="C668" s="21" t="n">
        <x:v>33203.588784722226</x:v>
      </x:c>
      <x:c r="D668" s="12" t="n">
        <x:v>79</x:v>
      </x:c>
      <x:c r="E668" s="12" t="n">
        <x:v>0</x:v>
      </x:c>
      <x:c r="F668" s="12" t="str">
        <x:v>未记录</x:v>
      </x:c>
      <x:c r="G668" s="12" t="n">
        <x:v>0</x:v>
      </x:c>
      <x:c r="H668" s="12" t="str">
        <x:v>{'IMI': 50.0, 'ASMI': 50.0, 'ABQRS': 0.0, 'AFIB': 0.0}</x:v>
      </x:c>
      <x:c r="I668" s="12" t="str">
        <x:v>[('AFIB', 100.0), ('LAD3', 100.0), ('SMI;AU', 100.0), ('IMI;AU', 100.0), ('AB', 100.0)]</x:v>
      </x:c>
      <x:c r="J668" s="12" t="str">
        <x:v>ptbxl_database.csv；ecg_id=5413；scp_codes</x:v>
      </x:c>
      <x:c r="K668" s="12" t="str">
        <x:v>12sl_statements.csv；ecg_id=5413；statements_ext_snomed</x:v>
      </x:c>
      <x:c r="L668" s="12" t="n">
        <x:v>0</x:v>
      </x:c>
      <x:c r="M668" s="12" t="str">
        <x:v>positive</x:v>
      </x:c>
      <x:c r="N668" s="12" t="n">
        <x:v>100</x:v>
      </x:c>
      <x:c r="O668" s="12" t="str">
        <x:v>positive</x:v>
      </x:c>
      <x:c r="P668" s="12" t="str">
        <x:f>IF(OR(M668="unavailable",O668="unavailable"),"不可评价",IF(OR(M668="equivocal",O668="equivocal"),"疑似",IF(AND(M668="positive",O668="positive"),"a",IF(O668="positive","b",IF(M668="positive","c","d")))))</x:f>
        <x:v>a</x:v>
      </x:c>
      <x:c r="Q668" s="12"/>
      <x:c r="R668" s="12" t="str">
        <x:v>negative</x:v>
      </x:c>
      <x:c r="S668" s="12"/>
      <x:c r="T668" s="12" t="str">
        <x:v>negative</x:v>
      </x:c>
      <x:c r="U668" s="12" t="str">
        <x:f>IF(OR(R668="unavailable",T668="unavailable"),"不可评价",IF(OR(R668="equivocal",T668="equivocal"),"疑似",IF(AND(R668="positive",T668="positive"),"a",IF(T668="positive","b",IF(R668="positive","c","d")))))</x:f>
        <x:v>d</x:v>
      </x:c>
      <x:c r="V668" s="12"/>
      <x:c r="W668" s="12" t="str">
        <x:v>negative</x:v>
      </x:c>
      <x:c r="X668" s="12"/>
      <x:c r="Y668" s="12" t="str">
        <x:v>negative</x:v>
      </x:c>
      <x:c r="Z668" s="12" t="str">
        <x:f>IF(OR(W668="unavailable",Y668="unavailable"),"不可评价",IF(OR(W668="equivocal",Y668="equivocal"),"疑似",IF(AND(W668="positive",Y668="positive"),"a",IF(Y668="positive","b",IF(W668="positive","c","d")))))</x:f>
        <x:v>d</x:v>
      </x:c>
      <x:c r="AA668" s="12" t="str">
        <x:f>IF(OR(M668="unavailable",O668="unavailable"),"不可评价",IF(AND(OR(M668="positive",M668="equivocal"),OR(O668="positive",O668="equivocal")),"a",IF(OR(O668="positive",O668="equivocal"),"b",IF(OR(M668="positive",M668="equivocal"),"c","d"))))</x:f>
        <x:v>a</x:v>
      </x:c>
      <x:c r="AB668" s="12" t="str">
        <x:f>IF(OR(M668="unavailable",O668="unavailable"),"不可评价",IF(AND(M668="positive",O668="positive"),"a",IF(O668="positive","b",IF(M668="positive","c","d"))))</x:f>
        <x:v>a</x:v>
      </x:c>
      <x:c r="AC668" s="12" t="str">
        <x:f>IF(OR(R668="unavailable",T668="unavailable"),"不可评价",IF(AND(OR(R668="positive",R668="equivocal"),OR(T668="positive",T668="equivocal")),"a",IF(OR(T668="positive",T668="equivocal"),"b",IF(OR(R668="positive",R668="equivocal"),"c","d"))))</x:f>
        <x:v>d</x:v>
      </x:c>
      <x:c r="AD668" s="12" t="str">
        <x:f>IF(OR(R668="unavailable",T668="unavailable"),"不可评价",IF(AND(R668="positive",T668="positive"),"a",IF(T668="positive","b",IF(R668="positive","c","d"))))</x:f>
        <x:v>d</x:v>
      </x:c>
      <x:c r="AE668" s="12" t="str">
        <x:f>IF(OR(W668="unavailable",Y668="unavailable"),"不可评价",IF(AND(OR(W668="positive",W668="equivocal"),OR(Y668="positive",Y668="equivocal")),"a",IF(OR(Y668="positive",Y668="equivocal"),"b",IF(OR(W668="positive",W668="equivocal"),"c","d"))))</x:f>
        <x:v>d</x:v>
      </x:c>
      <x:c r="AF668" s="12" t="str">
        <x:f>IF(OR(W668="unavailable",Y668="unavailable"),"不可评价",IF(AND(W668="positive",Y668="positive"),"a",IF(Y668="positive","b",IF(W668="positive","c","d"))))</x:f>
        <x:v>d</x:v>
      </x:c>
    </x:row>
    <x:row r="669" ht="24" customHeight="1">
      <x:c r="A669" s="12" t="str">
        <x:v>5428</x:v>
      </x:c>
      <x:c r="B669" s="12" t="str">
        <x:v>21291</x:v>
      </x:c>
      <x:c r="C669" s="21" t="n">
        <x:v>33206.44892361111</x:v>
      </x:c>
      <x:c r="D669" s="12" t="n">
        <x:v>35</x:v>
      </x:c>
      <x:c r="E669" s="12" t="n">
        <x:v>0</x:v>
      </x:c>
      <x:c r="F669" s="12" t="str">
        <x:v>未记录</x:v>
      </x:c>
      <x:c r="G669" s="12" t="n">
        <x:v>1</x:v>
      </x:c>
      <x:c r="H669" s="12" t="str">
        <x:v>{'NORM': 100.0, 'SR': 0.0}</x:v>
      </x:c>
      <x:c r="I669" s="12" t="str">
        <x:v>[('NSR', 100.0), ('NML', 100.0)]</x:v>
      </x:c>
      <x:c r="J669" s="12" t="str">
        <x:v>ptbxl_database.csv；ecg_id=5428；scp_codes</x:v>
      </x:c>
      <x:c r="K669" s="12" t="str">
        <x:v>12sl_statements.csv；ecg_id=5428；statements_ext_snomed</x:v>
      </x:c>
      <x:c r="L669" s="12"/>
      <x:c r="M669" s="12" t="str">
        <x:v>negative</x:v>
      </x:c>
      <x:c r="N669" s="12"/>
      <x:c r="O669" s="12" t="str">
        <x:v>negative</x:v>
      </x:c>
      <x:c r="P669" s="12" t="str">
        <x:f>IF(OR(M669="unavailable",O669="unavailable"),"不可评价",IF(OR(M669="equivocal",O669="equivocal"),"疑似",IF(AND(M669="positive",O669="positive"),"a",IF(O669="positive","b",IF(M669="positive","c","d")))))</x:f>
        <x:v>d</x:v>
      </x:c>
      <x:c r="Q669" s="12"/>
      <x:c r="R669" s="12" t="str">
        <x:v>negative</x:v>
      </x:c>
      <x:c r="S669" s="12"/>
      <x:c r="T669" s="12" t="str">
        <x:v>negative</x:v>
      </x:c>
      <x:c r="U669" s="12" t="str">
        <x:f>IF(OR(R669="unavailable",T669="unavailable"),"不可评价",IF(OR(R669="equivocal",T669="equivocal"),"疑似",IF(AND(R669="positive",T669="positive"),"a",IF(T669="positive","b",IF(R669="positive","c","d")))))</x:f>
        <x:v>d</x:v>
      </x:c>
      <x:c r="V669" s="12"/>
      <x:c r="W669" s="12" t="str">
        <x:v>negative</x:v>
      </x:c>
      <x:c r="X669" s="12"/>
      <x:c r="Y669" s="12" t="str">
        <x:v>negative</x:v>
      </x:c>
      <x:c r="Z669" s="12" t="str">
        <x:f>IF(OR(W669="unavailable",Y669="unavailable"),"不可评价",IF(OR(W669="equivocal",Y669="equivocal"),"疑似",IF(AND(W669="positive",Y669="positive"),"a",IF(Y669="positive","b",IF(W669="positive","c","d")))))</x:f>
        <x:v>d</x:v>
      </x:c>
      <x:c r="AA669" s="12" t="str">
        <x:f>IF(OR(M669="unavailable",O669="unavailable"),"不可评价",IF(AND(OR(M669="positive",M669="equivocal"),OR(O669="positive",O669="equivocal")),"a",IF(OR(O669="positive",O669="equivocal"),"b",IF(OR(M669="positive",M669="equivocal"),"c","d"))))</x:f>
        <x:v>d</x:v>
      </x:c>
      <x:c r="AB669" s="12" t="str">
        <x:f>IF(OR(M669="unavailable",O669="unavailable"),"不可评价",IF(AND(M669="positive",O669="positive"),"a",IF(O669="positive","b",IF(M669="positive","c","d"))))</x:f>
        <x:v>d</x:v>
      </x:c>
      <x:c r="AC669" s="12" t="str">
        <x:f>IF(OR(R669="unavailable",T669="unavailable"),"不可评价",IF(AND(OR(R669="positive",R669="equivocal"),OR(T669="positive",T669="equivocal")),"a",IF(OR(T669="positive",T669="equivocal"),"b",IF(OR(R669="positive",R669="equivocal"),"c","d"))))</x:f>
        <x:v>d</x:v>
      </x:c>
      <x:c r="AD669" s="12" t="str">
        <x:f>IF(OR(R669="unavailable",T669="unavailable"),"不可评价",IF(AND(R669="positive",T669="positive"),"a",IF(T669="positive","b",IF(R669="positive","c","d"))))</x:f>
        <x:v>d</x:v>
      </x:c>
      <x:c r="AE669" s="12" t="str">
        <x:f>IF(OR(W669="unavailable",Y669="unavailable"),"不可评价",IF(AND(OR(W669="positive",W669="equivocal"),OR(Y669="positive",Y669="equivocal")),"a",IF(OR(Y669="positive",Y669="equivocal"),"b",IF(OR(W669="positive",W669="equivocal"),"c","d"))))</x:f>
        <x:v>d</x:v>
      </x:c>
      <x:c r="AF669" s="12" t="str">
        <x:f>IF(OR(W669="unavailable",Y669="unavailable"),"不可评价",IF(AND(W669="positive",Y669="positive"),"a",IF(Y669="positive","b",IF(W669="positive","c","d"))))</x:f>
        <x:v>d</x:v>
      </x:c>
    </x:row>
    <x:row r="670" ht="24" customHeight="1">
      <x:c r="A670" s="12" t="str">
        <x:v>5452</x:v>
      </x:c>
      <x:c r="B670" s="12" t="str">
        <x:v>19327</x:v>
      </x:c>
      <x:c r="C670" s="21" t="n">
        <x:v>33210.51758101852</x:v>
      </x:c>
      <x:c r="D670" s="12" t="n">
        <x:v>51</x:v>
      </x:c>
      <x:c r="E670" s="12" t="n">
        <x:v>0</x:v>
      </x:c>
      <x:c r="F670" s="12" t="str">
        <x:v>未记录</x:v>
      </x:c>
      <x:c r="G670" s="12" t="n">
        <x:v>1</x:v>
      </x:c>
      <x:c r="H670" s="12" t="str">
        <x:v>{'NORM': 100.0, 'SR': 0.0}</x:v>
      </x:c>
      <x:c r="I670" s="12" t="str">
        <x:v>[('NSR', 100.0), ('NML', 100.0)]</x:v>
      </x:c>
      <x:c r="J670" s="12" t="str">
        <x:v>ptbxl_database.csv；ecg_id=5452；scp_codes</x:v>
      </x:c>
      <x:c r="K670" s="12" t="str">
        <x:v>12sl_statements.csv；ecg_id=5452；statements_ext_snomed</x:v>
      </x:c>
      <x:c r="L670" s="12"/>
      <x:c r="M670" s="12" t="str">
        <x:v>negative</x:v>
      </x:c>
      <x:c r="N670" s="12"/>
      <x:c r="O670" s="12" t="str">
        <x:v>negative</x:v>
      </x:c>
      <x:c r="P670" s="12" t="str">
        <x:f>IF(OR(M670="unavailable",O670="unavailable"),"不可评价",IF(OR(M670="equivocal",O670="equivocal"),"疑似",IF(AND(M670="positive",O670="positive"),"a",IF(O670="positive","b",IF(M670="positive","c","d")))))</x:f>
        <x:v>d</x:v>
      </x:c>
      <x:c r="Q670" s="12"/>
      <x:c r="R670" s="12" t="str">
        <x:v>negative</x:v>
      </x:c>
      <x:c r="S670" s="12"/>
      <x:c r="T670" s="12" t="str">
        <x:v>negative</x:v>
      </x:c>
      <x:c r="U670" s="12" t="str">
        <x:f>IF(OR(R670="unavailable",T670="unavailable"),"不可评价",IF(OR(R670="equivocal",T670="equivocal"),"疑似",IF(AND(R670="positive",T670="positive"),"a",IF(T670="positive","b",IF(R670="positive","c","d")))))</x:f>
        <x:v>d</x:v>
      </x:c>
      <x:c r="V670" s="12"/>
      <x:c r="W670" s="12" t="str">
        <x:v>negative</x:v>
      </x:c>
      <x:c r="X670" s="12"/>
      <x:c r="Y670" s="12" t="str">
        <x:v>negative</x:v>
      </x:c>
      <x:c r="Z670" s="12" t="str">
        <x:f>IF(OR(W670="unavailable",Y670="unavailable"),"不可评价",IF(OR(W670="equivocal",Y670="equivocal"),"疑似",IF(AND(W670="positive",Y670="positive"),"a",IF(Y670="positive","b",IF(W670="positive","c","d")))))</x:f>
        <x:v>d</x:v>
      </x:c>
      <x:c r="AA670" s="12" t="str">
        <x:f>IF(OR(M670="unavailable",O670="unavailable"),"不可评价",IF(AND(OR(M670="positive",M670="equivocal"),OR(O670="positive",O670="equivocal")),"a",IF(OR(O670="positive",O670="equivocal"),"b",IF(OR(M670="positive",M670="equivocal"),"c","d"))))</x:f>
        <x:v>d</x:v>
      </x:c>
      <x:c r="AB670" s="12" t="str">
        <x:f>IF(OR(M670="unavailable",O670="unavailable"),"不可评价",IF(AND(M670="positive",O670="positive"),"a",IF(O670="positive","b",IF(M670="positive","c","d"))))</x:f>
        <x:v>d</x:v>
      </x:c>
      <x:c r="AC670" s="12" t="str">
        <x:f>IF(OR(R670="unavailable",T670="unavailable"),"不可评价",IF(AND(OR(R670="positive",R670="equivocal"),OR(T670="positive",T670="equivocal")),"a",IF(OR(T670="positive",T670="equivocal"),"b",IF(OR(R670="positive",R670="equivocal"),"c","d"))))</x:f>
        <x:v>d</x:v>
      </x:c>
      <x:c r="AD670" s="12" t="str">
        <x:f>IF(OR(R670="unavailable",T670="unavailable"),"不可评价",IF(AND(R670="positive",T670="positive"),"a",IF(T670="positive","b",IF(R670="positive","c","d"))))</x:f>
        <x:v>d</x:v>
      </x:c>
      <x:c r="AE670" s="12" t="str">
        <x:f>IF(OR(W670="unavailable",Y670="unavailable"),"不可评价",IF(AND(OR(W670="positive",W670="equivocal"),OR(Y670="positive",Y670="equivocal")),"a",IF(OR(Y670="positive",Y670="equivocal"),"b",IF(OR(W670="positive",W670="equivocal"),"c","d"))))</x:f>
        <x:v>d</x:v>
      </x:c>
      <x:c r="AF670" s="12" t="str">
        <x:f>IF(OR(W670="unavailable",Y670="unavailable"),"不可评价",IF(AND(W670="positive",Y670="positive"),"a",IF(Y670="positive","b",IF(W670="positive","c","d"))))</x:f>
        <x:v>d</x:v>
      </x:c>
    </x:row>
    <x:row r="671" ht="24" customHeight="1">
      <x:c r="A671" s="12" t="str">
        <x:v>5465</x:v>
      </x:c>
      <x:c r="B671" s="12" t="str">
        <x:v>17375</x:v>
      </x:c>
      <x:c r="C671" s="21" t="n">
        <x:v>33212.51524305555</x:v>
      </x:c>
      <x:c r="D671" s="12" t="n">
        <x:v>68</x:v>
      </x:c>
      <x:c r="E671" s="12" t="n">
        <x:v>0</x:v>
      </x:c>
      <x:c r="F671" s="12" t="str">
        <x:v>存在</x:v>
      </x:c>
      <x:c r="G671" s="12" t="n">
        <x:v>1</x:v>
      </x:c>
      <x:c r="H671" s="12" t="str">
        <x:v>{'NDT': 100.0, 'ABQRS': 0.0, 'SR': 0.0}</x:v>
      </x:c>
      <x:c r="I671" s="12" t="str">
        <x:v>[('NSR', 100.0), ('IMI;AU', 15.0), ('AB', 100.0)]</x:v>
      </x:c>
      <x:c r="J671" s="12" t="str">
        <x:v>ptbxl_database.csv；ecg_id=5465；scp_codes</x:v>
      </x:c>
      <x:c r="K671" s="12" t="str">
        <x:v>12sl_statements.csv；ecg_id=5465；statements_ext_snomed</x:v>
      </x:c>
      <x:c r="L671" s="12"/>
      <x:c r="M671" s="12" t="str">
        <x:v>negative</x:v>
      </x:c>
      <x:c r="N671" s="12"/>
      <x:c r="O671" s="12" t="str">
        <x:v>negative</x:v>
      </x:c>
      <x:c r="P671" s="12" t="str">
        <x:f>IF(OR(M671="unavailable",O671="unavailable"),"不可评价",IF(OR(M671="equivocal",O671="equivocal"),"疑似",IF(AND(M671="positive",O671="positive"),"a",IF(O671="positive","b",IF(M671="positive","c","d")))))</x:f>
        <x:v>d</x:v>
      </x:c>
      <x:c r="Q671" s="12"/>
      <x:c r="R671" s="12" t="str">
        <x:v>negative</x:v>
      </x:c>
      <x:c r="S671" s="12"/>
      <x:c r="T671" s="12" t="str">
        <x:v>negative</x:v>
      </x:c>
      <x:c r="U671" s="12" t="str">
        <x:f>IF(OR(R671="unavailable",T671="unavailable"),"不可评价",IF(OR(R671="equivocal",T671="equivocal"),"疑似",IF(AND(R671="positive",T671="positive"),"a",IF(T671="positive","b",IF(R671="positive","c","d")))))</x:f>
        <x:v>d</x:v>
      </x:c>
      <x:c r="V671" s="12"/>
      <x:c r="W671" s="12" t="str">
        <x:v>negative</x:v>
      </x:c>
      <x:c r="X671" s="12"/>
      <x:c r="Y671" s="12" t="str">
        <x:v>negative</x:v>
      </x:c>
      <x:c r="Z671" s="12" t="str">
        <x:f>IF(OR(W671="unavailable",Y671="unavailable"),"不可评价",IF(OR(W671="equivocal",Y671="equivocal"),"疑似",IF(AND(W671="positive",Y671="positive"),"a",IF(Y671="positive","b",IF(W671="positive","c","d")))))</x:f>
        <x:v>d</x:v>
      </x:c>
      <x:c r="AA671" s="12" t="str">
        <x:f>IF(OR(M671="unavailable",O671="unavailable"),"不可评价",IF(AND(OR(M671="positive",M671="equivocal"),OR(O671="positive",O671="equivocal")),"a",IF(OR(O671="positive",O671="equivocal"),"b",IF(OR(M671="positive",M671="equivocal"),"c","d"))))</x:f>
        <x:v>d</x:v>
      </x:c>
      <x:c r="AB671" s="12" t="str">
        <x:f>IF(OR(M671="unavailable",O671="unavailable"),"不可评价",IF(AND(M671="positive",O671="positive"),"a",IF(O671="positive","b",IF(M671="positive","c","d"))))</x:f>
        <x:v>d</x:v>
      </x:c>
      <x:c r="AC671" s="12" t="str">
        <x:f>IF(OR(R671="unavailable",T671="unavailable"),"不可评价",IF(AND(OR(R671="positive",R671="equivocal"),OR(T671="positive",T671="equivocal")),"a",IF(OR(T671="positive",T671="equivocal"),"b",IF(OR(R671="positive",R671="equivocal"),"c","d"))))</x:f>
        <x:v>d</x:v>
      </x:c>
      <x:c r="AD671" s="12" t="str">
        <x:f>IF(OR(R671="unavailable",T671="unavailable"),"不可评价",IF(AND(R671="positive",T671="positive"),"a",IF(T671="positive","b",IF(R671="positive","c","d"))))</x:f>
        <x:v>d</x:v>
      </x:c>
      <x:c r="AE671" s="12" t="str">
        <x:f>IF(OR(W671="unavailable",Y671="unavailable"),"不可评价",IF(AND(OR(W671="positive",W671="equivocal"),OR(Y671="positive",Y671="equivocal")),"a",IF(OR(Y671="positive",Y671="equivocal"),"b",IF(OR(W671="positive",W671="equivocal"),"c","d"))))</x:f>
        <x:v>d</x:v>
      </x:c>
      <x:c r="AF671" s="12" t="str">
        <x:f>IF(OR(W671="unavailable",Y671="unavailable"),"不可评价",IF(AND(W671="positive",Y671="positive"),"a",IF(Y671="positive","b",IF(W671="positive","c","d"))))</x:f>
        <x:v>d</x:v>
      </x:c>
    </x:row>
    <x:row r="672" ht="24" customHeight="1">
      <x:c r="A672" s="12" t="str">
        <x:v>5479</x:v>
      </x:c>
      <x:c r="B672" s="12" t="str">
        <x:v>14606</x:v>
      </x:c>
      <x:c r="C672" s="21" t="n">
        <x:v>33213.56996527778</x:v>
      </x:c>
      <x:c r="D672" s="12" t="n">
        <x:v>42</x:v>
      </x:c>
      <x:c r="E672" s="12" t="n">
        <x:v>1</x:v>
      </x:c>
      <x:c r="F672" s="12" t="str">
        <x:v>存在</x:v>
      </x:c>
      <x:c r="G672" s="12" t="n">
        <x:v>1</x:v>
      </x:c>
      <x:c r="H672" s="12" t="str">
        <x:v>{'IMI': 15.0, 'LPFB': 100.0, 'ABQRS': 0.0, 'SR': 0.0}</x:v>
      </x:c>
      <x:c r="I672" s="12" t="str">
        <x:v>[('NSR', 100.0), ('RAD', 100.0), ('BORDE', 100.0)]</x:v>
      </x:c>
      <x:c r="J672" s="12" t="str">
        <x:v>ptbxl_database.csv；ecg_id=5479；scp_codes</x:v>
      </x:c>
      <x:c r="K672" s="12" t="str">
        <x:v>12sl_statements.csv；ecg_id=5479；statements_ext_snomed</x:v>
      </x:c>
      <x:c r="L672" s="12"/>
      <x:c r="M672" s="12" t="str">
        <x:v>negative</x:v>
      </x:c>
      <x:c r="N672" s="12"/>
      <x:c r="O672" s="12" t="str">
        <x:v>negative</x:v>
      </x:c>
      <x:c r="P672" s="12" t="str">
        <x:f>IF(OR(M672="unavailable",O672="unavailable"),"不可评价",IF(OR(M672="equivocal",O672="equivocal"),"疑似",IF(AND(M672="positive",O672="positive"),"a",IF(O672="positive","b",IF(M672="positive","c","d")))))</x:f>
        <x:v>d</x:v>
      </x:c>
      <x:c r="Q672" s="12"/>
      <x:c r="R672" s="12" t="str">
        <x:v>negative</x:v>
      </x:c>
      <x:c r="S672" s="12"/>
      <x:c r="T672" s="12" t="str">
        <x:v>negative</x:v>
      </x:c>
      <x:c r="U672" s="12" t="str">
        <x:f>IF(OR(R672="unavailable",T672="unavailable"),"不可评价",IF(OR(R672="equivocal",T672="equivocal"),"疑似",IF(AND(R672="positive",T672="positive"),"a",IF(T672="positive","b",IF(R672="positive","c","d")))))</x:f>
        <x:v>d</x:v>
      </x:c>
      <x:c r="V672" s="12"/>
      <x:c r="W672" s="12" t="str">
        <x:v>negative</x:v>
      </x:c>
      <x:c r="X672" s="12"/>
      <x:c r="Y672" s="12" t="str">
        <x:v>negative</x:v>
      </x:c>
      <x:c r="Z672" s="12" t="str">
        <x:f>IF(OR(W672="unavailable",Y672="unavailable"),"不可评价",IF(OR(W672="equivocal",Y672="equivocal"),"疑似",IF(AND(W672="positive",Y672="positive"),"a",IF(Y672="positive","b",IF(W672="positive","c","d")))))</x:f>
        <x:v>d</x:v>
      </x:c>
      <x:c r="AA672" s="12" t="str">
        <x:f>IF(OR(M672="unavailable",O672="unavailable"),"不可评价",IF(AND(OR(M672="positive",M672="equivocal"),OR(O672="positive",O672="equivocal")),"a",IF(OR(O672="positive",O672="equivocal"),"b",IF(OR(M672="positive",M672="equivocal"),"c","d"))))</x:f>
        <x:v>d</x:v>
      </x:c>
      <x:c r="AB672" s="12" t="str">
        <x:f>IF(OR(M672="unavailable",O672="unavailable"),"不可评价",IF(AND(M672="positive",O672="positive"),"a",IF(O672="positive","b",IF(M672="positive","c","d"))))</x:f>
        <x:v>d</x:v>
      </x:c>
      <x:c r="AC672" s="12" t="str">
        <x:f>IF(OR(R672="unavailable",T672="unavailable"),"不可评价",IF(AND(OR(R672="positive",R672="equivocal"),OR(T672="positive",T672="equivocal")),"a",IF(OR(T672="positive",T672="equivocal"),"b",IF(OR(R672="positive",R672="equivocal"),"c","d"))))</x:f>
        <x:v>d</x:v>
      </x:c>
      <x:c r="AD672" s="12" t="str">
        <x:f>IF(OR(R672="unavailable",T672="unavailable"),"不可评价",IF(AND(R672="positive",T672="positive"),"a",IF(T672="positive","b",IF(R672="positive","c","d"))))</x:f>
        <x:v>d</x:v>
      </x:c>
      <x:c r="AE672" s="12" t="str">
        <x:f>IF(OR(W672="unavailable",Y672="unavailable"),"不可评价",IF(AND(OR(W672="positive",W672="equivocal"),OR(Y672="positive",Y672="equivocal")),"a",IF(OR(Y672="positive",Y672="equivocal"),"b",IF(OR(W672="positive",W672="equivocal"),"c","d"))))</x:f>
        <x:v>d</x:v>
      </x:c>
      <x:c r="AF672" s="12" t="str">
        <x:f>IF(OR(W672="unavailable",Y672="unavailable"),"不可评价",IF(AND(W672="positive",Y672="positive"),"a",IF(Y672="positive","b",IF(W672="positive","c","d"))))</x:f>
        <x:v>d</x:v>
      </x:c>
    </x:row>
    <x:row r="673" ht="39" customHeight="1">
      <x:c r="A673" s="12" t="str">
        <x:v>5501</x:v>
      </x:c>
      <x:c r="B673" s="12" t="str">
        <x:v>19357</x:v>
      </x:c>
      <x:c r="C673" s="21" t="n">
        <x:v>33217.40039351852</x:v>
      </x:c>
      <x:c r="D673" s="12" t="n">
        <x:v>84</x:v>
      </x:c>
      <x:c r="E673" s="12" t="n">
        <x:v>0</x:v>
      </x:c>
      <x:c r="F673" s="12" t="str">
        <x:v>存在</x:v>
      </x:c>
      <x:c r="G673" s="12" t="n">
        <x:v>1</x:v>
      </x:c>
      <x:c r="H673" s="12" t="str">
        <x:v>{'ASMI': 100.0, 'ISCAL': 100.0, 'PVC': 100.0}</x:v>
      </x:c>
      <x:c r="I673" s="12" t="str">
        <x:v>[('SRTH', 100.0), ('PVC', 100.0), ('LAD3', 100.0), ('SMI;AU', 100.0), ('ST&amp;', 100.0), ('LT', 100.0), ('AB', 100.0)]</x:v>
      </x:c>
      <x:c r="J673" s="12" t="str">
        <x:v>ptbxl_database.csv；ecg_id=5501；scp_codes</x:v>
      </x:c>
      <x:c r="K673" s="12" t="str">
        <x:v>12sl_statements.csv；ecg_id=5501；statements_ext_snomed</x:v>
      </x:c>
      <x:c r="L673" s="12"/>
      <x:c r="M673" s="12" t="str">
        <x:v>negative</x:v>
      </x:c>
      <x:c r="N673" s="12"/>
      <x:c r="O673" s="12" t="str">
        <x:v>negative</x:v>
      </x:c>
      <x:c r="P673" s="12" t="str">
        <x:f>IF(OR(M673="unavailable",O673="unavailable"),"不可评价",IF(OR(M673="equivocal",O673="equivocal"),"疑似",IF(AND(M673="positive",O673="positive"),"a",IF(O673="positive","b",IF(M673="positive","c","d")))))</x:f>
        <x:v>d</x:v>
      </x:c>
      <x:c r="Q673" s="12"/>
      <x:c r="R673" s="12" t="str">
        <x:v>negative</x:v>
      </x:c>
      <x:c r="S673" s="12"/>
      <x:c r="T673" s="12" t="str">
        <x:v>negative</x:v>
      </x:c>
      <x:c r="U673" s="12" t="str">
        <x:f>IF(OR(R673="unavailable",T673="unavailable"),"不可评价",IF(OR(R673="equivocal",T673="equivocal"),"疑似",IF(AND(R673="positive",T673="positive"),"a",IF(T673="positive","b",IF(R673="positive","c","d")))))</x:f>
        <x:v>d</x:v>
      </x:c>
      <x:c r="V673" s="12"/>
      <x:c r="W673" s="12" t="str">
        <x:v>negative</x:v>
      </x:c>
      <x:c r="X673" s="12"/>
      <x:c r="Y673" s="12" t="str">
        <x:v>negative</x:v>
      </x:c>
      <x:c r="Z673" s="12" t="str">
        <x:f>IF(OR(W673="unavailable",Y673="unavailable"),"不可评价",IF(OR(W673="equivocal",Y673="equivocal"),"疑似",IF(AND(W673="positive",Y673="positive"),"a",IF(Y673="positive","b",IF(W673="positive","c","d")))))</x:f>
        <x:v>d</x:v>
      </x:c>
      <x:c r="AA673" s="12" t="str">
        <x:f>IF(OR(M673="unavailable",O673="unavailable"),"不可评价",IF(AND(OR(M673="positive",M673="equivocal"),OR(O673="positive",O673="equivocal")),"a",IF(OR(O673="positive",O673="equivocal"),"b",IF(OR(M673="positive",M673="equivocal"),"c","d"))))</x:f>
        <x:v>d</x:v>
      </x:c>
      <x:c r="AB673" s="12" t="str">
        <x:f>IF(OR(M673="unavailable",O673="unavailable"),"不可评价",IF(AND(M673="positive",O673="positive"),"a",IF(O673="positive","b",IF(M673="positive","c","d"))))</x:f>
        <x:v>d</x:v>
      </x:c>
      <x:c r="AC673" s="12" t="str">
        <x:f>IF(OR(R673="unavailable",T673="unavailable"),"不可评价",IF(AND(OR(R673="positive",R673="equivocal"),OR(T673="positive",T673="equivocal")),"a",IF(OR(T673="positive",T673="equivocal"),"b",IF(OR(R673="positive",R673="equivocal"),"c","d"))))</x:f>
        <x:v>d</x:v>
      </x:c>
      <x:c r="AD673" s="12" t="str">
        <x:f>IF(OR(R673="unavailable",T673="unavailable"),"不可评价",IF(AND(R673="positive",T673="positive"),"a",IF(T673="positive","b",IF(R673="positive","c","d"))))</x:f>
        <x:v>d</x:v>
      </x:c>
      <x:c r="AE673" s="12" t="str">
        <x:f>IF(OR(W673="unavailable",Y673="unavailable"),"不可评价",IF(AND(OR(W673="positive",W673="equivocal"),OR(Y673="positive",Y673="equivocal")),"a",IF(OR(Y673="positive",Y673="equivocal"),"b",IF(OR(W673="positive",W673="equivocal"),"c","d"))))</x:f>
        <x:v>d</x:v>
      </x:c>
      <x:c r="AF673" s="12" t="str">
        <x:f>IF(OR(W673="unavailable",Y673="unavailable"),"不可评价",IF(AND(W673="positive",Y673="positive"),"a",IF(Y673="positive","b",IF(W673="positive","c","d"))))</x:f>
        <x:v>d</x:v>
      </x:c>
    </x:row>
    <x:row r="674" ht="24" customHeight="1">
      <x:c r="A674" s="12" t="str">
        <x:v>5519</x:v>
      </x:c>
      <x:c r="B674" s="12" t="str">
        <x:v>9168</x:v>
      </x:c>
      <x:c r="C674" s="21" t="n">
        <x:v>33220.402650462966</x:v>
      </x:c>
      <x:c r="D674" s="12" t="n">
        <x:v>18</x:v>
      </x:c>
      <x:c r="E674" s="12" t="n">
        <x:v>1</x:v>
      </x:c>
      <x:c r="F674" s="12" t="str">
        <x:v>未记录</x:v>
      </x:c>
      <x:c r="G674" s="12" t="n">
        <x:v>1</x:v>
      </x:c>
      <x:c r="H674" s="12" t="str">
        <x:v>{'NORM': 100.0, 'SR': 0.0}</x:v>
      </x:c>
      <x:c r="I674" s="12" t="str">
        <x:v>[('NSR', 100.0), ('SAR', 100.0), ('NML', 100.0)]</x:v>
      </x:c>
      <x:c r="J674" s="12" t="str">
        <x:v>ptbxl_database.csv；ecg_id=5519；scp_codes</x:v>
      </x:c>
      <x:c r="K674" s="12" t="str">
        <x:v>12sl_statements.csv；ecg_id=5519；statements_ext_snomed</x:v>
      </x:c>
      <x:c r="L674" s="12"/>
      <x:c r="M674" s="12" t="str">
        <x:v>negative</x:v>
      </x:c>
      <x:c r="N674" s="12"/>
      <x:c r="O674" s="12" t="str">
        <x:v>negative</x:v>
      </x:c>
      <x:c r="P674" s="12" t="str">
        <x:f>IF(OR(M674="unavailable",O674="unavailable"),"不可评价",IF(OR(M674="equivocal",O674="equivocal"),"疑似",IF(AND(M674="positive",O674="positive"),"a",IF(O674="positive","b",IF(M674="positive","c","d")))))</x:f>
        <x:v>d</x:v>
      </x:c>
      <x:c r="Q674" s="12"/>
      <x:c r="R674" s="12" t="str">
        <x:v>negative</x:v>
      </x:c>
      <x:c r="S674" s="12"/>
      <x:c r="T674" s="12" t="str">
        <x:v>negative</x:v>
      </x:c>
      <x:c r="U674" s="12" t="str">
        <x:f>IF(OR(R674="unavailable",T674="unavailable"),"不可评价",IF(OR(R674="equivocal",T674="equivocal"),"疑似",IF(AND(R674="positive",T674="positive"),"a",IF(T674="positive","b",IF(R674="positive","c","d")))))</x:f>
        <x:v>d</x:v>
      </x:c>
      <x:c r="V674" s="12"/>
      <x:c r="W674" s="12" t="str">
        <x:v>negative</x:v>
      </x:c>
      <x:c r="X674" s="12"/>
      <x:c r="Y674" s="12" t="str">
        <x:v>negative</x:v>
      </x:c>
      <x:c r="Z674" s="12" t="str">
        <x:f>IF(OR(W674="unavailable",Y674="unavailable"),"不可评价",IF(OR(W674="equivocal",Y674="equivocal"),"疑似",IF(AND(W674="positive",Y674="positive"),"a",IF(Y674="positive","b",IF(W674="positive","c","d")))))</x:f>
        <x:v>d</x:v>
      </x:c>
      <x:c r="AA674" s="12" t="str">
        <x:f>IF(OR(M674="unavailable",O674="unavailable"),"不可评价",IF(AND(OR(M674="positive",M674="equivocal"),OR(O674="positive",O674="equivocal")),"a",IF(OR(O674="positive",O674="equivocal"),"b",IF(OR(M674="positive",M674="equivocal"),"c","d"))))</x:f>
        <x:v>d</x:v>
      </x:c>
      <x:c r="AB674" s="12" t="str">
        <x:f>IF(OR(M674="unavailable",O674="unavailable"),"不可评价",IF(AND(M674="positive",O674="positive"),"a",IF(O674="positive","b",IF(M674="positive","c","d"))))</x:f>
        <x:v>d</x:v>
      </x:c>
      <x:c r="AC674" s="12" t="str">
        <x:f>IF(OR(R674="unavailable",T674="unavailable"),"不可评价",IF(AND(OR(R674="positive",R674="equivocal"),OR(T674="positive",T674="equivocal")),"a",IF(OR(T674="positive",T674="equivocal"),"b",IF(OR(R674="positive",R674="equivocal"),"c","d"))))</x:f>
        <x:v>d</x:v>
      </x:c>
      <x:c r="AD674" s="12" t="str">
        <x:f>IF(OR(R674="unavailable",T674="unavailable"),"不可评价",IF(AND(R674="positive",T674="positive"),"a",IF(T674="positive","b",IF(R674="positive","c","d"))))</x:f>
        <x:v>d</x:v>
      </x:c>
      <x:c r="AE674" s="12" t="str">
        <x:f>IF(OR(W674="unavailable",Y674="unavailable"),"不可评价",IF(AND(OR(W674="positive",W674="equivocal"),OR(Y674="positive",Y674="equivocal")),"a",IF(OR(Y674="positive",Y674="equivocal"),"b",IF(OR(W674="positive",W674="equivocal"),"c","d"))))</x:f>
        <x:v>d</x:v>
      </x:c>
      <x:c r="AF674" s="12" t="str">
        <x:f>IF(OR(W674="unavailable",Y674="unavailable"),"不可评价",IF(AND(W674="positive",Y674="positive"),"a",IF(Y674="positive","b",IF(W674="positive","c","d"))))</x:f>
        <x:v>d</x:v>
      </x:c>
    </x:row>
    <x:row r="675" ht="24" customHeight="1">
      <x:c r="A675" s="12" t="str">
        <x:v>5530</x:v>
      </x:c>
      <x:c r="B675" s="12" t="str">
        <x:v>13734</x:v>
      </x:c>
      <x:c r="C675" s="21" t="n">
        <x:v>33221.78973379629</x:v>
      </x:c>
      <x:c r="D675" s="12" t="n">
        <x:v>55</x:v>
      </x:c>
      <x:c r="E675" s="12" t="n">
        <x:v>0</x:v>
      </x:c>
      <x:c r="F675" s="12" t="str">
        <x:v>未记录</x:v>
      </x:c>
      <x:c r="G675" s="12" t="n">
        <x:v>1</x:v>
      </x:c>
      <x:c r="H675" s="12" t="str">
        <x:v>{'NORM': 100.0, 'SR': 0.0}</x:v>
      </x:c>
      <x:c r="I675" s="12" t="str">
        <x:v>[('NSR', 100.0), ('NML', 100.0)]</x:v>
      </x:c>
      <x:c r="J675" s="12" t="str">
        <x:v>ptbxl_database.csv；ecg_id=5530；scp_codes</x:v>
      </x:c>
      <x:c r="K675" s="12" t="str">
        <x:v>12sl_statements.csv；ecg_id=5530；statements_ext_snomed</x:v>
      </x:c>
      <x:c r="L675" s="12"/>
      <x:c r="M675" s="12" t="str">
        <x:v>negative</x:v>
      </x:c>
      <x:c r="N675" s="12"/>
      <x:c r="O675" s="12" t="str">
        <x:v>negative</x:v>
      </x:c>
      <x:c r="P675" s="12" t="str">
        <x:f>IF(OR(M675="unavailable",O675="unavailable"),"不可评价",IF(OR(M675="equivocal",O675="equivocal"),"疑似",IF(AND(M675="positive",O675="positive"),"a",IF(O675="positive","b",IF(M675="positive","c","d")))))</x:f>
        <x:v>d</x:v>
      </x:c>
      <x:c r="Q675" s="12"/>
      <x:c r="R675" s="12" t="str">
        <x:v>negative</x:v>
      </x:c>
      <x:c r="S675" s="12"/>
      <x:c r="T675" s="12" t="str">
        <x:v>negative</x:v>
      </x:c>
      <x:c r="U675" s="12" t="str">
        <x:f>IF(OR(R675="unavailable",T675="unavailable"),"不可评价",IF(OR(R675="equivocal",T675="equivocal"),"疑似",IF(AND(R675="positive",T675="positive"),"a",IF(T675="positive","b",IF(R675="positive","c","d")))))</x:f>
        <x:v>d</x:v>
      </x:c>
      <x:c r="V675" s="12"/>
      <x:c r="W675" s="12" t="str">
        <x:v>negative</x:v>
      </x:c>
      <x:c r="X675" s="12"/>
      <x:c r="Y675" s="12" t="str">
        <x:v>negative</x:v>
      </x:c>
      <x:c r="Z675" s="12" t="str">
        <x:f>IF(OR(W675="unavailable",Y675="unavailable"),"不可评价",IF(OR(W675="equivocal",Y675="equivocal"),"疑似",IF(AND(W675="positive",Y675="positive"),"a",IF(Y675="positive","b",IF(W675="positive","c","d")))))</x:f>
        <x:v>d</x:v>
      </x:c>
      <x:c r="AA675" s="12" t="str">
        <x:f>IF(OR(M675="unavailable",O675="unavailable"),"不可评价",IF(AND(OR(M675="positive",M675="equivocal"),OR(O675="positive",O675="equivocal")),"a",IF(OR(O675="positive",O675="equivocal"),"b",IF(OR(M675="positive",M675="equivocal"),"c","d"))))</x:f>
        <x:v>d</x:v>
      </x:c>
      <x:c r="AB675" s="12" t="str">
        <x:f>IF(OR(M675="unavailable",O675="unavailable"),"不可评价",IF(AND(M675="positive",O675="positive"),"a",IF(O675="positive","b",IF(M675="positive","c","d"))))</x:f>
        <x:v>d</x:v>
      </x:c>
      <x:c r="AC675" s="12" t="str">
        <x:f>IF(OR(R675="unavailable",T675="unavailable"),"不可评价",IF(AND(OR(R675="positive",R675="equivocal"),OR(T675="positive",T675="equivocal")),"a",IF(OR(T675="positive",T675="equivocal"),"b",IF(OR(R675="positive",R675="equivocal"),"c","d"))))</x:f>
        <x:v>d</x:v>
      </x:c>
      <x:c r="AD675" s="12" t="str">
        <x:f>IF(OR(R675="unavailable",T675="unavailable"),"不可评价",IF(AND(R675="positive",T675="positive"),"a",IF(T675="positive","b",IF(R675="positive","c","d"))))</x:f>
        <x:v>d</x:v>
      </x:c>
      <x:c r="AE675" s="12" t="str">
        <x:f>IF(OR(W675="unavailable",Y675="unavailable"),"不可评价",IF(AND(OR(W675="positive",W675="equivocal"),OR(Y675="positive",Y675="equivocal")),"a",IF(OR(Y675="positive",Y675="equivocal"),"b",IF(OR(W675="positive",W675="equivocal"),"c","d"))))</x:f>
        <x:v>d</x:v>
      </x:c>
      <x:c r="AF675" s="12" t="str">
        <x:f>IF(OR(W675="unavailable",Y675="unavailable"),"不可评价",IF(AND(W675="positive",Y675="positive"),"a",IF(Y675="positive","b",IF(W675="positive","c","d"))))</x:f>
        <x:v>d</x:v>
      </x:c>
    </x:row>
    <x:row r="676" ht="24" customHeight="1">
      <x:c r="A676" s="12" t="str">
        <x:v>5544</x:v>
      </x:c>
      <x:c r="B676" s="12" t="str">
        <x:v>21048</x:v>
      </x:c>
      <x:c r="C676" s="21" t="n">
        <x:v>33225.2578587963</x:v>
      </x:c>
      <x:c r="D676" s="12" t="n">
        <x:v>83</x:v>
      </x:c>
      <x:c r="E676" s="12" t="n">
        <x:v>1</x:v>
      </x:c>
      <x:c r="F676" s="12" t="str">
        <x:v>存在</x:v>
      </x:c>
      <x:c r="G676" s="12" t="n">
        <x:v>1</x:v>
      </x:c>
      <x:c r="H676" s="12" t="str">
        <x:v>{'PACE': 100.0}</x:v>
      </x:c>
      <x:c r="I676" s="12" t="str">
        <x:v>[('SRTH', 100.0), ('CHB', 100.0), ('VPR', 100.0), ('AB', 100.0)]</x:v>
      </x:c>
      <x:c r="J676" s="12" t="str">
        <x:v>ptbxl_database.csv；ecg_id=5544；scp_codes</x:v>
      </x:c>
      <x:c r="K676" s="12" t="str">
        <x:v>12sl_statements.csv；ecg_id=5544；statements_ext_snomed</x:v>
      </x:c>
      <x:c r="L676" s="12"/>
      <x:c r="M676" s="12" t="str">
        <x:v>negative</x:v>
      </x:c>
      <x:c r="N676" s="12"/>
      <x:c r="O676" s="12" t="str">
        <x:v>negative</x:v>
      </x:c>
      <x:c r="P676" s="12" t="str">
        <x:f>IF(OR(M676="unavailable",O676="unavailable"),"不可评价",IF(OR(M676="equivocal",O676="equivocal"),"疑似",IF(AND(M676="positive",O676="positive"),"a",IF(O676="positive","b",IF(M676="positive","c","d")))))</x:f>
        <x:v>d</x:v>
      </x:c>
      <x:c r="Q676" s="12"/>
      <x:c r="R676" s="12" t="str">
        <x:v>negative</x:v>
      </x:c>
      <x:c r="S676" s="12"/>
      <x:c r="T676" s="12" t="str">
        <x:v>negative</x:v>
      </x:c>
      <x:c r="U676" s="12" t="str">
        <x:f>IF(OR(R676="unavailable",T676="unavailable"),"不可评价",IF(OR(R676="equivocal",T676="equivocal"),"疑似",IF(AND(R676="positive",T676="positive"),"a",IF(T676="positive","b",IF(R676="positive","c","d")))))</x:f>
        <x:v>d</x:v>
      </x:c>
      <x:c r="V676" s="12"/>
      <x:c r="W676" s="12" t="str">
        <x:v>negative</x:v>
      </x:c>
      <x:c r="X676" s="12"/>
      <x:c r="Y676" s="12" t="str">
        <x:v>negative</x:v>
      </x:c>
      <x:c r="Z676" s="12" t="str">
        <x:f>IF(OR(W676="unavailable",Y676="unavailable"),"不可评价",IF(OR(W676="equivocal",Y676="equivocal"),"疑似",IF(AND(W676="positive",Y676="positive"),"a",IF(Y676="positive","b",IF(W676="positive","c","d")))))</x:f>
        <x:v>d</x:v>
      </x:c>
      <x:c r="AA676" s="12" t="str">
        <x:f>IF(OR(M676="unavailable",O676="unavailable"),"不可评价",IF(AND(OR(M676="positive",M676="equivocal"),OR(O676="positive",O676="equivocal")),"a",IF(OR(O676="positive",O676="equivocal"),"b",IF(OR(M676="positive",M676="equivocal"),"c","d"))))</x:f>
        <x:v>d</x:v>
      </x:c>
      <x:c r="AB676" s="12" t="str">
        <x:f>IF(OR(M676="unavailable",O676="unavailable"),"不可评价",IF(AND(M676="positive",O676="positive"),"a",IF(O676="positive","b",IF(M676="positive","c","d"))))</x:f>
        <x:v>d</x:v>
      </x:c>
      <x:c r="AC676" s="12" t="str">
        <x:f>IF(OR(R676="unavailable",T676="unavailable"),"不可评价",IF(AND(OR(R676="positive",R676="equivocal"),OR(T676="positive",T676="equivocal")),"a",IF(OR(T676="positive",T676="equivocal"),"b",IF(OR(R676="positive",R676="equivocal"),"c","d"))))</x:f>
        <x:v>d</x:v>
      </x:c>
      <x:c r="AD676" s="12" t="str">
        <x:f>IF(OR(R676="unavailable",T676="unavailable"),"不可评价",IF(AND(R676="positive",T676="positive"),"a",IF(T676="positive","b",IF(R676="positive","c","d"))))</x:f>
        <x:v>d</x:v>
      </x:c>
      <x:c r="AE676" s="12" t="str">
        <x:f>IF(OR(W676="unavailable",Y676="unavailable"),"不可评价",IF(AND(OR(W676="positive",W676="equivocal"),OR(Y676="positive",Y676="equivocal")),"a",IF(OR(Y676="positive",Y676="equivocal"),"b",IF(OR(W676="positive",W676="equivocal"),"c","d"))))</x:f>
        <x:v>d</x:v>
      </x:c>
      <x:c r="AF676" s="12" t="str">
        <x:f>IF(OR(W676="unavailable",Y676="unavailable"),"不可评价",IF(AND(W676="positive",Y676="positive"),"a",IF(Y676="positive","b",IF(W676="positive","c","d"))))</x:f>
        <x:v>d</x:v>
      </x:c>
    </x:row>
    <x:row r="677" ht="24" customHeight="1">
      <x:c r="A677" s="12" t="str">
        <x:v>5566</x:v>
      </x:c>
      <x:c r="B677" s="12" t="str">
        <x:v>16392</x:v>
      </x:c>
      <x:c r="C677" s="21" t="n">
        <x:v>33231.49193287037</x:v>
      </x:c>
      <x:c r="D677" s="12" t="n">
        <x:v>45</x:v>
      </x:c>
      <x:c r="E677" s="12" t="n">
        <x:v>0</x:v>
      </x:c>
      <x:c r="F677" s="12" t="str">
        <x:v>未记录</x:v>
      </x:c>
      <x:c r="G677" s="12" t="n">
        <x:v>0</x:v>
      </x:c>
      <x:c r="H677" s="12" t="str">
        <x:v>{'NORM': 100.0, 'SR': 0.0}</x:v>
      </x:c>
      <x:c r="I677" s="12" t="str">
        <x:v>[('NSR', 100.0), ('NML', 100.0)]</x:v>
      </x:c>
      <x:c r="J677" s="12" t="str">
        <x:v>ptbxl_database.csv；ecg_id=5566；scp_codes</x:v>
      </x:c>
      <x:c r="K677" s="12" t="str">
        <x:v>12sl_statements.csv；ecg_id=5566；statements_ext_snomed</x:v>
      </x:c>
      <x:c r="L677" s="12"/>
      <x:c r="M677" s="12" t="str">
        <x:v>negative</x:v>
      </x:c>
      <x:c r="N677" s="12"/>
      <x:c r="O677" s="12" t="str">
        <x:v>negative</x:v>
      </x:c>
      <x:c r="P677" s="12" t="str">
        <x:f>IF(OR(M677="unavailable",O677="unavailable"),"不可评价",IF(OR(M677="equivocal",O677="equivocal"),"疑似",IF(AND(M677="positive",O677="positive"),"a",IF(O677="positive","b",IF(M677="positive","c","d")))))</x:f>
        <x:v>d</x:v>
      </x:c>
      <x:c r="Q677" s="12"/>
      <x:c r="R677" s="12" t="str">
        <x:v>negative</x:v>
      </x:c>
      <x:c r="S677" s="12"/>
      <x:c r="T677" s="12" t="str">
        <x:v>negative</x:v>
      </x:c>
      <x:c r="U677" s="12" t="str">
        <x:f>IF(OR(R677="unavailable",T677="unavailable"),"不可评价",IF(OR(R677="equivocal",T677="equivocal"),"疑似",IF(AND(R677="positive",T677="positive"),"a",IF(T677="positive","b",IF(R677="positive","c","d")))))</x:f>
        <x:v>d</x:v>
      </x:c>
      <x:c r="V677" s="12"/>
      <x:c r="W677" s="12" t="str">
        <x:v>negative</x:v>
      </x:c>
      <x:c r="X677" s="12"/>
      <x:c r="Y677" s="12" t="str">
        <x:v>negative</x:v>
      </x:c>
      <x:c r="Z677" s="12" t="str">
        <x:f>IF(OR(W677="unavailable",Y677="unavailable"),"不可评价",IF(OR(W677="equivocal",Y677="equivocal"),"疑似",IF(AND(W677="positive",Y677="positive"),"a",IF(Y677="positive","b",IF(W677="positive","c","d")))))</x:f>
        <x:v>d</x:v>
      </x:c>
      <x:c r="AA677" s="12" t="str">
        <x:f>IF(OR(M677="unavailable",O677="unavailable"),"不可评价",IF(AND(OR(M677="positive",M677="equivocal"),OR(O677="positive",O677="equivocal")),"a",IF(OR(O677="positive",O677="equivocal"),"b",IF(OR(M677="positive",M677="equivocal"),"c","d"))))</x:f>
        <x:v>d</x:v>
      </x:c>
      <x:c r="AB677" s="12" t="str">
        <x:f>IF(OR(M677="unavailable",O677="unavailable"),"不可评价",IF(AND(M677="positive",O677="positive"),"a",IF(O677="positive","b",IF(M677="positive","c","d"))))</x:f>
        <x:v>d</x:v>
      </x:c>
      <x:c r="AC677" s="12" t="str">
        <x:f>IF(OR(R677="unavailable",T677="unavailable"),"不可评价",IF(AND(OR(R677="positive",R677="equivocal"),OR(T677="positive",T677="equivocal")),"a",IF(OR(T677="positive",T677="equivocal"),"b",IF(OR(R677="positive",R677="equivocal"),"c","d"))))</x:f>
        <x:v>d</x:v>
      </x:c>
      <x:c r="AD677" s="12" t="str">
        <x:f>IF(OR(R677="unavailable",T677="unavailable"),"不可评价",IF(AND(R677="positive",T677="positive"),"a",IF(T677="positive","b",IF(R677="positive","c","d"))))</x:f>
        <x:v>d</x:v>
      </x:c>
      <x:c r="AE677" s="12" t="str">
        <x:f>IF(OR(W677="unavailable",Y677="unavailable"),"不可评价",IF(AND(OR(W677="positive",W677="equivocal"),OR(Y677="positive",Y677="equivocal")),"a",IF(OR(Y677="positive",Y677="equivocal"),"b",IF(OR(W677="positive",W677="equivocal"),"c","d"))))</x:f>
        <x:v>d</x:v>
      </x:c>
      <x:c r="AF677" s="12" t="str">
        <x:f>IF(OR(W677="unavailable",Y677="unavailable"),"不可评价",IF(AND(W677="positive",Y677="positive"),"a",IF(Y677="positive","b",IF(W677="positive","c","d"))))</x:f>
        <x:v>d</x:v>
      </x:c>
    </x:row>
    <x:row r="678" ht="24" customHeight="1">
      <x:c r="A678" s="12" t="str">
        <x:v>5567</x:v>
      </x:c>
      <x:c r="B678" s="12" t="str">
        <x:v>9751</x:v>
      </x:c>
      <x:c r="C678" s="21" t="n">
        <x:v>33231.51770833333</x:v>
      </x:c>
      <x:c r="D678" s="12" t="n">
        <x:v>72</x:v>
      </x:c>
      <x:c r="E678" s="12" t="n">
        <x:v>1</x:v>
      </x:c>
      <x:c r="F678" s="12" t="str">
        <x:v>未记录</x:v>
      </x:c>
      <x:c r="G678" s="12" t="n">
        <x:v>1</x:v>
      </x:c>
      <x:c r="H678" s="12" t="str">
        <x:v>{'NORM': 80.0, 'SR': 0.0}</x:v>
      </x:c>
      <x:c r="I678" s="12" t="str">
        <x:v>[('NSR', 100.0), ('NML', 100.0)]</x:v>
      </x:c>
      <x:c r="J678" s="12" t="str">
        <x:v>ptbxl_database.csv；ecg_id=5567；scp_codes</x:v>
      </x:c>
      <x:c r="K678" s="12" t="str">
        <x:v>12sl_statements.csv；ecg_id=5567；statements_ext_snomed</x:v>
      </x:c>
      <x:c r="L678" s="12"/>
      <x:c r="M678" s="12" t="str">
        <x:v>negative</x:v>
      </x:c>
      <x:c r="N678" s="12"/>
      <x:c r="O678" s="12" t="str">
        <x:v>negative</x:v>
      </x:c>
      <x:c r="P678" s="12" t="str">
        <x:f>IF(OR(M678="unavailable",O678="unavailable"),"不可评价",IF(OR(M678="equivocal",O678="equivocal"),"疑似",IF(AND(M678="positive",O678="positive"),"a",IF(O678="positive","b",IF(M678="positive","c","d")))))</x:f>
        <x:v>d</x:v>
      </x:c>
      <x:c r="Q678" s="12"/>
      <x:c r="R678" s="12" t="str">
        <x:v>negative</x:v>
      </x:c>
      <x:c r="S678" s="12"/>
      <x:c r="T678" s="12" t="str">
        <x:v>negative</x:v>
      </x:c>
      <x:c r="U678" s="12" t="str">
        <x:f>IF(OR(R678="unavailable",T678="unavailable"),"不可评价",IF(OR(R678="equivocal",T678="equivocal"),"疑似",IF(AND(R678="positive",T678="positive"),"a",IF(T678="positive","b",IF(R678="positive","c","d")))))</x:f>
        <x:v>d</x:v>
      </x:c>
      <x:c r="V678" s="12"/>
      <x:c r="W678" s="12" t="str">
        <x:v>negative</x:v>
      </x:c>
      <x:c r="X678" s="12"/>
      <x:c r="Y678" s="12" t="str">
        <x:v>negative</x:v>
      </x:c>
      <x:c r="Z678" s="12" t="str">
        <x:f>IF(OR(W678="unavailable",Y678="unavailable"),"不可评价",IF(OR(W678="equivocal",Y678="equivocal"),"疑似",IF(AND(W678="positive",Y678="positive"),"a",IF(Y678="positive","b",IF(W678="positive","c","d")))))</x:f>
        <x:v>d</x:v>
      </x:c>
      <x:c r="AA678" s="12" t="str">
        <x:f>IF(OR(M678="unavailable",O678="unavailable"),"不可评价",IF(AND(OR(M678="positive",M678="equivocal"),OR(O678="positive",O678="equivocal")),"a",IF(OR(O678="positive",O678="equivocal"),"b",IF(OR(M678="positive",M678="equivocal"),"c","d"))))</x:f>
        <x:v>d</x:v>
      </x:c>
      <x:c r="AB678" s="12" t="str">
        <x:f>IF(OR(M678="unavailable",O678="unavailable"),"不可评价",IF(AND(M678="positive",O678="positive"),"a",IF(O678="positive","b",IF(M678="positive","c","d"))))</x:f>
        <x:v>d</x:v>
      </x:c>
      <x:c r="AC678" s="12" t="str">
        <x:f>IF(OR(R678="unavailable",T678="unavailable"),"不可评价",IF(AND(OR(R678="positive",R678="equivocal"),OR(T678="positive",T678="equivocal")),"a",IF(OR(T678="positive",T678="equivocal"),"b",IF(OR(R678="positive",R678="equivocal"),"c","d"))))</x:f>
        <x:v>d</x:v>
      </x:c>
      <x:c r="AD678" s="12" t="str">
        <x:f>IF(OR(R678="unavailable",T678="unavailable"),"不可评价",IF(AND(R678="positive",T678="positive"),"a",IF(T678="positive","b",IF(R678="positive","c","d"))))</x:f>
        <x:v>d</x:v>
      </x:c>
      <x:c r="AE678" s="12" t="str">
        <x:f>IF(OR(W678="unavailable",Y678="unavailable"),"不可评价",IF(AND(OR(W678="positive",W678="equivocal"),OR(Y678="positive",Y678="equivocal")),"a",IF(OR(Y678="positive",Y678="equivocal"),"b",IF(OR(W678="positive",W678="equivocal"),"c","d"))))</x:f>
        <x:v>d</x:v>
      </x:c>
      <x:c r="AF678" s="12" t="str">
        <x:f>IF(OR(W678="unavailable",Y678="unavailable"),"不可评价",IF(AND(W678="positive",Y678="positive"),"a",IF(Y678="positive","b",IF(W678="positive","c","d"))))</x:f>
        <x:v>d</x:v>
      </x:c>
    </x:row>
    <x:row r="679" ht="24" customHeight="1">
      <x:c r="A679" s="12" t="str">
        <x:v>5572</x:v>
      </x:c>
      <x:c r="B679" s="12" t="str">
        <x:v>19996</x:v>
      </x:c>
      <x:c r="C679" s="21" t="n">
        <x:v>33235.44065972222</x:v>
      </x:c>
      <x:c r="D679" s="12" t="n">
        <x:v>71</x:v>
      </x:c>
      <x:c r="E679" s="12" t="n">
        <x:v>0</x:v>
      </x:c>
      <x:c r="F679" s="12" t="str">
        <x:v>未记录</x:v>
      </x:c>
      <x:c r="G679" s="12" t="n">
        <x:v>0</x:v>
      </x:c>
      <x:c r="H679" s="12" t="str">
        <x:v>{'NDT': 100.0, 'SR': 0.0}</x:v>
      </x:c>
      <x:c r="I679" s="12" t="str">
        <x:v>[('NSR', 100.0), ('NML', 100.0)]</x:v>
      </x:c>
      <x:c r="J679" s="12" t="str">
        <x:v>ptbxl_database.csv；ecg_id=5572；scp_codes</x:v>
      </x:c>
      <x:c r="K679" s="12" t="str">
        <x:v>12sl_statements.csv；ecg_id=5572；statements_ext_snomed</x:v>
      </x:c>
      <x:c r="L679" s="12"/>
      <x:c r="M679" s="12" t="str">
        <x:v>negative</x:v>
      </x:c>
      <x:c r="N679" s="12"/>
      <x:c r="O679" s="12" t="str">
        <x:v>negative</x:v>
      </x:c>
      <x:c r="P679" s="12" t="str">
        <x:f>IF(OR(M679="unavailable",O679="unavailable"),"不可评价",IF(OR(M679="equivocal",O679="equivocal"),"疑似",IF(AND(M679="positive",O679="positive"),"a",IF(O679="positive","b",IF(M679="positive","c","d")))))</x:f>
        <x:v>d</x:v>
      </x:c>
      <x:c r="Q679" s="12"/>
      <x:c r="R679" s="12" t="str">
        <x:v>negative</x:v>
      </x:c>
      <x:c r="S679" s="12"/>
      <x:c r="T679" s="12" t="str">
        <x:v>negative</x:v>
      </x:c>
      <x:c r="U679" s="12" t="str">
        <x:f>IF(OR(R679="unavailable",T679="unavailable"),"不可评价",IF(OR(R679="equivocal",T679="equivocal"),"疑似",IF(AND(R679="positive",T679="positive"),"a",IF(T679="positive","b",IF(R679="positive","c","d")))))</x:f>
        <x:v>d</x:v>
      </x:c>
      <x:c r="V679" s="12"/>
      <x:c r="W679" s="12" t="str">
        <x:v>negative</x:v>
      </x:c>
      <x:c r="X679" s="12"/>
      <x:c r="Y679" s="12" t="str">
        <x:v>negative</x:v>
      </x:c>
      <x:c r="Z679" s="12" t="str">
        <x:f>IF(OR(W679="unavailable",Y679="unavailable"),"不可评价",IF(OR(W679="equivocal",Y679="equivocal"),"疑似",IF(AND(W679="positive",Y679="positive"),"a",IF(Y679="positive","b",IF(W679="positive","c","d")))))</x:f>
        <x:v>d</x:v>
      </x:c>
      <x:c r="AA679" s="12" t="str">
        <x:f>IF(OR(M679="unavailable",O679="unavailable"),"不可评价",IF(AND(OR(M679="positive",M679="equivocal"),OR(O679="positive",O679="equivocal")),"a",IF(OR(O679="positive",O679="equivocal"),"b",IF(OR(M679="positive",M679="equivocal"),"c","d"))))</x:f>
        <x:v>d</x:v>
      </x:c>
      <x:c r="AB679" s="12" t="str">
        <x:f>IF(OR(M679="unavailable",O679="unavailable"),"不可评价",IF(AND(M679="positive",O679="positive"),"a",IF(O679="positive","b",IF(M679="positive","c","d"))))</x:f>
        <x:v>d</x:v>
      </x:c>
      <x:c r="AC679" s="12" t="str">
        <x:f>IF(OR(R679="unavailable",T679="unavailable"),"不可评价",IF(AND(OR(R679="positive",R679="equivocal"),OR(T679="positive",T679="equivocal")),"a",IF(OR(T679="positive",T679="equivocal"),"b",IF(OR(R679="positive",R679="equivocal"),"c","d"))))</x:f>
        <x:v>d</x:v>
      </x:c>
      <x:c r="AD679" s="12" t="str">
        <x:f>IF(OR(R679="unavailable",T679="unavailable"),"不可评价",IF(AND(R679="positive",T679="positive"),"a",IF(T679="positive","b",IF(R679="positive","c","d"))))</x:f>
        <x:v>d</x:v>
      </x:c>
      <x:c r="AE679" s="12" t="str">
        <x:f>IF(OR(W679="unavailable",Y679="unavailable"),"不可评价",IF(AND(OR(W679="positive",W679="equivocal"),OR(Y679="positive",Y679="equivocal")),"a",IF(OR(Y679="positive",Y679="equivocal"),"b",IF(OR(W679="positive",W679="equivocal"),"c","d"))))</x:f>
        <x:v>d</x:v>
      </x:c>
      <x:c r="AF679" s="12" t="str">
        <x:f>IF(OR(W679="unavailable",Y679="unavailable"),"不可评价",IF(AND(W679="positive",Y679="positive"),"a",IF(Y679="positive","b",IF(W679="positive","c","d"))))</x:f>
        <x:v>d</x:v>
      </x:c>
    </x:row>
    <x:row r="680" ht="24" customHeight="1">
      <x:c r="A680" s="12" t="str">
        <x:v>5600</x:v>
      </x:c>
      <x:c r="B680" s="12" t="str">
        <x:v>18634</x:v>
      </x:c>
      <x:c r="C680" s="21" t="n">
        <x:v>33244.43011574074</x:v>
      </x:c>
      <x:c r="D680" s="12" t="n">
        <x:v>40</x:v>
      </x:c>
      <x:c r="E680" s="12" t="n">
        <x:v>0</x:v>
      </x:c>
      <x:c r="F680" s="12" t="str">
        <x:v>未记录</x:v>
      </x:c>
      <x:c r="G680" s="12" t="n">
        <x:v>1</x:v>
      </x:c>
      <x:c r="H680" s="12" t="str">
        <x:v>{'NORM': 100.0, 'SR': 0.0}</x:v>
      </x:c>
      <x:c r="I680" s="12" t="str">
        <x:v>[('NSR', 100.0), ('LAE', 50.0), ('BORDE', 100.0)]</x:v>
      </x:c>
      <x:c r="J680" s="12" t="str">
        <x:v>ptbxl_database.csv；ecg_id=5600；scp_codes</x:v>
      </x:c>
      <x:c r="K680" s="12" t="str">
        <x:v>12sl_statements.csv；ecg_id=5600；statements_ext_snomed</x:v>
      </x:c>
      <x:c r="L680" s="12"/>
      <x:c r="M680" s="12" t="str">
        <x:v>negative</x:v>
      </x:c>
      <x:c r="N680" s="12"/>
      <x:c r="O680" s="12" t="str">
        <x:v>negative</x:v>
      </x:c>
      <x:c r="P680" s="12" t="str">
        <x:f>IF(OR(M680="unavailable",O680="unavailable"),"不可评价",IF(OR(M680="equivocal",O680="equivocal"),"疑似",IF(AND(M680="positive",O680="positive"),"a",IF(O680="positive","b",IF(M680="positive","c","d")))))</x:f>
        <x:v>d</x:v>
      </x:c>
      <x:c r="Q680" s="12"/>
      <x:c r="R680" s="12" t="str">
        <x:v>negative</x:v>
      </x:c>
      <x:c r="S680" s="12"/>
      <x:c r="T680" s="12" t="str">
        <x:v>negative</x:v>
      </x:c>
      <x:c r="U680" s="12" t="str">
        <x:f>IF(OR(R680="unavailable",T680="unavailable"),"不可评价",IF(OR(R680="equivocal",T680="equivocal"),"疑似",IF(AND(R680="positive",T680="positive"),"a",IF(T680="positive","b",IF(R680="positive","c","d")))))</x:f>
        <x:v>d</x:v>
      </x:c>
      <x:c r="V680" s="12"/>
      <x:c r="W680" s="12" t="str">
        <x:v>negative</x:v>
      </x:c>
      <x:c r="X680" s="12"/>
      <x:c r="Y680" s="12" t="str">
        <x:v>negative</x:v>
      </x:c>
      <x:c r="Z680" s="12" t="str">
        <x:f>IF(OR(W680="unavailable",Y680="unavailable"),"不可评价",IF(OR(W680="equivocal",Y680="equivocal"),"疑似",IF(AND(W680="positive",Y680="positive"),"a",IF(Y680="positive","b",IF(W680="positive","c","d")))))</x:f>
        <x:v>d</x:v>
      </x:c>
      <x:c r="AA680" s="12" t="str">
        <x:f>IF(OR(M680="unavailable",O680="unavailable"),"不可评价",IF(AND(OR(M680="positive",M680="equivocal"),OR(O680="positive",O680="equivocal")),"a",IF(OR(O680="positive",O680="equivocal"),"b",IF(OR(M680="positive",M680="equivocal"),"c","d"))))</x:f>
        <x:v>d</x:v>
      </x:c>
      <x:c r="AB680" s="12" t="str">
        <x:f>IF(OR(M680="unavailable",O680="unavailable"),"不可评价",IF(AND(M680="positive",O680="positive"),"a",IF(O680="positive","b",IF(M680="positive","c","d"))))</x:f>
        <x:v>d</x:v>
      </x:c>
      <x:c r="AC680" s="12" t="str">
        <x:f>IF(OR(R680="unavailable",T680="unavailable"),"不可评价",IF(AND(OR(R680="positive",R680="equivocal"),OR(T680="positive",T680="equivocal")),"a",IF(OR(T680="positive",T680="equivocal"),"b",IF(OR(R680="positive",R680="equivocal"),"c","d"))))</x:f>
        <x:v>d</x:v>
      </x:c>
      <x:c r="AD680" s="12" t="str">
        <x:f>IF(OR(R680="unavailable",T680="unavailable"),"不可评价",IF(AND(R680="positive",T680="positive"),"a",IF(T680="positive","b",IF(R680="positive","c","d"))))</x:f>
        <x:v>d</x:v>
      </x:c>
      <x:c r="AE680" s="12" t="str">
        <x:f>IF(OR(W680="unavailable",Y680="unavailable"),"不可评价",IF(AND(OR(W680="positive",W680="equivocal"),OR(Y680="positive",Y680="equivocal")),"a",IF(OR(Y680="positive",Y680="equivocal"),"b",IF(OR(W680="positive",W680="equivocal"),"c","d"))))</x:f>
        <x:v>d</x:v>
      </x:c>
      <x:c r="AF680" s="12" t="str">
        <x:f>IF(OR(W680="unavailable",Y680="unavailable"),"不可评价",IF(AND(W680="positive",Y680="positive"),"a",IF(Y680="positive","b",IF(W680="positive","c","d"))))</x:f>
        <x:v>d</x:v>
      </x:c>
    </x:row>
    <x:row r="681" ht="24" customHeight="1">
      <x:c r="A681" s="12" t="str">
        <x:v>5605</x:v>
      </x:c>
      <x:c r="B681" s="12" t="str">
        <x:v>20469</x:v>
      </x:c>
      <x:c r="C681" s="21" t="n">
        <x:v>33244.64454861111</x:v>
      </x:c>
      <x:c r="D681" s="12" t="n">
        <x:v>55</x:v>
      </x:c>
      <x:c r="E681" s="12" t="n">
        <x:v>0</x:v>
      </x:c>
      <x:c r="F681" s="12" t="str">
        <x:v>未记录</x:v>
      </x:c>
      <x:c r="G681" s="12" t="n">
        <x:v>1</x:v>
      </x:c>
      <x:c r="H681" s="12" t="str">
        <x:v>{'NORM': 35.0, 'SR': 0.0}</x:v>
      </x:c>
      <x:c r="I681" s="12" t="str">
        <x:v>[('NSR', 100.0), ('NML', 100.0)]</x:v>
      </x:c>
      <x:c r="J681" s="12" t="str">
        <x:v>ptbxl_database.csv；ecg_id=5605；scp_codes</x:v>
      </x:c>
      <x:c r="K681" s="12" t="str">
        <x:v>12sl_statements.csv；ecg_id=5605；statements_ext_snomed</x:v>
      </x:c>
      <x:c r="L681" s="12"/>
      <x:c r="M681" s="12" t="str">
        <x:v>negative</x:v>
      </x:c>
      <x:c r="N681" s="12"/>
      <x:c r="O681" s="12" t="str">
        <x:v>negative</x:v>
      </x:c>
      <x:c r="P681" s="12" t="str">
        <x:f>IF(OR(M681="unavailable",O681="unavailable"),"不可评价",IF(OR(M681="equivocal",O681="equivocal"),"疑似",IF(AND(M681="positive",O681="positive"),"a",IF(O681="positive","b",IF(M681="positive","c","d")))))</x:f>
        <x:v>d</x:v>
      </x:c>
      <x:c r="Q681" s="12"/>
      <x:c r="R681" s="12" t="str">
        <x:v>negative</x:v>
      </x:c>
      <x:c r="S681" s="12"/>
      <x:c r="T681" s="12" t="str">
        <x:v>negative</x:v>
      </x:c>
      <x:c r="U681" s="12" t="str">
        <x:f>IF(OR(R681="unavailable",T681="unavailable"),"不可评价",IF(OR(R681="equivocal",T681="equivocal"),"疑似",IF(AND(R681="positive",T681="positive"),"a",IF(T681="positive","b",IF(R681="positive","c","d")))))</x:f>
        <x:v>d</x:v>
      </x:c>
      <x:c r="V681" s="12"/>
      <x:c r="W681" s="12" t="str">
        <x:v>negative</x:v>
      </x:c>
      <x:c r="X681" s="12"/>
      <x:c r="Y681" s="12" t="str">
        <x:v>negative</x:v>
      </x:c>
      <x:c r="Z681" s="12" t="str">
        <x:f>IF(OR(W681="unavailable",Y681="unavailable"),"不可评价",IF(OR(W681="equivocal",Y681="equivocal"),"疑似",IF(AND(W681="positive",Y681="positive"),"a",IF(Y681="positive","b",IF(W681="positive","c","d")))))</x:f>
        <x:v>d</x:v>
      </x:c>
      <x:c r="AA681" s="12" t="str">
        <x:f>IF(OR(M681="unavailable",O681="unavailable"),"不可评价",IF(AND(OR(M681="positive",M681="equivocal"),OR(O681="positive",O681="equivocal")),"a",IF(OR(O681="positive",O681="equivocal"),"b",IF(OR(M681="positive",M681="equivocal"),"c","d"))))</x:f>
        <x:v>d</x:v>
      </x:c>
      <x:c r="AB681" s="12" t="str">
        <x:f>IF(OR(M681="unavailable",O681="unavailable"),"不可评价",IF(AND(M681="positive",O681="positive"),"a",IF(O681="positive","b",IF(M681="positive","c","d"))))</x:f>
        <x:v>d</x:v>
      </x:c>
      <x:c r="AC681" s="12" t="str">
        <x:f>IF(OR(R681="unavailable",T681="unavailable"),"不可评价",IF(AND(OR(R681="positive",R681="equivocal"),OR(T681="positive",T681="equivocal")),"a",IF(OR(T681="positive",T681="equivocal"),"b",IF(OR(R681="positive",R681="equivocal"),"c","d"))))</x:f>
        <x:v>d</x:v>
      </x:c>
      <x:c r="AD681" s="12" t="str">
        <x:f>IF(OR(R681="unavailable",T681="unavailable"),"不可评价",IF(AND(R681="positive",T681="positive"),"a",IF(T681="positive","b",IF(R681="positive","c","d"))))</x:f>
        <x:v>d</x:v>
      </x:c>
      <x:c r="AE681" s="12" t="str">
        <x:f>IF(OR(W681="unavailable",Y681="unavailable"),"不可评价",IF(AND(OR(W681="positive",W681="equivocal"),OR(Y681="positive",Y681="equivocal")),"a",IF(OR(Y681="positive",Y681="equivocal"),"b",IF(OR(W681="positive",W681="equivocal"),"c","d"))))</x:f>
        <x:v>d</x:v>
      </x:c>
      <x:c r="AF681" s="12" t="str">
        <x:f>IF(OR(W681="unavailable",Y681="unavailable"),"不可评价",IF(AND(W681="positive",Y681="positive"),"a",IF(Y681="positive","b",IF(W681="positive","c","d"))))</x:f>
        <x:v>d</x:v>
      </x:c>
    </x:row>
    <x:row r="682" ht="39" customHeight="1">
      <x:c r="A682" s="12" t="str">
        <x:v>5606</x:v>
      </x:c>
      <x:c r="B682" s="12" t="str">
        <x:v>11736</x:v>
      </x:c>
      <x:c r="C682" s="21" t="n">
        <x:v>33244.67318287037</x:v>
      </x:c>
      <x:c r="D682" s="12" t="n">
        <x:v>62</x:v>
      </x:c>
      <x:c r="E682" s="12" t="n">
        <x:v>1</x:v>
      </x:c>
      <x:c r="F682" s="12" t="str">
        <x:v>未记录</x:v>
      </x:c>
      <x:c r="G682" s="12" t="n">
        <x:v>1</x:v>
      </x:c>
      <x:c r="H682" s="12" t="str">
        <x:v>{'CLBBB': 100.0, 'DIG': 100.0}</x:v>
      </x:c>
      <x:c r="I682" s="12" t="str">
        <x:v>[('$SWQR', 100.0), ('IVCB', 100.0), ('SMI;AU', 15.0), ('IMI;AU', 100.0), ('LT', 100.0), ('AB', 100.0)]</x:v>
      </x:c>
      <x:c r="J682" s="12" t="str">
        <x:v>ptbxl_database.csv；ecg_id=5606；scp_codes</x:v>
      </x:c>
      <x:c r="K682" s="12" t="str">
        <x:v>12sl_statements.csv；ecg_id=5606；statements_ext_snomed</x:v>
      </x:c>
      <x:c r="L682" s="12"/>
      <x:c r="M682" s="12" t="str">
        <x:v>negative</x:v>
      </x:c>
      <x:c r="N682" s="12"/>
      <x:c r="O682" s="12" t="str">
        <x:v>negative</x:v>
      </x:c>
      <x:c r="P682" s="12" t="str">
        <x:f>IF(OR(M682="unavailable",O682="unavailable"),"不可评价",IF(OR(M682="equivocal",O682="equivocal"),"疑似",IF(AND(M682="positive",O682="positive"),"a",IF(O682="positive","b",IF(M682="positive","c","d")))))</x:f>
        <x:v>d</x:v>
      </x:c>
      <x:c r="Q682" s="12" t="n">
        <x:v>100</x:v>
      </x:c>
      <x:c r="R682" s="12" t="str">
        <x:v>positive</x:v>
      </x:c>
      <x:c r="S682" s="12"/>
      <x:c r="T682" s="12" t="str">
        <x:v>negative</x:v>
      </x:c>
      <x:c r="U682" s="12" t="str">
        <x:f>IF(OR(R682="unavailable",T682="unavailable"),"不可评价",IF(OR(R682="equivocal",T682="equivocal"),"疑似",IF(AND(R682="positive",T682="positive"),"a",IF(T682="positive","b",IF(R682="positive","c","d")))))</x:f>
        <x:v>c</x:v>
      </x:c>
      <x:c r="V682" s="12"/>
      <x:c r="W682" s="12" t="str">
        <x:v>negative</x:v>
      </x:c>
      <x:c r="X682" s="12"/>
      <x:c r="Y682" s="12" t="str">
        <x:v>negative</x:v>
      </x:c>
      <x:c r="Z682" s="12" t="str">
        <x:f>IF(OR(W682="unavailable",Y682="unavailable"),"不可评价",IF(OR(W682="equivocal",Y682="equivocal"),"疑似",IF(AND(W682="positive",Y682="positive"),"a",IF(Y682="positive","b",IF(W682="positive","c","d")))))</x:f>
        <x:v>d</x:v>
      </x:c>
      <x:c r="AA682" s="12" t="str">
        <x:f>IF(OR(M682="unavailable",O682="unavailable"),"不可评价",IF(AND(OR(M682="positive",M682="equivocal"),OR(O682="positive",O682="equivocal")),"a",IF(OR(O682="positive",O682="equivocal"),"b",IF(OR(M682="positive",M682="equivocal"),"c","d"))))</x:f>
        <x:v>d</x:v>
      </x:c>
      <x:c r="AB682" s="12" t="str">
        <x:f>IF(OR(M682="unavailable",O682="unavailable"),"不可评价",IF(AND(M682="positive",O682="positive"),"a",IF(O682="positive","b",IF(M682="positive","c","d"))))</x:f>
        <x:v>d</x:v>
      </x:c>
      <x:c r="AC682" s="12" t="str">
        <x:f>IF(OR(R682="unavailable",T682="unavailable"),"不可评价",IF(AND(OR(R682="positive",R682="equivocal"),OR(T682="positive",T682="equivocal")),"a",IF(OR(T682="positive",T682="equivocal"),"b",IF(OR(R682="positive",R682="equivocal"),"c","d"))))</x:f>
        <x:v>c</x:v>
      </x:c>
      <x:c r="AD682" s="12" t="str">
        <x:f>IF(OR(R682="unavailable",T682="unavailable"),"不可评价",IF(AND(R682="positive",T682="positive"),"a",IF(T682="positive","b",IF(R682="positive","c","d"))))</x:f>
        <x:v>c</x:v>
      </x:c>
      <x:c r="AE682" s="12" t="str">
        <x:f>IF(OR(W682="unavailable",Y682="unavailable"),"不可评价",IF(AND(OR(W682="positive",W682="equivocal"),OR(Y682="positive",Y682="equivocal")),"a",IF(OR(Y682="positive",Y682="equivocal"),"b",IF(OR(W682="positive",W682="equivocal"),"c","d"))))</x:f>
        <x:v>d</x:v>
      </x:c>
      <x:c r="AF682" s="12" t="str">
        <x:f>IF(OR(W682="unavailable",Y682="unavailable"),"不可评价",IF(AND(W682="positive",Y682="positive"),"a",IF(Y682="positive","b",IF(W682="positive","c","d"))))</x:f>
        <x:v>d</x:v>
      </x:c>
    </x:row>
    <x:row r="683" ht="24" customHeight="1">
      <x:c r="A683" s="12" t="str">
        <x:v>5628</x:v>
      </x:c>
      <x:c r="B683" s="12" t="str">
        <x:v>9751</x:v>
      </x:c>
      <x:c r="C683" s="21" t="n">
        <x:v>33248.61409722222</x:v>
      </x:c>
      <x:c r="D683" s="12" t="n">
        <x:v>72</x:v>
      </x:c>
      <x:c r="E683" s="12" t="n">
        <x:v>1</x:v>
      </x:c>
      <x:c r="F683" s="12" t="str">
        <x:v>未记录</x:v>
      </x:c>
      <x:c r="G683" s="12" t="n">
        <x:v>0</x:v>
      </x:c>
      <x:c r="H683" s="12" t="str">
        <x:v>{'IMI': 50.0, 'ABQRS': 0.0, 'SR': 0.0}</x:v>
      </x:c>
      <x:c r="I683" s="12" t="str">
        <x:v>[('NSR', 100.0), ('IRBBB', 100.0), ('BORDE', 100.0)]</x:v>
      </x:c>
      <x:c r="J683" s="12" t="str">
        <x:v>ptbxl_database.csv；ecg_id=5628；scp_codes</x:v>
      </x:c>
      <x:c r="K683" s="12" t="str">
        <x:v>12sl_statements.csv；ecg_id=5628；statements_ext_snomed</x:v>
      </x:c>
      <x:c r="L683" s="12"/>
      <x:c r="M683" s="12" t="str">
        <x:v>negative</x:v>
      </x:c>
      <x:c r="N683" s="12"/>
      <x:c r="O683" s="12" t="str">
        <x:v>negative</x:v>
      </x:c>
      <x:c r="P683" s="12" t="str">
        <x:f>IF(OR(M683="unavailable",O683="unavailable"),"不可评价",IF(OR(M683="equivocal",O683="equivocal"),"疑似",IF(AND(M683="positive",O683="positive"),"a",IF(O683="positive","b",IF(M683="positive","c","d")))))</x:f>
        <x:v>d</x:v>
      </x:c>
      <x:c r="Q683" s="12"/>
      <x:c r="R683" s="12" t="str">
        <x:v>negative</x:v>
      </x:c>
      <x:c r="S683" s="12"/>
      <x:c r="T683" s="12" t="str">
        <x:v>negative</x:v>
      </x:c>
      <x:c r="U683" s="12" t="str">
        <x:f>IF(OR(R683="unavailable",T683="unavailable"),"不可评价",IF(OR(R683="equivocal",T683="equivocal"),"疑似",IF(AND(R683="positive",T683="positive"),"a",IF(T683="positive","b",IF(R683="positive","c","d")))))</x:f>
        <x:v>d</x:v>
      </x:c>
      <x:c r="V683" s="12"/>
      <x:c r="W683" s="12" t="str">
        <x:v>negative</x:v>
      </x:c>
      <x:c r="X683" s="12"/>
      <x:c r="Y683" s="12" t="str">
        <x:v>negative</x:v>
      </x:c>
      <x:c r="Z683" s="12" t="str">
        <x:f>IF(OR(W683="unavailable",Y683="unavailable"),"不可评价",IF(OR(W683="equivocal",Y683="equivocal"),"疑似",IF(AND(W683="positive",Y683="positive"),"a",IF(Y683="positive","b",IF(W683="positive","c","d")))))</x:f>
        <x:v>d</x:v>
      </x:c>
      <x:c r="AA683" s="12" t="str">
        <x:f>IF(OR(M683="unavailable",O683="unavailable"),"不可评价",IF(AND(OR(M683="positive",M683="equivocal"),OR(O683="positive",O683="equivocal")),"a",IF(OR(O683="positive",O683="equivocal"),"b",IF(OR(M683="positive",M683="equivocal"),"c","d"))))</x:f>
        <x:v>d</x:v>
      </x:c>
      <x:c r="AB683" s="12" t="str">
        <x:f>IF(OR(M683="unavailable",O683="unavailable"),"不可评价",IF(AND(M683="positive",O683="positive"),"a",IF(O683="positive","b",IF(M683="positive","c","d"))))</x:f>
        <x:v>d</x:v>
      </x:c>
      <x:c r="AC683" s="12" t="str">
        <x:f>IF(OR(R683="unavailable",T683="unavailable"),"不可评价",IF(AND(OR(R683="positive",R683="equivocal"),OR(T683="positive",T683="equivocal")),"a",IF(OR(T683="positive",T683="equivocal"),"b",IF(OR(R683="positive",R683="equivocal"),"c","d"))))</x:f>
        <x:v>d</x:v>
      </x:c>
      <x:c r="AD683" s="12" t="str">
        <x:f>IF(OR(R683="unavailable",T683="unavailable"),"不可评价",IF(AND(R683="positive",T683="positive"),"a",IF(T683="positive","b",IF(R683="positive","c","d"))))</x:f>
        <x:v>d</x:v>
      </x:c>
      <x:c r="AE683" s="12" t="str">
        <x:f>IF(OR(W683="unavailable",Y683="unavailable"),"不可评价",IF(AND(OR(W683="positive",W683="equivocal"),OR(Y683="positive",Y683="equivocal")),"a",IF(OR(Y683="positive",Y683="equivocal"),"b",IF(OR(W683="positive",W683="equivocal"),"c","d"))))</x:f>
        <x:v>d</x:v>
      </x:c>
      <x:c r="AF683" s="12" t="str">
        <x:f>IF(OR(W683="unavailable",Y683="unavailable"),"不可评价",IF(AND(W683="positive",Y683="positive"),"a",IF(Y683="positive","b",IF(W683="positive","c","d"))))</x:f>
        <x:v>d</x:v>
      </x:c>
    </x:row>
    <x:row r="684" ht="24" customHeight="1">
      <x:c r="A684" s="12" t="str">
        <x:v>5635</x:v>
      </x:c>
      <x:c r="B684" s="12" t="str">
        <x:v>9751</x:v>
      </x:c>
      <x:c r="C684" s="21" t="n">
        <x:v>33250.37666666666</x:v>
      </x:c>
      <x:c r="D684" s="12" t="n">
        <x:v>72</x:v>
      </x:c>
      <x:c r="E684" s="12" t="n">
        <x:v>1</x:v>
      </x:c>
      <x:c r="F684" s="12" t="str">
        <x:v>未记录</x:v>
      </x:c>
      <x:c r="G684" s="12" t="n">
        <x:v>0</x:v>
      </x:c>
      <x:c r="H684" s="12" t="str">
        <x:v>{'IMI': 50.0, 'ABQRS': 0.0, 'SR': 0.0}</x:v>
      </x:c>
      <x:c r="I684" s="12" t="str">
        <x:v>[('NSR', 100.0), ('NML', 100.0)]</x:v>
      </x:c>
      <x:c r="J684" s="12" t="str">
        <x:v>ptbxl_database.csv；ecg_id=5635；scp_codes</x:v>
      </x:c>
      <x:c r="K684" s="12" t="str">
        <x:v>12sl_statements.csv；ecg_id=5635；statements_ext_snomed</x:v>
      </x:c>
      <x:c r="L684" s="12"/>
      <x:c r="M684" s="12" t="str">
        <x:v>negative</x:v>
      </x:c>
      <x:c r="N684" s="12"/>
      <x:c r="O684" s="12" t="str">
        <x:v>negative</x:v>
      </x:c>
      <x:c r="P684" s="12" t="str">
        <x:f>IF(OR(M684="unavailable",O684="unavailable"),"不可评价",IF(OR(M684="equivocal",O684="equivocal"),"疑似",IF(AND(M684="positive",O684="positive"),"a",IF(O684="positive","b",IF(M684="positive","c","d")))))</x:f>
        <x:v>d</x:v>
      </x:c>
      <x:c r="Q684" s="12"/>
      <x:c r="R684" s="12" t="str">
        <x:v>negative</x:v>
      </x:c>
      <x:c r="S684" s="12"/>
      <x:c r="T684" s="12" t="str">
        <x:v>negative</x:v>
      </x:c>
      <x:c r="U684" s="12" t="str">
        <x:f>IF(OR(R684="unavailable",T684="unavailable"),"不可评价",IF(OR(R684="equivocal",T684="equivocal"),"疑似",IF(AND(R684="positive",T684="positive"),"a",IF(T684="positive","b",IF(R684="positive","c","d")))))</x:f>
        <x:v>d</x:v>
      </x:c>
      <x:c r="V684" s="12"/>
      <x:c r="W684" s="12" t="str">
        <x:v>negative</x:v>
      </x:c>
      <x:c r="X684" s="12"/>
      <x:c r="Y684" s="12" t="str">
        <x:v>negative</x:v>
      </x:c>
      <x:c r="Z684" s="12" t="str">
        <x:f>IF(OR(W684="unavailable",Y684="unavailable"),"不可评价",IF(OR(W684="equivocal",Y684="equivocal"),"疑似",IF(AND(W684="positive",Y684="positive"),"a",IF(Y684="positive","b",IF(W684="positive","c","d")))))</x:f>
        <x:v>d</x:v>
      </x:c>
      <x:c r="AA684" s="12" t="str">
        <x:f>IF(OR(M684="unavailable",O684="unavailable"),"不可评价",IF(AND(OR(M684="positive",M684="equivocal"),OR(O684="positive",O684="equivocal")),"a",IF(OR(O684="positive",O684="equivocal"),"b",IF(OR(M684="positive",M684="equivocal"),"c","d"))))</x:f>
        <x:v>d</x:v>
      </x:c>
      <x:c r="AB684" s="12" t="str">
        <x:f>IF(OR(M684="unavailable",O684="unavailable"),"不可评价",IF(AND(M684="positive",O684="positive"),"a",IF(O684="positive","b",IF(M684="positive","c","d"))))</x:f>
        <x:v>d</x:v>
      </x:c>
      <x:c r="AC684" s="12" t="str">
        <x:f>IF(OR(R684="unavailable",T684="unavailable"),"不可评价",IF(AND(OR(R684="positive",R684="equivocal"),OR(T684="positive",T684="equivocal")),"a",IF(OR(T684="positive",T684="equivocal"),"b",IF(OR(R684="positive",R684="equivocal"),"c","d"))))</x:f>
        <x:v>d</x:v>
      </x:c>
      <x:c r="AD684" s="12" t="str">
        <x:f>IF(OR(R684="unavailable",T684="unavailable"),"不可评价",IF(AND(R684="positive",T684="positive"),"a",IF(T684="positive","b",IF(R684="positive","c","d"))))</x:f>
        <x:v>d</x:v>
      </x:c>
      <x:c r="AE684" s="12" t="str">
        <x:f>IF(OR(W684="unavailable",Y684="unavailable"),"不可评价",IF(AND(OR(W684="positive",W684="equivocal"),OR(Y684="positive",Y684="equivocal")),"a",IF(OR(Y684="positive",Y684="equivocal"),"b",IF(OR(W684="positive",W684="equivocal"),"c","d"))))</x:f>
        <x:v>d</x:v>
      </x:c>
      <x:c r="AF684" s="12" t="str">
        <x:f>IF(OR(W684="unavailable",Y684="unavailable"),"不可评价",IF(AND(W684="positive",Y684="positive"),"a",IF(Y684="positive","b",IF(W684="positive","c","d"))))</x:f>
        <x:v>d</x:v>
      </x:c>
    </x:row>
    <x:row r="685" ht="24" customHeight="1">
      <x:c r="A685" s="12" t="str">
        <x:v>5725</x:v>
      </x:c>
      <x:c r="B685" s="12" t="str">
        <x:v>532</x:v>
      </x:c>
      <x:c r="C685" s="21" t="n">
        <x:v>33265.52230324074</x:v>
      </x:c>
      <x:c r="D685" s="12" t="n">
        <x:v>59</x:v>
      </x:c>
      <x:c r="E685" s="12" t="n">
        <x:v>0</x:v>
      </x:c>
      <x:c r="F685" s="12" t="str">
        <x:v>未记录</x:v>
      </x:c>
      <x:c r="G685" s="12" t="n">
        <x:v>1</x:v>
      </x:c>
      <x:c r="H685" s="12" t="str">
        <x:v>{'NORM': 100.0, 'SR': 0.0}</x:v>
      </x:c>
      <x:c r="I685" s="12" t="str">
        <x:v>[('SBRAD', 100.0), ('BORDE', 100.0)]</x:v>
      </x:c>
      <x:c r="J685" s="12" t="str">
        <x:v>ptbxl_database.csv；ecg_id=5725；scp_codes</x:v>
      </x:c>
      <x:c r="K685" s="12" t="str">
        <x:v>12sl_statements.csv；ecg_id=5725；statements_ext_snomed</x:v>
      </x:c>
      <x:c r="L685" s="12"/>
      <x:c r="M685" s="12" t="str">
        <x:v>negative</x:v>
      </x:c>
      <x:c r="N685" s="12"/>
      <x:c r="O685" s="12" t="str">
        <x:v>negative</x:v>
      </x:c>
      <x:c r="P685" s="12" t="str">
        <x:f>IF(OR(M685="unavailable",O685="unavailable"),"不可评价",IF(OR(M685="equivocal",O685="equivocal"),"疑似",IF(AND(M685="positive",O685="positive"),"a",IF(O685="positive","b",IF(M685="positive","c","d")))))</x:f>
        <x:v>d</x:v>
      </x:c>
      <x:c r="Q685" s="12"/>
      <x:c r="R685" s="12" t="str">
        <x:v>negative</x:v>
      </x:c>
      <x:c r="S685" s="12"/>
      <x:c r="T685" s="12" t="str">
        <x:v>negative</x:v>
      </x:c>
      <x:c r="U685" s="12" t="str">
        <x:f>IF(OR(R685="unavailable",T685="unavailable"),"不可评价",IF(OR(R685="equivocal",T685="equivocal"),"疑似",IF(AND(R685="positive",T685="positive"),"a",IF(T685="positive","b",IF(R685="positive","c","d")))))</x:f>
        <x:v>d</x:v>
      </x:c>
      <x:c r="V685" s="12"/>
      <x:c r="W685" s="12" t="str">
        <x:v>negative</x:v>
      </x:c>
      <x:c r="X685" s="12"/>
      <x:c r="Y685" s="12" t="str">
        <x:v>negative</x:v>
      </x:c>
      <x:c r="Z685" s="12" t="str">
        <x:f>IF(OR(W685="unavailable",Y685="unavailable"),"不可评价",IF(OR(W685="equivocal",Y685="equivocal"),"疑似",IF(AND(W685="positive",Y685="positive"),"a",IF(Y685="positive","b",IF(W685="positive","c","d")))))</x:f>
        <x:v>d</x:v>
      </x:c>
      <x:c r="AA685" s="12" t="str">
        <x:f>IF(OR(M685="unavailable",O685="unavailable"),"不可评价",IF(AND(OR(M685="positive",M685="equivocal"),OR(O685="positive",O685="equivocal")),"a",IF(OR(O685="positive",O685="equivocal"),"b",IF(OR(M685="positive",M685="equivocal"),"c","d"))))</x:f>
        <x:v>d</x:v>
      </x:c>
      <x:c r="AB685" s="12" t="str">
        <x:f>IF(OR(M685="unavailable",O685="unavailable"),"不可评价",IF(AND(M685="positive",O685="positive"),"a",IF(O685="positive","b",IF(M685="positive","c","d"))))</x:f>
        <x:v>d</x:v>
      </x:c>
      <x:c r="AC685" s="12" t="str">
        <x:f>IF(OR(R685="unavailable",T685="unavailable"),"不可评价",IF(AND(OR(R685="positive",R685="equivocal"),OR(T685="positive",T685="equivocal")),"a",IF(OR(T685="positive",T685="equivocal"),"b",IF(OR(R685="positive",R685="equivocal"),"c","d"))))</x:f>
        <x:v>d</x:v>
      </x:c>
      <x:c r="AD685" s="12" t="str">
        <x:f>IF(OR(R685="unavailable",T685="unavailable"),"不可评价",IF(AND(R685="positive",T685="positive"),"a",IF(T685="positive","b",IF(R685="positive","c","d"))))</x:f>
        <x:v>d</x:v>
      </x:c>
      <x:c r="AE685" s="12" t="str">
        <x:f>IF(OR(W685="unavailable",Y685="unavailable"),"不可评价",IF(AND(OR(W685="positive",W685="equivocal"),OR(Y685="positive",Y685="equivocal")),"a",IF(OR(Y685="positive",Y685="equivocal"),"b",IF(OR(W685="positive",W685="equivocal"),"c","d"))))</x:f>
        <x:v>d</x:v>
      </x:c>
      <x:c r="AF685" s="12" t="str">
        <x:f>IF(OR(W685="unavailable",Y685="unavailable"),"不可评价",IF(AND(W685="positive",Y685="positive"),"a",IF(Y685="positive","b",IF(W685="positive","c","d"))))</x:f>
        <x:v>d</x:v>
      </x:c>
    </x:row>
    <x:row r="686" ht="24" customHeight="1">
      <x:c r="A686" s="12" t="str">
        <x:v>5737</x:v>
      </x:c>
      <x:c r="B686" s="12" t="str">
        <x:v>6208</x:v>
      </x:c>
      <x:c r="C686" s="21" t="n">
        <x:v>33266.57417824074</x:v>
      </x:c>
      <x:c r="D686" s="12" t="n">
        <x:v>41</x:v>
      </x:c>
      <x:c r="E686" s="12" t="n">
        <x:v>0</x:v>
      </x:c>
      <x:c r="F686" s="12" t="str">
        <x:v>未记录</x:v>
      </x:c>
      <x:c r="G686" s="12" t="n">
        <x:v>1</x:v>
      </x:c>
      <x:c r="H686" s="12" t="str">
        <x:v>{'NORM': 100.0, 'PVC': 0.0, 'SR': 0.0}</x:v>
      </x:c>
      <x:c r="I686" s="12" t="str">
        <x:v>[('SRTH', 100.0), ('PVC', 100.0), ('ABR', 100.0)]</x:v>
      </x:c>
      <x:c r="J686" s="12" t="str">
        <x:v>ptbxl_database.csv；ecg_id=5737；scp_codes</x:v>
      </x:c>
      <x:c r="K686" s="12" t="str">
        <x:v>12sl_statements.csv；ecg_id=5737；statements_ext_snomed</x:v>
      </x:c>
      <x:c r="L686" s="12"/>
      <x:c r="M686" s="12" t="str">
        <x:v>negative</x:v>
      </x:c>
      <x:c r="N686" s="12"/>
      <x:c r="O686" s="12" t="str">
        <x:v>negative</x:v>
      </x:c>
      <x:c r="P686" s="12" t="str">
        <x:f>IF(OR(M686="unavailable",O686="unavailable"),"不可评价",IF(OR(M686="equivocal",O686="equivocal"),"疑似",IF(AND(M686="positive",O686="positive"),"a",IF(O686="positive","b",IF(M686="positive","c","d")))))</x:f>
        <x:v>d</x:v>
      </x:c>
      <x:c r="Q686" s="12"/>
      <x:c r="R686" s="12" t="str">
        <x:v>negative</x:v>
      </x:c>
      <x:c r="S686" s="12"/>
      <x:c r="T686" s="12" t="str">
        <x:v>negative</x:v>
      </x:c>
      <x:c r="U686" s="12" t="str">
        <x:f>IF(OR(R686="unavailable",T686="unavailable"),"不可评价",IF(OR(R686="equivocal",T686="equivocal"),"疑似",IF(AND(R686="positive",T686="positive"),"a",IF(T686="positive","b",IF(R686="positive","c","d")))))</x:f>
        <x:v>d</x:v>
      </x:c>
      <x:c r="V686" s="12"/>
      <x:c r="W686" s="12" t="str">
        <x:v>negative</x:v>
      </x:c>
      <x:c r="X686" s="12"/>
      <x:c r="Y686" s="12" t="str">
        <x:v>negative</x:v>
      </x:c>
      <x:c r="Z686" s="12" t="str">
        <x:f>IF(OR(W686="unavailable",Y686="unavailable"),"不可评价",IF(OR(W686="equivocal",Y686="equivocal"),"疑似",IF(AND(W686="positive",Y686="positive"),"a",IF(Y686="positive","b",IF(W686="positive","c","d")))))</x:f>
        <x:v>d</x:v>
      </x:c>
      <x:c r="AA686" s="12" t="str">
        <x:f>IF(OR(M686="unavailable",O686="unavailable"),"不可评价",IF(AND(OR(M686="positive",M686="equivocal"),OR(O686="positive",O686="equivocal")),"a",IF(OR(O686="positive",O686="equivocal"),"b",IF(OR(M686="positive",M686="equivocal"),"c","d"))))</x:f>
        <x:v>d</x:v>
      </x:c>
      <x:c r="AB686" s="12" t="str">
        <x:f>IF(OR(M686="unavailable",O686="unavailable"),"不可评价",IF(AND(M686="positive",O686="positive"),"a",IF(O686="positive","b",IF(M686="positive","c","d"))))</x:f>
        <x:v>d</x:v>
      </x:c>
      <x:c r="AC686" s="12" t="str">
        <x:f>IF(OR(R686="unavailable",T686="unavailable"),"不可评价",IF(AND(OR(R686="positive",R686="equivocal"),OR(T686="positive",T686="equivocal")),"a",IF(OR(T686="positive",T686="equivocal"),"b",IF(OR(R686="positive",R686="equivocal"),"c","d"))))</x:f>
        <x:v>d</x:v>
      </x:c>
      <x:c r="AD686" s="12" t="str">
        <x:f>IF(OR(R686="unavailable",T686="unavailable"),"不可评价",IF(AND(R686="positive",T686="positive"),"a",IF(T686="positive","b",IF(R686="positive","c","d"))))</x:f>
        <x:v>d</x:v>
      </x:c>
      <x:c r="AE686" s="12" t="str">
        <x:f>IF(OR(W686="unavailable",Y686="unavailable"),"不可评价",IF(AND(OR(W686="positive",W686="equivocal"),OR(Y686="positive",Y686="equivocal")),"a",IF(OR(Y686="positive",Y686="equivocal"),"b",IF(OR(W686="positive",W686="equivocal"),"c","d"))))</x:f>
        <x:v>d</x:v>
      </x:c>
      <x:c r="AF686" s="12" t="str">
        <x:f>IF(OR(W686="unavailable",Y686="unavailable"),"不可评价",IF(AND(W686="positive",Y686="positive"),"a",IF(Y686="positive","b",IF(W686="positive","c","d"))))</x:f>
        <x:v>d</x:v>
      </x:c>
    </x:row>
    <x:row r="687" ht="24" customHeight="1">
      <x:c r="A687" s="12" t="str">
        <x:v>5738</x:v>
      </x:c>
      <x:c r="B687" s="12" t="str">
        <x:v>5077</x:v>
      </x:c>
      <x:c r="C687" s="21" t="n">
        <x:v>33266.72479166667</x:v>
      </x:c>
      <x:c r="D687" s="12" t="n">
        <x:v>61</x:v>
      </x:c>
      <x:c r="E687" s="12" t="n">
        <x:v>0</x:v>
      </x:c>
      <x:c r="F687" s="12" t="str">
        <x:v>未记录</x:v>
      </x:c>
      <x:c r="G687" s="12" t="n">
        <x:v>1</x:v>
      </x:c>
      <x:c r="H687" s="12" t="str">
        <x:v>{'NORM': 100.0, 'IVCD': 100.0, 'SR': 0.0}</x:v>
      </x:c>
      <x:c r="I687" s="12" t="str">
        <x:v>[('SBRAD', 100.0), ('ABR', 100.0)]</x:v>
      </x:c>
      <x:c r="J687" s="12" t="str">
        <x:v>ptbxl_database.csv；ecg_id=5738；scp_codes</x:v>
      </x:c>
      <x:c r="K687" s="12" t="str">
        <x:v>12sl_statements.csv；ecg_id=5738；statements_ext_snomed</x:v>
      </x:c>
      <x:c r="L687" s="12"/>
      <x:c r="M687" s="12" t="str">
        <x:v>negative</x:v>
      </x:c>
      <x:c r="N687" s="12"/>
      <x:c r="O687" s="12" t="str">
        <x:v>negative</x:v>
      </x:c>
      <x:c r="P687" s="12" t="str">
        <x:f>IF(OR(M687="unavailable",O687="unavailable"),"不可评价",IF(OR(M687="equivocal",O687="equivocal"),"疑似",IF(AND(M687="positive",O687="positive"),"a",IF(O687="positive","b",IF(M687="positive","c","d")))))</x:f>
        <x:v>d</x:v>
      </x:c>
      <x:c r="Q687" s="12"/>
      <x:c r="R687" s="12" t="str">
        <x:v>negative</x:v>
      </x:c>
      <x:c r="S687" s="12"/>
      <x:c r="T687" s="12" t="str">
        <x:v>negative</x:v>
      </x:c>
      <x:c r="U687" s="12" t="str">
        <x:f>IF(OR(R687="unavailable",T687="unavailable"),"不可评价",IF(OR(R687="equivocal",T687="equivocal"),"疑似",IF(AND(R687="positive",T687="positive"),"a",IF(T687="positive","b",IF(R687="positive","c","d")))))</x:f>
        <x:v>d</x:v>
      </x:c>
      <x:c r="V687" s="12"/>
      <x:c r="W687" s="12" t="str">
        <x:v>negative</x:v>
      </x:c>
      <x:c r="X687" s="12"/>
      <x:c r="Y687" s="12" t="str">
        <x:v>negative</x:v>
      </x:c>
      <x:c r="Z687" s="12" t="str">
        <x:f>IF(OR(W687="unavailable",Y687="unavailable"),"不可评价",IF(OR(W687="equivocal",Y687="equivocal"),"疑似",IF(AND(W687="positive",Y687="positive"),"a",IF(Y687="positive","b",IF(W687="positive","c","d")))))</x:f>
        <x:v>d</x:v>
      </x:c>
      <x:c r="AA687" s="12" t="str">
        <x:f>IF(OR(M687="unavailable",O687="unavailable"),"不可评价",IF(AND(OR(M687="positive",M687="equivocal"),OR(O687="positive",O687="equivocal")),"a",IF(OR(O687="positive",O687="equivocal"),"b",IF(OR(M687="positive",M687="equivocal"),"c","d"))))</x:f>
        <x:v>d</x:v>
      </x:c>
      <x:c r="AB687" s="12" t="str">
        <x:f>IF(OR(M687="unavailable",O687="unavailable"),"不可评价",IF(AND(M687="positive",O687="positive"),"a",IF(O687="positive","b",IF(M687="positive","c","d"))))</x:f>
        <x:v>d</x:v>
      </x:c>
      <x:c r="AC687" s="12" t="str">
        <x:f>IF(OR(R687="unavailable",T687="unavailable"),"不可评价",IF(AND(OR(R687="positive",R687="equivocal"),OR(T687="positive",T687="equivocal")),"a",IF(OR(T687="positive",T687="equivocal"),"b",IF(OR(R687="positive",R687="equivocal"),"c","d"))))</x:f>
        <x:v>d</x:v>
      </x:c>
      <x:c r="AD687" s="12" t="str">
        <x:f>IF(OR(R687="unavailable",T687="unavailable"),"不可评价",IF(AND(R687="positive",T687="positive"),"a",IF(T687="positive","b",IF(R687="positive","c","d"))))</x:f>
        <x:v>d</x:v>
      </x:c>
      <x:c r="AE687" s="12" t="str">
        <x:f>IF(OR(W687="unavailable",Y687="unavailable"),"不可评价",IF(AND(OR(W687="positive",W687="equivocal"),OR(Y687="positive",Y687="equivocal")),"a",IF(OR(Y687="positive",Y687="equivocal"),"b",IF(OR(W687="positive",W687="equivocal"),"c","d"))))</x:f>
        <x:v>d</x:v>
      </x:c>
      <x:c r="AF687" s="12" t="str">
        <x:f>IF(OR(W687="unavailable",Y687="unavailable"),"不可评价",IF(AND(W687="positive",Y687="positive"),"a",IF(Y687="positive","b",IF(W687="positive","c","d"))))</x:f>
        <x:v>d</x:v>
      </x:c>
    </x:row>
    <x:row r="688" ht="24" customHeight="1">
      <x:c r="A688" s="12" t="str">
        <x:v>5743</x:v>
      </x:c>
      <x:c r="B688" s="12" t="str">
        <x:v>532</x:v>
      </x:c>
      <x:c r="C688" s="21" t="n">
        <x:v>33267.48028935185</x:v>
      </x:c>
      <x:c r="D688" s="12" t="n">
        <x:v>59</x:v>
      </x:c>
      <x:c r="E688" s="12" t="n">
        <x:v>0</x:v>
      </x:c>
      <x:c r="F688" s="12" t="str">
        <x:v>未记录</x:v>
      </x:c>
      <x:c r="G688" s="12" t="n">
        <x:v>0</x:v>
      </x:c>
      <x:c r="H688" s="12" t="str">
        <x:v>{'NORM': 100.0, 'SR': 0.0}</x:v>
      </x:c>
      <x:c r="I688" s="12" t="str">
        <x:v>[('NSR', 100.0), ('NML', 100.0)]</x:v>
      </x:c>
      <x:c r="J688" s="12" t="str">
        <x:v>ptbxl_database.csv；ecg_id=5743；scp_codes</x:v>
      </x:c>
      <x:c r="K688" s="12" t="str">
        <x:v>12sl_statements.csv；ecg_id=5743；statements_ext_snomed</x:v>
      </x:c>
      <x:c r="L688" s="12"/>
      <x:c r="M688" s="12" t="str">
        <x:v>negative</x:v>
      </x:c>
      <x:c r="N688" s="12"/>
      <x:c r="O688" s="12" t="str">
        <x:v>negative</x:v>
      </x:c>
      <x:c r="P688" s="12" t="str">
        <x:f>IF(OR(M688="unavailable",O688="unavailable"),"不可评价",IF(OR(M688="equivocal",O688="equivocal"),"疑似",IF(AND(M688="positive",O688="positive"),"a",IF(O688="positive","b",IF(M688="positive","c","d")))))</x:f>
        <x:v>d</x:v>
      </x:c>
      <x:c r="Q688" s="12"/>
      <x:c r="R688" s="12" t="str">
        <x:v>negative</x:v>
      </x:c>
      <x:c r="S688" s="12"/>
      <x:c r="T688" s="12" t="str">
        <x:v>negative</x:v>
      </x:c>
      <x:c r="U688" s="12" t="str">
        <x:f>IF(OR(R688="unavailable",T688="unavailable"),"不可评价",IF(OR(R688="equivocal",T688="equivocal"),"疑似",IF(AND(R688="positive",T688="positive"),"a",IF(T688="positive","b",IF(R688="positive","c","d")))))</x:f>
        <x:v>d</x:v>
      </x:c>
      <x:c r="V688" s="12"/>
      <x:c r="W688" s="12" t="str">
        <x:v>negative</x:v>
      </x:c>
      <x:c r="X688" s="12"/>
      <x:c r="Y688" s="12" t="str">
        <x:v>negative</x:v>
      </x:c>
      <x:c r="Z688" s="12" t="str">
        <x:f>IF(OR(W688="unavailable",Y688="unavailable"),"不可评价",IF(OR(W688="equivocal",Y688="equivocal"),"疑似",IF(AND(W688="positive",Y688="positive"),"a",IF(Y688="positive","b",IF(W688="positive","c","d")))))</x:f>
        <x:v>d</x:v>
      </x:c>
      <x:c r="AA688" s="12" t="str">
        <x:f>IF(OR(M688="unavailable",O688="unavailable"),"不可评价",IF(AND(OR(M688="positive",M688="equivocal"),OR(O688="positive",O688="equivocal")),"a",IF(OR(O688="positive",O688="equivocal"),"b",IF(OR(M688="positive",M688="equivocal"),"c","d"))))</x:f>
        <x:v>d</x:v>
      </x:c>
      <x:c r="AB688" s="12" t="str">
        <x:f>IF(OR(M688="unavailable",O688="unavailable"),"不可评价",IF(AND(M688="positive",O688="positive"),"a",IF(O688="positive","b",IF(M688="positive","c","d"))))</x:f>
        <x:v>d</x:v>
      </x:c>
      <x:c r="AC688" s="12" t="str">
        <x:f>IF(OR(R688="unavailable",T688="unavailable"),"不可评价",IF(AND(OR(R688="positive",R688="equivocal"),OR(T688="positive",T688="equivocal")),"a",IF(OR(T688="positive",T688="equivocal"),"b",IF(OR(R688="positive",R688="equivocal"),"c","d"))))</x:f>
        <x:v>d</x:v>
      </x:c>
      <x:c r="AD688" s="12" t="str">
        <x:f>IF(OR(R688="unavailable",T688="unavailable"),"不可评价",IF(AND(R688="positive",T688="positive"),"a",IF(T688="positive","b",IF(R688="positive","c","d"))))</x:f>
        <x:v>d</x:v>
      </x:c>
      <x:c r="AE688" s="12" t="str">
        <x:f>IF(OR(W688="unavailable",Y688="unavailable"),"不可评价",IF(AND(OR(W688="positive",W688="equivocal"),OR(Y688="positive",Y688="equivocal")),"a",IF(OR(Y688="positive",Y688="equivocal"),"b",IF(OR(W688="positive",W688="equivocal"),"c","d"))))</x:f>
        <x:v>d</x:v>
      </x:c>
      <x:c r="AF688" s="12" t="str">
        <x:f>IF(OR(W688="unavailable",Y688="unavailable"),"不可评价",IF(AND(W688="positive",Y688="positive"),"a",IF(Y688="positive","b",IF(W688="positive","c","d"))))</x:f>
        <x:v>d</x:v>
      </x:c>
    </x:row>
    <x:row r="689" ht="24" customHeight="1">
      <x:c r="A689" s="12" t="str">
        <x:v>5753</x:v>
      </x:c>
      <x:c r="B689" s="12" t="str">
        <x:v>10094</x:v>
      </x:c>
      <x:c r="C689" s="21" t="n">
        <x:v>33268.508622685185</x:v>
      </x:c>
      <x:c r="D689" s="12" t="n">
        <x:v>18</x:v>
      </x:c>
      <x:c r="E689" s="12" t="n">
        <x:v>1</x:v>
      </x:c>
      <x:c r="F689" s="12" t="str">
        <x:v>存在</x:v>
      </x:c>
      <x:c r="G689" s="12" t="n">
        <x:v>1</x:v>
      </x:c>
      <x:c r="H689" s="12" t="str">
        <x:v>{'NORM': 100.0, 'SR': 0.0}</x:v>
      </x:c>
      <x:c r="I689" s="12" t="str">
        <x:v>[('SBRAD', 100.0), ('SAR', 100.0), ('ABR', 100.0)]</x:v>
      </x:c>
      <x:c r="J689" s="12" t="str">
        <x:v>ptbxl_database.csv；ecg_id=5753；scp_codes</x:v>
      </x:c>
      <x:c r="K689" s="12" t="str">
        <x:v>12sl_statements.csv；ecg_id=5753；statements_ext_snomed</x:v>
      </x:c>
      <x:c r="L689" s="12"/>
      <x:c r="M689" s="12" t="str">
        <x:v>negative</x:v>
      </x:c>
      <x:c r="N689" s="12"/>
      <x:c r="O689" s="12" t="str">
        <x:v>negative</x:v>
      </x:c>
      <x:c r="P689" s="12" t="str">
        <x:f>IF(OR(M689="unavailable",O689="unavailable"),"不可评价",IF(OR(M689="equivocal",O689="equivocal"),"疑似",IF(AND(M689="positive",O689="positive"),"a",IF(O689="positive","b",IF(M689="positive","c","d")))))</x:f>
        <x:v>d</x:v>
      </x:c>
      <x:c r="Q689" s="12"/>
      <x:c r="R689" s="12" t="str">
        <x:v>negative</x:v>
      </x:c>
      <x:c r="S689" s="12"/>
      <x:c r="T689" s="12" t="str">
        <x:v>negative</x:v>
      </x:c>
      <x:c r="U689" s="12" t="str">
        <x:f>IF(OR(R689="unavailable",T689="unavailable"),"不可评价",IF(OR(R689="equivocal",T689="equivocal"),"疑似",IF(AND(R689="positive",T689="positive"),"a",IF(T689="positive","b",IF(R689="positive","c","d")))))</x:f>
        <x:v>d</x:v>
      </x:c>
      <x:c r="V689" s="12"/>
      <x:c r="W689" s="12" t="str">
        <x:v>negative</x:v>
      </x:c>
      <x:c r="X689" s="12"/>
      <x:c r="Y689" s="12" t="str">
        <x:v>negative</x:v>
      </x:c>
      <x:c r="Z689" s="12" t="str">
        <x:f>IF(OR(W689="unavailable",Y689="unavailable"),"不可评价",IF(OR(W689="equivocal",Y689="equivocal"),"疑似",IF(AND(W689="positive",Y689="positive"),"a",IF(Y689="positive","b",IF(W689="positive","c","d")))))</x:f>
        <x:v>d</x:v>
      </x:c>
      <x:c r="AA689" s="12" t="str">
        <x:f>IF(OR(M689="unavailable",O689="unavailable"),"不可评价",IF(AND(OR(M689="positive",M689="equivocal"),OR(O689="positive",O689="equivocal")),"a",IF(OR(O689="positive",O689="equivocal"),"b",IF(OR(M689="positive",M689="equivocal"),"c","d"))))</x:f>
        <x:v>d</x:v>
      </x:c>
      <x:c r="AB689" s="12" t="str">
        <x:f>IF(OR(M689="unavailable",O689="unavailable"),"不可评价",IF(AND(M689="positive",O689="positive"),"a",IF(O689="positive","b",IF(M689="positive","c","d"))))</x:f>
        <x:v>d</x:v>
      </x:c>
      <x:c r="AC689" s="12" t="str">
        <x:f>IF(OR(R689="unavailable",T689="unavailable"),"不可评价",IF(AND(OR(R689="positive",R689="equivocal"),OR(T689="positive",T689="equivocal")),"a",IF(OR(T689="positive",T689="equivocal"),"b",IF(OR(R689="positive",R689="equivocal"),"c","d"))))</x:f>
        <x:v>d</x:v>
      </x:c>
      <x:c r="AD689" s="12" t="str">
        <x:f>IF(OR(R689="unavailable",T689="unavailable"),"不可评价",IF(AND(R689="positive",T689="positive"),"a",IF(T689="positive","b",IF(R689="positive","c","d"))))</x:f>
        <x:v>d</x:v>
      </x:c>
      <x:c r="AE689" s="12" t="str">
        <x:f>IF(OR(W689="unavailable",Y689="unavailable"),"不可评价",IF(AND(OR(W689="positive",W689="equivocal"),OR(Y689="positive",Y689="equivocal")),"a",IF(OR(Y689="positive",Y689="equivocal"),"b",IF(OR(W689="positive",W689="equivocal"),"c","d"))))</x:f>
        <x:v>d</x:v>
      </x:c>
      <x:c r="AF689" s="12" t="str">
        <x:f>IF(OR(W689="unavailable",Y689="unavailable"),"不可评价",IF(AND(W689="positive",Y689="positive"),"a",IF(Y689="positive","b",IF(W689="positive","c","d"))))</x:f>
        <x:v>d</x:v>
      </x:c>
    </x:row>
    <x:row r="690" ht="24" customHeight="1">
      <x:c r="A690" s="12" t="str">
        <x:v>5771</x:v>
      </x:c>
      <x:c r="B690" s="12" t="str">
        <x:v>16197</x:v>
      </x:c>
      <x:c r="C690" s="21" t="n">
        <x:v>33271.50162037037</x:v>
      </x:c>
      <x:c r="D690" s="12" t="n">
        <x:v>35</x:v>
      </x:c>
      <x:c r="E690" s="12" t="n">
        <x:v>0</x:v>
      </x:c>
      <x:c r="F690" s="12" t="str">
        <x:v>存在</x:v>
      </x:c>
      <x:c r="G690" s="12" t="n">
        <x:v>1</x:v>
      </x:c>
      <x:c r="H690" s="12" t="str">
        <x:v>{'NORM': 80.0, 'SR': 0.0}</x:v>
      </x:c>
      <x:c r="I690" s="12" t="str">
        <x:v>[('NSR', 100.0), ('NML', 100.0)]</x:v>
      </x:c>
      <x:c r="J690" s="12" t="str">
        <x:v>ptbxl_database.csv；ecg_id=5771；scp_codes</x:v>
      </x:c>
      <x:c r="K690" s="12" t="str">
        <x:v>12sl_statements.csv；ecg_id=5771；statements_ext_snomed</x:v>
      </x:c>
      <x:c r="L690" s="12"/>
      <x:c r="M690" s="12" t="str">
        <x:v>negative</x:v>
      </x:c>
      <x:c r="N690" s="12"/>
      <x:c r="O690" s="12" t="str">
        <x:v>negative</x:v>
      </x:c>
      <x:c r="P690" s="12" t="str">
        <x:f>IF(OR(M690="unavailable",O690="unavailable"),"不可评价",IF(OR(M690="equivocal",O690="equivocal"),"疑似",IF(AND(M690="positive",O690="positive"),"a",IF(O690="positive","b",IF(M690="positive","c","d")))))</x:f>
        <x:v>d</x:v>
      </x:c>
      <x:c r="Q690" s="12"/>
      <x:c r="R690" s="12" t="str">
        <x:v>negative</x:v>
      </x:c>
      <x:c r="S690" s="12"/>
      <x:c r="T690" s="12" t="str">
        <x:v>negative</x:v>
      </x:c>
      <x:c r="U690" s="12" t="str">
        <x:f>IF(OR(R690="unavailable",T690="unavailable"),"不可评价",IF(OR(R690="equivocal",T690="equivocal"),"疑似",IF(AND(R690="positive",T690="positive"),"a",IF(T690="positive","b",IF(R690="positive","c","d")))))</x:f>
        <x:v>d</x:v>
      </x:c>
      <x:c r="V690" s="12"/>
      <x:c r="W690" s="12" t="str">
        <x:v>negative</x:v>
      </x:c>
      <x:c r="X690" s="12"/>
      <x:c r="Y690" s="12" t="str">
        <x:v>negative</x:v>
      </x:c>
      <x:c r="Z690" s="12" t="str">
        <x:f>IF(OR(W690="unavailable",Y690="unavailable"),"不可评价",IF(OR(W690="equivocal",Y690="equivocal"),"疑似",IF(AND(W690="positive",Y690="positive"),"a",IF(Y690="positive","b",IF(W690="positive","c","d")))))</x:f>
        <x:v>d</x:v>
      </x:c>
      <x:c r="AA690" s="12" t="str">
        <x:f>IF(OR(M690="unavailable",O690="unavailable"),"不可评价",IF(AND(OR(M690="positive",M690="equivocal"),OR(O690="positive",O690="equivocal")),"a",IF(OR(O690="positive",O690="equivocal"),"b",IF(OR(M690="positive",M690="equivocal"),"c","d"))))</x:f>
        <x:v>d</x:v>
      </x:c>
      <x:c r="AB690" s="12" t="str">
        <x:f>IF(OR(M690="unavailable",O690="unavailable"),"不可评价",IF(AND(M690="positive",O690="positive"),"a",IF(O690="positive","b",IF(M690="positive","c","d"))))</x:f>
        <x:v>d</x:v>
      </x:c>
      <x:c r="AC690" s="12" t="str">
        <x:f>IF(OR(R690="unavailable",T690="unavailable"),"不可评价",IF(AND(OR(R690="positive",R690="equivocal"),OR(T690="positive",T690="equivocal")),"a",IF(OR(T690="positive",T690="equivocal"),"b",IF(OR(R690="positive",R690="equivocal"),"c","d"))))</x:f>
        <x:v>d</x:v>
      </x:c>
      <x:c r="AD690" s="12" t="str">
        <x:f>IF(OR(R690="unavailable",T690="unavailable"),"不可评价",IF(AND(R690="positive",T690="positive"),"a",IF(T690="positive","b",IF(R690="positive","c","d"))))</x:f>
        <x:v>d</x:v>
      </x:c>
      <x:c r="AE690" s="12" t="str">
        <x:f>IF(OR(W690="unavailable",Y690="unavailable"),"不可评价",IF(AND(OR(W690="positive",W690="equivocal"),OR(Y690="positive",Y690="equivocal")),"a",IF(OR(Y690="positive",Y690="equivocal"),"b",IF(OR(W690="positive",W690="equivocal"),"c","d"))))</x:f>
        <x:v>d</x:v>
      </x:c>
      <x:c r="AF690" s="12" t="str">
        <x:f>IF(OR(W690="unavailable",Y690="unavailable"),"不可评价",IF(AND(W690="positive",Y690="positive"),"a",IF(Y690="positive","b",IF(W690="positive","c","d"))))</x:f>
        <x:v>d</x:v>
      </x:c>
    </x:row>
    <x:row r="691" ht="39" customHeight="1">
      <x:c r="A691" s="12" t="str">
        <x:v>5777</x:v>
      </x:c>
      <x:c r="B691" s="12" t="str">
        <x:v>16862</x:v>
      </x:c>
      <x:c r="C691" s="21" t="n">
        <x:v>33272.69094907407</x:v>
      </x:c>
      <x:c r="D691" s="12" t="n">
        <x:v>85</x:v>
      </x:c>
      <x:c r="E691" s="12" t="n">
        <x:v>1</x:v>
      </x:c>
      <x:c r="F691" s="12" t="str">
        <x:v>未记录</x:v>
      </x:c>
      <x:c r="G691" s="12" t="n">
        <x:v>1</x:v>
      </x:c>
      <x:c r="H691" s="12" t="str">
        <x:v>{'IMI': 100.0, 'PVC': 100.0, 'ABQRS': 0.0, 'AFIB': 0.0}</x:v>
      </x:c>
      <x:c r="I691" s="12" t="str">
        <x:v>[('SRTH', 100.0), ('MSAR', 100.0), ('PAC', 100.0), ('$SABCOND', 100.0), ('ABR', 100.0)]</x:v>
      </x:c>
      <x:c r="J691" s="12" t="str">
        <x:v>ptbxl_database.csv；ecg_id=5777；scp_codes</x:v>
      </x:c>
      <x:c r="K691" s="12" t="str">
        <x:v>12sl_statements.csv；ecg_id=5777；statements_ext_snomed</x:v>
      </x:c>
      <x:c r="L691" s="12" t="n">
        <x:v>0</x:v>
      </x:c>
      <x:c r="M691" s="12" t="str">
        <x:v>positive</x:v>
      </x:c>
      <x:c r="N691" s="12"/>
      <x:c r="O691" s="12" t="str">
        <x:v>negative</x:v>
      </x:c>
      <x:c r="P691" s="12" t="str">
        <x:f>IF(OR(M691="unavailable",O691="unavailable"),"不可评价",IF(OR(M691="equivocal",O691="equivocal"),"疑似",IF(AND(M691="positive",O691="positive"),"a",IF(O691="positive","b",IF(M691="positive","c","d")))))</x:f>
        <x:v>c</x:v>
      </x:c>
      <x:c r="Q691" s="12"/>
      <x:c r="R691" s="12" t="str">
        <x:v>negative</x:v>
      </x:c>
      <x:c r="S691" s="12"/>
      <x:c r="T691" s="12" t="str">
        <x:v>negative</x:v>
      </x:c>
      <x:c r="U691" s="12" t="str">
        <x:f>IF(OR(R691="unavailable",T691="unavailable"),"不可评价",IF(OR(R691="equivocal",T691="equivocal"),"疑似",IF(AND(R691="positive",T691="positive"),"a",IF(T691="positive","b",IF(R691="positive","c","d")))))</x:f>
        <x:v>d</x:v>
      </x:c>
      <x:c r="V691" s="12"/>
      <x:c r="W691" s="12" t="str">
        <x:v>negative</x:v>
      </x:c>
      <x:c r="X691" s="12"/>
      <x:c r="Y691" s="12" t="str">
        <x:v>negative</x:v>
      </x:c>
      <x:c r="Z691" s="12" t="str">
        <x:f>IF(OR(W691="unavailable",Y691="unavailable"),"不可评价",IF(OR(W691="equivocal",Y691="equivocal"),"疑似",IF(AND(W691="positive",Y691="positive"),"a",IF(Y691="positive","b",IF(W691="positive","c","d")))))</x:f>
        <x:v>d</x:v>
      </x:c>
      <x:c r="AA691" s="12" t="str">
        <x:f>IF(OR(M691="unavailable",O691="unavailable"),"不可评价",IF(AND(OR(M691="positive",M691="equivocal"),OR(O691="positive",O691="equivocal")),"a",IF(OR(O691="positive",O691="equivocal"),"b",IF(OR(M691="positive",M691="equivocal"),"c","d"))))</x:f>
        <x:v>c</x:v>
      </x:c>
      <x:c r="AB691" s="12" t="str">
        <x:f>IF(OR(M691="unavailable",O691="unavailable"),"不可评价",IF(AND(M691="positive",O691="positive"),"a",IF(O691="positive","b",IF(M691="positive","c","d"))))</x:f>
        <x:v>c</x:v>
      </x:c>
      <x:c r="AC691" s="12" t="str">
        <x:f>IF(OR(R691="unavailable",T691="unavailable"),"不可评价",IF(AND(OR(R691="positive",R691="equivocal"),OR(T691="positive",T691="equivocal")),"a",IF(OR(T691="positive",T691="equivocal"),"b",IF(OR(R691="positive",R691="equivocal"),"c","d"))))</x:f>
        <x:v>d</x:v>
      </x:c>
      <x:c r="AD691" s="12" t="str">
        <x:f>IF(OR(R691="unavailable",T691="unavailable"),"不可评价",IF(AND(R691="positive",T691="positive"),"a",IF(T691="positive","b",IF(R691="positive","c","d"))))</x:f>
        <x:v>d</x:v>
      </x:c>
      <x:c r="AE691" s="12" t="str">
        <x:f>IF(OR(W691="unavailable",Y691="unavailable"),"不可评价",IF(AND(OR(W691="positive",W691="equivocal"),OR(Y691="positive",Y691="equivocal")),"a",IF(OR(Y691="positive",Y691="equivocal"),"b",IF(OR(W691="positive",W691="equivocal"),"c","d"))))</x:f>
        <x:v>d</x:v>
      </x:c>
      <x:c r="AF691" s="12" t="str">
        <x:f>IF(OR(W691="unavailable",Y691="unavailable"),"不可评价",IF(AND(W691="positive",Y691="positive"),"a",IF(Y691="positive","b",IF(W691="positive","c","d"))))</x:f>
        <x:v>d</x:v>
      </x:c>
    </x:row>
    <x:row r="692" ht="24" customHeight="1">
      <x:c r="A692" s="12" t="str">
        <x:v>5784</x:v>
      </x:c>
      <x:c r="B692" s="12" t="str">
        <x:v>17693</x:v>
      </x:c>
      <x:c r="C692" s="21" t="n">
        <x:v>33275.366793981484</x:v>
      </x:c>
      <x:c r="D692" s="12" t="n">
        <x:v>61</x:v>
      </x:c>
      <x:c r="E692" s="12" t="n">
        <x:v>1</x:v>
      </x:c>
      <x:c r="F692" s="12" t="str">
        <x:v>存在</x:v>
      </x:c>
      <x:c r="G692" s="12" t="n">
        <x:v>1</x:v>
      </x:c>
      <x:c r="H692" s="12" t="str">
        <x:v>{'NORM': 100.0, 'SR': 0.0}</x:v>
      </x:c>
      <x:c r="I692" s="12" t="str">
        <x:v>[('NSR', 100.0), ('NML', 100.0)]</x:v>
      </x:c>
      <x:c r="J692" s="12" t="str">
        <x:v>ptbxl_database.csv；ecg_id=5784；scp_codes</x:v>
      </x:c>
      <x:c r="K692" s="12" t="str">
        <x:v>12sl_statements.csv；ecg_id=5784；statements_ext_snomed</x:v>
      </x:c>
      <x:c r="L692" s="12"/>
      <x:c r="M692" s="12" t="str">
        <x:v>negative</x:v>
      </x:c>
      <x:c r="N692" s="12"/>
      <x:c r="O692" s="12" t="str">
        <x:v>negative</x:v>
      </x:c>
      <x:c r="P692" s="12" t="str">
        <x:f>IF(OR(M692="unavailable",O692="unavailable"),"不可评价",IF(OR(M692="equivocal",O692="equivocal"),"疑似",IF(AND(M692="positive",O692="positive"),"a",IF(O692="positive","b",IF(M692="positive","c","d")))))</x:f>
        <x:v>d</x:v>
      </x:c>
      <x:c r="Q692" s="12"/>
      <x:c r="R692" s="12" t="str">
        <x:v>negative</x:v>
      </x:c>
      <x:c r="S692" s="12"/>
      <x:c r="T692" s="12" t="str">
        <x:v>negative</x:v>
      </x:c>
      <x:c r="U692" s="12" t="str">
        <x:f>IF(OR(R692="unavailable",T692="unavailable"),"不可评价",IF(OR(R692="equivocal",T692="equivocal"),"疑似",IF(AND(R692="positive",T692="positive"),"a",IF(T692="positive","b",IF(R692="positive","c","d")))))</x:f>
        <x:v>d</x:v>
      </x:c>
      <x:c r="V692" s="12"/>
      <x:c r="W692" s="12" t="str">
        <x:v>negative</x:v>
      </x:c>
      <x:c r="X692" s="12"/>
      <x:c r="Y692" s="12" t="str">
        <x:v>negative</x:v>
      </x:c>
      <x:c r="Z692" s="12" t="str">
        <x:f>IF(OR(W692="unavailable",Y692="unavailable"),"不可评价",IF(OR(W692="equivocal",Y692="equivocal"),"疑似",IF(AND(W692="positive",Y692="positive"),"a",IF(Y692="positive","b",IF(W692="positive","c","d")))))</x:f>
        <x:v>d</x:v>
      </x:c>
      <x:c r="AA692" s="12" t="str">
        <x:f>IF(OR(M692="unavailable",O692="unavailable"),"不可评价",IF(AND(OR(M692="positive",M692="equivocal"),OR(O692="positive",O692="equivocal")),"a",IF(OR(O692="positive",O692="equivocal"),"b",IF(OR(M692="positive",M692="equivocal"),"c","d"))))</x:f>
        <x:v>d</x:v>
      </x:c>
      <x:c r="AB692" s="12" t="str">
        <x:f>IF(OR(M692="unavailable",O692="unavailable"),"不可评价",IF(AND(M692="positive",O692="positive"),"a",IF(O692="positive","b",IF(M692="positive","c","d"))))</x:f>
        <x:v>d</x:v>
      </x:c>
      <x:c r="AC692" s="12" t="str">
        <x:f>IF(OR(R692="unavailable",T692="unavailable"),"不可评价",IF(AND(OR(R692="positive",R692="equivocal"),OR(T692="positive",T692="equivocal")),"a",IF(OR(T692="positive",T692="equivocal"),"b",IF(OR(R692="positive",R692="equivocal"),"c","d"))))</x:f>
        <x:v>d</x:v>
      </x:c>
      <x:c r="AD692" s="12" t="str">
        <x:f>IF(OR(R692="unavailable",T692="unavailable"),"不可评价",IF(AND(R692="positive",T692="positive"),"a",IF(T692="positive","b",IF(R692="positive","c","d"))))</x:f>
        <x:v>d</x:v>
      </x:c>
      <x:c r="AE692" s="12" t="str">
        <x:f>IF(OR(W692="unavailable",Y692="unavailable"),"不可评价",IF(AND(OR(W692="positive",W692="equivocal"),OR(Y692="positive",Y692="equivocal")),"a",IF(OR(Y692="positive",Y692="equivocal"),"b",IF(OR(W692="positive",W692="equivocal"),"c","d"))))</x:f>
        <x:v>d</x:v>
      </x:c>
      <x:c r="AF692" s="12" t="str">
        <x:f>IF(OR(W692="unavailable",Y692="unavailable"),"不可评价",IF(AND(W692="positive",Y692="positive"),"a",IF(Y692="positive","b",IF(W692="positive","c","d"))))</x:f>
        <x:v>d</x:v>
      </x:c>
    </x:row>
    <x:row r="693" ht="24" customHeight="1">
      <x:c r="A693" s="12" t="str">
        <x:v>5804</x:v>
      </x:c>
      <x:c r="B693" s="12" t="str">
        <x:v>8809</x:v>
      </x:c>
      <x:c r="C693" s="21" t="n">
        <x:v>33282.37287037037</x:v>
      </x:c>
      <x:c r="D693" s="12" t="n">
        <x:v>56</x:v>
      </x:c>
      <x:c r="E693" s="12" t="n">
        <x:v>0</x:v>
      </x:c>
      <x:c r="F693" s="12" t="str">
        <x:v>存在</x:v>
      </x:c>
      <x:c r="G693" s="12" t="n">
        <x:v>0</x:v>
      </x:c>
      <x:c r="H693" s="12" t="str">
        <x:v>{'CRBBB': 100.0, 'LAO/LAE': 100.0, 'SR': 0.0}</x:v>
      </x:c>
      <x:c r="I693" s="12" t="str">
        <x:v>[('SRTH', 100.0), ('$SFUS', 100.0), ('RBBB', 100.0), ('AB', 100.0)]</x:v>
      </x:c>
      <x:c r="J693" s="12" t="str">
        <x:v>ptbxl_database.csv；ecg_id=5804；scp_codes</x:v>
      </x:c>
      <x:c r="K693" s="12" t="str">
        <x:v>12sl_statements.csv；ecg_id=5804；statements_ext_snomed</x:v>
      </x:c>
      <x:c r="L693" s="12"/>
      <x:c r="M693" s="12" t="str">
        <x:v>negative</x:v>
      </x:c>
      <x:c r="N693" s="12"/>
      <x:c r="O693" s="12" t="str">
        <x:v>negative</x:v>
      </x:c>
      <x:c r="P693" s="12" t="str">
        <x:f>IF(OR(M693="unavailable",O693="unavailable"),"不可评价",IF(OR(M693="equivocal",O693="equivocal"),"疑似",IF(AND(M693="positive",O693="positive"),"a",IF(O693="positive","b",IF(M693="positive","c","d")))))</x:f>
        <x:v>d</x:v>
      </x:c>
      <x:c r="Q693" s="12"/>
      <x:c r="R693" s="12" t="str">
        <x:v>negative</x:v>
      </x:c>
      <x:c r="S693" s="12"/>
      <x:c r="T693" s="12" t="str">
        <x:v>negative</x:v>
      </x:c>
      <x:c r="U693" s="12" t="str">
        <x:f>IF(OR(R693="unavailable",T693="unavailable"),"不可评价",IF(OR(R693="equivocal",T693="equivocal"),"疑似",IF(AND(R693="positive",T693="positive"),"a",IF(T693="positive","b",IF(R693="positive","c","d")))))</x:f>
        <x:v>d</x:v>
      </x:c>
      <x:c r="V693" s="12" t="n">
        <x:v>100</x:v>
      </x:c>
      <x:c r="W693" s="12" t="str">
        <x:v>positive</x:v>
      </x:c>
      <x:c r="X693" s="12" t="n">
        <x:v>100</x:v>
      </x:c>
      <x:c r="Y693" s="12" t="str">
        <x:v>positive</x:v>
      </x:c>
      <x:c r="Z693" s="12" t="str">
        <x:f>IF(OR(W693="unavailable",Y693="unavailable"),"不可评价",IF(OR(W693="equivocal",Y693="equivocal"),"疑似",IF(AND(W693="positive",Y693="positive"),"a",IF(Y693="positive","b",IF(W693="positive","c","d")))))</x:f>
        <x:v>a</x:v>
      </x:c>
      <x:c r="AA693" s="12" t="str">
        <x:f>IF(OR(M693="unavailable",O693="unavailable"),"不可评价",IF(AND(OR(M693="positive",M693="equivocal"),OR(O693="positive",O693="equivocal")),"a",IF(OR(O693="positive",O693="equivocal"),"b",IF(OR(M693="positive",M693="equivocal"),"c","d"))))</x:f>
        <x:v>d</x:v>
      </x:c>
      <x:c r="AB693" s="12" t="str">
        <x:f>IF(OR(M693="unavailable",O693="unavailable"),"不可评价",IF(AND(M693="positive",O693="positive"),"a",IF(O693="positive","b",IF(M693="positive","c","d"))))</x:f>
        <x:v>d</x:v>
      </x:c>
      <x:c r="AC693" s="12" t="str">
        <x:f>IF(OR(R693="unavailable",T693="unavailable"),"不可评价",IF(AND(OR(R693="positive",R693="equivocal"),OR(T693="positive",T693="equivocal")),"a",IF(OR(T693="positive",T693="equivocal"),"b",IF(OR(R693="positive",R693="equivocal"),"c","d"))))</x:f>
        <x:v>d</x:v>
      </x:c>
      <x:c r="AD693" s="12" t="str">
        <x:f>IF(OR(R693="unavailable",T693="unavailable"),"不可评价",IF(AND(R693="positive",T693="positive"),"a",IF(T693="positive","b",IF(R693="positive","c","d"))))</x:f>
        <x:v>d</x:v>
      </x:c>
      <x:c r="AE693" s="12" t="str">
        <x:f>IF(OR(W693="unavailable",Y693="unavailable"),"不可评价",IF(AND(OR(W693="positive",W693="equivocal"),OR(Y693="positive",Y693="equivocal")),"a",IF(OR(Y693="positive",Y693="equivocal"),"b",IF(OR(W693="positive",W693="equivocal"),"c","d"))))</x:f>
        <x:v>a</x:v>
      </x:c>
      <x:c r="AF693" s="12" t="str">
        <x:f>IF(OR(W693="unavailable",Y693="unavailable"),"不可评价",IF(AND(W693="positive",Y693="positive"),"a",IF(Y693="positive","b",IF(W693="positive","c","d"))))</x:f>
        <x:v>a</x:v>
      </x:c>
    </x:row>
    <x:row r="694" ht="24" customHeight="1">
      <x:c r="A694" s="12" t="str">
        <x:v>5806</x:v>
      </x:c>
      <x:c r="B694" s="12" t="str">
        <x:v>13082</x:v>
      </x:c>
      <x:c r="C694" s="21" t="n">
        <x:v>33284.574479166666</x:v>
      </x:c>
      <x:c r="D694" s="12" t="n">
        <x:v>83</x:v>
      </x:c>
      <x:c r="E694" s="12" t="n">
        <x:v>1</x:v>
      </x:c>
      <x:c r="F694" s="12" t="str">
        <x:v>存在</x:v>
      </x:c>
      <x:c r="G694" s="12" t="n">
        <x:v>1</x:v>
      </x:c>
      <x:c r="H694" s="12" t="str">
        <x:v>{'ASMI': 80.0, 'ABQRS': 0.0, 'SR': 0.0}</x:v>
      </x:c>
      <x:c r="I694" s="12" t="str">
        <x:v>[('NSR', 100.0), ('AMI;AU', 100.0), ('AB', 100.0)]</x:v>
      </x:c>
      <x:c r="J694" s="12" t="str">
        <x:v>ptbxl_database.csv；ecg_id=5806；scp_codes</x:v>
      </x:c>
      <x:c r="K694" s="12" t="str">
        <x:v>12sl_statements.csv；ecg_id=5806；statements_ext_snomed</x:v>
      </x:c>
      <x:c r="L694" s="12"/>
      <x:c r="M694" s="12" t="str">
        <x:v>negative</x:v>
      </x:c>
      <x:c r="N694" s="12"/>
      <x:c r="O694" s="12" t="str">
        <x:v>negative</x:v>
      </x:c>
      <x:c r="P694" s="12" t="str">
        <x:f>IF(OR(M694="unavailable",O694="unavailable"),"不可评价",IF(OR(M694="equivocal",O694="equivocal"),"疑似",IF(AND(M694="positive",O694="positive"),"a",IF(O694="positive","b",IF(M694="positive","c","d")))))</x:f>
        <x:v>d</x:v>
      </x:c>
      <x:c r="Q694" s="12"/>
      <x:c r="R694" s="12" t="str">
        <x:v>negative</x:v>
      </x:c>
      <x:c r="S694" s="12"/>
      <x:c r="T694" s="12" t="str">
        <x:v>negative</x:v>
      </x:c>
      <x:c r="U694" s="12" t="str">
        <x:f>IF(OR(R694="unavailable",T694="unavailable"),"不可评价",IF(OR(R694="equivocal",T694="equivocal"),"疑似",IF(AND(R694="positive",T694="positive"),"a",IF(T694="positive","b",IF(R694="positive","c","d")))))</x:f>
        <x:v>d</x:v>
      </x:c>
      <x:c r="V694" s="12"/>
      <x:c r="W694" s="12" t="str">
        <x:v>negative</x:v>
      </x:c>
      <x:c r="X694" s="12"/>
      <x:c r="Y694" s="12" t="str">
        <x:v>negative</x:v>
      </x:c>
      <x:c r="Z694" s="12" t="str">
        <x:f>IF(OR(W694="unavailable",Y694="unavailable"),"不可评价",IF(OR(W694="equivocal",Y694="equivocal"),"疑似",IF(AND(W694="positive",Y694="positive"),"a",IF(Y694="positive","b",IF(W694="positive","c","d")))))</x:f>
        <x:v>d</x:v>
      </x:c>
      <x:c r="AA694" s="12" t="str">
        <x:f>IF(OR(M694="unavailable",O694="unavailable"),"不可评价",IF(AND(OR(M694="positive",M694="equivocal"),OR(O694="positive",O694="equivocal")),"a",IF(OR(O694="positive",O694="equivocal"),"b",IF(OR(M694="positive",M694="equivocal"),"c","d"))))</x:f>
        <x:v>d</x:v>
      </x:c>
      <x:c r="AB694" s="12" t="str">
        <x:f>IF(OR(M694="unavailable",O694="unavailable"),"不可评价",IF(AND(M694="positive",O694="positive"),"a",IF(O694="positive","b",IF(M694="positive","c","d"))))</x:f>
        <x:v>d</x:v>
      </x:c>
      <x:c r="AC694" s="12" t="str">
        <x:f>IF(OR(R694="unavailable",T694="unavailable"),"不可评价",IF(AND(OR(R694="positive",R694="equivocal"),OR(T694="positive",T694="equivocal")),"a",IF(OR(T694="positive",T694="equivocal"),"b",IF(OR(R694="positive",R694="equivocal"),"c","d"))))</x:f>
        <x:v>d</x:v>
      </x:c>
      <x:c r="AD694" s="12" t="str">
        <x:f>IF(OR(R694="unavailable",T694="unavailable"),"不可评价",IF(AND(R694="positive",T694="positive"),"a",IF(T694="positive","b",IF(R694="positive","c","d"))))</x:f>
        <x:v>d</x:v>
      </x:c>
      <x:c r="AE694" s="12" t="str">
        <x:f>IF(OR(W694="unavailable",Y694="unavailable"),"不可评价",IF(AND(OR(W694="positive",W694="equivocal"),OR(Y694="positive",Y694="equivocal")),"a",IF(OR(Y694="positive",Y694="equivocal"),"b",IF(OR(W694="positive",W694="equivocal"),"c","d"))))</x:f>
        <x:v>d</x:v>
      </x:c>
      <x:c r="AF694" s="12" t="str">
        <x:f>IF(OR(W694="unavailable",Y694="unavailable"),"不可评价",IF(AND(W694="positive",Y694="positive"),"a",IF(Y694="positive","b",IF(W694="positive","c","d"))))</x:f>
        <x:v>d</x:v>
      </x:c>
    </x:row>
    <x:row r="695" ht="39" customHeight="1">
      <x:c r="A695" s="12" t="str">
        <x:v>5810</x:v>
      </x:c>
      <x:c r="B695" s="12" t="str">
        <x:v>17184</x:v>
      </x:c>
      <x:c r="C695" s="21" t="n">
        <x:v>33289.42233796296</x:v>
      </x:c>
      <x:c r="D695" s="12" t="n">
        <x:v>70</x:v>
      </x:c>
      <x:c r="E695" s="12" t="n">
        <x:v>0</x:v>
      </x:c>
      <x:c r="F695" s="12" t="str">
        <x:v>未记录</x:v>
      </x:c>
      <x:c r="G695" s="12" t="n">
        <x:v>1</x:v>
      </x:c>
      <x:c r="H695" s="12" t="str">
        <x:v>{'IMI': 100.0, 'LVH': 100.0, 'ISC_': 100.0, 'SR': 0.0}</x:v>
      </x:c>
      <x:c r="I695" s="12" t="str">
        <x:v>[('SBRAD', 100.0), ('$SFUS', 100.0), ('LVH2', 100.0), ('2ST', 100.0), ('IMI;AU', 100.0), ('AB', 100.0)]</x:v>
      </x:c>
      <x:c r="J695" s="12" t="str">
        <x:v>ptbxl_database.csv；ecg_id=5810；scp_codes</x:v>
      </x:c>
      <x:c r="K695" s="12" t="str">
        <x:v>12sl_statements.csv；ecg_id=5810；statements_ext_snomed</x:v>
      </x:c>
      <x:c r="L695" s="12"/>
      <x:c r="M695" s="12" t="str">
        <x:v>negative</x:v>
      </x:c>
      <x:c r="N695" s="12"/>
      <x:c r="O695" s="12" t="str">
        <x:v>negative</x:v>
      </x:c>
      <x:c r="P695" s="12" t="str">
        <x:f>IF(OR(M695="unavailable",O695="unavailable"),"不可评价",IF(OR(M695="equivocal",O695="equivocal"),"疑似",IF(AND(M695="positive",O695="positive"),"a",IF(O695="positive","b",IF(M695="positive","c","d")))))</x:f>
        <x:v>d</x:v>
      </x:c>
      <x:c r="Q695" s="12"/>
      <x:c r="R695" s="12" t="str">
        <x:v>negative</x:v>
      </x:c>
      <x:c r="S695" s="12"/>
      <x:c r="T695" s="12" t="str">
        <x:v>negative</x:v>
      </x:c>
      <x:c r="U695" s="12" t="str">
        <x:f>IF(OR(R695="unavailable",T695="unavailable"),"不可评价",IF(OR(R695="equivocal",T695="equivocal"),"疑似",IF(AND(R695="positive",T695="positive"),"a",IF(T695="positive","b",IF(R695="positive","c","d")))))</x:f>
        <x:v>d</x:v>
      </x:c>
      <x:c r="V695" s="12"/>
      <x:c r="W695" s="12" t="str">
        <x:v>negative</x:v>
      </x:c>
      <x:c r="X695" s="12"/>
      <x:c r="Y695" s="12" t="str">
        <x:v>negative</x:v>
      </x:c>
      <x:c r="Z695" s="12" t="str">
        <x:f>IF(OR(W695="unavailable",Y695="unavailable"),"不可评价",IF(OR(W695="equivocal",Y695="equivocal"),"疑似",IF(AND(W695="positive",Y695="positive"),"a",IF(Y695="positive","b",IF(W695="positive","c","d")))))</x:f>
        <x:v>d</x:v>
      </x:c>
      <x:c r="AA695" s="12" t="str">
        <x:f>IF(OR(M695="unavailable",O695="unavailable"),"不可评价",IF(AND(OR(M695="positive",M695="equivocal"),OR(O695="positive",O695="equivocal")),"a",IF(OR(O695="positive",O695="equivocal"),"b",IF(OR(M695="positive",M695="equivocal"),"c","d"))))</x:f>
        <x:v>d</x:v>
      </x:c>
      <x:c r="AB695" s="12" t="str">
        <x:f>IF(OR(M695="unavailable",O695="unavailable"),"不可评价",IF(AND(M695="positive",O695="positive"),"a",IF(O695="positive","b",IF(M695="positive","c","d"))))</x:f>
        <x:v>d</x:v>
      </x:c>
      <x:c r="AC695" s="12" t="str">
        <x:f>IF(OR(R695="unavailable",T695="unavailable"),"不可评价",IF(AND(OR(R695="positive",R695="equivocal"),OR(T695="positive",T695="equivocal")),"a",IF(OR(T695="positive",T695="equivocal"),"b",IF(OR(R695="positive",R695="equivocal"),"c","d"))))</x:f>
        <x:v>d</x:v>
      </x:c>
      <x:c r="AD695" s="12" t="str">
        <x:f>IF(OR(R695="unavailable",T695="unavailable"),"不可评价",IF(AND(R695="positive",T695="positive"),"a",IF(T695="positive","b",IF(R695="positive","c","d"))))</x:f>
        <x:v>d</x:v>
      </x:c>
      <x:c r="AE695" s="12" t="str">
        <x:f>IF(OR(W695="unavailable",Y695="unavailable"),"不可评价",IF(AND(OR(W695="positive",W695="equivocal"),OR(Y695="positive",Y695="equivocal")),"a",IF(OR(Y695="positive",Y695="equivocal"),"b",IF(OR(W695="positive",W695="equivocal"),"c","d"))))</x:f>
        <x:v>d</x:v>
      </x:c>
      <x:c r="AF695" s="12" t="str">
        <x:f>IF(OR(W695="unavailable",Y695="unavailable"),"不可评价",IF(AND(W695="positive",Y695="positive"),"a",IF(Y695="positive","b",IF(W695="positive","c","d"))))</x:f>
        <x:v>d</x:v>
      </x:c>
    </x:row>
    <x:row r="696" ht="24" customHeight="1">
      <x:c r="A696" s="12" t="str">
        <x:v>5816</x:v>
      </x:c>
      <x:c r="B696" s="12" t="str">
        <x:v>21068</x:v>
      </x:c>
      <x:c r="C696" s="21" t="n">
        <x:v>33291.31285879629</x:v>
      </x:c>
      <x:c r="D696" s="12" t="n">
        <x:v>43</x:v>
      </x:c>
      <x:c r="E696" s="12" t="n">
        <x:v>0</x:v>
      </x:c>
      <x:c r="F696" s="12" t="str">
        <x:v>未记录</x:v>
      </x:c>
      <x:c r="G696" s="12" t="n">
        <x:v>0</x:v>
      </x:c>
      <x:c r="H696" s="12" t="str">
        <x:v>{'NORM': 100.0, 'SR': 0.0}</x:v>
      </x:c>
      <x:c r="I696" s="12" t="str">
        <x:v>[('NSR', 100.0), ('NML', 100.0)]</x:v>
      </x:c>
      <x:c r="J696" s="12" t="str">
        <x:v>ptbxl_database.csv；ecg_id=5816；scp_codes</x:v>
      </x:c>
      <x:c r="K696" s="12" t="str">
        <x:v>12sl_statements.csv；ecg_id=5816；statements_ext_snomed</x:v>
      </x:c>
      <x:c r="L696" s="12"/>
      <x:c r="M696" s="12" t="str">
        <x:v>negative</x:v>
      </x:c>
      <x:c r="N696" s="12"/>
      <x:c r="O696" s="12" t="str">
        <x:v>negative</x:v>
      </x:c>
      <x:c r="P696" s="12" t="str">
        <x:f>IF(OR(M696="unavailable",O696="unavailable"),"不可评价",IF(OR(M696="equivocal",O696="equivocal"),"疑似",IF(AND(M696="positive",O696="positive"),"a",IF(O696="positive","b",IF(M696="positive","c","d")))))</x:f>
        <x:v>d</x:v>
      </x:c>
      <x:c r="Q696" s="12"/>
      <x:c r="R696" s="12" t="str">
        <x:v>negative</x:v>
      </x:c>
      <x:c r="S696" s="12"/>
      <x:c r="T696" s="12" t="str">
        <x:v>negative</x:v>
      </x:c>
      <x:c r="U696" s="12" t="str">
        <x:f>IF(OR(R696="unavailable",T696="unavailable"),"不可评价",IF(OR(R696="equivocal",T696="equivocal"),"疑似",IF(AND(R696="positive",T696="positive"),"a",IF(T696="positive","b",IF(R696="positive","c","d")))))</x:f>
        <x:v>d</x:v>
      </x:c>
      <x:c r="V696" s="12"/>
      <x:c r="W696" s="12" t="str">
        <x:v>negative</x:v>
      </x:c>
      <x:c r="X696" s="12"/>
      <x:c r="Y696" s="12" t="str">
        <x:v>negative</x:v>
      </x:c>
      <x:c r="Z696" s="12" t="str">
        <x:f>IF(OR(W696="unavailable",Y696="unavailable"),"不可评价",IF(OR(W696="equivocal",Y696="equivocal"),"疑似",IF(AND(W696="positive",Y696="positive"),"a",IF(Y696="positive","b",IF(W696="positive","c","d")))))</x:f>
        <x:v>d</x:v>
      </x:c>
      <x:c r="AA696" s="12" t="str">
        <x:f>IF(OR(M696="unavailable",O696="unavailable"),"不可评价",IF(AND(OR(M696="positive",M696="equivocal"),OR(O696="positive",O696="equivocal")),"a",IF(OR(O696="positive",O696="equivocal"),"b",IF(OR(M696="positive",M696="equivocal"),"c","d"))))</x:f>
        <x:v>d</x:v>
      </x:c>
      <x:c r="AB696" s="12" t="str">
        <x:f>IF(OR(M696="unavailable",O696="unavailable"),"不可评价",IF(AND(M696="positive",O696="positive"),"a",IF(O696="positive","b",IF(M696="positive","c","d"))))</x:f>
        <x:v>d</x:v>
      </x:c>
      <x:c r="AC696" s="12" t="str">
        <x:f>IF(OR(R696="unavailable",T696="unavailable"),"不可评价",IF(AND(OR(R696="positive",R696="equivocal"),OR(T696="positive",T696="equivocal")),"a",IF(OR(T696="positive",T696="equivocal"),"b",IF(OR(R696="positive",R696="equivocal"),"c","d"))))</x:f>
        <x:v>d</x:v>
      </x:c>
      <x:c r="AD696" s="12" t="str">
        <x:f>IF(OR(R696="unavailable",T696="unavailable"),"不可评价",IF(AND(R696="positive",T696="positive"),"a",IF(T696="positive","b",IF(R696="positive","c","d"))))</x:f>
        <x:v>d</x:v>
      </x:c>
      <x:c r="AE696" s="12" t="str">
        <x:f>IF(OR(W696="unavailable",Y696="unavailable"),"不可评价",IF(AND(OR(W696="positive",W696="equivocal"),OR(Y696="positive",Y696="equivocal")),"a",IF(OR(Y696="positive",Y696="equivocal"),"b",IF(OR(W696="positive",W696="equivocal"),"c","d"))))</x:f>
        <x:v>d</x:v>
      </x:c>
      <x:c r="AF696" s="12" t="str">
        <x:f>IF(OR(W696="unavailable",Y696="unavailable"),"不可评价",IF(AND(W696="positive",Y696="positive"),"a",IF(Y696="positive","b",IF(W696="positive","c","d"))))</x:f>
        <x:v>d</x:v>
      </x:c>
    </x:row>
    <x:row r="697" ht="24" customHeight="1">
      <x:c r="A697" s="12" t="str">
        <x:v>5824</x:v>
      </x:c>
      <x:c r="B697" s="12" t="str">
        <x:v>7531</x:v>
      </x:c>
      <x:c r="C697" s="21" t="n">
        <x:v>33293.77748842593</x:v>
      </x:c>
      <x:c r="D697" s="12" t="n">
        <x:v>57</x:v>
      </x:c>
      <x:c r="E697" s="12" t="n">
        <x:v>0</x:v>
      </x:c>
      <x:c r="F697" s="12" t="str">
        <x:v>未记录</x:v>
      </x:c>
      <x:c r="G697" s="12" t="n">
        <x:v>1</x:v>
      </x:c>
      <x:c r="H697" s="12" t="str">
        <x:v>{'NORM': 100.0, 'VCLVH': 0.0, 'SR': 0.0}</x:v>
      </x:c>
      <x:c r="I697" s="12" t="str">
        <x:v>[('NSR', 100.0), ('BORDE', 100.0)]</x:v>
      </x:c>
      <x:c r="J697" s="12" t="str">
        <x:v>ptbxl_database.csv；ecg_id=5824；scp_codes</x:v>
      </x:c>
      <x:c r="K697" s="12" t="str">
        <x:v>12sl_statements.csv；ecg_id=5824；statements_ext_snomed</x:v>
      </x:c>
      <x:c r="L697" s="12"/>
      <x:c r="M697" s="12" t="str">
        <x:v>negative</x:v>
      </x:c>
      <x:c r="N697" s="12"/>
      <x:c r="O697" s="12" t="str">
        <x:v>negative</x:v>
      </x:c>
      <x:c r="P697" s="12" t="str">
        <x:f>IF(OR(M697="unavailable",O697="unavailable"),"不可评价",IF(OR(M697="equivocal",O697="equivocal"),"疑似",IF(AND(M697="positive",O697="positive"),"a",IF(O697="positive","b",IF(M697="positive","c","d")))))</x:f>
        <x:v>d</x:v>
      </x:c>
      <x:c r="Q697" s="12"/>
      <x:c r="R697" s="12" t="str">
        <x:v>negative</x:v>
      </x:c>
      <x:c r="S697" s="12"/>
      <x:c r="T697" s="12" t="str">
        <x:v>negative</x:v>
      </x:c>
      <x:c r="U697" s="12" t="str">
        <x:f>IF(OR(R697="unavailable",T697="unavailable"),"不可评价",IF(OR(R697="equivocal",T697="equivocal"),"疑似",IF(AND(R697="positive",T697="positive"),"a",IF(T697="positive","b",IF(R697="positive","c","d")))))</x:f>
        <x:v>d</x:v>
      </x:c>
      <x:c r="V697" s="12"/>
      <x:c r="W697" s="12" t="str">
        <x:v>negative</x:v>
      </x:c>
      <x:c r="X697" s="12"/>
      <x:c r="Y697" s="12" t="str">
        <x:v>negative</x:v>
      </x:c>
      <x:c r="Z697" s="12" t="str">
        <x:f>IF(OR(W697="unavailable",Y697="unavailable"),"不可评价",IF(OR(W697="equivocal",Y697="equivocal"),"疑似",IF(AND(W697="positive",Y697="positive"),"a",IF(Y697="positive","b",IF(W697="positive","c","d")))))</x:f>
        <x:v>d</x:v>
      </x:c>
      <x:c r="AA697" s="12" t="str">
        <x:f>IF(OR(M697="unavailable",O697="unavailable"),"不可评价",IF(AND(OR(M697="positive",M697="equivocal"),OR(O697="positive",O697="equivocal")),"a",IF(OR(O697="positive",O697="equivocal"),"b",IF(OR(M697="positive",M697="equivocal"),"c","d"))))</x:f>
        <x:v>d</x:v>
      </x:c>
      <x:c r="AB697" s="12" t="str">
        <x:f>IF(OR(M697="unavailable",O697="unavailable"),"不可评价",IF(AND(M697="positive",O697="positive"),"a",IF(O697="positive","b",IF(M697="positive","c","d"))))</x:f>
        <x:v>d</x:v>
      </x:c>
      <x:c r="AC697" s="12" t="str">
        <x:f>IF(OR(R697="unavailable",T697="unavailable"),"不可评价",IF(AND(OR(R697="positive",R697="equivocal"),OR(T697="positive",T697="equivocal")),"a",IF(OR(T697="positive",T697="equivocal"),"b",IF(OR(R697="positive",R697="equivocal"),"c","d"))))</x:f>
        <x:v>d</x:v>
      </x:c>
      <x:c r="AD697" s="12" t="str">
        <x:f>IF(OR(R697="unavailable",T697="unavailable"),"不可评价",IF(AND(R697="positive",T697="positive"),"a",IF(T697="positive","b",IF(R697="positive","c","d"))))</x:f>
        <x:v>d</x:v>
      </x:c>
      <x:c r="AE697" s="12" t="str">
        <x:f>IF(OR(W697="unavailable",Y697="unavailable"),"不可评价",IF(AND(OR(W697="positive",W697="equivocal"),OR(Y697="positive",Y697="equivocal")),"a",IF(OR(Y697="positive",Y697="equivocal"),"b",IF(OR(W697="positive",W697="equivocal"),"c","d"))))</x:f>
        <x:v>d</x:v>
      </x:c>
      <x:c r="AF697" s="12" t="str">
        <x:f>IF(OR(W697="unavailable",Y697="unavailable"),"不可评价",IF(AND(W697="positive",Y697="positive"),"a",IF(Y697="positive","b",IF(W697="positive","c","d"))))</x:f>
        <x:v>d</x:v>
      </x:c>
    </x:row>
    <x:row r="698" ht="39" customHeight="1">
      <x:c r="A698" s="12" t="str">
        <x:v>5826</x:v>
      </x:c>
      <x:c r="B698" s="12" t="str">
        <x:v>17804</x:v>
      </x:c>
      <x:c r="C698" s="21" t="n">
        <x:v>33294.434537037036</x:v>
      </x:c>
      <x:c r="D698" s="12" t="n">
        <x:v>42</x:v>
      </x:c>
      <x:c r="E698" s="12" t="n">
        <x:v>0</x:v>
      </x:c>
      <x:c r="F698" s="12" t="str">
        <x:v>存在</x:v>
      </x:c>
      <x:c r="G698" s="12" t="n">
        <x:v>1</x:v>
      </x:c>
      <x:c r="H698" s="12" t="str">
        <x:v>{'ALMI': 100.0, 'LAFB': 100.0, 'SR': 0.0}</x:v>
      </x:c>
      <x:c r="I698" s="12" t="str">
        <x:v>[('SBRAD', 100.0), ('FAV', 100.0), ('LAD3', 100.0), ('IVCB', 100.0), ('LMI;AU', 100.0), ('AB', 100.0)]</x:v>
      </x:c>
      <x:c r="J698" s="12" t="str">
        <x:v>ptbxl_database.csv；ecg_id=5826；scp_codes</x:v>
      </x:c>
      <x:c r="K698" s="12" t="str">
        <x:v>12sl_statements.csv；ecg_id=5826；statements_ext_snomed</x:v>
      </x:c>
      <x:c r="L698" s="12"/>
      <x:c r="M698" s="12" t="str">
        <x:v>negative</x:v>
      </x:c>
      <x:c r="N698" s="12"/>
      <x:c r="O698" s="12" t="str">
        <x:v>negative</x:v>
      </x:c>
      <x:c r="P698" s="12" t="str">
        <x:f>IF(OR(M698="unavailable",O698="unavailable"),"不可评价",IF(OR(M698="equivocal",O698="equivocal"),"疑似",IF(AND(M698="positive",O698="positive"),"a",IF(O698="positive","b",IF(M698="positive","c","d")))))</x:f>
        <x:v>d</x:v>
      </x:c>
      <x:c r="Q698" s="12"/>
      <x:c r="R698" s="12" t="str">
        <x:v>negative</x:v>
      </x:c>
      <x:c r="S698" s="12"/>
      <x:c r="T698" s="12" t="str">
        <x:v>negative</x:v>
      </x:c>
      <x:c r="U698" s="12" t="str">
        <x:f>IF(OR(R698="unavailable",T698="unavailable"),"不可评价",IF(OR(R698="equivocal",T698="equivocal"),"疑似",IF(AND(R698="positive",T698="positive"),"a",IF(T698="positive","b",IF(R698="positive","c","d")))))</x:f>
        <x:v>d</x:v>
      </x:c>
      <x:c r="V698" s="12"/>
      <x:c r="W698" s="12" t="str">
        <x:v>negative</x:v>
      </x:c>
      <x:c r="X698" s="12"/>
      <x:c r="Y698" s="12" t="str">
        <x:v>negative</x:v>
      </x:c>
      <x:c r="Z698" s="12" t="str">
        <x:f>IF(OR(W698="unavailable",Y698="unavailable"),"不可评价",IF(OR(W698="equivocal",Y698="equivocal"),"疑似",IF(AND(W698="positive",Y698="positive"),"a",IF(Y698="positive","b",IF(W698="positive","c","d")))))</x:f>
        <x:v>d</x:v>
      </x:c>
      <x:c r="AA698" s="12" t="str">
        <x:f>IF(OR(M698="unavailable",O698="unavailable"),"不可评价",IF(AND(OR(M698="positive",M698="equivocal"),OR(O698="positive",O698="equivocal")),"a",IF(OR(O698="positive",O698="equivocal"),"b",IF(OR(M698="positive",M698="equivocal"),"c","d"))))</x:f>
        <x:v>d</x:v>
      </x:c>
      <x:c r="AB698" s="12" t="str">
        <x:f>IF(OR(M698="unavailable",O698="unavailable"),"不可评价",IF(AND(M698="positive",O698="positive"),"a",IF(O698="positive","b",IF(M698="positive","c","d"))))</x:f>
        <x:v>d</x:v>
      </x:c>
      <x:c r="AC698" s="12" t="str">
        <x:f>IF(OR(R698="unavailable",T698="unavailable"),"不可评价",IF(AND(OR(R698="positive",R698="equivocal"),OR(T698="positive",T698="equivocal")),"a",IF(OR(T698="positive",T698="equivocal"),"b",IF(OR(R698="positive",R698="equivocal"),"c","d"))))</x:f>
        <x:v>d</x:v>
      </x:c>
      <x:c r="AD698" s="12" t="str">
        <x:f>IF(OR(R698="unavailable",T698="unavailable"),"不可评价",IF(AND(R698="positive",T698="positive"),"a",IF(T698="positive","b",IF(R698="positive","c","d"))))</x:f>
        <x:v>d</x:v>
      </x:c>
      <x:c r="AE698" s="12" t="str">
        <x:f>IF(OR(W698="unavailable",Y698="unavailable"),"不可评价",IF(AND(OR(W698="positive",W698="equivocal"),OR(Y698="positive",Y698="equivocal")),"a",IF(OR(Y698="positive",Y698="equivocal"),"b",IF(OR(W698="positive",W698="equivocal"),"c","d"))))</x:f>
        <x:v>d</x:v>
      </x:c>
      <x:c r="AF698" s="12" t="str">
        <x:f>IF(OR(W698="unavailable",Y698="unavailable"),"不可评价",IF(AND(W698="positive",Y698="positive"),"a",IF(Y698="positive","b",IF(W698="positive","c","d"))))</x:f>
        <x:v>d</x:v>
      </x:c>
    </x:row>
    <x:row r="699" ht="24" customHeight="1">
      <x:c r="A699" s="12" t="str">
        <x:v>5830</x:v>
      </x:c>
      <x:c r="B699" s="12" t="str">
        <x:v>4565</x:v>
      </x:c>
      <x:c r="C699" s="21" t="n">
        <x:v>33294.58662037037</x:v>
      </x:c>
      <x:c r="D699" s="12" t="n">
        <x:v>35</x:v>
      </x:c>
      <x:c r="E699" s="12" t="n">
        <x:v>0</x:v>
      </x:c>
      <x:c r="F699" s="12" t="str">
        <x:v>未记录</x:v>
      </x:c>
      <x:c r="G699" s="12" t="n">
        <x:v>1</x:v>
      </x:c>
      <x:c r="H699" s="12" t="str">
        <x:v>{'LVH': 100.0, 'SEHYP': 100.0, 'SR': 0.0}</x:v>
      </x:c>
      <x:c r="I699" s="12" t="str">
        <x:v>[('NSR', 100.0), ('NML', 100.0)]</x:v>
      </x:c>
      <x:c r="J699" s="12" t="str">
        <x:v>ptbxl_database.csv；ecg_id=5830；scp_codes</x:v>
      </x:c>
      <x:c r="K699" s="12" t="str">
        <x:v>12sl_statements.csv；ecg_id=5830；statements_ext_snomed</x:v>
      </x:c>
      <x:c r="L699" s="12"/>
      <x:c r="M699" s="12" t="str">
        <x:v>negative</x:v>
      </x:c>
      <x:c r="N699" s="12"/>
      <x:c r="O699" s="12" t="str">
        <x:v>negative</x:v>
      </x:c>
      <x:c r="P699" s="12" t="str">
        <x:f>IF(OR(M699="unavailable",O699="unavailable"),"不可评价",IF(OR(M699="equivocal",O699="equivocal"),"疑似",IF(AND(M699="positive",O699="positive"),"a",IF(O699="positive","b",IF(M699="positive","c","d")))))</x:f>
        <x:v>d</x:v>
      </x:c>
      <x:c r="Q699" s="12"/>
      <x:c r="R699" s="12" t="str">
        <x:v>negative</x:v>
      </x:c>
      <x:c r="S699" s="12"/>
      <x:c r="T699" s="12" t="str">
        <x:v>negative</x:v>
      </x:c>
      <x:c r="U699" s="12" t="str">
        <x:f>IF(OR(R699="unavailable",T699="unavailable"),"不可评价",IF(OR(R699="equivocal",T699="equivocal"),"疑似",IF(AND(R699="positive",T699="positive"),"a",IF(T699="positive","b",IF(R699="positive","c","d")))))</x:f>
        <x:v>d</x:v>
      </x:c>
      <x:c r="V699" s="12"/>
      <x:c r="W699" s="12" t="str">
        <x:v>negative</x:v>
      </x:c>
      <x:c r="X699" s="12"/>
      <x:c r="Y699" s="12" t="str">
        <x:v>negative</x:v>
      </x:c>
      <x:c r="Z699" s="12" t="str">
        <x:f>IF(OR(W699="unavailable",Y699="unavailable"),"不可评价",IF(OR(W699="equivocal",Y699="equivocal"),"疑似",IF(AND(W699="positive",Y699="positive"),"a",IF(Y699="positive","b",IF(W699="positive","c","d")))))</x:f>
        <x:v>d</x:v>
      </x:c>
      <x:c r="AA699" s="12" t="str">
        <x:f>IF(OR(M699="unavailable",O699="unavailable"),"不可评价",IF(AND(OR(M699="positive",M699="equivocal"),OR(O699="positive",O699="equivocal")),"a",IF(OR(O699="positive",O699="equivocal"),"b",IF(OR(M699="positive",M699="equivocal"),"c","d"))))</x:f>
        <x:v>d</x:v>
      </x:c>
      <x:c r="AB699" s="12" t="str">
        <x:f>IF(OR(M699="unavailable",O699="unavailable"),"不可评价",IF(AND(M699="positive",O699="positive"),"a",IF(O699="positive","b",IF(M699="positive","c","d"))))</x:f>
        <x:v>d</x:v>
      </x:c>
      <x:c r="AC699" s="12" t="str">
        <x:f>IF(OR(R699="unavailable",T699="unavailable"),"不可评价",IF(AND(OR(R699="positive",R699="equivocal"),OR(T699="positive",T699="equivocal")),"a",IF(OR(T699="positive",T699="equivocal"),"b",IF(OR(R699="positive",R699="equivocal"),"c","d"))))</x:f>
        <x:v>d</x:v>
      </x:c>
      <x:c r="AD699" s="12" t="str">
        <x:f>IF(OR(R699="unavailable",T699="unavailable"),"不可评价",IF(AND(R699="positive",T699="positive"),"a",IF(T699="positive","b",IF(R699="positive","c","d"))))</x:f>
        <x:v>d</x:v>
      </x:c>
      <x:c r="AE699" s="12" t="str">
        <x:f>IF(OR(W699="unavailable",Y699="unavailable"),"不可评价",IF(AND(OR(W699="positive",W699="equivocal"),OR(Y699="positive",Y699="equivocal")),"a",IF(OR(Y699="positive",Y699="equivocal"),"b",IF(OR(W699="positive",W699="equivocal"),"c","d"))))</x:f>
        <x:v>d</x:v>
      </x:c>
      <x:c r="AF699" s="12" t="str">
        <x:f>IF(OR(W699="unavailable",Y699="unavailable"),"不可评价",IF(AND(W699="positive",Y699="positive"),"a",IF(Y699="positive","b",IF(W699="positive","c","d"))))</x:f>
        <x:v>d</x:v>
      </x:c>
    </x:row>
    <x:row r="700" ht="24" customHeight="1">
      <x:c r="A700" s="12" t="str">
        <x:v>5831</x:v>
      </x:c>
      <x:c r="B700" s="12" t="str">
        <x:v>20048</x:v>
      </x:c>
      <x:c r="C700" s="21" t="n">
        <x:v>33294.59103009259</x:v>
      </x:c>
      <x:c r="D700" s="12" t="n">
        <x:v>52</x:v>
      </x:c>
      <x:c r="E700" s="12" t="n">
        <x:v>0</x:v>
      </x:c>
      <x:c r="F700" s="12" t="str">
        <x:v>未记录</x:v>
      </x:c>
      <x:c r="G700" s="12" t="n">
        <x:v>1</x:v>
      </x:c>
      <x:c r="H700" s="12" t="str">
        <x:v>{'NORM': 100.0, 'SR': 0.0}</x:v>
      </x:c>
      <x:c r="I700" s="12" t="str">
        <x:v>[('NSR', 100.0), ('NML', 100.0)]</x:v>
      </x:c>
      <x:c r="J700" s="12" t="str">
        <x:v>ptbxl_database.csv；ecg_id=5831；scp_codes</x:v>
      </x:c>
      <x:c r="K700" s="12" t="str">
        <x:v>12sl_statements.csv；ecg_id=5831；statements_ext_snomed</x:v>
      </x:c>
      <x:c r="L700" s="12"/>
      <x:c r="M700" s="12" t="str">
        <x:v>negative</x:v>
      </x:c>
      <x:c r="N700" s="12"/>
      <x:c r="O700" s="12" t="str">
        <x:v>negative</x:v>
      </x:c>
      <x:c r="P700" s="12" t="str">
        <x:f>IF(OR(M700="unavailable",O700="unavailable"),"不可评价",IF(OR(M700="equivocal",O700="equivocal"),"疑似",IF(AND(M700="positive",O700="positive"),"a",IF(O700="positive","b",IF(M700="positive","c","d")))))</x:f>
        <x:v>d</x:v>
      </x:c>
      <x:c r="Q700" s="12"/>
      <x:c r="R700" s="12" t="str">
        <x:v>negative</x:v>
      </x:c>
      <x:c r="S700" s="12"/>
      <x:c r="T700" s="12" t="str">
        <x:v>negative</x:v>
      </x:c>
      <x:c r="U700" s="12" t="str">
        <x:f>IF(OR(R700="unavailable",T700="unavailable"),"不可评价",IF(OR(R700="equivocal",T700="equivocal"),"疑似",IF(AND(R700="positive",T700="positive"),"a",IF(T700="positive","b",IF(R700="positive","c","d")))))</x:f>
        <x:v>d</x:v>
      </x:c>
      <x:c r="V700" s="12"/>
      <x:c r="W700" s="12" t="str">
        <x:v>negative</x:v>
      </x:c>
      <x:c r="X700" s="12"/>
      <x:c r="Y700" s="12" t="str">
        <x:v>negative</x:v>
      </x:c>
      <x:c r="Z700" s="12" t="str">
        <x:f>IF(OR(W700="unavailable",Y700="unavailable"),"不可评价",IF(OR(W700="equivocal",Y700="equivocal"),"疑似",IF(AND(W700="positive",Y700="positive"),"a",IF(Y700="positive","b",IF(W700="positive","c","d")))))</x:f>
        <x:v>d</x:v>
      </x:c>
      <x:c r="AA700" s="12" t="str">
        <x:f>IF(OR(M700="unavailable",O700="unavailable"),"不可评价",IF(AND(OR(M700="positive",M700="equivocal"),OR(O700="positive",O700="equivocal")),"a",IF(OR(O700="positive",O700="equivocal"),"b",IF(OR(M700="positive",M700="equivocal"),"c","d"))))</x:f>
        <x:v>d</x:v>
      </x:c>
      <x:c r="AB700" s="12" t="str">
        <x:f>IF(OR(M700="unavailable",O700="unavailable"),"不可评价",IF(AND(M700="positive",O700="positive"),"a",IF(O700="positive","b",IF(M700="positive","c","d"))))</x:f>
        <x:v>d</x:v>
      </x:c>
      <x:c r="AC700" s="12" t="str">
        <x:f>IF(OR(R700="unavailable",T700="unavailable"),"不可评价",IF(AND(OR(R700="positive",R700="equivocal"),OR(T700="positive",T700="equivocal")),"a",IF(OR(T700="positive",T700="equivocal"),"b",IF(OR(R700="positive",R700="equivocal"),"c","d"))))</x:f>
        <x:v>d</x:v>
      </x:c>
      <x:c r="AD700" s="12" t="str">
        <x:f>IF(OR(R700="unavailable",T700="unavailable"),"不可评价",IF(AND(R700="positive",T700="positive"),"a",IF(T700="positive","b",IF(R700="positive","c","d"))))</x:f>
        <x:v>d</x:v>
      </x:c>
      <x:c r="AE700" s="12" t="str">
        <x:f>IF(OR(W700="unavailable",Y700="unavailable"),"不可评价",IF(AND(OR(W700="positive",W700="equivocal"),OR(Y700="positive",Y700="equivocal")),"a",IF(OR(Y700="positive",Y700="equivocal"),"b",IF(OR(W700="positive",W700="equivocal"),"c","d"))))</x:f>
        <x:v>d</x:v>
      </x:c>
      <x:c r="AF700" s="12" t="str">
        <x:f>IF(OR(W700="unavailable",Y700="unavailable"),"不可评价",IF(AND(W700="positive",Y700="positive"),"a",IF(Y700="positive","b",IF(W700="positive","c","d"))))</x:f>
        <x:v>d</x:v>
      </x:c>
    </x:row>
    <x:row r="701" ht="24" customHeight="1">
      <x:c r="A701" s="12" t="str">
        <x:v>5835</x:v>
      </x:c>
      <x:c r="B701" s="12" t="str">
        <x:v>7502</x:v>
      </x:c>
      <x:c r="C701" s="21" t="n">
        <x:v>33294.691354166665</x:v>
      </x:c>
      <x:c r="D701" s="12" t="n">
        <x:v>49</x:v>
      </x:c>
      <x:c r="E701" s="12" t="n">
        <x:v>0</x:v>
      </x:c>
      <x:c r="F701" s="12" t="str">
        <x:v>未记录</x:v>
      </x:c>
      <x:c r="G701" s="12" t="n">
        <x:v>1</x:v>
      </x:c>
      <x:c r="H701" s="12" t="str">
        <x:v>{'NORM': 100.0, 'SR': 0.0}</x:v>
      </x:c>
      <x:c r="I701" s="12" t="str">
        <x:v>[('NSR', 100.0), ('NML', 100.0)]</x:v>
      </x:c>
      <x:c r="J701" s="12" t="str">
        <x:v>ptbxl_database.csv；ecg_id=5835；scp_codes</x:v>
      </x:c>
      <x:c r="K701" s="12" t="str">
        <x:v>12sl_statements.csv；ecg_id=5835；statements_ext_snomed</x:v>
      </x:c>
      <x:c r="L701" s="12"/>
      <x:c r="M701" s="12" t="str">
        <x:v>negative</x:v>
      </x:c>
      <x:c r="N701" s="12"/>
      <x:c r="O701" s="12" t="str">
        <x:v>negative</x:v>
      </x:c>
      <x:c r="P701" s="12" t="str">
        <x:f>IF(OR(M701="unavailable",O701="unavailable"),"不可评价",IF(OR(M701="equivocal",O701="equivocal"),"疑似",IF(AND(M701="positive",O701="positive"),"a",IF(O701="positive","b",IF(M701="positive","c","d")))))</x:f>
        <x:v>d</x:v>
      </x:c>
      <x:c r="Q701" s="12"/>
      <x:c r="R701" s="12" t="str">
        <x:v>negative</x:v>
      </x:c>
      <x:c r="S701" s="12"/>
      <x:c r="T701" s="12" t="str">
        <x:v>negative</x:v>
      </x:c>
      <x:c r="U701" s="12" t="str">
        <x:f>IF(OR(R701="unavailable",T701="unavailable"),"不可评价",IF(OR(R701="equivocal",T701="equivocal"),"疑似",IF(AND(R701="positive",T701="positive"),"a",IF(T701="positive","b",IF(R701="positive","c","d")))))</x:f>
        <x:v>d</x:v>
      </x:c>
      <x:c r="V701" s="12"/>
      <x:c r="W701" s="12" t="str">
        <x:v>negative</x:v>
      </x:c>
      <x:c r="X701" s="12"/>
      <x:c r="Y701" s="12" t="str">
        <x:v>negative</x:v>
      </x:c>
      <x:c r="Z701" s="12" t="str">
        <x:f>IF(OR(W701="unavailable",Y701="unavailable"),"不可评价",IF(OR(W701="equivocal",Y701="equivocal"),"疑似",IF(AND(W701="positive",Y701="positive"),"a",IF(Y701="positive","b",IF(W701="positive","c","d")))))</x:f>
        <x:v>d</x:v>
      </x:c>
      <x:c r="AA701" s="12" t="str">
        <x:f>IF(OR(M701="unavailable",O701="unavailable"),"不可评价",IF(AND(OR(M701="positive",M701="equivocal"),OR(O701="positive",O701="equivocal")),"a",IF(OR(O701="positive",O701="equivocal"),"b",IF(OR(M701="positive",M701="equivocal"),"c","d"))))</x:f>
        <x:v>d</x:v>
      </x:c>
      <x:c r="AB701" s="12" t="str">
        <x:f>IF(OR(M701="unavailable",O701="unavailable"),"不可评价",IF(AND(M701="positive",O701="positive"),"a",IF(O701="positive","b",IF(M701="positive","c","d"))))</x:f>
        <x:v>d</x:v>
      </x:c>
      <x:c r="AC701" s="12" t="str">
        <x:f>IF(OR(R701="unavailable",T701="unavailable"),"不可评价",IF(AND(OR(R701="positive",R701="equivocal"),OR(T701="positive",T701="equivocal")),"a",IF(OR(T701="positive",T701="equivocal"),"b",IF(OR(R701="positive",R701="equivocal"),"c","d"))))</x:f>
        <x:v>d</x:v>
      </x:c>
      <x:c r="AD701" s="12" t="str">
        <x:f>IF(OR(R701="unavailable",T701="unavailable"),"不可评价",IF(AND(R701="positive",T701="positive"),"a",IF(T701="positive","b",IF(R701="positive","c","d"))))</x:f>
        <x:v>d</x:v>
      </x:c>
      <x:c r="AE701" s="12" t="str">
        <x:f>IF(OR(W701="unavailable",Y701="unavailable"),"不可评价",IF(AND(OR(W701="positive",W701="equivocal"),OR(Y701="positive",Y701="equivocal")),"a",IF(OR(Y701="positive",Y701="equivocal"),"b",IF(OR(W701="positive",W701="equivocal"),"c","d"))))</x:f>
        <x:v>d</x:v>
      </x:c>
      <x:c r="AF701" s="12" t="str">
        <x:f>IF(OR(W701="unavailable",Y701="unavailable"),"不可评价",IF(AND(W701="positive",Y701="positive"),"a",IF(Y701="positive","b",IF(W701="positive","c","d"))))</x:f>
        <x:v>d</x:v>
      </x:c>
    </x:row>
    <x:row r="702" ht="24" customHeight="1">
      <x:c r="A702" s="12" t="str">
        <x:v>5837</x:v>
      </x:c>
      <x:c r="B702" s="12" t="str">
        <x:v>9716</x:v>
      </x:c>
      <x:c r="C702" s="21" t="n">
        <x:v>33295.52203703704</x:v>
      </x:c>
      <x:c r="D702" s="12" t="n">
        <x:v>36</x:v>
      </x:c>
      <x:c r="E702" s="12" t="n">
        <x:v>1</x:v>
      </x:c>
      <x:c r="F702" s="12" t="str">
        <x:v>未记录</x:v>
      </x:c>
      <x:c r="G702" s="12" t="n">
        <x:v>1</x:v>
      </x:c>
      <x:c r="H702" s="12" t="str">
        <x:v>{'NORM': 80.0}</x:v>
      </x:c>
      <x:c r="I702" s="12" t="str">
        <x:v>[('NSR', 100.0), ('SAR', 100.0), ('NML', 100.0)]</x:v>
      </x:c>
      <x:c r="J702" s="12" t="str">
        <x:v>ptbxl_database.csv；ecg_id=5837；scp_codes</x:v>
      </x:c>
      <x:c r="K702" s="12" t="str">
        <x:v>12sl_statements.csv；ecg_id=5837；statements_ext_snomed</x:v>
      </x:c>
      <x:c r="L702" s="12"/>
      <x:c r="M702" s="12" t="str">
        <x:v>negative</x:v>
      </x:c>
      <x:c r="N702" s="12"/>
      <x:c r="O702" s="12" t="str">
        <x:v>negative</x:v>
      </x:c>
      <x:c r="P702" s="12" t="str">
        <x:f>IF(OR(M702="unavailable",O702="unavailable"),"不可评价",IF(OR(M702="equivocal",O702="equivocal"),"疑似",IF(AND(M702="positive",O702="positive"),"a",IF(O702="positive","b",IF(M702="positive","c","d")))))</x:f>
        <x:v>d</x:v>
      </x:c>
      <x:c r="Q702" s="12"/>
      <x:c r="R702" s="12" t="str">
        <x:v>negative</x:v>
      </x:c>
      <x:c r="S702" s="12"/>
      <x:c r="T702" s="12" t="str">
        <x:v>negative</x:v>
      </x:c>
      <x:c r="U702" s="12" t="str">
        <x:f>IF(OR(R702="unavailable",T702="unavailable"),"不可评价",IF(OR(R702="equivocal",T702="equivocal"),"疑似",IF(AND(R702="positive",T702="positive"),"a",IF(T702="positive","b",IF(R702="positive","c","d")))))</x:f>
        <x:v>d</x:v>
      </x:c>
      <x:c r="V702" s="12"/>
      <x:c r="W702" s="12" t="str">
        <x:v>negative</x:v>
      </x:c>
      <x:c r="X702" s="12"/>
      <x:c r="Y702" s="12" t="str">
        <x:v>negative</x:v>
      </x:c>
      <x:c r="Z702" s="12" t="str">
        <x:f>IF(OR(W702="unavailable",Y702="unavailable"),"不可评价",IF(OR(W702="equivocal",Y702="equivocal"),"疑似",IF(AND(W702="positive",Y702="positive"),"a",IF(Y702="positive","b",IF(W702="positive","c","d")))))</x:f>
        <x:v>d</x:v>
      </x:c>
      <x:c r="AA702" s="12" t="str">
        <x:f>IF(OR(M702="unavailable",O702="unavailable"),"不可评价",IF(AND(OR(M702="positive",M702="equivocal"),OR(O702="positive",O702="equivocal")),"a",IF(OR(O702="positive",O702="equivocal"),"b",IF(OR(M702="positive",M702="equivocal"),"c","d"))))</x:f>
        <x:v>d</x:v>
      </x:c>
      <x:c r="AB702" s="12" t="str">
        <x:f>IF(OR(M702="unavailable",O702="unavailable"),"不可评价",IF(AND(M702="positive",O702="positive"),"a",IF(O702="positive","b",IF(M702="positive","c","d"))))</x:f>
        <x:v>d</x:v>
      </x:c>
      <x:c r="AC702" s="12" t="str">
        <x:f>IF(OR(R702="unavailable",T702="unavailable"),"不可评价",IF(AND(OR(R702="positive",R702="equivocal"),OR(T702="positive",T702="equivocal")),"a",IF(OR(T702="positive",T702="equivocal"),"b",IF(OR(R702="positive",R702="equivocal"),"c","d"))))</x:f>
        <x:v>d</x:v>
      </x:c>
      <x:c r="AD702" s="12" t="str">
        <x:f>IF(OR(R702="unavailable",T702="unavailable"),"不可评价",IF(AND(R702="positive",T702="positive"),"a",IF(T702="positive","b",IF(R702="positive","c","d"))))</x:f>
        <x:v>d</x:v>
      </x:c>
      <x:c r="AE702" s="12" t="str">
        <x:f>IF(OR(W702="unavailable",Y702="unavailable"),"不可评价",IF(AND(OR(W702="positive",W702="equivocal"),OR(Y702="positive",Y702="equivocal")),"a",IF(OR(Y702="positive",Y702="equivocal"),"b",IF(OR(W702="positive",W702="equivocal"),"c","d"))))</x:f>
        <x:v>d</x:v>
      </x:c>
      <x:c r="AF702" s="12" t="str">
        <x:f>IF(OR(W702="unavailable",Y702="unavailable"),"不可评价",IF(AND(W702="positive",Y702="positive"),"a",IF(Y702="positive","b",IF(W702="positive","c","d"))))</x:f>
        <x:v>d</x:v>
      </x:c>
    </x:row>
    <x:row r="703" ht="24" customHeight="1">
      <x:c r="A703" s="12" t="str">
        <x:v>5841</x:v>
      </x:c>
      <x:c r="B703" s="12" t="str">
        <x:v>10624</x:v>
      </x:c>
      <x:c r="C703" s="21" t="n">
        <x:v>33296.31068287037</x:v>
      </x:c>
      <x:c r="D703" s="12" t="n">
        <x:v>73</x:v>
      </x:c>
      <x:c r="E703" s="12" t="n">
        <x:v>1</x:v>
      </x:c>
      <x:c r="F703" s="12" t="str">
        <x:v>未记录</x:v>
      </x:c>
      <x:c r="G703" s="12" t="n">
        <x:v>1</x:v>
      </x:c>
      <x:c r="H703" s="12" t="str">
        <x:v>{'NDT': 100.0}</x:v>
      </x:c>
      <x:c r="I703" s="12" t="str">
        <x:v>[('STACH', 100.0), ('ABR', 100.0)]</x:v>
      </x:c>
      <x:c r="J703" s="12" t="str">
        <x:v>ptbxl_database.csv；ecg_id=5841；scp_codes</x:v>
      </x:c>
      <x:c r="K703" s="12" t="str">
        <x:v>12sl_statements.csv；ecg_id=5841；statements_ext_snomed</x:v>
      </x:c>
      <x:c r="L703" s="12"/>
      <x:c r="M703" s="12" t="str">
        <x:v>negative</x:v>
      </x:c>
      <x:c r="N703" s="12"/>
      <x:c r="O703" s="12" t="str">
        <x:v>negative</x:v>
      </x:c>
      <x:c r="P703" s="12" t="str">
        <x:f>IF(OR(M703="unavailable",O703="unavailable"),"不可评价",IF(OR(M703="equivocal",O703="equivocal"),"疑似",IF(AND(M703="positive",O703="positive"),"a",IF(O703="positive","b",IF(M703="positive","c","d")))))</x:f>
        <x:v>d</x:v>
      </x:c>
      <x:c r="Q703" s="12"/>
      <x:c r="R703" s="12" t="str">
        <x:v>negative</x:v>
      </x:c>
      <x:c r="S703" s="12"/>
      <x:c r="T703" s="12" t="str">
        <x:v>negative</x:v>
      </x:c>
      <x:c r="U703" s="12" t="str">
        <x:f>IF(OR(R703="unavailable",T703="unavailable"),"不可评价",IF(OR(R703="equivocal",T703="equivocal"),"疑似",IF(AND(R703="positive",T703="positive"),"a",IF(T703="positive","b",IF(R703="positive","c","d")))))</x:f>
        <x:v>d</x:v>
      </x:c>
      <x:c r="V703" s="12"/>
      <x:c r="W703" s="12" t="str">
        <x:v>negative</x:v>
      </x:c>
      <x:c r="X703" s="12"/>
      <x:c r="Y703" s="12" t="str">
        <x:v>negative</x:v>
      </x:c>
      <x:c r="Z703" s="12" t="str">
        <x:f>IF(OR(W703="unavailable",Y703="unavailable"),"不可评价",IF(OR(W703="equivocal",Y703="equivocal"),"疑似",IF(AND(W703="positive",Y703="positive"),"a",IF(Y703="positive","b",IF(W703="positive","c","d")))))</x:f>
        <x:v>d</x:v>
      </x:c>
      <x:c r="AA703" s="12" t="str">
        <x:f>IF(OR(M703="unavailable",O703="unavailable"),"不可评价",IF(AND(OR(M703="positive",M703="equivocal"),OR(O703="positive",O703="equivocal")),"a",IF(OR(O703="positive",O703="equivocal"),"b",IF(OR(M703="positive",M703="equivocal"),"c","d"))))</x:f>
        <x:v>d</x:v>
      </x:c>
      <x:c r="AB703" s="12" t="str">
        <x:f>IF(OR(M703="unavailable",O703="unavailable"),"不可评价",IF(AND(M703="positive",O703="positive"),"a",IF(O703="positive","b",IF(M703="positive","c","d"))))</x:f>
        <x:v>d</x:v>
      </x:c>
      <x:c r="AC703" s="12" t="str">
        <x:f>IF(OR(R703="unavailable",T703="unavailable"),"不可评价",IF(AND(OR(R703="positive",R703="equivocal"),OR(T703="positive",T703="equivocal")),"a",IF(OR(T703="positive",T703="equivocal"),"b",IF(OR(R703="positive",R703="equivocal"),"c","d"))))</x:f>
        <x:v>d</x:v>
      </x:c>
      <x:c r="AD703" s="12" t="str">
        <x:f>IF(OR(R703="unavailable",T703="unavailable"),"不可评价",IF(AND(R703="positive",T703="positive"),"a",IF(T703="positive","b",IF(R703="positive","c","d"))))</x:f>
        <x:v>d</x:v>
      </x:c>
      <x:c r="AE703" s="12" t="str">
        <x:f>IF(OR(W703="unavailable",Y703="unavailable"),"不可评价",IF(AND(OR(W703="positive",W703="equivocal"),OR(Y703="positive",Y703="equivocal")),"a",IF(OR(Y703="positive",Y703="equivocal"),"b",IF(OR(W703="positive",W703="equivocal"),"c","d"))))</x:f>
        <x:v>d</x:v>
      </x:c>
      <x:c r="AF703" s="12" t="str">
        <x:f>IF(OR(W703="unavailable",Y703="unavailable"),"不可评价",IF(AND(W703="positive",Y703="positive"),"a",IF(Y703="positive","b",IF(W703="positive","c","d"))))</x:f>
        <x:v>d</x:v>
      </x:c>
    </x:row>
    <x:row r="704" ht="24" customHeight="1">
      <x:c r="A704" s="12" t="str">
        <x:v>5855</x:v>
      </x:c>
      <x:c r="B704" s="12" t="str">
        <x:v>4755</x:v>
      </x:c>
      <x:c r="C704" s="21" t="n">
        <x:v>33297.62956018518</x:v>
      </x:c>
      <x:c r="D704" s="12" t="n">
        <x:v>21</x:v>
      </x:c>
      <x:c r="E704" s="12" t="n">
        <x:v>1</x:v>
      </x:c>
      <x:c r="F704" s="12" t="str">
        <x:v>未记录</x:v>
      </x:c>
      <x:c r="G704" s="12" t="n">
        <x:v>1</x:v>
      </x:c>
      <x:c r="H704" s="12" t="str">
        <x:v>{'NORM': 100.0, 'SR': 0.0}</x:v>
      </x:c>
      <x:c r="I704" s="12" t="str">
        <x:v>[('NSR', 100.0), ('NML', 100.0)]</x:v>
      </x:c>
      <x:c r="J704" s="12" t="str">
        <x:v>ptbxl_database.csv；ecg_id=5855；scp_codes</x:v>
      </x:c>
      <x:c r="K704" s="12" t="str">
        <x:v>12sl_statements.csv；ecg_id=5855；statements_ext_snomed</x:v>
      </x:c>
      <x:c r="L704" s="12"/>
      <x:c r="M704" s="12" t="str">
        <x:v>negative</x:v>
      </x:c>
      <x:c r="N704" s="12"/>
      <x:c r="O704" s="12" t="str">
        <x:v>negative</x:v>
      </x:c>
      <x:c r="P704" s="12" t="str">
        <x:f>IF(OR(M704="unavailable",O704="unavailable"),"不可评价",IF(OR(M704="equivocal",O704="equivocal"),"疑似",IF(AND(M704="positive",O704="positive"),"a",IF(O704="positive","b",IF(M704="positive","c","d")))))</x:f>
        <x:v>d</x:v>
      </x:c>
      <x:c r="Q704" s="12"/>
      <x:c r="R704" s="12" t="str">
        <x:v>negative</x:v>
      </x:c>
      <x:c r="S704" s="12"/>
      <x:c r="T704" s="12" t="str">
        <x:v>negative</x:v>
      </x:c>
      <x:c r="U704" s="12" t="str">
        <x:f>IF(OR(R704="unavailable",T704="unavailable"),"不可评价",IF(OR(R704="equivocal",T704="equivocal"),"疑似",IF(AND(R704="positive",T704="positive"),"a",IF(T704="positive","b",IF(R704="positive","c","d")))))</x:f>
        <x:v>d</x:v>
      </x:c>
      <x:c r="V704" s="12"/>
      <x:c r="W704" s="12" t="str">
        <x:v>negative</x:v>
      </x:c>
      <x:c r="X704" s="12"/>
      <x:c r="Y704" s="12" t="str">
        <x:v>negative</x:v>
      </x:c>
      <x:c r="Z704" s="12" t="str">
        <x:f>IF(OR(W704="unavailable",Y704="unavailable"),"不可评价",IF(OR(W704="equivocal",Y704="equivocal"),"疑似",IF(AND(W704="positive",Y704="positive"),"a",IF(Y704="positive","b",IF(W704="positive","c","d")))))</x:f>
        <x:v>d</x:v>
      </x:c>
      <x:c r="AA704" s="12" t="str">
        <x:f>IF(OR(M704="unavailable",O704="unavailable"),"不可评价",IF(AND(OR(M704="positive",M704="equivocal"),OR(O704="positive",O704="equivocal")),"a",IF(OR(O704="positive",O704="equivocal"),"b",IF(OR(M704="positive",M704="equivocal"),"c","d"))))</x:f>
        <x:v>d</x:v>
      </x:c>
      <x:c r="AB704" s="12" t="str">
        <x:f>IF(OR(M704="unavailable",O704="unavailable"),"不可评价",IF(AND(M704="positive",O704="positive"),"a",IF(O704="positive","b",IF(M704="positive","c","d"))))</x:f>
        <x:v>d</x:v>
      </x:c>
      <x:c r="AC704" s="12" t="str">
        <x:f>IF(OR(R704="unavailable",T704="unavailable"),"不可评价",IF(AND(OR(R704="positive",R704="equivocal"),OR(T704="positive",T704="equivocal")),"a",IF(OR(T704="positive",T704="equivocal"),"b",IF(OR(R704="positive",R704="equivocal"),"c","d"))))</x:f>
        <x:v>d</x:v>
      </x:c>
      <x:c r="AD704" s="12" t="str">
        <x:f>IF(OR(R704="unavailable",T704="unavailable"),"不可评价",IF(AND(R704="positive",T704="positive"),"a",IF(T704="positive","b",IF(R704="positive","c","d"))))</x:f>
        <x:v>d</x:v>
      </x:c>
      <x:c r="AE704" s="12" t="str">
        <x:f>IF(OR(W704="unavailable",Y704="unavailable"),"不可评价",IF(AND(OR(W704="positive",W704="equivocal"),OR(Y704="positive",Y704="equivocal")),"a",IF(OR(Y704="positive",Y704="equivocal"),"b",IF(OR(W704="positive",W704="equivocal"),"c","d"))))</x:f>
        <x:v>d</x:v>
      </x:c>
      <x:c r="AF704" s="12" t="str">
        <x:f>IF(OR(W704="unavailable",Y704="unavailable"),"不可评价",IF(AND(W704="positive",Y704="positive"),"a",IF(Y704="positive","b",IF(W704="positive","c","d"))))</x:f>
        <x:v>d</x:v>
      </x:c>
    </x:row>
    <x:row r="705" ht="24" customHeight="1">
      <x:c r="A705" s="12" t="str">
        <x:v>5856</x:v>
      </x:c>
      <x:c r="B705" s="12" t="str">
        <x:v>7760</x:v>
      </x:c>
      <x:c r="C705" s="21" t="n">
        <x:v>33297.651041666664</x:v>
      </x:c>
      <x:c r="D705" s="12" t="n">
        <x:v>74</x:v>
      </x:c>
      <x:c r="E705" s="12" t="n">
        <x:v>0</x:v>
      </x:c>
      <x:c r="F705" s="12" t="str">
        <x:v>未记录</x:v>
      </x:c>
      <x:c r="G705" s="12" t="n">
        <x:v>1</x:v>
      </x:c>
      <x:c r="H705" s="12" t="str">
        <x:v>{'ASMI': 100.0, 'LAFB': 100.0, 'SR': 0.0}</x:v>
      </x:c>
      <x:c r="I705" s="12" t="str">
        <x:v>[('NSR', 100.0), ('LAD3', 100.0), ('ASMI;AU', 100.0), ('AB', 100.0)]</x:v>
      </x:c>
      <x:c r="J705" s="12" t="str">
        <x:v>ptbxl_database.csv；ecg_id=5856；scp_codes</x:v>
      </x:c>
      <x:c r="K705" s="12" t="str">
        <x:v>12sl_statements.csv；ecg_id=5856；statements_ext_snomed</x:v>
      </x:c>
      <x:c r="L705" s="12"/>
      <x:c r="M705" s="12" t="str">
        <x:v>negative</x:v>
      </x:c>
      <x:c r="N705" s="12"/>
      <x:c r="O705" s="12" t="str">
        <x:v>negative</x:v>
      </x:c>
      <x:c r="P705" s="12" t="str">
        <x:f>IF(OR(M705="unavailable",O705="unavailable"),"不可评价",IF(OR(M705="equivocal",O705="equivocal"),"疑似",IF(AND(M705="positive",O705="positive"),"a",IF(O705="positive","b",IF(M705="positive","c","d")))))</x:f>
        <x:v>d</x:v>
      </x:c>
      <x:c r="Q705" s="12"/>
      <x:c r="R705" s="12" t="str">
        <x:v>negative</x:v>
      </x:c>
      <x:c r="S705" s="12"/>
      <x:c r="T705" s="12" t="str">
        <x:v>negative</x:v>
      </x:c>
      <x:c r="U705" s="12" t="str">
        <x:f>IF(OR(R705="unavailable",T705="unavailable"),"不可评价",IF(OR(R705="equivocal",T705="equivocal"),"疑似",IF(AND(R705="positive",T705="positive"),"a",IF(T705="positive","b",IF(R705="positive","c","d")))))</x:f>
        <x:v>d</x:v>
      </x:c>
      <x:c r="V705" s="12"/>
      <x:c r="W705" s="12" t="str">
        <x:v>negative</x:v>
      </x:c>
      <x:c r="X705" s="12"/>
      <x:c r="Y705" s="12" t="str">
        <x:v>negative</x:v>
      </x:c>
      <x:c r="Z705" s="12" t="str">
        <x:f>IF(OR(W705="unavailable",Y705="unavailable"),"不可评价",IF(OR(W705="equivocal",Y705="equivocal"),"疑似",IF(AND(W705="positive",Y705="positive"),"a",IF(Y705="positive","b",IF(W705="positive","c","d")))))</x:f>
        <x:v>d</x:v>
      </x:c>
      <x:c r="AA705" s="12" t="str">
        <x:f>IF(OR(M705="unavailable",O705="unavailable"),"不可评价",IF(AND(OR(M705="positive",M705="equivocal"),OR(O705="positive",O705="equivocal")),"a",IF(OR(O705="positive",O705="equivocal"),"b",IF(OR(M705="positive",M705="equivocal"),"c","d"))))</x:f>
        <x:v>d</x:v>
      </x:c>
      <x:c r="AB705" s="12" t="str">
        <x:f>IF(OR(M705="unavailable",O705="unavailable"),"不可评价",IF(AND(M705="positive",O705="positive"),"a",IF(O705="positive","b",IF(M705="positive","c","d"))))</x:f>
        <x:v>d</x:v>
      </x:c>
      <x:c r="AC705" s="12" t="str">
        <x:f>IF(OR(R705="unavailable",T705="unavailable"),"不可评价",IF(AND(OR(R705="positive",R705="equivocal"),OR(T705="positive",T705="equivocal")),"a",IF(OR(T705="positive",T705="equivocal"),"b",IF(OR(R705="positive",R705="equivocal"),"c","d"))))</x:f>
        <x:v>d</x:v>
      </x:c>
      <x:c r="AD705" s="12" t="str">
        <x:f>IF(OR(R705="unavailable",T705="unavailable"),"不可评价",IF(AND(R705="positive",T705="positive"),"a",IF(T705="positive","b",IF(R705="positive","c","d"))))</x:f>
        <x:v>d</x:v>
      </x:c>
      <x:c r="AE705" s="12" t="str">
        <x:f>IF(OR(W705="unavailable",Y705="unavailable"),"不可评价",IF(AND(OR(W705="positive",W705="equivocal"),OR(Y705="positive",Y705="equivocal")),"a",IF(OR(Y705="positive",Y705="equivocal"),"b",IF(OR(W705="positive",W705="equivocal"),"c","d"))))</x:f>
        <x:v>d</x:v>
      </x:c>
      <x:c r="AF705" s="12" t="str">
        <x:f>IF(OR(W705="unavailable",Y705="unavailable"),"不可评价",IF(AND(W705="positive",Y705="positive"),"a",IF(Y705="positive","b",IF(W705="positive","c","d"))))</x:f>
        <x:v>d</x:v>
      </x:c>
    </x:row>
    <x:row r="706" ht="24" customHeight="1">
      <x:c r="A706" s="12" t="str">
        <x:v>5868</x:v>
      </x:c>
      <x:c r="B706" s="12" t="str">
        <x:v>10623</x:v>
      </x:c>
      <x:c r="C706" s="21" t="n">
        <x:v>33301.40305555556</x:v>
      </x:c>
      <x:c r="D706" s="12" t="n">
        <x:v>63</x:v>
      </x:c>
      <x:c r="E706" s="12" t="n">
        <x:v>1</x:v>
      </x:c>
      <x:c r="F706" s="12" t="str">
        <x:v>未记录</x:v>
      </x:c>
      <x:c r="G706" s="12" t="n">
        <x:v>1</x:v>
      </x:c>
      <x:c r="H706" s="12" t="str">
        <x:v>{'LVH': 50.0, 'ISCIN': 50.0, 'SR': 0.0}</x:v>
      </x:c>
      <x:c r="I706" s="12" t="str">
        <x:v>[('SRTH', 100.0), ('SPR', 100.0), ('NST', 100.0), ('AB', 100.0)]</x:v>
      </x:c>
      <x:c r="J706" s="12" t="str">
        <x:v>ptbxl_database.csv；ecg_id=5868；scp_codes</x:v>
      </x:c>
      <x:c r="K706" s="12" t="str">
        <x:v>12sl_statements.csv；ecg_id=5868；statements_ext_snomed</x:v>
      </x:c>
      <x:c r="L706" s="12"/>
      <x:c r="M706" s="12" t="str">
        <x:v>negative</x:v>
      </x:c>
      <x:c r="N706" s="12"/>
      <x:c r="O706" s="12" t="str">
        <x:v>negative</x:v>
      </x:c>
      <x:c r="P706" s="12" t="str">
        <x:f>IF(OR(M706="unavailable",O706="unavailable"),"不可评价",IF(OR(M706="equivocal",O706="equivocal"),"疑似",IF(AND(M706="positive",O706="positive"),"a",IF(O706="positive","b",IF(M706="positive","c","d")))))</x:f>
        <x:v>d</x:v>
      </x:c>
      <x:c r="Q706" s="12"/>
      <x:c r="R706" s="12" t="str">
        <x:v>negative</x:v>
      </x:c>
      <x:c r="S706" s="12"/>
      <x:c r="T706" s="12" t="str">
        <x:v>negative</x:v>
      </x:c>
      <x:c r="U706" s="12" t="str">
        <x:f>IF(OR(R706="unavailable",T706="unavailable"),"不可评价",IF(OR(R706="equivocal",T706="equivocal"),"疑似",IF(AND(R706="positive",T706="positive"),"a",IF(T706="positive","b",IF(R706="positive","c","d")))))</x:f>
        <x:v>d</x:v>
      </x:c>
      <x:c r="V706" s="12"/>
      <x:c r="W706" s="12" t="str">
        <x:v>negative</x:v>
      </x:c>
      <x:c r="X706" s="12"/>
      <x:c r="Y706" s="12" t="str">
        <x:v>negative</x:v>
      </x:c>
      <x:c r="Z706" s="12" t="str">
        <x:f>IF(OR(W706="unavailable",Y706="unavailable"),"不可评价",IF(OR(W706="equivocal",Y706="equivocal"),"疑似",IF(AND(W706="positive",Y706="positive"),"a",IF(Y706="positive","b",IF(W706="positive","c","d")))))</x:f>
        <x:v>d</x:v>
      </x:c>
      <x:c r="AA706" s="12" t="str">
        <x:f>IF(OR(M706="unavailable",O706="unavailable"),"不可评价",IF(AND(OR(M706="positive",M706="equivocal"),OR(O706="positive",O706="equivocal")),"a",IF(OR(O706="positive",O706="equivocal"),"b",IF(OR(M706="positive",M706="equivocal"),"c","d"))))</x:f>
        <x:v>d</x:v>
      </x:c>
      <x:c r="AB706" s="12" t="str">
        <x:f>IF(OR(M706="unavailable",O706="unavailable"),"不可评价",IF(AND(M706="positive",O706="positive"),"a",IF(O706="positive","b",IF(M706="positive","c","d"))))</x:f>
        <x:v>d</x:v>
      </x:c>
      <x:c r="AC706" s="12" t="str">
        <x:f>IF(OR(R706="unavailable",T706="unavailable"),"不可评价",IF(AND(OR(R706="positive",R706="equivocal"),OR(T706="positive",T706="equivocal")),"a",IF(OR(T706="positive",T706="equivocal"),"b",IF(OR(R706="positive",R706="equivocal"),"c","d"))))</x:f>
        <x:v>d</x:v>
      </x:c>
      <x:c r="AD706" s="12" t="str">
        <x:f>IF(OR(R706="unavailable",T706="unavailable"),"不可评价",IF(AND(R706="positive",T706="positive"),"a",IF(T706="positive","b",IF(R706="positive","c","d"))))</x:f>
        <x:v>d</x:v>
      </x:c>
      <x:c r="AE706" s="12" t="str">
        <x:f>IF(OR(W706="unavailable",Y706="unavailable"),"不可评价",IF(AND(OR(W706="positive",W706="equivocal"),OR(Y706="positive",Y706="equivocal")),"a",IF(OR(Y706="positive",Y706="equivocal"),"b",IF(OR(W706="positive",W706="equivocal"),"c","d"))))</x:f>
        <x:v>d</x:v>
      </x:c>
      <x:c r="AF706" s="12" t="str">
        <x:f>IF(OR(W706="unavailable",Y706="unavailable"),"不可评价",IF(AND(W706="positive",Y706="positive"),"a",IF(Y706="positive","b",IF(W706="positive","c","d"))))</x:f>
        <x:v>d</x:v>
      </x:c>
    </x:row>
    <x:row r="707" ht="24" customHeight="1">
      <x:c r="A707" s="12" t="str">
        <x:v>5873</x:v>
      </x:c>
      <x:c r="B707" s="12" t="str">
        <x:v>10624</x:v>
      </x:c>
      <x:c r="C707" s="21" t="n">
        <x:v>33302.330347222225</x:v>
      </x:c>
      <x:c r="D707" s="12" t="n">
        <x:v>73</x:v>
      </x:c>
      <x:c r="E707" s="12" t="n">
        <x:v>1</x:v>
      </x:c>
      <x:c r="F707" s="12" t="str">
        <x:v>未记录</x:v>
      </x:c>
      <x:c r="G707" s="12" t="n">
        <x:v>0</x:v>
      </x:c>
      <x:c r="H707" s="12" t="str">
        <x:v>{'NDT': 100.0, 'SR': 0.0}</x:v>
      </x:c>
      <x:c r="I707" s="12" t="str">
        <x:v>[('NSR', 100.0), ('NML', 100.0)]</x:v>
      </x:c>
      <x:c r="J707" s="12" t="str">
        <x:v>ptbxl_database.csv；ecg_id=5873；scp_codes</x:v>
      </x:c>
      <x:c r="K707" s="12" t="str">
        <x:v>12sl_statements.csv；ecg_id=5873；statements_ext_snomed</x:v>
      </x:c>
      <x:c r="L707" s="12"/>
      <x:c r="M707" s="12" t="str">
        <x:v>negative</x:v>
      </x:c>
      <x:c r="N707" s="12"/>
      <x:c r="O707" s="12" t="str">
        <x:v>negative</x:v>
      </x:c>
      <x:c r="P707" s="12" t="str">
        <x:f>IF(OR(M707="unavailable",O707="unavailable"),"不可评价",IF(OR(M707="equivocal",O707="equivocal"),"疑似",IF(AND(M707="positive",O707="positive"),"a",IF(O707="positive","b",IF(M707="positive","c","d")))))</x:f>
        <x:v>d</x:v>
      </x:c>
      <x:c r="Q707" s="12"/>
      <x:c r="R707" s="12" t="str">
        <x:v>negative</x:v>
      </x:c>
      <x:c r="S707" s="12"/>
      <x:c r="T707" s="12" t="str">
        <x:v>negative</x:v>
      </x:c>
      <x:c r="U707" s="12" t="str">
        <x:f>IF(OR(R707="unavailable",T707="unavailable"),"不可评价",IF(OR(R707="equivocal",T707="equivocal"),"疑似",IF(AND(R707="positive",T707="positive"),"a",IF(T707="positive","b",IF(R707="positive","c","d")))))</x:f>
        <x:v>d</x:v>
      </x:c>
      <x:c r="V707" s="12"/>
      <x:c r="W707" s="12" t="str">
        <x:v>negative</x:v>
      </x:c>
      <x:c r="X707" s="12"/>
      <x:c r="Y707" s="12" t="str">
        <x:v>negative</x:v>
      </x:c>
      <x:c r="Z707" s="12" t="str">
        <x:f>IF(OR(W707="unavailable",Y707="unavailable"),"不可评价",IF(OR(W707="equivocal",Y707="equivocal"),"疑似",IF(AND(W707="positive",Y707="positive"),"a",IF(Y707="positive","b",IF(W707="positive","c","d")))))</x:f>
        <x:v>d</x:v>
      </x:c>
      <x:c r="AA707" s="12" t="str">
        <x:f>IF(OR(M707="unavailable",O707="unavailable"),"不可评价",IF(AND(OR(M707="positive",M707="equivocal"),OR(O707="positive",O707="equivocal")),"a",IF(OR(O707="positive",O707="equivocal"),"b",IF(OR(M707="positive",M707="equivocal"),"c","d"))))</x:f>
        <x:v>d</x:v>
      </x:c>
      <x:c r="AB707" s="12" t="str">
        <x:f>IF(OR(M707="unavailable",O707="unavailable"),"不可评价",IF(AND(M707="positive",O707="positive"),"a",IF(O707="positive","b",IF(M707="positive","c","d"))))</x:f>
        <x:v>d</x:v>
      </x:c>
      <x:c r="AC707" s="12" t="str">
        <x:f>IF(OR(R707="unavailable",T707="unavailable"),"不可评价",IF(AND(OR(R707="positive",R707="equivocal"),OR(T707="positive",T707="equivocal")),"a",IF(OR(T707="positive",T707="equivocal"),"b",IF(OR(R707="positive",R707="equivocal"),"c","d"))))</x:f>
        <x:v>d</x:v>
      </x:c>
      <x:c r="AD707" s="12" t="str">
        <x:f>IF(OR(R707="unavailable",T707="unavailable"),"不可评价",IF(AND(R707="positive",T707="positive"),"a",IF(T707="positive","b",IF(R707="positive","c","d"))))</x:f>
        <x:v>d</x:v>
      </x:c>
      <x:c r="AE707" s="12" t="str">
        <x:f>IF(OR(W707="unavailable",Y707="unavailable"),"不可评价",IF(AND(OR(W707="positive",W707="equivocal"),OR(Y707="positive",Y707="equivocal")),"a",IF(OR(Y707="positive",Y707="equivocal"),"b",IF(OR(W707="positive",W707="equivocal"),"c","d"))))</x:f>
        <x:v>d</x:v>
      </x:c>
      <x:c r="AF707" s="12" t="str">
        <x:f>IF(OR(W707="unavailable",Y707="unavailable"),"不可评价",IF(AND(W707="positive",Y707="positive"),"a",IF(Y707="positive","b",IF(W707="positive","c","d"))))</x:f>
        <x:v>d</x:v>
      </x:c>
    </x:row>
    <x:row r="708" ht="24" customHeight="1">
      <x:c r="A708" s="12" t="str">
        <x:v>5881</x:v>
      </x:c>
      <x:c r="B708" s="12" t="str">
        <x:v>21164</x:v>
      </x:c>
      <x:c r="C708" s="21" t="n">
        <x:v>33303.41685185185</x:v>
      </x:c>
      <x:c r="D708" s="12" t="n">
        <x:v>58</x:v>
      </x:c>
      <x:c r="E708" s="12" t="n">
        <x:v>1</x:v>
      </x:c>
      <x:c r="F708" s="12" t="str">
        <x:v>未记录</x:v>
      </x:c>
      <x:c r="G708" s="12" t="n">
        <x:v>1</x:v>
      </x:c>
      <x:c r="H708" s="12" t="str">
        <x:v>{'NDT': 100.0, 'SR': 0.0}</x:v>
      </x:c>
      <x:c r="I708" s="12" t="str">
        <x:v>[('NSR', 100.0), ('IMI;AU', 50.0), ('AB', 100.0)]</x:v>
      </x:c>
      <x:c r="J708" s="12" t="str">
        <x:v>ptbxl_database.csv；ecg_id=5881；scp_codes</x:v>
      </x:c>
      <x:c r="K708" s="12" t="str">
        <x:v>12sl_statements.csv；ecg_id=5881；statements_ext_snomed</x:v>
      </x:c>
      <x:c r="L708" s="12"/>
      <x:c r="M708" s="12" t="str">
        <x:v>negative</x:v>
      </x:c>
      <x:c r="N708" s="12"/>
      <x:c r="O708" s="12" t="str">
        <x:v>negative</x:v>
      </x:c>
      <x:c r="P708" s="12" t="str">
        <x:f>IF(OR(M708="unavailable",O708="unavailable"),"不可评价",IF(OR(M708="equivocal",O708="equivocal"),"疑似",IF(AND(M708="positive",O708="positive"),"a",IF(O708="positive","b",IF(M708="positive","c","d")))))</x:f>
        <x:v>d</x:v>
      </x:c>
      <x:c r="Q708" s="12"/>
      <x:c r="R708" s="12" t="str">
        <x:v>negative</x:v>
      </x:c>
      <x:c r="S708" s="12"/>
      <x:c r="T708" s="12" t="str">
        <x:v>negative</x:v>
      </x:c>
      <x:c r="U708" s="12" t="str">
        <x:f>IF(OR(R708="unavailable",T708="unavailable"),"不可评价",IF(OR(R708="equivocal",T708="equivocal"),"疑似",IF(AND(R708="positive",T708="positive"),"a",IF(T708="positive","b",IF(R708="positive","c","d")))))</x:f>
        <x:v>d</x:v>
      </x:c>
      <x:c r="V708" s="12"/>
      <x:c r="W708" s="12" t="str">
        <x:v>negative</x:v>
      </x:c>
      <x:c r="X708" s="12"/>
      <x:c r="Y708" s="12" t="str">
        <x:v>negative</x:v>
      </x:c>
      <x:c r="Z708" s="12" t="str">
        <x:f>IF(OR(W708="unavailable",Y708="unavailable"),"不可评价",IF(OR(W708="equivocal",Y708="equivocal"),"疑似",IF(AND(W708="positive",Y708="positive"),"a",IF(Y708="positive","b",IF(W708="positive","c","d")))))</x:f>
        <x:v>d</x:v>
      </x:c>
      <x:c r="AA708" s="12" t="str">
        <x:f>IF(OR(M708="unavailable",O708="unavailable"),"不可评价",IF(AND(OR(M708="positive",M708="equivocal"),OR(O708="positive",O708="equivocal")),"a",IF(OR(O708="positive",O708="equivocal"),"b",IF(OR(M708="positive",M708="equivocal"),"c","d"))))</x:f>
        <x:v>d</x:v>
      </x:c>
      <x:c r="AB708" s="12" t="str">
        <x:f>IF(OR(M708="unavailable",O708="unavailable"),"不可评价",IF(AND(M708="positive",O708="positive"),"a",IF(O708="positive","b",IF(M708="positive","c","d"))))</x:f>
        <x:v>d</x:v>
      </x:c>
      <x:c r="AC708" s="12" t="str">
        <x:f>IF(OR(R708="unavailable",T708="unavailable"),"不可评价",IF(AND(OR(R708="positive",R708="equivocal"),OR(T708="positive",T708="equivocal")),"a",IF(OR(T708="positive",T708="equivocal"),"b",IF(OR(R708="positive",R708="equivocal"),"c","d"))))</x:f>
        <x:v>d</x:v>
      </x:c>
      <x:c r="AD708" s="12" t="str">
        <x:f>IF(OR(R708="unavailable",T708="unavailable"),"不可评价",IF(AND(R708="positive",T708="positive"),"a",IF(T708="positive","b",IF(R708="positive","c","d"))))</x:f>
        <x:v>d</x:v>
      </x:c>
      <x:c r="AE708" s="12" t="str">
        <x:f>IF(OR(W708="unavailable",Y708="unavailable"),"不可评价",IF(AND(OR(W708="positive",W708="equivocal"),OR(Y708="positive",Y708="equivocal")),"a",IF(OR(Y708="positive",Y708="equivocal"),"b",IF(OR(W708="positive",W708="equivocal"),"c","d"))))</x:f>
        <x:v>d</x:v>
      </x:c>
      <x:c r="AF708" s="12" t="str">
        <x:f>IF(OR(W708="unavailable",Y708="unavailable"),"不可评价",IF(AND(W708="positive",Y708="positive"),"a",IF(Y708="positive","b",IF(W708="positive","c","d"))))</x:f>
        <x:v>d</x:v>
      </x:c>
    </x:row>
    <x:row r="709" ht="24" customHeight="1">
      <x:c r="A709" s="12" t="str">
        <x:v>5885</x:v>
      </x:c>
      <x:c r="B709" s="12" t="str">
        <x:v>20115</x:v>
      </x:c>
      <x:c r="C709" s="21" t="n">
        <x:v>33304.41137731481</x:v>
      </x:c>
      <x:c r="D709" s="12" t="n">
        <x:v>64</x:v>
      </x:c>
      <x:c r="E709" s="12" t="n">
        <x:v>1</x:v>
      </x:c>
      <x:c r="F709" s="12" t="str">
        <x:v>未记录</x:v>
      </x:c>
      <x:c r="G709" s="12" t="n">
        <x:v>1</x:v>
      </x:c>
      <x:c r="H709" s="12" t="str">
        <x:v>{'ASMI': 15.0, 'ISCAL': 100.0, 'AFIB': 0.0}</x:v>
      </x:c>
      <x:c r="I709" s="12" t="str">
        <x:v>[('AFIB', 100.0), ('IVCD', 100.0), ('ST&amp;', 100.0), ('LT', 100.0), ('AB', 100.0)]</x:v>
      </x:c>
      <x:c r="J709" s="12" t="str">
        <x:v>ptbxl_database.csv；ecg_id=5885；scp_codes</x:v>
      </x:c>
      <x:c r="K709" s="12" t="str">
        <x:v>12sl_statements.csv；ecg_id=5885；statements_ext_snomed</x:v>
      </x:c>
      <x:c r="L709" s="12" t="n">
        <x:v>0</x:v>
      </x:c>
      <x:c r="M709" s="12" t="str">
        <x:v>positive</x:v>
      </x:c>
      <x:c r="N709" s="12" t="n">
        <x:v>100</x:v>
      </x:c>
      <x:c r="O709" s="12" t="str">
        <x:v>positive</x:v>
      </x:c>
      <x:c r="P709" s="12" t="str">
        <x:f>IF(OR(M709="unavailable",O709="unavailable"),"不可评价",IF(OR(M709="equivocal",O709="equivocal"),"疑似",IF(AND(M709="positive",O709="positive"),"a",IF(O709="positive","b",IF(M709="positive","c","d")))))</x:f>
        <x:v>a</x:v>
      </x:c>
      <x:c r="Q709" s="12"/>
      <x:c r="R709" s="12" t="str">
        <x:v>negative</x:v>
      </x:c>
      <x:c r="S709" s="12"/>
      <x:c r="T709" s="12" t="str">
        <x:v>negative</x:v>
      </x:c>
      <x:c r="U709" s="12" t="str">
        <x:f>IF(OR(R709="unavailable",T709="unavailable"),"不可评价",IF(OR(R709="equivocal",T709="equivocal"),"疑似",IF(AND(R709="positive",T709="positive"),"a",IF(T709="positive","b",IF(R709="positive","c","d")))))</x:f>
        <x:v>d</x:v>
      </x:c>
      <x:c r="V709" s="12"/>
      <x:c r="W709" s="12" t="str">
        <x:v>negative</x:v>
      </x:c>
      <x:c r="X709" s="12"/>
      <x:c r="Y709" s="12" t="str">
        <x:v>negative</x:v>
      </x:c>
      <x:c r="Z709" s="12" t="str">
        <x:f>IF(OR(W709="unavailable",Y709="unavailable"),"不可评价",IF(OR(W709="equivocal",Y709="equivocal"),"疑似",IF(AND(W709="positive",Y709="positive"),"a",IF(Y709="positive","b",IF(W709="positive","c","d")))))</x:f>
        <x:v>d</x:v>
      </x:c>
      <x:c r="AA709" s="12" t="str">
        <x:f>IF(OR(M709="unavailable",O709="unavailable"),"不可评价",IF(AND(OR(M709="positive",M709="equivocal"),OR(O709="positive",O709="equivocal")),"a",IF(OR(O709="positive",O709="equivocal"),"b",IF(OR(M709="positive",M709="equivocal"),"c","d"))))</x:f>
        <x:v>a</x:v>
      </x:c>
      <x:c r="AB709" s="12" t="str">
        <x:f>IF(OR(M709="unavailable",O709="unavailable"),"不可评价",IF(AND(M709="positive",O709="positive"),"a",IF(O709="positive","b",IF(M709="positive","c","d"))))</x:f>
        <x:v>a</x:v>
      </x:c>
      <x:c r="AC709" s="12" t="str">
        <x:f>IF(OR(R709="unavailable",T709="unavailable"),"不可评价",IF(AND(OR(R709="positive",R709="equivocal"),OR(T709="positive",T709="equivocal")),"a",IF(OR(T709="positive",T709="equivocal"),"b",IF(OR(R709="positive",R709="equivocal"),"c","d"))))</x:f>
        <x:v>d</x:v>
      </x:c>
      <x:c r="AD709" s="12" t="str">
        <x:f>IF(OR(R709="unavailable",T709="unavailable"),"不可评价",IF(AND(R709="positive",T709="positive"),"a",IF(T709="positive","b",IF(R709="positive","c","d"))))</x:f>
        <x:v>d</x:v>
      </x:c>
      <x:c r="AE709" s="12" t="str">
        <x:f>IF(OR(W709="unavailable",Y709="unavailable"),"不可评价",IF(AND(OR(W709="positive",W709="equivocal"),OR(Y709="positive",Y709="equivocal")),"a",IF(OR(Y709="positive",Y709="equivocal"),"b",IF(OR(W709="positive",W709="equivocal"),"c","d"))))</x:f>
        <x:v>d</x:v>
      </x:c>
      <x:c r="AF709" s="12" t="str">
        <x:f>IF(OR(W709="unavailable",Y709="unavailable"),"不可评价",IF(AND(W709="positive",Y709="positive"),"a",IF(Y709="positive","b",IF(W709="positive","c","d"))))</x:f>
        <x:v>d</x:v>
      </x:c>
    </x:row>
    <x:row r="710" ht="24" customHeight="1">
      <x:c r="A710" s="12" t="str">
        <x:v>5911</x:v>
      </x:c>
      <x:c r="B710" s="12" t="str">
        <x:v>15294</x:v>
      </x:c>
      <x:c r="C710" s="21" t="n">
        <x:v>33312.235983796294</x:v>
      </x:c>
      <x:c r="D710" s="12" t="n">
        <x:v>65</x:v>
      </x:c>
      <x:c r="E710" s="12" t="n">
        <x:v>0</x:v>
      </x:c>
      <x:c r="F710" s="12" t="str">
        <x:v>未记录</x:v>
      </x:c>
      <x:c r="G710" s="12" t="n">
        <x:v>1</x:v>
      </x:c>
      <x:c r="H710" s="12" t="str">
        <x:v>{'LVH': 100.0}</x:v>
      </x:c>
      <x:c r="I710" s="12" t="str">
        <x:v>[('STACH', 100.0), ('NSTT', 100.0), ('AB', 100.0)]</x:v>
      </x:c>
      <x:c r="J710" s="12" t="str">
        <x:v>ptbxl_database.csv；ecg_id=5911；scp_codes</x:v>
      </x:c>
      <x:c r="K710" s="12" t="str">
        <x:v>12sl_statements.csv；ecg_id=5911；statements_ext_snomed</x:v>
      </x:c>
      <x:c r="L710" s="12"/>
      <x:c r="M710" s="12" t="str">
        <x:v>negative</x:v>
      </x:c>
      <x:c r="N710" s="12"/>
      <x:c r="O710" s="12" t="str">
        <x:v>negative</x:v>
      </x:c>
      <x:c r="P710" s="12" t="str">
        <x:f>IF(OR(M710="unavailable",O710="unavailable"),"不可评价",IF(OR(M710="equivocal",O710="equivocal"),"疑似",IF(AND(M710="positive",O710="positive"),"a",IF(O710="positive","b",IF(M710="positive","c","d")))))</x:f>
        <x:v>d</x:v>
      </x:c>
      <x:c r="Q710" s="12"/>
      <x:c r="R710" s="12" t="str">
        <x:v>negative</x:v>
      </x:c>
      <x:c r="S710" s="12"/>
      <x:c r="T710" s="12" t="str">
        <x:v>negative</x:v>
      </x:c>
      <x:c r="U710" s="12" t="str">
        <x:f>IF(OR(R710="unavailable",T710="unavailable"),"不可评价",IF(OR(R710="equivocal",T710="equivocal"),"疑似",IF(AND(R710="positive",T710="positive"),"a",IF(T710="positive","b",IF(R710="positive","c","d")))))</x:f>
        <x:v>d</x:v>
      </x:c>
      <x:c r="V710" s="12"/>
      <x:c r="W710" s="12" t="str">
        <x:v>negative</x:v>
      </x:c>
      <x:c r="X710" s="12"/>
      <x:c r="Y710" s="12" t="str">
        <x:v>negative</x:v>
      </x:c>
      <x:c r="Z710" s="12" t="str">
        <x:f>IF(OR(W710="unavailable",Y710="unavailable"),"不可评价",IF(OR(W710="equivocal",Y710="equivocal"),"疑似",IF(AND(W710="positive",Y710="positive"),"a",IF(Y710="positive","b",IF(W710="positive","c","d")))))</x:f>
        <x:v>d</x:v>
      </x:c>
      <x:c r="AA710" s="12" t="str">
        <x:f>IF(OR(M710="unavailable",O710="unavailable"),"不可评价",IF(AND(OR(M710="positive",M710="equivocal"),OR(O710="positive",O710="equivocal")),"a",IF(OR(O710="positive",O710="equivocal"),"b",IF(OR(M710="positive",M710="equivocal"),"c","d"))))</x:f>
        <x:v>d</x:v>
      </x:c>
      <x:c r="AB710" s="12" t="str">
        <x:f>IF(OR(M710="unavailable",O710="unavailable"),"不可评价",IF(AND(M710="positive",O710="positive"),"a",IF(O710="positive","b",IF(M710="positive","c","d"))))</x:f>
        <x:v>d</x:v>
      </x:c>
      <x:c r="AC710" s="12" t="str">
        <x:f>IF(OR(R710="unavailable",T710="unavailable"),"不可评价",IF(AND(OR(R710="positive",R710="equivocal"),OR(T710="positive",T710="equivocal")),"a",IF(OR(T710="positive",T710="equivocal"),"b",IF(OR(R710="positive",R710="equivocal"),"c","d"))))</x:f>
        <x:v>d</x:v>
      </x:c>
      <x:c r="AD710" s="12" t="str">
        <x:f>IF(OR(R710="unavailable",T710="unavailable"),"不可评价",IF(AND(R710="positive",T710="positive"),"a",IF(T710="positive","b",IF(R710="positive","c","d"))))</x:f>
        <x:v>d</x:v>
      </x:c>
      <x:c r="AE710" s="12" t="str">
        <x:f>IF(OR(W710="unavailable",Y710="unavailable"),"不可评价",IF(AND(OR(W710="positive",W710="equivocal"),OR(Y710="positive",Y710="equivocal")),"a",IF(OR(Y710="positive",Y710="equivocal"),"b",IF(OR(W710="positive",W710="equivocal"),"c","d"))))</x:f>
        <x:v>d</x:v>
      </x:c>
      <x:c r="AF710" s="12" t="str">
        <x:f>IF(OR(W710="unavailable",Y710="unavailable"),"不可评价",IF(AND(W710="positive",Y710="positive"),"a",IF(Y710="positive","b",IF(W710="positive","c","d"))))</x:f>
        <x:v>d</x:v>
      </x:c>
    </x:row>
    <x:row r="711" ht="24" customHeight="1">
      <x:c r="A711" s="12" t="str">
        <x:v>5914</x:v>
      </x:c>
      <x:c r="B711" s="12" t="str">
        <x:v>15439</x:v>
      </x:c>
      <x:c r="C711" s="21" t="n">
        <x:v>33312.45365740741</x:v>
      </x:c>
      <x:c r="D711" s="12" t="n">
        <x:v>30</x:v>
      </x:c>
      <x:c r="E711" s="12" t="n">
        <x:v>1</x:v>
      </x:c>
      <x:c r="F711" s="12" t="str">
        <x:v>未记录</x:v>
      </x:c>
      <x:c r="G711" s="12" t="n">
        <x:v>1</x:v>
      </x:c>
      <x:c r="H711" s="12" t="str">
        <x:v>{'NORM': 100.0, 'SR': 0.0}</x:v>
      </x:c>
      <x:c r="I711" s="12" t="str">
        <x:v>[('NSR', 100.0), ('NML', 100.0)]</x:v>
      </x:c>
      <x:c r="J711" s="12" t="str">
        <x:v>ptbxl_database.csv；ecg_id=5914；scp_codes</x:v>
      </x:c>
      <x:c r="K711" s="12" t="str">
        <x:v>12sl_statements.csv；ecg_id=5914；statements_ext_snomed</x:v>
      </x:c>
      <x:c r="L711" s="12"/>
      <x:c r="M711" s="12" t="str">
        <x:v>negative</x:v>
      </x:c>
      <x:c r="N711" s="12"/>
      <x:c r="O711" s="12" t="str">
        <x:v>negative</x:v>
      </x:c>
      <x:c r="P711" s="12" t="str">
        <x:f>IF(OR(M711="unavailable",O711="unavailable"),"不可评价",IF(OR(M711="equivocal",O711="equivocal"),"疑似",IF(AND(M711="positive",O711="positive"),"a",IF(O711="positive","b",IF(M711="positive","c","d")))))</x:f>
        <x:v>d</x:v>
      </x:c>
      <x:c r="Q711" s="12"/>
      <x:c r="R711" s="12" t="str">
        <x:v>negative</x:v>
      </x:c>
      <x:c r="S711" s="12"/>
      <x:c r="T711" s="12" t="str">
        <x:v>negative</x:v>
      </x:c>
      <x:c r="U711" s="12" t="str">
        <x:f>IF(OR(R711="unavailable",T711="unavailable"),"不可评价",IF(OR(R711="equivocal",T711="equivocal"),"疑似",IF(AND(R711="positive",T711="positive"),"a",IF(T711="positive","b",IF(R711="positive","c","d")))))</x:f>
        <x:v>d</x:v>
      </x:c>
      <x:c r="V711" s="12"/>
      <x:c r="W711" s="12" t="str">
        <x:v>negative</x:v>
      </x:c>
      <x:c r="X711" s="12"/>
      <x:c r="Y711" s="12" t="str">
        <x:v>negative</x:v>
      </x:c>
      <x:c r="Z711" s="12" t="str">
        <x:f>IF(OR(W711="unavailable",Y711="unavailable"),"不可评价",IF(OR(W711="equivocal",Y711="equivocal"),"疑似",IF(AND(W711="positive",Y711="positive"),"a",IF(Y711="positive","b",IF(W711="positive","c","d")))))</x:f>
        <x:v>d</x:v>
      </x:c>
      <x:c r="AA711" s="12" t="str">
        <x:f>IF(OR(M711="unavailable",O711="unavailable"),"不可评价",IF(AND(OR(M711="positive",M711="equivocal"),OR(O711="positive",O711="equivocal")),"a",IF(OR(O711="positive",O711="equivocal"),"b",IF(OR(M711="positive",M711="equivocal"),"c","d"))))</x:f>
        <x:v>d</x:v>
      </x:c>
      <x:c r="AB711" s="12" t="str">
        <x:f>IF(OR(M711="unavailable",O711="unavailable"),"不可评价",IF(AND(M711="positive",O711="positive"),"a",IF(O711="positive","b",IF(M711="positive","c","d"))))</x:f>
        <x:v>d</x:v>
      </x:c>
      <x:c r="AC711" s="12" t="str">
        <x:f>IF(OR(R711="unavailable",T711="unavailable"),"不可评价",IF(AND(OR(R711="positive",R711="equivocal"),OR(T711="positive",T711="equivocal")),"a",IF(OR(T711="positive",T711="equivocal"),"b",IF(OR(R711="positive",R711="equivocal"),"c","d"))))</x:f>
        <x:v>d</x:v>
      </x:c>
      <x:c r="AD711" s="12" t="str">
        <x:f>IF(OR(R711="unavailable",T711="unavailable"),"不可评价",IF(AND(R711="positive",T711="positive"),"a",IF(T711="positive","b",IF(R711="positive","c","d"))))</x:f>
        <x:v>d</x:v>
      </x:c>
      <x:c r="AE711" s="12" t="str">
        <x:f>IF(OR(W711="unavailable",Y711="unavailable"),"不可评价",IF(AND(OR(W711="positive",W711="equivocal"),OR(Y711="positive",Y711="equivocal")),"a",IF(OR(Y711="positive",Y711="equivocal"),"b",IF(OR(W711="positive",W711="equivocal"),"c","d"))))</x:f>
        <x:v>d</x:v>
      </x:c>
      <x:c r="AF711" s="12" t="str">
        <x:f>IF(OR(W711="unavailable",Y711="unavailable"),"不可评价",IF(AND(W711="positive",Y711="positive"),"a",IF(Y711="positive","b",IF(W711="positive","c","d"))))</x:f>
        <x:v>d</x:v>
      </x:c>
    </x:row>
    <x:row r="712" ht="24" customHeight="1">
      <x:c r="A712" s="12" t="str">
        <x:v>5915</x:v>
      </x:c>
      <x:c r="B712" s="12" t="str">
        <x:v>15480</x:v>
      </x:c>
      <x:c r="C712" s="21" t="n">
        <x:v>33313.51613425926</x:v>
      </x:c>
      <x:c r="D712" s="12" t="n">
        <x:v>52</x:v>
      </x:c>
      <x:c r="E712" s="12" t="n">
        <x:v>0</x:v>
      </x:c>
      <x:c r="F712" s="12" t="str">
        <x:v>未记录</x:v>
      </x:c>
      <x:c r="G712" s="12" t="n">
        <x:v>1</x:v>
      </x:c>
      <x:c r="H712" s="12" t="str">
        <x:v>{'NORM': 100.0, 'SBRAD': 0.0}</x:v>
      </x:c>
      <x:c r="I712" s="12" t="str">
        <x:v>[('SBRAD', 100.0), ('ABR', 100.0)]</x:v>
      </x:c>
      <x:c r="J712" s="12" t="str">
        <x:v>ptbxl_database.csv；ecg_id=5915；scp_codes</x:v>
      </x:c>
      <x:c r="K712" s="12" t="str">
        <x:v>12sl_statements.csv；ecg_id=5915；statements_ext_snomed</x:v>
      </x:c>
      <x:c r="L712" s="12"/>
      <x:c r="M712" s="12" t="str">
        <x:v>negative</x:v>
      </x:c>
      <x:c r="N712" s="12"/>
      <x:c r="O712" s="12" t="str">
        <x:v>negative</x:v>
      </x:c>
      <x:c r="P712" s="12" t="str">
        <x:f>IF(OR(M712="unavailable",O712="unavailable"),"不可评价",IF(OR(M712="equivocal",O712="equivocal"),"疑似",IF(AND(M712="positive",O712="positive"),"a",IF(O712="positive","b",IF(M712="positive","c","d")))))</x:f>
        <x:v>d</x:v>
      </x:c>
      <x:c r="Q712" s="12"/>
      <x:c r="R712" s="12" t="str">
        <x:v>negative</x:v>
      </x:c>
      <x:c r="S712" s="12"/>
      <x:c r="T712" s="12" t="str">
        <x:v>negative</x:v>
      </x:c>
      <x:c r="U712" s="12" t="str">
        <x:f>IF(OR(R712="unavailable",T712="unavailable"),"不可评价",IF(OR(R712="equivocal",T712="equivocal"),"疑似",IF(AND(R712="positive",T712="positive"),"a",IF(T712="positive","b",IF(R712="positive","c","d")))))</x:f>
        <x:v>d</x:v>
      </x:c>
      <x:c r="V712" s="12"/>
      <x:c r="W712" s="12" t="str">
        <x:v>negative</x:v>
      </x:c>
      <x:c r="X712" s="12"/>
      <x:c r="Y712" s="12" t="str">
        <x:v>negative</x:v>
      </x:c>
      <x:c r="Z712" s="12" t="str">
        <x:f>IF(OR(W712="unavailable",Y712="unavailable"),"不可评价",IF(OR(W712="equivocal",Y712="equivocal"),"疑似",IF(AND(W712="positive",Y712="positive"),"a",IF(Y712="positive","b",IF(W712="positive","c","d")))))</x:f>
        <x:v>d</x:v>
      </x:c>
      <x:c r="AA712" s="12" t="str">
        <x:f>IF(OR(M712="unavailable",O712="unavailable"),"不可评价",IF(AND(OR(M712="positive",M712="equivocal"),OR(O712="positive",O712="equivocal")),"a",IF(OR(O712="positive",O712="equivocal"),"b",IF(OR(M712="positive",M712="equivocal"),"c","d"))))</x:f>
        <x:v>d</x:v>
      </x:c>
      <x:c r="AB712" s="12" t="str">
        <x:f>IF(OR(M712="unavailable",O712="unavailable"),"不可评价",IF(AND(M712="positive",O712="positive"),"a",IF(O712="positive","b",IF(M712="positive","c","d"))))</x:f>
        <x:v>d</x:v>
      </x:c>
      <x:c r="AC712" s="12" t="str">
        <x:f>IF(OR(R712="unavailable",T712="unavailable"),"不可评价",IF(AND(OR(R712="positive",R712="equivocal"),OR(T712="positive",T712="equivocal")),"a",IF(OR(T712="positive",T712="equivocal"),"b",IF(OR(R712="positive",R712="equivocal"),"c","d"))))</x:f>
        <x:v>d</x:v>
      </x:c>
      <x:c r="AD712" s="12" t="str">
        <x:f>IF(OR(R712="unavailable",T712="unavailable"),"不可评价",IF(AND(R712="positive",T712="positive"),"a",IF(T712="positive","b",IF(R712="positive","c","d"))))</x:f>
        <x:v>d</x:v>
      </x:c>
      <x:c r="AE712" s="12" t="str">
        <x:f>IF(OR(W712="unavailable",Y712="unavailable"),"不可评价",IF(AND(OR(W712="positive",W712="equivocal"),OR(Y712="positive",Y712="equivocal")),"a",IF(OR(Y712="positive",Y712="equivocal"),"b",IF(OR(W712="positive",W712="equivocal"),"c","d"))))</x:f>
        <x:v>d</x:v>
      </x:c>
      <x:c r="AF712" s="12" t="str">
        <x:f>IF(OR(W712="unavailable",Y712="unavailable"),"不可评价",IF(AND(W712="positive",Y712="positive"),"a",IF(Y712="positive","b",IF(W712="positive","c","d"))))</x:f>
        <x:v>d</x:v>
      </x:c>
    </x:row>
    <x:row r="713" ht="24" customHeight="1">
      <x:c r="A713" s="12" t="str">
        <x:v>5916</x:v>
      </x:c>
      <x:c r="B713" s="12" t="str">
        <x:v>18842</x:v>
      </x:c>
      <x:c r="C713" s="21" t="n">
        <x:v>33314.283634259256</x:v>
      </x:c>
      <x:c r="D713" s="12" t="n">
        <x:v>43</x:v>
      </x:c>
      <x:c r="E713" s="12" t="n">
        <x:v>0</x:v>
      </x:c>
      <x:c r="F713" s="12" t="str">
        <x:v>未记录</x:v>
      </x:c>
      <x:c r="G713" s="12" t="n">
        <x:v>1</x:v>
      </x:c>
      <x:c r="H713" s="12" t="str">
        <x:v>{'NORM': 100.0, 'SR': 0.0}</x:v>
      </x:c>
      <x:c r="I713" s="12" t="str">
        <x:v>[('NSR', 100.0), ('NML', 100.0)]</x:v>
      </x:c>
      <x:c r="J713" s="12" t="str">
        <x:v>ptbxl_database.csv；ecg_id=5916；scp_codes</x:v>
      </x:c>
      <x:c r="K713" s="12" t="str">
        <x:v>12sl_statements.csv；ecg_id=5916；statements_ext_snomed</x:v>
      </x:c>
      <x:c r="L713" s="12"/>
      <x:c r="M713" s="12" t="str">
        <x:v>negative</x:v>
      </x:c>
      <x:c r="N713" s="12"/>
      <x:c r="O713" s="12" t="str">
        <x:v>negative</x:v>
      </x:c>
      <x:c r="P713" s="12" t="str">
        <x:f>IF(OR(M713="unavailable",O713="unavailable"),"不可评价",IF(OR(M713="equivocal",O713="equivocal"),"疑似",IF(AND(M713="positive",O713="positive"),"a",IF(O713="positive","b",IF(M713="positive","c","d")))))</x:f>
        <x:v>d</x:v>
      </x:c>
      <x:c r="Q713" s="12"/>
      <x:c r="R713" s="12" t="str">
        <x:v>negative</x:v>
      </x:c>
      <x:c r="S713" s="12"/>
      <x:c r="T713" s="12" t="str">
        <x:v>negative</x:v>
      </x:c>
      <x:c r="U713" s="12" t="str">
        <x:f>IF(OR(R713="unavailable",T713="unavailable"),"不可评价",IF(OR(R713="equivocal",T713="equivocal"),"疑似",IF(AND(R713="positive",T713="positive"),"a",IF(T713="positive","b",IF(R713="positive","c","d")))))</x:f>
        <x:v>d</x:v>
      </x:c>
      <x:c r="V713" s="12"/>
      <x:c r="W713" s="12" t="str">
        <x:v>negative</x:v>
      </x:c>
      <x:c r="X713" s="12"/>
      <x:c r="Y713" s="12" t="str">
        <x:v>negative</x:v>
      </x:c>
      <x:c r="Z713" s="12" t="str">
        <x:f>IF(OR(W713="unavailable",Y713="unavailable"),"不可评价",IF(OR(W713="equivocal",Y713="equivocal"),"疑似",IF(AND(W713="positive",Y713="positive"),"a",IF(Y713="positive","b",IF(W713="positive","c","d")))))</x:f>
        <x:v>d</x:v>
      </x:c>
      <x:c r="AA713" s="12" t="str">
        <x:f>IF(OR(M713="unavailable",O713="unavailable"),"不可评价",IF(AND(OR(M713="positive",M713="equivocal"),OR(O713="positive",O713="equivocal")),"a",IF(OR(O713="positive",O713="equivocal"),"b",IF(OR(M713="positive",M713="equivocal"),"c","d"))))</x:f>
        <x:v>d</x:v>
      </x:c>
      <x:c r="AB713" s="12" t="str">
        <x:f>IF(OR(M713="unavailable",O713="unavailable"),"不可评价",IF(AND(M713="positive",O713="positive"),"a",IF(O713="positive","b",IF(M713="positive","c","d"))))</x:f>
        <x:v>d</x:v>
      </x:c>
      <x:c r="AC713" s="12" t="str">
        <x:f>IF(OR(R713="unavailable",T713="unavailable"),"不可评价",IF(AND(OR(R713="positive",R713="equivocal"),OR(T713="positive",T713="equivocal")),"a",IF(OR(T713="positive",T713="equivocal"),"b",IF(OR(R713="positive",R713="equivocal"),"c","d"))))</x:f>
        <x:v>d</x:v>
      </x:c>
      <x:c r="AD713" s="12" t="str">
        <x:f>IF(OR(R713="unavailable",T713="unavailable"),"不可评价",IF(AND(R713="positive",T713="positive"),"a",IF(T713="positive","b",IF(R713="positive","c","d"))))</x:f>
        <x:v>d</x:v>
      </x:c>
      <x:c r="AE713" s="12" t="str">
        <x:f>IF(OR(W713="unavailable",Y713="unavailable"),"不可评价",IF(AND(OR(W713="positive",W713="equivocal"),OR(Y713="positive",Y713="equivocal")),"a",IF(OR(Y713="positive",Y713="equivocal"),"b",IF(OR(W713="positive",W713="equivocal"),"c","d"))))</x:f>
        <x:v>d</x:v>
      </x:c>
      <x:c r="AF713" s="12" t="str">
        <x:f>IF(OR(W713="unavailable",Y713="unavailable"),"不可评价",IF(AND(W713="positive",Y713="positive"),"a",IF(Y713="positive","b",IF(W713="positive","c","d"))))</x:f>
        <x:v>d</x:v>
      </x:c>
    </x:row>
    <x:row r="714" ht="24" customHeight="1">
      <x:c r="A714" s="12" t="str">
        <x:v>5918</x:v>
      </x:c>
      <x:c r="B714" s="12" t="str">
        <x:v>18333</x:v>
      </x:c>
      <x:c r="C714" s="21" t="n">
        <x:v>33314.65642361111</x:v>
      </x:c>
      <x:c r="D714" s="12" t="n">
        <x:v>76</x:v>
      </x:c>
      <x:c r="E714" s="12" t="n">
        <x:v>1</x:v>
      </x:c>
      <x:c r="F714" s="12" t="str">
        <x:v>未记录</x:v>
      </x:c>
      <x:c r="G714" s="12" t="n">
        <x:v>1</x:v>
      </x:c>
      <x:c r="H714" s="12" t="str">
        <x:v>{'NORM': 100.0, 'SR': 0.0}</x:v>
      </x:c>
      <x:c r="I714" s="12" t="str">
        <x:v>[('NSR', 100.0), ('NML', 100.0)]</x:v>
      </x:c>
      <x:c r="J714" s="12" t="str">
        <x:v>ptbxl_database.csv；ecg_id=5918；scp_codes</x:v>
      </x:c>
      <x:c r="K714" s="12" t="str">
        <x:v>12sl_statements.csv；ecg_id=5918；statements_ext_snomed</x:v>
      </x:c>
      <x:c r="L714" s="12"/>
      <x:c r="M714" s="12" t="str">
        <x:v>negative</x:v>
      </x:c>
      <x:c r="N714" s="12"/>
      <x:c r="O714" s="12" t="str">
        <x:v>negative</x:v>
      </x:c>
      <x:c r="P714" s="12" t="str">
        <x:f>IF(OR(M714="unavailable",O714="unavailable"),"不可评价",IF(OR(M714="equivocal",O714="equivocal"),"疑似",IF(AND(M714="positive",O714="positive"),"a",IF(O714="positive","b",IF(M714="positive","c","d")))))</x:f>
        <x:v>d</x:v>
      </x:c>
      <x:c r="Q714" s="12"/>
      <x:c r="R714" s="12" t="str">
        <x:v>negative</x:v>
      </x:c>
      <x:c r="S714" s="12"/>
      <x:c r="T714" s="12" t="str">
        <x:v>negative</x:v>
      </x:c>
      <x:c r="U714" s="12" t="str">
        <x:f>IF(OR(R714="unavailable",T714="unavailable"),"不可评价",IF(OR(R714="equivocal",T714="equivocal"),"疑似",IF(AND(R714="positive",T714="positive"),"a",IF(T714="positive","b",IF(R714="positive","c","d")))))</x:f>
        <x:v>d</x:v>
      </x:c>
      <x:c r="V714" s="12"/>
      <x:c r="W714" s="12" t="str">
        <x:v>negative</x:v>
      </x:c>
      <x:c r="X714" s="12"/>
      <x:c r="Y714" s="12" t="str">
        <x:v>negative</x:v>
      </x:c>
      <x:c r="Z714" s="12" t="str">
        <x:f>IF(OR(W714="unavailable",Y714="unavailable"),"不可评价",IF(OR(W714="equivocal",Y714="equivocal"),"疑似",IF(AND(W714="positive",Y714="positive"),"a",IF(Y714="positive","b",IF(W714="positive","c","d")))))</x:f>
        <x:v>d</x:v>
      </x:c>
      <x:c r="AA714" s="12" t="str">
        <x:f>IF(OR(M714="unavailable",O714="unavailable"),"不可评价",IF(AND(OR(M714="positive",M714="equivocal"),OR(O714="positive",O714="equivocal")),"a",IF(OR(O714="positive",O714="equivocal"),"b",IF(OR(M714="positive",M714="equivocal"),"c","d"))))</x:f>
        <x:v>d</x:v>
      </x:c>
      <x:c r="AB714" s="12" t="str">
        <x:f>IF(OR(M714="unavailable",O714="unavailable"),"不可评价",IF(AND(M714="positive",O714="positive"),"a",IF(O714="positive","b",IF(M714="positive","c","d"))))</x:f>
        <x:v>d</x:v>
      </x:c>
      <x:c r="AC714" s="12" t="str">
        <x:f>IF(OR(R714="unavailable",T714="unavailable"),"不可评价",IF(AND(OR(R714="positive",R714="equivocal"),OR(T714="positive",T714="equivocal")),"a",IF(OR(T714="positive",T714="equivocal"),"b",IF(OR(R714="positive",R714="equivocal"),"c","d"))))</x:f>
        <x:v>d</x:v>
      </x:c>
      <x:c r="AD714" s="12" t="str">
        <x:f>IF(OR(R714="unavailable",T714="unavailable"),"不可评价",IF(AND(R714="positive",T714="positive"),"a",IF(T714="positive","b",IF(R714="positive","c","d"))))</x:f>
        <x:v>d</x:v>
      </x:c>
      <x:c r="AE714" s="12" t="str">
        <x:f>IF(OR(W714="unavailable",Y714="unavailable"),"不可评价",IF(AND(OR(W714="positive",W714="equivocal"),OR(Y714="positive",Y714="equivocal")),"a",IF(OR(Y714="positive",Y714="equivocal"),"b",IF(OR(W714="positive",W714="equivocal"),"c","d"))))</x:f>
        <x:v>d</x:v>
      </x:c>
      <x:c r="AF714" s="12" t="str">
        <x:f>IF(OR(W714="unavailable",Y714="unavailable"),"不可评价",IF(AND(W714="positive",Y714="positive"),"a",IF(Y714="positive","b",IF(W714="positive","c","d"))))</x:f>
        <x:v>d</x:v>
      </x:c>
    </x:row>
    <x:row r="715" ht="24" customHeight="1">
      <x:c r="A715" s="12" t="str">
        <x:v>5924</x:v>
      </x:c>
      <x:c r="B715" s="12" t="str">
        <x:v>20316</x:v>
      </x:c>
      <x:c r="C715" s="21" t="n">
        <x:v>33315.55079861111</x:v>
      </x:c>
      <x:c r="D715" s="12" t="n">
        <x:v>34</x:v>
      </x:c>
      <x:c r="E715" s="12" t="n">
        <x:v>1</x:v>
      </x:c>
      <x:c r="F715" s="12" t="str">
        <x:v>未记录</x:v>
      </x:c>
      <x:c r="G715" s="12" t="n">
        <x:v>1</x:v>
      </x:c>
      <x:c r="H715" s="12" t="str">
        <x:v>{'NORM': 100.0, 'SR': 0.0}</x:v>
      </x:c>
      <x:c r="I715" s="12" t="str">
        <x:v>[('NSR', 100.0), ('NML', 100.0)]</x:v>
      </x:c>
      <x:c r="J715" s="12" t="str">
        <x:v>ptbxl_database.csv；ecg_id=5924；scp_codes</x:v>
      </x:c>
      <x:c r="K715" s="12" t="str">
        <x:v>12sl_statements.csv；ecg_id=5924；statements_ext_snomed</x:v>
      </x:c>
      <x:c r="L715" s="12"/>
      <x:c r="M715" s="12" t="str">
        <x:v>negative</x:v>
      </x:c>
      <x:c r="N715" s="12"/>
      <x:c r="O715" s="12" t="str">
        <x:v>negative</x:v>
      </x:c>
      <x:c r="P715" s="12" t="str">
        <x:f>IF(OR(M715="unavailable",O715="unavailable"),"不可评价",IF(OR(M715="equivocal",O715="equivocal"),"疑似",IF(AND(M715="positive",O715="positive"),"a",IF(O715="positive","b",IF(M715="positive","c","d")))))</x:f>
        <x:v>d</x:v>
      </x:c>
      <x:c r="Q715" s="12"/>
      <x:c r="R715" s="12" t="str">
        <x:v>negative</x:v>
      </x:c>
      <x:c r="S715" s="12"/>
      <x:c r="T715" s="12" t="str">
        <x:v>negative</x:v>
      </x:c>
      <x:c r="U715" s="12" t="str">
        <x:f>IF(OR(R715="unavailable",T715="unavailable"),"不可评价",IF(OR(R715="equivocal",T715="equivocal"),"疑似",IF(AND(R715="positive",T715="positive"),"a",IF(T715="positive","b",IF(R715="positive","c","d")))))</x:f>
        <x:v>d</x:v>
      </x:c>
      <x:c r="V715" s="12"/>
      <x:c r="W715" s="12" t="str">
        <x:v>negative</x:v>
      </x:c>
      <x:c r="X715" s="12"/>
      <x:c r="Y715" s="12" t="str">
        <x:v>negative</x:v>
      </x:c>
      <x:c r="Z715" s="12" t="str">
        <x:f>IF(OR(W715="unavailable",Y715="unavailable"),"不可评价",IF(OR(W715="equivocal",Y715="equivocal"),"疑似",IF(AND(W715="positive",Y715="positive"),"a",IF(Y715="positive","b",IF(W715="positive","c","d")))))</x:f>
        <x:v>d</x:v>
      </x:c>
      <x:c r="AA715" s="12" t="str">
        <x:f>IF(OR(M715="unavailable",O715="unavailable"),"不可评价",IF(AND(OR(M715="positive",M715="equivocal"),OR(O715="positive",O715="equivocal")),"a",IF(OR(O715="positive",O715="equivocal"),"b",IF(OR(M715="positive",M715="equivocal"),"c","d"))))</x:f>
        <x:v>d</x:v>
      </x:c>
      <x:c r="AB715" s="12" t="str">
        <x:f>IF(OR(M715="unavailable",O715="unavailable"),"不可评价",IF(AND(M715="positive",O715="positive"),"a",IF(O715="positive","b",IF(M715="positive","c","d"))))</x:f>
        <x:v>d</x:v>
      </x:c>
      <x:c r="AC715" s="12" t="str">
        <x:f>IF(OR(R715="unavailable",T715="unavailable"),"不可评价",IF(AND(OR(R715="positive",R715="equivocal"),OR(T715="positive",T715="equivocal")),"a",IF(OR(T715="positive",T715="equivocal"),"b",IF(OR(R715="positive",R715="equivocal"),"c","d"))))</x:f>
        <x:v>d</x:v>
      </x:c>
      <x:c r="AD715" s="12" t="str">
        <x:f>IF(OR(R715="unavailable",T715="unavailable"),"不可评价",IF(AND(R715="positive",T715="positive"),"a",IF(T715="positive","b",IF(R715="positive","c","d"))))</x:f>
        <x:v>d</x:v>
      </x:c>
      <x:c r="AE715" s="12" t="str">
        <x:f>IF(OR(W715="unavailable",Y715="unavailable"),"不可评价",IF(AND(OR(W715="positive",W715="equivocal"),OR(Y715="positive",Y715="equivocal")),"a",IF(OR(Y715="positive",Y715="equivocal"),"b",IF(OR(W715="positive",W715="equivocal"),"c","d"))))</x:f>
        <x:v>d</x:v>
      </x:c>
      <x:c r="AF715" s="12" t="str">
        <x:f>IF(OR(W715="unavailable",Y715="unavailable"),"不可评价",IF(AND(W715="positive",Y715="positive"),"a",IF(Y715="positive","b",IF(W715="positive","c","d"))))</x:f>
        <x:v>d</x:v>
      </x:c>
    </x:row>
    <x:row r="716" ht="24" customHeight="1">
      <x:c r="A716" s="12" t="str">
        <x:v>5946</x:v>
      </x:c>
      <x:c r="B716" s="12" t="str">
        <x:v>20739</x:v>
      </x:c>
      <x:c r="C716" s="21" t="n">
        <x:v>33321.67885416667</x:v>
      </x:c>
      <x:c r="D716" s="12" t="n">
        <x:v>56</x:v>
      </x:c>
      <x:c r="E716" s="12" t="n">
        <x:v>1</x:v>
      </x:c>
      <x:c r="F716" s="12" t="str">
        <x:v>未记录</x:v>
      </x:c>
      <x:c r="G716" s="12" t="n">
        <x:v>1</x:v>
      </x:c>
      <x:c r="H716" s="12" t="str">
        <x:v>{'NORM': 100.0, 'SR': 0.0}</x:v>
      </x:c>
      <x:c r="I716" s="12" t="str">
        <x:v>[('NSR', 100.0), ('IRBBB', 100.0), ('IMI;AU', 15.0), ('AB', 100.0)]</x:v>
      </x:c>
      <x:c r="J716" s="12" t="str">
        <x:v>ptbxl_database.csv；ecg_id=5946；scp_codes</x:v>
      </x:c>
      <x:c r="K716" s="12" t="str">
        <x:v>12sl_statements.csv；ecg_id=5946；statements_ext_snomed</x:v>
      </x:c>
      <x:c r="L716" s="12"/>
      <x:c r="M716" s="12" t="str">
        <x:v>negative</x:v>
      </x:c>
      <x:c r="N716" s="12"/>
      <x:c r="O716" s="12" t="str">
        <x:v>negative</x:v>
      </x:c>
      <x:c r="P716" s="12" t="str">
        <x:f>IF(OR(M716="unavailable",O716="unavailable"),"不可评价",IF(OR(M716="equivocal",O716="equivocal"),"疑似",IF(AND(M716="positive",O716="positive"),"a",IF(O716="positive","b",IF(M716="positive","c","d")))))</x:f>
        <x:v>d</x:v>
      </x:c>
      <x:c r="Q716" s="12"/>
      <x:c r="R716" s="12" t="str">
        <x:v>negative</x:v>
      </x:c>
      <x:c r="S716" s="12"/>
      <x:c r="T716" s="12" t="str">
        <x:v>negative</x:v>
      </x:c>
      <x:c r="U716" s="12" t="str">
        <x:f>IF(OR(R716="unavailable",T716="unavailable"),"不可评价",IF(OR(R716="equivocal",T716="equivocal"),"疑似",IF(AND(R716="positive",T716="positive"),"a",IF(T716="positive","b",IF(R716="positive","c","d")))))</x:f>
        <x:v>d</x:v>
      </x:c>
      <x:c r="V716" s="12"/>
      <x:c r="W716" s="12" t="str">
        <x:v>negative</x:v>
      </x:c>
      <x:c r="X716" s="12"/>
      <x:c r="Y716" s="12" t="str">
        <x:v>negative</x:v>
      </x:c>
      <x:c r="Z716" s="12" t="str">
        <x:f>IF(OR(W716="unavailable",Y716="unavailable"),"不可评价",IF(OR(W716="equivocal",Y716="equivocal"),"疑似",IF(AND(W716="positive",Y716="positive"),"a",IF(Y716="positive","b",IF(W716="positive","c","d")))))</x:f>
        <x:v>d</x:v>
      </x:c>
      <x:c r="AA716" s="12" t="str">
        <x:f>IF(OR(M716="unavailable",O716="unavailable"),"不可评价",IF(AND(OR(M716="positive",M716="equivocal"),OR(O716="positive",O716="equivocal")),"a",IF(OR(O716="positive",O716="equivocal"),"b",IF(OR(M716="positive",M716="equivocal"),"c","d"))))</x:f>
        <x:v>d</x:v>
      </x:c>
      <x:c r="AB716" s="12" t="str">
        <x:f>IF(OR(M716="unavailable",O716="unavailable"),"不可评价",IF(AND(M716="positive",O716="positive"),"a",IF(O716="positive","b",IF(M716="positive","c","d"))))</x:f>
        <x:v>d</x:v>
      </x:c>
      <x:c r="AC716" s="12" t="str">
        <x:f>IF(OR(R716="unavailable",T716="unavailable"),"不可评价",IF(AND(OR(R716="positive",R716="equivocal"),OR(T716="positive",T716="equivocal")),"a",IF(OR(T716="positive",T716="equivocal"),"b",IF(OR(R716="positive",R716="equivocal"),"c","d"))))</x:f>
        <x:v>d</x:v>
      </x:c>
      <x:c r="AD716" s="12" t="str">
        <x:f>IF(OR(R716="unavailable",T716="unavailable"),"不可评价",IF(AND(R716="positive",T716="positive"),"a",IF(T716="positive","b",IF(R716="positive","c","d"))))</x:f>
        <x:v>d</x:v>
      </x:c>
      <x:c r="AE716" s="12" t="str">
        <x:f>IF(OR(W716="unavailable",Y716="unavailable"),"不可评价",IF(AND(OR(W716="positive",W716="equivocal"),OR(Y716="positive",Y716="equivocal")),"a",IF(OR(Y716="positive",Y716="equivocal"),"b",IF(OR(W716="positive",W716="equivocal"),"c","d"))))</x:f>
        <x:v>d</x:v>
      </x:c>
      <x:c r="AF716" s="12" t="str">
        <x:f>IF(OR(W716="unavailable",Y716="unavailable"),"不可评价",IF(AND(W716="positive",Y716="positive"),"a",IF(Y716="positive","b",IF(W716="positive","c","d"))))</x:f>
        <x:v>d</x:v>
      </x:c>
    </x:row>
    <x:row r="717" ht="24" customHeight="1">
      <x:c r="A717" s="12" t="str">
        <x:v>5947</x:v>
      </x:c>
      <x:c r="B717" s="12" t="str">
        <x:v>872</x:v>
      </x:c>
      <x:c r="C717" s="21" t="n">
        <x:v>33322.45190972222</x:v>
      </x:c>
      <x:c r="D717" s="12" t="n">
        <x:v>55</x:v>
      </x:c>
      <x:c r="E717" s="12" t="n">
        <x:v>0</x:v>
      </x:c>
      <x:c r="F717" s="12" t="str">
        <x:v>未记录</x:v>
      </x:c>
      <x:c r="G717" s="12" t="n">
        <x:v>1</x:v>
      </x:c>
      <x:c r="H717" s="12" t="str">
        <x:v>{'NORM': 100.0, 'LVOLT': 0.0, 'SR': 0.0}</x:v>
      </x:c>
      <x:c r="I717" s="12" t="str">
        <x:v>[('NSR', 100.0), ('NML', 100.0)]</x:v>
      </x:c>
      <x:c r="J717" s="12" t="str">
        <x:v>ptbxl_database.csv；ecg_id=5947；scp_codes</x:v>
      </x:c>
      <x:c r="K717" s="12" t="str">
        <x:v>12sl_statements.csv；ecg_id=5947；statements_ext_snomed</x:v>
      </x:c>
      <x:c r="L717" s="12"/>
      <x:c r="M717" s="12" t="str">
        <x:v>negative</x:v>
      </x:c>
      <x:c r="N717" s="12"/>
      <x:c r="O717" s="12" t="str">
        <x:v>negative</x:v>
      </x:c>
      <x:c r="P717" s="12" t="str">
        <x:f>IF(OR(M717="unavailable",O717="unavailable"),"不可评价",IF(OR(M717="equivocal",O717="equivocal"),"疑似",IF(AND(M717="positive",O717="positive"),"a",IF(O717="positive","b",IF(M717="positive","c","d")))))</x:f>
        <x:v>d</x:v>
      </x:c>
      <x:c r="Q717" s="12"/>
      <x:c r="R717" s="12" t="str">
        <x:v>negative</x:v>
      </x:c>
      <x:c r="S717" s="12"/>
      <x:c r="T717" s="12" t="str">
        <x:v>negative</x:v>
      </x:c>
      <x:c r="U717" s="12" t="str">
        <x:f>IF(OR(R717="unavailable",T717="unavailable"),"不可评价",IF(OR(R717="equivocal",T717="equivocal"),"疑似",IF(AND(R717="positive",T717="positive"),"a",IF(T717="positive","b",IF(R717="positive","c","d")))))</x:f>
        <x:v>d</x:v>
      </x:c>
      <x:c r="V717" s="12"/>
      <x:c r="W717" s="12" t="str">
        <x:v>negative</x:v>
      </x:c>
      <x:c r="X717" s="12"/>
      <x:c r="Y717" s="12" t="str">
        <x:v>negative</x:v>
      </x:c>
      <x:c r="Z717" s="12" t="str">
        <x:f>IF(OR(W717="unavailable",Y717="unavailable"),"不可评价",IF(OR(W717="equivocal",Y717="equivocal"),"疑似",IF(AND(W717="positive",Y717="positive"),"a",IF(Y717="positive","b",IF(W717="positive","c","d")))))</x:f>
        <x:v>d</x:v>
      </x:c>
      <x:c r="AA717" s="12" t="str">
        <x:f>IF(OR(M717="unavailable",O717="unavailable"),"不可评价",IF(AND(OR(M717="positive",M717="equivocal"),OR(O717="positive",O717="equivocal")),"a",IF(OR(O717="positive",O717="equivocal"),"b",IF(OR(M717="positive",M717="equivocal"),"c","d"))))</x:f>
        <x:v>d</x:v>
      </x:c>
      <x:c r="AB717" s="12" t="str">
        <x:f>IF(OR(M717="unavailable",O717="unavailable"),"不可评价",IF(AND(M717="positive",O717="positive"),"a",IF(O717="positive","b",IF(M717="positive","c","d"))))</x:f>
        <x:v>d</x:v>
      </x:c>
      <x:c r="AC717" s="12" t="str">
        <x:f>IF(OR(R717="unavailable",T717="unavailable"),"不可评价",IF(AND(OR(R717="positive",R717="equivocal"),OR(T717="positive",T717="equivocal")),"a",IF(OR(T717="positive",T717="equivocal"),"b",IF(OR(R717="positive",R717="equivocal"),"c","d"))))</x:f>
        <x:v>d</x:v>
      </x:c>
      <x:c r="AD717" s="12" t="str">
        <x:f>IF(OR(R717="unavailable",T717="unavailable"),"不可评价",IF(AND(R717="positive",T717="positive"),"a",IF(T717="positive","b",IF(R717="positive","c","d"))))</x:f>
        <x:v>d</x:v>
      </x:c>
      <x:c r="AE717" s="12" t="str">
        <x:f>IF(OR(W717="unavailable",Y717="unavailable"),"不可评价",IF(AND(OR(W717="positive",W717="equivocal"),OR(Y717="positive",Y717="equivocal")),"a",IF(OR(Y717="positive",Y717="equivocal"),"b",IF(OR(W717="positive",W717="equivocal"),"c","d"))))</x:f>
        <x:v>d</x:v>
      </x:c>
      <x:c r="AF717" s="12" t="str">
        <x:f>IF(OR(W717="unavailable",Y717="unavailable"),"不可评价",IF(AND(W717="positive",Y717="positive"),"a",IF(Y717="positive","b",IF(W717="positive","c","d"))))</x:f>
        <x:v>d</x:v>
      </x:c>
    </x:row>
    <x:row r="718" ht="24" customHeight="1">
      <x:c r="A718" s="12" t="str">
        <x:v>5951</x:v>
      </x:c>
      <x:c r="B718" s="12" t="str">
        <x:v>2347</x:v>
      </x:c>
      <x:c r="C718" s="21" t="n">
        <x:v>33322.583136574074</x:v>
      </x:c>
      <x:c r="D718" s="12" t="n">
        <x:v>72</x:v>
      </x:c>
      <x:c r="E718" s="12" t="n">
        <x:v>0</x:v>
      </x:c>
      <x:c r="F718" s="12" t="str">
        <x:v>未记录</x:v>
      </x:c>
      <x:c r="G718" s="12" t="n">
        <x:v>1</x:v>
      </x:c>
      <x:c r="H718" s="12" t="str">
        <x:v>{'CRBBB': 100.0, 'LAFB': 100.0, 'LPFB': 100.0, 'RVH': 50.0, 'SR': 0.0}</x:v>
      </x:c>
      <x:c r="I718" s="12" t="str">
        <x:v>[('NSR', 100.0), ('RBBB', 100.0), ('AB', 100.0)]</x:v>
      </x:c>
      <x:c r="J718" s="12" t="str">
        <x:v>ptbxl_database.csv；ecg_id=5951；scp_codes</x:v>
      </x:c>
      <x:c r="K718" s="12" t="str">
        <x:v>12sl_statements.csv；ecg_id=5951；statements_ext_snomed</x:v>
      </x:c>
      <x:c r="L718" s="12"/>
      <x:c r="M718" s="12" t="str">
        <x:v>negative</x:v>
      </x:c>
      <x:c r="N718" s="12"/>
      <x:c r="O718" s="12" t="str">
        <x:v>negative</x:v>
      </x:c>
      <x:c r="P718" s="12" t="str">
        <x:f>IF(OR(M718="unavailable",O718="unavailable"),"不可评价",IF(OR(M718="equivocal",O718="equivocal"),"疑似",IF(AND(M718="positive",O718="positive"),"a",IF(O718="positive","b",IF(M718="positive","c","d")))))</x:f>
        <x:v>d</x:v>
      </x:c>
      <x:c r="Q718" s="12"/>
      <x:c r="R718" s="12" t="str">
        <x:v>negative</x:v>
      </x:c>
      <x:c r="S718" s="12"/>
      <x:c r="T718" s="12" t="str">
        <x:v>negative</x:v>
      </x:c>
      <x:c r="U718" s="12" t="str">
        <x:f>IF(OR(R718="unavailable",T718="unavailable"),"不可评价",IF(OR(R718="equivocal",T718="equivocal"),"疑似",IF(AND(R718="positive",T718="positive"),"a",IF(T718="positive","b",IF(R718="positive","c","d")))))</x:f>
        <x:v>d</x:v>
      </x:c>
      <x:c r="V718" s="12" t="n">
        <x:v>100</x:v>
      </x:c>
      <x:c r="W718" s="12" t="str">
        <x:v>positive</x:v>
      </x:c>
      <x:c r="X718" s="12" t="n">
        <x:v>100</x:v>
      </x:c>
      <x:c r="Y718" s="12" t="str">
        <x:v>positive</x:v>
      </x:c>
      <x:c r="Z718" s="12" t="str">
        <x:f>IF(OR(W718="unavailable",Y718="unavailable"),"不可评价",IF(OR(W718="equivocal",Y718="equivocal"),"疑似",IF(AND(W718="positive",Y718="positive"),"a",IF(Y718="positive","b",IF(W718="positive","c","d")))))</x:f>
        <x:v>a</x:v>
      </x:c>
      <x:c r="AA718" s="12" t="str">
        <x:f>IF(OR(M718="unavailable",O718="unavailable"),"不可评价",IF(AND(OR(M718="positive",M718="equivocal"),OR(O718="positive",O718="equivocal")),"a",IF(OR(O718="positive",O718="equivocal"),"b",IF(OR(M718="positive",M718="equivocal"),"c","d"))))</x:f>
        <x:v>d</x:v>
      </x:c>
      <x:c r="AB718" s="12" t="str">
        <x:f>IF(OR(M718="unavailable",O718="unavailable"),"不可评价",IF(AND(M718="positive",O718="positive"),"a",IF(O718="positive","b",IF(M718="positive","c","d"))))</x:f>
        <x:v>d</x:v>
      </x:c>
      <x:c r="AC718" s="12" t="str">
        <x:f>IF(OR(R718="unavailable",T718="unavailable"),"不可评价",IF(AND(OR(R718="positive",R718="equivocal"),OR(T718="positive",T718="equivocal")),"a",IF(OR(T718="positive",T718="equivocal"),"b",IF(OR(R718="positive",R718="equivocal"),"c","d"))))</x:f>
        <x:v>d</x:v>
      </x:c>
      <x:c r="AD718" s="12" t="str">
        <x:f>IF(OR(R718="unavailable",T718="unavailable"),"不可评价",IF(AND(R718="positive",T718="positive"),"a",IF(T718="positive","b",IF(R718="positive","c","d"))))</x:f>
        <x:v>d</x:v>
      </x:c>
      <x:c r="AE718" s="12" t="str">
        <x:f>IF(OR(W718="unavailable",Y718="unavailable"),"不可评价",IF(AND(OR(W718="positive",W718="equivocal"),OR(Y718="positive",Y718="equivocal")),"a",IF(OR(Y718="positive",Y718="equivocal"),"b",IF(OR(W718="positive",W718="equivocal"),"c","d"))))</x:f>
        <x:v>a</x:v>
      </x:c>
      <x:c r="AF718" s="12" t="str">
        <x:f>IF(OR(W718="unavailable",Y718="unavailable"),"不可评价",IF(AND(W718="positive",Y718="positive"),"a",IF(Y718="positive","b",IF(W718="positive","c","d"))))</x:f>
        <x:v>a</x:v>
      </x:c>
    </x:row>
    <x:row r="719" ht="24" customHeight="1">
      <x:c r="A719" s="12" t="str">
        <x:v>5953</x:v>
      </x:c>
      <x:c r="B719" s="12" t="str">
        <x:v>8516</x:v>
      </x:c>
      <x:c r="C719" s="21" t="n">
        <x:v>33323.28402777778</x:v>
      </x:c>
      <x:c r="D719" s="12" t="n">
        <x:v>38</x:v>
      </x:c>
      <x:c r="E719" s="12" t="n">
        <x:v>1</x:v>
      </x:c>
      <x:c r="F719" s="12" t="str">
        <x:v>存在</x:v>
      </x:c>
      <x:c r="G719" s="12" t="n">
        <x:v>1</x:v>
      </x:c>
      <x:c r="H719" s="12" t="str">
        <x:v>{'LAFB': 100.0, 'SR': 0.0}</x:v>
      </x:c>
      <x:c r="I719" s="12" t="str">
        <x:v>[('NSR', 100.0), ('LAD3', 100.0), ('AB', 100.0)]</x:v>
      </x:c>
      <x:c r="J719" s="12" t="str">
        <x:v>ptbxl_database.csv；ecg_id=5953；scp_codes</x:v>
      </x:c>
      <x:c r="K719" s="12" t="str">
        <x:v>12sl_statements.csv；ecg_id=5953；statements_ext_snomed</x:v>
      </x:c>
      <x:c r="L719" s="12"/>
      <x:c r="M719" s="12" t="str">
        <x:v>negative</x:v>
      </x:c>
      <x:c r="N719" s="12"/>
      <x:c r="O719" s="12" t="str">
        <x:v>negative</x:v>
      </x:c>
      <x:c r="P719" s="12" t="str">
        <x:f>IF(OR(M719="unavailable",O719="unavailable"),"不可评价",IF(OR(M719="equivocal",O719="equivocal"),"疑似",IF(AND(M719="positive",O719="positive"),"a",IF(O719="positive","b",IF(M719="positive","c","d")))))</x:f>
        <x:v>d</x:v>
      </x:c>
      <x:c r="Q719" s="12"/>
      <x:c r="R719" s="12" t="str">
        <x:v>negative</x:v>
      </x:c>
      <x:c r="S719" s="12"/>
      <x:c r="T719" s="12" t="str">
        <x:v>negative</x:v>
      </x:c>
      <x:c r="U719" s="12" t="str">
        <x:f>IF(OR(R719="unavailable",T719="unavailable"),"不可评价",IF(OR(R719="equivocal",T719="equivocal"),"疑似",IF(AND(R719="positive",T719="positive"),"a",IF(T719="positive","b",IF(R719="positive","c","d")))))</x:f>
        <x:v>d</x:v>
      </x:c>
      <x:c r="V719" s="12"/>
      <x:c r="W719" s="12" t="str">
        <x:v>negative</x:v>
      </x:c>
      <x:c r="X719" s="12"/>
      <x:c r="Y719" s="12" t="str">
        <x:v>negative</x:v>
      </x:c>
      <x:c r="Z719" s="12" t="str">
        <x:f>IF(OR(W719="unavailable",Y719="unavailable"),"不可评价",IF(OR(W719="equivocal",Y719="equivocal"),"疑似",IF(AND(W719="positive",Y719="positive"),"a",IF(Y719="positive","b",IF(W719="positive","c","d")))))</x:f>
        <x:v>d</x:v>
      </x:c>
      <x:c r="AA719" s="12" t="str">
        <x:f>IF(OR(M719="unavailable",O719="unavailable"),"不可评价",IF(AND(OR(M719="positive",M719="equivocal"),OR(O719="positive",O719="equivocal")),"a",IF(OR(O719="positive",O719="equivocal"),"b",IF(OR(M719="positive",M719="equivocal"),"c","d"))))</x:f>
        <x:v>d</x:v>
      </x:c>
      <x:c r="AB719" s="12" t="str">
        <x:f>IF(OR(M719="unavailable",O719="unavailable"),"不可评价",IF(AND(M719="positive",O719="positive"),"a",IF(O719="positive","b",IF(M719="positive","c","d"))))</x:f>
        <x:v>d</x:v>
      </x:c>
      <x:c r="AC719" s="12" t="str">
        <x:f>IF(OR(R719="unavailable",T719="unavailable"),"不可评价",IF(AND(OR(R719="positive",R719="equivocal"),OR(T719="positive",T719="equivocal")),"a",IF(OR(T719="positive",T719="equivocal"),"b",IF(OR(R719="positive",R719="equivocal"),"c","d"))))</x:f>
        <x:v>d</x:v>
      </x:c>
      <x:c r="AD719" s="12" t="str">
        <x:f>IF(OR(R719="unavailable",T719="unavailable"),"不可评价",IF(AND(R719="positive",T719="positive"),"a",IF(T719="positive","b",IF(R719="positive","c","d"))))</x:f>
        <x:v>d</x:v>
      </x:c>
      <x:c r="AE719" s="12" t="str">
        <x:f>IF(OR(W719="unavailable",Y719="unavailable"),"不可评价",IF(AND(OR(W719="positive",W719="equivocal"),OR(Y719="positive",Y719="equivocal")),"a",IF(OR(Y719="positive",Y719="equivocal"),"b",IF(OR(W719="positive",W719="equivocal"),"c","d"))))</x:f>
        <x:v>d</x:v>
      </x:c>
      <x:c r="AF719" s="12" t="str">
        <x:f>IF(OR(W719="unavailable",Y719="unavailable"),"不可评价",IF(AND(W719="positive",Y719="positive"),"a",IF(Y719="positive","b",IF(W719="positive","c","d"))))</x:f>
        <x:v>d</x:v>
      </x:c>
    </x:row>
    <x:row r="720" ht="24" customHeight="1">
      <x:c r="A720" s="12" t="str">
        <x:v>5973</x:v>
      </x:c>
      <x:c r="B720" s="12" t="str">
        <x:v>10414</x:v>
      </x:c>
      <x:c r="C720" s="21" t="n">
        <x:v>33334.34591435185</x:v>
      </x:c>
      <x:c r="D720" s="12" t="n">
        <x:v>72</x:v>
      </x:c>
      <x:c r="E720" s="12" t="n">
        <x:v>0</x:v>
      </x:c>
      <x:c r="F720" s="12" t="str">
        <x:v>存在</x:v>
      </x:c>
      <x:c r="G720" s="12" t="n">
        <x:v>1</x:v>
      </x:c>
      <x:c r="H720" s="12" t="str">
        <x:v>{'NORM': 100.0, 'SR': 0.0}</x:v>
      </x:c>
      <x:c r="I720" s="12" t="str">
        <x:v>[('NSR', 100.0), ('NML', 100.0)]</x:v>
      </x:c>
      <x:c r="J720" s="12" t="str">
        <x:v>ptbxl_database.csv；ecg_id=5973；scp_codes</x:v>
      </x:c>
      <x:c r="K720" s="12" t="str">
        <x:v>12sl_statements.csv；ecg_id=5973；statements_ext_snomed</x:v>
      </x:c>
      <x:c r="L720" s="12"/>
      <x:c r="M720" s="12" t="str">
        <x:v>negative</x:v>
      </x:c>
      <x:c r="N720" s="12"/>
      <x:c r="O720" s="12" t="str">
        <x:v>negative</x:v>
      </x:c>
      <x:c r="P720" s="12" t="str">
        <x:f>IF(OR(M720="unavailable",O720="unavailable"),"不可评价",IF(OR(M720="equivocal",O720="equivocal"),"疑似",IF(AND(M720="positive",O720="positive"),"a",IF(O720="positive","b",IF(M720="positive","c","d")))))</x:f>
        <x:v>d</x:v>
      </x:c>
      <x:c r="Q720" s="12"/>
      <x:c r="R720" s="12" t="str">
        <x:v>negative</x:v>
      </x:c>
      <x:c r="S720" s="12"/>
      <x:c r="T720" s="12" t="str">
        <x:v>negative</x:v>
      </x:c>
      <x:c r="U720" s="12" t="str">
        <x:f>IF(OR(R720="unavailable",T720="unavailable"),"不可评价",IF(OR(R720="equivocal",T720="equivocal"),"疑似",IF(AND(R720="positive",T720="positive"),"a",IF(T720="positive","b",IF(R720="positive","c","d")))))</x:f>
        <x:v>d</x:v>
      </x:c>
      <x:c r="V720" s="12"/>
      <x:c r="W720" s="12" t="str">
        <x:v>negative</x:v>
      </x:c>
      <x:c r="X720" s="12"/>
      <x:c r="Y720" s="12" t="str">
        <x:v>negative</x:v>
      </x:c>
      <x:c r="Z720" s="12" t="str">
        <x:f>IF(OR(W720="unavailable",Y720="unavailable"),"不可评价",IF(OR(W720="equivocal",Y720="equivocal"),"疑似",IF(AND(W720="positive",Y720="positive"),"a",IF(Y720="positive","b",IF(W720="positive","c","d")))))</x:f>
        <x:v>d</x:v>
      </x:c>
      <x:c r="AA720" s="12" t="str">
        <x:f>IF(OR(M720="unavailable",O720="unavailable"),"不可评价",IF(AND(OR(M720="positive",M720="equivocal"),OR(O720="positive",O720="equivocal")),"a",IF(OR(O720="positive",O720="equivocal"),"b",IF(OR(M720="positive",M720="equivocal"),"c","d"))))</x:f>
        <x:v>d</x:v>
      </x:c>
      <x:c r="AB720" s="12" t="str">
        <x:f>IF(OR(M720="unavailable",O720="unavailable"),"不可评价",IF(AND(M720="positive",O720="positive"),"a",IF(O720="positive","b",IF(M720="positive","c","d"))))</x:f>
        <x:v>d</x:v>
      </x:c>
      <x:c r="AC720" s="12" t="str">
        <x:f>IF(OR(R720="unavailable",T720="unavailable"),"不可评价",IF(AND(OR(R720="positive",R720="equivocal"),OR(T720="positive",T720="equivocal")),"a",IF(OR(T720="positive",T720="equivocal"),"b",IF(OR(R720="positive",R720="equivocal"),"c","d"))))</x:f>
        <x:v>d</x:v>
      </x:c>
      <x:c r="AD720" s="12" t="str">
        <x:f>IF(OR(R720="unavailable",T720="unavailable"),"不可评价",IF(AND(R720="positive",T720="positive"),"a",IF(T720="positive","b",IF(R720="positive","c","d"))))</x:f>
        <x:v>d</x:v>
      </x:c>
      <x:c r="AE720" s="12" t="str">
        <x:f>IF(OR(W720="unavailable",Y720="unavailable"),"不可评价",IF(AND(OR(W720="positive",W720="equivocal"),OR(Y720="positive",Y720="equivocal")),"a",IF(OR(Y720="positive",Y720="equivocal"),"b",IF(OR(W720="positive",W720="equivocal"),"c","d"))))</x:f>
        <x:v>d</x:v>
      </x:c>
      <x:c r="AF720" s="12" t="str">
        <x:f>IF(OR(W720="unavailable",Y720="unavailable"),"不可评价",IF(AND(W720="positive",Y720="positive"),"a",IF(Y720="positive","b",IF(W720="positive","c","d"))))</x:f>
        <x:v>d</x:v>
      </x:c>
    </x:row>
    <x:row r="721" ht="24" customHeight="1">
      <x:c r="A721" s="12" t="str">
        <x:v>5975</x:v>
      </x:c>
      <x:c r="B721" s="12" t="str">
        <x:v>14975</x:v>
      </x:c>
      <x:c r="C721" s="21" t="n">
        <x:v>33335.47865740741</x:v>
      </x:c>
      <x:c r="D721" s="12" t="n">
        <x:v>31</x:v>
      </x:c>
      <x:c r="E721" s="12" t="n">
        <x:v>1</x:v>
      </x:c>
      <x:c r="F721" s="12" t="str">
        <x:v>存在</x:v>
      </x:c>
      <x:c r="G721" s="12" t="n">
        <x:v>1</x:v>
      </x:c>
      <x:c r="H721" s="12" t="str">
        <x:v>{'NORM': 100.0, 'SR': 0.0}</x:v>
      </x:c>
      <x:c r="I721" s="12" t="str">
        <x:v>[('NSR', 100.0), ('NML', 100.0)]</x:v>
      </x:c>
      <x:c r="J721" s="12" t="str">
        <x:v>ptbxl_database.csv；ecg_id=5975；scp_codes</x:v>
      </x:c>
      <x:c r="K721" s="12" t="str">
        <x:v>12sl_statements.csv；ecg_id=5975；statements_ext_snomed</x:v>
      </x:c>
      <x:c r="L721" s="12"/>
      <x:c r="M721" s="12" t="str">
        <x:v>negative</x:v>
      </x:c>
      <x:c r="N721" s="12"/>
      <x:c r="O721" s="12" t="str">
        <x:v>negative</x:v>
      </x:c>
      <x:c r="P721" s="12" t="str">
        <x:f>IF(OR(M721="unavailable",O721="unavailable"),"不可评价",IF(OR(M721="equivocal",O721="equivocal"),"疑似",IF(AND(M721="positive",O721="positive"),"a",IF(O721="positive","b",IF(M721="positive","c","d")))))</x:f>
        <x:v>d</x:v>
      </x:c>
      <x:c r="Q721" s="12"/>
      <x:c r="R721" s="12" t="str">
        <x:v>negative</x:v>
      </x:c>
      <x:c r="S721" s="12"/>
      <x:c r="T721" s="12" t="str">
        <x:v>negative</x:v>
      </x:c>
      <x:c r="U721" s="12" t="str">
        <x:f>IF(OR(R721="unavailable",T721="unavailable"),"不可评价",IF(OR(R721="equivocal",T721="equivocal"),"疑似",IF(AND(R721="positive",T721="positive"),"a",IF(T721="positive","b",IF(R721="positive","c","d")))))</x:f>
        <x:v>d</x:v>
      </x:c>
      <x:c r="V721" s="12"/>
      <x:c r="W721" s="12" t="str">
        <x:v>negative</x:v>
      </x:c>
      <x:c r="X721" s="12"/>
      <x:c r="Y721" s="12" t="str">
        <x:v>negative</x:v>
      </x:c>
      <x:c r="Z721" s="12" t="str">
        <x:f>IF(OR(W721="unavailable",Y721="unavailable"),"不可评价",IF(OR(W721="equivocal",Y721="equivocal"),"疑似",IF(AND(W721="positive",Y721="positive"),"a",IF(Y721="positive","b",IF(W721="positive","c","d")))))</x:f>
        <x:v>d</x:v>
      </x:c>
      <x:c r="AA721" s="12" t="str">
        <x:f>IF(OR(M721="unavailable",O721="unavailable"),"不可评价",IF(AND(OR(M721="positive",M721="equivocal"),OR(O721="positive",O721="equivocal")),"a",IF(OR(O721="positive",O721="equivocal"),"b",IF(OR(M721="positive",M721="equivocal"),"c","d"))))</x:f>
        <x:v>d</x:v>
      </x:c>
      <x:c r="AB721" s="12" t="str">
        <x:f>IF(OR(M721="unavailable",O721="unavailable"),"不可评价",IF(AND(M721="positive",O721="positive"),"a",IF(O721="positive","b",IF(M721="positive","c","d"))))</x:f>
        <x:v>d</x:v>
      </x:c>
      <x:c r="AC721" s="12" t="str">
        <x:f>IF(OR(R721="unavailable",T721="unavailable"),"不可评价",IF(AND(OR(R721="positive",R721="equivocal"),OR(T721="positive",T721="equivocal")),"a",IF(OR(T721="positive",T721="equivocal"),"b",IF(OR(R721="positive",R721="equivocal"),"c","d"))))</x:f>
        <x:v>d</x:v>
      </x:c>
      <x:c r="AD721" s="12" t="str">
        <x:f>IF(OR(R721="unavailable",T721="unavailable"),"不可评价",IF(AND(R721="positive",T721="positive"),"a",IF(T721="positive","b",IF(R721="positive","c","d"))))</x:f>
        <x:v>d</x:v>
      </x:c>
      <x:c r="AE721" s="12" t="str">
        <x:f>IF(OR(W721="unavailable",Y721="unavailable"),"不可评价",IF(AND(OR(W721="positive",W721="equivocal"),OR(Y721="positive",Y721="equivocal")),"a",IF(OR(Y721="positive",Y721="equivocal"),"b",IF(OR(W721="positive",W721="equivocal"),"c","d"))))</x:f>
        <x:v>d</x:v>
      </x:c>
      <x:c r="AF721" s="12" t="str">
        <x:f>IF(OR(W721="unavailable",Y721="unavailable"),"不可评价",IF(AND(W721="positive",Y721="positive"),"a",IF(Y721="positive","b",IF(W721="positive","c","d"))))</x:f>
        <x:v>d</x:v>
      </x:c>
    </x:row>
    <x:row r="722" ht="24" customHeight="1">
      <x:c r="A722" s="12" t="str">
        <x:v>5977</x:v>
      </x:c>
      <x:c r="B722" s="12" t="str">
        <x:v>20632</x:v>
      </x:c>
      <x:c r="C722" s="21" t="n">
        <x:v>33336.51709490741</x:v>
      </x:c>
      <x:c r="D722" s="12" t="n">
        <x:v>61</x:v>
      </x:c>
      <x:c r="E722" s="12" t="n">
        <x:v>0</x:v>
      </x:c>
      <x:c r="F722" s="12" t="str">
        <x:v>未记录</x:v>
      </x:c>
      <x:c r="G722" s="12" t="n">
        <x:v>1</x:v>
      </x:c>
      <x:c r="H722" s="12" t="str">
        <x:v>{'NORM': 100.0, 'SR': 0.0}</x:v>
      </x:c>
      <x:c r="I722" s="12" t="str">
        <x:v>[('NSR', 100.0), ('NSTT', 100.0), ('AB', 100.0)]</x:v>
      </x:c>
      <x:c r="J722" s="12" t="str">
        <x:v>ptbxl_database.csv；ecg_id=5977；scp_codes</x:v>
      </x:c>
      <x:c r="K722" s="12" t="str">
        <x:v>12sl_statements.csv；ecg_id=5977；statements_ext_snomed</x:v>
      </x:c>
      <x:c r="L722" s="12"/>
      <x:c r="M722" s="12" t="str">
        <x:v>negative</x:v>
      </x:c>
      <x:c r="N722" s="12"/>
      <x:c r="O722" s="12" t="str">
        <x:v>negative</x:v>
      </x:c>
      <x:c r="P722" s="12" t="str">
        <x:f>IF(OR(M722="unavailable",O722="unavailable"),"不可评价",IF(OR(M722="equivocal",O722="equivocal"),"疑似",IF(AND(M722="positive",O722="positive"),"a",IF(O722="positive","b",IF(M722="positive","c","d")))))</x:f>
        <x:v>d</x:v>
      </x:c>
      <x:c r="Q722" s="12"/>
      <x:c r="R722" s="12" t="str">
        <x:v>negative</x:v>
      </x:c>
      <x:c r="S722" s="12"/>
      <x:c r="T722" s="12" t="str">
        <x:v>negative</x:v>
      </x:c>
      <x:c r="U722" s="12" t="str">
        <x:f>IF(OR(R722="unavailable",T722="unavailable"),"不可评价",IF(OR(R722="equivocal",T722="equivocal"),"疑似",IF(AND(R722="positive",T722="positive"),"a",IF(T722="positive","b",IF(R722="positive","c","d")))))</x:f>
        <x:v>d</x:v>
      </x:c>
      <x:c r="V722" s="12"/>
      <x:c r="W722" s="12" t="str">
        <x:v>negative</x:v>
      </x:c>
      <x:c r="X722" s="12"/>
      <x:c r="Y722" s="12" t="str">
        <x:v>negative</x:v>
      </x:c>
      <x:c r="Z722" s="12" t="str">
        <x:f>IF(OR(W722="unavailable",Y722="unavailable"),"不可评价",IF(OR(W722="equivocal",Y722="equivocal"),"疑似",IF(AND(W722="positive",Y722="positive"),"a",IF(Y722="positive","b",IF(W722="positive","c","d")))))</x:f>
        <x:v>d</x:v>
      </x:c>
      <x:c r="AA722" s="12" t="str">
        <x:f>IF(OR(M722="unavailable",O722="unavailable"),"不可评价",IF(AND(OR(M722="positive",M722="equivocal"),OR(O722="positive",O722="equivocal")),"a",IF(OR(O722="positive",O722="equivocal"),"b",IF(OR(M722="positive",M722="equivocal"),"c","d"))))</x:f>
        <x:v>d</x:v>
      </x:c>
      <x:c r="AB722" s="12" t="str">
        <x:f>IF(OR(M722="unavailable",O722="unavailable"),"不可评价",IF(AND(M722="positive",O722="positive"),"a",IF(O722="positive","b",IF(M722="positive","c","d"))))</x:f>
        <x:v>d</x:v>
      </x:c>
      <x:c r="AC722" s="12" t="str">
        <x:f>IF(OR(R722="unavailable",T722="unavailable"),"不可评价",IF(AND(OR(R722="positive",R722="equivocal"),OR(T722="positive",T722="equivocal")),"a",IF(OR(T722="positive",T722="equivocal"),"b",IF(OR(R722="positive",R722="equivocal"),"c","d"))))</x:f>
        <x:v>d</x:v>
      </x:c>
      <x:c r="AD722" s="12" t="str">
        <x:f>IF(OR(R722="unavailable",T722="unavailable"),"不可评价",IF(AND(R722="positive",T722="positive"),"a",IF(T722="positive","b",IF(R722="positive","c","d"))))</x:f>
        <x:v>d</x:v>
      </x:c>
      <x:c r="AE722" s="12" t="str">
        <x:f>IF(OR(W722="unavailable",Y722="unavailable"),"不可评价",IF(AND(OR(W722="positive",W722="equivocal"),OR(Y722="positive",Y722="equivocal")),"a",IF(OR(Y722="positive",Y722="equivocal"),"b",IF(OR(W722="positive",W722="equivocal"),"c","d"))))</x:f>
        <x:v>d</x:v>
      </x:c>
      <x:c r="AF722" s="12" t="str">
        <x:f>IF(OR(W722="unavailable",Y722="unavailable"),"不可评价",IF(AND(W722="positive",Y722="positive"),"a",IF(Y722="positive","b",IF(W722="positive","c","d"))))</x:f>
        <x:v>d</x:v>
      </x:c>
    </x:row>
    <x:row r="723" ht="24" customHeight="1">
      <x:c r="A723" s="12" t="str">
        <x:v>5992</x:v>
      </x:c>
      <x:c r="B723" s="12" t="str">
        <x:v>785</x:v>
      </x:c>
      <x:c r="C723" s="21" t="n">
        <x:v>33338.681238425925</x:v>
      </x:c>
      <x:c r="D723" s="12" t="n">
        <x:v>30</x:v>
      </x:c>
      <x:c r="E723" s="12" t="n">
        <x:v>1</x:v>
      </x:c>
      <x:c r="F723" s="12" t="str">
        <x:v>未记录</x:v>
      </x:c>
      <x:c r="G723" s="12" t="n">
        <x:v>1</x:v>
      </x:c>
      <x:c r="H723" s="12" t="str">
        <x:v>{'NORM': 100.0, 'SR': 0.0}</x:v>
      </x:c>
      <x:c r="I723" s="12" t="str">
        <x:v>[('NSR', 100.0), ('NML', 100.0)]</x:v>
      </x:c>
      <x:c r="J723" s="12" t="str">
        <x:v>ptbxl_database.csv；ecg_id=5992；scp_codes</x:v>
      </x:c>
      <x:c r="K723" s="12" t="str">
        <x:v>12sl_statements.csv；ecg_id=5992；statements_ext_snomed</x:v>
      </x:c>
      <x:c r="L723" s="12"/>
      <x:c r="M723" s="12" t="str">
        <x:v>negative</x:v>
      </x:c>
      <x:c r="N723" s="12"/>
      <x:c r="O723" s="12" t="str">
        <x:v>negative</x:v>
      </x:c>
      <x:c r="P723" s="12" t="str">
        <x:f>IF(OR(M723="unavailable",O723="unavailable"),"不可评价",IF(OR(M723="equivocal",O723="equivocal"),"疑似",IF(AND(M723="positive",O723="positive"),"a",IF(O723="positive","b",IF(M723="positive","c","d")))))</x:f>
        <x:v>d</x:v>
      </x:c>
      <x:c r="Q723" s="12"/>
      <x:c r="R723" s="12" t="str">
        <x:v>negative</x:v>
      </x:c>
      <x:c r="S723" s="12"/>
      <x:c r="T723" s="12" t="str">
        <x:v>negative</x:v>
      </x:c>
      <x:c r="U723" s="12" t="str">
        <x:f>IF(OR(R723="unavailable",T723="unavailable"),"不可评价",IF(OR(R723="equivocal",T723="equivocal"),"疑似",IF(AND(R723="positive",T723="positive"),"a",IF(T723="positive","b",IF(R723="positive","c","d")))))</x:f>
        <x:v>d</x:v>
      </x:c>
      <x:c r="V723" s="12"/>
      <x:c r="W723" s="12" t="str">
        <x:v>negative</x:v>
      </x:c>
      <x:c r="X723" s="12"/>
      <x:c r="Y723" s="12" t="str">
        <x:v>negative</x:v>
      </x:c>
      <x:c r="Z723" s="12" t="str">
        <x:f>IF(OR(W723="unavailable",Y723="unavailable"),"不可评价",IF(OR(W723="equivocal",Y723="equivocal"),"疑似",IF(AND(W723="positive",Y723="positive"),"a",IF(Y723="positive","b",IF(W723="positive","c","d")))))</x:f>
        <x:v>d</x:v>
      </x:c>
      <x:c r="AA723" s="12" t="str">
        <x:f>IF(OR(M723="unavailable",O723="unavailable"),"不可评价",IF(AND(OR(M723="positive",M723="equivocal"),OR(O723="positive",O723="equivocal")),"a",IF(OR(O723="positive",O723="equivocal"),"b",IF(OR(M723="positive",M723="equivocal"),"c","d"))))</x:f>
        <x:v>d</x:v>
      </x:c>
      <x:c r="AB723" s="12" t="str">
        <x:f>IF(OR(M723="unavailable",O723="unavailable"),"不可评价",IF(AND(M723="positive",O723="positive"),"a",IF(O723="positive","b",IF(M723="positive","c","d"))))</x:f>
        <x:v>d</x:v>
      </x:c>
      <x:c r="AC723" s="12" t="str">
        <x:f>IF(OR(R723="unavailable",T723="unavailable"),"不可评价",IF(AND(OR(R723="positive",R723="equivocal"),OR(T723="positive",T723="equivocal")),"a",IF(OR(T723="positive",T723="equivocal"),"b",IF(OR(R723="positive",R723="equivocal"),"c","d"))))</x:f>
        <x:v>d</x:v>
      </x:c>
      <x:c r="AD723" s="12" t="str">
        <x:f>IF(OR(R723="unavailable",T723="unavailable"),"不可评价",IF(AND(R723="positive",T723="positive"),"a",IF(T723="positive","b",IF(R723="positive","c","d"))))</x:f>
        <x:v>d</x:v>
      </x:c>
      <x:c r="AE723" s="12" t="str">
        <x:f>IF(OR(W723="unavailable",Y723="unavailable"),"不可评价",IF(AND(OR(W723="positive",W723="equivocal"),OR(Y723="positive",Y723="equivocal")),"a",IF(OR(Y723="positive",Y723="equivocal"),"b",IF(OR(W723="positive",W723="equivocal"),"c","d"))))</x:f>
        <x:v>d</x:v>
      </x:c>
      <x:c r="AF723" s="12" t="str">
        <x:f>IF(OR(W723="unavailable",Y723="unavailable"),"不可评价",IF(AND(W723="positive",Y723="positive"),"a",IF(Y723="positive","b",IF(W723="positive","c","d"))))</x:f>
        <x:v>d</x:v>
      </x:c>
    </x:row>
    <x:row r="724" ht="24" customHeight="1">
      <x:c r="A724" s="12" t="str">
        <x:v>6000</x:v>
      </x:c>
      <x:c r="B724" s="12" t="str">
        <x:v>5028</x:v>
      </x:c>
      <x:c r="C724" s="21" t="n">
        <x:v>33342.57550925926</x:v>
      </x:c>
      <x:c r="D724" s="12" t="n">
        <x:v>59</x:v>
      </x:c>
      <x:c r="E724" s="12" t="n">
        <x:v>1</x:v>
      </x:c>
      <x:c r="F724" s="12" t="str">
        <x:v>未记录</x:v>
      </x:c>
      <x:c r="G724" s="12" t="n">
        <x:v>1</x:v>
      </x:c>
      <x:c r="H724" s="12" t="str">
        <x:v>{'NORM': 100.0, 'NT_': 0.0, 'SR': 0.0}</x:v>
      </x:c>
      <x:c r="I724" s="12" t="str">
        <x:v>[('NSR', 100.0), ('NML', 100.0)]</x:v>
      </x:c>
      <x:c r="J724" s="12" t="str">
        <x:v>ptbxl_database.csv；ecg_id=6000；scp_codes</x:v>
      </x:c>
      <x:c r="K724" s="12" t="str">
        <x:v>12sl_statements.csv；ecg_id=6000；statements_ext_snomed</x:v>
      </x:c>
      <x:c r="L724" s="12"/>
      <x:c r="M724" s="12" t="str">
        <x:v>negative</x:v>
      </x:c>
      <x:c r="N724" s="12"/>
      <x:c r="O724" s="12" t="str">
        <x:v>negative</x:v>
      </x:c>
      <x:c r="P724" s="12" t="str">
        <x:f>IF(OR(M724="unavailable",O724="unavailable"),"不可评价",IF(OR(M724="equivocal",O724="equivocal"),"疑似",IF(AND(M724="positive",O724="positive"),"a",IF(O724="positive","b",IF(M724="positive","c","d")))))</x:f>
        <x:v>d</x:v>
      </x:c>
      <x:c r="Q724" s="12"/>
      <x:c r="R724" s="12" t="str">
        <x:v>negative</x:v>
      </x:c>
      <x:c r="S724" s="12"/>
      <x:c r="T724" s="12" t="str">
        <x:v>negative</x:v>
      </x:c>
      <x:c r="U724" s="12" t="str">
        <x:f>IF(OR(R724="unavailable",T724="unavailable"),"不可评价",IF(OR(R724="equivocal",T724="equivocal"),"疑似",IF(AND(R724="positive",T724="positive"),"a",IF(T724="positive","b",IF(R724="positive","c","d")))))</x:f>
        <x:v>d</x:v>
      </x:c>
      <x:c r="V724" s="12"/>
      <x:c r="W724" s="12" t="str">
        <x:v>negative</x:v>
      </x:c>
      <x:c r="X724" s="12"/>
      <x:c r="Y724" s="12" t="str">
        <x:v>negative</x:v>
      </x:c>
      <x:c r="Z724" s="12" t="str">
        <x:f>IF(OR(W724="unavailable",Y724="unavailable"),"不可评价",IF(OR(W724="equivocal",Y724="equivocal"),"疑似",IF(AND(W724="positive",Y724="positive"),"a",IF(Y724="positive","b",IF(W724="positive","c","d")))))</x:f>
        <x:v>d</x:v>
      </x:c>
      <x:c r="AA724" s="12" t="str">
        <x:f>IF(OR(M724="unavailable",O724="unavailable"),"不可评价",IF(AND(OR(M724="positive",M724="equivocal"),OR(O724="positive",O724="equivocal")),"a",IF(OR(O724="positive",O724="equivocal"),"b",IF(OR(M724="positive",M724="equivocal"),"c","d"))))</x:f>
        <x:v>d</x:v>
      </x:c>
      <x:c r="AB724" s="12" t="str">
        <x:f>IF(OR(M724="unavailable",O724="unavailable"),"不可评价",IF(AND(M724="positive",O724="positive"),"a",IF(O724="positive","b",IF(M724="positive","c","d"))))</x:f>
        <x:v>d</x:v>
      </x:c>
      <x:c r="AC724" s="12" t="str">
        <x:f>IF(OR(R724="unavailable",T724="unavailable"),"不可评价",IF(AND(OR(R724="positive",R724="equivocal"),OR(T724="positive",T724="equivocal")),"a",IF(OR(T724="positive",T724="equivocal"),"b",IF(OR(R724="positive",R724="equivocal"),"c","d"))))</x:f>
        <x:v>d</x:v>
      </x:c>
      <x:c r="AD724" s="12" t="str">
        <x:f>IF(OR(R724="unavailable",T724="unavailable"),"不可评价",IF(AND(R724="positive",T724="positive"),"a",IF(T724="positive","b",IF(R724="positive","c","d"))))</x:f>
        <x:v>d</x:v>
      </x:c>
      <x:c r="AE724" s="12" t="str">
        <x:f>IF(OR(W724="unavailable",Y724="unavailable"),"不可评价",IF(AND(OR(W724="positive",W724="equivocal"),OR(Y724="positive",Y724="equivocal")),"a",IF(OR(Y724="positive",Y724="equivocal"),"b",IF(OR(W724="positive",W724="equivocal"),"c","d"))))</x:f>
        <x:v>d</x:v>
      </x:c>
      <x:c r="AF724" s="12" t="str">
        <x:f>IF(OR(W724="unavailable",Y724="unavailable"),"不可评价",IF(AND(W724="positive",Y724="positive"),"a",IF(Y724="positive","b",IF(W724="positive","c","d"))))</x:f>
        <x:v>d</x:v>
      </x:c>
    </x:row>
    <x:row r="725" ht="24" customHeight="1">
      <x:c r="A725" s="12" t="str">
        <x:v>6004</x:v>
      </x:c>
      <x:c r="B725" s="12" t="str">
        <x:v>2482</x:v>
      </x:c>
      <x:c r="C725" s="21" t="n">
        <x:v>33343.34002314815</x:v>
      </x:c>
      <x:c r="D725" s="12" t="n">
        <x:v>28</x:v>
      </x:c>
      <x:c r="E725" s="12" t="n">
        <x:v>0</x:v>
      </x:c>
      <x:c r="F725" s="12" t="str">
        <x:v>未记录</x:v>
      </x:c>
      <x:c r="G725" s="12" t="n">
        <x:v>1</x:v>
      </x:c>
      <x:c r="H725" s="12" t="str">
        <x:v>{'NORM': 100.0, 'SR': 0.0}</x:v>
      </x:c>
      <x:c r="I725" s="12" t="str">
        <x:v>[('NSR', 100.0), ('NML', 100.0)]</x:v>
      </x:c>
      <x:c r="J725" s="12" t="str">
        <x:v>ptbxl_database.csv；ecg_id=6004；scp_codes</x:v>
      </x:c>
      <x:c r="K725" s="12" t="str">
        <x:v>12sl_statements.csv；ecg_id=6004；statements_ext_snomed</x:v>
      </x:c>
      <x:c r="L725" s="12"/>
      <x:c r="M725" s="12" t="str">
        <x:v>negative</x:v>
      </x:c>
      <x:c r="N725" s="12"/>
      <x:c r="O725" s="12" t="str">
        <x:v>negative</x:v>
      </x:c>
      <x:c r="P725" s="12" t="str">
        <x:f>IF(OR(M725="unavailable",O725="unavailable"),"不可评价",IF(OR(M725="equivocal",O725="equivocal"),"疑似",IF(AND(M725="positive",O725="positive"),"a",IF(O725="positive","b",IF(M725="positive","c","d")))))</x:f>
        <x:v>d</x:v>
      </x:c>
      <x:c r="Q725" s="12"/>
      <x:c r="R725" s="12" t="str">
        <x:v>negative</x:v>
      </x:c>
      <x:c r="S725" s="12"/>
      <x:c r="T725" s="12" t="str">
        <x:v>negative</x:v>
      </x:c>
      <x:c r="U725" s="12" t="str">
        <x:f>IF(OR(R725="unavailable",T725="unavailable"),"不可评价",IF(OR(R725="equivocal",T725="equivocal"),"疑似",IF(AND(R725="positive",T725="positive"),"a",IF(T725="positive","b",IF(R725="positive","c","d")))))</x:f>
        <x:v>d</x:v>
      </x:c>
      <x:c r="V725" s="12"/>
      <x:c r="W725" s="12" t="str">
        <x:v>negative</x:v>
      </x:c>
      <x:c r="X725" s="12"/>
      <x:c r="Y725" s="12" t="str">
        <x:v>negative</x:v>
      </x:c>
      <x:c r="Z725" s="12" t="str">
        <x:f>IF(OR(W725="unavailable",Y725="unavailable"),"不可评价",IF(OR(W725="equivocal",Y725="equivocal"),"疑似",IF(AND(W725="positive",Y725="positive"),"a",IF(Y725="positive","b",IF(W725="positive","c","d")))))</x:f>
        <x:v>d</x:v>
      </x:c>
      <x:c r="AA725" s="12" t="str">
        <x:f>IF(OR(M725="unavailable",O725="unavailable"),"不可评价",IF(AND(OR(M725="positive",M725="equivocal"),OR(O725="positive",O725="equivocal")),"a",IF(OR(O725="positive",O725="equivocal"),"b",IF(OR(M725="positive",M725="equivocal"),"c","d"))))</x:f>
        <x:v>d</x:v>
      </x:c>
      <x:c r="AB725" s="12" t="str">
        <x:f>IF(OR(M725="unavailable",O725="unavailable"),"不可评价",IF(AND(M725="positive",O725="positive"),"a",IF(O725="positive","b",IF(M725="positive","c","d"))))</x:f>
        <x:v>d</x:v>
      </x:c>
      <x:c r="AC725" s="12" t="str">
        <x:f>IF(OR(R725="unavailable",T725="unavailable"),"不可评价",IF(AND(OR(R725="positive",R725="equivocal"),OR(T725="positive",T725="equivocal")),"a",IF(OR(T725="positive",T725="equivocal"),"b",IF(OR(R725="positive",R725="equivocal"),"c","d"))))</x:f>
        <x:v>d</x:v>
      </x:c>
      <x:c r="AD725" s="12" t="str">
        <x:f>IF(OR(R725="unavailable",T725="unavailable"),"不可评价",IF(AND(R725="positive",T725="positive"),"a",IF(T725="positive","b",IF(R725="positive","c","d"))))</x:f>
        <x:v>d</x:v>
      </x:c>
      <x:c r="AE725" s="12" t="str">
        <x:f>IF(OR(W725="unavailable",Y725="unavailable"),"不可评价",IF(AND(OR(W725="positive",W725="equivocal"),OR(Y725="positive",Y725="equivocal")),"a",IF(OR(Y725="positive",Y725="equivocal"),"b",IF(OR(W725="positive",W725="equivocal"),"c","d"))))</x:f>
        <x:v>d</x:v>
      </x:c>
      <x:c r="AF725" s="12" t="str">
        <x:f>IF(OR(W725="unavailable",Y725="unavailable"),"不可评价",IF(AND(W725="positive",Y725="positive"),"a",IF(Y725="positive","b",IF(W725="positive","c","d"))))</x:f>
        <x:v>d</x:v>
      </x:c>
    </x:row>
    <x:row r="726" ht="24" customHeight="1">
      <x:c r="A726" s="12" t="str">
        <x:v>6042</x:v>
      </x:c>
      <x:c r="B726" s="12" t="str">
        <x:v>20739</x:v>
      </x:c>
      <x:c r="C726" s="21" t="n">
        <x:v>33349.684641203705</x:v>
      </x:c>
      <x:c r="D726" s="12" t="n">
        <x:v>56</x:v>
      </x:c>
      <x:c r="E726" s="12" t="n">
        <x:v>1</x:v>
      </x:c>
      <x:c r="F726" s="12" t="str">
        <x:v>未记录</x:v>
      </x:c>
      <x:c r="G726" s="12" t="n">
        <x:v>0</x:v>
      </x:c>
      <x:c r="H726" s="12" t="str">
        <x:v>{'IMI': 100.0, 'IVCD': 100.0, 'ABQRS': 0.0, 'SR': 0.0}</x:v>
      </x:c>
      <x:c r="I726" s="12" t="str">
        <x:v>[('NSR', 100.0), ('NML', 100.0)]</x:v>
      </x:c>
      <x:c r="J726" s="12" t="str">
        <x:v>ptbxl_database.csv；ecg_id=6042；scp_codes</x:v>
      </x:c>
      <x:c r="K726" s="12" t="str">
        <x:v>12sl_statements.csv；ecg_id=6042；statements_ext_snomed</x:v>
      </x:c>
      <x:c r="L726" s="12"/>
      <x:c r="M726" s="12" t="str">
        <x:v>negative</x:v>
      </x:c>
      <x:c r="N726" s="12"/>
      <x:c r="O726" s="12" t="str">
        <x:v>negative</x:v>
      </x:c>
      <x:c r="P726" s="12" t="str">
        <x:f>IF(OR(M726="unavailable",O726="unavailable"),"不可评价",IF(OR(M726="equivocal",O726="equivocal"),"疑似",IF(AND(M726="positive",O726="positive"),"a",IF(O726="positive","b",IF(M726="positive","c","d")))))</x:f>
        <x:v>d</x:v>
      </x:c>
      <x:c r="Q726" s="12"/>
      <x:c r="R726" s="12" t="str">
        <x:v>negative</x:v>
      </x:c>
      <x:c r="S726" s="12"/>
      <x:c r="T726" s="12" t="str">
        <x:v>negative</x:v>
      </x:c>
      <x:c r="U726" s="12" t="str">
        <x:f>IF(OR(R726="unavailable",T726="unavailable"),"不可评价",IF(OR(R726="equivocal",T726="equivocal"),"疑似",IF(AND(R726="positive",T726="positive"),"a",IF(T726="positive","b",IF(R726="positive","c","d")))))</x:f>
        <x:v>d</x:v>
      </x:c>
      <x:c r="V726" s="12"/>
      <x:c r="W726" s="12" t="str">
        <x:v>negative</x:v>
      </x:c>
      <x:c r="X726" s="12"/>
      <x:c r="Y726" s="12" t="str">
        <x:v>negative</x:v>
      </x:c>
      <x:c r="Z726" s="12" t="str">
        <x:f>IF(OR(W726="unavailable",Y726="unavailable"),"不可评价",IF(OR(W726="equivocal",Y726="equivocal"),"疑似",IF(AND(W726="positive",Y726="positive"),"a",IF(Y726="positive","b",IF(W726="positive","c","d")))))</x:f>
        <x:v>d</x:v>
      </x:c>
      <x:c r="AA726" s="12" t="str">
        <x:f>IF(OR(M726="unavailable",O726="unavailable"),"不可评价",IF(AND(OR(M726="positive",M726="equivocal"),OR(O726="positive",O726="equivocal")),"a",IF(OR(O726="positive",O726="equivocal"),"b",IF(OR(M726="positive",M726="equivocal"),"c","d"))))</x:f>
        <x:v>d</x:v>
      </x:c>
      <x:c r="AB726" s="12" t="str">
        <x:f>IF(OR(M726="unavailable",O726="unavailable"),"不可评价",IF(AND(M726="positive",O726="positive"),"a",IF(O726="positive","b",IF(M726="positive","c","d"))))</x:f>
        <x:v>d</x:v>
      </x:c>
      <x:c r="AC726" s="12" t="str">
        <x:f>IF(OR(R726="unavailable",T726="unavailable"),"不可评价",IF(AND(OR(R726="positive",R726="equivocal"),OR(T726="positive",T726="equivocal")),"a",IF(OR(T726="positive",T726="equivocal"),"b",IF(OR(R726="positive",R726="equivocal"),"c","d"))))</x:f>
        <x:v>d</x:v>
      </x:c>
      <x:c r="AD726" s="12" t="str">
        <x:f>IF(OR(R726="unavailable",T726="unavailable"),"不可评价",IF(AND(R726="positive",T726="positive"),"a",IF(T726="positive","b",IF(R726="positive","c","d"))))</x:f>
        <x:v>d</x:v>
      </x:c>
      <x:c r="AE726" s="12" t="str">
        <x:f>IF(OR(W726="unavailable",Y726="unavailable"),"不可评价",IF(AND(OR(W726="positive",W726="equivocal"),OR(Y726="positive",Y726="equivocal")),"a",IF(OR(Y726="positive",Y726="equivocal"),"b",IF(OR(W726="positive",W726="equivocal"),"c","d"))))</x:f>
        <x:v>d</x:v>
      </x:c>
      <x:c r="AF726" s="12" t="str">
        <x:f>IF(OR(W726="unavailable",Y726="unavailable"),"不可评价",IF(AND(W726="positive",Y726="positive"),"a",IF(Y726="positive","b",IF(W726="positive","c","d"))))</x:f>
        <x:v>d</x:v>
      </x:c>
    </x:row>
    <x:row r="727" ht="24" customHeight="1">
      <x:c r="A727" s="12" t="str">
        <x:v>6046</x:v>
      </x:c>
      <x:c r="B727" s="12" t="str">
        <x:v>3465</x:v>
      </x:c>
      <x:c r="C727" s="21" t="n">
        <x:v>33350.590208333335</x:v>
      </x:c>
      <x:c r="D727" s="12" t="n">
        <x:v>62</x:v>
      </x:c>
      <x:c r="E727" s="12" t="n">
        <x:v>0</x:v>
      </x:c>
      <x:c r="F727" s="12" t="str">
        <x:v>未记录</x:v>
      </x:c>
      <x:c r="G727" s="12" t="n">
        <x:v>1</x:v>
      </x:c>
      <x:c r="H727" s="12" t="str">
        <x:v>{'NORM': 100.0, 'SR': 0.0}</x:v>
      </x:c>
      <x:c r="I727" s="12" t="str">
        <x:v>[('SBRAD', 100.0), ('LAE', 50.0), ('BORDE', 100.0)]</x:v>
      </x:c>
      <x:c r="J727" s="12" t="str">
        <x:v>ptbxl_database.csv；ecg_id=6046；scp_codes</x:v>
      </x:c>
      <x:c r="K727" s="12" t="str">
        <x:v>12sl_statements.csv；ecg_id=6046；statements_ext_snomed</x:v>
      </x:c>
      <x:c r="L727" s="12"/>
      <x:c r="M727" s="12" t="str">
        <x:v>negative</x:v>
      </x:c>
      <x:c r="N727" s="12"/>
      <x:c r="O727" s="12" t="str">
        <x:v>negative</x:v>
      </x:c>
      <x:c r="P727" s="12" t="str">
        <x:f>IF(OR(M727="unavailable",O727="unavailable"),"不可评价",IF(OR(M727="equivocal",O727="equivocal"),"疑似",IF(AND(M727="positive",O727="positive"),"a",IF(O727="positive","b",IF(M727="positive","c","d")))))</x:f>
        <x:v>d</x:v>
      </x:c>
      <x:c r="Q727" s="12"/>
      <x:c r="R727" s="12" t="str">
        <x:v>negative</x:v>
      </x:c>
      <x:c r="S727" s="12"/>
      <x:c r="T727" s="12" t="str">
        <x:v>negative</x:v>
      </x:c>
      <x:c r="U727" s="12" t="str">
        <x:f>IF(OR(R727="unavailable",T727="unavailable"),"不可评价",IF(OR(R727="equivocal",T727="equivocal"),"疑似",IF(AND(R727="positive",T727="positive"),"a",IF(T727="positive","b",IF(R727="positive","c","d")))))</x:f>
        <x:v>d</x:v>
      </x:c>
      <x:c r="V727" s="12"/>
      <x:c r="W727" s="12" t="str">
        <x:v>negative</x:v>
      </x:c>
      <x:c r="X727" s="12"/>
      <x:c r="Y727" s="12" t="str">
        <x:v>negative</x:v>
      </x:c>
      <x:c r="Z727" s="12" t="str">
        <x:f>IF(OR(W727="unavailable",Y727="unavailable"),"不可评价",IF(OR(W727="equivocal",Y727="equivocal"),"疑似",IF(AND(W727="positive",Y727="positive"),"a",IF(Y727="positive","b",IF(W727="positive","c","d")))))</x:f>
        <x:v>d</x:v>
      </x:c>
      <x:c r="AA727" s="12" t="str">
        <x:f>IF(OR(M727="unavailable",O727="unavailable"),"不可评价",IF(AND(OR(M727="positive",M727="equivocal"),OR(O727="positive",O727="equivocal")),"a",IF(OR(O727="positive",O727="equivocal"),"b",IF(OR(M727="positive",M727="equivocal"),"c","d"))))</x:f>
        <x:v>d</x:v>
      </x:c>
      <x:c r="AB727" s="12" t="str">
        <x:f>IF(OR(M727="unavailable",O727="unavailable"),"不可评价",IF(AND(M727="positive",O727="positive"),"a",IF(O727="positive","b",IF(M727="positive","c","d"))))</x:f>
        <x:v>d</x:v>
      </x:c>
      <x:c r="AC727" s="12" t="str">
        <x:f>IF(OR(R727="unavailable",T727="unavailable"),"不可评价",IF(AND(OR(R727="positive",R727="equivocal"),OR(T727="positive",T727="equivocal")),"a",IF(OR(T727="positive",T727="equivocal"),"b",IF(OR(R727="positive",R727="equivocal"),"c","d"))))</x:f>
        <x:v>d</x:v>
      </x:c>
      <x:c r="AD727" s="12" t="str">
        <x:f>IF(OR(R727="unavailable",T727="unavailable"),"不可评价",IF(AND(R727="positive",T727="positive"),"a",IF(T727="positive","b",IF(R727="positive","c","d"))))</x:f>
        <x:v>d</x:v>
      </x:c>
      <x:c r="AE727" s="12" t="str">
        <x:f>IF(OR(W727="unavailable",Y727="unavailable"),"不可评价",IF(AND(OR(W727="positive",W727="equivocal"),OR(Y727="positive",Y727="equivocal")),"a",IF(OR(Y727="positive",Y727="equivocal"),"b",IF(OR(W727="positive",W727="equivocal"),"c","d"))))</x:f>
        <x:v>d</x:v>
      </x:c>
      <x:c r="AF727" s="12" t="str">
        <x:f>IF(OR(W727="unavailable",Y727="unavailable"),"不可评价",IF(AND(W727="positive",Y727="positive"),"a",IF(Y727="positive","b",IF(W727="positive","c","d"))))</x:f>
        <x:v>d</x:v>
      </x:c>
    </x:row>
    <x:row r="728" ht="24" customHeight="1">
      <x:c r="A728" s="12" t="str">
        <x:v>6047</x:v>
      </x:c>
      <x:c r="B728" s="12" t="str">
        <x:v>5293</x:v>
      </x:c>
      <x:c r="C728" s="21" t="n">
        <x:v>33350.594039351854</x:v>
      </x:c>
      <x:c r="D728" s="12" t="n">
        <x:v>61</x:v>
      </x:c>
      <x:c r="E728" s="12" t="n">
        <x:v>0</x:v>
      </x:c>
      <x:c r="F728" s="12" t="str">
        <x:v>未记录</x:v>
      </x:c>
      <x:c r="G728" s="12" t="n">
        <x:v>1</x:v>
      </x:c>
      <x:c r="H728" s="12" t="str">
        <x:v>{'NORM': 100.0, 'SR': 0.0}</x:v>
      </x:c>
      <x:c r="I728" s="12" t="str">
        <x:v>[('SBRAD', 100.0), ('ABR', 100.0)]</x:v>
      </x:c>
      <x:c r="J728" s="12" t="str">
        <x:v>ptbxl_database.csv；ecg_id=6047；scp_codes</x:v>
      </x:c>
      <x:c r="K728" s="12" t="str">
        <x:v>12sl_statements.csv；ecg_id=6047；statements_ext_snomed</x:v>
      </x:c>
      <x:c r="L728" s="12"/>
      <x:c r="M728" s="12" t="str">
        <x:v>negative</x:v>
      </x:c>
      <x:c r="N728" s="12"/>
      <x:c r="O728" s="12" t="str">
        <x:v>negative</x:v>
      </x:c>
      <x:c r="P728" s="12" t="str">
        <x:f>IF(OR(M728="unavailable",O728="unavailable"),"不可评价",IF(OR(M728="equivocal",O728="equivocal"),"疑似",IF(AND(M728="positive",O728="positive"),"a",IF(O728="positive","b",IF(M728="positive","c","d")))))</x:f>
        <x:v>d</x:v>
      </x:c>
      <x:c r="Q728" s="12"/>
      <x:c r="R728" s="12" t="str">
        <x:v>negative</x:v>
      </x:c>
      <x:c r="S728" s="12"/>
      <x:c r="T728" s="12" t="str">
        <x:v>negative</x:v>
      </x:c>
      <x:c r="U728" s="12" t="str">
        <x:f>IF(OR(R728="unavailable",T728="unavailable"),"不可评价",IF(OR(R728="equivocal",T728="equivocal"),"疑似",IF(AND(R728="positive",T728="positive"),"a",IF(T728="positive","b",IF(R728="positive","c","d")))))</x:f>
        <x:v>d</x:v>
      </x:c>
      <x:c r="V728" s="12"/>
      <x:c r="W728" s="12" t="str">
        <x:v>negative</x:v>
      </x:c>
      <x:c r="X728" s="12"/>
      <x:c r="Y728" s="12" t="str">
        <x:v>negative</x:v>
      </x:c>
      <x:c r="Z728" s="12" t="str">
        <x:f>IF(OR(W728="unavailable",Y728="unavailable"),"不可评价",IF(OR(W728="equivocal",Y728="equivocal"),"疑似",IF(AND(W728="positive",Y728="positive"),"a",IF(Y728="positive","b",IF(W728="positive","c","d")))))</x:f>
        <x:v>d</x:v>
      </x:c>
      <x:c r="AA728" s="12" t="str">
        <x:f>IF(OR(M728="unavailable",O728="unavailable"),"不可评价",IF(AND(OR(M728="positive",M728="equivocal"),OR(O728="positive",O728="equivocal")),"a",IF(OR(O728="positive",O728="equivocal"),"b",IF(OR(M728="positive",M728="equivocal"),"c","d"))))</x:f>
        <x:v>d</x:v>
      </x:c>
      <x:c r="AB728" s="12" t="str">
        <x:f>IF(OR(M728="unavailable",O728="unavailable"),"不可评价",IF(AND(M728="positive",O728="positive"),"a",IF(O728="positive","b",IF(M728="positive","c","d"))))</x:f>
        <x:v>d</x:v>
      </x:c>
      <x:c r="AC728" s="12" t="str">
        <x:f>IF(OR(R728="unavailable",T728="unavailable"),"不可评价",IF(AND(OR(R728="positive",R728="equivocal"),OR(T728="positive",T728="equivocal")),"a",IF(OR(T728="positive",T728="equivocal"),"b",IF(OR(R728="positive",R728="equivocal"),"c","d"))))</x:f>
        <x:v>d</x:v>
      </x:c>
      <x:c r="AD728" s="12" t="str">
        <x:f>IF(OR(R728="unavailable",T728="unavailable"),"不可评价",IF(AND(R728="positive",T728="positive"),"a",IF(T728="positive","b",IF(R728="positive","c","d"))))</x:f>
        <x:v>d</x:v>
      </x:c>
      <x:c r="AE728" s="12" t="str">
        <x:f>IF(OR(W728="unavailable",Y728="unavailable"),"不可评价",IF(AND(OR(W728="positive",W728="equivocal"),OR(Y728="positive",Y728="equivocal")),"a",IF(OR(Y728="positive",Y728="equivocal"),"b",IF(OR(W728="positive",W728="equivocal"),"c","d"))))</x:f>
        <x:v>d</x:v>
      </x:c>
      <x:c r="AF728" s="12" t="str">
        <x:f>IF(OR(W728="unavailable",Y728="unavailable"),"不可评价",IF(AND(W728="positive",Y728="positive"),"a",IF(Y728="positive","b",IF(W728="positive","c","d"))))</x:f>
        <x:v>d</x:v>
      </x:c>
    </x:row>
    <x:row r="729" ht="24" customHeight="1">
      <x:c r="A729" s="12" t="str">
        <x:v>6050</x:v>
      </x:c>
      <x:c r="B729" s="12" t="str">
        <x:v>859</x:v>
      </x:c>
      <x:c r="C729" s="21" t="n">
        <x:v>33351.36189814815</x:v>
      </x:c>
      <x:c r="D729" s="12" t="n">
        <x:v>55</x:v>
      </x:c>
      <x:c r="E729" s="12" t="n">
        <x:v>1</x:v>
      </x:c>
      <x:c r="F729" s="12" t="str">
        <x:v>未记录</x:v>
      </x:c>
      <x:c r="G729" s="12" t="n">
        <x:v>1</x:v>
      </x:c>
      <x:c r="H729" s="12" t="str">
        <x:v>{'NORM': 100.0, 'SR': 0.0}</x:v>
      </x:c>
      <x:c r="I729" s="12" t="str">
        <x:v>[('NSR', 100.0), ('NML', 100.0)]</x:v>
      </x:c>
      <x:c r="J729" s="12" t="str">
        <x:v>ptbxl_database.csv；ecg_id=6050；scp_codes</x:v>
      </x:c>
      <x:c r="K729" s="12" t="str">
        <x:v>12sl_statements.csv；ecg_id=6050；statements_ext_snomed</x:v>
      </x:c>
      <x:c r="L729" s="12"/>
      <x:c r="M729" s="12" t="str">
        <x:v>negative</x:v>
      </x:c>
      <x:c r="N729" s="12"/>
      <x:c r="O729" s="12" t="str">
        <x:v>negative</x:v>
      </x:c>
      <x:c r="P729" s="12" t="str">
        <x:f>IF(OR(M729="unavailable",O729="unavailable"),"不可评价",IF(OR(M729="equivocal",O729="equivocal"),"疑似",IF(AND(M729="positive",O729="positive"),"a",IF(O729="positive","b",IF(M729="positive","c","d")))))</x:f>
        <x:v>d</x:v>
      </x:c>
      <x:c r="Q729" s="12"/>
      <x:c r="R729" s="12" t="str">
        <x:v>negative</x:v>
      </x:c>
      <x:c r="S729" s="12"/>
      <x:c r="T729" s="12" t="str">
        <x:v>negative</x:v>
      </x:c>
      <x:c r="U729" s="12" t="str">
        <x:f>IF(OR(R729="unavailable",T729="unavailable"),"不可评价",IF(OR(R729="equivocal",T729="equivocal"),"疑似",IF(AND(R729="positive",T729="positive"),"a",IF(T729="positive","b",IF(R729="positive","c","d")))))</x:f>
        <x:v>d</x:v>
      </x:c>
      <x:c r="V729" s="12"/>
      <x:c r="W729" s="12" t="str">
        <x:v>negative</x:v>
      </x:c>
      <x:c r="X729" s="12"/>
      <x:c r="Y729" s="12" t="str">
        <x:v>negative</x:v>
      </x:c>
      <x:c r="Z729" s="12" t="str">
        <x:f>IF(OR(W729="unavailable",Y729="unavailable"),"不可评价",IF(OR(W729="equivocal",Y729="equivocal"),"疑似",IF(AND(W729="positive",Y729="positive"),"a",IF(Y729="positive","b",IF(W729="positive","c","d")))))</x:f>
        <x:v>d</x:v>
      </x:c>
      <x:c r="AA729" s="12" t="str">
        <x:f>IF(OR(M729="unavailable",O729="unavailable"),"不可评价",IF(AND(OR(M729="positive",M729="equivocal"),OR(O729="positive",O729="equivocal")),"a",IF(OR(O729="positive",O729="equivocal"),"b",IF(OR(M729="positive",M729="equivocal"),"c","d"))))</x:f>
        <x:v>d</x:v>
      </x:c>
      <x:c r="AB729" s="12" t="str">
        <x:f>IF(OR(M729="unavailable",O729="unavailable"),"不可评价",IF(AND(M729="positive",O729="positive"),"a",IF(O729="positive","b",IF(M729="positive","c","d"))))</x:f>
        <x:v>d</x:v>
      </x:c>
      <x:c r="AC729" s="12" t="str">
        <x:f>IF(OR(R729="unavailable",T729="unavailable"),"不可评价",IF(AND(OR(R729="positive",R729="equivocal"),OR(T729="positive",T729="equivocal")),"a",IF(OR(T729="positive",T729="equivocal"),"b",IF(OR(R729="positive",R729="equivocal"),"c","d"))))</x:f>
        <x:v>d</x:v>
      </x:c>
      <x:c r="AD729" s="12" t="str">
        <x:f>IF(OR(R729="unavailable",T729="unavailable"),"不可评价",IF(AND(R729="positive",T729="positive"),"a",IF(T729="positive","b",IF(R729="positive","c","d"))))</x:f>
        <x:v>d</x:v>
      </x:c>
      <x:c r="AE729" s="12" t="str">
        <x:f>IF(OR(W729="unavailable",Y729="unavailable"),"不可评价",IF(AND(OR(W729="positive",W729="equivocal"),OR(Y729="positive",Y729="equivocal")),"a",IF(OR(Y729="positive",Y729="equivocal"),"b",IF(OR(W729="positive",W729="equivocal"),"c","d"))))</x:f>
        <x:v>d</x:v>
      </x:c>
      <x:c r="AF729" s="12" t="str">
        <x:f>IF(OR(W729="unavailable",Y729="unavailable"),"不可评价",IF(AND(W729="positive",Y729="positive"),"a",IF(Y729="positive","b",IF(W729="positive","c","d"))))</x:f>
        <x:v>d</x:v>
      </x:c>
    </x:row>
    <x:row r="730" ht="39" customHeight="1">
      <x:c r="A730" s="12" t="str">
        <x:v>6056</x:v>
      </x:c>
      <x:c r="B730" s="12" t="str">
        <x:v>935</x:v>
      </x:c>
      <x:c r="C730" s="21" t="n">
        <x:v>33352.460439814815</x:v>
      </x:c>
      <x:c r="D730" s="12" t="n">
        <x:v>88</x:v>
      </x:c>
      <x:c r="E730" s="12" t="n">
        <x:v>1</x:v>
      </x:c>
      <x:c r="F730" s="12" t="str">
        <x:v>未记录</x:v>
      </x:c>
      <x:c r="G730" s="12" t="n">
        <x:v>1</x:v>
      </x:c>
      <x:c r="H730" s="12" t="str">
        <x:v>{'ASMI': 100.0, 'ALMI': 100.0, 'CRBBB': 100.0, 'LAFB': 100.0, 'SR': 0.0}</x:v>
      </x:c>
      <x:c r="I730" s="12" t="str">
        <x:v>[('NSR', 100.0), ('RBBB', 100.0), ('AFB', 100.0), ('BIFB', 100.0), ('LMI;AU', 100.0), ('AB', 100.0)]</x:v>
      </x:c>
      <x:c r="J730" s="12" t="str">
        <x:v>ptbxl_database.csv；ecg_id=6056；scp_codes</x:v>
      </x:c>
      <x:c r="K730" s="12" t="str">
        <x:v>12sl_statements.csv；ecg_id=6056；statements_ext_snomed</x:v>
      </x:c>
      <x:c r="L730" s="12"/>
      <x:c r="M730" s="12" t="str">
        <x:v>negative</x:v>
      </x:c>
      <x:c r="N730" s="12"/>
      <x:c r="O730" s="12" t="str">
        <x:v>negative</x:v>
      </x:c>
      <x:c r="P730" s="12" t="str">
        <x:f>IF(OR(M730="unavailable",O730="unavailable"),"不可评价",IF(OR(M730="equivocal",O730="equivocal"),"疑似",IF(AND(M730="positive",O730="positive"),"a",IF(O730="positive","b",IF(M730="positive","c","d")))))</x:f>
        <x:v>d</x:v>
      </x:c>
      <x:c r="Q730" s="12"/>
      <x:c r="R730" s="12" t="str">
        <x:v>negative</x:v>
      </x:c>
      <x:c r="S730" s="12"/>
      <x:c r="T730" s="12" t="str">
        <x:v>negative</x:v>
      </x:c>
      <x:c r="U730" s="12" t="str">
        <x:f>IF(OR(R730="unavailable",T730="unavailable"),"不可评价",IF(OR(R730="equivocal",T730="equivocal"),"疑似",IF(AND(R730="positive",T730="positive"),"a",IF(T730="positive","b",IF(R730="positive","c","d")))))</x:f>
        <x:v>d</x:v>
      </x:c>
      <x:c r="V730" s="12" t="n">
        <x:v>100</x:v>
      </x:c>
      <x:c r="W730" s="12" t="str">
        <x:v>positive</x:v>
      </x:c>
      <x:c r="X730" s="12" t="n">
        <x:v>100</x:v>
      </x:c>
      <x:c r="Y730" s="12" t="str">
        <x:v>positive</x:v>
      </x:c>
      <x:c r="Z730" s="12" t="str">
        <x:f>IF(OR(W730="unavailable",Y730="unavailable"),"不可评价",IF(OR(W730="equivocal",Y730="equivocal"),"疑似",IF(AND(W730="positive",Y730="positive"),"a",IF(Y730="positive","b",IF(W730="positive","c","d")))))</x:f>
        <x:v>a</x:v>
      </x:c>
      <x:c r="AA730" s="12" t="str">
        <x:f>IF(OR(M730="unavailable",O730="unavailable"),"不可评价",IF(AND(OR(M730="positive",M730="equivocal"),OR(O730="positive",O730="equivocal")),"a",IF(OR(O730="positive",O730="equivocal"),"b",IF(OR(M730="positive",M730="equivocal"),"c","d"))))</x:f>
        <x:v>d</x:v>
      </x:c>
      <x:c r="AB730" s="12" t="str">
        <x:f>IF(OR(M730="unavailable",O730="unavailable"),"不可评价",IF(AND(M730="positive",O730="positive"),"a",IF(O730="positive","b",IF(M730="positive","c","d"))))</x:f>
        <x:v>d</x:v>
      </x:c>
      <x:c r="AC730" s="12" t="str">
        <x:f>IF(OR(R730="unavailable",T730="unavailable"),"不可评价",IF(AND(OR(R730="positive",R730="equivocal"),OR(T730="positive",T730="equivocal")),"a",IF(OR(T730="positive",T730="equivocal"),"b",IF(OR(R730="positive",R730="equivocal"),"c","d"))))</x:f>
        <x:v>d</x:v>
      </x:c>
      <x:c r="AD730" s="12" t="str">
        <x:f>IF(OR(R730="unavailable",T730="unavailable"),"不可评价",IF(AND(R730="positive",T730="positive"),"a",IF(T730="positive","b",IF(R730="positive","c","d"))))</x:f>
        <x:v>d</x:v>
      </x:c>
      <x:c r="AE730" s="12" t="str">
        <x:f>IF(OR(W730="unavailable",Y730="unavailable"),"不可评价",IF(AND(OR(W730="positive",W730="equivocal"),OR(Y730="positive",Y730="equivocal")),"a",IF(OR(Y730="positive",Y730="equivocal"),"b",IF(OR(W730="positive",W730="equivocal"),"c","d"))))</x:f>
        <x:v>a</x:v>
      </x:c>
      <x:c r="AF730" s="12" t="str">
        <x:f>IF(OR(W730="unavailable",Y730="unavailable"),"不可评价",IF(AND(W730="positive",Y730="positive"),"a",IF(Y730="positive","b",IF(W730="positive","c","d"))))</x:f>
        <x:v>a</x:v>
      </x:c>
    </x:row>
    <x:row r="731" ht="24" customHeight="1">
      <x:c r="A731" s="12" t="str">
        <x:v>6075</x:v>
      </x:c>
      <x:c r="B731" s="12" t="str">
        <x:v>7195</x:v>
      </x:c>
      <x:c r="C731" s="21" t="n">
        <x:v>33353.65741898148</x:v>
      </x:c>
      <x:c r="D731" s="12" t="n">
        <x:v>76</x:v>
      </x:c>
      <x:c r="E731" s="12" t="n">
        <x:v>1</x:v>
      </x:c>
      <x:c r="F731" s="12" t="str">
        <x:v>未记录</x:v>
      </x:c>
      <x:c r="G731" s="12" t="n">
        <x:v>1</x:v>
      </x:c>
      <x:c r="H731" s="12" t="str">
        <x:v>{'NORM': 50.0, 'PAC': 0.0, 'SR': 0.0, 'BIGU': 0.0}</x:v>
      </x:c>
      <x:c r="I731" s="12" t="str">
        <x:v>[('SRTH', 100.0), ('MSAR', 100.0), ('LOWV', 100.0), ('AMI;AU', 15.0), ('AB', 100.0)]</x:v>
      </x:c>
      <x:c r="J731" s="12" t="str">
        <x:v>ptbxl_database.csv；ecg_id=6075；scp_codes</x:v>
      </x:c>
      <x:c r="K731" s="12" t="str">
        <x:v>12sl_statements.csv；ecg_id=6075；statements_ext_snomed</x:v>
      </x:c>
      <x:c r="L731" s="12"/>
      <x:c r="M731" s="12" t="str">
        <x:v>negative</x:v>
      </x:c>
      <x:c r="N731" s="12"/>
      <x:c r="O731" s="12" t="str">
        <x:v>negative</x:v>
      </x:c>
      <x:c r="P731" s="12" t="str">
        <x:f>IF(OR(M731="unavailable",O731="unavailable"),"不可评价",IF(OR(M731="equivocal",O731="equivocal"),"疑似",IF(AND(M731="positive",O731="positive"),"a",IF(O731="positive","b",IF(M731="positive","c","d")))))</x:f>
        <x:v>d</x:v>
      </x:c>
      <x:c r="Q731" s="12"/>
      <x:c r="R731" s="12" t="str">
        <x:v>negative</x:v>
      </x:c>
      <x:c r="S731" s="12"/>
      <x:c r="T731" s="12" t="str">
        <x:v>negative</x:v>
      </x:c>
      <x:c r="U731" s="12" t="str">
        <x:f>IF(OR(R731="unavailable",T731="unavailable"),"不可评价",IF(OR(R731="equivocal",T731="equivocal"),"疑似",IF(AND(R731="positive",T731="positive"),"a",IF(T731="positive","b",IF(R731="positive","c","d")))))</x:f>
        <x:v>d</x:v>
      </x:c>
      <x:c r="V731" s="12"/>
      <x:c r="W731" s="12" t="str">
        <x:v>negative</x:v>
      </x:c>
      <x:c r="X731" s="12"/>
      <x:c r="Y731" s="12" t="str">
        <x:v>negative</x:v>
      </x:c>
      <x:c r="Z731" s="12" t="str">
        <x:f>IF(OR(W731="unavailable",Y731="unavailable"),"不可评价",IF(OR(W731="equivocal",Y731="equivocal"),"疑似",IF(AND(W731="positive",Y731="positive"),"a",IF(Y731="positive","b",IF(W731="positive","c","d")))))</x:f>
        <x:v>d</x:v>
      </x:c>
      <x:c r="AA731" s="12" t="str">
        <x:f>IF(OR(M731="unavailable",O731="unavailable"),"不可评价",IF(AND(OR(M731="positive",M731="equivocal"),OR(O731="positive",O731="equivocal")),"a",IF(OR(O731="positive",O731="equivocal"),"b",IF(OR(M731="positive",M731="equivocal"),"c","d"))))</x:f>
        <x:v>d</x:v>
      </x:c>
      <x:c r="AB731" s="12" t="str">
        <x:f>IF(OR(M731="unavailable",O731="unavailable"),"不可评价",IF(AND(M731="positive",O731="positive"),"a",IF(O731="positive","b",IF(M731="positive","c","d"))))</x:f>
        <x:v>d</x:v>
      </x:c>
      <x:c r="AC731" s="12" t="str">
        <x:f>IF(OR(R731="unavailable",T731="unavailable"),"不可评价",IF(AND(OR(R731="positive",R731="equivocal"),OR(T731="positive",T731="equivocal")),"a",IF(OR(T731="positive",T731="equivocal"),"b",IF(OR(R731="positive",R731="equivocal"),"c","d"))))</x:f>
        <x:v>d</x:v>
      </x:c>
      <x:c r="AD731" s="12" t="str">
        <x:f>IF(OR(R731="unavailable",T731="unavailable"),"不可评价",IF(AND(R731="positive",T731="positive"),"a",IF(T731="positive","b",IF(R731="positive","c","d"))))</x:f>
        <x:v>d</x:v>
      </x:c>
      <x:c r="AE731" s="12" t="str">
        <x:f>IF(OR(W731="unavailable",Y731="unavailable"),"不可评价",IF(AND(OR(W731="positive",W731="equivocal"),OR(Y731="positive",Y731="equivocal")),"a",IF(OR(Y731="positive",Y731="equivocal"),"b",IF(OR(W731="positive",W731="equivocal"),"c","d"))))</x:f>
        <x:v>d</x:v>
      </x:c>
      <x:c r="AF731" s="12" t="str">
        <x:f>IF(OR(W731="unavailable",Y731="unavailable"),"不可评价",IF(AND(W731="positive",Y731="positive"),"a",IF(Y731="positive","b",IF(W731="positive","c","d"))))</x:f>
        <x:v>d</x:v>
      </x:c>
    </x:row>
    <x:row r="732" ht="24" customHeight="1">
      <x:c r="A732" s="12" t="str">
        <x:v>6087</x:v>
      </x:c>
      <x:c r="B732" s="12" t="str">
        <x:v>18442</x:v>
      </x:c>
      <x:c r="C732" s="21" t="n">
        <x:v>33356.70576388889</x:v>
      </x:c>
      <x:c r="D732" s="12" t="n">
        <x:v>51</x:v>
      </x:c>
      <x:c r="E732" s="12" t="n">
        <x:v>0</x:v>
      </x:c>
      <x:c r="F732" s="12" t="str">
        <x:v>未记录</x:v>
      </x:c>
      <x:c r="G732" s="12" t="n">
        <x:v>1</x:v>
      </x:c>
      <x:c r="H732" s="12" t="str">
        <x:v>{'NORM': 50.0, 'SR': 0.0}</x:v>
      </x:c>
      <x:c r="I732" s="12" t="str">
        <x:v>[('NSR', 100.0), ('NML', 100.0)]</x:v>
      </x:c>
      <x:c r="J732" s="12" t="str">
        <x:v>ptbxl_database.csv；ecg_id=6087；scp_codes</x:v>
      </x:c>
      <x:c r="K732" s="12" t="str">
        <x:v>12sl_statements.csv；ecg_id=6087；statements_ext_snomed</x:v>
      </x:c>
      <x:c r="L732" s="12"/>
      <x:c r="M732" s="12" t="str">
        <x:v>negative</x:v>
      </x:c>
      <x:c r="N732" s="12"/>
      <x:c r="O732" s="12" t="str">
        <x:v>negative</x:v>
      </x:c>
      <x:c r="P732" s="12" t="str">
        <x:f>IF(OR(M732="unavailable",O732="unavailable"),"不可评价",IF(OR(M732="equivocal",O732="equivocal"),"疑似",IF(AND(M732="positive",O732="positive"),"a",IF(O732="positive","b",IF(M732="positive","c","d")))))</x:f>
        <x:v>d</x:v>
      </x:c>
      <x:c r="Q732" s="12"/>
      <x:c r="R732" s="12" t="str">
        <x:v>negative</x:v>
      </x:c>
      <x:c r="S732" s="12"/>
      <x:c r="T732" s="12" t="str">
        <x:v>negative</x:v>
      </x:c>
      <x:c r="U732" s="12" t="str">
        <x:f>IF(OR(R732="unavailable",T732="unavailable"),"不可评价",IF(OR(R732="equivocal",T732="equivocal"),"疑似",IF(AND(R732="positive",T732="positive"),"a",IF(T732="positive","b",IF(R732="positive","c","d")))))</x:f>
        <x:v>d</x:v>
      </x:c>
      <x:c r="V732" s="12"/>
      <x:c r="W732" s="12" t="str">
        <x:v>negative</x:v>
      </x:c>
      <x:c r="X732" s="12"/>
      <x:c r="Y732" s="12" t="str">
        <x:v>negative</x:v>
      </x:c>
      <x:c r="Z732" s="12" t="str">
        <x:f>IF(OR(W732="unavailable",Y732="unavailable"),"不可评价",IF(OR(W732="equivocal",Y732="equivocal"),"疑似",IF(AND(W732="positive",Y732="positive"),"a",IF(Y732="positive","b",IF(W732="positive","c","d")))))</x:f>
        <x:v>d</x:v>
      </x:c>
      <x:c r="AA732" s="12" t="str">
        <x:f>IF(OR(M732="unavailable",O732="unavailable"),"不可评价",IF(AND(OR(M732="positive",M732="equivocal"),OR(O732="positive",O732="equivocal")),"a",IF(OR(O732="positive",O732="equivocal"),"b",IF(OR(M732="positive",M732="equivocal"),"c","d"))))</x:f>
        <x:v>d</x:v>
      </x:c>
      <x:c r="AB732" s="12" t="str">
        <x:f>IF(OR(M732="unavailable",O732="unavailable"),"不可评价",IF(AND(M732="positive",O732="positive"),"a",IF(O732="positive","b",IF(M732="positive","c","d"))))</x:f>
        <x:v>d</x:v>
      </x:c>
      <x:c r="AC732" s="12" t="str">
        <x:f>IF(OR(R732="unavailable",T732="unavailable"),"不可评价",IF(AND(OR(R732="positive",R732="equivocal"),OR(T732="positive",T732="equivocal")),"a",IF(OR(T732="positive",T732="equivocal"),"b",IF(OR(R732="positive",R732="equivocal"),"c","d"))))</x:f>
        <x:v>d</x:v>
      </x:c>
      <x:c r="AD732" s="12" t="str">
        <x:f>IF(OR(R732="unavailable",T732="unavailable"),"不可评价",IF(AND(R732="positive",T732="positive"),"a",IF(T732="positive","b",IF(R732="positive","c","d"))))</x:f>
        <x:v>d</x:v>
      </x:c>
      <x:c r="AE732" s="12" t="str">
        <x:f>IF(OR(W732="unavailable",Y732="unavailable"),"不可评价",IF(AND(OR(W732="positive",W732="equivocal"),OR(Y732="positive",Y732="equivocal")),"a",IF(OR(Y732="positive",Y732="equivocal"),"b",IF(OR(W732="positive",W732="equivocal"),"c","d"))))</x:f>
        <x:v>d</x:v>
      </x:c>
      <x:c r="AF732" s="12" t="str">
        <x:f>IF(OR(W732="unavailable",Y732="unavailable"),"不可评价",IF(AND(W732="positive",Y732="positive"),"a",IF(Y732="positive","b",IF(W732="positive","c","d"))))</x:f>
        <x:v>d</x:v>
      </x:c>
    </x:row>
    <x:row r="733" ht="24" customHeight="1">
      <x:c r="A733" s="12" t="str">
        <x:v>6096</x:v>
      </x:c>
      <x:c r="B733" s="12" t="str">
        <x:v>579</x:v>
      </x:c>
      <x:c r="C733" s="21" t="n">
        <x:v>33357.555</x:v>
      </x:c>
      <x:c r="D733" s="12" t="n">
        <x:v>66</x:v>
      </x:c>
      <x:c r="E733" s="12" t="n">
        <x:v>1</x:v>
      </x:c>
      <x:c r="F733" s="12" t="str">
        <x:v>未记录</x:v>
      </x:c>
      <x:c r="G733" s="12" t="n">
        <x:v>1</x:v>
      </x:c>
      <x:c r="H733" s="12" t="str">
        <x:v>{'LAFB': 100.0, 'SR': 0.0}</x:v>
      </x:c>
      <x:c r="I733" s="12" t="str">
        <x:v>[('NSR', 100.0), ('LAD3', 100.0), ('AB', 100.0)]</x:v>
      </x:c>
      <x:c r="J733" s="12" t="str">
        <x:v>ptbxl_database.csv；ecg_id=6096；scp_codes</x:v>
      </x:c>
      <x:c r="K733" s="12" t="str">
        <x:v>12sl_statements.csv；ecg_id=6096；statements_ext_snomed</x:v>
      </x:c>
      <x:c r="L733" s="12"/>
      <x:c r="M733" s="12" t="str">
        <x:v>negative</x:v>
      </x:c>
      <x:c r="N733" s="12"/>
      <x:c r="O733" s="12" t="str">
        <x:v>negative</x:v>
      </x:c>
      <x:c r="P733" s="12" t="str">
        <x:f>IF(OR(M733="unavailable",O733="unavailable"),"不可评价",IF(OR(M733="equivocal",O733="equivocal"),"疑似",IF(AND(M733="positive",O733="positive"),"a",IF(O733="positive","b",IF(M733="positive","c","d")))))</x:f>
        <x:v>d</x:v>
      </x:c>
      <x:c r="Q733" s="12"/>
      <x:c r="R733" s="12" t="str">
        <x:v>negative</x:v>
      </x:c>
      <x:c r="S733" s="12"/>
      <x:c r="T733" s="12" t="str">
        <x:v>negative</x:v>
      </x:c>
      <x:c r="U733" s="12" t="str">
        <x:f>IF(OR(R733="unavailable",T733="unavailable"),"不可评价",IF(OR(R733="equivocal",T733="equivocal"),"疑似",IF(AND(R733="positive",T733="positive"),"a",IF(T733="positive","b",IF(R733="positive","c","d")))))</x:f>
        <x:v>d</x:v>
      </x:c>
      <x:c r="V733" s="12"/>
      <x:c r="W733" s="12" t="str">
        <x:v>negative</x:v>
      </x:c>
      <x:c r="X733" s="12"/>
      <x:c r="Y733" s="12" t="str">
        <x:v>negative</x:v>
      </x:c>
      <x:c r="Z733" s="12" t="str">
        <x:f>IF(OR(W733="unavailable",Y733="unavailable"),"不可评价",IF(OR(W733="equivocal",Y733="equivocal"),"疑似",IF(AND(W733="positive",Y733="positive"),"a",IF(Y733="positive","b",IF(W733="positive","c","d")))))</x:f>
        <x:v>d</x:v>
      </x:c>
      <x:c r="AA733" s="12" t="str">
        <x:f>IF(OR(M733="unavailable",O733="unavailable"),"不可评价",IF(AND(OR(M733="positive",M733="equivocal"),OR(O733="positive",O733="equivocal")),"a",IF(OR(O733="positive",O733="equivocal"),"b",IF(OR(M733="positive",M733="equivocal"),"c","d"))))</x:f>
        <x:v>d</x:v>
      </x:c>
      <x:c r="AB733" s="12" t="str">
        <x:f>IF(OR(M733="unavailable",O733="unavailable"),"不可评价",IF(AND(M733="positive",O733="positive"),"a",IF(O733="positive","b",IF(M733="positive","c","d"))))</x:f>
        <x:v>d</x:v>
      </x:c>
      <x:c r="AC733" s="12" t="str">
        <x:f>IF(OR(R733="unavailable",T733="unavailable"),"不可评价",IF(AND(OR(R733="positive",R733="equivocal"),OR(T733="positive",T733="equivocal")),"a",IF(OR(T733="positive",T733="equivocal"),"b",IF(OR(R733="positive",R733="equivocal"),"c","d"))))</x:f>
        <x:v>d</x:v>
      </x:c>
      <x:c r="AD733" s="12" t="str">
        <x:f>IF(OR(R733="unavailable",T733="unavailable"),"不可评价",IF(AND(R733="positive",T733="positive"),"a",IF(T733="positive","b",IF(R733="positive","c","d"))))</x:f>
        <x:v>d</x:v>
      </x:c>
      <x:c r="AE733" s="12" t="str">
        <x:f>IF(OR(W733="unavailable",Y733="unavailable"),"不可评价",IF(AND(OR(W733="positive",W733="equivocal"),OR(Y733="positive",Y733="equivocal")),"a",IF(OR(Y733="positive",Y733="equivocal"),"b",IF(OR(W733="positive",W733="equivocal"),"c","d"))))</x:f>
        <x:v>d</x:v>
      </x:c>
      <x:c r="AF733" s="12" t="str">
        <x:f>IF(OR(W733="unavailable",Y733="unavailable"),"不可评价",IF(AND(W733="positive",Y733="positive"),"a",IF(Y733="positive","b",IF(W733="positive","c","d"))))</x:f>
        <x:v>d</x:v>
      </x:c>
    </x:row>
    <x:row r="734" ht="39" customHeight="1">
      <x:c r="A734" s="12" t="str">
        <x:v>6098</x:v>
      </x:c>
      <x:c r="B734" s="12" t="str">
        <x:v>6399</x:v>
      </x:c>
      <x:c r="C734" s="21" t="n">
        <x:v>33357.64079861111</x:v>
      </x:c>
      <x:c r="D734" s="12" t="n">
        <x:v>55</x:v>
      </x:c>
      <x:c r="E734" s="12" t="n">
        <x:v>0</x:v>
      </x:c>
      <x:c r="F734" s="12" t="str">
        <x:v>未记录</x:v>
      </x:c>
      <x:c r="G734" s="12" t="n">
        <x:v>1</x:v>
      </x:c>
      <x:c r="H734" s="12" t="str">
        <x:v>{'LVH': 50.0, 'ISC_': 100.0, 'PVC': 0.0, 'LOWT': 0.0, 'STD_': 0.0, 'SR': 0.0}</x:v>
      </x:c>
      <x:c r="I734" s="12" t="str">
        <x:v>[('SRTH', 100.0), ('PVC', 100.0), ('ABR', 100.0)]</x:v>
      </x:c>
      <x:c r="J734" s="12" t="str">
        <x:v>ptbxl_database.csv；ecg_id=6098；scp_codes</x:v>
      </x:c>
      <x:c r="K734" s="12" t="str">
        <x:v>12sl_statements.csv；ecg_id=6098；statements_ext_snomed</x:v>
      </x:c>
      <x:c r="L734" s="12"/>
      <x:c r="M734" s="12" t="str">
        <x:v>negative</x:v>
      </x:c>
      <x:c r="N734" s="12"/>
      <x:c r="O734" s="12" t="str">
        <x:v>negative</x:v>
      </x:c>
      <x:c r="P734" s="12" t="str">
        <x:f>IF(OR(M734="unavailable",O734="unavailable"),"不可评价",IF(OR(M734="equivocal",O734="equivocal"),"疑似",IF(AND(M734="positive",O734="positive"),"a",IF(O734="positive","b",IF(M734="positive","c","d")))))</x:f>
        <x:v>d</x:v>
      </x:c>
      <x:c r="Q734" s="12"/>
      <x:c r="R734" s="12" t="str">
        <x:v>negative</x:v>
      </x:c>
      <x:c r="S734" s="12"/>
      <x:c r="T734" s="12" t="str">
        <x:v>negative</x:v>
      </x:c>
      <x:c r="U734" s="12" t="str">
        <x:f>IF(OR(R734="unavailable",T734="unavailable"),"不可评价",IF(OR(R734="equivocal",T734="equivocal"),"疑似",IF(AND(R734="positive",T734="positive"),"a",IF(T734="positive","b",IF(R734="positive","c","d")))))</x:f>
        <x:v>d</x:v>
      </x:c>
      <x:c r="V734" s="12"/>
      <x:c r="W734" s="12" t="str">
        <x:v>negative</x:v>
      </x:c>
      <x:c r="X734" s="12"/>
      <x:c r="Y734" s="12" t="str">
        <x:v>negative</x:v>
      </x:c>
      <x:c r="Z734" s="12" t="str">
        <x:f>IF(OR(W734="unavailable",Y734="unavailable"),"不可评价",IF(OR(W734="equivocal",Y734="equivocal"),"疑似",IF(AND(W734="positive",Y734="positive"),"a",IF(Y734="positive","b",IF(W734="positive","c","d")))))</x:f>
        <x:v>d</x:v>
      </x:c>
      <x:c r="AA734" s="12" t="str">
        <x:f>IF(OR(M734="unavailable",O734="unavailable"),"不可评价",IF(AND(OR(M734="positive",M734="equivocal"),OR(O734="positive",O734="equivocal")),"a",IF(OR(O734="positive",O734="equivocal"),"b",IF(OR(M734="positive",M734="equivocal"),"c","d"))))</x:f>
        <x:v>d</x:v>
      </x:c>
      <x:c r="AB734" s="12" t="str">
        <x:f>IF(OR(M734="unavailable",O734="unavailable"),"不可评价",IF(AND(M734="positive",O734="positive"),"a",IF(O734="positive","b",IF(M734="positive","c","d"))))</x:f>
        <x:v>d</x:v>
      </x:c>
      <x:c r="AC734" s="12" t="str">
        <x:f>IF(OR(R734="unavailable",T734="unavailable"),"不可评价",IF(AND(OR(R734="positive",R734="equivocal"),OR(T734="positive",T734="equivocal")),"a",IF(OR(T734="positive",T734="equivocal"),"b",IF(OR(R734="positive",R734="equivocal"),"c","d"))))</x:f>
        <x:v>d</x:v>
      </x:c>
      <x:c r="AD734" s="12" t="str">
        <x:f>IF(OR(R734="unavailable",T734="unavailable"),"不可评价",IF(AND(R734="positive",T734="positive"),"a",IF(T734="positive","b",IF(R734="positive","c","d"))))</x:f>
        <x:v>d</x:v>
      </x:c>
      <x:c r="AE734" s="12" t="str">
        <x:f>IF(OR(W734="unavailable",Y734="unavailable"),"不可评价",IF(AND(OR(W734="positive",W734="equivocal"),OR(Y734="positive",Y734="equivocal")),"a",IF(OR(Y734="positive",Y734="equivocal"),"b",IF(OR(W734="positive",W734="equivocal"),"c","d"))))</x:f>
        <x:v>d</x:v>
      </x:c>
      <x:c r="AF734" s="12" t="str">
        <x:f>IF(OR(W734="unavailable",Y734="unavailable"),"不可评价",IF(AND(W734="positive",Y734="positive"),"a",IF(Y734="positive","b",IF(W734="positive","c","d"))))</x:f>
        <x:v>d</x:v>
      </x:c>
    </x:row>
    <x:row r="735" ht="24" customHeight="1">
      <x:c r="A735" s="12" t="str">
        <x:v>6103</x:v>
      </x:c>
      <x:c r="B735" s="12" t="str">
        <x:v>5886</x:v>
      </x:c>
      <x:c r="C735" s="21" t="n">
        <x:v>33358.331192129626</x:v>
      </x:c>
      <x:c r="D735" s="12" t="n">
        <x:v>51</x:v>
      </x:c>
      <x:c r="E735" s="12" t="n">
        <x:v>0</x:v>
      </x:c>
      <x:c r="F735" s="12" t="str">
        <x:v>未记录</x:v>
      </x:c>
      <x:c r="G735" s="12" t="n">
        <x:v>1</x:v>
      </x:c>
      <x:c r="H735" s="12" t="str">
        <x:v>{'NORM': 100.0, 'SR': 0.0}</x:v>
      </x:c>
      <x:c r="I735" s="12" t="str">
        <x:v>[('NSR', 100.0), ('BORDE', 100.0)]</x:v>
      </x:c>
      <x:c r="J735" s="12" t="str">
        <x:v>ptbxl_database.csv；ecg_id=6103；scp_codes</x:v>
      </x:c>
      <x:c r="K735" s="12" t="str">
        <x:v>12sl_statements.csv；ecg_id=6103；statements_ext_snomed</x:v>
      </x:c>
      <x:c r="L735" s="12"/>
      <x:c r="M735" s="12" t="str">
        <x:v>negative</x:v>
      </x:c>
      <x:c r="N735" s="12"/>
      <x:c r="O735" s="12" t="str">
        <x:v>negative</x:v>
      </x:c>
      <x:c r="P735" s="12" t="str">
        <x:f>IF(OR(M735="unavailable",O735="unavailable"),"不可评价",IF(OR(M735="equivocal",O735="equivocal"),"疑似",IF(AND(M735="positive",O735="positive"),"a",IF(O735="positive","b",IF(M735="positive","c","d")))))</x:f>
        <x:v>d</x:v>
      </x:c>
      <x:c r="Q735" s="12"/>
      <x:c r="R735" s="12" t="str">
        <x:v>negative</x:v>
      </x:c>
      <x:c r="S735" s="12"/>
      <x:c r="T735" s="12" t="str">
        <x:v>negative</x:v>
      </x:c>
      <x:c r="U735" s="12" t="str">
        <x:f>IF(OR(R735="unavailable",T735="unavailable"),"不可评价",IF(OR(R735="equivocal",T735="equivocal"),"疑似",IF(AND(R735="positive",T735="positive"),"a",IF(T735="positive","b",IF(R735="positive","c","d")))))</x:f>
        <x:v>d</x:v>
      </x:c>
      <x:c r="V735" s="12"/>
      <x:c r="W735" s="12" t="str">
        <x:v>negative</x:v>
      </x:c>
      <x:c r="X735" s="12"/>
      <x:c r="Y735" s="12" t="str">
        <x:v>negative</x:v>
      </x:c>
      <x:c r="Z735" s="12" t="str">
        <x:f>IF(OR(W735="unavailable",Y735="unavailable"),"不可评价",IF(OR(W735="equivocal",Y735="equivocal"),"疑似",IF(AND(W735="positive",Y735="positive"),"a",IF(Y735="positive","b",IF(W735="positive","c","d")))))</x:f>
        <x:v>d</x:v>
      </x:c>
      <x:c r="AA735" s="12" t="str">
        <x:f>IF(OR(M735="unavailable",O735="unavailable"),"不可评价",IF(AND(OR(M735="positive",M735="equivocal"),OR(O735="positive",O735="equivocal")),"a",IF(OR(O735="positive",O735="equivocal"),"b",IF(OR(M735="positive",M735="equivocal"),"c","d"))))</x:f>
        <x:v>d</x:v>
      </x:c>
      <x:c r="AB735" s="12" t="str">
        <x:f>IF(OR(M735="unavailable",O735="unavailable"),"不可评价",IF(AND(M735="positive",O735="positive"),"a",IF(O735="positive","b",IF(M735="positive","c","d"))))</x:f>
        <x:v>d</x:v>
      </x:c>
      <x:c r="AC735" s="12" t="str">
        <x:f>IF(OR(R735="unavailable",T735="unavailable"),"不可评价",IF(AND(OR(R735="positive",R735="equivocal"),OR(T735="positive",T735="equivocal")),"a",IF(OR(T735="positive",T735="equivocal"),"b",IF(OR(R735="positive",R735="equivocal"),"c","d"))))</x:f>
        <x:v>d</x:v>
      </x:c>
      <x:c r="AD735" s="12" t="str">
        <x:f>IF(OR(R735="unavailable",T735="unavailable"),"不可评价",IF(AND(R735="positive",T735="positive"),"a",IF(T735="positive","b",IF(R735="positive","c","d"))))</x:f>
        <x:v>d</x:v>
      </x:c>
      <x:c r="AE735" s="12" t="str">
        <x:f>IF(OR(W735="unavailable",Y735="unavailable"),"不可评价",IF(AND(OR(W735="positive",W735="equivocal"),OR(Y735="positive",Y735="equivocal")),"a",IF(OR(Y735="positive",Y735="equivocal"),"b",IF(OR(W735="positive",W735="equivocal"),"c","d"))))</x:f>
        <x:v>d</x:v>
      </x:c>
      <x:c r="AF735" s="12" t="str">
        <x:f>IF(OR(W735="unavailable",Y735="unavailable"),"不可评价",IF(AND(W735="positive",Y735="positive"),"a",IF(Y735="positive","b",IF(W735="positive","c","d"))))</x:f>
        <x:v>d</x:v>
      </x:c>
    </x:row>
    <x:row r="736" ht="24" customHeight="1">
      <x:c r="A736" s="12" t="str">
        <x:v>6126</x:v>
      </x:c>
      <x:c r="B736" s="12" t="str">
        <x:v>579</x:v>
      </x:c>
      <x:c r="C736" s="21" t="n">
        <x:v>33362.68287037037</x:v>
      </x:c>
      <x:c r="D736" s="12" t="n">
        <x:v>66</x:v>
      </x:c>
      <x:c r="E736" s="12" t="n">
        <x:v>1</x:v>
      </x:c>
      <x:c r="F736" s="12" t="str">
        <x:v>未记录</x:v>
      </x:c>
      <x:c r="G736" s="12" t="n">
        <x:v>0</x:v>
      </x:c>
      <x:c r="H736" s="12" t="str">
        <x:v>{'ASMI': 15.0, 'IVCD': 100.0, 'NST_': 0.0, 'AFIB': 0.0}</x:v>
      </x:c>
      <x:c r="I736" s="12" t="str">
        <x:v>[('AFIB', 100.0), ('RVR', 100.0), ('MSTDIL', 100.0), ('AB', 100.0)]</x:v>
      </x:c>
      <x:c r="J736" s="12" t="str">
        <x:v>ptbxl_database.csv；ecg_id=6126；scp_codes</x:v>
      </x:c>
      <x:c r="K736" s="12" t="str">
        <x:v>12sl_statements.csv；ecg_id=6126；statements_ext_snomed</x:v>
      </x:c>
      <x:c r="L736" s="12" t="n">
        <x:v>0</x:v>
      </x:c>
      <x:c r="M736" s="12" t="str">
        <x:v>positive</x:v>
      </x:c>
      <x:c r="N736" s="12" t="n">
        <x:v>100</x:v>
      </x:c>
      <x:c r="O736" s="12" t="str">
        <x:v>positive</x:v>
      </x:c>
      <x:c r="P736" s="12" t="str">
        <x:f>IF(OR(M736="unavailable",O736="unavailable"),"不可评价",IF(OR(M736="equivocal",O736="equivocal"),"疑似",IF(AND(M736="positive",O736="positive"),"a",IF(O736="positive","b",IF(M736="positive","c","d")))))</x:f>
        <x:v>a</x:v>
      </x:c>
      <x:c r="Q736" s="12"/>
      <x:c r="R736" s="12" t="str">
        <x:v>negative</x:v>
      </x:c>
      <x:c r="S736" s="12"/>
      <x:c r="T736" s="12" t="str">
        <x:v>negative</x:v>
      </x:c>
      <x:c r="U736" s="12" t="str">
        <x:f>IF(OR(R736="unavailable",T736="unavailable"),"不可评价",IF(OR(R736="equivocal",T736="equivocal"),"疑似",IF(AND(R736="positive",T736="positive"),"a",IF(T736="positive","b",IF(R736="positive","c","d")))))</x:f>
        <x:v>d</x:v>
      </x:c>
      <x:c r="V736" s="12"/>
      <x:c r="W736" s="12" t="str">
        <x:v>negative</x:v>
      </x:c>
      <x:c r="X736" s="12"/>
      <x:c r="Y736" s="12" t="str">
        <x:v>negative</x:v>
      </x:c>
      <x:c r="Z736" s="12" t="str">
        <x:f>IF(OR(W736="unavailable",Y736="unavailable"),"不可评价",IF(OR(W736="equivocal",Y736="equivocal"),"疑似",IF(AND(W736="positive",Y736="positive"),"a",IF(Y736="positive","b",IF(W736="positive","c","d")))))</x:f>
        <x:v>d</x:v>
      </x:c>
      <x:c r="AA736" s="12" t="str">
        <x:f>IF(OR(M736="unavailable",O736="unavailable"),"不可评价",IF(AND(OR(M736="positive",M736="equivocal"),OR(O736="positive",O736="equivocal")),"a",IF(OR(O736="positive",O736="equivocal"),"b",IF(OR(M736="positive",M736="equivocal"),"c","d"))))</x:f>
        <x:v>a</x:v>
      </x:c>
      <x:c r="AB736" s="12" t="str">
        <x:f>IF(OR(M736="unavailable",O736="unavailable"),"不可评价",IF(AND(M736="positive",O736="positive"),"a",IF(O736="positive","b",IF(M736="positive","c","d"))))</x:f>
        <x:v>a</x:v>
      </x:c>
      <x:c r="AC736" s="12" t="str">
        <x:f>IF(OR(R736="unavailable",T736="unavailable"),"不可评价",IF(AND(OR(R736="positive",R736="equivocal"),OR(T736="positive",T736="equivocal")),"a",IF(OR(T736="positive",T736="equivocal"),"b",IF(OR(R736="positive",R736="equivocal"),"c","d"))))</x:f>
        <x:v>d</x:v>
      </x:c>
      <x:c r="AD736" s="12" t="str">
        <x:f>IF(OR(R736="unavailable",T736="unavailable"),"不可评价",IF(AND(R736="positive",T736="positive"),"a",IF(T736="positive","b",IF(R736="positive","c","d"))))</x:f>
        <x:v>d</x:v>
      </x:c>
      <x:c r="AE736" s="12" t="str">
        <x:f>IF(OR(W736="unavailable",Y736="unavailable"),"不可评价",IF(AND(OR(W736="positive",W736="equivocal"),OR(Y736="positive",Y736="equivocal")),"a",IF(OR(Y736="positive",Y736="equivocal"),"b",IF(OR(W736="positive",W736="equivocal"),"c","d"))))</x:f>
        <x:v>d</x:v>
      </x:c>
      <x:c r="AF736" s="12" t="str">
        <x:f>IF(OR(W736="unavailable",Y736="unavailable"),"不可评价",IF(AND(W736="positive",Y736="positive"),"a",IF(Y736="positive","b",IF(W736="positive","c","d"))))</x:f>
        <x:v>d</x:v>
      </x:c>
    </x:row>
    <x:row r="737" ht="24" customHeight="1">
      <x:c r="A737" s="12" t="str">
        <x:v>6131</x:v>
      </x:c>
      <x:c r="B737" s="12" t="str">
        <x:v>19964</x:v>
      </x:c>
      <x:c r="C737" s="21" t="n">
        <x:v>33363.37710648148</x:v>
      </x:c>
      <x:c r="D737" s="12" t="n">
        <x:v>23</x:v>
      </x:c>
      <x:c r="E737" s="12" t="n">
        <x:v>0</x:v>
      </x:c>
      <x:c r="F737" s="12" t="str">
        <x:v>未记录</x:v>
      </x:c>
      <x:c r="G737" s="12" t="n">
        <x:v>1</x:v>
      </x:c>
      <x:c r="H737" s="12" t="str">
        <x:v>{'NORM': 100.0, 'SR': 0.0}</x:v>
      </x:c>
      <x:c r="I737" s="12" t="str">
        <x:v>[('NSR', 100.0), ('NML', 100.0)]</x:v>
      </x:c>
      <x:c r="J737" s="12" t="str">
        <x:v>ptbxl_database.csv；ecg_id=6131；scp_codes</x:v>
      </x:c>
      <x:c r="K737" s="12" t="str">
        <x:v>12sl_statements.csv；ecg_id=6131；statements_ext_snomed</x:v>
      </x:c>
      <x:c r="L737" s="12"/>
      <x:c r="M737" s="12" t="str">
        <x:v>negative</x:v>
      </x:c>
      <x:c r="N737" s="12"/>
      <x:c r="O737" s="12" t="str">
        <x:v>negative</x:v>
      </x:c>
      <x:c r="P737" s="12" t="str">
        <x:f>IF(OR(M737="unavailable",O737="unavailable"),"不可评价",IF(OR(M737="equivocal",O737="equivocal"),"疑似",IF(AND(M737="positive",O737="positive"),"a",IF(O737="positive","b",IF(M737="positive","c","d")))))</x:f>
        <x:v>d</x:v>
      </x:c>
      <x:c r="Q737" s="12"/>
      <x:c r="R737" s="12" t="str">
        <x:v>negative</x:v>
      </x:c>
      <x:c r="S737" s="12"/>
      <x:c r="T737" s="12" t="str">
        <x:v>negative</x:v>
      </x:c>
      <x:c r="U737" s="12" t="str">
        <x:f>IF(OR(R737="unavailable",T737="unavailable"),"不可评价",IF(OR(R737="equivocal",T737="equivocal"),"疑似",IF(AND(R737="positive",T737="positive"),"a",IF(T737="positive","b",IF(R737="positive","c","d")))))</x:f>
        <x:v>d</x:v>
      </x:c>
      <x:c r="V737" s="12"/>
      <x:c r="W737" s="12" t="str">
        <x:v>negative</x:v>
      </x:c>
      <x:c r="X737" s="12"/>
      <x:c r="Y737" s="12" t="str">
        <x:v>negative</x:v>
      </x:c>
      <x:c r="Z737" s="12" t="str">
        <x:f>IF(OR(W737="unavailable",Y737="unavailable"),"不可评价",IF(OR(W737="equivocal",Y737="equivocal"),"疑似",IF(AND(W737="positive",Y737="positive"),"a",IF(Y737="positive","b",IF(W737="positive","c","d")))))</x:f>
        <x:v>d</x:v>
      </x:c>
      <x:c r="AA737" s="12" t="str">
        <x:f>IF(OR(M737="unavailable",O737="unavailable"),"不可评价",IF(AND(OR(M737="positive",M737="equivocal"),OR(O737="positive",O737="equivocal")),"a",IF(OR(O737="positive",O737="equivocal"),"b",IF(OR(M737="positive",M737="equivocal"),"c","d"))))</x:f>
        <x:v>d</x:v>
      </x:c>
      <x:c r="AB737" s="12" t="str">
        <x:f>IF(OR(M737="unavailable",O737="unavailable"),"不可评价",IF(AND(M737="positive",O737="positive"),"a",IF(O737="positive","b",IF(M737="positive","c","d"))))</x:f>
        <x:v>d</x:v>
      </x:c>
      <x:c r="AC737" s="12" t="str">
        <x:f>IF(OR(R737="unavailable",T737="unavailable"),"不可评价",IF(AND(OR(R737="positive",R737="equivocal"),OR(T737="positive",T737="equivocal")),"a",IF(OR(T737="positive",T737="equivocal"),"b",IF(OR(R737="positive",R737="equivocal"),"c","d"))))</x:f>
        <x:v>d</x:v>
      </x:c>
      <x:c r="AD737" s="12" t="str">
        <x:f>IF(OR(R737="unavailable",T737="unavailable"),"不可评价",IF(AND(R737="positive",T737="positive"),"a",IF(T737="positive","b",IF(R737="positive","c","d"))))</x:f>
        <x:v>d</x:v>
      </x:c>
      <x:c r="AE737" s="12" t="str">
        <x:f>IF(OR(W737="unavailable",Y737="unavailable"),"不可评价",IF(AND(OR(W737="positive",W737="equivocal"),OR(Y737="positive",Y737="equivocal")),"a",IF(OR(Y737="positive",Y737="equivocal"),"b",IF(OR(W737="positive",W737="equivocal"),"c","d"))))</x:f>
        <x:v>d</x:v>
      </x:c>
      <x:c r="AF737" s="12" t="str">
        <x:f>IF(OR(W737="unavailable",Y737="unavailable"),"不可评价",IF(AND(W737="positive",Y737="positive"),"a",IF(Y737="positive","b",IF(W737="positive","c","d"))))</x:f>
        <x:v>d</x:v>
      </x:c>
    </x:row>
    <x:row r="738" ht="24" customHeight="1">
      <x:c r="A738" s="12" t="str">
        <x:v>6132</x:v>
      </x:c>
      <x:c r="B738" s="12" t="str">
        <x:v>5651</x:v>
      </x:c>
      <x:c r="C738" s="21" t="n">
        <x:v>33363.38563657407</x:v>
      </x:c>
      <x:c r="D738" s="12" t="n">
        <x:v>59</x:v>
      </x:c>
      <x:c r="E738" s="12" t="n">
        <x:v>0</x:v>
      </x:c>
      <x:c r="F738" s="12" t="str">
        <x:v>未记录</x:v>
      </x:c>
      <x:c r="G738" s="12" t="n">
        <x:v>1</x:v>
      </x:c>
      <x:c r="H738" s="12" t="str">
        <x:v>{'ISCAS': 100.0, 'ISCAL': 100.0, 'PVC': 100.0, 'SR': 0.0}</x:v>
      </x:c>
      <x:c r="I738" s="12" t="str">
        <x:v>[('SRTH', 100.0), ('PVC', 100.0), ('NT', 100.0), ('AB', 100.0)]</x:v>
      </x:c>
      <x:c r="J738" s="12" t="str">
        <x:v>ptbxl_database.csv；ecg_id=6132；scp_codes</x:v>
      </x:c>
      <x:c r="K738" s="12" t="str">
        <x:v>12sl_statements.csv；ecg_id=6132；statements_ext_snomed</x:v>
      </x:c>
      <x:c r="L738" s="12"/>
      <x:c r="M738" s="12" t="str">
        <x:v>negative</x:v>
      </x:c>
      <x:c r="N738" s="12"/>
      <x:c r="O738" s="12" t="str">
        <x:v>negative</x:v>
      </x:c>
      <x:c r="P738" s="12" t="str">
        <x:f>IF(OR(M738="unavailable",O738="unavailable"),"不可评价",IF(OR(M738="equivocal",O738="equivocal"),"疑似",IF(AND(M738="positive",O738="positive"),"a",IF(O738="positive","b",IF(M738="positive","c","d")))))</x:f>
        <x:v>d</x:v>
      </x:c>
      <x:c r="Q738" s="12"/>
      <x:c r="R738" s="12" t="str">
        <x:v>negative</x:v>
      </x:c>
      <x:c r="S738" s="12"/>
      <x:c r="T738" s="12" t="str">
        <x:v>negative</x:v>
      </x:c>
      <x:c r="U738" s="12" t="str">
        <x:f>IF(OR(R738="unavailable",T738="unavailable"),"不可评价",IF(OR(R738="equivocal",T738="equivocal"),"疑似",IF(AND(R738="positive",T738="positive"),"a",IF(T738="positive","b",IF(R738="positive","c","d")))))</x:f>
        <x:v>d</x:v>
      </x:c>
      <x:c r="V738" s="12"/>
      <x:c r="W738" s="12" t="str">
        <x:v>negative</x:v>
      </x:c>
      <x:c r="X738" s="12"/>
      <x:c r="Y738" s="12" t="str">
        <x:v>negative</x:v>
      </x:c>
      <x:c r="Z738" s="12" t="str">
        <x:f>IF(OR(W738="unavailable",Y738="unavailable"),"不可评价",IF(OR(W738="equivocal",Y738="equivocal"),"疑似",IF(AND(W738="positive",Y738="positive"),"a",IF(Y738="positive","b",IF(W738="positive","c","d")))))</x:f>
        <x:v>d</x:v>
      </x:c>
      <x:c r="AA738" s="12" t="str">
        <x:f>IF(OR(M738="unavailable",O738="unavailable"),"不可评价",IF(AND(OR(M738="positive",M738="equivocal"),OR(O738="positive",O738="equivocal")),"a",IF(OR(O738="positive",O738="equivocal"),"b",IF(OR(M738="positive",M738="equivocal"),"c","d"))))</x:f>
        <x:v>d</x:v>
      </x:c>
      <x:c r="AB738" s="12" t="str">
        <x:f>IF(OR(M738="unavailable",O738="unavailable"),"不可评价",IF(AND(M738="positive",O738="positive"),"a",IF(O738="positive","b",IF(M738="positive","c","d"))))</x:f>
        <x:v>d</x:v>
      </x:c>
      <x:c r="AC738" s="12" t="str">
        <x:f>IF(OR(R738="unavailable",T738="unavailable"),"不可评价",IF(AND(OR(R738="positive",R738="equivocal"),OR(T738="positive",T738="equivocal")),"a",IF(OR(T738="positive",T738="equivocal"),"b",IF(OR(R738="positive",R738="equivocal"),"c","d"))))</x:f>
        <x:v>d</x:v>
      </x:c>
      <x:c r="AD738" s="12" t="str">
        <x:f>IF(OR(R738="unavailable",T738="unavailable"),"不可评价",IF(AND(R738="positive",T738="positive"),"a",IF(T738="positive","b",IF(R738="positive","c","d"))))</x:f>
        <x:v>d</x:v>
      </x:c>
      <x:c r="AE738" s="12" t="str">
        <x:f>IF(OR(W738="unavailable",Y738="unavailable"),"不可评价",IF(AND(OR(W738="positive",W738="equivocal"),OR(Y738="positive",Y738="equivocal")),"a",IF(OR(Y738="positive",Y738="equivocal"),"b",IF(OR(W738="positive",W738="equivocal"),"c","d"))))</x:f>
        <x:v>d</x:v>
      </x:c>
      <x:c r="AF738" s="12" t="str">
        <x:f>IF(OR(W738="unavailable",Y738="unavailable"),"不可评价",IF(AND(W738="positive",Y738="positive"),"a",IF(Y738="positive","b",IF(W738="positive","c","d"))))</x:f>
        <x:v>d</x:v>
      </x:c>
    </x:row>
    <x:row r="739" ht="24" customHeight="1">
      <x:c r="A739" s="12" t="str">
        <x:v>6141</x:v>
      </x:c>
      <x:c r="B739" s="12" t="str">
        <x:v>1933</x:v>
      </x:c>
      <x:c r="C739" s="21" t="n">
        <x:v>33363.610243055555</x:v>
      </x:c>
      <x:c r="D739" s="12" t="n">
        <x:v>72</x:v>
      </x:c>
      <x:c r="E739" s="12" t="n">
        <x:v>0</x:v>
      </x:c>
      <x:c r="F739" s="12" t="str">
        <x:v>未记录</x:v>
      </x:c>
      <x:c r="G739" s="12" t="n">
        <x:v>1</x:v>
      </x:c>
      <x:c r="H739" s="12" t="str">
        <x:v>{'LVH': 100.0, 'NDT': 100.0, 'NT_': 0.0, 'SR': 0.0}</x:v>
      </x:c>
      <x:c r="I739" s="12" t="str">
        <x:v>[('NSR', 100.0), ('NT', 100.0), ('AB', 100.0)]</x:v>
      </x:c>
      <x:c r="J739" s="12" t="str">
        <x:v>ptbxl_database.csv；ecg_id=6141；scp_codes</x:v>
      </x:c>
      <x:c r="K739" s="12" t="str">
        <x:v>12sl_statements.csv；ecg_id=6141；statements_ext_snomed</x:v>
      </x:c>
      <x:c r="L739" s="12"/>
      <x:c r="M739" s="12" t="str">
        <x:v>negative</x:v>
      </x:c>
      <x:c r="N739" s="12"/>
      <x:c r="O739" s="12" t="str">
        <x:v>negative</x:v>
      </x:c>
      <x:c r="P739" s="12" t="str">
        <x:f>IF(OR(M739="unavailable",O739="unavailable"),"不可评价",IF(OR(M739="equivocal",O739="equivocal"),"疑似",IF(AND(M739="positive",O739="positive"),"a",IF(O739="positive","b",IF(M739="positive","c","d")))))</x:f>
        <x:v>d</x:v>
      </x:c>
      <x:c r="Q739" s="12"/>
      <x:c r="R739" s="12" t="str">
        <x:v>negative</x:v>
      </x:c>
      <x:c r="S739" s="12"/>
      <x:c r="T739" s="12" t="str">
        <x:v>negative</x:v>
      </x:c>
      <x:c r="U739" s="12" t="str">
        <x:f>IF(OR(R739="unavailable",T739="unavailable"),"不可评价",IF(OR(R739="equivocal",T739="equivocal"),"疑似",IF(AND(R739="positive",T739="positive"),"a",IF(T739="positive","b",IF(R739="positive","c","d")))))</x:f>
        <x:v>d</x:v>
      </x:c>
      <x:c r="V739" s="12"/>
      <x:c r="W739" s="12" t="str">
        <x:v>negative</x:v>
      </x:c>
      <x:c r="X739" s="12"/>
      <x:c r="Y739" s="12" t="str">
        <x:v>negative</x:v>
      </x:c>
      <x:c r="Z739" s="12" t="str">
        <x:f>IF(OR(W739="unavailable",Y739="unavailable"),"不可评价",IF(OR(W739="equivocal",Y739="equivocal"),"疑似",IF(AND(W739="positive",Y739="positive"),"a",IF(Y739="positive","b",IF(W739="positive","c","d")))))</x:f>
        <x:v>d</x:v>
      </x:c>
      <x:c r="AA739" s="12" t="str">
        <x:f>IF(OR(M739="unavailable",O739="unavailable"),"不可评价",IF(AND(OR(M739="positive",M739="equivocal"),OR(O739="positive",O739="equivocal")),"a",IF(OR(O739="positive",O739="equivocal"),"b",IF(OR(M739="positive",M739="equivocal"),"c","d"))))</x:f>
        <x:v>d</x:v>
      </x:c>
      <x:c r="AB739" s="12" t="str">
        <x:f>IF(OR(M739="unavailable",O739="unavailable"),"不可评价",IF(AND(M739="positive",O739="positive"),"a",IF(O739="positive","b",IF(M739="positive","c","d"))))</x:f>
        <x:v>d</x:v>
      </x:c>
      <x:c r="AC739" s="12" t="str">
        <x:f>IF(OR(R739="unavailable",T739="unavailable"),"不可评价",IF(AND(OR(R739="positive",R739="equivocal"),OR(T739="positive",T739="equivocal")),"a",IF(OR(T739="positive",T739="equivocal"),"b",IF(OR(R739="positive",R739="equivocal"),"c","d"))))</x:f>
        <x:v>d</x:v>
      </x:c>
      <x:c r="AD739" s="12" t="str">
        <x:f>IF(OR(R739="unavailable",T739="unavailable"),"不可评价",IF(AND(R739="positive",T739="positive"),"a",IF(T739="positive","b",IF(R739="positive","c","d"))))</x:f>
        <x:v>d</x:v>
      </x:c>
      <x:c r="AE739" s="12" t="str">
        <x:f>IF(OR(W739="unavailable",Y739="unavailable"),"不可评价",IF(AND(OR(W739="positive",W739="equivocal"),OR(Y739="positive",Y739="equivocal")),"a",IF(OR(Y739="positive",Y739="equivocal"),"b",IF(OR(W739="positive",W739="equivocal"),"c","d"))))</x:f>
        <x:v>d</x:v>
      </x:c>
      <x:c r="AF739" s="12" t="str">
        <x:f>IF(OR(W739="unavailable",Y739="unavailable"),"不可评价",IF(AND(W739="positive",Y739="positive"),"a",IF(Y739="positive","b",IF(W739="positive","c","d"))))</x:f>
        <x:v>d</x:v>
      </x:c>
    </x:row>
    <x:row r="740" ht="24" customHeight="1">
      <x:c r="A740" s="12" t="str">
        <x:v>6151</x:v>
      </x:c>
      <x:c r="B740" s="12" t="str">
        <x:v>12695</x:v>
      </x:c>
      <x:c r="C740" s="21" t="n">
        <x:v>33364.47644675926</x:v>
      </x:c>
      <x:c r="D740" s="12" t="n">
        <x:v>50</x:v>
      </x:c>
      <x:c r="E740" s="12" t="n">
        <x:v>0</x:v>
      </x:c>
      <x:c r="F740" s="12" t="str">
        <x:v>未记录</x:v>
      </x:c>
      <x:c r="G740" s="12" t="n">
        <x:v>0</x:v>
      </x:c>
      <x:c r="H740" s="12" t="str">
        <x:v>{'NORM': 100.0, 'SR': 0.0}</x:v>
      </x:c>
      <x:c r="I740" s="12" t="str">
        <x:v>[('SBRAD', 100.0), ('LAE', 50.0), ('BORDE', 100.0)]</x:v>
      </x:c>
      <x:c r="J740" s="12" t="str">
        <x:v>ptbxl_database.csv；ecg_id=6151；scp_codes</x:v>
      </x:c>
      <x:c r="K740" s="12" t="str">
        <x:v>12sl_statements.csv；ecg_id=6151；statements_ext_snomed</x:v>
      </x:c>
      <x:c r="L740" s="12"/>
      <x:c r="M740" s="12" t="str">
        <x:v>negative</x:v>
      </x:c>
      <x:c r="N740" s="12"/>
      <x:c r="O740" s="12" t="str">
        <x:v>negative</x:v>
      </x:c>
      <x:c r="P740" s="12" t="str">
        <x:f>IF(OR(M740="unavailable",O740="unavailable"),"不可评价",IF(OR(M740="equivocal",O740="equivocal"),"疑似",IF(AND(M740="positive",O740="positive"),"a",IF(O740="positive","b",IF(M740="positive","c","d")))))</x:f>
        <x:v>d</x:v>
      </x:c>
      <x:c r="Q740" s="12"/>
      <x:c r="R740" s="12" t="str">
        <x:v>negative</x:v>
      </x:c>
      <x:c r="S740" s="12"/>
      <x:c r="T740" s="12" t="str">
        <x:v>negative</x:v>
      </x:c>
      <x:c r="U740" s="12" t="str">
        <x:f>IF(OR(R740="unavailable",T740="unavailable"),"不可评价",IF(OR(R740="equivocal",T740="equivocal"),"疑似",IF(AND(R740="positive",T740="positive"),"a",IF(T740="positive","b",IF(R740="positive","c","d")))))</x:f>
        <x:v>d</x:v>
      </x:c>
      <x:c r="V740" s="12"/>
      <x:c r="W740" s="12" t="str">
        <x:v>negative</x:v>
      </x:c>
      <x:c r="X740" s="12"/>
      <x:c r="Y740" s="12" t="str">
        <x:v>negative</x:v>
      </x:c>
      <x:c r="Z740" s="12" t="str">
        <x:f>IF(OR(W740="unavailable",Y740="unavailable"),"不可评价",IF(OR(W740="equivocal",Y740="equivocal"),"疑似",IF(AND(W740="positive",Y740="positive"),"a",IF(Y740="positive","b",IF(W740="positive","c","d")))))</x:f>
        <x:v>d</x:v>
      </x:c>
      <x:c r="AA740" s="12" t="str">
        <x:f>IF(OR(M740="unavailable",O740="unavailable"),"不可评价",IF(AND(OR(M740="positive",M740="equivocal"),OR(O740="positive",O740="equivocal")),"a",IF(OR(O740="positive",O740="equivocal"),"b",IF(OR(M740="positive",M740="equivocal"),"c","d"))))</x:f>
        <x:v>d</x:v>
      </x:c>
      <x:c r="AB740" s="12" t="str">
        <x:f>IF(OR(M740="unavailable",O740="unavailable"),"不可评价",IF(AND(M740="positive",O740="positive"),"a",IF(O740="positive","b",IF(M740="positive","c","d"))))</x:f>
        <x:v>d</x:v>
      </x:c>
      <x:c r="AC740" s="12" t="str">
        <x:f>IF(OR(R740="unavailable",T740="unavailable"),"不可评价",IF(AND(OR(R740="positive",R740="equivocal"),OR(T740="positive",T740="equivocal")),"a",IF(OR(T740="positive",T740="equivocal"),"b",IF(OR(R740="positive",R740="equivocal"),"c","d"))))</x:f>
        <x:v>d</x:v>
      </x:c>
      <x:c r="AD740" s="12" t="str">
        <x:f>IF(OR(R740="unavailable",T740="unavailable"),"不可评价",IF(AND(R740="positive",T740="positive"),"a",IF(T740="positive","b",IF(R740="positive","c","d"))))</x:f>
        <x:v>d</x:v>
      </x:c>
      <x:c r="AE740" s="12" t="str">
        <x:f>IF(OR(W740="unavailable",Y740="unavailable"),"不可评价",IF(AND(OR(W740="positive",W740="equivocal"),OR(Y740="positive",Y740="equivocal")),"a",IF(OR(Y740="positive",Y740="equivocal"),"b",IF(OR(W740="positive",W740="equivocal"),"c","d"))))</x:f>
        <x:v>d</x:v>
      </x:c>
      <x:c r="AF740" s="12" t="str">
        <x:f>IF(OR(W740="unavailable",Y740="unavailable"),"不可评价",IF(AND(W740="positive",Y740="positive"),"a",IF(Y740="positive","b",IF(W740="positive","c","d"))))</x:f>
        <x:v>d</x:v>
      </x:c>
    </x:row>
    <x:row r="741" ht="24" customHeight="1">
      <x:c r="A741" s="12" t="str">
        <x:v>6154</x:v>
      </x:c>
      <x:c r="B741" s="12" t="str">
        <x:v>7228</x:v>
      </x:c>
      <x:c r="C741" s="21" t="n">
        <x:v>33364.55484953704</x:v>
      </x:c>
      <x:c r="D741" s="12" t="n">
        <x:v>69</x:v>
      </x:c>
      <x:c r="E741" s="12" t="n">
        <x:v>1</x:v>
      </x:c>
      <x:c r="F741" s="12" t="str">
        <x:v>未记录</x:v>
      </x:c>
      <x:c r="G741" s="12" t="n">
        <x:v>1</x:v>
      </x:c>
      <x:c r="H741" s="12" t="str">
        <x:v>{'CLBBB': 100.0}</x:v>
      </x:c>
      <x:c r="I741" s="12" t="str">
        <x:v>[('NSR', 100.0), ('IVCB', 100.0), ('IMI;AU', 15.0), ('AB', 100.0)]</x:v>
      </x:c>
      <x:c r="J741" s="12" t="str">
        <x:v>ptbxl_database.csv；ecg_id=6154；scp_codes</x:v>
      </x:c>
      <x:c r="K741" s="12" t="str">
        <x:v>12sl_statements.csv；ecg_id=6154；statements_ext_snomed</x:v>
      </x:c>
      <x:c r="L741" s="12"/>
      <x:c r="M741" s="12" t="str">
        <x:v>negative</x:v>
      </x:c>
      <x:c r="N741" s="12"/>
      <x:c r="O741" s="12" t="str">
        <x:v>negative</x:v>
      </x:c>
      <x:c r="P741" s="12" t="str">
        <x:f>IF(OR(M741="unavailable",O741="unavailable"),"不可评价",IF(OR(M741="equivocal",O741="equivocal"),"疑似",IF(AND(M741="positive",O741="positive"),"a",IF(O741="positive","b",IF(M741="positive","c","d")))))</x:f>
        <x:v>d</x:v>
      </x:c>
      <x:c r="Q741" s="12" t="n">
        <x:v>100</x:v>
      </x:c>
      <x:c r="R741" s="12" t="str">
        <x:v>positive</x:v>
      </x:c>
      <x:c r="S741" s="12"/>
      <x:c r="T741" s="12" t="str">
        <x:v>negative</x:v>
      </x:c>
      <x:c r="U741" s="12" t="str">
        <x:f>IF(OR(R741="unavailable",T741="unavailable"),"不可评价",IF(OR(R741="equivocal",T741="equivocal"),"疑似",IF(AND(R741="positive",T741="positive"),"a",IF(T741="positive","b",IF(R741="positive","c","d")))))</x:f>
        <x:v>c</x:v>
      </x:c>
      <x:c r="V741" s="12"/>
      <x:c r="W741" s="12" t="str">
        <x:v>negative</x:v>
      </x:c>
      <x:c r="X741" s="12"/>
      <x:c r="Y741" s="12" t="str">
        <x:v>negative</x:v>
      </x:c>
      <x:c r="Z741" s="12" t="str">
        <x:f>IF(OR(W741="unavailable",Y741="unavailable"),"不可评价",IF(OR(W741="equivocal",Y741="equivocal"),"疑似",IF(AND(W741="positive",Y741="positive"),"a",IF(Y741="positive","b",IF(W741="positive","c","d")))))</x:f>
        <x:v>d</x:v>
      </x:c>
      <x:c r="AA741" s="12" t="str">
        <x:f>IF(OR(M741="unavailable",O741="unavailable"),"不可评价",IF(AND(OR(M741="positive",M741="equivocal"),OR(O741="positive",O741="equivocal")),"a",IF(OR(O741="positive",O741="equivocal"),"b",IF(OR(M741="positive",M741="equivocal"),"c","d"))))</x:f>
        <x:v>d</x:v>
      </x:c>
      <x:c r="AB741" s="12" t="str">
        <x:f>IF(OR(M741="unavailable",O741="unavailable"),"不可评价",IF(AND(M741="positive",O741="positive"),"a",IF(O741="positive","b",IF(M741="positive","c","d"))))</x:f>
        <x:v>d</x:v>
      </x:c>
      <x:c r="AC741" s="12" t="str">
        <x:f>IF(OR(R741="unavailable",T741="unavailable"),"不可评价",IF(AND(OR(R741="positive",R741="equivocal"),OR(T741="positive",T741="equivocal")),"a",IF(OR(T741="positive",T741="equivocal"),"b",IF(OR(R741="positive",R741="equivocal"),"c","d"))))</x:f>
        <x:v>c</x:v>
      </x:c>
      <x:c r="AD741" s="12" t="str">
        <x:f>IF(OR(R741="unavailable",T741="unavailable"),"不可评价",IF(AND(R741="positive",T741="positive"),"a",IF(T741="positive","b",IF(R741="positive","c","d"))))</x:f>
        <x:v>c</x:v>
      </x:c>
      <x:c r="AE741" s="12" t="str">
        <x:f>IF(OR(W741="unavailable",Y741="unavailable"),"不可评价",IF(AND(OR(W741="positive",W741="equivocal"),OR(Y741="positive",Y741="equivocal")),"a",IF(OR(Y741="positive",Y741="equivocal"),"b",IF(OR(W741="positive",W741="equivocal"),"c","d"))))</x:f>
        <x:v>d</x:v>
      </x:c>
      <x:c r="AF741" s="12" t="str">
        <x:f>IF(OR(W741="unavailable",Y741="unavailable"),"不可评价",IF(AND(W741="positive",Y741="positive"),"a",IF(Y741="positive","b",IF(W741="positive","c","d"))))</x:f>
        <x:v>d</x:v>
      </x:c>
    </x:row>
    <x:row r="742" ht="24" customHeight="1">
      <x:c r="A742" s="12" t="str">
        <x:v>6174</x:v>
      </x:c>
      <x:c r="B742" s="12" t="str">
        <x:v>19919</x:v>
      </x:c>
      <x:c r="C742" s="21" t="n">
        <x:v>33366.476168981484</x:v>
      </x:c>
      <x:c r="D742" s="12" t="n">
        <x:v>71</x:v>
      </x:c>
      <x:c r="E742" s="12" t="n">
        <x:v>1</x:v>
      </x:c>
      <x:c r="F742" s="12" t="str">
        <x:v>未记录</x:v>
      </x:c>
      <x:c r="G742" s="12" t="n">
        <x:v>1</x:v>
      </x:c>
      <x:c r="H742" s="12" t="str">
        <x:v>{'CLBBB': 100.0, 'SR': 0.0}</x:v>
      </x:c>
      <x:c r="I742" s="12" t="str">
        <x:v>[('NSR', 100.0), ('LBBB', 100.0), ('AB', 100.0)]</x:v>
      </x:c>
      <x:c r="J742" s="12" t="str">
        <x:v>ptbxl_database.csv；ecg_id=6174；scp_codes</x:v>
      </x:c>
      <x:c r="K742" s="12" t="str">
        <x:v>12sl_statements.csv；ecg_id=6174；statements_ext_snomed</x:v>
      </x:c>
      <x:c r="L742" s="12"/>
      <x:c r="M742" s="12" t="str">
        <x:v>negative</x:v>
      </x:c>
      <x:c r="N742" s="12"/>
      <x:c r="O742" s="12" t="str">
        <x:v>negative</x:v>
      </x:c>
      <x:c r="P742" s="12" t="str">
        <x:f>IF(OR(M742="unavailable",O742="unavailable"),"不可评价",IF(OR(M742="equivocal",O742="equivocal"),"疑似",IF(AND(M742="positive",O742="positive"),"a",IF(O742="positive","b",IF(M742="positive","c","d")))))</x:f>
        <x:v>d</x:v>
      </x:c>
      <x:c r="Q742" s="12" t="n">
        <x:v>100</x:v>
      </x:c>
      <x:c r="R742" s="12" t="str">
        <x:v>positive</x:v>
      </x:c>
      <x:c r="S742" s="12" t="n">
        <x:v>100</x:v>
      </x:c>
      <x:c r="T742" s="12" t="str">
        <x:v>positive</x:v>
      </x:c>
      <x:c r="U742" s="12" t="str">
        <x:f>IF(OR(R742="unavailable",T742="unavailable"),"不可评价",IF(OR(R742="equivocal",T742="equivocal"),"疑似",IF(AND(R742="positive",T742="positive"),"a",IF(T742="positive","b",IF(R742="positive","c","d")))))</x:f>
        <x:v>a</x:v>
      </x:c>
      <x:c r="V742" s="12"/>
      <x:c r="W742" s="12" t="str">
        <x:v>negative</x:v>
      </x:c>
      <x:c r="X742" s="12"/>
      <x:c r="Y742" s="12" t="str">
        <x:v>negative</x:v>
      </x:c>
      <x:c r="Z742" s="12" t="str">
        <x:f>IF(OR(W742="unavailable",Y742="unavailable"),"不可评价",IF(OR(W742="equivocal",Y742="equivocal"),"疑似",IF(AND(W742="positive",Y742="positive"),"a",IF(Y742="positive","b",IF(W742="positive","c","d")))))</x:f>
        <x:v>d</x:v>
      </x:c>
      <x:c r="AA742" s="12" t="str">
        <x:f>IF(OR(M742="unavailable",O742="unavailable"),"不可评价",IF(AND(OR(M742="positive",M742="equivocal"),OR(O742="positive",O742="equivocal")),"a",IF(OR(O742="positive",O742="equivocal"),"b",IF(OR(M742="positive",M742="equivocal"),"c","d"))))</x:f>
        <x:v>d</x:v>
      </x:c>
      <x:c r="AB742" s="12" t="str">
        <x:f>IF(OR(M742="unavailable",O742="unavailable"),"不可评价",IF(AND(M742="positive",O742="positive"),"a",IF(O742="positive","b",IF(M742="positive","c","d"))))</x:f>
        <x:v>d</x:v>
      </x:c>
      <x:c r="AC742" s="12" t="str">
        <x:f>IF(OR(R742="unavailable",T742="unavailable"),"不可评价",IF(AND(OR(R742="positive",R742="equivocal"),OR(T742="positive",T742="equivocal")),"a",IF(OR(T742="positive",T742="equivocal"),"b",IF(OR(R742="positive",R742="equivocal"),"c","d"))))</x:f>
        <x:v>a</x:v>
      </x:c>
      <x:c r="AD742" s="12" t="str">
        <x:f>IF(OR(R742="unavailable",T742="unavailable"),"不可评价",IF(AND(R742="positive",T742="positive"),"a",IF(T742="positive","b",IF(R742="positive","c","d"))))</x:f>
        <x:v>a</x:v>
      </x:c>
      <x:c r="AE742" s="12" t="str">
        <x:f>IF(OR(W742="unavailable",Y742="unavailable"),"不可评价",IF(AND(OR(W742="positive",W742="equivocal"),OR(Y742="positive",Y742="equivocal")),"a",IF(OR(Y742="positive",Y742="equivocal"),"b",IF(OR(W742="positive",W742="equivocal"),"c","d"))))</x:f>
        <x:v>d</x:v>
      </x:c>
      <x:c r="AF742" s="12" t="str">
        <x:f>IF(OR(W742="unavailable",Y742="unavailable"),"不可评价",IF(AND(W742="positive",Y742="positive"),"a",IF(Y742="positive","b",IF(W742="positive","c","d"))))</x:f>
        <x:v>d</x:v>
      </x:c>
    </x:row>
    <x:row r="743" ht="24" customHeight="1">
      <x:c r="A743" s="12" t="str">
        <x:v>6180</x:v>
      </x:c>
      <x:c r="B743" s="12" t="str">
        <x:v>5025</x:v>
      </x:c>
      <x:c r="C743" s="21" t="n">
        <x:v>33366.70880787037</x:v>
      </x:c>
      <x:c r="D743" s="12" t="n">
        <x:v>62</x:v>
      </x:c>
      <x:c r="E743" s="12" t="n">
        <x:v>1</x:v>
      </x:c>
      <x:c r="F743" s="12" t="str">
        <x:v>未记录</x:v>
      </x:c>
      <x:c r="G743" s="12" t="n">
        <x:v>1</x:v>
      </x:c>
      <x:c r="H743" s="12" t="str">
        <x:v>{'LVH': 80.0, 'PVC': 100.0, 'PAC': 0.0, 'VCLVH': 0.0, 'SR': 0.0}</x:v>
      </x:c>
      <x:c r="I743" s="12" t="str">
        <x:v>[('SRTH', 100.0), ('PVC', 100.0), ('PAC', 100.0), ('BORDE', 100.0)]</x:v>
      </x:c>
      <x:c r="J743" s="12" t="str">
        <x:v>ptbxl_database.csv；ecg_id=6180；scp_codes</x:v>
      </x:c>
      <x:c r="K743" s="12" t="str">
        <x:v>12sl_statements.csv；ecg_id=6180；statements_ext_snomed</x:v>
      </x:c>
      <x:c r="L743" s="12"/>
      <x:c r="M743" s="12" t="str">
        <x:v>negative</x:v>
      </x:c>
      <x:c r="N743" s="12"/>
      <x:c r="O743" s="12" t="str">
        <x:v>negative</x:v>
      </x:c>
      <x:c r="P743" s="12" t="str">
        <x:f>IF(OR(M743="unavailable",O743="unavailable"),"不可评价",IF(OR(M743="equivocal",O743="equivocal"),"疑似",IF(AND(M743="positive",O743="positive"),"a",IF(O743="positive","b",IF(M743="positive","c","d")))))</x:f>
        <x:v>d</x:v>
      </x:c>
      <x:c r="Q743" s="12"/>
      <x:c r="R743" s="12" t="str">
        <x:v>negative</x:v>
      </x:c>
      <x:c r="S743" s="12"/>
      <x:c r="T743" s="12" t="str">
        <x:v>negative</x:v>
      </x:c>
      <x:c r="U743" s="12" t="str">
        <x:f>IF(OR(R743="unavailable",T743="unavailable"),"不可评价",IF(OR(R743="equivocal",T743="equivocal"),"疑似",IF(AND(R743="positive",T743="positive"),"a",IF(T743="positive","b",IF(R743="positive","c","d")))))</x:f>
        <x:v>d</x:v>
      </x:c>
      <x:c r="V743" s="12"/>
      <x:c r="W743" s="12" t="str">
        <x:v>negative</x:v>
      </x:c>
      <x:c r="X743" s="12"/>
      <x:c r="Y743" s="12" t="str">
        <x:v>negative</x:v>
      </x:c>
      <x:c r="Z743" s="12" t="str">
        <x:f>IF(OR(W743="unavailable",Y743="unavailable"),"不可评价",IF(OR(W743="equivocal",Y743="equivocal"),"疑似",IF(AND(W743="positive",Y743="positive"),"a",IF(Y743="positive","b",IF(W743="positive","c","d")))))</x:f>
        <x:v>d</x:v>
      </x:c>
      <x:c r="AA743" s="12" t="str">
        <x:f>IF(OR(M743="unavailable",O743="unavailable"),"不可评价",IF(AND(OR(M743="positive",M743="equivocal"),OR(O743="positive",O743="equivocal")),"a",IF(OR(O743="positive",O743="equivocal"),"b",IF(OR(M743="positive",M743="equivocal"),"c","d"))))</x:f>
        <x:v>d</x:v>
      </x:c>
      <x:c r="AB743" s="12" t="str">
        <x:f>IF(OR(M743="unavailable",O743="unavailable"),"不可评价",IF(AND(M743="positive",O743="positive"),"a",IF(O743="positive","b",IF(M743="positive","c","d"))))</x:f>
        <x:v>d</x:v>
      </x:c>
      <x:c r="AC743" s="12" t="str">
        <x:f>IF(OR(R743="unavailable",T743="unavailable"),"不可评价",IF(AND(OR(R743="positive",R743="equivocal"),OR(T743="positive",T743="equivocal")),"a",IF(OR(T743="positive",T743="equivocal"),"b",IF(OR(R743="positive",R743="equivocal"),"c","d"))))</x:f>
        <x:v>d</x:v>
      </x:c>
      <x:c r="AD743" s="12" t="str">
        <x:f>IF(OR(R743="unavailable",T743="unavailable"),"不可评价",IF(AND(R743="positive",T743="positive"),"a",IF(T743="positive","b",IF(R743="positive","c","d"))))</x:f>
        <x:v>d</x:v>
      </x:c>
      <x:c r="AE743" s="12" t="str">
        <x:f>IF(OR(W743="unavailable",Y743="unavailable"),"不可评价",IF(AND(OR(W743="positive",W743="equivocal"),OR(Y743="positive",Y743="equivocal")),"a",IF(OR(Y743="positive",Y743="equivocal"),"b",IF(OR(W743="positive",W743="equivocal"),"c","d"))))</x:f>
        <x:v>d</x:v>
      </x:c>
      <x:c r="AF743" s="12" t="str">
        <x:f>IF(OR(W743="unavailable",Y743="unavailable"),"不可评价",IF(AND(W743="positive",Y743="positive"),"a",IF(Y743="positive","b",IF(W743="positive","c","d"))))</x:f>
        <x:v>d</x:v>
      </x:c>
    </x:row>
    <x:row r="744" ht="24" customHeight="1">
      <x:c r="A744" s="12" t="str">
        <x:v>6186</x:v>
      </x:c>
      <x:c r="B744" s="12" t="str">
        <x:v>6347</x:v>
      </x:c>
      <x:c r="C744" s="21" t="n">
        <x:v>33367.65840277778</x:v>
      </x:c>
      <x:c r="D744" s="12" t="n">
        <x:v>57</x:v>
      </x:c>
      <x:c r="E744" s="12" t="n">
        <x:v>1</x:v>
      </x:c>
      <x:c r="F744" s="12" t="str">
        <x:v>未记录</x:v>
      </x:c>
      <x:c r="G744" s="12" t="n">
        <x:v>1</x:v>
      </x:c>
      <x:c r="H744" s="12" t="str">
        <x:v>{'IMI': 15.0, 'NDT': 100.0, 'DIG': 100.0, 'NST_': 0.0, 'AFIB': 0.0}</x:v>
      </x:c>
      <x:c r="I744" s="12" t="str">
        <x:v>[('AFIB', 100.0), ('IMI;AU', 15.0), ('AB', 100.0)]</x:v>
      </x:c>
      <x:c r="J744" s="12" t="str">
        <x:v>ptbxl_database.csv；ecg_id=6186；scp_codes</x:v>
      </x:c>
      <x:c r="K744" s="12" t="str">
        <x:v>12sl_statements.csv；ecg_id=6186；statements_ext_snomed</x:v>
      </x:c>
      <x:c r="L744" s="12" t="n">
        <x:v>0</x:v>
      </x:c>
      <x:c r="M744" s="12" t="str">
        <x:v>positive</x:v>
      </x:c>
      <x:c r="N744" s="12" t="n">
        <x:v>100</x:v>
      </x:c>
      <x:c r="O744" s="12" t="str">
        <x:v>positive</x:v>
      </x:c>
      <x:c r="P744" s="12" t="str">
        <x:f>IF(OR(M744="unavailable",O744="unavailable"),"不可评价",IF(OR(M744="equivocal",O744="equivocal"),"疑似",IF(AND(M744="positive",O744="positive"),"a",IF(O744="positive","b",IF(M744="positive","c","d")))))</x:f>
        <x:v>a</x:v>
      </x:c>
      <x:c r="Q744" s="12"/>
      <x:c r="R744" s="12" t="str">
        <x:v>negative</x:v>
      </x:c>
      <x:c r="S744" s="12"/>
      <x:c r="T744" s="12" t="str">
        <x:v>negative</x:v>
      </x:c>
      <x:c r="U744" s="12" t="str">
        <x:f>IF(OR(R744="unavailable",T744="unavailable"),"不可评价",IF(OR(R744="equivocal",T744="equivocal"),"疑似",IF(AND(R744="positive",T744="positive"),"a",IF(T744="positive","b",IF(R744="positive","c","d")))))</x:f>
        <x:v>d</x:v>
      </x:c>
      <x:c r="V744" s="12"/>
      <x:c r="W744" s="12" t="str">
        <x:v>negative</x:v>
      </x:c>
      <x:c r="X744" s="12"/>
      <x:c r="Y744" s="12" t="str">
        <x:v>negative</x:v>
      </x:c>
      <x:c r="Z744" s="12" t="str">
        <x:f>IF(OR(W744="unavailable",Y744="unavailable"),"不可评价",IF(OR(W744="equivocal",Y744="equivocal"),"疑似",IF(AND(W744="positive",Y744="positive"),"a",IF(Y744="positive","b",IF(W744="positive","c","d")))))</x:f>
        <x:v>d</x:v>
      </x:c>
      <x:c r="AA744" s="12" t="str">
        <x:f>IF(OR(M744="unavailable",O744="unavailable"),"不可评价",IF(AND(OR(M744="positive",M744="equivocal"),OR(O744="positive",O744="equivocal")),"a",IF(OR(O744="positive",O744="equivocal"),"b",IF(OR(M744="positive",M744="equivocal"),"c","d"))))</x:f>
        <x:v>a</x:v>
      </x:c>
      <x:c r="AB744" s="12" t="str">
        <x:f>IF(OR(M744="unavailable",O744="unavailable"),"不可评价",IF(AND(M744="positive",O744="positive"),"a",IF(O744="positive","b",IF(M744="positive","c","d"))))</x:f>
        <x:v>a</x:v>
      </x:c>
      <x:c r="AC744" s="12" t="str">
        <x:f>IF(OR(R744="unavailable",T744="unavailable"),"不可评价",IF(AND(OR(R744="positive",R744="equivocal"),OR(T744="positive",T744="equivocal")),"a",IF(OR(T744="positive",T744="equivocal"),"b",IF(OR(R744="positive",R744="equivocal"),"c","d"))))</x:f>
        <x:v>d</x:v>
      </x:c>
      <x:c r="AD744" s="12" t="str">
        <x:f>IF(OR(R744="unavailable",T744="unavailable"),"不可评价",IF(AND(R744="positive",T744="positive"),"a",IF(T744="positive","b",IF(R744="positive","c","d"))))</x:f>
        <x:v>d</x:v>
      </x:c>
      <x:c r="AE744" s="12" t="str">
        <x:f>IF(OR(W744="unavailable",Y744="unavailable"),"不可评价",IF(AND(OR(W744="positive",W744="equivocal"),OR(Y744="positive",Y744="equivocal")),"a",IF(OR(Y744="positive",Y744="equivocal"),"b",IF(OR(W744="positive",W744="equivocal"),"c","d"))))</x:f>
        <x:v>d</x:v>
      </x:c>
      <x:c r="AF744" s="12" t="str">
        <x:f>IF(OR(W744="unavailable",Y744="unavailable"),"不可评价",IF(AND(W744="positive",Y744="positive"),"a",IF(Y744="positive","b",IF(W744="positive","c","d"))))</x:f>
        <x:v>d</x:v>
      </x:c>
    </x:row>
    <x:row r="745" ht="24" customHeight="1">
      <x:c r="A745" s="12" t="str">
        <x:v>6188</x:v>
      </x:c>
      <x:c r="B745" s="12" t="str">
        <x:v>10619</x:v>
      </x:c>
      <x:c r="C745" s="21" t="n">
        <x:v>33369.531851851854</x:v>
      </x:c>
      <x:c r="D745" s="12" t="n">
        <x:v>22</x:v>
      </x:c>
      <x:c r="E745" s="12" t="n">
        <x:v>1</x:v>
      </x:c>
      <x:c r="F745" s="12" t="str">
        <x:v>未记录</x:v>
      </x:c>
      <x:c r="G745" s="12" t="n">
        <x:v>1</x:v>
      </x:c>
      <x:c r="H745" s="12" t="str">
        <x:v>{'NORM': 100.0, 'SR': 0.0}</x:v>
      </x:c>
      <x:c r="I745" s="12" t="str">
        <x:v>[('NSR', 100.0), ('NML', 100.0)]</x:v>
      </x:c>
      <x:c r="J745" s="12" t="str">
        <x:v>ptbxl_database.csv；ecg_id=6188；scp_codes</x:v>
      </x:c>
      <x:c r="K745" s="12" t="str">
        <x:v>12sl_statements.csv；ecg_id=6188；statements_ext_snomed</x:v>
      </x:c>
      <x:c r="L745" s="12"/>
      <x:c r="M745" s="12" t="str">
        <x:v>negative</x:v>
      </x:c>
      <x:c r="N745" s="12"/>
      <x:c r="O745" s="12" t="str">
        <x:v>negative</x:v>
      </x:c>
      <x:c r="P745" s="12" t="str">
        <x:f>IF(OR(M745="unavailable",O745="unavailable"),"不可评价",IF(OR(M745="equivocal",O745="equivocal"),"疑似",IF(AND(M745="positive",O745="positive"),"a",IF(O745="positive","b",IF(M745="positive","c","d")))))</x:f>
        <x:v>d</x:v>
      </x:c>
      <x:c r="Q745" s="12"/>
      <x:c r="R745" s="12" t="str">
        <x:v>negative</x:v>
      </x:c>
      <x:c r="S745" s="12"/>
      <x:c r="T745" s="12" t="str">
        <x:v>negative</x:v>
      </x:c>
      <x:c r="U745" s="12" t="str">
        <x:f>IF(OR(R745="unavailable",T745="unavailable"),"不可评价",IF(OR(R745="equivocal",T745="equivocal"),"疑似",IF(AND(R745="positive",T745="positive"),"a",IF(T745="positive","b",IF(R745="positive","c","d")))))</x:f>
        <x:v>d</x:v>
      </x:c>
      <x:c r="V745" s="12"/>
      <x:c r="W745" s="12" t="str">
        <x:v>negative</x:v>
      </x:c>
      <x:c r="X745" s="12"/>
      <x:c r="Y745" s="12" t="str">
        <x:v>negative</x:v>
      </x:c>
      <x:c r="Z745" s="12" t="str">
        <x:f>IF(OR(W745="unavailable",Y745="unavailable"),"不可评价",IF(OR(W745="equivocal",Y745="equivocal"),"疑似",IF(AND(W745="positive",Y745="positive"),"a",IF(Y745="positive","b",IF(W745="positive","c","d")))))</x:f>
        <x:v>d</x:v>
      </x:c>
      <x:c r="AA745" s="12" t="str">
        <x:f>IF(OR(M745="unavailable",O745="unavailable"),"不可评价",IF(AND(OR(M745="positive",M745="equivocal"),OR(O745="positive",O745="equivocal")),"a",IF(OR(O745="positive",O745="equivocal"),"b",IF(OR(M745="positive",M745="equivocal"),"c","d"))))</x:f>
        <x:v>d</x:v>
      </x:c>
      <x:c r="AB745" s="12" t="str">
        <x:f>IF(OR(M745="unavailable",O745="unavailable"),"不可评价",IF(AND(M745="positive",O745="positive"),"a",IF(O745="positive","b",IF(M745="positive","c","d"))))</x:f>
        <x:v>d</x:v>
      </x:c>
      <x:c r="AC745" s="12" t="str">
        <x:f>IF(OR(R745="unavailable",T745="unavailable"),"不可评价",IF(AND(OR(R745="positive",R745="equivocal"),OR(T745="positive",T745="equivocal")),"a",IF(OR(T745="positive",T745="equivocal"),"b",IF(OR(R745="positive",R745="equivocal"),"c","d"))))</x:f>
        <x:v>d</x:v>
      </x:c>
      <x:c r="AD745" s="12" t="str">
        <x:f>IF(OR(R745="unavailable",T745="unavailable"),"不可评价",IF(AND(R745="positive",T745="positive"),"a",IF(T745="positive","b",IF(R745="positive","c","d"))))</x:f>
        <x:v>d</x:v>
      </x:c>
      <x:c r="AE745" s="12" t="str">
        <x:f>IF(OR(W745="unavailable",Y745="unavailable"),"不可评价",IF(AND(OR(W745="positive",W745="equivocal"),OR(Y745="positive",Y745="equivocal")),"a",IF(OR(Y745="positive",Y745="equivocal"),"b",IF(OR(W745="positive",W745="equivocal"),"c","d"))))</x:f>
        <x:v>d</x:v>
      </x:c>
      <x:c r="AF745" s="12" t="str">
        <x:f>IF(OR(W745="unavailable",Y745="unavailable"),"不可评价",IF(AND(W745="positive",Y745="positive"),"a",IF(Y745="positive","b",IF(W745="positive","c","d"))))</x:f>
        <x:v>d</x:v>
      </x:c>
    </x:row>
    <x:row r="746" ht="24" customHeight="1">
      <x:c r="A746" s="12" t="str">
        <x:v>6189</x:v>
      </x:c>
      <x:c r="B746" s="12" t="str">
        <x:v>14094</x:v>
      </x:c>
      <x:c r="C746" s="21" t="n">
        <x:v>33369.81579861111</x:v>
      </x:c>
      <x:c r="D746" s="12" t="n">
        <x:v>73</x:v>
      </x:c>
      <x:c r="E746" s="12" t="n">
        <x:v>1</x:v>
      </x:c>
      <x:c r="F746" s="12" t="str">
        <x:v>未记录</x:v>
      </x:c>
      <x:c r="G746" s="12" t="n">
        <x:v>1</x:v>
      </x:c>
      <x:c r="H746" s="12" t="str">
        <x:v>{'NORM': 35.0, 'PVC': 100.0, 'SR': 0.0}</x:v>
      </x:c>
      <x:c r="I746" s="12" t="str">
        <x:v>[('SRTH', 100.0), ('PVC', 100.0), ('ABR', 100.0)]</x:v>
      </x:c>
      <x:c r="J746" s="12" t="str">
        <x:v>ptbxl_database.csv；ecg_id=6189；scp_codes</x:v>
      </x:c>
      <x:c r="K746" s="12" t="str">
        <x:v>12sl_statements.csv；ecg_id=6189；statements_ext_snomed</x:v>
      </x:c>
      <x:c r="L746" s="12"/>
      <x:c r="M746" s="12" t="str">
        <x:v>negative</x:v>
      </x:c>
      <x:c r="N746" s="12"/>
      <x:c r="O746" s="12" t="str">
        <x:v>negative</x:v>
      </x:c>
      <x:c r="P746" s="12" t="str">
        <x:f>IF(OR(M746="unavailable",O746="unavailable"),"不可评价",IF(OR(M746="equivocal",O746="equivocal"),"疑似",IF(AND(M746="positive",O746="positive"),"a",IF(O746="positive","b",IF(M746="positive","c","d")))))</x:f>
        <x:v>d</x:v>
      </x:c>
      <x:c r="Q746" s="12"/>
      <x:c r="R746" s="12" t="str">
        <x:v>negative</x:v>
      </x:c>
      <x:c r="S746" s="12"/>
      <x:c r="T746" s="12" t="str">
        <x:v>negative</x:v>
      </x:c>
      <x:c r="U746" s="12" t="str">
        <x:f>IF(OR(R746="unavailable",T746="unavailable"),"不可评价",IF(OR(R746="equivocal",T746="equivocal"),"疑似",IF(AND(R746="positive",T746="positive"),"a",IF(T746="positive","b",IF(R746="positive","c","d")))))</x:f>
        <x:v>d</x:v>
      </x:c>
      <x:c r="V746" s="12"/>
      <x:c r="W746" s="12" t="str">
        <x:v>negative</x:v>
      </x:c>
      <x:c r="X746" s="12"/>
      <x:c r="Y746" s="12" t="str">
        <x:v>negative</x:v>
      </x:c>
      <x:c r="Z746" s="12" t="str">
        <x:f>IF(OR(W746="unavailable",Y746="unavailable"),"不可评价",IF(OR(W746="equivocal",Y746="equivocal"),"疑似",IF(AND(W746="positive",Y746="positive"),"a",IF(Y746="positive","b",IF(W746="positive","c","d")))))</x:f>
        <x:v>d</x:v>
      </x:c>
      <x:c r="AA746" s="12" t="str">
        <x:f>IF(OR(M746="unavailable",O746="unavailable"),"不可评价",IF(AND(OR(M746="positive",M746="equivocal"),OR(O746="positive",O746="equivocal")),"a",IF(OR(O746="positive",O746="equivocal"),"b",IF(OR(M746="positive",M746="equivocal"),"c","d"))))</x:f>
        <x:v>d</x:v>
      </x:c>
      <x:c r="AB746" s="12" t="str">
        <x:f>IF(OR(M746="unavailable",O746="unavailable"),"不可评价",IF(AND(M746="positive",O746="positive"),"a",IF(O746="positive","b",IF(M746="positive","c","d"))))</x:f>
        <x:v>d</x:v>
      </x:c>
      <x:c r="AC746" s="12" t="str">
        <x:f>IF(OR(R746="unavailable",T746="unavailable"),"不可评价",IF(AND(OR(R746="positive",R746="equivocal"),OR(T746="positive",T746="equivocal")),"a",IF(OR(T746="positive",T746="equivocal"),"b",IF(OR(R746="positive",R746="equivocal"),"c","d"))))</x:f>
        <x:v>d</x:v>
      </x:c>
      <x:c r="AD746" s="12" t="str">
        <x:f>IF(OR(R746="unavailable",T746="unavailable"),"不可评价",IF(AND(R746="positive",T746="positive"),"a",IF(T746="positive","b",IF(R746="positive","c","d"))))</x:f>
        <x:v>d</x:v>
      </x:c>
      <x:c r="AE746" s="12" t="str">
        <x:f>IF(OR(W746="unavailable",Y746="unavailable"),"不可评价",IF(AND(OR(W746="positive",W746="equivocal"),OR(Y746="positive",Y746="equivocal")),"a",IF(OR(Y746="positive",Y746="equivocal"),"b",IF(OR(W746="positive",W746="equivocal"),"c","d"))))</x:f>
        <x:v>d</x:v>
      </x:c>
      <x:c r="AF746" s="12" t="str">
        <x:f>IF(OR(W746="unavailable",Y746="unavailable"),"不可评价",IF(AND(W746="positive",Y746="positive"),"a",IF(Y746="positive","b",IF(W746="positive","c","d"))))</x:f>
        <x:v>d</x:v>
      </x:c>
    </x:row>
    <x:row r="747" ht="24" customHeight="1">
      <x:c r="A747" s="12" t="str">
        <x:v>6190</x:v>
      </x:c>
      <x:c r="B747" s="12" t="str">
        <x:v>13221</x:v>
      </x:c>
      <x:c r="C747" s="21" t="n">
        <x:v>33370.55862268519</x:v>
      </x:c>
      <x:c r="D747" s="12" t="n">
        <x:v>84</x:v>
      </x:c>
      <x:c r="E747" s="12" t="n">
        <x:v>1</x:v>
      </x:c>
      <x:c r="F747" s="12" t="str">
        <x:v>存在</x:v>
      </x:c>
      <x:c r="G747" s="12" t="n">
        <x:v>1</x:v>
      </x:c>
      <x:c r="H747" s="12" t="str">
        <x:v>{'NST_': 100.0, 'SVARR': 0.0}</x:v>
      </x:c>
      <x:c r="I747" s="12" t="str">
        <x:v>[('FLUT', 100.0), ('AB', 100.0)]</x:v>
      </x:c>
      <x:c r="J747" s="12" t="str">
        <x:v>ptbxl_database.csv；ecg_id=6190；scp_codes</x:v>
      </x:c>
      <x:c r="K747" s="12" t="str">
        <x:v>12sl_statements.csv；ecg_id=6190；statements_ext_snomed</x:v>
      </x:c>
      <x:c r="L747" s="12"/>
      <x:c r="M747" s="12" t="str">
        <x:v>negative</x:v>
      </x:c>
      <x:c r="N747" s="12"/>
      <x:c r="O747" s="12" t="str">
        <x:v>negative</x:v>
      </x:c>
      <x:c r="P747" s="12" t="str">
        <x:f>IF(OR(M747="unavailable",O747="unavailable"),"不可评价",IF(OR(M747="equivocal",O747="equivocal"),"疑似",IF(AND(M747="positive",O747="positive"),"a",IF(O747="positive","b",IF(M747="positive","c","d")))))</x:f>
        <x:v>d</x:v>
      </x:c>
      <x:c r="Q747" s="12"/>
      <x:c r="R747" s="12" t="str">
        <x:v>negative</x:v>
      </x:c>
      <x:c r="S747" s="12"/>
      <x:c r="T747" s="12" t="str">
        <x:v>negative</x:v>
      </x:c>
      <x:c r="U747" s="12" t="str">
        <x:f>IF(OR(R747="unavailable",T747="unavailable"),"不可评价",IF(OR(R747="equivocal",T747="equivocal"),"疑似",IF(AND(R747="positive",T747="positive"),"a",IF(T747="positive","b",IF(R747="positive","c","d")))))</x:f>
        <x:v>d</x:v>
      </x:c>
      <x:c r="V747" s="12"/>
      <x:c r="W747" s="12" t="str">
        <x:v>negative</x:v>
      </x:c>
      <x:c r="X747" s="12"/>
      <x:c r="Y747" s="12" t="str">
        <x:v>negative</x:v>
      </x:c>
      <x:c r="Z747" s="12" t="str">
        <x:f>IF(OR(W747="unavailable",Y747="unavailable"),"不可评价",IF(OR(W747="equivocal",Y747="equivocal"),"疑似",IF(AND(W747="positive",Y747="positive"),"a",IF(Y747="positive","b",IF(W747="positive","c","d")))))</x:f>
        <x:v>d</x:v>
      </x:c>
      <x:c r="AA747" s="12" t="str">
        <x:f>IF(OR(M747="unavailable",O747="unavailable"),"不可评价",IF(AND(OR(M747="positive",M747="equivocal"),OR(O747="positive",O747="equivocal")),"a",IF(OR(O747="positive",O747="equivocal"),"b",IF(OR(M747="positive",M747="equivocal"),"c","d"))))</x:f>
        <x:v>d</x:v>
      </x:c>
      <x:c r="AB747" s="12" t="str">
        <x:f>IF(OR(M747="unavailable",O747="unavailable"),"不可评价",IF(AND(M747="positive",O747="positive"),"a",IF(O747="positive","b",IF(M747="positive","c","d"))))</x:f>
        <x:v>d</x:v>
      </x:c>
      <x:c r="AC747" s="12" t="str">
        <x:f>IF(OR(R747="unavailable",T747="unavailable"),"不可评价",IF(AND(OR(R747="positive",R747="equivocal"),OR(T747="positive",T747="equivocal")),"a",IF(OR(T747="positive",T747="equivocal"),"b",IF(OR(R747="positive",R747="equivocal"),"c","d"))))</x:f>
        <x:v>d</x:v>
      </x:c>
      <x:c r="AD747" s="12" t="str">
        <x:f>IF(OR(R747="unavailable",T747="unavailable"),"不可评价",IF(AND(R747="positive",T747="positive"),"a",IF(T747="positive","b",IF(R747="positive","c","d"))))</x:f>
        <x:v>d</x:v>
      </x:c>
      <x:c r="AE747" s="12" t="str">
        <x:f>IF(OR(W747="unavailable",Y747="unavailable"),"不可评价",IF(AND(OR(W747="positive",W747="equivocal"),OR(Y747="positive",Y747="equivocal")),"a",IF(OR(Y747="positive",Y747="equivocal"),"b",IF(OR(W747="positive",W747="equivocal"),"c","d"))))</x:f>
        <x:v>d</x:v>
      </x:c>
      <x:c r="AF747" s="12" t="str">
        <x:f>IF(OR(W747="unavailable",Y747="unavailable"),"不可评价",IF(AND(W747="positive",Y747="positive"),"a",IF(Y747="positive","b",IF(W747="positive","c","d"))))</x:f>
        <x:v>d</x:v>
      </x:c>
    </x:row>
    <x:row r="748" ht="24" customHeight="1">
      <x:c r="A748" s="12" t="str">
        <x:v>6192</x:v>
      </x:c>
      <x:c r="B748" s="12" t="str">
        <x:v>14698</x:v>
      </x:c>
      <x:c r="C748" s="21" t="n">
        <x:v>33371.54077546296</x:v>
      </x:c>
      <x:c r="D748" s="12" t="n">
        <x:v>30</x:v>
      </x:c>
      <x:c r="E748" s="12" t="n">
        <x:v>1</x:v>
      </x:c>
      <x:c r="F748" s="12" t="str">
        <x:v>存在</x:v>
      </x:c>
      <x:c r="G748" s="12" t="n">
        <x:v>1</x:v>
      </x:c>
      <x:c r="H748" s="12" t="str">
        <x:v>{'NDT': 100.0, 'SR': 0.0}</x:v>
      </x:c>
      <x:c r="I748" s="12" t="str">
        <x:v>[('NSR', 100.0), ('NML', 100.0)]</x:v>
      </x:c>
      <x:c r="J748" s="12" t="str">
        <x:v>ptbxl_database.csv；ecg_id=6192；scp_codes</x:v>
      </x:c>
      <x:c r="K748" s="12" t="str">
        <x:v>12sl_statements.csv；ecg_id=6192；statements_ext_snomed</x:v>
      </x:c>
      <x:c r="L748" s="12"/>
      <x:c r="M748" s="12" t="str">
        <x:v>negative</x:v>
      </x:c>
      <x:c r="N748" s="12"/>
      <x:c r="O748" s="12" t="str">
        <x:v>negative</x:v>
      </x:c>
      <x:c r="P748" s="12" t="str">
        <x:f>IF(OR(M748="unavailable",O748="unavailable"),"不可评价",IF(OR(M748="equivocal",O748="equivocal"),"疑似",IF(AND(M748="positive",O748="positive"),"a",IF(O748="positive","b",IF(M748="positive","c","d")))))</x:f>
        <x:v>d</x:v>
      </x:c>
      <x:c r="Q748" s="12"/>
      <x:c r="R748" s="12" t="str">
        <x:v>negative</x:v>
      </x:c>
      <x:c r="S748" s="12"/>
      <x:c r="T748" s="12" t="str">
        <x:v>negative</x:v>
      </x:c>
      <x:c r="U748" s="12" t="str">
        <x:f>IF(OR(R748="unavailable",T748="unavailable"),"不可评价",IF(OR(R748="equivocal",T748="equivocal"),"疑似",IF(AND(R748="positive",T748="positive"),"a",IF(T748="positive","b",IF(R748="positive","c","d")))))</x:f>
        <x:v>d</x:v>
      </x:c>
      <x:c r="V748" s="12"/>
      <x:c r="W748" s="12" t="str">
        <x:v>negative</x:v>
      </x:c>
      <x:c r="X748" s="12"/>
      <x:c r="Y748" s="12" t="str">
        <x:v>negative</x:v>
      </x:c>
      <x:c r="Z748" s="12" t="str">
        <x:f>IF(OR(W748="unavailable",Y748="unavailable"),"不可评价",IF(OR(W748="equivocal",Y748="equivocal"),"疑似",IF(AND(W748="positive",Y748="positive"),"a",IF(Y748="positive","b",IF(W748="positive","c","d")))))</x:f>
        <x:v>d</x:v>
      </x:c>
      <x:c r="AA748" s="12" t="str">
        <x:f>IF(OR(M748="unavailable",O748="unavailable"),"不可评价",IF(AND(OR(M748="positive",M748="equivocal"),OR(O748="positive",O748="equivocal")),"a",IF(OR(O748="positive",O748="equivocal"),"b",IF(OR(M748="positive",M748="equivocal"),"c","d"))))</x:f>
        <x:v>d</x:v>
      </x:c>
      <x:c r="AB748" s="12" t="str">
        <x:f>IF(OR(M748="unavailable",O748="unavailable"),"不可评价",IF(AND(M748="positive",O748="positive"),"a",IF(O748="positive","b",IF(M748="positive","c","d"))))</x:f>
        <x:v>d</x:v>
      </x:c>
      <x:c r="AC748" s="12" t="str">
        <x:f>IF(OR(R748="unavailable",T748="unavailable"),"不可评价",IF(AND(OR(R748="positive",R748="equivocal"),OR(T748="positive",T748="equivocal")),"a",IF(OR(T748="positive",T748="equivocal"),"b",IF(OR(R748="positive",R748="equivocal"),"c","d"))))</x:f>
        <x:v>d</x:v>
      </x:c>
      <x:c r="AD748" s="12" t="str">
        <x:f>IF(OR(R748="unavailable",T748="unavailable"),"不可评价",IF(AND(R748="positive",T748="positive"),"a",IF(T748="positive","b",IF(R748="positive","c","d"))))</x:f>
        <x:v>d</x:v>
      </x:c>
      <x:c r="AE748" s="12" t="str">
        <x:f>IF(OR(W748="unavailable",Y748="unavailable"),"不可评价",IF(AND(OR(W748="positive",W748="equivocal"),OR(Y748="positive",Y748="equivocal")),"a",IF(OR(Y748="positive",Y748="equivocal"),"b",IF(OR(W748="positive",W748="equivocal"),"c","d"))))</x:f>
        <x:v>d</x:v>
      </x:c>
      <x:c r="AF748" s="12" t="str">
        <x:f>IF(OR(W748="unavailable",Y748="unavailable"),"不可评价",IF(AND(W748="positive",Y748="positive"),"a",IF(Y748="positive","b",IF(W748="positive","c","d"))))</x:f>
        <x:v>d</x:v>
      </x:c>
    </x:row>
    <x:row r="749" ht="24" customHeight="1">
      <x:c r="A749" s="12" t="str">
        <x:v>6200</x:v>
      </x:c>
      <x:c r="B749" s="12" t="str">
        <x:v>11258</x:v>
      </x:c>
      <x:c r="C749" s="21" t="n">
        <x:v>33374.52483796296</x:v>
      </x:c>
      <x:c r="D749" s="12" t="n">
        <x:v>43</x:v>
      </x:c>
      <x:c r="E749" s="12" t="n">
        <x:v>0</x:v>
      </x:c>
      <x:c r="F749" s="12" t="str">
        <x:v>未记录</x:v>
      </x:c>
      <x:c r="G749" s="12" t="n">
        <x:v>1</x:v>
      </x:c>
      <x:c r="H749" s="12" t="str">
        <x:v>{'NORM': 100.0, 'SR': 0.0}</x:v>
      </x:c>
      <x:c r="I749" s="12" t="str">
        <x:v>[('SBRAD', 100.0), ('ABR', 100.0)]</x:v>
      </x:c>
      <x:c r="J749" s="12" t="str">
        <x:v>ptbxl_database.csv；ecg_id=6200；scp_codes</x:v>
      </x:c>
      <x:c r="K749" s="12" t="str">
        <x:v>12sl_statements.csv；ecg_id=6200；statements_ext_snomed</x:v>
      </x:c>
      <x:c r="L749" s="12"/>
      <x:c r="M749" s="12" t="str">
        <x:v>negative</x:v>
      </x:c>
      <x:c r="N749" s="12"/>
      <x:c r="O749" s="12" t="str">
        <x:v>negative</x:v>
      </x:c>
      <x:c r="P749" s="12" t="str">
        <x:f>IF(OR(M749="unavailable",O749="unavailable"),"不可评价",IF(OR(M749="equivocal",O749="equivocal"),"疑似",IF(AND(M749="positive",O749="positive"),"a",IF(O749="positive","b",IF(M749="positive","c","d")))))</x:f>
        <x:v>d</x:v>
      </x:c>
      <x:c r="Q749" s="12"/>
      <x:c r="R749" s="12" t="str">
        <x:v>negative</x:v>
      </x:c>
      <x:c r="S749" s="12"/>
      <x:c r="T749" s="12" t="str">
        <x:v>negative</x:v>
      </x:c>
      <x:c r="U749" s="12" t="str">
        <x:f>IF(OR(R749="unavailable",T749="unavailable"),"不可评价",IF(OR(R749="equivocal",T749="equivocal"),"疑似",IF(AND(R749="positive",T749="positive"),"a",IF(T749="positive","b",IF(R749="positive","c","d")))))</x:f>
        <x:v>d</x:v>
      </x:c>
      <x:c r="V749" s="12"/>
      <x:c r="W749" s="12" t="str">
        <x:v>negative</x:v>
      </x:c>
      <x:c r="X749" s="12"/>
      <x:c r="Y749" s="12" t="str">
        <x:v>negative</x:v>
      </x:c>
      <x:c r="Z749" s="12" t="str">
        <x:f>IF(OR(W749="unavailable",Y749="unavailable"),"不可评价",IF(OR(W749="equivocal",Y749="equivocal"),"疑似",IF(AND(W749="positive",Y749="positive"),"a",IF(Y749="positive","b",IF(W749="positive","c","d")))))</x:f>
        <x:v>d</x:v>
      </x:c>
      <x:c r="AA749" s="12" t="str">
        <x:f>IF(OR(M749="unavailable",O749="unavailable"),"不可评价",IF(AND(OR(M749="positive",M749="equivocal"),OR(O749="positive",O749="equivocal")),"a",IF(OR(O749="positive",O749="equivocal"),"b",IF(OR(M749="positive",M749="equivocal"),"c","d"))))</x:f>
        <x:v>d</x:v>
      </x:c>
      <x:c r="AB749" s="12" t="str">
        <x:f>IF(OR(M749="unavailable",O749="unavailable"),"不可评价",IF(AND(M749="positive",O749="positive"),"a",IF(O749="positive","b",IF(M749="positive","c","d"))))</x:f>
        <x:v>d</x:v>
      </x:c>
      <x:c r="AC749" s="12" t="str">
        <x:f>IF(OR(R749="unavailable",T749="unavailable"),"不可评价",IF(AND(OR(R749="positive",R749="equivocal"),OR(T749="positive",T749="equivocal")),"a",IF(OR(T749="positive",T749="equivocal"),"b",IF(OR(R749="positive",R749="equivocal"),"c","d"))))</x:f>
        <x:v>d</x:v>
      </x:c>
      <x:c r="AD749" s="12" t="str">
        <x:f>IF(OR(R749="unavailable",T749="unavailable"),"不可评价",IF(AND(R749="positive",T749="positive"),"a",IF(T749="positive","b",IF(R749="positive","c","d"))))</x:f>
        <x:v>d</x:v>
      </x:c>
      <x:c r="AE749" s="12" t="str">
        <x:f>IF(OR(W749="unavailable",Y749="unavailable"),"不可评价",IF(AND(OR(W749="positive",W749="equivocal"),OR(Y749="positive",Y749="equivocal")),"a",IF(OR(Y749="positive",Y749="equivocal"),"b",IF(OR(W749="positive",W749="equivocal"),"c","d"))))</x:f>
        <x:v>d</x:v>
      </x:c>
      <x:c r="AF749" s="12" t="str">
        <x:f>IF(OR(W749="unavailable",Y749="unavailable"),"不可评价",IF(AND(W749="positive",Y749="positive"),"a",IF(Y749="positive","b",IF(W749="positive","c","d"))))</x:f>
        <x:v>d</x:v>
      </x:c>
    </x:row>
    <x:row r="750" ht="24" customHeight="1">
      <x:c r="A750" s="12" t="str">
        <x:v>6201</x:v>
      </x:c>
      <x:c r="B750" s="12" t="str">
        <x:v>13221</x:v>
      </x:c>
      <x:c r="C750" s="21" t="n">
        <x:v>33374.538935185185</x:v>
      </x:c>
      <x:c r="D750" s="12" t="n">
        <x:v>84</x:v>
      </x:c>
      <x:c r="E750" s="12" t="n">
        <x:v>1</x:v>
      </x:c>
      <x:c r="F750" s="12" t="str">
        <x:v>存在</x:v>
      </x:c>
      <x:c r="G750" s="12" t="n">
        <x:v>0</x:v>
      </x:c>
      <x:c r="H750" s="12" t="str">
        <x:v>{'ISCAL': 50.0, 'ISCIL': 50.0, 'AFIB': 0.0}</x:v>
      </x:c>
      <x:c r="I750" s="12" t="str">
        <x:v>[('AFIB', 100.0), ('RVR', 100.0), ('ST&amp;', 100.0), ('ILT', 100.0), ('AB', 100.0)]</x:v>
      </x:c>
      <x:c r="J750" s="12" t="str">
        <x:v>ptbxl_database.csv；ecg_id=6201；scp_codes</x:v>
      </x:c>
      <x:c r="K750" s="12" t="str">
        <x:v>12sl_statements.csv；ecg_id=6201；statements_ext_snomed</x:v>
      </x:c>
      <x:c r="L750" s="12" t="n">
        <x:v>0</x:v>
      </x:c>
      <x:c r="M750" s="12" t="str">
        <x:v>positive</x:v>
      </x:c>
      <x:c r="N750" s="12" t="n">
        <x:v>100</x:v>
      </x:c>
      <x:c r="O750" s="12" t="str">
        <x:v>positive</x:v>
      </x:c>
      <x:c r="P750" s="12" t="str">
        <x:f>IF(OR(M750="unavailable",O750="unavailable"),"不可评价",IF(OR(M750="equivocal",O750="equivocal"),"疑似",IF(AND(M750="positive",O750="positive"),"a",IF(O750="positive","b",IF(M750="positive","c","d")))))</x:f>
        <x:v>a</x:v>
      </x:c>
      <x:c r="Q750" s="12"/>
      <x:c r="R750" s="12" t="str">
        <x:v>negative</x:v>
      </x:c>
      <x:c r="S750" s="12"/>
      <x:c r="T750" s="12" t="str">
        <x:v>negative</x:v>
      </x:c>
      <x:c r="U750" s="12" t="str">
        <x:f>IF(OR(R750="unavailable",T750="unavailable"),"不可评价",IF(OR(R750="equivocal",T750="equivocal"),"疑似",IF(AND(R750="positive",T750="positive"),"a",IF(T750="positive","b",IF(R750="positive","c","d")))))</x:f>
        <x:v>d</x:v>
      </x:c>
      <x:c r="V750" s="12"/>
      <x:c r="W750" s="12" t="str">
        <x:v>negative</x:v>
      </x:c>
      <x:c r="X750" s="12"/>
      <x:c r="Y750" s="12" t="str">
        <x:v>negative</x:v>
      </x:c>
      <x:c r="Z750" s="12" t="str">
        <x:f>IF(OR(W750="unavailable",Y750="unavailable"),"不可评价",IF(OR(W750="equivocal",Y750="equivocal"),"疑似",IF(AND(W750="positive",Y750="positive"),"a",IF(Y750="positive","b",IF(W750="positive","c","d")))))</x:f>
        <x:v>d</x:v>
      </x:c>
      <x:c r="AA750" s="12" t="str">
        <x:f>IF(OR(M750="unavailable",O750="unavailable"),"不可评价",IF(AND(OR(M750="positive",M750="equivocal"),OR(O750="positive",O750="equivocal")),"a",IF(OR(O750="positive",O750="equivocal"),"b",IF(OR(M750="positive",M750="equivocal"),"c","d"))))</x:f>
        <x:v>a</x:v>
      </x:c>
      <x:c r="AB750" s="12" t="str">
        <x:f>IF(OR(M750="unavailable",O750="unavailable"),"不可评价",IF(AND(M750="positive",O750="positive"),"a",IF(O750="positive","b",IF(M750="positive","c","d"))))</x:f>
        <x:v>a</x:v>
      </x:c>
      <x:c r="AC750" s="12" t="str">
        <x:f>IF(OR(R750="unavailable",T750="unavailable"),"不可评价",IF(AND(OR(R750="positive",R750="equivocal"),OR(T750="positive",T750="equivocal")),"a",IF(OR(T750="positive",T750="equivocal"),"b",IF(OR(R750="positive",R750="equivocal"),"c","d"))))</x:f>
        <x:v>d</x:v>
      </x:c>
      <x:c r="AD750" s="12" t="str">
        <x:f>IF(OR(R750="unavailable",T750="unavailable"),"不可评价",IF(AND(R750="positive",T750="positive"),"a",IF(T750="positive","b",IF(R750="positive","c","d"))))</x:f>
        <x:v>d</x:v>
      </x:c>
      <x:c r="AE750" s="12" t="str">
        <x:f>IF(OR(W750="unavailable",Y750="unavailable"),"不可评价",IF(AND(OR(W750="positive",W750="equivocal"),OR(Y750="positive",Y750="equivocal")),"a",IF(OR(Y750="positive",Y750="equivocal"),"b",IF(OR(W750="positive",W750="equivocal"),"c","d"))))</x:f>
        <x:v>d</x:v>
      </x:c>
      <x:c r="AF750" s="12" t="str">
        <x:f>IF(OR(W750="unavailable",Y750="unavailable"),"不可评价",IF(AND(W750="positive",Y750="positive"),"a",IF(Y750="positive","b",IF(W750="positive","c","d"))))</x:f>
        <x:v>d</x:v>
      </x:c>
    </x:row>
    <x:row r="751" ht="24" customHeight="1">
      <x:c r="A751" s="12" t="str">
        <x:v>6207</x:v>
      </x:c>
      <x:c r="B751" s="12" t="str">
        <x:v>7968</x:v>
      </x:c>
      <x:c r="C751" s="21" t="n">
        <x:v>33381.46356481482</x:v>
      </x:c>
      <x:c r="D751" s="12" t="n">
        <x:v>31</x:v>
      </x:c>
      <x:c r="E751" s="12" t="n">
        <x:v>1</x:v>
      </x:c>
      <x:c r="F751" s="12" t="str">
        <x:v>存在</x:v>
      </x:c>
      <x:c r="G751" s="12" t="n">
        <x:v>1</x:v>
      </x:c>
      <x:c r="H751" s="12" t="str">
        <x:v>{'NORM': 100.0, 'SR': 0.0}</x:v>
      </x:c>
      <x:c r="I751" s="12" t="str">
        <x:v>[('NSR', 100.0), ('NML', 100.0)]</x:v>
      </x:c>
      <x:c r="J751" s="12" t="str">
        <x:v>ptbxl_database.csv；ecg_id=6207；scp_codes</x:v>
      </x:c>
      <x:c r="K751" s="12" t="str">
        <x:v>12sl_statements.csv；ecg_id=6207；statements_ext_snomed</x:v>
      </x:c>
      <x:c r="L751" s="12"/>
      <x:c r="M751" s="12" t="str">
        <x:v>negative</x:v>
      </x:c>
      <x:c r="N751" s="12"/>
      <x:c r="O751" s="12" t="str">
        <x:v>negative</x:v>
      </x:c>
      <x:c r="P751" s="12" t="str">
        <x:f>IF(OR(M751="unavailable",O751="unavailable"),"不可评价",IF(OR(M751="equivocal",O751="equivocal"),"疑似",IF(AND(M751="positive",O751="positive"),"a",IF(O751="positive","b",IF(M751="positive","c","d")))))</x:f>
        <x:v>d</x:v>
      </x:c>
      <x:c r="Q751" s="12"/>
      <x:c r="R751" s="12" t="str">
        <x:v>negative</x:v>
      </x:c>
      <x:c r="S751" s="12"/>
      <x:c r="T751" s="12" t="str">
        <x:v>negative</x:v>
      </x:c>
      <x:c r="U751" s="12" t="str">
        <x:f>IF(OR(R751="unavailable",T751="unavailable"),"不可评价",IF(OR(R751="equivocal",T751="equivocal"),"疑似",IF(AND(R751="positive",T751="positive"),"a",IF(T751="positive","b",IF(R751="positive","c","d")))))</x:f>
        <x:v>d</x:v>
      </x:c>
      <x:c r="V751" s="12"/>
      <x:c r="W751" s="12" t="str">
        <x:v>negative</x:v>
      </x:c>
      <x:c r="X751" s="12"/>
      <x:c r="Y751" s="12" t="str">
        <x:v>negative</x:v>
      </x:c>
      <x:c r="Z751" s="12" t="str">
        <x:f>IF(OR(W751="unavailable",Y751="unavailable"),"不可评价",IF(OR(W751="equivocal",Y751="equivocal"),"疑似",IF(AND(W751="positive",Y751="positive"),"a",IF(Y751="positive","b",IF(W751="positive","c","d")))))</x:f>
        <x:v>d</x:v>
      </x:c>
      <x:c r="AA751" s="12" t="str">
        <x:f>IF(OR(M751="unavailable",O751="unavailable"),"不可评价",IF(AND(OR(M751="positive",M751="equivocal"),OR(O751="positive",O751="equivocal")),"a",IF(OR(O751="positive",O751="equivocal"),"b",IF(OR(M751="positive",M751="equivocal"),"c","d"))))</x:f>
        <x:v>d</x:v>
      </x:c>
      <x:c r="AB751" s="12" t="str">
        <x:f>IF(OR(M751="unavailable",O751="unavailable"),"不可评价",IF(AND(M751="positive",O751="positive"),"a",IF(O751="positive","b",IF(M751="positive","c","d"))))</x:f>
        <x:v>d</x:v>
      </x:c>
      <x:c r="AC751" s="12" t="str">
        <x:f>IF(OR(R751="unavailable",T751="unavailable"),"不可评价",IF(AND(OR(R751="positive",R751="equivocal"),OR(T751="positive",T751="equivocal")),"a",IF(OR(T751="positive",T751="equivocal"),"b",IF(OR(R751="positive",R751="equivocal"),"c","d"))))</x:f>
        <x:v>d</x:v>
      </x:c>
      <x:c r="AD751" s="12" t="str">
        <x:f>IF(OR(R751="unavailable",T751="unavailable"),"不可评价",IF(AND(R751="positive",T751="positive"),"a",IF(T751="positive","b",IF(R751="positive","c","d"))))</x:f>
        <x:v>d</x:v>
      </x:c>
      <x:c r="AE751" s="12" t="str">
        <x:f>IF(OR(W751="unavailable",Y751="unavailable"),"不可评价",IF(AND(OR(W751="positive",W751="equivocal"),OR(Y751="positive",Y751="equivocal")),"a",IF(OR(Y751="positive",Y751="equivocal"),"b",IF(OR(W751="positive",W751="equivocal"),"c","d"))))</x:f>
        <x:v>d</x:v>
      </x:c>
      <x:c r="AF751" s="12" t="str">
        <x:f>IF(OR(W751="unavailable",Y751="unavailable"),"不可评价",IF(AND(W751="positive",Y751="positive"),"a",IF(Y751="positive","b",IF(W751="positive","c","d"))))</x:f>
        <x:v>d</x:v>
      </x:c>
    </x:row>
    <x:row r="752" ht="24" customHeight="1">
      <x:c r="A752" s="12" t="str">
        <x:v>6208</x:v>
      </x:c>
      <x:c r="B752" s="12" t="str">
        <x:v>7968</x:v>
      </x:c>
      <x:c r="C752" s="21" t="n">
        <x:v>33381.46630787037</x:v>
      </x:c>
      <x:c r="D752" s="12" t="n">
        <x:v>31</x:v>
      </x:c>
      <x:c r="E752" s="12" t="n">
        <x:v>1</x:v>
      </x:c>
      <x:c r="F752" s="12" t="str">
        <x:v>未记录</x:v>
      </x:c>
      <x:c r="G752" s="12" t="n">
        <x:v>0</x:v>
      </x:c>
      <x:c r="H752" s="12" t="str">
        <x:v>{'NORM': 100.0, 'SR': 0.0}</x:v>
      </x:c>
      <x:c r="I752" s="12" t="str">
        <x:v>[('NSR', 100.0), ('NML', 100.0)]</x:v>
      </x:c>
      <x:c r="J752" s="12" t="str">
        <x:v>ptbxl_database.csv；ecg_id=6208；scp_codes</x:v>
      </x:c>
      <x:c r="K752" s="12" t="str">
        <x:v>12sl_statements.csv；ecg_id=6208；statements_ext_snomed</x:v>
      </x:c>
      <x:c r="L752" s="12"/>
      <x:c r="M752" s="12" t="str">
        <x:v>negative</x:v>
      </x:c>
      <x:c r="N752" s="12"/>
      <x:c r="O752" s="12" t="str">
        <x:v>negative</x:v>
      </x:c>
      <x:c r="P752" s="12" t="str">
        <x:f>IF(OR(M752="unavailable",O752="unavailable"),"不可评价",IF(OR(M752="equivocal",O752="equivocal"),"疑似",IF(AND(M752="positive",O752="positive"),"a",IF(O752="positive","b",IF(M752="positive","c","d")))))</x:f>
        <x:v>d</x:v>
      </x:c>
      <x:c r="Q752" s="12"/>
      <x:c r="R752" s="12" t="str">
        <x:v>negative</x:v>
      </x:c>
      <x:c r="S752" s="12"/>
      <x:c r="T752" s="12" t="str">
        <x:v>negative</x:v>
      </x:c>
      <x:c r="U752" s="12" t="str">
        <x:f>IF(OR(R752="unavailable",T752="unavailable"),"不可评价",IF(OR(R752="equivocal",T752="equivocal"),"疑似",IF(AND(R752="positive",T752="positive"),"a",IF(T752="positive","b",IF(R752="positive","c","d")))))</x:f>
        <x:v>d</x:v>
      </x:c>
      <x:c r="V752" s="12"/>
      <x:c r="W752" s="12" t="str">
        <x:v>negative</x:v>
      </x:c>
      <x:c r="X752" s="12"/>
      <x:c r="Y752" s="12" t="str">
        <x:v>negative</x:v>
      </x:c>
      <x:c r="Z752" s="12" t="str">
        <x:f>IF(OR(W752="unavailable",Y752="unavailable"),"不可评价",IF(OR(W752="equivocal",Y752="equivocal"),"疑似",IF(AND(W752="positive",Y752="positive"),"a",IF(Y752="positive","b",IF(W752="positive","c","d")))))</x:f>
        <x:v>d</x:v>
      </x:c>
      <x:c r="AA752" s="12" t="str">
        <x:f>IF(OR(M752="unavailable",O752="unavailable"),"不可评价",IF(AND(OR(M752="positive",M752="equivocal"),OR(O752="positive",O752="equivocal")),"a",IF(OR(O752="positive",O752="equivocal"),"b",IF(OR(M752="positive",M752="equivocal"),"c","d"))))</x:f>
        <x:v>d</x:v>
      </x:c>
      <x:c r="AB752" s="12" t="str">
        <x:f>IF(OR(M752="unavailable",O752="unavailable"),"不可评价",IF(AND(M752="positive",O752="positive"),"a",IF(O752="positive","b",IF(M752="positive","c","d"))))</x:f>
        <x:v>d</x:v>
      </x:c>
      <x:c r="AC752" s="12" t="str">
        <x:f>IF(OR(R752="unavailable",T752="unavailable"),"不可评价",IF(AND(OR(R752="positive",R752="equivocal"),OR(T752="positive",T752="equivocal")),"a",IF(OR(T752="positive",T752="equivocal"),"b",IF(OR(R752="positive",R752="equivocal"),"c","d"))))</x:f>
        <x:v>d</x:v>
      </x:c>
      <x:c r="AD752" s="12" t="str">
        <x:f>IF(OR(R752="unavailable",T752="unavailable"),"不可评价",IF(AND(R752="positive",T752="positive"),"a",IF(T752="positive","b",IF(R752="positive","c","d"))))</x:f>
        <x:v>d</x:v>
      </x:c>
      <x:c r="AE752" s="12" t="str">
        <x:f>IF(OR(W752="unavailable",Y752="unavailable"),"不可评价",IF(AND(OR(W752="positive",W752="equivocal"),OR(Y752="positive",Y752="equivocal")),"a",IF(OR(Y752="positive",Y752="equivocal"),"b",IF(OR(W752="positive",W752="equivocal"),"c","d"))))</x:f>
        <x:v>d</x:v>
      </x:c>
      <x:c r="AF752" s="12" t="str">
        <x:f>IF(OR(W752="unavailable",Y752="unavailable"),"不可评价",IF(AND(W752="positive",Y752="positive"),"a",IF(Y752="positive","b",IF(W752="positive","c","d"))))</x:f>
        <x:v>d</x:v>
      </x:c>
    </x:row>
    <x:row r="753" ht="24" customHeight="1">
      <x:c r="A753" s="12" t="str">
        <x:v>6210</x:v>
      </x:c>
      <x:c r="B753" s="12" t="str">
        <x:v>13221</x:v>
      </x:c>
      <x:c r="C753" s="21" t="n">
        <x:v>33383.60040509259</x:v>
      </x:c>
      <x:c r="D753" s="12" t="n">
        <x:v>84</x:v>
      </x:c>
      <x:c r="E753" s="12" t="n">
        <x:v>1</x:v>
      </x:c>
      <x:c r="F753" s="12" t="str">
        <x:v>存在</x:v>
      </x:c>
      <x:c r="G753" s="12" t="n">
        <x:v>0</x:v>
      </x:c>
      <x:c r="H753" s="12" t="str">
        <x:v>{'INJAS': 100.0, 'ISCAN': 100.0, 'SBRAD': 0.0}</x:v>
      </x:c>
      <x:c r="I753" s="12" t="str">
        <x:v>[('SBRAD', 100.0), ('ALT', 100.0), ('LNGQT', 100.0), ('AB', 100.0)]</x:v>
      </x:c>
      <x:c r="J753" s="12" t="str">
        <x:v>ptbxl_database.csv；ecg_id=6210；scp_codes</x:v>
      </x:c>
      <x:c r="K753" s="12" t="str">
        <x:v>12sl_statements.csv；ecg_id=6210；statements_ext_snomed</x:v>
      </x:c>
      <x:c r="L753" s="12"/>
      <x:c r="M753" s="12" t="str">
        <x:v>negative</x:v>
      </x:c>
      <x:c r="N753" s="12"/>
      <x:c r="O753" s="12" t="str">
        <x:v>negative</x:v>
      </x:c>
      <x:c r="P753" s="12" t="str">
        <x:f>IF(OR(M753="unavailable",O753="unavailable"),"不可评价",IF(OR(M753="equivocal",O753="equivocal"),"疑似",IF(AND(M753="positive",O753="positive"),"a",IF(O753="positive","b",IF(M753="positive","c","d")))))</x:f>
        <x:v>d</x:v>
      </x:c>
      <x:c r="Q753" s="12"/>
      <x:c r="R753" s="12" t="str">
        <x:v>negative</x:v>
      </x:c>
      <x:c r="S753" s="12"/>
      <x:c r="T753" s="12" t="str">
        <x:v>negative</x:v>
      </x:c>
      <x:c r="U753" s="12" t="str">
        <x:f>IF(OR(R753="unavailable",T753="unavailable"),"不可评价",IF(OR(R753="equivocal",T753="equivocal"),"疑似",IF(AND(R753="positive",T753="positive"),"a",IF(T753="positive","b",IF(R753="positive","c","d")))))</x:f>
        <x:v>d</x:v>
      </x:c>
      <x:c r="V753" s="12"/>
      <x:c r="W753" s="12" t="str">
        <x:v>negative</x:v>
      </x:c>
      <x:c r="X753" s="12"/>
      <x:c r="Y753" s="12" t="str">
        <x:v>negative</x:v>
      </x:c>
      <x:c r="Z753" s="12" t="str">
        <x:f>IF(OR(W753="unavailable",Y753="unavailable"),"不可评价",IF(OR(W753="equivocal",Y753="equivocal"),"疑似",IF(AND(W753="positive",Y753="positive"),"a",IF(Y753="positive","b",IF(W753="positive","c","d")))))</x:f>
        <x:v>d</x:v>
      </x:c>
      <x:c r="AA753" s="12" t="str">
        <x:f>IF(OR(M753="unavailable",O753="unavailable"),"不可评价",IF(AND(OR(M753="positive",M753="equivocal"),OR(O753="positive",O753="equivocal")),"a",IF(OR(O753="positive",O753="equivocal"),"b",IF(OR(M753="positive",M753="equivocal"),"c","d"))))</x:f>
        <x:v>d</x:v>
      </x:c>
      <x:c r="AB753" s="12" t="str">
        <x:f>IF(OR(M753="unavailable",O753="unavailable"),"不可评价",IF(AND(M753="positive",O753="positive"),"a",IF(O753="positive","b",IF(M753="positive","c","d"))))</x:f>
        <x:v>d</x:v>
      </x:c>
      <x:c r="AC753" s="12" t="str">
        <x:f>IF(OR(R753="unavailable",T753="unavailable"),"不可评价",IF(AND(OR(R753="positive",R753="equivocal"),OR(T753="positive",T753="equivocal")),"a",IF(OR(T753="positive",T753="equivocal"),"b",IF(OR(R753="positive",R753="equivocal"),"c","d"))))</x:f>
        <x:v>d</x:v>
      </x:c>
      <x:c r="AD753" s="12" t="str">
        <x:f>IF(OR(R753="unavailable",T753="unavailable"),"不可评价",IF(AND(R753="positive",T753="positive"),"a",IF(T753="positive","b",IF(R753="positive","c","d"))))</x:f>
        <x:v>d</x:v>
      </x:c>
      <x:c r="AE753" s="12" t="str">
        <x:f>IF(OR(W753="unavailable",Y753="unavailable"),"不可评价",IF(AND(OR(W753="positive",W753="equivocal"),OR(Y753="positive",Y753="equivocal")),"a",IF(OR(Y753="positive",Y753="equivocal"),"b",IF(OR(W753="positive",W753="equivocal"),"c","d"))))</x:f>
        <x:v>d</x:v>
      </x:c>
      <x:c r="AF753" s="12" t="str">
        <x:f>IF(OR(W753="unavailable",Y753="unavailable"),"不可评价",IF(AND(W753="positive",Y753="positive"),"a",IF(Y753="positive","b",IF(W753="positive","c","d"))))</x:f>
        <x:v>d</x:v>
      </x:c>
    </x:row>
    <x:row r="754" ht="24" customHeight="1">
      <x:c r="A754" s="12" t="str">
        <x:v>6211</x:v>
      </x:c>
      <x:c r="B754" s="12" t="str">
        <x:v>17774</x:v>
      </x:c>
      <x:c r="C754" s="21" t="n">
        <x:v>33383.68162037037</x:v>
      </x:c>
      <x:c r="D754" s="12" t="n">
        <x:v>72</x:v>
      </x:c>
      <x:c r="E754" s="12" t="n">
        <x:v>1</x:v>
      </x:c>
      <x:c r="F754" s="12" t="str">
        <x:v>未记录</x:v>
      </x:c>
      <x:c r="G754" s="12" t="n">
        <x:v>1</x:v>
      </x:c>
      <x:c r="H754" s="12" t="str">
        <x:v>{'ILMI': 100.0}</x:v>
      </x:c>
      <x:c r="I754" s="12" t="str">
        <x:v>[('SRTH', 100.0), ('MSAR', 100.0), ('LAD3', 100.0), ('IMI;AU', 100.0), ('AB', 100.0)]</x:v>
      </x:c>
      <x:c r="J754" s="12" t="str">
        <x:v>ptbxl_database.csv；ecg_id=6211；scp_codes</x:v>
      </x:c>
      <x:c r="K754" s="12" t="str">
        <x:v>12sl_statements.csv；ecg_id=6211；statements_ext_snomed</x:v>
      </x:c>
      <x:c r="L754" s="12"/>
      <x:c r="M754" s="12" t="str">
        <x:v>negative</x:v>
      </x:c>
      <x:c r="N754" s="12"/>
      <x:c r="O754" s="12" t="str">
        <x:v>negative</x:v>
      </x:c>
      <x:c r="P754" s="12" t="str">
        <x:f>IF(OR(M754="unavailable",O754="unavailable"),"不可评价",IF(OR(M754="equivocal",O754="equivocal"),"疑似",IF(AND(M754="positive",O754="positive"),"a",IF(O754="positive","b",IF(M754="positive","c","d")))))</x:f>
        <x:v>d</x:v>
      </x:c>
      <x:c r="Q754" s="12"/>
      <x:c r="R754" s="12" t="str">
        <x:v>negative</x:v>
      </x:c>
      <x:c r="S754" s="12"/>
      <x:c r="T754" s="12" t="str">
        <x:v>negative</x:v>
      </x:c>
      <x:c r="U754" s="12" t="str">
        <x:f>IF(OR(R754="unavailable",T754="unavailable"),"不可评价",IF(OR(R754="equivocal",T754="equivocal"),"疑似",IF(AND(R754="positive",T754="positive"),"a",IF(T754="positive","b",IF(R754="positive","c","d")))))</x:f>
        <x:v>d</x:v>
      </x:c>
      <x:c r="V754" s="12"/>
      <x:c r="W754" s="12" t="str">
        <x:v>negative</x:v>
      </x:c>
      <x:c r="X754" s="12"/>
      <x:c r="Y754" s="12" t="str">
        <x:v>negative</x:v>
      </x:c>
      <x:c r="Z754" s="12" t="str">
        <x:f>IF(OR(W754="unavailable",Y754="unavailable"),"不可评价",IF(OR(W754="equivocal",Y754="equivocal"),"疑似",IF(AND(W754="positive",Y754="positive"),"a",IF(Y754="positive","b",IF(W754="positive","c","d")))))</x:f>
        <x:v>d</x:v>
      </x:c>
      <x:c r="AA754" s="12" t="str">
        <x:f>IF(OR(M754="unavailable",O754="unavailable"),"不可评价",IF(AND(OR(M754="positive",M754="equivocal"),OR(O754="positive",O754="equivocal")),"a",IF(OR(O754="positive",O754="equivocal"),"b",IF(OR(M754="positive",M754="equivocal"),"c","d"))))</x:f>
        <x:v>d</x:v>
      </x:c>
      <x:c r="AB754" s="12" t="str">
        <x:f>IF(OR(M754="unavailable",O754="unavailable"),"不可评价",IF(AND(M754="positive",O754="positive"),"a",IF(O754="positive","b",IF(M754="positive","c","d"))))</x:f>
        <x:v>d</x:v>
      </x:c>
      <x:c r="AC754" s="12" t="str">
        <x:f>IF(OR(R754="unavailable",T754="unavailable"),"不可评价",IF(AND(OR(R754="positive",R754="equivocal"),OR(T754="positive",T754="equivocal")),"a",IF(OR(T754="positive",T754="equivocal"),"b",IF(OR(R754="positive",R754="equivocal"),"c","d"))))</x:f>
        <x:v>d</x:v>
      </x:c>
      <x:c r="AD754" s="12" t="str">
        <x:f>IF(OR(R754="unavailable",T754="unavailable"),"不可评价",IF(AND(R754="positive",T754="positive"),"a",IF(T754="positive","b",IF(R754="positive","c","d"))))</x:f>
        <x:v>d</x:v>
      </x:c>
      <x:c r="AE754" s="12" t="str">
        <x:f>IF(OR(W754="unavailable",Y754="unavailable"),"不可评价",IF(AND(OR(W754="positive",W754="equivocal"),OR(Y754="positive",Y754="equivocal")),"a",IF(OR(Y754="positive",Y754="equivocal"),"b",IF(OR(W754="positive",W754="equivocal"),"c","d"))))</x:f>
        <x:v>d</x:v>
      </x:c>
      <x:c r="AF754" s="12" t="str">
        <x:f>IF(OR(W754="unavailable",Y754="unavailable"),"不可评价",IF(AND(W754="positive",Y754="positive"),"a",IF(Y754="positive","b",IF(W754="positive","c","d"))))</x:f>
        <x:v>d</x:v>
      </x:c>
    </x:row>
    <x:row r="755" ht="24" customHeight="1">
      <x:c r="A755" s="12" t="str">
        <x:v>6222</x:v>
      </x:c>
      <x:c r="B755" s="12" t="str">
        <x:v>8204</x:v>
      </x:c>
      <x:c r="C755" s="21" t="n">
        <x:v>33389.376180555555</x:v>
      </x:c>
      <x:c r="D755" s="12" t="n">
        <x:v>46</x:v>
      </x:c>
      <x:c r="E755" s="12" t="n">
        <x:v>1</x:v>
      </x:c>
      <x:c r="F755" s="12" t="str">
        <x:v>未记录</x:v>
      </x:c>
      <x:c r="G755" s="12" t="n">
        <x:v>1</x:v>
      </x:c>
      <x:c r="H755" s="12" t="str">
        <x:v>{'NORM': 100.0, 'SR': 0.0}</x:v>
      </x:c>
      <x:c r="I755" s="12" t="str">
        <x:v>[('NSR', 100.0), ('NML', 100.0)]</x:v>
      </x:c>
      <x:c r="J755" s="12" t="str">
        <x:v>ptbxl_database.csv；ecg_id=6222；scp_codes</x:v>
      </x:c>
      <x:c r="K755" s="12" t="str">
        <x:v>12sl_statements.csv；ecg_id=6222；statements_ext_snomed</x:v>
      </x:c>
      <x:c r="L755" s="12"/>
      <x:c r="M755" s="12" t="str">
        <x:v>negative</x:v>
      </x:c>
      <x:c r="N755" s="12"/>
      <x:c r="O755" s="12" t="str">
        <x:v>negative</x:v>
      </x:c>
      <x:c r="P755" s="12" t="str">
        <x:f>IF(OR(M755="unavailable",O755="unavailable"),"不可评价",IF(OR(M755="equivocal",O755="equivocal"),"疑似",IF(AND(M755="positive",O755="positive"),"a",IF(O755="positive","b",IF(M755="positive","c","d")))))</x:f>
        <x:v>d</x:v>
      </x:c>
      <x:c r="Q755" s="12"/>
      <x:c r="R755" s="12" t="str">
        <x:v>negative</x:v>
      </x:c>
      <x:c r="S755" s="12"/>
      <x:c r="T755" s="12" t="str">
        <x:v>negative</x:v>
      </x:c>
      <x:c r="U755" s="12" t="str">
        <x:f>IF(OR(R755="unavailable",T755="unavailable"),"不可评价",IF(OR(R755="equivocal",T755="equivocal"),"疑似",IF(AND(R755="positive",T755="positive"),"a",IF(T755="positive","b",IF(R755="positive","c","d")))))</x:f>
        <x:v>d</x:v>
      </x:c>
      <x:c r="V755" s="12"/>
      <x:c r="W755" s="12" t="str">
        <x:v>negative</x:v>
      </x:c>
      <x:c r="X755" s="12"/>
      <x:c r="Y755" s="12" t="str">
        <x:v>negative</x:v>
      </x:c>
      <x:c r="Z755" s="12" t="str">
        <x:f>IF(OR(W755="unavailable",Y755="unavailable"),"不可评价",IF(OR(W755="equivocal",Y755="equivocal"),"疑似",IF(AND(W755="positive",Y755="positive"),"a",IF(Y755="positive","b",IF(W755="positive","c","d")))))</x:f>
        <x:v>d</x:v>
      </x:c>
      <x:c r="AA755" s="12" t="str">
        <x:f>IF(OR(M755="unavailable",O755="unavailable"),"不可评价",IF(AND(OR(M755="positive",M755="equivocal"),OR(O755="positive",O755="equivocal")),"a",IF(OR(O755="positive",O755="equivocal"),"b",IF(OR(M755="positive",M755="equivocal"),"c","d"))))</x:f>
        <x:v>d</x:v>
      </x:c>
      <x:c r="AB755" s="12" t="str">
        <x:f>IF(OR(M755="unavailable",O755="unavailable"),"不可评价",IF(AND(M755="positive",O755="positive"),"a",IF(O755="positive","b",IF(M755="positive","c","d"))))</x:f>
        <x:v>d</x:v>
      </x:c>
      <x:c r="AC755" s="12" t="str">
        <x:f>IF(OR(R755="unavailable",T755="unavailable"),"不可评价",IF(AND(OR(R755="positive",R755="equivocal"),OR(T755="positive",T755="equivocal")),"a",IF(OR(T755="positive",T755="equivocal"),"b",IF(OR(R755="positive",R755="equivocal"),"c","d"))))</x:f>
        <x:v>d</x:v>
      </x:c>
      <x:c r="AD755" s="12" t="str">
        <x:f>IF(OR(R755="unavailable",T755="unavailable"),"不可评价",IF(AND(R755="positive",T755="positive"),"a",IF(T755="positive","b",IF(R755="positive","c","d"))))</x:f>
        <x:v>d</x:v>
      </x:c>
      <x:c r="AE755" s="12" t="str">
        <x:f>IF(OR(W755="unavailable",Y755="unavailable"),"不可评价",IF(AND(OR(W755="positive",W755="equivocal"),OR(Y755="positive",Y755="equivocal")),"a",IF(OR(Y755="positive",Y755="equivocal"),"b",IF(OR(W755="positive",W755="equivocal"),"c","d"))))</x:f>
        <x:v>d</x:v>
      </x:c>
      <x:c r="AF755" s="12" t="str">
        <x:f>IF(OR(W755="unavailable",Y755="unavailable"),"不可评价",IF(AND(W755="positive",Y755="positive"),"a",IF(Y755="positive","b",IF(W755="positive","c","d"))))</x:f>
        <x:v>d</x:v>
      </x:c>
    </x:row>
    <x:row r="756" ht="39" customHeight="1">
      <x:c r="A756" s="12" t="str">
        <x:v>6224</x:v>
      </x:c>
      <x:c r="B756" s="12" t="str">
        <x:v>17225</x:v>
      </x:c>
      <x:c r="C756" s="21" t="n">
        <x:v>33390.504166666666</x:v>
      </x:c>
      <x:c r="D756" s="12" t="n">
        <x:v>300</x:v>
      </x:c>
      <x:c r="E756" s="12" t="n">
        <x:v>1</x:v>
      </x:c>
      <x:c r="F756" s="12" t="str">
        <x:v>未记录</x:v>
      </x:c>
      <x:c r="G756" s="12" t="n">
        <x:v>1</x:v>
      </x:c>
      <x:c r="H756" s="12" t="str">
        <x:v>{'ASMI': 80.0, 'PVC': 100.0}</x:v>
      </x:c>
      <x:c r="I756" s="12" t="str">
        <x:v>[('SRTH', 100.0), ('PVC', 100.0), ('PAC', 100.0), ('LAD3', 100.0), ('LVH2', 100.0), ('2ST', 100.0), ('AB', 100.0)]</x:v>
      </x:c>
      <x:c r="J756" s="12" t="str">
        <x:v>ptbxl_database.csv；ecg_id=6224；scp_codes</x:v>
      </x:c>
      <x:c r="K756" s="12" t="str">
        <x:v>12sl_statements.csv；ecg_id=6224；statements_ext_snomed</x:v>
      </x:c>
      <x:c r="L756" s="12"/>
      <x:c r="M756" s="12" t="str">
        <x:v>negative</x:v>
      </x:c>
      <x:c r="N756" s="12"/>
      <x:c r="O756" s="12" t="str">
        <x:v>negative</x:v>
      </x:c>
      <x:c r="P756" s="12" t="str">
        <x:f>IF(OR(M756="unavailable",O756="unavailable"),"不可评价",IF(OR(M756="equivocal",O756="equivocal"),"疑似",IF(AND(M756="positive",O756="positive"),"a",IF(O756="positive","b",IF(M756="positive","c","d")))))</x:f>
        <x:v>d</x:v>
      </x:c>
      <x:c r="Q756" s="12"/>
      <x:c r="R756" s="12" t="str">
        <x:v>negative</x:v>
      </x:c>
      <x:c r="S756" s="12"/>
      <x:c r="T756" s="12" t="str">
        <x:v>negative</x:v>
      </x:c>
      <x:c r="U756" s="12" t="str">
        <x:f>IF(OR(R756="unavailable",T756="unavailable"),"不可评价",IF(OR(R756="equivocal",T756="equivocal"),"疑似",IF(AND(R756="positive",T756="positive"),"a",IF(T756="positive","b",IF(R756="positive","c","d")))))</x:f>
        <x:v>d</x:v>
      </x:c>
      <x:c r="V756" s="12"/>
      <x:c r="W756" s="12" t="str">
        <x:v>negative</x:v>
      </x:c>
      <x:c r="X756" s="12"/>
      <x:c r="Y756" s="12" t="str">
        <x:v>negative</x:v>
      </x:c>
      <x:c r="Z756" s="12" t="str">
        <x:f>IF(OR(W756="unavailable",Y756="unavailable"),"不可评价",IF(OR(W756="equivocal",Y756="equivocal"),"疑似",IF(AND(W756="positive",Y756="positive"),"a",IF(Y756="positive","b",IF(W756="positive","c","d")))))</x:f>
        <x:v>d</x:v>
      </x:c>
      <x:c r="AA756" s="12" t="str">
        <x:f>IF(OR(M756="unavailable",O756="unavailable"),"不可评价",IF(AND(OR(M756="positive",M756="equivocal"),OR(O756="positive",O756="equivocal")),"a",IF(OR(O756="positive",O756="equivocal"),"b",IF(OR(M756="positive",M756="equivocal"),"c","d"))))</x:f>
        <x:v>d</x:v>
      </x:c>
      <x:c r="AB756" s="12" t="str">
        <x:f>IF(OR(M756="unavailable",O756="unavailable"),"不可评价",IF(AND(M756="positive",O756="positive"),"a",IF(O756="positive","b",IF(M756="positive","c","d"))))</x:f>
        <x:v>d</x:v>
      </x:c>
      <x:c r="AC756" s="12" t="str">
        <x:f>IF(OR(R756="unavailable",T756="unavailable"),"不可评价",IF(AND(OR(R756="positive",R756="equivocal"),OR(T756="positive",T756="equivocal")),"a",IF(OR(T756="positive",T756="equivocal"),"b",IF(OR(R756="positive",R756="equivocal"),"c","d"))))</x:f>
        <x:v>d</x:v>
      </x:c>
      <x:c r="AD756" s="12" t="str">
        <x:f>IF(OR(R756="unavailable",T756="unavailable"),"不可评价",IF(AND(R756="positive",T756="positive"),"a",IF(T756="positive","b",IF(R756="positive","c","d"))))</x:f>
        <x:v>d</x:v>
      </x:c>
      <x:c r="AE756" s="12" t="str">
        <x:f>IF(OR(W756="unavailable",Y756="unavailable"),"不可评价",IF(AND(OR(W756="positive",W756="equivocal"),OR(Y756="positive",Y756="equivocal")),"a",IF(OR(Y756="positive",Y756="equivocal"),"b",IF(OR(W756="positive",W756="equivocal"),"c","d"))))</x:f>
        <x:v>d</x:v>
      </x:c>
      <x:c r="AF756" s="12" t="str">
        <x:f>IF(OR(W756="unavailable",Y756="unavailable"),"不可评价",IF(AND(W756="positive",Y756="positive"),"a",IF(Y756="positive","b",IF(W756="positive","c","d"))))</x:f>
        <x:v>d</x:v>
      </x:c>
    </x:row>
    <x:row r="757" ht="24" customHeight="1">
      <x:c r="A757" s="12" t="str">
        <x:v>6227</x:v>
      </x:c>
      <x:c r="B757" s="12" t="str">
        <x:v>15999</x:v>
      </x:c>
      <x:c r="C757" s="21" t="n">
        <x:v>33391.40678240741</x:v>
      </x:c>
      <x:c r="D757" s="12" t="n">
        <x:v>66</x:v>
      </x:c>
      <x:c r="E757" s="12" t="n">
        <x:v>1</x:v>
      </x:c>
      <x:c r="F757" s="12" t="str">
        <x:v>存在</x:v>
      </x:c>
      <x:c r="G757" s="12" t="n">
        <x:v>1</x:v>
      </x:c>
      <x:c r="H757" s="12" t="str">
        <x:v>{'NORM': 100.0, 'SR': 0.0}</x:v>
      </x:c>
      <x:c r="I757" s="12" t="str">
        <x:v>[('NSR', 100.0), ('NML', 100.0)]</x:v>
      </x:c>
      <x:c r="J757" s="12" t="str">
        <x:v>ptbxl_database.csv；ecg_id=6227；scp_codes</x:v>
      </x:c>
      <x:c r="K757" s="12" t="str">
        <x:v>12sl_statements.csv；ecg_id=6227；statements_ext_snomed</x:v>
      </x:c>
      <x:c r="L757" s="12"/>
      <x:c r="M757" s="12" t="str">
        <x:v>negative</x:v>
      </x:c>
      <x:c r="N757" s="12"/>
      <x:c r="O757" s="12" t="str">
        <x:v>negative</x:v>
      </x:c>
      <x:c r="P757" s="12" t="str">
        <x:f>IF(OR(M757="unavailable",O757="unavailable"),"不可评价",IF(OR(M757="equivocal",O757="equivocal"),"疑似",IF(AND(M757="positive",O757="positive"),"a",IF(O757="positive","b",IF(M757="positive","c","d")))))</x:f>
        <x:v>d</x:v>
      </x:c>
      <x:c r="Q757" s="12"/>
      <x:c r="R757" s="12" t="str">
        <x:v>negative</x:v>
      </x:c>
      <x:c r="S757" s="12"/>
      <x:c r="T757" s="12" t="str">
        <x:v>negative</x:v>
      </x:c>
      <x:c r="U757" s="12" t="str">
        <x:f>IF(OR(R757="unavailable",T757="unavailable"),"不可评价",IF(OR(R757="equivocal",T757="equivocal"),"疑似",IF(AND(R757="positive",T757="positive"),"a",IF(T757="positive","b",IF(R757="positive","c","d")))))</x:f>
        <x:v>d</x:v>
      </x:c>
      <x:c r="V757" s="12"/>
      <x:c r="W757" s="12" t="str">
        <x:v>negative</x:v>
      </x:c>
      <x:c r="X757" s="12"/>
      <x:c r="Y757" s="12" t="str">
        <x:v>negative</x:v>
      </x:c>
      <x:c r="Z757" s="12" t="str">
        <x:f>IF(OR(W757="unavailable",Y757="unavailable"),"不可评价",IF(OR(W757="equivocal",Y757="equivocal"),"疑似",IF(AND(W757="positive",Y757="positive"),"a",IF(Y757="positive","b",IF(W757="positive","c","d")))))</x:f>
        <x:v>d</x:v>
      </x:c>
      <x:c r="AA757" s="12" t="str">
        <x:f>IF(OR(M757="unavailable",O757="unavailable"),"不可评价",IF(AND(OR(M757="positive",M757="equivocal"),OR(O757="positive",O757="equivocal")),"a",IF(OR(O757="positive",O757="equivocal"),"b",IF(OR(M757="positive",M757="equivocal"),"c","d"))))</x:f>
        <x:v>d</x:v>
      </x:c>
      <x:c r="AB757" s="12" t="str">
        <x:f>IF(OR(M757="unavailable",O757="unavailable"),"不可评价",IF(AND(M757="positive",O757="positive"),"a",IF(O757="positive","b",IF(M757="positive","c","d"))))</x:f>
        <x:v>d</x:v>
      </x:c>
      <x:c r="AC757" s="12" t="str">
        <x:f>IF(OR(R757="unavailable",T757="unavailable"),"不可评价",IF(AND(OR(R757="positive",R757="equivocal"),OR(T757="positive",T757="equivocal")),"a",IF(OR(T757="positive",T757="equivocal"),"b",IF(OR(R757="positive",R757="equivocal"),"c","d"))))</x:f>
        <x:v>d</x:v>
      </x:c>
      <x:c r="AD757" s="12" t="str">
        <x:f>IF(OR(R757="unavailable",T757="unavailable"),"不可评价",IF(AND(R757="positive",T757="positive"),"a",IF(T757="positive","b",IF(R757="positive","c","d"))))</x:f>
        <x:v>d</x:v>
      </x:c>
      <x:c r="AE757" s="12" t="str">
        <x:f>IF(OR(W757="unavailable",Y757="unavailable"),"不可评价",IF(AND(OR(W757="positive",W757="equivocal"),OR(Y757="positive",Y757="equivocal")),"a",IF(OR(Y757="positive",Y757="equivocal"),"b",IF(OR(W757="positive",W757="equivocal"),"c","d"))))</x:f>
        <x:v>d</x:v>
      </x:c>
      <x:c r="AF757" s="12" t="str">
        <x:f>IF(OR(W757="unavailable",Y757="unavailable"),"不可评价",IF(AND(W757="positive",Y757="positive"),"a",IF(Y757="positive","b",IF(W757="positive","c","d"))))</x:f>
        <x:v>d</x:v>
      </x:c>
    </x:row>
    <x:row r="758" ht="39" customHeight="1">
      <x:c r="A758" s="12" t="str">
        <x:v>6229</x:v>
      </x:c>
      <x:c r="B758" s="12" t="str">
        <x:v>17805</x:v>
      </x:c>
      <x:c r="C758" s="21" t="n">
        <x:v>33391.63799768518</x:v>
      </x:c>
      <x:c r="D758" s="12" t="n">
        <x:v>84</x:v>
      </x:c>
      <x:c r="E758" s="12" t="n">
        <x:v>0</x:v>
      </x:c>
      <x:c r="F758" s="12" t="str">
        <x:v>未记录</x:v>
      </x:c>
      <x:c r="G758" s="12" t="n">
        <x:v>1</x:v>
      </x:c>
      <x:c r="H758" s="12" t="str">
        <x:v>{'ASMI': 100.0, 'LVH': 50.0, 'ISC_': 100.0, 'PVC': 100.0, 'AFIB': 0.0, 'BIGU': 0.0}</x:v>
      </x:c>
      <x:c r="I758" s="12" t="str">
        <x:v>[('UR', 100.0), ('LVH2', 100.0), ('2ST', 100.0), ('SMI;AU', 15.0), ('AB', 100.0)]</x:v>
      </x:c>
      <x:c r="J758" s="12" t="str">
        <x:v>ptbxl_database.csv；ecg_id=6229；scp_codes</x:v>
      </x:c>
      <x:c r="K758" s="12" t="str">
        <x:v>12sl_statements.csv；ecg_id=6229；statements_ext_snomed</x:v>
      </x:c>
      <x:c r="L758" s="12" t="n">
        <x:v>0</x:v>
      </x:c>
      <x:c r="M758" s="12" t="str">
        <x:v>positive</x:v>
      </x:c>
      <x:c r="N758" s="12"/>
      <x:c r="O758" s="12" t="str">
        <x:v>negative</x:v>
      </x:c>
      <x:c r="P758" s="12" t="str">
        <x:f>IF(OR(M758="unavailable",O758="unavailable"),"不可评价",IF(OR(M758="equivocal",O758="equivocal"),"疑似",IF(AND(M758="positive",O758="positive"),"a",IF(O758="positive","b",IF(M758="positive","c","d")))))</x:f>
        <x:v>c</x:v>
      </x:c>
      <x:c r="Q758" s="12"/>
      <x:c r="R758" s="12" t="str">
        <x:v>negative</x:v>
      </x:c>
      <x:c r="S758" s="12"/>
      <x:c r="T758" s="12" t="str">
        <x:v>negative</x:v>
      </x:c>
      <x:c r="U758" s="12" t="str">
        <x:f>IF(OR(R758="unavailable",T758="unavailable"),"不可评价",IF(OR(R758="equivocal",T758="equivocal"),"疑似",IF(AND(R758="positive",T758="positive"),"a",IF(T758="positive","b",IF(R758="positive","c","d")))))</x:f>
        <x:v>d</x:v>
      </x:c>
      <x:c r="V758" s="12"/>
      <x:c r="W758" s="12" t="str">
        <x:v>negative</x:v>
      </x:c>
      <x:c r="X758" s="12"/>
      <x:c r="Y758" s="12" t="str">
        <x:v>negative</x:v>
      </x:c>
      <x:c r="Z758" s="12" t="str">
        <x:f>IF(OR(W758="unavailable",Y758="unavailable"),"不可评价",IF(OR(W758="equivocal",Y758="equivocal"),"疑似",IF(AND(W758="positive",Y758="positive"),"a",IF(Y758="positive","b",IF(W758="positive","c","d")))))</x:f>
        <x:v>d</x:v>
      </x:c>
      <x:c r="AA758" s="12" t="str">
        <x:f>IF(OR(M758="unavailable",O758="unavailable"),"不可评价",IF(AND(OR(M758="positive",M758="equivocal"),OR(O758="positive",O758="equivocal")),"a",IF(OR(O758="positive",O758="equivocal"),"b",IF(OR(M758="positive",M758="equivocal"),"c","d"))))</x:f>
        <x:v>c</x:v>
      </x:c>
      <x:c r="AB758" s="12" t="str">
        <x:f>IF(OR(M758="unavailable",O758="unavailable"),"不可评价",IF(AND(M758="positive",O758="positive"),"a",IF(O758="positive","b",IF(M758="positive","c","d"))))</x:f>
        <x:v>c</x:v>
      </x:c>
      <x:c r="AC758" s="12" t="str">
        <x:f>IF(OR(R758="unavailable",T758="unavailable"),"不可评价",IF(AND(OR(R758="positive",R758="equivocal"),OR(T758="positive",T758="equivocal")),"a",IF(OR(T758="positive",T758="equivocal"),"b",IF(OR(R758="positive",R758="equivocal"),"c","d"))))</x:f>
        <x:v>d</x:v>
      </x:c>
      <x:c r="AD758" s="12" t="str">
        <x:f>IF(OR(R758="unavailable",T758="unavailable"),"不可评价",IF(AND(R758="positive",T758="positive"),"a",IF(T758="positive","b",IF(R758="positive","c","d"))))</x:f>
        <x:v>d</x:v>
      </x:c>
      <x:c r="AE758" s="12" t="str">
        <x:f>IF(OR(W758="unavailable",Y758="unavailable"),"不可评价",IF(AND(OR(W758="positive",W758="equivocal"),OR(Y758="positive",Y758="equivocal")),"a",IF(OR(Y758="positive",Y758="equivocal"),"b",IF(OR(W758="positive",W758="equivocal"),"c","d"))))</x:f>
        <x:v>d</x:v>
      </x:c>
      <x:c r="AF758" s="12" t="str">
        <x:f>IF(OR(W758="unavailable",Y758="unavailable"),"不可评价",IF(AND(W758="positive",Y758="positive"),"a",IF(Y758="positive","b",IF(W758="positive","c","d"))))</x:f>
        <x:v>d</x:v>
      </x:c>
    </x:row>
    <x:row r="759" ht="24" customHeight="1">
      <x:c r="A759" s="12" t="str">
        <x:v>6230</x:v>
      </x:c>
      <x:c r="B759" s="12" t="str">
        <x:v>20683</x:v>
      </x:c>
      <x:c r="C759" s="21" t="n">
        <x:v>33391.65375</x:v>
      </x:c>
      <x:c r="D759" s="12" t="n">
        <x:v>85</x:v>
      </x:c>
      <x:c r="E759" s="12" t="n">
        <x:v>0</x:v>
      </x:c>
      <x:c r="F759" s="12" t="str">
        <x:v>未记录</x:v>
      </x:c>
      <x:c r="G759" s="12" t="n">
        <x:v>1</x:v>
      </x:c>
      <x:c r="H759" s="12" t="str">
        <x:v>{'IMI': 100.0, 'ABQRS': 0.0, 'SR': 0.0}</x:v>
      </x:c>
      <x:c r="I759" s="12" t="str">
        <x:v>[('SRTH', 100.0), ('FAV', 100.0), ('LAD3', 100.0), ('IMI;AU', 100.0), ('AB', 100.0)]</x:v>
      </x:c>
      <x:c r="J759" s="12" t="str">
        <x:v>ptbxl_database.csv；ecg_id=6230；scp_codes</x:v>
      </x:c>
      <x:c r="K759" s="12" t="str">
        <x:v>12sl_statements.csv；ecg_id=6230；statements_ext_snomed</x:v>
      </x:c>
      <x:c r="L759" s="12"/>
      <x:c r="M759" s="12" t="str">
        <x:v>negative</x:v>
      </x:c>
      <x:c r="N759" s="12"/>
      <x:c r="O759" s="12" t="str">
        <x:v>negative</x:v>
      </x:c>
      <x:c r="P759" s="12" t="str">
        <x:f>IF(OR(M759="unavailable",O759="unavailable"),"不可评价",IF(OR(M759="equivocal",O759="equivocal"),"疑似",IF(AND(M759="positive",O759="positive"),"a",IF(O759="positive","b",IF(M759="positive","c","d")))))</x:f>
        <x:v>d</x:v>
      </x:c>
      <x:c r="Q759" s="12"/>
      <x:c r="R759" s="12" t="str">
        <x:v>negative</x:v>
      </x:c>
      <x:c r="S759" s="12"/>
      <x:c r="T759" s="12" t="str">
        <x:v>negative</x:v>
      </x:c>
      <x:c r="U759" s="12" t="str">
        <x:f>IF(OR(R759="unavailable",T759="unavailable"),"不可评价",IF(OR(R759="equivocal",T759="equivocal"),"疑似",IF(AND(R759="positive",T759="positive"),"a",IF(T759="positive","b",IF(R759="positive","c","d")))))</x:f>
        <x:v>d</x:v>
      </x:c>
      <x:c r="V759" s="12"/>
      <x:c r="W759" s="12" t="str">
        <x:v>negative</x:v>
      </x:c>
      <x:c r="X759" s="12"/>
      <x:c r="Y759" s="12" t="str">
        <x:v>negative</x:v>
      </x:c>
      <x:c r="Z759" s="12" t="str">
        <x:f>IF(OR(W759="unavailable",Y759="unavailable"),"不可评价",IF(OR(W759="equivocal",Y759="equivocal"),"疑似",IF(AND(W759="positive",Y759="positive"),"a",IF(Y759="positive","b",IF(W759="positive","c","d")))))</x:f>
        <x:v>d</x:v>
      </x:c>
      <x:c r="AA759" s="12" t="str">
        <x:f>IF(OR(M759="unavailable",O759="unavailable"),"不可评价",IF(AND(OR(M759="positive",M759="equivocal"),OR(O759="positive",O759="equivocal")),"a",IF(OR(O759="positive",O759="equivocal"),"b",IF(OR(M759="positive",M759="equivocal"),"c","d"))))</x:f>
        <x:v>d</x:v>
      </x:c>
      <x:c r="AB759" s="12" t="str">
        <x:f>IF(OR(M759="unavailable",O759="unavailable"),"不可评价",IF(AND(M759="positive",O759="positive"),"a",IF(O759="positive","b",IF(M759="positive","c","d"))))</x:f>
        <x:v>d</x:v>
      </x:c>
      <x:c r="AC759" s="12" t="str">
        <x:f>IF(OR(R759="unavailable",T759="unavailable"),"不可评价",IF(AND(OR(R759="positive",R759="equivocal"),OR(T759="positive",T759="equivocal")),"a",IF(OR(T759="positive",T759="equivocal"),"b",IF(OR(R759="positive",R759="equivocal"),"c","d"))))</x:f>
        <x:v>d</x:v>
      </x:c>
      <x:c r="AD759" s="12" t="str">
        <x:f>IF(OR(R759="unavailable",T759="unavailable"),"不可评价",IF(AND(R759="positive",T759="positive"),"a",IF(T759="positive","b",IF(R759="positive","c","d"))))</x:f>
        <x:v>d</x:v>
      </x:c>
      <x:c r="AE759" s="12" t="str">
        <x:f>IF(OR(W759="unavailable",Y759="unavailable"),"不可评价",IF(AND(OR(W759="positive",W759="equivocal"),OR(Y759="positive",Y759="equivocal")),"a",IF(OR(Y759="positive",Y759="equivocal"),"b",IF(OR(W759="positive",W759="equivocal"),"c","d"))))</x:f>
        <x:v>d</x:v>
      </x:c>
      <x:c r="AF759" s="12" t="str">
        <x:f>IF(OR(W759="unavailable",Y759="unavailable"),"不可评价",IF(AND(W759="positive",Y759="positive"),"a",IF(Y759="positive","b",IF(W759="positive","c","d"))))</x:f>
        <x:v>d</x:v>
      </x:c>
    </x:row>
    <x:row r="760" ht="24" customHeight="1">
      <x:c r="A760" s="12" t="str">
        <x:v>6231</x:v>
      </x:c>
      <x:c r="B760" s="12" t="str">
        <x:v>10187</x:v>
      </x:c>
      <x:c r="C760" s="21" t="n">
        <x:v>33392.240891203706</x:v>
      </x:c>
      <x:c r="D760" s="12" t="n">
        <x:v>47</x:v>
      </x:c>
      <x:c r="E760" s="12" t="n">
        <x:v>0</x:v>
      </x:c>
      <x:c r="F760" s="12" t="str">
        <x:v>未记录</x:v>
      </x:c>
      <x:c r="G760" s="12" t="n">
        <x:v>1</x:v>
      </x:c>
      <x:c r="H760" s="12" t="str">
        <x:v>{'IMI': 100.0, 'ABQRS': 0.0, 'SR': 0.0}</x:v>
      </x:c>
      <x:c r="I760" s="12" t="str">
        <x:v>[('NSR', 100.0), ('IMI;AU', 100.0), ('AB', 100.0)]</x:v>
      </x:c>
      <x:c r="J760" s="12" t="str">
        <x:v>ptbxl_database.csv；ecg_id=6231；scp_codes</x:v>
      </x:c>
      <x:c r="K760" s="12" t="str">
        <x:v>12sl_statements.csv；ecg_id=6231；statements_ext_snomed</x:v>
      </x:c>
      <x:c r="L760" s="12"/>
      <x:c r="M760" s="12" t="str">
        <x:v>negative</x:v>
      </x:c>
      <x:c r="N760" s="12"/>
      <x:c r="O760" s="12" t="str">
        <x:v>negative</x:v>
      </x:c>
      <x:c r="P760" s="12" t="str">
        <x:f>IF(OR(M760="unavailable",O760="unavailable"),"不可评价",IF(OR(M760="equivocal",O760="equivocal"),"疑似",IF(AND(M760="positive",O760="positive"),"a",IF(O760="positive","b",IF(M760="positive","c","d")))))</x:f>
        <x:v>d</x:v>
      </x:c>
      <x:c r="Q760" s="12"/>
      <x:c r="R760" s="12" t="str">
        <x:v>negative</x:v>
      </x:c>
      <x:c r="S760" s="12"/>
      <x:c r="T760" s="12" t="str">
        <x:v>negative</x:v>
      </x:c>
      <x:c r="U760" s="12" t="str">
        <x:f>IF(OR(R760="unavailable",T760="unavailable"),"不可评价",IF(OR(R760="equivocal",T760="equivocal"),"疑似",IF(AND(R760="positive",T760="positive"),"a",IF(T760="positive","b",IF(R760="positive","c","d")))))</x:f>
        <x:v>d</x:v>
      </x:c>
      <x:c r="V760" s="12"/>
      <x:c r="W760" s="12" t="str">
        <x:v>negative</x:v>
      </x:c>
      <x:c r="X760" s="12"/>
      <x:c r="Y760" s="12" t="str">
        <x:v>negative</x:v>
      </x:c>
      <x:c r="Z760" s="12" t="str">
        <x:f>IF(OR(W760="unavailable",Y760="unavailable"),"不可评价",IF(OR(W760="equivocal",Y760="equivocal"),"疑似",IF(AND(W760="positive",Y760="positive"),"a",IF(Y760="positive","b",IF(W760="positive","c","d")))))</x:f>
        <x:v>d</x:v>
      </x:c>
      <x:c r="AA760" s="12" t="str">
        <x:f>IF(OR(M760="unavailable",O760="unavailable"),"不可评价",IF(AND(OR(M760="positive",M760="equivocal"),OR(O760="positive",O760="equivocal")),"a",IF(OR(O760="positive",O760="equivocal"),"b",IF(OR(M760="positive",M760="equivocal"),"c","d"))))</x:f>
        <x:v>d</x:v>
      </x:c>
      <x:c r="AB760" s="12" t="str">
        <x:f>IF(OR(M760="unavailable",O760="unavailable"),"不可评价",IF(AND(M760="positive",O760="positive"),"a",IF(O760="positive","b",IF(M760="positive","c","d"))))</x:f>
        <x:v>d</x:v>
      </x:c>
      <x:c r="AC760" s="12" t="str">
        <x:f>IF(OR(R760="unavailable",T760="unavailable"),"不可评价",IF(AND(OR(R760="positive",R760="equivocal"),OR(T760="positive",T760="equivocal")),"a",IF(OR(T760="positive",T760="equivocal"),"b",IF(OR(R760="positive",R760="equivocal"),"c","d"))))</x:f>
        <x:v>d</x:v>
      </x:c>
      <x:c r="AD760" s="12" t="str">
        <x:f>IF(OR(R760="unavailable",T760="unavailable"),"不可评价",IF(AND(R760="positive",T760="positive"),"a",IF(T760="positive","b",IF(R760="positive","c","d"))))</x:f>
        <x:v>d</x:v>
      </x:c>
      <x:c r="AE760" s="12" t="str">
        <x:f>IF(OR(W760="unavailable",Y760="unavailable"),"不可评价",IF(AND(OR(W760="positive",W760="equivocal"),OR(Y760="positive",Y760="equivocal")),"a",IF(OR(Y760="positive",Y760="equivocal"),"b",IF(OR(W760="positive",W760="equivocal"),"c","d"))))</x:f>
        <x:v>d</x:v>
      </x:c>
      <x:c r="AF760" s="12" t="str">
        <x:f>IF(OR(W760="unavailable",Y760="unavailable"),"不可评价",IF(AND(W760="positive",Y760="positive"),"a",IF(Y760="positive","b",IF(W760="positive","c","d"))))</x:f>
        <x:v>d</x:v>
      </x:c>
    </x:row>
    <x:row r="761" ht="24" customHeight="1">
      <x:c r="A761" s="12" t="str">
        <x:v>6235</x:v>
      </x:c>
      <x:c r="B761" s="12" t="str">
        <x:v>16111</x:v>
      </x:c>
      <x:c r="C761" s="21" t="n">
        <x:v>33392.786157407405</x:v>
      </x:c>
      <x:c r="D761" s="12" t="n">
        <x:v>60</x:v>
      </x:c>
      <x:c r="E761" s="12" t="n">
        <x:v>1</x:v>
      </x:c>
      <x:c r="F761" s="12" t="str">
        <x:v>未记录</x:v>
      </x:c>
      <x:c r="G761" s="12" t="n">
        <x:v>1</x:v>
      </x:c>
      <x:c r="H761" s="12" t="str">
        <x:v>{'NORM': 100.0, 'SR': 0.0}</x:v>
      </x:c>
      <x:c r="I761" s="12" t="str">
        <x:v>[('NSR', 100.0), ('NML', 100.0)]</x:v>
      </x:c>
      <x:c r="J761" s="12" t="str">
        <x:v>ptbxl_database.csv；ecg_id=6235；scp_codes</x:v>
      </x:c>
      <x:c r="K761" s="12" t="str">
        <x:v>12sl_statements.csv；ecg_id=6235；statements_ext_snomed</x:v>
      </x:c>
      <x:c r="L761" s="12"/>
      <x:c r="M761" s="12" t="str">
        <x:v>negative</x:v>
      </x:c>
      <x:c r="N761" s="12"/>
      <x:c r="O761" s="12" t="str">
        <x:v>negative</x:v>
      </x:c>
      <x:c r="P761" s="12" t="str">
        <x:f>IF(OR(M761="unavailable",O761="unavailable"),"不可评价",IF(OR(M761="equivocal",O761="equivocal"),"疑似",IF(AND(M761="positive",O761="positive"),"a",IF(O761="positive","b",IF(M761="positive","c","d")))))</x:f>
        <x:v>d</x:v>
      </x:c>
      <x:c r="Q761" s="12"/>
      <x:c r="R761" s="12" t="str">
        <x:v>negative</x:v>
      </x:c>
      <x:c r="S761" s="12"/>
      <x:c r="T761" s="12" t="str">
        <x:v>negative</x:v>
      </x:c>
      <x:c r="U761" s="12" t="str">
        <x:f>IF(OR(R761="unavailable",T761="unavailable"),"不可评价",IF(OR(R761="equivocal",T761="equivocal"),"疑似",IF(AND(R761="positive",T761="positive"),"a",IF(T761="positive","b",IF(R761="positive","c","d")))))</x:f>
        <x:v>d</x:v>
      </x:c>
      <x:c r="V761" s="12"/>
      <x:c r="W761" s="12" t="str">
        <x:v>negative</x:v>
      </x:c>
      <x:c r="X761" s="12"/>
      <x:c r="Y761" s="12" t="str">
        <x:v>negative</x:v>
      </x:c>
      <x:c r="Z761" s="12" t="str">
        <x:f>IF(OR(W761="unavailable",Y761="unavailable"),"不可评价",IF(OR(W761="equivocal",Y761="equivocal"),"疑似",IF(AND(W761="positive",Y761="positive"),"a",IF(Y761="positive","b",IF(W761="positive","c","d")))))</x:f>
        <x:v>d</x:v>
      </x:c>
      <x:c r="AA761" s="12" t="str">
        <x:f>IF(OR(M761="unavailable",O761="unavailable"),"不可评价",IF(AND(OR(M761="positive",M761="equivocal"),OR(O761="positive",O761="equivocal")),"a",IF(OR(O761="positive",O761="equivocal"),"b",IF(OR(M761="positive",M761="equivocal"),"c","d"))))</x:f>
        <x:v>d</x:v>
      </x:c>
      <x:c r="AB761" s="12" t="str">
        <x:f>IF(OR(M761="unavailable",O761="unavailable"),"不可评价",IF(AND(M761="positive",O761="positive"),"a",IF(O761="positive","b",IF(M761="positive","c","d"))))</x:f>
        <x:v>d</x:v>
      </x:c>
      <x:c r="AC761" s="12" t="str">
        <x:f>IF(OR(R761="unavailable",T761="unavailable"),"不可评价",IF(AND(OR(R761="positive",R761="equivocal"),OR(T761="positive",T761="equivocal")),"a",IF(OR(T761="positive",T761="equivocal"),"b",IF(OR(R761="positive",R761="equivocal"),"c","d"))))</x:f>
        <x:v>d</x:v>
      </x:c>
      <x:c r="AD761" s="12" t="str">
        <x:f>IF(OR(R761="unavailable",T761="unavailable"),"不可评价",IF(AND(R761="positive",T761="positive"),"a",IF(T761="positive","b",IF(R761="positive","c","d"))))</x:f>
        <x:v>d</x:v>
      </x:c>
      <x:c r="AE761" s="12" t="str">
        <x:f>IF(OR(W761="unavailable",Y761="unavailable"),"不可评价",IF(AND(OR(W761="positive",W761="equivocal"),OR(Y761="positive",Y761="equivocal")),"a",IF(OR(Y761="positive",Y761="equivocal"),"b",IF(OR(W761="positive",W761="equivocal"),"c","d"))))</x:f>
        <x:v>d</x:v>
      </x:c>
      <x:c r="AF761" s="12" t="str">
        <x:f>IF(OR(W761="unavailable",Y761="unavailable"),"不可评价",IF(AND(W761="positive",Y761="positive"),"a",IF(Y761="positive","b",IF(W761="positive","c","d"))))</x:f>
        <x:v>d</x:v>
      </x:c>
    </x:row>
    <x:row r="762" ht="24" customHeight="1">
      <x:c r="A762" s="12" t="str">
        <x:v>6239</x:v>
      </x:c>
      <x:c r="B762" s="12" t="str">
        <x:v>17799</x:v>
      </x:c>
      <x:c r="C762" s="21" t="n">
        <x:v>33393.725810185184</x:v>
      </x:c>
      <x:c r="D762" s="12" t="n">
        <x:v>56</x:v>
      </x:c>
      <x:c r="E762" s="12" t="n">
        <x:v>0</x:v>
      </x:c>
      <x:c r="F762" s="12" t="str">
        <x:v>未记录</x:v>
      </x:c>
      <x:c r="G762" s="12" t="n">
        <x:v>1</x:v>
      </x:c>
      <x:c r="H762" s="12" t="str">
        <x:v>{'NORM': 100.0, 'SR': 0.0}</x:v>
      </x:c>
      <x:c r="I762" s="12" t="str">
        <x:v>[('NSR', 100.0), ('NML', 100.0)]</x:v>
      </x:c>
      <x:c r="J762" s="12" t="str">
        <x:v>ptbxl_database.csv；ecg_id=6239；scp_codes</x:v>
      </x:c>
      <x:c r="K762" s="12" t="str">
        <x:v>12sl_statements.csv；ecg_id=6239；statements_ext_snomed</x:v>
      </x:c>
      <x:c r="L762" s="12"/>
      <x:c r="M762" s="12" t="str">
        <x:v>negative</x:v>
      </x:c>
      <x:c r="N762" s="12"/>
      <x:c r="O762" s="12" t="str">
        <x:v>negative</x:v>
      </x:c>
      <x:c r="P762" s="12" t="str">
        <x:f>IF(OR(M762="unavailable",O762="unavailable"),"不可评价",IF(OR(M762="equivocal",O762="equivocal"),"疑似",IF(AND(M762="positive",O762="positive"),"a",IF(O762="positive","b",IF(M762="positive","c","d")))))</x:f>
        <x:v>d</x:v>
      </x:c>
      <x:c r="Q762" s="12"/>
      <x:c r="R762" s="12" t="str">
        <x:v>negative</x:v>
      </x:c>
      <x:c r="S762" s="12"/>
      <x:c r="T762" s="12" t="str">
        <x:v>negative</x:v>
      </x:c>
      <x:c r="U762" s="12" t="str">
        <x:f>IF(OR(R762="unavailable",T762="unavailable"),"不可评价",IF(OR(R762="equivocal",T762="equivocal"),"疑似",IF(AND(R762="positive",T762="positive"),"a",IF(T762="positive","b",IF(R762="positive","c","d")))))</x:f>
        <x:v>d</x:v>
      </x:c>
      <x:c r="V762" s="12"/>
      <x:c r="W762" s="12" t="str">
        <x:v>negative</x:v>
      </x:c>
      <x:c r="X762" s="12"/>
      <x:c r="Y762" s="12" t="str">
        <x:v>negative</x:v>
      </x:c>
      <x:c r="Z762" s="12" t="str">
        <x:f>IF(OR(W762="unavailable",Y762="unavailable"),"不可评价",IF(OR(W762="equivocal",Y762="equivocal"),"疑似",IF(AND(W762="positive",Y762="positive"),"a",IF(Y762="positive","b",IF(W762="positive","c","d")))))</x:f>
        <x:v>d</x:v>
      </x:c>
      <x:c r="AA762" s="12" t="str">
        <x:f>IF(OR(M762="unavailable",O762="unavailable"),"不可评价",IF(AND(OR(M762="positive",M762="equivocal"),OR(O762="positive",O762="equivocal")),"a",IF(OR(O762="positive",O762="equivocal"),"b",IF(OR(M762="positive",M762="equivocal"),"c","d"))))</x:f>
        <x:v>d</x:v>
      </x:c>
      <x:c r="AB762" s="12" t="str">
        <x:f>IF(OR(M762="unavailable",O762="unavailable"),"不可评价",IF(AND(M762="positive",O762="positive"),"a",IF(O762="positive","b",IF(M762="positive","c","d"))))</x:f>
        <x:v>d</x:v>
      </x:c>
      <x:c r="AC762" s="12" t="str">
        <x:f>IF(OR(R762="unavailable",T762="unavailable"),"不可评价",IF(AND(OR(R762="positive",R762="equivocal"),OR(T762="positive",T762="equivocal")),"a",IF(OR(T762="positive",T762="equivocal"),"b",IF(OR(R762="positive",R762="equivocal"),"c","d"))))</x:f>
        <x:v>d</x:v>
      </x:c>
      <x:c r="AD762" s="12" t="str">
        <x:f>IF(OR(R762="unavailable",T762="unavailable"),"不可评价",IF(AND(R762="positive",T762="positive"),"a",IF(T762="positive","b",IF(R762="positive","c","d"))))</x:f>
        <x:v>d</x:v>
      </x:c>
      <x:c r="AE762" s="12" t="str">
        <x:f>IF(OR(W762="unavailable",Y762="unavailable"),"不可评价",IF(AND(OR(W762="positive",W762="equivocal"),OR(Y762="positive",Y762="equivocal")),"a",IF(OR(Y762="positive",Y762="equivocal"),"b",IF(OR(W762="positive",W762="equivocal"),"c","d"))))</x:f>
        <x:v>d</x:v>
      </x:c>
      <x:c r="AF762" s="12" t="str">
        <x:f>IF(OR(W762="unavailable",Y762="unavailable"),"不可评价",IF(AND(W762="positive",Y762="positive"),"a",IF(Y762="positive","b",IF(W762="positive","c","d"))))</x:f>
        <x:v>d</x:v>
      </x:c>
    </x:row>
    <x:row r="763" ht="39" customHeight="1">
      <x:c r="A763" s="12" t="str">
        <x:v>6251</x:v>
      </x:c>
      <x:c r="B763" s="12" t="str">
        <x:v>10300</x:v>
      </x:c>
      <x:c r="C763" s="21" t="n">
        <x:v>33398.6625</x:v>
      </x:c>
      <x:c r="D763" s="12" t="n">
        <x:v>87</x:v>
      </x:c>
      <x:c r="E763" s="12" t="n">
        <x:v>1</x:v>
      </x:c>
      <x:c r="F763" s="12" t="str">
        <x:v>未记录</x:v>
      </x:c>
      <x:c r="G763" s="12" t="n">
        <x:v>1</x:v>
      </x:c>
      <x:c r="H763" s="12" t="str">
        <x:v>{'IPLMI': 100.0, 'LAFB': 100.0, 'ABQRS': 0.0, 'LVOLT': 0.0, 'STACH': 0.0}</x:v>
      </x:c>
      <x:c r="I763" s="12" t="str">
        <x:v>[('STACH', 100.0), ('LAD3', 100.0), ('STDEP2', 100.0), ('NT', 100.0), ('AB', 100.0)]</x:v>
      </x:c>
      <x:c r="J763" s="12" t="str">
        <x:v>ptbxl_database.csv；ecg_id=6251；scp_codes</x:v>
      </x:c>
      <x:c r="K763" s="12" t="str">
        <x:v>12sl_statements.csv；ecg_id=6251；statements_ext_snomed</x:v>
      </x:c>
      <x:c r="L763" s="12"/>
      <x:c r="M763" s="12" t="str">
        <x:v>negative</x:v>
      </x:c>
      <x:c r="N763" s="12"/>
      <x:c r="O763" s="12" t="str">
        <x:v>negative</x:v>
      </x:c>
      <x:c r="P763" s="12" t="str">
        <x:f>IF(OR(M763="unavailable",O763="unavailable"),"不可评价",IF(OR(M763="equivocal",O763="equivocal"),"疑似",IF(AND(M763="positive",O763="positive"),"a",IF(O763="positive","b",IF(M763="positive","c","d")))))</x:f>
        <x:v>d</x:v>
      </x:c>
      <x:c r="Q763" s="12"/>
      <x:c r="R763" s="12" t="str">
        <x:v>negative</x:v>
      </x:c>
      <x:c r="S763" s="12"/>
      <x:c r="T763" s="12" t="str">
        <x:v>negative</x:v>
      </x:c>
      <x:c r="U763" s="12" t="str">
        <x:f>IF(OR(R763="unavailable",T763="unavailable"),"不可评价",IF(OR(R763="equivocal",T763="equivocal"),"疑似",IF(AND(R763="positive",T763="positive"),"a",IF(T763="positive","b",IF(R763="positive","c","d")))))</x:f>
        <x:v>d</x:v>
      </x:c>
      <x:c r="V763" s="12"/>
      <x:c r="W763" s="12" t="str">
        <x:v>negative</x:v>
      </x:c>
      <x:c r="X763" s="12"/>
      <x:c r="Y763" s="12" t="str">
        <x:v>negative</x:v>
      </x:c>
      <x:c r="Z763" s="12" t="str">
        <x:f>IF(OR(W763="unavailable",Y763="unavailable"),"不可评价",IF(OR(W763="equivocal",Y763="equivocal"),"疑似",IF(AND(W763="positive",Y763="positive"),"a",IF(Y763="positive","b",IF(W763="positive","c","d")))))</x:f>
        <x:v>d</x:v>
      </x:c>
      <x:c r="AA763" s="12" t="str">
        <x:f>IF(OR(M763="unavailable",O763="unavailable"),"不可评价",IF(AND(OR(M763="positive",M763="equivocal"),OR(O763="positive",O763="equivocal")),"a",IF(OR(O763="positive",O763="equivocal"),"b",IF(OR(M763="positive",M763="equivocal"),"c","d"))))</x:f>
        <x:v>d</x:v>
      </x:c>
      <x:c r="AB763" s="12" t="str">
        <x:f>IF(OR(M763="unavailable",O763="unavailable"),"不可评价",IF(AND(M763="positive",O763="positive"),"a",IF(O763="positive","b",IF(M763="positive","c","d"))))</x:f>
        <x:v>d</x:v>
      </x:c>
      <x:c r="AC763" s="12" t="str">
        <x:f>IF(OR(R763="unavailable",T763="unavailable"),"不可评价",IF(AND(OR(R763="positive",R763="equivocal"),OR(T763="positive",T763="equivocal")),"a",IF(OR(T763="positive",T763="equivocal"),"b",IF(OR(R763="positive",R763="equivocal"),"c","d"))))</x:f>
        <x:v>d</x:v>
      </x:c>
      <x:c r="AD763" s="12" t="str">
        <x:f>IF(OR(R763="unavailable",T763="unavailable"),"不可评价",IF(AND(R763="positive",T763="positive"),"a",IF(T763="positive","b",IF(R763="positive","c","d"))))</x:f>
        <x:v>d</x:v>
      </x:c>
      <x:c r="AE763" s="12" t="str">
        <x:f>IF(OR(W763="unavailable",Y763="unavailable"),"不可评价",IF(AND(OR(W763="positive",W763="equivocal"),OR(Y763="positive",Y763="equivocal")),"a",IF(OR(Y763="positive",Y763="equivocal"),"b",IF(OR(W763="positive",W763="equivocal"),"c","d"))))</x:f>
        <x:v>d</x:v>
      </x:c>
      <x:c r="AF763" s="12" t="str">
        <x:f>IF(OR(W763="unavailable",Y763="unavailable"),"不可评价",IF(AND(W763="positive",Y763="positive"),"a",IF(Y763="positive","b",IF(W763="positive","c","d"))))</x:f>
        <x:v>d</x:v>
      </x:c>
    </x:row>
    <x:row r="764" ht="24" customHeight="1">
      <x:c r="A764" s="12" t="str">
        <x:v>6262</x:v>
      </x:c>
      <x:c r="B764" s="12" t="str">
        <x:v>21143</x:v>
      </x:c>
      <x:c r="C764" s="21" t="n">
        <x:v>33402.49407407407</x:v>
      </x:c>
      <x:c r="D764" s="12" t="n">
        <x:v>48</x:v>
      </x:c>
      <x:c r="E764" s="12" t="n">
        <x:v>0</x:v>
      </x:c>
      <x:c r="F764" s="12" t="str">
        <x:v>存在</x:v>
      </x:c>
      <x:c r="G764" s="12" t="n">
        <x:v>1</x:v>
      </x:c>
      <x:c r="H764" s="12" t="str">
        <x:v>{'NORM': 100.0, 'SR': 0.0}</x:v>
      </x:c>
      <x:c r="I764" s="12" t="str">
        <x:v>[('NSR', 100.0), ('NML', 100.0)]</x:v>
      </x:c>
      <x:c r="J764" s="12" t="str">
        <x:v>ptbxl_database.csv；ecg_id=6262；scp_codes</x:v>
      </x:c>
      <x:c r="K764" s="12" t="str">
        <x:v>12sl_statements.csv；ecg_id=6262；statements_ext_snomed</x:v>
      </x:c>
      <x:c r="L764" s="12"/>
      <x:c r="M764" s="12" t="str">
        <x:v>negative</x:v>
      </x:c>
      <x:c r="N764" s="12"/>
      <x:c r="O764" s="12" t="str">
        <x:v>negative</x:v>
      </x:c>
      <x:c r="P764" s="12" t="str">
        <x:f>IF(OR(M764="unavailable",O764="unavailable"),"不可评价",IF(OR(M764="equivocal",O764="equivocal"),"疑似",IF(AND(M764="positive",O764="positive"),"a",IF(O764="positive","b",IF(M764="positive","c","d")))))</x:f>
        <x:v>d</x:v>
      </x:c>
      <x:c r="Q764" s="12"/>
      <x:c r="R764" s="12" t="str">
        <x:v>negative</x:v>
      </x:c>
      <x:c r="S764" s="12"/>
      <x:c r="T764" s="12" t="str">
        <x:v>negative</x:v>
      </x:c>
      <x:c r="U764" s="12" t="str">
        <x:f>IF(OR(R764="unavailable",T764="unavailable"),"不可评价",IF(OR(R764="equivocal",T764="equivocal"),"疑似",IF(AND(R764="positive",T764="positive"),"a",IF(T764="positive","b",IF(R764="positive","c","d")))))</x:f>
        <x:v>d</x:v>
      </x:c>
      <x:c r="V764" s="12"/>
      <x:c r="W764" s="12" t="str">
        <x:v>negative</x:v>
      </x:c>
      <x:c r="X764" s="12"/>
      <x:c r="Y764" s="12" t="str">
        <x:v>negative</x:v>
      </x:c>
      <x:c r="Z764" s="12" t="str">
        <x:f>IF(OR(W764="unavailable",Y764="unavailable"),"不可评价",IF(OR(W764="equivocal",Y764="equivocal"),"疑似",IF(AND(W764="positive",Y764="positive"),"a",IF(Y764="positive","b",IF(W764="positive","c","d")))))</x:f>
        <x:v>d</x:v>
      </x:c>
      <x:c r="AA764" s="12" t="str">
        <x:f>IF(OR(M764="unavailable",O764="unavailable"),"不可评价",IF(AND(OR(M764="positive",M764="equivocal"),OR(O764="positive",O764="equivocal")),"a",IF(OR(O764="positive",O764="equivocal"),"b",IF(OR(M764="positive",M764="equivocal"),"c","d"))))</x:f>
        <x:v>d</x:v>
      </x:c>
      <x:c r="AB764" s="12" t="str">
        <x:f>IF(OR(M764="unavailable",O764="unavailable"),"不可评价",IF(AND(M764="positive",O764="positive"),"a",IF(O764="positive","b",IF(M764="positive","c","d"))))</x:f>
        <x:v>d</x:v>
      </x:c>
      <x:c r="AC764" s="12" t="str">
        <x:f>IF(OR(R764="unavailable",T764="unavailable"),"不可评价",IF(AND(OR(R764="positive",R764="equivocal"),OR(T764="positive",T764="equivocal")),"a",IF(OR(T764="positive",T764="equivocal"),"b",IF(OR(R764="positive",R764="equivocal"),"c","d"))))</x:f>
        <x:v>d</x:v>
      </x:c>
      <x:c r="AD764" s="12" t="str">
        <x:f>IF(OR(R764="unavailable",T764="unavailable"),"不可评价",IF(AND(R764="positive",T764="positive"),"a",IF(T764="positive","b",IF(R764="positive","c","d"))))</x:f>
        <x:v>d</x:v>
      </x:c>
      <x:c r="AE764" s="12" t="str">
        <x:f>IF(OR(W764="unavailable",Y764="unavailable"),"不可评价",IF(AND(OR(W764="positive",W764="equivocal"),OR(Y764="positive",Y764="equivocal")),"a",IF(OR(Y764="positive",Y764="equivocal"),"b",IF(OR(W764="positive",W764="equivocal"),"c","d"))))</x:f>
        <x:v>d</x:v>
      </x:c>
      <x:c r="AF764" s="12" t="str">
        <x:f>IF(OR(W764="unavailable",Y764="unavailable"),"不可评价",IF(AND(W764="positive",Y764="positive"),"a",IF(Y764="positive","b",IF(W764="positive","c","d"))))</x:f>
        <x:v>d</x:v>
      </x:c>
    </x:row>
    <x:row r="765" ht="24" customHeight="1">
      <x:c r="A765" s="12" t="str">
        <x:v>6265</x:v>
      </x:c>
      <x:c r="B765" s="12" t="str">
        <x:v>11834</x:v>
      </x:c>
      <x:c r="C765" s="21" t="n">
        <x:v>33402.95914351852</x:v>
      </x:c>
      <x:c r="D765" s="12" t="n">
        <x:v>55</x:v>
      </x:c>
      <x:c r="E765" s="12" t="n">
        <x:v>0</x:v>
      </x:c>
      <x:c r="F765" s="12" t="str">
        <x:v>未记录</x:v>
      </x:c>
      <x:c r="G765" s="12" t="n">
        <x:v>1</x:v>
      </x:c>
      <x:c r="H765" s="12" t="str">
        <x:v>{'NORM': 100.0, 'SR': 0.0}</x:v>
      </x:c>
      <x:c r="I765" s="12" t="str">
        <x:v>[('NSR', 100.0), ('NML', 100.0)]</x:v>
      </x:c>
      <x:c r="J765" s="12" t="str">
        <x:v>ptbxl_database.csv；ecg_id=6265；scp_codes</x:v>
      </x:c>
      <x:c r="K765" s="12" t="str">
        <x:v>12sl_statements.csv；ecg_id=6265；statements_ext_snomed</x:v>
      </x:c>
      <x:c r="L765" s="12"/>
      <x:c r="M765" s="12" t="str">
        <x:v>negative</x:v>
      </x:c>
      <x:c r="N765" s="12"/>
      <x:c r="O765" s="12" t="str">
        <x:v>negative</x:v>
      </x:c>
      <x:c r="P765" s="12" t="str">
        <x:f>IF(OR(M765="unavailable",O765="unavailable"),"不可评价",IF(OR(M765="equivocal",O765="equivocal"),"疑似",IF(AND(M765="positive",O765="positive"),"a",IF(O765="positive","b",IF(M765="positive","c","d")))))</x:f>
        <x:v>d</x:v>
      </x:c>
      <x:c r="Q765" s="12"/>
      <x:c r="R765" s="12" t="str">
        <x:v>negative</x:v>
      </x:c>
      <x:c r="S765" s="12"/>
      <x:c r="T765" s="12" t="str">
        <x:v>negative</x:v>
      </x:c>
      <x:c r="U765" s="12" t="str">
        <x:f>IF(OR(R765="unavailable",T765="unavailable"),"不可评价",IF(OR(R765="equivocal",T765="equivocal"),"疑似",IF(AND(R765="positive",T765="positive"),"a",IF(T765="positive","b",IF(R765="positive","c","d")))))</x:f>
        <x:v>d</x:v>
      </x:c>
      <x:c r="V765" s="12"/>
      <x:c r="W765" s="12" t="str">
        <x:v>negative</x:v>
      </x:c>
      <x:c r="X765" s="12"/>
      <x:c r="Y765" s="12" t="str">
        <x:v>negative</x:v>
      </x:c>
      <x:c r="Z765" s="12" t="str">
        <x:f>IF(OR(W765="unavailable",Y765="unavailable"),"不可评价",IF(OR(W765="equivocal",Y765="equivocal"),"疑似",IF(AND(W765="positive",Y765="positive"),"a",IF(Y765="positive","b",IF(W765="positive","c","d")))))</x:f>
        <x:v>d</x:v>
      </x:c>
      <x:c r="AA765" s="12" t="str">
        <x:f>IF(OR(M765="unavailable",O765="unavailable"),"不可评价",IF(AND(OR(M765="positive",M765="equivocal"),OR(O765="positive",O765="equivocal")),"a",IF(OR(O765="positive",O765="equivocal"),"b",IF(OR(M765="positive",M765="equivocal"),"c","d"))))</x:f>
        <x:v>d</x:v>
      </x:c>
      <x:c r="AB765" s="12" t="str">
        <x:f>IF(OR(M765="unavailable",O765="unavailable"),"不可评价",IF(AND(M765="positive",O765="positive"),"a",IF(O765="positive","b",IF(M765="positive","c","d"))))</x:f>
        <x:v>d</x:v>
      </x:c>
      <x:c r="AC765" s="12" t="str">
        <x:f>IF(OR(R765="unavailable",T765="unavailable"),"不可评价",IF(AND(OR(R765="positive",R765="equivocal"),OR(T765="positive",T765="equivocal")),"a",IF(OR(T765="positive",T765="equivocal"),"b",IF(OR(R765="positive",R765="equivocal"),"c","d"))))</x:f>
        <x:v>d</x:v>
      </x:c>
      <x:c r="AD765" s="12" t="str">
        <x:f>IF(OR(R765="unavailable",T765="unavailable"),"不可评价",IF(AND(R765="positive",T765="positive"),"a",IF(T765="positive","b",IF(R765="positive","c","d"))))</x:f>
        <x:v>d</x:v>
      </x:c>
      <x:c r="AE765" s="12" t="str">
        <x:f>IF(OR(W765="unavailable",Y765="unavailable"),"不可评价",IF(AND(OR(W765="positive",W765="equivocal"),OR(Y765="positive",Y765="equivocal")),"a",IF(OR(Y765="positive",Y765="equivocal"),"b",IF(OR(W765="positive",W765="equivocal"),"c","d"))))</x:f>
        <x:v>d</x:v>
      </x:c>
      <x:c r="AF765" s="12" t="str">
        <x:f>IF(OR(W765="unavailable",Y765="unavailable"),"不可评价",IF(AND(W765="positive",Y765="positive"),"a",IF(Y765="positive","b",IF(W765="positive","c","d"))))</x:f>
        <x:v>d</x:v>
      </x:c>
    </x:row>
    <x:row r="766" ht="24" customHeight="1">
      <x:c r="A766" s="12" t="str">
        <x:v>6270</x:v>
      </x:c>
      <x:c r="B766" s="12" t="str">
        <x:v>9872</x:v>
      </x:c>
      <x:c r="C766" s="21" t="n">
        <x:v>33404.46704861111</x:v>
      </x:c>
      <x:c r="D766" s="12" t="n">
        <x:v>38</x:v>
      </x:c>
      <x:c r="E766" s="12" t="n">
        <x:v>0</x:v>
      </x:c>
      <x:c r="F766" s="12" t="str">
        <x:v>未记录</x:v>
      </x:c>
      <x:c r="G766" s="12" t="n">
        <x:v>0</x:v>
      </x:c>
      <x:c r="H766" s="12" t="str">
        <x:v>{'NDT': 100.0, 'ABQRS': 0.0, 'SBRAD': 0.0}</x:v>
      </x:c>
      <x:c r="I766" s="12" t="str">
        <x:v>[('SBRAD', 100.0), ('ABR', 100.0)]</x:v>
      </x:c>
      <x:c r="J766" s="12" t="str">
        <x:v>ptbxl_database.csv；ecg_id=6270；scp_codes</x:v>
      </x:c>
      <x:c r="K766" s="12" t="str">
        <x:v>12sl_statements.csv；ecg_id=6270；statements_ext_snomed</x:v>
      </x:c>
      <x:c r="L766" s="12"/>
      <x:c r="M766" s="12" t="str">
        <x:v>negative</x:v>
      </x:c>
      <x:c r="N766" s="12"/>
      <x:c r="O766" s="12" t="str">
        <x:v>negative</x:v>
      </x:c>
      <x:c r="P766" s="12" t="str">
        <x:f>IF(OR(M766="unavailable",O766="unavailable"),"不可评价",IF(OR(M766="equivocal",O766="equivocal"),"疑似",IF(AND(M766="positive",O766="positive"),"a",IF(O766="positive","b",IF(M766="positive","c","d")))))</x:f>
        <x:v>d</x:v>
      </x:c>
      <x:c r="Q766" s="12"/>
      <x:c r="R766" s="12" t="str">
        <x:v>negative</x:v>
      </x:c>
      <x:c r="S766" s="12"/>
      <x:c r="T766" s="12" t="str">
        <x:v>negative</x:v>
      </x:c>
      <x:c r="U766" s="12" t="str">
        <x:f>IF(OR(R766="unavailable",T766="unavailable"),"不可评价",IF(OR(R766="equivocal",T766="equivocal"),"疑似",IF(AND(R766="positive",T766="positive"),"a",IF(T766="positive","b",IF(R766="positive","c","d")))))</x:f>
        <x:v>d</x:v>
      </x:c>
      <x:c r="V766" s="12"/>
      <x:c r="W766" s="12" t="str">
        <x:v>negative</x:v>
      </x:c>
      <x:c r="X766" s="12"/>
      <x:c r="Y766" s="12" t="str">
        <x:v>negative</x:v>
      </x:c>
      <x:c r="Z766" s="12" t="str">
        <x:f>IF(OR(W766="unavailable",Y766="unavailable"),"不可评价",IF(OR(W766="equivocal",Y766="equivocal"),"疑似",IF(AND(W766="positive",Y766="positive"),"a",IF(Y766="positive","b",IF(W766="positive","c","d")))))</x:f>
        <x:v>d</x:v>
      </x:c>
      <x:c r="AA766" s="12" t="str">
        <x:f>IF(OR(M766="unavailable",O766="unavailable"),"不可评价",IF(AND(OR(M766="positive",M766="equivocal"),OR(O766="positive",O766="equivocal")),"a",IF(OR(O766="positive",O766="equivocal"),"b",IF(OR(M766="positive",M766="equivocal"),"c","d"))))</x:f>
        <x:v>d</x:v>
      </x:c>
      <x:c r="AB766" s="12" t="str">
        <x:f>IF(OR(M766="unavailable",O766="unavailable"),"不可评价",IF(AND(M766="positive",O766="positive"),"a",IF(O766="positive","b",IF(M766="positive","c","d"))))</x:f>
        <x:v>d</x:v>
      </x:c>
      <x:c r="AC766" s="12" t="str">
        <x:f>IF(OR(R766="unavailable",T766="unavailable"),"不可评价",IF(AND(OR(R766="positive",R766="equivocal"),OR(T766="positive",T766="equivocal")),"a",IF(OR(T766="positive",T766="equivocal"),"b",IF(OR(R766="positive",R766="equivocal"),"c","d"))))</x:f>
        <x:v>d</x:v>
      </x:c>
      <x:c r="AD766" s="12" t="str">
        <x:f>IF(OR(R766="unavailable",T766="unavailable"),"不可评价",IF(AND(R766="positive",T766="positive"),"a",IF(T766="positive","b",IF(R766="positive","c","d"))))</x:f>
        <x:v>d</x:v>
      </x:c>
      <x:c r="AE766" s="12" t="str">
        <x:f>IF(OR(W766="unavailable",Y766="unavailable"),"不可评价",IF(AND(OR(W766="positive",W766="equivocal"),OR(Y766="positive",Y766="equivocal")),"a",IF(OR(Y766="positive",Y766="equivocal"),"b",IF(OR(W766="positive",W766="equivocal"),"c","d"))))</x:f>
        <x:v>d</x:v>
      </x:c>
      <x:c r="AF766" s="12" t="str">
        <x:f>IF(OR(W766="unavailable",Y766="unavailable"),"不可评价",IF(AND(W766="positive",Y766="positive"),"a",IF(Y766="positive","b",IF(W766="positive","c","d"))))</x:f>
        <x:v>d</x:v>
      </x:c>
    </x:row>
    <x:row r="767" ht="24" customHeight="1">
      <x:c r="A767" s="12" t="str">
        <x:v>6283</x:v>
      </x:c>
      <x:c r="B767" s="12" t="str">
        <x:v>17680</x:v>
      </x:c>
      <x:c r="C767" s="21" t="n">
        <x:v>33408.53711805555</x:v>
      </x:c>
      <x:c r="D767" s="12" t="n">
        <x:v>55</x:v>
      </x:c>
      <x:c r="E767" s="12" t="n">
        <x:v>1</x:v>
      </x:c>
      <x:c r="F767" s="12" t="str">
        <x:v>未记录</x:v>
      </x:c>
      <x:c r="G767" s="12" t="n">
        <x:v>1</x:v>
      </x:c>
      <x:c r="H767" s="12" t="str">
        <x:v>{'IMI': 15.0, 'ABQRS': 0.0, 'SR': 0.0}</x:v>
      </x:c>
      <x:c r="I767" s="12" t="str">
        <x:v>[('NSR', 100.0), ('NML', 100.0)]</x:v>
      </x:c>
      <x:c r="J767" s="12" t="str">
        <x:v>ptbxl_database.csv；ecg_id=6283；scp_codes</x:v>
      </x:c>
      <x:c r="K767" s="12" t="str">
        <x:v>12sl_statements.csv；ecg_id=6283；statements_ext_snomed</x:v>
      </x:c>
      <x:c r="L767" s="12"/>
      <x:c r="M767" s="12" t="str">
        <x:v>negative</x:v>
      </x:c>
      <x:c r="N767" s="12"/>
      <x:c r="O767" s="12" t="str">
        <x:v>negative</x:v>
      </x:c>
      <x:c r="P767" s="12" t="str">
        <x:f>IF(OR(M767="unavailable",O767="unavailable"),"不可评价",IF(OR(M767="equivocal",O767="equivocal"),"疑似",IF(AND(M767="positive",O767="positive"),"a",IF(O767="positive","b",IF(M767="positive","c","d")))))</x:f>
        <x:v>d</x:v>
      </x:c>
      <x:c r="Q767" s="12"/>
      <x:c r="R767" s="12" t="str">
        <x:v>negative</x:v>
      </x:c>
      <x:c r="S767" s="12"/>
      <x:c r="T767" s="12" t="str">
        <x:v>negative</x:v>
      </x:c>
      <x:c r="U767" s="12" t="str">
        <x:f>IF(OR(R767="unavailable",T767="unavailable"),"不可评价",IF(OR(R767="equivocal",T767="equivocal"),"疑似",IF(AND(R767="positive",T767="positive"),"a",IF(T767="positive","b",IF(R767="positive","c","d")))))</x:f>
        <x:v>d</x:v>
      </x:c>
      <x:c r="V767" s="12"/>
      <x:c r="W767" s="12" t="str">
        <x:v>negative</x:v>
      </x:c>
      <x:c r="X767" s="12"/>
      <x:c r="Y767" s="12" t="str">
        <x:v>negative</x:v>
      </x:c>
      <x:c r="Z767" s="12" t="str">
        <x:f>IF(OR(W767="unavailable",Y767="unavailable"),"不可评价",IF(OR(W767="equivocal",Y767="equivocal"),"疑似",IF(AND(W767="positive",Y767="positive"),"a",IF(Y767="positive","b",IF(W767="positive","c","d")))))</x:f>
        <x:v>d</x:v>
      </x:c>
      <x:c r="AA767" s="12" t="str">
        <x:f>IF(OR(M767="unavailable",O767="unavailable"),"不可评价",IF(AND(OR(M767="positive",M767="equivocal"),OR(O767="positive",O767="equivocal")),"a",IF(OR(O767="positive",O767="equivocal"),"b",IF(OR(M767="positive",M767="equivocal"),"c","d"))))</x:f>
        <x:v>d</x:v>
      </x:c>
      <x:c r="AB767" s="12" t="str">
        <x:f>IF(OR(M767="unavailable",O767="unavailable"),"不可评价",IF(AND(M767="positive",O767="positive"),"a",IF(O767="positive","b",IF(M767="positive","c","d"))))</x:f>
        <x:v>d</x:v>
      </x:c>
      <x:c r="AC767" s="12" t="str">
        <x:f>IF(OR(R767="unavailable",T767="unavailable"),"不可评价",IF(AND(OR(R767="positive",R767="equivocal"),OR(T767="positive",T767="equivocal")),"a",IF(OR(T767="positive",T767="equivocal"),"b",IF(OR(R767="positive",R767="equivocal"),"c","d"))))</x:f>
        <x:v>d</x:v>
      </x:c>
      <x:c r="AD767" s="12" t="str">
        <x:f>IF(OR(R767="unavailable",T767="unavailable"),"不可评价",IF(AND(R767="positive",T767="positive"),"a",IF(T767="positive","b",IF(R767="positive","c","d"))))</x:f>
        <x:v>d</x:v>
      </x:c>
      <x:c r="AE767" s="12" t="str">
        <x:f>IF(OR(W767="unavailable",Y767="unavailable"),"不可评价",IF(AND(OR(W767="positive",W767="equivocal"),OR(Y767="positive",Y767="equivocal")),"a",IF(OR(Y767="positive",Y767="equivocal"),"b",IF(OR(W767="positive",W767="equivocal"),"c","d"))))</x:f>
        <x:v>d</x:v>
      </x:c>
      <x:c r="AF767" s="12" t="str">
        <x:f>IF(OR(W767="unavailable",Y767="unavailable"),"不可评价",IF(AND(W767="positive",Y767="positive"),"a",IF(Y767="positive","b",IF(W767="positive","c","d"))))</x:f>
        <x:v>d</x:v>
      </x:c>
    </x:row>
    <x:row r="768" ht="24" customHeight="1">
      <x:c r="A768" s="12" t="str">
        <x:v>6284</x:v>
      </x:c>
      <x:c r="B768" s="12" t="str">
        <x:v>14287</x:v>
      </x:c>
      <x:c r="C768" s="21" t="n">
        <x:v>33409.41516203704</x:v>
      </x:c>
      <x:c r="D768" s="12" t="n">
        <x:v>38</x:v>
      </x:c>
      <x:c r="E768" s="12" t="n">
        <x:v>0</x:v>
      </x:c>
      <x:c r="F768" s="12" t="str">
        <x:v>未记录</x:v>
      </x:c>
      <x:c r="G768" s="12" t="n">
        <x:v>1</x:v>
      </x:c>
      <x:c r="H768" s="12" t="str">
        <x:v>{'IRBBB': 100.0, 'SR': 0.0}</x:v>
      </x:c>
      <x:c r="I768" s="12" t="str">
        <x:v>[('NSR', 100.0), ('LAE', 50.0), ('IRBBB', 100.0), ('BORDE', 100.0)]</x:v>
      </x:c>
      <x:c r="J768" s="12" t="str">
        <x:v>ptbxl_database.csv；ecg_id=6284；scp_codes</x:v>
      </x:c>
      <x:c r="K768" s="12" t="str">
        <x:v>12sl_statements.csv；ecg_id=6284；statements_ext_snomed</x:v>
      </x:c>
      <x:c r="L768" s="12"/>
      <x:c r="M768" s="12" t="str">
        <x:v>negative</x:v>
      </x:c>
      <x:c r="N768" s="12"/>
      <x:c r="O768" s="12" t="str">
        <x:v>negative</x:v>
      </x:c>
      <x:c r="P768" s="12" t="str">
        <x:f>IF(OR(M768="unavailable",O768="unavailable"),"不可评价",IF(OR(M768="equivocal",O768="equivocal"),"疑似",IF(AND(M768="positive",O768="positive"),"a",IF(O768="positive","b",IF(M768="positive","c","d")))))</x:f>
        <x:v>d</x:v>
      </x:c>
      <x:c r="Q768" s="12"/>
      <x:c r="R768" s="12" t="str">
        <x:v>negative</x:v>
      </x:c>
      <x:c r="S768" s="12"/>
      <x:c r="T768" s="12" t="str">
        <x:v>negative</x:v>
      </x:c>
      <x:c r="U768" s="12" t="str">
        <x:f>IF(OR(R768="unavailable",T768="unavailable"),"不可评价",IF(OR(R768="equivocal",T768="equivocal"),"疑似",IF(AND(R768="positive",T768="positive"),"a",IF(T768="positive","b",IF(R768="positive","c","d")))))</x:f>
        <x:v>d</x:v>
      </x:c>
      <x:c r="V768" s="12"/>
      <x:c r="W768" s="12" t="str">
        <x:v>negative</x:v>
      </x:c>
      <x:c r="X768" s="12"/>
      <x:c r="Y768" s="12" t="str">
        <x:v>negative</x:v>
      </x:c>
      <x:c r="Z768" s="12" t="str">
        <x:f>IF(OR(W768="unavailable",Y768="unavailable"),"不可评价",IF(OR(W768="equivocal",Y768="equivocal"),"疑似",IF(AND(W768="positive",Y768="positive"),"a",IF(Y768="positive","b",IF(W768="positive","c","d")))))</x:f>
        <x:v>d</x:v>
      </x:c>
      <x:c r="AA768" s="12" t="str">
        <x:f>IF(OR(M768="unavailable",O768="unavailable"),"不可评价",IF(AND(OR(M768="positive",M768="equivocal"),OR(O768="positive",O768="equivocal")),"a",IF(OR(O768="positive",O768="equivocal"),"b",IF(OR(M768="positive",M768="equivocal"),"c","d"))))</x:f>
        <x:v>d</x:v>
      </x:c>
      <x:c r="AB768" s="12" t="str">
        <x:f>IF(OR(M768="unavailable",O768="unavailable"),"不可评价",IF(AND(M768="positive",O768="positive"),"a",IF(O768="positive","b",IF(M768="positive","c","d"))))</x:f>
        <x:v>d</x:v>
      </x:c>
      <x:c r="AC768" s="12" t="str">
        <x:f>IF(OR(R768="unavailable",T768="unavailable"),"不可评价",IF(AND(OR(R768="positive",R768="equivocal"),OR(T768="positive",T768="equivocal")),"a",IF(OR(T768="positive",T768="equivocal"),"b",IF(OR(R768="positive",R768="equivocal"),"c","d"))))</x:f>
        <x:v>d</x:v>
      </x:c>
      <x:c r="AD768" s="12" t="str">
        <x:f>IF(OR(R768="unavailable",T768="unavailable"),"不可评价",IF(AND(R768="positive",T768="positive"),"a",IF(T768="positive","b",IF(R768="positive","c","d"))))</x:f>
        <x:v>d</x:v>
      </x:c>
      <x:c r="AE768" s="12" t="str">
        <x:f>IF(OR(W768="unavailable",Y768="unavailable"),"不可评价",IF(AND(OR(W768="positive",W768="equivocal"),OR(Y768="positive",Y768="equivocal")),"a",IF(OR(Y768="positive",Y768="equivocal"),"b",IF(OR(W768="positive",W768="equivocal"),"c","d"))))</x:f>
        <x:v>d</x:v>
      </x:c>
      <x:c r="AF768" s="12" t="str">
        <x:f>IF(OR(W768="unavailable",Y768="unavailable"),"不可评价",IF(AND(W768="positive",Y768="positive"),"a",IF(Y768="positive","b",IF(W768="positive","c","d"))))</x:f>
        <x:v>d</x:v>
      </x:c>
    </x:row>
    <x:row r="769" ht="24" customHeight="1">
      <x:c r="A769" s="12" t="str">
        <x:v>6295</x:v>
      </x:c>
      <x:c r="B769" s="12" t="str">
        <x:v>406</x:v>
      </x:c>
      <x:c r="C769" s="21" t="n">
        <x:v>33413.422268518516</x:v>
      </x:c>
      <x:c r="D769" s="12" t="n">
        <x:v>52</x:v>
      </x:c>
      <x:c r="E769" s="12" t="n">
        <x:v>0</x:v>
      </x:c>
      <x:c r="F769" s="12" t="str">
        <x:v>未记录</x:v>
      </x:c>
      <x:c r="G769" s="12" t="n">
        <x:v>1</x:v>
      </x:c>
      <x:c r="H769" s="12" t="str">
        <x:v>{'NORM': 100.0, 'SR': 0.0}</x:v>
      </x:c>
      <x:c r="I769" s="12" t="str">
        <x:v>[('NSR', 100.0), ('IRBBB', 100.0), ('BORDE', 100.0)]</x:v>
      </x:c>
      <x:c r="J769" s="12" t="str">
        <x:v>ptbxl_database.csv；ecg_id=6295；scp_codes</x:v>
      </x:c>
      <x:c r="K769" s="12" t="str">
        <x:v>12sl_statements.csv；ecg_id=6295；statements_ext_snomed</x:v>
      </x:c>
      <x:c r="L769" s="12"/>
      <x:c r="M769" s="12" t="str">
        <x:v>negative</x:v>
      </x:c>
      <x:c r="N769" s="12"/>
      <x:c r="O769" s="12" t="str">
        <x:v>negative</x:v>
      </x:c>
      <x:c r="P769" s="12" t="str">
        <x:f>IF(OR(M769="unavailable",O769="unavailable"),"不可评价",IF(OR(M769="equivocal",O769="equivocal"),"疑似",IF(AND(M769="positive",O769="positive"),"a",IF(O769="positive","b",IF(M769="positive","c","d")))))</x:f>
        <x:v>d</x:v>
      </x:c>
      <x:c r="Q769" s="12"/>
      <x:c r="R769" s="12" t="str">
        <x:v>negative</x:v>
      </x:c>
      <x:c r="S769" s="12"/>
      <x:c r="T769" s="12" t="str">
        <x:v>negative</x:v>
      </x:c>
      <x:c r="U769" s="12" t="str">
        <x:f>IF(OR(R769="unavailable",T769="unavailable"),"不可评价",IF(OR(R769="equivocal",T769="equivocal"),"疑似",IF(AND(R769="positive",T769="positive"),"a",IF(T769="positive","b",IF(R769="positive","c","d")))))</x:f>
        <x:v>d</x:v>
      </x:c>
      <x:c r="V769" s="12"/>
      <x:c r="W769" s="12" t="str">
        <x:v>negative</x:v>
      </x:c>
      <x:c r="X769" s="12"/>
      <x:c r="Y769" s="12" t="str">
        <x:v>negative</x:v>
      </x:c>
      <x:c r="Z769" s="12" t="str">
        <x:f>IF(OR(W769="unavailable",Y769="unavailable"),"不可评价",IF(OR(W769="equivocal",Y769="equivocal"),"疑似",IF(AND(W769="positive",Y769="positive"),"a",IF(Y769="positive","b",IF(W769="positive","c","d")))))</x:f>
        <x:v>d</x:v>
      </x:c>
      <x:c r="AA769" s="12" t="str">
        <x:f>IF(OR(M769="unavailable",O769="unavailable"),"不可评价",IF(AND(OR(M769="positive",M769="equivocal"),OR(O769="positive",O769="equivocal")),"a",IF(OR(O769="positive",O769="equivocal"),"b",IF(OR(M769="positive",M769="equivocal"),"c","d"))))</x:f>
        <x:v>d</x:v>
      </x:c>
      <x:c r="AB769" s="12" t="str">
        <x:f>IF(OR(M769="unavailable",O769="unavailable"),"不可评价",IF(AND(M769="positive",O769="positive"),"a",IF(O769="positive","b",IF(M769="positive","c","d"))))</x:f>
        <x:v>d</x:v>
      </x:c>
      <x:c r="AC769" s="12" t="str">
        <x:f>IF(OR(R769="unavailable",T769="unavailable"),"不可评价",IF(AND(OR(R769="positive",R769="equivocal"),OR(T769="positive",T769="equivocal")),"a",IF(OR(T769="positive",T769="equivocal"),"b",IF(OR(R769="positive",R769="equivocal"),"c","d"))))</x:f>
        <x:v>d</x:v>
      </x:c>
      <x:c r="AD769" s="12" t="str">
        <x:f>IF(OR(R769="unavailable",T769="unavailable"),"不可评价",IF(AND(R769="positive",T769="positive"),"a",IF(T769="positive","b",IF(R769="positive","c","d"))))</x:f>
        <x:v>d</x:v>
      </x:c>
      <x:c r="AE769" s="12" t="str">
        <x:f>IF(OR(W769="unavailable",Y769="unavailable"),"不可评价",IF(AND(OR(W769="positive",W769="equivocal"),OR(Y769="positive",Y769="equivocal")),"a",IF(OR(Y769="positive",Y769="equivocal"),"b",IF(OR(W769="positive",W769="equivocal"),"c","d"))))</x:f>
        <x:v>d</x:v>
      </x:c>
      <x:c r="AF769" s="12" t="str">
        <x:f>IF(OR(W769="unavailable",Y769="unavailable"),"不可评价",IF(AND(W769="positive",Y769="positive"),"a",IF(Y769="positive","b",IF(W769="positive","c","d"))))</x:f>
        <x:v>d</x:v>
      </x:c>
    </x:row>
    <x:row r="770" ht="24" customHeight="1">
      <x:c r="A770" s="12" t="str">
        <x:v>6304</x:v>
      </x:c>
      <x:c r="B770" s="12" t="str">
        <x:v>308</x:v>
      </x:c>
      <x:c r="C770" s="21" t="n">
        <x:v>33414.49883101852</x:v>
      </x:c>
      <x:c r="D770" s="12" t="n">
        <x:v>71</x:v>
      </x:c>
      <x:c r="E770" s="12" t="n">
        <x:v>1</x:v>
      </x:c>
      <x:c r="F770" s="12" t="str">
        <x:v>存在</x:v>
      </x:c>
      <x:c r="G770" s="12" t="n">
        <x:v>1</x:v>
      </x:c>
      <x:c r="H770" s="12" t="str">
        <x:v>{'NDT': 100.0, 'SR': 0.0}</x:v>
      </x:c>
      <x:c r="I770" s="12" t="str">
        <x:v>[('NSR', 100.0), ('LVH2', 100.0), ('2ST', 100.0), ('AB', 100.0)]</x:v>
      </x:c>
      <x:c r="J770" s="12" t="str">
        <x:v>ptbxl_database.csv；ecg_id=6304；scp_codes</x:v>
      </x:c>
      <x:c r="K770" s="12" t="str">
        <x:v>12sl_statements.csv；ecg_id=6304；statements_ext_snomed</x:v>
      </x:c>
      <x:c r="L770" s="12"/>
      <x:c r="M770" s="12" t="str">
        <x:v>negative</x:v>
      </x:c>
      <x:c r="N770" s="12"/>
      <x:c r="O770" s="12" t="str">
        <x:v>negative</x:v>
      </x:c>
      <x:c r="P770" s="12" t="str">
        <x:f>IF(OR(M770="unavailable",O770="unavailable"),"不可评价",IF(OR(M770="equivocal",O770="equivocal"),"疑似",IF(AND(M770="positive",O770="positive"),"a",IF(O770="positive","b",IF(M770="positive","c","d")))))</x:f>
        <x:v>d</x:v>
      </x:c>
      <x:c r="Q770" s="12"/>
      <x:c r="R770" s="12" t="str">
        <x:v>negative</x:v>
      </x:c>
      <x:c r="S770" s="12"/>
      <x:c r="T770" s="12" t="str">
        <x:v>negative</x:v>
      </x:c>
      <x:c r="U770" s="12" t="str">
        <x:f>IF(OR(R770="unavailable",T770="unavailable"),"不可评价",IF(OR(R770="equivocal",T770="equivocal"),"疑似",IF(AND(R770="positive",T770="positive"),"a",IF(T770="positive","b",IF(R770="positive","c","d")))))</x:f>
        <x:v>d</x:v>
      </x:c>
      <x:c r="V770" s="12"/>
      <x:c r="W770" s="12" t="str">
        <x:v>negative</x:v>
      </x:c>
      <x:c r="X770" s="12"/>
      <x:c r="Y770" s="12" t="str">
        <x:v>negative</x:v>
      </x:c>
      <x:c r="Z770" s="12" t="str">
        <x:f>IF(OR(W770="unavailable",Y770="unavailable"),"不可评价",IF(OR(W770="equivocal",Y770="equivocal"),"疑似",IF(AND(W770="positive",Y770="positive"),"a",IF(Y770="positive","b",IF(W770="positive","c","d")))))</x:f>
        <x:v>d</x:v>
      </x:c>
      <x:c r="AA770" s="12" t="str">
        <x:f>IF(OR(M770="unavailable",O770="unavailable"),"不可评价",IF(AND(OR(M770="positive",M770="equivocal"),OR(O770="positive",O770="equivocal")),"a",IF(OR(O770="positive",O770="equivocal"),"b",IF(OR(M770="positive",M770="equivocal"),"c","d"))))</x:f>
        <x:v>d</x:v>
      </x:c>
      <x:c r="AB770" s="12" t="str">
        <x:f>IF(OR(M770="unavailable",O770="unavailable"),"不可评价",IF(AND(M770="positive",O770="positive"),"a",IF(O770="positive","b",IF(M770="positive","c","d"))))</x:f>
        <x:v>d</x:v>
      </x:c>
      <x:c r="AC770" s="12" t="str">
        <x:f>IF(OR(R770="unavailable",T770="unavailable"),"不可评价",IF(AND(OR(R770="positive",R770="equivocal"),OR(T770="positive",T770="equivocal")),"a",IF(OR(T770="positive",T770="equivocal"),"b",IF(OR(R770="positive",R770="equivocal"),"c","d"))))</x:f>
        <x:v>d</x:v>
      </x:c>
      <x:c r="AD770" s="12" t="str">
        <x:f>IF(OR(R770="unavailable",T770="unavailable"),"不可评价",IF(AND(R770="positive",T770="positive"),"a",IF(T770="positive","b",IF(R770="positive","c","d"))))</x:f>
        <x:v>d</x:v>
      </x:c>
      <x:c r="AE770" s="12" t="str">
        <x:f>IF(OR(W770="unavailable",Y770="unavailable"),"不可评价",IF(AND(OR(W770="positive",W770="equivocal"),OR(Y770="positive",Y770="equivocal")),"a",IF(OR(Y770="positive",Y770="equivocal"),"b",IF(OR(W770="positive",W770="equivocal"),"c","d"))))</x:f>
        <x:v>d</x:v>
      </x:c>
      <x:c r="AF770" s="12" t="str">
        <x:f>IF(OR(W770="unavailable",Y770="unavailable"),"不可评价",IF(AND(W770="positive",Y770="positive"),"a",IF(Y770="positive","b",IF(W770="positive","c","d"))))</x:f>
        <x:v>d</x:v>
      </x:c>
    </x:row>
    <x:row r="771" ht="24" customHeight="1">
      <x:c r="A771" s="12" t="str">
        <x:v>6305</x:v>
      </x:c>
      <x:c r="B771" s="12" t="str">
        <x:v>13962</x:v>
      </x:c>
      <x:c r="C771" s="21" t="n">
        <x:v>33414.51478009259</x:v>
      </x:c>
      <x:c r="D771" s="12" t="n">
        <x:v>76</x:v>
      </x:c>
      <x:c r="E771" s="12" t="n">
        <x:v>1</x:v>
      </x:c>
      <x:c r="F771" s="12" t="str">
        <x:v>未记录</x:v>
      </x:c>
      <x:c r="G771" s="12" t="n">
        <x:v>1</x:v>
      </x:c>
      <x:c r="H771" s="12" t="str">
        <x:v>{'IMI': 15.0, 'LVOLT': 0.0, 'SR': 0.0}</x:v>
      </x:c>
      <x:c r="I771" s="12" t="str">
        <x:v>[('SRTH', 100.0), ('PSVC', 100.0), ('ABR', 100.0)]</x:v>
      </x:c>
      <x:c r="J771" s="12" t="str">
        <x:v>ptbxl_database.csv；ecg_id=6305；scp_codes</x:v>
      </x:c>
      <x:c r="K771" s="12" t="str">
        <x:v>12sl_statements.csv；ecg_id=6305；statements_ext_snomed</x:v>
      </x:c>
      <x:c r="L771" s="12"/>
      <x:c r="M771" s="12" t="str">
        <x:v>negative</x:v>
      </x:c>
      <x:c r="N771" s="12"/>
      <x:c r="O771" s="12" t="str">
        <x:v>negative</x:v>
      </x:c>
      <x:c r="P771" s="12" t="str">
        <x:f>IF(OR(M771="unavailable",O771="unavailable"),"不可评价",IF(OR(M771="equivocal",O771="equivocal"),"疑似",IF(AND(M771="positive",O771="positive"),"a",IF(O771="positive","b",IF(M771="positive","c","d")))))</x:f>
        <x:v>d</x:v>
      </x:c>
      <x:c r="Q771" s="12"/>
      <x:c r="R771" s="12" t="str">
        <x:v>negative</x:v>
      </x:c>
      <x:c r="S771" s="12"/>
      <x:c r="T771" s="12" t="str">
        <x:v>negative</x:v>
      </x:c>
      <x:c r="U771" s="12" t="str">
        <x:f>IF(OR(R771="unavailable",T771="unavailable"),"不可评价",IF(OR(R771="equivocal",T771="equivocal"),"疑似",IF(AND(R771="positive",T771="positive"),"a",IF(T771="positive","b",IF(R771="positive","c","d")))))</x:f>
        <x:v>d</x:v>
      </x:c>
      <x:c r="V771" s="12"/>
      <x:c r="W771" s="12" t="str">
        <x:v>negative</x:v>
      </x:c>
      <x:c r="X771" s="12"/>
      <x:c r="Y771" s="12" t="str">
        <x:v>negative</x:v>
      </x:c>
      <x:c r="Z771" s="12" t="str">
        <x:f>IF(OR(W771="unavailable",Y771="unavailable"),"不可评价",IF(OR(W771="equivocal",Y771="equivocal"),"疑似",IF(AND(W771="positive",Y771="positive"),"a",IF(Y771="positive","b",IF(W771="positive","c","d")))))</x:f>
        <x:v>d</x:v>
      </x:c>
      <x:c r="AA771" s="12" t="str">
        <x:f>IF(OR(M771="unavailable",O771="unavailable"),"不可评价",IF(AND(OR(M771="positive",M771="equivocal"),OR(O771="positive",O771="equivocal")),"a",IF(OR(O771="positive",O771="equivocal"),"b",IF(OR(M771="positive",M771="equivocal"),"c","d"))))</x:f>
        <x:v>d</x:v>
      </x:c>
      <x:c r="AB771" s="12" t="str">
        <x:f>IF(OR(M771="unavailable",O771="unavailable"),"不可评价",IF(AND(M771="positive",O771="positive"),"a",IF(O771="positive","b",IF(M771="positive","c","d"))))</x:f>
        <x:v>d</x:v>
      </x:c>
      <x:c r="AC771" s="12" t="str">
        <x:f>IF(OR(R771="unavailable",T771="unavailable"),"不可评价",IF(AND(OR(R771="positive",R771="equivocal"),OR(T771="positive",T771="equivocal")),"a",IF(OR(T771="positive",T771="equivocal"),"b",IF(OR(R771="positive",R771="equivocal"),"c","d"))))</x:f>
        <x:v>d</x:v>
      </x:c>
      <x:c r="AD771" s="12" t="str">
        <x:f>IF(OR(R771="unavailable",T771="unavailable"),"不可评价",IF(AND(R771="positive",T771="positive"),"a",IF(T771="positive","b",IF(R771="positive","c","d"))))</x:f>
        <x:v>d</x:v>
      </x:c>
      <x:c r="AE771" s="12" t="str">
        <x:f>IF(OR(W771="unavailable",Y771="unavailable"),"不可评价",IF(AND(OR(W771="positive",W771="equivocal"),OR(Y771="positive",Y771="equivocal")),"a",IF(OR(Y771="positive",Y771="equivocal"),"b",IF(OR(W771="positive",W771="equivocal"),"c","d"))))</x:f>
        <x:v>d</x:v>
      </x:c>
      <x:c r="AF771" s="12" t="str">
        <x:f>IF(OR(W771="unavailable",Y771="unavailable"),"不可评价",IF(AND(W771="positive",Y771="positive"),"a",IF(Y771="positive","b",IF(W771="positive","c","d"))))</x:f>
        <x:v>d</x:v>
      </x:c>
    </x:row>
    <x:row r="772" ht="24" customHeight="1">
      <x:c r="A772" s="12" t="str">
        <x:v>6312</x:v>
      </x:c>
      <x:c r="B772" s="12" t="str">
        <x:v>11448</x:v>
      </x:c>
      <x:c r="C772" s="21" t="n">
        <x:v>33415.35333333333</x:v>
      </x:c>
      <x:c r="D772" s="12" t="n">
        <x:v>21</x:v>
      </x:c>
      <x:c r="E772" s="12" t="n">
        <x:v>0</x:v>
      </x:c>
      <x:c r="F772" s="12" t="str">
        <x:v>存在</x:v>
      </x:c>
      <x:c r="G772" s="12" t="n">
        <x:v>1</x:v>
      </x:c>
      <x:c r="H772" s="12" t="str">
        <x:v>{'NORM': 80.0, 'SARRH': 0.0}</x:v>
      </x:c>
      <x:c r="I772" s="12" t="str">
        <x:v>[('SBRAD', 100.0), ('SAR', 100.0), ('ABR', 100.0)]</x:v>
      </x:c>
      <x:c r="J772" s="12" t="str">
        <x:v>ptbxl_database.csv；ecg_id=6312；scp_codes</x:v>
      </x:c>
      <x:c r="K772" s="12" t="str">
        <x:v>12sl_statements.csv；ecg_id=6312；statements_ext_snomed</x:v>
      </x:c>
      <x:c r="L772" s="12"/>
      <x:c r="M772" s="12" t="str">
        <x:v>negative</x:v>
      </x:c>
      <x:c r="N772" s="12"/>
      <x:c r="O772" s="12" t="str">
        <x:v>negative</x:v>
      </x:c>
      <x:c r="P772" s="12" t="str">
        <x:f>IF(OR(M772="unavailable",O772="unavailable"),"不可评价",IF(OR(M772="equivocal",O772="equivocal"),"疑似",IF(AND(M772="positive",O772="positive"),"a",IF(O772="positive","b",IF(M772="positive","c","d")))))</x:f>
        <x:v>d</x:v>
      </x:c>
      <x:c r="Q772" s="12"/>
      <x:c r="R772" s="12" t="str">
        <x:v>negative</x:v>
      </x:c>
      <x:c r="S772" s="12"/>
      <x:c r="T772" s="12" t="str">
        <x:v>negative</x:v>
      </x:c>
      <x:c r="U772" s="12" t="str">
        <x:f>IF(OR(R772="unavailable",T772="unavailable"),"不可评价",IF(OR(R772="equivocal",T772="equivocal"),"疑似",IF(AND(R772="positive",T772="positive"),"a",IF(T772="positive","b",IF(R772="positive","c","d")))))</x:f>
        <x:v>d</x:v>
      </x:c>
      <x:c r="V772" s="12"/>
      <x:c r="W772" s="12" t="str">
        <x:v>negative</x:v>
      </x:c>
      <x:c r="X772" s="12"/>
      <x:c r="Y772" s="12" t="str">
        <x:v>negative</x:v>
      </x:c>
      <x:c r="Z772" s="12" t="str">
        <x:f>IF(OR(W772="unavailable",Y772="unavailable"),"不可评价",IF(OR(W772="equivocal",Y772="equivocal"),"疑似",IF(AND(W772="positive",Y772="positive"),"a",IF(Y772="positive","b",IF(W772="positive","c","d")))))</x:f>
        <x:v>d</x:v>
      </x:c>
      <x:c r="AA772" s="12" t="str">
        <x:f>IF(OR(M772="unavailable",O772="unavailable"),"不可评价",IF(AND(OR(M772="positive",M772="equivocal"),OR(O772="positive",O772="equivocal")),"a",IF(OR(O772="positive",O772="equivocal"),"b",IF(OR(M772="positive",M772="equivocal"),"c","d"))))</x:f>
        <x:v>d</x:v>
      </x:c>
      <x:c r="AB772" s="12" t="str">
        <x:f>IF(OR(M772="unavailable",O772="unavailable"),"不可评价",IF(AND(M772="positive",O772="positive"),"a",IF(O772="positive","b",IF(M772="positive","c","d"))))</x:f>
        <x:v>d</x:v>
      </x:c>
      <x:c r="AC772" s="12" t="str">
        <x:f>IF(OR(R772="unavailable",T772="unavailable"),"不可评价",IF(AND(OR(R772="positive",R772="equivocal"),OR(T772="positive",T772="equivocal")),"a",IF(OR(T772="positive",T772="equivocal"),"b",IF(OR(R772="positive",R772="equivocal"),"c","d"))))</x:f>
        <x:v>d</x:v>
      </x:c>
      <x:c r="AD772" s="12" t="str">
        <x:f>IF(OR(R772="unavailable",T772="unavailable"),"不可评价",IF(AND(R772="positive",T772="positive"),"a",IF(T772="positive","b",IF(R772="positive","c","d"))))</x:f>
        <x:v>d</x:v>
      </x:c>
      <x:c r="AE772" s="12" t="str">
        <x:f>IF(OR(W772="unavailable",Y772="unavailable"),"不可评价",IF(AND(OR(W772="positive",W772="equivocal"),OR(Y772="positive",Y772="equivocal")),"a",IF(OR(Y772="positive",Y772="equivocal"),"b",IF(OR(W772="positive",W772="equivocal"),"c","d"))))</x:f>
        <x:v>d</x:v>
      </x:c>
      <x:c r="AF772" s="12" t="str">
        <x:f>IF(OR(W772="unavailable",Y772="unavailable"),"不可评价",IF(AND(W772="positive",Y772="positive"),"a",IF(Y772="positive","b",IF(W772="positive","c","d"))))</x:f>
        <x:v>d</x:v>
      </x:c>
    </x:row>
    <x:row r="773" ht="39" customHeight="1">
      <x:c r="A773" s="12" t="str">
        <x:v>6313</x:v>
      </x:c>
      <x:c r="B773" s="12" t="str">
        <x:v>5039</x:v>
      </x:c>
      <x:c r="C773" s="21" t="n">
        <x:v>33415.417858796296</x:v>
      </x:c>
      <x:c r="D773" s="12" t="n">
        <x:v>300</x:v>
      </x:c>
      <x:c r="E773" s="12" t="n">
        <x:v>1</x:v>
      </x:c>
      <x:c r="F773" s="12" t="str">
        <x:v>未记录</x:v>
      </x:c>
      <x:c r="G773" s="12" t="n">
        <x:v>1</x:v>
      </x:c>
      <x:c r="H773" s="12" t="str">
        <x:v>{'IMI': 80.0, 'NDT': 100.0, '1AVB': 100.0, 'LPR': 0.0, 'QWAVE': 0.0, 'LOWT': 0.0}</x:v>
      </x:c>
      <x:c r="I773" s="12" t="str">
        <x:v>[('SRTH', 100.0), ('MSAR', 100.0), ('FAV', 100.0), ('IMI;AU', 100.0), ('AB', 100.0)]</x:v>
      </x:c>
      <x:c r="J773" s="12" t="str">
        <x:v>ptbxl_database.csv；ecg_id=6313；scp_codes</x:v>
      </x:c>
      <x:c r="K773" s="12" t="str">
        <x:v>12sl_statements.csv；ecg_id=6313；statements_ext_snomed</x:v>
      </x:c>
      <x:c r="L773" s="12"/>
      <x:c r="M773" s="12" t="str">
        <x:v>negative</x:v>
      </x:c>
      <x:c r="N773" s="12"/>
      <x:c r="O773" s="12" t="str">
        <x:v>negative</x:v>
      </x:c>
      <x:c r="P773" s="12" t="str">
        <x:f>IF(OR(M773="unavailable",O773="unavailable"),"不可评价",IF(OR(M773="equivocal",O773="equivocal"),"疑似",IF(AND(M773="positive",O773="positive"),"a",IF(O773="positive","b",IF(M773="positive","c","d")))))</x:f>
        <x:v>d</x:v>
      </x:c>
      <x:c r="Q773" s="12"/>
      <x:c r="R773" s="12" t="str">
        <x:v>negative</x:v>
      </x:c>
      <x:c r="S773" s="12"/>
      <x:c r="T773" s="12" t="str">
        <x:v>negative</x:v>
      </x:c>
      <x:c r="U773" s="12" t="str">
        <x:f>IF(OR(R773="unavailable",T773="unavailable"),"不可评价",IF(OR(R773="equivocal",T773="equivocal"),"疑似",IF(AND(R773="positive",T773="positive"),"a",IF(T773="positive","b",IF(R773="positive","c","d")))))</x:f>
        <x:v>d</x:v>
      </x:c>
      <x:c r="V773" s="12"/>
      <x:c r="W773" s="12" t="str">
        <x:v>negative</x:v>
      </x:c>
      <x:c r="X773" s="12"/>
      <x:c r="Y773" s="12" t="str">
        <x:v>negative</x:v>
      </x:c>
      <x:c r="Z773" s="12" t="str">
        <x:f>IF(OR(W773="unavailable",Y773="unavailable"),"不可评价",IF(OR(W773="equivocal",Y773="equivocal"),"疑似",IF(AND(W773="positive",Y773="positive"),"a",IF(Y773="positive","b",IF(W773="positive","c","d")))))</x:f>
        <x:v>d</x:v>
      </x:c>
      <x:c r="AA773" s="12" t="str">
        <x:f>IF(OR(M773="unavailable",O773="unavailable"),"不可评价",IF(AND(OR(M773="positive",M773="equivocal"),OR(O773="positive",O773="equivocal")),"a",IF(OR(O773="positive",O773="equivocal"),"b",IF(OR(M773="positive",M773="equivocal"),"c","d"))))</x:f>
        <x:v>d</x:v>
      </x:c>
      <x:c r="AB773" s="12" t="str">
        <x:f>IF(OR(M773="unavailable",O773="unavailable"),"不可评价",IF(AND(M773="positive",O773="positive"),"a",IF(O773="positive","b",IF(M773="positive","c","d"))))</x:f>
        <x:v>d</x:v>
      </x:c>
      <x:c r="AC773" s="12" t="str">
        <x:f>IF(OR(R773="unavailable",T773="unavailable"),"不可评价",IF(AND(OR(R773="positive",R773="equivocal"),OR(T773="positive",T773="equivocal")),"a",IF(OR(T773="positive",T773="equivocal"),"b",IF(OR(R773="positive",R773="equivocal"),"c","d"))))</x:f>
        <x:v>d</x:v>
      </x:c>
      <x:c r="AD773" s="12" t="str">
        <x:f>IF(OR(R773="unavailable",T773="unavailable"),"不可评价",IF(AND(R773="positive",T773="positive"),"a",IF(T773="positive","b",IF(R773="positive","c","d"))))</x:f>
        <x:v>d</x:v>
      </x:c>
      <x:c r="AE773" s="12" t="str">
        <x:f>IF(OR(W773="unavailable",Y773="unavailable"),"不可评价",IF(AND(OR(W773="positive",W773="equivocal"),OR(Y773="positive",Y773="equivocal")),"a",IF(OR(Y773="positive",Y773="equivocal"),"b",IF(OR(W773="positive",W773="equivocal"),"c","d"))))</x:f>
        <x:v>d</x:v>
      </x:c>
      <x:c r="AF773" s="12" t="str">
        <x:f>IF(OR(W773="unavailable",Y773="unavailable"),"不可评价",IF(AND(W773="positive",Y773="positive"),"a",IF(Y773="positive","b",IF(W773="positive","c","d"))))</x:f>
        <x:v>d</x:v>
      </x:c>
    </x:row>
    <x:row r="774" ht="24" customHeight="1">
      <x:c r="A774" s="12" t="str">
        <x:v>6314</x:v>
      </x:c>
      <x:c r="B774" s="12" t="str">
        <x:v>13824</x:v>
      </x:c>
      <x:c r="C774" s="21" t="n">
        <x:v>33415.43293981482</x:v>
      </x:c>
      <x:c r="D774" s="12" t="n">
        <x:v>82</x:v>
      </x:c>
      <x:c r="E774" s="12" t="n">
        <x:v>1</x:v>
      </x:c>
      <x:c r="F774" s="12" t="str">
        <x:v>未记录</x:v>
      </x:c>
      <x:c r="G774" s="12" t="n">
        <x:v>1</x:v>
      </x:c>
      <x:c r="H774" s="12" t="str">
        <x:v>{'NDT': 100.0, 'SARRH': 0.0}</x:v>
      </x:c>
      <x:c r="I774" s="12" t="str">
        <x:v>[('SRTH', 100.0), ('MSAR', 100.0), ('NST', 100.0), ('LNGQT', 100.0), ('AB', 100.0)]</x:v>
      </x:c>
      <x:c r="J774" s="12" t="str">
        <x:v>ptbxl_database.csv；ecg_id=6314；scp_codes</x:v>
      </x:c>
      <x:c r="K774" s="12" t="str">
        <x:v>12sl_statements.csv；ecg_id=6314；statements_ext_snomed</x:v>
      </x:c>
      <x:c r="L774" s="12"/>
      <x:c r="M774" s="12" t="str">
        <x:v>negative</x:v>
      </x:c>
      <x:c r="N774" s="12"/>
      <x:c r="O774" s="12" t="str">
        <x:v>negative</x:v>
      </x:c>
      <x:c r="P774" s="12" t="str">
        <x:f>IF(OR(M774="unavailable",O774="unavailable"),"不可评价",IF(OR(M774="equivocal",O774="equivocal"),"疑似",IF(AND(M774="positive",O774="positive"),"a",IF(O774="positive","b",IF(M774="positive","c","d")))))</x:f>
        <x:v>d</x:v>
      </x:c>
      <x:c r="Q774" s="12"/>
      <x:c r="R774" s="12" t="str">
        <x:v>negative</x:v>
      </x:c>
      <x:c r="S774" s="12"/>
      <x:c r="T774" s="12" t="str">
        <x:v>negative</x:v>
      </x:c>
      <x:c r="U774" s="12" t="str">
        <x:f>IF(OR(R774="unavailable",T774="unavailable"),"不可评价",IF(OR(R774="equivocal",T774="equivocal"),"疑似",IF(AND(R774="positive",T774="positive"),"a",IF(T774="positive","b",IF(R774="positive","c","d")))))</x:f>
        <x:v>d</x:v>
      </x:c>
      <x:c r="V774" s="12"/>
      <x:c r="W774" s="12" t="str">
        <x:v>negative</x:v>
      </x:c>
      <x:c r="X774" s="12"/>
      <x:c r="Y774" s="12" t="str">
        <x:v>negative</x:v>
      </x:c>
      <x:c r="Z774" s="12" t="str">
        <x:f>IF(OR(W774="unavailable",Y774="unavailable"),"不可评价",IF(OR(W774="equivocal",Y774="equivocal"),"疑似",IF(AND(W774="positive",Y774="positive"),"a",IF(Y774="positive","b",IF(W774="positive","c","d")))))</x:f>
        <x:v>d</x:v>
      </x:c>
      <x:c r="AA774" s="12" t="str">
        <x:f>IF(OR(M774="unavailable",O774="unavailable"),"不可评价",IF(AND(OR(M774="positive",M774="equivocal"),OR(O774="positive",O774="equivocal")),"a",IF(OR(O774="positive",O774="equivocal"),"b",IF(OR(M774="positive",M774="equivocal"),"c","d"))))</x:f>
        <x:v>d</x:v>
      </x:c>
      <x:c r="AB774" s="12" t="str">
        <x:f>IF(OR(M774="unavailable",O774="unavailable"),"不可评价",IF(AND(M774="positive",O774="positive"),"a",IF(O774="positive","b",IF(M774="positive","c","d"))))</x:f>
        <x:v>d</x:v>
      </x:c>
      <x:c r="AC774" s="12" t="str">
        <x:f>IF(OR(R774="unavailable",T774="unavailable"),"不可评价",IF(AND(OR(R774="positive",R774="equivocal"),OR(T774="positive",T774="equivocal")),"a",IF(OR(T774="positive",T774="equivocal"),"b",IF(OR(R774="positive",R774="equivocal"),"c","d"))))</x:f>
        <x:v>d</x:v>
      </x:c>
      <x:c r="AD774" s="12" t="str">
        <x:f>IF(OR(R774="unavailable",T774="unavailable"),"不可评价",IF(AND(R774="positive",T774="positive"),"a",IF(T774="positive","b",IF(R774="positive","c","d"))))</x:f>
        <x:v>d</x:v>
      </x:c>
      <x:c r="AE774" s="12" t="str">
        <x:f>IF(OR(W774="unavailable",Y774="unavailable"),"不可评价",IF(AND(OR(W774="positive",W774="equivocal"),OR(Y774="positive",Y774="equivocal")),"a",IF(OR(Y774="positive",Y774="equivocal"),"b",IF(OR(W774="positive",W774="equivocal"),"c","d"))))</x:f>
        <x:v>d</x:v>
      </x:c>
      <x:c r="AF774" s="12" t="str">
        <x:f>IF(OR(W774="unavailable",Y774="unavailable"),"不可评价",IF(AND(W774="positive",Y774="positive"),"a",IF(Y774="positive","b",IF(W774="positive","c","d"))))</x:f>
        <x:v>d</x:v>
      </x:c>
    </x:row>
    <x:row r="775" ht="24" customHeight="1">
      <x:c r="A775" s="12" t="str">
        <x:v>6337</x:v>
      </x:c>
      <x:c r="B775" s="12" t="str">
        <x:v>12853</x:v>
      </x:c>
      <x:c r="C775" s="21" t="n">
        <x:v>33417.612222222226</x:v>
      </x:c>
      <x:c r="D775" s="12" t="n">
        <x:v>57</x:v>
      </x:c>
      <x:c r="E775" s="12" t="n">
        <x:v>0</x:v>
      </x:c>
      <x:c r="F775" s="12" t="str">
        <x:v>存在</x:v>
      </x:c>
      <x:c r="G775" s="12" t="n">
        <x:v>1</x:v>
      </x:c>
      <x:c r="H775" s="12" t="str">
        <x:v>{'ASMI': 100.0, 'ANEUR': 50.0, 'LVH': 50.0, 'ABQRS': 0.0, 'SR': 0.0}</x:v>
      </x:c>
      <x:c r="I775" s="12" t="str">
        <x:v>[('NSR', 100.0), ('AMI;AU', 100.0), ('ST&amp;', 100.0), ('LT', 100.0), ('AB', 100.0)]</x:v>
      </x:c>
      <x:c r="J775" s="12" t="str">
        <x:v>ptbxl_database.csv；ecg_id=6337；scp_codes</x:v>
      </x:c>
      <x:c r="K775" s="12" t="str">
        <x:v>12sl_statements.csv；ecg_id=6337；statements_ext_snomed</x:v>
      </x:c>
      <x:c r="L775" s="12"/>
      <x:c r="M775" s="12" t="str">
        <x:v>negative</x:v>
      </x:c>
      <x:c r="N775" s="12"/>
      <x:c r="O775" s="12" t="str">
        <x:v>negative</x:v>
      </x:c>
      <x:c r="P775" s="12" t="str">
        <x:f>IF(OR(M775="unavailable",O775="unavailable"),"不可评价",IF(OR(M775="equivocal",O775="equivocal"),"疑似",IF(AND(M775="positive",O775="positive"),"a",IF(O775="positive","b",IF(M775="positive","c","d")))))</x:f>
        <x:v>d</x:v>
      </x:c>
      <x:c r="Q775" s="12"/>
      <x:c r="R775" s="12" t="str">
        <x:v>negative</x:v>
      </x:c>
      <x:c r="S775" s="12"/>
      <x:c r="T775" s="12" t="str">
        <x:v>negative</x:v>
      </x:c>
      <x:c r="U775" s="12" t="str">
        <x:f>IF(OR(R775="unavailable",T775="unavailable"),"不可评价",IF(OR(R775="equivocal",T775="equivocal"),"疑似",IF(AND(R775="positive",T775="positive"),"a",IF(T775="positive","b",IF(R775="positive","c","d")))))</x:f>
        <x:v>d</x:v>
      </x:c>
      <x:c r="V775" s="12"/>
      <x:c r="W775" s="12" t="str">
        <x:v>negative</x:v>
      </x:c>
      <x:c r="X775" s="12"/>
      <x:c r="Y775" s="12" t="str">
        <x:v>negative</x:v>
      </x:c>
      <x:c r="Z775" s="12" t="str">
        <x:f>IF(OR(W775="unavailable",Y775="unavailable"),"不可评价",IF(OR(W775="equivocal",Y775="equivocal"),"疑似",IF(AND(W775="positive",Y775="positive"),"a",IF(Y775="positive","b",IF(W775="positive","c","d")))))</x:f>
        <x:v>d</x:v>
      </x:c>
      <x:c r="AA775" s="12" t="str">
        <x:f>IF(OR(M775="unavailable",O775="unavailable"),"不可评价",IF(AND(OR(M775="positive",M775="equivocal"),OR(O775="positive",O775="equivocal")),"a",IF(OR(O775="positive",O775="equivocal"),"b",IF(OR(M775="positive",M775="equivocal"),"c","d"))))</x:f>
        <x:v>d</x:v>
      </x:c>
      <x:c r="AB775" s="12" t="str">
        <x:f>IF(OR(M775="unavailable",O775="unavailable"),"不可评价",IF(AND(M775="positive",O775="positive"),"a",IF(O775="positive","b",IF(M775="positive","c","d"))))</x:f>
        <x:v>d</x:v>
      </x:c>
      <x:c r="AC775" s="12" t="str">
        <x:f>IF(OR(R775="unavailable",T775="unavailable"),"不可评价",IF(AND(OR(R775="positive",R775="equivocal"),OR(T775="positive",T775="equivocal")),"a",IF(OR(T775="positive",T775="equivocal"),"b",IF(OR(R775="positive",R775="equivocal"),"c","d"))))</x:f>
        <x:v>d</x:v>
      </x:c>
      <x:c r="AD775" s="12" t="str">
        <x:f>IF(OR(R775="unavailable",T775="unavailable"),"不可评价",IF(AND(R775="positive",T775="positive"),"a",IF(T775="positive","b",IF(R775="positive","c","d"))))</x:f>
        <x:v>d</x:v>
      </x:c>
      <x:c r="AE775" s="12" t="str">
        <x:f>IF(OR(W775="unavailable",Y775="unavailable"),"不可评价",IF(AND(OR(W775="positive",W775="equivocal"),OR(Y775="positive",Y775="equivocal")),"a",IF(OR(Y775="positive",Y775="equivocal"),"b",IF(OR(W775="positive",W775="equivocal"),"c","d"))))</x:f>
        <x:v>d</x:v>
      </x:c>
      <x:c r="AF775" s="12" t="str">
        <x:f>IF(OR(W775="unavailable",Y775="unavailable"),"不可评价",IF(AND(W775="positive",Y775="positive"),"a",IF(Y775="positive","b",IF(W775="positive","c","d"))))</x:f>
        <x:v>d</x:v>
      </x:c>
    </x:row>
    <x:row r="776" ht="24" customHeight="1">
      <x:c r="A776" s="12" t="str">
        <x:v>6341</x:v>
      </x:c>
      <x:c r="B776" s="12" t="str">
        <x:v>6614</x:v>
      </x:c>
      <x:c r="C776" s="21" t="n">
        <x:v>33419.35753472222</x:v>
      </x:c>
      <x:c r="D776" s="12" t="n">
        <x:v>67</x:v>
      </x:c>
      <x:c r="E776" s="12" t="n">
        <x:v>0</x:v>
      </x:c>
      <x:c r="F776" s="12" t="str">
        <x:v>未记录</x:v>
      </x:c>
      <x:c r="G776" s="12" t="n">
        <x:v>1</x:v>
      </x:c>
      <x:c r="H776" s="12" t="str">
        <x:v>{'NORM': 100.0, 'SR': 0.0}</x:v>
      </x:c>
      <x:c r="I776" s="12" t="str">
        <x:v>[('SRTH', 100.0), ('PSVC', 100.0), ('ABR', 100.0)]</x:v>
      </x:c>
      <x:c r="J776" s="12" t="str">
        <x:v>ptbxl_database.csv；ecg_id=6341；scp_codes</x:v>
      </x:c>
      <x:c r="K776" s="12" t="str">
        <x:v>12sl_statements.csv；ecg_id=6341；statements_ext_snomed</x:v>
      </x:c>
      <x:c r="L776" s="12"/>
      <x:c r="M776" s="12" t="str">
        <x:v>negative</x:v>
      </x:c>
      <x:c r="N776" s="12"/>
      <x:c r="O776" s="12" t="str">
        <x:v>negative</x:v>
      </x:c>
      <x:c r="P776" s="12" t="str">
        <x:f>IF(OR(M776="unavailable",O776="unavailable"),"不可评价",IF(OR(M776="equivocal",O776="equivocal"),"疑似",IF(AND(M776="positive",O776="positive"),"a",IF(O776="positive","b",IF(M776="positive","c","d")))))</x:f>
        <x:v>d</x:v>
      </x:c>
      <x:c r="Q776" s="12"/>
      <x:c r="R776" s="12" t="str">
        <x:v>negative</x:v>
      </x:c>
      <x:c r="S776" s="12"/>
      <x:c r="T776" s="12" t="str">
        <x:v>negative</x:v>
      </x:c>
      <x:c r="U776" s="12" t="str">
        <x:f>IF(OR(R776="unavailable",T776="unavailable"),"不可评价",IF(OR(R776="equivocal",T776="equivocal"),"疑似",IF(AND(R776="positive",T776="positive"),"a",IF(T776="positive","b",IF(R776="positive","c","d")))))</x:f>
        <x:v>d</x:v>
      </x:c>
      <x:c r="V776" s="12"/>
      <x:c r="W776" s="12" t="str">
        <x:v>negative</x:v>
      </x:c>
      <x:c r="X776" s="12"/>
      <x:c r="Y776" s="12" t="str">
        <x:v>negative</x:v>
      </x:c>
      <x:c r="Z776" s="12" t="str">
        <x:f>IF(OR(W776="unavailable",Y776="unavailable"),"不可评价",IF(OR(W776="equivocal",Y776="equivocal"),"疑似",IF(AND(W776="positive",Y776="positive"),"a",IF(Y776="positive","b",IF(W776="positive","c","d")))))</x:f>
        <x:v>d</x:v>
      </x:c>
      <x:c r="AA776" s="12" t="str">
        <x:f>IF(OR(M776="unavailable",O776="unavailable"),"不可评价",IF(AND(OR(M776="positive",M776="equivocal"),OR(O776="positive",O776="equivocal")),"a",IF(OR(O776="positive",O776="equivocal"),"b",IF(OR(M776="positive",M776="equivocal"),"c","d"))))</x:f>
        <x:v>d</x:v>
      </x:c>
      <x:c r="AB776" s="12" t="str">
        <x:f>IF(OR(M776="unavailable",O776="unavailable"),"不可评价",IF(AND(M776="positive",O776="positive"),"a",IF(O776="positive","b",IF(M776="positive","c","d"))))</x:f>
        <x:v>d</x:v>
      </x:c>
      <x:c r="AC776" s="12" t="str">
        <x:f>IF(OR(R776="unavailable",T776="unavailable"),"不可评价",IF(AND(OR(R776="positive",R776="equivocal"),OR(T776="positive",T776="equivocal")),"a",IF(OR(T776="positive",T776="equivocal"),"b",IF(OR(R776="positive",R776="equivocal"),"c","d"))))</x:f>
        <x:v>d</x:v>
      </x:c>
      <x:c r="AD776" s="12" t="str">
        <x:f>IF(OR(R776="unavailable",T776="unavailable"),"不可评价",IF(AND(R776="positive",T776="positive"),"a",IF(T776="positive","b",IF(R776="positive","c","d"))))</x:f>
        <x:v>d</x:v>
      </x:c>
      <x:c r="AE776" s="12" t="str">
        <x:f>IF(OR(W776="unavailable",Y776="unavailable"),"不可评价",IF(AND(OR(W776="positive",W776="equivocal"),OR(Y776="positive",Y776="equivocal")),"a",IF(OR(Y776="positive",Y776="equivocal"),"b",IF(OR(W776="positive",W776="equivocal"),"c","d"))))</x:f>
        <x:v>d</x:v>
      </x:c>
      <x:c r="AF776" s="12" t="str">
        <x:f>IF(OR(W776="unavailable",Y776="unavailable"),"不可评价",IF(AND(W776="positive",Y776="positive"),"a",IF(Y776="positive","b",IF(W776="positive","c","d"))))</x:f>
        <x:v>d</x:v>
      </x:c>
    </x:row>
    <x:row r="777" ht="24" customHeight="1">
      <x:c r="A777" s="12" t="str">
        <x:v>6350</x:v>
      </x:c>
      <x:c r="B777" s="12" t="str">
        <x:v>7308</x:v>
      </x:c>
      <x:c r="C777" s="21" t="n">
        <x:v>33419.61094907407</x:v>
      </x:c>
      <x:c r="D777" s="12" t="n">
        <x:v>72</x:v>
      </x:c>
      <x:c r="E777" s="12" t="n">
        <x:v>1</x:v>
      </x:c>
      <x:c r="F777" s="12" t="str">
        <x:v>未记录</x:v>
      </x:c>
      <x:c r="G777" s="12" t="n">
        <x:v>1</x:v>
      </x:c>
      <x:c r="H777" s="12" t="str">
        <x:v>{'ALMI': 100.0, 'ASMI': 100.0, 'ANEUR': 50.0, 'QWAVE': 0.0, 'SR': 0.0}</x:v>
      </x:c>
      <x:c r="I777" s="12" t="str">
        <x:v>[('NSR', 100.0), ('ALMI;AU', 100.0), ('AB', 100.0)]</x:v>
      </x:c>
      <x:c r="J777" s="12" t="str">
        <x:v>ptbxl_database.csv；ecg_id=6350；scp_codes</x:v>
      </x:c>
      <x:c r="K777" s="12" t="str">
        <x:v>12sl_statements.csv；ecg_id=6350；statements_ext_snomed</x:v>
      </x:c>
      <x:c r="L777" s="12"/>
      <x:c r="M777" s="12" t="str">
        <x:v>negative</x:v>
      </x:c>
      <x:c r="N777" s="12"/>
      <x:c r="O777" s="12" t="str">
        <x:v>negative</x:v>
      </x:c>
      <x:c r="P777" s="12" t="str">
        <x:f>IF(OR(M777="unavailable",O777="unavailable"),"不可评价",IF(OR(M777="equivocal",O777="equivocal"),"疑似",IF(AND(M777="positive",O777="positive"),"a",IF(O777="positive","b",IF(M777="positive","c","d")))))</x:f>
        <x:v>d</x:v>
      </x:c>
      <x:c r="Q777" s="12"/>
      <x:c r="R777" s="12" t="str">
        <x:v>negative</x:v>
      </x:c>
      <x:c r="S777" s="12"/>
      <x:c r="T777" s="12" t="str">
        <x:v>negative</x:v>
      </x:c>
      <x:c r="U777" s="12" t="str">
        <x:f>IF(OR(R777="unavailable",T777="unavailable"),"不可评价",IF(OR(R777="equivocal",T777="equivocal"),"疑似",IF(AND(R777="positive",T777="positive"),"a",IF(T777="positive","b",IF(R777="positive","c","d")))))</x:f>
        <x:v>d</x:v>
      </x:c>
      <x:c r="V777" s="12"/>
      <x:c r="W777" s="12" t="str">
        <x:v>negative</x:v>
      </x:c>
      <x:c r="X777" s="12"/>
      <x:c r="Y777" s="12" t="str">
        <x:v>negative</x:v>
      </x:c>
      <x:c r="Z777" s="12" t="str">
        <x:f>IF(OR(W777="unavailable",Y777="unavailable"),"不可评价",IF(OR(W777="equivocal",Y777="equivocal"),"疑似",IF(AND(W777="positive",Y777="positive"),"a",IF(Y777="positive","b",IF(W777="positive","c","d")))))</x:f>
        <x:v>d</x:v>
      </x:c>
      <x:c r="AA777" s="12" t="str">
        <x:f>IF(OR(M777="unavailable",O777="unavailable"),"不可评价",IF(AND(OR(M777="positive",M777="equivocal"),OR(O777="positive",O777="equivocal")),"a",IF(OR(O777="positive",O777="equivocal"),"b",IF(OR(M777="positive",M777="equivocal"),"c","d"))))</x:f>
        <x:v>d</x:v>
      </x:c>
      <x:c r="AB777" s="12" t="str">
        <x:f>IF(OR(M777="unavailable",O777="unavailable"),"不可评价",IF(AND(M777="positive",O777="positive"),"a",IF(O777="positive","b",IF(M777="positive","c","d"))))</x:f>
        <x:v>d</x:v>
      </x:c>
      <x:c r="AC777" s="12" t="str">
        <x:f>IF(OR(R777="unavailable",T777="unavailable"),"不可评价",IF(AND(OR(R777="positive",R777="equivocal"),OR(T777="positive",T777="equivocal")),"a",IF(OR(T777="positive",T777="equivocal"),"b",IF(OR(R777="positive",R777="equivocal"),"c","d"))))</x:f>
        <x:v>d</x:v>
      </x:c>
      <x:c r="AD777" s="12" t="str">
        <x:f>IF(OR(R777="unavailable",T777="unavailable"),"不可评价",IF(AND(R777="positive",T777="positive"),"a",IF(T777="positive","b",IF(R777="positive","c","d"))))</x:f>
        <x:v>d</x:v>
      </x:c>
      <x:c r="AE777" s="12" t="str">
        <x:f>IF(OR(W777="unavailable",Y777="unavailable"),"不可评价",IF(AND(OR(W777="positive",W777="equivocal"),OR(Y777="positive",Y777="equivocal")),"a",IF(OR(Y777="positive",Y777="equivocal"),"b",IF(OR(W777="positive",W777="equivocal"),"c","d"))))</x:f>
        <x:v>d</x:v>
      </x:c>
      <x:c r="AF777" s="12" t="str">
        <x:f>IF(OR(W777="unavailable",Y777="unavailable"),"不可评价",IF(AND(W777="positive",Y777="positive"),"a",IF(Y777="positive","b",IF(W777="positive","c","d"))))</x:f>
        <x:v>d</x:v>
      </x:c>
    </x:row>
    <x:row r="778" ht="39" customHeight="1">
      <x:c r="A778" s="12" t="str">
        <x:v>6352</x:v>
      </x:c>
      <x:c r="B778" s="12" t="str">
        <x:v>6722</x:v>
      </x:c>
      <x:c r="C778" s="21" t="n">
        <x:v>33420.32234953704</x:v>
      </x:c>
      <x:c r="D778" s="12" t="n">
        <x:v>79</x:v>
      </x:c>
      <x:c r="E778" s="12" t="n">
        <x:v>1</x:v>
      </x:c>
      <x:c r="F778" s="12" t="str">
        <x:v>未记录</x:v>
      </x:c>
      <x:c r="G778" s="12" t="n">
        <x:v>1</x:v>
      </x:c>
      <x:c r="H778" s="12" t="str">
        <x:v>{'LAFB': 100.0, 'NDT': 100.0, 'AFIB': 0.0}</x:v>
      </x:c>
      <x:c r="I778" s="12" t="str">
        <x:v>[('AFIB', 100.0), ('SVR', 100.0), ('LAD3', 100.0), ('IVCD', 100.0), ('NSTT', 100.0), ('AB', 100.0)]</x:v>
      </x:c>
      <x:c r="J778" s="12" t="str">
        <x:v>ptbxl_database.csv；ecg_id=6352；scp_codes</x:v>
      </x:c>
      <x:c r="K778" s="12" t="str">
        <x:v>12sl_statements.csv；ecg_id=6352；statements_ext_snomed</x:v>
      </x:c>
      <x:c r="L778" s="12" t="n">
        <x:v>0</x:v>
      </x:c>
      <x:c r="M778" s="12" t="str">
        <x:v>positive</x:v>
      </x:c>
      <x:c r="N778" s="12" t="n">
        <x:v>100</x:v>
      </x:c>
      <x:c r="O778" s="12" t="str">
        <x:v>positive</x:v>
      </x:c>
      <x:c r="P778" s="12" t="str">
        <x:f>IF(OR(M778="unavailable",O778="unavailable"),"不可评价",IF(OR(M778="equivocal",O778="equivocal"),"疑似",IF(AND(M778="positive",O778="positive"),"a",IF(O778="positive","b",IF(M778="positive","c","d")))))</x:f>
        <x:v>a</x:v>
      </x:c>
      <x:c r="Q778" s="12"/>
      <x:c r="R778" s="12" t="str">
        <x:v>negative</x:v>
      </x:c>
      <x:c r="S778" s="12"/>
      <x:c r="T778" s="12" t="str">
        <x:v>negative</x:v>
      </x:c>
      <x:c r="U778" s="12" t="str">
        <x:f>IF(OR(R778="unavailable",T778="unavailable"),"不可评价",IF(OR(R778="equivocal",T778="equivocal"),"疑似",IF(AND(R778="positive",T778="positive"),"a",IF(T778="positive","b",IF(R778="positive","c","d")))))</x:f>
        <x:v>d</x:v>
      </x:c>
      <x:c r="V778" s="12"/>
      <x:c r="W778" s="12" t="str">
        <x:v>negative</x:v>
      </x:c>
      <x:c r="X778" s="12"/>
      <x:c r="Y778" s="12" t="str">
        <x:v>negative</x:v>
      </x:c>
      <x:c r="Z778" s="12" t="str">
        <x:f>IF(OR(W778="unavailable",Y778="unavailable"),"不可评价",IF(OR(W778="equivocal",Y778="equivocal"),"疑似",IF(AND(W778="positive",Y778="positive"),"a",IF(Y778="positive","b",IF(W778="positive","c","d")))))</x:f>
        <x:v>d</x:v>
      </x:c>
      <x:c r="AA778" s="12" t="str">
        <x:f>IF(OR(M778="unavailable",O778="unavailable"),"不可评价",IF(AND(OR(M778="positive",M778="equivocal"),OR(O778="positive",O778="equivocal")),"a",IF(OR(O778="positive",O778="equivocal"),"b",IF(OR(M778="positive",M778="equivocal"),"c","d"))))</x:f>
        <x:v>a</x:v>
      </x:c>
      <x:c r="AB778" s="12" t="str">
        <x:f>IF(OR(M778="unavailable",O778="unavailable"),"不可评价",IF(AND(M778="positive",O778="positive"),"a",IF(O778="positive","b",IF(M778="positive","c","d"))))</x:f>
        <x:v>a</x:v>
      </x:c>
      <x:c r="AC778" s="12" t="str">
        <x:f>IF(OR(R778="unavailable",T778="unavailable"),"不可评价",IF(AND(OR(R778="positive",R778="equivocal"),OR(T778="positive",T778="equivocal")),"a",IF(OR(T778="positive",T778="equivocal"),"b",IF(OR(R778="positive",R778="equivocal"),"c","d"))))</x:f>
        <x:v>d</x:v>
      </x:c>
      <x:c r="AD778" s="12" t="str">
        <x:f>IF(OR(R778="unavailable",T778="unavailable"),"不可评价",IF(AND(R778="positive",T778="positive"),"a",IF(T778="positive","b",IF(R778="positive","c","d"))))</x:f>
        <x:v>d</x:v>
      </x:c>
      <x:c r="AE778" s="12" t="str">
        <x:f>IF(OR(W778="unavailable",Y778="unavailable"),"不可评价",IF(AND(OR(W778="positive",W778="equivocal"),OR(Y778="positive",Y778="equivocal")),"a",IF(OR(Y778="positive",Y778="equivocal"),"b",IF(OR(W778="positive",W778="equivocal"),"c","d"))))</x:f>
        <x:v>d</x:v>
      </x:c>
      <x:c r="AF778" s="12" t="str">
        <x:f>IF(OR(W778="unavailable",Y778="unavailable"),"不可评价",IF(AND(W778="positive",Y778="positive"),"a",IF(Y778="positive","b",IF(W778="positive","c","d"))))</x:f>
        <x:v>d</x:v>
      </x:c>
    </x:row>
    <x:row r="779" ht="24" customHeight="1">
      <x:c r="A779" s="12" t="str">
        <x:v>6353</x:v>
      </x:c>
      <x:c r="B779" s="12" t="str">
        <x:v>308</x:v>
      </x:c>
      <x:c r="C779" s="21" t="n">
        <x:v>33420.350752314815</x:v>
      </x:c>
      <x:c r="D779" s="12" t="n">
        <x:v>71</x:v>
      </x:c>
      <x:c r="E779" s="12" t="n">
        <x:v>1</x:v>
      </x:c>
      <x:c r="F779" s="12" t="str">
        <x:v>未记录</x:v>
      </x:c>
      <x:c r="G779" s="12" t="n">
        <x:v>0</x:v>
      </x:c>
      <x:c r="H779" s="12" t="str">
        <x:v>{'IMI': 80.0, 'LVH': 100.0, 'ISC_': 80.0}</x:v>
      </x:c>
      <x:c r="I779" s="12" t="str">
        <x:v>[('SBRAD', 100.0), ('LVH2', 100.0), ('2ST', 100.0), ('LNGQT', 100.0), ('AB', 100.0)]</x:v>
      </x:c>
      <x:c r="J779" s="12" t="str">
        <x:v>ptbxl_database.csv；ecg_id=6353；scp_codes</x:v>
      </x:c>
      <x:c r="K779" s="12" t="str">
        <x:v>12sl_statements.csv；ecg_id=6353；statements_ext_snomed</x:v>
      </x:c>
      <x:c r="L779" s="12"/>
      <x:c r="M779" s="12" t="str">
        <x:v>negative</x:v>
      </x:c>
      <x:c r="N779" s="12"/>
      <x:c r="O779" s="12" t="str">
        <x:v>negative</x:v>
      </x:c>
      <x:c r="P779" s="12" t="str">
        <x:f>IF(OR(M779="unavailable",O779="unavailable"),"不可评价",IF(OR(M779="equivocal",O779="equivocal"),"疑似",IF(AND(M779="positive",O779="positive"),"a",IF(O779="positive","b",IF(M779="positive","c","d")))))</x:f>
        <x:v>d</x:v>
      </x:c>
      <x:c r="Q779" s="12"/>
      <x:c r="R779" s="12" t="str">
        <x:v>negative</x:v>
      </x:c>
      <x:c r="S779" s="12"/>
      <x:c r="T779" s="12" t="str">
        <x:v>negative</x:v>
      </x:c>
      <x:c r="U779" s="12" t="str">
        <x:f>IF(OR(R779="unavailable",T779="unavailable"),"不可评价",IF(OR(R779="equivocal",T779="equivocal"),"疑似",IF(AND(R779="positive",T779="positive"),"a",IF(T779="positive","b",IF(R779="positive","c","d")))))</x:f>
        <x:v>d</x:v>
      </x:c>
      <x:c r="V779" s="12"/>
      <x:c r="W779" s="12" t="str">
        <x:v>negative</x:v>
      </x:c>
      <x:c r="X779" s="12"/>
      <x:c r="Y779" s="12" t="str">
        <x:v>negative</x:v>
      </x:c>
      <x:c r="Z779" s="12" t="str">
        <x:f>IF(OR(W779="unavailable",Y779="unavailable"),"不可评价",IF(OR(W779="equivocal",Y779="equivocal"),"疑似",IF(AND(W779="positive",Y779="positive"),"a",IF(Y779="positive","b",IF(W779="positive","c","d")))))</x:f>
        <x:v>d</x:v>
      </x:c>
      <x:c r="AA779" s="12" t="str">
        <x:f>IF(OR(M779="unavailable",O779="unavailable"),"不可评价",IF(AND(OR(M779="positive",M779="equivocal"),OR(O779="positive",O779="equivocal")),"a",IF(OR(O779="positive",O779="equivocal"),"b",IF(OR(M779="positive",M779="equivocal"),"c","d"))))</x:f>
        <x:v>d</x:v>
      </x:c>
      <x:c r="AB779" s="12" t="str">
        <x:f>IF(OR(M779="unavailable",O779="unavailable"),"不可评价",IF(AND(M779="positive",O779="positive"),"a",IF(O779="positive","b",IF(M779="positive","c","d"))))</x:f>
        <x:v>d</x:v>
      </x:c>
      <x:c r="AC779" s="12" t="str">
        <x:f>IF(OR(R779="unavailable",T779="unavailable"),"不可评价",IF(AND(OR(R779="positive",R779="equivocal"),OR(T779="positive",T779="equivocal")),"a",IF(OR(T779="positive",T779="equivocal"),"b",IF(OR(R779="positive",R779="equivocal"),"c","d"))))</x:f>
        <x:v>d</x:v>
      </x:c>
      <x:c r="AD779" s="12" t="str">
        <x:f>IF(OR(R779="unavailable",T779="unavailable"),"不可评价",IF(AND(R779="positive",T779="positive"),"a",IF(T779="positive","b",IF(R779="positive","c","d"))))</x:f>
        <x:v>d</x:v>
      </x:c>
      <x:c r="AE779" s="12" t="str">
        <x:f>IF(OR(W779="unavailable",Y779="unavailable"),"不可评价",IF(AND(OR(W779="positive",W779="equivocal"),OR(Y779="positive",Y779="equivocal")),"a",IF(OR(Y779="positive",Y779="equivocal"),"b",IF(OR(W779="positive",W779="equivocal"),"c","d"))))</x:f>
        <x:v>d</x:v>
      </x:c>
      <x:c r="AF779" s="12" t="str">
        <x:f>IF(OR(W779="unavailable",Y779="unavailable"),"不可评价",IF(AND(W779="positive",Y779="positive"),"a",IF(Y779="positive","b",IF(W779="positive","c","d"))))</x:f>
        <x:v>d</x:v>
      </x:c>
    </x:row>
    <x:row r="780" ht="39" customHeight="1">
      <x:c r="A780" s="12" t="str">
        <x:v>6355</x:v>
      </x:c>
      <x:c r="B780" s="12" t="str">
        <x:v>13703</x:v>
      </x:c>
      <x:c r="C780" s="21" t="n">
        <x:v>33420.493368055555</x:v>
      </x:c>
      <x:c r="D780" s="12" t="n">
        <x:v>80</x:v>
      </x:c>
      <x:c r="E780" s="12" t="n">
        <x:v>0</x:v>
      </x:c>
      <x:c r="F780" s="12" t="str">
        <x:v>存在</x:v>
      </x:c>
      <x:c r="G780" s="12" t="n">
        <x:v>1</x:v>
      </x:c>
      <x:c r="H780" s="12" t="str">
        <x:v>{'IMI': 35.0, 'LAFB': 100.0, 'PVC': 100.0, 'AFIB': 0.0}</x:v>
      </x:c>
      <x:c r="I780" s="12" t="str">
        <x:v>[('AFIB', 100.0), ('RVR', 100.0), ('ABER', 100.0), ('LAD3', 100.0), ('IMI;AU', 100.0), ('AB', 100.0)]</x:v>
      </x:c>
      <x:c r="J780" s="12" t="str">
        <x:v>ptbxl_database.csv；ecg_id=6355；scp_codes</x:v>
      </x:c>
      <x:c r="K780" s="12" t="str">
        <x:v>12sl_statements.csv；ecg_id=6355；statements_ext_snomed</x:v>
      </x:c>
      <x:c r="L780" s="12" t="n">
        <x:v>0</x:v>
      </x:c>
      <x:c r="M780" s="12" t="str">
        <x:v>positive</x:v>
      </x:c>
      <x:c r="N780" s="12" t="n">
        <x:v>100</x:v>
      </x:c>
      <x:c r="O780" s="12" t="str">
        <x:v>positive</x:v>
      </x:c>
      <x:c r="P780" s="12" t="str">
        <x:f>IF(OR(M780="unavailable",O780="unavailable"),"不可评价",IF(OR(M780="equivocal",O780="equivocal"),"疑似",IF(AND(M780="positive",O780="positive"),"a",IF(O780="positive","b",IF(M780="positive","c","d")))))</x:f>
        <x:v>a</x:v>
      </x:c>
      <x:c r="Q780" s="12"/>
      <x:c r="R780" s="12" t="str">
        <x:v>negative</x:v>
      </x:c>
      <x:c r="S780" s="12"/>
      <x:c r="T780" s="12" t="str">
        <x:v>negative</x:v>
      </x:c>
      <x:c r="U780" s="12" t="str">
        <x:f>IF(OR(R780="unavailable",T780="unavailable"),"不可评价",IF(OR(R780="equivocal",T780="equivocal"),"疑似",IF(AND(R780="positive",T780="positive"),"a",IF(T780="positive","b",IF(R780="positive","c","d")))))</x:f>
        <x:v>d</x:v>
      </x:c>
      <x:c r="V780" s="12"/>
      <x:c r="W780" s="12" t="str">
        <x:v>negative</x:v>
      </x:c>
      <x:c r="X780" s="12"/>
      <x:c r="Y780" s="12" t="str">
        <x:v>negative</x:v>
      </x:c>
      <x:c r="Z780" s="12" t="str">
        <x:f>IF(OR(W780="unavailable",Y780="unavailable"),"不可评价",IF(OR(W780="equivocal",Y780="equivocal"),"疑似",IF(AND(W780="positive",Y780="positive"),"a",IF(Y780="positive","b",IF(W780="positive","c","d")))))</x:f>
        <x:v>d</x:v>
      </x:c>
      <x:c r="AA780" s="12" t="str">
        <x:f>IF(OR(M780="unavailable",O780="unavailable"),"不可评价",IF(AND(OR(M780="positive",M780="equivocal"),OR(O780="positive",O780="equivocal")),"a",IF(OR(O780="positive",O780="equivocal"),"b",IF(OR(M780="positive",M780="equivocal"),"c","d"))))</x:f>
        <x:v>a</x:v>
      </x:c>
      <x:c r="AB780" s="12" t="str">
        <x:f>IF(OR(M780="unavailable",O780="unavailable"),"不可评价",IF(AND(M780="positive",O780="positive"),"a",IF(O780="positive","b",IF(M780="positive","c","d"))))</x:f>
        <x:v>a</x:v>
      </x:c>
      <x:c r="AC780" s="12" t="str">
        <x:f>IF(OR(R780="unavailable",T780="unavailable"),"不可评价",IF(AND(OR(R780="positive",R780="equivocal"),OR(T780="positive",T780="equivocal")),"a",IF(OR(T780="positive",T780="equivocal"),"b",IF(OR(R780="positive",R780="equivocal"),"c","d"))))</x:f>
        <x:v>d</x:v>
      </x:c>
      <x:c r="AD780" s="12" t="str">
        <x:f>IF(OR(R780="unavailable",T780="unavailable"),"不可评价",IF(AND(R780="positive",T780="positive"),"a",IF(T780="positive","b",IF(R780="positive","c","d"))))</x:f>
        <x:v>d</x:v>
      </x:c>
      <x:c r="AE780" s="12" t="str">
        <x:f>IF(OR(W780="unavailable",Y780="unavailable"),"不可评价",IF(AND(OR(W780="positive",W780="equivocal"),OR(Y780="positive",Y780="equivocal")),"a",IF(OR(Y780="positive",Y780="equivocal"),"b",IF(OR(W780="positive",W780="equivocal"),"c","d"))))</x:f>
        <x:v>d</x:v>
      </x:c>
      <x:c r="AF780" s="12" t="str">
        <x:f>IF(OR(W780="unavailable",Y780="unavailable"),"不可评价",IF(AND(W780="positive",Y780="positive"),"a",IF(Y780="positive","b",IF(W780="positive","c","d"))))</x:f>
        <x:v>d</x:v>
      </x:c>
    </x:row>
    <x:row r="781" ht="24" customHeight="1">
      <x:c r="A781" s="12" t="str">
        <x:v>6358</x:v>
      </x:c>
      <x:c r="B781" s="12" t="str">
        <x:v>1901</x:v>
      </x:c>
      <x:c r="C781" s="21" t="n">
        <x:v>33420.62744212963</x:v>
      </x:c>
      <x:c r="D781" s="12" t="n">
        <x:v>77</x:v>
      </x:c>
      <x:c r="E781" s="12" t="n">
        <x:v>1</x:v>
      </x:c>
      <x:c r="F781" s="12" t="str">
        <x:v>未记录</x:v>
      </x:c>
      <x:c r="G781" s="12" t="n">
        <x:v>1</x:v>
      </x:c>
      <x:c r="H781" s="12" t="str">
        <x:v>{'NORM': 100.0, 'IVCD': 100.0, 'SR': 0.0}</x:v>
      </x:c>
      <x:c r="I781" s="12" t="str">
        <x:v>[('NSR', 100.0), ('NML', 100.0)]</x:v>
      </x:c>
      <x:c r="J781" s="12" t="str">
        <x:v>ptbxl_database.csv；ecg_id=6358；scp_codes</x:v>
      </x:c>
      <x:c r="K781" s="12" t="str">
        <x:v>12sl_statements.csv；ecg_id=6358；statements_ext_snomed</x:v>
      </x:c>
      <x:c r="L781" s="12"/>
      <x:c r="M781" s="12" t="str">
        <x:v>negative</x:v>
      </x:c>
      <x:c r="N781" s="12"/>
      <x:c r="O781" s="12" t="str">
        <x:v>negative</x:v>
      </x:c>
      <x:c r="P781" s="12" t="str">
        <x:f>IF(OR(M781="unavailable",O781="unavailable"),"不可评价",IF(OR(M781="equivocal",O781="equivocal"),"疑似",IF(AND(M781="positive",O781="positive"),"a",IF(O781="positive","b",IF(M781="positive","c","d")))))</x:f>
        <x:v>d</x:v>
      </x:c>
      <x:c r="Q781" s="12"/>
      <x:c r="R781" s="12" t="str">
        <x:v>negative</x:v>
      </x:c>
      <x:c r="S781" s="12"/>
      <x:c r="T781" s="12" t="str">
        <x:v>negative</x:v>
      </x:c>
      <x:c r="U781" s="12" t="str">
        <x:f>IF(OR(R781="unavailable",T781="unavailable"),"不可评价",IF(OR(R781="equivocal",T781="equivocal"),"疑似",IF(AND(R781="positive",T781="positive"),"a",IF(T781="positive","b",IF(R781="positive","c","d")))))</x:f>
        <x:v>d</x:v>
      </x:c>
      <x:c r="V781" s="12"/>
      <x:c r="W781" s="12" t="str">
        <x:v>negative</x:v>
      </x:c>
      <x:c r="X781" s="12"/>
      <x:c r="Y781" s="12" t="str">
        <x:v>negative</x:v>
      </x:c>
      <x:c r="Z781" s="12" t="str">
        <x:f>IF(OR(W781="unavailable",Y781="unavailable"),"不可评价",IF(OR(W781="equivocal",Y781="equivocal"),"疑似",IF(AND(W781="positive",Y781="positive"),"a",IF(Y781="positive","b",IF(W781="positive","c","d")))))</x:f>
        <x:v>d</x:v>
      </x:c>
      <x:c r="AA781" s="12" t="str">
        <x:f>IF(OR(M781="unavailable",O781="unavailable"),"不可评价",IF(AND(OR(M781="positive",M781="equivocal"),OR(O781="positive",O781="equivocal")),"a",IF(OR(O781="positive",O781="equivocal"),"b",IF(OR(M781="positive",M781="equivocal"),"c","d"))))</x:f>
        <x:v>d</x:v>
      </x:c>
      <x:c r="AB781" s="12" t="str">
        <x:f>IF(OR(M781="unavailable",O781="unavailable"),"不可评价",IF(AND(M781="positive",O781="positive"),"a",IF(O781="positive","b",IF(M781="positive","c","d"))))</x:f>
        <x:v>d</x:v>
      </x:c>
      <x:c r="AC781" s="12" t="str">
        <x:f>IF(OR(R781="unavailable",T781="unavailable"),"不可评价",IF(AND(OR(R781="positive",R781="equivocal"),OR(T781="positive",T781="equivocal")),"a",IF(OR(T781="positive",T781="equivocal"),"b",IF(OR(R781="positive",R781="equivocal"),"c","d"))))</x:f>
        <x:v>d</x:v>
      </x:c>
      <x:c r="AD781" s="12" t="str">
        <x:f>IF(OR(R781="unavailable",T781="unavailable"),"不可评价",IF(AND(R781="positive",T781="positive"),"a",IF(T781="positive","b",IF(R781="positive","c","d"))))</x:f>
        <x:v>d</x:v>
      </x:c>
      <x:c r="AE781" s="12" t="str">
        <x:f>IF(OR(W781="unavailable",Y781="unavailable"),"不可评价",IF(AND(OR(W781="positive",W781="equivocal"),OR(Y781="positive",Y781="equivocal")),"a",IF(OR(Y781="positive",Y781="equivocal"),"b",IF(OR(W781="positive",W781="equivocal"),"c","d"))))</x:f>
        <x:v>d</x:v>
      </x:c>
      <x:c r="AF781" s="12" t="str">
        <x:f>IF(OR(W781="unavailable",Y781="unavailable"),"不可评价",IF(AND(W781="positive",Y781="positive"),"a",IF(Y781="positive","b",IF(W781="positive","c","d"))))</x:f>
        <x:v>d</x:v>
      </x:c>
    </x:row>
    <x:row r="782" ht="24" customHeight="1">
      <x:c r="A782" s="12" t="str">
        <x:v>6375</x:v>
      </x:c>
      <x:c r="B782" s="12" t="str">
        <x:v>4014</x:v>
      </x:c>
      <x:c r="C782" s="21" t="n">
        <x:v>33422.445231481484</x:v>
      </x:c>
      <x:c r="D782" s="12" t="n">
        <x:v>51</x:v>
      </x:c>
      <x:c r="E782" s="12" t="n">
        <x:v>1</x:v>
      </x:c>
      <x:c r="F782" s="12" t="str">
        <x:v>未记录</x:v>
      </x:c>
      <x:c r="G782" s="12" t="n">
        <x:v>1</x:v>
      </x:c>
      <x:c r="H782" s="12" t="str">
        <x:v>{'IRBBB': 80.0, 'SR': 0.0}</x:v>
      </x:c>
      <x:c r="I782" s="12" t="str">
        <x:v>[('NSR', 100.0), ('IRBBB', 100.0), ('BORDE', 100.0)]</x:v>
      </x:c>
      <x:c r="J782" s="12" t="str">
        <x:v>ptbxl_database.csv；ecg_id=6375；scp_codes</x:v>
      </x:c>
      <x:c r="K782" s="12" t="str">
        <x:v>12sl_statements.csv；ecg_id=6375；statements_ext_snomed</x:v>
      </x:c>
      <x:c r="L782" s="12"/>
      <x:c r="M782" s="12" t="str">
        <x:v>negative</x:v>
      </x:c>
      <x:c r="N782" s="12"/>
      <x:c r="O782" s="12" t="str">
        <x:v>negative</x:v>
      </x:c>
      <x:c r="P782" s="12" t="str">
        <x:f>IF(OR(M782="unavailable",O782="unavailable"),"不可评价",IF(OR(M782="equivocal",O782="equivocal"),"疑似",IF(AND(M782="positive",O782="positive"),"a",IF(O782="positive","b",IF(M782="positive","c","d")))))</x:f>
        <x:v>d</x:v>
      </x:c>
      <x:c r="Q782" s="12"/>
      <x:c r="R782" s="12" t="str">
        <x:v>negative</x:v>
      </x:c>
      <x:c r="S782" s="12"/>
      <x:c r="T782" s="12" t="str">
        <x:v>negative</x:v>
      </x:c>
      <x:c r="U782" s="12" t="str">
        <x:f>IF(OR(R782="unavailable",T782="unavailable"),"不可评价",IF(OR(R782="equivocal",T782="equivocal"),"疑似",IF(AND(R782="positive",T782="positive"),"a",IF(T782="positive","b",IF(R782="positive","c","d")))))</x:f>
        <x:v>d</x:v>
      </x:c>
      <x:c r="V782" s="12"/>
      <x:c r="W782" s="12" t="str">
        <x:v>negative</x:v>
      </x:c>
      <x:c r="X782" s="12"/>
      <x:c r="Y782" s="12" t="str">
        <x:v>negative</x:v>
      </x:c>
      <x:c r="Z782" s="12" t="str">
        <x:f>IF(OR(W782="unavailable",Y782="unavailable"),"不可评价",IF(OR(W782="equivocal",Y782="equivocal"),"疑似",IF(AND(W782="positive",Y782="positive"),"a",IF(Y782="positive","b",IF(W782="positive","c","d")))))</x:f>
        <x:v>d</x:v>
      </x:c>
      <x:c r="AA782" s="12" t="str">
        <x:f>IF(OR(M782="unavailable",O782="unavailable"),"不可评价",IF(AND(OR(M782="positive",M782="equivocal"),OR(O782="positive",O782="equivocal")),"a",IF(OR(O782="positive",O782="equivocal"),"b",IF(OR(M782="positive",M782="equivocal"),"c","d"))))</x:f>
        <x:v>d</x:v>
      </x:c>
      <x:c r="AB782" s="12" t="str">
        <x:f>IF(OR(M782="unavailable",O782="unavailable"),"不可评价",IF(AND(M782="positive",O782="positive"),"a",IF(O782="positive","b",IF(M782="positive","c","d"))))</x:f>
        <x:v>d</x:v>
      </x:c>
      <x:c r="AC782" s="12" t="str">
        <x:f>IF(OR(R782="unavailable",T782="unavailable"),"不可评价",IF(AND(OR(R782="positive",R782="equivocal"),OR(T782="positive",T782="equivocal")),"a",IF(OR(T782="positive",T782="equivocal"),"b",IF(OR(R782="positive",R782="equivocal"),"c","d"))))</x:f>
        <x:v>d</x:v>
      </x:c>
      <x:c r="AD782" s="12" t="str">
        <x:f>IF(OR(R782="unavailable",T782="unavailable"),"不可评价",IF(AND(R782="positive",T782="positive"),"a",IF(T782="positive","b",IF(R782="positive","c","d"))))</x:f>
        <x:v>d</x:v>
      </x:c>
      <x:c r="AE782" s="12" t="str">
        <x:f>IF(OR(W782="unavailable",Y782="unavailable"),"不可评价",IF(AND(OR(W782="positive",W782="equivocal"),OR(Y782="positive",Y782="equivocal")),"a",IF(OR(Y782="positive",Y782="equivocal"),"b",IF(OR(W782="positive",W782="equivocal"),"c","d"))))</x:f>
        <x:v>d</x:v>
      </x:c>
      <x:c r="AF782" s="12" t="str">
        <x:f>IF(OR(W782="unavailable",Y782="unavailable"),"不可评价",IF(AND(W782="positive",Y782="positive"),"a",IF(Y782="positive","b",IF(W782="positive","c","d"))))</x:f>
        <x:v>d</x:v>
      </x:c>
    </x:row>
    <x:row r="783" ht="24" customHeight="1">
      <x:c r="A783" s="12" t="str">
        <x:v>6380</x:v>
      </x:c>
      <x:c r="B783" s="12" t="str">
        <x:v>7870</x:v>
      </x:c>
      <x:c r="C783" s="21" t="n">
        <x:v>33422.743252314816</x:v>
      </x:c>
      <x:c r="D783" s="12" t="n">
        <x:v>87</x:v>
      </x:c>
      <x:c r="E783" s="12" t="n">
        <x:v>1</x:v>
      </x:c>
      <x:c r="F783" s="12" t="str">
        <x:v>未记录</x:v>
      </x:c>
      <x:c r="G783" s="12" t="n">
        <x:v>1</x:v>
      </x:c>
      <x:c r="H783" s="12" t="str">
        <x:v>{'RAO/RAE': 100.0, 'STACH': 0.0}</x:v>
      </x:c>
      <x:c r="I783" s="12" t="str">
        <x:v>[('STACH', 100.0), ('RAE', 100.0), ('BORDE', 100.0)]</x:v>
      </x:c>
      <x:c r="J783" s="12" t="str">
        <x:v>ptbxl_database.csv；ecg_id=6380；scp_codes</x:v>
      </x:c>
      <x:c r="K783" s="12" t="str">
        <x:v>12sl_statements.csv；ecg_id=6380；statements_ext_snomed</x:v>
      </x:c>
      <x:c r="L783" s="12"/>
      <x:c r="M783" s="12" t="str">
        <x:v>negative</x:v>
      </x:c>
      <x:c r="N783" s="12"/>
      <x:c r="O783" s="12" t="str">
        <x:v>negative</x:v>
      </x:c>
      <x:c r="P783" s="12" t="str">
        <x:f>IF(OR(M783="unavailable",O783="unavailable"),"不可评价",IF(OR(M783="equivocal",O783="equivocal"),"疑似",IF(AND(M783="positive",O783="positive"),"a",IF(O783="positive","b",IF(M783="positive","c","d")))))</x:f>
        <x:v>d</x:v>
      </x:c>
      <x:c r="Q783" s="12"/>
      <x:c r="R783" s="12" t="str">
        <x:v>negative</x:v>
      </x:c>
      <x:c r="S783" s="12"/>
      <x:c r="T783" s="12" t="str">
        <x:v>negative</x:v>
      </x:c>
      <x:c r="U783" s="12" t="str">
        <x:f>IF(OR(R783="unavailable",T783="unavailable"),"不可评价",IF(OR(R783="equivocal",T783="equivocal"),"疑似",IF(AND(R783="positive",T783="positive"),"a",IF(T783="positive","b",IF(R783="positive","c","d")))))</x:f>
        <x:v>d</x:v>
      </x:c>
      <x:c r="V783" s="12"/>
      <x:c r="W783" s="12" t="str">
        <x:v>negative</x:v>
      </x:c>
      <x:c r="X783" s="12"/>
      <x:c r="Y783" s="12" t="str">
        <x:v>negative</x:v>
      </x:c>
      <x:c r="Z783" s="12" t="str">
        <x:f>IF(OR(W783="unavailable",Y783="unavailable"),"不可评价",IF(OR(W783="equivocal",Y783="equivocal"),"疑似",IF(AND(W783="positive",Y783="positive"),"a",IF(Y783="positive","b",IF(W783="positive","c","d")))))</x:f>
        <x:v>d</x:v>
      </x:c>
      <x:c r="AA783" s="12" t="str">
        <x:f>IF(OR(M783="unavailable",O783="unavailable"),"不可评价",IF(AND(OR(M783="positive",M783="equivocal"),OR(O783="positive",O783="equivocal")),"a",IF(OR(O783="positive",O783="equivocal"),"b",IF(OR(M783="positive",M783="equivocal"),"c","d"))))</x:f>
        <x:v>d</x:v>
      </x:c>
      <x:c r="AB783" s="12" t="str">
        <x:f>IF(OR(M783="unavailable",O783="unavailable"),"不可评价",IF(AND(M783="positive",O783="positive"),"a",IF(O783="positive","b",IF(M783="positive","c","d"))))</x:f>
        <x:v>d</x:v>
      </x:c>
      <x:c r="AC783" s="12" t="str">
        <x:f>IF(OR(R783="unavailable",T783="unavailable"),"不可评价",IF(AND(OR(R783="positive",R783="equivocal"),OR(T783="positive",T783="equivocal")),"a",IF(OR(T783="positive",T783="equivocal"),"b",IF(OR(R783="positive",R783="equivocal"),"c","d"))))</x:f>
        <x:v>d</x:v>
      </x:c>
      <x:c r="AD783" s="12" t="str">
        <x:f>IF(OR(R783="unavailable",T783="unavailable"),"不可评价",IF(AND(R783="positive",T783="positive"),"a",IF(T783="positive","b",IF(R783="positive","c","d"))))</x:f>
        <x:v>d</x:v>
      </x:c>
      <x:c r="AE783" s="12" t="str">
        <x:f>IF(OR(W783="unavailable",Y783="unavailable"),"不可评价",IF(AND(OR(W783="positive",W783="equivocal"),OR(Y783="positive",Y783="equivocal")),"a",IF(OR(Y783="positive",Y783="equivocal"),"b",IF(OR(W783="positive",W783="equivocal"),"c","d"))))</x:f>
        <x:v>d</x:v>
      </x:c>
      <x:c r="AF783" s="12" t="str">
        <x:f>IF(OR(W783="unavailable",Y783="unavailable"),"不可评价",IF(AND(W783="positive",Y783="positive"),"a",IF(Y783="positive","b",IF(W783="positive","c","d"))))</x:f>
        <x:v>d</x:v>
      </x:c>
    </x:row>
    <x:row r="784" ht="24" customHeight="1">
      <x:c r="A784" s="12" t="str">
        <x:v>6381</x:v>
      </x:c>
      <x:c r="B784" s="12" t="str">
        <x:v>20219</x:v>
      </x:c>
      <x:c r="C784" s="21" t="n">
        <x:v>33423.27034722222</x:v>
      </x:c>
      <x:c r="D784" s="12" t="n">
        <x:v>33</x:v>
      </x:c>
      <x:c r="E784" s="12" t="n">
        <x:v>0</x:v>
      </x:c>
      <x:c r="F784" s="12" t="str">
        <x:v>存在</x:v>
      </x:c>
      <x:c r="G784" s="12" t="n">
        <x:v>1</x:v>
      </x:c>
      <x:c r="H784" s="12" t="str">
        <x:v>{'NORM': 100.0, 'SR': 0.0}</x:v>
      </x:c>
      <x:c r="I784" s="12" t="str">
        <x:v>[('SBRAD', 100.0), ('ABR', 100.0)]</x:v>
      </x:c>
      <x:c r="J784" s="12" t="str">
        <x:v>ptbxl_database.csv；ecg_id=6381；scp_codes</x:v>
      </x:c>
      <x:c r="K784" s="12" t="str">
        <x:v>12sl_statements.csv；ecg_id=6381；statements_ext_snomed</x:v>
      </x:c>
      <x:c r="L784" s="12"/>
      <x:c r="M784" s="12" t="str">
        <x:v>negative</x:v>
      </x:c>
      <x:c r="N784" s="12"/>
      <x:c r="O784" s="12" t="str">
        <x:v>negative</x:v>
      </x:c>
      <x:c r="P784" s="12" t="str">
        <x:f>IF(OR(M784="unavailable",O784="unavailable"),"不可评价",IF(OR(M784="equivocal",O784="equivocal"),"疑似",IF(AND(M784="positive",O784="positive"),"a",IF(O784="positive","b",IF(M784="positive","c","d")))))</x:f>
        <x:v>d</x:v>
      </x:c>
      <x:c r="Q784" s="12"/>
      <x:c r="R784" s="12" t="str">
        <x:v>negative</x:v>
      </x:c>
      <x:c r="S784" s="12"/>
      <x:c r="T784" s="12" t="str">
        <x:v>negative</x:v>
      </x:c>
      <x:c r="U784" s="12" t="str">
        <x:f>IF(OR(R784="unavailable",T784="unavailable"),"不可评价",IF(OR(R784="equivocal",T784="equivocal"),"疑似",IF(AND(R784="positive",T784="positive"),"a",IF(T784="positive","b",IF(R784="positive","c","d")))))</x:f>
        <x:v>d</x:v>
      </x:c>
      <x:c r="V784" s="12"/>
      <x:c r="W784" s="12" t="str">
        <x:v>negative</x:v>
      </x:c>
      <x:c r="X784" s="12"/>
      <x:c r="Y784" s="12" t="str">
        <x:v>negative</x:v>
      </x:c>
      <x:c r="Z784" s="12" t="str">
        <x:f>IF(OR(W784="unavailable",Y784="unavailable"),"不可评价",IF(OR(W784="equivocal",Y784="equivocal"),"疑似",IF(AND(W784="positive",Y784="positive"),"a",IF(Y784="positive","b",IF(W784="positive","c","d")))))</x:f>
        <x:v>d</x:v>
      </x:c>
      <x:c r="AA784" s="12" t="str">
        <x:f>IF(OR(M784="unavailable",O784="unavailable"),"不可评价",IF(AND(OR(M784="positive",M784="equivocal"),OR(O784="positive",O784="equivocal")),"a",IF(OR(O784="positive",O784="equivocal"),"b",IF(OR(M784="positive",M784="equivocal"),"c","d"))))</x:f>
        <x:v>d</x:v>
      </x:c>
      <x:c r="AB784" s="12" t="str">
        <x:f>IF(OR(M784="unavailable",O784="unavailable"),"不可评价",IF(AND(M784="positive",O784="positive"),"a",IF(O784="positive","b",IF(M784="positive","c","d"))))</x:f>
        <x:v>d</x:v>
      </x:c>
      <x:c r="AC784" s="12" t="str">
        <x:f>IF(OR(R784="unavailable",T784="unavailable"),"不可评价",IF(AND(OR(R784="positive",R784="equivocal"),OR(T784="positive",T784="equivocal")),"a",IF(OR(T784="positive",T784="equivocal"),"b",IF(OR(R784="positive",R784="equivocal"),"c","d"))))</x:f>
        <x:v>d</x:v>
      </x:c>
      <x:c r="AD784" s="12" t="str">
        <x:f>IF(OR(R784="unavailable",T784="unavailable"),"不可评价",IF(AND(R784="positive",T784="positive"),"a",IF(T784="positive","b",IF(R784="positive","c","d"))))</x:f>
        <x:v>d</x:v>
      </x:c>
      <x:c r="AE784" s="12" t="str">
        <x:f>IF(OR(W784="unavailable",Y784="unavailable"),"不可评价",IF(AND(OR(W784="positive",W784="equivocal"),OR(Y784="positive",Y784="equivocal")),"a",IF(OR(Y784="positive",Y784="equivocal"),"b",IF(OR(W784="positive",W784="equivocal"),"c","d"))))</x:f>
        <x:v>d</x:v>
      </x:c>
      <x:c r="AF784" s="12" t="str">
        <x:f>IF(OR(W784="unavailable",Y784="unavailable"),"不可评价",IF(AND(W784="positive",Y784="positive"),"a",IF(Y784="positive","b",IF(W784="positive","c","d"))))</x:f>
        <x:v>d</x:v>
      </x:c>
    </x:row>
    <x:row r="785" ht="24" customHeight="1">
      <x:c r="A785" s="12" t="str">
        <x:v>6404</x:v>
      </x:c>
      <x:c r="B785" s="12" t="str">
        <x:v>13703</x:v>
      </x:c>
      <x:c r="C785" s="21" t="n">
        <x:v>33425.488854166666</x:v>
      </x:c>
      <x:c r="D785" s="12" t="n">
        <x:v>80</x:v>
      </x:c>
      <x:c r="E785" s="12" t="n">
        <x:v>0</x:v>
      </x:c>
      <x:c r="F785" s="12" t="str">
        <x:v>存在</x:v>
      </x:c>
      <x:c r="G785" s="12" t="n">
        <x:v>0</x:v>
      </x:c>
      <x:c r="H785" s="12" t="str">
        <x:v>{'IPLMI': 15.0, 'AMI': 50.0, 'LAFB': 100.0, 'ABQRS': 0.0, 'AFIB': 0.0}</x:v>
      </x:c>
      <x:c r="I785" s="12" t="str">
        <x:v>[('AFIB', 100.0), ('LAD3', 100.0), ('NSTT', 100.0), ('AB', 100.0)]</x:v>
      </x:c>
      <x:c r="J785" s="12" t="str">
        <x:v>ptbxl_database.csv；ecg_id=6404；scp_codes</x:v>
      </x:c>
      <x:c r="K785" s="12" t="str">
        <x:v>12sl_statements.csv；ecg_id=6404；statements_ext_snomed</x:v>
      </x:c>
      <x:c r="L785" s="12" t="n">
        <x:v>0</x:v>
      </x:c>
      <x:c r="M785" s="12" t="str">
        <x:v>positive</x:v>
      </x:c>
      <x:c r="N785" s="12" t="n">
        <x:v>100</x:v>
      </x:c>
      <x:c r="O785" s="12" t="str">
        <x:v>positive</x:v>
      </x:c>
      <x:c r="P785" s="12" t="str">
        <x:f>IF(OR(M785="unavailable",O785="unavailable"),"不可评价",IF(OR(M785="equivocal",O785="equivocal"),"疑似",IF(AND(M785="positive",O785="positive"),"a",IF(O785="positive","b",IF(M785="positive","c","d")))))</x:f>
        <x:v>a</x:v>
      </x:c>
      <x:c r="Q785" s="12"/>
      <x:c r="R785" s="12" t="str">
        <x:v>negative</x:v>
      </x:c>
      <x:c r="S785" s="12"/>
      <x:c r="T785" s="12" t="str">
        <x:v>negative</x:v>
      </x:c>
      <x:c r="U785" s="12" t="str">
        <x:f>IF(OR(R785="unavailable",T785="unavailable"),"不可评价",IF(OR(R785="equivocal",T785="equivocal"),"疑似",IF(AND(R785="positive",T785="positive"),"a",IF(T785="positive","b",IF(R785="positive","c","d")))))</x:f>
        <x:v>d</x:v>
      </x:c>
      <x:c r="V785" s="12"/>
      <x:c r="W785" s="12" t="str">
        <x:v>negative</x:v>
      </x:c>
      <x:c r="X785" s="12"/>
      <x:c r="Y785" s="12" t="str">
        <x:v>negative</x:v>
      </x:c>
      <x:c r="Z785" s="12" t="str">
        <x:f>IF(OR(W785="unavailable",Y785="unavailable"),"不可评价",IF(OR(W785="equivocal",Y785="equivocal"),"疑似",IF(AND(W785="positive",Y785="positive"),"a",IF(Y785="positive","b",IF(W785="positive","c","d")))))</x:f>
        <x:v>d</x:v>
      </x:c>
      <x:c r="AA785" s="12" t="str">
        <x:f>IF(OR(M785="unavailable",O785="unavailable"),"不可评价",IF(AND(OR(M785="positive",M785="equivocal"),OR(O785="positive",O785="equivocal")),"a",IF(OR(O785="positive",O785="equivocal"),"b",IF(OR(M785="positive",M785="equivocal"),"c","d"))))</x:f>
        <x:v>a</x:v>
      </x:c>
      <x:c r="AB785" s="12" t="str">
        <x:f>IF(OR(M785="unavailable",O785="unavailable"),"不可评价",IF(AND(M785="positive",O785="positive"),"a",IF(O785="positive","b",IF(M785="positive","c","d"))))</x:f>
        <x:v>a</x:v>
      </x:c>
      <x:c r="AC785" s="12" t="str">
        <x:f>IF(OR(R785="unavailable",T785="unavailable"),"不可评价",IF(AND(OR(R785="positive",R785="equivocal"),OR(T785="positive",T785="equivocal")),"a",IF(OR(T785="positive",T785="equivocal"),"b",IF(OR(R785="positive",R785="equivocal"),"c","d"))))</x:f>
        <x:v>d</x:v>
      </x:c>
      <x:c r="AD785" s="12" t="str">
        <x:f>IF(OR(R785="unavailable",T785="unavailable"),"不可评价",IF(AND(R785="positive",T785="positive"),"a",IF(T785="positive","b",IF(R785="positive","c","d"))))</x:f>
        <x:v>d</x:v>
      </x:c>
      <x:c r="AE785" s="12" t="str">
        <x:f>IF(OR(W785="unavailable",Y785="unavailable"),"不可评价",IF(AND(OR(W785="positive",W785="equivocal"),OR(Y785="positive",Y785="equivocal")),"a",IF(OR(Y785="positive",Y785="equivocal"),"b",IF(OR(W785="positive",W785="equivocal"),"c","d"))))</x:f>
        <x:v>d</x:v>
      </x:c>
      <x:c r="AF785" s="12" t="str">
        <x:f>IF(OR(W785="unavailable",Y785="unavailable"),"不可评价",IF(AND(W785="positive",Y785="positive"),"a",IF(Y785="positive","b",IF(W785="positive","c","d"))))</x:f>
        <x:v>d</x:v>
      </x:c>
    </x:row>
    <x:row r="786" ht="24" customHeight="1">
      <x:c r="A786" s="12" t="str">
        <x:v>6427</x:v>
      </x:c>
      <x:c r="B786" s="12" t="str">
        <x:v>2245</x:v>
      </x:c>
      <x:c r="C786" s="21" t="n">
        <x:v>33427.545335648145</x:v>
      </x:c>
      <x:c r="D786" s="12" t="n">
        <x:v>84</x:v>
      </x:c>
      <x:c r="E786" s="12" t="n">
        <x:v>1</x:v>
      </x:c>
      <x:c r="F786" s="12" t="str">
        <x:v>未记录</x:v>
      </x:c>
      <x:c r="G786" s="12" t="n">
        <x:v>1</x:v>
      </x:c>
      <x:c r="H786" s="12" t="str">
        <x:v>{'LVH': 35.0, 'PAC': 0.0, 'VCLVH': 0.0, 'SR': 0.0}</x:v>
      </x:c>
      <x:c r="I786" s="12" t="str">
        <x:v>[('SRTH', 100.0), ('PAC', 100.0), ('BORDE', 100.0)]</x:v>
      </x:c>
      <x:c r="J786" s="12" t="str">
        <x:v>ptbxl_database.csv；ecg_id=6427；scp_codes</x:v>
      </x:c>
      <x:c r="K786" s="12" t="str">
        <x:v>12sl_statements.csv；ecg_id=6427；statements_ext_snomed</x:v>
      </x:c>
      <x:c r="L786" s="12"/>
      <x:c r="M786" s="12" t="str">
        <x:v>negative</x:v>
      </x:c>
      <x:c r="N786" s="12"/>
      <x:c r="O786" s="12" t="str">
        <x:v>negative</x:v>
      </x:c>
      <x:c r="P786" s="12" t="str">
        <x:f>IF(OR(M786="unavailable",O786="unavailable"),"不可评价",IF(OR(M786="equivocal",O786="equivocal"),"疑似",IF(AND(M786="positive",O786="positive"),"a",IF(O786="positive","b",IF(M786="positive","c","d")))))</x:f>
        <x:v>d</x:v>
      </x:c>
      <x:c r="Q786" s="12"/>
      <x:c r="R786" s="12" t="str">
        <x:v>negative</x:v>
      </x:c>
      <x:c r="S786" s="12"/>
      <x:c r="T786" s="12" t="str">
        <x:v>negative</x:v>
      </x:c>
      <x:c r="U786" s="12" t="str">
        <x:f>IF(OR(R786="unavailable",T786="unavailable"),"不可评价",IF(OR(R786="equivocal",T786="equivocal"),"疑似",IF(AND(R786="positive",T786="positive"),"a",IF(T786="positive","b",IF(R786="positive","c","d")))))</x:f>
        <x:v>d</x:v>
      </x:c>
      <x:c r="V786" s="12"/>
      <x:c r="W786" s="12" t="str">
        <x:v>negative</x:v>
      </x:c>
      <x:c r="X786" s="12"/>
      <x:c r="Y786" s="12" t="str">
        <x:v>negative</x:v>
      </x:c>
      <x:c r="Z786" s="12" t="str">
        <x:f>IF(OR(W786="unavailable",Y786="unavailable"),"不可评价",IF(OR(W786="equivocal",Y786="equivocal"),"疑似",IF(AND(W786="positive",Y786="positive"),"a",IF(Y786="positive","b",IF(W786="positive","c","d")))))</x:f>
        <x:v>d</x:v>
      </x:c>
      <x:c r="AA786" s="12" t="str">
        <x:f>IF(OR(M786="unavailable",O786="unavailable"),"不可评价",IF(AND(OR(M786="positive",M786="equivocal"),OR(O786="positive",O786="equivocal")),"a",IF(OR(O786="positive",O786="equivocal"),"b",IF(OR(M786="positive",M786="equivocal"),"c","d"))))</x:f>
        <x:v>d</x:v>
      </x:c>
      <x:c r="AB786" s="12" t="str">
        <x:f>IF(OR(M786="unavailable",O786="unavailable"),"不可评价",IF(AND(M786="positive",O786="positive"),"a",IF(O786="positive","b",IF(M786="positive","c","d"))))</x:f>
        <x:v>d</x:v>
      </x:c>
      <x:c r="AC786" s="12" t="str">
        <x:f>IF(OR(R786="unavailable",T786="unavailable"),"不可评价",IF(AND(OR(R786="positive",R786="equivocal"),OR(T786="positive",T786="equivocal")),"a",IF(OR(T786="positive",T786="equivocal"),"b",IF(OR(R786="positive",R786="equivocal"),"c","d"))))</x:f>
        <x:v>d</x:v>
      </x:c>
      <x:c r="AD786" s="12" t="str">
        <x:f>IF(OR(R786="unavailable",T786="unavailable"),"不可评价",IF(AND(R786="positive",T786="positive"),"a",IF(T786="positive","b",IF(R786="positive","c","d"))))</x:f>
        <x:v>d</x:v>
      </x:c>
      <x:c r="AE786" s="12" t="str">
        <x:f>IF(OR(W786="unavailable",Y786="unavailable"),"不可评价",IF(AND(OR(W786="positive",W786="equivocal"),OR(Y786="positive",Y786="equivocal")),"a",IF(OR(Y786="positive",Y786="equivocal"),"b",IF(OR(W786="positive",W786="equivocal"),"c","d"))))</x:f>
        <x:v>d</x:v>
      </x:c>
      <x:c r="AF786" s="12" t="str">
        <x:f>IF(OR(W786="unavailable",Y786="unavailable"),"不可评价",IF(AND(W786="positive",Y786="positive"),"a",IF(Y786="positive","b",IF(W786="positive","c","d"))))</x:f>
        <x:v>d</x:v>
      </x:c>
    </x:row>
    <x:row r="787" ht="24" customHeight="1">
      <x:c r="A787" s="12" t="str">
        <x:v>6428</x:v>
      </x:c>
      <x:c r="B787" s="12" t="str">
        <x:v>19633</x:v>
      </x:c>
      <x:c r="C787" s="21" t="n">
        <x:v>33427.57534722222</x:v>
      </x:c>
      <x:c r="D787" s="12" t="n">
        <x:v>69</x:v>
      </x:c>
      <x:c r="E787" s="12" t="n">
        <x:v>1</x:v>
      </x:c>
      <x:c r="F787" s="12" t="str">
        <x:v>存在</x:v>
      </x:c>
      <x:c r="G787" s="12" t="n">
        <x:v>1</x:v>
      </x:c>
      <x:c r="H787" s="12" t="str">
        <x:v>{'RAO/RAE': 100.0, 'STACH': 0.0}</x:v>
      </x:c>
      <x:c r="I787" s="12" t="str">
        <x:v>[('STACH', 100.0), ('PSVC', 100.0), ('RAE', 100.0), ('BORDE', 100.0)]</x:v>
      </x:c>
      <x:c r="J787" s="12" t="str">
        <x:v>ptbxl_database.csv；ecg_id=6428；scp_codes</x:v>
      </x:c>
      <x:c r="K787" s="12" t="str">
        <x:v>12sl_statements.csv；ecg_id=6428；statements_ext_snomed</x:v>
      </x:c>
      <x:c r="L787" s="12"/>
      <x:c r="M787" s="12" t="str">
        <x:v>negative</x:v>
      </x:c>
      <x:c r="N787" s="12"/>
      <x:c r="O787" s="12" t="str">
        <x:v>negative</x:v>
      </x:c>
      <x:c r="P787" s="12" t="str">
        <x:f>IF(OR(M787="unavailable",O787="unavailable"),"不可评价",IF(OR(M787="equivocal",O787="equivocal"),"疑似",IF(AND(M787="positive",O787="positive"),"a",IF(O787="positive","b",IF(M787="positive","c","d")))))</x:f>
        <x:v>d</x:v>
      </x:c>
      <x:c r="Q787" s="12"/>
      <x:c r="R787" s="12" t="str">
        <x:v>negative</x:v>
      </x:c>
      <x:c r="S787" s="12"/>
      <x:c r="T787" s="12" t="str">
        <x:v>negative</x:v>
      </x:c>
      <x:c r="U787" s="12" t="str">
        <x:f>IF(OR(R787="unavailable",T787="unavailable"),"不可评价",IF(OR(R787="equivocal",T787="equivocal"),"疑似",IF(AND(R787="positive",T787="positive"),"a",IF(T787="positive","b",IF(R787="positive","c","d")))))</x:f>
        <x:v>d</x:v>
      </x:c>
      <x:c r="V787" s="12"/>
      <x:c r="W787" s="12" t="str">
        <x:v>negative</x:v>
      </x:c>
      <x:c r="X787" s="12"/>
      <x:c r="Y787" s="12" t="str">
        <x:v>negative</x:v>
      </x:c>
      <x:c r="Z787" s="12" t="str">
        <x:f>IF(OR(W787="unavailable",Y787="unavailable"),"不可评价",IF(OR(W787="equivocal",Y787="equivocal"),"疑似",IF(AND(W787="positive",Y787="positive"),"a",IF(Y787="positive","b",IF(W787="positive","c","d")))))</x:f>
        <x:v>d</x:v>
      </x:c>
      <x:c r="AA787" s="12" t="str">
        <x:f>IF(OR(M787="unavailable",O787="unavailable"),"不可评价",IF(AND(OR(M787="positive",M787="equivocal"),OR(O787="positive",O787="equivocal")),"a",IF(OR(O787="positive",O787="equivocal"),"b",IF(OR(M787="positive",M787="equivocal"),"c","d"))))</x:f>
        <x:v>d</x:v>
      </x:c>
      <x:c r="AB787" s="12" t="str">
        <x:f>IF(OR(M787="unavailable",O787="unavailable"),"不可评价",IF(AND(M787="positive",O787="positive"),"a",IF(O787="positive","b",IF(M787="positive","c","d"))))</x:f>
        <x:v>d</x:v>
      </x:c>
      <x:c r="AC787" s="12" t="str">
        <x:f>IF(OR(R787="unavailable",T787="unavailable"),"不可评价",IF(AND(OR(R787="positive",R787="equivocal"),OR(T787="positive",T787="equivocal")),"a",IF(OR(T787="positive",T787="equivocal"),"b",IF(OR(R787="positive",R787="equivocal"),"c","d"))))</x:f>
        <x:v>d</x:v>
      </x:c>
      <x:c r="AD787" s="12" t="str">
        <x:f>IF(OR(R787="unavailable",T787="unavailable"),"不可评价",IF(AND(R787="positive",T787="positive"),"a",IF(T787="positive","b",IF(R787="positive","c","d"))))</x:f>
        <x:v>d</x:v>
      </x:c>
      <x:c r="AE787" s="12" t="str">
        <x:f>IF(OR(W787="unavailable",Y787="unavailable"),"不可评价",IF(AND(OR(W787="positive",W787="equivocal"),OR(Y787="positive",Y787="equivocal")),"a",IF(OR(Y787="positive",Y787="equivocal"),"b",IF(OR(W787="positive",W787="equivocal"),"c","d"))))</x:f>
        <x:v>d</x:v>
      </x:c>
      <x:c r="AF787" s="12" t="str">
        <x:f>IF(OR(W787="unavailable",Y787="unavailable"),"不可评价",IF(AND(W787="positive",Y787="positive"),"a",IF(Y787="positive","b",IF(W787="positive","c","d"))))</x:f>
        <x:v>d</x:v>
      </x:c>
    </x:row>
    <x:row r="788" ht="24" customHeight="1">
      <x:c r="A788" s="12" t="str">
        <x:v>6437</x:v>
      </x:c>
      <x:c r="B788" s="12" t="str">
        <x:v>5211</x:v>
      </x:c>
      <x:c r="C788" s="21" t="n">
        <x:v>33428.58449074074</x:v>
      </x:c>
      <x:c r="D788" s="12" t="n">
        <x:v>67</x:v>
      </x:c>
      <x:c r="E788" s="12" t="n">
        <x:v>1</x:v>
      </x:c>
      <x:c r="F788" s="12" t="str">
        <x:v>未记录</x:v>
      </x:c>
      <x:c r="G788" s="12" t="n">
        <x:v>1</x:v>
      </x:c>
      <x:c r="H788" s="12" t="str">
        <x:v>{'NORM': 100.0, 'SR': 0.0}</x:v>
      </x:c>
      <x:c r="I788" s="12" t="str">
        <x:v>[('NSR', 100.0), ('NML', 100.0)]</x:v>
      </x:c>
      <x:c r="J788" s="12" t="str">
        <x:v>ptbxl_database.csv；ecg_id=6437；scp_codes</x:v>
      </x:c>
      <x:c r="K788" s="12" t="str">
        <x:v>12sl_statements.csv；ecg_id=6437；statements_ext_snomed</x:v>
      </x:c>
      <x:c r="L788" s="12"/>
      <x:c r="M788" s="12" t="str">
        <x:v>negative</x:v>
      </x:c>
      <x:c r="N788" s="12"/>
      <x:c r="O788" s="12" t="str">
        <x:v>negative</x:v>
      </x:c>
      <x:c r="P788" s="12" t="str">
        <x:f>IF(OR(M788="unavailable",O788="unavailable"),"不可评价",IF(OR(M788="equivocal",O788="equivocal"),"疑似",IF(AND(M788="positive",O788="positive"),"a",IF(O788="positive","b",IF(M788="positive","c","d")))))</x:f>
        <x:v>d</x:v>
      </x:c>
      <x:c r="Q788" s="12"/>
      <x:c r="R788" s="12" t="str">
        <x:v>negative</x:v>
      </x:c>
      <x:c r="S788" s="12"/>
      <x:c r="T788" s="12" t="str">
        <x:v>negative</x:v>
      </x:c>
      <x:c r="U788" s="12" t="str">
        <x:f>IF(OR(R788="unavailable",T788="unavailable"),"不可评价",IF(OR(R788="equivocal",T788="equivocal"),"疑似",IF(AND(R788="positive",T788="positive"),"a",IF(T788="positive","b",IF(R788="positive","c","d")))))</x:f>
        <x:v>d</x:v>
      </x:c>
      <x:c r="V788" s="12"/>
      <x:c r="W788" s="12" t="str">
        <x:v>negative</x:v>
      </x:c>
      <x:c r="X788" s="12"/>
      <x:c r="Y788" s="12" t="str">
        <x:v>negative</x:v>
      </x:c>
      <x:c r="Z788" s="12" t="str">
        <x:f>IF(OR(W788="unavailable",Y788="unavailable"),"不可评价",IF(OR(W788="equivocal",Y788="equivocal"),"疑似",IF(AND(W788="positive",Y788="positive"),"a",IF(Y788="positive","b",IF(W788="positive","c","d")))))</x:f>
        <x:v>d</x:v>
      </x:c>
      <x:c r="AA788" s="12" t="str">
        <x:f>IF(OR(M788="unavailable",O788="unavailable"),"不可评价",IF(AND(OR(M788="positive",M788="equivocal"),OR(O788="positive",O788="equivocal")),"a",IF(OR(O788="positive",O788="equivocal"),"b",IF(OR(M788="positive",M788="equivocal"),"c","d"))))</x:f>
        <x:v>d</x:v>
      </x:c>
      <x:c r="AB788" s="12" t="str">
        <x:f>IF(OR(M788="unavailable",O788="unavailable"),"不可评价",IF(AND(M788="positive",O788="positive"),"a",IF(O788="positive","b",IF(M788="positive","c","d"))))</x:f>
        <x:v>d</x:v>
      </x:c>
      <x:c r="AC788" s="12" t="str">
        <x:f>IF(OR(R788="unavailable",T788="unavailable"),"不可评价",IF(AND(OR(R788="positive",R788="equivocal"),OR(T788="positive",T788="equivocal")),"a",IF(OR(T788="positive",T788="equivocal"),"b",IF(OR(R788="positive",R788="equivocal"),"c","d"))))</x:f>
        <x:v>d</x:v>
      </x:c>
      <x:c r="AD788" s="12" t="str">
        <x:f>IF(OR(R788="unavailable",T788="unavailable"),"不可评价",IF(AND(R788="positive",T788="positive"),"a",IF(T788="positive","b",IF(R788="positive","c","d"))))</x:f>
        <x:v>d</x:v>
      </x:c>
      <x:c r="AE788" s="12" t="str">
        <x:f>IF(OR(W788="unavailable",Y788="unavailable"),"不可评价",IF(AND(OR(W788="positive",W788="equivocal"),OR(Y788="positive",Y788="equivocal")),"a",IF(OR(Y788="positive",Y788="equivocal"),"b",IF(OR(W788="positive",W788="equivocal"),"c","d"))))</x:f>
        <x:v>d</x:v>
      </x:c>
      <x:c r="AF788" s="12" t="str">
        <x:f>IF(OR(W788="unavailable",Y788="unavailable"),"不可评价",IF(AND(W788="positive",Y788="positive"),"a",IF(Y788="positive","b",IF(W788="positive","c","d"))))</x:f>
        <x:v>d</x:v>
      </x:c>
    </x:row>
    <x:row r="789" ht="24" customHeight="1">
      <x:c r="A789" s="12" t="str">
        <x:v>6465</x:v>
      </x:c>
      <x:c r="B789" s="12" t="str">
        <x:v>8179</x:v>
      </x:c>
      <x:c r="C789" s="21" t="n">
        <x:v>33432.61077546296</x:v>
      </x:c>
      <x:c r="D789" s="12" t="n">
        <x:v>58</x:v>
      </x:c>
      <x:c r="E789" s="12" t="n">
        <x:v>0</x:v>
      </x:c>
      <x:c r="F789" s="12" t="str">
        <x:v>未记录</x:v>
      </x:c>
      <x:c r="G789" s="12" t="n">
        <x:v>1</x:v>
      </x:c>
      <x:c r="H789" s="12" t="str">
        <x:v>{'NORM': 50.0, 'SARRH': 0.0}</x:v>
      </x:c>
      <x:c r="I789" s="12" t="str">
        <x:v>[('SBRAD', 100.0), ('SAR', 100.0), ('ABR', 100.0)]</x:v>
      </x:c>
      <x:c r="J789" s="12" t="str">
        <x:v>ptbxl_database.csv；ecg_id=6465；scp_codes</x:v>
      </x:c>
      <x:c r="K789" s="12" t="str">
        <x:v>12sl_statements.csv；ecg_id=6465；statements_ext_snomed</x:v>
      </x:c>
      <x:c r="L789" s="12"/>
      <x:c r="M789" s="12" t="str">
        <x:v>negative</x:v>
      </x:c>
      <x:c r="N789" s="12"/>
      <x:c r="O789" s="12" t="str">
        <x:v>negative</x:v>
      </x:c>
      <x:c r="P789" s="12" t="str">
        <x:f>IF(OR(M789="unavailable",O789="unavailable"),"不可评价",IF(OR(M789="equivocal",O789="equivocal"),"疑似",IF(AND(M789="positive",O789="positive"),"a",IF(O789="positive","b",IF(M789="positive","c","d")))))</x:f>
        <x:v>d</x:v>
      </x:c>
      <x:c r="Q789" s="12"/>
      <x:c r="R789" s="12" t="str">
        <x:v>negative</x:v>
      </x:c>
      <x:c r="S789" s="12"/>
      <x:c r="T789" s="12" t="str">
        <x:v>negative</x:v>
      </x:c>
      <x:c r="U789" s="12" t="str">
        <x:f>IF(OR(R789="unavailable",T789="unavailable"),"不可评价",IF(OR(R789="equivocal",T789="equivocal"),"疑似",IF(AND(R789="positive",T789="positive"),"a",IF(T789="positive","b",IF(R789="positive","c","d")))))</x:f>
        <x:v>d</x:v>
      </x:c>
      <x:c r="V789" s="12"/>
      <x:c r="W789" s="12" t="str">
        <x:v>negative</x:v>
      </x:c>
      <x:c r="X789" s="12"/>
      <x:c r="Y789" s="12" t="str">
        <x:v>negative</x:v>
      </x:c>
      <x:c r="Z789" s="12" t="str">
        <x:f>IF(OR(W789="unavailable",Y789="unavailable"),"不可评价",IF(OR(W789="equivocal",Y789="equivocal"),"疑似",IF(AND(W789="positive",Y789="positive"),"a",IF(Y789="positive","b",IF(W789="positive","c","d")))))</x:f>
        <x:v>d</x:v>
      </x:c>
      <x:c r="AA789" s="12" t="str">
        <x:f>IF(OR(M789="unavailable",O789="unavailable"),"不可评价",IF(AND(OR(M789="positive",M789="equivocal"),OR(O789="positive",O789="equivocal")),"a",IF(OR(O789="positive",O789="equivocal"),"b",IF(OR(M789="positive",M789="equivocal"),"c","d"))))</x:f>
        <x:v>d</x:v>
      </x:c>
      <x:c r="AB789" s="12" t="str">
        <x:f>IF(OR(M789="unavailable",O789="unavailable"),"不可评价",IF(AND(M789="positive",O789="positive"),"a",IF(O789="positive","b",IF(M789="positive","c","d"))))</x:f>
        <x:v>d</x:v>
      </x:c>
      <x:c r="AC789" s="12" t="str">
        <x:f>IF(OR(R789="unavailable",T789="unavailable"),"不可评价",IF(AND(OR(R789="positive",R789="equivocal"),OR(T789="positive",T789="equivocal")),"a",IF(OR(T789="positive",T789="equivocal"),"b",IF(OR(R789="positive",R789="equivocal"),"c","d"))))</x:f>
        <x:v>d</x:v>
      </x:c>
      <x:c r="AD789" s="12" t="str">
        <x:f>IF(OR(R789="unavailable",T789="unavailable"),"不可评价",IF(AND(R789="positive",T789="positive"),"a",IF(T789="positive","b",IF(R789="positive","c","d"))))</x:f>
        <x:v>d</x:v>
      </x:c>
      <x:c r="AE789" s="12" t="str">
        <x:f>IF(OR(W789="unavailable",Y789="unavailable"),"不可评价",IF(AND(OR(W789="positive",W789="equivocal"),OR(Y789="positive",Y789="equivocal")),"a",IF(OR(Y789="positive",Y789="equivocal"),"b",IF(OR(W789="positive",W789="equivocal"),"c","d"))))</x:f>
        <x:v>d</x:v>
      </x:c>
      <x:c r="AF789" s="12" t="str">
        <x:f>IF(OR(W789="unavailable",Y789="unavailable"),"不可评价",IF(AND(W789="positive",Y789="positive"),"a",IF(Y789="positive","b",IF(W789="positive","c","d"))))</x:f>
        <x:v>d</x:v>
      </x:c>
    </x:row>
    <x:row r="790" ht="24" customHeight="1">
      <x:c r="A790" s="12" t="str">
        <x:v>6471</x:v>
      </x:c>
      <x:c r="B790" s="12" t="str">
        <x:v>4751</x:v>
      </x:c>
      <x:c r="C790" s="21" t="n">
        <x:v>33433.463009259256</x:v>
      </x:c>
      <x:c r="D790" s="12" t="n">
        <x:v>78</x:v>
      </x:c>
      <x:c r="E790" s="12" t="n">
        <x:v>1</x:v>
      </x:c>
      <x:c r="F790" s="12" t="str">
        <x:v>未记录</x:v>
      </x:c>
      <x:c r="G790" s="12" t="n">
        <x:v>1</x:v>
      </x:c>
      <x:c r="H790" s="12" t="str">
        <x:v>{'LVH': 100.0, '1AVB': 100.0, 'PAC': 0.0, 'LPR': 0.0, 'SR': 0.0}</x:v>
      </x:c>
      <x:c r="I790" s="12" t="str">
        <x:v>[('SRTH', 100.0), ('FAV', 100.0), ('PSVC', 100.0), ('BORDE', 100.0)]</x:v>
      </x:c>
      <x:c r="J790" s="12" t="str">
        <x:v>ptbxl_database.csv；ecg_id=6471；scp_codes</x:v>
      </x:c>
      <x:c r="K790" s="12" t="str">
        <x:v>12sl_statements.csv；ecg_id=6471；statements_ext_snomed</x:v>
      </x:c>
      <x:c r="L790" s="12"/>
      <x:c r="M790" s="12" t="str">
        <x:v>negative</x:v>
      </x:c>
      <x:c r="N790" s="12"/>
      <x:c r="O790" s="12" t="str">
        <x:v>negative</x:v>
      </x:c>
      <x:c r="P790" s="12" t="str">
        <x:f>IF(OR(M790="unavailable",O790="unavailable"),"不可评价",IF(OR(M790="equivocal",O790="equivocal"),"疑似",IF(AND(M790="positive",O790="positive"),"a",IF(O790="positive","b",IF(M790="positive","c","d")))))</x:f>
        <x:v>d</x:v>
      </x:c>
      <x:c r="Q790" s="12"/>
      <x:c r="R790" s="12" t="str">
        <x:v>negative</x:v>
      </x:c>
      <x:c r="S790" s="12"/>
      <x:c r="T790" s="12" t="str">
        <x:v>negative</x:v>
      </x:c>
      <x:c r="U790" s="12" t="str">
        <x:f>IF(OR(R790="unavailable",T790="unavailable"),"不可评价",IF(OR(R790="equivocal",T790="equivocal"),"疑似",IF(AND(R790="positive",T790="positive"),"a",IF(T790="positive","b",IF(R790="positive","c","d")))))</x:f>
        <x:v>d</x:v>
      </x:c>
      <x:c r="V790" s="12"/>
      <x:c r="W790" s="12" t="str">
        <x:v>negative</x:v>
      </x:c>
      <x:c r="X790" s="12"/>
      <x:c r="Y790" s="12" t="str">
        <x:v>negative</x:v>
      </x:c>
      <x:c r="Z790" s="12" t="str">
        <x:f>IF(OR(W790="unavailable",Y790="unavailable"),"不可评价",IF(OR(W790="equivocal",Y790="equivocal"),"疑似",IF(AND(W790="positive",Y790="positive"),"a",IF(Y790="positive","b",IF(W790="positive","c","d")))))</x:f>
        <x:v>d</x:v>
      </x:c>
      <x:c r="AA790" s="12" t="str">
        <x:f>IF(OR(M790="unavailable",O790="unavailable"),"不可评价",IF(AND(OR(M790="positive",M790="equivocal"),OR(O790="positive",O790="equivocal")),"a",IF(OR(O790="positive",O790="equivocal"),"b",IF(OR(M790="positive",M790="equivocal"),"c","d"))))</x:f>
        <x:v>d</x:v>
      </x:c>
      <x:c r="AB790" s="12" t="str">
        <x:f>IF(OR(M790="unavailable",O790="unavailable"),"不可评价",IF(AND(M790="positive",O790="positive"),"a",IF(O790="positive","b",IF(M790="positive","c","d"))))</x:f>
        <x:v>d</x:v>
      </x:c>
      <x:c r="AC790" s="12" t="str">
        <x:f>IF(OR(R790="unavailable",T790="unavailable"),"不可评价",IF(AND(OR(R790="positive",R790="equivocal"),OR(T790="positive",T790="equivocal")),"a",IF(OR(T790="positive",T790="equivocal"),"b",IF(OR(R790="positive",R790="equivocal"),"c","d"))))</x:f>
        <x:v>d</x:v>
      </x:c>
      <x:c r="AD790" s="12" t="str">
        <x:f>IF(OR(R790="unavailable",T790="unavailable"),"不可评价",IF(AND(R790="positive",T790="positive"),"a",IF(T790="positive","b",IF(R790="positive","c","d"))))</x:f>
        <x:v>d</x:v>
      </x:c>
      <x:c r="AE790" s="12" t="str">
        <x:f>IF(OR(W790="unavailable",Y790="unavailable"),"不可评价",IF(AND(OR(W790="positive",W790="equivocal"),OR(Y790="positive",Y790="equivocal")),"a",IF(OR(Y790="positive",Y790="equivocal"),"b",IF(OR(W790="positive",W790="equivocal"),"c","d"))))</x:f>
        <x:v>d</x:v>
      </x:c>
      <x:c r="AF790" s="12" t="str">
        <x:f>IF(OR(W790="unavailable",Y790="unavailable"),"不可评价",IF(AND(W790="positive",Y790="positive"),"a",IF(Y790="positive","b",IF(W790="positive","c","d"))))</x:f>
        <x:v>d</x:v>
      </x:c>
    </x:row>
    <x:row r="791" ht="24" customHeight="1">
      <x:c r="A791" s="12" t="str">
        <x:v>6498</x:v>
      </x:c>
      <x:c r="B791" s="12" t="str">
        <x:v>933</x:v>
      </x:c>
      <x:c r="C791" s="21" t="n">
        <x:v>33435.474375</x:v>
      </x:c>
      <x:c r="D791" s="12" t="n">
        <x:v>54</x:v>
      </x:c>
      <x:c r="E791" s="12" t="n">
        <x:v>0</x:v>
      </x:c>
      <x:c r="F791" s="12" t="str">
        <x:v>未记录</x:v>
      </x:c>
      <x:c r="G791" s="12" t="n">
        <x:v>1</x:v>
      </x:c>
      <x:c r="H791" s="12" t="str">
        <x:v>{'NORM': 80.0, 'STD_': 0.0, 'SR': 0.0}</x:v>
      </x:c>
      <x:c r="I791" s="12" t="str">
        <x:v>[('NSR', 100.0), ('NST', 100.0), ('AB', 100.0)]</x:v>
      </x:c>
      <x:c r="J791" s="12" t="str">
        <x:v>ptbxl_database.csv；ecg_id=6498；scp_codes</x:v>
      </x:c>
      <x:c r="K791" s="12" t="str">
        <x:v>12sl_statements.csv；ecg_id=6498；statements_ext_snomed</x:v>
      </x:c>
      <x:c r="L791" s="12"/>
      <x:c r="M791" s="12" t="str">
        <x:v>negative</x:v>
      </x:c>
      <x:c r="N791" s="12"/>
      <x:c r="O791" s="12" t="str">
        <x:v>negative</x:v>
      </x:c>
      <x:c r="P791" s="12" t="str">
        <x:f>IF(OR(M791="unavailable",O791="unavailable"),"不可评价",IF(OR(M791="equivocal",O791="equivocal"),"疑似",IF(AND(M791="positive",O791="positive"),"a",IF(O791="positive","b",IF(M791="positive","c","d")))))</x:f>
        <x:v>d</x:v>
      </x:c>
      <x:c r="Q791" s="12"/>
      <x:c r="R791" s="12" t="str">
        <x:v>negative</x:v>
      </x:c>
      <x:c r="S791" s="12"/>
      <x:c r="T791" s="12" t="str">
        <x:v>negative</x:v>
      </x:c>
      <x:c r="U791" s="12" t="str">
        <x:f>IF(OR(R791="unavailable",T791="unavailable"),"不可评价",IF(OR(R791="equivocal",T791="equivocal"),"疑似",IF(AND(R791="positive",T791="positive"),"a",IF(T791="positive","b",IF(R791="positive","c","d")))))</x:f>
        <x:v>d</x:v>
      </x:c>
      <x:c r="V791" s="12"/>
      <x:c r="W791" s="12" t="str">
        <x:v>negative</x:v>
      </x:c>
      <x:c r="X791" s="12"/>
      <x:c r="Y791" s="12" t="str">
        <x:v>negative</x:v>
      </x:c>
      <x:c r="Z791" s="12" t="str">
        <x:f>IF(OR(W791="unavailable",Y791="unavailable"),"不可评价",IF(OR(W791="equivocal",Y791="equivocal"),"疑似",IF(AND(W791="positive",Y791="positive"),"a",IF(Y791="positive","b",IF(W791="positive","c","d")))))</x:f>
        <x:v>d</x:v>
      </x:c>
      <x:c r="AA791" s="12" t="str">
        <x:f>IF(OR(M791="unavailable",O791="unavailable"),"不可评价",IF(AND(OR(M791="positive",M791="equivocal"),OR(O791="positive",O791="equivocal")),"a",IF(OR(O791="positive",O791="equivocal"),"b",IF(OR(M791="positive",M791="equivocal"),"c","d"))))</x:f>
        <x:v>d</x:v>
      </x:c>
      <x:c r="AB791" s="12" t="str">
        <x:f>IF(OR(M791="unavailable",O791="unavailable"),"不可评价",IF(AND(M791="positive",O791="positive"),"a",IF(O791="positive","b",IF(M791="positive","c","d"))))</x:f>
        <x:v>d</x:v>
      </x:c>
      <x:c r="AC791" s="12" t="str">
        <x:f>IF(OR(R791="unavailable",T791="unavailable"),"不可评价",IF(AND(OR(R791="positive",R791="equivocal"),OR(T791="positive",T791="equivocal")),"a",IF(OR(T791="positive",T791="equivocal"),"b",IF(OR(R791="positive",R791="equivocal"),"c","d"))))</x:f>
        <x:v>d</x:v>
      </x:c>
      <x:c r="AD791" s="12" t="str">
        <x:f>IF(OR(R791="unavailable",T791="unavailable"),"不可评价",IF(AND(R791="positive",T791="positive"),"a",IF(T791="positive","b",IF(R791="positive","c","d"))))</x:f>
        <x:v>d</x:v>
      </x:c>
      <x:c r="AE791" s="12" t="str">
        <x:f>IF(OR(W791="unavailable",Y791="unavailable"),"不可评价",IF(AND(OR(W791="positive",W791="equivocal"),OR(Y791="positive",Y791="equivocal")),"a",IF(OR(Y791="positive",Y791="equivocal"),"b",IF(OR(W791="positive",W791="equivocal"),"c","d"))))</x:f>
        <x:v>d</x:v>
      </x:c>
      <x:c r="AF791" s="12" t="str">
        <x:f>IF(OR(W791="unavailable",Y791="unavailable"),"不可评价",IF(AND(W791="positive",Y791="positive"),"a",IF(Y791="positive","b",IF(W791="positive","c","d"))))</x:f>
        <x:v>d</x:v>
      </x:c>
    </x:row>
    <x:row r="792" ht="24" customHeight="1">
      <x:c r="A792" s="12" t="str">
        <x:v>6528</x:v>
      </x:c>
      <x:c r="B792" s="12" t="str">
        <x:v>8179</x:v>
      </x:c>
      <x:c r="C792" s="21" t="n">
        <x:v>33438.42664351852</x:v>
      </x:c>
      <x:c r="D792" s="12" t="n">
        <x:v>58</x:v>
      </x:c>
      <x:c r="E792" s="12" t="n">
        <x:v>0</x:v>
      </x:c>
      <x:c r="F792" s="12" t="str">
        <x:v>未记录</x:v>
      </x:c>
      <x:c r="G792" s="12" t="n">
        <x:v>0</x:v>
      </x:c>
      <x:c r="H792" s="12" t="str">
        <x:v>{'NORM': 50.0, 'SR': 0.0}</x:v>
      </x:c>
      <x:c r="I792" s="12" t="str">
        <x:v>[('NSR', 100.0), ('NML', 100.0)]</x:v>
      </x:c>
      <x:c r="J792" s="12" t="str">
        <x:v>ptbxl_database.csv；ecg_id=6528；scp_codes</x:v>
      </x:c>
      <x:c r="K792" s="12" t="str">
        <x:v>12sl_statements.csv；ecg_id=6528；statements_ext_snomed</x:v>
      </x:c>
      <x:c r="L792" s="12"/>
      <x:c r="M792" s="12" t="str">
        <x:v>negative</x:v>
      </x:c>
      <x:c r="N792" s="12"/>
      <x:c r="O792" s="12" t="str">
        <x:v>negative</x:v>
      </x:c>
      <x:c r="P792" s="12" t="str">
        <x:f>IF(OR(M792="unavailable",O792="unavailable"),"不可评价",IF(OR(M792="equivocal",O792="equivocal"),"疑似",IF(AND(M792="positive",O792="positive"),"a",IF(O792="positive","b",IF(M792="positive","c","d")))))</x:f>
        <x:v>d</x:v>
      </x:c>
      <x:c r="Q792" s="12"/>
      <x:c r="R792" s="12" t="str">
        <x:v>negative</x:v>
      </x:c>
      <x:c r="S792" s="12"/>
      <x:c r="T792" s="12" t="str">
        <x:v>negative</x:v>
      </x:c>
      <x:c r="U792" s="12" t="str">
        <x:f>IF(OR(R792="unavailable",T792="unavailable"),"不可评价",IF(OR(R792="equivocal",T792="equivocal"),"疑似",IF(AND(R792="positive",T792="positive"),"a",IF(T792="positive","b",IF(R792="positive","c","d")))))</x:f>
        <x:v>d</x:v>
      </x:c>
      <x:c r="V792" s="12"/>
      <x:c r="W792" s="12" t="str">
        <x:v>negative</x:v>
      </x:c>
      <x:c r="X792" s="12"/>
      <x:c r="Y792" s="12" t="str">
        <x:v>negative</x:v>
      </x:c>
      <x:c r="Z792" s="12" t="str">
        <x:f>IF(OR(W792="unavailable",Y792="unavailable"),"不可评价",IF(OR(W792="equivocal",Y792="equivocal"),"疑似",IF(AND(W792="positive",Y792="positive"),"a",IF(Y792="positive","b",IF(W792="positive","c","d")))))</x:f>
        <x:v>d</x:v>
      </x:c>
      <x:c r="AA792" s="12" t="str">
        <x:f>IF(OR(M792="unavailable",O792="unavailable"),"不可评价",IF(AND(OR(M792="positive",M792="equivocal"),OR(O792="positive",O792="equivocal")),"a",IF(OR(O792="positive",O792="equivocal"),"b",IF(OR(M792="positive",M792="equivocal"),"c","d"))))</x:f>
        <x:v>d</x:v>
      </x:c>
      <x:c r="AB792" s="12" t="str">
        <x:f>IF(OR(M792="unavailable",O792="unavailable"),"不可评价",IF(AND(M792="positive",O792="positive"),"a",IF(O792="positive","b",IF(M792="positive","c","d"))))</x:f>
        <x:v>d</x:v>
      </x:c>
      <x:c r="AC792" s="12" t="str">
        <x:f>IF(OR(R792="unavailable",T792="unavailable"),"不可评价",IF(AND(OR(R792="positive",R792="equivocal"),OR(T792="positive",T792="equivocal")),"a",IF(OR(T792="positive",T792="equivocal"),"b",IF(OR(R792="positive",R792="equivocal"),"c","d"))))</x:f>
        <x:v>d</x:v>
      </x:c>
      <x:c r="AD792" s="12" t="str">
        <x:f>IF(OR(R792="unavailable",T792="unavailable"),"不可评价",IF(AND(R792="positive",T792="positive"),"a",IF(T792="positive","b",IF(R792="positive","c","d"))))</x:f>
        <x:v>d</x:v>
      </x:c>
      <x:c r="AE792" s="12" t="str">
        <x:f>IF(OR(W792="unavailable",Y792="unavailable"),"不可评价",IF(AND(OR(W792="positive",W792="equivocal"),OR(Y792="positive",Y792="equivocal")),"a",IF(OR(Y792="positive",Y792="equivocal"),"b",IF(OR(W792="positive",W792="equivocal"),"c","d"))))</x:f>
        <x:v>d</x:v>
      </x:c>
      <x:c r="AF792" s="12" t="str">
        <x:f>IF(OR(W792="unavailable",Y792="unavailable"),"不可评价",IF(AND(W792="positive",Y792="positive"),"a",IF(Y792="positive","b",IF(W792="positive","c","d"))))</x:f>
        <x:v>d</x:v>
      </x:c>
    </x:row>
    <x:row r="793" ht="24" customHeight="1">
      <x:c r="A793" s="12" t="str">
        <x:v>6542</x:v>
      </x:c>
      <x:c r="B793" s="12" t="str">
        <x:v>2825</x:v>
      </x:c>
      <x:c r="C793" s="21" t="n">
        <x:v>33440.50304398148</x:v>
      </x:c>
      <x:c r="D793" s="12" t="n">
        <x:v>77</x:v>
      </x:c>
      <x:c r="E793" s="12" t="n">
        <x:v>1</x:v>
      </x:c>
      <x:c r="F793" s="12" t="str">
        <x:v>未记录</x:v>
      </x:c>
      <x:c r="G793" s="12" t="n">
        <x:v>1</x:v>
      </x:c>
      <x:c r="H793" s="12" t="str">
        <x:v>{'IRBBB': 100.0, 'SR': 0.0}</x:v>
      </x:c>
      <x:c r="I793" s="12" t="str">
        <x:v>[('NSR', 100.0), ('LAE', 50.0), ('BORDE', 100.0)]</x:v>
      </x:c>
      <x:c r="J793" s="12" t="str">
        <x:v>ptbxl_database.csv；ecg_id=6542；scp_codes</x:v>
      </x:c>
      <x:c r="K793" s="12" t="str">
        <x:v>12sl_statements.csv；ecg_id=6542；statements_ext_snomed</x:v>
      </x:c>
      <x:c r="L793" s="12"/>
      <x:c r="M793" s="12" t="str">
        <x:v>negative</x:v>
      </x:c>
      <x:c r="N793" s="12"/>
      <x:c r="O793" s="12" t="str">
        <x:v>negative</x:v>
      </x:c>
      <x:c r="P793" s="12" t="str">
        <x:f>IF(OR(M793="unavailable",O793="unavailable"),"不可评价",IF(OR(M793="equivocal",O793="equivocal"),"疑似",IF(AND(M793="positive",O793="positive"),"a",IF(O793="positive","b",IF(M793="positive","c","d")))))</x:f>
        <x:v>d</x:v>
      </x:c>
      <x:c r="Q793" s="12"/>
      <x:c r="R793" s="12" t="str">
        <x:v>negative</x:v>
      </x:c>
      <x:c r="S793" s="12"/>
      <x:c r="T793" s="12" t="str">
        <x:v>negative</x:v>
      </x:c>
      <x:c r="U793" s="12" t="str">
        <x:f>IF(OR(R793="unavailable",T793="unavailable"),"不可评价",IF(OR(R793="equivocal",T793="equivocal"),"疑似",IF(AND(R793="positive",T793="positive"),"a",IF(T793="positive","b",IF(R793="positive","c","d")))))</x:f>
        <x:v>d</x:v>
      </x:c>
      <x:c r="V793" s="12"/>
      <x:c r="W793" s="12" t="str">
        <x:v>negative</x:v>
      </x:c>
      <x:c r="X793" s="12"/>
      <x:c r="Y793" s="12" t="str">
        <x:v>negative</x:v>
      </x:c>
      <x:c r="Z793" s="12" t="str">
        <x:f>IF(OR(W793="unavailable",Y793="unavailable"),"不可评价",IF(OR(W793="equivocal",Y793="equivocal"),"疑似",IF(AND(W793="positive",Y793="positive"),"a",IF(Y793="positive","b",IF(W793="positive","c","d")))))</x:f>
        <x:v>d</x:v>
      </x:c>
      <x:c r="AA793" s="12" t="str">
        <x:f>IF(OR(M793="unavailable",O793="unavailable"),"不可评价",IF(AND(OR(M793="positive",M793="equivocal"),OR(O793="positive",O793="equivocal")),"a",IF(OR(O793="positive",O793="equivocal"),"b",IF(OR(M793="positive",M793="equivocal"),"c","d"))))</x:f>
        <x:v>d</x:v>
      </x:c>
      <x:c r="AB793" s="12" t="str">
        <x:f>IF(OR(M793="unavailable",O793="unavailable"),"不可评价",IF(AND(M793="positive",O793="positive"),"a",IF(O793="positive","b",IF(M793="positive","c","d"))))</x:f>
        <x:v>d</x:v>
      </x:c>
      <x:c r="AC793" s="12" t="str">
        <x:f>IF(OR(R793="unavailable",T793="unavailable"),"不可评价",IF(AND(OR(R793="positive",R793="equivocal"),OR(T793="positive",T793="equivocal")),"a",IF(OR(T793="positive",T793="equivocal"),"b",IF(OR(R793="positive",R793="equivocal"),"c","d"))))</x:f>
        <x:v>d</x:v>
      </x:c>
      <x:c r="AD793" s="12" t="str">
        <x:f>IF(OR(R793="unavailable",T793="unavailable"),"不可评价",IF(AND(R793="positive",T793="positive"),"a",IF(T793="positive","b",IF(R793="positive","c","d"))))</x:f>
        <x:v>d</x:v>
      </x:c>
      <x:c r="AE793" s="12" t="str">
        <x:f>IF(OR(W793="unavailable",Y793="unavailable"),"不可评价",IF(AND(OR(W793="positive",W793="equivocal"),OR(Y793="positive",Y793="equivocal")),"a",IF(OR(Y793="positive",Y793="equivocal"),"b",IF(OR(W793="positive",W793="equivocal"),"c","d"))))</x:f>
        <x:v>d</x:v>
      </x:c>
      <x:c r="AF793" s="12" t="str">
        <x:f>IF(OR(W793="unavailable",Y793="unavailable"),"不可评价",IF(AND(W793="positive",Y793="positive"),"a",IF(Y793="positive","b",IF(W793="positive","c","d"))))</x:f>
        <x:v>d</x:v>
      </x:c>
    </x:row>
    <x:row r="794" ht="39" customHeight="1">
      <x:c r="A794" s="12" t="str">
        <x:v>6552</x:v>
      </x:c>
      <x:c r="B794" s="12" t="str">
        <x:v>2538</x:v>
      </x:c>
      <x:c r="C794" s="21" t="n">
        <x:v>33440.7430787037</x:v>
      </x:c>
      <x:c r="D794" s="12" t="n">
        <x:v>87</x:v>
      </x:c>
      <x:c r="E794" s="12" t="n">
        <x:v>0</x:v>
      </x:c>
      <x:c r="F794" s="12" t="str">
        <x:v>未记录</x:v>
      </x:c>
      <x:c r="G794" s="12" t="n">
        <x:v>1</x:v>
      </x:c>
      <x:c r="H794" s="12" t="str">
        <x:v>{'ALMI': 100.0, 'ASMI': 100.0}</x:v>
      </x:c>
      <x:c r="I794" s="12" t="str">
        <x:v>[('NSR', 100.0), ('LAE', 50.0), ('LVH2', 100.0), ('2ST', 100.0), ('IMI;AU', 100.0), ('ALMI;AU', 100.0), ('AB', 100.0)]</x:v>
      </x:c>
      <x:c r="J794" s="12" t="str">
        <x:v>ptbxl_database.csv；ecg_id=6552；scp_codes</x:v>
      </x:c>
      <x:c r="K794" s="12" t="str">
        <x:v>12sl_statements.csv；ecg_id=6552；statements_ext_snomed</x:v>
      </x:c>
      <x:c r="L794" s="12"/>
      <x:c r="M794" s="12" t="str">
        <x:v>negative</x:v>
      </x:c>
      <x:c r="N794" s="12"/>
      <x:c r="O794" s="12" t="str">
        <x:v>negative</x:v>
      </x:c>
      <x:c r="P794" s="12" t="str">
        <x:f>IF(OR(M794="unavailable",O794="unavailable"),"不可评价",IF(OR(M794="equivocal",O794="equivocal"),"疑似",IF(AND(M794="positive",O794="positive"),"a",IF(O794="positive","b",IF(M794="positive","c","d")))))</x:f>
        <x:v>d</x:v>
      </x:c>
      <x:c r="Q794" s="12"/>
      <x:c r="R794" s="12" t="str">
        <x:v>negative</x:v>
      </x:c>
      <x:c r="S794" s="12"/>
      <x:c r="T794" s="12" t="str">
        <x:v>negative</x:v>
      </x:c>
      <x:c r="U794" s="12" t="str">
        <x:f>IF(OR(R794="unavailable",T794="unavailable"),"不可评价",IF(OR(R794="equivocal",T794="equivocal"),"疑似",IF(AND(R794="positive",T794="positive"),"a",IF(T794="positive","b",IF(R794="positive","c","d")))))</x:f>
        <x:v>d</x:v>
      </x:c>
      <x:c r="V794" s="12"/>
      <x:c r="W794" s="12" t="str">
        <x:v>negative</x:v>
      </x:c>
      <x:c r="X794" s="12"/>
      <x:c r="Y794" s="12" t="str">
        <x:v>negative</x:v>
      </x:c>
      <x:c r="Z794" s="12" t="str">
        <x:f>IF(OR(W794="unavailable",Y794="unavailable"),"不可评价",IF(OR(W794="equivocal",Y794="equivocal"),"疑似",IF(AND(W794="positive",Y794="positive"),"a",IF(Y794="positive","b",IF(W794="positive","c","d")))))</x:f>
        <x:v>d</x:v>
      </x:c>
      <x:c r="AA794" s="12" t="str">
        <x:f>IF(OR(M794="unavailable",O794="unavailable"),"不可评价",IF(AND(OR(M794="positive",M794="equivocal"),OR(O794="positive",O794="equivocal")),"a",IF(OR(O794="positive",O794="equivocal"),"b",IF(OR(M794="positive",M794="equivocal"),"c","d"))))</x:f>
        <x:v>d</x:v>
      </x:c>
      <x:c r="AB794" s="12" t="str">
        <x:f>IF(OR(M794="unavailable",O794="unavailable"),"不可评价",IF(AND(M794="positive",O794="positive"),"a",IF(O794="positive","b",IF(M794="positive","c","d"))))</x:f>
        <x:v>d</x:v>
      </x:c>
      <x:c r="AC794" s="12" t="str">
        <x:f>IF(OR(R794="unavailable",T794="unavailable"),"不可评价",IF(AND(OR(R794="positive",R794="equivocal"),OR(T794="positive",T794="equivocal")),"a",IF(OR(T794="positive",T794="equivocal"),"b",IF(OR(R794="positive",R794="equivocal"),"c","d"))))</x:f>
        <x:v>d</x:v>
      </x:c>
      <x:c r="AD794" s="12" t="str">
        <x:f>IF(OR(R794="unavailable",T794="unavailable"),"不可评价",IF(AND(R794="positive",T794="positive"),"a",IF(T794="positive","b",IF(R794="positive","c","d"))))</x:f>
        <x:v>d</x:v>
      </x:c>
      <x:c r="AE794" s="12" t="str">
        <x:f>IF(OR(W794="unavailable",Y794="unavailable"),"不可评价",IF(AND(OR(W794="positive",W794="equivocal"),OR(Y794="positive",Y794="equivocal")),"a",IF(OR(Y794="positive",Y794="equivocal"),"b",IF(OR(W794="positive",W794="equivocal"),"c","d"))))</x:f>
        <x:v>d</x:v>
      </x:c>
      <x:c r="AF794" s="12" t="str">
        <x:f>IF(OR(W794="unavailable",Y794="unavailable"),"不可评价",IF(AND(W794="positive",Y794="positive"),"a",IF(Y794="positive","b",IF(W794="positive","c","d"))))</x:f>
        <x:v>d</x:v>
      </x:c>
    </x:row>
    <x:row r="795" ht="24" customHeight="1">
      <x:c r="A795" s="12" t="str">
        <x:v>6556</x:v>
      </x:c>
      <x:c r="B795" s="12" t="str">
        <x:v>4292</x:v>
      </x:c>
      <x:c r="C795" s="21" t="n">
        <x:v>33441.05059027778</x:v>
      </x:c>
      <x:c r="D795" s="12" t="n">
        <x:v>53</x:v>
      </x:c>
      <x:c r="E795" s="12" t="n">
        <x:v>0</x:v>
      </x:c>
      <x:c r="F795" s="12" t="str">
        <x:v>未记录</x:v>
      </x:c>
      <x:c r="G795" s="12" t="n">
        <x:v>1</x:v>
      </x:c>
      <x:c r="H795" s="12" t="str">
        <x:v>{'ASMI': 15.0, 'SR': 0.0}</x:v>
      </x:c>
      <x:c r="I795" s="12" t="str">
        <x:v>[('NSR', 100.0), ('SMI;AU', 100.0), ('AB', 100.0)]</x:v>
      </x:c>
      <x:c r="J795" s="12" t="str">
        <x:v>ptbxl_database.csv；ecg_id=6556；scp_codes</x:v>
      </x:c>
      <x:c r="K795" s="12" t="str">
        <x:v>12sl_statements.csv；ecg_id=6556；statements_ext_snomed</x:v>
      </x:c>
      <x:c r="L795" s="12"/>
      <x:c r="M795" s="12" t="str">
        <x:v>negative</x:v>
      </x:c>
      <x:c r="N795" s="12"/>
      <x:c r="O795" s="12" t="str">
        <x:v>negative</x:v>
      </x:c>
      <x:c r="P795" s="12" t="str">
        <x:f>IF(OR(M795="unavailable",O795="unavailable"),"不可评价",IF(OR(M795="equivocal",O795="equivocal"),"疑似",IF(AND(M795="positive",O795="positive"),"a",IF(O795="positive","b",IF(M795="positive","c","d")))))</x:f>
        <x:v>d</x:v>
      </x:c>
      <x:c r="Q795" s="12"/>
      <x:c r="R795" s="12" t="str">
        <x:v>negative</x:v>
      </x:c>
      <x:c r="S795" s="12"/>
      <x:c r="T795" s="12" t="str">
        <x:v>negative</x:v>
      </x:c>
      <x:c r="U795" s="12" t="str">
        <x:f>IF(OR(R795="unavailable",T795="unavailable"),"不可评价",IF(OR(R795="equivocal",T795="equivocal"),"疑似",IF(AND(R795="positive",T795="positive"),"a",IF(T795="positive","b",IF(R795="positive","c","d")))))</x:f>
        <x:v>d</x:v>
      </x:c>
      <x:c r="V795" s="12"/>
      <x:c r="W795" s="12" t="str">
        <x:v>negative</x:v>
      </x:c>
      <x:c r="X795" s="12"/>
      <x:c r="Y795" s="12" t="str">
        <x:v>negative</x:v>
      </x:c>
      <x:c r="Z795" s="12" t="str">
        <x:f>IF(OR(W795="unavailable",Y795="unavailable"),"不可评价",IF(OR(W795="equivocal",Y795="equivocal"),"疑似",IF(AND(W795="positive",Y795="positive"),"a",IF(Y795="positive","b",IF(W795="positive","c","d")))))</x:f>
        <x:v>d</x:v>
      </x:c>
      <x:c r="AA795" s="12" t="str">
        <x:f>IF(OR(M795="unavailable",O795="unavailable"),"不可评价",IF(AND(OR(M795="positive",M795="equivocal"),OR(O795="positive",O795="equivocal")),"a",IF(OR(O795="positive",O795="equivocal"),"b",IF(OR(M795="positive",M795="equivocal"),"c","d"))))</x:f>
        <x:v>d</x:v>
      </x:c>
      <x:c r="AB795" s="12" t="str">
        <x:f>IF(OR(M795="unavailable",O795="unavailable"),"不可评价",IF(AND(M795="positive",O795="positive"),"a",IF(O795="positive","b",IF(M795="positive","c","d"))))</x:f>
        <x:v>d</x:v>
      </x:c>
      <x:c r="AC795" s="12" t="str">
        <x:f>IF(OR(R795="unavailable",T795="unavailable"),"不可评价",IF(AND(OR(R795="positive",R795="equivocal"),OR(T795="positive",T795="equivocal")),"a",IF(OR(T795="positive",T795="equivocal"),"b",IF(OR(R795="positive",R795="equivocal"),"c","d"))))</x:f>
        <x:v>d</x:v>
      </x:c>
      <x:c r="AD795" s="12" t="str">
        <x:f>IF(OR(R795="unavailable",T795="unavailable"),"不可评价",IF(AND(R795="positive",T795="positive"),"a",IF(T795="positive","b",IF(R795="positive","c","d"))))</x:f>
        <x:v>d</x:v>
      </x:c>
      <x:c r="AE795" s="12" t="str">
        <x:f>IF(OR(W795="unavailable",Y795="unavailable"),"不可评价",IF(AND(OR(W795="positive",W795="equivocal"),OR(Y795="positive",Y795="equivocal")),"a",IF(OR(Y795="positive",Y795="equivocal"),"b",IF(OR(W795="positive",W795="equivocal"),"c","d"))))</x:f>
        <x:v>d</x:v>
      </x:c>
      <x:c r="AF795" s="12" t="str">
        <x:f>IF(OR(W795="unavailable",Y795="unavailable"),"不可评价",IF(AND(W795="positive",Y795="positive"),"a",IF(Y795="positive","b",IF(W795="positive","c","d"))))</x:f>
        <x:v>d</x:v>
      </x:c>
    </x:row>
    <x:row r="796" ht="24" customHeight="1">
      <x:c r="A796" s="12" t="str">
        <x:v>6562</x:v>
      </x:c>
      <x:c r="B796" s="12" t="str">
        <x:v>5729</x:v>
      </x:c>
      <x:c r="C796" s="21" t="n">
        <x:v>33441.57324074074</x:v>
      </x:c>
      <x:c r="D796" s="12" t="n">
        <x:v>79</x:v>
      </x:c>
      <x:c r="E796" s="12" t="n">
        <x:v>1</x:v>
      </x:c>
      <x:c r="F796" s="12" t="str">
        <x:v>未记录</x:v>
      </x:c>
      <x:c r="G796" s="12" t="n">
        <x:v>1</x:v>
      </x:c>
      <x:c r="H796" s="12" t="str">
        <x:v>{'IRBBB': 80.0, 'PAC': 0.0, 'SR': 0.0}</x:v>
      </x:c>
      <x:c r="I796" s="12" t="str">
        <x:v>[('STACH', 100.0), ('PSVC', 100.0), ('IRBBB', 100.0), ('BORDE', 100.0)]</x:v>
      </x:c>
      <x:c r="J796" s="12" t="str">
        <x:v>ptbxl_database.csv；ecg_id=6562；scp_codes</x:v>
      </x:c>
      <x:c r="K796" s="12" t="str">
        <x:v>12sl_statements.csv；ecg_id=6562；statements_ext_snomed</x:v>
      </x:c>
      <x:c r="L796" s="12"/>
      <x:c r="M796" s="12" t="str">
        <x:v>negative</x:v>
      </x:c>
      <x:c r="N796" s="12"/>
      <x:c r="O796" s="12" t="str">
        <x:v>negative</x:v>
      </x:c>
      <x:c r="P796" s="12" t="str">
        <x:f>IF(OR(M796="unavailable",O796="unavailable"),"不可评价",IF(OR(M796="equivocal",O796="equivocal"),"疑似",IF(AND(M796="positive",O796="positive"),"a",IF(O796="positive","b",IF(M796="positive","c","d")))))</x:f>
        <x:v>d</x:v>
      </x:c>
      <x:c r="Q796" s="12"/>
      <x:c r="R796" s="12" t="str">
        <x:v>negative</x:v>
      </x:c>
      <x:c r="S796" s="12"/>
      <x:c r="T796" s="12" t="str">
        <x:v>negative</x:v>
      </x:c>
      <x:c r="U796" s="12" t="str">
        <x:f>IF(OR(R796="unavailable",T796="unavailable"),"不可评价",IF(OR(R796="equivocal",T796="equivocal"),"疑似",IF(AND(R796="positive",T796="positive"),"a",IF(T796="positive","b",IF(R796="positive","c","d")))))</x:f>
        <x:v>d</x:v>
      </x:c>
      <x:c r="V796" s="12"/>
      <x:c r="W796" s="12" t="str">
        <x:v>negative</x:v>
      </x:c>
      <x:c r="X796" s="12"/>
      <x:c r="Y796" s="12" t="str">
        <x:v>negative</x:v>
      </x:c>
      <x:c r="Z796" s="12" t="str">
        <x:f>IF(OR(W796="unavailable",Y796="unavailable"),"不可评价",IF(OR(W796="equivocal",Y796="equivocal"),"疑似",IF(AND(W796="positive",Y796="positive"),"a",IF(Y796="positive","b",IF(W796="positive","c","d")))))</x:f>
        <x:v>d</x:v>
      </x:c>
      <x:c r="AA796" s="12" t="str">
        <x:f>IF(OR(M796="unavailable",O796="unavailable"),"不可评价",IF(AND(OR(M796="positive",M796="equivocal"),OR(O796="positive",O796="equivocal")),"a",IF(OR(O796="positive",O796="equivocal"),"b",IF(OR(M796="positive",M796="equivocal"),"c","d"))))</x:f>
        <x:v>d</x:v>
      </x:c>
      <x:c r="AB796" s="12" t="str">
        <x:f>IF(OR(M796="unavailable",O796="unavailable"),"不可评价",IF(AND(M796="positive",O796="positive"),"a",IF(O796="positive","b",IF(M796="positive","c","d"))))</x:f>
        <x:v>d</x:v>
      </x:c>
      <x:c r="AC796" s="12" t="str">
        <x:f>IF(OR(R796="unavailable",T796="unavailable"),"不可评价",IF(AND(OR(R796="positive",R796="equivocal"),OR(T796="positive",T796="equivocal")),"a",IF(OR(T796="positive",T796="equivocal"),"b",IF(OR(R796="positive",R796="equivocal"),"c","d"))))</x:f>
        <x:v>d</x:v>
      </x:c>
      <x:c r="AD796" s="12" t="str">
        <x:f>IF(OR(R796="unavailable",T796="unavailable"),"不可评价",IF(AND(R796="positive",T796="positive"),"a",IF(T796="positive","b",IF(R796="positive","c","d"))))</x:f>
        <x:v>d</x:v>
      </x:c>
      <x:c r="AE796" s="12" t="str">
        <x:f>IF(OR(W796="unavailable",Y796="unavailable"),"不可评价",IF(AND(OR(W796="positive",W796="equivocal"),OR(Y796="positive",Y796="equivocal")),"a",IF(OR(Y796="positive",Y796="equivocal"),"b",IF(OR(W796="positive",W796="equivocal"),"c","d"))))</x:f>
        <x:v>d</x:v>
      </x:c>
      <x:c r="AF796" s="12" t="str">
        <x:f>IF(OR(W796="unavailable",Y796="unavailable"),"不可评价",IF(AND(W796="positive",Y796="positive"),"a",IF(Y796="positive","b",IF(W796="positive","c","d"))))</x:f>
        <x:v>d</x:v>
      </x:c>
    </x:row>
    <x:row r="797" ht="24" customHeight="1">
      <x:c r="A797" s="12" t="str">
        <x:v>6577</x:v>
      </x:c>
      <x:c r="B797" s="12" t="str">
        <x:v>406</x:v>
      </x:c>
      <x:c r="C797" s="21" t="n">
        <x:v>33442.569236111114</x:v>
      </x:c>
      <x:c r="D797" s="12" t="n">
        <x:v>52</x:v>
      </x:c>
      <x:c r="E797" s="12" t="n">
        <x:v>0</x:v>
      </x:c>
      <x:c r="F797" s="12" t="str">
        <x:v>未记录</x:v>
      </x:c>
      <x:c r="G797" s="12" t="n">
        <x:v>0</x:v>
      </x:c>
      <x:c r="H797" s="12" t="str">
        <x:v>{'NORM': 80.0, 'SR': 0.0}</x:v>
      </x:c>
      <x:c r="I797" s="12" t="str">
        <x:v>[('NSR', 100.0), ('IRBBB', 100.0), ('BORDE', 100.0)]</x:v>
      </x:c>
      <x:c r="J797" s="12" t="str">
        <x:v>ptbxl_database.csv；ecg_id=6577；scp_codes</x:v>
      </x:c>
      <x:c r="K797" s="12" t="str">
        <x:v>12sl_statements.csv；ecg_id=6577；statements_ext_snomed</x:v>
      </x:c>
      <x:c r="L797" s="12"/>
      <x:c r="M797" s="12" t="str">
        <x:v>negative</x:v>
      </x:c>
      <x:c r="N797" s="12"/>
      <x:c r="O797" s="12" t="str">
        <x:v>negative</x:v>
      </x:c>
      <x:c r="P797" s="12" t="str">
        <x:f>IF(OR(M797="unavailable",O797="unavailable"),"不可评价",IF(OR(M797="equivocal",O797="equivocal"),"疑似",IF(AND(M797="positive",O797="positive"),"a",IF(O797="positive","b",IF(M797="positive","c","d")))))</x:f>
        <x:v>d</x:v>
      </x:c>
      <x:c r="Q797" s="12"/>
      <x:c r="R797" s="12" t="str">
        <x:v>negative</x:v>
      </x:c>
      <x:c r="S797" s="12"/>
      <x:c r="T797" s="12" t="str">
        <x:v>negative</x:v>
      </x:c>
      <x:c r="U797" s="12" t="str">
        <x:f>IF(OR(R797="unavailable",T797="unavailable"),"不可评价",IF(OR(R797="equivocal",T797="equivocal"),"疑似",IF(AND(R797="positive",T797="positive"),"a",IF(T797="positive","b",IF(R797="positive","c","d")))))</x:f>
        <x:v>d</x:v>
      </x:c>
      <x:c r="V797" s="12"/>
      <x:c r="W797" s="12" t="str">
        <x:v>negative</x:v>
      </x:c>
      <x:c r="X797" s="12"/>
      <x:c r="Y797" s="12" t="str">
        <x:v>negative</x:v>
      </x:c>
      <x:c r="Z797" s="12" t="str">
        <x:f>IF(OR(W797="unavailable",Y797="unavailable"),"不可评价",IF(OR(W797="equivocal",Y797="equivocal"),"疑似",IF(AND(W797="positive",Y797="positive"),"a",IF(Y797="positive","b",IF(W797="positive","c","d")))))</x:f>
        <x:v>d</x:v>
      </x:c>
      <x:c r="AA797" s="12" t="str">
        <x:f>IF(OR(M797="unavailable",O797="unavailable"),"不可评价",IF(AND(OR(M797="positive",M797="equivocal"),OR(O797="positive",O797="equivocal")),"a",IF(OR(O797="positive",O797="equivocal"),"b",IF(OR(M797="positive",M797="equivocal"),"c","d"))))</x:f>
        <x:v>d</x:v>
      </x:c>
      <x:c r="AB797" s="12" t="str">
        <x:f>IF(OR(M797="unavailable",O797="unavailable"),"不可评价",IF(AND(M797="positive",O797="positive"),"a",IF(O797="positive","b",IF(M797="positive","c","d"))))</x:f>
        <x:v>d</x:v>
      </x:c>
      <x:c r="AC797" s="12" t="str">
        <x:f>IF(OR(R797="unavailable",T797="unavailable"),"不可评价",IF(AND(OR(R797="positive",R797="equivocal"),OR(T797="positive",T797="equivocal")),"a",IF(OR(T797="positive",T797="equivocal"),"b",IF(OR(R797="positive",R797="equivocal"),"c","d"))))</x:f>
        <x:v>d</x:v>
      </x:c>
      <x:c r="AD797" s="12" t="str">
        <x:f>IF(OR(R797="unavailable",T797="unavailable"),"不可评价",IF(AND(R797="positive",T797="positive"),"a",IF(T797="positive","b",IF(R797="positive","c","d"))))</x:f>
        <x:v>d</x:v>
      </x:c>
      <x:c r="AE797" s="12" t="str">
        <x:f>IF(OR(W797="unavailable",Y797="unavailable"),"不可评价",IF(AND(OR(W797="positive",W797="equivocal"),OR(Y797="positive",Y797="equivocal")),"a",IF(OR(Y797="positive",Y797="equivocal"),"b",IF(OR(W797="positive",W797="equivocal"),"c","d"))))</x:f>
        <x:v>d</x:v>
      </x:c>
      <x:c r="AF797" s="12" t="str">
        <x:f>IF(OR(W797="unavailable",Y797="unavailable"),"不可评价",IF(AND(W797="positive",Y797="positive"),"a",IF(Y797="positive","b",IF(W797="positive","c","d"))))</x:f>
        <x:v>d</x:v>
      </x:c>
    </x:row>
    <x:row r="798" ht="24" customHeight="1">
      <x:c r="A798" s="12" t="str">
        <x:v>6579</x:v>
      </x:c>
      <x:c r="B798" s="12" t="str">
        <x:v>7334</x:v>
      </x:c>
      <x:c r="C798" s="21" t="n">
        <x:v>33442.66527777778</x:v>
      </x:c>
      <x:c r="D798" s="12" t="n">
        <x:v>58</x:v>
      </x:c>
      <x:c r="E798" s="12" t="n">
        <x:v>0</x:v>
      </x:c>
      <x:c r="F798" s="12" t="str">
        <x:v>未记录</x:v>
      </x:c>
      <x:c r="G798" s="12" t="n">
        <x:v>1</x:v>
      </x:c>
      <x:c r="H798" s="12" t="str">
        <x:v>{'IRBBB': 100.0, 'SR': 0.0}</x:v>
      </x:c>
      <x:c r="I798" s="12" t="str">
        <x:v>[('NSR', 100.0), ('NML', 100.0)]</x:v>
      </x:c>
      <x:c r="J798" s="12" t="str">
        <x:v>ptbxl_database.csv；ecg_id=6579；scp_codes</x:v>
      </x:c>
      <x:c r="K798" s="12" t="str">
        <x:v>12sl_statements.csv；ecg_id=6579；statements_ext_snomed</x:v>
      </x:c>
      <x:c r="L798" s="12"/>
      <x:c r="M798" s="12" t="str">
        <x:v>negative</x:v>
      </x:c>
      <x:c r="N798" s="12"/>
      <x:c r="O798" s="12" t="str">
        <x:v>negative</x:v>
      </x:c>
      <x:c r="P798" s="12" t="str">
        <x:f>IF(OR(M798="unavailable",O798="unavailable"),"不可评价",IF(OR(M798="equivocal",O798="equivocal"),"疑似",IF(AND(M798="positive",O798="positive"),"a",IF(O798="positive","b",IF(M798="positive","c","d")))))</x:f>
        <x:v>d</x:v>
      </x:c>
      <x:c r="Q798" s="12"/>
      <x:c r="R798" s="12" t="str">
        <x:v>negative</x:v>
      </x:c>
      <x:c r="S798" s="12"/>
      <x:c r="T798" s="12" t="str">
        <x:v>negative</x:v>
      </x:c>
      <x:c r="U798" s="12" t="str">
        <x:f>IF(OR(R798="unavailable",T798="unavailable"),"不可评价",IF(OR(R798="equivocal",T798="equivocal"),"疑似",IF(AND(R798="positive",T798="positive"),"a",IF(T798="positive","b",IF(R798="positive","c","d")))))</x:f>
        <x:v>d</x:v>
      </x:c>
      <x:c r="V798" s="12"/>
      <x:c r="W798" s="12" t="str">
        <x:v>negative</x:v>
      </x:c>
      <x:c r="X798" s="12"/>
      <x:c r="Y798" s="12" t="str">
        <x:v>negative</x:v>
      </x:c>
      <x:c r="Z798" s="12" t="str">
        <x:f>IF(OR(W798="unavailable",Y798="unavailable"),"不可评价",IF(OR(W798="equivocal",Y798="equivocal"),"疑似",IF(AND(W798="positive",Y798="positive"),"a",IF(Y798="positive","b",IF(W798="positive","c","d")))))</x:f>
        <x:v>d</x:v>
      </x:c>
      <x:c r="AA798" s="12" t="str">
        <x:f>IF(OR(M798="unavailable",O798="unavailable"),"不可评价",IF(AND(OR(M798="positive",M798="equivocal"),OR(O798="positive",O798="equivocal")),"a",IF(OR(O798="positive",O798="equivocal"),"b",IF(OR(M798="positive",M798="equivocal"),"c","d"))))</x:f>
        <x:v>d</x:v>
      </x:c>
      <x:c r="AB798" s="12" t="str">
        <x:f>IF(OR(M798="unavailable",O798="unavailable"),"不可评价",IF(AND(M798="positive",O798="positive"),"a",IF(O798="positive","b",IF(M798="positive","c","d"))))</x:f>
        <x:v>d</x:v>
      </x:c>
      <x:c r="AC798" s="12" t="str">
        <x:f>IF(OR(R798="unavailable",T798="unavailable"),"不可评价",IF(AND(OR(R798="positive",R798="equivocal"),OR(T798="positive",T798="equivocal")),"a",IF(OR(T798="positive",T798="equivocal"),"b",IF(OR(R798="positive",R798="equivocal"),"c","d"))))</x:f>
        <x:v>d</x:v>
      </x:c>
      <x:c r="AD798" s="12" t="str">
        <x:f>IF(OR(R798="unavailable",T798="unavailable"),"不可评价",IF(AND(R798="positive",T798="positive"),"a",IF(T798="positive","b",IF(R798="positive","c","d"))))</x:f>
        <x:v>d</x:v>
      </x:c>
      <x:c r="AE798" s="12" t="str">
        <x:f>IF(OR(W798="unavailable",Y798="unavailable"),"不可评价",IF(AND(OR(W798="positive",W798="equivocal"),OR(Y798="positive",Y798="equivocal")),"a",IF(OR(Y798="positive",Y798="equivocal"),"b",IF(OR(W798="positive",W798="equivocal"),"c","d"))))</x:f>
        <x:v>d</x:v>
      </x:c>
      <x:c r="AF798" s="12" t="str">
        <x:f>IF(OR(W798="unavailable",Y798="unavailable"),"不可评价",IF(AND(W798="positive",Y798="positive"),"a",IF(Y798="positive","b",IF(W798="positive","c","d"))))</x:f>
        <x:v>d</x:v>
      </x:c>
    </x:row>
    <x:row r="799" ht="24" customHeight="1">
      <x:c r="A799" s="12" t="str">
        <x:v>6590</x:v>
      </x:c>
      <x:c r="B799" s="12" t="str">
        <x:v>2180</x:v>
      </x:c>
      <x:c r="C799" s="21" t="n">
        <x:v>33443.79667824074</x:v>
      </x:c>
      <x:c r="D799" s="12" t="n">
        <x:v>77</x:v>
      </x:c>
      <x:c r="E799" s="12" t="n">
        <x:v>0</x:v>
      </x:c>
      <x:c r="F799" s="12" t="str">
        <x:v>未记录</x:v>
      </x:c>
      <x:c r="G799" s="12" t="n">
        <x:v>1</x:v>
      </x:c>
      <x:c r="H799" s="12" t="str">
        <x:v>{'NDT': 100.0}</x:v>
      </x:c>
      <x:c r="I799" s="12" t="str">
        <x:v>[('NSR', 100.0), ('NT', 100.0), ('AB', 100.0)]</x:v>
      </x:c>
      <x:c r="J799" s="12" t="str">
        <x:v>ptbxl_database.csv；ecg_id=6590；scp_codes</x:v>
      </x:c>
      <x:c r="K799" s="12" t="str">
        <x:v>12sl_statements.csv；ecg_id=6590；statements_ext_snomed</x:v>
      </x:c>
      <x:c r="L799" s="12"/>
      <x:c r="M799" s="12" t="str">
        <x:v>negative</x:v>
      </x:c>
      <x:c r="N799" s="12"/>
      <x:c r="O799" s="12" t="str">
        <x:v>negative</x:v>
      </x:c>
      <x:c r="P799" s="12" t="str">
        <x:f>IF(OR(M799="unavailable",O799="unavailable"),"不可评价",IF(OR(M799="equivocal",O799="equivocal"),"疑似",IF(AND(M799="positive",O799="positive"),"a",IF(O799="positive","b",IF(M799="positive","c","d")))))</x:f>
        <x:v>d</x:v>
      </x:c>
      <x:c r="Q799" s="12"/>
      <x:c r="R799" s="12" t="str">
        <x:v>negative</x:v>
      </x:c>
      <x:c r="S799" s="12"/>
      <x:c r="T799" s="12" t="str">
        <x:v>negative</x:v>
      </x:c>
      <x:c r="U799" s="12" t="str">
        <x:f>IF(OR(R799="unavailable",T799="unavailable"),"不可评价",IF(OR(R799="equivocal",T799="equivocal"),"疑似",IF(AND(R799="positive",T799="positive"),"a",IF(T799="positive","b",IF(R799="positive","c","d")))))</x:f>
        <x:v>d</x:v>
      </x:c>
      <x:c r="V799" s="12"/>
      <x:c r="W799" s="12" t="str">
        <x:v>negative</x:v>
      </x:c>
      <x:c r="X799" s="12"/>
      <x:c r="Y799" s="12" t="str">
        <x:v>negative</x:v>
      </x:c>
      <x:c r="Z799" s="12" t="str">
        <x:f>IF(OR(W799="unavailable",Y799="unavailable"),"不可评价",IF(OR(W799="equivocal",Y799="equivocal"),"疑似",IF(AND(W799="positive",Y799="positive"),"a",IF(Y799="positive","b",IF(W799="positive","c","d")))))</x:f>
        <x:v>d</x:v>
      </x:c>
      <x:c r="AA799" s="12" t="str">
        <x:f>IF(OR(M799="unavailable",O799="unavailable"),"不可评价",IF(AND(OR(M799="positive",M799="equivocal"),OR(O799="positive",O799="equivocal")),"a",IF(OR(O799="positive",O799="equivocal"),"b",IF(OR(M799="positive",M799="equivocal"),"c","d"))))</x:f>
        <x:v>d</x:v>
      </x:c>
      <x:c r="AB799" s="12" t="str">
        <x:f>IF(OR(M799="unavailable",O799="unavailable"),"不可评价",IF(AND(M799="positive",O799="positive"),"a",IF(O799="positive","b",IF(M799="positive","c","d"))))</x:f>
        <x:v>d</x:v>
      </x:c>
      <x:c r="AC799" s="12" t="str">
        <x:f>IF(OR(R799="unavailable",T799="unavailable"),"不可评价",IF(AND(OR(R799="positive",R799="equivocal"),OR(T799="positive",T799="equivocal")),"a",IF(OR(T799="positive",T799="equivocal"),"b",IF(OR(R799="positive",R799="equivocal"),"c","d"))))</x:f>
        <x:v>d</x:v>
      </x:c>
      <x:c r="AD799" s="12" t="str">
        <x:f>IF(OR(R799="unavailable",T799="unavailable"),"不可评价",IF(AND(R799="positive",T799="positive"),"a",IF(T799="positive","b",IF(R799="positive","c","d"))))</x:f>
        <x:v>d</x:v>
      </x:c>
      <x:c r="AE799" s="12" t="str">
        <x:f>IF(OR(W799="unavailable",Y799="unavailable"),"不可评价",IF(AND(OR(W799="positive",W799="equivocal"),OR(Y799="positive",Y799="equivocal")),"a",IF(OR(Y799="positive",Y799="equivocal"),"b",IF(OR(W799="positive",W799="equivocal"),"c","d"))))</x:f>
        <x:v>d</x:v>
      </x:c>
      <x:c r="AF799" s="12" t="str">
        <x:f>IF(OR(W799="unavailable",Y799="unavailable"),"不可评价",IF(AND(W799="positive",Y799="positive"),"a",IF(Y799="positive","b",IF(W799="positive","c","d"))))</x:f>
        <x:v>d</x:v>
      </x:c>
    </x:row>
    <x:row r="800" ht="39" customHeight="1">
      <x:c r="A800" s="12" t="str">
        <x:v>6592</x:v>
      </x:c>
      <x:c r="B800" s="12" t="str">
        <x:v>1586</x:v>
      </x:c>
      <x:c r="C800" s="21" t="n">
        <x:v>33443.89934027778</x:v>
      </x:c>
      <x:c r="D800" s="12" t="n">
        <x:v>88</x:v>
      </x:c>
      <x:c r="E800" s="12" t="n">
        <x:v>0</x:v>
      </x:c>
      <x:c r="F800" s="12" t="str">
        <x:v>未记录</x:v>
      </x:c>
      <x:c r="G800" s="12" t="n">
        <x:v>1</x:v>
      </x:c>
      <x:c r="H800" s="12" t="str">
        <x:v>{'NDT': 100.0, 'LAFB': 100.0, '1AVB': 100.0, 'LPR': 0.0, 'VCLVH': 0.0, 'INVT': 0.0, 'SR': 0.0}</x:v>
      </x:c>
      <x:c r="I800" s="12" t="str">
        <x:v>[('SRTH', 100.0), ('FAV', 100.0), ('LAD3', 100.0), ('LVH2', 100.0), ('2ST', 100.0), ('LNGQT', 100.0), ('AB', 100.0)]</x:v>
      </x:c>
      <x:c r="J800" s="12" t="str">
        <x:v>ptbxl_database.csv；ecg_id=6592；scp_codes</x:v>
      </x:c>
      <x:c r="K800" s="12" t="str">
        <x:v>12sl_statements.csv；ecg_id=6592；statements_ext_snomed</x:v>
      </x:c>
      <x:c r="L800" s="12"/>
      <x:c r="M800" s="12" t="str">
        <x:v>negative</x:v>
      </x:c>
      <x:c r="N800" s="12"/>
      <x:c r="O800" s="12" t="str">
        <x:v>negative</x:v>
      </x:c>
      <x:c r="P800" s="12" t="str">
        <x:f>IF(OR(M800="unavailable",O800="unavailable"),"不可评价",IF(OR(M800="equivocal",O800="equivocal"),"疑似",IF(AND(M800="positive",O800="positive"),"a",IF(O800="positive","b",IF(M800="positive","c","d")))))</x:f>
        <x:v>d</x:v>
      </x:c>
      <x:c r="Q800" s="12"/>
      <x:c r="R800" s="12" t="str">
        <x:v>negative</x:v>
      </x:c>
      <x:c r="S800" s="12"/>
      <x:c r="T800" s="12" t="str">
        <x:v>negative</x:v>
      </x:c>
      <x:c r="U800" s="12" t="str">
        <x:f>IF(OR(R800="unavailable",T800="unavailable"),"不可评价",IF(OR(R800="equivocal",T800="equivocal"),"疑似",IF(AND(R800="positive",T800="positive"),"a",IF(T800="positive","b",IF(R800="positive","c","d")))))</x:f>
        <x:v>d</x:v>
      </x:c>
      <x:c r="V800" s="12"/>
      <x:c r="W800" s="12" t="str">
        <x:v>negative</x:v>
      </x:c>
      <x:c r="X800" s="12"/>
      <x:c r="Y800" s="12" t="str">
        <x:v>negative</x:v>
      </x:c>
      <x:c r="Z800" s="12" t="str">
        <x:f>IF(OR(W800="unavailable",Y800="unavailable"),"不可评价",IF(OR(W800="equivocal",Y800="equivocal"),"疑似",IF(AND(W800="positive",Y800="positive"),"a",IF(Y800="positive","b",IF(W800="positive","c","d")))))</x:f>
        <x:v>d</x:v>
      </x:c>
      <x:c r="AA800" s="12" t="str">
        <x:f>IF(OR(M800="unavailable",O800="unavailable"),"不可评价",IF(AND(OR(M800="positive",M800="equivocal"),OR(O800="positive",O800="equivocal")),"a",IF(OR(O800="positive",O800="equivocal"),"b",IF(OR(M800="positive",M800="equivocal"),"c","d"))))</x:f>
        <x:v>d</x:v>
      </x:c>
      <x:c r="AB800" s="12" t="str">
        <x:f>IF(OR(M800="unavailable",O800="unavailable"),"不可评价",IF(AND(M800="positive",O800="positive"),"a",IF(O800="positive","b",IF(M800="positive","c","d"))))</x:f>
        <x:v>d</x:v>
      </x:c>
      <x:c r="AC800" s="12" t="str">
        <x:f>IF(OR(R800="unavailable",T800="unavailable"),"不可评价",IF(AND(OR(R800="positive",R800="equivocal"),OR(T800="positive",T800="equivocal")),"a",IF(OR(T800="positive",T800="equivocal"),"b",IF(OR(R800="positive",R800="equivocal"),"c","d"))))</x:f>
        <x:v>d</x:v>
      </x:c>
      <x:c r="AD800" s="12" t="str">
        <x:f>IF(OR(R800="unavailable",T800="unavailable"),"不可评价",IF(AND(R800="positive",T800="positive"),"a",IF(T800="positive","b",IF(R800="positive","c","d"))))</x:f>
        <x:v>d</x:v>
      </x:c>
      <x:c r="AE800" s="12" t="str">
        <x:f>IF(OR(W800="unavailable",Y800="unavailable"),"不可评价",IF(AND(OR(W800="positive",W800="equivocal"),OR(Y800="positive",Y800="equivocal")),"a",IF(OR(Y800="positive",Y800="equivocal"),"b",IF(OR(W800="positive",W800="equivocal"),"c","d"))))</x:f>
        <x:v>d</x:v>
      </x:c>
      <x:c r="AF800" s="12" t="str">
        <x:f>IF(OR(W800="unavailable",Y800="unavailable"),"不可评价",IF(AND(W800="positive",Y800="positive"),"a",IF(Y800="positive","b",IF(W800="positive","c","d"))))</x:f>
        <x:v>d</x:v>
      </x:c>
    </x:row>
    <x:row r="801" ht="24" customHeight="1">
      <x:c r="A801" s="12" t="str">
        <x:v>6625</x:v>
      </x:c>
      <x:c r="B801" s="12" t="str">
        <x:v>4822</x:v>
      </x:c>
      <x:c r="C801" s="21" t="n">
        <x:v>33446.68173611111</x:v>
      </x:c>
      <x:c r="D801" s="12" t="n">
        <x:v>78</x:v>
      </x:c>
      <x:c r="E801" s="12" t="n">
        <x:v>1</x:v>
      </x:c>
      <x:c r="F801" s="12" t="str">
        <x:v>未记录</x:v>
      </x:c>
      <x:c r="G801" s="12" t="n">
        <x:v>1</x:v>
      </x:c>
      <x:c r="H801" s="12" t="str">
        <x:v>{'IMI': 50.0, 'LVH': 100.0, 'SR': 0.0}</x:v>
      </x:c>
      <x:c r="I801" s="12" t="str">
        <x:v>[('NSR', 100.0), ('NST', 100.0), ('AB', 100.0)]</x:v>
      </x:c>
      <x:c r="J801" s="12" t="str">
        <x:v>ptbxl_database.csv；ecg_id=6625；scp_codes</x:v>
      </x:c>
      <x:c r="K801" s="12" t="str">
        <x:v>12sl_statements.csv；ecg_id=6625；statements_ext_snomed</x:v>
      </x:c>
      <x:c r="L801" s="12"/>
      <x:c r="M801" s="12" t="str">
        <x:v>negative</x:v>
      </x:c>
      <x:c r="N801" s="12"/>
      <x:c r="O801" s="12" t="str">
        <x:v>negative</x:v>
      </x:c>
      <x:c r="P801" s="12" t="str">
        <x:f>IF(OR(M801="unavailable",O801="unavailable"),"不可评价",IF(OR(M801="equivocal",O801="equivocal"),"疑似",IF(AND(M801="positive",O801="positive"),"a",IF(O801="positive","b",IF(M801="positive","c","d")))))</x:f>
        <x:v>d</x:v>
      </x:c>
      <x:c r="Q801" s="12"/>
      <x:c r="R801" s="12" t="str">
        <x:v>negative</x:v>
      </x:c>
      <x:c r="S801" s="12"/>
      <x:c r="T801" s="12" t="str">
        <x:v>negative</x:v>
      </x:c>
      <x:c r="U801" s="12" t="str">
        <x:f>IF(OR(R801="unavailable",T801="unavailable"),"不可评价",IF(OR(R801="equivocal",T801="equivocal"),"疑似",IF(AND(R801="positive",T801="positive"),"a",IF(T801="positive","b",IF(R801="positive","c","d")))))</x:f>
        <x:v>d</x:v>
      </x:c>
      <x:c r="V801" s="12"/>
      <x:c r="W801" s="12" t="str">
        <x:v>negative</x:v>
      </x:c>
      <x:c r="X801" s="12"/>
      <x:c r="Y801" s="12" t="str">
        <x:v>negative</x:v>
      </x:c>
      <x:c r="Z801" s="12" t="str">
        <x:f>IF(OR(W801="unavailable",Y801="unavailable"),"不可评价",IF(OR(W801="equivocal",Y801="equivocal"),"疑似",IF(AND(W801="positive",Y801="positive"),"a",IF(Y801="positive","b",IF(W801="positive","c","d")))))</x:f>
        <x:v>d</x:v>
      </x:c>
      <x:c r="AA801" s="12" t="str">
        <x:f>IF(OR(M801="unavailable",O801="unavailable"),"不可评价",IF(AND(OR(M801="positive",M801="equivocal"),OR(O801="positive",O801="equivocal")),"a",IF(OR(O801="positive",O801="equivocal"),"b",IF(OR(M801="positive",M801="equivocal"),"c","d"))))</x:f>
        <x:v>d</x:v>
      </x:c>
      <x:c r="AB801" s="12" t="str">
        <x:f>IF(OR(M801="unavailable",O801="unavailable"),"不可评价",IF(AND(M801="positive",O801="positive"),"a",IF(O801="positive","b",IF(M801="positive","c","d"))))</x:f>
        <x:v>d</x:v>
      </x:c>
      <x:c r="AC801" s="12" t="str">
        <x:f>IF(OR(R801="unavailable",T801="unavailable"),"不可评价",IF(AND(OR(R801="positive",R801="equivocal"),OR(T801="positive",T801="equivocal")),"a",IF(OR(T801="positive",T801="equivocal"),"b",IF(OR(R801="positive",R801="equivocal"),"c","d"))))</x:f>
        <x:v>d</x:v>
      </x:c>
      <x:c r="AD801" s="12" t="str">
        <x:f>IF(OR(R801="unavailable",T801="unavailable"),"不可评价",IF(AND(R801="positive",T801="positive"),"a",IF(T801="positive","b",IF(R801="positive","c","d"))))</x:f>
        <x:v>d</x:v>
      </x:c>
      <x:c r="AE801" s="12" t="str">
        <x:f>IF(OR(W801="unavailable",Y801="unavailable"),"不可评价",IF(AND(OR(W801="positive",W801="equivocal"),OR(Y801="positive",Y801="equivocal")),"a",IF(OR(Y801="positive",Y801="equivocal"),"b",IF(OR(W801="positive",W801="equivocal"),"c","d"))))</x:f>
        <x:v>d</x:v>
      </x:c>
      <x:c r="AF801" s="12" t="str">
        <x:f>IF(OR(W801="unavailable",Y801="unavailable"),"不可评价",IF(AND(W801="positive",Y801="positive"),"a",IF(Y801="positive","b",IF(W801="positive","c","d"))))</x:f>
        <x:v>d</x:v>
      </x:c>
    </x:row>
    <x:row r="802" ht="39" customHeight="1">
      <x:c r="A802" s="12" t="str">
        <x:v>6666</x:v>
      </x:c>
      <x:c r="B802" s="12" t="str">
        <x:v>17805</x:v>
      </x:c>
      <x:c r="C802" s="21" t="n">
        <x:v>33450.61006944445</x:v>
      </x:c>
      <x:c r="D802" s="12" t="n">
        <x:v>84</x:v>
      </x:c>
      <x:c r="E802" s="12" t="n">
        <x:v>0</x:v>
      </x:c>
      <x:c r="F802" s="12" t="str">
        <x:v>未记录</x:v>
      </x:c>
      <x:c r="G802" s="12" t="n">
        <x:v>0</x:v>
      </x:c>
      <x:c r="H802" s="12" t="str">
        <x:v>{'ASMI': 100.0, 'LVH': 100.0, 'ISC_': 100.0, 'PVC': 100.0, 'AFIB': 0.0}</x:v>
      </x:c>
      <x:c r="I802" s="12" t="str">
        <x:v>[('AFIB', 100.0), ('ABER', 100.0), ('SMI;AU', 100.0), ('AB', 100.0)]</x:v>
      </x:c>
      <x:c r="J802" s="12" t="str">
        <x:v>ptbxl_database.csv；ecg_id=6666；scp_codes</x:v>
      </x:c>
      <x:c r="K802" s="12" t="str">
        <x:v>12sl_statements.csv；ecg_id=6666；statements_ext_snomed</x:v>
      </x:c>
      <x:c r="L802" s="12" t="n">
        <x:v>0</x:v>
      </x:c>
      <x:c r="M802" s="12" t="str">
        <x:v>positive</x:v>
      </x:c>
      <x:c r="N802" s="12" t="n">
        <x:v>100</x:v>
      </x:c>
      <x:c r="O802" s="12" t="str">
        <x:v>positive</x:v>
      </x:c>
      <x:c r="P802" s="12" t="str">
        <x:f>IF(OR(M802="unavailable",O802="unavailable"),"不可评价",IF(OR(M802="equivocal",O802="equivocal"),"疑似",IF(AND(M802="positive",O802="positive"),"a",IF(O802="positive","b",IF(M802="positive","c","d")))))</x:f>
        <x:v>a</x:v>
      </x:c>
      <x:c r="Q802" s="12"/>
      <x:c r="R802" s="12" t="str">
        <x:v>negative</x:v>
      </x:c>
      <x:c r="S802" s="12"/>
      <x:c r="T802" s="12" t="str">
        <x:v>negative</x:v>
      </x:c>
      <x:c r="U802" s="12" t="str">
        <x:f>IF(OR(R802="unavailable",T802="unavailable"),"不可评价",IF(OR(R802="equivocal",T802="equivocal"),"疑似",IF(AND(R802="positive",T802="positive"),"a",IF(T802="positive","b",IF(R802="positive","c","d")))))</x:f>
        <x:v>d</x:v>
      </x:c>
      <x:c r="V802" s="12"/>
      <x:c r="W802" s="12" t="str">
        <x:v>negative</x:v>
      </x:c>
      <x:c r="X802" s="12"/>
      <x:c r="Y802" s="12" t="str">
        <x:v>negative</x:v>
      </x:c>
      <x:c r="Z802" s="12" t="str">
        <x:f>IF(OR(W802="unavailable",Y802="unavailable"),"不可评价",IF(OR(W802="equivocal",Y802="equivocal"),"疑似",IF(AND(W802="positive",Y802="positive"),"a",IF(Y802="positive","b",IF(W802="positive","c","d")))))</x:f>
        <x:v>d</x:v>
      </x:c>
      <x:c r="AA802" s="12" t="str">
        <x:f>IF(OR(M802="unavailable",O802="unavailable"),"不可评价",IF(AND(OR(M802="positive",M802="equivocal"),OR(O802="positive",O802="equivocal")),"a",IF(OR(O802="positive",O802="equivocal"),"b",IF(OR(M802="positive",M802="equivocal"),"c","d"))))</x:f>
        <x:v>a</x:v>
      </x:c>
      <x:c r="AB802" s="12" t="str">
        <x:f>IF(OR(M802="unavailable",O802="unavailable"),"不可评价",IF(AND(M802="positive",O802="positive"),"a",IF(O802="positive","b",IF(M802="positive","c","d"))))</x:f>
        <x:v>a</x:v>
      </x:c>
      <x:c r="AC802" s="12" t="str">
        <x:f>IF(OR(R802="unavailable",T802="unavailable"),"不可评价",IF(AND(OR(R802="positive",R802="equivocal"),OR(T802="positive",T802="equivocal")),"a",IF(OR(T802="positive",T802="equivocal"),"b",IF(OR(R802="positive",R802="equivocal"),"c","d"))))</x:f>
        <x:v>d</x:v>
      </x:c>
      <x:c r="AD802" s="12" t="str">
        <x:f>IF(OR(R802="unavailable",T802="unavailable"),"不可评价",IF(AND(R802="positive",T802="positive"),"a",IF(T802="positive","b",IF(R802="positive","c","d"))))</x:f>
        <x:v>d</x:v>
      </x:c>
      <x:c r="AE802" s="12" t="str">
        <x:f>IF(OR(W802="unavailable",Y802="unavailable"),"不可评价",IF(AND(OR(W802="positive",W802="equivocal"),OR(Y802="positive",Y802="equivocal")),"a",IF(OR(Y802="positive",Y802="equivocal"),"b",IF(OR(W802="positive",W802="equivocal"),"c","d"))))</x:f>
        <x:v>d</x:v>
      </x:c>
      <x:c r="AF802" s="12" t="str">
        <x:f>IF(OR(W802="unavailable",Y802="unavailable"),"不可评价",IF(AND(W802="positive",Y802="positive"),"a",IF(Y802="positive","b",IF(W802="positive","c","d"))))</x:f>
        <x:v>d</x:v>
      </x:c>
    </x:row>
    <x:row r="803" ht="24" customHeight="1">
      <x:c r="A803" s="12" t="str">
        <x:v>6670</x:v>
      </x:c>
      <x:c r="B803" s="12" t="str">
        <x:v>5601</x:v>
      </x:c>
      <x:c r="C803" s="21" t="n">
        <x:v>33451.3933912037</x:v>
      </x:c>
      <x:c r="D803" s="12" t="n">
        <x:v>56</x:v>
      </x:c>
      <x:c r="E803" s="12" t="n">
        <x:v>1</x:v>
      </x:c>
      <x:c r="F803" s="12" t="str">
        <x:v>未记录</x:v>
      </x:c>
      <x:c r="G803" s="12" t="n">
        <x:v>1</x:v>
      </x:c>
      <x:c r="H803" s="12" t="str">
        <x:v>{'NORM': 100.0}</x:v>
      </x:c>
      <x:c r="I803" s="12" t="str">
        <x:v>[('NSR', 100.0), ('NST', 100.0), ('AB', 100.0)]</x:v>
      </x:c>
      <x:c r="J803" s="12" t="str">
        <x:v>ptbxl_database.csv；ecg_id=6670；scp_codes</x:v>
      </x:c>
      <x:c r="K803" s="12" t="str">
        <x:v>12sl_statements.csv；ecg_id=6670；statements_ext_snomed</x:v>
      </x:c>
      <x:c r="L803" s="12"/>
      <x:c r="M803" s="12" t="str">
        <x:v>negative</x:v>
      </x:c>
      <x:c r="N803" s="12"/>
      <x:c r="O803" s="12" t="str">
        <x:v>negative</x:v>
      </x:c>
      <x:c r="P803" s="12" t="str">
        <x:f>IF(OR(M803="unavailable",O803="unavailable"),"不可评价",IF(OR(M803="equivocal",O803="equivocal"),"疑似",IF(AND(M803="positive",O803="positive"),"a",IF(O803="positive","b",IF(M803="positive","c","d")))))</x:f>
        <x:v>d</x:v>
      </x:c>
      <x:c r="Q803" s="12"/>
      <x:c r="R803" s="12" t="str">
        <x:v>negative</x:v>
      </x:c>
      <x:c r="S803" s="12"/>
      <x:c r="T803" s="12" t="str">
        <x:v>negative</x:v>
      </x:c>
      <x:c r="U803" s="12" t="str">
        <x:f>IF(OR(R803="unavailable",T803="unavailable"),"不可评价",IF(OR(R803="equivocal",T803="equivocal"),"疑似",IF(AND(R803="positive",T803="positive"),"a",IF(T803="positive","b",IF(R803="positive","c","d")))))</x:f>
        <x:v>d</x:v>
      </x:c>
      <x:c r="V803" s="12"/>
      <x:c r="W803" s="12" t="str">
        <x:v>negative</x:v>
      </x:c>
      <x:c r="X803" s="12"/>
      <x:c r="Y803" s="12" t="str">
        <x:v>negative</x:v>
      </x:c>
      <x:c r="Z803" s="12" t="str">
        <x:f>IF(OR(W803="unavailable",Y803="unavailable"),"不可评价",IF(OR(W803="equivocal",Y803="equivocal"),"疑似",IF(AND(W803="positive",Y803="positive"),"a",IF(Y803="positive","b",IF(W803="positive","c","d")))))</x:f>
        <x:v>d</x:v>
      </x:c>
      <x:c r="AA803" s="12" t="str">
        <x:f>IF(OR(M803="unavailable",O803="unavailable"),"不可评价",IF(AND(OR(M803="positive",M803="equivocal"),OR(O803="positive",O803="equivocal")),"a",IF(OR(O803="positive",O803="equivocal"),"b",IF(OR(M803="positive",M803="equivocal"),"c","d"))))</x:f>
        <x:v>d</x:v>
      </x:c>
      <x:c r="AB803" s="12" t="str">
        <x:f>IF(OR(M803="unavailable",O803="unavailable"),"不可评价",IF(AND(M803="positive",O803="positive"),"a",IF(O803="positive","b",IF(M803="positive","c","d"))))</x:f>
        <x:v>d</x:v>
      </x:c>
      <x:c r="AC803" s="12" t="str">
        <x:f>IF(OR(R803="unavailable",T803="unavailable"),"不可评价",IF(AND(OR(R803="positive",R803="equivocal"),OR(T803="positive",T803="equivocal")),"a",IF(OR(T803="positive",T803="equivocal"),"b",IF(OR(R803="positive",R803="equivocal"),"c","d"))))</x:f>
        <x:v>d</x:v>
      </x:c>
      <x:c r="AD803" s="12" t="str">
        <x:f>IF(OR(R803="unavailable",T803="unavailable"),"不可评价",IF(AND(R803="positive",T803="positive"),"a",IF(T803="positive","b",IF(R803="positive","c","d"))))</x:f>
        <x:v>d</x:v>
      </x:c>
      <x:c r="AE803" s="12" t="str">
        <x:f>IF(OR(W803="unavailable",Y803="unavailable"),"不可评价",IF(AND(OR(W803="positive",W803="equivocal"),OR(Y803="positive",Y803="equivocal")),"a",IF(OR(Y803="positive",Y803="equivocal"),"b",IF(OR(W803="positive",W803="equivocal"),"c","d"))))</x:f>
        <x:v>d</x:v>
      </x:c>
      <x:c r="AF803" s="12" t="str">
        <x:f>IF(OR(W803="unavailable",Y803="unavailable"),"不可评价",IF(AND(W803="positive",Y803="positive"),"a",IF(Y803="positive","b",IF(W803="positive","c","d"))))</x:f>
        <x:v>d</x:v>
      </x:c>
    </x:row>
    <x:row r="804" ht="24" customHeight="1">
      <x:c r="A804" s="12" t="str">
        <x:v>6672</x:v>
      </x:c>
      <x:c r="B804" s="12" t="str">
        <x:v>20643</x:v>
      </x:c>
      <x:c r="C804" s="21" t="n">
        <x:v>33451.44148148148</x:v>
      </x:c>
      <x:c r="D804" s="12" t="n">
        <x:v>55</x:v>
      </x:c>
      <x:c r="E804" s="12" t="n">
        <x:v>0</x:v>
      </x:c>
      <x:c r="F804" s="12" t="str">
        <x:v>未记录</x:v>
      </x:c>
      <x:c r="G804" s="12" t="n">
        <x:v>1</x:v>
      </x:c>
      <x:c r="H804" s="12" t="str">
        <x:v>{'NORM': 100.0, 'SR': 0.0}</x:v>
      </x:c>
      <x:c r="I804" s="12" t="str">
        <x:v>[('NSR', 100.0), ('NML', 100.0)]</x:v>
      </x:c>
      <x:c r="J804" s="12" t="str">
        <x:v>ptbxl_database.csv；ecg_id=6672；scp_codes</x:v>
      </x:c>
      <x:c r="K804" s="12" t="str">
        <x:v>12sl_statements.csv；ecg_id=6672；statements_ext_snomed</x:v>
      </x:c>
      <x:c r="L804" s="12"/>
      <x:c r="M804" s="12" t="str">
        <x:v>negative</x:v>
      </x:c>
      <x:c r="N804" s="12"/>
      <x:c r="O804" s="12" t="str">
        <x:v>negative</x:v>
      </x:c>
      <x:c r="P804" s="12" t="str">
        <x:f>IF(OR(M804="unavailable",O804="unavailable"),"不可评价",IF(OR(M804="equivocal",O804="equivocal"),"疑似",IF(AND(M804="positive",O804="positive"),"a",IF(O804="positive","b",IF(M804="positive","c","d")))))</x:f>
        <x:v>d</x:v>
      </x:c>
      <x:c r="Q804" s="12"/>
      <x:c r="R804" s="12" t="str">
        <x:v>negative</x:v>
      </x:c>
      <x:c r="S804" s="12"/>
      <x:c r="T804" s="12" t="str">
        <x:v>negative</x:v>
      </x:c>
      <x:c r="U804" s="12" t="str">
        <x:f>IF(OR(R804="unavailable",T804="unavailable"),"不可评价",IF(OR(R804="equivocal",T804="equivocal"),"疑似",IF(AND(R804="positive",T804="positive"),"a",IF(T804="positive","b",IF(R804="positive","c","d")))))</x:f>
        <x:v>d</x:v>
      </x:c>
      <x:c r="V804" s="12"/>
      <x:c r="W804" s="12" t="str">
        <x:v>negative</x:v>
      </x:c>
      <x:c r="X804" s="12"/>
      <x:c r="Y804" s="12" t="str">
        <x:v>negative</x:v>
      </x:c>
      <x:c r="Z804" s="12" t="str">
        <x:f>IF(OR(W804="unavailable",Y804="unavailable"),"不可评价",IF(OR(W804="equivocal",Y804="equivocal"),"疑似",IF(AND(W804="positive",Y804="positive"),"a",IF(Y804="positive","b",IF(W804="positive","c","d")))))</x:f>
        <x:v>d</x:v>
      </x:c>
      <x:c r="AA804" s="12" t="str">
        <x:f>IF(OR(M804="unavailable",O804="unavailable"),"不可评价",IF(AND(OR(M804="positive",M804="equivocal"),OR(O804="positive",O804="equivocal")),"a",IF(OR(O804="positive",O804="equivocal"),"b",IF(OR(M804="positive",M804="equivocal"),"c","d"))))</x:f>
        <x:v>d</x:v>
      </x:c>
      <x:c r="AB804" s="12" t="str">
        <x:f>IF(OR(M804="unavailable",O804="unavailable"),"不可评价",IF(AND(M804="positive",O804="positive"),"a",IF(O804="positive","b",IF(M804="positive","c","d"))))</x:f>
        <x:v>d</x:v>
      </x:c>
      <x:c r="AC804" s="12" t="str">
        <x:f>IF(OR(R804="unavailable",T804="unavailable"),"不可评价",IF(AND(OR(R804="positive",R804="equivocal"),OR(T804="positive",T804="equivocal")),"a",IF(OR(T804="positive",T804="equivocal"),"b",IF(OR(R804="positive",R804="equivocal"),"c","d"))))</x:f>
        <x:v>d</x:v>
      </x:c>
      <x:c r="AD804" s="12" t="str">
        <x:f>IF(OR(R804="unavailable",T804="unavailable"),"不可评价",IF(AND(R804="positive",T804="positive"),"a",IF(T804="positive","b",IF(R804="positive","c","d"))))</x:f>
        <x:v>d</x:v>
      </x:c>
      <x:c r="AE804" s="12" t="str">
        <x:f>IF(OR(W804="unavailable",Y804="unavailable"),"不可评价",IF(AND(OR(W804="positive",W804="equivocal"),OR(Y804="positive",Y804="equivocal")),"a",IF(OR(Y804="positive",Y804="equivocal"),"b",IF(OR(W804="positive",W804="equivocal"),"c","d"))))</x:f>
        <x:v>d</x:v>
      </x:c>
      <x:c r="AF804" s="12" t="str">
        <x:f>IF(OR(W804="unavailable",Y804="unavailable"),"不可评价",IF(AND(W804="positive",Y804="positive"),"a",IF(Y804="positive","b",IF(W804="positive","c","d"))))</x:f>
        <x:v>d</x:v>
      </x:c>
    </x:row>
    <x:row r="805" ht="24" customHeight="1">
      <x:c r="A805" s="12" t="str">
        <x:v>6683</x:v>
      </x:c>
      <x:c r="B805" s="12" t="str">
        <x:v>14039</x:v>
      </x:c>
      <x:c r="C805" s="21" t="n">
        <x:v>33453.57494212963</x:v>
      </x:c>
      <x:c r="D805" s="12" t="n">
        <x:v>69</x:v>
      </x:c>
      <x:c r="E805" s="12" t="n">
        <x:v>1</x:v>
      </x:c>
      <x:c r="F805" s="12" t="str">
        <x:v>未记录</x:v>
      </x:c>
      <x:c r="G805" s="12" t="n">
        <x:v>1</x:v>
      </x:c>
      <x:c r="H805" s="12" t="str">
        <x:v>{'IMI': 100.0, 'ABQRS': 0.0, 'SR': 0.0}</x:v>
      </x:c>
      <x:c r="I805" s="12" t="str">
        <x:v>[('NSR', 100.0), ('IMI;AU', 50.0), ('AB', 100.0)]</x:v>
      </x:c>
      <x:c r="J805" s="12" t="str">
        <x:v>ptbxl_database.csv；ecg_id=6683；scp_codes</x:v>
      </x:c>
      <x:c r="K805" s="12" t="str">
        <x:v>12sl_statements.csv；ecg_id=6683；statements_ext_snomed</x:v>
      </x:c>
      <x:c r="L805" s="12"/>
      <x:c r="M805" s="12" t="str">
        <x:v>negative</x:v>
      </x:c>
      <x:c r="N805" s="12"/>
      <x:c r="O805" s="12" t="str">
        <x:v>negative</x:v>
      </x:c>
      <x:c r="P805" s="12" t="str">
        <x:f>IF(OR(M805="unavailable",O805="unavailable"),"不可评价",IF(OR(M805="equivocal",O805="equivocal"),"疑似",IF(AND(M805="positive",O805="positive"),"a",IF(O805="positive","b",IF(M805="positive","c","d")))))</x:f>
        <x:v>d</x:v>
      </x:c>
      <x:c r="Q805" s="12"/>
      <x:c r="R805" s="12" t="str">
        <x:v>negative</x:v>
      </x:c>
      <x:c r="S805" s="12"/>
      <x:c r="T805" s="12" t="str">
        <x:v>negative</x:v>
      </x:c>
      <x:c r="U805" s="12" t="str">
        <x:f>IF(OR(R805="unavailable",T805="unavailable"),"不可评价",IF(OR(R805="equivocal",T805="equivocal"),"疑似",IF(AND(R805="positive",T805="positive"),"a",IF(T805="positive","b",IF(R805="positive","c","d")))))</x:f>
        <x:v>d</x:v>
      </x:c>
      <x:c r="V805" s="12"/>
      <x:c r="W805" s="12" t="str">
        <x:v>negative</x:v>
      </x:c>
      <x:c r="X805" s="12"/>
      <x:c r="Y805" s="12" t="str">
        <x:v>negative</x:v>
      </x:c>
      <x:c r="Z805" s="12" t="str">
        <x:f>IF(OR(W805="unavailable",Y805="unavailable"),"不可评价",IF(OR(W805="equivocal",Y805="equivocal"),"疑似",IF(AND(W805="positive",Y805="positive"),"a",IF(Y805="positive","b",IF(W805="positive","c","d")))))</x:f>
        <x:v>d</x:v>
      </x:c>
      <x:c r="AA805" s="12" t="str">
        <x:f>IF(OR(M805="unavailable",O805="unavailable"),"不可评价",IF(AND(OR(M805="positive",M805="equivocal"),OR(O805="positive",O805="equivocal")),"a",IF(OR(O805="positive",O805="equivocal"),"b",IF(OR(M805="positive",M805="equivocal"),"c","d"))))</x:f>
        <x:v>d</x:v>
      </x:c>
      <x:c r="AB805" s="12" t="str">
        <x:f>IF(OR(M805="unavailable",O805="unavailable"),"不可评价",IF(AND(M805="positive",O805="positive"),"a",IF(O805="positive","b",IF(M805="positive","c","d"))))</x:f>
        <x:v>d</x:v>
      </x:c>
      <x:c r="AC805" s="12" t="str">
        <x:f>IF(OR(R805="unavailable",T805="unavailable"),"不可评价",IF(AND(OR(R805="positive",R805="equivocal"),OR(T805="positive",T805="equivocal")),"a",IF(OR(T805="positive",T805="equivocal"),"b",IF(OR(R805="positive",R805="equivocal"),"c","d"))))</x:f>
        <x:v>d</x:v>
      </x:c>
      <x:c r="AD805" s="12" t="str">
        <x:f>IF(OR(R805="unavailable",T805="unavailable"),"不可评价",IF(AND(R805="positive",T805="positive"),"a",IF(T805="positive","b",IF(R805="positive","c","d"))))</x:f>
        <x:v>d</x:v>
      </x:c>
      <x:c r="AE805" s="12" t="str">
        <x:f>IF(OR(W805="unavailable",Y805="unavailable"),"不可评价",IF(AND(OR(W805="positive",W805="equivocal"),OR(Y805="positive",Y805="equivocal")),"a",IF(OR(Y805="positive",Y805="equivocal"),"b",IF(OR(W805="positive",W805="equivocal"),"c","d"))))</x:f>
        <x:v>d</x:v>
      </x:c>
      <x:c r="AF805" s="12" t="str">
        <x:f>IF(OR(W805="unavailable",Y805="unavailable"),"不可评价",IF(AND(W805="positive",Y805="positive"),"a",IF(Y805="positive","b",IF(W805="positive","c","d"))))</x:f>
        <x:v>d</x:v>
      </x:c>
    </x:row>
    <x:row r="806" ht="24" customHeight="1">
      <x:c r="A806" s="12" t="str">
        <x:v>6728</x:v>
      </x:c>
      <x:c r="B806" s="12" t="str">
        <x:v>15999</x:v>
      </x:c>
      <x:c r="C806" s="21" t="n">
        <x:v>33457.430451388886</x:v>
      </x:c>
      <x:c r="D806" s="12" t="n">
        <x:v>66</x:v>
      </x:c>
      <x:c r="E806" s="12" t="n">
        <x:v>1</x:v>
      </x:c>
      <x:c r="F806" s="12" t="str">
        <x:v>未记录</x:v>
      </x:c>
      <x:c r="G806" s="12" t="n">
        <x:v>0</x:v>
      </x:c>
      <x:c r="H806" s="12" t="str">
        <x:v>{'NORM': 100.0, 'SR': 0.0}</x:v>
      </x:c>
      <x:c r="I806" s="12" t="str">
        <x:v>[('NSR', 100.0), ('NML', 100.0)]</x:v>
      </x:c>
      <x:c r="J806" s="12" t="str">
        <x:v>ptbxl_database.csv；ecg_id=6728；scp_codes</x:v>
      </x:c>
      <x:c r="K806" s="12" t="str">
        <x:v>12sl_statements.csv；ecg_id=6728；statements_ext_snomed</x:v>
      </x:c>
      <x:c r="L806" s="12"/>
      <x:c r="M806" s="12" t="str">
        <x:v>negative</x:v>
      </x:c>
      <x:c r="N806" s="12"/>
      <x:c r="O806" s="12" t="str">
        <x:v>negative</x:v>
      </x:c>
      <x:c r="P806" s="12" t="str">
        <x:f>IF(OR(M806="unavailable",O806="unavailable"),"不可评价",IF(OR(M806="equivocal",O806="equivocal"),"疑似",IF(AND(M806="positive",O806="positive"),"a",IF(O806="positive","b",IF(M806="positive","c","d")))))</x:f>
        <x:v>d</x:v>
      </x:c>
      <x:c r="Q806" s="12"/>
      <x:c r="R806" s="12" t="str">
        <x:v>negative</x:v>
      </x:c>
      <x:c r="S806" s="12"/>
      <x:c r="T806" s="12" t="str">
        <x:v>negative</x:v>
      </x:c>
      <x:c r="U806" s="12" t="str">
        <x:f>IF(OR(R806="unavailable",T806="unavailable"),"不可评价",IF(OR(R806="equivocal",T806="equivocal"),"疑似",IF(AND(R806="positive",T806="positive"),"a",IF(T806="positive","b",IF(R806="positive","c","d")))))</x:f>
        <x:v>d</x:v>
      </x:c>
      <x:c r="V806" s="12"/>
      <x:c r="W806" s="12" t="str">
        <x:v>negative</x:v>
      </x:c>
      <x:c r="X806" s="12"/>
      <x:c r="Y806" s="12" t="str">
        <x:v>negative</x:v>
      </x:c>
      <x:c r="Z806" s="12" t="str">
        <x:f>IF(OR(W806="unavailable",Y806="unavailable"),"不可评价",IF(OR(W806="equivocal",Y806="equivocal"),"疑似",IF(AND(W806="positive",Y806="positive"),"a",IF(Y806="positive","b",IF(W806="positive","c","d")))))</x:f>
        <x:v>d</x:v>
      </x:c>
      <x:c r="AA806" s="12" t="str">
        <x:f>IF(OR(M806="unavailable",O806="unavailable"),"不可评价",IF(AND(OR(M806="positive",M806="equivocal"),OR(O806="positive",O806="equivocal")),"a",IF(OR(O806="positive",O806="equivocal"),"b",IF(OR(M806="positive",M806="equivocal"),"c","d"))))</x:f>
        <x:v>d</x:v>
      </x:c>
      <x:c r="AB806" s="12" t="str">
        <x:f>IF(OR(M806="unavailable",O806="unavailable"),"不可评价",IF(AND(M806="positive",O806="positive"),"a",IF(O806="positive","b",IF(M806="positive","c","d"))))</x:f>
        <x:v>d</x:v>
      </x:c>
      <x:c r="AC806" s="12" t="str">
        <x:f>IF(OR(R806="unavailable",T806="unavailable"),"不可评价",IF(AND(OR(R806="positive",R806="equivocal"),OR(T806="positive",T806="equivocal")),"a",IF(OR(T806="positive",T806="equivocal"),"b",IF(OR(R806="positive",R806="equivocal"),"c","d"))))</x:f>
        <x:v>d</x:v>
      </x:c>
      <x:c r="AD806" s="12" t="str">
        <x:f>IF(OR(R806="unavailable",T806="unavailable"),"不可评价",IF(AND(R806="positive",T806="positive"),"a",IF(T806="positive","b",IF(R806="positive","c","d"))))</x:f>
        <x:v>d</x:v>
      </x:c>
      <x:c r="AE806" s="12" t="str">
        <x:f>IF(OR(W806="unavailable",Y806="unavailable"),"不可评价",IF(AND(OR(W806="positive",W806="equivocal"),OR(Y806="positive",Y806="equivocal")),"a",IF(OR(Y806="positive",Y806="equivocal"),"b",IF(OR(W806="positive",W806="equivocal"),"c","d"))))</x:f>
        <x:v>d</x:v>
      </x:c>
      <x:c r="AF806" s="12" t="str">
        <x:f>IF(OR(W806="unavailable",Y806="unavailable"),"不可评价",IF(AND(W806="positive",Y806="positive"),"a",IF(Y806="positive","b",IF(W806="positive","c","d"))))</x:f>
        <x:v>d</x:v>
      </x:c>
    </x:row>
    <x:row r="807" ht="24" customHeight="1">
      <x:c r="A807" s="12" t="str">
        <x:v>6735</x:v>
      </x:c>
      <x:c r="B807" s="12" t="str">
        <x:v>2381</x:v>
      </x:c>
      <x:c r="C807" s="21" t="n">
        <x:v>33457.615324074075</x:v>
      </x:c>
      <x:c r="D807" s="12" t="n">
        <x:v>60</x:v>
      </x:c>
      <x:c r="E807" s="12" t="n">
        <x:v>0</x:v>
      </x:c>
      <x:c r="F807" s="12" t="str">
        <x:v>未记录</x:v>
      </x:c>
      <x:c r="G807" s="12" t="n">
        <x:v>1</x:v>
      </x:c>
      <x:c r="H807" s="12" t="str">
        <x:v>{'NDT': 100.0, 'PVC': 100.0, 'LOWT': 0.0, 'STD_': 0.0, 'AFIB': 0.0}</x:v>
      </x:c>
      <x:c r="I807" s="12" t="str">
        <x:v>[('AFIB', 100.0), ('RVR', 100.0), ('ABER', 100.0), ('NSTT', 100.0), ('AB', 100.0)]</x:v>
      </x:c>
      <x:c r="J807" s="12" t="str">
        <x:v>ptbxl_database.csv；ecg_id=6735；scp_codes</x:v>
      </x:c>
      <x:c r="K807" s="12" t="str">
        <x:v>12sl_statements.csv；ecg_id=6735；statements_ext_snomed</x:v>
      </x:c>
      <x:c r="L807" s="12" t="n">
        <x:v>0</x:v>
      </x:c>
      <x:c r="M807" s="12" t="str">
        <x:v>positive</x:v>
      </x:c>
      <x:c r="N807" s="12" t="n">
        <x:v>100</x:v>
      </x:c>
      <x:c r="O807" s="12" t="str">
        <x:v>positive</x:v>
      </x:c>
      <x:c r="P807" s="12" t="str">
        <x:f>IF(OR(M807="unavailable",O807="unavailable"),"不可评价",IF(OR(M807="equivocal",O807="equivocal"),"疑似",IF(AND(M807="positive",O807="positive"),"a",IF(O807="positive","b",IF(M807="positive","c","d")))))</x:f>
        <x:v>a</x:v>
      </x:c>
      <x:c r="Q807" s="12"/>
      <x:c r="R807" s="12" t="str">
        <x:v>negative</x:v>
      </x:c>
      <x:c r="S807" s="12"/>
      <x:c r="T807" s="12" t="str">
        <x:v>negative</x:v>
      </x:c>
      <x:c r="U807" s="12" t="str">
        <x:f>IF(OR(R807="unavailable",T807="unavailable"),"不可评价",IF(OR(R807="equivocal",T807="equivocal"),"疑似",IF(AND(R807="positive",T807="positive"),"a",IF(T807="positive","b",IF(R807="positive","c","d")))))</x:f>
        <x:v>d</x:v>
      </x:c>
      <x:c r="V807" s="12"/>
      <x:c r="W807" s="12" t="str">
        <x:v>negative</x:v>
      </x:c>
      <x:c r="X807" s="12"/>
      <x:c r="Y807" s="12" t="str">
        <x:v>negative</x:v>
      </x:c>
      <x:c r="Z807" s="12" t="str">
        <x:f>IF(OR(W807="unavailable",Y807="unavailable"),"不可评价",IF(OR(W807="equivocal",Y807="equivocal"),"疑似",IF(AND(W807="positive",Y807="positive"),"a",IF(Y807="positive","b",IF(W807="positive","c","d")))))</x:f>
        <x:v>d</x:v>
      </x:c>
      <x:c r="AA807" s="12" t="str">
        <x:f>IF(OR(M807="unavailable",O807="unavailable"),"不可评价",IF(AND(OR(M807="positive",M807="equivocal"),OR(O807="positive",O807="equivocal")),"a",IF(OR(O807="positive",O807="equivocal"),"b",IF(OR(M807="positive",M807="equivocal"),"c","d"))))</x:f>
        <x:v>a</x:v>
      </x:c>
      <x:c r="AB807" s="12" t="str">
        <x:f>IF(OR(M807="unavailable",O807="unavailable"),"不可评价",IF(AND(M807="positive",O807="positive"),"a",IF(O807="positive","b",IF(M807="positive","c","d"))))</x:f>
        <x:v>a</x:v>
      </x:c>
      <x:c r="AC807" s="12" t="str">
        <x:f>IF(OR(R807="unavailable",T807="unavailable"),"不可评价",IF(AND(OR(R807="positive",R807="equivocal"),OR(T807="positive",T807="equivocal")),"a",IF(OR(T807="positive",T807="equivocal"),"b",IF(OR(R807="positive",R807="equivocal"),"c","d"))))</x:f>
        <x:v>d</x:v>
      </x:c>
      <x:c r="AD807" s="12" t="str">
        <x:f>IF(OR(R807="unavailable",T807="unavailable"),"不可评价",IF(AND(R807="positive",T807="positive"),"a",IF(T807="positive","b",IF(R807="positive","c","d"))))</x:f>
        <x:v>d</x:v>
      </x:c>
      <x:c r="AE807" s="12" t="str">
        <x:f>IF(OR(W807="unavailable",Y807="unavailable"),"不可评价",IF(AND(OR(W807="positive",W807="equivocal"),OR(Y807="positive",Y807="equivocal")),"a",IF(OR(Y807="positive",Y807="equivocal"),"b",IF(OR(W807="positive",W807="equivocal"),"c","d"))))</x:f>
        <x:v>d</x:v>
      </x:c>
      <x:c r="AF807" s="12" t="str">
        <x:f>IF(OR(W807="unavailable",Y807="unavailable"),"不可评价",IF(AND(W807="positive",Y807="positive"),"a",IF(Y807="positive","b",IF(W807="positive","c","d"))))</x:f>
        <x:v>d</x:v>
      </x:c>
    </x:row>
    <x:row r="808" ht="24" customHeight="1">
      <x:c r="A808" s="12" t="str">
        <x:v>6751</x:v>
      </x:c>
      <x:c r="B808" s="12" t="str">
        <x:v>11767</x:v>
      </x:c>
      <x:c r="C808" s="21" t="n">
        <x:v>33458.71943287037</x:v>
      </x:c>
      <x:c r="D808" s="12" t="n">
        <x:v>80</x:v>
      </x:c>
      <x:c r="E808" s="12" t="n">
        <x:v>1</x:v>
      </x:c>
      <x:c r="F808" s="12" t="str">
        <x:v>未记录</x:v>
      </x:c>
      <x:c r="G808" s="12" t="n">
        <x:v>1</x:v>
      </x:c>
      <x:c r="H808" s="12" t="str">
        <x:v>{'INJAS': 100.0, 'INJAL': 100.0, 'INJIN': 50.0, 'SR': 0.0}</x:v>
      </x:c>
      <x:c r="I808" s="12" t="str">
        <x:v>[('NSR', 100.0), ('ST&amp;', 100.0), ('MALT', 100.0), ('LNGQT', 100.0), ('AB', 100.0)]</x:v>
      </x:c>
      <x:c r="J808" s="12" t="str">
        <x:v>ptbxl_database.csv；ecg_id=6751；scp_codes</x:v>
      </x:c>
      <x:c r="K808" s="12" t="str">
        <x:v>12sl_statements.csv；ecg_id=6751；statements_ext_snomed</x:v>
      </x:c>
      <x:c r="L808" s="12"/>
      <x:c r="M808" s="12" t="str">
        <x:v>negative</x:v>
      </x:c>
      <x:c r="N808" s="12"/>
      <x:c r="O808" s="12" t="str">
        <x:v>negative</x:v>
      </x:c>
      <x:c r="P808" s="12" t="str">
        <x:f>IF(OR(M808="unavailable",O808="unavailable"),"不可评价",IF(OR(M808="equivocal",O808="equivocal"),"疑似",IF(AND(M808="positive",O808="positive"),"a",IF(O808="positive","b",IF(M808="positive","c","d")))))</x:f>
        <x:v>d</x:v>
      </x:c>
      <x:c r="Q808" s="12"/>
      <x:c r="R808" s="12" t="str">
        <x:v>negative</x:v>
      </x:c>
      <x:c r="S808" s="12"/>
      <x:c r="T808" s="12" t="str">
        <x:v>negative</x:v>
      </x:c>
      <x:c r="U808" s="12" t="str">
        <x:f>IF(OR(R808="unavailable",T808="unavailable"),"不可评价",IF(OR(R808="equivocal",T808="equivocal"),"疑似",IF(AND(R808="positive",T808="positive"),"a",IF(T808="positive","b",IF(R808="positive","c","d")))))</x:f>
        <x:v>d</x:v>
      </x:c>
      <x:c r="V808" s="12"/>
      <x:c r="W808" s="12" t="str">
        <x:v>negative</x:v>
      </x:c>
      <x:c r="X808" s="12"/>
      <x:c r="Y808" s="12" t="str">
        <x:v>negative</x:v>
      </x:c>
      <x:c r="Z808" s="12" t="str">
        <x:f>IF(OR(W808="unavailable",Y808="unavailable"),"不可评价",IF(OR(W808="equivocal",Y808="equivocal"),"疑似",IF(AND(W808="positive",Y808="positive"),"a",IF(Y808="positive","b",IF(W808="positive","c","d")))))</x:f>
        <x:v>d</x:v>
      </x:c>
      <x:c r="AA808" s="12" t="str">
        <x:f>IF(OR(M808="unavailable",O808="unavailable"),"不可评价",IF(AND(OR(M808="positive",M808="equivocal"),OR(O808="positive",O808="equivocal")),"a",IF(OR(O808="positive",O808="equivocal"),"b",IF(OR(M808="positive",M808="equivocal"),"c","d"))))</x:f>
        <x:v>d</x:v>
      </x:c>
      <x:c r="AB808" s="12" t="str">
        <x:f>IF(OR(M808="unavailable",O808="unavailable"),"不可评价",IF(AND(M808="positive",O808="positive"),"a",IF(O808="positive","b",IF(M808="positive","c","d"))))</x:f>
        <x:v>d</x:v>
      </x:c>
      <x:c r="AC808" s="12" t="str">
        <x:f>IF(OR(R808="unavailable",T808="unavailable"),"不可评价",IF(AND(OR(R808="positive",R808="equivocal"),OR(T808="positive",T808="equivocal")),"a",IF(OR(T808="positive",T808="equivocal"),"b",IF(OR(R808="positive",R808="equivocal"),"c","d"))))</x:f>
        <x:v>d</x:v>
      </x:c>
      <x:c r="AD808" s="12" t="str">
        <x:f>IF(OR(R808="unavailable",T808="unavailable"),"不可评价",IF(AND(R808="positive",T808="positive"),"a",IF(T808="positive","b",IF(R808="positive","c","d"))))</x:f>
        <x:v>d</x:v>
      </x:c>
      <x:c r="AE808" s="12" t="str">
        <x:f>IF(OR(W808="unavailable",Y808="unavailable"),"不可评价",IF(AND(OR(W808="positive",W808="equivocal"),OR(Y808="positive",Y808="equivocal")),"a",IF(OR(Y808="positive",Y808="equivocal"),"b",IF(OR(W808="positive",W808="equivocal"),"c","d"))))</x:f>
        <x:v>d</x:v>
      </x:c>
      <x:c r="AF808" s="12" t="str">
        <x:f>IF(OR(W808="unavailable",Y808="unavailable"),"不可评价",IF(AND(W808="positive",Y808="positive"),"a",IF(Y808="positive","b",IF(W808="positive","c","d"))))</x:f>
        <x:v>d</x:v>
      </x:c>
    </x:row>
    <x:row r="809" ht="24" customHeight="1">
      <x:c r="A809" s="12" t="str">
        <x:v>6776</x:v>
      </x:c>
      <x:c r="B809" s="12" t="str">
        <x:v>11613</x:v>
      </x:c>
      <x:c r="C809" s="21" t="n">
        <x:v>33462.45013888889</x:v>
      </x:c>
      <x:c r="D809" s="12" t="n">
        <x:v>84</x:v>
      </x:c>
      <x:c r="E809" s="12" t="n">
        <x:v>1</x:v>
      </x:c>
      <x:c r="F809" s="12" t="str">
        <x:v>未记录</x:v>
      </x:c>
      <x:c r="G809" s="12" t="n">
        <x:v>1</x:v>
      </x:c>
      <x:c r="H809" s="12" t="str">
        <x:v>{'NORM': 100.0, 'QWAVE': 0.0, 'SR': 0.0}</x:v>
      </x:c>
      <x:c r="I809" s="12" t="str">
        <x:v>[('NSR', 100.0), ('AMI;AU', 100.0), ('AB', 100.0)]</x:v>
      </x:c>
      <x:c r="J809" s="12" t="str">
        <x:v>ptbxl_database.csv；ecg_id=6776；scp_codes</x:v>
      </x:c>
      <x:c r="K809" s="12" t="str">
        <x:v>12sl_statements.csv；ecg_id=6776；statements_ext_snomed</x:v>
      </x:c>
      <x:c r="L809" s="12"/>
      <x:c r="M809" s="12" t="str">
        <x:v>negative</x:v>
      </x:c>
      <x:c r="N809" s="12"/>
      <x:c r="O809" s="12" t="str">
        <x:v>negative</x:v>
      </x:c>
      <x:c r="P809" s="12" t="str">
        <x:f>IF(OR(M809="unavailable",O809="unavailable"),"不可评价",IF(OR(M809="equivocal",O809="equivocal"),"疑似",IF(AND(M809="positive",O809="positive"),"a",IF(O809="positive","b",IF(M809="positive","c","d")))))</x:f>
        <x:v>d</x:v>
      </x:c>
      <x:c r="Q809" s="12"/>
      <x:c r="R809" s="12" t="str">
        <x:v>negative</x:v>
      </x:c>
      <x:c r="S809" s="12"/>
      <x:c r="T809" s="12" t="str">
        <x:v>negative</x:v>
      </x:c>
      <x:c r="U809" s="12" t="str">
        <x:f>IF(OR(R809="unavailable",T809="unavailable"),"不可评价",IF(OR(R809="equivocal",T809="equivocal"),"疑似",IF(AND(R809="positive",T809="positive"),"a",IF(T809="positive","b",IF(R809="positive","c","d")))))</x:f>
        <x:v>d</x:v>
      </x:c>
      <x:c r="V809" s="12"/>
      <x:c r="W809" s="12" t="str">
        <x:v>negative</x:v>
      </x:c>
      <x:c r="X809" s="12"/>
      <x:c r="Y809" s="12" t="str">
        <x:v>negative</x:v>
      </x:c>
      <x:c r="Z809" s="12" t="str">
        <x:f>IF(OR(W809="unavailable",Y809="unavailable"),"不可评价",IF(OR(W809="equivocal",Y809="equivocal"),"疑似",IF(AND(W809="positive",Y809="positive"),"a",IF(Y809="positive","b",IF(W809="positive","c","d")))))</x:f>
        <x:v>d</x:v>
      </x:c>
      <x:c r="AA809" s="12" t="str">
        <x:f>IF(OR(M809="unavailable",O809="unavailable"),"不可评价",IF(AND(OR(M809="positive",M809="equivocal"),OR(O809="positive",O809="equivocal")),"a",IF(OR(O809="positive",O809="equivocal"),"b",IF(OR(M809="positive",M809="equivocal"),"c","d"))))</x:f>
        <x:v>d</x:v>
      </x:c>
      <x:c r="AB809" s="12" t="str">
        <x:f>IF(OR(M809="unavailable",O809="unavailable"),"不可评价",IF(AND(M809="positive",O809="positive"),"a",IF(O809="positive","b",IF(M809="positive","c","d"))))</x:f>
        <x:v>d</x:v>
      </x:c>
      <x:c r="AC809" s="12" t="str">
        <x:f>IF(OR(R809="unavailable",T809="unavailable"),"不可评价",IF(AND(OR(R809="positive",R809="equivocal"),OR(T809="positive",T809="equivocal")),"a",IF(OR(T809="positive",T809="equivocal"),"b",IF(OR(R809="positive",R809="equivocal"),"c","d"))))</x:f>
        <x:v>d</x:v>
      </x:c>
      <x:c r="AD809" s="12" t="str">
        <x:f>IF(OR(R809="unavailable",T809="unavailable"),"不可评价",IF(AND(R809="positive",T809="positive"),"a",IF(T809="positive","b",IF(R809="positive","c","d"))))</x:f>
        <x:v>d</x:v>
      </x:c>
      <x:c r="AE809" s="12" t="str">
        <x:f>IF(OR(W809="unavailable",Y809="unavailable"),"不可评价",IF(AND(OR(W809="positive",W809="equivocal"),OR(Y809="positive",Y809="equivocal")),"a",IF(OR(Y809="positive",Y809="equivocal"),"b",IF(OR(W809="positive",W809="equivocal"),"c","d"))))</x:f>
        <x:v>d</x:v>
      </x:c>
      <x:c r="AF809" s="12" t="str">
        <x:f>IF(OR(W809="unavailable",Y809="unavailable"),"不可评价",IF(AND(W809="positive",Y809="positive"),"a",IF(Y809="positive","b",IF(W809="positive","c","d"))))</x:f>
        <x:v>d</x:v>
      </x:c>
    </x:row>
    <x:row r="810" ht="39" customHeight="1">
      <x:c r="A810" s="12" t="str">
        <x:v>6788</x:v>
      </x:c>
      <x:c r="B810" s="12" t="str">
        <x:v>1487</x:v>
      </x:c>
      <x:c r="C810" s="21" t="n">
        <x:v>33464.55038194444</x:v>
      </x:c>
      <x:c r="D810" s="12" t="n">
        <x:v>77</x:v>
      </x:c>
      <x:c r="E810" s="12" t="n">
        <x:v>1</x:v>
      </x:c>
      <x:c r="F810" s="12" t="str">
        <x:v>未记录</x:v>
      </x:c>
      <x:c r="G810" s="12" t="n">
        <x:v>1</x:v>
      </x:c>
      <x:c r="H810" s="12" t="str">
        <x:v>{'IMI': 100.0, 'LVH': 100.0, 'ISC_': 100.0, 'SR': 0.0}</x:v>
      </x:c>
      <x:c r="I810" s="12" t="str">
        <x:v>[('SRTH', 100.0), ('MSAR', 100.0), ('LAD3', 100.0), ('LVH2', 100.0), ('2ST', 100.0), ('IMI;AU', 100.0), ('AB', 100.0)]</x:v>
      </x:c>
      <x:c r="J810" s="12" t="str">
        <x:v>ptbxl_database.csv；ecg_id=6788；scp_codes</x:v>
      </x:c>
      <x:c r="K810" s="12" t="str">
        <x:v>12sl_statements.csv；ecg_id=6788；statements_ext_snomed</x:v>
      </x:c>
      <x:c r="L810" s="12"/>
      <x:c r="M810" s="12" t="str">
        <x:v>negative</x:v>
      </x:c>
      <x:c r="N810" s="12"/>
      <x:c r="O810" s="12" t="str">
        <x:v>negative</x:v>
      </x:c>
      <x:c r="P810" s="12" t="str">
        <x:f>IF(OR(M810="unavailable",O810="unavailable"),"不可评价",IF(OR(M810="equivocal",O810="equivocal"),"疑似",IF(AND(M810="positive",O810="positive"),"a",IF(O810="positive","b",IF(M810="positive","c","d")))))</x:f>
        <x:v>d</x:v>
      </x:c>
      <x:c r="Q810" s="12"/>
      <x:c r="R810" s="12" t="str">
        <x:v>negative</x:v>
      </x:c>
      <x:c r="S810" s="12"/>
      <x:c r="T810" s="12" t="str">
        <x:v>negative</x:v>
      </x:c>
      <x:c r="U810" s="12" t="str">
        <x:f>IF(OR(R810="unavailable",T810="unavailable"),"不可评价",IF(OR(R810="equivocal",T810="equivocal"),"疑似",IF(AND(R810="positive",T810="positive"),"a",IF(T810="positive","b",IF(R810="positive","c","d")))))</x:f>
        <x:v>d</x:v>
      </x:c>
      <x:c r="V810" s="12"/>
      <x:c r="W810" s="12" t="str">
        <x:v>negative</x:v>
      </x:c>
      <x:c r="X810" s="12"/>
      <x:c r="Y810" s="12" t="str">
        <x:v>negative</x:v>
      </x:c>
      <x:c r="Z810" s="12" t="str">
        <x:f>IF(OR(W810="unavailable",Y810="unavailable"),"不可评价",IF(OR(W810="equivocal",Y810="equivocal"),"疑似",IF(AND(W810="positive",Y810="positive"),"a",IF(Y810="positive","b",IF(W810="positive","c","d")))))</x:f>
        <x:v>d</x:v>
      </x:c>
      <x:c r="AA810" s="12" t="str">
        <x:f>IF(OR(M810="unavailable",O810="unavailable"),"不可评价",IF(AND(OR(M810="positive",M810="equivocal"),OR(O810="positive",O810="equivocal")),"a",IF(OR(O810="positive",O810="equivocal"),"b",IF(OR(M810="positive",M810="equivocal"),"c","d"))))</x:f>
        <x:v>d</x:v>
      </x:c>
      <x:c r="AB810" s="12" t="str">
        <x:f>IF(OR(M810="unavailable",O810="unavailable"),"不可评价",IF(AND(M810="positive",O810="positive"),"a",IF(O810="positive","b",IF(M810="positive","c","d"))))</x:f>
        <x:v>d</x:v>
      </x:c>
      <x:c r="AC810" s="12" t="str">
        <x:f>IF(OR(R810="unavailable",T810="unavailable"),"不可评价",IF(AND(OR(R810="positive",R810="equivocal"),OR(T810="positive",T810="equivocal")),"a",IF(OR(T810="positive",T810="equivocal"),"b",IF(OR(R810="positive",R810="equivocal"),"c","d"))))</x:f>
        <x:v>d</x:v>
      </x:c>
      <x:c r="AD810" s="12" t="str">
        <x:f>IF(OR(R810="unavailable",T810="unavailable"),"不可评价",IF(AND(R810="positive",T810="positive"),"a",IF(T810="positive","b",IF(R810="positive","c","d"))))</x:f>
        <x:v>d</x:v>
      </x:c>
      <x:c r="AE810" s="12" t="str">
        <x:f>IF(OR(W810="unavailable",Y810="unavailable"),"不可评价",IF(AND(OR(W810="positive",W810="equivocal"),OR(Y810="positive",Y810="equivocal")),"a",IF(OR(Y810="positive",Y810="equivocal"),"b",IF(OR(W810="positive",W810="equivocal"),"c","d"))))</x:f>
        <x:v>d</x:v>
      </x:c>
      <x:c r="AF810" s="12" t="str">
        <x:f>IF(OR(W810="unavailable",Y810="unavailable"),"不可评价",IF(AND(W810="positive",Y810="positive"),"a",IF(Y810="positive","b",IF(W810="positive","c","d"))))</x:f>
        <x:v>d</x:v>
      </x:c>
    </x:row>
    <x:row r="811" ht="24" customHeight="1">
      <x:c r="A811" s="12" t="str">
        <x:v>6794</x:v>
      </x:c>
      <x:c r="B811" s="12" t="str">
        <x:v>11613</x:v>
      </x:c>
      <x:c r="C811" s="21" t="n">
        <x:v>33465.57476851852</x:v>
      </x:c>
      <x:c r="D811" s="12" t="n">
        <x:v>84</x:v>
      </x:c>
      <x:c r="E811" s="12" t="n">
        <x:v>1</x:v>
      </x:c>
      <x:c r="F811" s="12" t="str">
        <x:v>未记录</x:v>
      </x:c>
      <x:c r="G811" s="12" t="n">
        <x:v>0</x:v>
      </x:c>
      <x:c r="H811" s="12" t="str">
        <x:v>{'ASMI': 15.0, 'IMI': 15.0, 'RAO/RAE': 100.0, 'QWAVE': 0.0, 'SR': 0.0}</x:v>
      </x:c>
      <x:c r="I811" s="12" t="str">
        <x:v>[('NSR', 100.0), ('RAE', 100.0), ('SMI;AU', 100.0), ('IMI;AU', 100.0), ('AB', 100.0)]</x:v>
      </x:c>
      <x:c r="J811" s="12" t="str">
        <x:v>ptbxl_database.csv；ecg_id=6794；scp_codes</x:v>
      </x:c>
      <x:c r="K811" s="12" t="str">
        <x:v>12sl_statements.csv；ecg_id=6794；statements_ext_snomed</x:v>
      </x:c>
      <x:c r="L811" s="12"/>
      <x:c r="M811" s="12" t="str">
        <x:v>negative</x:v>
      </x:c>
      <x:c r="N811" s="12"/>
      <x:c r="O811" s="12" t="str">
        <x:v>negative</x:v>
      </x:c>
      <x:c r="P811" s="12" t="str">
        <x:f>IF(OR(M811="unavailable",O811="unavailable"),"不可评价",IF(OR(M811="equivocal",O811="equivocal"),"疑似",IF(AND(M811="positive",O811="positive"),"a",IF(O811="positive","b",IF(M811="positive","c","d")))))</x:f>
        <x:v>d</x:v>
      </x:c>
      <x:c r="Q811" s="12"/>
      <x:c r="R811" s="12" t="str">
        <x:v>negative</x:v>
      </x:c>
      <x:c r="S811" s="12"/>
      <x:c r="T811" s="12" t="str">
        <x:v>negative</x:v>
      </x:c>
      <x:c r="U811" s="12" t="str">
        <x:f>IF(OR(R811="unavailable",T811="unavailable"),"不可评价",IF(OR(R811="equivocal",T811="equivocal"),"疑似",IF(AND(R811="positive",T811="positive"),"a",IF(T811="positive","b",IF(R811="positive","c","d")))))</x:f>
        <x:v>d</x:v>
      </x:c>
      <x:c r="V811" s="12"/>
      <x:c r="W811" s="12" t="str">
        <x:v>negative</x:v>
      </x:c>
      <x:c r="X811" s="12"/>
      <x:c r="Y811" s="12" t="str">
        <x:v>negative</x:v>
      </x:c>
      <x:c r="Z811" s="12" t="str">
        <x:f>IF(OR(W811="unavailable",Y811="unavailable"),"不可评价",IF(OR(W811="equivocal",Y811="equivocal"),"疑似",IF(AND(W811="positive",Y811="positive"),"a",IF(Y811="positive","b",IF(W811="positive","c","d")))))</x:f>
        <x:v>d</x:v>
      </x:c>
      <x:c r="AA811" s="12" t="str">
        <x:f>IF(OR(M811="unavailable",O811="unavailable"),"不可评价",IF(AND(OR(M811="positive",M811="equivocal"),OR(O811="positive",O811="equivocal")),"a",IF(OR(O811="positive",O811="equivocal"),"b",IF(OR(M811="positive",M811="equivocal"),"c","d"))))</x:f>
        <x:v>d</x:v>
      </x:c>
      <x:c r="AB811" s="12" t="str">
        <x:f>IF(OR(M811="unavailable",O811="unavailable"),"不可评价",IF(AND(M811="positive",O811="positive"),"a",IF(O811="positive","b",IF(M811="positive","c","d"))))</x:f>
        <x:v>d</x:v>
      </x:c>
      <x:c r="AC811" s="12" t="str">
        <x:f>IF(OR(R811="unavailable",T811="unavailable"),"不可评价",IF(AND(OR(R811="positive",R811="equivocal"),OR(T811="positive",T811="equivocal")),"a",IF(OR(T811="positive",T811="equivocal"),"b",IF(OR(R811="positive",R811="equivocal"),"c","d"))))</x:f>
        <x:v>d</x:v>
      </x:c>
      <x:c r="AD811" s="12" t="str">
        <x:f>IF(OR(R811="unavailable",T811="unavailable"),"不可评价",IF(AND(R811="positive",T811="positive"),"a",IF(T811="positive","b",IF(R811="positive","c","d"))))</x:f>
        <x:v>d</x:v>
      </x:c>
      <x:c r="AE811" s="12" t="str">
        <x:f>IF(OR(W811="unavailable",Y811="unavailable"),"不可评价",IF(AND(OR(W811="positive",W811="equivocal"),OR(Y811="positive",Y811="equivocal")),"a",IF(OR(Y811="positive",Y811="equivocal"),"b",IF(OR(W811="positive",W811="equivocal"),"c","d"))))</x:f>
        <x:v>d</x:v>
      </x:c>
      <x:c r="AF811" s="12" t="str">
        <x:f>IF(OR(W811="unavailable",Y811="unavailable"),"不可评价",IF(AND(W811="positive",Y811="positive"),"a",IF(Y811="positive","b",IF(W811="positive","c","d"))))</x:f>
        <x:v>d</x:v>
      </x:c>
    </x:row>
    <x:row r="812" ht="24" customHeight="1">
      <x:c r="A812" s="12" t="str">
        <x:v>6796</x:v>
      </x:c>
      <x:c r="B812" s="12" t="str">
        <x:v>19527</x:v>
      </x:c>
      <x:c r="C812" s="21" t="n">
        <x:v>33466.323900462965</x:v>
      </x:c>
      <x:c r="D812" s="12" t="n">
        <x:v>72</x:v>
      </x:c>
      <x:c r="E812" s="12" t="n">
        <x:v>0</x:v>
      </x:c>
      <x:c r="F812" s="12" t="str">
        <x:v>未记录</x:v>
      </x:c>
      <x:c r="G812" s="12" t="n">
        <x:v>1</x:v>
      </x:c>
      <x:c r="H812" s="12" t="str">
        <x:v>{'NDT': 100.0, 'SR': 0.0}</x:v>
      </x:c>
      <x:c r="I812" s="12" t="str">
        <x:v>[('NSR', 100.0), ('IT', 100.0), ('AB', 100.0)]</x:v>
      </x:c>
      <x:c r="J812" s="12" t="str">
        <x:v>ptbxl_database.csv；ecg_id=6796；scp_codes</x:v>
      </x:c>
      <x:c r="K812" s="12" t="str">
        <x:v>12sl_statements.csv；ecg_id=6796；statements_ext_snomed</x:v>
      </x:c>
      <x:c r="L812" s="12"/>
      <x:c r="M812" s="12" t="str">
        <x:v>negative</x:v>
      </x:c>
      <x:c r="N812" s="12"/>
      <x:c r="O812" s="12" t="str">
        <x:v>negative</x:v>
      </x:c>
      <x:c r="P812" s="12" t="str">
        <x:f>IF(OR(M812="unavailable",O812="unavailable"),"不可评价",IF(OR(M812="equivocal",O812="equivocal"),"疑似",IF(AND(M812="positive",O812="positive"),"a",IF(O812="positive","b",IF(M812="positive","c","d")))))</x:f>
        <x:v>d</x:v>
      </x:c>
      <x:c r="Q812" s="12"/>
      <x:c r="R812" s="12" t="str">
        <x:v>negative</x:v>
      </x:c>
      <x:c r="S812" s="12"/>
      <x:c r="T812" s="12" t="str">
        <x:v>negative</x:v>
      </x:c>
      <x:c r="U812" s="12" t="str">
        <x:f>IF(OR(R812="unavailable",T812="unavailable"),"不可评价",IF(OR(R812="equivocal",T812="equivocal"),"疑似",IF(AND(R812="positive",T812="positive"),"a",IF(T812="positive","b",IF(R812="positive","c","d")))))</x:f>
        <x:v>d</x:v>
      </x:c>
      <x:c r="V812" s="12"/>
      <x:c r="W812" s="12" t="str">
        <x:v>negative</x:v>
      </x:c>
      <x:c r="X812" s="12"/>
      <x:c r="Y812" s="12" t="str">
        <x:v>negative</x:v>
      </x:c>
      <x:c r="Z812" s="12" t="str">
        <x:f>IF(OR(W812="unavailable",Y812="unavailable"),"不可评价",IF(OR(W812="equivocal",Y812="equivocal"),"疑似",IF(AND(W812="positive",Y812="positive"),"a",IF(Y812="positive","b",IF(W812="positive","c","d")))))</x:f>
        <x:v>d</x:v>
      </x:c>
      <x:c r="AA812" s="12" t="str">
        <x:f>IF(OR(M812="unavailable",O812="unavailable"),"不可评价",IF(AND(OR(M812="positive",M812="equivocal"),OR(O812="positive",O812="equivocal")),"a",IF(OR(O812="positive",O812="equivocal"),"b",IF(OR(M812="positive",M812="equivocal"),"c","d"))))</x:f>
        <x:v>d</x:v>
      </x:c>
      <x:c r="AB812" s="12" t="str">
        <x:f>IF(OR(M812="unavailable",O812="unavailable"),"不可评价",IF(AND(M812="positive",O812="positive"),"a",IF(O812="positive","b",IF(M812="positive","c","d"))))</x:f>
        <x:v>d</x:v>
      </x:c>
      <x:c r="AC812" s="12" t="str">
        <x:f>IF(OR(R812="unavailable",T812="unavailable"),"不可评价",IF(AND(OR(R812="positive",R812="equivocal"),OR(T812="positive",T812="equivocal")),"a",IF(OR(T812="positive",T812="equivocal"),"b",IF(OR(R812="positive",R812="equivocal"),"c","d"))))</x:f>
        <x:v>d</x:v>
      </x:c>
      <x:c r="AD812" s="12" t="str">
        <x:f>IF(OR(R812="unavailable",T812="unavailable"),"不可评价",IF(AND(R812="positive",T812="positive"),"a",IF(T812="positive","b",IF(R812="positive","c","d"))))</x:f>
        <x:v>d</x:v>
      </x:c>
      <x:c r="AE812" s="12" t="str">
        <x:f>IF(OR(W812="unavailable",Y812="unavailable"),"不可评价",IF(AND(OR(W812="positive",W812="equivocal"),OR(Y812="positive",Y812="equivocal")),"a",IF(OR(Y812="positive",Y812="equivocal"),"b",IF(OR(W812="positive",W812="equivocal"),"c","d"))))</x:f>
        <x:v>d</x:v>
      </x:c>
      <x:c r="AF812" s="12" t="str">
        <x:f>IF(OR(W812="unavailable",Y812="unavailable"),"不可评价",IF(AND(W812="positive",Y812="positive"),"a",IF(Y812="positive","b",IF(W812="positive","c","d"))))</x:f>
        <x:v>d</x:v>
      </x:c>
    </x:row>
    <x:row r="813" ht="24" customHeight="1">
      <x:c r="A813" s="12" t="str">
        <x:v>6817</x:v>
      </x:c>
      <x:c r="B813" s="12" t="str">
        <x:v>11767</x:v>
      </x:c>
      <x:c r="C813" s="21" t="n">
        <x:v>33471.123020833336</x:v>
      </x:c>
      <x:c r="D813" s="12" t="n">
        <x:v>80</x:v>
      </x:c>
      <x:c r="E813" s="12" t="n">
        <x:v>1</x:v>
      </x:c>
      <x:c r="F813" s="12" t="str">
        <x:v>存在</x:v>
      </x:c>
      <x:c r="G813" s="12" t="n">
        <x:v>0</x:v>
      </x:c>
      <x:c r="H813" s="12" t="str">
        <x:v>{'INJAS': 100.0, 'INJAL': 100.0, 'INJIN': 100.0, 'SR': 0.0}</x:v>
      </x:c>
      <x:c r="I813" s="12" t="str">
        <x:v>[('SBRAD', 100.0), ('ST&amp;', 100.0), ('MALT', 100.0), ('LNGQT', 100.0), ('AB', 100.0)]</x:v>
      </x:c>
      <x:c r="J813" s="12" t="str">
        <x:v>ptbxl_database.csv；ecg_id=6817；scp_codes</x:v>
      </x:c>
      <x:c r="K813" s="12" t="str">
        <x:v>12sl_statements.csv；ecg_id=6817；statements_ext_snomed</x:v>
      </x:c>
      <x:c r="L813" s="12"/>
      <x:c r="M813" s="12" t="str">
        <x:v>negative</x:v>
      </x:c>
      <x:c r="N813" s="12"/>
      <x:c r="O813" s="12" t="str">
        <x:v>negative</x:v>
      </x:c>
      <x:c r="P813" s="12" t="str">
        <x:f>IF(OR(M813="unavailable",O813="unavailable"),"不可评价",IF(OR(M813="equivocal",O813="equivocal"),"疑似",IF(AND(M813="positive",O813="positive"),"a",IF(O813="positive","b",IF(M813="positive","c","d")))))</x:f>
        <x:v>d</x:v>
      </x:c>
      <x:c r="Q813" s="12"/>
      <x:c r="R813" s="12" t="str">
        <x:v>negative</x:v>
      </x:c>
      <x:c r="S813" s="12"/>
      <x:c r="T813" s="12" t="str">
        <x:v>negative</x:v>
      </x:c>
      <x:c r="U813" s="12" t="str">
        <x:f>IF(OR(R813="unavailable",T813="unavailable"),"不可评价",IF(OR(R813="equivocal",T813="equivocal"),"疑似",IF(AND(R813="positive",T813="positive"),"a",IF(T813="positive","b",IF(R813="positive","c","d")))))</x:f>
        <x:v>d</x:v>
      </x:c>
      <x:c r="V813" s="12"/>
      <x:c r="W813" s="12" t="str">
        <x:v>negative</x:v>
      </x:c>
      <x:c r="X813" s="12"/>
      <x:c r="Y813" s="12" t="str">
        <x:v>negative</x:v>
      </x:c>
      <x:c r="Z813" s="12" t="str">
        <x:f>IF(OR(W813="unavailable",Y813="unavailable"),"不可评价",IF(OR(W813="equivocal",Y813="equivocal"),"疑似",IF(AND(W813="positive",Y813="positive"),"a",IF(Y813="positive","b",IF(W813="positive","c","d")))))</x:f>
        <x:v>d</x:v>
      </x:c>
      <x:c r="AA813" s="12" t="str">
        <x:f>IF(OR(M813="unavailable",O813="unavailable"),"不可评价",IF(AND(OR(M813="positive",M813="equivocal"),OR(O813="positive",O813="equivocal")),"a",IF(OR(O813="positive",O813="equivocal"),"b",IF(OR(M813="positive",M813="equivocal"),"c","d"))))</x:f>
        <x:v>d</x:v>
      </x:c>
      <x:c r="AB813" s="12" t="str">
        <x:f>IF(OR(M813="unavailable",O813="unavailable"),"不可评价",IF(AND(M813="positive",O813="positive"),"a",IF(O813="positive","b",IF(M813="positive","c","d"))))</x:f>
        <x:v>d</x:v>
      </x:c>
      <x:c r="AC813" s="12" t="str">
        <x:f>IF(OR(R813="unavailable",T813="unavailable"),"不可评价",IF(AND(OR(R813="positive",R813="equivocal"),OR(T813="positive",T813="equivocal")),"a",IF(OR(T813="positive",T813="equivocal"),"b",IF(OR(R813="positive",R813="equivocal"),"c","d"))))</x:f>
        <x:v>d</x:v>
      </x:c>
      <x:c r="AD813" s="12" t="str">
        <x:f>IF(OR(R813="unavailable",T813="unavailable"),"不可评价",IF(AND(R813="positive",T813="positive"),"a",IF(T813="positive","b",IF(R813="positive","c","d"))))</x:f>
        <x:v>d</x:v>
      </x:c>
      <x:c r="AE813" s="12" t="str">
        <x:f>IF(OR(W813="unavailable",Y813="unavailable"),"不可评价",IF(AND(OR(W813="positive",W813="equivocal"),OR(Y813="positive",Y813="equivocal")),"a",IF(OR(Y813="positive",Y813="equivocal"),"b",IF(OR(W813="positive",W813="equivocal"),"c","d"))))</x:f>
        <x:v>d</x:v>
      </x:c>
      <x:c r="AF813" s="12" t="str">
        <x:f>IF(OR(W813="unavailable",Y813="unavailable"),"不可评价",IF(AND(W813="positive",Y813="positive"),"a",IF(Y813="positive","b",IF(W813="positive","c","d"))))</x:f>
        <x:v>d</x:v>
      </x:c>
    </x:row>
    <x:row r="814" ht="24" customHeight="1">
      <x:c r="A814" s="12" t="str">
        <x:v>6852</x:v>
      </x:c>
      <x:c r="B814" s="12" t="str">
        <x:v>8264</x:v>
      </x:c>
      <x:c r="C814" s="21" t="n">
        <x:v>33478.17938657408</x:v>
      </x:c>
      <x:c r="D814" s="12" t="n">
        <x:v>58</x:v>
      </x:c>
      <x:c r="E814" s="12" t="n">
        <x:v>0</x:v>
      </x:c>
      <x:c r="F814" s="12" t="str">
        <x:v>未记录</x:v>
      </x:c>
      <x:c r="G814" s="12" t="n">
        <x:v>1</x:v>
      </x:c>
      <x:c r="H814" s="12" t="str">
        <x:v>{'LAFB': 100.0, 'INJAL': 100.0, 'ISCIN': 100.0, 'SR': 0.0}</x:v>
      </x:c>
      <x:c r="I814" s="12" t="str">
        <x:v>[('SBRAD', 100.0), ('LAD3', 100.0), ('LT', 100.0), ('AB', 100.0)]</x:v>
      </x:c>
      <x:c r="J814" s="12" t="str">
        <x:v>ptbxl_database.csv；ecg_id=6852；scp_codes</x:v>
      </x:c>
      <x:c r="K814" s="12" t="str">
        <x:v>12sl_statements.csv；ecg_id=6852；statements_ext_snomed</x:v>
      </x:c>
      <x:c r="L814" s="12"/>
      <x:c r="M814" s="12" t="str">
        <x:v>negative</x:v>
      </x:c>
      <x:c r="N814" s="12"/>
      <x:c r="O814" s="12" t="str">
        <x:v>negative</x:v>
      </x:c>
      <x:c r="P814" s="12" t="str">
        <x:f>IF(OR(M814="unavailable",O814="unavailable"),"不可评价",IF(OR(M814="equivocal",O814="equivocal"),"疑似",IF(AND(M814="positive",O814="positive"),"a",IF(O814="positive","b",IF(M814="positive","c","d")))))</x:f>
        <x:v>d</x:v>
      </x:c>
      <x:c r="Q814" s="12"/>
      <x:c r="R814" s="12" t="str">
        <x:v>negative</x:v>
      </x:c>
      <x:c r="S814" s="12"/>
      <x:c r="T814" s="12" t="str">
        <x:v>negative</x:v>
      </x:c>
      <x:c r="U814" s="12" t="str">
        <x:f>IF(OR(R814="unavailable",T814="unavailable"),"不可评价",IF(OR(R814="equivocal",T814="equivocal"),"疑似",IF(AND(R814="positive",T814="positive"),"a",IF(T814="positive","b",IF(R814="positive","c","d")))))</x:f>
        <x:v>d</x:v>
      </x:c>
      <x:c r="V814" s="12"/>
      <x:c r="W814" s="12" t="str">
        <x:v>negative</x:v>
      </x:c>
      <x:c r="X814" s="12"/>
      <x:c r="Y814" s="12" t="str">
        <x:v>negative</x:v>
      </x:c>
      <x:c r="Z814" s="12" t="str">
        <x:f>IF(OR(W814="unavailable",Y814="unavailable"),"不可评价",IF(OR(W814="equivocal",Y814="equivocal"),"疑似",IF(AND(W814="positive",Y814="positive"),"a",IF(Y814="positive","b",IF(W814="positive","c","d")))))</x:f>
        <x:v>d</x:v>
      </x:c>
      <x:c r="AA814" s="12" t="str">
        <x:f>IF(OR(M814="unavailable",O814="unavailable"),"不可评价",IF(AND(OR(M814="positive",M814="equivocal"),OR(O814="positive",O814="equivocal")),"a",IF(OR(O814="positive",O814="equivocal"),"b",IF(OR(M814="positive",M814="equivocal"),"c","d"))))</x:f>
        <x:v>d</x:v>
      </x:c>
      <x:c r="AB814" s="12" t="str">
        <x:f>IF(OR(M814="unavailable",O814="unavailable"),"不可评价",IF(AND(M814="positive",O814="positive"),"a",IF(O814="positive","b",IF(M814="positive","c","d"))))</x:f>
        <x:v>d</x:v>
      </x:c>
      <x:c r="AC814" s="12" t="str">
        <x:f>IF(OR(R814="unavailable",T814="unavailable"),"不可评价",IF(AND(OR(R814="positive",R814="equivocal"),OR(T814="positive",T814="equivocal")),"a",IF(OR(T814="positive",T814="equivocal"),"b",IF(OR(R814="positive",R814="equivocal"),"c","d"))))</x:f>
        <x:v>d</x:v>
      </x:c>
      <x:c r="AD814" s="12" t="str">
        <x:f>IF(OR(R814="unavailable",T814="unavailable"),"不可评价",IF(AND(R814="positive",T814="positive"),"a",IF(T814="positive","b",IF(R814="positive","c","d"))))</x:f>
        <x:v>d</x:v>
      </x:c>
      <x:c r="AE814" s="12" t="str">
        <x:f>IF(OR(W814="unavailable",Y814="unavailable"),"不可评价",IF(AND(OR(W814="positive",W814="equivocal"),OR(Y814="positive",Y814="equivocal")),"a",IF(OR(Y814="positive",Y814="equivocal"),"b",IF(OR(W814="positive",W814="equivocal"),"c","d"))))</x:f>
        <x:v>d</x:v>
      </x:c>
      <x:c r="AF814" s="12" t="str">
        <x:f>IF(OR(W814="unavailable",Y814="unavailable"),"不可评价",IF(AND(W814="positive",Y814="positive"),"a",IF(Y814="positive","b",IF(W814="positive","c","d"))))</x:f>
        <x:v>d</x:v>
      </x:c>
    </x:row>
    <x:row r="815" ht="24" customHeight="1">
      <x:c r="A815" s="12" t="str">
        <x:v>6902</x:v>
      </x:c>
      <x:c r="B815" s="12" t="str">
        <x:v>8388</x:v>
      </x:c>
      <x:c r="C815" s="21" t="n">
        <x:v>33488.76950231481</x:v>
      </x:c>
      <x:c r="D815" s="12" t="n">
        <x:v>58</x:v>
      </x:c>
      <x:c r="E815" s="12" t="n">
        <x:v>0</x:v>
      </x:c>
      <x:c r="F815" s="12" t="str">
        <x:v>未记录</x:v>
      </x:c>
      <x:c r="G815" s="12" t="n">
        <x:v>1</x:v>
      </x:c>
      <x:c r="H815" s="12" t="str">
        <x:v>{'NORM': 80.0, 'SR': 0.0}</x:v>
      </x:c>
      <x:c r="I815" s="12" t="str">
        <x:v>[('NSR', 100.0), ('NML', 100.0)]</x:v>
      </x:c>
      <x:c r="J815" s="12" t="str">
        <x:v>ptbxl_database.csv；ecg_id=6902；scp_codes</x:v>
      </x:c>
      <x:c r="K815" s="12" t="str">
        <x:v>12sl_statements.csv；ecg_id=6902；statements_ext_snomed</x:v>
      </x:c>
      <x:c r="L815" s="12"/>
      <x:c r="M815" s="12" t="str">
        <x:v>negative</x:v>
      </x:c>
      <x:c r="N815" s="12"/>
      <x:c r="O815" s="12" t="str">
        <x:v>negative</x:v>
      </x:c>
      <x:c r="P815" s="12" t="str">
        <x:f>IF(OR(M815="unavailable",O815="unavailable"),"不可评价",IF(OR(M815="equivocal",O815="equivocal"),"疑似",IF(AND(M815="positive",O815="positive"),"a",IF(O815="positive","b",IF(M815="positive","c","d")))))</x:f>
        <x:v>d</x:v>
      </x:c>
      <x:c r="Q815" s="12"/>
      <x:c r="R815" s="12" t="str">
        <x:v>negative</x:v>
      </x:c>
      <x:c r="S815" s="12"/>
      <x:c r="T815" s="12" t="str">
        <x:v>negative</x:v>
      </x:c>
      <x:c r="U815" s="12" t="str">
        <x:f>IF(OR(R815="unavailable",T815="unavailable"),"不可评价",IF(OR(R815="equivocal",T815="equivocal"),"疑似",IF(AND(R815="positive",T815="positive"),"a",IF(T815="positive","b",IF(R815="positive","c","d")))))</x:f>
        <x:v>d</x:v>
      </x:c>
      <x:c r="V815" s="12"/>
      <x:c r="W815" s="12" t="str">
        <x:v>negative</x:v>
      </x:c>
      <x:c r="X815" s="12"/>
      <x:c r="Y815" s="12" t="str">
        <x:v>negative</x:v>
      </x:c>
      <x:c r="Z815" s="12" t="str">
        <x:f>IF(OR(W815="unavailable",Y815="unavailable"),"不可评价",IF(OR(W815="equivocal",Y815="equivocal"),"疑似",IF(AND(W815="positive",Y815="positive"),"a",IF(Y815="positive","b",IF(W815="positive","c","d")))))</x:f>
        <x:v>d</x:v>
      </x:c>
      <x:c r="AA815" s="12" t="str">
        <x:f>IF(OR(M815="unavailable",O815="unavailable"),"不可评价",IF(AND(OR(M815="positive",M815="equivocal"),OR(O815="positive",O815="equivocal")),"a",IF(OR(O815="positive",O815="equivocal"),"b",IF(OR(M815="positive",M815="equivocal"),"c","d"))))</x:f>
        <x:v>d</x:v>
      </x:c>
      <x:c r="AB815" s="12" t="str">
        <x:f>IF(OR(M815="unavailable",O815="unavailable"),"不可评价",IF(AND(M815="positive",O815="positive"),"a",IF(O815="positive","b",IF(M815="positive","c","d"))))</x:f>
        <x:v>d</x:v>
      </x:c>
      <x:c r="AC815" s="12" t="str">
        <x:f>IF(OR(R815="unavailable",T815="unavailable"),"不可评价",IF(AND(OR(R815="positive",R815="equivocal"),OR(T815="positive",T815="equivocal")),"a",IF(OR(T815="positive",T815="equivocal"),"b",IF(OR(R815="positive",R815="equivocal"),"c","d"))))</x:f>
        <x:v>d</x:v>
      </x:c>
      <x:c r="AD815" s="12" t="str">
        <x:f>IF(OR(R815="unavailable",T815="unavailable"),"不可评价",IF(AND(R815="positive",T815="positive"),"a",IF(T815="positive","b",IF(R815="positive","c","d"))))</x:f>
        <x:v>d</x:v>
      </x:c>
      <x:c r="AE815" s="12" t="str">
        <x:f>IF(OR(W815="unavailable",Y815="unavailable"),"不可评价",IF(AND(OR(W815="positive",W815="equivocal"),OR(Y815="positive",Y815="equivocal")),"a",IF(OR(Y815="positive",Y815="equivocal"),"b",IF(OR(W815="positive",W815="equivocal"),"c","d"))))</x:f>
        <x:v>d</x:v>
      </x:c>
      <x:c r="AF815" s="12" t="str">
        <x:f>IF(OR(W815="unavailable",Y815="unavailable"),"不可评价",IF(AND(W815="positive",Y815="positive"),"a",IF(Y815="positive","b",IF(W815="positive","c","d"))))</x:f>
        <x:v>d</x:v>
      </x:c>
    </x:row>
    <x:row r="816" ht="24" customHeight="1">
      <x:c r="A816" s="12" t="str">
        <x:v>6903</x:v>
      </x:c>
      <x:c r="B816" s="12" t="str">
        <x:v>17323</x:v>
      </x:c>
      <x:c r="C816" s="21" t="n">
        <x:v>33488.888090277775</x:v>
      </x:c>
      <x:c r="D816" s="12" t="n">
        <x:v>56</x:v>
      </x:c>
      <x:c r="E816" s="12" t="n">
        <x:v>0</x:v>
      </x:c>
      <x:c r="F816" s="12" t="str">
        <x:v>未记录</x:v>
      </x:c>
      <x:c r="G816" s="12" t="n">
        <x:v>1</x:v>
      </x:c>
      <x:c r="H816" s="12" t="str">
        <x:v>{'IMI': 50.0, 'ABQRS': 0.0, 'SR': 0.0}</x:v>
      </x:c>
      <x:c r="I816" s="12" t="str">
        <x:v>[('NSR', 100.0), ('IMI;AU', 50.0), ('AB', 100.0)]</x:v>
      </x:c>
      <x:c r="J816" s="12" t="str">
        <x:v>ptbxl_database.csv；ecg_id=6903；scp_codes</x:v>
      </x:c>
      <x:c r="K816" s="12" t="str">
        <x:v>12sl_statements.csv；ecg_id=6903；statements_ext_snomed</x:v>
      </x:c>
      <x:c r="L816" s="12"/>
      <x:c r="M816" s="12" t="str">
        <x:v>negative</x:v>
      </x:c>
      <x:c r="N816" s="12"/>
      <x:c r="O816" s="12" t="str">
        <x:v>negative</x:v>
      </x:c>
      <x:c r="P816" s="12" t="str">
        <x:f>IF(OR(M816="unavailable",O816="unavailable"),"不可评价",IF(OR(M816="equivocal",O816="equivocal"),"疑似",IF(AND(M816="positive",O816="positive"),"a",IF(O816="positive","b",IF(M816="positive","c","d")))))</x:f>
        <x:v>d</x:v>
      </x:c>
      <x:c r="Q816" s="12"/>
      <x:c r="R816" s="12" t="str">
        <x:v>negative</x:v>
      </x:c>
      <x:c r="S816" s="12"/>
      <x:c r="T816" s="12" t="str">
        <x:v>negative</x:v>
      </x:c>
      <x:c r="U816" s="12" t="str">
        <x:f>IF(OR(R816="unavailable",T816="unavailable"),"不可评价",IF(OR(R816="equivocal",T816="equivocal"),"疑似",IF(AND(R816="positive",T816="positive"),"a",IF(T816="positive","b",IF(R816="positive","c","d")))))</x:f>
        <x:v>d</x:v>
      </x:c>
      <x:c r="V816" s="12"/>
      <x:c r="W816" s="12" t="str">
        <x:v>negative</x:v>
      </x:c>
      <x:c r="X816" s="12"/>
      <x:c r="Y816" s="12" t="str">
        <x:v>negative</x:v>
      </x:c>
      <x:c r="Z816" s="12" t="str">
        <x:f>IF(OR(W816="unavailable",Y816="unavailable"),"不可评价",IF(OR(W816="equivocal",Y816="equivocal"),"疑似",IF(AND(W816="positive",Y816="positive"),"a",IF(Y816="positive","b",IF(W816="positive","c","d")))))</x:f>
        <x:v>d</x:v>
      </x:c>
      <x:c r="AA816" s="12" t="str">
        <x:f>IF(OR(M816="unavailable",O816="unavailable"),"不可评价",IF(AND(OR(M816="positive",M816="equivocal"),OR(O816="positive",O816="equivocal")),"a",IF(OR(O816="positive",O816="equivocal"),"b",IF(OR(M816="positive",M816="equivocal"),"c","d"))))</x:f>
        <x:v>d</x:v>
      </x:c>
      <x:c r="AB816" s="12" t="str">
        <x:f>IF(OR(M816="unavailable",O816="unavailable"),"不可评价",IF(AND(M816="positive",O816="positive"),"a",IF(O816="positive","b",IF(M816="positive","c","d"))))</x:f>
        <x:v>d</x:v>
      </x:c>
      <x:c r="AC816" s="12" t="str">
        <x:f>IF(OR(R816="unavailable",T816="unavailable"),"不可评价",IF(AND(OR(R816="positive",R816="equivocal"),OR(T816="positive",T816="equivocal")),"a",IF(OR(T816="positive",T816="equivocal"),"b",IF(OR(R816="positive",R816="equivocal"),"c","d"))))</x:f>
        <x:v>d</x:v>
      </x:c>
      <x:c r="AD816" s="12" t="str">
        <x:f>IF(OR(R816="unavailable",T816="unavailable"),"不可评价",IF(AND(R816="positive",T816="positive"),"a",IF(T816="positive","b",IF(R816="positive","c","d"))))</x:f>
        <x:v>d</x:v>
      </x:c>
      <x:c r="AE816" s="12" t="str">
        <x:f>IF(OR(W816="unavailable",Y816="unavailable"),"不可评价",IF(AND(OR(W816="positive",W816="equivocal"),OR(Y816="positive",Y816="equivocal")),"a",IF(OR(Y816="positive",Y816="equivocal"),"b",IF(OR(W816="positive",W816="equivocal"),"c","d"))))</x:f>
        <x:v>d</x:v>
      </x:c>
      <x:c r="AF816" s="12" t="str">
        <x:f>IF(OR(W816="unavailable",Y816="unavailable"),"不可评价",IF(AND(W816="positive",Y816="positive"),"a",IF(Y816="positive","b",IF(W816="positive","c","d"))))</x:f>
        <x:v>d</x:v>
      </x:c>
    </x:row>
    <x:row r="817" ht="24" customHeight="1">
      <x:c r="A817" s="12" t="str">
        <x:v>6911</x:v>
      </x:c>
      <x:c r="B817" s="12" t="str">
        <x:v>13387</x:v>
      </x:c>
      <x:c r="C817" s="21" t="n">
        <x:v>33489.718460648146</x:v>
      </x:c>
      <x:c r="D817" s="12" t="n">
        <x:v>60</x:v>
      </x:c>
      <x:c r="E817" s="12" t="n">
        <x:v>1</x:v>
      </x:c>
      <x:c r="F817" s="12" t="str">
        <x:v>未记录</x:v>
      </x:c>
      <x:c r="G817" s="12" t="n">
        <x:v>1</x:v>
      </x:c>
      <x:c r="H817" s="12" t="str">
        <x:v>{'NORM': 80.0, 'STACH': 0.0}</x:v>
      </x:c>
      <x:c r="I817" s="12" t="str">
        <x:v>[('STACH', 100.0), ('NST', 100.0), ('AB', 100.0)]</x:v>
      </x:c>
      <x:c r="J817" s="12" t="str">
        <x:v>ptbxl_database.csv；ecg_id=6911；scp_codes</x:v>
      </x:c>
      <x:c r="K817" s="12" t="str">
        <x:v>12sl_statements.csv；ecg_id=6911；statements_ext_snomed</x:v>
      </x:c>
      <x:c r="L817" s="12"/>
      <x:c r="M817" s="12" t="str">
        <x:v>negative</x:v>
      </x:c>
      <x:c r="N817" s="12"/>
      <x:c r="O817" s="12" t="str">
        <x:v>negative</x:v>
      </x:c>
      <x:c r="P817" s="12" t="str">
        <x:f>IF(OR(M817="unavailable",O817="unavailable"),"不可评价",IF(OR(M817="equivocal",O817="equivocal"),"疑似",IF(AND(M817="positive",O817="positive"),"a",IF(O817="positive","b",IF(M817="positive","c","d")))))</x:f>
        <x:v>d</x:v>
      </x:c>
      <x:c r="Q817" s="12"/>
      <x:c r="R817" s="12" t="str">
        <x:v>negative</x:v>
      </x:c>
      <x:c r="S817" s="12"/>
      <x:c r="T817" s="12" t="str">
        <x:v>negative</x:v>
      </x:c>
      <x:c r="U817" s="12" t="str">
        <x:f>IF(OR(R817="unavailable",T817="unavailable"),"不可评价",IF(OR(R817="equivocal",T817="equivocal"),"疑似",IF(AND(R817="positive",T817="positive"),"a",IF(T817="positive","b",IF(R817="positive","c","d")))))</x:f>
        <x:v>d</x:v>
      </x:c>
      <x:c r="V817" s="12"/>
      <x:c r="W817" s="12" t="str">
        <x:v>negative</x:v>
      </x:c>
      <x:c r="X817" s="12"/>
      <x:c r="Y817" s="12" t="str">
        <x:v>negative</x:v>
      </x:c>
      <x:c r="Z817" s="12" t="str">
        <x:f>IF(OR(W817="unavailable",Y817="unavailable"),"不可评价",IF(OR(W817="equivocal",Y817="equivocal"),"疑似",IF(AND(W817="positive",Y817="positive"),"a",IF(Y817="positive","b",IF(W817="positive","c","d")))))</x:f>
        <x:v>d</x:v>
      </x:c>
      <x:c r="AA817" s="12" t="str">
        <x:f>IF(OR(M817="unavailable",O817="unavailable"),"不可评价",IF(AND(OR(M817="positive",M817="equivocal"),OR(O817="positive",O817="equivocal")),"a",IF(OR(O817="positive",O817="equivocal"),"b",IF(OR(M817="positive",M817="equivocal"),"c","d"))))</x:f>
        <x:v>d</x:v>
      </x:c>
      <x:c r="AB817" s="12" t="str">
        <x:f>IF(OR(M817="unavailable",O817="unavailable"),"不可评价",IF(AND(M817="positive",O817="positive"),"a",IF(O817="positive","b",IF(M817="positive","c","d"))))</x:f>
        <x:v>d</x:v>
      </x:c>
      <x:c r="AC817" s="12" t="str">
        <x:f>IF(OR(R817="unavailable",T817="unavailable"),"不可评价",IF(AND(OR(R817="positive",R817="equivocal"),OR(T817="positive",T817="equivocal")),"a",IF(OR(T817="positive",T817="equivocal"),"b",IF(OR(R817="positive",R817="equivocal"),"c","d"))))</x:f>
        <x:v>d</x:v>
      </x:c>
      <x:c r="AD817" s="12" t="str">
        <x:f>IF(OR(R817="unavailable",T817="unavailable"),"不可评价",IF(AND(R817="positive",T817="positive"),"a",IF(T817="positive","b",IF(R817="positive","c","d"))))</x:f>
        <x:v>d</x:v>
      </x:c>
      <x:c r="AE817" s="12" t="str">
        <x:f>IF(OR(W817="unavailable",Y817="unavailable"),"不可评价",IF(AND(OR(W817="positive",W817="equivocal"),OR(Y817="positive",Y817="equivocal")),"a",IF(OR(Y817="positive",Y817="equivocal"),"b",IF(OR(W817="positive",W817="equivocal"),"c","d"))))</x:f>
        <x:v>d</x:v>
      </x:c>
      <x:c r="AF817" s="12" t="str">
        <x:f>IF(OR(W817="unavailable",Y817="unavailable"),"不可评价",IF(AND(W817="positive",Y817="positive"),"a",IF(Y817="positive","b",IF(W817="positive","c","d"))))</x:f>
        <x:v>d</x:v>
      </x:c>
    </x:row>
    <x:row r="818" ht="24" customHeight="1">
      <x:c r="A818" s="12" t="str">
        <x:v>6912</x:v>
      </x:c>
      <x:c r="B818" s="12" t="str">
        <x:v>19057</x:v>
      </x:c>
      <x:c r="C818" s="21" t="n">
        <x:v>33490.289930555555</x:v>
      </x:c>
      <x:c r="D818" s="12" t="n">
        <x:v>70</x:v>
      </x:c>
      <x:c r="E818" s="12" t="n">
        <x:v>0</x:v>
      </x:c>
      <x:c r="F818" s="12" t="str">
        <x:v>未记录</x:v>
      </x:c>
      <x:c r="G818" s="12" t="n">
        <x:v>1</x:v>
      </x:c>
      <x:c r="H818" s="12" t="str">
        <x:v>{'NDT': 100.0, 'ABQRS': 0.0, 'SR': 0.0}</x:v>
      </x:c>
      <x:c r="I818" s="12" t="str">
        <x:v>[('NSR', 100.0), ('NST', 100.0), ('AB', 100.0)]</x:v>
      </x:c>
      <x:c r="J818" s="12" t="str">
        <x:v>ptbxl_database.csv；ecg_id=6912；scp_codes</x:v>
      </x:c>
      <x:c r="K818" s="12" t="str">
        <x:v>12sl_statements.csv；ecg_id=6912；statements_ext_snomed</x:v>
      </x:c>
      <x:c r="L818" s="12"/>
      <x:c r="M818" s="12" t="str">
        <x:v>negative</x:v>
      </x:c>
      <x:c r="N818" s="12"/>
      <x:c r="O818" s="12" t="str">
        <x:v>negative</x:v>
      </x:c>
      <x:c r="P818" s="12" t="str">
        <x:f>IF(OR(M818="unavailable",O818="unavailable"),"不可评价",IF(OR(M818="equivocal",O818="equivocal"),"疑似",IF(AND(M818="positive",O818="positive"),"a",IF(O818="positive","b",IF(M818="positive","c","d")))))</x:f>
        <x:v>d</x:v>
      </x:c>
      <x:c r="Q818" s="12"/>
      <x:c r="R818" s="12" t="str">
        <x:v>negative</x:v>
      </x:c>
      <x:c r="S818" s="12"/>
      <x:c r="T818" s="12" t="str">
        <x:v>negative</x:v>
      </x:c>
      <x:c r="U818" s="12" t="str">
        <x:f>IF(OR(R818="unavailable",T818="unavailable"),"不可评价",IF(OR(R818="equivocal",T818="equivocal"),"疑似",IF(AND(R818="positive",T818="positive"),"a",IF(T818="positive","b",IF(R818="positive","c","d")))))</x:f>
        <x:v>d</x:v>
      </x:c>
      <x:c r="V818" s="12"/>
      <x:c r="W818" s="12" t="str">
        <x:v>negative</x:v>
      </x:c>
      <x:c r="X818" s="12"/>
      <x:c r="Y818" s="12" t="str">
        <x:v>negative</x:v>
      </x:c>
      <x:c r="Z818" s="12" t="str">
        <x:f>IF(OR(W818="unavailable",Y818="unavailable"),"不可评价",IF(OR(W818="equivocal",Y818="equivocal"),"疑似",IF(AND(W818="positive",Y818="positive"),"a",IF(Y818="positive","b",IF(W818="positive","c","d")))))</x:f>
        <x:v>d</x:v>
      </x:c>
      <x:c r="AA818" s="12" t="str">
        <x:f>IF(OR(M818="unavailable",O818="unavailable"),"不可评价",IF(AND(OR(M818="positive",M818="equivocal"),OR(O818="positive",O818="equivocal")),"a",IF(OR(O818="positive",O818="equivocal"),"b",IF(OR(M818="positive",M818="equivocal"),"c","d"))))</x:f>
        <x:v>d</x:v>
      </x:c>
      <x:c r="AB818" s="12" t="str">
        <x:f>IF(OR(M818="unavailable",O818="unavailable"),"不可评价",IF(AND(M818="positive",O818="positive"),"a",IF(O818="positive","b",IF(M818="positive","c","d"))))</x:f>
        <x:v>d</x:v>
      </x:c>
      <x:c r="AC818" s="12" t="str">
        <x:f>IF(OR(R818="unavailable",T818="unavailable"),"不可评价",IF(AND(OR(R818="positive",R818="equivocal"),OR(T818="positive",T818="equivocal")),"a",IF(OR(T818="positive",T818="equivocal"),"b",IF(OR(R818="positive",R818="equivocal"),"c","d"))))</x:f>
        <x:v>d</x:v>
      </x:c>
      <x:c r="AD818" s="12" t="str">
        <x:f>IF(OR(R818="unavailable",T818="unavailable"),"不可评价",IF(AND(R818="positive",T818="positive"),"a",IF(T818="positive","b",IF(R818="positive","c","d"))))</x:f>
        <x:v>d</x:v>
      </x:c>
      <x:c r="AE818" s="12" t="str">
        <x:f>IF(OR(W818="unavailable",Y818="unavailable"),"不可评价",IF(AND(OR(W818="positive",W818="equivocal"),OR(Y818="positive",Y818="equivocal")),"a",IF(OR(Y818="positive",Y818="equivocal"),"b",IF(OR(W818="positive",W818="equivocal"),"c","d"))))</x:f>
        <x:v>d</x:v>
      </x:c>
      <x:c r="AF818" s="12" t="str">
        <x:f>IF(OR(W818="unavailable",Y818="unavailable"),"不可评价",IF(AND(W818="positive",Y818="positive"),"a",IF(Y818="positive","b",IF(W818="positive","c","d"))))</x:f>
        <x:v>d</x:v>
      </x:c>
    </x:row>
    <x:row r="819" ht="24" customHeight="1">
      <x:c r="A819" s="12" t="str">
        <x:v>6924</x:v>
      </x:c>
      <x:c r="B819" s="12" t="str">
        <x:v>14695</x:v>
      </x:c>
      <x:c r="C819" s="21" t="n">
        <x:v>33490.546435185184</x:v>
      </x:c>
      <x:c r="D819" s="12" t="n">
        <x:v>80</x:v>
      </x:c>
      <x:c r="E819" s="12" t="n">
        <x:v>1</x:v>
      </x:c>
      <x:c r="F819" s="12" t="str">
        <x:v>未记录</x:v>
      </x:c>
      <x:c r="G819" s="12" t="n">
        <x:v>1</x:v>
      </x:c>
      <x:c r="H819" s="12" t="str">
        <x:v>{'NORM': 50.0, 'PVC': 100.0, 'SARRH': 0.0}</x:v>
      </x:c>
      <x:c r="I819" s="12" t="str">
        <x:v>[('SRTH', 100.0), ('PVC', 100.0), ('ABR', 100.0)]</x:v>
      </x:c>
      <x:c r="J819" s="12" t="str">
        <x:v>ptbxl_database.csv；ecg_id=6924；scp_codes</x:v>
      </x:c>
      <x:c r="K819" s="12" t="str">
        <x:v>12sl_statements.csv；ecg_id=6924；statements_ext_snomed</x:v>
      </x:c>
      <x:c r="L819" s="12"/>
      <x:c r="M819" s="12" t="str">
        <x:v>negative</x:v>
      </x:c>
      <x:c r="N819" s="12"/>
      <x:c r="O819" s="12" t="str">
        <x:v>negative</x:v>
      </x:c>
      <x:c r="P819" s="12" t="str">
        <x:f>IF(OR(M819="unavailable",O819="unavailable"),"不可评价",IF(OR(M819="equivocal",O819="equivocal"),"疑似",IF(AND(M819="positive",O819="positive"),"a",IF(O819="positive","b",IF(M819="positive","c","d")))))</x:f>
        <x:v>d</x:v>
      </x:c>
      <x:c r="Q819" s="12"/>
      <x:c r="R819" s="12" t="str">
        <x:v>negative</x:v>
      </x:c>
      <x:c r="S819" s="12"/>
      <x:c r="T819" s="12" t="str">
        <x:v>negative</x:v>
      </x:c>
      <x:c r="U819" s="12" t="str">
        <x:f>IF(OR(R819="unavailable",T819="unavailable"),"不可评价",IF(OR(R819="equivocal",T819="equivocal"),"疑似",IF(AND(R819="positive",T819="positive"),"a",IF(T819="positive","b",IF(R819="positive","c","d")))))</x:f>
        <x:v>d</x:v>
      </x:c>
      <x:c r="V819" s="12"/>
      <x:c r="W819" s="12" t="str">
        <x:v>negative</x:v>
      </x:c>
      <x:c r="X819" s="12"/>
      <x:c r="Y819" s="12" t="str">
        <x:v>negative</x:v>
      </x:c>
      <x:c r="Z819" s="12" t="str">
        <x:f>IF(OR(W819="unavailable",Y819="unavailable"),"不可评价",IF(OR(W819="equivocal",Y819="equivocal"),"疑似",IF(AND(W819="positive",Y819="positive"),"a",IF(Y819="positive","b",IF(W819="positive","c","d")))))</x:f>
        <x:v>d</x:v>
      </x:c>
      <x:c r="AA819" s="12" t="str">
        <x:f>IF(OR(M819="unavailable",O819="unavailable"),"不可评价",IF(AND(OR(M819="positive",M819="equivocal"),OR(O819="positive",O819="equivocal")),"a",IF(OR(O819="positive",O819="equivocal"),"b",IF(OR(M819="positive",M819="equivocal"),"c","d"))))</x:f>
        <x:v>d</x:v>
      </x:c>
      <x:c r="AB819" s="12" t="str">
        <x:f>IF(OR(M819="unavailable",O819="unavailable"),"不可评价",IF(AND(M819="positive",O819="positive"),"a",IF(O819="positive","b",IF(M819="positive","c","d"))))</x:f>
        <x:v>d</x:v>
      </x:c>
      <x:c r="AC819" s="12" t="str">
        <x:f>IF(OR(R819="unavailable",T819="unavailable"),"不可评价",IF(AND(OR(R819="positive",R819="equivocal"),OR(T819="positive",T819="equivocal")),"a",IF(OR(T819="positive",T819="equivocal"),"b",IF(OR(R819="positive",R819="equivocal"),"c","d"))))</x:f>
        <x:v>d</x:v>
      </x:c>
      <x:c r="AD819" s="12" t="str">
        <x:f>IF(OR(R819="unavailable",T819="unavailable"),"不可评价",IF(AND(R819="positive",T819="positive"),"a",IF(T819="positive","b",IF(R819="positive","c","d"))))</x:f>
        <x:v>d</x:v>
      </x:c>
      <x:c r="AE819" s="12" t="str">
        <x:f>IF(OR(W819="unavailable",Y819="unavailable"),"不可评价",IF(AND(OR(W819="positive",W819="equivocal"),OR(Y819="positive",Y819="equivocal")),"a",IF(OR(Y819="positive",Y819="equivocal"),"b",IF(OR(W819="positive",W819="equivocal"),"c","d"))))</x:f>
        <x:v>d</x:v>
      </x:c>
      <x:c r="AF819" s="12" t="str">
        <x:f>IF(OR(W819="unavailable",Y819="unavailable"),"不可评价",IF(AND(W819="positive",Y819="positive"),"a",IF(Y819="positive","b",IF(W819="positive","c","d"))))</x:f>
        <x:v>d</x:v>
      </x:c>
    </x:row>
    <x:row r="820" ht="24" customHeight="1">
      <x:c r="A820" s="12" t="str">
        <x:v>6925</x:v>
      </x:c>
      <x:c r="B820" s="12" t="str">
        <x:v>10643</x:v>
      </x:c>
      <x:c r="C820" s="21" t="n">
        <x:v>33490.548125</x:v>
      </x:c>
      <x:c r="D820" s="12" t="n">
        <x:v>77</x:v>
      </x:c>
      <x:c r="E820" s="12" t="n">
        <x:v>1</x:v>
      </x:c>
      <x:c r="F820" s="12" t="str">
        <x:v>未记录</x:v>
      </x:c>
      <x:c r="G820" s="12" t="n">
        <x:v>1</x:v>
      </x:c>
      <x:c r="H820" s="12" t="str">
        <x:v>{'IMI': 50.0, 'LVH': 100.0, 'SR': 0.0}</x:v>
      </x:c>
      <x:c r="I820" s="12" t="str">
        <x:v>[('NSR', 100.0), ('SAR', 100.0), ('LAD3', 100.0), ('IMI;AU', 100.0), ('AB', 100.0)]</x:v>
      </x:c>
      <x:c r="J820" s="12" t="str">
        <x:v>ptbxl_database.csv；ecg_id=6925；scp_codes</x:v>
      </x:c>
      <x:c r="K820" s="12" t="str">
        <x:v>12sl_statements.csv；ecg_id=6925；statements_ext_snomed</x:v>
      </x:c>
      <x:c r="L820" s="12"/>
      <x:c r="M820" s="12" t="str">
        <x:v>negative</x:v>
      </x:c>
      <x:c r="N820" s="12"/>
      <x:c r="O820" s="12" t="str">
        <x:v>negative</x:v>
      </x:c>
      <x:c r="P820" s="12" t="str">
        <x:f>IF(OR(M820="unavailable",O820="unavailable"),"不可评价",IF(OR(M820="equivocal",O820="equivocal"),"疑似",IF(AND(M820="positive",O820="positive"),"a",IF(O820="positive","b",IF(M820="positive","c","d")))))</x:f>
        <x:v>d</x:v>
      </x:c>
      <x:c r="Q820" s="12"/>
      <x:c r="R820" s="12" t="str">
        <x:v>negative</x:v>
      </x:c>
      <x:c r="S820" s="12"/>
      <x:c r="T820" s="12" t="str">
        <x:v>negative</x:v>
      </x:c>
      <x:c r="U820" s="12" t="str">
        <x:f>IF(OR(R820="unavailable",T820="unavailable"),"不可评价",IF(OR(R820="equivocal",T820="equivocal"),"疑似",IF(AND(R820="positive",T820="positive"),"a",IF(T820="positive","b",IF(R820="positive","c","d")))))</x:f>
        <x:v>d</x:v>
      </x:c>
      <x:c r="V820" s="12"/>
      <x:c r="W820" s="12" t="str">
        <x:v>negative</x:v>
      </x:c>
      <x:c r="X820" s="12"/>
      <x:c r="Y820" s="12" t="str">
        <x:v>negative</x:v>
      </x:c>
      <x:c r="Z820" s="12" t="str">
        <x:f>IF(OR(W820="unavailable",Y820="unavailable"),"不可评价",IF(OR(W820="equivocal",Y820="equivocal"),"疑似",IF(AND(W820="positive",Y820="positive"),"a",IF(Y820="positive","b",IF(W820="positive","c","d")))))</x:f>
        <x:v>d</x:v>
      </x:c>
      <x:c r="AA820" s="12" t="str">
        <x:f>IF(OR(M820="unavailable",O820="unavailable"),"不可评价",IF(AND(OR(M820="positive",M820="equivocal"),OR(O820="positive",O820="equivocal")),"a",IF(OR(O820="positive",O820="equivocal"),"b",IF(OR(M820="positive",M820="equivocal"),"c","d"))))</x:f>
        <x:v>d</x:v>
      </x:c>
      <x:c r="AB820" s="12" t="str">
        <x:f>IF(OR(M820="unavailable",O820="unavailable"),"不可评价",IF(AND(M820="positive",O820="positive"),"a",IF(O820="positive","b",IF(M820="positive","c","d"))))</x:f>
        <x:v>d</x:v>
      </x:c>
      <x:c r="AC820" s="12" t="str">
        <x:f>IF(OR(R820="unavailable",T820="unavailable"),"不可评价",IF(AND(OR(R820="positive",R820="equivocal"),OR(T820="positive",T820="equivocal")),"a",IF(OR(T820="positive",T820="equivocal"),"b",IF(OR(R820="positive",R820="equivocal"),"c","d"))))</x:f>
        <x:v>d</x:v>
      </x:c>
      <x:c r="AD820" s="12" t="str">
        <x:f>IF(OR(R820="unavailable",T820="unavailable"),"不可评价",IF(AND(R820="positive",T820="positive"),"a",IF(T820="positive","b",IF(R820="positive","c","d"))))</x:f>
        <x:v>d</x:v>
      </x:c>
      <x:c r="AE820" s="12" t="str">
        <x:f>IF(OR(W820="unavailable",Y820="unavailable"),"不可评价",IF(AND(OR(W820="positive",W820="equivocal"),OR(Y820="positive",Y820="equivocal")),"a",IF(OR(Y820="positive",Y820="equivocal"),"b",IF(OR(W820="positive",W820="equivocal"),"c","d"))))</x:f>
        <x:v>d</x:v>
      </x:c>
      <x:c r="AF820" s="12" t="str">
        <x:f>IF(OR(W820="unavailable",Y820="unavailable"),"不可评价",IF(AND(W820="positive",Y820="positive"),"a",IF(Y820="positive","b",IF(W820="positive","c","d"))))</x:f>
        <x:v>d</x:v>
      </x:c>
    </x:row>
    <x:row r="821" ht="24" customHeight="1">
      <x:c r="A821" s="12" t="str">
        <x:v>6929</x:v>
      </x:c>
      <x:c r="B821" s="12" t="str">
        <x:v>2765</x:v>
      </x:c>
      <x:c r="C821" s="21" t="n">
        <x:v>33490.65892361111</x:v>
      </x:c>
      <x:c r="D821" s="12" t="n">
        <x:v>70</x:v>
      </x:c>
      <x:c r="E821" s="12" t="n">
        <x:v>0</x:v>
      </x:c>
      <x:c r="F821" s="12" t="str">
        <x:v>未记录</x:v>
      </x:c>
      <x:c r="G821" s="12" t="n">
        <x:v>1</x:v>
      </x:c>
      <x:c r="H821" s="12" t="str">
        <x:v>{'IMI': 50.0, 'STACH': 0.0}</x:v>
      </x:c>
      <x:c r="I821" s="12" t="str">
        <x:v>[('STACH', 100.0), ('IMI;AU', 100.0), ('AB', 100.0)]</x:v>
      </x:c>
      <x:c r="J821" s="12" t="str">
        <x:v>ptbxl_database.csv；ecg_id=6929；scp_codes</x:v>
      </x:c>
      <x:c r="K821" s="12" t="str">
        <x:v>12sl_statements.csv；ecg_id=6929；statements_ext_snomed</x:v>
      </x:c>
      <x:c r="L821" s="12"/>
      <x:c r="M821" s="12" t="str">
        <x:v>negative</x:v>
      </x:c>
      <x:c r="N821" s="12"/>
      <x:c r="O821" s="12" t="str">
        <x:v>negative</x:v>
      </x:c>
      <x:c r="P821" s="12" t="str">
        <x:f>IF(OR(M821="unavailable",O821="unavailable"),"不可评价",IF(OR(M821="equivocal",O821="equivocal"),"疑似",IF(AND(M821="positive",O821="positive"),"a",IF(O821="positive","b",IF(M821="positive","c","d")))))</x:f>
        <x:v>d</x:v>
      </x:c>
      <x:c r="Q821" s="12"/>
      <x:c r="R821" s="12" t="str">
        <x:v>negative</x:v>
      </x:c>
      <x:c r="S821" s="12"/>
      <x:c r="T821" s="12" t="str">
        <x:v>negative</x:v>
      </x:c>
      <x:c r="U821" s="12" t="str">
        <x:f>IF(OR(R821="unavailable",T821="unavailable"),"不可评价",IF(OR(R821="equivocal",T821="equivocal"),"疑似",IF(AND(R821="positive",T821="positive"),"a",IF(T821="positive","b",IF(R821="positive","c","d")))))</x:f>
        <x:v>d</x:v>
      </x:c>
      <x:c r="V821" s="12"/>
      <x:c r="W821" s="12" t="str">
        <x:v>negative</x:v>
      </x:c>
      <x:c r="X821" s="12"/>
      <x:c r="Y821" s="12" t="str">
        <x:v>negative</x:v>
      </x:c>
      <x:c r="Z821" s="12" t="str">
        <x:f>IF(OR(W821="unavailable",Y821="unavailable"),"不可评价",IF(OR(W821="equivocal",Y821="equivocal"),"疑似",IF(AND(W821="positive",Y821="positive"),"a",IF(Y821="positive","b",IF(W821="positive","c","d")))))</x:f>
        <x:v>d</x:v>
      </x:c>
      <x:c r="AA821" s="12" t="str">
        <x:f>IF(OR(M821="unavailable",O821="unavailable"),"不可评价",IF(AND(OR(M821="positive",M821="equivocal"),OR(O821="positive",O821="equivocal")),"a",IF(OR(O821="positive",O821="equivocal"),"b",IF(OR(M821="positive",M821="equivocal"),"c","d"))))</x:f>
        <x:v>d</x:v>
      </x:c>
      <x:c r="AB821" s="12" t="str">
        <x:f>IF(OR(M821="unavailable",O821="unavailable"),"不可评价",IF(AND(M821="positive",O821="positive"),"a",IF(O821="positive","b",IF(M821="positive","c","d"))))</x:f>
        <x:v>d</x:v>
      </x:c>
      <x:c r="AC821" s="12" t="str">
        <x:f>IF(OR(R821="unavailable",T821="unavailable"),"不可评价",IF(AND(OR(R821="positive",R821="equivocal"),OR(T821="positive",T821="equivocal")),"a",IF(OR(T821="positive",T821="equivocal"),"b",IF(OR(R821="positive",R821="equivocal"),"c","d"))))</x:f>
        <x:v>d</x:v>
      </x:c>
      <x:c r="AD821" s="12" t="str">
        <x:f>IF(OR(R821="unavailable",T821="unavailable"),"不可评价",IF(AND(R821="positive",T821="positive"),"a",IF(T821="positive","b",IF(R821="positive","c","d"))))</x:f>
        <x:v>d</x:v>
      </x:c>
      <x:c r="AE821" s="12" t="str">
        <x:f>IF(OR(W821="unavailable",Y821="unavailable"),"不可评价",IF(AND(OR(W821="positive",W821="equivocal"),OR(Y821="positive",Y821="equivocal")),"a",IF(OR(Y821="positive",Y821="equivocal"),"b",IF(OR(W821="positive",W821="equivocal"),"c","d"))))</x:f>
        <x:v>d</x:v>
      </x:c>
      <x:c r="AF821" s="12" t="str">
        <x:f>IF(OR(W821="unavailable",Y821="unavailable"),"不可评价",IF(AND(W821="positive",Y821="positive"),"a",IF(Y821="positive","b",IF(W821="positive","c","d"))))</x:f>
        <x:v>d</x:v>
      </x:c>
    </x:row>
    <x:row r="822" ht="24" customHeight="1">
      <x:c r="A822" s="12" t="str">
        <x:v>6951</x:v>
      </x:c>
      <x:c r="B822" s="12" t="str">
        <x:v>7057</x:v>
      </x:c>
      <x:c r="C822" s="21" t="n">
        <x:v>33492.55335648148</x:v>
      </x:c>
      <x:c r="D822" s="12" t="n">
        <x:v>68</x:v>
      </x:c>
      <x:c r="E822" s="12" t="n">
        <x:v>0</x:v>
      </x:c>
      <x:c r="F822" s="12" t="str">
        <x:v>未记录</x:v>
      </x:c>
      <x:c r="G822" s="12" t="n">
        <x:v>1</x:v>
      </x:c>
      <x:c r="H822" s="12" t="str">
        <x:v>{'NORM': 100.0, 'SR': 0.0}</x:v>
      </x:c>
      <x:c r="I822" s="12" t="str">
        <x:v>[('NSR', 100.0), ('NML', 100.0)]</x:v>
      </x:c>
      <x:c r="J822" s="12" t="str">
        <x:v>ptbxl_database.csv；ecg_id=6951；scp_codes</x:v>
      </x:c>
      <x:c r="K822" s="12" t="str">
        <x:v>12sl_statements.csv；ecg_id=6951；statements_ext_snomed</x:v>
      </x:c>
      <x:c r="L822" s="12"/>
      <x:c r="M822" s="12" t="str">
        <x:v>negative</x:v>
      </x:c>
      <x:c r="N822" s="12"/>
      <x:c r="O822" s="12" t="str">
        <x:v>negative</x:v>
      </x:c>
      <x:c r="P822" s="12" t="str">
        <x:f>IF(OR(M822="unavailable",O822="unavailable"),"不可评价",IF(OR(M822="equivocal",O822="equivocal"),"疑似",IF(AND(M822="positive",O822="positive"),"a",IF(O822="positive","b",IF(M822="positive","c","d")))))</x:f>
        <x:v>d</x:v>
      </x:c>
      <x:c r="Q822" s="12"/>
      <x:c r="R822" s="12" t="str">
        <x:v>negative</x:v>
      </x:c>
      <x:c r="S822" s="12"/>
      <x:c r="T822" s="12" t="str">
        <x:v>negative</x:v>
      </x:c>
      <x:c r="U822" s="12" t="str">
        <x:f>IF(OR(R822="unavailable",T822="unavailable"),"不可评价",IF(OR(R822="equivocal",T822="equivocal"),"疑似",IF(AND(R822="positive",T822="positive"),"a",IF(T822="positive","b",IF(R822="positive","c","d")))))</x:f>
        <x:v>d</x:v>
      </x:c>
      <x:c r="V822" s="12"/>
      <x:c r="W822" s="12" t="str">
        <x:v>negative</x:v>
      </x:c>
      <x:c r="X822" s="12"/>
      <x:c r="Y822" s="12" t="str">
        <x:v>negative</x:v>
      </x:c>
      <x:c r="Z822" s="12" t="str">
        <x:f>IF(OR(W822="unavailable",Y822="unavailable"),"不可评价",IF(OR(W822="equivocal",Y822="equivocal"),"疑似",IF(AND(W822="positive",Y822="positive"),"a",IF(Y822="positive","b",IF(W822="positive","c","d")))))</x:f>
        <x:v>d</x:v>
      </x:c>
      <x:c r="AA822" s="12" t="str">
        <x:f>IF(OR(M822="unavailable",O822="unavailable"),"不可评价",IF(AND(OR(M822="positive",M822="equivocal"),OR(O822="positive",O822="equivocal")),"a",IF(OR(O822="positive",O822="equivocal"),"b",IF(OR(M822="positive",M822="equivocal"),"c","d"))))</x:f>
        <x:v>d</x:v>
      </x:c>
      <x:c r="AB822" s="12" t="str">
        <x:f>IF(OR(M822="unavailable",O822="unavailable"),"不可评价",IF(AND(M822="positive",O822="positive"),"a",IF(O822="positive","b",IF(M822="positive","c","d"))))</x:f>
        <x:v>d</x:v>
      </x:c>
      <x:c r="AC822" s="12" t="str">
        <x:f>IF(OR(R822="unavailable",T822="unavailable"),"不可评价",IF(AND(OR(R822="positive",R822="equivocal"),OR(T822="positive",T822="equivocal")),"a",IF(OR(T822="positive",T822="equivocal"),"b",IF(OR(R822="positive",R822="equivocal"),"c","d"))))</x:f>
        <x:v>d</x:v>
      </x:c>
      <x:c r="AD822" s="12" t="str">
        <x:f>IF(OR(R822="unavailable",T822="unavailable"),"不可评价",IF(AND(R822="positive",T822="positive"),"a",IF(T822="positive","b",IF(R822="positive","c","d"))))</x:f>
        <x:v>d</x:v>
      </x:c>
      <x:c r="AE822" s="12" t="str">
        <x:f>IF(OR(W822="unavailable",Y822="unavailable"),"不可评价",IF(AND(OR(W822="positive",W822="equivocal"),OR(Y822="positive",Y822="equivocal")),"a",IF(OR(Y822="positive",Y822="equivocal"),"b",IF(OR(W822="positive",W822="equivocal"),"c","d"))))</x:f>
        <x:v>d</x:v>
      </x:c>
      <x:c r="AF822" s="12" t="str">
        <x:f>IF(OR(W822="unavailable",Y822="unavailable"),"不可评价",IF(AND(W822="positive",Y822="positive"),"a",IF(Y822="positive","b",IF(W822="positive","c","d"))))</x:f>
        <x:v>d</x:v>
      </x:c>
    </x:row>
    <x:row r="823" ht="39" customHeight="1">
      <x:c r="A823" s="12" t="str">
        <x:v>6962</x:v>
      </x:c>
      <x:c r="B823" s="12" t="str">
        <x:v>5910</x:v>
      </x:c>
      <x:c r="C823" s="21" t="n">
        <x:v>33493.503217592595</x:v>
      </x:c>
      <x:c r="D823" s="12" t="n">
        <x:v>300</x:v>
      </x:c>
      <x:c r="E823" s="12" t="n">
        <x:v>1</x:v>
      </x:c>
      <x:c r="F823" s="12" t="str">
        <x:v>未记录</x:v>
      </x:c>
      <x:c r="G823" s="12" t="n">
        <x:v>1</x:v>
      </x:c>
      <x:c r="H823" s="12" t="str">
        <x:v>{'IPLMI': 100.0, 'QWAVE': 0.0, 'SR': 0.0}</x:v>
      </x:c>
      <x:c r="I823" s="12" t="str">
        <x:v>[('NSR', 100.0), ('LAD3', 100.0), ('LMI;AU', 50.0), ('IPMI;AC', 100.0), ('STEMI', 100.0), ('CRVI', 100.0), ('AB', 100.0)]</x:v>
      </x:c>
      <x:c r="J823" s="12" t="str">
        <x:v>ptbxl_database.csv；ecg_id=6962；scp_codes</x:v>
      </x:c>
      <x:c r="K823" s="12" t="str">
        <x:v>12sl_statements.csv；ecg_id=6962；statements_ext_snomed</x:v>
      </x:c>
      <x:c r="L823" s="12"/>
      <x:c r="M823" s="12" t="str">
        <x:v>negative</x:v>
      </x:c>
      <x:c r="N823" s="12"/>
      <x:c r="O823" s="12" t="str">
        <x:v>negative</x:v>
      </x:c>
      <x:c r="P823" s="12" t="str">
        <x:f>IF(OR(M823="unavailable",O823="unavailable"),"不可评价",IF(OR(M823="equivocal",O823="equivocal"),"疑似",IF(AND(M823="positive",O823="positive"),"a",IF(O823="positive","b",IF(M823="positive","c","d")))))</x:f>
        <x:v>d</x:v>
      </x:c>
      <x:c r="Q823" s="12"/>
      <x:c r="R823" s="12" t="str">
        <x:v>negative</x:v>
      </x:c>
      <x:c r="S823" s="12"/>
      <x:c r="T823" s="12" t="str">
        <x:v>negative</x:v>
      </x:c>
      <x:c r="U823" s="12" t="str">
        <x:f>IF(OR(R823="unavailable",T823="unavailable"),"不可评价",IF(OR(R823="equivocal",T823="equivocal"),"疑似",IF(AND(R823="positive",T823="positive"),"a",IF(T823="positive","b",IF(R823="positive","c","d")))))</x:f>
        <x:v>d</x:v>
      </x:c>
      <x:c r="V823" s="12"/>
      <x:c r="W823" s="12" t="str">
        <x:v>negative</x:v>
      </x:c>
      <x:c r="X823" s="12"/>
      <x:c r="Y823" s="12" t="str">
        <x:v>negative</x:v>
      </x:c>
      <x:c r="Z823" s="12" t="str">
        <x:f>IF(OR(W823="unavailable",Y823="unavailable"),"不可评价",IF(OR(W823="equivocal",Y823="equivocal"),"疑似",IF(AND(W823="positive",Y823="positive"),"a",IF(Y823="positive","b",IF(W823="positive","c","d")))))</x:f>
        <x:v>d</x:v>
      </x:c>
      <x:c r="AA823" s="12" t="str">
        <x:f>IF(OR(M823="unavailable",O823="unavailable"),"不可评价",IF(AND(OR(M823="positive",M823="equivocal"),OR(O823="positive",O823="equivocal")),"a",IF(OR(O823="positive",O823="equivocal"),"b",IF(OR(M823="positive",M823="equivocal"),"c","d"))))</x:f>
        <x:v>d</x:v>
      </x:c>
      <x:c r="AB823" s="12" t="str">
        <x:f>IF(OR(M823="unavailable",O823="unavailable"),"不可评价",IF(AND(M823="positive",O823="positive"),"a",IF(O823="positive","b",IF(M823="positive","c","d"))))</x:f>
        <x:v>d</x:v>
      </x:c>
      <x:c r="AC823" s="12" t="str">
        <x:f>IF(OR(R823="unavailable",T823="unavailable"),"不可评价",IF(AND(OR(R823="positive",R823="equivocal"),OR(T823="positive",T823="equivocal")),"a",IF(OR(T823="positive",T823="equivocal"),"b",IF(OR(R823="positive",R823="equivocal"),"c","d"))))</x:f>
        <x:v>d</x:v>
      </x:c>
      <x:c r="AD823" s="12" t="str">
        <x:f>IF(OR(R823="unavailable",T823="unavailable"),"不可评价",IF(AND(R823="positive",T823="positive"),"a",IF(T823="positive","b",IF(R823="positive","c","d"))))</x:f>
        <x:v>d</x:v>
      </x:c>
      <x:c r="AE823" s="12" t="str">
        <x:f>IF(OR(W823="unavailable",Y823="unavailable"),"不可评价",IF(AND(OR(W823="positive",W823="equivocal"),OR(Y823="positive",Y823="equivocal")),"a",IF(OR(Y823="positive",Y823="equivocal"),"b",IF(OR(W823="positive",W823="equivocal"),"c","d"))))</x:f>
        <x:v>d</x:v>
      </x:c>
      <x:c r="AF823" s="12" t="str">
        <x:f>IF(OR(W823="unavailable",Y823="unavailable"),"不可评价",IF(AND(W823="positive",Y823="positive"),"a",IF(Y823="positive","b",IF(W823="positive","c","d"))))</x:f>
        <x:v>d</x:v>
      </x:c>
    </x:row>
    <x:row r="824" ht="24" customHeight="1">
      <x:c r="A824" s="12" t="str">
        <x:v>6992</x:v>
      </x:c>
      <x:c r="B824" s="12" t="str">
        <x:v>21667</x:v>
      </x:c>
      <x:c r="C824" s="21" t="n">
        <x:v>33497.40335648148</x:v>
      </x:c>
      <x:c r="D824" s="12" t="n">
        <x:v>52</x:v>
      </x:c>
      <x:c r="E824" s="12" t="n">
        <x:v>0</x:v>
      </x:c>
      <x:c r="F824" s="12" t="str">
        <x:v>未记录</x:v>
      </x:c>
      <x:c r="G824" s="12" t="n">
        <x:v>1</x:v>
      </x:c>
      <x:c r="H824" s="12" t="str">
        <x:v>{'ASMI': 100.0, 'LVH': 50.0, 'ISC_': 100.0, 'ABQRS': 0.0, 'SR': 0.0}</x:v>
      </x:c>
      <x:c r="I824" s="12" t="str">
        <x:v>[('SRTH', 100.0), ('PAC', 100.0), ('SMI;AU', 100.0), ('IT', 100.0), ('AB', 100.0)]</x:v>
      </x:c>
      <x:c r="J824" s="12" t="str">
        <x:v>ptbxl_database.csv；ecg_id=6992；scp_codes</x:v>
      </x:c>
      <x:c r="K824" s="12" t="str">
        <x:v>12sl_statements.csv；ecg_id=6992；statements_ext_snomed</x:v>
      </x:c>
      <x:c r="L824" s="12"/>
      <x:c r="M824" s="12" t="str">
        <x:v>negative</x:v>
      </x:c>
      <x:c r="N824" s="12"/>
      <x:c r="O824" s="12" t="str">
        <x:v>negative</x:v>
      </x:c>
      <x:c r="P824" s="12" t="str">
        <x:f>IF(OR(M824="unavailable",O824="unavailable"),"不可评价",IF(OR(M824="equivocal",O824="equivocal"),"疑似",IF(AND(M824="positive",O824="positive"),"a",IF(O824="positive","b",IF(M824="positive","c","d")))))</x:f>
        <x:v>d</x:v>
      </x:c>
      <x:c r="Q824" s="12"/>
      <x:c r="R824" s="12" t="str">
        <x:v>negative</x:v>
      </x:c>
      <x:c r="S824" s="12"/>
      <x:c r="T824" s="12" t="str">
        <x:v>negative</x:v>
      </x:c>
      <x:c r="U824" s="12" t="str">
        <x:f>IF(OR(R824="unavailable",T824="unavailable"),"不可评价",IF(OR(R824="equivocal",T824="equivocal"),"疑似",IF(AND(R824="positive",T824="positive"),"a",IF(T824="positive","b",IF(R824="positive","c","d")))))</x:f>
        <x:v>d</x:v>
      </x:c>
      <x:c r="V824" s="12"/>
      <x:c r="W824" s="12" t="str">
        <x:v>negative</x:v>
      </x:c>
      <x:c r="X824" s="12"/>
      <x:c r="Y824" s="12" t="str">
        <x:v>negative</x:v>
      </x:c>
      <x:c r="Z824" s="12" t="str">
        <x:f>IF(OR(W824="unavailable",Y824="unavailable"),"不可评价",IF(OR(W824="equivocal",Y824="equivocal"),"疑似",IF(AND(W824="positive",Y824="positive"),"a",IF(Y824="positive","b",IF(W824="positive","c","d")))))</x:f>
        <x:v>d</x:v>
      </x:c>
      <x:c r="AA824" s="12" t="str">
        <x:f>IF(OR(M824="unavailable",O824="unavailable"),"不可评价",IF(AND(OR(M824="positive",M824="equivocal"),OR(O824="positive",O824="equivocal")),"a",IF(OR(O824="positive",O824="equivocal"),"b",IF(OR(M824="positive",M824="equivocal"),"c","d"))))</x:f>
        <x:v>d</x:v>
      </x:c>
      <x:c r="AB824" s="12" t="str">
        <x:f>IF(OR(M824="unavailable",O824="unavailable"),"不可评价",IF(AND(M824="positive",O824="positive"),"a",IF(O824="positive","b",IF(M824="positive","c","d"))))</x:f>
        <x:v>d</x:v>
      </x:c>
      <x:c r="AC824" s="12" t="str">
        <x:f>IF(OR(R824="unavailable",T824="unavailable"),"不可评价",IF(AND(OR(R824="positive",R824="equivocal"),OR(T824="positive",T824="equivocal")),"a",IF(OR(T824="positive",T824="equivocal"),"b",IF(OR(R824="positive",R824="equivocal"),"c","d"))))</x:f>
        <x:v>d</x:v>
      </x:c>
      <x:c r="AD824" s="12" t="str">
        <x:f>IF(OR(R824="unavailable",T824="unavailable"),"不可评价",IF(AND(R824="positive",T824="positive"),"a",IF(T824="positive","b",IF(R824="positive","c","d"))))</x:f>
        <x:v>d</x:v>
      </x:c>
      <x:c r="AE824" s="12" t="str">
        <x:f>IF(OR(W824="unavailable",Y824="unavailable"),"不可评价",IF(AND(OR(W824="positive",W824="equivocal"),OR(Y824="positive",Y824="equivocal")),"a",IF(OR(Y824="positive",Y824="equivocal"),"b",IF(OR(W824="positive",W824="equivocal"),"c","d"))))</x:f>
        <x:v>d</x:v>
      </x:c>
      <x:c r="AF824" s="12" t="str">
        <x:f>IF(OR(W824="unavailable",Y824="unavailable"),"不可评价",IF(AND(W824="positive",Y824="positive"),"a",IF(Y824="positive","b",IF(W824="positive","c","d"))))</x:f>
        <x:v>d</x:v>
      </x:c>
    </x:row>
    <x:row r="825" ht="39" customHeight="1">
      <x:c r="A825" s="12" t="str">
        <x:v>7003</x:v>
      </x:c>
      <x:c r="B825" s="12" t="str">
        <x:v>1399</x:v>
      </x:c>
      <x:c r="C825" s="21" t="n">
        <x:v>33500.282534722224</x:v>
      </x:c>
      <x:c r="D825" s="12" t="n">
        <x:v>85</x:v>
      </x:c>
      <x:c r="E825" s="12" t="n">
        <x:v>1</x:v>
      </x:c>
      <x:c r="F825" s="12" t="str">
        <x:v>存在</x:v>
      </x:c>
      <x:c r="G825" s="12" t="n">
        <x:v>1</x:v>
      </x:c>
      <x:c r="H825" s="12" t="str">
        <x:v>{'ASMI': 100.0, 'ISCLA': 100.0, '1AVB': 100.0, 'LPR': 0.0, 'QWAVE': 0.0, 'INVT': 0.0, 'SR': 0.0}</x:v>
      </x:c>
      <x:c r="I825" s="12" t="str">
        <x:v>[('NSR', 100.0), ('ASMI;AU', 50.0), ('ST&amp;', 100.0), ('LT', 100.0), ('AB', 100.0)]</x:v>
      </x:c>
      <x:c r="J825" s="12" t="str">
        <x:v>ptbxl_database.csv；ecg_id=7003；scp_codes</x:v>
      </x:c>
      <x:c r="K825" s="12" t="str">
        <x:v>12sl_statements.csv；ecg_id=7003；statements_ext_snomed</x:v>
      </x:c>
      <x:c r="L825" s="12"/>
      <x:c r="M825" s="12" t="str">
        <x:v>negative</x:v>
      </x:c>
      <x:c r="N825" s="12"/>
      <x:c r="O825" s="12" t="str">
        <x:v>negative</x:v>
      </x:c>
      <x:c r="P825" s="12" t="str">
        <x:f>IF(OR(M825="unavailable",O825="unavailable"),"不可评价",IF(OR(M825="equivocal",O825="equivocal"),"疑似",IF(AND(M825="positive",O825="positive"),"a",IF(O825="positive","b",IF(M825="positive","c","d")))))</x:f>
        <x:v>d</x:v>
      </x:c>
      <x:c r="Q825" s="12"/>
      <x:c r="R825" s="12" t="str">
        <x:v>negative</x:v>
      </x:c>
      <x:c r="S825" s="12"/>
      <x:c r="T825" s="12" t="str">
        <x:v>negative</x:v>
      </x:c>
      <x:c r="U825" s="12" t="str">
        <x:f>IF(OR(R825="unavailable",T825="unavailable"),"不可评价",IF(OR(R825="equivocal",T825="equivocal"),"疑似",IF(AND(R825="positive",T825="positive"),"a",IF(T825="positive","b",IF(R825="positive","c","d")))))</x:f>
        <x:v>d</x:v>
      </x:c>
      <x:c r="V825" s="12"/>
      <x:c r="W825" s="12" t="str">
        <x:v>negative</x:v>
      </x:c>
      <x:c r="X825" s="12"/>
      <x:c r="Y825" s="12" t="str">
        <x:v>negative</x:v>
      </x:c>
      <x:c r="Z825" s="12" t="str">
        <x:f>IF(OR(W825="unavailable",Y825="unavailable"),"不可评价",IF(OR(W825="equivocal",Y825="equivocal"),"疑似",IF(AND(W825="positive",Y825="positive"),"a",IF(Y825="positive","b",IF(W825="positive","c","d")))))</x:f>
        <x:v>d</x:v>
      </x:c>
      <x:c r="AA825" s="12" t="str">
        <x:f>IF(OR(M825="unavailable",O825="unavailable"),"不可评价",IF(AND(OR(M825="positive",M825="equivocal"),OR(O825="positive",O825="equivocal")),"a",IF(OR(O825="positive",O825="equivocal"),"b",IF(OR(M825="positive",M825="equivocal"),"c","d"))))</x:f>
        <x:v>d</x:v>
      </x:c>
      <x:c r="AB825" s="12" t="str">
        <x:f>IF(OR(M825="unavailable",O825="unavailable"),"不可评价",IF(AND(M825="positive",O825="positive"),"a",IF(O825="positive","b",IF(M825="positive","c","d"))))</x:f>
        <x:v>d</x:v>
      </x:c>
      <x:c r="AC825" s="12" t="str">
        <x:f>IF(OR(R825="unavailable",T825="unavailable"),"不可评价",IF(AND(OR(R825="positive",R825="equivocal"),OR(T825="positive",T825="equivocal")),"a",IF(OR(T825="positive",T825="equivocal"),"b",IF(OR(R825="positive",R825="equivocal"),"c","d"))))</x:f>
        <x:v>d</x:v>
      </x:c>
      <x:c r="AD825" s="12" t="str">
        <x:f>IF(OR(R825="unavailable",T825="unavailable"),"不可评价",IF(AND(R825="positive",T825="positive"),"a",IF(T825="positive","b",IF(R825="positive","c","d"))))</x:f>
        <x:v>d</x:v>
      </x:c>
      <x:c r="AE825" s="12" t="str">
        <x:f>IF(OR(W825="unavailable",Y825="unavailable"),"不可评价",IF(AND(OR(W825="positive",W825="equivocal"),OR(Y825="positive",Y825="equivocal")),"a",IF(OR(Y825="positive",Y825="equivocal"),"b",IF(OR(W825="positive",W825="equivocal"),"c","d"))))</x:f>
        <x:v>d</x:v>
      </x:c>
      <x:c r="AF825" s="12" t="str">
        <x:f>IF(OR(W825="unavailable",Y825="unavailable"),"不可评价",IF(AND(W825="positive",Y825="positive"),"a",IF(Y825="positive","b",IF(W825="positive","c","d"))))</x:f>
        <x:v>d</x:v>
      </x:c>
    </x:row>
    <x:row r="826" ht="24" customHeight="1">
      <x:c r="A826" s="12" t="str">
        <x:v>7007</x:v>
      </x:c>
      <x:c r="B826" s="12" t="str">
        <x:v>17490</x:v>
      </x:c>
      <x:c r="C826" s="21" t="n">
        <x:v>33500.41443287037</x:v>
      </x:c>
      <x:c r="D826" s="12" t="n">
        <x:v>60</x:v>
      </x:c>
      <x:c r="E826" s="12" t="n">
        <x:v>0</x:v>
      </x:c>
      <x:c r="F826" s="12" t="str">
        <x:v>未记录</x:v>
      </x:c>
      <x:c r="G826" s="12" t="n">
        <x:v>1</x:v>
      </x:c>
      <x:c r="H826" s="12" t="str">
        <x:v>{'NORM': 100.0, 'SR': 0.0}</x:v>
      </x:c>
      <x:c r="I826" s="12" t="str">
        <x:v>[('NSR', 100.0), ('NML', 100.0)]</x:v>
      </x:c>
      <x:c r="J826" s="12" t="str">
        <x:v>ptbxl_database.csv；ecg_id=7007；scp_codes</x:v>
      </x:c>
      <x:c r="K826" s="12" t="str">
        <x:v>12sl_statements.csv；ecg_id=7007；statements_ext_snomed</x:v>
      </x:c>
      <x:c r="L826" s="12"/>
      <x:c r="M826" s="12" t="str">
        <x:v>negative</x:v>
      </x:c>
      <x:c r="N826" s="12"/>
      <x:c r="O826" s="12" t="str">
        <x:v>negative</x:v>
      </x:c>
      <x:c r="P826" s="12" t="str">
        <x:f>IF(OR(M826="unavailable",O826="unavailable"),"不可评价",IF(OR(M826="equivocal",O826="equivocal"),"疑似",IF(AND(M826="positive",O826="positive"),"a",IF(O826="positive","b",IF(M826="positive","c","d")))))</x:f>
        <x:v>d</x:v>
      </x:c>
      <x:c r="Q826" s="12"/>
      <x:c r="R826" s="12" t="str">
        <x:v>negative</x:v>
      </x:c>
      <x:c r="S826" s="12"/>
      <x:c r="T826" s="12" t="str">
        <x:v>negative</x:v>
      </x:c>
      <x:c r="U826" s="12" t="str">
        <x:f>IF(OR(R826="unavailable",T826="unavailable"),"不可评价",IF(OR(R826="equivocal",T826="equivocal"),"疑似",IF(AND(R826="positive",T826="positive"),"a",IF(T826="positive","b",IF(R826="positive","c","d")))))</x:f>
        <x:v>d</x:v>
      </x:c>
      <x:c r="V826" s="12"/>
      <x:c r="W826" s="12" t="str">
        <x:v>negative</x:v>
      </x:c>
      <x:c r="X826" s="12"/>
      <x:c r="Y826" s="12" t="str">
        <x:v>negative</x:v>
      </x:c>
      <x:c r="Z826" s="12" t="str">
        <x:f>IF(OR(W826="unavailable",Y826="unavailable"),"不可评价",IF(OR(W826="equivocal",Y826="equivocal"),"疑似",IF(AND(W826="positive",Y826="positive"),"a",IF(Y826="positive","b",IF(W826="positive","c","d")))))</x:f>
        <x:v>d</x:v>
      </x:c>
      <x:c r="AA826" s="12" t="str">
        <x:f>IF(OR(M826="unavailable",O826="unavailable"),"不可评价",IF(AND(OR(M826="positive",M826="equivocal"),OR(O826="positive",O826="equivocal")),"a",IF(OR(O826="positive",O826="equivocal"),"b",IF(OR(M826="positive",M826="equivocal"),"c","d"))))</x:f>
        <x:v>d</x:v>
      </x:c>
      <x:c r="AB826" s="12" t="str">
        <x:f>IF(OR(M826="unavailable",O826="unavailable"),"不可评价",IF(AND(M826="positive",O826="positive"),"a",IF(O826="positive","b",IF(M826="positive","c","d"))))</x:f>
        <x:v>d</x:v>
      </x:c>
      <x:c r="AC826" s="12" t="str">
        <x:f>IF(OR(R826="unavailable",T826="unavailable"),"不可评价",IF(AND(OR(R826="positive",R826="equivocal"),OR(T826="positive",T826="equivocal")),"a",IF(OR(T826="positive",T826="equivocal"),"b",IF(OR(R826="positive",R826="equivocal"),"c","d"))))</x:f>
        <x:v>d</x:v>
      </x:c>
      <x:c r="AD826" s="12" t="str">
        <x:f>IF(OR(R826="unavailable",T826="unavailable"),"不可评价",IF(AND(R826="positive",T826="positive"),"a",IF(T826="positive","b",IF(R826="positive","c","d"))))</x:f>
        <x:v>d</x:v>
      </x:c>
      <x:c r="AE826" s="12" t="str">
        <x:f>IF(OR(W826="unavailable",Y826="unavailable"),"不可评价",IF(AND(OR(W826="positive",W826="equivocal"),OR(Y826="positive",Y826="equivocal")),"a",IF(OR(Y826="positive",Y826="equivocal"),"b",IF(OR(W826="positive",W826="equivocal"),"c","d"))))</x:f>
        <x:v>d</x:v>
      </x:c>
      <x:c r="AF826" s="12" t="str">
        <x:f>IF(OR(W826="unavailable",Y826="unavailable"),"不可评价",IF(AND(W826="positive",Y826="positive"),"a",IF(Y826="positive","b",IF(W826="positive","c","d"))))</x:f>
        <x:v>d</x:v>
      </x:c>
    </x:row>
    <x:row r="827" ht="24" customHeight="1">
      <x:c r="A827" s="12" t="str">
        <x:v>7016</x:v>
      </x:c>
      <x:c r="B827" s="12" t="str">
        <x:v>17490</x:v>
      </x:c>
      <x:c r="C827" s="21" t="n">
        <x:v>33501.66179398148</x:v>
      </x:c>
      <x:c r="D827" s="12" t="n">
        <x:v>60</x:v>
      </x:c>
      <x:c r="E827" s="12" t="n">
        <x:v>0</x:v>
      </x:c>
      <x:c r="F827" s="12" t="str">
        <x:v>未记录</x:v>
      </x:c>
      <x:c r="G827" s="12" t="n">
        <x:v>0</x:v>
      </x:c>
      <x:c r="H827" s="12" t="str">
        <x:v>{'IMI': 15.0, 'ABQRS': 0.0, 'SR': 0.0}</x:v>
      </x:c>
      <x:c r="I827" s="12" t="str">
        <x:v>[('NSR', 100.0), ('IMI;AU', 15.0), ('AB', 100.0)]</x:v>
      </x:c>
      <x:c r="J827" s="12" t="str">
        <x:v>ptbxl_database.csv；ecg_id=7016；scp_codes</x:v>
      </x:c>
      <x:c r="K827" s="12" t="str">
        <x:v>12sl_statements.csv；ecg_id=7016；statements_ext_snomed</x:v>
      </x:c>
      <x:c r="L827" s="12"/>
      <x:c r="M827" s="12" t="str">
        <x:v>negative</x:v>
      </x:c>
      <x:c r="N827" s="12"/>
      <x:c r="O827" s="12" t="str">
        <x:v>negative</x:v>
      </x:c>
      <x:c r="P827" s="12" t="str">
        <x:f>IF(OR(M827="unavailable",O827="unavailable"),"不可评价",IF(OR(M827="equivocal",O827="equivocal"),"疑似",IF(AND(M827="positive",O827="positive"),"a",IF(O827="positive","b",IF(M827="positive","c","d")))))</x:f>
        <x:v>d</x:v>
      </x:c>
      <x:c r="Q827" s="12"/>
      <x:c r="R827" s="12" t="str">
        <x:v>negative</x:v>
      </x:c>
      <x:c r="S827" s="12"/>
      <x:c r="T827" s="12" t="str">
        <x:v>negative</x:v>
      </x:c>
      <x:c r="U827" s="12" t="str">
        <x:f>IF(OR(R827="unavailable",T827="unavailable"),"不可评价",IF(OR(R827="equivocal",T827="equivocal"),"疑似",IF(AND(R827="positive",T827="positive"),"a",IF(T827="positive","b",IF(R827="positive","c","d")))))</x:f>
        <x:v>d</x:v>
      </x:c>
      <x:c r="V827" s="12"/>
      <x:c r="W827" s="12" t="str">
        <x:v>negative</x:v>
      </x:c>
      <x:c r="X827" s="12"/>
      <x:c r="Y827" s="12" t="str">
        <x:v>negative</x:v>
      </x:c>
      <x:c r="Z827" s="12" t="str">
        <x:f>IF(OR(W827="unavailable",Y827="unavailable"),"不可评价",IF(OR(W827="equivocal",Y827="equivocal"),"疑似",IF(AND(W827="positive",Y827="positive"),"a",IF(Y827="positive","b",IF(W827="positive","c","d")))))</x:f>
        <x:v>d</x:v>
      </x:c>
      <x:c r="AA827" s="12" t="str">
        <x:f>IF(OR(M827="unavailable",O827="unavailable"),"不可评价",IF(AND(OR(M827="positive",M827="equivocal"),OR(O827="positive",O827="equivocal")),"a",IF(OR(O827="positive",O827="equivocal"),"b",IF(OR(M827="positive",M827="equivocal"),"c","d"))))</x:f>
        <x:v>d</x:v>
      </x:c>
      <x:c r="AB827" s="12" t="str">
        <x:f>IF(OR(M827="unavailable",O827="unavailable"),"不可评价",IF(AND(M827="positive",O827="positive"),"a",IF(O827="positive","b",IF(M827="positive","c","d"))))</x:f>
        <x:v>d</x:v>
      </x:c>
      <x:c r="AC827" s="12" t="str">
        <x:f>IF(OR(R827="unavailable",T827="unavailable"),"不可评价",IF(AND(OR(R827="positive",R827="equivocal"),OR(T827="positive",T827="equivocal")),"a",IF(OR(T827="positive",T827="equivocal"),"b",IF(OR(R827="positive",R827="equivocal"),"c","d"))))</x:f>
        <x:v>d</x:v>
      </x:c>
      <x:c r="AD827" s="12" t="str">
        <x:f>IF(OR(R827="unavailable",T827="unavailable"),"不可评价",IF(AND(R827="positive",T827="positive"),"a",IF(T827="positive","b",IF(R827="positive","c","d"))))</x:f>
        <x:v>d</x:v>
      </x:c>
      <x:c r="AE827" s="12" t="str">
        <x:f>IF(OR(W827="unavailable",Y827="unavailable"),"不可评价",IF(AND(OR(W827="positive",W827="equivocal"),OR(Y827="positive",Y827="equivocal")),"a",IF(OR(Y827="positive",Y827="equivocal"),"b",IF(OR(W827="positive",W827="equivocal"),"c","d"))))</x:f>
        <x:v>d</x:v>
      </x:c>
      <x:c r="AF827" s="12" t="str">
        <x:f>IF(OR(W827="unavailable",Y827="unavailable"),"不可评价",IF(AND(W827="positive",Y827="positive"),"a",IF(Y827="positive","b",IF(W827="positive","c","d"))))</x:f>
        <x:v>d</x:v>
      </x:c>
    </x:row>
    <x:row r="828" ht="39" customHeight="1">
      <x:c r="A828" s="12" t="str">
        <x:v>7022</x:v>
      </x:c>
      <x:c r="B828" s="12" t="str">
        <x:v>15504</x:v>
      </x:c>
      <x:c r="C828" s="21" t="n">
        <x:v>33503.29513888889</x:v>
      </x:c>
      <x:c r="D828" s="12" t="n">
        <x:v>300</x:v>
      </x:c>
      <x:c r="E828" s="12" t="n">
        <x:v>1</x:v>
      </x:c>
      <x:c r="F828" s="12" t="str">
        <x:v>未记录</x:v>
      </x:c>
      <x:c r="G828" s="12" t="n">
        <x:v>1</x:v>
      </x:c>
      <x:c r="H828" s="12" t="str">
        <x:v>{'NDT': 100.0, 'LAFB': 100.0, 'PVC': 100.0, 'SR': 0.0}</x:v>
      </x:c>
      <x:c r="I828" s="12" t="str">
        <x:v>[('SRTH', 100.0), ('PVC', 100.0), ('LAD3', 100.0), ('NST', 100.0), ('LNGQT', 100.0), ('AB', 100.0)]</x:v>
      </x:c>
      <x:c r="J828" s="12" t="str">
        <x:v>ptbxl_database.csv；ecg_id=7022；scp_codes</x:v>
      </x:c>
      <x:c r="K828" s="12" t="str">
        <x:v>12sl_statements.csv；ecg_id=7022；statements_ext_snomed</x:v>
      </x:c>
      <x:c r="L828" s="12"/>
      <x:c r="M828" s="12" t="str">
        <x:v>negative</x:v>
      </x:c>
      <x:c r="N828" s="12"/>
      <x:c r="O828" s="12" t="str">
        <x:v>negative</x:v>
      </x:c>
      <x:c r="P828" s="12" t="str">
        <x:f>IF(OR(M828="unavailable",O828="unavailable"),"不可评价",IF(OR(M828="equivocal",O828="equivocal"),"疑似",IF(AND(M828="positive",O828="positive"),"a",IF(O828="positive","b",IF(M828="positive","c","d")))))</x:f>
        <x:v>d</x:v>
      </x:c>
      <x:c r="Q828" s="12"/>
      <x:c r="R828" s="12" t="str">
        <x:v>negative</x:v>
      </x:c>
      <x:c r="S828" s="12"/>
      <x:c r="T828" s="12" t="str">
        <x:v>negative</x:v>
      </x:c>
      <x:c r="U828" s="12" t="str">
        <x:f>IF(OR(R828="unavailable",T828="unavailable"),"不可评价",IF(OR(R828="equivocal",T828="equivocal"),"疑似",IF(AND(R828="positive",T828="positive"),"a",IF(T828="positive","b",IF(R828="positive","c","d")))))</x:f>
        <x:v>d</x:v>
      </x:c>
      <x:c r="V828" s="12"/>
      <x:c r="W828" s="12" t="str">
        <x:v>negative</x:v>
      </x:c>
      <x:c r="X828" s="12"/>
      <x:c r="Y828" s="12" t="str">
        <x:v>negative</x:v>
      </x:c>
      <x:c r="Z828" s="12" t="str">
        <x:f>IF(OR(W828="unavailable",Y828="unavailable"),"不可评价",IF(OR(W828="equivocal",Y828="equivocal"),"疑似",IF(AND(W828="positive",Y828="positive"),"a",IF(Y828="positive","b",IF(W828="positive","c","d")))))</x:f>
        <x:v>d</x:v>
      </x:c>
      <x:c r="AA828" s="12" t="str">
        <x:f>IF(OR(M828="unavailable",O828="unavailable"),"不可评价",IF(AND(OR(M828="positive",M828="equivocal"),OR(O828="positive",O828="equivocal")),"a",IF(OR(O828="positive",O828="equivocal"),"b",IF(OR(M828="positive",M828="equivocal"),"c","d"))))</x:f>
        <x:v>d</x:v>
      </x:c>
      <x:c r="AB828" s="12" t="str">
        <x:f>IF(OR(M828="unavailable",O828="unavailable"),"不可评价",IF(AND(M828="positive",O828="positive"),"a",IF(O828="positive","b",IF(M828="positive","c","d"))))</x:f>
        <x:v>d</x:v>
      </x:c>
      <x:c r="AC828" s="12" t="str">
        <x:f>IF(OR(R828="unavailable",T828="unavailable"),"不可评价",IF(AND(OR(R828="positive",R828="equivocal"),OR(T828="positive",T828="equivocal")),"a",IF(OR(T828="positive",T828="equivocal"),"b",IF(OR(R828="positive",R828="equivocal"),"c","d"))))</x:f>
        <x:v>d</x:v>
      </x:c>
      <x:c r="AD828" s="12" t="str">
        <x:f>IF(OR(R828="unavailable",T828="unavailable"),"不可评价",IF(AND(R828="positive",T828="positive"),"a",IF(T828="positive","b",IF(R828="positive","c","d"))))</x:f>
        <x:v>d</x:v>
      </x:c>
      <x:c r="AE828" s="12" t="str">
        <x:f>IF(OR(W828="unavailable",Y828="unavailable"),"不可评价",IF(AND(OR(W828="positive",W828="equivocal"),OR(Y828="positive",Y828="equivocal")),"a",IF(OR(Y828="positive",Y828="equivocal"),"b",IF(OR(W828="positive",W828="equivocal"),"c","d"))))</x:f>
        <x:v>d</x:v>
      </x:c>
      <x:c r="AF828" s="12" t="str">
        <x:f>IF(OR(W828="unavailable",Y828="unavailable"),"不可评价",IF(AND(W828="positive",Y828="positive"),"a",IF(Y828="positive","b",IF(W828="positive","c","d"))))</x:f>
        <x:v>d</x:v>
      </x:c>
    </x:row>
    <x:row r="829" ht="24" customHeight="1">
      <x:c r="A829" s="12" t="str">
        <x:v>7024</x:v>
      </x:c>
      <x:c r="B829" s="12" t="str">
        <x:v>18366</x:v>
      </x:c>
      <x:c r="C829" s="21" t="n">
        <x:v>33503.6487037037</x:v>
      </x:c>
      <x:c r="D829" s="12" t="n">
        <x:v>58</x:v>
      </x:c>
      <x:c r="E829" s="12" t="n">
        <x:v>1</x:v>
      </x:c>
      <x:c r="F829" s="12" t="str">
        <x:v>未记录</x:v>
      </x:c>
      <x:c r="G829" s="12" t="n">
        <x:v>1</x:v>
      </x:c>
      <x:c r="H829" s="12" t="str">
        <x:v>{'ISCAL': 100.0, 'ISCIN': 100.0, 'PVC': 100.0, 'AFIB': 0.0}</x:v>
      </x:c>
      <x:c r="I829" s="12" t="str">
        <x:v>[('AFIB', 100.0), ('ABER', 100.0), ('IMI;AU', 15.0), ('LT', 100.0), ('AB', 100.0)]</x:v>
      </x:c>
      <x:c r="J829" s="12" t="str">
        <x:v>ptbxl_database.csv；ecg_id=7024；scp_codes</x:v>
      </x:c>
      <x:c r="K829" s="12" t="str">
        <x:v>12sl_statements.csv；ecg_id=7024；statements_ext_snomed</x:v>
      </x:c>
      <x:c r="L829" s="12" t="n">
        <x:v>0</x:v>
      </x:c>
      <x:c r="M829" s="12" t="str">
        <x:v>positive</x:v>
      </x:c>
      <x:c r="N829" s="12" t="n">
        <x:v>100</x:v>
      </x:c>
      <x:c r="O829" s="12" t="str">
        <x:v>positive</x:v>
      </x:c>
      <x:c r="P829" s="12" t="str">
        <x:f>IF(OR(M829="unavailable",O829="unavailable"),"不可评价",IF(OR(M829="equivocal",O829="equivocal"),"疑似",IF(AND(M829="positive",O829="positive"),"a",IF(O829="positive","b",IF(M829="positive","c","d")))))</x:f>
        <x:v>a</x:v>
      </x:c>
      <x:c r="Q829" s="12"/>
      <x:c r="R829" s="12" t="str">
        <x:v>negative</x:v>
      </x:c>
      <x:c r="S829" s="12"/>
      <x:c r="T829" s="12" t="str">
        <x:v>negative</x:v>
      </x:c>
      <x:c r="U829" s="12" t="str">
        <x:f>IF(OR(R829="unavailable",T829="unavailable"),"不可评价",IF(OR(R829="equivocal",T829="equivocal"),"疑似",IF(AND(R829="positive",T829="positive"),"a",IF(T829="positive","b",IF(R829="positive","c","d")))))</x:f>
        <x:v>d</x:v>
      </x:c>
      <x:c r="V829" s="12"/>
      <x:c r="W829" s="12" t="str">
        <x:v>negative</x:v>
      </x:c>
      <x:c r="X829" s="12"/>
      <x:c r="Y829" s="12" t="str">
        <x:v>negative</x:v>
      </x:c>
      <x:c r="Z829" s="12" t="str">
        <x:f>IF(OR(W829="unavailable",Y829="unavailable"),"不可评价",IF(OR(W829="equivocal",Y829="equivocal"),"疑似",IF(AND(W829="positive",Y829="positive"),"a",IF(Y829="positive","b",IF(W829="positive","c","d")))))</x:f>
        <x:v>d</x:v>
      </x:c>
      <x:c r="AA829" s="12" t="str">
        <x:f>IF(OR(M829="unavailable",O829="unavailable"),"不可评价",IF(AND(OR(M829="positive",M829="equivocal"),OR(O829="positive",O829="equivocal")),"a",IF(OR(O829="positive",O829="equivocal"),"b",IF(OR(M829="positive",M829="equivocal"),"c","d"))))</x:f>
        <x:v>a</x:v>
      </x:c>
      <x:c r="AB829" s="12" t="str">
        <x:f>IF(OR(M829="unavailable",O829="unavailable"),"不可评价",IF(AND(M829="positive",O829="positive"),"a",IF(O829="positive","b",IF(M829="positive","c","d"))))</x:f>
        <x:v>a</x:v>
      </x:c>
      <x:c r="AC829" s="12" t="str">
        <x:f>IF(OR(R829="unavailable",T829="unavailable"),"不可评价",IF(AND(OR(R829="positive",R829="equivocal"),OR(T829="positive",T829="equivocal")),"a",IF(OR(T829="positive",T829="equivocal"),"b",IF(OR(R829="positive",R829="equivocal"),"c","d"))))</x:f>
        <x:v>d</x:v>
      </x:c>
      <x:c r="AD829" s="12" t="str">
        <x:f>IF(OR(R829="unavailable",T829="unavailable"),"不可评价",IF(AND(R829="positive",T829="positive"),"a",IF(T829="positive","b",IF(R829="positive","c","d"))))</x:f>
        <x:v>d</x:v>
      </x:c>
      <x:c r="AE829" s="12" t="str">
        <x:f>IF(OR(W829="unavailable",Y829="unavailable"),"不可评价",IF(AND(OR(W829="positive",W829="equivocal"),OR(Y829="positive",Y829="equivocal")),"a",IF(OR(Y829="positive",Y829="equivocal"),"b",IF(OR(W829="positive",W829="equivocal"),"c","d"))))</x:f>
        <x:v>d</x:v>
      </x:c>
      <x:c r="AF829" s="12" t="str">
        <x:f>IF(OR(W829="unavailable",Y829="unavailable"),"不可评价",IF(AND(W829="positive",Y829="positive"),"a",IF(Y829="positive","b",IF(W829="positive","c","d"))))</x:f>
        <x:v>d</x:v>
      </x:c>
    </x:row>
    <x:row r="830" ht="24" customHeight="1">
      <x:c r="A830" s="12" t="str">
        <x:v>7025</x:v>
      </x:c>
      <x:c r="B830" s="12" t="str">
        <x:v>18514</x:v>
      </x:c>
      <x:c r="C830" s="21" t="n">
        <x:v>33504.314409722225</x:v>
      </x:c>
      <x:c r="D830" s="12" t="n">
        <x:v>63</x:v>
      </x:c>
      <x:c r="E830" s="12" t="n">
        <x:v>0</x:v>
      </x:c>
      <x:c r="F830" s="12" t="str">
        <x:v>未记录</x:v>
      </x:c>
      <x:c r="G830" s="12" t="n">
        <x:v>1</x:v>
      </x:c>
      <x:c r="H830" s="12" t="str">
        <x:v>{'ISCAL': 100.0, 'ABQRS': 0.0, 'SR': 0.0}</x:v>
      </x:c>
      <x:c r="I830" s="12" t="str">
        <x:v>[('SRTH', 100.0), ('PAC', 100.0), ('$SABCOND', 100.0), ('LT', 100.0), ('AB', 100.0)]</x:v>
      </x:c>
      <x:c r="J830" s="12" t="str">
        <x:v>ptbxl_database.csv；ecg_id=7025；scp_codes</x:v>
      </x:c>
      <x:c r="K830" s="12" t="str">
        <x:v>12sl_statements.csv；ecg_id=7025；statements_ext_snomed</x:v>
      </x:c>
      <x:c r="L830" s="12"/>
      <x:c r="M830" s="12" t="str">
        <x:v>negative</x:v>
      </x:c>
      <x:c r="N830" s="12"/>
      <x:c r="O830" s="12" t="str">
        <x:v>negative</x:v>
      </x:c>
      <x:c r="P830" s="12" t="str">
        <x:f>IF(OR(M830="unavailable",O830="unavailable"),"不可评价",IF(OR(M830="equivocal",O830="equivocal"),"疑似",IF(AND(M830="positive",O830="positive"),"a",IF(O830="positive","b",IF(M830="positive","c","d")))))</x:f>
        <x:v>d</x:v>
      </x:c>
      <x:c r="Q830" s="12"/>
      <x:c r="R830" s="12" t="str">
        <x:v>negative</x:v>
      </x:c>
      <x:c r="S830" s="12"/>
      <x:c r="T830" s="12" t="str">
        <x:v>negative</x:v>
      </x:c>
      <x:c r="U830" s="12" t="str">
        <x:f>IF(OR(R830="unavailable",T830="unavailable"),"不可评价",IF(OR(R830="equivocal",T830="equivocal"),"疑似",IF(AND(R830="positive",T830="positive"),"a",IF(T830="positive","b",IF(R830="positive","c","d")))))</x:f>
        <x:v>d</x:v>
      </x:c>
      <x:c r="V830" s="12"/>
      <x:c r="W830" s="12" t="str">
        <x:v>negative</x:v>
      </x:c>
      <x:c r="X830" s="12"/>
      <x:c r="Y830" s="12" t="str">
        <x:v>negative</x:v>
      </x:c>
      <x:c r="Z830" s="12" t="str">
        <x:f>IF(OR(W830="unavailable",Y830="unavailable"),"不可评价",IF(OR(W830="equivocal",Y830="equivocal"),"疑似",IF(AND(W830="positive",Y830="positive"),"a",IF(Y830="positive","b",IF(W830="positive","c","d")))))</x:f>
        <x:v>d</x:v>
      </x:c>
      <x:c r="AA830" s="12" t="str">
        <x:f>IF(OR(M830="unavailable",O830="unavailable"),"不可评价",IF(AND(OR(M830="positive",M830="equivocal"),OR(O830="positive",O830="equivocal")),"a",IF(OR(O830="positive",O830="equivocal"),"b",IF(OR(M830="positive",M830="equivocal"),"c","d"))))</x:f>
        <x:v>d</x:v>
      </x:c>
      <x:c r="AB830" s="12" t="str">
        <x:f>IF(OR(M830="unavailable",O830="unavailable"),"不可评价",IF(AND(M830="positive",O830="positive"),"a",IF(O830="positive","b",IF(M830="positive","c","d"))))</x:f>
        <x:v>d</x:v>
      </x:c>
      <x:c r="AC830" s="12" t="str">
        <x:f>IF(OR(R830="unavailable",T830="unavailable"),"不可评价",IF(AND(OR(R830="positive",R830="equivocal"),OR(T830="positive",T830="equivocal")),"a",IF(OR(T830="positive",T830="equivocal"),"b",IF(OR(R830="positive",R830="equivocal"),"c","d"))))</x:f>
        <x:v>d</x:v>
      </x:c>
      <x:c r="AD830" s="12" t="str">
        <x:f>IF(OR(R830="unavailable",T830="unavailable"),"不可评价",IF(AND(R830="positive",T830="positive"),"a",IF(T830="positive","b",IF(R830="positive","c","d"))))</x:f>
        <x:v>d</x:v>
      </x:c>
      <x:c r="AE830" s="12" t="str">
        <x:f>IF(OR(W830="unavailable",Y830="unavailable"),"不可评价",IF(AND(OR(W830="positive",W830="equivocal"),OR(Y830="positive",Y830="equivocal")),"a",IF(OR(Y830="positive",Y830="equivocal"),"b",IF(OR(W830="positive",W830="equivocal"),"c","d"))))</x:f>
        <x:v>d</x:v>
      </x:c>
      <x:c r="AF830" s="12" t="str">
        <x:f>IF(OR(W830="unavailable",Y830="unavailable"),"不可评价",IF(AND(W830="positive",Y830="positive"),"a",IF(Y830="positive","b",IF(W830="positive","c","d"))))</x:f>
        <x:v>d</x:v>
      </x:c>
    </x:row>
    <x:row r="831" ht="24" customHeight="1">
      <x:c r="A831" s="12" t="str">
        <x:v>7034</x:v>
      </x:c>
      <x:c r="B831" s="12" t="str">
        <x:v>10555</x:v>
      </x:c>
      <x:c r="C831" s="21" t="n">
        <x:v>33506.343310185184</x:v>
      </x:c>
      <x:c r="D831" s="12" t="n">
        <x:v>56</x:v>
      </x:c>
      <x:c r="E831" s="12" t="n">
        <x:v>0</x:v>
      </x:c>
      <x:c r="F831" s="12" t="str">
        <x:v>未记录</x:v>
      </x:c>
      <x:c r="G831" s="12" t="n">
        <x:v>1</x:v>
      </x:c>
      <x:c r="H831" s="12" t="str">
        <x:v>{'NORM': 100.0, 'SR': 0.0}</x:v>
      </x:c>
      <x:c r="I831" s="12" t="str">
        <x:v>[('NSR', 100.0), ('NML', 100.0)]</x:v>
      </x:c>
      <x:c r="J831" s="12" t="str">
        <x:v>ptbxl_database.csv；ecg_id=7034；scp_codes</x:v>
      </x:c>
      <x:c r="K831" s="12" t="str">
        <x:v>12sl_statements.csv；ecg_id=7034；statements_ext_snomed</x:v>
      </x:c>
      <x:c r="L831" s="12"/>
      <x:c r="M831" s="12" t="str">
        <x:v>negative</x:v>
      </x:c>
      <x:c r="N831" s="12"/>
      <x:c r="O831" s="12" t="str">
        <x:v>negative</x:v>
      </x:c>
      <x:c r="P831" s="12" t="str">
        <x:f>IF(OR(M831="unavailable",O831="unavailable"),"不可评价",IF(OR(M831="equivocal",O831="equivocal"),"疑似",IF(AND(M831="positive",O831="positive"),"a",IF(O831="positive","b",IF(M831="positive","c","d")))))</x:f>
        <x:v>d</x:v>
      </x:c>
      <x:c r="Q831" s="12"/>
      <x:c r="R831" s="12" t="str">
        <x:v>negative</x:v>
      </x:c>
      <x:c r="S831" s="12"/>
      <x:c r="T831" s="12" t="str">
        <x:v>negative</x:v>
      </x:c>
      <x:c r="U831" s="12" t="str">
        <x:f>IF(OR(R831="unavailable",T831="unavailable"),"不可评价",IF(OR(R831="equivocal",T831="equivocal"),"疑似",IF(AND(R831="positive",T831="positive"),"a",IF(T831="positive","b",IF(R831="positive","c","d")))))</x:f>
        <x:v>d</x:v>
      </x:c>
      <x:c r="V831" s="12"/>
      <x:c r="W831" s="12" t="str">
        <x:v>negative</x:v>
      </x:c>
      <x:c r="X831" s="12"/>
      <x:c r="Y831" s="12" t="str">
        <x:v>negative</x:v>
      </x:c>
      <x:c r="Z831" s="12" t="str">
        <x:f>IF(OR(W831="unavailable",Y831="unavailable"),"不可评价",IF(OR(W831="equivocal",Y831="equivocal"),"疑似",IF(AND(W831="positive",Y831="positive"),"a",IF(Y831="positive","b",IF(W831="positive","c","d")))))</x:f>
        <x:v>d</x:v>
      </x:c>
      <x:c r="AA831" s="12" t="str">
        <x:f>IF(OR(M831="unavailable",O831="unavailable"),"不可评价",IF(AND(OR(M831="positive",M831="equivocal"),OR(O831="positive",O831="equivocal")),"a",IF(OR(O831="positive",O831="equivocal"),"b",IF(OR(M831="positive",M831="equivocal"),"c","d"))))</x:f>
        <x:v>d</x:v>
      </x:c>
      <x:c r="AB831" s="12" t="str">
        <x:f>IF(OR(M831="unavailable",O831="unavailable"),"不可评价",IF(AND(M831="positive",O831="positive"),"a",IF(O831="positive","b",IF(M831="positive","c","d"))))</x:f>
        <x:v>d</x:v>
      </x:c>
      <x:c r="AC831" s="12" t="str">
        <x:f>IF(OR(R831="unavailable",T831="unavailable"),"不可评价",IF(AND(OR(R831="positive",R831="equivocal"),OR(T831="positive",T831="equivocal")),"a",IF(OR(T831="positive",T831="equivocal"),"b",IF(OR(R831="positive",R831="equivocal"),"c","d"))))</x:f>
        <x:v>d</x:v>
      </x:c>
      <x:c r="AD831" s="12" t="str">
        <x:f>IF(OR(R831="unavailable",T831="unavailable"),"不可评价",IF(AND(R831="positive",T831="positive"),"a",IF(T831="positive","b",IF(R831="positive","c","d"))))</x:f>
        <x:v>d</x:v>
      </x:c>
      <x:c r="AE831" s="12" t="str">
        <x:f>IF(OR(W831="unavailable",Y831="unavailable"),"不可评价",IF(AND(OR(W831="positive",W831="equivocal"),OR(Y831="positive",Y831="equivocal")),"a",IF(OR(Y831="positive",Y831="equivocal"),"b",IF(OR(W831="positive",W831="equivocal"),"c","d"))))</x:f>
        <x:v>d</x:v>
      </x:c>
      <x:c r="AF831" s="12" t="str">
        <x:f>IF(OR(W831="unavailable",Y831="unavailable"),"不可评价",IF(AND(W831="positive",Y831="positive"),"a",IF(Y831="positive","b",IF(W831="positive","c","d"))))</x:f>
        <x:v>d</x:v>
      </x:c>
    </x:row>
    <x:row r="832" ht="24" customHeight="1">
      <x:c r="A832" s="12" t="str">
        <x:v>7053</x:v>
      </x:c>
      <x:c r="B832" s="12" t="str">
        <x:v>10498</x:v>
      </x:c>
      <x:c r="C832" s="21" t="n">
        <x:v>33508.68635416667</x:v>
      </x:c>
      <x:c r="D832" s="12" t="n">
        <x:v>77</x:v>
      </x:c>
      <x:c r="E832" s="12" t="n">
        <x:v>0</x:v>
      </x:c>
      <x:c r="F832" s="12" t="str">
        <x:v>存在</x:v>
      </x:c>
      <x:c r="G832" s="12" t="n">
        <x:v>1</x:v>
      </x:c>
      <x:c r="H832" s="12" t="str">
        <x:v>{'NORM': 80.0, 'SR': 0.0}</x:v>
      </x:c>
      <x:c r="I832" s="12" t="str">
        <x:v>[('NSR', 100.0), ('LAD3', 100.0), ('AB', 100.0)]</x:v>
      </x:c>
      <x:c r="J832" s="12" t="str">
        <x:v>ptbxl_database.csv；ecg_id=7053；scp_codes</x:v>
      </x:c>
      <x:c r="K832" s="12" t="str">
        <x:v>12sl_statements.csv；ecg_id=7053；statements_ext_snomed</x:v>
      </x:c>
      <x:c r="L832" s="12"/>
      <x:c r="M832" s="12" t="str">
        <x:v>negative</x:v>
      </x:c>
      <x:c r="N832" s="12"/>
      <x:c r="O832" s="12" t="str">
        <x:v>negative</x:v>
      </x:c>
      <x:c r="P832" s="12" t="str">
        <x:f>IF(OR(M832="unavailable",O832="unavailable"),"不可评价",IF(OR(M832="equivocal",O832="equivocal"),"疑似",IF(AND(M832="positive",O832="positive"),"a",IF(O832="positive","b",IF(M832="positive","c","d")))))</x:f>
        <x:v>d</x:v>
      </x:c>
      <x:c r="Q832" s="12"/>
      <x:c r="R832" s="12" t="str">
        <x:v>negative</x:v>
      </x:c>
      <x:c r="S832" s="12"/>
      <x:c r="T832" s="12" t="str">
        <x:v>negative</x:v>
      </x:c>
      <x:c r="U832" s="12" t="str">
        <x:f>IF(OR(R832="unavailable",T832="unavailable"),"不可评价",IF(OR(R832="equivocal",T832="equivocal"),"疑似",IF(AND(R832="positive",T832="positive"),"a",IF(T832="positive","b",IF(R832="positive","c","d")))))</x:f>
        <x:v>d</x:v>
      </x:c>
      <x:c r="V832" s="12"/>
      <x:c r="W832" s="12" t="str">
        <x:v>negative</x:v>
      </x:c>
      <x:c r="X832" s="12"/>
      <x:c r="Y832" s="12" t="str">
        <x:v>negative</x:v>
      </x:c>
      <x:c r="Z832" s="12" t="str">
        <x:f>IF(OR(W832="unavailable",Y832="unavailable"),"不可评价",IF(OR(W832="equivocal",Y832="equivocal"),"疑似",IF(AND(W832="positive",Y832="positive"),"a",IF(Y832="positive","b",IF(W832="positive","c","d")))))</x:f>
        <x:v>d</x:v>
      </x:c>
      <x:c r="AA832" s="12" t="str">
        <x:f>IF(OR(M832="unavailable",O832="unavailable"),"不可评价",IF(AND(OR(M832="positive",M832="equivocal"),OR(O832="positive",O832="equivocal")),"a",IF(OR(O832="positive",O832="equivocal"),"b",IF(OR(M832="positive",M832="equivocal"),"c","d"))))</x:f>
        <x:v>d</x:v>
      </x:c>
      <x:c r="AB832" s="12" t="str">
        <x:f>IF(OR(M832="unavailable",O832="unavailable"),"不可评价",IF(AND(M832="positive",O832="positive"),"a",IF(O832="positive","b",IF(M832="positive","c","d"))))</x:f>
        <x:v>d</x:v>
      </x:c>
      <x:c r="AC832" s="12" t="str">
        <x:f>IF(OR(R832="unavailable",T832="unavailable"),"不可评价",IF(AND(OR(R832="positive",R832="equivocal"),OR(T832="positive",T832="equivocal")),"a",IF(OR(T832="positive",T832="equivocal"),"b",IF(OR(R832="positive",R832="equivocal"),"c","d"))))</x:f>
        <x:v>d</x:v>
      </x:c>
      <x:c r="AD832" s="12" t="str">
        <x:f>IF(OR(R832="unavailable",T832="unavailable"),"不可评价",IF(AND(R832="positive",T832="positive"),"a",IF(T832="positive","b",IF(R832="positive","c","d"))))</x:f>
        <x:v>d</x:v>
      </x:c>
      <x:c r="AE832" s="12" t="str">
        <x:f>IF(OR(W832="unavailable",Y832="unavailable"),"不可评价",IF(AND(OR(W832="positive",W832="equivocal"),OR(Y832="positive",Y832="equivocal")),"a",IF(OR(Y832="positive",Y832="equivocal"),"b",IF(OR(W832="positive",W832="equivocal"),"c","d"))))</x:f>
        <x:v>d</x:v>
      </x:c>
      <x:c r="AF832" s="12" t="str">
        <x:f>IF(OR(W832="unavailable",Y832="unavailable"),"不可评价",IF(AND(W832="positive",Y832="positive"),"a",IF(Y832="positive","b",IF(W832="positive","c","d"))))</x:f>
        <x:v>d</x:v>
      </x:c>
    </x:row>
    <x:row r="833" ht="24" customHeight="1">
      <x:c r="A833" s="12" t="str">
        <x:v>7054</x:v>
      </x:c>
      <x:c r="B833" s="12" t="str">
        <x:v>12900</x:v>
      </x:c>
      <x:c r="C833" s="21" t="n">
        <x:v>33508.81791666667</x:v>
      </x:c>
      <x:c r="D833" s="12" t="n">
        <x:v>75</x:v>
      </x:c>
      <x:c r="E833" s="12" t="n">
        <x:v>1</x:v>
      </x:c>
      <x:c r="F833" s="12" t="str">
        <x:v>未记录</x:v>
      </x:c>
      <x:c r="G833" s="12" t="n">
        <x:v>1</x:v>
      </x:c>
      <x:c r="H833" s="12" t="str">
        <x:v>{'NST_': 100.0, 'PVC': 100.0, 'SARRH': 0.0}</x:v>
      </x:c>
      <x:c r="I833" s="12" t="str">
        <x:v>[('SRTH', 100.0), ('MSAR', 100.0), ('PVC', 100.0), ('ABR', 100.0)]</x:v>
      </x:c>
      <x:c r="J833" s="12" t="str">
        <x:v>ptbxl_database.csv；ecg_id=7054；scp_codes</x:v>
      </x:c>
      <x:c r="K833" s="12" t="str">
        <x:v>12sl_statements.csv；ecg_id=7054；statements_ext_snomed</x:v>
      </x:c>
      <x:c r="L833" s="12"/>
      <x:c r="M833" s="12" t="str">
        <x:v>negative</x:v>
      </x:c>
      <x:c r="N833" s="12"/>
      <x:c r="O833" s="12" t="str">
        <x:v>negative</x:v>
      </x:c>
      <x:c r="P833" s="12" t="str">
        <x:f>IF(OR(M833="unavailable",O833="unavailable"),"不可评价",IF(OR(M833="equivocal",O833="equivocal"),"疑似",IF(AND(M833="positive",O833="positive"),"a",IF(O833="positive","b",IF(M833="positive","c","d")))))</x:f>
        <x:v>d</x:v>
      </x:c>
      <x:c r="Q833" s="12"/>
      <x:c r="R833" s="12" t="str">
        <x:v>negative</x:v>
      </x:c>
      <x:c r="S833" s="12"/>
      <x:c r="T833" s="12" t="str">
        <x:v>negative</x:v>
      </x:c>
      <x:c r="U833" s="12" t="str">
        <x:f>IF(OR(R833="unavailable",T833="unavailable"),"不可评价",IF(OR(R833="equivocal",T833="equivocal"),"疑似",IF(AND(R833="positive",T833="positive"),"a",IF(T833="positive","b",IF(R833="positive","c","d")))))</x:f>
        <x:v>d</x:v>
      </x:c>
      <x:c r="V833" s="12"/>
      <x:c r="W833" s="12" t="str">
        <x:v>negative</x:v>
      </x:c>
      <x:c r="X833" s="12"/>
      <x:c r="Y833" s="12" t="str">
        <x:v>negative</x:v>
      </x:c>
      <x:c r="Z833" s="12" t="str">
        <x:f>IF(OR(W833="unavailable",Y833="unavailable"),"不可评价",IF(OR(W833="equivocal",Y833="equivocal"),"疑似",IF(AND(W833="positive",Y833="positive"),"a",IF(Y833="positive","b",IF(W833="positive","c","d")))))</x:f>
        <x:v>d</x:v>
      </x:c>
      <x:c r="AA833" s="12" t="str">
        <x:f>IF(OR(M833="unavailable",O833="unavailable"),"不可评价",IF(AND(OR(M833="positive",M833="equivocal"),OR(O833="positive",O833="equivocal")),"a",IF(OR(O833="positive",O833="equivocal"),"b",IF(OR(M833="positive",M833="equivocal"),"c","d"))))</x:f>
        <x:v>d</x:v>
      </x:c>
      <x:c r="AB833" s="12" t="str">
        <x:f>IF(OR(M833="unavailable",O833="unavailable"),"不可评价",IF(AND(M833="positive",O833="positive"),"a",IF(O833="positive","b",IF(M833="positive","c","d"))))</x:f>
        <x:v>d</x:v>
      </x:c>
      <x:c r="AC833" s="12" t="str">
        <x:f>IF(OR(R833="unavailable",T833="unavailable"),"不可评价",IF(AND(OR(R833="positive",R833="equivocal"),OR(T833="positive",T833="equivocal")),"a",IF(OR(T833="positive",T833="equivocal"),"b",IF(OR(R833="positive",R833="equivocal"),"c","d"))))</x:f>
        <x:v>d</x:v>
      </x:c>
      <x:c r="AD833" s="12" t="str">
        <x:f>IF(OR(R833="unavailable",T833="unavailable"),"不可评价",IF(AND(R833="positive",T833="positive"),"a",IF(T833="positive","b",IF(R833="positive","c","d"))))</x:f>
        <x:v>d</x:v>
      </x:c>
      <x:c r="AE833" s="12" t="str">
        <x:f>IF(OR(W833="unavailable",Y833="unavailable"),"不可评价",IF(AND(OR(W833="positive",W833="equivocal"),OR(Y833="positive",Y833="equivocal")),"a",IF(OR(Y833="positive",Y833="equivocal"),"b",IF(OR(W833="positive",W833="equivocal"),"c","d"))))</x:f>
        <x:v>d</x:v>
      </x:c>
      <x:c r="AF833" s="12" t="str">
        <x:f>IF(OR(W833="unavailable",Y833="unavailable"),"不可评价",IF(AND(W833="positive",Y833="positive"),"a",IF(Y833="positive","b",IF(W833="positive","c","d"))))</x:f>
        <x:v>d</x:v>
      </x:c>
    </x:row>
    <x:row r="834" ht="24" customHeight="1">
      <x:c r="A834" s="12" t="str">
        <x:v>7055</x:v>
      </x:c>
      <x:c r="B834" s="12" t="str">
        <x:v>18366</x:v>
      </x:c>
      <x:c r="C834" s="21" t="n">
        <x:v>33508.831724537034</x:v>
      </x:c>
      <x:c r="D834" s="12" t="n">
        <x:v>58</x:v>
      </x:c>
      <x:c r="E834" s="12" t="n">
        <x:v>1</x:v>
      </x:c>
      <x:c r="F834" s="12" t="str">
        <x:v>未记录</x:v>
      </x:c>
      <x:c r="G834" s="12" t="n">
        <x:v>0</x:v>
      </x:c>
      <x:c r="H834" s="12" t="str">
        <x:v>{'ISCIL': 100.0, '1AVB': 100.0, 'STACH': 0.0}</x:v>
      </x:c>
      <x:c r="I834" s="12" t="str">
        <x:v>[('STACH', 100.0), ('FAV', 100.0), ('NSTT', 100.0), ('AB', 100.0)]</x:v>
      </x:c>
      <x:c r="J834" s="12" t="str">
        <x:v>ptbxl_database.csv；ecg_id=7055；scp_codes</x:v>
      </x:c>
      <x:c r="K834" s="12" t="str">
        <x:v>12sl_statements.csv；ecg_id=7055；statements_ext_snomed</x:v>
      </x:c>
      <x:c r="L834" s="12"/>
      <x:c r="M834" s="12" t="str">
        <x:v>negative</x:v>
      </x:c>
      <x:c r="N834" s="12"/>
      <x:c r="O834" s="12" t="str">
        <x:v>negative</x:v>
      </x:c>
      <x:c r="P834" s="12" t="str">
        <x:f>IF(OR(M834="unavailable",O834="unavailable"),"不可评价",IF(OR(M834="equivocal",O834="equivocal"),"疑似",IF(AND(M834="positive",O834="positive"),"a",IF(O834="positive","b",IF(M834="positive","c","d")))))</x:f>
        <x:v>d</x:v>
      </x:c>
      <x:c r="Q834" s="12"/>
      <x:c r="R834" s="12" t="str">
        <x:v>negative</x:v>
      </x:c>
      <x:c r="S834" s="12"/>
      <x:c r="T834" s="12" t="str">
        <x:v>negative</x:v>
      </x:c>
      <x:c r="U834" s="12" t="str">
        <x:f>IF(OR(R834="unavailable",T834="unavailable"),"不可评价",IF(OR(R834="equivocal",T834="equivocal"),"疑似",IF(AND(R834="positive",T834="positive"),"a",IF(T834="positive","b",IF(R834="positive","c","d")))))</x:f>
        <x:v>d</x:v>
      </x:c>
      <x:c r="V834" s="12"/>
      <x:c r="W834" s="12" t="str">
        <x:v>negative</x:v>
      </x:c>
      <x:c r="X834" s="12"/>
      <x:c r="Y834" s="12" t="str">
        <x:v>negative</x:v>
      </x:c>
      <x:c r="Z834" s="12" t="str">
        <x:f>IF(OR(W834="unavailable",Y834="unavailable"),"不可评价",IF(OR(W834="equivocal",Y834="equivocal"),"疑似",IF(AND(W834="positive",Y834="positive"),"a",IF(Y834="positive","b",IF(W834="positive","c","d")))))</x:f>
        <x:v>d</x:v>
      </x:c>
      <x:c r="AA834" s="12" t="str">
        <x:f>IF(OR(M834="unavailable",O834="unavailable"),"不可评价",IF(AND(OR(M834="positive",M834="equivocal"),OR(O834="positive",O834="equivocal")),"a",IF(OR(O834="positive",O834="equivocal"),"b",IF(OR(M834="positive",M834="equivocal"),"c","d"))))</x:f>
        <x:v>d</x:v>
      </x:c>
      <x:c r="AB834" s="12" t="str">
        <x:f>IF(OR(M834="unavailable",O834="unavailable"),"不可评价",IF(AND(M834="positive",O834="positive"),"a",IF(O834="positive","b",IF(M834="positive","c","d"))))</x:f>
        <x:v>d</x:v>
      </x:c>
      <x:c r="AC834" s="12" t="str">
        <x:f>IF(OR(R834="unavailable",T834="unavailable"),"不可评价",IF(AND(OR(R834="positive",R834="equivocal"),OR(T834="positive",T834="equivocal")),"a",IF(OR(T834="positive",T834="equivocal"),"b",IF(OR(R834="positive",R834="equivocal"),"c","d"))))</x:f>
        <x:v>d</x:v>
      </x:c>
      <x:c r="AD834" s="12" t="str">
        <x:f>IF(OR(R834="unavailable",T834="unavailable"),"不可评价",IF(AND(R834="positive",T834="positive"),"a",IF(T834="positive","b",IF(R834="positive","c","d"))))</x:f>
        <x:v>d</x:v>
      </x:c>
      <x:c r="AE834" s="12" t="str">
        <x:f>IF(OR(W834="unavailable",Y834="unavailable"),"不可评价",IF(AND(OR(W834="positive",W834="equivocal"),OR(Y834="positive",Y834="equivocal")),"a",IF(OR(Y834="positive",Y834="equivocal"),"b",IF(OR(W834="positive",W834="equivocal"),"c","d"))))</x:f>
        <x:v>d</x:v>
      </x:c>
      <x:c r="AF834" s="12" t="str">
        <x:f>IF(OR(W834="unavailable",Y834="unavailable"),"不可评价",IF(AND(W834="positive",Y834="positive"),"a",IF(Y834="positive","b",IF(W834="positive","c","d"))))</x:f>
        <x:v>d</x:v>
      </x:c>
    </x:row>
    <x:row r="835" ht="24" customHeight="1">
      <x:c r="A835" s="12" t="str">
        <x:v>7069</x:v>
      </x:c>
      <x:c r="B835" s="12" t="str">
        <x:v>21082</x:v>
      </x:c>
      <x:c r="C835" s="21" t="n">
        <x:v>33510.76666666667</x:v>
      </x:c>
      <x:c r="D835" s="12" t="n">
        <x:v>52</x:v>
      </x:c>
      <x:c r="E835" s="12" t="n">
        <x:v>0</x:v>
      </x:c>
      <x:c r="F835" s="12" t="str">
        <x:v>未记录</x:v>
      </x:c>
      <x:c r="G835" s="12" t="n">
        <x:v>1</x:v>
      </x:c>
      <x:c r="H835" s="12" t="str">
        <x:v>{'NORM': 100.0, 'SR': 0.0}</x:v>
      </x:c>
      <x:c r="I835" s="12" t="str">
        <x:v>[('NSR', 100.0), ('NST', 100.0), ('AB', 100.0)]</x:v>
      </x:c>
      <x:c r="J835" s="12" t="str">
        <x:v>ptbxl_database.csv；ecg_id=7069；scp_codes</x:v>
      </x:c>
      <x:c r="K835" s="12" t="str">
        <x:v>12sl_statements.csv；ecg_id=7069；statements_ext_snomed</x:v>
      </x:c>
      <x:c r="L835" s="12"/>
      <x:c r="M835" s="12" t="str">
        <x:v>negative</x:v>
      </x:c>
      <x:c r="N835" s="12"/>
      <x:c r="O835" s="12" t="str">
        <x:v>negative</x:v>
      </x:c>
      <x:c r="P835" s="12" t="str">
        <x:f>IF(OR(M835="unavailable",O835="unavailable"),"不可评价",IF(OR(M835="equivocal",O835="equivocal"),"疑似",IF(AND(M835="positive",O835="positive"),"a",IF(O835="positive","b",IF(M835="positive","c","d")))))</x:f>
        <x:v>d</x:v>
      </x:c>
      <x:c r="Q835" s="12"/>
      <x:c r="R835" s="12" t="str">
        <x:v>negative</x:v>
      </x:c>
      <x:c r="S835" s="12"/>
      <x:c r="T835" s="12" t="str">
        <x:v>negative</x:v>
      </x:c>
      <x:c r="U835" s="12" t="str">
        <x:f>IF(OR(R835="unavailable",T835="unavailable"),"不可评价",IF(OR(R835="equivocal",T835="equivocal"),"疑似",IF(AND(R835="positive",T835="positive"),"a",IF(T835="positive","b",IF(R835="positive","c","d")))))</x:f>
        <x:v>d</x:v>
      </x:c>
      <x:c r="V835" s="12"/>
      <x:c r="W835" s="12" t="str">
        <x:v>negative</x:v>
      </x:c>
      <x:c r="X835" s="12"/>
      <x:c r="Y835" s="12" t="str">
        <x:v>negative</x:v>
      </x:c>
      <x:c r="Z835" s="12" t="str">
        <x:f>IF(OR(W835="unavailable",Y835="unavailable"),"不可评价",IF(OR(W835="equivocal",Y835="equivocal"),"疑似",IF(AND(W835="positive",Y835="positive"),"a",IF(Y835="positive","b",IF(W835="positive","c","d")))))</x:f>
        <x:v>d</x:v>
      </x:c>
      <x:c r="AA835" s="12" t="str">
        <x:f>IF(OR(M835="unavailable",O835="unavailable"),"不可评价",IF(AND(OR(M835="positive",M835="equivocal"),OR(O835="positive",O835="equivocal")),"a",IF(OR(O835="positive",O835="equivocal"),"b",IF(OR(M835="positive",M835="equivocal"),"c","d"))))</x:f>
        <x:v>d</x:v>
      </x:c>
      <x:c r="AB835" s="12" t="str">
        <x:f>IF(OR(M835="unavailable",O835="unavailable"),"不可评价",IF(AND(M835="positive",O835="positive"),"a",IF(O835="positive","b",IF(M835="positive","c","d"))))</x:f>
        <x:v>d</x:v>
      </x:c>
      <x:c r="AC835" s="12" t="str">
        <x:f>IF(OR(R835="unavailable",T835="unavailable"),"不可评价",IF(AND(OR(R835="positive",R835="equivocal"),OR(T835="positive",T835="equivocal")),"a",IF(OR(T835="positive",T835="equivocal"),"b",IF(OR(R835="positive",R835="equivocal"),"c","d"))))</x:f>
        <x:v>d</x:v>
      </x:c>
      <x:c r="AD835" s="12" t="str">
        <x:f>IF(OR(R835="unavailable",T835="unavailable"),"不可评价",IF(AND(R835="positive",T835="positive"),"a",IF(T835="positive","b",IF(R835="positive","c","d"))))</x:f>
        <x:v>d</x:v>
      </x:c>
      <x:c r="AE835" s="12" t="str">
        <x:f>IF(OR(W835="unavailable",Y835="unavailable"),"不可评价",IF(AND(OR(W835="positive",W835="equivocal"),OR(Y835="positive",Y835="equivocal")),"a",IF(OR(Y835="positive",Y835="equivocal"),"b",IF(OR(W835="positive",W835="equivocal"),"c","d"))))</x:f>
        <x:v>d</x:v>
      </x:c>
      <x:c r="AF835" s="12" t="str">
        <x:f>IF(OR(W835="unavailable",Y835="unavailable"),"不可评价",IF(AND(W835="positive",Y835="positive"),"a",IF(Y835="positive","b",IF(W835="positive","c","d"))))</x:f>
        <x:v>d</x:v>
      </x:c>
    </x:row>
    <x:row r="836" ht="24" customHeight="1">
      <x:c r="A836" s="12" t="str">
        <x:v>7075</x:v>
      </x:c>
      <x:c r="B836" s="12" t="str">
        <x:v>4597</x:v>
      </x:c>
      <x:c r="C836" s="21" t="n">
        <x:v>33511.47760416667</x:v>
      </x:c>
      <x:c r="D836" s="12" t="n">
        <x:v>84</x:v>
      </x:c>
      <x:c r="E836" s="12" t="n">
        <x:v>1</x:v>
      </x:c>
      <x:c r="F836" s="12" t="str">
        <x:v>未记录</x:v>
      </x:c>
      <x:c r="G836" s="12" t="n">
        <x:v>1</x:v>
      </x:c>
      <x:c r="H836" s="12" t="str">
        <x:v>{'IRBBB': 100.0, 'SVTAC': 0.0}</x:v>
      </x:c>
      <x:c r="I836" s="12" t="str">
        <x:v>[('WQTACH', 100.0), ('PVC', 100.0), ('$SFUS', 100.0), ('RBBB', 100.0), ('AB', 100.0)]</x:v>
      </x:c>
      <x:c r="J836" s="12" t="str">
        <x:v>ptbxl_database.csv；ecg_id=7075；scp_codes</x:v>
      </x:c>
      <x:c r="K836" s="12" t="str">
        <x:v>12sl_statements.csv；ecg_id=7075；statements_ext_snomed</x:v>
      </x:c>
      <x:c r="L836" s="12"/>
      <x:c r="M836" s="12" t="str">
        <x:v>negative</x:v>
      </x:c>
      <x:c r="N836" s="12"/>
      <x:c r="O836" s="12" t="str">
        <x:v>negative</x:v>
      </x:c>
      <x:c r="P836" s="12" t="str">
        <x:f>IF(OR(M836="unavailable",O836="unavailable"),"不可评价",IF(OR(M836="equivocal",O836="equivocal"),"疑似",IF(AND(M836="positive",O836="positive"),"a",IF(O836="positive","b",IF(M836="positive","c","d")))))</x:f>
        <x:v>d</x:v>
      </x:c>
      <x:c r="Q836" s="12"/>
      <x:c r="R836" s="12" t="str">
        <x:v>negative</x:v>
      </x:c>
      <x:c r="S836" s="12"/>
      <x:c r="T836" s="12" t="str">
        <x:v>negative</x:v>
      </x:c>
      <x:c r="U836" s="12" t="str">
        <x:f>IF(OR(R836="unavailable",T836="unavailable"),"不可评价",IF(OR(R836="equivocal",T836="equivocal"),"疑似",IF(AND(R836="positive",T836="positive"),"a",IF(T836="positive","b",IF(R836="positive","c","d")))))</x:f>
        <x:v>d</x:v>
      </x:c>
      <x:c r="V836" s="12"/>
      <x:c r="W836" s="12" t="str">
        <x:v>negative</x:v>
      </x:c>
      <x:c r="X836" s="12" t="n">
        <x:v>100</x:v>
      </x:c>
      <x:c r="Y836" s="12" t="str">
        <x:v>positive</x:v>
      </x:c>
      <x:c r="Z836" s="12" t="str">
        <x:f>IF(OR(W836="unavailable",Y836="unavailable"),"不可评价",IF(OR(W836="equivocal",Y836="equivocal"),"疑似",IF(AND(W836="positive",Y836="positive"),"a",IF(Y836="positive","b",IF(W836="positive","c","d")))))</x:f>
        <x:v>b</x:v>
      </x:c>
      <x:c r="AA836" s="12" t="str">
        <x:f>IF(OR(M836="unavailable",O836="unavailable"),"不可评价",IF(AND(OR(M836="positive",M836="equivocal"),OR(O836="positive",O836="equivocal")),"a",IF(OR(O836="positive",O836="equivocal"),"b",IF(OR(M836="positive",M836="equivocal"),"c","d"))))</x:f>
        <x:v>d</x:v>
      </x:c>
      <x:c r="AB836" s="12" t="str">
        <x:f>IF(OR(M836="unavailable",O836="unavailable"),"不可评价",IF(AND(M836="positive",O836="positive"),"a",IF(O836="positive","b",IF(M836="positive","c","d"))))</x:f>
        <x:v>d</x:v>
      </x:c>
      <x:c r="AC836" s="12" t="str">
        <x:f>IF(OR(R836="unavailable",T836="unavailable"),"不可评价",IF(AND(OR(R836="positive",R836="equivocal"),OR(T836="positive",T836="equivocal")),"a",IF(OR(T836="positive",T836="equivocal"),"b",IF(OR(R836="positive",R836="equivocal"),"c","d"))))</x:f>
        <x:v>d</x:v>
      </x:c>
      <x:c r="AD836" s="12" t="str">
        <x:f>IF(OR(R836="unavailable",T836="unavailable"),"不可评价",IF(AND(R836="positive",T836="positive"),"a",IF(T836="positive","b",IF(R836="positive","c","d"))))</x:f>
        <x:v>d</x:v>
      </x:c>
      <x:c r="AE836" s="12" t="str">
        <x:f>IF(OR(W836="unavailable",Y836="unavailable"),"不可评价",IF(AND(OR(W836="positive",W836="equivocal"),OR(Y836="positive",Y836="equivocal")),"a",IF(OR(Y836="positive",Y836="equivocal"),"b",IF(OR(W836="positive",W836="equivocal"),"c","d"))))</x:f>
        <x:v>b</x:v>
      </x:c>
      <x:c r="AF836" s="12" t="str">
        <x:f>IF(OR(W836="unavailable",Y836="unavailable"),"不可评价",IF(AND(W836="positive",Y836="positive"),"a",IF(Y836="positive","b",IF(W836="positive","c","d"))))</x:f>
        <x:v>b</x:v>
      </x:c>
    </x:row>
    <x:row r="837" ht="24" customHeight="1">
      <x:c r="A837" s="12" t="str">
        <x:v>7079</x:v>
      </x:c>
      <x:c r="B837" s="12" t="str">
        <x:v>18366</x:v>
      </x:c>
      <x:c r="C837" s="21" t="n">
        <x:v>33511.693240740744</x:v>
      </x:c>
      <x:c r="D837" s="12" t="n">
        <x:v>58</x:v>
      </x:c>
      <x:c r="E837" s="12" t="n">
        <x:v>1</x:v>
      </x:c>
      <x:c r="F837" s="12" t="str">
        <x:v>未记录</x:v>
      </x:c>
      <x:c r="G837" s="12" t="n">
        <x:v>0</x:v>
      </x:c>
      <x:c r="H837" s="12" t="str">
        <x:v>{'1AVB': 100.0, 'SR': 0.0}</x:v>
      </x:c>
      <x:c r="I837" s="12" t="str">
        <x:v>[('SRTH', 100.0), ('SAR', 100.0), ('FAV', 100.0), ('ABR', 100.0)]</x:v>
      </x:c>
      <x:c r="J837" s="12" t="str">
        <x:v>ptbxl_database.csv；ecg_id=7079；scp_codes</x:v>
      </x:c>
      <x:c r="K837" s="12" t="str">
        <x:v>12sl_statements.csv；ecg_id=7079；statements_ext_snomed</x:v>
      </x:c>
      <x:c r="L837" s="12"/>
      <x:c r="M837" s="12" t="str">
        <x:v>negative</x:v>
      </x:c>
      <x:c r="N837" s="12"/>
      <x:c r="O837" s="12" t="str">
        <x:v>negative</x:v>
      </x:c>
      <x:c r="P837" s="12" t="str">
        <x:f>IF(OR(M837="unavailable",O837="unavailable"),"不可评价",IF(OR(M837="equivocal",O837="equivocal"),"疑似",IF(AND(M837="positive",O837="positive"),"a",IF(O837="positive","b",IF(M837="positive","c","d")))))</x:f>
        <x:v>d</x:v>
      </x:c>
      <x:c r="Q837" s="12"/>
      <x:c r="R837" s="12" t="str">
        <x:v>negative</x:v>
      </x:c>
      <x:c r="S837" s="12"/>
      <x:c r="T837" s="12" t="str">
        <x:v>negative</x:v>
      </x:c>
      <x:c r="U837" s="12" t="str">
        <x:f>IF(OR(R837="unavailable",T837="unavailable"),"不可评价",IF(OR(R837="equivocal",T837="equivocal"),"疑似",IF(AND(R837="positive",T837="positive"),"a",IF(T837="positive","b",IF(R837="positive","c","d")))))</x:f>
        <x:v>d</x:v>
      </x:c>
      <x:c r="V837" s="12"/>
      <x:c r="W837" s="12" t="str">
        <x:v>negative</x:v>
      </x:c>
      <x:c r="X837" s="12"/>
      <x:c r="Y837" s="12" t="str">
        <x:v>negative</x:v>
      </x:c>
      <x:c r="Z837" s="12" t="str">
        <x:f>IF(OR(W837="unavailable",Y837="unavailable"),"不可评价",IF(OR(W837="equivocal",Y837="equivocal"),"疑似",IF(AND(W837="positive",Y837="positive"),"a",IF(Y837="positive","b",IF(W837="positive","c","d")))))</x:f>
        <x:v>d</x:v>
      </x:c>
      <x:c r="AA837" s="12" t="str">
        <x:f>IF(OR(M837="unavailable",O837="unavailable"),"不可评价",IF(AND(OR(M837="positive",M837="equivocal"),OR(O837="positive",O837="equivocal")),"a",IF(OR(O837="positive",O837="equivocal"),"b",IF(OR(M837="positive",M837="equivocal"),"c","d"))))</x:f>
        <x:v>d</x:v>
      </x:c>
      <x:c r="AB837" s="12" t="str">
        <x:f>IF(OR(M837="unavailable",O837="unavailable"),"不可评价",IF(AND(M837="positive",O837="positive"),"a",IF(O837="positive","b",IF(M837="positive","c","d"))))</x:f>
        <x:v>d</x:v>
      </x:c>
      <x:c r="AC837" s="12" t="str">
        <x:f>IF(OR(R837="unavailable",T837="unavailable"),"不可评价",IF(AND(OR(R837="positive",R837="equivocal"),OR(T837="positive",T837="equivocal")),"a",IF(OR(T837="positive",T837="equivocal"),"b",IF(OR(R837="positive",R837="equivocal"),"c","d"))))</x:f>
        <x:v>d</x:v>
      </x:c>
      <x:c r="AD837" s="12" t="str">
        <x:f>IF(OR(R837="unavailable",T837="unavailable"),"不可评价",IF(AND(R837="positive",T837="positive"),"a",IF(T837="positive","b",IF(R837="positive","c","d"))))</x:f>
        <x:v>d</x:v>
      </x:c>
      <x:c r="AE837" s="12" t="str">
        <x:f>IF(OR(W837="unavailable",Y837="unavailable"),"不可评价",IF(AND(OR(W837="positive",W837="equivocal"),OR(Y837="positive",Y837="equivocal")),"a",IF(OR(Y837="positive",Y837="equivocal"),"b",IF(OR(W837="positive",W837="equivocal"),"c","d"))))</x:f>
        <x:v>d</x:v>
      </x:c>
      <x:c r="AF837" s="12" t="str">
        <x:f>IF(OR(W837="unavailable",Y837="unavailable"),"不可评价",IF(AND(W837="positive",Y837="positive"),"a",IF(Y837="positive","b",IF(W837="positive","c","d"))))</x:f>
        <x:v>d</x:v>
      </x:c>
    </x:row>
    <x:row r="838" ht="24" customHeight="1">
      <x:c r="A838" s="12" t="str">
        <x:v>7080</x:v>
      </x:c>
      <x:c r="B838" s="12" t="str">
        <x:v>11293</x:v>
      </x:c>
      <x:c r="C838" s="21" t="n">
        <x:v>33511.73542824074</x:v>
      </x:c>
      <x:c r="D838" s="12" t="n">
        <x:v>74</x:v>
      </x:c>
      <x:c r="E838" s="12" t="n">
        <x:v>1</x:v>
      </x:c>
      <x:c r="F838" s="12" t="str">
        <x:v>存在</x:v>
      </x:c>
      <x:c r="G838" s="12" t="n">
        <x:v>1</x:v>
      </x:c>
      <x:c r="H838" s="12" t="str">
        <x:v>{'NORM': 100.0, 'SR': 0.0}</x:v>
      </x:c>
      <x:c r="I838" s="12" t="str">
        <x:v>[('NSR', 100.0), ('NML', 100.0)]</x:v>
      </x:c>
      <x:c r="J838" s="12" t="str">
        <x:v>ptbxl_database.csv；ecg_id=7080；scp_codes</x:v>
      </x:c>
      <x:c r="K838" s="12" t="str">
        <x:v>12sl_statements.csv；ecg_id=7080；statements_ext_snomed</x:v>
      </x:c>
      <x:c r="L838" s="12"/>
      <x:c r="M838" s="12" t="str">
        <x:v>negative</x:v>
      </x:c>
      <x:c r="N838" s="12"/>
      <x:c r="O838" s="12" t="str">
        <x:v>negative</x:v>
      </x:c>
      <x:c r="P838" s="12" t="str">
        <x:f>IF(OR(M838="unavailable",O838="unavailable"),"不可评价",IF(OR(M838="equivocal",O838="equivocal"),"疑似",IF(AND(M838="positive",O838="positive"),"a",IF(O838="positive","b",IF(M838="positive","c","d")))))</x:f>
        <x:v>d</x:v>
      </x:c>
      <x:c r="Q838" s="12"/>
      <x:c r="R838" s="12" t="str">
        <x:v>negative</x:v>
      </x:c>
      <x:c r="S838" s="12"/>
      <x:c r="T838" s="12" t="str">
        <x:v>negative</x:v>
      </x:c>
      <x:c r="U838" s="12" t="str">
        <x:f>IF(OR(R838="unavailable",T838="unavailable"),"不可评价",IF(OR(R838="equivocal",T838="equivocal"),"疑似",IF(AND(R838="positive",T838="positive"),"a",IF(T838="positive","b",IF(R838="positive","c","d")))))</x:f>
        <x:v>d</x:v>
      </x:c>
      <x:c r="V838" s="12"/>
      <x:c r="W838" s="12" t="str">
        <x:v>negative</x:v>
      </x:c>
      <x:c r="X838" s="12"/>
      <x:c r="Y838" s="12" t="str">
        <x:v>negative</x:v>
      </x:c>
      <x:c r="Z838" s="12" t="str">
        <x:f>IF(OR(W838="unavailable",Y838="unavailable"),"不可评价",IF(OR(W838="equivocal",Y838="equivocal"),"疑似",IF(AND(W838="positive",Y838="positive"),"a",IF(Y838="positive","b",IF(W838="positive","c","d")))))</x:f>
        <x:v>d</x:v>
      </x:c>
      <x:c r="AA838" s="12" t="str">
        <x:f>IF(OR(M838="unavailable",O838="unavailable"),"不可评价",IF(AND(OR(M838="positive",M838="equivocal"),OR(O838="positive",O838="equivocal")),"a",IF(OR(O838="positive",O838="equivocal"),"b",IF(OR(M838="positive",M838="equivocal"),"c","d"))))</x:f>
        <x:v>d</x:v>
      </x:c>
      <x:c r="AB838" s="12" t="str">
        <x:f>IF(OR(M838="unavailable",O838="unavailable"),"不可评价",IF(AND(M838="positive",O838="positive"),"a",IF(O838="positive","b",IF(M838="positive","c","d"))))</x:f>
        <x:v>d</x:v>
      </x:c>
      <x:c r="AC838" s="12" t="str">
        <x:f>IF(OR(R838="unavailable",T838="unavailable"),"不可评价",IF(AND(OR(R838="positive",R838="equivocal"),OR(T838="positive",T838="equivocal")),"a",IF(OR(T838="positive",T838="equivocal"),"b",IF(OR(R838="positive",R838="equivocal"),"c","d"))))</x:f>
        <x:v>d</x:v>
      </x:c>
      <x:c r="AD838" s="12" t="str">
        <x:f>IF(OR(R838="unavailable",T838="unavailable"),"不可评价",IF(AND(R838="positive",T838="positive"),"a",IF(T838="positive","b",IF(R838="positive","c","d"))))</x:f>
        <x:v>d</x:v>
      </x:c>
      <x:c r="AE838" s="12" t="str">
        <x:f>IF(OR(W838="unavailable",Y838="unavailable"),"不可评价",IF(AND(OR(W838="positive",W838="equivocal"),OR(Y838="positive",Y838="equivocal")),"a",IF(OR(Y838="positive",Y838="equivocal"),"b",IF(OR(W838="positive",W838="equivocal"),"c","d"))))</x:f>
        <x:v>d</x:v>
      </x:c>
      <x:c r="AF838" s="12" t="str">
        <x:f>IF(OR(W838="unavailable",Y838="unavailable"),"不可评价",IF(AND(W838="positive",Y838="positive"),"a",IF(Y838="positive","b",IF(W838="positive","c","d"))))</x:f>
        <x:v>d</x:v>
      </x:c>
    </x:row>
    <x:row r="839" ht="24" customHeight="1">
      <x:c r="A839" s="12" t="str">
        <x:v>7130</x:v>
      </x:c>
      <x:c r="B839" s="12" t="str">
        <x:v>8684</x:v>
      </x:c>
      <x:c r="C839" s="21" t="n">
        <x:v>33520.49239583333</x:v>
      </x:c>
      <x:c r="D839" s="12" t="n">
        <x:v>45</x:v>
      </x:c>
      <x:c r="E839" s="12" t="n">
        <x:v>0</x:v>
      </x:c>
      <x:c r="F839" s="12" t="str">
        <x:v>存在</x:v>
      </x:c>
      <x:c r="G839" s="12" t="n">
        <x:v>1</x:v>
      </x:c>
      <x:c r="H839" s="12" t="str">
        <x:v>{'IMI': 35.0, 'ABQRS': 0.0, 'SR': 0.0}</x:v>
      </x:c>
      <x:c r="I839" s="12" t="str">
        <x:v>[('NSR', 100.0), ('IMI;AU', 100.0), ('AB', 100.0)]</x:v>
      </x:c>
      <x:c r="J839" s="12" t="str">
        <x:v>ptbxl_database.csv；ecg_id=7130；scp_codes</x:v>
      </x:c>
      <x:c r="K839" s="12" t="str">
        <x:v>12sl_statements.csv；ecg_id=7130；statements_ext_snomed</x:v>
      </x:c>
      <x:c r="L839" s="12"/>
      <x:c r="M839" s="12" t="str">
        <x:v>negative</x:v>
      </x:c>
      <x:c r="N839" s="12"/>
      <x:c r="O839" s="12" t="str">
        <x:v>negative</x:v>
      </x:c>
      <x:c r="P839" s="12" t="str">
        <x:f>IF(OR(M839="unavailable",O839="unavailable"),"不可评价",IF(OR(M839="equivocal",O839="equivocal"),"疑似",IF(AND(M839="positive",O839="positive"),"a",IF(O839="positive","b",IF(M839="positive","c","d")))))</x:f>
        <x:v>d</x:v>
      </x:c>
      <x:c r="Q839" s="12"/>
      <x:c r="R839" s="12" t="str">
        <x:v>negative</x:v>
      </x:c>
      <x:c r="S839" s="12"/>
      <x:c r="T839" s="12" t="str">
        <x:v>negative</x:v>
      </x:c>
      <x:c r="U839" s="12" t="str">
        <x:f>IF(OR(R839="unavailable",T839="unavailable"),"不可评价",IF(OR(R839="equivocal",T839="equivocal"),"疑似",IF(AND(R839="positive",T839="positive"),"a",IF(T839="positive","b",IF(R839="positive","c","d")))))</x:f>
        <x:v>d</x:v>
      </x:c>
      <x:c r="V839" s="12"/>
      <x:c r="W839" s="12" t="str">
        <x:v>negative</x:v>
      </x:c>
      <x:c r="X839" s="12"/>
      <x:c r="Y839" s="12" t="str">
        <x:v>negative</x:v>
      </x:c>
      <x:c r="Z839" s="12" t="str">
        <x:f>IF(OR(W839="unavailable",Y839="unavailable"),"不可评价",IF(OR(W839="equivocal",Y839="equivocal"),"疑似",IF(AND(W839="positive",Y839="positive"),"a",IF(Y839="positive","b",IF(W839="positive","c","d")))))</x:f>
        <x:v>d</x:v>
      </x:c>
      <x:c r="AA839" s="12" t="str">
        <x:f>IF(OR(M839="unavailable",O839="unavailable"),"不可评价",IF(AND(OR(M839="positive",M839="equivocal"),OR(O839="positive",O839="equivocal")),"a",IF(OR(O839="positive",O839="equivocal"),"b",IF(OR(M839="positive",M839="equivocal"),"c","d"))))</x:f>
        <x:v>d</x:v>
      </x:c>
      <x:c r="AB839" s="12" t="str">
        <x:f>IF(OR(M839="unavailable",O839="unavailable"),"不可评价",IF(AND(M839="positive",O839="positive"),"a",IF(O839="positive","b",IF(M839="positive","c","d"))))</x:f>
        <x:v>d</x:v>
      </x:c>
      <x:c r="AC839" s="12" t="str">
        <x:f>IF(OR(R839="unavailable",T839="unavailable"),"不可评价",IF(AND(OR(R839="positive",R839="equivocal"),OR(T839="positive",T839="equivocal")),"a",IF(OR(T839="positive",T839="equivocal"),"b",IF(OR(R839="positive",R839="equivocal"),"c","d"))))</x:f>
        <x:v>d</x:v>
      </x:c>
      <x:c r="AD839" s="12" t="str">
        <x:f>IF(OR(R839="unavailable",T839="unavailable"),"不可评价",IF(AND(R839="positive",T839="positive"),"a",IF(T839="positive","b",IF(R839="positive","c","d"))))</x:f>
        <x:v>d</x:v>
      </x:c>
      <x:c r="AE839" s="12" t="str">
        <x:f>IF(OR(W839="unavailable",Y839="unavailable"),"不可评价",IF(AND(OR(W839="positive",W839="equivocal"),OR(Y839="positive",Y839="equivocal")),"a",IF(OR(Y839="positive",Y839="equivocal"),"b",IF(OR(W839="positive",W839="equivocal"),"c","d"))))</x:f>
        <x:v>d</x:v>
      </x:c>
      <x:c r="AF839" s="12" t="str">
        <x:f>IF(OR(W839="unavailable",Y839="unavailable"),"不可评价",IF(AND(W839="positive",Y839="positive"),"a",IF(Y839="positive","b",IF(W839="positive","c","d"))))</x:f>
        <x:v>d</x:v>
      </x:c>
    </x:row>
    <x:row r="840" ht="24" customHeight="1">
      <x:c r="A840" s="12" t="str">
        <x:v>7161</x:v>
      </x:c>
      <x:c r="B840" s="12" t="str">
        <x:v>13321</x:v>
      </x:c>
      <x:c r="C840" s="21" t="n">
        <x:v>33527.695555555554</x:v>
      </x:c>
      <x:c r="D840" s="12" t="n">
        <x:v>75</x:v>
      </x:c>
      <x:c r="E840" s="12" t="n">
        <x:v>0</x:v>
      </x:c>
      <x:c r="F840" s="12" t="str">
        <x:v>未记录</x:v>
      </x:c>
      <x:c r="G840" s="12" t="n">
        <x:v>1</x:v>
      </x:c>
      <x:c r="H840" s="12" t="str">
        <x:v>{'NORM': 100.0, 'SBRAD': 0.0}</x:v>
      </x:c>
      <x:c r="I840" s="12" t="str">
        <x:v>[('SBRAD', 100.0), ('ABR', 100.0)]</x:v>
      </x:c>
      <x:c r="J840" s="12" t="str">
        <x:v>ptbxl_database.csv；ecg_id=7161；scp_codes</x:v>
      </x:c>
      <x:c r="K840" s="12" t="str">
        <x:v>12sl_statements.csv；ecg_id=7161；statements_ext_snomed</x:v>
      </x:c>
      <x:c r="L840" s="12"/>
      <x:c r="M840" s="12" t="str">
        <x:v>negative</x:v>
      </x:c>
      <x:c r="N840" s="12"/>
      <x:c r="O840" s="12" t="str">
        <x:v>negative</x:v>
      </x:c>
      <x:c r="P840" s="12" t="str">
        <x:f>IF(OR(M840="unavailable",O840="unavailable"),"不可评价",IF(OR(M840="equivocal",O840="equivocal"),"疑似",IF(AND(M840="positive",O840="positive"),"a",IF(O840="positive","b",IF(M840="positive","c","d")))))</x:f>
        <x:v>d</x:v>
      </x:c>
      <x:c r="Q840" s="12"/>
      <x:c r="R840" s="12" t="str">
        <x:v>negative</x:v>
      </x:c>
      <x:c r="S840" s="12"/>
      <x:c r="T840" s="12" t="str">
        <x:v>negative</x:v>
      </x:c>
      <x:c r="U840" s="12" t="str">
        <x:f>IF(OR(R840="unavailable",T840="unavailable"),"不可评价",IF(OR(R840="equivocal",T840="equivocal"),"疑似",IF(AND(R840="positive",T840="positive"),"a",IF(T840="positive","b",IF(R840="positive","c","d")))))</x:f>
        <x:v>d</x:v>
      </x:c>
      <x:c r="V840" s="12"/>
      <x:c r="W840" s="12" t="str">
        <x:v>negative</x:v>
      </x:c>
      <x:c r="X840" s="12"/>
      <x:c r="Y840" s="12" t="str">
        <x:v>negative</x:v>
      </x:c>
      <x:c r="Z840" s="12" t="str">
        <x:f>IF(OR(W840="unavailable",Y840="unavailable"),"不可评价",IF(OR(W840="equivocal",Y840="equivocal"),"疑似",IF(AND(W840="positive",Y840="positive"),"a",IF(Y840="positive","b",IF(W840="positive","c","d")))))</x:f>
        <x:v>d</x:v>
      </x:c>
      <x:c r="AA840" s="12" t="str">
        <x:f>IF(OR(M840="unavailable",O840="unavailable"),"不可评价",IF(AND(OR(M840="positive",M840="equivocal"),OR(O840="positive",O840="equivocal")),"a",IF(OR(O840="positive",O840="equivocal"),"b",IF(OR(M840="positive",M840="equivocal"),"c","d"))))</x:f>
        <x:v>d</x:v>
      </x:c>
      <x:c r="AB840" s="12" t="str">
        <x:f>IF(OR(M840="unavailable",O840="unavailable"),"不可评价",IF(AND(M840="positive",O840="positive"),"a",IF(O840="positive","b",IF(M840="positive","c","d"))))</x:f>
        <x:v>d</x:v>
      </x:c>
      <x:c r="AC840" s="12" t="str">
        <x:f>IF(OR(R840="unavailable",T840="unavailable"),"不可评价",IF(AND(OR(R840="positive",R840="equivocal"),OR(T840="positive",T840="equivocal")),"a",IF(OR(T840="positive",T840="equivocal"),"b",IF(OR(R840="positive",R840="equivocal"),"c","d"))))</x:f>
        <x:v>d</x:v>
      </x:c>
      <x:c r="AD840" s="12" t="str">
        <x:f>IF(OR(R840="unavailable",T840="unavailable"),"不可评价",IF(AND(R840="positive",T840="positive"),"a",IF(T840="positive","b",IF(R840="positive","c","d"))))</x:f>
        <x:v>d</x:v>
      </x:c>
      <x:c r="AE840" s="12" t="str">
        <x:f>IF(OR(W840="unavailable",Y840="unavailable"),"不可评价",IF(AND(OR(W840="positive",W840="equivocal"),OR(Y840="positive",Y840="equivocal")),"a",IF(OR(Y840="positive",Y840="equivocal"),"b",IF(OR(W840="positive",W840="equivocal"),"c","d"))))</x:f>
        <x:v>d</x:v>
      </x:c>
      <x:c r="AF840" s="12" t="str">
        <x:f>IF(OR(W840="unavailable",Y840="unavailable"),"不可评价",IF(AND(W840="positive",Y840="positive"),"a",IF(Y840="positive","b",IF(W840="positive","c","d"))))</x:f>
        <x:v>d</x:v>
      </x:c>
    </x:row>
    <x:row r="841" ht="24" customHeight="1">
      <x:c r="A841" s="12" t="str">
        <x:v>7170</x:v>
      </x:c>
      <x:c r="B841" s="12" t="str">
        <x:v>15774</x:v>
      </x:c>
      <x:c r="C841" s="21" t="n">
        <x:v>33529.63638888889</x:v>
      </x:c>
      <x:c r="D841" s="12" t="n">
        <x:v>58</x:v>
      </x:c>
      <x:c r="E841" s="12" t="n">
        <x:v>0</x:v>
      </x:c>
      <x:c r="F841" s="12" t="str">
        <x:v>未记录</x:v>
      </x:c>
      <x:c r="G841" s="12" t="n">
        <x:v>1</x:v>
      </x:c>
      <x:c r="H841" s="12" t="str">
        <x:v>{'NORM': 100.0, 'SR': 0.0}</x:v>
      </x:c>
      <x:c r="I841" s="12" t="str">
        <x:v>[('NSR', 100.0), ('NML', 100.0)]</x:v>
      </x:c>
      <x:c r="J841" s="12" t="str">
        <x:v>ptbxl_database.csv；ecg_id=7170；scp_codes</x:v>
      </x:c>
      <x:c r="K841" s="12" t="str">
        <x:v>12sl_statements.csv；ecg_id=7170；statements_ext_snomed</x:v>
      </x:c>
      <x:c r="L841" s="12"/>
      <x:c r="M841" s="12" t="str">
        <x:v>negative</x:v>
      </x:c>
      <x:c r="N841" s="12"/>
      <x:c r="O841" s="12" t="str">
        <x:v>negative</x:v>
      </x:c>
      <x:c r="P841" s="12" t="str">
        <x:f>IF(OR(M841="unavailable",O841="unavailable"),"不可评价",IF(OR(M841="equivocal",O841="equivocal"),"疑似",IF(AND(M841="positive",O841="positive"),"a",IF(O841="positive","b",IF(M841="positive","c","d")))))</x:f>
        <x:v>d</x:v>
      </x:c>
      <x:c r="Q841" s="12"/>
      <x:c r="R841" s="12" t="str">
        <x:v>negative</x:v>
      </x:c>
      <x:c r="S841" s="12"/>
      <x:c r="T841" s="12" t="str">
        <x:v>negative</x:v>
      </x:c>
      <x:c r="U841" s="12" t="str">
        <x:f>IF(OR(R841="unavailable",T841="unavailable"),"不可评价",IF(OR(R841="equivocal",T841="equivocal"),"疑似",IF(AND(R841="positive",T841="positive"),"a",IF(T841="positive","b",IF(R841="positive","c","d")))))</x:f>
        <x:v>d</x:v>
      </x:c>
      <x:c r="V841" s="12"/>
      <x:c r="W841" s="12" t="str">
        <x:v>negative</x:v>
      </x:c>
      <x:c r="X841" s="12"/>
      <x:c r="Y841" s="12" t="str">
        <x:v>negative</x:v>
      </x:c>
      <x:c r="Z841" s="12" t="str">
        <x:f>IF(OR(W841="unavailable",Y841="unavailable"),"不可评价",IF(OR(W841="equivocal",Y841="equivocal"),"疑似",IF(AND(W841="positive",Y841="positive"),"a",IF(Y841="positive","b",IF(W841="positive","c","d")))))</x:f>
        <x:v>d</x:v>
      </x:c>
      <x:c r="AA841" s="12" t="str">
        <x:f>IF(OR(M841="unavailable",O841="unavailable"),"不可评价",IF(AND(OR(M841="positive",M841="equivocal"),OR(O841="positive",O841="equivocal")),"a",IF(OR(O841="positive",O841="equivocal"),"b",IF(OR(M841="positive",M841="equivocal"),"c","d"))))</x:f>
        <x:v>d</x:v>
      </x:c>
      <x:c r="AB841" s="12" t="str">
        <x:f>IF(OR(M841="unavailable",O841="unavailable"),"不可评价",IF(AND(M841="positive",O841="positive"),"a",IF(O841="positive","b",IF(M841="positive","c","d"))))</x:f>
        <x:v>d</x:v>
      </x:c>
      <x:c r="AC841" s="12" t="str">
        <x:f>IF(OR(R841="unavailable",T841="unavailable"),"不可评价",IF(AND(OR(R841="positive",R841="equivocal"),OR(T841="positive",T841="equivocal")),"a",IF(OR(T841="positive",T841="equivocal"),"b",IF(OR(R841="positive",R841="equivocal"),"c","d"))))</x:f>
        <x:v>d</x:v>
      </x:c>
      <x:c r="AD841" s="12" t="str">
        <x:f>IF(OR(R841="unavailable",T841="unavailable"),"不可评价",IF(AND(R841="positive",T841="positive"),"a",IF(T841="positive","b",IF(R841="positive","c","d"))))</x:f>
        <x:v>d</x:v>
      </x:c>
      <x:c r="AE841" s="12" t="str">
        <x:f>IF(OR(W841="unavailable",Y841="unavailable"),"不可评价",IF(AND(OR(W841="positive",W841="equivocal"),OR(Y841="positive",Y841="equivocal")),"a",IF(OR(Y841="positive",Y841="equivocal"),"b",IF(OR(W841="positive",W841="equivocal"),"c","d"))))</x:f>
        <x:v>d</x:v>
      </x:c>
      <x:c r="AF841" s="12" t="str">
        <x:f>IF(OR(W841="unavailable",Y841="unavailable"),"不可评价",IF(AND(W841="positive",Y841="positive"),"a",IF(Y841="positive","b",IF(W841="positive","c","d"))))</x:f>
        <x:v>d</x:v>
      </x:c>
    </x:row>
    <x:row r="842" ht="24" customHeight="1">
      <x:c r="A842" s="12" t="str">
        <x:v>7190</x:v>
      </x:c>
      <x:c r="B842" s="12" t="str">
        <x:v>18705</x:v>
      </x:c>
      <x:c r="C842" s="21" t="n">
        <x:v>33533.615335648145</x:v>
      </x:c>
      <x:c r="D842" s="12" t="n">
        <x:v>53</x:v>
      </x:c>
      <x:c r="E842" s="12" t="n">
        <x:v>0</x:v>
      </x:c>
      <x:c r="F842" s="12" t="str">
        <x:v>存在</x:v>
      </x:c>
      <x:c r="G842" s="12" t="n">
        <x:v>1</x:v>
      </x:c>
      <x:c r="H842" s="12" t="str">
        <x:v>{'NORM': 100.0, 'SR': 0.0}</x:v>
      </x:c>
      <x:c r="I842" s="12" t="str">
        <x:v>[('NSR', 100.0), ('NML', 100.0)]</x:v>
      </x:c>
      <x:c r="J842" s="12" t="str">
        <x:v>ptbxl_database.csv；ecg_id=7190；scp_codes</x:v>
      </x:c>
      <x:c r="K842" s="12" t="str">
        <x:v>12sl_statements.csv；ecg_id=7190；statements_ext_snomed</x:v>
      </x:c>
      <x:c r="L842" s="12"/>
      <x:c r="M842" s="12" t="str">
        <x:v>negative</x:v>
      </x:c>
      <x:c r="N842" s="12"/>
      <x:c r="O842" s="12" t="str">
        <x:v>negative</x:v>
      </x:c>
      <x:c r="P842" s="12" t="str">
        <x:f>IF(OR(M842="unavailable",O842="unavailable"),"不可评价",IF(OR(M842="equivocal",O842="equivocal"),"疑似",IF(AND(M842="positive",O842="positive"),"a",IF(O842="positive","b",IF(M842="positive","c","d")))))</x:f>
        <x:v>d</x:v>
      </x:c>
      <x:c r="Q842" s="12"/>
      <x:c r="R842" s="12" t="str">
        <x:v>negative</x:v>
      </x:c>
      <x:c r="S842" s="12"/>
      <x:c r="T842" s="12" t="str">
        <x:v>negative</x:v>
      </x:c>
      <x:c r="U842" s="12" t="str">
        <x:f>IF(OR(R842="unavailable",T842="unavailable"),"不可评价",IF(OR(R842="equivocal",T842="equivocal"),"疑似",IF(AND(R842="positive",T842="positive"),"a",IF(T842="positive","b",IF(R842="positive","c","d")))))</x:f>
        <x:v>d</x:v>
      </x:c>
      <x:c r="V842" s="12"/>
      <x:c r="W842" s="12" t="str">
        <x:v>negative</x:v>
      </x:c>
      <x:c r="X842" s="12"/>
      <x:c r="Y842" s="12" t="str">
        <x:v>negative</x:v>
      </x:c>
      <x:c r="Z842" s="12" t="str">
        <x:f>IF(OR(W842="unavailable",Y842="unavailable"),"不可评价",IF(OR(W842="equivocal",Y842="equivocal"),"疑似",IF(AND(W842="positive",Y842="positive"),"a",IF(Y842="positive","b",IF(W842="positive","c","d")))))</x:f>
        <x:v>d</x:v>
      </x:c>
      <x:c r="AA842" s="12" t="str">
        <x:f>IF(OR(M842="unavailable",O842="unavailable"),"不可评价",IF(AND(OR(M842="positive",M842="equivocal"),OR(O842="positive",O842="equivocal")),"a",IF(OR(O842="positive",O842="equivocal"),"b",IF(OR(M842="positive",M842="equivocal"),"c","d"))))</x:f>
        <x:v>d</x:v>
      </x:c>
      <x:c r="AB842" s="12" t="str">
        <x:f>IF(OR(M842="unavailable",O842="unavailable"),"不可评价",IF(AND(M842="positive",O842="positive"),"a",IF(O842="positive","b",IF(M842="positive","c","d"))))</x:f>
        <x:v>d</x:v>
      </x:c>
      <x:c r="AC842" s="12" t="str">
        <x:f>IF(OR(R842="unavailable",T842="unavailable"),"不可评价",IF(AND(OR(R842="positive",R842="equivocal"),OR(T842="positive",T842="equivocal")),"a",IF(OR(T842="positive",T842="equivocal"),"b",IF(OR(R842="positive",R842="equivocal"),"c","d"))))</x:f>
        <x:v>d</x:v>
      </x:c>
      <x:c r="AD842" s="12" t="str">
        <x:f>IF(OR(R842="unavailable",T842="unavailable"),"不可评价",IF(AND(R842="positive",T842="positive"),"a",IF(T842="positive","b",IF(R842="positive","c","d"))))</x:f>
        <x:v>d</x:v>
      </x:c>
      <x:c r="AE842" s="12" t="str">
        <x:f>IF(OR(W842="unavailable",Y842="unavailable"),"不可评价",IF(AND(OR(W842="positive",W842="equivocal"),OR(Y842="positive",Y842="equivocal")),"a",IF(OR(Y842="positive",Y842="equivocal"),"b",IF(OR(W842="positive",W842="equivocal"),"c","d"))))</x:f>
        <x:v>d</x:v>
      </x:c>
      <x:c r="AF842" s="12" t="str">
        <x:f>IF(OR(W842="unavailable",Y842="unavailable"),"不可评价",IF(AND(W842="positive",Y842="positive"),"a",IF(Y842="positive","b",IF(W842="positive","c","d"))))</x:f>
        <x:v>d</x:v>
      </x:c>
    </x:row>
    <x:row r="843" ht="24" customHeight="1">
      <x:c r="A843" s="12" t="str">
        <x:v>7213</x:v>
      </x:c>
      <x:c r="B843" s="12" t="str">
        <x:v>19966</x:v>
      </x:c>
      <x:c r="C843" s="21" t="n">
        <x:v>33537.373194444444</x:v>
      </x:c>
      <x:c r="D843" s="12" t="n">
        <x:v>41</x:v>
      </x:c>
      <x:c r="E843" s="12" t="n">
        <x:v>0</x:v>
      </x:c>
      <x:c r="F843" s="12" t="str">
        <x:v>未记录</x:v>
      </x:c>
      <x:c r="G843" s="12" t="n">
        <x:v>1</x:v>
      </x:c>
      <x:c r="H843" s="12" t="str">
        <x:v>{'NORM': 100.0, 'SR': 0.0}</x:v>
      </x:c>
      <x:c r="I843" s="12" t="str">
        <x:v>[('NSR', 100.0), ('JSTN', 100.0), ('BORDE', 100.0)]</x:v>
      </x:c>
      <x:c r="J843" s="12" t="str">
        <x:v>ptbxl_database.csv；ecg_id=7213；scp_codes</x:v>
      </x:c>
      <x:c r="K843" s="12" t="str">
        <x:v>12sl_statements.csv；ecg_id=7213；statements_ext_snomed</x:v>
      </x:c>
      <x:c r="L843" s="12"/>
      <x:c r="M843" s="12" t="str">
        <x:v>negative</x:v>
      </x:c>
      <x:c r="N843" s="12"/>
      <x:c r="O843" s="12" t="str">
        <x:v>negative</x:v>
      </x:c>
      <x:c r="P843" s="12" t="str">
        <x:f>IF(OR(M843="unavailable",O843="unavailable"),"不可评价",IF(OR(M843="equivocal",O843="equivocal"),"疑似",IF(AND(M843="positive",O843="positive"),"a",IF(O843="positive","b",IF(M843="positive","c","d")))))</x:f>
        <x:v>d</x:v>
      </x:c>
      <x:c r="Q843" s="12"/>
      <x:c r="R843" s="12" t="str">
        <x:v>negative</x:v>
      </x:c>
      <x:c r="S843" s="12"/>
      <x:c r="T843" s="12" t="str">
        <x:v>negative</x:v>
      </x:c>
      <x:c r="U843" s="12" t="str">
        <x:f>IF(OR(R843="unavailable",T843="unavailable"),"不可评价",IF(OR(R843="equivocal",T843="equivocal"),"疑似",IF(AND(R843="positive",T843="positive"),"a",IF(T843="positive","b",IF(R843="positive","c","d")))))</x:f>
        <x:v>d</x:v>
      </x:c>
      <x:c r="V843" s="12"/>
      <x:c r="W843" s="12" t="str">
        <x:v>negative</x:v>
      </x:c>
      <x:c r="X843" s="12"/>
      <x:c r="Y843" s="12" t="str">
        <x:v>negative</x:v>
      </x:c>
      <x:c r="Z843" s="12" t="str">
        <x:f>IF(OR(W843="unavailable",Y843="unavailable"),"不可评价",IF(OR(W843="equivocal",Y843="equivocal"),"疑似",IF(AND(W843="positive",Y843="positive"),"a",IF(Y843="positive","b",IF(W843="positive","c","d")))))</x:f>
        <x:v>d</x:v>
      </x:c>
      <x:c r="AA843" s="12" t="str">
        <x:f>IF(OR(M843="unavailable",O843="unavailable"),"不可评价",IF(AND(OR(M843="positive",M843="equivocal"),OR(O843="positive",O843="equivocal")),"a",IF(OR(O843="positive",O843="equivocal"),"b",IF(OR(M843="positive",M843="equivocal"),"c","d"))))</x:f>
        <x:v>d</x:v>
      </x:c>
      <x:c r="AB843" s="12" t="str">
        <x:f>IF(OR(M843="unavailable",O843="unavailable"),"不可评价",IF(AND(M843="positive",O843="positive"),"a",IF(O843="positive","b",IF(M843="positive","c","d"))))</x:f>
        <x:v>d</x:v>
      </x:c>
      <x:c r="AC843" s="12" t="str">
        <x:f>IF(OR(R843="unavailable",T843="unavailable"),"不可评价",IF(AND(OR(R843="positive",R843="equivocal"),OR(T843="positive",T843="equivocal")),"a",IF(OR(T843="positive",T843="equivocal"),"b",IF(OR(R843="positive",R843="equivocal"),"c","d"))))</x:f>
        <x:v>d</x:v>
      </x:c>
      <x:c r="AD843" s="12" t="str">
        <x:f>IF(OR(R843="unavailable",T843="unavailable"),"不可评价",IF(AND(R843="positive",T843="positive"),"a",IF(T843="positive","b",IF(R843="positive","c","d"))))</x:f>
        <x:v>d</x:v>
      </x:c>
      <x:c r="AE843" s="12" t="str">
        <x:f>IF(OR(W843="unavailable",Y843="unavailable"),"不可评价",IF(AND(OR(W843="positive",W843="equivocal"),OR(Y843="positive",Y843="equivocal")),"a",IF(OR(Y843="positive",Y843="equivocal"),"b",IF(OR(W843="positive",W843="equivocal"),"c","d"))))</x:f>
        <x:v>d</x:v>
      </x:c>
      <x:c r="AF843" s="12" t="str">
        <x:f>IF(OR(W843="unavailable",Y843="unavailable"),"不可评价",IF(AND(W843="positive",Y843="positive"),"a",IF(Y843="positive","b",IF(W843="positive","c","d"))))</x:f>
        <x:v>d</x:v>
      </x:c>
    </x:row>
    <x:row r="844" ht="24" customHeight="1">
      <x:c r="A844" s="12" t="str">
        <x:v>7217</x:v>
      </x:c>
      <x:c r="B844" s="12" t="str">
        <x:v>10773</x:v>
      </x:c>
      <x:c r="C844" s="21" t="n">
        <x:v>33537.60658564815</x:v>
      </x:c>
      <x:c r="D844" s="12" t="n">
        <x:v>72</x:v>
      </x:c>
      <x:c r="E844" s="12" t="n">
        <x:v>1</x:v>
      </x:c>
      <x:c r="F844" s="12" t="str">
        <x:v>未记录</x:v>
      </x:c>
      <x:c r="G844" s="12" t="n">
        <x:v>1</x:v>
      </x:c>
      <x:c r="H844" s="12" t="str">
        <x:v>{'NORM': 100.0, 'SR': 0.0}</x:v>
      </x:c>
      <x:c r="I844" s="12" t="str">
        <x:v>[('NSR', 100.0), ('NML', 100.0)]</x:v>
      </x:c>
      <x:c r="J844" s="12" t="str">
        <x:v>ptbxl_database.csv；ecg_id=7217；scp_codes</x:v>
      </x:c>
      <x:c r="K844" s="12" t="str">
        <x:v>12sl_statements.csv；ecg_id=7217；statements_ext_snomed</x:v>
      </x:c>
      <x:c r="L844" s="12"/>
      <x:c r="M844" s="12" t="str">
        <x:v>negative</x:v>
      </x:c>
      <x:c r="N844" s="12"/>
      <x:c r="O844" s="12" t="str">
        <x:v>negative</x:v>
      </x:c>
      <x:c r="P844" s="12" t="str">
        <x:f>IF(OR(M844="unavailable",O844="unavailable"),"不可评价",IF(OR(M844="equivocal",O844="equivocal"),"疑似",IF(AND(M844="positive",O844="positive"),"a",IF(O844="positive","b",IF(M844="positive","c","d")))))</x:f>
        <x:v>d</x:v>
      </x:c>
      <x:c r="Q844" s="12"/>
      <x:c r="R844" s="12" t="str">
        <x:v>negative</x:v>
      </x:c>
      <x:c r="S844" s="12"/>
      <x:c r="T844" s="12" t="str">
        <x:v>negative</x:v>
      </x:c>
      <x:c r="U844" s="12" t="str">
        <x:f>IF(OR(R844="unavailable",T844="unavailable"),"不可评价",IF(OR(R844="equivocal",T844="equivocal"),"疑似",IF(AND(R844="positive",T844="positive"),"a",IF(T844="positive","b",IF(R844="positive","c","d")))))</x:f>
        <x:v>d</x:v>
      </x:c>
      <x:c r="V844" s="12"/>
      <x:c r="W844" s="12" t="str">
        <x:v>negative</x:v>
      </x:c>
      <x:c r="X844" s="12"/>
      <x:c r="Y844" s="12" t="str">
        <x:v>negative</x:v>
      </x:c>
      <x:c r="Z844" s="12" t="str">
        <x:f>IF(OR(W844="unavailable",Y844="unavailable"),"不可评价",IF(OR(W844="equivocal",Y844="equivocal"),"疑似",IF(AND(W844="positive",Y844="positive"),"a",IF(Y844="positive","b",IF(W844="positive","c","d")))))</x:f>
        <x:v>d</x:v>
      </x:c>
      <x:c r="AA844" s="12" t="str">
        <x:f>IF(OR(M844="unavailable",O844="unavailable"),"不可评价",IF(AND(OR(M844="positive",M844="equivocal"),OR(O844="positive",O844="equivocal")),"a",IF(OR(O844="positive",O844="equivocal"),"b",IF(OR(M844="positive",M844="equivocal"),"c","d"))))</x:f>
        <x:v>d</x:v>
      </x:c>
      <x:c r="AB844" s="12" t="str">
        <x:f>IF(OR(M844="unavailable",O844="unavailable"),"不可评价",IF(AND(M844="positive",O844="positive"),"a",IF(O844="positive","b",IF(M844="positive","c","d"))))</x:f>
        <x:v>d</x:v>
      </x:c>
      <x:c r="AC844" s="12" t="str">
        <x:f>IF(OR(R844="unavailable",T844="unavailable"),"不可评价",IF(AND(OR(R844="positive",R844="equivocal"),OR(T844="positive",T844="equivocal")),"a",IF(OR(T844="positive",T844="equivocal"),"b",IF(OR(R844="positive",R844="equivocal"),"c","d"))))</x:f>
        <x:v>d</x:v>
      </x:c>
      <x:c r="AD844" s="12" t="str">
        <x:f>IF(OR(R844="unavailable",T844="unavailable"),"不可评价",IF(AND(R844="positive",T844="positive"),"a",IF(T844="positive","b",IF(R844="positive","c","d"))))</x:f>
        <x:v>d</x:v>
      </x:c>
      <x:c r="AE844" s="12" t="str">
        <x:f>IF(OR(W844="unavailable",Y844="unavailable"),"不可评价",IF(AND(OR(W844="positive",W844="equivocal"),OR(Y844="positive",Y844="equivocal")),"a",IF(OR(Y844="positive",Y844="equivocal"),"b",IF(OR(W844="positive",W844="equivocal"),"c","d"))))</x:f>
        <x:v>d</x:v>
      </x:c>
      <x:c r="AF844" s="12" t="str">
        <x:f>IF(OR(W844="unavailable",Y844="unavailable"),"不可评价",IF(AND(W844="positive",Y844="positive"),"a",IF(Y844="positive","b",IF(W844="positive","c","d"))))</x:f>
        <x:v>d</x:v>
      </x:c>
    </x:row>
    <x:row r="845" ht="24" customHeight="1">
      <x:c r="A845" s="12" t="str">
        <x:v>7221</x:v>
      </x:c>
      <x:c r="B845" s="12" t="str">
        <x:v>12081</x:v>
      </x:c>
      <x:c r="C845" s="21" t="n">
        <x:v>33538.480775462966</x:v>
      </x:c>
      <x:c r="D845" s="12" t="n">
        <x:v>300</x:v>
      </x:c>
      <x:c r="E845" s="12" t="n">
        <x:v>0</x:v>
      </x:c>
      <x:c r="F845" s="12" t="str">
        <x:v>存在</x:v>
      </x:c>
      <x:c r="G845" s="12" t="n">
        <x:v>1</x:v>
      </x:c>
      <x:c r="H845" s="12" t="str">
        <x:v>{'AFIB': 100.0}</x:v>
      </x:c>
      <x:c r="I845" s="12" t="str">
        <x:v>[('AFIB', 100.0), ('LOWV', 100.0), ('AB', 100.0)]</x:v>
      </x:c>
      <x:c r="J845" s="12" t="str">
        <x:v>ptbxl_database.csv；ecg_id=7221；scp_codes</x:v>
      </x:c>
      <x:c r="K845" s="12" t="str">
        <x:v>12sl_statements.csv；ecg_id=7221；statements_ext_snomed</x:v>
      </x:c>
      <x:c r="L845" s="12" t="n">
        <x:v>100</x:v>
      </x:c>
      <x:c r="M845" s="12" t="str">
        <x:v>positive</x:v>
      </x:c>
      <x:c r="N845" s="12" t="n">
        <x:v>100</x:v>
      </x:c>
      <x:c r="O845" s="12" t="str">
        <x:v>positive</x:v>
      </x:c>
      <x:c r="P845" s="12" t="str">
        <x:f>IF(OR(M845="unavailable",O845="unavailable"),"不可评价",IF(OR(M845="equivocal",O845="equivocal"),"疑似",IF(AND(M845="positive",O845="positive"),"a",IF(O845="positive","b",IF(M845="positive","c","d")))))</x:f>
        <x:v>a</x:v>
      </x:c>
      <x:c r="Q845" s="12"/>
      <x:c r="R845" s="12" t="str">
        <x:v>negative</x:v>
      </x:c>
      <x:c r="S845" s="12"/>
      <x:c r="T845" s="12" t="str">
        <x:v>negative</x:v>
      </x:c>
      <x:c r="U845" s="12" t="str">
        <x:f>IF(OR(R845="unavailable",T845="unavailable"),"不可评价",IF(OR(R845="equivocal",T845="equivocal"),"疑似",IF(AND(R845="positive",T845="positive"),"a",IF(T845="positive","b",IF(R845="positive","c","d")))))</x:f>
        <x:v>d</x:v>
      </x:c>
      <x:c r="V845" s="12"/>
      <x:c r="W845" s="12" t="str">
        <x:v>negative</x:v>
      </x:c>
      <x:c r="X845" s="12"/>
      <x:c r="Y845" s="12" t="str">
        <x:v>negative</x:v>
      </x:c>
      <x:c r="Z845" s="12" t="str">
        <x:f>IF(OR(W845="unavailable",Y845="unavailable"),"不可评价",IF(OR(W845="equivocal",Y845="equivocal"),"疑似",IF(AND(W845="positive",Y845="positive"),"a",IF(Y845="positive","b",IF(W845="positive","c","d")))))</x:f>
        <x:v>d</x:v>
      </x:c>
      <x:c r="AA845" s="12" t="str">
        <x:f>IF(OR(M845="unavailable",O845="unavailable"),"不可评价",IF(AND(OR(M845="positive",M845="equivocal"),OR(O845="positive",O845="equivocal")),"a",IF(OR(O845="positive",O845="equivocal"),"b",IF(OR(M845="positive",M845="equivocal"),"c","d"))))</x:f>
        <x:v>a</x:v>
      </x:c>
      <x:c r="AB845" s="12" t="str">
        <x:f>IF(OR(M845="unavailable",O845="unavailable"),"不可评价",IF(AND(M845="positive",O845="positive"),"a",IF(O845="positive","b",IF(M845="positive","c","d"))))</x:f>
        <x:v>a</x:v>
      </x:c>
      <x:c r="AC845" s="12" t="str">
        <x:f>IF(OR(R845="unavailable",T845="unavailable"),"不可评价",IF(AND(OR(R845="positive",R845="equivocal"),OR(T845="positive",T845="equivocal")),"a",IF(OR(T845="positive",T845="equivocal"),"b",IF(OR(R845="positive",R845="equivocal"),"c","d"))))</x:f>
        <x:v>d</x:v>
      </x:c>
      <x:c r="AD845" s="12" t="str">
        <x:f>IF(OR(R845="unavailable",T845="unavailable"),"不可评价",IF(AND(R845="positive",T845="positive"),"a",IF(T845="positive","b",IF(R845="positive","c","d"))))</x:f>
        <x:v>d</x:v>
      </x:c>
      <x:c r="AE845" s="12" t="str">
        <x:f>IF(OR(W845="unavailable",Y845="unavailable"),"不可评价",IF(AND(OR(W845="positive",W845="equivocal"),OR(Y845="positive",Y845="equivocal")),"a",IF(OR(Y845="positive",Y845="equivocal"),"b",IF(OR(W845="positive",W845="equivocal"),"c","d"))))</x:f>
        <x:v>d</x:v>
      </x:c>
      <x:c r="AF845" s="12" t="str">
        <x:f>IF(OR(W845="unavailable",Y845="unavailable"),"不可评价",IF(AND(W845="positive",Y845="positive"),"a",IF(Y845="positive","b",IF(W845="positive","c","d"))))</x:f>
        <x:v>d</x:v>
      </x:c>
    </x:row>
    <x:row r="846" ht="24" customHeight="1">
      <x:c r="A846" s="12" t="str">
        <x:v>7243</x:v>
      </x:c>
      <x:c r="B846" s="12" t="str">
        <x:v>18304</x:v>
      </x:c>
      <x:c r="C846" s="21" t="n">
        <x:v>33544.64880787037</x:v>
      </x:c>
      <x:c r="D846" s="12" t="n">
        <x:v>65</x:v>
      </x:c>
      <x:c r="E846" s="12" t="n">
        <x:v>1</x:v>
      </x:c>
      <x:c r="F846" s="12" t="str">
        <x:v>未记录</x:v>
      </x:c>
      <x:c r="G846" s="12" t="n">
        <x:v>1</x:v>
      </x:c>
      <x:c r="H846" s="12" t="str">
        <x:v>{'LVH': 50.0, 'ISCIN': 100.0, 'VCLVH': 0.0, 'SR': 0.0}</x:v>
      </x:c>
      <x:c r="I846" s="12" t="str">
        <x:v>[('NSR', 100.0), ('NSTT', 100.0), ('AB', 100.0)]</x:v>
      </x:c>
      <x:c r="J846" s="12" t="str">
        <x:v>ptbxl_database.csv；ecg_id=7243；scp_codes</x:v>
      </x:c>
      <x:c r="K846" s="12" t="str">
        <x:v>12sl_statements.csv；ecg_id=7243；statements_ext_snomed</x:v>
      </x:c>
      <x:c r="L846" s="12"/>
      <x:c r="M846" s="12" t="str">
        <x:v>negative</x:v>
      </x:c>
      <x:c r="N846" s="12"/>
      <x:c r="O846" s="12" t="str">
        <x:v>negative</x:v>
      </x:c>
      <x:c r="P846" s="12" t="str">
        <x:f>IF(OR(M846="unavailable",O846="unavailable"),"不可评价",IF(OR(M846="equivocal",O846="equivocal"),"疑似",IF(AND(M846="positive",O846="positive"),"a",IF(O846="positive","b",IF(M846="positive","c","d")))))</x:f>
        <x:v>d</x:v>
      </x:c>
      <x:c r="Q846" s="12"/>
      <x:c r="R846" s="12" t="str">
        <x:v>negative</x:v>
      </x:c>
      <x:c r="S846" s="12"/>
      <x:c r="T846" s="12" t="str">
        <x:v>negative</x:v>
      </x:c>
      <x:c r="U846" s="12" t="str">
        <x:f>IF(OR(R846="unavailable",T846="unavailable"),"不可评价",IF(OR(R846="equivocal",T846="equivocal"),"疑似",IF(AND(R846="positive",T846="positive"),"a",IF(T846="positive","b",IF(R846="positive","c","d")))))</x:f>
        <x:v>d</x:v>
      </x:c>
      <x:c r="V846" s="12"/>
      <x:c r="W846" s="12" t="str">
        <x:v>negative</x:v>
      </x:c>
      <x:c r="X846" s="12"/>
      <x:c r="Y846" s="12" t="str">
        <x:v>negative</x:v>
      </x:c>
      <x:c r="Z846" s="12" t="str">
        <x:f>IF(OR(W846="unavailable",Y846="unavailable"),"不可评价",IF(OR(W846="equivocal",Y846="equivocal"),"疑似",IF(AND(W846="positive",Y846="positive"),"a",IF(Y846="positive","b",IF(W846="positive","c","d")))))</x:f>
        <x:v>d</x:v>
      </x:c>
      <x:c r="AA846" s="12" t="str">
        <x:f>IF(OR(M846="unavailable",O846="unavailable"),"不可评价",IF(AND(OR(M846="positive",M846="equivocal"),OR(O846="positive",O846="equivocal")),"a",IF(OR(O846="positive",O846="equivocal"),"b",IF(OR(M846="positive",M846="equivocal"),"c","d"))))</x:f>
        <x:v>d</x:v>
      </x:c>
      <x:c r="AB846" s="12" t="str">
        <x:f>IF(OR(M846="unavailable",O846="unavailable"),"不可评价",IF(AND(M846="positive",O846="positive"),"a",IF(O846="positive","b",IF(M846="positive","c","d"))))</x:f>
        <x:v>d</x:v>
      </x:c>
      <x:c r="AC846" s="12" t="str">
        <x:f>IF(OR(R846="unavailable",T846="unavailable"),"不可评价",IF(AND(OR(R846="positive",R846="equivocal"),OR(T846="positive",T846="equivocal")),"a",IF(OR(T846="positive",T846="equivocal"),"b",IF(OR(R846="positive",R846="equivocal"),"c","d"))))</x:f>
        <x:v>d</x:v>
      </x:c>
      <x:c r="AD846" s="12" t="str">
        <x:f>IF(OR(R846="unavailable",T846="unavailable"),"不可评价",IF(AND(R846="positive",T846="positive"),"a",IF(T846="positive","b",IF(R846="positive","c","d"))))</x:f>
        <x:v>d</x:v>
      </x:c>
      <x:c r="AE846" s="12" t="str">
        <x:f>IF(OR(W846="unavailable",Y846="unavailable"),"不可评价",IF(AND(OR(W846="positive",W846="equivocal"),OR(Y846="positive",Y846="equivocal")),"a",IF(OR(Y846="positive",Y846="equivocal"),"b",IF(OR(W846="positive",W846="equivocal"),"c","d"))))</x:f>
        <x:v>d</x:v>
      </x:c>
      <x:c r="AF846" s="12" t="str">
        <x:f>IF(OR(W846="unavailable",Y846="unavailable"),"不可评价",IF(AND(W846="positive",Y846="positive"),"a",IF(Y846="positive","b",IF(W846="positive","c","d"))))</x:f>
        <x:v>d</x:v>
      </x:c>
    </x:row>
    <x:row r="847" ht="24" customHeight="1">
      <x:c r="A847" s="12" t="str">
        <x:v>7258</x:v>
      </x:c>
      <x:c r="B847" s="12" t="str">
        <x:v>20362</x:v>
      </x:c>
      <x:c r="C847" s="21" t="n">
        <x:v>33546.47917824074</x:v>
      </x:c>
      <x:c r="D847" s="12" t="n">
        <x:v>54</x:v>
      </x:c>
      <x:c r="E847" s="12" t="n">
        <x:v>0</x:v>
      </x:c>
      <x:c r="F847" s="12" t="str">
        <x:v>未记录</x:v>
      </x:c>
      <x:c r="G847" s="12" t="n">
        <x:v>1</x:v>
      </x:c>
      <x:c r="H847" s="12" t="str">
        <x:v>{'NORM': 100.0, 'SR': 0.0}</x:v>
      </x:c>
      <x:c r="I847" s="12" t="str">
        <x:v>[('SBRAD', 100.0), ('ABR', 100.0)]</x:v>
      </x:c>
      <x:c r="J847" s="12" t="str">
        <x:v>ptbxl_database.csv；ecg_id=7258；scp_codes</x:v>
      </x:c>
      <x:c r="K847" s="12" t="str">
        <x:v>12sl_statements.csv；ecg_id=7258；statements_ext_snomed</x:v>
      </x:c>
      <x:c r="L847" s="12"/>
      <x:c r="M847" s="12" t="str">
        <x:v>negative</x:v>
      </x:c>
      <x:c r="N847" s="12"/>
      <x:c r="O847" s="12" t="str">
        <x:v>negative</x:v>
      </x:c>
      <x:c r="P847" s="12" t="str">
        <x:f>IF(OR(M847="unavailable",O847="unavailable"),"不可评价",IF(OR(M847="equivocal",O847="equivocal"),"疑似",IF(AND(M847="positive",O847="positive"),"a",IF(O847="positive","b",IF(M847="positive","c","d")))))</x:f>
        <x:v>d</x:v>
      </x:c>
      <x:c r="Q847" s="12"/>
      <x:c r="R847" s="12" t="str">
        <x:v>negative</x:v>
      </x:c>
      <x:c r="S847" s="12"/>
      <x:c r="T847" s="12" t="str">
        <x:v>negative</x:v>
      </x:c>
      <x:c r="U847" s="12" t="str">
        <x:f>IF(OR(R847="unavailable",T847="unavailable"),"不可评价",IF(OR(R847="equivocal",T847="equivocal"),"疑似",IF(AND(R847="positive",T847="positive"),"a",IF(T847="positive","b",IF(R847="positive","c","d")))))</x:f>
        <x:v>d</x:v>
      </x:c>
      <x:c r="V847" s="12"/>
      <x:c r="W847" s="12" t="str">
        <x:v>negative</x:v>
      </x:c>
      <x:c r="X847" s="12"/>
      <x:c r="Y847" s="12" t="str">
        <x:v>negative</x:v>
      </x:c>
      <x:c r="Z847" s="12" t="str">
        <x:f>IF(OR(W847="unavailable",Y847="unavailable"),"不可评价",IF(OR(W847="equivocal",Y847="equivocal"),"疑似",IF(AND(W847="positive",Y847="positive"),"a",IF(Y847="positive","b",IF(W847="positive","c","d")))))</x:f>
        <x:v>d</x:v>
      </x:c>
      <x:c r="AA847" s="12" t="str">
        <x:f>IF(OR(M847="unavailable",O847="unavailable"),"不可评价",IF(AND(OR(M847="positive",M847="equivocal"),OR(O847="positive",O847="equivocal")),"a",IF(OR(O847="positive",O847="equivocal"),"b",IF(OR(M847="positive",M847="equivocal"),"c","d"))))</x:f>
        <x:v>d</x:v>
      </x:c>
      <x:c r="AB847" s="12" t="str">
        <x:f>IF(OR(M847="unavailable",O847="unavailable"),"不可评价",IF(AND(M847="positive",O847="positive"),"a",IF(O847="positive","b",IF(M847="positive","c","d"))))</x:f>
        <x:v>d</x:v>
      </x:c>
      <x:c r="AC847" s="12" t="str">
        <x:f>IF(OR(R847="unavailable",T847="unavailable"),"不可评价",IF(AND(OR(R847="positive",R847="equivocal"),OR(T847="positive",T847="equivocal")),"a",IF(OR(T847="positive",T847="equivocal"),"b",IF(OR(R847="positive",R847="equivocal"),"c","d"))))</x:f>
        <x:v>d</x:v>
      </x:c>
      <x:c r="AD847" s="12" t="str">
        <x:f>IF(OR(R847="unavailable",T847="unavailable"),"不可评价",IF(AND(R847="positive",T847="positive"),"a",IF(T847="positive","b",IF(R847="positive","c","d"))))</x:f>
        <x:v>d</x:v>
      </x:c>
      <x:c r="AE847" s="12" t="str">
        <x:f>IF(OR(W847="unavailable",Y847="unavailable"),"不可评价",IF(AND(OR(W847="positive",W847="equivocal"),OR(Y847="positive",Y847="equivocal")),"a",IF(OR(Y847="positive",Y847="equivocal"),"b",IF(OR(W847="positive",W847="equivocal"),"c","d"))))</x:f>
        <x:v>d</x:v>
      </x:c>
      <x:c r="AF847" s="12" t="str">
        <x:f>IF(OR(W847="unavailable",Y847="unavailable"),"不可评价",IF(AND(W847="positive",Y847="positive"),"a",IF(Y847="positive","b",IF(W847="positive","c","d"))))</x:f>
        <x:v>d</x:v>
      </x:c>
    </x:row>
    <x:row r="848" ht="24" customHeight="1">
      <x:c r="A848" s="12" t="str">
        <x:v>7323</x:v>
      </x:c>
      <x:c r="B848" s="12" t="str">
        <x:v>21593</x:v>
      </x:c>
      <x:c r="C848" s="21" t="n">
        <x:v>33559.57303240741</x:v>
      </x:c>
      <x:c r="D848" s="12" t="n">
        <x:v>32</x:v>
      </x:c>
      <x:c r="E848" s="12" t="n">
        <x:v>1</x:v>
      </x:c>
      <x:c r="F848" s="12" t="str">
        <x:v>未记录</x:v>
      </x:c>
      <x:c r="G848" s="12" t="n">
        <x:v>1</x:v>
      </x:c>
      <x:c r="H848" s="12" t="str">
        <x:v>{'NORM': 100.0, 'SR': 0.0}</x:v>
      </x:c>
      <x:c r="I848" s="12" t="str">
        <x:v>[('NSR', 100.0), ('NML', 100.0)]</x:v>
      </x:c>
      <x:c r="J848" s="12" t="str">
        <x:v>ptbxl_database.csv；ecg_id=7323；scp_codes</x:v>
      </x:c>
      <x:c r="K848" s="12" t="str">
        <x:v>12sl_statements.csv；ecg_id=7323；statements_ext_snomed</x:v>
      </x:c>
      <x:c r="L848" s="12"/>
      <x:c r="M848" s="12" t="str">
        <x:v>negative</x:v>
      </x:c>
      <x:c r="N848" s="12"/>
      <x:c r="O848" s="12" t="str">
        <x:v>negative</x:v>
      </x:c>
      <x:c r="P848" s="12" t="str">
        <x:f>IF(OR(M848="unavailable",O848="unavailable"),"不可评价",IF(OR(M848="equivocal",O848="equivocal"),"疑似",IF(AND(M848="positive",O848="positive"),"a",IF(O848="positive","b",IF(M848="positive","c","d")))))</x:f>
        <x:v>d</x:v>
      </x:c>
      <x:c r="Q848" s="12"/>
      <x:c r="R848" s="12" t="str">
        <x:v>negative</x:v>
      </x:c>
      <x:c r="S848" s="12"/>
      <x:c r="T848" s="12" t="str">
        <x:v>negative</x:v>
      </x:c>
      <x:c r="U848" s="12" t="str">
        <x:f>IF(OR(R848="unavailable",T848="unavailable"),"不可评价",IF(OR(R848="equivocal",T848="equivocal"),"疑似",IF(AND(R848="positive",T848="positive"),"a",IF(T848="positive","b",IF(R848="positive","c","d")))))</x:f>
        <x:v>d</x:v>
      </x:c>
      <x:c r="V848" s="12"/>
      <x:c r="W848" s="12" t="str">
        <x:v>negative</x:v>
      </x:c>
      <x:c r="X848" s="12"/>
      <x:c r="Y848" s="12" t="str">
        <x:v>negative</x:v>
      </x:c>
      <x:c r="Z848" s="12" t="str">
        <x:f>IF(OR(W848="unavailable",Y848="unavailable"),"不可评价",IF(OR(W848="equivocal",Y848="equivocal"),"疑似",IF(AND(W848="positive",Y848="positive"),"a",IF(Y848="positive","b",IF(W848="positive","c","d")))))</x:f>
        <x:v>d</x:v>
      </x:c>
      <x:c r="AA848" s="12" t="str">
        <x:f>IF(OR(M848="unavailable",O848="unavailable"),"不可评价",IF(AND(OR(M848="positive",M848="equivocal"),OR(O848="positive",O848="equivocal")),"a",IF(OR(O848="positive",O848="equivocal"),"b",IF(OR(M848="positive",M848="equivocal"),"c","d"))))</x:f>
        <x:v>d</x:v>
      </x:c>
      <x:c r="AB848" s="12" t="str">
        <x:f>IF(OR(M848="unavailable",O848="unavailable"),"不可评价",IF(AND(M848="positive",O848="positive"),"a",IF(O848="positive","b",IF(M848="positive","c","d"))))</x:f>
        <x:v>d</x:v>
      </x:c>
      <x:c r="AC848" s="12" t="str">
        <x:f>IF(OR(R848="unavailable",T848="unavailable"),"不可评价",IF(AND(OR(R848="positive",R848="equivocal"),OR(T848="positive",T848="equivocal")),"a",IF(OR(T848="positive",T848="equivocal"),"b",IF(OR(R848="positive",R848="equivocal"),"c","d"))))</x:f>
        <x:v>d</x:v>
      </x:c>
      <x:c r="AD848" s="12" t="str">
        <x:f>IF(OR(R848="unavailable",T848="unavailable"),"不可评价",IF(AND(R848="positive",T848="positive"),"a",IF(T848="positive","b",IF(R848="positive","c","d"))))</x:f>
        <x:v>d</x:v>
      </x:c>
      <x:c r="AE848" s="12" t="str">
        <x:f>IF(OR(W848="unavailable",Y848="unavailable"),"不可评价",IF(AND(OR(W848="positive",W848="equivocal"),OR(Y848="positive",Y848="equivocal")),"a",IF(OR(Y848="positive",Y848="equivocal"),"b",IF(OR(W848="positive",W848="equivocal"),"c","d"))))</x:f>
        <x:v>d</x:v>
      </x:c>
      <x:c r="AF848" s="12" t="str">
        <x:f>IF(OR(W848="unavailable",Y848="unavailable"),"不可评价",IF(AND(W848="positive",Y848="positive"),"a",IF(Y848="positive","b",IF(W848="positive","c","d"))))</x:f>
        <x:v>d</x:v>
      </x:c>
    </x:row>
    <x:row r="849" ht="24" customHeight="1">
      <x:c r="A849" s="12" t="str">
        <x:v>7328</x:v>
      </x:c>
      <x:c r="B849" s="12" t="str">
        <x:v>12477</x:v>
      </x:c>
      <x:c r="C849" s="21" t="n">
        <x:v>33560.48657407407</x:v>
      </x:c>
      <x:c r="D849" s="12" t="n">
        <x:v>63</x:v>
      </x:c>
      <x:c r="E849" s="12" t="n">
        <x:v>0</x:v>
      </x:c>
      <x:c r="F849" s="12" t="str">
        <x:v>未记录</x:v>
      </x:c>
      <x:c r="G849" s="12" t="n">
        <x:v>0</x:v>
      </x:c>
      <x:c r="H849" s="12" t="str">
        <x:v>{'NORM': 80.0, 'SBRAD': 0.0}</x:v>
      </x:c>
      <x:c r="I849" s="12" t="str">
        <x:v>[('SBRAD', 100.0), ('BORDE', 100.0)]</x:v>
      </x:c>
      <x:c r="J849" s="12" t="str">
        <x:v>ptbxl_database.csv；ecg_id=7328；scp_codes</x:v>
      </x:c>
      <x:c r="K849" s="12" t="str">
        <x:v>12sl_statements.csv；ecg_id=7328；statements_ext_snomed</x:v>
      </x:c>
      <x:c r="L849" s="12"/>
      <x:c r="M849" s="12" t="str">
        <x:v>negative</x:v>
      </x:c>
      <x:c r="N849" s="12"/>
      <x:c r="O849" s="12" t="str">
        <x:v>negative</x:v>
      </x:c>
      <x:c r="P849" s="12" t="str">
        <x:f>IF(OR(M849="unavailable",O849="unavailable"),"不可评价",IF(OR(M849="equivocal",O849="equivocal"),"疑似",IF(AND(M849="positive",O849="positive"),"a",IF(O849="positive","b",IF(M849="positive","c","d")))))</x:f>
        <x:v>d</x:v>
      </x:c>
      <x:c r="Q849" s="12"/>
      <x:c r="R849" s="12" t="str">
        <x:v>negative</x:v>
      </x:c>
      <x:c r="S849" s="12"/>
      <x:c r="T849" s="12" t="str">
        <x:v>negative</x:v>
      </x:c>
      <x:c r="U849" s="12" t="str">
        <x:f>IF(OR(R849="unavailable",T849="unavailable"),"不可评价",IF(OR(R849="equivocal",T849="equivocal"),"疑似",IF(AND(R849="positive",T849="positive"),"a",IF(T849="positive","b",IF(R849="positive","c","d")))))</x:f>
        <x:v>d</x:v>
      </x:c>
      <x:c r="V849" s="12"/>
      <x:c r="W849" s="12" t="str">
        <x:v>negative</x:v>
      </x:c>
      <x:c r="X849" s="12"/>
      <x:c r="Y849" s="12" t="str">
        <x:v>negative</x:v>
      </x:c>
      <x:c r="Z849" s="12" t="str">
        <x:f>IF(OR(W849="unavailable",Y849="unavailable"),"不可评价",IF(OR(W849="equivocal",Y849="equivocal"),"疑似",IF(AND(W849="positive",Y849="positive"),"a",IF(Y849="positive","b",IF(W849="positive","c","d")))))</x:f>
        <x:v>d</x:v>
      </x:c>
      <x:c r="AA849" s="12" t="str">
        <x:f>IF(OR(M849="unavailable",O849="unavailable"),"不可评价",IF(AND(OR(M849="positive",M849="equivocal"),OR(O849="positive",O849="equivocal")),"a",IF(OR(O849="positive",O849="equivocal"),"b",IF(OR(M849="positive",M849="equivocal"),"c","d"))))</x:f>
        <x:v>d</x:v>
      </x:c>
      <x:c r="AB849" s="12" t="str">
        <x:f>IF(OR(M849="unavailable",O849="unavailable"),"不可评价",IF(AND(M849="positive",O849="positive"),"a",IF(O849="positive","b",IF(M849="positive","c","d"))))</x:f>
        <x:v>d</x:v>
      </x:c>
      <x:c r="AC849" s="12" t="str">
        <x:f>IF(OR(R849="unavailable",T849="unavailable"),"不可评价",IF(AND(OR(R849="positive",R849="equivocal"),OR(T849="positive",T849="equivocal")),"a",IF(OR(T849="positive",T849="equivocal"),"b",IF(OR(R849="positive",R849="equivocal"),"c","d"))))</x:f>
        <x:v>d</x:v>
      </x:c>
      <x:c r="AD849" s="12" t="str">
        <x:f>IF(OR(R849="unavailable",T849="unavailable"),"不可评价",IF(AND(R849="positive",T849="positive"),"a",IF(T849="positive","b",IF(R849="positive","c","d"))))</x:f>
        <x:v>d</x:v>
      </x:c>
      <x:c r="AE849" s="12" t="str">
        <x:f>IF(OR(W849="unavailable",Y849="unavailable"),"不可评价",IF(AND(OR(W849="positive",W849="equivocal"),OR(Y849="positive",Y849="equivocal")),"a",IF(OR(Y849="positive",Y849="equivocal"),"b",IF(OR(W849="positive",W849="equivocal"),"c","d"))))</x:f>
        <x:v>d</x:v>
      </x:c>
      <x:c r="AF849" s="12" t="str">
        <x:f>IF(OR(W849="unavailable",Y849="unavailable"),"不可评价",IF(AND(W849="positive",Y849="positive"),"a",IF(Y849="positive","b",IF(W849="positive","c","d"))))</x:f>
        <x:v>d</x:v>
      </x:c>
    </x:row>
    <x:row r="850" ht="24" customHeight="1">
      <x:c r="A850" s="12" t="str">
        <x:v>7348</x:v>
      </x:c>
      <x:c r="B850" s="12" t="str">
        <x:v>15917</x:v>
      </x:c>
      <x:c r="C850" s="21" t="n">
        <x:v>33564.75555555556</x:v>
      </x:c>
      <x:c r="D850" s="12" t="n">
        <x:v>53</x:v>
      </x:c>
      <x:c r="E850" s="12" t="n">
        <x:v>1</x:v>
      </x:c>
      <x:c r="F850" s="12" t="str">
        <x:v>未记录</x:v>
      </x:c>
      <x:c r="G850" s="12" t="n">
        <x:v>1</x:v>
      </x:c>
      <x:c r="H850" s="12" t="str">
        <x:v>{'NORM': 100.0, 'ABQRS': 0.0, 'SR': 0.0}</x:v>
      </x:c>
      <x:c r="I850" s="12" t="str">
        <x:v>[('NSR', 100.0), ('NML', 100.0)]</x:v>
      </x:c>
      <x:c r="J850" s="12" t="str">
        <x:v>ptbxl_database.csv；ecg_id=7348；scp_codes</x:v>
      </x:c>
      <x:c r="K850" s="12" t="str">
        <x:v>12sl_statements.csv；ecg_id=7348；statements_ext_snomed</x:v>
      </x:c>
      <x:c r="L850" s="12"/>
      <x:c r="M850" s="12" t="str">
        <x:v>negative</x:v>
      </x:c>
      <x:c r="N850" s="12"/>
      <x:c r="O850" s="12" t="str">
        <x:v>negative</x:v>
      </x:c>
      <x:c r="P850" s="12" t="str">
        <x:f>IF(OR(M850="unavailable",O850="unavailable"),"不可评价",IF(OR(M850="equivocal",O850="equivocal"),"疑似",IF(AND(M850="positive",O850="positive"),"a",IF(O850="positive","b",IF(M850="positive","c","d")))))</x:f>
        <x:v>d</x:v>
      </x:c>
      <x:c r="Q850" s="12"/>
      <x:c r="R850" s="12" t="str">
        <x:v>negative</x:v>
      </x:c>
      <x:c r="S850" s="12"/>
      <x:c r="T850" s="12" t="str">
        <x:v>negative</x:v>
      </x:c>
      <x:c r="U850" s="12" t="str">
        <x:f>IF(OR(R850="unavailable",T850="unavailable"),"不可评价",IF(OR(R850="equivocal",T850="equivocal"),"疑似",IF(AND(R850="positive",T850="positive"),"a",IF(T850="positive","b",IF(R850="positive","c","d")))))</x:f>
        <x:v>d</x:v>
      </x:c>
      <x:c r="V850" s="12"/>
      <x:c r="W850" s="12" t="str">
        <x:v>negative</x:v>
      </x:c>
      <x:c r="X850" s="12"/>
      <x:c r="Y850" s="12" t="str">
        <x:v>negative</x:v>
      </x:c>
      <x:c r="Z850" s="12" t="str">
        <x:f>IF(OR(W850="unavailable",Y850="unavailable"),"不可评价",IF(OR(W850="equivocal",Y850="equivocal"),"疑似",IF(AND(W850="positive",Y850="positive"),"a",IF(Y850="positive","b",IF(W850="positive","c","d")))))</x:f>
        <x:v>d</x:v>
      </x:c>
      <x:c r="AA850" s="12" t="str">
        <x:f>IF(OR(M850="unavailable",O850="unavailable"),"不可评价",IF(AND(OR(M850="positive",M850="equivocal"),OR(O850="positive",O850="equivocal")),"a",IF(OR(O850="positive",O850="equivocal"),"b",IF(OR(M850="positive",M850="equivocal"),"c","d"))))</x:f>
        <x:v>d</x:v>
      </x:c>
      <x:c r="AB850" s="12" t="str">
        <x:f>IF(OR(M850="unavailable",O850="unavailable"),"不可评价",IF(AND(M850="positive",O850="positive"),"a",IF(O850="positive","b",IF(M850="positive","c","d"))))</x:f>
        <x:v>d</x:v>
      </x:c>
      <x:c r="AC850" s="12" t="str">
        <x:f>IF(OR(R850="unavailable",T850="unavailable"),"不可评价",IF(AND(OR(R850="positive",R850="equivocal"),OR(T850="positive",T850="equivocal")),"a",IF(OR(T850="positive",T850="equivocal"),"b",IF(OR(R850="positive",R850="equivocal"),"c","d"))))</x:f>
        <x:v>d</x:v>
      </x:c>
      <x:c r="AD850" s="12" t="str">
        <x:f>IF(OR(R850="unavailable",T850="unavailable"),"不可评价",IF(AND(R850="positive",T850="positive"),"a",IF(T850="positive","b",IF(R850="positive","c","d"))))</x:f>
        <x:v>d</x:v>
      </x:c>
      <x:c r="AE850" s="12" t="str">
        <x:f>IF(OR(W850="unavailable",Y850="unavailable"),"不可评价",IF(AND(OR(W850="positive",W850="equivocal"),OR(Y850="positive",Y850="equivocal")),"a",IF(OR(Y850="positive",Y850="equivocal"),"b",IF(OR(W850="positive",W850="equivocal"),"c","d"))))</x:f>
        <x:v>d</x:v>
      </x:c>
      <x:c r="AF850" s="12" t="str">
        <x:f>IF(OR(W850="unavailable",Y850="unavailable"),"不可评价",IF(AND(W850="positive",Y850="positive"),"a",IF(Y850="positive","b",IF(W850="positive","c","d"))))</x:f>
        <x:v>d</x:v>
      </x:c>
    </x:row>
    <x:row r="851" ht="24" customHeight="1">
      <x:c r="A851" s="12" t="str">
        <x:v>7354</x:v>
      </x:c>
      <x:c r="B851" s="12" t="str">
        <x:v>9433</x:v>
      </x:c>
      <x:c r="C851" s="21" t="n">
        <x:v>33565.7459375</x:v>
      </x:c>
      <x:c r="D851" s="12" t="n">
        <x:v>74</x:v>
      </x:c>
      <x:c r="E851" s="12" t="n">
        <x:v>0</x:v>
      </x:c>
      <x:c r="F851" s="12" t="str">
        <x:v>存在</x:v>
      </x:c>
      <x:c r="G851" s="12" t="n">
        <x:v>1</x:v>
      </x:c>
      <x:c r="H851" s="12" t="str">
        <x:v>{'LVH': 100.0, 'SR': 0.0}</x:v>
      </x:c>
      <x:c r="I851" s="12" t="str">
        <x:v>[('SBRAD', 100.0), ('BORDE', 100.0)]</x:v>
      </x:c>
      <x:c r="J851" s="12" t="str">
        <x:v>ptbxl_database.csv；ecg_id=7354；scp_codes</x:v>
      </x:c>
      <x:c r="K851" s="12" t="str">
        <x:v>12sl_statements.csv；ecg_id=7354；statements_ext_snomed</x:v>
      </x:c>
      <x:c r="L851" s="12"/>
      <x:c r="M851" s="12" t="str">
        <x:v>negative</x:v>
      </x:c>
      <x:c r="N851" s="12"/>
      <x:c r="O851" s="12" t="str">
        <x:v>negative</x:v>
      </x:c>
      <x:c r="P851" s="12" t="str">
        <x:f>IF(OR(M851="unavailable",O851="unavailable"),"不可评价",IF(OR(M851="equivocal",O851="equivocal"),"疑似",IF(AND(M851="positive",O851="positive"),"a",IF(O851="positive","b",IF(M851="positive","c","d")))))</x:f>
        <x:v>d</x:v>
      </x:c>
      <x:c r="Q851" s="12"/>
      <x:c r="R851" s="12" t="str">
        <x:v>negative</x:v>
      </x:c>
      <x:c r="S851" s="12"/>
      <x:c r="T851" s="12" t="str">
        <x:v>negative</x:v>
      </x:c>
      <x:c r="U851" s="12" t="str">
        <x:f>IF(OR(R851="unavailable",T851="unavailable"),"不可评价",IF(OR(R851="equivocal",T851="equivocal"),"疑似",IF(AND(R851="positive",T851="positive"),"a",IF(T851="positive","b",IF(R851="positive","c","d")))))</x:f>
        <x:v>d</x:v>
      </x:c>
      <x:c r="V851" s="12"/>
      <x:c r="W851" s="12" t="str">
        <x:v>negative</x:v>
      </x:c>
      <x:c r="X851" s="12"/>
      <x:c r="Y851" s="12" t="str">
        <x:v>negative</x:v>
      </x:c>
      <x:c r="Z851" s="12" t="str">
        <x:f>IF(OR(W851="unavailable",Y851="unavailable"),"不可评价",IF(OR(W851="equivocal",Y851="equivocal"),"疑似",IF(AND(W851="positive",Y851="positive"),"a",IF(Y851="positive","b",IF(W851="positive","c","d")))))</x:f>
        <x:v>d</x:v>
      </x:c>
      <x:c r="AA851" s="12" t="str">
        <x:f>IF(OR(M851="unavailable",O851="unavailable"),"不可评价",IF(AND(OR(M851="positive",M851="equivocal"),OR(O851="positive",O851="equivocal")),"a",IF(OR(O851="positive",O851="equivocal"),"b",IF(OR(M851="positive",M851="equivocal"),"c","d"))))</x:f>
        <x:v>d</x:v>
      </x:c>
      <x:c r="AB851" s="12" t="str">
        <x:f>IF(OR(M851="unavailable",O851="unavailable"),"不可评价",IF(AND(M851="positive",O851="positive"),"a",IF(O851="positive","b",IF(M851="positive","c","d"))))</x:f>
        <x:v>d</x:v>
      </x:c>
      <x:c r="AC851" s="12" t="str">
        <x:f>IF(OR(R851="unavailable",T851="unavailable"),"不可评价",IF(AND(OR(R851="positive",R851="equivocal"),OR(T851="positive",T851="equivocal")),"a",IF(OR(T851="positive",T851="equivocal"),"b",IF(OR(R851="positive",R851="equivocal"),"c","d"))))</x:f>
        <x:v>d</x:v>
      </x:c>
      <x:c r="AD851" s="12" t="str">
        <x:f>IF(OR(R851="unavailable",T851="unavailable"),"不可评价",IF(AND(R851="positive",T851="positive"),"a",IF(T851="positive","b",IF(R851="positive","c","d"))))</x:f>
        <x:v>d</x:v>
      </x:c>
      <x:c r="AE851" s="12" t="str">
        <x:f>IF(OR(W851="unavailable",Y851="unavailable"),"不可评价",IF(AND(OR(W851="positive",W851="equivocal"),OR(Y851="positive",Y851="equivocal")),"a",IF(OR(Y851="positive",Y851="equivocal"),"b",IF(OR(W851="positive",W851="equivocal"),"c","d"))))</x:f>
        <x:v>d</x:v>
      </x:c>
      <x:c r="AF851" s="12" t="str">
        <x:f>IF(OR(W851="unavailable",Y851="unavailable"),"不可评价",IF(AND(W851="positive",Y851="positive"),"a",IF(Y851="positive","b",IF(W851="positive","c","d"))))</x:f>
        <x:v>d</x:v>
      </x:c>
    </x:row>
    <x:row r="852" ht="24" customHeight="1">
      <x:c r="A852" s="12" t="str">
        <x:v>7363</x:v>
      </x:c>
      <x:c r="B852" s="12" t="str">
        <x:v>18113</x:v>
      </x:c>
      <x:c r="C852" s="21" t="n">
        <x:v>33566.51828703703</x:v>
      </x:c>
      <x:c r="D852" s="12" t="n">
        <x:v>63</x:v>
      </x:c>
      <x:c r="E852" s="12" t="n">
        <x:v>0</x:v>
      </x:c>
      <x:c r="F852" s="12" t="str">
        <x:v>未记录</x:v>
      </x:c>
      <x:c r="G852" s="12" t="n">
        <x:v>1</x:v>
      </x:c>
      <x:c r="H852" s="12" t="str">
        <x:v>{'NORM': 50.0, 'ABQRS': 0.0, 'SR': 0.0}</x:v>
      </x:c>
      <x:c r="I852" s="12" t="str">
        <x:v>[('NSR', 100.0), ('NML', 100.0)]</x:v>
      </x:c>
      <x:c r="J852" s="12" t="str">
        <x:v>ptbxl_database.csv；ecg_id=7363；scp_codes</x:v>
      </x:c>
      <x:c r="K852" s="12" t="str">
        <x:v>12sl_statements.csv；ecg_id=7363；statements_ext_snomed</x:v>
      </x:c>
      <x:c r="L852" s="12"/>
      <x:c r="M852" s="12" t="str">
        <x:v>negative</x:v>
      </x:c>
      <x:c r="N852" s="12"/>
      <x:c r="O852" s="12" t="str">
        <x:v>negative</x:v>
      </x:c>
      <x:c r="P852" s="12" t="str">
        <x:f>IF(OR(M852="unavailable",O852="unavailable"),"不可评价",IF(OR(M852="equivocal",O852="equivocal"),"疑似",IF(AND(M852="positive",O852="positive"),"a",IF(O852="positive","b",IF(M852="positive","c","d")))))</x:f>
        <x:v>d</x:v>
      </x:c>
      <x:c r="Q852" s="12"/>
      <x:c r="R852" s="12" t="str">
        <x:v>negative</x:v>
      </x:c>
      <x:c r="S852" s="12"/>
      <x:c r="T852" s="12" t="str">
        <x:v>negative</x:v>
      </x:c>
      <x:c r="U852" s="12" t="str">
        <x:f>IF(OR(R852="unavailable",T852="unavailable"),"不可评价",IF(OR(R852="equivocal",T852="equivocal"),"疑似",IF(AND(R852="positive",T852="positive"),"a",IF(T852="positive","b",IF(R852="positive","c","d")))))</x:f>
        <x:v>d</x:v>
      </x:c>
      <x:c r="V852" s="12"/>
      <x:c r="W852" s="12" t="str">
        <x:v>negative</x:v>
      </x:c>
      <x:c r="X852" s="12"/>
      <x:c r="Y852" s="12" t="str">
        <x:v>negative</x:v>
      </x:c>
      <x:c r="Z852" s="12" t="str">
        <x:f>IF(OR(W852="unavailable",Y852="unavailable"),"不可评价",IF(OR(W852="equivocal",Y852="equivocal"),"疑似",IF(AND(W852="positive",Y852="positive"),"a",IF(Y852="positive","b",IF(W852="positive","c","d")))))</x:f>
        <x:v>d</x:v>
      </x:c>
      <x:c r="AA852" s="12" t="str">
        <x:f>IF(OR(M852="unavailable",O852="unavailable"),"不可评价",IF(AND(OR(M852="positive",M852="equivocal"),OR(O852="positive",O852="equivocal")),"a",IF(OR(O852="positive",O852="equivocal"),"b",IF(OR(M852="positive",M852="equivocal"),"c","d"))))</x:f>
        <x:v>d</x:v>
      </x:c>
      <x:c r="AB852" s="12" t="str">
        <x:f>IF(OR(M852="unavailable",O852="unavailable"),"不可评价",IF(AND(M852="positive",O852="positive"),"a",IF(O852="positive","b",IF(M852="positive","c","d"))))</x:f>
        <x:v>d</x:v>
      </x:c>
      <x:c r="AC852" s="12" t="str">
        <x:f>IF(OR(R852="unavailable",T852="unavailable"),"不可评价",IF(AND(OR(R852="positive",R852="equivocal"),OR(T852="positive",T852="equivocal")),"a",IF(OR(T852="positive",T852="equivocal"),"b",IF(OR(R852="positive",R852="equivocal"),"c","d"))))</x:f>
        <x:v>d</x:v>
      </x:c>
      <x:c r="AD852" s="12" t="str">
        <x:f>IF(OR(R852="unavailable",T852="unavailable"),"不可评价",IF(AND(R852="positive",T852="positive"),"a",IF(T852="positive","b",IF(R852="positive","c","d"))))</x:f>
        <x:v>d</x:v>
      </x:c>
      <x:c r="AE852" s="12" t="str">
        <x:f>IF(OR(W852="unavailable",Y852="unavailable"),"不可评价",IF(AND(OR(W852="positive",W852="equivocal"),OR(Y852="positive",Y852="equivocal")),"a",IF(OR(Y852="positive",Y852="equivocal"),"b",IF(OR(W852="positive",W852="equivocal"),"c","d"))))</x:f>
        <x:v>d</x:v>
      </x:c>
      <x:c r="AF852" s="12" t="str">
        <x:f>IF(OR(W852="unavailable",Y852="unavailable"),"不可评价",IF(AND(W852="positive",Y852="positive"),"a",IF(Y852="positive","b",IF(W852="positive","c","d"))))</x:f>
        <x:v>d</x:v>
      </x:c>
    </x:row>
    <x:row r="853" ht="24" customHeight="1">
      <x:c r="A853" s="12" t="str">
        <x:v>7374</x:v>
      </x:c>
      <x:c r="B853" s="12" t="str">
        <x:v>19940</x:v>
      </x:c>
      <x:c r="C853" s="21" t="n">
        <x:v>33569.331724537034</x:v>
      </x:c>
      <x:c r="D853" s="12" t="n">
        <x:v>78</x:v>
      </x:c>
      <x:c r="E853" s="12" t="n">
        <x:v>1</x:v>
      </x:c>
      <x:c r="F853" s="12" t="str">
        <x:v>存在</x:v>
      </x:c>
      <x:c r="G853" s="12" t="n">
        <x:v>1</x:v>
      </x:c>
      <x:c r="H853" s="12" t="str">
        <x:v>{'ISCAL': 100.0, 'SBRAD': 0.0}</x:v>
      </x:c>
      <x:c r="I853" s="12" t="str">
        <x:v>[('SBRAD', 100.0), ('ST&amp;', 100.0), ('ILT', 100.0), ('AB', 100.0)]</x:v>
      </x:c>
      <x:c r="J853" s="12" t="str">
        <x:v>ptbxl_database.csv；ecg_id=7374；scp_codes</x:v>
      </x:c>
      <x:c r="K853" s="12" t="str">
        <x:v>12sl_statements.csv；ecg_id=7374；statements_ext_snomed</x:v>
      </x:c>
      <x:c r="L853" s="12"/>
      <x:c r="M853" s="12" t="str">
        <x:v>negative</x:v>
      </x:c>
      <x:c r="N853" s="12"/>
      <x:c r="O853" s="12" t="str">
        <x:v>negative</x:v>
      </x:c>
      <x:c r="P853" s="12" t="str">
        <x:f>IF(OR(M853="unavailable",O853="unavailable"),"不可评价",IF(OR(M853="equivocal",O853="equivocal"),"疑似",IF(AND(M853="positive",O853="positive"),"a",IF(O853="positive","b",IF(M853="positive","c","d")))))</x:f>
        <x:v>d</x:v>
      </x:c>
      <x:c r="Q853" s="12"/>
      <x:c r="R853" s="12" t="str">
        <x:v>negative</x:v>
      </x:c>
      <x:c r="S853" s="12"/>
      <x:c r="T853" s="12" t="str">
        <x:v>negative</x:v>
      </x:c>
      <x:c r="U853" s="12" t="str">
        <x:f>IF(OR(R853="unavailable",T853="unavailable"),"不可评价",IF(OR(R853="equivocal",T853="equivocal"),"疑似",IF(AND(R853="positive",T853="positive"),"a",IF(T853="positive","b",IF(R853="positive","c","d")))))</x:f>
        <x:v>d</x:v>
      </x:c>
      <x:c r="V853" s="12"/>
      <x:c r="W853" s="12" t="str">
        <x:v>negative</x:v>
      </x:c>
      <x:c r="X853" s="12"/>
      <x:c r="Y853" s="12" t="str">
        <x:v>negative</x:v>
      </x:c>
      <x:c r="Z853" s="12" t="str">
        <x:f>IF(OR(W853="unavailable",Y853="unavailable"),"不可评价",IF(OR(W853="equivocal",Y853="equivocal"),"疑似",IF(AND(W853="positive",Y853="positive"),"a",IF(Y853="positive","b",IF(W853="positive","c","d")))))</x:f>
        <x:v>d</x:v>
      </x:c>
      <x:c r="AA853" s="12" t="str">
        <x:f>IF(OR(M853="unavailable",O853="unavailable"),"不可评价",IF(AND(OR(M853="positive",M853="equivocal"),OR(O853="positive",O853="equivocal")),"a",IF(OR(O853="positive",O853="equivocal"),"b",IF(OR(M853="positive",M853="equivocal"),"c","d"))))</x:f>
        <x:v>d</x:v>
      </x:c>
      <x:c r="AB853" s="12" t="str">
        <x:f>IF(OR(M853="unavailable",O853="unavailable"),"不可评价",IF(AND(M853="positive",O853="positive"),"a",IF(O853="positive","b",IF(M853="positive","c","d"))))</x:f>
        <x:v>d</x:v>
      </x:c>
      <x:c r="AC853" s="12" t="str">
        <x:f>IF(OR(R853="unavailable",T853="unavailable"),"不可评价",IF(AND(OR(R853="positive",R853="equivocal"),OR(T853="positive",T853="equivocal")),"a",IF(OR(T853="positive",T853="equivocal"),"b",IF(OR(R853="positive",R853="equivocal"),"c","d"))))</x:f>
        <x:v>d</x:v>
      </x:c>
      <x:c r="AD853" s="12" t="str">
        <x:f>IF(OR(R853="unavailable",T853="unavailable"),"不可评价",IF(AND(R853="positive",T853="positive"),"a",IF(T853="positive","b",IF(R853="positive","c","d"))))</x:f>
        <x:v>d</x:v>
      </x:c>
      <x:c r="AE853" s="12" t="str">
        <x:f>IF(OR(W853="unavailable",Y853="unavailable"),"不可评价",IF(AND(OR(W853="positive",W853="equivocal"),OR(Y853="positive",Y853="equivocal")),"a",IF(OR(Y853="positive",Y853="equivocal"),"b",IF(OR(W853="positive",W853="equivocal"),"c","d"))))</x:f>
        <x:v>d</x:v>
      </x:c>
      <x:c r="AF853" s="12" t="str">
        <x:f>IF(OR(W853="unavailable",Y853="unavailable"),"不可评价",IF(AND(W853="positive",Y853="positive"),"a",IF(Y853="positive","b",IF(W853="positive","c","d"))))</x:f>
        <x:v>d</x:v>
      </x:c>
    </x:row>
    <x:row r="854" ht="24" customHeight="1">
      <x:c r="A854" s="12" t="str">
        <x:v>7376</x:v>
      </x:c>
      <x:c r="B854" s="12" t="str">
        <x:v>14109</x:v>
      </x:c>
      <x:c r="C854" s="21" t="n">
        <x:v>33569.439375</x:v>
      </x:c>
      <x:c r="D854" s="12" t="n">
        <x:v>20</x:v>
      </x:c>
      <x:c r="E854" s="12" t="n">
        <x:v>1</x:v>
      </x:c>
      <x:c r="F854" s="12" t="str">
        <x:v>存在</x:v>
      </x:c>
      <x:c r="G854" s="12" t="n">
        <x:v>1</x:v>
      </x:c>
      <x:c r="H854" s="12" t="str">
        <x:v>{'NORM': 100.0, 'SR': 0.0}</x:v>
      </x:c>
      <x:c r="I854" s="12" t="str">
        <x:v>[('SBRAD', 100.0), ('ABR', 100.0)]</x:v>
      </x:c>
      <x:c r="J854" s="12" t="str">
        <x:v>ptbxl_database.csv；ecg_id=7376；scp_codes</x:v>
      </x:c>
      <x:c r="K854" s="12" t="str">
        <x:v>12sl_statements.csv；ecg_id=7376；statements_ext_snomed</x:v>
      </x:c>
      <x:c r="L854" s="12"/>
      <x:c r="M854" s="12" t="str">
        <x:v>negative</x:v>
      </x:c>
      <x:c r="N854" s="12"/>
      <x:c r="O854" s="12" t="str">
        <x:v>negative</x:v>
      </x:c>
      <x:c r="P854" s="12" t="str">
        <x:f>IF(OR(M854="unavailable",O854="unavailable"),"不可评价",IF(OR(M854="equivocal",O854="equivocal"),"疑似",IF(AND(M854="positive",O854="positive"),"a",IF(O854="positive","b",IF(M854="positive","c","d")))))</x:f>
        <x:v>d</x:v>
      </x:c>
      <x:c r="Q854" s="12"/>
      <x:c r="R854" s="12" t="str">
        <x:v>negative</x:v>
      </x:c>
      <x:c r="S854" s="12"/>
      <x:c r="T854" s="12" t="str">
        <x:v>negative</x:v>
      </x:c>
      <x:c r="U854" s="12" t="str">
        <x:f>IF(OR(R854="unavailable",T854="unavailable"),"不可评价",IF(OR(R854="equivocal",T854="equivocal"),"疑似",IF(AND(R854="positive",T854="positive"),"a",IF(T854="positive","b",IF(R854="positive","c","d")))))</x:f>
        <x:v>d</x:v>
      </x:c>
      <x:c r="V854" s="12"/>
      <x:c r="W854" s="12" t="str">
        <x:v>negative</x:v>
      </x:c>
      <x:c r="X854" s="12"/>
      <x:c r="Y854" s="12" t="str">
        <x:v>negative</x:v>
      </x:c>
      <x:c r="Z854" s="12" t="str">
        <x:f>IF(OR(W854="unavailable",Y854="unavailable"),"不可评价",IF(OR(W854="equivocal",Y854="equivocal"),"疑似",IF(AND(W854="positive",Y854="positive"),"a",IF(Y854="positive","b",IF(W854="positive","c","d")))))</x:f>
        <x:v>d</x:v>
      </x:c>
      <x:c r="AA854" s="12" t="str">
        <x:f>IF(OR(M854="unavailable",O854="unavailable"),"不可评价",IF(AND(OR(M854="positive",M854="equivocal"),OR(O854="positive",O854="equivocal")),"a",IF(OR(O854="positive",O854="equivocal"),"b",IF(OR(M854="positive",M854="equivocal"),"c","d"))))</x:f>
        <x:v>d</x:v>
      </x:c>
      <x:c r="AB854" s="12" t="str">
        <x:f>IF(OR(M854="unavailable",O854="unavailable"),"不可评价",IF(AND(M854="positive",O854="positive"),"a",IF(O854="positive","b",IF(M854="positive","c","d"))))</x:f>
        <x:v>d</x:v>
      </x:c>
      <x:c r="AC854" s="12" t="str">
        <x:f>IF(OR(R854="unavailable",T854="unavailable"),"不可评价",IF(AND(OR(R854="positive",R854="equivocal"),OR(T854="positive",T854="equivocal")),"a",IF(OR(T854="positive",T854="equivocal"),"b",IF(OR(R854="positive",R854="equivocal"),"c","d"))))</x:f>
        <x:v>d</x:v>
      </x:c>
      <x:c r="AD854" s="12" t="str">
        <x:f>IF(OR(R854="unavailable",T854="unavailable"),"不可评价",IF(AND(R854="positive",T854="positive"),"a",IF(T854="positive","b",IF(R854="positive","c","d"))))</x:f>
        <x:v>d</x:v>
      </x:c>
      <x:c r="AE854" s="12" t="str">
        <x:f>IF(OR(W854="unavailable",Y854="unavailable"),"不可评价",IF(AND(OR(W854="positive",W854="equivocal"),OR(Y854="positive",Y854="equivocal")),"a",IF(OR(Y854="positive",Y854="equivocal"),"b",IF(OR(W854="positive",W854="equivocal"),"c","d"))))</x:f>
        <x:v>d</x:v>
      </x:c>
      <x:c r="AF854" s="12" t="str">
        <x:f>IF(OR(W854="unavailable",Y854="unavailable"),"不可评价",IF(AND(W854="positive",Y854="positive"),"a",IF(Y854="positive","b",IF(W854="positive","c","d"))))</x:f>
        <x:v>d</x:v>
      </x:c>
    </x:row>
    <x:row r="855" ht="24" customHeight="1">
      <x:c r="A855" s="12" t="str">
        <x:v>7438</x:v>
      </x:c>
      <x:c r="B855" s="12" t="str">
        <x:v>20683</x:v>
      </x:c>
      <x:c r="C855" s="21" t="n">
        <x:v>33582.29766203704</x:v>
      </x:c>
      <x:c r="D855" s="12" t="n">
        <x:v>86</x:v>
      </x:c>
      <x:c r="E855" s="12" t="n">
        <x:v>0</x:v>
      </x:c>
      <x:c r="F855" s="12" t="str">
        <x:v>存在</x:v>
      </x:c>
      <x:c r="G855" s="12" t="n">
        <x:v>0</x:v>
      </x:c>
      <x:c r="H855" s="12" t="str">
        <x:v>{'ISCLA': 100.0, 'AFIB': 0.0}</x:v>
      </x:c>
      <x:c r="I855" s="12" t="str">
        <x:v>[('AFIB', 100.0), ('RVR', 100.0), ('STDEP2', 100.0), ('NT', 100.0), ('AB', 100.0)]</x:v>
      </x:c>
      <x:c r="J855" s="12" t="str">
        <x:v>ptbxl_database.csv；ecg_id=7438；scp_codes</x:v>
      </x:c>
      <x:c r="K855" s="12" t="str">
        <x:v>12sl_statements.csv；ecg_id=7438；statements_ext_snomed</x:v>
      </x:c>
      <x:c r="L855" s="12" t="n">
        <x:v>0</x:v>
      </x:c>
      <x:c r="M855" s="12" t="str">
        <x:v>positive</x:v>
      </x:c>
      <x:c r="N855" s="12" t="n">
        <x:v>100</x:v>
      </x:c>
      <x:c r="O855" s="12" t="str">
        <x:v>positive</x:v>
      </x:c>
      <x:c r="P855" s="12" t="str">
        <x:f>IF(OR(M855="unavailable",O855="unavailable"),"不可评价",IF(OR(M855="equivocal",O855="equivocal"),"疑似",IF(AND(M855="positive",O855="positive"),"a",IF(O855="positive","b",IF(M855="positive","c","d")))))</x:f>
        <x:v>a</x:v>
      </x:c>
      <x:c r="Q855" s="12"/>
      <x:c r="R855" s="12" t="str">
        <x:v>negative</x:v>
      </x:c>
      <x:c r="S855" s="12"/>
      <x:c r="T855" s="12" t="str">
        <x:v>negative</x:v>
      </x:c>
      <x:c r="U855" s="12" t="str">
        <x:f>IF(OR(R855="unavailable",T855="unavailable"),"不可评价",IF(OR(R855="equivocal",T855="equivocal"),"疑似",IF(AND(R855="positive",T855="positive"),"a",IF(T855="positive","b",IF(R855="positive","c","d")))))</x:f>
        <x:v>d</x:v>
      </x:c>
      <x:c r="V855" s="12"/>
      <x:c r="W855" s="12" t="str">
        <x:v>negative</x:v>
      </x:c>
      <x:c r="X855" s="12"/>
      <x:c r="Y855" s="12" t="str">
        <x:v>negative</x:v>
      </x:c>
      <x:c r="Z855" s="12" t="str">
        <x:f>IF(OR(W855="unavailable",Y855="unavailable"),"不可评价",IF(OR(W855="equivocal",Y855="equivocal"),"疑似",IF(AND(W855="positive",Y855="positive"),"a",IF(Y855="positive","b",IF(W855="positive","c","d")))))</x:f>
        <x:v>d</x:v>
      </x:c>
      <x:c r="AA855" s="12" t="str">
        <x:f>IF(OR(M855="unavailable",O855="unavailable"),"不可评价",IF(AND(OR(M855="positive",M855="equivocal"),OR(O855="positive",O855="equivocal")),"a",IF(OR(O855="positive",O855="equivocal"),"b",IF(OR(M855="positive",M855="equivocal"),"c","d"))))</x:f>
        <x:v>a</x:v>
      </x:c>
      <x:c r="AB855" s="12" t="str">
        <x:f>IF(OR(M855="unavailable",O855="unavailable"),"不可评价",IF(AND(M855="positive",O855="positive"),"a",IF(O855="positive","b",IF(M855="positive","c","d"))))</x:f>
        <x:v>a</x:v>
      </x:c>
      <x:c r="AC855" s="12" t="str">
        <x:f>IF(OR(R855="unavailable",T855="unavailable"),"不可评价",IF(AND(OR(R855="positive",R855="equivocal"),OR(T855="positive",T855="equivocal")),"a",IF(OR(T855="positive",T855="equivocal"),"b",IF(OR(R855="positive",R855="equivocal"),"c","d"))))</x:f>
        <x:v>d</x:v>
      </x:c>
      <x:c r="AD855" s="12" t="str">
        <x:f>IF(OR(R855="unavailable",T855="unavailable"),"不可评价",IF(AND(R855="positive",T855="positive"),"a",IF(T855="positive","b",IF(R855="positive","c","d"))))</x:f>
        <x:v>d</x:v>
      </x:c>
      <x:c r="AE855" s="12" t="str">
        <x:f>IF(OR(W855="unavailable",Y855="unavailable"),"不可评价",IF(AND(OR(W855="positive",W855="equivocal"),OR(Y855="positive",Y855="equivocal")),"a",IF(OR(Y855="positive",Y855="equivocal"),"b",IF(OR(W855="positive",W855="equivocal"),"c","d"))))</x:f>
        <x:v>d</x:v>
      </x:c>
      <x:c r="AF855" s="12" t="str">
        <x:f>IF(OR(W855="unavailable",Y855="unavailable"),"不可评价",IF(AND(W855="positive",Y855="positive"),"a",IF(Y855="positive","b",IF(W855="positive","c","d"))))</x:f>
        <x:v>d</x:v>
      </x:c>
    </x:row>
    <x:row r="856" ht="24" customHeight="1">
      <x:c r="A856" s="12" t="str">
        <x:v>7443</x:v>
      </x:c>
      <x:c r="B856" s="12" t="str">
        <x:v>11898</x:v>
      </x:c>
      <x:c r="C856" s="21" t="n">
        <x:v>33583.3516087963</x:v>
      </x:c>
      <x:c r="D856" s="12" t="n">
        <x:v>65</x:v>
      </x:c>
      <x:c r="E856" s="12" t="n">
        <x:v>0</x:v>
      </x:c>
      <x:c r="F856" s="12" t="str">
        <x:v>未记录</x:v>
      </x:c>
      <x:c r="G856" s="12" t="n">
        <x:v>1</x:v>
      </x:c>
      <x:c r="H856" s="12" t="str">
        <x:v>{'NORM': 100.0, 'SR': 0.0}</x:v>
      </x:c>
      <x:c r="I856" s="12" t="str">
        <x:v>[('SBRAD', 100.0), ('IMI;AU', 100.0), ('AB', 100.0)]</x:v>
      </x:c>
      <x:c r="J856" s="12" t="str">
        <x:v>ptbxl_database.csv；ecg_id=7443；scp_codes</x:v>
      </x:c>
      <x:c r="K856" s="12" t="str">
        <x:v>12sl_statements.csv；ecg_id=7443；statements_ext_snomed</x:v>
      </x:c>
      <x:c r="L856" s="12"/>
      <x:c r="M856" s="12" t="str">
        <x:v>negative</x:v>
      </x:c>
      <x:c r="N856" s="12"/>
      <x:c r="O856" s="12" t="str">
        <x:v>negative</x:v>
      </x:c>
      <x:c r="P856" s="12" t="str">
        <x:f>IF(OR(M856="unavailable",O856="unavailable"),"不可评价",IF(OR(M856="equivocal",O856="equivocal"),"疑似",IF(AND(M856="positive",O856="positive"),"a",IF(O856="positive","b",IF(M856="positive","c","d")))))</x:f>
        <x:v>d</x:v>
      </x:c>
      <x:c r="Q856" s="12"/>
      <x:c r="R856" s="12" t="str">
        <x:v>negative</x:v>
      </x:c>
      <x:c r="S856" s="12"/>
      <x:c r="T856" s="12" t="str">
        <x:v>negative</x:v>
      </x:c>
      <x:c r="U856" s="12" t="str">
        <x:f>IF(OR(R856="unavailable",T856="unavailable"),"不可评价",IF(OR(R856="equivocal",T856="equivocal"),"疑似",IF(AND(R856="positive",T856="positive"),"a",IF(T856="positive","b",IF(R856="positive","c","d")))))</x:f>
        <x:v>d</x:v>
      </x:c>
      <x:c r="V856" s="12"/>
      <x:c r="W856" s="12" t="str">
        <x:v>negative</x:v>
      </x:c>
      <x:c r="X856" s="12"/>
      <x:c r="Y856" s="12" t="str">
        <x:v>negative</x:v>
      </x:c>
      <x:c r="Z856" s="12" t="str">
        <x:f>IF(OR(W856="unavailable",Y856="unavailable"),"不可评价",IF(OR(W856="equivocal",Y856="equivocal"),"疑似",IF(AND(W856="positive",Y856="positive"),"a",IF(Y856="positive","b",IF(W856="positive","c","d")))))</x:f>
        <x:v>d</x:v>
      </x:c>
      <x:c r="AA856" s="12" t="str">
        <x:f>IF(OR(M856="unavailable",O856="unavailable"),"不可评价",IF(AND(OR(M856="positive",M856="equivocal"),OR(O856="positive",O856="equivocal")),"a",IF(OR(O856="positive",O856="equivocal"),"b",IF(OR(M856="positive",M856="equivocal"),"c","d"))))</x:f>
        <x:v>d</x:v>
      </x:c>
      <x:c r="AB856" s="12" t="str">
        <x:f>IF(OR(M856="unavailable",O856="unavailable"),"不可评价",IF(AND(M856="positive",O856="positive"),"a",IF(O856="positive","b",IF(M856="positive","c","d"))))</x:f>
        <x:v>d</x:v>
      </x:c>
      <x:c r="AC856" s="12" t="str">
        <x:f>IF(OR(R856="unavailable",T856="unavailable"),"不可评价",IF(AND(OR(R856="positive",R856="equivocal"),OR(T856="positive",T856="equivocal")),"a",IF(OR(T856="positive",T856="equivocal"),"b",IF(OR(R856="positive",R856="equivocal"),"c","d"))))</x:f>
        <x:v>d</x:v>
      </x:c>
      <x:c r="AD856" s="12" t="str">
        <x:f>IF(OR(R856="unavailable",T856="unavailable"),"不可评价",IF(AND(R856="positive",T856="positive"),"a",IF(T856="positive","b",IF(R856="positive","c","d"))))</x:f>
        <x:v>d</x:v>
      </x:c>
      <x:c r="AE856" s="12" t="str">
        <x:f>IF(OR(W856="unavailable",Y856="unavailable"),"不可评价",IF(AND(OR(W856="positive",W856="equivocal"),OR(Y856="positive",Y856="equivocal")),"a",IF(OR(Y856="positive",Y856="equivocal"),"b",IF(OR(W856="positive",W856="equivocal"),"c","d"))))</x:f>
        <x:v>d</x:v>
      </x:c>
      <x:c r="AF856" s="12" t="str">
        <x:f>IF(OR(W856="unavailable",Y856="unavailable"),"不可评价",IF(AND(W856="positive",Y856="positive"),"a",IF(Y856="positive","b",IF(W856="positive","c","d"))))</x:f>
        <x:v>d</x:v>
      </x:c>
    </x:row>
    <x:row r="857" ht="24" customHeight="1">
      <x:c r="A857" s="12" t="str">
        <x:v>7445</x:v>
      </x:c>
      <x:c r="B857" s="12" t="str">
        <x:v>11898</x:v>
      </x:c>
      <x:c r="C857" s="21" t="n">
        <x:v>33583.37283564815</x:v>
      </x:c>
      <x:c r="D857" s="12" t="n">
        <x:v>65</x:v>
      </x:c>
      <x:c r="E857" s="12" t="n">
        <x:v>0</x:v>
      </x:c>
      <x:c r="F857" s="12" t="str">
        <x:v>未记录</x:v>
      </x:c>
      <x:c r="G857" s="12" t="n">
        <x:v>0</x:v>
      </x:c>
      <x:c r="H857" s="12" t="str">
        <x:v>{'PACE': 100.0}</x:v>
      </x:c>
      <x:c r="I857" s="12" t="str">
        <x:v>[('VPR', 100.0), ('AB', 100.0)]</x:v>
      </x:c>
      <x:c r="J857" s="12" t="str">
        <x:v>ptbxl_database.csv；ecg_id=7445；scp_codes</x:v>
      </x:c>
      <x:c r="K857" s="12" t="str">
        <x:v>12sl_statements.csv；ecg_id=7445；statements_ext_snomed</x:v>
      </x:c>
      <x:c r="L857" s="12"/>
      <x:c r="M857" s="12" t="str">
        <x:v>negative</x:v>
      </x:c>
      <x:c r="N857" s="12"/>
      <x:c r="O857" s="12" t="str">
        <x:v>negative</x:v>
      </x:c>
      <x:c r="P857" s="12" t="str">
        <x:f>IF(OR(M857="unavailable",O857="unavailable"),"不可评价",IF(OR(M857="equivocal",O857="equivocal"),"疑似",IF(AND(M857="positive",O857="positive"),"a",IF(O857="positive","b",IF(M857="positive","c","d")))))</x:f>
        <x:v>d</x:v>
      </x:c>
      <x:c r="Q857" s="12"/>
      <x:c r="R857" s="12" t="str">
        <x:v>negative</x:v>
      </x:c>
      <x:c r="S857" s="12"/>
      <x:c r="T857" s="12" t="str">
        <x:v>negative</x:v>
      </x:c>
      <x:c r="U857" s="12" t="str">
        <x:f>IF(OR(R857="unavailable",T857="unavailable"),"不可评价",IF(OR(R857="equivocal",T857="equivocal"),"疑似",IF(AND(R857="positive",T857="positive"),"a",IF(T857="positive","b",IF(R857="positive","c","d")))))</x:f>
        <x:v>d</x:v>
      </x:c>
      <x:c r="V857" s="12"/>
      <x:c r="W857" s="12" t="str">
        <x:v>negative</x:v>
      </x:c>
      <x:c r="X857" s="12"/>
      <x:c r="Y857" s="12" t="str">
        <x:v>negative</x:v>
      </x:c>
      <x:c r="Z857" s="12" t="str">
        <x:f>IF(OR(W857="unavailable",Y857="unavailable"),"不可评价",IF(OR(W857="equivocal",Y857="equivocal"),"疑似",IF(AND(W857="positive",Y857="positive"),"a",IF(Y857="positive","b",IF(W857="positive","c","d")))))</x:f>
        <x:v>d</x:v>
      </x:c>
      <x:c r="AA857" s="12" t="str">
        <x:f>IF(OR(M857="unavailable",O857="unavailable"),"不可评价",IF(AND(OR(M857="positive",M857="equivocal"),OR(O857="positive",O857="equivocal")),"a",IF(OR(O857="positive",O857="equivocal"),"b",IF(OR(M857="positive",M857="equivocal"),"c","d"))))</x:f>
        <x:v>d</x:v>
      </x:c>
      <x:c r="AB857" s="12" t="str">
        <x:f>IF(OR(M857="unavailable",O857="unavailable"),"不可评价",IF(AND(M857="positive",O857="positive"),"a",IF(O857="positive","b",IF(M857="positive","c","d"))))</x:f>
        <x:v>d</x:v>
      </x:c>
      <x:c r="AC857" s="12" t="str">
        <x:f>IF(OR(R857="unavailable",T857="unavailable"),"不可评价",IF(AND(OR(R857="positive",R857="equivocal"),OR(T857="positive",T857="equivocal")),"a",IF(OR(T857="positive",T857="equivocal"),"b",IF(OR(R857="positive",R857="equivocal"),"c","d"))))</x:f>
        <x:v>d</x:v>
      </x:c>
      <x:c r="AD857" s="12" t="str">
        <x:f>IF(OR(R857="unavailable",T857="unavailable"),"不可评价",IF(AND(R857="positive",T857="positive"),"a",IF(T857="positive","b",IF(R857="positive","c","d"))))</x:f>
        <x:v>d</x:v>
      </x:c>
      <x:c r="AE857" s="12" t="str">
        <x:f>IF(OR(W857="unavailable",Y857="unavailable"),"不可评价",IF(AND(OR(W857="positive",W857="equivocal"),OR(Y857="positive",Y857="equivocal")),"a",IF(OR(Y857="positive",Y857="equivocal"),"b",IF(OR(W857="positive",W857="equivocal"),"c","d"))))</x:f>
        <x:v>d</x:v>
      </x:c>
      <x:c r="AF857" s="12" t="str">
        <x:f>IF(OR(W857="unavailable",Y857="unavailable"),"不可评价",IF(AND(W857="positive",Y857="positive"),"a",IF(Y857="positive","b",IF(W857="positive","c","d"))))</x:f>
        <x:v>d</x:v>
      </x:c>
    </x:row>
    <x:row r="858" ht="24" customHeight="1">
      <x:c r="A858" s="12" t="str">
        <x:v>7471</x:v>
      </x:c>
      <x:c r="B858" s="12" t="str">
        <x:v>12853</x:v>
      </x:c>
      <x:c r="C858" s="21" t="n">
        <x:v>33586.65380787037</x:v>
      </x:c>
      <x:c r="D858" s="12" t="n">
        <x:v>57</x:v>
      </x:c>
      <x:c r="E858" s="12" t="n">
        <x:v>0</x:v>
      </x:c>
      <x:c r="F858" s="12" t="str">
        <x:v>未记录</x:v>
      </x:c>
      <x:c r="G858" s="12" t="n">
        <x:v>0</x:v>
      </x:c>
      <x:c r="H858" s="12" t="str">
        <x:v>{'ASMI': 100.0, 'ANEUR': 50.0, 'ABQRS': 0.0, 'SR': 0.0}</x:v>
      </x:c>
      <x:c r="I858" s="12" t="str">
        <x:v>[('SBRAD', 100.0), ('AMI;AU', 100.0), ('AB', 100.0)]</x:v>
      </x:c>
      <x:c r="J858" s="12" t="str">
        <x:v>ptbxl_database.csv；ecg_id=7471；scp_codes</x:v>
      </x:c>
      <x:c r="K858" s="12" t="str">
        <x:v>12sl_statements.csv；ecg_id=7471；statements_ext_snomed</x:v>
      </x:c>
      <x:c r="L858" s="12"/>
      <x:c r="M858" s="12" t="str">
        <x:v>negative</x:v>
      </x:c>
      <x:c r="N858" s="12"/>
      <x:c r="O858" s="12" t="str">
        <x:v>negative</x:v>
      </x:c>
      <x:c r="P858" s="12" t="str">
        <x:f>IF(OR(M858="unavailable",O858="unavailable"),"不可评价",IF(OR(M858="equivocal",O858="equivocal"),"疑似",IF(AND(M858="positive",O858="positive"),"a",IF(O858="positive","b",IF(M858="positive","c","d")))))</x:f>
        <x:v>d</x:v>
      </x:c>
      <x:c r="Q858" s="12"/>
      <x:c r="R858" s="12" t="str">
        <x:v>negative</x:v>
      </x:c>
      <x:c r="S858" s="12"/>
      <x:c r="T858" s="12" t="str">
        <x:v>negative</x:v>
      </x:c>
      <x:c r="U858" s="12" t="str">
        <x:f>IF(OR(R858="unavailable",T858="unavailable"),"不可评价",IF(OR(R858="equivocal",T858="equivocal"),"疑似",IF(AND(R858="positive",T858="positive"),"a",IF(T858="positive","b",IF(R858="positive","c","d")))))</x:f>
        <x:v>d</x:v>
      </x:c>
      <x:c r="V858" s="12"/>
      <x:c r="W858" s="12" t="str">
        <x:v>negative</x:v>
      </x:c>
      <x:c r="X858" s="12"/>
      <x:c r="Y858" s="12" t="str">
        <x:v>negative</x:v>
      </x:c>
      <x:c r="Z858" s="12" t="str">
        <x:f>IF(OR(W858="unavailable",Y858="unavailable"),"不可评价",IF(OR(W858="equivocal",Y858="equivocal"),"疑似",IF(AND(W858="positive",Y858="positive"),"a",IF(Y858="positive","b",IF(W858="positive","c","d")))))</x:f>
        <x:v>d</x:v>
      </x:c>
      <x:c r="AA858" s="12" t="str">
        <x:f>IF(OR(M858="unavailable",O858="unavailable"),"不可评价",IF(AND(OR(M858="positive",M858="equivocal"),OR(O858="positive",O858="equivocal")),"a",IF(OR(O858="positive",O858="equivocal"),"b",IF(OR(M858="positive",M858="equivocal"),"c","d"))))</x:f>
        <x:v>d</x:v>
      </x:c>
      <x:c r="AB858" s="12" t="str">
        <x:f>IF(OR(M858="unavailable",O858="unavailable"),"不可评价",IF(AND(M858="positive",O858="positive"),"a",IF(O858="positive","b",IF(M858="positive","c","d"))))</x:f>
        <x:v>d</x:v>
      </x:c>
      <x:c r="AC858" s="12" t="str">
        <x:f>IF(OR(R858="unavailable",T858="unavailable"),"不可评价",IF(AND(OR(R858="positive",R858="equivocal"),OR(T858="positive",T858="equivocal")),"a",IF(OR(T858="positive",T858="equivocal"),"b",IF(OR(R858="positive",R858="equivocal"),"c","d"))))</x:f>
        <x:v>d</x:v>
      </x:c>
      <x:c r="AD858" s="12" t="str">
        <x:f>IF(OR(R858="unavailable",T858="unavailable"),"不可评价",IF(AND(R858="positive",T858="positive"),"a",IF(T858="positive","b",IF(R858="positive","c","d"))))</x:f>
        <x:v>d</x:v>
      </x:c>
      <x:c r="AE858" s="12" t="str">
        <x:f>IF(OR(W858="unavailable",Y858="unavailable"),"不可评价",IF(AND(OR(W858="positive",W858="equivocal"),OR(Y858="positive",Y858="equivocal")),"a",IF(OR(Y858="positive",Y858="equivocal"),"b",IF(OR(W858="positive",W858="equivocal"),"c","d"))))</x:f>
        <x:v>d</x:v>
      </x:c>
      <x:c r="AF858" s="12" t="str">
        <x:f>IF(OR(W858="unavailable",Y858="unavailable"),"不可评价",IF(AND(W858="positive",Y858="positive"),"a",IF(Y858="positive","b",IF(W858="positive","c","d"))))</x:f>
        <x:v>d</x:v>
      </x:c>
    </x:row>
    <x:row r="859" ht="24" customHeight="1">
      <x:c r="A859" s="12" t="str">
        <x:v>7491</x:v>
      </x:c>
      <x:c r="B859" s="12" t="str">
        <x:v>19800</x:v>
      </x:c>
      <x:c r="C859" s="21" t="n">
        <x:v>33590.568819444445</x:v>
      </x:c>
      <x:c r="D859" s="12" t="n">
        <x:v>19</x:v>
      </x:c>
      <x:c r="E859" s="12" t="n">
        <x:v>1</x:v>
      </x:c>
      <x:c r="F859" s="12" t="str">
        <x:v>存在</x:v>
      </x:c>
      <x:c r="G859" s="12" t="n">
        <x:v>1</x:v>
      </x:c>
      <x:c r="H859" s="12" t="str">
        <x:v>{'NORM': 100.0, 'SR': 0.0}</x:v>
      </x:c>
      <x:c r="I859" s="12" t="str">
        <x:v>[('SBRAD', 100.0), ('SAR', 100.0), ('ABR', 100.0)]</x:v>
      </x:c>
      <x:c r="J859" s="12" t="str">
        <x:v>ptbxl_database.csv；ecg_id=7491；scp_codes</x:v>
      </x:c>
      <x:c r="K859" s="12" t="str">
        <x:v>12sl_statements.csv；ecg_id=7491；statements_ext_snomed</x:v>
      </x:c>
      <x:c r="L859" s="12"/>
      <x:c r="M859" s="12" t="str">
        <x:v>negative</x:v>
      </x:c>
      <x:c r="N859" s="12"/>
      <x:c r="O859" s="12" t="str">
        <x:v>negative</x:v>
      </x:c>
      <x:c r="P859" s="12" t="str">
        <x:f>IF(OR(M859="unavailable",O859="unavailable"),"不可评价",IF(OR(M859="equivocal",O859="equivocal"),"疑似",IF(AND(M859="positive",O859="positive"),"a",IF(O859="positive","b",IF(M859="positive","c","d")))))</x:f>
        <x:v>d</x:v>
      </x:c>
      <x:c r="Q859" s="12"/>
      <x:c r="R859" s="12" t="str">
        <x:v>negative</x:v>
      </x:c>
      <x:c r="S859" s="12"/>
      <x:c r="T859" s="12" t="str">
        <x:v>negative</x:v>
      </x:c>
      <x:c r="U859" s="12" t="str">
        <x:f>IF(OR(R859="unavailable",T859="unavailable"),"不可评价",IF(OR(R859="equivocal",T859="equivocal"),"疑似",IF(AND(R859="positive",T859="positive"),"a",IF(T859="positive","b",IF(R859="positive","c","d")))))</x:f>
        <x:v>d</x:v>
      </x:c>
      <x:c r="V859" s="12"/>
      <x:c r="W859" s="12" t="str">
        <x:v>negative</x:v>
      </x:c>
      <x:c r="X859" s="12"/>
      <x:c r="Y859" s="12" t="str">
        <x:v>negative</x:v>
      </x:c>
      <x:c r="Z859" s="12" t="str">
        <x:f>IF(OR(W859="unavailable",Y859="unavailable"),"不可评价",IF(OR(W859="equivocal",Y859="equivocal"),"疑似",IF(AND(W859="positive",Y859="positive"),"a",IF(Y859="positive","b",IF(W859="positive","c","d")))))</x:f>
        <x:v>d</x:v>
      </x:c>
      <x:c r="AA859" s="12" t="str">
        <x:f>IF(OR(M859="unavailable",O859="unavailable"),"不可评价",IF(AND(OR(M859="positive",M859="equivocal"),OR(O859="positive",O859="equivocal")),"a",IF(OR(O859="positive",O859="equivocal"),"b",IF(OR(M859="positive",M859="equivocal"),"c","d"))))</x:f>
        <x:v>d</x:v>
      </x:c>
      <x:c r="AB859" s="12" t="str">
        <x:f>IF(OR(M859="unavailable",O859="unavailable"),"不可评价",IF(AND(M859="positive",O859="positive"),"a",IF(O859="positive","b",IF(M859="positive","c","d"))))</x:f>
        <x:v>d</x:v>
      </x:c>
      <x:c r="AC859" s="12" t="str">
        <x:f>IF(OR(R859="unavailable",T859="unavailable"),"不可评价",IF(AND(OR(R859="positive",R859="equivocal"),OR(T859="positive",T859="equivocal")),"a",IF(OR(T859="positive",T859="equivocal"),"b",IF(OR(R859="positive",R859="equivocal"),"c","d"))))</x:f>
        <x:v>d</x:v>
      </x:c>
      <x:c r="AD859" s="12" t="str">
        <x:f>IF(OR(R859="unavailable",T859="unavailable"),"不可评价",IF(AND(R859="positive",T859="positive"),"a",IF(T859="positive","b",IF(R859="positive","c","d"))))</x:f>
        <x:v>d</x:v>
      </x:c>
      <x:c r="AE859" s="12" t="str">
        <x:f>IF(OR(W859="unavailable",Y859="unavailable"),"不可评价",IF(AND(OR(W859="positive",W859="equivocal"),OR(Y859="positive",Y859="equivocal")),"a",IF(OR(Y859="positive",Y859="equivocal"),"b",IF(OR(W859="positive",W859="equivocal"),"c","d"))))</x:f>
        <x:v>d</x:v>
      </x:c>
      <x:c r="AF859" s="12" t="str">
        <x:f>IF(OR(W859="unavailable",Y859="unavailable"),"不可评价",IF(AND(W859="positive",Y859="positive"),"a",IF(Y859="positive","b",IF(W859="positive","c","d"))))</x:f>
        <x:v>d</x:v>
      </x:c>
    </x:row>
    <x:row r="860" ht="24" customHeight="1">
      <x:c r="A860" s="12" t="str">
        <x:v>7529</x:v>
      </x:c>
      <x:c r="B860" s="12" t="str">
        <x:v>10643</x:v>
      </x:c>
      <x:c r="C860" s="21" t="n">
        <x:v>33603.39078703704</x:v>
      </x:c>
      <x:c r="D860" s="12" t="n">
        <x:v>77</x:v>
      </x:c>
      <x:c r="E860" s="12" t="n">
        <x:v>1</x:v>
      </x:c>
      <x:c r="F860" s="12" t="str">
        <x:v>未记录</x:v>
      </x:c>
      <x:c r="G860" s="12" t="n">
        <x:v>0</x:v>
      </x:c>
      <x:c r="H860" s="12" t="str">
        <x:v>{'IMI': 50.0, 'LVH': 100.0, 'ISC_': 100.0, 'STACH': 0.0}</x:v>
      </x:c>
      <x:c r="I860" s="12" t="str">
        <x:v>[('STACH', 100.0), ('IMI;AU', 100.0), ('AB', 100.0)]</x:v>
      </x:c>
      <x:c r="J860" s="12" t="str">
        <x:v>ptbxl_database.csv；ecg_id=7529；scp_codes</x:v>
      </x:c>
      <x:c r="K860" s="12" t="str">
        <x:v>12sl_statements.csv；ecg_id=7529；statements_ext_snomed</x:v>
      </x:c>
      <x:c r="L860" s="12"/>
      <x:c r="M860" s="12" t="str">
        <x:v>negative</x:v>
      </x:c>
      <x:c r="N860" s="12"/>
      <x:c r="O860" s="12" t="str">
        <x:v>negative</x:v>
      </x:c>
      <x:c r="P860" s="12" t="str">
        <x:f>IF(OR(M860="unavailable",O860="unavailable"),"不可评价",IF(OR(M860="equivocal",O860="equivocal"),"疑似",IF(AND(M860="positive",O860="positive"),"a",IF(O860="positive","b",IF(M860="positive","c","d")))))</x:f>
        <x:v>d</x:v>
      </x:c>
      <x:c r="Q860" s="12"/>
      <x:c r="R860" s="12" t="str">
        <x:v>negative</x:v>
      </x:c>
      <x:c r="S860" s="12"/>
      <x:c r="T860" s="12" t="str">
        <x:v>negative</x:v>
      </x:c>
      <x:c r="U860" s="12" t="str">
        <x:f>IF(OR(R860="unavailable",T860="unavailable"),"不可评价",IF(OR(R860="equivocal",T860="equivocal"),"疑似",IF(AND(R860="positive",T860="positive"),"a",IF(T860="positive","b",IF(R860="positive","c","d")))))</x:f>
        <x:v>d</x:v>
      </x:c>
      <x:c r="V860" s="12"/>
      <x:c r="W860" s="12" t="str">
        <x:v>negative</x:v>
      </x:c>
      <x:c r="X860" s="12"/>
      <x:c r="Y860" s="12" t="str">
        <x:v>negative</x:v>
      </x:c>
      <x:c r="Z860" s="12" t="str">
        <x:f>IF(OR(W860="unavailable",Y860="unavailable"),"不可评价",IF(OR(W860="equivocal",Y860="equivocal"),"疑似",IF(AND(W860="positive",Y860="positive"),"a",IF(Y860="positive","b",IF(W860="positive","c","d")))))</x:f>
        <x:v>d</x:v>
      </x:c>
      <x:c r="AA860" s="12" t="str">
        <x:f>IF(OR(M860="unavailable",O860="unavailable"),"不可评价",IF(AND(OR(M860="positive",M860="equivocal"),OR(O860="positive",O860="equivocal")),"a",IF(OR(O860="positive",O860="equivocal"),"b",IF(OR(M860="positive",M860="equivocal"),"c","d"))))</x:f>
        <x:v>d</x:v>
      </x:c>
      <x:c r="AB860" s="12" t="str">
        <x:f>IF(OR(M860="unavailable",O860="unavailable"),"不可评价",IF(AND(M860="positive",O860="positive"),"a",IF(O860="positive","b",IF(M860="positive","c","d"))))</x:f>
        <x:v>d</x:v>
      </x:c>
      <x:c r="AC860" s="12" t="str">
        <x:f>IF(OR(R860="unavailable",T860="unavailable"),"不可评价",IF(AND(OR(R860="positive",R860="equivocal"),OR(T860="positive",T860="equivocal")),"a",IF(OR(T860="positive",T860="equivocal"),"b",IF(OR(R860="positive",R860="equivocal"),"c","d"))))</x:f>
        <x:v>d</x:v>
      </x:c>
      <x:c r="AD860" s="12" t="str">
        <x:f>IF(OR(R860="unavailable",T860="unavailable"),"不可评价",IF(AND(R860="positive",T860="positive"),"a",IF(T860="positive","b",IF(R860="positive","c","d"))))</x:f>
        <x:v>d</x:v>
      </x:c>
      <x:c r="AE860" s="12" t="str">
        <x:f>IF(OR(W860="unavailable",Y860="unavailable"),"不可评价",IF(AND(OR(W860="positive",W860="equivocal"),OR(Y860="positive",Y860="equivocal")),"a",IF(OR(Y860="positive",Y860="equivocal"),"b",IF(OR(W860="positive",W860="equivocal"),"c","d"))))</x:f>
        <x:v>d</x:v>
      </x:c>
      <x:c r="AF860" s="12" t="str">
        <x:f>IF(OR(W860="unavailable",Y860="unavailable"),"不可评价",IF(AND(W860="positive",Y860="positive"),"a",IF(Y860="positive","b",IF(W860="positive","c","d"))))</x:f>
        <x:v>d</x:v>
      </x:c>
    </x:row>
    <x:row r="861" ht="24" customHeight="1">
      <x:c r="A861" s="12" t="str">
        <x:v>7530</x:v>
      </x:c>
      <x:c r="B861" s="12" t="str">
        <x:v>11293</x:v>
      </x:c>
      <x:c r="C861" s="21" t="n">
        <x:v>33603.44913194444</x:v>
      </x:c>
      <x:c r="D861" s="12" t="n">
        <x:v>74</x:v>
      </x:c>
      <x:c r="E861" s="12" t="n">
        <x:v>1</x:v>
      </x:c>
      <x:c r="F861" s="12" t="str">
        <x:v>未记录</x:v>
      </x:c>
      <x:c r="G861" s="12" t="n">
        <x:v>0</x:v>
      </x:c>
      <x:c r="H861" s="12" t="str">
        <x:v>{'NORM': 100.0, 'SR': 0.0}</x:v>
      </x:c>
      <x:c r="I861" s="12" t="str">
        <x:v>[('NSR', 100.0), ('NML', 100.0)]</x:v>
      </x:c>
      <x:c r="J861" s="12" t="str">
        <x:v>ptbxl_database.csv；ecg_id=7530；scp_codes</x:v>
      </x:c>
      <x:c r="K861" s="12" t="str">
        <x:v>12sl_statements.csv；ecg_id=7530；statements_ext_snomed</x:v>
      </x:c>
      <x:c r="L861" s="12"/>
      <x:c r="M861" s="12" t="str">
        <x:v>negative</x:v>
      </x:c>
      <x:c r="N861" s="12"/>
      <x:c r="O861" s="12" t="str">
        <x:v>negative</x:v>
      </x:c>
      <x:c r="P861" s="12" t="str">
        <x:f>IF(OR(M861="unavailable",O861="unavailable"),"不可评价",IF(OR(M861="equivocal",O861="equivocal"),"疑似",IF(AND(M861="positive",O861="positive"),"a",IF(O861="positive","b",IF(M861="positive","c","d")))))</x:f>
        <x:v>d</x:v>
      </x:c>
      <x:c r="Q861" s="12"/>
      <x:c r="R861" s="12" t="str">
        <x:v>negative</x:v>
      </x:c>
      <x:c r="S861" s="12"/>
      <x:c r="T861" s="12" t="str">
        <x:v>negative</x:v>
      </x:c>
      <x:c r="U861" s="12" t="str">
        <x:f>IF(OR(R861="unavailable",T861="unavailable"),"不可评价",IF(OR(R861="equivocal",T861="equivocal"),"疑似",IF(AND(R861="positive",T861="positive"),"a",IF(T861="positive","b",IF(R861="positive","c","d")))))</x:f>
        <x:v>d</x:v>
      </x:c>
      <x:c r="V861" s="12"/>
      <x:c r="W861" s="12" t="str">
        <x:v>negative</x:v>
      </x:c>
      <x:c r="X861" s="12"/>
      <x:c r="Y861" s="12" t="str">
        <x:v>negative</x:v>
      </x:c>
      <x:c r="Z861" s="12" t="str">
        <x:f>IF(OR(W861="unavailable",Y861="unavailable"),"不可评价",IF(OR(W861="equivocal",Y861="equivocal"),"疑似",IF(AND(W861="positive",Y861="positive"),"a",IF(Y861="positive","b",IF(W861="positive","c","d")))))</x:f>
        <x:v>d</x:v>
      </x:c>
      <x:c r="AA861" s="12" t="str">
        <x:f>IF(OR(M861="unavailable",O861="unavailable"),"不可评价",IF(AND(OR(M861="positive",M861="equivocal"),OR(O861="positive",O861="equivocal")),"a",IF(OR(O861="positive",O861="equivocal"),"b",IF(OR(M861="positive",M861="equivocal"),"c","d"))))</x:f>
        <x:v>d</x:v>
      </x:c>
      <x:c r="AB861" s="12" t="str">
        <x:f>IF(OR(M861="unavailable",O861="unavailable"),"不可评价",IF(AND(M861="positive",O861="positive"),"a",IF(O861="positive","b",IF(M861="positive","c","d"))))</x:f>
        <x:v>d</x:v>
      </x:c>
      <x:c r="AC861" s="12" t="str">
        <x:f>IF(OR(R861="unavailable",T861="unavailable"),"不可评价",IF(AND(OR(R861="positive",R861="equivocal"),OR(T861="positive",T861="equivocal")),"a",IF(OR(T861="positive",T861="equivocal"),"b",IF(OR(R861="positive",R861="equivocal"),"c","d"))))</x:f>
        <x:v>d</x:v>
      </x:c>
      <x:c r="AD861" s="12" t="str">
        <x:f>IF(OR(R861="unavailable",T861="unavailable"),"不可评价",IF(AND(R861="positive",T861="positive"),"a",IF(T861="positive","b",IF(R861="positive","c","d"))))</x:f>
        <x:v>d</x:v>
      </x:c>
      <x:c r="AE861" s="12" t="str">
        <x:f>IF(OR(W861="unavailable",Y861="unavailable"),"不可评价",IF(AND(OR(W861="positive",W861="equivocal"),OR(Y861="positive",Y861="equivocal")),"a",IF(OR(Y861="positive",Y861="equivocal"),"b",IF(OR(W861="positive",W861="equivocal"),"c","d"))))</x:f>
        <x:v>d</x:v>
      </x:c>
      <x:c r="AF861" s="12" t="str">
        <x:f>IF(OR(W861="unavailable",Y861="unavailable"),"不可评价",IF(AND(W861="positive",Y861="positive"),"a",IF(Y861="positive","b",IF(W861="positive","c","d"))))</x:f>
        <x:v>d</x:v>
      </x:c>
    </x:row>
    <x:row r="862" ht="24" customHeight="1">
      <x:c r="A862" s="12" t="str">
        <x:v>7534</x:v>
      </x:c>
      <x:c r="B862" s="12" t="str">
        <x:v>15029</x:v>
      </x:c>
      <x:c r="C862" s="21" t="n">
        <x:v>33605.97855324074</x:v>
      </x:c>
      <x:c r="D862" s="12" t="n">
        <x:v>84</x:v>
      </x:c>
      <x:c r="E862" s="12" t="n">
        <x:v>1</x:v>
      </x:c>
      <x:c r="F862" s="12" t="str">
        <x:v>存在</x:v>
      </x:c>
      <x:c r="G862" s="12" t="n">
        <x:v>1</x:v>
      </x:c>
      <x:c r="H862" s="12" t="str">
        <x:v>{'ISCAL': 50.0, 'AFIB': 0.0}</x:v>
      </x:c>
      <x:c r="I862" s="12" t="str">
        <x:v>[('AFIB', 100.0), ('RVR', 100.0), ('NSTT', 100.0), ('AB', 100.0)]</x:v>
      </x:c>
      <x:c r="J862" s="12" t="str">
        <x:v>ptbxl_database.csv；ecg_id=7534；scp_codes</x:v>
      </x:c>
      <x:c r="K862" s="12" t="str">
        <x:v>12sl_statements.csv；ecg_id=7534；statements_ext_snomed</x:v>
      </x:c>
      <x:c r="L862" s="12" t="n">
        <x:v>0</x:v>
      </x:c>
      <x:c r="M862" s="12" t="str">
        <x:v>positive</x:v>
      </x:c>
      <x:c r="N862" s="12" t="n">
        <x:v>100</x:v>
      </x:c>
      <x:c r="O862" s="12" t="str">
        <x:v>positive</x:v>
      </x:c>
      <x:c r="P862" s="12" t="str">
        <x:f>IF(OR(M862="unavailable",O862="unavailable"),"不可评价",IF(OR(M862="equivocal",O862="equivocal"),"疑似",IF(AND(M862="positive",O862="positive"),"a",IF(O862="positive","b",IF(M862="positive","c","d")))))</x:f>
        <x:v>a</x:v>
      </x:c>
      <x:c r="Q862" s="12"/>
      <x:c r="R862" s="12" t="str">
        <x:v>negative</x:v>
      </x:c>
      <x:c r="S862" s="12"/>
      <x:c r="T862" s="12" t="str">
        <x:v>negative</x:v>
      </x:c>
      <x:c r="U862" s="12" t="str">
        <x:f>IF(OR(R862="unavailable",T862="unavailable"),"不可评价",IF(OR(R862="equivocal",T862="equivocal"),"疑似",IF(AND(R862="positive",T862="positive"),"a",IF(T862="positive","b",IF(R862="positive","c","d")))))</x:f>
        <x:v>d</x:v>
      </x:c>
      <x:c r="V862" s="12"/>
      <x:c r="W862" s="12" t="str">
        <x:v>negative</x:v>
      </x:c>
      <x:c r="X862" s="12"/>
      <x:c r="Y862" s="12" t="str">
        <x:v>negative</x:v>
      </x:c>
      <x:c r="Z862" s="12" t="str">
        <x:f>IF(OR(W862="unavailable",Y862="unavailable"),"不可评价",IF(OR(W862="equivocal",Y862="equivocal"),"疑似",IF(AND(W862="positive",Y862="positive"),"a",IF(Y862="positive","b",IF(W862="positive","c","d")))))</x:f>
        <x:v>d</x:v>
      </x:c>
      <x:c r="AA862" s="12" t="str">
        <x:f>IF(OR(M862="unavailable",O862="unavailable"),"不可评价",IF(AND(OR(M862="positive",M862="equivocal"),OR(O862="positive",O862="equivocal")),"a",IF(OR(O862="positive",O862="equivocal"),"b",IF(OR(M862="positive",M862="equivocal"),"c","d"))))</x:f>
        <x:v>a</x:v>
      </x:c>
      <x:c r="AB862" s="12" t="str">
        <x:f>IF(OR(M862="unavailable",O862="unavailable"),"不可评价",IF(AND(M862="positive",O862="positive"),"a",IF(O862="positive","b",IF(M862="positive","c","d"))))</x:f>
        <x:v>a</x:v>
      </x:c>
      <x:c r="AC862" s="12" t="str">
        <x:f>IF(OR(R862="unavailable",T862="unavailable"),"不可评价",IF(AND(OR(R862="positive",R862="equivocal"),OR(T862="positive",T862="equivocal")),"a",IF(OR(T862="positive",T862="equivocal"),"b",IF(OR(R862="positive",R862="equivocal"),"c","d"))))</x:f>
        <x:v>d</x:v>
      </x:c>
      <x:c r="AD862" s="12" t="str">
        <x:f>IF(OR(R862="unavailable",T862="unavailable"),"不可评价",IF(AND(R862="positive",T862="positive"),"a",IF(T862="positive","b",IF(R862="positive","c","d"))))</x:f>
        <x:v>d</x:v>
      </x:c>
      <x:c r="AE862" s="12" t="str">
        <x:f>IF(OR(W862="unavailable",Y862="unavailable"),"不可评价",IF(AND(OR(W862="positive",W862="equivocal"),OR(Y862="positive",Y862="equivocal")),"a",IF(OR(Y862="positive",Y862="equivocal"),"b",IF(OR(W862="positive",W862="equivocal"),"c","d"))))</x:f>
        <x:v>d</x:v>
      </x:c>
      <x:c r="AF862" s="12" t="str">
        <x:f>IF(OR(W862="unavailable",Y862="unavailable"),"不可评价",IF(AND(W862="positive",Y862="positive"),"a",IF(Y862="positive","b",IF(W862="positive","c","d"))))</x:f>
        <x:v>d</x:v>
      </x:c>
    </x:row>
    <x:row r="863" ht="24" customHeight="1">
      <x:c r="A863" s="12" t="str">
        <x:v>7543</x:v>
      </x:c>
      <x:c r="B863" s="12" t="str">
        <x:v>11328</x:v>
      </x:c>
      <x:c r="C863" s="21" t="n">
        <x:v>33608.38962962963</x:v>
      </x:c>
      <x:c r="D863" s="12" t="n">
        <x:v>71</x:v>
      </x:c>
      <x:c r="E863" s="12" t="n">
        <x:v>1</x:v>
      </x:c>
      <x:c r="F863" s="12" t="str">
        <x:v>存在</x:v>
      </x:c>
      <x:c r="G863" s="12" t="n">
        <x:v>1</x:v>
      </x:c>
      <x:c r="H863" s="12" t="str">
        <x:v>{'NORM': 100.0, 'STACH': 0.0}</x:v>
      </x:c>
      <x:c r="I863" s="12" t="str">
        <x:v>[('STACH', 100.0), ('ABR', 100.0)]</x:v>
      </x:c>
      <x:c r="J863" s="12" t="str">
        <x:v>ptbxl_database.csv；ecg_id=7543；scp_codes</x:v>
      </x:c>
      <x:c r="K863" s="12" t="str">
        <x:v>12sl_statements.csv；ecg_id=7543；statements_ext_snomed</x:v>
      </x:c>
      <x:c r="L863" s="12"/>
      <x:c r="M863" s="12" t="str">
        <x:v>negative</x:v>
      </x:c>
      <x:c r="N863" s="12"/>
      <x:c r="O863" s="12" t="str">
        <x:v>negative</x:v>
      </x:c>
      <x:c r="P863" s="12" t="str">
        <x:f>IF(OR(M863="unavailable",O863="unavailable"),"不可评价",IF(OR(M863="equivocal",O863="equivocal"),"疑似",IF(AND(M863="positive",O863="positive"),"a",IF(O863="positive","b",IF(M863="positive","c","d")))))</x:f>
        <x:v>d</x:v>
      </x:c>
      <x:c r="Q863" s="12"/>
      <x:c r="R863" s="12" t="str">
        <x:v>negative</x:v>
      </x:c>
      <x:c r="S863" s="12"/>
      <x:c r="T863" s="12" t="str">
        <x:v>negative</x:v>
      </x:c>
      <x:c r="U863" s="12" t="str">
        <x:f>IF(OR(R863="unavailable",T863="unavailable"),"不可评价",IF(OR(R863="equivocal",T863="equivocal"),"疑似",IF(AND(R863="positive",T863="positive"),"a",IF(T863="positive","b",IF(R863="positive","c","d")))))</x:f>
        <x:v>d</x:v>
      </x:c>
      <x:c r="V863" s="12"/>
      <x:c r="W863" s="12" t="str">
        <x:v>negative</x:v>
      </x:c>
      <x:c r="X863" s="12"/>
      <x:c r="Y863" s="12" t="str">
        <x:v>negative</x:v>
      </x:c>
      <x:c r="Z863" s="12" t="str">
        <x:f>IF(OR(W863="unavailable",Y863="unavailable"),"不可评价",IF(OR(W863="equivocal",Y863="equivocal"),"疑似",IF(AND(W863="positive",Y863="positive"),"a",IF(Y863="positive","b",IF(W863="positive","c","d")))))</x:f>
        <x:v>d</x:v>
      </x:c>
      <x:c r="AA863" s="12" t="str">
        <x:f>IF(OR(M863="unavailable",O863="unavailable"),"不可评价",IF(AND(OR(M863="positive",M863="equivocal"),OR(O863="positive",O863="equivocal")),"a",IF(OR(O863="positive",O863="equivocal"),"b",IF(OR(M863="positive",M863="equivocal"),"c","d"))))</x:f>
        <x:v>d</x:v>
      </x:c>
      <x:c r="AB863" s="12" t="str">
        <x:f>IF(OR(M863="unavailable",O863="unavailable"),"不可评价",IF(AND(M863="positive",O863="positive"),"a",IF(O863="positive","b",IF(M863="positive","c","d"))))</x:f>
        <x:v>d</x:v>
      </x:c>
      <x:c r="AC863" s="12" t="str">
        <x:f>IF(OR(R863="unavailable",T863="unavailable"),"不可评价",IF(AND(OR(R863="positive",R863="equivocal"),OR(T863="positive",T863="equivocal")),"a",IF(OR(T863="positive",T863="equivocal"),"b",IF(OR(R863="positive",R863="equivocal"),"c","d"))))</x:f>
        <x:v>d</x:v>
      </x:c>
      <x:c r="AD863" s="12" t="str">
        <x:f>IF(OR(R863="unavailable",T863="unavailable"),"不可评价",IF(AND(R863="positive",T863="positive"),"a",IF(T863="positive","b",IF(R863="positive","c","d"))))</x:f>
        <x:v>d</x:v>
      </x:c>
      <x:c r="AE863" s="12" t="str">
        <x:f>IF(OR(W863="unavailable",Y863="unavailable"),"不可评价",IF(AND(OR(W863="positive",W863="equivocal"),OR(Y863="positive",Y863="equivocal")),"a",IF(OR(Y863="positive",Y863="equivocal"),"b",IF(OR(W863="positive",W863="equivocal"),"c","d"))))</x:f>
        <x:v>d</x:v>
      </x:c>
      <x:c r="AF863" s="12" t="str">
        <x:f>IF(OR(W863="unavailable",Y863="unavailable"),"不可评价",IF(AND(W863="positive",Y863="positive"),"a",IF(Y863="positive","b",IF(W863="positive","c","d"))))</x:f>
        <x:v>d</x:v>
      </x:c>
    </x:row>
    <x:row r="864" ht="24" customHeight="1">
      <x:c r="A864" s="12" t="str">
        <x:v>7560</x:v>
      </x:c>
      <x:c r="B864" s="12" t="str">
        <x:v>21739</x:v>
      </x:c>
      <x:c r="C864" s="21" t="n">
        <x:v>33610.68554398148</x:v>
      </x:c>
      <x:c r="D864" s="12" t="n">
        <x:v>76</x:v>
      </x:c>
      <x:c r="E864" s="12" t="n">
        <x:v>1</x:v>
      </x:c>
      <x:c r="F864" s="12" t="str">
        <x:v>存在</x:v>
      </x:c>
      <x:c r="G864" s="12" t="n">
        <x:v>1</x:v>
      </x:c>
      <x:c r="H864" s="12" t="str">
        <x:v>{'NORM': 100.0, 'SR': 0.0}</x:v>
      </x:c>
      <x:c r="I864" s="12" t="str">
        <x:v>[('NSR', 100.0), ('NML', 100.0)]</x:v>
      </x:c>
      <x:c r="J864" s="12" t="str">
        <x:v>ptbxl_database.csv；ecg_id=7560；scp_codes</x:v>
      </x:c>
      <x:c r="K864" s="12" t="str">
        <x:v>12sl_statements.csv；ecg_id=7560；statements_ext_snomed</x:v>
      </x:c>
      <x:c r="L864" s="12"/>
      <x:c r="M864" s="12" t="str">
        <x:v>negative</x:v>
      </x:c>
      <x:c r="N864" s="12"/>
      <x:c r="O864" s="12" t="str">
        <x:v>negative</x:v>
      </x:c>
      <x:c r="P864" s="12" t="str">
        <x:f>IF(OR(M864="unavailable",O864="unavailable"),"不可评价",IF(OR(M864="equivocal",O864="equivocal"),"疑似",IF(AND(M864="positive",O864="positive"),"a",IF(O864="positive","b",IF(M864="positive","c","d")))))</x:f>
        <x:v>d</x:v>
      </x:c>
      <x:c r="Q864" s="12"/>
      <x:c r="R864" s="12" t="str">
        <x:v>negative</x:v>
      </x:c>
      <x:c r="S864" s="12"/>
      <x:c r="T864" s="12" t="str">
        <x:v>negative</x:v>
      </x:c>
      <x:c r="U864" s="12" t="str">
        <x:f>IF(OR(R864="unavailable",T864="unavailable"),"不可评价",IF(OR(R864="equivocal",T864="equivocal"),"疑似",IF(AND(R864="positive",T864="positive"),"a",IF(T864="positive","b",IF(R864="positive","c","d")))))</x:f>
        <x:v>d</x:v>
      </x:c>
      <x:c r="V864" s="12"/>
      <x:c r="W864" s="12" t="str">
        <x:v>negative</x:v>
      </x:c>
      <x:c r="X864" s="12"/>
      <x:c r="Y864" s="12" t="str">
        <x:v>negative</x:v>
      </x:c>
      <x:c r="Z864" s="12" t="str">
        <x:f>IF(OR(W864="unavailable",Y864="unavailable"),"不可评价",IF(OR(W864="equivocal",Y864="equivocal"),"疑似",IF(AND(W864="positive",Y864="positive"),"a",IF(Y864="positive","b",IF(W864="positive","c","d")))))</x:f>
        <x:v>d</x:v>
      </x:c>
      <x:c r="AA864" s="12" t="str">
        <x:f>IF(OR(M864="unavailable",O864="unavailable"),"不可评价",IF(AND(OR(M864="positive",M864="equivocal"),OR(O864="positive",O864="equivocal")),"a",IF(OR(O864="positive",O864="equivocal"),"b",IF(OR(M864="positive",M864="equivocal"),"c","d"))))</x:f>
        <x:v>d</x:v>
      </x:c>
      <x:c r="AB864" s="12" t="str">
        <x:f>IF(OR(M864="unavailable",O864="unavailable"),"不可评价",IF(AND(M864="positive",O864="positive"),"a",IF(O864="positive","b",IF(M864="positive","c","d"))))</x:f>
        <x:v>d</x:v>
      </x:c>
      <x:c r="AC864" s="12" t="str">
        <x:f>IF(OR(R864="unavailable",T864="unavailable"),"不可评价",IF(AND(OR(R864="positive",R864="equivocal"),OR(T864="positive",T864="equivocal")),"a",IF(OR(T864="positive",T864="equivocal"),"b",IF(OR(R864="positive",R864="equivocal"),"c","d"))))</x:f>
        <x:v>d</x:v>
      </x:c>
      <x:c r="AD864" s="12" t="str">
        <x:f>IF(OR(R864="unavailable",T864="unavailable"),"不可评价",IF(AND(R864="positive",T864="positive"),"a",IF(T864="positive","b",IF(R864="positive","c","d"))))</x:f>
        <x:v>d</x:v>
      </x:c>
      <x:c r="AE864" s="12" t="str">
        <x:f>IF(OR(W864="unavailable",Y864="unavailable"),"不可评价",IF(AND(OR(W864="positive",W864="equivocal"),OR(Y864="positive",Y864="equivocal")),"a",IF(OR(Y864="positive",Y864="equivocal"),"b",IF(OR(W864="positive",W864="equivocal"),"c","d"))))</x:f>
        <x:v>d</x:v>
      </x:c>
      <x:c r="AF864" s="12" t="str">
        <x:f>IF(OR(W864="unavailable",Y864="unavailable"),"不可评价",IF(AND(W864="positive",Y864="positive"),"a",IF(Y864="positive","b",IF(W864="positive","c","d"))))</x:f>
        <x:v>d</x:v>
      </x:c>
    </x:row>
    <x:row r="865" ht="24" customHeight="1">
      <x:c r="A865" s="12" t="str">
        <x:v>7561</x:v>
      </x:c>
      <x:c r="B865" s="12" t="str">
        <x:v>16752</x:v>
      </x:c>
      <x:c r="C865" s="21" t="n">
        <x:v>33611.35702546296</x:v>
      </x:c>
      <x:c r="D865" s="12" t="n">
        <x:v>18</x:v>
      </x:c>
      <x:c r="E865" s="12" t="n">
        <x:v>1</x:v>
      </x:c>
      <x:c r="F865" s="12" t="str">
        <x:v>存在</x:v>
      </x:c>
      <x:c r="G865" s="12" t="n">
        <x:v>1</x:v>
      </x:c>
      <x:c r="H865" s="12" t="str">
        <x:v>{'NORM': 80.0, 'SARRH': 0.0}</x:v>
      </x:c>
      <x:c r="I865" s="12" t="str">
        <x:v>[('NSR', 100.0), ('SAR', 100.0), ('NML', 100.0)]</x:v>
      </x:c>
      <x:c r="J865" s="12" t="str">
        <x:v>ptbxl_database.csv；ecg_id=7561；scp_codes</x:v>
      </x:c>
      <x:c r="K865" s="12" t="str">
        <x:v>12sl_statements.csv；ecg_id=7561；statements_ext_snomed</x:v>
      </x:c>
      <x:c r="L865" s="12"/>
      <x:c r="M865" s="12" t="str">
        <x:v>negative</x:v>
      </x:c>
      <x:c r="N865" s="12"/>
      <x:c r="O865" s="12" t="str">
        <x:v>negative</x:v>
      </x:c>
      <x:c r="P865" s="12" t="str">
        <x:f>IF(OR(M865="unavailable",O865="unavailable"),"不可评价",IF(OR(M865="equivocal",O865="equivocal"),"疑似",IF(AND(M865="positive",O865="positive"),"a",IF(O865="positive","b",IF(M865="positive","c","d")))))</x:f>
        <x:v>d</x:v>
      </x:c>
      <x:c r="Q865" s="12"/>
      <x:c r="R865" s="12" t="str">
        <x:v>negative</x:v>
      </x:c>
      <x:c r="S865" s="12"/>
      <x:c r="T865" s="12" t="str">
        <x:v>negative</x:v>
      </x:c>
      <x:c r="U865" s="12" t="str">
        <x:f>IF(OR(R865="unavailable",T865="unavailable"),"不可评价",IF(OR(R865="equivocal",T865="equivocal"),"疑似",IF(AND(R865="positive",T865="positive"),"a",IF(T865="positive","b",IF(R865="positive","c","d")))))</x:f>
        <x:v>d</x:v>
      </x:c>
      <x:c r="V865" s="12"/>
      <x:c r="W865" s="12" t="str">
        <x:v>negative</x:v>
      </x:c>
      <x:c r="X865" s="12"/>
      <x:c r="Y865" s="12" t="str">
        <x:v>negative</x:v>
      </x:c>
      <x:c r="Z865" s="12" t="str">
        <x:f>IF(OR(W865="unavailable",Y865="unavailable"),"不可评价",IF(OR(W865="equivocal",Y865="equivocal"),"疑似",IF(AND(W865="positive",Y865="positive"),"a",IF(Y865="positive","b",IF(W865="positive","c","d")))))</x:f>
        <x:v>d</x:v>
      </x:c>
      <x:c r="AA865" s="12" t="str">
        <x:f>IF(OR(M865="unavailable",O865="unavailable"),"不可评价",IF(AND(OR(M865="positive",M865="equivocal"),OR(O865="positive",O865="equivocal")),"a",IF(OR(O865="positive",O865="equivocal"),"b",IF(OR(M865="positive",M865="equivocal"),"c","d"))))</x:f>
        <x:v>d</x:v>
      </x:c>
      <x:c r="AB865" s="12" t="str">
        <x:f>IF(OR(M865="unavailable",O865="unavailable"),"不可评价",IF(AND(M865="positive",O865="positive"),"a",IF(O865="positive","b",IF(M865="positive","c","d"))))</x:f>
        <x:v>d</x:v>
      </x:c>
      <x:c r="AC865" s="12" t="str">
        <x:f>IF(OR(R865="unavailable",T865="unavailable"),"不可评价",IF(AND(OR(R865="positive",R865="equivocal"),OR(T865="positive",T865="equivocal")),"a",IF(OR(T865="positive",T865="equivocal"),"b",IF(OR(R865="positive",R865="equivocal"),"c","d"))))</x:f>
        <x:v>d</x:v>
      </x:c>
      <x:c r="AD865" s="12" t="str">
        <x:f>IF(OR(R865="unavailable",T865="unavailable"),"不可评价",IF(AND(R865="positive",T865="positive"),"a",IF(T865="positive","b",IF(R865="positive","c","d"))))</x:f>
        <x:v>d</x:v>
      </x:c>
      <x:c r="AE865" s="12" t="str">
        <x:f>IF(OR(W865="unavailable",Y865="unavailable"),"不可评价",IF(AND(OR(W865="positive",W865="equivocal"),OR(Y865="positive",Y865="equivocal")),"a",IF(OR(Y865="positive",Y865="equivocal"),"b",IF(OR(W865="positive",W865="equivocal"),"c","d"))))</x:f>
        <x:v>d</x:v>
      </x:c>
      <x:c r="AF865" s="12" t="str">
        <x:f>IF(OR(W865="unavailable",Y865="unavailable"),"不可评价",IF(AND(W865="positive",Y865="positive"),"a",IF(Y865="positive","b",IF(W865="positive","c","d"))))</x:f>
        <x:v>d</x:v>
      </x:c>
    </x:row>
    <x:row r="866" ht="24" customHeight="1">
      <x:c r="A866" s="12" t="str">
        <x:v>7597</x:v>
      </x:c>
      <x:c r="B866" s="12" t="str">
        <x:v>12299</x:v>
      </x:c>
      <x:c r="C866" s="21" t="n">
        <x:v>33618.44185185185</x:v>
      </x:c>
      <x:c r="D866" s="12" t="n">
        <x:v>61</x:v>
      </x:c>
      <x:c r="E866" s="12" t="n">
        <x:v>1</x:v>
      </x:c>
      <x:c r="F866" s="12" t="str">
        <x:v>未记录</x:v>
      </x:c>
      <x:c r="G866" s="12" t="n">
        <x:v>1</x:v>
      </x:c>
      <x:c r="H866" s="12" t="str">
        <x:v>{'NORM': 100.0, 'SR': 0.0}</x:v>
      </x:c>
      <x:c r="I866" s="12" t="str">
        <x:v>[('NSR', 100.0), ('NML', 100.0)]</x:v>
      </x:c>
      <x:c r="J866" s="12" t="str">
        <x:v>ptbxl_database.csv；ecg_id=7597；scp_codes</x:v>
      </x:c>
      <x:c r="K866" s="12" t="str">
        <x:v>12sl_statements.csv；ecg_id=7597；statements_ext_snomed</x:v>
      </x:c>
      <x:c r="L866" s="12"/>
      <x:c r="M866" s="12" t="str">
        <x:v>negative</x:v>
      </x:c>
      <x:c r="N866" s="12"/>
      <x:c r="O866" s="12" t="str">
        <x:v>negative</x:v>
      </x:c>
      <x:c r="P866" s="12" t="str">
        <x:f>IF(OR(M866="unavailable",O866="unavailable"),"不可评价",IF(OR(M866="equivocal",O866="equivocal"),"疑似",IF(AND(M866="positive",O866="positive"),"a",IF(O866="positive","b",IF(M866="positive","c","d")))))</x:f>
        <x:v>d</x:v>
      </x:c>
      <x:c r="Q866" s="12"/>
      <x:c r="R866" s="12" t="str">
        <x:v>negative</x:v>
      </x:c>
      <x:c r="S866" s="12"/>
      <x:c r="T866" s="12" t="str">
        <x:v>negative</x:v>
      </x:c>
      <x:c r="U866" s="12" t="str">
        <x:f>IF(OR(R866="unavailable",T866="unavailable"),"不可评价",IF(OR(R866="equivocal",T866="equivocal"),"疑似",IF(AND(R866="positive",T866="positive"),"a",IF(T866="positive","b",IF(R866="positive","c","d")))))</x:f>
        <x:v>d</x:v>
      </x:c>
      <x:c r="V866" s="12"/>
      <x:c r="W866" s="12" t="str">
        <x:v>negative</x:v>
      </x:c>
      <x:c r="X866" s="12"/>
      <x:c r="Y866" s="12" t="str">
        <x:v>negative</x:v>
      </x:c>
      <x:c r="Z866" s="12" t="str">
        <x:f>IF(OR(W866="unavailable",Y866="unavailable"),"不可评价",IF(OR(W866="equivocal",Y866="equivocal"),"疑似",IF(AND(W866="positive",Y866="positive"),"a",IF(Y866="positive","b",IF(W866="positive","c","d")))))</x:f>
        <x:v>d</x:v>
      </x:c>
      <x:c r="AA866" s="12" t="str">
        <x:f>IF(OR(M866="unavailable",O866="unavailable"),"不可评价",IF(AND(OR(M866="positive",M866="equivocal"),OR(O866="positive",O866="equivocal")),"a",IF(OR(O866="positive",O866="equivocal"),"b",IF(OR(M866="positive",M866="equivocal"),"c","d"))))</x:f>
        <x:v>d</x:v>
      </x:c>
      <x:c r="AB866" s="12" t="str">
        <x:f>IF(OR(M866="unavailable",O866="unavailable"),"不可评价",IF(AND(M866="positive",O866="positive"),"a",IF(O866="positive","b",IF(M866="positive","c","d"))))</x:f>
        <x:v>d</x:v>
      </x:c>
      <x:c r="AC866" s="12" t="str">
        <x:f>IF(OR(R866="unavailable",T866="unavailable"),"不可评价",IF(AND(OR(R866="positive",R866="equivocal"),OR(T866="positive",T866="equivocal")),"a",IF(OR(T866="positive",T866="equivocal"),"b",IF(OR(R866="positive",R866="equivocal"),"c","d"))))</x:f>
        <x:v>d</x:v>
      </x:c>
      <x:c r="AD866" s="12" t="str">
        <x:f>IF(OR(R866="unavailable",T866="unavailable"),"不可评价",IF(AND(R866="positive",T866="positive"),"a",IF(T866="positive","b",IF(R866="positive","c","d"))))</x:f>
        <x:v>d</x:v>
      </x:c>
      <x:c r="AE866" s="12" t="str">
        <x:f>IF(OR(W866="unavailable",Y866="unavailable"),"不可评价",IF(AND(OR(W866="positive",W866="equivocal"),OR(Y866="positive",Y866="equivocal")),"a",IF(OR(Y866="positive",Y866="equivocal"),"b",IF(OR(W866="positive",W866="equivocal"),"c","d"))))</x:f>
        <x:v>d</x:v>
      </x:c>
      <x:c r="AF866" s="12" t="str">
        <x:f>IF(OR(W866="unavailable",Y866="unavailable"),"不可评价",IF(AND(W866="positive",Y866="positive"),"a",IF(Y866="positive","b",IF(W866="positive","c","d"))))</x:f>
        <x:v>d</x:v>
      </x:c>
    </x:row>
    <x:row r="867" ht="39" customHeight="1">
      <x:c r="A867" s="12" t="str">
        <x:v>7598</x:v>
      </x:c>
      <x:c r="B867" s="12" t="str">
        <x:v>9740</x:v>
      </x:c>
      <x:c r="C867" s="21" t="n">
        <x:v>33618.49190972222</x:v>
      </x:c>
      <x:c r="D867" s="12" t="n">
        <x:v>59</x:v>
      </x:c>
      <x:c r="E867" s="12" t="n">
        <x:v>0</x:v>
      </x:c>
      <x:c r="F867" s="12" t="str">
        <x:v>未记录</x:v>
      </x:c>
      <x:c r="G867" s="12" t="n">
        <x:v>1</x:v>
      </x:c>
      <x:c r="H867" s="12" t="str">
        <x:v>{'IRBBB': 100.0, 'LNGQT': 100.0, 'LAO/LAE': 100.0, '1AVB': 100.0, 'SR': 0.0}</x:v>
      </x:c>
      <x:c r="I867" s="12" t="str">
        <x:v>[('SRTH', 100.0), ('FAV', 100.0), ('IRBBB', 100.0), ('LSBINJ', 100.0), ('LNGQT', 100.0), ('AB', 100.0)]</x:v>
      </x:c>
      <x:c r="J867" s="12" t="str">
        <x:v>ptbxl_database.csv；ecg_id=7598；scp_codes</x:v>
      </x:c>
      <x:c r="K867" s="12" t="str">
        <x:v>12sl_statements.csv；ecg_id=7598；statements_ext_snomed</x:v>
      </x:c>
      <x:c r="L867" s="12"/>
      <x:c r="M867" s="12" t="str">
        <x:v>negative</x:v>
      </x:c>
      <x:c r="N867" s="12"/>
      <x:c r="O867" s="12" t="str">
        <x:v>negative</x:v>
      </x:c>
      <x:c r="P867" s="12" t="str">
        <x:f>IF(OR(M867="unavailable",O867="unavailable"),"不可评价",IF(OR(M867="equivocal",O867="equivocal"),"疑似",IF(AND(M867="positive",O867="positive"),"a",IF(O867="positive","b",IF(M867="positive","c","d")))))</x:f>
        <x:v>d</x:v>
      </x:c>
      <x:c r="Q867" s="12"/>
      <x:c r="R867" s="12" t="str">
        <x:v>negative</x:v>
      </x:c>
      <x:c r="S867" s="12"/>
      <x:c r="T867" s="12" t="str">
        <x:v>negative</x:v>
      </x:c>
      <x:c r="U867" s="12" t="str">
        <x:f>IF(OR(R867="unavailable",T867="unavailable"),"不可评价",IF(OR(R867="equivocal",T867="equivocal"),"疑似",IF(AND(R867="positive",T867="positive"),"a",IF(T867="positive","b",IF(R867="positive","c","d")))))</x:f>
        <x:v>d</x:v>
      </x:c>
      <x:c r="V867" s="12"/>
      <x:c r="W867" s="12" t="str">
        <x:v>negative</x:v>
      </x:c>
      <x:c r="X867" s="12"/>
      <x:c r="Y867" s="12" t="str">
        <x:v>negative</x:v>
      </x:c>
      <x:c r="Z867" s="12" t="str">
        <x:f>IF(OR(W867="unavailable",Y867="unavailable"),"不可评价",IF(OR(W867="equivocal",Y867="equivocal"),"疑似",IF(AND(W867="positive",Y867="positive"),"a",IF(Y867="positive","b",IF(W867="positive","c","d")))))</x:f>
        <x:v>d</x:v>
      </x:c>
      <x:c r="AA867" s="12" t="str">
        <x:f>IF(OR(M867="unavailable",O867="unavailable"),"不可评价",IF(AND(OR(M867="positive",M867="equivocal"),OR(O867="positive",O867="equivocal")),"a",IF(OR(O867="positive",O867="equivocal"),"b",IF(OR(M867="positive",M867="equivocal"),"c","d"))))</x:f>
        <x:v>d</x:v>
      </x:c>
      <x:c r="AB867" s="12" t="str">
        <x:f>IF(OR(M867="unavailable",O867="unavailable"),"不可评价",IF(AND(M867="positive",O867="positive"),"a",IF(O867="positive","b",IF(M867="positive","c","d"))))</x:f>
        <x:v>d</x:v>
      </x:c>
      <x:c r="AC867" s="12" t="str">
        <x:f>IF(OR(R867="unavailable",T867="unavailable"),"不可评价",IF(AND(OR(R867="positive",R867="equivocal"),OR(T867="positive",T867="equivocal")),"a",IF(OR(T867="positive",T867="equivocal"),"b",IF(OR(R867="positive",R867="equivocal"),"c","d"))))</x:f>
        <x:v>d</x:v>
      </x:c>
      <x:c r="AD867" s="12" t="str">
        <x:f>IF(OR(R867="unavailable",T867="unavailable"),"不可评价",IF(AND(R867="positive",T867="positive"),"a",IF(T867="positive","b",IF(R867="positive","c","d"))))</x:f>
        <x:v>d</x:v>
      </x:c>
      <x:c r="AE867" s="12" t="str">
        <x:f>IF(OR(W867="unavailable",Y867="unavailable"),"不可评价",IF(AND(OR(W867="positive",W867="equivocal"),OR(Y867="positive",Y867="equivocal")),"a",IF(OR(Y867="positive",Y867="equivocal"),"b",IF(OR(W867="positive",W867="equivocal"),"c","d"))))</x:f>
        <x:v>d</x:v>
      </x:c>
      <x:c r="AF867" s="12" t="str">
        <x:f>IF(OR(W867="unavailable",Y867="unavailable"),"不可评价",IF(AND(W867="positive",Y867="positive"),"a",IF(Y867="positive","b",IF(W867="positive","c","d"))))</x:f>
        <x:v>d</x:v>
      </x:c>
    </x:row>
    <x:row r="868" ht="39" customHeight="1">
      <x:c r="A868" s="12" t="str">
        <x:v>7619</x:v>
      </x:c>
      <x:c r="B868" s="12" t="str">
        <x:v>15412</x:v>
      </x:c>
      <x:c r="C868" s="21" t="n">
        <x:v>33620.52364583333</x:v>
      </x:c>
      <x:c r="D868" s="12" t="n">
        <x:v>60</x:v>
      </x:c>
      <x:c r="E868" s="12" t="n">
        <x:v>1</x:v>
      </x:c>
      <x:c r="F868" s="12" t="str">
        <x:v>存在</x:v>
      </x:c>
      <x:c r="G868" s="12" t="n">
        <x:v>1</x:v>
      </x:c>
      <x:c r="H868" s="12" t="str">
        <x:v>{'LVH': 100.0, 'ISC_': 100.0, 'IRBBB': 100.0, '1AVB': 100.0, 'SR': 0.0}</x:v>
      </x:c>
      <x:c r="I868" s="12" t="str">
        <x:v>[('SBRAD', 100.0), ('FAV', 100.0), ('IRBBB', 100.0), ('ST&amp;', 100.0), ('MILT', 100.0), ('LNGQT', 100.0), ('AB', 100.0)]</x:v>
      </x:c>
      <x:c r="J868" s="12" t="str">
        <x:v>ptbxl_database.csv；ecg_id=7619；scp_codes</x:v>
      </x:c>
      <x:c r="K868" s="12" t="str">
        <x:v>12sl_statements.csv；ecg_id=7619；statements_ext_snomed</x:v>
      </x:c>
      <x:c r="L868" s="12"/>
      <x:c r="M868" s="12" t="str">
        <x:v>negative</x:v>
      </x:c>
      <x:c r="N868" s="12"/>
      <x:c r="O868" s="12" t="str">
        <x:v>negative</x:v>
      </x:c>
      <x:c r="P868" s="12" t="str">
        <x:f>IF(OR(M868="unavailable",O868="unavailable"),"不可评价",IF(OR(M868="equivocal",O868="equivocal"),"疑似",IF(AND(M868="positive",O868="positive"),"a",IF(O868="positive","b",IF(M868="positive","c","d")))))</x:f>
        <x:v>d</x:v>
      </x:c>
      <x:c r="Q868" s="12"/>
      <x:c r="R868" s="12" t="str">
        <x:v>negative</x:v>
      </x:c>
      <x:c r="S868" s="12"/>
      <x:c r="T868" s="12" t="str">
        <x:v>negative</x:v>
      </x:c>
      <x:c r="U868" s="12" t="str">
        <x:f>IF(OR(R868="unavailable",T868="unavailable"),"不可评价",IF(OR(R868="equivocal",T868="equivocal"),"疑似",IF(AND(R868="positive",T868="positive"),"a",IF(T868="positive","b",IF(R868="positive","c","d")))))</x:f>
        <x:v>d</x:v>
      </x:c>
      <x:c r="V868" s="12"/>
      <x:c r="W868" s="12" t="str">
        <x:v>negative</x:v>
      </x:c>
      <x:c r="X868" s="12"/>
      <x:c r="Y868" s="12" t="str">
        <x:v>negative</x:v>
      </x:c>
      <x:c r="Z868" s="12" t="str">
        <x:f>IF(OR(W868="unavailable",Y868="unavailable"),"不可评价",IF(OR(W868="equivocal",Y868="equivocal"),"疑似",IF(AND(W868="positive",Y868="positive"),"a",IF(Y868="positive","b",IF(W868="positive","c","d")))))</x:f>
        <x:v>d</x:v>
      </x:c>
      <x:c r="AA868" s="12" t="str">
        <x:f>IF(OR(M868="unavailable",O868="unavailable"),"不可评价",IF(AND(OR(M868="positive",M868="equivocal"),OR(O868="positive",O868="equivocal")),"a",IF(OR(O868="positive",O868="equivocal"),"b",IF(OR(M868="positive",M868="equivocal"),"c","d"))))</x:f>
        <x:v>d</x:v>
      </x:c>
      <x:c r="AB868" s="12" t="str">
        <x:f>IF(OR(M868="unavailable",O868="unavailable"),"不可评价",IF(AND(M868="positive",O868="positive"),"a",IF(O868="positive","b",IF(M868="positive","c","d"))))</x:f>
        <x:v>d</x:v>
      </x:c>
      <x:c r="AC868" s="12" t="str">
        <x:f>IF(OR(R868="unavailable",T868="unavailable"),"不可评价",IF(AND(OR(R868="positive",R868="equivocal"),OR(T868="positive",T868="equivocal")),"a",IF(OR(T868="positive",T868="equivocal"),"b",IF(OR(R868="positive",R868="equivocal"),"c","d"))))</x:f>
        <x:v>d</x:v>
      </x:c>
      <x:c r="AD868" s="12" t="str">
        <x:f>IF(OR(R868="unavailable",T868="unavailable"),"不可评价",IF(AND(R868="positive",T868="positive"),"a",IF(T868="positive","b",IF(R868="positive","c","d"))))</x:f>
        <x:v>d</x:v>
      </x:c>
      <x:c r="AE868" s="12" t="str">
        <x:f>IF(OR(W868="unavailable",Y868="unavailable"),"不可评价",IF(AND(OR(W868="positive",W868="equivocal"),OR(Y868="positive",Y868="equivocal")),"a",IF(OR(Y868="positive",Y868="equivocal"),"b",IF(OR(W868="positive",W868="equivocal"),"c","d"))))</x:f>
        <x:v>d</x:v>
      </x:c>
      <x:c r="AF868" s="12" t="str">
        <x:f>IF(OR(W868="unavailable",Y868="unavailable"),"不可评价",IF(AND(W868="positive",Y868="positive"),"a",IF(Y868="positive","b",IF(W868="positive","c","d"))))</x:f>
        <x:v>d</x:v>
      </x:c>
    </x:row>
    <x:row r="869" ht="24" customHeight="1">
      <x:c r="A869" s="12" t="str">
        <x:v>7621</x:v>
      </x:c>
      <x:c r="B869" s="12" t="str">
        <x:v>20277</x:v>
      </x:c>
      <x:c r="C869" s="21" t="n">
        <x:v>33620.632268518515</x:v>
      </x:c>
      <x:c r="D869" s="12" t="n">
        <x:v>36</x:v>
      </x:c>
      <x:c r="E869" s="12" t="n">
        <x:v>1</x:v>
      </x:c>
      <x:c r="F869" s="12" t="str">
        <x:v>存在</x:v>
      </x:c>
      <x:c r="G869" s="12" t="n">
        <x:v>1</x:v>
      </x:c>
      <x:c r="H869" s="12" t="str">
        <x:v>{'NORM': 100.0, 'LVOLT': 0.0, 'STACH': 0.0}</x:v>
      </x:c>
      <x:c r="I869" s="12" t="str">
        <x:v>[('STACH', 100.0), ('RAD', 100.0), ('BORDE', 100.0)]</x:v>
      </x:c>
      <x:c r="J869" s="12" t="str">
        <x:v>ptbxl_database.csv；ecg_id=7621；scp_codes</x:v>
      </x:c>
      <x:c r="K869" s="12" t="str">
        <x:v>12sl_statements.csv；ecg_id=7621；statements_ext_snomed</x:v>
      </x:c>
      <x:c r="L869" s="12"/>
      <x:c r="M869" s="12" t="str">
        <x:v>negative</x:v>
      </x:c>
      <x:c r="N869" s="12"/>
      <x:c r="O869" s="12" t="str">
        <x:v>negative</x:v>
      </x:c>
      <x:c r="P869" s="12" t="str">
        <x:f>IF(OR(M869="unavailable",O869="unavailable"),"不可评价",IF(OR(M869="equivocal",O869="equivocal"),"疑似",IF(AND(M869="positive",O869="positive"),"a",IF(O869="positive","b",IF(M869="positive","c","d")))))</x:f>
        <x:v>d</x:v>
      </x:c>
      <x:c r="Q869" s="12"/>
      <x:c r="R869" s="12" t="str">
        <x:v>negative</x:v>
      </x:c>
      <x:c r="S869" s="12"/>
      <x:c r="T869" s="12" t="str">
        <x:v>negative</x:v>
      </x:c>
      <x:c r="U869" s="12" t="str">
        <x:f>IF(OR(R869="unavailable",T869="unavailable"),"不可评价",IF(OR(R869="equivocal",T869="equivocal"),"疑似",IF(AND(R869="positive",T869="positive"),"a",IF(T869="positive","b",IF(R869="positive","c","d")))))</x:f>
        <x:v>d</x:v>
      </x:c>
      <x:c r="V869" s="12"/>
      <x:c r="W869" s="12" t="str">
        <x:v>negative</x:v>
      </x:c>
      <x:c r="X869" s="12"/>
      <x:c r="Y869" s="12" t="str">
        <x:v>negative</x:v>
      </x:c>
      <x:c r="Z869" s="12" t="str">
        <x:f>IF(OR(W869="unavailable",Y869="unavailable"),"不可评价",IF(OR(W869="equivocal",Y869="equivocal"),"疑似",IF(AND(W869="positive",Y869="positive"),"a",IF(Y869="positive","b",IF(W869="positive","c","d")))))</x:f>
        <x:v>d</x:v>
      </x:c>
      <x:c r="AA869" s="12" t="str">
        <x:f>IF(OR(M869="unavailable",O869="unavailable"),"不可评价",IF(AND(OR(M869="positive",M869="equivocal"),OR(O869="positive",O869="equivocal")),"a",IF(OR(O869="positive",O869="equivocal"),"b",IF(OR(M869="positive",M869="equivocal"),"c","d"))))</x:f>
        <x:v>d</x:v>
      </x:c>
      <x:c r="AB869" s="12" t="str">
        <x:f>IF(OR(M869="unavailable",O869="unavailable"),"不可评价",IF(AND(M869="positive",O869="positive"),"a",IF(O869="positive","b",IF(M869="positive","c","d"))))</x:f>
        <x:v>d</x:v>
      </x:c>
      <x:c r="AC869" s="12" t="str">
        <x:f>IF(OR(R869="unavailable",T869="unavailable"),"不可评价",IF(AND(OR(R869="positive",R869="equivocal"),OR(T869="positive",T869="equivocal")),"a",IF(OR(T869="positive",T869="equivocal"),"b",IF(OR(R869="positive",R869="equivocal"),"c","d"))))</x:f>
        <x:v>d</x:v>
      </x:c>
      <x:c r="AD869" s="12" t="str">
        <x:f>IF(OR(R869="unavailable",T869="unavailable"),"不可评价",IF(AND(R869="positive",T869="positive"),"a",IF(T869="positive","b",IF(R869="positive","c","d"))))</x:f>
        <x:v>d</x:v>
      </x:c>
      <x:c r="AE869" s="12" t="str">
        <x:f>IF(OR(W869="unavailable",Y869="unavailable"),"不可评价",IF(AND(OR(W869="positive",W869="equivocal"),OR(Y869="positive",Y869="equivocal")),"a",IF(OR(Y869="positive",Y869="equivocal"),"b",IF(OR(W869="positive",W869="equivocal"),"c","d"))))</x:f>
        <x:v>d</x:v>
      </x:c>
      <x:c r="AF869" s="12" t="str">
        <x:f>IF(OR(W869="unavailable",Y869="unavailable"),"不可评价",IF(AND(W869="positive",Y869="positive"),"a",IF(Y869="positive","b",IF(W869="positive","c","d"))))</x:f>
        <x:v>d</x:v>
      </x:c>
    </x:row>
    <x:row r="870" ht="24" customHeight="1">
      <x:c r="A870" s="12" t="str">
        <x:v>7644</x:v>
      </x:c>
      <x:c r="B870" s="12" t="str">
        <x:v>14375</x:v>
      </x:c>
      <x:c r="C870" s="21" t="n">
        <x:v>33625.399363425924</x:v>
      </x:c>
      <x:c r="D870" s="12" t="n">
        <x:v>18</x:v>
      </x:c>
      <x:c r="E870" s="12" t="n">
        <x:v>1</x:v>
      </x:c>
      <x:c r="F870" s="12" t="str">
        <x:v>未记录</x:v>
      </x:c>
      <x:c r="G870" s="12" t="n">
        <x:v>1</x:v>
      </x:c>
      <x:c r="H870" s="12" t="str">
        <x:v>{'NORM': 100.0, 'SR': 0.0}</x:v>
      </x:c>
      <x:c r="I870" s="12" t="str">
        <x:v>[('NSR', 100.0), ('NML', 100.0)]</x:v>
      </x:c>
      <x:c r="J870" s="12" t="str">
        <x:v>ptbxl_database.csv；ecg_id=7644；scp_codes</x:v>
      </x:c>
      <x:c r="K870" s="12" t="str">
        <x:v>12sl_statements.csv；ecg_id=7644；statements_ext_snomed</x:v>
      </x:c>
      <x:c r="L870" s="12"/>
      <x:c r="M870" s="12" t="str">
        <x:v>negative</x:v>
      </x:c>
      <x:c r="N870" s="12"/>
      <x:c r="O870" s="12" t="str">
        <x:v>negative</x:v>
      </x:c>
      <x:c r="P870" s="12" t="str">
        <x:f>IF(OR(M870="unavailable",O870="unavailable"),"不可评价",IF(OR(M870="equivocal",O870="equivocal"),"疑似",IF(AND(M870="positive",O870="positive"),"a",IF(O870="positive","b",IF(M870="positive","c","d")))))</x:f>
        <x:v>d</x:v>
      </x:c>
      <x:c r="Q870" s="12"/>
      <x:c r="R870" s="12" t="str">
        <x:v>negative</x:v>
      </x:c>
      <x:c r="S870" s="12"/>
      <x:c r="T870" s="12" t="str">
        <x:v>negative</x:v>
      </x:c>
      <x:c r="U870" s="12" t="str">
        <x:f>IF(OR(R870="unavailable",T870="unavailable"),"不可评价",IF(OR(R870="equivocal",T870="equivocal"),"疑似",IF(AND(R870="positive",T870="positive"),"a",IF(T870="positive","b",IF(R870="positive","c","d")))))</x:f>
        <x:v>d</x:v>
      </x:c>
      <x:c r="V870" s="12"/>
      <x:c r="W870" s="12" t="str">
        <x:v>negative</x:v>
      </x:c>
      <x:c r="X870" s="12"/>
      <x:c r="Y870" s="12" t="str">
        <x:v>negative</x:v>
      </x:c>
      <x:c r="Z870" s="12" t="str">
        <x:f>IF(OR(W870="unavailable",Y870="unavailable"),"不可评价",IF(OR(W870="equivocal",Y870="equivocal"),"疑似",IF(AND(W870="positive",Y870="positive"),"a",IF(Y870="positive","b",IF(W870="positive","c","d")))))</x:f>
        <x:v>d</x:v>
      </x:c>
      <x:c r="AA870" s="12" t="str">
        <x:f>IF(OR(M870="unavailable",O870="unavailable"),"不可评价",IF(AND(OR(M870="positive",M870="equivocal"),OR(O870="positive",O870="equivocal")),"a",IF(OR(O870="positive",O870="equivocal"),"b",IF(OR(M870="positive",M870="equivocal"),"c","d"))))</x:f>
        <x:v>d</x:v>
      </x:c>
      <x:c r="AB870" s="12" t="str">
        <x:f>IF(OR(M870="unavailable",O870="unavailable"),"不可评价",IF(AND(M870="positive",O870="positive"),"a",IF(O870="positive","b",IF(M870="positive","c","d"))))</x:f>
        <x:v>d</x:v>
      </x:c>
      <x:c r="AC870" s="12" t="str">
        <x:f>IF(OR(R870="unavailable",T870="unavailable"),"不可评价",IF(AND(OR(R870="positive",R870="equivocal"),OR(T870="positive",T870="equivocal")),"a",IF(OR(T870="positive",T870="equivocal"),"b",IF(OR(R870="positive",R870="equivocal"),"c","d"))))</x:f>
        <x:v>d</x:v>
      </x:c>
      <x:c r="AD870" s="12" t="str">
        <x:f>IF(OR(R870="unavailable",T870="unavailable"),"不可评价",IF(AND(R870="positive",T870="positive"),"a",IF(T870="positive","b",IF(R870="positive","c","d"))))</x:f>
        <x:v>d</x:v>
      </x:c>
      <x:c r="AE870" s="12" t="str">
        <x:f>IF(OR(W870="unavailable",Y870="unavailable"),"不可评价",IF(AND(OR(W870="positive",W870="equivocal"),OR(Y870="positive",Y870="equivocal")),"a",IF(OR(Y870="positive",Y870="equivocal"),"b",IF(OR(W870="positive",W870="equivocal"),"c","d"))))</x:f>
        <x:v>d</x:v>
      </x:c>
      <x:c r="AF870" s="12" t="str">
        <x:f>IF(OR(W870="unavailable",Y870="unavailable"),"不可评价",IF(AND(W870="positive",Y870="positive"),"a",IF(Y870="positive","b",IF(W870="positive","c","d"))))</x:f>
        <x:v>d</x:v>
      </x:c>
    </x:row>
    <x:row r="871" ht="39" customHeight="1">
      <x:c r="A871" s="12" t="str">
        <x:v>7661</x:v>
      </x:c>
      <x:c r="B871" s="12" t="str">
        <x:v>16950</x:v>
      </x:c>
      <x:c r="C871" s="21" t="n">
        <x:v>33627.59798611111</x:v>
      </x:c>
      <x:c r="D871" s="12" t="n">
        <x:v>54</x:v>
      </x:c>
      <x:c r="E871" s="12" t="n">
        <x:v>0</x:v>
      </x:c>
      <x:c r="F871" s="12" t="str">
        <x:v>存在</x:v>
      </x:c>
      <x:c r="G871" s="12" t="n">
        <x:v>1</x:v>
      </x:c>
      <x:c r="H871" s="12" t="str">
        <x:v>{'ASMI': 100.0, 'IRBBB': 100.0, 'LAO/LAE': 100.0, 'ABQRS': 0.0, 'SARRH': 0.0}</x:v>
      </x:c>
      <x:c r="I871" s="12" t="str">
        <x:v>[('NSR', 100.0), ('SAR', 100.0), ('RBBB', 100.0), ('AB', 100.0)]</x:v>
      </x:c>
      <x:c r="J871" s="12" t="str">
        <x:v>ptbxl_database.csv；ecg_id=7661；scp_codes</x:v>
      </x:c>
      <x:c r="K871" s="12" t="str">
        <x:v>12sl_statements.csv；ecg_id=7661；statements_ext_snomed</x:v>
      </x:c>
      <x:c r="L871" s="12"/>
      <x:c r="M871" s="12" t="str">
        <x:v>negative</x:v>
      </x:c>
      <x:c r="N871" s="12"/>
      <x:c r="O871" s="12" t="str">
        <x:v>negative</x:v>
      </x:c>
      <x:c r="P871" s="12" t="str">
        <x:f>IF(OR(M871="unavailable",O871="unavailable"),"不可评价",IF(OR(M871="equivocal",O871="equivocal"),"疑似",IF(AND(M871="positive",O871="positive"),"a",IF(O871="positive","b",IF(M871="positive","c","d")))))</x:f>
        <x:v>d</x:v>
      </x:c>
      <x:c r="Q871" s="12"/>
      <x:c r="R871" s="12" t="str">
        <x:v>negative</x:v>
      </x:c>
      <x:c r="S871" s="12"/>
      <x:c r="T871" s="12" t="str">
        <x:v>negative</x:v>
      </x:c>
      <x:c r="U871" s="12" t="str">
        <x:f>IF(OR(R871="unavailable",T871="unavailable"),"不可评价",IF(OR(R871="equivocal",T871="equivocal"),"疑似",IF(AND(R871="positive",T871="positive"),"a",IF(T871="positive","b",IF(R871="positive","c","d")))))</x:f>
        <x:v>d</x:v>
      </x:c>
      <x:c r="V871" s="12"/>
      <x:c r="W871" s="12" t="str">
        <x:v>negative</x:v>
      </x:c>
      <x:c r="X871" s="12" t="n">
        <x:v>100</x:v>
      </x:c>
      <x:c r="Y871" s="12" t="str">
        <x:v>positive</x:v>
      </x:c>
      <x:c r="Z871" s="12" t="str">
        <x:f>IF(OR(W871="unavailable",Y871="unavailable"),"不可评价",IF(OR(W871="equivocal",Y871="equivocal"),"疑似",IF(AND(W871="positive",Y871="positive"),"a",IF(Y871="positive","b",IF(W871="positive","c","d")))))</x:f>
        <x:v>b</x:v>
      </x:c>
      <x:c r="AA871" s="12" t="str">
        <x:f>IF(OR(M871="unavailable",O871="unavailable"),"不可评价",IF(AND(OR(M871="positive",M871="equivocal"),OR(O871="positive",O871="equivocal")),"a",IF(OR(O871="positive",O871="equivocal"),"b",IF(OR(M871="positive",M871="equivocal"),"c","d"))))</x:f>
        <x:v>d</x:v>
      </x:c>
      <x:c r="AB871" s="12" t="str">
        <x:f>IF(OR(M871="unavailable",O871="unavailable"),"不可评价",IF(AND(M871="positive",O871="positive"),"a",IF(O871="positive","b",IF(M871="positive","c","d"))))</x:f>
        <x:v>d</x:v>
      </x:c>
      <x:c r="AC871" s="12" t="str">
        <x:f>IF(OR(R871="unavailable",T871="unavailable"),"不可评价",IF(AND(OR(R871="positive",R871="equivocal"),OR(T871="positive",T871="equivocal")),"a",IF(OR(T871="positive",T871="equivocal"),"b",IF(OR(R871="positive",R871="equivocal"),"c","d"))))</x:f>
        <x:v>d</x:v>
      </x:c>
      <x:c r="AD871" s="12" t="str">
        <x:f>IF(OR(R871="unavailable",T871="unavailable"),"不可评价",IF(AND(R871="positive",T871="positive"),"a",IF(T871="positive","b",IF(R871="positive","c","d"))))</x:f>
        <x:v>d</x:v>
      </x:c>
      <x:c r="AE871" s="12" t="str">
        <x:f>IF(OR(W871="unavailable",Y871="unavailable"),"不可评价",IF(AND(OR(W871="positive",W871="equivocal"),OR(Y871="positive",Y871="equivocal")),"a",IF(OR(Y871="positive",Y871="equivocal"),"b",IF(OR(W871="positive",W871="equivocal"),"c","d"))))</x:f>
        <x:v>b</x:v>
      </x:c>
      <x:c r="AF871" s="12" t="str">
        <x:f>IF(OR(W871="unavailable",Y871="unavailable"),"不可评价",IF(AND(W871="positive",Y871="positive"),"a",IF(Y871="positive","b",IF(W871="positive","c","d"))))</x:f>
        <x:v>b</x:v>
      </x:c>
    </x:row>
    <x:row r="872" ht="24" customHeight="1">
      <x:c r="A872" s="12" t="str">
        <x:v>7668</x:v>
      </x:c>
      <x:c r="B872" s="12" t="str">
        <x:v>10491</x:v>
      </x:c>
      <x:c r="C872" s="21" t="n">
        <x:v>33628.463900462964</x:v>
      </x:c>
      <x:c r="D872" s="12" t="n">
        <x:v>75</x:v>
      </x:c>
      <x:c r="E872" s="12" t="n">
        <x:v>0</x:v>
      </x:c>
      <x:c r="F872" s="12" t="str">
        <x:v>存在</x:v>
      </x:c>
      <x:c r="G872" s="12" t="n">
        <x:v>1</x:v>
      </x:c>
      <x:c r="H872" s="12" t="str">
        <x:v>{'ASMI': 100.0, 'LAFB': 100.0, 'ABQRS': 0.0, 'SR': 0.0}</x:v>
      </x:c>
      <x:c r="I872" s="12" t="str">
        <x:v>[('NSR', 100.0), ('LAE', 50.0), ('AFB', 100.0), ('ASMI;AU', 100.0), ('AB', 100.0)]</x:v>
      </x:c>
      <x:c r="J872" s="12" t="str">
        <x:v>ptbxl_database.csv；ecg_id=7668；scp_codes</x:v>
      </x:c>
      <x:c r="K872" s="12" t="str">
        <x:v>12sl_statements.csv；ecg_id=7668；statements_ext_snomed</x:v>
      </x:c>
      <x:c r="L872" s="12"/>
      <x:c r="M872" s="12" t="str">
        <x:v>negative</x:v>
      </x:c>
      <x:c r="N872" s="12"/>
      <x:c r="O872" s="12" t="str">
        <x:v>negative</x:v>
      </x:c>
      <x:c r="P872" s="12" t="str">
        <x:f>IF(OR(M872="unavailable",O872="unavailable"),"不可评价",IF(OR(M872="equivocal",O872="equivocal"),"疑似",IF(AND(M872="positive",O872="positive"),"a",IF(O872="positive","b",IF(M872="positive","c","d")))))</x:f>
        <x:v>d</x:v>
      </x:c>
      <x:c r="Q872" s="12"/>
      <x:c r="R872" s="12" t="str">
        <x:v>negative</x:v>
      </x:c>
      <x:c r="S872" s="12"/>
      <x:c r="T872" s="12" t="str">
        <x:v>negative</x:v>
      </x:c>
      <x:c r="U872" s="12" t="str">
        <x:f>IF(OR(R872="unavailable",T872="unavailable"),"不可评价",IF(OR(R872="equivocal",T872="equivocal"),"疑似",IF(AND(R872="positive",T872="positive"),"a",IF(T872="positive","b",IF(R872="positive","c","d")))))</x:f>
        <x:v>d</x:v>
      </x:c>
      <x:c r="V872" s="12"/>
      <x:c r="W872" s="12" t="str">
        <x:v>negative</x:v>
      </x:c>
      <x:c r="X872" s="12"/>
      <x:c r="Y872" s="12" t="str">
        <x:v>negative</x:v>
      </x:c>
      <x:c r="Z872" s="12" t="str">
        <x:f>IF(OR(W872="unavailable",Y872="unavailable"),"不可评价",IF(OR(W872="equivocal",Y872="equivocal"),"疑似",IF(AND(W872="positive",Y872="positive"),"a",IF(Y872="positive","b",IF(W872="positive","c","d")))))</x:f>
        <x:v>d</x:v>
      </x:c>
      <x:c r="AA872" s="12" t="str">
        <x:f>IF(OR(M872="unavailable",O872="unavailable"),"不可评价",IF(AND(OR(M872="positive",M872="equivocal"),OR(O872="positive",O872="equivocal")),"a",IF(OR(O872="positive",O872="equivocal"),"b",IF(OR(M872="positive",M872="equivocal"),"c","d"))))</x:f>
        <x:v>d</x:v>
      </x:c>
      <x:c r="AB872" s="12" t="str">
        <x:f>IF(OR(M872="unavailable",O872="unavailable"),"不可评价",IF(AND(M872="positive",O872="positive"),"a",IF(O872="positive","b",IF(M872="positive","c","d"))))</x:f>
        <x:v>d</x:v>
      </x:c>
      <x:c r="AC872" s="12" t="str">
        <x:f>IF(OR(R872="unavailable",T872="unavailable"),"不可评价",IF(AND(OR(R872="positive",R872="equivocal"),OR(T872="positive",T872="equivocal")),"a",IF(OR(T872="positive",T872="equivocal"),"b",IF(OR(R872="positive",R872="equivocal"),"c","d"))))</x:f>
        <x:v>d</x:v>
      </x:c>
      <x:c r="AD872" s="12" t="str">
        <x:f>IF(OR(R872="unavailable",T872="unavailable"),"不可评价",IF(AND(R872="positive",T872="positive"),"a",IF(T872="positive","b",IF(R872="positive","c","d"))))</x:f>
        <x:v>d</x:v>
      </x:c>
      <x:c r="AE872" s="12" t="str">
        <x:f>IF(OR(W872="unavailable",Y872="unavailable"),"不可评价",IF(AND(OR(W872="positive",W872="equivocal"),OR(Y872="positive",Y872="equivocal")),"a",IF(OR(Y872="positive",Y872="equivocal"),"b",IF(OR(W872="positive",W872="equivocal"),"c","d"))))</x:f>
        <x:v>d</x:v>
      </x:c>
      <x:c r="AF872" s="12" t="str">
        <x:f>IF(OR(W872="unavailable",Y872="unavailable"),"不可评价",IF(AND(W872="positive",Y872="positive"),"a",IF(Y872="positive","b",IF(W872="positive","c","d"))))</x:f>
        <x:v>d</x:v>
      </x:c>
    </x:row>
    <x:row r="873" ht="24" customHeight="1">
      <x:c r="A873" s="12" t="str">
        <x:v>7670</x:v>
      </x:c>
      <x:c r="B873" s="12" t="str">
        <x:v>12137</x:v>
      </x:c>
      <x:c r="C873" s="21" t="n">
        <x:v>33628.740590277775</x:v>
      </x:c>
      <x:c r="D873" s="12" t="n">
        <x:v>66</x:v>
      </x:c>
      <x:c r="E873" s="12" t="n">
        <x:v>0</x:v>
      </x:c>
      <x:c r="F873" s="12" t="str">
        <x:v>未记录</x:v>
      </x:c>
      <x:c r="G873" s="12" t="n">
        <x:v>1</x:v>
      </x:c>
      <x:c r="H873" s="12" t="str">
        <x:v>{'LVH': 50.0, 'VCLVH': 0.0, 'SR': 0.0}</x:v>
      </x:c>
      <x:c r="I873" s="12" t="str">
        <x:v>[('NSR', 100.0), ('LNGQT', 100.0), ('AB', 100.0)]</x:v>
      </x:c>
      <x:c r="J873" s="12" t="str">
        <x:v>ptbxl_database.csv；ecg_id=7670；scp_codes</x:v>
      </x:c>
      <x:c r="K873" s="12" t="str">
        <x:v>12sl_statements.csv；ecg_id=7670；statements_ext_snomed</x:v>
      </x:c>
      <x:c r="L873" s="12"/>
      <x:c r="M873" s="12" t="str">
        <x:v>negative</x:v>
      </x:c>
      <x:c r="N873" s="12"/>
      <x:c r="O873" s="12" t="str">
        <x:v>negative</x:v>
      </x:c>
      <x:c r="P873" s="12" t="str">
        <x:f>IF(OR(M873="unavailable",O873="unavailable"),"不可评价",IF(OR(M873="equivocal",O873="equivocal"),"疑似",IF(AND(M873="positive",O873="positive"),"a",IF(O873="positive","b",IF(M873="positive","c","d")))))</x:f>
        <x:v>d</x:v>
      </x:c>
      <x:c r="Q873" s="12"/>
      <x:c r="R873" s="12" t="str">
        <x:v>negative</x:v>
      </x:c>
      <x:c r="S873" s="12"/>
      <x:c r="T873" s="12" t="str">
        <x:v>negative</x:v>
      </x:c>
      <x:c r="U873" s="12" t="str">
        <x:f>IF(OR(R873="unavailable",T873="unavailable"),"不可评价",IF(OR(R873="equivocal",T873="equivocal"),"疑似",IF(AND(R873="positive",T873="positive"),"a",IF(T873="positive","b",IF(R873="positive","c","d")))))</x:f>
        <x:v>d</x:v>
      </x:c>
      <x:c r="V873" s="12"/>
      <x:c r="W873" s="12" t="str">
        <x:v>negative</x:v>
      </x:c>
      <x:c r="X873" s="12"/>
      <x:c r="Y873" s="12" t="str">
        <x:v>negative</x:v>
      </x:c>
      <x:c r="Z873" s="12" t="str">
        <x:f>IF(OR(W873="unavailable",Y873="unavailable"),"不可评价",IF(OR(W873="equivocal",Y873="equivocal"),"疑似",IF(AND(W873="positive",Y873="positive"),"a",IF(Y873="positive","b",IF(W873="positive","c","d")))))</x:f>
        <x:v>d</x:v>
      </x:c>
      <x:c r="AA873" s="12" t="str">
        <x:f>IF(OR(M873="unavailable",O873="unavailable"),"不可评价",IF(AND(OR(M873="positive",M873="equivocal"),OR(O873="positive",O873="equivocal")),"a",IF(OR(O873="positive",O873="equivocal"),"b",IF(OR(M873="positive",M873="equivocal"),"c","d"))))</x:f>
        <x:v>d</x:v>
      </x:c>
      <x:c r="AB873" s="12" t="str">
        <x:f>IF(OR(M873="unavailable",O873="unavailable"),"不可评价",IF(AND(M873="positive",O873="positive"),"a",IF(O873="positive","b",IF(M873="positive","c","d"))))</x:f>
        <x:v>d</x:v>
      </x:c>
      <x:c r="AC873" s="12" t="str">
        <x:f>IF(OR(R873="unavailable",T873="unavailable"),"不可评价",IF(AND(OR(R873="positive",R873="equivocal"),OR(T873="positive",T873="equivocal")),"a",IF(OR(T873="positive",T873="equivocal"),"b",IF(OR(R873="positive",R873="equivocal"),"c","d"))))</x:f>
        <x:v>d</x:v>
      </x:c>
      <x:c r="AD873" s="12" t="str">
        <x:f>IF(OR(R873="unavailable",T873="unavailable"),"不可评价",IF(AND(R873="positive",T873="positive"),"a",IF(T873="positive","b",IF(R873="positive","c","d"))))</x:f>
        <x:v>d</x:v>
      </x:c>
      <x:c r="AE873" s="12" t="str">
        <x:f>IF(OR(W873="unavailable",Y873="unavailable"),"不可评价",IF(AND(OR(W873="positive",W873="equivocal"),OR(Y873="positive",Y873="equivocal")),"a",IF(OR(Y873="positive",Y873="equivocal"),"b",IF(OR(W873="positive",W873="equivocal"),"c","d"))))</x:f>
        <x:v>d</x:v>
      </x:c>
      <x:c r="AF873" s="12" t="str">
        <x:f>IF(OR(W873="unavailable",Y873="unavailable"),"不可评价",IF(AND(W873="positive",Y873="positive"),"a",IF(Y873="positive","b",IF(W873="positive","c","d"))))</x:f>
        <x:v>d</x:v>
      </x:c>
    </x:row>
    <x:row r="874" ht="24" customHeight="1">
      <x:c r="A874" s="12" t="str">
        <x:v>7684</x:v>
      </x:c>
      <x:c r="B874" s="12" t="str">
        <x:v>6229</x:v>
      </x:c>
      <x:c r="C874" s="21" t="n">
        <x:v>33631.39665509259</x:v>
      </x:c>
      <x:c r="D874" s="12" t="n">
        <x:v>82</x:v>
      </x:c>
      <x:c r="E874" s="12" t="n">
        <x:v>1</x:v>
      </x:c>
      <x:c r="F874" s="12" t="str">
        <x:v>未记录</x:v>
      </x:c>
      <x:c r="G874" s="12" t="n">
        <x:v>1</x:v>
      </x:c>
      <x:c r="H874" s="12" t="str">
        <x:v>{'LVH': 50.0, 'SR': 0.0}</x:v>
      </x:c>
      <x:c r="I874" s="12" t="str">
        <x:v>[('NSR', 100.0), ('NML', 100.0)]</x:v>
      </x:c>
      <x:c r="J874" s="12" t="str">
        <x:v>ptbxl_database.csv；ecg_id=7684；scp_codes</x:v>
      </x:c>
      <x:c r="K874" s="12" t="str">
        <x:v>12sl_statements.csv；ecg_id=7684；statements_ext_snomed</x:v>
      </x:c>
      <x:c r="L874" s="12"/>
      <x:c r="M874" s="12" t="str">
        <x:v>negative</x:v>
      </x:c>
      <x:c r="N874" s="12"/>
      <x:c r="O874" s="12" t="str">
        <x:v>negative</x:v>
      </x:c>
      <x:c r="P874" s="12" t="str">
        <x:f>IF(OR(M874="unavailable",O874="unavailable"),"不可评价",IF(OR(M874="equivocal",O874="equivocal"),"疑似",IF(AND(M874="positive",O874="positive"),"a",IF(O874="positive","b",IF(M874="positive","c","d")))))</x:f>
        <x:v>d</x:v>
      </x:c>
      <x:c r="Q874" s="12"/>
      <x:c r="R874" s="12" t="str">
        <x:v>negative</x:v>
      </x:c>
      <x:c r="S874" s="12"/>
      <x:c r="T874" s="12" t="str">
        <x:v>negative</x:v>
      </x:c>
      <x:c r="U874" s="12" t="str">
        <x:f>IF(OR(R874="unavailable",T874="unavailable"),"不可评价",IF(OR(R874="equivocal",T874="equivocal"),"疑似",IF(AND(R874="positive",T874="positive"),"a",IF(T874="positive","b",IF(R874="positive","c","d")))))</x:f>
        <x:v>d</x:v>
      </x:c>
      <x:c r="V874" s="12"/>
      <x:c r="W874" s="12" t="str">
        <x:v>negative</x:v>
      </x:c>
      <x:c r="X874" s="12"/>
      <x:c r="Y874" s="12" t="str">
        <x:v>negative</x:v>
      </x:c>
      <x:c r="Z874" s="12" t="str">
        <x:f>IF(OR(W874="unavailable",Y874="unavailable"),"不可评价",IF(OR(W874="equivocal",Y874="equivocal"),"疑似",IF(AND(W874="positive",Y874="positive"),"a",IF(Y874="positive","b",IF(W874="positive","c","d")))))</x:f>
        <x:v>d</x:v>
      </x:c>
      <x:c r="AA874" s="12" t="str">
        <x:f>IF(OR(M874="unavailable",O874="unavailable"),"不可评价",IF(AND(OR(M874="positive",M874="equivocal"),OR(O874="positive",O874="equivocal")),"a",IF(OR(O874="positive",O874="equivocal"),"b",IF(OR(M874="positive",M874="equivocal"),"c","d"))))</x:f>
        <x:v>d</x:v>
      </x:c>
      <x:c r="AB874" s="12" t="str">
        <x:f>IF(OR(M874="unavailable",O874="unavailable"),"不可评价",IF(AND(M874="positive",O874="positive"),"a",IF(O874="positive","b",IF(M874="positive","c","d"))))</x:f>
        <x:v>d</x:v>
      </x:c>
      <x:c r="AC874" s="12" t="str">
        <x:f>IF(OR(R874="unavailable",T874="unavailable"),"不可评价",IF(AND(OR(R874="positive",R874="equivocal"),OR(T874="positive",T874="equivocal")),"a",IF(OR(T874="positive",T874="equivocal"),"b",IF(OR(R874="positive",R874="equivocal"),"c","d"))))</x:f>
        <x:v>d</x:v>
      </x:c>
      <x:c r="AD874" s="12" t="str">
        <x:f>IF(OR(R874="unavailable",T874="unavailable"),"不可评价",IF(AND(R874="positive",T874="positive"),"a",IF(T874="positive","b",IF(R874="positive","c","d"))))</x:f>
        <x:v>d</x:v>
      </x:c>
      <x:c r="AE874" s="12" t="str">
        <x:f>IF(OR(W874="unavailable",Y874="unavailable"),"不可评价",IF(AND(OR(W874="positive",W874="equivocal"),OR(Y874="positive",Y874="equivocal")),"a",IF(OR(Y874="positive",Y874="equivocal"),"b",IF(OR(W874="positive",W874="equivocal"),"c","d"))))</x:f>
        <x:v>d</x:v>
      </x:c>
      <x:c r="AF874" s="12" t="str">
        <x:f>IF(OR(W874="unavailable",Y874="unavailable"),"不可评价",IF(AND(W874="positive",Y874="positive"),"a",IF(Y874="positive","b",IF(W874="positive","c","d"))))</x:f>
        <x:v>d</x:v>
      </x:c>
    </x:row>
    <x:row r="875" ht="24" customHeight="1">
      <x:c r="A875" s="12" t="str">
        <x:v>7692</x:v>
      </x:c>
      <x:c r="B875" s="12" t="str">
        <x:v>6474</x:v>
      </x:c>
      <x:c r="C875" s="21" t="n">
        <x:v>33631.585694444446</x:v>
      </x:c>
      <x:c r="D875" s="12" t="n">
        <x:v>74</x:v>
      </x:c>
      <x:c r="E875" s="12" t="n">
        <x:v>0</x:v>
      </x:c>
      <x:c r="F875" s="12" t="str">
        <x:v>未记录</x:v>
      </x:c>
      <x:c r="G875" s="12" t="n">
        <x:v>1</x:v>
      </x:c>
      <x:c r="H875" s="12" t="str">
        <x:v>{'ILMI': 50.0, 'ISCLA': 100.0, 'QWAVE': 0.0, 'SR': 0.0}</x:v>
      </x:c>
      <x:c r="I875" s="12" t="str">
        <x:v>[('NSR', 100.0), ('IMI;AU', 100.0), ('LT', 100.0), ('AB', 100.0)]</x:v>
      </x:c>
      <x:c r="J875" s="12" t="str">
        <x:v>ptbxl_database.csv；ecg_id=7692；scp_codes</x:v>
      </x:c>
      <x:c r="K875" s="12" t="str">
        <x:v>12sl_statements.csv；ecg_id=7692；statements_ext_snomed</x:v>
      </x:c>
      <x:c r="L875" s="12"/>
      <x:c r="M875" s="12" t="str">
        <x:v>negative</x:v>
      </x:c>
      <x:c r="N875" s="12"/>
      <x:c r="O875" s="12" t="str">
        <x:v>negative</x:v>
      </x:c>
      <x:c r="P875" s="12" t="str">
        <x:f>IF(OR(M875="unavailable",O875="unavailable"),"不可评价",IF(OR(M875="equivocal",O875="equivocal"),"疑似",IF(AND(M875="positive",O875="positive"),"a",IF(O875="positive","b",IF(M875="positive","c","d")))))</x:f>
        <x:v>d</x:v>
      </x:c>
      <x:c r="Q875" s="12"/>
      <x:c r="R875" s="12" t="str">
        <x:v>negative</x:v>
      </x:c>
      <x:c r="S875" s="12"/>
      <x:c r="T875" s="12" t="str">
        <x:v>negative</x:v>
      </x:c>
      <x:c r="U875" s="12" t="str">
        <x:f>IF(OR(R875="unavailable",T875="unavailable"),"不可评价",IF(OR(R875="equivocal",T875="equivocal"),"疑似",IF(AND(R875="positive",T875="positive"),"a",IF(T875="positive","b",IF(R875="positive","c","d")))))</x:f>
        <x:v>d</x:v>
      </x:c>
      <x:c r="V875" s="12"/>
      <x:c r="W875" s="12" t="str">
        <x:v>negative</x:v>
      </x:c>
      <x:c r="X875" s="12"/>
      <x:c r="Y875" s="12" t="str">
        <x:v>negative</x:v>
      </x:c>
      <x:c r="Z875" s="12" t="str">
        <x:f>IF(OR(W875="unavailable",Y875="unavailable"),"不可评价",IF(OR(W875="equivocal",Y875="equivocal"),"疑似",IF(AND(W875="positive",Y875="positive"),"a",IF(Y875="positive","b",IF(W875="positive","c","d")))))</x:f>
        <x:v>d</x:v>
      </x:c>
      <x:c r="AA875" s="12" t="str">
        <x:f>IF(OR(M875="unavailable",O875="unavailable"),"不可评价",IF(AND(OR(M875="positive",M875="equivocal"),OR(O875="positive",O875="equivocal")),"a",IF(OR(O875="positive",O875="equivocal"),"b",IF(OR(M875="positive",M875="equivocal"),"c","d"))))</x:f>
        <x:v>d</x:v>
      </x:c>
      <x:c r="AB875" s="12" t="str">
        <x:f>IF(OR(M875="unavailable",O875="unavailable"),"不可评价",IF(AND(M875="positive",O875="positive"),"a",IF(O875="positive","b",IF(M875="positive","c","d"))))</x:f>
        <x:v>d</x:v>
      </x:c>
      <x:c r="AC875" s="12" t="str">
        <x:f>IF(OR(R875="unavailable",T875="unavailable"),"不可评价",IF(AND(OR(R875="positive",R875="equivocal"),OR(T875="positive",T875="equivocal")),"a",IF(OR(T875="positive",T875="equivocal"),"b",IF(OR(R875="positive",R875="equivocal"),"c","d"))))</x:f>
        <x:v>d</x:v>
      </x:c>
      <x:c r="AD875" s="12" t="str">
        <x:f>IF(OR(R875="unavailable",T875="unavailable"),"不可评价",IF(AND(R875="positive",T875="positive"),"a",IF(T875="positive","b",IF(R875="positive","c","d"))))</x:f>
        <x:v>d</x:v>
      </x:c>
      <x:c r="AE875" s="12" t="str">
        <x:f>IF(OR(W875="unavailable",Y875="unavailable"),"不可评价",IF(AND(OR(W875="positive",W875="equivocal"),OR(Y875="positive",Y875="equivocal")),"a",IF(OR(Y875="positive",Y875="equivocal"),"b",IF(OR(W875="positive",W875="equivocal"),"c","d"))))</x:f>
        <x:v>d</x:v>
      </x:c>
      <x:c r="AF875" s="12" t="str">
        <x:f>IF(OR(W875="unavailable",Y875="unavailable"),"不可评价",IF(AND(W875="positive",Y875="positive"),"a",IF(Y875="positive","b",IF(W875="positive","c","d"))))</x:f>
        <x:v>d</x:v>
      </x:c>
    </x:row>
    <x:row r="876" ht="39" customHeight="1">
      <x:c r="A876" s="12" t="str">
        <x:v>7700</x:v>
      </x:c>
      <x:c r="B876" s="12" t="str">
        <x:v>9740</x:v>
      </x:c>
      <x:c r="C876" s="21" t="n">
        <x:v>33632.50053240741</x:v>
      </x:c>
      <x:c r="D876" s="12" t="n">
        <x:v>59</x:v>
      </x:c>
      <x:c r="E876" s="12" t="n">
        <x:v>0</x:v>
      </x:c>
      <x:c r="F876" s="12" t="str">
        <x:v>存在</x:v>
      </x:c>
      <x:c r="G876" s="12" t="n">
        <x:v>0</x:v>
      </x:c>
      <x:c r="H876" s="12" t="str">
        <x:v>{'IMI': 80.0, 'LVH': 80.0, 'ISC_': 100.0, 'IRBBB': 100.0, 'SR': 0.0}</x:v>
      </x:c>
      <x:c r="I876" s="12" t="str">
        <x:v>[('SRTH', 100.0), ('FAV', 100.0), ('IRBBB', 100.0), ('LSBINJ', 100.0), ('LNGQT', 100.0), ('AB', 100.0)]</x:v>
      </x:c>
      <x:c r="J876" s="12" t="str">
        <x:v>ptbxl_database.csv；ecg_id=7700；scp_codes</x:v>
      </x:c>
      <x:c r="K876" s="12" t="str">
        <x:v>12sl_statements.csv；ecg_id=7700；statements_ext_snomed</x:v>
      </x:c>
      <x:c r="L876" s="12"/>
      <x:c r="M876" s="12" t="str">
        <x:v>negative</x:v>
      </x:c>
      <x:c r="N876" s="12"/>
      <x:c r="O876" s="12" t="str">
        <x:v>negative</x:v>
      </x:c>
      <x:c r="P876" s="12" t="str">
        <x:f>IF(OR(M876="unavailable",O876="unavailable"),"不可评价",IF(OR(M876="equivocal",O876="equivocal"),"疑似",IF(AND(M876="positive",O876="positive"),"a",IF(O876="positive","b",IF(M876="positive","c","d")))))</x:f>
        <x:v>d</x:v>
      </x:c>
      <x:c r="Q876" s="12"/>
      <x:c r="R876" s="12" t="str">
        <x:v>negative</x:v>
      </x:c>
      <x:c r="S876" s="12"/>
      <x:c r="T876" s="12" t="str">
        <x:v>negative</x:v>
      </x:c>
      <x:c r="U876" s="12" t="str">
        <x:f>IF(OR(R876="unavailable",T876="unavailable"),"不可评价",IF(OR(R876="equivocal",T876="equivocal"),"疑似",IF(AND(R876="positive",T876="positive"),"a",IF(T876="positive","b",IF(R876="positive","c","d")))))</x:f>
        <x:v>d</x:v>
      </x:c>
      <x:c r="V876" s="12"/>
      <x:c r="W876" s="12" t="str">
        <x:v>negative</x:v>
      </x:c>
      <x:c r="X876" s="12"/>
      <x:c r="Y876" s="12" t="str">
        <x:v>negative</x:v>
      </x:c>
      <x:c r="Z876" s="12" t="str">
        <x:f>IF(OR(W876="unavailable",Y876="unavailable"),"不可评价",IF(OR(W876="equivocal",Y876="equivocal"),"疑似",IF(AND(W876="positive",Y876="positive"),"a",IF(Y876="positive","b",IF(W876="positive","c","d")))))</x:f>
        <x:v>d</x:v>
      </x:c>
      <x:c r="AA876" s="12" t="str">
        <x:f>IF(OR(M876="unavailable",O876="unavailable"),"不可评价",IF(AND(OR(M876="positive",M876="equivocal"),OR(O876="positive",O876="equivocal")),"a",IF(OR(O876="positive",O876="equivocal"),"b",IF(OR(M876="positive",M876="equivocal"),"c","d"))))</x:f>
        <x:v>d</x:v>
      </x:c>
      <x:c r="AB876" s="12" t="str">
        <x:f>IF(OR(M876="unavailable",O876="unavailable"),"不可评价",IF(AND(M876="positive",O876="positive"),"a",IF(O876="positive","b",IF(M876="positive","c","d"))))</x:f>
        <x:v>d</x:v>
      </x:c>
      <x:c r="AC876" s="12" t="str">
        <x:f>IF(OR(R876="unavailable",T876="unavailable"),"不可评价",IF(AND(OR(R876="positive",R876="equivocal"),OR(T876="positive",T876="equivocal")),"a",IF(OR(T876="positive",T876="equivocal"),"b",IF(OR(R876="positive",R876="equivocal"),"c","d"))))</x:f>
        <x:v>d</x:v>
      </x:c>
      <x:c r="AD876" s="12" t="str">
        <x:f>IF(OR(R876="unavailable",T876="unavailable"),"不可评价",IF(AND(R876="positive",T876="positive"),"a",IF(T876="positive","b",IF(R876="positive","c","d"))))</x:f>
        <x:v>d</x:v>
      </x:c>
      <x:c r="AE876" s="12" t="str">
        <x:f>IF(OR(W876="unavailable",Y876="unavailable"),"不可评价",IF(AND(OR(W876="positive",W876="equivocal"),OR(Y876="positive",Y876="equivocal")),"a",IF(OR(Y876="positive",Y876="equivocal"),"b",IF(OR(W876="positive",W876="equivocal"),"c","d"))))</x:f>
        <x:v>d</x:v>
      </x:c>
      <x:c r="AF876" s="12" t="str">
        <x:f>IF(OR(W876="unavailable",Y876="unavailable"),"不可评价",IF(AND(W876="positive",Y876="positive"),"a",IF(Y876="positive","b",IF(W876="positive","c","d"))))</x:f>
        <x:v>d</x:v>
      </x:c>
    </x:row>
    <x:row r="877" ht="24" customHeight="1">
      <x:c r="A877" s="12" t="str">
        <x:v>7744</x:v>
      </x:c>
      <x:c r="B877" s="12" t="str">
        <x:v>20954</x:v>
      </x:c>
      <x:c r="C877" s="21" t="n">
        <x:v>33640.46326388889</x:v>
      </x:c>
      <x:c r="D877" s="12" t="n">
        <x:v>73</x:v>
      </x:c>
      <x:c r="E877" s="12" t="n">
        <x:v>0</x:v>
      </x:c>
      <x:c r="F877" s="12" t="str">
        <x:v>存在</x:v>
      </x:c>
      <x:c r="G877" s="12" t="n">
        <x:v>1</x:v>
      </x:c>
      <x:c r="H877" s="12" t="str">
        <x:v>{'IMI': 15.0, 'ABQRS': 0.0, 'SR': 0.0}</x:v>
      </x:c>
      <x:c r="I877" s="12" t="str">
        <x:v>[('JUNCT-R', 100.0), ('LOWV', 100.0), ('NST', 100.0), ('AB', 100.0)]</x:v>
      </x:c>
      <x:c r="J877" s="12" t="str">
        <x:v>ptbxl_database.csv；ecg_id=7744；scp_codes</x:v>
      </x:c>
      <x:c r="K877" s="12" t="str">
        <x:v>12sl_statements.csv；ecg_id=7744；statements_ext_snomed</x:v>
      </x:c>
      <x:c r="L877" s="12"/>
      <x:c r="M877" s="12" t="str">
        <x:v>negative</x:v>
      </x:c>
      <x:c r="N877" s="12"/>
      <x:c r="O877" s="12" t="str">
        <x:v>negative</x:v>
      </x:c>
      <x:c r="P877" s="12" t="str">
        <x:f>IF(OR(M877="unavailable",O877="unavailable"),"不可评价",IF(OR(M877="equivocal",O877="equivocal"),"疑似",IF(AND(M877="positive",O877="positive"),"a",IF(O877="positive","b",IF(M877="positive","c","d")))))</x:f>
        <x:v>d</x:v>
      </x:c>
      <x:c r="Q877" s="12"/>
      <x:c r="R877" s="12" t="str">
        <x:v>negative</x:v>
      </x:c>
      <x:c r="S877" s="12"/>
      <x:c r="T877" s="12" t="str">
        <x:v>negative</x:v>
      </x:c>
      <x:c r="U877" s="12" t="str">
        <x:f>IF(OR(R877="unavailable",T877="unavailable"),"不可评价",IF(OR(R877="equivocal",T877="equivocal"),"疑似",IF(AND(R877="positive",T877="positive"),"a",IF(T877="positive","b",IF(R877="positive","c","d")))))</x:f>
        <x:v>d</x:v>
      </x:c>
      <x:c r="V877" s="12"/>
      <x:c r="W877" s="12" t="str">
        <x:v>negative</x:v>
      </x:c>
      <x:c r="X877" s="12"/>
      <x:c r="Y877" s="12" t="str">
        <x:v>negative</x:v>
      </x:c>
      <x:c r="Z877" s="12" t="str">
        <x:f>IF(OR(W877="unavailable",Y877="unavailable"),"不可评价",IF(OR(W877="equivocal",Y877="equivocal"),"疑似",IF(AND(W877="positive",Y877="positive"),"a",IF(Y877="positive","b",IF(W877="positive","c","d")))))</x:f>
        <x:v>d</x:v>
      </x:c>
      <x:c r="AA877" s="12" t="str">
        <x:f>IF(OR(M877="unavailable",O877="unavailable"),"不可评价",IF(AND(OR(M877="positive",M877="equivocal"),OR(O877="positive",O877="equivocal")),"a",IF(OR(O877="positive",O877="equivocal"),"b",IF(OR(M877="positive",M877="equivocal"),"c","d"))))</x:f>
        <x:v>d</x:v>
      </x:c>
      <x:c r="AB877" s="12" t="str">
        <x:f>IF(OR(M877="unavailable",O877="unavailable"),"不可评价",IF(AND(M877="positive",O877="positive"),"a",IF(O877="positive","b",IF(M877="positive","c","d"))))</x:f>
        <x:v>d</x:v>
      </x:c>
      <x:c r="AC877" s="12" t="str">
        <x:f>IF(OR(R877="unavailable",T877="unavailable"),"不可评价",IF(AND(OR(R877="positive",R877="equivocal"),OR(T877="positive",T877="equivocal")),"a",IF(OR(T877="positive",T877="equivocal"),"b",IF(OR(R877="positive",R877="equivocal"),"c","d"))))</x:f>
        <x:v>d</x:v>
      </x:c>
      <x:c r="AD877" s="12" t="str">
        <x:f>IF(OR(R877="unavailable",T877="unavailable"),"不可评价",IF(AND(R877="positive",T877="positive"),"a",IF(T877="positive","b",IF(R877="positive","c","d"))))</x:f>
        <x:v>d</x:v>
      </x:c>
      <x:c r="AE877" s="12" t="str">
        <x:f>IF(OR(W877="unavailable",Y877="unavailable"),"不可评价",IF(AND(OR(W877="positive",W877="equivocal"),OR(Y877="positive",Y877="equivocal")),"a",IF(OR(Y877="positive",Y877="equivocal"),"b",IF(OR(W877="positive",W877="equivocal"),"c","d"))))</x:f>
        <x:v>d</x:v>
      </x:c>
      <x:c r="AF877" s="12" t="str">
        <x:f>IF(OR(W877="unavailable",Y877="unavailable"),"不可评价",IF(AND(W877="positive",Y877="positive"),"a",IF(Y877="positive","b",IF(W877="positive","c","d"))))</x:f>
        <x:v>d</x:v>
      </x:c>
    </x:row>
    <x:row r="878" ht="24" customHeight="1">
      <x:c r="A878" s="12" t="str">
        <x:v>7747</x:v>
      </x:c>
      <x:c r="B878" s="12" t="str">
        <x:v>17406</x:v>
      </x:c>
      <x:c r="C878" s="21" t="n">
        <x:v>33640.60126157408</x:v>
      </x:c>
      <x:c r="D878" s="12" t="n">
        <x:v>49</x:v>
      </x:c>
      <x:c r="E878" s="12" t="n">
        <x:v>1</x:v>
      </x:c>
      <x:c r="F878" s="12" t="str">
        <x:v>未记录</x:v>
      </x:c>
      <x:c r="G878" s="12" t="n">
        <x:v>1</x:v>
      </x:c>
      <x:c r="H878" s="12" t="str">
        <x:v>{'IMI': 15.0, 'ABQRS': 0.0, 'SR': 0.0}</x:v>
      </x:c>
      <x:c r="I878" s="12" t="str">
        <x:v>[('NSR', 100.0), ('NML', 100.0)]</x:v>
      </x:c>
      <x:c r="J878" s="12" t="str">
        <x:v>ptbxl_database.csv；ecg_id=7747；scp_codes</x:v>
      </x:c>
      <x:c r="K878" s="12" t="str">
        <x:v>12sl_statements.csv；ecg_id=7747；statements_ext_snomed</x:v>
      </x:c>
      <x:c r="L878" s="12"/>
      <x:c r="M878" s="12" t="str">
        <x:v>negative</x:v>
      </x:c>
      <x:c r="N878" s="12"/>
      <x:c r="O878" s="12" t="str">
        <x:v>negative</x:v>
      </x:c>
      <x:c r="P878" s="12" t="str">
        <x:f>IF(OR(M878="unavailable",O878="unavailable"),"不可评价",IF(OR(M878="equivocal",O878="equivocal"),"疑似",IF(AND(M878="positive",O878="positive"),"a",IF(O878="positive","b",IF(M878="positive","c","d")))))</x:f>
        <x:v>d</x:v>
      </x:c>
      <x:c r="Q878" s="12"/>
      <x:c r="R878" s="12" t="str">
        <x:v>negative</x:v>
      </x:c>
      <x:c r="S878" s="12"/>
      <x:c r="T878" s="12" t="str">
        <x:v>negative</x:v>
      </x:c>
      <x:c r="U878" s="12" t="str">
        <x:f>IF(OR(R878="unavailable",T878="unavailable"),"不可评价",IF(OR(R878="equivocal",T878="equivocal"),"疑似",IF(AND(R878="positive",T878="positive"),"a",IF(T878="positive","b",IF(R878="positive","c","d")))))</x:f>
        <x:v>d</x:v>
      </x:c>
      <x:c r="V878" s="12"/>
      <x:c r="W878" s="12" t="str">
        <x:v>negative</x:v>
      </x:c>
      <x:c r="X878" s="12"/>
      <x:c r="Y878" s="12" t="str">
        <x:v>negative</x:v>
      </x:c>
      <x:c r="Z878" s="12" t="str">
        <x:f>IF(OR(W878="unavailable",Y878="unavailable"),"不可评价",IF(OR(W878="equivocal",Y878="equivocal"),"疑似",IF(AND(W878="positive",Y878="positive"),"a",IF(Y878="positive","b",IF(W878="positive","c","d")))))</x:f>
        <x:v>d</x:v>
      </x:c>
      <x:c r="AA878" s="12" t="str">
        <x:f>IF(OR(M878="unavailable",O878="unavailable"),"不可评价",IF(AND(OR(M878="positive",M878="equivocal"),OR(O878="positive",O878="equivocal")),"a",IF(OR(O878="positive",O878="equivocal"),"b",IF(OR(M878="positive",M878="equivocal"),"c","d"))))</x:f>
        <x:v>d</x:v>
      </x:c>
      <x:c r="AB878" s="12" t="str">
        <x:f>IF(OR(M878="unavailable",O878="unavailable"),"不可评价",IF(AND(M878="positive",O878="positive"),"a",IF(O878="positive","b",IF(M878="positive","c","d"))))</x:f>
        <x:v>d</x:v>
      </x:c>
      <x:c r="AC878" s="12" t="str">
        <x:f>IF(OR(R878="unavailable",T878="unavailable"),"不可评价",IF(AND(OR(R878="positive",R878="equivocal"),OR(T878="positive",T878="equivocal")),"a",IF(OR(T878="positive",T878="equivocal"),"b",IF(OR(R878="positive",R878="equivocal"),"c","d"))))</x:f>
        <x:v>d</x:v>
      </x:c>
      <x:c r="AD878" s="12" t="str">
        <x:f>IF(OR(R878="unavailable",T878="unavailable"),"不可评价",IF(AND(R878="positive",T878="positive"),"a",IF(T878="positive","b",IF(R878="positive","c","d"))))</x:f>
        <x:v>d</x:v>
      </x:c>
      <x:c r="AE878" s="12" t="str">
        <x:f>IF(OR(W878="unavailable",Y878="unavailable"),"不可评价",IF(AND(OR(W878="positive",W878="equivocal"),OR(Y878="positive",Y878="equivocal")),"a",IF(OR(Y878="positive",Y878="equivocal"),"b",IF(OR(W878="positive",W878="equivocal"),"c","d"))))</x:f>
        <x:v>d</x:v>
      </x:c>
      <x:c r="AF878" s="12" t="str">
        <x:f>IF(OR(W878="unavailable",Y878="unavailable"),"不可评价",IF(AND(W878="positive",Y878="positive"),"a",IF(Y878="positive","b",IF(W878="positive","c","d"))))</x:f>
        <x:v>d</x:v>
      </x:c>
    </x:row>
    <x:row r="879" ht="39" customHeight="1">
      <x:c r="A879" s="12" t="str">
        <x:v>7751</x:v>
      </x:c>
      <x:c r="B879" s="12" t="str">
        <x:v>4521</x:v>
      </x:c>
      <x:c r="C879" s="21" t="n">
        <x:v>33642.5330787037</x:v>
      </x:c>
      <x:c r="D879" s="12" t="n">
        <x:v>300</x:v>
      </x:c>
      <x:c r="E879" s="12" t="n">
        <x:v>1</x:v>
      </x:c>
      <x:c r="F879" s="12" t="str">
        <x:v>未记录</x:v>
      </x:c>
      <x:c r="G879" s="12" t="n">
        <x:v>1</x:v>
      </x:c>
      <x:c r="H879" s="12" t="str">
        <x:v>{'ASMI': 100.0, 'AFIB': 0.0}</x:v>
      </x:c>
      <x:c r="I879" s="12" t="str">
        <x:v>[('AFIB', 100.0), ('RVR', 100.0), ('LAD3', 100.0), ('ASMI;AU', 100.0), ('ST&amp;', 100.0), ('LT', 100.0), ('AB', 100.0)]</x:v>
      </x:c>
      <x:c r="J879" s="12" t="str">
        <x:v>ptbxl_database.csv；ecg_id=7751；scp_codes</x:v>
      </x:c>
      <x:c r="K879" s="12" t="str">
        <x:v>12sl_statements.csv；ecg_id=7751；statements_ext_snomed</x:v>
      </x:c>
      <x:c r="L879" s="12" t="n">
        <x:v>0</x:v>
      </x:c>
      <x:c r="M879" s="12" t="str">
        <x:v>positive</x:v>
      </x:c>
      <x:c r="N879" s="12" t="n">
        <x:v>100</x:v>
      </x:c>
      <x:c r="O879" s="12" t="str">
        <x:v>positive</x:v>
      </x:c>
      <x:c r="P879" s="12" t="str">
        <x:f>IF(OR(M879="unavailable",O879="unavailable"),"不可评价",IF(OR(M879="equivocal",O879="equivocal"),"疑似",IF(AND(M879="positive",O879="positive"),"a",IF(O879="positive","b",IF(M879="positive","c","d")))))</x:f>
        <x:v>a</x:v>
      </x:c>
      <x:c r="Q879" s="12"/>
      <x:c r="R879" s="12" t="str">
        <x:v>negative</x:v>
      </x:c>
      <x:c r="S879" s="12"/>
      <x:c r="T879" s="12" t="str">
        <x:v>negative</x:v>
      </x:c>
      <x:c r="U879" s="12" t="str">
        <x:f>IF(OR(R879="unavailable",T879="unavailable"),"不可评价",IF(OR(R879="equivocal",T879="equivocal"),"疑似",IF(AND(R879="positive",T879="positive"),"a",IF(T879="positive","b",IF(R879="positive","c","d")))))</x:f>
        <x:v>d</x:v>
      </x:c>
      <x:c r="V879" s="12"/>
      <x:c r="W879" s="12" t="str">
        <x:v>negative</x:v>
      </x:c>
      <x:c r="X879" s="12"/>
      <x:c r="Y879" s="12" t="str">
        <x:v>negative</x:v>
      </x:c>
      <x:c r="Z879" s="12" t="str">
        <x:f>IF(OR(W879="unavailable",Y879="unavailable"),"不可评价",IF(OR(W879="equivocal",Y879="equivocal"),"疑似",IF(AND(W879="positive",Y879="positive"),"a",IF(Y879="positive","b",IF(W879="positive","c","d")))))</x:f>
        <x:v>d</x:v>
      </x:c>
      <x:c r="AA879" s="12" t="str">
        <x:f>IF(OR(M879="unavailable",O879="unavailable"),"不可评价",IF(AND(OR(M879="positive",M879="equivocal"),OR(O879="positive",O879="equivocal")),"a",IF(OR(O879="positive",O879="equivocal"),"b",IF(OR(M879="positive",M879="equivocal"),"c","d"))))</x:f>
        <x:v>a</x:v>
      </x:c>
      <x:c r="AB879" s="12" t="str">
        <x:f>IF(OR(M879="unavailable",O879="unavailable"),"不可评价",IF(AND(M879="positive",O879="positive"),"a",IF(O879="positive","b",IF(M879="positive","c","d"))))</x:f>
        <x:v>a</x:v>
      </x:c>
      <x:c r="AC879" s="12" t="str">
        <x:f>IF(OR(R879="unavailable",T879="unavailable"),"不可评价",IF(AND(OR(R879="positive",R879="equivocal"),OR(T879="positive",T879="equivocal")),"a",IF(OR(T879="positive",T879="equivocal"),"b",IF(OR(R879="positive",R879="equivocal"),"c","d"))))</x:f>
        <x:v>d</x:v>
      </x:c>
      <x:c r="AD879" s="12" t="str">
        <x:f>IF(OR(R879="unavailable",T879="unavailable"),"不可评价",IF(AND(R879="positive",T879="positive"),"a",IF(T879="positive","b",IF(R879="positive","c","d"))))</x:f>
        <x:v>d</x:v>
      </x:c>
      <x:c r="AE879" s="12" t="str">
        <x:f>IF(OR(W879="unavailable",Y879="unavailable"),"不可评价",IF(AND(OR(W879="positive",W879="equivocal"),OR(Y879="positive",Y879="equivocal")),"a",IF(OR(Y879="positive",Y879="equivocal"),"b",IF(OR(W879="positive",W879="equivocal"),"c","d"))))</x:f>
        <x:v>d</x:v>
      </x:c>
      <x:c r="AF879" s="12" t="str">
        <x:f>IF(OR(W879="unavailable",Y879="unavailable"),"不可评价",IF(AND(W879="positive",Y879="positive"),"a",IF(Y879="positive","b",IF(W879="positive","c","d"))))</x:f>
        <x:v>d</x:v>
      </x:c>
    </x:row>
    <x:row r="880" ht="24" customHeight="1">
      <x:c r="A880" s="12" t="str">
        <x:v>7756</x:v>
      </x:c>
      <x:c r="B880" s="12" t="str">
        <x:v>1709</x:v>
      </x:c>
      <x:c r="C880" s="21" t="n">
        <x:v>33643.6159375</x:v>
      </x:c>
      <x:c r="D880" s="12" t="n">
        <x:v>60</x:v>
      </x:c>
      <x:c r="E880" s="12" t="n">
        <x:v>1</x:v>
      </x:c>
      <x:c r="F880" s="12" t="str">
        <x:v>未记录</x:v>
      </x:c>
      <x:c r="G880" s="12" t="n">
        <x:v>1</x:v>
      </x:c>
      <x:c r="H880" s="12" t="str">
        <x:v>{'NDT': 100.0}</x:v>
      </x:c>
      <x:c r="I880" s="12" t="str">
        <x:v>[('SBRAD', 100.0), ('NT', 100.0), ('AB', 100.0)]</x:v>
      </x:c>
      <x:c r="J880" s="12" t="str">
        <x:v>ptbxl_database.csv；ecg_id=7756；scp_codes</x:v>
      </x:c>
      <x:c r="K880" s="12" t="str">
        <x:v>12sl_statements.csv；ecg_id=7756；statements_ext_snomed</x:v>
      </x:c>
      <x:c r="L880" s="12"/>
      <x:c r="M880" s="12" t="str">
        <x:v>negative</x:v>
      </x:c>
      <x:c r="N880" s="12"/>
      <x:c r="O880" s="12" t="str">
        <x:v>negative</x:v>
      </x:c>
      <x:c r="P880" s="12" t="str">
        <x:f>IF(OR(M880="unavailable",O880="unavailable"),"不可评价",IF(OR(M880="equivocal",O880="equivocal"),"疑似",IF(AND(M880="positive",O880="positive"),"a",IF(O880="positive","b",IF(M880="positive","c","d")))))</x:f>
        <x:v>d</x:v>
      </x:c>
      <x:c r="Q880" s="12"/>
      <x:c r="R880" s="12" t="str">
        <x:v>negative</x:v>
      </x:c>
      <x:c r="S880" s="12"/>
      <x:c r="T880" s="12" t="str">
        <x:v>negative</x:v>
      </x:c>
      <x:c r="U880" s="12" t="str">
        <x:f>IF(OR(R880="unavailable",T880="unavailable"),"不可评价",IF(OR(R880="equivocal",T880="equivocal"),"疑似",IF(AND(R880="positive",T880="positive"),"a",IF(T880="positive","b",IF(R880="positive","c","d")))))</x:f>
        <x:v>d</x:v>
      </x:c>
      <x:c r="V880" s="12"/>
      <x:c r="W880" s="12" t="str">
        <x:v>negative</x:v>
      </x:c>
      <x:c r="X880" s="12"/>
      <x:c r="Y880" s="12" t="str">
        <x:v>negative</x:v>
      </x:c>
      <x:c r="Z880" s="12" t="str">
        <x:f>IF(OR(W880="unavailable",Y880="unavailable"),"不可评价",IF(OR(W880="equivocal",Y880="equivocal"),"疑似",IF(AND(W880="positive",Y880="positive"),"a",IF(Y880="positive","b",IF(W880="positive","c","d")))))</x:f>
        <x:v>d</x:v>
      </x:c>
      <x:c r="AA880" s="12" t="str">
        <x:f>IF(OR(M880="unavailable",O880="unavailable"),"不可评价",IF(AND(OR(M880="positive",M880="equivocal"),OR(O880="positive",O880="equivocal")),"a",IF(OR(O880="positive",O880="equivocal"),"b",IF(OR(M880="positive",M880="equivocal"),"c","d"))))</x:f>
        <x:v>d</x:v>
      </x:c>
      <x:c r="AB880" s="12" t="str">
        <x:f>IF(OR(M880="unavailable",O880="unavailable"),"不可评价",IF(AND(M880="positive",O880="positive"),"a",IF(O880="positive","b",IF(M880="positive","c","d"))))</x:f>
        <x:v>d</x:v>
      </x:c>
      <x:c r="AC880" s="12" t="str">
        <x:f>IF(OR(R880="unavailable",T880="unavailable"),"不可评价",IF(AND(OR(R880="positive",R880="equivocal"),OR(T880="positive",T880="equivocal")),"a",IF(OR(T880="positive",T880="equivocal"),"b",IF(OR(R880="positive",R880="equivocal"),"c","d"))))</x:f>
        <x:v>d</x:v>
      </x:c>
      <x:c r="AD880" s="12" t="str">
        <x:f>IF(OR(R880="unavailable",T880="unavailable"),"不可评价",IF(AND(R880="positive",T880="positive"),"a",IF(T880="positive","b",IF(R880="positive","c","d"))))</x:f>
        <x:v>d</x:v>
      </x:c>
      <x:c r="AE880" s="12" t="str">
        <x:f>IF(OR(W880="unavailable",Y880="unavailable"),"不可评价",IF(AND(OR(W880="positive",W880="equivocal"),OR(Y880="positive",Y880="equivocal")),"a",IF(OR(Y880="positive",Y880="equivocal"),"b",IF(OR(W880="positive",W880="equivocal"),"c","d"))))</x:f>
        <x:v>d</x:v>
      </x:c>
      <x:c r="AF880" s="12" t="str">
        <x:f>IF(OR(W880="unavailable",Y880="unavailable"),"不可评价",IF(AND(W880="positive",Y880="positive"),"a",IF(Y880="positive","b",IF(W880="positive","c","d"))))</x:f>
        <x:v>d</x:v>
      </x:c>
    </x:row>
    <x:row r="881" ht="39" customHeight="1">
      <x:c r="A881" s="12" t="str">
        <x:v>7769</x:v>
      </x:c>
      <x:c r="B881" s="12" t="str">
        <x:v>21238</x:v>
      </x:c>
      <x:c r="C881" s="21" t="n">
        <x:v>33654.403703703705</x:v>
      </x:c>
      <x:c r="D881" s="12" t="n">
        <x:v>75</x:v>
      </x:c>
      <x:c r="E881" s="12" t="n">
        <x:v>0</x:v>
      </x:c>
      <x:c r="F881" s="12" t="str">
        <x:v>存在</x:v>
      </x:c>
      <x:c r="G881" s="12" t="n">
        <x:v>1</x:v>
      </x:c>
      <x:c r="H881" s="12" t="str">
        <x:v>{'CRBBB': 100.0, 'LPFB': 100.0, '1AVB': 100.0, 'RVH': 100.0, 'ABQRS': 0.0, 'SR': 0.0}</x:v>
      </x:c>
      <x:c r="I881" s="12" t="str">
        <x:v>[('NSR', 100.0), ('RBBB', 100.0), ('IMI;AU', 15.0), ('AB', 100.0)]</x:v>
      </x:c>
      <x:c r="J881" s="12" t="str">
        <x:v>ptbxl_database.csv；ecg_id=7769；scp_codes</x:v>
      </x:c>
      <x:c r="K881" s="12" t="str">
        <x:v>12sl_statements.csv；ecg_id=7769；statements_ext_snomed</x:v>
      </x:c>
      <x:c r="L881" s="12"/>
      <x:c r="M881" s="12" t="str">
        <x:v>negative</x:v>
      </x:c>
      <x:c r="N881" s="12"/>
      <x:c r="O881" s="12" t="str">
        <x:v>negative</x:v>
      </x:c>
      <x:c r="P881" s="12" t="str">
        <x:f>IF(OR(M881="unavailable",O881="unavailable"),"不可评价",IF(OR(M881="equivocal",O881="equivocal"),"疑似",IF(AND(M881="positive",O881="positive"),"a",IF(O881="positive","b",IF(M881="positive","c","d")))))</x:f>
        <x:v>d</x:v>
      </x:c>
      <x:c r="Q881" s="12"/>
      <x:c r="R881" s="12" t="str">
        <x:v>negative</x:v>
      </x:c>
      <x:c r="S881" s="12"/>
      <x:c r="T881" s="12" t="str">
        <x:v>negative</x:v>
      </x:c>
      <x:c r="U881" s="12" t="str">
        <x:f>IF(OR(R881="unavailable",T881="unavailable"),"不可评价",IF(OR(R881="equivocal",T881="equivocal"),"疑似",IF(AND(R881="positive",T881="positive"),"a",IF(T881="positive","b",IF(R881="positive","c","d")))))</x:f>
        <x:v>d</x:v>
      </x:c>
      <x:c r="V881" s="12" t="n">
        <x:v>100</x:v>
      </x:c>
      <x:c r="W881" s="12" t="str">
        <x:v>positive</x:v>
      </x:c>
      <x:c r="X881" s="12" t="n">
        <x:v>100</x:v>
      </x:c>
      <x:c r="Y881" s="12" t="str">
        <x:v>positive</x:v>
      </x:c>
      <x:c r="Z881" s="12" t="str">
        <x:f>IF(OR(W881="unavailable",Y881="unavailable"),"不可评价",IF(OR(W881="equivocal",Y881="equivocal"),"疑似",IF(AND(W881="positive",Y881="positive"),"a",IF(Y881="positive","b",IF(W881="positive","c","d")))))</x:f>
        <x:v>a</x:v>
      </x:c>
      <x:c r="AA881" s="12" t="str">
        <x:f>IF(OR(M881="unavailable",O881="unavailable"),"不可评价",IF(AND(OR(M881="positive",M881="equivocal"),OR(O881="positive",O881="equivocal")),"a",IF(OR(O881="positive",O881="equivocal"),"b",IF(OR(M881="positive",M881="equivocal"),"c","d"))))</x:f>
        <x:v>d</x:v>
      </x:c>
      <x:c r="AB881" s="12" t="str">
        <x:f>IF(OR(M881="unavailable",O881="unavailable"),"不可评价",IF(AND(M881="positive",O881="positive"),"a",IF(O881="positive","b",IF(M881="positive","c","d"))))</x:f>
        <x:v>d</x:v>
      </x:c>
      <x:c r="AC881" s="12" t="str">
        <x:f>IF(OR(R881="unavailable",T881="unavailable"),"不可评价",IF(AND(OR(R881="positive",R881="equivocal"),OR(T881="positive",T881="equivocal")),"a",IF(OR(T881="positive",T881="equivocal"),"b",IF(OR(R881="positive",R881="equivocal"),"c","d"))))</x:f>
        <x:v>d</x:v>
      </x:c>
      <x:c r="AD881" s="12" t="str">
        <x:f>IF(OR(R881="unavailable",T881="unavailable"),"不可评价",IF(AND(R881="positive",T881="positive"),"a",IF(T881="positive","b",IF(R881="positive","c","d"))))</x:f>
        <x:v>d</x:v>
      </x:c>
      <x:c r="AE881" s="12" t="str">
        <x:f>IF(OR(W881="unavailable",Y881="unavailable"),"不可评价",IF(AND(OR(W881="positive",W881="equivocal"),OR(Y881="positive",Y881="equivocal")),"a",IF(OR(Y881="positive",Y881="equivocal"),"b",IF(OR(W881="positive",W881="equivocal"),"c","d"))))</x:f>
        <x:v>a</x:v>
      </x:c>
      <x:c r="AF881" s="12" t="str">
        <x:f>IF(OR(W881="unavailable",Y881="unavailable"),"不可评价",IF(AND(W881="positive",Y881="positive"),"a",IF(Y881="positive","b",IF(W881="positive","c","d"))))</x:f>
        <x:v>a</x:v>
      </x:c>
    </x:row>
    <x:row r="882" ht="24" customHeight="1">
      <x:c r="A882" s="12" t="str">
        <x:v>7770</x:v>
      </x:c>
      <x:c r="B882" s="12" t="str">
        <x:v>19418</x:v>
      </x:c>
      <x:c r="C882" s="21" t="n">
        <x:v>33654.44929398148</x:v>
      </x:c>
      <x:c r="D882" s="12" t="n">
        <x:v>19</x:v>
      </x:c>
      <x:c r="E882" s="12" t="n">
        <x:v>1</x:v>
      </x:c>
      <x:c r="F882" s="12" t="str">
        <x:v>存在</x:v>
      </x:c>
      <x:c r="G882" s="12" t="n">
        <x:v>1</x:v>
      </x:c>
      <x:c r="H882" s="12" t="str">
        <x:v>{'NORM': 100.0, 'SR': 0.0}</x:v>
      </x:c>
      <x:c r="I882" s="12" t="str">
        <x:v>[('NSR', 100.0), ('NML', 100.0)]</x:v>
      </x:c>
      <x:c r="J882" s="12" t="str">
        <x:v>ptbxl_database.csv；ecg_id=7770；scp_codes</x:v>
      </x:c>
      <x:c r="K882" s="12" t="str">
        <x:v>12sl_statements.csv；ecg_id=7770；statements_ext_snomed</x:v>
      </x:c>
      <x:c r="L882" s="12"/>
      <x:c r="M882" s="12" t="str">
        <x:v>negative</x:v>
      </x:c>
      <x:c r="N882" s="12"/>
      <x:c r="O882" s="12" t="str">
        <x:v>negative</x:v>
      </x:c>
      <x:c r="P882" s="12" t="str">
        <x:f>IF(OR(M882="unavailable",O882="unavailable"),"不可评价",IF(OR(M882="equivocal",O882="equivocal"),"疑似",IF(AND(M882="positive",O882="positive"),"a",IF(O882="positive","b",IF(M882="positive","c","d")))))</x:f>
        <x:v>d</x:v>
      </x:c>
      <x:c r="Q882" s="12"/>
      <x:c r="R882" s="12" t="str">
        <x:v>negative</x:v>
      </x:c>
      <x:c r="S882" s="12"/>
      <x:c r="T882" s="12" t="str">
        <x:v>negative</x:v>
      </x:c>
      <x:c r="U882" s="12" t="str">
        <x:f>IF(OR(R882="unavailable",T882="unavailable"),"不可评价",IF(OR(R882="equivocal",T882="equivocal"),"疑似",IF(AND(R882="positive",T882="positive"),"a",IF(T882="positive","b",IF(R882="positive","c","d")))))</x:f>
        <x:v>d</x:v>
      </x:c>
      <x:c r="V882" s="12"/>
      <x:c r="W882" s="12" t="str">
        <x:v>negative</x:v>
      </x:c>
      <x:c r="X882" s="12"/>
      <x:c r="Y882" s="12" t="str">
        <x:v>negative</x:v>
      </x:c>
      <x:c r="Z882" s="12" t="str">
        <x:f>IF(OR(W882="unavailable",Y882="unavailable"),"不可评价",IF(OR(W882="equivocal",Y882="equivocal"),"疑似",IF(AND(W882="positive",Y882="positive"),"a",IF(Y882="positive","b",IF(W882="positive","c","d")))))</x:f>
        <x:v>d</x:v>
      </x:c>
      <x:c r="AA882" s="12" t="str">
        <x:f>IF(OR(M882="unavailable",O882="unavailable"),"不可评价",IF(AND(OR(M882="positive",M882="equivocal"),OR(O882="positive",O882="equivocal")),"a",IF(OR(O882="positive",O882="equivocal"),"b",IF(OR(M882="positive",M882="equivocal"),"c","d"))))</x:f>
        <x:v>d</x:v>
      </x:c>
      <x:c r="AB882" s="12" t="str">
        <x:f>IF(OR(M882="unavailable",O882="unavailable"),"不可评价",IF(AND(M882="positive",O882="positive"),"a",IF(O882="positive","b",IF(M882="positive","c","d"))))</x:f>
        <x:v>d</x:v>
      </x:c>
      <x:c r="AC882" s="12" t="str">
        <x:f>IF(OR(R882="unavailable",T882="unavailable"),"不可评价",IF(AND(OR(R882="positive",R882="equivocal"),OR(T882="positive",T882="equivocal")),"a",IF(OR(T882="positive",T882="equivocal"),"b",IF(OR(R882="positive",R882="equivocal"),"c","d"))))</x:f>
        <x:v>d</x:v>
      </x:c>
      <x:c r="AD882" s="12" t="str">
        <x:f>IF(OR(R882="unavailable",T882="unavailable"),"不可评价",IF(AND(R882="positive",T882="positive"),"a",IF(T882="positive","b",IF(R882="positive","c","d"))))</x:f>
        <x:v>d</x:v>
      </x:c>
      <x:c r="AE882" s="12" t="str">
        <x:f>IF(OR(W882="unavailable",Y882="unavailable"),"不可评价",IF(AND(OR(W882="positive",W882="equivocal"),OR(Y882="positive",Y882="equivocal")),"a",IF(OR(Y882="positive",Y882="equivocal"),"b",IF(OR(W882="positive",W882="equivocal"),"c","d"))))</x:f>
        <x:v>d</x:v>
      </x:c>
      <x:c r="AF882" s="12" t="str">
        <x:f>IF(OR(W882="unavailable",Y882="unavailable"),"不可评价",IF(AND(W882="positive",Y882="positive"),"a",IF(Y882="positive","b",IF(W882="positive","c","d"))))</x:f>
        <x:v>d</x:v>
      </x:c>
    </x:row>
    <x:row r="883" ht="39" customHeight="1">
      <x:c r="A883" s="12" t="str">
        <x:v>7783</x:v>
      </x:c>
      <x:c r="B883" s="12" t="str">
        <x:v>14850</x:v>
      </x:c>
      <x:c r="C883" s="21" t="n">
        <x:v>33656.39314814815</x:v>
      </x:c>
      <x:c r="D883" s="12" t="n">
        <x:v>55</x:v>
      </x:c>
      <x:c r="E883" s="12" t="n">
        <x:v>0</x:v>
      </x:c>
      <x:c r="F883" s="12" t="str">
        <x:v>未记录</x:v>
      </x:c>
      <x:c r="G883" s="12" t="n">
        <x:v>1</x:v>
      </x:c>
      <x:c r="H883" s="12" t="str">
        <x:v>{'PACE': 0.0}</x:v>
      </x:c>
      <x:c r="I883" s="12" t="str">
        <x:v>[('SRTH', 100.0), ('VPCX', 100.0), ('PSVC', 100.0), ('FREQ', 100.0), ('PVC', 100.0), ('AFB', 100.0), ('ASMI;AU', 100.0), ('AB', 100.0)]</x:v>
      </x:c>
      <x:c r="J883" s="12" t="str">
        <x:v>ptbxl_database.csv；ecg_id=7783；scp_codes</x:v>
      </x:c>
      <x:c r="K883" s="12" t="str">
        <x:v>12sl_statements.csv；ecg_id=7783；statements_ext_snomed</x:v>
      </x:c>
      <x:c r="L883" s="12"/>
      <x:c r="M883" s="12" t="str">
        <x:v>negative</x:v>
      </x:c>
      <x:c r="N883" s="12"/>
      <x:c r="O883" s="12" t="str">
        <x:v>negative</x:v>
      </x:c>
      <x:c r="P883" s="12" t="str">
        <x:f>IF(OR(M883="unavailable",O883="unavailable"),"不可评价",IF(OR(M883="equivocal",O883="equivocal"),"疑似",IF(AND(M883="positive",O883="positive"),"a",IF(O883="positive","b",IF(M883="positive","c","d")))))</x:f>
        <x:v>d</x:v>
      </x:c>
      <x:c r="Q883" s="12"/>
      <x:c r="R883" s="12" t="str">
        <x:v>negative</x:v>
      </x:c>
      <x:c r="S883" s="12"/>
      <x:c r="T883" s="12" t="str">
        <x:v>negative</x:v>
      </x:c>
      <x:c r="U883" s="12" t="str">
        <x:f>IF(OR(R883="unavailable",T883="unavailable"),"不可评价",IF(OR(R883="equivocal",T883="equivocal"),"疑似",IF(AND(R883="positive",T883="positive"),"a",IF(T883="positive","b",IF(R883="positive","c","d")))))</x:f>
        <x:v>d</x:v>
      </x:c>
      <x:c r="V883" s="12"/>
      <x:c r="W883" s="12" t="str">
        <x:v>negative</x:v>
      </x:c>
      <x:c r="X883" s="12"/>
      <x:c r="Y883" s="12" t="str">
        <x:v>negative</x:v>
      </x:c>
      <x:c r="Z883" s="12" t="str">
        <x:f>IF(OR(W883="unavailable",Y883="unavailable"),"不可评价",IF(OR(W883="equivocal",Y883="equivocal"),"疑似",IF(AND(W883="positive",Y883="positive"),"a",IF(Y883="positive","b",IF(W883="positive","c","d")))))</x:f>
        <x:v>d</x:v>
      </x:c>
      <x:c r="AA883" s="12" t="str">
        <x:f>IF(OR(M883="unavailable",O883="unavailable"),"不可评价",IF(AND(OR(M883="positive",M883="equivocal"),OR(O883="positive",O883="equivocal")),"a",IF(OR(O883="positive",O883="equivocal"),"b",IF(OR(M883="positive",M883="equivocal"),"c","d"))))</x:f>
        <x:v>d</x:v>
      </x:c>
      <x:c r="AB883" s="12" t="str">
        <x:f>IF(OR(M883="unavailable",O883="unavailable"),"不可评价",IF(AND(M883="positive",O883="positive"),"a",IF(O883="positive","b",IF(M883="positive","c","d"))))</x:f>
        <x:v>d</x:v>
      </x:c>
      <x:c r="AC883" s="12" t="str">
        <x:f>IF(OR(R883="unavailable",T883="unavailable"),"不可评价",IF(AND(OR(R883="positive",R883="equivocal"),OR(T883="positive",T883="equivocal")),"a",IF(OR(T883="positive",T883="equivocal"),"b",IF(OR(R883="positive",R883="equivocal"),"c","d"))))</x:f>
        <x:v>d</x:v>
      </x:c>
      <x:c r="AD883" s="12" t="str">
        <x:f>IF(OR(R883="unavailable",T883="unavailable"),"不可评价",IF(AND(R883="positive",T883="positive"),"a",IF(T883="positive","b",IF(R883="positive","c","d"))))</x:f>
        <x:v>d</x:v>
      </x:c>
      <x:c r="AE883" s="12" t="str">
        <x:f>IF(OR(W883="unavailable",Y883="unavailable"),"不可评价",IF(AND(OR(W883="positive",W883="equivocal"),OR(Y883="positive",Y883="equivocal")),"a",IF(OR(Y883="positive",Y883="equivocal"),"b",IF(OR(W883="positive",W883="equivocal"),"c","d"))))</x:f>
        <x:v>d</x:v>
      </x:c>
      <x:c r="AF883" s="12" t="str">
        <x:f>IF(OR(W883="unavailable",Y883="unavailable"),"不可评价",IF(AND(W883="positive",Y883="positive"),"a",IF(Y883="positive","b",IF(W883="positive","c","d"))))</x:f>
        <x:v>d</x:v>
      </x:c>
    </x:row>
    <x:row r="884" ht="24" customHeight="1">
      <x:c r="A884" s="12" t="str">
        <x:v>7793</x:v>
      </x:c>
      <x:c r="B884" s="12" t="str">
        <x:v>3920</x:v>
      </x:c>
      <x:c r="C884" s="21" t="n">
        <x:v>33659.520949074074</x:v>
      </x:c>
      <x:c r="D884" s="12" t="n">
        <x:v>66</x:v>
      </x:c>
      <x:c r="E884" s="12" t="n">
        <x:v>0</x:v>
      </x:c>
      <x:c r="F884" s="12" t="str">
        <x:v>未记录</x:v>
      </x:c>
      <x:c r="G884" s="12" t="n">
        <x:v>1</x:v>
      </x:c>
      <x:c r="H884" s="12" t="str">
        <x:v>{'NORM': 100.0, 'SR': 0.0}</x:v>
      </x:c>
      <x:c r="I884" s="12" t="str">
        <x:v>[('SRTH', 100.0), ('FAV', 100.0), ('ABR', 100.0)]</x:v>
      </x:c>
      <x:c r="J884" s="12" t="str">
        <x:v>ptbxl_database.csv；ecg_id=7793；scp_codes</x:v>
      </x:c>
      <x:c r="K884" s="12" t="str">
        <x:v>12sl_statements.csv；ecg_id=7793；statements_ext_snomed</x:v>
      </x:c>
      <x:c r="L884" s="12"/>
      <x:c r="M884" s="12" t="str">
        <x:v>negative</x:v>
      </x:c>
      <x:c r="N884" s="12"/>
      <x:c r="O884" s="12" t="str">
        <x:v>negative</x:v>
      </x:c>
      <x:c r="P884" s="12" t="str">
        <x:f>IF(OR(M884="unavailable",O884="unavailable"),"不可评价",IF(OR(M884="equivocal",O884="equivocal"),"疑似",IF(AND(M884="positive",O884="positive"),"a",IF(O884="positive","b",IF(M884="positive","c","d")))))</x:f>
        <x:v>d</x:v>
      </x:c>
      <x:c r="Q884" s="12"/>
      <x:c r="R884" s="12" t="str">
        <x:v>negative</x:v>
      </x:c>
      <x:c r="S884" s="12"/>
      <x:c r="T884" s="12" t="str">
        <x:v>negative</x:v>
      </x:c>
      <x:c r="U884" s="12" t="str">
        <x:f>IF(OR(R884="unavailable",T884="unavailable"),"不可评价",IF(OR(R884="equivocal",T884="equivocal"),"疑似",IF(AND(R884="positive",T884="positive"),"a",IF(T884="positive","b",IF(R884="positive","c","d")))))</x:f>
        <x:v>d</x:v>
      </x:c>
      <x:c r="V884" s="12"/>
      <x:c r="W884" s="12" t="str">
        <x:v>negative</x:v>
      </x:c>
      <x:c r="X884" s="12"/>
      <x:c r="Y884" s="12" t="str">
        <x:v>negative</x:v>
      </x:c>
      <x:c r="Z884" s="12" t="str">
        <x:f>IF(OR(W884="unavailable",Y884="unavailable"),"不可评价",IF(OR(W884="equivocal",Y884="equivocal"),"疑似",IF(AND(W884="positive",Y884="positive"),"a",IF(Y884="positive","b",IF(W884="positive","c","d")))))</x:f>
        <x:v>d</x:v>
      </x:c>
      <x:c r="AA884" s="12" t="str">
        <x:f>IF(OR(M884="unavailable",O884="unavailable"),"不可评价",IF(AND(OR(M884="positive",M884="equivocal"),OR(O884="positive",O884="equivocal")),"a",IF(OR(O884="positive",O884="equivocal"),"b",IF(OR(M884="positive",M884="equivocal"),"c","d"))))</x:f>
        <x:v>d</x:v>
      </x:c>
      <x:c r="AB884" s="12" t="str">
        <x:f>IF(OR(M884="unavailable",O884="unavailable"),"不可评价",IF(AND(M884="positive",O884="positive"),"a",IF(O884="positive","b",IF(M884="positive","c","d"))))</x:f>
        <x:v>d</x:v>
      </x:c>
      <x:c r="AC884" s="12" t="str">
        <x:f>IF(OR(R884="unavailable",T884="unavailable"),"不可评价",IF(AND(OR(R884="positive",R884="equivocal"),OR(T884="positive",T884="equivocal")),"a",IF(OR(T884="positive",T884="equivocal"),"b",IF(OR(R884="positive",R884="equivocal"),"c","d"))))</x:f>
        <x:v>d</x:v>
      </x:c>
      <x:c r="AD884" s="12" t="str">
        <x:f>IF(OR(R884="unavailable",T884="unavailable"),"不可评价",IF(AND(R884="positive",T884="positive"),"a",IF(T884="positive","b",IF(R884="positive","c","d"))))</x:f>
        <x:v>d</x:v>
      </x:c>
      <x:c r="AE884" s="12" t="str">
        <x:f>IF(OR(W884="unavailable",Y884="unavailable"),"不可评价",IF(AND(OR(W884="positive",W884="equivocal"),OR(Y884="positive",Y884="equivocal")),"a",IF(OR(Y884="positive",Y884="equivocal"),"b",IF(OR(W884="positive",W884="equivocal"),"c","d"))))</x:f>
        <x:v>d</x:v>
      </x:c>
      <x:c r="AF884" s="12" t="str">
        <x:f>IF(OR(W884="unavailable",Y884="unavailable"),"不可评价",IF(AND(W884="positive",Y884="positive"),"a",IF(Y884="positive","b",IF(W884="positive","c","d"))))</x:f>
        <x:v>d</x:v>
      </x:c>
    </x:row>
    <x:row r="885" ht="24" customHeight="1">
      <x:c r="A885" s="12" t="str">
        <x:v>7797</x:v>
      </x:c>
      <x:c r="B885" s="12" t="str">
        <x:v>12404</x:v>
      </x:c>
      <x:c r="C885" s="21" t="n">
        <x:v>33659.56214120371</x:v>
      </x:c>
      <x:c r="D885" s="12" t="n">
        <x:v>69</x:v>
      </x:c>
      <x:c r="E885" s="12" t="n">
        <x:v>1</x:v>
      </x:c>
      <x:c r="F885" s="12" t="str">
        <x:v>未记录</x:v>
      </x:c>
      <x:c r="G885" s="12" t="n">
        <x:v>1</x:v>
      </x:c>
      <x:c r="H885" s="12" t="str">
        <x:v>{'NORM': 100.0, 'SR': 0.0}</x:v>
      </x:c>
      <x:c r="I885" s="12" t="str">
        <x:v>[('NSR', 100.0), ('SAR', 100.0), ('NML', 100.0)]</x:v>
      </x:c>
      <x:c r="J885" s="12" t="str">
        <x:v>ptbxl_database.csv；ecg_id=7797；scp_codes</x:v>
      </x:c>
      <x:c r="K885" s="12" t="str">
        <x:v>12sl_statements.csv；ecg_id=7797；statements_ext_snomed</x:v>
      </x:c>
      <x:c r="L885" s="12"/>
      <x:c r="M885" s="12" t="str">
        <x:v>negative</x:v>
      </x:c>
      <x:c r="N885" s="12"/>
      <x:c r="O885" s="12" t="str">
        <x:v>negative</x:v>
      </x:c>
      <x:c r="P885" s="12" t="str">
        <x:f>IF(OR(M885="unavailable",O885="unavailable"),"不可评价",IF(OR(M885="equivocal",O885="equivocal"),"疑似",IF(AND(M885="positive",O885="positive"),"a",IF(O885="positive","b",IF(M885="positive","c","d")))))</x:f>
        <x:v>d</x:v>
      </x:c>
      <x:c r="Q885" s="12"/>
      <x:c r="R885" s="12" t="str">
        <x:v>negative</x:v>
      </x:c>
      <x:c r="S885" s="12"/>
      <x:c r="T885" s="12" t="str">
        <x:v>negative</x:v>
      </x:c>
      <x:c r="U885" s="12" t="str">
        <x:f>IF(OR(R885="unavailable",T885="unavailable"),"不可评价",IF(OR(R885="equivocal",T885="equivocal"),"疑似",IF(AND(R885="positive",T885="positive"),"a",IF(T885="positive","b",IF(R885="positive","c","d")))))</x:f>
        <x:v>d</x:v>
      </x:c>
      <x:c r="V885" s="12"/>
      <x:c r="W885" s="12" t="str">
        <x:v>negative</x:v>
      </x:c>
      <x:c r="X885" s="12"/>
      <x:c r="Y885" s="12" t="str">
        <x:v>negative</x:v>
      </x:c>
      <x:c r="Z885" s="12" t="str">
        <x:f>IF(OR(W885="unavailable",Y885="unavailable"),"不可评价",IF(OR(W885="equivocal",Y885="equivocal"),"疑似",IF(AND(W885="positive",Y885="positive"),"a",IF(Y885="positive","b",IF(W885="positive","c","d")))))</x:f>
        <x:v>d</x:v>
      </x:c>
      <x:c r="AA885" s="12" t="str">
        <x:f>IF(OR(M885="unavailable",O885="unavailable"),"不可评价",IF(AND(OR(M885="positive",M885="equivocal"),OR(O885="positive",O885="equivocal")),"a",IF(OR(O885="positive",O885="equivocal"),"b",IF(OR(M885="positive",M885="equivocal"),"c","d"))))</x:f>
        <x:v>d</x:v>
      </x:c>
      <x:c r="AB885" s="12" t="str">
        <x:f>IF(OR(M885="unavailable",O885="unavailable"),"不可评价",IF(AND(M885="positive",O885="positive"),"a",IF(O885="positive","b",IF(M885="positive","c","d"))))</x:f>
        <x:v>d</x:v>
      </x:c>
      <x:c r="AC885" s="12" t="str">
        <x:f>IF(OR(R885="unavailable",T885="unavailable"),"不可评价",IF(AND(OR(R885="positive",R885="equivocal"),OR(T885="positive",T885="equivocal")),"a",IF(OR(T885="positive",T885="equivocal"),"b",IF(OR(R885="positive",R885="equivocal"),"c","d"))))</x:f>
        <x:v>d</x:v>
      </x:c>
      <x:c r="AD885" s="12" t="str">
        <x:f>IF(OR(R885="unavailable",T885="unavailable"),"不可评价",IF(AND(R885="positive",T885="positive"),"a",IF(T885="positive","b",IF(R885="positive","c","d"))))</x:f>
        <x:v>d</x:v>
      </x:c>
      <x:c r="AE885" s="12" t="str">
        <x:f>IF(OR(W885="unavailable",Y885="unavailable"),"不可评价",IF(AND(OR(W885="positive",W885="equivocal"),OR(Y885="positive",Y885="equivocal")),"a",IF(OR(Y885="positive",Y885="equivocal"),"b",IF(OR(W885="positive",W885="equivocal"),"c","d"))))</x:f>
        <x:v>d</x:v>
      </x:c>
      <x:c r="AF885" s="12" t="str">
        <x:f>IF(OR(W885="unavailable",Y885="unavailable"),"不可评价",IF(AND(W885="positive",Y885="positive"),"a",IF(Y885="positive","b",IF(W885="positive","c","d"))))</x:f>
        <x:v>d</x:v>
      </x:c>
    </x:row>
    <x:row r="886" ht="39" customHeight="1">
      <x:c r="A886" s="12" t="str">
        <x:v>7811</x:v>
      </x:c>
      <x:c r="B886" s="12" t="str">
        <x:v>21238</x:v>
      </x:c>
      <x:c r="C886" s="21" t="n">
        <x:v>33661.43931712963</x:v>
      </x:c>
      <x:c r="D886" s="12" t="n">
        <x:v>75</x:v>
      </x:c>
      <x:c r="E886" s="12" t="n">
        <x:v>0</x:v>
      </x:c>
      <x:c r="F886" s="12" t="str">
        <x:v>存在</x:v>
      </x:c>
      <x:c r="G886" s="12" t="n">
        <x:v>0</x:v>
      </x:c>
      <x:c r="H886" s="12" t="str">
        <x:v>{'CRBBB': 100.0, '1AVB': 100.0, 'PVC': 100.0, 'LPFB': 100.0, 'AFIB': 0.0}</x:v>
      </x:c>
      <x:c r="I886" s="12" t="str">
        <x:v>[('SRTH', 100.0), ('MSAR', 100.0), ('FAV', 100.0), ('PVC', 100.0), ('RBBB', 100.0), ('PFB', 100.0), ('BIFB', 100.0), ('IT', 100.0), ('AB', 100.0)]</x:v>
      </x:c>
      <x:c r="J886" s="12" t="str">
        <x:v>ptbxl_database.csv；ecg_id=7811；scp_codes</x:v>
      </x:c>
      <x:c r="K886" s="12" t="str">
        <x:v>12sl_statements.csv；ecg_id=7811；statements_ext_snomed</x:v>
      </x:c>
      <x:c r="L886" s="12" t="n">
        <x:v>0</x:v>
      </x:c>
      <x:c r="M886" s="12" t="str">
        <x:v>positive</x:v>
      </x:c>
      <x:c r="N886" s="12"/>
      <x:c r="O886" s="12" t="str">
        <x:v>negative</x:v>
      </x:c>
      <x:c r="P886" s="12" t="str">
        <x:f>IF(OR(M886="unavailable",O886="unavailable"),"不可评价",IF(OR(M886="equivocal",O886="equivocal"),"疑似",IF(AND(M886="positive",O886="positive"),"a",IF(O886="positive","b",IF(M886="positive","c","d")))))</x:f>
        <x:v>c</x:v>
      </x:c>
      <x:c r="Q886" s="12"/>
      <x:c r="R886" s="12" t="str">
        <x:v>negative</x:v>
      </x:c>
      <x:c r="S886" s="12"/>
      <x:c r="T886" s="12" t="str">
        <x:v>negative</x:v>
      </x:c>
      <x:c r="U886" s="12" t="str">
        <x:f>IF(OR(R886="unavailable",T886="unavailable"),"不可评价",IF(OR(R886="equivocal",T886="equivocal"),"疑似",IF(AND(R886="positive",T886="positive"),"a",IF(T886="positive","b",IF(R886="positive","c","d")))))</x:f>
        <x:v>d</x:v>
      </x:c>
      <x:c r="V886" s="12" t="n">
        <x:v>100</x:v>
      </x:c>
      <x:c r="W886" s="12" t="str">
        <x:v>positive</x:v>
      </x:c>
      <x:c r="X886" s="12" t="n">
        <x:v>100</x:v>
      </x:c>
      <x:c r="Y886" s="12" t="str">
        <x:v>positive</x:v>
      </x:c>
      <x:c r="Z886" s="12" t="str">
        <x:f>IF(OR(W886="unavailable",Y886="unavailable"),"不可评价",IF(OR(W886="equivocal",Y886="equivocal"),"疑似",IF(AND(W886="positive",Y886="positive"),"a",IF(Y886="positive","b",IF(W886="positive","c","d")))))</x:f>
        <x:v>a</x:v>
      </x:c>
      <x:c r="AA886" s="12" t="str">
        <x:f>IF(OR(M886="unavailable",O886="unavailable"),"不可评价",IF(AND(OR(M886="positive",M886="equivocal"),OR(O886="positive",O886="equivocal")),"a",IF(OR(O886="positive",O886="equivocal"),"b",IF(OR(M886="positive",M886="equivocal"),"c","d"))))</x:f>
        <x:v>c</x:v>
      </x:c>
      <x:c r="AB886" s="12" t="str">
        <x:f>IF(OR(M886="unavailable",O886="unavailable"),"不可评价",IF(AND(M886="positive",O886="positive"),"a",IF(O886="positive","b",IF(M886="positive","c","d"))))</x:f>
        <x:v>c</x:v>
      </x:c>
      <x:c r="AC886" s="12" t="str">
        <x:f>IF(OR(R886="unavailable",T886="unavailable"),"不可评价",IF(AND(OR(R886="positive",R886="equivocal"),OR(T886="positive",T886="equivocal")),"a",IF(OR(T886="positive",T886="equivocal"),"b",IF(OR(R886="positive",R886="equivocal"),"c","d"))))</x:f>
        <x:v>d</x:v>
      </x:c>
      <x:c r="AD886" s="12" t="str">
        <x:f>IF(OR(R886="unavailable",T886="unavailable"),"不可评价",IF(AND(R886="positive",T886="positive"),"a",IF(T886="positive","b",IF(R886="positive","c","d"))))</x:f>
        <x:v>d</x:v>
      </x:c>
      <x:c r="AE886" s="12" t="str">
        <x:f>IF(OR(W886="unavailable",Y886="unavailable"),"不可评价",IF(AND(OR(W886="positive",W886="equivocal"),OR(Y886="positive",Y886="equivocal")),"a",IF(OR(Y886="positive",Y886="equivocal"),"b",IF(OR(W886="positive",W886="equivocal"),"c","d"))))</x:f>
        <x:v>a</x:v>
      </x:c>
      <x:c r="AF886" s="12" t="str">
        <x:f>IF(OR(W886="unavailable",Y886="unavailable"),"不可评价",IF(AND(W886="positive",Y886="positive"),"a",IF(Y886="positive","b",IF(W886="positive","c","d"))))</x:f>
        <x:v>a</x:v>
      </x:c>
    </x:row>
    <x:row r="887" ht="24" customHeight="1">
      <x:c r="A887" s="12" t="str">
        <x:v>7812</x:v>
      </x:c>
      <x:c r="B887" s="12" t="str">
        <x:v>6111</x:v>
      </x:c>
      <x:c r="C887" s="21" t="n">
        <x:v>33661.4396412037</x:v>
      </x:c>
      <x:c r="D887" s="12" t="n">
        <x:v>82</x:v>
      </x:c>
      <x:c r="E887" s="12" t="n">
        <x:v>0</x:v>
      </x:c>
      <x:c r="F887" s="12" t="str">
        <x:v>未记录</x:v>
      </x:c>
      <x:c r="G887" s="12" t="n">
        <x:v>1</x:v>
      </x:c>
      <x:c r="H887" s="12" t="str">
        <x:v>{'LVH': 80.0, 'VCLVH': 0.0, 'SR': 0.0}</x:v>
      </x:c>
      <x:c r="I887" s="12" t="str">
        <x:v>[('NSR', 100.0), ('BORDE', 100.0)]</x:v>
      </x:c>
      <x:c r="J887" s="12" t="str">
        <x:v>ptbxl_database.csv；ecg_id=7812；scp_codes</x:v>
      </x:c>
      <x:c r="K887" s="12" t="str">
        <x:v>12sl_statements.csv；ecg_id=7812；statements_ext_snomed</x:v>
      </x:c>
      <x:c r="L887" s="12"/>
      <x:c r="M887" s="12" t="str">
        <x:v>negative</x:v>
      </x:c>
      <x:c r="N887" s="12"/>
      <x:c r="O887" s="12" t="str">
        <x:v>negative</x:v>
      </x:c>
      <x:c r="P887" s="12" t="str">
        <x:f>IF(OR(M887="unavailable",O887="unavailable"),"不可评价",IF(OR(M887="equivocal",O887="equivocal"),"疑似",IF(AND(M887="positive",O887="positive"),"a",IF(O887="positive","b",IF(M887="positive","c","d")))))</x:f>
        <x:v>d</x:v>
      </x:c>
      <x:c r="Q887" s="12"/>
      <x:c r="R887" s="12" t="str">
        <x:v>negative</x:v>
      </x:c>
      <x:c r="S887" s="12"/>
      <x:c r="T887" s="12" t="str">
        <x:v>negative</x:v>
      </x:c>
      <x:c r="U887" s="12" t="str">
        <x:f>IF(OR(R887="unavailable",T887="unavailable"),"不可评价",IF(OR(R887="equivocal",T887="equivocal"),"疑似",IF(AND(R887="positive",T887="positive"),"a",IF(T887="positive","b",IF(R887="positive","c","d")))))</x:f>
        <x:v>d</x:v>
      </x:c>
      <x:c r="V887" s="12"/>
      <x:c r="W887" s="12" t="str">
        <x:v>negative</x:v>
      </x:c>
      <x:c r="X887" s="12"/>
      <x:c r="Y887" s="12" t="str">
        <x:v>negative</x:v>
      </x:c>
      <x:c r="Z887" s="12" t="str">
        <x:f>IF(OR(W887="unavailable",Y887="unavailable"),"不可评价",IF(OR(W887="equivocal",Y887="equivocal"),"疑似",IF(AND(W887="positive",Y887="positive"),"a",IF(Y887="positive","b",IF(W887="positive","c","d")))))</x:f>
        <x:v>d</x:v>
      </x:c>
      <x:c r="AA887" s="12" t="str">
        <x:f>IF(OR(M887="unavailable",O887="unavailable"),"不可评价",IF(AND(OR(M887="positive",M887="equivocal"),OR(O887="positive",O887="equivocal")),"a",IF(OR(O887="positive",O887="equivocal"),"b",IF(OR(M887="positive",M887="equivocal"),"c","d"))))</x:f>
        <x:v>d</x:v>
      </x:c>
      <x:c r="AB887" s="12" t="str">
        <x:f>IF(OR(M887="unavailable",O887="unavailable"),"不可评价",IF(AND(M887="positive",O887="positive"),"a",IF(O887="positive","b",IF(M887="positive","c","d"))))</x:f>
        <x:v>d</x:v>
      </x:c>
      <x:c r="AC887" s="12" t="str">
        <x:f>IF(OR(R887="unavailable",T887="unavailable"),"不可评价",IF(AND(OR(R887="positive",R887="equivocal"),OR(T887="positive",T887="equivocal")),"a",IF(OR(T887="positive",T887="equivocal"),"b",IF(OR(R887="positive",R887="equivocal"),"c","d"))))</x:f>
        <x:v>d</x:v>
      </x:c>
      <x:c r="AD887" s="12" t="str">
        <x:f>IF(OR(R887="unavailable",T887="unavailable"),"不可评价",IF(AND(R887="positive",T887="positive"),"a",IF(T887="positive","b",IF(R887="positive","c","d"))))</x:f>
        <x:v>d</x:v>
      </x:c>
      <x:c r="AE887" s="12" t="str">
        <x:f>IF(OR(W887="unavailable",Y887="unavailable"),"不可评价",IF(AND(OR(W887="positive",W887="equivocal"),OR(Y887="positive",Y887="equivocal")),"a",IF(OR(Y887="positive",Y887="equivocal"),"b",IF(OR(W887="positive",W887="equivocal"),"c","d"))))</x:f>
        <x:v>d</x:v>
      </x:c>
      <x:c r="AF887" s="12" t="str">
        <x:f>IF(OR(W887="unavailable",Y887="unavailable"),"不可评价",IF(AND(W887="positive",Y887="positive"),"a",IF(Y887="positive","b",IF(W887="positive","c","d"))))</x:f>
        <x:v>d</x:v>
      </x:c>
    </x:row>
    <x:row r="888" ht="24" customHeight="1">
      <x:c r="A888" s="12" t="str">
        <x:v>7813</x:v>
      </x:c>
      <x:c r="B888" s="12" t="str">
        <x:v>9740</x:v>
      </x:c>
      <x:c r="C888" s="21" t="n">
        <x:v>33661.544328703705</x:v>
      </x:c>
      <x:c r="D888" s="12" t="n">
        <x:v>59</x:v>
      </x:c>
      <x:c r="E888" s="12" t="n">
        <x:v>0</x:v>
      </x:c>
      <x:c r="F888" s="12" t="str">
        <x:v>存在</x:v>
      </x:c>
      <x:c r="G888" s="12" t="n">
        <x:v>0</x:v>
      </x:c>
      <x:c r="H888" s="12" t="str">
        <x:v>{'IMI': 80.0, 'IRBBB': 100.0, 'SR': 0.0}</x:v>
      </x:c>
      <x:c r="I888" s="12" t="str">
        <x:v>[('NSR', 100.0), ('IRBBB', 100.0), ('STDEP2', 100.0), ('LNGQT', 100.0), ('AB', 100.0)]</x:v>
      </x:c>
      <x:c r="J888" s="12" t="str">
        <x:v>ptbxl_database.csv；ecg_id=7813；scp_codes</x:v>
      </x:c>
      <x:c r="K888" s="12" t="str">
        <x:v>12sl_statements.csv；ecg_id=7813；statements_ext_snomed</x:v>
      </x:c>
      <x:c r="L888" s="12"/>
      <x:c r="M888" s="12" t="str">
        <x:v>negative</x:v>
      </x:c>
      <x:c r="N888" s="12"/>
      <x:c r="O888" s="12" t="str">
        <x:v>negative</x:v>
      </x:c>
      <x:c r="P888" s="12" t="str">
        <x:f>IF(OR(M888="unavailable",O888="unavailable"),"不可评价",IF(OR(M888="equivocal",O888="equivocal"),"疑似",IF(AND(M888="positive",O888="positive"),"a",IF(O888="positive","b",IF(M888="positive","c","d")))))</x:f>
        <x:v>d</x:v>
      </x:c>
      <x:c r="Q888" s="12"/>
      <x:c r="R888" s="12" t="str">
        <x:v>negative</x:v>
      </x:c>
      <x:c r="S888" s="12"/>
      <x:c r="T888" s="12" t="str">
        <x:v>negative</x:v>
      </x:c>
      <x:c r="U888" s="12" t="str">
        <x:f>IF(OR(R888="unavailable",T888="unavailable"),"不可评价",IF(OR(R888="equivocal",T888="equivocal"),"疑似",IF(AND(R888="positive",T888="positive"),"a",IF(T888="positive","b",IF(R888="positive","c","d")))))</x:f>
        <x:v>d</x:v>
      </x:c>
      <x:c r="V888" s="12"/>
      <x:c r="W888" s="12" t="str">
        <x:v>negative</x:v>
      </x:c>
      <x:c r="X888" s="12"/>
      <x:c r="Y888" s="12" t="str">
        <x:v>negative</x:v>
      </x:c>
      <x:c r="Z888" s="12" t="str">
        <x:f>IF(OR(W888="unavailable",Y888="unavailable"),"不可评价",IF(OR(W888="equivocal",Y888="equivocal"),"疑似",IF(AND(W888="positive",Y888="positive"),"a",IF(Y888="positive","b",IF(W888="positive","c","d")))))</x:f>
        <x:v>d</x:v>
      </x:c>
      <x:c r="AA888" s="12" t="str">
        <x:f>IF(OR(M888="unavailable",O888="unavailable"),"不可评价",IF(AND(OR(M888="positive",M888="equivocal"),OR(O888="positive",O888="equivocal")),"a",IF(OR(O888="positive",O888="equivocal"),"b",IF(OR(M888="positive",M888="equivocal"),"c","d"))))</x:f>
        <x:v>d</x:v>
      </x:c>
      <x:c r="AB888" s="12" t="str">
        <x:f>IF(OR(M888="unavailable",O888="unavailable"),"不可评价",IF(AND(M888="positive",O888="positive"),"a",IF(O888="positive","b",IF(M888="positive","c","d"))))</x:f>
        <x:v>d</x:v>
      </x:c>
      <x:c r="AC888" s="12" t="str">
        <x:f>IF(OR(R888="unavailable",T888="unavailable"),"不可评价",IF(AND(OR(R888="positive",R888="equivocal"),OR(T888="positive",T888="equivocal")),"a",IF(OR(T888="positive",T888="equivocal"),"b",IF(OR(R888="positive",R888="equivocal"),"c","d"))))</x:f>
        <x:v>d</x:v>
      </x:c>
      <x:c r="AD888" s="12" t="str">
        <x:f>IF(OR(R888="unavailable",T888="unavailable"),"不可评价",IF(AND(R888="positive",T888="positive"),"a",IF(T888="positive","b",IF(R888="positive","c","d"))))</x:f>
        <x:v>d</x:v>
      </x:c>
      <x:c r="AE888" s="12" t="str">
        <x:f>IF(OR(W888="unavailable",Y888="unavailable"),"不可评价",IF(AND(OR(W888="positive",W888="equivocal"),OR(Y888="positive",Y888="equivocal")),"a",IF(OR(Y888="positive",Y888="equivocal"),"b",IF(OR(W888="positive",W888="equivocal"),"c","d"))))</x:f>
        <x:v>d</x:v>
      </x:c>
      <x:c r="AF888" s="12" t="str">
        <x:f>IF(OR(W888="unavailable",Y888="unavailable"),"不可评价",IF(AND(W888="positive",Y888="positive"),"a",IF(Y888="positive","b",IF(W888="positive","c","d"))))</x:f>
        <x:v>d</x:v>
      </x:c>
    </x:row>
    <x:row r="889" ht="24" customHeight="1">
      <x:c r="A889" s="12" t="str">
        <x:v>7819</x:v>
      </x:c>
      <x:c r="B889" s="12" t="str">
        <x:v>12121</x:v>
      </x:c>
      <x:c r="C889" s="21" t="n">
        <x:v>33662.299421296295</x:v>
      </x:c>
      <x:c r="D889" s="12" t="n">
        <x:v>50</x:v>
      </x:c>
      <x:c r="E889" s="12" t="n">
        <x:v>0</x:v>
      </x:c>
      <x:c r="F889" s="12" t="str">
        <x:v>存在</x:v>
      </x:c>
      <x:c r="G889" s="12" t="n">
        <x:v>1</x:v>
      </x:c>
      <x:c r="H889" s="12" t="str">
        <x:v>{'NORM': 100.0, 'SR': 0.0}</x:v>
      </x:c>
      <x:c r="I889" s="12" t="str">
        <x:v>[('NSR', 100.0), ('QESPMI', 100.0), ('AB', 100.0)]</x:v>
      </x:c>
      <x:c r="J889" s="12" t="str">
        <x:v>ptbxl_database.csv；ecg_id=7819；scp_codes</x:v>
      </x:c>
      <x:c r="K889" s="12" t="str">
        <x:v>12sl_statements.csv；ecg_id=7819；statements_ext_snomed</x:v>
      </x:c>
      <x:c r="L889" s="12"/>
      <x:c r="M889" s="12" t="str">
        <x:v>negative</x:v>
      </x:c>
      <x:c r="N889" s="12"/>
      <x:c r="O889" s="12" t="str">
        <x:v>negative</x:v>
      </x:c>
      <x:c r="P889" s="12" t="str">
        <x:f>IF(OR(M889="unavailable",O889="unavailable"),"不可评价",IF(OR(M889="equivocal",O889="equivocal"),"疑似",IF(AND(M889="positive",O889="positive"),"a",IF(O889="positive","b",IF(M889="positive","c","d")))))</x:f>
        <x:v>d</x:v>
      </x:c>
      <x:c r="Q889" s="12"/>
      <x:c r="R889" s="12" t="str">
        <x:v>negative</x:v>
      </x:c>
      <x:c r="S889" s="12"/>
      <x:c r="T889" s="12" t="str">
        <x:v>negative</x:v>
      </x:c>
      <x:c r="U889" s="12" t="str">
        <x:f>IF(OR(R889="unavailable",T889="unavailable"),"不可评价",IF(OR(R889="equivocal",T889="equivocal"),"疑似",IF(AND(R889="positive",T889="positive"),"a",IF(T889="positive","b",IF(R889="positive","c","d")))))</x:f>
        <x:v>d</x:v>
      </x:c>
      <x:c r="V889" s="12"/>
      <x:c r="W889" s="12" t="str">
        <x:v>negative</x:v>
      </x:c>
      <x:c r="X889" s="12"/>
      <x:c r="Y889" s="12" t="str">
        <x:v>negative</x:v>
      </x:c>
      <x:c r="Z889" s="12" t="str">
        <x:f>IF(OR(W889="unavailable",Y889="unavailable"),"不可评价",IF(OR(W889="equivocal",Y889="equivocal"),"疑似",IF(AND(W889="positive",Y889="positive"),"a",IF(Y889="positive","b",IF(W889="positive","c","d")))))</x:f>
        <x:v>d</x:v>
      </x:c>
      <x:c r="AA889" s="12" t="str">
        <x:f>IF(OR(M889="unavailable",O889="unavailable"),"不可评价",IF(AND(OR(M889="positive",M889="equivocal"),OR(O889="positive",O889="equivocal")),"a",IF(OR(O889="positive",O889="equivocal"),"b",IF(OR(M889="positive",M889="equivocal"),"c","d"))))</x:f>
        <x:v>d</x:v>
      </x:c>
      <x:c r="AB889" s="12" t="str">
        <x:f>IF(OR(M889="unavailable",O889="unavailable"),"不可评价",IF(AND(M889="positive",O889="positive"),"a",IF(O889="positive","b",IF(M889="positive","c","d"))))</x:f>
        <x:v>d</x:v>
      </x:c>
      <x:c r="AC889" s="12" t="str">
        <x:f>IF(OR(R889="unavailable",T889="unavailable"),"不可评价",IF(AND(OR(R889="positive",R889="equivocal"),OR(T889="positive",T889="equivocal")),"a",IF(OR(T889="positive",T889="equivocal"),"b",IF(OR(R889="positive",R889="equivocal"),"c","d"))))</x:f>
        <x:v>d</x:v>
      </x:c>
      <x:c r="AD889" s="12" t="str">
        <x:f>IF(OR(R889="unavailable",T889="unavailable"),"不可评价",IF(AND(R889="positive",T889="positive"),"a",IF(T889="positive","b",IF(R889="positive","c","d"))))</x:f>
        <x:v>d</x:v>
      </x:c>
      <x:c r="AE889" s="12" t="str">
        <x:f>IF(OR(W889="unavailable",Y889="unavailable"),"不可评价",IF(AND(OR(W889="positive",W889="equivocal"),OR(Y889="positive",Y889="equivocal")),"a",IF(OR(Y889="positive",Y889="equivocal"),"b",IF(OR(W889="positive",W889="equivocal"),"c","d"))))</x:f>
        <x:v>d</x:v>
      </x:c>
      <x:c r="AF889" s="12" t="str">
        <x:f>IF(OR(W889="unavailable",Y889="unavailable"),"不可评价",IF(AND(W889="positive",Y889="positive"),"a",IF(Y889="positive","b",IF(W889="positive","c","d"))))</x:f>
        <x:v>d</x:v>
      </x:c>
    </x:row>
    <x:row r="890" ht="39" customHeight="1">
      <x:c r="A890" s="12" t="str">
        <x:v>7822</x:v>
      </x:c>
      <x:c r="B890" s="12" t="str">
        <x:v>20727</x:v>
      </x:c>
      <x:c r="C890" s="21" t="n">
        <x:v>33662.46207175926</x:v>
      </x:c>
      <x:c r="D890" s="12" t="n">
        <x:v>68</x:v>
      </x:c>
      <x:c r="E890" s="12" t="n">
        <x:v>1</x:v>
      </x:c>
      <x:c r="F890" s="12" t="str">
        <x:v>存在</x:v>
      </x:c>
      <x:c r="G890" s="12" t="n">
        <x:v>1</x:v>
      </x:c>
      <x:c r="H890" s="12" t="str">
        <x:v>{'IMI': 100.0, 'ASMI': 100.0, 'LVH': 100.0, 'ISC_': 100.0}</x:v>
      </x:c>
      <x:c r="I890" s="12" t="str">
        <x:v>[('SBRAD', 100.0), ('FAV', 100.0), ('LVH2', 100.0), ('2ST', 100.0), ('IMI;AU', 50.0), ('ASMI;AU', 100.0), ('AB', 100.0)]</x:v>
      </x:c>
      <x:c r="J890" s="12" t="str">
        <x:v>ptbxl_database.csv；ecg_id=7822；scp_codes</x:v>
      </x:c>
      <x:c r="K890" s="12" t="str">
        <x:v>12sl_statements.csv；ecg_id=7822；statements_ext_snomed</x:v>
      </x:c>
      <x:c r="L890" s="12"/>
      <x:c r="M890" s="12" t="str">
        <x:v>negative</x:v>
      </x:c>
      <x:c r="N890" s="12"/>
      <x:c r="O890" s="12" t="str">
        <x:v>negative</x:v>
      </x:c>
      <x:c r="P890" s="12" t="str">
        <x:f>IF(OR(M890="unavailable",O890="unavailable"),"不可评价",IF(OR(M890="equivocal",O890="equivocal"),"疑似",IF(AND(M890="positive",O890="positive"),"a",IF(O890="positive","b",IF(M890="positive","c","d")))))</x:f>
        <x:v>d</x:v>
      </x:c>
      <x:c r="Q890" s="12"/>
      <x:c r="R890" s="12" t="str">
        <x:v>negative</x:v>
      </x:c>
      <x:c r="S890" s="12"/>
      <x:c r="T890" s="12" t="str">
        <x:v>negative</x:v>
      </x:c>
      <x:c r="U890" s="12" t="str">
        <x:f>IF(OR(R890="unavailable",T890="unavailable"),"不可评价",IF(OR(R890="equivocal",T890="equivocal"),"疑似",IF(AND(R890="positive",T890="positive"),"a",IF(T890="positive","b",IF(R890="positive","c","d")))))</x:f>
        <x:v>d</x:v>
      </x:c>
      <x:c r="V890" s="12"/>
      <x:c r="W890" s="12" t="str">
        <x:v>negative</x:v>
      </x:c>
      <x:c r="X890" s="12"/>
      <x:c r="Y890" s="12" t="str">
        <x:v>negative</x:v>
      </x:c>
      <x:c r="Z890" s="12" t="str">
        <x:f>IF(OR(W890="unavailable",Y890="unavailable"),"不可评价",IF(OR(W890="equivocal",Y890="equivocal"),"疑似",IF(AND(W890="positive",Y890="positive"),"a",IF(Y890="positive","b",IF(W890="positive","c","d")))))</x:f>
        <x:v>d</x:v>
      </x:c>
      <x:c r="AA890" s="12" t="str">
        <x:f>IF(OR(M890="unavailable",O890="unavailable"),"不可评价",IF(AND(OR(M890="positive",M890="equivocal"),OR(O890="positive",O890="equivocal")),"a",IF(OR(O890="positive",O890="equivocal"),"b",IF(OR(M890="positive",M890="equivocal"),"c","d"))))</x:f>
        <x:v>d</x:v>
      </x:c>
      <x:c r="AB890" s="12" t="str">
        <x:f>IF(OR(M890="unavailable",O890="unavailable"),"不可评价",IF(AND(M890="positive",O890="positive"),"a",IF(O890="positive","b",IF(M890="positive","c","d"))))</x:f>
        <x:v>d</x:v>
      </x:c>
      <x:c r="AC890" s="12" t="str">
        <x:f>IF(OR(R890="unavailable",T890="unavailable"),"不可评价",IF(AND(OR(R890="positive",R890="equivocal"),OR(T890="positive",T890="equivocal")),"a",IF(OR(T890="positive",T890="equivocal"),"b",IF(OR(R890="positive",R890="equivocal"),"c","d"))))</x:f>
        <x:v>d</x:v>
      </x:c>
      <x:c r="AD890" s="12" t="str">
        <x:f>IF(OR(R890="unavailable",T890="unavailable"),"不可评价",IF(AND(R890="positive",T890="positive"),"a",IF(T890="positive","b",IF(R890="positive","c","d"))))</x:f>
        <x:v>d</x:v>
      </x:c>
      <x:c r="AE890" s="12" t="str">
        <x:f>IF(OR(W890="unavailable",Y890="unavailable"),"不可评价",IF(AND(OR(W890="positive",W890="equivocal"),OR(Y890="positive",Y890="equivocal")),"a",IF(OR(Y890="positive",Y890="equivocal"),"b",IF(OR(W890="positive",W890="equivocal"),"c","d"))))</x:f>
        <x:v>d</x:v>
      </x:c>
      <x:c r="AF890" s="12" t="str">
        <x:f>IF(OR(W890="unavailable",Y890="unavailable"),"不可评价",IF(AND(W890="positive",Y890="positive"),"a",IF(Y890="positive","b",IF(W890="positive","c","d"))))</x:f>
        <x:v>d</x:v>
      </x:c>
    </x:row>
    <x:row r="891" ht="24" customHeight="1">
      <x:c r="A891" s="12" t="str">
        <x:v>7837</x:v>
      </x:c>
      <x:c r="B891" s="12" t="str">
        <x:v>11456</x:v>
      </x:c>
      <x:c r="C891" s="21" t="n">
        <x:v>33663.436423611114</x:v>
      </x:c>
      <x:c r="D891" s="12" t="n">
        <x:v>61</x:v>
      </x:c>
      <x:c r="E891" s="12" t="n">
        <x:v>1</x:v>
      </x:c>
      <x:c r="F891" s="12" t="str">
        <x:v>未记录</x:v>
      </x:c>
      <x:c r="G891" s="12" t="n">
        <x:v>1</x:v>
      </x:c>
      <x:c r="H891" s="12" t="str">
        <x:v>{'IRBBB': 100.0, 'PVC': 100.0, 'SR': 0.0}</x:v>
      </x:c>
      <x:c r="I891" s="12" t="str">
        <x:v>[('SRTH', 100.0), ('PVC', 100.0), ('ABR', 100.0)]</x:v>
      </x:c>
      <x:c r="J891" s="12" t="str">
        <x:v>ptbxl_database.csv；ecg_id=7837；scp_codes</x:v>
      </x:c>
      <x:c r="K891" s="12" t="str">
        <x:v>12sl_statements.csv；ecg_id=7837；statements_ext_snomed</x:v>
      </x:c>
      <x:c r="L891" s="12"/>
      <x:c r="M891" s="12" t="str">
        <x:v>negative</x:v>
      </x:c>
      <x:c r="N891" s="12"/>
      <x:c r="O891" s="12" t="str">
        <x:v>negative</x:v>
      </x:c>
      <x:c r="P891" s="12" t="str">
        <x:f>IF(OR(M891="unavailable",O891="unavailable"),"不可评价",IF(OR(M891="equivocal",O891="equivocal"),"疑似",IF(AND(M891="positive",O891="positive"),"a",IF(O891="positive","b",IF(M891="positive","c","d")))))</x:f>
        <x:v>d</x:v>
      </x:c>
      <x:c r="Q891" s="12"/>
      <x:c r="R891" s="12" t="str">
        <x:v>negative</x:v>
      </x:c>
      <x:c r="S891" s="12"/>
      <x:c r="T891" s="12" t="str">
        <x:v>negative</x:v>
      </x:c>
      <x:c r="U891" s="12" t="str">
        <x:f>IF(OR(R891="unavailable",T891="unavailable"),"不可评价",IF(OR(R891="equivocal",T891="equivocal"),"疑似",IF(AND(R891="positive",T891="positive"),"a",IF(T891="positive","b",IF(R891="positive","c","d")))))</x:f>
        <x:v>d</x:v>
      </x:c>
      <x:c r="V891" s="12"/>
      <x:c r="W891" s="12" t="str">
        <x:v>negative</x:v>
      </x:c>
      <x:c r="X891" s="12"/>
      <x:c r="Y891" s="12" t="str">
        <x:v>negative</x:v>
      </x:c>
      <x:c r="Z891" s="12" t="str">
        <x:f>IF(OR(W891="unavailable",Y891="unavailable"),"不可评价",IF(OR(W891="equivocal",Y891="equivocal"),"疑似",IF(AND(W891="positive",Y891="positive"),"a",IF(Y891="positive","b",IF(W891="positive","c","d")))))</x:f>
        <x:v>d</x:v>
      </x:c>
      <x:c r="AA891" s="12" t="str">
        <x:f>IF(OR(M891="unavailable",O891="unavailable"),"不可评价",IF(AND(OR(M891="positive",M891="equivocal"),OR(O891="positive",O891="equivocal")),"a",IF(OR(O891="positive",O891="equivocal"),"b",IF(OR(M891="positive",M891="equivocal"),"c","d"))))</x:f>
        <x:v>d</x:v>
      </x:c>
      <x:c r="AB891" s="12" t="str">
        <x:f>IF(OR(M891="unavailable",O891="unavailable"),"不可评价",IF(AND(M891="positive",O891="positive"),"a",IF(O891="positive","b",IF(M891="positive","c","d"))))</x:f>
        <x:v>d</x:v>
      </x:c>
      <x:c r="AC891" s="12" t="str">
        <x:f>IF(OR(R891="unavailable",T891="unavailable"),"不可评价",IF(AND(OR(R891="positive",R891="equivocal"),OR(T891="positive",T891="equivocal")),"a",IF(OR(T891="positive",T891="equivocal"),"b",IF(OR(R891="positive",R891="equivocal"),"c","d"))))</x:f>
        <x:v>d</x:v>
      </x:c>
      <x:c r="AD891" s="12" t="str">
        <x:f>IF(OR(R891="unavailable",T891="unavailable"),"不可评价",IF(AND(R891="positive",T891="positive"),"a",IF(T891="positive","b",IF(R891="positive","c","d"))))</x:f>
        <x:v>d</x:v>
      </x:c>
      <x:c r="AE891" s="12" t="str">
        <x:f>IF(OR(W891="unavailable",Y891="unavailable"),"不可评价",IF(AND(OR(W891="positive",W891="equivocal"),OR(Y891="positive",Y891="equivocal")),"a",IF(OR(Y891="positive",Y891="equivocal"),"b",IF(OR(W891="positive",W891="equivocal"),"c","d"))))</x:f>
        <x:v>d</x:v>
      </x:c>
      <x:c r="AF891" s="12" t="str">
        <x:f>IF(OR(W891="unavailable",Y891="unavailable"),"不可评价",IF(AND(W891="positive",Y891="positive"),"a",IF(Y891="positive","b",IF(W891="positive","c","d"))))</x:f>
        <x:v>d</x:v>
      </x:c>
    </x:row>
    <x:row r="892" ht="24" customHeight="1">
      <x:c r="A892" s="12" t="str">
        <x:v>7842</x:v>
      </x:c>
      <x:c r="B892" s="12" t="str">
        <x:v>2609</x:v>
      </x:c>
      <x:c r="C892" s="21" t="n">
        <x:v>33665.38689814815</x:v>
      </x:c>
      <x:c r="D892" s="12" t="n">
        <x:v>62</x:v>
      </x:c>
      <x:c r="E892" s="12" t="n">
        <x:v>1</x:v>
      </x:c>
      <x:c r="F892" s="12" t="str">
        <x:v>未记录</x:v>
      </x:c>
      <x:c r="G892" s="12" t="n">
        <x:v>1</x:v>
      </x:c>
      <x:c r="H892" s="12" t="str">
        <x:v>{'NORM': 100.0, 'SR': 0.0}</x:v>
      </x:c>
      <x:c r="I892" s="12" t="str">
        <x:v>[('NSR', 100.0), ('NML', 100.0)]</x:v>
      </x:c>
      <x:c r="J892" s="12" t="str">
        <x:v>ptbxl_database.csv；ecg_id=7842；scp_codes</x:v>
      </x:c>
      <x:c r="K892" s="12" t="str">
        <x:v>12sl_statements.csv；ecg_id=7842；statements_ext_snomed</x:v>
      </x:c>
      <x:c r="L892" s="12"/>
      <x:c r="M892" s="12" t="str">
        <x:v>negative</x:v>
      </x:c>
      <x:c r="N892" s="12"/>
      <x:c r="O892" s="12" t="str">
        <x:v>negative</x:v>
      </x:c>
      <x:c r="P892" s="12" t="str">
        <x:f>IF(OR(M892="unavailable",O892="unavailable"),"不可评价",IF(OR(M892="equivocal",O892="equivocal"),"疑似",IF(AND(M892="positive",O892="positive"),"a",IF(O892="positive","b",IF(M892="positive","c","d")))))</x:f>
        <x:v>d</x:v>
      </x:c>
      <x:c r="Q892" s="12"/>
      <x:c r="R892" s="12" t="str">
        <x:v>negative</x:v>
      </x:c>
      <x:c r="S892" s="12"/>
      <x:c r="T892" s="12" t="str">
        <x:v>negative</x:v>
      </x:c>
      <x:c r="U892" s="12" t="str">
        <x:f>IF(OR(R892="unavailable",T892="unavailable"),"不可评价",IF(OR(R892="equivocal",T892="equivocal"),"疑似",IF(AND(R892="positive",T892="positive"),"a",IF(T892="positive","b",IF(R892="positive","c","d")))))</x:f>
        <x:v>d</x:v>
      </x:c>
      <x:c r="V892" s="12"/>
      <x:c r="W892" s="12" t="str">
        <x:v>negative</x:v>
      </x:c>
      <x:c r="X892" s="12"/>
      <x:c r="Y892" s="12" t="str">
        <x:v>negative</x:v>
      </x:c>
      <x:c r="Z892" s="12" t="str">
        <x:f>IF(OR(W892="unavailable",Y892="unavailable"),"不可评价",IF(OR(W892="equivocal",Y892="equivocal"),"疑似",IF(AND(W892="positive",Y892="positive"),"a",IF(Y892="positive","b",IF(W892="positive","c","d")))))</x:f>
        <x:v>d</x:v>
      </x:c>
      <x:c r="AA892" s="12" t="str">
        <x:f>IF(OR(M892="unavailable",O892="unavailable"),"不可评价",IF(AND(OR(M892="positive",M892="equivocal"),OR(O892="positive",O892="equivocal")),"a",IF(OR(O892="positive",O892="equivocal"),"b",IF(OR(M892="positive",M892="equivocal"),"c","d"))))</x:f>
        <x:v>d</x:v>
      </x:c>
      <x:c r="AB892" s="12" t="str">
        <x:f>IF(OR(M892="unavailable",O892="unavailable"),"不可评价",IF(AND(M892="positive",O892="positive"),"a",IF(O892="positive","b",IF(M892="positive","c","d"))))</x:f>
        <x:v>d</x:v>
      </x:c>
      <x:c r="AC892" s="12" t="str">
        <x:f>IF(OR(R892="unavailable",T892="unavailable"),"不可评价",IF(AND(OR(R892="positive",R892="equivocal"),OR(T892="positive",T892="equivocal")),"a",IF(OR(T892="positive",T892="equivocal"),"b",IF(OR(R892="positive",R892="equivocal"),"c","d"))))</x:f>
        <x:v>d</x:v>
      </x:c>
      <x:c r="AD892" s="12" t="str">
        <x:f>IF(OR(R892="unavailable",T892="unavailable"),"不可评价",IF(AND(R892="positive",T892="positive"),"a",IF(T892="positive","b",IF(R892="positive","c","d"))))</x:f>
        <x:v>d</x:v>
      </x:c>
      <x:c r="AE892" s="12" t="str">
        <x:f>IF(OR(W892="unavailable",Y892="unavailable"),"不可评价",IF(AND(OR(W892="positive",W892="equivocal"),OR(Y892="positive",Y892="equivocal")),"a",IF(OR(Y892="positive",Y892="equivocal"),"b",IF(OR(W892="positive",W892="equivocal"),"c","d"))))</x:f>
        <x:v>d</x:v>
      </x:c>
      <x:c r="AF892" s="12" t="str">
        <x:f>IF(OR(W892="unavailable",Y892="unavailable"),"不可评价",IF(AND(W892="positive",Y892="positive"),"a",IF(Y892="positive","b",IF(W892="positive","c","d"))))</x:f>
        <x:v>d</x:v>
      </x:c>
    </x:row>
    <x:row r="893" ht="24" customHeight="1">
      <x:c r="A893" s="12" t="str">
        <x:v>7848</x:v>
      </x:c>
      <x:c r="B893" s="12" t="str">
        <x:v>10668</x:v>
      </x:c>
      <x:c r="C893" s="21" t="n">
        <x:v>33667.448900462965</x:v>
      </x:c>
      <x:c r="D893" s="12" t="n">
        <x:v>79</x:v>
      </x:c>
      <x:c r="E893" s="12" t="n">
        <x:v>1</x:v>
      </x:c>
      <x:c r="F893" s="12" t="str">
        <x:v>未记录</x:v>
      </x:c>
      <x:c r="G893" s="12" t="n">
        <x:v>1</x:v>
      </x:c>
      <x:c r="H893" s="12" t="str">
        <x:v>{'NORM': 100.0, 'SR': 0.0}</x:v>
      </x:c>
      <x:c r="I893" s="12" t="str">
        <x:v>[('SBRAD', 100.0), ('ABR', 100.0)]</x:v>
      </x:c>
      <x:c r="J893" s="12" t="str">
        <x:v>ptbxl_database.csv；ecg_id=7848；scp_codes</x:v>
      </x:c>
      <x:c r="K893" s="12" t="str">
        <x:v>12sl_statements.csv；ecg_id=7848；statements_ext_snomed</x:v>
      </x:c>
      <x:c r="L893" s="12"/>
      <x:c r="M893" s="12" t="str">
        <x:v>negative</x:v>
      </x:c>
      <x:c r="N893" s="12"/>
      <x:c r="O893" s="12" t="str">
        <x:v>negative</x:v>
      </x:c>
      <x:c r="P893" s="12" t="str">
        <x:f>IF(OR(M893="unavailable",O893="unavailable"),"不可评价",IF(OR(M893="equivocal",O893="equivocal"),"疑似",IF(AND(M893="positive",O893="positive"),"a",IF(O893="positive","b",IF(M893="positive","c","d")))))</x:f>
        <x:v>d</x:v>
      </x:c>
      <x:c r="Q893" s="12"/>
      <x:c r="R893" s="12" t="str">
        <x:v>negative</x:v>
      </x:c>
      <x:c r="S893" s="12"/>
      <x:c r="T893" s="12" t="str">
        <x:v>negative</x:v>
      </x:c>
      <x:c r="U893" s="12" t="str">
        <x:f>IF(OR(R893="unavailable",T893="unavailable"),"不可评价",IF(OR(R893="equivocal",T893="equivocal"),"疑似",IF(AND(R893="positive",T893="positive"),"a",IF(T893="positive","b",IF(R893="positive","c","d")))))</x:f>
        <x:v>d</x:v>
      </x:c>
      <x:c r="V893" s="12"/>
      <x:c r="W893" s="12" t="str">
        <x:v>negative</x:v>
      </x:c>
      <x:c r="X893" s="12"/>
      <x:c r="Y893" s="12" t="str">
        <x:v>negative</x:v>
      </x:c>
      <x:c r="Z893" s="12" t="str">
        <x:f>IF(OR(W893="unavailable",Y893="unavailable"),"不可评价",IF(OR(W893="equivocal",Y893="equivocal"),"疑似",IF(AND(W893="positive",Y893="positive"),"a",IF(Y893="positive","b",IF(W893="positive","c","d")))))</x:f>
        <x:v>d</x:v>
      </x:c>
      <x:c r="AA893" s="12" t="str">
        <x:f>IF(OR(M893="unavailable",O893="unavailable"),"不可评价",IF(AND(OR(M893="positive",M893="equivocal"),OR(O893="positive",O893="equivocal")),"a",IF(OR(O893="positive",O893="equivocal"),"b",IF(OR(M893="positive",M893="equivocal"),"c","d"))))</x:f>
        <x:v>d</x:v>
      </x:c>
      <x:c r="AB893" s="12" t="str">
        <x:f>IF(OR(M893="unavailable",O893="unavailable"),"不可评价",IF(AND(M893="positive",O893="positive"),"a",IF(O893="positive","b",IF(M893="positive","c","d"))))</x:f>
        <x:v>d</x:v>
      </x:c>
      <x:c r="AC893" s="12" t="str">
        <x:f>IF(OR(R893="unavailable",T893="unavailable"),"不可评价",IF(AND(OR(R893="positive",R893="equivocal"),OR(T893="positive",T893="equivocal")),"a",IF(OR(T893="positive",T893="equivocal"),"b",IF(OR(R893="positive",R893="equivocal"),"c","d"))))</x:f>
        <x:v>d</x:v>
      </x:c>
      <x:c r="AD893" s="12" t="str">
        <x:f>IF(OR(R893="unavailable",T893="unavailable"),"不可评价",IF(AND(R893="positive",T893="positive"),"a",IF(T893="positive","b",IF(R893="positive","c","d"))))</x:f>
        <x:v>d</x:v>
      </x:c>
      <x:c r="AE893" s="12" t="str">
        <x:f>IF(OR(W893="unavailable",Y893="unavailable"),"不可评价",IF(AND(OR(W893="positive",W893="equivocal"),OR(Y893="positive",Y893="equivocal")),"a",IF(OR(Y893="positive",Y893="equivocal"),"b",IF(OR(W893="positive",W893="equivocal"),"c","d"))))</x:f>
        <x:v>d</x:v>
      </x:c>
      <x:c r="AF893" s="12" t="str">
        <x:f>IF(OR(W893="unavailable",Y893="unavailable"),"不可评价",IF(AND(W893="positive",Y893="positive"),"a",IF(Y893="positive","b",IF(W893="positive","c","d"))))</x:f>
        <x:v>d</x:v>
      </x:c>
    </x:row>
    <x:row r="894" ht="24" customHeight="1">
      <x:c r="A894" s="12" t="str">
        <x:v>7861</x:v>
      </x:c>
      <x:c r="B894" s="12" t="str">
        <x:v>19498</x:v>
      </x:c>
      <x:c r="C894" s="21" t="n">
        <x:v>33674.63619212963</x:v>
      </x:c>
      <x:c r="D894" s="12" t="n">
        <x:v>73</x:v>
      </x:c>
      <x:c r="E894" s="12" t="n">
        <x:v>1</x:v>
      </x:c>
      <x:c r="F894" s="12" t="str">
        <x:v>未记录</x:v>
      </x:c>
      <x:c r="G894" s="12" t="n">
        <x:v>1</x:v>
      </x:c>
      <x:c r="H894" s="12" t="str">
        <x:v>{'IMI': 50.0, 'LVH': 80.0, 'ISC_': 100.0, 'SR': 0.0}</x:v>
      </x:c>
      <x:c r="I894" s="12" t="str">
        <x:v>[('SBRAD', 100.0), ('LVH2', 100.0), ('2ST', 100.0), ('AB', 100.0)]</x:v>
      </x:c>
      <x:c r="J894" s="12" t="str">
        <x:v>ptbxl_database.csv；ecg_id=7861；scp_codes</x:v>
      </x:c>
      <x:c r="K894" s="12" t="str">
        <x:v>12sl_statements.csv；ecg_id=7861；statements_ext_snomed</x:v>
      </x:c>
      <x:c r="L894" s="12"/>
      <x:c r="M894" s="12" t="str">
        <x:v>negative</x:v>
      </x:c>
      <x:c r="N894" s="12"/>
      <x:c r="O894" s="12" t="str">
        <x:v>negative</x:v>
      </x:c>
      <x:c r="P894" s="12" t="str">
        <x:f>IF(OR(M894="unavailable",O894="unavailable"),"不可评价",IF(OR(M894="equivocal",O894="equivocal"),"疑似",IF(AND(M894="positive",O894="positive"),"a",IF(O894="positive","b",IF(M894="positive","c","d")))))</x:f>
        <x:v>d</x:v>
      </x:c>
      <x:c r="Q894" s="12"/>
      <x:c r="R894" s="12" t="str">
        <x:v>negative</x:v>
      </x:c>
      <x:c r="S894" s="12"/>
      <x:c r="T894" s="12" t="str">
        <x:v>negative</x:v>
      </x:c>
      <x:c r="U894" s="12" t="str">
        <x:f>IF(OR(R894="unavailable",T894="unavailable"),"不可评价",IF(OR(R894="equivocal",T894="equivocal"),"疑似",IF(AND(R894="positive",T894="positive"),"a",IF(T894="positive","b",IF(R894="positive","c","d")))))</x:f>
        <x:v>d</x:v>
      </x:c>
      <x:c r="V894" s="12"/>
      <x:c r="W894" s="12" t="str">
        <x:v>negative</x:v>
      </x:c>
      <x:c r="X894" s="12"/>
      <x:c r="Y894" s="12" t="str">
        <x:v>negative</x:v>
      </x:c>
      <x:c r="Z894" s="12" t="str">
        <x:f>IF(OR(W894="unavailable",Y894="unavailable"),"不可评价",IF(OR(W894="equivocal",Y894="equivocal"),"疑似",IF(AND(W894="positive",Y894="positive"),"a",IF(Y894="positive","b",IF(W894="positive","c","d")))))</x:f>
        <x:v>d</x:v>
      </x:c>
      <x:c r="AA894" s="12" t="str">
        <x:f>IF(OR(M894="unavailable",O894="unavailable"),"不可评价",IF(AND(OR(M894="positive",M894="equivocal"),OR(O894="positive",O894="equivocal")),"a",IF(OR(O894="positive",O894="equivocal"),"b",IF(OR(M894="positive",M894="equivocal"),"c","d"))))</x:f>
        <x:v>d</x:v>
      </x:c>
      <x:c r="AB894" s="12" t="str">
        <x:f>IF(OR(M894="unavailable",O894="unavailable"),"不可评价",IF(AND(M894="positive",O894="positive"),"a",IF(O894="positive","b",IF(M894="positive","c","d"))))</x:f>
        <x:v>d</x:v>
      </x:c>
      <x:c r="AC894" s="12" t="str">
        <x:f>IF(OR(R894="unavailable",T894="unavailable"),"不可评价",IF(AND(OR(R894="positive",R894="equivocal"),OR(T894="positive",T894="equivocal")),"a",IF(OR(T894="positive",T894="equivocal"),"b",IF(OR(R894="positive",R894="equivocal"),"c","d"))))</x:f>
        <x:v>d</x:v>
      </x:c>
      <x:c r="AD894" s="12" t="str">
        <x:f>IF(OR(R894="unavailable",T894="unavailable"),"不可评价",IF(AND(R894="positive",T894="positive"),"a",IF(T894="positive","b",IF(R894="positive","c","d"))))</x:f>
        <x:v>d</x:v>
      </x:c>
      <x:c r="AE894" s="12" t="str">
        <x:f>IF(OR(W894="unavailable",Y894="unavailable"),"不可评价",IF(AND(OR(W894="positive",W894="equivocal"),OR(Y894="positive",Y894="equivocal")),"a",IF(OR(Y894="positive",Y894="equivocal"),"b",IF(OR(W894="positive",W894="equivocal"),"c","d"))))</x:f>
        <x:v>d</x:v>
      </x:c>
      <x:c r="AF894" s="12" t="str">
        <x:f>IF(OR(W894="unavailable",Y894="unavailable"),"不可评价",IF(AND(W894="positive",Y894="positive"),"a",IF(Y894="positive","b",IF(W894="positive","c","d"))))</x:f>
        <x:v>d</x:v>
      </x:c>
    </x:row>
    <x:row r="895" ht="24" customHeight="1">
      <x:c r="A895" s="12" t="str">
        <x:v>7865</x:v>
      </x:c>
      <x:c r="B895" s="12" t="str">
        <x:v>10677</x:v>
      </x:c>
      <x:c r="C895" s="21" t="n">
        <x:v>33676.352164351854</x:v>
      </x:c>
      <x:c r="D895" s="12" t="n">
        <x:v>79</x:v>
      </x:c>
      <x:c r="E895" s="12" t="n">
        <x:v>0</x:v>
      </x:c>
      <x:c r="F895" s="12" t="str">
        <x:v>存在</x:v>
      </x:c>
      <x:c r="G895" s="12" t="n">
        <x:v>1</x:v>
      </x:c>
      <x:c r="H895" s="12" t="str">
        <x:v>{'LAFB': 100.0, 'PVC': 100.0}</x:v>
      </x:c>
      <x:c r="I895" s="12" t="str">
        <x:v>[('STACH', 100.0), ('PVC', 100.0), ('AFB', 100.0), ('AB', 100.0)]</x:v>
      </x:c>
      <x:c r="J895" s="12" t="str">
        <x:v>ptbxl_database.csv；ecg_id=7865；scp_codes</x:v>
      </x:c>
      <x:c r="K895" s="12" t="str">
        <x:v>12sl_statements.csv；ecg_id=7865；statements_ext_snomed</x:v>
      </x:c>
      <x:c r="L895" s="12"/>
      <x:c r="M895" s="12" t="str">
        <x:v>negative</x:v>
      </x:c>
      <x:c r="N895" s="12"/>
      <x:c r="O895" s="12" t="str">
        <x:v>negative</x:v>
      </x:c>
      <x:c r="P895" s="12" t="str">
        <x:f>IF(OR(M895="unavailable",O895="unavailable"),"不可评价",IF(OR(M895="equivocal",O895="equivocal"),"疑似",IF(AND(M895="positive",O895="positive"),"a",IF(O895="positive","b",IF(M895="positive","c","d")))))</x:f>
        <x:v>d</x:v>
      </x:c>
      <x:c r="Q895" s="12"/>
      <x:c r="R895" s="12" t="str">
        <x:v>negative</x:v>
      </x:c>
      <x:c r="S895" s="12"/>
      <x:c r="T895" s="12" t="str">
        <x:v>negative</x:v>
      </x:c>
      <x:c r="U895" s="12" t="str">
        <x:f>IF(OR(R895="unavailable",T895="unavailable"),"不可评价",IF(OR(R895="equivocal",T895="equivocal"),"疑似",IF(AND(R895="positive",T895="positive"),"a",IF(T895="positive","b",IF(R895="positive","c","d")))))</x:f>
        <x:v>d</x:v>
      </x:c>
      <x:c r="V895" s="12"/>
      <x:c r="W895" s="12" t="str">
        <x:v>negative</x:v>
      </x:c>
      <x:c r="X895" s="12"/>
      <x:c r="Y895" s="12" t="str">
        <x:v>negative</x:v>
      </x:c>
      <x:c r="Z895" s="12" t="str">
        <x:f>IF(OR(W895="unavailable",Y895="unavailable"),"不可评价",IF(OR(W895="equivocal",Y895="equivocal"),"疑似",IF(AND(W895="positive",Y895="positive"),"a",IF(Y895="positive","b",IF(W895="positive","c","d")))))</x:f>
        <x:v>d</x:v>
      </x:c>
      <x:c r="AA895" s="12" t="str">
        <x:f>IF(OR(M895="unavailable",O895="unavailable"),"不可评价",IF(AND(OR(M895="positive",M895="equivocal"),OR(O895="positive",O895="equivocal")),"a",IF(OR(O895="positive",O895="equivocal"),"b",IF(OR(M895="positive",M895="equivocal"),"c","d"))))</x:f>
        <x:v>d</x:v>
      </x:c>
      <x:c r="AB895" s="12" t="str">
        <x:f>IF(OR(M895="unavailable",O895="unavailable"),"不可评价",IF(AND(M895="positive",O895="positive"),"a",IF(O895="positive","b",IF(M895="positive","c","d"))))</x:f>
        <x:v>d</x:v>
      </x:c>
      <x:c r="AC895" s="12" t="str">
        <x:f>IF(OR(R895="unavailable",T895="unavailable"),"不可评价",IF(AND(OR(R895="positive",R895="equivocal"),OR(T895="positive",T895="equivocal")),"a",IF(OR(T895="positive",T895="equivocal"),"b",IF(OR(R895="positive",R895="equivocal"),"c","d"))))</x:f>
        <x:v>d</x:v>
      </x:c>
      <x:c r="AD895" s="12" t="str">
        <x:f>IF(OR(R895="unavailable",T895="unavailable"),"不可评价",IF(AND(R895="positive",T895="positive"),"a",IF(T895="positive","b",IF(R895="positive","c","d"))))</x:f>
        <x:v>d</x:v>
      </x:c>
      <x:c r="AE895" s="12" t="str">
        <x:f>IF(OR(W895="unavailable",Y895="unavailable"),"不可评价",IF(AND(OR(W895="positive",W895="equivocal"),OR(Y895="positive",Y895="equivocal")),"a",IF(OR(Y895="positive",Y895="equivocal"),"b",IF(OR(W895="positive",W895="equivocal"),"c","d"))))</x:f>
        <x:v>d</x:v>
      </x:c>
      <x:c r="AF895" s="12" t="str">
        <x:f>IF(OR(W895="unavailable",Y895="unavailable"),"不可评价",IF(AND(W895="positive",Y895="positive"),"a",IF(Y895="positive","b",IF(W895="positive","c","d"))))</x:f>
        <x:v>d</x:v>
      </x:c>
    </x:row>
    <x:row r="896" ht="39" customHeight="1">
      <x:c r="A896" s="12" t="str">
        <x:v>7873</x:v>
      </x:c>
      <x:c r="B896" s="12" t="str">
        <x:v>11974</x:v>
      </x:c>
      <x:c r="C896" s="21" t="n">
        <x:v>33680.220821759256</x:v>
      </x:c>
      <x:c r="D896" s="12" t="n">
        <x:v>82</x:v>
      </x:c>
      <x:c r="E896" s="12" t="n">
        <x:v>1</x:v>
      </x:c>
      <x:c r="F896" s="12" t="str">
        <x:v>未记录</x:v>
      </x:c>
      <x:c r="G896" s="12" t="n">
        <x:v>1</x:v>
      </x:c>
      <x:c r="H896" s="12" t="str">
        <x:v>{'LVH': 100.0, 'ISC_': 100.0, 'LAFB': 100.0, 'SR': 0.0}</x:v>
      </x:c>
      <x:c r="I896" s="12" t="str">
        <x:v>[('NSR', 100.0), ('LAE', 50.0), ('LAD3', 100.0), ('LVH2', 100.0), ('2ST', 100.0), ('LNGQT', 100.0), ('AB', 100.0)]</x:v>
      </x:c>
      <x:c r="J896" s="12" t="str">
        <x:v>ptbxl_database.csv；ecg_id=7873；scp_codes</x:v>
      </x:c>
      <x:c r="K896" s="12" t="str">
        <x:v>12sl_statements.csv；ecg_id=7873；statements_ext_snomed</x:v>
      </x:c>
      <x:c r="L896" s="12"/>
      <x:c r="M896" s="12" t="str">
        <x:v>negative</x:v>
      </x:c>
      <x:c r="N896" s="12"/>
      <x:c r="O896" s="12" t="str">
        <x:v>negative</x:v>
      </x:c>
      <x:c r="P896" s="12" t="str">
        <x:f>IF(OR(M896="unavailable",O896="unavailable"),"不可评价",IF(OR(M896="equivocal",O896="equivocal"),"疑似",IF(AND(M896="positive",O896="positive"),"a",IF(O896="positive","b",IF(M896="positive","c","d")))))</x:f>
        <x:v>d</x:v>
      </x:c>
      <x:c r="Q896" s="12"/>
      <x:c r="R896" s="12" t="str">
        <x:v>negative</x:v>
      </x:c>
      <x:c r="S896" s="12"/>
      <x:c r="T896" s="12" t="str">
        <x:v>negative</x:v>
      </x:c>
      <x:c r="U896" s="12" t="str">
        <x:f>IF(OR(R896="unavailable",T896="unavailable"),"不可评价",IF(OR(R896="equivocal",T896="equivocal"),"疑似",IF(AND(R896="positive",T896="positive"),"a",IF(T896="positive","b",IF(R896="positive","c","d")))))</x:f>
        <x:v>d</x:v>
      </x:c>
      <x:c r="V896" s="12"/>
      <x:c r="W896" s="12" t="str">
        <x:v>negative</x:v>
      </x:c>
      <x:c r="X896" s="12"/>
      <x:c r="Y896" s="12" t="str">
        <x:v>negative</x:v>
      </x:c>
      <x:c r="Z896" s="12" t="str">
        <x:f>IF(OR(W896="unavailable",Y896="unavailable"),"不可评价",IF(OR(W896="equivocal",Y896="equivocal"),"疑似",IF(AND(W896="positive",Y896="positive"),"a",IF(Y896="positive","b",IF(W896="positive","c","d")))))</x:f>
        <x:v>d</x:v>
      </x:c>
      <x:c r="AA896" s="12" t="str">
        <x:f>IF(OR(M896="unavailable",O896="unavailable"),"不可评价",IF(AND(OR(M896="positive",M896="equivocal"),OR(O896="positive",O896="equivocal")),"a",IF(OR(O896="positive",O896="equivocal"),"b",IF(OR(M896="positive",M896="equivocal"),"c","d"))))</x:f>
        <x:v>d</x:v>
      </x:c>
      <x:c r="AB896" s="12" t="str">
        <x:f>IF(OR(M896="unavailable",O896="unavailable"),"不可评价",IF(AND(M896="positive",O896="positive"),"a",IF(O896="positive","b",IF(M896="positive","c","d"))))</x:f>
        <x:v>d</x:v>
      </x:c>
      <x:c r="AC896" s="12" t="str">
        <x:f>IF(OR(R896="unavailable",T896="unavailable"),"不可评价",IF(AND(OR(R896="positive",R896="equivocal"),OR(T896="positive",T896="equivocal")),"a",IF(OR(T896="positive",T896="equivocal"),"b",IF(OR(R896="positive",R896="equivocal"),"c","d"))))</x:f>
        <x:v>d</x:v>
      </x:c>
      <x:c r="AD896" s="12" t="str">
        <x:f>IF(OR(R896="unavailable",T896="unavailable"),"不可评价",IF(AND(R896="positive",T896="positive"),"a",IF(T896="positive","b",IF(R896="positive","c","d"))))</x:f>
        <x:v>d</x:v>
      </x:c>
      <x:c r="AE896" s="12" t="str">
        <x:f>IF(OR(W896="unavailable",Y896="unavailable"),"不可评价",IF(AND(OR(W896="positive",W896="equivocal"),OR(Y896="positive",Y896="equivocal")),"a",IF(OR(Y896="positive",Y896="equivocal"),"b",IF(OR(W896="positive",W896="equivocal"),"c","d"))))</x:f>
        <x:v>d</x:v>
      </x:c>
      <x:c r="AF896" s="12" t="str">
        <x:f>IF(OR(W896="unavailable",Y896="unavailable"),"不可评价",IF(AND(W896="positive",Y896="positive"),"a",IF(Y896="positive","b",IF(W896="positive","c","d"))))</x:f>
        <x:v>d</x:v>
      </x:c>
    </x:row>
    <x:row r="897" ht="39" customHeight="1">
      <x:c r="A897" s="12" t="str">
        <x:v>7876</x:v>
      </x:c>
      <x:c r="B897" s="12" t="str">
        <x:v>8152</x:v>
      </x:c>
      <x:c r="C897" s="21" t="n">
        <x:v>33680.476851851854</x:v>
      </x:c>
      <x:c r="D897" s="12" t="n">
        <x:v>66</x:v>
      </x:c>
      <x:c r="E897" s="12" t="n">
        <x:v>1</x:v>
      </x:c>
      <x:c r="F897" s="12" t="str">
        <x:v>未记录</x:v>
      </x:c>
      <x:c r="G897" s="12" t="n">
        <x:v>1</x:v>
      </x:c>
      <x:c r="H897" s="12" t="str">
        <x:v>{'LMI': 100.0, 'LVH': 100.0, 'ISC_': 100.0, 'LAO/LAE': 100.0}</x:v>
      </x:c>
      <x:c r="I897" s="12" t="str">
        <x:v>[('STACH', 100.0), ('PVC', 100.0), ('LVH2', 100.0), ('QRSW-2ST', 100.0), ('AB', 100.0)]</x:v>
      </x:c>
      <x:c r="J897" s="12" t="str">
        <x:v>ptbxl_database.csv；ecg_id=7876；scp_codes</x:v>
      </x:c>
      <x:c r="K897" s="12" t="str">
        <x:v>12sl_statements.csv；ecg_id=7876；statements_ext_snomed</x:v>
      </x:c>
      <x:c r="L897" s="12"/>
      <x:c r="M897" s="12" t="str">
        <x:v>negative</x:v>
      </x:c>
      <x:c r="N897" s="12"/>
      <x:c r="O897" s="12" t="str">
        <x:v>negative</x:v>
      </x:c>
      <x:c r="P897" s="12" t="str">
        <x:f>IF(OR(M897="unavailable",O897="unavailable"),"不可评价",IF(OR(M897="equivocal",O897="equivocal"),"疑似",IF(AND(M897="positive",O897="positive"),"a",IF(O897="positive","b",IF(M897="positive","c","d")))))</x:f>
        <x:v>d</x:v>
      </x:c>
      <x:c r="Q897" s="12"/>
      <x:c r="R897" s="12" t="str">
        <x:v>negative</x:v>
      </x:c>
      <x:c r="S897" s="12"/>
      <x:c r="T897" s="12" t="str">
        <x:v>negative</x:v>
      </x:c>
      <x:c r="U897" s="12" t="str">
        <x:f>IF(OR(R897="unavailable",T897="unavailable"),"不可评价",IF(OR(R897="equivocal",T897="equivocal"),"疑似",IF(AND(R897="positive",T897="positive"),"a",IF(T897="positive","b",IF(R897="positive","c","d")))))</x:f>
        <x:v>d</x:v>
      </x:c>
      <x:c r="V897" s="12"/>
      <x:c r="W897" s="12" t="str">
        <x:v>negative</x:v>
      </x:c>
      <x:c r="X897" s="12"/>
      <x:c r="Y897" s="12" t="str">
        <x:v>negative</x:v>
      </x:c>
      <x:c r="Z897" s="12" t="str">
        <x:f>IF(OR(W897="unavailable",Y897="unavailable"),"不可评价",IF(OR(W897="equivocal",Y897="equivocal"),"疑似",IF(AND(W897="positive",Y897="positive"),"a",IF(Y897="positive","b",IF(W897="positive","c","d")))))</x:f>
        <x:v>d</x:v>
      </x:c>
      <x:c r="AA897" s="12" t="str">
        <x:f>IF(OR(M897="unavailable",O897="unavailable"),"不可评价",IF(AND(OR(M897="positive",M897="equivocal"),OR(O897="positive",O897="equivocal")),"a",IF(OR(O897="positive",O897="equivocal"),"b",IF(OR(M897="positive",M897="equivocal"),"c","d"))))</x:f>
        <x:v>d</x:v>
      </x:c>
      <x:c r="AB897" s="12" t="str">
        <x:f>IF(OR(M897="unavailable",O897="unavailable"),"不可评价",IF(AND(M897="positive",O897="positive"),"a",IF(O897="positive","b",IF(M897="positive","c","d"))))</x:f>
        <x:v>d</x:v>
      </x:c>
      <x:c r="AC897" s="12" t="str">
        <x:f>IF(OR(R897="unavailable",T897="unavailable"),"不可评价",IF(AND(OR(R897="positive",R897="equivocal"),OR(T897="positive",T897="equivocal")),"a",IF(OR(T897="positive",T897="equivocal"),"b",IF(OR(R897="positive",R897="equivocal"),"c","d"))))</x:f>
        <x:v>d</x:v>
      </x:c>
      <x:c r="AD897" s="12" t="str">
        <x:f>IF(OR(R897="unavailable",T897="unavailable"),"不可评价",IF(AND(R897="positive",T897="positive"),"a",IF(T897="positive","b",IF(R897="positive","c","d"))))</x:f>
        <x:v>d</x:v>
      </x:c>
      <x:c r="AE897" s="12" t="str">
        <x:f>IF(OR(W897="unavailable",Y897="unavailable"),"不可评价",IF(AND(OR(W897="positive",W897="equivocal"),OR(Y897="positive",Y897="equivocal")),"a",IF(OR(Y897="positive",Y897="equivocal"),"b",IF(OR(W897="positive",W897="equivocal"),"c","d"))))</x:f>
        <x:v>d</x:v>
      </x:c>
      <x:c r="AF897" s="12" t="str">
        <x:f>IF(OR(W897="unavailable",Y897="unavailable"),"不可评价",IF(AND(W897="positive",Y897="positive"),"a",IF(Y897="positive","b",IF(W897="positive","c","d"))))</x:f>
        <x:v>d</x:v>
      </x:c>
    </x:row>
    <x:row r="898" ht="24" customHeight="1">
      <x:c r="A898" s="12" t="str">
        <x:v>7877</x:v>
      </x:c>
      <x:c r="B898" s="12" t="str">
        <x:v>13777</x:v>
      </x:c>
      <x:c r="C898" s="21" t="n">
        <x:v>33680.58859953703</x:v>
      </x:c>
      <x:c r="D898" s="12" t="n">
        <x:v>57</x:v>
      </x:c>
      <x:c r="E898" s="12" t="n">
        <x:v>0</x:v>
      </x:c>
      <x:c r="F898" s="12" t="str">
        <x:v>未记录</x:v>
      </x:c>
      <x:c r="G898" s="12" t="n">
        <x:v>1</x:v>
      </x:c>
      <x:c r="H898" s="12" t="str">
        <x:v>{'IMI': 50.0, 'IVCD': 100.0, 'SR': 0.0}</x:v>
      </x:c>
      <x:c r="I898" s="12" t="str">
        <x:v>[('SBRAD', 100.0), ('NSTT', 100.0), ('AB', 100.0)]</x:v>
      </x:c>
      <x:c r="J898" s="12" t="str">
        <x:v>ptbxl_database.csv；ecg_id=7877；scp_codes</x:v>
      </x:c>
      <x:c r="K898" s="12" t="str">
        <x:v>12sl_statements.csv；ecg_id=7877；statements_ext_snomed</x:v>
      </x:c>
      <x:c r="L898" s="12"/>
      <x:c r="M898" s="12" t="str">
        <x:v>negative</x:v>
      </x:c>
      <x:c r="N898" s="12"/>
      <x:c r="O898" s="12" t="str">
        <x:v>negative</x:v>
      </x:c>
      <x:c r="P898" s="12" t="str">
        <x:f>IF(OR(M898="unavailable",O898="unavailable"),"不可评价",IF(OR(M898="equivocal",O898="equivocal"),"疑似",IF(AND(M898="positive",O898="positive"),"a",IF(O898="positive","b",IF(M898="positive","c","d")))))</x:f>
        <x:v>d</x:v>
      </x:c>
      <x:c r="Q898" s="12"/>
      <x:c r="R898" s="12" t="str">
        <x:v>negative</x:v>
      </x:c>
      <x:c r="S898" s="12"/>
      <x:c r="T898" s="12" t="str">
        <x:v>negative</x:v>
      </x:c>
      <x:c r="U898" s="12" t="str">
        <x:f>IF(OR(R898="unavailable",T898="unavailable"),"不可评价",IF(OR(R898="equivocal",T898="equivocal"),"疑似",IF(AND(R898="positive",T898="positive"),"a",IF(T898="positive","b",IF(R898="positive","c","d")))))</x:f>
        <x:v>d</x:v>
      </x:c>
      <x:c r="V898" s="12"/>
      <x:c r="W898" s="12" t="str">
        <x:v>negative</x:v>
      </x:c>
      <x:c r="X898" s="12"/>
      <x:c r="Y898" s="12" t="str">
        <x:v>negative</x:v>
      </x:c>
      <x:c r="Z898" s="12" t="str">
        <x:f>IF(OR(W898="unavailable",Y898="unavailable"),"不可评价",IF(OR(W898="equivocal",Y898="equivocal"),"疑似",IF(AND(W898="positive",Y898="positive"),"a",IF(Y898="positive","b",IF(W898="positive","c","d")))))</x:f>
        <x:v>d</x:v>
      </x:c>
      <x:c r="AA898" s="12" t="str">
        <x:f>IF(OR(M898="unavailable",O898="unavailable"),"不可评价",IF(AND(OR(M898="positive",M898="equivocal"),OR(O898="positive",O898="equivocal")),"a",IF(OR(O898="positive",O898="equivocal"),"b",IF(OR(M898="positive",M898="equivocal"),"c","d"))))</x:f>
        <x:v>d</x:v>
      </x:c>
      <x:c r="AB898" s="12" t="str">
        <x:f>IF(OR(M898="unavailable",O898="unavailable"),"不可评价",IF(AND(M898="positive",O898="positive"),"a",IF(O898="positive","b",IF(M898="positive","c","d"))))</x:f>
        <x:v>d</x:v>
      </x:c>
      <x:c r="AC898" s="12" t="str">
        <x:f>IF(OR(R898="unavailable",T898="unavailable"),"不可评价",IF(AND(OR(R898="positive",R898="equivocal"),OR(T898="positive",T898="equivocal")),"a",IF(OR(T898="positive",T898="equivocal"),"b",IF(OR(R898="positive",R898="equivocal"),"c","d"))))</x:f>
        <x:v>d</x:v>
      </x:c>
      <x:c r="AD898" s="12" t="str">
        <x:f>IF(OR(R898="unavailable",T898="unavailable"),"不可评价",IF(AND(R898="positive",T898="positive"),"a",IF(T898="positive","b",IF(R898="positive","c","d"))))</x:f>
        <x:v>d</x:v>
      </x:c>
      <x:c r="AE898" s="12" t="str">
        <x:f>IF(OR(W898="unavailable",Y898="unavailable"),"不可评价",IF(AND(OR(W898="positive",W898="equivocal"),OR(Y898="positive",Y898="equivocal")),"a",IF(OR(Y898="positive",Y898="equivocal"),"b",IF(OR(W898="positive",W898="equivocal"),"c","d"))))</x:f>
        <x:v>d</x:v>
      </x:c>
      <x:c r="AF898" s="12" t="str">
        <x:f>IF(OR(W898="unavailable",Y898="unavailable"),"不可评价",IF(AND(W898="positive",Y898="positive"),"a",IF(Y898="positive","b",IF(W898="positive","c","d"))))</x:f>
        <x:v>d</x:v>
      </x:c>
    </x:row>
    <x:row r="899" ht="24" customHeight="1">
      <x:c r="A899" s="12" t="str">
        <x:v>7880</x:v>
      </x:c>
      <x:c r="B899" s="12" t="str">
        <x:v>19101</x:v>
      </x:c>
      <x:c r="C899" s="21" t="n">
        <x:v>33681.502916666665</x:v>
      </x:c>
      <x:c r="D899" s="12" t="n">
        <x:v>42</x:v>
      </x:c>
      <x:c r="E899" s="12" t="n">
        <x:v>0</x:v>
      </x:c>
      <x:c r="F899" s="12" t="str">
        <x:v>未记录</x:v>
      </x:c>
      <x:c r="G899" s="12" t="n">
        <x:v>1</x:v>
      </x:c>
      <x:c r="H899" s="12" t="str">
        <x:v>{'NORM': 80.0, 'SR': 0.0}</x:v>
      </x:c>
      <x:c r="I899" s="12" t="str">
        <x:v>[('SBRAD', 100.0), ('ABR', 100.0)]</x:v>
      </x:c>
      <x:c r="J899" s="12" t="str">
        <x:v>ptbxl_database.csv；ecg_id=7880；scp_codes</x:v>
      </x:c>
      <x:c r="K899" s="12" t="str">
        <x:v>12sl_statements.csv；ecg_id=7880；statements_ext_snomed</x:v>
      </x:c>
      <x:c r="L899" s="12"/>
      <x:c r="M899" s="12" t="str">
        <x:v>negative</x:v>
      </x:c>
      <x:c r="N899" s="12"/>
      <x:c r="O899" s="12" t="str">
        <x:v>negative</x:v>
      </x:c>
      <x:c r="P899" s="12" t="str">
        <x:f>IF(OR(M899="unavailable",O899="unavailable"),"不可评价",IF(OR(M899="equivocal",O899="equivocal"),"疑似",IF(AND(M899="positive",O899="positive"),"a",IF(O899="positive","b",IF(M899="positive","c","d")))))</x:f>
        <x:v>d</x:v>
      </x:c>
      <x:c r="Q899" s="12"/>
      <x:c r="R899" s="12" t="str">
        <x:v>negative</x:v>
      </x:c>
      <x:c r="S899" s="12"/>
      <x:c r="T899" s="12" t="str">
        <x:v>negative</x:v>
      </x:c>
      <x:c r="U899" s="12" t="str">
        <x:f>IF(OR(R899="unavailable",T899="unavailable"),"不可评价",IF(OR(R899="equivocal",T899="equivocal"),"疑似",IF(AND(R899="positive",T899="positive"),"a",IF(T899="positive","b",IF(R899="positive","c","d")))))</x:f>
        <x:v>d</x:v>
      </x:c>
      <x:c r="V899" s="12"/>
      <x:c r="W899" s="12" t="str">
        <x:v>negative</x:v>
      </x:c>
      <x:c r="X899" s="12"/>
      <x:c r="Y899" s="12" t="str">
        <x:v>negative</x:v>
      </x:c>
      <x:c r="Z899" s="12" t="str">
        <x:f>IF(OR(W899="unavailable",Y899="unavailable"),"不可评价",IF(OR(W899="equivocal",Y899="equivocal"),"疑似",IF(AND(W899="positive",Y899="positive"),"a",IF(Y899="positive","b",IF(W899="positive","c","d")))))</x:f>
        <x:v>d</x:v>
      </x:c>
      <x:c r="AA899" s="12" t="str">
        <x:f>IF(OR(M899="unavailable",O899="unavailable"),"不可评价",IF(AND(OR(M899="positive",M899="equivocal"),OR(O899="positive",O899="equivocal")),"a",IF(OR(O899="positive",O899="equivocal"),"b",IF(OR(M899="positive",M899="equivocal"),"c","d"))))</x:f>
        <x:v>d</x:v>
      </x:c>
      <x:c r="AB899" s="12" t="str">
        <x:f>IF(OR(M899="unavailable",O899="unavailable"),"不可评价",IF(AND(M899="positive",O899="positive"),"a",IF(O899="positive","b",IF(M899="positive","c","d"))))</x:f>
        <x:v>d</x:v>
      </x:c>
      <x:c r="AC899" s="12" t="str">
        <x:f>IF(OR(R899="unavailable",T899="unavailable"),"不可评价",IF(AND(OR(R899="positive",R899="equivocal"),OR(T899="positive",T899="equivocal")),"a",IF(OR(T899="positive",T899="equivocal"),"b",IF(OR(R899="positive",R899="equivocal"),"c","d"))))</x:f>
        <x:v>d</x:v>
      </x:c>
      <x:c r="AD899" s="12" t="str">
        <x:f>IF(OR(R899="unavailable",T899="unavailable"),"不可评价",IF(AND(R899="positive",T899="positive"),"a",IF(T899="positive","b",IF(R899="positive","c","d"))))</x:f>
        <x:v>d</x:v>
      </x:c>
      <x:c r="AE899" s="12" t="str">
        <x:f>IF(OR(W899="unavailable",Y899="unavailable"),"不可评价",IF(AND(OR(W899="positive",W899="equivocal"),OR(Y899="positive",Y899="equivocal")),"a",IF(OR(Y899="positive",Y899="equivocal"),"b",IF(OR(W899="positive",W899="equivocal"),"c","d"))))</x:f>
        <x:v>d</x:v>
      </x:c>
      <x:c r="AF899" s="12" t="str">
        <x:f>IF(OR(W899="unavailable",Y899="unavailable"),"不可评价",IF(AND(W899="positive",Y899="positive"),"a",IF(Y899="positive","b",IF(W899="positive","c","d"))))</x:f>
        <x:v>d</x:v>
      </x:c>
    </x:row>
    <x:row r="900" ht="24" customHeight="1">
      <x:c r="A900" s="12" t="str">
        <x:v>7881</x:v>
      </x:c>
      <x:c r="B900" s="12" t="str">
        <x:v>9740</x:v>
      </x:c>
      <x:c r="C900" s="21" t="n">
        <x:v>33681.51436342593</x:v>
      </x:c>
      <x:c r="D900" s="12" t="n">
        <x:v>59</x:v>
      </x:c>
      <x:c r="E900" s="12" t="n">
        <x:v>0</x:v>
      </x:c>
      <x:c r="F900" s="12" t="str">
        <x:v>未记录</x:v>
      </x:c>
      <x:c r="G900" s="12" t="n">
        <x:v>0</x:v>
      </x:c>
      <x:c r="H900" s="12" t="str">
        <x:v>{'IMI': 50.0, 'NDT': 50.0, 'SR': 0.0}</x:v>
      </x:c>
      <x:c r="I900" s="12" t="str">
        <x:v>[('NSR', 100.0), ('IRBBB', 100.0), ('LSBINJ', 100.0), ('LNGQT', 100.0), ('AB', 100.0)]</x:v>
      </x:c>
      <x:c r="J900" s="12" t="str">
        <x:v>ptbxl_database.csv；ecg_id=7881；scp_codes</x:v>
      </x:c>
      <x:c r="K900" s="12" t="str">
        <x:v>12sl_statements.csv；ecg_id=7881；statements_ext_snomed</x:v>
      </x:c>
      <x:c r="L900" s="12"/>
      <x:c r="M900" s="12" t="str">
        <x:v>negative</x:v>
      </x:c>
      <x:c r="N900" s="12"/>
      <x:c r="O900" s="12" t="str">
        <x:v>negative</x:v>
      </x:c>
      <x:c r="P900" s="12" t="str">
        <x:f>IF(OR(M900="unavailable",O900="unavailable"),"不可评价",IF(OR(M900="equivocal",O900="equivocal"),"疑似",IF(AND(M900="positive",O900="positive"),"a",IF(O900="positive","b",IF(M900="positive","c","d")))))</x:f>
        <x:v>d</x:v>
      </x:c>
      <x:c r="Q900" s="12"/>
      <x:c r="R900" s="12" t="str">
        <x:v>negative</x:v>
      </x:c>
      <x:c r="S900" s="12"/>
      <x:c r="T900" s="12" t="str">
        <x:v>negative</x:v>
      </x:c>
      <x:c r="U900" s="12" t="str">
        <x:f>IF(OR(R900="unavailable",T900="unavailable"),"不可评价",IF(OR(R900="equivocal",T900="equivocal"),"疑似",IF(AND(R900="positive",T900="positive"),"a",IF(T900="positive","b",IF(R900="positive","c","d")))))</x:f>
        <x:v>d</x:v>
      </x:c>
      <x:c r="V900" s="12"/>
      <x:c r="W900" s="12" t="str">
        <x:v>negative</x:v>
      </x:c>
      <x:c r="X900" s="12"/>
      <x:c r="Y900" s="12" t="str">
        <x:v>negative</x:v>
      </x:c>
      <x:c r="Z900" s="12" t="str">
        <x:f>IF(OR(W900="unavailable",Y900="unavailable"),"不可评价",IF(OR(W900="equivocal",Y900="equivocal"),"疑似",IF(AND(W900="positive",Y900="positive"),"a",IF(Y900="positive","b",IF(W900="positive","c","d")))))</x:f>
        <x:v>d</x:v>
      </x:c>
      <x:c r="AA900" s="12" t="str">
        <x:f>IF(OR(M900="unavailable",O900="unavailable"),"不可评价",IF(AND(OR(M900="positive",M900="equivocal"),OR(O900="positive",O900="equivocal")),"a",IF(OR(O900="positive",O900="equivocal"),"b",IF(OR(M900="positive",M900="equivocal"),"c","d"))))</x:f>
        <x:v>d</x:v>
      </x:c>
      <x:c r="AB900" s="12" t="str">
        <x:f>IF(OR(M900="unavailable",O900="unavailable"),"不可评价",IF(AND(M900="positive",O900="positive"),"a",IF(O900="positive","b",IF(M900="positive","c","d"))))</x:f>
        <x:v>d</x:v>
      </x:c>
      <x:c r="AC900" s="12" t="str">
        <x:f>IF(OR(R900="unavailable",T900="unavailable"),"不可评价",IF(AND(OR(R900="positive",R900="equivocal"),OR(T900="positive",T900="equivocal")),"a",IF(OR(T900="positive",T900="equivocal"),"b",IF(OR(R900="positive",R900="equivocal"),"c","d"))))</x:f>
        <x:v>d</x:v>
      </x:c>
      <x:c r="AD900" s="12" t="str">
        <x:f>IF(OR(R900="unavailable",T900="unavailable"),"不可评价",IF(AND(R900="positive",T900="positive"),"a",IF(T900="positive","b",IF(R900="positive","c","d"))))</x:f>
        <x:v>d</x:v>
      </x:c>
      <x:c r="AE900" s="12" t="str">
        <x:f>IF(OR(W900="unavailable",Y900="unavailable"),"不可评价",IF(AND(OR(W900="positive",W900="equivocal"),OR(Y900="positive",Y900="equivocal")),"a",IF(OR(Y900="positive",Y900="equivocal"),"b",IF(OR(W900="positive",W900="equivocal"),"c","d"))))</x:f>
        <x:v>d</x:v>
      </x:c>
      <x:c r="AF900" s="12" t="str">
        <x:f>IF(OR(W900="unavailable",Y900="unavailable"),"不可评价",IF(AND(W900="positive",Y900="positive"),"a",IF(Y900="positive","b",IF(W900="positive","c","d"))))</x:f>
        <x:v>d</x:v>
      </x:c>
    </x:row>
    <x:row r="901" ht="24" customHeight="1">
      <x:c r="A901" s="12" t="str">
        <x:v>7882</x:v>
      </x:c>
      <x:c r="B901" s="12" t="str">
        <x:v>13678</x:v>
      </x:c>
      <x:c r="C901" s="21" t="n">
        <x:v>33681.53077546296</x:v>
      </x:c>
      <x:c r="D901" s="12" t="n">
        <x:v>69</x:v>
      </x:c>
      <x:c r="E901" s="12" t="n">
        <x:v>0</x:v>
      </x:c>
      <x:c r="F901" s="12" t="str">
        <x:v>未记录</x:v>
      </x:c>
      <x:c r="G901" s="12" t="n">
        <x:v>1</x:v>
      </x:c>
      <x:c r="H901" s="12" t="str">
        <x:v>{'CRBBB': 100.0, 'LAFB': 100.0, 'RVH': 50.0, 'SR': 0.0}</x:v>
      </x:c>
      <x:c r="I901" s="12" t="str">
        <x:v>[('NSR', 100.0), ('LAD3', 100.0), ('RBBB', 100.0), ('AB', 100.0)]</x:v>
      </x:c>
      <x:c r="J901" s="12" t="str">
        <x:v>ptbxl_database.csv；ecg_id=7882；scp_codes</x:v>
      </x:c>
      <x:c r="K901" s="12" t="str">
        <x:v>12sl_statements.csv；ecg_id=7882；statements_ext_snomed</x:v>
      </x:c>
      <x:c r="L901" s="12"/>
      <x:c r="M901" s="12" t="str">
        <x:v>negative</x:v>
      </x:c>
      <x:c r="N901" s="12"/>
      <x:c r="O901" s="12" t="str">
        <x:v>negative</x:v>
      </x:c>
      <x:c r="P901" s="12" t="str">
        <x:f>IF(OR(M901="unavailable",O901="unavailable"),"不可评价",IF(OR(M901="equivocal",O901="equivocal"),"疑似",IF(AND(M901="positive",O901="positive"),"a",IF(O901="positive","b",IF(M901="positive","c","d")))))</x:f>
        <x:v>d</x:v>
      </x:c>
      <x:c r="Q901" s="12"/>
      <x:c r="R901" s="12" t="str">
        <x:v>negative</x:v>
      </x:c>
      <x:c r="S901" s="12"/>
      <x:c r="T901" s="12" t="str">
        <x:v>negative</x:v>
      </x:c>
      <x:c r="U901" s="12" t="str">
        <x:f>IF(OR(R901="unavailable",T901="unavailable"),"不可评价",IF(OR(R901="equivocal",T901="equivocal"),"疑似",IF(AND(R901="positive",T901="positive"),"a",IF(T901="positive","b",IF(R901="positive","c","d")))))</x:f>
        <x:v>d</x:v>
      </x:c>
      <x:c r="V901" s="12" t="n">
        <x:v>100</x:v>
      </x:c>
      <x:c r="W901" s="12" t="str">
        <x:v>positive</x:v>
      </x:c>
      <x:c r="X901" s="12" t="n">
        <x:v>100</x:v>
      </x:c>
      <x:c r="Y901" s="12" t="str">
        <x:v>positive</x:v>
      </x:c>
      <x:c r="Z901" s="12" t="str">
        <x:f>IF(OR(W901="unavailable",Y901="unavailable"),"不可评价",IF(OR(W901="equivocal",Y901="equivocal"),"疑似",IF(AND(W901="positive",Y901="positive"),"a",IF(Y901="positive","b",IF(W901="positive","c","d")))))</x:f>
        <x:v>a</x:v>
      </x:c>
      <x:c r="AA901" s="12" t="str">
        <x:f>IF(OR(M901="unavailable",O901="unavailable"),"不可评价",IF(AND(OR(M901="positive",M901="equivocal"),OR(O901="positive",O901="equivocal")),"a",IF(OR(O901="positive",O901="equivocal"),"b",IF(OR(M901="positive",M901="equivocal"),"c","d"))))</x:f>
        <x:v>d</x:v>
      </x:c>
      <x:c r="AB901" s="12" t="str">
        <x:f>IF(OR(M901="unavailable",O901="unavailable"),"不可评价",IF(AND(M901="positive",O901="positive"),"a",IF(O901="positive","b",IF(M901="positive","c","d"))))</x:f>
        <x:v>d</x:v>
      </x:c>
      <x:c r="AC901" s="12" t="str">
        <x:f>IF(OR(R901="unavailable",T901="unavailable"),"不可评价",IF(AND(OR(R901="positive",R901="equivocal"),OR(T901="positive",T901="equivocal")),"a",IF(OR(T901="positive",T901="equivocal"),"b",IF(OR(R901="positive",R901="equivocal"),"c","d"))))</x:f>
        <x:v>d</x:v>
      </x:c>
      <x:c r="AD901" s="12" t="str">
        <x:f>IF(OR(R901="unavailable",T901="unavailable"),"不可评价",IF(AND(R901="positive",T901="positive"),"a",IF(T901="positive","b",IF(R901="positive","c","d"))))</x:f>
        <x:v>d</x:v>
      </x:c>
      <x:c r="AE901" s="12" t="str">
        <x:f>IF(OR(W901="unavailable",Y901="unavailable"),"不可评价",IF(AND(OR(W901="positive",W901="equivocal"),OR(Y901="positive",Y901="equivocal")),"a",IF(OR(Y901="positive",Y901="equivocal"),"b",IF(OR(W901="positive",W901="equivocal"),"c","d"))))</x:f>
        <x:v>a</x:v>
      </x:c>
      <x:c r="AF901" s="12" t="str">
        <x:f>IF(OR(W901="unavailable",Y901="unavailable"),"不可评价",IF(AND(W901="positive",Y901="positive"),"a",IF(Y901="positive","b",IF(W901="positive","c","d"))))</x:f>
        <x:v>a</x:v>
      </x:c>
    </x:row>
    <x:row r="902" ht="24" customHeight="1">
      <x:c r="A902" s="12" t="str">
        <x:v>7889</x:v>
      </x:c>
      <x:c r="B902" s="12" t="str">
        <x:v>8189</x:v>
      </x:c>
      <x:c r="C902" s="21" t="n">
        <x:v>33682.652453703704</x:v>
      </x:c>
      <x:c r="D902" s="12" t="n">
        <x:v>74</x:v>
      </x:c>
      <x:c r="E902" s="12" t="n">
        <x:v>1</x:v>
      </x:c>
      <x:c r="F902" s="12" t="str">
        <x:v>未记录</x:v>
      </x:c>
      <x:c r="G902" s="12" t="n">
        <x:v>1</x:v>
      </x:c>
      <x:c r="H902" s="12" t="str">
        <x:v>{'PSVT': 100.0}</x:v>
      </x:c>
      <x:c r="I902" s="12" t="str">
        <x:v>[('SVT', 100.0), ('LVH2', 100.0), ('2ST', 100.0), ('AB', 100.0)]</x:v>
      </x:c>
      <x:c r="J902" s="12" t="str">
        <x:v>ptbxl_database.csv；ecg_id=7889；scp_codes</x:v>
      </x:c>
      <x:c r="K902" s="12" t="str">
        <x:v>12sl_statements.csv；ecg_id=7889；statements_ext_snomed</x:v>
      </x:c>
      <x:c r="L902" s="12"/>
      <x:c r="M902" s="12" t="str">
        <x:v>negative</x:v>
      </x:c>
      <x:c r="N902" s="12"/>
      <x:c r="O902" s="12" t="str">
        <x:v>negative</x:v>
      </x:c>
      <x:c r="P902" s="12" t="str">
        <x:f>IF(OR(M902="unavailable",O902="unavailable"),"不可评价",IF(OR(M902="equivocal",O902="equivocal"),"疑似",IF(AND(M902="positive",O902="positive"),"a",IF(O902="positive","b",IF(M902="positive","c","d")))))</x:f>
        <x:v>d</x:v>
      </x:c>
      <x:c r="Q902" s="12"/>
      <x:c r="R902" s="12" t="str">
        <x:v>negative</x:v>
      </x:c>
      <x:c r="S902" s="12"/>
      <x:c r="T902" s="12" t="str">
        <x:v>negative</x:v>
      </x:c>
      <x:c r="U902" s="12" t="str">
        <x:f>IF(OR(R902="unavailable",T902="unavailable"),"不可评价",IF(OR(R902="equivocal",T902="equivocal"),"疑似",IF(AND(R902="positive",T902="positive"),"a",IF(T902="positive","b",IF(R902="positive","c","d")))))</x:f>
        <x:v>d</x:v>
      </x:c>
      <x:c r="V902" s="12"/>
      <x:c r="W902" s="12" t="str">
        <x:v>negative</x:v>
      </x:c>
      <x:c r="X902" s="12"/>
      <x:c r="Y902" s="12" t="str">
        <x:v>negative</x:v>
      </x:c>
      <x:c r="Z902" s="12" t="str">
        <x:f>IF(OR(W902="unavailable",Y902="unavailable"),"不可评价",IF(OR(W902="equivocal",Y902="equivocal"),"疑似",IF(AND(W902="positive",Y902="positive"),"a",IF(Y902="positive","b",IF(W902="positive","c","d")))))</x:f>
        <x:v>d</x:v>
      </x:c>
      <x:c r="AA902" s="12" t="str">
        <x:f>IF(OR(M902="unavailable",O902="unavailable"),"不可评价",IF(AND(OR(M902="positive",M902="equivocal"),OR(O902="positive",O902="equivocal")),"a",IF(OR(O902="positive",O902="equivocal"),"b",IF(OR(M902="positive",M902="equivocal"),"c","d"))))</x:f>
        <x:v>d</x:v>
      </x:c>
      <x:c r="AB902" s="12" t="str">
        <x:f>IF(OR(M902="unavailable",O902="unavailable"),"不可评价",IF(AND(M902="positive",O902="positive"),"a",IF(O902="positive","b",IF(M902="positive","c","d"))))</x:f>
        <x:v>d</x:v>
      </x:c>
      <x:c r="AC902" s="12" t="str">
        <x:f>IF(OR(R902="unavailable",T902="unavailable"),"不可评价",IF(AND(OR(R902="positive",R902="equivocal"),OR(T902="positive",T902="equivocal")),"a",IF(OR(T902="positive",T902="equivocal"),"b",IF(OR(R902="positive",R902="equivocal"),"c","d"))))</x:f>
        <x:v>d</x:v>
      </x:c>
      <x:c r="AD902" s="12" t="str">
        <x:f>IF(OR(R902="unavailable",T902="unavailable"),"不可评价",IF(AND(R902="positive",T902="positive"),"a",IF(T902="positive","b",IF(R902="positive","c","d"))))</x:f>
        <x:v>d</x:v>
      </x:c>
      <x:c r="AE902" s="12" t="str">
        <x:f>IF(OR(W902="unavailable",Y902="unavailable"),"不可评价",IF(AND(OR(W902="positive",W902="equivocal"),OR(Y902="positive",Y902="equivocal")),"a",IF(OR(Y902="positive",Y902="equivocal"),"b",IF(OR(W902="positive",W902="equivocal"),"c","d"))))</x:f>
        <x:v>d</x:v>
      </x:c>
      <x:c r="AF902" s="12" t="str">
        <x:f>IF(OR(W902="unavailable",Y902="unavailable"),"不可评价",IF(AND(W902="positive",Y902="positive"),"a",IF(Y902="positive","b",IF(W902="positive","c","d"))))</x:f>
        <x:v>d</x:v>
      </x:c>
    </x:row>
    <x:row r="903" ht="24" customHeight="1">
      <x:c r="A903" s="12" t="str">
        <x:v>7892</x:v>
      </x:c>
      <x:c r="B903" s="12" t="str">
        <x:v>18257</x:v>
      </x:c>
      <x:c r="C903" s="21" t="n">
        <x:v>33683.39530092593</x:v>
      </x:c>
      <x:c r="D903" s="12" t="n">
        <x:v>51</x:v>
      </x:c>
      <x:c r="E903" s="12" t="n">
        <x:v>0</x:v>
      </x:c>
      <x:c r="F903" s="12" t="str">
        <x:v>未记录</x:v>
      </x:c>
      <x:c r="G903" s="12" t="n">
        <x:v>1</x:v>
      </x:c>
      <x:c r="H903" s="12" t="str">
        <x:v>{'NORM': 100.0, 'SR': 0.0}</x:v>
      </x:c>
      <x:c r="I903" s="12" t="str">
        <x:v>[('NSR', 100.0), ('NML', 100.0)]</x:v>
      </x:c>
      <x:c r="J903" s="12" t="str">
        <x:v>ptbxl_database.csv；ecg_id=7892；scp_codes</x:v>
      </x:c>
      <x:c r="K903" s="12" t="str">
        <x:v>12sl_statements.csv；ecg_id=7892；statements_ext_snomed</x:v>
      </x:c>
      <x:c r="L903" s="12"/>
      <x:c r="M903" s="12" t="str">
        <x:v>negative</x:v>
      </x:c>
      <x:c r="N903" s="12"/>
      <x:c r="O903" s="12" t="str">
        <x:v>negative</x:v>
      </x:c>
      <x:c r="P903" s="12" t="str">
        <x:f>IF(OR(M903="unavailable",O903="unavailable"),"不可评价",IF(OR(M903="equivocal",O903="equivocal"),"疑似",IF(AND(M903="positive",O903="positive"),"a",IF(O903="positive","b",IF(M903="positive","c","d")))))</x:f>
        <x:v>d</x:v>
      </x:c>
      <x:c r="Q903" s="12"/>
      <x:c r="R903" s="12" t="str">
        <x:v>negative</x:v>
      </x:c>
      <x:c r="S903" s="12"/>
      <x:c r="T903" s="12" t="str">
        <x:v>negative</x:v>
      </x:c>
      <x:c r="U903" s="12" t="str">
        <x:f>IF(OR(R903="unavailable",T903="unavailable"),"不可评价",IF(OR(R903="equivocal",T903="equivocal"),"疑似",IF(AND(R903="positive",T903="positive"),"a",IF(T903="positive","b",IF(R903="positive","c","d")))))</x:f>
        <x:v>d</x:v>
      </x:c>
      <x:c r="V903" s="12"/>
      <x:c r="W903" s="12" t="str">
        <x:v>negative</x:v>
      </x:c>
      <x:c r="X903" s="12"/>
      <x:c r="Y903" s="12" t="str">
        <x:v>negative</x:v>
      </x:c>
      <x:c r="Z903" s="12" t="str">
        <x:f>IF(OR(W903="unavailable",Y903="unavailable"),"不可评价",IF(OR(W903="equivocal",Y903="equivocal"),"疑似",IF(AND(W903="positive",Y903="positive"),"a",IF(Y903="positive","b",IF(W903="positive","c","d")))))</x:f>
        <x:v>d</x:v>
      </x:c>
      <x:c r="AA903" s="12" t="str">
        <x:f>IF(OR(M903="unavailable",O903="unavailable"),"不可评价",IF(AND(OR(M903="positive",M903="equivocal"),OR(O903="positive",O903="equivocal")),"a",IF(OR(O903="positive",O903="equivocal"),"b",IF(OR(M903="positive",M903="equivocal"),"c","d"))))</x:f>
        <x:v>d</x:v>
      </x:c>
      <x:c r="AB903" s="12" t="str">
        <x:f>IF(OR(M903="unavailable",O903="unavailable"),"不可评价",IF(AND(M903="positive",O903="positive"),"a",IF(O903="positive","b",IF(M903="positive","c","d"))))</x:f>
        <x:v>d</x:v>
      </x:c>
      <x:c r="AC903" s="12" t="str">
        <x:f>IF(OR(R903="unavailable",T903="unavailable"),"不可评价",IF(AND(OR(R903="positive",R903="equivocal"),OR(T903="positive",T903="equivocal")),"a",IF(OR(T903="positive",T903="equivocal"),"b",IF(OR(R903="positive",R903="equivocal"),"c","d"))))</x:f>
        <x:v>d</x:v>
      </x:c>
      <x:c r="AD903" s="12" t="str">
        <x:f>IF(OR(R903="unavailable",T903="unavailable"),"不可评价",IF(AND(R903="positive",T903="positive"),"a",IF(T903="positive","b",IF(R903="positive","c","d"))))</x:f>
        <x:v>d</x:v>
      </x:c>
      <x:c r="AE903" s="12" t="str">
        <x:f>IF(OR(W903="unavailable",Y903="unavailable"),"不可评价",IF(AND(OR(W903="positive",W903="equivocal"),OR(Y903="positive",Y903="equivocal")),"a",IF(OR(Y903="positive",Y903="equivocal"),"b",IF(OR(W903="positive",W903="equivocal"),"c","d"))))</x:f>
        <x:v>d</x:v>
      </x:c>
      <x:c r="AF903" s="12" t="str">
        <x:f>IF(OR(W903="unavailable",Y903="unavailable"),"不可评价",IF(AND(W903="positive",Y903="positive"),"a",IF(Y903="positive","b",IF(W903="positive","c","d"))))</x:f>
        <x:v>d</x:v>
      </x:c>
    </x:row>
    <x:row r="904" ht="24" customHeight="1">
      <x:c r="A904" s="12" t="str">
        <x:v>7895</x:v>
      </x:c>
      <x:c r="B904" s="12" t="str">
        <x:v>12734</x:v>
      </x:c>
      <x:c r="C904" s="21" t="n">
        <x:v>33685.59002314815</x:v>
      </x:c>
      <x:c r="D904" s="12" t="n">
        <x:v>61</x:v>
      </x:c>
      <x:c r="E904" s="12" t="n">
        <x:v>0</x:v>
      </x:c>
      <x:c r="F904" s="12" t="str">
        <x:v>未记录</x:v>
      </x:c>
      <x:c r="G904" s="12" t="n">
        <x:v>1</x:v>
      </x:c>
      <x:c r="H904" s="12" t="str">
        <x:v>{'IMI': 15.0, 'SR': 0.0}</x:v>
      </x:c>
      <x:c r="I904" s="12" t="str">
        <x:v>[('NSR', 100.0), ('NML', 100.0)]</x:v>
      </x:c>
      <x:c r="J904" s="12" t="str">
        <x:v>ptbxl_database.csv；ecg_id=7895；scp_codes</x:v>
      </x:c>
      <x:c r="K904" s="12" t="str">
        <x:v>12sl_statements.csv；ecg_id=7895；statements_ext_snomed</x:v>
      </x:c>
      <x:c r="L904" s="12"/>
      <x:c r="M904" s="12" t="str">
        <x:v>negative</x:v>
      </x:c>
      <x:c r="N904" s="12"/>
      <x:c r="O904" s="12" t="str">
        <x:v>negative</x:v>
      </x:c>
      <x:c r="P904" s="12" t="str">
        <x:f>IF(OR(M904="unavailable",O904="unavailable"),"不可评价",IF(OR(M904="equivocal",O904="equivocal"),"疑似",IF(AND(M904="positive",O904="positive"),"a",IF(O904="positive","b",IF(M904="positive","c","d")))))</x:f>
        <x:v>d</x:v>
      </x:c>
      <x:c r="Q904" s="12"/>
      <x:c r="R904" s="12" t="str">
        <x:v>negative</x:v>
      </x:c>
      <x:c r="S904" s="12"/>
      <x:c r="T904" s="12" t="str">
        <x:v>negative</x:v>
      </x:c>
      <x:c r="U904" s="12" t="str">
        <x:f>IF(OR(R904="unavailable",T904="unavailable"),"不可评价",IF(OR(R904="equivocal",T904="equivocal"),"疑似",IF(AND(R904="positive",T904="positive"),"a",IF(T904="positive","b",IF(R904="positive","c","d")))))</x:f>
        <x:v>d</x:v>
      </x:c>
      <x:c r="V904" s="12"/>
      <x:c r="W904" s="12" t="str">
        <x:v>negative</x:v>
      </x:c>
      <x:c r="X904" s="12"/>
      <x:c r="Y904" s="12" t="str">
        <x:v>negative</x:v>
      </x:c>
      <x:c r="Z904" s="12" t="str">
        <x:f>IF(OR(W904="unavailable",Y904="unavailable"),"不可评价",IF(OR(W904="equivocal",Y904="equivocal"),"疑似",IF(AND(W904="positive",Y904="positive"),"a",IF(Y904="positive","b",IF(W904="positive","c","d")))))</x:f>
        <x:v>d</x:v>
      </x:c>
      <x:c r="AA904" s="12" t="str">
        <x:f>IF(OR(M904="unavailable",O904="unavailable"),"不可评价",IF(AND(OR(M904="positive",M904="equivocal"),OR(O904="positive",O904="equivocal")),"a",IF(OR(O904="positive",O904="equivocal"),"b",IF(OR(M904="positive",M904="equivocal"),"c","d"))))</x:f>
        <x:v>d</x:v>
      </x:c>
      <x:c r="AB904" s="12" t="str">
        <x:f>IF(OR(M904="unavailable",O904="unavailable"),"不可评价",IF(AND(M904="positive",O904="positive"),"a",IF(O904="positive","b",IF(M904="positive","c","d"))))</x:f>
        <x:v>d</x:v>
      </x:c>
      <x:c r="AC904" s="12" t="str">
        <x:f>IF(OR(R904="unavailable",T904="unavailable"),"不可评价",IF(AND(OR(R904="positive",R904="equivocal"),OR(T904="positive",T904="equivocal")),"a",IF(OR(T904="positive",T904="equivocal"),"b",IF(OR(R904="positive",R904="equivocal"),"c","d"))))</x:f>
        <x:v>d</x:v>
      </x:c>
      <x:c r="AD904" s="12" t="str">
        <x:f>IF(OR(R904="unavailable",T904="unavailable"),"不可评价",IF(AND(R904="positive",T904="positive"),"a",IF(T904="positive","b",IF(R904="positive","c","d"))))</x:f>
        <x:v>d</x:v>
      </x:c>
      <x:c r="AE904" s="12" t="str">
        <x:f>IF(OR(W904="unavailable",Y904="unavailable"),"不可评价",IF(AND(OR(W904="positive",W904="equivocal"),OR(Y904="positive",Y904="equivocal")),"a",IF(OR(Y904="positive",Y904="equivocal"),"b",IF(OR(W904="positive",W904="equivocal"),"c","d"))))</x:f>
        <x:v>d</x:v>
      </x:c>
      <x:c r="AF904" s="12" t="str">
        <x:f>IF(OR(W904="unavailable",Y904="unavailable"),"不可评价",IF(AND(W904="positive",Y904="positive"),"a",IF(Y904="positive","b",IF(W904="positive","c","d"))))</x:f>
        <x:v>d</x:v>
      </x:c>
    </x:row>
    <x:row r="905" ht="24" customHeight="1">
      <x:c r="A905" s="12" t="str">
        <x:v>7905</x:v>
      </x:c>
      <x:c r="B905" s="12" t="str">
        <x:v>13536</x:v>
      </x:c>
      <x:c r="C905" s="21" t="n">
        <x:v>33687.43547453704</x:v>
      </x:c>
      <x:c r="D905" s="12" t="n">
        <x:v>31</x:v>
      </x:c>
      <x:c r="E905" s="12" t="n">
        <x:v>0</x:v>
      </x:c>
      <x:c r="F905" s="12" t="str">
        <x:v>未记录</x:v>
      </x:c>
      <x:c r="G905" s="12" t="n">
        <x:v>1</x:v>
      </x:c>
      <x:c r="H905" s="12" t="str">
        <x:v>{'NORM': 100.0, 'SR': 0.0}</x:v>
      </x:c>
      <x:c r="I905" s="12" t="str">
        <x:v>[('NSR', 100.0), ('NML', 100.0)]</x:v>
      </x:c>
      <x:c r="J905" s="12" t="str">
        <x:v>ptbxl_database.csv；ecg_id=7905；scp_codes</x:v>
      </x:c>
      <x:c r="K905" s="12" t="str">
        <x:v>12sl_statements.csv；ecg_id=7905；statements_ext_snomed</x:v>
      </x:c>
      <x:c r="L905" s="12"/>
      <x:c r="M905" s="12" t="str">
        <x:v>negative</x:v>
      </x:c>
      <x:c r="N905" s="12"/>
      <x:c r="O905" s="12" t="str">
        <x:v>negative</x:v>
      </x:c>
      <x:c r="P905" s="12" t="str">
        <x:f>IF(OR(M905="unavailable",O905="unavailable"),"不可评价",IF(OR(M905="equivocal",O905="equivocal"),"疑似",IF(AND(M905="positive",O905="positive"),"a",IF(O905="positive","b",IF(M905="positive","c","d")))))</x:f>
        <x:v>d</x:v>
      </x:c>
      <x:c r="Q905" s="12"/>
      <x:c r="R905" s="12" t="str">
        <x:v>negative</x:v>
      </x:c>
      <x:c r="S905" s="12"/>
      <x:c r="T905" s="12" t="str">
        <x:v>negative</x:v>
      </x:c>
      <x:c r="U905" s="12" t="str">
        <x:f>IF(OR(R905="unavailable",T905="unavailable"),"不可评价",IF(OR(R905="equivocal",T905="equivocal"),"疑似",IF(AND(R905="positive",T905="positive"),"a",IF(T905="positive","b",IF(R905="positive","c","d")))))</x:f>
        <x:v>d</x:v>
      </x:c>
      <x:c r="V905" s="12"/>
      <x:c r="W905" s="12" t="str">
        <x:v>negative</x:v>
      </x:c>
      <x:c r="X905" s="12"/>
      <x:c r="Y905" s="12" t="str">
        <x:v>negative</x:v>
      </x:c>
      <x:c r="Z905" s="12" t="str">
        <x:f>IF(OR(W905="unavailable",Y905="unavailable"),"不可评价",IF(OR(W905="equivocal",Y905="equivocal"),"疑似",IF(AND(W905="positive",Y905="positive"),"a",IF(Y905="positive","b",IF(W905="positive","c","d")))))</x:f>
        <x:v>d</x:v>
      </x:c>
      <x:c r="AA905" s="12" t="str">
        <x:f>IF(OR(M905="unavailable",O905="unavailable"),"不可评价",IF(AND(OR(M905="positive",M905="equivocal"),OR(O905="positive",O905="equivocal")),"a",IF(OR(O905="positive",O905="equivocal"),"b",IF(OR(M905="positive",M905="equivocal"),"c","d"))))</x:f>
        <x:v>d</x:v>
      </x:c>
      <x:c r="AB905" s="12" t="str">
        <x:f>IF(OR(M905="unavailable",O905="unavailable"),"不可评价",IF(AND(M905="positive",O905="positive"),"a",IF(O905="positive","b",IF(M905="positive","c","d"))))</x:f>
        <x:v>d</x:v>
      </x:c>
      <x:c r="AC905" s="12" t="str">
        <x:f>IF(OR(R905="unavailable",T905="unavailable"),"不可评价",IF(AND(OR(R905="positive",R905="equivocal"),OR(T905="positive",T905="equivocal")),"a",IF(OR(T905="positive",T905="equivocal"),"b",IF(OR(R905="positive",R905="equivocal"),"c","d"))))</x:f>
        <x:v>d</x:v>
      </x:c>
      <x:c r="AD905" s="12" t="str">
        <x:f>IF(OR(R905="unavailable",T905="unavailable"),"不可评价",IF(AND(R905="positive",T905="positive"),"a",IF(T905="positive","b",IF(R905="positive","c","d"))))</x:f>
        <x:v>d</x:v>
      </x:c>
      <x:c r="AE905" s="12" t="str">
        <x:f>IF(OR(W905="unavailable",Y905="unavailable"),"不可评价",IF(AND(OR(W905="positive",W905="equivocal"),OR(Y905="positive",Y905="equivocal")),"a",IF(OR(Y905="positive",Y905="equivocal"),"b",IF(OR(W905="positive",W905="equivocal"),"c","d"))))</x:f>
        <x:v>d</x:v>
      </x:c>
      <x:c r="AF905" s="12" t="str">
        <x:f>IF(OR(W905="unavailable",Y905="unavailable"),"不可评价",IF(AND(W905="positive",Y905="positive"),"a",IF(Y905="positive","b",IF(W905="positive","c","d"))))</x:f>
        <x:v>d</x:v>
      </x:c>
    </x:row>
    <x:row r="906" ht="24" customHeight="1">
      <x:c r="A906" s="12" t="str">
        <x:v>7916</x:v>
      </x:c>
      <x:c r="B906" s="12" t="str">
        <x:v>17216</x:v>
      </x:c>
      <x:c r="C906" s="21" t="n">
        <x:v>33695.398518518516</x:v>
      </x:c>
      <x:c r="D906" s="12" t="n">
        <x:v>79</x:v>
      </x:c>
      <x:c r="E906" s="12" t="n">
        <x:v>0</x:v>
      </x:c>
      <x:c r="F906" s="12" t="str">
        <x:v>未记录</x:v>
      </x:c>
      <x:c r="G906" s="12" t="n">
        <x:v>1</x:v>
      </x:c>
      <x:c r="H906" s="12" t="str">
        <x:v>{'LVH': 100.0, 'SR': 0.0}</x:v>
      </x:c>
      <x:c r="I906" s="12" t="str">
        <x:v>[('NSR', 100.0), ('LVH2', 100.0), ('2ST', 100.0), ('LNGQT', 100.0), ('AB', 100.0)]</x:v>
      </x:c>
      <x:c r="J906" s="12" t="str">
        <x:v>ptbxl_database.csv；ecg_id=7916；scp_codes</x:v>
      </x:c>
      <x:c r="K906" s="12" t="str">
        <x:v>12sl_statements.csv；ecg_id=7916；statements_ext_snomed</x:v>
      </x:c>
      <x:c r="L906" s="12"/>
      <x:c r="M906" s="12" t="str">
        <x:v>negative</x:v>
      </x:c>
      <x:c r="N906" s="12"/>
      <x:c r="O906" s="12" t="str">
        <x:v>negative</x:v>
      </x:c>
      <x:c r="P906" s="12" t="str">
        <x:f>IF(OR(M906="unavailable",O906="unavailable"),"不可评价",IF(OR(M906="equivocal",O906="equivocal"),"疑似",IF(AND(M906="positive",O906="positive"),"a",IF(O906="positive","b",IF(M906="positive","c","d")))))</x:f>
        <x:v>d</x:v>
      </x:c>
      <x:c r="Q906" s="12"/>
      <x:c r="R906" s="12" t="str">
        <x:v>negative</x:v>
      </x:c>
      <x:c r="S906" s="12"/>
      <x:c r="T906" s="12" t="str">
        <x:v>negative</x:v>
      </x:c>
      <x:c r="U906" s="12" t="str">
        <x:f>IF(OR(R906="unavailable",T906="unavailable"),"不可评价",IF(OR(R906="equivocal",T906="equivocal"),"疑似",IF(AND(R906="positive",T906="positive"),"a",IF(T906="positive","b",IF(R906="positive","c","d")))))</x:f>
        <x:v>d</x:v>
      </x:c>
      <x:c r="V906" s="12"/>
      <x:c r="W906" s="12" t="str">
        <x:v>negative</x:v>
      </x:c>
      <x:c r="X906" s="12"/>
      <x:c r="Y906" s="12" t="str">
        <x:v>negative</x:v>
      </x:c>
      <x:c r="Z906" s="12" t="str">
        <x:f>IF(OR(W906="unavailable",Y906="unavailable"),"不可评价",IF(OR(W906="equivocal",Y906="equivocal"),"疑似",IF(AND(W906="positive",Y906="positive"),"a",IF(Y906="positive","b",IF(W906="positive","c","d")))))</x:f>
        <x:v>d</x:v>
      </x:c>
      <x:c r="AA906" s="12" t="str">
        <x:f>IF(OR(M906="unavailable",O906="unavailable"),"不可评价",IF(AND(OR(M906="positive",M906="equivocal"),OR(O906="positive",O906="equivocal")),"a",IF(OR(O906="positive",O906="equivocal"),"b",IF(OR(M906="positive",M906="equivocal"),"c","d"))))</x:f>
        <x:v>d</x:v>
      </x:c>
      <x:c r="AB906" s="12" t="str">
        <x:f>IF(OR(M906="unavailable",O906="unavailable"),"不可评价",IF(AND(M906="positive",O906="positive"),"a",IF(O906="positive","b",IF(M906="positive","c","d"))))</x:f>
        <x:v>d</x:v>
      </x:c>
      <x:c r="AC906" s="12" t="str">
        <x:f>IF(OR(R906="unavailable",T906="unavailable"),"不可评价",IF(AND(OR(R906="positive",R906="equivocal"),OR(T906="positive",T906="equivocal")),"a",IF(OR(T906="positive",T906="equivocal"),"b",IF(OR(R906="positive",R906="equivocal"),"c","d"))))</x:f>
        <x:v>d</x:v>
      </x:c>
      <x:c r="AD906" s="12" t="str">
        <x:f>IF(OR(R906="unavailable",T906="unavailable"),"不可评价",IF(AND(R906="positive",T906="positive"),"a",IF(T906="positive","b",IF(R906="positive","c","d"))))</x:f>
        <x:v>d</x:v>
      </x:c>
      <x:c r="AE906" s="12" t="str">
        <x:f>IF(OR(W906="unavailable",Y906="unavailable"),"不可评价",IF(AND(OR(W906="positive",W906="equivocal"),OR(Y906="positive",Y906="equivocal")),"a",IF(OR(Y906="positive",Y906="equivocal"),"b",IF(OR(W906="positive",W906="equivocal"),"c","d"))))</x:f>
        <x:v>d</x:v>
      </x:c>
      <x:c r="AF906" s="12" t="str">
        <x:f>IF(OR(W906="unavailable",Y906="unavailable"),"不可评价",IF(AND(W906="positive",Y906="positive"),"a",IF(Y906="positive","b",IF(W906="positive","c","d"))))</x:f>
        <x:v>d</x:v>
      </x:c>
    </x:row>
    <x:row r="907" ht="24" customHeight="1">
      <x:c r="A907" s="12" t="str">
        <x:v>7919</x:v>
      </x:c>
      <x:c r="B907" s="12" t="str">
        <x:v>12893</x:v>
      </x:c>
      <x:c r="C907" s="21" t="n">
        <x:v>33697.43451388889</x:v>
      </x:c>
      <x:c r="D907" s="12" t="n">
        <x:v>80</x:v>
      </x:c>
      <x:c r="E907" s="12" t="n">
        <x:v>1</x:v>
      </x:c>
      <x:c r="F907" s="12" t="str">
        <x:v>未记录</x:v>
      </x:c>
      <x:c r="G907" s="12" t="n">
        <x:v>1</x:v>
      </x:c>
      <x:c r="H907" s="12" t="str">
        <x:v>{'CLBBB': 100.0, 'LVH': 100.0, 'ISC_': 100.0, 'SR': 0.0}</x:v>
      </x:c>
      <x:c r="I907" s="12" t="str">
        <x:v>[('NSR', 100.0), ('LBBB', 100.0), ('AB', 100.0)]</x:v>
      </x:c>
      <x:c r="J907" s="12" t="str">
        <x:v>ptbxl_database.csv；ecg_id=7919；scp_codes</x:v>
      </x:c>
      <x:c r="K907" s="12" t="str">
        <x:v>12sl_statements.csv；ecg_id=7919；statements_ext_snomed</x:v>
      </x:c>
      <x:c r="L907" s="12"/>
      <x:c r="M907" s="12" t="str">
        <x:v>negative</x:v>
      </x:c>
      <x:c r="N907" s="12"/>
      <x:c r="O907" s="12" t="str">
        <x:v>negative</x:v>
      </x:c>
      <x:c r="P907" s="12" t="str">
        <x:f>IF(OR(M907="unavailable",O907="unavailable"),"不可评价",IF(OR(M907="equivocal",O907="equivocal"),"疑似",IF(AND(M907="positive",O907="positive"),"a",IF(O907="positive","b",IF(M907="positive","c","d")))))</x:f>
        <x:v>d</x:v>
      </x:c>
      <x:c r="Q907" s="12" t="n">
        <x:v>100</x:v>
      </x:c>
      <x:c r="R907" s="12" t="str">
        <x:v>positive</x:v>
      </x:c>
      <x:c r="S907" s="12" t="n">
        <x:v>100</x:v>
      </x:c>
      <x:c r="T907" s="12" t="str">
        <x:v>positive</x:v>
      </x:c>
      <x:c r="U907" s="12" t="str">
        <x:f>IF(OR(R907="unavailable",T907="unavailable"),"不可评价",IF(OR(R907="equivocal",T907="equivocal"),"疑似",IF(AND(R907="positive",T907="positive"),"a",IF(T907="positive","b",IF(R907="positive","c","d")))))</x:f>
        <x:v>a</x:v>
      </x:c>
      <x:c r="V907" s="12"/>
      <x:c r="W907" s="12" t="str">
        <x:v>negative</x:v>
      </x:c>
      <x:c r="X907" s="12"/>
      <x:c r="Y907" s="12" t="str">
        <x:v>negative</x:v>
      </x:c>
      <x:c r="Z907" s="12" t="str">
        <x:f>IF(OR(W907="unavailable",Y907="unavailable"),"不可评价",IF(OR(W907="equivocal",Y907="equivocal"),"疑似",IF(AND(W907="positive",Y907="positive"),"a",IF(Y907="positive","b",IF(W907="positive","c","d")))))</x:f>
        <x:v>d</x:v>
      </x:c>
      <x:c r="AA907" s="12" t="str">
        <x:f>IF(OR(M907="unavailable",O907="unavailable"),"不可评价",IF(AND(OR(M907="positive",M907="equivocal"),OR(O907="positive",O907="equivocal")),"a",IF(OR(O907="positive",O907="equivocal"),"b",IF(OR(M907="positive",M907="equivocal"),"c","d"))))</x:f>
        <x:v>d</x:v>
      </x:c>
      <x:c r="AB907" s="12" t="str">
        <x:f>IF(OR(M907="unavailable",O907="unavailable"),"不可评价",IF(AND(M907="positive",O907="positive"),"a",IF(O907="positive","b",IF(M907="positive","c","d"))))</x:f>
        <x:v>d</x:v>
      </x:c>
      <x:c r="AC907" s="12" t="str">
        <x:f>IF(OR(R907="unavailable",T907="unavailable"),"不可评价",IF(AND(OR(R907="positive",R907="equivocal"),OR(T907="positive",T907="equivocal")),"a",IF(OR(T907="positive",T907="equivocal"),"b",IF(OR(R907="positive",R907="equivocal"),"c","d"))))</x:f>
        <x:v>a</x:v>
      </x:c>
      <x:c r="AD907" s="12" t="str">
        <x:f>IF(OR(R907="unavailable",T907="unavailable"),"不可评价",IF(AND(R907="positive",T907="positive"),"a",IF(T907="positive","b",IF(R907="positive","c","d"))))</x:f>
        <x:v>a</x:v>
      </x:c>
      <x:c r="AE907" s="12" t="str">
        <x:f>IF(OR(W907="unavailable",Y907="unavailable"),"不可评价",IF(AND(OR(W907="positive",W907="equivocal"),OR(Y907="positive",Y907="equivocal")),"a",IF(OR(Y907="positive",Y907="equivocal"),"b",IF(OR(W907="positive",W907="equivocal"),"c","d"))))</x:f>
        <x:v>d</x:v>
      </x:c>
      <x:c r="AF907" s="12" t="str">
        <x:f>IF(OR(W907="unavailable",Y907="unavailable"),"不可评价",IF(AND(W907="positive",Y907="positive"),"a",IF(Y907="positive","b",IF(W907="positive","c","d"))))</x:f>
        <x:v>d</x:v>
      </x:c>
    </x:row>
    <x:row r="908" ht="24" customHeight="1">
      <x:c r="A908" s="12" t="str">
        <x:v>7946</x:v>
      </x:c>
      <x:c r="B908" s="12" t="str">
        <x:v>377</x:v>
      </x:c>
      <x:c r="C908" s="21" t="n">
        <x:v>33705.44994212963</x:v>
      </x:c>
      <x:c r="D908" s="12" t="n">
        <x:v>68</x:v>
      </x:c>
      <x:c r="E908" s="12" t="n">
        <x:v>1</x:v>
      </x:c>
      <x:c r="F908" s="12" t="str">
        <x:v>未记录</x:v>
      </x:c>
      <x:c r="G908" s="12" t="n">
        <x:v>1</x:v>
      </x:c>
      <x:c r="H908" s="12" t="str">
        <x:v>{'LAFB': 100.0, 'ISCAL': 100.0, 'SR': 0.0}</x:v>
      </x:c>
      <x:c r="I908" s="12" t="str">
        <x:v>[('NSR', 100.0), ('LAD3', 100.0), ('LVH2', 100.0), ('QRSW-2ST', 100.0), ('AB', 100.0)]</x:v>
      </x:c>
      <x:c r="J908" s="12" t="str">
        <x:v>ptbxl_database.csv；ecg_id=7946；scp_codes</x:v>
      </x:c>
      <x:c r="K908" s="12" t="str">
        <x:v>12sl_statements.csv；ecg_id=7946；statements_ext_snomed</x:v>
      </x:c>
      <x:c r="L908" s="12"/>
      <x:c r="M908" s="12" t="str">
        <x:v>negative</x:v>
      </x:c>
      <x:c r="N908" s="12"/>
      <x:c r="O908" s="12" t="str">
        <x:v>negative</x:v>
      </x:c>
      <x:c r="P908" s="12" t="str">
        <x:f>IF(OR(M908="unavailable",O908="unavailable"),"不可评价",IF(OR(M908="equivocal",O908="equivocal"),"疑似",IF(AND(M908="positive",O908="positive"),"a",IF(O908="positive","b",IF(M908="positive","c","d")))))</x:f>
        <x:v>d</x:v>
      </x:c>
      <x:c r="Q908" s="12"/>
      <x:c r="R908" s="12" t="str">
        <x:v>negative</x:v>
      </x:c>
      <x:c r="S908" s="12"/>
      <x:c r="T908" s="12" t="str">
        <x:v>negative</x:v>
      </x:c>
      <x:c r="U908" s="12" t="str">
        <x:f>IF(OR(R908="unavailable",T908="unavailable"),"不可评价",IF(OR(R908="equivocal",T908="equivocal"),"疑似",IF(AND(R908="positive",T908="positive"),"a",IF(T908="positive","b",IF(R908="positive","c","d")))))</x:f>
        <x:v>d</x:v>
      </x:c>
      <x:c r="V908" s="12"/>
      <x:c r="W908" s="12" t="str">
        <x:v>negative</x:v>
      </x:c>
      <x:c r="X908" s="12"/>
      <x:c r="Y908" s="12" t="str">
        <x:v>negative</x:v>
      </x:c>
      <x:c r="Z908" s="12" t="str">
        <x:f>IF(OR(W908="unavailable",Y908="unavailable"),"不可评价",IF(OR(W908="equivocal",Y908="equivocal"),"疑似",IF(AND(W908="positive",Y908="positive"),"a",IF(Y908="positive","b",IF(W908="positive","c","d")))))</x:f>
        <x:v>d</x:v>
      </x:c>
      <x:c r="AA908" s="12" t="str">
        <x:f>IF(OR(M908="unavailable",O908="unavailable"),"不可评价",IF(AND(OR(M908="positive",M908="equivocal"),OR(O908="positive",O908="equivocal")),"a",IF(OR(O908="positive",O908="equivocal"),"b",IF(OR(M908="positive",M908="equivocal"),"c","d"))))</x:f>
        <x:v>d</x:v>
      </x:c>
      <x:c r="AB908" s="12" t="str">
        <x:f>IF(OR(M908="unavailable",O908="unavailable"),"不可评价",IF(AND(M908="positive",O908="positive"),"a",IF(O908="positive","b",IF(M908="positive","c","d"))))</x:f>
        <x:v>d</x:v>
      </x:c>
      <x:c r="AC908" s="12" t="str">
        <x:f>IF(OR(R908="unavailable",T908="unavailable"),"不可评价",IF(AND(OR(R908="positive",R908="equivocal"),OR(T908="positive",T908="equivocal")),"a",IF(OR(T908="positive",T908="equivocal"),"b",IF(OR(R908="positive",R908="equivocal"),"c","d"))))</x:f>
        <x:v>d</x:v>
      </x:c>
      <x:c r="AD908" s="12" t="str">
        <x:f>IF(OR(R908="unavailable",T908="unavailable"),"不可评价",IF(AND(R908="positive",T908="positive"),"a",IF(T908="positive","b",IF(R908="positive","c","d"))))</x:f>
        <x:v>d</x:v>
      </x:c>
      <x:c r="AE908" s="12" t="str">
        <x:f>IF(OR(W908="unavailable",Y908="unavailable"),"不可评价",IF(AND(OR(W908="positive",W908="equivocal"),OR(Y908="positive",Y908="equivocal")),"a",IF(OR(Y908="positive",Y908="equivocal"),"b",IF(OR(W908="positive",W908="equivocal"),"c","d"))))</x:f>
        <x:v>d</x:v>
      </x:c>
      <x:c r="AF908" s="12" t="str">
        <x:f>IF(OR(W908="unavailable",Y908="unavailable"),"不可评价",IF(AND(W908="positive",Y908="positive"),"a",IF(Y908="positive","b",IF(W908="positive","c","d"))))</x:f>
        <x:v>d</x:v>
      </x:c>
    </x:row>
    <x:row r="909" ht="24" customHeight="1">
      <x:c r="A909" s="12" t="str">
        <x:v>7950</x:v>
      </x:c>
      <x:c r="B909" s="12" t="str">
        <x:v>17165</x:v>
      </x:c>
      <x:c r="C909" s="21" t="n">
        <x:v>33707.61116898148</x:v>
      </x:c>
      <x:c r="D909" s="12" t="n">
        <x:v>56</x:v>
      </x:c>
      <x:c r="E909" s="12" t="n">
        <x:v>0</x:v>
      </x:c>
      <x:c r="F909" s="12" t="str">
        <x:v>未记录</x:v>
      </x:c>
      <x:c r="G909" s="12" t="n">
        <x:v>1</x:v>
      </x:c>
      <x:c r="H909" s="12" t="str">
        <x:v>{'NORM': 100.0, 'SR': 0.0}</x:v>
      </x:c>
      <x:c r="I909" s="12" t="str">
        <x:v>[('NSR', 100.0), ('SAR', 100.0), ('NSTT', 100.0), ('AB', 100.0)]</x:v>
      </x:c>
      <x:c r="J909" s="12" t="str">
        <x:v>ptbxl_database.csv；ecg_id=7950；scp_codes</x:v>
      </x:c>
      <x:c r="K909" s="12" t="str">
        <x:v>12sl_statements.csv；ecg_id=7950；statements_ext_snomed</x:v>
      </x:c>
      <x:c r="L909" s="12"/>
      <x:c r="M909" s="12" t="str">
        <x:v>negative</x:v>
      </x:c>
      <x:c r="N909" s="12"/>
      <x:c r="O909" s="12" t="str">
        <x:v>negative</x:v>
      </x:c>
      <x:c r="P909" s="12" t="str">
        <x:f>IF(OR(M909="unavailable",O909="unavailable"),"不可评价",IF(OR(M909="equivocal",O909="equivocal"),"疑似",IF(AND(M909="positive",O909="positive"),"a",IF(O909="positive","b",IF(M909="positive","c","d")))))</x:f>
        <x:v>d</x:v>
      </x:c>
      <x:c r="Q909" s="12"/>
      <x:c r="R909" s="12" t="str">
        <x:v>negative</x:v>
      </x:c>
      <x:c r="S909" s="12"/>
      <x:c r="T909" s="12" t="str">
        <x:v>negative</x:v>
      </x:c>
      <x:c r="U909" s="12" t="str">
        <x:f>IF(OR(R909="unavailable",T909="unavailable"),"不可评价",IF(OR(R909="equivocal",T909="equivocal"),"疑似",IF(AND(R909="positive",T909="positive"),"a",IF(T909="positive","b",IF(R909="positive","c","d")))))</x:f>
        <x:v>d</x:v>
      </x:c>
      <x:c r="V909" s="12"/>
      <x:c r="W909" s="12" t="str">
        <x:v>negative</x:v>
      </x:c>
      <x:c r="X909" s="12"/>
      <x:c r="Y909" s="12" t="str">
        <x:v>negative</x:v>
      </x:c>
      <x:c r="Z909" s="12" t="str">
        <x:f>IF(OR(W909="unavailable",Y909="unavailable"),"不可评价",IF(OR(W909="equivocal",Y909="equivocal"),"疑似",IF(AND(W909="positive",Y909="positive"),"a",IF(Y909="positive","b",IF(W909="positive","c","d")))))</x:f>
        <x:v>d</x:v>
      </x:c>
      <x:c r="AA909" s="12" t="str">
        <x:f>IF(OR(M909="unavailable",O909="unavailable"),"不可评价",IF(AND(OR(M909="positive",M909="equivocal"),OR(O909="positive",O909="equivocal")),"a",IF(OR(O909="positive",O909="equivocal"),"b",IF(OR(M909="positive",M909="equivocal"),"c","d"))))</x:f>
        <x:v>d</x:v>
      </x:c>
      <x:c r="AB909" s="12" t="str">
        <x:f>IF(OR(M909="unavailable",O909="unavailable"),"不可评价",IF(AND(M909="positive",O909="positive"),"a",IF(O909="positive","b",IF(M909="positive","c","d"))))</x:f>
        <x:v>d</x:v>
      </x:c>
      <x:c r="AC909" s="12" t="str">
        <x:f>IF(OR(R909="unavailable",T909="unavailable"),"不可评价",IF(AND(OR(R909="positive",R909="equivocal"),OR(T909="positive",T909="equivocal")),"a",IF(OR(T909="positive",T909="equivocal"),"b",IF(OR(R909="positive",R909="equivocal"),"c","d"))))</x:f>
        <x:v>d</x:v>
      </x:c>
      <x:c r="AD909" s="12" t="str">
        <x:f>IF(OR(R909="unavailable",T909="unavailable"),"不可评价",IF(AND(R909="positive",T909="positive"),"a",IF(T909="positive","b",IF(R909="positive","c","d"))))</x:f>
        <x:v>d</x:v>
      </x:c>
      <x:c r="AE909" s="12" t="str">
        <x:f>IF(OR(W909="unavailable",Y909="unavailable"),"不可评价",IF(AND(OR(W909="positive",W909="equivocal"),OR(Y909="positive",Y909="equivocal")),"a",IF(OR(Y909="positive",Y909="equivocal"),"b",IF(OR(W909="positive",W909="equivocal"),"c","d"))))</x:f>
        <x:v>d</x:v>
      </x:c>
      <x:c r="AF909" s="12" t="str">
        <x:f>IF(OR(W909="unavailable",Y909="unavailable"),"不可评价",IF(AND(W909="positive",Y909="positive"),"a",IF(Y909="positive","b",IF(W909="positive","c","d"))))</x:f>
        <x:v>d</x:v>
      </x:c>
    </x:row>
    <x:row r="910" ht="24" customHeight="1">
      <x:c r="A910" s="12" t="str">
        <x:v>7951</x:v>
      </x:c>
      <x:c r="B910" s="12" t="str">
        <x:v>6428</x:v>
      </x:c>
      <x:c r="C910" s="21" t="n">
        <x:v>33707.67030092593</x:v>
      </x:c>
      <x:c r="D910" s="12" t="n">
        <x:v>68</x:v>
      </x:c>
      <x:c r="E910" s="12" t="n">
        <x:v>1</x:v>
      </x:c>
      <x:c r="F910" s="12" t="str">
        <x:v>未记录</x:v>
      </x:c>
      <x:c r="G910" s="12" t="n">
        <x:v>1</x:v>
      </x:c>
      <x:c r="H910" s="12" t="str">
        <x:v>{'NDT': 100.0, 'SR': 0.0}</x:v>
      </x:c>
      <x:c r="I910" s="12" t="str">
        <x:v>[('SBRAD', 100.0), ('NT', 100.0), ('AB', 100.0)]</x:v>
      </x:c>
      <x:c r="J910" s="12" t="str">
        <x:v>ptbxl_database.csv；ecg_id=7951；scp_codes</x:v>
      </x:c>
      <x:c r="K910" s="12" t="str">
        <x:v>12sl_statements.csv；ecg_id=7951；statements_ext_snomed</x:v>
      </x:c>
      <x:c r="L910" s="12"/>
      <x:c r="M910" s="12" t="str">
        <x:v>negative</x:v>
      </x:c>
      <x:c r="N910" s="12"/>
      <x:c r="O910" s="12" t="str">
        <x:v>negative</x:v>
      </x:c>
      <x:c r="P910" s="12" t="str">
        <x:f>IF(OR(M910="unavailable",O910="unavailable"),"不可评价",IF(OR(M910="equivocal",O910="equivocal"),"疑似",IF(AND(M910="positive",O910="positive"),"a",IF(O910="positive","b",IF(M910="positive","c","d")))))</x:f>
        <x:v>d</x:v>
      </x:c>
      <x:c r="Q910" s="12"/>
      <x:c r="R910" s="12" t="str">
        <x:v>negative</x:v>
      </x:c>
      <x:c r="S910" s="12"/>
      <x:c r="T910" s="12" t="str">
        <x:v>negative</x:v>
      </x:c>
      <x:c r="U910" s="12" t="str">
        <x:f>IF(OR(R910="unavailable",T910="unavailable"),"不可评价",IF(OR(R910="equivocal",T910="equivocal"),"疑似",IF(AND(R910="positive",T910="positive"),"a",IF(T910="positive","b",IF(R910="positive","c","d")))))</x:f>
        <x:v>d</x:v>
      </x:c>
      <x:c r="V910" s="12"/>
      <x:c r="W910" s="12" t="str">
        <x:v>negative</x:v>
      </x:c>
      <x:c r="X910" s="12"/>
      <x:c r="Y910" s="12" t="str">
        <x:v>negative</x:v>
      </x:c>
      <x:c r="Z910" s="12" t="str">
        <x:f>IF(OR(W910="unavailable",Y910="unavailable"),"不可评价",IF(OR(W910="equivocal",Y910="equivocal"),"疑似",IF(AND(W910="positive",Y910="positive"),"a",IF(Y910="positive","b",IF(W910="positive","c","d")))))</x:f>
        <x:v>d</x:v>
      </x:c>
      <x:c r="AA910" s="12" t="str">
        <x:f>IF(OR(M910="unavailable",O910="unavailable"),"不可评价",IF(AND(OR(M910="positive",M910="equivocal"),OR(O910="positive",O910="equivocal")),"a",IF(OR(O910="positive",O910="equivocal"),"b",IF(OR(M910="positive",M910="equivocal"),"c","d"))))</x:f>
        <x:v>d</x:v>
      </x:c>
      <x:c r="AB910" s="12" t="str">
        <x:f>IF(OR(M910="unavailable",O910="unavailable"),"不可评价",IF(AND(M910="positive",O910="positive"),"a",IF(O910="positive","b",IF(M910="positive","c","d"))))</x:f>
        <x:v>d</x:v>
      </x:c>
      <x:c r="AC910" s="12" t="str">
        <x:f>IF(OR(R910="unavailable",T910="unavailable"),"不可评价",IF(AND(OR(R910="positive",R910="equivocal"),OR(T910="positive",T910="equivocal")),"a",IF(OR(T910="positive",T910="equivocal"),"b",IF(OR(R910="positive",R910="equivocal"),"c","d"))))</x:f>
        <x:v>d</x:v>
      </x:c>
      <x:c r="AD910" s="12" t="str">
        <x:f>IF(OR(R910="unavailable",T910="unavailable"),"不可评价",IF(AND(R910="positive",T910="positive"),"a",IF(T910="positive","b",IF(R910="positive","c","d"))))</x:f>
        <x:v>d</x:v>
      </x:c>
      <x:c r="AE910" s="12" t="str">
        <x:f>IF(OR(W910="unavailable",Y910="unavailable"),"不可评价",IF(AND(OR(W910="positive",W910="equivocal"),OR(Y910="positive",Y910="equivocal")),"a",IF(OR(Y910="positive",Y910="equivocal"),"b",IF(OR(W910="positive",W910="equivocal"),"c","d"))))</x:f>
        <x:v>d</x:v>
      </x:c>
      <x:c r="AF910" s="12" t="str">
        <x:f>IF(OR(W910="unavailable",Y910="unavailable"),"不可评价",IF(AND(W910="positive",Y910="positive"),"a",IF(Y910="positive","b",IF(W910="positive","c","d"))))</x:f>
        <x:v>d</x:v>
      </x:c>
    </x:row>
    <x:row r="911" ht="39" customHeight="1">
      <x:c r="A911" s="12" t="str">
        <x:v>7961</x:v>
      </x:c>
      <x:c r="B911" s="12" t="str">
        <x:v>377</x:v>
      </x:c>
      <x:c r="C911" s="21" t="n">
        <x:v>33709.43913194445</x:v>
      </x:c>
      <x:c r="D911" s="12" t="n">
        <x:v>68</x:v>
      </x:c>
      <x:c r="E911" s="12" t="n">
        <x:v>1</x:v>
      </x:c>
      <x:c r="F911" s="12" t="str">
        <x:v>未记录</x:v>
      </x:c>
      <x:c r="G911" s="12" t="n">
        <x:v>0</x:v>
      </x:c>
      <x:c r="H911" s="12" t="str">
        <x:v>{'LVH': 50.0, 'ISC_': 100.0, 'LAFB': 100.0, 'VCLVH': 0.0, 'STD_': 0.0, 'SR': 0.0}</x:v>
      </x:c>
      <x:c r="I911" s="12" t="str">
        <x:v>[('NSR', 100.0), ('LAE', 50.0), ('LAD3', 100.0), ('LVH2', 100.0), ('QRSW-2ST', 100.0), ('AB', 100.0)]</x:v>
      </x:c>
      <x:c r="J911" s="12" t="str">
        <x:v>ptbxl_database.csv；ecg_id=7961；scp_codes</x:v>
      </x:c>
      <x:c r="K911" s="12" t="str">
        <x:v>12sl_statements.csv；ecg_id=7961；statements_ext_snomed</x:v>
      </x:c>
      <x:c r="L911" s="12"/>
      <x:c r="M911" s="12" t="str">
        <x:v>negative</x:v>
      </x:c>
      <x:c r="N911" s="12"/>
      <x:c r="O911" s="12" t="str">
        <x:v>negative</x:v>
      </x:c>
      <x:c r="P911" s="12" t="str">
        <x:f>IF(OR(M911="unavailable",O911="unavailable"),"不可评价",IF(OR(M911="equivocal",O911="equivocal"),"疑似",IF(AND(M911="positive",O911="positive"),"a",IF(O911="positive","b",IF(M911="positive","c","d")))))</x:f>
        <x:v>d</x:v>
      </x:c>
      <x:c r="Q911" s="12"/>
      <x:c r="R911" s="12" t="str">
        <x:v>negative</x:v>
      </x:c>
      <x:c r="S911" s="12"/>
      <x:c r="T911" s="12" t="str">
        <x:v>negative</x:v>
      </x:c>
      <x:c r="U911" s="12" t="str">
        <x:f>IF(OR(R911="unavailable",T911="unavailable"),"不可评价",IF(OR(R911="equivocal",T911="equivocal"),"疑似",IF(AND(R911="positive",T911="positive"),"a",IF(T911="positive","b",IF(R911="positive","c","d")))))</x:f>
        <x:v>d</x:v>
      </x:c>
      <x:c r="V911" s="12"/>
      <x:c r="W911" s="12" t="str">
        <x:v>negative</x:v>
      </x:c>
      <x:c r="X911" s="12"/>
      <x:c r="Y911" s="12" t="str">
        <x:v>negative</x:v>
      </x:c>
      <x:c r="Z911" s="12" t="str">
        <x:f>IF(OR(W911="unavailable",Y911="unavailable"),"不可评价",IF(OR(W911="equivocal",Y911="equivocal"),"疑似",IF(AND(W911="positive",Y911="positive"),"a",IF(Y911="positive","b",IF(W911="positive","c","d")))))</x:f>
        <x:v>d</x:v>
      </x:c>
      <x:c r="AA911" s="12" t="str">
        <x:f>IF(OR(M911="unavailable",O911="unavailable"),"不可评价",IF(AND(OR(M911="positive",M911="equivocal"),OR(O911="positive",O911="equivocal")),"a",IF(OR(O911="positive",O911="equivocal"),"b",IF(OR(M911="positive",M911="equivocal"),"c","d"))))</x:f>
        <x:v>d</x:v>
      </x:c>
      <x:c r="AB911" s="12" t="str">
        <x:f>IF(OR(M911="unavailable",O911="unavailable"),"不可评价",IF(AND(M911="positive",O911="positive"),"a",IF(O911="positive","b",IF(M911="positive","c","d"))))</x:f>
        <x:v>d</x:v>
      </x:c>
      <x:c r="AC911" s="12" t="str">
        <x:f>IF(OR(R911="unavailable",T911="unavailable"),"不可评价",IF(AND(OR(R911="positive",R911="equivocal"),OR(T911="positive",T911="equivocal")),"a",IF(OR(T911="positive",T911="equivocal"),"b",IF(OR(R911="positive",R911="equivocal"),"c","d"))))</x:f>
        <x:v>d</x:v>
      </x:c>
      <x:c r="AD911" s="12" t="str">
        <x:f>IF(OR(R911="unavailable",T911="unavailable"),"不可评价",IF(AND(R911="positive",T911="positive"),"a",IF(T911="positive","b",IF(R911="positive","c","d"))))</x:f>
        <x:v>d</x:v>
      </x:c>
      <x:c r="AE911" s="12" t="str">
        <x:f>IF(OR(W911="unavailable",Y911="unavailable"),"不可评价",IF(AND(OR(W911="positive",W911="equivocal"),OR(Y911="positive",Y911="equivocal")),"a",IF(OR(Y911="positive",Y911="equivocal"),"b",IF(OR(W911="positive",W911="equivocal"),"c","d"))))</x:f>
        <x:v>d</x:v>
      </x:c>
      <x:c r="AF911" s="12" t="str">
        <x:f>IF(OR(W911="unavailable",Y911="unavailable"),"不可评价",IF(AND(W911="positive",Y911="positive"),"a",IF(Y911="positive","b",IF(W911="positive","c","d"))))</x:f>
        <x:v>d</x:v>
      </x:c>
    </x:row>
    <x:row r="912" ht="24" customHeight="1">
      <x:c r="A912" s="12" t="str">
        <x:v>7967</x:v>
      </x:c>
      <x:c r="B912" s="12" t="str">
        <x:v>1787</x:v>
      </x:c>
      <x:c r="C912" s="21" t="n">
        <x:v>33710.33184027778</x:v>
      </x:c>
      <x:c r="D912" s="12" t="n">
        <x:v>66</x:v>
      </x:c>
      <x:c r="E912" s="12" t="n">
        <x:v>1</x:v>
      </x:c>
      <x:c r="F912" s="12" t="str">
        <x:v>未记录</x:v>
      </x:c>
      <x:c r="G912" s="12" t="n">
        <x:v>1</x:v>
      </x:c>
      <x:c r="H912" s="12" t="str">
        <x:v>{'CLBBB': 100.0, 'SR': 0.0}</x:v>
      </x:c>
      <x:c r="I912" s="12" t="str">
        <x:v>[('SBRAD', 100.0), ('LBBB', 100.0), ('AB', 100.0)]</x:v>
      </x:c>
      <x:c r="J912" s="12" t="str">
        <x:v>ptbxl_database.csv；ecg_id=7967；scp_codes</x:v>
      </x:c>
      <x:c r="K912" s="12" t="str">
        <x:v>12sl_statements.csv；ecg_id=7967；statements_ext_snomed</x:v>
      </x:c>
      <x:c r="L912" s="12"/>
      <x:c r="M912" s="12" t="str">
        <x:v>negative</x:v>
      </x:c>
      <x:c r="N912" s="12"/>
      <x:c r="O912" s="12" t="str">
        <x:v>negative</x:v>
      </x:c>
      <x:c r="P912" s="12" t="str">
        <x:f>IF(OR(M912="unavailable",O912="unavailable"),"不可评价",IF(OR(M912="equivocal",O912="equivocal"),"疑似",IF(AND(M912="positive",O912="positive"),"a",IF(O912="positive","b",IF(M912="positive","c","d")))))</x:f>
        <x:v>d</x:v>
      </x:c>
      <x:c r="Q912" s="12" t="n">
        <x:v>100</x:v>
      </x:c>
      <x:c r="R912" s="12" t="str">
        <x:v>positive</x:v>
      </x:c>
      <x:c r="S912" s="12" t="n">
        <x:v>100</x:v>
      </x:c>
      <x:c r="T912" s="12" t="str">
        <x:v>positive</x:v>
      </x:c>
      <x:c r="U912" s="12" t="str">
        <x:f>IF(OR(R912="unavailable",T912="unavailable"),"不可评价",IF(OR(R912="equivocal",T912="equivocal"),"疑似",IF(AND(R912="positive",T912="positive"),"a",IF(T912="positive","b",IF(R912="positive","c","d")))))</x:f>
        <x:v>a</x:v>
      </x:c>
      <x:c r="V912" s="12"/>
      <x:c r="W912" s="12" t="str">
        <x:v>negative</x:v>
      </x:c>
      <x:c r="X912" s="12"/>
      <x:c r="Y912" s="12" t="str">
        <x:v>negative</x:v>
      </x:c>
      <x:c r="Z912" s="12" t="str">
        <x:f>IF(OR(W912="unavailable",Y912="unavailable"),"不可评价",IF(OR(W912="equivocal",Y912="equivocal"),"疑似",IF(AND(W912="positive",Y912="positive"),"a",IF(Y912="positive","b",IF(W912="positive","c","d")))))</x:f>
        <x:v>d</x:v>
      </x:c>
      <x:c r="AA912" s="12" t="str">
        <x:f>IF(OR(M912="unavailable",O912="unavailable"),"不可评价",IF(AND(OR(M912="positive",M912="equivocal"),OR(O912="positive",O912="equivocal")),"a",IF(OR(O912="positive",O912="equivocal"),"b",IF(OR(M912="positive",M912="equivocal"),"c","d"))))</x:f>
        <x:v>d</x:v>
      </x:c>
      <x:c r="AB912" s="12" t="str">
        <x:f>IF(OR(M912="unavailable",O912="unavailable"),"不可评价",IF(AND(M912="positive",O912="positive"),"a",IF(O912="positive","b",IF(M912="positive","c","d"))))</x:f>
        <x:v>d</x:v>
      </x:c>
      <x:c r="AC912" s="12" t="str">
        <x:f>IF(OR(R912="unavailable",T912="unavailable"),"不可评价",IF(AND(OR(R912="positive",R912="equivocal"),OR(T912="positive",T912="equivocal")),"a",IF(OR(T912="positive",T912="equivocal"),"b",IF(OR(R912="positive",R912="equivocal"),"c","d"))))</x:f>
        <x:v>a</x:v>
      </x:c>
      <x:c r="AD912" s="12" t="str">
        <x:f>IF(OR(R912="unavailable",T912="unavailable"),"不可评价",IF(AND(R912="positive",T912="positive"),"a",IF(T912="positive","b",IF(R912="positive","c","d"))))</x:f>
        <x:v>a</x:v>
      </x:c>
      <x:c r="AE912" s="12" t="str">
        <x:f>IF(OR(W912="unavailable",Y912="unavailable"),"不可评价",IF(AND(OR(W912="positive",W912="equivocal"),OR(Y912="positive",Y912="equivocal")),"a",IF(OR(Y912="positive",Y912="equivocal"),"b",IF(OR(W912="positive",W912="equivocal"),"c","d"))))</x:f>
        <x:v>d</x:v>
      </x:c>
      <x:c r="AF912" s="12" t="str">
        <x:f>IF(OR(W912="unavailable",Y912="unavailable"),"不可评价",IF(AND(W912="positive",Y912="positive"),"a",IF(Y912="positive","b",IF(W912="positive","c","d"))))</x:f>
        <x:v>d</x:v>
      </x:c>
    </x:row>
    <x:row r="913" ht="24" customHeight="1">
      <x:c r="A913" s="12" t="str">
        <x:v>7990</x:v>
      </x:c>
      <x:c r="B913" s="12" t="str">
        <x:v>3647</x:v>
      </x:c>
      <x:c r="C913" s="21" t="n">
        <x:v>33716.241527777776</x:v>
      </x:c>
      <x:c r="D913" s="12" t="n">
        <x:v>75</x:v>
      </x:c>
      <x:c r="E913" s="12" t="n">
        <x:v>0</x:v>
      </x:c>
      <x:c r="F913" s="12" t="str">
        <x:v>存在</x:v>
      </x:c>
      <x:c r="G913" s="12" t="n">
        <x:v>1</x:v>
      </x:c>
      <x:c r="H913" s="12" t="str">
        <x:v>{'NDT': 100.0, 'NT_': 0.0, 'SR': 0.0}</x:v>
      </x:c>
      <x:c r="I913" s="12" t="str">
        <x:v>[('SBRAD', 100.0), ('NSTT', 100.0), ('AB', 100.0)]</x:v>
      </x:c>
      <x:c r="J913" s="12" t="str">
        <x:v>ptbxl_database.csv；ecg_id=7990；scp_codes</x:v>
      </x:c>
      <x:c r="K913" s="12" t="str">
        <x:v>12sl_statements.csv；ecg_id=7990；statements_ext_snomed</x:v>
      </x:c>
      <x:c r="L913" s="12"/>
      <x:c r="M913" s="12" t="str">
        <x:v>negative</x:v>
      </x:c>
      <x:c r="N913" s="12"/>
      <x:c r="O913" s="12" t="str">
        <x:v>negative</x:v>
      </x:c>
      <x:c r="P913" s="12" t="str">
        <x:f>IF(OR(M913="unavailable",O913="unavailable"),"不可评价",IF(OR(M913="equivocal",O913="equivocal"),"疑似",IF(AND(M913="positive",O913="positive"),"a",IF(O913="positive","b",IF(M913="positive","c","d")))))</x:f>
        <x:v>d</x:v>
      </x:c>
      <x:c r="Q913" s="12"/>
      <x:c r="R913" s="12" t="str">
        <x:v>negative</x:v>
      </x:c>
      <x:c r="S913" s="12"/>
      <x:c r="T913" s="12" t="str">
        <x:v>negative</x:v>
      </x:c>
      <x:c r="U913" s="12" t="str">
        <x:f>IF(OR(R913="unavailable",T913="unavailable"),"不可评价",IF(OR(R913="equivocal",T913="equivocal"),"疑似",IF(AND(R913="positive",T913="positive"),"a",IF(T913="positive","b",IF(R913="positive","c","d")))))</x:f>
        <x:v>d</x:v>
      </x:c>
      <x:c r="V913" s="12"/>
      <x:c r="W913" s="12" t="str">
        <x:v>negative</x:v>
      </x:c>
      <x:c r="X913" s="12"/>
      <x:c r="Y913" s="12" t="str">
        <x:v>negative</x:v>
      </x:c>
      <x:c r="Z913" s="12" t="str">
        <x:f>IF(OR(W913="unavailable",Y913="unavailable"),"不可评价",IF(OR(W913="equivocal",Y913="equivocal"),"疑似",IF(AND(W913="positive",Y913="positive"),"a",IF(Y913="positive","b",IF(W913="positive","c","d")))))</x:f>
        <x:v>d</x:v>
      </x:c>
      <x:c r="AA913" s="12" t="str">
        <x:f>IF(OR(M913="unavailable",O913="unavailable"),"不可评价",IF(AND(OR(M913="positive",M913="equivocal"),OR(O913="positive",O913="equivocal")),"a",IF(OR(O913="positive",O913="equivocal"),"b",IF(OR(M913="positive",M913="equivocal"),"c","d"))))</x:f>
        <x:v>d</x:v>
      </x:c>
      <x:c r="AB913" s="12" t="str">
        <x:f>IF(OR(M913="unavailable",O913="unavailable"),"不可评价",IF(AND(M913="positive",O913="positive"),"a",IF(O913="positive","b",IF(M913="positive","c","d"))))</x:f>
        <x:v>d</x:v>
      </x:c>
      <x:c r="AC913" s="12" t="str">
        <x:f>IF(OR(R913="unavailable",T913="unavailable"),"不可评价",IF(AND(OR(R913="positive",R913="equivocal"),OR(T913="positive",T913="equivocal")),"a",IF(OR(T913="positive",T913="equivocal"),"b",IF(OR(R913="positive",R913="equivocal"),"c","d"))))</x:f>
        <x:v>d</x:v>
      </x:c>
      <x:c r="AD913" s="12" t="str">
        <x:f>IF(OR(R913="unavailable",T913="unavailable"),"不可评价",IF(AND(R913="positive",T913="positive"),"a",IF(T913="positive","b",IF(R913="positive","c","d"))))</x:f>
        <x:v>d</x:v>
      </x:c>
      <x:c r="AE913" s="12" t="str">
        <x:f>IF(OR(W913="unavailable",Y913="unavailable"),"不可评价",IF(AND(OR(W913="positive",W913="equivocal"),OR(Y913="positive",Y913="equivocal")),"a",IF(OR(Y913="positive",Y913="equivocal"),"b",IF(OR(W913="positive",W913="equivocal"),"c","d"))))</x:f>
        <x:v>d</x:v>
      </x:c>
      <x:c r="AF913" s="12" t="str">
        <x:f>IF(OR(W913="unavailable",Y913="unavailable"),"不可评价",IF(AND(W913="positive",Y913="positive"),"a",IF(Y913="positive","b",IF(W913="positive","c","d"))))</x:f>
        <x:v>d</x:v>
      </x:c>
    </x:row>
    <x:row r="914" ht="24" customHeight="1">
      <x:c r="A914" s="12" t="str">
        <x:v>7998</x:v>
      </x:c>
      <x:c r="B914" s="12" t="str">
        <x:v>3862</x:v>
      </x:c>
      <x:c r="C914" s="21" t="n">
        <x:v>33716.42826388889</x:v>
      </x:c>
      <x:c r="D914" s="12" t="n">
        <x:v>75</x:v>
      </x:c>
      <x:c r="E914" s="12" t="n">
        <x:v>1</x:v>
      </x:c>
      <x:c r="F914" s="12" t="str">
        <x:v>未记录</x:v>
      </x:c>
      <x:c r="G914" s="12" t="n">
        <x:v>1</x:v>
      </x:c>
      <x:c r="H914" s="12" t="str">
        <x:v>{'IMI': 50.0, 'AFIB': 0.0}</x:v>
      </x:c>
      <x:c r="I914" s="12" t="str">
        <x:v>[('AFIB', 100.0), ('LAD3', 100.0), ('IMI;AU', 100.0), ('AB', 100.0)]</x:v>
      </x:c>
      <x:c r="J914" s="12" t="str">
        <x:v>ptbxl_database.csv；ecg_id=7998；scp_codes</x:v>
      </x:c>
      <x:c r="K914" s="12" t="str">
        <x:v>12sl_statements.csv；ecg_id=7998；statements_ext_snomed</x:v>
      </x:c>
      <x:c r="L914" s="12" t="n">
        <x:v>0</x:v>
      </x:c>
      <x:c r="M914" s="12" t="str">
        <x:v>positive</x:v>
      </x:c>
      <x:c r="N914" s="12" t="n">
        <x:v>100</x:v>
      </x:c>
      <x:c r="O914" s="12" t="str">
        <x:v>positive</x:v>
      </x:c>
      <x:c r="P914" s="12" t="str">
        <x:f>IF(OR(M914="unavailable",O914="unavailable"),"不可评价",IF(OR(M914="equivocal",O914="equivocal"),"疑似",IF(AND(M914="positive",O914="positive"),"a",IF(O914="positive","b",IF(M914="positive","c","d")))))</x:f>
        <x:v>a</x:v>
      </x:c>
      <x:c r="Q914" s="12"/>
      <x:c r="R914" s="12" t="str">
        <x:v>negative</x:v>
      </x:c>
      <x:c r="S914" s="12"/>
      <x:c r="T914" s="12" t="str">
        <x:v>negative</x:v>
      </x:c>
      <x:c r="U914" s="12" t="str">
        <x:f>IF(OR(R914="unavailable",T914="unavailable"),"不可评价",IF(OR(R914="equivocal",T914="equivocal"),"疑似",IF(AND(R914="positive",T914="positive"),"a",IF(T914="positive","b",IF(R914="positive","c","d")))))</x:f>
        <x:v>d</x:v>
      </x:c>
      <x:c r="V914" s="12"/>
      <x:c r="W914" s="12" t="str">
        <x:v>negative</x:v>
      </x:c>
      <x:c r="X914" s="12"/>
      <x:c r="Y914" s="12" t="str">
        <x:v>negative</x:v>
      </x:c>
      <x:c r="Z914" s="12" t="str">
        <x:f>IF(OR(W914="unavailable",Y914="unavailable"),"不可评价",IF(OR(W914="equivocal",Y914="equivocal"),"疑似",IF(AND(W914="positive",Y914="positive"),"a",IF(Y914="positive","b",IF(W914="positive","c","d")))))</x:f>
        <x:v>d</x:v>
      </x:c>
      <x:c r="AA914" s="12" t="str">
        <x:f>IF(OR(M914="unavailable",O914="unavailable"),"不可评价",IF(AND(OR(M914="positive",M914="equivocal"),OR(O914="positive",O914="equivocal")),"a",IF(OR(O914="positive",O914="equivocal"),"b",IF(OR(M914="positive",M914="equivocal"),"c","d"))))</x:f>
        <x:v>a</x:v>
      </x:c>
      <x:c r="AB914" s="12" t="str">
        <x:f>IF(OR(M914="unavailable",O914="unavailable"),"不可评价",IF(AND(M914="positive",O914="positive"),"a",IF(O914="positive","b",IF(M914="positive","c","d"))))</x:f>
        <x:v>a</x:v>
      </x:c>
      <x:c r="AC914" s="12" t="str">
        <x:f>IF(OR(R914="unavailable",T914="unavailable"),"不可评价",IF(AND(OR(R914="positive",R914="equivocal"),OR(T914="positive",T914="equivocal")),"a",IF(OR(T914="positive",T914="equivocal"),"b",IF(OR(R914="positive",R914="equivocal"),"c","d"))))</x:f>
        <x:v>d</x:v>
      </x:c>
      <x:c r="AD914" s="12" t="str">
        <x:f>IF(OR(R914="unavailable",T914="unavailable"),"不可评价",IF(AND(R914="positive",T914="positive"),"a",IF(T914="positive","b",IF(R914="positive","c","d"))))</x:f>
        <x:v>d</x:v>
      </x:c>
      <x:c r="AE914" s="12" t="str">
        <x:f>IF(OR(W914="unavailable",Y914="unavailable"),"不可评价",IF(AND(OR(W914="positive",W914="equivocal"),OR(Y914="positive",Y914="equivocal")),"a",IF(OR(Y914="positive",Y914="equivocal"),"b",IF(OR(W914="positive",W914="equivocal"),"c","d"))))</x:f>
        <x:v>d</x:v>
      </x:c>
      <x:c r="AF914" s="12" t="str">
        <x:f>IF(OR(W914="unavailable",Y914="unavailable"),"不可评价",IF(AND(W914="positive",Y914="positive"),"a",IF(Y914="positive","b",IF(W914="positive","c","d"))))</x:f>
        <x:v>d</x:v>
      </x:c>
    </x:row>
    <x:row r="915" ht="24" customHeight="1">
      <x:c r="A915" s="12" t="str">
        <x:v>8000</x:v>
      </x:c>
      <x:c r="B915" s="12" t="str">
        <x:v>17772</x:v>
      </x:c>
      <x:c r="C915" s="21" t="n">
        <x:v>33716.47688657408</x:v>
      </x:c>
      <x:c r="D915" s="12" t="n">
        <x:v>61</x:v>
      </x:c>
      <x:c r="E915" s="12" t="n">
        <x:v>0</x:v>
      </x:c>
      <x:c r="F915" s="12" t="str">
        <x:v>未记录</x:v>
      </x:c>
      <x:c r="G915" s="12" t="n">
        <x:v>1</x:v>
      </x:c>
      <x:c r="H915" s="12" t="str">
        <x:v>{'NDT': 100.0, 'SR': 0.0}</x:v>
      </x:c>
      <x:c r="I915" s="12" t="str">
        <x:v>[('SBRAD', 100.0), ('ABR', 100.0)]</x:v>
      </x:c>
      <x:c r="J915" s="12" t="str">
        <x:v>ptbxl_database.csv；ecg_id=8000；scp_codes</x:v>
      </x:c>
      <x:c r="K915" s="12" t="str">
        <x:v>12sl_statements.csv；ecg_id=8000；statements_ext_snomed</x:v>
      </x:c>
      <x:c r="L915" s="12"/>
      <x:c r="M915" s="12" t="str">
        <x:v>negative</x:v>
      </x:c>
      <x:c r="N915" s="12"/>
      <x:c r="O915" s="12" t="str">
        <x:v>negative</x:v>
      </x:c>
      <x:c r="P915" s="12" t="str">
        <x:f>IF(OR(M915="unavailable",O915="unavailable"),"不可评价",IF(OR(M915="equivocal",O915="equivocal"),"疑似",IF(AND(M915="positive",O915="positive"),"a",IF(O915="positive","b",IF(M915="positive","c","d")))))</x:f>
        <x:v>d</x:v>
      </x:c>
      <x:c r="Q915" s="12"/>
      <x:c r="R915" s="12" t="str">
        <x:v>negative</x:v>
      </x:c>
      <x:c r="S915" s="12"/>
      <x:c r="T915" s="12" t="str">
        <x:v>negative</x:v>
      </x:c>
      <x:c r="U915" s="12" t="str">
        <x:f>IF(OR(R915="unavailable",T915="unavailable"),"不可评价",IF(OR(R915="equivocal",T915="equivocal"),"疑似",IF(AND(R915="positive",T915="positive"),"a",IF(T915="positive","b",IF(R915="positive","c","d")))))</x:f>
        <x:v>d</x:v>
      </x:c>
      <x:c r="V915" s="12"/>
      <x:c r="W915" s="12" t="str">
        <x:v>negative</x:v>
      </x:c>
      <x:c r="X915" s="12"/>
      <x:c r="Y915" s="12" t="str">
        <x:v>negative</x:v>
      </x:c>
      <x:c r="Z915" s="12" t="str">
        <x:f>IF(OR(W915="unavailable",Y915="unavailable"),"不可评价",IF(OR(W915="equivocal",Y915="equivocal"),"疑似",IF(AND(W915="positive",Y915="positive"),"a",IF(Y915="positive","b",IF(W915="positive","c","d")))))</x:f>
        <x:v>d</x:v>
      </x:c>
      <x:c r="AA915" s="12" t="str">
        <x:f>IF(OR(M915="unavailable",O915="unavailable"),"不可评价",IF(AND(OR(M915="positive",M915="equivocal"),OR(O915="positive",O915="equivocal")),"a",IF(OR(O915="positive",O915="equivocal"),"b",IF(OR(M915="positive",M915="equivocal"),"c","d"))))</x:f>
        <x:v>d</x:v>
      </x:c>
      <x:c r="AB915" s="12" t="str">
        <x:f>IF(OR(M915="unavailable",O915="unavailable"),"不可评价",IF(AND(M915="positive",O915="positive"),"a",IF(O915="positive","b",IF(M915="positive","c","d"))))</x:f>
        <x:v>d</x:v>
      </x:c>
      <x:c r="AC915" s="12" t="str">
        <x:f>IF(OR(R915="unavailable",T915="unavailable"),"不可评价",IF(AND(OR(R915="positive",R915="equivocal"),OR(T915="positive",T915="equivocal")),"a",IF(OR(T915="positive",T915="equivocal"),"b",IF(OR(R915="positive",R915="equivocal"),"c","d"))))</x:f>
        <x:v>d</x:v>
      </x:c>
      <x:c r="AD915" s="12" t="str">
        <x:f>IF(OR(R915="unavailable",T915="unavailable"),"不可评价",IF(AND(R915="positive",T915="positive"),"a",IF(T915="positive","b",IF(R915="positive","c","d"))))</x:f>
        <x:v>d</x:v>
      </x:c>
      <x:c r="AE915" s="12" t="str">
        <x:f>IF(OR(W915="unavailable",Y915="unavailable"),"不可评价",IF(AND(OR(W915="positive",W915="equivocal"),OR(Y915="positive",Y915="equivocal")),"a",IF(OR(Y915="positive",Y915="equivocal"),"b",IF(OR(W915="positive",W915="equivocal"),"c","d"))))</x:f>
        <x:v>d</x:v>
      </x:c>
      <x:c r="AF915" s="12" t="str">
        <x:f>IF(OR(W915="unavailable",Y915="unavailable"),"不可评价",IF(AND(W915="positive",Y915="positive"),"a",IF(Y915="positive","b",IF(W915="positive","c","d"))))</x:f>
        <x:v>d</x:v>
      </x:c>
    </x:row>
    <x:row r="916" ht="24" customHeight="1">
      <x:c r="A916" s="12" t="str">
        <x:v>8032</x:v>
      </x:c>
      <x:c r="B916" s="12" t="str">
        <x:v>9740</x:v>
      </x:c>
      <x:c r="C916" s="21" t="n">
        <x:v>33722.511967592596</x:v>
      </x:c>
      <x:c r="D916" s="12" t="n">
        <x:v>59</x:v>
      </x:c>
      <x:c r="E916" s="12" t="n">
        <x:v>0</x:v>
      </x:c>
      <x:c r="F916" s="12" t="str">
        <x:v>未记录</x:v>
      </x:c>
      <x:c r="G916" s="12" t="n">
        <x:v>0</x:v>
      </x:c>
      <x:c r="H916" s="12" t="str">
        <x:v>{'IMI': 15.0, 'LNGQT': 100.0, 'SR': 0.0}</x:v>
      </x:c>
      <x:c r="I916" s="12" t="str">
        <x:v>[('NSR', 100.0), ('NST', 100.0), ('LNGQT', 100.0), ('AB', 100.0)]</x:v>
      </x:c>
      <x:c r="J916" s="12" t="str">
        <x:v>ptbxl_database.csv；ecg_id=8032；scp_codes</x:v>
      </x:c>
      <x:c r="K916" s="12" t="str">
        <x:v>12sl_statements.csv；ecg_id=8032；statements_ext_snomed</x:v>
      </x:c>
      <x:c r="L916" s="12"/>
      <x:c r="M916" s="12" t="str">
        <x:v>negative</x:v>
      </x:c>
      <x:c r="N916" s="12"/>
      <x:c r="O916" s="12" t="str">
        <x:v>negative</x:v>
      </x:c>
      <x:c r="P916" s="12" t="str">
        <x:f>IF(OR(M916="unavailable",O916="unavailable"),"不可评价",IF(OR(M916="equivocal",O916="equivocal"),"疑似",IF(AND(M916="positive",O916="positive"),"a",IF(O916="positive","b",IF(M916="positive","c","d")))))</x:f>
        <x:v>d</x:v>
      </x:c>
      <x:c r="Q916" s="12"/>
      <x:c r="R916" s="12" t="str">
        <x:v>negative</x:v>
      </x:c>
      <x:c r="S916" s="12"/>
      <x:c r="T916" s="12" t="str">
        <x:v>negative</x:v>
      </x:c>
      <x:c r="U916" s="12" t="str">
        <x:f>IF(OR(R916="unavailable",T916="unavailable"),"不可评价",IF(OR(R916="equivocal",T916="equivocal"),"疑似",IF(AND(R916="positive",T916="positive"),"a",IF(T916="positive","b",IF(R916="positive","c","d")))))</x:f>
        <x:v>d</x:v>
      </x:c>
      <x:c r="V916" s="12"/>
      <x:c r="W916" s="12" t="str">
        <x:v>negative</x:v>
      </x:c>
      <x:c r="X916" s="12"/>
      <x:c r="Y916" s="12" t="str">
        <x:v>negative</x:v>
      </x:c>
      <x:c r="Z916" s="12" t="str">
        <x:f>IF(OR(W916="unavailable",Y916="unavailable"),"不可评价",IF(OR(W916="equivocal",Y916="equivocal"),"疑似",IF(AND(W916="positive",Y916="positive"),"a",IF(Y916="positive","b",IF(W916="positive","c","d")))))</x:f>
        <x:v>d</x:v>
      </x:c>
      <x:c r="AA916" s="12" t="str">
        <x:f>IF(OR(M916="unavailable",O916="unavailable"),"不可评价",IF(AND(OR(M916="positive",M916="equivocal"),OR(O916="positive",O916="equivocal")),"a",IF(OR(O916="positive",O916="equivocal"),"b",IF(OR(M916="positive",M916="equivocal"),"c","d"))))</x:f>
        <x:v>d</x:v>
      </x:c>
      <x:c r="AB916" s="12" t="str">
        <x:f>IF(OR(M916="unavailable",O916="unavailable"),"不可评价",IF(AND(M916="positive",O916="positive"),"a",IF(O916="positive","b",IF(M916="positive","c","d"))))</x:f>
        <x:v>d</x:v>
      </x:c>
      <x:c r="AC916" s="12" t="str">
        <x:f>IF(OR(R916="unavailable",T916="unavailable"),"不可评价",IF(AND(OR(R916="positive",R916="equivocal"),OR(T916="positive",T916="equivocal")),"a",IF(OR(T916="positive",T916="equivocal"),"b",IF(OR(R916="positive",R916="equivocal"),"c","d"))))</x:f>
        <x:v>d</x:v>
      </x:c>
      <x:c r="AD916" s="12" t="str">
        <x:f>IF(OR(R916="unavailable",T916="unavailable"),"不可评价",IF(AND(R916="positive",T916="positive"),"a",IF(T916="positive","b",IF(R916="positive","c","d"))))</x:f>
        <x:v>d</x:v>
      </x:c>
      <x:c r="AE916" s="12" t="str">
        <x:f>IF(OR(W916="unavailable",Y916="unavailable"),"不可评价",IF(AND(OR(W916="positive",W916="equivocal"),OR(Y916="positive",Y916="equivocal")),"a",IF(OR(Y916="positive",Y916="equivocal"),"b",IF(OR(W916="positive",W916="equivocal"),"c","d"))))</x:f>
        <x:v>d</x:v>
      </x:c>
      <x:c r="AF916" s="12" t="str">
        <x:f>IF(OR(W916="unavailable",Y916="unavailable"),"不可评价",IF(AND(W916="positive",Y916="positive"),"a",IF(Y916="positive","b",IF(W916="positive","c","d"))))</x:f>
        <x:v>d</x:v>
      </x:c>
    </x:row>
    <x:row r="917" ht="24" customHeight="1">
      <x:c r="A917" s="12" t="str">
        <x:v>8036</x:v>
      </x:c>
      <x:c r="B917" s="12" t="str">
        <x:v>12281</x:v>
      </x:c>
      <x:c r="C917" s="21" t="n">
        <x:v>33722.55185185185</x:v>
      </x:c>
      <x:c r="D917" s="12" t="n">
        <x:v>54</x:v>
      </x:c>
      <x:c r="E917" s="12" t="n">
        <x:v>0</x:v>
      </x:c>
      <x:c r="F917" s="12" t="str">
        <x:v>未记录</x:v>
      </x:c>
      <x:c r="G917" s="12" t="n">
        <x:v>1</x:v>
      </x:c>
      <x:c r="H917" s="12" t="str">
        <x:v>{'NDT': 100.0, 'SR': 0.0}</x:v>
      </x:c>
      <x:c r="I917" s="12" t="str">
        <x:v>[('NSR', 100.0), ('LAE', 50.0), ('NT', 100.0), ('LNGQT', 100.0), ('AB', 100.0)]</x:v>
      </x:c>
      <x:c r="J917" s="12" t="str">
        <x:v>ptbxl_database.csv；ecg_id=8036；scp_codes</x:v>
      </x:c>
      <x:c r="K917" s="12" t="str">
        <x:v>12sl_statements.csv；ecg_id=8036；statements_ext_snomed</x:v>
      </x:c>
      <x:c r="L917" s="12"/>
      <x:c r="M917" s="12" t="str">
        <x:v>negative</x:v>
      </x:c>
      <x:c r="N917" s="12"/>
      <x:c r="O917" s="12" t="str">
        <x:v>negative</x:v>
      </x:c>
      <x:c r="P917" s="12" t="str">
        <x:f>IF(OR(M917="unavailable",O917="unavailable"),"不可评价",IF(OR(M917="equivocal",O917="equivocal"),"疑似",IF(AND(M917="positive",O917="positive"),"a",IF(O917="positive","b",IF(M917="positive","c","d")))))</x:f>
        <x:v>d</x:v>
      </x:c>
      <x:c r="Q917" s="12"/>
      <x:c r="R917" s="12" t="str">
        <x:v>negative</x:v>
      </x:c>
      <x:c r="S917" s="12"/>
      <x:c r="T917" s="12" t="str">
        <x:v>negative</x:v>
      </x:c>
      <x:c r="U917" s="12" t="str">
        <x:f>IF(OR(R917="unavailable",T917="unavailable"),"不可评价",IF(OR(R917="equivocal",T917="equivocal"),"疑似",IF(AND(R917="positive",T917="positive"),"a",IF(T917="positive","b",IF(R917="positive","c","d")))))</x:f>
        <x:v>d</x:v>
      </x:c>
      <x:c r="V917" s="12"/>
      <x:c r="W917" s="12" t="str">
        <x:v>negative</x:v>
      </x:c>
      <x:c r="X917" s="12"/>
      <x:c r="Y917" s="12" t="str">
        <x:v>negative</x:v>
      </x:c>
      <x:c r="Z917" s="12" t="str">
        <x:f>IF(OR(W917="unavailable",Y917="unavailable"),"不可评价",IF(OR(W917="equivocal",Y917="equivocal"),"疑似",IF(AND(W917="positive",Y917="positive"),"a",IF(Y917="positive","b",IF(W917="positive","c","d")))))</x:f>
        <x:v>d</x:v>
      </x:c>
      <x:c r="AA917" s="12" t="str">
        <x:f>IF(OR(M917="unavailable",O917="unavailable"),"不可评价",IF(AND(OR(M917="positive",M917="equivocal"),OR(O917="positive",O917="equivocal")),"a",IF(OR(O917="positive",O917="equivocal"),"b",IF(OR(M917="positive",M917="equivocal"),"c","d"))))</x:f>
        <x:v>d</x:v>
      </x:c>
      <x:c r="AB917" s="12" t="str">
        <x:f>IF(OR(M917="unavailable",O917="unavailable"),"不可评价",IF(AND(M917="positive",O917="positive"),"a",IF(O917="positive","b",IF(M917="positive","c","d"))))</x:f>
        <x:v>d</x:v>
      </x:c>
      <x:c r="AC917" s="12" t="str">
        <x:f>IF(OR(R917="unavailable",T917="unavailable"),"不可评价",IF(AND(OR(R917="positive",R917="equivocal"),OR(T917="positive",T917="equivocal")),"a",IF(OR(T917="positive",T917="equivocal"),"b",IF(OR(R917="positive",R917="equivocal"),"c","d"))))</x:f>
        <x:v>d</x:v>
      </x:c>
      <x:c r="AD917" s="12" t="str">
        <x:f>IF(OR(R917="unavailable",T917="unavailable"),"不可评价",IF(AND(R917="positive",T917="positive"),"a",IF(T917="positive","b",IF(R917="positive","c","d"))))</x:f>
        <x:v>d</x:v>
      </x:c>
      <x:c r="AE917" s="12" t="str">
        <x:f>IF(OR(W917="unavailable",Y917="unavailable"),"不可评价",IF(AND(OR(W917="positive",W917="equivocal"),OR(Y917="positive",Y917="equivocal")),"a",IF(OR(Y917="positive",Y917="equivocal"),"b",IF(OR(W917="positive",W917="equivocal"),"c","d"))))</x:f>
        <x:v>d</x:v>
      </x:c>
      <x:c r="AF917" s="12" t="str">
        <x:f>IF(OR(W917="unavailable",Y917="unavailable"),"不可评价",IF(AND(W917="positive",Y917="positive"),"a",IF(Y917="positive","b",IF(W917="positive","c","d"))))</x:f>
        <x:v>d</x:v>
      </x:c>
    </x:row>
    <x:row r="918" ht="24" customHeight="1">
      <x:c r="A918" s="12" t="str">
        <x:v>8041</x:v>
      </x:c>
      <x:c r="B918" s="12" t="str">
        <x:v>3434</x:v>
      </x:c>
      <x:c r="C918" s="21" t="n">
        <x:v>33723.32898148148</x:v>
      </x:c>
      <x:c r="D918" s="12" t="n">
        <x:v>89</x:v>
      </x:c>
      <x:c r="E918" s="12" t="n">
        <x:v>0</x:v>
      </x:c>
      <x:c r="F918" s="12" t="str">
        <x:v>未记录</x:v>
      </x:c>
      <x:c r="G918" s="12" t="n">
        <x:v>1</x:v>
      </x:c>
      <x:c r="H918" s="12" t="str">
        <x:v>{'ASMI': 50.0, 'CRBBB': 100.0, 'AFIB': 0.0}</x:v>
      </x:c>
      <x:c r="I918" s="12" t="str">
        <x:v>[('SRTH', 100.0), ('MBZI', 100.0), ('RBBB', 100.0), ('AB', 100.0)]</x:v>
      </x:c>
      <x:c r="J918" s="12" t="str">
        <x:v>ptbxl_database.csv；ecg_id=8041；scp_codes</x:v>
      </x:c>
      <x:c r="K918" s="12" t="str">
        <x:v>12sl_statements.csv；ecg_id=8041；statements_ext_snomed</x:v>
      </x:c>
      <x:c r="L918" s="12" t="n">
        <x:v>0</x:v>
      </x:c>
      <x:c r="M918" s="12" t="str">
        <x:v>positive</x:v>
      </x:c>
      <x:c r="N918" s="12"/>
      <x:c r="O918" s="12" t="str">
        <x:v>negative</x:v>
      </x:c>
      <x:c r="P918" s="12" t="str">
        <x:f>IF(OR(M918="unavailable",O918="unavailable"),"不可评价",IF(OR(M918="equivocal",O918="equivocal"),"疑似",IF(AND(M918="positive",O918="positive"),"a",IF(O918="positive","b",IF(M918="positive","c","d")))))</x:f>
        <x:v>c</x:v>
      </x:c>
      <x:c r="Q918" s="12"/>
      <x:c r="R918" s="12" t="str">
        <x:v>negative</x:v>
      </x:c>
      <x:c r="S918" s="12"/>
      <x:c r="T918" s="12" t="str">
        <x:v>negative</x:v>
      </x:c>
      <x:c r="U918" s="12" t="str">
        <x:f>IF(OR(R918="unavailable",T918="unavailable"),"不可评价",IF(OR(R918="equivocal",T918="equivocal"),"疑似",IF(AND(R918="positive",T918="positive"),"a",IF(T918="positive","b",IF(R918="positive","c","d")))))</x:f>
        <x:v>d</x:v>
      </x:c>
      <x:c r="V918" s="12" t="n">
        <x:v>100</x:v>
      </x:c>
      <x:c r="W918" s="12" t="str">
        <x:v>positive</x:v>
      </x:c>
      <x:c r="X918" s="12" t="n">
        <x:v>100</x:v>
      </x:c>
      <x:c r="Y918" s="12" t="str">
        <x:v>positive</x:v>
      </x:c>
      <x:c r="Z918" s="12" t="str">
        <x:f>IF(OR(W918="unavailable",Y918="unavailable"),"不可评价",IF(OR(W918="equivocal",Y918="equivocal"),"疑似",IF(AND(W918="positive",Y918="positive"),"a",IF(Y918="positive","b",IF(W918="positive","c","d")))))</x:f>
        <x:v>a</x:v>
      </x:c>
      <x:c r="AA918" s="12" t="str">
        <x:f>IF(OR(M918="unavailable",O918="unavailable"),"不可评价",IF(AND(OR(M918="positive",M918="equivocal"),OR(O918="positive",O918="equivocal")),"a",IF(OR(O918="positive",O918="equivocal"),"b",IF(OR(M918="positive",M918="equivocal"),"c","d"))))</x:f>
        <x:v>c</x:v>
      </x:c>
      <x:c r="AB918" s="12" t="str">
        <x:f>IF(OR(M918="unavailable",O918="unavailable"),"不可评价",IF(AND(M918="positive",O918="positive"),"a",IF(O918="positive","b",IF(M918="positive","c","d"))))</x:f>
        <x:v>c</x:v>
      </x:c>
      <x:c r="AC918" s="12" t="str">
        <x:f>IF(OR(R918="unavailable",T918="unavailable"),"不可评价",IF(AND(OR(R918="positive",R918="equivocal"),OR(T918="positive",T918="equivocal")),"a",IF(OR(T918="positive",T918="equivocal"),"b",IF(OR(R918="positive",R918="equivocal"),"c","d"))))</x:f>
        <x:v>d</x:v>
      </x:c>
      <x:c r="AD918" s="12" t="str">
        <x:f>IF(OR(R918="unavailable",T918="unavailable"),"不可评价",IF(AND(R918="positive",T918="positive"),"a",IF(T918="positive","b",IF(R918="positive","c","d"))))</x:f>
        <x:v>d</x:v>
      </x:c>
      <x:c r="AE918" s="12" t="str">
        <x:f>IF(OR(W918="unavailable",Y918="unavailable"),"不可评价",IF(AND(OR(W918="positive",W918="equivocal"),OR(Y918="positive",Y918="equivocal")),"a",IF(OR(Y918="positive",Y918="equivocal"),"b",IF(OR(W918="positive",W918="equivocal"),"c","d"))))</x:f>
        <x:v>a</x:v>
      </x:c>
      <x:c r="AF918" s="12" t="str">
        <x:f>IF(OR(W918="unavailable",Y918="unavailable"),"不可评价",IF(AND(W918="positive",Y918="positive"),"a",IF(Y918="positive","b",IF(W918="positive","c","d"))))</x:f>
        <x:v>a</x:v>
      </x:c>
    </x:row>
    <x:row r="919" ht="39" customHeight="1">
      <x:c r="A919" s="12" t="str">
        <x:v>8062</x:v>
      </x:c>
      <x:c r="B919" s="12" t="str">
        <x:v>5276</x:v>
      </x:c>
      <x:c r="C919" s="21" t="n">
        <x:v>33724.65415509259</x:v>
      </x:c>
      <x:c r="D919" s="12" t="n">
        <x:v>68</x:v>
      </x:c>
      <x:c r="E919" s="12" t="n">
        <x:v>0</x:v>
      </x:c>
      <x:c r="F919" s="12" t="str">
        <x:v>存在</x:v>
      </x:c>
      <x:c r="G919" s="12" t="n">
        <x:v>1</x:v>
      </x:c>
      <x:c r="H919" s="12" t="str">
        <x:v>{'IRBBB': 100.0, 'ISC_': 100.0, 'LVH': 100.0, 'PAC': 0.0, 'VCLVH': 0.0, 'PVC': 0.0, 'SR': 0.0}</x:v>
      </x:c>
      <x:c r="I919" s="12" t="str">
        <x:v>[('SRTH', 100.0), ('PVC', 100.0), ('LAD3', 100.0), ('LVH2', 100.0), ('QRSW-2ST', 100.0), ('IMI;AU', 15.0), ('AB', 100.0)]</x:v>
      </x:c>
      <x:c r="J919" s="12" t="str">
        <x:v>ptbxl_database.csv；ecg_id=8062；scp_codes</x:v>
      </x:c>
      <x:c r="K919" s="12" t="str">
        <x:v>12sl_statements.csv；ecg_id=8062；statements_ext_snomed</x:v>
      </x:c>
      <x:c r="L919" s="12"/>
      <x:c r="M919" s="12" t="str">
        <x:v>negative</x:v>
      </x:c>
      <x:c r="N919" s="12"/>
      <x:c r="O919" s="12" t="str">
        <x:v>negative</x:v>
      </x:c>
      <x:c r="P919" s="12" t="str">
        <x:f>IF(OR(M919="unavailable",O919="unavailable"),"不可评价",IF(OR(M919="equivocal",O919="equivocal"),"疑似",IF(AND(M919="positive",O919="positive"),"a",IF(O919="positive","b",IF(M919="positive","c","d")))))</x:f>
        <x:v>d</x:v>
      </x:c>
      <x:c r="Q919" s="12"/>
      <x:c r="R919" s="12" t="str">
        <x:v>negative</x:v>
      </x:c>
      <x:c r="S919" s="12"/>
      <x:c r="T919" s="12" t="str">
        <x:v>negative</x:v>
      </x:c>
      <x:c r="U919" s="12" t="str">
        <x:f>IF(OR(R919="unavailable",T919="unavailable"),"不可评价",IF(OR(R919="equivocal",T919="equivocal"),"疑似",IF(AND(R919="positive",T919="positive"),"a",IF(T919="positive","b",IF(R919="positive","c","d")))))</x:f>
        <x:v>d</x:v>
      </x:c>
      <x:c r="V919" s="12"/>
      <x:c r="W919" s="12" t="str">
        <x:v>negative</x:v>
      </x:c>
      <x:c r="X919" s="12"/>
      <x:c r="Y919" s="12" t="str">
        <x:v>negative</x:v>
      </x:c>
      <x:c r="Z919" s="12" t="str">
        <x:f>IF(OR(W919="unavailable",Y919="unavailable"),"不可评价",IF(OR(W919="equivocal",Y919="equivocal"),"疑似",IF(AND(W919="positive",Y919="positive"),"a",IF(Y919="positive","b",IF(W919="positive","c","d")))))</x:f>
        <x:v>d</x:v>
      </x:c>
      <x:c r="AA919" s="12" t="str">
        <x:f>IF(OR(M919="unavailable",O919="unavailable"),"不可评价",IF(AND(OR(M919="positive",M919="equivocal"),OR(O919="positive",O919="equivocal")),"a",IF(OR(O919="positive",O919="equivocal"),"b",IF(OR(M919="positive",M919="equivocal"),"c","d"))))</x:f>
        <x:v>d</x:v>
      </x:c>
      <x:c r="AB919" s="12" t="str">
        <x:f>IF(OR(M919="unavailable",O919="unavailable"),"不可评价",IF(AND(M919="positive",O919="positive"),"a",IF(O919="positive","b",IF(M919="positive","c","d"))))</x:f>
        <x:v>d</x:v>
      </x:c>
      <x:c r="AC919" s="12" t="str">
        <x:f>IF(OR(R919="unavailable",T919="unavailable"),"不可评价",IF(AND(OR(R919="positive",R919="equivocal"),OR(T919="positive",T919="equivocal")),"a",IF(OR(T919="positive",T919="equivocal"),"b",IF(OR(R919="positive",R919="equivocal"),"c","d"))))</x:f>
        <x:v>d</x:v>
      </x:c>
      <x:c r="AD919" s="12" t="str">
        <x:f>IF(OR(R919="unavailable",T919="unavailable"),"不可评价",IF(AND(R919="positive",T919="positive"),"a",IF(T919="positive","b",IF(R919="positive","c","d"))))</x:f>
        <x:v>d</x:v>
      </x:c>
      <x:c r="AE919" s="12" t="str">
        <x:f>IF(OR(W919="unavailable",Y919="unavailable"),"不可评价",IF(AND(OR(W919="positive",W919="equivocal"),OR(Y919="positive",Y919="equivocal")),"a",IF(OR(Y919="positive",Y919="equivocal"),"b",IF(OR(W919="positive",W919="equivocal"),"c","d"))))</x:f>
        <x:v>d</x:v>
      </x:c>
      <x:c r="AF919" s="12" t="str">
        <x:f>IF(OR(W919="unavailable",Y919="unavailable"),"不可评价",IF(AND(W919="positive",Y919="positive"),"a",IF(Y919="positive","b",IF(W919="positive","c","d"))))</x:f>
        <x:v>d</x:v>
      </x:c>
    </x:row>
    <x:row r="920" ht="24" customHeight="1">
      <x:c r="A920" s="12" t="str">
        <x:v>8065</x:v>
      </x:c>
      <x:c r="B920" s="12" t="str">
        <x:v>7761</x:v>
      </x:c>
      <x:c r="C920" s="21" t="n">
        <x:v>33724.79497685185</x:v>
      </x:c>
      <x:c r="D920" s="12" t="n">
        <x:v>63</x:v>
      </x:c>
      <x:c r="E920" s="12" t="n">
        <x:v>1</x:v>
      </x:c>
      <x:c r="F920" s="12" t="str">
        <x:v>未记录</x:v>
      </x:c>
      <x:c r="G920" s="12" t="n">
        <x:v>1</x:v>
      </x:c>
      <x:c r="H920" s="12" t="str">
        <x:v>{'LAFB': 100.0, 'SR': 0.0}</x:v>
      </x:c>
      <x:c r="I920" s="12" t="str">
        <x:v>[('NSR', 100.0), ('NML', 100.0)]</x:v>
      </x:c>
      <x:c r="J920" s="12" t="str">
        <x:v>ptbxl_database.csv；ecg_id=8065；scp_codes</x:v>
      </x:c>
      <x:c r="K920" s="12" t="str">
        <x:v>12sl_statements.csv；ecg_id=8065；statements_ext_snomed</x:v>
      </x:c>
      <x:c r="L920" s="12"/>
      <x:c r="M920" s="12" t="str">
        <x:v>negative</x:v>
      </x:c>
      <x:c r="N920" s="12"/>
      <x:c r="O920" s="12" t="str">
        <x:v>negative</x:v>
      </x:c>
      <x:c r="P920" s="12" t="str">
        <x:f>IF(OR(M920="unavailable",O920="unavailable"),"不可评价",IF(OR(M920="equivocal",O920="equivocal"),"疑似",IF(AND(M920="positive",O920="positive"),"a",IF(O920="positive","b",IF(M920="positive","c","d")))))</x:f>
        <x:v>d</x:v>
      </x:c>
      <x:c r="Q920" s="12"/>
      <x:c r="R920" s="12" t="str">
        <x:v>negative</x:v>
      </x:c>
      <x:c r="S920" s="12"/>
      <x:c r="T920" s="12" t="str">
        <x:v>negative</x:v>
      </x:c>
      <x:c r="U920" s="12" t="str">
        <x:f>IF(OR(R920="unavailable",T920="unavailable"),"不可评价",IF(OR(R920="equivocal",T920="equivocal"),"疑似",IF(AND(R920="positive",T920="positive"),"a",IF(T920="positive","b",IF(R920="positive","c","d")))))</x:f>
        <x:v>d</x:v>
      </x:c>
      <x:c r="V920" s="12"/>
      <x:c r="W920" s="12" t="str">
        <x:v>negative</x:v>
      </x:c>
      <x:c r="X920" s="12"/>
      <x:c r="Y920" s="12" t="str">
        <x:v>negative</x:v>
      </x:c>
      <x:c r="Z920" s="12" t="str">
        <x:f>IF(OR(W920="unavailable",Y920="unavailable"),"不可评价",IF(OR(W920="equivocal",Y920="equivocal"),"疑似",IF(AND(W920="positive",Y920="positive"),"a",IF(Y920="positive","b",IF(W920="positive","c","d")))))</x:f>
        <x:v>d</x:v>
      </x:c>
      <x:c r="AA920" s="12" t="str">
        <x:f>IF(OR(M920="unavailable",O920="unavailable"),"不可评价",IF(AND(OR(M920="positive",M920="equivocal"),OR(O920="positive",O920="equivocal")),"a",IF(OR(O920="positive",O920="equivocal"),"b",IF(OR(M920="positive",M920="equivocal"),"c","d"))))</x:f>
        <x:v>d</x:v>
      </x:c>
      <x:c r="AB920" s="12" t="str">
        <x:f>IF(OR(M920="unavailable",O920="unavailable"),"不可评价",IF(AND(M920="positive",O920="positive"),"a",IF(O920="positive","b",IF(M920="positive","c","d"))))</x:f>
        <x:v>d</x:v>
      </x:c>
      <x:c r="AC920" s="12" t="str">
        <x:f>IF(OR(R920="unavailable",T920="unavailable"),"不可评价",IF(AND(OR(R920="positive",R920="equivocal"),OR(T920="positive",T920="equivocal")),"a",IF(OR(T920="positive",T920="equivocal"),"b",IF(OR(R920="positive",R920="equivocal"),"c","d"))))</x:f>
        <x:v>d</x:v>
      </x:c>
      <x:c r="AD920" s="12" t="str">
        <x:f>IF(OR(R920="unavailable",T920="unavailable"),"不可评价",IF(AND(R920="positive",T920="positive"),"a",IF(T920="positive","b",IF(R920="positive","c","d"))))</x:f>
        <x:v>d</x:v>
      </x:c>
      <x:c r="AE920" s="12" t="str">
        <x:f>IF(OR(W920="unavailable",Y920="unavailable"),"不可评价",IF(AND(OR(W920="positive",W920="equivocal"),OR(Y920="positive",Y920="equivocal")),"a",IF(OR(Y920="positive",Y920="equivocal"),"b",IF(OR(W920="positive",W920="equivocal"),"c","d"))))</x:f>
        <x:v>d</x:v>
      </x:c>
      <x:c r="AF920" s="12" t="str">
        <x:f>IF(OR(W920="unavailable",Y920="unavailable"),"不可评价",IF(AND(W920="positive",Y920="positive"),"a",IF(Y920="positive","b",IF(W920="positive","c","d"))))</x:f>
        <x:v>d</x:v>
      </x:c>
    </x:row>
    <x:row r="921" ht="24" customHeight="1">
      <x:c r="A921" s="12" t="str">
        <x:v>8076</x:v>
      </x:c>
      <x:c r="B921" s="12" t="str">
        <x:v>3451</x:v>
      </x:c>
      <x:c r="C921" s="21" t="n">
        <x:v>33728.28895833333</x:v>
      </x:c>
      <x:c r="D921" s="12" t="n">
        <x:v>40</x:v>
      </x:c>
      <x:c r="E921" s="12" t="n">
        <x:v>1</x:v>
      </x:c>
      <x:c r="F921" s="12" t="str">
        <x:v>未记录</x:v>
      </x:c>
      <x:c r="G921" s="12" t="n">
        <x:v>1</x:v>
      </x:c>
      <x:c r="H921" s="12" t="str">
        <x:v>{'NORM': 100.0, 'SR': 0.0}</x:v>
      </x:c>
      <x:c r="I921" s="12" t="str">
        <x:v>[('SBRAD', 100.0), ('ABR', 100.0)]</x:v>
      </x:c>
      <x:c r="J921" s="12" t="str">
        <x:v>ptbxl_database.csv；ecg_id=8076；scp_codes</x:v>
      </x:c>
      <x:c r="K921" s="12" t="str">
        <x:v>12sl_statements.csv；ecg_id=8076；statements_ext_snomed</x:v>
      </x:c>
      <x:c r="L921" s="12"/>
      <x:c r="M921" s="12" t="str">
        <x:v>negative</x:v>
      </x:c>
      <x:c r="N921" s="12"/>
      <x:c r="O921" s="12" t="str">
        <x:v>negative</x:v>
      </x:c>
      <x:c r="P921" s="12" t="str">
        <x:f>IF(OR(M921="unavailable",O921="unavailable"),"不可评价",IF(OR(M921="equivocal",O921="equivocal"),"疑似",IF(AND(M921="positive",O921="positive"),"a",IF(O921="positive","b",IF(M921="positive","c","d")))))</x:f>
        <x:v>d</x:v>
      </x:c>
      <x:c r="Q921" s="12"/>
      <x:c r="R921" s="12" t="str">
        <x:v>negative</x:v>
      </x:c>
      <x:c r="S921" s="12"/>
      <x:c r="T921" s="12" t="str">
        <x:v>negative</x:v>
      </x:c>
      <x:c r="U921" s="12" t="str">
        <x:f>IF(OR(R921="unavailable",T921="unavailable"),"不可评价",IF(OR(R921="equivocal",T921="equivocal"),"疑似",IF(AND(R921="positive",T921="positive"),"a",IF(T921="positive","b",IF(R921="positive","c","d")))))</x:f>
        <x:v>d</x:v>
      </x:c>
      <x:c r="V921" s="12"/>
      <x:c r="W921" s="12" t="str">
        <x:v>negative</x:v>
      </x:c>
      <x:c r="X921" s="12"/>
      <x:c r="Y921" s="12" t="str">
        <x:v>negative</x:v>
      </x:c>
      <x:c r="Z921" s="12" t="str">
        <x:f>IF(OR(W921="unavailable",Y921="unavailable"),"不可评价",IF(OR(W921="equivocal",Y921="equivocal"),"疑似",IF(AND(W921="positive",Y921="positive"),"a",IF(Y921="positive","b",IF(W921="positive","c","d")))))</x:f>
        <x:v>d</x:v>
      </x:c>
      <x:c r="AA921" s="12" t="str">
        <x:f>IF(OR(M921="unavailable",O921="unavailable"),"不可评价",IF(AND(OR(M921="positive",M921="equivocal"),OR(O921="positive",O921="equivocal")),"a",IF(OR(O921="positive",O921="equivocal"),"b",IF(OR(M921="positive",M921="equivocal"),"c","d"))))</x:f>
        <x:v>d</x:v>
      </x:c>
      <x:c r="AB921" s="12" t="str">
        <x:f>IF(OR(M921="unavailable",O921="unavailable"),"不可评价",IF(AND(M921="positive",O921="positive"),"a",IF(O921="positive","b",IF(M921="positive","c","d"))))</x:f>
        <x:v>d</x:v>
      </x:c>
      <x:c r="AC921" s="12" t="str">
        <x:f>IF(OR(R921="unavailable",T921="unavailable"),"不可评价",IF(AND(OR(R921="positive",R921="equivocal"),OR(T921="positive",T921="equivocal")),"a",IF(OR(T921="positive",T921="equivocal"),"b",IF(OR(R921="positive",R921="equivocal"),"c","d"))))</x:f>
        <x:v>d</x:v>
      </x:c>
      <x:c r="AD921" s="12" t="str">
        <x:f>IF(OR(R921="unavailable",T921="unavailable"),"不可评价",IF(AND(R921="positive",T921="positive"),"a",IF(T921="positive","b",IF(R921="positive","c","d"))))</x:f>
        <x:v>d</x:v>
      </x:c>
      <x:c r="AE921" s="12" t="str">
        <x:f>IF(OR(W921="unavailable",Y921="unavailable"),"不可评价",IF(AND(OR(W921="positive",W921="equivocal"),OR(Y921="positive",Y921="equivocal")),"a",IF(OR(Y921="positive",Y921="equivocal"),"b",IF(OR(W921="positive",W921="equivocal"),"c","d"))))</x:f>
        <x:v>d</x:v>
      </x:c>
      <x:c r="AF921" s="12" t="str">
        <x:f>IF(OR(W921="unavailable",Y921="unavailable"),"不可评价",IF(AND(W921="positive",Y921="positive"),"a",IF(Y921="positive","b",IF(W921="positive","c","d"))))</x:f>
        <x:v>d</x:v>
      </x:c>
    </x:row>
    <x:row r="922" ht="24" customHeight="1">
      <x:c r="A922" s="12" t="str">
        <x:v>8083</x:v>
      </x:c>
      <x:c r="B922" s="12" t="str">
        <x:v>20880</x:v>
      </x:c>
      <x:c r="C922" s="21" t="n">
        <x:v>33728.477222222224</x:v>
      </x:c>
      <x:c r="D922" s="12" t="n">
        <x:v>54</x:v>
      </x:c>
      <x:c r="E922" s="12" t="n">
        <x:v>1</x:v>
      </x:c>
      <x:c r="F922" s="12" t="str">
        <x:v>存在</x:v>
      </x:c>
      <x:c r="G922" s="12" t="n">
        <x:v>1</x:v>
      </x:c>
      <x:c r="H922" s="12" t="str">
        <x:v>{'LVH': 35.0, 'VCLVH': 0.0, 'SR': 0.0}</x:v>
      </x:c>
      <x:c r="I922" s="12" t="str">
        <x:v>[('SBRAD', 100.0), ('ABR', 100.0)]</x:v>
      </x:c>
      <x:c r="J922" s="12" t="str">
        <x:v>ptbxl_database.csv；ecg_id=8083；scp_codes</x:v>
      </x:c>
      <x:c r="K922" s="12" t="str">
        <x:v>12sl_statements.csv；ecg_id=8083；statements_ext_snomed</x:v>
      </x:c>
      <x:c r="L922" s="12"/>
      <x:c r="M922" s="12" t="str">
        <x:v>negative</x:v>
      </x:c>
      <x:c r="N922" s="12"/>
      <x:c r="O922" s="12" t="str">
        <x:v>negative</x:v>
      </x:c>
      <x:c r="P922" s="12" t="str">
        <x:f>IF(OR(M922="unavailable",O922="unavailable"),"不可评价",IF(OR(M922="equivocal",O922="equivocal"),"疑似",IF(AND(M922="positive",O922="positive"),"a",IF(O922="positive","b",IF(M922="positive","c","d")))))</x:f>
        <x:v>d</x:v>
      </x:c>
      <x:c r="Q922" s="12"/>
      <x:c r="R922" s="12" t="str">
        <x:v>negative</x:v>
      </x:c>
      <x:c r="S922" s="12"/>
      <x:c r="T922" s="12" t="str">
        <x:v>negative</x:v>
      </x:c>
      <x:c r="U922" s="12" t="str">
        <x:f>IF(OR(R922="unavailable",T922="unavailable"),"不可评价",IF(OR(R922="equivocal",T922="equivocal"),"疑似",IF(AND(R922="positive",T922="positive"),"a",IF(T922="positive","b",IF(R922="positive","c","d")))))</x:f>
        <x:v>d</x:v>
      </x:c>
      <x:c r="V922" s="12"/>
      <x:c r="W922" s="12" t="str">
        <x:v>negative</x:v>
      </x:c>
      <x:c r="X922" s="12"/>
      <x:c r="Y922" s="12" t="str">
        <x:v>negative</x:v>
      </x:c>
      <x:c r="Z922" s="12" t="str">
        <x:f>IF(OR(W922="unavailable",Y922="unavailable"),"不可评价",IF(OR(W922="equivocal",Y922="equivocal"),"疑似",IF(AND(W922="positive",Y922="positive"),"a",IF(Y922="positive","b",IF(W922="positive","c","d")))))</x:f>
        <x:v>d</x:v>
      </x:c>
      <x:c r="AA922" s="12" t="str">
        <x:f>IF(OR(M922="unavailable",O922="unavailable"),"不可评价",IF(AND(OR(M922="positive",M922="equivocal"),OR(O922="positive",O922="equivocal")),"a",IF(OR(O922="positive",O922="equivocal"),"b",IF(OR(M922="positive",M922="equivocal"),"c","d"))))</x:f>
        <x:v>d</x:v>
      </x:c>
      <x:c r="AB922" s="12" t="str">
        <x:f>IF(OR(M922="unavailable",O922="unavailable"),"不可评价",IF(AND(M922="positive",O922="positive"),"a",IF(O922="positive","b",IF(M922="positive","c","d"))))</x:f>
        <x:v>d</x:v>
      </x:c>
      <x:c r="AC922" s="12" t="str">
        <x:f>IF(OR(R922="unavailable",T922="unavailable"),"不可评价",IF(AND(OR(R922="positive",R922="equivocal"),OR(T922="positive",T922="equivocal")),"a",IF(OR(T922="positive",T922="equivocal"),"b",IF(OR(R922="positive",R922="equivocal"),"c","d"))))</x:f>
        <x:v>d</x:v>
      </x:c>
      <x:c r="AD922" s="12" t="str">
        <x:f>IF(OR(R922="unavailable",T922="unavailable"),"不可评价",IF(AND(R922="positive",T922="positive"),"a",IF(T922="positive","b",IF(R922="positive","c","d"))))</x:f>
        <x:v>d</x:v>
      </x:c>
      <x:c r="AE922" s="12" t="str">
        <x:f>IF(OR(W922="unavailable",Y922="unavailable"),"不可评价",IF(AND(OR(W922="positive",W922="equivocal"),OR(Y922="positive",Y922="equivocal")),"a",IF(OR(Y922="positive",Y922="equivocal"),"b",IF(OR(W922="positive",W922="equivocal"),"c","d"))))</x:f>
        <x:v>d</x:v>
      </x:c>
      <x:c r="AF922" s="12" t="str">
        <x:f>IF(OR(W922="unavailable",Y922="unavailable"),"不可评价",IF(AND(W922="positive",Y922="positive"),"a",IF(Y922="positive","b",IF(W922="positive","c","d"))))</x:f>
        <x:v>d</x:v>
      </x:c>
    </x:row>
    <x:row r="923" ht="24" customHeight="1">
      <x:c r="A923" s="12" t="str">
        <x:v>8114</x:v>
      </x:c>
      <x:c r="B923" s="12" t="str">
        <x:v>6191</x:v>
      </x:c>
      <x:c r="C923" s="21" t="n">
        <x:v>33730.465162037035</x:v>
      </x:c>
      <x:c r="D923" s="12" t="n">
        <x:v>56</x:v>
      </x:c>
      <x:c r="E923" s="12" t="n">
        <x:v>1</x:v>
      </x:c>
      <x:c r="F923" s="12" t="str">
        <x:v>未记录</x:v>
      </x:c>
      <x:c r="G923" s="12" t="n">
        <x:v>1</x:v>
      </x:c>
      <x:c r="H923" s="12" t="str">
        <x:v>{'NDT': 100.0, 'NT_': 0.0, 'SR': 0.0}</x:v>
      </x:c>
      <x:c r="I923" s="12" t="str">
        <x:v>[('NSR', 100.0), ('NT', 100.0), ('AB', 100.0)]</x:v>
      </x:c>
      <x:c r="J923" s="12" t="str">
        <x:v>ptbxl_database.csv；ecg_id=8114；scp_codes</x:v>
      </x:c>
      <x:c r="K923" s="12" t="str">
        <x:v>12sl_statements.csv；ecg_id=8114；statements_ext_snomed</x:v>
      </x:c>
      <x:c r="L923" s="12"/>
      <x:c r="M923" s="12" t="str">
        <x:v>negative</x:v>
      </x:c>
      <x:c r="N923" s="12"/>
      <x:c r="O923" s="12" t="str">
        <x:v>negative</x:v>
      </x:c>
      <x:c r="P923" s="12" t="str">
        <x:f>IF(OR(M923="unavailable",O923="unavailable"),"不可评价",IF(OR(M923="equivocal",O923="equivocal"),"疑似",IF(AND(M923="positive",O923="positive"),"a",IF(O923="positive","b",IF(M923="positive","c","d")))))</x:f>
        <x:v>d</x:v>
      </x:c>
      <x:c r="Q923" s="12"/>
      <x:c r="R923" s="12" t="str">
        <x:v>negative</x:v>
      </x:c>
      <x:c r="S923" s="12"/>
      <x:c r="T923" s="12" t="str">
        <x:v>negative</x:v>
      </x:c>
      <x:c r="U923" s="12" t="str">
        <x:f>IF(OR(R923="unavailable",T923="unavailable"),"不可评价",IF(OR(R923="equivocal",T923="equivocal"),"疑似",IF(AND(R923="positive",T923="positive"),"a",IF(T923="positive","b",IF(R923="positive","c","d")))))</x:f>
        <x:v>d</x:v>
      </x:c>
      <x:c r="V923" s="12"/>
      <x:c r="W923" s="12" t="str">
        <x:v>negative</x:v>
      </x:c>
      <x:c r="X923" s="12"/>
      <x:c r="Y923" s="12" t="str">
        <x:v>negative</x:v>
      </x:c>
      <x:c r="Z923" s="12" t="str">
        <x:f>IF(OR(W923="unavailable",Y923="unavailable"),"不可评价",IF(OR(W923="equivocal",Y923="equivocal"),"疑似",IF(AND(W923="positive",Y923="positive"),"a",IF(Y923="positive","b",IF(W923="positive","c","d")))))</x:f>
        <x:v>d</x:v>
      </x:c>
      <x:c r="AA923" s="12" t="str">
        <x:f>IF(OR(M923="unavailable",O923="unavailable"),"不可评价",IF(AND(OR(M923="positive",M923="equivocal"),OR(O923="positive",O923="equivocal")),"a",IF(OR(O923="positive",O923="equivocal"),"b",IF(OR(M923="positive",M923="equivocal"),"c","d"))))</x:f>
        <x:v>d</x:v>
      </x:c>
      <x:c r="AB923" s="12" t="str">
        <x:f>IF(OR(M923="unavailable",O923="unavailable"),"不可评价",IF(AND(M923="positive",O923="positive"),"a",IF(O923="positive","b",IF(M923="positive","c","d"))))</x:f>
        <x:v>d</x:v>
      </x:c>
      <x:c r="AC923" s="12" t="str">
        <x:f>IF(OR(R923="unavailable",T923="unavailable"),"不可评价",IF(AND(OR(R923="positive",R923="equivocal"),OR(T923="positive",T923="equivocal")),"a",IF(OR(T923="positive",T923="equivocal"),"b",IF(OR(R923="positive",R923="equivocal"),"c","d"))))</x:f>
        <x:v>d</x:v>
      </x:c>
      <x:c r="AD923" s="12" t="str">
        <x:f>IF(OR(R923="unavailable",T923="unavailable"),"不可评价",IF(AND(R923="positive",T923="positive"),"a",IF(T923="positive","b",IF(R923="positive","c","d"))))</x:f>
        <x:v>d</x:v>
      </x:c>
      <x:c r="AE923" s="12" t="str">
        <x:f>IF(OR(W923="unavailable",Y923="unavailable"),"不可评价",IF(AND(OR(W923="positive",W923="equivocal"),OR(Y923="positive",Y923="equivocal")),"a",IF(OR(Y923="positive",Y923="equivocal"),"b",IF(OR(W923="positive",W923="equivocal"),"c","d"))))</x:f>
        <x:v>d</x:v>
      </x:c>
      <x:c r="AF923" s="12" t="str">
        <x:f>IF(OR(W923="unavailable",Y923="unavailable"),"不可评价",IF(AND(W923="positive",Y923="positive"),"a",IF(Y923="positive","b",IF(W923="positive","c","d"))))</x:f>
        <x:v>d</x:v>
      </x:c>
    </x:row>
    <x:row r="924" ht="24" customHeight="1">
      <x:c r="A924" s="12" t="str">
        <x:v>8116</x:v>
      </x:c>
      <x:c r="B924" s="12" t="str">
        <x:v>3446</x:v>
      </x:c>
      <x:c r="C924" s="21" t="n">
        <x:v>33730.504328703704</x:v>
      </x:c>
      <x:c r="D924" s="12" t="n">
        <x:v>52</x:v>
      </x:c>
      <x:c r="E924" s="12" t="n">
        <x:v>0</x:v>
      </x:c>
      <x:c r="F924" s="12" t="str">
        <x:v>未记录</x:v>
      </x:c>
      <x:c r="G924" s="12" t="n">
        <x:v>1</x:v>
      </x:c>
      <x:c r="H924" s="12" t="str">
        <x:v>{'NORM': 100.0, 'SR': 0.0}</x:v>
      </x:c>
      <x:c r="I924" s="12" t="str">
        <x:v>[('NSR', 100.0), ('NML', 100.0)]</x:v>
      </x:c>
      <x:c r="J924" s="12" t="str">
        <x:v>ptbxl_database.csv；ecg_id=8116；scp_codes</x:v>
      </x:c>
      <x:c r="K924" s="12" t="str">
        <x:v>12sl_statements.csv；ecg_id=8116；statements_ext_snomed</x:v>
      </x:c>
      <x:c r="L924" s="12"/>
      <x:c r="M924" s="12" t="str">
        <x:v>negative</x:v>
      </x:c>
      <x:c r="N924" s="12"/>
      <x:c r="O924" s="12" t="str">
        <x:v>negative</x:v>
      </x:c>
      <x:c r="P924" s="12" t="str">
        <x:f>IF(OR(M924="unavailable",O924="unavailable"),"不可评价",IF(OR(M924="equivocal",O924="equivocal"),"疑似",IF(AND(M924="positive",O924="positive"),"a",IF(O924="positive","b",IF(M924="positive","c","d")))))</x:f>
        <x:v>d</x:v>
      </x:c>
      <x:c r="Q924" s="12"/>
      <x:c r="R924" s="12" t="str">
        <x:v>negative</x:v>
      </x:c>
      <x:c r="S924" s="12"/>
      <x:c r="T924" s="12" t="str">
        <x:v>negative</x:v>
      </x:c>
      <x:c r="U924" s="12" t="str">
        <x:f>IF(OR(R924="unavailable",T924="unavailable"),"不可评价",IF(OR(R924="equivocal",T924="equivocal"),"疑似",IF(AND(R924="positive",T924="positive"),"a",IF(T924="positive","b",IF(R924="positive","c","d")))))</x:f>
        <x:v>d</x:v>
      </x:c>
      <x:c r="V924" s="12"/>
      <x:c r="W924" s="12" t="str">
        <x:v>negative</x:v>
      </x:c>
      <x:c r="X924" s="12"/>
      <x:c r="Y924" s="12" t="str">
        <x:v>negative</x:v>
      </x:c>
      <x:c r="Z924" s="12" t="str">
        <x:f>IF(OR(W924="unavailable",Y924="unavailable"),"不可评价",IF(OR(W924="equivocal",Y924="equivocal"),"疑似",IF(AND(W924="positive",Y924="positive"),"a",IF(Y924="positive","b",IF(W924="positive","c","d")))))</x:f>
        <x:v>d</x:v>
      </x:c>
      <x:c r="AA924" s="12" t="str">
        <x:f>IF(OR(M924="unavailable",O924="unavailable"),"不可评价",IF(AND(OR(M924="positive",M924="equivocal"),OR(O924="positive",O924="equivocal")),"a",IF(OR(O924="positive",O924="equivocal"),"b",IF(OR(M924="positive",M924="equivocal"),"c","d"))))</x:f>
        <x:v>d</x:v>
      </x:c>
      <x:c r="AB924" s="12" t="str">
        <x:f>IF(OR(M924="unavailable",O924="unavailable"),"不可评价",IF(AND(M924="positive",O924="positive"),"a",IF(O924="positive","b",IF(M924="positive","c","d"))))</x:f>
        <x:v>d</x:v>
      </x:c>
      <x:c r="AC924" s="12" t="str">
        <x:f>IF(OR(R924="unavailable",T924="unavailable"),"不可评价",IF(AND(OR(R924="positive",R924="equivocal"),OR(T924="positive",T924="equivocal")),"a",IF(OR(T924="positive",T924="equivocal"),"b",IF(OR(R924="positive",R924="equivocal"),"c","d"))))</x:f>
        <x:v>d</x:v>
      </x:c>
      <x:c r="AD924" s="12" t="str">
        <x:f>IF(OR(R924="unavailable",T924="unavailable"),"不可评价",IF(AND(R924="positive",T924="positive"),"a",IF(T924="positive","b",IF(R924="positive","c","d"))))</x:f>
        <x:v>d</x:v>
      </x:c>
      <x:c r="AE924" s="12" t="str">
        <x:f>IF(OR(W924="unavailable",Y924="unavailable"),"不可评价",IF(AND(OR(W924="positive",W924="equivocal"),OR(Y924="positive",Y924="equivocal")),"a",IF(OR(Y924="positive",Y924="equivocal"),"b",IF(OR(W924="positive",W924="equivocal"),"c","d"))))</x:f>
        <x:v>d</x:v>
      </x:c>
      <x:c r="AF924" s="12" t="str">
        <x:f>IF(OR(W924="unavailable",Y924="unavailable"),"不可评价",IF(AND(W924="positive",Y924="positive"),"a",IF(Y924="positive","b",IF(W924="positive","c","d"))))</x:f>
        <x:v>d</x:v>
      </x:c>
    </x:row>
    <x:row r="925" ht="24" customHeight="1">
      <x:c r="A925" s="12" t="str">
        <x:v>8121</x:v>
      </x:c>
      <x:c r="B925" s="12" t="str">
        <x:v>2807</x:v>
      </x:c>
      <x:c r="C925" s="21" t="n">
        <x:v>33731.36609953704</x:v>
      </x:c>
      <x:c r="D925" s="12" t="n">
        <x:v>66</x:v>
      </x:c>
      <x:c r="E925" s="12" t="n">
        <x:v>0</x:v>
      </x:c>
      <x:c r="F925" s="12" t="str">
        <x:v>未记录</x:v>
      </x:c>
      <x:c r="G925" s="12" t="n">
        <x:v>1</x:v>
      </x:c>
      <x:c r="H925" s="12" t="str">
        <x:v>{'LVH': 50.0, 'VCLVH': 0.0, 'SBRAD': 0.0}</x:v>
      </x:c>
      <x:c r="I925" s="12" t="str">
        <x:v>[('MSBRAD', 100.0), ('AB', 100.0)]</x:v>
      </x:c>
      <x:c r="J925" s="12" t="str">
        <x:v>ptbxl_database.csv；ecg_id=8121；scp_codes</x:v>
      </x:c>
      <x:c r="K925" s="12" t="str">
        <x:v>12sl_statements.csv；ecg_id=8121；statements_ext_snomed</x:v>
      </x:c>
      <x:c r="L925" s="12"/>
      <x:c r="M925" s="12" t="str">
        <x:v>negative</x:v>
      </x:c>
      <x:c r="N925" s="12"/>
      <x:c r="O925" s="12" t="str">
        <x:v>negative</x:v>
      </x:c>
      <x:c r="P925" s="12" t="str">
        <x:f>IF(OR(M925="unavailable",O925="unavailable"),"不可评价",IF(OR(M925="equivocal",O925="equivocal"),"疑似",IF(AND(M925="positive",O925="positive"),"a",IF(O925="positive","b",IF(M925="positive","c","d")))))</x:f>
        <x:v>d</x:v>
      </x:c>
      <x:c r="Q925" s="12"/>
      <x:c r="R925" s="12" t="str">
        <x:v>negative</x:v>
      </x:c>
      <x:c r="S925" s="12"/>
      <x:c r="T925" s="12" t="str">
        <x:v>negative</x:v>
      </x:c>
      <x:c r="U925" s="12" t="str">
        <x:f>IF(OR(R925="unavailable",T925="unavailable"),"不可评价",IF(OR(R925="equivocal",T925="equivocal"),"疑似",IF(AND(R925="positive",T925="positive"),"a",IF(T925="positive","b",IF(R925="positive","c","d")))))</x:f>
        <x:v>d</x:v>
      </x:c>
      <x:c r="V925" s="12"/>
      <x:c r="W925" s="12" t="str">
        <x:v>negative</x:v>
      </x:c>
      <x:c r="X925" s="12"/>
      <x:c r="Y925" s="12" t="str">
        <x:v>negative</x:v>
      </x:c>
      <x:c r="Z925" s="12" t="str">
        <x:f>IF(OR(W925="unavailable",Y925="unavailable"),"不可评价",IF(OR(W925="equivocal",Y925="equivocal"),"疑似",IF(AND(W925="positive",Y925="positive"),"a",IF(Y925="positive","b",IF(W925="positive","c","d")))))</x:f>
        <x:v>d</x:v>
      </x:c>
      <x:c r="AA925" s="12" t="str">
        <x:f>IF(OR(M925="unavailable",O925="unavailable"),"不可评价",IF(AND(OR(M925="positive",M925="equivocal"),OR(O925="positive",O925="equivocal")),"a",IF(OR(O925="positive",O925="equivocal"),"b",IF(OR(M925="positive",M925="equivocal"),"c","d"))))</x:f>
        <x:v>d</x:v>
      </x:c>
      <x:c r="AB925" s="12" t="str">
        <x:f>IF(OR(M925="unavailable",O925="unavailable"),"不可评价",IF(AND(M925="positive",O925="positive"),"a",IF(O925="positive","b",IF(M925="positive","c","d"))))</x:f>
        <x:v>d</x:v>
      </x:c>
      <x:c r="AC925" s="12" t="str">
        <x:f>IF(OR(R925="unavailable",T925="unavailable"),"不可评价",IF(AND(OR(R925="positive",R925="equivocal"),OR(T925="positive",T925="equivocal")),"a",IF(OR(T925="positive",T925="equivocal"),"b",IF(OR(R925="positive",R925="equivocal"),"c","d"))))</x:f>
        <x:v>d</x:v>
      </x:c>
      <x:c r="AD925" s="12" t="str">
        <x:f>IF(OR(R925="unavailable",T925="unavailable"),"不可评价",IF(AND(R925="positive",T925="positive"),"a",IF(T925="positive","b",IF(R925="positive","c","d"))))</x:f>
        <x:v>d</x:v>
      </x:c>
      <x:c r="AE925" s="12" t="str">
        <x:f>IF(OR(W925="unavailable",Y925="unavailable"),"不可评价",IF(AND(OR(W925="positive",W925="equivocal"),OR(Y925="positive",Y925="equivocal")),"a",IF(OR(Y925="positive",Y925="equivocal"),"b",IF(OR(W925="positive",W925="equivocal"),"c","d"))))</x:f>
        <x:v>d</x:v>
      </x:c>
      <x:c r="AF925" s="12" t="str">
        <x:f>IF(OR(W925="unavailable",Y925="unavailable"),"不可评价",IF(AND(W925="positive",Y925="positive"),"a",IF(Y925="positive","b",IF(W925="positive","c","d"))))</x:f>
        <x:v>d</x:v>
      </x:c>
    </x:row>
    <x:row r="926" ht="24" customHeight="1">
      <x:c r="A926" s="12" t="str">
        <x:v>8123</x:v>
      </x:c>
      <x:c r="B926" s="12" t="str">
        <x:v>1984</x:v>
      </x:c>
      <x:c r="C926" s="21" t="n">
        <x:v>33731.42443287037</x:v>
      </x:c>
      <x:c r="D926" s="12" t="n">
        <x:v>73</x:v>
      </x:c>
      <x:c r="E926" s="12" t="n">
        <x:v>1</x:v>
      </x:c>
      <x:c r="F926" s="12" t="str">
        <x:v>存在</x:v>
      </x:c>
      <x:c r="G926" s="12" t="n">
        <x:v>1</x:v>
      </x:c>
      <x:c r="H926" s="12" t="str">
        <x:v>{'LAFB': 100.0, 'INJAS': 100.0, 'INVT': 0.0, 'SR': 0.0}</x:v>
      </x:c>
      <x:c r="I926" s="12" t="str">
        <x:v>[('NSR', 100.0), ('LAD3', 100.0), ('AT', 100.0), ('LNGQT', 100.0), ('AB', 100.0)]</x:v>
      </x:c>
      <x:c r="J926" s="12" t="str">
        <x:v>ptbxl_database.csv；ecg_id=8123；scp_codes</x:v>
      </x:c>
      <x:c r="K926" s="12" t="str">
        <x:v>12sl_statements.csv；ecg_id=8123；statements_ext_snomed</x:v>
      </x:c>
      <x:c r="L926" s="12"/>
      <x:c r="M926" s="12" t="str">
        <x:v>negative</x:v>
      </x:c>
      <x:c r="N926" s="12"/>
      <x:c r="O926" s="12" t="str">
        <x:v>negative</x:v>
      </x:c>
      <x:c r="P926" s="12" t="str">
        <x:f>IF(OR(M926="unavailable",O926="unavailable"),"不可评价",IF(OR(M926="equivocal",O926="equivocal"),"疑似",IF(AND(M926="positive",O926="positive"),"a",IF(O926="positive","b",IF(M926="positive","c","d")))))</x:f>
        <x:v>d</x:v>
      </x:c>
      <x:c r="Q926" s="12"/>
      <x:c r="R926" s="12" t="str">
        <x:v>negative</x:v>
      </x:c>
      <x:c r="S926" s="12"/>
      <x:c r="T926" s="12" t="str">
        <x:v>negative</x:v>
      </x:c>
      <x:c r="U926" s="12" t="str">
        <x:f>IF(OR(R926="unavailable",T926="unavailable"),"不可评价",IF(OR(R926="equivocal",T926="equivocal"),"疑似",IF(AND(R926="positive",T926="positive"),"a",IF(T926="positive","b",IF(R926="positive","c","d")))))</x:f>
        <x:v>d</x:v>
      </x:c>
      <x:c r="V926" s="12"/>
      <x:c r="W926" s="12" t="str">
        <x:v>negative</x:v>
      </x:c>
      <x:c r="X926" s="12"/>
      <x:c r="Y926" s="12" t="str">
        <x:v>negative</x:v>
      </x:c>
      <x:c r="Z926" s="12" t="str">
        <x:f>IF(OR(W926="unavailable",Y926="unavailable"),"不可评价",IF(OR(W926="equivocal",Y926="equivocal"),"疑似",IF(AND(W926="positive",Y926="positive"),"a",IF(Y926="positive","b",IF(W926="positive","c","d")))))</x:f>
        <x:v>d</x:v>
      </x:c>
      <x:c r="AA926" s="12" t="str">
        <x:f>IF(OR(M926="unavailable",O926="unavailable"),"不可评价",IF(AND(OR(M926="positive",M926="equivocal"),OR(O926="positive",O926="equivocal")),"a",IF(OR(O926="positive",O926="equivocal"),"b",IF(OR(M926="positive",M926="equivocal"),"c","d"))))</x:f>
        <x:v>d</x:v>
      </x:c>
      <x:c r="AB926" s="12" t="str">
        <x:f>IF(OR(M926="unavailable",O926="unavailable"),"不可评价",IF(AND(M926="positive",O926="positive"),"a",IF(O926="positive","b",IF(M926="positive","c","d"))))</x:f>
        <x:v>d</x:v>
      </x:c>
      <x:c r="AC926" s="12" t="str">
        <x:f>IF(OR(R926="unavailable",T926="unavailable"),"不可评价",IF(AND(OR(R926="positive",R926="equivocal"),OR(T926="positive",T926="equivocal")),"a",IF(OR(T926="positive",T926="equivocal"),"b",IF(OR(R926="positive",R926="equivocal"),"c","d"))))</x:f>
        <x:v>d</x:v>
      </x:c>
      <x:c r="AD926" s="12" t="str">
        <x:f>IF(OR(R926="unavailable",T926="unavailable"),"不可评价",IF(AND(R926="positive",T926="positive"),"a",IF(T926="positive","b",IF(R926="positive","c","d"))))</x:f>
        <x:v>d</x:v>
      </x:c>
      <x:c r="AE926" s="12" t="str">
        <x:f>IF(OR(W926="unavailable",Y926="unavailable"),"不可评价",IF(AND(OR(W926="positive",W926="equivocal"),OR(Y926="positive",Y926="equivocal")),"a",IF(OR(Y926="positive",Y926="equivocal"),"b",IF(OR(W926="positive",W926="equivocal"),"c","d"))))</x:f>
        <x:v>d</x:v>
      </x:c>
      <x:c r="AF926" s="12" t="str">
        <x:f>IF(OR(W926="unavailable",Y926="unavailable"),"不可评价",IF(AND(W926="positive",Y926="positive"),"a",IF(Y926="positive","b",IF(W926="positive","c","d"))))</x:f>
        <x:v>d</x:v>
      </x:c>
    </x:row>
    <x:row r="927" ht="24" customHeight="1">
      <x:c r="A927" s="12" t="str">
        <x:v>8126</x:v>
      </x:c>
      <x:c r="B927" s="12" t="str">
        <x:v>14930</x:v>
      </x:c>
      <x:c r="C927" s="21" t="n">
        <x:v>33731.518425925926</x:v>
      </x:c>
      <x:c r="D927" s="12" t="n">
        <x:v>75</x:v>
      </x:c>
      <x:c r="E927" s="12" t="n">
        <x:v>0</x:v>
      </x:c>
      <x:c r="F927" s="12" t="str">
        <x:v>未记录</x:v>
      </x:c>
      <x:c r="G927" s="12" t="n">
        <x:v>1</x:v>
      </x:c>
      <x:c r="H927" s="12" t="str">
        <x:v>{'NORM': 50.0, 'QWAVE': 0.0, 'SR': 0.0}</x:v>
      </x:c>
      <x:c r="I927" s="12" t="str">
        <x:v>[('NSR', 100.0), ('NST', 100.0), ('AB', 100.0)]</x:v>
      </x:c>
      <x:c r="J927" s="12" t="str">
        <x:v>ptbxl_database.csv；ecg_id=8126；scp_codes</x:v>
      </x:c>
      <x:c r="K927" s="12" t="str">
        <x:v>12sl_statements.csv；ecg_id=8126；statements_ext_snomed</x:v>
      </x:c>
      <x:c r="L927" s="12"/>
      <x:c r="M927" s="12" t="str">
        <x:v>negative</x:v>
      </x:c>
      <x:c r="N927" s="12"/>
      <x:c r="O927" s="12" t="str">
        <x:v>negative</x:v>
      </x:c>
      <x:c r="P927" s="12" t="str">
        <x:f>IF(OR(M927="unavailable",O927="unavailable"),"不可评价",IF(OR(M927="equivocal",O927="equivocal"),"疑似",IF(AND(M927="positive",O927="positive"),"a",IF(O927="positive","b",IF(M927="positive","c","d")))))</x:f>
        <x:v>d</x:v>
      </x:c>
      <x:c r="Q927" s="12"/>
      <x:c r="R927" s="12" t="str">
        <x:v>negative</x:v>
      </x:c>
      <x:c r="S927" s="12"/>
      <x:c r="T927" s="12" t="str">
        <x:v>negative</x:v>
      </x:c>
      <x:c r="U927" s="12" t="str">
        <x:f>IF(OR(R927="unavailable",T927="unavailable"),"不可评价",IF(OR(R927="equivocal",T927="equivocal"),"疑似",IF(AND(R927="positive",T927="positive"),"a",IF(T927="positive","b",IF(R927="positive","c","d")))))</x:f>
        <x:v>d</x:v>
      </x:c>
      <x:c r="V927" s="12"/>
      <x:c r="W927" s="12" t="str">
        <x:v>negative</x:v>
      </x:c>
      <x:c r="X927" s="12"/>
      <x:c r="Y927" s="12" t="str">
        <x:v>negative</x:v>
      </x:c>
      <x:c r="Z927" s="12" t="str">
        <x:f>IF(OR(W927="unavailable",Y927="unavailable"),"不可评价",IF(OR(W927="equivocal",Y927="equivocal"),"疑似",IF(AND(W927="positive",Y927="positive"),"a",IF(Y927="positive","b",IF(W927="positive","c","d")))))</x:f>
        <x:v>d</x:v>
      </x:c>
      <x:c r="AA927" s="12" t="str">
        <x:f>IF(OR(M927="unavailable",O927="unavailable"),"不可评价",IF(AND(OR(M927="positive",M927="equivocal"),OR(O927="positive",O927="equivocal")),"a",IF(OR(O927="positive",O927="equivocal"),"b",IF(OR(M927="positive",M927="equivocal"),"c","d"))))</x:f>
        <x:v>d</x:v>
      </x:c>
      <x:c r="AB927" s="12" t="str">
        <x:f>IF(OR(M927="unavailable",O927="unavailable"),"不可评价",IF(AND(M927="positive",O927="positive"),"a",IF(O927="positive","b",IF(M927="positive","c","d"))))</x:f>
        <x:v>d</x:v>
      </x:c>
      <x:c r="AC927" s="12" t="str">
        <x:f>IF(OR(R927="unavailable",T927="unavailable"),"不可评价",IF(AND(OR(R927="positive",R927="equivocal"),OR(T927="positive",T927="equivocal")),"a",IF(OR(T927="positive",T927="equivocal"),"b",IF(OR(R927="positive",R927="equivocal"),"c","d"))))</x:f>
        <x:v>d</x:v>
      </x:c>
      <x:c r="AD927" s="12" t="str">
        <x:f>IF(OR(R927="unavailable",T927="unavailable"),"不可评价",IF(AND(R927="positive",T927="positive"),"a",IF(T927="positive","b",IF(R927="positive","c","d"))))</x:f>
        <x:v>d</x:v>
      </x:c>
      <x:c r="AE927" s="12" t="str">
        <x:f>IF(OR(W927="unavailable",Y927="unavailable"),"不可评价",IF(AND(OR(W927="positive",W927="equivocal"),OR(Y927="positive",Y927="equivocal")),"a",IF(OR(Y927="positive",Y927="equivocal"),"b",IF(OR(W927="positive",W927="equivocal"),"c","d"))))</x:f>
        <x:v>d</x:v>
      </x:c>
      <x:c r="AF927" s="12" t="str">
        <x:f>IF(OR(W927="unavailable",Y927="unavailable"),"不可评价",IF(AND(W927="positive",Y927="positive"),"a",IF(Y927="positive","b",IF(W927="positive","c","d"))))</x:f>
        <x:v>d</x:v>
      </x:c>
    </x:row>
    <x:row r="928" ht="24" customHeight="1">
      <x:c r="A928" s="12" t="str">
        <x:v>8130</x:v>
      </x:c>
      <x:c r="B928" s="12" t="str">
        <x:v>1064</x:v>
      </x:c>
      <x:c r="C928" s="21" t="n">
        <x:v>33731.645370370374</x:v>
      </x:c>
      <x:c r="D928" s="12" t="n">
        <x:v>85</x:v>
      </x:c>
      <x:c r="E928" s="12" t="n">
        <x:v>0</x:v>
      </x:c>
      <x:c r="F928" s="12" t="str">
        <x:v>未记录</x:v>
      </x:c>
      <x:c r="G928" s="12" t="n">
        <x:v>1</x:v>
      </x:c>
      <x:c r="H928" s="12" t="str">
        <x:v>{'IMI': 15.0, 'CRBBB': 100.0, 'SR': 0.0}</x:v>
      </x:c>
      <x:c r="I928" s="12" t="str">
        <x:v>[('NSR', 100.0), ('RBBB', 100.0), ('IMI;AU', 100.0), ('AB', 100.0)]</x:v>
      </x:c>
      <x:c r="J928" s="12" t="str">
        <x:v>ptbxl_database.csv；ecg_id=8130；scp_codes</x:v>
      </x:c>
      <x:c r="K928" s="12" t="str">
        <x:v>12sl_statements.csv；ecg_id=8130；statements_ext_snomed</x:v>
      </x:c>
      <x:c r="L928" s="12"/>
      <x:c r="M928" s="12" t="str">
        <x:v>negative</x:v>
      </x:c>
      <x:c r="N928" s="12"/>
      <x:c r="O928" s="12" t="str">
        <x:v>negative</x:v>
      </x:c>
      <x:c r="P928" s="12" t="str">
        <x:f>IF(OR(M928="unavailable",O928="unavailable"),"不可评价",IF(OR(M928="equivocal",O928="equivocal"),"疑似",IF(AND(M928="positive",O928="positive"),"a",IF(O928="positive","b",IF(M928="positive","c","d")))))</x:f>
        <x:v>d</x:v>
      </x:c>
      <x:c r="Q928" s="12"/>
      <x:c r="R928" s="12" t="str">
        <x:v>negative</x:v>
      </x:c>
      <x:c r="S928" s="12"/>
      <x:c r="T928" s="12" t="str">
        <x:v>negative</x:v>
      </x:c>
      <x:c r="U928" s="12" t="str">
        <x:f>IF(OR(R928="unavailable",T928="unavailable"),"不可评价",IF(OR(R928="equivocal",T928="equivocal"),"疑似",IF(AND(R928="positive",T928="positive"),"a",IF(T928="positive","b",IF(R928="positive","c","d")))))</x:f>
        <x:v>d</x:v>
      </x:c>
      <x:c r="V928" s="12" t="n">
        <x:v>100</x:v>
      </x:c>
      <x:c r="W928" s="12" t="str">
        <x:v>positive</x:v>
      </x:c>
      <x:c r="X928" s="12" t="n">
        <x:v>100</x:v>
      </x:c>
      <x:c r="Y928" s="12" t="str">
        <x:v>positive</x:v>
      </x:c>
      <x:c r="Z928" s="12" t="str">
        <x:f>IF(OR(W928="unavailable",Y928="unavailable"),"不可评价",IF(OR(W928="equivocal",Y928="equivocal"),"疑似",IF(AND(W928="positive",Y928="positive"),"a",IF(Y928="positive","b",IF(W928="positive","c","d")))))</x:f>
        <x:v>a</x:v>
      </x:c>
      <x:c r="AA928" s="12" t="str">
        <x:f>IF(OR(M928="unavailable",O928="unavailable"),"不可评价",IF(AND(OR(M928="positive",M928="equivocal"),OR(O928="positive",O928="equivocal")),"a",IF(OR(O928="positive",O928="equivocal"),"b",IF(OR(M928="positive",M928="equivocal"),"c","d"))))</x:f>
        <x:v>d</x:v>
      </x:c>
      <x:c r="AB928" s="12" t="str">
        <x:f>IF(OR(M928="unavailable",O928="unavailable"),"不可评价",IF(AND(M928="positive",O928="positive"),"a",IF(O928="positive","b",IF(M928="positive","c","d"))))</x:f>
        <x:v>d</x:v>
      </x:c>
      <x:c r="AC928" s="12" t="str">
        <x:f>IF(OR(R928="unavailable",T928="unavailable"),"不可评价",IF(AND(OR(R928="positive",R928="equivocal"),OR(T928="positive",T928="equivocal")),"a",IF(OR(T928="positive",T928="equivocal"),"b",IF(OR(R928="positive",R928="equivocal"),"c","d"))))</x:f>
        <x:v>d</x:v>
      </x:c>
      <x:c r="AD928" s="12" t="str">
        <x:f>IF(OR(R928="unavailable",T928="unavailable"),"不可评价",IF(AND(R928="positive",T928="positive"),"a",IF(T928="positive","b",IF(R928="positive","c","d"))))</x:f>
        <x:v>d</x:v>
      </x:c>
      <x:c r="AE928" s="12" t="str">
        <x:f>IF(OR(W928="unavailable",Y928="unavailable"),"不可评价",IF(AND(OR(W928="positive",W928="equivocal"),OR(Y928="positive",Y928="equivocal")),"a",IF(OR(Y928="positive",Y928="equivocal"),"b",IF(OR(W928="positive",W928="equivocal"),"c","d"))))</x:f>
        <x:v>a</x:v>
      </x:c>
      <x:c r="AF928" s="12" t="str">
        <x:f>IF(OR(W928="unavailable",Y928="unavailable"),"不可评价",IF(AND(W928="positive",Y928="positive"),"a",IF(Y928="positive","b",IF(W928="positive","c","d"))))</x:f>
        <x:v>a</x:v>
      </x:c>
    </x:row>
    <x:row r="929" ht="24" customHeight="1">
      <x:c r="A929" s="12" t="str">
        <x:v>8133</x:v>
      </x:c>
      <x:c r="B929" s="12" t="str">
        <x:v>9149</x:v>
      </x:c>
      <x:c r="C929" s="21" t="n">
        <x:v>33732.27722222222</x:v>
      </x:c>
      <x:c r="D929" s="12" t="n">
        <x:v>37</x:v>
      </x:c>
      <x:c r="E929" s="12" t="n">
        <x:v>0</x:v>
      </x:c>
      <x:c r="F929" s="12" t="str">
        <x:v>未记录</x:v>
      </x:c>
      <x:c r="G929" s="12" t="n">
        <x:v>1</x:v>
      </x:c>
      <x:c r="H929" s="12" t="str">
        <x:v>{'NORM': 80.0, 'SR': 0.0}</x:v>
      </x:c>
      <x:c r="I929" s="12" t="str">
        <x:v>[('SBRAD', 100.0), ('ABR', 100.0)]</x:v>
      </x:c>
      <x:c r="J929" s="12" t="str">
        <x:v>ptbxl_database.csv；ecg_id=8133；scp_codes</x:v>
      </x:c>
      <x:c r="K929" s="12" t="str">
        <x:v>12sl_statements.csv；ecg_id=8133；statements_ext_snomed</x:v>
      </x:c>
      <x:c r="L929" s="12"/>
      <x:c r="M929" s="12" t="str">
        <x:v>negative</x:v>
      </x:c>
      <x:c r="N929" s="12"/>
      <x:c r="O929" s="12" t="str">
        <x:v>negative</x:v>
      </x:c>
      <x:c r="P929" s="12" t="str">
        <x:f>IF(OR(M929="unavailable",O929="unavailable"),"不可评价",IF(OR(M929="equivocal",O929="equivocal"),"疑似",IF(AND(M929="positive",O929="positive"),"a",IF(O929="positive","b",IF(M929="positive","c","d")))))</x:f>
        <x:v>d</x:v>
      </x:c>
      <x:c r="Q929" s="12"/>
      <x:c r="R929" s="12" t="str">
        <x:v>negative</x:v>
      </x:c>
      <x:c r="S929" s="12"/>
      <x:c r="T929" s="12" t="str">
        <x:v>negative</x:v>
      </x:c>
      <x:c r="U929" s="12" t="str">
        <x:f>IF(OR(R929="unavailable",T929="unavailable"),"不可评价",IF(OR(R929="equivocal",T929="equivocal"),"疑似",IF(AND(R929="positive",T929="positive"),"a",IF(T929="positive","b",IF(R929="positive","c","d")))))</x:f>
        <x:v>d</x:v>
      </x:c>
      <x:c r="V929" s="12"/>
      <x:c r="W929" s="12" t="str">
        <x:v>negative</x:v>
      </x:c>
      <x:c r="X929" s="12"/>
      <x:c r="Y929" s="12" t="str">
        <x:v>negative</x:v>
      </x:c>
      <x:c r="Z929" s="12" t="str">
        <x:f>IF(OR(W929="unavailable",Y929="unavailable"),"不可评价",IF(OR(W929="equivocal",Y929="equivocal"),"疑似",IF(AND(W929="positive",Y929="positive"),"a",IF(Y929="positive","b",IF(W929="positive","c","d")))))</x:f>
        <x:v>d</x:v>
      </x:c>
      <x:c r="AA929" s="12" t="str">
        <x:f>IF(OR(M929="unavailable",O929="unavailable"),"不可评价",IF(AND(OR(M929="positive",M929="equivocal"),OR(O929="positive",O929="equivocal")),"a",IF(OR(O929="positive",O929="equivocal"),"b",IF(OR(M929="positive",M929="equivocal"),"c","d"))))</x:f>
        <x:v>d</x:v>
      </x:c>
      <x:c r="AB929" s="12" t="str">
        <x:f>IF(OR(M929="unavailable",O929="unavailable"),"不可评价",IF(AND(M929="positive",O929="positive"),"a",IF(O929="positive","b",IF(M929="positive","c","d"))))</x:f>
        <x:v>d</x:v>
      </x:c>
      <x:c r="AC929" s="12" t="str">
        <x:f>IF(OR(R929="unavailable",T929="unavailable"),"不可评价",IF(AND(OR(R929="positive",R929="equivocal"),OR(T929="positive",T929="equivocal")),"a",IF(OR(T929="positive",T929="equivocal"),"b",IF(OR(R929="positive",R929="equivocal"),"c","d"))))</x:f>
        <x:v>d</x:v>
      </x:c>
      <x:c r="AD929" s="12" t="str">
        <x:f>IF(OR(R929="unavailable",T929="unavailable"),"不可评价",IF(AND(R929="positive",T929="positive"),"a",IF(T929="positive","b",IF(R929="positive","c","d"))))</x:f>
        <x:v>d</x:v>
      </x:c>
      <x:c r="AE929" s="12" t="str">
        <x:f>IF(OR(W929="unavailable",Y929="unavailable"),"不可评价",IF(AND(OR(W929="positive",W929="equivocal"),OR(Y929="positive",Y929="equivocal")),"a",IF(OR(Y929="positive",Y929="equivocal"),"b",IF(OR(W929="positive",W929="equivocal"),"c","d"))))</x:f>
        <x:v>d</x:v>
      </x:c>
      <x:c r="AF929" s="12" t="str">
        <x:f>IF(OR(W929="unavailable",Y929="unavailable"),"不可评价",IF(AND(W929="positive",Y929="positive"),"a",IF(Y929="positive","b",IF(W929="positive","c","d"))))</x:f>
        <x:v>d</x:v>
      </x:c>
    </x:row>
    <x:row r="930" ht="24" customHeight="1">
      <x:c r="A930" s="12" t="str">
        <x:v>8136</x:v>
      </x:c>
      <x:c r="B930" s="12" t="str">
        <x:v>1376</x:v>
      </x:c>
      <x:c r="C930" s="21" t="n">
        <x:v>33732.75398148148</x:v>
      </x:c>
      <x:c r="D930" s="12" t="n">
        <x:v>88</x:v>
      </x:c>
      <x:c r="E930" s="12" t="n">
        <x:v>1</x:v>
      </x:c>
      <x:c r="F930" s="12" t="str">
        <x:v>未记录</x:v>
      </x:c>
      <x:c r="G930" s="12" t="n">
        <x:v>1</x:v>
      </x:c>
      <x:c r="H930" s="12" t="str">
        <x:v>{'NDT': 100.0, 'NT_': 0.0, 'SR': 0.0}</x:v>
      </x:c>
      <x:c r="I930" s="12" t="str">
        <x:v>[('NSR', 100.0), ('NML', 100.0)]</x:v>
      </x:c>
      <x:c r="J930" s="12" t="str">
        <x:v>ptbxl_database.csv；ecg_id=8136；scp_codes</x:v>
      </x:c>
      <x:c r="K930" s="12" t="str">
        <x:v>12sl_statements.csv；ecg_id=8136；statements_ext_snomed</x:v>
      </x:c>
      <x:c r="L930" s="12"/>
      <x:c r="M930" s="12" t="str">
        <x:v>negative</x:v>
      </x:c>
      <x:c r="N930" s="12"/>
      <x:c r="O930" s="12" t="str">
        <x:v>negative</x:v>
      </x:c>
      <x:c r="P930" s="12" t="str">
        <x:f>IF(OR(M930="unavailable",O930="unavailable"),"不可评价",IF(OR(M930="equivocal",O930="equivocal"),"疑似",IF(AND(M930="positive",O930="positive"),"a",IF(O930="positive","b",IF(M930="positive","c","d")))))</x:f>
        <x:v>d</x:v>
      </x:c>
      <x:c r="Q930" s="12"/>
      <x:c r="R930" s="12" t="str">
        <x:v>negative</x:v>
      </x:c>
      <x:c r="S930" s="12"/>
      <x:c r="T930" s="12" t="str">
        <x:v>negative</x:v>
      </x:c>
      <x:c r="U930" s="12" t="str">
        <x:f>IF(OR(R930="unavailable",T930="unavailable"),"不可评价",IF(OR(R930="equivocal",T930="equivocal"),"疑似",IF(AND(R930="positive",T930="positive"),"a",IF(T930="positive","b",IF(R930="positive","c","d")))))</x:f>
        <x:v>d</x:v>
      </x:c>
      <x:c r="V930" s="12"/>
      <x:c r="W930" s="12" t="str">
        <x:v>negative</x:v>
      </x:c>
      <x:c r="X930" s="12"/>
      <x:c r="Y930" s="12" t="str">
        <x:v>negative</x:v>
      </x:c>
      <x:c r="Z930" s="12" t="str">
        <x:f>IF(OR(W930="unavailable",Y930="unavailable"),"不可评价",IF(OR(W930="equivocal",Y930="equivocal"),"疑似",IF(AND(W930="positive",Y930="positive"),"a",IF(Y930="positive","b",IF(W930="positive","c","d")))))</x:f>
        <x:v>d</x:v>
      </x:c>
      <x:c r="AA930" s="12" t="str">
        <x:f>IF(OR(M930="unavailable",O930="unavailable"),"不可评价",IF(AND(OR(M930="positive",M930="equivocal"),OR(O930="positive",O930="equivocal")),"a",IF(OR(O930="positive",O930="equivocal"),"b",IF(OR(M930="positive",M930="equivocal"),"c","d"))))</x:f>
        <x:v>d</x:v>
      </x:c>
      <x:c r="AB930" s="12" t="str">
        <x:f>IF(OR(M930="unavailable",O930="unavailable"),"不可评价",IF(AND(M930="positive",O930="positive"),"a",IF(O930="positive","b",IF(M930="positive","c","d"))))</x:f>
        <x:v>d</x:v>
      </x:c>
      <x:c r="AC930" s="12" t="str">
        <x:f>IF(OR(R930="unavailable",T930="unavailable"),"不可评价",IF(AND(OR(R930="positive",R930="equivocal"),OR(T930="positive",T930="equivocal")),"a",IF(OR(T930="positive",T930="equivocal"),"b",IF(OR(R930="positive",R930="equivocal"),"c","d"))))</x:f>
        <x:v>d</x:v>
      </x:c>
      <x:c r="AD930" s="12" t="str">
        <x:f>IF(OR(R930="unavailable",T930="unavailable"),"不可评价",IF(AND(R930="positive",T930="positive"),"a",IF(T930="positive","b",IF(R930="positive","c","d"))))</x:f>
        <x:v>d</x:v>
      </x:c>
      <x:c r="AE930" s="12" t="str">
        <x:f>IF(OR(W930="unavailable",Y930="unavailable"),"不可评价",IF(AND(OR(W930="positive",W930="equivocal"),OR(Y930="positive",Y930="equivocal")),"a",IF(OR(Y930="positive",Y930="equivocal"),"b",IF(OR(W930="positive",W930="equivocal"),"c","d"))))</x:f>
        <x:v>d</x:v>
      </x:c>
      <x:c r="AF930" s="12" t="str">
        <x:f>IF(OR(W930="unavailable",Y930="unavailable"),"不可评价",IF(AND(W930="positive",Y930="positive"),"a",IF(Y930="positive","b",IF(W930="positive","c","d"))))</x:f>
        <x:v>d</x:v>
      </x:c>
    </x:row>
    <x:row r="931" ht="24" customHeight="1">
      <x:c r="A931" s="12" t="str">
        <x:v>8138</x:v>
      </x:c>
      <x:c r="B931" s="12" t="str">
        <x:v>10335</x:v>
      </x:c>
      <x:c r="C931" s="21" t="n">
        <x:v>33734.34903935185</x:v>
      </x:c>
      <x:c r="D931" s="12" t="n">
        <x:v>33</x:v>
      </x:c>
      <x:c r="E931" s="12" t="n">
        <x:v>1</x:v>
      </x:c>
      <x:c r="F931" s="12" t="str">
        <x:v>未记录</x:v>
      </x:c>
      <x:c r="G931" s="12" t="n">
        <x:v>1</x:v>
      </x:c>
      <x:c r="H931" s="12" t="str">
        <x:v>{'NORM': 100.0, 'SR': 0.0}</x:v>
      </x:c>
      <x:c r="I931" s="12" t="str">
        <x:v>[('NSR', 100.0), ('SAR', 100.0), ('NML', 100.0)]</x:v>
      </x:c>
      <x:c r="J931" s="12" t="str">
        <x:v>ptbxl_database.csv；ecg_id=8138；scp_codes</x:v>
      </x:c>
      <x:c r="K931" s="12" t="str">
        <x:v>12sl_statements.csv；ecg_id=8138；statements_ext_snomed</x:v>
      </x:c>
      <x:c r="L931" s="12"/>
      <x:c r="M931" s="12" t="str">
        <x:v>negative</x:v>
      </x:c>
      <x:c r="N931" s="12"/>
      <x:c r="O931" s="12" t="str">
        <x:v>negative</x:v>
      </x:c>
      <x:c r="P931" s="12" t="str">
        <x:f>IF(OR(M931="unavailable",O931="unavailable"),"不可评价",IF(OR(M931="equivocal",O931="equivocal"),"疑似",IF(AND(M931="positive",O931="positive"),"a",IF(O931="positive","b",IF(M931="positive","c","d")))))</x:f>
        <x:v>d</x:v>
      </x:c>
      <x:c r="Q931" s="12"/>
      <x:c r="R931" s="12" t="str">
        <x:v>negative</x:v>
      </x:c>
      <x:c r="S931" s="12"/>
      <x:c r="T931" s="12" t="str">
        <x:v>negative</x:v>
      </x:c>
      <x:c r="U931" s="12" t="str">
        <x:f>IF(OR(R931="unavailable",T931="unavailable"),"不可评价",IF(OR(R931="equivocal",T931="equivocal"),"疑似",IF(AND(R931="positive",T931="positive"),"a",IF(T931="positive","b",IF(R931="positive","c","d")))))</x:f>
        <x:v>d</x:v>
      </x:c>
      <x:c r="V931" s="12"/>
      <x:c r="W931" s="12" t="str">
        <x:v>negative</x:v>
      </x:c>
      <x:c r="X931" s="12"/>
      <x:c r="Y931" s="12" t="str">
        <x:v>negative</x:v>
      </x:c>
      <x:c r="Z931" s="12" t="str">
        <x:f>IF(OR(W931="unavailable",Y931="unavailable"),"不可评价",IF(OR(W931="equivocal",Y931="equivocal"),"疑似",IF(AND(W931="positive",Y931="positive"),"a",IF(Y931="positive","b",IF(W931="positive","c","d")))))</x:f>
        <x:v>d</x:v>
      </x:c>
      <x:c r="AA931" s="12" t="str">
        <x:f>IF(OR(M931="unavailable",O931="unavailable"),"不可评价",IF(AND(OR(M931="positive",M931="equivocal"),OR(O931="positive",O931="equivocal")),"a",IF(OR(O931="positive",O931="equivocal"),"b",IF(OR(M931="positive",M931="equivocal"),"c","d"))))</x:f>
        <x:v>d</x:v>
      </x:c>
      <x:c r="AB931" s="12" t="str">
        <x:f>IF(OR(M931="unavailable",O931="unavailable"),"不可评价",IF(AND(M931="positive",O931="positive"),"a",IF(O931="positive","b",IF(M931="positive","c","d"))))</x:f>
        <x:v>d</x:v>
      </x:c>
      <x:c r="AC931" s="12" t="str">
        <x:f>IF(OR(R931="unavailable",T931="unavailable"),"不可评价",IF(AND(OR(R931="positive",R931="equivocal"),OR(T931="positive",T931="equivocal")),"a",IF(OR(T931="positive",T931="equivocal"),"b",IF(OR(R931="positive",R931="equivocal"),"c","d"))))</x:f>
        <x:v>d</x:v>
      </x:c>
      <x:c r="AD931" s="12" t="str">
        <x:f>IF(OR(R931="unavailable",T931="unavailable"),"不可评价",IF(AND(R931="positive",T931="positive"),"a",IF(T931="positive","b",IF(R931="positive","c","d"))))</x:f>
        <x:v>d</x:v>
      </x:c>
      <x:c r="AE931" s="12" t="str">
        <x:f>IF(OR(W931="unavailable",Y931="unavailable"),"不可评价",IF(AND(OR(W931="positive",W931="equivocal"),OR(Y931="positive",Y931="equivocal")),"a",IF(OR(Y931="positive",Y931="equivocal"),"b",IF(OR(W931="positive",W931="equivocal"),"c","d"))))</x:f>
        <x:v>d</x:v>
      </x:c>
      <x:c r="AF931" s="12" t="str">
        <x:f>IF(OR(W931="unavailable",Y931="unavailable"),"不可评价",IF(AND(W931="positive",Y931="positive"),"a",IF(Y931="positive","b",IF(W931="positive","c","d"))))</x:f>
        <x:v>d</x:v>
      </x:c>
    </x:row>
    <x:row r="932" ht="39" customHeight="1">
      <x:c r="A932" s="12" t="str">
        <x:v>8139</x:v>
      </x:c>
      <x:c r="B932" s="12" t="str">
        <x:v>8935</x:v>
      </x:c>
      <x:c r="C932" s="21" t="n">
        <x:v>33734.67559027778</x:v>
      </x:c>
      <x:c r="D932" s="12" t="n">
        <x:v>85</x:v>
      </x:c>
      <x:c r="E932" s="12" t="n">
        <x:v>0</x:v>
      </x:c>
      <x:c r="F932" s="12" t="str">
        <x:v>未记录</x:v>
      </x:c>
      <x:c r="G932" s="12" t="n">
        <x:v>1</x:v>
      </x:c>
      <x:c r="H932" s="12" t="str">
        <x:v>{'LAFB': 100.0, 'ISCAL': 100.0, 'SR': 0.0}</x:v>
      </x:c>
      <x:c r="I932" s="12" t="str">
        <x:v>[('AFIB', 100.0), ('LAD3', 100.0), ('LVH2', 100.0), ('QRSW-2ST', 100.0), ('AB', 100.0)]</x:v>
      </x:c>
      <x:c r="J932" s="12" t="str">
        <x:v>ptbxl_database.csv；ecg_id=8139；scp_codes</x:v>
      </x:c>
      <x:c r="K932" s="12" t="str">
        <x:v>12sl_statements.csv；ecg_id=8139；statements_ext_snomed</x:v>
      </x:c>
      <x:c r="L932" s="12"/>
      <x:c r="M932" s="12" t="str">
        <x:v>negative</x:v>
      </x:c>
      <x:c r="N932" s="12" t="n">
        <x:v>100</x:v>
      </x:c>
      <x:c r="O932" s="12" t="str">
        <x:v>positive</x:v>
      </x:c>
      <x:c r="P932" s="12" t="str">
        <x:f>IF(OR(M932="unavailable",O932="unavailable"),"不可评价",IF(OR(M932="equivocal",O932="equivocal"),"疑似",IF(AND(M932="positive",O932="positive"),"a",IF(O932="positive","b",IF(M932="positive","c","d")))))</x:f>
        <x:v>b</x:v>
      </x:c>
      <x:c r="Q932" s="12"/>
      <x:c r="R932" s="12" t="str">
        <x:v>negative</x:v>
      </x:c>
      <x:c r="S932" s="12"/>
      <x:c r="T932" s="12" t="str">
        <x:v>negative</x:v>
      </x:c>
      <x:c r="U932" s="12" t="str">
        <x:f>IF(OR(R932="unavailable",T932="unavailable"),"不可评价",IF(OR(R932="equivocal",T932="equivocal"),"疑似",IF(AND(R932="positive",T932="positive"),"a",IF(T932="positive","b",IF(R932="positive","c","d")))))</x:f>
        <x:v>d</x:v>
      </x:c>
      <x:c r="V932" s="12"/>
      <x:c r="W932" s="12" t="str">
        <x:v>negative</x:v>
      </x:c>
      <x:c r="X932" s="12"/>
      <x:c r="Y932" s="12" t="str">
        <x:v>negative</x:v>
      </x:c>
      <x:c r="Z932" s="12" t="str">
        <x:f>IF(OR(W932="unavailable",Y932="unavailable"),"不可评价",IF(OR(W932="equivocal",Y932="equivocal"),"疑似",IF(AND(W932="positive",Y932="positive"),"a",IF(Y932="positive","b",IF(W932="positive","c","d")))))</x:f>
        <x:v>d</x:v>
      </x:c>
      <x:c r="AA932" s="12" t="str">
        <x:f>IF(OR(M932="unavailable",O932="unavailable"),"不可评价",IF(AND(OR(M932="positive",M932="equivocal"),OR(O932="positive",O932="equivocal")),"a",IF(OR(O932="positive",O932="equivocal"),"b",IF(OR(M932="positive",M932="equivocal"),"c","d"))))</x:f>
        <x:v>b</x:v>
      </x:c>
      <x:c r="AB932" s="12" t="str">
        <x:f>IF(OR(M932="unavailable",O932="unavailable"),"不可评价",IF(AND(M932="positive",O932="positive"),"a",IF(O932="positive","b",IF(M932="positive","c","d"))))</x:f>
        <x:v>b</x:v>
      </x:c>
      <x:c r="AC932" s="12" t="str">
        <x:f>IF(OR(R932="unavailable",T932="unavailable"),"不可评价",IF(AND(OR(R932="positive",R932="equivocal"),OR(T932="positive",T932="equivocal")),"a",IF(OR(T932="positive",T932="equivocal"),"b",IF(OR(R932="positive",R932="equivocal"),"c","d"))))</x:f>
        <x:v>d</x:v>
      </x:c>
      <x:c r="AD932" s="12" t="str">
        <x:f>IF(OR(R932="unavailable",T932="unavailable"),"不可评价",IF(AND(R932="positive",T932="positive"),"a",IF(T932="positive","b",IF(R932="positive","c","d"))))</x:f>
        <x:v>d</x:v>
      </x:c>
      <x:c r="AE932" s="12" t="str">
        <x:f>IF(OR(W932="unavailable",Y932="unavailable"),"不可评价",IF(AND(OR(W932="positive",W932="equivocal"),OR(Y932="positive",Y932="equivocal")),"a",IF(OR(Y932="positive",Y932="equivocal"),"b",IF(OR(W932="positive",W932="equivocal"),"c","d"))))</x:f>
        <x:v>d</x:v>
      </x:c>
      <x:c r="AF932" s="12" t="str">
        <x:f>IF(OR(W932="unavailable",Y932="unavailable"),"不可评价",IF(AND(W932="positive",Y932="positive"),"a",IF(Y932="positive","b",IF(W932="positive","c","d"))))</x:f>
        <x:v>d</x:v>
      </x:c>
    </x:row>
    <x:row r="933" ht="24" customHeight="1">
      <x:c r="A933" s="12" t="str">
        <x:v>8140</x:v>
      </x:c>
      <x:c r="B933" s="12" t="str">
        <x:v>13965</x:v>
      </x:c>
      <x:c r="C933" s="21" t="n">
        <x:v>33735.612222222226</x:v>
      </x:c>
      <x:c r="D933" s="12" t="n">
        <x:v>59</x:v>
      </x:c>
      <x:c r="E933" s="12" t="n">
        <x:v>0</x:v>
      </x:c>
      <x:c r="F933" s="12" t="str">
        <x:v>未记录</x:v>
      </x:c>
      <x:c r="G933" s="12" t="n">
        <x:v>1</x:v>
      </x:c>
      <x:c r="H933" s="12" t="str">
        <x:v>{'NORM': 100.0}</x:v>
      </x:c>
      <x:c r="I933" s="12" t="str">
        <x:v>[('NSR', 100.0), ('NST', 100.0), ('AB', 100.0)]</x:v>
      </x:c>
      <x:c r="J933" s="12" t="str">
        <x:v>ptbxl_database.csv；ecg_id=8140；scp_codes</x:v>
      </x:c>
      <x:c r="K933" s="12" t="str">
        <x:v>12sl_statements.csv；ecg_id=8140；statements_ext_snomed</x:v>
      </x:c>
      <x:c r="L933" s="12"/>
      <x:c r="M933" s="12" t="str">
        <x:v>negative</x:v>
      </x:c>
      <x:c r="N933" s="12"/>
      <x:c r="O933" s="12" t="str">
        <x:v>negative</x:v>
      </x:c>
      <x:c r="P933" s="12" t="str">
        <x:f>IF(OR(M933="unavailable",O933="unavailable"),"不可评价",IF(OR(M933="equivocal",O933="equivocal"),"疑似",IF(AND(M933="positive",O933="positive"),"a",IF(O933="positive","b",IF(M933="positive","c","d")))))</x:f>
        <x:v>d</x:v>
      </x:c>
      <x:c r="Q933" s="12"/>
      <x:c r="R933" s="12" t="str">
        <x:v>negative</x:v>
      </x:c>
      <x:c r="S933" s="12"/>
      <x:c r="T933" s="12" t="str">
        <x:v>negative</x:v>
      </x:c>
      <x:c r="U933" s="12" t="str">
        <x:f>IF(OR(R933="unavailable",T933="unavailable"),"不可评价",IF(OR(R933="equivocal",T933="equivocal"),"疑似",IF(AND(R933="positive",T933="positive"),"a",IF(T933="positive","b",IF(R933="positive","c","d")))))</x:f>
        <x:v>d</x:v>
      </x:c>
      <x:c r="V933" s="12"/>
      <x:c r="W933" s="12" t="str">
        <x:v>negative</x:v>
      </x:c>
      <x:c r="X933" s="12"/>
      <x:c r="Y933" s="12" t="str">
        <x:v>negative</x:v>
      </x:c>
      <x:c r="Z933" s="12" t="str">
        <x:f>IF(OR(W933="unavailable",Y933="unavailable"),"不可评价",IF(OR(W933="equivocal",Y933="equivocal"),"疑似",IF(AND(W933="positive",Y933="positive"),"a",IF(Y933="positive","b",IF(W933="positive","c","d")))))</x:f>
        <x:v>d</x:v>
      </x:c>
      <x:c r="AA933" s="12" t="str">
        <x:f>IF(OR(M933="unavailable",O933="unavailable"),"不可评价",IF(AND(OR(M933="positive",M933="equivocal"),OR(O933="positive",O933="equivocal")),"a",IF(OR(O933="positive",O933="equivocal"),"b",IF(OR(M933="positive",M933="equivocal"),"c","d"))))</x:f>
        <x:v>d</x:v>
      </x:c>
      <x:c r="AB933" s="12" t="str">
        <x:f>IF(OR(M933="unavailable",O933="unavailable"),"不可评价",IF(AND(M933="positive",O933="positive"),"a",IF(O933="positive","b",IF(M933="positive","c","d"))))</x:f>
        <x:v>d</x:v>
      </x:c>
      <x:c r="AC933" s="12" t="str">
        <x:f>IF(OR(R933="unavailable",T933="unavailable"),"不可评价",IF(AND(OR(R933="positive",R933="equivocal"),OR(T933="positive",T933="equivocal")),"a",IF(OR(T933="positive",T933="equivocal"),"b",IF(OR(R933="positive",R933="equivocal"),"c","d"))))</x:f>
        <x:v>d</x:v>
      </x:c>
      <x:c r="AD933" s="12" t="str">
        <x:f>IF(OR(R933="unavailable",T933="unavailable"),"不可评价",IF(AND(R933="positive",T933="positive"),"a",IF(T933="positive","b",IF(R933="positive","c","d"))))</x:f>
        <x:v>d</x:v>
      </x:c>
      <x:c r="AE933" s="12" t="str">
        <x:f>IF(OR(W933="unavailable",Y933="unavailable"),"不可评价",IF(AND(OR(W933="positive",W933="equivocal"),OR(Y933="positive",Y933="equivocal")),"a",IF(OR(Y933="positive",Y933="equivocal"),"b",IF(OR(W933="positive",W933="equivocal"),"c","d"))))</x:f>
        <x:v>d</x:v>
      </x:c>
      <x:c r="AF933" s="12" t="str">
        <x:f>IF(OR(W933="unavailable",Y933="unavailable"),"不可评价",IF(AND(W933="positive",Y933="positive"),"a",IF(Y933="positive","b",IF(W933="positive","c","d"))))</x:f>
        <x:v>d</x:v>
      </x:c>
    </x:row>
    <x:row r="934" ht="24" customHeight="1">
      <x:c r="A934" s="12" t="str">
        <x:v>8147</x:v>
      </x:c>
      <x:c r="B934" s="12" t="str">
        <x:v>9681</x:v>
      </x:c>
      <x:c r="C934" s="21" t="n">
        <x:v>33740.336331018516</x:v>
      </x:c>
      <x:c r="D934" s="12" t="n">
        <x:v>53</x:v>
      </x:c>
      <x:c r="E934" s="12" t="n">
        <x:v>0</x:v>
      </x:c>
      <x:c r="F934" s="12" t="str">
        <x:v>存在</x:v>
      </x:c>
      <x:c r="G934" s="12" t="n">
        <x:v>1</x:v>
      </x:c>
      <x:c r="H934" s="12" t="str">
        <x:v>{'NORM': 80.0, 'SR': 0.0}</x:v>
      </x:c>
      <x:c r="I934" s="12" t="str">
        <x:v>[('NSR', 100.0), ('NML', 100.0)]</x:v>
      </x:c>
      <x:c r="J934" s="12" t="str">
        <x:v>ptbxl_database.csv；ecg_id=8147；scp_codes</x:v>
      </x:c>
      <x:c r="K934" s="12" t="str">
        <x:v>12sl_statements.csv；ecg_id=8147；statements_ext_snomed</x:v>
      </x:c>
      <x:c r="L934" s="12"/>
      <x:c r="M934" s="12" t="str">
        <x:v>negative</x:v>
      </x:c>
      <x:c r="N934" s="12"/>
      <x:c r="O934" s="12" t="str">
        <x:v>negative</x:v>
      </x:c>
      <x:c r="P934" s="12" t="str">
        <x:f>IF(OR(M934="unavailable",O934="unavailable"),"不可评价",IF(OR(M934="equivocal",O934="equivocal"),"疑似",IF(AND(M934="positive",O934="positive"),"a",IF(O934="positive","b",IF(M934="positive","c","d")))))</x:f>
        <x:v>d</x:v>
      </x:c>
      <x:c r="Q934" s="12"/>
      <x:c r="R934" s="12" t="str">
        <x:v>negative</x:v>
      </x:c>
      <x:c r="S934" s="12"/>
      <x:c r="T934" s="12" t="str">
        <x:v>negative</x:v>
      </x:c>
      <x:c r="U934" s="12" t="str">
        <x:f>IF(OR(R934="unavailable",T934="unavailable"),"不可评价",IF(OR(R934="equivocal",T934="equivocal"),"疑似",IF(AND(R934="positive",T934="positive"),"a",IF(T934="positive","b",IF(R934="positive","c","d")))))</x:f>
        <x:v>d</x:v>
      </x:c>
      <x:c r="V934" s="12"/>
      <x:c r="W934" s="12" t="str">
        <x:v>negative</x:v>
      </x:c>
      <x:c r="X934" s="12"/>
      <x:c r="Y934" s="12" t="str">
        <x:v>negative</x:v>
      </x:c>
      <x:c r="Z934" s="12" t="str">
        <x:f>IF(OR(W934="unavailable",Y934="unavailable"),"不可评价",IF(OR(W934="equivocal",Y934="equivocal"),"疑似",IF(AND(W934="positive",Y934="positive"),"a",IF(Y934="positive","b",IF(W934="positive","c","d")))))</x:f>
        <x:v>d</x:v>
      </x:c>
      <x:c r="AA934" s="12" t="str">
        <x:f>IF(OR(M934="unavailable",O934="unavailable"),"不可评价",IF(AND(OR(M934="positive",M934="equivocal"),OR(O934="positive",O934="equivocal")),"a",IF(OR(O934="positive",O934="equivocal"),"b",IF(OR(M934="positive",M934="equivocal"),"c","d"))))</x:f>
        <x:v>d</x:v>
      </x:c>
      <x:c r="AB934" s="12" t="str">
        <x:f>IF(OR(M934="unavailable",O934="unavailable"),"不可评价",IF(AND(M934="positive",O934="positive"),"a",IF(O934="positive","b",IF(M934="positive","c","d"))))</x:f>
        <x:v>d</x:v>
      </x:c>
      <x:c r="AC934" s="12" t="str">
        <x:f>IF(OR(R934="unavailable",T934="unavailable"),"不可评价",IF(AND(OR(R934="positive",R934="equivocal"),OR(T934="positive",T934="equivocal")),"a",IF(OR(T934="positive",T934="equivocal"),"b",IF(OR(R934="positive",R934="equivocal"),"c","d"))))</x:f>
        <x:v>d</x:v>
      </x:c>
      <x:c r="AD934" s="12" t="str">
        <x:f>IF(OR(R934="unavailable",T934="unavailable"),"不可评价",IF(AND(R934="positive",T934="positive"),"a",IF(T934="positive","b",IF(R934="positive","c","d"))))</x:f>
        <x:v>d</x:v>
      </x:c>
      <x:c r="AE934" s="12" t="str">
        <x:f>IF(OR(W934="unavailable",Y934="unavailable"),"不可评价",IF(AND(OR(W934="positive",W934="equivocal"),OR(Y934="positive",Y934="equivocal")),"a",IF(OR(Y934="positive",Y934="equivocal"),"b",IF(OR(W934="positive",W934="equivocal"),"c","d"))))</x:f>
        <x:v>d</x:v>
      </x:c>
      <x:c r="AF934" s="12" t="str">
        <x:f>IF(OR(W934="unavailable",Y934="unavailable"),"不可评价",IF(AND(W934="positive",Y934="positive"),"a",IF(Y934="positive","b",IF(W934="positive","c","d"))))</x:f>
        <x:v>d</x:v>
      </x:c>
    </x:row>
    <x:row r="935" ht="24" customHeight="1">
      <x:c r="A935" s="12" t="str">
        <x:v>8153</x:v>
      </x:c>
      <x:c r="B935" s="12" t="str">
        <x:v>21170</x:v>
      </x:c>
      <x:c r="C935" s="21" t="n">
        <x:v>33745.49076388889</x:v>
      </x:c>
      <x:c r="D935" s="12" t="n">
        <x:v>53</x:v>
      </x:c>
      <x:c r="E935" s="12" t="n">
        <x:v>1</x:v>
      </x:c>
      <x:c r="F935" s="12" t="str">
        <x:v>未记录</x:v>
      </x:c>
      <x:c r="G935" s="12" t="n">
        <x:v>1</x:v>
      </x:c>
      <x:c r="H935" s="12" t="str">
        <x:v>{'LMI': 15.0, 'PVC': 100.0, 'SBRAD': 0.0}</x:v>
      </x:c>
      <x:c r="I935" s="12" t="str">
        <x:v>[('SBRAD', 100.0), ('PVC', 100.0), ('ABR', 100.0)]</x:v>
      </x:c>
      <x:c r="J935" s="12" t="str">
        <x:v>ptbxl_database.csv；ecg_id=8153；scp_codes</x:v>
      </x:c>
      <x:c r="K935" s="12" t="str">
        <x:v>12sl_statements.csv；ecg_id=8153；statements_ext_snomed</x:v>
      </x:c>
      <x:c r="L935" s="12"/>
      <x:c r="M935" s="12" t="str">
        <x:v>negative</x:v>
      </x:c>
      <x:c r="N935" s="12"/>
      <x:c r="O935" s="12" t="str">
        <x:v>negative</x:v>
      </x:c>
      <x:c r="P935" s="12" t="str">
        <x:f>IF(OR(M935="unavailable",O935="unavailable"),"不可评价",IF(OR(M935="equivocal",O935="equivocal"),"疑似",IF(AND(M935="positive",O935="positive"),"a",IF(O935="positive","b",IF(M935="positive","c","d")))))</x:f>
        <x:v>d</x:v>
      </x:c>
      <x:c r="Q935" s="12"/>
      <x:c r="R935" s="12" t="str">
        <x:v>negative</x:v>
      </x:c>
      <x:c r="S935" s="12"/>
      <x:c r="T935" s="12" t="str">
        <x:v>negative</x:v>
      </x:c>
      <x:c r="U935" s="12" t="str">
        <x:f>IF(OR(R935="unavailable",T935="unavailable"),"不可评价",IF(OR(R935="equivocal",T935="equivocal"),"疑似",IF(AND(R935="positive",T935="positive"),"a",IF(T935="positive","b",IF(R935="positive","c","d")))))</x:f>
        <x:v>d</x:v>
      </x:c>
      <x:c r="V935" s="12"/>
      <x:c r="W935" s="12" t="str">
        <x:v>negative</x:v>
      </x:c>
      <x:c r="X935" s="12"/>
      <x:c r="Y935" s="12" t="str">
        <x:v>negative</x:v>
      </x:c>
      <x:c r="Z935" s="12" t="str">
        <x:f>IF(OR(W935="unavailable",Y935="unavailable"),"不可评价",IF(OR(W935="equivocal",Y935="equivocal"),"疑似",IF(AND(W935="positive",Y935="positive"),"a",IF(Y935="positive","b",IF(W935="positive","c","d")))))</x:f>
        <x:v>d</x:v>
      </x:c>
      <x:c r="AA935" s="12" t="str">
        <x:f>IF(OR(M935="unavailable",O935="unavailable"),"不可评价",IF(AND(OR(M935="positive",M935="equivocal"),OR(O935="positive",O935="equivocal")),"a",IF(OR(O935="positive",O935="equivocal"),"b",IF(OR(M935="positive",M935="equivocal"),"c","d"))))</x:f>
        <x:v>d</x:v>
      </x:c>
      <x:c r="AB935" s="12" t="str">
        <x:f>IF(OR(M935="unavailable",O935="unavailable"),"不可评价",IF(AND(M935="positive",O935="positive"),"a",IF(O935="positive","b",IF(M935="positive","c","d"))))</x:f>
        <x:v>d</x:v>
      </x:c>
      <x:c r="AC935" s="12" t="str">
        <x:f>IF(OR(R935="unavailable",T935="unavailable"),"不可评价",IF(AND(OR(R935="positive",R935="equivocal"),OR(T935="positive",T935="equivocal")),"a",IF(OR(T935="positive",T935="equivocal"),"b",IF(OR(R935="positive",R935="equivocal"),"c","d"))))</x:f>
        <x:v>d</x:v>
      </x:c>
      <x:c r="AD935" s="12" t="str">
        <x:f>IF(OR(R935="unavailable",T935="unavailable"),"不可评价",IF(AND(R935="positive",T935="positive"),"a",IF(T935="positive","b",IF(R935="positive","c","d"))))</x:f>
        <x:v>d</x:v>
      </x:c>
      <x:c r="AE935" s="12" t="str">
        <x:f>IF(OR(W935="unavailable",Y935="unavailable"),"不可评价",IF(AND(OR(W935="positive",W935="equivocal"),OR(Y935="positive",Y935="equivocal")),"a",IF(OR(Y935="positive",Y935="equivocal"),"b",IF(OR(W935="positive",W935="equivocal"),"c","d"))))</x:f>
        <x:v>d</x:v>
      </x:c>
      <x:c r="AF935" s="12" t="str">
        <x:f>IF(OR(W935="unavailable",Y935="unavailable"),"不可评价",IF(AND(W935="positive",Y935="positive"),"a",IF(Y935="positive","b",IF(W935="positive","c","d"))))</x:f>
        <x:v>d</x:v>
      </x:c>
    </x:row>
    <x:row r="936" ht="24" customHeight="1">
      <x:c r="A936" s="12" t="str">
        <x:v>8164</x:v>
      </x:c>
      <x:c r="B936" s="12" t="str">
        <x:v>11541</x:v>
      </x:c>
      <x:c r="C936" s="21" t="n">
        <x:v>33750.242951388886</x:v>
      </x:c>
      <x:c r="D936" s="12" t="n">
        <x:v>43</x:v>
      </x:c>
      <x:c r="E936" s="12" t="n">
        <x:v>0</x:v>
      </x:c>
      <x:c r="F936" s="12" t="str">
        <x:v>未记录</x:v>
      </x:c>
      <x:c r="G936" s="12" t="n">
        <x:v>1</x:v>
      </x:c>
      <x:c r="H936" s="12" t="str">
        <x:v>{'NORM': 100.0, 'SR': 0.0}</x:v>
      </x:c>
      <x:c r="I936" s="12" t="str">
        <x:v>[('SBRAD', 100.0), ('ABR', 100.0)]</x:v>
      </x:c>
      <x:c r="J936" s="12" t="str">
        <x:v>ptbxl_database.csv；ecg_id=8164；scp_codes</x:v>
      </x:c>
      <x:c r="K936" s="12" t="str">
        <x:v>12sl_statements.csv；ecg_id=8164；statements_ext_snomed</x:v>
      </x:c>
      <x:c r="L936" s="12"/>
      <x:c r="M936" s="12" t="str">
        <x:v>negative</x:v>
      </x:c>
      <x:c r="N936" s="12"/>
      <x:c r="O936" s="12" t="str">
        <x:v>negative</x:v>
      </x:c>
      <x:c r="P936" s="12" t="str">
        <x:f>IF(OR(M936="unavailable",O936="unavailable"),"不可评价",IF(OR(M936="equivocal",O936="equivocal"),"疑似",IF(AND(M936="positive",O936="positive"),"a",IF(O936="positive","b",IF(M936="positive","c","d")))))</x:f>
        <x:v>d</x:v>
      </x:c>
      <x:c r="Q936" s="12"/>
      <x:c r="R936" s="12" t="str">
        <x:v>negative</x:v>
      </x:c>
      <x:c r="S936" s="12"/>
      <x:c r="T936" s="12" t="str">
        <x:v>negative</x:v>
      </x:c>
      <x:c r="U936" s="12" t="str">
        <x:f>IF(OR(R936="unavailable",T936="unavailable"),"不可评价",IF(OR(R936="equivocal",T936="equivocal"),"疑似",IF(AND(R936="positive",T936="positive"),"a",IF(T936="positive","b",IF(R936="positive","c","d")))))</x:f>
        <x:v>d</x:v>
      </x:c>
      <x:c r="V936" s="12"/>
      <x:c r="W936" s="12" t="str">
        <x:v>negative</x:v>
      </x:c>
      <x:c r="X936" s="12"/>
      <x:c r="Y936" s="12" t="str">
        <x:v>negative</x:v>
      </x:c>
      <x:c r="Z936" s="12" t="str">
        <x:f>IF(OR(W936="unavailable",Y936="unavailable"),"不可评价",IF(OR(W936="equivocal",Y936="equivocal"),"疑似",IF(AND(W936="positive",Y936="positive"),"a",IF(Y936="positive","b",IF(W936="positive","c","d")))))</x:f>
        <x:v>d</x:v>
      </x:c>
      <x:c r="AA936" s="12" t="str">
        <x:f>IF(OR(M936="unavailable",O936="unavailable"),"不可评价",IF(AND(OR(M936="positive",M936="equivocal"),OR(O936="positive",O936="equivocal")),"a",IF(OR(O936="positive",O936="equivocal"),"b",IF(OR(M936="positive",M936="equivocal"),"c","d"))))</x:f>
        <x:v>d</x:v>
      </x:c>
      <x:c r="AB936" s="12" t="str">
        <x:f>IF(OR(M936="unavailable",O936="unavailable"),"不可评价",IF(AND(M936="positive",O936="positive"),"a",IF(O936="positive","b",IF(M936="positive","c","d"))))</x:f>
        <x:v>d</x:v>
      </x:c>
      <x:c r="AC936" s="12" t="str">
        <x:f>IF(OR(R936="unavailable",T936="unavailable"),"不可评价",IF(AND(OR(R936="positive",R936="equivocal"),OR(T936="positive",T936="equivocal")),"a",IF(OR(T936="positive",T936="equivocal"),"b",IF(OR(R936="positive",R936="equivocal"),"c","d"))))</x:f>
        <x:v>d</x:v>
      </x:c>
      <x:c r="AD936" s="12" t="str">
        <x:f>IF(OR(R936="unavailable",T936="unavailable"),"不可评价",IF(AND(R936="positive",T936="positive"),"a",IF(T936="positive","b",IF(R936="positive","c","d"))))</x:f>
        <x:v>d</x:v>
      </x:c>
      <x:c r="AE936" s="12" t="str">
        <x:f>IF(OR(W936="unavailable",Y936="unavailable"),"不可评价",IF(AND(OR(W936="positive",W936="equivocal"),OR(Y936="positive",Y936="equivocal")),"a",IF(OR(Y936="positive",Y936="equivocal"),"b",IF(OR(W936="positive",W936="equivocal"),"c","d"))))</x:f>
        <x:v>d</x:v>
      </x:c>
      <x:c r="AF936" s="12" t="str">
        <x:f>IF(OR(W936="unavailable",Y936="unavailable"),"不可评价",IF(AND(W936="positive",Y936="positive"),"a",IF(Y936="positive","b",IF(W936="positive","c","d"))))</x:f>
        <x:v>d</x:v>
      </x:c>
    </x:row>
    <x:row r="937" ht="24" customHeight="1">
      <x:c r="A937" s="12" t="str">
        <x:v>8170</x:v>
      </x:c>
      <x:c r="B937" s="12" t="str">
        <x:v>21414</x:v>
      </x:c>
      <x:c r="C937" s="21" t="n">
        <x:v>33752.25623842593</x:v>
      </x:c>
      <x:c r="D937" s="12" t="n">
        <x:v>47</x:v>
      </x:c>
      <x:c r="E937" s="12" t="n">
        <x:v>0</x:v>
      </x:c>
      <x:c r="F937" s="12" t="str">
        <x:v>未记录</x:v>
      </x:c>
      <x:c r="G937" s="12" t="n">
        <x:v>1</x:v>
      </x:c>
      <x:c r="H937" s="12" t="str">
        <x:v>{'NORM': 100.0, 'SR': 0.0}</x:v>
      </x:c>
      <x:c r="I937" s="12" t="str">
        <x:v>[('NSR', 100.0), ('NML', 100.0)]</x:v>
      </x:c>
      <x:c r="J937" s="12" t="str">
        <x:v>ptbxl_database.csv；ecg_id=8170；scp_codes</x:v>
      </x:c>
      <x:c r="K937" s="12" t="str">
        <x:v>12sl_statements.csv；ecg_id=8170；statements_ext_snomed</x:v>
      </x:c>
      <x:c r="L937" s="12"/>
      <x:c r="M937" s="12" t="str">
        <x:v>negative</x:v>
      </x:c>
      <x:c r="N937" s="12"/>
      <x:c r="O937" s="12" t="str">
        <x:v>negative</x:v>
      </x:c>
      <x:c r="P937" s="12" t="str">
        <x:f>IF(OR(M937="unavailable",O937="unavailable"),"不可评价",IF(OR(M937="equivocal",O937="equivocal"),"疑似",IF(AND(M937="positive",O937="positive"),"a",IF(O937="positive","b",IF(M937="positive","c","d")))))</x:f>
        <x:v>d</x:v>
      </x:c>
      <x:c r="Q937" s="12"/>
      <x:c r="R937" s="12" t="str">
        <x:v>negative</x:v>
      </x:c>
      <x:c r="S937" s="12"/>
      <x:c r="T937" s="12" t="str">
        <x:v>negative</x:v>
      </x:c>
      <x:c r="U937" s="12" t="str">
        <x:f>IF(OR(R937="unavailable",T937="unavailable"),"不可评价",IF(OR(R937="equivocal",T937="equivocal"),"疑似",IF(AND(R937="positive",T937="positive"),"a",IF(T937="positive","b",IF(R937="positive","c","d")))))</x:f>
        <x:v>d</x:v>
      </x:c>
      <x:c r="V937" s="12"/>
      <x:c r="W937" s="12" t="str">
        <x:v>negative</x:v>
      </x:c>
      <x:c r="X937" s="12"/>
      <x:c r="Y937" s="12" t="str">
        <x:v>negative</x:v>
      </x:c>
      <x:c r="Z937" s="12" t="str">
        <x:f>IF(OR(W937="unavailable",Y937="unavailable"),"不可评价",IF(OR(W937="equivocal",Y937="equivocal"),"疑似",IF(AND(W937="positive",Y937="positive"),"a",IF(Y937="positive","b",IF(W937="positive","c","d")))))</x:f>
        <x:v>d</x:v>
      </x:c>
      <x:c r="AA937" s="12" t="str">
        <x:f>IF(OR(M937="unavailable",O937="unavailable"),"不可评价",IF(AND(OR(M937="positive",M937="equivocal"),OR(O937="positive",O937="equivocal")),"a",IF(OR(O937="positive",O937="equivocal"),"b",IF(OR(M937="positive",M937="equivocal"),"c","d"))))</x:f>
        <x:v>d</x:v>
      </x:c>
      <x:c r="AB937" s="12" t="str">
        <x:f>IF(OR(M937="unavailable",O937="unavailable"),"不可评价",IF(AND(M937="positive",O937="positive"),"a",IF(O937="positive","b",IF(M937="positive","c","d"))))</x:f>
        <x:v>d</x:v>
      </x:c>
      <x:c r="AC937" s="12" t="str">
        <x:f>IF(OR(R937="unavailable",T937="unavailable"),"不可评价",IF(AND(OR(R937="positive",R937="equivocal"),OR(T937="positive",T937="equivocal")),"a",IF(OR(T937="positive",T937="equivocal"),"b",IF(OR(R937="positive",R937="equivocal"),"c","d"))))</x:f>
        <x:v>d</x:v>
      </x:c>
      <x:c r="AD937" s="12" t="str">
        <x:f>IF(OR(R937="unavailable",T937="unavailable"),"不可评价",IF(AND(R937="positive",T937="positive"),"a",IF(T937="positive","b",IF(R937="positive","c","d"))))</x:f>
        <x:v>d</x:v>
      </x:c>
      <x:c r="AE937" s="12" t="str">
        <x:f>IF(OR(W937="unavailable",Y937="unavailable"),"不可评价",IF(AND(OR(W937="positive",W937="equivocal"),OR(Y937="positive",Y937="equivocal")),"a",IF(OR(Y937="positive",Y937="equivocal"),"b",IF(OR(W937="positive",W937="equivocal"),"c","d"))))</x:f>
        <x:v>d</x:v>
      </x:c>
      <x:c r="AF937" s="12" t="str">
        <x:f>IF(OR(W937="unavailable",Y937="unavailable"),"不可评价",IF(AND(W937="positive",Y937="positive"),"a",IF(Y937="positive","b",IF(W937="positive","c","d"))))</x:f>
        <x:v>d</x:v>
      </x:c>
    </x:row>
    <x:row r="938" ht="39" customHeight="1">
      <x:c r="A938" s="12" t="str">
        <x:v>8178</x:v>
      </x:c>
      <x:c r="B938" s="12" t="str">
        <x:v>19410</x:v>
      </x:c>
      <x:c r="C938" s="21" t="n">
        <x:v>33756.4390162037</x:v>
      </x:c>
      <x:c r="D938" s="12" t="n">
        <x:v>77</x:v>
      </x:c>
      <x:c r="E938" s="12" t="n">
        <x:v>1</x:v>
      </x:c>
      <x:c r="F938" s="12" t="str">
        <x:v>未记录</x:v>
      </x:c>
      <x:c r="G938" s="12" t="n">
        <x:v>1</x:v>
      </x:c>
      <x:c r="H938" s="12" t="str">
        <x:v>{'IMI': 15.0, 'INJAS': 100.0, 'INJAL': 100.0, 'IRBBB': 100.0, 'STD_': 0.0, 'SR': 0.0}</x:v>
      </x:c>
      <x:c r="I938" s="12" t="str">
        <x:v>[('NSR', 100.0), ('ST&amp;', 100.0), ('ALT', 100.0), ('AB', 100.0)]</x:v>
      </x:c>
      <x:c r="J938" s="12" t="str">
        <x:v>ptbxl_database.csv；ecg_id=8178；scp_codes</x:v>
      </x:c>
      <x:c r="K938" s="12" t="str">
        <x:v>12sl_statements.csv；ecg_id=8178；statements_ext_snomed</x:v>
      </x:c>
      <x:c r="L938" s="12"/>
      <x:c r="M938" s="12" t="str">
        <x:v>negative</x:v>
      </x:c>
      <x:c r="N938" s="12"/>
      <x:c r="O938" s="12" t="str">
        <x:v>negative</x:v>
      </x:c>
      <x:c r="P938" s="12" t="str">
        <x:f>IF(OR(M938="unavailable",O938="unavailable"),"不可评价",IF(OR(M938="equivocal",O938="equivocal"),"疑似",IF(AND(M938="positive",O938="positive"),"a",IF(O938="positive","b",IF(M938="positive","c","d")))))</x:f>
        <x:v>d</x:v>
      </x:c>
      <x:c r="Q938" s="12"/>
      <x:c r="R938" s="12" t="str">
        <x:v>negative</x:v>
      </x:c>
      <x:c r="S938" s="12"/>
      <x:c r="T938" s="12" t="str">
        <x:v>negative</x:v>
      </x:c>
      <x:c r="U938" s="12" t="str">
        <x:f>IF(OR(R938="unavailable",T938="unavailable"),"不可评价",IF(OR(R938="equivocal",T938="equivocal"),"疑似",IF(AND(R938="positive",T938="positive"),"a",IF(T938="positive","b",IF(R938="positive","c","d")))))</x:f>
        <x:v>d</x:v>
      </x:c>
      <x:c r="V938" s="12"/>
      <x:c r="W938" s="12" t="str">
        <x:v>negative</x:v>
      </x:c>
      <x:c r="X938" s="12"/>
      <x:c r="Y938" s="12" t="str">
        <x:v>negative</x:v>
      </x:c>
      <x:c r="Z938" s="12" t="str">
        <x:f>IF(OR(W938="unavailable",Y938="unavailable"),"不可评价",IF(OR(W938="equivocal",Y938="equivocal"),"疑似",IF(AND(W938="positive",Y938="positive"),"a",IF(Y938="positive","b",IF(W938="positive","c","d")))))</x:f>
        <x:v>d</x:v>
      </x:c>
      <x:c r="AA938" s="12" t="str">
        <x:f>IF(OR(M938="unavailable",O938="unavailable"),"不可评价",IF(AND(OR(M938="positive",M938="equivocal"),OR(O938="positive",O938="equivocal")),"a",IF(OR(O938="positive",O938="equivocal"),"b",IF(OR(M938="positive",M938="equivocal"),"c","d"))))</x:f>
        <x:v>d</x:v>
      </x:c>
      <x:c r="AB938" s="12" t="str">
        <x:f>IF(OR(M938="unavailable",O938="unavailable"),"不可评价",IF(AND(M938="positive",O938="positive"),"a",IF(O938="positive","b",IF(M938="positive","c","d"))))</x:f>
        <x:v>d</x:v>
      </x:c>
      <x:c r="AC938" s="12" t="str">
        <x:f>IF(OR(R938="unavailable",T938="unavailable"),"不可评价",IF(AND(OR(R938="positive",R938="equivocal"),OR(T938="positive",T938="equivocal")),"a",IF(OR(T938="positive",T938="equivocal"),"b",IF(OR(R938="positive",R938="equivocal"),"c","d"))))</x:f>
        <x:v>d</x:v>
      </x:c>
      <x:c r="AD938" s="12" t="str">
        <x:f>IF(OR(R938="unavailable",T938="unavailable"),"不可评价",IF(AND(R938="positive",T938="positive"),"a",IF(T938="positive","b",IF(R938="positive","c","d"))))</x:f>
        <x:v>d</x:v>
      </x:c>
      <x:c r="AE938" s="12" t="str">
        <x:f>IF(OR(W938="unavailable",Y938="unavailable"),"不可评价",IF(AND(OR(W938="positive",W938="equivocal"),OR(Y938="positive",Y938="equivocal")),"a",IF(OR(Y938="positive",Y938="equivocal"),"b",IF(OR(W938="positive",W938="equivocal"),"c","d"))))</x:f>
        <x:v>d</x:v>
      </x:c>
      <x:c r="AF938" s="12" t="str">
        <x:f>IF(OR(W938="unavailable",Y938="unavailable"),"不可评价",IF(AND(W938="positive",Y938="positive"),"a",IF(Y938="positive","b",IF(W938="positive","c","d"))))</x:f>
        <x:v>d</x:v>
      </x:c>
    </x:row>
    <x:row r="939" ht="24" customHeight="1">
      <x:c r="A939" s="12" t="str">
        <x:v>8185</x:v>
      </x:c>
      <x:c r="B939" s="12" t="str">
        <x:v>12672</x:v>
      </x:c>
      <x:c r="C939" s="21" t="n">
        <x:v>33758.68601851852</x:v>
      </x:c>
      <x:c r="D939" s="12" t="n">
        <x:v>63</x:v>
      </x:c>
      <x:c r="E939" s="12" t="n">
        <x:v>0</x:v>
      </x:c>
      <x:c r="F939" s="12" t="str">
        <x:v>未记录</x:v>
      </x:c>
      <x:c r="G939" s="12" t="n">
        <x:v>1</x:v>
      </x:c>
      <x:c r="H939" s="12" t="str">
        <x:v>{'IRBBB': 100.0, 'SR': 0.0}</x:v>
      </x:c>
      <x:c r="I939" s="12" t="str">
        <x:v>[('NSR', 100.0), ('BORDE', 100.0)]</x:v>
      </x:c>
      <x:c r="J939" s="12" t="str">
        <x:v>ptbxl_database.csv；ecg_id=8185；scp_codes</x:v>
      </x:c>
      <x:c r="K939" s="12" t="str">
        <x:v>12sl_statements.csv；ecg_id=8185；statements_ext_snomed</x:v>
      </x:c>
      <x:c r="L939" s="12"/>
      <x:c r="M939" s="12" t="str">
        <x:v>negative</x:v>
      </x:c>
      <x:c r="N939" s="12"/>
      <x:c r="O939" s="12" t="str">
        <x:v>negative</x:v>
      </x:c>
      <x:c r="P939" s="12" t="str">
        <x:f>IF(OR(M939="unavailable",O939="unavailable"),"不可评价",IF(OR(M939="equivocal",O939="equivocal"),"疑似",IF(AND(M939="positive",O939="positive"),"a",IF(O939="positive","b",IF(M939="positive","c","d")))))</x:f>
        <x:v>d</x:v>
      </x:c>
      <x:c r="Q939" s="12"/>
      <x:c r="R939" s="12" t="str">
        <x:v>negative</x:v>
      </x:c>
      <x:c r="S939" s="12"/>
      <x:c r="T939" s="12" t="str">
        <x:v>negative</x:v>
      </x:c>
      <x:c r="U939" s="12" t="str">
        <x:f>IF(OR(R939="unavailable",T939="unavailable"),"不可评价",IF(OR(R939="equivocal",T939="equivocal"),"疑似",IF(AND(R939="positive",T939="positive"),"a",IF(T939="positive","b",IF(R939="positive","c","d")))))</x:f>
        <x:v>d</x:v>
      </x:c>
      <x:c r="V939" s="12"/>
      <x:c r="W939" s="12" t="str">
        <x:v>negative</x:v>
      </x:c>
      <x:c r="X939" s="12"/>
      <x:c r="Y939" s="12" t="str">
        <x:v>negative</x:v>
      </x:c>
      <x:c r="Z939" s="12" t="str">
        <x:f>IF(OR(W939="unavailable",Y939="unavailable"),"不可评价",IF(OR(W939="equivocal",Y939="equivocal"),"疑似",IF(AND(W939="positive",Y939="positive"),"a",IF(Y939="positive","b",IF(W939="positive","c","d")))))</x:f>
        <x:v>d</x:v>
      </x:c>
      <x:c r="AA939" s="12" t="str">
        <x:f>IF(OR(M939="unavailable",O939="unavailable"),"不可评价",IF(AND(OR(M939="positive",M939="equivocal"),OR(O939="positive",O939="equivocal")),"a",IF(OR(O939="positive",O939="equivocal"),"b",IF(OR(M939="positive",M939="equivocal"),"c","d"))))</x:f>
        <x:v>d</x:v>
      </x:c>
      <x:c r="AB939" s="12" t="str">
        <x:f>IF(OR(M939="unavailable",O939="unavailable"),"不可评价",IF(AND(M939="positive",O939="positive"),"a",IF(O939="positive","b",IF(M939="positive","c","d"))))</x:f>
        <x:v>d</x:v>
      </x:c>
      <x:c r="AC939" s="12" t="str">
        <x:f>IF(OR(R939="unavailable",T939="unavailable"),"不可评价",IF(AND(OR(R939="positive",R939="equivocal"),OR(T939="positive",T939="equivocal")),"a",IF(OR(T939="positive",T939="equivocal"),"b",IF(OR(R939="positive",R939="equivocal"),"c","d"))))</x:f>
        <x:v>d</x:v>
      </x:c>
      <x:c r="AD939" s="12" t="str">
        <x:f>IF(OR(R939="unavailable",T939="unavailable"),"不可评价",IF(AND(R939="positive",T939="positive"),"a",IF(T939="positive","b",IF(R939="positive","c","d"))))</x:f>
        <x:v>d</x:v>
      </x:c>
      <x:c r="AE939" s="12" t="str">
        <x:f>IF(OR(W939="unavailable",Y939="unavailable"),"不可评价",IF(AND(OR(W939="positive",W939="equivocal"),OR(Y939="positive",Y939="equivocal")),"a",IF(OR(Y939="positive",Y939="equivocal"),"b",IF(OR(W939="positive",W939="equivocal"),"c","d"))))</x:f>
        <x:v>d</x:v>
      </x:c>
      <x:c r="AF939" s="12" t="str">
        <x:f>IF(OR(W939="unavailable",Y939="unavailable"),"不可评价",IF(AND(W939="positive",Y939="positive"),"a",IF(Y939="positive","b",IF(W939="positive","c","d"))))</x:f>
        <x:v>d</x:v>
      </x:c>
    </x:row>
    <x:row r="940" ht="24" customHeight="1">
      <x:c r="A940" s="12" t="str">
        <x:v>8195</x:v>
      </x:c>
      <x:c r="B940" s="12" t="str">
        <x:v>21683</x:v>
      </x:c>
      <x:c r="C940" s="21" t="n">
        <x:v>33761.40287037037</x:v>
      </x:c>
      <x:c r="D940" s="12" t="n">
        <x:v>49</x:v>
      </x:c>
      <x:c r="E940" s="12" t="n">
        <x:v>1</x:v>
      </x:c>
      <x:c r="F940" s="12" t="str">
        <x:v>未记录</x:v>
      </x:c>
      <x:c r="G940" s="12" t="n">
        <x:v>1</x:v>
      </x:c>
      <x:c r="H940" s="12" t="str">
        <x:v>{'IMI': 15.0, 'ABQRS': 0.0, 'SR': 0.0}</x:v>
      </x:c>
      <x:c r="I940" s="12" t="str">
        <x:v>[('SBRAD', 100.0), ('ABR', 100.0)]</x:v>
      </x:c>
      <x:c r="J940" s="12" t="str">
        <x:v>ptbxl_database.csv；ecg_id=8195；scp_codes</x:v>
      </x:c>
      <x:c r="K940" s="12" t="str">
        <x:v>12sl_statements.csv；ecg_id=8195；statements_ext_snomed</x:v>
      </x:c>
      <x:c r="L940" s="12"/>
      <x:c r="M940" s="12" t="str">
        <x:v>negative</x:v>
      </x:c>
      <x:c r="N940" s="12"/>
      <x:c r="O940" s="12" t="str">
        <x:v>negative</x:v>
      </x:c>
      <x:c r="P940" s="12" t="str">
        <x:f>IF(OR(M940="unavailable",O940="unavailable"),"不可评价",IF(OR(M940="equivocal",O940="equivocal"),"疑似",IF(AND(M940="positive",O940="positive"),"a",IF(O940="positive","b",IF(M940="positive","c","d")))))</x:f>
        <x:v>d</x:v>
      </x:c>
      <x:c r="Q940" s="12"/>
      <x:c r="R940" s="12" t="str">
        <x:v>negative</x:v>
      </x:c>
      <x:c r="S940" s="12"/>
      <x:c r="T940" s="12" t="str">
        <x:v>negative</x:v>
      </x:c>
      <x:c r="U940" s="12" t="str">
        <x:f>IF(OR(R940="unavailable",T940="unavailable"),"不可评价",IF(OR(R940="equivocal",T940="equivocal"),"疑似",IF(AND(R940="positive",T940="positive"),"a",IF(T940="positive","b",IF(R940="positive","c","d")))))</x:f>
        <x:v>d</x:v>
      </x:c>
      <x:c r="V940" s="12"/>
      <x:c r="W940" s="12" t="str">
        <x:v>negative</x:v>
      </x:c>
      <x:c r="X940" s="12"/>
      <x:c r="Y940" s="12" t="str">
        <x:v>negative</x:v>
      </x:c>
      <x:c r="Z940" s="12" t="str">
        <x:f>IF(OR(W940="unavailable",Y940="unavailable"),"不可评价",IF(OR(W940="equivocal",Y940="equivocal"),"疑似",IF(AND(W940="positive",Y940="positive"),"a",IF(Y940="positive","b",IF(W940="positive","c","d")))))</x:f>
        <x:v>d</x:v>
      </x:c>
      <x:c r="AA940" s="12" t="str">
        <x:f>IF(OR(M940="unavailable",O940="unavailable"),"不可评价",IF(AND(OR(M940="positive",M940="equivocal"),OR(O940="positive",O940="equivocal")),"a",IF(OR(O940="positive",O940="equivocal"),"b",IF(OR(M940="positive",M940="equivocal"),"c","d"))))</x:f>
        <x:v>d</x:v>
      </x:c>
      <x:c r="AB940" s="12" t="str">
        <x:f>IF(OR(M940="unavailable",O940="unavailable"),"不可评价",IF(AND(M940="positive",O940="positive"),"a",IF(O940="positive","b",IF(M940="positive","c","d"))))</x:f>
        <x:v>d</x:v>
      </x:c>
      <x:c r="AC940" s="12" t="str">
        <x:f>IF(OR(R940="unavailable",T940="unavailable"),"不可评价",IF(AND(OR(R940="positive",R940="equivocal"),OR(T940="positive",T940="equivocal")),"a",IF(OR(T940="positive",T940="equivocal"),"b",IF(OR(R940="positive",R940="equivocal"),"c","d"))))</x:f>
        <x:v>d</x:v>
      </x:c>
      <x:c r="AD940" s="12" t="str">
        <x:f>IF(OR(R940="unavailable",T940="unavailable"),"不可评价",IF(AND(R940="positive",T940="positive"),"a",IF(T940="positive","b",IF(R940="positive","c","d"))))</x:f>
        <x:v>d</x:v>
      </x:c>
      <x:c r="AE940" s="12" t="str">
        <x:f>IF(OR(W940="unavailable",Y940="unavailable"),"不可评价",IF(AND(OR(W940="positive",W940="equivocal"),OR(Y940="positive",Y940="equivocal")),"a",IF(OR(Y940="positive",Y940="equivocal"),"b",IF(OR(W940="positive",W940="equivocal"),"c","d"))))</x:f>
        <x:v>d</x:v>
      </x:c>
      <x:c r="AF940" s="12" t="str">
        <x:f>IF(OR(W940="unavailable",Y940="unavailable"),"不可评价",IF(AND(W940="positive",Y940="positive"),"a",IF(Y940="positive","b",IF(W940="positive","c","d"))))</x:f>
        <x:v>d</x:v>
      </x:c>
    </x:row>
    <x:row r="941" ht="24" customHeight="1">
      <x:c r="A941" s="12" t="str">
        <x:v>8203</x:v>
      </x:c>
      <x:c r="B941" s="12" t="str">
        <x:v>14750</x:v>
      </x:c>
      <x:c r="C941" s="21" t="n">
        <x:v>33763.637557870374</x:v>
      </x:c>
      <x:c r="D941" s="12" t="n">
        <x:v>51</x:v>
      </x:c>
      <x:c r="E941" s="12" t="n">
        <x:v>0</x:v>
      </x:c>
      <x:c r="F941" s="12" t="str">
        <x:v>未记录</x:v>
      </x:c>
      <x:c r="G941" s="12" t="n">
        <x:v>1</x:v>
      </x:c>
      <x:c r="H941" s="12" t="str">
        <x:v>{'NORM': 50.0, 'ABQRS': 0.0, 'SR': 0.0}</x:v>
      </x:c>
      <x:c r="I941" s="12" t="str">
        <x:v>[('NSR', 100.0), ('NML', 100.0)]</x:v>
      </x:c>
      <x:c r="J941" s="12" t="str">
        <x:v>ptbxl_database.csv；ecg_id=8203；scp_codes</x:v>
      </x:c>
      <x:c r="K941" s="12" t="str">
        <x:v>12sl_statements.csv；ecg_id=8203；statements_ext_snomed</x:v>
      </x:c>
      <x:c r="L941" s="12"/>
      <x:c r="M941" s="12" t="str">
        <x:v>negative</x:v>
      </x:c>
      <x:c r="N941" s="12"/>
      <x:c r="O941" s="12" t="str">
        <x:v>negative</x:v>
      </x:c>
      <x:c r="P941" s="12" t="str">
        <x:f>IF(OR(M941="unavailable",O941="unavailable"),"不可评价",IF(OR(M941="equivocal",O941="equivocal"),"疑似",IF(AND(M941="positive",O941="positive"),"a",IF(O941="positive","b",IF(M941="positive","c","d")))))</x:f>
        <x:v>d</x:v>
      </x:c>
      <x:c r="Q941" s="12"/>
      <x:c r="R941" s="12" t="str">
        <x:v>negative</x:v>
      </x:c>
      <x:c r="S941" s="12"/>
      <x:c r="T941" s="12" t="str">
        <x:v>negative</x:v>
      </x:c>
      <x:c r="U941" s="12" t="str">
        <x:f>IF(OR(R941="unavailable",T941="unavailable"),"不可评价",IF(OR(R941="equivocal",T941="equivocal"),"疑似",IF(AND(R941="positive",T941="positive"),"a",IF(T941="positive","b",IF(R941="positive","c","d")))))</x:f>
        <x:v>d</x:v>
      </x:c>
      <x:c r="V941" s="12"/>
      <x:c r="W941" s="12" t="str">
        <x:v>negative</x:v>
      </x:c>
      <x:c r="X941" s="12"/>
      <x:c r="Y941" s="12" t="str">
        <x:v>negative</x:v>
      </x:c>
      <x:c r="Z941" s="12" t="str">
        <x:f>IF(OR(W941="unavailable",Y941="unavailable"),"不可评价",IF(OR(W941="equivocal",Y941="equivocal"),"疑似",IF(AND(W941="positive",Y941="positive"),"a",IF(Y941="positive","b",IF(W941="positive","c","d")))))</x:f>
        <x:v>d</x:v>
      </x:c>
      <x:c r="AA941" s="12" t="str">
        <x:f>IF(OR(M941="unavailable",O941="unavailable"),"不可评价",IF(AND(OR(M941="positive",M941="equivocal"),OR(O941="positive",O941="equivocal")),"a",IF(OR(O941="positive",O941="equivocal"),"b",IF(OR(M941="positive",M941="equivocal"),"c","d"))))</x:f>
        <x:v>d</x:v>
      </x:c>
      <x:c r="AB941" s="12" t="str">
        <x:f>IF(OR(M941="unavailable",O941="unavailable"),"不可评价",IF(AND(M941="positive",O941="positive"),"a",IF(O941="positive","b",IF(M941="positive","c","d"))))</x:f>
        <x:v>d</x:v>
      </x:c>
      <x:c r="AC941" s="12" t="str">
        <x:f>IF(OR(R941="unavailable",T941="unavailable"),"不可评价",IF(AND(OR(R941="positive",R941="equivocal"),OR(T941="positive",T941="equivocal")),"a",IF(OR(T941="positive",T941="equivocal"),"b",IF(OR(R941="positive",R941="equivocal"),"c","d"))))</x:f>
        <x:v>d</x:v>
      </x:c>
      <x:c r="AD941" s="12" t="str">
        <x:f>IF(OR(R941="unavailable",T941="unavailable"),"不可评价",IF(AND(R941="positive",T941="positive"),"a",IF(T941="positive","b",IF(R941="positive","c","d"))))</x:f>
        <x:v>d</x:v>
      </x:c>
      <x:c r="AE941" s="12" t="str">
        <x:f>IF(OR(W941="unavailable",Y941="unavailable"),"不可评价",IF(AND(OR(W941="positive",W941="equivocal"),OR(Y941="positive",Y941="equivocal")),"a",IF(OR(Y941="positive",Y941="equivocal"),"b",IF(OR(W941="positive",W941="equivocal"),"c","d"))))</x:f>
        <x:v>d</x:v>
      </x:c>
      <x:c r="AF941" s="12" t="str">
        <x:f>IF(OR(W941="unavailable",Y941="unavailable"),"不可评价",IF(AND(W941="positive",Y941="positive"),"a",IF(Y941="positive","b",IF(W941="positive","c","d"))))</x:f>
        <x:v>d</x:v>
      </x:c>
    </x:row>
    <x:row r="942" ht="24" customHeight="1">
      <x:c r="A942" s="12" t="str">
        <x:v>8208</x:v>
      </x:c>
      <x:c r="B942" s="12" t="str">
        <x:v>12834</x:v>
      </x:c>
      <x:c r="C942" s="21" t="n">
        <x:v>33764.54827546296</x:v>
      </x:c>
      <x:c r="D942" s="12" t="n">
        <x:v>58</x:v>
      </x:c>
      <x:c r="E942" s="12" t="n">
        <x:v>0</x:v>
      </x:c>
      <x:c r="F942" s="12" t="str">
        <x:v>未记录</x:v>
      </x:c>
      <x:c r="G942" s="12" t="n">
        <x:v>1</x:v>
      </x:c>
      <x:c r="H942" s="12" t="str">
        <x:v>{'NORM': 50.0, 'SR': 0.0}</x:v>
      </x:c>
      <x:c r="I942" s="12" t="str">
        <x:v>[('NSR', 100.0), ('NML', 100.0)]</x:v>
      </x:c>
      <x:c r="J942" s="12" t="str">
        <x:v>ptbxl_database.csv；ecg_id=8208；scp_codes</x:v>
      </x:c>
      <x:c r="K942" s="12" t="str">
        <x:v>12sl_statements.csv；ecg_id=8208；statements_ext_snomed</x:v>
      </x:c>
      <x:c r="L942" s="12"/>
      <x:c r="M942" s="12" t="str">
        <x:v>negative</x:v>
      </x:c>
      <x:c r="N942" s="12"/>
      <x:c r="O942" s="12" t="str">
        <x:v>negative</x:v>
      </x:c>
      <x:c r="P942" s="12" t="str">
        <x:f>IF(OR(M942="unavailable",O942="unavailable"),"不可评价",IF(OR(M942="equivocal",O942="equivocal"),"疑似",IF(AND(M942="positive",O942="positive"),"a",IF(O942="positive","b",IF(M942="positive","c","d")))))</x:f>
        <x:v>d</x:v>
      </x:c>
      <x:c r="Q942" s="12"/>
      <x:c r="R942" s="12" t="str">
        <x:v>negative</x:v>
      </x:c>
      <x:c r="S942" s="12"/>
      <x:c r="T942" s="12" t="str">
        <x:v>negative</x:v>
      </x:c>
      <x:c r="U942" s="12" t="str">
        <x:f>IF(OR(R942="unavailable",T942="unavailable"),"不可评价",IF(OR(R942="equivocal",T942="equivocal"),"疑似",IF(AND(R942="positive",T942="positive"),"a",IF(T942="positive","b",IF(R942="positive","c","d")))))</x:f>
        <x:v>d</x:v>
      </x:c>
      <x:c r="V942" s="12"/>
      <x:c r="W942" s="12" t="str">
        <x:v>negative</x:v>
      </x:c>
      <x:c r="X942" s="12"/>
      <x:c r="Y942" s="12" t="str">
        <x:v>negative</x:v>
      </x:c>
      <x:c r="Z942" s="12" t="str">
        <x:f>IF(OR(W942="unavailable",Y942="unavailable"),"不可评价",IF(OR(W942="equivocal",Y942="equivocal"),"疑似",IF(AND(W942="positive",Y942="positive"),"a",IF(Y942="positive","b",IF(W942="positive","c","d")))))</x:f>
        <x:v>d</x:v>
      </x:c>
      <x:c r="AA942" s="12" t="str">
        <x:f>IF(OR(M942="unavailable",O942="unavailable"),"不可评价",IF(AND(OR(M942="positive",M942="equivocal"),OR(O942="positive",O942="equivocal")),"a",IF(OR(O942="positive",O942="equivocal"),"b",IF(OR(M942="positive",M942="equivocal"),"c","d"))))</x:f>
        <x:v>d</x:v>
      </x:c>
      <x:c r="AB942" s="12" t="str">
        <x:f>IF(OR(M942="unavailable",O942="unavailable"),"不可评价",IF(AND(M942="positive",O942="positive"),"a",IF(O942="positive","b",IF(M942="positive","c","d"))))</x:f>
        <x:v>d</x:v>
      </x:c>
      <x:c r="AC942" s="12" t="str">
        <x:f>IF(OR(R942="unavailable",T942="unavailable"),"不可评价",IF(AND(OR(R942="positive",R942="equivocal"),OR(T942="positive",T942="equivocal")),"a",IF(OR(T942="positive",T942="equivocal"),"b",IF(OR(R942="positive",R942="equivocal"),"c","d"))))</x:f>
        <x:v>d</x:v>
      </x:c>
      <x:c r="AD942" s="12" t="str">
        <x:f>IF(OR(R942="unavailable",T942="unavailable"),"不可评价",IF(AND(R942="positive",T942="positive"),"a",IF(T942="positive","b",IF(R942="positive","c","d"))))</x:f>
        <x:v>d</x:v>
      </x:c>
      <x:c r="AE942" s="12" t="str">
        <x:f>IF(OR(W942="unavailable",Y942="unavailable"),"不可评价",IF(AND(OR(W942="positive",W942="equivocal"),OR(Y942="positive",Y942="equivocal")),"a",IF(OR(Y942="positive",Y942="equivocal"),"b",IF(OR(W942="positive",W942="equivocal"),"c","d"))))</x:f>
        <x:v>d</x:v>
      </x:c>
      <x:c r="AF942" s="12" t="str">
        <x:f>IF(OR(W942="unavailable",Y942="unavailable"),"不可评价",IF(AND(W942="positive",Y942="positive"),"a",IF(Y942="positive","b",IF(W942="positive","c","d"))))</x:f>
        <x:v>d</x:v>
      </x:c>
    </x:row>
    <x:row r="943" ht="24" customHeight="1">
      <x:c r="A943" s="12" t="str">
        <x:v>8209</x:v>
      </x:c>
      <x:c r="B943" s="12" t="str">
        <x:v>12281</x:v>
      </x:c>
      <x:c r="C943" s="21" t="n">
        <x:v>33764.661527777775</x:v>
      </x:c>
      <x:c r="D943" s="12" t="n">
        <x:v>55</x:v>
      </x:c>
      <x:c r="E943" s="12" t="n">
        <x:v>0</x:v>
      </x:c>
      <x:c r="F943" s="12" t="str">
        <x:v>未记录</x:v>
      </x:c>
      <x:c r="G943" s="12" t="n">
        <x:v>0</x:v>
      </x:c>
      <x:c r="H943" s="12" t="str">
        <x:v>{'LVH': 100.0, 'ISC_': 100.0, 'SR': 0.0}</x:v>
      </x:c>
      <x:c r="I943" s="12" t="str">
        <x:v>[('NSR', 100.0), ('LAE', 50.0), ('ST&amp;', 100.0), ('ILT', 100.0), ('AB', 100.0)]</x:v>
      </x:c>
      <x:c r="J943" s="12" t="str">
        <x:v>ptbxl_database.csv；ecg_id=8209；scp_codes</x:v>
      </x:c>
      <x:c r="K943" s="12" t="str">
        <x:v>12sl_statements.csv；ecg_id=8209；statements_ext_snomed</x:v>
      </x:c>
      <x:c r="L943" s="12"/>
      <x:c r="M943" s="12" t="str">
        <x:v>negative</x:v>
      </x:c>
      <x:c r="N943" s="12"/>
      <x:c r="O943" s="12" t="str">
        <x:v>negative</x:v>
      </x:c>
      <x:c r="P943" s="12" t="str">
        <x:f>IF(OR(M943="unavailable",O943="unavailable"),"不可评价",IF(OR(M943="equivocal",O943="equivocal"),"疑似",IF(AND(M943="positive",O943="positive"),"a",IF(O943="positive","b",IF(M943="positive","c","d")))))</x:f>
        <x:v>d</x:v>
      </x:c>
      <x:c r="Q943" s="12"/>
      <x:c r="R943" s="12" t="str">
        <x:v>negative</x:v>
      </x:c>
      <x:c r="S943" s="12"/>
      <x:c r="T943" s="12" t="str">
        <x:v>negative</x:v>
      </x:c>
      <x:c r="U943" s="12" t="str">
        <x:f>IF(OR(R943="unavailable",T943="unavailable"),"不可评价",IF(OR(R943="equivocal",T943="equivocal"),"疑似",IF(AND(R943="positive",T943="positive"),"a",IF(T943="positive","b",IF(R943="positive","c","d")))))</x:f>
        <x:v>d</x:v>
      </x:c>
      <x:c r="V943" s="12"/>
      <x:c r="W943" s="12" t="str">
        <x:v>negative</x:v>
      </x:c>
      <x:c r="X943" s="12"/>
      <x:c r="Y943" s="12" t="str">
        <x:v>negative</x:v>
      </x:c>
      <x:c r="Z943" s="12" t="str">
        <x:f>IF(OR(W943="unavailable",Y943="unavailable"),"不可评价",IF(OR(W943="equivocal",Y943="equivocal"),"疑似",IF(AND(W943="positive",Y943="positive"),"a",IF(Y943="positive","b",IF(W943="positive","c","d")))))</x:f>
        <x:v>d</x:v>
      </x:c>
      <x:c r="AA943" s="12" t="str">
        <x:f>IF(OR(M943="unavailable",O943="unavailable"),"不可评价",IF(AND(OR(M943="positive",M943="equivocal"),OR(O943="positive",O943="equivocal")),"a",IF(OR(O943="positive",O943="equivocal"),"b",IF(OR(M943="positive",M943="equivocal"),"c","d"))))</x:f>
        <x:v>d</x:v>
      </x:c>
      <x:c r="AB943" s="12" t="str">
        <x:f>IF(OR(M943="unavailable",O943="unavailable"),"不可评价",IF(AND(M943="positive",O943="positive"),"a",IF(O943="positive","b",IF(M943="positive","c","d"))))</x:f>
        <x:v>d</x:v>
      </x:c>
      <x:c r="AC943" s="12" t="str">
        <x:f>IF(OR(R943="unavailable",T943="unavailable"),"不可评价",IF(AND(OR(R943="positive",R943="equivocal"),OR(T943="positive",T943="equivocal")),"a",IF(OR(T943="positive",T943="equivocal"),"b",IF(OR(R943="positive",R943="equivocal"),"c","d"))))</x:f>
        <x:v>d</x:v>
      </x:c>
      <x:c r="AD943" s="12" t="str">
        <x:f>IF(OR(R943="unavailable",T943="unavailable"),"不可评价",IF(AND(R943="positive",T943="positive"),"a",IF(T943="positive","b",IF(R943="positive","c","d"))))</x:f>
        <x:v>d</x:v>
      </x:c>
      <x:c r="AE943" s="12" t="str">
        <x:f>IF(OR(W943="unavailable",Y943="unavailable"),"不可评价",IF(AND(OR(W943="positive",W943="equivocal"),OR(Y943="positive",Y943="equivocal")),"a",IF(OR(Y943="positive",Y943="equivocal"),"b",IF(OR(W943="positive",W943="equivocal"),"c","d"))))</x:f>
        <x:v>d</x:v>
      </x:c>
      <x:c r="AF943" s="12" t="str">
        <x:f>IF(OR(W943="unavailable",Y943="unavailable"),"不可评价",IF(AND(W943="positive",Y943="positive"),"a",IF(Y943="positive","b",IF(W943="positive","c","d"))))</x:f>
        <x:v>d</x:v>
      </x:c>
    </x:row>
    <x:row r="944" ht="24" customHeight="1">
      <x:c r="A944" s="12" t="str">
        <x:v>8212</x:v>
      </x:c>
      <x:c r="B944" s="12" t="str">
        <x:v>19410</x:v>
      </x:c>
      <x:c r="C944" s="21" t="n">
        <x:v>33765.487291666665</x:v>
      </x:c>
      <x:c r="D944" s="12" t="n">
        <x:v>77</x:v>
      </x:c>
      <x:c r="E944" s="12" t="n">
        <x:v>1</x:v>
      </x:c>
      <x:c r="F944" s="12" t="str">
        <x:v>未记录</x:v>
      </x:c>
      <x:c r="G944" s="12" t="n">
        <x:v>0</x:v>
      </x:c>
      <x:c r="H944" s="12" t="str">
        <x:v>{'NDT': 100.0, 'SR': 0.0}</x:v>
      </x:c>
      <x:c r="I944" s="12" t="str">
        <x:v>[('NSR', 100.0), ('NT', 100.0), ('AB', 100.0)]</x:v>
      </x:c>
      <x:c r="J944" s="12" t="str">
        <x:v>ptbxl_database.csv；ecg_id=8212；scp_codes</x:v>
      </x:c>
      <x:c r="K944" s="12" t="str">
        <x:v>12sl_statements.csv；ecg_id=8212；statements_ext_snomed</x:v>
      </x:c>
      <x:c r="L944" s="12"/>
      <x:c r="M944" s="12" t="str">
        <x:v>negative</x:v>
      </x:c>
      <x:c r="N944" s="12"/>
      <x:c r="O944" s="12" t="str">
        <x:v>negative</x:v>
      </x:c>
      <x:c r="P944" s="12" t="str">
        <x:f>IF(OR(M944="unavailable",O944="unavailable"),"不可评价",IF(OR(M944="equivocal",O944="equivocal"),"疑似",IF(AND(M944="positive",O944="positive"),"a",IF(O944="positive","b",IF(M944="positive","c","d")))))</x:f>
        <x:v>d</x:v>
      </x:c>
      <x:c r="Q944" s="12"/>
      <x:c r="R944" s="12" t="str">
        <x:v>negative</x:v>
      </x:c>
      <x:c r="S944" s="12"/>
      <x:c r="T944" s="12" t="str">
        <x:v>negative</x:v>
      </x:c>
      <x:c r="U944" s="12" t="str">
        <x:f>IF(OR(R944="unavailable",T944="unavailable"),"不可评价",IF(OR(R944="equivocal",T944="equivocal"),"疑似",IF(AND(R944="positive",T944="positive"),"a",IF(T944="positive","b",IF(R944="positive","c","d")))))</x:f>
        <x:v>d</x:v>
      </x:c>
      <x:c r="V944" s="12"/>
      <x:c r="W944" s="12" t="str">
        <x:v>negative</x:v>
      </x:c>
      <x:c r="X944" s="12"/>
      <x:c r="Y944" s="12" t="str">
        <x:v>negative</x:v>
      </x:c>
      <x:c r="Z944" s="12" t="str">
        <x:f>IF(OR(W944="unavailable",Y944="unavailable"),"不可评价",IF(OR(W944="equivocal",Y944="equivocal"),"疑似",IF(AND(W944="positive",Y944="positive"),"a",IF(Y944="positive","b",IF(W944="positive","c","d")))))</x:f>
        <x:v>d</x:v>
      </x:c>
      <x:c r="AA944" s="12" t="str">
        <x:f>IF(OR(M944="unavailable",O944="unavailable"),"不可评价",IF(AND(OR(M944="positive",M944="equivocal"),OR(O944="positive",O944="equivocal")),"a",IF(OR(O944="positive",O944="equivocal"),"b",IF(OR(M944="positive",M944="equivocal"),"c","d"))))</x:f>
        <x:v>d</x:v>
      </x:c>
      <x:c r="AB944" s="12" t="str">
        <x:f>IF(OR(M944="unavailable",O944="unavailable"),"不可评价",IF(AND(M944="positive",O944="positive"),"a",IF(O944="positive","b",IF(M944="positive","c","d"))))</x:f>
        <x:v>d</x:v>
      </x:c>
      <x:c r="AC944" s="12" t="str">
        <x:f>IF(OR(R944="unavailable",T944="unavailable"),"不可评价",IF(AND(OR(R944="positive",R944="equivocal"),OR(T944="positive",T944="equivocal")),"a",IF(OR(T944="positive",T944="equivocal"),"b",IF(OR(R944="positive",R944="equivocal"),"c","d"))))</x:f>
        <x:v>d</x:v>
      </x:c>
      <x:c r="AD944" s="12" t="str">
        <x:f>IF(OR(R944="unavailable",T944="unavailable"),"不可评价",IF(AND(R944="positive",T944="positive"),"a",IF(T944="positive","b",IF(R944="positive","c","d"))))</x:f>
        <x:v>d</x:v>
      </x:c>
      <x:c r="AE944" s="12" t="str">
        <x:f>IF(OR(W944="unavailable",Y944="unavailable"),"不可评价",IF(AND(OR(W944="positive",W944="equivocal"),OR(Y944="positive",Y944="equivocal")),"a",IF(OR(Y944="positive",Y944="equivocal"),"b",IF(OR(W944="positive",W944="equivocal"),"c","d"))))</x:f>
        <x:v>d</x:v>
      </x:c>
      <x:c r="AF944" s="12" t="str">
        <x:f>IF(OR(W944="unavailable",Y944="unavailable"),"不可评价",IF(AND(W944="positive",Y944="positive"),"a",IF(Y944="positive","b",IF(W944="positive","c","d"))))</x:f>
        <x:v>d</x:v>
      </x:c>
    </x:row>
    <x:row r="945" ht="24" customHeight="1">
      <x:c r="A945" s="12" t="str">
        <x:v>8215</x:v>
      </x:c>
      <x:c r="B945" s="12" t="str">
        <x:v>14026</x:v>
      </x:c>
      <x:c r="C945" s="21" t="n">
        <x:v>33766.57813657408</x:v>
      </x:c>
      <x:c r="D945" s="12" t="n">
        <x:v>71</x:v>
      </x:c>
      <x:c r="E945" s="12" t="n">
        <x:v>1</x:v>
      </x:c>
      <x:c r="F945" s="12" t="str">
        <x:v>未记录</x:v>
      </x:c>
      <x:c r="G945" s="12" t="n">
        <x:v>1</x:v>
      </x:c>
      <x:c r="H945" s="12" t="str">
        <x:v>{'AFIB': 100.0}</x:v>
      </x:c>
      <x:c r="I945" s="12" t="str">
        <x:v>[('AFIB', 100.0), ('AB', 100.0)]</x:v>
      </x:c>
      <x:c r="J945" s="12" t="str">
        <x:v>ptbxl_database.csv；ecg_id=8215；scp_codes</x:v>
      </x:c>
      <x:c r="K945" s="12" t="str">
        <x:v>12sl_statements.csv；ecg_id=8215；statements_ext_snomed</x:v>
      </x:c>
      <x:c r="L945" s="12" t="n">
        <x:v>100</x:v>
      </x:c>
      <x:c r="M945" s="12" t="str">
        <x:v>positive</x:v>
      </x:c>
      <x:c r="N945" s="12" t="n">
        <x:v>100</x:v>
      </x:c>
      <x:c r="O945" s="12" t="str">
        <x:v>positive</x:v>
      </x:c>
      <x:c r="P945" s="12" t="str">
        <x:f>IF(OR(M945="unavailable",O945="unavailable"),"不可评价",IF(OR(M945="equivocal",O945="equivocal"),"疑似",IF(AND(M945="positive",O945="positive"),"a",IF(O945="positive","b",IF(M945="positive","c","d")))))</x:f>
        <x:v>a</x:v>
      </x:c>
      <x:c r="Q945" s="12"/>
      <x:c r="R945" s="12" t="str">
        <x:v>negative</x:v>
      </x:c>
      <x:c r="S945" s="12"/>
      <x:c r="T945" s="12" t="str">
        <x:v>negative</x:v>
      </x:c>
      <x:c r="U945" s="12" t="str">
        <x:f>IF(OR(R945="unavailable",T945="unavailable"),"不可评价",IF(OR(R945="equivocal",T945="equivocal"),"疑似",IF(AND(R945="positive",T945="positive"),"a",IF(T945="positive","b",IF(R945="positive","c","d")))))</x:f>
        <x:v>d</x:v>
      </x:c>
      <x:c r="V945" s="12"/>
      <x:c r="W945" s="12" t="str">
        <x:v>negative</x:v>
      </x:c>
      <x:c r="X945" s="12"/>
      <x:c r="Y945" s="12" t="str">
        <x:v>negative</x:v>
      </x:c>
      <x:c r="Z945" s="12" t="str">
        <x:f>IF(OR(W945="unavailable",Y945="unavailable"),"不可评价",IF(OR(W945="equivocal",Y945="equivocal"),"疑似",IF(AND(W945="positive",Y945="positive"),"a",IF(Y945="positive","b",IF(W945="positive","c","d")))))</x:f>
        <x:v>d</x:v>
      </x:c>
      <x:c r="AA945" s="12" t="str">
        <x:f>IF(OR(M945="unavailable",O945="unavailable"),"不可评价",IF(AND(OR(M945="positive",M945="equivocal"),OR(O945="positive",O945="equivocal")),"a",IF(OR(O945="positive",O945="equivocal"),"b",IF(OR(M945="positive",M945="equivocal"),"c","d"))))</x:f>
        <x:v>a</x:v>
      </x:c>
      <x:c r="AB945" s="12" t="str">
        <x:f>IF(OR(M945="unavailable",O945="unavailable"),"不可评价",IF(AND(M945="positive",O945="positive"),"a",IF(O945="positive","b",IF(M945="positive","c","d"))))</x:f>
        <x:v>a</x:v>
      </x:c>
      <x:c r="AC945" s="12" t="str">
        <x:f>IF(OR(R945="unavailable",T945="unavailable"),"不可评价",IF(AND(OR(R945="positive",R945="equivocal"),OR(T945="positive",T945="equivocal")),"a",IF(OR(T945="positive",T945="equivocal"),"b",IF(OR(R945="positive",R945="equivocal"),"c","d"))))</x:f>
        <x:v>d</x:v>
      </x:c>
      <x:c r="AD945" s="12" t="str">
        <x:f>IF(OR(R945="unavailable",T945="unavailable"),"不可评价",IF(AND(R945="positive",T945="positive"),"a",IF(T945="positive","b",IF(R945="positive","c","d"))))</x:f>
        <x:v>d</x:v>
      </x:c>
      <x:c r="AE945" s="12" t="str">
        <x:f>IF(OR(W945="unavailable",Y945="unavailable"),"不可评价",IF(AND(OR(W945="positive",W945="equivocal"),OR(Y945="positive",Y945="equivocal")),"a",IF(OR(Y945="positive",Y945="equivocal"),"b",IF(OR(W945="positive",W945="equivocal"),"c","d"))))</x:f>
        <x:v>d</x:v>
      </x:c>
      <x:c r="AF945" s="12" t="str">
        <x:f>IF(OR(W945="unavailable",Y945="unavailable"),"不可评价",IF(AND(W945="positive",Y945="positive"),"a",IF(Y945="positive","b",IF(W945="positive","c","d"))))</x:f>
        <x:v>d</x:v>
      </x:c>
    </x:row>
    <x:row r="946" ht="39" customHeight="1">
      <x:c r="A946" s="12" t="str">
        <x:v>8218</x:v>
      </x:c>
      <x:c r="B946" s="12" t="str">
        <x:v>12375</x:v>
      </x:c>
      <x:c r="C946" s="21" t="n">
        <x:v>33768.38759259259</x:v>
      </x:c>
      <x:c r="D946" s="12" t="n">
        <x:v>78</x:v>
      </x:c>
      <x:c r="E946" s="12" t="n">
        <x:v>1</x:v>
      </x:c>
      <x:c r="F946" s="12" t="str">
        <x:v>存在</x:v>
      </x:c>
      <x:c r="G946" s="12" t="n">
        <x:v>1</x:v>
      </x:c>
      <x:c r="H946" s="12" t="str">
        <x:v>{'ASMI': 35.0, 'LAFB': 100.0, 'ABQRS': 0.0, 'AFIB': 0.0}</x:v>
      </x:c>
      <x:c r="I946" s="12" t="str">
        <x:v>[('AFIB', 100.0), ('LOWV', 100.0), ('IMI;AU', 100.0), ('AMI;AU', 15.0), ('ST&amp;', 100.0), ('LT', 100.0), ('AB', 100.0)]</x:v>
      </x:c>
      <x:c r="J946" s="12" t="str">
        <x:v>ptbxl_database.csv；ecg_id=8218；scp_codes</x:v>
      </x:c>
      <x:c r="K946" s="12" t="str">
        <x:v>12sl_statements.csv；ecg_id=8218；statements_ext_snomed</x:v>
      </x:c>
      <x:c r="L946" s="12" t="n">
        <x:v>0</x:v>
      </x:c>
      <x:c r="M946" s="12" t="str">
        <x:v>positive</x:v>
      </x:c>
      <x:c r="N946" s="12" t="n">
        <x:v>100</x:v>
      </x:c>
      <x:c r="O946" s="12" t="str">
        <x:v>positive</x:v>
      </x:c>
      <x:c r="P946" s="12" t="str">
        <x:f>IF(OR(M946="unavailable",O946="unavailable"),"不可评价",IF(OR(M946="equivocal",O946="equivocal"),"疑似",IF(AND(M946="positive",O946="positive"),"a",IF(O946="positive","b",IF(M946="positive","c","d")))))</x:f>
        <x:v>a</x:v>
      </x:c>
      <x:c r="Q946" s="12"/>
      <x:c r="R946" s="12" t="str">
        <x:v>negative</x:v>
      </x:c>
      <x:c r="S946" s="12"/>
      <x:c r="T946" s="12" t="str">
        <x:v>negative</x:v>
      </x:c>
      <x:c r="U946" s="12" t="str">
        <x:f>IF(OR(R946="unavailable",T946="unavailable"),"不可评价",IF(OR(R946="equivocal",T946="equivocal"),"疑似",IF(AND(R946="positive",T946="positive"),"a",IF(T946="positive","b",IF(R946="positive","c","d")))))</x:f>
        <x:v>d</x:v>
      </x:c>
      <x:c r="V946" s="12"/>
      <x:c r="W946" s="12" t="str">
        <x:v>negative</x:v>
      </x:c>
      <x:c r="X946" s="12"/>
      <x:c r="Y946" s="12" t="str">
        <x:v>negative</x:v>
      </x:c>
      <x:c r="Z946" s="12" t="str">
        <x:f>IF(OR(W946="unavailable",Y946="unavailable"),"不可评价",IF(OR(W946="equivocal",Y946="equivocal"),"疑似",IF(AND(W946="positive",Y946="positive"),"a",IF(Y946="positive","b",IF(W946="positive","c","d")))))</x:f>
        <x:v>d</x:v>
      </x:c>
      <x:c r="AA946" s="12" t="str">
        <x:f>IF(OR(M946="unavailable",O946="unavailable"),"不可评价",IF(AND(OR(M946="positive",M946="equivocal"),OR(O946="positive",O946="equivocal")),"a",IF(OR(O946="positive",O946="equivocal"),"b",IF(OR(M946="positive",M946="equivocal"),"c","d"))))</x:f>
        <x:v>a</x:v>
      </x:c>
      <x:c r="AB946" s="12" t="str">
        <x:f>IF(OR(M946="unavailable",O946="unavailable"),"不可评价",IF(AND(M946="positive",O946="positive"),"a",IF(O946="positive","b",IF(M946="positive","c","d"))))</x:f>
        <x:v>a</x:v>
      </x:c>
      <x:c r="AC946" s="12" t="str">
        <x:f>IF(OR(R946="unavailable",T946="unavailable"),"不可评价",IF(AND(OR(R946="positive",R946="equivocal"),OR(T946="positive",T946="equivocal")),"a",IF(OR(T946="positive",T946="equivocal"),"b",IF(OR(R946="positive",R946="equivocal"),"c","d"))))</x:f>
        <x:v>d</x:v>
      </x:c>
      <x:c r="AD946" s="12" t="str">
        <x:f>IF(OR(R946="unavailable",T946="unavailable"),"不可评价",IF(AND(R946="positive",T946="positive"),"a",IF(T946="positive","b",IF(R946="positive","c","d"))))</x:f>
        <x:v>d</x:v>
      </x:c>
      <x:c r="AE946" s="12" t="str">
        <x:f>IF(OR(W946="unavailable",Y946="unavailable"),"不可评价",IF(AND(OR(W946="positive",W946="equivocal"),OR(Y946="positive",Y946="equivocal")),"a",IF(OR(Y946="positive",Y946="equivocal"),"b",IF(OR(W946="positive",W946="equivocal"),"c","d"))))</x:f>
        <x:v>d</x:v>
      </x:c>
      <x:c r="AF946" s="12" t="str">
        <x:f>IF(OR(W946="unavailable",Y946="unavailable"),"不可评价",IF(AND(W946="positive",Y946="positive"),"a",IF(Y946="positive","b",IF(W946="positive","c","d"))))</x:f>
        <x:v>d</x:v>
      </x:c>
    </x:row>
    <x:row r="947" ht="24" customHeight="1">
      <x:c r="A947" s="12" t="str">
        <x:v>8219</x:v>
      </x:c>
      <x:c r="B947" s="12" t="str">
        <x:v>14026</x:v>
      </x:c>
      <x:c r="C947" s="21" t="n">
        <x:v>33768.79623842592</x:v>
      </x:c>
      <x:c r="D947" s="12" t="n">
        <x:v>71</x:v>
      </x:c>
      <x:c r="E947" s="12" t="n">
        <x:v>1</x:v>
      </x:c>
      <x:c r="F947" s="12" t="str">
        <x:v>未记录</x:v>
      </x:c>
      <x:c r="G947" s="12" t="n">
        <x:v>0</x:v>
      </x:c>
      <x:c r="H947" s="12" t="str">
        <x:v>{'NORM': 80.0, 'SBRAD': 0.0}</x:v>
      </x:c>
      <x:c r="I947" s="12" t="str">
        <x:v>[('SBRAD', 100.0), ('ABR', 100.0)]</x:v>
      </x:c>
      <x:c r="J947" s="12" t="str">
        <x:v>ptbxl_database.csv；ecg_id=8219；scp_codes</x:v>
      </x:c>
      <x:c r="K947" s="12" t="str">
        <x:v>12sl_statements.csv；ecg_id=8219；statements_ext_snomed</x:v>
      </x:c>
      <x:c r="L947" s="12"/>
      <x:c r="M947" s="12" t="str">
        <x:v>negative</x:v>
      </x:c>
      <x:c r="N947" s="12"/>
      <x:c r="O947" s="12" t="str">
        <x:v>negative</x:v>
      </x:c>
      <x:c r="P947" s="12" t="str">
        <x:f>IF(OR(M947="unavailable",O947="unavailable"),"不可评价",IF(OR(M947="equivocal",O947="equivocal"),"疑似",IF(AND(M947="positive",O947="positive"),"a",IF(O947="positive","b",IF(M947="positive","c","d")))))</x:f>
        <x:v>d</x:v>
      </x:c>
      <x:c r="Q947" s="12"/>
      <x:c r="R947" s="12" t="str">
        <x:v>negative</x:v>
      </x:c>
      <x:c r="S947" s="12"/>
      <x:c r="T947" s="12" t="str">
        <x:v>negative</x:v>
      </x:c>
      <x:c r="U947" s="12" t="str">
        <x:f>IF(OR(R947="unavailable",T947="unavailable"),"不可评价",IF(OR(R947="equivocal",T947="equivocal"),"疑似",IF(AND(R947="positive",T947="positive"),"a",IF(T947="positive","b",IF(R947="positive","c","d")))))</x:f>
        <x:v>d</x:v>
      </x:c>
      <x:c r="V947" s="12"/>
      <x:c r="W947" s="12" t="str">
        <x:v>negative</x:v>
      </x:c>
      <x:c r="X947" s="12"/>
      <x:c r="Y947" s="12" t="str">
        <x:v>negative</x:v>
      </x:c>
      <x:c r="Z947" s="12" t="str">
        <x:f>IF(OR(W947="unavailable",Y947="unavailable"),"不可评价",IF(OR(W947="equivocal",Y947="equivocal"),"疑似",IF(AND(W947="positive",Y947="positive"),"a",IF(Y947="positive","b",IF(W947="positive","c","d")))))</x:f>
        <x:v>d</x:v>
      </x:c>
      <x:c r="AA947" s="12" t="str">
        <x:f>IF(OR(M947="unavailable",O947="unavailable"),"不可评价",IF(AND(OR(M947="positive",M947="equivocal"),OR(O947="positive",O947="equivocal")),"a",IF(OR(O947="positive",O947="equivocal"),"b",IF(OR(M947="positive",M947="equivocal"),"c","d"))))</x:f>
        <x:v>d</x:v>
      </x:c>
      <x:c r="AB947" s="12" t="str">
        <x:f>IF(OR(M947="unavailable",O947="unavailable"),"不可评价",IF(AND(M947="positive",O947="positive"),"a",IF(O947="positive","b",IF(M947="positive","c","d"))))</x:f>
        <x:v>d</x:v>
      </x:c>
      <x:c r="AC947" s="12" t="str">
        <x:f>IF(OR(R947="unavailable",T947="unavailable"),"不可评价",IF(AND(OR(R947="positive",R947="equivocal"),OR(T947="positive",T947="equivocal")),"a",IF(OR(T947="positive",T947="equivocal"),"b",IF(OR(R947="positive",R947="equivocal"),"c","d"))))</x:f>
        <x:v>d</x:v>
      </x:c>
      <x:c r="AD947" s="12" t="str">
        <x:f>IF(OR(R947="unavailable",T947="unavailable"),"不可评价",IF(AND(R947="positive",T947="positive"),"a",IF(T947="positive","b",IF(R947="positive","c","d"))))</x:f>
        <x:v>d</x:v>
      </x:c>
      <x:c r="AE947" s="12" t="str">
        <x:f>IF(OR(W947="unavailable",Y947="unavailable"),"不可评价",IF(AND(OR(W947="positive",W947="equivocal"),OR(Y947="positive",Y947="equivocal")),"a",IF(OR(Y947="positive",Y947="equivocal"),"b",IF(OR(W947="positive",W947="equivocal"),"c","d"))))</x:f>
        <x:v>d</x:v>
      </x:c>
      <x:c r="AF947" s="12" t="str">
        <x:f>IF(OR(W947="unavailable",Y947="unavailable"),"不可评价",IF(AND(W947="positive",Y947="positive"),"a",IF(Y947="positive","b",IF(W947="positive","c","d"))))</x:f>
        <x:v>d</x:v>
      </x:c>
    </x:row>
    <x:row r="948" ht="39" customHeight="1">
      <x:c r="A948" s="12" t="str">
        <x:v>8241</x:v>
      </x:c>
      <x:c r="B948" s="12" t="str">
        <x:v>6808</x:v>
      </x:c>
      <x:c r="C948" s="21" t="n">
        <x:v>33775.375706018516</x:v>
      </x:c>
      <x:c r="D948" s="12" t="n">
        <x:v>85</x:v>
      </x:c>
      <x:c r="E948" s="12" t="n">
        <x:v>0</x:v>
      </x:c>
      <x:c r="F948" s="12" t="str">
        <x:v>未记录</x:v>
      </x:c>
      <x:c r="G948" s="12" t="n">
        <x:v>1</x:v>
      </x:c>
      <x:c r="H948" s="12" t="str">
        <x:v>{'ASMI': 80.0, 'IMI': 80.0, 'LVH': 100.0, 'ISC_': 100.0, 'NST_': 0.0, 'AFIB': 0.0}</x:v>
      </x:c>
      <x:c r="I948" s="12" t="str">
        <x:v>[('AFIB', 100.0), ('SVR', 100.0), ('ST&amp;', 100.0), ('ILT', 100.0), ('AB', 100.0)]</x:v>
      </x:c>
      <x:c r="J948" s="12" t="str">
        <x:v>ptbxl_database.csv；ecg_id=8241；scp_codes</x:v>
      </x:c>
      <x:c r="K948" s="12" t="str">
        <x:v>12sl_statements.csv；ecg_id=8241；statements_ext_snomed</x:v>
      </x:c>
      <x:c r="L948" s="12" t="n">
        <x:v>0</x:v>
      </x:c>
      <x:c r="M948" s="12" t="str">
        <x:v>positive</x:v>
      </x:c>
      <x:c r="N948" s="12" t="n">
        <x:v>100</x:v>
      </x:c>
      <x:c r="O948" s="12" t="str">
        <x:v>positive</x:v>
      </x:c>
      <x:c r="P948" s="12" t="str">
        <x:f>IF(OR(M948="unavailable",O948="unavailable"),"不可评价",IF(OR(M948="equivocal",O948="equivocal"),"疑似",IF(AND(M948="positive",O948="positive"),"a",IF(O948="positive","b",IF(M948="positive","c","d")))))</x:f>
        <x:v>a</x:v>
      </x:c>
      <x:c r="Q948" s="12"/>
      <x:c r="R948" s="12" t="str">
        <x:v>negative</x:v>
      </x:c>
      <x:c r="S948" s="12"/>
      <x:c r="T948" s="12" t="str">
        <x:v>negative</x:v>
      </x:c>
      <x:c r="U948" s="12" t="str">
        <x:f>IF(OR(R948="unavailable",T948="unavailable"),"不可评价",IF(OR(R948="equivocal",T948="equivocal"),"疑似",IF(AND(R948="positive",T948="positive"),"a",IF(T948="positive","b",IF(R948="positive","c","d")))))</x:f>
        <x:v>d</x:v>
      </x:c>
      <x:c r="V948" s="12"/>
      <x:c r="W948" s="12" t="str">
        <x:v>negative</x:v>
      </x:c>
      <x:c r="X948" s="12"/>
      <x:c r="Y948" s="12" t="str">
        <x:v>negative</x:v>
      </x:c>
      <x:c r="Z948" s="12" t="str">
        <x:f>IF(OR(W948="unavailable",Y948="unavailable"),"不可评价",IF(OR(W948="equivocal",Y948="equivocal"),"疑似",IF(AND(W948="positive",Y948="positive"),"a",IF(Y948="positive","b",IF(W948="positive","c","d")))))</x:f>
        <x:v>d</x:v>
      </x:c>
      <x:c r="AA948" s="12" t="str">
        <x:f>IF(OR(M948="unavailable",O948="unavailable"),"不可评价",IF(AND(OR(M948="positive",M948="equivocal"),OR(O948="positive",O948="equivocal")),"a",IF(OR(O948="positive",O948="equivocal"),"b",IF(OR(M948="positive",M948="equivocal"),"c","d"))))</x:f>
        <x:v>a</x:v>
      </x:c>
      <x:c r="AB948" s="12" t="str">
        <x:f>IF(OR(M948="unavailable",O948="unavailable"),"不可评价",IF(AND(M948="positive",O948="positive"),"a",IF(O948="positive","b",IF(M948="positive","c","d"))))</x:f>
        <x:v>a</x:v>
      </x:c>
      <x:c r="AC948" s="12" t="str">
        <x:f>IF(OR(R948="unavailable",T948="unavailable"),"不可评价",IF(AND(OR(R948="positive",R948="equivocal"),OR(T948="positive",T948="equivocal")),"a",IF(OR(T948="positive",T948="equivocal"),"b",IF(OR(R948="positive",R948="equivocal"),"c","d"))))</x:f>
        <x:v>d</x:v>
      </x:c>
      <x:c r="AD948" s="12" t="str">
        <x:f>IF(OR(R948="unavailable",T948="unavailable"),"不可评价",IF(AND(R948="positive",T948="positive"),"a",IF(T948="positive","b",IF(R948="positive","c","d"))))</x:f>
        <x:v>d</x:v>
      </x:c>
      <x:c r="AE948" s="12" t="str">
        <x:f>IF(OR(W948="unavailable",Y948="unavailable"),"不可评价",IF(AND(OR(W948="positive",W948="equivocal"),OR(Y948="positive",Y948="equivocal")),"a",IF(OR(Y948="positive",Y948="equivocal"),"b",IF(OR(W948="positive",W948="equivocal"),"c","d"))))</x:f>
        <x:v>d</x:v>
      </x:c>
      <x:c r="AF948" s="12" t="str">
        <x:f>IF(OR(W948="unavailable",Y948="unavailable"),"不可评价",IF(AND(W948="positive",Y948="positive"),"a",IF(Y948="positive","b",IF(W948="positive","c","d"))))</x:f>
        <x:v>d</x:v>
      </x:c>
    </x:row>
    <x:row r="949" ht="24" customHeight="1">
      <x:c r="A949" s="12" t="str">
        <x:v>8242</x:v>
      </x:c>
      <x:c r="B949" s="12" t="str">
        <x:v>20109</x:v>
      </x:c>
      <x:c r="C949" s="21" t="n">
        <x:v>33775.376875</x:v>
      </x:c>
      <x:c r="D949" s="12" t="n">
        <x:v>64</x:v>
      </x:c>
      <x:c r="E949" s="12" t="n">
        <x:v>1</x:v>
      </x:c>
      <x:c r="F949" s="12" t="str">
        <x:v>未记录</x:v>
      </x:c>
      <x:c r="G949" s="12" t="n">
        <x:v>1</x:v>
      </x:c>
      <x:c r="H949" s="12" t="str">
        <x:v>{'ISCAL': 50.0, 'ISCAS': 50.0, 'SR': 0.0}</x:v>
      </x:c>
      <x:c r="I949" s="12" t="str">
        <x:v>[('SBRAD', 100.0), ('ST&amp;', 100.0), ('ALT', 100.0), ('AB', 100.0)]</x:v>
      </x:c>
      <x:c r="J949" s="12" t="str">
        <x:v>ptbxl_database.csv；ecg_id=8242；scp_codes</x:v>
      </x:c>
      <x:c r="K949" s="12" t="str">
        <x:v>12sl_statements.csv；ecg_id=8242；statements_ext_snomed</x:v>
      </x:c>
      <x:c r="L949" s="12"/>
      <x:c r="M949" s="12" t="str">
        <x:v>negative</x:v>
      </x:c>
      <x:c r="N949" s="12"/>
      <x:c r="O949" s="12" t="str">
        <x:v>negative</x:v>
      </x:c>
      <x:c r="P949" s="12" t="str">
        <x:f>IF(OR(M949="unavailable",O949="unavailable"),"不可评价",IF(OR(M949="equivocal",O949="equivocal"),"疑似",IF(AND(M949="positive",O949="positive"),"a",IF(O949="positive","b",IF(M949="positive","c","d")))))</x:f>
        <x:v>d</x:v>
      </x:c>
      <x:c r="Q949" s="12"/>
      <x:c r="R949" s="12" t="str">
        <x:v>negative</x:v>
      </x:c>
      <x:c r="S949" s="12"/>
      <x:c r="T949" s="12" t="str">
        <x:v>negative</x:v>
      </x:c>
      <x:c r="U949" s="12" t="str">
        <x:f>IF(OR(R949="unavailable",T949="unavailable"),"不可评价",IF(OR(R949="equivocal",T949="equivocal"),"疑似",IF(AND(R949="positive",T949="positive"),"a",IF(T949="positive","b",IF(R949="positive","c","d")))))</x:f>
        <x:v>d</x:v>
      </x:c>
      <x:c r="V949" s="12"/>
      <x:c r="W949" s="12" t="str">
        <x:v>negative</x:v>
      </x:c>
      <x:c r="X949" s="12"/>
      <x:c r="Y949" s="12" t="str">
        <x:v>negative</x:v>
      </x:c>
      <x:c r="Z949" s="12" t="str">
        <x:f>IF(OR(W949="unavailable",Y949="unavailable"),"不可评价",IF(OR(W949="equivocal",Y949="equivocal"),"疑似",IF(AND(W949="positive",Y949="positive"),"a",IF(Y949="positive","b",IF(W949="positive","c","d")))))</x:f>
        <x:v>d</x:v>
      </x:c>
      <x:c r="AA949" s="12" t="str">
        <x:f>IF(OR(M949="unavailable",O949="unavailable"),"不可评价",IF(AND(OR(M949="positive",M949="equivocal"),OR(O949="positive",O949="equivocal")),"a",IF(OR(O949="positive",O949="equivocal"),"b",IF(OR(M949="positive",M949="equivocal"),"c","d"))))</x:f>
        <x:v>d</x:v>
      </x:c>
      <x:c r="AB949" s="12" t="str">
        <x:f>IF(OR(M949="unavailable",O949="unavailable"),"不可评价",IF(AND(M949="positive",O949="positive"),"a",IF(O949="positive","b",IF(M949="positive","c","d"))))</x:f>
        <x:v>d</x:v>
      </x:c>
      <x:c r="AC949" s="12" t="str">
        <x:f>IF(OR(R949="unavailable",T949="unavailable"),"不可评价",IF(AND(OR(R949="positive",R949="equivocal"),OR(T949="positive",T949="equivocal")),"a",IF(OR(T949="positive",T949="equivocal"),"b",IF(OR(R949="positive",R949="equivocal"),"c","d"))))</x:f>
        <x:v>d</x:v>
      </x:c>
      <x:c r="AD949" s="12" t="str">
        <x:f>IF(OR(R949="unavailable",T949="unavailable"),"不可评价",IF(AND(R949="positive",T949="positive"),"a",IF(T949="positive","b",IF(R949="positive","c","d"))))</x:f>
        <x:v>d</x:v>
      </x:c>
      <x:c r="AE949" s="12" t="str">
        <x:f>IF(OR(W949="unavailable",Y949="unavailable"),"不可评价",IF(AND(OR(W949="positive",W949="equivocal"),OR(Y949="positive",Y949="equivocal")),"a",IF(OR(Y949="positive",Y949="equivocal"),"b",IF(OR(W949="positive",W949="equivocal"),"c","d"))))</x:f>
        <x:v>d</x:v>
      </x:c>
      <x:c r="AF949" s="12" t="str">
        <x:f>IF(OR(W949="unavailable",Y949="unavailable"),"不可评价",IF(AND(W949="positive",Y949="positive"),"a",IF(Y949="positive","b",IF(W949="positive","c","d"))))</x:f>
        <x:v>d</x:v>
      </x:c>
    </x:row>
    <x:row r="950" ht="39" customHeight="1">
      <x:c r="A950" s="12" t="str">
        <x:v>8244</x:v>
      </x:c>
      <x:c r="B950" s="12" t="str">
        <x:v>19087</x:v>
      </x:c>
      <x:c r="C950" s="21" t="n">
        <x:v>33775.566030092596</x:v>
      </x:c>
      <x:c r="D950" s="12" t="n">
        <x:v>52</x:v>
      </x:c>
      <x:c r="E950" s="12" t="n">
        <x:v>0</x:v>
      </x:c>
      <x:c r="F950" s="12" t="str">
        <x:v>存在</x:v>
      </x:c>
      <x:c r="G950" s="12" t="n">
        <x:v>1</x:v>
      </x:c>
      <x:c r="H950" s="12" t="str">
        <x:v>{'LVH': 100.0, 'LAFB': 100.0, 'ABQRS': 0.0, 'SR': 0.0}</x:v>
      </x:c>
      <x:c r="I950" s="12" t="str">
        <x:v>[('NSR', 100.0), ('SAR', 100.0), ('LAD3', 100.0), ('LVH2', 100.0), ('QRSW', 100.0), ('AB', 100.0)]</x:v>
      </x:c>
      <x:c r="J950" s="12" t="str">
        <x:v>ptbxl_database.csv；ecg_id=8244；scp_codes</x:v>
      </x:c>
      <x:c r="K950" s="12" t="str">
        <x:v>12sl_statements.csv；ecg_id=8244；statements_ext_snomed</x:v>
      </x:c>
      <x:c r="L950" s="12"/>
      <x:c r="M950" s="12" t="str">
        <x:v>negative</x:v>
      </x:c>
      <x:c r="N950" s="12"/>
      <x:c r="O950" s="12" t="str">
        <x:v>negative</x:v>
      </x:c>
      <x:c r="P950" s="12" t="str">
        <x:f>IF(OR(M950="unavailable",O950="unavailable"),"不可评价",IF(OR(M950="equivocal",O950="equivocal"),"疑似",IF(AND(M950="positive",O950="positive"),"a",IF(O950="positive","b",IF(M950="positive","c","d")))))</x:f>
        <x:v>d</x:v>
      </x:c>
      <x:c r="Q950" s="12"/>
      <x:c r="R950" s="12" t="str">
        <x:v>negative</x:v>
      </x:c>
      <x:c r="S950" s="12"/>
      <x:c r="T950" s="12" t="str">
        <x:v>negative</x:v>
      </x:c>
      <x:c r="U950" s="12" t="str">
        <x:f>IF(OR(R950="unavailable",T950="unavailable"),"不可评价",IF(OR(R950="equivocal",T950="equivocal"),"疑似",IF(AND(R950="positive",T950="positive"),"a",IF(T950="positive","b",IF(R950="positive","c","d")))))</x:f>
        <x:v>d</x:v>
      </x:c>
      <x:c r="V950" s="12"/>
      <x:c r="W950" s="12" t="str">
        <x:v>negative</x:v>
      </x:c>
      <x:c r="X950" s="12"/>
      <x:c r="Y950" s="12" t="str">
        <x:v>negative</x:v>
      </x:c>
      <x:c r="Z950" s="12" t="str">
        <x:f>IF(OR(W950="unavailable",Y950="unavailable"),"不可评价",IF(OR(W950="equivocal",Y950="equivocal"),"疑似",IF(AND(W950="positive",Y950="positive"),"a",IF(Y950="positive","b",IF(W950="positive","c","d")))))</x:f>
        <x:v>d</x:v>
      </x:c>
      <x:c r="AA950" s="12" t="str">
        <x:f>IF(OR(M950="unavailable",O950="unavailable"),"不可评价",IF(AND(OR(M950="positive",M950="equivocal"),OR(O950="positive",O950="equivocal")),"a",IF(OR(O950="positive",O950="equivocal"),"b",IF(OR(M950="positive",M950="equivocal"),"c","d"))))</x:f>
        <x:v>d</x:v>
      </x:c>
      <x:c r="AB950" s="12" t="str">
        <x:f>IF(OR(M950="unavailable",O950="unavailable"),"不可评价",IF(AND(M950="positive",O950="positive"),"a",IF(O950="positive","b",IF(M950="positive","c","d"))))</x:f>
        <x:v>d</x:v>
      </x:c>
      <x:c r="AC950" s="12" t="str">
        <x:f>IF(OR(R950="unavailable",T950="unavailable"),"不可评价",IF(AND(OR(R950="positive",R950="equivocal"),OR(T950="positive",T950="equivocal")),"a",IF(OR(T950="positive",T950="equivocal"),"b",IF(OR(R950="positive",R950="equivocal"),"c","d"))))</x:f>
        <x:v>d</x:v>
      </x:c>
      <x:c r="AD950" s="12" t="str">
        <x:f>IF(OR(R950="unavailable",T950="unavailable"),"不可评价",IF(AND(R950="positive",T950="positive"),"a",IF(T950="positive","b",IF(R950="positive","c","d"))))</x:f>
        <x:v>d</x:v>
      </x:c>
      <x:c r="AE950" s="12" t="str">
        <x:f>IF(OR(W950="unavailable",Y950="unavailable"),"不可评价",IF(AND(OR(W950="positive",W950="equivocal"),OR(Y950="positive",Y950="equivocal")),"a",IF(OR(Y950="positive",Y950="equivocal"),"b",IF(OR(W950="positive",W950="equivocal"),"c","d"))))</x:f>
        <x:v>d</x:v>
      </x:c>
      <x:c r="AF950" s="12" t="str">
        <x:f>IF(OR(W950="unavailable",Y950="unavailable"),"不可评价",IF(AND(W950="positive",Y950="positive"),"a",IF(Y950="positive","b",IF(W950="positive","c","d"))))</x:f>
        <x:v>d</x:v>
      </x:c>
    </x:row>
    <x:row r="951" ht="24" customHeight="1">
      <x:c r="A951" s="12" t="str">
        <x:v>8246</x:v>
      </x:c>
      <x:c r="B951" s="12" t="str">
        <x:v>21683</x:v>
      </x:c>
      <x:c r="C951" s="21" t="n">
        <x:v>33775.72320601852</x:v>
      </x:c>
      <x:c r="D951" s="12" t="n">
        <x:v>49</x:v>
      </x:c>
      <x:c r="E951" s="12" t="n">
        <x:v>1</x:v>
      </x:c>
      <x:c r="F951" s="12" t="str">
        <x:v>未记录</x:v>
      </x:c>
      <x:c r="G951" s="12" t="n">
        <x:v>0</x:v>
      </x:c>
      <x:c r="H951" s="12" t="str">
        <x:v>{'NORM': 100.0, 'SR': 0.0}</x:v>
      </x:c>
      <x:c r="I951" s="12" t="str">
        <x:v>[('SBRAD', 100.0), ('ABR', 100.0)]</x:v>
      </x:c>
      <x:c r="J951" s="12" t="str">
        <x:v>ptbxl_database.csv；ecg_id=8246；scp_codes</x:v>
      </x:c>
      <x:c r="K951" s="12" t="str">
        <x:v>12sl_statements.csv；ecg_id=8246；statements_ext_snomed</x:v>
      </x:c>
      <x:c r="L951" s="12"/>
      <x:c r="M951" s="12" t="str">
        <x:v>negative</x:v>
      </x:c>
      <x:c r="N951" s="12"/>
      <x:c r="O951" s="12" t="str">
        <x:v>negative</x:v>
      </x:c>
      <x:c r="P951" s="12" t="str">
        <x:f>IF(OR(M951="unavailable",O951="unavailable"),"不可评价",IF(OR(M951="equivocal",O951="equivocal"),"疑似",IF(AND(M951="positive",O951="positive"),"a",IF(O951="positive","b",IF(M951="positive","c","d")))))</x:f>
        <x:v>d</x:v>
      </x:c>
      <x:c r="Q951" s="12"/>
      <x:c r="R951" s="12" t="str">
        <x:v>negative</x:v>
      </x:c>
      <x:c r="S951" s="12"/>
      <x:c r="T951" s="12" t="str">
        <x:v>negative</x:v>
      </x:c>
      <x:c r="U951" s="12" t="str">
        <x:f>IF(OR(R951="unavailable",T951="unavailable"),"不可评价",IF(OR(R951="equivocal",T951="equivocal"),"疑似",IF(AND(R951="positive",T951="positive"),"a",IF(T951="positive","b",IF(R951="positive","c","d")))))</x:f>
        <x:v>d</x:v>
      </x:c>
      <x:c r="V951" s="12"/>
      <x:c r="W951" s="12" t="str">
        <x:v>negative</x:v>
      </x:c>
      <x:c r="X951" s="12"/>
      <x:c r="Y951" s="12" t="str">
        <x:v>negative</x:v>
      </x:c>
      <x:c r="Z951" s="12" t="str">
        <x:f>IF(OR(W951="unavailable",Y951="unavailable"),"不可评价",IF(OR(W951="equivocal",Y951="equivocal"),"疑似",IF(AND(W951="positive",Y951="positive"),"a",IF(Y951="positive","b",IF(W951="positive","c","d")))))</x:f>
        <x:v>d</x:v>
      </x:c>
      <x:c r="AA951" s="12" t="str">
        <x:f>IF(OR(M951="unavailable",O951="unavailable"),"不可评价",IF(AND(OR(M951="positive",M951="equivocal"),OR(O951="positive",O951="equivocal")),"a",IF(OR(O951="positive",O951="equivocal"),"b",IF(OR(M951="positive",M951="equivocal"),"c","d"))))</x:f>
        <x:v>d</x:v>
      </x:c>
      <x:c r="AB951" s="12" t="str">
        <x:f>IF(OR(M951="unavailable",O951="unavailable"),"不可评价",IF(AND(M951="positive",O951="positive"),"a",IF(O951="positive","b",IF(M951="positive","c","d"))))</x:f>
        <x:v>d</x:v>
      </x:c>
      <x:c r="AC951" s="12" t="str">
        <x:f>IF(OR(R951="unavailable",T951="unavailable"),"不可评价",IF(AND(OR(R951="positive",R951="equivocal"),OR(T951="positive",T951="equivocal")),"a",IF(OR(T951="positive",T951="equivocal"),"b",IF(OR(R951="positive",R951="equivocal"),"c","d"))))</x:f>
        <x:v>d</x:v>
      </x:c>
      <x:c r="AD951" s="12" t="str">
        <x:f>IF(OR(R951="unavailable",T951="unavailable"),"不可评价",IF(AND(R951="positive",T951="positive"),"a",IF(T951="positive","b",IF(R951="positive","c","d"))))</x:f>
        <x:v>d</x:v>
      </x:c>
      <x:c r="AE951" s="12" t="str">
        <x:f>IF(OR(W951="unavailable",Y951="unavailable"),"不可评价",IF(AND(OR(W951="positive",W951="equivocal"),OR(Y951="positive",Y951="equivocal")),"a",IF(OR(Y951="positive",Y951="equivocal"),"b",IF(OR(W951="positive",W951="equivocal"),"c","d"))))</x:f>
        <x:v>d</x:v>
      </x:c>
      <x:c r="AF951" s="12" t="str">
        <x:f>IF(OR(W951="unavailable",Y951="unavailable"),"不可评价",IF(AND(W951="positive",Y951="positive"),"a",IF(Y951="positive","b",IF(W951="positive","c","d"))))</x:f>
        <x:v>d</x:v>
      </x:c>
    </x:row>
    <x:row r="952" ht="24" customHeight="1">
      <x:c r="A952" s="12" t="str">
        <x:v>8254</x:v>
      </x:c>
      <x:c r="B952" s="12" t="str">
        <x:v>12080</x:v>
      </x:c>
      <x:c r="C952" s="21" t="n">
        <x:v>33777.72797453704</x:v>
      </x:c>
      <x:c r="D952" s="12" t="n">
        <x:v>60</x:v>
      </x:c>
      <x:c r="E952" s="12" t="n">
        <x:v>1</x:v>
      </x:c>
      <x:c r="F952" s="12" t="str">
        <x:v>未记录</x:v>
      </x:c>
      <x:c r="G952" s="12" t="n">
        <x:v>1</x:v>
      </x:c>
      <x:c r="H952" s="12" t="str">
        <x:v>{'NORM': 100.0, 'SR': 0.0}</x:v>
      </x:c>
      <x:c r="I952" s="12" t="str">
        <x:v>[('SBRAD', 100.0), ('ABR', 100.0)]</x:v>
      </x:c>
      <x:c r="J952" s="12" t="str">
        <x:v>ptbxl_database.csv；ecg_id=8254；scp_codes</x:v>
      </x:c>
      <x:c r="K952" s="12" t="str">
        <x:v>12sl_statements.csv；ecg_id=8254；statements_ext_snomed</x:v>
      </x:c>
      <x:c r="L952" s="12"/>
      <x:c r="M952" s="12" t="str">
        <x:v>negative</x:v>
      </x:c>
      <x:c r="N952" s="12"/>
      <x:c r="O952" s="12" t="str">
        <x:v>negative</x:v>
      </x:c>
      <x:c r="P952" s="12" t="str">
        <x:f>IF(OR(M952="unavailable",O952="unavailable"),"不可评价",IF(OR(M952="equivocal",O952="equivocal"),"疑似",IF(AND(M952="positive",O952="positive"),"a",IF(O952="positive","b",IF(M952="positive","c","d")))))</x:f>
        <x:v>d</x:v>
      </x:c>
      <x:c r="Q952" s="12"/>
      <x:c r="R952" s="12" t="str">
        <x:v>negative</x:v>
      </x:c>
      <x:c r="S952" s="12"/>
      <x:c r="T952" s="12" t="str">
        <x:v>negative</x:v>
      </x:c>
      <x:c r="U952" s="12" t="str">
        <x:f>IF(OR(R952="unavailable",T952="unavailable"),"不可评价",IF(OR(R952="equivocal",T952="equivocal"),"疑似",IF(AND(R952="positive",T952="positive"),"a",IF(T952="positive","b",IF(R952="positive","c","d")))))</x:f>
        <x:v>d</x:v>
      </x:c>
      <x:c r="V952" s="12"/>
      <x:c r="W952" s="12" t="str">
        <x:v>negative</x:v>
      </x:c>
      <x:c r="X952" s="12"/>
      <x:c r="Y952" s="12" t="str">
        <x:v>negative</x:v>
      </x:c>
      <x:c r="Z952" s="12" t="str">
        <x:f>IF(OR(W952="unavailable",Y952="unavailable"),"不可评价",IF(OR(W952="equivocal",Y952="equivocal"),"疑似",IF(AND(W952="positive",Y952="positive"),"a",IF(Y952="positive","b",IF(W952="positive","c","d")))))</x:f>
        <x:v>d</x:v>
      </x:c>
      <x:c r="AA952" s="12" t="str">
        <x:f>IF(OR(M952="unavailable",O952="unavailable"),"不可评价",IF(AND(OR(M952="positive",M952="equivocal"),OR(O952="positive",O952="equivocal")),"a",IF(OR(O952="positive",O952="equivocal"),"b",IF(OR(M952="positive",M952="equivocal"),"c","d"))))</x:f>
        <x:v>d</x:v>
      </x:c>
      <x:c r="AB952" s="12" t="str">
        <x:f>IF(OR(M952="unavailable",O952="unavailable"),"不可评价",IF(AND(M952="positive",O952="positive"),"a",IF(O952="positive","b",IF(M952="positive","c","d"))))</x:f>
        <x:v>d</x:v>
      </x:c>
      <x:c r="AC952" s="12" t="str">
        <x:f>IF(OR(R952="unavailable",T952="unavailable"),"不可评价",IF(AND(OR(R952="positive",R952="equivocal"),OR(T952="positive",T952="equivocal")),"a",IF(OR(T952="positive",T952="equivocal"),"b",IF(OR(R952="positive",R952="equivocal"),"c","d"))))</x:f>
        <x:v>d</x:v>
      </x:c>
      <x:c r="AD952" s="12" t="str">
        <x:f>IF(OR(R952="unavailable",T952="unavailable"),"不可评价",IF(AND(R952="positive",T952="positive"),"a",IF(T952="positive","b",IF(R952="positive","c","d"))))</x:f>
        <x:v>d</x:v>
      </x:c>
      <x:c r="AE952" s="12" t="str">
        <x:f>IF(OR(W952="unavailable",Y952="unavailable"),"不可评价",IF(AND(OR(W952="positive",W952="equivocal"),OR(Y952="positive",Y952="equivocal")),"a",IF(OR(Y952="positive",Y952="equivocal"),"b",IF(OR(W952="positive",W952="equivocal"),"c","d"))))</x:f>
        <x:v>d</x:v>
      </x:c>
      <x:c r="AF952" s="12" t="str">
        <x:f>IF(OR(W952="unavailable",Y952="unavailable"),"不可评价",IF(AND(W952="positive",Y952="positive"),"a",IF(Y952="positive","b",IF(W952="positive","c","d"))))</x:f>
        <x:v>d</x:v>
      </x:c>
    </x:row>
    <x:row r="953" ht="24" customHeight="1">
      <x:c r="A953" s="12" t="str">
        <x:v>8256</x:v>
      </x:c>
      <x:c r="B953" s="12" t="str">
        <x:v>11350</x:v>
      </x:c>
      <x:c r="C953" s="21" t="n">
        <x:v>33778.49722222222</x:v>
      </x:c>
      <x:c r="D953" s="12" t="n">
        <x:v>79</x:v>
      </x:c>
      <x:c r="E953" s="12" t="n">
        <x:v>0</x:v>
      </x:c>
      <x:c r="F953" s="12" t="str">
        <x:v>未记录</x:v>
      </x:c>
      <x:c r="G953" s="12" t="n">
        <x:v>1</x:v>
      </x:c>
      <x:c r="H953" s="12" t="str">
        <x:v>{'ASMI': 50.0, 'ABQRS': 0.0, 'SR': 0.0}</x:v>
      </x:c>
      <x:c r="I953" s="12" t="str">
        <x:v>[('NSR', 100.0), ('SMI;AU', 100.0), ('AB', 100.0)]</x:v>
      </x:c>
      <x:c r="J953" s="12" t="str">
        <x:v>ptbxl_database.csv；ecg_id=8256；scp_codes</x:v>
      </x:c>
      <x:c r="K953" s="12" t="str">
        <x:v>12sl_statements.csv；ecg_id=8256；statements_ext_snomed</x:v>
      </x:c>
      <x:c r="L953" s="12"/>
      <x:c r="M953" s="12" t="str">
        <x:v>negative</x:v>
      </x:c>
      <x:c r="N953" s="12"/>
      <x:c r="O953" s="12" t="str">
        <x:v>negative</x:v>
      </x:c>
      <x:c r="P953" s="12" t="str">
        <x:f>IF(OR(M953="unavailable",O953="unavailable"),"不可评价",IF(OR(M953="equivocal",O953="equivocal"),"疑似",IF(AND(M953="positive",O953="positive"),"a",IF(O953="positive","b",IF(M953="positive","c","d")))))</x:f>
        <x:v>d</x:v>
      </x:c>
      <x:c r="Q953" s="12"/>
      <x:c r="R953" s="12" t="str">
        <x:v>negative</x:v>
      </x:c>
      <x:c r="S953" s="12"/>
      <x:c r="T953" s="12" t="str">
        <x:v>negative</x:v>
      </x:c>
      <x:c r="U953" s="12" t="str">
        <x:f>IF(OR(R953="unavailable",T953="unavailable"),"不可评价",IF(OR(R953="equivocal",T953="equivocal"),"疑似",IF(AND(R953="positive",T953="positive"),"a",IF(T953="positive","b",IF(R953="positive","c","d")))))</x:f>
        <x:v>d</x:v>
      </x:c>
      <x:c r="V953" s="12"/>
      <x:c r="W953" s="12" t="str">
        <x:v>negative</x:v>
      </x:c>
      <x:c r="X953" s="12"/>
      <x:c r="Y953" s="12" t="str">
        <x:v>negative</x:v>
      </x:c>
      <x:c r="Z953" s="12" t="str">
        <x:f>IF(OR(W953="unavailable",Y953="unavailable"),"不可评价",IF(OR(W953="equivocal",Y953="equivocal"),"疑似",IF(AND(W953="positive",Y953="positive"),"a",IF(Y953="positive","b",IF(W953="positive","c","d")))))</x:f>
        <x:v>d</x:v>
      </x:c>
      <x:c r="AA953" s="12" t="str">
        <x:f>IF(OR(M953="unavailable",O953="unavailable"),"不可评价",IF(AND(OR(M953="positive",M953="equivocal"),OR(O953="positive",O953="equivocal")),"a",IF(OR(O953="positive",O953="equivocal"),"b",IF(OR(M953="positive",M953="equivocal"),"c","d"))))</x:f>
        <x:v>d</x:v>
      </x:c>
      <x:c r="AB953" s="12" t="str">
        <x:f>IF(OR(M953="unavailable",O953="unavailable"),"不可评价",IF(AND(M953="positive",O953="positive"),"a",IF(O953="positive","b",IF(M953="positive","c","d"))))</x:f>
        <x:v>d</x:v>
      </x:c>
      <x:c r="AC953" s="12" t="str">
        <x:f>IF(OR(R953="unavailable",T953="unavailable"),"不可评价",IF(AND(OR(R953="positive",R953="equivocal"),OR(T953="positive",T953="equivocal")),"a",IF(OR(T953="positive",T953="equivocal"),"b",IF(OR(R953="positive",R953="equivocal"),"c","d"))))</x:f>
        <x:v>d</x:v>
      </x:c>
      <x:c r="AD953" s="12" t="str">
        <x:f>IF(OR(R953="unavailable",T953="unavailable"),"不可评价",IF(AND(R953="positive",T953="positive"),"a",IF(T953="positive","b",IF(R953="positive","c","d"))))</x:f>
        <x:v>d</x:v>
      </x:c>
      <x:c r="AE953" s="12" t="str">
        <x:f>IF(OR(W953="unavailable",Y953="unavailable"),"不可评价",IF(AND(OR(W953="positive",W953="equivocal"),OR(Y953="positive",Y953="equivocal")),"a",IF(OR(Y953="positive",Y953="equivocal"),"b",IF(OR(W953="positive",W953="equivocal"),"c","d"))))</x:f>
        <x:v>d</x:v>
      </x:c>
      <x:c r="AF953" s="12" t="str">
        <x:f>IF(OR(W953="unavailable",Y953="unavailable"),"不可评价",IF(AND(W953="positive",Y953="positive"),"a",IF(Y953="positive","b",IF(W953="positive","c","d"))))</x:f>
        <x:v>d</x:v>
      </x:c>
    </x:row>
    <x:row r="954" ht="24" customHeight="1">
      <x:c r="A954" s="12" t="str">
        <x:v>8259</x:v>
      </x:c>
      <x:c r="B954" s="12" t="str">
        <x:v>7398</x:v>
      </x:c>
      <x:c r="C954" s="21" t="n">
        <x:v>33778.76498842592</x:v>
      </x:c>
      <x:c r="D954" s="12" t="n">
        <x:v>87</x:v>
      </x:c>
      <x:c r="E954" s="12" t="n">
        <x:v>1</x:v>
      </x:c>
      <x:c r="F954" s="12" t="str">
        <x:v>未记录</x:v>
      </x:c>
      <x:c r="G954" s="12" t="n">
        <x:v>1</x:v>
      </x:c>
      <x:c r="H954" s="12" t="str">
        <x:v>{'ISC_': 100.0, 'LVH': 100.0, 'LAO/LAE': 50.0, 'NST_': 0.0, 'SR': 0.0}</x:v>
      </x:c>
      <x:c r="I954" s="12" t="str">
        <x:v>[('NSR', 100.0), ('LVH2', 100.0), ('2ST', 100.0), ('AB', 100.0)]</x:v>
      </x:c>
      <x:c r="J954" s="12" t="str">
        <x:v>ptbxl_database.csv；ecg_id=8259；scp_codes</x:v>
      </x:c>
      <x:c r="K954" s="12" t="str">
        <x:v>12sl_statements.csv；ecg_id=8259；statements_ext_snomed</x:v>
      </x:c>
      <x:c r="L954" s="12"/>
      <x:c r="M954" s="12" t="str">
        <x:v>negative</x:v>
      </x:c>
      <x:c r="N954" s="12"/>
      <x:c r="O954" s="12" t="str">
        <x:v>negative</x:v>
      </x:c>
      <x:c r="P954" s="12" t="str">
        <x:f>IF(OR(M954="unavailable",O954="unavailable"),"不可评价",IF(OR(M954="equivocal",O954="equivocal"),"疑似",IF(AND(M954="positive",O954="positive"),"a",IF(O954="positive","b",IF(M954="positive","c","d")))))</x:f>
        <x:v>d</x:v>
      </x:c>
      <x:c r="Q954" s="12"/>
      <x:c r="R954" s="12" t="str">
        <x:v>negative</x:v>
      </x:c>
      <x:c r="S954" s="12"/>
      <x:c r="T954" s="12" t="str">
        <x:v>negative</x:v>
      </x:c>
      <x:c r="U954" s="12" t="str">
        <x:f>IF(OR(R954="unavailable",T954="unavailable"),"不可评价",IF(OR(R954="equivocal",T954="equivocal"),"疑似",IF(AND(R954="positive",T954="positive"),"a",IF(T954="positive","b",IF(R954="positive","c","d")))))</x:f>
        <x:v>d</x:v>
      </x:c>
      <x:c r="V954" s="12"/>
      <x:c r="W954" s="12" t="str">
        <x:v>negative</x:v>
      </x:c>
      <x:c r="X954" s="12"/>
      <x:c r="Y954" s="12" t="str">
        <x:v>negative</x:v>
      </x:c>
      <x:c r="Z954" s="12" t="str">
        <x:f>IF(OR(W954="unavailable",Y954="unavailable"),"不可评价",IF(OR(W954="equivocal",Y954="equivocal"),"疑似",IF(AND(W954="positive",Y954="positive"),"a",IF(Y954="positive","b",IF(W954="positive","c","d")))))</x:f>
        <x:v>d</x:v>
      </x:c>
      <x:c r="AA954" s="12" t="str">
        <x:f>IF(OR(M954="unavailable",O954="unavailable"),"不可评价",IF(AND(OR(M954="positive",M954="equivocal"),OR(O954="positive",O954="equivocal")),"a",IF(OR(O954="positive",O954="equivocal"),"b",IF(OR(M954="positive",M954="equivocal"),"c","d"))))</x:f>
        <x:v>d</x:v>
      </x:c>
      <x:c r="AB954" s="12" t="str">
        <x:f>IF(OR(M954="unavailable",O954="unavailable"),"不可评价",IF(AND(M954="positive",O954="positive"),"a",IF(O954="positive","b",IF(M954="positive","c","d"))))</x:f>
        <x:v>d</x:v>
      </x:c>
      <x:c r="AC954" s="12" t="str">
        <x:f>IF(OR(R954="unavailable",T954="unavailable"),"不可评价",IF(AND(OR(R954="positive",R954="equivocal"),OR(T954="positive",T954="equivocal")),"a",IF(OR(T954="positive",T954="equivocal"),"b",IF(OR(R954="positive",R954="equivocal"),"c","d"))))</x:f>
        <x:v>d</x:v>
      </x:c>
      <x:c r="AD954" s="12" t="str">
        <x:f>IF(OR(R954="unavailable",T954="unavailable"),"不可评价",IF(AND(R954="positive",T954="positive"),"a",IF(T954="positive","b",IF(R954="positive","c","d"))))</x:f>
        <x:v>d</x:v>
      </x:c>
      <x:c r="AE954" s="12" t="str">
        <x:f>IF(OR(W954="unavailable",Y954="unavailable"),"不可评价",IF(AND(OR(W954="positive",W954="equivocal"),OR(Y954="positive",Y954="equivocal")),"a",IF(OR(Y954="positive",Y954="equivocal"),"b",IF(OR(W954="positive",W954="equivocal"),"c","d"))))</x:f>
        <x:v>d</x:v>
      </x:c>
      <x:c r="AF954" s="12" t="str">
        <x:f>IF(OR(W954="unavailable",Y954="unavailable"),"不可评价",IF(AND(W954="positive",Y954="positive"),"a",IF(Y954="positive","b",IF(W954="positive","c","d"))))</x:f>
        <x:v>d</x:v>
      </x:c>
    </x:row>
    <x:row r="955" ht="24" customHeight="1">
      <x:c r="A955" s="12" t="str">
        <x:v>8261</x:v>
      </x:c>
      <x:c r="B955" s="12" t="str">
        <x:v>6022</x:v>
      </x:c>
      <x:c r="C955" s="21" t="n">
        <x:v>33779.29659722222</x:v>
      </x:c>
      <x:c r="D955" s="12" t="n">
        <x:v>58</x:v>
      </x:c>
      <x:c r="E955" s="12" t="n">
        <x:v>0</x:v>
      </x:c>
      <x:c r="F955" s="12" t="str">
        <x:v>未记录</x:v>
      </x:c>
      <x:c r="G955" s="12" t="n">
        <x:v>1</x:v>
      </x:c>
      <x:c r="H955" s="12" t="str">
        <x:v>{'NORM': 80.0, 'IVCD': 100.0, 'SR': 0.0}</x:v>
      </x:c>
      <x:c r="I955" s="12" t="str">
        <x:v>[('NSR', 100.0), ('NML', 100.0)]</x:v>
      </x:c>
      <x:c r="J955" s="12" t="str">
        <x:v>ptbxl_database.csv；ecg_id=8261；scp_codes</x:v>
      </x:c>
      <x:c r="K955" s="12" t="str">
        <x:v>12sl_statements.csv；ecg_id=8261；statements_ext_snomed</x:v>
      </x:c>
      <x:c r="L955" s="12"/>
      <x:c r="M955" s="12" t="str">
        <x:v>negative</x:v>
      </x:c>
      <x:c r="N955" s="12"/>
      <x:c r="O955" s="12" t="str">
        <x:v>negative</x:v>
      </x:c>
      <x:c r="P955" s="12" t="str">
        <x:f>IF(OR(M955="unavailable",O955="unavailable"),"不可评价",IF(OR(M955="equivocal",O955="equivocal"),"疑似",IF(AND(M955="positive",O955="positive"),"a",IF(O955="positive","b",IF(M955="positive","c","d")))))</x:f>
        <x:v>d</x:v>
      </x:c>
      <x:c r="Q955" s="12"/>
      <x:c r="R955" s="12" t="str">
        <x:v>negative</x:v>
      </x:c>
      <x:c r="S955" s="12"/>
      <x:c r="T955" s="12" t="str">
        <x:v>negative</x:v>
      </x:c>
      <x:c r="U955" s="12" t="str">
        <x:f>IF(OR(R955="unavailable",T955="unavailable"),"不可评价",IF(OR(R955="equivocal",T955="equivocal"),"疑似",IF(AND(R955="positive",T955="positive"),"a",IF(T955="positive","b",IF(R955="positive","c","d")))))</x:f>
        <x:v>d</x:v>
      </x:c>
      <x:c r="V955" s="12"/>
      <x:c r="W955" s="12" t="str">
        <x:v>negative</x:v>
      </x:c>
      <x:c r="X955" s="12"/>
      <x:c r="Y955" s="12" t="str">
        <x:v>negative</x:v>
      </x:c>
      <x:c r="Z955" s="12" t="str">
        <x:f>IF(OR(W955="unavailable",Y955="unavailable"),"不可评价",IF(OR(W955="equivocal",Y955="equivocal"),"疑似",IF(AND(W955="positive",Y955="positive"),"a",IF(Y955="positive","b",IF(W955="positive","c","d")))))</x:f>
        <x:v>d</x:v>
      </x:c>
      <x:c r="AA955" s="12" t="str">
        <x:f>IF(OR(M955="unavailable",O955="unavailable"),"不可评价",IF(AND(OR(M955="positive",M955="equivocal"),OR(O955="positive",O955="equivocal")),"a",IF(OR(O955="positive",O955="equivocal"),"b",IF(OR(M955="positive",M955="equivocal"),"c","d"))))</x:f>
        <x:v>d</x:v>
      </x:c>
      <x:c r="AB955" s="12" t="str">
        <x:f>IF(OR(M955="unavailable",O955="unavailable"),"不可评价",IF(AND(M955="positive",O955="positive"),"a",IF(O955="positive","b",IF(M955="positive","c","d"))))</x:f>
        <x:v>d</x:v>
      </x:c>
      <x:c r="AC955" s="12" t="str">
        <x:f>IF(OR(R955="unavailable",T955="unavailable"),"不可评价",IF(AND(OR(R955="positive",R955="equivocal"),OR(T955="positive",T955="equivocal")),"a",IF(OR(T955="positive",T955="equivocal"),"b",IF(OR(R955="positive",R955="equivocal"),"c","d"))))</x:f>
        <x:v>d</x:v>
      </x:c>
      <x:c r="AD955" s="12" t="str">
        <x:f>IF(OR(R955="unavailable",T955="unavailable"),"不可评价",IF(AND(R955="positive",T955="positive"),"a",IF(T955="positive","b",IF(R955="positive","c","d"))))</x:f>
        <x:v>d</x:v>
      </x:c>
      <x:c r="AE955" s="12" t="str">
        <x:f>IF(OR(W955="unavailable",Y955="unavailable"),"不可评价",IF(AND(OR(W955="positive",W955="equivocal"),OR(Y955="positive",Y955="equivocal")),"a",IF(OR(Y955="positive",Y955="equivocal"),"b",IF(OR(W955="positive",W955="equivocal"),"c","d"))))</x:f>
        <x:v>d</x:v>
      </x:c>
      <x:c r="AF955" s="12" t="str">
        <x:f>IF(OR(W955="unavailable",Y955="unavailable"),"不可评价",IF(AND(W955="positive",Y955="positive"),"a",IF(Y955="positive","b",IF(W955="positive","c","d"))))</x:f>
        <x:v>d</x:v>
      </x:c>
    </x:row>
    <x:row r="956" ht="24" customHeight="1">
      <x:c r="A956" s="12" t="str">
        <x:v>8263</x:v>
      </x:c>
      <x:c r="B956" s="12" t="str">
        <x:v>17826</x:v>
      </x:c>
      <x:c r="C956" s="21" t="n">
        <x:v>33779.41804398148</x:v>
      </x:c>
      <x:c r="D956" s="12" t="n">
        <x:v>63</x:v>
      </x:c>
      <x:c r="E956" s="12" t="n">
        <x:v>0</x:v>
      </x:c>
      <x:c r="F956" s="12" t="str">
        <x:v>未记录</x:v>
      </x:c>
      <x:c r="G956" s="12" t="n">
        <x:v>1</x:v>
      </x:c>
      <x:c r="H956" s="12" t="str">
        <x:v>{'PACE': 100.0}</x:v>
      </x:c>
      <x:c r="I956" s="12" t="str">
        <x:v>[('ASVPR', 100.0), ('AB', 100.0)]</x:v>
      </x:c>
      <x:c r="J956" s="12" t="str">
        <x:v>ptbxl_database.csv；ecg_id=8263；scp_codes</x:v>
      </x:c>
      <x:c r="K956" s="12" t="str">
        <x:v>12sl_statements.csv；ecg_id=8263；statements_ext_snomed</x:v>
      </x:c>
      <x:c r="L956" s="12"/>
      <x:c r="M956" s="12" t="str">
        <x:v>negative</x:v>
      </x:c>
      <x:c r="N956" s="12"/>
      <x:c r="O956" s="12" t="str">
        <x:v>negative</x:v>
      </x:c>
      <x:c r="P956" s="12" t="str">
        <x:f>IF(OR(M956="unavailable",O956="unavailable"),"不可评价",IF(OR(M956="equivocal",O956="equivocal"),"疑似",IF(AND(M956="positive",O956="positive"),"a",IF(O956="positive","b",IF(M956="positive","c","d")))))</x:f>
        <x:v>d</x:v>
      </x:c>
      <x:c r="Q956" s="12"/>
      <x:c r="R956" s="12" t="str">
        <x:v>negative</x:v>
      </x:c>
      <x:c r="S956" s="12"/>
      <x:c r="T956" s="12" t="str">
        <x:v>negative</x:v>
      </x:c>
      <x:c r="U956" s="12" t="str">
        <x:f>IF(OR(R956="unavailable",T956="unavailable"),"不可评价",IF(OR(R956="equivocal",T956="equivocal"),"疑似",IF(AND(R956="positive",T956="positive"),"a",IF(T956="positive","b",IF(R956="positive","c","d")))))</x:f>
        <x:v>d</x:v>
      </x:c>
      <x:c r="V956" s="12"/>
      <x:c r="W956" s="12" t="str">
        <x:v>negative</x:v>
      </x:c>
      <x:c r="X956" s="12"/>
      <x:c r="Y956" s="12" t="str">
        <x:v>negative</x:v>
      </x:c>
      <x:c r="Z956" s="12" t="str">
        <x:f>IF(OR(W956="unavailable",Y956="unavailable"),"不可评价",IF(OR(W956="equivocal",Y956="equivocal"),"疑似",IF(AND(W956="positive",Y956="positive"),"a",IF(Y956="positive","b",IF(W956="positive","c","d")))))</x:f>
        <x:v>d</x:v>
      </x:c>
      <x:c r="AA956" s="12" t="str">
        <x:f>IF(OR(M956="unavailable",O956="unavailable"),"不可评价",IF(AND(OR(M956="positive",M956="equivocal"),OR(O956="positive",O956="equivocal")),"a",IF(OR(O956="positive",O956="equivocal"),"b",IF(OR(M956="positive",M956="equivocal"),"c","d"))))</x:f>
        <x:v>d</x:v>
      </x:c>
      <x:c r="AB956" s="12" t="str">
        <x:f>IF(OR(M956="unavailable",O956="unavailable"),"不可评价",IF(AND(M956="positive",O956="positive"),"a",IF(O956="positive","b",IF(M956="positive","c","d"))))</x:f>
        <x:v>d</x:v>
      </x:c>
      <x:c r="AC956" s="12" t="str">
        <x:f>IF(OR(R956="unavailable",T956="unavailable"),"不可评价",IF(AND(OR(R956="positive",R956="equivocal"),OR(T956="positive",T956="equivocal")),"a",IF(OR(T956="positive",T956="equivocal"),"b",IF(OR(R956="positive",R956="equivocal"),"c","d"))))</x:f>
        <x:v>d</x:v>
      </x:c>
      <x:c r="AD956" s="12" t="str">
        <x:f>IF(OR(R956="unavailable",T956="unavailable"),"不可评价",IF(AND(R956="positive",T956="positive"),"a",IF(T956="positive","b",IF(R956="positive","c","d"))))</x:f>
        <x:v>d</x:v>
      </x:c>
      <x:c r="AE956" s="12" t="str">
        <x:f>IF(OR(W956="unavailable",Y956="unavailable"),"不可评价",IF(AND(OR(W956="positive",W956="equivocal"),OR(Y956="positive",Y956="equivocal")),"a",IF(OR(Y956="positive",Y956="equivocal"),"b",IF(OR(W956="positive",W956="equivocal"),"c","d"))))</x:f>
        <x:v>d</x:v>
      </x:c>
      <x:c r="AF956" s="12" t="str">
        <x:f>IF(OR(W956="unavailable",Y956="unavailable"),"不可评价",IF(AND(W956="positive",Y956="positive"),"a",IF(Y956="positive","b",IF(W956="positive","c","d"))))</x:f>
        <x:v>d</x:v>
      </x:c>
    </x:row>
    <x:row r="957" ht="24" customHeight="1">
      <x:c r="A957" s="12" t="str">
        <x:v>8277</x:v>
      </x:c>
      <x:c r="B957" s="12" t="str">
        <x:v>11715</x:v>
      </x:c>
      <x:c r="C957" s="21" t="n">
        <x:v>33780.51783564815</x:v>
      </x:c>
      <x:c r="D957" s="12" t="n">
        <x:v>57</x:v>
      </x:c>
      <x:c r="E957" s="12" t="n">
        <x:v>0</x:v>
      </x:c>
      <x:c r="F957" s="12" t="str">
        <x:v>存在</x:v>
      </x:c>
      <x:c r="G957" s="12" t="n">
        <x:v>1</x:v>
      </x:c>
      <x:c r="H957" s="12" t="str">
        <x:v>{'NORM': 100.0, 'ABQRS': 0.0, 'SR': 0.0}</x:v>
      </x:c>
      <x:c r="I957" s="12" t="str">
        <x:v>[('NSR', 100.0), ('NML', 100.0)]</x:v>
      </x:c>
      <x:c r="J957" s="12" t="str">
        <x:v>ptbxl_database.csv；ecg_id=8277；scp_codes</x:v>
      </x:c>
      <x:c r="K957" s="12" t="str">
        <x:v>12sl_statements.csv；ecg_id=8277；statements_ext_snomed</x:v>
      </x:c>
      <x:c r="L957" s="12"/>
      <x:c r="M957" s="12" t="str">
        <x:v>negative</x:v>
      </x:c>
      <x:c r="N957" s="12"/>
      <x:c r="O957" s="12" t="str">
        <x:v>negative</x:v>
      </x:c>
      <x:c r="P957" s="12" t="str">
        <x:f>IF(OR(M957="unavailable",O957="unavailable"),"不可评价",IF(OR(M957="equivocal",O957="equivocal"),"疑似",IF(AND(M957="positive",O957="positive"),"a",IF(O957="positive","b",IF(M957="positive","c","d")))))</x:f>
        <x:v>d</x:v>
      </x:c>
      <x:c r="Q957" s="12"/>
      <x:c r="R957" s="12" t="str">
        <x:v>negative</x:v>
      </x:c>
      <x:c r="S957" s="12"/>
      <x:c r="T957" s="12" t="str">
        <x:v>negative</x:v>
      </x:c>
      <x:c r="U957" s="12" t="str">
        <x:f>IF(OR(R957="unavailable",T957="unavailable"),"不可评价",IF(OR(R957="equivocal",T957="equivocal"),"疑似",IF(AND(R957="positive",T957="positive"),"a",IF(T957="positive","b",IF(R957="positive","c","d")))))</x:f>
        <x:v>d</x:v>
      </x:c>
      <x:c r="V957" s="12"/>
      <x:c r="W957" s="12" t="str">
        <x:v>negative</x:v>
      </x:c>
      <x:c r="X957" s="12"/>
      <x:c r="Y957" s="12" t="str">
        <x:v>negative</x:v>
      </x:c>
      <x:c r="Z957" s="12" t="str">
        <x:f>IF(OR(W957="unavailable",Y957="unavailable"),"不可评价",IF(OR(W957="equivocal",Y957="equivocal"),"疑似",IF(AND(W957="positive",Y957="positive"),"a",IF(Y957="positive","b",IF(W957="positive","c","d")))))</x:f>
        <x:v>d</x:v>
      </x:c>
      <x:c r="AA957" s="12" t="str">
        <x:f>IF(OR(M957="unavailable",O957="unavailable"),"不可评价",IF(AND(OR(M957="positive",M957="equivocal"),OR(O957="positive",O957="equivocal")),"a",IF(OR(O957="positive",O957="equivocal"),"b",IF(OR(M957="positive",M957="equivocal"),"c","d"))))</x:f>
        <x:v>d</x:v>
      </x:c>
      <x:c r="AB957" s="12" t="str">
        <x:f>IF(OR(M957="unavailable",O957="unavailable"),"不可评价",IF(AND(M957="positive",O957="positive"),"a",IF(O957="positive","b",IF(M957="positive","c","d"))))</x:f>
        <x:v>d</x:v>
      </x:c>
      <x:c r="AC957" s="12" t="str">
        <x:f>IF(OR(R957="unavailable",T957="unavailable"),"不可评价",IF(AND(OR(R957="positive",R957="equivocal"),OR(T957="positive",T957="equivocal")),"a",IF(OR(T957="positive",T957="equivocal"),"b",IF(OR(R957="positive",R957="equivocal"),"c","d"))))</x:f>
        <x:v>d</x:v>
      </x:c>
      <x:c r="AD957" s="12" t="str">
        <x:f>IF(OR(R957="unavailable",T957="unavailable"),"不可评价",IF(AND(R957="positive",T957="positive"),"a",IF(T957="positive","b",IF(R957="positive","c","d"))))</x:f>
        <x:v>d</x:v>
      </x:c>
      <x:c r="AE957" s="12" t="str">
        <x:f>IF(OR(W957="unavailable",Y957="unavailable"),"不可评价",IF(AND(OR(W957="positive",W957="equivocal"),OR(Y957="positive",Y957="equivocal")),"a",IF(OR(Y957="positive",Y957="equivocal"),"b",IF(OR(W957="positive",W957="equivocal"),"c","d"))))</x:f>
        <x:v>d</x:v>
      </x:c>
      <x:c r="AF957" s="12" t="str">
        <x:f>IF(OR(W957="unavailable",Y957="unavailable"),"不可评价",IF(AND(W957="positive",Y957="positive"),"a",IF(Y957="positive","b",IF(W957="positive","c","d"))))</x:f>
        <x:v>d</x:v>
      </x:c>
    </x:row>
    <x:row r="958" ht="39" customHeight="1">
      <x:c r="A958" s="12" t="str">
        <x:v>8278</x:v>
      </x:c>
      <x:c r="B958" s="12" t="str">
        <x:v>3170</x:v>
      </x:c>
      <x:c r="C958" s="21" t="n">
        <x:v>33780.533842592595</x:v>
      </x:c>
      <x:c r="D958" s="12" t="n">
        <x:v>74</x:v>
      </x:c>
      <x:c r="E958" s="12" t="n">
        <x:v>0</x:v>
      </x:c>
      <x:c r="F958" s="12" t="str">
        <x:v>未记录</x:v>
      </x:c>
      <x:c r="G958" s="12" t="n">
        <x:v>1</x:v>
      </x:c>
      <x:c r="H958" s="12" t="str">
        <x:v>{'IMI': 50.0, 'CRBBB': 100.0, 'LAFB': 100.0, '1AVB': 100.0, 'LPR': 0.0, 'STACH': 0.0}</x:v>
      </x:c>
      <x:c r="I958" s="12" t="str">
        <x:v>[('STACH', 100.0), ('RBBB', 100.0), ('AFB', 100.0), ('BIFB', 100.0), ('IMI;AU', 15.0), ('MAFB', 100.0), ('AB', 100.0)]</x:v>
      </x:c>
      <x:c r="J958" s="12" t="str">
        <x:v>ptbxl_database.csv；ecg_id=8278；scp_codes</x:v>
      </x:c>
      <x:c r="K958" s="12" t="str">
        <x:v>12sl_statements.csv；ecg_id=8278；statements_ext_snomed</x:v>
      </x:c>
      <x:c r="L958" s="12"/>
      <x:c r="M958" s="12" t="str">
        <x:v>negative</x:v>
      </x:c>
      <x:c r="N958" s="12"/>
      <x:c r="O958" s="12" t="str">
        <x:v>negative</x:v>
      </x:c>
      <x:c r="P958" s="12" t="str">
        <x:f>IF(OR(M958="unavailable",O958="unavailable"),"不可评价",IF(OR(M958="equivocal",O958="equivocal"),"疑似",IF(AND(M958="positive",O958="positive"),"a",IF(O958="positive","b",IF(M958="positive","c","d")))))</x:f>
        <x:v>d</x:v>
      </x:c>
      <x:c r="Q958" s="12"/>
      <x:c r="R958" s="12" t="str">
        <x:v>negative</x:v>
      </x:c>
      <x:c r="S958" s="12"/>
      <x:c r="T958" s="12" t="str">
        <x:v>negative</x:v>
      </x:c>
      <x:c r="U958" s="12" t="str">
        <x:f>IF(OR(R958="unavailable",T958="unavailable"),"不可评价",IF(OR(R958="equivocal",T958="equivocal"),"疑似",IF(AND(R958="positive",T958="positive"),"a",IF(T958="positive","b",IF(R958="positive","c","d")))))</x:f>
        <x:v>d</x:v>
      </x:c>
      <x:c r="V958" s="12" t="n">
        <x:v>100</x:v>
      </x:c>
      <x:c r="W958" s="12" t="str">
        <x:v>positive</x:v>
      </x:c>
      <x:c r="X958" s="12" t="n">
        <x:v>100</x:v>
      </x:c>
      <x:c r="Y958" s="12" t="str">
        <x:v>positive</x:v>
      </x:c>
      <x:c r="Z958" s="12" t="str">
        <x:f>IF(OR(W958="unavailable",Y958="unavailable"),"不可评价",IF(OR(W958="equivocal",Y958="equivocal"),"疑似",IF(AND(W958="positive",Y958="positive"),"a",IF(Y958="positive","b",IF(W958="positive","c","d")))))</x:f>
        <x:v>a</x:v>
      </x:c>
      <x:c r="AA958" s="12" t="str">
        <x:f>IF(OR(M958="unavailable",O958="unavailable"),"不可评价",IF(AND(OR(M958="positive",M958="equivocal"),OR(O958="positive",O958="equivocal")),"a",IF(OR(O958="positive",O958="equivocal"),"b",IF(OR(M958="positive",M958="equivocal"),"c","d"))))</x:f>
        <x:v>d</x:v>
      </x:c>
      <x:c r="AB958" s="12" t="str">
        <x:f>IF(OR(M958="unavailable",O958="unavailable"),"不可评价",IF(AND(M958="positive",O958="positive"),"a",IF(O958="positive","b",IF(M958="positive","c","d"))))</x:f>
        <x:v>d</x:v>
      </x:c>
      <x:c r="AC958" s="12" t="str">
        <x:f>IF(OR(R958="unavailable",T958="unavailable"),"不可评价",IF(AND(OR(R958="positive",R958="equivocal"),OR(T958="positive",T958="equivocal")),"a",IF(OR(T958="positive",T958="equivocal"),"b",IF(OR(R958="positive",R958="equivocal"),"c","d"))))</x:f>
        <x:v>d</x:v>
      </x:c>
      <x:c r="AD958" s="12" t="str">
        <x:f>IF(OR(R958="unavailable",T958="unavailable"),"不可评价",IF(AND(R958="positive",T958="positive"),"a",IF(T958="positive","b",IF(R958="positive","c","d"))))</x:f>
        <x:v>d</x:v>
      </x:c>
      <x:c r="AE958" s="12" t="str">
        <x:f>IF(OR(W958="unavailable",Y958="unavailable"),"不可评价",IF(AND(OR(W958="positive",W958="equivocal"),OR(Y958="positive",Y958="equivocal")),"a",IF(OR(Y958="positive",Y958="equivocal"),"b",IF(OR(W958="positive",W958="equivocal"),"c","d"))))</x:f>
        <x:v>a</x:v>
      </x:c>
      <x:c r="AF958" s="12" t="str">
        <x:f>IF(OR(W958="unavailable",Y958="unavailable"),"不可评价",IF(AND(W958="positive",Y958="positive"),"a",IF(Y958="positive","b",IF(W958="positive","c","d"))))</x:f>
        <x:v>a</x:v>
      </x:c>
    </x:row>
    <x:row r="959" ht="24" customHeight="1">
      <x:c r="A959" s="12" t="str">
        <x:v>8281</x:v>
      </x:c>
      <x:c r="B959" s="12" t="str">
        <x:v>10982</x:v>
      </x:c>
      <x:c r="C959" s="21" t="n">
        <x:v>33780.79981481482</x:v>
      </x:c>
      <x:c r="D959" s="12" t="n">
        <x:v>50</x:v>
      </x:c>
      <x:c r="E959" s="12" t="n">
        <x:v>0</x:v>
      </x:c>
      <x:c r="F959" s="12" t="str">
        <x:v>未记录</x:v>
      </x:c>
      <x:c r="G959" s="12" t="n">
        <x:v>1</x:v>
      </x:c>
      <x:c r="H959" s="12" t="str">
        <x:v>{'AMI': 15.0, 'IRBBB': 100.0, 'SR': 0.0}</x:v>
      </x:c>
      <x:c r="I959" s="12" t="str">
        <x:v>[('NSR', 100.0), ('RAD4', 100.0), ('AB', 100.0)]</x:v>
      </x:c>
      <x:c r="J959" s="12" t="str">
        <x:v>ptbxl_database.csv；ecg_id=8281；scp_codes</x:v>
      </x:c>
      <x:c r="K959" s="12" t="str">
        <x:v>12sl_statements.csv；ecg_id=8281；statements_ext_snomed</x:v>
      </x:c>
      <x:c r="L959" s="12"/>
      <x:c r="M959" s="12" t="str">
        <x:v>negative</x:v>
      </x:c>
      <x:c r="N959" s="12"/>
      <x:c r="O959" s="12" t="str">
        <x:v>negative</x:v>
      </x:c>
      <x:c r="P959" s="12" t="str">
        <x:f>IF(OR(M959="unavailable",O959="unavailable"),"不可评价",IF(OR(M959="equivocal",O959="equivocal"),"疑似",IF(AND(M959="positive",O959="positive"),"a",IF(O959="positive","b",IF(M959="positive","c","d")))))</x:f>
        <x:v>d</x:v>
      </x:c>
      <x:c r="Q959" s="12"/>
      <x:c r="R959" s="12" t="str">
        <x:v>negative</x:v>
      </x:c>
      <x:c r="S959" s="12"/>
      <x:c r="T959" s="12" t="str">
        <x:v>negative</x:v>
      </x:c>
      <x:c r="U959" s="12" t="str">
        <x:f>IF(OR(R959="unavailable",T959="unavailable"),"不可评价",IF(OR(R959="equivocal",T959="equivocal"),"疑似",IF(AND(R959="positive",T959="positive"),"a",IF(T959="positive","b",IF(R959="positive","c","d")))))</x:f>
        <x:v>d</x:v>
      </x:c>
      <x:c r="V959" s="12"/>
      <x:c r="W959" s="12" t="str">
        <x:v>negative</x:v>
      </x:c>
      <x:c r="X959" s="12"/>
      <x:c r="Y959" s="12" t="str">
        <x:v>negative</x:v>
      </x:c>
      <x:c r="Z959" s="12" t="str">
        <x:f>IF(OR(W959="unavailable",Y959="unavailable"),"不可评价",IF(OR(W959="equivocal",Y959="equivocal"),"疑似",IF(AND(W959="positive",Y959="positive"),"a",IF(Y959="positive","b",IF(W959="positive","c","d")))))</x:f>
        <x:v>d</x:v>
      </x:c>
      <x:c r="AA959" s="12" t="str">
        <x:f>IF(OR(M959="unavailable",O959="unavailable"),"不可评价",IF(AND(OR(M959="positive",M959="equivocal"),OR(O959="positive",O959="equivocal")),"a",IF(OR(O959="positive",O959="equivocal"),"b",IF(OR(M959="positive",M959="equivocal"),"c","d"))))</x:f>
        <x:v>d</x:v>
      </x:c>
      <x:c r="AB959" s="12" t="str">
        <x:f>IF(OR(M959="unavailable",O959="unavailable"),"不可评价",IF(AND(M959="positive",O959="positive"),"a",IF(O959="positive","b",IF(M959="positive","c","d"))))</x:f>
        <x:v>d</x:v>
      </x:c>
      <x:c r="AC959" s="12" t="str">
        <x:f>IF(OR(R959="unavailable",T959="unavailable"),"不可评价",IF(AND(OR(R959="positive",R959="equivocal"),OR(T959="positive",T959="equivocal")),"a",IF(OR(T959="positive",T959="equivocal"),"b",IF(OR(R959="positive",R959="equivocal"),"c","d"))))</x:f>
        <x:v>d</x:v>
      </x:c>
      <x:c r="AD959" s="12" t="str">
        <x:f>IF(OR(R959="unavailable",T959="unavailable"),"不可评价",IF(AND(R959="positive",T959="positive"),"a",IF(T959="positive","b",IF(R959="positive","c","d"))))</x:f>
        <x:v>d</x:v>
      </x:c>
      <x:c r="AE959" s="12" t="str">
        <x:f>IF(OR(W959="unavailable",Y959="unavailable"),"不可评价",IF(AND(OR(W959="positive",W959="equivocal"),OR(Y959="positive",Y959="equivocal")),"a",IF(OR(Y959="positive",Y959="equivocal"),"b",IF(OR(W959="positive",W959="equivocal"),"c","d"))))</x:f>
        <x:v>d</x:v>
      </x:c>
      <x:c r="AF959" s="12" t="str">
        <x:f>IF(OR(W959="unavailable",Y959="unavailable"),"不可评价",IF(AND(W959="positive",Y959="positive"),"a",IF(Y959="positive","b",IF(W959="positive","c","d"))))</x:f>
        <x:v>d</x:v>
      </x:c>
    </x:row>
    <x:row r="960" ht="24" customHeight="1">
      <x:c r="A960" s="12" t="str">
        <x:v>8284</x:v>
      </x:c>
      <x:c r="B960" s="12" t="str">
        <x:v>5287</x:v>
      </x:c>
      <x:c r="C960" s="21" t="n">
        <x:v>33781.39947916667</x:v>
      </x:c>
      <x:c r="D960" s="12" t="n">
        <x:v>72</x:v>
      </x:c>
      <x:c r="E960" s="12" t="n">
        <x:v>1</x:v>
      </x:c>
      <x:c r="F960" s="12" t="str">
        <x:v>未记录</x:v>
      </x:c>
      <x:c r="G960" s="12" t="n">
        <x:v>1</x:v>
      </x:c>
      <x:c r="H960" s="12" t="str">
        <x:v>{'LVH': 35.0, 'NT_': 0.0, 'VCLVH': 0.0, 'SR': 0.0}</x:v>
      </x:c>
      <x:c r="I960" s="12" t="str">
        <x:v>[('NSR', 100.0), ('BORDE', 100.0)]</x:v>
      </x:c>
      <x:c r="J960" s="12" t="str">
        <x:v>ptbxl_database.csv；ecg_id=8284；scp_codes</x:v>
      </x:c>
      <x:c r="K960" s="12" t="str">
        <x:v>12sl_statements.csv；ecg_id=8284；statements_ext_snomed</x:v>
      </x:c>
      <x:c r="L960" s="12"/>
      <x:c r="M960" s="12" t="str">
        <x:v>negative</x:v>
      </x:c>
      <x:c r="N960" s="12"/>
      <x:c r="O960" s="12" t="str">
        <x:v>negative</x:v>
      </x:c>
      <x:c r="P960" s="12" t="str">
        <x:f>IF(OR(M960="unavailable",O960="unavailable"),"不可评价",IF(OR(M960="equivocal",O960="equivocal"),"疑似",IF(AND(M960="positive",O960="positive"),"a",IF(O960="positive","b",IF(M960="positive","c","d")))))</x:f>
        <x:v>d</x:v>
      </x:c>
      <x:c r="Q960" s="12"/>
      <x:c r="R960" s="12" t="str">
        <x:v>negative</x:v>
      </x:c>
      <x:c r="S960" s="12"/>
      <x:c r="T960" s="12" t="str">
        <x:v>negative</x:v>
      </x:c>
      <x:c r="U960" s="12" t="str">
        <x:f>IF(OR(R960="unavailable",T960="unavailable"),"不可评价",IF(OR(R960="equivocal",T960="equivocal"),"疑似",IF(AND(R960="positive",T960="positive"),"a",IF(T960="positive","b",IF(R960="positive","c","d")))))</x:f>
        <x:v>d</x:v>
      </x:c>
      <x:c r="V960" s="12"/>
      <x:c r="W960" s="12" t="str">
        <x:v>negative</x:v>
      </x:c>
      <x:c r="X960" s="12"/>
      <x:c r="Y960" s="12" t="str">
        <x:v>negative</x:v>
      </x:c>
      <x:c r="Z960" s="12" t="str">
        <x:f>IF(OR(W960="unavailable",Y960="unavailable"),"不可评价",IF(OR(W960="equivocal",Y960="equivocal"),"疑似",IF(AND(W960="positive",Y960="positive"),"a",IF(Y960="positive","b",IF(W960="positive","c","d")))))</x:f>
        <x:v>d</x:v>
      </x:c>
      <x:c r="AA960" s="12" t="str">
        <x:f>IF(OR(M960="unavailable",O960="unavailable"),"不可评价",IF(AND(OR(M960="positive",M960="equivocal"),OR(O960="positive",O960="equivocal")),"a",IF(OR(O960="positive",O960="equivocal"),"b",IF(OR(M960="positive",M960="equivocal"),"c","d"))))</x:f>
        <x:v>d</x:v>
      </x:c>
      <x:c r="AB960" s="12" t="str">
        <x:f>IF(OR(M960="unavailable",O960="unavailable"),"不可评价",IF(AND(M960="positive",O960="positive"),"a",IF(O960="positive","b",IF(M960="positive","c","d"))))</x:f>
        <x:v>d</x:v>
      </x:c>
      <x:c r="AC960" s="12" t="str">
        <x:f>IF(OR(R960="unavailable",T960="unavailable"),"不可评价",IF(AND(OR(R960="positive",R960="equivocal"),OR(T960="positive",T960="equivocal")),"a",IF(OR(T960="positive",T960="equivocal"),"b",IF(OR(R960="positive",R960="equivocal"),"c","d"))))</x:f>
        <x:v>d</x:v>
      </x:c>
      <x:c r="AD960" s="12" t="str">
        <x:f>IF(OR(R960="unavailable",T960="unavailable"),"不可评价",IF(AND(R960="positive",T960="positive"),"a",IF(T960="positive","b",IF(R960="positive","c","d"))))</x:f>
        <x:v>d</x:v>
      </x:c>
      <x:c r="AE960" s="12" t="str">
        <x:f>IF(OR(W960="unavailable",Y960="unavailable"),"不可评价",IF(AND(OR(W960="positive",W960="equivocal"),OR(Y960="positive",Y960="equivocal")),"a",IF(OR(Y960="positive",Y960="equivocal"),"b",IF(OR(W960="positive",W960="equivocal"),"c","d"))))</x:f>
        <x:v>d</x:v>
      </x:c>
      <x:c r="AF960" s="12" t="str">
        <x:f>IF(OR(W960="unavailable",Y960="unavailable"),"不可评价",IF(AND(W960="positive",Y960="positive"),"a",IF(Y960="positive","b",IF(W960="positive","c","d"))))</x:f>
        <x:v>d</x:v>
      </x:c>
    </x:row>
    <x:row r="961" ht="39" customHeight="1">
      <x:c r="A961" s="12" t="str">
        <x:v>8344</x:v>
      </x:c>
      <x:c r="B961" s="12" t="str">
        <x:v>2111</x:v>
      </x:c>
      <x:c r="C961" s="21" t="n">
        <x:v>33788.6556712963</x:v>
      </x:c>
      <x:c r="D961" s="12" t="n">
        <x:v>42</x:v>
      </x:c>
      <x:c r="E961" s="12" t="n">
        <x:v>0</x:v>
      </x:c>
      <x:c r="F961" s="12" t="str">
        <x:v>未记录</x:v>
      </x:c>
      <x:c r="G961" s="12" t="n">
        <x:v>1</x:v>
      </x:c>
      <x:c r="H961" s="12" t="str">
        <x:v>{'IMI': 80.0, 'QWAVE': 0.0, 'SR': 0.0}</x:v>
      </x:c>
      <x:c r="I961" s="12" t="str">
        <x:v>[('SRTH', 100.0), ('PAC', 100.0), ('$SABCOND', 100.0), ('IMI;AU', 100.0), ('AB', 100.0)]</x:v>
      </x:c>
      <x:c r="J961" s="12" t="str">
        <x:v>ptbxl_database.csv；ecg_id=8344；scp_codes</x:v>
      </x:c>
      <x:c r="K961" s="12" t="str">
        <x:v>12sl_statements.csv；ecg_id=8344；statements_ext_snomed</x:v>
      </x:c>
      <x:c r="L961" s="12"/>
      <x:c r="M961" s="12" t="str">
        <x:v>negative</x:v>
      </x:c>
      <x:c r="N961" s="12"/>
      <x:c r="O961" s="12" t="str">
        <x:v>negative</x:v>
      </x:c>
      <x:c r="P961" s="12" t="str">
        <x:f>IF(OR(M961="unavailable",O961="unavailable"),"不可评价",IF(OR(M961="equivocal",O961="equivocal"),"疑似",IF(AND(M961="positive",O961="positive"),"a",IF(O961="positive","b",IF(M961="positive","c","d")))))</x:f>
        <x:v>d</x:v>
      </x:c>
      <x:c r="Q961" s="12"/>
      <x:c r="R961" s="12" t="str">
        <x:v>negative</x:v>
      </x:c>
      <x:c r="S961" s="12"/>
      <x:c r="T961" s="12" t="str">
        <x:v>negative</x:v>
      </x:c>
      <x:c r="U961" s="12" t="str">
        <x:f>IF(OR(R961="unavailable",T961="unavailable"),"不可评价",IF(OR(R961="equivocal",T961="equivocal"),"疑似",IF(AND(R961="positive",T961="positive"),"a",IF(T961="positive","b",IF(R961="positive","c","d")))))</x:f>
        <x:v>d</x:v>
      </x:c>
      <x:c r="V961" s="12"/>
      <x:c r="W961" s="12" t="str">
        <x:v>negative</x:v>
      </x:c>
      <x:c r="X961" s="12"/>
      <x:c r="Y961" s="12" t="str">
        <x:v>negative</x:v>
      </x:c>
      <x:c r="Z961" s="12" t="str">
        <x:f>IF(OR(W961="unavailable",Y961="unavailable"),"不可评价",IF(OR(W961="equivocal",Y961="equivocal"),"疑似",IF(AND(W961="positive",Y961="positive"),"a",IF(Y961="positive","b",IF(W961="positive","c","d")))))</x:f>
        <x:v>d</x:v>
      </x:c>
      <x:c r="AA961" s="12" t="str">
        <x:f>IF(OR(M961="unavailable",O961="unavailable"),"不可评价",IF(AND(OR(M961="positive",M961="equivocal"),OR(O961="positive",O961="equivocal")),"a",IF(OR(O961="positive",O961="equivocal"),"b",IF(OR(M961="positive",M961="equivocal"),"c","d"))))</x:f>
        <x:v>d</x:v>
      </x:c>
      <x:c r="AB961" s="12" t="str">
        <x:f>IF(OR(M961="unavailable",O961="unavailable"),"不可评价",IF(AND(M961="positive",O961="positive"),"a",IF(O961="positive","b",IF(M961="positive","c","d"))))</x:f>
        <x:v>d</x:v>
      </x:c>
      <x:c r="AC961" s="12" t="str">
        <x:f>IF(OR(R961="unavailable",T961="unavailable"),"不可评价",IF(AND(OR(R961="positive",R961="equivocal"),OR(T961="positive",T961="equivocal")),"a",IF(OR(T961="positive",T961="equivocal"),"b",IF(OR(R961="positive",R961="equivocal"),"c","d"))))</x:f>
        <x:v>d</x:v>
      </x:c>
      <x:c r="AD961" s="12" t="str">
        <x:f>IF(OR(R961="unavailable",T961="unavailable"),"不可评价",IF(AND(R961="positive",T961="positive"),"a",IF(T961="positive","b",IF(R961="positive","c","d"))))</x:f>
        <x:v>d</x:v>
      </x:c>
      <x:c r="AE961" s="12" t="str">
        <x:f>IF(OR(W961="unavailable",Y961="unavailable"),"不可评价",IF(AND(OR(W961="positive",W961="equivocal"),OR(Y961="positive",Y961="equivocal")),"a",IF(OR(Y961="positive",Y961="equivocal"),"b",IF(OR(W961="positive",W961="equivocal"),"c","d"))))</x:f>
        <x:v>d</x:v>
      </x:c>
      <x:c r="AF961" s="12" t="str">
        <x:f>IF(OR(W961="unavailable",Y961="unavailable"),"不可评价",IF(AND(W961="positive",Y961="positive"),"a",IF(Y961="positive","b",IF(W961="positive","c","d"))))</x:f>
        <x:v>d</x:v>
      </x:c>
    </x:row>
    <x:row r="962" ht="39" customHeight="1">
      <x:c r="A962" s="12" t="str">
        <x:v>8406</x:v>
      </x:c>
      <x:c r="B962" s="12" t="str">
        <x:v>15485</x:v>
      </x:c>
      <x:c r="C962" s="21" t="n">
        <x:v>33795.59153935185</x:v>
      </x:c>
      <x:c r="D962" s="12" t="n">
        <x:v>70</x:v>
      </x:c>
      <x:c r="E962" s="12" t="n">
        <x:v>0</x:v>
      </x:c>
      <x:c r="F962" s="12" t="str">
        <x:v>未记录</x:v>
      </x:c>
      <x:c r="G962" s="12" t="n">
        <x:v>1</x:v>
      </x:c>
      <x:c r="H962" s="12" t="str">
        <x:v>{'ASMI': 100.0, 'LVH': 100.0, 'ISC_': 100.0, 'LAFB': 100.0, 'ABQRS': 0.0, 'SR': 0.0}</x:v>
      </x:c>
      <x:c r="I962" s="12" t="str">
        <x:v>[('NSR', 100.0), ('AFB', 100.0), ('LVH2', 100.0), ('2ST', 100.0), ('ASMI;AU', 100.0), ('AB', 100.0)]</x:v>
      </x:c>
      <x:c r="J962" s="12" t="str">
        <x:v>ptbxl_database.csv；ecg_id=8406；scp_codes</x:v>
      </x:c>
      <x:c r="K962" s="12" t="str">
        <x:v>12sl_statements.csv；ecg_id=8406；statements_ext_snomed</x:v>
      </x:c>
      <x:c r="L962" s="12"/>
      <x:c r="M962" s="12" t="str">
        <x:v>negative</x:v>
      </x:c>
      <x:c r="N962" s="12"/>
      <x:c r="O962" s="12" t="str">
        <x:v>negative</x:v>
      </x:c>
      <x:c r="P962" s="12" t="str">
        <x:f>IF(OR(M962="unavailable",O962="unavailable"),"不可评价",IF(OR(M962="equivocal",O962="equivocal"),"疑似",IF(AND(M962="positive",O962="positive"),"a",IF(O962="positive","b",IF(M962="positive","c","d")))))</x:f>
        <x:v>d</x:v>
      </x:c>
      <x:c r="Q962" s="12"/>
      <x:c r="R962" s="12" t="str">
        <x:v>negative</x:v>
      </x:c>
      <x:c r="S962" s="12"/>
      <x:c r="T962" s="12" t="str">
        <x:v>negative</x:v>
      </x:c>
      <x:c r="U962" s="12" t="str">
        <x:f>IF(OR(R962="unavailable",T962="unavailable"),"不可评价",IF(OR(R962="equivocal",T962="equivocal"),"疑似",IF(AND(R962="positive",T962="positive"),"a",IF(T962="positive","b",IF(R962="positive","c","d")))))</x:f>
        <x:v>d</x:v>
      </x:c>
      <x:c r="V962" s="12"/>
      <x:c r="W962" s="12" t="str">
        <x:v>negative</x:v>
      </x:c>
      <x:c r="X962" s="12"/>
      <x:c r="Y962" s="12" t="str">
        <x:v>negative</x:v>
      </x:c>
      <x:c r="Z962" s="12" t="str">
        <x:f>IF(OR(W962="unavailable",Y962="unavailable"),"不可评价",IF(OR(W962="equivocal",Y962="equivocal"),"疑似",IF(AND(W962="positive",Y962="positive"),"a",IF(Y962="positive","b",IF(W962="positive","c","d")))))</x:f>
        <x:v>d</x:v>
      </x:c>
      <x:c r="AA962" s="12" t="str">
        <x:f>IF(OR(M962="unavailable",O962="unavailable"),"不可评价",IF(AND(OR(M962="positive",M962="equivocal"),OR(O962="positive",O962="equivocal")),"a",IF(OR(O962="positive",O962="equivocal"),"b",IF(OR(M962="positive",M962="equivocal"),"c","d"))))</x:f>
        <x:v>d</x:v>
      </x:c>
      <x:c r="AB962" s="12" t="str">
        <x:f>IF(OR(M962="unavailable",O962="unavailable"),"不可评价",IF(AND(M962="positive",O962="positive"),"a",IF(O962="positive","b",IF(M962="positive","c","d"))))</x:f>
        <x:v>d</x:v>
      </x:c>
      <x:c r="AC962" s="12" t="str">
        <x:f>IF(OR(R962="unavailable",T962="unavailable"),"不可评价",IF(AND(OR(R962="positive",R962="equivocal"),OR(T962="positive",T962="equivocal")),"a",IF(OR(T962="positive",T962="equivocal"),"b",IF(OR(R962="positive",R962="equivocal"),"c","d"))))</x:f>
        <x:v>d</x:v>
      </x:c>
      <x:c r="AD962" s="12" t="str">
        <x:f>IF(OR(R962="unavailable",T962="unavailable"),"不可评价",IF(AND(R962="positive",T962="positive"),"a",IF(T962="positive","b",IF(R962="positive","c","d"))))</x:f>
        <x:v>d</x:v>
      </x:c>
      <x:c r="AE962" s="12" t="str">
        <x:f>IF(OR(W962="unavailable",Y962="unavailable"),"不可评价",IF(AND(OR(W962="positive",W962="equivocal"),OR(Y962="positive",Y962="equivocal")),"a",IF(OR(Y962="positive",Y962="equivocal"),"b",IF(OR(W962="positive",W962="equivocal"),"c","d"))))</x:f>
        <x:v>d</x:v>
      </x:c>
      <x:c r="AF962" s="12" t="str">
        <x:f>IF(OR(W962="unavailable",Y962="unavailable"),"不可评价",IF(AND(W962="positive",Y962="positive"),"a",IF(Y962="positive","b",IF(W962="positive","c","d"))))</x:f>
        <x:v>d</x:v>
      </x:c>
    </x:row>
    <x:row r="963" ht="24" customHeight="1">
      <x:c r="A963" s="12" t="str">
        <x:v>8410</x:v>
      </x:c>
      <x:c r="B963" s="12" t="str">
        <x:v>6783</x:v>
      </x:c>
      <x:c r="C963" s="21" t="n">
        <x:v>33795.76893518519</x:v>
      </x:c>
      <x:c r="D963" s="12" t="n">
        <x:v>70</x:v>
      </x:c>
      <x:c r="E963" s="12" t="n">
        <x:v>1</x:v>
      </x:c>
      <x:c r="F963" s="12" t="str">
        <x:v>未记录</x:v>
      </x:c>
      <x:c r="G963" s="12" t="n">
        <x:v>1</x:v>
      </x:c>
      <x:c r="H963" s="12" t="str">
        <x:v>{'NORM': 100.0, 'VCLVH': 0.0, 'SR': 0.0}</x:v>
      </x:c>
      <x:c r="I963" s="12" t="str">
        <x:v>[('NSR', 100.0), ('BORDE', 100.0)]</x:v>
      </x:c>
      <x:c r="J963" s="12" t="str">
        <x:v>ptbxl_database.csv；ecg_id=8410；scp_codes</x:v>
      </x:c>
      <x:c r="K963" s="12" t="str">
        <x:v>12sl_statements.csv；ecg_id=8410；statements_ext_snomed</x:v>
      </x:c>
      <x:c r="L963" s="12"/>
      <x:c r="M963" s="12" t="str">
        <x:v>negative</x:v>
      </x:c>
      <x:c r="N963" s="12"/>
      <x:c r="O963" s="12" t="str">
        <x:v>negative</x:v>
      </x:c>
      <x:c r="P963" s="12" t="str">
        <x:f>IF(OR(M963="unavailable",O963="unavailable"),"不可评价",IF(OR(M963="equivocal",O963="equivocal"),"疑似",IF(AND(M963="positive",O963="positive"),"a",IF(O963="positive","b",IF(M963="positive","c","d")))))</x:f>
        <x:v>d</x:v>
      </x:c>
      <x:c r="Q963" s="12"/>
      <x:c r="R963" s="12" t="str">
        <x:v>negative</x:v>
      </x:c>
      <x:c r="S963" s="12"/>
      <x:c r="T963" s="12" t="str">
        <x:v>negative</x:v>
      </x:c>
      <x:c r="U963" s="12" t="str">
        <x:f>IF(OR(R963="unavailable",T963="unavailable"),"不可评价",IF(OR(R963="equivocal",T963="equivocal"),"疑似",IF(AND(R963="positive",T963="positive"),"a",IF(T963="positive","b",IF(R963="positive","c","d")))))</x:f>
        <x:v>d</x:v>
      </x:c>
      <x:c r="V963" s="12"/>
      <x:c r="W963" s="12" t="str">
        <x:v>negative</x:v>
      </x:c>
      <x:c r="X963" s="12"/>
      <x:c r="Y963" s="12" t="str">
        <x:v>negative</x:v>
      </x:c>
      <x:c r="Z963" s="12" t="str">
        <x:f>IF(OR(W963="unavailable",Y963="unavailable"),"不可评价",IF(OR(W963="equivocal",Y963="equivocal"),"疑似",IF(AND(W963="positive",Y963="positive"),"a",IF(Y963="positive","b",IF(W963="positive","c","d")))))</x:f>
        <x:v>d</x:v>
      </x:c>
      <x:c r="AA963" s="12" t="str">
        <x:f>IF(OR(M963="unavailable",O963="unavailable"),"不可评价",IF(AND(OR(M963="positive",M963="equivocal"),OR(O963="positive",O963="equivocal")),"a",IF(OR(O963="positive",O963="equivocal"),"b",IF(OR(M963="positive",M963="equivocal"),"c","d"))))</x:f>
        <x:v>d</x:v>
      </x:c>
      <x:c r="AB963" s="12" t="str">
        <x:f>IF(OR(M963="unavailable",O963="unavailable"),"不可评价",IF(AND(M963="positive",O963="positive"),"a",IF(O963="positive","b",IF(M963="positive","c","d"))))</x:f>
        <x:v>d</x:v>
      </x:c>
      <x:c r="AC963" s="12" t="str">
        <x:f>IF(OR(R963="unavailable",T963="unavailable"),"不可评价",IF(AND(OR(R963="positive",R963="equivocal"),OR(T963="positive",T963="equivocal")),"a",IF(OR(T963="positive",T963="equivocal"),"b",IF(OR(R963="positive",R963="equivocal"),"c","d"))))</x:f>
        <x:v>d</x:v>
      </x:c>
      <x:c r="AD963" s="12" t="str">
        <x:f>IF(OR(R963="unavailable",T963="unavailable"),"不可评价",IF(AND(R963="positive",T963="positive"),"a",IF(T963="positive","b",IF(R963="positive","c","d"))))</x:f>
        <x:v>d</x:v>
      </x:c>
      <x:c r="AE963" s="12" t="str">
        <x:f>IF(OR(W963="unavailable",Y963="unavailable"),"不可评价",IF(AND(OR(W963="positive",W963="equivocal"),OR(Y963="positive",Y963="equivocal")),"a",IF(OR(Y963="positive",Y963="equivocal"),"b",IF(OR(W963="positive",W963="equivocal"),"c","d"))))</x:f>
        <x:v>d</x:v>
      </x:c>
      <x:c r="AF963" s="12" t="str">
        <x:f>IF(OR(W963="unavailable",Y963="unavailable"),"不可评价",IF(AND(W963="positive",Y963="positive"),"a",IF(Y963="positive","b",IF(W963="positive","c","d"))))</x:f>
        <x:v>d</x:v>
      </x:c>
    </x:row>
    <x:row r="964" ht="24" customHeight="1">
      <x:c r="A964" s="12" t="str">
        <x:v>8415</x:v>
      </x:c>
      <x:c r="B964" s="12" t="str">
        <x:v>11737</x:v>
      </x:c>
      <x:c r="C964" s="21" t="n">
        <x:v>33796.550405092596</x:v>
      </x:c>
      <x:c r="D964" s="12" t="n">
        <x:v>69</x:v>
      </x:c>
      <x:c r="E964" s="12" t="n">
        <x:v>1</x:v>
      </x:c>
      <x:c r="F964" s="12" t="str">
        <x:v>未记录</x:v>
      </x:c>
      <x:c r="G964" s="12" t="n">
        <x:v>1</x:v>
      </x:c>
      <x:c r="H964" s="12" t="str">
        <x:v>{'IMI': 50.0, 'ABQRS': 0.0, 'SR': 0.0}</x:v>
      </x:c>
      <x:c r="I964" s="12" t="str">
        <x:v>[('SBRAD', 100.0), ('LAD3', 100.0), ('IMI;AU', 100.0), ('AB', 100.0)]</x:v>
      </x:c>
      <x:c r="J964" s="12" t="str">
        <x:v>ptbxl_database.csv；ecg_id=8415；scp_codes</x:v>
      </x:c>
      <x:c r="K964" s="12" t="str">
        <x:v>12sl_statements.csv；ecg_id=8415；statements_ext_snomed</x:v>
      </x:c>
      <x:c r="L964" s="12"/>
      <x:c r="M964" s="12" t="str">
        <x:v>negative</x:v>
      </x:c>
      <x:c r="N964" s="12"/>
      <x:c r="O964" s="12" t="str">
        <x:v>negative</x:v>
      </x:c>
      <x:c r="P964" s="12" t="str">
        <x:f>IF(OR(M964="unavailable",O964="unavailable"),"不可评价",IF(OR(M964="equivocal",O964="equivocal"),"疑似",IF(AND(M964="positive",O964="positive"),"a",IF(O964="positive","b",IF(M964="positive","c","d")))))</x:f>
        <x:v>d</x:v>
      </x:c>
      <x:c r="Q964" s="12"/>
      <x:c r="R964" s="12" t="str">
        <x:v>negative</x:v>
      </x:c>
      <x:c r="S964" s="12"/>
      <x:c r="T964" s="12" t="str">
        <x:v>negative</x:v>
      </x:c>
      <x:c r="U964" s="12" t="str">
        <x:f>IF(OR(R964="unavailable",T964="unavailable"),"不可评价",IF(OR(R964="equivocal",T964="equivocal"),"疑似",IF(AND(R964="positive",T964="positive"),"a",IF(T964="positive","b",IF(R964="positive","c","d")))))</x:f>
        <x:v>d</x:v>
      </x:c>
      <x:c r="V964" s="12"/>
      <x:c r="W964" s="12" t="str">
        <x:v>negative</x:v>
      </x:c>
      <x:c r="X964" s="12"/>
      <x:c r="Y964" s="12" t="str">
        <x:v>negative</x:v>
      </x:c>
      <x:c r="Z964" s="12" t="str">
        <x:f>IF(OR(W964="unavailable",Y964="unavailable"),"不可评价",IF(OR(W964="equivocal",Y964="equivocal"),"疑似",IF(AND(W964="positive",Y964="positive"),"a",IF(Y964="positive","b",IF(W964="positive","c","d")))))</x:f>
        <x:v>d</x:v>
      </x:c>
      <x:c r="AA964" s="12" t="str">
        <x:f>IF(OR(M964="unavailable",O964="unavailable"),"不可评价",IF(AND(OR(M964="positive",M964="equivocal"),OR(O964="positive",O964="equivocal")),"a",IF(OR(O964="positive",O964="equivocal"),"b",IF(OR(M964="positive",M964="equivocal"),"c","d"))))</x:f>
        <x:v>d</x:v>
      </x:c>
      <x:c r="AB964" s="12" t="str">
        <x:f>IF(OR(M964="unavailable",O964="unavailable"),"不可评价",IF(AND(M964="positive",O964="positive"),"a",IF(O964="positive","b",IF(M964="positive","c","d"))))</x:f>
        <x:v>d</x:v>
      </x:c>
      <x:c r="AC964" s="12" t="str">
        <x:f>IF(OR(R964="unavailable",T964="unavailable"),"不可评价",IF(AND(OR(R964="positive",R964="equivocal"),OR(T964="positive",T964="equivocal")),"a",IF(OR(T964="positive",T964="equivocal"),"b",IF(OR(R964="positive",R964="equivocal"),"c","d"))))</x:f>
        <x:v>d</x:v>
      </x:c>
      <x:c r="AD964" s="12" t="str">
        <x:f>IF(OR(R964="unavailable",T964="unavailable"),"不可评价",IF(AND(R964="positive",T964="positive"),"a",IF(T964="positive","b",IF(R964="positive","c","d"))))</x:f>
        <x:v>d</x:v>
      </x:c>
      <x:c r="AE964" s="12" t="str">
        <x:f>IF(OR(W964="unavailable",Y964="unavailable"),"不可评价",IF(AND(OR(W964="positive",W964="equivocal"),OR(Y964="positive",Y964="equivocal")),"a",IF(OR(Y964="positive",Y964="equivocal"),"b",IF(OR(W964="positive",W964="equivocal"),"c","d"))))</x:f>
        <x:v>d</x:v>
      </x:c>
      <x:c r="AF964" s="12" t="str">
        <x:f>IF(OR(W964="unavailable",Y964="unavailable"),"不可评价",IF(AND(W964="positive",Y964="positive"),"a",IF(Y964="positive","b",IF(W964="positive","c","d"))))</x:f>
        <x:v>d</x:v>
      </x:c>
    </x:row>
    <x:row r="965" ht="24" customHeight="1">
      <x:c r="A965" s="12" t="str">
        <x:v>8442</x:v>
      </x:c>
      <x:c r="B965" s="12" t="str">
        <x:v>8487</x:v>
      </x:c>
      <x:c r="C965" s="21" t="n">
        <x:v>33799.44337962963</x:v>
      </x:c>
      <x:c r="D965" s="12" t="n">
        <x:v>82</x:v>
      </x:c>
      <x:c r="E965" s="12" t="n">
        <x:v>0</x:v>
      </x:c>
      <x:c r="F965" s="12" t="str">
        <x:v>未记录</x:v>
      </x:c>
      <x:c r="G965" s="12" t="n">
        <x:v>1</x:v>
      </x:c>
      <x:c r="H965" s="12" t="str">
        <x:v>{'IMI': 80.0, 'ISCAS': 100.0, 'ABQRS': 0.0, 'SR': 0.0}</x:v>
      </x:c>
      <x:c r="I965" s="12" t="str">
        <x:v>[('NSR', 100.0), ('IRBBB', 100.0), ('AT', 100.0), ('AB', 100.0)]</x:v>
      </x:c>
      <x:c r="J965" s="12" t="str">
        <x:v>ptbxl_database.csv；ecg_id=8442；scp_codes</x:v>
      </x:c>
      <x:c r="K965" s="12" t="str">
        <x:v>12sl_statements.csv；ecg_id=8442；statements_ext_snomed</x:v>
      </x:c>
      <x:c r="L965" s="12"/>
      <x:c r="M965" s="12" t="str">
        <x:v>negative</x:v>
      </x:c>
      <x:c r="N965" s="12"/>
      <x:c r="O965" s="12" t="str">
        <x:v>negative</x:v>
      </x:c>
      <x:c r="P965" s="12" t="str">
        <x:f>IF(OR(M965="unavailable",O965="unavailable"),"不可评价",IF(OR(M965="equivocal",O965="equivocal"),"疑似",IF(AND(M965="positive",O965="positive"),"a",IF(O965="positive","b",IF(M965="positive","c","d")))))</x:f>
        <x:v>d</x:v>
      </x:c>
      <x:c r="Q965" s="12"/>
      <x:c r="R965" s="12" t="str">
        <x:v>negative</x:v>
      </x:c>
      <x:c r="S965" s="12"/>
      <x:c r="T965" s="12" t="str">
        <x:v>negative</x:v>
      </x:c>
      <x:c r="U965" s="12" t="str">
        <x:f>IF(OR(R965="unavailable",T965="unavailable"),"不可评价",IF(OR(R965="equivocal",T965="equivocal"),"疑似",IF(AND(R965="positive",T965="positive"),"a",IF(T965="positive","b",IF(R965="positive","c","d")))))</x:f>
        <x:v>d</x:v>
      </x:c>
      <x:c r="V965" s="12"/>
      <x:c r="W965" s="12" t="str">
        <x:v>negative</x:v>
      </x:c>
      <x:c r="X965" s="12"/>
      <x:c r="Y965" s="12" t="str">
        <x:v>negative</x:v>
      </x:c>
      <x:c r="Z965" s="12" t="str">
        <x:f>IF(OR(W965="unavailable",Y965="unavailable"),"不可评价",IF(OR(W965="equivocal",Y965="equivocal"),"疑似",IF(AND(W965="positive",Y965="positive"),"a",IF(Y965="positive","b",IF(W965="positive","c","d")))))</x:f>
        <x:v>d</x:v>
      </x:c>
      <x:c r="AA965" s="12" t="str">
        <x:f>IF(OR(M965="unavailable",O965="unavailable"),"不可评价",IF(AND(OR(M965="positive",M965="equivocal"),OR(O965="positive",O965="equivocal")),"a",IF(OR(O965="positive",O965="equivocal"),"b",IF(OR(M965="positive",M965="equivocal"),"c","d"))))</x:f>
        <x:v>d</x:v>
      </x:c>
      <x:c r="AB965" s="12" t="str">
        <x:f>IF(OR(M965="unavailable",O965="unavailable"),"不可评价",IF(AND(M965="positive",O965="positive"),"a",IF(O965="positive","b",IF(M965="positive","c","d"))))</x:f>
        <x:v>d</x:v>
      </x:c>
      <x:c r="AC965" s="12" t="str">
        <x:f>IF(OR(R965="unavailable",T965="unavailable"),"不可评价",IF(AND(OR(R965="positive",R965="equivocal"),OR(T965="positive",T965="equivocal")),"a",IF(OR(T965="positive",T965="equivocal"),"b",IF(OR(R965="positive",R965="equivocal"),"c","d"))))</x:f>
        <x:v>d</x:v>
      </x:c>
      <x:c r="AD965" s="12" t="str">
        <x:f>IF(OR(R965="unavailable",T965="unavailable"),"不可评价",IF(AND(R965="positive",T965="positive"),"a",IF(T965="positive","b",IF(R965="positive","c","d"))))</x:f>
        <x:v>d</x:v>
      </x:c>
      <x:c r="AE965" s="12" t="str">
        <x:f>IF(OR(W965="unavailable",Y965="unavailable"),"不可评价",IF(AND(OR(W965="positive",W965="equivocal"),OR(Y965="positive",Y965="equivocal")),"a",IF(OR(Y965="positive",Y965="equivocal"),"b",IF(OR(W965="positive",W965="equivocal"),"c","d"))))</x:f>
        <x:v>d</x:v>
      </x:c>
      <x:c r="AF965" s="12" t="str">
        <x:f>IF(OR(W965="unavailable",Y965="unavailable"),"不可评价",IF(AND(W965="positive",Y965="positive"),"a",IF(Y965="positive","b",IF(W965="positive","c","d"))))</x:f>
        <x:v>d</x:v>
      </x:c>
    </x:row>
    <x:row r="966" ht="24" customHeight="1">
      <x:c r="A966" s="12" t="str">
        <x:v>8446</x:v>
      </x:c>
      <x:c r="B966" s="12" t="str">
        <x:v>15640</x:v>
      </x:c>
      <x:c r="C966" s="21" t="n">
        <x:v>33799.569444444445</x:v>
      </x:c>
      <x:c r="D966" s="12" t="n">
        <x:v>76</x:v>
      </x:c>
      <x:c r="E966" s="12" t="n">
        <x:v>1</x:v>
      </x:c>
      <x:c r="F966" s="12" t="str">
        <x:v>未记录</x:v>
      </x:c>
      <x:c r="G966" s="12" t="n">
        <x:v>1</x:v>
      </x:c>
      <x:c r="H966" s="12" t="str">
        <x:v>{'ASMI': 100.0, 'LAFB': 100.0, 'SR': 0.0}</x:v>
      </x:c>
      <x:c r="I966" s="12" t="str">
        <x:v>[('NSR', 100.0), ('LAD3', 100.0), ('AMI;AU', 100.0), ('AB', 100.0)]</x:v>
      </x:c>
      <x:c r="J966" s="12" t="str">
        <x:v>ptbxl_database.csv；ecg_id=8446；scp_codes</x:v>
      </x:c>
      <x:c r="K966" s="12" t="str">
        <x:v>12sl_statements.csv；ecg_id=8446；statements_ext_snomed</x:v>
      </x:c>
      <x:c r="L966" s="12"/>
      <x:c r="M966" s="12" t="str">
        <x:v>negative</x:v>
      </x:c>
      <x:c r="N966" s="12"/>
      <x:c r="O966" s="12" t="str">
        <x:v>negative</x:v>
      </x:c>
      <x:c r="P966" s="12" t="str">
        <x:f>IF(OR(M966="unavailable",O966="unavailable"),"不可评价",IF(OR(M966="equivocal",O966="equivocal"),"疑似",IF(AND(M966="positive",O966="positive"),"a",IF(O966="positive","b",IF(M966="positive","c","d")))))</x:f>
        <x:v>d</x:v>
      </x:c>
      <x:c r="Q966" s="12"/>
      <x:c r="R966" s="12" t="str">
        <x:v>negative</x:v>
      </x:c>
      <x:c r="S966" s="12"/>
      <x:c r="T966" s="12" t="str">
        <x:v>negative</x:v>
      </x:c>
      <x:c r="U966" s="12" t="str">
        <x:f>IF(OR(R966="unavailable",T966="unavailable"),"不可评价",IF(OR(R966="equivocal",T966="equivocal"),"疑似",IF(AND(R966="positive",T966="positive"),"a",IF(T966="positive","b",IF(R966="positive","c","d")))))</x:f>
        <x:v>d</x:v>
      </x:c>
      <x:c r="V966" s="12"/>
      <x:c r="W966" s="12" t="str">
        <x:v>negative</x:v>
      </x:c>
      <x:c r="X966" s="12"/>
      <x:c r="Y966" s="12" t="str">
        <x:v>negative</x:v>
      </x:c>
      <x:c r="Z966" s="12" t="str">
        <x:f>IF(OR(W966="unavailable",Y966="unavailable"),"不可评价",IF(OR(W966="equivocal",Y966="equivocal"),"疑似",IF(AND(W966="positive",Y966="positive"),"a",IF(Y966="positive","b",IF(W966="positive","c","d")))))</x:f>
        <x:v>d</x:v>
      </x:c>
      <x:c r="AA966" s="12" t="str">
        <x:f>IF(OR(M966="unavailable",O966="unavailable"),"不可评价",IF(AND(OR(M966="positive",M966="equivocal"),OR(O966="positive",O966="equivocal")),"a",IF(OR(O966="positive",O966="equivocal"),"b",IF(OR(M966="positive",M966="equivocal"),"c","d"))))</x:f>
        <x:v>d</x:v>
      </x:c>
      <x:c r="AB966" s="12" t="str">
        <x:f>IF(OR(M966="unavailable",O966="unavailable"),"不可评价",IF(AND(M966="positive",O966="positive"),"a",IF(O966="positive","b",IF(M966="positive","c","d"))))</x:f>
        <x:v>d</x:v>
      </x:c>
      <x:c r="AC966" s="12" t="str">
        <x:f>IF(OR(R966="unavailable",T966="unavailable"),"不可评价",IF(AND(OR(R966="positive",R966="equivocal"),OR(T966="positive",T966="equivocal")),"a",IF(OR(T966="positive",T966="equivocal"),"b",IF(OR(R966="positive",R966="equivocal"),"c","d"))))</x:f>
        <x:v>d</x:v>
      </x:c>
      <x:c r="AD966" s="12" t="str">
        <x:f>IF(OR(R966="unavailable",T966="unavailable"),"不可评价",IF(AND(R966="positive",T966="positive"),"a",IF(T966="positive","b",IF(R966="positive","c","d"))))</x:f>
        <x:v>d</x:v>
      </x:c>
      <x:c r="AE966" s="12" t="str">
        <x:f>IF(OR(W966="unavailable",Y966="unavailable"),"不可评价",IF(AND(OR(W966="positive",W966="equivocal"),OR(Y966="positive",Y966="equivocal")),"a",IF(OR(Y966="positive",Y966="equivocal"),"b",IF(OR(W966="positive",W966="equivocal"),"c","d"))))</x:f>
        <x:v>d</x:v>
      </x:c>
      <x:c r="AF966" s="12" t="str">
        <x:f>IF(OR(W966="unavailable",Y966="unavailable"),"不可评价",IF(AND(W966="positive",Y966="positive"),"a",IF(Y966="positive","b",IF(W966="positive","c","d"))))</x:f>
        <x:v>d</x:v>
      </x:c>
    </x:row>
    <x:row r="967" ht="24" customHeight="1">
      <x:c r="A967" s="12" t="str">
        <x:v>8450</x:v>
      </x:c>
      <x:c r="B967" s="12" t="str">
        <x:v>536</x:v>
      </x:c>
      <x:c r="C967" s="21" t="n">
        <x:v>33799.81270833333</x:v>
      </x:c>
      <x:c r="D967" s="12" t="n">
        <x:v>67</x:v>
      </x:c>
      <x:c r="E967" s="12" t="n">
        <x:v>0</x:v>
      </x:c>
      <x:c r="F967" s="12" t="str">
        <x:v>未记录</x:v>
      </x:c>
      <x:c r="G967" s="12" t="n">
        <x:v>1</x:v>
      </x:c>
      <x:c r="H967" s="12" t="str">
        <x:v>{'ISCAL': 100.0, 'LOWT': 0.0, 'STD_': 0.0, 'SR': 0.0}</x:v>
      </x:c>
      <x:c r="I967" s="12" t="str">
        <x:v>[('NSR', 100.0), ('ST&amp;', 100.0), ('ILT', 100.0), ('AB', 100.0)]</x:v>
      </x:c>
      <x:c r="J967" s="12" t="str">
        <x:v>ptbxl_database.csv；ecg_id=8450；scp_codes</x:v>
      </x:c>
      <x:c r="K967" s="12" t="str">
        <x:v>12sl_statements.csv；ecg_id=8450；statements_ext_snomed</x:v>
      </x:c>
      <x:c r="L967" s="12"/>
      <x:c r="M967" s="12" t="str">
        <x:v>negative</x:v>
      </x:c>
      <x:c r="N967" s="12"/>
      <x:c r="O967" s="12" t="str">
        <x:v>negative</x:v>
      </x:c>
      <x:c r="P967" s="12" t="str">
        <x:f>IF(OR(M967="unavailable",O967="unavailable"),"不可评价",IF(OR(M967="equivocal",O967="equivocal"),"疑似",IF(AND(M967="positive",O967="positive"),"a",IF(O967="positive","b",IF(M967="positive","c","d")))))</x:f>
        <x:v>d</x:v>
      </x:c>
      <x:c r="Q967" s="12"/>
      <x:c r="R967" s="12" t="str">
        <x:v>negative</x:v>
      </x:c>
      <x:c r="S967" s="12"/>
      <x:c r="T967" s="12" t="str">
        <x:v>negative</x:v>
      </x:c>
      <x:c r="U967" s="12" t="str">
        <x:f>IF(OR(R967="unavailable",T967="unavailable"),"不可评价",IF(OR(R967="equivocal",T967="equivocal"),"疑似",IF(AND(R967="positive",T967="positive"),"a",IF(T967="positive","b",IF(R967="positive","c","d")))))</x:f>
        <x:v>d</x:v>
      </x:c>
      <x:c r="V967" s="12"/>
      <x:c r="W967" s="12" t="str">
        <x:v>negative</x:v>
      </x:c>
      <x:c r="X967" s="12"/>
      <x:c r="Y967" s="12" t="str">
        <x:v>negative</x:v>
      </x:c>
      <x:c r="Z967" s="12" t="str">
        <x:f>IF(OR(W967="unavailable",Y967="unavailable"),"不可评价",IF(OR(W967="equivocal",Y967="equivocal"),"疑似",IF(AND(W967="positive",Y967="positive"),"a",IF(Y967="positive","b",IF(W967="positive","c","d")))))</x:f>
        <x:v>d</x:v>
      </x:c>
      <x:c r="AA967" s="12" t="str">
        <x:f>IF(OR(M967="unavailable",O967="unavailable"),"不可评价",IF(AND(OR(M967="positive",M967="equivocal"),OR(O967="positive",O967="equivocal")),"a",IF(OR(O967="positive",O967="equivocal"),"b",IF(OR(M967="positive",M967="equivocal"),"c","d"))))</x:f>
        <x:v>d</x:v>
      </x:c>
      <x:c r="AB967" s="12" t="str">
        <x:f>IF(OR(M967="unavailable",O967="unavailable"),"不可评价",IF(AND(M967="positive",O967="positive"),"a",IF(O967="positive","b",IF(M967="positive","c","d"))))</x:f>
        <x:v>d</x:v>
      </x:c>
      <x:c r="AC967" s="12" t="str">
        <x:f>IF(OR(R967="unavailable",T967="unavailable"),"不可评价",IF(AND(OR(R967="positive",R967="equivocal"),OR(T967="positive",T967="equivocal")),"a",IF(OR(T967="positive",T967="equivocal"),"b",IF(OR(R967="positive",R967="equivocal"),"c","d"))))</x:f>
        <x:v>d</x:v>
      </x:c>
      <x:c r="AD967" s="12" t="str">
        <x:f>IF(OR(R967="unavailable",T967="unavailable"),"不可评价",IF(AND(R967="positive",T967="positive"),"a",IF(T967="positive","b",IF(R967="positive","c","d"))))</x:f>
        <x:v>d</x:v>
      </x:c>
      <x:c r="AE967" s="12" t="str">
        <x:f>IF(OR(W967="unavailable",Y967="unavailable"),"不可评价",IF(AND(OR(W967="positive",W967="equivocal"),OR(Y967="positive",Y967="equivocal")),"a",IF(OR(Y967="positive",Y967="equivocal"),"b",IF(OR(W967="positive",W967="equivocal"),"c","d"))))</x:f>
        <x:v>d</x:v>
      </x:c>
      <x:c r="AF967" s="12" t="str">
        <x:f>IF(OR(W967="unavailable",Y967="unavailable"),"不可评价",IF(AND(W967="positive",Y967="positive"),"a",IF(Y967="positive","b",IF(W967="positive","c","d"))))</x:f>
        <x:v>d</x:v>
      </x:c>
    </x:row>
    <x:row r="968" ht="24" customHeight="1">
      <x:c r="A968" s="12" t="str">
        <x:v>8460</x:v>
      </x:c>
      <x:c r="B968" s="12" t="str">
        <x:v>3699</x:v>
      </x:c>
      <x:c r="C968" s="21" t="n">
        <x:v>33800.67796296296</x:v>
      </x:c>
      <x:c r="D968" s="12" t="n">
        <x:v>77</x:v>
      </x:c>
      <x:c r="E968" s="12" t="n">
        <x:v>0</x:v>
      </x:c>
      <x:c r="F968" s="12" t="str">
        <x:v>存在</x:v>
      </x:c>
      <x:c r="G968" s="12" t="n">
        <x:v>1</x:v>
      </x:c>
      <x:c r="H968" s="12" t="str">
        <x:v>{'NST_': 80.0, 'AFIB': 0.0}</x:v>
      </x:c>
      <x:c r="I968" s="12" t="str">
        <x:v>[('AFIB', 100.0), ('AB', 100.0)]</x:v>
      </x:c>
      <x:c r="J968" s="12" t="str">
        <x:v>ptbxl_database.csv；ecg_id=8460；scp_codes</x:v>
      </x:c>
      <x:c r="K968" s="12" t="str">
        <x:v>12sl_statements.csv；ecg_id=8460；statements_ext_snomed</x:v>
      </x:c>
      <x:c r="L968" s="12" t="n">
        <x:v>0</x:v>
      </x:c>
      <x:c r="M968" s="12" t="str">
        <x:v>positive</x:v>
      </x:c>
      <x:c r="N968" s="12" t="n">
        <x:v>100</x:v>
      </x:c>
      <x:c r="O968" s="12" t="str">
        <x:v>positive</x:v>
      </x:c>
      <x:c r="P968" s="12" t="str">
        <x:f>IF(OR(M968="unavailable",O968="unavailable"),"不可评价",IF(OR(M968="equivocal",O968="equivocal"),"疑似",IF(AND(M968="positive",O968="positive"),"a",IF(O968="positive","b",IF(M968="positive","c","d")))))</x:f>
        <x:v>a</x:v>
      </x:c>
      <x:c r="Q968" s="12"/>
      <x:c r="R968" s="12" t="str">
        <x:v>negative</x:v>
      </x:c>
      <x:c r="S968" s="12"/>
      <x:c r="T968" s="12" t="str">
        <x:v>negative</x:v>
      </x:c>
      <x:c r="U968" s="12" t="str">
        <x:f>IF(OR(R968="unavailable",T968="unavailable"),"不可评价",IF(OR(R968="equivocal",T968="equivocal"),"疑似",IF(AND(R968="positive",T968="positive"),"a",IF(T968="positive","b",IF(R968="positive","c","d")))))</x:f>
        <x:v>d</x:v>
      </x:c>
      <x:c r="V968" s="12"/>
      <x:c r="W968" s="12" t="str">
        <x:v>negative</x:v>
      </x:c>
      <x:c r="X968" s="12"/>
      <x:c r="Y968" s="12" t="str">
        <x:v>negative</x:v>
      </x:c>
      <x:c r="Z968" s="12" t="str">
        <x:f>IF(OR(W968="unavailable",Y968="unavailable"),"不可评价",IF(OR(W968="equivocal",Y968="equivocal"),"疑似",IF(AND(W968="positive",Y968="positive"),"a",IF(Y968="positive","b",IF(W968="positive","c","d")))))</x:f>
        <x:v>d</x:v>
      </x:c>
      <x:c r="AA968" s="12" t="str">
        <x:f>IF(OR(M968="unavailable",O968="unavailable"),"不可评价",IF(AND(OR(M968="positive",M968="equivocal"),OR(O968="positive",O968="equivocal")),"a",IF(OR(O968="positive",O968="equivocal"),"b",IF(OR(M968="positive",M968="equivocal"),"c","d"))))</x:f>
        <x:v>a</x:v>
      </x:c>
      <x:c r="AB968" s="12" t="str">
        <x:f>IF(OR(M968="unavailable",O968="unavailable"),"不可评价",IF(AND(M968="positive",O968="positive"),"a",IF(O968="positive","b",IF(M968="positive","c","d"))))</x:f>
        <x:v>a</x:v>
      </x:c>
      <x:c r="AC968" s="12" t="str">
        <x:f>IF(OR(R968="unavailable",T968="unavailable"),"不可评价",IF(AND(OR(R968="positive",R968="equivocal"),OR(T968="positive",T968="equivocal")),"a",IF(OR(T968="positive",T968="equivocal"),"b",IF(OR(R968="positive",R968="equivocal"),"c","d"))))</x:f>
        <x:v>d</x:v>
      </x:c>
      <x:c r="AD968" s="12" t="str">
        <x:f>IF(OR(R968="unavailable",T968="unavailable"),"不可评价",IF(AND(R968="positive",T968="positive"),"a",IF(T968="positive","b",IF(R968="positive","c","d"))))</x:f>
        <x:v>d</x:v>
      </x:c>
      <x:c r="AE968" s="12" t="str">
        <x:f>IF(OR(W968="unavailable",Y968="unavailable"),"不可评价",IF(AND(OR(W968="positive",W968="equivocal"),OR(Y968="positive",Y968="equivocal")),"a",IF(OR(Y968="positive",Y968="equivocal"),"b",IF(OR(W968="positive",W968="equivocal"),"c","d"))))</x:f>
        <x:v>d</x:v>
      </x:c>
      <x:c r="AF968" s="12" t="str">
        <x:f>IF(OR(W968="unavailable",Y968="unavailable"),"不可评价",IF(AND(W968="positive",Y968="positive"),"a",IF(Y968="positive","b",IF(W968="positive","c","d"))))</x:f>
        <x:v>d</x:v>
      </x:c>
    </x:row>
    <x:row r="969" ht="24" customHeight="1">
      <x:c r="A969" s="12" t="str">
        <x:v>8461</x:v>
      </x:c>
      <x:c r="B969" s="12" t="str">
        <x:v>741</x:v>
      </x:c>
      <x:c r="C969" s="21" t="n">
        <x:v>33800.903969907406</x:v>
      </x:c>
      <x:c r="D969" s="12" t="n">
        <x:v>71</x:v>
      </x:c>
      <x:c r="E969" s="12" t="n">
        <x:v>0</x:v>
      </x:c>
      <x:c r="F969" s="12" t="str">
        <x:v>未记录</x:v>
      </x:c>
      <x:c r="G969" s="12" t="n">
        <x:v>1</x:v>
      </x:c>
      <x:c r="H969" s="12" t="str">
        <x:v>{'PSVT': 100.0}</x:v>
      </x:c>
      <x:c r="I969" s="12" t="str">
        <x:v>[('JTACH', 100.0), ('NT', 100.0), ('AB', 100.0)]</x:v>
      </x:c>
      <x:c r="J969" s="12" t="str">
        <x:v>ptbxl_database.csv；ecg_id=8461；scp_codes</x:v>
      </x:c>
      <x:c r="K969" s="12" t="str">
        <x:v>12sl_statements.csv；ecg_id=8461；statements_ext_snomed</x:v>
      </x:c>
      <x:c r="L969" s="12"/>
      <x:c r="M969" s="12" t="str">
        <x:v>negative</x:v>
      </x:c>
      <x:c r="N969" s="12"/>
      <x:c r="O969" s="12" t="str">
        <x:v>negative</x:v>
      </x:c>
      <x:c r="P969" s="12" t="str">
        <x:f>IF(OR(M969="unavailable",O969="unavailable"),"不可评价",IF(OR(M969="equivocal",O969="equivocal"),"疑似",IF(AND(M969="positive",O969="positive"),"a",IF(O969="positive","b",IF(M969="positive","c","d")))))</x:f>
        <x:v>d</x:v>
      </x:c>
      <x:c r="Q969" s="12"/>
      <x:c r="R969" s="12" t="str">
        <x:v>negative</x:v>
      </x:c>
      <x:c r="S969" s="12"/>
      <x:c r="T969" s="12" t="str">
        <x:v>negative</x:v>
      </x:c>
      <x:c r="U969" s="12" t="str">
        <x:f>IF(OR(R969="unavailable",T969="unavailable"),"不可评价",IF(OR(R969="equivocal",T969="equivocal"),"疑似",IF(AND(R969="positive",T969="positive"),"a",IF(T969="positive","b",IF(R969="positive","c","d")))))</x:f>
        <x:v>d</x:v>
      </x:c>
      <x:c r="V969" s="12"/>
      <x:c r="W969" s="12" t="str">
        <x:v>negative</x:v>
      </x:c>
      <x:c r="X969" s="12"/>
      <x:c r="Y969" s="12" t="str">
        <x:v>negative</x:v>
      </x:c>
      <x:c r="Z969" s="12" t="str">
        <x:f>IF(OR(W969="unavailable",Y969="unavailable"),"不可评价",IF(OR(W969="equivocal",Y969="equivocal"),"疑似",IF(AND(W969="positive",Y969="positive"),"a",IF(Y969="positive","b",IF(W969="positive","c","d")))))</x:f>
        <x:v>d</x:v>
      </x:c>
      <x:c r="AA969" s="12" t="str">
        <x:f>IF(OR(M969="unavailable",O969="unavailable"),"不可评价",IF(AND(OR(M969="positive",M969="equivocal"),OR(O969="positive",O969="equivocal")),"a",IF(OR(O969="positive",O969="equivocal"),"b",IF(OR(M969="positive",M969="equivocal"),"c","d"))))</x:f>
        <x:v>d</x:v>
      </x:c>
      <x:c r="AB969" s="12" t="str">
        <x:f>IF(OR(M969="unavailable",O969="unavailable"),"不可评价",IF(AND(M969="positive",O969="positive"),"a",IF(O969="positive","b",IF(M969="positive","c","d"))))</x:f>
        <x:v>d</x:v>
      </x:c>
      <x:c r="AC969" s="12" t="str">
        <x:f>IF(OR(R969="unavailable",T969="unavailable"),"不可评价",IF(AND(OR(R969="positive",R969="equivocal"),OR(T969="positive",T969="equivocal")),"a",IF(OR(T969="positive",T969="equivocal"),"b",IF(OR(R969="positive",R969="equivocal"),"c","d"))))</x:f>
        <x:v>d</x:v>
      </x:c>
      <x:c r="AD969" s="12" t="str">
        <x:f>IF(OR(R969="unavailable",T969="unavailable"),"不可评价",IF(AND(R969="positive",T969="positive"),"a",IF(T969="positive","b",IF(R969="positive","c","d"))))</x:f>
        <x:v>d</x:v>
      </x:c>
      <x:c r="AE969" s="12" t="str">
        <x:f>IF(OR(W969="unavailable",Y969="unavailable"),"不可评价",IF(AND(OR(W969="positive",W969="equivocal"),OR(Y969="positive",Y969="equivocal")),"a",IF(OR(Y969="positive",Y969="equivocal"),"b",IF(OR(W969="positive",W969="equivocal"),"c","d"))))</x:f>
        <x:v>d</x:v>
      </x:c>
      <x:c r="AF969" s="12" t="str">
        <x:f>IF(OR(W969="unavailable",Y969="unavailable"),"不可评价",IF(AND(W969="positive",Y969="positive"),"a",IF(Y969="positive","b",IF(W969="positive","c","d"))))</x:f>
        <x:v>d</x:v>
      </x:c>
    </x:row>
    <x:row r="970" ht="24" customHeight="1">
      <x:c r="A970" s="12" t="str">
        <x:v>8473</x:v>
      </x:c>
      <x:c r="B970" s="12" t="str">
        <x:v>12926</x:v>
      </x:c>
      <x:c r="C970" s="21" t="n">
        <x:v>33802.43450231481</x:v>
      </x:c>
      <x:c r="D970" s="12" t="n">
        <x:v>54</x:v>
      </x:c>
      <x:c r="E970" s="12" t="n">
        <x:v>0</x:v>
      </x:c>
      <x:c r="F970" s="12" t="str">
        <x:v>未记录</x:v>
      </x:c>
      <x:c r="G970" s="12" t="n">
        <x:v>1</x:v>
      </x:c>
      <x:c r="H970" s="12" t="str">
        <x:v>{'ILMI': 100.0, 'LAFB': 100.0, 'ABQRS': 0.0, 'SR': 0.0}</x:v>
      </x:c>
      <x:c r="I970" s="12" t="str">
        <x:v>[('NSR', 100.0), ('LAD3', 100.0), ('IMI;AU', 100.0), ('AB', 100.0)]</x:v>
      </x:c>
      <x:c r="J970" s="12" t="str">
        <x:v>ptbxl_database.csv；ecg_id=8473；scp_codes</x:v>
      </x:c>
      <x:c r="K970" s="12" t="str">
        <x:v>12sl_statements.csv；ecg_id=8473；statements_ext_snomed</x:v>
      </x:c>
      <x:c r="L970" s="12"/>
      <x:c r="M970" s="12" t="str">
        <x:v>negative</x:v>
      </x:c>
      <x:c r="N970" s="12"/>
      <x:c r="O970" s="12" t="str">
        <x:v>negative</x:v>
      </x:c>
      <x:c r="P970" s="12" t="str">
        <x:f>IF(OR(M970="unavailable",O970="unavailable"),"不可评价",IF(OR(M970="equivocal",O970="equivocal"),"疑似",IF(AND(M970="positive",O970="positive"),"a",IF(O970="positive","b",IF(M970="positive","c","d")))))</x:f>
        <x:v>d</x:v>
      </x:c>
      <x:c r="Q970" s="12"/>
      <x:c r="R970" s="12" t="str">
        <x:v>negative</x:v>
      </x:c>
      <x:c r="S970" s="12"/>
      <x:c r="T970" s="12" t="str">
        <x:v>negative</x:v>
      </x:c>
      <x:c r="U970" s="12" t="str">
        <x:f>IF(OR(R970="unavailable",T970="unavailable"),"不可评价",IF(OR(R970="equivocal",T970="equivocal"),"疑似",IF(AND(R970="positive",T970="positive"),"a",IF(T970="positive","b",IF(R970="positive","c","d")))))</x:f>
        <x:v>d</x:v>
      </x:c>
      <x:c r="V970" s="12"/>
      <x:c r="W970" s="12" t="str">
        <x:v>negative</x:v>
      </x:c>
      <x:c r="X970" s="12"/>
      <x:c r="Y970" s="12" t="str">
        <x:v>negative</x:v>
      </x:c>
      <x:c r="Z970" s="12" t="str">
        <x:f>IF(OR(W970="unavailable",Y970="unavailable"),"不可评价",IF(OR(W970="equivocal",Y970="equivocal"),"疑似",IF(AND(W970="positive",Y970="positive"),"a",IF(Y970="positive","b",IF(W970="positive","c","d")))))</x:f>
        <x:v>d</x:v>
      </x:c>
      <x:c r="AA970" s="12" t="str">
        <x:f>IF(OR(M970="unavailable",O970="unavailable"),"不可评价",IF(AND(OR(M970="positive",M970="equivocal"),OR(O970="positive",O970="equivocal")),"a",IF(OR(O970="positive",O970="equivocal"),"b",IF(OR(M970="positive",M970="equivocal"),"c","d"))))</x:f>
        <x:v>d</x:v>
      </x:c>
      <x:c r="AB970" s="12" t="str">
        <x:f>IF(OR(M970="unavailable",O970="unavailable"),"不可评价",IF(AND(M970="positive",O970="positive"),"a",IF(O970="positive","b",IF(M970="positive","c","d"))))</x:f>
        <x:v>d</x:v>
      </x:c>
      <x:c r="AC970" s="12" t="str">
        <x:f>IF(OR(R970="unavailable",T970="unavailable"),"不可评价",IF(AND(OR(R970="positive",R970="equivocal"),OR(T970="positive",T970="equivocal")),"a",IF(OR(T970="positive",T970="equivocal"),"b",IF(OR(R970="positive",R970="equivocal"),"c","d"))))</x:f>
        <x:v>d</x:v>
      </x:c>
      <x:c r="AD970" s="12" t="str">
        <x:f>IF(OR(R970="unavailable",T970="unavailable"),"不可评价",IF(AND(R970="positive",T970="positive"),"a",IF(T970="positive","b",IF(R970="positive","c","d"))))</x:f>
        <x:v>d</x:v>
      </x:c>
      <x:c r="AE970" s="12" t="str">
        <x:f>IF(OR(W970="unavailable",Y970="unavailable"),"不可评价",IF(AND(OR(W970="positive",W970="equivocal"),OR(Y970="positive",Y970="equivocal")),"a",IF(OR(Y970="positive",Y970="equivocal"),"b",IF(OR(W970="positive",W970="equivocal"),"c","d"))))</x:f>
        <x:v>d</x:v>
      </x:c>
      <x:c r="AF970" s="12" t="str">
        <x:f>IF(OR(W970="unavailable",Y970="unavailable"),"不可评价",IF(AND(W970="positive",Y970="positive"),"a",IF(Y970="positive","b",IF(W970="positive","c","d"))))</x:f>
        <x:v>d</x:v>
      </x:c>
    </x:row>
    <x:row r="971" ht="24" customHeight="1">
      <x:c r="A971" s="12" t="str">
        <x:v>8475</x:v>
      </x:c>
      <x:c r="B971" s="12" t="str">
        <x:v>536</x:v>
      </x:c>
      <x:c r="C971" s="21" t="n">
        <x:v>33802.46548611111</x:v>
      </x:c>
      <x:c r="D971" s="12" t="n">
        <x:v>67</x:v>
      </x:c>
      <x:c r="E971" s="12" t="n">
        <x:v>0</x:v>
      </x:c>
      <x:c r="F971" s="12" t="str">
        <x:v>未记录</x:v>
      </x:c>
      <x:c r="G971" s="12" t="n">
        <x:v>0</x:v>
      </x:c>
      <x:c r="H971" s="12" t="str">
        <x:v>{'LVH': 50.0, 'ISC_': 100.0, 'NST_': 0.0, 'STACH': 0.0}</x:v>
      </x:c>
      <x:c r="I971" s="12" t="str">
        <x:v>[('STACH', 100.0), ('NSTT', 100.0), ('AB', 100.0)]</x:v>
      </x:c>
      <x:c r="J971" s="12" t="str">
        <x:v>ptbxl_database.csv；ecg_id=8475；scp_codes</x:v>
      </x:c>
      <x:c r="K971" s="12" t="str">
        <x:v>12sl_statements.csv；ecg_id=8475；statements_ext_snomed</x:v>
      </x:c>
      <x:c r="L971" s="12"/>
      <x:c r="M971" s="12" t="str">
        <x:v>negative</x:v>
      </x:c>
      <x:c r="N971" s="12"/>
      <x:c r="O971" s="12" t="str">
        <x:v>negative</x:v>
      </x:c>
      <x:c r="P971" s="12" t="str">
        <x:f>IF(OR(M971="unavailable",O971="unavailable"),"不可评价",IF(OR(M971="equivocal",O971="equivocal"),"疑似",IF(AND(M971="positive",O971="positive"),"a",IF(O971="positive","b",IF(M971="positive","c","d")))))</x:f>
        <x:v>d</x:v>
      </x:c>
      <x:c r="Q971" s="12"/>
      <x:c r="R971" s="12" t="str">
        <x:v>negative</x:v>
      </x:c>
      <x:c r="S971" s="12"/>
      <x:c r="T971" s="12" t="str">
        <x:v>negative</x:v>
      </x:c>
      <x:c r="U971" s="12" t="str">
        <x:f>IF(OR(R971="unavailable",T971="unavailable"),"不可评价",IF(OR(R971="equivocal",T971="equivocal"),"疑似",IF(AND(R971="positive",T971="positive"),"a",IF(T971="positive","b",IF(R971="positive","c","d")))))</x:f>
        <x:v>d</x:v>
      </x:c>
      <x:c r="V971" s="12"/>
      <x:c r="W971" s="12" t="str">
        <x:v>negative</x:v>
      </x:c>
      <x:c r="X971" s="12"/>
      <x:c r="Y971" s="12" t="str">
        <x:v>negative</x:v>
      </x:c>
      <x:c r="Z971" s="12" t="str">
        <x:f>IF(OR(W971="unavailable",Y971="unavailable"),"不可评价",IF(OR(W971="equivocal",Y971="equivocal"),"疑似",IF(AND(W971="positive",Y971="positive"),"a",IF(Y971="positive","b",IF(W971="positive","c","d")))))</x:f>
        <x:v>d</x:v>
      </x:c>
      <x:c r="AA971" s="12" t="str">
        <x:f>IF(OR(M971="unavailable",O971="unavailable"),"不可评价",IF(AND(OR(M971="positive",M971="equivocal"),OR(O971="positive",O971="equivocal")),"a",IF(OR(O971="positive",O971="equivocal"),"b",IF(OR(M971="positive",M971="equivocal"),"c","d"))))</x:f>
        <x:v>d</x:v>
      </x:c>
      <x:c r="AB971" s="12" t="str">
        <x:f>IF(OR(M971="unavailable",O971="unavailable"),"不可评价",IF(AND(M971="positive",O971="positive"),"a",IF(O971="positive","b",IF(M971="positive","c","d"))))</x:f>
        <x:v>d</x:v>
      </x:c>
      <x:c r="AC971" s="12" t="str">
        <x:f>IF(OR(R971="unavailable",T971="unavailable"),"不可评价",IF(AND(OR(R971="positive",R971="equivocal"),OR(T971="positive",T971="equivocal")),"a",IF(OR(T971="positive",T971="equivocal"),"b",IF(OR(R971="positive",R971="equivocal"),"c","d"))))</x:f>
        <x:v>d</x:v>
      </x:c>
      <x:c r="AD971" s="12" t="str">
        <x:f>IF(OR(R971="unavailable",T971="unavailable"),"不可评价",IF(AND(R971="positive",T971="positive"),"a",IF(T971="positive","b",IF(R971="positive","c","d"))))</x:f>
        <x:v>d</x:v>
      </x:c>
      <x:c r="AE971" s="12" t="str">
        <x:f>IF(OR(W971="unavailable",Y971="unavailable"),"不可评价",IF(AND(OR(W971="positive",W971="equivocal"),OR(Y971="positive",Y971="equivocal")),"a",IF(OR(Y971="positive",Y971="equivocal"),"b",IF(OR(W971="positive",W971="equivocal"),"c","d"))))</x:f>
        <x:v>d</x:v>
      </x:c>
      <x:c r="AF971" s="12" t="str">
        <x:f>IF(OR(W971="unavailable",Y971="unavailable"),"不可评价",IF(AND(W971="positive",Y971="positive"),"a",IF(Y971="positive","b",IF(W971="positive","c","d"))))</x:f>
        <x:v>d</x:v>
      </x:c>
    </x:row>
    <x:row r="972" ht="24" customHeight="1">
      <x:c r="A972" s="12" t="str">
        <x:v>8482</x:v>
      </x:c>
      <x:c r="B972" s="12" t="str">
        <x:v>17607</x:v>
      </x:c>
      <x:c r="C972" s="21" t="n">
        <x:v>33802.79084490741</x:v>
      </x:c>
      <x:c r="D972" s="12" t="n">
        <x:v>56</x:v>
      </x:c>
      <x:c r="E972" s="12" t="n">
        <x:v>1</x:v>
      </x:c>
      <x:c r="F972" s="12" t="str">
        <x:v>存在</x:v>
      </x:c>
      <x:c r="G972" s="12" t="n">
        <x:v>1</x:v>
      </x:c>
      <x:c r="H972" s="12" t="str">
        <x:v>{'IVCD': 100.0, 'LVOLT': 0.0, 'SR': 0.0}</x:v>
      </x:c>
      <x:c r="I972" s="12" t="str">
        <x:v>[('STACH', 100.0), ('LOWV', 100.0), ('QRST', 100.0), ('AB', 100.0)]</x:v>
      </x:c>
      <x:c r="J972" s="12" t="str">
        <x:v>ptbxl_database.csv；ecg_id=8482；scp_codes</x:v>
      </x:c>
      <x:c r="K972" s="12" t="str">
        <x:v>12sl_statements.csv；ecg_id=8482；statements_ext_snomed</x:v>
      </x:c>
      <x:c r="L972" s="12"/>
      <x:c r="M972" s="12" t="str">
        <x:v>negative</x:v>
      </x:c>
      <x:c r="N972" s="12"/>
      <x:c r="O972" s="12" t="str">
        <x:v>negative</x:v>
      </x:c>
      <x:c r="P972" s="12" t="str">
        <x:f>IF(OR(M972="unavailable",O972="unavailable"),"不可评价",IF(OR(M972="equivocal",O972="equivocal"),"疑似",IF(AND(M972="positive",O972="positive"),"a",IF(O972="positive","b",IF(M972="positive","c","d")))))</x:f>
        <x:v>d</x:v>
      </x:c>
      <x:c r="Q972" s="12"/>
      <x:c r="R972" s="12" t="str">
        <x:v>negative</x:v>
      </x:c>
      <x:c r="S972" s="12"/>
      <x:c r="T972" s="12" t="str">
        <x:v>negative</x:v>
      </x:c>
      <x:c r="U972" s="12" t="str">
        <x:f>IF(OR(R972="unavailable",T972="unavailable"),"不可评价",IF(OR(R972="equivocal",T972="equivocal"),"疑似",IF(AND(R972="positive",T972="positive"),"a",IF(T972="positive","b",IF(R972="positive","c","d")))))</x:f>
        <x:v>d</x:v>
      </x:c>
      <x:c r="V972" s="12"/>
      <x:c r="W972" s="12" t="str">
        <x:v>negative</x:v>
      </x:c>
      <x:c r="X972" s="12"/>
      <x:c r="Y972" s="12" t="str">
        <x:v>negative</x:v>
      </x:c>
      <x:c r="Z972" s="12" t="str">
        <x:f>IF(OR(W972="unavailable",Y972="unavailable"),"不可评价",IF(OR(W972="equivocal",Y972="equivocal"),"疑似",IF(AND(W972="positive",Y972="positive"),"a",IF(Y972="positive","b",IF(W972="positive","c","d")))))</x:f>
        <x:v>d</x:v>
      </x:c>
      <x:c r="AA972" s="12" t="str">
        <x:f>IF(OR(M972="unavailable",O972="unavailable"),"不可评价",IF(AND(OR(M972="positive",M972="equivocal"),OR(O972="positive",O972="equivocal")),"a",IF(OR(O972="positive",O972="equivocal"),"b",IF(OR(M972="positive",M972="equivocal"),"c","d"))))</x:f>
        <x:v>d</x:v>
      </x:c>
      <x:c r="AB972" s="12" t="str">
        <x:f>IF(OR(M972="unavailable",O972="unavailable"),"不可评价",IF(AND(M972="positive",O972="positive"),"a",IF(O972="positive","b",IF(M972="positive","c","d"))))</x:f>
        <x:v>d</x:v>
      </x:c>
      <x:c r="AC972" s="12" t="str">
        <x:f>IF(OR(R972="unavailable",T972="unavailable"),"不可评价",IF(AND(OR(R972="positive",R972="equivocal"),OR(T972="positive",T972="equivocal")),"a",IF(OR(T972="positive",T972="equivocal"),"b",IF(OR(R972="positive",R972="equivocal"),"c","d"))))</x:f>
        <x:v>d</x:v>
      </x:c>
      <x:c r="AD972" s="12" t="str">
        <x:f>IF(OR(R972="unavailable",T972="unavailable"),"不可评价",IF(AND(R972="positive",T972="positive"),"a",IF(T972="positive","b",IF(R972="positive","c","d"))))</x:f>
        <x:v>d</x:v>
      </x:c>
      <x:c r="AE972" s="12" t="str">
        <x:f>IF(OR(W972="unavailable",Y972="unavailable"),"不可评价",IF(AND(OR(W972="positive",W972="equivocal"),OR(Y972="positive",Y972="equivocal")),"a",IF(OR(Y972="positive",Y972="equivocal"),"b",IF(OR(W972="positive",W972="equivocal"),"c","d"))))</x:f>
        <x:v>d</x:v>
      </x:c>
      <x:c r="AF972" s="12" t="str">
        <x:f>IF(OR(W972="unavailable",Y972="unavailable"),"不可评价",IF(AND(W972="positive",Y972="positive"),"a",IF(Y972="positive","b",IF(W972="positive","c","d"))))</x:f>
        <x:v>d</x:v>
      </x:c>
    </x:row>
    <x:row r="973" ht="24" customHeight="1">
      <x:c r="A973" s="12" t="str">
        <x:v>8492</x:v>
      </x:c>
      <x:c r="B973" s="12" t="str">
        <x:v>17332</x:v>
      </x:c>
      <x:c r="C973" s="21" t="n">
        <x:v>33804.341458333336</x:v>
      </x:c>
      <x:c r="D973" s="12" t="n">
        <x:v>71</x:v>
      </x:c>
      <x:c r="E973" s="12" t="n">
        <x:v>1</x:v>
      </x:c>
      <x:c r="F973" s="12" t="str">
        <x:v>未记录</x:v>
      </x:c>
      <x:c r="G973" s="12" t="n">
        <x:v>1</x:v>
      </x:c>
      <x:c r="H973" s="12" t="str">
        <x:v>{'NORM': 50.0, 'SR': 0.0}</x:v>
      </x:c>
      <x:c r="I973" s="12" t="str">
        <x:v>[('NSR', 100.0), ('NML', 100.0)]</x:v>
      </x:c>
      <x:c r="J973" s="12" t="str">
        <x:v>ptbxl_database.csv；ecg_id=8492；scp_codes</x:v>
      </x:c>
      <x:c r="K973" s="12" t="str">
        <x:v>12sl_statements.csv；ecg_id=8492；statements_ext_snomed</x:v>
      </x:c>
      <x:c r="L973" s="12"/>
      <x:c r="M973" s="12" t="str">
        <x:v>negative</x:v>
      </x:c>
      <x:c r="N973" s="12"/>
      <x:c r="O973" s="12" t="str">
        <x:v>negative</x:v>
      </x:c>
      <x:c r="P973" s="12" t="str">
        <x:f>IF(OR(M973="unavailable",O973="unavailable"),"不可评价",IF(OR(M973="equivocal",O973="equivocal"),"疑似",IF(AND(M973="positive",O973="positive"),"a",IF(O973="positive","b",IF(M973="positive","c","d")))))</x:f>
        <x:v>d</x:v>
      </x:c>
      <x:c r="Q973" s="12"/>
      <x:c r="R973" s="12" t="str">
        <x:v>negative</x:v>
      </x:c>
      <x:c r="S973" s="12"/>
      <x:c r="T973" s="12" t="str">
        <x:v>negative</x:v>
      </x:c>
      <x:c r="U973" s="12" t="str">
        <x:f>IF(OR(R973="unavailable",T973="unavailable"),"不可评价",IF(OR(R973="equivocal",T973="equivocal"),"疑似",IF(AND(R973="positive",T973="positive"),"a",IF(T973="positive","b",IF(R973="positive","c","d")))))</x:f>
        <x:v>d</x:v>
      </x:c>
      <x:c r="V973" s="12"/>
      <x:c r="W973" s="12" t="str">
        <x:v>negative</x:v>
      </x:c>
      <x:c r="X973" s="12"/>
      <x:c r="Y973" s="12" t="str">
        <x:v>negative</x:v>
      </x:c>
      <x:c r="Z973" s="12" t="str">
        <x:f>IF(OR(W973="unavailable",Y973="unavailable"),"不可评价",IF(OR(W973="equivocal",Y973="equivocal"),"疑似",IF(AND(W973="positive",Y973="positive"),"a",IF(Y973="positive","b",IF(W973="positive","c","d")))))</x:f>
        <x:v>d</x:v>
      </x:c>
      <x:c r="AA973" s="12" t="str">
        <x:f>IF(OR(M973="unavailable",O973="unavailable"),"不可评价",IF(AND(OR(M973="positive",M973="equivocal"),OR(O973="positive",O973="equivocal")),"a",IF(OR(O973="positive",O973="equivocal"),"b",IF(OR(M973="positive",M973="equivocal"),"c","d"))))</x:f>
        <x:v>d</x:v>
      </x:c>
      <x:c r="AB973" s="12" t="str">
        <x:f>IF(OR(M973="unavailable",O973="unavailable"),"不可评价",IF(AND(M973="positive",O973="positive"),"a",IF(O973="positive","b",IF(M973="positive","c","d"))))</x:f>
        <x:v>d</x:v>
      </x:c>
      <x:c r="AC973" s="12" t="str">
        <x:f>IF(OR(R973="unavailable",T973="unavailable"),"不可评价",IF(AND(OR(R973="positive",R973="equivocal"),OR(T973="positive",T973="equivocal")),"a",IF(OR(T973="positive",T973="equivocal"),"b",IF(OR(R973="positive",R973="equivocal"),"c","d"))))</x:f>
        <x:v>d</x:v>
      </x:c>
      <x:c r="AD973" s="12" t="str">
        <x:f>IF(OR(R973="unavailable",T973="unavailable"),"不可评价",IF(AND(R973="positive",T973="positive"),"a",IF(T973="positive","b",IF(R973="positive","c","d"))))</x:f>
        <x:v>d</x:v>
      </x:c>
      <x:c r="AE973" s="12" t="str">
        <x:f>IF(OR(W973="unavailable",Y973="unavailable"),"不可评价",IF(AND(OR(W973="positive",W973="equivocal"),OR(Y973="positive",Y973="equivocal")),"a",IF(OR(Y973="positive",Y973="equivocal"),"b",IF(OR(W973="positive",W973="equivocal"),"c","d"))))</x:f>
        <x:v>d</x:v>
      </x:c>
      <x:c r="AF973" s="12" t="str">
        <x:f>IF(OR(W973="unavailable",Y973="unavailable"),"不可评价",IF(AND(W973="positive",Y973="positive"),"a",IF(Y973="positive","b",IF(W973="positive","c","d"))))</x:f>
        <x:v>d</x:v>
      </x:c>
    </x:row>
    <x:row r="974" ht="24" customHeight="1">
      <x:c r="A974" s="12" t="str">
        <x:v>8496</x:v>
      </x:c>
      <x:c r="B974" s="12" t="str">
        <x:v>9867</x:v>
      </x:c>
      <x:c r="C974" s="21" t="n">
        <x:v>33804.58634259259</x:v>
      </x:c>
      <x:c r="D974" s="12" t="n">
        <x:v>21</x:v>
      </x:c>
      <x:c r="E974" s="12" t="n">
        <x:v>1</x:v>
      </x:c>
      <x:c r="F974" s="12" t="str">
        <x:v>未记录</x:v>
      </x:c>
      <x:c r="G974" s="12" t="n">
        <x:v>1</x:v>
      </x:c>
      <x:c r="H974" s="12" t="str">
        <x:v>{'NORM': 100.0, 'SR': 0.0}</x:v>
      </x:c>
      <x:c r="I974" s="12" t="str">
        <x:v>[('NSR', 100.0), ('NML', 100.0)]</x:v>
      </x:c>
      <x:c r="J974" s="12" t="str">
        <x:v>ptbxl_database.csv；ecg_id=8496；scp_codes</x:v>
      </x:c>
      <x:c r="K974" s="12" t="str">
        <x:v>12sl_statements.csv；ecg_id=8496；statements_ext_snomed</x:v>
      </x:c>
      <x:c r="L974" s="12"/>
      <x:c r="M974" s="12" t="str">
        <x:v>negative</x:v>
      </x:c>
      <x:c r="N974" s="12"/>
      <x:c r="O974" s="12" t="str">
        <x:v>negative</x:v>
      </x:c>
      <x:c r="P974" s="12" t="str">
        <x:f>IF(OR(M974="unavailable",O974="unavailable"),"不可评价",IF(OR(M974="equivocal",O974="equivocal"),"疑似",IF(AND(M974="positive",O974="positive"),"a",IF(O974="positive","b",IF(M974="positive","c","d")))))</x:f>
        <x:v>d</x:v>
      </x:c>
      <x:c r="Q974" s="12"/>
      <x:c r="R974" s="12" t="str">
        <x:v>negative</x:v>
      </x:c>
      <x:c r="S974" s="12"/>
      <x:c r="T974" s="12" t="str">
        <x:v>negative</x:v>
      </x:c>
      <x:c r="U974" s="12" t="str">
        <x:f>IF(OR(R974="unavailable",T974="unavailable"),"不可评价",IF(OR(R974="equivocal",T974="equivocal"),"疑似",IF(AND(R974="positive",T974="positive"),"a",IF(T974="positive","b",IF(R974="positive","c","d")))))</x:f>
        <x:v>d</x:v>
      </x:c>
      <x:c r="V974" s="12"/>
      <x:c r="W974" s="12" t="str">
        <x:v>negative</x:v>
      </x:c>
      <x:c r="X974" s="12"/>
      <x:c r="Y974" s="12" t="str">
        <x:v>negative</x:v>
      </x:c>
      <x:c r="Z974" s="12" t="str">
        <x:f>IF(OR(W974="unavailable",Y974="unavailable"),"不可评价",IF(OR(W974="equivocal",Y974="equivocal"),"疑似",IF(AND(W974="positive",Y974="positive"),"a",IF(Y974="positive","b",IF(W974="positive","c","d")))))</x:f>
        <x:v>d</x:v>
      </x:c>
      <x:c r="AA974" s="12" t="str">
        <x:f>IF(OR(M974="unavailable",O974="unavailable"),"不可评价",IF(AND(OR(M974="positive",M974="equivocal"),OR(O974="positive",O974="equivocal")),"a",IF(OR(O974="positive",O974="equivocal"),"b",IF(OR(M974="positive",M974="equivocal"),"c","d"))))</x:f>
        <x:v>d</x:v>
      </x:c>
      <x:c r="AB974" s="12" t="str">
        <x:f>IF(OR(M974="unavailable",O974="unavailable"),"不可评价",IF(AND(M974="positive",O974="positive"),"a",IF(O974="positive","b",IF(M974="positive","c","d"))))</x:f>
        <x:v>d</x:v>
      </x:c>
      <x:c r="AC974" s="12" t="str">
        <x:f>IF(OR(R974="unavailable",T974="unavailable"),"不可评价",IF(AND(OR(R974="positive",R974="equivocal"),OR(T974="positive",T974="equivocal")),"a",IF(OR(T974="positive",T974="equivocal"),"b",IF(OR(R974="positive",R974="equivocal"),"c","d"))))</x:f>
        <x:v>d</x:v>
      </x:c>
      <x:c r="AD974" s="12" t="str">
        <x:f>IF(OR(R974="unavailable",T974="unavailable"),"不可评价",IF(AND(R974="positive",T974="positive"),"a",IF(T974="positive","b",IF(R974="positive","c","d"))))</x:f>
        <x:v>d</x:v>
      </x:c>
      <x:c r="AE974" s="12" t="str">
        <x:f>IF(OR(W974="unavailable",Y974="unavailable"),"不可评价",IF(AND(OR(W974="positive",W974="equivocal"),OR(Y974="positive",Y974="equivocal")),"a",IF(OR(Y974="positive",Y974="equivocal"),"b",IF(OR(W974="positive",W974="equivocal"),"c","d"))))</x:f>
        <x:v>d</x:v>
      </x:c>
      <x:c r="AF974" s="12" t="str">
        <x:f>IF(OR(W974="unavailable",Y974="unavailable"),"不可评价",IF(AND(W974="positive",Y974="positive"),"a",IF(Y974="positive","b",IF(W974="positive","c","d"))))</x:f>
        <x:v>d</x:v>
      </x:c>
    </x:row>
    <x:row r="975" ht="24" customHeight="1">
      <x:c r="A975" s="12" t="str">
        <x:v>8501</x:v>
      </x:c>
      <x:c r="B975" s="12" t="str">
        <x:v>536</x:v>
      </x:c>
      <x:c r="C975" s="21" t="n">
        <x:v>33805.51347222222</x:v>
      </x:c>
      <x:c r="D975" s="12" t="n">
        <x:v>67</x:v>
      </x:c>
      <x:c r="E975" s="12" t="n">
        <x:v>0</x:v>
      </x:c>
      <x:c r="F975" s="12" t="str">
        <x:v>未记录</x:v>
      </x:c>
      <x:c r="G975" s="12" t="n">
        <x:v>0</x:v>
      </x:c>
      <x:c r="H975" s="12" t="str">
        <x:v>{'LVH': 50.0, 'ISC_': 100.0, 'NT_': 0.0, 'STACH': 0.0}</x:v>
      </x:c>
      <x:c r="I975" s="12" t="str">
        <x:v>[('STACH', 100.0), ('NSTT', 100.0), ('AB', 100.0)]</x:v>
      </x:c>
      <x:c r="J975" s="12" t="str">
        <x:v>ptbxl_database.csv；ecg_id=8501；scp_codes</x:v>
      </x:c>
      <x:c r="K975" s="12" t="str">
        <x:v>12sl_statements.csv；ecg_id=8501；statements_ext_snomed</x:v>
      </x:c>
      <x:c r="L975" s="12"/>
      <x:c r="M975" s="12" t="str">
        <x:v>negative</x:v>
      </x:c>
      <x:c r="N975" s="12"/>
      <x:c r="O975" s="12" t="str">
        <x:v>negative</x:v>
      </x:c>
      <x:c r="P975" s="12" t="str">
        <x:f>IF(OR(M975="unavailable",O975="unavailable"),"不可评价",IF(OR(M975="equivocal",O975="equivocal"),"疑似",IF(AND(M975="positive",O975="positive"),"a",IF(O975="positive","b",IF(M975="positive","c","d")))))</x:f>
        <x:v>d</x:v>
      </x:c>
      <x:c r="Q975" s="12"/>
      <x:c r="R975" s="12" t="str">
        <x:v>negative</x:v>
      </x:c>
      <x:c r="S975" s="12"/>
      <x:c r="T975" s="12" t="str">
        <x:v>negative</x:v>
      </x:c>
      <x:c r="U975" s="12" t="str">
        <x:f>IF(OR(R975="unavailable",T975="unavailable"),"不可评价",IF(OR(R975="equivocal",T975="equivocal"),"疑似",IF(AND(R975="positive",T975="positive"),"a",IF(T975="positive","b",IF(R975="positive","c","d")))))</x:f>
        <x:v>d</x:v>
      </x:c>
      <x:c r="V975" s="12"/>
      <x:c r="W975" s="12" t="str">
        <x:v>negative</x:v>
      </x:c>
      <x:c r="X975" s="12"/>
      <x:c r="Y975" s="12" t="str">
        <x:v>negative</x:v>
      </x:c>
      <x:c r="Z975" s="12" t="str">
        <x:f>IF(OR(W975="unavailable",Y975="unavailable"),"不可评价",IF(OR(W975="equivocal",Y975="equivocal"),"疑似",IF(AND(W975="positive",Y975="positive"),"a",IF(Y975="positive","b",IF(W975="positive","c","d")))))</x:f>
        <x:v>d</x:v>
      </x:c>
      <x:c r="AA975" s="12" t="str">
        <x:f>IF(OR(M975="unavailable",O975="unavailable"),"不可评价",IF(AND(OR(M975="positive",M975="equivocal"),OR(O975="positive",O975="equivocal")),"a",IF(OR(O975="positive",O975="equivocal"),"b",IF(OR(M975="positive",M975="equivocal"),"c","d"))))</x:f>
        <x:v>d</x:v>
      </x:c>
      <x:c r="AB975" s="12" t="str">
        <x:f>IF(OR(M975="unavailable",O975="unavailable"),"不可评价",IF(AND(M975="positive",O975="positive"),"a",IF(O975="positive","b",IF(M975="positive","c","d"))))</x:f>
        <x:v>d</x:v>
      </x:c>
      <x:c r="AC975" s="12" t="str">
        <x:f>IF(OR(R975="unavailable",T975="unavailable"),"不可评价",IF(AND(OR(R975="positive",R975="equivocal"),OR(T975="positive",T975="equivocal")),"a",IF(OR(T975="positive",T975="equivocal"),"b",IF(OR(R975="positive",R975="equivocal"),"c","d"))))</x:f>
        <x:v>d</x:v>
      </x:c>
      <x:c r="AD975" s="12" t="str">
        <x:f>IF(OR(R975="unavailable",T975="unavailable"),"不可评价",IF(AND(R975="positive",T975="positive"),"a",IF(T975="positive","b",IF(R975="positive","c","d"))))</x:f>
        <x:v>d</x:v>
      </x:c>
      <x:c r="AE975" s="12" t="str">
        <x:f>IF(OR(W975="unavailable",Y975="unavailable"),"不可评价",IF(AND(OR(W975="positive",W975="equivocal"),OR(Y975="positive",Y975="equivocal")),"a",IF(OR(Y975="positive",Y975="equivocal"),"b",IF(OR(W975="positive",W975="equivocal"),"c","d"))))</x:f>
        <x:v>d</x:v>
      </x:c>
      <x:c r="AF975" s="12" t="str">
        <x:f>IF(OR(W975="unavailable",Y975="unavailable"),"不可评价",IF(AND(W975="positive",Y975="positive"),"a",IF(Y975="positive","b",IF(W975="positive","c","d"))))</x:f>
        <x:v>d</x:v>
      </x:c>
    </x:row>
    <x:row r="976" ht="24" customHeight="1">
      <x:c r="A976" s="12" t="str">
        <x:v>8504</x:v>
      </x:c>
      <x:c r="B976" s="12" t="str">
        <x:v>13937</x:v>
      </x:c>
      <x:c r="C976" s="21" t="n">
        <x:v>33805.5847337963</x:v>
      </x:c>
      <x:c r="D976" s="12" t="n">
        <x:v>68</x:v>
      </x:c>
      <x:c r="E976" s="12" t="n">
        <x:v>0</x:v>
      </x:c>
      <x:c r="F976" s="12" t="str">
        <x:v>未记录</x:v>
      </x:c>
      <x:c r="G976" s="12" t="n">
        <x:v>1</x:v>
      </x:c>
      <x:c r="H976" s="12" t="str">
        <x:v>{'CRBBB': 100.0, 'SR': 0.0}</x:v>
      </x:c>
      <x:c r="I976" s="12" t="str">
        <x:v>[('NSR', 100.0), ('RBBB', 100.0), ('AB', 100.0)]</x:v>
      </x:c>
      <x:c r="J976" s="12" t="str">
        <x:v>ptbxl_database.csv；ecg_id=8504；scp_codes</x:v>
      </x:c>
      <x:c r="K976" s="12" t="str">
        <x:v>12sl_statements.csv；ecg_id=8504；statements_ext_snomed</x:v>
      </x:c>
      <x:c r="L976" s="12"/>
      <x:c r="M976" s="12" t="str">
        <x:v>negative</x:v>
      </x:c>
      <x:c r="N976" s="12"/>
      <x:c r="O976" s="12" t="str">
        <x:v>negative</x:v>
      </x:c>
      <x:c r="P976" s="12" t="str">
        <x:f>IF(OR(M976="unavailable",O976="unavailable"),"不可评价",IF(OR(M976="equivocal",O976="equivocal"),"疑似",IF(AND(M976="positive",O976="positive"),"a",IF(O976="positive","b",IF(M976="positive","c","d")))))</x:f>
        <x:v>d</x:v>
      </x:c>
      <x:c r="Q976" s="12"/>
      <x:c r="R976" s="12" t="str">
        <x:v>negative</x:v>
      </x:c>
      <x:c r="S976" s="12"/>
      <x:c r="T976" s="12" t="str">
        <x:v>negative</x:v>
      </x:c>
      <x:c r="U976" s="12" t="str">
        <x:f>IF(OR(R976="unavailable",T976="unavailable"),"不可评价",IF(OR(R976="equivocal",T976="equivocal"),"疑似",IF(AND(R976="positive",T976="positive"),"a",IF(T976="positive","b",IF(R976="positive","c","d")))))</x:f>
        <x:v>d</x:v>
      </x:c>
      <x:c r="V976" s="12" t="n">
        <x:v>100</x:v>
      </x:c>
      <x:c r="W976" s="12" t="str">
        <x:v>positive</x:v>
      </x:c>
      <x:c r="X976" s="12" t="n">
        <x:v>100</x:v>
      </x:c>
      <x:c r="Y976" s="12" t="str">
        <x:v>positive</x:v>
      </x:c>
      <x:c r="Z976" s="12" t="str">
        <x:f>IF(OR(W976="unavailable",Y976="unavailable"),"不可评价",IF(OR(W976="equivocal",Y976="equivocal"),"疑似",IF(AND(W976="positive",Y976="positive"),"a",IF(Y976="positive","b",IF(W976="positive","c","d")))))</x:f>
        <x:v>a</x:v>
      </x:c>
      <x:c r="AA976" s="12" t="str">
        <x:f>IF(OR(M976="unavailable",O976="unavailable"),"不可评价",IF(AND(OR(M976="positive",M976="equivocal"),OR(O976="positive",O976="equivocal")),"a",IF(OR(O976="positive",O976="equivocal"),"b",IF(OR(M976="positive",M976="equivocal"),"c","d"))))</x:f>
        <x:v>d</x:v>
      </x:c>
      <x:c r="AB976" s="12" t="str">
        <x:f>IF(OR(M976="unavailable",O976="unavailable"),"不可评价",IF(AND(M976="positive",O976="positive"),"a",IF(O976="positive","b",IF(M976="positive","c","d"))))</x:f>
        <x:v>d</x:v>
      </x:c>
      <x:c r="AC976" s="12" t="str">
        <x:f>IF(OR(R976="unavailable",T976="unavailable"),"不可评价",IF(AND(OR(R976="positive",R976="equivocal"),OR(T976="positive",T976="equivocal")),"a",IF(OR(T976="positive",T976="equivocal"),"b",IF(OR(R976="positive",R976="equivocal"),"c","d"))))</x:f>
        <x:v>d</x:v>
      </x:c>
      <x:c r="AD976" s="12" t="str">
        <x:f>IF(OR(R976="unavailable",T976="unavailable"),"不可评价",IF(AND(R976="positive",T976="positive"),"a",IF(T976="positive","b",IF(R976="positive","c","d"))))</x:f>
        <x:v>d</x:v>
      </x:c>
      <x:c r="AE976" s="12" t="str">
        <x:f>IF(OR(W976="unavailable",Y976="unavailable"),"不可评价",IF(AND(OR(W976="positive",W976="equivocal"),OR(Y976="positive",Y976="equivocal")),"a",IF(OR(Y976="positive",Y976="equivocal"),"b",IF(OR(W976="positive",W976="equivocal"),"c","d"))))</x:f>
        <x:v>a</x:v>
      </x:c>
      <x:c r="AF976" s="12" t="str">
        <x:f>IF(OR(W976="unavailable",Y976="unavailable"),"不可评价",IF(AND(W976="positive",Y976="positive"),"a",IF(Y976="positive","b",IF(W976="positive","c","d"))))</x:f>
        <x:v>a</x:v>
      </x:c>
    </x:row>
    <x:row r="977" ht="24" customHeight="1">
      <x:c r="A977" s="12" t="str">
        <x:v>8507</x:v>
      </x:c>
      <x:c r="B977" s="12" t="str">
        <x:v>4193</x:v>
      </x:c>
      <x:c r="C977" s="21" t="n">
        <x:v>33805.6284375</x:v>
      </x:c>
      <x:c r="D977" s="12" t="n">
        <x:v>32</x:v>
      </x:c>
      <x:c r="E977" s="12" t="n">
        <x:v>1</x:v>
      </x:c>
      <x:c r="F977" s="12" t="str">
        <x:v>存在</x:v>
      </x:c>
      <x:c r="G977" s="12" t="n">
        <x:v>1</x:v>
      </x:c>
      <x:c r="H977" s="12" t="str">
        <x:v>{'NORM': 80.0, 'STACH': 0.0}</x:v>
      </x:c>
      <x:c r="I977" s="12" t="str">
        <x:v>[('STACH', 100.0), ('ABR', 100.0)]</x:v>
      </x:c>
      <x:c r="J977" s="12" t="str">
        <x:v>ptbxl_database.csv；ecg_id=8507；scp_codes</x:v>
      </x:c>
      <x:c r="K977" s="12" t="str">
        <x:v>12sl_statements.csv；ecg_id=8507；statements_ext_snomed</x:v>
      </x:c>
      <x:c r="L977" s="12"/>
      <x:c r="M977" s="12" t="str">
        <x:v>negative</x:v>
      </x:c>
      <x:c r="N977" s="12"/>
      <x:c r="O977" s="12" t="str">
        <x:v>negative</x:v>
      </x:c>
      <x:c r="P977" s="12" t="str">
        <x:f>IF(OR(M977="unavailable",O977="unavailable"),"不可评价",IF(OR(M977="equivocal",O977="equivocal"),"疑似",IF(AND(M977="positive",O977="positive"),"a",IF(O977="positive","b",IF(M977="positive","c","d")))))</x:f>
        <x:v>d</x:v>
      </x:c>
      <x:c r="Q977" s="12"/>
      <x:c r="R977" s="12" t="str">
        <x:v>negative</x:v>
      </x:c>
      <x:c r="S977" s="12"/>
      <x:c r="T977" s="12" t="str">
        <x:v>negative</x:v>
      </x:c>
      <x:c r="U977" s="12" t="str">
        <x:f>IF(OR(R977="unavailable",T977="unavailable"),"不可评价",IF(OR(R977="equivocal",T977="equivocal"),"疑似",IF(AND(R977="positive",T977="positive"),"a",IF(T977="positive","b",IF(R977="positive","c","d")))))</x:f>
        <x:v>d</x:v>
      </x:c>
      <x:c r="V977" s="12"/>
      <x:c r="W977" s="12" t="str">
        <x:v>negative</x:v>
      </x:c>
      <x:c r="X977" s="12"/>
      <x:c r="Y977" s="12" t="str">
        <x:v>negative</x:v>
      </x:c>
      <x:c r="Z977" s="12" t="str">
        <x:f>IF(OR(W977="unavailable",Y977="unavailable"),"不可评价",IF(OR(W977="equivocal",Y977="equivocal"),"疑似",IF(AND(W977="positive",Y977="positive"),"a",IF(Y977="positive","b",IF(W977="positive","c","d")))))</x:f>
        <x:v>d</x:v>
      </x:c>
      <x:c r="AA977" s="12" t="str">
        <x:f>IF(OR(M977="unavailable",O977="unavailable"),"不可评价",IF(AND(OR(M977="positive",M977="equivocal"),OR(O977="positive",O977="equivocal")),"a",IF(OR(O977="positive",O977="equivocal"),"b",IF(OR(M977="positive",M977="equivocal"),"c","d"))))</x:f>
        <x:v>d</x:v>
      </x:c>
      <x:c r="AB977" s="12" t="str">
        <x:f>IF(OR(M977="unavailable",O977="unavailable"),"不可评价",IF(AND(M977="positive",O977="positive"),"a",IF(O977="positive","b",IF(M977="positive","c","d"))))</x:f>
        <x:v>d</x:v>
      </x:c>
      <x:c r="AC977" s="12" t="str">
        <x:f>IF(OR(R977="unavailable",T977="unavailable"),"不可评价",IF(AND(OR(R977="positive",R977="equivocal"),OR(T977="positive",T977="equivocal")),"a",IF(OR(T977="positive",T977="equivocal"),"b",IF(OR(R977="positive",R977="equivocal"),"c","d"))))</x:f>
        <x:v>d</x:v>
      </x:c>
      <x:c r="AD977" s="12" t="str">
        <x:f>IF(OR(R977="unavailable",T977="unavailable"),"不可评价",IF(AND(R977="positive",T977="positive"),"a",IF(T977="positive","b",IF(R977="positive","c","d"))))</x:f>
        <x:v>d</x:v>
      </x:c>
      <x:c r="AE977" s="12" t="str">
        <x:f>IF(OR(W977="unavailable",Y977="unavailable"),"不可评价",IF(AND(OR(W977="positive",W977="equivocal"),OR(Y977="positive",Y977="equivocal")),"a",IF(OR(Y977="positive",Y977="equivocal"),"b",IF(OR(W977="positive",W977="equivocal"),"c","d"))))</x:f>
        <x:v>d</x:v>
      </x:c>
      <x:c r="AF977" s="12" t="str">
        <x:f>IF(OR(W977="unavailable",Y977="unavailable"),"不可评价",IF(AND(W977="positive",Y977="positive"),"a",IF(Y977="positive","b",IF(W977="positive","c","d"))))</x:f>
        <x:v>d</x:v>
      </x:c>
    </x:row>
    <x:row r="978" ht="24" customHeight="1">
      <x:c r="A978" s="12" t="str">
        <x:v>8509</x:v>
      </x:c>
      <x:c r="B978" s="12" t="str">
        <x:v>20651</x:v>
      </x:c>
      <x:c r="C978" s="21" t="n">
        <x:v>33805.85097222222</x:v>
      </x:c>
      <x:c r="D978" s="12" t="n">
        <x:v>79</x:v>
      </x:c>
      <x:c r="E978" s="12" t="n">
        <x:v>1</x:v>
      </x:c>
      <x:c r="F978" s="12" t="str">
        <x:v>未记录</x:v>
      </x:c>
      <x:c r="G978" s="12" t="n">
        <x:v>1</x:v>
      </x:c>
      <x:c r="H978" s="12" t="str">
        <x:v>{'IMI': 100.0, 'ABQRS': 0.0, 'SR': 0.0}</x:v>
      </x:c>
      <x:c r="I978" s="12" t="str">
        <x:v>[('SRTH', 100.0), ('MSAR', 100.0), ('SMI;AU', 100.0), ('AB', 100.0)]</x:v>
      </x:c>
      <x:c r="J978" s="12" t="str">
        <x:v>ptbxl_database.csv；ecg_id=8509；scp_codes</x:v>
      </x:c>
      <x:c r="K978" s="12" t="str">
        <x:v>12sl_statements.csv；ecg_id=8509；statements_ext_snomed</x:v>
      </x:c>
      <x:c r="L978" s="12"/>
      <x:c r="M978" s="12" t="str">
        <x:v>negative</x:v>
      </x:c>
      <x:c r="N978" s="12"/>
      <x:c r="O978" s="12" t="str">
        <x:v>negative</x:v>
      </x:c>
      <x:c r="P978" s="12" t="str">
        <x:f>IF(OR(M978="unavailable",O978="unavailable"),"不可评价",IF(OR(M978="equivocal",O978="equivocal"),"疑似",IF(AND(M978="positive",O978="positive"),"a",IF(O978="positive","b",IF(M978="positive","c","d")))))</x:f>
        <x:v>d</x:v>
      </x:c>
      <x:c r="Q978" s="12"/>
      <x:c r="R978" s="12" t="str">
        <x:v>negative</x:v>
      </x:c>
      <x:c r="S978" s="12"/>
      <x:c r="T978" s="12" t="str">
        <x:v>negative</x:v>
      </x:c>
      <x:c r="U978" s="12" t="str">
        <x:f>IF(OR(R978="unavailable",T978="unavailable"),"不可评价",IF(OR(R978="equivocal",T978="equivocal"),"疑似",IF(AND(R978="positive",T978="positive"),"a",IF(T978="positive","b",IF(R978="positive","c","d")))))</x:f>
        <x:v>d</x:v>
      </x:c>
      <x:c r="V978" s="12"/>
      <x:c r="W978" s="12" t="str">
        <x:v>negative</x:v>
      </x:c>
      <x:c r="X978" s="12"/>
      <x:c r="Y978" s="12" t="str">
        <x:v>negative</x:v>
      </x:c>
      <x:c r="Z978" s="12" t="str">
        <x:f>IF(OR(W978="unavailable",Y978="unavailable"),"不可评价",IF(OR(W978="equivocal",Y978="equivocal"),"疑似",IF(AND(W978="positive",Y978="positive"),"a",IF(Y978="positive","b",IF(W978="positive","c","d")))))</x:f>
        <x:v>d</x:v>
      </x:c>
      <x:c r="AA978" s="12" t="str">
        <x:f>IF(OR(M978="unavailable",O978="unavailable"),"不可评价",IF(AND(OR(M978="positive",M978="equivocal"),OR(O978="positive",O978="equivocal")),"a",IF(OR(O978="positive",O978="equivocal"),"b",IF(OR(M978="positive",M978="equivocal"),"c","d"))))</x:f>
        <x:v>d</x:v>
      </x:c>
      <x:c r="AB978" s="12" t="str">
        <x:f>IF(OR(M978="unavailable",O978="unavailable"),"不可评价",IF(AND(M978="positive",O978="positive"),"a",IF(O978="positive","b",IF(M978="positive","c","d"))))</x:f>
        <x:v>d</x:v>
      </x:c>
      <x:c r="AC978" s="12" t="str">
        <x:f>IF(OR(R978="unavailable",T978="unavailable"),"不可评价",IF(AND(OR(R978="positive",R978="equivocal"),OR(T978="positive",T978="equivocal")),"a",IF(OR(T978="positive",T978="equivocal"),"b",IF(OR(R978="positive",R978="equivocal"),"c","d"))))</x:f>
        <x:v>d</x:v>
      </x:c>
      <x:c r="AD978" s="12" t="str">
        <x:f>IF(OR(R978="unavailable",T978="unavailable"),"不可评价",IF(AND(R978="positive",T978="positive"),"a",IF(T978="positive","b",IF(R978="positive","c","d"))))</x:f>
        <x:v>d</x:v>
      </x:c>
      <x:c r="AE978" s="12" t="str">
        <x:f>IF(OR(W978="unavailable",Y978="unavailable"),"不可评价",IF(AND(OR(W978="positive",W978="equivocal"),OR(Y978="positive",Y978="equivocal")),"a",IF(OR(Y978="positive",Y978="equivocal"),"b",IF(OR(W978="positive",W978="equivocal"),"c","d"))))</x:f>
        <x:v>d</x:v>
      </x:c>
      <x:c r="AF978" s="12" t="str">
        <x:f>IF(OR(W978="unavailable",Y978="unavailable"),"不可评价",IF(AND(W978="positive",Y978="positive"),"a",IF(Y978="positive","b",IF(W978="positive","c","d"))))</x:f>
        <x:v>d</x:v>
      </x:c>
    </x:row>
    <x:row r="979" ht="24" customHeight="1">
      <x:c r="A979" s="12" t="str">
        <x:v>8524</x:v>
      </x:c>
      <x:c r="B979" s="12" t="str">
        <x:v>3181</x:v>
      </x:c>
      <x:c r="C979" s="21" t="n">
        <x:v>33806.60395833333</x:v>
      </x:c>
      <x:c r="D979" s="12" t="n">
        <x:v>86</x:v>
      </x:c>
      <x:c r="E979" s="12" t="n">
        <x:v>1</x:v>
      </x:c>
      <x:c r="F979" s="12" t="str">
        <x:v>未记录</x:v>
      </x:c>
      <x:c r="G979" s="12" t="n">
        <x:v>1</x:v>
      </x:c>
      <x:c r="H979" s="12" t="str">
        <x:v>{'LVH': 15.0, 'STD_': 0.0, 'VCLVH': 0.0, 'SR': 0.0}</x:v>
      </x:c>
      <x:c r="I979" s="12" t="str">
        <x:v>[('NSR', 100.0), ('NST', 100.0), ('AB', 100.0)]</x:v>
      </x:c>
      <x:c r="J979" s="12" t="str">
        <x:v>ptbxl_database.csv；ecg_id=8524；scp_codes</x:v>
      </x:c>
      <x:c r="K979" s="12" t="str">
        <x:v>12sl_statements.csv；ecg_id=8524；statements_ext_snomed</x:v>
      </x:c>
      <x:c r="L979" s="12"/>
      <x:c r="M979" s="12" t="str">
        <x:v>negative</x:v>
      </x:c>
      <x:c r="N979" s="12"/>
      <x:c r="O979" s="12" t="str">
        <x:v>negative</x:v>
      </x:c>
      <x:c r="P979" s="12" t="str">
        <x:f>IF(OR(M979="unavailable",O979="unavailable"),"不可评价",IF(OR(M979="equivocal",O979="equivocal"),"疑似",IF(AND(M979="positive",O979="positive"),"a",IF(O979="positive","b",IF(M979="positive","c","d")))))</x:f>
        <x:v>d</x:v>
      </x:c>
      <x:c r="Q979" s="12"/>
      <x:c r="R979" s="12" t="str">
        <x:v>negative</x:v>
      </x:c>
      <x:c r="S979" s="12"/>
      <x:c r="T979" s="12" t="str">
        <x:v>negative</x:v>
      </x:c>
      <x:c r="U979" s="12" t="str">
        <x:f>IF(OR(R979="unavailable",T979="unavailable"),"不可评价",IF(OR(R979="equivocal",T979="equivocal"),"疑似",IF(AND(R979="positive",T979="positive"),"a",IF(T979="positive","b",IF(R979="positive","c","d")))))</x:f>
        <x:v>d</x:v>
      </x:c>
      <x:c r="V979" s="12"/>
      <x:c r="W979" s="12" t="str">
        <x:v>negative</x:v>
      </x:c>
      <x:c r="X979" s="12"/>
      <x:c r="Y979" s="12" t="str">
        <x:v>negative</x:v>
      </x:c>
      <x:c r="Z979" s="12" t="str">
        <x:f>IF(OR(W979="unavailable",Y979="unavailable"),"不可评价",IF(OR(W979="equivocal",Y979="equivocal"),"疑似",IF(AND(W979="positive",Y979="positive"),"a",IF(Y979="positive","b",IF(W979="positive","c","d")))))</x:f>
        <x:v>d</x:v>
      </x:c>
      <x:c r="AA979" s="12" t="str">
        <x:f>IF(OR(M979="unavailable",O979="unavailable"),"不可评价",IF(AND(OR(M979="positive",M979="equivocal"),OR(O979="positive",O979="equivocal")),"a",IF(OR(O979="positive",O979="equivocal"),"b",IF(OR(M979="positive",M979="equivocal"),"c","d"))))</x:f>
        <x:v>d</x:v>
      </x:c>
      <x:c r="AB979" s="12" t="str">
        <x:f>IF(OR(M979="unavailable",O979="unavailable"),"不可评价",IF(AND(M979="positive",O979="positive"),"a",IF(O979="positive","b",IF(M979="positive","c","d"))))</x:f>
        <x:v>d</x:v>
      </x:c>
      <x:c r="AC979" s="12" t="str">
        <x:f>IF(OR(R979="unavailable",T979="unavailable"),"不可评价",IF(AND(OR(R979="positive",R979="equivocal"),OR(T979="positive",T979="equivocal")),"a",IF(OR(T979="positive",T979="equivocal"),"b",IF(OR(R979="positive",R979="equivocal"),"c","d"))))</x:f>
        <x:v>d</x:v>
      </x:c>
      <x:c r="AD979" s="12" t="str">
        <x:f>IF(OR(R979="unavailable",T979="unavailable"),"不可评价",IF(AND(R979="positive",T979="positive"),"a",IF(T979="positive","b",IF(R979="positive","c","d"))))</x:f>
        <x:v>d</x:v>
      </x:c>
      <x:c r="AE979" s="12" t="str">
        <x:f>IF(OR(W979="unavailable",Y979="unavailable"),"不可评价",IF(AND(OR(W979="positive",W979="equivocal"),OR(Y979="positive",Y979="equivocal")),"a",IF(OR(Y979="positive",Y979="equivocal"),"b",IF(OR(W979="positive",W979="equivocal"),"c","d"))))</x:f>
        <x:v>d</x:v>
      </x:c>
      <x:c r="AF979" s="12" t="str">
        <x:f>IF(OR(W979="unavailable",Y979="unavailable"),"不可评价",IF(AND(W979="positive",Y979="positive"),"a",IF(Y979="positive","b",IF(W979="positive","c","d"))))</x:f>
        <x:v>d</x:v>
      </x:c>
    </x:row>
    <x:row r="980" ht="24" customHeight="1">
      <x:c r="A980" s="12" t="str">
        <x:v>8533</x:v>
      </x:c>
      <x:c r="B980" s="12" t="str">
        <x:v>17332</x:v>
      </x:c>
      <x:c r="C980" s="21" t="n">
        <x:v>33807.24260416667</x:v>
      </x:c>
      <x:c r="D980" s="12" t="n">
        <x:v>71</x:v>
      </x:c>
      <x:c r="E980" s="12" t="n">
        <x:v>1</x:v>
      </x:c>
      <x:c r="F980" s="12" t="str">
        <x:v>未记录</x:v>
      </x:c>
      <x:c r="G980" s="12" t="n">
        <x:v>0</x:v>
      </x:c>
      <x:c r="H980" s="12" t="str">
        <x:v>{'NST_': 100.0, 'SR': 0.0}</x:v>
      </x:c>
      <x:c r="I980" s="12" t="str">
        <x:v>[('SRTH', 100.0), ('PAC', 100.0), ('NT', 100.0), ('AB', 100.0)]</x:v>
      </x:c>
      <x:c r="J980" s="12" t="str">
        <x:v>ptbxl_database.csv；ecg_id=8533；scp_codes</x:v>
      </x:c>
      <x:c r="K980" s="12" t="str">
        <x:v>12sl_statements.csv；ecg_id=8533；statements_ext_snomed</x:v>
      </x:c>
      <x:c r="L980" s="12"/>
      <x:c r="M980" s="12" t="str">
        <x:v>negative</x:v>
      </x:c>
      <x:c r="N980" s="12"/>
      <x:c r="O980" s="12" t="str">
        <x:v>negative</x:v>
      </x:c>
      <x:c r="P980" s="12" t="str">
        <x:f>IF(OR(M980="unavailable",O980="unavailable"),"不可评价",IF(OR(M980="equivocal",O980="equivocal"),"疑似",IF(AND(M980="positive",O980="positive"),"a",IF(O980="positive","b",IF(M980="positive","c","d")))))</x:f>
        <x:v>d</x:v>
      </x:c>
      <x:c r="Q980" s="12"/>
      <x:c r="R980" s="12" t="str">
        <x:v>negative</x:v>
      </x:c>
      <x:c r="S980" s="12"/>
      <x:c r="T980" s="12" t="str">
        <x:v>negative</x:v>
      </x:c>
      <x:c r="U980" s="12" t="str">
        <x:f>IF(OR(R980="unavailable",T980="unavailable"),"不可评价",IF(OR(R980="equivocal",T980="equivocal"),"疑似",IF(AND(R980="positive",T980="positive"),"a",IF(T980="positive","b",IF(R980="positive","c","d")))))</x:f>
        <x:v>d</x:v>
      </x:c>
      <x:c r="V980" s="12"/>
      <x:c r="W980" s="12" t="str">
        <x:v>negative</x:v>
      </x:c>
      <x:c r="X980" s="12"/>
      <x:c r="Y980" s="12" t="str">
        <x:v>negative</x:v>
      </x:c>
      <x:c r="Z980" s="12" t="str">
        <x:f>IF(OR(W980="unavailable",Y980="unavailable"),"不可评价",IF(OR(W980="equivocal",Y980="equivocal"),"疑似",IF(AND(W980="positive",Y980="positive"),"a",IF(Y980="positive","b",IF(W980="positive","c","d")))))</x:f>
        <x:v>d</x:v>
      </x:c>
      <x:c r="AA980" s="12" t="str">
        <x:f>IF(OR(M980="unavailable",O980="unavailable"),"不可评价",IF(AND(OR(M980="positive",M980="equivocal"),OR(O980="positive",O980="equivocal")),"a",IF(OR(O980="positive",O980="equivocal"),"b",IF(OR(M980="positive",M980="equivocal"),"c","d"))))</x:f>
        <x:v>d</x:v>
      </x:c>
      <x:c r="AB980" s="12" t="str">
        <x:f>IF(OR(M980="unavailable",O980="unavailable"),"不可评价",IF(AND(M980="positive",O980="positive"),"a",IF(O980="positive","b",IF(M980="positive","c","d"))))</x:f>
        <x:v>d</x:v>
      </x:c>
      <x:c r="AC980" s="12" t="str">
        <x:f>IF(OR(R980="unavailable",T980="unavailable"),"不可评价",IF(AND(OR(R980="positive",R980="equivocal"),OR(T980="positive",T980="equivocal")),"a",IF(OR(T980="positive",T980="equivocal"),"b",IF(OR(R980="positive",R980="equivocal"),"c","d"))))</x:f>
        <x:v>d</x:v>
      </x:c>
      <x:c r="AD980" s="12" t="str">
        <x:f>IF(OR(R980="unavailable",T980="unavailable"),"不可评价",IF(AND(R980="positive",T980="positive"),"a",IF(T980="positive","b",IF(R980="positive","c","d"))))</x:f>
        <x:v>d</x:v>
      </x:c>
      <x:c r="AE980" s="12" t="str">
        <x:f>IF(OR(W980="unavailable",Y980="unavailable"),"不可评价",IF(AND(OR(W980="positive",W980="equivocal"),OR(Y980="positive",Y980="equivocal")),"a",IF(OR(Y980="positive",Y980="equivocal"),"b",IF(OR(W980="positive",W980="equivocal"),"c","d"))))</x:f>
        <x:v>d</x:v>
      </x:c>
      <x:c r="AF980" s="12" t="str">
        <x:f>IF(OR(W980="unavailable",Y980="unavailable"),"不可评价",IF(AND(W980="positive",Y980="positive"),"a",IF(Y980="positive","b",IF(W980="positive","c","d"))))</x:f>
        <x:v>d</x:v>
      </x:c>
    </x:row>
    <x:row r="981" ht="24" customHeight="1">
      <x:c r="A981" s="12" t="str">
        <x:v>8535</x:v>
      </x:c>
      <x:c r="B981" s="12" t="str">
        <x:v>17906</x:v>
      </x:c>
      <x:c r="C981" s="21" t="n">
        <x:v>33807.41248842593</x:v>
      </x:c>
      <x:c r="D981" s="12" t="n">
        <x:v>49</x:v>
      </x:c>
      <x:c r="E981" s="12" t="n">
        <x:v>0</x:v>
      </x:c>
      <x:c r="F981" s="12" t="str">
        <x:v>存在</x:v>
      </x:c>
      <x:c r="G981" s="12" t="n">
        <x:v>1</x:v>
      </x:c>
      <x:c r="H981" s="12" t="str">
        <x:v>{'NORM': 50.0, 'ABQRS': 0.0, 'SR': 0.0}</x:v>
      </x:c>
      <x:c r="I981" s="12" t="str">
        <x:v>[('NSR', 100.0), ('NML', 100.0)]</x:v>
      </x:c>
      <x:c r="J981" s="12" t="str">
        <x:v>ptbxl_database.csv；ecg_id=8535；scp_codes</x:v>
      </x:c>
      <x:c r="K981" s="12" t="str">
        <x:v>12sl_statements.csv；ecg_id=8535；statements_ext_snomed</x:v>
      </x:c>
      <x:c r="L981" s="12"/>
      <x:c r="M981" s="12" t="str">
        <x:v>negative</x:v>
      </x:c>
      <x:c r="N981" s="12"/>
      <x:c r="O981" s="12" t="str">
        <x:v>negative</x:v>
      </x:c>
      <x:c r="P981" s="12" t="str">
        <x:f>IF(OR(M981="unavailable",O981="unavailable"),"不可评价",IF(OR(M981="equivocal",O981="equivocal"),"疑似",IF(AND(M981="positive",O981="positive"),"a",IF(O981="positive","b",IF(M981="positive","c","d")))))</x:f>
        <x:v>d</x:v>
      </x:c>
      <x:c r="Q981" s="12"/>
      <x:c r="R981" s="12" t="str">
        <x:v>negative</x:v>
      </x:c>
      <x:c r="S981" s="12"/>
      <x:c r="T981" s="12" t="str">
        <x:v>negative</x:v>
      </x:c>
      <x:c r="U981" s="12" t="str">
        <x:f>IF(OR(R981="unavailable",T981="unavailable"),"不可评价",IF(OR(R981="equivocal",T981="equivocal"),"疑似",IF(AND(R981="positive",T981="positive"),"a",IF(T981="positive","b",IF(R981="positive","c","d")))))</x:f>
        <x:v>d</x:v>
      </x:c>
      <x:c r="V981" s="12"/>
      <x:c r="W981" s="12" t="str">
        <x:v>negative</x:v>
      </x:c>
      <x:c r="X981" s="12"/>
      <x:c r="Y981" s="12" t="str">
        <x:v>negative</x:v>
      </x:c>
      <x:c r="Z981" s="12" t="str">
        <x:f>IF(OR(W981="unavailable",Y981="unavailable"),"不可评价",IF(OR(W981="equivocal",Y981="equivocal"),"疑似",IF(AND(W981="positive",Y981="positive"),"a",IF(Y981="positive","b",IF(W981="positive","c","d")))))</x:f>
        <x:v>d</x:v>
      </x:c>
      <x:c r="AA981" s="12" t="str">
        <x:f>IF(OR(M981="unavailable",O981="unavailable"),"不可评价",IF(AND(OR(M981="positive",M981="equivocal"),OR(O981="positive",O981="equivocal")),"a",IF(OR(O981="positive",O981="equivocal"),"b",IF(OR(M981="positive",M981="equivocal"),"c","d"))))</x:f>
        <x:v>d</x:v>
      </x:c>
      <x:c r="AB981" s="12" t="str">
        <x:f>IF(OR(M981="unavailable",O981="unavailable"),"不可评价",IF(AND(M981="positive",O981="positive"),"a",IF(O981="positive","b",IF(M981="positive","c","d"))))</x:f>
        <x:v>d</x:v>
      </x:c>
      <x:c r="AC981" s="12" t="str">
        <x:f>IF(OR(R981="unavailable",T981="unavailable"),"不可评价",IF(AND(OR(R981="positive",R981="equivocal"),OR(T981="positive",T981="equivocal")),"a",IF(OR(T981="positive",T981="equivocal"),"b",IF(OR(R981="positive",R981="equivocal"),"c","d"))))</x:f>
        <x:v>d</x:v>
      </x:c>
      <x:c r="AD981" s="12" t="str">
        <x:f>IF(OR(R981="unavailable",T981="unavailable"),"不可评价",IF(AND(R981="positive",T981="positive"),"a",IF(T981="positive","b",IF(R981="positive","c","d"))))</x:f>
        <x:v>d</x:v>
      </x:c>
      <x:c r="AE981" s="12" t="str">
        <x:f>IF(OR(W981="unavailable",Y981="unavailable"),"不可评价",IF(AND(OR(W981="positive",W981="equivocal"),OR(Y981="positive",Y981="equivocal")),"a",IF(OR(Y981="positive",Y981="equivocal"),"b",IF(OR(W981="positive",W981="equivocal"),"c","d"))))</x:f>
        <x:v>d</x:v>
      </x:c>
      <x:c r="AF981" s="12" t="str">
        <x:f>IF(OR(W981="unavailable",Y981="unavailable"),"不可评价",IF(AND(W981="positive",Y981="positive"),"a",IF(Y981="positive","b",IF(W981="positive","c","d"))))</x:f>
        <x:v>d</x:v>
      </x:c>
    </x:row>
    <x:row r="982" ht="24" customHeight="1">
      <x:c r="A982" s="12" t="str">
        <x:v>8538</x:v>
      </x:c>
      <x:c r="B982" s="12" t="str">
        <x:v>7344</x:v>
      </x:c>
      <x:c r="C982" s="21" t="n">
        <x:v>33807.5075</x:v>
      </x:c>
      <x:c r="D982" s="12" t="n">
        <x:v>30</x:v>
      </x:c>
      <x:c r="E982" s="12" t="n">
        <x:v>0</x:v>
      </x:c>
      <x:c r="F982" s="12" t="str">
        <x:v>未记录</x:v>
      </x:c>
      <x:c r="G982" s="12" t="n">
        <x:v>1</x:v>
      </x:c>
      <x:c r="H982" s="12" t="str">
        <x:v>{'NORM': 100.0, 'SR': 0.0}</x:v>
      </x:c>
      <x:c r="I982" s="12" t="str">
        <x:v>[('NSR', 100.0), ('SAR', 100.0), ('NML', 100.0)]</x:v>
      </x:c>
      <x:c r="J982" s="12" t="str">
        <x:v>ptbxl_database.csv；ecg_id=8538；scp_codes</x:v>
      </x:c>
      <x:c r="K982" s="12" t="str">
        <x:v>12sl_statements.csv；ecg_id=8538；statements_ext_snomed</x:v>
      </x:c>
      <x:c r="L982" s="12"/>
      <x:c r="M982" s="12" t="str">
        <x:v>negative</x:v>
      </x:c>
      <x:c r="N982" s="12"/>
      <x:c r="O982" s="12" t="str">
        <x:v>negative</x:v>
      </x:c>
      <x:c r="P982" s="12" t="str">
        <x:f>IF(OR(M982="unavailable",O982="unavailable"),"不可评价",IF(OR(M982="equivocal",O982="equivocal"),"疑似",IF(AND(M982="positive",O982="positive"),"a",IF(O982="positive","b",IF(M982="positive","c","d")))))</x:f>
        <x:v>d</x:v>
      </x:c>
      <x:c r="Q982" s="12"/>
      <x:c r="R982" s="12" t="str">
        <x:v>negative</x:v>
      </x:c>
      <x:c r="S982" s="12"/>
      <x:c r="T982" s="12" t="str">
        <x:v>negative</x:v>
      </x:c>
      <x:c r="U982" s="12" t="str">
        <x:f>IF(OR(R982="unavailable",T982="unavailable"),"不可评价",IF(OR(R982="equivocal",T982="equivocal"),"疑似",IF(AND(R982="positive",T982="positive"),"a",IF(T982="positive","b",IF(R982="positive","c","d")))))</x:f>
        <x:v>d</x:v>
      </x:c>
      <x:c r="V982" s="12"/>
      <x:c r="W982" s="12" t="str">
        <x:v>negative</x:v>
      </x:c>
      <x:c r="X982" s="12"/>
      <x:c r="Y982" s="12" t="str">
        <x:v>negative</x:v>
      </x:c>
      <x:c r="Z982" s="12" t="str">
        <x:f>IF(OR(W982="unavailable",Y982="unavailable"),"不可评价",IF(OR(W982="equivocal",Y982="equivocal"),"疑似",IF(AND(W982="positive",Y982="positive"),"a",IF(Y982="positive","b",IF(W982="positive","c","d")))))</x:f>
        <x:v>d</x:v>
      </x:c>
      <x:c r="AA982" s="12" t="str">
        <x:f>IF(OR(M982="unavailable",O982="unavailable"),"不可评价",IF(AND(OR(M982="positive",M982="equivocal"),OR(O982="positive",O982="equivocal")),"a",IF(OR(O982="positive",O982="equivocal"),"b",IF(OR(M982="positive",M982="equivocal"),"c","d"))))</x:f>
        <x:v>d</x:v>
      </x:c>
      <x:c r="AB982" s="12" t="str">
        <x:f>IF(OR(M982="unavailable",O982="unavailable"),"不可评价",IF(AND(M982="positive",O982="positive"),"a",IF(O982="positive","b",IF(M982="positive","c","d"))))</x:f>
        <x:v>d</x:v>
      </x:c>
      <x:c r="AC982" s="12" t="str">
        <x:f>IF(OR(R982="unavailable",T982="unavailable"),"不可评价",IF(AND(OR(R982="positive",R982="equivocal"),OR(T982="positive",T982="equivocal")),"a",IF(OR(T982="positive",T982="equivocal"),"b",IF(OR(R982="positive",R982="equivocal"),"c","d"))))</x:f>
        <x:v>d</x:v>
      </x:c>
      <x:c r="AD982" s="12" t="str">
        <x:f>IF(OR(R982="unavailable",T982="unavailable"),"不可评价",IF(AND(R982="positive",T982="positive"),"a",IF(T982="positive","b",IF(R982="positive","c","d"))))</x:f>
        <x:v>d</x:v>
      </x:c>
      <x:c r="AE982" s="12" t="str">
        <x:f>IF(OR(W982="unavailable",Y982="unavailable"),"不可评价",IF(AND(OR(W982="positive",W982="equivocal"),OR(Y982="positive",Y982="equivocal")),"a",IF(OR(Y982="positive",Y982="equivocal"),"b",IF(OR(W982="positive",W982="equivocal"),"c","d"))))</x:f>
        <x:v>d</x:v>
      </x:c>
      <x:c r="AF982" s="12" t="str">
        <x:f>IF(OR(W982="unavailable",Y982="unavailable"),"不可评价",IF(AND(W982="positive",Y982="positive"),"a",IF(Y982="positive","b",IF(W982="positive","c","d"))))</x:f>
        <x:v>d</x:v>
      </x:c>
    </x:row>
    <x:row r="983" ht="24" customHeight="1">
      <x:c r="A983" s="12" t="str">
        <x:v>8541</x:v>
      </x:c>
      <x:c r="B983" s="12" t="str">
        <x:v>7322</x:v>
      </x:c>
      <x:c r="C983" s="21" t="n">
        <x:v>33807.619375</x:v>
      </x:c>
      <x:c r="D983" s="12" t="n">
        <x:v>56</x:v>
      </x:c>
      <x:c r="E983" s="12" t="n">
        <x:v>0</x:v>
      </x:c>
      <x:c r="F983" s="12" t="str">
        <x:v>未记录</x:v>
      </x:c>
      <x:c r="G983" s="12" t="n">
        <x:v>1</x:v>
      </x:c>
      <x:c r="H983" s="12" t="str">
        <x:v>{'NORM': 80.0, 'HVOLT': 0.0, 'SR': 0.0}</x:v>
      </x:c>
      <x:c r="I983" s="12" t="str">
        <x:v>[('NSR', 100.0), ('BORDE', 100.0)]</x:v>
      </x:c>
      <x:c r="J983" s="12" t="str">
        <x:v>ptbxl_database.csv；ecg_id=8541；scp_codes</x:v>
      </x:c>
      <x:c r="K983" s="12" t="str">
        <x:v>12sl_statements.csv；ecg_id=8541；statements_ext_snomed</x:v>
      </x:c>
      <x:c r="L983" s="12"/>
      <x:c r="M983" s="12" t="str">
        <x:v>negative</x:v>
      </x:c>
      <x:c r="N983" s="12"/>
      <x:c r="O983" s="12" t="str">
        <x:v>negative</x:v>
      </x:c>
      <x:c r="P983" s="12" t="str">
        <x:f>IF(OR(M983="unavailable",O983="unavailable"),"不可评价",IF(OR(M983="equivocal",O983="equivocal"),"疑似",IF(AND(M983="positive",O983="positive"),"a",IF(O983="positive","b",IF(M983="positive","c","d")))))</x:f>
        <x:v>d</x:v>
      </x:c>
      <x:c r="Q983" s="12"/>
      <x:c r="R983" s="12" t="str">
        <x:v>negative</x:v>
      </x:c>
      <x:c r="S983" s="12"/>
      <x:c r="T983" s="12" t="str">
        <x:v>negative</x:v>
      </x:c>
      <x:c r="U983" s="12" t="str">
        <x:f>IF(OR(R983="unavailable",T983="unavailable"),"不可评价",IF(OR(R983="equivocal",T983="equivocal"),"疑似",IF(AND(R983="positive",T983="positive"),"a",IF(T983="positive","b",IF(R983="positive","c","d")))))</x:f>
        <x:v>d</x:v>
      </x:c>
      <x:c r="V983" s="12"/>
      <x:c r="W983" s="12" t="str">
        <x:v>negative</x:v>
      </x:c>
      <x:c r="X983" s="12"/>
      <x:c r="Y983" s="12" t="str">
        <x:v>negative</x:v>
      </x:c>
      <x:c r="Z983" s="12" t="str">
        <x:f>IF(OR(W983="unavailable",Y983="unavailable"),"不可评价",IF(OR(W983="equivocal",Y983="equivocal"),"疑似",IF(AND(W983="positive",Y983="positive"),"a",IF(Y983="positive","b",IF(W983="positive","c","d")))))</x:f>
        <x:v>d</x:v>
      </x:c>
      <x:c r="AA983" s="12" t="str">
        <x:f>IF(OR(M983="unavailable",O983="unavailable"),"不可评价",IF(AND(OR(M983="positive",M983="equivocal"),OR(O983="positive",O983="equivocal")),"a",IF(OR(O983="positive",O983="equivocal"),"b",IF(OR(M983="positive",M983="equivocal"),"c","d"))))</x:f>
        <x:v>d</x:v>
      </x:c>
      <x:c r="AB983" s="12" t="str">
        <x:f>IF(OR(M983="unavailable",O983="unavailable"),"不可评价",IF(AND(M983="positive",O983="positive"),"a",IF(O983="positive","b",IF(M983="positive","c","d"))))</x:f>
        <x:v>d</x:v>
      </x:c>
      <x:c r="AC983" s="12" t="str">
        <x:f>IF(OR(R983="unavailable",T983="unavailable"),"不可评价",IF(AND(OR(R983="positive",R983="equivocal"),OR(T983="positive",T983="equivocal")),"a",IF(OR(T983="positive",T983="equivocal"),"b",IF(OR(R983="positive",R983="equivocal"),"c","d"))))</x:f>
        <x:v>d</x:v>
      </x:c>
      <x:c r="AD983" s="12" t="str">
        <x:f>IF(OR(R983="unavailable",T983="unavailable"),"不可评价",IF(AND(R983="positive",T983="positive"),"a",IF(T983="positive","b",IF(R983="positive","c","d"))))</x:f>
        <x:v>d</x:v>
      </x:c>
      <x:c r="AE983" s="12" t="str">
        <x:f>IF(OR(W983="unavailable",Y983="unavailable"),"不可评价",IF(AND(OR(W983="positive",W983="equivocal"),OR(Y983="positive",Y983="equivocal")),"a",IF(OR(Y983="positive",Y983="equivocal"),"b",IF(OR(W983="positive",W983="equivocal"),"c","d"))))</x:f>
        <x:v>d</x:v>
      </x:c>
      <x:c r="AF983" s="12" t="str">
        <x:f>IF(OR(W983="unavailable",Y983="unavailable"),"不可评价",IF(AND(W983="positive",Y983="positive"),"a",IF(Y983="positive","b",IF(W983="positive","c","d"))))</x:f>
        <x:v>d</x:v>
      </x:c>
    </x:row>
    <x:row r="984" ht="24" customHeight="1">
      <x:c r="A984" s="12" t="str">
        <x:v>8555</x:v>
      </x:c>
      <x:c r="B984" s="12" t="str">
        <x:v>3020</x:v>
      </x:c>
      <x:c r="C984" s="21" t="n">
        <x:v>33808.61116898148</x:v>
      </x:c>
      <x:c r="D984" s="12" t="n">
        <x:v>70</x:v>
      </x:c>
      <x:c r="E984" s="12" t="n">
        <x:v>0</x:v>
      </x:c>
      <x:c r="F984" s="12" t="str">
        <x:v>未记录</x:v>
      </x:c>
      <x:c r="G984" s="12" t="n">
        <x:v>1</x:v>
      </x:c>
      <x:c r="H984" s="12" t="str">
        <x:v>{'NORM': 80.0, 'HVOLT': 0.0, 'SR': 0.0}</x:v>
      </x:c>
      <x:c r="I984" s="12" t="str">
        <x:v>[('SBRAD', 100.0), ('FAV', 100.0), ('BORDE', 100.0)]</x:v>
      </x:c>
      <x:c r="J984" s="12" t="str">
        <x:v>ptbxl_database.csv；ecg_id=8555；scp_codes</x:v>
      </x:c>
      <x:c r="K984" s="12" t="str">
        <x:v>12sl_statements.csv；ecg_id=8555；statements_ext_snomed</x:v>
      </x:c>
      <x:c r="L984" s="12"/>
      <x:c r="M984" s="12" t="str">
        <x:v>negative</x:v>
      </x:c>
      <x:c r="N984" s="12"/>
      <x:c r="O984" s="12" t="str">
        <x:v>negative</x:v>
      </x:c>
      <x:c r="P984" s="12" t="str">
        <x:f>IF(OR(M984="unavailable",O984="unavailable"),"不可评价",IF(OR(M984="equivocal",O984="equivocal"),"疑似",IF(AND(M984="positive",O984="positive"),"a",IF(O984="positive","b",IF(M984="positive","c","d")))))</x:f>
        <x:v>d</x:v>
      </x:c>
      <x:c r="Q984" s="12"/>
      <x:c r="R984" s="12" t="str">
        <x:v>negative</x:v>
      </x:c>
      <x:c r="S984" s="12"/>
      <x:c r="T984" s="12" t="str">
        <x:v>negative</x:v>
      </x:c>
      <x:c r="U984" s="12" t="str">
        <x:f>IF(OR(R984="unavailable",T984="unavailable"),"不可评价",IF(OR(R984="equivocal",T984="equivocal"),"疑似",IF(AND(R984="positive",T984="positive"),"a",IF(T984="positive","b",IF(R984="positive","c","d")))))</x:f>
        <x:v>d</x:v>
      </x:c>
      <x:c r="V984" s="12"/>
      <x:c r="W984" s="12" t="str">
        <x:v>negative</x:v>
      </x:c>
      <x:c r="X984" s="12"/>
      <x:c r="Y984" s="12" t="str">
        <x:v>negative</x:v>
      </x:c>
      <x:c r="Z984" s="12" t="str">
        <x:f>IF(OR(W984="unavailable",Y984="unavailable"),"不可评价",IF(OR(W984="equivocal",Y984="equivocal"),"疑似",IF(AND(W984="positive",Y984="positive"),"a",IF(Y984="positive","b",IF(W984="positive","c","d")))))</x:f>
        <x:v>d</x:v>
      </x:c>
      <x:c r="AA984" s="12" t="str">
        <x:f>IF(OR(M984="unavailable",O984="unavailable"),"不可评价",IF(AND(OR(M984="positive",M984="equivocal"),OR(O984="positive",O984="equivocal")),"a",IF(OR(O984="positive",O984="equivocal"),"b",IF(OR(M984="positive",M984="equivocal"),"c","d"))))</x:f>
        <x:v>d</x:v>
      </x:c>
      <x:c r="AB984" s="12" t="str">
        <x:f>IF(OR(M984="unavailable",O984="unavailable"),"不可评价",IF(AND(M984="positive",O984="positive"),"a",IF(O984="positive","b",IF(M984="positive","c","d"))))</x:f>
        <x:v>d</x:v>
      </x:c>
      <x:c r="AC984" s="12" t="str">
        <x:f>IF(OR(R984="unavailable",T984="unavailable"),"不可评价",IF(AND(OR(R984="positive",R984="equivocal"),OR(T984="positive",T984="equivocal")),"a",IF(OR(T984="positive",T984="equivocal"),"b",IF(OR(R984="positive",R984="equivocal"),"c","d"))))</x:f>
        <x:v>d</x:v>
      </x:c>
      <x:c r="AD984" s="12" t="str">
        <x:f>IF(OR(R984="unavailable",T984="unavailable"),"不可评价",IF(AND(R984="positive",T984="positive"),"a",IF(T984="positive","b",IF(R984="positive","c","d"))))</x:f>
        <x:v>d</x:v>
      </x:c>
      <x:c r="AE984" s="12" t="str">
        <x:f>IF(OR(W984="unavailable",Y984="unavailable"),"不可评价",IF(AND(OR(W984="positive",W984="equivocal"),OR(Y984="positive",Y984="equivocal")),"a",IF(OR(Y984="positive",Y984="equivocal"),"b",IF(OR(W984="positive",W984="equivocal"),"c","d"))))</x:f>
        <x:v>d</x:v>
      </x:c>
      <x:c r="AF984" s="12" t="str">
        <x:f>IF(OR(W984="unavailable",Y984="unavailable"),"不可评价",IF(AND(W984="positive",Y984="positive"),"a",IF(Y984="positive","b",IF(W984="positive","c","d"))))</x:f>
        <x:v>d</x:v>
      </x:c>
    </x:row>
    <x:row r="985" ht="24" customHeight="1">
      <x:c r="A985" s="12" t="str">
        <x:v>8591</x:v>
      </x:c>
      <x:c r="B985" s="12" t="str">
        <x:v>19224</x:v>
      </x:c>
      <x:c r="C985" s="21" t="n">
        <x:v>33811.70824074074</x:v>
      </x:c>
      <x:c r="D985" s="12" t="n">
        <x:v>64</x:v>
      </x:c>
      <x:c r="E985" s="12" t="n">
        <x:v>0</x:v>
      </x:c>
      <x:c r="F985" s="12" t="str">
        <x:v>未记录</x:v>
      </x:c>
      <x:c r="G985" s="12" t="n">
        <x:v>1</x:v>
      </x:c>
      <x:c r="H985" s="12" t="str">
        <x:v>{'NDT': 100.0, 'SR': 0.0}</x:v>
      </x:c>
      <x:c r="I985" s="12" t="str">
        <x:v>[('NSR', 100.0), ('NST', 100.0), ('AB', 100.0)]</x:v>
      </x:c>
      <x:c r="J985" s="12" t="str">
        <x:v>ptbxl_database.csv；ecg_id=8591；scp_codes</x:v>
      </x:c>
      <x:c r="K985" s="12" t="str">
        <x:v>12sl_statements.csv；ecg_id=8591；statements_ext_snomed</x:v>
      </x:c>
      <x:c r="L985" s="12"/>
      <x:c r="M985" s="12" t="str">
        <x:v>negative</x:v>
      </x:c>
      <x:c r="N985" s="12"/>
      <x:c r="O985" s="12" t="str">
        <x:v>negative</x:v>
      </x:c>
      <x:c r="P985" s="12" t="str">
        <x:f>IF(OR(M985="unavailable",O985="unavailable"),"不可评价",IF(OR(M985="equivocal",O985="equivocal"),"疑似",IF(AND(M985="positive",O985="positive"),"a",IF(O985="positive","b",IF(M985="positive","c","d")))))</x:f>
        <x:v>d</x:v>
      </x:c>
      <x:c r="Q985" s="12"/>
      <x:c r="R985" s="12" t="str">
        <x:v>negative</x:v>
      </x:c>
      <x:c r="S985" s="12"/>
      <x:c r="T985" s="12" t="str">
        <x:v>negative</x:v>
      </x:c>
      <x:c r="U985" s="12" t="str">
        <x:f>IF(OR(R985="unavailable",T985="unavailable"),"不可评价",IF(OR(R985="equivocal",T985="equivocal"),"疑似",IF(AND(R985="positive",T985="positive"),"a",IF(T985="positive","b",IF(R985="positive","c","d")))))</x:f>
        <x:v>d</x:v>
      </x:c>
      <x:c r="V985" s="12"/>
      <x:c r="W985" s="12" t="str">
        <x:v>negative</x:v>
      </x:c>
      <x:c r="X985" s="12"/>
      <x:c r="Y985" s="12" t="str">
        <x:v>negative</x:v>
      </x:c>
      <x:c r="Z985" s="12" t="str">
        <x:f>IF(OR(W985="unavailable",Y985="unavailable"),"不可评价",IF(OR(W985="equivocal",Y985="equivocal"),"疑似",IF(AND(W985="positive",Y985="positive"),"a",IF(Y985="positive","b",IF(W985="positive","c","d")))))</x:f>
        <x:v>d</x:v>
      </x:c>
      <x:c r="AA985" s="12" t="str">
        <x:f>IF(OR(M985="unavailable",O985="unavailable"),"不可评价",IF(AND(OR(M985="positive",M985="equivocal"),OR(O985="positive",O985="equivocal")),"a",IF(OR(O985="positive",O985="equivocal"),"b",IF(OR(M985="positive",M985="equivocal"),"c","d"))))</x:f>
        <x:v>d</x:v>
      </x:c>
      <x:c r="AB985" s="12" t="str">
        <x:f>IF(OR(M985="unavailable",O985="unavailable"),"不可评价",IF(AND(M985="positive",O985="positive"),"a",IF(O985="positive","b",IF(M985="positive","c","d"))))</x:f>
        <x:v>d</x:v>
      </x:c>
      <x:c r="AC985" s="12" t="str">
        <x:f>IF(OR(R985="unavailable",T985="unavailable"),"不可评价",IF(AND(OR(R985="positive",R985="equivocal"),OR(T985="positive",T985="equivocal")),"a",IF(OR(T985="positive",T985="equivocal"),"b",IF(OR(R985="positive",R985="equivocal"),"c","d"))))</x:f>
        <x:v>d</x:v>
      </x:c>
      <x:c r="AD985" s="12" t="str">
        <x:f>IF(OR(R985="unavailable",T985="unavailable"),"不可评价",IF(AND(R985="positive",T985="positive"),"a",IF(T985="positive","b",IF(R985="positive","c","d"))))</x:f>
        <x:v>d</x:v>
      </x:c>
      <x:c r="AE985" s="12" t="str">
        <x:f>IF(OR(W985="unavailable",Y985="unavailable"),"不可评价",IF(AND(OR(W985="positive",W985="equivocal"),OR(Y985="positive",Y985="equivocal")),"a",IF(OR(Y985="positive",Y985="equivocal"),"b",IF(OR(W985="positive",W985="equivocal"),"c","d"))))</x:f>
        <x:v>d</x:v>
      </x:c>
      <x:c r="AF985" s="12" t="str">
        <x:f>IF(OR(W985="unavailable",Y985="unavailable"),"不可评价",IF(AND(W985="positive",Y985="positive"),"a",IF(Y985="positive","b",IF(W985="positive","c","d"))))</x:f>
        <x:v>d</x:v>
      </x:c>
    </x:row>
    <x:row r="986" ht="24" customHeight="1">
      <x:c r="A986" s="12" t="str">
        <x:v>8609</x:v>
      </x:c>
      <x:c r="B986" s="12" t="str">
        <x:v>9363</x:v>
      </x:c>
      <x:c r="C986" s="21" t="n">
        <x:v>33812.59275462963</x:v>
      </x:c>
      <x:c r="D986" s="12" t="n">
        <x:v>86</x:v>
      </x:c>
      <x:c r="E986" s="12" t="n">
        <x:v>1</x:v>
      </x:c>
      <x:c r="F986" s="12" t="str">
        <x:v>未记录</x:v>
      </x:c>
      <x:c r="G986" s="12" t="n">
        <x:v>1</x:v>
      </x:c>
      <x:c r="H986" s="12" t="str">
        <x:v>{'IMI': 100.0, 'INJAL': 100.0, 'ABQRS': 0.0, 'SR': 0.0}</x:v>
      </x:c>
      <x:c r="I986" s="12" t="str">
        <x:v>[('NSR', 100.0), ('IMI;AU', 100.0), ('AB', 100.0)]</x:v>
      </x:c>
      <x:c r="J986" s="12" t="str">
        <x:v>ptbxl_database.csv；ecg_id=8609；scp_codes</x:v>
      </x:c>
      <x:c r="K986" s="12" t="str">
        <x:v>12sl_statements.csv；ecg_id=8609；statements_ext_snomed</x:v>
      </x:c>
      <x:c r="L986" s="12"/>
      <x:c r="M986" s="12" t="str">
        <x:v>negative</x:v>
      </x:c>
      <x:c r="N986" s="12"/>
      <x:c r="O986" s="12" t="str">
        <x:v>negative</x:v>
      </x:c>
      <x:c r="P986" s="12" t="str">
        <x:f>IF(OR(M986="unavailable",O986="unavailable"),"不可评价",IF(OR(M986="equivocal",O986="equivocal"),"疑似",IF(AND(M986="positive",O986="positive"),"a",IF(O986="positive","b",IF(M986="positive","c","d")))))</x:f>
        <x:v>d</x:v>
      </x:c>
      <x:c r="Q986" s="12"/>
      <x:c r="R986" s="12" t="str">
        <x:v>negative</x:v>
      </x:c>
      <x:c r="S986" s="12"/>
      <x:c r="T986" s="12" t="str">
        <x:v>negative</x:v>
      </x:c>
      <x:c r="U986" s="12" t="str">
        <x:f>IF(OR(R986="unavailable",T986="unavailable"),"不可评价",IF(OR(R986="equivocal",T986="equivocal"),"疑似",IF(AND(R986="positive",T986="positive"),"a",IF(T986="positive","b",IF(R986="positive","c","d")))))</x:f>
        <x:v>d</x:v>
      </x:c>
      <x:c r="V986" s="12"/>
      <x:c r="W986" s="12" t="str">
        <x:v>negative</x:v>
      </x:c>
      <x:c r="X986" s="12"/>
      <x:c r="Y986" s="12" t="str">
        <x:v>negative</x:v>
      </x:c>
      <x:c r="Z986" s="12" t="str">
        <x:f>IF(OR(W986="unavailable",Y986="unavailable"),"不可评价",IF(OR(W986="equivocal",Y986="equivocal"),"疑似",IF(AND(W986="positive",Y986="positive"),"a",IF(Y986="positive","b",IF(W986="positive","c","d")))))</x:f>
        <x:v>d</x:v>
      </x:c>
      <x:c r="AA986" s="12" t="str">
        <x:f>IF(OR(M986="unavailable",O986="unavailable"),"不可评价",IF(AND(OR(M986="positive",M986="equivocal"),OR(O986="positive",O986="equivocal")),"a",IF(OR(O986="positive",O986="equivocal"),"b",IF(OR(M986="positive",M986="equivocal"),"c","d"))))</x:f>
        <x:v>d</x:v>
      </x:c>
      <x:c r="AB986" s="12" t="str">
        <x:f>IF(OR(M986="unavailable",O986="unavailable"),"不可评价",IF(AND(M986="positive",O986="positive"),"a",IF(O986="positive","b",IF(M986="positive","c","d"))))</x:f>
        <x:v>d</x:v>
      </x:c>
      <x:c r="AC986" s="12" t="str">
        <x:f>IF(OR(R986="unavailable",T986="unavailable"),"不可评价",IF(AND(OR(R986="positive",R986="equivocal"),OR(T986="positive",T986="equivocal")),"a",IF(OR(T986="positive",T986="equivocal"),"b",IF(OR(R986="positive",R986="equivocal"),"c","d"))))</x:f>
        <x:v>d</x:v>
      </x:c>
      <x:c r="AD986" s="12" t="str">
        <x:f>IF(OR(R986="unavailable",T986="unavailable"),"不可评价",IF(AND(R986="positive",T986="positive"),"a",IF(T986="positive","b",IF(R986="positive","c","d"))))</x:f>
        <x:v>d</x:v>
      </x:c>
      <x:c r="AE986" s="12" t="str">
        <x:f>IF(OR(W986="unavailable",Y986="unavailable"),"不可评价",IF(AND(OR(W986="positive",W986="equivocal"),OR(Y986="positive",Y986="equivocal")),"a",IF(OR(Y986="positive",Y986="equivocal"),"b",IF(OR(W986="positive",W986="equivocal"),"c","d"))))</x:f>
        <x:v>d</x:v>
      </x:c>
      <x:c r="AF986" s="12" t="str">
        <x:f>IF(OR(W986="unavailable",Y986="unavailable"),"不可评价",IF(AND(W986="positive",Y986="positive"),"a",IF(Y986="positive","b",IF(W986="positive","c","d"))))</x:f>
        <x:v>d</x:v>
      </x:c>
    </x:row>
    <x:row r="987" ht="24" customHeight="1">
      <x:c r="A987" s="12" t="str">
        <x:v>8622</x:v>
      </x:c>
      <x:c r="B987" s="12" t="str">
        <x:v>967</x:v>
      </x:c>
      <x:c r="C987" s="21" t="n">
        <x:v>33813.45527777778</x:v>
      </x:c>
      <x:c r="D987" s="12" t="n">
        <x:v>56</x:v>
      </x:c>
      <x:c r="E987" s="12" t="n">
        <x:v>1</x:v>
      </x:c>
      <x:c r="F987" s="12" t="str">
        <x:v>未记录</x:v>
      </x:c>
      <x:c r="G987" s="12" t="n">
        <x:v>1</x:v>
      </x:c>
      <x:c r="H987" s="12" t="str">
        <x:v>{'IRBBB': 100.0, 'NT_': 0.0, 'SR': 0.0}</x:v>
      </x:c>
      <x:c r="I987" s="12" t="str">
        <x:v>[('NSR', 100.0), ('IRBBB', 100.0), ('BORDE', 100.0)]</x:v>
      </x:c>
      <x:c r="J987" s="12" t="str">
        <x:v>ptbxl_database.csv；ecg_id=8622；scp_codes</x:v>
      </x:c>
      <x:c r="K987" s="12" t="str">
        <x:v>12sl_statements.csv；ecg_id=8622；statements_ext_snomed</x:v>
      </x:c>
      <x:c r="L987" s="12"/>
      <x:c r="M987" s="12" t="str">
        <x:v>negative</x:v>
      </x:c>
      <x:c r="N987" s="12"/>
      <x:c r="O987" s="12" t="str">
        <x:v>negative</x:v>
      </x:c>
      <x:c r="P987" s="12" t="str">
        <x:f>IF(OR(M987="unavailable",O987="unavailable"),"不可评价",IF(OR(M987="equivocal",O987="equivocal"),"疑似",IF(AND(M987="positive",O987="positive"),"a",IF(O987="positive","b",IF(M987="positive","c","d")))))</x:f>
        <x:v>d</x:v>
      </x:c>
      <x:c r="Q987" s="12"/>
      <x:c r="R987" s="12" t="str">
        <x:v>negative</x:v>
      </x:c>
      <x:c r="S987" s="12"/>
      <x:c r="T987" s="12" t="str">
        <x:v>negative</x:v>
      </x:c>
      <x:c r="U987" s="12" t="str">
        <x:f>IF(OR(R987="unavailable",T987="unavailable"),"不可评价",IF(OR(R987="equivocal",T987="equivocal"),"疑似",IF(AND(R987="positive",T987="positive"),"a",IF(T987="positive","b",IF(R987="positive","c","d")))))</x:f>
        <x:v>d</x:v>
      </x:c>
      <x:c r="V987" s="12"/>
      <x:c r="W987" s="12" t="str">
        <x:v>negative</x:v>
      </x:c>
      <x:c r="X987" s="12"/>
      <x:c r="Y987" s="12" t="str">
        <x:v>negative</x:v>
      </x:c>
      <x:c r="Z987" s="12" t="str">
        <x:f>IF(OR(W987="unavailable",Y987="unavailable"),"不可评价",IF(OR(W987="equivocal",Y987="equivocal"),"疑似",IF(AND(W987="positive",Y987="positive"),"a",IF(Y987="positive","b",IF(W987="positive","c","d")))))</x:f>
        <x:v>d</x:v>
      </x:c>
      <x:c r="AA987" s="12" t="str">
        <x:f>IF(OR(M987="unavailable",O987="unavailable"),"不可评价",IF(AND(OR(M987="positive",M987="equivocal"),OR(O987="positive",O987="equivocal")),"a",IF(OR(O987="positive",O987="equivocal"),"b",IF(OR(M987="positive",M987="equivocal"),"c","d"))))</x:f>
        <x:v>d</x:v>
      </x:c>
      <x:c r="AB987" s="12" t="str">
        <x:f>IF(OR(M987="unavailable",O987="unavailable"),"不可评价",IF(AND(M987="positive",O987="positive"),"a",IF(O987="positive","b",IF(M987="positive","c","d"))))</x:f>
        <x:v>d</x:v>
      </x:c>
      <x:c r="AC987" s="12" t="str">
        <x:f>IF(OR(R987="unavailable",T987="unavailable"),"不可评价",IF(AND(OR(R987="positive",R987="equivocal"),OR(T987="positive",T987="equivocal")),"a",IF(OR(T987="positive",T987="equivocal"),"b",IF(OR(R987="positive",R987="equivocal"),"c","d"))))</x:f>
        <x:v>d</x:v>
      </x:c>
      <x:c r="AD987" s="12" t="str">
        <x:f>IF(OR(R987="unavailable",T987="unavailable"),"不可评价",IF(AND(R987="positive",T987="positive"),"a",IF(T987="positive","b",IF(R987="positive","c","d"))))</x:f>
        <x:v>d</x:v>
      </x:c>
      <x:c r="AE987" s="12" t="str">
        <x:f>IF(OR(W987="unavailable",Y987="unavailable"),"不可评价",IF(AND(OR(W987="positive",W987="equivocal"),OR(Y987="positive",Y987="equivocal")),"a",IF(OR(Y987="positive",Y987="equivocal"),"b",IF(OR(W987="positive",W987="equivocal"),"c","d"))))</x:f>
        <x:v>d</x:v>
      </x:c>
      <x:c r="AF987" s="12" t="str">
        <x:f>IF(OR(W987="unavailable",Y987="unavailable"),"不可评价",IF(AND(W987="positive",Y987="positive"),"a",IF(Y987="positive","b",IF(W987="positive","c","d"))))</x:f>
        <x:v>d</x:v>
      </x:c>
    </x:row>
    <x:row r="988" ht="24" customHeight="1">
      <x:c r="A988" s="12" t="str">
        <x:v>8625</x:v>
      </x:c>
      <x:c r="B988" s="12" t="str">
        <x:v>5021</x:v>
      </x:c>
      <x:c r="C988" s="21" t="n">
        <x:v>33813.510671296295</x:v>
      </x:c>
      <x:c r="D988" s="12" t="n">
        <x:v>60</x:v>
      </x:c>
      <x:c r="E988" s="12" t="n">
        <x:v>0</x:v>
      </x:c>
      <x:c r="F988" s="12" t="str">
        <x:v>未记录</x:v>
      </x:c>
      <x:c r="G988" s="12" t="n">
        <x:v>1</x:v>
      </x:c>
      <x:c r="H988" s="12" t="str">
        <x:v>{'NST_': 100.0, 'AFIB': 0.0}</x:v>
      </x:c>
      <x:c r="I988" s="12" t="str">
        <x:v>[('AFIB', 100.0), ('NT', 100.0), ('LNGQT', 100.0), ('AB', 100.0)]</x:v>
      </x:c>
      <x:c r="J988" s="12" t="str">
        <x:v>ptbxl_database.csv；ecg_id=8625；scp_codes</x:v>
      </x:c>
      <x:c r="K988" s="12" t="str">
        <x:v>12sl_statements.csv；ecg_id=8625；statements_ext_snomed</x:v>
      </x:c>
      <x:c r="L988" s="12" t="n">
        <x:v>0</x:v>
      </x:c>
      <x:c r="M988" s="12" t="str">
        <x:v>positive</x:v>
      </x:c>
      <x:c r="N988" s="12" t="n">
        <x:v>100</x:v>
      </x:c>
      <x:c r="O988" s="12" t="str">
        <x:v>positive</x:v>
      </x:c>
      <x:c r="P988" s="12" t="str">
        <x:f>IF(OR(M988="unavailable",O988="unavailable"),"不可评价",IF(OR(M988="equivocal",O988="equivocal"),"疑似",IF(AND(M988="positive",O988="positive"),"a",IF(O988="positive","b",IF(M988="positive","c","d")))))</x:f>
        <x:v>a</x:v>
      </x:c>
      <x:c r="Q988" s="12"/>
      <x:c r="R988" s="12" t="str">
        <x:v>negative</x:v>
      </x:c>
      <x:c r="S988" s="12"/>
      <x:c r="T988" s="12" t="str">
        <x:v>negative</x:v>
      </x:c>
      <x:c r="U988" s="12" t="str">
        <x:f>IF(OR(R988="unavailable",T988="unavailable"),"不可评价",IF(OR(R988="equivocal",T988="equivocal"),"疑似",IF(AND(R988="positive",T988="positive"),"a",IF(T988="positive","b",IF(R988="positive","c","d")))))</x:f>
        <x:v>d</x:v>
      </x:c>
      <x:c r="V988" s="12"/>
      <x:c r="W988" s="12" t="str">
        <x:v>negative</x:v>
      </x:c>
      <x:c r="X988" s="12"/>
      <x:c r="Y988" s="12" t="str">
        <x:v>negative</x:v>
      </x:c>
      <x:c r="Z988" s="12" t="str">
        <x:f>IF(OR(W988="unavailable",Y988="unavailable"),"不可评价",IF(OR(W988="equivocal",Y988="equivocal"),"疑似",IF(AND(W988="positive",Y988="positive"),"a",IF(Y988="positive","b",IF(W988="positive","c","d")))))</x:f>
        <x:v>d</x:v>
      </x:c>
      <x:c r="AA988" s="12" t="str">
        <x:f>IF(OR(M988="unavailable",O988="unavailable"),"不可评价",IF(AND(OR(M988="positive",M988="equivocal"),OR(O988="positive",O988="equivocal")),"a",IF(OR(O988="positive",O988="equivocal"),"b",IF(OR(M988="positive",M988="equivocal"),"c","d"))))</x:f>
        <x:v>a</x:v>
      </x:c>
      <x:c r="AB988" s="12" t="str">
        <x:f>IF(OR(M988="unavailable",O988="unavailable"),"不可评价",IF(AND(M988="positive",O988="positive"),"a",IF(O988="positive","b",IF(M988="positive","c","d"))))</x:f>
        <x:v>a</x:v>
      </x:c>
      <x:c r="AC988" s="12" t="str">
        <x:f>IF(OR(R988="unavailable",T988="unavailable"),"不可评价",IF(AND(OR(R988="positive",R988="equivocal"),OR(T988="positive",T988="equivocal")),"a",IF(OR(T988="positive",T988="equivocal"),"b",IF(OR(R988="positive",R988="equivocal"),"c","d"))))</x:f>
        <x:v>d</x:v>
      </x:c>
      <x:c r="AD988" s="12" t="str">
        <x:f>IF(OR(R988="unavailable",T988="unavailable"),"不可评价",IF(AND(R988="positive",T988="positive"),"a",IF(T988="positive","b",IF(R988="positive","c","d"))))</x:f>
        <x:v>d</x:v>
      </x:c>
      <x:c r="AE988" s="12" t="str">
        <x:f>IF(OR(W988="unavailable",Y988="unavailable"),"不可评价",IF(AND(OR(W988="positive",W988="equivocal"),OR(Y988="positive",Y988="equivocal")),"a",IF(OR(Y988="positive",Y988="equivocal"),"b",IF(OR(W988="positive",W988="equivocal"),"c","d"))))</x:f>
        <x:v>d</x:v>
      </x:c>
      <x:c r="AF988" s="12" t="str">
        <x:f>IF(OR(W988="unavailable",Y988="unavailable"),"不可评价",IF(AND(W988="positive",Y988="positive"),"a",IF(Y988="positive","b",IF(W988="positive","c","d"))))</x:f>
        <x:v>d</x:v>
      </x:c>
    </x:row>
    <x:row r="989" ht="24" customHeight="1">
      <x:c r="A989" s="12" t="str">
        <x:v>8632</x:v>
      </x:c>
      <x:c r="B989" s="12" t="str">
        <x:v>11159</x:v>
      </x:c>
      <x:c r="C989" s="21" t="n">
        <x:v>33813.65122685185</x:v>
      </x:c>
      <x:c r="D989" s="12" t="n">
        <x:v>45</x:v>
      </x:c>
      <x:c r="E989" s="12" t="n">
        <x:v>1</x:v>
      </x:c>
      <x:c r="F989" s="12" t="str">
        <x:v>未记录</x:v>
      </x:c>
      <x:c r="G989" s="12" t="n">
        <x:v>1</x:v>
      </x:c>
      <x:c r="H989" s="12" t="str">
        <x:v>{'LAFB': 100.0, 'SR': 0.0}</x:v>
      </x:c>
      <x:c r="I989" s="12" t="str">
        <x:v>[('SBRAD', 100.0), ('SAR', 100.0), ('LAD3', 100.0), ('AB', 100.0)]</x:v>
      </x:c>
      <x:c r="J989" s="12" t="str">
        <x:v>ptbxl_database.csv；ecg_id=8632；scp_codes</x:v>
      </x:c>
      <x:c r="K989" s="12" t="str">
        <x:v>12sl_statements.csv；ecg_id=8632；statements_ext_snomed</x:v>
      </x:c>
      <x:c r="L989" s="12"/>
      <x:c r="M989" s="12" t="str">
        <x:v>negative</x:v>
      </x:c>
      <x:c r="N989" s="12"/>
      <x:c r="O989" s="12" t="str">
        <x:v>negative</x:v>
      </x:c>
      <x:c r="P989" s="12" t="str">
        <x:f>IF(OR(M989="unavailable",O989="unavailable"),"不可评价",IF(OR(M989="equivocal",O989="equivocal"),"疑似",IF(AND(M989="positive",O989="positive"),"a",IF(O989="positive","b",IF(M989="positive","c","d")))))</x:f>
        <x:v>d</x:v>
      </x:c>
      <x:c r="Q989" s="12"/>
      <x:c r="R989" s="12" t="str">
        <x:v>negative</x:v>
      </x:c>
      <x:c r="S989" s="12"/>
      <x:c r="T989" s="12" t="str">
        <x:v>negative</x:v>
      </x:c>
      <x:c r="U989" s="12" t="str">
        <x:f>IF(OR(R989="unavailable",T989="unavailable"),"不可评价",IF(OR(R989="equivocal",T989="equivocal"),"疑似",IF(AND(R989="positive",T989="positive"),"a",IF(T989="positive","b",IF(R989="positive","c","d")))))</x:f>
        <x:v>d</x:v>
      </x:c>
      <x:c r="V989" s="12"/>
      <x:c r="W989" s="12" t="str">
        <x:v>negative</x:v>
      </x:c>
      <x:c r="X989" s="12"/>
      <x:c r="Y989" s="12" t="str">
        <x:v>negative</x:v>
      </x:c>
      <x:c r="Z989" s="12" t="str">
        <x:f>IF(OR(W989="unavailable",Y989="unavailable"),"不可评价",IF(OR(W989="equivocal",Y989="equivocal"),"疑似",IF(AND(W989="positive",Y989="positive"),"a",IF(Y989="positive","b",IF(W989="positive","c","d")))))</x:f>
        <x:v>d</x:v>
      </x:c>
      <x:c r="AA989" s="12" t="str">
        <x:f>IF(OR(M989="unavailable",O989="unavailable"),"不可评价",IF(AND(OR(M989="positive",M989="equivocal"),OR(O989="positive",O989="equivocal")),"a",IF(OR(O989="positive",O989="equivocal"),"b",IF(OR(M989="positive",M989="equivocal"),"c","d"))))</x:f>
        <x:v>d</x:v>
      </x:c>
      <x:c r="AB989" s="12" t="str">
        <x:f>IF(OR(M989="unavailable",O989="unavailable"),"不可评价",IF(AND(M989="positive",O989="positive"),"a",IF(O989="positive","b",IF(M989="positive","c","d"))))</x:f>
        <x:v>d</x:v>
      </x:c>
      <x:c r="AC989" s="12" t="str">
        <x:f>IF(OR(R989="unavailable",T989="unavailable"),"不可评价",IF(AND(OR(R989="positive",R989="equivocal"),OR(T989="positive",T989="equivocal")),"a",IF(OR(T989="positive",T989="equivocal"),"b",IF(OR(R989="positive",R989="equivocal"),"c","d"))))</x:f>
        <x:v>d</x:v>
      </x:c>
      <x:c r="AD989" s="12" t="str">
        <x:f>IF(OR(R989="unavailable",T989="unavailable"),"不可评价",IF(AND(R989="positive",T989="positive"),"a",IF(T989="positive","b",IF(R989="positive","c","d"))))</x:f>
        <x:v>d</x:v>
      </x:c>
      <x:c r="AE989" s="12" t="str">
        <x:f>IF(OR(W989="unavailable",Y989="unavailable"),"不可评价",IF(AND(OR(W989="positive",W989="equivocal"),OR(Y989="positive",Y989="equivocal")),"a",IF(OR(Y989="positive",Y989="equivocal"),"b",IF(OR(W989="positive",W989="equivocal"),"c","d"))))</x:f>
        <x:v>d</x:v>
      </x:c>
      <x:c r="AF989" s="12" t="str">
        <x:f>IF(OR(W989="unavailable",Y989="unavailable"),"不可评价",IF(AND(W989="positive",Y989="positive"),"a",IF(Y989="positive","b",IF(W989="positive","c","d"))))</x:f>
        <x:v>d</x:v>
      </x:c>
    </x:row>
    <x:row r="990" ht="24" customHeight="1">
      <x:c r="A990" s="12" t="str">
        <x:v>8645</x:v>
      </x:c>
      <x:c r="B990" s="12" t="str">
        <x:v>10875</x:v>
      </x:c>
      <x:c r="C990" s="21" t="n">
        <x:v>33815.53450231482</x:v>
      </x:c>
      <x:c r="D990" s="12" t="n">
        <x:v>58</x:v>
      </x:c>
      <x:c r="E990" s="12" t="n">
        <x:v>0</x:v>
      </x:c>
      <x:c r="F990" s="12" t="str">
        <x:v>存在</x:v>
      </x:c>
      <x:c r="G990" s="12" t="n">
        <x:v>1</x:v>
      </x:c>
      <x:c r="H990" s="12" t="str">
        <x:v>{'NORM': 100.0, 'SR': 0.0}</x:v>
      </x:c>
      <x:c r="I990" s="12" t="str">
        <x:v>[('NSR', 100.0), ('NML', 100.0)]</x:v>
      </x:c>
      <x:c r="J990" s="12" t="str">
        <x:v>ptbxl_database.csv；ecg_id=8645；scp_codes</x:v>
      </x:c>
      <x:c r="K990" s="12" t="str">
        <x:v>12sl_statements.csv；ecg_id=8645；statements_ext_snomed</x:v>
      </x:c>
      <x:c r="L990" s="12"/>
      <x:c r="M990" s="12" t="str">
        <x:v>negative</x:v>
      </x:c>
      <x:c r="N990" s="12"/>
      <x:c r="O990" s="12" t="str">
        <x:v>negative</x:v>
      </x:c>
      <x:c r="P990" s="12" t="str">
        <x:f>IF(OR(M990="unavailable",O990="unavailable"),"不可评价",IF(OR(M990="equivocal",O990="equivocal"),"疑似",IF(AND(M990="positive",O990="positive"),"a",IF(O990="positive","b",IF(M990="positive","c","d")))))</x:f>
        <x:v>d</x:v>
      </x:c>
      <x:c r="Q990" s="12"/>
      <x:c r="R990" s="12" t="str">
        <x:v>negative</x:v>
      </x:c>
      <x:c r="S990" s="12"/>
      <x:c r="T990" s="12" t="str">
        <x:v>negative</x:v>
      </x:c>
      <x:c r="U990" s="12" t="str">
        <x:f>IF(OR(R990="unavailable",T990="unavailable"),"不可评价",IF(OR(R990="equivocal",T990="equivocal"),"疑似",IF(AND(R990="positive",T990="positive"),"a",IF(T990="positive","b",IF(R990="positive","c","d")))))</x:f>
        <x:v>d</x:v>
      </x:c>
      <x:c r="V990" s="12"/>
      <x:c r="W990" s="12" t="str">
        <x:v>negative</x:v>
      </x:c>
      <x:c r="X990" s="12"/>
      <x:c r="Y990" s="12" t="str">
        <x:v>negative</x:v>
      </x:c>
      <x:c r="Z990" s="12" t="str">
        <x:f>IF(OR(W990="unavailable",Y990="unavailable"),"不可评价",IF(OR(W990="equivocal",Y990="equivocal"),"疑似",IF(AND(W990="positive",Y990="positive"),"a",IF(Y990="positive","b",IF(W990="positive","c","d")))))</x:f>
        <x:v>d</x:v>
      </x:c>
      <x:c r="AA990" s="12" t="str">
        <x:f>IF(OR(M990="unavailable",O990="unavailable"),"不可评价",IF(AND(OR(M990="positive",M990="equivocal"),OR(O990="positive",O990="equivocal")),"a",IF(OR(O990="positive",O990="equivocal"),"b",IF(OR(M990="positive",M990="equivocal"),"c","d"))))</x:f>
        <x:v>d</x:v>
      </x:c>
      <x:c r="AB990" s="12" t="str">
        <x:f>IF(OR(M990="unavailable",O990="unavailable"),"不可评价",IF(AND(M990="positive",O990="positive"),"a",IF(O990="positive","b",IF(M990="positive","c","d"))))</x:f>
        <x:v>d</x:v>
      </x:c>
      <x:c r="AC990" s="12" t="str">
        <x:f>IF(OR(R990="unavailable",T990="unavailable"),"不可评价",IF(AND(OR(R990="positive",R990="equivocal"),OR(T990="positive",T990="equivocal")),"a",IF(OR(T990="positive",T990="equivocal"),"b",IF(OR(R990="positive",R990="equivocal"),"c","d"))))</x:f>
        <x:v>d</x:v>
      </x:c>
      <x:c r="AD990" s="12" t="str">
        <x:f>IF(OR(R990="unavailable",T990="unavailable"),"不可评价",IF(AND(R990="positive",T990="positive"),"a",IF(T990="positive","b",IF(R990="positive","c","d"))))</x:f>
        <x:v>d</x:v>
      </x:c>
      <x:c r="AE990" s="12" t="str">
        <x:f>IF(OR(W990="unavailable",Y990="unavailable"),"不可评价",IF(AND(OR(W990="positive",W990="equivocal"),OR(Y990="positive",Y990="equivocal")),"a",IF(OR(Y990="positive",Y990="equivocal"),"b",IF(OR(W990="positive",W990="equivocal"),"c","d"))))</x:f>
        <x:v>d</x:v>
      </x:c>
      <x:c r="AF990" s="12" t="str">
        <x:f>IF(OR(W990="unavailable",Y990="unavailable"),"不可评价",IF(AND(W990="positive",Y990="positive"),"a",IF(Y990="positive","b",IF(W990="positive","c","d"))))</x:f>
        <x:v>d</x:v>
      </x:c>
    </x:row>
    <x:row r="991" ht="24" customHeight="1">
      <x:c r="A991" s="12" t="str">
        <x:v>8663</x:v>
      </x:c>
      <x:c r="B991" s="12" t="str">
        <x:v>801</x:v>
      </x:c>
      <x:c r="C991" s="21" t="n">
        <x:v>33817.269328703704</x:v>
      </x:c>
      <x:c r="D991" s="12" t="n">
        <x:v>40</x:v>
      </x:c>
      <x:c r="E991" s="12" t="n">
        <x:v>0</x:v>
      </x:c>
      <x:c r="F991" s="12" t="str">
        <x:v>未记录</x:v>
      </x:c>
      <x:c r="G991" s="12" t="n">
        <x:v>1</x:v>
      </x:c>
      <x:c r="H991" s="12" t="str">
        <x:v>{'NORM': 100.0, 'SR': 0.0}</x:v>
      </x:c>
      <x:c r="I991" s="12" t="str">
        <x:v>[('NSR', 100.0), ('SERYR2', 100.0), ('BORDE', 100.0)]</x:v>
      </x:c>
      <x:c r="J991" s="12" t="str">
        <x:v>ptbxl_database.csv；ecg_id=8663；scp_codes</x:v>
      </x:c>
      <x:c r="K991" s="12" t="str">
        <x:v>12sl_statements.csv；ecg_id=8663；statements_ext_snomed</x:v>
      </x:c>
      <x:c r="L991" s="12"/>
      <x:c r="M991" s="12" t="str">
        <x:v>negative</x:v>
      </x:c>
      <x:c r="N991" s="12"/>
      <x:c r="O991" s="12" t="str">
        <x:v>negative</x:v>
      </x:c>
      <x:c r="P991" s="12" t="str">
        <x:f>IF(OR(M991="unavailable",O991="unavailable"),"不可评价",IF(OR(M991="equivocal",O991="equivocal"),"疑似",IF(AND(M991="positive",O991="positive"),"a",IF(O991="positive","b",IF(M991="positive","c","d")))))</x:f>
        <x:v>d</x:v>
      </x:c>
      <x:c r="Q991" s="12"/>
      <x:c r="R991" s="12" t="str">
        <x:v>negative</x:v>
      </x:c>
      <x:c r="S991" s="12"/>
      <x:c r="T991" s="12" t="str">
        <x:v>negative</x:v>
      </x:c>
      <x:c r="U991" s="12" t="str">
        <x:f>IF(OR(R991="unavailable",T991="unavailable"),"不可评价",IF(OR(R991="equivocal",T991="equivocal"),"疑似",IF(AND(R991="positive",T991="positive"),"a",IF(T991="positive","b",IF(R991="positive","c","d")))))</x:f>
        <x:v>d</x:v>
      </x:c>
      <x:c r="V991" s="12"/>
      <x:c r="W991" s="12" t="str">
        <x:v>negative</x:v>
      </x:c>
      <x:c r="X991" s="12"/>
      <x:c r="Y991" s="12" t="str">
        <x:v>negative</x:v>
      </x:c>
      <x:c r="Z991" s="12" t="str">
        <x:f>IF(OR(W991="unavailable",Y991="unavailable"),"不可评价",IF(OR(W991="equivocal",Y991="equivocal"),"疑似",IF(AND(W991="positive",Y991="positive"),"a",IF(Y991="positive","b",IF(W991="positive","c","d")))))</x:f>
        <x:v>d</x:v>
      </x:c>
      <x:c r="AA991" s="12" t="str">
        <x:f>IF(OR(M991="unavailable",O991="unavailable"),"不可评价",IF(AND(OR(M991="positive",M991="equivocal"),OR(O991="positive",O991="equivocal")),"a",IF(OR(O991="positive",O991="equivocal"),"b",IF(OR(M991="positive",M991="equivocal"),"c","d"))))</x:f>
        <x:v>d</x:v>
      </x:c>
      <x:c r="AB991" s="12" t="str">
        <x:f>IF(OR(M991="unavailable",O991="unavailable"),"不可评价",IF(AND(M991="positive",O991="positive"),"a",IF(O991="positive","b",IF(M991="positive","c","d"))))</x:f>
        <x:v>d</x:v>
      </x:c>
      <x:c r="AC991" s="12" t="str">
        <x:f>IF(OR(R991="unavailable",T991="unavailable"),"不可评价",IF(AND(OR(R991="positive",R991="equivocal"),OR(T991="positive",T991="equivocal")),"a",IF(OR(T991="positive",T991="equivocal"),"b",IF(OR(R991="positive",R991="equivocal"),"c","d"))))</x:f>
        <x:v>d</x:v>
      </x:c>
      <x:c r="AD991" s="12" t="str">
        <x:f>IF(OR(R991="unavailable",T991="unavailable"),"不可评价",IF(AND(R991="positive",T991="positive"),"a",IF(T991="positive","b",IF(R991="positive","c","d"))))</x:f>
        <x:v>d</x:v>
      </x:c>
      <x:c r="AE991" s="12" t="str">
        <x:f>IF(OR(W991="unavailable",Y991="unavailable"),"不可评价",IF(AND(OR(W991="positive",W991="equivocal"),OR(Y991="positive",Y991="equivocal")),"a",IF(OR(Y991="positive",Y991="equivocal"),"b",IF(OR(W991="positive",W991="equivocal"),"c","d"))))</x:f>
        <x:v>d</x:v>
      </x:c>
      <x:c r="AF991" s="12" t="str">
        <x:f>IF(OR(W991="unavailable",Y991="unavailable"),"不可评价",IF(AND(W991="positive",Y991="positive"),"a",IF(Y991="positive","b",IF(W991="positive","c","d"))))</x:f>
        <x:v>d</x:v>
      </x:c>
    </x:row>
    <x:row r="992" ht="24" customHeight="1">
      <x:c r="A992" s="12" t="str">
        <x:v>8680</x:v>
      </x:c>
      <x:c r="B992" s="12" t="str">
        <x:v>7343</x:v>
      </x:c>
      <x:c r="C992" s="21" t="n">
        <x:v>33819.48982638889</x:v>
      </x:c>
      <x:c r="D992" s="12" t="n">
        <x:v>77</x:v>
      </x:c>
      <x:c r="E992" s="12" t="n">
        <x:v>0</x:v>
      </x:c>
      <x:c r="F992" s="12" t="str">
        <x:v>存在</x:v>
      </x:c>
      <x:c r="G992" s="12" t="n">
        <x:v>1</x:v>
      </x:c>
      <x:c r="H992" s="12" t="str">
        <x:v>{'ASMI': 100.0, 'CRBBB': 100.0, 'QWAVE': 0.0, 'AFIB': 0.0}</x:v>
      </x:c>
      <x:c r="I992" s="12" t="str">
        <x:v>[('AFIB', 100.0), ('RBBB', 100.0), ('SMI;AU', 100.0), ('AB', 100.0)]</x:v>
      </x:c>
      <x:c r="J992" s="12" t="str">
        <x:v>ptbxl_database.csv；ecg_id=8680；scp_codes</x:v>
      </x:c>
      <x:c r="K992" s="12" t="str">
        <x:v>12sl_statements.csv；ecg_id=8680；statements_ext_snomed</x:v>
      </x:c>
      <x:c r="L992" s="12" t="n">
        <x:v>0</x:v>
      </x:c>
      <x:c r="M992" s="12" t="str">
        <x:v>positive</x:v>
      </x:c>
      <x:c r="N992" s="12" t="n">
        <x:v>100</x:v>
      </x:c>
      <x:c r="O992" s="12" t="str">
        <x:v>positive</x:v>
      </x:c>
      <x:c r="P992" s="12" t="str">
        <x:f>IF(OR(M992="unavailable",O992="unavailable"),"不可评价",IF(OR(M992="equivocal",O992="equivocal"),"疑似",IF(AND(M992="positive",O992="positive"),"a",IF(O992="positive","b",IF(M992="positive","c","d")))))</x:f>
        <x:v>a</x:v>
      </x:c>
      <x:c r="Q992" s="12"/>
      <x:c r="R992" s="12" t="str">
        <x:v>negative</x:v>
      </x:c>
      <x:c r="S992" s="12"/>
      <x:c r="T992" s="12" t="str">
        <x:v>negative</x:v>
      </x:c>
      <x:c r="U992" s="12" t="str">
        <x:f>IF(OR(R992="unavailable",T992="unavailable"),"不可评价",IF(OR(R992="equivocal",T992="equivocal"),"疑似",IF(AND(R992="positive",T992="positive"),"a",IF(T992="positive","b",IF(R992="positive","c","d")))))</x:f>
        <x:v>d</x:v>
      </x:c>
      <x:c r="V992" s="12" t="n">
        <x:v>100</x:v>
      </x:c>
      <x:c r="W992" s="12" t="str">
        <x:v>positive</x:v>
      </x:c>
      <x:c r="X992" s="12" t="n">
        <x:v>100</x:v>
      </x:c>
      <x:c r="Y992" s="12" t="str">
        <x:v>positive</x:v>
      </x:c>
      <x:c r="Z992" s="12" t="str">
        <x:f>IF(OR(W992="unavailable",Y992="unavailable"),"不可评价",IF(OR(W992="equivocal",Y992="equivocal"),"疑似",IF(AND(W992="positive",Y992="positive"),"a",IF(Y992="positive","b",IF(W992="positive","c","d")))))</x:f>
        <x:v>a</x:v>
      </x:c>
      <x:c r="AA992" s="12" t="str">
        <x:f>IF(OR(M992="unavailable",O992="unavailable"),"不可评价",IF(AND(OR(M992="positive",M992="equivocal"),OR(O992="positive",O992="equivocal")),"a",IF(OR(O992="positive",O992="equivocal"),"b",IF(OR(M992="positive",M992="equivocal"),"c","d"))))</x:f>
        <x:v>a</x:v>
      </x:c>
      <x:c r="AB992" s="12" t="str">
        <x:f>IF(OR(M992="unavailable",O992="unavailable"),"不可评价",IF(AND(M992="positive",O992="positive"),"a",IF(O992="positive","b",IF(M992="positive","c","d"))))</x:f>
        <x:v>a</x:v>
      </x:c>
      <x:c r="AC992" s="12" t="str">
        <x:f>IF(OR(R992="unavailable",T992="unavailable"),"不可评价",IF(AND(OR(R992="positive",R992="equivocal"),OR(T992="positive",T992="equivocal")),"a",IF(OR(T992="positive",T992="equivocal"),"b",IF(OR(R992="positive",R992="equivocal"),"c","d"))))</x:f>
        <x:v>d</x:v>
      </x:c>
      <x:c r="AD992" s="12" t="str">
        <x:f>IF(OR(R992="unavailable",T992="unavailable"),"不可评价",IF(AND(R992="positive",T992="positive"),"a",IF(T992="positive","b",IF(R992="positive","c","d"))))</x:f>
        <x:v>d</x:v>
      </x:c>
      <x:c r="AE992" s="12" t="str">
        <x:f>IF(OR(W992="unavailable",Y992="unavailable"),"不可评价",IF(AND(OR(W992="positive",W992="equivocal"),OR(Y992="positive",Y992="equivocal")),"a",IF(OR(Y992="positive",Y992="equivocal"),"b",IF(OR(W992="positive",W992="equivocal"),"c","d"))))</x:f>
        <x:v>a</x:v>
      </x:c>
      <x:c r="AF992" s="12" t="str">
        <x:f>IF(OR(W992="unavailable",Y992="unavailable"),"不可评价",IF(AND(W992="positive",Y992="positive"),"a",IF(Y992="positive","b",IF(W992="positive","c","d"))))</x:f>
        <x:v>a</x:v>
      </x:c>
    </x:row>
    <x:row r="993" ht="24" customHeight="1">
      <x:c r="A993" s="12" t="str">
        <x:v>8688</x:v>
      </x:c>
      <x:c r="B993" s="12" t="str">
        <x:v>2986</x:v>
      </x:c>
      <x:c r="C993" s="21" t="n">
        <x:v>33819.714270833334</x:v>
      </x:c>
      <x:c r="D993" s="12" t="n">
        <x:v>41</x:v>
      </x:c>
      <x:c r="E993" s="12" t="n">
        <x:v>1</x:v>
      </x:c>
      <x:c r="F993" s="12" t="str">
        <x:v>未记录</x:v>
      </x:c>
      <x:c r="G993" s="12" t="n">
        <x:v>1</x:v>
      </x:c>
      <x:c r="H993" s="12" t="str">
        <x:v>{'NORM': 100.0, 'SR': 0.0}</x:v>
      </x:c>
      <x:c r="I993" s="12" t="str">
        <x:v>[('NSR', 100.0), ('NML', 100.0)]</x:v>
      </x:c>
      <x:c r="J993" s="12" t="str">
        <x:v>ptbxl_database.csv；ecg_id=8688；scp_codes</x:v>
      </x:c>
      <x:c r="K993" s="12" t="str">
        <x:v>12sl_statements.csv；ecg_id=8688；statements_ext_snomed</x:v>
      </x:c>
      <x:c r="L993" s="12"/>
      <x:c r="M993" s="12" t="str">
        <x:v>negative</x:v>
      </x:c>
      <x:c r="N993" s="12"/>
      <x:c r="O993" s="12" t="str">
        <x:v>negative</x:v>
      </x:c>
      <x:c r="P993" s="12" t="str">
        <x:f>IF(OR(M993="unavailable",O993="unavailable"),"不可评价",IF(OR(M993="equivocal",O993="equivocal"),"疑似",IF(AND(M993="positive",O993="positive"),"a",IF(O993="positive","b",IF(M993="positive","c","d")))))</x:f>
        <x:v>d</x:v>
      </x:c>
      <x:c r="Q993" s="12"/>
      <x:c r="R993" s="12" t="str">
        <x:v>negative</x:v>
      </x:c>
      <x:c r="S993" s="12"/>
      <x:c r="T993" s="12" t="str">
        <x:v>negative</x:v>
      </x:c>
      <x:c r="U993" s="12" t="str">
        <x:f>IF(OR(R993="unavailable",T993="unavailable"),"不可评价",IF(OR(R993="equivocal",T993="equivocal"),"疑似",IF(AND(R993="positive",T993="positive"),"a",IF(T993="positive","b",IF(R993="positive","c","d")))))</x:f>
        <x:v>d</x:v>
      </x:c>
      <x:c r="V993" s="12"/>
      <x:c r="W993" s="12" t="str">
        <x:v>negative</x:v>
      </x:c>
      <x:c r="X993" s="12"/>
      <x:c r="Y993" s="12" t="str">
        <x:v>negative</x:v>
      </x:c>
      <x:c r="Z993" s="12" t="str">
        <x:f>IF(OR(W993="unavailable",Y993="unavailable"),"不可评价",IF(OR(W993="equivocal",Y993="equivocal"),"疑似",IF(AND(W993="positive",Y993="positive"),"a",IF(Y993="positive","b",IF(W993="positive","c","d")))))</x:f>
        <x:v>d</x:v>
      </x:c>
      <x:c r="AA993" s="12" t="str">
        <x:f>IF(OR(M993="unavailable",O993="unavailable"),"不可评价",IF(AND(OR(M993="positive",M993="equivocal"),OR(O993="positive",O993="equivocal")),"a",IF(OR(O993="positive",O993="equivocal"),"b",IF(OR(M993="positive",M993="equivocal"),"c","d"))))</x:f>
        <x:v>d</x:v>
      </x:c>
      <x:c r="AB993" s="12" t="str">
        <x:f>IF(OR(M993="unavailable",O993="unavailable"),"不可评价",IF(AND(M993="positive",O993="positive"),"a",IF(O993="positive","b",IF(M993="positive","c","d"))))</x:f>
        <x:v>d</x:v>
      </x:c>
      <x:c r="AC993" s="12" t="str">
        <x:f>IF(OR(R993="unavailable",T993="unavailable"),"不可评价",IF(AND(OR(R993="positive",R993="equivocal"),OR(T993="positive",T993="equivocal")),"a",IF(OR(T993="positive",T993="equivocal"),"b",IF(OR(R993="positive",R993="equivocal"),"c","d"))))</x:f>
        <x:v>d</x:v>
      </x:c>
      <x:c r="AD993" s="12" t="str">
        <x:f>IF(OR(R993="unavailable",T993="unavailable"),"不可评价",IF(AND(R993="positive",T993="positive"),"a",IF(T993="positive","b",IF(R993="positive","c","d"))))</x:f>
        <x:v>d</x:v>
      </x:c>
      <x:c r="AE993" s="12" t="str">
        <x:f>IF(OR(W993="unavailable",Y993="unavailable"),"不可评价",IF(AND(OR(W993="positive",W993="equivocal"),OR(Y993="positive",Y993="equivocal")),"a",IF(OR(Y993="positive",Y993="equivocal"),"b",IF(OR(W993="positive",W993="equivocal"),"c","d"))))</x:f>
        <x:v>d</x:v>
      </x:c>
      <x:c r="AF993" s="12" t="str">
        <x:f>IF(OR(W993="unavailable",Y993="unavailable"),"不可评价",IF(AND(W993="positive",Y993="positive"),"a",IF(Y993="positive","b",IF(W993="positive","c","d"))))</x:f>
        <x:v>d</x:v>
      </x:c>
    </x:row>
    <x:row r="994" ht="39" customHeight="1">
      <x:c r="A994" s="12" t="str">
        <x:v>8704</x:v>
      </x:c>
      <x:c r="B994" s="12" t="str">
        <x:v>3724</x:v>
      </x:c>
      <x:c r="C994" s="21" t="n">
        <x:v>33820.76116898148</x:v>
      </x:c>
      <x:c r="D994" s="12" t="n">
        <x:v>76</x:v>
      </x:c>
      <x:c r="E994" s="12" t="n">
        <x:v>0</x:v>
      </x:c>
      <x:c r="F994" s="12" t="str">
        <x:v>未记录</x:v>
      </x:c>
      <x:c r="G994" s="12" t="n">
        <x:v>1</x:v>
      </x:c>
      <x:c r="H994" s="12" t="str">
        <x:v>{'NST_': 100.0, 'LVH': 50.0, 'LPR': 0.0, 'VCLVH': 0.0, 'LOWT': 0.0, 'SR': 0.0}</x:v>
      </x:c>
      <x:c r="I994" s="12" t="str">
        <x:v>[('SBRAD', 100.0), ('FAV', 100.0), ('NSTT', 100.0), ('AB', 100.0)]</x:v>
      </x:c>
      <x:c r="J994" s="12" t="str">
        <x:v>ptbxl_database.csv；ecg_id=8704；scp_codes</x:v>
      </x:c>
      <x:c r="K994" s="12" t="str">
        <x:v>12sl_statements.csv；ecg_id=8704；statements_ext_snomed</x:v>
      </x:c>
      <x:c r="L994" s="12"/>
      <x:c r="M994" s="12" t="str">
        <x:v>negative</x:v>
      </x:c>
      <x:c r="N994" s="12"/>
      <x:c r="O994" s="12" t="str">
        <x:v>negative</x:v>
      </x:c>
      <x:c r="P994" s="12" t="str">
        <x:f>IF(OR(M994="unavailable",O994="unavailable"),"不可评价",IF(OR(M994="equivocal",O994="equivocal"),"疑似",IF(AND(M994="positive",O994="positive"),"a",IF(O994="positive","b",IF(M994="positive","c","d")))))</x:f>
        <x:v>d</x:v>
      </x:c>
      <x:c r="Q994" s="12"/>
      <x:c r="R994" s="12" t="str">
        <x:v>negative</x:v>
      </x:c>
      <x:c r="S994" s="12"/>
      <x:c r="T994" s="12" t="str">
        <x:v>negative</x:v>
      </x:c>
      <x:c r="U994" s="12" t="str">
        <x:f>IF(OR(R994="unavailable",T994="unavailable"),"不可评价",IF(OR(R994="equivocal",T994="equivocal"),"疑似",IF(AND(R994="positive",T994="positive"),"a",IF(T994="positive","b",IF(R994="positive","c","d")))))</x:f>
        <x:v>d</x:v>
      </x:c>
      <x:c r="V994" s="12"/>
      <x:c r="W994" s="12" t="str">
        <x:v>negative</x:v>
      </x:c>
      <x:c r="X994" s="12"/>
      <x:c r="Y994" s="12" t="str">
        <x:v>negative</x:v>
      </x:c>
      <x:c r="Z994" s="12" t="str">
        <x:f>IF(OR(W994="unavailable",Y994="unavailable"),"不可评价",IF(OR(W994="equivocal",Y994="equivocal"),"疑似",IF(AND(W994="positive",Y994="positive"),"a",IF(Y994="positive","b",IF(W994="positive","c","d")))))</x:f>
        <x:v>d</x:v>
      </x:c>
      <x:c r="AA994" s="12" t="str">
        <x:f>IF(OR(M994="unavailable",O994="unavailable"),"不可评价",IF(AND(OR(M994="positive",M994="equivocal"),OR(O994="positive",O994="equivocal")),"a",IF(OR(O994="positive",O994="equivocal"),"b",IF(OR(M994="positive",M994="equivocal"),"c","d"))))</x:f>
        <x:v>d</x:v>
      </x:c>
      <x:c r="AB994" s="12" t="str">
        <x:f>IF(OR(M994="unavailable",O994="unavailable"),"不可评价",IF(AND(M994="positive",O994="positive"),"a",IF(O994="positive","b",IF(M994="positive","c","d"))))</x:f>
        <x:v>d</x:v>
      </x:c>
      <x:c r="AC994" s="12" t="str">
        <x:f>IF(OR(R994="unavailable",T994="unavailable"),"不可评价",IF(AND(OR(R994="positive",R994="equivocal"),OR(T994="positive",T994="equivocal")),"a",IF(OR(T994="positive",T994="equivocal"),"b",IF(OR(R994="positive",R994="equivocal"),"c","d"))))</x:f>
        <x:v>d</x:v>
      </x:c>
      <x:c r="AD994" s="12" t="str">
        <x:f>IF(OR(R994="unavailable",T994="unavailable"),"不可评价",IF(AND(R994="positive",T994="positive"),"a",IF(T994="positive","b",IF(R994="positive","c","d"))))</x:f>
        <x:v>d</x:v>
      </x:c>
      <x:c r="AE994" s="12" t="str">
        <x:f>IF(OR(W994="unavailable",Y994="unavailable"),"不可评价",IF(AND(OR(W994="positive",W994="equivocal"),OR(Y994="positive",Y994="equivocal")),"a",IF(OR(Y994="positive",Y994="equivocal"),"b",IF(OR(W994="positive",W994="equivocal"),"c","d"))))</x:f>
        <x:v>d</x:v>
      </x:c>
      <x:c r="AF994" s="12" t="str">
        <x:f>IF(OR(W994="unavailable",Y994="unavailable"),"不可评价",IF(AND(W994="positive",Y994="positive"),"a",IF(Y994="positive","b",IF(W994="positive","c","d"))))</x:f>
        <x:v>d</x:v>
      </x:c>
    </x:row>
    <x:row r="995" ht="39" customHeight="1">
      <x:c r="A995" s="12" t="str">
        <x:v>8712</x:v>
      </x:c>
      <x:c r="B995" s="12" t="str">
        <x:v>4815</x:v>
      </x:c>
      <x:c r="C995" s="21" t="n">
        <x:v>33821.766875</x:v>
      </x:c>
      <x:c r="D995" s="12" t="n">
        <x:v>69</x:v>
      </x:c>
      <x:c r="E995" s="12" t="n">
        <x:v>1</x:v>
      </x:c>
      <x:c r="F995" s="12" t="str">
        <x:v>存在</x:v>
      </x:c>
      <x:c r="G995" s="12" t="n">
        <x:v>1</x:v>
      </x:c>
      <x:c r="H995" s="12" t="str">
        <x:v>{'CRBBB': 100.0, 'SR': 0.0}</x:v>
      </x:c>
      <x:c r="I995" s="12" t="str">
        <x:v>[('SRTH', 100.0), ('SPR', 100.0), ('IRBBB', 100.0), ('ST&amp;', 100.0), ('AT', 100.0), ('AB', 100.0)]</x:v>
      </x:c>
      <x:c r="J995" s="12" t="str">
        <x:v>ptbxl_database.csv；ecg_id=8712；scp_codes</x:v>
      </x:c>
      <x:c r="K995" s="12" t="str">
        <x:v>12sl_statements.csv；ecg_id=8712；statements_ext_snomed</x:v>
      </x:c>
      <x:c r="L995" s="12"/>
      <x:c r="M995" s="12" t="str">
        <x:v>negative</x:v>
      </x:c>
      <x:c r="N995" s="12"/>
      <x:c r="O995" s="12" t="str">
        <x:v>negative</x:v>
      </x:c>
      <x:c r="P995" s="12" t="str">
        <x:f>IF(OR(M995="unavailable",O995="unavailable"),"不可评价",IF(OR(M995="equivocal",O995="equivocal"),"疑似",IF(AND(M995="positive",O995="positive"),"a",IF(O995="positive","b",IF(M995="positive","c","d")))))</x:f>
        <x:v>d</x:v>
      </x:c>
      <x:c r="Q995" s="12"/>
      <x:c r="R995" s="12" t="str">
        <x:v>negative</x:v>
      </x:c>
      <x:c r="S995" s="12"/>
      <x:c r="T995" s="12" t="str">
        <x:v>negative</x:v>
      </x:c>
      <x:c r="U995" s="12" t="str">
        <x:f>IF(OR(R995="unavailable",T995="unavailable"),"不可评价",IF(OR(R995="equivocal",T995="equivocal"),"疑似",IF(AND(R995="positive",T995="positive"),"a",IF(T995="positive","b",IF(R995="positive","c","d")))))</x:f>
        <x:v>d</x:v>
      </x:c>
      <x:c r="V995" s="12" t="n">
        <x:v>100</x:v>
      </x:c>
      <x:c r="W995" s="12" t="str">
        <x:v>positive</x:v>
      </x:c>
      <x:c r="X995" s="12"/>
      <x:c r="Y995" s="12" t="str">
        <x:v>negative</x:v>
      </x:c>
      <x:c r="Z995" s="12" t="str">
        <x:f>IF(OR(W995="unavailable",Y995="unavailable"),"不可评价",IF(OR(W995="equivocal",Y995="equivocal"),"疑似",IF(AND(W995="positive",Y995="positive"),"a",IF(Y995="positive","b",IF(W995="positive","c","d")))))</x:f>
        <x:v>c</x:v>
      </x:c>
      <x:c r="AA995" s="12" t="str">
        <x:f>IF(OR(M995="unavailable",O995="unavailable"),"不可评价",IF(AND(OR(M995="positive",M995="equivocal"),OR(O995="positive",O995="equivocal")),"a",IF(OR(O995="positive",O995="equivocal"),"b",IF(OR(M995="positive",M995="equivocal"),"c","d"))))</x:f>
        <x:v>d</x:v>
      </x:c>
      <x:c r="AB995" s="12" t="str">
        <x:f>IF(OR(M995="unavailable",O995="unavailable"),"不可评价",IF(AND(M995="positive",O995="positive"),"a",IF(O995="positive","b",IF(M995="positive","c","d"))))</x:f>
        <x:v>d</x:v>
      </x:c>
      <x:c r="AC995" s="12" t="str">
        <x:f>IF(OR(R995="unavailable",T995="unavailable"),"不可评价",IF(AND(OR(R995="positive",R995="equivocal"),OR(T995="positive",T995="equivocal")),"a",IF(OR(T995="positive",T995="equivocal"),"b",IF(OR(R995="positive",R995="equivocal"),"c","d"))))</x:f>
        <x:v>d</x:v>
      </x:c>
      <x:c r="AD995" s="12" t="str">
        <x:f>IF(OR(R995="unavailable",T995="unavailable"),"不可评价",IF(AND(R995="positive",T995="positive"),"a",IF(T995="positive","b",IF(R995="positive","c","d"))))</x:f>
        <x:v>d</x:v>
      </x:c>
      <x:c r="AE995" s="12" t="str">
        <x:f>IF(OR(W995="unavailable",Y995="unavailable"),"不可评价",IF(AND(OR(W995="positive",W995="equivocal"),OR(Y995="positive",Y995="equivocal")),"a",IF(OR(Y995="positive",Y995="equivocal"),"b",IF(OR(W995="positive",W995="equivocal"),"c","d"))))</x:f>
        <x:v>c</x:v>
      </x:c>
      <x:c r="AF995" s="12" t="str">
        <x:f>IF(OR(W995="unavailable",Y995="unavailable"),"不可评价",IF(AND(W995="positive",Y995="positive"),"a",IF(Y995="positive","b",IF(W995="positive","c","d"))))</x:f>
        <x:v>c</x:v>
      </x:c>
    </x:row>
    <x:row r="996" ht="24" customHeight="1">
      <x:c r="A996" s="12" t="str">
        <x:v>8727</x:v>
      </x:c>
      <x:c r="B996" s="12" t="str">
        <x:v>7896</x:v>
      </x:c>
      <x:c r="C996" s="21" t="n">
        <x:v>33824.50616898148</x:v>
      </x:c>
      <x:c r="D996" s="12" t="n">
        <x:v>67</x:v>
      </x:c>
      <x:c r="E996" s="12" t="n">
        <x:v>1</x:v>
      </x:c>
      <x:c r="F996" s="12" t="str">
        <x:v>未记录</x:v>
      </x:c>
      <x:c r="G996" s="12" t="n">
        <x:v>1</x:v>
      </x:c>
      <x:c r="H996" s="12" t="str">
        <x:v>{'NORM': 100.0, 'SR': 0.0}</x:v>
      </x:c>
      <x:c r="I996" s="12" t="str">
        <x:v>[('NSR', 100.0), ('NML', 100.0)]</x:v>
      </x:c>
      <x:c r="J996" s="12" t="str">
        <x:v>ptbxl_database.csv；ecg_id=8727；scp_codes</x:v>
      </x:c>
      <x:c r="K996" s="12" t="str">
        <x:v>12sl_statements.csv；ecg_id=8727；statements_ext_snomed</x:v>
      </x:c>
      <x:c r="L996" s="12"/>
      <x:c r="M996" s="12" t="str">
        <x:v>negative</x:v>
      </x:c>
      <x:c r="N996" s="12"/>
      <x:c r="O996" s="12" t="str">
        <x:v>negative</x:v>
      </x:c>
      <x:c r="P996" s="12" t="str">
        <x:f>IF(OR(M996="unavailable",O996="unavailable"),"不可评价",IF(OR(M996="equivocal",O996="equivocal"),"疑似",IF(AND(M996="positive",O996="positive"),"a",IF(O996="positive","b",IF(M996="positive","c","d")))))</x:f>
        <x:v>d</x:v>
      </x:c>
      <x:c r="Q996" s="12"/>
      <x:c r="R996" s="12" t="str">
        <x:v>negative</x:v>
      </x:c>
      <x:c r="S996" s="12"/>
      <x:c r="T996" s="12" t="str">
        <x:v>negative</x:v>
      </x:c>
      <x:c r="U996" s="12" t="str">
        <x:f>IF(OR(R996="unavailable",T996="unavailable"),"不可评价",IF(OR(R996="equivocal",T996="equivocal"),"疑似",IF(AND(R996="positive",T996="positive"),"a",IF(T996="positive","b",IF(R996="positive","c","d")))))</x:f>
        <x:v>d</x:v>
      </x:c>
      <x:c r="V996" s="12"/>
      <x:c r="W996" s="12" t="str">
        <x:v>negative</x:v>
      </x:c>
      <x:c r="X996" s="12"/>
      <x:c r="Y996" s="12" t="str">
        <x:v>negative</x:v>
      </x:c>
      <x:c r="Z996" s="12" t="str">
        <x:f>IF(OR(W996="unavailable",Y996="unavailable"),"不可评价",IF(OR(W996="equivocal",Y996="equivocal"),"疑似",IF(AND(W996="positive",Y996="positive"),"a",IF(Y996="positive","b",IF(W996="positive","c","d")))))</x:f>
        <x:v>d</x:v>
      </x:c>
      <x:c r="AA996" s="12" t="str">
        <x:f>IF(OR(M996="unavailable",O996="unavailable"),"不可评价",IF(AND(OR(M996="positive",M996="equivocal"),OR(O996="positive",O996="equivocal")),"a",IF(OR(O996="positive",O996="equivocal"),"b",IF(OR(M996="positive",M996="equivocal"),"c","d"))))</x:f>
        <x:v>d</x:v>
      </x:c>
      <x:c r="AB996" s="12" t="str">
        <x:f>IF(OR(M996="unavailable",O996="unavailable"),"不可评价",IF(AND(M996="positive",O996="positive"),"a",IF(O996="positive","b",IF(M996="positive","c","d"))))</x:f>
        <x:v>d</x:v>
      </x:c>
      <x:c r="AC996" s="12" t="str">
        <x:f>IF(OR(R996="unavailable",T996="unavailable"),"不可评价",IF(AND(OR(R996="positive",R996="equivocal"),OR(T996="positive",T996="equivocal")),"a",IF(OR(T996="positive",T996="equivocal"),"b",IF(OR(R996="positive",R996="equivocal"),"c","d"))))</x:f>
        <x:v>d</x:v>
      </x:c>
      <x:c r="AD996" s="12" t="str">
        <x:f>IF(OR(R996="unavailable",T996="unavailable"),"不可评价",IF(AND(R996="positive",T996="positive"),"a",IF(T996="positive","b",IF(R996="positive","c","d"))))</x:f>
        <x:v>d</x:v>
      </x:c>
      <x:c r="AE996" s="12" t="str">
        <x:f>IF(OR(W996="unavailable",Y996="unavailable"),"不可评价",IF(AND(OR(W996="positive",W996="equivocal"),OR(Y996="positive",Y996="equivocal")),"a",IF(OR(Y996="positive",Y996="equivocal"),"b",IF(OR(W996="positive",W996="equivocal"),"c","d"))))</x:f>
        <x:v>d</x:v>
      </x:c>
      <x:c r="AF996" s="12" t="str">
        <x:f>IF(OR(W996="unavailable",Y996="unavailable"),"不可评价",IF(AND(W996="positive",Y996="positive"),"a",IF(Y996="positive","b",IF(W996="positive","c","d"))))</x:f>
        <x:v>d</x:v>
      </x:c>
    </x:row>
    <x:row r="997" ht="24" customHeight="1">
      <x:c r="A997" s="12" t="str">
        <x:v>8733</x:v>
      </x:c>
      <x:c r="B997" s="12" t="str">
        <x:v>15548</x:v>
      </x:c>
      <x:c r="C997" s="21" t="n">
        <x:v>33825.40479166667</x:v>
      </x:c>
      <x:c r="D997" s="12" t="n">
        <x:v>70</x:v>
      </x:c>
      <x:c r="E997" s="12" t="n">
        <x:v>1</x:v>
      </x:c>
      <x:c r="F997" s="12" t="str">
        <x:v>未记录</x:v>
      </x:c>
      <x:c r="G997" s="12" t="n">
        <x:v>1</x:v>
      </x:c>
      <x:c r="H997" s="12" t="str">
        <x:v>{'IMI': 50.0, 'NST_': 100.0, 'LNGQT': 100.0, 'ABQRS': 0.0, 'SR': 0.0}</x:v>
      </x:c>
      <x:c r="I997" s="12" t="str">
        <x:v>[('NSR', 100.0), ('NSTT', 100.0), ('LNGQT', 100.0), ('AB', 100.0)]</x:v>
      </x:c>
      <x:c r="J997" s="12" t="str">
        <x:v>ptbxl_database.csv；ecg_id=8733；scp_codes</x:v>
      </x:c>
      <x:c r="K997" s="12" t="str">
        <x:v>12sl_statements.csv；ecg_id=8733；statements_ext_snomed</x:v>
      </x:c>
      <x:c r="L997" s="12"/>
      <x:c r="M997" s="12" t="str">
        <x:v>negative</x:v>
      </x:c>
      <x:c r="N997" s="12"/>
      <x:c r="O997" s="12" t="str">
        <x:v>negative</x:v>
      </x:c>
      <x:c r="P997" s="12" t="str">
        <x:f>IF(OR(M997="unavailable",O997="unavailable"),"不可评价",IF(OR(M997="equivocal",O997="equivocal"),"疑似",IF(AND(M997="positive",O997="positive"),"a",IF(O997="positive","b",IF(M997="positive","c","d")))))</x:f>
        <x:v>d</x:v>
      </x:c>
      <x:c r="Q997" s="12"/>
      <x:c r="R997" s="12" t="str">
        <x:v>negative</x:v>
      </x:c>
      <x:c r="S997" s="12"/>
      <x:c r="T997" s="12" t="str">
        <x:v>negative</x:v>
      </x:c>
      <x:c r="U997" s="12" t="str">
        <x:f>IF(OR(R997="unavailable",T997="unavailable"),"不可评价",IF(OR(R997="equivocal",T997="equivocal"),"疑似",IF(AND(R997="positive",T997="positive"),"a",IF(T997="positive","b",IF(R997="positive","c","d")))))</x:f>
        <x:v>d</x:v>
      </x:c>
      <x:c r="V997" s="12"/>
      <x:c r="W997" s="12" t="str">
        <x:v>negative</x:v>
      </x:c>
      <x:c r="X997" s="12"/>
      <x:c r="Y997" s="12" t="str">
        <x:v>negative</x:v>
      </x:c>
      <x:c r="Z997" s="12" t="str">
        <x:f>IF(OR(W997="unavailable",Y997="unavailable"),"不可评价",IF(OR(W997="equivocal",Y997="equivocal"),"疑似",IF(AND(W997="positive",Y997="positive"),"a",IF(Y997="positive","b",IF(W997="positive","c","d")))))</x:f>
        <x:v>d</x:v>
      </x:c>
      <x:c r="AA997" s="12" t="str">
        <x:f>IF(OR(M997="unavailable",O997="unavailable"),"不可评价",IF(AND(OR(M997="positive",M997="equivocal"),OR(O997="positive",O997="equivocal")),"a",IF(OR(O997="positive",O997="equivocal"),"b",IF(OR(M997="positive",M997="equivocal"),"c","d"))))</x:f>
        <x:v>d</x:v>
      </x:c>
      <x:c r="AB997" s="12" t="str">
        <x:f>IF(OR(M997="unavailable",O997="unavailable"),"不可评价",IF(AND(M997="positive",O997="positive"),"a",IF(O997="positive","b",IF(M997="positive","c","d"))))</x:f>
        <x:v>d</x:v>
      </x:c>
      <x:c r="AC997" s="12" t="str">
        <x:f>IF(OR(R997="unavailable",T997="unavailable"),"不可评价",IF(AND(OR(R997="positive",R997="equivocal"),OR(T997="positive",T997="equivocal")),"a",IF(OR(T997="positive",T997="equivocal"),"b",IF(OR(R997="positive",R997="equivocal"),"c","d"))))</x:f>
        <x:v>d</x:v>
      </x:c>
      <x:c r="AD997" s="12" t="str">
        <x:f>IF(OR(R997="unavailable",T997="unavailable"),"不可评价",IF(AND(R997="positive",T997="positive"),"a",IF(T997="positive","b",IF(R997="positive","c","d"))))</x:f>
        <x:v>d</x:v>
      </x:c>
      <x:c r="AE997" s="12" t="str">
        <x:f>IF(OR(W997="unavailable",Y997="unavailable"),"不可评价",IF(AND(OR(W997="positive",W997="equivocal"),OR(Y997="positive",Y997="equivocal")),"a",IF(OR(Y997="positive",Y997="equivocal"),"b",IF(OR(W997="positive",W997="equivocal"),"c","d"))))</x:f>
        <x:v>d</x:v>
      </x:c>
      <x:c r="AF997" s="12" t="str">
        <x:f>IF(OR(W997="unavailable",Y997="unavailable"),"不可评价",IF(AND(W997="positive",Y997="positive"),"a",IF(Y997="positive","b",IF(W997="positive","c","d"))))</x:f>
        <x:v>d</x:v>
      </x:c>
    </x:row>
    <x:row r="998" ht="24" customHeight="1">
      <x:c r="A998" s="12" t="str">
        <x:v>8736</x:v>
      </x:c>
      <x:c r="B998" s="12" t="str">
        <x:v>9151</x:v>
      </x:c>
      <x:c r="C998" s="21" t="n">
        <x:v>33825.552037037036</x:v>
      </x:c>
      <x:c r="D998" s="12" t="n">
        <x:v>81</x:v>
      </x:c>
      <x:c r="E998" s="12" t="n">
        <x:v>1</x:v>
      </x:c>
      <x:c r="F998" s="12" t="str">
        <x:v>未记录</x:v>
      </x:c>
      <x:c r="G998" s="12" t="n">
        <x:v>1</x:v>
      </x:c>
      <x:c r="H998" s="12" t="str">
        <x:v>{'NST_': 100.0, 'SR': 0.0}</x:v>
      </x:c>
      <x:c r="I998" s="12" t="str">
        <x:v>[('NSR', 100.0), ('NML', 100.0)]</x:v>
      </x:c>
      <x:c r="J998" s="12" t="str">
        <x:v>ptbxl_database.csv；ecg_id=8736；scp_codes</x:v>
      </x:c>
      <x:c r="K998" s="12" t="str">
        <x:v>12sl_statements.csv；ecg_id=8736；statements_ext_snomed</x:v>
      </x:c>
      <x:c r="L998" s="12"/>
      <x:c r="M998" s="12" t="str">
        <x:v>negative</x:v>
      </x:c>
      <x:c r="N998" s="12"/>
      <x:c r="O998" s="12" t="str">
        <x:v>negative</x:v>
      </x:c>
      <x:c r="P998" s="12" t="str">
        <x:f>IF(OR(M998="unavailable",O998="unavailable"),"不可评价",IF(OR(M998="equivocal",O998="equivocal"),"疑似",IF(AND(M998="positive",O998="positive"),"a",IF(O998="positive","b",IF(M998="positive","c","d")))))</x:f>
        <x:v>d</x:v>
      </x:c>
      <x:c r="Q998" s="12"/>
      <x:c r="R998" s="12" t="str">
        <x:v>negative</x:v>
      </x:c>
      <x:c r="S998" s="12"/>
      <x:c r="T998" s="12" t="str">
        <x:v>negative</x:v>
      </x:c>
      <x:c r="U998" s="12" t="str">
        <x:f>IF(OR(R998="unavailable",T998="unavailable"),"不可评价",IF(OR(R998="equivocal",T998="equivocal"),"疑似",IF(AND(R998="positive",T998="positive"),"a",IF(T998="positive","b",IF(R998="positive","c","d")))))</x:f>
        <x:v>d</x:v>
      </x:c>
      <x:c r="V998" s="12"/>
      <x:c r="W998" s="12" t="str">
        <x:v>negative</x:v>
      </x:c>
      <x:c r="X998" s="12"/>
      <x:c r="Y998" s="12" t="str">
        <x:v>negative</x:v>
      </x:c>
      <x:c r="Z998" s="12" t="str">
        <x:f>IF(OR(W998="unavailable",Y998="unavailable"),"不可评价",IF(OR(W998="equivocal",Y998="equivocal"),"疑似",IF(AND(W998="positive",Y998="positive"),"a",IF(Y998="positive","b",IF(W998="positive","c","d")))))</x:f>
        <x:v>d</x:v>
      </x:c>
      <x:c r="AA998" s="12" t="str">
        <x:f>IF(OR(M998="unavailable",O998="unavailable"),"不可评价",IF(AND(OR(M998="positive",M998="equivocal"),OR(O998="positive",O998="equivocal")),"a",IF(OR(O998="positive",O998="equivocal"),"b",IF(OR(M998="positive",M998="equivocal"),"c","d"))))</x:f>
        <x:v>d</x:v>
      </x:c>
      <x:c r="AB998" s="12" t="str">
        <x:f>IF(OR(M998="unavailable",O998="unavailable"),"不可评价",IF(AND(M998="positive",O998="positive"),"a",IF(O998="positive","b",IF(M998="positive","c","d"))))</x:f>
        <x:v>d</x:v>
      </x:c>
      <x:c r="AC998" s="12" t="str">
        <x:f>IF(OR(R998="unavailable",T998="unavailable"),"不可评价",IF(AND(OR(R998="positive",R998="equivocal"),OR(T998="positive",T998="equivocal")),"a",IF(OR(T998="positive",T998="equivocal"),"b",IF(OR(R998="positive",R998="equivocal"),"c","d"))))</x:f>
        <x:v>d</x:v>
      </x:c>
      <x:c r="AD998" s="12" t="str">
        <x:f>IF(OR(R998="unavailable",T998="unavailable"),"不可评价",IF(AND(R998="positive",T998="positive"),"a",IF(T998="positive","b",IF(R998="positive","c","d"))))</x:f>
        <x:v>d</x:v>
      </x:c>
      <x:c r="AE998" s="12" t="str">
        <x:f>IF(OR(W998="unavailable",Y998="unavailable"),"不可评价",IF(AND(OR(W998="positive",W998="equivocal"),OR(Y998="positive",Y998="equivocal")),"a",IF(OR(Y998="positive",Y998="equivocal"),"b",IF(OR(W998="positive",W998="equivocal"),"c","d"))))</x:f>
        <x:v>d</x:v>
      </x:c>
      <x:c r="AF998" s="12" t="str">
        <x:f>IF(OR(W998="unavailable",Y998="unavailable"),"不可评价",IF(AND(W998="positive",Y998="positive"),"a",IF(Y998="positive","b",IF(W998="positive","c","d"))))</x:f>
        <x:v>d</x:v>
      </x:c>
    </x:row>
    <x:row r="999" ht="24" customHeight="1">
      <x:c r="A999" s="12" t="str">
        <x:v>8744</x:v>
      </x:c>
      <x:c r="B999" s="12" t="str">
        <x:v>9642</x:v>
      </x:c>
      <x:c r="C999" s="21" t="n">
        <x:v>33826.55957175926</x:v>
      </x:c>
      <x:c r="D999" s="12" t="n">
        <x:v>87</x:v>
      </x:c>
      <x:c r="E999" s="12" t="n">
        <x:v>1</x:v>
      </x:c>
      <x:c r="F999" s="12" t="str">
        <x:v>存在</x:v>
      </x:c>
      <x:c r="G999" s="12" t="n">
        <x:v>1</x:v>
      </x:c>
      <x:c r="H999" s="12" t="str">
        <x:v>{'LVH': 100.0, 'ISC_': 100.0, '1AVB': 100.0, 'SR': 0.0}</x:v>
      </x:c>
      <x:c r="I999" s="12" t="str">
        <x:v>[('NSR', 100.0), ('LVH2', 100.0), ('2ST', 100.0), ('AB', 100.0)]</x:v>
      </x:c>
      <x:c r="J999" s="12" t="str">
        <x:v>ptbxl_database.csv；ecg_id=8744；scp_codes</x:v>
      </x:c>
      <x:c r="K999" s="12" t="str">
        <x:v>12sl_statements.csv；ecg_id=8744；statements_ext_snomed</x:v>
      </x:c>
      <x:c r="L999" s="12"/>
      <x:c r="M999" s="12" t="str">
        <x:v>negative</x:v>
      </x:c>
      <x:c r="N999" s="12"/>
      <x:c r="O999" s="12" t="str">
        <x:v>negative</x:v>
      </x:c>
      <x:c r="P999" s="12" t="str">
        <x:f>IF(OR(M999="unavailable",O999="unavailable"),"不可评价",IF(OR(M999="equivocal",O999="equivocal"),"疑似",IF(AND(M999="positive",O999="positive"),"a",IF(O999="positive","b",IF(M999="positive","c","d")))))</x:f>
        <x:v>d</x:v>
      </x:c>
      <x:c r="Q999" s="12"/>
      <x:c r="R999" s="12" t="str">
        <x:v>negative</x:v>
      </x:c>
      <x:c r="S999" s="12"/>
      <x:c r="T999" s="12" t="str">
        <x:v>negative</x:v>
      </x:c>
      <x:c r="U999" s="12" t="str">
        <x:f>IF(OR(R999="unavailable",T999="unavailable"),"不可评价",IF(OR(R999="equivocal",T999="equivocal"),"疑似",IF(AND(R999="positive",T999="positive"),"a",IF(T999="positive","b",IF(R999="positive","c","d")))))</x:f>
        <x:v>d</x:v>
      </x:c>
      <x:c r="V999" s="12"/>
      <x:c r="W999" s="12" t="str">
        <x:v>negative</x:v>
      </x:c>
      <x:c r="X999" s="12"/>
      <x:c r="Y999" s="12" t="str">
        <x:v>negative</x:v>
      </x:c>
      <x:c r="Z999" s="12" t="str">
        <x:f>IF(OR(W999="unavailable",Y999="unavailable"),"不可评价",IF(OR(W999="equivocal",Y999="equivocal"),"疑似",IF(AND(W999="positive",Y999="positive"),"a",IF(Y999="positive","b",IF(W999="positive","c","d")))))</x:f>
        <x:v>d</x:v>
      </x:c>
      <x:c r="AA999" s="12" t="str">
        <x:f>IF(OR(M999="unavailable",O999="unavailable"),"不可评价",IF(AND(OR(M999="positive",M999="equivocal"),OR(O999="positive",O999="equivocal")),"a",IF(OR(O999="positive",O999="equivocal"),"b",IF(OR(M999="positive",M999="equivocal"),"c","d"))))</x:f>
        <x:v>d</x:v>
      </x:c>
      <x:c r="AB999" s="12" t="str">
        <x:f>IF(OR(M999="unavailable",O999="unavailable"),"不可评价",IF(AND(M999="positive",O999="positive"),"a",IF(O999="positive","b",IF(M999="positive","c","d"))))</x:f>
        <x:v>d</x:v>
      </x:c>
      <x:c r="AC999" s="12" t="str">
        <x:f>IF(OR(R999="unavailable",T999="unavailable"),"不可评价",IF(AND(OR(R999="positive",R999="equivocal"),OR(T999="positive",T999="equivocal")),"a",IF(OR(T999="positive",T999="equivocal"),"b",IF(OR(R999="positive",R999="equivocal"),"c","d"))))</x:f>
        <x:v>d</x:v>
      </x:c>
      <x:c r="AD999" s="12" t="str">
        <x:f>IF(OR(R999="unavailable",T999="unavailable"),"不可评价",IF(AND(R999="positive",T999="positive"),"a",IF(T999="positive","b",IF(R999="positive","c","d"))))</x:f>
        <x:v>d</x:v>
      </x:c>
      <x:c r="AE999" s="12" t="str">
        <x:f>IF(OR(W999="unavailable",Y999="unavailable"),"不可评价",IF(AND(OR(W999="positive",W999="equivocal"),OR(Y999="positive",Y999="equivocal")),"a",IF(OR(Y999="positive",Y999="equivocal"),"b",IF(OR(W999="positive",W999="equivocal"),"c","d"))))</x:f>
        <x:v>d</x:v>
      </x:c>
      <x:c r="AF999" s="12" t="str">
        <x:f>IF(OR(W999="unavailable",Y999="unavailable"),"不可评价",IF(AND(W999="positive",Y999="positive"),"a",IF(Y999="positive","b",IF(W999="positive","c","d"))))</x:f>
        <x:v>d</x:v>
      </x:c>
    </x:row>
    <x:row r="1000" ht="24" customHeight="1">
      <x:c r="A1000" s="12" t="str">
        <x:v>8765</x:v>
      </x:c>
      <x:c r="B1000" s="12" t="str">
        <x:v>10163</x:v>
      </x:c>
      <x:c r="C1000" s="21" t="n">
        <x:v>33829.1733912037</x:v>
      </x:c>
      <x:c r="D1000" s="12" t="n">
        <x:v>29</x:v>
      </x:c>
      <x:c r="E1000" s="12" t="n">
        <x:v>1</x:v>
      </x:c>
      <x:c r="F1000" s="12" t="str">
        <x:v>未记录</x:v>
      </x:c>
      <x:c r="G1000" s="12" t="n">
        <x:v>1</x:v>
      </x:c>
      <x:c r="H1000" s="12" t="str">
        <x:v>{'NORM': 100.0, 'SR': 0.0}</x:v>
      </x:c>
      <x:c r="I1000" s="12" t="str">
        <x:v>[('NSR', 100.0), ('NML', 100.0)]</x:v>
      </x:c>
      <x:c r="J1000" s="12" t="str">
        <x:v>ptbxl_database.csv；ecg_id=8765；scp_codes</x:v>
      </x:c>
      <x:c r="K1000" s="12" t="str">
        <x:v>12sl_statements.csv；ecg_id=8765；statements_ext_snomed</x:v>
      </x:c>
      <x:c r="L1000" s="12"/>
      <x:c r="M1000" s="12" t="str">
        <x:v>negative</x:v>
      </x:c>
      <x:c r="N1000" s="12"/>
      <x:c r="O1000" s="12" t="str">
        <x:v>negative</x:v>
      </x:c>
      <x:c r="P1000" s="12" t="str">
        <x:f>IF(OR(M1000="unavailable",O1000="unavailable"),"不可评价",IF(OR(M1000="equivocal",O1000="equivocal"),"疑似",IF(AND(M1000="positive",O1000="positive"),"a",IF(O1000="positive","b",IF(M1000="positive","c","d")))))</x:f>
        <x:v>d</x:v>
      </x:c>
      <x:c r="Q1000" s="12"/>
      <x:c r="R1000" s="12" t="str">
        <x:v>negative</x:v>
      </x:c>
      <x:c r="S1000" s="12"/>
      <x:c r="T1000" s="12" t="str">
        <x:v>negative</x:v>
      </x:c>
      <x:c r="U1000" s="12" t="str">
        <x:f>IF(OR(R1000="unavailable",T1000="unavailable"),"不可评价",IF(OR(R1000="equivocal",T1000="equivocal"),"疑似",IF(AND(R1000="positive",T1000="positive"),"a",IF(T1000="positive","b",IF(R1000="positive","c","d")))))</x:f>
        <x:v>d</x:v>
      </x:c>
      <x:c r="V1000" s="12"/>
      <x:c r="W1000" s="12" t="str">
        <x:v>negative</x:v>
      </x:c>
      <x:c r="X1000" s="12"/>
      <x:c r="Y1000" s="12" t="str">
        <x:v>negative</x:v>
      </x:c>
      <x:c r="Z1000" s="12" t="str">
        <x:f>IF(OR(W1000="unavailable",Y1000="unavailable"),"不可评价",IF(OR(W1000="equivocal",Y1000="equivocal"),"疑似",IF(AND(W1000="positive",Y1000="positive"),"a",IF(Y1000="positive","b",IF(W1000="positive","c","d")))))</x:f>
        <x:v>d</x:v>
      </x:c>
      <x:c r="AA1000" s="12" t="str">
        <x:f>IF(OR(M1000="unavailable",O1000="unavailable"),"不可评价",IF(AND(OR(M1000="positive",M1000="equivocal"),OR(O1000="positive",O1000="equivocal")),"a",IF(OR(O1000="positive",O1000="equivocal"),"b",IF(OR(M1000="positive",M1000="equivocal"),"c","d"))))</x:f>
        <x:v>d</x:v>
      </x:c>
      <x:c r="AB1000" s="12" t="str">
        <x:f>IF(OR(M1000="unavailable",O1000="unavailable"),"不可评价",IF(AND(M1000="positive",O1000="positive"),"a",IF(O1000="positive","b",IF(M1000="positive","c","d"))))</x:f>
        <x:v>d</x:v>
      </x:c>
      <x:c r="AC1000" s="12" t="str">
        <x:f>IF(OR(R1000="unavailable",T1000="unavailable"),"不可评价",IF(AND(OR(R1000="positive",R1000="equivocal"),OR(T1000="positive",T1000="equivocal")),"a",IF(OR(T1000="positive",T1000="equivocal"),"b",IF(OR(R1000="positive",R1000="equivocal"),"c","d"))))</x:f>
        <x:v>d</x:v>
      </x:c>
      <x:c r="AD1000" s="12" t="str">
        <x:f>IF(OR(R1000="unavailable",T1000="unavailable"),"不可评价",IF(AND(R1000="positive",T1000="positive"),"a",IF(T1000="positive","b",IF(R1000="positive","c","d"))))</x:f>
        <x:v>d</x:v>
      </x:c>
      <x:c r="AE1000" s="12" t="str">
        <x:f>IF(OR(W1000="unavailable",Y1000="unavailable"),"不可评价",IF(AND(OR(W1000="positive",W1000="equivocal"),OR(Y1000="positive",Y1000="equivocal")),"a",IF(OR(Y1000="positive",Y1000="equivocal"),"b",IF(OR(W1000="positive",W1000="equivocal"),"c","d"))))</x:f>
        <x:v>d</x:v>
      </x:c>
      <x:c r="AF1000" s="12" t="str">
        <x:f>IF(OR(W1000="unavailable",Y1000="unavailable"),"不可评价",IF(AND(W1000="positive",Y1000="positive"),"a",IF(Y1000="positive","b",IF(W1000="positive","c","d"))))</x:f>
        <x:v>d</x:v>
      </x:c>
    </x:row>
    <x:row r="1001" ht="24" customHeight="1">
      <x:c r="A1001" s="12" t="str">
        <x:v>8772</x:v>
      </x:c>
      <x:c r="B1001" s="12" t="str">
        <x:v>5424</x:v>
      </x:c>
      <x:c r="C1001" s="21" t="n">
        <x:v>33829.42099537037</x:v>
      </x:c>
      <x:c r="D1001" s="12" t="n">
        <x:v>74</x:v>
      </x:c>
      <x:c r="E1001" s="12" t="n">
        <x:v>1</x:v>
      </x:c>
      <x:c r="F1001" s="12" t="str">
        <x:v>未记录</x:v>
      </x:c>
      <x:c r="G1001" s="12" t="n">
        <x:v>1</x:v>
      </x:c>
      <x:c r="H1001" s="12" t="str">
        <x:v>{'INJAS': 100.0, 'INJAL': 100.0, 'LVH': 50.0, 'AFIB': 0.0}</x:v>
      </x:c>
      <x:c r="I1001" s="12" t="str">
        <x:v>[('AFIB', 100.0), ('LSBINJ', 100.0), ('AB', 100.0)]</x:v>
      </x:c>
      <x:c r="J1001" s="12" t="str">
        <x:v>ptbxl_database.csv；ecg_id=8772；scp_codes</x:v>
      </x:c>
      <x:c r="K1001" s="12" t="str">
        <x:v>12sl_statements.csv；ecg_id=8772；statements_ext_snomed</x:v>
      </x:c>
      <x:c r="L1001" s="12" t="n">
        <x:v>0</x:v>
      </x:c>
      <x:c r="M1001" s="12" t="str">
        <x:v>positive</x:v>
      </x:c>
      <x:c r="N1001" s="12" t="n">
        <x:v>100</x:v>
      </x:c>
      <x:c r="O1001" s="12" t="str">
        <x:v>positive</x:v>
      </x:c>
      <x:c r="P1001" s="12" t="str">
        <x:f>IF(OR(M1001="unavailable",O1001="unavailable"),"不可评价",IF(OR(M1001="equivocal",O1001="equivocal"),"疑似",IF(AND(M1001="positive",O1001="positive"),"a",IF(O1001="positive","b",IF(M1001="positive","c","d")))))</x:f>
        <x:v>a</x:v>
      </x:c>
      <x:c r="Q1001" s="12"/>
      <x:c r="R1001" s="12" t="str">
        <x:v>negative</x:v>
      </x:c>
      <x:c r="S1001" s="12"/>
      <x:c r="T1001" s="12" t="str">
        <x:v>negative</x:v>
      </x:c>
      <x:c r="U1001" s="12" t="str">
        <x:f>IF(OR(R1001="unavailable",T1001="unavailable"),"不可评价",IF(OR(R1001="equivocal",T1001="equivocal"),"疑似",IF(AND(R1001="positive",T1001="positive"),"a",IF(T1001="positive","b",IF(R1001="positive","c","d")))))</x:f>
        <x:v>d</x:v>
      </x:c>
      <x:c r="V1001" s="12"/>
      <x:c r="W1001" s="12" t="str">
        <x:v>negative</x:v>
      </x:c>
      <x:c r="X1001" s="12"/>
      <x:c r="Y1001" s="12" t="str">
        <x:v>negative</x:v>
      </x:c>
      <x:c r="Z1001" s="12" t="str">
        <x:f>IF(OR(W1001="unavailable",Y1001="unavailable"),"不可评价",IF(OR(W1001="equivocal",Y1001="equivocal"),"疑似",IF(AND(W1001="positive",Y1001="positive"),"a",IF(Y1001="positive","b",IF(W1001="positive","c","d")))))</x:f>
        <x:v>d</x:v>
      </x:c>
      <x:c r="AA1001" s="12" t="str">
        <x:f>IF(OR(M1001="unavailable",O1001="unavailable"),"不可评价",IF(AND(OR(M1001="positive",M1001="equivocal"),OR(O1001="positive",O1001="equivocal")),"a",IF(OR(O1001="positive",O1001="equivocal"),"b",IF(OR(M1001="positive",M1001="equivocal"),"c","d"))))</x:f>
        <x:v>a</x:v>
      </x:c>
      <x:c r="AB1001" s="12" t="str">
        <x:f>IF(OR(M1001="unavailable",O1001="unavailable"),"不可评价",IF(AND(M1001="positive",O1001="positive"),"a",IF(O1001="positive","b",IF(M1001="positive","c","d"))))</x:f>
        <x:v>a</x:v>
      </x:c>
      <x:c r="AC1001" s="12" t="str">
        <x:f>IF(OR(R1001="unavailable",T1001="unavailable"),"不可评价",IF(AND(OR(R1001="positive",R1001="equivocal"),OR(T1001="positive",T1001="equivocal")),"a",IF(OR(T1001="positive",T1001="equivocal"),"b",IF(OR(R1001="positive",R1001="equivocal"),"c","d"))))</x:f>
        <x:v>d</x:v>
      </x:c>
      <x:c r="AD1001" s="12" t="str">
        <x:f>IF(OR(R1001="unavailable",T1001="unavailable"),"不可评价",IF(AND(R1001="positive",T1001="positive"),"a",IF(T1001="positive","b",IF(R1001="positive","c","d"))))</x:f>
        <x:v>d</x:v>
      </x:c>
      <x:c r="AE1001" s="12" t="str">
        <x:f>IF(OR(W1001="unavailable",Y1001="unavailable"),"不可评价",IF(AND(OR(W1001="positive",W1001="equivocal"),OR(Y1001="positive",Y1001="equivocal")),"a",IF(OR(Y1001="positive",Y1001="equivocal"),"b",IF(OR(W1001="positive",W1001="equivocal"),"c","d"))))</x:f>
        <x:v>d</x:v>
      </x:c>
      <x:c r="AF1001" s="12" t="str">
        <x:f>IF(OR(W1001="unavailable",Y1001="unavailable"),"不可评价",IF(AND(W1001="positive",Y1001="positive"),"a",IF(Y1001="positive","b",IF(W1001="positive","c","d"))))</x:f>
        <x:v>d</x:v>
      </x:c>
    </x:row>
    <x:row r="1002" ht="24" customHeight="1">
      <x:c r="A1002" s="12" t="str">
        <x:v>8774</x:v>
      </x:c>
      <x:c r="B1002" s="12" t="str">
        <x:v>10725</x:v>
      </x:c>
      <x:c r="C1002" s="21" t="n">
        <x:v>33829.46853009259</x:v>
      </x:c>
      <x:c r="D1002" s="12" t="n">
        <x:v>84</x:v>
      </x:c>
      <x:c r="E1002" s="12" t="n">
        <x:v>1</x:v>
      </x:c>
      <x:c r="F1002" s="12" t="str">
        <x:v>未记录</x:v>
      </x:c>
      <x:c r="G1002" s="12" t="n">
        <x:v>1</x:v>
      </x:c>
      <x:c r="H1002" s="12" t="str">
        <x:v>{'NORM': 100.0, 'LVOLT': 0.0, 'SR': 0.0}</x:v>
      </x:c>
      <x:c r="I1002" s="12" t="str">
        <x:v>[('NSR', 100.0), ('NML', 100.0)]</x:v>
      </x:c>
      <x:c r="J1002" s="12" t="str">
        <x:v>ptbxl_database.csv；ecg_id=8774；scp_codes</x:v>
      </x:c>
      <x:c r="K1002" s="12" t="str">
        <x:v>12sl_statements.csv；ecg_id=8774；statements_ext_snomed</x:v>
      </x:c>
      <x:c r="L1002" s="12"/>
      <x:c r="M1002" s="12" t="str">
        <x:v>negative</x:v>
      </x:c>
      <x:c r="N1002" s="12"/>
      <x:c r="O1002" s="12" t="str">
        <x:v>negative</x:v>
      </x:c>
      <x:c r="P1002" s="12" t="str">
        <x:f>IF(OR(M1002="unavailable",O1002="unavailable"),"不可评价",IF(OR(M1002="equivocal",O1002="equivocal"),"疑似",IF(AND(M1002="positive",O1002="positive"),"a",IF(O1002="positive","b",IF(M1002="positive","c","d")))))</x:f>
        <x:v>d</x:v>
      </x:c>
      <x:c r="Q1002" s="12"/>
      <x:c r="R1002" s="12" t="str">
        <x:v>negative</x:v>
      </x:c>
      <x:c r="S1002" s="12"/>
      <x:c r="T1002" s="12" t="str">
        <x:v>negative</x:v>
      </x:c>
      <x:c r="U1002" s="12" t="str">
        <x:f>IF(OR(R1002="unavailable",T1002="unavailable"),"不可评价",IF(OR(R1002="equivocal",T1002="equivocal"),"疑似",IF(AND(R1002="positive",T1002="positive"),"a",IF(T1002="positive","b",IF(R1002="positive","c","d")))))</x:f>
        <x:v>d</x:v>
      </x:c>
      <x:c r="V1002" s="12"/>
      <x:c r="W1002" s="12" t="str">
        <x:v>negative</x:v>
      </x:c>
      <x:c r="X1002" s="12"/>
      <x:c r="Y1002" s="12" t="str">
        <x:v>negative</x:v>
      </x:c>
      <x:c r="Z1002" s="12" t="str">
        <x:f>IF(OR(W1002="unavailable",Y1002="unavailable"),"不可评价",IF(OR(W1002="equivocal",Y1002="equivocal"),"疑似",IF(AND(W1002="positive",Y1002="positive"),"a",IF(Y1002="positive","b",IF(W1002="positive","c","d")))))</x:f>
        <x:v>d</x:v>
      </x:c>
      <x:c r="AA1002" s="12" t="str">
        <x:f>IF(OR(M1002="unavailable",O1002="unavailable"),"不可评价",IF(AND(OR(M1002="positive",M1002="equivocal"),OR(O1002="positive",O1002="equivocal")),"a",IF(OR(O1002="positive",O1002="equivocal"),"b",IF(OR(M1002="positive",M1002="equivocal"),"c","d"))))</x:f>
        <x:v>d</x:v>
      </x:c>
      <x:c r="AB1002" s="12" t="str">
        <x:f>IF(OR(M1002="unavailable",O1002="unavailable"),"不可评价",IF(AND(M1002="positive",O1002="positive"),"a",IF(O1002="positive","b",IF(M1002="positive","c","d"))))</x:f>
        <x:v>d</x:v>
      </x:c>
      <x:c r="AC1002" s="12" t="str">
        <x:f>IF(OR(R1002="unavailable",T1002="unavailable"),"不可评价",IF(AND(OR(R1002="positive",R1002="equivocal"),OR(T1002="positive",T1002="equivocal")),"a",IF(OR(T1002="positive",T1002="equivocal"),"b",IF(OR(R1002="positive",R1002="equivocal"),"c","d"))))</x:f>
        <x:v>d</x:v>
      </x:c>
      <x:c r="AD1002" s="12" t="str">
        <x:f>IF(OR(R1002="unavailable",T1002="unavailable"),"不可评价",IF(AND(R1002="positive",T1002="positive"),"a",IF(T1002="positive","b",IF(R1002="positive","c","d"))))</x:f>
        <x:v>d</x:v>
      </x:c>
      <x:c r="AE1002" s="12" t="str">
        <x:f>IF(OR(W1002="unavailable",Y1002="unavailable"),"不可评价",IF(AND(OR(W1002="positive",W1002="equivocal"),OR(Y1002="positive",Y1002="equivocal")),"a",IF(OR(Y1002="positive",Y1002="equivocal"),"b",IF(OR(W1002="positive",W1002="equivocal"),"c","d"))))</x:f>
        <x:v>d</x:v>
      </x:c>
      <x:c r="AF1002" s="12" t="str">
        <x:f>IF(OR(W1002="unavailable",Y1002="unavailable"),"不可评价",IF(AND(W1002="positive",Y1002="positive"),"a",IF(Y1002="positive","b",IF(W1002="positive","c","d"))))</x:f>
        <x:v>d</x:v>
      </x:c>
    </x:row>
    <x:row r="1003" ht="24" customHeight="1">
      <x:c r="A1003" s="12" t="str">
        <x:v>8777</x:v>
      </x:c>
      <x:c r="B1003" s="12" t="str">
        <x:v>1210</x:v>
      </x:c>
      <x:c r="C1003" s="21" t="n">
        <x:v>33829.5109375</x:v>
      </x:c>
      <x:c r="D1003" s="12" t="n">
        <x:v>69</x:v>
      </x:c>
      <x:c r="E1003" s="12" t="n">
        <x:v>0</x:v>
      </x:c>
      <x:c r="F1003" s="12" t="str">
        <x:v>未记录</x:v>
      </x:c>
      <x:c r="G1003" s="12" t="n">
        <x:v>1</x:v>
      </x:c>
      <x:c r="H1003" s="12" t="str">
        <x:v>{'LVH': 35.0, 'VCLVH': 0.0, 'SR': 0.0}</x:v>
      </x:c>
      <x:c r="I1003" s="12" t="str">
        <x:v>[('NSR', 100.0), ('BORDE', 100.0)]</x:v>
      </x:c>
      <x:c r="J1003" s="12" t="str">
        <x:v>ptbxl_database.csv；ecg_id=8777；scp_codes</x:v>
      </x:c>
      <x:c r="K1003" s="12" t="str">
        <x:v>12sl_statements.csv；ecg_id=8777；statements_ext_snomed</x:v>
      </x:c>
      <x:c r="L1003" s="12"/>
      <x:c r="M1003" s="12" t="str">
        <x:v>negative</x:v>
      </x:c>
      <x:c r="N1003" s="12"/>
      <x:c r="O1003" s="12" t="str">
        <x:v>negative</x:v>
      </x:c>
      <x:c r="P1003" s="12" t="str">
        <x:f>IF(OR(M1003="unavailable",O1003="unavailable"),"不可评价",IF(OR(M1003="equivocal",O1003="equivocal"),"疑似",IF(AND(M1003="positive",O1003="positive"),"a",IF(O1003="positive","b",IF(M1003="positive","c","d")))))</x:f>
        <x:v>d</x:v>
      </x:c>
      <x:c r="Q1003" s="12"/>
      <x:c r="R1003" s="12" t="str">
        <x:v>negative</x:v>
      </x:c>
      <x:c r="S1003" s="12"/>
      <x:c r="T1003" s="12" t="str">
        <x:v>negative</x:v>
      </x:c>
      <x:c r="U1003" s="12" t="str">
        <x:f>IF(OR(R1003="unavailable",T1003="unavailable"),"不可评价",IF(OR(R1003="equivocal",T1003="equivocal"),"疑似",IF(AND(R1003="positive",T1003="positive"),"a",IF(T1003="positive","b",IF(R1003="positive","c","d")))))</x:f>
        <x:v>d</x:v>
      </x:c>
      <x:c r="V1003" s="12"/>
      <x:c r="W1003" s="12" t="str">
        <x:v>negative</x:v>
      </x:c>
      <x:c r="X1003" s="12"/>
      <x:c r="Y1003" s="12" t="str">
        <x:v>negative</x:v>
      </x:c>
      <x:c r="Z1003" s="12" t="str">
        <x:f>IF(OR(W1003="unavailable",Y1003="unavailable"),"不可评价",IF(OR(W1003="equivocal",Y1003="equivocal"),"疑似",IF(AND(W1003="positive",Y1003="positive"),"a",IF(Y1003="positive","b",IF(W1003="positive","c","d")))))</x:f>
        <x:v>d</x:v>
      </x:c>
      <x:c r="AA1003" s="12" t="str">
        <x:f>IF(OR(M1003="unavailable",O1003="unavailable"),"不可评价",IF(AND(OR(M1003="positive",M1003="equivocal"),OR(O1003="positive",O1003="equivocal")),"a",IF(OR(O1003="positive",O1003="equivocal"),"b",IF(OR(M1003="positive",M1003="equivocal"),"c","d"))))</x:f>
        <x:v>d</x:v>
      </x:c>
      <x:c r="AB1003" s="12" t="str">
        <x:f>IF(OR(M1003="unavailable",O1003="unavailable"),"不可评价",IF(AND(M1003="positive",O1003="positive"),"a",IF(O1003="positive","b",IF(M1003="positive","c","d"))))</x:f>
        <x:v>d</x:v>
      </x:c>
      <x:c r="AC1003" s="12" t="str">
        <x:f>IF(OR(R1003="unavailable",T1003="unavailable"),"不可评价",IF(AND(OR(R1003="positive",R1003="equivocal"),OR(T1003="positive",T1003="equivocal")),"a",IF(OR(T1003="positive",T1003="equivocal"),"b",IF(OR(R1003="positive",R1003="equivocal"),"c","d"))))</x:f>
        <x:v>d</x:v>
      </x:c>
      <x:c r="AD1003" s="12" t="str">
        <x:f>IF(OR(R1003="unavailable",T1003="unavailable"),"不可评价",IF(AND(R1003="positive",T1003="positive"),"a",IF(T1003="positive","b",IF(R1003="positive","c","d"))))</x:f>
        <x:v>d</x:v>
      </x:c>
      <x:c r="AE1003" s="12" t="str">
        <x:f>IF(OR(W1003="unavailable",Y1003="unavailable"),"不可评价",IF(AND(OR(W1003="positive",W1003="equivocal"),OR(Y1003="positive",Y1003="equivocal")),"a",IF(OR(Y1003="positive",Y1003="equivocal"),"b",IF(OR(W1003="positive",W1003="equivocal"),"c","d"))))</x:f>
        <x:v>d</x:v>
      </x:c>
      <x:c r="AF1003" s="12" t="str">
        <x:f>IF(OR(W1003="unavailable",Y1003="unavailable"),"不可评价",IF(AND(W1003="positive",Y1003="positive"),"a",IF(Y1003="positive","b",IF(W1003="positive","c","d"))))</x:f>
        <x:v>d</x:v>
      </x:c>
    </x:row>
    <x:row r="1004" ht="24" customHeight="1">
      <x:c r="A1004" s="12" t="str">
        <x:v>8778</x:v>
      </x:c>
      <x:c r="B1004" s="12" t="str">
        <x:v>7431</x:v>
      </x:c>
      <x:c r="C1004" s="21" t="n">
        <x:v>33829.55637731482</x:v>
      </x:c>
      <x:c r="D1004" s="12" t="n">
        <x:v>69</x:v>
      </x:c>
      <x:c r="E1004" s="12" t="n">
        <x:v>1</x:v>
      </x:c>
      <x:c r="F1004" s="12" t="str">
        <x:v>未记录</x:v>
      </x:c>
      <x:c r="G1004" s="12" t="n">
        <x:v>1</x:v>
      </x:c>
      <x:c r="H1004" s="12" t="str">
        <x:v>{'NORM': 100.0, 'SR': 0.0}</x:v>
      </x:c>
      <x:c r="I1004" s="12" t="str">
        <x:v>[('NSR', 100.0), ('NML', 100.0)]</x:v>
      </x:c>
      <x:c r="J1004" s="12" t="str">
        <x:v>ptbxl_database.csv；ecg_id=8778；scp_codes</x:v>
      </x:c>
      <x:c r="K1004" s="12" t="str">
        <x:v>12sl_statements.csv；ecg_id=8778；statements_ext_snomed</x:v>
      </x:c>
      <x:c r="L1004" s="12"/>
      <x:c r="M1004" s="12" t="str">
        <x:v>negative</x:v>
      </x:c>
      <x:c r="N1004" s="12"/>
      <x:c r="O1004" s="12" t="str">
        <x:v>negative</x:v>
      </x:c>
      <x:c r="P1004" s="12" t="str">
        <x:f>IF(OR(M1004="unavailable",O1004="unavailable"),"不可评价",IF(OR(M1004="equivocal",O1004="equivocal"),"疑似",IF(AND(M1004="positive",O1004="positive"),"a",IF(O1004="positive","b",IF(M1004="positive","c","d")))))</x:f>
        <x:v>d</x:v>
      </x:c>
      <x:c r="Q1004" s="12"/>
      <x:c r="R1004" s="12" t="str">
        <x:v>negative</x:v>
      </x:c>
      <x:c r="S1004" s="12"/>
      <x:c r="T1004" s="12" t="str">
        <x:v>negative</x:v>
      </x:c>
      <x:c r="U1004" s="12" t="str">
        <x:f>IF(OR(R1004="unavailable",T1004="unavailable"),"不可评价",IF(OR(R1004="equivocal",T1004="equivocal"),"疑似",IF(AND(R1004="positive",T1004="positive"),"a",IF(T1004="positive","b",IF(R1004="positive","c","d")))))</x:f>
        <x:v>d</x:v>
      </x:c>
      <x:c r="V1004" s="12"/>
      <x:c r="W1004" s="12" t="str">
        <x:v>negative</x:v>
      </x:c>
      <x:c r="X1004" s="12"/>
      <x:c r="Y1004" s="12" t="str">
        <x:v>negative</x:v>
      </x:c>
      <x:c r="Z1004" s="12" t="str">
        <x:f>IF(OR(W1004="unavailable",Y1004="unavailable"),"不可评价",IF(OR(W1004="equivocal",Y1004="equivocal"),"疑似",IF(AND(W1004="positive",Y1004="positive"),"a",IF(Y1004="positive","b",IF(W1004="positive","c","d")))))</x:f>
        <x:v>d</x:v>
      </x:c>
      <x:c r="AA1004" s="12" t="str">
        <x:f>IF(OR(M1004="unavailable",O1004="unavailable"),"不可评价",IF(AND(OR(M1004="positive",M1004="equivocal"),OR(O1004="positive",O1004="equivocal")),"a",IF(OR(O1004="positive",O1004="equivocal"),"b",IF(OR(M1004="positive",M1004="equivocal"),"c","d"))))</x:f>
        <x:v>d</x:v>
      </x:c>
      <x:c r="AB1004" s="12" t="str">
        <x:f>IF(OR(M1004="unavailable",O1004="unavailable"),"不可评价",IF(AND(M1004="positive",O1004="positive"),"a",IF(O1004="positive","b",IF(M1004="positive","c","d"))))</x:f>
        <x:v>d</x:v>
      </x:c>
      <x:c r="AC1004" s="12" t="str">
        <x:f>IF(OR(R1004="unavailable",T1004="unavailable"),"不可评价",IF(AND(OR(R1004="positive",R1004="equivocal"),OR(T1004="positive",T1004="equivocal")),"a",IF(OR(T1004="positive",T1004="equivocal"),"b",IF(OR(R1004="positive",R1004="equivocal"),"c","d"))))</x:f>
        <x:v>d</x:v>
      </x:c>
      <x:c r="AD1004" s="12" t="str">
        <x:f>IF(OR(R1004="unavailable",T1004="unavailable"),"不可评价",IF(AND(R1004="positive",T1004="positive"),"a",IF(T1004="positive","b",IF(R1004="positive","c","d"))))</x:f>
        <x:v>d</x:v>
      </x:c>
      <x:c r="AE1004" s="12" t="str">
        <x:f>IF(OR(W1004="unavailable",Y1004="unavailable"),"不可评价",IF(AND(OR(W1004="positive",W1004="equivocal"),OR(Y1004="positive",Y1004="equivocal")),"a",IF(OR(Y1004="positive",Y1004="equivocal"),"b",IF(OR(W1004="positive",W1004="equivocal"),"c","d"))))</x:f>
        <x:v>d</x:v>
      </x:c>
      <x:c r="AF1004" s="12" t="str">
        <x:f>IF(OR(W1004="unavailable",Y1004="unavailable"),"不可评价",IF(AND(W1004="positive",Y1004="positive"),"a",IF(Y1004="positive","b",IF(W1004="positive","c","d"))))</x:f>
        <x:v>d</x:v>
      </x:c>
    </x:row>
    <x:row r="1005" ht="24" customHeight="1">
      <x:c r="A1005" s="12" t="str">
        <x:v>8795</x:v>
      </x:c>
      <x:c r="B1005" s="12" t="str">
        <x:v>18734</x:v>
      </x:c>
      <x:c r="C1005" s="21" t="n">
        <x:v>33832.633784722224</x:v>
      </x:c>
      <x:c r="D1005" s="12" t="n">
        <x:v>54</x:v>
      </x:c>
      <x:c r="E1005" s="12" t="n">
        <x:v>0</x:v>
      </x:c>
      <x:c r="F1005" s="12" t="str">
        <x:v>未记录</x:v>
      </x:c>
      <x:c r="G1005" s="12" t="n">
        <x:v>1</x:v>
      </x:c>
      <x:c r="H1005" s="12" t="str">
        <x:v>{'NDT': 100.0, 'PVC': 100.0, 'SR': 0.0}</x:v>
      </x:c>
      <x:c r="I1005" s="12" t="str">
        <x:v>[('SRTH', 100.0), ('PVC', 100.0), ('ABR', 100.0)]</x:v>
      </x:c>
      <x:c r="J1005" s="12" t="str">
        <x:v>ptbxl_database.csv；ecg_id=8795；scp_codes</x:v>
      </x:c>
      <x:c r="K1005" s="12" t="str">
        <x:v>12sl_statements.csv；ecg_id=8795；statements_ext_snomed</x:v>
      </x:c>
      <x:c r="L1005" s="12"/>
      <x:c r="M1005" s="12" t="str">
        <x:v>negative</x:v>
      </x:c>
      <x:c r="N1005" s="12"/>
      <x:c r="O1005" s="12" t="str">
        <x:v>negative</x:v>
      </x:c>
      <x:c r="P1005" s="12" t="str">
        <x:f>IF(OR(M1005="unavailable",O1005="unavailable"),"不可评价",IF(OR(M1005="equivocal",O1005="equivocal"),"疑似",IF(AND(M1005="positive",O1005="positive"),"a",IF(O1005="positive","b",IF(M1005="positive","c","d")))))</x:f>
        <x:v>d</x:v>
      </x:c>
      <x:c r="Q1005" s="12"/>
      <x:c r="R1005" s="12" t="str">
        <x:v>negative</x:v>
      </x:c>
      <x:c r="S1005" s="12"/>
      <x:c r="T1005" s="12" t="str">
        <x:v>negative</x:v>
      </x:c>
      <x:c r="U1005" s="12" t="str">
        <x:f>IF(OR(R1005="unavailable",T1005="unavailable"),"不可评价",IF(OR(R1005="equivocal",T1005="equivocal"),"疑似",IF(AND(R1005="positive",T1005="positive"),"a",IF(T1005="positive","b",IF(R1005="positive","c","d")))))</x:f>
        <x:v>d</x:v>
      </x:c>
      <x:c r="V1005" s="12"/>
      <x:c r="W1005" s="12" t="str">
        <x:v>negative</x:v>
      </x:c>
      <x:c r="X1005" s="12"/>
      <x:c r="Y1005" s="12" t="str">
        <x:v>negative</x:v>
      </x:c>
      <x:c r="Z1005" s="12" t="str">
        <x:f>IF(OR(W1005="unavailable",Y1005="unavailable"),"不可评价",IF(OR(W1005="equivocal",Y1005="equivocal"),"疑似",IF(AND(W1005="positive",Y1005="positive"),"a",IF(Y1005="positive","b",IF(W1005="positive","c","d")))))</x:f>
        <x:v>d</x:v>
      </x:c>
      <x:c r="AA1005" s="12" t="str">
        <x:f>IF(OR(M1005="unavailable",O1005="unavailable"),"不可评价",IF(AND(OR(M1005="positive",M1005="equivocal"),OR(O1005="positive",O1005="equivocal")),"a",IF(OR(O1005="positive",O1005="equivocal"),"b",IF(OR(M1005="positive",M1005="equivocal"),"c","d"))))</x:f>
        <x:v>d</x:v>
      </x:c>
      <x:c r="AB1005" s="12" t="str">
        <x:f>IF(OR(M1005="unavailable",O1005="unavailable"),"不可评价",IF(AND(M1005="positive",O1005="positive"),"a",IF(O1005="positive","b",IF(M1005="positive","c","d"))))</x:f>
        <x:v>d</x:v>
      </x:c>
      <x:c r="AC1005" s="12" t="str">
        <x:f>IF(OR(R1005="unavailable",T1005="unavailable"),"不可评价",IF(AND(OR(R1005="positive",R1005="equivocal"),OR(T1005="positive",T1005="equivocal")),"a",IF(OR(T1005="positive",T1005="equivocal"),"b",IF(OR(R1005="positive",R1005="equivocal"),"c","d"))))</x:f>
        <x:v>d</x:v>
      </x:c>
      <x:c r="AD1005" s="12" t="str">
        <x:f>IF(OR(R1005="unavailable",T1005="unavailable"),"不可评价",IF(AND(R1005="positive",T1005="positive"),"a",IF(T1005="positive","b",IF(R1005="positive","c","d"))))</x:f>
        <x:v>d</x:v>
      </x:c>
      <x:c r="AE1005" s="12" t="str">
        <x:f>IF(OR(W1005="unavailable",Y1005="unavailable"),"不可评价",IF(AND(OR(W1005="positive",W1005="equivocal"),OR(Y1005="positive",Y1005="equivocal")),"a",IF(OR(Y1005="positive",Y1005="equivocal"),"b",IF(OR(W1005="positive",W1005="equivocal"),"c","d"))))</x:f>
        <x:v>d</x:v>
      </x:c>
      <x:c r="AF1005" s="12" t="str">
        <x:f>IF(OR(W1005="unavailable",Y1005="unavailable"),"不可评价",IF(AND(W1005="positive",Y1005="positive"),"a",IF(Y1005="positive","b",IF(W1005="positive","c","d"))))</x:f>
        <x:v>d</x:v>
      </x:c>
    </x:row>
    <x:row r="1006" ht="24" customHeight="1">
      <x:c r="A1006" s="12" t="str">
        <x:v>8808</x:v>
      </x:c>
      <x:c r="B1006" s="12" t="str">
        <x:v>9642</x:v>
      </x:c>
      <x:c r="C1006" s="21" t="n">
        <x:v>33835.42361111111</x:v>
      </x:c>
      <x:c r="D1006" s="12" t="n">
        <x:v>87</x:v>
      </x:c>
      <x:c r="E1006" s="12" t="n">
        <x:v>1</x:v>
      </x:c>
      <x:c r="F1006" s="12" t="str">
        <x:v>未记录</x:v>
      </x:c>
      <x:c r="G1006" s="12" t="n">
        <x:v>0</x:v>
      </x:c>
      <x:c r="H1006" s="12" t="str">
        <x:v>{'NST_': 100.0, 'SR': 0.0}</x:v>
      </x:c>
      <x:c r="I1006" s="12" t="str">
        <x:v>[('NSR', 100.0), ('NT', 100.0), ('AB', 100.0)]</x:v>
      </x:c>
      <x:c r="J1006" s="12" t="str">
        <x:v>ptbxl_database.csv；ecg_id=8808；scp_codes</x:v>
      </x:c>
      <x:c r="K1006" s="12" t="str">
        <x:v>12sl_statements.csv；ecg_id=8808；statements_ext_snomed</x:v>
      </x:c>
      <x:c r="L1006" s="12"/>
      <x:c r="M1006" s="12" t="str">
        <x:v>negative</x:v>
      </x:c>
      <x:c r="N1006" s="12"/>
      <x:c r="O1006" s="12" t="str">
        <x:v>negative</x:v>
      </x:c>
      <x:c r="P1006" s="12" t="str">
        <x:f>IF(OR(M1006="unavailable",O1006="unavailable"),"不可评价",IF(OR(M1006="equivocal",O1006="equivocal"),"疑似",IF(AND(M1006="positive",O1006="positive"),"a",IF(O1006="positive","b",IF(M1006="positive","c","d")))))</x:f>
        <x:v>d</x:v>
      </x:c>
      <x:c r="Q1006" s="12"/>
      <x:c r="R1006" s="12" t="str">
        <x:v>negative</x:v>
      </x:c>
      <x:c r="S1006" s="12"/>
      <x:c r="T1006" s="12" t="str">
        <x:v>negative</x:v>
      </x:c>
      <x:c r="U1006" s="12" t="str">
        <x:f>IF(OR(R1006="unavailable",T1006="unavailable"),"不可评价",IF(OR(R1006="equivocal",T1006="equivocal"),"疑似",IF(AND(R1006="positive",T1006="positive"),"a",IF(T1006="positive","b",IF(R1006="positive","c","d")))))</x:f>
        <x:v>d</x:v>
      </x:c>
      <x:c r="V1006" s="12"/>
      <x:c r="W1006" s="12" t="str">
        <x:v>negative</x:v>
      </x:c>
      <x:c r="X1006" s="12"/>
      <x:c r="Y1006" s="12" t="str">
        <x:v>negative</x:v>
      </x:c>
      <x:c r="Z1006" s="12" t="str">
        <x:f>IF(OR(W1006="unavailable",Y1006="unavailable"),"不可评价",IF(OR(W1006="equivocal",Y1006="equivocal"),"疑似",IF(AND(W1006="positive",Y1006="positive"),"a",IF(Y1006="positive","b",IF(W1006="positive","c","d")))))</x:f>
        <x:v>d</x:v>
      </x:c>
      <x:c r="AA1006" s="12" t="str">
        <x:f>IF(OR(M1006="unavailable",O1006="unavailable"),"不可评价",IF(AND(OR(M1006="positive",M1006="equivocal"),OR(O1006="positive",O1006="equivocal")),"a",IF(OR(O1006="positive",O1006="equivocal"),"b",IF(OR(M1006="positive",M1006="equivocal"),"c","d"))))</x:f>
        <x:v>d</x:v>
      </x:c>
      <x:c r="AB1006" s="12" t="str">
        <x:f>IF(OR(M1006="unavailable",O1006="unavailable"),"不可评价",IF(AND(M1006="positive",O1006="positive"),"a",IF(O1006="positive","b",IF(M1006="positive","c","d"))))</x:f>
        <x:v>d</x:v>
      </x:c>
      <x:c r="AC1006" s="12" t="str">
        <x:f>IF(OR(R1006="unavailable",T1006="unavailable"),"不可评价",IF(AND(OR(R1006="positive",R1006="equivocal"),OR(T1006="positive",T1006="equivocal")),"a",IF(OR(T1006="positive",T1006="equivocal"),"b",IF(OR(R1006="positive",R1006="equivocal"),"c","d"))))</x:f>
        <x:v>d</x:v>
      </x:c>
      <x:c r="AD1006" s="12" t="str">
        <x:f>IF(OR(R1006="unavailable",T1006="unavailable"),"不可评价",IF(AND(R1006="positive",T1006="positive"),"a",IF(T1006="positive","b",IF(R1006="positive","c","d"))))</x:f>
        <x:v>d</x:v>
      </x:c>
      <x:c r="AE1006" s="12" t="str">
        <x:f>IF(OR(W1006="unavailable",Y1006="unavailable"),"不可评价",IF(AND(OR(W1006="positive",W1006="equivocal"),OR(Y1006="positive",Y1006="equivocal")),"a",IF(OR(Y1006="positive",Y1006="equivocal"),"b",IF(OR(W1006="positive",W1006="equivocal"),"c","d"))))</x:f>
        <x:v>d</x:v>
      </x:c>
      <x:c r="AF1006" s="12" t="str">
        <x:f>IF(OR(W1006="unavailable",Y1006="unavailable"),"不可评价",IF(AND(W1006="positive",Y1006="positive"),"a",IF(Y1006="positive","b",IF(W1006="positive","c","d"))))</x:f>
        <x:v>d</x:v>
      </x:c>
    </x:row>
    <x:row r="1007" ht="24" customHeight="1">
      <x:c r="A1007" s="12" t="str">
        <x:v>8813</x:v>
      </x:c>
      <x:c r="B1007" s="12" t="str">
        <x:v>10802</x:v>
      </x:c>
      <x:c r="C1007" s="21" t="n">
        <x:v>33837.53525462963</x:v>
      </x:c>
      <x:c r="D1007" s="12" t="n">
        <x:v>50</x:v>
      </x:c>
      <x:c r="E1007" s="12" t="n">
        <x:v>0</x:v>
      </x:c>
      <x:c r="F1007" s="12" t="str">
        <x:v>未记录</x:v>
      </x:c>
      <x:c r="G1007" s="12" t="n">
        <x:v>1</x:v>
      </x:c>
      <x:c r="H1007" s="12" t="str">
        <x:v>{'NDT': 100.0, 'LAFB': 100.0, 'SR': 0.0}</x:v>
      </x:c>
      <x:c r="I1007" s="12" t="str">
        <x:v>[('SBRAD', 100.0), ('LAD3', 100.0), ('NT', 100.0), ('AB', 100.0)]</x:v>
      </x:c>
      <x:c r="J1007" s="12" t="str">
        <x:v>ptbxl_database.csv；ecg_id=8813；scp_codes</x:v>
      </x:c>
      <x:c r="K1007" s="12" t="str">
        <x:v>12sl_statements.csv；ecg_id=8813；statements_ext_snomed</x:v>
      </x:c>
      <x:c r="L1007" s="12"/>
      <x:c r="M1007" s="12" t="str">
        <x:v>negative</x:v>
      </x:c>
      <x:c r="N1007" s="12"/>
      <x:c r="O1007" s="12" t="str">
        <x:v>negative</x:v>
      </x:c>
      <x:c r="P1007" s="12" t="str">
        <x:f>IF(OR(M1007="unavailable",O1007="unavailable"),"不可评价",IF(OR(M1007="equivocal",O1007="equivocal"),"疑似",IF(AND(M1007="positive",O1007="positive"),"a",IF(O1007="positive","b",IF(M1007="positive","c","d")))))</x:f>
        <x:v>d</x:v>
      </x:c>
      <x:c r="Q1007" s="12"/>
      <x:c r="R1007" s="12" t="str">
        <x:v>negative</x:v>
      </x:c>
      <x:c r="S1007" s="12"/>
      <x:c r="T1007" s="12" t="str">
        <x:v>negative</x:v>
      </x:c>
      <x:c r="U1007" s="12" t="str">
        <x:f>IF(OR(R1007="unavailable",T1007="unavailable"),"不可评价",IF(OR(R1007="equivocal",T1007="equivocal"),"疑似",IF(AND(R1007="positive",T1007="positive"),"a",IF(T1007="positive","b",IF(R1007="positive","c","d")))))</x:f>
        <x:v>d</x:v>
      </x:c>
      <x:c r="V1007" s="12"/>
      <x:c r="W1007" s="12" t="str">
        <x:v>negative</x:v>
      </x:c>
      <x:c r="X1007" s="12"/>
      <x:c r="Y1007" s="12" t="str">
        <x:v>negative</x:v>
      </x:c>
      <x:c r="Z1007" s="12" t="str">
        <x:f>IF(OR(W1007="unavailable",Y1007="unavailable"),"不可评价",IF(OR(W1007="equivocal",Y1007="equivocal"),"疑似",IF(AND(W1007="positive",Y1007="positive"),"a",IF(Y1007="positive","b",IF(W1007="positive","c","d")))))</x:f>
        <x:v>d</x:v>
      </x:c>
      <x:c r="AA1007" s="12" t="str">
        <x:f>IF(OR(M1007="unavailable",O1007="unavailable"),"不可评价",IF(AND(OR(M1007="positive",M1007="equivocal"),OR(O1007="positive",O1007="equivocal")),"a",IF(OR(O1007="positive",O1007="equivocal"),"b",IF(OR(M1007="positive",M1007="equivocal"),"c","d"))))</x:f>
        <x:v>d</x:v>
      </x:c>
      <x:c r="AB1007" s="12" t="str">
        <x:f>IF(OR(M1007="unavailable",O1007="unavailable"),"不可评价",IF(AND(M1007="positive",O1007="positive"),"a",IF(O1007="positive","b",IF(M1007="positive","c","d"))))</x:f>
        <x:v>d</x:v>
      </x:c>
      <x:c r="AC1007" s="12" t="str">
        <x:f>IF(OR(R1007="unavailable",T1007="unavailable"),"不可评价",IF(AND(OR(R1007="positive",R1007="equivocal"),OR(T1007="positive",T1007="equivocal")),"a",IF(OR(T1007="positive",T1007="equivocal"),"b",IF(OR(R1007="positive",R1007="equivocal"),"c","d"))))</x:f>
        <x:v>d</x:v>
      </x:c>
      <x:c r="AD1007" s="12" t="str">
        <x:f>IF(OR(R1007="unavailable",T1007="unavailable"),"不可评价",IF(AND(R1007="positive",T1007="positive"),"a",IF(T1007="positive","b",IF(R1007="positive","c","d"))))</x:f>
        <x:v>d</x:v>
      </x:c>
      <x:c r="AE1007" s="12" t="str">
        <x:f>IF(OR(W1007="unavailable",Y1007="unavailable"),"不可评价",IF(AND(OR(W1007="positive",W1007="equivocal"),OR(Y1007="positive",Y1007="equivocal")),"a",IF(OR(Y1007="positive",Y1007="equivocal"),"b",IF(OR(W1007="positive",W1007="equivocal"),"c","d"))))</x:f>
        <x:v>d</x:v>
      </x:c>
      <x:c r="AF1007" s="12" t="str">
        <x:f>IF(OR(W1007="unavailable",Y1007="unavailable"),"不可评价",IF(AND(W1007="positive",Y1007="positive"),"a",IF(Y1007="positive","b",IF(W1007="positive","c","d"))))</x:f>
        <x:v>d</x:v>
      </x:c>
    </x:row>
    <x:row r="1008" ht="24" customHeight="1">
      <x:c r="A1008" s="12" t="str">
        <x:v>8815</x:v>
      </x:c>
      <x:c r="B1008" s="12" t="str">
        <x:v>21621</x:v>
      </x:c>
      <x:c r="C1008" s="21" t="n">
        <x:v>33838.43834490741</x:v>
      </x:c>
      <x:c r="D1008" s="12" t="n">
        <x:v>58</x:v>
      </x:c>
      <x:c r="E1008" s="12" t="n">
        <x:v>0</x:v>
      </x:c>
      <x:c r="F1008" s="12" t="str">
        <x:v>未记录</x:v>
      </x:c>
      <x:c r="G1008" s="12" t="n">
        <x:v>1</x:v>
      </x:c>
      <x:c r="H1008" s="12" t="str">
        <x:v>{'NORM': 100.0, 'IVCD': 100.0, 'SBRAD': 0.0}</x:v>
      </x:c>
      <x:c r="I1008" s="12" t="str">
        <x:v>[('SBRAD', 100.0), ('ABR', 100.0)]</x:v>
      </x:c>
      <x:c r="J1008" s="12" t="str">
        <x:v>ptbxl_database.csv；ecg_id=8815；scp_codes</x:v>
      </x:c>
      <x:c r="K1008" s="12" t="str">
        <x:v>12sl_statements.csv；ecg_id=8815；statements_ext_snomed</x:v>
      </x:c>
      <x:c r="L1008" s="12"/>
      <x:c r="M1008" s="12" t="str">
        <x:v>negative</x:v>
      </x:c>
      <x:c r="N1008" s="12"/>
      <x:c r="O1008" s="12" t="str">
        <x:v>negative</x:v>
      </x:c>
      <x:c r="P1008" s="12" t="str">
        <x:f>IF(OR(M1008="unavailable",O1008="unavailable"),"不可评价",IF(OR(M1008="equivocal",O1008="equivocal"),"疑似",IF(AND(M1008="positive",O1008="positive"),"a",IF(O1008="positive","b",IF(M1008="positive","c","d")))))</x:f>
        <x:v>d</x:v>
      </x:c>
      <x:c r="Q1008" s="12"/>
      <x:c r="R1008" s="12" t="str">
        <x:v>negative</x:v>
      </x:c>
      <x:c r="S1008" s="12"/>
      <x:c r="T1008" s="12" t="str">
        <x:v>negative</x:v>
      </x:c>
      <x:c r="U1008" s="12" t="str">
        <x:f>IF(OR(R1008="unavailable",T1008="unavailable"),"不可评价",IF(OR(R1008="equivocal",T1008="equivocal"),"疑似",IF(AND(R1008="positive",T1008="positive"),"a",IF(T1008="positive","b",IF(R1008="positive","c","d")))))</x:f>
        <x:v>d</x:v>
      </x:c>
      <x:c r="V1008" s="12"/>
      <x:c r="W1008" s="12" t="str">
        <x:v>negative</x:v>
      </x:c>
      <x:c r="X1008" s="12"/>
      <x:c r="Y1008" s="12" t="str">
        <x:v>negative</x:v>
      </x:c>
      <x:c r="Z1008" s="12" t="str">
        <x:f>IF(OR(W1008="unavailable",Y1008="unavailable"),"不可评价",IF(OR(W1008="equivocal",Y1008="equivocal"),"疑似",IF(AND(W1008="positive",Y1008="positive"),"a",IF(Y1008="positive","b",IF(W1008="positive","c","d")))))</x:f>
        <x:v>d</x:v>
      </x:c>
      <x:c r="AA1008" s="12" t="str">
        <x:f>IF(OR(M1008="unavailable",O1008="unavailable"),"不可评价",IF(AND(OR(M1008="positive",M1008="equivocal"),OR(O1008="positive",O1008="equivocal")),"a",IF(OR(O1008="positive",O1008="equivocal"),"b",IF(OR(M1008="positive",M1008="equivocal"),"c","d"))))</x:f>
        <x:v>d</x:v>
      </x:c>
      <x:c r="AB1008" s="12" t="str">
        <x:f>IF(OR(M1008="unavailable",O1008="unavailable"),"不可评价",IF(AND(M1008="positive",O1008="positive"),"a",IF(O1008="positive","b",IF(M1008="positive","c","d"))))</x:f>
        <x:v>d</x:v>
      </x:c>
      <x:c r="AC1008" s="12" t="str">
        <x:f>IF(OR(R1008="unavailable",T1008="unavailable"),"不可评价",IF(AND(OR(R1008="positive",R1008="equivocal"),OR(T1008="positive",T1008="equivocal")),"a",IF(OR(T1008="positive",T1008="equivocal"),"b",IF(OR(R1008="positive",R1008="equivocal"),"c","d"))))</x:f>
        <x:v>d</x:v>
      </x:c>
      <x:c r="AD1008" s="12" t="str">
        <x:f>IF(OR(R1008="unavailable",T1008="unavailable"),"不可评价",IF(AND(R1008="positive",T1008="positive"),"a",IF(T1008="positive","b",IF(R1008="positive","c","d"))))</x:f>
        <x:v>d</x:v>
      </x:c>
      <x:c r="AE1008" s="12" t="str">
        <x:f>IF(OR(W1008="unavailable",Y1008="unavailable"),"不可评价",IF(AND(OR(W1008="positive",W1008="equivocal"),OR(Y1008="positive",Y1008="equivocal")),"a",IF(OR(Y1008="positive",Y1008="equivocal"),"b",IF(OR(W1008="positive",W1008="equivocal"),"c","d"))))</x:f>
        <x:v>d</x:v>
      </x:c>
      <x:c r="AF1008" s="12" t="str">
        <x:f>IF(OR(W1008="unavailable",Y1008="unavailable"),"不可评价",IF(AND(W1008="positive",Y1008="positive"),"a",IF(Y1008="positive","b",IF(W1008="positive","c","d"))))</x:f>
        <x:v>d</x:v>
      </x:c>
    </x:row>
    <x:row r="1009" ht="24" customHeight="1">
      <x:c r="A1009" s="12" t="str">
        <x:v>8833</x:v>
      </x:c>
      <x:c r="B1009" s="12" t="str">
        <x:v>8660</x:v>
      </x:c>
      <x:c r="C1009" s="21" t="n">
        <x:v>33842.37542824074</x:v>
      </x:c>
      <x:c r="D1009" s="12" t="n">
        <x:v>51</x:v>
      </x:c>
      <x:c r="E1009" s="12" t="n">
        <x:v>0</x:v>
      </x:c>
      <x:c r="F1009" s="12" t="str">
        <x:v>未记录</x:v>
      </x:c>
      <x:c r="G1009" s="12" t="n">
        <x:v>1</x:v>
      </x:c>
      <x:c r="H1009" s="12" t="str">
        <x:v>{'NORM': 100.0, 'SR': 0.0}</x:v>
      </x:c>
      <x:c r="I1009" s="12" t="str">
        <x:v>[('SBRAD', 100.0), ('ABR', 100.0)]</x:v>
      </x:c>
      <x:c r="J1009" s="12" t="str">
        <x:v>ptbxl_database.csv；ecg_id=8833；scp_codes</x:v>
      </x:c>
      <x:c r="K1009" s="12" t="str">
        <x:v>12sl_statements.csv；ecg_id=8833；statements_ext_snomed</x:v>
      </x:c>
      <x:c r="L1009" s="12"/>
      <x:c r="M1009" s="12" t="str">
        <x:v>negative</x:v>
      </x:c>
      <x:c r="N1009" s="12"/>
      <x:c r="O1009" s="12" t="str">
        <x:v>negative</x:v>
      </x:c>
      <x:c r="P1009" s="12" t="str">
        <x:f>IF(OR(M1009="unavailable",O1009="unavailable"),"不可评价",IF(OR(M1009="equivocal",O1009="equivocal"),"疑似",IF(AND(M1009="positive",O1009="positive"),"a",IF(O1009="positive","b",IF(M1009="positive","c","d")))))</x:f>
        <x:v>d</x:v>
      </x:c>
      <x:c r="Q1009" s="12"/>
      <x:c r="R1009" s="12" t="str">
        <x:v>negative</x:v>
      </x:c>
      <x:c r="S1009" s="12"/>
      <x:c r="T1009" s="12" t="str">
        <x:v>negative</x:v>
      </x:c>
      <x:c r="U1009" s="12" t="str">
        <x:f>IF(OR(R1009="unavailable",T1009="unavailable"),"不可评价",IF(OR(R1009="equivocal",T1009="equivocal"),"疑似",IF(AND(R1009="positive",T1009="positive"),"a",IF(T1009="positive","b",IF(R1009="positive","c","d")))))</x:f>
        <x:v>d</x:v>
      </x:c>
      <x:c r="V1009" s="12"/>
      <x:c r="W1009" s="12" t="str">
        <x:v>negative</x:v>
      </x:c>
      <x:c r="X1009" s="12"/>
      <x:c r="Y1009" s="12" t="str">
        <x:v>negative</x:v>
      </x:c>
      <x:c r="Z1009" s="12" t="str">
        <x:f>IF(OR(W1009="unavailable",Y1009="unavailable"),"不可评价",IF(OR(W1009="equivocal",Y1009="equivocal"),"疑似",IF(AND(W1009="positive",Y1009="positive"),"a",IF(Y1009="positive","b",IF(W1009="positive","c","d")))))</x:f>
        <x:v>d</x:v>
      </x:c>
      <x:c r="AA1009" s="12" t="str">
        <x:f>IF(OR(M1009="unavailable",O1009="unavailable"),"不可评价",IF(AND(OR(M1009="positive",M1009="equivocal"),OR(O1009="positive",O1009="equivocal")),"a",IF(OR(O1009="positive",O1009="equivocal"),"b",IF(OR(M1009="positive",M1009="equivocal"),"c","d"))))</x:f>
        <x:v>d</x:v>
      </x:c>
      <x:c r="AB1009" s="12" t="str">
        <x:f>IF(OR(M1009="unavailable",O1009="unavailable"),"不可评价",IF(AND(M1009="positive",O1009="positive"),"a",IF(O1009="positive","b",IF(M1009="positive","c","d"))))</x:f>
        <x:v>d</x:v>
      </x:c>
      <x:c r="AC1009" s="12" t="str">
        <x:f>IF(OR(R1009="unavailable",T1009="unavailable"),"不可评价",IF(AND(OR(R1009="positive",R1009="equivocal"),OR(T1009="positive",T1009="equivocal")),"a",IF(OR(T1009="positive",T1009="equivocal"),"b",IF(OR(R1009="positive",R1009="equivocal"),"c","d"))))</x:f>
        <x:v>d</x:v>
      </x:c>
      <x:c r="AD1009" s="12" t="str">
        <x:f>IF(OR(R1009="unavailable",T1009="unavailable"),"不可评价",IF(AND(R1009="positive",T1009="positive"),"a",IF(T1009="positive","b",IF(R1009="positive","c","d"))))</x:f>
        <x:v>d</x:v>
      </x:c>
      <x:c r="AE1009" s="12" t="str">
        <x:f>IF(OR(W1009="unavailable",Y1009="unavailable"),"不可评价",IF(AND(OR(W1009="positive",W1009="equivocal"),OR(Y1009="positive",Y1009="equivocal")),"a",IF(OR(Y1009="positive",Y1009="equivocal"),"b",IF(OR(W1009="positive",W1009="equivocal"),"c","d"))))</x:f>
        <x:v>d</x:v>
      </x:c>
      <x:c r="AF1009" s="12" t="str">
        <x:f>IF(OR(W1009="unavailable",Y1009="unavailable"),"不可评价",IF(AND(W1009="positive",Y1009="positive"),"a",IF(Y1009="positive","b",IF(W1009="positive","c","d"))))</x:f>
        <x:v>d</x:v>
      </x:c>
    </x:row>
    <x:row r="1010" ht="24" customHeight="1">
      <x:c r="A1010" s="12" t="str">
        <x:v>8834</x:v>
      </x:c>
      <x:c r="B1010" s="12" t="str">
        <x:v>21657</x:v>
      </x:c>
      <x:c r="C1010" s="21" t="n">
        <x:v>33842.84166666667</x:v>
      </x:c>
      <x:c r="D1010" s="12" t="n">
        <x:v>56</x:v>
      </x:c>
      <x:c r="E1010" s="12" t="n">
        <x:v>1</x:v>
      </x:c>
      <x:c r="F1010" s="12" t="str">
        <x:v>未记录</x:v>
      </x:c>
      <x:c r="G1010" s="12" t="n">
        <x:v>1</x:v>
      </x:c>
      <x:c r="H1010" s="12" t="str">
        <x:v>{'NDT': 100.0, 'SR': 0.0}</x:v>
      </x:c>
      <x:c r="I1010" s="12" t="str">
        <x:v>[('NSR', 100.0), ('NML', 100.0)]</x:v>
      </x:c>
      <x:c r="J1010" s="12" t="str">
        <x:v>ptbxl_database.csv；ecg_id=8834；scp_codes</x:v>
      </x:c>
      <x:c r="K1010" s="12" t="str">
        <x:v>12sl_statements.csv；ecg_id=8834；statements_ext_snomed</x:v>
      </x:c>
      <x:c r="L1010" s="12"/>
      <x:c r="M1010" s="12" t="str">
        <x:v>negative</x:v>
      </x:c>
      <x:c r="N1010" s="12"/>
      <x:c r="O1010" s="12" t="str">
        <x:v>negative</x:v>
      </x:c>
      <x:c r="P1010" s="12" t="str">
        <x:f>IF(OR(M1010="unavailable",O1010="unavailable"),"不可评价",IF(OR(M1010="equivocal",O1010="equivocal"),"疑似",IF(AND(M1010="positive",O1010="positive"),"a",IF(O1010="positive","b",IF(M1010="positive","c","d")))))</x:f>
        <x:v>d</x:v>
      </x:c>
      <x:c r="Q1010" s="12"/>
      <x:c r="R1010" s="12" t="str">
        <x:v>negative</x:v>
      </x:c>
      <x:c r="S1010" s="12"/>
      <x:c r="T1010" s="12" t="str">
        <x:v>negative</x:v>
      </x:c>
      <x:c r="U1010" s="12" t="str">
        <x:f>IF(OR(R1010="unavailable",T1010="unavailable"),"不可评价",IF(OR(R1010="equivocal",T1010="equivocal"),"疑似",IF(AND(R1010="positive",T1010="positive"),"a",IF(T1010="positive","b",IF(R1010="positive","c","d")))))</x:f>
        <x:v>d</x:v>
      </x:c>
      <x:c r="V1010" s="12"/>
      <x:c r="W1010" s="12" t="str">
        <x:v>negative</x:v>
      </x:c>
      <x:c r="X1010" s="12"/>
      <x:c r="Y1010" s="12" t="str">
        <x:v>negative</x:v>
      </x:c>
      <x:c r="Z1010" s="12" t="str">
        <x:f>IF(OR(W1010="unavailable",Y1010="unavailable"),"不可评价",IF(OR(W1010="equivocal",Y1010="equivocal"),"疑似",IF(AND(W1010="positive",Y1010="positive"),"a",IF(Y1010="positive","b",IF(W1010="positive","c","d")))))</x:f>
        <x:v>d</x:v>
      </x:c>
      <x:c r="AA1010" s="12" t="str">
        <x:f>IF(OR(M1010="unavailable",O1010="unavailable"),"不可评价",IF(AND(OR(M1010="positive",M1010="equivocal"),OR(O1010="positive",O1010="equivocal")),"a",IF(OR(O1010="positive",O1010="equivocal"),"b",IF(OR(M1010="positive",M1010="equivocal"),"c","d"))))</x:f>
        <x:v>d</x:v>
      </x:c>
      <x:c r="AB1010" s="12" t="str">
        <x:f>IF(OR(M1010="unavailable",O1010="unavailable"),"不可评价",IF(AND(M1010="positive",O1010="positive"),"a",IF(O1010="positive","b",IF(M1010="positive","c","d"))))</x:f>
        <x:v>d</x:v>
      </x:c>
      <x:c r="AC1010" s="12" t="str">
        <x:f>IF(OR(R1010="unavailable",T1010="unavailable"),"不可评价",IF(AND(OR(R1010="positive",R1010="equivocal"),OR(T1010="positive",T1010="equivocal")),"a",IF(OR(T1010="positive",T1010="equivocal"),"b",IF(OR(R1010="positive",R1010="equivocal"),"c","d"))))</x:f>
        <x:v>d</x:v>
      </x:c>
      <x:c r="AD1010" s="12" t="str">
        <x:f>IF(OR(R1010="unavailable",T1010="unavailable"),"不可评价",IF(AND(R1010="positive",T1010="positive"),"a",IF(T1010="positive","b",IF(R1010="positive","c","d"))))</x:f>
        <x:v>d</x:v>
      </x:c>
      <x:c r="AE1010" s="12" t="str">
        <x:f>IF(OR(W1010="unavailable",Y1010="unavailable"),"不可评价",IF(AND(OR(W1010="positive",W1010="equivocal"),OR(Y1010="positive",Y1010="equivocal")),"a",IF(OR(Y1010="positive",Y1010="equivocal"),"b",IF(OR(W1010="positive",W1010="equivocal"),"c","d"))))</x:f>
        <x:v>d</x:v>
      </x:c>
      <x:c r="AF1010" s="12" t="str">
        <x:f>IF(OR(W1010="unavailable",Y1010="unavailable"),"不可评价",IF(AND(W1010="positive",Y1010="positive"),"a",IF(Y1010="positive","b",IF(W1010="positive","c","d"))))</x:f>
        <x:v>d</x:v>
      </x:c>
    </x:row>
    <x:row r="1011" ht="24" customHeight="1">
      <x:c r="A1011" s="12" t="str">
        <x:v>8844</x:v>
      </x:c>
      <x:c r="B1011" s="12" t="str">
        <x:v>13108</x:v>
      </x:c>
      <x:c r="C1011" s="21" t="n">
        <x:v>33845.48743055556</x:v>
      </x:c>
      <x:c r="D1011" s="12" t="n">
        <x:v>60</x:v>
      </x:c>
      <x:c r="E1011" s="12" t="n">
        <x:v>1</x:v>
      </x:c>
      <x:c r="F1011" s="12" t="str">
        <x:v>未记录</x:v>
      </x:c>
      <x:c r="G1011" s="12" t="n">
        <x:v>1</x:v>
      </x:c>
      <x:c r="H1011" s="12" t="str">
        <x:v>{'NORM': 100.0, 'SR': 0.0}</x:v>
      </x:c>
      <x:c r="I1011" s="12" t="str">
        <x:v>[('NSR', 100.0), ('NML', 100.0)]</x:v>
      </x:c>
      <x:c r="J1011" s="12" t="str">
        <x:v>ptbxl_database.csv；ecg_id=8844；scp_codes</x:v>
      </x:c>
      <x:c r="K1011" s="12" t="str">
        <x:v>12sl_statements.csv；ecg_id=8844；statements_ext_snomed</x:v>
      </x:c>
      <x:c r="L1011" s="12"/>
      <x:c r="M1011" s="12" t="str">
        <x:v>negative</x:v>
      </x:c>
      <x:c r="N1011" s="12"/>
      <x:c r="O1011" s="12" t="str">
        <x:v>negative</x:v>
      </x:c>
      <x:c r="P1011" s="12" t="str">
        <x:f>IF(OR(M1011="unavailable",O1011="unavailable"),"不可评价",IF(OR(M1011="equivocal",O1011="equivocal"),"疑似",IF(AND(M1011="positive",O1011="positive"),"a",IF(O1011="positive","b",IF(M1011="positive","c","d")))))</x:f>
        <x:v>d</x:v>
      </x:c>
      <x:c r="Q1011" s="12"/>
      <x:c r="R1011" s="12" t="str">
        <x:v>negative</x:v>
      </x:c>
      <x:c r="S1011" s="12"/>
      <x:c r="T1011" s="12" t="str">
        <x:v>negative</x:v>
      </x:c>
      <x:c r="U1011" s="12" t="str">
        <x:f>IF(OR(R1011="unavailable",T1011="unavailable"),"不可评价",IF(OR(R1011="equivocal",T1011="equivocal"),"疑似",IF(AND(R1011="positive",T1011="positive"),"a",IF(T1011="positive","b",IF(R1011="positive","c","d")))))</x:f>
        <x:v>d</x:v>
      </x:c>
      <x:c r="V1011" s="12"/>
      <x:c r="W1011" s="12" t="str">
        <x:v>negative</x:v>
      </x:c>
      <x:c r="X1011" s="12"/>
      <x:c r="Y1011" s="12" t="str">
        <x:v>negative</x:v>
      </x:c>
      <x:c r="Z1011" s="12" t="str">
        <x:f>IF(OR(W1011="unavailable",Y1011="unavailable"),"不可评价",IF(OR(W1011="equivocal",Y1011="equivocal"),"疑似",IF(AND(W1011="positive",Y1011="positive"),"a",IF(Y1011="positive","b",IF(W1011="positive","c","d")))))</x:f>
        <x:v>d</x:v>
      </x:c>
      <x:c r="AA1011" s="12" t="str">
        <x:f>IF(OR(M1011="unavailable",O1011="unavailable"),"不可评价",IF(AND(OR(M1011="positive",M1011="equivocal"),OR(O1011="positive",O1011="equivocal")),"a",IF(OR(O1011="positive",O1011="equivocal"),"b",IF(OR(M1011="positive",M1011="equivocal"),"c","d"))))</x:f>
        <x:v>d</x:v>
      </x:c>
      <x:c r="AB1011" s="12" t="str">
        <x:f>IF(OR(M1011="unavailable",O1011="unavailable"),"不可评价",IF(AND(M1011="positive",O1011="positive"),"a",IF(O1011="positive","b",IF(M1011="positive","c","d"))))</x:f>
        <x:v>d</x:v>
      </x:c>
      <x:c r="AC1011" s="12" t="str">
        <x:f>IF(OR(R1011="unavailable",T1011="unavailable"),"不可评价",IF(AND(OR(R1011="positive",R1011="equivocal"),OR(T1011="positive",T1011="equivocal")),"a",IF(OR(T1011="positive",T1011="equivocal"),"b",IF(OR(R1011="positive",R1011="equivocal"),"c","d"))))</x:f>
        <x:v>d</x:v>
      </x:c>
      <x:c r="AD1011" s="12" t="str">
        <x:f>IF(OR(R1011="unavailable",T1011="unavailable"),"不可评价",IF(AND(R1011="positive",T1011="positive"),"a",IF(T1011="positive","b",IF(R1011="positive","c","d"))))</x:f>
        <x:v>d</x:v>
      </x:c>
      <x:c r="AE1011" s="12" t="str">
        <x:f>IF(OR(W1011="unavailable",Y1011="unavailable"),"不可评价",IF(AND(OR(W1011="positive",W1011="equivocal"),OR(Y1011="positive",Y1011="equivocal")),"a",IF(OR(Y1011="positive",Y1011="equivocal"),"b",IF(OR(W1011="positive",W1011="equivocal"),"c","d"))))</x:f>
        <x:v>d</x:v>
      </x:c>
      <x:c r="AF1011" s="12" t="str">
        <x:f>IF(OR(W1011="unavailable",Y1011="unavailable"),"不可评价",IF(AND(W1011="positive",Y1011="positive"),"a",IF(Y1011="positive","b",IF(W1011="positive","c","d"))))</x:f>
        <x:v>d</x:v>
      </x:c>
    </x:row>
    <x:row r="1012" ht="24" customHeight="1">
      <x:c r="A1012" s="12" t="str">
        <x:v>8853</x:v>
      </x:c>
      <x:c r="B1012" s="12" t="str">
        <x:v>18709</x:v>
      </x:c>
      <x:c r="C1012" s="21" t="n">
        <x:v>33846.78538194444</x:v>
      </x:c>
      <x:c r="D1012" s="12" t="n">
        <x:v>78</x:v>
      </x:c>
      <x:c r="E1012" s="12" t="n">
        <x:v>1</x:v>
      </x:c>
      <x:c r="F1012" s="12" t="str">
        <x:v>未记录</x:v>
      </x:c>
      <x:c r="G1012" s="12" t="n">
        <x:v>1</x:v>
      </x:c>
      <x:c r="H1012" s="12" t="str">
        <x:v>{'NORM': 100.0, 'SR': 0.0}</x:v>
      </x:c>
      <x:c r="I1012" s="12" t="str">
        <x:v>[('NSR', 100.0), ('NML', 100.0)]</x:v>
      </x:c>
      <x:c r="J1012" s="12" t="str">
        <x:v>ptbxl_database.csv；ecg_id=8853；scp_codes</x:v>
      </x:c>
      <x:c r="K1012" s="12" t="str">
        <x:v>12sl_statements.csv；ecg_id=8853；statements_ext_snomed</x:v>
      </x:c>
      <x:c r="L1012" s="12"/>
      <x:c r="M1012" s="12" t="str">
        <x:v>negative</x:v>
      </x:c>
      <x:c r="N1012" s="12"/>
      <x:c r="O1012" s="12" t="str">
        <x:v>negative</x:v>
      </x:c>
      <x:c r="P1012" s="12" t="str">
        <x:f>IF(OR(M1012="unavailable",O1012="unavailable"),"不可评价",IF(OR(M1012="equivocal",O1012="equivocal"),"疑似",IF(AND(M1012="positive",O1012="positive"),"a",IF(O1012="positive","b",IF(M1012="positive","c","d")))))</x:f>
        <x:v>d</x:v>
      </x:c>
      <x:c r="Q1012" s="12"/>
      <x:c r="R1012" s="12" t="str">
        <x:v>negative</x:v>
      </x:c>
      <x:c r="S1012" s="12"/>
      <x:c r="T1012" s="12" t="str">
        <x:v>negative</x:v>
      </x:c>
      <x:c r="U1012" s="12" t="str">
        <x:f>IF(OR(R1012="unavailable",T1012="unavailable"),"不可评价",IF(OR(R1012="equivocal",T1012="equivocal"),"疑似",IF(AND(R1012="positive",T1012="positive"),"a",IF(T1012="positive","b",IF(R1012="positive","c","d")))))</x:f>
        <x:v>d</x:v>
      </x:c>
      <x:c r="V1012" s="12"/>
      <x:c r="W1012" s="12" t="str">
        <x:v>negative</x:v>
      </x:c>
      <x:c r="X1012" s="12"/>
      <x:c r="Y1012" s="12" t="str">
        <x:v>negative</x:v>
      </x:c>
      <x:c r="Z1012" s="12" t="str">
        <x:f>IF(OR(W1012="unavailable",Y1012="unavailable"),"不可评价",IF(OR(W1012="equivocal",Y1012="equivocal"),"疑似",IF(AND(W1012="positive",Y1012="positive"),"a",IF(Y1012="positive","b",IF(W1012="positive","c","d")))))</x:f>
        <x:v>d</x:v>
      </x:c>
      <x:c r="AA1012" s="12" t="str">
        <x:f>IF(OR(M1012="unavailable",O1012="unavailable"),"不可评价",IF(AND(OR(M1012="positive",M1012="equivocal"),OR(O1012="positive",O1012="equivocal")),"a",IF(OR(O1012="positive",O1012="equivocal"),"b",IF(OR(M1012="positive",M1012="equivocal"),"c","d"))))</x:f>
        <x:v>d</x:v>
      </x:c>
      <x:c r="AB1012" s="12" t="str">
        <x:f>IF(OR(M1012="unavailable",O1012="unavailable"),"不可评价",IF(AND(M1012="positive",O1012="positive"),"a",IF(O1012="positive","b",IF(M1012="positive","c","d"))))</x:f>
        <x:v>d</x:v>
      </x:c>
      <x:c r="AC1012" s="12" t="str">
        <x:f>IF(OR(R1012="unavailable",T1012="unavailable"),"不可评价",IF(AND(OR(R1012="positive",R1012="equivocal"),OR(T1012="positive",T1012="equivocal")),"a",IF(OR(T1012="positive",T1012="equivocal"),"b",IF(OR(R1012="positive",R1012="equivocal"),"c","d"))))</x:f>
        <x:v>d</x:v>
      </x:c>
      <x:c r="AD1012" s="12" t="str">
        <x:f>IF(OR(R1012="unavailable",T1012="unavailable"),"不可评价",IF(AND(R1012="positive",T1012="positive"),"a",IF(T1012="positive","b",IF(R1012="positive","c","d"))))</x:f>
        <x:v>d</x:v>
      </x:c>
      <x:c r="AE1012" s="12" t="str">
        <x:f>IF(OR(W1012="unavailable",Y1012="unavailable"),"不可评价",IF(AND(OR(W1012="positive",W1012="equivocal"),OR(Y1012="positive",Y1012="equivocal")),"a",IF(OR(Y1012="positive",Y1012="equivocal"),"b",IF(OR(W1012="positive",W1012="equivocal"),"c","d"))))</x:f>
        <x:v>d</x:v>
      </x:c>
      <x:c r="AF1012" s="12" t="str">
        <x:f>IF(OR(W1012="unavailable",Y1012="unavailable"),"不可评价",IF(AND(W1012="positive",Y1012="positive"),"a",IF(Y1012="positive","b",IF(W1012="positive","c","d"))))</x:f>
        <x:v>d</x:v>
      </x:c>
    </x:row>
    <x:row r="1013" ht="39" customHeight="1">
      <x:c r="A1013" s="12" t="str">
        <x:v>8860</x:v>
      </x:c>
      <x:c r="B1013" s="12" t="str">
        <x:v>13085</x:v>
      </x:c>
      <x:c r="C1013" s="21" t="n">
        <x:v>33849.44236111111</x:v>
      </x:c>
      <x:c r="D1013" s="12" t="n">
        <x:v>70</x:v>
      </x:c>
      <x:c r="E1013" s="12" t="n">
        <x:v>1</x:v>
      </x:c>
      <x:c r="F1013" s="12" t="str">
        <x:v>未记录</x:v>
      </x:c>
      <x:c r="G1013" s="12" t="n">
        <x:v>1</x:v>
      </x:c>
      <x:c r="H1013" s="12" t="str">
        <x:v>{'ASMI': 100.0, 'LMI': 50.0, 'LVH': 100.0, 'ISC_': 100.0, 'ILBBB': 100.0, 'ABQRS': 0.0, 'SR': 0.0}</x:v>
      </x:c>
      <x:c r="I1013" s="12" t="str">
        <x:v>[('NSR', 100.0), ('LBBB', 100.0), ('AB', 100.0)]</x:v>
      </x:c>
      <x:c r="J1013" s="12" t="str">
        <x:v>ptbxl_database.csv；ecg_id=8860；scp_codes</x:v>
      </x:c>
      <x:c r="K1013" s="12" t="str">
        <x:v>12sl_statements.csv；ecg_id=8860；statements_ext_snomed</x:v>
      </x:c>
      <x:c r="L1013" s="12"/>
      <x:c r="M1013" s="12" t="str">
        <x:v>negative</x:v>
      </x:c>
      <x:c r="N1013" s="12"/>
      <x:c r="O1013" s="12" t="str">
        <x:v>negative</x:v>
      </x:c>
      <x:c r="P1013" s="12" t="str">
        <x:f>IF(OR(M1013="unavailable",O1013="unavailable"),"不可评价",IF(OR(M1013="equivocal",O1013="equivocal"),"疑似",IF(AND(M1013="positive",O1013="positive"),"a",IF(O1013="positive","b",IF(M1013="positive","c","d")))))</x:f>
        <x:v>d</x:v>
      </x:c>
      <x:c r="Q1013" s="12"/>
      <x:c r="R1013" s="12" t="str">
        <x:v>negative</x:v>
      </x:c>
      <x:c r="S1013" s="12" t="n">
        <x:v>100</x:v>
      </x:c>
      <x:c r="T1013" s="12" t="str">
        <x:v>positive</x:v>
      </x:c>
      <x:c r="U1013" s="12" t="str">
        <x:f>IF(OR(R1013="unavailable",T1013="unavailable"),"不可评价",IF(OR(R1013="equivocal",T1013="equivocal"),"疑似",IF(AND(R1013="positive",T1013="positive"),"a",IF(T1013="positive","b",IF(R1013="positive","c","d")))))</x:f>
        <x:v>b</x:v>
      </x:c>
      <x:c r="V1013" s="12"/>
      <x:c r="W1013" s="12" t="str">
        <x:v>negative</x:v>
      </x:c>
      <x:c r="X1013" s="12"/>
      <x:c r="Y1013" s="12" t="str">
        <x:v>negative</x:v>
      </x:c>
      <x:c r="Z1013" s="12" t="str">
        <x:f>IF(OR(W1013="unavailable",Y1013="unavailable"),"不可评价",IF(OR(W1013="equivocal",Y1013="equivocal"),"疑似",IF(AND(W1013="positive",Y1013="positive"),"a",IF(Y1013="positive","b",IF(W1013="positive","c","d")))))</x:f>
        <x:v>d</x:v>
      </x:c>
      <x:c r="AA1013" s="12" t="str">
        <x:f>IF(OR(M1013="unavailable",O1013="unavailable"),"不可评价",IF(AND(OR(M1013="positive",M1013="equivocal"),OR(O1013="positive",O1013="equivocal")),"a",IF(OR(O1013="positive",O1013="equivocal"),"b",IF(OR(M1013="positive",M1013="equivocal"),"c","d"))))</x:f>
        <x:v>d</x:v>
      </x:c>
      <x:c r="AB1013" s="12" t="str">
        <x:f>IF(OR(M1013="unavailable",O1013="unavailable"),"不可评价",IF(AND(M1013="positive",O1013="positive"),"a",IF(O1013="positive","b",IF(M1013="positive","c","d"))))</x:f>
        <x:v>d</x:v>
      </x:c>
      <x:c r="AC1013" s="12" t="str">
        <x:f>IF(OR(R1013="unavailable",T1013="unavailable"),"不可评价",IF(AND(OR(R1013="positive",R1013="equivocal"),OR(T1013="positive",T1013="equivocal")),"a",IF(OR(T1013="positive",T1013="equivocal"),"b",IF(OR(R1013="positive",R1013="equivocal"),"c","d"))))</x:f>
        <x:v>b</x:v>
      </x:c>
      <x:c r="AD1013" s="12" t="str">
        <x:f>IF(OR(R1013="unavailable",T1013="unavailable"),"不可评价",IF(AND(R1013="positive",T1013="positive"),"a",IF(T1013="positive","b",IF(R1013="positive","c","d"))))</x:f>
        <x:v>b</x:v>
      </x:c>
      <x:c r="AE1013" s="12" t="str">
        <x:f>IF(OR(W1013="unavailable",Y1013="unavailable"),"不可评价",IF(AND(OR(W1013="positive",W1013="equivocal"),OR(Y1013="positive",Y1013="equivocal")),"a",IF(OR(Y1013="positive",Y1013="equivocal"),"b",IF(OR(W1013="positive",W1013="equivocal"),"c","d"))))</x:f>
        <x:v>d</x:v>
      </x:c>
      <x:c r="AF1013" s="12" t="str">
        <x:f>IF(OR(W1013="unavailable",Y1013="unavailable"),"不可评价",IF(AND(W1013="positive",Y1013="positive"),"a",IF(Y1013="positive","b",IF(W1013="positive","c","d"))))</x:f>
        <x:v>d</x:v>
      </x:c>
    </x:row>
    <x:row r="1014" ht="39" customHeight="1">
      <x:c r="A1014" s="12" t="str">
        <x:v>8864</x:v>
      </x:c>
      <x:c r="B1014" s="12" t="str">
        <x:v>16116</x:v>
      </x:c>
      <x:c r="C1014" s="21" t="n">
        <x:v>33850.68188657407</x:v>
      </x:c>
      <x:c r="D1014" s="12" t="n">
        <x:v>73</x:v>
      </x:c>
      <x:c r="E1014" s="12" t="n">
        <x:v>1</x:v>
      </x:c>
      <x:c r="F1014" s="12" t="str">
        <x:v>存在</x:v>
      </x:c>
      <x:c r="G1014" s="12" t="n">
        <x:v>1</x:v>
      </x:c>
      <x:c r="H1014" s="12" t="str">
        <x:v>{'ISCAL': 100.0, 'ISCAS': 100.0, 'DIG': 50.0, 'RAO/RAE': 35.0, 'SR': 0.0}</x:v>
      </x:c>
      <x:c r="I1014" s="12" t="str">
        <x:v>[('NSR', 100.0), ('ST&amp;', 100.0), ('ALT', 100.0), ('AB', 100.0)]</x:v>
      </x:c>
      <x:c r="J1014" s="12" t="str">
        <x:v>ptbxl_database.csv；ecg_id=8864；scp_codes</x:v>
      </x:c>
      <x:c r="K1014" s="12" t="str">
        <x:v>12sl_statements.csv；ecg_id=8864；statements_ext_snomed</x:v>
      </x:c>
      <x:c r="L1014" s="12"/>
      <x:c r="M1014" s="12" t="str">
        <x:v>negative</x:v>
      </x:c>
      <x:c r="N1014" s="12"/>
      <x:c r="O1014" s="12" t="str">
        <x:v>negative</x:v>
      </x:c>
      <x:c r="P1014" s="12" t="str">
        <x:f>IF(OR(M1014="unavailable",O1014="unavailable"),"不可评价",IF(OR(M1014="equivocal",O1014="equivocal"),"疑似",IF(AND(M1014="positive",O1014="positive"),"a",IF(O1014="positive","b",IF(M1014="positive","c","d")))))</x:f>
        <x:v>d</x:v>
      </x:c>
      <x:c r="Q1014" s="12"/>
      <x:c r="R1014" s="12" t="str">
        <x:v>negative</x:v>
      </x:c>
      <x:c r="S1014" s="12"/>
      <x:c r="T1014" s="12" t="str">
        <x:v>negative</x:v>
      </x:c>
      <x:c r="U1014" s="12" t="str">
        <x:f>IF(OR(R1014="unavailable",T1014="unavailable"),"不可评价",IF(OR(R1014="equivocal",T1014="equivocal"),"疑似",IF(AND(R1014="positive",T1014="positive"),"a",IF(T1014="positive","b",IF(R1014="positive","c","d")))))</x:f>
        <x:v>d</x:v>
      </x:c>
      <x:c r="V1014" s="12"/>
      <x:c r="W1014" s="12" t="str">
        <x:v>negative</x:v>
      </x:c>
      <x:c r="X1014" s="12"/>
      <x:c r="Y1014" s="12" t="str">
        <x:v>negative</x:v>
      </x:c>
      <x:c r="Z1014" s="12" t="str">
        <x:f>IF(OR(W1014="unavailable",Y1014="unavailable"),"不可评价",IF(OR(W1014="equivocal",Y1014="equivocal"),"疑似",IF(AND(W1014="positive",Y1014="positive"),"a",IF(Y1014="positive","b",IF(W1014="positive","c","d")))))</x:f>
        <x:v>d</x:v>
      </x:c>
      <x:c r="AA1014" s="12" t="str">
        <x:f>IF(OR(M1014="unavailable",O1014="unavailable"),"不可评价",IF(AND(OR(M1014="positive",M1014="equivocal"),OR(O1014="positive",O1014="equivocal")),"a",IF(OR(O1014="positive",O1014="equivocal"),"b",IF(OR(M1014="positive",M1014="equivocal"),"c","d"))))</x:f>
        <x:v>d</x:v>
      </x:c>
      <x:c r="AB1014" s="12" t="str">
        <x:f>IF(OR(M1014="unavailable",O1014="unavailable"),"不可评价",IF(AND(M1014="positive",O1014="positive"),"a",IF(O1014="positive","b",IF(M1014="positive","c","d"))))</x:f>
        <x:v>d</x:v>
      </x:c>
      <x:c r="AC1014" s="12" t="str">
        <x:f>IF(OR(R1014="unavailable",T1014="unavailable"),"不可评价",IF(AND(OR(R1014="positive",R1014="equivocal"),OR(T1014="positive",T1014="equivocal")),"a",IF(OR(T1014="positive",T1014="equivocal"),"b",IF(OR(R1014="positive",R1014="equivocal"),"c","d"))))</x:f>
        <x:v>d</x:v>
      </x:c>
      <x:c r="AD1014" s="12" t="str">
        <x:f>IF(OR(R1014="unavailable",T1014="unavailable"),"不可评价",IF(AND(R1014="positive",T1014="positive"),"a",IF(T1014="positive","b",IF(R1014="positive","c","d"))))</x:f>
        <x:v>d</x:v>
      </x:c>
      <x:c r="AE1014" s="12" t="str">
        <x:f>IF(OR(W1014="unavailable",Y1014="unavailable"),"不可评价",IF(AND(OR(W1014="positive",W1014="equivocal"),OR(Y1014="positive",Y1014="equivocal")),"a",IF(OR(Y1014="positive",Y1014="equivocal"),"b",IF(OR(W1014="positive",W1014="equivocal"),"c","d"))))</x:f>
        <x:v>d</x:v>
      </x:c>
      <x:c r="AF1014" s="12" t="str">
        <x:f>IF(OR(W1014="unavailable",Y1014="unavailable"),"不可评价",IF(AND(W1014="positive",Y1014="positive"),"a",IF(Y1014="positive","b",IF(W1014="positive","c","d"))))</x:f>
        <x:v>d</x:v>
      </x:c>
    </x:row>
    <x:row r="1015" ht="39" customHeight="1">
      <x:c r="A1015" s="12" t="str">
        <x:v>8872</x:v>
      </x:c>
      <x:c r="B1015" s="12" t="str">
        <x:v>9764</x:v>
      </x:c>
      <x:c r="C1015" s="21" t="n">
        <x:v>33851.54085648148</x:v>
      </x:c>
      <x:c r="D1015" s="12" t="n">
        <x:v>60</x:v>
      </x:c>
      <x:c r="E1015" s="12" t="n">
        <x:v>0</x:v>
      </x:c>
      <x:c r="F1015" s="12" t="str">
        <x:v>未记录</x:v>
      </x:c>
      <x:c r="G1015" s="12" t="n">
        <x:v>1</x:v>
      </x:c>
      <x:c r="H1015" s="12" t="str">
        <x:v>{'PVC': 100.0, 'BIGU': 100.0}</x:v>
      </x:c>
      <x:c r="I1015" s="12" t="str">
        <x:v>[('SRTH', 100.0), ('PVC', 100.0), ('BIGEM', 100.0), ('LVH2', 100.0), ('QRSW-2ST', 100.0), ('AB', 100.0)]</x:v>
      </x:c>
      <x:c r="J1015" s="12" t="str">
        <x:v>ptbxl_database.csv；ecg_id=8872；scp_codes</x:v>
      </x:c>
      <x:c r="K1015" s="12" t="str">
        <x:v>12sl_statements.csv；ecg_id=8872；statements_ext_snomed</x:v>
      </x:c>
      <x:c r="L1015" s="12"/>
      <x:c r="M1015" s="12" t="str">
        <x:v>negative</x:v>
      </x:c>
      <x:c r="N1015" s="12"/>
      <x:c r="O1015" s="12" t="str">
        <x:v>negative</x:v>
      </x:c>
      <x:c r="P1015" s="12" t="str">
        <x:f>IF(OR(M1015="unavailable",O1015="unavailable"),"不可评价",IF(OR(M1015="equivocal",O1015="equivocal"),"疑似",IF(AND(M1015="positive",O1015="positive"),"a",IF(O1015="positive","b",IF(M1015="positive","c","d")))))</x:f>
        <x:v>d</x:v>
      </x:c>
      <x:c r="Q1015" s="12"/>
      <x:c r="R1015" s="12" t="str">
        <x:v>negative</x:v>
      </x:c>
      <x:c r="S1015" s="12"/>
      <x:c r="T1015" s="12" t="str">
        <x:v>negative</x:v>
      </x:c>
      <x:c r="U1015" s="12" t="str">
        <x:f>IF(OR(R1015="unavailable",T1015="unavailable"),"不可评价",IF(OR(R1015="equivocal",T1015="equivocal"),"疑似",IF(AND(R1015="positive",T1015="positive"),"a",IF(T1015="positive","b",IF(R1015="positive","c","d")))))</x:f>
        <x:v>d</x:v>
      </x:c>
      <x:c r="V1015" s="12"/>
      <x:c r="W1015" s="12" t="str">
        <x:v>negative</x:v>
      </x:c>
      <x:c r="X1015" s="12"/>
      <x:c r="Y1015" s="12" t="str">
        <x:v>negative</x:v>
      </x:c>
      <x:c r="Z1015" s="12" t="str">
        <x:f>IF(OR(W1015="unavailable",Y1015="unavailable"),"不可评价",IF(OR(W1015="equivocal",Y1015="equivocal"),"疑似",IF(AND(W1015="positive",Y1015="positive"),"a",IF(Y1015="positive","b",IF(W1015="positive","c","d")))))</x:f>
        <x:v>d</x:v>
      </x:c>
      <x:c r="AA1015" s="12" t="str">
        <x:f>IF(OR(M1015="unavailable",O1015="unavailable"),"不可评价",IF(AND(OR(M1015="positive",M1015="equivocal"),OR(O1015="positive",O1015="equivocal")),"a",IF(OR(O1015="positive",O1015="equivocal"),"b",IF(OR(M1015="positive",M1015="equivocal"),"c","d"))))</x:f>
        <x:v>d</x:v>
      </x:c>
      <x:c r="AB1015" s="12" t="str">
        <x:f>IF(OR(M1015="unavailable",O1015="unavailable"),"不可评价",IF(AND(M1015="positive",O1015="positive"),"a",IF(O1015="positive","b",IF(M1015="positive","c","d"))))</x:f>
        <x:v>d</x:v>
      </x:c>
      <x:c r="AC1015" s="12" t="str">
        <x:f>IF(OR(R1015="unavailable",T1015="unavailable"),"不可评价",IF(AND(OR(R1015="positive",R1015="equivocal"),OR(T1015="positive",T1015="equivocal")),"a",IF(OR(T1015="positive",T1015="equivocal"),"b",IF(OR(R1015="positive",R1015="equivocal"),"c","d"))))</x:f>
        <x:v>d</x:v>
      </x:c>
      <x:c r="AD1015" s="12" t="str">
        <x:f>IF(OR(R1015="unavailable",T1015="unavailable"),"不可评价",IF(AND(R1015="positive",T1015="positive"),"a",IF(T1015="positive","b",IF(R1015="positive","c","d"))))</x:f>
        <x:v>d</x:v>
      </x:c>
      <x:c r="AE1015" s="12" t="str">
        <x:f>IF(OR(W1015="unavailable",Y1015="unavailable"),"不可评价",IF(AND(OR(W1015="positive",W1015="equivocal"),OR(Y1015="positive",Y1015="equivocal")),"a",IF(OR(Y1015="positive",Y1015="equivocal"),"b",IF(OR(W1015="positive",W1015="equivocal"),"c","d"))))</x:f>
        <x:v>d</x:v>
      </x:c>
      <x:c r="AF1015" s="12" t="str">
        <x:f>IF(OR(W1015="unavailable",Y1015="unavailable"),"不可评价",IF(AND(W1015="positive",Y1015="positive"),"a",IF(Y1015="positive","b",IF(W1015="positive","c","d"))))</x:f>
        <x:v>d</x:v>
      </x:c>
    </x:row>
    <x:row r="1016" ht="39" customHeight="1">
      <x:c r="A1016" s="12" t="str">
        <x:v>8873</x:v>
      </x:c>
      <x:c r="B1016" s="12" t="str">
        <x:v>7291</x:v>
      </x:c>
      <x:c r="C1016" s="21" t="n">
        <x:v>33851.54917824074</x:v>
      </x:c>
      <x:c r="D1016" s="12" t="n">
        <x:v>74</x:v>
      </x:c>
      <x:c r="E1016" s="12" t="n">
        <x:v>1</x:v>
      </x:c>
      <x:c r="F1016" s="12" t="str">
        <x:v>未记录</x:v>
      </x:c>
      <x:c r="G1016" s="12" t="n">
        <x:v>1</x:v>
      </x:c>
      <x:c r="H1016" s="12" t="str">
        <x:v>{'INJAS': 50.0, 'LVH': 35.0, 'VCLVH': 0.0, 'LOWT': 0.0, 'INVT': 0.0, 'SR': 0.0}</x:v>
      </x:c>
      <x:c r="I1016" s="12" t="str">
        <x:v>[('NSR', 100.0), ('LVH2', 100.0), ('2ST', 100.0), ('AB', 100.0)]</x:v>
      </x:c>
      <x:c r="J1016" s="12" t="str">
        <x:v>ptbxl_database.csv；ecg_id=8873；scp_codes</x:v>
      </x:c>
      <x:c r="K1016" s="12" t="str">
        <x:v>12sl_statements.csv；ecg_id=8873；statements_ext_snomed</x:v>
      </x:c>
      <x:c r="L1016" s="12"/>
      <x:c r="M1016" s="12" t="str">
        <x:v>negative</x:v>
      </x:c>
      <x:c r="N1016" s="12"/>
      <x:c r="O1016" s="12" t="str">
        <x:v>negative</x:v>
      </x:c>
      <x:c r="P1016" s="12" t="str">
        <x:f>IF(OR(M1016="unavailable",O1016="unavailable"),"不可评价",IF(OR(M1016="equivocal",O1016="equivocal"),"疑似",IF(AND(M1016="positive",O1016="positive"),"a",IF(O1016="positive","b",IF(M1016="positive","c","d")))))</x:f>
        <x:v>d</x:v>
      </x:c>
      <x:c r="Q1016" s="12"/>
      <x:c r="R1016" s="12" t="str">
        <x:v>negative</x:v>
      </x:c>
      <x:c r="S1016" s="12"/>
      <x:c r="T1016" s="12" t="str">
        <x:v>negative</x:v>
      </x:c>
      <x:c r="U1016" s="12" t="str">
        <x:f>IF(OR(R1016="unavailable",T1016="unavailable"),"不可评价",IF(OR(R1016="equivocal",T1016="equivocal"),"疑似",IF(AND(R1016="positive",T1016="positive"),"a",IF(T1016="positive","b",IF(R1016="positive","c","d")))))</x:f>
        <x:v>d</x:v>
      </x:c>
      <x:c r="V1016" s="12"/>
      <x:c r="W1016" s="12" t="str">
        <x:v>negative</x:v>
      </x:c>
      <x:c r="X1016" s="12"/>
      <x:c r="Y1016" s="12" t="str">
        <x:v>negative</x:v>
      </x:c>
      <x:c r="Z1016" s="12" t="str">
        <x:f>IF(OR(W1016="unavailable",Y1016="unavailable"),"不可评价",IF(OR(W1016="equivocal",Y1016="equivocal"),"疑似",IF(AND(W1016="positive",Y1016="positive"),"a",IF(Y1016="positive","b",IF(W1016="positive","c","d")))))</x:f>
        <x:v>d</x:v>
      </x:c>
      <x:c r="AA1016" s="12" t="str">
        <x:f>IF(OR(M1016="unavailable",O1016="unavailable"),"不可评价",IF(AND(OR(M1016="positive",M1016="equivocal"),OR(O1016="positive",O1016="equivocal")),"a",IF(OR(O1016="positive",O1016="equivocal"),"b",IF(OR(M1016="positive",M1016="equivocal"),"c","d"))))</x:f>
        <x:v>d</x:v>
      </x:c>
      <x:c r="AB1016" s="12" t="str">
        <x:f>IF(OR(M1016="unavailable",O1016="unavailable"),"不可评价",IF(AND(M1016="positive",O1016="positive"),"a",IF(O1016="positive","b",IF(M1016="positive","c","d"))))</x:f>
        <x:v>d</x:v>
      </x:c>
      <x:c r="AC1016" s="12" t="str">
        <x:f>IF(OR(R1016="unavailable",T1016="unavailable"),"不可评价",IF(AND(OR(R1016="positive",R1016="equivocal"),OR(T1016="positive",T1016="equivocal")),"a",IF(OR(T1016="positive",T1016="equivocal"),"b",IF(OR(R1016="positive",R1016="equivocal"),"c","d"))))</x:f>
        <x:v>d</x:v>
      </x:c>
      <x:c r="AD1016" s="12" t="str">
        <x:f>IF(OR(R1016="unavailable",T1016="unavailable"),"不可评价",IF(AND(R1016="positive",T1016="positive"),"a",IF(T1016="positive","b",IF(R1016="positive","c","d"))))</x:f>
        <x:v>d</x:v>
      </x:c>
      <x:c r="AE1016" s="12" t="str">
        <x:f>IF(OR(W1016="unavailable",Y1016="unavailable"),"不可评价",IF(AND(OR(W1016="positive",W1016="equivocal"),OR(Y1016="positive",Y1016="equivocal")),"a",IF(OR(Y1016="positive",Y1016="equivocal"),"b",IF(OR(W1016="positive",W1016="equivocal"),"c","d"))))</x:f>
        <x:v>d</x:v>
      </x:c>
      <x:c r="AF1016" s="12" t="str">
        <x:f>IF(OR(W1016="unavailable",Y1016="unavailable"),"不可评价",IF(AND(W1016="positive",Y1016="positive"),"a",IF(Y1016="positive","b",IF(W1016="positive","c","d"))))</x:f>
        <x:v>d</x:v>
      </x:c>
    </x:row>
    <x:row r="1017" ht="24" customHeight="1">
      <x:c r="A1017" s="12" t="str">
        <x:v>8880</x:v>
      </x:c>
      <x:c r="B1017" s="12" t="str">
        <x:v>7595</x:v>
      </x:c>
      <x:c r="C1017" s="21" t="n">
        <x:v>33851.81835648148</x:v>
      </x:c>
      <x:c r="D1017" s="12" t="n">
        <x:v>70</x:v>
      </x:c>
      <x:c r="E1017" s="12" t="n">
        <x:v>1</x:v>
      </x:c>
      <x:c r="F1017" s="12" t="str">
        <x:v>未记录</x:v>
      </x:c>
      <x:c r="G1017" s="12" t="n">
        <x:v>1</x:v>
      </x:c>
      <x:c r="H1017" s="12" t="str">
        <x:v>{'LVH': 100.0, 'IVCD': 100.0}</x:v>
      </x:c>
      <x:c r="I1017" s="12" t="str">
        <x:v>[('NSR', 100.0), ('SAR', 100.0), ('BORDE', 100.0)]</x:v>
      </x:c>
      <x:c r="J1017" s="12" t="str">
        <x:v>ptbxl_database.csv；ecg_id=8880；scp_codes</x:v>
      </x:c>
      <x:c r="K1017" s="12" t="str">
        <x:v>12sl_statements.csv；ecg_id=8880；statements_ext_snomed</x:v>
      </x:c>
      <x:c r="L1017" s="12"/>
      <x:c r="M1017" s="12" t="str">
        <x:v>negative</x:v>
      </x:c>
      <x:c r="N1017" s="12"/>
      <x:c r="O1017" s="12" t="str">
        <x:v>negative</x:v>
      </x:c>
      <x:c r="P1017" s="12" t="str">
        <x:f>IF(OR(M1017="unavailable",O1017="unavailable"),"不可评价",IF(OR(M1017="equivocal",O1017="equivocal"),"疑似",IF(AND(M1017="positive",O1017="positive"),"a",IF(O1017="positive","b",IF(M1017="positive","c","d")))))</x:f>
        <x:v>d</x:v>
      </x:c>
      <x:c r="Q1017" s="12"/>
      <x:c r="R1017" s="12" t="str">
        <x:v>negative</x:v>
      </x:c>
      <x:c r="S1017" s="12"/>
      <x:c r="T1017" s="12" t="str">
        <x:v>negative</x:v>
      </x:c>
      <x:c r="U1017" s="12" t="str">
        <x:f>IF(OR(R1017="unavailable",T1017="unavailable"),"不可评价",IF(OR(R1017="equivocal",T1017="equivocal"),"疑似",IF(AND(R1017="positive",T1017="positive"),"a",IF(T1017="positive","b",IF(R1017="positive","c","d")))))</x:f>
        <x:v>d</x:v>
      </x:c>
      <x:c r="V1017" s="12"/>
      <x:c r="W1017" s="12" t="str">
        <x:v>negative</x:v>
      </x:c>
      <x:c r="X1017" s="12"/>
      <x:c r="Y1017" s="12" t="str">
        <x:v>negative</x:v>
      </x:c>
      <x:c r="Z1017" s="12" t="str">
        <x:f>IF(OR(W1017="unavailable",Y1017="unavailable"),"不可评价",IF(OR(W1017="equivocal",Y1017="equivocal"),"疑似",IF(AND(W1017="positive",Y1017="positive"),"a",IF(Y1017="positive","b",IF(W1017="positive","c","d")))))</x:f>
        <x:v>d</x:v>
      </x:c>
      <x:c r="AA1017" s="12" t="str">
        <x:f>IF(OR(M1017="unavailable",O1017="unavailable"),"不可评价",IF(AND(OR(M1017="positive",M1017="equivocal"),OR(O1017="positive",O1017="equivocal")),"a",IF(OR(O1017="positive",O1017="equivocal"),"b",IF(OR(M1017="positive",M1017="equivocal"),"c","d"))))</x:f>
        <x:v>d</x:v>
      </x:c>
      <x:c r="AB1017" s="12" t="str">
        <x:f>IF(OR(M1017="unavailable",O1017="unavailable"),"不可评价",IF(AND(M1017="positive",O1017="positive"),"a",IF(O1017="positive","b",IF(M1017="positive","c","d"))))</x:f>
        <x:v>d</x:v>
      </x:c>
      <x:c r="AC1017" s="12" t="str">
        <x:f>IF(OR(R1017="unavailable",T1017="unavailable"),"不可评价",IF(AND(OR(R1017="positive",R1017="equivocal"),OR(T1017="positive",T1017="equivocal")),"a",IF(OR(T1017="positive",T1017="equivocal"),"b",IF(OR(R1017="positive",R1017="equivocal"),"c","d"))))</x:f>
        <x:v>d</x:v>
      </x:c>
      <x:c r="AD1017" s="12" t="str">
        <x:f>IF(OR(R1017="unavailable",T1017="unavailable"),"不可评价",IF(AND(R1017="positive",T1017="positive"),"a",IF(T1017="positive","b",IF(R1017="positive","c","d"))))</x:f>
        <x:v>d</x:v>
      </x:c>
      <x:c r="AE1017" s="12" t="str">
        <x:f>IF(OR(W1017="unavailable",Y1017="unavailable"),"不可评价",IF(AND(OR(W1017="positive",W1017="equivocal"),OR(Y1017="positive",Y1017="equivocal")),"a",IF(OR(Y1017="positive",Y1017="equivocal"),"b",IF(OR(W1017="positive",W1017="equivocal"),"c","d"))))</x:f>
        <x:v>d</x:v>
      </x:c>
      <x:c r="AF1017" s="12" t="str">
        <x:f>IF(OR(W1017="unavailable",Y1017="unavailable"),"不可评价",IF(AND(W1017="positive",Y1017="positive"),"a",IF(Y1017="positive","b",IF(W1017="positive","c","d"))))</x:f>
        <x:v>d</x:v>
      </x:c>
    </x:row>
    <x:row r="1018" ht="24" customHeight="1">
      <x:c r="A1018" s="12" t="str">
        <x:v>8902</x:v>
      </x:c>
      <x:c r="B1018" s="12" t="str">
        <x:v>8605</x:v>
      </x:c>
      <x:c r="C1018" s="21" t="n">
        <x:v>33854.547997685186</x:v>
      </x:c>
      <x:c r="D1018" s="12" t="n">
        <x:v>35</x:v>
      </x:c>
      <x:c r="E1018" s="12" t="n">
        <x:v>0</x:v>
      </x:c>
      <x:c r="F1018" s="12" t="str">
        <x:v>未记录</x:v>
      </x:c>
      <x:c r="G1018" s="12" t="n">
        <x:v>1</x:v>
      </x:c>
      <x:c r="H1018" s="12" t="str">
        <x:v>{'NORM': 100.0, 'SR': 0.0}</x:v>
      </x:c>
      <x:c r="I1018" s="12" t="str">
        <x:v>[('SBRAD', 100.0), ('ABR', 100.0)]</x:v>
      </x:c>
      <x:c r="J1018" s="12" t="str">
        <x:v>ptbxl_database.csv；ecg_id=8902；scp_codes</x:v>
      </x:c>
      <x:c r="K1018" s="12" t="str">
        <x:v>12sl_statements.csv；ecg_id=8902；statements_ext_snomed</x:v>
      </x:c>
      <x:c r="L1018" s="12"/>
      <x:c r="M1018" s="12" t="str">
        <x:v>negative</x:v>
      </x:c>
      <x:c r="N1018" s="12"/>
      <x:c r="O1018" s="12" t="str">
        <x:v>negative</x:v>
      </x:c>
      <x:c r="P1018" s="12" t="str">
        <x:f>IF(OR(M1018="unavailable",O1018="unavailable"),"不可评价",IF(OR(M1018="equivocal",O1018="equivocal"),"疑似",IF(AND(M1018="positive",O1018="positive"),"a",IF(O1018="positive","b",IF(M1018="positive","c","d")))))</x:f>
        <x:v>d</x:v>
      </x:c>
      <x:c r="Q1018" s="12"/>
      <x:c r="R1018" s="12" t="str">
        <x:v>negative</x:v>
      </x:c>
      <x:c r="S1018" s="12"/>
      <x:c r="T1018" s="12" t="str">
        <x:v>negative</x:v>
      </x:c>
      <x:c r="U1018" s="12" t="str">
        <x:f>IF(OR(R1018="unavailable",T1018="unavailable"),"不可评价",IF(OR(R1018="equivocal",T1018="equivocal"),"疑似",IF(AND(R1018="positive",T1018="positive"),"a",IF(T1018="positive","b",IF(R1018="positive","c","d")))))</x:f>
        <x:v>d</x:v>
      </x:c>
      <x:c r="V1018" s="12"/>
      <x:c r="W1018" s="12" t="str">
        <x:v>negative</x:v>
      </x:c>
      <x:c r="X1018" s="12"/>
      <x:c r="Y1018" s="12" t="str">
        <x:v>negative</x:v>
      </x:c>
      <x:c r="Z1018" s="12" t="str">
        <x:f>IF(OR(W1018="unavailable",Y1018="unavailable"),"不可评价",IF(OR(W1018="equivocal",Y1018="equivocal"),"疑似",IF(AND(W1018="positive",Y1018="positive"),"a",IF(Y1018="positive","b",IF(W1018="positive","c","d")))))</x:f>
        <x:v>d</x:v>
      </x:c>
      <x:c r="AA1018" s="12" t="str">
        <x:f>IF(OR(M1018="unavailable",O1018="unavailable"),"不可评价",IF(AND(OR(M1018="positive",M1018="equivocal"),OR(O1018="positive",O1018="equivocal")),"a",IF(OR(O1018="positive",O1018="equivocal"),"b",IF(OR(M1018="positive",M1018="equivocal"),"c","d"))))</x:f>
        <x:v>d</x:v>
      </x:c>
      <x:c r="AB1018" s="12" t="str">
        <x:f>IF(OR(M1018="unavailable",O1018="unavailable"),"不可评价",IF(AND(M1018="positive",O1018="positive"),"a",IF(O1018="positive","b",IF(M1018="positive","c","d"))))</x:f>
        <x:v>d</x:v>
      </x:c>
      <x:c r="AC1018" s="12" t="str">
        <x:f>IF(OR(R1018="unavailable",T1018="unavailable"),"不可评价",IF(AND(OR(R1018="positive",R1018="equivocal"),OR(T1018="positive",T1018="equivocal")),"a",IF(OR(T1018="positive",T1018="equivocal"),"b",IF(OR(R1018="positive",R1018="equivocal"),"c","d"))))</x:f>
        <x:v>d</x:v>
      </x:c>
      <x:c r="AD1018" s="12" t="str">
        <x:f>IF(OR(R1018="unavailable",T1018="unavailable"),"不可评价",IF(AND(R1018="positive",T1018="positive"),"a",IF(T1018="positive","b",IF(R1018="positive","c","d"))))</x:f>
        <x:v>d</x:v>
      </x:c>
      <x:c r="AE1018" s="12" t="str">
        <x:f>IF(OR(W1018="unavailable",Y1018="unavailable"),"不可评价",IF(AND(OR(W1018="positive",W1018="equivocal"),OR(Y1018="positive",Y1018="equivocal")),"a",IF(OR(Y1018="positive",Y1018="equivocal"),"b",IF(OR(W1018="positive",W1018="equivocal"),"c","d"))))</x:f>
        <x:v>d</x:v>
      </x:c>
      <x:c r="AF1018" s="12" t="str">
        <x:f>IF(OR(W1018="unavailable",Y1018="unavailable"),"不可评价",IF(AND(W1018="positive",Y1018="positive"),"a",IF(Y1018="positive","b",IF(W1018="positive","c","d"))))</x:f>
        <x:v>d</x:v>
      </x:c>
    </x:row>
    <x:row r="1019" ht="24" customHeight="1">
      <x:c r="A1019" s="12" t="str">
        <x:v>8916</x:v>
      </x:c>
      <x:c r="B1019" s="12" t="str">
        <x:v>1670</x:v>
      </x:c>
      <x:c r="C1019" s="21" t="n">
        <x:v>33855.47180555556</x:v>
      </x:c>
      <x:c r="D1019" s="12" t="n">
        <x:v>72</x:v>
      </x:c>
      <x:c r="E1019" s="12" t="n">
        <x:v>0</x:v>
      </x:c>
      <x:c r="F1019" s="12" t="str">
        <x:v>未记录</x:v>
      </x:c>
      <x:c r="G1019" s="12" t="n">
        <x:v>1</x:v>
      </x:c>
      <x:c r="H1019" s="12" t="str">
        <x:v>{'NORM': 100.0, 'LVOLT': 0.0, 'SR': 0.0}</x:v>
      </x:c>
      <x:c r="I1019" s="12" t="str">
        <x:v>[('NSR', 100.0), ('NML', 100.0)]</x:v>
      </x:c>
      <x:c r="J1019" s="12" t="str">
        <x:v>ptbxl_database.csv；ecg_id=8916；scp_codes</x:v>
      </x:c>
      <x:c r="K1019" s="12" t="str">
        <x:v>12sl_statements.csv；ecg_id=8916；statements_ext_snomed</x:v>
      </x:c>
      <x:c r="L1019" s="12"/>
      <x:c r="M1019" s="12" t="str">
        <x:v>negative</x:v>
      </x:c>
      <x:c r="N1019" s="12"/>
      <x:c r="O1019" s="12" t="str">
        <x:v>negative</x:v>
      </x:c>
      <x:c r="P1019" s="12" t="str">
        <x:f>IF(OR(M1019="unavailable",O1019="unavailable"),"不可评价",IF(OR(M1019="equivocal",O1019="equivocal"),"疑似",IF(AND(M1019="positive",O1019="positive"),"a",IF(O1019="positive","b",IF(M1019="positive","c","d")))))</x:f>
        <x:v>d</x:v>
      </x:c>
      <x:c r="Q1019" s="12"/>
      <x:c r="R1019" s="12" t="str">
        <x:v>negative</x:v>
      </x:c>
      <x:c r="S1019" s="12"/>
      <x:c r="T1019" s="12" t="str">
        <x:v>negative</x:v>
      </x:c>
      <x:c r="U1019" s="12" t="str">
        <x:f>IF(OR(R1019="unavailable",T1019="unavailable"),"不可评价",IF(OR(R1019="equivocal",T1019="equivocal"),"疑似",IF(AND(R1019="positive",T1019="positive"),"a",IF(T1019="positive","b",IF(R1019="positive","c","d")))))</x:f>
        <x:v>d</x:v>
      </x:c>
      <x:c r="V1019" s="12"/>
      <x:c r="W1019" s="12" t="str">
        <x:v>negative</x:v>
      </x:c>
      <x:c r="X1019" s="12"/>
      <x:c r="Y1019" s="12" t="str">
        <x:v>negative</x:v>
      </x:c>
      <x:c r="Z1019" s="12" t="str">
        <x:f>IF(OR(W1019="unavailable",Y1019="unavailable"),"不可评价",IF(OR(W1019="equivocal",Y1019="equivocal"),"疑似",IF(AND(W1019="positive",Y1019="positive"),"a",IF(Y1019="positive","b",IF(W1019="positive","c","d")))))</x:f>
        <x:v>d</x:v>
      </x:c>
      <x:c r="AA1019" s="12" t="str">
        <x:f>IF(OR(M1019="unavailable",O1019="unavailable"),"不可评价",IF(AND(OR(M1019="positive",M1019="equivocal"),OR(O1019="positive",O1019="equivocal")),"a",IF(OR(O1019="positive",O1019="equivocal"),"b",IF(OR(M1019="positive",M1019="equivocal"),"c","d"))))</x:f>
        <x:v>d</x:v>
      </x:c>
      <x:c r="AB1019" s="12" t="str">
        <x:f>IF(OR(M1019="unavailable",O1019="unavailable"),"不可评价",IF(AND(M1019="positive",O1019="positive"),"a",IF(O1019="positive","b",IF(M1019="positive","c","d"))))</x:f>
        <x:v>d</x:v>
      </x:c>
      <x:c r="AC1019" s="12" t="str">
        <x:f>IF(OR(R1019="unavailable",T1019="unavailable"),"不可评价",IF(AND(OR(R1019="positive",R1019="equivocal"),OR(T1019="positive",T1019="equivocal")),"a",IF(OR(T1019="positive",T1019="equivocal"),"b",IF(OR(R1019="positive",R1019="equivocal"),"c","d"))))</x:f>
        <x:v>d</x:v>
      </x:c>
      <x:c r="AD1019" s="12" t="str">
        <x:f>IF(OR(R1019="unavailable",T1019="unavailable"),"不可评价",IF(AND(R1019="positive",T1019="positive"),"a",IF(T1019="positive","b",IF(R1019="positive","c","d"))))</x:f>
        <x:v>d</x:v>
      </x:c>
      <x:c r="AE1019" s="12" t="str">
        <x:f>IF(OR(W1019="unavailable",Y1019="unavailable"),"不可评价",IF(AND(OR(W1019="positive",W1019="equivocal"),OR(Y1019="positive",Y1019="equivocal")),"a",IF(OR(Y1019="positive",Y1019="equivocal"),"b",IF(OR(W1019="positive",W1019="equivocal"),"c","d"))))</x:f>
        <x:v>d</x:v>
      </x:c>
      <x:c r="AF1019" s="12" t="str">
        <x:f>IF(OR(W1019="unavailable",Y1019="unavailable"),"不可评价",IF(AND(W1019="positive",Y1019="positive"),"a",IF(Y1019="positive","b",IF(W1019="positive","c","d"))))</x:f>
        <x:v>d</x:v>
      </x:c>
    </x:row>
    <x:row r="1020" ht="24" customHeight="1">
      <x:c r="A1020" s="12" t="str">
        <x:v>8922</x:v>
      </x:c>
      <x:c r="B1020" s="12" t="str">
        <x:v>6953</x:v>
      </x:c>
      <x:c r="C1020" s="21" t="n">
        <x:v>33855.51012731482</x:v>
      </x:c>
      <x:c r="D1020" s="12" t="n">
        <x:v>49</x:v>
      </x:c>
      <x:c r="E1020" s="12" t="n">
        <x:v>1</x:v>
      </x:c>
      <x:c r="F1020" s="12" t="str">
        <x:v>未记录</x:v>
      </x:c>
      <x:c r="G1020" s="12" t="n">
        <x:v>1</x:v>
      </x:c>
      <x:c r="H1020" s="12" t="str">
        <x:v>{'NORM': 80.0, 'PVC': 0.0, 'SARRH': 0.0}</x:v>
      </x:c>
      <x:c r="I1020" s="12" t="str">
        <x:v>[('SRTH', 100.0), ('PVC', 100.0), ('ABR', 100.0)]</x:v>
      </x:c>
      <x:c r="J1020" s="12" t="str">
        <x:v>ptbxl_database.csv；ecg_id=8922；scp_codes</x:v>
      </x:c>
      <x:c r="K1020" s="12" t="str">
        <x:v>12sl_statements.csv；ecg_id=8922；statements_ext_snomed</x:v>
      </x:c>
      <x:c r="L1020" s="12"/>
      <x:c r="M1020" s="12" t="str">
        <x:v>negative</x:v>
      </x:c>
      <x:c r="N1020" s="12"/>
      <x:c r="O1020" s="12" t="str">
        <x:v>negative</x:v>
      </x:c>
      <x:c r="P1020" s="12" t="str">
        <x:f>IF(OR(M1020="unavailable",O1020="unavailable"),"不可评价",IF(OR(M1020="equivocal",O1020="equivocal"),"疑似",IF(AND(M1020="positive",O1020="positive"),"a",IF(O1020="positive","b",IF(M1020="positive","c","d")))))</x:f>
        <x:v>d</x:v>
      </x:c>
      <x:c r="Q1020" s="12"/>
      <x:c r="R1020" s="12" t="str">
        <x:v>negative</x:v>
      </x:c>
      <x:c r="S1020" s="12"/>
      <x:c r="T1020" s="12" t="str">
        <x:v>negative</x:v>
      </x:c>
      <x:c r="U1020" s="12" t="str">
        <x:f>IF(OR(R1020="unavailable",T1020="unavailable"),"不可评价",IF(OR(R1020="equivocal",T1020="equivocal"),"疑似",IF(AND(R1020="positive",T1020="positive"),"a",IF(T1020="positive","b",IF(R1020="positive","c","d")))))</x:f>
        <x:v>d</x:v>
      </x:c>
      <x:c r="V1020" s="12"/>
      <x:c r="W1020" s="12" t="str">
        <x:v>negative</x:v>
      </x:c>
      <x:c r="X1020" s="12"/>
      <x:c r="Y1020" s="12" t="str">
        <x:v>negative</x:v>
      </x:c>
      <x:c r="Z1020" s="12" t="str">
        <x:f>IF(OR(W1020="unavailable",Y1020="unavailable"),"不可评价",IF(OR(W1020="equivocal",Y1020="equivocal"),"疑似",IF(AND(W1020="positive",Y1020="positive"),"a",IF(Y1020="positive","b",IF(W1020="positive","c","d")))))</x:f>
        <x:v>d</x:v>
      </x:c>
      <x:c r="AA1020" s="12" t="str">
        <x:f>IF(OR(M1020="unavailable",O1020="unavailable"),"不可评价",IF(AND(OR(M1020="positive",M1020="equivocal"),OR(O1020="positive",O1020="equivocal")),"a",IF(OR(O1020="positive",O1020="equivocal"),"b",IF(OR(M1020="positive",M1020="equivocal"),"c","d"))))</x:f>
        <x:v>d</x:v>
      </x:c>
      <x:c r="AB1020" s="12" t="str">
        <x:f>IF(OR(M1020="unavailable",O1020="unavailable"),"不可评价",IF(AND(M1020="positive",O1020="positive"),"a",IF(O1020="positive","b",IF(M1020="positive","c","d"))))</x:f>
        <x:v>d</x:v>
      </x:c>
      <x:c r="AC1020" s="12" t="str">
        <x:f>IF(OR(R1020="unavailable",T1020="unavailable"),"不可评价",IF(AND(OR(R1020="positive",R1020="equivocal"),OR(T1020="positive",T1020="equivocal")),"a",IF(OR(T1020="positive",T1020="equivocal"),"b",IF(OR(R1020="positive",R1020="equivocal"),"c","d"))))</x:f>
        <x:v>d</x:v>
      </x:c>
      <x:c r="AD1020" s="12" t="str">
        <x:f>IF(OR(R1020="unavailable",T1020="unavailable"),"不可评价",IF(AND(R1020="positive",T1020="positive"),"a",IF(T1020="positive","b",IF(R1020="positive","c","d"))))</x:f>
        <x:v>d</x:v>
      </x:c>
      <x:c r="AE1020" s="12" t="str">
        <x:f>IF(OR(W1020="unavailable",Y1020="unavailable"),"不可评价",IF(AND(OR(W1020="positive",W1020="equivocal"),OR(Y1020="positive",Y1020="equivocal")),"a",IF(OR(Y1020="positive",Y1020="equivocal"),"b",IF(OR(W1020="positive",W1020="equivocal"),"c","d"))))</x:f>
        <x:v>d</x:v>
      </x:c>
      <x:c r="AF1020" s="12" t="str">
        <x:f>IF(OR(W1020="unavailable",Y1020="unavailable"),"不可评价",IF(AND(W1020="positive",Y1020="positive"),"a",IF(Y1020="positive","b",IF(W1020="positive","c","d"))))</x:f>
        <x:v>d</x:v>
      </x:c>
    </x:row>
    <x:row r="1021" ht="24" customHeight="1">
      <x:c r="A1021" s="12" t="str">
        <x:v>8963</x:v>
      </x:c>
      <x:c r="B1021" s="12" t="str">
        <x:v>8186</x:v>
      </x:c>
      <x:c r="C1021" s="21" t="n">
        <x:v>33858.59533564815</x:v>
      </x:c>
      <x:c r="D1021" s="12" t="n">
        <x:v>71</x:v>
      </x:c>
      <x:c r="E1021" s="12" t="n">
        <x:v>1</x:v>
      </x:c>
      <x:c r="F1021" s="12" t="str">
        <x:v>未记录</x:v>
      </x:c>
      <x:c r="G1021" s="12" t="n">
        <x:v>1</x:v>
      </x:c>
      <x:c r="H1021" s="12" t="str">
        <x:v>{'NORM': 100.0, 'SR': 0.0}</x:v>
      </x:c>
      <x:c r="I1021" s="12" t="str">
        <x:v>[('NSR', 100.0), ('NML', 100.0)]</x:v>
      </x:c>
      <x:c r="J1021" s="12" t="str">
        <x:v>ptbxl_database.csv；ecg_id=8963；scp_codes</x:v>
      </x:c>
      <x:c r="K1021" s="12" t="str">
        <x:v>12sl_statements.csv；ecg_id=8963；statements_ext_snomed</x:v>
      </x:c>
      <x:c r="L1021" s="12"/>
      <x:c r="M1021" s="12" t="str">
        <x:v>negative</x:v>
      </x:c>
      <x:c r="N1021" s="12"/>
      <x:c r="O1021" s="12" t="str">
        <x:v>negative</x:v>
      </x:c>
      <x:c r="P1021" s="12" t="str">
        <x:f>IF(OR(M1021="unavailable",O1021="unavailable"),"不可评价",IF(OR(M1021="equivocal",O1021="equivocal"),"疑似",IF(AND(M1021="positive",O1021="positive"),"a",IF(O1021="positive","b",IF(M1021="positive","c","d")))))</x:f>
        <x:v>d</x:v>
      </x:c>
      <x:c r="Q1021" s="12"/>
      <x:c r="R1021" s="12" t="str">
        <x:v>negative</x:v>
      </x:c>
      <x:c r="S1021" s="12"/>
      <x:c r="T1021" s="12" t="str">
        <x:v>negative</x:v>
      </x:c>
      <x:c r="U1021" s="12" t="str">
        <x:f>IF(OR(R1021="unavailable",T1021="unavailable"),"不可评价",IF(OR(R1021="equivocal",T1021="equivocal"),"疑似",IF(AND(R1021="positive",T1021="positive"),"a",IF(T1021="positive","b",IF(R1021="positive","c","d")))))</x:f>
        <x:v>d</x:v>
      </x:c>
      <x:c r="V1021" s="12"/>
      <x:c r="W1021" s="12" t="str">
        <x:v>negative</x:v>
      </x:c>
      <x:c r="X1021" s="12"/>
      <x:c r="Y1021" s="12" t="str">
        <x:v>negative</x:v>
      </x:c>
      <x:c r="Z1021" s="12" t="str">
        <x:f>IF(OR(W1021="unavailable",Y1021="unavailable"),"不可评价",IF(OR(W1021="equivocal",Y1021="equivocal"),"疑似",IF(AND(W1021="positive",Y1021="positive"),"a",IF(Y1021="positive","b",IF(W1021="positive","c","d")))))</x:f>
        <x:v>d</x:v>
      </x:c>
      <x:c r="AA1021" s="12" t="str">
        <x:f>IF(OR(M1021="unavailable",O1021="unavailable"),"不可评价",IF(AND(OR(M1021="positive",M1021="equivocal"),OR(O1021="positive",O1021="equivocal")),"a",IF(OR(O1021="positive",O1021="equivocal"),"b",IF(OR(M1021="positive",M1021="equivocal"),"c","d"))))</x:f>
        <x:v>d</x:v>
      </x:c>
      <x:c r="AB1021" s="12" t="str">
        <x:f>IF(OR(M1021="unavailable",O1021="unavailable"),"不可评价",IF(AND(M1021="positive",O1021="positive"),"a",IF(O1021="positive","b",IF(M1021="positive","c","d"))))</x:f>
        <x:v>d</x:v>
      </x:c>
      <x:c r="AC1021" s="12" t="str">
        <x:f>IF(OR(R1021="unavailable",T1021="unavailable"),"不可评价",IF(AND(OR(R1021="positive",R1021="equivocal"),OR(T1021="positive",T1021="equivocal")),"a",IF(OR(T1021="positive",T1021="equivocal"),"b",IF(OR(R1021="positive",R1021="equivocal"),"c","d"))))</x:f>
        <x:v>d</x:v>
      </x:c>
      <x:c r="AD1021" s="12" t="str">
        <x:f>IF(OR(R1021="unavailable",T1021="unavailable"),"不可评价",IF(AND(R1021="positive",T1021="positive"),"a",IF(T1021="positive","b",IF(R1021="positive","c","d"))))</x:f>
        <x:v>d</x:v>
      </x:c>
      <x:c r="AE1021" s="12" t="str">
        <x:f>IF(OR(W1021="unavailable",Y1021="unavailable"),"不可评价",IF(AND(OR(W1021="positive",W1021="equivocal"),OR(Y1021="positive",Y1021="equivocal")),"a",IF(OR(Y1021="positive",Y1021="equivocal"),"b",IF(OR(W1021="positive",W1021="equivocal"),"c","d"))))</x:f>
        <x:v>d</x:v>
      </x:c>
      <x:c r="AF1021" s="12" t="str">
        <x:f>IF(OR(W1021="unavailable",Y1021="unavailable"),"不可评价",IF(AND(W1021="positive",Y1021="positive"),"a",IF(Y1021="positive","b",IF(W1021="positive","c","d"))))</x:f>
        <x:v>d</x:v>
      </x:c>
    </x:row>
    <x:row r="1022" ht="24" customHeight="1">
      <x:c r="A1022" s="12" t="str">
        <x:v>8981</x:v>
      </x:c>
      <x:c r="B1022" s="12" t="str">
        <x:v>10361</x:v>
      </x:c>
      <x:c r="C1022" s="21" t="n">
        <x:v>33860.39065972222</x:v>
      </x:c>
      <x:c r="D1022" s="12" t="n">
        <x:v>72</x:v>
      </x:c>
      <x:c r="E1022" s="12" t="n">
        <x:v>0</x:v>
      </x:c>
      <x:c r="F1022" s="12" t="str">
        <x:v>未记录</x:v>
      </x:c>
      <x:c r="G1022" s="12" t="n">
        <x:v>1</x:v>
      </x:c>
      <x:c r="H1022" s="12" t="str">
        <x:v>{'IMI': 15.0, 'PVC': 100.0, 'ABQRS': 0.0, 'SR': 0.0}</x:v>
      </x:c>
      <x:c r="I1022" s="12" t="str">
        <x:v>[('SRTH', 100.0), ('PVC', 100.0), ('IMI;AU', 50.0), ('AB', 100.0)]</x:v>
      </x:c>
      <x:c r="J1022" s="12" t="str">
        <x:v>ptbxl_database.csv；ecg_id=8981；scp_codes</x:v>
      </x:c>
      <x:c r="K1022" s="12" t="str">
        <x:v>12sl_statements.csv；ecg_id=8981；statements_ext_snomed</x:v>
      </x:c>
      <x:c r="L1022" s="12"/>
      <x:c r="M1022" s="12" t="str">
        <x:v>negative</x:v>
      </x:c>
      <x:c r="N1022" s="12"/>
      <x:c r="O1022" s="12" t="str">
        <x:v>negative</x:v>
      </x:c>
      <x:c r="P1022" s="12" t="str">
        <x:f>IF(OR(M1022="unavailable",O1022="unavailable"),"不可评价",IF(OR(M1022="equivocal",O1022="equivocal"),"疑似",IF(AND(M1022="positive",O1022="positive"),"a",IF(O1022="positive","b",IF(M1022="positive","c","d")))))</x:f>
        <x:v>d</x:v>
      </x:c>
      <x:c r="Q1022" s="12"/>
      <x:c r="R1022" s="12" t="str">
        <x:v>negative</x:v>
      </x:c>
      <x:c r="S1022" s="12"/>
      <x:c r="T1022" s="12" t="str">
        <x:v>negative</x:v>
      </x:c>
      <x:c r="U1022" s="12" t="str">
        <x:f>IF(OR(R1022="unavailable",T1022="unavailable"),"不可评价",IF(OR(R1022="equivocal",T1022="equivocal"),"疑似",IF(AND(R1022="positive",T1022="positive"),"a",IF(T1022="positive","b",IF(R1022="positive","c","d")))))</x:f>
        <x:v>d</x:v>
      </x:c>
      <x:c r="V1022" s="12"/>
      <x:c r="W1022" s="12" t="str">
        <x:v>negative</x:v>
      </x:c>
      <x:c r="X1022" s="12"/>
      <x:c r="Y1022" s="12" t="str">
        <x:v>negative</x:v>
      </x:c>
      <x:c r="Z1022" s="12" t="str">
        <x:f>IF(OR(W1022="unavailable",Y1022="unavailable"),"不可评价",IF(OR(W1022="equivocal",Y1022="equivocal"),"疑似",IF(AND(W1022="positive",Y1022="positive"),"a",IF(Y1022="positive","b",IF(W1022="positive","c","d")))))</x:f>
        <x:v>d</x:v>
      </x:c>
      <x:c r="AA1022" s="12" t="str">
        <x:f>IF(OR(M1022="unavailable",O1022="unavailable"),"不可评价",IF(AND(OR(M1022="positive",M1022="equivocal"),OR(O1022="positive",O1022="equivocal")),"a",IF(OR(O1022="positive",O1022="equivocal"),"b",IF(OR(M1022="positive",M1022="equivocal"),"c","d"))))</x:f>
        <x:v>d</x:v>
      </x:c>
      <x:c r="AB1022" s="12" t="str">
        <x:f>IF(OR(M1022="unavailable",O1022="unavailable"),"不可评价",IF(AND(M1022="positive",O1022="positive"),"a",IF(O1022="positive","b",IF(M1022="positive","c","d"))))</x:f>
        <x:v>d</x:v>
      </x:c>
      <x:c r="AC1022" s="12" t="str">
        <x:f>IF(OR(R1022="unavailable",T1022="unavailable"),"不可评价",IF(AND(OR(R1022="positive",R1022="equivocal"),OR(T1022="positive",T1022="equivocal")),"a",IF(OR(T1022="positive",T1022="equivocal"),"b",IF(OR(R1022="positive",R1022="equivocal"),"c","d"))))</x:f>
        <x:v>d</x:v>
      </x:c>
      <x:c r="AD1022" s="12" t="str">
        <x:f>IF(OR(R1022="unavailable",T1022="unavailable"),"不可评价",IF(AND(R1022="positive",T1022="positive"),"a",IF(T1022="positive","b",IF(R1022="positive","c","d"))))</x:f>
        <x:v>d</x:v>
      </x:c>
      <x:c r="AE1022" s="12" t="str">
        <x:f>IF(OR(W1022="unavailable",Y1022="unavailable"),"不可评价",IF(AND(OR(W1022="positive",W1022="equivocal"),OR(Y1022="positive",Y1022="equivocal")),"a",IF(OR(Y1022="positive",Y1022="equivocal"),"b",IF(OR(W1022="positive",W1022="equivocal"),"c","d"))))</x:f>
        <x:v>d</x:v>
      </x:c>
      <x:c r="AF1022" s="12" t="str">
        <x:f>IF(OR(W1022="unavailable",Y1022="unavailable"),"不可评价",IF(AND(W1022="positive",Y1022="positive"),"a",IF(Y1022="positive","b",IF(W1022="positive","c","d"))))</x:f>
        <x:v>d</x:v>
      </x:c>
    </x:row>
    <x:row r="1023" ht="24" customHeight="1">
      <x:c r="A1023" s="12" t="str">
        <x:v>9002</x:v>
      </x:c>
      <x:c r="B1023" s="12" t="str">
        <x:v>4491</x:v>
      </x:c>
      <x:c r="C1023" s="21" t="n">
        <x:v>33862.58710648148</x:v>
      </x:c>
      <x:c r="D1023" s="12" t="n">
        <x:v>49</x:v>
      </x:c>
      <x:c r="E1023" s="12" t="n">
        <x:v>1</x:v>
      </x:c>
      <x:c r="F1023" s="12" t="str">
        <x:v>未记录</x:v>
      </x:c>
      <x:c r="G1023" s="12" t="n">
        <x:v>1</x:v>
      </x:c>
      <x:c r="H1023" s="12" t="str">
        <x:v>{'NORM': 100.0, 'SR': 0.0}</x:v>
      </x:c>
      <x:c r="I1023" s="12" t="str">
        <x:v>[('NSR', 100.0), ('BORDE', 100.0)]</x:v>
      </x:c>
      <x:c r="J1023" s="12" t="str">
        <x:v>ptbxl_database.csv；ecg_id=9002；scp_codes</x:v>
      </x:c>
      <x:c r="K1023" s="12" t="str">
        <x:v>12sl_statements.csv；ecg_id=9002；statements_ext_snomed</x:v>
      </x:c>
      <x:c r="L1023" s="12"/>
      <x:c r="M1023" s="12" t="str">
        <x:v>negative</x:v>
      </x:c>
      <x:c r="N1023" s="12"/>
      <x:c r="O1023" s="12" t="str">
        <x:v>negative</x:v>
      </x:c>
      <x:c r="P1023" s="12" t="str">
        <x:f>IF(OR(M1023="unavailable",O1023="unavailable"),"不可评价",IF(OR(M1023="equivocal",O1023="equivocal"),"疑似",IF(AND(M1023="positive",O1023="positive"),"a",IF(O1023="positive","b",IF(M1023="positive","c","d")))))</x:f>
        <x:v>d</x:v>
      </x:c>
      <x:c r="Q1023" s="12"/>
      <x:c r="R1023" s="12" t="str">
        <x:v>negative</x:v>
      </x:c>
      <x:c r="S1023" s="12"/>
      <x:c r="T1023" s="12" t="str">
        <x:v>negative</x:v>
      </x:c>
      <x:c r="U1023" s="12" t="str">
        <x:f>IF(OR(R1023="unavailable",T1023="unavailable"),"不可评价",IF(OR(R1023="equivocal",T1023="equivocal"),"疑似",IF(AND(R1023="positive",T1023="positive"),"a",IF(T1023="positive","b",IF(R1023="positive","c","d")))))</x:f>
        <x:v>d</x:v>
      </x:c>
      <x:c r="V1023" s="12"/>
      <x:c r="W1023" s="12" t="str">
        <x:v>negative</x:v>
      </x:c>
      <x:c r="X1023" s="12"/>
      <x:c r="Y1023" s="12" t="str">
        <x:v>negative</x:v>
      </x:c>
      <x:c r="Z1023" s="12" t="str">
        <x:f>IF(OR(W1023="unavailable",Y1023="unavailable"),"不可评价",IF(OR(W1023="equivocal",Y1023="equivocal"),"疑似",IF(AND(W1023="positive",Y1023="positive"),"a",IF(Y1023="positive","b",IF(W1023="positive","c","d")))))</x:f>
        <x:v>d</x:v>
      </x:c>
      <x:c r="AA1023" s="12" t="str">
        <x:f>IF(OR(M1023="unavailable",O1023="unavailable"),"不可评价",IF(AND(OR(M1023="positive",M1023="equivocal"),OR(O1023="positive",O1023="equivocal")),"a",IF(OR(O1023="positive",O1023="equivocal"),"b",IF(OR(M1023="positive",M1023="equivocal"),"c","d"))))</x:f>
        <x:v>d</x:v>
      </x:c>
      <x:c r="AB1023" s="12" t="str">
        <x:f>IF(OR(M1023="unavailable",O1023="unavailable"),"不可评价",IF(AND(M1023="positive",O1023="positive"),"a",IF(O1023="positive","b",IF(M1023="positive","c","d"))))</x:f>
        <x:v>d</x:v>
      </x:c>
      <x:c r="AC1023" s="12" t="str">
        <x:f>IF(OR(R1023="unavailable",T1023="unavailable"),"不可评价",IF(AND(OR(R1023="positive",R1023="equivocal"),OR(T1023="positive",T1023="equivocal")),"a",IF(OR(T1023="positive",T1023="equivocal"),"b",IF(OR(R1023="positive",R1023="equivocal"),"c","d"))))</x:f>
        <x:v>d</x:v>
      </x:c>
      <x:c r="AD1023" s="12" t="str">
        <x:f>IF(OR(R1023="unavailable",T1023="unavailable"),"不可评价",IF(AND(R1023="positive",T1023="positive"),"a",IF(T1023="positive","b",IF(R1023="positive","c","d"))))</x:f>
        <x:v>d</x:v>
      </x:c>
      <x:c r="AE1023" s="12" t="str">
        <x:f>IF(OR(W1023="unavailable",Y1023="unavailable"),"不可评价",IF(AND(OR(W1023="positive",W1023="equivocal"),OR(Y1023="positive",Y1023="equivocal")),"a",IF(OR(Y1023="positive",Y1023="equivocal"),"b",IF(OR(W1023="positive",W1023="equivocal"),"c","d"))))</x:f>
        <x:v>d</x:v>
      </x:c>
      <x:c r="AF1023" s="12" t="str">
        <x:f>IF(OR(W1023="unavailable",Y1023="unavailable"),"不可评价",IF(AND(W1023="positive",Y1023="positive"),"a",IF(Y1023="positive","b",IF(W1023="positive","c","d"))))</x:f>
        <x:v>d</x:v>
      </x:c>
    </x:row>
    <x:row r="1024" ht="24" customHeight="1">
      <x:c r="A1024" s="12" t="str">
        <x:v>9010</x:v>
      </x:c>
      <x:c r="B1024" s="12" t="str">
        <x:v>8001</x:v>
      </x:c>
      <x:c r="C1024" s="21" t="n">
        <x:v>33864.54969907407</x:v>
      </x:c>
      <x:c r="D1024" s="12" t="n">
        <x:v>61</x:v>
      </x:c>
      <x:c r="E1024" s="12" t="n">
        <x:v>0</x:v>
      </x:c>
      <x:c r="F1024" s="12" t="str">
        <x:v>未记录</x:v>
      </x:c>
      <x:c r="G1024" s="12" t="n">
        <x:v>1</x:v>
      </x:c>
      <x:c r="H1024" s="12" t="str">
        <x:v>{'NORM': 100.0, 'SR': 0.0}</x:v>
      </x:c>
      <x:c r="I1024" s="12" t="str">
        <x:v>[('SBRAD', 100.0), ('ABR', 100.0)]</x:v>
      </x:c>
      <x:c r="J1024" s="12" t="str">
        <x:v>ptbxl_database.csv；ecg_id=9010；scp_codes</x:v>
      </x:c>
      <x:c r="K1024" s="12" t="str">
        <x:v>12sl_statements.csv；ecg_id=9010；statements_ext_snomed</x:v>
      </x:c>
      <x:c r="L1024" s="12"/>
      <x:c r="M1024" s="12" t="str">
        <x:v>negative</x:v>
      </x:c>
      <x:c r="N1024" s="12"/>
      <x:c r="O1024" s="12" t="str">
        <x:v>negative</x:v>
      </x:c>
      <x:c r="P1024" s="12" t="str">
        <x:f>IF(OR(M1024="unavailable",O1024="unavailable"),"不可评价",IF(OR(M1024="equivocal",O1024="equivocal"),"疑似",IF(AND(M1024="positive",O1024="positive"),"a",IF(O1024="positive","b",IF(M1024="positive","c","d")))))</x:f>
        <x:v>d</x:v>
      </x:c>
      <x:c r="Q1024" s="12"/>
      <x:c r="R1024" s="12" t="str">
        <x:v>negative</x:v>
      </x:c>
      <x:c r="S1024" s="12"/>
      <x:c r="T1024" s="12" t="str">
        <x:v>negative</x:v>
      </x:c>
      <x:c r="U1024" s="12" t="str">
        <x:f>IF(OR(R1024="unavailable",T1024="unavailable"),"不可评价",IF(OR(R1024="equivocal",T1024="equivocal"),"疑似",IF(AND(R1024="positive",T1024="positive"),"a",IF(T1024="positive","b",IF(R1024="positive","c","d")))))</x:f>
        <x:v>d</x:v>
      </x:c>
      <x:c r="V1024" s="12"/>
      <x:c r="W1024" s="12" t="str">
        <x:v>negative</x:v>
      </x:c>
      <x:c r="X1024" s="12"/>
      <x:c r="Y1024" s="12" t="str">
        <x:v>negative</x:v>
      </x:c>
      <x:c r="Z1024" s="12" t="str">
        <x:f>IF(OR(W1024="unavailable",Y1024="unavailable"),"不可评价",IF(OR(W1024="equivocal",Y1024="equivocal"),"疑似",IF(AND(W1024="positive",Y1024="positive"),"a",IF(Y1024="positive","b",IF(W1024="positive","c","d")))))</x:f>
        <x:v>d</x:v>
      </x:c>
      <x:c r="AA1024" s="12" t="str">
        <x:f>IF(OR(M1024="unavailable",O1024="unavailable"),"不可评价",IF(AND(OR(M1024="positive",M1024="equivocal"),OR(O1024="positive",O1024="equivocal")),"a",IF(OR(O1024="positive",O1024="equivocal"),"b",IF(OR(M1024="positive",M1024="equivocal"),"c","d"))))</x:f>
        <x:v>d</x:v>
      </x:c>
      <x:c r="AB1024" s="12" t="str">
        <x:f>IF(OR(M1024="unavailable",O1024="unavailable"),"不可评价",IF(AND(M1024="positive",O1024="positive"),"a",IF(O1024="positive","b",IF(M1024="positive","c","d"))))</x:f>
        <x:v>d</x:v>
      </x:c>
      <x:c r="AC1024" s="12" t="str">
        <x:f>IF(OR(R1024="unavailable",T1024="unavailable"),"不可评价",IF(AND(OR(R1024="positive",R1024="equivocal"),OR(T1024="positive",T1024="equivocal")),"a",IF(OR(T1024="positive",T1024="equivocal"),"b",IF(OR(R1024="positive",R1024="equivocal"),"c","d"))))</x:f>
        <x:v>d</x:v>
      </x:c>
      <x:c r="AD1024" s="12" t="str">
        <x:f>IF(OR(R1024="unavailable",T1024="unavailable"),"不可评价",IF(AND(R1024="positive",T1024="positive"),"a",IF(T1024="positive","b",IF(R1024="positive","c","d"))))</x:f>
        <x:v>d</x:v>
      </x:c>
      <x:c r="AE1024" s="12" t="str">
        <x:f>IF(OR(W1024="unavailable",Y1024="unavailable"),"不可评价",IF(AND(OR(W1024="positive",W1024="equivocal"),OR(Y1024="positive",Y1024="equivocal")),"a",IF(OR(Y1024="positive",Y1024="equivocal"),"b",IF(OR(W1024="positive",W1024="equivocal"),"c","d"))))</x:f>
        <x:v>d</x:v>
      </x:c>
      <x:c r="AF1024" s="12" t="str">
        <x:f>IF(OR(W1024="unavailable",Y1024="unavailable"),"不可评价",IF(AND(W1024="positive",Y1024="positive"),"a",IF(Y1024="positive","b",IF(W1024="positive","c","d"))))</x:f>
        <x:v>d</x:v>
      </x:c>
    </x:row>
    <x:row r="1025" ht="24" customHeight="1">
      <x:c r="A1025" s="12" t="str">
        <x:v>9021</x:v>
      </x:c>
      <x:c r="B1025" s="12" t="str">
        <x:v>17805</x:v>
      </x:c>
      <x:c r="C1025" s="21" t="n">
        <x:v>33865.54325231481</x:v>
      </x:c>
      <x:c r="D1025" s="12" t="n">
        <x:v>85</x:v>
      </x:c>
      <x:c r="E1025" s="12" t="n">
        <x:v>0</x:v>
      </x:c>
      <x:c r="F1025" s="12" t="str">
        <x:v>存在</x:v>
      </x:c>
      <x:c r="G1025" s="12" t="n">
        <x:v>0</x:v>
      </x:c>
      <x:c r="H1025" s="12" t="str">
        <x:v>{'IMI': 15.0, 'ISCAL': 100.0, 'ASMI': 100.0, 'ABQRS': 0.0, 'SR': 0.0}</x:v>
      </x:c>
      <x:c r="I1025" s="12" t="str">
        <x:v>[('UR', 100.0), ('ST&amp;', 100.0), ('LT', 100.0), ('LNGQT', 100.0), ('AB', 100.0)]</x:v>
      </x:c>
      <x:c r="J1025" s="12" t="str">
        <x:v>ptbxl_database.csv；ecg_id=9021；scp_codes</x:v>
      </x:c>
      <x:c r="K1025" s="12" t="str">
        <x:v>12sl_statements.csv；ecg_id=9021；statements_ext_snomed</x:v>
      </x:c>
      <x:c r="L1025" s="12"/>
      <x:c r="M1025" s="12" t="str">
        <x:v>negative</x:v>
      </x:c>
      <x:c r="N1025" s="12"/>
      <x:c r="O1025" s="12" t="str">
        <x:v>negative</x:v>
      </x:c>
      <x:c r="P1025" s="12" t="str">
        <x:f>IF(OR(M1025="unavailable",O1025="unavailable"),"不可评价",IF(OR(M1025="equivocal",O1025="equivocal"),"疑似",IF(AND(M1025="positive",O1025="positive"),"a",IF(O1025="positive","b",IF(M1025="positive","c","d")))))</x:f>
        <x:v>d</x:v>
      </x:c>
      <x:c r="Q1025" s="12"/>
      <x:c r="R1025" s="12" t="str">
        <x:v>negative</x:v>
      </x:c>
      <x:c r="S1025" s="12"/>
      <x:c r="T1025" s="12" t="str">
        <x:v>negative</x:v>
      </x:c>
      <x:c r="U1025" s="12" t="str">
        <x:f>IF(OR(R1025="unavailable",T1025="unavailable"),"不可评价",IF(OR(R1025="equivocal",T1025="equivocal"),"疑似",IF(AND(R1025="positive",T1025="positive"),"a",IF(T1025="positive","b",IF(R1025="positive","c","d")))))</x:f>
        <x:v>d</x:v>
      </x:c>
      <x:c r="V1025" s="12"/>
      <x:c r="W1025" s="12" t="str">
        <x:v>negative</x:v>
      </x:c>
      <x:c r="X1025" s="12"/>
      <x:c r="Y1025" s="12" t="str">
        <x:v>negative</x:v>
      </x:c>
      <x:c r="Z1025" s="12" t="str">
        <x:f>IF(OR(W1025="unavailable",Y1025="unavailable"),"不可评价",IF(OR(W1025="equivocal",Y1025="equivocal"),"疑似",IF(AND(W1025="positive",Y1025="positive"),"a",IF(Y1025="positive","b",IF(W1025="positive","c","d")))))</x:f>
        <x:v>d</x:v>
      </x:c>
      <x:c r="AA1025" s="12" t="str">
        <x:f>IF(OR(M1025="unavailable",O1025="unavailable"),"不可评价",IF(AND(OR(M1025="positive",M1025="equivocal"),OR(O1025="positive",O1025="equivocal")),"a",IF(OR(O1025="positive",O1025="equivocal"),"b",IF(OR(M1025="positive",M1025="equivocal"),"c","d"))))</x:f>
        <x:v>d</x:v>
      </x:c>
      <x:c r="AB1025" s="12" t="str">
        <x:f>IF(OR(M1025="unavailable",O1025="unavailable"),"不可评价",IF(AND(M1025="positive",O1025="positive"),"a",IF(O1025="positive","b",IF(M1025="positive","c","d"))))</x:f>
        <x:v>d</x:v>
      </x:c>
      <x:c r="AC1025" s="12" t="str">
        <x:f>IF(OR(R1025="unavailable",T1025="unavailable"),"不可评价",IF(AND(OR(R1025="positive",R1025="equivocal"),OR(T1025="positive",T1025="equivocal")),"a",IF(OR(T1025="positive",T1025="equivocal"),"b",IF(OR(R1025="positive",R1025="equivocal"),"c","d"))))</x:f>
        <x:v>d</x:v>
      </x:c>
      <x:c r="AD1025" s="12" t="str">
        <x:f>IF(OR(R1025="unavailable",T1025="unavailable"),"不可评价",IF(AND(R1025="positive",T1025="positive"),"a",IF(T1025="positive","b",IF(R1025="positive","c","d"))))</x:f>
        <x:v>d</x:v>
      </x:c>
      <x:c r="AE1025" s="12" t="str">
        <x:f>IF(OR(W1025="unavailable",Y1025="unavailable"),"不可评价",IF(AND(OR(W1025="positive",W1025="equivocal"),OR(Y1025="positive",Y1025="equivocal")),"a",IF(OR(Y1025="positive",Y1025="equivocal"),"b",IF(OR(W1025="positive",W1025="equivocal"),"c","d"))))</x:f>
        <x:v>d</x:v>
      </x:c>
      <x:c r="AF1025" s="12" t="str">
        <x:f>IF(OR(W1025="unavailable",Y1025="unavailable"),"不可评价",IF(AND(W1025="positive",Y1025="positive"),"a",IF(Y1025="positive","b",IF(W1025="positive","c","d"))))</x:f>
        <x:v>d</x:v>
      </x:c>
    </x:row>
    <x:row r="1026" ht="24" customHeight="1">
      <x:c r="A1026" s="12" t="str">
        <x:v>9024</x:v>
      </x:c>
      <x:c r="B1026" s="12" t="str">
        <x:v>3307</x:v>
      </x:c>
      <x:c r="C1026" s="21" t="n">
        <x:v>33865.72974537037</x:v>
      </x:c>
      <x:c r="D1026" s="12" t="n">
        <x:v>75</x:v>
      </x:c>
      <x:c r="E1026" s="12" t="n">
        <x:v>1</x:v>
      </x:c>
      <x:c r="F1026" s="12" t="str">
        <x:v>未记录</x:v>
      </x:c>
      <x:c r="G1026" s="12" t="n">
        <x:v>1</x:v>
      </x:c>
      <x:c r="H1026" s="12" t="str">
        <x:v>{'LVH': 50.0, 'VCLVH': 0.0, 'SR': 0.0}</x:v>
      </x:c>
      <x:c r="I1026" s="12" t="str">
        <x:v>[('NSR', 100.0), ('BORDE', 100.0)]</x:v>
      </x:c>
      <x:c r="J1026" s="12" t="str">
        <x:v>ptbxl_database.csv；ecg_id=9024；scp_codes</x:v>
      </x:c>
      <x:c r="K1026" s="12" t="str">
        <x:v>12sl_statements.csv；ecg_id=9024；statements_ext_snomed</x:v>
      </x:c>
      <x:c r="L1026" s="12"/>
      <x:c r="M1026" s="12" t="str">
        <x:v>negative</x:v>
      </x:c>
      <x:c r="N1026" s="12"/>
      <x:c r="O1026" s="12" t="str">
        <x:v>negative</x:v>
      </x:c>
      <x:c r="P1026" s="12" t="str">
        <x:f>IF(OR(M1026="unavailable",O1026="unavailable"),"不可评价",IF(OR(M1026="equivocal",O1026="equivocal"),"疑似",IF(AND(M1026="positive",O1026="positive"),"a",IF(O1026="positive","b",IF(M1026="positive","c","d")))))</x:f>
        <x:v>d</x:v>
      </x:c>
      <x:c r="Q1026" s="12"/>
      <x:c r="R1026" s="12" t="str">
        <x:v>negative</x:v>
      </x:c>
      <x:c r="S1026" s="12"/>
      <x:c r="T1026" s="12" t="str">
        <x:v>negative</x:v>
      </x:c>
      <x:c r="U1026" s="12" t="str">
        <x:f>IF(OR(R1026="unavailable",T1026="unavailable"),"不可评价",IF(OR(R1026="equivocal",T1026="equivocal"),"疑似",IF(AND(R1026="positive",T1026="positive"),"a",IF(T1026="positive","b",IF(R1026="positive","c","d")))))</x:f>
        <x:v>d</x:v>
      </x:c>
      <x:c r="V1026" s="12"/>
      <x:c r="W1026" s="12" t="str">
        <x:v>negative</x:v>
      </x:c>
      <x:c r="X1026" s="12"/>
      <x:c r="Y1026" s="12" t="str">
        <x:v>negative</x:v>
      </x:c>
      <x:c r="Z1026" s="12" t="str">
        <x:f>IF(OR(W1026="unavailable",Y1026="unavailable"),"不可评价",IF(OR(W1026="equivocal",Y1026="equivocal"),"疑似",IF(AND(W1026="positive",Y1026="positive"),"a",IF(Y1026="positive","b",IF(W1026="positive","c","d")))))</x:f>
        <x:v>d</x:v>
      </x:c>
      <x:c r="AA1026" s="12" t="str">
        <x:f>IF(OR(M1026="unavailable",O1026="unavailable"),"不可评价",IF(AND(OR(M1026="positive",M1026="equivocal"),OR(O1026="positive",O1026="equivocal")),"a",IF(OR(O1026="positive",O1026="equivocal"),"b",IF(OR(M1026="positive",M1026="equivocal"),"c","d"))))</x:f>
        <x:v>d</x:v>
      </x:c>
      <x:c r="AB1026" s="12" t="str">
        <x:f>IF(OR(M1026="unavailable",O1026="unavailable"),"不可评价",IF(AND(M1026="positive",O1026="positive"),"a",IF(O1026="positive","b",IF(M1026="positive","c","d"))))</x:f>
        <x:v>d</x:v>
      </x:c>
      <x:c r="AC1026" s="12" t="str">
        <x:f>IF(OR(R1026="unavailable",T1026="unavailable"),"不可评价",IF(AND(OR(R1026="positive",R1026="equivocal"),OR(T1026="positive",T1026="equivocal")),"a",IF(OR(T1026="positive",T1026="equivocal"),"b",IF(OR(R1026="positive",R1026="equivocal"),"c","d"))))</x:f>
        <x:v>d</x:v>
      </x:c>
      <x:c r="AD1026" s="12" t="str">
        <x:f>IF(OR(R1026="unavailable",T1026="unavailable"),"不可评价",IF(AND(R1026="positive",T1026="positive"),"a",IF(T1026="positive","b",IF(R1026="positive","c","d"))))</x:f>
        <x:v>d</x:v>
      </x:c>
      <x:c r="AE1026" s="12" t="str">
        <x:f>IF(OR(W1026="unavailable",Y1026="unavailable"),"不可评价",IF(AND(OR(W1026="positive",W1026="equivocal"),OR(Y1026="positive",Y1026="equivocal")),"a",IF(OR(Y1026="positive",Y1026="equivocal"),"b",IF(OR(W1026="positive",W1026="equivocal"),"c","d"))))</x:f>
        <x:v>d</x:v>
      </x:c>
      <x:c r="AF1026" s="12" t="str">
        <x:f>IF(OR(W1026="unavailable",Y1026="unavailable"),"不可评价",IF(AND(W1026="positive",Y1026="positive"),"a",IF(Y1026="positive","b",IF(W1026="positive","c","d"))))</x:f>
        <x:v>d</x:v>
      </x:c>
    </x:row>
    <x:row r="1027" ht="24" customHeight="1">
      <x:c r="A1027" s="12" t="str">
        <x:v>9036</x:v>
      </x:c>
      <x:c r="B1027" s="12" t="str">
        <x:v>8001</x:v>
      </x:c>
      <x:c r="C1027" s="21" t="n">
        <x:v>33867.72077546296</x:v>
      </x:c>
      <x:c r="D1027" s="12" t="n">
        <x:v>61</x:v>
      </x:c>
      <x:c r="E1027" s="12" t="n">
        <x:v>0</x:v>
      </x:c>
      <x:c r="F1027" s="12" t="str">
        <x:v>未记录</x:v>
      </x:c>
      <x:c r="G1027" s="12" t="n">
        <x:v>0</x:v>
      </x:c>
      <x:c r="H1027" s="12" t="str">
        <x:v>{'NORM': 100.0, 'SR': 0.0}</x:v>
      </x:c>
      <x:c r="I1027" s="12" t="str">
        <x:v>[('SBRAD', 100.0), ('ABR', 100.0)]</x:v>
      </x:c>
      <x:c r="J1027" s="12" t="str">
        <x:v>ptbxl_database.csv；ecg_id=9036；scp_codes</x:v>
      </x:c>
      <x:c r="K1027" s="12" t="str">
        <x:v>12sl_statements.csv；ecg_id=9036；statements_ext_snomed</x:v>
      </x:c>
      <x:c r="L1027" s="12"/>
      <x:c r="M1027" s="12" t="str">
        <x:v>negative</x:v>
      </x:c>
      <x:c r="N1027" s="12"/>
      <x:c r="O1027" s="12" t="str">
        <x:v>negative</x:v>
      </x:c>
      <x:c r="P1027" s="12" t="str">
        <x:f>IF(OR(M1027="unavailable",O1027="unavailable"),"不可评价",IF(OR(M1027="equivocal",O1027="equivocal"),"疑似",IF(AND(M1027="positive",O1027="positive"),"a",IF(O1027="positive","b",IF(M1027="positive","c","d")))))</x:f>
        <x:v>d</x:v>
      </x:c>
      <x:c r="Q1027" s="12"/>
      <x:c r="R1027" s="12" t="str">
        <x:v>negative</x:v>
      </x:c>
      <x:c r="S1027" s="12"/>
      <x:c r="T1027" s="12" t="str">
        <x:v>negative</x:v>
      </x:c>
      <x:c r="U1027" s="12" t="str">
        <x:f>IF(OR(R1027="unavailable",T1027="unavailable"),"不可评价",IF(OR(R1027="equivocal",T1027="equivocal"),"疑似",IF(AND(R1027="positive",T1027="positive"),"a",IF(T1027="positive","b",IF(R1027="positive","c","d")))))</x:f>
        <x:v>d</x:v>
      </x:c>
      <x:c r="V1027" s="12"/>
      <x:c r="W1027" s="12" t="str">
        <x:v>negative</x:v>
      </x:c>
      <x:c r="X1027" s="12"/>
      <x:c r="Y1027" s="12" t="str">
        <x:v>negative</x:v>
      </x:c>
      <x:c r="Z1027" s="12" t="str">
        <x:f>IF(OR(W1027="unavailable",Y1027="unavailable"),"不可评价",IF(OR(W1027="equivocal",Y1027="equivocal"),"疑似",IF(AND(W1027="positive",Y1027="positive"),"a",IF(Y1027="positive","b",IF(W1027="positive","c","d")))))</x:f>
        <x:v>d</x:v>
      </x:c>
      <x:c r="AA1027" s="12" t="str">
        <x:f>IF(OR(M1027="unavailable",O1027="unavailable"),"不可评价",IF(AND(OR(M1027="positive",M1027="equivocal"),OR(O1027="positive",O1027="equivocal")),"a",IF(OR(O1027="positive",O1027="equivocal"),"b",IF(OR(M1027="positive",M1027="equivocal"),"c","d"))))</x:f>
        <x:v>d</x:v>
      </x:c>
      <x:c r="AB1027" s="12" t="str">
        <x:f>IF(OR(M1027="unavailable",O1027="unavailable"),"不可评价",IF(AND(M1027="positive",O1027="positive"),"a",IF(O1027="positive","b",IF(M1027="positive","c","d"))))</x:f>
        <x:v>d</x:v>
      </x:c>
      <x:c r="AC1027" s="12" t="str">
        <x:f>IF(OR(R1027="unavailable",T1027="unavailable"),"不可评价",IF(AND(OR(R1027="positive",R1027="equivocal"),OR(T1027="positive",T1027="equivocal")),"a",IF(OR(T1027="positive",T1027="equivocal"),"b",IF(OR(R1027="positive",R1027="equivocal"),"c","d"))))</x:f>
        <x:v>d</x:v>
      </x:c>
      <x:c r="AD1027" s="12" t="str">
        <x:f>IF(OR(R1027="unavailable",T1027="unavailable"),"不可评价",IF(AND(R1027="positive",T1027="positive"),"a",IF(T1027="positive","b",IF(R1027="positive","c","d"))))</x:f>
        <x:v>d</x:v>
      </x:c>
      <x:c r="AE1027" s="12" t="str">
        <x:f>IF(OR(W1027="unavailable",Y1027="unavailable"),"不可评价",IF(AND(OR(W1027="positive",W1027="equivocal"),OR(Y1027="positive",Y1027="equivocal")),"a",IF(OR(Y1027="positive",Y1027="equivocal"),"b",IF(OR(W1027="positive",W1027="equivocal"),"c","d"))))</x:f>
        <x:v>d</x:v>
      </x:c>
      <x:c r="AF1027" s="12" t="str">
        <x:f>IF(OR(W1027="unavailable",Y1027="unavailable"),"不可评价",IF(AND(W1027="positive",Y1027="positive"),"a",IF(Y1027="positive","b",IF(W1027="positive","c","d"))))</x:f>
        <x:v>d</x:v>
      </x:c>
    </x:row>
    <x:row r="1028" ht="24" customHeight="1">
      <x:c r="A1028" s="12" t="str">
        <x:v>9056</x:v>
      </x:c>
      <x:c r="B1028" s="12" t="str">
        <x:v>17620</x:v>
      </x:c>
      <x:c r="C1028" s="21" t="n">
        <x:v>33871.376979166664</x:v>
      </x:c>
      <x:c r="D1028" s="12" t="n">
        <x:v>44</x:v>
      </x:c>
      <x:c r="E1028" s="12" t="n">
        <x:v>0</x:v>
      </x:c>
      <x:c r="F1028" s="12" t="str">
        <x:v>未记录</x:v>
      </x:c>
      <x:c r="G1028" s="12" t="n">
        <x:v>1</x:v>
      </x:c>
      <x:c r="H1028" s="12" t="str">
        <x:v>{'NORM': 100.0, 'SR': 0.0}</x:v>
      </x:c>
      <x:c r="I1028" s="12" t="str">
        <x:v>[('SBRAD', 100.0), ('ABR', 100.0)]</x:v>
      </x:c>
      <x:c r="J1028" s="12" t="str">
        <x:v>ptbxl_database.csv；ecg_id=9056；scp_codes</x:v>
      </x:c>
      <x:c r="K1028" s="12" t="str">
        <x:v>12sl_statements.csv；ecg_id=9056；statements_ext_snomed</x:v>
      </x:c>
      <x:c r="L1028" s="12"/>
      <x:c r="M1028" s="12" t="str">
        <x:v>negative</x:v>
      </x:c>
      <x:c r="N1028" s="12"/>
      <x:c r="O1028" s="12" t="str">
        <x:v>negative</x:v>
      </x:c>
      <x:c r="P1028" s="12" t="str">
        <x:f>IF(OR(M1028="unavailable",O1028="unavailable"),"不可评价",IF(OR(M1028="equivocal",O1028="equivocal"),"疑似",IF(AND(M1028="positive",O1028="positive"),"a",IF(O1028="positive","b",IF(M1028="positive","c","d")))))</x:f>
        <x:v>d</x:v>
      </x:c>
      <x:c r="Q1028" s="12"/>
      <x:c r="R1028" s="12" t="str">
        <x:v>negative</x:v>
      </x:c>
      <x:c r="S1028" s="12"/>
      <x:c r="T1028" s="12" t="str">
        <x:v>negative</x:v>
      </x:c>
      <x:c r="U1028" s="12" t="str">
        <x:f>IF(OR(R1028="unavailable",T1028="unavailable"),"不可评价",IF(OR(R1028="equivocal",T1028="equivocal"),"疑似",IF(AND(R1028="positive",T1028="positive"),"a",IF(T1028="positive","b",IF(R1028="positive","c","d")))))</x:f>
        <x:v>d</x:v>
      </x:c>
      <x:c r="V1028" s="12"/>
      <x:c r="W1028" s="12" t="str">
        <x:v>negative</x:v>
      </x:c>
      <x:c r="X1028" s="12"/>
      <x:c r="Y1028" s="12" t="str">
        <x:v>negative</x:v>
      </x:c>
      <x:c r="Z1028" s="12" t="str">
        <x:f>IF(OR(W1028="unavailable",Y1028="unavailable"),"不可评价",IF(OR(W1028="equivocal",Y1028="equivocal"),"疑似",IF(AND(W1028="positive",Y1028="positive"),"a",IF(Y1028="positive","b",IF(W1028="positive","c","d")))))</x:f>
        <x:v>d</x:v>
      </x:c>
      <x:c r="AA1028" s="12" t="str">
        <x:f>IF(OR(M1028="unavailable",O1028="unavailable"),"不可评价",IF(AND(OR(M1028="positive",M1028="equivocal"),OR(O1028="positive",O1028="equivocal")),"a",IF(OR(O1028="positive",O1028="equivocal"),"b",IF(OR(M1028="positive",M1028="equivocal"),"c","d"))))</x:f>
        <x:v>d</x:v>
      </x:c>
      <x:c r="AB1028" s="12" t="str">
        <x:f>IF(OR(M1028="unavailable",O1028="unavailable"),"不可评价",IF(AND(M1028="positive",O1028="positive"),"a",IF(O1028="positive","b",IF(M1028="positive","c","d"))))</x:f>
        <x:v>d</x:v>
      </x:c>
      <x:c r="AC1028" s="12" t="str">
        <x:f>IF(OR(R1028="unavailable",T1028="unavailable"),"不可评价",IF(AND(OR(R1028="positive",R1028="equivocal"),OR(T1028="positive",T1028="equivocal")),"a",IF(OR(T1028="positive",T1028="equivocal"),"b",IF(OR(R1028="positive",R1028="equivocal"),"c","d"))))</x:f>
        <x:v>d</x:v>
      </x:c>
      <x:c r="AD1028" s="12" t="str">
        <x:f>IF(OR(R1028="unavailable",T1028="unavailable"),"不可评价",IF(AND(R1028="positive",T1028="positive"),"a",IF(T1028="positive","b",IF(R1028="positive","c","d"))))</x:f>
        <x:v>d</x:v>
      </x:c>
      <x:c r="AE1028" s="12" t="str">
        <x:f>IF(OR(W1028="unavailable",Y1028="unavailable"),"不可评价",IF(AND(OR(W1028="positive",W1028="equivocal"),OR(Y1028="positive",Y1028="equivocal")),"a",IF(OR(Y1028="positive",Y1028="equivocal"),"b",IF(OR(W1028="positive",W1028="equivocal"),"c","d"))))</x:f>
        <x:v>d</x:v>
      </x:c>
      <x:c r="AF1028" s="12" t="str">
        <x:f>IF(OR(W1028="unavailable",Y1028="unavailable"),"不可评价",IF(AND(W1028="positive",Y1028="positive"),"a",IF(Y1028="positive","b",IF(W1028="positive","c","d"))))</x:f>
        <x:v>d</x:v>
      </x:c>
    </x:row>
    <x:row r="1029" ht="24" customHeight="1">
      <x:c r="A1029" s="12" t="str">
        <x:v>9063</x:v>
      </x:c>
      <x:c r="B1029" s="12" t="str">
        <x:v>19578</x:v>
      </x:c>
      <x:c r="C1029" s="21" t="n">
        <x:v>33872.43216435185</x:v>
      </x:c>
      <x:c r="D1029" s="12" t="n">
        <x:v>41</x:v>
      </x:c>
      <x:c r="E1029" s="12" t="n">
        <x:v>1</x:v>
      </x:c>
      <x:c r="F1029" s="12" t="str">
        <x:v>未记录</x:v>
      </x:c>
      <x:c r="G1029" s="12" t="n">
        <x:v>1</x:v>
      </x:c>
      <x:c r="H1029" s="12" t="str">
        <x:v>{'LAFB': 100.0, 'LAO/LAE': 100.0, 'SR': 0.0}</x:v>
      </x:c>
      <x:c r="I1029" s="12" t="str">
        <x:v>[('NSR', 100.0), ('LAD3', 100.0), ('AB', 100.0)]</x:v>
      </x:c>
      <x:c r="J1029" s="12" t="str">
        <x:v>ptbxl_database.csv；ecg_id=9063；scp_codes</x:v>
      </x:c>
      <x:c r="K1029" s="12" t="str">
        <x:v>12sl_statements.csv；ecg_id=9063；statements_ext_snomed</x:v>
      </x:c>
      <x:c r="L1029" s="12"/>
      <x:c r="M1029" s="12" t="str">
        <x:v>negative</x:v>
      </x:c>
      <x:c r="N1029" s="12"/>
      <x:c r="O1029" s="12" t="str">
        <x:v>negative</x:v>
      </x:c>
      <x:c r="P1029" s="12" t="str">
        <x:f>IF(OR(M1029="unavailable",O1029="unavailable"),"不可评价",IF(OR(M1029="equivocal",O1029="equivocal"),"疑似",IF(AND(M1029="positive",O1029="positive"),"a",IF(O1029="positive","b",IF(M1029="positive","c","d")))))</x:f>
        <x:v>d</x:v>
      </x:c>
      <x:c r="Q1029" s="12"/>
      <x:c r="R1029" s="12" t="str">
        <x:v>negative</x:v>
      </x:c>
      <x:c r="S1029" s="12"/>
      <x:c r="T1029" s="12" t="str">
        <x:v>negative</x:v>
      </x:c>
      <x:c r="U1029" s="12" t="str">
        <x:f>IF(OR(R1029="unavailable",T1029="unavailable"),"不可评价",IF(OR(R1029="equivocal",T1029="equivocal"),"疑似",IF(AND(R1029="positive",T1029="positive"),"a",IF(T1029="positive","b",IF(R1029="positive","c","d")))))</x:f>
        <x:v>d</x:v>
      </x:c>
      <x:c r="V1029" s="12"/>
      <x:c r="W1029" s="12" t="str">
        <x:v>negative</x:v>
      </x:c>
      <x:c r="X1029" s="12"/>
      <x:c r="Y1029" s="12" t="str">
        <x:v>negative</x:v>
      </x:c>
      <x:c r="Z1029" s="12" t="str">
        <x:f>IF(OR(W1029="unavailable",Y1029="unavailable"),"不可评价",IF(OR(W1029="equivocal",Y1029="equivocal"),"疑似",IF(AND(W1029="positive",Y1029="positive"),"a",IF(Y1029="positive","b",IF(W1029="positive","c","d")))))</x:f>
        <x:v>d</x:v>
      </x:c>
      <x:c r="AA1029" s="12" t="str">
        <x:f>IF(OR(M1029="unavailable",O1029="unavailable"),"不可评价",IF(AND(OR(M1029="positive",M1029="equivocal"),OR(O1029="positive",O1029="equivocal")),"a",IF(OR(O1029="positive",O1029="equivocal"),"b",IF(OR(M1029="positive",M1029="equivocal"),"c","d"))))</x:f>
        <x:v>d</x:v>
      </x:c>
      <x:c r="AB1029" s="12" t="str">
        <x:f>IF(OR(M1029="unavailable",O1029="unavailable"),"不可评价",IF(AND(M1029="positive",O1029="positive"),"a",IF(O1029="positive","b",IF(M1029="positive","c","d"))))</x:f>
        <x:v>d</x:v>
      </x:c>
      <x:c r="AC1029" s="12" t="str">
        <x:f>IF(OR(R1029="unavailable",T1029="unavailable"),"不可评价",IF(AND(OR(R1029="positive",R1029="equivocal"),OR(T1029="positive",T1029="equivocal")),"a",IF(OR(T1029="positive",T1029="equivocal"),"b",IF(OR(R1029="positive",R1029="equivocal"),"c","d"))))</x:f>
        <x:v>d</x:v>
      </x:c>
      <x:c r="AD1029" s="12" t="str">
        <x:f>IF(OR(R1029="unavailable",T1029="unavailable"),"不可评价",IF(AND(R1029="positive",T1029="positive"),"a",IF(T1029="positive","b",IF(R1029="positive","c","d"))))</x:f>
        <x:v>d</x:v>
      </x:c>
      <x:c r="AE1029" s="12" t="str">
        <x:f>IF(OR(W1029="unavailable",Y1029="unavailable"),"不可评价",IF(AND(OR(W1029="positive",W1029="equivocal"),OR(Y1029="positive",Y1029="equivocal")),"a",IF(OR(Y1029="positive",Y1029="equivocal"),"b",IF(OR(W1029="positive",W1029="equivocal"),"c","d"))))</x:f>
        <x:v>d</x:v>
      </x:c>
      <x:c r="AF1029" s="12" t="str">
        <x:f>IF(OR(W1029="unavailable",Y1029="unavailable"),"不可评价",IF(AND(W1029="positive",Y1029="positive"),"a",IF(Y1029="positive","b",IF(W1029="positive","c","d"))))</x:f>
        <x:v>d</x:v>
      </x:c>
    </x:row>
    <x:row r="1030" ht="24" customHeight="1">
      <x:c r="A1030" s="12" t="str">
        <x:v>9094</x:v>
      </x:c>
      <x:c r="B1030" s="12" t="str">
        <x:v>10331</x:v>
      </x:c>
      <x:c r="C1030" s="21" t="n">
        <x:v>33876.35076388889</x:v>
      </x:c>
      <x:c r="D1030" s="12" t="n">
        <x:v>70</x:v>
      </x:c>
      <x:c r="E1030" s="12" t="n">
        <x:v>0</x:v>
      </x:c>
      <x:c r="F1030" s="12" t="str">
        <x:v>未记录</x:v>
      </x:c>
      <x:c r="G1030" s="12" t="n">
        <x:v>1</x:v>
      </x:c>
      <x:c r="H1030" s="12" t="str">
        <x:v>{'ASMI': 50.0, 'IRBBB': 100.0, 'LAFB': 100.0, 'ABQRS': 0.0, 'SR': 0.0}</x:v>
      </x:c>
      <x:c r="I1030" s="12" t="str">
        <x:v>[('NSR', 100.0), ('IRBBB', 100.0), ('AFB', 100.0), ('AB', 100.0)]</x:v>
      </x:c>
      <x:c r="J1030" s="12" t="str">
        <x:v>ptbxl_database.csv；ecg_id=9094；scp_codes</x:v>
      </x:c>
      <x:c r="K1030" s="12" t="str">
        <x:v>12sl_statements.csv；ecg_id=9094；statements_ext_snomed</x:v>
      </x:c>
      <x:c r="L1030" s="12"/>
      <x:c r="M1030" s="12" t="str">
        <x:v>negative</x:v>
      </x:c>
      <x:c r="N1030" s="12"/>
      <x:c r="O1030" s="12" t="str">
        <x:v>negative</x:v>
      </x:c>
      <x:c r="P1030" s="12" t="str">
        <x:f>IF(OR(M1030="unavailable",O1030="unavailable"),"不可评价",IF(OR(M1030="equivocal",O1030="equivocal"),"疑似",IF(AND(M1030="positive",O1030="positive"),"a",IF(O1030="positive","b",IF(M1030="positive","c","d")))))</x:f>
        <x:v>d</x:v>
      </x:c>
      <x:c r="Q1030" s="12"/>
      <x:c r="R1030" s="12" t="str">
        <x:v>negative</x:v>
      </x:c>
      <x:c r="S1030" s="12"/>
      <x:c r="T1030" s="12" t="str">
        <x:v>negative</x:v>
      </x:c>
      <x:c r="U1030" s="12" t="str">
        <x:f>IF(OR(R1030="unavailable",T1030="unavailable"),"不可评价",IF(OR(R1030="equivocal",T1030="equivocal"),"疑似",IF(AND(R1030="positive",T1030="positive"),"a",IF(T1030="positive","b",IF(R1030="positive","c","d")))))</x:f>
        <x:v>d</x:v>
      </x:c>
      <x:c r="V1030" s="12"/>
      <x:c r="W1030" s="12" t="str">
        <x:v>negative</x:v>
      </x:c>
      <x:c r="X1030" s="12"/>
      <x:c r="Y1030" s="12" t="str">
        <x:v>negative</x:v>
      </x:c>
      <x:c r="Z1030" s="12" t="str">
        <x:f>IF(OR(W1030="unavailable",Y1030="unavailable"),"不可评价",IF(OR(W1030="equivocal",Y1030="equivocal"),"疑似",IF(AND(W1030="positive",Y1030="positive"),"a",IF(Y1030="positive","b",IF(W1030="positive","c","d")))))</x:f>
        <x:v>d</x:v>
      </x:c>
      <x:c r="AA1030" s="12" t="str">
        <x:f>IF(OR(M1030="unavailable",O1030="unavailable"),"不可评价",IF(AND(OR(M1030="positive",M1030="equivocal"),OR(O1030="positive",O1030="equivocal")),"a",IF(OR(O1030="positive",O1030="equivocal"),"b",IF(OR(M1030="positive",M1030="equivocal"),"c","d"))))</x:f>
        <x:v>d</x:v>
      </x:c>
      <x:c r="AB1030" s="12" t="str">
        <x:f>IF(OR(M1030="unavailable",O1030="unavailable"),"不可评价",IF(AND(M1030="positive",O1030="positive"),"a",IF(O1030="positive","b",IF(M1030="positive","c","d"))))</x:f>
        <x:v>d</x:v>
      </x:c>
      <x:c r="AC1030" s="12" t="str">
        <x:f>IF(OR(R1030="unavailable",T1030="unavailable"),"不可评价",IF(AND(OR(R1030="positive",R1030="equivocal"),OR(T1030="positive",T1030="equivocal")),"a",IF(OR(T1030="positive",T1030="equivocal"),"b",IF(OR(R1030="positive",R1030="equivocal"),"c","d"))))</x:f>
        <x:v>d</x:v>
      </x:c>
      <x:c r="AD1030" s="12" t="str">
        <x:f>IF(OR(R1030="unavailable",T1030="unavailable"),"不可评价",IF(AND(R1030="positive",T1030="positive"),"a",IF(T1030="positive","b",IF(R1030="positive","c","d"))))</x:f>
        <x:v>d</x:v>
      </x:c>
      <x:c r="AE1030" s="12" t="str">
        <x:f>IF(OR(W1030="unavailable",Y1030="unavailable"),"不可评价",IF(AND(OR(W1030="positive",W1030="equivocal"),OR(Y1030="positive",Y1030="equivocal")),"a",IF(OR(Y1030="positive",Y1030="equivocal"),"b",IF(OR(W1030="positive",W1030="equivocal"),"c","d"))))</x:f>
        <x:v>d</x:v>
      </x:c>
      <x:c r="AF1030" s="12" t="str">
        <x:f>IF(OR(W1030="unavailable",Y1030="unavailable"),"不可评价",IF(AND(W1030="positive",Y1030="positive"),"a",IF(Y1030="positive","b",IF(W1030="positive","c","d"))))</x:f>
        <x:v>d</x:v>
      </x:c>
    </x:row>
    <x:row r="1031" ht="39" customHeight="1">
      <x:c r="A1031" s="12" t="str">
        <x:v>9095</x:v>
      </x:c>
      <x:c r="B1031" s="12" t="str">
        <x:v>6848</x:v>
      </x:c>
      <x:c r="C1031" s="21" t="n">
        <x:v>33876.35365740741</x:v>
      </x:c>
      <x:c r="D1031" s="12" t="n">
        <x:v>78</x:v>
      </x:c>
      <x:c r="E1031" s="12" t="n">
        <x:v>1</x:v>
      </x:c>
      <x:c r="F1031" s="12" t="str">
        <x:v>未记录</x:v>
      </x:c>
      <x:c r="G1031" s="12" t="n">
        <x:v>1</x:v>
      </x:c>
      <x:c r="H1031" s="12" t="str">
        <x:v>{'LVH': 50.0, 'ISC_': 100.0, 'DIG': 100.0, 'LOWT': 0.0, 'STD_': 0.0, 'AFIB': 0.0}</x:v>
      </x:c>
      <x:c r="I1031" s="12" t="str">
        <x:v>[('AFIB', 100.0), ('ST&amp;', 100.0), ('LT', 100.0), ('AB', 100.0)]</x:v>
      </x:c>
      <x:c r="J1031" s="12" t="str">
        <x:v>ptbxl_database.csv；ecg_id=9095；scp_codes</x:v>
      </x:c>
      <x:c r="K1031" s="12" t="str">
        <x:v>12sl_statements.csv；ecg_id=9095；statements_ext_snomed</x:v>
      </x:c>
      <x:c r="L1031" s="12" t="n">
        <x:v>0</x:v>
      </x:c>
      <x:c r="M1031" s="12" t="str">
        <x:v>positive</x:v>
      </x:c>
      <x:c r="N1031" s="12" t="n">
        <x:v>100</x:v>
      </x:c>
      <x:c r="O1031" s="12" t="str">
        <x:v>positive</x:v>
      </x:c>
      <x:c r="P1031" s="12" t="str">
        <x:f>IF(OR(M1031="unavailable",O1031="unavailable"),"不可评价",IF(OR(M1031="equivocal",O1031="equivocal"),"疑似",IF(AND(M1031="positive",O1031="positive"),"a",IF(O1031="positive","b",IF(M1031="positive","c","d")))))</x:f>
        <x:v>a</x:v>
      </x:c>
      <x:c r="Q1031" s="12"/>
      <x:c r="R1031" s="12" t="str">
        <x:v>negative</x:v>
      </x:c>
      <x:c r="S1031" s="12"/>
      <x:c r="T1031" s="12" t="str">
        <x:v>negative</x:v>
      </x:c>
      <x:c r="U1031" s="12" t="str">
        <x:f>IF(OR(R1031="unavailable",T1031="unavailable"),"不可评价",IF(OR(R1031="equivocal",T1031="equivocal"),"疑似",IF(AND(R1031="positive",T1031="positive"),"a",IF(T1031="positive","b",IF(R1031="positive","c","d")))))</x:f>
        <x:v>d</x:v>
      </x:c>
      <x:c r="V1031" s="12"/>
      <x:c r="W1031" s="12" t="str">
        <x:v>negative</x:v>
      </x:c>
      <x:c r="X1031" s="12"/>
      <x:c r="Y1031" s="12" t="str">
        <x:v>negative</x:v>
      </x:c>
      <x:c r="Z1031" s="12" t="str">
        <x:f>IF(OR(W1031="unavailable",Y1031="unavailable"),"不可评价",IF(OR(W1031="equivocal",Y1031="equivocal"),"疑似",IF(AND(W1031="positive",Y1031="positive"),"a",IF(Y1031="positive","b",IF(W1031="positive","c","d")))))</x:f>
        <x:v>d</x:v>
      </x:c>
      <x:c r="AA1031" s="12" t="str">
        <x:f>IF(OR(M1031="unavailable",O1031="unavailable"),"不可评价",IF(AND(OR(M1031="positive",M1031="equivocal"),OR(O1031="positive",O1031="equivocal")),"a",IF(OR(O1031="positive",O1031="equivocal"),"b",IF(OR(M1031="positive",M1031="equivocal"),"c","d"))))</x:f>
        <x:v>a</x:v>
      </x:c>
      <x:c r="AB1031" s="12" t="str">
        <x:f>IF(OR(M1031="unavailable",O1031="unavailable"),"不可评价",IF(AND(M1031="positive",O1031="positive"),"a",IF(O1031="positive","b",IF(M1031="positive","c","d"))))</x:f>
        <x:v>a</x:v>
      </x:c>
      <x:c r="AC1031" s="12" t="str">
        <x:f>IF(OR(R1031="unavailable",T1031="unavailable"),"不可评价",IF(AND(OR(R1031="positive",R1031="equivocal"),OR(T1031="positive",T1031="equivocal")),"a",IF(OR(T1031="positive",T1031="equivocal"),"b",IF(OR(R1031="positive",R1031="equivocal"),"c","d"))))</x:f>
        <x:v>d</x:v>
      </x:c>
      <x:c r="AD1031" s="12" t="str">
        <x:f>IF(OR(R1031="unavailable",T1031="unavailable"),"不可评价",IF(AND(R1031="positive",T1031="positive"),"a",IF(T1031="positive","b",IF(R1031="positive","c","d"))))</x:f>
        <x:v>d</x:v>
      </x:c>
      <x:c r="AE1031" s="12" t="str">
        <x:f>IF(OR(W1031="unavailable",Y1031="unavailable"),"不可评价",IF(AND(OR(W1031="positive",W1031="equivocal"),OR(Y1031="positive",Y1031="equivocal")),"a",IF(OR(Y1031="positive",Y1031="equivocal"),"b",IF(OR(W1031="positive",W1031="equivocal"),"c","d"))))</x:f>
        <x:v>d</x:v>
      </x:c>
      <x:c r="AF1031" s="12" t="str">
        <x:f>IF(OR(W1031="unavailable",Y1031="unavailable"),"不可评价",IF(AND(W1031="positive",Y1031="positive"),"a",IF(Y1031="positive","b",IF(W1031="positive","c","d"))))</x:f>
        <x:v>d</x:v>
      </x:c>
    </x:row>
    <x:row r="1032" ht="24" customHeight="1">
      <x:c r="A1032" s="12" t="str">
        <x:v>9108</x:v>
      </x:c>
      <x:c r="B1032" s="12" t="str">
        <x:v>11385</x:v>
      </x:c>
      <x:c r="C1032" s="21" t="n">
        <x:v>33877.50335648148</x:v>
      </x:c>
      <x:c r="D1032" s="12" t="n">
        <x:v>83</x:v>
      </x:c>
      <x:c r="E1032" s="12" t="n">
        <x:v>0</x:v>
      </x:c>
      <x:c r="F1032" s="12" t="str">
        <x:v>未记录</x:v>
      </x:c>
      <x:c r="G1032" s="12" t="n">
        <x:v>1</x:v>
      </x:c>
      <x:c r="H1032" s="12" t="str">
        <x:v>{'1AVB': 100.0, 'SR': 0.0}</x:v>
      </x:c>
      <x:c r="I1032" s="12" t="str">
        <x:v>[('SBRAD', 100.0), ('FAV', 100.0), ('ABR', 100.0)]</x:v>
      </x:c>
      <x:c r="J1032" s="12" t="str">
        <x:v>ptbxl_database.csv；ecg_id=9108；scp_codes</x:v>
      </x:c>
      <x:c r="K1032" s="12" t="str">
        <x:v>12sl_statements.csv；ecg_id=9108；statements_ext_snomed</x:v>
      </x:c>
      <x:c r="L1032" s="12"/>
      <x:c r="M1032" s="12" t="str">
        <x:v>negative</x:v>
      </x:c>
      <x:c r="N1032" s="12"/>
      <x:c r="O1032" s="12" t="str">
        <x:v>negative</x:v>
      </x:c>
      <x:c r="P1032" s="12" t="str">
        <x:f>IF(OR(M1032="unavailable",O1032="unavailable"),"不可评价",IF(OR(M1032="equivocal",O1032="equivocal"),"疑似",IF(AND(M1032="positive",O1032="positive"),"a",IF(O1032="positive","b",IF(M1032="positive","c","d")))))</x:f>
        <x:v>d</x:v>
      </x:c>
      <x:c r="Q1032" s="12"/>
      <x:c r="R1032" s="12" t="str">
        <x:v>negative</x:v>
      </x:c>
      <x:c r="S1032" s="12"/>
      <x:c r="T1032" s="12" t="str">
        <x:v>negative</x:v>
      </x:c>
      <x:c r="U1032" s="12" t="str">
        <x:f>IF(OR(R1032="unavailable",T1032="unavailable"),"不可评价",IF(OR(R1032="equivocal",T1032="equivocal"),"疑似",IF(AND(R1032="positive",T1032="positive"),"a",IF(T1032="positive","b",IF(R1032="positive","c","d")))))</x:f>
        <x:v>d</x:v>
      </x:c>
      <x:c r="V1032" s="12"/>
      <x:c r="W1032" s="12" t="str">
        <x:v>negative</x:v>
      </x:c>
      <x:c r="X1032" s="12"/>
      <x:c r="Y1032" s="12" t="str">
        <x:v>negative</x:v>
      </x:c>
      <x:c r="Z1032" s="12" t="str">
        <x:f>IF(OR(W1032="unavailable",Y1032="unavailable"),"不可评价",IF(OR(W1032="equivocal",Y1032="equivocal"),"疑似",IF(AND(W1032="positive",Y1032="positive"),"a",IF(Y1032="positive","b",IF(W1032="positive","c","d")))))</x:f>
        <x:v>d</x:v>
      </x:c>
      <x:c r="AA1032" s="12" t="str">
        <x:f>IF(OR(M1032="unavailable",O1032="unavailable"),"不可评价",IF(AND(OR(M1032="positive",M1032="equivocal"),OR(O1032="positive",O1032="equivocal")),"a",IF(OR(O1032="positive",O1032="equivocal"),"b",IF(OR(M1032="positive",M1032="equivocal"),"c","d"))))</x:f>
        <x:v>d</x:v>
      </x:c>
      <x:c r="AB1032" s="12" t="str">
        <x:f>IF(OR(M1032="unavailable",O1032="unavailable"),"不可评价",IF(AND(M1032="positive",O1032="positive"),"a",IF(O1032="positive","b",IF(M1032="positive","c","d"))))</x:f>
        <x:v>d</x:v>
      </x:c>
      <x:c r="AC1032" s="12" t="str">
        <x:f>IF(OR(R1032="unavailable",T1032="unavailable"),"不可评价",IF(AND(OR(R1032="positive",R1032="equivocal"),OR(T1032="positive",T1032="equivocal")),"a",IF(OR(T1032="positive",T1032="equivocal"),"b",IF(OR(R1032="positive",R1032="equivocal"),"c","d"))))</x:f>
        <x:v>d</x:v>
      </x:c>
      <x:c r="AD1032" s="12" t="str">
        <x:f>IF(OR(R1032="unavailable",T1032="unavailable"),"不可评价",IF(AND(R1032="positive",T1032="positive"),"a",IF(T1032="positive","b",IF(R1032="positive","c","d"))))</x:f>
        <x:v>d</x:v>
      </x:c>
      <x:c r="AE1032" s="12" t="str">
        <x:f>IF(OR(W1032="unavailable",Y1032="unavailable"),"不可评价",IF(AND(OR(W1032="positive",W1032="equivocal"),OR(Y1032="positive",Y1032="equivocal")),"a",IF(OR(Y1032="positive",Y1032="equivocal"),"b",IF(OR(W1032="positive",W1032="equivocal"),"c","d"))))</x:f>
        <x:v>d</x:v>
      </x:c>
      <x:c r="AF1032" s="12" t="str">
        <x:f>IF(OR(W1032="unavailable",Y1032="unavailable"),"不可评价",IF(AND(W1032="positive",Y1032="positive"),"a",IF(Y1032="positive","b",IF(W1032="positive","c","d"))))</x:f>
        <x:v>d</x:v>
      </x:c>
    </x:row>
    <x:row r="1033" ht="24" customHeight="1">
      <x:c r="A1033" s="12" t="str">
        <x:v>9110</x:v>
      </x:c>
      <x:c r="B1033" s="12" t="str">
        <x:v>4136</x:v>
      </x:c>
      <x:c r="C1033" s="21" t="n">
        <x:v>33877.58329861111</x:v>
      </x:c>
      <x:c r="D1033" s="12" t="n">
        <x:v>78</x:v>
      </x:c>
      <x:c r="E1033" s="12" t="n">
        <x:v>0</x:v>
      </x:c>
      <x:c r="F1033" s="12" t="str">
        <x:v>未记录</x:v>
      </x:c>
      <x:c r="G1033" s="12" t="n">
        <x:v>1</x:v>
      </x:c>
      <x:c r="H1033" s="12" t="str">
        <x:v>{'CLBBB': 100.0, 'LVH': 15.0}</x:v>
      </x:c>
      <x:c r="I1033" s="12" t="str">
        <x:v>[('NSR', 100.0), ('LBBB', 100.0), ('AB', 100.0)]</x:v>
      </x:c>
      <x:c r="J1033" s="12" t="str">
        <x:v>ptbxl_database.csv；ecg_id=9110；scp_codes</x:v>
      </x:c>
      <x:c r="K1033" s="12" t="str">
        <x:v>12sl_statements.csv；ecg_id=9110；statements_ext_snomed</x:v>
      </x:c>
      <x:c r="L1033" s="12"/>
      <x:c r="M1033" s="12" t="str">
        <x:v>negative</x:v>
      </x:c>
      <x:c r="N1033" s="12"/>
      <x:c r="O1033" s="12" t="str">
        <x:v>negative</x:v>
      </x:c>
      <x:c r="P1033" s="12" t="str">
        <x:f>IF(OR(M1033="unavailable",O1033="unavailable"),"不可评价",IF(OR(M1033="equivocal",O1033="equivocal"),"疑似",IF(AND(M1033="positive",O1033="positive"),"a",IF(O1033="positive","b",IF(M1033="positive","c","d")))))</x:f>
        <x:v>d</x:v>
      </x:c>
      <x:c r="Q1033" s="12" t="n">
        <x:v>100</x:v>
      </x:c>
      <x:c r="R1033" s="12" t="str">
        <x:v>positive</x:v>
      </x:c>
      <x:c r="S1033" s="12" t="n">
        <x:v>100</x:v>
      </x:c>
      <x:c r="T1033" s="12" t="str">
        <x:v>positive</x:v>
      </x:c>
      <x:c r="U1033" s="12" t="str">
        <x:f>IF(OR(R1033="unavailable",T1033="unavailable"),"不可评价",IF(OR(R1033="equivocal",T1033="equivocal"),"疑似",IF(AND(R1033="positive",T1033="positive"),"a",IF(T1033="positive","b",IF(R1033="positive","c","d")))))</x:f>
        <x:v>a</x:v>
      </x:c>
      <x:c r="V1033" s="12"/>
      <x:c r="W1033" s="12" t="str">
        <x:v>negative</x:v>
      </x:c>
      <x:c r="X1033" s="12"/>
      <x:c r="Y1033" s="12" t="str">
        <x:v>negative</x:v>
      </x:c>
      <x:c r="Z1033" s="12" t="str">
        <x:f>IF(OR(W1033="unavailable",Y1033="unavailable"),"不可评价",IF(OR(W1033="equivocal",Y1033="equivocal"),"疑似",IF(AND(W1033="positive",Y1033="positive"),"a",IF(Y1033="positive","b",IF(W1033="positive","c","d")))))</x:f>
        <x:v>d</x:v>
      </x:c>
      <x:c r="AA1033" s="12" t="str">
        <x:f>IF(OR(M1033="unavailable",O1033="unavailable"),"不可评价",IF(AND(OR(M1033="positive",M1033="equivocal"),OR(O1033="positive",O1033="equivocal")),"a",IF(OR(O1033="positive",O1033="equivocal"),"b",IF(OR(M1033="positive",M1033="equivocal"),"c","d"))))</x:f>
        <x:v>d</x:v>
      </x:c>
      <x:c r="AB1033" s="12" t="str">
        <x:f>IF(OR(M1033="unavailable",O1033="unavailable"),"不可评价",IF(AND(M1033="positive",O1033="positive"),"a",IF(O1033="positive","b",IF(M1033="positive","c","d"))))</x:f>
        <x:v>d</x:v>
      </x:c>
      <x:c r="AC1033" s="12" t="str">
        <x:f>IF(OR(R1033="unavailable",T1033="unavailable"),"不可评价",IF(AND(OR(R1033="positive",R1033="equivocal"),OR(T1033="positive",T1033="equivocal")),"a",IF(OR(T1033="positive",T1033="equivocal"),"b",IF(OR(R1033="positive",R1033="equivocal"),"c","d"))))</x:f>
        <x:v>a</x:v>
      </x:c>
      <x:c r="AD1033" s="12" t="str">
        <x:f>IF(OR(R1033="unavailable",T1033="unavailable"),"不可评价",IF(AND(R1033="positive",T1033="positive"),"a",IF(T1033="positive","b",IF(R1033="positive","c","d"))))</x:f>
        <x:v>a</x:v>
      </x:c>
      <x:c r="AE1033" s="12" t="str">
        <x:f>IF(OR(W1033="unavailable",Y1033="unavailable"),"不可评价",IF(AND(OR(W1033="positive",W1033="equivocal"),OR(Y1033="positive",Y1033="equivocal")),"a",IF(OR(Y1033="positive",Y1033="equivocal"),"b",IF(OR(W1033="positive",W1033="equivocal"),"c","d"))))</x:f>
        <x:v>d</x:v>
      </x:c>
      <x:c r="AF1033" s="12" t="str">
        <x:f>IF(OR(W1033="unavailable",Y1033="unavailable"),"不可评价",IF(AND(W1033="positive",Y1033="positive"),"a",IF(Y1033="positive","b",IF(W1033="positive","c","d"))))</x:f>
        <x:v>d</x:v>
      </x:c>
    </x:row>
    <x:row r="1034" ht="24" customHeight="1">
      <x:c r="A1034" s="12" t="str">
        <x:v>9115</x:v>
      </x:c>
      <x:c r="B1034" s="12" t="str">
        <x:v>7211</x:v>
      </x:c>
      <x:c r="C1034" s="21" t="n">
        <x:v>33878.36834490741</x:v>
      </x:c>
      <x:c r="D1034" s="12" t="n">
        <x:v>83</x:v>
      </x:c>
      <x:c r="E1034" s="12" t="n">
        <x:v>1</x:v>
      </x:c>
      <x:c r="F1034" s="12" t="str">
        <x:v>未记录</x:v>
      </x:c>
      <x:c r="G1034" s="12" t="n">
        <x:v>1</x:v>
      </x:c>
      <x:c r="H1034" s="12" t="str">
        <x:v>{'NDT': 100.0, 'NT_': 0.0, 'SR': 0.0}</x:v>
      </x:c>
      <x:c r="I1034" s="12" t="str">
        <x:v>[('NSR', 100.0), ('NT', 100.0), ('AB', 100.0)]</x:v>
      </x:c>
      <x:c r="J1034" s="12" t="str">
        <x:v>ptbxl_database.csv；ecg_id=9115；scp_codes</x:v>
      </x:c>
      <x:c r="K1034" s="12" t="str">
        <x:v>12sl_statements.csv；ecg_id=9115；statements_ext_snomed</x:v>
      </x:c>
      <x:c r="L1034" s="12"/>
      <x:c r="M1034" s="12" t="str">
        <x:v>negative</x:v>
      </x:c>
      <x:c r="N1034" s="12"/>
      <x:c r="O1034" s="12" t="str">
        <x:v>negative</x:v>
      </x:c>
      <x:c r="P1034" s="12" t="str">
        <x:f>IF(OR(M1034="unavailable",O1034="unavailable"),"不可评价",IF(OR(M1034="equivocal",O1034="equivocal"),"疑似",IF(AND(M1034="positive",O1034="positive"),"a",IF(O1034="positive","b",IF(M1034="positive","c","d")))))</x:f>
        <x:v>d</x:v>
      </x:c>
      <x:c r="Q1034" s="12"/>
      <x:c r="R1034" s="12" t="str">
        <x:v>negative</x:v>
      </x:c>
      <x:c r="S1034" s="12"/>
      <x:c r="T1034" s="12" t="str">
        <x:v>negative</x:v>
      </x:c>
      <x:c r="U1034" s="12" t="str">
        <x:f>IF(OR(R1034="unavailable",T1034="unavailable"),"不可评价",IF(OR(R1034="equivocal",T1034="equivocal"),"疑似",IF(AND(R1034="positive",T1034="positive"),"a",IF(T1034="positive","b",IF(R1034="positive","c","d")))))</x:f>
        <x:v>d</x:v>
      </x:c>
      <x:c r="V1034" s="12"/>
      <x:c r="W1034" s="12" t="str">
        <x:v>negative</x:v>
      </x:c>
      <x:c r="X1034" s="12"/>
      <x:c r="Y1034" s="12" t="str">
        <x:v>negative</x:v>
      </x:c>
      <x:c r="Z1034" s="12" t="str">
        <x:f>IF(OR(W1034="unavailable",Y1034="unavailable"),"不可评价",IF(OR(W1034="equivocal",Y1034="equivocal"),"疑似",IF(AND(W1034="positive",Y1034="positive"),"a",IF(Y1034="positive","b",IF(W1034="positive","c","d")))))</x:f>
        <x:v>d</x:v>
      </x:c>
      <x:c r="AA1034" s="12" t="str">
        <x:f>IF(OR(M1034="unavailable",O1034="unavailable"),"不可评价",IF(AND(OR(M1034="positive",M1034="equivocal"),OR(O1034="positive",O1034="equivocal")),"a",IF(OR(O1034="positive",O1034="equivocal"),"b",IF(OR(M1034="positive",M1034="equivocal"),"c","d"))))</x:f>
        <x:v>d</x:v>
      </x:c>
      <x:c r="AB1034" s="12" t="str">
        <x:f>IF(OR(M1034="unavailable",O1034="unavailable"),"不可评价",IF(AND(M1034="positive",O1034="positive"),"a",IF(O1034="positive","b",IF(M1034="positive","c","d"))))</x:f>
        <x:v>d</x:v>
      </x:c>
      <x:c r="AC1034" s="12" t="str">
        <x:f>IF(OR(R1034="unavailable",T1034="unavailable"),"不可评价",IF(AND(OR(R1034="positive",R1034="equivocal"),OR(T1034="positive",T1034="equivocal")),"a",IF(OR(T1034="positive",T1034="equivocal"),"b",IF(OR(R1034="positive",R1034="equivocal"),"c","d"))))</x:f>
        <x:v>d</x:v>
      </x:c>
      <x:c r="AD1034" s="12" t="str">
        <x:f>IF(OR(R1034="unavailable",T1034="unavailable"),"不可评价",IF(AND(R1034="positive",T1034="positive"),"a",IF(T1034="positive","b",IF(R1034="positive","c","d"))))</x:f>
        <x:v>d</x:v>
      </x:c>
      <x:c r="AE1034" s="12" t="str">
        <x:f>IF(OR(W1034="unavailable",Y1034="unavailable"),"不可评价",IF(AND(OR(W1034="positive",W1034="equivocal"),OR(Y1034="positive",Y1034="equivocal")),"a",IF(OR(Y1034="positive",Y1034="equivocal"),"b",IF(OR(W1034="positive",W1034="equivocal"),"c","d"))))</x:f>
        <x:v>d</x:v>
      </x:c>
      <x:c r="AF1034" s="12" t="str">
        <x:f>IF(OR(W1034="unavailable",Y1034="unavailable"),"不可评价",IF(AND(W1034="positive",Y1034="positive"),"a",IF(Y1034="positive","b",IF(W1034="positive","c","d"))))</x:f>
        <x:v>d</x:v>
      </x:c>
    </x:row>
    <x:row r="1035" ht="24" customHeight="1">
      <x:c r="A1035" s="12" t="str">
        <x:v>9133</x:v>
      </x:c>
      <x:c r="B1035" s="12" t="str">
        <x:v>7152</x:v>
      </x:c>
      <x:c r="C1035" s="21" t="n">
        <x:v>33879.491481481484</x:v>
      </x:c>
      <x:c r="D1035" s="12" t="n">
        <x:v>56</x:v>
      </x:c>
      <x:c r="E1035" s="12" t="n">
        <x:v>1</x:v>
      </x:c>
      <x:c r="F1035" s="12" t="str">
        <x:v>未记录</x:v>
      </x:c>
      <x:c r="G1035" s="12" t="n">
        <x:v>1</x:v>
      </x:c>
      <x:c r="H1035" s="12" t="str">
        <x:v>{'NORM': 100.0, 'LVOLT': 0.0, 'STACH': 0.0}</x:v>
      </x:c>
      <x:c r="I1035" s="12" t="str">
        <x:v>[('STACH', 100.0), ('ABR', 100.0)]</x:v>
      </x:c>
      <x:c r="J1035" s="12" t="str">
        <x:v>ptbxl_database.csv；ecg_id=9133；scp_codes</x:v>
      </x:c>
      <x:c r="K1035" s="12" t="str">
        <x:v>12sl_statements.csv；ecg_id=9133；statements_ext_snomed</x:v>
      </x:c>
      <x:c r="L1035" s="12"/>
      <x:c r="M1035" s="12" t="str">
        <x:v>negative</x:v>
      </x:c>
      <x:c r="N1035" s="12"/>
      <x:c r="O1035" s="12" t="str">
        <x:v>negative</x:v>
      </x:c>
      <x:c r="P1035" s="12" t="str">
        <x:f>IF(OR(M1035="unavailable",O1035="unavailable"),"不可评价",IF(OR(M1035="equivocal",O1035="equivocal"),"疑似",IF(AND(M1035="positive",O1035="positive"),"a",IF(O1035="positive","b",IF(M1035="positive","c","d")))))</x:f>
        <x:v>d</x:v>
      </x:c>
      <x:c r="Q1035" s="12"/>
      <x:c r="R1035" s="12" t="str">
        <x:v>negative</x:v>
      </x:c>
      <x:c r="S1035" s="12"/>
      <x:c r="T1035" s="12" t="str">
        <x:v>negative</x:v>
      </x:c>
      <x:c r="U1035" s="12" t="str">
        <x:f>IF(OR(R1035="unavailable",T1035="unavailable"),"不可评价",IF(OR(R1035="equivocal",T1035="equivocal"),"疑似",IF(AND(R1035="positive",T1035="positive"),"a",IF(T1035="positive","b",IF(R1035="positive","c","d")))))</x:f>
        <x:v>d</x:v>
      </x:c>
      <x:c r="V1035" s="12"/>
      <x:c r="W1035" s="12" t="str">
        <x:v>negative</x:v>
      </x:c>
      <x:c r="X1035" s="12"/>
      <x:c r="Y1035" s="12" t="str">
        <x:v>negative</x:v>
      </x:c>
      <x:c r="Z1035" s="12" t="str">
        <x:f>IF(OR(W1035="unavailable",Y1035="unavailable"),"不可评价",IF(OR(W1035="equivocal",Y1035="equivocal"),"疑似",IF(AND(W1035="positive",Y1035="positive"),"a",IF(Y1035="positive","b",IF(W1035="positive","c","d")))))</x:f>
        <x:v>d</x:v>
      </x:c>
      <x:c r="AA1035" s="12" t="str">
        <x:f>IF(OR(M1035="unavailable",O1035="unavailable"),"不可评价",IF(AND(OR(M1035="positive",M1035="equivocal"),OR(O1035="positive",O1035="equivocal")),"a",IF(OR(O1035="positive",O1035="equivocal"),"b",IF(OR(M1035="positive",M1035="equivocal"),"c","d"))))</x:f>
        <x:v>d</x:v>
      </x:c>
      <x:c r="AB1035" s="12" t="str">
        <x:f>IF(OR(M1035="unavailable",O1035="unavailable"),"不可评价",IF(AND(M1035="positive",O1035="positive"),"a",IF(O1035="positive","b",IF(M1035="positive","c","d"))))</x:f>
        <x:v>d</x:v>
      </x:c>
      <x:c r="AC1035" s="12" t="str">
        <x:f>IF(OR(R1035="unavailable",T1035="unavailable"),"不可评价",IF(AND(OR(R1035="positive",R1035="equivocal"),OR(T1035="positive",T1035="equivocal")),"a",IF(OR(T1035="positive",T1035="equivocal"),"b",IF(OR(R1035="positive",R1035="equivocal"),"c","d"))))</x:f>
        <x:v>d</x:v>
      </x:c>
      <x:c r="AD1035" s="12" t="str">
        <x:f>IF(OR(R1035="unavailable",T1035="unavailable"),"不可评价",IF(AND(R1035="positive",T1035="positive"),"a",IF(T1035="positive","b",IF(R1035="positive","c","d"))))</x:f>
        <x:v>d</x:v>
      </x:c>
      <x:c r="AE1035" s="12" t="str">
        <x:f>IF(OR(W1035="unavailable",Y1035="unavailable"),"不可评价",IF(AND(OR(W1035="positive",W1035="equivocal"),OR(Y1035="positive",Y1035="equivocal")),"a",IF(OR(Y1035="positive",Y1035="equivocal"),"b",IF(OR(W1035="positive",W1035="equivocal"),"c","d"))))</x:f>
        <x:v>d</x:v>
      </x:c>
      <x:c r="AF1035" s="12" t="str">
        <x:f>IF(OR(W1035="unavailable",Y1035="unavailable"),"不可评价",IF(AND(W1035="positive",Y1035="positive"),"a",IF(Y1035="positive","b",IF(W1035="positive","c","d"))))</x:f>
        <x:v>d</x:v>
      </x:c>
    </x:row>
    <x:row r="1036" ht="39" customHeight="1">
      <x:c r="A1036" s="12" t="str">
        <x:v>9144</x:v>
      </x:c>
      <x:c r="B1036" s="12" t="str">
        <x:v>13085</x:v>
      </x:c>
      <x:c r="C1036" s="21" t="n">
        <x:v>33881.593136574076</x:v>
      </x:c>
      <x:c r="D1036" s="12" t="n">
        <x:v>71</x:v>
      </x:c>
      <x:c r="E1036" s="12" t="n">
        <x:v>1</x:v>
      </x:c>
      <x:c r="F1036" s="12" t="str">
        <x:v>未记录</x:v>
      </x:c>
      <x:c r="G1036" s="12" t="n">
        <x:v>0</x:v>
      </x:c>
      <x:c r="H1036" s="12" t="str">
        <x:v>{'ASMI': 100.0, 'LMI': 100.0, 'INJLA': 100.0, '1AVB': 100.0, 'IVCD': 100.0, 'ABQRS': 0.0, 'SR': 0.0}</x:v>
      </x:c>
      <x:c r="I1036" s="12" t="str">
        <x:v>[('STACH', 100.0), ('RAD', 100.0), ('ILBBB', 100.0), ('LVH2', 100.0), ('2ST', 100.0), ('AB', 100.0)]</x:v>
      </x:c>
      <x:c r="J1036" s="12" t="str">
        <x:v>ptbxl_database.csv；ecg_id=9144；scp_codes</x:v>
      </x:c>
      <x:c r="K1036" s="12" t="str">
        <x:v>12sl_statements.csv；ecg_id=9144；statements_ext_snomed</x:v>
      </x:c>
      <x:c r="L1036" s="12"/>
      <x:c r="M1036" s="12" t="str">
        <x:v>negative</x:v>
      </x:c>
      <x:c r="N1036" s="12"/>
      <x:c r="O1036" s="12" t="str">
        <x:v>negative</x:v>
      </x:c>
      <x:c r="P1036" s="12" t="str">
        <x:f>IF(OR(M1036="unavailable",O1036="unavailable"),"不可评价",IF(OR(M1036="equivocal",O1036="equivocal"),"疑似",IF(AND(M1036="positive",O1036="positive"),"a",IF(O1036="positive","b",IF(M1036="positive","c","d")))))</x:f>
        <x:v>d</x:v>
      </x:c>
      <x:c r="Q1036" s="12"/>
      <x:c r="R1036" s="12" t="str">
        <x:v>negative</x:v>
      </x:c>
      <x:c r="S1036" s="12"/>
      <x:c r="T1036" s="12" t="str">
        <x:v>negative</x:v>
      </x:c>
      <x:c r="U1036" s="12" t="str">
        <x:f>IF(OR(R1036="unavailable",T1036="unavailable"),"不可评价",IF(OR(R1036="equivocal",T1036="equivocal"),"疑似",IF(AND(R1036="positive",T1036="positive"),"a",IF(T1036="positive","b",IF(R1036="positive","c","d")))))</x:f>
        <x:v>d</x:v>
      </x:c>
      <x:c r="V1036" s="12"/>
      <x:c r="W1036" s="12" t="str">
        <x:v>negative</x:v>
      </x:c>
      <x:c r="X1036" s="12"/>
      <x:c r="Y1036" s="12" t="str">
        <x:v>negative</x:v>
      </x:c>
      <x:c r="Z1036" s="12" t="str">
        <x:f>IF(OR(W1036="unavailable",Y1036="unavailable"),"不可评价",IF(OR(W1036="equivocal",Y1036="equivocal"),"疑似",IF(AND(W1036="positive",Y1036="positive"),"a",IF(Y1036="positive","b",IF(W1036="positive","c","d")))))</x:f>
        <x:v>d</x:v>
      </x:c>
      <x:c r="AA1036" s="12" t="str">
        <x:f>IF(OR(M1036="unavailable",O1036="unavailable"),"不可评价",IF(AND(OR(M1036="positive",M1036="equivocal"),OR(O1036="positive",O1036="equivocal")),"a",IF(OR(O1036="positive",O1036="equivocal"),"b",IF(OR(M1036="positive",M1036="equivocal"),"c","d"))))</x:f>
        <x:v>d</x:v>
      </x:c>
      <x:c r="AB1036" s="12" t="str">
        <x:f>IF(OR(M1036="unavailable",O1036="unavailable"),"不可评价",IF(AND(M1036="positive",O1036="positive"),"a",IF(O1036="positive","b",IF(M1036="positive","c","d"))))</x:f>
        <x:v>d</x:v>
      </x:c>
      <x:c r="AC1036" s="12" t="str">
        <x:f>IF(OR(R1036="unavailable",T1036="unavailable"),"不可评价",IF(AND(OR(R1036="positive",R1036="equivocal"),OR(T1036="positive",T1036="equivocal")),"a",IF(OR(T1036="positive",T1036="equivocal"),"b",IF(OR(R1036="positive",R1036="equivocal"),"c","d"))))</x:f>
        <x:v>d</x:v>
      </x:c>
      <x:c r="AD1036" s="12" t="str">
        <x:f>IF(OR(R1036="unavailable",T1036="unavailable"),"不可评价",IF(AND(R1036="positive",T1036="positive"),"a",IF(T1036="positive","b",IF(R1036="positive","c","d"))))</x:f>
        <x:v>d</x:v>
      </x:c>
      <x:c r="AE1036" s="12" t="str">
        <x:f>IF(OR(W1036="unavailable",Y1036="unavailable"),"不可评价",IF(AND(OR(W1036="positive",W1036="equivocal"),OR(Y1036="positive",Y1036="equivocal")),"a",IF(OR(Y1036="positive",Y1036="equivocal"),"b",IF(OR(W1036="positive",W1036="equivocal"),"c","d"))))</x:f>
        <x:v>d</x:v>
      </x:c>
      <x:c r="AF1036" s="12" t="str">
        <x:f>IF(OR(W1036="unavailable",Y1036="unavailable"),"不可评价",IF(AND(W1036="positive",Y1036="positive"),"a",IF(Y1036="positive","b",IF(W1036="positive","c","d"))))</x:f>
        <x:v>d</x:v>
      </x:c>
    </x:row>
    <x:row r="1037" ht="24" customHeight="1">
      <x:c r="A1037" s="12" t="str">
        <x:v>9164</x:v>
      </x:c>
      <x:c r="B1037" s="12" t="str">
        <x:v>18166</x:v>
      </x:c>
      <x:c r="C1037" s="21" t="n">
        <x:v>33884.362222222226</x:v>
      </x:c>
      <x:c r="D1037" s="12" t="n">
        <x:v>25</x:v>
      </x:c>
      <x:c r="E1037" s="12" t="n">
        <x:v>0</x:v>
      </x:c>
      <x:c r="F1037" s="12" t="str">
        <x:v>未记录</x:v>
      </x:c>
      <x:c r="G1037" s="12" t="n">
        <x:v>1</x:v>
      </x:c>
      <x:c r="H1037" s="12" t="str">
        <x:v>{'NORM': 100.0, 'SR': 0.0}</x:v>
      </x:c>
      <x:c r="I1037" s="12" t="str">
        <x:v>[('NSR', 100.0), ('NML', 100.0)]</x:v>
      </x:c>
      <x:c r="J1037" s="12" t="str">
        <x:v>ptbxl_database.csv；ecg_id=9164；scp_codes</x:v>
      </x:c>
      <x:c r="K1037" s="12" t="str">
        <x:v>12sl_statements.csv；ecg_id=9164；statements_ext_snomed</x:v>
      </x:c>
      <x:c r="L1037" s="12"/>
      <x:c r="M1037" s="12" t="str">
        <x:v>negative</x:v>
      </x:c>
      <x:c r="N1037" s="12"/>
      <x:c r="O1037" s="12" t="str">
        <x:v>negative</x:v>
      </x:c>
      <x:c r="P1037" s="12" t="str">
        <x:f>IF(OR(M1037="unavailable",O1037="unavailable"),"不可评价",IF(OR(M1037="equivocal",O1037="equivocal"),"疑似",IF(AND(M1037="positive",O1037="positive"),"a",IF(O1037="positive","b",IF(M1037="positive","c","d")))))</x:f>
        <x:v>d</x:v>
      </x:c>
      <x:c r="Q1037" s="12"/>
      <x:c r="R1037" s="12" t="str">
        <x:v>negative</x:v>
      </x:c>
      <x:c r="S1037" s="12"/>
      <x:c r="T1037" s="12" t="str">
        <x:v>negative</x:v>
      </x:c>
      <x:c r="U1037" s="12" t="str">
        <x:f>IF(OR(R1037="unavailable",T1037="unavailable"),"不可评价",IF(OR(R1037="equivocal",T1037="equivocal"),"疑似",IF(AND(R1037="positive",T1037="positive"),"a",IF(T1037="positive","b",IF(R1037="positive","c","d")))))</x:f>
        <x:v>d</x:v>
      </x:c>
      <x:c r="V1037" s="12"/>
      <x:c r="W1037" s="12" t="str">
        <x:v>negative</x:v>
      </x:c>
      <x:c r="X1037" s="12"/>
      <x:c r="Y1037" s="12" t="str">
        <x:v>negative</x:v>
      </x:c>
      <x:c r="Z1037" s="12" t="str">
        <x:f>IF(OR(W1037="unavailable",Y1037="unavailable"),"不可评价",IF(OR(W1037="equivocal",Y1037="equivocal"),"疑似",IF(AND(W1037="positive",Y1037="positive"),"a",IF(Y1037="positive","b",IF(W1037="positive","c","d")))))</x:f>
        <x:v>d</x:v>
      </x:c>
      <x:c r="AA1037" s="12" t="str">
        <x:f>IF(OR(M1037="unavailable",O1037="unavailable"),"不可评价",IF(AND(OR(M1037="positive",M1037="equivocal"),OR(O1037="positive",O1037="equivocal")),"a",IF(OR(O1037="positive",O1037="equivocal"),"b",IF(OR(M1037="positive",M1037="equivocal"),"c","d"))))</x:f>
        <x:v>d</x:v>
      </x:c>
      <x:c r="AB1037" s="12" t="str">
        <x:f>IF(OR(M1037="unavailable",O1037="unavailable"),"不可评价",IF(AND(M1037="positive",O1037="positive"),"a",IF(O1037="positive","b",IF(M1037="positive","c","d"))))</x:f>
        <x:v>d</x:v>
      </x:c>
      <x:c r="AC1037" s="12" t="str">
        <x:f>IF(OR(R1037="unavailable",T1037="unavailable"),"不可评价",IF(AND(OR(R1037="positive",R1037="equivocal"),OR(T1037="positive",T1037="equivocal")),"a",IF(OR(T1037="positive",T1037="equivocal"),"b",IF(OR(R1037="positive",R1037="equivocal"),"c","d"))))</x:f>
        <x:v>d</x:v>
      </x:c>
      <x:c r="AD1037" s="12" t="str">
        <x:f>IF(OR(R1037="unavailable",T1037="unavailable"),"不可评价",IF(AND(R1037="positive",T1037="positive"),"a",IF(T1037="positive","b",IF(R1037="positive","c","d"))))</x:f>
        <x:v>d</x:v>
      </x:c>
      <x:c r="AE1037" s="12" t="str">
        <x:f>IF(OR(W1037="unavailable",Y1037="unavailable"),"不可评价",IF(AND(OR(W1037="positive",W1037="equivocal"),OR(Y1037="positive",Y1037="equivocal")),"a",IF(OR(Y1037="positive",Y1037="equivocal"),"b",IF(OR(W1037="positive",W1037="equivocal"),"c","d"))))</x:f>
        <x:v>d</x:v>
      </x:c>
      <x:c r="AF1037" s="12" t="str">
        <x:f>IF(OR(W1037="unavailable",Y1037="unavailable"),"不可评价",IF(AND(W1037="positive",Y1037="positive"),"a",IF(Y1037="positive","b",IF(W1037="positive","c","d"))))</x:f>
        <x:v>d</x:v>
      </x:c>
    </x:row>
    <x:row r="1038" ht="24" customHeight="1">
      <x:c r="A1038" s="12" t="str">
        <x:v>9167</x:v>
      </x:c>
      <x:c r="B1038" s="12" t="str">
        <x:v>9642</x:v>
      </x:c>
      <x:c r="C1038" s="21" t="n">
        <x:v>33884.70527777778</x:v>
      </x:c>
      <x:c r="D1038" s="12" t="n">
        <x:v>87</x:v>
      </x:c>
      <x:c r="E1038" s="12" t="n">
        <x:v>1</x:v>
      </x:c>
      <x:c r="F1038" s="12" t="str">
        <x:v>未记录</x:v>
      </x:c>
      <x:c r="G1038" s="12" t="n">
        <x:v>0</x:v>
      </x:c>
      <x:c r="H1038" s="12" t="str">
        <x:v>{'NDT': 100.0, 'SR': 0.0}</x:v>
      </x:c>
      <x:c r="I1038" s="12" t="str">
        <x:v>[('NSR', 100.0), ('NST', 100.0), ('AB', 100.0)]</x:v>
      </x:c>
      <x:c r="J1038" s="12" t="str">
        <x:v>ptbxl_database.csv；ecg_id=9167；scp_codes</x:v>
      </x:c>
      <x:c r="K1038" s="12" t="str">
        <x:v>12sl_statements.csv；ecg_id=9167；statements_ext_snomed</x:v>
      </x:c>
      <x:c r="L1038" s="12"/>
      <x:c r="M1038" s="12" t="str">
        <x:v>negative</x:v>
      </x:c>
      <x:c r="N1038" s="12"/>
      <x:c r="O1038" s="12" t="str">
        <x:v>negative</x:v>
      </x:c>
      <x:c r="P1038" s="12" t="str">
        <x:f>IF(OR(M1038="unavailable",O1038="unavailable"),"不可评价",IF(OR(M1038="equivocal",O1038="equivocal"),"疑似",IF(AND(M1038="positive",O1038="positive"),"a",IF(O1038="positive","b",IF(M1038="positive","c","d")))))</x:f>
        <x:v>d</x:v>
      </x:c>
      <x:c r="Q1038" s="12"/>
      <x:c r="R1038" s="12" t="str">
        <x:v>negative</x:v>
      </x:c>
      <x:c r="S1038" s="12"/>
      <x:c r="T1038" s="12" t="str">
        <x:v>negative</x:v>
      </x:c>
      <x:c r="U1038" s="12" t="str">
        <x:f>IF(OR(R1038="unavailable",T1038="unavailable"),"不可评价",IF(OR(R1038="equivocal",T1038="equivocal"),"疑似",IF(AND(R1038="positive",T1038="positive"),"a",IF(T1038="positive","b",IF(R1038="positive","c","d")))))</x:f>
        <x:v>d</x:v>
      </x:c>
      <x:c r="V1038" s="12"/>
      <x:c r="W1038" s="12" t="str">
        <x:v>negative</x:v>
      </x:c>
      <x:c r="X1038" s="12"/>
      <x:c r="Y1038" s="12" t="str">
        <x:v>negative</x:v>
      </x:c>
      <x:c r="Z1038" s="12" t="str">
        <x:f>IF(OR(W1038="unavailable",Y1038="unavailable"),"不可评价",IF(OR(W1038="equivocal",Y1038="equivocal"),"疑似",IF(AND(W1038="positive",Y1038="positive"),"a",IF(Y1038="positive","b",IF(W1038="positive","c","d")))))</x:f>
        <x:v>d</x:v>
      </x:c>
      <x:c r="AA1038" s="12" t="str">
        <x:f>IF(OR(M1038="unavailable",O1038="unavailable"),"不可评价",IF(AND(OR(M1038="positive",M1038="equivocal"),OR(O1038="positive",O1038="equivocal")),"a",IF(OR(O1038="positive",O1038="equivocal"),"b",IF(OR(M1038="positive",M1038="equivocal"),"c","d"))))</x:f>
        <x:v>d</x:v>
      </x:c>
      <x:c r="AB1038" s="12" t="str">
        <x:f>IF(OR(M1038="unavailable",O1038="unavailable"),"不可评价",IF(AND(M1038="positive",O1038="positive"),"a",IF(O1038="positive","b",IF(M1038="positive","c","d"))))</x:f>
        <x:v>d</x:v>
      </x:c>
      <x:c r="AC1038" s="12" t="str">
        <x:f>IF(OR(R1038="unavailable",T1038="unavailable"),"不可评价",IF(AND(OR(R1038="positive",R1038="equivocal"),OR(T1038="positive",T1038="equivocal")),"a",IF(OR(T1038="positive",T1038="equivocal"),"b",IF(OR(R1038="positive",R1038="equivocal"),"c","d"))))</x:f>
        <x:v>d</x:v>
      </x:c>
      <x:c r="AD1038" s="12" t="str">
        <x:f>IF(OR(R1038="unavailable",T1038="unavailable"),"不可评价",IF(AND(R1038="positive",T1038="positive"),"a",IF(T1038="positive","b",IF(R1038="positive","c","d"))))</x:f>
        <x:v>d</x:v>
      </x:c>
      <x:c r="AE1038" s="12" t="str">
        <x:f>IF(OR(W1038="unavailable",Y1038="unavailable"),"不可评价",IF(AND(OR(W1038="positive",W1038="equivocal"),OR(Y1038="positive",Y1038="equivocal")),"a",IF(OR(Y1038="positive",Y1038="equivocal"),"b",IF(OR(W1038="positive",W1038="equivocal"),"c","d"))))</x:f>
        <x:v>d</x:v>
      </x:c>
      <x:c r="AF1038" s="12" t="str">
        <x:f>IF(OR(W1038="unavailable",Y1038="unavailable"),"不可评价",IF(AND(W1038="positive",Y1038="positive"),"a",IF(Y1038="positive","b",IF(W1038="positive","c","d"))))</x:f>
        <x:v>d</x:v>
      </x:c>
    </x:row>
    <x:row r="1039" ht="24" customHeight="1">
      <x:c r="A1039" s="12" t="str">
        <x:v>9174</x:v>
      </x:c>
      <x:c r="B1039" s="12" t="str">
        <x:v>11293</x:v>
      </x:c>
      <x:c r="C1039" s="21" t="n">
        <x:v>33887.47618055555</x:v>
      </x:c>
      <x:c r="D1039" s="12" t="n">
        <x:v>75</x:v>
      </x:c>
      <x:c r="E1039" s="12" t="n">
        <x:v>1</x:v>
      </x:c>
      <x:c r="F1039" s="12" t="str">
        <x:v>存在</x:v>
      </x:c>
      <x:c r="G1039" s="12" t="n">
        <x:v>0</x:v>
      </x:c>
      <x:c r="H1039" s="12" t="str">
        <x:v>{'NORM': 100.0, 'SR': 0.0}</x:v>
      </x:c>
      <x:c r="I1039" s="12" t="str">
        <x:v>[('NSR', 100.0), ('NML', 100.0)]</x:v>
      </x:c>
      <x:c r="J1039" s="12" t="str">
        <x:v>ptbxl_database.csv；ecg_id=9174；scp_codes</x:v>
      </x:c>
      <x:c r="K1039" s="12" t="str">
        <x:v>12sl_statements.csv；ecg_id=9174；statements_ext_snomed</x:v>
      </x:c>
      <x:c r="L1039" s="12"/>
      <x:c r="M1039" s="12" t="str">
        <x:v>negative</x:v>
      </x:c>
      <x:c r="N1039" s="12"/>
      <x:c r="O1039" s="12" t="str">
        <x:v>negative</x:v>
      </x:c>
      <x:c r="P1039" s="12" t="str">
        <x:f>IF(OR(M1039="unavailable",O1039="unavailable"),"不可评价",IF(OR(M1039="equivocal",O1039="equivocal"),"疑似",IF(AND(M1039="positive",O1039="positive"),"a",IF(O1039="positive","b",IF(M1039="positive","c","d")))))</x:f>
        <x:v>d</x:v>
      </x:c>
      <x:c r="Q1039" s="12"/>
      <x:c r="R1039" s="12" t="str">
        <x:v>negative</x:v>
      </x:c>
      <x:c r="S1039" s="12"/>
      <x:c r="T1039" s="12" t="str">
        <x:v>negative</x:v>
      </x:c>
      <x:c r="U1039" s="12" t="str">
        <x:f>IF(OR(R1039="unavailable",T1039="unavailable"),"不可评价",IF(OR(R1039="equivocal",T1039="equivocal"),"疑似",IF(AND(R1039="positive",T1039="positive"),"a",IF(T1039="positive","b",IF(R1039="positive","c","d")))))</x:f>
        <x:v>d</x:v>
      </x:c>
      <x:c r="V1039" s="12"/>
      <x:c r="W1039" s="12" t="str">
        <x:v>negative</x:v>
      </x:c>
      <x:c r="X1039" s="12"/>
      <x:c r="Y1039" s="12" t="str">
        <x:v>negative</x:v>
      </x:c>
      <x:c r="Z1039" s="12" t="str">
        <x:f>IF(OR(W1039="unavailable",Y1039="unavailable"),"不可评价",IF(OR(W1039="equivocal",Y1039="equivocal"),"疑似",IF(AND(W1039="positive",Y1039="positive"),"a",IF(Y1039="positive","b",IF(W1039="positive","c","d")))))</x:f>
        <x:v>d</x:v>
      </x:c>
      <x:c r="AA1039" s="12" t="str">
        <x:f>IF(OR(M1039="unavailable",O1039="unavailable"),"不可评价",IF(AND(OR(M1039="positive",M1039="equivocal"),OR(O1039="positive",O1039="equivocal")),"a",IF(OR(O1039="positive",O1039="equivocal"),"b",IF(OR(M1039="positive",M1039="equivocal"),"c","d"))))</x:f>
        <x:v>d</x:v>
      </x:c>
      <x:c r="AB1039" s="12" t="str">
        <x:f>IF(OR(M1039="unavailable",O1039="unavailable"),"不可评价",IF(AND(M1039="positive",O1039="positive"),"a",IF(O1039="positive","b",IF(M1039="positive","c","d"))))</x:f>
        <x:v>d</x:v>
      </x:c>
      <x:c r="AC1039" s="12" t="str">
        <x:f>IF(OR(R1039="unavailable",T1039="unavailable"),"不可评价",IF(AND(OR(R1039="positive",R1039="equivocal"),OR(T1039="positive",T1039="equivocal")),"a",IF(OR(T1039="positive",T1039="equivocal"),"b",IF(OR(R1039="positive",R1039="equivocal"),"c","d"))))</x:f>
        <x:v>d</x:v>
      </x:c>
      <x:c r="AD1039" s="12" t="str">
        <x:f>IF(OR(R1039="unavailable",T1039="unavailable"),"不可评价",IF(AND(R1039="positive",T1039="positive"),"a",IF(T1039="positive","b",IF(R1039="positive","c","d"))))</x:f>
        <x:v>d</x:v>
      </x:c>
      <x:c r="AE1039" s="12" t="str">
        <x:f>IF(OR(W1039="unavailable",Y1039="unavailable"),"不可评价",IF(AND(OR(W1039="positive",W1039="equivocal"),OR(Y1039="positive",Y1039="equivocal")),"a",IF(OR(Y1039="positive",Y1039="equivocal"),"b",IF(OR(W1039="positive",W1039="equivocal"),"c","d"))))</x:f>
        <x:v>d</x:v>
      </x:c>
      <x:c r="AF1039" s="12" t="str">
        <x:f>IF(OR(W1039="unavailable",Y1039="unavailable"),"不可评价",IF(AND(W1039="positive",Y1039="positive"),"a",IF(Y1039="positive","b",IF(W1039="positive","c","d"))))</x:f>
        <x:v>d</x:v>
      </x:c>
    </x:row>
    <x:row r="1040" ht="24" customHeight="1">
      <x:c r="A1040" s="12" t="str">
        <x:v>9176</x:v>
      </x:c>
      <x:c r="B1040" s="12" t="str">
        <x:v>13595</x:v>
      </x:c>
      <x:c r="C1040" s="21" t="n">
        <x:v>33887.663622685184</x:v>
      </x:c>
      <x:c r="D1040" s="12" t="n">
        <x:v>60</x:v>
      </x:c>
      <x:c r="E1040" s="12" t="n">
        <x:v>0</x:v>
      </x:c>
      <x:c r="F1040" s="12" t="str">
        <x:v>存在</x:v>
      </x:c>
      <x:c r="G1040" s="12" t="n">
        <x:v>1</x:v>
      </x:c>
      <x:c r="H1040" s="12" t="str">
        <x:v>{'NDT': 100.0, 'SR': 0.0}</x:v>
      </x:c>
      <x:c r="I1040" s="12" t="str">
        <x:v>[('NSR', 100.0), ('IMI;AU', 100.0), ('AB', 100.0)]</x:v>
      </x:c>
      <x:c r="J1040" s="12" t="str">
        <x:v>ptbxl_database.csv；ecg_id=9176；scp_codes</x:v>
      </x:c>
      <x:c r="K1040" s="12" t="str">
        <x:v>12sl_statements.csv；ecg_id=9176；statements_ext_snomed</x:v>
      </x:c>
      <x:c r="L1040" s="12"/>
      <x:c r="M1040" s="12" t="str">
        <x:v>negative</x:v>
      </x:c>
      <x:c r="N1040" s="12"/>
      <x:c r="O1040" s="12" t="str">
        <x:v>negative</x:v>
      </x:c>
      <x:c r="P1040" s="12" t="str">
        <x:f>IF(OR(M1040="unavailable",O1040="unavailable"),"不可评价",IF(OR(M1040="equivocal",O1040="equivocal"),"疑似",IF(AND(M1040="positive",O1040="positive"),"a",IF(O1040="positive","b",IF(M1040="positive","c","d")))))</x:f>
        <x:v>d</x:v>
      </x:c>
      <x:c r="Q1040" s="12"/>
      <x:c r="R1040" s="12" t="str">
        <x:v>negative</x:v>
      </x:c>
      <x:c r="S1040" s="12"/>
      <x:c r="T1040" s="12" t="str">
        <x:v>negative</x:v>
      </x:c>
      <x:c r="U1040" s="12" t="str">
        <x:f>IF(OR(R1040="unavailable",T1040="unavailable"),"不可评价",IF(OR(R1040="equivocal",T1040="equivocal"),"疑似",IF(AND(R1040="positive",T1040="positive"),"a",IF(T1040="positive","b",IF(R1040="positive","c","d")))))</x:f>
        <x:v>d</x:v>
      </x:c>
      <x:c r="V1040" s="12"/>
      <x:c r="W1040" s="12" t="str">
        <x:v>negative</x:v>
      </x:c>
      <x:c r="X1040" s="12"/>
      <x:c r="Y1040" s="12" t="str">
        <x:v>negative</x:v>
      </x:c>
      <x:c r="Z1040" s="12" t="str">
        <x:f>IF(OR(W1040="unavailable",Y1040="unavailable"),"不可评价",IF(OR(W1040="equivocal",Y1040="equivocal"),"疑似",IF(AND(W1040="positive",Y1040="positive"),"a",IF(Y1040="positive","b",IF(W1040="positive","c","d")))))</x:f>
        <x:v>d</x:v>
      </x:c>
      <x:c r="AA1040" s="12" t="str">
        <x:f>IF(OR(M1040="unavailable",O1040="unavailable"),"不可评价",IF(AND(OR(M1040="positive",M1040="equivocal"),OR(O1040="positive",O1040="equivocal")),"a",IF(OR(O1040="positive",O1040="equivocal"),"b",IF(OR(M1040="positive",M1040="equivocal"),"c","d"))))</x:f>
        <x:v>d</x:v>
      </x:c>
      <x:c r="AB1040" s="12" t="str">
        <x:f>IF(OR(M1040="unavailable",O1040="unavailable"),"不可评价",IF(AND(M1040="positive",O1040="positive"),"a",IF(O1040="positive","b",IF(M1040="positive","c","d"))))</x:f>
        <x:v>d</x:v>
      </x:c>
      <x:c r="AC1040" s="12" t="str">
        <x:f>IF(OR(R1040="unavailable",T1040="unavailable"),"不可评价",IF(AND(OR(R1040="positive",R1040="equivocal"),OR(T1040="positive",T1040="equivocal")),"a",IF(OR(T1040="positive",T1040="equivocal"),"b",IF(OR(R1040="positive",R1040="equivocal"),"c","d"))))</x:f>
        <x:v>d</x:v>
      </x:c>
      <x:c r="AD1040" s="12" t="str">
        <x:f>IF(OR(R1040="unavailable",T1040="unavailable"),"不可评价",IF(AND(R1040="positive",T1040="positive"),"a",IF(T1040="positive","b",IF(R1040="positive","c","d"))))</x:f>
        <x:v>d</x:v>
      </x:c>
      <x:c r="AE1040" s="12" t="str">
        <x:f>IF(OR(W1040="unavailable",Y1040="unavailable"),"不可评价",IF(AND(OR(W1040="positive",W1040="equivocal"),OR(Y1040="positive",Y1040="equivocal")),"a",IF(OR(Y1040="positive",Y1040="equivocal"),"b",IF(OR(W1040="positive",W1040="equivocal"),"c","d"))))</x:f>
        <x:v>d</x:v>
      </x:c>
      <x:c r="AF1040" s="12" t="str">
        <x:f>IF(OR(W1040="unavailable",Y1040="unavailable"),"不可评价",IF(AND(W1040="positive",Y1040="positive"),"a",IF(Y1040="positive","b",IF(W1040="positive","c","d"))))</x:f>
        <x:v>d</x:v>
      </x:c>
    </x:row>
    <x:row r="1041" ht="24" customHeight="1">
      <x:c r="A1041" s="12" t="str">
        <x:v>9178</x:v>
      </x:c>
      <x:c r="B1041" s="12" t="str">
        <x:v>18409</x:v>
      </x:c>
      <x:c r="C1041" s="21" t="n">
        <x:v>33888.51741898148</x:v>
      </x:c>
      <x:c r="D1041" s="12" t="n">
        <x:v>41</x:v>
      </x:c>
      <x:c r="E1041" s="12" t="n">
        <x:v>0</x:v>
      </x:c>
      <x:c r="F1041" s="12" t="str">
        <x:v>未记录</x:v>
      </x:c>
      <x:c r="G1041" s="12" t="n">
        <x:v>1</x:v>
      </x:c>
      <x:c r="H1041" s="12" t="str">
        <x:v>{'NORM': 100.0, 'SR': 0.0}</x:v>
      </x:c>
      <x:c r="I1041" s="12" t="str">
        <x:v>[('NSR', 100.0), ('NML', 100.0)]</x:v>
      </x:c>
      <x:c r="J1041" s="12" t="str">
        <x:v>ptbxl_database.csv；ecg_id=9178；scp_codes</x:v>
      </x:c>
      <x:c r="K1041" s="12" t="str">
        <x:v>12sl_statements.csv；ecg_id=9178；statements_ext_snomed</x:v>
      </x:c>
      <x:c r="L1041" s="12"/>
      <x:c r="M1041" s="12" t="str">
        <x:v>negative</x:v>
      </x:c>
      <x:c r="N1041" s="12"/>
      <x:c r="O1041" s="12" t="str">
        <x:v>negative</x:v>
      </x:c>
      <x:c r="P1041" s="12" t="str">
        <x:f>IF(OR(M1041="unavailable",O1041="unavailable"),"不可评价",IF(OR(M1041="equivocal",O1041="equivocal"),"疑似",IF(AND(M1041="positive",O1041="positive"),"a",IF(O1041="positive","b",IF(M1041="positive","c","d")))))</x:f>
        <x:v>d</x:v>
      </x:c>
      <x:c r="Q1041" s="12"/>
      <x:c r="R1041" s="12" t="str">
        <x:v>negative</x:v>
      </x:c>
      <x:c r="S1041" s="12"/>
      <x:c r="T1041" s="12" t="str">
        <x:v>negative</x:v>
      </x:c>
      <x:c r="U1041" s="12" t="str">
        <x:f>IF(OR(R1041="unavailable",T1041="unavailable"),"不可评价",IF(OR(R1041="equivocal",T1041="equivocal"),"疑似",IF(AND(R1041="positive",T1041="positive"),"a",IF(T1041="positive","b",IF(R1041="positive","c","d")))))</x:f>
        <x:v>d</x:v>
      </x:c>
      <x:c r="V1041" s="12"/>
      <x:c r="W1041" s="12" t="str">
        <x:v>negative</x:v>
      </x:c>
      <x:c r="X1041" s="12"/>
      <x:c r="Y1041" s="12" t="str">
        <x:v>negative</x:v>
      </x:c>
      <x:c r="Z1041" s="12" t="str">
        <x:f>IF(OR(W1041="unavailable",Y1041="unavailable"),"不可评价",IF(OR(W1041="equivocal",Y1041="equivocal"),"疑似",IF(AND(W1041="positive",Y1041="positive"),"a",IF(Y1041="positive","b",IF(W1041="positive","c","d")))))</x:f>
        <x:v>d</x:v>
      </x:c>
      <x:c r="AA1041" s="12" t="str">
        <x:f>IF(OR(M1041="unavailable",O1041="unavailable"),"不可评价",IF(AND(OR(M1041="positive",M1041="equivocal"),OR(O1041="positive",O1041="equivocal")),"a",IF(OR(O1041="positive",O1041="equivocal"),"b",IF(OR(M1041="positive",M1041="equivocal"),"c","d"))))</x:f>
        <x:v>d</x:v>
      </x:c>
      <x:c r="AB1041" s="12" t="str">
        <x:f>IF(OR(M1041="unavailable",O1041="unavailable"),"不可评价",IF(AND(M1041="positive",O1041="positive"),"a",IF(O1041="positive","b",IF(M1041="positive","c","d"))))</x:f>
        <x:v>d</x:v>
      </x:c>
      <x:c r="AC1041" s="12" t="str">
        <x:f>IF(OR(R1041="unavailable",T1041="unavailable"),"不可评价",IF(AND(OR(R1041="positive",R1041="equivocal"),OR(T1041="positive",T1041="equivocal")),"a",IF(OR(T1041="positive",T1041="equivocal"),"b",IF(OR(R1041="positive",R1041="equivocal"),"c","d"))))</x:f>
        <x:v>d</x:v>
      </x:c>
      <x:c r="AD1041" s="12" t="str">
        <x:f>IF(OR(R1041="unavailable",T1041="unavailable"),"不可评价",IF(AND(R1041="positive",T1041="positive"),"a",IF(T1041="positive","b",IF(R1041="positive","c","d"))))</x:f>
        <x:v>d</x:v>
      </x:c>
      <x:c r="AE1041" s="12" t="str">
        <x:f>IF(OR(W1041="unavailable",Y1041="unavailable"),"不可评价",IF(AND(OR(W1041="positive",W1041="equivocal"),OR(Y1041="positive",Y1041="equivocal")),"a",IF(OR(Y1041="positive",Y1041="equivocal"),"b",IF(OR(W1041="positive",W1041="equivocal"),"c","d"))))</x:f>
        <x:v>d</x:v>
      </x:c>
      <x:c r="AF1041" s="12" t="str">
        <x:f>IF(OR(W1041="unavailable",Y1041="unavailable"),"不可评价",IF(AND(W1041="positive",Y1041="positive"),"a",IF(Y1041="positive","b",IF(W1041="positive","c","d"))))</x:f>
        <x:v>d</x:v>
      </x:c>
    </x:row>
    <x:row r="1042" ht="24" customHeight="1">
      <x:c r="A1042" s="12" t="str">
        <x:v>9180</x:v>
      </x:c>
      <x:c r="B1042" s="12" t="str">
        <x:v>18864</x:v>
      </x:c>
      <x:c r="C1042" s="21" t="n">
        <x:v>33888.59380787037</x:v>
      </x:c>
      <x:c r="D1042" s="12" t="n">
        <x:v>66</x:v>
      </x:c>
      <x:c r="E1042" s="12" t="n">
        <x:v>1</x:v>
      </x:c>
      <x:c r="F1042" s="12" t="str">
        <x:v>未记录</x:v>
      </x:c>
      <x:c r="G1042" s="12" t="n">
        <x:v>1</x:v>
      </x:c>
      <x:c r="H1042" s="12" t="str">
        <x:v>{'AMI': 50.0, 'LVH': 50.0, 'ISC_': 50.0, 'ABQRS': 0.0, 'SR': 0.0}</x:v>
      </x:c>
      <x:c r="I1042" s="12" t="str">
        <x:v>[('SBRAD', 100.0), ('SAR', 100.0), ('ST&amp;', 100.0), ('LT', 100.0), ('AB', 100.0)]</x:v>
      </x:c>
      <x:c r="J1042" s="12" t="str">
        <x:v>ptbxl_database.csv；ecg_id=9180；scp_codes</x:v>
      </x:c>
      <x:c r="K1042" s="12" t="str">
        <x:v>12sl_statements.csv；ecg_id=9180；statements_ext_snomed</x:v>
      </x:c>
      <x:c r="L1042" s="12"/>
      <x:c r="M1042" s="12" t="str">
        <x:v>negative</x:v>
      </x:c>
      <x:c r="N1042" s="12"/>
      <x:c r="O1042" s="12" t="str">
        <x:v>negative</x:v>
      </x:c>
      <x:c r="P1042" s="12" t="str">
        <x:f>IF(OR(M1042="unavailable",O1042="unavailable"),"不可评价",IF(OR(M1042="equivocal",O1042="equivocal"),"疑似",IF(AND(M1042="positive",O1042="positive"),"a",IF(O1042="positive","b",IF(M1042="positive","c","d")))))</x:f>
        <x:v>d</x:v>
      </x:c>
      <x:c r="Q1042" s="12"/>
      <x:c r="R1042" s="12" t="str">
        <x:v>negative</x:v>
      </x:c>
      <x:c r="S1042" s="12"/>
      <x:c r="T1042" s="12" t="str">
        <x:v>negative</x:v>
      </x:c>
      <x:c r="U1042" s="12" t="str">
        <x:f>IF(OR(R1042="unavailable",T1042="unavailable"),"不可评价",IF(OR(R1042="equivocal",T1042="equivocal"),"疑似",IF(AND(R1042="positive",T1042="positive"),"a",IF(T1042="positive","b",IF(R1042="positive","c","d")))))</x:f>
        <x:v>d</x:v>
      </x:c>
      <x:c r="V1042" s="12"/>
      <x:c r="W1042" s="12" t="str">
        <x:v>negative</x:v>
      </x:c>
      <x:c r="X1042" s="12"/>
      <x:c r="Y1042" s="12" t="str">
        <x:v>negative</x:v>
      </x:c>
      <x:c r="Z1042" s="12" t="str">
        <x:f>IF(OR(W1042="unavailable",Y1042="unavailable"),"不可评价",IF(OR(W1042="equivocal",Y1042="equivocal"),"疑似",IF(AND(W1042="positive",Y1042="positive"),"a",IF(Y1042="positive","b",IF(W1042="positive","c","d")))))</x:f>
        <x:v>d</x:v>
      </x:c>
      <x:c r="AA1042" s="12" t="str">
        <x:f>IF(OR(M1042="unavailable",O1042="unavailable"),"不可评价",IF(AND(OR(M1042="positive",M1042="equivocal"),OR(O1042="positive",O1042="equivocal")),"a",IF(OR(O1042="positive",O1042="equivocal"),"b",IF(OR(M1042="positive",M1042="equivocal"),"c","d"))))</x:f>
        <x:v>d</x:v>
      </x:c>
      <x:c r="AB1042" s="12" t="str">
        <x:f>IF(OR(M1042="unavailable",O1042="unavailable"),"不可评价",IF(AND(M1042="positive",O1042="positive"),"a",IF(O1042="positive","b",IF(M1042="positive","c","d"))))</x:f>
        <x:v>d</x:v>
      </x:c>
      <x:c r="AC1042" s="12" t="str">
        <x:f>IF(OR(R1042="unavailable",T1042="unavailable"),"不可评价",IF(AND(OR(R1042="positive",R1042="equivocal"),OR(T1042="positive",T1042="equivocal")),"a",IF(OR(T1042="positive",T1042="equivocal"),"b",IF(OR(R1042="positive",R1042="equivocal"),"c","d"))))</x:f>
        <x:v>d</x:v>
      </x:c>
      <x:c r="AD1042" s="12" t="str">
        <x:f>IF(OR(R1042="unavailable",T1042="unavailable"),"不可评价",IF(AND(R1042="positive",T1042="positive"),"a",IF(T1042="positive","b",IF(R1042="positive","c","d"))))</x:f>
        <x:v>d</x:v>
      </x:c>
      <x:c r="AE1042" s="12" t="str">
        <x:f>IF(OR(W1042="unavailable",Y1042="unavailable"),"不可评价",IF(AND(OR(W1042="positive",W1042="equivocal"),OR(Y1042="positive",Y1042="equivocal")),"a",IF(OR(Y1042="positive",Y1042="equivocal"),"b",IF(OR(W1042="positive",W1042="equivocal"),"c","d"))))</x:f>
        <x:v>d</x:v>
      </x:c>
      <x:c r="AF1042" s="12" t="str">
        <x:f>IF(OR(W1042="unavailable",Y1042="unavailable"),"不可评价",IF(AND(W1042="positive",Y1042="positive"),"a",IF(Y1042="positive","b",IF(W1042="positive","c","d"))))</x:f>
        <x:v>d</x:v>
      </x:c>
    </x:row>
    <x:row r="1043" ht="24" customHeight="1">
      <x:c r="A1043" s="12" t="str">
        <x:v>9183</x:v>
      </x:c>
      <x:c r="B1043" s="12" t="str">
        <x:v>20560</x:v>
      </x:c>
      <x:c r="C1043" s="21" t="n">
        <x:v>33889.311736111114</x:v>
      </x:c>
      <x:c r="D1043" s="12" t="n">
        <x:v>26</x:v>
      </x:c>
      <x:c r="E1043" s="12" t="n">
        <x:v>0</x:v>
      </x:c>
      <x:c r="F1043" s="12" t="str">
        <x:v>未记录</x:v>
      </x:c>
      <x:c r="G1043" s="12" t="n">
        <x:v>1</x:v>
      </x:c>
      <x:c r="H1043" s="12" t="str">
        <x:v>{'IRBBB': 100.0, 'SR': 0.0}</x:v>
      </x:c>
      <x:c r="I1043" s="12" t="str">
        <x:v>[('NSR', 100.0), ('IRBBB', 100.0), ('BORDE', 100.0)]</x:v>
      </x:c>
      <x:c r="J1043" s="12" t="str">
        <x:v>ptbxl_database.csv；ecg_id=9183；scp_codes</x:v>
      </x:c>
      <x:c r="K1043" s="12" t="str">
        <x:v>12sl_statements.csv；ecg_id=9183；statements_ext_snomed</x:v>
      </x:c>
      <x:c r="L1043" s="12"/>
      <x:c r="M1043" s="12" t="str">
        <x:v>negative</x:v>
      </x:c>
      <x:c r="N1043" s="12"/>
      <x:c r="O1043" s="12" t="str">
        <x:v>negative</x:v>
      </x:c>
      <x:c r="P1043" s="12" t="str">
        <x:f>IF(OR(M1043="unavailable",O1043="unavailable"),"不可评价",IF(OR(M1043="equivocal",O1043="equivocal"),"疑似",IF(AND(M1043="positive",O1043="positive"),"a",IF(O1043="positive","b",IF(M1043="positive","c","d")))))</x:f>
        <x:v>d</x:v>
      </x:c>
      <x:c r="Q1043" s="12"/>
      <x:c r="R1043" s="12" t="str">
        <x:v>negative</x:v>
      </x:c>
      <x:c r="S1043" s="12"/>
      <x:c r="T1043" s="12" t="str">
        <x:v>negative</x:v>
      </x:c>
      <x:c r="U1043" s="12" t="str">
        <x:f>IF(OR(R1043="unavailable",T1043="unavailable"),"不可评价",IF(OR(R1043="equivocal",T1043="equivocal"),"疑似",IF(AND(R1043="positive",T1043="positive"),"a",IF(T1043="positive","b",IF(R1043="positive","c","d")))))</x:f>
        <x:v>d</x:v>
      </x:c>
      <x:c r="V1043" s="12"/>
      <x:c r="W1043" s="12" t="str">
        <x:v>negative</x:v>
      </x:c>
      <x:c r="X1043" s="12"/>
      <x:c r="Y1043" s="12" t="str">
        <x:v>negative</x:v>
      </x:c>
      <x:c r="Z1043" s="12" t="str">
        <x:f>IF(OR(W1043="unavailable",Y1043="unavailable"),"不可评价",IF(OR(W1043="equivocal",Y1043="equivocal"),"疑似",IF(AND(W1043="positive",Y1043="positive"),"a",IF(Y1043="positive","b",IF(W1043="positive","c","d")))))</x:f>
        <x:v>d</x:v>
      </x:c>
      <x:c r="AA1043" s="12" t="str">
        <x:f>IF(OR(M1043="unavailable",O1043="unavailable"),"不可评价",IF(AND(OR(M1043="positive",M1043="equivocal"),OR(O1043="positive",O1043="equivocal")),"a",IF(OR(O1043="positive",O1043="equivocal"),"b",IF(OR(M1043="positive",M1043="equivocal"),"c","d"))))</x:f>
        <x:v>d</x:v>
      </x:c>
      <x:c r="AB1043" s="12" t="str">
        <x:f>IF(OR(M1043="unavailable",O1043="unavailable"),"不可评价",IF(AND(M1043="positive",O1043="positive"),"a",IF(O1043="positive","b",IF(M1043="positive","c","d"))))</x:f>
        <x:v>d</x:v>
      </x:c>
      <x:c r="AC1043" s="12" t="str">
        <x:f>IF(OR(R1043="unavailable",T1043="unavailable"),"不可评价",IF(AND(OR(R1043="positive",R1043="equivocal"),OR(T1043="positive",T1043="equivocal")),"a",IF(OR(T1043="positive",T1043="equivocal"),"b",IF(OR(R1043="positive",R1043="equivocal"),"c","d"))))</x:f>
        <x:v>d</x:v>
      </x:c>
      <x:c r="AD1043" s="12" t="str">
        <x:f>IF(OR(R1043="unavailable",T1043="unavailable"),"不可评价",IF(AND(R1043="positive",T1043="positive"),"a",IF(T1043="positive","b",IF(R1043="positive","c","d"))))</x:f>
        <x:v>d</x:v>
      </x:c>
      <x:c r="AE1043" s="12" t="str">
        <x:f>IF(OR(W1043="unavailable",Y1043="unavailable"),"不可评价",IF(AND(OR(W1043="positive",W1043="equivocal"),OR(Y1043="positive",Y1043="equivocal")),"a",IF(OR(Y1043="positive",Y1043="equivocal"),"b",IF(OR(W1043="positive",W1043="equivocal"),"c","d"))))</x:f>
        <x:v>d</x:v>
      </x:c>
      <x:c r="AF1043" s="12" t="str">
        <x:f>IF(OR(W1043="unavailable",Y1043="unavailable"),"不可评价",IF(AND(W1043="positive",Y1043="positive"),"a",IF(Y1043="positive","b",IF(W1043="positive","c","d"))))</x:f>
        <x:v>d</x:v>
      </x:c>
    </x:row>
    <x:row r="1044" ht="24" customHeight="1">
      <x:c r="A1044" s="12" t="str">
        <x:v>9187</x:v>
      </x:c>
      <x:c r="B1044" s="12" t="str">
        <x:v>17591</x:v>
      </x:c>
      <x:c r="C1044" s="21" t="n">
        <x:v>33889.54020833333</x:v>
      </x:c>
      <x:c r="D1044" s="12" t="n">
        <x:v>46</x:v>
      </x:c>
      <x:c r="E1044" s="12" t="n">
        <x:v>0</x:v>
      </x:c>
      <x:c r="F1044" s="12" t="str">
        <x:v>存在</x:v>
      </x:c>
      <x:c r="G1044" s="12" t="n">
        <x:v>1</x:v>
      </x:c>
      <x:c r="H1044" s="12" t="str">
        <x:v>{'NORM': 100.0, 'SR': 0.0}</x:v>
      </x:c>
      <x:c r="I1044" s="12" t="str">
        <x:v>[('SBRAD', 100.0), ('BORDE', 100.0)]</x:v>
      </x:c>
      <x:c r="J1044" s="12" t="str">
        <x:v>ptbxl_database.csv；ecg_id=9187；scp_codes</x:v>
      </x:c>
      <x:c r="K1044" s="12" t="str">
        <x:v>12sl_statements.csv；ecg_id=9187；statements_ext_snomed</x:v>
      </x:c>
      <x:c r="L1044" s="12"/>
      <x:c r="M1044" s="12" t="str">
        <x:v>negative</x:v>
      </x:c>
      <x:c r="N1044" s="12"/>
      <x:c r="O1044" s="12" t="str">
        <x:v>negative</x:v>
      </x:c>
      <x:c r="P1044" s="12" t="str">
        <x:f>IF(OR(M1044="unavailable",O1044="unavailable"),"不可评价",IF(OR(M1044="equivocal",O1044="equivocal"),"疑似",IF(AND(M1044="positive",O1044="positive"),"a",IF(O1044="positive","b",IF(M1044="positive","c","d")))))</x:f>
        <x:v>d</x:v>
      </x:c>
      <x:c r="Q1044" s="12"/>
      <x:c r="R1044" s="12" t="str">
        <x:v>negative</x:v>
      </x:c>
      <x:c r="S1044" s="12"/>
      <x:c r="T1044" s="12" t="str">
        <x:v>negative</x:v>
      </x:c>
      <x:c r="U1044" s="12" t="str">
        <x:f>IF(OR(R1044="unavailable",T1044="unavailable"),"不可评价",IF(OR(R1044="equivocal",T1044="equivocal"),"疑似",IF(AND(R1044="positive",T1044="positive"),"a",IF(T1044="positive","b",IF(R1044="positive","c","d")))))</x:f>
        <x:v>d</x:v>
      </x:c>
      <x:c r="V1044" s="12"/>
      <x:c r="W1044" s="12" t="str">
        <x:v>negative</x:v>
      </x:c>
      <x:c r="X1044" s="12"/>
      <x:c r="Y1044" s="12" t="str">
        <x:v>negative</x:v>
      </x:c>
      <x:c r="Z1044" s="12" t="str">
        <x:f>IF(OR(W1044="unavailable",Y1044="unavailable"),"不可评价",IF(OR(W1044="equivocal",Y1044="equivocal"),"疑似",IF(AND(W1044="positive",Y1044="positive"),"a",IF(Y1044="positive","b",IF(W1044="positive","c","d")))))</x:f>
        <x:v>d</x:v>
      </x:c>
      <x:c r="AA1044" s="12" t="str">
        <x:f>IF(OR(M1044="unavailable",O1044="unavailable"),"不可评价",IF(AND(OR(M1044="positive",M1044="equivocal"),OR(O1044="positive",O1044="equivocal")),"a",IF(OR(O1044="positive",O1044="equivocal"),"b",IF(OR(M1044="positive",M1044="equivocal"),"c","d"))))</x:f>
        <x:v>d</x:v>
      </x:c>
      <x:c r="AB1044" s="12" t="str">
        <x:f>IF(OR(M1044="unavailable",O1044="unavailable"),"不可评价",IF(AND(M1044="positive",O1044="positive"),"a",IF(O1044="positive","b",IF(M1044="positive","c","d"))))</x:f>
        <x:v>d</x:v>
      </x:c>
      <x:c r="AC1044" s="12" t="str">
        <x:f>IF(OR(R1044="unavailable",T1044="unavailable"),"不可评价",IF(AND(OR(R1044="positive",R1044="equivocal"),OR(T1044="positive",T1044="equivocal")),"a",IF(OR(T1044="positive",T1044="equivocal"),"b",IF(OR(R1044="positive",R1044="equivocal"),"c","d"))))</x:f>
        <x:v>d</x:v>
      </x:c>
      <x:c r="AD1044" s="12" t="str">
        <x:f>IF(OR(R1044="unavailable",T1044="unavailable"),"不可评价",IF(AND(R1044="positive",T1044="positive"),"a",IF(T1044="positive","b",IF(R1044="positive","c","d"))))</x:f>
        <x:v>d</x:v>
      </x:c>
      <x:c r="AE1044" s="12" t="str">
        <x:f>IF(OR(W1044="unavailable",Y1044="unavailable"),"不可评价",IF(AND(OR(W1044="positive",W1044="equivocal"),OR(Y1044="positive",Y1044="equivocal")),"a",IF(OR(Y1044="positive",Y1044="equivocal"),"b",IF(OR(W1044="positive",W1044="equivocal"),"c","d"))))</x:f>
        <x:v>d</x:v>
      </x:c>
      <x:c r="AF1044" s="12" t="str">
        <x:f>IF(OR(W1044="unavailable",Y1044="unavailable"),"不可评价",IF(AND(W1044="positive",Y1044="positive"),"a",IF(Y1044="positive","b",IF(W1044="positive","c","d"))))</x:f>
        <x:v>d</x:v>
      </x:c>
    </x:row>
    <x:row r="1045" ht="24" customHeight="1">
      <x:c r="A1045" s="12" t="str">
        <x:v>9196</x:v>
      </x:c>
      <x:c r="B1045" s="12" t="str">
        <x:v>18168</x:v>
      </x:c>
      <x:c r="C1045" s="21" t="n">
        <x:v>33891.3215625</x:v>
      </x:c>
      <x:c r="D1045" s="12" t="n">
        <x:v>77</x:v>
      </x:c>
      <x:c r="E1045" s="12" t="n">
        <x:v>0</x:v>
      </x:c>
      <x:c r="F1045" s="12" t="str">
        <x:v>存在</x:v>
      </x:c>
      <x:c r="G1045" s="12" t="n">
        <x:v>0</x:v>
      </x:c>
      <x:c r="H1045" s="12" t="str">
        <x:v>{'NORM': 100.0, 'SR': 0.0}</x:v>
      </x:c>
      <x:c r="I1045" s="12" t="str">
        <x:v>[('NSR', 100.0), ('NML', 100.0)]</x:v>
      </x:c>
      <x:c r="J1045" s="12" t="str">
        <x:v>ptbxl_database.csv；ecg_id=9196；scp_codes</x:v>
      </x:c>
      <x:c r="K1045" s="12" t="str">
        <x:v>12sl_statements.csv；ecg_id=9196；statements_ext_snomed</x:v>
      </x:c>
      <x:c r="L1045" s="12"/>
      <x:c r="M1045" s="12" t="str">
        <x:v>negative</x:v>
      </x:c>
      <x:c r="N1045" s="12"/>
      <x:c r="O1045" s="12" t="str">
        <x:v>negative</x:v>
      </x:c>
      <x:c r="P1045" s="12" t="str">
        <x:f>IF(OR(M1045="unavailable",O1045="unavailable"),"不可评价",IF(OR(M1045="equivocal",O1045="equivocal"),"疑似",IF(AND(M1045="positive",O1045="positive"),"a",IF(O1045="positive","b",IF(M1045="positive","c","d")))))</x:f>
        <x:v>d</x:v>
      </x:c>
      <x:c r="Q1045" s="12"/>
      <x:c r="R1045" s="12" t="str">
        <x:v>negative</x:v>
      </x:c>
      <x:c r="S1045" s="12"/>
      <x:c r="T1045" s="12" t="str">
        <x:v>negative</x:v>
      </x:c>
      <x:c r="U1045" s="12" t="str">
        <x:f>IF(OR(R1045="unavailable",T1045="unavailable"),"不可评价",IF(OR(R1045="equivocal",T1045="equivocal"),"疑似",IF(AND(R1045="positive",T1045="positive"),"a",IF(T1045="positive","b",IF(R1045="positive","c","d")))))</x:f>
        <x:v>d</x:v>
      </x:c>
      <x:c r="V1045" s="12"/>
      <x:c r="W1045" s="12" t="str">
        <x:v>negative</x:v>
      </x:c>
      <x:c r="X1045" s="12"/>
      <x:c r="Y1045" s="12" t="str">
        <x:v>negative</x:v>
      </x:c>
      <x:c r="Z1045" s="12" t="str">
        <x:f>IF(OR(W1045="unavailable",Y1045="unavailable"),"不可评价",IF(OR(W1045="equivocal",Y1045="equivocal"),"疑似",IF(AND(W1045="positive",Y1045="positive"),"a",IF(Y1045="positive","b",IF(W1045="positive","c","d")))))</x:f>
        <x:v>d</x:v>
      </x:c>
      <x:c r="AA1045" s="12" t="str">
        <x:f>IF(OR(M1045="unavailable",O1045="unavailable"),"不可评价",IF(AND(OR(M1045="positive",M1045="equivocal"),OR(O1045="positive",O1045="equivocal")),"a",IF(OR(O1045="positive",O1045="equivocal"),"b",IF(OR(M1045="positive",M1045="equivocal"),"c","d"))))</x:f>
        <x:v>d</x:v>
      </x:c>
      <x:c r="AB1045" s="12" t="str">
        <x:f>IF(OR(M1045="unavailable",O1045="unavailable"),"不可评价",IF(AND(M1045="positive",O1045="positive"),"a",IF(O1045="positive","b",IF(M1045="positive","c","d"))))</x:f>
        <x:v>d</x:v>
      </x:c>
      <x:c r="AC1045" s="12" t="str">
        <x:f>IF(OR(R1045="unavailable",T1045="unavailable"),"不可评价",IF(AND(OR(R1045="positive",R1045="equivocal"),OR(T1045="positive",T1045="equivocal")),"a",IF(OR(T1045="positive",T1045="equivocal"),"b",IF(OR(R1045="positive",R1045="equivocal"),"c","d"))))</x:f>
        <x:v>d</x:v>
      </x:c>
      <x:c r="AD1045" s="12" t="str">
        <x:f>IF(OR(R1045="unavailable",T1045="unavailable"),"不可评价",IF(AND(R1045="positive",T1045="positive"),"a",IF(T1045="positive","b",IF(R1045="positive","c","d"))))</x:f>
        <x:v>d</x:v>
      </x:c>
      <x:c r="AE1045" s="12" t="str">
        <x:f>IF(OR(W1045="unavailable",Y1045="unavailable"),"不可评价",IF(AND(OR(W1045="positive",W1045="equivocal"),OR(Y1045="positive",Y1045="equivocal")),"a",IF(OR(Y1045="positive",Y1045="equivocal"),"b",IF(OR(W1045="positive",W1045="equivocal"),"c","d"))))</x:f>
        <x:v>d</x:v>
      </x:c>
      <x:c r="AF1045" s="12" t="str">
        <x:f>IF(OR(W1045="unavailable",Y1045="unavailable"),"不可评价",IF(AND(W1045="positive",Y1045="positive"),"a",IF(Y1045="positive","b",IF(W1045="positive","c","d"))))</x:f>
        <x:v>d</x:v>
      </x:c>
    </x:row>
    <x:row r="1046" ht="24" customHeight="1">
      <x:c r="A1046" s="12" t="str">
        <x:v>9211</x:v>
      </x:c>
      <x:c r="B1046" s="12" t="str">
        <x:v>16015</x:v>
      </x:c>
      <x:c r="C1046" s="21" t="n">
        <x:v>33895.49085648148</x:v>
      </x:c>
      <x:c r="D1046" s="12" t="n">
        <x:v>64</x:v>
      </x:c>
      <x:c r="E1046" s="12" t="n">
        <x:v>1</x:v>
      </x:c>
      <x:c r="F1046" s="12" t="str">
        <x:v>未记录</x:v>
      </x:c>
      <x:c r="G1046" s="12" t="n">
        <x:v>1</x:v>
      </x:c>
      <x:c r="H1046" s="12" t="str">
        <x:v>{'NDT': 100.0, 'AFIB': 0.0}</x:v>
      </x:c>
      <x:c r="I1046" s="12" t="str">
        <x:v>[('AFIB', 100.0), ('SVR', 100.0), ('NT', 100.0), ('AB', 100.0)]</x:v>
      </x:c>
      <x:c r="J1046" s="12" t="str">
        <x:v>ptbxl_database.csv；ecg_id=9211；scp_codes</x:v>
      </x:c>
      <x:c r="K1046" s="12" t="str">
        <x:v>12sl_statements.csv；ecg_id=9211；statements_ext_snomed</x:v>
      </x:c>
      <x:c r="L1046" s="12" t="n">
        <x:v>0</x:v>
      </x:c>
      <x:c r="M1046" s="12" t="str">
        <x:v>positive</x:v>
      </x:c>
      <x:c r="N1046" s="12" t="n">
        <x:v>100</x:v>
      </x:c>
      <x:c r="O1046" s="12" t="str">
        <x:v>positive</x:v>
      </x:c>
      <x:c r="P1046" s="12" t="str">
        <x:f>IF(OR(M1046="unavailable",O1046="unavailable"),"不可评价",IF(OR(M1046="equivocal",O1046="equivocal"),"疑似",IF(AND(M1046="positive",O1046="positive"),"a",IF(O1046="positive","b",IF(M1046="positive","c","d")))))</x:f>
        <x:v>a</x:v>
      </x:c>
      <x:c r="Q1046" s="12"/>
      <x:c r="R1046" s="12" t="str">
        <x:v>negative</x:v>
      </x:c>
      <x:c r="S1046" s="12"/>
      <x:c r="T1046" s="12" t="str">
        <x:v>negative</x:v>
      </x:c>
      <x:c r="U1046" s="12" t="str">
        <x:f>IF(OR(R1046="unavailable",T1046="unavailable"),"不可评价",IF(OR(R1046="equivocal",T1046="equivocal"),"疑似",IF(AND(R1046="positive",T1046="positive"),"a",IF(T1046="positive","b",IF(R1046="positive","c","d")))))</x:f>
        <x:v>d</x:v>
      </x:c>
      <x:c r="V1046" s="12"/>
      <x:c r="W1046" s="12" t="str">
        <x:v>negative</x:v>
      </x:c>
      <x:c r="X1046" s="12"/>
      <x:c r="Y1046" s="12" t="str">
        <x:v>negative</x:v>
      </x:c>
      <x:c r="Z1046" s="12" t="str">
        <x:f>IF(OR(W1046="unavailable",Y1046="unavailable"),"不可评价",IF(OR(W1046="equivocal",Y1046="equivocal"),"疑似",IF(AND(W1046="positive",Y1046="positive"),"a",IF(Y1046="positive","b",IF(W1046="positive","c","d")))))</x:f>
        <x:v>d</x:v>
      </x:c>
      <x:c r="AA1046" s="12" t="str">
        <x:f>IF(OR(M1046="unavailable",O1046="unavailable"),"不可评价",IF(AND(OR(M1046="positive",M1046="equivocal"),OR(O1046="positive",O1046="equivocal")),"a",IF(OR(O1046="positive",O1046="equivocal"),"b",IF(OR(M1046="positive",M1046="equivocal"),"c","d"))))</x:f>
        <x:v>a</x:v>
      </x:c>
      <x:c r="AB1046" s="12" t="str">
        <x:f>IF(OR(M1046="unavailable",O1046="unavailable"),"不可评价",IF(AND(M1046="positive",O1046="positive"),"a",IF(O1046="positive","b",IF(M1046="positive","c","d"))))</x:f>
        <x:v>a</x:v>
      </x:c>
      <x:c r="AC1046" s="12" t="str">
        <x:f>IF(OR(R1046="unavailable",T1046="unavailable"),"不可评价",IF(AND(OR(R1046="positive",R1046="equivocal"),OR(T1046="positive",T1046="equivocal")),"a",IF(OR(T1046="positive",T1046="equivocal"),"b",IF(OR(R1046="positive",R1046="equivocal"),"c","d"))))</x:f>
        <x:v>d</x:v>
      </x:c>
      <x:c r="AD1046" s="12" t="str">
        <x:f>IF(OR(R1046="unavailable",T1046="unavailable"),"不可评价",IF(AND(R1046="positive",T1046="positive"),"a",IF(T1046="positive","b",IF(R1046="positive","c","d"))))</x:f>
        <x:v>d</x:v>
      </x:c>
      <x:c r="AE1046" s="12" t="str">
        <x:f>IF(OR(W1046="unavailable",Y1046="unavailable"),"不可评价",IF(AND(OR(W1046="positive",W1046="equivocal"),OR(Y1046="positive",Y1046="equivocal")),"a",IF(OR(Y1046="positive",Y1046="equivocal"),"b",IF(OR(W1046="positive",W1046="equivocal"),"c","d"))))</x:f>
        <x:v>d</x:v>
      </x:c>
      <x:c r="AF1046" s="12" t="str">
        <x:f>IF(OR(W1046="unavailable",Y1046="unavailable"),"不可评价",IF(AND(W1046="positive",Y1046="positive"),"a",IF(Y1046="positive","b",IF(W1046="positive","c","d"))))</x:f>
        <x:v>d</x:v>
      </x:c>
    </x:row>
    <x:row r="1047" ht="24" customHeight="1">
      <x:c r="A1047" s="12" t="str">
        <x:v>9217</x:v>
      </x:c>
      <x:c r="B1047" s="12" t="str">
        <x:v>16015</x:v>
      </x:c>
      <x:c r="C1047" s="21" t="n">
        <x:v>33896.77553240741</x:v>
      </x:c>
      <x:c r="D1047" s="12" t="n">
        <x:v>64</x:v>
      </x:c>
      <x:c r="E1047" s="12" t="n">
        <x:v>1</x:v>
      </x:c>
      <x:c r="F1047" s="12" t="str">
        <x:v>未记录</x:v>
      </x:c>
      <x:c r="G1047" s="12" t="n">
        <x:v>0</x:v>
      </x:c>
      <x:c r="H1047" s="12" t="str">
        <x:v>{'IVCD': 100.0, 'LVOLT': 0.0}</x:v>
      </x:c>
      <x:c r="I1047" s="12" t="str">
        <x:v>[('AFIB', 100.0), ('SVR', 100.0), ('AB', 100.0)]</x:v>
      </x:c>
      <x:c r="J1047" s="12" t="str">
        <x:v>ptbxl_database.csv；ecg_id=9217；scp_codes</x:v>
      </x:c>
      <x:c r="K1047" s="12" t="str">
        <x:v>12sl_statements.csv；ecg_id=9217；statements_ext_snomed</x:v>
      </x:c>
      <x:c r="L1047" s="12"/>
      <x:c r="M1047" s="12" t="str">
        <x:v>negative</x:v>
      </x:c>
      <x:c r="N1047" s="12" t="n">
        <x:v>100</x:v>
      </x:c>
      <x:c r="O1047" s="12" t="str">
        <x:v>positive</x:v>
      </x:c>
      <x:c r="P1047" s="12" t="str">
        <x:f>IF(OR(M1047="unavailable",O1047="unavailable"),"不可评价",IF(OR(M1047="equivocal",O1047="equivocal"),"疑似",IF(AND(M1047="positive",O1047="positive"),"a",IF(O1047="positive","b",IF(M1047="positive","c","d")))))</x:f>
        <x:v>b</x:v>
      </x:c>
      <x:c r="Q1047" s="12"/>
      <x:c r="R1047" s="12" t="str">
        <x:v>negative</x:v>
      </x:c>
      <x:c r="S1047" s="12"/>
      <x:c r="T1047" s="12" t="str">
        <x:v>negative</x:v>
      </x:c>
      <x:c r="U1047" s="12" t="str">
        <x:f>IF(OR(R1047="unavailable",T1047="unavailable"),"不可评价",IF(OR(R1047="equivocal",T1047="equivocal"),"疑似",IF(AND(R1047="positive",T1047="positive"),"a",IF(T1047="positive","b",IF(R1047="positive","c","d")))))</x:f>
        <x:v>d</x:v>
      </x:c>
      <x:c r="V1047" s="12"/>
      <x:c r="W1047" s="12" t="str">
        <x:v>negative</x:v>
      </x:c>
      <x:c r="X1047" s="12"/>
      <x:c r="Y1047" s="12" t="str">
        <x:v>negative</x:v>
      </x:c>
      <x:c r="Z1047" s="12" t="str">
        <x:f>IF(OR(W1047="unavailable",Y1047="unavailable"),"不可评价",IF(OR(W1047="equivocal",Y1047="equivocal"),"疑似",IF(AND(W1047="positive",Y1047="positive"),"a",IF(Y1047="positive","b",IF(W1047="positive","c","d")))))</x:f>
        <x:v>d</x:v>
      </x:c>
      <x:c r="AA1047" s="12" t="str">
        <x:f>IF(OR(M1047="unavailable",O1047="unavailable"),"不可评价",IF(AND(OR(M1047="positive",M1047="equivocal"),OR(O1047="positive",O1047="equivocal")),"a",IF(OR(O1047="positive",O1047="equivocal"),"b",IF(OR(M1047="positive",M1047="equivocal"),"c","d"))))</x:f>
        <x:v>b</x:v>
      </x:c>
      <x:c r="AB1047" s="12" t="str">
        <x:f>IF(OR(M1047="unavailable",O1047="unavailable"),"不可评价",IF(AND(M1047="positive",O1047="positive"),"a",IF(O1047="positive","b",IF(M1047="positive","c","d"))))</x:f>
        <x:v>b</x:v>
      </x:c>
      <x:c r="AC1047" s="12" t="str">
        <x:f>IF(OR(R1047="unavailable",T1047="unavailable"),"不可评价",IF(AND(OR(R1047="positive",R1047="equivocal"),OR(T1047="positive",T1047="equivocal")),"a",IF(OR(T1047="positive",T1047="equivocal"),"b",IF(OR(R1047="positive",R1047="equivocal"),"c","d"))))</x:f>
        <x:v>d</x:v>
      </x:c>
      <x:c r="AD1047" s="12" t="str">
        <x:f>IF(OR(R1047="unavailable",T1047="unavailable"),"不可评价",IF(AND(R1047="positive",T1047="positive"),"a",IF(T1047="positive","b",IF(R1047="positive","c","d"))))</x:f>
        <x:v>d</x:v>
      </x:c>
      <x:c r="AE1047" s="12" t="str">
        <x:f>IF(OR(W1047="unavailable",Y1047="unavailable"),"不可评价",IF(AND(OR(W1047="positive",W1047="equivocal"),OR(Y1047="positive",Y1047="equivocal")),"a",IF(OR(Y1047="positive",Y1047="equivocal"),"b",IF(OR(W1047="positive",W1047="equivocal"),"c","d"))))</x:f>
        <x:v>d</x:v>
      </x:c>
      <x:c r="AF1047" s="12" t="str">
        <x:f>IF(OR(W1047="unavailable",Y1047="unavailable"),"不可评价",IF(AND(W1047="positive",Y1047="positive"),"a",IF(Y1047="positive","b",IF(W1047="positive","c","d"))))</x:f>
        <x:v>d</x:v>
      </x:c>
    </x:row>
    <x:row r="1048" ht="24" customHeight="1">
      <x:c r="A1048" s="12" t="str">
        <x:v>9229</x:v>
      </x:c>
      <x:c r="B1048" s="12" t="str">
        <x:v>9043</x:v>
      </x:c>
      <x:c r="C1048" s="21" t="n">
        <x:v>33902.59652777778</x:v>
      </x:c>
      <x:c r="D1048" s="12" t="n">
        <x:v>54</x:v>
      </x:c>
      <x:c r="E1048" s="12" t="n">
        <x:v>0</x:v>
      </x:c>
      <x:c r="F1048" s="12" t="str">
        <x:v>未记录</x:v>
      </x:c>
      <x:c r="G1048" s="12" t="n">
        <x:v>1</x:v>
      </x:c>
      <x:c r="H1048" s="12" t="str">
        <x:v>{'NORM': 100.0, 'SR': 0.0}</x:v>
      </x:c>
      <x:c r="I1048" s="12" t="str">
        <x:v>[('NSR', 100.0), ('NML', 100.0)]</x:v>
      </x:c>
      <x:c r="J1048" s="12" t="str">
        <x:v>ptbxl_database.csv；ecg_id=9229；scp_codes</x:v>
      </x:c>
      <x:c r="K1048" s="12" t="str">
        <x:v>12sl_statements.csv；ecg_id=9229；statements_ext_snomed</x:v>
      </x:c>
      <x:c r="L1048" s="12"/>
      <x:c r="M1048" s="12" t="str">
        <x:v>negative</x:v>
      </x:c>
      <x:c r="N1048" s="12"/>
      <x:c r="O1048" s="12" t="str">
        <x:v>negative</x:v>
      </x:c>
      <x:c r="P1048" s="12" t="str">
        <x:f>IF(OR(M1048="unavailable",O1048="unavailable"),"不可评价",IF(OR(M1048="equivocal",O1048="equivocal"),"疑似",IF(AND(M1048="positive",O1048="positive"),"a",IF(O1048="positive","b",IF(M1048="positive","c","d")))))</x:f>
        <x:v>d</x:v>
      </x:c>
      <x:c r="Q1048" s="12"/>
      <x:c r="R1048" s="12" t="str">
        <x:v>negative</x:v>
      </x:c>
      <x:c r="S1048" s="12"/>
      <x:c r="T1048" s="12" t="str">
        <x:v>negative</x:v>
      </x:c>
      <x:c r="U1048" s="12" t="str">
        <x:f>IF(OR(R1048="unavailable",T1048="unavailable"),"不可评价",IF(OR(R1048="equivocal",T1048="equivocal"),"疑似",IF(AND(R1048="positive",T1048="positive"),"a",IF(T1048="positive","b",IF(R1048="positive","c","d")))))</x:f>
        <x:v>d</x:v>
      </x:c>
      <x:c r="V1048" s="12"/>
      <x:c r="W1048" s="12" t="str">
        <x:v>negative</x:v>
      </x:c>
      <x:c r="X1048" s="12"/>
      <x:c r="Y1048" s="12" t="str">
        <x:v>negative</x:v>
      </x:c>
      <x:c r="Z1048" s="12" t="str">
        <x:f>IF(OR(W1048="unavailable",Y1048="unavailable"),"不可评价",IF(OR(W1048="equivocal",Y1048="equivocal"),"疑似",IF(AND(W1048="positive",Y1048="positive"),"a",IF(Y1048="positive","b",IF(W1048="positive","c","d")))))</x:f>
        <x:v>d</x:v>
      </x:c>
      <x:c r="AA1048" s="12" t="str">
        <x:f>IF(OR(M1048="unavailable",O1048="unavailable"),"不可评价",IF(AND(OR(M1048="positive",M1048="equivocal"),OR(O1048="positive",O1048="equivocal")),"a",IF(OR(O1048="positive",O1048="equivocal"),"b",IF(OR(M1048="positive",M1048="equivocal"),"c","d"))))</x:f>
        <x:v>d</x:v>
      </x:c>
      <x:c r="AB1048" s="12" t="str">
        <x:f>IF(OR(M1048="unavailable",O1048="unavailable"),"不可评价",IF(AND(M1048="positive",O1048="positive"),"a",IF(O1048="positive","b",IF(M1048="positive","c","d"))))</x:f>
        <x:v>d</x:v>
      </x:c>
      <x:c r="AC1048" s="12" t="str">
        <x:f>IF(OR(R1048="unavailable",T1048="unavailable"),"不可评价",IF(AND(OR(R1048="positive",R1048="equivocal"),OR(T1048="positive",T1048="equivocal")),"a",IF(OR(T1048="positive",T1048="equivocal"),"b",IF(OR(R1048="positive",R1048="equivocal"),"c","d"))))</x:f>
        <x:v>d</x:v>
      </x:c>
      <x:c r="AD1048" s="12" t="str">
        <x:f>IF(OR(R1048="unavailable",T1048="unavailable"),"不可评价",IF(AND(R1048="positive",T1048="positive"),"a",IF(T1048="positive","b",IF(R1048="positive","c","d"))))</x:f>
        <x:v>d</x:v>
      </x:c>
      <x:c r="AE1048" s="12" t="str">
        <x:f>IF(OR(W1048="unavailable",Y1048="unavailable"),"不可评价",IF(AND(OR(W1048="positive",W1048="equivocal"),OR(Y1048="positive",Y1048="equivocal")),"a",IF(OR(Y1048="positive",Y1048="equivocal"),"b",IF(OR(W1048="positive",W1048="equivocal"),"c","d"))))</x:f>
        <x:v>d</x:v>
      </x:c>
      <x:c r="AF1048" s="12" t="str">
        <x:f>IF(OR(W1048="unavailable",Y1048="unavailable"),"不可评价",IF(AND(W1048="positive",Y1048="positive"),"a",IF(Y1048="positive","b",IF(W1048="positive","c","d"))))</x:f>
        <x:v>d</x:v>
      </x:c>
    </x:row>
    <x:row r="1049" ht="24" customHeight="1">
      <x:c r="A1049" s="12" t="str">
        <x:v>9246</x:v>
      </x:c>
      <x:c r="B1049" s="12" t="str">
        <x:v>19200</x:v>
      </x:c>
      <x:c r="C1049" s="21" t="n">
        <x:v>33904.58324074074</x:v>
      </x:c>
      <x:c r="D1049" s="12" t="n">
        <x:v>44</x:v>
      </x:c>
      <x:c r="E1049" s="12" t="n">
        <x:v>1</x:v>
      </x:c>
      <x:c r="F1049" s="12" t="str">
        <x:v>存在</x:v>
      </x:c>
      <x:c r="G1049" s="12" t="n">
        <x:v>1</x:v>
      </x:c>
      <x:c r="H1049" s="12" t="str">
        <x:v>{'NDT': 100.0}</x:v>
      </x:c>
      <x:c r="I1049" s="12" t="str">
        <x:v>[('NSR', 100.0), ('SAR', 100.0), ('AMI;AU', 15.0), ('AB', 100.0)]</x:v>
      </x:c>
      <x:c r="J1049" s="12" t="str">
        <x:v>ptbxl_database.csv；ecg_id=9246；scp_codes</x:v>
      </x:c>
      <x:c r="K1049" s="12" t="str">
        <x:v>12sl_statements.csv；ecg_id=9246；statements_ext_snomed</x:v>
      </x:c>
      <x:c r="L1049" s="12"/>
      <x:c r="M1049" s="12" t="str">
        <x:v>negative</x:v>
      </x:c>
      <x:c r="N1049" s="12"/>
      <x:c r="O1049" s="12" t="str">
        <x:v>negative</x:v>
      </x:c>
      <x:c r="P1049" s="12" t="str">
        <x:f>IF(OR(M1049="unavailable",O1049="unavailable"),"不可评价",IF(OR(M1049="equivocal",O1049="equivocal"),"疑似",IF(AND(M1049="positive",O1049="positive"),"a",IF(O1049="positive","b",IF(M1049="positive","c","d")))))</x:f>
        <x:v>d</x:v>
      </x:c>
      <x:c r="Q1049" s="12"/>
      <x:c r="R1049" s="12" t="str">
        <x:v>negative</x:v>
      </x:c>
      <x:c r="S1049" s="12"/>
      <x:c r="T1049" s="12" t="str">
        <x:v>negative</x:v>
      </x:c>
      <x:c r="U1049" s="12" t="str">
        <x:f>IF(OR(R1049="unavailable",T1049="unavailable"),"不可评价",IF(OR(R1049="equivocal",T1049="equivocal"),"疑似",IF(AND(R1049="positive",T1049="positive"),"a",IF(T1049="positive","b",IF(R1049="positive","c","d")))))</x:f>
        <x:v>d</x:v>
      </x:c>
      <x:c r="V1049" s="12"/>
      <x:c r="W1049" s="12" t="str">
        <x:v>negative</x:v>
      </x:c>
      <x:c r="X1049" s="12"/>
      <x:c r="Y1049" s="12" t="str">
        <x:v>negative</x:v>
      </x:c>
      <x:c r="Z1049" s="12" t="str">
        <x:f>IF(OR(W1049="unavailable",Y1049="unavailable"),"不可评价",IF(OR(W1049="equivocal",Y1049="equivocal"),"疑似",IF(AND(W1049="positive",Y1049="positive"),"a",IF(Y1049="positive","b",IF(W1049="positive","c","d")))))</x:f>
        <x:v>d</x:v>
      </x:c>
      <x:c r="AA1049" s="12" t="str">
        <x:f>IF(OR(M1049="unavailable",O1049="unavailable"),"不可评价",IF(AND(OR(M1049="positive",M1049="equivocal"),OR(O1049="positive",O1049="equivocal")),"a",IF(OR(O1049="positive",O1049="equivocal"),"b",IF(OR(M1049="positive",M1049="equivocal"),"c","d"))))</x:f>
        <x:v>d</x:v>
      </x:c>
      <x:c r="AB1049" s="12" t="str">
        <x:f>IF(OR(M1049="unavailable",O1049="unavailable"),"不可评价",IF(AND(M1049="positive",O1049="positive"),"a",IF(O1049="positive","b",IF(M1049="positive","c","d"))))</x:f>
        <x:v>d</x:v>
      </x:c>
      <x:c r="AC1049" s="12" t="str">
        <x:f>IF(OR(R1049="unavailable",T1049="unavailable"),"不可评价",IF(AND(OR(R1049="positive",R1049="equivocal"),OR(T1049="positive",T1049="equivocal")),"a",IF(OR(T1049="positive",T1049="equivocal"),"b",IF(OR(R1049="positive",R1049="equivocal"),"c","d"))))</x:f>
        <x:v>d</x:v>
      </x:c>
      <x:c r="AD1049" s="12" t="str">
        <x:f>IF(OR(R1049="unavailable",T1049="unavailable"),"不可评价",IF(AND(R1049="positive",T1049="positive"),"a",IF(T1049="positive","b",IF(R1049="positive","c","d"))))</x:f>
        <x:v>d</x:v>
      </x:c>
      <x:c r="AE1049" s="12" t="str">
        <x:f>IF(OR(W1049="unavailable",Y1049="unavailable"),"不可评价",IF(AND(OR(W1049="positive",W1049="equivocal"),OR(Y1049="positive",Y1049="equivocal")),"a",IF(OR(Y1049="positive",Y1049="equivocal"),"b",IF(OR(W1049="positive",W1049="equivocal"),"c","d"))))</x:f>
        <x:v>d</x:v>
      </x:c>
      <x:c r="AF1049" s="12" t="str">
        <x:f>IF(OR(W1049="unavailable",Y1049="unavailable"),"不可评价",IF(AND(W1049="positive",Y1049="positive"),"a",IF(Y1049="positive","b",IF(W1049="positive","c","d"))))</x:f>
        <x:v>d</x:v>
      </x:c>
    </x:row>
    <x:row r="1050" ht="39" customHeight="1">
      <x:c r="A1050" s="12" t="str">
        <x:v>9248</x:v>
      </x:c>
      <x:c r="B1050" s="12" t="str">
        <x:v>8707</x:v>
      </x:c>
      <x:c r="C1050" s="21" t="n">
        <x:v>33905.87304398148</x:v>
      </x:c>
      <x:c r="D1050" s="12" t="n">
        <x:v>51</x:v>
      </x:c>
      <x:c r="E1050" s="12" t="n">
        <x:v>0</x:v>
      </x:c>
      <x:c r="F1050" s="12" t="str">
        <x:v>存在</x:v>
      </x:c>
      <x:c r="G1050" s="12" t="n">
        <x:v>1</x:v>
      </x:c>
      <x:c r="H1050" s="12" t="str">
        <x:v>{'ASMI': 100.0, 'ALMI': 100.0, 'LAO/LAE': 100.0, 'ABQRS': 0.0, 'SR': 0.0}</x:v>
      </x:c>
      <x:c r="I1050" s="12" t="str">
        <x:v>[('NSR', 100.0), ('LAE', 50.0), ('ALMI;AC', 100.0), ('STEMI', 100.0), ('AB', 100.0)]</x:v>
      </x:c>
      <x:c r="J1050" s="12" t="str">
        <x:v>ptbxl_database.csv；ecg_id=9248；scp_codes</x:v>
      </x:c>
      <x:c r="K1050" s="12" t="str">
        <x:v>12sl_statements.csv；ecg_id=9248；statements_ext_snomed</x:v>
      </x:c>
      <x:c r="L1050" s="12"/>
      <x:c r="M1050" s="12" t="str">
        <x:v>negative</x:v>
      </x:c>
      <x:c r="N1050" s="12"/>
      <x:c r="O1050" s="12" t="str">
        <x:v>negative</x:v>
      </x:c>
      <x:c r="P1050" s="12" t="str">
        <x:f>IF(OR(M1050="unavailable",O1050="unavailable"),"不可评价",IF(OR(M1050="equivocal",O1050="equivocal"),"疑似",IF(AND(M1050="positive",O1050="positive"),"a",IF(O1050="positive","b",IF(M1050="positive","c","d")))))</x:f>
        <x:v>d</x:v>
      </x:c>
      <x:c r="Q1050" s="12"/>
      <x:c r="R1050" s="12" t="str">
        <x:v>negative</x:v>
      </x:c>
      <x:c r="S1050" s="12"/>
      <x:c r="T1050" s="12" t="str">
        <x:v>negative</x:v>
      </x:c>
      <x:c r="U1050" s="12" t="str">
        <x:f>IF(OR(R1050="unavailable",T1050="unavailable"),"不可评价",IF(OR(R1050="equivocal",T1050="equivocal"),"疑似",IF(AND(R1050="positive",T1050="positive"),"a",IF(T1050="positive","b",IF(R1050="positive","c","d")))))</x:f>
        <x:v>d</x:v>
      </x:c>
      <x:c r="V1050" s="12"/>
      <x:c r="W1050" s="12" t="str">
        <x:v>negative</x:v>
      </x:c>
      <x:c r="X1050" s="12"/>
      <x:c r="Y1050" s="12" t="str">
        <x:v>negative</x:v>
      </x:c>
      <x:c r="Z1050" s="12" t="str">
        <x:f>IF(OR(W1050="unavailable",Y1050="unavailable"),"不可评价",IF(OR(W1050="equivocal",Y1050="equivocal"),"疑似",IF(AND(W1050="positive",Y1050="positive"),"a",IF(Y1050="positive","b",IF(W1050="positive","c","d")))))</x:f>
        <x:v>d</x:v>
      </x:c>
      <x:c r="AA1050" s="12" t="str">
        <x:f>IF(OR(M1050="unavailable",O1050="unavailable"),"不可评价",IF(AND(OR(M1050="positive",M1050="equivocal"),OR(O1050="positive",O1050="equivocal")),"a",IF(OR(O1050="positive",O1050="equivocal"),"b",IF(OR(M1050="positive",M1050="equivocal"),"c","d"))))</x:f>
        <x:v>d</x:v>
      </x:c>
      <x:c r="AB1050" s="12" t="str">
        <x:f>IF(OR(M1050="unavailable",O1050="unavailable"),"不可评价",IF(AND(M1050="positive",O1050="positive"),"a",IF(O1050="positive","b",IF(M1050="positive","c","d"))))</x:f>
        <x:v>d</x:v>
      </x:c>
      <x:c r="AC1050" s="12" t="str">
        <x:f>IF(OR(R1050="unavailable",T1050="unavailable"),"不可评价",IF(AND(OR(R1050="positive",R1050="equivocal"),OR(T1050="positive",T1050="equivocal")),"a",IF(OR(T1050="positive",T1050="equivocal"),"b",IF(OR(R1050="positive",R1050="equivocal"),"c","d"))))</x:f>
        <x:v>d</x:v>
      </x:c>
      <x:c r="AD1050" s="12" t="str">
        <x:f>IF(OR(R1050="unavailable",T1050="unavailable"),"不可评价",IF(AND(R1050="positive",T1050="positive"),"a",IF(T1050="positive","b",IF(R1050="positive","c","d"))))</x:f>
        <x:v>d</x:v>
      </x:c>
      <x:c r="AE1050" s="12" t="str">
        <x:f>IF(OR(W1050="unavailable",Y1050="unavailable"),"不可评价",IF(AND(OR(W1050="positive",W1050="equivocal"),OR(Y1050="positive",Y1050="equivocal")),"a",IF(OR(Y1050="positive",Y1050="equivocal"),"b",IF(OR(W1050="positive",W1050="equivocal"),"c","d"))))</x:f>
        <x:v>d</x:v>
      </x:c>
      <x:c r="AF1050" s="12" t="str">
        <x:f>IF(OR(W1050="unavailable",Y1050="unavailable"),"不可评价",IF(AND(W1050="positive",Y1050="positive"),"a",IF(Y1050="positive","b",IF(W1050="positive","c","d"))))</x:f>
        <x:v>d</x:v>
      </x:c>
    </x:row>
    <x:row r="1051" ht="24" customHeight="1">
      <x:c r="A1051" s="12" t="str">
        <x:v>9260</x:v>
      </x:c>
      <x:c r="B1051" s="12" t="str">
        <x:v>11832</x:v>
      </x:c>
      <x:c r="C1051" s="21" t="n">
        <x:v>33908.779502314814</x:v>
      </x:c>
      <x:c r="D1051" s="12" t="n">
        <x:v>29</x:v>
      </x:c>
      <x:c r="E1051" s="12" t="n">
        <x:v>1</x:v>
      </x:c>
      <x:c r="F1051" s="12" t="str">
        <x:v>未记录</x:v>
      </x:c>
      <x:c r="G1051" s="12" t="n">
        <x:v>1</x:v>
      </x:c>
      <x:c r="H1051" s="12" t="str">
        <x:v>{'NDT': 100.0, 'SR': 0.0}</x:v>
      </x:c>
      <x:c r="I1051" s="12" t="str">
        <x:v>[('NSR', 100.0), ('NST', 100.0), ('AB', 100.0)]</x:v>
      </x:c>
      <x:c r="J1051" s="12" t="str">
        <x:v>ptbxl_database.csv；ecg_id=9260；scp_codes</x:v>
      </x:c>
      <x:c r="K1051" s="12" t="str">
        <x:v>12sl_statements.csv；ecg_id=9260；statements_ext_snomed</x:v>
      </x:c>
      <x:c r="L1051" s="12"/>
      <x:c r="M1051" s="12" t="str">
        <x:v>negative</x:v>
      </x:c>
      <x:c r="N1051" s="12"/>
      <x:c r="O1051" s="12" t="str">
        <x:v>negative</x:v>
      </x:c>
      <x:c r="P1051" s="12" t="str">
        <x:f>IF(OR(M1051="unavailable",O1051="unavailable"),"不可评价",IF(OR(M1051="equivocal",O1051="equivocal"),"疑似",IF(AND(M1051="positive",O1051="positive"),"a",IF(O1051="positive","b",IF(M1051="positive","c","d")))))</x:f>
        <x:v>d</x:v>
      </x:c>
      <x:c r="Q1051" s="12"/>
      <x:c r="R1051" s="12" t="str">
        <x:v>negative</x:v>
      </x:c>
      <x:c r="S1051" s="12"/>
      <x:c r="T1051" s="12" t="str">
        <x:v>negative</x:v>
      </x:c>
      <x:c r="U1051" s="12" t="str">
        <x:f>IF(OR(R1051="unavailable",T1051="unavailable"),"不可评价",IF(OR(R1051="equivocal",T1051="equivocal"),"疑似",IF(AND(R1051="positive",T1051="positive"),"a",IF(T1051="positive","b",IF(R1051="positive","c","d")))))</x:f>
        <x:v>d</x:v>
      </x:c>
      <x:c r="V1051" s="12"/>
      <x:c r="W1051" s="12" t="str">
        <x:v>negative</x:v>
      </x:c>
      <x:c r="X1051" s="12"/>
      <x:c r="Y1051" s="12" t="str">
        <x:v>negative</x:v>
      </x:c>
      <x:c r="Z1051" s="12" t="str">
        <x:f>IF(OR(W1051="unavailable",Y1051="unavailable"),"不可评价",IF(OR(W1051="equivocal",Y1051="equivocal"),"疑似",IF(AND(W1051="positive",Y1051="positive"),"a",IF(Y1051="positive","b",IF(W1051="positive","c","d")))))</x:f>
        <x:v>d</x:v>
      </x:c>
      <x:c r="AA1051" s="12" t="str">
        <x:f>IF(OR(M1051="unavailable",O1051="unavailable"),"不可评价",IF(AND(OR(M1051="positive",M1051="equivocal"),OR(O1051="positive",O1051="equivocal")),"a",IF(OR(O1051="positive",O1051="equivocal"),"b",IF(OR(M1051="positive",M1051="equivocal"),"c","d"))))</x:f>
        <x:v>d</x:v>
      </x:c>
      <x:c r="AB1051" s="12" t="str">
        <x:f>IF(OR(M1051="unavailable",O1051="unavailable"),"不可评价",IF(AND(M1051="positive",O1051="positive"),"a",IF(O1051="positive","b",IF(M1051="positive","c","d"))))</x:f>
        <x:v>d</x:v>
      </x:c>
      <x:c r="AC1051" s="12" t="str">
        <x:f>IF(OR(R1051="unavailable",T1051="unavailable"),"不可评价",IF(AND(OR(R1051="positive",R1051="equivocal"),OR(T1051="positive",T1051="equivocal")),"a",IF(OR(T1051="positive",T1051="equivocal"),"b",IF(OR(R1051="positive",R1051="equivocal"),"c","d"))))</x:f>
        <x:v>d</x:v>
      </x:c>
      <x:c r="AD1051" s="12" t="str">
        <x:f>IF(OR(R1051="unavailable",T1051="unavailable"),"不可评价",IF(AND(R1051="positive",T1051="positive"),"a",IF(T1051="positive","b",IF(R1051="positive","c","d"))))</x:f>
        <x:v>d</x:v>
      </x:c>
      <x:c r="AE1051" s="12" t="str">
        <x:f>IF(OR(W1051="unavailable",Y1051="unavailable"),"不可评价",IF(AND(OR(W1051="positive",W1051="equivocal"),OR(Y1051="positive",Y1051="equivocal")),"a",IF(OR(Y1051="positive",Y1051="equivocal"),"b",IF(OR(W1051="positive",W1051="equivocal"),"c","d"))))</x:f>
        <x:v>d</x:v>
      </x:c>
      <x:c r="AF1051" s="12" t="str">
        <x:f>IF(OR(W1051="unavailable",Y1051="unavailable"),"不可评价",IF(AND(W1051="positive",Y1051="positive"),"a",IF(Y1051="positive","b",IF(W1051="positive","c","d"))))</x:f>
        <x:v>d</x:v>
      </x:c>
    </x:row>
    <x:row r="1052" ht="24" customHeight="1">
      <x:c r="A1052" s="12" t="str">
        <x:v>9265</x:v>
      </x:c>
      <x:c r="B1052" s="12" t="str">
        <x:v>16015</x:v>
      </x:c>
      <x:c r="C1052" s="21" t="n">
        <x:v>33909.557071759256</x:v>
      </x:c>
      <x:c r="D1052" s="12" t="n">
        <x:v>64</x:v>
      </x:c>
      <x:c r="E1052" s="12" t="n">
        <x:v>1</x:v>
      </x:c>
      <x:c r="F1052" s="12" t="str">
        <x:v>未记录</x:v>
      </x:c>
      <x:c r="G1052" s="12" t="n">
        <x:v>0</x:v>
      </x:c>
      <x:c r="H1052" s="12" t="str">
        <x:v>{'ILMI': 15.0, '1AVB': 100.0, 'SR': 0.0}</x:v>
      </x:c>
      <x:c r="I1052" s="12" t="str">
        <x:v>[('SBRAD', 100.0), ('FAV', 100.0), ('ABR', 100.0)]</x:v>
      </x:c>
      <x:c r="J1052" s="12" t="str">
        <x:v>ptbxl_database.csv；ecg_id=9265；scp_codes</x:v>
      </x:c>
      <x:c r="K1052" s="12" t="str">
        <x:v>12sl_statements.csv；ecg_id=9265；statements_ext_snomed</x:v>
      </x:c>
      <x:c r="L1052" s="12"/>
      <x:c r="M1052" s="12" t="str">
        <x:v>negative</x:v>
      </x:c>
      <x:c r="N1052" s="12"/>
      <x:c r="O1052" s="12" t="str">
        <x:v>negative</x:v>
      </x:c>
      <x:c r="P1052" s="12" t="str">
        <x:f>IF(OR(M1052="unavailable",O1052="unavailable"),"不可评价",IF(OR(M1052="equivocal",O1052="equivocal"),"疑似",IF(AND(M1052="positive",O1052="positive"),"a",IF(O1052="positive","b",IF(M1052="positive","c","d")))))</x:f>
        <x:v>d</x:v>
      </x:c>
      <x:c r="Q1052" s="12"/>
      <x:c r="R1052" s="12" t="str">
        <x:v>negative</x:v>
      </x:c>
      <x:c r="S1052" s="12"/>
      <x:c r="T1052" s="12" t="str">
        <x:v>negative</x:v>
      </x:c>
      <x:c r="U1052" s="12" t="str">
        <x:f>IF(OR(R1052="unavailable",T1052="unavailable"),"不可评价",IF(OR(R1052="equivocal",T1052="equivocal"),"疑似",IF(AND(R1052="positive",T1052="positive"),"a",IF(T1052="positive","b",IF(R1052="positive","c","d")))))</x:f>
        <x:v>d</x:v>
      </x:c>
      <x:c r="V1052" s="12"/>
      <x:c r="W1052" s="12" t="str">
        <x:v>negative</x:v>
      </x:c>
      <x:c r="X1052" s="12"/>
      <x:c r="Y1052" s="12" t="str">
        <x:v>negative</x:v>
      </x:c>
      <x:c r="Z1052" s="12" t="str">
        <x:f>IF(OR(W1052="unavailable",Y1052="unavailable"),"不可评价",IF(OR(W1052="equivocal",Y1052="equivocal"),"疑似",IF(AND(W1052="positive",Y1052="positive"),"a",IF(Y1052="positive","b",IF(W1052="positive","c","d")))))</x:f>
        <x:v>d</x:v>
      </x:c>
      <x:c r="AA1052" s="12" t="str">
        <x:f>IF(OR(M1052="unavailable",O1052="unavailable"),"不可评价",IF(AND(OR(M1052="positive",M1052="equivocal"),OR(O1052="positive",O1052="equivocal")),"a",IF(OR(O1052="positive",O1052="equivocal"),"b",IF(OR(M1052="positive",M1052="equivocal"),"c","d"))))</x:f>
        <x:v>d</x:v>
      </x:c>
      <x:c r="AB1052" s="12" t="str">
        <x:f>IF(OR(M1052="unavailable",O1052="unavailable"),"不可评价",IF(AND(M1052="positive",O1052="positive"),"a",IF(O1052="positive","b",IF(M1052="positive","c","d"))))</x:f>
        <x:v>d</x:v>
      </x:c>
      <x:c r="AC1052" s="12" t="str">
        <x:f>IF(OR(R1052="unavailable",T1052="unavailable"),"不可评价",IF(AND(OR(R1052="positive",R1052="equivocal"),OR(T1052="positive",T1052="equivocal")),"a",IF(OR(T1052="positive",T1052="equivocal"),"b",IF(OR(R1052="positive",R1052="equivocal"),"c","d"))))</x:f>
        <x:v>d</x:v>
      </x:c>
      <x:c r="AD1052" s="12" t="str">
        <x:f>IF(OR(R1052="unavailable",T1052="unavailable"),"不可评价",IF(AND(R1052="positive",T1052="positive"),"a",IF(T1052="positive","b",IF(R1052="positive","c","d"))))</x:f>
        <x:v>d</x:v>
      </x:c>
      <x:c r="AE1052" s="12" t="str">
        <x:f>IF(OR(W1052="unavailable",Y1052="unavailable"),"不可评价",IF(AND(OR(W1052="positive",W1052="equivocal"),OR(Y1052="positive",Y1052="equivocal")),"a",IF(OR(Y1052="positive",Y1052="equivocal"),"b",IF(OR(W1052="positive",W1052="equivocal"),"c","d"))))</x:f>
        <x:v>d</x:v>
      </x:c>
      <x:c r="AF1052" s="12" t="str">
        <x:f>IF(OR(W1052="unavailable",Y1052="unavailable"),"不可评价",IF(AND(W1052="positive",Y1052="positive"),"a",IF(Y1052="positive","b",IF(W1052="positive","c","d"))))</x:f>
        <x:v>d</x:v>
      </x:c>
    </x:row>
    <x:row r="1053" ht="24" customHeight="1">
      <x:c r="A1053" s="12" t="str">
        <x:v>9272</x:v>
      </x:c>
      <x:c r="B1053" s="12" t="str">
        <x:v>9459</x:v>
      </x:c>
      <x:c r="C1053" s="21" t="n">
        <x:v>33910.57864583333</x:v>
      </x:c>
      <x:c r="D1053" s="12" t="n">
        <x:v>63</x:v>
      </x:c>
      <x:c r="E1053" s="12" t="n">
        <x:v>1</x:v>
      </x:c>
      <x:c r="F1053" s="12" t="str">
        <x:v>未记录</x:v>
      </x:c>
      <x:c r="G1053" s="12" t="n">
        <x:v>1</x:v>
      </x:c>
      <x:c r="H1053" s="12" t="str">
        <x:v>{'NORM': 80.0, 'SR': 0.0}</x:v>
      </x:c>
      <x:c r="I1053" s="12" t="str">
        <x:v>[('SBRAD', 100.0), ('ABR', 100.0)]</x:v>
      </x:c>
      <x:c r="J1053" s="12" t="str">
        <x:v>ptbxl_database.csv；ecg_id=9272；scp_codes</x:v>
      </x:c>
      <x:c r="K1053" s="12" t="str">
        <x:v>12sl_statements.csv；ecg_id=9272；statements_ext_snomed</x:v>
      </x:c>
      <x:c r="L1053" s="12"/>
      <x:c r="M1053" s="12" t="str">
        <x:v>negative</x:v>
      </x:c>
      <x:c r="N1053" s="12"/>
      <x:c r="O1053" s="12" t="str">
        <x:v>negative</x:v>
      </x:c>
      <x:c r="P1053" s="12" t="str">
        <x:f>IF(OR(M1053="unavailable",O1053="unavailable"),"不可评价",IF(OR(M1053="equivocal",O1053="equivocal"),"疑似",IF(AND(M1053="positive",O1053="positive"),"a",IF(O1053="positive","b",IF(M1053="positive","c","d")))))</x:f>
        <x:v>d</x:v>
      </x:c>
      <x:c r="Q1053" s="12"/>
      <x:c r="R1053" s="12" t="str">
        <x:v>negative</x:v>
      </x:c>
      <x:c r="S1053" s="12"/>
      <x:c r="T1053" s="12" t="str">
        <x:v>negative</x:v>
      </x:c>
      <x:c r="U1053" s="12" t="str">
        <x:f>IF(OR(R1053="unavailable",T1053="unavailable"),"不可评价",IF(OR(R1053="equivocal",T1053="equivocal"),"疑似",IF(AND(R1053="positive",T1053="positive"),"a",IF(T1053="positive","b",IF(R1053="positive","c","d")))))</x:f>
        <x:v>d</x:v>
      </x:c>
      <x:c r="V1053" s="12"/>
      <x:c r="W1053" s="12" t="str">
        <x:v>negative</x:v>
      </x:c>
      <x:c r="X1053" s="12"/>
      <x:c r="Y1053" s="12" t="str">
        <x:v>negative</x:v>
      </x:c>
      <x:c r="Z1053" s="12" t="str">
        <x:f>IF(OR(W1053="unavailable",Y1053="unavailable"),"不可评价",IF(OR(W1053="equivocal",Y1053="equivocal"),"疑似",IF(AND(W1053="positive",Y1053="positive"),"a",IF(Y1053="positive","b",IF(W1053="positive","c","d")))))</x:f>
        <x:v>d</x:v>
      </x:c>
      <x:c r="AA1053" s="12" t="str">
        <x:f>IF(OR(M1053="unavailable",O1053="unavailable"),"不可评价",IF(AND(OR(M1053="positive",M1053="equivocal"),OR(O1053="positive",O1053="equivocal")),"a",IF(OR(O1053="positive",O1053="equivocal"),"b",IF(OR(M1053="positive",M1053="equivocal"),"c","d"))))</x:f>
        <x:v>d</x:v>
      </x:c>
      <x:c r="AB1053" s="12" t="str">
        <x:f>IF(OR(M1053="unavailable",O1053="unavailable"),"不可评价",IF(AND(M1053="positive",O1053="positive"),"a",IF(O1053="positive","b",IF(M1053="positive","c","d"))))</x:f>
        <x:v>d</x:v>
      </x:c>
      <x:c r="AC1053" s="12" t="str">
        <x:f>IF(OR(R1053="unavailable",T1053="unavailable"),"不可评价",IF(AND(OR(R1053="positive",R1053="equivocal"),OR(T1053="positive",T1053="equivocal")),"a",IF(OR(T1053="positive",T1053="equivocal"),"b",IF(OR(R1053="positive",R1053="equivocal"),"c","d"))))</x:f>
        <x:v>d</x:v>
      </x:c>
      <x:c r="AD1053" s="12" t="str">
        <x:f>IF(OR(R1053="unavailable",T1053="unavailable"),"不可评价",IF(AND(R1053="positive",T1053="positive"),"a",IF(T1053="positive","b",IF(R1053="positive","c","d"))))</x:f>
        <x:v>d</x:v>
      </x:c>
      <x:c r="AE1053" s="12" t="str">
        <x:f>IF(OR(W1053="unavailable",Y1053="unavailable"),"不可评价",IF(AND(OR(W1053="positive",W1053="equivocal"),OR(Y1053="positive",Y1053="equivocal")),"a",IF(OR(Y1053="positive",Y1053="equivocal"),"b",IF(OR(W1053="positive",W1053="equivocal"),"c","d"))))</x:f>
        <x:v>d</x:v>
      </x:c>
      <x:c r="AF1053" s="12" t="str">
        <x:f>IF(OR(W1053="unavailable",Y1053="unavailable"),"不可评价",IF(AND(W1053="positive",Y1053="positive"),"a",IF(Y1053="positive","b",IF(W1053="positive","c","d"))))</x:f>
        <x:v>d</x:v>
      </x:c>
    </x:row>
    <x:row r="1054" ht="24" customHeight="1">
      <x:c r="A1054" s="12" t="str">
        <x:v>9282</x:v>
      </x:c>
      <x:c r="B1054" s="12" t="str">
        <x:v>18597</x:v>
      </x:c>
      <x:c r="C1054" s="21" t="n">
        <x:v>33911.682118055556</x:v>
      </x:c>
      <x:c r="D1054" s="12" t="n">
        <x:v>81</x:v>
      </x:c>
      <x:c r="E1054" s="12" t="n">
        <x:v>0</x:v>
      </x:c>
      <x:c r="F1054" s="12" t="str">
        <x:v>未记录</x:v>
      </x:c>
      <x:c r="G1054" s="12" t="n">
        <x:v>1</x:v>
      </x:c>
      <x:c r="H1054" s="12" t="str">
        <x:v>{'NORM': 100.0, 'ABQRS': 0.0, 'SVARR': 0.0}</x:v>
      </x:c>
      <x:c r="I1054" s="12" t="str">
        <x:v>[('NSR', 100.0), ('NML', 100.0)]</x:v>
      </x:c>
      <x:c r="J1054" s="12" t="str">
        <x:v>ptbxl_database.csv；ecg_id=9282；scp_codes</x:v>
      </x:c>
      <x:c r="K1054" s="12" t="str">
        <x:v>12sl_statements.csv；ecg_id=9282；statements_ext_snomed</x:v>
      </x:c>
      <x:c r="L1054" s="12"/>
      <x:c r="M1054" s="12" t="str">
        <x:v>negative</x:v>
      </x:c>
      <x:c r="N1054" s="12"/>
      <x:c r="O1054" s="12" t="str">
        <x:v>negative</x:v>
      </x:c>
      <x:c r="P1054" s="12" t="str">
        <x:f>IF(OR(M1054="unavailable",O1054="unavailable"),"不可评价",IF(OR(M1054="equivocal",O1054="equivocal"),"疑似",IF(AND(M1054="positive",O1054="positive"),"a",IF(O1054="positive","b",IF(M1054="positive","c","d")))))</x:f>
        <x:v>d</x:v>
      </x:c>
      <x:c r="Q1054" s="12"/>
      <x:c r="R1054" s="12" t="str">
        <x:v>negative</x:v>
      </x:c>
      <x:c r="S1054" s="12"/>
      <x:c r="T1054" s="12" t="str">
        <x:v>negative</x:v>
      </x:c>
      <x:c r="U1054" s="12" t="str">
        <x:f>IF(OR(R1054="unavailable",T1054="unavailable"),"不可评价",IF(OR(R1054="equivocal",T1054="equivocal"),"疑似",IF(AND(R1054="positive",T1054="positive"),"a",IF(T1054="positive","b",IF(R1054="positive","c","d")))))</x:f>
        <x:v>d</x:v>
      </x:c>
      <x:c r="V1054" s="12"/>
      <x:c r="W1054" s="12" t="str">
        <x:v>negative</x:v>
      </x:c>
      <x:c r="X1054" s="12"/>
      <x:c r="Y1054" s="12" t="str">
        <x:v>negative</x:v>
      </x:c>
      <x:c r="Z1054" s="12" t="str">
        <x:f>IF(OR(W1054="unavailable",Y1054="unavailable"),"不可评价",IF(OR(W1054="equivocal",Y1054="equivocal"),"疑似",IF(AND(W1054="positive",Y1054="positive"),"a",IF(Y1054="positive","b",IF(W1054="positive","c","d")))))</x:f>
        <x:v>d</x:v>
      </x:c>
      <x:c r="AA1054" s="12" t="str">
        <x:f>IF(OR(M1054="unavailable",O1054="unavailable"),"不可评价",IF(AND(OR(M1054="positive",M1054="equivocal"),OR(O1054="positive",O1054="equivocal")),"a",IF(OR(O1054="positive",O1054="equivocal"),"b",IF(OR(M1054="positive",M1054="equivocal"),"c","d"))))</x:f>
        <x:v>d</x:v>
      </x:c>
      <x:c r="AB1054" s="12" t="str">
        <x:f>IF(OR(M1054="unavailable",O1054="unavailable"),"不可评价",IF(AND(M1054="positive",O1054="positive"),"a",IF(O1054="positive","b",IF(M1054="positive","c","d"))))</x:f>
        <x:v>d</x:v>
      </x:c>
      <x:c r="AC1054" s="12" t="str">
        <x:f>IF(OR(R1054="unavailable",T1054="unavailable"),"不可评价",IF(AND(OR(R1054="positive",R1054="equivocal"),OR(T1054="positive",T1054="equivocal")),"a",IF(OR(T1054="positive",T1054="equivocal"),"b",IF(OR(R1054="positive",R1054="equivocal"),"c","d"))))</x:f>
        <x:v>d</x:v>
      </x:c>
      <x:c r="AD1054" s="12" t="str">
        <x:f>IF(OR(R1054="unavailable",T1054="unavailable"),"不可评价",IF(AND(R1054="positive",T1054="positive"),"a",IF(T1054="positive","b",IF(R1054="positive","c","d"))))</x:f>
        <x:v>d</x:v>
      </x:c>
      <x:c r="AE1054" s="12" t="str">
        <x:f>IF(OR(W1054="unavailable",Y1054="unavailable"),"不可评价",IF(AND(OR(W1054="positive",W1054="equivocal"),OR(Y1054="positive",Y1054="equivocal")),"a",IF(OR(Y1054="positive",Y1054="equivocal"),"b",IF(OR(W1054="positive",W1054="equivocal"),"c","d"))))</x:f>
        <x:v>d</x:v>
      </x:c>
      <x:c r="AF1054" s="12" t="str">
        <x:f>IF(OR(W1054="unavailable",Y1054="unavailable"),"不可评价",IF(AND(W1054="positive",Y1054="positive"),"a",IF(Y1054="positive","b",IF(W1054="positive","c","d"))))</x:f>
        <x:v>d</x:v>
      </x:c>
    </x:row>
    <x:row r="1055" ht="24" customHeight="1">
      <x:c r="A1055" s="12" t="str">
        <x:v>9286</x:v>
      </x:c>
      <x:c r="B1055" s="12" t="str">
        <x:v>14041</x:v>
      </x:c>
      <x:c r="C1055" s="21" t="n">
        <x:v>33912.72178240741</x:v>
      </x:c>
      <x:c r="D1055" s="12" t="n">
        <x:v>60</x:v>
      </x:c>
      <x:c r="E1055" s="12" t="n">
        <x:v>0</x:v>
      </x:c>
      <x:c r="F1055" s="12" t="str">
        <x:v>未记录</x:v>
      </x:c>
      <x:c r="G1055" s="12" t="n">
        <x:v>1</x:v>
      </x:c>
      <x:c r="H1055" s="12" t="str">
        <x:v>{'NORM': 35.0, 'SR': 0.0}</x:v>
      </x:c>
      <x:c r="I1055" s="12" t="str">
        <x:v>[('NSR', 100.0), ('NML', 100.0)]</x:v>
      </x:c>
      <x:c r="J1055" s="12" t="str">
        <x:v>ptbxl_database.csv；ecg_id=9286；scp_codes</x:v>
      </x:c>
      <x:c r="K1055" s="12" t="str">
        <x:v>12sl_statements.csv；ecg_id=9286；statements_ext_snomed</x:v>
      </x:c>
      <x:c r="L1055" s="12"/>
      <x:c r="M1055" s="12" t="str">
        <x:v>negative</x:v>
      </x:c>
      <x:c r="N1055" s="12"/>
      <x:c r="O1055" s="12" t="str">
        <x:v>negative</x:v>
      </x:c>
      <x:c r="P1055" s="12" t="str">
        <x:f>IF(OR(M1055="unavailable",O1055="unavailable"),"不可评价",IF(OR(M1055="equivocal",O1055="equivocal"),"疑似",IF(AND(M1055="positive",O1055="positive"),"a",IF(O1055="positive","b",IF(M1055="positive","c","d")))))</x:f>
        <x:v>d</x:v>
      </x:c>
      <x:c r="Q1055" s="12"/>
      <x:c r="R1055" s="12" t="str">
        <x:v>negative</x:v>
      </x:c>
      <x:c r="S1055" s="12"/>
      <x:c r="T1055" s="12" t="str">
        <x:v>negative</x:v>
      </x:c>
      <x:c r="U1055" s="12" t="str">
        <x:f>IF(OR(R1055="unavailable",T1055="unavailable"),"不可评价",IF(OR(R1055="equivocal",T1055="equivocal"),"疑似",IF(AND(R1055="positive",T1055="positive"),"a",IF(T1055="positive","b",IF(R1055="positive","c","d")))))</x:f>
        <x:v>d</x:v>
      </x:c>
      <x:c r="V1055" s="12"/>
      <x:c r="W1055" s="12" t="str">
        <x:v>negative</x:v>
      </x:c>
      <x:c r="X1055" s="12"/>
      <x:c r="Y1055" s="12" t="str">
        <x:v>negative</x:v>
      </x:c>
      <x:c r="Z1055" s="12" t="str">
        <x:f>IF(OR(W1055="unavailable",Y1055="unavailable"),"不可评价",IF(OR(W1055="equivocal",Y1055="equivocal"),"疑似",IF(AND(W1055="positive",Y1055="positive"),"a",IF(Y1055="positive","b",IF(W1055="positive","c","d")))))</x:f>
        <x:v>d</x:v>
      </x:c>
      <x:c r="AA1055" s="12" t="str">
        <x:f>IF(OR(M1055="unavailable",O1055="unavailable"),"不可评价",IF(AND(OR(M1055="positive",M1055="equivocal"),OR(O1055="positive",O1055="equivocal")),"a",IF(OR(O1055="positive",O1055="equivocal"),"b",IF(OR(M1055="positive",M1055="equivocal"),"c","d"))))</x:f>
        <x:v>d</x:v>
      </x:c>
      <x:c r="AB1055" s="12" t="str">
        <x:f>IF(OR(M1055="unavailable",O1055="unavailable"),"不可评价",IF(AND(M1055="positive",O1055="positive"),"a",IF(O1055="positive","b",IF(M1055="positive","c","d"))))</x:f>
        <x:v>d</x:v>
      </x:c>
      <x:c r="AC1055" s="12" t="str">
        <x:f>IF(OR(R1055="unavailable",T1055="unavailable"),"不可评价",IF(AND(OR(R1055="positive",R1055="equivocal"),OR(T1055="positive",T1055="equivocal")),"a",IF(OR(T1055="positive",T1055="equivocal"),"b",IF(OR(R1055="positive",R1055="equivocal"),"c","d"))))</x:f>
        <x:v>d</x:v>
      </x:c>
      <x:c r="AD1055" s="12" t="str">
        <x:f>IF(OR(R1055="unavailable",T1055="unavailable"),"不可评价",IF(AND(R1055="positive",T1055="positive"),"a",IF(T1055="positive","b",IF(R1055="positive","c","d"))))</x:f>
        <x:v>d</x:v>
      </x:c>
      <x:c r="AE1055" s="12" t="str">
        <x:f>IF(OR(W1055="unavailable",Y1055="unavailable"),"不可评价",IF(AND(OR(W1055="positive",W1055="equivocal"),OR(Y1055="positive",Y1055="equivocal")),"a",IF(OR(Y1055="positive",Y1055="equivocal"),"b",IF(OR(W1055="positive",W1055="equivocal"),"c","d"))))</x:f>
        <x:v>d</x:v>
      </x:c>
      <x:c r="AF1055" s="12" t="str">
        <x:f>IF(OR(W1055="unavailable",Y1055="unavailable"),"不可评价",IF(AND(W1055="positive",Y1055="positive"),"a",IF(Y1055="positive","b",IF(W1055="positive","c","d"))))</x:f>
        <x:v>d</x:v>
      </x:c>
    </x:row>
    <x:row r="1056" ht="24" customHeight="1">
      <x:c r="A1056" s="12" t="str">
        <x:v>9299</x:v>
      </x:c>
      <x:c r="B1056" s="12" t="str">
        <x:v>12675</x:v>
      </x:c>
      <x:c r="C1056" s="21" t="n">
        <x:v>33915.45346064815</x:v>
      </x:c>
      <x:c r="D1056" s="12" t="n">
        <x:v>45</x:v>
      </x:c>
      <x:c r="E1056" s="12" t="n">
        <x:v>1</x:v>
      </x:c>
      <x:c r="F1056" s="12" t="str">
        <x:v>未记录</x:v>
      </x:c>
      <x:c r="G1056" s="12" t="n">
        <x:v>1</x:v>
      </x:c>
      <x:c r="H1056" s="12" t="str">
        <x:v>{'LVH': 35.0, 'VCLVH': 0.0, 'SR': 0.0}</x:v>
      </x:c>
      <x:c r="I1056" s="12" t="str">
        <x:v>[('NSR', 100.0), ('BORDE', 100.0)]</x:v>
      </x:c>
      <x:c r="J1056" s="12" t="str">
        <x:v>ptbxl_database.csv；ecg_id=9299；scp_codes</x:v>
      </x:c>
      <x:c r="K1056" s="12" t="str">
        <x:v>12sl_statements.csv；ecg_id=9299；statements_ext_snomed</x:v>
      </x:c>
      <x:c r="L1056" s="12"/>
      <x:c r="M1056" s="12" t="str">
        <x:v>negative</x:v>
      </x:c>
      <x:c r="N1056" s="12"/>
      <x:c r="O1056" s="12" t="str">
        <x:v>negative</x:v>
      </x:c>
      <x:c r="P1056" s="12" t="str">
        <x:f>IF(OR(M1056="unavailable",O1056="unavailable"),"不可评价",IF(OR(M1056="equivocal",O1056="equivocal"),"疑似",IF(AND(M1056="positive",O1056="positive"),"a",IF(O1056="positive","b",IF(M1056="positive","c","d")))))</x:f>
        <x:v>d</x:v>
      </x:c>
      <x:c r="Q1056" s="12"/>
      <x:c r="R1056" s="12" t="str">
        <x:v>negative</x:v>
      </x:c>
      <x:c r="S1056" s="12"/>
      <x:c r="T1056" s="12" t="str">
        <x:v>negative</x:v>
      </x:c>
      <x:c r="U1056" s="12" t="str">
        <x:f>IF(OR(R1056="unavailable",T1056="unavailable"),"不可评价",IF(OR(R1056="equivocal",T1056="equivocal"),"疑似",IF(AND(R1056="positive",T1056="positive"),"a",IF(T1056="positive","b",IF(R1056="positive","c","d")))))</x:f>
        <x:v>d</x:v>
      </x:c>
      <x:c r="V1056" s="12"/>
      <x:c r="W1056" s="12" t="str">
        <x:v>negative</x:v>
      </x:c>
      <x:c r="X1056" s="12"/>
      <x:c r="Y1056" s="12" t="str">
        <x:v>negative</x:v>
      </x:c>
      <x:c r="Z1056" s="12" t="str">
        <x:f>IF(OR(W1056="unavailable",Y1056="unavailable"),"不可评价",IF(OR(W1056="equivocal",Y1056="equivocal"),"疑似",IF(AND(W1056="positive",Y1056="positive"),"a",IF(Y1056="positive","b",IF(W1056="positive","c","d")))))</x:f>
        <x:v>d</x:v>
      </x:c>
      <x:c r="AA1056" s="12" t="str">
        <x:f>IF(OR(M1056="unavailable",O1056="unavailable"),"不可评价",IF(AND(OR(M1056="positive",M1056="equivocal"),OR(O1056="positive",O1056="equivocal")),"a",IF(OR(O1056="positive",O1056="equivocal"),"b",IF(OR(M1056="positive",M1056="equivocal"),"c","d"))))</x:f>
        <x:v>d</x:v>
      </x:c>
      <x:c r="AB1056" s="12" t="str">
        <x:f>IF(OR(M1056="unavailable",O1056="unavailable"),"不可评价",IF(AND(M1056="positive",O1056="positive"),"a",IF(O1056="positive","b",IF(M1056="positive","c","d"))))</x:f>
        <x:v>d</x:v>
      </x:c>
      <x:c r="AC1056" s="12" t="str">
        <x:f>IF(OR(R1056="unavailable",T1056="unavailable"),"不可评价",IF(AND(OR(R1056="positive",R1056="equivocal"),OR(T1056="positive",T1056="equivocal")),"a",IF(OR(T1056="positive",T1056="equivocal"),"b",IF(OR(R1056="positive",R1056="equivocal"),"c","d"))))</x:f>
        <x:v>d</x:v>
      </x:c>
      <x:c r="AD1056" s="12" t="str">
        <x:f>IF(OR(R1056="unavailable",T1056="unavailable"),"不可评价",IF(AND(R1056="positive",T1056="positive"),"a",IF(T1056="positive","b",IF(R1056="positive","c","d"))))</x:f>
        <x:v>d</x:v>
      </x:c>
      <x:c r="AE1056" s="12" t="str">
        <x:f>IF(OR(W1056="unavailable",Y1056="unavailable"),"不可评价",IF(AND(OR(W1056="positive",W1056="equivocal"),OR(Y1056="positive",Y1056="equivocal")),"a",IF(OR(Y1056="positive",Y1056="equivocal"),"b",IF(OR(W1056="positive",W1056="equivocal"),"c","d"))))</x:f>
        <x:v>d</x:v>
      </x:c>
      <x:c r="AF1056" s="12" t="str">
        <x:f>IF(OR(W1056="unavailable",Y1056="unavailable"),"不可评价",IF(AND(W1056="positive",Y1056="positive"),"a",IF(Y1056="positive","b",IF(W1056="positive","c","d"))))</x:f>
        <x:v>d</x:v>
      </x:c>
    </x:row>
    <x:row r="1057" ht="24" customHeight="1">
      <x:c r="A1057" s="12" t="str">
        <x:v>9301</x:v>
      </x:c>
      <x:c r="B1057" s="12" t="str">
        <x:v>16254</x:v>
      </x:c>
      <x:c r="C1057" s="21" t="n">
        <x:v>33916.34107638889</x:v>
      </x:c>
      <x:c r="D1057" s="12" t="n">
        <x:v>77</x:v>
      </x:c>
      <x:c r="E1057" s="12" t="n">
        <x:v>0</x:v>
      </x:c>
      <x:c r="F1057" s="12" t="str">
        <x:v>未记录</x:v>
      </x:c>
      <x:c r="G1057" s="12" t="n">
        <x:v>1</x:v>
      </x:c>
      <x:c r="H1057" s="12" t="str">
        <x:v>{'NDT': 100.0, 'PVC': 100.0, 'SARRH': 0.0}</x:v>
      </x:c>
      <x:c r="I1057" s="12" t="str">
        <x:v>[('SRTH', 100.0), ('PVC', 100.0), ('NSTT', 100.0), ('AB', 100.0)]</x:v>
      </x:c>
      <x:c r="J1057" s="12" t="str">
        <x:v>ptbxl_database.csv；ecg_id=9301；scp_codes</x:v>
      </x:c>
      <x:c r="K1057" s="12" t="str">
        <x:v>12sl_statements.csv；ecg_id=9301；statements_ext_snomed</x:v>
      </x:c>
      <x:c r="L1057" s="12"/>
      <x:c r="M1057" s="12" t="str">
        <x:v>negative</x:v>
      </x:c>
      <x:c r="N1057" s="12"/>
      <x:c r="O1057" s="12" t="str">
        <x:v>negative</x:v>
      </x:c>
      <x:c r="P1057" s="12" t="str">
        <x:f>IF(OR(M1057="unavailable",O1057="unavailable"),"不可评价",IF(OR(M1057="equivocal",O1057="equivocal"),"疑似",IF(AND(M1057="positive",O1057="positive"),"a",IF(O1057="positive","b",IF(M1057="positive","c","d")))))</x:f>
        <x:v>d</x:v>
      </x:c>
      <x:c r="Q1057" s="12"/>
      <x:c r="R1057" s="12" t="str">
        <x:v>negative</x:v>
      </x:c>
      <x:c r="S1057" s="12"/>
      <x:c r="T1057" s="12" t="str">
        <x:v>negative</x:v>
      </x:c>
      <x:c r="U1057" s="12" t="str">
        <x:f>IF(OR(R1057="unavailable",T1057="unavailable"),"不可评价",IF(OR(R1057="equivocal",T1057="equivocal"),"疑似",IF(AND(R1057="positive",T1057="positive"),"a",IF(T1057="positive","b",IF(R1057="positive","c","d")))))</x:f>
        <x:v>d</x:v>
      </x:c>
      <x:c r="V1057" s="12"/>
      <x:c r="W1057" s="12" t="str">
        <x:v>negative</x:v>
      </x:c>
      <x:c r="X1057" s="12"/>
      <x:c r="Y1057" s="12" t="str">
        <x:v>negative</x:v>
      </x:c>
      <x:c r="Z1057" s="12" t="str">
        <x:f>IF(OR(W1057="unavailable",Y1057="unavailable"),"不可评价",IF(OR(W1057="equivocal",Y1057="equivocal"),"疑似",IF(AND(W1057="positive",Y1057="positive"),"a",IF(Y1057="positive","b",IF(W1057="positive","c","d")))))</x:f>
        <x:v>d</x:v>
      </x:c>
      <x:c r="AA1057" s="12" t="str">
        <x:f>IF(OR(M1057="unavailable",O1057="unavailable"),"不可评价",IF(AND(OR(M1057="positive",M1057="equivocal"),OR(O1057="positive",O1057="equivocal")),"a",IF(OR(O1057="positive",O1057="equivocal"),"b",IF(OR(M1057="positive",M1057="equivocal"),"c","d"))))</x:f>
        <x:v>d</x:v>
      </x:c>
      <x:c r="AB1057" s="12" t="str">
        <x:f>IF(OR(M1057="unavailable",O1057="unavailable"),"不可评价",IF(AND(M1057="positive",O1057="positive"),"a",IF(O1057="positive","b",IF(M1057="positive","c","d"))))</x:f>
        <x:v>d</x:v>
      </x:c>
      <x:c r="AC1057" s="12" t="str">
        <x:f>IF(OR(R1057="unavailable",T1057="unavailable"),"不可评价",IF(AND(OR(R1057="positive",R1057="equivocal"),OR(T1057="positive",T1057="equivocal")),"a",IF(OR(T1057="positive",T1057="equivocal"),"b",IF(OR(R1057="positive",R1057="equivocal"),"c","d"))))</x:f>
        <x:v>d</x:v>
      </x:c>
      <x:c r="AD1057" s="12" t="str">
        <x:f>IF(OR(R1057="unavailable",T1057="unavailable"),"不可评价",IF(AND(R1057="positive",T1057="positive"),"a",IF(T1057="positive","b",IF(R1057="positive","c","d"))))</x:f>
        <x:v>d</x:v>
      </x:c>
      <x:c r="AE1057" s="12" t="str">
        <x:f>IF(OR(W1057="unavailable",Y1057="unavailable"),"不可评价",IF(AND(OR(W1057="positive",W1057="equivocal"),OR(Y1057="positive",Y1057="equivocal")),"a",IF(OR(Y1057="positive",Y1057="equivocal"),"b",IF(OR(W1057="positive",W1057="equivocal"),"c","d"))))</x:f>
        <x:v>d</x:v>
      </x:c>
      <x:c r="AF1057" s="12" t="str">
        <x:f>IF(OR(W1057="unavailable",Y1057="unavailable"),"不可评价",IF(AND(W1057="positive",Y1057="positive"),"a",IF(Y1057="positive","b",IF(W1057="positive","c","d"))))</x:f>
        <x:v>d</x:v>
      </x:c>
    </x:row>
    <x:row r="1058" ht="39" customHeight="1">
      <x:c r="A1058" s="12" t="str">
        <x:v>9306</x:v>
      </x:c>
      <x:c r="B1058" s="12" t="str">
        <x:v>16235</x:v>
      </x:c>
      <x:c r="C1058" s="21" t="n">
        <x:v>33916.62280092593</x:v>
      </x:c>
      <x:c r="D1058" s="12" t="n">
        <x:v>84</x:v>
      </x:c>
      <x:c r="E1058" s="12" t="n">
        <x:v>1</x:v>
      </x:c>
      <x:c r="F1058" s="12" t="str">
        <x:v>未记录</x:v>
      </x:c>
      <x:c r="G1058" s="12" t="n">
        <x:v>1</x:v>
      </x:c>
      <x:c r="H1058" s="12" t="str">
        <x:v>{'ASMI': 50.0, 'IRBBB': 100.0, 'LAO/LAE': 100.0, '1AVB': 100.0, 'PVC': 100.0, 'ABQRS': 0.0, 'VCLVH': 0.0, 'SR': 0.0}</x:v>
      </x:c>
      <x:c r="I1058" s="12" t="str">
        <x:v>[('SBRAD', 100.0), ('FAV', 100.0), ('PVC', 100.0), ('LAD3', 100.0), ('RSR', 100.0), ('NSTT', 100.0), ('AB', 100.0)]</x:v>
      </x:c>
      <x:c r="J1058" s="12" t="str">
        <x:v>ptbxl_database.csv；ecg_id=9306；scp_codes</x:v>
      </x:c>
      <x:c r="K1058" s="12" t="str">
        <x:v>12sl_statements.csv；ecg_id=9306；statements_ext_snomed</x:v>
      </x:c>
      <x:c r="L1058" s="12"/>
      <x:c r="M1058" s="12" t="str">
        <x:v>negative</x:v>
      </x:c>
      <x:c r="N1058" s="12"/>
      <x:c r="O1058" s="12" t="str">
        <x:v>negative</x:v>
      </x:c>
      <x:c r="P1058" s="12" t="str">
        <x:f>IF(OR(M1058="unavailable",O1058="unavailable"),"不可评价",IF(OR(M1058="equivocal",O1058="equivocal"),"疑似",IF(AND(M1058="positive",O1058="positive"),"a",IF(O1058="positive","b",IF(M1058="positive","c","d")))))</x:f>
        <x:v>d</x:v>
      </x:c>
      <x:c r="Q1058" s="12"/>
      <x:c r="R1058" s="12" t="str">
        <x:v>negative</x:v>
      </x:c>
      <x:c r="S1058" s="12"/>
      <x:c r="T1058" s="12" t="str">
        <x:v>negative</x:v>
      </x:c>
      <x:c r="U1058" s="12" t="str">
        <x:f>IF(OR(R1058="unavailable",T1058="unavailable"),"不可评价",IF(OR(R1058="equivocal",T1058="equivocal"),"疑似",IF(AND(R1058="positive",T1058="positive"),"a",IF(T1058="positive","b",IF(R1058="positive","c","d")))))</x:f>
        <x:v>d</x:v>
      </x:c>
      <x:c r="V1058" s="12"/>
      <x:c r="W1058" s="12" t="str">
        <x:v>negative</x:v>
      </x:c>
      <x:c r="X1058" s="12"/>
      <x:c r="Y1058" s="12" t="str">
        <x:v>negative</x:v>
      </x:c>
      <x:c r="Z1058" s="12" t="str">
        <x:f>IF(OR(W1058="unavailable",Y1058="unavailable"),"不可评价",IF(OR(W1058="equivocal",Y1058="equivocal"),"疑似",IF(AND(W1058="positive",Y1058="positive"),"a",IF(Y1058="positive","b",IF(W1058="positive","c","d")))))</x:f>
        <x:v>d</x:v>
      </x:c>
      <x:c r="AA1058" s="12" t="str">
        <x:f>IF(OR(M1058="unavailable",O1058="unavailable"),"不可评价",IF(AND(OR(M1058="positive",M1058="equivocal"),OR(O1058="positive",O1058="equivocal")),"a",IF(OR(O1058="positive",O1058="equivocal"),"b",IF(OR(M1058="positive",M1058="equivocal"),"c","d"))))</x:f>
        <x:v>d</x:v>
      </x:c>
      <x:c r="AB1058" s="12" t="str">
        <x:f>IF(OR(M1058="unavailable",O1058="unavailable"),"不可评价",IF(AND(M1058="positive",O1058="positive"),"a",IF(O1058="positive","b",IF(M1058="positive","c","d"))))</x:f>
        <x:v>d</x:v>
      </x:c>
      <x:c r="AC1058" s="12" t="str">
        <x:f>IF(OR(R1058="unavailable",T1058="unavailable"),"不可评价",IF(AND(OR(R1058="positive",R1058="equivocal"),OR(T1058="positive",T1058="equivocal")),"a",IF(OR(T1058="positive",T1058="equivocal"),"b",IF(OR(R1058="positive",R1058="equivocal"),"c","d"))))</x:f>
        <x:v>d</x:v>
      </x:c>
      <x:c r="AD1058" s="12" t="str">
        <x:f>IF(OR(R1058="unavailable",T1058="unavailable"),"不可评价",IF(AND(R1058="positive",T1058="positive"),"a",IF(T1058="positive","b",IF(R1058="positive","c","d"))))</x:f>
        <x:v>d</x:v>
      </x:c>
      <x:c r="AE1058" s="12" t="str">
        <x:f>IF(OR(W1058="unavailable",Y1058="unavailable"),"不可评价",IF(AND(OR(W1058="positive",W1058="equivocal"),OR(Y1058="positive",Y1058="equivocal")),"a",IF(OR(Y1058="positive",Y1058="equivocal"),"b",IF(OR(W1058="positive",W1058="equivocal"),"c","d"))))</x:f>
        <x:v>d</x:v>
      </x:c>
      <x:c r="AF1058" s="12" t="str">
        <x:f>IF(OR(W1058="unavailable",Y1058="unavailable"),"不可评价",IF(AND(W1058="positive",Y1058="positive"),"a",IF(Y1058="positive","b",IF(W1058="positive","c","d"))))</x:f>
        <x:v>d</x:v>
      </x:c>
    </x:row>
    <x:row r="1059" ht="24" customHeight="1">
      <x:c r="A1059" s="12" t="str">
        <x:v>9338</x:v>
      </x:c>
      <x:c r="B1059" s="12" t="str">
        <x:v>18444</x:v>
      </x:c>
      <x:c r="C1059" s="21" t="n">
        <x:v>33923.69159722222</x:v>
      </x:c>
      <x:c r="D1059" s="12" t="n">
        <x:v>44</x:v>
      </x:c>
      <x:c r="E1059" s="12" t="n">
        <x:v>1</x:v>
      </x:c>
      <x:c r="F1059" s="12" t="str">
        <x:v>未记录</x:v>
      </x:c>
      <x:c r="G1059" s="12" t="n">
        <x:v>1</x:v>
      </x:c>
      <x:c r="H1059" s="12" t="str">
        <x:v>{'NORM': 100.0, 'STACH': 0.0}</x:v>
      </x:c>
      <x:c r="I1059" s="12" t="str">
        <x:v>[('NSR', 100.0), ('NST', 100.0), ('AB', 100.0)]</x:v>
      </x:c>
      <x:c r="J1059" s="12" t="str">
        <x:v>ptbxl_database.csv；ecg_id=9338；scp_codes</x:v>
      </x:c>
      <x:c r="K1059" s="12" t="str">
        <x:v>12sl_statements.csv；ecg_id=9338；statements_ext_snomed</x:v>
      </x:c>
      <x:c r="L1059" s="12"/>
      <x:c r="M1059" s="12" t="str">
        <x:v>negative</x:v>
      </x:c>
      <x:c r="N1059" s="12"/>
      <x:c r="O1059" s="12" t="str">
        <x:v>negative</x:v>
      </x:c>
      <x:c r="P1059" s="12" t="str">
        <x:f>IF(OR(M1059="unavailable",O1059="unavailable"),"不可评价",IF(OR(M1059="equivocal",O1059="equivocal"),"疑似",IF(AND(M1059="positive",O1059="positive"),"a",IF(O1059="positive","b",IF(M1059="positive","c","d")))))</x:f>
        <x:v>d</x:v>
      </x:c>
      <x:c r="Q1059" s="12"/>
      <x:c r="R1059" s="12" t="str">
        <x:v>negative</x:v>
      </x:c>
      <x:c r="S1059" s="12"/>
      <x:c r="T1059" s="12" t="str">
        <x:v>negative</x:v>
      </x:c>
      <x:c r="U1059" s="12" t="str">
        <x:f>IF(OR(R1059="unavailable",T1059="unavailable"),"不可评价",IF(OR(R1059="equivocal",T1059="equivocal"),"疑似",IF(AND(R1059="positive",T1059="positive"),"a",IF(T1059="positive","b",IF(R1059="positive","c","d")))))</x:f>
        <x:v>d</x:v>
      </x:c>
      <x:c r="V1059" s="12"/>
      <x:c r="W1059" s="12" t="str">
        <x:v>negative</x:v>
      </x:c>
      <x:c r="X1059" s="12"/>
      <x:c r="Y1059" s="12" t="str">
        <x:v>negative</x:v>
      </x:c>
      <x:c r="Z1059" s="12" t="str">
        <x:f>IF(OR(W1059="unavailable",Y1059="unavailable"),"不可评价",IF(OR(W1059="equivocal",Y1059="equivocal"),"疑似",IF(AND(W1059="positive",Y1059="positive"),"a",IF(Y1059="positive","b",IF(W1059="positive","c","d")))))</x:f>
        <x:v>d</x:v>
      </x:c>
      <x:c r="AA1059" s="12" t="str">
        <x:f>IF(OR(M1059="unavailable",O1059="unavailable"),"不可评价",IF(AND(OR(M1059="positive",M1059="equivocal"),OR(O1059="positive",O1059="equivocal")),"a",IF(OR(O1059="positive",O1059="equivocal"),"b",IF(OR(M1059="positive",M1059="equivocal"),"c","d"))))</x:f>
        <x:v>d</x:v>
      </x:c>
      <x:c r="AB1059" s="12" t="str">
        <x:f>IF(OR(M1059="unavailable",O1059="unavailable"),"不可评价",IF(AND(M1059="positive",O1059="positive"),"a",IF(O1059="positive","b",IF(M1059="positive","c","d"))))</x:f>
        <x:v>d</x:v>
      </x:c>
      <x:c r="AC1059" s="12" t="str">
        <x:f>IF(OR(R1059="unavailable",T1059="unavailable"),"不可评价",IF(AND(OR(R1059="positive",R1059="equivocal"),OR(T1059="positive",T1059="equivocal")),"a",IF(OR(T1059="positive",T1059="equivocal"),"b",IF(OR(R1059="positive",R1059="equivocal"),"c","d"))))</x:f>
        <x:v>d</x:v>
      </x:c>
      <x:c r="AD1059" s="12" t="str">
        <x:f>IF(OR(R1059="unavailable",T1059="unavailable"),"不可评价",IF(AND(R1059="positive",T1059="positive"),"a",IF(T1059="positive","b",IF(R1059="positive","c","d"))))</x:f>
        <x:v>d</x:v>
      </x:c>
      <x:c r="AE1059" s="12" t="str">
        <x:f>IF(OR(W1059="unavailable",Y1059="unavailable"),"不可评价",IF(AND(OR(W1059="positive",W1059="equivocal"),OR(Y1059="positive",Y1059="equivocal")),"a",IF(OR(Y1059="positive",Y1059="equivocal"),"b",IF(OR(W1059="positive",W1059="equivocal"),"c","d"))))</x:f>
        <x:v>d</x:v>
      </x:c>
      <x:c r="AF1059" s="12" t="str">
        <x:f>IF(OR(W1059="unavailable",Y1059="unavailable"),"不可评价",IF(AND(W1059="positive",Y1059="positive"),"a",IF(Y1059="positive","b",IF(W1059="positive","c","d"))))</x:f>
        <x:v>d</x:v>
      </x:c>
    </x:row>
    <x:row r="1060" ht="24" customHeight="1">
      <x:c r="A1060" s="12" t="str">
        <x:v>9346</x:v>
      </x:c>
      <x:c r="B1060" s="12" t="str">
        <x:v>17008</x:v>
      </x:c>
      <x:c r="C1060" s="21" t="n">
        <x:v>33925.39761574074</x:v>
      </x:c>
      <x:c r="D1060" s="12" t="n">
        <x:v>66</x:v>
      </x:c>
      <x:c r="E1060" s="12" t="n">
        <x:v>0</x:v>
      </x:c>
      <x:c r="F1060" s="12" t="str">
        <x:v>未记录</x:v>
      </x:c>
      <x:c r="G1060" s="12" t="n">
        <x:v>1</x:v>
      </x:c>
      <x:c r="H1060" s="12" t="str">
        <x:v>{'ASMI': 50.0, 'LAFB': 100.0, 'ABQRS': 0.0, 'SR': 0.0}</x:v>
      </x:c>
      <x:c r="I1060" s="12" t="str">
        <x:v>[('NSR', 100.0), ('LAD3', 100.0), ('SMI;AU', 100.0), ('AB', 100.0)]</x:v>
      </x:c>
      <x:c r="J1060" s="12" t="str">
        <x:v>ptbxl_database.csv；ecg_id=9346；scp_codes</x:v>
      </x:c>
      <x:c r="K1060" s="12" t="str">
        <x:v>12sl_statements.csv；ecg_id=9346；statements_ext_snomed</x:v>
      </x:c>
      <x:c r="L1060" s="12"/>
      <x:c r="M1060" s="12" t="str">
        <x:v>negative</x:v>
      </x:c>
      <x:c r="N1060" s="12"/>
      <x:c r="O1060" s="12" t="str">
        <x:v>negative</x:v>
      </x:c>
      <x:c r="P1060" s="12" t="str">
        <x:f>IF(OR(M1060="unavailable",O1060="unavailable"),"不可评价",IF(OR(M1060="equivocal",O1060="equivocal"),"疑似",IF(AND(M1060="positive",O1060="positive"),"a",IF(O1060="positive","b",IF(M1060="positive","c","d")))))</x:f>
        <x:v>d</x:v>
      </x:c>
      <x:c r="Q1060" s="12"/>
      <x:c r="R1060" s="12" t="str">
        <x:v>negative</x:v>
      </x:c>
      <x:c r="S1060" s="12"/>
      <x:c r="T1060" s="12" t="str">
        <x:v>negative</x:v>
      </x:c>
      <x:c r="U1060" s="12" t="str">
        <x:f>IF(OR(R1060="unavailable",T1060="unavailable"),"不可评价",IF(OR(R1060="equivocal",T1060="equivocal"),"疑似",IF(AND(R1060="positive",T1060="positive"),"a",IF(T1060="positive","b",IF(R1060="positive","c","d")))))</x:f>
        <x:v>d</x:v>
      </x:c>
      <x:c r="V1060" s="12"/>
      <x:c r="W1060" s="12" t="str">
        <x:v>negative</x:v>
      </x:c>
      <x:c r="X1060" s="12"/>
      <x:c r="Y1060" s="12" t="str">
        <x:v>negative</x:v>
      </x:c>
      <x:c r="Z1060" s="12" t="str">
        <x:f>IF(OR(W1060="unavailable",Y1060="unavailable"),"不可评价",IF(OR(W1060="equivocal",Y1060="equivocal"),"疑似",IF(AND(W1060="positive",Y1060="positive"),"a",IF(Y1060="positive","b",IF(W1060="positive","c","d")))))</x:f>
        <x:v>d</x:v>
      </x:c>
      <x:c r="AA1060" s="12" t="str">
        <x:f>IF(OR(M1060="unavailable",O1060="unavailable"),"不可评价",IF(AND(OR(M1060="positive",M1060="equivocal"),OR(O1060="positive",O1060="equivocal")),"a",IF(OR(O1060="positive",O1060="equivocal"),"b",IF(OR(M1060="positive",M1060="equivocal"),"c","d"))))</x:f>
        <x:v>d</x:v>
      </x:c>
      <x:c r="AB1060" s="12" t="str">
        <x:f>IF(OR(M1060="unavailable",O1060="unavailable"),"不可评价",IF(AND(M1060="positive",O1060="positive"),"a",IF(O1060="positive","b",IF(M1060="positive","c","d"))))</x:f>
        <x:v>d</x:v>
      </x:c>
      <x:c r="AC1060" s="12" t="str">
        <x:f>IF(OR(R1060="unavailable",T1060="unavailable"),"不可评价",IF(AND(OR(R1060="positive",R1060="equivocal"),OR(T1060="positive",T1060="equivocal")),"a",IF(OR(T1060="positive",T1060="equivocal"),"b",IF(OR(R1060="positive",R1060="equivocal"),"c","d"))))</x:f>
        <x:v>d</x:v>
      </x:c>
      <x:c r="AD1060" s="12" t="str">
        <x:f>IF(OR(R1060="unavailable",T1060="unavailable"),"不可评价",IF(AND(R1060="positive",T1060="positive"),"a",IF(T1060="positive","b",IF(R1060="positive","c","d"))))</x:f>
        <x:v>d</x:v>
      </x:c>
      <x:c r="AE1060" s="12" t="str">
        <x:f>IF(OR(W1060="unavailable",Y1060="unavailable"),"不可评价",IF(AND(OR(W1060="positive",W1060="equivocal"),OR(Y1060="positive",Y1060="equivocal")),"a",IF(OR(Y1060="positive",Y1060="equivocal"),"b",IF(OR(W1060="positive",W1060="equivocal"),"c","d"))))</x:f>
        <x:v>d</x:v>
      </x:c>
      <x:c r="AF1060" s="12" t="str">
        <x:f>IF(OR(W1060="unavailable",Y1060="unavailable"),"不可评价",IF(AND(W1060="positive",Y1060="positive"),"a",IF(Y1060="positive","b",IF(W1060="positive","c","d"))))</x:f>
        <x:v>d</x:v>
      </x:c>
    </x:row>
    <x:row r="1061" ht="24" customHeight="1">
      <x:c r="A1061" s="12" t="str">
        <x:v>9353</x:v>
      </x:c>
      <x:c r="B1061" s="12" t="str">
        <x:v>18595</x:v>
      </x:c>
      <x:c r="C1061" s="21" t="n">
        <x:v>33927.381423611114</x:v>
      </x:c>
      <x:c r="D1061" s="12" t="n">
        <x:v>18</x:v>
      </x:c>
      <x:c r="E1061" s="12" t="n">
        <x:v>1</x:v>
      </x:c>
      <x:c r="F1061" s="12" t="str">
        <x:v>未记录</x:v>
      </x:c>
      <x:c r="G1061" s="12" t="n">
        <x:v>1</x:v>
      </x:c>
      <x:c r="H1061" s="12" t="str">
        <x:v>{'NORM': 80.0, 'SR': 0.0}</x:v>
      </x:c>
      <x:c r="I1061" s="12" t="str">
        <x:v>[('NSR', 100.0), ('SAR', 100.0), ('NML', 100.0)]</x:v>
      </x:c>
      <x:c r="J1061" s="12" t="str">
        <x:v>ptbxl_database.csv；ecg_id=9353；scp_codes</x:v>
      </x:c>
      <x:c r="K1061" s="12" t="str">
        <x:v>12sl_statements.csv；ecg_id=9353；statements_ext_snomed</x:v>
      </x:c>
      <x:c r="L1061" s="12"/>
      <x:c r="M1061" s="12" t="str">
        <x:v>negative</x:v>
      </x:c>
      <x:c r="N1061" s="12"/>
      <x:c r="O1061" s="12" t="str">
        <x:v>negative</x:v>
      </x:c>
      <x:c r="P1061" s="12" t="str">
        <x:f>IF(OR(M1061="unavailable",O1061="unavailable"),"不可评价",IF(OR(M1061="equivocal",O1061="equivocal"),"疑似",IF(AND(M1061="positive",O1061="positive"),"a",IF(O1061="positive","b",IF(M1061="positive","c","d")))))</x:f>
        <x:v>d</x:v>
      </x:c>
      <x:c r="Q1061" s="12"/>
      <x:c r="R1061" s="12" t="str">
        <x:v>negative</x:v>
      </x:c>
      <x:c r="S1061" s="12"/>
      <x:c r="T1061" s="12" t="str">
        <x:v>negative</x:v>
      </x:c>
      <x:c r="U1061" s="12" t="str">
        <x:f>IF(OR(R1061="unavailable",T1061="unavailable"),"不可评价",IF(OR(R1061="equivocal",T1061="equivocal"),"疑似",IF(AND(R1061="positive",T1061="positive"),"a",IF(T1061="positive","b",IF(R1061="positive","c","d")))))</x:f>
        <x:v>d</x:v>
      </x:c>
      <x:c r="V1061" s="12"/>
      <x:c r="W1061" s="12" t="str">
        <x:v>negative</x:v>
      </x:c>
      <x:c r="X1061" s="12"/>
      <x:c r="Y1061" s="12" t="str">
        <x:v>negative</x:v>
      </x:c>
      <x:c r="Z1061" s="12" t="str">
        <x:f>IF(OR(W1061="unavailable",Y1061="unavailable"),"不可评价",IF(OR(W1061="equivocal",Y1061="equivocal"),"疑似",IF(AND(W1061="positive",Y1061="positive"),"a",IF(Y1061="positive","b",IF(W1061="positive","c","d")))))</x:f>
        <x:v>d</x:v>
      </x:c>
      <x:c r="AA1061" s="12" t="str">
        <x:f>IF(OR(M1061="unavailable",O1061="unavailable"),"不可评价",IF(AND(OR(M1061="positive",M1061="equivocal"),OR(O1061="positive",O1061="equivocal")),"a",IF(OR(O1061="positive",O1061="equivocal"),"b",IF(OR(M1061="positive",M1061="equivocal"),"c","d"))))</x:f>
        <x:v>d</x:v>
      </x:c>
      <x:c r="AB1061" s="12" t="str">
        <x:f>IF(OR(M1061="unavailable",O1061="unavailable"),"不可评价",IF(AND(M1061="positive",O1061="positive"),"a",IF(O1061="positive","b",IF(M1061="positive","c","d"))))</x:f>
        <x:v>d</x:v>
      </x:c>
      <x:c r="AC1061" s="12" t="str">
        <x:f>IF(OR(R1061="unavailable",T1061="unavailable"),"不可评价",IF(AND(OR(R1061="positive",R1061="equivocal"),OR(T1061="positive",T1061="equivocal")),"a",IF(OR(T1061="positive",T1061="equivocal"),"b",IF(OR(R1061="positive",R1061="equivocal"),"c","d"))))</x:f>
        <x:v>d</x:v>
      </x:c>
      <x:c r="AD1061" s="12" t="str">
        <x:f>IF(OR(R1061="unavailable",T1061="unavailable"),"不可评价",IF(AND(R1061="positive",T1061="positive"),"a",IF(T1061="positive","b",IF(R1061="positive","c","d"))))</x:f>
        <x:v>d</x:v>
      </x:c>
      <x:c r="AE1061" s="12" t="str">
        <x:f>IF(OR(W1061="unavailable",Y1061="unavailable"),"不可评价",IF(AND(OR(W1061="positive",W1061="equivocal"),OR(Y1061="positive",Y1061="equivocal")),"a",IF(OR(Y1061="positive",Y1061="equivocal"),"b",IF(OR(W1061="positive",W1061="equivocal"),"c","d"))))</x:f>
        <x:v>d</x:v>
      </x:c>
      <x:c r="AF1061" s="12" t="str">
        <x:f>IF(OR(W1061="unavailable",Y1061="unavailable"),"不可评价",IF(AND(W1061="positive",Y1061="positive"),"a",IF(Y1061="positive","b",IF(W1061="positive","c","d"))))</x:f>
        <x:v>d</x:v>
      </x:c>
    </x:row>
    <x:row r="1062" ht="24" customHeight="1">
      <x:c r="A1062" s="12" t="str">
        <x:v>9366</x:v>
      </x:c>
      <x:c r="B1062" s="12" t="str">
        <x:v>16254</x:v>
      </x:c>
      <x:c r="C1062" s="21" t="n">
        <x:v>33930.35901620371</x:v>
      </x:c>
      <x:c r="D1062" s="12" t="n">
        <x:v>78</x:v>
      </x:c>
      <x:c r="E1062" s="12" t="n">
        <x:v>0</x:v>
      </x:c>
      <x:c r="F1062" s="12" t="str">
        <x:v>存在</x:v>
      </x:c>
      <x:c r="G1062" s="12" t="n">
        <x:v>0</x:v>
      </x:c>
      <x:c r="H1062" s="12" t="str">
        <x:v>{'IMI': 35.0, 'NDT': 100.0, 'SR': 0.0}</x:v>
      </x:c>
      <x:c r="I1062" s="12" t="str">
        <x:v>[('NSR', 100.0), ('SAR', 100.0), ('NSTT', 100.0), ('AB', 100.0)]</x:v>
      </x:c>
      <x:c r="J1062" s="12" t="str">
        <x:v>ptbxl_database.csv；ecg_id=9366；scp_codes</x:v>
      </x:c>
      <x:c r="K1062" s="12" t="str">
        <x:v>12sl_statements.csv；ecg_id=9366；statements_ext_snomed</x:v>
      </x:c>
      <x:c r="L1062" s="12"/>
      <x:c r="M1062" s="12" t="str">
        <x:v>negative</x:v>
      </x:c>
      <x:c r="N1062" s="12"/>
      <x:c r="O1062" s="12" t="str">
        <x:v>negative</x:v>
      </x:c>
      <x:c r="P1062" s="12" t="str">
        <x:f>IF(OR(M1062="unavailable",O1062="unavailable"),"不可评价",IF(OR(M1062="equivocal",O1062="equivocal"),"疑似",IF(AND(M1062="positive",O1062="positive"),"a",IF(O1062="positive","b",IF(M1062="positive","c","d")))))</x:f>
        <x:v>d</x:v>
      </x:c>
      <x:c r="Q1062" s="12"/>
      <x:c r="R1062" s="12" t="str">
        <x:v>negative</x:v>
      </x:c>
      <x:c r="S1062" s="12"/>
      <x:c r="T1062" s="12" t="str">
        <x:v>negative</x:v>
      </x:c>
      <x:c r="U1062" s="12" t="str">
        <x:f>IF(OR(R1062="unavailable",T1062="unavailable"),"不可评价",IF(OR(R1062="equivocal",T1062="equivocal"),"疑似",IF(AND(R1062="positive",T1062="positive"),"a",IF(T1062="positive","b",IF(R1062="positive","c","d")))))</x:f>
        <x:v>d</x:v>
      </x:c>
      <x:c r="V1062" s="12"/>
      <x:c r="W1062" s="12" t="str">
        <x:v>negative</x:v>
      </x:c>
      <x:c r="X1062" s="12"/>
      <x:c r="Y1062" s="12" t="str">
        <x:v>negative</x:v>
      </x:c>
      <x:c r="Z1062" s="12" t="str">
        <x:f>IF(OR(W1062="unavailable",Y1062="unavailable"),"不可评价",IF(OR(W1062="equivocal",Y1062="equivocal"),"疑似",IF(AND(W1062="positive",Y1062="positive"),"a",IF(Y1062="positive","b",IF(W1062="positive","c","d")))))</x:f>
        <x:v>d</x:v>
      </x:c>
      <x:c r="AA1062" s="12" t="str">
        <x:f>IF(OR(M1062="unavailable",O1062="unavailable"),"不可评价",IF(AND(OR(M1062="positive",M1062="equivocal"),OR(O1062="positive",O1062="equivocal")),"a",IF(OR(O1062="positive",O1062="equivocal"),"b",IF(OR(M1062="positive",M1062="equivocal"),"c","d"))))</x:f>
        <x:v>d</x:v>
      </x:c>
      <x:c r="AB1062" s="12" t="str">
        <x:f>IF(OR(M1062="unavailable",O1062="unavailable"),"不可评价",IF(AND(M1062="positive",O1062="positive"),"a",IF(O1062="positive","b",IF(M1062="positive","c","d"))))</x:f>
        <x:v>d</x:v>
      </x:c>
      <x:c r="AC1062" s="12" t="str">
        <x:f>IF(OR(R1062="unavailable",T1062="unavailable"),"不可评价",IF(AND(OR(R1062="positive",R1062="equivocal"),OR(T1062="positive",T1062="equivocal")),"a",IF(OR(T1062="positive",T1062="equivocal"),"b",IF(OR(R1062="positive",R1062="equivocal"),"c","d"))))</x:f>
        <x:v>d</x:v>
      </x:c>
      <x:c r="AD1062" s="12" t="str">
        <x:f>IF(OR(R1062="unavailable",T1062="unavailable"),"不可评价",IF(AND(R1062="positive",T1062="positive"),"a",IF(T1062="positive","b",IF(R1062="positive","c","d"))))</x:f>
        <x:v>d</x:v>
      </x:c>
      <x:c r="AE1062" s="12" t="str">
        <x:f>IF(OR(W1062="unavailable",Y1062="unavailable"),"不可评价",IF(AND(OR(W1062="positive",W1062="equivocal"),OR(Y1062="positive",Y1062="equivocal")),"a",IF(OR(Y1062="positive",Y1062="equivocal"),"b",IF(OR(W1062="positive",W1062="equivocal"),"c","d"))))</x:f>
        <x:v>d</x:v>
      </x:c>
      <x:c r="AF1062" s="12" t="str">
        <x:f>IF(OR(W1062="unavailable",Y1062="unavailable"),"不可评价",IF(AND(W1062="positive",Y1062="positive"),"a",IF(Y1062="positive","b",IF(W1062="positive","c","d"))))</x:f>
        <x:v>d</x:v>
      </x:c>
    </x:row>
    <x:row r="1063" ht="24" customHeight="1">
      <x:c r="A1063" s="12" t="str">
        <x:v>9396</x:v>
      </x:c>
      <x:c r="B1063" s="12" t="str">
        <x:v>20756</x:v>
      </x:c>
      <x:c r="C1063" s="21" t="n">
        <x:v>33935.64525462963</x:v>
      </x:c>
      <x:c r="D1063" s="12" t="n">
        <x:v>36</x:v>
      </x:c>
      <x:c r="E1063" s="12" t="n">
        <x:v>1</x:v>
      </x:c>
      <x:c r="F1063" s="12" t="str">
        <x:v>未记录</x:v>
      </x:c>
      <x:c r="G1063" s="12" t="n">
        <x:v>1</x:v>
      </x:c>
      <x:c r="H1063" s="12" t="str">
        <x:v>{'NORM': 100.0, 'SR': 0.0}</x:v>
      </x:c>
      <x:c r="I1063" s="12" t="str">
        <x:v>[('NSR', 100.0), ('NML', 100.0)]</x:v>
      </x:c>
      <x:c r="J1063" s="12" t="str">
        <x:v>ptbxl_database.csv；ecg_id=9396；scp_codes</x:v>
      </x:c>
      <x:c r="K1063" s="12" t="str">
        <x:v>12sl_statements.csv；ecg_id=9396；statements_ext_snomed</x:v>
      </x:c>
      <x:c r="L1063" s="12"/>
      <x:c r="M1063" s="12" t="str">
        <x:v>negative</x:v>
      </x:c>
      <x:c r="N1063" s="12"/>
      <x:c r="O1063" s="12" t="str">
        <x:v>negative</x:v>
      </x:c>
      <x:c r="P1063" s="12" t="str">
        <x:f>IF(OR(M1063="unavailable",O1063="unavailable"),"不可评价",IF(OR(M1063="equivocal",O1063="equivocal"),"疑似",IF(AND(M1063="positive",O1063="positive"),"a",IF(O1063="positive","b",IF(M1063="positive","c","d")))))</x:f>
        <x:v>d</x:v>
      </x:c>
      <x:c r="Q1063" s="12"/>
      <x:c r="R1063" s="12" t="str">
        <x:v>negative</x:v>
      </x:c>
      <x:c r="S1063" s="12"/>
      <x:c r="T1063" s="12" t="str">
        <x:v>negative</x:v>
      </x:c>
      <x:c r="U1063" s="12" t="str">
        <x:f>IF(OR(R1063="unavailable",T1063="unavailable"),"不可评价",IF(OR(R1063="equivocal",T1063="equivocal"),"疑似",IF(AND(R1063="positive",T1063="positive"),"a",IF(T1063="positive","b",IF(R1063="positive","c","d")))))</x:f>
        <x:v>d</x:v>
      </x:c>
      <x:c r="V1063" s="12"/>
      <x:c r="W1063" s="12" t="str">
        <x:v>negative</x:v>
      </x:c>
      <x:c r="X1063" s="12"/>
      <x:c r="Y1063" s="12" t="str">
        <x:v>negative</x:v>
      </x:c>
      <x:c r="Z1063" s="12" t="str">
        <x:f>IF(OR(W1063="unavailable",Y1063="unavailable"),"不可评价",IF(OR(W1063="equivocal",Y1063="equivocal"),"疑似",IF(AND(W1063="positive",Y1063="positive"),"a",IF(Y1063="positive","b",IF(W1063="positive","c","d")))))</x:f>
        <x:v>d</x:v>
      </x:c>
      <x:c r="AA1063" s="12" t="str">
        <x:f>IF(OR(M1063="unavailable",O1063="unavailable"),"不可评价",IF(AND(OR(M1063="positive",M1063="equivocal"),OR(O1063="positive",O1063="equivocal")),"a",IF(OR(O1063="positive",O1063="equivocal"),"b",IF(OR(M1063="positive",M1063="equivocal"),"c","d"))))</x:f>
        <x:v>d</x:v>
      </x:c>
      <x:c r="AB1063" s="12" t="str">
        <x:f>IF(OR(M1063="unavailable",O1063="unavailable"),"不可评价",IF(AND(M1063="positive",O1063="positive"),"a",IF(O1063="positive","b",IF(M1063="positive","c","d"))))</x:f>
        <x:v>d</x:v>
      </x:c>
      <x:c r="AC1063" s="12" t="str">
        <x:f>IF(OR(R1063="unavailable",T1063="unavailable"),"不可评价",IF(AND(OR(R1063="positive",R1063="equivocal"),OR(T1063="positive",T1063="equivocal")),"a",IF(OR(T1063="positive",T1063="equivocal"),"b",IF(OR(R1063="positive",R1063="equivocal"),"c","d"))))</x:f>
        <x:v>d</x:v>
      </x:c>
      <x:c r="AD1063" s="12" t="str">
        <x:f>IF(OR(R1063="unavailable",T1063="unavailable"),"不可评价",IF(AND(R1063="positive",T1063="positive"),"a",IF(T1063="positive","b",IF(R1063="positive","c","d"))))</x:f>
        <x:v>d</x:v>
      </x:c>
      <x:c r="AE1063" s="12" t="str">
        <x:f>IF(OR(W1063="unavailable",Y1063="unavailable"),"不可评价",IF(AND(OR(W1063="positive",W1063="equivocal"),OR(Y1063="positive",Y1063="equivocal")),"a",IF(OR(Y1063="positive",Y1063="equivocal"),"b",IF(OR(W1063="positive",W1063="equivocal"),"c","d"))))</x:f>
        <x:v>d</x:v>
      </x:c>
      <x:c r="AF1063" s="12" t="str">
        <x:f>IF(OR(W1063="unavailable",Y1063="unavailable"),"不可评价",IF(AND(W1063="positive",Y1063="positive"),"a",IF(Y1063="positive","b",IF(W1063="positive","c","d"))))</x:f>
        <x:v>d</x:v>
      </x:c>
    </x:row>
    <x:row r="1064" ht="24" customHeight="1">
      <x:c r="A1064" s="12" t="str">
        <x:v>9410</x:v>
      </x:c>
      <x:c r="B1064" s="12" t="str">
        <x:v>18397</x:v>
      </x:c>
      <x:c r="C1064" s="21" t="n">
        <x:v>33937.39513888889</x:v>
      </x:c>
      <x:c r="D1064" s="12" t="n">
        <x:v>59</x:v>
      </x:c>
      <x:c r="E1064" s="12" t="n">
        <x:v>1</x:v>
      </x:c>
      <x:c r="F1064" s="12" t="str">
        <x:v>存在</x:v>
      </x:c>
      <x:c r="G1064" s="12" t="n">
        <x:v>1</x:v>
      </x:c>
      <x:c r="H1064" s="12" t="str">
        <x:v>{'NORM': 100.0, 'ABQRS': 0.0, 'SR': 0.0}</x:v>
      </x:c>
      <x:c r="I1064" s="12" t="str">
        <x:v>[('NSR', 100.0), ('NML', 100.0)]</x:v>
      </x:c>
      <x:c r="J1064" s="12" t="str">
        <x:v>ptbxl_database.csv；ecg_id=9410；scp_codes</x:v>
      </x:c>
      <x:c r="K1064" s="12" t="str">
        <x:v>12sl_statements.csv；ecg_id=9410；statements_ext_snomed</x:v>
      </x:c>
      <x:c r="L1064" s="12"/>
      <x:c r="M1064" s="12" t="str">
        <x:v>negative</x:v>
      </x:c>
      <x:c r="N1064" s="12"/>
      <x:c r="O1064" s="12" t="str">
        <x:v>negative</x:v>
      </x:c>
      <x:c r="P1064" s="12" t="str">
        <x:f>IF(OR(M1064="unavailable",O1064="unavailable"),"不可评价",IF(OR(M1064="equivocal",O1064="equivocal"),"疑似",IF(AND(M1064="positive",O1064="positive"),"a",IF(O1064="positive","b",IF(M1064="positive","c","d")))))</x:f>
        <x:v>d</x:v>
      </x:c>
      <x:c r="Q1064" s="12"/>
      <x:c r="R1064" s="12" t="str">
        <x:v>negative</x:v>
      </x:c>
      <x:c r="S1064" s="12"/>
      <x:c r="T1064" s="12" t="str">
        <x:v>negative</x:v>
      </x:c>
      <x:c r="U1064" s="12" t="str">
        <x:f>IF(OR(R1064="unavailable",T1064="unavailable"),"不可评价",IF(OR(R1064="equivocal",T1064="equivocal"),"疑似",IF(AND(R1064="positive",T1064="positive"),"a",IF(T1064="positive","b",IF(R1064="positive","c","d")))))</x:f>
        <x:v>d</x:v>
      </x:c>
      <x:c r="V1064" s="12"/>
      <x:c r="W1064" s="12" t="str">
        <x:v>negative</x:v>
      </x:c>
      <x:c r="X1064" s="12"/>
      <x:c r="Y1064" s="12" t="str">
        <x:v>negative</x:v>
      </x:c>
      <x:c r="Z1064" s="12" t="str">
        <x:f>IF(OR(W1064="unavailable",Y1064="unavailable"),"不可评价",IF(OR(W1064="equivocal",Y1064="equivocal"),"疑似",IF(AND(W1064="positive",Y1064="positive"),"a",IF(Y1064="positive","b",IF(W1064="positive","c","d")))))</x:f>
        <x:v>d</x:v>
      </x:c>
      <x:c r="AA1064" s="12" t="str">
        <x:f>IF(OR(M1064="unavailable",O1064="unavailable"),"不可评价",IF(AND(OR(M1064="positive",M1064="equivocal"),OR(O1064="positive",O1064="equivocal")),"a",IF(OR(O1064="positive",O1064="equivocal"),"b",IF(OR(M1064="positive",M1064="equivocal"),"c","d"))))</x:f>
        <x:v>d</x:v>
      </x:c>
      <x:c r="AB1064" s="12" t="str">
        <x:f>IF(OR(M1064="unavailable",O1064="unavailable"),"不可评价",IF(AND(M1064="positive",O1064="positive"),"a",IF(O1064="positive","b",IF(M1064="positive","c","d"))))</x:f>
        <x:v>d</x:v>
      </x:c>
      <x:c r="AC1064" s="12" t="str">
        <x:f>IF(OR(R1064="unavailable",T1064="unavailable"),"不可评价",IF(AND(OR(R1064="positive",R1064="equivocal"),OR(T1064="positive",T1064="equivocal")),"a",IF(OR(T1064="positive",T1064="equivocal"),"b",IF(OR(R1064="positive",R1064="equivocal"),"c","d"))))</x:f>
        <x:v>d</x:v>
      </x:c>
      <x:c r="AD1064" s="12" t="str">
        <x:f>IF(OR(R1064="unavailable",T1064="unavailable"),"不可评价",IF(AND(R1064="positive",T1064="positive"),"a",IF(T1064="positive","b",IF(R1064="positive","c","d"))))</x:f>
        <x:v>d</x:v>
      </x:c>
      <x:c r="AE1064" s="12" t="str">
        <x:f>IF(OR(W1064="unavailable",Y1064="unavailable"),"不可评价",IF(AND(OR(W1064="positive",W1064="equivocal"),OR(Y1064="positive",Y1064="equivocal")),"a",IF(OR(Y1064="positive",Y1064="equivocal"),"b",IF(OR(W1064="positive",W1064="equivocal"),"c","d"))))</x:f>
        <x:v>d</x:v>
      </x:c>
      <x:c r="AF1064" s="12" t="str">
        <x:f>IF(OR(W1064="unavailable",Y1064="unavailable"),"不可评价",IF(AND(W1064="positive",Y1064="positive"),"a",IF(Y1064="positive","b",IF(W1064="positive","c","d"))))</x:f>
        <x:v>d</x:v>
      </x:c>
    </x:row>
    <x:row r="1065" ht="24" customHeight="1">
      <x:c r="A1065" s="12" t="str">
        <x:v>9416</x:v>
      </x:c>
      <x:c r="B1065" s="12" t="str">
        <x:v>14826</x:v>
      </x:c>
      <x:c r="C1065" s="21" t="n">
        <x:v>33938.33741898148</x:v>
      </x:c>
      <x:c r="D1065" s="12" t="n">
        <x:v>82</x:v>
      </x:c>
      <x:c r="E1065" s="12" t="n">
        <x:v>1</x:v>
      </x:c>
      <x:c r="F1065" s="12" t="str">
        <x:v>未记录</x:v>
      </x:c>
      <x:c r="G1065" s="12" t="n">
        <x:v>1</x:v>
      </x:c>
      <x:c r="H1065" s="12" t="str">
        <x:v>{'ILMI': 15.0, '1AVB': 100.0, 'SR': 0.0}</x:v>
      </x:c>
      <x:c r="I1065" s="12" t="str">
        <x:v>[('SRTH', 100.0), ('FAV', 100.0), ('NT', 100.0), ('LNGQT', 100.0), ('AB', 100.0)]</x:v>
      </x:c>
      <x:c r="J1065" s="12" t="str">
        <x:v>ptbxl_database.csv；ecg_id=9416；scp_codes</x:v>
      </x:c>
      <x:c r="K1065" s="12" t="str">
        <x:v>12sl_statements.csv；ecg_id=9416；statements_ext_snomed</x:v>
      </x:c>
      <x:c r="L1065" s="12"/>
      <x:c r="M1065" s="12" t="str">
        <x:v>negative</x:v>
      </x:c>
      <x:c r="N1065" s="12"/>
      <x:c r="O1065" s="12" t="str">
        <x:v>negative</x:v>
      </x:c>
      <x:c r="P1065" s="12" t="str">
        <x:f>IF(OR(M1065="unavailable",O1065="unavailable"),"不可评价",IF(OR(M1065="equivocal",O1065="equivocal"),"疑似",IF(AND(M1065="positive",O1065="positive"),"a",IF(O1065="positive","b",IF(M1065="positive","c","d")))))</x:f>
        <x:v>d</x:v>
      </x:c>
      <x:c r="Q1065" s="12"/>
      <x:c r="R1065" s="12" t="str">
        <x:v>negative</x:v>
      </x:c>
      <x:c r="S1065" s="12"/>
      <x:c r="T1065" s="12" t="str">
        <x:v>negative</x:v>
      </x:c>
      <x:c r="U1065" s="12" t="str">
        <x:f>IF(OR(R1065="unavailable",T1065="unavailable"),"不可评价",IF(OR(R1065="equivocal",T1065="equivocal"),"疑似",IF(AND(R1065="positive",T1065="positive"),"a",IF(T1065="positive","b",IF(R1065="positive","c","d")))))</x:f>
        <x:v>d</x:v>
      </x:c>
      <x:c r="V1065" s="12"/>
      <x:c r="W1065" s="12" t="str">
        <x:v>negative</x:v>
      </x:c>
      <x:c r="X1065" s="12"/>
      <x:c r="Y1065" s="12" t="str">
        <x:v>negative</x:v>
      </x:c>
      <x:c r="Z1065" s="12" t="str">
        <x:f>IF(OR(W1065="unavailable",Y1065="unavailable"),"不可评价",IF(OR(W1065="equivocal",Y1065="equivocal"),"疑似",IF(AND(W1065="positive",Y1065="positive"),"a",IF(Y1065="positive","b",IF(W1065="positive","c","d")))))</x:f>
        <x:v>d</x:v>
      </x:c>
      <x:c r="AA1065" s="12" t="str">
        <x:f>IF(OR(M1065="unavailable",O1065="unavailable"),"不可评价",IF(AND(OR(M1065="positive",M1065="equivocal"),OR(O1065="positive",O1065="equivocal")),"a",IF(OR(O1065="positive",O1065="equivocal"),"b",IF(OR(M1065="positive",M1065="equivocal"),"c","d"))))</x:f>
        <x:v>d</x:v>
      </x:c>
      <x:c r="AB1065" s="12" t="str">
        <x:f>IF(OR(M1065="unavailable",O1065="unavailable"),"不可评价",IF(AND(M1065="positive",O1065="positive"),"a",IF(O1065="positive","b",IF(M1065="positive","c","d"))))</x:f>
        <x:v>d</x:v>
      </x:c>
      <x:c r="AC1065" s="12" t="str">
        <x:f>IF(OR(R1065="unavailable",T1065="unavailable"),"不可评价",IF(AND(OR(R1065="positive",R1065="equivocal"),OR(T1065="positive",T1065="equivocal")),"a",IF(OR(T1065="positive",T1065="equivocal"),"b",IF(OR(R1065="positive",R1065="equivocal"),"c","d"))))</x:f>
        <x:v>d</x:v>
      </x:c>
      <x:c r="AD1065" s="12" t="str">
        <x:f>IF(OR(R1065="unavailable",T1065="unavailable"),"不可评价",IF(AND(R1065="positive",T1065="positive"),"a",IF(T1065="positive","b",IF(R1065="positive","c","d"))))</x:f>
        <x:v>d</x:v>
      </x:c>
      <x:c r="AE1065" s="12" t="str">
        <x:f>IF(OR(W1065="unavailable",Y1065="unavailable"),"不可评价",IF(AND(OR(W1065="positive",W1065="equivocal"),OR(Y1065="positive",Y1065="equivocal")),"a",IF(OR(Y1065="positive",Y1065="equivocal"),"b",IF(OR(W1065="positive",W1065="equivocal"),"c","d"))))</x:f>
        <x:v>d</x:v>
      </x:c>
      <x:c r="AF1065" s="12" t="str">
        <x:f>IF(OR(W1065="unavailable",Y1065="unavailable"),"不可评价",IF(AND(W1065="positive",Y1065="positive"),"a",IF(Y1065="positive","b",IF(W1065="positive","c","d"))))</x:f>
        <x:v>d</x:v>
      </x:c>
    </x:row>
    <x:row r="1066" ht="24" customHeight="1">
      <x:c r="A1066" s="12" t="str">
        <x:v>9422</x:v>
      </x:c>
      <x:c r="B1066" s="12" t="str">
        <x:v>9986</x:v>
      </x:c>
      <x:c r="C1066" s="21" t="n">
        <x:v>33939.46597222222</x:v>
      </x:c>
      <x:c r="D1066" s="12" t="n">
        <x:v>68</x:v>
      </x:c>
      <x:c r="E1066" s="12" t="n">
        <x:v>0</x:v>
      </x:c>
      <x:c r="F1066" s="12" t="str">
        <x:v>存在</x:v>
      </x:c>
      <x:c r="G1066" s="12" t="n">
        <x:v>1</x:v>
      </x:c>
      <x:c r="H1066" s="12" t="str">
        <x:v>{'IMI': 15.0, 'SR': 0.0}</x:v>
      </x:c>
      <x:c r="I1066" s="12" t="str">
        <x:v>[('SBRAD', 100.0), ('NST', 100.0), ('AB', 100.0)]</x:v>
      </x:c>
      <x:c r="J1066" s="12" t="str">
        <x:v>ptbxl_database.csv；ecg_id=9422；scp_codes</x:v>
      </x:c>
      <x:c r="K1066" s="12" t="str">
        <x:v>12sl_statements.csv；ecg_id=9422；statements_ext_snomed</x:v>
      </x:c>
      <x:c r="L1066" s="12"/>
      <x:c r="M1066" s="12" t="str">
        <x:v>negative</x:v>
      </x:c>
      <x:c r="N1066" s="12"/>
      <x:c r="O1066" s="12" t="str">
        <x:v>negative</x:v>
      </x:c>
      <x:c r="P1066" s="12" t="str">
        <x:f>IF(OR(M1066="unavailable",O1066="unavailable"),"不可评价",IF(OR(M1066="equivocal",O1066="equivocal"),"疑似",IF(AND(M1066="positive",O1066="positive"),"a",IF(O1066="positive","b",IF(M1066="positive","c","d")))))</x:f>
        <x:v>d</x:v>
      </x:c>
      <x:c r="Q1066" s="12"/>
      <x:c r="R1066" s="12" t="str">
        <x:v>negative</x:v>
      </x:c>
      <x:c r="S1066" s="12"/>
      <x:c r="T1066" s="12" t="str">
        <x:v>negative</x:v>
      </x:c>
      <x:c r="U1066" s="12" t="str">
        <x:f>IF(OR(R1066="unavailable",T1066="unavailable"),"不可评价",IF(OR(R1066="equivocal",T1066="equivocal"),"疑似",IF(AND(R1066="positive",T1066="positive"),"a",IF(T1066="positive","b",IF(R1066="positive","c","d")))))</x:f>
        <x:v>d</x:v>
      </x:c>
      <x:c r="V1066" s="12"/>
      <x:c r="W1066" s="12" t="str">
        <x:v>negative</x:v>
      </x:c>
      <x:c r="X1066" s="12"/>
      <x:c r="Y1066" s="12" t="str">
        <x:v>negative</x:v>
      </x:c>
      <x:c r="Z1066" s="12" t="str">
        <x:f>IF(OR(W1066="unavailable",Y1066="unavailable"),"不可评价",IF(OR(W1066="equivocal",Y1066="equivocal"),"疑似",IF(AND(W1066="positive",Y1066="positive"),"a",IF(Y1066="positive","b",IF(W1066="positive","c","d")))))</x:f>
        <x:v>d</x:v>
      </x:c>
      <x:c r="AA1066" s="12" t="str">
        <x:f>IF(OR(M1066="unavailable",O1066="unavailable"),"不可评价",IF(AND(OR(M1066="positive",M1066="equivocal"),OR(O1066="positive",O1066="equivocal")),"a",IF(OR(O1066="positive",O1066="equivocal"),"b",IF(OR(M1066="positive",M1066="equivocal"),"c","d"))))</x:f>
        <x:v>d</x:v>
      </x:c>
      <x:c r="AB1066" s="12" t="str">
        <x:f>IF(OR(M1066="unavailable",O1066="unavailable"),"不可评价",IF(AND(M1066="positive",O1066="positive"),"a",IF(O1066="positive","b",IF(M1066="positive","c","d"))))</x:f>
        <x:v>d</x:v>
      </x:c>
      <x:c r="AC1066" s="12" t="str">
        <x:f>IF(OR(R1066="unavailable",T1066="unavailable"),"不可评价",IF(AND(OR(R1066="positive",R1066="equivocal"),OR(T1066="positive",T1066="equivocal")),"a",IF(OR(T1066="positive",T1066="equivocal"),"b",IF(OR(R1066="positive",R1066="equivocal"),"c","d"))))</x:f>
        <x:v>d</x:v>
      </x:c>
      <x:c r="AD1066" s="12" t="str">
        <x:f>IF(OR(R1066="unavailable",T1066="unavailable"),"不可评价",IF(AND(R1066="positive",T1066="positive"),"a",IF(T1066="positive","b",IF(R1066="positive","c","d"))))</x:f>
        <x:v>d</x:v>
      </x:c>
      <x:c r="AE1066" s="12" t="str">
        <x:f>IF(OR(W1066="unavailable",Y1066="unavailable"),"不可评价",IF(AND(OR(W1066="positive",W1066="equivocal"),OR(Y1066="positive",Y1066="equivocal")),"a",IF(OR(Y1066="positive",Y1066="equivocal"),"b",IF(OR(W1066="positive",W1066="equivocal"),"c","d"))))</x:f>
        <x:v>d</x:v>
      </x:c>
      <x:c r="AF1066" s="12" t="str">
        <x:f>IF(OR(W1066="unavailable",Y1066="unavailable"),"不可评价",IF(AND(W1066="positive",Y1066="positive"),"a",IF(Y1066="positive","b",IF(W1066="positive","c","d"))))</x:f>
        <x:v>d</x:v>
      </x:c>
    </x:row>
    <x:row r="1067" ht="24" customHeight="1">
      <x:c r="A1067" s="12" t="str">
        <x:v>9449</x:v>
      </x:c>
      <x:c r="B1067" s="12" t="str">
        <x:v>14581</x:v>
      </x:c>
      <x:c r="C1067" s="21" t="n">
        <x:v>33943.64543981481</x:v>
      </x:c>
      <x:c r="D1067" s="12" t="n">
        <x:v>39</x:v>
      </x:c>
      <x:c r="E1067" s="12" t="n">
        <x:v>1</x:v>
      </x:c>
      <x:c r="F1067" s="12" t="str">
        <x:v>未记录</x:v>
      </x:c>
      <x:c r="G1067" s="12" t="n">
        <x:v>1</x:v>
      </x:c>
      <x:c r="H1067" s="12" t="str">
        <x:v>{'NORM': 100.0, 'SR': 0.0}</x:v>
      </x:c>
      <x:c r="I1067" s="12" t="str">
        <x:v>[('NSR', 100.0), ('NML', 100.0)]</x:v>
      </x:c>
      <x:c r="J1067" s="12" t="str">
        <x:v>ptbxl_database.csv；ecg_id=9449；scp_codes</x:v>
      </x:c>
      <x:c r="K1067" s="12" t="str">
        <x:v>12sl_statements.csv；ecg_id=9449；statements_ext_snomed</x:v>
      </x:c>
      <x:c r="L1067" s="12"/>
      <x:c r="M1067" s="12" t="str">
        <x:v>negative</x:v>
      </x:c>
      <x:c r="N1067" s="12"/>
      <x:c r="O1067" s="12" t="str">
        <x:v>negative</x:v>
      </x:c>
      <x:c r="P1067" s="12" t="str">
        <x:f>IF(OR(M1067="unavailable",O1067="unavailable"),"不可评价",IF(OR(M1067="equivocal",O1067="equivocal"),"疑似",IF(AND(M1067="positive",O1067="positive"),"a",IF(O1067="positive","b",IF(M1067="positive","c","d")))))</x:f>
        <x:v>d</x:v>
      </x:c>
      <x:c r="Q1067" s="12"/>
      <x:c r="R1067" s="12" t="str">
        <x:v>negative</x:v>
      </x:c>
      <x:c r="S1067" s="12"/>
      <x:c r="T1067" s="12" t="str">
        <x:v>negative</x:v>
      </x:c>
      <x:c r="U1067" s="12" t="str">
        <x:f>IF(OR(R1067="unavailable",T1067="unavailable"),"不可评价",IF(OR(R1067="equivocal",T1067="equivocal"),"疑似",IF(AND(R1067="positive",T1067="positive"),"a",IF(T1067="positive","b",IF(R1067="positive","c","d")))))</x:f>
        <x:v>d</x:v>
      </x:c>
      <x:c r="V1067" s="12"/>
      <x:c r="W1067" s="12" t="str">
        <x:v>negative</x:v>
      </x:c>
      <x:c r="X1067" s="12"/>
      <x:c r="Y1067" s="12" t="str">
        <x:v>negative</x:v>
      </x:c>
      <x:c r="Z1067" s="12" t="str">
        <x:f>IF(OR(W1067="unavailable",Y1067="unavailable"),"不可评价",IF(OR(W1067="equivocal",Y1067="equivocal"),"疑似",IF(AND(W1067="positive",Y1067="positive"),"a",IF(Y1067="positive","b",IF(W1067="positive","c","d")))))</x:f>
        <x:v>d</x:v>
      </x:c>
      <x:c r="AA1067" s="12" t="str">
        <x:f>IF(OR(M1067="unavailable",O1067="unavailable"),"不可评价",IF(AND(OR(M1067="positive",M1067="equivocal"),OR(O1067="positive",O1067="equivocal")),"a",IF(OR(O1067="positive",O1067="equivocal"),"b",IF(OR(M1067="positive",M1067="equivocal"),"c","d"))))</x:f>
        <x:v>d</x:v>
      </x:c>
      <x:c r="AB1067" s="12" t="str">
        <x:f>IF(OR(M1067="unavailable",O1067="unavailable"),"不可评价",IF(AND(M1067="positive",O1067="positive"),"a",IF(O1067="positive","b",IF(M1067="positive","c","d"))))</x:f>
        <x:v>d</x:v>
      </x:c>
      <x:c r="AC1067" s="12" t="str">
        <x:f>IF(OR(R1067="unavailable",T1067="unavailable"),"不可评价",IF(AND(OR(R1067="positive",R1067="equivocal"),OR(T1067="positive",T1067="equivocal")),"a",IF(OR(T1067="positive",T1067="equivocal"),"b",IF(OR(R1067="positive",R1067="equivocal"),"c","d"))))</x:f>
        <x:v>d</x:v>
      </x:c>
      <x:c r="AD1067" s="12" t="str">
        <x:f>IF(OR(R1067="unavailable",T1067="unavailable"),"不可评价",IF(AND(R1067="positive",T1067="positive"),"a",IF(T1067="positive","b",IF(R1067="positive","c","d"))))</x:f>
        <x:v>d</x:v>
      </x:c>
      <x:c r="AE1067" s="12" t="str">
        <x:f>IF(OR(W1067="unavailable",Y1067="unavailable"),"不可评价",IF(AND(OR(W1067="positive",W1067="equivocal"),OR(Y1067="positive",Y1067="equivocal")),"a",IF(OR(Y1067="positive",Y1067="equivocal"),"b",IF(OR(W1067="positive",W1067="equivocal"),"c","d"))))</x:f>
        <x:v>d</x:v>
      </x:c>
      <x:c r="AF1067" s="12" t="str">
        <x:f>IF(OR(W1067="unavailable",Y1067="unavailable"),"不可评价",IF(AND(W1067="positive",Y1067="positive"),"a",IF(Y1067="positive","b",IF(W1067="positive","c","d"))))</x:f>
        <x:v>d</x:v>
      </x:c>
    </x:row>
    <x:row r="1068" ht="24" customHeight="1">
      <x:c r="A1068" s="12" t="str">
        <x:v>9453</x:v>
      </x:c>
      <x:c r="B1068" s="12" t="str">
        <x:v>11137</x:v>
      </x:c>
      <x:c r="C1068" s="21" t="n">
        <x:v>33944.48384259259</x:v>
      </x:c>
      <x:c r="D1068" s="12" t="n">
        <x:v>43</x:v>
      </x:c>
      <x:c r="E1068" s="12" t="n">
        <x:v>0</x:v>
      </x:c>
      <x:c r="F1068" s="12" t="str">
        <x:v>存在</x:v>
      </x:c>
      <x:c r="G1068" s="12" t="n">
        <x:v>1</x:v>
      </x:c>
      <x:c r="H1068" s="12" t="str">
        <x:v>{'IMI': 15.0, 'ABQRS': 0.0, 'SR': 0.0}</x:v>
      </x:c>
      <x:c r="I1068" s="12" t="str">
        <x:v>[('NSR', 100.0), ('NST', 100.0), ('AB', 100.0)]</x:v>
      </x:c>
      <x:c r="J1068" s="12" t="str">
        <x:v>ptbxl_database.csv；ecg_id=9453；scp_codes</x:v>
      </x:c>
      <x:c r="K1068" s="12" t="str">
        <x:v>12sl_statements.csv；ecg_id=9453；statements_ext_snomed</x:v>
      </x:c>
      <x:c r="L1068" s="12"/>
      <x:c r="M1068" s="12" t="str">
        <x:v>negative</x:v>
      </x:c>
      <x:c r="N1068" s="12"/>
      <x:c r="O1068" s="12" t="str">
        <x:v>negative</x:v>
      </x:c>
      <x:c r="P1068" s="12" t="str">
        <x:f>IF(OR(M1068="unavailable",O1068="unavailable"),"不可评价",IF(OR(M1068="equivocal",O1068="equivocal"),"疑似",IF(AND(M1068="positive",O1068="positive"),"a",IF(O1068="positive","b",IF(M1068="positive","c","d")))))</x:f>
        <x:v>d</x:v>
      </x:c>
      <x:c r="Q1068" s="12"/>
      <x:c r="R1068" s="12" t="str">
        <x:v>negative</x:v>
      </x:c>
      <x:c r="S1068" s="12"/>
      <x:c r="T1068" s="12" t="str">
        <x:v>negative</x:v>
      </x:c>
      <x:c r="U1068" s="12" t="str">
        <x:f>IF(OR(R1068="unavailable",T1068="unavailable"),"不可评价",IF(OR(R1068="equivocal",T1068="equivocal"),"疑似",IF(AND(R1068="positive",T1068="positive"),"a",IF(T1068="positive","b",IF(R1068="positive","c","d")))))</x:f>
        <x:v>d</x:v>
      </x:c>
      <x:c r="V1068" s="12"/>
      <x:c r="W1068" s="12" t="str">
        <x:v>negative</x:v>
      </x:c>
      <x:c r="X1068" s="12"/>
      <x:c r="Y1068" s="12" t="str">
        <x:v>negative</x:v>
      </x:c>
      <x:c r="Z1068" s="12" t="str">
        <x:f>IF(OR(W1068="unavailable",Y1068="unavailable"),"不可评价",IF(OR(W1068="equivocal",Y1068="equivocal"),"疑似",IF(AND(W1068="positive",Y1068="positive"),"a",IF(Y1068="positive","b",IF(W1068="positive","c","d")))))</x:f>
        <x:v>d</x:v>
      </x:c>
      <x:c r="AA1068" s="12" t="str">
        <x:f>IF(OR(M1068="unavailable",O1068="unavailable"),"不可评价",IF(AND(OR(M1068="positive",M1068="equivocal"),OR(O1068="positive",O1068="equivocal")),"a",IF(OR(O1068="positive",O1068="equivocal"),"b",IF(OR(M1068="positive",M1068="equivocal"),"c","d"))))</x:f>
        <x:v>d</x:v>
      </x:c>
      <x:c r="AB1068" s="12" t="str">
        <x:f>IF(OR(M1068="unavailable",O1068="unavailable"),"不可评价",IF(AND(M1068="positive",O1068="positive"),"a",IF(O1068="positive","b",IF(M1068="positive","c","d"))))</x:f>
        <x:v>d</x:v>
      </x:c>
      <x:c r="AC1068" s="12" t="str">
        <x:f>IF(OR(R1068="unavailable",T1068="unavailable"),"不可评价",IF(AND(OR(R1068="positive",R1068="equivocal"),OR(T1068="positive",T1068="equivocal")),"a",IF(OR(T1068="positive",T1068="equivocal"),"b",IF(OR(R1068="positive",R1068="equivocal"),"c","d"))))</x:f>
        <x:v>d</x:v>
      </x:c>
      <x:c r="AD1068" s="12" t="str">
        <x:f>IF(OR(R1068="unavailable",T1068="unavailable"),"不可评价",IF(AND(R1068="positive",T1068="positive"),"a",IF(T1068="positive","b",IF(R1068="positive","c","d"))))</x:f>
        <x:v>d</x:v>
      </x:c>
      <x:c r="AE1068" s="12" t="str">
        <x:f>IF(OR(W1068="unavailable",Y1068="unavailable"),"不可评价",IF(AND(OR(W1068="positive",W1068="equivocal"),OR(Y1068="positive",Y1068="equivocal")),"a",IF(OR(Y1068="positive",Y1068="equivocal"),"b",IF(OR(W1068="positive",W1068="equivocal"),"c","d"))))</x:f>
        <x:v>d</x:v>
      </x:c>
      <x:c r="AF1068" s="12" t="str">
        <x:f>IF(OR(W1068="unavailable",Y1068="unavailable"),"不可评价",IF(AND(W1068="positive",Y1068="positive"),"a",IF(Y1068="positive","b",IF(W1068="positive","c","d"))))</x:f>
        <x:v>d</x:v>
      </x:c>
    </x:row>
    <x:row r="1069" ht="24" customHeight="1">
      <x:c r="A1069" s="12" t="str">
        <x:v>9458</x:v>
      </x:c>
      <x:c r="B1069" s="12" t="str">
        <x:v>9963</x:v>
      </x:c>
      <x:c r="C1069" s="21" t="n">
        <x:v>33945.406273148146</x:v>
      </x:c>
      <x:c r="D1069" s="12" t="n">
        <x:v>57</x:v>
      </x:c>
      <x:c r="E1069" s="12" t="n">
        <x:v>0</x:v>
      </x:c>
      <x:c r="F1069" s="12" t="str">
        <x:v>未记录</x:v>
      </x:c>
      <x:c r="G1069" s="12" t="n">
        <x:v>1</x:v>
      </x:c>
      <x:c r="H1069" s="12" t="str">
        <x:v>{'IRBBB': 100.0, 'PAC': 100.0, 'SR': 0.0}</x:v>
      </x:c>
      <x:c r="I1069" s="12" t="str">
        <x:v>[('SRTH', 100.0), ('PAC', 100.0), ('NT', 100.0), ('AB', 100.0)]</x:v>
      </x:c>
      <x:c r="J1069" s="12" t="str">
        <x:v>ptbxl_database.csv；ecg_id=9458；scp_codes</x:v>
      </x:c>
      <x:c r="K1069" s="12" t="str">
        <x:v>12sl_statements.csv；ecg_id=9458；statements_ext_snomed</x:v>
      </x:c>
      <x:c r="L1069" s="12"/>
      <x:c r="M1069" s="12" t="str">
        <x:v>negative</x:v>
      </x:c>
      <x:c r="N1069" s="12"/>
      <x:c r="O1069" s="12" t="str">
        <x:v>negative</x:v>
      </x:c>
      <x:c r="P1069" s="12" t="str">
        <x:f>IF(OR(M1069="unavailable",O1069="unavailable"),"不可评价",IF(OR(M1069="equivocal",O1069="equivocal"),"疑似",IF(AND(M1069="positive",O1069="positive"),"a",IF(O1069="positive","b",IF(M1069="positive","c","d")))))</x:f>
        <x:v>d</x:v>
      </x:c>
      <x:c r="Q1069" s="12"/>
      <x:c r="R1069" s="12" t="str">
        <x:v>negative</x:v>
      </x:c>
      <x:c r="S1069" s="12"/>
      <x:c r="T1069" s="12" t="str">
        <x:v>negative</x:v>
      </x:c>
      <x:c r="U1069" s="12" t="str">
        <x:f>IF(OR(R1069="unavailable",T1069="unavailable"),"不可评价",IF(OR(R1069="equivocal",T1069="equivocal"),"疑似",IF(AND(R1069="positive",T1069="positive"),"a",IF(T1069="positive","b",IF(R1069="positive","c","d")))))</x:f>
        <x:v>d</x:v>
      </x:c>
      <x:c r="V1069" s="12"/>
      <x:c r="W1069" s="12" t="str">
        <x:v>negative</x:v>
      </x:c>
      <x:c r="X1069" s="12"/>
      <x:c r="Y1069" s="12" t="str">
        <x:v>negative</x:v>
      </x:c>
      <x:c r="Z1069" s="12" t="str">
        <x:f>IF(OR(W1069="unavailable",Y1069="unavailable"),"不可评价",IF(OR(W1069="equivocal",Y1069="equivocal"),"疑似",IF(AND(W1069="positive",Y1069="positive"),"a",IF(Y1069="positive","b",IF(W1069="positive","c","d")))))</x:f>
        <x:v>d</x:v>
      </x:c>
      <x:c r="AA1069" s="12" t="str">
        <x:f>IF(OR(M1069="unavailable",O1069="unavailable"),"不可评价",IF(AND(OR(M1069="positive",M1069="equivocal"),OR(O1069="positive",O1069="equivocal")),"a",IF(OR(O1069="positive",O1069="equivocal"),"b",IF(OR(M1069="positive",M1069="equivocal"),"c","d"))))</x:f>
        <x:v>d</x:v>
      </x:c>
      <x:c r="AB1069" s="12" t="str">
        <x:f>IF(OR(M1069="unavailable",O1069="unavailable"),"不可评价",IF(AND(M1069="positive",O1069="positive"),"a",IF(O1069="positive","b",IF(M1069="positive","c","d"))))</x:f>
        <x:v>d</x:v>
      </x:c>
      <x:c r="AC1069" s="12" t="str">
        <x:f>IF(OR(R1069="unavailable",T1069="unavailable"),"不可评价",IF(AND(OR(R1069="positive",R1069="equivocal"),OR(T1069="positive",T1069="equivocal")),"a",IF(OR(T1069="positive",T1069="equivocal"),"b",IF(OR(R1069="positive",R1069="equivocal"),"c","d"))))</x:f>
        <x:v>d</x:v>
      </x:c>
      <x:c r="AD1069" s="12" t="str">
        <x:f>IF(OR(R1069="unavailable",T1069="unavailable"),"不可评价",IF(AND(R1069="positive",T1069="positive"),"a",IF(T1069="positive","b",IF(R1069="positive","c","d"))))</x:f>
        <x:v>d</x:v>
      </x:c>
      <x:c r="AE1069" s="12" t="str">
        <x:f>IF(OR(W1069="unavailable",Y1069="unavailable"),"不可评价",IF(AND(OR(W1069="positive",W1069="equivocal"),OR(Y1069="positive",Y1069="equivocal")),"a",IF(OR(Y1069="positive",Y1069="equivocal"),"b",IF(OR(W1069="positive",W1069="equivocal"),"c","d"))))</x:f>
        <x:v>d</x:v>
      </x:c>
      <x:c r="AF1069" s="12" t="str">
        <x:f>IF(OR(W1069="unavailable",Y1069="unavailable"),"不可评价",IF(AND(W1069="positive",Y1069="positive"),"a",IF(Y1069="positive","b",IF(W1069="positive","c","d"))))</x:f>
        <x:v>d</x:v>
      </x:c>
    </x:row>
    <x:row r="1070" ht="24" customHeight="1">
      <x:c r="A1070" s="12" t="str">
        <x:v>9461</x:v>
      </x:c>
      <x:c r="B1070" s="12" t="str">
        <x:v>13216</x:v>
      </x:c>
      <x:c r="C1070" s="21" t="n">
        <x:v>33946.44726851852</x:v>
      </x:c>
      <x:c r="D1070" s="12" t="n">
        <x:v>62</x:v>
      </x:c>
      <x:c r="E1070" s="12" t="n">
        <x:v>1</x:v>
      </x:c>
      <x:c r="F1070" s="12" t="str">
        <x:v>存在</x:v>
      </x:c>
      <x:c r="G1070" s="12" t="n">
        <x:v>1</x:v>
      </x:c>
      <x:c r="H1070" s="12" t="str">
        <x:v>{'NORM': 100.0, 'SR': 0.0}</x:v>
      </x:c>
      <x:c r="I1070" s="12" t="str">
        <x:v>[('NSR', 100.0), ('NML', 100.0)]</x:v>
      </x:c>
      <x:c r="J1070" s="12" t="str">
        <x:v>ptbxl_database.csv；ecg_id=9461；scp_codes</x:v>
      </x:c>
      <x:c r="K1070" s="12" t="str">
        <x:v>12sl_statements.csv；ecg_id=9461；statements_ext_snomed</x:v>
      </x:c>
      <x:c r="L1070" s="12"/>
      <x:c r="M1070" s="12" t="str">
        <x:v>negative</x:v>
      </x:c>
      <x:c r="N1070" s="12"/>
      <x:c r="O1070" s="12" t="str">
        <x:v>negative</x:v>
      </x:c>
      <x:c r="P1070" s="12" t="str">
        <x:f>IF(OR(M1070="unavailable",O1070="unavailable"),"不可评价",IF(OR(M1070="equivocal",O1070="equivocal"),"疑似",IF(AND(M1070="positive",O1070="positive"),"a",IF(O1070="positive","b",IF(M1070="positive","c","d")))))</x:f>
        <x:v>d</x:v>
      </x:c>
      <x:c r="Q1070" s="12"/>
      <x:c r="R1070" s="12" t="str">
        <x:v>negative</x:v>
      </x:c>
      <x:c r="S1070" s="12"/>
      <x:c r="T1070" s="12" t="str">
        <x:v>negative</x:v>
      </x:c>
      <x:c r="U1070" s="12" t="str">
        <x:f>IF(OR(R1070="unavailable",T1070="unavailable"),"不可评价",IF(OR(R1070="equivocal",T1070="equivocal"),"疑似",IF(AND(R1070="positive",T1070="positive"),"a",IF(T1070="positive","b",IF(R1070="positive","c","d")))))</x:f>
        <x:v>d</x:v>
      </x:c>
      <x:c r="V1070" s="12"/>
      <x:c r="W1070" s="12" t="str">
        <x:v>negative</x:v>
      </x:c>
      <x:c r="X1070" s="12"/>
      <x:c r="Y1070" s="12" t="str">
        <x:v>negative</x:v>
      </x:c>
      <x:c r="Z1070" s="12" t="str">
        <x:f>IF(OR(W1070="unavailable",Y1070="unavailable"),"不可评价",IF(OR(W1070="equivocal",Y1070="equivocal"),"疑似",IF(AND(W1070="positive",Y1070="positive"),"a",IF(Y1070="positive","b",IF(W1070="positive","c","d")))))</x:f>
        <x:v>d</x:v>
      </x:c>
      <x:c r="AA1070" s="12" t="str">
        <x:f>IF(OR(M1070="unavailable",O1070="unavailable"),"不可评价",IF(AND(OR(M1070="positive",M1070="equivocal"),OR(O1070="positive",O1070="equivocal")),"a",IF(OR(O1070="positive",O1070="equivocal"),"b",IF(OR(M1070="positive",M1070="equivocal"),"c","d"))))</x:f>
        <x:v>d</x:v>
      </x:c>
      <x:c r="AB1070" s="12" t="str">
        <x:f>IF(OR(M1070="unavailable",O1070="unavailable"),"不可评价",IF(AND(M1070="positive",O1070="positive"),"a",IF(O1070="positive","b",IF(M1070="positive","c","d"))))</x:f>
        <x:v>d</x:v>
      </x:c>
      <x:c r="AC1070" s="12" t="str">
        <x:f>IF(OR(R1070="unavailable",T1070="unavailable"),"不可评价",IF(AND(OR(R1070="positive",R1070="equivocal"),OR(T1070="positive",T1070="equivocal")),"a",IF(OR(T1070="positive",T1070="equivocal"),"b",IF(OR(R1070="positive",R1070="equivocal"),"c","d"))))</x:f>
        <x:v>d</x:v>
      </x:c>
      <x:c r="AD1070" s="12" t="str">
        <x:f>IF(OR(R1070="unavailable",T1070="unavailable"),"不可评价",IF(AND(R1070="positive",T1070="positive"),"a",IF(T1070="positive","b",IF(R1070="positive","c","d"))))</x:f>
        <x:v>d</x:v>
      </x:c>
      <x:c r="AE1070" s="12" t="str">
        <x:f>IF(OR(W1070="unavailable",Y1070="unavailable"),"不可评价",IF(AND(OR(W1070="positive",W1070="equivocal"),OR(Y1070="positive",Y1070="equivocal")),"a",IF(OR(Y1070="positive",Y1070="equivocal"),"b",IF(OR(W1070="positive",W1070="equivocal"),"c","d"))))</x:f>
        <x:v>d</x:v>
      </x:c>
      <x:c r="AF1070" s="12" t="str">
        <x:f>IF(OR(W1070="unavailable",Y1070="unavailable"),"不可评价",IF(AND(W1070="positive",Y1070="positive"),"a",IF(Y1070="positive","b",IF(W1070="positive","c","d"))))</x:f>
        <x:v>d</x:v>
      </x:c>
    </x:row>
    <x:row r="1071" ht="24" customHeight="1">
      <x:c r="A1071" s="12" t="str">
        <x:v>9475</x:v>
      </x:c>
      <x:c r="B1071" s="12" t="str">
        <x:v>20915</x:v>
      </x:c>
      <x:c r="C1071" s="21" t="n">
        <x:v>33949.630381944444</x:v>
      </x:c>
      <x:c r="D1071" s="12" t="n">
        <x:v>53</x:v>
      </x:c>
      <x:c r="E1071" s="12" t="n">
        <x:v>0</x:v>
      </x:c>
      <x:c r="F1071" s="12" t="str">
        <x:v>未记录</x:v>
      </x:c>
      <x:c r="G1071" s="12" t="n">
        <x:v>1</x:v>
      </x:c>
      <x:c r="H1071" s="12" t="str">
        <x:v>{'NORM': 100.0, 'SR': 0.0}</x:v>
      </x:c>
      <x:c r="I1071" s="12" t="str">
        <x:v>[('SBRAD', 100.0), ('SAR', 100.0), ('ABR', 100.0)]</x:v>
      </x:c>
      <x:c r="J1071" s="12" t="str">
        <x:v>ptbxl_database.csv；ecg_id=9475；scp_codes</x:v>
      </x:c>
      <x:c r="K1071" s="12" t="str">
        <x:v>12sl_statements.csv；ecg_id=9475；statements_ext_snomed</x:v>
      </x:c>
      <x:c r="L1071" s="12"/>
      <x:c r="M1071" s="12" t="str">
        <x:v>negative</x:v>
      </x:c>
      <x:c r="N1071" s="12"/>
      <x:c r="O1071" s="12" t="str">
        <x:v>negative</x:v>
      </x:c>
      <x:c r="P1071" s="12" t="str">
        <x:f>IF(OR(M1071="unavailable",O1071="unavailable"),"不可评价",IF(OR(M1071="equivocal",O1071="equivocal"),"疑似",IF(AND(M1071="positive",O1071="positive"),"a",IF(O1071="positive","b",IF(M1071="positive","c","d")))))</x:f>
        <x:v>d</x:v>
      </x:c>
      <x:c r="Q1071" s="12"/>
      <x:c r="R1071" s="12" t="str">
        <x:v>negative</x:v>
      </x:c>
      <x:c r="S1071" s="12"/>
      <x:c r="T1071" s="12" t="str">
        <x:v>negative</x:v>
      </x:c>
      <x:c r="U1071" s="12" t="str">
        <x:f>IF(OR(R1071="unavailable",T1071="unavailable"),"不可评价",IF(OR(R1071="equivocal",T1071="equivocal"),"疑似",IF(AND(R1071="positive",T1071="positive"),"a",IF(T1071="positive","b",IF(R1071="positive","c","d")))))</x:f>
        <x:v>d</x:v>
      </x:c>
      <x:c r="V1071" s="12"/>
      <x:c r="W1071" s="12" t="str">
        <x:v>negative</x:v>
      </x:c>
      <x:c r="X1071" s="12"/>
      <x:c r="Y1071" s="12" t="str">
        <x:v>negative</x:v>
      </x:c>
      <x:c r="Z1071" s="12" t="str">
        <x:f>IF(OR(W1071="unavailable",Y1071="unavailable"),"不可评价",IF(OR(W1071="equivocal",Y1071="equivocal"),"疑似",IF(AND(W1071="positive",Y1071="positive"),"a",IF(Y1071="positive","b",IF(W1071="positive","c","d")))))</x:f>
        <x:v>d</x:v>
      </x:c>
      <x:c r="AA1071" s="12" t="str">
        <x:f>IF(OR(M1071="unavailable",O1071="unavailable"),"不可评价",IF(AND(OR(M1071="positive",M1071="equivocal"),OR(O1071="positive",O1071="equivocal")),"a",IF(OR(O1071="positive",O1071="equivocal"),"b",IF(OR(M1071="positive",M1071="equivocal"),"c","d"))))</x:f>
        <x:v>d</x:v>
      </x:c>
      <x:c r="AB1071" s="12" t="str">
        <x:f>IF(OR(M1071="unavailable",O1071="unavailable"),"不可评价",IF(AND(M1071="positive",O1071="positive"),"a",IF(O1071="positive","b",IF(M1071="positive","c","d"))))</x:f>
        <x:v>d</x:v>
      </x:c>
      <x:c r="AC1071" s="12" t="str">
        <x:f>IF(OR(R1071="unavailable",T1071="unavailable"),"不可评价",IF(AND(OR(R1071="positive",R1071="equivocal"),OR(T1071="positive",T1071="equivocal")),"a",IF(OR(T1071="positive",T1071="equivocal"),"b",IF(OR(R1071="positive",R1071="equivocal"),"c","d"))))</x:f>
        <x:v>d</x:v>
      </x:c>
      <x:c r="AD1071" s="12" t="str">
        <x:f>IF(OR(R1071="unavailable",T1071="unavailable"),"不可评价",IF(AND(R1071="positive",T1071="positive"),"a",IF(T1071="positive","b",IF(R1071="positive","c","d"))))</x:f>
        <x:v>d</x:v>
      </x:c>
      <x:c r="AE1071" s="12" t="str">
        <x:f>IF(OR(W1071="unavailable",Y1071="unavailable"),"不可评价",IF(AND(OR(W1071="positive",W1071="equivocal"),OR(Y1071="positive",Y1071="equivocal")),"a",IF(OR(Y1071="positive",Y1071="equivocal"),"b",IF(OR(W1071="positive",W1071="equivocal"),"c","d"))))</x:f>
        <x:v>d</x:v>
      </x:c>
      <x:c r="AF1071" s="12" t="str">
        <x:f>IF(OR(W1071="unavailable",Y1071="unavailable"),"不可评价",IF(AND(W1071="positive",Y1071="positive"),"a",IF(Y1071="positive","b",IF(W1071="positive","c","d"))))</x:f>
        <x:v>d</x:v>
      </x:c>
    </x:row>
    <x:row r="1072" ht="24" customHeight="1">
      <x:c r="A1072" s="12" t="str">
        <x:v>9543</x:v>
      </x:c>
      <x:c r="B1072" s="12" t="str">
        <x:v>20966</x:v>
      </x:c>
      <x:c r="C1072" s="21" t="n">
        <x:v>33960.3312037037</x:v>
      </x:c>
      <x:c r="D1072" s="12" t="n">
        <x:v>78</x:v>
      </x:c>
      <x:c r="E1072" s="12" t="n">
        <x:v>1</x:v>
      </x:c>
      <x:c r="F1072" s="12" t="str">
        <x:v>未记录</x:v>
      </x:c>
      <x:c r="G1072" s="12" t="n">
        <x:v>1</x:v>
      </x:c>
      <x:c r="H1072" s="12" t="str">
        <x:v>{'ASMI': 100.0, 'ISCAL': 100.0, '1AVB': 100.0, 'SR': 0.0}</x:v>
      </x:c>
      <x:c r="I1072" s="12" t="str">
        <x:v>[('SRTH', 100.0), ('FAV', 100.0), ('ASMI;AU', 100.0), ('LT', 100.0), ('AB', 100.0)]</x:v>
      </x:c>
      <x:c r="J1072" s="12" t="str">
        <x:v>ptbxl_database.csv；ecg_id=9543；scp_codes</x:v>
      </x:c>
      <x:c r="K1072" s="12" t="str">
        <x:v>12sl_statements.csv；ecg_id=9543；statements_ext_snomed</x:v>
      </x:c>
      <x:c r="L1072" s="12"/>
      <x:c r="M1072" s="12" t="str">
        <x:v>negative</x:v>
      </x:c>
      <x:c r="N1072" s="12"/>
      <x:c r="O1072" s="12" t="str">
        <x:v>negative</x:v>
      </x:c>
      <x:c r="P1072" s="12" t="str">
        <x:f>IF(OR(M1072="unavailable",O1072="unavailable"),"不可评价",IF(OR(M1072="equivocal",O1072="equivocal"),"疑似",IF(AND(M1072="positive",O1072="positive"),"a",IF(O1072="positive","b",IF(M1072="positive","c","d")))))</x:f>
        <x:v>d</x:v>
      </x:c>
      <x:c r="Q1072" s="12"/>
      <x:c r="R1072" s="12" t="str">
        <x:v>negative</x:v>
      </x:c>
      <x:c r="S1072" s="12"/>
      <x:c r="T1072" s="12" t="str">
        <x:v>negative</x:v>
      </x:c>
      <x:c r="U1072" s="12" t="str">
        <x:f>IF(OR(R1072="unavailable",T1072="unavailable"),"不可评价",IF(OR(R1072="equivocal",T1072="equivocal"),"疑似",IF(AND(R1072="positive",T1072="positive"),"a",IF(T1072="positive","b",IF(R1072="positive","c","d")))))</x:f>
        <x:v>d</x:v>
      </x:c>
      <x:c r="V1072" s="12"/>
      <x:c r="W1072" s="12" t="str">
        <x:v>negative</x:v>
      </x:c>
      <x:c r="X1072" s="12"/>
      <x:c r="Y1072" s="12" t="str">
        <x:v>negative</x:v>
      </x:c>
      <x:c r="Z1072" s="12" t="str">
        <x:f>IF(OR(W1072="unavailable",Y1072="unavailable"),"不可评价",IF(OR(W1072="equivocal",Y1072="equivocal"),"疑似",IF(AND(W1072="positive",Y1072="positive"),"a",IF(Y1072="positive","b",IF(W1072="positive","c","d")))))</x:f>
        <x:v>d</x:v>
      </x:c>
      <x:c r="AA1072" s="12" t="str">
        <x:f>IF(OR(M1072="unavailable",O1072="unavailable"),"不可评价",IF(AND(OR(M1072="positive",M1072="equivocal"),OR(O1072="positive",O1072="equivocal")),"a",IF(OR(O1072="positive",O1072="equivocal"),"b",IF(OR(M1072="positive",M1072="equivocal"),"c","d"))))</x:f>
        <x:v>d</x:v>
      </x:c>
      <x:c r="AB1072" s="12" t="str">
        <x:f>IF(OR(M1072="unavailable",O1072="unavailable"),"不可评价",IF(AND(M1072="positive",O1072="positive"),"a",IF(O1072="positive","b",IF(M1072="positive","c","d"))))</x:f>
        <x:v>d</x:v>
      </x:c>
      <x:c r="AC1072" s="12" t="str">
        <x:f>IF(OR(R1072="unavailable",T1072="unavailable"),"不可评价",IF(AND(OR(R1072="positive",R1072="equivocal"),OR(T1072="positive",T1072="equivocal")),"a",IF(OR(T1072="positive",T1072="equivocal"),"b",IF(OR(R1072="positive",R1072="equivocal"),"c","d"))))</x:f>
        <x:v>d</x:v>
      </x:c>
      <x:c r="AD1072" s="12" t="str">
        <x:f>IF(OR(R1072="unavailable",T1072="unavailable"),"不可评价",IF(AND(R1072="positive",T1072="positive"),"a",IF(T1072="positive","b",IF(R1072="positive","c","d"))))</x:f>
        <x:v>d</x:v>
      </x:c>
      <x:c r="AE1072" s="12" t="str">
        <x:f>IF(OR(W1072="unavailable",Y1072="unavailable"),"不可评价",IF(AND(OR(W1072="positive",W1072="equivocal"),OR(Y1072="positive",Y1072="equivocal")),"a",IF(OR(Y1072="positive",Y1072="equivocal"),"b",IF(OR(W1072="positive",W1072="equivocal"),"c","d"))))</x:f>
        <x:v>d</x:v>
      </x:c>
      <x:c r="AF1072" s="12" t="str">
        <x:f>IF(OR(W1072="unavailable",Y1072="unavailable"),"不可评价",IF(AND(W1072="positive",Y1072="positive"),"a",IF(Y1072="positive","b",IF(W1072="positive","c","d"))))</x:f>
        <x:v>d</x:v>
      </x:c>
    </x:row>
    <x:row r="1073" ht="24" customHeight="1">
      <x:c r="A1073" s="12" t="str">
        <x:v>9557</x:v>
      </x:c>
      <x:c r="B1073" s="12" t="str">
        <x:v>16196</x:v>
      </x:c>
      <x:c r="C1073" s="21" t="n">
        <x:v>33965.70990740741</x:v>
      </x:c>
      <x:c r="D1073" s="12" t="n">
        <x:v>84</x:v>
      </x:c>
      <x:c r="E1073" s="12" t="n">
        <x:v>0</x:v>
      </x:c>
      <x:c r="F1073" s="12" t="str">
        <x:v>未记录</x:v>
      </x:c>
      <x:c r="G1073" s="12" t="n">
        <x:v>1</x:v>
      </x:c>
      <x:c r="H1073" s="12" t="str">
        <x:v>{'PACE': 100.0}</x:v>
      </x:c>
      <x:c r="I1073" s="12" t="str">
        <x:v>[('VPR', 100.0), ('AB', 100.0)]</x:v>
      </x:c>
      <x:c r="J1073" s="12" t="str">
        <x:v>ptbxl_database.csv；ecg_id=9557；scp_codes</x:v>
      </x:c>
      <x:c r="K1073" s="12" t="str">
        <x:v>12sl_statements.csv；ecg_id=9557；statements_ext_snomed</x:v>
      </x:c>
      <x:c r="L1073" s="12"/>
      <x:c r="M1073" s="12" t="str">
        <x:v>negative</x:v>
      </x:c>
      <x:c r="N1073" s="12"/>
      <x:c r="O1073" s="12" t="str">
        <x:v>negative</x:v>
      </x:c>
      <x:c r="P1073" s="12" t="str">
        <x:f>IF(OR(M1073="unavailable",O1073="unavailable"),"不可评价",IF(OR(M1073="equivocal",O1073="equivocal"),"疑似",IF(AND(M1073="positive",O1073="positive"),"a",IF(O1073="positive","b",IF(M1073="positive","c","d")))))</x:f>
        <x:v>d</x:v>
      </x:c>
      <x:c r="Q1073" s="12"/>
      <x:c r="R1073" s="12" t="str">
        <x:v>negative</x:v>
      </x:c>
      <x:c r="S1073" s="12"/>
      <x:c r="T1073" s="12" t="str">
        <x:v>negative</x:v>
      </x:c>
      <x:c r="U1073" s="12" t="str">
        <x:f>IF(OR(R1073="unavailable",T1073="unavailable"),"不可评价",IF(OR(R1073="equivocal",T1073="equivocal"),"疑似",IF(AND(R1073="positive",T1073="positive"),"a",IF(T1073="positive","b",IF(R1073="positive","c","d")))))</x:f>
        <x:v>d</x:v>
      </x:c>
      <x:c r="V1073" s="12"/>
      <x:c r="W1073" s="12" t="str">
        <x:v>negative</x:v>
      </x:c>
      <x:c r="X1073" s="12"/>
      <x:c r="Y1073" s="12" t="str">
        <x:v>negative</x:v>
      </x:c>
      <x:c r="Z1073" s="12" t="str">
        <x:f>IF(OR(W1073="unavailable",Y1073="unavailable"),"不可评价",IF(OR(W1073="equivocal",Y1073="equivocal"),"疑似",IF(AND(W1073="positive",Y1073="positive"),"a",IF(Y1073="positive","b",IF(W1073="positive","c","d")))))</x:f>
        <x:v>d</x:v>
      </x:c>
      <x:c r="AA1073" s="12" t="str">
        <x:f>IF(OR(M1073="unavailable",O1073="unavailable"),"不可评价",IF(AND(OR(M1073="positive",M1073="equivocal"),OR(O1073="positive",O1073="equivocal")),"a",IF(OR(O1073="positive",O1073="equivocal"),"b",IF(OR(M1073="positive",M1073="equivocal"),"c","d"))))</x:f>
        <x:v>d</x:v>
      </x:c>
      <x:c r="AB1073" s="12" t="str">
        <x:f>IF(OR(M1073="unavailable",O1073="unavailable"),"不可评价",IF(AND(M1073="positive",O1073="positive"),"a",IF(O1073="positive","b",IF(M1073="positive","c","d"))))</x:f>
        <x:v>d</x:v>
      </x:c>
      <x:c r="AC1073" s="12" t="str">
        <x:f>IF(OR(R1073="unavailable",T1073="unavailable"),"不可评价",IF(AND(OR(R1073="positive",R1073="equivocal"),OR(T1073="positive",T1073="equivocal")),"a",IF(OR(T1073="positive",T1073="equivocal"),"b",IF(OR(R1073="positive",R1073="equivocal"),"c","d"))))</x:f>
        <x:v>d</x:v>
      </x:c>
      <x:c r="AD1073" s="12" t="str">
        <x:f>IF(OR(R1073="unavailable",T1073="unavailable"),"不可评价",IF(AND(R1073="positive",T1073="positive"),"a",IF(T1073="positive","b",IF(R1073="positive","c","d"))))</x:f>
        <x:v>d</x:v>
      </x:c>
      <x:c r="AE1073" s="12" t="str">
        <x:f>IF(OR(W1073="unavailable",Y1073="unavailable"),"不可评价",IF(AND(OR(W1073="positive",W1073="equivocal"),OR(Y1073="positive",Y1073="equivocal")),"a",IF(OR(Y1073="positive",Y1073="equivocal"),"b",IF(OR(W1073="positive",W1073="equivocal"),"c","d"))))</x:f>
        <x:v>d</x:v>
      </x:c>
      <x:c r="AF1073" s="12" t="str">
        <x:f>IF(OR(W1073="unavailable",Y1073="unavailable"),"不可评价",IF(AND(W1073="positive",Y1073="positive"),"a",IF(Y1073="positive","b",IF(W1073="positive","c","d"))))</x:f>
        <x:v>d</x:v>
      </x:c>
    </x:row>
    <x:row r="1074" ht="24" customHeight="1">
      <x:c r="A1074" s="12" t="str">
        <x:v>9562</x:v>
      </x:c>
      <x:c r="B1074" s="12" t="str">
        <x:v>14721</x:v>
      </x:c>
      <x:c r="C1074" s="21" t="n">
        <x:v>33970.117430555554</x:v>
      </x:c>
      <x:c r="D1074" s="12" t="n">
        <x:v>300</x:v>
      </x:c>
      <x:c r="E1074" s="12" t="n">
        <x:v>1</x:v>
      </x:c>
      <x:c r="F1074" s="12" t="str">
        <x:v>未记录</x:v>
      </x:c>
      <x:c r="G1074" s="12" t="n">
        <x:v>1</x:v>
      </x:c>
      <x:c r="H1074" s="12" t="str">
        <x:v>{'CLBBB': 100.0, 'STACH': 0.0}</x:v>
      </x:c>
      <x:c r="I1074" s="12" t="str">
        <x:v>[('$SWQR', 100.0), ('LBBB', 100.0), ('AB', 100.0)]</x:v>
      </x:c>
      <x:c r="J1074" s="12" t="str">
        <x:v>ptbxl_database.csv；ecg_id=9562；scp_codes</x:v>
      </x:c>
      <x:c r="K1074" s="12" t="str">
        <x:v>12sl_statements.csv；ecg_id=9562；statements_ext_snomed</x:v>
      </x:c>
      <x:c r="L1074" s="12"/>
      <x:c r="M1074" s="12" t="str">
        <x:v>negative</x:v>
      </x:c>
      <x:c r="N1074" s="12"/>
      <x:c r="O1074" s="12" t="str">
        <x:v>negative</x:v>
      </x:c>
      <x:c r="P1074" s="12" t="str">
        <x:f>IF(OR(M1074="unavailable",O1074="unavailable"),"不可评价",IF(OR(M1074="equivocal",O1074="equivocal"),"疑似",IF(AND(M1074="positive",O1074="positive"),"a",IF(O1074="positive","b",IF(M1074="positive","c","d")))))</x:f>
        <x:v>d</x:v>
      </x:c>
      <x:c r="Q1074" s="12" t="n">
        <x:v>100</x:v>
      </x:c>
      <x:c r="R1074" s="12" t="str">
        <x:v>positive</x:v>
      </x:c>
      <x:c r="S1074" s="12" t="n">
        <x:v>100</x:v>
      </x:c>
      <x:c r="T1074" s="12" t="str">
        <x:v>positive</x:v>
      </x:c>
      <x:c r="U1074" s="12" t="str">
        <x:f>IF(OR(R1074="unavailable",T1074="unavailable"),"不可评价",IF(OR(R1074="equivocal",T1074="equivocal"),"疑似",IF(AND(R1074="positive",T1074="positive"),"a",IF(T1074="positive","b",IF(R1074="positive","c","d")))))</x:f>
        <x:v>a</x:v>
      </x:c>
      <x:c r="V1074" s="12"/>
      <x:c r="W1074" s="12" t="str">
        <x:v>negative</x:v>
      </x:c>
      <x:c r="X1074" s="12"/>
      <x:c r="Y1074" s="12" t="str">
        <x:v>negative</x:v>
      </x:c>
      <x:c r="Z1074" s="12" t="str">
        <x:f>IF(OR(W1074="unavailable",Y1074="unavailable"),"不可评价",IF(OR(W1074="equivocal",Y1074="equivocal"),"疑似",IF(AND(W1074="positive",Y1074="positive"),"a",IF(Y1074="positive","b",IF(W1074="positive","c","d")))))</x:f>
        <x:v>d</x:v>
      </x:c>
      <x:c r="AA1074" s="12" t="str">
        <x:f>IF(OR(M1074="unavailable",O1074="unavailable"),"不可评价",IF(AND(OR(M1074="positive",M1074="equivocal"),OR(O1074="positive",O1074="equivocal")),"a",IF(OR(O1074="positive",O1074="equivocal"),"b",IF(OR(M1074="positive",M1074="equivocal"),"c","d"))))</x:f>
        <x:v>d</x:v>
      </x:c>
      <x:c r="AB1074" s="12" t="str">
        <x:f>IF(OR(M1074="unavailable",O1074="unavailable"),"不可评价",IF(AND(M1074="positive",O1074="positive"),"a",IF(O1074="positive","b",IF(M1074="positive","c","d"))))</x:f>
        <x:v>d</x:v>
      </x:c>
      <x:c r="AC1074" s="12" t="str">
        <x:f>IF(OR(R1074="unavailable",T1074="unavailable"),"不可评价",IF(AND(OR(R1074="positive",R1074="equivocal"),OR(T1074="positive",T1074="equivocal")),"a",IF(OR(T1074="positive",T1074="equivocal"),"b",IF(OR(R1074="positive",R1074="equivocal"),"c","d"))))</x:f>
        <x:v>a</x:v>
      </x:c>
      <x:c r="AD1074" s="12" t="str">
        <x:f>IF(OR(R1074="unavailable",T1074="unavailable"),"不可评价",IF(AND(R1074="positive",T1074="positive"),"a",IF(T1074="positive","b",IF(R1074="positive","c","d"))))</x:f>
        <x:v>a</x:v>
      </x:c>
      <x:c r="AE1074" s="12" t="str">
        <x:f>IF(OR(W1074="unavailable",Y1074="unavailable"),"不可评价",IF(AND(OR(W1074="positive",W1074="equivocal"),OR(Y1074="positive",Y1074="equivocal")),"a",IF(OR(Y1074="positive",Y1074="equivocal"),"b",IF(OR(W1074="positive",W1074="equivocal"),"c","d"))))</x:f>
        <x:v>d</x:v>
      </x:c>
      <x:c r="AF1074" s="12" t="str">
        <x:f>IF(OR(W1074="unavailable",Y1074="unavailable"),"不可评价",IF(AND(W1074="positive",Y1074="positive"),"a",IF(Y1074="positive","b",IF(W1074="positive","c","d"))))</x:f>
        <x:v>d</x:v>
      </x:c>
    </x:row>
    <x:row r="1075" ht="39" customHeight="1">
      <x:c r="A1075" s="12" t="str">
        <x:v>9570</x:v>
      </x:c>
      <x:c r="B1075" s="12" t="str">
        <x:v>18252</x:v>
      </x:c>
      <x:c r="C1075" s="21" t="n">
        <x:v>33972.44766203704</x:v>
      </x:c>
      <x:c r="D1075" s="12" t="n">
        <x:v>83</x:v>
      </x:c>
      <x:c r="E1075" s="12" t="n">
        <x:v>0</x:v>
      </x:c>
      <x:c r="F1075" s="12" t="str">
        <x:v>未记录</x:v>
      </x:c>
      <x:c r="G1075" s="12" t="n">
        <x:v>1</x:v>
      </x:c>
      <x:c r="H1075" s="12" t="str">
        <x:v>{'ASMI': 100.0, 'ILMI': 100.0, 'IRBBB': 100.0, 'ABQRS': 0.0, 'SVARR': 0.0}</x:v>
      </x:c>
      <x:c r="I1075" s="12" t="str">
        <x:v>[('NSR', 100.0), ('LAD3', 100.0), ('RSR', 100.0), ('IMI;AU', 100.0), ('ASMI;AU', 100.0), ('AB', 100.0)]</x:v>
      </x:c>
      <x:c r="J1075" s="12" t="str">
        <x:v>ptbxl_database.csv；ecg_id=9570；scp_codes</x:v>
      </x:c>
      <x:c r="K1075" s="12" t="str">
        <x:v>12sl_statements.csv；ecg_id=9570；statements_ext_snomed</x:v>
      </x:c>
      <x:c r="L1075" s="12"/>
      <x:c r="M1075" s="12" t="str">
        <x:v>negative</x:v>
      </x:c>
      <x:c r="N1075" s="12"/>
      <x:c r="O1075" s="12" t="str">
        <x:v>negative</x:v>
      </x:c>
      <x:c r="P1075" s="12" t="str">
        <x:f>IF(OR(M1075="unavailable",O1075="unavailable"),"不可评价",IF(OR(M1075="equivocal",O1075="equivocal"),"疑似",IF(AND(M1075="positive",O1075="positive"),"a",IF(O1075="positive","b",IF(M1075="positive","c","d")))))</x:f>
        <x:v>d</x:v>
      </x:c>
      <x:c r="Q1075" s="12"/>
      <x:c r="R1075" s="12" t="str">
        <x:v>negative</x:v>
      </x:c>
      <x:c r="S1075" s="12"/>
      <x:c r="T1075" s="12" t="str">
        <x:v>negative</x:v>
      </x:c>
      <x:c r="U1075" s="12" t="str">
        <x:f>IF(OR(R1075="unavailable",T1075="unavailable"),"不可评价",IF(OR(R1075="equivocal",T1075="equivocal"),"疑似",IF(AND(R1075="positive",T1075="positive"),"a",IF(T1075="positive","b",IF(R1075="positive","c","d")))))</x:f>
        <x:v>d</x:v>
      </x:c>
      <x:c r="V1075" s="12"/>
      <x:c r="W1075" s="12" t="str">
        <x:v>negative</x:v>
      </x:c>
      <x:c r="X1075" s="12"/>
      <x:c r="Y1075" s="12" t="str">
        <x:v>negative</x:v>
      </x:c>
      <x:c r="Z1075" s="12" t="str">
        <x:f>IF(OR(W1075="unavailable",Y1075="unavailable"),"不可评价",IF(OR(W1075="equivocal",Y1075="equivocal"),"疑似",IF(AND(W1075="positive",Y1075="positive"),"a",IF(Y1075="positive","b",IF(W1075="positive","c","d")))))</x:f>
        <x:v>d</x:v>
      </x:c>
      <x:c r="AA1075" s="12" t="str">
        <x:f>IF(OR(M1075="unavailable",O1075="unavailable"),"不可评价",IF(AND(OR(M1075="positive",M1075="equivocal"),OR(O1075="positive",O1075="equivocal")),"a",IF(OR(O1075="positive",O1075="equivocal"),"b",IF(OR(M1075="positive",M1075="equivocal"),"c","d"))))</x:f>
        <x:v>d</x:v>
      </x:c>
      <x:c r="AB1075" s="12" t="str">
        <x:f>IF(OR(M1075="unavailable",O1075="unavailable"),"不可评价",IF(AND(M1075="positive",O1075="positive"),"a",IF(O1075="positive","b",IF(M1075="positive","c","d"))))</x:f>
        <x:v>d</x:v>
      </x:c>
      <x:c r="AC1075" s="12" t="str">
        <x:f>IF(OR(R1075="unavailable",T1075="unavailable"),"不可评价",IF(AND(OR(R1075="positive",R1075="equivocal"),OR(T1075="positive",T1075="equivocal")),"a",IF(OR(T1075="positive",T1075="equivocal"),"b",IF(OR(R1075="positive",R1075="equivocal"),"c","d"))))</x:f>
        <x:v>d</x:v>
      </x:c>
      <x:c r="AD1075" s="12" t="str">
        <x:f>IF(OR(R1075="unavailable",T1075="unavailable"),"不可评价",IF(AND(R1075="positive",T1075="positive"),"a",IF(T1075="positive","b",IF(R1075="positive","c","d"))))</x:f>
        <x:v>d</x:v>
      </x:c>
      <x:c r="AE1075" s="12" t="str">
        <x:f>IF(OR(W1075="unavailable",Y1075="unavailable"),"不可评价",IF(AND(OR(W1075="positive",W1075="equivocal"),OR(Y1075="positive",Y1075="equivocal")),"a",IF(OR(Y1075="positive",Y1075="equivocal"),"b",IF(OR(W1075="positive",W1075="equivocal"),"c","d"))))</x:f>
        <x:v>d</x:v>
      </x:c>
      <x:c r="AF1075" s="12" t="str">
        <x:f>IF(OR(W1075="unavailable",Y1075="unavailable"),"不可评价",IF(AND(W1075="positive",Y1075="positive"),"a",IF(Y1075="positive","b",IF(W1075="positive","c","d"))))</x:f>
        <x:v>d</x:v>
      </x:c>
    </x:row>
    <x:row r="1076" ht="24" customHeight="1">
      <x:c r="A1076" s="12" t="str">
        <x:v>9582</x:v>
      </x:c>
      <x:c r="B1076" s="12" t="str">
        <x:v>14940</x:v>
      </x:c>
      <x:c r="C1076" s="21" t="n">
        <x:v>33973.521145833336</x:v>
      </x:c>
      <x:c r="D1076" s="12" t="n">
        <x:v>37</x:v>
      </x:c>
      <x:c r="E1076" s="12" t="n">
        <x:v>0</x:v>
      </x:c>
      <x:c r="F1076" s="12" t="str">
        <x:v>未记录</x:v>
      </x:c>
      <x:c r="G1076" s="12" t="n">
        <x:v>1</x:v>
      </x:c>
      <x:c r="H1076" s="12" t="str">
        <x:v>{'NORM': 100.0, 'SR': 0.0}</x:v>
      </x:c>
      <x:c r="I1076" s="12" t="str">
        <x:v>[('NSR', 100.0), ('NML', 100.0)]</x:v>
      </x:c>
      <x:c r="J1076" s="12" t="str">
        <x:v>ptbxl_database.csv；ecg_id=9582；scp_codes</x:v>
      </x:c>
      <x:c r="K1076" s="12" t="str">
        <x:v>12sl_statements.csv；ecg_id=9582；statements_ext_snomed</x:v>
      </x:c>
      <x:c r="L1076" s="12"/>
      <x:c r="M1076" s="12" t="str">
        <x:v>negative</x:v>
      </x:c>
      <x:c r="N1076" s="12"/>
      <x:c r="O1076" s="12" t="str">
        <x:v>negative</x:v>
      </x:c>
      <x:c r="P1076" s="12" t="str">
        <x:f>IF(OR(M1076="unavailable",O1076="unavailable"),"不可评价",IF(OR(M1076="equivocal",O1076="equivocal"),"疑似",IF(AND(M1076="positive",O1076="positive"),"a",IF(O1076="positive","b",IF(M1076="positive","c","d")))))</x:f>
        <x:v>d</x:v>
      </x:c>
      <x:c r="Q1076" s="12"/>
      <x:c r="R1076" s="12" t="str">
        <x:v>negative</x:v>
      </x:c>
      <x:c r="S1076" s="12"/>
      <x:c r="T1076" s="12" t="str">
        <x:v>negative</x:v>
      </x:c>
      <x:c r="U1076" s="12" t="str">
        <x:f>IF(OR(R1076="unavailable",T1076="unavailable"),"不可评价",IF(OR(R1076="equivocal",T1076="equivocal"),"疑似",IF(AND(R1076="positive",T1076="positive"),"a",IF(T1076="positive","b",IF(R1076="positive","c","d")))))</x:f>
        <x:v>d</x:v>
      </x:c>
      <x:c r="V1076" s="12"/>
      <x:c r="W1076" s="12" t="str">
        <x:v>negative</x:v>
      </x:c>
      <x:c r="X1076" s="12"/>
      <x:c r="Y1076" s="12" t="str">
        <x:v>negative</x:v>
      </x:c>
      <x:c r="Z1076" s="12" t="str">
        <x:f>IF(OR(W1076="unavailable",Y1076="unavailable"),"不可评价",IF(OR(W1076="equivocal",Y1076="equivocal"),"疑似",IF(AND(W1076="positive",Y1076="positive"),"a",IF(Y1076="positive","b",IF(W1076="positive","c","d")))))</x:f>
        <x:v>d</x:v>
      </x:c>
      <x:c r="AA1076" s="12" t="str">
        <x:f>IF(OR(M1076="unavailable",O1076="unavailable"),"不可评价",IF(AND(OR(M1076="positive",M1076="equivocal"),OR(O1076="positive",O1076="equivocal")),"a",IF(OR(O1076="positive",O1076="equivocal"),"b",IF(OR(M1076="positive",M1076="equivocal"),"c","d"))))</x:f>
        <x:v>d</x:v>
      </x:c>
      <x:c r="AB1076" s="12" t="str">
        <x:f>IF(OR(M1076="unavailable",O1076="unavailable"),"不可评价",IF(AND(M1076="positive",O1076="positive"),"a",IF(O1076="positive","b",IF(M1076="positive","c","d"))))</x:f>
        <x:v>d</x:v>
      </x:c>
      <x:c r="AC1076" s="12" t="str">
        <x:f>IF(OR(R1076="unavailable",T1076="unavailable"),"不可评价",IF(AND(OR(R1076="positive",R1076="equivocal"),OR(T1076="positive",T1076="equivocal")),"a",IF(OR(T1076="positive",T1076="equivocal"),"b",IF(OR(R1076="positive",R1076="equivocal"),"c","d"))))</x:f>
        <x:v>d</x:v>
      </x:c>
      <x:c r="AD1076" s="12" t="str">
        <x:f>IF(OR(R1076="unavailable",T1076="unavailable"),"不可评价",IF(AND(R1076="positive",T1076="positive"),"a",IF(T1076="positive","b",IF(R1076="positive","c","d"))))</x:f>
        <x:v>d</x:v>
      </x:c>
      <x:c r="AE1076" s="12" t="str">
        <x:f>IF(OR(W1076="unavailable",Y1076="unavailable"),"不可评价",IF(AND(OR(W1076="positive",W1076="equivocal"),OR(Y1076="positive",Y1076="equivocal")),"a",IF(OR(Y1076="positive",Y1076="equivocal"),"b",IF(OR(W1076="positive",W1076="equivocal"),"c","d"))))</x:f>
        <x:v>d</x:v>
      </x:c>
      <x:c r="AF1076" s="12" t="str">
        <x:f>IF(OR(W1076="unavailable",Y1076="unavailable"),"不可评价",IF(AND(W1076="positive",Y1076="positive"),"a",IF(Y1076="positive","b",IF(W1076="positive","c","d"))))</x:f>
        <x:v>d</x:v>
      </x:c>
    </x:row>
    <x:row r="1077" ht="39" customHeight="1">
      <x:c r="A1077" s="12" t="str">
        <x:v>9583</x:v>
      </x:c>
      <x:c r="B1077" s="12" t="str">
        <x:v>18252</x:v>
      </x:c>
      <x:c r="C1077" s="21" t="n">
        <x:v>33973.53486111111</x:v>
      </x:c>
      <x:c r="D1077" s="12" t="n">
        <x:v>83</x:v>
      </x:c>
      <x:c r="E1077" s="12" t="n">
        <x:v>0</x:v>
      </x:c>
      <x:c r="F1077" s="12" t="str">
        <x:v>未记录</x:v>
      </x:c>
      <x:c r="G1077" s="12" t="n">
        <x:v>0</x:v>
      </x:c>
      <x:c r="H1077" s="12" t="str">
        <x:v>{'ASMI': 100.0, 'ILMI': 100.0, 'IRBBB': 100.0, 'ABQRS': 0.0, 'SR': 0.0}</x:v>
      </x:c>
      <x:c r="I1077" s="12" t="str">
        <x:v>[('NSR', 100.0), ('IRBBB', 100.0), ('IMI;AU', 100.0), ('ALMI;AU', 100.0), ('AB', 100.0)]</x:v>
      </x:c>
      <x:c r="J1077" s="12" t="str">
        <x:v>ptbxl_database.csv；ecg_id=9583；scp_codes</x:v>
      </x:c>
      <x:c r="K1077" s="12" t="str">
        <x:v>12sl_statements.csv；ecg_id=9583；statements_ext_snomed</x:v>
      </x:c>
      <x:c r="L1077" s="12"/>
      <x:c r="M1077" s="12" t="str">
        <x:v>negative</x:v>
      </x:c>
      <x:c r="N1077" s="12"/>
      <x:c r="O1077" s="12" t="str">
        <x:v>negative</x:v>
      </x:c>
      <x:c r="P1077" s="12" t="str">
        <x:f>IF(OR(M1077="unavailable",O1077="unavailable"),"不可评价",IF(OR(M1077="equivocal",O1077="equivocal"),"疑似",IF(AND(M1077="positive",O1077="positive"),"a",IF(O1077="positive","b",IF(M1077="positive","c","d")))))</x:f>
        <x:v>d</x:v>
      </x:c>
      <x:c r="Q1077" s="12"/>
      <x:c r="R1077" s="12" t="str">
        <x:v>negative</x:v>
      </x:c>
      <x:c r="S1077" s="12"/>
      <x:c r="T1077" s="12" t="str">
        <x:v>negative</x:v>
      </x:c>
      <x:c r="U1077" s="12" t="str">
        <x:f>IF(OR(R1077="unavailable",T1077="unavailable"),"不可评价",IF(OR(R1077="equivocal",T1077="equivocal"),"疑似",IF(AND(R1077="positive",T1077="positive"),"a",IF(T1077="positive","b",IF(R1077="positive","c","d")))))</x:f>
        <x:v>d</x:v>
      </x:c>
      <x:c r="V1077" s="12"/>
      <x:c r="W1077" s="12" t="str">
        <x:v>negative</x:v>
      </x:c>
      <x:c r="X1077" s="12"/>
      <x:c r="Y1077" s="12" t="str">
        <x:v>negative</x:v>
      </x:c>
      <x:c r="Z1077" s="12" t="str">
        <x:f>IF(OR(W1077="unavailable",Y1077="unavailable"),"不可评价",IF(OR(W1077="equivocal",Y1077="equivocal"),"疑似",IF(AND(W1077="positive",Y1077="positive"),"a",IF(Y1077="positive","b",IF(W1077="positive","c","d")))))</x:f>
        <x:v>d</x:v>
      </x:c>
      <x:c r="AA1077" s="12" t="str">
        <x:f>IF(OR(M1077="unavailable",O1077="unavailable"),"不可评价",IF(AND(OR(M1077="positive",M1077="equivocal"),OR(O1077="positive",O1077="equivocal")),"a",IF(OR(O1077="positive",O1077="equivocal"),"b",IF(OR(M1077="positive",M1077="equivocal"),"c","d"))))</x:f>
        <x:v>d</x:v>
      </x:c>
      <x:c r="AB1077" s="12" t="str">
        <x:f>IF(OR(M1077="unavailable",O1077="unavailable"),"不可评价",IF(AND(M1077="positive",O1077="positive"),"a",IF(O1077="positive","b",IF(M1077="positive","c","d"))))</x:f>
        <x:v>d</x:v>
      </x:c>
      <x:c r="AC1077" s="12" t="str">
        <x:f>IF(OR(R1077="unavailable",T1077="unavailable"),"不可评价",IF(AND(OR(R1077="positive",R1077="equivocal"),OR(T1077="positive",T1077="equivocal")),"a",IF(OR(T1077="positive",T1077="equivocal"),"b",IF(OR(R1077="positive",R1077="equivocal"),"c","d"))))</x:f>
        <x:v>d</x:v>
      </x:c>
      <x:c r="AD1077" s="12" t="str">
        <x:f>IF(OR(R1077="unavailable",T1077="unavailable"),"不可评价",IF(AND(R1077="positive",T1077="positive"),"a",IF(T1077="positive","b",IF(R1077="positive","c","d"))))</x:f>
        <x:v>d</x:v>
      </x:c>
      <x:c r="AE1077" s="12" t="str">
        <x:f>IF(OR(W1077="unavailable",Y1077="unavailable"),"不可评价",IF(AND(OR(W1077="positive",W1077="equivocal"),OR(Y1077="positive",Y1077="equivocal")),"a",IF(OR(Y1077="positive",Y1077="equivocal"),"b",IF(OR(W1077="positive",W1077="equivocal"),"c","d"))))</x:f>
        <x:v>d</x:v>
      </x:c>
      <x:c r="AF1077" s="12" t="str">
        <x:f>IF(OR(W1077="unavailable",Y1077="unavailable"),"不可评价",IF(AND(W1077="positive",Y1077="positive"),"a",IF(Y1077="positive","b",IF(W1077="positive","c","d"))))</x:f>
        <x:v>d</x:v>
      </x:c>
    </x:row>
    <x:row r="1078" ht="24" customHeight="1">
      <x:c r="A1078" s="12" t="str">
        <x:v>9589</x:v>
      </x:c>
      <x:c r="B1078" s="12" t="str">
        <x:v>17620</x:v>
      </x:c>
      <x:c r="C1078" s="21" t="n">
        <x:v>33974.45421296296</x:v>
      </x:c>
      <x:c r="D1078" s="12" t="n">
        <x:v>44</x:v>
      </x:c>
      <x:c r="E1078" s="12" t="n">
        <x:v>0</x:v>
      </x:c>
      <x:c r="F1078" s="12" t="str">
        <x:v>存在</x:v>
      </x:c>
      <x:c r="G1078" s="12" t="n">
        <x:v>0</x:v>
      </x:c>
      <x:c r="H1078" s="12" t="str">
        <x:v>{'NORM': 100.0, 'SR': 0.0}</x:v>
      </x:c>
      <x:c r="I1078" s="12" t="str">
        <x:v>[('NSR', 100.0), ('NML', 100.0)]</x:v>
      </x:c>
      <x:c r="J1078" s="12" t="str">
        <x:v>ptbxl_database.csv；ecg_id=9589；scp_codes</x:v>
      </x:c>
      <x:c r="K1078" s="12" t="str">
        <x:v>12sl_statements.csv；ecg_id=9589；statements_ext_snomed</x:v>
      </x:c>
      <x:c r="L1078" s="12"/>
      <x:c r="M1078" s="12" t="str">
        <x:v>negative</x:v>
      </x:c>
      <x:c r="N1078" s="12"/>
      <x:c r="O1078" s="12" t="str">
        <x:v>negative</x:v>
      </x:c>
      <x:c r="P1078" s="12" t="str">
        <x:f>IF(OR(M1078="unavailable",O1078="unavailable"),"不可评价",IF(OR(M1078="equivocal",O1078="equivocal"),"疑似",IF(AND(M1078="positive",O1078="positive"),"a",IF(O1078="positive","b",IF(M1078="positive","c","d")))))</x:f>
        <x:v>d</x:v>
      </x:c>
      <x:c r="Q1078" s="12"/>
      <x:c r="R1078" s="12" t="str">
        <x:v>negative</x:v>
      </x:c>
      <x:c r="S1078" s="12"/>
      <x:c r="T1078" s="12" t="str">
        <x:v>negative</x:v>
      </x:c>
      <x:c r="U1078" s="12" t="str">
        <x:f>IF(OR(R1078="unavailable",T1078="unavailable"),"不可评价",IF(OR(R1078="equivocal",T1078="equivocal"),"疑似",IF(AND(R1078="positive",T1078="positive"),"a",IF(T1078="positive","b",IF(R1078="positive","c","d")))))</x:f>
        <x:v>d</x:v>
      </x:c>
      <x:c r="V1078" s="12"/>
      <x:c r="W1078" s="12" t="str">
        <x:v>negative</x:v>
      </x:c>
      <x:c r="X1078" s="12"/>
      <x:c r="Y1078" s="12" t="str">
        <x:v>negative</x:v>
      </x:c>
      <x:c r="Z1078" s="12" t="str">
        <x:f>IF(OR(W1078="unavailable",Y1078="unavailable"),"不可评价",IF(OR(W1078="equivocal",Y1078="equivocal"),"疑似",IF(AND(W1078="positive",Y1078="positive"),"a",IF(Y1078="positive","b",IF(W1078="positive","c","d")))))</x:f>
        <x:v>d</x:v>
      </x:c>
      <x:c r="AA1078" s="12" t="str">
        <x:f>IF(OR(M1078="unavailable",O1078="unavailable"),"不可评价",IF(AND(OR(M1078="positive",M1078="equivocal"),OR(O1078="positive",O1078="equivocal")),"a",IF(OR(O1078="positive",O1078="equivocal"),"b",IF(OR(M1078="positive",M1078="equivocal"),"c","d"))))</x:f>
        <x:v>d</x:v>
      </x:c>
      <x:c r="AB1078" s="12" t="str">
        <x:f>IF(OR(M1078="unavailable",O1078="unavailable"),"不可评价",IF(AND(M1078="positive",O1078="positive"),"a",IF(O1078="positive","b",IF(M1078="positive","c","d"))))</x:f>
        <x:v>d</x:v>
      </x:c>
      <x:c r="AC1078" s="12" t="str">
        <x:f>IF(OR(R1078="unavailable",T1078="unavailable"),"不可评价",IF(AND(OR(R1078="positive",R1078="equivocal"),OR(T1078="positive",T1078="equivocal")),"a",IF(OR(T1078="positive",T1078="equivocal"),"b",IF(OR(R1078="positive",R1078="equivocal"),"c","d"))))</x:f>
        <x:v>d</x:v>
      </x:c>
      <x:c r="AD1078" s="12" t="str">
        <x:f>IF(OR(R1078="unavailable",T1078="unavailable"),"不可评价",IF(AND(R1078="positive",T1078="positive"),"a",IF(T1078="positive","b",IF(R1078="positive","c","d"))))</x:f>
        <x:v>d</x:v>
      </x:c>
      <x:c r="AE1078" s="12" t="str">
        <x:f>IF(OR(W1078="unavailable",Y1078="unavailable"),"不可评价",IF(AND(OR(W1078="positive",W1078="equivocal"),OR(Y1078="positive",Y1078="equivocal")),"a",IF(OR(Y1078="positive",Y1078="equivocal"),"b",IF(OR(W1078="positive",W1078="equivocal"),"c","d"))))</x:f>
        <x:v>d</x:v>
      </x:c>
      <x:c r="AF1078" s="12" t="str">
        <x:f>IF(OR(W1078="unavailable",Y1078="unavailable"),"不可评价",IF(AND(W1078="positive",Y1078="positive"),"a",IF(Y1078="positive","b",IF(W1078="positive","c","d"))))</x:f>
        <x:v>d</x:v>
      </x:c>
    </x:row>
    <x:row r="1079" ht="24" customHeight="1">
      <x:c r="A1079" s="12" t="str">
        <x:v>9613</x:v>
      </x:c>
      <x:c r="B1079" s="12" t="str">
        <x:v>16474</x:v>
      </x:c>
      <x:c r="C1079" s="21" t="n">
        <x:v>33979.50996527778</x:v>
      </x:c>
      <x:c r="D1079" s="12" t="n">
        <x:v>79</x:v>
      </x:c>
      <x:c r="E1079" s="12" t="n">
        <x:v>1</x:v>
      </x:c>
      <x:c r="F1079" s="12" t="str">
        <x:v>未记录</x:v>
      </x:c>
      <x:c r="G1079" s="12" t="n">
        <x:v>1</x:v>
      </x:c>
      <x:c r="H1079" s="12" t="str">
        <x:v>{'LVH': 100.0, 'ISC_': 100.0, 'INJAS': 100.0, 'ABQRS': 0.0, 'SR': 0.0}</x:v>
      </x:c>
      <x:c r="I1079" s="12" t="str">
        <x:v>[('NSR', 100.0), ('ASBINJ', 100.0), ('AB', 100.0)]</x:v>
      </x:c>
      <x:c r="J1079" s="12" t="str">
        <x:v>ptbxl_database.csv；ecg_id=9613；scp_codes</x:v>
      </x:c>
      <x:c r="K1079" s="12" t="str">
        <x:v>12sl_statements.csv；ecg_id=9613；statements_ext_snomed</x:v>
      </x:c>
      <x:c r="L1079" s="12"/>
      <x:c r="M1079" s="12" t="str">
        <x:v>negative</x:v>
      </x:c>
      <x:c r="N1079" s="12"/>
      <x:c r="O1079" s="12" t="str">
        <x:v>negative</x:v>
      </x:c>
      <x:c r="P1079" s="12" t="str">
        <x:f>IF(OR(M1079="unavailable",O1079="unavailable"),"不可评价",IF(OR(M1079="equivocal",O1079="equivocal"),"疑似",IF(AND(M1079="positive",O1079="positive"),"a",IF(O1079="positive","b",IF(M1079="positive","c","d")))))</x:f>
        <x:v>d</x:v>
      </x:c>
      <x:c r="Q1079" s="12"/>
      <x:c r="R1079" s="12" t="str">
        <x:v>negative</x:v>
      </x:c>
      <x:c r="S1079" s="12"/>
      <x:c r="T1079" s="12" t="str">
        <x:v>negative</x:v>
      </x:c>
      <x:c r="U1079" s="12" t="str">
        <x:f>IF(OR(R1079="unavailable",T1079="unavailable"),"不可评价",IF(OR(R1079="equivocal",T1079="equivocal"),"疑似",IF(AND(R1079="positive",T1079="positive"),"a",IF(T1079="positive","b",IF(R1079="positive","c","d")))))</x:f>
        <x:v>d</x:v>
      </x:c>
      <x:c r="V1079" s="12"/>
      <x:c r="W1079" s="12" t="str">
        <x:v>negative</x:v>
      </x:c>
      <x:c r="X1079" s="12"/>
      <x:c r="Y1079" s="12" t="str">
        <x:v>negative</x:v>
      </x:c>
      <x:c r="Z1079" s="12" t="str">
        <x:f>IF(OR(W1079="unavailable",Y1079="unavailable"),"不可评价",IF(OR(W1079="equivocal",Y1079="equivocal"),"疑似",IF(AND(W1079="positive",Y1079="positive"),"a",IF(Y1079="positive","b",IF(W1079="positive","c","d")))))</x:f>
        <x:v>d</x:v>
      </x:c>
      <x:c r="AA1079" s="12" t="str">
        <x:f>IF(OR(M1079="unavailable",O1079="unavailable"),"不可评价",IF(AND(OR(M1079="positive",M1079="equivocal"),OR(O1079="positive",O1079="equivocal")),"a",IF(OR(O1079="positive",O1079="equivocal"),"b",IF(OR(M1079="positive",M1079="equivocal"),"c","d"))))</x:f>
        <x:v>d</x:v>
      </x:c>
      <x:c r="AB1079" s="12" t="str">
        <x:f>IF(OR(M1079="unavailable",O1079="unavailable"),"不可评价",IF(AND(M1079="positive",O1079="positive"),"a",IF(O1079="positive","b",IF(M1079="positive","c","d"))))</x:f>
        <x:v>d</x:v>
      </x:c>
      <x:c r="AC1079" s="12" t="str">
        <x:f>IF(OR(R1079="unavailable",T1079="unavailable"),"不可评价",IF(AND(OR(R1079="positive",R1079="equivocal"),OR(T1079="positive",T1079="equivocal")),"a",IF(OR(T1079="positive",T1079="equivocal"),"b",IF(OR(R1079="positive",R1079="equivocal"),"c","d"))))</x:f>
        <x:v>d</x:v>
      </x:c>
      <x:c r="AD1079" s="12" t="str">
        <x:f>IF(OR(R1079="unavailable",T1079="unavailable"),"不可评价",IF(AND(R1079="positive",T1079="positive"),"a",IF(T1079="positive","b",IF(R1079="positive","c","d"))))</x:f>
        <x:v>d</x:v>
      </x:c>
      <x:c r="AE1079" s="12" t="str">
        <x:f>IF(OR(W1079="unavailable",Y1079="unavailable"),"不可评价",IF(AND(OR(W1079="positive",W1079="equivocal"),OR(Y1079="positive",Y1079="equivocal")),"a",IF(OR(Y1079="positive",Y1079="equivocal"),"b",IF(OR(W1079="positive",W1079="equivocal"),"c","d"))))</x:f>
        <x:v>d</x:v>
      </x:c>
      <x:c r="AF1079" s="12" t="str">
        <x:f>IF(OR(W1079="unavailable",Y1079="unavailable"),"不可评价",IF(AND(W1079="positive",Y1079="positive"),"a",IF(Y1079="positive","b",IF(W1079="positive","c","d"))))</x:f>
        <x:v>d</x:v>
      </x:c>
    </x:row>
    <x:row r="1080" ht="24" customHeight="1">
      <x:c r="A1080" s="12" t="str">
        <x:v>9616</x:v>
      </x:c>
      <x:c r="B1080" s="12" t="str">
        <x:v>9756</x:v>
      </x:c>
      <x:c r="C1080" s="21" t="n">
        <x:v>33979.75193287037</x:v>
      </x:c>
      <x:c r="D1080" s="12" t="n">
        <x:v>60</x:v>
      </x:c>
      <x:c r="E1080" s="12" t="n">
        <x:v>0</x:v>
      </x:c>
      <x:c r="F1080" s="12" t="str">
        <x:v>未记录</x:v>
      </x:c>
      <x:c r="G1080" s="12" t="n">
        <x:v>1</x:v>
      </x:c>
      <x:c r="H1080" s="12" t="str">
        <x:v>{'NORM': 50.0, 'ABQRS': 0.0, 'SR': 0.0}</x:v>
      </x:c>
      <x:c r="I1080" s="12" t="str">
        <x:v>[('NSR', 100.0), ('NML', 100.0)]</x:v>
      </x:c>
      <x:c r="J1080" s="12" t="str">
        <x:v>ptbxl_database.csv；ecg_id=9616；scp_codes</x:v>
      </x:c>
      <x:c r="K1080" s="12" t="str">
        <x:v>12sl_statements.csv；ecg_id=9616；statements_ext_snomed</x:v>
      </x:c>
      <x:c r="L1080" s="12"/>
      <x:c r="M1080" s="12" t="str">
        <x:v>negative</x:v>
      </x:c>
      <x:c r="N1080" s="12"/>
      <x:c r="O1080" s="12" t="str">
        <x:v>negative</x:v>
      </x:c>
      <x:c r="P1080" s="12" t="str">
        <x:f>IF(OR(M1080="unavailable",O1080="unavailable"),"不可评价",IF(OR(M1080="equivocal",O1080="equivocal"),"疑似",IF(AND(M1080="positive",O1080="positive"),"a",IF(O1080="positive","b",IF(M1080="positive","c","d")))))</x:f>
        <x:v>d</x:v>
      </x:c>
      <x:c r="Q1080" s="12"/>
      <x:c r="R1080" s="12" t="str">
        <x:v>negative</x:v>
      </x:c>
      <x:c r="S1080" s="12"/>
      <x:c r="T1080" s="12" t="str">
        <x:v>negative</x:v>
      </x:c>
      <x:c r="U1080" s="12" t="str">
        <x:f>IF(OR(R1080="unavailable",T1080="unavailable"),"不可评价",IF(OR(R1080="equivocal",T1080="equivocal"),"疑似",IF(AND(R1080="positive",T1080="positive"),"a",IF(T1080="positive","b",IF(R1080="positive","c","d")))))</x:f>
        <x:v>d</x:v>
      </x:c>
      <x:c r="V1080" s="12"/>
      <x:c r="W1080" s="12" t="str">
        <x:v>negative</x:v>
      </x:c>
      <x:c r="X1080" s="12"/>
      <x:c r="Y1080" s="12" t="str">
        <x:v>negative</x:v>
      </x:c>
      <x:c r="Z1080" s="12" t="str">
        <x:f>IF(OR(W1080="unavailable",Y1080="unavailable"),"不可评价",IF(OR(W1080="equivocal",Y1080="equivocal"),"疑似",IF(AND(W1080="positive",Y1080="positive"),"a",IF(Y1080="positive","b",IF(W1080="positive","c","d")))))</x:f>
        <x:v>d</x:v>
      </x:c>
      <x:c r="AA1080" s="12" t="str">
        <x:f>IF(OR(M1080="unavailable",O1080="unavailable"),"不可评价",IF(AND(OR(M1080="positive",M1080="equivocal"),OR(O1080="positive",O1080="equivocal")),"a",IF(OR(O1080="positive",O1080="equivocal"),"b",IF(OR(M1080="positive",M1080="equivocal"),"c","d"))))</x:f>
        <x:v>d</x:v>
      </x:c>
      <x:c r="AB1080" s="12" t="str">
        <x:f>IF(OR(M1080="unavailable",O1080="unavailable"),"不可评价",IF(AND(M1080="positive",O1080="positive"),"a",IF(O1080="positive","b",IF(M1080="positive","c","d"))))</x:f>
        <x:v>d</x:v>
      </x:c>
      <x:c r="AC1080" s="12" t="str">
        <x:f>IF(OR(R1080="unavailable",T1080="unavailable"),"不可评价",IF(AND(OR(R1080="positive",R1080="equivocal"),OR(T1080="positive",T1080="equivocal")),"a",IF(OR(T1080="positive",T1080="equivocal"),"b",IF(OR(R1080="positive",R1080="equivocal"),"c","d"))))</x:f>
        <x:v>d</x:v>
      </x:c>
      <x:c r="AD1080" s="12" t="str">
        <x:f>IF(OR(R1080="unavailable",T1080="unavailable"),"不可评价",IF(AND(R1080="positive",T1080="positive"),"a",IF(T1080="positive","b",IF(R1080="positive","c","d"))))</x:f>
        <x:v>d</x:v>
      </x:c>
      <x:c r="AE1080" s="12" t="str">
        <x:f>IF(OR(W1080="unavailable",Y1080="unavailable"),"不可评价",IF(AND(OR(W1080="positive",W1080="equivocal"),OR(Y1080="positive",Y1080="equivocal")),"a",IF(OR(Y1080="positive",Y1080="equivocal"),"b",IF(OR(W1080="positive",W1080="equivocal"),"c","d"))))</x:f>
        <x:v>d</x:v>
      </x:c>
      <x:c r="AF1080" s="12" t="str">
        <x:f>IF(OR(W1080="unavailable",Y1080="unavailable"),"不可评价",IF(AND(W1080="positive",Y1080="positive"),"a",IF(Y1080="positive","b",IF(W1080="positive","c","d"))))</x:f>
        <x:v>d</x:v>
      </x:c>
    </x:row>
    <x:row r="1081" ht="24" customHeight="1">
      <x:c r="A1081" s="12" t="str">
        <x:v>9689</x:v>
      </x:c>
      <x:c r="B1081" s="12" t="str">
        <x:v>10740</x:v>
      </x:c>
      <x:c r="C1081" s="21" t="n">
        <x:v>33992.58726851852</x:v>
      </x:c>
      <x:c r="D1081" s="12" t="n">
        <x:v>21</x:v>
      </x:c>
      <x:c r="E1081" s="12" t="n">
        <x:v>1</x:v>
      </x:c>
      <x:c r="F1081" s="12" t="str">
        <x:v>存在</x:v>
      </x:c>
      <x:c r="G1081" s="12" t="n">
        <x:v>1</x:v>
      </x:c>
      <x:c r="H1081" s="12" t="str">
        <x:v>{'NORM': 100.0, 'SR': 0.0}</x:v>
      </x:c>
      <x:c r="I1081" s="12" t="str">
        <x:v>[('NSR', 100.0), ('NML', 100.0)]</x:v>
      </x:c>
      <x:c r="J1081" s="12" t="str">
        <x:v>ptbxl_database.csv；ecg_id=9689；scp_codes</x:v>
      </x:c>
      <x:c r="K1081" s="12" t="str">
        <x:v>12sl_statements.csv；ecg_id=9689；statements_ext_snomed</x:v>
      </x:c>
      <x:c r="L1081" s="12"/>
      <x:c r="M1081" s="12" t="str">
        <x:v>negative</x:v>
      </x:c>
      <x:c r="N1081" s="12"/>
      <x:c r="O1081" s="12" t="str">
        <x:v>negative</x:v>
      </x:c>
      <x:c r="P1081" s="12" t="str">
        <x:f>IF(OR(M1081="unavailable",O1081="unavailable"),"不可评价",IF(OR(M1081="equivocal",O1081="equivocal"),"疑似",IF(AND(M1081="positive",O1081="positive"),"a",IF(O1081="positive","b",IF(M1081="positive","c","d")))))</x:f>
        <x:v>d</x:v>
      </x:c>
      <x:c r="Q1081" s="12"/>
      <x:c r="R1081" s="12" t="str">
        <x:v>negative</x:v>
      </x:c>
      <x:c r="S1081" s="12"/>
      <x:c r="T1081" s="12" t="str">
        <x:v>negative</x:v>
      </x:c>
      <x:c r="U1081" s="12" t="str">
        <x:f>IF(OR(R1081="unavailable",T1081="unavailable"),"不可评价",IF(OR(R1081="equivocal",T1081="equivocal"),"疑似",IF(AND(R1081="positive",T1081="positive"),"a",IF(T1081="positive","b",IF(R1081="positive","c","d")))))</x:f>
        <x:v>d</x:v>
      </x:c>
      <x:c r="V1081" s="12"/>
      <x:c r="W1081" s="12" t="str">
        <x:v>negative</x:v>
      </x:c>
      <x:c r="X1081" s="12"/>
      <x:c r="Y1081" s="12" t="str">
        <x:v>negative</x:v>
      </x:c>
      <x:c r="Z1081" s="12" t="str">
        <x:f>IF(OR(W1081="unavailable",Y1081="unavailable"),"不可评价",IF(OR(W1081="equivocal",Y1081="equivocal"),"疑似",IF(AND(W1081="positive",Y1081="positive"),"a",IF(Y1081="positive","b",IF(W1081="positive","c","d")))))</x:f>
        <x:v>d</x:v>
      </x:c>
      <x:c r="AA1081" s="12" t="str">
        <x:f>IF(OR(M1081="unavailable",O1081="unavailable"),"不可评价",IF(AND(OR(M1081="positive",M1081="equivocal"),OR(O1081="positive",O1081="equivocal")),"a",IF(OR(O1081="positive",O1081="equivocal"),"b",IF(OR(M1081="positive",M1081="equivocal"),"c","d"))))</x:f>
        <x:v>d</x:v>
      </x:c>
      <x:c r="AB1081" s="12" t="str">
        <x:f>IF(OR(M1081="unavailable",O1081="unavailable"),"不可评价",IF(AND(M1081="positive",O1081="positive"),"a",IF(O1081="positive","b",IF(M1081="positive","c","d"))))</x:f>
        <x:v>d</x:v>
      </x:c>
      <x:c r="AC1081" s="12" t="str">
        <x:f>IF(OR(R1081="unavailable",T1081="unavailable"),"不可评价",IF(AND(OR(R1081="positive",R1081="equivocal"),OR(T1081="positive",T1081="equivocal")),"a",IF(OR(T1081="positive",T1081="equivocal"),"b",IF(OR(R1081="positive",R1081="equivocal"),"c","d"))))</x:f>
        <x:v>d</x:v>
      </x:c>
      <x:c r="AD1081" s="12" t="str">
        <x:f>IF(OR(R1081="unavailable",T1081="unavailable"),"不可评价",IF(AND(R1081="positive",T1081="positive"),"a",IF(T1081="positive","b",IF(R1081="positive","c","d"))))</x:f>
        <x:v>d</x:v>
      </x:c>
      <x:c r="AE1081" s="12" t="str">
        <x:f>IF(OR(W1081="unavailable",Y1081="unavailable"),"不可评价",IF(AND(OR(W1081="positive",W1081="equivocal"),OR(Y1081="positive",Y1081="equivocal")),"a",IF(OR(Y1081="positive",Y1081="equivocal"),"b",IF(OR(W1081="positive",W1081="equivocal"),"c","d"))))</x:f>
        <x:v>d</x:v>
      </x:c>
      <x:c r="AF1081" s="12" t="str">
        <x:f>IF(OR(W1081="unavailable",Y1081="unavailable"),"不可评价",IF(AND(W1081="positive",Y1081="positive"),"a",IF(Y1081="positive","b",IF(W1081="positive","c","d"))))</x:f>
        <x:v>d</x:v>
      </x:c>
    </x:row>
    <x:row r="1082" ht="24" customHeight="1">
      <x:c r="A1082" s="12" t="str">
        <x:v>9702</x:v>
      </x:c>
      <x:c r="B1082" s="12" t="str">
        <x:v>2890</x:v>
      </x:c>
      <x:c r="C1082" s="21" t="n">
        <x:v>33993.476122685184</x:v>
      </x:c>
      <x:c r="D1082" s="12" t="n">
        <x:v>56</x:v>
      </x:c>
      <x:c r="E1082" s="12" t="n">
        <x:v>0</x:v>
      </x:c>
      <x:c r="F1082" s="12" t="str">
        <x:v>未记录</x:v>
      </x:c>
      <x:c r="G1082" s="12" t="n">
        <x:v>1</x:v>
      </x:c>
      <x:c r="H1082" s="12" t="str">
        <x:v>{'NORM': 100.0, 'SR': 0.0}</x:v>
      </x:c>
      <x:c r="I1082" s="12" t="str">
        <x:v>[('NSR', 100.0), ('NML', 100.0)]</x:v>
      </x:c>
      <x:c r="J1082" s="12" t="str">
        <x:v>ptbxl_database.csv；ecg_id=9702；scp_codes</x:v>
      </x:c>
      <x:c r="K1082" s="12" t="str">
        <x:v>12sl_statements.csv；ecg_id=9702；statements_ext_snomed</x:v>
      </x:c>
      <x:c r="L1082" s="12"/>
      <x:c r="M1082" s="12" t="str">
        <x:v>negative</x:v>
      </x:c>
      <x:c r="N1082" s="12"/>
      <x:c r="O1082" s="12" t="str">
        <x:v>negative</x:v>
      </x:c>
      <x:c r="P1082" s="12" t="str">
        <x:f>IF(OR(M1082="unavailable",O1082="unavailable"),"不可评价",IF(OR(M1082="equivocal",O1082="equivocal"),"疑似",IF(AND(M1082="positive",O1082="positive"),"a",IF(O1082="positive","b",IF(M1082="positive","c","d")))))</x:f>
        <x:v>d</x:v>
      </x:c>
      <x:c r="Q1082" s="12"/>
      <x:c r="R1082" s="12" t="str">
        <x:v>negative</x:v>
      </x:c>
      <x:c r="S1082" s="12"/>
      <x:c r="T1082" s="12" t="str">
        <x:v>negative</x:v>
      </x:c>
      <x:c r="U1082" s="12" t="str">
        <x:f>IF(OR(R1082="unavailable",T1082="unavailable"),"不可评价",IF(OR(R1082="equivocal",T1082="equivocal"),"疑似",IF(AND(R1082="positive",T1082="positive"),"a",IF(T1082="positive","b",IF(R1082="positive","c","d")))))</x:f>
        <x:v>d</x:v>
      </x:c>
      <x:c r="V1082" s="12"/>
      <x:c r="W1082" s="12" t="str">
        <x:v>negative</x:v>
      </x:c>
      <x:c r="X1082" s="12"/>
      <x:c r="Y1082" s="12" t="str">
        <x:v>negative</x:v>
      </x:c>
      <x:c r="Z1082" s="12" t="str">
        <x:f>IF(OR(W1082="unavailable",Y1082="unavailable"),"不可评价",IF(OR(W1082="equivocal",Y1082="equivocal"),"疑似",IF(AND(W1082="positive",Y1082="positive"),"a",IF(Y1082="positive","b",IF(W1082="positive","c","d")))))</x:f>
        <x:v>d</x:v>
      </x:c>
      <x:c r="AA1082" s="12" t="str">
        <x:f>IF(OR(M1082="unavailable",O1082="unavailable"),"不可评价",IF(AND(OR(M1082="positive",M1082="equivocal"),OR(O1082="positive",O1082="equivocal")),"a",IF(OR(O1082="positive",O1082="equivocal"),"b",IF(OR(M1082="positive",M1082="equivocal"),"c","d"))))</x:f>
        <x:v>d</x:v>
      </x:c>
      <x:c r="AB1082" s="12" t="str">
        <x:f>IF(OR(M1082="unavailable",O1082="unavailable"),"不可评价",IF(AND(M1082="positive",O1082="positive"),"a",IF(O1082="positive","b",IF(M1082="positive","c","d"))))</x:f>
        <x:v>d</x:v>
      </x:c>
      <x:c r="AC1082" s="12" t="str">
        <x:f>IF(OR(R1082="unavailable",T1082="unavailable"),"不可评价",IF(AND(OR(R1082="positive",R1082="equivocal"),OR(T1082="positive",T1082="equivocal")),"a",IF(OR(T1082="positive",T1082="equivocal"),"b",IF(OR(R1082="positive",R1082="equivocal"),"c","d"))))</x:f>
        <x:v>d</x:v>
      </x:c>
      <x:c r="AD1082" s="12" t="str">
        <x:f>IF(OR(R1082="unavailable",T1082="unavailable"),"不可评价",IF(AND(R1082="positive",T1082="positive"),"a",IF(T1082="positive","b",IF(R1082="positive","c","d"))))</x:f>
        <x:v>d</x:v>
      </x:c>
      <x:c r="AE1082" s="12" t="str">
        <x:f>IF(OR(W1082="unavailable",Y1082="unavailable"),"不可评价",IF(AND(OR(W1082="positive",W1082="equivocal"),OR(Y1082="positive",Y1082="equivocal")),"a",IF(OR(Y1082="positive",Y1082="equivocal"),"b",IF(OR(W1082="positive",W1082="equivocal"),"c","d"))))</x:f>
        <x:v>d</x:v>
      </x:c>
      <x:c r="AF1082" s="12" t="str">
        <x:f>IF(OR(W1082="unavailable",Y1082="unavailable"),"不可评价",IF(AND(W1082="positive",Y1082="positive"),"a",IF(Y1082="positive","b",IF(W1082="positive","c","d"))))</x:f>
        <x:v>d</x:v>
      </x:c>
    </x:row>
    <x:row r="1083" ht="24" customHeight="1">
      <x:c r="A1083" s="12" t="str">
        <x:v>9730</x:v>
      </x:c>
      <x:c r="B1083" s="12" t="str">
        <x:v>1815</x:v>
      </x:c>
      <x:c r="C1083" s="21" t="n">
        <x:v>33996.706724537034</x:v>
      </x:c>
      <x:c r="D1083" s="12" t="n">
        <x:v>52</x:v>
      </x:c>
      <x:c r="E1083" s="12" t="n">
        <x:v>0</x:v>
      </x:c>
      <x:c r="F1083" s="12" t="str">
        <x:v>未记录</x:v>
      </x:c>
      <x:c r="G1083" s="12" t="n">
        <x:v>1</x:v>
      </x:c>
      <x:c r="H1083" s="12" t="str">
        <x:v>{'NDT': 100.0, 'LOWT': 0.0, 'SR': 0.0}</x:v>
      </x:c>
      <x:c r="I1083" s="12" t="str">
        <x:v>[('NSR', 100.0), ('NT', 100.0), ('AB', 100.0)]</x:v>
      </x:c>
      <x:c r="J1083" s="12" t="str">
        <x:v>ptbxl_database.csv；ecg_id=9730；scp_codes</x:v>
      </x:c>
      <x:c r="K1083" s="12" t="str">
        <x:v>12sl_statements.csv；ecg_id=9730；statements_ext_snomed</x:v>
      </x:c>
      <x:c r="L1083" s="12"/>
      <x:c r="M1083" s="12" t="str">
        <x:v>negative</x:v>
      </x:c>
      <x:c r="N1083" s="12"/>
      <x:c r="O1083" s="12" t="str">
        <x:v>negative</x:v>
      </x:c>
      <x:c r="P1083" s="12" t="str">
        <x:f>IF(OR(M1083="unavailable",O1083="unavailable"),"不可评价",IF(OR(M1083="equivocal",O1083="equivocal"),"疑似",IF(AND(M1083="positive",O1083="positive"),"a",IF(O1083="positive","b",IF(M1083="positive","c","d")))))</x:f>
        <x:v>d</x:v>
      </x:c>
      <x:c r="Q1083" s="12"/>
      <x:c r="R1083" s="12" t="str">
        <x:v>negative</x:v>
      </x:c>
      <x:c r="S1083" s="12"/>
      <x:c r="T1083" s="12" t="str">
        <x:v>negative</x:v>
      </x:c>
      <x:c r="U1083" s="12" t="str">
        <x:f>IF(OR(R1083="unavailable",T1083="unavailable"),"不可评价",IF(OR(R1083="equivocal",T1083="equivocal"),"疑似",IF(AND(R1083="positive",T1083="positive"),"a",IF(T1083="positive","b",IF(R1083="positive","c","d")))))</x:f>
        <x:v>d</x:v>
      </x:c>
      <x:c r="V1083" s="12"/>
      <x:c r="W1083" s="12" t="str">
        <x:v>negative</x:v>
      </x:c>
      <x:c r="X1083" s="12"/>
      <x:c r="Y1083" s="12" t="str">
        <x:v>negative</x:v>
      </x:c>
      <x:c r="Z1083" s="12" t="str">
        <x:f>IF(OR(W1083="unavailable",Y1083="unavailable"),"不可评价",IF(OR(W1083="equivocal",Y1083="equivocal"),"疑似",IF(AND(W1083="positive",Y1083="positive"),"a",IF(Y1083="positive","b",IF(W1083="positive","c","d")))))</x:f>
        <x:v>d</x:v>
      </x:c>
      <x:c r="AA1083" s="12" t="str">
        <x:f>IF(OR(M1083="unavailable",O1083="unavailable"),"不可评价",IF(AND(OR(M1083="positive",M1083="equivocal"),OR(O1083="positive",O1083="equivocal")),"a",IF(OR(O1083="positive",O1083="equivocal"),"b",IF(OR(M1083="positive",M1083="equivocal"),"c","d"))))</x:f>
        <x:v>d</x:v>
      </x:c>
      <x:c r="AB1083" s="12" t="str">
        <x:f>IF(OR(M1083="unavailable",O1083="unavailable"),"不可评价",IF(AND(M1083="positive",O1083="positive"),"a",IF(O1083="positive","b",IF(M1083="positive","c","d"))))</x:f>
        <x:v>d</x:v>
      </x:c>
      <x:c r="AC1083" s="12" t="str">
        <x:f>IF(OR(R1083="unavailable",T1083="unavailable"),"不可评价",IF(AND(OR(R1083="positive",R1083="equivocal"),OR(T1083="positive",T1083="equivocal")),"a",IF(OR(T1083="positive",T1083="equivocal"),"b",IF(OR(R1083="positive",R1083="equivocal"),"c","d"))))</x:f>
        <x:v>d</x:v>
      </x:c>
      <x:c r="AD1083" s="12" t="str">
        <x:f>IF(OR(R1083="unavailable",T1083="unavailable"),"不可评价",IF(AND(R1083="positive",T1083="positive"),"a",IF(T1083="positive","b",IF(R1083="positive","c","d"))))</x:f>
        <x:v>d</x:v>
      </x:c>
      <x:c r="AE1083" s="12" t="str">
        <x:f>IF(OR(W1083="unavailable",Y1083="unavailable"),"不可评价",IF(AND(OR(W1083="positive",W1083="equivocal"),OR(Y1083="positive",Y1083="equivocal")),"a",IF(OR(Y1083="positive",Y1083="equivocal"),"b",IF(OR(W1083="positive",W1083="equivocal"),"c","d"))))</x:f>
        <x:v>d</x:v>
      </x:c>
      <x:c r="AF1083" s="12" t="str">
        <x:f>IF(OR(W1083="unavailable",Y1083="unavailable"),"不可评价",IF(AND(W1083="positive",Y1083="positive"),"a",IF(Y1083="positive","b",IF(W1083="positive","c","d"))))</x:f>
        <x:v>d</x:v>
      </x:c>
    </x:row>
    <x:row r="1084" ht="24" customHeight="1">
      <x:c r="A1084" s="12" t="str">
        <x:v>9732</x:v>
      </x:c>
      <x:c r="B1084" s="12" t="str">
        <x:v>6910</x:v>
      </x:c>
      <x:c r="C1084" s="21" t="n">
        <x:v>33997.385879629626</x:v>
      </x:c>
      <x:c r="D1084" s="12" t="n">
        <x:v>300</x:v>
      </x:c>
      <x:c r="E1084" s="12" t="n">
        <x:v>1</x:v>
      </x:c>
      <x:c r="F1084" s="12" t="str">
        <x:v>未记录</x:v>
      </x:c>
      <x:c r="G1084" s="12" t="n">
        <x:v>1</x:v>
      </x:c>
      <x:c r="H1084" s="12" t="str">
        <x:v>{'IMI': 100.0, 'NDT': 100.0, 'QWAVE': 0.0, 'LOWT': 0.0, 'AFIB': 0.0}</x:v>
      </x:c>
      <x:c r="I1084" s="12" t="str">
        <x:v>[('SRTH', 100.0), ('PSVC', 100.0), ('LAD3', 100.0), ('IMI;AU', 100.0), ('AB', 100.0)]</x:v>
      </x:c>
      <x:c r="J1084" s="12" t="str">
        <x:v>ptbxl_database.csv；ecg_id=9732；scp_codes</x:v>
      </x:c>
      <x:c r="K1084" s="12" t="str">
        <x:v>12sl_statements.csv；ecg_id=9732；statements_ext_snomed</x:v>
      </x:c>
      <x:c r="L1084" s="12" t="n">
        <x:v>0</x:v>
      </x:c>
      <x:c r="M1084" s="12" t="str">
        <x:v>positive</x:v>
      </x:c>
      <x:c r="N1084" s="12"/>
      <x:c r="O1084" s="12" t="str">
        <x:v>negative</x:v>
      </x:c>
      <x:c r="P1084" s="12" t="str">
        <x:f>IF(OR(M1084="unavailable",O1084="unavailable"),"不可评价",IF(OR(M1084="equivocal",O1084="equivocal"),"疑似",IF(AND(M1084="positive",O1084="positive"),"a",IF(O1084="positive","b",IF(M1084="positive","c","d")))))</x:f>
        <x:v>c</x:v>
      </x:c>
      <x:c r="Q1084" s="12"/>
      <x:c r="R1084" s="12" t="str">
        <x:v>negative</x:v>
      </x:c>
      <x:c r="S1084" s="12"/>
      <x:c r="T1084" s="12" t="str">
        <x:v>negative</x:v>
      </x:c>
      <x:c r="U1084" s="12" t="str">
        <x:f>IF(OR(R1084="unavailable",T1084="unavailable"),"不可评价",IF(OR(R1084="equivocal",T1084="equivocal"),"疑似",IF(AND(R1084="positive",T1084="positive"),"a",IF(T1084="positive","b",IF(R1084="positive","c","d")))))</x:f>
        <x:v>d</x:v>
      </x:c>
      <x:c r="V1084" s="12"/>
      <x:c r="W1084" s="12" t="str">
        <x:v>negative</x:v>
      </x:c>
      <x:c r="X1084" s="12"/>
      <x:c r="Y1084" s="12" t="str">
        <x:v>negative</x:v>
      </x:c>
      <x:c r="Z1084" s="12" t="str">
        <x:f>IF(OR(W1084="unavailable",Y1084="unavailable"),"不可评价",IF(OR(W1084="equivocal",Y1084="equivocal"),"疑似",IF(AND(W1084="positive",Y1084="positive"),"a",IF(Y1084="positive","b",IF(W1084="positive","c","d")))))</x:f>
        <x:v>d</x:v>
      </x:c>
      <x:c r="AA1084" s="12" t="str">
        <x:f>IF(OR(M1084="unavailable",O1084="unavailable"),"不可评价",IF(AND(OR(M1084="positive",M1084="equivocal"),OR(O1084="positive",O1084="equivocal")),"a",IF(OR(O1084="positive",O1084="equivocal"),"b",IF(OR(M1084="positive",M1084="equivocal"),"c","d"))))</x:f>
        <x:v>c</x:v>
      </x:c>
      <x:c r="AB1084" s="12" t="str">
        <x:f>IF(OR(M1084="unavailable",O1084="unavailable"),"不可评价",IF(AND(M1084="positive",O1084="positive"),"a",IF(O1084="positive","b",IF(M1084="positive","c","d"))))</x:f>
        <x:v>c</x:v>
      </x:c>
      <x:c r="AC1084" s="12" t="str">
        <x:f>IF(OR(R1084="unavailable",T1084="unavailable"),"不可评价",IF(AND(OR(R1084="positive",R1084="equivocal"),OR(T1084="positive",T1084="equivocal")),"a",IF(OR(T1084="positive",T1084="equivocal"),"b",IF(OR(R1084="positive",R1084="equivocal"),"c","d"))))</x:f>
        <x:v>d</x:v>
      </x:c>
      <x:c r="AD1084" s="12" t="str">
        <x:f>IF(OR(R1084="unavailable",T1084="unavailable"),"不可评价",IF(AND(R1084="positive",T1084="positive"),"a",IF(T1084="positive","b",IF(R1084="positive","c","d"))))</x:f>
        <x:v>d</x:v>
      </x:c>
      <x:c r="AE1084" s="12" t="str">
        <x:f>IF(OR(W1084="unavailable",Y1084="unavailable"),"不可评价",IF(AND(OR(W1084="positive",W1084="equivocal"),OR(Y1084="positive",Y1084="equivocal")),"a",IF(OR(Y1084="positive",Y1084="equivocal"),"b",IF(OR(W1084="positive",W1084="equivocal"),"c","d"))))</x:f>
        <x:v>d</x:v>
      </x:c>
      <x:c r="AF1084" s="12" t="str">
        <x:f>IF(OR(W1084="unavailable",Y1084="unavailable"),"不可评价",IF(AND(W1084="positive",Y1084="positive"),"a",IF(Y1084="positive","b",IF(W1084="positive","c","d"))))</x:f>
        <x:v>d</x:v>
      </x:c>
    </x:row>
    <x:row r="1085" ht="24" customHeight="1">
      <x:c r="A1085" s="12" t="str">
        <x:v>9740</x:v>
      </x:c>
      <x:c r="B1085" s="12" t="str">
        <x:v>3642</x:v>
      </x:c>
      <x:c r="C1085" s="21" t="n">
        <x:v>33997.899560185186</x:v>
      </x:c>
      <x:c r="D1085" s="12" t="n">
        <x:v>59</x:v>
      </x:c>
      <x:c r="E1085" s="12" t="n">
        <x:v>0</x:v>
      </x:c>
      <x:c r="F1085" s="12" t="str">
        <x:v>未记录</x:v>
      </x:c>
      <x:c r="G1085" s="12" t="n">
        <x:v>1</x:v>
      </x:c>
      <x:c r="H1085" s="12" t="str">
        <x:v>{'NORM': 100.0}</x:v>
      </x:c>
      <x:c r="I1085" s="12" t="str">
        <x:v>[('SBRAD', 100.0), ('BORDE', 100.0)]</x:v>
      </x:c>
      <x:c r="J1085" s="12" t="str">
        <x:v>ptbxl_database.csv；ecg_id=9740；scp_codes</x:v>
      </x:c>
      <x:c r="K1085" s="12" t="str">
        <x:v>12sl_statements.csv；ecg_id=9740；statements_ext_snomed</x:v>
      </x:c>
      <x:c r="L1085" s="12"/>
      <x:c r="M1085" s="12" t="str">
        <x:v>negative</x:v>
      </x:c>
      <x:c r="N1085" s="12"/>
      <x:c r="O1085" s="12" t="str">
        <x:v>negative</x:v>
      </x:c>
      <x:c r="P1085" s="12" t="str">
        <x:f>IF(OR(M1085="unavailable",O1085="unavailable"),"不可评价",IF(OR(M1085="equivocal",O1085="equivocal"),"疑似",IF(AND(M1085="positive",O1085="positive"),"a",IF(O1085="positive","b",IF(M1085="positive","c","d")))))</x:f>
        <x:v>d</x:v>
      </x:c>
      <x:c r="Q1085" s="12"/>
      <x:c r="R1085" s="12" t="str">
        <x:v>negative</x:v>
      </x:c>
      <x:c r="S1085" s="12"/>
      <x:c r="T1085" s="12" t="str">
        <x:v>negative</x:v>
      </x:c>
      <x:c r="U1085" s="12" t="str">
        <x:f>IF(OR(R1085="unavailable",T1085="unavailable"),"不可评价",IF(OR(R1085="equivocal",T1085="equivocal"),"疑似",IF(AND(R1085="positive",T1085="positive"),"a",IF(T1085="positive","b",IF(R1085="positive","c","d")))))</x:f>
        <x:v>d</x:v>
      </x:c>
      <x:c r="V1085" s="12"/>
      <x:c r="W1085" s="12" t="str">
        <x:v>negative</x:v>
      </x:c>
      <x:c r="X1085" s="12"/>
      <x:c r="Y1085" s="12" t="str">
        <x:v>negative</x:v>
      </x:c>
      <x:c r="Z1085" s="12" t="str">
        <x:f>IF(OR(W1085="unavailable",Y1085="unavailable"),"不可评价",IF(OR(W1085="equivocal",Y1085="equivocal"),"疑似",IF(AND(W1085="positive",Y1085="positive"),"a",IF(Y1085="positive","b",IF(W1085="positive","c","d")))))</x:f>
        <x:v>d</x:v>
      </x:c>
      <x:c r="AA1085" s="12" t="str">
        <x:f>IF(OR(M1085="unavailable",O1085="unavailable"),"不可评价",IF(AND(OR(M1085="positive",M1085="equivocal"),OR(O1085="positive",O1085="equivocal")),"a",IF(OR(O1085="positive",O1085="equivocal"),"b",IF(OR(M1085="positive",M1085="equivocal"),"c","d"))))</x:f>
        <x:v>d</x:v>
      </x:c>
      <x:c r="AB1085" s="12" t="str">
        <x:f>IF(OR(M1085="unavailable",O1085="unavailable"),"不可评价",IF(AND(M1085="positive",O1085="positive"),"a",IF(O1085="positive","b",IF(M1085="positive","c","d"))))</x:f>
        <x:v>d</x:v>
      </x:c>
      <x:c r="AC1085" s="12" t="str">
        <x:f>IF(OR(R1085="unavailable",T1085="unavailable"),"不可评价",IF(AND(OR(R1085="positive",R1085="equivocal"),OR(T1085="positive",T1085="equivocal")),"a",IF(OR(T1085="positive",T1085="equivocal"),"b",IF(OR(R1085="positive",R1085="equivocal"),"c","d"))))</x:f>
        <x:v>d</x:v>
      </x:c>
      <x:c r="AD1085" s="12" t="str">
        <x:f>IF(OR(R1085="unavailable",T1085="unavailable"),"不可评价",IF(AND(R1085="positive",T1085="positive"),"a",IF(T1085="positive","b",IF(R1085="positive","c","d"))))</x:f>
        <x:v>d</x:v>
      </x:c>
      <x:c r="AE1085" s="12" t="str">
        <x:f>IF(OR(W1085="unavailable",Y1085="unavailable"),"不可评价",IF(AND(OR(W1085="positive",W1085="equivocal"),OR(Y1085="positive",Y1085="equivocal")),"a",IF(OR(Y1085="positive",Y1085="equivocal"),"b",IF(OR(W1085="positive",W1085="equivocal"),"c","d"))))</x:f>
        <x:v>d</x:v>
      </x:c>
      <x:c r="AF1085" s="12" t="str">
        <x:f>IF(OR(W1085="unavailable",Y1085="unavailable"),"不可评价",IF(AND(W1085="positive",Y1085="positive"),"a",IF(Y1085="positive","b",IF(W1085="positive","c","d"))))</x:f>
        <x:v>d</x:v>
      </x:c>
    </x:row>
    <x:row r="1086" ht="24" customHeight="1">
      <x:c r="A1086" s="12" t="str">
        <x:v>9744</x:v>
      </x:c>
      <x:c r="B1086" s="12" t="str">
        <x:v>6532</x:v>
      </x:c>
      <x:c r="C1086" s="21" t="n">
        <x:v>33998.38487268519</x:v>
      </x:c>
      <x:c r="D1086" s="12" t="n">
        <x:v>71</x:v>
      </x:c>
      <x:c r="E1086" s="12" t="n">
        <x:v>1</x:v>
      </x:c>
      <x:c r="F1086" s="12" t="str">
        <x:v>未记录</x:v>
      </x:c>
      <x:c r="G1086" s="12" t="n">
        <x:v>1</x:v>
      </x:c>
      <x:c r="H1086" s="12" t="str">
        <x:v>{'NORM': 100.0, 'SR': 0.0}</x:v>
      </x:c>
      <x:c r="I1086" s="12" t="str">
        <x:v>[('NSR', 100.0), ('NML', 100.0)]</x:v>
      </x:c>
      <x:c r="J1086" s="12" t="str">
        <x:v>ptbxl_database.csv；ecg_id=9744；scp_codes</x:v>
      </x:c>
      <x:c r="K1086" s="12" t="str">
        <x:v>12sl_statements.csv；ecg_id=9744；statements_ext_snomed</x:v>
      </x:c>
      <x:c r="L1086" s="12"/>
      <x:c r="M1086" s="12" t="str">
        <x:v>negative</x:v>
      </x:c>
      <x:c r="N1086" s="12"/>
      <x:c r="O1086" s="12" t="str">
        <x:v>negative</x:v>
      </x:c>
      <x:c r="P1086" s="12" t="str">
        <x:f>IF(OR(M1086="unavailable",O1086="unavailable"),"不可评价",IF(OR(M1086="equivocal",O1086="equivocal"),"疑似",IF(AND(M1086="positive",O1086="positive"),"a",IF(O1086="positive","b",IF(M1086="positive","c","d")))))</x:f>
        <x:v>d</x:v>
      </x:c>
      <x:c r="Q1086" s="12"/>
      <x:c r="R1086" s="12" t="str">
        <x:v>negative</x:v>
      </x:c>
      <x:c r="S1086" s="12"/>
      <x:c r="T1086" s="12" t="str">
        <x:v>negative</x:v>
      </x:c>
      <x:c r="U1086" s="12" t="str">
        <x:f>IF(OR(R1086="unavailable",T1086="unavailable"),"不可评价",IF(OR(R1086="equivocal",T1086="equivocal"),"疑似",IF(AND(R1086="positive",T1086="positive"),"a",IF(T1086="positive","b",IF(R1086="positive","c","d")))))</x:f>
        <x:v>d</x:v>
      </x:c>
      <x:c r="V1086" s="12"/>
      <x:c r="W1086" s="12" t="str">
        <x:v>negative</x:v>
      </x:c>
      <x:c r="X1086" s="12"/>
      <x:c r="Y1086" s="12" t="str">
        <x:v>negative</x:v>
      </x:c>
      <x:c r="Z1086" s="12" t="str">
        <x:f>IF(OR(W1086="unavailable",Y1086="unavailable"),"不可评价",IF(OR(W1086="equivocal",Y1086="equivocal"),"疑似",IF(AND(W1086="positive",Y1086="positive"),"a",IF(Y1086="positive","b",IF(W1086="positive","c","d")))))</x:f>
        <x:v>d</x:v>
      </x:c>
      <x:c r="AA1086" s="12" t="str">
        <x:f>IF(OR(M1086="unavailable",O1086="unavailable"),"不可评价",IF(AND(OR(M1086="positive",M1086="equivocal"),OR(O1086="positive",O1086="equivocal")),"a",IF(OR(O1086="positive",O1086="equivocal"),"b",IF(OR(M1086="positive",M1086="equivocal"),"c","d"))))</x:f>
        <x:v>d</x:v>
      </x:c>
      <x:c r="AB1086" s="12" t="str">
        <x:f>IF(OR(M1086="unavailable",O1086="unavailable"),"不可评价",IF(AND(M1086="positive",O1086="positive"),"a",IF(O1086="positive","b",IF(M1086="positive","c","d"))))</x:f>
        <x:v>d</x:v>
      </x:c>
      <x:c r="AC1086" s="12" t="str">
        <x:f>IF(OR(R1086="unavailable",T1086="unavailable"),"不可评价",IF(AND(OR(R1086="positive",R1086="equivocal"),OR(T1086="positive",T1086="equivocal")),"a",IF(OR(T1086="positive",T1086="equivocal"),"b",IF(OR(R1086="positive",R1086="equivocal"),"c","d"))))</x:f>
        <x:v>d</x:v>
      </x:c>
      <x:c r="AD1086" s="12" t="str">
        <x:f>IF(OR(R1086="unavailable",T1086="unavailable"),"不可评价",IF(AND(R1086="positive",T1086="positive"),"a",IF(T1086="positive","b",IF(R1086="positive","c","d"))))</x:f>
        <x:v>d</x:v>
      </x:c>
      <x:c r="AE1086" s="12" t="str">
        <x:f>IF(OR(W1086="unavailable",Y1086="unavailable"),"不可评价",IF(AND(OR(W1086="positive",W1086="equivocal"),OR(Y1086="positive",Y1086="equivocal")),"a",IF(OR(Y1086="positive",Y1086="equivocal"),"b",IF(OR(W1086="positive",W1086="equivocal"),"c","d"))))</x:f>
        <x:v>d</x:v>
      </x:c>
      <x:c r="AF1086" s="12" t="str">
        <x:f>IF(OR(W1086="unavailable",Y1086="unavailable"),"不可评价",IF(AND(W1086="positive",Y1086="positive"),"a",IF(Y1086="positive","b",IF(W1086="positive","c","d"))))</x:f>
        <x:v>d</x:v>
      </x:c>
    </x:row>
    <x:row r="1087" ht="24" customHeight="1">
      <x:c r="A1087" s="12" t="str">
        <x:v>9749</x:v>
      </x:c>
      <x:c r="B1087" s="12" t="str">
        <x:v>17595</x:v>
      </x:c>
      <x:c r="C1087" s="21" t="n">
        <x:v>33998.47101851852</x:v>
      </x:c>
      <x:c r="D1087" s="12" t="n">
        <x:v>62</x:v>
      </x:c>
      <x:c r="E1087" s="12" t="n">
        <x:v>1</x:v>
      </x:c>
      <x:c r="F1087" s="12" t="str">
        <x:v>未记录</x:v>
      </x:c>
      <x:c r="G1087" s="12" t="n">
        <x:v>1</x:v>
      </x:c>
      <x:c r="H1087" s="12" t="str">
        <x:v>{'NDT': 100.0, 'SR': 0.0}</x:v>
      </x:c>
      <x:c r="I1087" s="12" t="str">
        <x:v>[('NSR', 100.0), ('NSTT', 100.0), ('AB', 100.0)]</x:v>
      </x:c>
      <x:c r="J1087" s="12" t="str">
        <x:v>ptbxl_database.csv；ecg_id=9749；scp_codes</x:v>
      </x:c>
      <x:c r="K1087" s="12" t="str">
        <x:v>12sl_statements.csv；ecg_id=9749；statements_ext_snomed</x:v>
      </x:c>
      <x:c r="L1087" s="12"/>
      <x:c r="M1087" s="12" t="str">
        <x:v>negative</x:v>
      </x:c>
      <x:c r="N1087" s="12"/>
      <x:c r="O1087" s="12" t="str">
        <x:v>negative</x:v>
      </x:c>
      <x:c r="P1087" s="12" t="str">
        <x:f>IF(OR(M1087="unavailable",O1087="unavailable"),"不可评价",IF(OR(M1087="equivocal",O1087="equivocal"),"疑似",IF(AND(M1087="positive",O1087="positive"),"a",IF(O1087="positive","b",IF(M1087="positive","c","d")))))</x:f>
        <x:v>d</x:v>
      </x:c>
      <x:c r="Q1087" s="12"/>
      <x:c r="R1087" s="12" t="str">
        <x:v>negative</x:v>
      </x:c>
      <x:c r="S1087" s="12"/>
      <x:c r="T1087" s="12" t="str">
        <x:v>negative</x:v>
      </x:c>
      <x:c r="U1087" s="12" t="str">
        <x:f>IF(OR(R1087="unavailable",T1087="unavailable"),"不可评价",IF(OR(R1087="equivocal",T1087="equivocal"),"疑似",IF(AND(R1087="positive",T1087="positive"),"a",IF(T1087="positive","b",IF(R1087="positive","c","d")))))</x:f>
        <x:v>d</x:v>
      </x:c>
      <x:c r="V1087" s="12"/>
      <x:c r="W1087" s="12" t="str">
        <x:v>negative</x:v>
      </x:c>
      <x:c r="X1087" s="12"/>
      <x:c r="Y1087" s="12" t="str">
        <x:v>negative</x:v>
      </x:c>
      <x:c r="Z1087" s="12" t="str">
        <x:f>IF(OR(W1087="unavailable",Y1087="unavailable"),"不可评价",IF(OR(W1087="equivocal",Y1087="equivocal"),"疑似",IF(AND(W1087="positive",Y1087="positive"),"a",IF(Y1087="positive","b",IF(W1087="positive","c","d")))))</x:f>
        <x:v>d</x:v>
      </x:c>
      <x:c r="AA1087" s="12" t="str">
        <x:f>IF(OR(M1087="unavailable",O1087="unavailable"),"不可评价",IF(AND(OR(M1087="positive",M1087="equivocal"),OR(O1087="positive",O1087="equivocal")),"a",IF(OR(O1087="positive",O1087="equivocal"),"b",IF(OR(M1087="positive",M1087="equivocal"),"c","d"))))</x:f>
        <x:v>d</x:v>
      </x:c>
      <x:c r="AB1087" s="12" t="str">
        <x:f>IF(OR(M1087="unavailable",O1087="unavailable"),"不可评价",IF(AND(M1087="positive",O1087="positive"),"a",IF(O1087="positive","b",IF(M1087="positive","c","d"))))</x:f>
        <x:v>d</x:v>
      </x:c>
      <x:c r="AC1087" s="12" t="str">
        <x:f>IF(OR(R1087="unavailable",T1087="unavailable"),"不可评价",IF(AND(OR(R1087="positive",R1087="equivocal"),OR(T1087="positive",T1087="equivocal")),"a",IF(OR(T1087="positive",T1087="equivocal"),"b",IF(OR(R1087="positive",R1087="equivocal"),"c","d"))))</x:f>
        <x:v>d</x:v>
      </x:c>
      <x:c r="AD1087" s="12" t="str">
        <x:f>IF(OR(R1087="unavailable",T1087="unavailable"),"不可评价",IF(AND(R1087="positive",T1087="positive"),"a",IF(T1087="positive","b",IF(R1087="positive","c","d"))))</x:f>
        <x:v>d</x:v>
      </x:c>
      <x:c r="AE1087" s="12" t="str">
        <x:f>IF(OR(W1087="unavailable",Y1087="unavailable"),"不可评价",IF(AND(OR(W1087="positive",W1087="equivocal"),OR(Y1087="positive",Y1087="equivocal")),"a",IF(OR(Y1087="positive",Y1087="equivocal"),"b",IF(OR(W1087="positive",W1087="equivocal"),"c","d"))))</x:f>
        <x:v>d</x:v>
      </x:c>
      <x:c r="AF1087" s="12" t="str">
        <x:f>IF(OR(W1087="unavailable",Y1087="unavailable"),"不可评价",IF(AND(W1087="positive",Y1087="positive"),"a",IF(Y1087="positive","b",IF(W1087="positive","c","d"))))</x:f>
        <x:v>d</x:v>
      </x:c>
    </x:row>
    <x:row r="1088" ht="24" customHeight="1">
      <x:c r="A1088" s="12" t="str">
        <x:v>9752</x:v>
      </x:c>
      <x:c r="B1088" s="12" t="str">
        <x:v>2336</x:v>
      </x:c>
      <x:c r="C1088" s="21" t="n">
        <x:v>33998.58131944444</x:v>
      </x:c>
      <x:c r="D1088" s="12" t="n">
        <x:v>50</x:v>
      </x:c>
      <x:c r="E1088" s="12" t="n">
        <x:v>1</x:v>
      </x:c>
      <x:c r="F1088" s="12" t="str">
        <x:v>未记录</x:v>
      </x:c>
      <x:c r="G1088" s="12" t="n">
        <x:v>1</x:v>
      </x:c>
      <x:c r="H1088" s="12" t="str">
        <x:v>{'NORM': 100.0, 'SR': 0.0}</x:v>
      </x:c>
      <x:c r="I1088" s="12" t="str">
        <x:v>[('NSR', 100.0), ('NML', 100.0)]</x:v>
      </x:c>
      <x:c r="J1088" s="12" t="str">
        <x:v>ptbxl_database.csv；ecg_id=9752；scp_codes</x:v>
      </x:c>
      <x:c r="K1088" s="12" t="str">
        <x:v>12sl_statements.csv；ecg_id=9752；statements_ext_snomed</x:v>
      </x:c>
      <x:c r="L1088" s="12"/>
      <x:c r="M1088" s="12" t="str">
        <x:v>negative</x:v>
      </x:c>
      <x:c r="N1088" s="12"/>
      <x:c r="O1088" s="12" t="str">
        <x:v>negative</x:v>
      </x:c>
      <x:c r="P1088" s="12" t="str">
        <x:f>IF(OR(M1088="unavailable",O1088="unavailable"),"不可评价",IF(OR(M1088="equivocal",O1088="equivocal"),"疑似",IF(AND(M1088="positive",O1088="positive"),"a",IF(O1088="positive","b",IF(M1088="positive","c","d")))))</x:f>
        <x:v>d</x:v>
      </x:c>
      <x:c r="Q1088" s="12"/>
      <x:c r="R1088" s="12" t="str">
        <x:v>negative</x:v>
      </x:c>
      <x:c r="S1088" s="12"/>
      <x:c r="T1088" s="12" t="str">
        <x:v>negative</x:v>
      </x:c>
      <x:c r="U1088" s="12" t="str">
        <x:f>IF(OR(R1088="unavailable",T1088="unavailable"),"不可评价",IF(OR(R1088="equivocal",T1088="equivocal"),"疑似",IF(AND(R1088="positive",T1088="positive"),"a",IF(T1088="positive","b",IF(R1088="positive","c","d")))))</x:f>
        <x:v>d</x:v>
      </x:c>
      <x:c r="V1088" s="12"/>
      <x:c r="W1088" s="12" t="str">
        <x:v>negative</x:v>
      </x:c>
      <x:c r="X1088" s="12"/>
      <x:c r="Y1088" s="12" t="str">
        <x:v>negative</x:v>
      </x:c>
      <x:c r="Z1088" s="12" t="str">
        <x:f>IF(OR(W1088="unavailable",Y1088="unavailable"),"不可评价",IF(OR(W1088="equivocal",Y1088="equivocal"),"疑似",IF(AND(W1088="positive",Y1088="positive"),"a",IF(Y1088="positive","b",IF(W1088="positive","c","d")))))</x:f>
        <x:v>d</x:v>
      </x:c>
      <x:c r="AA1088" s="12" t="str">
        <x:f>IF(OR(M1088="unavailable",O1088="unavailable"),"不可评价",IF(AND(OR(M1088="positive",M1088="equivocal"),OR(O1088="positive",O1088="equivocal")),"a",IF(OR(O1088="positive",O1088="equivocal"),"b",IF(OR(M1088="positive",M1088="equivocal"),"c","d"))))</x:f>
        <x:v>d</x:v>
      </x:c>
      <x:c r="AB1088" s="12" t="str">
        <x:f>IF(OR(M1088="unavailable",O1088="unavailable"),"不可评价",IF(AND(M1088="positive",O1088="positive"),"a",IF(O1088="positive","b",IF(M1088="positive","c","d"))))</x:f>
        <x:v>d</x:v>
      </x:c>
      <x:c r="AC1088" s="12" t="str">
        <x:f>IF(OR(R1088="unavailable",T1088="unavailable"),"不可评价",IF(AND(OR(R1088="positive",R1088="equivocal"),OR(T1088="positive",T1088="equivocal")),"a",IF(OR(T1088="positive",T1088="equivocal"),"b",IF(OR(R1088="positive",R1088="equivocal"),"c","d"))))</x:f>
        <x:v>d</x:v>
      </x:c>
      <x:c r="AD1088" s="12" t="str">
        <x:f>IF(OR(R1088="unavailable",T1088="unavailable"),"不可评价",IF(AND(R1088="positive",T1088="positive"),"a",IF(T1088="positive","b",IF(R1088="positive","c","d"))))</x:f>
        <x:v>d</x:v>
      </x:c>
      <x:c r="AE1088" s="12" t="str">
        <x:f>IF(OR(W1088="unavailable",Y1088="unavailable"),"不可评价",IF(AND(OR(W1088="positive",W1088="equivocal"),OR(Y1088="positive",Y1088="equivocal")),"a",IF(OR(Y1088="positive",Y1088="equivocal"),"b",IF(OR(W1088="positive",W1088="equivocal"),"c","d"))))</x:f>
        <x:v>d</x:v>
      </x:c>
      <x:c r="AF1088" s="12" t="str">
        <x:f>IF(OR(W1088="unavailable",Y1088="unavailable"),"不可评价",IF(AND(W1088="positive",Y1088="positive"),"a",IF(Y1088="positive","b",IF(W1088="positive","c","d"))))</x:f>
        <x:v>d</x:v>
      </x:c>
    </x:row>
    <x:row r="1089" ht="24" customHeight="1">
      <x:c r="A1089" s="12" t="str">
        <x:v>9753</x:v>
      </x:c>
      <x:c r="B1089" s="12" t="str">
        <x:v>14940</x:v>
      </x:c>
      <x:c r="C1089" s="21" t="n">
        <x:v>33998.60196759259</x:v>
      </x:c>
      <x:c r="D1089" s="12" t="n">
        <x:v>37</x:v>
      </x:c>
      <x:c r="E1089" s="12" t="n">
        <x:v>0</x:v>
      </x:c>
      <x:c r="F1089" s="12" t="str">
        <x:v>未记录</x:v>
      </x:c>
      <x:c r="G1089" s="12" t="n">
        <x:v>0</x:v>
      </x:c>
      <x:c r="H1089" s="12" t="str">
        <x:v>{'NORM': 100.0, 'SR': 0.0}</x:v>
      </x:c>
      <x:c r="I1089" s="12" t="str">
        <x:v>[('NSR', 100.0), ('NML', 100.0)]</x:v>
      </x:c>
      <x:c r="J1089" s="12" t="str">
        <x:v>ptbxl_database.csv；ecg_id=9753；scp_codes</x:v>
      </x:c>
      <x:c r="K1089" s="12" t="str">
        <x:v>12sl_statements.csv；ecg_id=9753；statements_ext_snomed</x:v>
      </x:c>
      <x:c r="L1089" s="12"/>
      <x:c r="M1089" s="12" t="str">
        <x:v>negative</x:v>
      </x:c>
      <x:c r="N1089" s="12"/>
      <x:c r="O1089" s="12" t="str">
        <x:v>negative</x:v>
      </x:c>
      <x:c r="P1089" s="12" t="str">
        <x:f>IF(OR(M1089="unavailable",O1089="unavailable"),"不可评价",IF(OR(M1089="equivocal",O1089="equivocal"),"疑似",IF(AND(M1089="positive",O1089="positive"),"a",IF(O1089="positive","b",IF(M1089="positive","c","d")))))</x:f>
        <x:v>d</x:v>
      </x:c>
      <x:c r="Q1089" s="12"/>
      <x:c r="R1089" s="12" t="str">
        <x:v>negative</x:v>
      </x:c>
      <x:c r="S1089" s="12"/>
      <x:c r="T1089" s="12" t="str">
        <x:v>negative</x:v>
      </x:c>
      <x:c r="U1089" s="12" t="str">
        <x:f>IF(OR(R1089="unavailable",T1089="unavailable"),"不可评价",IF(OR(R1089="equivocal",T1089="equivocal"),"疑似",IF(AND(R1089="positive",T1089="positive"),"a",IF(T1089="positive","b",IF(R1089="positive","c","d")))))</x:f>
        <x:v>d</x:v>
      </x:c>
      <x:c r="V1089" s="12"/>
      <x:c r="W1089" s="12" t="str">
        <x:v>negative</x:v>
      </x:c>
      <x:c r="X1089" s="12"/>
      <x:c r="Y1089" s="12" t="str">
        <x:v>negative</x:v>
      </x:c>
      <x:c r="Z1089" s="12" t="str">
        <x:f>IF(OR(W1089="unavailable",Y1089="unavailable"),"不可评价",IF(OR(W1089="equivocal",Y1089="equivocal"),"疑似",IF(AND(W1089="positive",Y1089="positive"),"a",IF(Y1089="positive","b",IF(W1089="positive","c","d")))))</x:f>
        <x:v>d</x:v>
      </x:c>
      <x:c r="AA1089" s="12" t="str">
        <x:f>IF(OR(M1089="unavailable",O1089="unavailable"),"不可评价",IF(AND(OR(M1089="positive",M1089="equivocal"),OR(O1089="positive",O1089="equivocal")),"a",IF(OR(O1089="positive",O1089="equivocal"),"b",IF(OR(M1089="positive",M1089="equivocal"),"c","d"))))</x:f>
        <x:v>d</x:v>
      </x:c>
      <x:c r="AB1089" s="12" t="str">
        <x:f>IF(OR(M1089="unavailable",O1089="unavailable"),"不可评价",IF(AND(M1089="positive",O1089="positive"),"a",IF(O1089="positive","b",IF(M1089="positive","c","d"))))</x:f>
        <x:v>d</x:v>
      </x:c>
      <x:c r="AC1089" s="12" t="str">
        <x:f>IF(OR(R1089="unavailable",T1089="unavailable"),"不可评价",IF(AND(OR(R1089="positive",R1089="equivocal"),OR(T1089="positive",T1089="equivocal")),"a",IF(OR(T1089="positive",T1089="equivocal"),"b",IF(OR(R1089="positive",R1089="equivocal"),"c","d"))))</x:f>
        <x:v>d</x:v>
      </x:c>
      <x:c r="AD1089" s="12" t="str">
        <x:f>IF(OR(R1089="unavailable",T1089="unavailable"),"不可评价",IF(AND(R1089="positive",T1089="positive"),"a",IF(T1089="positive","b",IF(R1089="positive","c","d"))))</x:f>
        <x:v>d</x:v>
      </x:c>
      <x:c r="AE1089" s="12" t="str">
        <x:f>IF(OR(W1089="unavailable",Y1089="unavailable"),"不可评价",IF(AND(OR(W1089="positive",W1089="equivocal"),OR(Y1089="positive",Y1089="equivocal")),"a",IF(OR(Y1089="positive",Y1089="equivocal"),"b",IF(OR(W1089="positive",W1089="equivocal"),"c","d"))))</x:f>
        <x:v>d</x:v>
      </x:c>
      <x:c r="AF1089" s="12" t="str">
        <x:f>IF(OR(W1089="unavailable",Y1089="unavailable"),"不可评价",IF(AND(W1089="positive",Y1089="positive"),"a",IF(Y1089="positive","b",IF(W1089="positive","c","d"))))</x:f>
        <x:v>d</x:v>
      </x:c>
    </x:row>
    <x:row r="1090" ht="39" customHeight="1">
      <x:c r="A1090" s="12" t="str">
        <x:v>9756</x:v>
      </x:c>
      <x:c r="B1090" s="12" t="str">
        <x:v>21361</x:v>
      </x:c>
      <x:c r="C1090" s="21" t="n">
        <x:v>33999.41974537037</x:v>
      </x:c>
      <x:c r="D1090" s="12" t="n">
        <x:v>49</x:v>
      </x:c>
      <x:c r="E1090" s="12" t="n">
        <x:v>0</x:v>
      </x:c>
      <x:c r="F1090" s="12" t="str">
        <x:v>未记录</x:v>
      </x:c>
      <x:c r="G1090" s="12" t="n">
        <x:v>1</x:v>
      </x:c>
      <x:c r="H1090" s="12" t="str">
        <x:v>{'ASMI': 100.0, 'LVH': 50.0, 'ISC_': 100.0, 'ABQRS': 0.0, 'AFIB': 0.0}</x:v>
      </x:c>
      <x:c r="I1090" s="12" t="str">
        <x:v>[('AFIB', 100.0), ('ABER', 100.0), ('RAD', 100.0), ('ILBBB', 100.0), ('LVH2', 100.0), ('2ST', 100.0), ('AB', 100.0)]</x:v>
      </x:c>
      <x:c r="J1090" s="12" t="str">
        <x:v>ptbxl_database.csv；ecg_id=9756；scp_codes</x:v>
      </x:c>
      <x:c r="K1090" s="12" t="str">
        <x:v>12sl_statements.csv；ecg_id=9756；statements_ext_snomed</x:v>
      </x:c>
      <x:c r="L1090" s="12" t="n">
        <x:v>0</x:v>
      </x:c>
      <x:c r="M1090" s="12" t="str">
        <x:v>positive</x:v>
      </x:c>
      <x:c r="N1090" s="12" t="n">
        <x:v>100</x:v>
      </x:c>
      <x:c r="O1090" s="12" t="str">
        <x:v>positive</x:v>
      </x:c>
      <x:c r="P1090" s="12" t="str">
        <x:f>IF(OR(M1090="unavailable",O1090="unavailable"),"不可评价",IF(OR(M1090="equivocal",O1090="equivocal"),"疑似",IF(AND(M1090="positive",O1090="positive"),"a",IF(O1090="positive","b",IF(M1090="positive","c","d")))))</x:f>
        <x:v>a</x:v>
      </x:c>
      <x:c r="Q1090" s="12"/>
      <x:c r="R1090" s="12" t="str">
        <x:v>negative</x:v>
      </x:c>
      <x:c r="S1090" s="12"/>
      <x:c r="T1090" s="12" t="str">
        <x:v>negative</x:v>
      </x:c>
      <x:c r="U1090" s="12" t="str">
        <x:f>IF(OR(R1090="unavailable",T1090="unavailable"),"不可评价",IF(OR(R1090="equivocal",T1090="equivocal"),"疑似",IF(AND(R1090="positive",T1090="positive"),"a",IF(T1090="positive","b",IF(R1090="positive","c","d")))))</x:f>
        <x:v>d</x:v>
      </x:c>
      <x:c r="V1090" s="12"/>
      <x:c r="W1090" s="12" t="str">
        <x:v>negative</x:v>
      </x:c>
      <x:c r="X1090" s="12"/>
      <x:c r="Y1090" s="12" t="str">
        <x:v>negative</x:v>
      </x:c>
      <x:c r="Z1090" s="12" t="str">
        <x:f>IF(OR(W1090="unavailable",Y1090="unavailable"),"不可评价",IF(OR(W1090="equivocal",Y1090="equivocal"),"疑似",IF(AND(W1090="positive",Y1090="positive"),"a",IF(Y1090="positive","b",IF(W1090="positive","c","d")))))</x:f>
        <x:v>d</x:v>
      </x:c>
      <x:c r="AA1090" s="12" t="str">
        <x:f>IF(OR(M1090="unavailable",O1090="unavailable"),"不可评价",IF(AND(OR(M1090="positive",M1090="equivocal"),OR(O1090="positive",O1090="equivocal")),"a",IF(OR(O1090="positive",O1090="equivocal"),"b",IF(OR(M1090="positive",M1090="equivocal"),"c","d"))))</x:f>
        <x:v>a</x:v>
      </x:c>
      <x:c r="AB1090" s="12" t="str">
        <x:f>IF(OR(M1090="unavailable",O1090="unavailable"),"不可评价",IF(AND(M1090="positive",O1090="positive"),"a",IF(O1090="positive","b",IF(M1090="positive","c","d"))))</x:f>
        <x:v>a</x:v>
      </x:c>
      <x:c r="AC1090" s="12" t="str">
        <x:f>IF(OR(R1090="unavailable",T1090="unavailable"),"不可评价",IF(AND(OR(R1090="positive",R1090="equivocal"),OR(T1090="positive",T1090="equivocal")),"a",IF(OR(T1090="positive",T1090="equivocal"),"b",IF(OR(R1090="positive",R1090="equivocal"),"c","d"))))</x:f>
        <x:v>d</x:v>
      </x:c>
      <x:c r="AD1090" s="12" t="str">
        <x:f>IF(OR(R1090="unavailable",T1090="unavailable"),"不可评价",IF(AND(R1090="positive",T1090="positive"),"a",IF(T1090="positive","b",IF(R1090="positive","c","d"))))</x:f>
        <x:v>d</x:v>
      </x:c>
      <x:c r="AE1090" s="12" t="str">
        <x:f>IF(OR(W1090="unavailable",Y1090="unavailable"),"不可评价",IF(AND(OR(W1090="positive",W1090="equivocal"),OR(Y1090="positive",Y1090="equivocal")),"a",IF(OR(Y1090="positive",Y1090="equivocal"),"b",IF(OR(W1090="positive",W1090="equivocal"),"c","d"))))</x:f>
        <x:v>d</x:v>
      </x:c>
      <x:c r="AF1090" s="12" t="str">
        <x:f>IF(OR(W1090="unavailable",Y1090="unavailable"),"不可评价",IF(AND(W1090="positive",Y1090="positive"),"a",IF(Y1090="positive","b",IF(W1090="positive","c","d"))))</x:f>
        <x:v>d</x:v>
      </x:c>
    </x:row>
    <x:row r="1091" ht="24" customHeight="1">
      <x:c r="A1091" s="12" t="str">
        <x:v>9765</x:v>
      </x:c>
      <x:c r="B1091" s="12" t="str">
        <x:v>11027</x:v>
      </x:c>
      <x:c r="C1091" s="21" t="n">
        <x:v>34001.42003472222</x:v>
      </x:c>
      <x:c r="D1091" s="12" t="n">
        <x:v>73</x:v>
      </x:c>
      <x:c r="E1091" s="12" t="n">
        <x:v>1</x:v>
      </x:c>
      <x:c r="F1091" s="12" t="str">
        <x:v>未记录</x:v>
      </x:c>
      <x:c r="G1091" s="12" t="n">
        <x:v>1</x:v>
      </x:c>
      <x:c r="H1091" s="12" t="str">
        <x:v>{'ILMI': 100.0, 'IVCD': 100.0, 'ABQRS': 0.0, 'SR': 0.0}</x:v>
      </x:c>
      <x:c r="I1091" s="12" t="str">
        <x:v>[('NSR', 100.0), ('IMI;AU', 50.0), ('AB', 100.0)]</x:v>
      </x:c>
      <x:c r="J1091" s="12" t="str">
        <x:v>ptbxl_database.csv；ecg_id=9765；scp_codes</x:v>
      </x:c>
      <x:c r="K1091" s="12" t="str">
        <x:v>12sl_statements.csv；ecg_id=9765；statements_ext_snomed</x:v>
      </x:c>
      <x:c r="L1091" s="12"/>
      <x:c r="M1091" s="12" t="str">
        <x:v>negative</x:v>
      </x:c>
      <x:c r="N1091" s="12"/>
      <x:c r="O1091" s="12" t="str">
        <x:v>negative</x:v>
      </x:c>
      <x:c r="P1091" s="12" t="str">
        <x:f>IF(OR(M1091="unavailable",O1091="unavailable"),"不可评价",IF(OR(M1091="equivocal",O1091="equivocal"),"疑似",IF(AND(M1091="positive",O1091="positive"),"a",IF(O1091="positive","b",IF(M1091="positive","c","d")))))</x:f>
        <x:v>d</x:v>
      </x:c>
      <x:c r="Q1091" s="12"/>
      <x:c r="R1091" s="12" t="str">
        <x:v>negative</x:v>
      </x:c>
      <x:c r="S1091" s="12"/>
      <x:c r="T1091" s="12" t="str">
        <x:v>negative</x:v>
      </x:c>
      <x:c r="U1091" s="12" t="str">
        <x:f>IF(OR(R1091="unavailable",T1091="unavailable"),"不可评价",IF(OR(R1091="equivocal",T1091="equivocal"),"疑似",IF(AND(R1091="positive",T1091="positive"),"a",IF(T1091="positive","b",IF(R1091="positive","c","d")))))</x:f>
        <x:v>d</x:v>
      </x:c>
      <x:c r="V1091" s="12"/>
      <x:c r="W1091" s="12" t="str">
        <x:v>negative</x:v>
      </x:c>
      <x:c r="X1091" s="12"/>
      <x:c r="Y1091" s="12" t="str">
        <x:v>negative</x:v>
      </x:c>
      <x:c r="Z1091" s="12" t="str">
        <x:f>IF(OR(W1091="unavailable",Y1091="unavailable"),"不可评价",IF(OR(W1091="equivocal",Y1091="equivocal"),"疑似",IF(AND(W1091="positive",Y1091="positive"),"a",IF(Y1091="positive","b",IF(W1091="positive","c","d")))))</x:f>
        <x:v>d</x:v>
      </x:c>
      <x:c r="AA1091" s="12" t="str">
        <x:f>IF(OR(M1091="unavailable",O1091="unavailable"),"不可评价",IF(AND(OR(M1091="positive",M1091="equivocal"),OR(O1091="positive",O1091="equivocal")),"a",IF(OR(O1091="positive",O1091="equivocal"),"b",IF(OR(M1091="positive",M1091="equivocal"),"c","d"))))</x:f>
        <x:v>d</x:v>
      </x:c>
      <x:c r="AB1091" s="12" t="str">
        <x:f>IF(OR(M1091="unavailable",O1091="unavailable"),"不可评价",IF(AND(M1091="positive",O1091="positive"),"a",IF(O1091="positive","b",IF(M1091="positive","c","d"))))</x:f>
        <x:v>d</x:v>
      </x:c>
      <x:c r="AC1091" s="12" t="str">
        <x:f>IF(OR(R1091="unavailable",T1091="unavailable"),"不可评价",IF(AND(OR(R1091="positive",R1091="equivocal"),OR(T1091="positive",T1091="equivocal")),"a",IF(OR(T1091="positive",T1091="equivocal"),"b",IF(OR(R1091="positive",R1091="equivocal"),"c","d"))))</x:f>
        <x:v>d</x:v>
      </x:c>
      <x:c r="AD1091" s="12" t="str">
        <x:f>IF(OR(R1091="unavailable",T1091="unavailable"),"不可评价",IF(AND(R1091="positive",T1091="positive"),"a",IF(T1091="positive","b",IF(R1091="positive","c","d"))))</x:f>
        <x:v>d</x:v>
      </x:c>
      <x:c r="AE1091" s="12" t="str">
        <x:f>IF(OR(W1091="unavailable",Y1091="unavailable"),"不可评价",IF(AND(OR(W1091="positive",W1091="equivocal"),OR(Y1091="positive",Y1091="equivocal")),"a",IF(OR(Y1091="positive",Y1091="equivocal"),"b",IF(OR(W1091="positive",W1091="equivocal"),"c","d"))))</x:f>
        <x:v>d</x:v>
      </x:c>
      <x:c r="AF1091" s="12" t="str">
        <x:f>IF(OR(W1091="unavailable",Y1091="unavailable"),"不可评价",IF(AND(W1091="positive",Y1091="positive"),"a",IF(Y1091="positive","b",IF(W1091="positive","c","d"))))</x:f>
        <x:v>d</x:v>
      </x:c>
    </x:row>
    <x:row r="1092" ht="24" customHeight="1">
      <x:c r="A1092" s="12" t="str">
        <x:v>9773</x:v>
      </x:c>
      <x:c r="B1092" s="12" t="str">
        <x:v>6161</x:v>
      </x:c>
      <x:c r="C1092" s="21" t="n">
        <x:v>34002.453368055554</x:v>
      </x:c>
      <x:c r="D1092" s="12" t="n">
        <x:v>68</x:v>
      </x:c>
      <x:c r="E1092" s="12" t="n">
        <x:v>1</x:v>
      </x:c>
      <x:c r="F1092" s="12" t="str">
        <x:v>未记录</x:v>
      </x:c>
      <x:c r="G1092" s="12" t="n">
        <x:v>1</x:v>
      </x:c>
      <x:c r="H1092" s="12" t="str">
        <x:v>{'NORM': 100.0, 'SR': 0.0}</x:v>
      </x:c>
      <x:c r="I1092" s="12" t="str">
        <x:v>[('NSR', 100.0), ('NML', 100.0)]</x:v>
      </x:c>
      <x:c r="J1092" s="12" t="str">
        <x:v>ptbxl_database.csv；ecg_id=9773；scp_codes</x:v>
      </x:c>
      <x:c r="K1092" s="12" t="str">
        <x:v>12sl_statements.csv；ecg_id=9773；statements_ext_snomed</x:v>
      </x:c>
      <x:c r="L1092" s="12"/>
      <x:c r="M1092" s="12" t="str">
        <x:v>negative</x:v>
      </x:c>
      <x:c r="N1092" s="12"/>
      <x:c r="O1092" s="12" t="str">
        <x:v>negative</x:v>
      </x:c>
      <x:c r="P1092" s="12" t="str">
        <x:f>IF(OR(M1092="unavailable",O1092="unavailable"),"不可评价",IF(OR(M1092="equivocal",O1092="equivocal"),"疑似",IF(AND(M1092="positive",O1092="positive"),"a",IF(O1092="positive","b",IF(M1092="positive","c","d")))))</x:f>
        <x:v>d</x:v>
      </x:c>
      <x:c r="Q1092" s="12"/>
      <x:c r="R1092" s="12" t="str">
        <x:v>negative</x:v>
      </x:c>
      <x:c r="S1092" s="12"/>
      <x:c r="T1092" s="12" t="str">
        <x:v>negative</x:v>
      </x:c>
      <x:c r="U1092" s="12" t="str">
        <x:f>IF(OR(R1092="unavailable",T1092="unavailable"),"不可评价",IF(OR(R1092="equivocal",T1092="equivocal"),"疑似",IF(AND(R1092="positive",T1092="positive"),"a",IF(T1092="positive","b",IF(R1092="positive","c","d")))))</x:f>
        <x:v>d</x:v>
      </x:c>
      <x:c r="V1092" s="12"/>
      <x:c r="W1092" s="12" t="str">
        <x:v>negative</x:v>
      </x:c>
      <x:c r="X1092" s="12"/>
      <x:c r="Y1092" s="12" t="str">
        <x:v>negative</x:v>
      </x:c>
      <x:c r="Z1092" s="12" t="str">
        <x:f>IF(OR(W1092="unavailable",Y1092="unavailable"),"不可评价",IF(OR(W1092="equivocal",Y1092="equivocal"),"疑似",IF(AND(W1092="positive",Y1092="positive"),"a",IF(Y1092="positive","b",IF(W1092="positive","c","d")))))</x:f>
        <x:v>d</x:v>
      </x:c>
      <x:c r="AA1092" s="12" t="str">
        <x:f>IF(OR(M1092="unavailable",O1092="unavailable"),"不可评价",IF(AND(OR(M1092="positive",M1092="equivocal"),OR(O1092="positive",O1092="equivocal")),"a",IF(OR(O1092="positive",O1092="equivocal"),"b",IF(OR(M1092="positive",M1092="equivocal"),"c","d"))))</x:f>
        <x:v>d</x:v>
      </x:c>
      <x:c r="AB1092" s="12" t="str">
        <x:f>IF(OR(M1092="unavailable",O1092="unavailable"),"不可评价",IF(AND(M1092="positive",O1092="positive"),"a",IF(O1092="positive","b",IF(M1092="positive","c","d"))))</x:f>
        <x:v>d</x:v>
      </x:c>
      <x:c r="AC1092" s="12" t="str">
        <x:f>IF(OR(R1092="unavailable",T1092="unavailable"),"不可评价",IF(AND(OR(R1092="positive",R1092="equivocal"),OR(T1092="positive",T1092="equivocal")),"a",IF(OR(T1092="positive",T1092="equivocal"),"b",IF(OR(R1092="positive",R1092="equivocal"),"c","d"))))</x:f>
        <x:v>d</x:v>
      </x:c>
      <x:c r="AD1092" s="12" t="str">
        <x:f>IF(OR(R1092="unavailable",T1092="unavailable"),"不可评价",IF(AND(R1092="positive",T1092="positive"),"a",IF(T1092="positive","b",IF(R1092="positive","c","d"))))</x:f>
        <x:v>d</x:v>
      </x:c>
      <x:c r="AE1092" s="12" t="str">
        <x:f>IF(OR(W1092="unavailable",Y1092="unavailable"),"不可评价",IF(AND(OR(W1092="positive",W1092="equivocal"),OR(Y1092="positive",Y1092="equivocal")),"a",IF(OR(Y1092="positive",Y1092="equivocal"),"b",IF(OR(W1092="positive",W1092="equivocal"),"c","d"))))</x:f>
        <x:v>d</x:v>
      </x:c>
      <x:c r="AF1092" s="12" t="str">
        <x:f>IF(OR(W1092="unavailable",Y1092="unavailable"),"不可评价",IF(AND(W1092="positive",Y1092="positive"),"a",IF(Y1092="positive","b",IF(W1092="positive","c","d"))))</x:f>
        <x:v>d</x:v>
      </x:c>
    </x:row>
    <x:row r="1093" ht="24" customHeight="1">
      <x:c r="A1093" s="12" t="str">
        <x:v>9791</x:v>
      </x:c>
      <x:c r="B1093" s="12" t="str">
        <x:v>3416</x:v>
      </x:c>
      <x:c r="C1093" s="21" t="n">
        <x:v>34006.68550925926</x:v>
      </x:c>
      <x:c r="D1093" s="12" t="n">
        <x:v>69</x:v>
      </x:c>
      <x:c r="E1093" s="12" t="n">
        <x:v>1</x:v>
      </x:c>
      <x:c r="F1093" s="12" t="str">
        <x:v>未记录</x:v>
      </x:c>
      <x:c r="G1093" s="12" t="n">
        <x:v>1</x:v>
      </x:c>
      <x:c r="H1093" s="12" t="str">
        <x:v>{'ISCAL': 100.0, 'LPR': 0.0, 'LOWT': 0.0, 'STD_': 0.0, 'SR': 0.0}</x:v>
      </x:c>
      <x:c r="I1093" s="12" t="str">
        <x:v>[('SRTH', 100.0), ('FAV', 100.0), ('ST&amp;', 100.0), ('LT', 100.0), ('AB', 100.0)]</x:v>
      </x:c>
      <x:c r="J1093" s="12" t="str">
        <x:v>ptbxl_database.csv；ecg_id=9791；scp_codes</x:v>
      </x:c>
      <x:c r="K1093" s="12" t="str">
        <x:v>12sl_statements.csv；ecg_id=9791；statements_ext_snomed</x:v>
      </x:c>
      <x:c r="L1093" s="12"/>
      <x:c r="M1093" s="12" t="str">
        <x:v>negative</x:v>
      </x:c>
      <x:c r="N1093" s="12"/>
      <x:c r="O1093" s="12" t="str">
        <x:v>negative</x:v>
      </x:c>
      <x:c r="P1093" s="12" t="str">
        <x:f>IF(OR(M1093="unavailable",O1093="unavailable"),"不可评价",IF(OR(M1093="equivocal",O1093="equivocal"),"疑似",IF(AND(M1093="positive",O1093="positive"),"a",IF(O1093="positive","b",IF(M1093="positive","c","d")))))</x:f>
        <x:v>d</x:v>
      </x:c>
      <x:c r="Q1093" s="12"/>
      <x:c r="R1093" s="12" t="str">
        <x:v>negative</x:v>
      </x:c>
      <x:c r="S1093" s="12"/>
      <x:c r="T1093" s="12" t="str">
        <x:v>negative</x:v>
      </x:c>
      <x:c r="U1093" s="12" t="str">
        <x:f>IF(OR(R1093="unavailable",T1093="unavailable"),"不可评价",IF(OR(R1093="equivocal",T1093="equivocal"),"疑似",IF(AND(R1093="positive",T1093="positive"),"a",IF(T1093="positive","b",IF(R1093="positive","c","d")))))</x:f>
        <x:v>d</x:v>
      </x:c>
      <x:c r="V1093" s="12"/>
      <x:c r="W1093" s="12" t="str">
        <x:v>negative</x:v>
      </x:c>
      <x:c r="X1093" s="12"/>
      <x:c r="Y1093" s="12" t="str">
        <x:v>negative</x:v>
      </x:c>
      <x:c r="Z1093" s="12" t="str">
        <x:f>IF(OR(W1093="unavailable",Y1093="unavailable"),"不可评价",IF(OR(W1093="equivocal",Y1093="equivocal"),"疑似",IF(AND(W1093="positive",Y1093="positive"),"a",IF(Y1093="positive","b",IF(W1093="positive","c","d")))))</x:f>
        <x:v>d</x:v>
      </x:c>
      <x:c r="AA1093" s="12" t="str">
        <x:f>IF(OR(M1093="unavailable",O1093="unavailable"),"不可评价",IF(AND(OR(M1093="positive",M1093="equivocal"),OR(O1093="positive",O1093="equivocal")),"a",IF(OR(O1093="positive",O1093="equivocal"),"b",IF(OR(M1093="positive",M1093="equivocal"),"c","d"))))</x:f>
        <x:v>d</x:v>
      </x:c>
      <x:c r="AB1093" s="12" t="str">
        <x:f>IF(OR(M1093="unavailable",O1093="unavailable"),"不可评价",IF(AND(M1093="positive",O1093="positive"),"a",IF(O1093="positive","b",IF(M1093="positive","c","d"))))</x:f>
        <x:v>d</x:v>
      </x:c>
      <x:c r="AC1093" s="12" t="str">
        <x:f>IF(OR(R1093="unavailable",T1093="unavailable"),"不可评价",IF(AND(OR(R1093="positive",R1093="equivocal"),OR(T1093="positive",T1093="equivocal")),"a",IF(OR(T1093="positive",T1093="equivocal"),"b",IF(OR(R1093="positive",R1093="equivocal"),"c","d"))))</x:f>
        <x:v>d</x:v>
      </x:c>
      <x:c r="AD1093" s="12" t="str">
        <x:f>IF(OR(R1093="unavailable",T1093="unavailable"),"不可评价",IF(AND(R1093="positive",T1093="positive"),"a",IF(T1093="positive","b",IF(R1093="positive","c","d"))))</x:f>
        <x:v>d</x:v>
      </x:c>
      <x:c r="AE1093" s="12" t="str">
        <x:f>IF(OR(W1093="unavailable",Y1093="unavailable"),"不可评价",IF(AND(OR(W1093="positive",W1093="equivocal"),OR(Y1093="positive",Y1093="equivocal")),"a",IF(OR(Y1093="positive",Y1093="equivocal"),"b",IF(OR(W1093="positive",W1093="equivocal"),"c","d"))))</x:f>
        <x:v>d</x:v>
      </x:c>
      <x:c r="AF1093" s="12" t="str">
        <x:f>IF(OR(W1093="unavailable",Y1093="unavailable"),"不可评价",IF(AND(W1093="positive",Y1093="positive"),"a",IF(Y1093="positive","b",IF(W1093="positive","c","d"))))</x:f>
        <x:v>d</x:v>
      </x:c>
    </x:row>
    <x:row r="1094" ht="24" customHeight="1">
      <x:c r="A1094" s="12" t="str">
        <x:v>9794</x:v>
      </x:c>
      <x:c r="B1094" s="12" t="str">
        <x:v>4101</x:v>
      </x:c>
      <x:c r="C1094" s="21" t="n">
        <x:v>34007.35490740741</x:v>
      </x:c>
      <x:c r="D1094" s="12" t="n">
        <x:v>74</x:v>
      </x:c>
      <x:c r="E1094" s="12" t="n">
        <x:v>1</x:v>
      </x:c>
      <x:c r="F1094" s="12" t="str">
        <x:v>未记录</x:v>
      </x:c>
      <x:c r="G1094" s="12" t="n">
        <x:v>1</x:v>
      </x:c>
      <x:c r="H1094" s="12" t="str">
        <x:v>{'IMI': 15.0, 'SR': 0.0}</x:v>
      </x:c>
      <x:c r="I1094" s="12" t="str">
        <x:v>[('NSR', 100.0), ('NML', 100.0)]</x:v>
      </x:c>
      <x:c r="J1094" s="12" t="str">
        <x:v>ptbxl_database.csv；ecg_id=9794；scp_codes</x:v>
      </x:c>
      <x:c r="K1094" s="12" t="str">
        <x:v>12sl_statements.csv；ecg_id=9794；statements_ext_snomed</x:v>
      </x:c>
      <x:c r="L1094" s="12"/>
      <x:c r="M1094" s="12" t="str">
        <x:v>negative</x:v>
      </x:c>
      <x:c r="N1094" s="12"/>
      <x:c r="O1094" s="12" t="str">
        <x:v>negative</x:v>
      </x:c>
      <x:c r="P1094" s="12" t="str">
        <x:f>IF(OR(M1094="unavailable",O1094="unavailable"),"不可评价",IF(OR(M1094="equivocal",O1094="equivocal"),"疑似",IF(AND(M1094="positive",O1094="positive"),"a",IF(O1094="positive","b",IF(M1094="positive","c","d")))))</x:f>
        <x:v>d</x:v>
      </x:c>
      <x:c r="Q1094" s="12"/>
      <x:c r="R1094" s="12" t="str">
        <x:v>negative</x:v>
      </x:c>
      <x:c r="S1094" s="12"/>
      <x:c r="T1094" s="12" t="str">
        <x:v>negative</x:v>
      </x:c>
      <x:c r="U1094" s="12" t="str">
        <x:f>IF(OR(R1094="unavailable",T1094="unavailable"),"不可评价",IF(OR(R1094="equivocal",T1094="equivocal"),"疑似",IF(AND(R1094="positive",T1094="positive"),"a",IF(T1094="positive","b",IF(R1094="positive","c","d")))))</x:f>
        <x:v>d</x:v>
      </x:c>
      <x:c r="V1094" s="12"/>
      <x:c r="W1094" s="12" t="str">
        <x:v>negative</x:v>
      </x:c>
      <x:c r="X1094" s="12"/>
      <x:c r="Y1094" s="12" t="str">
        <x:v>negative</x:v>
      </x:c>
      <x:c r="Z1094" s="12" t="str">
        <x:f>IF(OR(W1094="unavailable",Y1094="unavailable"),"不可评价",IF(OR(W1094="equivocal",Y1094="equivocal"),"疑似",IF(AND(W1094="positive",Y1094="positive"),"a",IF(Y1094="positive","b",IF(W1094="positive","c","d")))))</x:f>
        <x:v>d</x:v>
      </x:c>
      <x:c r="AA1094" s="12" t="str">
        <x:f>IF(OR(M1094="unavailable",O1094="unavailable"),"不可评价",IF(AND(OR(M1094="positive",M1094="equivocal"),OR(O1094="positive",O1094="equivocal")),"a",IF(OR(O1094="positive",O1094="equivocal"),"b",IF(OR(M1094="positive",M1094="equivocal"),"c","d"))))</x:f>
        <x:v>d</x:v>
      </x:c>
      <x:c r="AB1094" s="12" t="str">
        <x:f>IF(OR(M1094="unavailable",O1094="unavailable"),"不可评价",IF(AND(M1094="positive",O1094="positive"),"a",IF(O1094="positive","b",IF(M1094="positive","c","d"))))</x:f>
        <x:v>d</x:v>
      </x:c>
      <x:c r="AC1094" s="12" t="str">
        <x:f>IF(OR(R1094="unavailable",T1094="unavailable"),"不可评价",IF(AND(OR(R1094="positive",R1094="equivocal"),OR(T1094="positive",T1094="equivocal")),"a",IF(OR(T1094="positive",T1094="equivocal"),"b",IF(OR(R1094="positive",R1094="equivocal"),"c","d"))))</x:f>
        <x:v>d</x:v>
      </x:c>
      <x:c r="AD1094" s="12" t="str">
        <x:f>IF(OR(R1094="unavailable",T1094="unavailable"),"不可评价",IF(AND(R1094="positive",T1094="positive"),"a",IF(T1094="positive","b",IF(R1094="positive","c","d"))))</x:f>
        <x:v>d</x:v>
      </x:c>
      <x:c r="AE1094" s="12" t="str">
        <x:f>IF(OR(W1094="unavailable",Y1094="unavailable"),"不可评价",IF(AND(OR(W1094="positive",W1094="equivocal"),OR(Y1094="positive",Y1094="equivocal")),"a",IF(OR(Y1094="positive",Y1094="equivocal"),"b",IF(OR(W1094="positive",W1094="equivocal"),"c","d"))))</x:f>
        <x:v>d</x:v>
      </x:c>
      <x:c r="AF1094" s="12" t="str">
        <x:f>IF(OR(W1094="unavailable",Y1094="unavailable"),"不可评价",IF(AND(W1094="positive",Y1094="positive"),"a",IF(Y1094="positive","b",IF(W1094="positive","c","d"))))</x:f>
        <x:v>d</x:v>
      </x:c>
    </x:row>
    <x:row r="1095" ht="24" customHeight="1">
      <x:c r="A1095" s="12" t="str">
        <x:v>9803</x:v>
      </x:c>
      <x:c r="B1095" s="12" t="str">
        <x:v>5774</x:v>
      </x:c>
      <x:c r="C1095" s="21" t="n">
        <x:v>34009.490694444445</x:v>
      </x:c>
      <x:c r="D1095" s="12" t="n">
        <x:v>57</x:v>
      </x:c>
      <x:c r="E1095" s="12" t="n">
        <x:v>0</x:v>
      </x:c>
      <x:c r="F1095" s="12" t="str">
        <x:v>未记录</x:v>
      </x:c>
      <x:c r="G1095" s="12" t="n">
        <x:v>1</x:v>
      </x:c>
      <x:c r="H1095" s="12" t="str">
        <x:v>{'NORM': 100.0, 'SR': 0.0}</x:v>
      </x:c>
      <x:c r="I1095" s="12" t="str">
        <x:v>[('NSR', 100.0), ('NML', 100.0)]</x:v>
      </x:c>
      <x:c r="J1095" s="12" t="str">
        <x:v>ptbxl_database.csv；ecg_id=9803；scp_codes</x:v>
      </x:c>
      <x:c r="K1095" s="12" t="str">
        <x:v>12sl_statements.csv；ecg_id=9803；statements_ext_snomed</x:v>
      </x:c>
      <x:c r="L1095" s="12"/>
      <x:c r="M1095" s="12" t="str">
        <x:v>negative</x:v>
      </x:c>
      <x:c r="N1095" s="12"/>
      <x:c r="O1095" s="12" t="str">
        <x:v>negative</x:v>
      </x:c>
      <x:c r="P1095" s="12" t="str">
        <x:f>IF(OR(M1095="unavailable",O1095="unavailable"),"不可评价",IF(OR(M1095="equivocal",O1095="equivocal"),"疑似",IF(AND(M1095="positive",O1095="positive"),"a",IF(O1095="positive","b",IF(M1095="positive","c","d")))))</x:f>
        <x:v>d</x:v>
      </x:c>
      <x:c r="Q1095" s="12"/>
      <x:c r="R1095" s="12" t="str">
        <x:v>negative</x:v>
      </x:c>
      <x:c r="S1095" s="12"/>
      <x:c r="T1095" s="12" t="str">
        <x:v>negative</x:v>
      </x:c>
      <x:c r="U1095" s="12" t="str">
        <x:f>IF(OR(R1095="unavailable",T1095="unavailable"),"不可评价",IF(OR(R1095="equivocal",T1095="equivocal"),"疑似",IF(AND(R1095="positive",T1095="positive"),"a",IF(T1095="positive","b",IF(R1095="positive","c","d")))))</x:f>
        <x:v>d</x:v>
      </x:c>
      <x:c r="V1095" s="12"/>
      <x:c r="W1095" s="12" t="str">
        <x:v>negative</x:v>
      </x:c>
      <x:c r="X1095" s="12"/>
      <x:c r="Y1095" s="12" t="str">
        <x:v>negative</x:v>
      </x:c>
      <x:c r="Z1095" s="12" t="str">
        <x:f>IF(OR(W1095="unavailable",Y1095="unavailable"),"不可评价",IF(OR(W1095="equivocal",Y1095="equivocal"),"疑似",IF(AND(W1095="positive",Y1095="positive"),"a",IF(Y1095="positive","b",IF(W1095="positive","c","d")))))</x:f>
        <x:v>d</x:v>
      </x:c>
      <x:c r="AA1095" s="12" t="str">
        <x:f>IF(OR(M1095="unavailable",O1095="unavailable"),"不可评价",IF(AND(OR(M1095="positive",M1095="equivocal"),OR(O1095="positive",O1095="equivocal")),"a",IF(OR(O1095="positive",O1095="equivocal"),"b",IF(OR(M1095="positive",M1095="equivocal"),"c","d"))))</x:f>
        <x:v>d</x:v>
      </x:c>
      <x:c r="AB1095" s="12" t="str">
        <x:f>IF(OR(M1095="unavailable",O1095="unavailable"),"不可评价",IF(AND(M1095="positive",O1095="positive"),"a",IF(O1095="positive","b",IF(M1095="positive","c","d"))))</x:f>
        <x:v>d</x:v>
      </x:c>
      <x:c r="AC1095" s="12" t="str">
        <x:f>IF(OR(R1095="unavailable",T1095="unavailable"),"不可评价",IF(AND(OR(R1095="positive",R1095="equivocal"),OR(T1095="positive",T1095="equivocal")),"a",IF(OR(T1095="positive",T1095="equivocal"),"b",IF(OR(R1095="positive",R1095="equivocal"),"c","d"))))</x:f>
        <x:v>d</x:v>
      </x:c>
      <x:c r="AD1095" s="12" t="str">
        <x:f>IF(OR(R1095="unavailable",T1095="unavailable"),"不可评价",IF(AND(R1095="positive",T1095="positive"),"a",IF(T1095="positive","b",IF(R1095="positive","c","d"))))</x:f>
        <x:v>d</x:v>
      </x:c>
      <x:c r="AE1095" s="12" t="str">
        <x:f>IF(OR(W1095="unavailable",Y1095="unavailable"),"不可评价",IF(AND(OR(W1095="positive",W1095="equivocal"),OR(Y1095="positive",Y1095="equivocal")),"a",IF(OR(Y1095="positive",Y1095="equivocal"),"b",IF(OR(W1095="positive",W1095="equivocal"),"c","d"))))</x:f>
        <x:v>d</x:v>
      </x:c>
      <x:c r="AF1095" s="12" t="str">
        <x:f>IF(OR(W1095="unavailable",Y1095="unavailable"),"不可评价",IF(AND(W1095="positive",Y1095="positive"),"a",IF(Y1095="positive","b",IF(W1095="positive","c","d"))))</x:f>
        <x:v>d</x:v>
      </x:c>
    </x:row>
    <x:row r="1096" ht="24" customHeight="1">
      <x:c r="A1096" s="12" t="str">
        <x:v>9819</x:v>
      </x:c>
      <x:c r="B1096" s="12" t="str">
        <x:v>13457</x:v>
      </x:c>
      <x:c r="C1096" s="21" t="n">
        <x:v>34020.26980324074</x:v>
      </x:c>
      <x:c r="D1096" s="12" t="n">
        <x:v>60</x:v>
      </x:c>
      <x:c r="E1096" s="12" t="n">
        <x:v>1</x:v>
      </x:c>
      <x:c r="F1096" s="12" t="str">
        <x:v>存在</x:v>
      </x:c>
      <x:c r="G1096" s="12" t="n">
        <x:v>1</x:v>
      </x:c>
      <x:c r="H1096" s="12" t="str">
        <x:v>{'IMI': 100.0, 'SR': 0.0}</x:v>
      </x:c>
      <x:c r="I1096" s="12" t="str">
        <x:v>[('SRTH', 100.0), ('PAC', 100.0), ('IMI;AU', 100.0), ('AB', 100.0)]</x:v>
      </x:c>
      <x:c r="J1096" s="12" t="str">
        <x:v>ptbxl_database.csv；ecg_id=9819；scp_codes</x:v>
      </x:c>
      <x:c r="K1096" s="12" t="str">
        <x:v>12sl_statements.csv；ecg_id=9819；statements_ext_snomed</x:v>
      </x:c>
      <x:c r="L1096" s="12"/>
      <x:c r="M1096" s="12" t="str">
        <x:v>negative</x:v>
      </x:c>
      <x:c r="N1096" s="12"/>
      <x:c r="O1096" s="12" t="str">
        <x:v>negative</x:v>
      </x:c>
      <x:c r="P1096" s="12" t="str">
        <x:f>IF(OR(M1096="unavailable",O1096="unavailable"),"不可评价",IF(OR(M1096="equivocal",O1096="equivocal"),"疑似",IF(AND(M1096="positive",O1096="positive"),"a",IF(O1096="positive","b",IF(M1096="positive","c","d")))))</x:f>
        <x:v>d</x:v>
      </x:c>
      <x:c r="Q1096" s="12"/>
      <x:c r="R1096" s="12" t="str">
        <x:v>negative</x:v>
      </x:c>
      <x:c r="S1096" s="12"/>
      <x:c r="T1096" s="12" t="str">
        <x:v>negative</x:v>
      </x:c>
      <x:c r="U1096" s="12" t="str">
        <x:f>IF(OR(R1096="unavailable",T1096="unavailable"),"不可评价",IF(OR(R1096="equivocal",T1096="equivocal"),"疑似",IF(AND(R1096="positive",T1096="positive"),"a",IF(T1096="positive","b",IF(R1096="positive","c","d")))))</x:f>
        <x:v>d</x:v>
      </x:c>
      <x:c r="V1096" s="12"/>
      <x:c r="W1096" s="12" t="str">
        <x:v>negative</x:v>
      </x:c>
      <x:c r="X1096" s="12"/>
      <x:c r="Y1096" s="12" t="str">
        <x:v>negative</x:v>
      </x:c>
      <x:c r="Z1096" s="12" t="str">
        <x:f>IF(OR(W1096="unavailable",Y1096="unavailable"),"不可评价",IF(OR(W1096="equivocal",Y1096="equivocal"),"疑似",IF(AND(W1096="positive",Y1096="positive"),"a",IF(Y1096="positive","b",IF(W1096="positive","c","d")))))</x:f>
        <x:v>d</x:v>
      </x:c>
      <x:c r="AA1096" s="12" t="str">
        <x:f>IF(OR(M1096="unavailable",O1096="unavailable"),"不可评价",IF(AND(OR(M1096="positive",M1096="equivocal"),OR(O1096="positive",O1096="equivocal")),"a",IF(OR(O1096="positive",O1096="equivocal"),"b",IF(OR(M1096="positive",M1096="equivocal"),"c","d"))))</x:f>
        <x:v>d</x:v>
      </x:c>
      <x:c r="AB1096" s="12" t="str">
        <x:f>IF(OR(M1096="unavailable",O1096="unavailable"),"不可评价",IF(AND(M1096="positive",O1096="positive"),"a",IF(O1096="positive","b",IF(M1096="positive","c","d"))))</x:f>
        <x:v>d</x:v>
      </x:c>
      <x:c r="AC1096" s="12" t="str">
        <x:f>IF(OR(R1096="unavailable",T1096="unavailable"),"不可评价",IF(AND(OR(R1096="positive",R1096="equivocal"),OR(T1096="positive",T1096="equivocal")),"a",IF(OR(T1096="positive",T1096="equivocal"),"b",IF(OR(R1096="positive",R1096="equivocal"),"c","d"))))</x:f>
        <x:v>d</x:v>
      </x:c>
      <x:c r="AD1096" s="12" t="str">
        <x:f>IF(OR(R1096="unavailable",T1096="unavailable"),"不可评价",IF(AND(R1096="positive",T1096="positive"),"a",IF(T1096="positive","b",IF(R1096="positive","c","d"))))</x:f>
        <x:v>d</x:v>
      </x:c>
      <x:c r="AE1096" s="12" t="str">
        <x:f>IF(OR(W1096="unavailable",Y1096="unavailable"),"不可评价",IF(AND(OR(W1096="positive",W1096="equivocal"),OR(Y1096="positive",Y1096="equivocal")),"a",IF(OR(Y1096="positive",Y1096="equivocal"),"b",IF(OR(W1096="positive",W1096="equivocal"),"c","d"))))</x:f>
        <x:v>d</x:v>
      </x:c>
      <x:c r="AF1096" s="12" t="str">
        <x:f>IF(OR(W1096="unavailable",Y1096="unavailable"),"不可评价",IF(AND(W1096="positive",Y1096="positive"),"a",IF(Y1096="positive","b",IF(W1096="positive","c","d"))))</x:f>
        <x:v>d</x:v>
      </x:c>
    </x:row>
    <x:row r="1097" ht="24" customHeight="1">
      <x:c r="A1097" s="12" t="str">
        <x:v>9823</x:v>
      </x:c>
      <x:c r="B1097" s="12" t="str">
        <x:v>16921</x:v>
      </x:c>
      <x:c r="C1097" s="21" t="n">
        <x:v>34021.42530092593</x:v>
      </x:c>
      <x:c r="D1097" s="12" t="n">
        <x:v>77</x:v>
      </x:c>
      <x:c r="E1097" s="12" t="n">
        <x:v>1</x:v>
      </x:c>
      <x:c r="F1097" s="12" t="str">
        <x:v>未记录</x:v>
      </x:c>
      <x:c r="G1097" s="12" t="n">
        <x:v>1</x:v>
      </x:c>
      <x:c r="H1097" s="12" t="str">
        <x:v>{'WPW': 100.0, 'SR': 0.0}</x:v>
      </x:c>
      <x:c r="I1097" s="12" t="str">
        <x:v>[('NSR', 100.0), ('WPW', 100.0), ('AB', 100.0)]</x:v>
      </x:c>
      <x:c r="J1097" s="12" t="str">
        <x:v>ptbxl_database.csv；ecg_id=9823；scp_codes</x:v>
      </x:c>
      <x:c r="K1097" s="12" t="str">
        <x:v>12sl_statements.csv；ecg_id=9823；statements_ext_snomed</x:v>
      </x:c>
      <x:c r="L1097" s="12"/>
      <x:c r="M1097" s="12" t="str">
        <x:v>negative</x:v>
      </x:c>
      <x:c r="N1097" s="12"/>
      <x:c r="O1097" s="12" t="str">
        <x:v>negative</x:v>
      </x:c>
      <x:c r="P1097" s="12" t="str">
        <x:f>IF(OR(M1097="unavailable",O1097="unavailable"),"不可评价",IF(OR(M1097="equivocal",O1097="equivocal"),"疑似",IF(AND(M1097="positive",O1097="positive"),"a",IF(O1097="positive","b",IF(M1097="positive","c","d")))))</x:f>
        <x:v>d</x:v>
      </x:c>
      <x:c r="Q1097" s="12"/>
      <x:c r="R1097" s="12" t="str">
        <x:v>negative</x:v>
      </x:c>
      <x:c r="S1097" s="12"/>
      <x:c r="T1097" s="12" t="str">
        <x:v>negative</x:v>
      </x:c>
      <x:c r="U1097" s="12" t="str">
        <x:f>IF(OR(R1097="unavailable",T1097="unavailable"),"不可评价",IF(OR(R1097="equivocal",T1097="equivocal"),"疑似",IF(AND(R1097="positive",T1097="positive"),"a",IF(T1097="positive","b",IF(R1097="positive","c","d")))))</x:f>
        <x:v>d</x:v>
      </x:c>
      <x:c r="V1097" s="12"/>
      <x:c r="W1097" s="12" t="str">
        <x:v>negative</x:v>
      </x:c>
      <x:c r="X1097" s="12"/>
      <x:c r="Y1097" s="12" t="str">
        <x:v>negative</x:v>
      </x:c>
      <x:c r="Z1097" s="12" t="str">
        <x:f>IF(OR(W1097="unavailable",Y1097="unavailable"),"不可评价",IF(OR(W1097="equivocal",Y1097="equivocal"),"疑似",IF(AND(W1097="positive",Y1097="positive"),"a",IF(Y1097="positive","b",IF(W1097="positive","c","d")))))</x:f>
        <x:v>d</x:v>
      </x:c>
      <x:c r="AA1097" s="12" t="str">
        <x:f>IF(OR(M1097="unavailable",O1097="unavailable"),"不可评价",IF(AND(OR(M1097="positive",M1097="equivocal"),OR(O1097="positive",O1097="equivocal")),"a",IF(OR(O1097="positive",O1097="equivocal"),"b",IF(OR(M1097="positive",M1097="equivocal"),"c","d"))))</x:f>
        <x:v>d</x:v>
      </x:c>
      <x:c r="AB1097" s="12" t="str">
        <x:f>IF(OR(M1097="unavailable",O1097="unavailable"),"不可评价",IF(AND(M1097="positive",O1097="positive"),"a",IF(O1097="positive","b",IF(M1097="positive","c","d"))))</x:f>
        <x:v>d</x:v>
      </x:c>
      <x:c r="AC1097" s="12" t="str">
        <x:f>IF(OR(R1097="unavailable",T1097="unavailable"),"不可评价",IF(AND(OR(R1097="positive",R1097="equivocal"),OR(T1097="positive",T1097="equivocal")),"a",IF(OR(T1097="positive",T1097="equivocal"),"b",IF(OR(R1097="positive",R1097="equivocal"),"c","d"))))</x:f>
        <x:v>d</x:v>
      </x:c>
      <x:c r="AD1097" s="12" t="str">
        <x:f>IF(OR(R1097="unavailable",T1097="unavailable"),"不可评价",IF(AND(R1097="positive",T1097="positive"),"a",IF(T1097="positive","b",IF(R1097="positive","c","d"))))</x:f>
        <x:v>d</x:v>
      </x:c>
      <x:c r="AE1097" s="12" t="str">
        <x:f>IF(OR(W1097="unavailable",Y1097="unavailable"),"不可评价",IF(AND(OR(W1097="positive",W1097="equivocal"),OR(Y1097="positive",Y1097="equivocal")),"a",IF(OR(Y1097="positive",Y1097="equivocal"),"b",IF(OR(W1097="positive",W1097="equivocal"),"c","d"))))</x:f>
        <x:v>d</x:v>
      </x:c>
      <x:c r="AF1097" s="12" t="str">
        <x:f>IF(OR(W1097="unavailable",Y1097="unavailable"),"不可评价",IF(AND(W1097="positive",Y1097="positive"),"a",IF(Y1097="positive","b",IF(W1097="positive","c","d"))))</x:f>
        <x:v>d</x:v>
      </x:c>
    </x:row>
    <x:row r="1098" ht="24" customHeight="1">
      <x:c r="A1098" s="12" t="str">
        <x:v>9833</x:v>
      </x:c>
      <x:c r="B1098" s="12" t="str">
        <x:v>20060</x:v>
      </x:c>
      <x:c r="C1098" s="21" t="n">
        <x:v>34024.37625</x:v>
      </x:c>
      <x:c r="D1098" s="12" t="n">
        <x:v>74</x:v>
      </x:c>
      <x:c r="E1098" s="12" t="n">
        <x:v>1</x:v>
      </x:c>
      <x:c r="F1098" s="12" t="str">
        <x:v>未记录</x:v>
      </x:c>
      <x:c r="G1098" s="12" t="n">
        <x:v>1</x:v>
      </x:c>
      <x:c r="H1098" s="12" t="str">
        <x:v>{'ISCIL': 100.0, 'SR': 0.0}</x:v>
      </x:c>
      <x:c r="I1098" s="12" t="str">
        <x:v>[('NSR', 100.0), ('IT', 100.0), ('AB', 100.0)]</x:v>
      </x:c>
      <x:c r="J1098" s="12" t="str">
        <x:v>ptbxl_database.csv；ecg_id=9833；scp_codes</x:v>
      </x:c>
      <x:c r="K1098" s="12" t="str">
        <x:v>12sl_statements.csv；ecg_id=9833；statements_ext_snomed</x:v>
      </x:c>
      <x:c r="L1098" s="12"/>
      <x:c r="M1098" s="12" t="str">
        <x:v>negative</x:v>
      </x:c>
      <x:c r="N1098" s="12"/>
      <x:c r="O1098" s="12" t="str">
        <x:v>negative</x:v>
      </x:c>
      <x:c r="P1098" s="12" t="str">
        <x:f>IF(OR(M1098="unavailable",O1098="unavailable"),"不可评价",IF(OR(M1098="equivocal",O1098="equivocal"),"疑似",IF(AND(M1098="positive",O1098="positive"),"a",IF(O1098="positive","b",IF(M1098="positive","c","d")))))</x:f>
        <x:v>d</x:v>
      </x:c>
      <x:c r="Q1098" s="12"/>
      <x:c r="R1098" s="12" t="str">
        <x:v>negative</x:v>
      </x:c>
      <x:c r="S1098" s="12"/>
      <x:c r="T1098" s="12" t="str">
        <x:v>negative</x:v>
      </x:c>
      <x:c r="U1098" s="12" t="str">
        <x:f>IF(OR(R1098="unavailable",T1098="unavailable"),"不可评价",IF(OR(R1098="equivocal",T1098="equivocal"),"疑似",IF(AND(R1098="positive",T1098="positive"),"a",IF(T1098="positive","b",IF(R1098="positive","c","d")))))</x:f>
        <x:v>d</x:v>
      </x:c>
      <x:c r="V1098" s="12"/>
      <x:c r="W1098" s="12" t="str">
        <x:v>negative</x:v>
      </x:c>
      <x:c r="X1098" s="12"/>
      <x:c r="Y1098" s="12" t="str">
        <x:v>negative</x:v>
      </x:c>
      <x:c r="Z1098" s="12" t="str">
        <x:f>IF(OR(W1098="unavailable",Y1098="unavailable"),"不可评价",IF(OR(W1098="equivocal",Y1098="equivocal"),"疑似",IF(AND(W1098="positive",Y1098="positive"),"a",IF(Y1098="positive","b",IF(W1098="positive","c","d")))))</x:f>
        <x:v>d</x:v>
      </x:c>
      <x:c r="AA1098" s="12" t="str">
        <x:f>IF(OR(M1098="unavailable",O1098="unavailable"),"不可评价",IF(AND(OR(M1098="positive",M1098="equivocal"),OR(O1098="positive",O1098="equivocal")),"a",IF(OR(O1098="positive",O1098="equivocal"),"b",IF(OR(M1098="positive",M1098="equivocal"),"c","d"))))</x:f>
        <x:v>d</x:v>
      </x:c>
      <x:c r="AB1098" s="12" t="str">
        <x:f>IF(OR(M1098="unavailable",O1098="unavailable"),"不可评价",IF(AND(M1098="positive",O1098="positive"),"a",IF(O1098="positive","b",IF(M1098="positive","c","d"))))</x:f>
        <x:v>d</x:v>
      </x:c>
      <x:c r="AC1098" s="12" t="str">
        <x:f>IF(OR(R1098="unavailable",T1098="unavailable"),"不可评价",IF(AND(OR(R1098="positive",R1098="equivocal"),OR(T1098="positive",T1098="equivocal")),"a",IF(OR(T1098="positive",T1098="equivocal"),"b",IF(OR(R1098="positive",R1098="equivocal"),"c","d"))))</x:f>
        <x:v>d</x:v>
      </x:c>
      <x:c r="AD1098" s="12" t="str">
        <x:f>IF(OR(R1098="unavailable",T1098="unavailable"),"不可评价",IF(AND(R1098="positive",T1098="positive"),"a",IF(T1098="positive","b",IF(R1098="positive","c","d"))))</x:f>
        <x:v>d</x:v>
      </x:c>
      <x:c r="AE1098" s="12" t="str">
        <x:f>IF(OR(W1098="unavailable",Y1098="unavailable"),"不可评价",IF(AND(OR(W1098="positive",W1098="equivocal"),OR(Y1098="positive",Y1098="equivocal")),"a",IF(OR(Y1098="positive",Y1098="equivocal"),"b",IF(OR(W1098="positive",W1098="equivocal"),"c","d"))))</x:f>
        <x:v>d</x:v>
      </x:c>
      <x:c r="AF1098" s="12" t="str">
        <x:f>IF(OR(W1098="unavailable",Y1098="unavailable"),"不可评价",IF(AND(W1098="positive",Y1098="positive"),"a",IF(Y1098="positive","b",IF(W1098="positive","c","d"))))</x:f>
        <x:v>d</x:v>
      </x:c>
    </x:row>
    <x:row r="1099" ht="24" customHeight="1">
      <x:c r="A1099" s="12" t="str">
        <x:v>9850</x:v>
      </x:c>
      <x:c r="B1099" s="12" t="str">
        <x:v>14941</x:v>
      </x:c>
      <x:c r="C1099" s="21" t="n">
        <x:v>34025.58373842593</x:v>
      </x:c>
      <x:c r="D1099" s="12" t="n">
        <x:v>79</x:v>
      </x:c>
      <x:c r="E1099" s="12" t="n">
        <x:v>0</x:v>
      </x:c>
      <x:c r="F1099" s="12" t="str">
        <x:v>未记录</x:v>
      </x:c>
      <x:c r="G1099" s="12" t="n">
        <x:v>1</x:v>
      </x:c>
      <x:c r="H1099" s="12" t="str">
        <x:v>{'NORM': 80.0, 'SR': 0.0}</x:v>
      </x:c>
      <x:c r="I1099" s="12" t="str">
        <x:v>[('SRTH', 100.0), ('FAV', 100.0), ('ABR', 100.0)]</x:v>
      </x:c>
      <x:c r="J1099" s="12" t="str">
        <x:v>ptbxl_database.csv；ecg_id=9850；scp_codes</x:v>
      </x:c>
      <x:c r="K1099" s="12" t="str">
        <x:v>12sl_statements.csv；ecg_id=9850；statements_ext_snomed</x:v>
      </x:c>
      <x:c r="L1099" s="12"/>
      <x:c r="M1099" s="12" t="str">
        <x:v>negative</x:v>
      </x:c>
      <x:c r="N1099" s="12"/>
      <x:c r="O1099" s="12" t="str">
        <x:v>negative</x:v>
      </x:c>
      <x:c r="P1099" s="12" t="str">
        <x:f>IF(OR(M1099="unavailable",O1099="unavailable"),"不可评价",IF(OR(M1099="equivocal",O1099="equivocal"),"疑似",IF(AND(M1099="positive",O1099="positive"),"a",IF(O1099="positive","b",IF(M1099="positive","c","d")))))</x:f>
        <x:v>d</x:v>
      </x:c>
      <x:c r="Q1099" s="12"/>
      <x:c r="R1099" s="12" t="str">
        <x:v>negative</x:v>
      </x:c>
      <x:c r="S1099" s="12"/>
      <x:c r="T1099" s="12" t="str">
        <x:v>negative</x:v>
      </x:c>
      <x:c r="U1099" s="12" t="str">
        <x:f>IF(OR(R1099="unavailable",T1099="unavailable"),"不可评价",IF(OR(R1099="equivocal",T1099="equivocal"),"疑似",IF(AND(R1099="positive",T1099="positive"),"a",IF(T1099="positive","b",IF(R1099="positive","c","d")))))</x:f>
        <x:v>d</x:v>
      </x:c>
      <x:c r="V1099" s="12"/>
      <x:c r="W1099" s="12" t="str">
        <x:v>negative</x:v>
      </x:c>
      <x:c r="X1099" s="12"/>
      <x:c r="Y1099" s="12" t="str">
        <x:v>negative</x:v>
      </x:c>
      <x:c r="Z1099" s="12" t="str">
        <x:f>IF(OR(W1099="unavailable",Y1099="unavailable"),"不可评价",IF(OR(W1099="equivocal",Y1099="equivocal"),"疑似",IF(AND(W1099="positive",Y1099="positive"),"a",IF(Y1099="positive","b",IF(W1099="positive","c","d")))))</x:f>
        <x:v>d</x:v>
      </x:c>
      <x:c r="AA1099" s="12" t="str">
        <x:f>IF(OR(M1099="unavailable",O1099="unavailable"),"不可评价",IF(AND(OR(M1099="positive",M1099="equivocal"),OR(O1099="positive",O1099="equivocal")),"a",IF(OR(O1099="positive",O1099="equivocal"),"b",IF(OR(M1099="positive",M1099="equivocal"),"c","d"))))</x:f>
        <x:v>d</x:v>
      </x:c>
      <x:c r="AB1099" s="12" t="str">
        <x:f>IF(OR(M1099="unavailable",O1099="unavailable"),"不可评价",IF(AND(M1099="positive",O1099="positive"),"a",IF(O1099="positive","b",IF(M1099="positive","c","d"))))</x:f>
        <x:v>d</x:v>
      </x:c>
      <x:c r="AC1099" s="12" t="str">
        <x:f>IF(OR(R1099="unavailable",T1099="unavailable"),"不可评价",IF(AND(OR(R1099="positive",R1099="equivocal"),OR(T1099="positive",T1099="equivocal")),"a",IF(OR(T1099="positive",T1099="equivocal"),"b",IF(OR(R1099="positive",R1099="equivocal"),"c","d"))))</x:f>
        <x:v>d</x:v>
      </x:c>
      <x:c r="AD1099" s="12" t="str">
        <x:f>IF(OR(R1099="unavailable",T1099="unavailable"),"不可评价",IF(AND(R1099="positive",T1099="positive"),"a",IF(T1099="positive","b",IF(R1099="positive","c","d"))))</x:f>
        <x:v>d</x:v>
      </x:c>
      <x:c r="AE1099" s="12" t="str">
        <x:f>IF(OR(W1099="unavailable",Y1099="unavailable"),"不可评价",IF(AND(OR(W1099="positive",W1099="equivocal"),OR(Y1099="positive",Y1099="equivocal")),"a",IF(OR(Y1099="positive",Y1099="equivocal"),"b",IF(OR(W1099="positive",W1099="equivocal"),"c","d"))))</x:f>
        <x:v>d</x:v>
      </x:c>
      <x:c r="AF1099" s="12" t="str">
        <x:f>IF(OR(W1099="unavailable",Y1099="unavailable"),"不可评价",IF(AND(W1099="positive",Y1099="positive"),"a",IF(Y1099="positive","b",IF(W1099="positive","c","d"))))</x:f>
        <x:v>d</x:v>
      </x:c>
    </x:row>
    <x:row r="1100" ht="24" customHeight="1">
      <x:c r="A1100" s="12" t="str">
        <x:v>9860</x:v>
      </x:c>
      <x:c r="B1100" s="12" t="str">
        <x:v>4710</x:v>
      </x:c>
      <x:c r="C1100" s="21" t="n">
        <x:v>34027.32046296296</x:v>
      </x:c>
      <x:c r="D1100" s="12" t="n">
        <x:v>85</x:v>
      </x:c>
      <x:c r="E1100" s="12" t="n">
        <x:v>1</x:v>
      </x:c>
      <x:c r="F1100" s="12" t="str">
        <x:v>未记录</x:v>
      </x:c>
      <x:c r="G1100" s="12" t="n">
        <x:v>1</x:v>
      </x:c>
      <x:c r="H1100" s="12" t="str">
        <x:v>{'IMI': 15.0, 'AMI': 15.0, 'INVT': 0.0, 'STD_': 0.0, 'SR': 0.0}</x:v>
      </x:c>
      <x:c r="I1100" s="12" t="str">
        <x:v>[('NSR', 100.0), ('ST&amp;', 100.0), ('LT', 100.0), ('AB', 100.0)]</x:v>
      </x:c>
      <x:c r="J1100" s="12" t="str">
        <x:v>ptbxl_database.csv；ecg_id=9860；scp_codes</x:v>
      </x:c>
      <x:c r="K1100" s="12" t="str">
        <x:v>12sl_statements.csv；ecg_id=9860；statements_ext_snomed</x:v>
      </x:c>
      <x:c r="L1100" s="12"/>
      <x:c r="M1100" s="12" t="str">
        <x:v>negative</x:v>
      </x:c>
      <x:c r="N1100" s="12"/>
      <x:c r="O1100" s="12" t="str">
        <x:v>negative</x:v>
      </x:c>
      <x:c r="P1100" s="12" t="str">
        <x:f>IF(OR(M1100="unavailable",O1100="unavailable"),"不可评价",IF(OR(M1100="equivocal",O1100="equivocal"),"疑似",IF(AND(M1100="positive",O1100="positive"),"a",IF(O1100="positive","b",IF(M1100="positive","c","d")))))</x:f>
        <x:v>d</x:v>
      </x:c>
      <x:c r="Q1100" s="12"/>
      <x:c r="R1100" s="12" t="str">
        <x:v>negative</x:v>
      </x:c>
      <x:c r="S1100" s="12"/>
      <x:c r="T1100" s="12" t="str">
        <x:v>negative</x:v>
      </x:c>
      <x:c r="U1100" s="12" t="str">
        <x:f>IF(OR(R1100="unavailable",T1100="unavailable"),"不可评价",IF(OR(R1100="equivocal",T1100="equivocal"),"疑似",IF(AND(R1100="positive",T1100="positive"),"a",IF(T1100="positive","b",IF(R1100="positive","c","d")))))</x:f>
        <x:v>d</x:v>
      </x:c>
      <x:c r="V1100" s="12"/>
      <x:c r="W1100" s="12" t="str">
        <x:v>negative</x:v>
      </x:c>
      <x:c r="X1100" s="12"/>
      <x:c r="Y1100" s="12" t="str">
        <x:v>negative</x:v>
      </x:c>
      <x:c r="Z1100" s="12" t="str">
        <x:f>IF(OR(W1100="unavailable",Y1100="unavailable"),"不可评价",IF(OR(W1100="equivocal",Y1100="equivocal"),"疑似",IF(AND(W1100="positive",Y1100="positive"),"a",IF(Y1100="positive","b",IF(W1100="positive","c","d")))))</x:f>
        <x:v>d</x:v>
      </x:c>
      <x:c r="AA1100" s="12" t="str">
        <x:f>IF(OR(M1100="unavailable",O1100="unavailable"),"不可评价",IF(AND(OR(M1100="positive",M1100="equivocal"),OR(O1100="positive",O1100="equivocal")),"a",IF(OR(O1100="positive",O1100="equivocal"),"b",IF(OR(M1100="positive",M1100="equivocal"),"c","d"))))</x:f>
        <x:v>d</x:v>
      </x:c>
      <x:c r="AB1100" s="12" t="str">
        <x:f>IF(OR(M1100="unavailable",O1100="unavailable"),"不可评价",IF(AND(M1100="positive",O1100="positive"),"a",IF(O1100="positive","b",IF(M1100="positive","c","d"))))</x:f>
        <x:v>d</x:v>
      </x:c>
      <x:c r="AC1100" s="12" t="str">
        <x:f>IF(OR(R1100="unavailable",T1100="unavailable"),"不可评价",IF(AND(OR(R1100="positive",R1100="equivocal"),OR(T1100="positive",T1100="equivocal")),"a",IF(OR(T1100="positive",T1100="equivocal"),"b",IF(OR(R1100="positive",R1100="equivocal"),"c","d"))))</x:f>
        <x:v>d</x:v>
      </x:c>
      <x:c r="AD1100" s="12" t="str">
        <x:f>IF(OR(R1100="unavailable",T1100="unavailable"),"不可评价",IF(AND(R1100="positive",T1100="positive"),"a",IF(T1100="positive","b",IF(R1100="positive","c","d"))))</x:f>
        <x:v>d</x:v>
      </x:c>
      <x:c r="AE1100" s="12" t="str">
        <x:f>IF(OR(W1100="unavailable",Y1100="unavailable"),"不可评价",IF(AND(OR(W1100="positive",W1100="equivocal"),OR(Y1100="positive",Y1100="equivocal")),"a",IF(OR(Y1100="positive",Y1100="equivocal"),"b",IF(OR(W1100="positive",W1100="equivocal"),"c","d"))))</x:f>
        <x:v>d</x:v>
      </x:c>
      <x:c r="AF1100" s="12" t="str">
        <x:f>IF(OR(W1100="unavailable",Y1100="unavailable"),"不可评价",IF(AND(W1100="positive",Y1100="positive"),"a",IF(Y1100="positive","b",IF(W1100="positive","c","d"))))</x:f>
        <x:v>d</x:v>
      </x:c>
    </x:row>
    <x:row r="1101" ht="24" customHeight="1">
      <x:c r="A1101" s="12" t="str">
        <x:v>9863</x:v>
      </x:c>
      <x:c r="B1101" s="12" t="str">
        <x:v>15322</x:v>
      </x:c>
      <x:c r="C1101" s="21" t="n">
        <x:v>34027.52587962963</x:v>
      </x:c>
      <x:c r="D1101" s="12" t="n">
        <x:v>58</x:v>
      </x:c>
      <x:c r="E1101" s="12" t="n">
        <x:v>0</x:v>
      </x:c>
      <x:c r="F1101" s="12" t="str">
        <x:v>未记录</x:v>
      </x:c>
      <x:c r="G1101" s="12" t="n">
        <x:v>1</x:v>
      </x:c>
      <x:c r="H1101" s="12" t="str">
        <x:v>{'NST_': 100.0, 'SR': 0.0}</x:v>
      </x:c>
      <x:c r="I1101" s="12" t="str">
        <x:v>[('NSR', 100.0), ('NSTT', 100.0), ('AB', 100.0)]</x:v>
      </x:c>
      <x:c r="J1101" s="12" t="str">
        <x:v>ptbxl_database.csv；ecg_id=9863；scp_codes</x:v>
      </x:c>
      <x:c r="K1101" s="12" t="str">
        <x:v>12sl_statements.csv；ecg_id=9863；statements_ext_snomed</x:v>
      </x:c>
      <x:c r="L1101" s="12"/>
      <x:c r="M1101" s="12" t="str">
        <x:v>negative</x:v>
      </x:c>
      <x:c r="N1101" s="12"/>
      <x:c r="O1101" s="12" t="str">
        <x:v>negative</x:v>
      </x:c>
      <x:c r="P1101" s="12" t="str">
        <x:f>IF(OR(M1101="unavailable",O1101="unavailable"),"不可评价",IF(OR(M1101="equivocal",O1101="equivocal"),"疑似",IF(AND(M1101="positive",O1101="positive"),"a",IF(O1101="positive","b",IF(M1101="positive","c","d")))))</x:f>
        <x:v>d</x:v>
      </x:c>
      <x:c r="Q1101" s="12"/>
      <x:c r="R1101" s="12" t="str">
        <x:v>negative</x:v>
      </x:c>
      <x:c r="S1101" s="12"/>
      <x:c r="T1101" s="12" t="str">
        <x:v>negative</x:v>
      </x:c>
      <x:c r="U1101" s="12" t="str">
        <x:f>IF(OR(R1101="unavailable",T1101="unavailable"),"不可评价",IF(OR(R1101="equivocal",T1101="equivocal"),"疑似",IF(AND(R1101="positive",T1101="positive"),"a",IF(T1101="positive","b",IF(R1101="positive","c","d")))))</x:f>
        <x:v>d</x:v>
      </x:c>
      <x:c r="V1101" s="12"/>
      <x:c r="W1101" s="12" t="str">
        <x:v>negative</x:v>
      </x:c>
      <x:c r="X1101" s="12"/>
      <x:c r="Y1101" s="12" t="str">
        <x:v>negative</x:v>
      </x:c>
      <x:c r="Z1101" s="12" t="str">
        <x:f>IF(OR(W1101="unavailable",Y1101="unavailable"),"不可评价",IF(OR(W1101="equivocal",Y1101="equivocal"),"疑似",IF(AND(W1101="positive",Y1101="positive"),"a",IF(Y1101="positive","b",IF(W1101="positive","c","d")))))</x:f>
        <x:v>d</x:v>
      </x:c>
      <x:c r="AA1101" s="12" t="str">
        <x:f>IF(OR(M1101="unavailable",O1101="unavailable"),"不可评价",IF(AND(OR(M1101="positive",M1101="equivocal"),OR(O1101="positive",O1101="equivocal")),"a",IF(OR(O1101="positive",O1101="equivocal"),"b",IF(OR(M1101="positive",M1101="equivocal"),"c","d"))))</x:f>
        <x:v>d</x:v>
      </x:c>
      <x:c r="AB1101" s="12" t="str">
        <x:f>IF(OR(M1101="unavailable",O1101="unavailable"),"不可评价",IF(AND(M1101="positive",O1101="positive"),"a",IF(O1101="positive","b",IF(M1101="positive","c","d"))))</x:f>
        <x:v>d</x:v>
      </x:c>
      <x:c r="AC1101" s="12" t="str">
        <x:f>IF(OR(R1101="unavailable",T1101="unavailable"),"不可评价",IF(AND(OR(R1101="positive",R1101="equivocal"),OR(T1101="positive",T1101="equivocal")),"a",IF(OR(T1101="positive",T1101="equivocal"),"b",IF(OR(R1101="positive",R1101="equivocal"),"c","d"))))</x:f>
        <x:v>d</x:v>
      </x:c>
      <x:c r="AD1101" s="12" t="str">
        <x:f>IF(OR(R1101="unavailable",T1101="unavailable"),"不可评价",IF(AND(R1101="positive",T1101="positive"),"a",IF(T1101="positive","b",IF(R1101="positive","c","d"))))</x:f>
        <x:v>d</x:v>
      </x:c>
      <x:c r="AE1101" s="12" t="str">
        <x:f>IF(OR(W1101="unavailable",Y1101="unavailable"),"不可评价",IF(AND(OR(W1101="positive",W1101="equivocal"),OR(Y1101="positive",Y1101="equivocal")),"a",IF(OR(Y1101="positive",Y1101="equivocal"),"b",IF(OR(W1101="positive",W1101="equivocal"),"c","d"))))</x:f>
        <x:v>d</x:v>
      </x:c>
      <x:c r="AF1101" s="12" t="str">
        <x:f>IF(OR(W1101="unavailable",Y1101="unavailable"),"不可评价",IF(AND(W1101="positive",Y1101="positive"),"a",IF(Y1101="positive","b",IF(W1101="positive","c","d"))))</x:f>
        <x:v>d</x:v>
      </x:c>
    </x:row>
    <x:row r="1102" ht="24" customHeight="1">
      <x:c r="A1102" s="12" t="str">
        <x:v>9865</x:v>
      </x:c>
      <x:c r="B1102" s="12" t="str">
        <x:v>20167</x:v>
      </x:c>
      <x:c r="C1102" s="21" t="n">
        <x:v>34027.552777777775</x:v>
      </x:c>
      <x:c r="D1102" s="12" t="n">
        <x:v>56</x:v>
      </x:c>
      <x:c r="E1102" s="12" t="n">
        <x:v>0</x:v>
      </x:c>
      <x:c r="F1102" s="12" t="str">
        <x:v>存在</x:v>
      </x:c>
      <x:c r="G1102" s="12" t="n">
        <x:v>1</x:v>
      </x:c>
      <x:c r="H1102" s="12" t="str">
        <x:v>{'NORM': 100.0, 'SR': 0.0}</x:v>
      </x:c>
      <x:c r="I1102" s="12" t="str">
        <x:v>[('SBRAD', 100.0), ('ABR', 100.0)]</x:v>
      </x:c>
      <x:c r="J1102" s="12" t="str">
        <x:v>ptbxl_database.csv；ecg_id=9865；scp_codes</x:v>
      </x:c>
      <x:c r="K1102" s="12" t="str">
        <x:v>12sl_statements.csv；ecg_id=9865；statements_ext_snomed</x:v>
      </x:c>
      <x:c r="L1102" s="12"/>
      <x:c r="M1102" s="12" t="str">
        <x:v>negative</x:v>
      </x:c>
      <x:c r="N1102" s="12"/>
      <x:c r="O1102" s="12" t="str">
        <x:v>negative</x:v>
      </x:c>
      <x:c r="P1102" s="12" t="str">
        <x:f>IF(OR(M1102="unavailable",O1102="unavailable"),"不可评价",IF(OR(M1102="equivocal",O1102="equivocal"),"疑似",IF(AND(M1102="positive",O1102="positive"),"a",IF(O1102="positive","b",IF(M1102="positive","c","d")))))</x:f>
        <x:v>d</x:v>
      </x:c>
      <x:c r="Q1102" s="12"/>
      <x:c r="R1102" s="12" t="str">
        <x:v>negative</x:v>
      </x:c>
      <x:c r="S1102" s="12"/>
      <x:c r="T1102" s="12" t="str">
        <x:v>negative</x:v>
      </x:c>
      <x:c r="U1102" s="12" t="str">
        <x:f>IF(OR(R1102="unavailable",T1102="unavailable"),"不可评价",IF(OR(R1102="equivocal",T1102="equivocal"),"疑似",IF(AND(R1102="positive",T1102="positive"),"a",IF(T1102="positive","b",IF(R1102="positive","c","d")))))</x:f>
        <x:v>d</x:v>
      </x:c>
      <x:c r="V1102" s="12"/>
      <x:c r="W1102" s="12" t="str">
        <x:v>negative</x:v>
      </x:c>
      <x:c r="X1102" s="12"/>
      <x:c r="Y1102" s="12" t="str">
        <x:v>negative</x:v>
      </x:c>
      <x:c r="Z1102" s="12" t="str">
        <x:f>IF(OR(W1102="unavailable",Y1102="unavailable"),"不可评价",IF(OR(W1102="equivocal",Y1102="equivocal"),"疑似",IF(AND(W1102="positive",Y1102="positive"),"a",IF(Y1102="positive","b",IF(W1102="positive","c","d")))))</x:f>
        <x:v>d</x:v>
      </x:c>
      <x:c r="AA1102" s="12" t="str">
        <x:f>IF(OR(M1102="unavailable",O1102="unavailable"),"不可评价",IF(AND(OR(M1102="positive",M1102="equivocal"),OR(O1102="positive",O1102="equivocal")),"a",IF(OR(O1102="positive",O1102="equivocal"),"b",IF(OR(M1102="positive",M1102="equivocal"),"c","d"))))</x:f>
        <x:v>d</x:v>
      </x:c>
      <x:c r="AB1102" s="12" t="str">
        <x:f>IF(OR(M1102="unavailable",O1102="unavailable"),"不可评价",IF(AND(M1102="positive",O1102="positive"),"a",IF(O1102="positive","b",IF(M1102="positive","c","d"))))</x:f>
        <x:v>d</x:v>
      </x:c>
      <x:c r="AC1102" s="12" t="str">
        <x:f>IF(OR(R1102="unavailable",T1102="unavailable"),"不可评价",IF(AND(OR(R1102="positive",R1102="equivocal"),OR(T1102="positive",T1102="equivocal")),"a",IF(OR(T1102="positive",T1102="equivocal"),"b",IF(OR(R1102="positive",R1102="equivocal"),"c","d"))))</x:f>
        <x:v>d</x:v>
      </x:c>
      <x:c r="AD1102" s="12" t="str">
        <x:f>IF(OR(R1102="unavailable",T1102="unavailable"),"不可评价",IF(AND(R1102="positive",T1102="positive"),"a",IF(T1102="positive","b",IF(R1102="positive","c","d"))))</x:f>
        <x:v>d</x:v>
      </x:c>
      <x:c r="AE1102" s="12" t="str">
        <x:f>IF(OR(W1102="unavailable",Y1102="unavailable"),"不可评价",IF(AND(OR(W1102="positive",W1102="equivocal"),OR(Y1102="positive",Y1102="equivocal")),"a",IF(OR(Y1102="positive",Y1102="equivocal"),"b",IF(OR(W1102="positive",W1102="equivocal"),"c","d"))))</x:f>
        <x:v>d</x:v>
      </x:c>
      <x:c r="AF1102" s="12" t="str">
        <x:f>IF(OR(W1102="unavailable",Y1102="unavailable"),"不可评价",IF(AND(W1102="positive",Y1102="positive"),"a",IF(Y1102="positive","b",IF(W1102="positive","c","d"))))</x:f>
        <x:v>d</x:v>
      </x:c>
    </x:row>
    <x:row r="1103" ht="24" customHeight="1">
      <x:c r="A1103" s="12" t="str">
        <x:v>9867</x:v>
      </x:c>
      <x:c r="B1103" s="12" t="str">
        <x:v>7276</x:v>
      </x:c>
      <x:c r="C1103" s="21" t="n">
        <x:v>34027.800358796296</x:v>
      </x:c>
      <x:c r="D1103" s="12" t="n">
        <x:v>81</x:v>
      </x:c>
      <x:c r="E1103" s="12" t="n">
        <x:v>1</x:v>
      </x:c>
      <x:c r="F1103" s="12" t="str">
        <x:v>未记录</x:v>
      </x:c>
      <x:c r="G1103" s="12" t="n">
        <x:v>1</x:v>
      </x:c>
      <x:c r="H1103" s="12" t="str">
        <x:v>{'ISC_': 80.0, 'DIG': 80.0, 'PAC': 0.0, 'STD_': 0.0, 'SR': 0.0}</x:v>
      </x:c>
      <x:c r="I1103" s="12" t="str">
        <x:v>[('SRTH', 100.0), ('MSAR', 100.0), ('NST', 100.0), ('AB', 100.0)]</x:v>
      </x:c>
      <x:c r="J1103" s="12" t="str">
        <x:v>ptbxl_database.csv；ecg_id=9867；scp_codes</x:v>
      </x:c>
      <x:c r="K1103" s="12" t="str">
        <x:v>12sl_statements.csv；ecg_id=9867；statements_ext_snomed</x:v>
      </x:c>
      <x:c r="L1103" s="12"/>
      <x:c r="M1103" s="12" t="str">
        <x:v>negative</x:v>
      </x:c>
      <x:c r="N1103" s="12"/>
      <x:c r="O1103" s="12" t="str">
        <x:v>negative</x:v>
      </x:c>
      <x:c r="P1103" s="12" t="str">
        <x:f>IF(OR(M1103="unavailable",O1103="unavailable"),"不可评价",IF(OR(M1103="equivocal",O1103="equivocal"),"疑似",IF(AND(M1103="positive",O1103="positive"),"a",IF(O1103="positive","b",IF(M1103="positive","c","d")))))</x:f>
        <x:v>d</x:v>
      </x:c>
      <x:c r="Q1103" s="12"/>
      <x:c r="R1103" s="12" t="str">
        <x:v>negative</x:v>
      </x:c>
      <x:c r="S1103" s="12"/>
      <x:c r="T1103" s="12" t="str">
        <x:v>negative</x:v>
      </x:c>
      <x:c r="U1103" s="12" t="str">
        <x:f>IF(OR(R1103="unavailable",T1103="unavailable"),"不可评价",IF(OR(R1103="equivocal",T1103="equivocal"),"疑似",IF(AND(R1103="positive",T1103="positive"),"a",IF(T1103="positive","b",IF(R1103="positive","c","d")))))</x:f>
        <x:v>d</x:v>
      </x:c>
      <x:c r="V1103" s="12"/>
      <x:c r="W1103" s="12" t="str">
        <x:v>negative</x:v>
      </x:c>
      <x:c r="X1103" s="12"/>
      <x:c r="Y1103" s="12" t="str">
        <x:v>negative</x:v>
      </x:c>
      <x:c r="Z1103" s="12" t="str">
        <x:f>IF(OR(W1103="unavailable",Y1103="unavailable"),"不可评价",IF(OR(W1103="equivocal",Y1103="equivocal"),"疑似",IF(AND(W1103="positive",Y1103="positive"),"a",IF(Y1103="positive","b",IF(W1103="positive","c","d")))))</x:f>
        <x:v>d</x:v>
      </x:c>
      <x:c r="AA1103" s="12" t="str">
        <x:f>IF(OR(M1103="unavailable",O1103="unavailable"),"不可评价",IF(AND(OR(M1103="positive",M1103="equivocal"),OR(O1103="positive",O1103="equivocal")),"a",IF(OR(O1103="positive",O1103="equivocal"),"b",IF(OR(M1103="positive",M1103="equivocal"),"c","d"))))</x:f>
        <x:v>d</x:v>
      </x:c>
      <x:c r="AB1103" s="12" t="str">
        <x:f>IF(OR(M1103="unavailable",O1103="unavailable"),"不可评价",IF(AND(M1103="positive",O1103="positive"),"a",IF(O1103="positive","b",IF(M1103="positive","c","d"))))</x:f>
        <x:v>d</x:v>
      </x:c>
      <x:c r="AC1103" s="12" t="str">
        <x:f>IF(OR(R1103="unavailable",T1103="unavailable"),"不可评价",IF(AND(OR(R1103="positive",R1103="equivocal"),OR(T1103="positive",T1103="equivocal")),"a",IF(OR(T1103="positive",T1103="equivocal"),"b",IF(OR(R1103="positive",R1103="equivocal"),"c","d"))))</x:f>
        <x:v>d</x:v>
      </x:c>
      <x:c r="AD1103" s="12" t="str">
        <x:f>IF(OR(R1103="unavailable",T1103="unavailable"),"不可评价",IF(AND(R1103="positive",T1103="positive"),"a",IF(T1103="positive","b",IF(R1103="positive","c","d"))))</x:f>
        <x:v>d</x:v>
      </x:c>
      <x:c r="AE1103" s="12" t="str">
        <x:f>IF(OR(W1103="unavailable",Y1103="unavailable"),"不可评价",IF(AND(OR(W1103="positive",W1103="equivocal"),OR(Y1103="positive",Y1103="equivocal")),"a",IF(OR(Y1103="positive",Y1103="equivocal"),"b",IF(OR(W1103="positive",W1103="equivocal"),"c","d"))))</x:f>
        <x:v>d</x:v>
      </x:c>
      <x:c r="AF1103" s="12" t="str">
        <x:f>IF(OR(W1103="unavailable",Y1103="unavailable"),"不可评价",IF(AND(W1103="positive",Y1103="positive"),"a",IF(Y1103="positive","b",IF(W1103="positive","c","d"))))</x:f>
        <x:v>d</x:v>
      </x:c>
    </x:row>
    <x:row r="1104" ht="39" customHeight="1">
      <x:c r="A1104" s="12" t="str">
        <x:v>9869</x:v>
      </x:c>
      <x:c r="B1104" s="12" t="str">
        <x:v>8286</x:v>
      </x:c>
      <x:c r="C1104" s="21" t="n">
        <x:v>34028.50585648148</x:v>
      </x:c>
      <x:c r="D1104" s="12" t="n">
        <x:v>67</x:v>
      </x:c>
      <x:c r="E1104" s="12" t="n">
        <x:v>0</x:v>
      </x:c>
      <x:c r="F1104" s="12" t="str">
        <x:v>未记录</x:v>
      </x:c>
      <x:c r="G1104" s="12" t="n">
        <x:v>1</x:v>
      </x:c>
      <x:c r="H1104" s="12" t="str">
        <x:v>{'1AVB': 100.0, 'LVH': 100.0, 'ISC_': 100.0, 'SR': 0.0}</x:v>
      </x:c>
      <x:c r="I1104" s="12" t="str">
        <x:v>[('SRTH', 100.0), ('FAV', 100.0), ('LAE', 50.0), ('LVH2', 100.0), ('2ST', 100.0), ('AIOHAI', 100.0), ('STEMI', 100.0), ('AB', 100.0)]</x:v>
      </x:c>
      <x:c r="J1104" s="12" t="str">
        <x:v>ptbxl_database.csv；ecg_id=9869；scp_codes</x:v>
      </x:c>
      <x:c r="K1104" s="12" t="str">
        <x:v>12sl_statements.csv；ecg_id=9869；statements_ext_snomed</x:v>
      </x:c>
      <x:c r="L1104" s="12"/>
      <x:c r="M1104" s="12" t="str">
        <x:v>negative</x:v>
      </x:c>
      <x:c r="N1104" s="12"/>
      <x:c r="O1104" s="12" t="str">
        <x:v>negative</x:v>
      </x:c>
      <x:c r="P1104" s="12" t="str">
        <x:f>IF(OR(M1104="unavailable",O1104="unavailable"),"不可评价",IF(OR(M1104="equivocal",O1104="equivocal"),"疑似",IF(AND(M1104="positive",O1104="positive"),"a",IF(O1104="positive","b",IF(M1104="positive","c","d")))))</x:f>
        <x:v>d</x:v>
      </x:c>
      <x:c r="Q1104" s="12"/>
      <x:c r="R1104" s="12" t="str">
        <x:v>negative</x:v>
      </x:c>
      <x:c r="S1104" s="12"/>
      <x:c r="T1104" s="12" t="str">
        <x:v>negative</x:v>
      </x:c>
      <x:c r="U1104" s="12" t="str">
        <x:f>IF(OR(R1104="unavailable",T1104="unavailable"),"不可评价",IF(OR(R1104="equivocal",T1104="equivocal"),"疑似",IF(AND(R1104="positive",T1104="positive"),"a",IF(T1104="positive","b",IF(R1104="positive","c","d")))))</x:f>
        <x:v>d</x:v>
      </x:c>
      <x:c r="V1104" s="12"/>
      <x:c r="W1104" s="12" t="str">
        <x:v>negative</x:v>
      </x:c>
      <x:c r="X1104" s="12"/>
      <x:c r="Y1104" s="12" t="str">
        <x:v>negative</x:v>
      </x:c>
      <x:c r="Z1104" s="12" t="str">
        <x:f>IF(OR(W1104="unavailable",Y1104="unavailable"),"不可评价",IF(OR(W1104="equivocal",Y1104="equivocal"),"疑似",IF(AND(W1104="positive",Y1104="positive"),"a",IF(Y1104="positive","b",IF(W1104="positive","c","d")))))</x:f>
        <x:v>d</x:v>
      </x:c>
      <x:c r="AA1104" s="12" t="str">
        <x:f>IF(OR(M1104="unavailable",O1104="unavailable"),"不可评价",IF(AND(OR(M1104="positive",M1104="equivocal"),OR(O1104="positive",O1104="equivocal")),"a",IF(OR(O1104="positive",O1104="equivocal"),"b",IF(OR(M1104="positive",M1104="equivocal"),"c","d"))))</x:f>
        <x:v>d</x:v>
      </x:c>
      <x:c r="AB1104" s="12" t="str">
        <x:f>IF(OR(M1104="unavailable",O1104="unavailable"),"不可评价",IF(AND(M1104="positive",O1104="positive"),"a",IF(O1104="positive","b",IF(M1104="positive","c","d"))))</x:f>
        <x:v>d</x:v>
      </x:c>
      <x:c r="AC1104" s="12" t="str">
        <x:f>IF(OR(R1104="unavailable",T1104="unavailable"),"不可评价",IF(AND(OR(R1104="positive",R1104="equivocal"),OR(T1104="positive",T1104="equivocal")),"a",IF(OR(T1104="positive",T1104="equivocal"),"b",IF(OR(R1104="positive",R1104="equivocal"),"c","d"))))</x:f>
        <x:v>d</x:v>
      </x:c>
      <x:c r="AD1104" s="12" t="str">
        <x:f>IF(OR(R1104="unavailable",T1104="unavailable"),"不可评价",IF(AND(R1104="positive",T1104="positive"),"a",IF(T1104="positive","b",IF(R1104="positive","c","d"))))</x:f>
        <x:v>d</x:v>
      </x:c>
      <x:c r="AE1104" s="12" t="str">
        <x:f>IF(OR(W1104="unavailable",Y1104="unavailable"),"不可评价",IF(AND(OR(W1104="positive",W1104="equivocal"),OR(Y1104="positive",Y1104="equivocal")),"a",IF(OR(Y1104="positive",Y1104="equivocal"),"b",IF(OR(W1104="positive",W1104="equivocal"),"c","d"))))</x:f>
        <x:v>d</x:v>
      </x:c>
      <x:c r="AF1104" s="12" t="str">
        <x:f>IF(OR(W1104="unavailable",Y1104="unavailable"),"不可评价",IF(AND(W1104="positive",Y1104="positive"),"a",IF(Y1104="positive","b",IF(W1104="positive","c","d"))))</x:f>
        <x:v>d</x:v>
      </x:c>
    </x:row>
    <x:row r="1105" ht="24" customHeight="1">
      <x:c r="A1105" s="12" t="str">
        <x:v>9873</x:v>
      </x:c>
      <x:c r="B1105" s="12" t="str">
        <x:v>21626</x:v>
      </x:c>
      <x:c r="C1105" s="21" t="n">
        <x:v>34030.31959490741</x:v>
      </x:c>
      <x:c r="D1105" s="12" t="n">
        <x:v>44</x:v>
      </x:c>
      <x:c r="E1105" s="12" t="n">
        <x:v>0</x:v>
      </x:c>
      <x:c r="F1105" s="12" t="str">
        <x:v>存在</x:v>
      </x:c>
      <x:c r="G1105" s="12" t="n">
        <x:v>1</x:v>
      </x:c>
      <x:c r="H1105" s="12" t="str">
        <x:v>{'IMI': 15.0, 'ABQRS': 0.0, 'SR': 0.0}</x:v>
      </x:c>
      <x:c r="I1105" s="12" t="str">
        <x:v>[('NSR', 100.0), ('BORDE', 100.0)]</x:v>
      </x:c>
      <x:c r="J1105" s="12" t="str">
        <x:v>ptbxl_database.csv；ecg_id=9873；scp_codes</x:v>
      </x:c>
      <x:c r="K1105" s="12" t="str">
        <x:v>12sl_statements.csv；ecg_id=9873；statements_ext_snomed</x:v>
      </x:c>
      <x:c r="L1105" s="12"/>
      <x:c r="M1105" s="12" t="str">
        <x:v>negative</x:v>
      </x:c>
      <x:c r="N1105" s="12"/>
      <x:c r="O1105" s="12" t="str">
        <x:v>negative</x:v>
      </x:c>
      <x:c r="P1105" s="12" t="str">
        <x:f>IF(OR(M1105="unavailable",O1105="unavailable"),"不可评价",IF(OR(M1105="equivocal",O1105="equivocal"),"疑似",IF(AND(M1105="positive",O1105="positive"),"a",IF(O1105="positive","b",IF(M1105="positive","c","d")))))</x:f>
        <x:v>d</x:v>
      </x:c>
      <x:c r="Q1105" s="12"/>
      <x:c r="R1105" s="12" t="str">
        <x:v>negative</x:v>
      </x:c>
      <x:c r="S1105" s="12"/>
      <x:c r="T1105" s="12" t="str">
        <x:v>negative</x:v>
      </x:c>
      <x:c r="U1105" s="12" t="str">
        <x:f>IF(OR(R1105="unavailable",T1105="unavailable"),"不可评价",IF(OR(R1105="equivocal",T1105="equivocal"),"疑似",IF(AND(R1105="positive",T1105="positive"),"a",IF(T1105="positive","b",IF(R1105="positive","c","d")))))</x:f>
        <x:v>d</x:v>
      </x:c>
      <x:c r="V1105" s="12"/>
      <x:c r="W1105" s="12" t="str">
        <x:v>negative</x:v>
      </x:c>
      <x:c r="X1105" s="12"/>
      <x:c r="Y1105" s="12" t="str">
        <x:v>negative</x:v>
      </x:c>
      <x:c r="Z1105" s="12" t="str">
        <x:f>IF(OR(W1105="unavailable",Y1105="unavailable"),"不可评价",IF(OR(W1105="equivocal",Y1105="equivocal"),"疑似",IF(AND(W1105="positive",Y1105="positive"),"a",IF(Y1105="positive","b",IF(W1105="positive","c","d")))))</x:f>
        <x:v>d</x:v>
      </x:c>
      <x:c r="AA1105" s="12" t="str">
        <x:f>IF(OR(M1105="unavailable",O1105="unavailable"),"不可评价",IF(AND(OR(M1105="positive",M1105="equivocal"),OR(O1105="positive",O1105="equivocal")),"a",IF(OR(O1105="positive",O1105="equivocal"),"b",IF(OR(M1105="positive",M1105="equivocal"),"c","d"))))</x:f>
        <x:v>d</x:v>
      </x:c>
      <x:c r="AB1105" s="12" t="str">
        <x:f>IF(OR(M1105="unavailable",O1105="unavailable"),"不可评价",IF(AND(M1105="positive",O1105="positive"),"a",IF(O1105="positive","b",IF(M1105="positive","c","d"))))</x:f>
        <x:v>d</x:v>
      </x:c>
      <x:c r="AC1105" s="12" t="str">
        <x:f>IF(OR(R1105="unavailable",T1105="unavailable"),"不可评价",IF(AND(OR(R1105="positive",R1105="equivocal"),OR(T1105="positive",T1105="equivocal")),"a",IF(OR(T1105="positive",T1105="equivocal"),"b",IF(OR(R1105="positive",R1105="equivocal"),"c","d"))))</x:f>
        <x:v>d</x:v>
      </x:c>
      <x:c r="AD1105" s="12" t="str">
        <x:f>IF(OR(R1105="unavailable",T1105="unavailable"),"不可评价",IF(AND(R1105="positive",T1105="positive"),"a",IF(T1105="positive","b",IF(R1105="positive","c","d"))))</x:f>
        <x:v>d</x:v>
      </x:c>
      <x:c r="AE1105" s="12" t="str">
        <x:f>IF(OR(W1105="unavailable",Y1105="unavailable"),"不可评价",IF(AND(OR(W1105="positive",W1105="equivocal"),OR(Y1105="positive",Y1105="equivocal")),"a",IF(OR(Y1105="positive",Y1105="equivocal"),"b",IF(OR(W1105="positive",W1105="equivocal"),"c","d"))))</x:f>
        <x:v>d</x:v>
      </x:c>
      <x:c r="AF1105" s="12" t="str">
        <x:f>IF(OR(W1105="unavailable",Y1105="unavailable"),"不可评价",IF(AND(W1105="positive",Y1105="positive"),"a",IF(Y1105="positive","b",IF(W1105="positive","c","d"))))</x:f>
        <x:v>d</x:v>
      </x:c>
    </x:row>
    <x:row r="1106" ht="24" customHeight="1">
      <x:c r="A1106" s="12" t="str">
        <x:v>9875</x:v>
      </x:c>
      <x:c r="B1106" s="12" t="str">
        <x:v>20737</x:v>
      </x:c>
      <x:c r="C1106" s="21" t="n">
        <x:v>34030.72332175926</x:v>
      </x:c>
      <x:c r="D1106" s="12" t="n">
        <x:v>71</x:v>
      </x:c>
      <x:c r="E1106" s="12" t="n">
        <x:v>0</x:v>
      </x:c>
      <x:c r="F1106" s="12" t="str">
        <x:v>未记录</x:v>
      </x:c>
      <x:c r="G1106" s="12" t="n">
        <x:v>1</x:v>
      </x:c>
      <x:c r="H1106" s="12" t="str">
        <x:v>{'IMI': 50.0, 'LAFB': 100.0, 'ABQRS': 0.0, 'SR': 0.0}</x:v>
      </x:c>
      <x:c r="I1106" s="12" t="str">
        <x:v>[('NSR', 100.0), ('LAD3', 100.0), ('AB', 100.0)]</x:v>
      </x:c>
      <x:c r="J1106" s="12" t="str">
        <x:v>ptbxl_database.csv；ecg_id=9875；scp_codes</x:v>
      </x:c>
      <x:c r="K1106" s="12" t="str">
        <x:v>12sl_statements.csv；ecg_id=9875；statements_ext_snomed</x:v>
      </x:c>
      <x:c r="L1106" s="12"/>
      <x:c r="M1106" s="12" t="str">
        <x:v>negative</x:v>
      </x:c>
      <x:c r="N1106" s="12"/>
      <x:c r="O1106" s="12" t="str">
        <x:v>negative</x:v>
      </x:c>
      <x:c r="P1106" s="12" t="str">
        <x:f>IF(OR(M1106="unavailable",O1106="unavailable"),"不可评价",IF(OR(M1106="equivocal",O1106="equivocal"),"疑似",IF(AND(M1106="positive",O1106="positive"),"a",IF(O1106="positive","b",IF(M1106="positive","c","d")))))</x:f>
        <x:v>d</x:v>
      </x:c>
      <x:c r="Q1106" s="12"/>
      <x:c r="R1106" s="12" t="str">
        <x:v>negative</x:v>
      </x:c>
      <x:c r="S1106" s="12"/>
      <x:c r="T1106" s="12" t="str">
        <x:v>negative</x:v>
      </x:c>
      <x:c r="U1106" s="12" t="str">
        <x:f>IF(OR(R1106="unavailable",T1106="unavailable"),"不可评价",IF(OR(R1106="equivocal",T1106="equivocal"),"疑似",IF(AND(R1106="positive",T1106="positive"),"a",IF(T1106="positive","b",IF(R1106="positive","c","d")))))</x:f>
        <x:v>d</x:v>
      </x:c>
      <x:c r="V1106" s="12"/>
      <x:c r="W1106" s="12" t="str">
        <x:v>negative</x:v>
      </x:c>
      <x:c r="X1106" s="12"/>
      <x:c r="Y1106" s="12" t="str">
        <x:v>negative</x:v>
      </x:c>
      <x:c r="Z1106" s="12" t="str">
        <x:f>IF(OR(W1106="unavailable",Y1106="unavailable"),"不可评价",IF(OR(W1106="equivocal",Y1106="equivocal"),"疑似",IF(AND(W1106="positive",Y1106="positive"),"a",IF(Y1106="positive","b",IF(W1106="positive","c","d")))))</x:f>
        <x:v>d</x:v>
      </x:c>
      <x:c r="AA1106" s="12" t="str">
        <x:f>IF(OR(M1106="unavailable",O1106="unavailable"),"不可评价",IF(AND(OR(M1106="positive",M1106="equivocal"),OR(O1106="positive",O1106="equivocal")),"a",IF(OR(O1106="positive",O1106="equivocal"),"b",IF(OR(M1106="positive",M1106="equivocal"),"c","d"))))</x:f>
        <x:v>d</x:v>
      </x:c>
      <x:c r="AB1106" s="12" t="str">
        <x:f>IF(OR(M1106="unavailable",O1106="unavailable"),"不可评价",IF(AND(M1106="positive",O1106="positive"),"a",IF(O1106="positive","b",IF(M1106="positive","c","d"))))</x:f>
        <x:v>d</x:v>
      </x:c>
      <x:c r="AC1106" s="12" t="str">
        <x:f>IF(OR(R1106="unavailable",T1106="unavailable"),"不可评价",IF(AND(OR(R1106="positive",R1106="equivocal"),OR(T1106="positive",T1106="equivocal")),"a",IF(OR(T1106="positive",T1106="equivocal"),"b",IF(OR(R1106="positive",R1106="equivocal"),"c","d"))))</x:f>
        <x:v>d</x:v>
      </x:c>
      <x:c r="AD1106" s="12" t="str">
        <x:f>IF(OR(R1106="unavailable",T1106="unavailable"),"不可评价",IF(AND(R1106="positive",T1106="positive"),"a",IF(T1106="positive","b",IF(R1106="positive","c","d"))))</x:f>
        <x:v>d</x:v>
      </x:c>
      <x:c r="AE1106" s="12" t="str">
        <x:f>IF(OR(W1106="unavailable",Y1106="unavailable"),"不可评价",IF(AND(OR(W1106="positive",W1106="equivocal"),OR(Y1106="positive",Y1106="equivocal")),"a",IF(OR(Y1106="positive",Y1106="equivocal"),"b",IF(OR(W1106="positive",W1106="equivocal"),"c","d"))))</x:f>
        <x:v>d</x:v>
      </x:c>
      <x:c r="AF1106" s="12" t="str">
        <x:f>IF(OR(W1106="unavailable",Y1106="unavailable"),"不可评价",IF(AND(W1106="positive",Y1106="positive"),"a",IF(Y1106="positive","b",IF(W1106="positive","c","d"))))</x:f>
        <x:v>d</x:v>
      </x:c>
    </x:row>
    <x:row r="1107" ht="24" customHeight="1">
      <x:c r="A1107" s="12" t="str">
        <x:v>9891</x:v>
      </x:c>
      <x:c r="B1107" s="12" t="str">
        <x:v>12170</x:v>
      </x:c>
      <x:c r="C1107" s="21" t="n">
        <x:v>34034.482395833336</x:v>
      </x:c>
      <x:c r="D1107" s="12" t="n">
        <x:v>57</x:v>
      </x:c>
      <x:c r="E1107" s="12" t="n">
        <x:v>0</x:v>
      </x:c>
      <x:c r="F1107" s="12" t="str">
        <x:v>未记录</x:v>
      </x:c>
      <x:c r="G1107" s="12" t="n">
        <x:v>1</x:v>
      </x:c>
      <x:c r="H1107" s="12" t="str">
        <x:v>{'ASMI': 100.0, 'ILMI': 100.0, 'SR': 0.0}</x:v>
      </x:c>
      <x:c r="I1107" s="12" t="str">
        <x:v>[('NSR', 100.0), ('SMI;AU', 100.0), ('AB', 100.0)]</x:v>
      </x:c>
      <x:c r="J1107" s="12" t="str">
        <x:v>ptbxl_database.csv；ecg_id=9891；scp_codes</x:v>
      </x:c>
      <x:c r="K1107" s="12" t="str">
        <x:v>12sl_statements.csv；ecg_id=9891；statements_ext_snomed</x:v>
      </x:c>
      <x:c r="L1107" s="12"/>
      <x:c r="M1107" s="12" t="str">
        <x:v>negative</x:v>
      </x:c>
      <x:c r="N1107" s="12"/>
      <x:c r="O1107" s="12" t="str">
        <x:v>negative</x:v>
      </x:c>
      <x:c r="P1107" s="12" t="str">
        <x:f>IF(OR(M1107="unavailable",O1107="unavailable"),"不可评价",IF(OR(M1107="equivocal",O1107="equivocal"),"疑似",IF(AND(M1107="positive",O1107="positive"),"a",IF(O1107="positive","b",IF(M1107="positive","c","d")))))</x:f>
        <x:v>d</x:v>
      </x:c>
      <x:c r="Q1107" s="12"/>
      <x:c r="R1107" s="12" t="str">
        <x:v>negative</x:v>
      </x:c>
      <x:c r="S1107" s="12"/>
      <x:c r="T1107" s="12" t="str">
        <x:v>negative</x:v>
      </x:c>
      <x:c r="U1107" s="12" t="str">
        <x:f>IF(OR(R1107="unavailable",T1107="unavailable"),"不可评价",IF(OR(R1107="equivocal",T1107="equivocal"),"疑似",IF(AND(R1107="positive",T1107="positive"),"a",IF(T1107="positive","b",IF(R1107="positive","c","d")))))</x:f>
        <x:v>d</x:v>
      </x:c>
      <x:c r="V1107" s="12"/>
      <x:c r="W1107" s="12" t="str">
        <x:v>negative</x:v>
      </x:c>
      <x:c r="X1107" s="12"/>
      <x:c r="Y1107" s="12" t="str">
        <x:v>negative</x:v>
      </x:c>
      <x:c r="Z1107" s="12" t="str">
        <x:f>IF(OR(W1107="unavailable",Y1107="unavailable"),"不可评价",IF(OR(W1107="equivocal",Y1107="equivocal"),"疑似",IF(AND(W1107="positive",Y1107="positive"),"a",IF(Y1107="positive","b",IF(W1107="positive","c","d")))))</x:f>
        <x:v>d</x:v>
      </x:c>
      <x:c r="AA1107" s="12" t="str">
        <x:f>IF(OR(M1107="unavailable",O1107="unavailable"),"不可评价",IF(AND(OR(M1107="positive",M1107="equivocal"),OR(O1107="positive",O1107="equivocal")),"a",IF(OR(O1107="positive",O1107="equivocal"),"b",IF(OR(M1107="positive",M1107="equivocal"),"c","d"))))</x:f>
        <x:v>d</x:v>
      </x:c>
      <x:c r="AB1107" s="12" t="str">
        <x:f>IF(OR(M1107="unavailable",O1107="unavailable"),"不可评价",IF(AND(M1107="positive",O1107="positive"),"a",IF(O1107="positive","b",IF(M1107="positive","c","d"))))</x:f>
        <x:v>d</x:v>
      </x:c>
      <x:c r="AC1107" s="12" t="str">
        <x:f>IF(OR(R1107="unavailable",T1107="unavailable"),"不可评价",IF(AND(OR(R1107="positive",R1107="equivocal"),OR(T1107="positive",T1107="equivocal")),"a",IF(OR(T1107="positive",T1107="equivocal"),"b",IF(OR(R1107="positive",R1107="equivocal"),"c","d"))))</x:f>
        <x:v>d</x:v>
      </x:c>
      <x:c r="AD1107" s="12" t="str">
        <x:f>IF(OR(R1107="unavailable",T1107="unavailable"),"不可评价",IF(AND(R1107="positive",T1107="positive"),"a",IF(T1107="positive","b",IF(R1107="positive","c","d"))))</x:f>
        <x:v>d</x:v>
      </x:c>
      <x:c r="AE1107" s="12" t="str">
        <x:f>IF(OR(W1107="unavailable",Y1107="unavailable"),"不可评价",IF(AND(OR(W1107="positive",W1107="equivocal"),OR(Y1107="positive",Y1107="equivocal")),"a",IF(OR(Y1107="positive",Y1107="equivocal"),"b",IF(OR(W1107="positive",W1107="equivocal"),"c","d"))))</x:f>
        <x:v>d</x:v>
      </x:c>
      <x:c r="AF1107" s="12" t="str">
        <x:f>IF(OR(W1107="unavailable",Y1107="unavailable"),"不可评价",IF(AND(W1107="positive",Y1107="positive"),"a",IF(Y1107="positive","b",IF(W1107="positive","c","d"))))</x:f>
        <x:v>d</x:v>
      </x:c>
    </x:row>
    <x:row r="1108" ht="24" customHeight="1">
      <x:c r="A1108" s="12" t="str">
        <x:v>9892</x:v>
      </x:c>
      <x:c r="B1108" s="12" t="str">
        <x:v>16677</x:v>
      </x:c>
      <x:c r="C1108" s="21" t="n">
        <x:v>34034.53606481481</x:v>
      </x:c>
      <x:c r="D1108" s="12" t="n">
        <x:v>48</x:v>
      </x:c>
      <x:c r="E1108" s="12" t="n">
        <x:v>1</x:v>
      </x:c>
      <x:c r="F1108" s="12" t="str">
        <x:v>未记录</x:v>
      </x:c>
      <x:c r="G1108" s="12" t="n">
        <x:v>1</x:v>
      </x:c>
      <x:c r="H1108" s="12" t="str">
        <x:v>{'NORM': 50.0}</x:v>
      </x:c>
      <x:c r="I1108" s="12" t="str">
        <x:v>[('NSR', 100.0), ('SAR', 100.0), ('NML', 100.0)]</x:v>
      </x:c>
      <x:c r="J1108" s="12" t="str">
        <x:v>ptbxl_database.csv；ecg_id=9892；scp_codes</x:v>
      </x:c>
      <x:c r="K1108" s="12" t="str">
        <x:v>12sl_statements.csv；ecg_id=9892；statements_ext_snomed</x:v>
      </x:c>
      <x:c r="L1108" s="12"/>
      <x:c r="M1108" s="12" t="str">
        <x:v>negative</x:v>
      </x:c>
      <x:c r="N1108" s="12"/>
      <x:c r="O1108" s="12" t="str">
        <x:v>negative</x:v>
      </x:c>
      <x:c r="P1108" s="12" t="str">
        <x:f>IF(OR(M1108="unavailable",O1108="unavailable"),"不可评价",IF(OR(M1108="equivocal",O1108="equivocal"),"疑似",IF(AND(M1108="positive",O1108="positive"),"a",IF(O1108="positive","b",IF(M1108="positive","c","d")))))</x:f>
        <x:v>d</x:v>
      </x:c>
      <x:c r="Q1108" s="12"/>
      <x:c r="R1108" s="12" t="str">
        <x:v>negative</x:v>
      </x:c>
      <x:c r="S1108" s="12"/>
      <x:c r="T1108" s="12" t="str">
        <x:v>negative</x:v>
      </x:c>
      <x:c r="U1108" s="12" t="str">
        <x:f>IF(OR(R1108="unavailable",T1108="unavailable"),"不可评价",IF(OR(R1108="equivocal",T1108="equivocal"),"疑似",IF(AND(R1108="positive",T1108="positive"),"a",IF(T1108="positive","b",IF(R1108="positive","c","d")))))</x:f>
        <x:v>d</x:v>
      </x:c>
      <x:c r="V1108" s="12"/>
      <x:c r="W1108" s="12" t="str">
        <x:v>negative</x:v>
      </x:c>
      <x:c r="X1108" s="12"/>
      <x:c r="Y1108" s="12" t="str">
        <x:v>negative</x:v>
      </x:c>
      <x:c r="Z1108" s="12" t="str">
        <x:f>IF(OR(W1108="unavailable",Y1108="unavailable"),"不可评价",IF(OR(W1108="equivocal",Y1108="equivocal"),"疑似",IF(AND(W1108="positive",Y1108="positive"),"a",IF(Y1108="positive","b",IF(W1108="positive","c","d")))))</x:f>
        <x:v>d</x:v>
      </x:c>
      <x:c r="AA1108" s="12" t="str">
        <x:f>IF(OR(M1108="unavailable",O1108="unavailable"),"不可评价",IF(AND(OR(M1108="positive",M1108="equivocal"),OR(O1108="positive",O1108="equivocal")),"a",IF(OR(O1108="positive",O1108="equivocal"),"b",IF(OR(M1108="positive",M1108="equivocal"),"c","d"))))</x:f>
        <x:v>d</x:v>
      </x:c>
      <x:c r="AB1108" s="12" t="str">
        <x:f>IF(OR(M1108="unavailable",O1108="unavailable"),"不可评价",IF(AND(M1108="positive",O1108="positive"),"a",IF(O1108="positive","b",IF(M1108="positive","c","d"))))</x:f>
        <x:v>d</x:v>
      </x:c>
      <x:c r="AC1108" s="12" t="str">
        <x:f>IF(OR(R1108="unavailable",T1108="unavailable"),"不可评价",IF(AND(OR(R1108="positive",R1108="equivocal"),OR(T1108="positive",T1108="equivocal")),"a",IF(OR(T1108="positive",T1108="equivocal"),"b",IF(OR(R1108="positive",R1108="equivocal"),"c","d"))))</x:f>
        <x:v>d</x:v>
      </x:c>
      <x:c r="AD1108" s="12" t="str">
        <x:f>IF(OR(R1108="unavailable",T1108="unavailable"),"不可评价",IF(AND(R1108="positive",T1108="positive"),"a",IF(T1108="positive","b",IF(R1108="positive","c","d"))))</x:f>
        <x:v>d</x:v>
      </x:c>
      <x:c r="AE1108" s="12" t="str">
        <x:f>IF(OR(W1108="unavailable",Y1108="unavailable"),"不可评价",IF(AND(OR(W1108="positive",W1108="equivocal"),OR(Y1108="positive",Y1108="equivocal")),"a",IF(OR(Y1108="positive",Y1108="equivocal"),"b",IF(OR(W1108="positive",W1108="equivocal"),"c","d"))))</x:f>
        <x:v>d</x:v>
      </x:c>
      <x:c r="AF1108" s="12" t="str">
        <x:f>IF(OR(W1108="unavailable",Y1108="unavailable"),"不可评价",IF(AND(W1108="positive",Y1108="positive"),"a",IF(Y1108="positive","b",IF(W1108="positive","c","d"))))</x:f>
        <x:v>d</x:v>
      </x:c>
    </x:row>
    <x:row r="1109" ht="24" customHeight="1">
      <x:c r="A1109" s="12" t="str">
        <x:v>9897</x:v>
      </x:c>
      <x:c r="B1109" s="12" t="str">
        <x:v>21600</x:v>
      </x:c>
      <x:c r="C1109" s="21" t="n">
        <x:v>34035.552256944444</x:v>
      </x:c>
      <x:c r="D1109" s="12" t="n">
        <x:v>62</x:v>
      </x:c>
      <x:c r="E1109" s="12" t="n">
        <x:v>0</x:v>
      </x:c>
      <x:c r="F1109" s="12" t="str">
        <x:v>未记录</x:v>
      </x:c>
      <x:c r="G1109" s="12" t="n">
        <x:v>1</x:v>
      </x:c>
      <x:c r="H1109" s="12" t="str">
        <x:v>{'NDT': 100.0, 'SR': 0.0}</x:v>
      </x:c>
      <x:c r="I1109" s="12" t="str">
        <x:v>[('NSR', 100.0), ('NT', 100.0), ('AB', 100.0)]</x:v>
      </x:c>
      <x:c r="J1109" s="12" t="str">
        <x:v>ptbxl_database.csv；ecg_id=9897；scp_codes</x:v>
      </x:c>
      <x:c r="K1109" s="12" t="str">
        <x:v>12sl_statements.csv；ecg_id=9897；statements_ext_snomed</x:v>
      </x:c>
      <x:c r="L1109" s="12"/>
      <x:c r="M1109" s="12" t="str">
        <x:v>negative</x:v>
      </x:c>
      <x:c r="N1109" s="12"/>
      <x:c r="O1109" s="12" t="str">
        <x:v>negative</x:v>
      </x:c>
      <x:c r="P1109" s="12" t="str">
        <x:f>IF(OR(M1109="unavailable",O1109="unavailable"),"不可评价",IF(OR(M1109="equivocal",O1109="equivocal"),"疑似",IF(AND(M1109="positive",O1109="positive"),"a",IF(O1109="positive","b",IF(M1109="positive","c","d")))))</x:f>
        <x:v>d</x:v>
      </x:c>
      <x:c r="Q1109" s="12"/>
      <x:c r="R1109" s="12" t="str">
        <x:v>negative</x:v>
      </x:c>
      <x:c r="S1109" s="12"/>
      <x:c r="T1109" s="12" t="str">
        <x:v>negative</x:v>
      </x:c>
      <x:c r="U1109" s="12" t="str">
        <x:f>IF(OR(R1109="unavailable",T1109="unavailable"),"不可评价",IF(OR(R1109="equivocal",T1109="equivocal"),"疑似",IF(AND(R1109="positive",T1109="positive"),"a",IF(T1109="positive","b",IF(R1109="positive","c","d")))))</x:f>
        <x:v>d</x:v>
      </x:c>
      <x:c r="V1109" s="12"/>
      <x:c r="W1109" s="12" t="str">
        <x:v>negative</x:v>
      </x:c>
      <x:c r="X1109" s="12"/>
      <x:c r="Y1109" s="12" t="str">
        <x:v>negative</x:v>
      </x:c>
      <x:c r="Z1109" s="12" t="str">
        <x:f>IF(OR(W1109="unavailable",Y1109="unavailable"),"不可评价",IF(OR(W1109="equivocal",Y1109="equivocal"),"疑似",IF(AND(W1109="positive",Y1109="positive"),"a",IF(Y1109="positive","b",IF(W1109="positive","c","d")))))</x:f>
        <x:v>d</x:v>
      </x:c>
      <x:c r="AA1109" s="12" t="str">
        <x:f>IF(OR(M1109="unavailable",O1109="unavailable"),"不可评价",IF(AND(OR(M1109="positive",M1109="equivocal"),OR(O1109="positive",O1109="equivocal")),"a",IF(OR(O1109="positive",O1109="equivocal"),"b",IF(OR(M1109="positive",M1109="equivocal"),"c","d"))))</x:f>
        <x:v>d</x:v>
      </x:c>
      <x:c r="AB1109" s="12" t="str">
        <x:f>IF(OR(M1109="unavailable",O1109="unavailable"),"不可评价",IF(AND(M1109="positive",O1109="positive"),"a",IF(O1109="positive","b",IF(M1109="positive","c","d"))))</x:f>
        <x:v>d</x:v>
      </x:c>
      <x:c r="AC1109" s="12" t="str">
        <x:f>IF(OR(R1109="unavailable",T1109="unavailable"),"不可评价",IF(AND(OR(R1109="positive",R1109="equivocal"),OR(T1109="positive",T1109="equivocal")),"a",IF(OR(T1109="positive",T1109="equivocal"),"b",IF(OR(R1109="positive",R1109="equivocal"),"c","d"))))</x:f>
        <x:v>d</x:v>
      </x:c>
      <x:c r="AD1109" s="12" t="str">
        <x:f>IF(OR(R1109="unavailable",T1109="unavailable"),"不可评价",IF(AND(R1109="positive",T1109="positive"),"a",IF(T1109="positive","b",IF(R1109="positive","c","d"))))</x:f>
        <x:v>d</x:v>
      </x:c>
      <x:c r="AE1109" s="12" t="str">
        <x:f>IF(OR(W1109="unavailable",Y1109="unavailable"),"不可评价",IF(AND(OR(W1109="positive",W1109="equivocal"),OR(Y1109="positive",Y1109="equivocal")),"a",IF(OR(Y1109="positive",Y1109="equivocal"),"b",IF(OR(W1109="positive",W1109="equivocal"),"c","d"))))</x:f>
        <x:v>d</x:v>
      </x:c>
      <x:c r="AF1109" s="12" t="str">
        <x:f>IF(OR(W1109="unavailable",Y1109="unavailable"),"不可评价",IF(AND(W1109="positive",Y1109="positive"),"a",IF(Y1109="positive","b",IF(W1109="positive","c","d"))))</x:f>
        <x:v>d</x:v>
      </x:c>
    </x:row>
    <x:row r="1110" ht="24" customHeight="1">
      <x:c r="A1110" s="12" t="str">
        <x:v>9929</x:v>
      </x:c>
      <x:c r="B1110" s="12" t="str">
        <x:v>11217</x:v>
      </x:c>
      <x:c r="C1110" s="21" t="n">
        <x:v>34046.45638888889</x:v>
      </x:c>
      <x:c r="D1110" s="12" t="n">
        <x:v>71</x:v>
      </x:c>
      <x:c r="E1110" s="12" t="n">
        <x:v>0</x:v>
      </x:c>
      <x:c r="F1110" s="12" t="str">
        <x:v>未记录</x:v>
      </x:c>
      <x:c r="G1110" s="12" t="n">
        <x:v>1</x:v>
      </x:c>
      <x:c r="H1110" s="12" t="str">
        <x:v>{'ASMI': 50.0, 'CRBBB': 100.0, 'AFIB': 0.0}</x:v>
      </x:c>
      <x:c r="I1110" s="12" t="str">
        <x:v>[('AFIB', 100.0), ('RBBB', 100.0), ('LT', 100.0), ('AB', 100.0)]</x:v>
      </x:c>
      <x:c r="J1110" s="12" t="str">
        <x:v>ptbxl_database.csv；ecg_id=9929；scp_codes</x:v>
      </x:c>
      <x:c r="K1110" s="12" t="str">
        <x:v>12sl_statements.csv；ecg_id=9929；statements_ext_snomed</x:v>
      </x:c>
      <x:c r="L1110" s="12" t="n">
        <x:v>0</x:v>
      </x:c>
      <x:c r="M1110" s="12" t="str">
        <x:v>positive</x:v>
      </x:c>
      <x:c r="N1110" s="12" t="n">
        <x:v>100</x:v>
      </x:c>
      <x:c r="O1110" s="12" t="str">
        <x:v>positive</x:v>
      </x:c>
      <x:c r="P1110" s="12" t="str">
        <x:f>IF(OR(M1110="unavailable",O1110="unavailable"),"不可评价",IF(OR(M1110="equivocal",O1110="equivocal"),"疑似",IF(AND(M1110="positive",O1110="positive"),"a",IF(O1110="positive","b",IF(M1110="positive","c","d")))))</x:f>
        <x:v>a</x:v>
      </x:c>
      <x:c r="Q1110" s="12"/>
      <x:c r="R1110" s="12" t="str">
        <x:v>negative</x:v>
      </x:c>
      <x:c r="S1110" s="12"/>
      <x:c r="T1110" s="12" t="str">
        <x:v>negative</x:v>
      </x:c>
      <x:c r="U1110" s="12" t="str">
        <x:f>IF(OR(R1110="unavailable",T1110="unavailable"),"不可评价",IF(OR(R1110="equivocal",T1110="equivocal"),"疑似",IF(AND(R1110="positive",T1110="positive"),"a",IF(T1110="positive","b",IF(R1110="positive","c","d")))))</x:f>
        <x:v>d</x:v>
      </x:c>
      <x:c r="V1110" s="12" t="n">
        <x:v>100</x:v>
      </x:c>
      <x:c r="W1110" s="12" t="str">
        <x:v>positive</x:v>
      </x:c>
      <x:c r="X1110" s="12" t="n">
        <x:v>100</x:v>
      </x:c>
      <x:c r="Y1110" s="12" t="str">
        <x:v>positive</x:v>
      </x:c>
      <x:c r="Z1110" s="12" t="str">
        <x:f>IF(OR(W1110="unavailable",Y1110="unavailable"),"不可评价",IF(OR(W1110="equivocal",Y1110="equivocal"),"疑似",IF(AND(W1110="positive",Y1110="positive"),"a",IF(Y1110="positive","b",IF(W1110="positive","c","d")))))</x:f>
        <x:v>a</x:v>
      </x:c>
      <x:c r="AA1110" s="12" t="str">
        <x:f>IF(OR(M1110="unavailable",O1110="unavailable"),"不可评价",IF(AND(OR(M1110="positive",M1110="equivocal"),OR(O1110="positive",O1110="equivocal")),"a",IF(OR(O1110="positive",O1110="equivocal"),"b",IF(OR(M1110="positive",M1110="equivocal"),"c","d"))))</x:f>
        <x:v>a</x:v>
      </x:c>
      <x:c r="AB1110" s="12" t="str">
        <x:f>IF(OR(M1110="unavailable",O1110="unavailable"),"不可评价",IF(AND(M1110="positive",O1110="positive"),"a",IF(O1110="positive","b",IF(M1110="positive","c","d"))))</x:f>
        <x:v>a</x:v>
      </x:c>
      <x:c r="AC1110" s="12" t="str">
        <x:f>IF(OR(R1110="unavailable",T1110="unavailable"),"不可评价",IF(AND(OR(R1110="positive",R1110="equivocal"),OR(T1110="positive",T1110="equivocal")),"a",IF(OR(T1110="positive",T1110="equivocal"),"b",IF(OR(R1110="positive",R1110="equivocal"),"c","d"))))</x:f>
        <x:v>d</x:v>
      </x:c>
      <x:c r="AD1110" s="12" t="str">
        <x:f>IF(OR(R1110="unavailable",T1110="unavailable"),"不可评价",IF(AND(R1110="positive",T1110="positive"),"a",IF(T1110="positive","b",IF(R1110="positive","c","d"))))</x:f>
        <x:v>d</x:v>
      </x:c>
      <x:c r="AE1110" s="12" t="str">
        <x:f>IF(OR(W1110="unavailable",Y1110="unavailable"),"不可评价",IF(AND(OR(W1110="positive",W1110="equivocal"),OR(Y1110="positive",Y1110="equivocal")),"a",IF(OR(Y1110="positive",Y1110="equivocal"),"b",IF(OR(W1110="positive",W1110="equivocal"),"c","d"))))</x:f>
        <x:v>a</x:v>
      </x:c>
      <x:c r="AF1110" s="12" t="str">
        <x:f>IF(OR(W1110="unavailable",Y1110="unavailable"),"不可评价",IF(AND(W1110="positive",Y1110="positive"),"a",IF(Y1110="positive","b",IF(W1110="positive","c","d"))))</x:f>
        <x:v>a</x:v>
      </x:c>
    </x:row>
    <x:row r="1111" ht="24" customHeight="1">
      <x:c r="A1111" s="12" t="str">
        <x:v>9930</x:v>
      </x:c>
      <x:c r="B1111" s="12" t="str">
        <x:v>18960</x:v>
      </x:c>
      <x:c r="C1111" s="21" t="n">
        <x:v>34046.50130787037</x:v>
      </x:c>
      <x:c r="D1111" s="12" t="n">
        <x:v>60</x:v>
      </x:c>
      <x:c r="E1111" s="12" t="n">
        <x:v>1</x:v>
      </x:c>
      <x:c r="F1111" s="12" t="str">
        <x:v>存在</x:v>
      </x:c>
      <x:c r="G1111" s="12" t="n">
        <x:v>1</x:v>
      </x:c>
      <x:c r="H1111" s="12" t="str">
        <x:v>{'NORM': 80.0, 'SR': 0.0}</x:v>
      </x:c>
      <x:c r="I1111" s="12" t="str">
        <x:v>[('NSR', 100.0), ('BORDE', 100.0)]</x:v>
      </x:c>
      <x:c r="J1111" s="12" t="str">
        <x:v>ptbxl_database.csv；ecg_id=9930；scp_codes</x:v>
      </x:c>
      <x:c r="K1111" s="12" t="str">
        <x:v>12sl_statements.csv；ecg_id=9930；statements_ext_snomed</x:v>
      </x:c>
      <x:c r="L1111" s="12"/>
      <x:c r="M1111" s="12" t="str">
        <x:v>negative</x:v>
      </x:c>
      <x:c r="N1111" s="12"/>
      <x:c r="O1111" s="12" t="str">
        <x:v>negative</x:v>
      </x:c>
      <x:c r="P1111" s="12" t="str">
        <x:f>IF(OR(M1111="unavailable",O1111="unavailable"),"不可评价",IF(OR(M1111="equivocal",O1111="equivocal"),"疑似",IF(AND(M1111="positive",O1111="positive"),"a",IF(O1111="positive","b",IF(M1111="positive","c","d")))))</x:f>
        <x:v>d</x:v>
      </x:c>
      <x:c r="Q1111" s="12"/>
      <x:c r="R1111" s="12" t="str">
        <x:v>negative</x:v>
      </x:c>
      <x:c r="S1111" s="12"/>
      <x:c r="T1111" s="12" t="str">
        <x:v>negative</x:v>
      </x:c>
      <x:c r="U1111" s="12" t="str">
        <x:f>IF(OR(R1111="unavailable",T1111="unavailable"),"不可评价",IF(OR(R1111="equivocal",T1111="equivocal"),"疑似",IF(AND(R1111="positive",T1111="positive"),"a",IF(T1111="positive","b",IF(R1111="positive","c","d")))))</x:f>
        <x:v>d</x:v>
      </x:c>
      <x:c r="V1111" s="12"/>
      <x:c r="W1111" s="12" t="str">
        <x:v>negative</x:v>
      </x:c>
      <x:c r="X1111" s="12"/>
      <x:c r="Y1111" s="12" t="str">
        <x:v>negative</x:v>
      </x:c>
      <x:c r="Z1111" s="12" t="str">
        <x:f>IF(OR(W1111="unavailable",Y1111="unavailable"),"不可评价",IF(OR(W1111="equivocal",Y1111="equivocal"),"疑似",IF(AND(W1111="positive",Y1111="positive"),"a",IF(Y1111="positive","b",IF(W1111="positive","c","d")))))</x:f>
        <x:v>d</x:v>
      </x:c>
      <x:c r="AA1111" s="12" t="str">
        <x:f>IF(OR(M1111="unavailable",O1111="unavailable"),"不可评价",IF(AND(OR(M1111="positive",M1111="equivocal"),OR(O1111="positive",O1111="equivocal")),"a",IF(OR(O1111="positive",O1111="equivocal"),"b",IF(OR(M1111="positive",M1111="equivocal"),"c","d"))))</x:f>
        <x:v>d</x:v>
      </x:c>
      <x:c r="AB1111" s="12" t="str">
        <x:f>IF(OR(M1111="unavailable",O1111="unavailable"),"不可评价",IF(AND(M1111="positive",O1111="positive"),"a",IF(O1111="positive","b",IF(M1111="positive","c","d"))))</x:f>
        <x:v>d</x:v>
      </x:c>
      <x:c r="AC1111" s="12" t="str">
        <x:f>IF(OR(R1111="unavailable",T1111="unavailable"),"不可评价",IF(AND(OR(R1111="positive",R1111="equivocal"),OR(T1111="positive",T1111="equivocal")),"a",IF(OR(T1111="positive",T1111="equivocal"),"b",IF(OR(R1111="positive",R1111="equivocal"),"c","d"))))</x:f>
        <x:v>d</x:v>
      </x:c>
      <x:c r="AD1111" s="12" t="str">
        <x:f>IF(OR(R1111="unavailable",T1111="unavailable"),"不可评价",IF(AND(R1111="positive",T1111="positive"),"a",IF(T1111="positive","b",IF(R1111="positive","c","d"))))</x:f>
        <x:v>d</x:v>
      </x:c>
      <x:c r="AE1111" s="12" t="str">
        <x:f>IF(OR(W1111="unavailable",Y1111="unavailable"),"不可评价",IF(AND(OR(W1111="positive",W1111="equivocal"),OR(Y1111="positive",Y1111="equivocal")),"a",IF(OR(Y1111="positive",Y1111="equivocal"),"b",IF(OR(W1111="positive",W1111="equivocal"),"c","d"))))</x:f>
        <x:v>d</x:v>
      </x:c>
      <x:c r="AF1111" s="12" t="str">
        <x:f>IF(OR(W1111="unavailable",Y1111="unavailable"),"不可评价",IF(AND(W1111="positive",Y1111="positive"),"a",IF(Y1111="positive","b",IF(W1111="positive","c","d"))))</x:f>
        <x:v>d</x:v>
      </x:c>
    </x:row>
    <x:row r="1112" ht="24" customHeight="1">
      <x:c r="A1112" s="12" t="str">
        <x:v>9943</x:v>
      </x:c>
      <x:c r="B1112" s="12" t="str">
        <x:v>8797</x:v>
      </x:c>
      <x:c r="C1112" s="21" t="n">
        <x:v>34051.691400462965</x:v>
      </x:c>
      <x:c r="D1112" s="12" t="n">
        <x:v>70</x:v>
      </x:c>
      <x:c r="E1112" s="12" t="n">
        <x:v>0</x:v>
      </x:c>
      <x:c r="F1112" s="12" t="str">
        <x:v>未记录</x:v>
      </x:c>
      <x:c r="G1112" s="12" t="n">
        <x:v>1</x:v>
      </x:c>
      <x:c r="H1112" s="12" t="str">
        <x:v>{'NDT': 100.0, 'SR': 0.0}</x:v>
      </x:c>
      <x:c r="I1112" s="12" t="str">
        <x:v>[('SBRAD', 100.0), ('PAC', 100.0), ('NT', 100.0), ('AB', 100.0)]</x:v>
      </x:c>
      <x:c r="J1112" s="12" t="str">
        <x:v>ptbxl_database.csv；ecg_id=9943；scp_codes</x:v>
      </x:c>
      <x:c r="K1112" s="12" t="str">
        <x:v>12sl_statements.csv；ecg_id=9943；statements_ext_snomed</x:v>
      </x:c>
      <x:c r="L1112" s="12"/>
      <x:c r="M1112" s="12" t="str">
        <x:v>negative</x:v>
      </x:c>
      <x:c r="N1112" s="12"/>
      <x:c r="O1112" s="12" t="str">
        <x:v>negative</x:v>
      </x:c>
      <x:c r="P1112" s="12" t="str">
        <x:f>IF(OR(M1112="unavailable",O1112="unavailable"),"不可评价",IF(OR(M1112="equivocal",O1112="equivocal"),"疑似",IF(AND(M1112="positive",O1112="positive"),"a",IF(O1112="positive","b",IF(M1112="positive","c","d")))))</x:f>
        <x:v>d</x:v>
      </x:c>
      <x:c r="Q1112" s="12"/>
      <x:c r="R1112" s="12" t="str">
        <x:v>negative</x:v>
      </x:c>
      <x:c r="S1112" s="12"/>
      <x:c r="T1112" s="12" t="str">
        <x:v>negative</x:v>
      </x:c>
      <x:c r="U1112" s="12" t="str">
        <x:f>IF(OR(R1112="unavailable",T1112="unavailable"),"不可评价",IF(OR(R1112="equivocal",T1112="equivocal"),"疑似",IF(AND(R1112="positive",T1112="positive"),"a",IF(T1112="positive","b",IF(R1112="positive","c","d")))))</x:f>
        <x:v>d</x:v>
      </x:c>
      <x:c r="V1112" s="12"/>
      <x:c r="W1112" s="12" t="str">
        <x:v>negative</x:v>
      </x:c>
      <x:c r="X1112" s="12"/>
      <x:c r="Y1112" s="12" t="str">
        <x:v>negative</x:v>
      </x:c>
      <x:c r="Z1112" s="12" t="str">
        <x:f>IF(OR(W1112="unavailable",Y1112="unavailable"),"不可评价",IF(OR(W1112="equivocal",Y1112="equivocal"),"疑似",IF(AND(W1112="positive",Y1112="positive"),"a",IF(Y1112="positive","b",IF(W1112="positive","c","d")))))</x:f>
        <x:v>d</x:v>
      </x:c>
      <x:c r="AA1112" s="12" t="str">
        <x:f>IF(OR(M1112="unavailable",O1112="unavailable"),"不可评价",IF(AND(OR(M1112="positive",M1112="equivocal"),OR(O1112="positive",O1112="equivocal")),"a",IF(OR(O1112="positive",O1112="equivocal"),"b",IF(OR(M1112="positive",M1112="equivocal"),"c","d"))))</x:f>
        <x:v>d</x:v>
      </x:c>
      <x:c r="AB1112" s="12" t="str">
        <x:f>IF(OR(M1112="unavailable",O1112="unavailable"),"不可评价",IF(AND(M1112="positive",O1112="positive"),"a",IF(O1112="positive","b",IF(M1112="positive","c","d"))))</x:f>
        <x:v>d</x:v>
      </x:c>
      <x:c r="AC1112" s="12" t="str">
        <x:f>IF(OR(R1112="unavailable",T1112="unavailable"),"不可评价",IF(AND(OR(R1112="positive",R1112="equivocal"),OR(T1112="positive",T1112="equivocal")),"a",IF(OR(T1112="positive",T1112="equivocal"),"b",IF(OR(R1112="positive",R1112="equivocal"),"c","d"))))</x:f>
        <x:v>d</x:v>
      </x:c>
      <x:c r="AD1112" s="12" t="str">
        <x:f>IF(OR(R1112="unavailable",T1112="unavailable"),"不可评价",IF(AND(R1112="positive",T1112="positive"),"a",IF(T1112="positive","b",IF(R1112="positive","c","d"))))</x:f>
        <x:v>d</x:v>
      </x:c>
      <x:c r="AE1112" s="12" t="str">
        <x:f>IF(OR(W1112="unavailable",Y1112="unavailable"),"不可评价",IF(AND(OR(W1112="positive",W1112="equivocal"),OR(Y1112="positive",Y1112="equivocal")),"a",IF(OR(Y1112="positive",Y1112="equivocal"),"b",IF(OR(W1112="positive",W1112="equivocal"),"c","d"))))</x:f>
        <x:v>d</x:v>
      </x:c>
      <x:c r="AF1112" s="12" t="str">
        <x:f>IF(OR(W1112="unavailable",Y1112="unavailable"),"不可评价",IF(AND(W1112="positive",Y1112="positive"),"a",IF(Y1112="positive","b",IF(W1112="positive","c","d"))))</x:f>
        <x:v>d</x:v>
      </x:c>
    </x:row>
    <x:row r="1113" ht="24" customHeight="1">
      <x:c r="A1113" s="12" t="str">
        <x:v>9952</x:v>
      </x:c>
      <x:c r="B1113" s="12" t="str">
        <x:v>18995</x:v>
      </x:c>
      <x:c r="C1113" s="21" t="n">
        <x:v>34052.496203703704</x:v>
      </x:c>
      <x:c r="D1113" s="12" t="n">
        <x:v>24</x:v>
      </x:c>
      <x:c r="E1113" s="12" t="n">
        <x:v>1</x:v>
      </x:c>
      <x:c r="F1113" s="12" t="str">
        <x:v>未记录</x:v>
      </x:c>
      <x:c r="G1113" s="12" t="n">
        <x:v>1</x:v>
      </x:c>
      <x:c r="H1113" s="12" t="str">
        <x:v>{'NORM': 100.0, 'SR': 0.0}</x:v>
      </x:c>
      <x:c r="I1113" s="12" t="str">
        <x:v>[('SBRAD', 100.0), ('ABR', 100.0)]</x:v>
      </x:c>
      <x:c r="J1113" s="12" t="str">
        <x:v>ptbxl_database.csv；ecg_id=9952；scp_codes</x:v>
      </x:c>
      <x:c r="K1113" s="12" t="str">
        <x:v>12sl_statements.csv；ecg_id=9952；statements_ext_snomed</x:v>
      </x:c>
      <x:c r="L1113" s="12"/>
      <x:c r="M1113" s="12" t="str">
        <x:v>negative</x:v>
      </x:c>
      <x:c r="N1113" s="12"/>
      <x:c r="O1113" s="12" t="str">
        <x:v>negative</x:v>
      </x:c>
      <x:c r="P1113" s="12" t="str">
        <x:f>IF(OR(M1113="unavailable",O1113="unavailable"),"不可评价",IF(OR(M1113="equivocal",O1113="equivocal"),"疑似",IF(AND(M1113="positive",O1113="positive"),"a",IF(O1113="positive","b",IF(M1113="positive","c","d")))))</x:f>
        <x:v>d</x:v>
      </x:c>
      <x:c r="Q1113" s="12"/>
      <x:c r="R1113" s="12" t="str">
        <x:v>negative</x:v>
      </x:c>
      <x:c r="S1113" s="12"/>
      <x:c r="T1113" s="12" t="str">
        <x:v>negative</x:v>
      </x:c>
      <x:c r="U1113" s="12" t="str">
        <x:f>IF(OR(R1113="unavailable",T1113="unavailable"),"不可评价",IF(OR(R1113="equivocal",T1113="equivocal"),"疑似",IF(AND(R1113="positive",T1113="positive"),"a",IF(T1113="positive","b",IF(R1113="positive","c","d")))))</x:f>
        <x:v>d</x:v>
      </x:c>
      <x:c r="V1113" s="12"/>
      <x:c r="W1113" s="12" t="str">
        <x:v>negative</x:v>
      </x:c>
      <x:c r="X1113" s="12"/>
      <x:c r="Y1113" s="12" t="str">
        <x:v>negative</x:v>
      </x:c>
      <x:c r="Z1113" s="12" t="str">
        <x:f>IF(OR(W1113="unavailable",Y1113="unavailable"),"不可评价",IF(OR(W1113="equivocal",Y1113="equivocal"),"疑似",IF(AND(W1113="positive",Y1113="positive"),"a",IF(Y1113="positive","b",IF(W1113="positive","c","d")))))</x:f>
        <x:v>d</x:v>
      </x:c>
      <x:c r="AA1113" s="12" t="str">
        <x:f>IF(OR(M1113="unavailable",O1113="unavailable"),"不可评价",IF(AND(OR(M1113="positive",M1113="equivocal"),OR(O1113="positive",O1113="equivocal")),"a",IF(OR(O1113="positive",O1113="equivocal"),"b",IF(OR(M1113="positive",M1113="equivocal"),"c","d"))))</x:f>
        <x:v>d</x:v>
      </x:c>
      <x:c r="AB1113" s="12" t="str">
        <x:f>IF(OR(M1113="unavailable",O1113="unavailable"),"不可评价",IF(AND(M1113="positive",O1113="positive"),"a",IF(O1113="positive","b",IF(M1113="positive","c","d"))))</x:f>
        <x:v>d</x:v>
      </x:c>
      <x:c r="AC1113" s="12" t="str">
        <x:f>IF(OR(R1113="unavailable",T1113="unavailable"),"不可评价",IF(AND(OR(R1113="positive",R1113="equivocal"),OR(T1113="positive",T1113="equivocal")),"a",IF(OR(T1113="positive",T1113="equivocal"),"b",IF(OR(R1113="positive",R1113="equivocal"),"c","d"))))</x:f>
        <x:v>d</x:v>
      </x:c>
      <x:c r="AD1113" s="12" t="str">
        <x:f>IF(OR(R1113="unavailable",T1113="unavailable"),"不可评价",IF(AND(R1113="positive",T1113="positive"),"a",IF(T1113="positive","b",IF(R1113="positive","c","d"))))</x:f>
        <x:v>d</x:v>
      </x:c>
      <x:c r="AE1113" s="12" t="str">
        <x:f>IF(OR(W1113="unavailable",Y1113="unavailable"),"不可评价",IF(AND(OR(W1113="positive",W1113="equivocal"),OR(Y1113="positive",Y1113="equivocal")),"a",IF(OR(Y1113="positive",Y1113="equivocal"),"b",IF(OR(W1113="positive",W1113="equivocal"),"c","d"))))</x:f>
        <x:v>d</x:v>
      </x:c>
      <x:c r="AF1113" s="12" t="str">
        <x:f>IF(OR(W1113="unavailable",Y1113="unavailable"),"不可评价",IF(AND(W1113="positive",Y1113="positive"),"a",IF(Y1113="positive","b",IF(W1113="positive","c","d"))))</x:f>
        <x:v>d</x:v>
      </x:c>
    </x:row>
    <x:row r="1114" ht="39" customHeight="1">
      <x:c r="A1114" s="12" t="str">
        <x:v>9953</x:v>
      </x:c>
      <x:c r="B1114" s="12" t="str">
        <x:v>2039</x:v>
      </x:c>
      <x:c r="C1114" s="21" t="n">
        <x:v>34052.5128587963</x:v>
      </x:c>
      <x:c r="D1114" s="12" t="n">
        <x:v>59</x:v>
      </x:c>
      <x:c r="E1114" s="12" t="n">
        <x:v>0</x:v>
      </x:c>
      <x:c r="F1114" s="12" t="str">
        <x:v>未记录</x:v>
      </x:c>
      <x:c r="G1114" s="12" t="n">
        <x:v>1</x:v>
      </x:c>
      <x:c r="H1114" s="12" t="str">
        <x:v>{'ASMI': 100.0, 'ALMI': 100.0, 'QWAVE': 0.0, 'INVT': 0.0, 'STD_': 0.0, 'SR': 0.0}</x:v>
      </x:c>
      <x:c r="I1114" s="12" t="str">
        <x:v>[('SBRAD', 100.0), ('IMI;AU', 15.0), ('ALMI;AU', 100.0), ('AB', 100.0)]</x:v>
      </x:c>
      <x:c r="J1114" s="12" t="str">
        <x:v>ptbxl_database.csv；ecg_id=9953；scp_codes</x:v>
      </x:c>
      <x:c r="K1114" s="12" t="str">
        <x:v>12sl_statements.csv；ecg_id=9953；statements_ext_snomed</x:v>
      </x:c>
      <x:c r="L1114" s="12"/>
      <x:c r="M1114" s="12" t="str">
        <x:v>negative</x:v>
      </x:c>
      <x:c r="N1114" s="12"/>
      <x:c r="O1114" s="12" t="str">
        <x:v>negative</x:v>
      </x:c>
      <x:c r="P1114" s="12" t="str">
        <x:f>IF(OR(M1114="unavailable",O1114="unavailable"),"不可评价",IF(OR(M1114="equivocal",O1114="equivocal"),"疑似",IF(AND(M1114="positive",O1114="positive"),"a",IF(O1114="positive","b",IF(M1114="positive","c","d")))))</x:f>
        <x:v>d</x:v>
      </x:c>
      <x:c r="Q1114" s="12"/>
      <x:c r="R1114" s="12" t="str">
        <x:v>negative</x:v>
      </x:c>
      <x:c r="S1114" s="12"/>
      <x:c r="T1114" s="12" t="str">
        <x:v>negative</x:v>
      </x:c>
      <x:c r="U1114" s="12" t="str">
        <x:f>IF(OR(R1114="unavailable",T1114="unavailable"),"不可评价",IF(OR(R1114="equivocal",T1114="equivocal"),"疑似",IF(AND(R1114="positive",T1114="positive"),"a",IF(T1114="positive","b",IF(R1114="positive","c","d")))))</x:f>
        <x:v>d</x:v>
      </x:c>
      <x:c r="V1114" s="12"/>
      <x:c r="W1114" s="12" t="str">
        <x:v>negative</x:v>
      </x:c>
      <x:c r="X1114" s="12"/>
      <x:c r="Y1114" s="12" t="str">
        <x:v>negative</x:v>
      </x:c>
      <x:c r="Z1114" s="12" t="str">
        <x:f>IF(OR(W1114="unavailable",Y1114="unavailable"),"不可评价",IF(OR(W1114="equivocal",Y1114="equivocal"),"疑似",IF(AND(W1114="positive",Y1114="positive"),"a",IF(Y1114="positive","b",IF(W1114="positive","c","d")))))</x:f>
        <x:v>d</x:v>
      </x:c>
      <x:c r="AA1114" s="12" t="str">
        <x:f>IF(OR(M1114="unavailable",O1114="unavailable"),"不可评价",IF(AND(OR(M1114="positive",M1114="equivocal"),OR(O1114="positive",O1114="equivocal")),"a",IF(OR(O1114="positive",O1114="equivocal"),"b",IF(OR(M1114="positive",M1114="equivocal"),"c","d"))))</x:f>
        <x:v>d</x:v>
      </x:c>
      <x:c r="AB1114" s="12" t="str">
        <x:f>IF(OR(M1114="unavailable",O1114="unavailable"),"不可评价",IF(AND(M1114="positive",O1114="positive"),"a",IF(O1114="positive","b",IF(M1114="positive","c","d"))))</x:f>
        <x:v>d</x:v>
      </x:c>
      <x:c r="AC1114" s="12" t="str">
        <x:f>IF(OR(R1114="unavailable",T1114="unavailable"),"不可评价",IF(AND(OR(R1114="positive",R1114="equivocal"),OR(T1114="positive",T1114="equivocal")),"a",IF(OR(T1114="positive",T1114="equivocal"),"b",IF(OR(R1114="positive",R1114="equivocal"),"c","d"))))</x:f>
        <x:v>d</x:v>
      </x:c>
      <x:c r="AD1114" s="12" t="str">
        <x:f>IF(OR(R1114="unavailable",T1114="unavailable"),"不可评价",IF(AND(R1114="positive",T1114="positive"),"a",IF(T1114="positive","b",IF(R1114="positive","c","d"))))</x:f>
        <x:v>d</x:v>
      </x:c>
      <x:c r="AE1114" s="12" t="str">
        <x:f>IF(OR(W1114="unavailable",Y1114="unavailable"),"不可评价",IF(AND(OR(W1114="positive",W1114="equivocal"),OR(Y1114="positive",Y1114="equivocal")),"a",IF(OR(Y1114="positive",Y1114="equivocal"),"b",IF(OR(W1114="positive",W1114="equivocal"),"c","d"))))</x:f>
        <x:v>d</x:v>
      </x:c>
      <x:c r="AF1114" s="12" t="str">
        <x:f>IF(OR(W1114="unavailable",Y1114="unavailable"),"不可评价",IF(AND(W1114="positive",Y1114="positive"),"a",IF(Y1114="positive","b",IF(W1114="positive","c","d"))))</x:f>
        <x:v>d</x:v>
      </x:c>
    </x:row>
    <x:row r="1115" ht="39" customHeight="1">
      <x:c r="A1115" s="12" t="str">
        <x:v>9962</x:v>
      </x:c>
      <x:c r="B1115" s="12" t="str">
        <x:v>15411</x:v>
      </x:c>
      <x:c r="C1115" s="21" t="n">
        <x:v>34053.49248842592</x:v>
      </x:c>
      <x:c r="D1115" s="12" t="n">
        <x:v>64</x:v>
      </x:c>
      <x:c r="E1115" s="12" t="n">
        <x:v>0</x:v>
      </x:c>
      <x:c r="F1115" s="12" t="str">
        <x:v>存在</x:v>
      </x:c>
      <x:c r="G1115" s="12" t="n">
        <x:v>1</x:v>
      </x:c>
      <x:c r="H1115" s="12" t="str">
        <x:v>{'IRBBB': 100.0, 'LAFB': 100.0, 'SR': 0.0}</x:v>
      </x:c>
      <x:c r="I1115" s="12" t="str">
        <x:v>[('NSR', 100.0), ('IRBBB', 100.0), ('AFB', 100.0), ('LVH2', 100.0), ('NST', 100.0), ('AB', 100.0)]</x:v>
      </x:c>
      <x:c r="J1115" s="12" t="str">
        <x:v>ptbxl_database.csv；ecg_id=9962；scp_codes</x:v>
      </x:c>
      <x:c r="K1115" s="12" t="str">
        <x:v>12sl_statements.csv；ecg_id=9962；statements_ext_snomed</x:v>
      </x:c>
      <x:c r="L1115" s="12"/>
      <x:c r="M1115" s="12" t="str">
        <x:v>negative</x:v>
      </x:c>
      <x:c r="N1115" s="12"/>
      <x:c r="O1115" s="12" t="str">
        <x:v>negative</x:v>
      </x:c>
      <x:c r="P1115" s="12" t="str">
        <x:f>IF(OR(M1115="unavailable",O1115="unavailable"),"不可评价",IF(OR(M1115="equivocal",O1115="equivocal"),"疑似",IF(AND(M1115="positive",O1115="positive"),"a",IF(O1115="positive","b",IF(M1115="positive","c","d")))))</x:f>
        <x:v>d</x:v>
      </x:c>
      <x:c r="Q1115" s="12"/>
      <x:c r="R1115" s="12" t="str">
        <x:v>negative</x:v>
      </x:c>
      <x:c r="S1115" s="12"/>
      <x:c r="T1115" s="12" t="str">
        <x:v>negative</x:v>
      </x:c>
      <x:c r="U1115" s="12" t="str">
        <x:f>IF(OR(R1115="unavailable",T1115="unavailable"),"不可评价",IF(OR(R1115="equivocal",T1115="equivocal"),"疑似",IF(AND(R1115="positive",T1115="positive"),"a",IF(T1115="positive","b",IF(R1115="positive","c","d")))))</x:f>
        <x:v>d</x:v>
      </x:c>
      <x:c r="V1115" s="12"/>
      <x:c r="W1115" s="12" t="str">
        <x:v>negative</x:v>
      </x:c>
      <x:c r="X1115" s="12"/>
      <x:c r="Y1115" s="12" t="str">
        <x:v>negative</x:v>
      </x:c>
      <x:c r="Z1115" s="12" t="str">
        <x:f>IF(OR(W1115="unavailable",Y1115="unavailable"),"不可评价",IF(OR(W1115="equivocal",Y1115="equivocal"),"疑似",IF(AND(W1115="positive",Y1115="positive"),"a",IF(Y1115="positive","b",IF(W1115="positive","c","d")))))</x:f>
        <x:v>d</x:v>
      </x:c>
      <x:c r="AA1115" s="12" t="str">
        <x:f>IF(OR(M1115="unavailable",O1115="unavailable"),"不可评价",IF(AND(OR(M1115="positive",M1115="equivocal"),OR(O1115="positive",O1115="equivocal")),"a",IF(OR(O1115="positive",O1115="equivocal"),"b",IF(OR(M1115="positive",M1115="equivocal"),"c","d"))))</x:f>
        <x:v>d</x:v>
      </x:c>
      <x:c r="AB1115" s="12" t="str">
        <x:f>IF(OR(M1115="unavailable",O1115="unavailable"),"不可评价",IF(AND(M1115="positive",O1115="positive"),"a",IF(O1115="positive","b",IF(M1115="positive","c","d"))))</x:f>
        <x:v>d</x:v>
      </x:c>
      <x:c r="AC1115" s="12" t="str">
        <x:f>IF(OR(R1115="unavailable",T1115="unavailable"),"不可评价",IF(AND(OR(R1115="positive",R1115="equivocal"),OR(T1115="positive",T1115="equivocal")),"a",IF(OR(T1115="positive",T1115="equivocal"),"b",IF(OR(R1115="positive",R1115="equivocal"),"c","d"))))</x:f>
        <x:v>d</x:v>
      </x:c>
      <x:c r="AD1115" s="12" t="str">
        <x:f>IF(OR(R1115="unavailable",T1115="unavailable"),"不可评价",IF(AND(R1115="positive",T1115="positive"),"a",IF(T1115="positive","b",IF(R1115="positive","c","d"))))</x:f>
        <x:v>d</x:v>
      </x:c>
      <x:c r="AE1115" s="12" t="str">
        <x:f>IF(OR(W1115="unavailable",Y1115="unavailable"),"不可评价",IF(AND(OR(W1115="positive",W1115="equivocal"),OR(Y1115="positive",Y1115="equivocal")),"a",IF(OR(Y1115="positive",Y1115="equivocal"),"b",IF(OR(W1115="positive",W1115="equivocal"),"c","d"))))</x:f>
        <x:v>d</x:v>
      </x:c>
      <x:c r="AF1115" s="12" t="str">
        <x:f>IF(OR(W1115="unavailable",Y1115="unavailable"),"不可评价",IF(AND(W1115="positive",Y1115="positive"),"a",IF(Y1115="positive","b",IF(W1115="positive","c","d"))))</x:f>
        <x:v>d</x:v>
      </x:c>
    </x:row>
    <x:row r="1116" ht="24" customHeight="1">
      <x:c r="A1116" s="12" t="str">
        <x:v>9979</x:v>
      </x:c>
      <x:c r="B1116" s="12" t="str">
        <x:v>21516</x:v>
      </x:c>
      <x:c r="C1116" s="21" t="n">
        <x:v>34065.70741898148</x:v>
      </x:c>
      <x:c r="D1116" s="12" t="n">
        <x:v>65</x:v>
      </x:c>
      <x:c r="E1116" s="12" t="n">
        <x:v>0</x:v>
      </x:c>
      <x:c r="F1116" s="12" t="str">
        <x:v>未记录</x:v>
      </x:c>
      <x:c r="G1116" s="12" t="n">
        <x:v>1</x:v>
      </x:c>
      <x:c r="H1116" s="12" t="str">
        <x:v>{'NORM': 100.0, 'SR': 0.0}</x:v>
      </x:c>
      <x:c r="I1116" s="12" t="str">
        <x:v>[('SRTH', 100.0), ('PVC', 100.0), ('ABR', 100.0)]</x:v>
      </x:c>
      <x:c r="J1116" s="12" t="str">
        <x:v>ptbxl_database.csv；ecg_id=9979；scp_codes</x:v>
      </x:c>
      <x:c r="K1116" s="12" t="str">
        <x:v>12sl_statements.csv；ecg_id=9979；statements_ext_snomed</x:v>
      </x:c>
      <x:c r="L1116" s="12"/>
      <x:c r="M1116" s="12" t="str">
        <x:v>negative</x:v>
      </x:c>
      <x:c r="N1116" s="12"/>
      <x:c r="O1116" s="12" t="str">
        <x:v>negative</x:v>
      </x:c>
      <x:c r="P1116" s="12" t="str">
        <x:f>IF(OR(M1116="unavailable",O1116="unavailable"),"不可评价",IF(OR(M1116="equivocal",O1116="equivocal"),"疑似",IF(AND(M1116="positive",O1116="positive"),"a",IF(O1116="positive","b",IF(M1116="positive","c","d")))))</x:f>
        <x:v>d</x:v>
      </x:c>
      <x:c r="Q1116" s="12"/>
      <x:c r="R1116" s="12" t="str">
        <x:v>negative</x:v>
      </x:c>
      <x:c r="S1116" s="12"/>
      <x:c r="T1116" s="12" t="str">
        <x:v>negative</x:v>
      </x:c>
      <x:c r="U1116" s="12" t="str">
        <x:f>IF(OR(R1116="unavailable",T1116="unavailable"),"不可评价",IF(OR(R1116="equivocal",T1116="equivocal"),"疑似",IF(AND(R1116="positive",T1116="positive"),"a",IF(T1116="positive","b",IF(R1116="positive","c","d")))))</x:f>
        <x:v>d</x:v>
      </x:c>
      <x:c r="V1116" s="12"/>
      <x:c r="W1116" s="12" t="str">
        <x:v>negative</x:v>
      </x:c>
      <x:c r="X1116" s="12"/>
      <x:c r="Y1116" s="12" t="str">
        <x:v>negative</x:v>
      </x:c>
      <x:c r="Z1116" s="12" t="str">
        <x:f>IF(OR(W1116="unavailable",Y1116="unavailable"),"不可评价",IF(OR(W1116="equivocal",Y1116="equivocal"),"疑似",IF(AND(W1116="positive",Y1116="positive"),"a",IF(Y1116="positive","b",IF(W1116="positive","c","d")))))</x:f>
        <x:v>d</x:v>
      </x:c>
      <x:c r="AA1116" s="12" t="str">
        <x:f>IF(OR(M1116="unavailable",O1116="unavailable"),"不可评价",IF(AND(OR(M1116="positive",M1116="equivocal"),OR(O1116="positive",O1116="equivocal")),"a",IF(OR(O1116="positive",O1116="equivocal"),"b",IF(OR(M1116="positive",M1116="equivocal"),"c","d"))))</x:f>
        <x:v>d</x:v>
      </x:c>
      <x:c r="AB1116" s="12" t="str">
        <x:f>IF(OR(M1116="unavailable",O1116="unavailable"),"不可评价",IF(AND(M1116="positive",O1116="positive"),"a",IF(O1116="positive","b",IF(M1116="positive","c","d"))))</x:f>
        <x:v>d</x:v>
      </x:c>
      <x:c r="AC1116" s="12" t="str">
        <x:f>IF(OR(R1116="unavailable",T1116="unavailable"),"不可评价",IF(AND(OR(R1116="positive",R1116="equivocal"),OR(T1116="positive",T1116="equivocal")),"a",IF(OR(T1116="positive",T1116="equivocal"),"b",IF(OR(R1116="positive",R1116="equivocal"),"c","d"))))</x:f>
        <x:v>d</x:v>
      </x:c>
      <x:c r="AD1116" s="12" t="str">
        <x:f>IF(OR(R1116="unavailable",T1116="unavailable"),"不可评价",IF(AND(R1116="positive",T1116="positive"),"a",IF(T1116="positive","b",IF(R1116="positive","c","d"))))</x:f>
        <x:v>d</x:v>
      </x:c>
      <x:c r="AE1116" s="12" t="str">
        <x:f>IF(OR(W1116="unavailable",Y1116="unavailable"),"不可评价",IF(AND(OR(W1116="positive",W1116="equivocal"),OR(Y1116="positive",Y1116="equivocal")),"a",IF(OR(Y1116="positive",Y1116="equivocal"),"b",IF(OR(W1116="positive",W1116="equivocal"),"c","d"))))</x:f>
        <x:v>d</x:v>
      </x:c>
      <x:c r="AF1116" s="12" t="str">
        <x:f>IF(OR(W1116="unavailable",Y1116="unavailable"),"不可评价",IF(AND(W1116="positive",Y1116="positive"),"a",IF(Y1116="positive","b",IF(W1116="positive","c","d"))))</x:f>
        <x:v>d</x:v>
      </x:c>
    </x:row>
    <x:row r="1117" ht="24" customHeight="1">
      <x:c r="A1117" s="12" t="str">
        <x:v>9981</x:v>
      </x:c>
      <x:c r="B1117" s="12" t="str">
        <x:v>12121</x:v>
      </x:c>
      <x:c r="C1117" s="21" t="n">
        <x:v>34066.52478009259</x:v>
      </x:c>
      <x:c r="D1117" s="12" t="n">
        <x:v>51</x:v>
      </x:c>
      <x:c r="E1117" s="12" t="n">
        <x:v>0</x:v>
      </x:c>
      <x:c r="F1117" s="12" t="str">
        <x:v>存在</x:v>
      </x:c>
      <x:c r="G1117" s="12" t="n">
        <x:v>0</x:v>
      </x:c>
      <x:c r="H1117" s="12" t="str">
        <x:v>{'NORM': 100.0, 'SR': 0.0}</x:v>
      </x:c>
      <x:c r="I1117" s="12" t="str">
        <x:v>[('NSR', 100.0), ('QESPMI', 100.0), ('AB', 100.0)]</x:v>
      </x:c>
      <x:c r="J1117" s="12" t="str">
        <x:v>ptbxl_database.csv；ecg_id=9981；scp_codes</x:v>
      </x:c>
      <x:c r="K1117" s="12" t="str">
        <x:v>12sl_statements.csv；ecg_id=9981；statements_ext_snomed</x:v>
      </x:c>
      <x:c r="L1117" s="12"/>
      <x:c r="M1117" s="12" t="str">
        <x:v>negative</x:v>
      </x:c>
      <x:c r="N1117" s="12"/>
      <x:c r="O1117" s="12" t="str">
        <x:v>negative</x:v>
      </x:c>
      <x:c r="P1117" s="12" t="str">
        <x:f>IF(OR(M1117="unavailable",O1117="unavailable"),"不可评价",IF(OR(M1117="equivocal",O1117="equivocal"),"疑似",IF(AND(M1117="positive",O1117="positive"),"a",IF(O1117="positive","b",IF(M1117="positive","c","d")))))</x:f>
        <x:v>d</x:v>
      </x:c>
      <x:c r="Q1117" s="12"/>
      <x:c r="R1117" s="12" t="str">
        <x:v>negative</x:v>
      </x:c>
      <x:c r="S1117" s="12"/>
      <x:c r="T1117" s="12" t="str">
        <x:v>negative</x:v>
      </x:c>
      <x:c r="U1117" s="12" t="str">
        <x:f>IF(OR(R1117="unavailable",T1117="unavailable"),"不可评价",IF(OR(R1117="equivocal",T1117="equivocal"),"疑似",IF(AND(R1117="positive",T1117="positive"),"a",IF(T1117="positive","b",IF(R1117="positive","c","d")))))</x:f>
        <x:v>d</x:v>
      </x:c>
      <x:c r="V1117" s="12"/>
      <x:c r="W1117" s="12" t="str">
        <x:v>negative</x:v>
      </x:c>
      <x:c r="X1117" s="12"/>
      <x:c r="Y1117" s="12" t="str">
        <x:v>negative</x:v>
      </x:c>
      <x:c r="Z1117" s="12" t="str">
        <x:f>IF(OR(W1117="unavailable",Y1117="unavailable"),"不可评价",IF(OR(W1117="equivocal",Y1117="equivocal"),"疑似",IF(AND(W1117="positive",Y1117="positive"),"a",IF(Y1117="positive","b",IF(W1117="positive","c","d")))))</x:f>
        <x:v>d</x:v>
      </x:c>
      <x:c r="AA1117" s="12" t="str">
        <x:f>IF(OR(M1117="unavailable",O1117="unavailable"),"不可评价",IF(AND(OR(M1117="positive",M1117="equivocal"),OR(O1117="positive",O1117="equivocal")),"a",IF(OR(O1117="positive",O1117="equivocal"),"b",IF(OR(M1117="positive",M1117="equivocal"),"c","d"))))</x:f>
        <x:v>d</x:v>
      </x:c>
      <x:c r="AB1117" s="12" t="str">
        <x:f>IF(OR(M1117="unavailable",O1117="unavailable"),"不可评价",IF(AND(M1117="positive",O1117="positive"),"a",IF(O1117="positive","b",IF(M1117="positive","c","d"))))</x:f>
        <x:v>d</x:v>
      </x:c>
      <x:c r="AC1117" s="12" t="str">
        <x:f>IF(OR(R1117="unavailable",T1117="unavailable"),"不可评价",IF(AND(OR(R1117="positive",R1117="equivocal"),OR(T1117="positive",T1117="equivocal")),"a",IF(OR(T1117="positive",T1117="equivocal"),"b",IF(OR(R1117="positive",R1117="equivocal"),"c","d"))))</x:f>
        <x:v>d</x:v>
      </x:c>
      <x:c r="AD1117" s="12" t="str">
        <x:f>IF(OR(R1117="unavailable",T1117="unavailable"),"不可评价",IF(AND(R1117="positive",T1117="positive"),"a",IF(T1117="positive","b",IF(R1117="positive","c","d"))))</x:f>
        <x:v>d</x:v>
      </x:c>
      <x:c r="AE1117" s="12" t="str">
        <x:f>IF(OR(W1117="unavailable",Y1117="unavailable"),"不可评价",IF(AND(OR(W1117="positive",W1117="equivocal"),OR(Y1117="positive",Y1117="equivocal")),"a",IF(OR(Y1117="positive",Y1117="equivocal"),"b",IF(OR(W1117="positive",W1117="equivocal"),"c","d"))))</x:f>
        <x:v>d</x:v>
      </x:c>
      <x:c r="AF1117" s="12" t="str">
        <x:f>IF(OR(W1117="unavailable",Y1117="unavailable"),"不可评价",IF(AND(W1117="positive",Y1117="positive"),"a",IF(Y1117="positive","b",IF(W1117="positive","c","d"))))</x:f>
        <x:v>d</x:v>
      </x:c>
    </x:row>
    <x:row r="1118" ht="24" customHeight="1">
      <x:c r="A1118" s="12" t="str">
        <x:v>9982</x:v>
      </x:c>
      <x:c r="B1118" s="12" t="str">
        <x:v>11405</x:v>
      </x:c>
      <x:c r="C1118" s="21" t="n">
        <x:v>34067.47421296296</x:v>
      </x:c>
      <x:c r="D1118" s="12" t="n">
        <x:v>33</x:v>
      </x:c>
      <x:c r="E1118" s="12" t="n">
        <x:v>1</x:v>
      </x:c>
      <x:c r="F1118" s="12" t="str">
        <x:v>未记录</x:v>
      </x:c>
      <x:c r="G1118" s="12" t="n">
        <x:v>1</x:v>
      </x:c>
      <x:c r="H1118" s="12" t="str">
        <x:v>{'NORM': 100.0, 'SR': 0.0}</x:v>
      </x:c>
      <x:c r="I1118" s="12" t="str">
        <x:v>[('NSR', 100.0), ('JSTN', 100.0), ('BORDE', 100.0)]</x:v>
      </x:c>
      <x:c r="J1118" s="12" t="str">
        <x:v>ptbxl_database.csv；ecg_id=9982；scp_codes</x:v>
      </x:c>
      <x:c r="K1118" s="12" t="str">
        <x:v>12sl_statements.csv；ecg_id=9982；statements_ext_snomed</x:v>
      </x:c>
      <x:c r="L1118" s="12"/>
      <x:c r="M1118" s="12" t="str">
        <x:v>negative</x:v>
      </x:c>
      <x:c r="N1118" s="12"/>
      <x:c r="O1118" s="12" t="str">
        <x:v>negative</x:v>
      </x:c>
      <x:c r="P1118" s="12" t="str">
        <x:f>IF(OR(M1118="unavailable",O1118="unavailable"),"不可评价",IF(OR(M1118="equivocal",O1118="equivocal"),"疑似",IF(AND(M1118="positive",O1118="positive"),"a",IF(O1118="positive","b",IF(M1118="positive","c","d")))))</x:f>
        <x:v>d</x:v>
      </x:c>
      <x:c r="Q1118" s="12"/>
      <x:c r="R1118" s="12" t="str">
        <x:v>negative</x:v>
      </x:c>
      <x:c r="S1118" s="12"/>
      <x:c r="T1118" s="12" t="str">
        <x:v>negative</x:v>
      </x:c>
      <x:c r="U1118" s="12" t="str">
        <x:f>IF(OR(R1118="unavailable",T1118="unavailable"),"不可评价",IF(OR(R1118="equivocal",T1118="equivocal"),"疑似",IF(AND(R1118="positive",T1118="positive"),"a",IF(T1118="positive","b",IF(R1118="positive","c","d")))))</x:f>
        <x:v>d</x:v>
      </x:c>
      <x:c r="V1118" s="12"/>
      <x:c r="W1118" s="12" t="str">
        <x:v>negative</x:v>
      </x:c>
      <x:c r="X1118" s="12"/>
      <x:c r="Y1118" s="12" t="str">
        <x:v>negative</x:v>
      </x:c>
      <x:c r="Z1118" s="12" t="str">
        <x:f>IF(OR(W1118="unavailable",Y1118="unavailable"),"不可评价",IF(OR(W1118="equivocal",Y1118="equivocal"),"疑似",IF(AND(W1118="positive",Y1118="positive"),"a",IF(Y1118="positive","b",IF(W1118="positive","c","d")))))</x:f>
        <x:v>d</x:v>
      </x:c>
      <x:c r="AA1118" s="12" t="str">
        <x:f>IF(OR(M1118="unavailable",O1118="unavailable"),"不可评价",IF(AND(OR(M1118="positive",M1118="equivocal"),OR(O1118="positive",O1118="equivocal")),"a",IF(OR(O1118="positive",O1118="equivocal"),"b",IF(OR(M1118="positive",M1118="equivocal"),"c","d"))))</x:f>
        <x:v>d</x:v>
      </x:c>
      <x:c r="AB1118" s="12" t="str">
        <x:f>IF(OR(M1118="unavailable",O1118="unavailable"),"不可评价",IF(AND(M1118="positive",O1118="positive"),"a",IF(O1118="positive","b",IF(M1118="positive","c","d"))))</x:f>
        <x:v>d</x:v>
      </x:c>
      <x:c r="AC1118" s="12" t="str">
        <x:f>IF(OR(R1118="unavailable",T1118="unavailable"),"不可评价",IF(AND(OR(R1118="positive",R1118="equivocal"),OR(T1118="positive",T1118="equivocal")),"a",IF(OR(T1118="positive",T1118="equivocal"),"b",IF(OR(R1118="positive",R1118="equivocal"),"c","d"))))</x:f>
        <x:v>d</x:v>
      </x:c>
      <x:c r="AD1118" s="12" t="str">
        <x:f>IF(OR(R1118="unavailable",T1118="unavailable"),"不可评价",IF(AND(R1118="positive",T1118="positive"),"a",IF(T1118="positive","b",IF(R1118="positive","c","d"))))</x:f>
        <x:v>d</x:v>
      </x:c>
      <x:c r="AE1118" s="12" t="str">
        <x:f>IF(OR(W1118="unavailable",Y1118="unavailable"),"不可评价",IF(AND(OR(W1118="positive",W1118="equivocal"),OR(Y1118="positive",Y1118="equivocal")),"a",IF(OR(Y1118="positive",Y1118="equivocal"),"b",IF(OR(W1118="positive",W1118="equivocal"),"c","d"))))</x:f>
        <x:v>d</x:v>
      </x:c>
      <x:c r="AF1118" s="12" t="str">
        <x:f>IF(OR(W1118="unavailable",Y1118="unavailable"),"不可评价",IF(AND(W1118="positive",Y1118="positive"),"a",IF(Y1118="positive","b",IF(W1118="positive","c","d"))))</x:f>
        <x:v>d</x:v>
      </x:c>
    </x:row>
    <x:row r="1119" ht="24" customHeight="1">
      <x:c r="A1119" s="12" t="str">
        <x:v>9992</x:v>
      </x:c>
      <x:c r="B1119" s="12" t="str">
        <x:v>4586</x:v>
      </x:c>
      <x:c r="C1119" s="21" t="n">
        <x:v>34068.48936342593</x:v>
      </x:c>
      <x:c r="D1119" s="12" t="n">
        <x:v>33</x:v>
      </x:c>
      <x:c r="E1119" s="12" t="n">
        <x:v>0</x:v>
      </x:c>
      <x:c r="F1119" s="12" t="str">
        <x:v>未记录</x:v>
      </x:c>
      <x:c r="G1119" s="12" t="n">
        <x:v>1</x:v>
      </x:c>
      <x:c r="H1119" s="12" t="str">
        <x:v>{'NORM': 100.0, 'SR': 0.0}</x:v>
      </x:c>
      <x:c r="I1119" s="12" t="str">
        <x:v>[('NSR', 100.0), ('NML', 100.0)]</x:v>
      </x:c>
      <x:c r="J1119" s="12" t="str">
        <x:v>ptbxl_database.csv；ecg_id=9992；scp_codes</x:v>
      </x:c>
      <x:c r="K1119" s="12" t="str">
        <x:v>12sl_statements.csv；ecg_id=9992；statements_ext_snomed</x:v>
      </x:c>
      <x:c r="L1119" s="12"/>
      <x:c r="M1119" s="12" t="str">
        <x:v>negative</x:v>
      </x:c>
      <x:c r="N1119" s="12"/>
      <x:c r="O1119" s="12" t="str">
        <x:v>negative</x:v>
      </x:c>
      <x:c r="P1119" s="12" t="str">
        <x:f>IF(OR(M1119="unavailable",O1119="unavailable"),"不可评价",IF(OR(M1119="equivocal",O1119="equivocal"),"疑似",IF(AND(M1119="positive",O1119="positive"),"a",IF(O1119="positive","b",IF(M1119="positive","c","d")))))</x:f>
        <x:v>d</x:v>
      </x:c>
      <x:c r="Q1119" s="12"/>
      <x:c r="R1119" s="12" t="str">
        <x:v>negative</x:v>
      </x:c>
      <x:c r="S1119" s="12"/>
      <x:c r="T1119" s="12" t="str">
        <x:v>negative</x:v>
      </x:c>
      <x:c r="U1119" s="12" t="str">
        <x:f>IF(OR(R1119="unavailable",T1119="unavailable"),"不可评价",IF(OR(R1119="equivocal",T1119="equivocal"),"疑似",IF(AND(R1119="positive",T1119="positive"),"a",IF(T1119="positive","b",IF(R1119="positive","c","d")))))</x:f>
        <x:v>d</x:v>
      </x:c>
      <x:c r="V1119" s="12"/>
      <x:c r="W1119" s="12" t="str">
        <x:v>negative</x:v>
      </x:c>
      <x:c r="X1119" s="12"/>
      <x:c r="Y1119" s="12" t="str">
        <x:v>negative</x:v>
      </x:c>
      <x:c r="Z1119" s="12" t="str">
        <x:f>IF(OR(W1119="unavailable",Y1119="unavailable"),"不可评价",IF(OR(W1119="equivocal",Y1119="equivocal"),"疑似",IF(AND(W1119="positive",Y1119="positive"),"a",IF(Y1119="positive","b",IF(W1119="positive","c","d")))))</x:f>
        <x:v>d</x:v>
      </x:c>
      <x:c r="AA1119" s="12" t="str">
        <x:f>IF(OR(M1119="unavailable",O1119="unavailable"),"不可评价",IF(AND(OR(M1119="positive",M1119="equivocal"),OR(O1119="positive",O1119="equivocal")),"a",IF(OR(O1119="positive",O1119="equivocal"),"b",IF(OR(M1119="positive",M1119="equivocal"),"c","d"))))</x:f>
        <x:v>d</x:v>
      </x:c>
      <x:c r="AB1119" s="12" t="str">
        <x:f>IF(OR(M1119="unavailable",O1119="unavailable"),"不可评价",IF(AND(M1119="positive",O1119="positive"),"a",IF(O1119="positive","b",IF(M1119="positive","c","d"))))</x:f>
        <x:v>d</x:v>
      </x:c>
      <x:c r="AC1119" s="12" t="str">
        <x:f>IF(OR(R1119="unavailable",T1119="unavailable"),"不可评价",IF(AND(OR(R1119="positive",R1119="equivocal"),OR(T1119="positive",T1119="equivocal")),"a",IF(OR(T1119="positive",T1119="equivocal"),"b",IF(OR(R1119="positive",R1119="equivocal"),"c","d"))))</x:f>
        <x:v>d</x:v>
      </x:c>
      <x:c r="AD1119" s="12" t="str">
        <x:f>IF(OR(R1119="unavailable",T1119="unavailable"),"不可评价",IF(AND(R1119="positive",T1119="positive"),"a",IF(T1119="positive","b",IF(R1119="positive","c","d"))))</x:f>
        <x:v>d</x:v>
      </x:c>
      <x:c r="AE1119" s="12" t="str">
        <x:f>IF(OR(W1119="unavailable",Y1119="unavailable"),"不可评价",IF(AND(OR(W1119="positive",W1119="equivocal"),OR(Y1119="positive",Y1119="equivocal")),"a",IF(OR(Y1119="positive",Y1119="equivocal"),"b",IF(OR(W1119="positive",W1119="equivocal"),"c","d"))))</x:f>
        <x:v>d</x:v>
      </x:c>
      <x:c r="AF1119" s="12" t="str">
        <x:f>IF(OR(W1119="unavailable",Y1119="unavailable"),"不可评价",IF(AND(W1119="positive",Y1119="positive"),"a",IF(Y1119="positive","b",IF(W1119="positive","c","d"))))</x:f>
        <x:v>d</x:v>
      </x:c>
    </x:row>
    <x:row r="1120" ht="24" customHeight="1">
      <x:c r="A1120" s="12" t="str">
        <x:v>9994</x:v>
      </x:c>
      <x:c r="B1120" s="12" t="str">
        <x:v>2525</x:v>
      </x:c>
      <x:c r="C1120" s="21" t="n">
        <x:v>34068.553819444445</x:v>
      </x:c>
      <x:c r="D1120" s="12" t="n">
        <x:v>52</x:v>
      </x:c>
      <x:c r="E1120" s="12" t="n">
        <x:v>1</x:v>
      </x:c>
      <x:c r="F1120" s="12" t="str">
        <x:v>未记录</x:v>
      </x:c>
      <x:c r="G1120" s="12" t="n">
        <x:v>1</x:v>
      </x:c>
      <x:c r="H1120" s="12" t="str">
        <x:v>{'NORM': 100.0, 'SR': 0.0}</x:v>
      </x:c>
      <x:c r="I1120" s="12" t="str">
        <x:v>[('NSR', 100.0), ('NML', 100.0)]</x:v>
      </x:c>
      <x:c r="J1120" s="12" t="str">
        <x:v>ptbxl_database.csv；ecg_id=9994；scp_codes</x:v>
      </x:c>
      <x:c r="K1120" s="12" t="str">
        <x:v>12sl_statements.csv；ecg_id=9994；statements_ext_snomed</x:v>
      </x:c>
      <x:c r="L1120" s="12"/>
      <x:c r="M1120" s="12" t="str">
        <x:v>negative</x:v>
      </x:c>
      <x:c r="N1120" s="12"/>
      <x:c r="O1120" s="12" t="str">
        <x:v>negative</x:v>
      </x:c>
      <x:c r="P1120" s="12" t="str">
        <x:f>IF(OR(M1120="unavailable",O1120="unavailable"),"不可评价",IF(OR(M1120="equivocal",O1120="equivocal"),"疑似",IF(AND(M1120="positive",O1120="positive"),"a",IF(O1120="positive","b",IF(M1120="positive","c","d")))))</x:f>
        <x:v>d</x:v>
      </x:c>
      <x:c r="Q1120" s="12"/>
      <x:c r="R1120" s="12" t="str">
        <x:v>negative</x:v>
      </x:c>
      <x:c r="S1120" s="12"/>
      <x:c r="T1120" s="12" t="str">
        <x:v>negative</x:v>
      </x:c>
      <x:c r="U1120" s="12" t="str">
        <x:f>IF(OR(R1120="unavailable",T1120="unavailable"),"不可评价",IF(OR(R1120="equivocal",T1120="equivocal"),"疑似",IF(AND(R1120="positive",T1120="positive"),"a",IF(T1120="positive","b",IF(R1120="positive","c","d")))))</x:f>
        <x:v>d</x:v>
      </x:c>
      <x:c r="V1120" s="12"/>
      <x:c r="W1120" s="12" t="str">
        <x:v>negative</x:v>
      </x:c>
      <x:c r="X1120" s="12"/>
      <x:c r="Y1120" s="12" t="str">
        <x:v>negative</x:v>
      </x:c>
      <x:c r="Z1120" s="12" t="str">
        <x:f>IF(OR(W1120="unavailable",Y1120="unavailable"),"不可评价",IF(OR(W1120="equivocal",Y1120="equivocal"),"疑似",IF(AND(W1120="positive",Y1120="positive"),"a",IF(Y1120="positive","b",IF(W1120="positive","c","d")))))</x:f>
        <x:v>d</x:v>
      </x:c>
      <x:c r="AA1120" s="12" t="str">
        <x:f>IF(OR(M1120="unavailable",O1120="unavailable"),"不可评价",IF(AND(OR(M1120="positive",M1120="equivocal"),OR(O1120="positive",O1120="equivocal")),"a",IF(OR(O1120="positive",O1120="equivocal"),"b",IF(OR(M1120="positive",M1120="equivocal"),"c","d"))))</x:f>
        <x:v>d</x:v>
      </x:c>
      <x:c r="AB1120" s="12" t="str">
        <x:f>IF(OR(M1120="unavailable",O1120="unavailable"),"不可评价",IF(AND(M1120="positive",O1120="positive"),"a",IF(O1120="positive","b",IF(M1120="positive","c","d"))))</x:f>
        <x:v>d</x:v>
      </x:c>
      <x:c r="AC1120" s="12" t="str">
        <x:f>IF(OR(R1120="unavailable",T1120="unavailable"),"不可评价",IF(AND(OR(R1120="positive",R1120="equivocal"),OR(T1120="positive",T1120="equivocal")),"a",IF(OR(T1120="positive",T1120="equivocal"),"b",IF(OR(R1120="positive",R1120="equivocal"),"c","d"))))</x:f>
        <x:v>d</x:v>
      </x:c>
      <x:c r="AD1120" s="12" t="str">
        <x:f>IF(OR(R1120="unavailable",T1120="unavailable"),"不可评价",IF(AND(R1120="positive",T1120="positive"),"a",IF(T1120="positive","b",IF(R1120="positive","c","d"))))</x:f>
        <x:v>d</x:v>
      </x:c>
      <x:c r="AE1120" s="12" t="str">
        <x:f>IF(OR(W1120="unavailable",Y1120="unavailable"),"不可评价",IF(AND(OR(W1120="positive",W1120="equivocal"),OR(Y1120="positive",Y1120="equivocal")),"a",IF(OR(Y1120="positive",Y1120="equivocal"),"b",IF(OR(W1120="positive",W1120="equivocal"),"c","d"))))</x:f>
        <x:v>d</x:v>
      </x:c>
      <x:c r="AF1120" s="12" t="str">
        <x:f>IF(OR(W1120="unavailable",Y1120="unavailable"),"不可评价",IF(AND(W1120="positive",Y1120="positive"),"a",IF(Y1120="positive","b",IF(W1120="positive","c","d"))))</x:f>
        <x:v>d</x:v>
      </x:c>
    </x:row>
    <x:row r="1121" ht="24" customHeight="1">
      <x:c r="A1121" s="12" t="str">
        <x:v>9995</x:v>
      </x:c>
      <x:c r="B1121" s="12" t="str">
        <x:v>1944</x:v>
      </x:c>
      <x:c r="C1121" s="21" t="n">
        <x:v>34068.63979166667</x:v>
      </x:c>
      <x:c r="D1121" s="12" t="n">
        <x:v>65</x:v>
      </x:c>
      <x:c r="E1121" s="12" t="n">
        <x:v>1</x:v>
      </x:c>
      <x:c r="F1121" s="12" t="str">
        <x:v>未记录</x:v>
      </x:c>
      <x:c r="G1121" s="12" t="n">
        <x:v>1</x:v>
      </x:c>
      <x:c r="H1121" s="12" t="str">
        <x:v>{'NORM': 100.0, 'SR': 0.0}</x:v>
      </x:c>
      <x:c r="I1121" s="12" t="str">
        <x:v>[('NSR', 100.0), ('NST', 100.0), ('AB', 100.0)]</x:v>
      </x:c>
      <x:c r="J1121" s="12" t="str">
        <x:v>ptbxl_database.csv；ecg_id=9995；scp_codes</x:v>
      </x:c>
      <x:c r="K1121" s="12" t="str">
        <x:v>12sl_statements.csv；ecg_id=9995；statements_ext_snomed</x:v>
      </x:c>
      <x:c r="L1121" s="12"/>
      <x:c r="M1121" s="12" t="str">
        <x:v>negative</x:v>
      </x:c>
      <x:c r="N1121" s="12"/>
      <x:c r="O1121" s="12" t="str">
        <x:v>negative</x:v>
      </x:c>
      <x:c r="P1121" s="12" t="str">
        <x:f>IF(OR(M1121="unavailable",O1121="unavailable"),"不可评价",IF(OR(M1121="equivocal",O1121="equivocal"),"疑似",IF(AND(M1121="positive",O1121="positive"),"a",IF(O1121="positive","b",IF(M1121="positive","c","d")))))</x:f>
        <x:v>d</x:v>
      </x:c>
      <x:c r="Q1121" s="12"/>
      <x:c r="R1121" s="12" t="str">
        <x:v>negative</x:v>
      </x:c>
      <x:c r="S1121" s="12"/>
      <x:c r="T1121" s="12" t="str">
        <x:v>negative</x:v>
      </x:c>
      <x:c r="U1121" s="12" t="str">
        <x:f>IF(OR(R1121="unavailable",T1121="unavailable"),"不可评价",IF(OR(R1121="equivocal",T1121="equivocal"),"疑似",IF(AND(R1121="positive",T1121="positive"),"a",IF(T1121="positive","b",IF(R1121="positive","c","d")))))</x:f>
        <x:v>d</x:v>
      </x:c>
      <x:c r="V1121" s="12"/>
      <x:c r="W1121" s="12" t="str">
        <x:v>negative</x:v>
      </x:c>
      <x:c r="X1121" s="12"/>
      <x:c r="Y1121" s="12" t="str">
        <x:v>negative</x:v>
      </x:c>
      <x:c r="Z1121" s="12" t="str">
        <x:f>IF(OR(W1121="unavailable",Y1121="unavailable"),"不可评价",IF(OR(W1121="equivocal",Y1121="equivocal"),"疑似",IF(AND(W1121="positive",Y1121="positive"),"a",IF(Y1121="positive","b",IF(W1121="positive","c","d")))))</x:f>
        <x:v>d</x:v>
      </x:c>
      <x:c r="AA1121" s="12" t="str">
        <x:f>IF(OR(M1121="unavailable",O1121="unavailable"),"不可评价",IF(AND(OR(M1121="positive",M1121="equivocal"),OR(O1121="positive",O1121="equivocal")),"a",IF(OR(O1121="positive",O1121="equivocal"),"b",IF(OR(M1121="positive",M1121="equivocal"),"c","d"))))</x:f>
        <x:v>d</x:v>
      </x:c>
      <x:c r="AB1121" s="12" t="str">
        <x:f>IF(OR(M1121="unavailable",O1121="unavailable"),"不可评价",IF(AND(M1121="positive",O1121="positive"),"a",IF(O1121="positive","b",IF(M1121="positive","c","d"))))</x:f>
        <x:v>d</x:v>
      </x:c>
      <x:c r="AC1121" s="12" t="str">
        <x:f>IF(OR(R1121="unavailable",T1121="unavailable"),"不可评价",IF(AND(OR(R1121="positive",R1121="equivocal"),OR(T1121="positive",T1121="equivocal")),"a",IF(OR(T1121="positive",T1121="equivocal"),"b",IF(OR(R1121="positive",R1121="equivocal"),"c","d"))))</x:f>
        <x:v>d</x:v>
      </x:c>
      <x:c r="AD1121" s="12" t="str">
        <x:f>IF(OR(R1121="unavailable",T1121="unavailable"),"不可评价",IF(AND(R1121="positive",T1121="positive"),"a",IF(T1121="positive","b",IF(R1121="positive","c","d"))))</x:f>
        <x:v>d</x:v>
      </x:c>
      <x:c r="AE1121" s="12" t="str">
        <x:f>IF(OR(W1121="unavailable",Y1121="unavailable"),"不可评价",IF(AND(OR(W1121="positive",W1121="equivocal"),OR(Y1121="positive",Y1121="equivocal")),"a",IF(OR(Y1121="positive",Y1121="equivocal"),"b",IF(OR(W1121="positive",W1121="equivocal"),"c","d"))))</x:f>
        <x:v>d</x:v>
      </x:c>
      <x:c r="AF1121" s="12" t="str">
        <x:f>IF(OR(W1121="unavailable",Y1121="unavailable"),"不可评价",IF(AND(W1121="positive",Y1121="positive"),"a",IF(Y1121="positive","b",IF(W1121="positive","c","d"))))</x:f>
        <x:v>d</x:v>
      </x:c>
    </x:row>
    <x:row r="1122" ht="24" customHeight="1">
      <x:c r="A1122" s="12" t="str">
        <x:v>10029</x:v>
      </x:c>
      <x:c r="B1122" s="12" t="str">
        <x:v>322</x:v>
      </x:c>
      <x:c r="C1122" s="21" t="n">
        <x:v>34074.636296296296</x:v>
      </x:c>
      <x:c r="D1122" s="12" t="n">
        <x:v>77</x:v>
      </x:c>
      <x:c r="E1122" s="12" t="n">
        <x:v>0</x:v>
      </x:c>
      <x:c r="F1122" s="12" t="str">
        <x:v>未记录</x:v>
      </x:c>
      <x:c r="G1122" s="12" t="n">
        <x:v>1</x:v>
      </x:c>
      <x:c r="H1122" s="12" t="str">
        <x:v>{'NORM': 100.0, 'SR': 0.0}</x:v>
      </x:c>
      <x:c r="I1122" s="12" t="str">
        <x:v>[('NSR', 100.0), ('NML', 100.0)]</x:v>
      </x:c>
      <x:c r="J1122" s="12" t="str">
        <x:v>ptbxl_database.csv；ecg_id=10029；scp_codes</x:v>
      </x:c>
      <x:c r="K1122" s="12" t="str">
        <x:v>12sl_statements.csv；ecg_id=10029；statements_ext_snomed</x:v>
      </x:c>
      <x:c r="L1122" s="12"/>
      <x:c r="M1122" s="12" t="str">
        <x:v>negative</x:v>
      </x:c>
      <x:c r="N1122" s="12"/>
      <x:c r="O1122" s="12" t="str">
        <x:v>negative</x:v>
      </x:c>
      <x:c r="P1122" s="12" t="str">
        <x:f>IF(OR(M1122="unavailable",O1122="unavailable"),"不可评价",IF(OR(M1122="equivocal",O1122="equivocal"),"疑似",IF(AND(M1122="positive",O1122="positive"),"a",IF(O1122="positive","b",IF(M1122="positive","c","d")))))</x:f>
        <x:v>d</x:v>
      </x:c>
      <x:c r="Q1122" s="12"/>
      <x:c r="R1122" s="12" t="str">
        <x:v>negative</x:v>
      </x:c>
      <x:c r="S1122" s="12"/>
      <x:c r="T1122" s="12" t="str">
        <x:v>negative</x:v>
      </x:c>
      <x:c r="U1122" s="12" t="str">
        <x:f>IF(OR(R1122="unavailable",T1122="unavailable"),"不可评价",IF(OR(R1122="equivocal",T1122="equivocal"),"疑似",IF(AND(R1122="positive",T1122="positive"),"a",IF(T1122="positive","b",IF(R1122="positive","c","d")))))</x:f>
        <x:v>d</x:v>
      </x:c>
      <x:c r="V1122" s="12"/>
      <x:c r="W1122" s="12" t="str">
        <x:v>negative</x:v>
      </x:c>
      <x:c r="X1122" s="12"/>
      <x:c r="Y1122" s="12" t="str">
        <x:v>negative</x:v>
      </x:c>
      <x:c r="Z1122" s="12" t="str">
        <x:f>IF(OR(W1122="unavailable",Y1122="unavailable"),"不可评价",IF(OR(W1122="equivocal",Y1122="equivocal"),"疑似",IF(AND(W1122="positive",Y1122="positive"),"a",IF(Y1122="positive","b",IF(W1122="positive","c","d")))))</x:f>
        <x:v>d</x:v>
      </x:c>
      <x:c r="AA1122" s="12" t="str">
        <x:f>IF(OR(M1122="unavailable",O1122="unavailable"),"不可评价",IF(AND(OR(M1122="positive",M1122="equivocal"),OR(O1122="positive",O1122="equivocal")),"a",IF(OR(O1122="positive",O1122="equivocal"),"b",IF(OR(M1122="positive",M1122="equivocal"),"c","d"))))</x:f>
        <x:v>d</x:v>
      </x:c>
      <x:c r="AB1122" s="12" t="str">
        <x:f>IF(OR(M1122="unavailable",O1122="unavailable"),"不可评价",IF(AND(M1122="positive",O1122="positive"),"a",IF(O1122="positive","b",IF(M1122="positive","c","d"))))</x:f>
        <x:v>d</x:v>
      </x:c>
      <x:c r="AC1122" s="12" t="str">
        <x:f>IF(OR(R1122="unavailable",T1122="unavailable"),"不可评价",IF(AND(OR(R1122="positive",R1122="equivocal"),OR(T1122="positive",T1122="equivocal")),"a",IF(OR(T1122="positive",T1122="equivocal"),"b",IF(OR(R1122="positive",R1122="equivocal"),"c","d"))))</x:f>
        <x:v>d</x:v>
      </x:c>
      <x:c r="AD1122" s="12" t="str">
        <x:f>IF(OR(R1122="unavailable",T1122="unavailable"),"不可评价",IF(AND(R1122="positive",T1122="positive"),"a",IF(T1122="positive","b",IF(R1122="positive","c","d"))))</x:f>
        <x:v>d</x:v>
      </x:c>
      <x:c r="AE1122" s="12" t="str">
        <x:f>IF(OR(W1122="unavailable",Y1122="unavailable"),"不可评价",IF(AND(OR(W1122="positive",W1122="equivocal"),OR(Y1122="positive",Y1122="equivocal")),"a",IF(OR(Y1122="positive",Y1122="equivocal"),"b",IF(OR(W1122="positive",W1122="equivocal"),"c","d"))))</x:f>
        <x:v>d</x:v>
      </x:c>
      <x:c r="AF1122" s="12" t="str">
        <x:f>IF(OR(W1122="unavailable",Y1122="unavailable"),"不可评价",IF(AND(W1122="positive",Y1122="positive"),"a",IF(Y1122="positive","b",IF(W1122="positive","c","d"))))</x:f>
        <x:v>d</x:v>
      </x:c>
    </x:row>
    <x:row r="1123" ht="24" customHeight="1">
      <x:c r="A1123" s="12" t="str">
        <x:v>10054</x:v>
      </x:c>
      <x:c r="B1123" s="12" t="str">
        <x:v>329</x:v>
      </x:c>
      <x:c r="C1123" s="21" t="n">
        <x:v>34081.352222222224</x:v>
      </x:c>
      <x:c r="D1123" s="12" t="n">
        <x:v>300</x:v>
      </x:c>
      <x:c r="E1123" s="12" t="n">
        <x:v>1</x:v>
      </x:c>
      <x:c r="F1123" s="12" t="str">
        <x:v>未记录</x:v>
      </x:c>
      <x:c r="G1123" s="12" t="n">
        <x:v>1</x:v>
      </x:c>
      <x:c r="H1123" s="12" t="str">
        <x:v>{'ISC_': 50.0, 'DIG': 50.0, 'INVT': 0.0, 'STD_': 0.0, 'AFIB': 0.0}</x:v>
      </x:c>
      <x:c r="I1123" s="12" t="str">
        <x:v>[('AFIB', 100.0), ('ST&amp;', 100.0), ('LT', 100.0), ('AB', 100.0)]</x:v>
      </x:c>
      <x:c r="J1123" s="12" t="str">
        <x:v>ptbxl_database.csv；ecg_id=10054；scp_codes</x:v>
      </x:c>
      <x:c r="K1123" s="12" t="str">
        <x:v>12sl_statements.csv；ecg_id=10054；statements_ext_snomed</x:v>
      </x:c>
      <x:c r="L1123" s="12" t="n">
        <x:v>0</x:v>
      </x:c>
      <x:c r="M1123" s="12" t="str">
        <x:v>positive</x:v>
      </x:c>
      <x:c r="N1123" s="12" t="n">
        <x:v>100</x:v>
      </x:c>
      <x:c r="O1123" s="12" t="str">
        <x:v>positive</x:v>
      </x:c>
      <x:c r="P1123" s="12" t="str">
        <x:f>IF(OR(M1123="unavailable",O1123="unavailable"),"不可评价",IF(OR(M1123="equivocal",O1123="equivocal"),"疑似",IF(AND(M1123="positive",O1123="positive"),"a",IF(O1123="positive","b",IF(M1123="positive","c","d")))))</x:f>
        <x:v>a</x:v>
      </x:c>
      <x:c r="Q1123" s="12"/>
      <x:c r="R1123" s="12" t="str">
        <x:v>negative</x:v>
      </x:c>
      <x:c r="S1123" s="12"/>
      <x:c r="T1123" s="12" t="str">
        <x:v>negative</x:v>
      </x:c>
      <x:c r="U1123" s="12" t="str">
        <x:f>IF(OR(R1123="unavailable",T1123="unavailable"),"不可评价",IF(OR(R1123="equivocal",T1123="equivocal"),"疑似",IF(AND(R1123="positive",T1123="positive"),"a",IF(T1123="positive","b",IF(R1123="positive","c","d")))))</x:f>
        <x:v>d</x:v>
      </x:c>
      <x:c r="V1123" s="12"/>
      <x:c r="W1123" s="12" t="str">
        <x:v>negative</x:v>
      </x:c>
      <x:c r="X1123" s="12"/>
      <x:c r="Y1123" s="12" t="str">
        <x:v>negative</x:v>
      </x:c>
      <x:c r="Z1123" s="12" t="str">
        <x:f>IF(OR(W1123="unavailable",Y1123="unavailable"),"不可评价",IF(OR(W1123="equivocal",Y1123="equivocal"),"疑似",IF(AND(W1123="positive",Y1123="positive"),"a",IF(Y1123="positive","b",IF(W1123="positive","c","d")))))</x:f>
        <x:v>d</x:v>
      </x:c>
      <x:c r="AA1123" s="12" t="str">
        <x:f>IF(OR(M1123="unavailable",O1123="unavailable"),"不可评价",IF(AND(OR(M1123="positive",M1123="equivocal"),OR(O1123="positive",O1123="equivocal")),"a",IF(OR(O1123="positive",O1123="equivocal"),"b",IF(OR(M1123="positive",M1123="equivocal"),"c","d"))))</x:f>
        <x:v>a</x:v>
      </x:c>
      <x:c r="AB1123" s="12" t="str">
        <x:f>IF(OR(M1123="unavailable",O1123="unavailable"),"不可评价",IF(AND(M1123="positive",O1123="positive"),"a",IF(O1123="positive","b",IF(M1123="positive","c","d"))))</x:f>
        <x:v>a</x:v>
      </x:c>
      <x:c r="AC1123" s="12" t="str">
        <x:f>IF(OR(R1123="unavailable",T1123="unavailable"),"不可评价",IF(AND(OR(R1123="positive",R1123="equivocal"),OR(T1123="positive",T1123="equivocal")),"a",IF(OR(T1123="positive",T1123="equivocal"),"b",IF(OR(R1123="positive",R1123="equivocal"),"c","d"))))</x:f>
        <x:v>d</x:v>
      </x:c>
      <x:c r="AD1123" s="12" t="str">
        <x:f>IF(OR(R1123="unavailable",T1123="unavailable"),"不可评价",IF(AND(R1123="positive",T1123="positive"),"a",IF(T1123="positive","b",IF(R1123="positive","c","d"))))</x:f>
        <x:v>d</x:v>
      </x:c>
      <x:c r="AE1123" s="12" t="str">
        <x:f>IF(OR(W1123="unavailable",Y1123="unavailable"),"不可评价",IF(AND(OR(W1123="positive",W1123="equivocal"),OR(Y1123="positive",Y1123="equivocal")),"a",IF(OR(Y1123="positive",Y1123="equivocal"),"b",IF(OR(W1123="positive",W1123="equivocal"),"c","d"))))</x:f>
        <x:v>d</x:v>
      </x:c>
      <x:c r="AF1123" s="12" t="str">
        <x:f>IF(OR(W1123="unavailable",Y1123="unavailable"),"不可评价",IF(AND(W1123="positive",Y1123="positive"),"a",IF(Y1123="positive","b",IF(W1123="positive","c","d"))))</x:f>
        <x:v>d</x:v>
      </x:c>
    </x:row>
    <x:row r="1124" ht="24" customHeight="1">
      <x:c r="A1124" s="12" t="str">
        <x:v>10061</x:v>
      </x:c>
      <x:c r="B1124" s="12" t="str">
        <x:v>12117</x:v>
      </x:c>
      <x:c r="C1124" s="21" t="n">
        <x:v>34081.735243055555</x:v>
      </x:c>
      <x:c r="D1124" s="12" t="n">
        <x:v>68</x:v>
      </x:c>
      <x:c r="E1124" s="12" t="n">
        <x:v>1</x:v>
      </x:c>
      <x:c r="F1124" s="12" t="str">
        <x:v>未记录</x:v>
      </x:c>
      <x:c r="G1124" s="12" t="n">
        <x:v>1</x:v>
      </x:c>
      <x:c r="H1124" s="12" t="str">
        <x:v>{'LAFB': 100.0, 'LVH': 100.0, 'ISC_': 50.0, 'STE_': 0.0, 'SR': 0.0}</x:v>
      </x:c>
      <x:c r="I1124" s="12" t="str">
        <x:v>[('NSR', 100.0), ('LAD3', 100.0), ('NSTT', 100.0), ('LNGQT', 100.0), ('AB', 100.0)]</x:v>
      </x:c>
      <x:c r="J1124" s="12" t="str">
        <x:v>ptbxl_database.csv；ecg_id=10061；scp_codes</x:v>
      </x:c>
      <x:c r="K1124" s="12" t="str">
        <x:v>12sl_statements.csv；ecg_id=10061；statements_ext_snomed</x:v>
      </x:c>
      <x:c r="L1124" s="12"/>
      <x:c r="M1124" s="12" t="str">
        <x:v>negative</x:v>
      </x:c>
      <x:c r="N1124" s="12"/>
      <x:c r="O1124" s="12" t="str">
        <x:v>negative</x:v>
      </x:c>
      <x:c r="P1124" s="12" t="str">
        <x:f>IF(OR(M1124="unavailable",O1124="unavailable"),"不可评价",IF(OR(M1124="equivocal",O1124="equivocal"),"疑似",IF(AND(M1124="positive",O1124="positive"),"a",IF(O1124="positive","b",IF(M1124="positive","c","d")))))</x:f>
        <x:v>d</x:v>
      </x:c>
      <x:c r="Q1124" s="12"/>
      <x:c r="R1124" s="12" t="str">
        <x:v>negative</x:v>
      </x:c>
      <x:c r="S1124" s="12"/>
      <x:c r="T1124" s="12" t="str">
        <x:v>negative</x:v>
      </x:c>
      <x:c r="U1124" s="12" t="str">
        <x:f>IF(OR(R1124="unavailable",T1124="unavailable"),"不可评价",IF(OR(R1124="equivocal",T1124="equivocal"),"疑似",IF(AND(R1124="positive",T1124="positive"),"a",IF(T1124="positive","b",IF(R1124="positive","c","d")))))</x:f>
        <x:v>d</x:v>
      </x:c>
      <x:c r="V1124" s="12"/>
      <x:c r="W1124" s="12" t="str">
        <x:v>negative</x:v>
      </x:c>
      <x:c r="X1124" s="12"/>
      <x:c r="Y1124" s="12" t="str">
        <x:v>negative</x:v>
      </x:c>
      <x:c r="Z1124" s="12" t="str">
        <x:f>IF(OR(W1124="unavailable",Y1124="unavailable"),"不可评价",IF(OR(W1124="equivocal",Y1124="equivocal"),"疑似",IF(AND(W1124="positive",Y1124="positive"),"a",IF(Y1124="positive","b",IF(W1124="positive","c","d")))))</x:f>
        <x:v>d</x:v>
      </x:c>
      <x:c r="AA1124" s="12" t="str">
        <x:f>IF(OR(M1124="unavailable",O1124="unavailable"),"不可评价",IF(AND(OR(M1124="positive",M1124="equivocal"),OR(O1124="positive",O1124="equivocal")),"a",IF(OR(O1124="positive",O1124="equivocal"),"b",IF(OR(M1124="positive",M1124="equivocal"),"c","d"))))</x:f>
        <x:v>d</x:v>
      </x:c>
      <x:c r="AB1124" s="12" t="str">
        <x:f>IF(OR(M1124="unavailable",O1124="unavailable"),"不可评价",IF(AND(M1124="positive",O1124="positive"),"a",IF(O1124="positive","b",IF(M1124="positive","c","d"))))</x:f>
        <x:v>d</x:v>
      </x:c>
      <x:c r="AC1124" s="12" t="str">
        <x:f>IF(OR(R1124="unavailable",T1124="unavailable"),"不可评价",IF(AND(OR(R1124="positive",R1124="equivocal"),OR(T1124="positive",T1124="equivocal")),"a",IF(OR(T1124="positive",T1124="equivocal"),"b",IF(OR(R1124="positive",R1124="equivocal"),"c","d"))))</x:f>
        <x:v>d</x:v>
      </x:c>
      <x:c r="AD1124" s="12" t="str">
        <x:f>IF(OR(R1124="unavailable",T1124="unavailable"),"不可评价",IF(AND(R1124="positive",T1124="positive"),"a",IF(T1124="positive","b",IF(R1124="positive","c","d"))))</x:f>
        <x:v>d</x:v>
      </x:c>
      <x:c r="AE1124" s="12" t="str">
        <x:f>IF(OR(W1124="unavailable",Y1124="unavailable"),"不可评价",IF(AND(OR(W1124="positive",W1124="equivocal"),OR(Y1124="positive",Y1124="equivocal")),"a",IF(OR(Y1124="positive",Y1124="equivocal"),"b",IF(OR(W1124="positive",W1124="equivocal"),"c","d"))))</x:f>
        <x:v>d</x:v>
      </x:c>
      <x:c r="AF1124" s="12" t="str">
        <x:f>IF(OR(W1124="unavailable",Y1124="unavailable"),"不可评价",IF(AND(W1124="positive",Y1124="positive"),"a",IF(Y1124="positive","b",IF(W1124="positive","c","d"))))</x:f>
        <x:v>d</x:v>
      </x:c>
    </x:row>
    <x:row r="1125" ht="24" customHeight="1">
      <x:c r="A1125" s="12" t="str">
        <x:v>10076</x:v>
      </x:c>
      <x:c r="B1125" s="12" t="str">
        <x:v>1397</x:v>
      </x:c>
      <x:c r="C1125" s="21" t="n">
        <x:v>34083.72903935185</x:v>
      </x:c>
      <x:c r="D1125" s="12" t="n">
        <x:v>83</x:v>
      </x:c>
      <x:c r="E1125" s="12" t="n">
        <x:v>0</x:v>
      </x:c>
      <x:c r="F1125" s="12" t="str">
        <x:v>未记录</x:v>
      </x:c>
      <x:c r="G1125" s="12" t="n">
        <x:v>1</x:v>
      </x:c>
      <x:c r="H1125" s="12" t="str">
        <x:v>{'AMI': 15.0, 'NDT': 100.0, 'LOWT': 0.0, 'SR': 0.0}</x:v>
      </x:c>
      <x:c r="I1125" s="12" t="str">
        <x:v>[('NSR', 100.0), ('NSTT', 100.0), ('AB', 100.0)]</x:v>
      </x:c>
      <x:c r="J1125" s="12" t="str">
        <x:v>ptbxl_database.csv；ecg_id=10076；scp_codes</x:v>
      </x:c>
      <x:c r="K1125" s="12" t="str">
        <x:v>12sl_statements.csv；ecg_id=10076；statements_ext_snomed</x:v>
      </x:c>
      <x:c r="L1125" s="12"/>
      <x:c r="M1125" s="12" t="str">
        <x:v>negative</x:v>
      </x:c>
      <x:c r="N1125" s="12"/>
      <x:c r="O1125" s="12" t="str">
        <x:v>negative</x:v>
      </x:c>
      <x:c r="P1125" s="12" t="str">
        <x:f>IF(OR(M1125="unavailable",O1125="unavailable"),"不可评价",IF(OR(M1125="equivocal",O1125="equivocal"),"疑似",IF(AND(M1125="positive",O1125="positive"),"a",IF(O1125="positive","b",IF(M1125="positive","c","d")))))</x:f>
        <x:v>d</x:v>
      </x:c>
      <x:c r="Q1125" s="12"/>
      <x:c r="R1125" s="12" t="str">
        <x:v>negative</x:v>
      </x:c>
      <x:c r="S1125" s="12"/>
      <x:c r="T1125" s="12" t="str">
        <x:v>negative</x:v>
      </x:c>
      <x:c r="U1125" s="12" t="str">
        <x:f>IF(OR(R1125="unavailable",T1125="unavailable"),"不可评价",IF(OR(R1125="equivocal",T1125="equivocal"),"疑似",IF(AND(R1125="positive",T1125="positive"),"a",IF(T1125="positive","b",IF(R1125="positive","c","d")))))</x:f>
        <x:v>d</x:v>
      </x:c>
      <x:c r="V1125" s="12"/>
      <x:c r="W1125" s="12" t="str">
        <x:v>negative</x:v>
      </x:c>
      <x:c r="X1125" s="12"/>
      <x:c r="Y1125" s="12" t="str">
        <x:v>negative</x:v>
      </x:c>
      <x:c r="Z1125" s="12" t="str">
        <x:f>IF(OR(W1125="unavailable",Y1125="unavailable"),"不可评价",IF(OR(W1125="equivocal",Y1125="equivocal"),"疑似",IF(AND(W1125="positive",Y1125="positive"),"a",IF(Y1125="positive","b",IF(W1125="positive","c","d")))))</x:f>
        <x:v>d</x:v>
      </x:c>
      <x:c r="AA1125" s="12" t="str">
        <x:f>IF(OR(M1125="unavailable",O1125="unavailable"),"不可评价",IF(AND(OR(M1125="positive",M1125="equivocal"),OR(O1125="positive",O1125="equivocal")),"a",IF(OR(O1125="positive",O1125="equivocal"),"b",IF(OR(M1125="positive",M1125="equivocal"),"c","d"))))</x:f>
        <x:v>d</x:v>
      </x:c>
      <x:c r="AB1125" s="12" t="str">
        <x:f>IF(OR(M1125="unavailable",O1125="unavailable"),"不可评价",IF(AND(M1125="positive",O1125="positive"),"a",IF(O1125="positive","b",IF(M1125="positive","c","d"))))</x:f>
        <x:v>d</x:v>
      </x:c>
      <x:c r="AC1125" s="12" t="str">
        <x:f>IF(OR(R1125="unavailable",T1125="unavailable"),"不可评价",IF(AND(OR(R1125="positive",R1125="equivocal"),OR(T1125="positive",T1125="equivocal")),"a",IF(OR(T1125="positive",T1125="equivocal"),"b",IF(OR(R1125="positive",R1125="equivocal"),"c","d"))))</x:f>
        <x:v>d</x:v>
      </x:c>
      <x:c r="AD1125" s="12" t="str">
        <x:f>IF(OR(R1125="unavailable",T1125="unavailable"),"不可评价",IF(AND(R1125="positive",T1125="positive"),"a",IF(T1125="positive","b",IF(R1125="positive","c","d"))))</x:f>
        <x:v>d</x:v>
      </x:c>
      <x:c r="AE1125" s="12" t="str">
        <x:f>IF(OR(W1125="unavailable",Y1125="unavailable"),"不可评价",IF(AND(OR(W1125="positive",W1125="equivocal"),OR(Y1125="positive",Y1125="equivocal")),"a",IF(OR(Y1125="positive",Y1125="equivocal"),"b",IF(OR(W1125="positive",W1125="equivocal"),"c","d"))))</x:f>
        <x:v>d</x:v>
      </x:c>
      <x:c r="AF1125" s="12" t="str">
        <x:f>IF(OR(W1125="unavailable",Y1125="unavailable"),"不可评价",IF(AND(W1125="positive",Y1125="positive"),"a",IF(Y1125="positive","b",IF(W1125="positive","c","d"))))</x:f>
        <x:v>d</x:v>
      </x:c>
    </x:row>
    <x:row r="1126" ht="24" customHeight="1">
      <x:c r="A1126" s="12" t="str">
        <x:v>10093</x:v>
      </x:c>
      <x:c r="B1126" s="12" t="str">
        <x:v>1729</x:v>
      </x:c>
      <x:c r="C1126" s="21" t="n">
        <x:v>34087.618425925924</x:v>
      </x:c>
      <x:c r="D1126" s="12" t="n">
        <x:v>87</x:v>
      </x:c>
      <x:c r="E1126" s="12" t="n">
        <x:v>0</x:v>
      </x:c>
      <x:c r="F1126" s="12" t="str">
        <x:v>未记录</x:v>
      </x:c>
      <x:c r="G1126" s="12" t="n">
        <x:v>1</x:v>
      </x:c>
      <x:c r="H1126" s="12" t="str">
        <x:v>{'NORM': 80.0, 'VCLVH': 0.0, 'SR': 0.0}</x:v>
      </x:c>
      <x:c r="I1126" s="12" t="str">
        <x:v>[('NSR', 100.0), ('BORDE', 100.0)]</x:v>
      </x:c>
      <x:c r="J1126" s="12" t="str">
        <x:v>ptbxl_database.csv；ecg_id=10093；scp_codes</x:v>
      </x:c>
      <x:c r="K1126" s="12" t="str">
        <x:v>12sl_statements.csv；ecg_id=10093；statements_ext_snomed</x:v>
      </x:c>
      <x:c r="L1126" s="12"/>
      <x:c r="M1126" s="12" t="str">
        <x:v>negative</x:v>
      </x:c>
      <x:c r="N1126" s="12"/>
      <x:c r="O1126" s="12" t="str">
        <x:v>negative</x:v>
      </x:c>
      <x:c r="P1126" s="12" t="str">
        <x:f>IF(OR(M1126="unavailable",O1126="unavailable"),"不可评价",IF(OR(M1126="equivocal",O1126="equivocal"),"疑似",IF(AND(M1126="positive",O1126="positive"),"a",IF(O1126="positive","b",IF(M1126="positive","c","d")))))</x:f>
        <x:v>d</x:v>
      </x:c>
      <x:c r="Q1126" s="12"/>
      <x:c r="R1126" s="12" t="str">
        <x:v>negative</x:v>
      </x:c>
      <x:c r="S1126" s="12"/>
      <x:c r="T1126" s="12" t="str">
        <x:v>negative</x:v>
      </x:c>
      <x:c r="U1126" s="12" t="str">
        <x:f>IF(OR(R1126="unavailable",T1126="unavailable"),"不可评价",IF(OR(R1126="equivocal",T1126="equivocal"),"疑似",IF(AND(R1126="positive",T1126="positive"),"a",IF(T1126="positive","b",IF(R1126="positive","c","d")))))</x:f>
        <x:v>d</x:v>
      </x:c>
      <x:c r="V1126" s="12"/>
      <x:c r="W1126" s="12" t="str">
        <x:v>negative</x:v>
      </x:c>
      <x:c r="X1126" s="12"/>
      <x:c r="Y1126" s="12" t="str">
        <x:v>negative</x:v>
      </x:c>
      <x:c r="Z1126" s="12" t="str">
        <x:f>IF(OR(W1126="unavailable",Y1126="unavailable"),"不可评价",IF(OR(W1126="equivocal",Y1126="equivocal"),"疑似",IF(AND(W1126="positive",Y1126="positive"),"a",IF(Y1126="positive","b",IF(W1126="positive","c","d")))))</x:f>
        <x:v>d</x:v>
      </x:c>
      <x:c r="AA1126" s="12" t="str">
        <x:f>IF(OR(M1126="unavailable",O1126="unavailable"),"不可评价",IF(AND(OR(M1126="positive",M1126="equivocal"),OR(O1126="positive",O1126="equivocal")),"a",IF(OR(O1126="positive",O1126="equivocal"),"b",IF(OR(M1126="positive",M1126="equivocal"),"c","d"))))</x:f>
        <x:v>d</x:v>
      </x:c>
      <x:c r="AB1126" s="12" t="str">
        <x:f>IF(OR(M1126="unavailable",O1126="unavailable"),"不可评价",IF(AND(M1126="positive",O1126="positive"),"a",IF(O1126="positive","b",IF(M1126="positive","c","d"))))</x:f>
        <x:v>d</x:v>
      </x:c>
      <x:c r="AC1126" s="12" t="str">
        <x:f>IF(OR(R1126="unavailable",T1126="unavailable"),"不可评价",IF(AND(OR(R1126="positive",R1126="equivocal"),OR(T1126="positive",T1126="equivocal")),"a",IF(OR(T1126="positive",T1126="equivocal"),"b",IF(OR(R1126="positive",R1126="equivocal"),"c","d"))))</x:f>
        <x:v>d</x:v>
      </x:c>
      <x:c r="AD1126" s="12" t="str">
        <x:f>IF(OR(R1126="unavailable",T1126="unavailable"),"不可评价",IF(AND(R1126="positive",T1126="positive"),"a",IF(T1126="positive","b",IF(R1126="positive","c","d"))))</x:f>
        <x:v>d</x:v>
      </x:c>
      <x:c r="AE1126" s="12" t="str">
        <x:f>IF(OR(W1126="unavailable",Y1126="unavailable"),"不可评价",IF(AND(OR(W1126="positive",W1126="equivocal"),OR(Y1126="positive",Y1126="equivocal")),"a",IF(OR(Y1126="positive",Y1126="equivocal"),"b",IF(OR(W1126="positive",W1126="equivocal"),"c","d"))))</x:f>
        <x:v>d</x:v>
      </x:c>
      <x:c r="AF1126" s="12" t="str">
        <x:f>IF(OR(W1126="unavailable",Y1126="unavailable"),"不可评价",IF(AND(W1126="positive",Y1126="positive"),"a",IF(Y1126="positive","b",IF(W1126="positive","c","d"))))</x:f>
        <x:v>d</x:v>
      </x:c>
    </x:row>
    <x:row r="1127" ht="24" customHeight="1">
      <x:c r="A1127" s="12" t="str">
        <x:v>10102</x:v>
      </x:c>
      <x:c r="B1127" s="12" t="str">
        <x:v>3950</x:v>
      </x:c>
      <x:c r="C1127" s="21" t="n">
        <x:v>34088.91753472222</x:v>
      </x:c>
      <x:c r="D1127" s="12" t="n">
        <x:v>89</x:v>
      </x:c>
      <x:c r="E1127" s="12" t="n">
        <x:v>1</x:v>
      </x:c>
      <x:c r="F1127" s="12" t="str">
        <x:v>存在</x:v>
      </x:c>
      <x:c r="G1127" s="12" t="n">
        <x:v>1</x:v>
      </x:c>
      <x:c r="H1127" s="12" t="str">
        <x:v>{'NDT': 100.0, 'EL': 100.0, 'SR': 0.0}</x:v>
      </x:c>
      <x:c r="I1127" s="12" t="str">
        <x:v>[('NSR', 100.0), ('NT', 100.0), ('AB', 100.0)]</x:v>
      </x:c>
      <x:c r="J1127" s="12" t="str">
        <x:v>ptbxl_database.csv；ecg_id=10102；scp_codes</x:v>
      </x:c>
      <x:c r="K1127" s="12" t="str">
        <x:v>12sl_statements.csv；ecg_id=10102；statements_ext_snomed</x:v>
      </x:c>
      <x:c r="L1127" s="12"/>
      <x:c r="M1127" s="12" t="str">
        <x:v>negative</x:v>
      </x:c>
      <x:c r="N1127" s="12"/>
      <x:c r="O1127" s="12" t="str">
        <x:v>negative</x:v>
      </x:c>
      <x:c r="P1127" s="12" t="str">
        <x:f>IF(OR(M1127="unavailable",O1127="unavailable"),"不可评价",IF(OR(M1127="equivocal",O1127="equivocal"),"疑似",IF(AND(M1127="positive",O1127="positive"),"a",IF(O1127="positive","b",IF(M1127="positive","c","d")))))</x:f>
        <x:v>d</x:v>
      </x:c>
      <x:c r="Q1127" s="12"/>
      <x:c r="R1127" s="12" t="str">
        <x:v>negative</x:v>
      </x:c>
      <x:c r="S1127" s="12"/>
      <x:c r="T1127" s="12" t="str">
        <x:v>negative</x:v>
      </x:c>
      <x:c r="U1127" s="12" t="str">
        <x:f>IF(OR(R1127="unavailable",T1127="unavailable"),"不可评价",IF(OR(R1127="equivocal",T1127="equivocal"),"疑似",IF(AND(R1127="positive",T1127="positive"),"a",IF(T1127="positive","b",IF(R1127="positive","c","d")))))</x:f>
        <x:v>d</x:v>
      </x:c>
      <x:c r="V1127" s="12"/>
      <x:c r="W1127" s="12" t="str">
        <x:v>negative</x:v>
      </x:c>
      <x:c r="X1127" s="12"/>
      <x:c r="Y1127" s="12" t="str">
        <x:v>negative</x:v>
      </x:c>
      <x:c r="Z1127" s="12" t="str">
        <x:f>IF(OR(W1127="unavailable",Y1127="unavailable"),"不可评价",IF(OR(W1127="equivocal",Y1127="equivocal"),"疑似",IF(AND(W1127="positive",Y1127="positive"),"a",IF(Y1127="positive","b",IF(W1127="positive","c","d")))))</x:f>
        <x:v>d</x:v>
      </x:c>
      <x:c r="AA1127" s="12" t="str">
        <x:f>IF(OR(M1127="unavailable",O1127="unavailable"),"不可评价",IF(AND(OR(M1127="positive",M1127="equivocal"),OR(O1127="positive",O1127="equivocal")),"a",IF(OR(O1127="positive",O1127="equivocal"),"b",IF(OR(M1127="positive",M1127="equivocal"),"c","d"))))</x:f>
        <x:v>d</x:v>
      </x:c>
      <x:c r="AB1127" s="12" t="str">
        <x:f>IF(OR(M1127="unavailable",O1127="unavailable"),"不可评价",IF(AND(M1127="positive",O1127="positive"),"a",IF(O1127="positive","b",IF(M1127="positive","c","d"))))</x:f>
        <x:v>d</x:v>
      </x:c>
      <x:c r="AC1127" s="12" t="str">
        <x:f>IF(OR(R1127="unavailable",T1127="unavailable"),"不可评价",IF(AND(OR(R1127="positive",R1127="equivocal"),OR(T1127="positive",T1127="equivocal")),"a",IF(OR(T1127="positive",T1127="equivocal"),"b",IF(OR(R1127="positive",R1127="equivocal"),"c","d"))))</x:f>
        <x:v>d</x:v>
      </x:c>
      <x:c r="AD1127" s="12" t="str">
        <x:f>IF(OR(R1127="unavailable",T1127="unavailable"),"不可评价",IF(AND(R1127="positive",T1127="positive"),"a",IF(T1127="positive","b",IF(R1127="positive","c","d"))))</x:f>
        <x:v>d</x:v>
      </x:c>
      <x:c r="AE1127" s="12" t="str">
        <x:f>IF(OR(W1127="unavailable",Y1127="unavailable"),"不可评价",IF(AND(OR(W1127="positive",W1127="equivocal"),OR(Y1127="positive",Y1127="equivocal")),"a",IF(OR(Y1127="positive",Y1127="equivocal"),"b",IF(OR(W1127="positive",W1127="equivocal"),"c","d"))))</x:f>
        <x:v>d</x:v>
      </x:c>
      <x:c r="AF1127" s="12" t="str">
        <x:f>IF(OR(W1127="unavailable",Y1127="unavailable"),"不可评价",IF(AND(W1127="positive",Y1127="positive"),"a",IF(Y1127="positive","b",IF(W1127="positive","c","d"))))</x:f>
        <x:v>d</x:v>
      </x:c>
    </x:row>
    <x:row r="1128" ht="24" customHeight="1">
      <x:c r="A1128" s="12" t="str">
        <x:v>10115</x:v>
      </x:c>
      <x:c r="B1128" s="12" t="str">
        <x:v>12854</x:v>
      </x:c>
      <x:c r="C1128" s="21" t="n">
        <x:v>34090.318819444445</x:v>
      </x:c>
      <x:c r="D1128" s="12" t="n">
        <x:v>34</x:v>
      </x:c>
      <x:c r="E1128" s="12" t="n">
        <x:v>0</x:v>
      </x:c>
      <x:c r="F1128" s="12" t="str">
        <x:v>未记录</x:v>
      </x:c>
      <x:c r="G1128" s="12" t="n">
        <x:v>1</x:v>
      </x:c>
      <x:c r="H1128" s="12" t="str">
        <x:v>{'LVH': 50.0, 'ISC_': 100.0, 'SBRAD': 0.0}</x:v>
      </x:c>
      <x:c r="I1128" s="12" t="str">
        <x:v>[('SBRAD', 100.0), ('LT', 100.0), ('AB', 100.0)]</x:v>
      </x:c>
      <x:c r="J1128" s="12" t="str">
        <x:v>ptbxl_database.csv；ecg_id=10115；scp_codes</x:v>
      </x:c>
      <x:c r="K1128" s="12" t="str">
        <x:v>12sl_statements.csv；ecg_id=10115；statements_ext_snomed</x:v>
      </x:c>
      <x:c r="L1128" s="12"/>
      <x:c r="M1128" s="12" t="str">
        <x:v>negative</x:v>
      </x:c>
      <x:c r="N1128" s="12"/>
      <x:c r="O1128" s="12" t="str">
        <x:v>negative</x:v>
      </x:c>
      <x:c r="P1128" s="12" t="str">
        <x:f>IF(OR(M1128="unavailable",O1128="unavailable"),"不可评价",IF(OR(M1128="equivocal",O1128="equivocal"),"疑似",IF(AND(M1128="positive",O1128="positive"),"a",IF(O1128="positive","b",IF(M1128="positive","c","d")))))</x:f>
        <x:v>d</x:v>
      </x:c>
      <x:c r="Q1128" s="12"/>
      <x:c r="R1128" s="12" t="str">
        <x:v>negative</x:v>
      </x:c>
      <x:c r="S1128" s="12"/>
      <x:c r="T1128" s="12" t="str">
        <x:v>negative</x:v>
      </x:c>
      <x:c r="U1128" s="12" t="str">
        <x:f>IF(OR(R1128="unavailable",T1128="unavailable"),"不可评价",IF(OR(R1128="equivocal",T1128="equivocal"),"疑似",IF(AND(R1128="positive",T1128="positive"),"a",IF(T1128="positive","b",IF(R1128="positive","c","d")))))</x:f>
        <x:v>d</x:v>
      </x:c>
      <x:c r="V1128" s="12"/>
      <x:c r="W1128" s="12" t="str">
        <x:v>negative</x:v>
      </x:c>
      <x:c r="X1128" s="12"/>
      <x:c r="Y1128" s="12" t="str">
        <x:v>negative</x:v>
      </x:c>
      <x:c r="Z1128" s="12" t="str">
        <x:f>IF(OR(W1128="unavailable",Y1128="unavailable"),"不可评价",IF(OR(W1128="equivocal",Y1128="equivocal"),"疑似",IF(AND(W1128="positive",Y1128="positive"),"a",IF(Y1128="positive","b",IF(W1128="positive","c","d")))))</x:f>
        <x:v>d</x:v>
      </x:c>
      <x:c r="AA1128" s="12" t="str">
        <x:f>IF(OR(M1128="unavailable",O1128="unavailable"),"不可评价",IF(AND(OR(M1128="positive",M1128="equivocal"),OR(O1128="positive",O1128="equivocal")),"a",IF(OR(O1128="positive",O1128="equivocal"),"b",IF(OR(M1128="positive",M1128="equivocal"),"c","d"))))</x:f>
        <x:v>d</x:v>
      </x:c>
      <x:c r="AB1128" s="12" t="str">
        <x:f>IF(OR(M1128="unavailable",O1128="unavailable"),"不可评价",IF(AND(M1128="positive",O1128="positive"),"a",IF(O1128="positive","b",IF(M1128="positive","c","d"))))</x:f>
        <x:v>d</x:v>
      </x:c>
      <x:c r="AC1128" s="12" t="str">
        <x:f>IF(OR(R1128="unavailable",T1128="unavailable"),"不可评价",IF(AND(OR(R1128="positive",R1128="equivocal"),OR(T1128="positive",T1128="equivocal")),"a",IF(OR(T1128="positive",T1128="equivocal"),"b",IF(OR(R1128="positive",R1128="equivocal"),"c","d"))))</x:f>
        <x:v>d</x:v>
      </x:c>
      <x:c r="AD1128" s="12" t="str">
        <x:f>IF(OR(R1128="unavailable",T1128="unavailable"),"不可评价",IF(AND(R1128="positive",T1128="positive"),"a",IF(T1128="positive","b",IF(R1128="positive","c","d"))))</x:f>
        <x:v>d</x:v>
      </x:c>
      <x:c r="AE1128" s="12" t="str">
        <x:f>IF(OR(W1128="unavailable",Y1128="unavailable"),"不可评价",IF(AND(OR(W1128="positive",W1128="equivocal"),OR(Y1128="positive",Y1128="equivocal")),"a",IF(OR(Y1128="positive",Y1128="equivocal"),"b",IF(OR(W1128="positive",W1128="equivocal"),"c","d"))))</x:f>
        <x:v>d</x:v>
      </x:c>
      <x:c r="AF1128" s="12" t="str">
        <x:f>IF(OR(W1128="unavailable",Y1128="unavailable"),"不可评价",IF(AND(W1128="positive",Y1128="positive"),"a",IF(Y1128="positive","b",IF(W1128="positive","c","d"))))</x:f>
        <x:v>d</x:v>
      </x:c>
    </x:row>
    <x:row r="1129" ht="24" customHeight="1">
      <x:c r="A1129" s="12" t="str">
        <x:v>10130</x:v>
      </x:c>
      <x:c r="B1129" s="12" t="str">
        <x:v>5649</x:v>
      </x:c>
      <x:c r="C1129" s="21" t="n">
        <x:v>34093.371412037035</x:v>
      </x:c>
      <x:c r="D1129" s="12" t="n">
        <x:v>79</x:v>
      </x:c>
      <x:c r="E1129" s="12" t="n">
        <x:v>0</x:v>
      </x:c>
      <x:c r="F1129" s="12" t="str">
        <x:v>未记录</x:v>
      </x:c>
      <x:c r="G1129" s="12" t="n">
        <x:v>1</x:v>
      </x:c>
      <x:c r="H1129" s="12" t="str">
        <x:v>{'CLBBB': 100.0, 'SR': 0.0}</x:v>
      </x:c>
      <x:c r="I1129" s="12" t="str">
        <x:v>[('NSR', 100.0), ('LBBB', 100.0), ('AB', 100.0)]</x:v>
      </x:c>
      <x:c r="J1129" s="12" t="str">
        <x:v>ptbxl_database.csv；ecg_id=10130；scp_codes</x:v>
      </x:c>
      <x:c r="K1129" s="12" t="str">
        <x:v>12sl_statements.csv；ecg_id=10130；statements_ext_snomed</x:v>
      </x:c>
      <x:c r="L1129" s="12"/>
      <x:c r="M1129" s="12" t="str">
        <x:v>negative</x:v>
      </x:c>
      <x:c r="N1129" s="12"/>
      <x:c r="O1129" s="12" t="str">
        <x:v>negative</x:v>
      </x:c>
      <x:c r="P1129" s="12" t="str">
        <x:f>IF(OR(M1129="unavailable",O1129="unavailable"),"不可评价",IF(OR(M1129="equivocal",O1129="equivocal"),"疑似",IF(AND(M1129="positive",O1129="positive"),"a",IF(O1129="positive","b",IF(M1129="positive","c","d")))))</x:f>
        <x:v>d</x:v>
      </x:c>
      <x:c r="Q1129" s="12" t="n">
        <x:v>100</x:v>
      </x:c>
      <x:c r="R1129" s="12" t="str">
        <x:v>positive</x:v>
      </x:c>
      <x:c r="S1129" s="12" t="n">
        <x:v>100</x:v>
      </x:c>
      <x:c r="T1129" s="12" t="str">
        <x:v>positive</x:v>
      </x:c>
      <x:c r="U1129" s="12" t="str">
        <x:f>IF(OR(R1129="unavailable",T1129="unavailable"),"不可评价",IF(OR(R1129="equivocal",T1129="equivocal"),"疑似",IF(AND(R1129="positive",T1129="positive"),"a",IF(T1129="positive","b",IF(R1129="positive","c","d")))))</x:f>
        <x:v>a</x:v>
      </x:c>
      <x:c r="V1129" s="12"/>
      <x:c r="W1129" s="12" t="str">
        <x:v>negative</x:v>
      </x:c>
      <x:c r="X1129" s="12"/>
      <x:c r="Y1129" s="12" t="str">
        <x:v>negative</x:v>
      </x:c>
      <x:c r="Z1129" s="12" t="str">
        <x:f>IF(OR(W1129="unavailable",Y1129="unavailable"),"不可评价",IF(OR(W1129="equivocal",Y1129="equivocal"),"疑似",IF(AND(W1129="positive",Y1129="positive"),"a",IF(Y1129="positive","b",IF(W1129="positive","c","d")))))</x:f>
        <x:v>d</x:v>
      </x:c>
      <x:c r="AA1129" s="12" t="str">
        <x:f>IF(OR(M1129="unavailable",O1129="unavailable"),"不可评价",IF(AND(OR(M1129="positive",M1129="equivocal"),OR(O1129="positive",O1129="equivocal")),"a",IF(OR(O1129="positive",O1129="equivocal"),"b",IF(OR(M1129="positive",M1129="equivocal"),"c","d"))))</x:f>
        <x:v>d</x:v>
      </x:c>
      <x:c r="AB1129" s="12" t="str">
        <x:f>IF(OR(M1129="unavailable",O1129="unavailable"),"不可评价",IF(AND(M1129="positive",O1129="positive"),"a",IF(O1129="positive","b",IF(M1129="positive","c","d"))))</x:f>
        <x:v>d</x:v>
      </x:c>
      <x:c r="AC1129" s="12" t="str">
        <x:f>IF(OR(R1129="unavailable",T1129="unavailable"),"不可评价",IF(AND(OR(R1129="positive",R1129="equivocal"),OR(T1129="positive",T1129="equivocal")),"a",IF(OR(T1129="positive",T1129="equivocal"),"b",IF(OR(R1129="positive",R1129="equivocal"),"c","d"))))</x:f>
        <x:v>a</x:v>
      </x:c>
      <x:c r="AD1129" s="12" t="str">
        <x:f>IF(OR(R1129="unavailable",T1129="unavailable"),"不可评价",IF(AND(R1129="positive",T1129="positive"),"a",IF(T1129="positive","b",IF(R1129="positive","c","d"))))</x:f>
        <x:v>a</x:v>
      </x:c>
      <x:c r="AE1129" s="12" t="str">
        <x:f>IF(OR(W1129="unavailable",Y1129="unavailable"),"不可评价",IF(AND(OR(W1129="positive",W1129="equivocal"),OR(Y1129="positive",Y1129="equivocal")),"a",IF(OR(Y1129="positive",Y1129="equivocal"),"b",IF(OR(W1129="positive",W1129="equivocal"),"c","d"))))</x:f>
        <x:v>d</x:v>
      </x:c>
      <x:c r="AF1129" s="12" t="str">
        <x:f>IF(OR(W1129="unavailable",Y1129="unavailable"),"不可评价",IF(AND(W1129="positive",Y1129="positive"),"a",IF(Y1129="positive","b",IF(W1129="positive","c","d"))))</x:f>
        <x:v>d</x:v>
      </x:c>
    </x:row>
    <x:row r="1130" ht="24" customHeight="1">
      <x:c r="A1130" s="12" t="str">
        <x:v>10131</x:v>
      </x:c>
      <x:c r="B1130" s="12" t="str">
        <x:v>2668</x:v>
      </x:c>
      <x:c r="C1130" s="21" t="n">
        <x:v>34093.41260416667</x:v>
      </x:c>
      <x:c r="D1130" s="12" t="n">
        <x:v>82</x:v>
      </x:c>
      <x:c r="E1130" s="12" t="n">
        <x:v>0</x:v>
      </x:c>
      <x:c r="F1130" s="12" t="str">
        <x:v>未记录</x:v>
      </x:c>
      <x:c r="G1130" s="12" t="n">
        <x:v>1</x:v>
      </x:c>
      <x:c r="H1130" s="12" t="str">
        <x:v>{'CRBBB': 100.0, 'PVC': 100.0, 'SR': 0.0}</x:v>
      </x:c>
      <x:c r="I1130" s="12" t="str">
        <x:v>[('SRTH', 100.0), ('PVC', 100.0), ('RBBB', 100.0), ('AB', 100.0)]</x:v>
      </x:c>
      <x:c r="J1130" s="12" t="str">
        <x:v>ptbxl_database.csv；ecg_id=10131；scp_codes</x:v>
      </x:c>
      <x:c r="K1130" s="12" t="str">
        <x:v>12sl_statements.csv；ecg_id=10131；statements_ext_snomed</x:v>
      </x:c>
      <x:c r="L1130" s="12"/>
      <x:c r="M1130" s="12" t="str">
        <x:v>negative</x:v>
      </x:c>
      <x:c r="N1130" s="12"/>
      <x:c r="O1130" s="12" t="str">
        <x:v>negative</x:v>
      </x:c>
      <x:c r="P1130" s="12" t="str">
        <x:f>IF(OR(M1130="unavailable",O1130="unavailable"),"不可评价",IF(OR(M1130="equivocal",O1130="equivocal"),"疑似",IF(AND(M1130="positive",O1130="positive"),"a",IF(O1130="positive","b",IF(M1130="positive","c","d")))))</x:f>
        <x:v>d</x:v>
      </x:c>
      <x:c r="Q1130" s="12"/>
      <x:c r="R1130" s="12" t="str">
        <x:v>negative</x:v>
      </x:c>
      <x:c r="S1130" s="12"/>
      <x:c r="T1130" s="12" t="str">
        <x:v>negative</x:v>
      </x:c>
      <x:c r="U1130" s="12" t="str">
        <x:f>IF(OR(R1130="unavailable",T1130="unavailable"),"不可评价",IF(OR(R1130="equivocal",T1130="equivocal"),"疑似",IF(AND(R1130="positive",T1130="positive"),"a",IF(T1130="positive","b",IF(R1130="positive","c","d")))))</x:f>
        <x:v>d</x:v>
      </x:c>
      <x:c r="V1130" s="12" t="n">
        <x:v>100</x:v>
      </x:c>
      <x:c r="W1130" s="12" t="str">
        <x:v>positive</x:v>
      </x:c>
      <x:c r="X1130" s="12" t="n">
        <x:v>100</x:v>
      </x:c>
      <x:c r="Y1130" s="12" t="str">
        <x:v>positive</x:v>
      </x:c>
      <x:c r="Z1130" s="12" t="str">
        <x:f>IF(OR(W1130="unavailable",Y1130="unavailable"),"不可评价",IF(OR(W1130="equivocal",Y1130="equivocal"),"疑似",IF(AND(W1130="positive",Y1130="positive"),"a",IF(Y1130="positive","b",IF(W1130="positive","c","d")))))</x:f>
        <x:v>a</x:v>
      </x:c>
      <x:c r="AA1130" s="12" t="str">
        <x:f>IF(OR(M1130="unavailable",O1130="unavailable"),"不可评价",IF(AND(OR(M1130="positive",M1130="equivocal"),OR(O1130="positive",O1130="equivocal")),"a",IF(OR(O1130="positive",O1130="equivocal"),"b",IF(OR(M1130="positive",M1130="equivocal"),"c","d"))))</x:f>
        <x:v>d</x:v>
      </x:c>
      <x:c r="AB1130" s="12" t="str">
        <x:f>IF(OR(M1130="unavailable",O1130="unavailable"),"不可评价",IF(AND(M1130="positive",O1130="positive"),"a",IF(O1130="positive","b",IF(M1130="positive","c","d"))))</x:f>
        <x:v>d</x:v>
      </x:c>
      <x:c r="AC1130" s="12" t="str">
        <x:f>IF(OR(R1130="unavailable",T1130="unavailable"),"不可评价",IF(AND(OR(R1130="positive",R1130="equivocal"),OR(T1130="positive",T1130="equivocal")),"a",IF(OR(T1130="positive",T1130="equivocal"),"b",IF(OR(R1130="positive",R1130="equivocal"),"c","d"))))</x:f>
        <x:v>d</x:v>
      </x:c>
      <x:c r="AD1130" s="12" t="str">
        <x:f>IF(OR(R1130="unavailable",T1130="unavailable"),"不可评价",IF(AND(R1130="positive",T1130="positive"),"a",IF(T1130="positive","b",IF(R1130="positive","c","d"))))</x:f>
        <x:v>d</x:v>
      </x:c>
      <x:c r="AE1130" s="12" t="str">
        <x:f>IF(OR(W1130="unavailable",Y1130="unavailable"),"不可评价",IF(AND(OR(W1130="positive",W1130="equivocal"),OR(Y1130="positive",Y1130="equivocal")),"a",IF(OR(Y1130="positive",Y1130="equivocal"),"b",IF(OR(W1130="positive",W1130="equivocal"),"c","d"))))</x:f>
        <x:v>a</x:v>
      </x:c>
      <x:c r="AF1130" s="12" t="str">
        <x:f>IF(OR(W1130="unavailable",Y1130="unavailable"),"不可评价",IF(AND(W1130="positive",Y1130="positive"),"a",IF(Y1130="positive","b",IF(W1130="positive","c","d"))))</x:f>
        <x:v>a</x:v>
      </x:c>
    </x:row>
    <x:row r="1131" ht="24" customHeight="1">
      <x:c r="A1131" s="12" t="str">
        <x:v>10141</x:v>
      </x:c>
      <x:c r="B1131" s="12" t="str">
        <x:v>804</x:v>
      </x:c>
      <x:c r="C1131" s="21" t="n">
        <x:v>34093.617731481485</x:v>
      </x:c>
      <x:c r="D1131" s="12" t="n">
        <x:v>73</x:v>
      </x:c>
      <x:c r="E1131" s="12" t="n">
        <x:v>1</x:v>
      </x:c>
      <x:c r="F1131" s="12" t="str">
        <x:v>未记录</x:v>
      </x:c>
      <x:c r="G1131" s="12" t="n">
        <x:v>1</x:v>
      </x:c>
      <x:c r="H1131" s="12" t="str">
        <x:v>{'NORM': 100.0, 'SR': 0.0}</x:v>
      </x:c>
      <x:c r="I1131" s="12" t="str">
        <x:v>[('NSR', 100.0), ('NML', 100.0)]</x:v>
      </x:c>
      <x:c r="J1131" s="12" t="str">
        <x:v>ptbxl_database.csv；ecg_id=10141；scp_codes</x:v>
      </x:c>
      <x:c r="K1131" s="12" t="str">
        <x:v>12sl_statements.csv；ecg_id=10141；statements_ext_snomed</x:v>
      </x:c>
      <x:c r="L1131" s="12"/>
      <x:c r="M1131" s="12" t="str">
        <x:v>negative</x:v>
      </x:c>
      <x:c r="N1131" s="12"/>
      <x:c r="O1131" s="12" t="str">
        <x:v>negative</x:v>
      </x:c>
      <x:c r="P1131" s="12" t="str">
        <x:f>IF(OR(M1131="unavailable",O1131="unavailable"),"不可评价",IF(OR(M1131="equivocal",O1131="equivocal"),"疑似",IF(AND(M1131="positive",O1131="positive"),"a",IF(O1131="positive","b",IF(M1131="positive","c","d")))))</x:f>
        <x:v>d</x:v>
      </x:c>
      <x:c r="Q1131" s="12"/>
      <x:c r="R1131" s="12" t="str">
        <x:v>negative</x:v>
      </x:c>
      <x:c r="S1131" s="12"/>
      <x:c r="T1131" s="12" t="str">
        <x:v>negative</x:v>
      </x:c>
      <x:c r="U1131" s="12" t="str">
        <x:f>IF(OR(R1131="unavailable",T1131="unavailable"),"不可评价",IF(OR(R1131="equivocal",T1131="equivocal"),"疑似",IF(AND(R1131="positive",T1131="positive"),"a",IF(T1131="positive","b",IF(R1131="positive","c","d")))))</x:f>
        <x:v>d</x:v>
      </x:c>
      <x:c r="V1131" s="12"/>
      <x:c r="W1131" s="12" t="str">
        <x:v>negative</x:v>
      </x:c>
      <x:c r="X1131" s="12"/>
      <x:c r="Y1131" s="12" t="str">
        <x:v>negative</x:v>
      </x:c>
      <x:c r="Z1131" s="12" t="str">
        <x:f>IF(OR(W1131="unavailable",Y1131="unavailable"),"不可评价",IF(OR(W1131="equivocal",Y1131="equivocal"),"疑似",IF(AND(W1131="positive",Y1131="positive"),"a",IF(Y1131="positive","b",IF(W1131="positive","c","d")))))</x:f>
        <x:v>d</x:v>
      </x:c>
      <x:c r="AA1131" s="12" t="str">
        <x:f>IF(OR(M1131="unavailable",O1131="unavailable"),"不可评价",IF(AND(OR(M1131="positive",M1131="equivocal"),OR(O1131="positive",O1131="equivocal")),"a",IF(OR(O1131="positive",O1131="equivocal"),"b",IF(OR(M1131="positive",M1131="equivocal"),"c","d"))))</x:f>
        <x:v>d</x:v>
      </x:c>
      <x:c r="AB1131" s="12" t="str">
        <x:f>IF(OR(M1131="unavailable",O1131="unavailable"),"不可评价",IF(AND(M1131="positive",O1131="positive"),"a",IF(O1131="positive","b",IF(M1131="positive","c","d"))))</x:f>
        <x:v>d</x:v>
      </x:c>
      <x:c r="AC1131" s="12" t="str">
        <x:f>IF(OR(R1131="unavailable",T1131="unavailable"),"不可评价",IF(AND(OR(R1131="positive",R1131="equivocal"),OR(T1131="positive",T1131="equivocal")),"a",IF(OR(T1131="positive",T1131="equivocal"),"b",IF(OR(R1131="positive",R1131="equivocal"),"c","d"))))</x:f>
        <x:v>d</x:v>
      </x:c>
      <x:c r="AD1131" s="12" t="str">
        <x:f>IF(OR(R1131="unavailable",T1131="unavailable"),"不可评价",IF(AND(R1131="positive",T1131="positive"),"a",IF(T1131="positive","b",IF(R1131="positive","c","d"))))</x:f>
        <x:v>d</x:v>
      </x:c>
      <x:c r="AE1131" s="12" t="str">
        <x:f>IF(OR(W1131="unavailable",Y1131="unavailable"),"不可评价",IF(AND(OR(W1131="positive",W1131="equivocal"),OR(Y1131="positive",Y1131="equivocal")),"a",IF(OR(Y1131="positive",Y1131="equivocal"),"b",IF(OR(W1131="positive",W1131="equivocal"),"c","d"))))</x:f>
        <x:v>d</x:v>
      </x:c>
      <x:c r="AF1131" s="12" t="str">
        <x:f>IF(OR(W1131="unavailable",Y1131="unavailable"),"不可评价",IF(AND(W1131="positive",Y1131="positive"),"a",IF(Y1131="positive","b",IF(W1131="positive","c","d"))))</x:f>
        <x:v>d</x:v>
      </x:c>
    </x:row>
    <x:row r="1132" ht="24" customHeight="1">
      <x:c r="A1132" s="12" t="str">
        <x:v>10143</x:v>
      </x:c>
      <x:c r="B1132" s="12" t="str">
        <x:v>1099</x:v>
      </x:c>
      <x:c r="C1132" s="21" t="n">
        <x:v>34093.71430555556</x:v>
      </x:c>
      <x:c r="D1132" s="12" t="n">
        <x:v>69</x:v>
      </x:c>
      <x:c r="E1132" s="12" t="n">
        <x:v>0</x:v>
      </x:c>
      <x:c r="F1132" s="12" t="str">
        <x:v>未记录</x:v>
      </x:c>
      <x:c r="G1132" s="12" t="n">
        <x:v>1</x:v>
      </x:c>
      <x:c r="H1132" s="12" t="str">
        <x:v>{'NORM': 100.0, 'SR': 0.0}</x:v>
      </x:c>
      <x:c r="I1132" s="12" t="str">
        <x:v>[('NSR', 100.0), ('NML', 100.0)]</x:v>
      </x:c>
      <x:c r="J1132" s="12" t="str">
        <x:v>ptbxl_database.csv；ecg_id=10143；scp_codes</x:v>
      </x:c>
      <x:c r="K1132" s="12" t="str">
        <x:v>12sl_statements.csv；ecg_id=10143；statements_ext_snomed</x:v>
      </x:c>
      <x:c r="L1132" s="12"/>
      <x:c r="M1132" s="12" t="str">
        <x:v>negative</x:v>
      </x:c>
      <x:c r="N1132" s="12"/>
      <x:c r="O1132" s="12" t="str">
        <x:v>negative</x:v>
      </x:c>
      <x:c r="P1132" s="12" t="str">
        <x:f>IF(OR(M1132="unavailable",O1132="unavailable"),"不可评价",IF(OR(M1132="equivocal",O1132="equivocal"),"疑似",IF(AND(M1132="positive",O1132="positive"),"a",IF(O1132="positive","b",IF(M1132="positive","c","d")))))</x:f>
        <x:v>d</x:v>
      </x:c>
      <x:c r="Q1132" s="12"/>
      <x:c r="R1132" s="12" t="str">
        <x:v>negative</x:v>
      </x:c>
      <x:c r="S1132" s="12"/>
      <x:c r="T1132" s="12" t="str">
        <x:v>negative</x:v>
      </x:c>
      <x:c r="U1132" s="12" t="str">
        <x:f>IF(OR(R1132="unavailable",T1132="unavailable"),"不可评价",IF(OR(R1132="equivocal",T1132="equivocal"),"疑似",IF(AND(R1132="positive",T1132="positive"),"a",IF(T1132="positive","b",IF(R1132="positive","c","d")))))</x:f>
        <x:v>d</x:v>
      </x:c>
      <x:c r="V1132" s="12"/>
      <x:c r="W1132" s="12" t="str">
        <x:v>negative</x:v>
      </x:c>
      <x:c r="X1132" s="12"/>
      <x:c r="Y1132" s="12" t="str">
        <x:v>negative</x:v>
      </x:c>
      <x:c r="Z1132" s="12" t="str">
        <x:f>IF(OR(W1132="unavailable",Y1132="unavailable"),"不可评价",IF(OR(W1132="equivocal",Y1132="equivocal"),"疑似",IF(AND(W1132="positive",Y1132="positive"),"a",IF(Y1132="positive","b",IF(W1132="positive","c","d")))))</x:f>
        <x:v>d</x:v>
      </x:c>
      <x:c r="AA1132" s="12" t="str">
        <x:f>IF(OR(M1132="unavailable",O1132="unavailable"),"不可评价",IF(AND(OR(M1132="positive",M1132="equivocal"),OR(O1132="positive",O1132="equivocal")),"a",IF(OR(O1132="positive",O1132="equivocal"),"b",IF(OR(M1132="positive",M1132="equivocal"),"c","d"))))</x:f>
        <x:v>d</x:v>
      </x:c>
      <x:c r="AB1132" s="12" t="str">
        <x:f>IF(OR(M1132="unavailable",O1132="unavailable"),"不可评价",IF(AND(M1132="positive",O1132="positive"),"a",IF(O1132="positive","b",IF(M1132="positive","c","d"))))</x:f>
        <x:v>d</x:v>
      </x:c>
      <x:c r="AC1132" s="12" t="str">
        <x:f>IF(OR(R1132="unavailable",T1132="unavailable"),"不可评价",IF(AND(OR(R1132="positive",R1132="equivocal"),OR(T1132="positive",T1132="equivocal")),"a",IF(OR(T1132="positive",T1132="equivocal"),"b",IF(OR(R1132="positive",R1132="equivocal"),"c","d"))))</x:f>
        <x:v>d</x:v>
      </x:c>
      <x:c r="AD1132" s="12" t="str">
        <x:f>IF(OR(R1132="unavailable",T1132="unavailable"),"不可评价",IF(AND(R1132="positive",T1132="positive"),"a",IF(T1132="positive","b",IF(R1132="positive","c","d"))))</x:f>
        <x:v>d</x:v>
      </x:c>
      <x:c r="AE1132" s="12" t="str">
        <x:f>IF(OR(W1132="unavailable",Y1132="unavailable"),"不可评价",IF(AND(OR(W1132="positive",W1132="equivocal"),OR(Y1132="positive",Y1132="equivocal")),"a",IF(OR(Y1132="positive",Y1132="equivocal"),"b",IF(OR(W1132="positive",W1132="equivocal"),"c","d"))))</x:f>
        <x:v>d</x:v>
      </x:c>
      <x:c r="AF1132" s="12" t="str">
        <x:f>IF(OR(W1132="unavailable",Y1132="unavailable"),"不可评价",IF(AND(W1132="positive",Y1132="positive"),"a",IF(Y1132="positive","b",IF(W1132="positive","c","d"))))</x:f>
        <x:v>d</x:v>
      </x:c>
    </x:row>
    <x:row r="1133" ht="24" customHeight="1">
      <x:c r="A1133" s="12" t="str">
        <x:v>10151</x:v>
      </x:c>
      <x:c r="B1133" s="12" t="str">
        <x:v>4634</x:v>
      </x:c>
      <x:c r="C1133" s="21" t="n">
        <x:v>34094.62070601852</x:v>
      </x:c>
      <x:c r="D1133" s="12" t="n">
        <x:v>59</x:v>
      </x:c>
      <x:c r="E1133" s="12" t="n">
        <x:v>0</x:v>
      </x:c>
      <x:c r="F1133" s="12" t="str">
        <x:v>未记录</x:v>
      </x:c>
      <x:c r="G1133" s="12" t="n">
        <x:v>1</x:v>
      </x:c>
      <x:c r="H1133" s="12" t="str">
        <x:v>{'NORM': 100.0, 'SR': 0.0}</x:v>
      </x:c>
      <x:c r="I1133" s="12" t="str">
        <x:v>[('NSR', 100.0), ('NML', 100.0)]</x:v>
      </x:c>
      <x:c r="J1133" s="12" t="str">
        <x:v>ptbxl_database.csv；ecg_id=10151；scp_codes</x:v>
      </x:c>
      <x:c r="K1133" s="12" t="str">
        <x:v>12sl_statements.csv；ecg_id=10151；statements_ext_snomed</x:v>
      </x:c>
      <x:c r="L1133" s="12"/>
      <x:c r="M1133" s="12" t="str">
        <x:v>negative</x:v>
      </x:c>
      <x:c r="N1133" s="12"/>
      <x:c r="O1133" s="12" t="str">
        <x:v>negative</x:v>
      </x:c>
      <x:c r="P1133" s="12" t="str">
        <x:f>IF(OR(M1133="unavailable",O1133="unavailable"),"不可评价",IF(OR(M1133="equivocal",O1133="equivocal"),"疑似",IF(AND(M1133="positive",O1133="positive"),"a",IF(O1133="positive","b",IF(M1133="positive","c","d")))))</x:f>
        <x:v>d</x:v>
      </x:c>
      <x:c r="Q1133" s="12"/>
      <x:c r="R1133" s="12" t="str">
        <x:v>negative</x:v>
      </x:c>
      <x:c r="S1133" s="12"/>
      <x:c r="T1133" s="12" t="str">
        <x:v>negative</x:v>
      </x:c>
      <x:c r="U1133" s="12" t="str">
        <x:f>IF(OR(R1133="unavailable",T1133="unavailable"),"不可评价",IF(OR(R1133="equivocal",T1133="equivocal"),"疑似",IF(AND(R1133="positive",T1133="positive"),"a",IF(T1133="positive","b",IF(R1133="positive","c","d")))))</x:f>
        <x:v>d</x:v>
      </x:c>
      <x:c r="V1133" s="12"/>
      <x:c r="W1133" s="12" t="str">
        <x:v>negative</x:v>
      </x:c>
      <x:c r="X1133" s="12"/>
      <x:c r="Y1133" s="12" t="str">
        <x:v>negative</x:v>
      </x:c>
      <x:c r="Z1133" s="12" t="str">
        <x:f>IF(OR(W1133="unavailable",Y1133="unavailable"),"不可评价",IF(OR(W1133="equivocal",Y1133="equivocal"),"疑似",IF(AND(W1133="positive",Y1133="positive"),"a",IF(Y1133="positive","b",IF(W1133="positive","c","d")))))</x:f>
        <x:v>d</x:v>
      </x:c>
      <x:c r="AA1133" s="12" t="str">
        <x:f>IF(OR(M1133="unavailable",O1133="unavailable"),"不可评价",IF(AND(OR(M1133="positive",M1133="equivocal"),OR(O1133="positive",O1133="equivocal")),"a",IF(OR(O1133="positive",O1133="equivocal"),"b",IF(OR(M1133="positive",M1133="equivocal"),"c","d"))))</x:f>
        <x:v>d</x:v>
      </x:c>
      <x:c r="AB1133" s="12" t="str">
        <x:f>IF(OR(M1133="unavailable",O1133="unavailable"),"不可评价",IF(AND(M1133="positive",O1133="positive"),"a",IF(O1133="positive","b",IF(M1133="positive","c","d"))))</x:f>
        <x:v>d</x:v>
      </x:c>
      <x:c r="AC1133" s="12" t="str">
        <x:f>IF(OR(R1133="unavailable",T1133="unavailable"),"不可评价",IF(AND(OR(R1133="positive",R1133="equivocal"),OR(T1133="positive",T1133="equivocal")),"a",IF(OR(T1133="positive",T1133="equivocal"),"b",IF(OR(R1133="positive",R1133="equivocal"),"c","d"))))</x:f>
        <x:v>d</x:v>
      </x:c>
      <x:c r="AD1133" s="12" t="str">
        <x:f>IF(OR(R1133="unavailable",T1133="unavailable"),"不可评价",IF(AND(R1133="positive",T1133="positive"),"a",IF(T1133="positive","b",IF(R1133="positive","c","d"))))</x:f>
        <x:v>d</x:v>
      </x:c>
      <x:c r="AE1133" s="12" t="str">
        <x:f>IF(OR(W1133="unavailable",Y1133="unavailable"),"不可评价",IF(AND(OR(W1133="positive",W1133="equivocal"),OR(Y1133="positive",Y1133="equivocal")),"a",IF(OR(Y1133="positive",Y1133="equivocal"),"b",IF(OR(W1133="positive",W1133="equivocal"),"c","d"))))</x:f>
        <x:v>d</x:v>
      </x:c>
      <x:c r="AF1133" s="12" t="str">
        <x:f>IF(OR(W1133="unavailable",Y1133="unavailable"),"不可评价",IF(AND(W1133="positive",Y1133="positive"),"a",IF(Y1133="positive","b",IF(W1133="positive","c","d"))))</x:f>
        <x:v>d</x:v>
      </x:c>
    </x:row>
    <x:row r="1134" ht="24" customHeight="1">
      <x:c r="A1134" s="12" t="str">
        <x:v>10152</x:v>
      </x:c>
      <x:c r="B1134" s="12" t="str">
        <x:v>5924</x:v>
      </x:c>
      <x:c r="C1134" s="21" t="n">
        <x:v>34094.630532407406</x:v>
      </x:c>
      <x:c r="D1134" s="12" t="n">
        <x:v>34</x:v>
      </x:c>
      <x:c r="E1134" s="12" t="n">
        <x:v>1</x:v>
      </x:c>
      <x:c r="F1134" s="12" t="str">
        <x:v>未记录</x:v>
      </x:c>
      <x:c r="G1134" s="12" t="n">
        <x:v>1</x:v>
      </x:c>
      <x:c r="H1134" s="12" t="str">
        <x:v>{'NORM': 100.0, 'SR': 0.0}</x:v>
      </x:c>
      <x:c r="I1134" s="12" t="str">
        <x:v>[('NSR', 100.0), ('NML', 100.0)]</x:v>
      </x:c>
      <x:c r="J1134" s="12" t="str">
        <x:v>ptbxl_database.csv；ecg_id=10152；scp_codes</x:v>
      </x:c>
      <x:c r="K1134" s="12" t="str">
        <x:v>12sl_statements.csv；ecg_id=10152；statements_ext_snomed</x:v>
      </x:c>
      <x:c r="L1134" s="12"/>
      <x:c r="M1134" s="12" t="str">
        <x:v>negative</x:v>
      </x:c>
      <x:c r="N1134" s="12"/>
      <x:c r="O1134" s="12" t="str">
        <x:v>negative</x:v>
      </x:c>
      <x:c r="P1134" s="12" t="str">
        <x:f>IF(OR(M1134="unavailable",O1134="unavailable"),"不可评价",IF(OR(M1134="equivocal",O1134="equivocal"),"疑似",IF(AND(M1134="positive",O1134="positive"),"a",IF(O1134="positive","b",IF(M1134="positive","c","d")))))</x:f>
        <x:v>d</x:v>
      </x:c>
      <x:c r="Q1134" s="12"/>
      <x:c r="R1134" s="12" t="str">
        <x:v>negative</x:v>
      </x:c>
      <x:c r="S1134" s="12"/>
      <x:c r="T1134" s="12" t="str">
        <x:v>negative</x:v>
      </x:c>
      <x:c r="U1134" s="12" t="str">
        <x:f>IF(OR(R1134="unavailable",T1134="unavailable"),"不可评价",IF(OR(R1134="equivocal",T1134="equivocal"),"疑似",IF(AND(R1134="positive",T1134="positive"),"a",IF(T1134="positive","b",IF(R1134="positive","c","d")))))</x:f>
        <x:v>d</x:v>
      </x:c>
      <x:c r="V1134" s="12"/>
      <x:c r="W1134" s="12" t="str">
        <x:v>negative</x:v>
      </x:c>
      <x:c r="X1134" s="12"/>
      <x:c r="Y1134" s="12" t="str">
        <x:v>negative</x:v>
      </x:c>
      <x:c r="Z1134" s="12" t="str">
        <x:f>IF(OR(W1134="unavailable",Y1134="unavailable"),"不可评价",IF(OR(W1134="equivocal",Y1134="equivocal"),"疑似",IF(AND(W1134="positive",Y1134="positive"),"a",IF(Y1134="positive","b",IF(W1134="positive","c","d")))))</x:f>
        <x:v>d</x:v>
      </x:c>
      <x:c r="AA1134" s="12" t="str">
        <x:f>IF(OR(M1134="unavailable",O1134="unavailable"),"不可评价",IF(AND(OR(M1134="positive",M1134="equivocal"),OR(O1134="positive",O1134="equivocal")),"a",IF(OR(O1134="positive",O1134="equivocal"),"b",IF(OR(M1134="positive",M1134="equivocal"),"c","d"))))</x:f>
        <x:v>d</x:v>
      </x:c>
      <x:c r="AB1134" s="12" t="str">
        <x:f>IF(OR(M1134="unavailable",O1134="unavailable"),"不可评价",IF(AND(M1134="positive",O1134="positive"),"a",IF(O1134="positive","b",IF(M1134="positive","c","d"))))</x:f>
        <x:v>d</x:v>
      </x:c>
      <x:c r="AC1134" s="12" t="str">
        <x:f>IF(OR(R1134="unavailable",T1134="unavailable"),"不可评价",IF(AND(OR(R1134="positive",R1134="equivocal"),OR(T1134="positive",T1134="equivocal")),"a",IF(OR(T1134="positive",T1134="equivocal"),"b",IF(OR(R1134="positive",R1134="equivocal"),"c","d"))))</x:f>
        <x:v>d</x:v>
      </x:c>
      <x:c r="AD1134" s="12" t="str">
        <x:f>IF(OR(R1134="unavailable",T1134="unavailable"),"不可评价",IF(AND(R1134="positive",T1134="positive"),"a",IF(T1134="positive","b",IF(R1134="positive","c","d"))))</x:f>
        <x:v>d</x:v>
      </x:c>
      <x:c r="AE1134" s="12" t="str">
        <x:f>IF(OR(W1134="unavailable",Y1134="unavailable"),"不可评价",IF(AND(OR(W1134="positive",W1134="equivocal"),OR(Y1134="positive",Y1134="equivocal")),"a",IF(OR(Y1134="positive",Y1134="equivocal"),"b",IF(OR(W1134="positive",W1134="equivocal"),"c","d"))))</x:f>
        <x:v>d</x:v>
      </x:c>
      <x:c r="AF1134" s="12" t="str">
        <x:f>IF(OR(W1134="unavailable",Y1134="unavailable"),"不可评价",IF(AND(W1134="positive",Y1134="positive"),"a",IF(Y1134="positive","b",IF(W1134="positive","c","d"))))</x:f>
        <x:v>d</x:v>
      </x:c>
    </x:row>
    <x:row r="1135" ht="24" customHeight="1">
      <x:c r="A1135" s="12" t="str">
        <x:v>10160</x:v>
      </x:c>
      <x:c r="B1135" s="12" t="str">
        <x:v>3543</x:v>
      </x:c>
      <x:c r="C1135" s="21" t="n">
        <x:v>34095.488657407404</x:v>
      </x:c>
      <x:c r="D1135" s="12" t="n">
        <x:v>72</x:v>
      </x:c>
      <x:c r="E1135" s="12" t="n">
        <x:v>0</x:v>
      </x:c>
      <x:c r="F1135" s="12" t="str">
        <x:v>未记录</x:v>
      </x:c>
      <x:c r="G1135" s="12" t="n">
        <x:v>1</x:v>
      </x:c>
      <x:c r="H1135" s="12" t="str">
        <x:v>{'AFLT': 100.0, 'NST_': 0.0}</x:v>
      </x:c>
      <x:c r="I1135" s="12" t="str">
        <x:v>[('FLUT', 100.0), ('W2T1', 100.0), ('NST', 100.0), ('AB', 100.0)]</x:v>
      </x:c>
      <x:c r="J1135" s="12" t="str">
        <x:v>ptbxl_database.csv；ecg_id=10160；scp_codes</x:v>
      </x:c>
      <x:c r="K1135" s="12" t="str">
        <x:v>12sl_statements.csv；ecg_id=10160；statements_ext_snomed</x:v>
      </x:c>
      <x:c r="L1135" s="12"/>
      <x:c r="M1135" s="12" t="str">
        <x:v>negative</x:v>
      </x:c>
      <x:c r="N1135" s="12"/>
      <x:c r="O1135" s="12" t="str">
        <x:v>negative</x:v>
      </x:c>
      <x:c r="P1135" s="12" t="str">
        <x:f>IF(OR(M1135="unavailable",O1135="unavailable"),"不可评价",IF(OR(M1135="equivocal",O1135="equivocal"),"疑似",IF(AND(M1135="positive",O1135="positive"),"a",IF(O1135="positive","b",IF(M1135="positive","c","d")))))</x:f>
        <x:v>d</x:v>
      </x:c>
      <x:c r="Q1135" s="12"/>
      <x:c r="R1135" s="12" t="str">
        <x:v>negative</x:v>
      </x:c>
      <x:c r="S1135" s="12"/>
      <x:c r="T1135" s="12" t="str">
        <x:v>negative</x:v>
      </x:c>
      <x:c r="U1135" s="12" t="str">
        <x:f>IF(OR(R1135="unavailable",T1135="unavailable"),"不可评价",IF(OR(R1135="equivocal",T1135="equivocal"),"疑似",IF(AND(R1135="positive",T1135="positive"),"a",IF(T1135="positive","b",IF(R1135="positive","c","d")))))</x:f>
        <x:v>d</x:v>
      </x:c>
      <x:c r="V1135" s="12"/>
      <x:c r="W1135" s="12" t="str">
        <x:v>negative</x:v>
      </x:c>
      <x:c r="X1135" s="12"/>
      <x:c r="Y1135" s="12" t="str">
        <x:v>negative</x:v>
      </x:c>
      <x:c r="Z1135" s="12" t="str">
        <x:f>IF(OR(W1135="unavailable",Y1135="unavailable"),"不可评价",IF(OR(W1135="equivocal",Y1135="equivocal"),"疑似",IF(AND(W1135="positive",Y1135="positive"),"a",IF(Y1135="positive","b",IF(W1135="positive","c","d")))))</x:f>
        <x:v>d</x:v>
      </x:c>
      <x:c r="AA1135" s="12" t="str">
        <x:f>IF(OR(M1135="unavailable",O1135="unavailable"),"不可评价",IF(AND(OR(M1135="positive",M1135="equivocal"),OR(O1135="positive",O1135="equivocal")),"a",IF(OR(O1135="positive",O1135="equivocal"),"b",IF(OR(M1135="positive",M1135="equivocal"),"c","d"))))</x:f>
        <x:v>d</x:v>
      </x:c>
      <x:c r="AB1135" s="12" t="str">
        <x:f>IF(OR(M1135="unavailable",O1135="unavailable"),"不可评价",IF(AND(M1135="positive",O1135="positive"),"a",IF(O1135="positive","b",IF(M1135="positive","c","d"))))</x:f>
        <x:v>d</x:v>
      </x:c>
      <x:c r="AC1135" s="12" t="str">
        <x:f>IF(OR(R1135="unavailable",T1135="unavailable"),"不可评价",IF(AND(OR(R1135="positive",R1135="equivocal"),OR(T1135="positive",T1135="equivocal")),"a",IF(OR(T1135="positive",T1135="equivocal"),"b",IF(OR(R1135="positive",R1135="equivocal"),"c","d"))))</x:f>
        <x:v>d</x:v>
      </x:c>
      <x:c r="AD1135" s="12" t="str">
        <x:f>IF(OR(R1135="unavailable",T1135="unavailable"),"不可评价",IF(AND(R1135="positive",T1135="positive"),"a",IF(T1135="positive","b",IF(R1135="positive","c","d"))))</x:f>
        <x:v>d</x:v>
      </x:c>
      <x:c r="AE1135" s="12" t="str">
        <x:f>IF(OR(W1135="unavailable",Y1135="unavailable"),"不可评价",IF(AND(OR(W1135="positive",W1135="equivocal"),OR(Y1135="positive",Y1135="equivocal")),"a",IF(OR(Y1135="positive",Y1135="equivocal"),"b",IF(OR(W1135="positive",W1135="equivocal"),"c","d"))))</x:f>
        <x:v>d</x:v>
      </x:c>
      <x:c r="AF1135" s="12" t="str">
        <x:f>IF(OR(W1135="unavailable",Y1135="unavailable"),"不可评价",IF(AND(W1135="positive",Y1135="positive"),"a",IF(Y1135="positive","b",IF(W1135="positive","c","d"))))</x:f>
        <x:v>d</x:v>
      </x:c>
    </x:row>
    <x:row r="1136" ht="39" customHeight="1">
      <x:c r="A1136" s="12" t="str">
        <x:v>10177</x:v>
      </x:c>
      <x:c r="B1136" s="12" t="str">
        <x:v>329</x:v>
      </x:c>
      <x:c r="C1136" s="21" t="n">
        <x:v>34097.42203703704</x:v>
      </x:c>
      <x:c r="D1136" s="12" t="n">
        <x:v>300</x:v>
      </x:c>
      <x:c r="E1136" s="12" t="n">
        <x:v>1</x:v>
      </x:c>
      <x:c r="F1136" s="12" t="str">
        <x:v>未记录</x:v>
      </x:c>
      <x:c r="G1136" s="12" t="n">
        <x:v>0</x:v>
      </x:c>
      <x:c r="H1136" s="12" t="str">
        <x:v>{'LVH': 50.0, 'ISC_': 100.0, 'DIG': 100.0, 'STD_': 0.0, 'AFIB': 0.0}</x:v>
      </x:c>
      <x:c r="I1136" s="12" t="str">
        <x:v>[('AFIB', 100.0), ('ST&amp;', 100.0), ('IT', 100.0), ('ST&amp;', 100.0), ('ALT', 100.0), ('AB', 100.0)]</x:v>
      </x:c>
      <x:c r="J1136" s="12" t="str">
        <x:v>ptbxl_database.csv；ecg_id=10177；scp_codes</x:v>
      </x:c>
      <x:c r="K1136" s="12" t="str">
        <x:v>12sl_statements.csv；ecg_id=10177；statements_ext_snomed</x:v>
      </x:c>
      <x:c r="L1136" s="12" t="n">
        <x:v>0</x:v>
      </x:c>
      <x:c r="M1136" s="12" t="str">
        <x:v>positive</x:v>
      </x:c>
      <x:c r="N1136" s="12" t="n">
        <x:v>100</x:v>
      </x:c>
      <x:c r="O1136" s="12" t="str">
        <x:v>positive</x:v>
      </x:c>
      <x:c r="P1136" s="12" t="str">
        <x:f>IF(OR(M1136="unavailable",O1136="unavailable"),"不可评价",IF(OR(M1136="equivocal",O1136="equivocal"),"疑似",IF(AND(M1136="positive",O1136="positive"),"a",IF(O1136="positive","b",IF(M1136="positive","c","d")))))</x:f>
        <x:v>a</x:v>
      </x:c>
      <x:c r="Q1136" s="12"/>
      <x:c r="R1136" s="12" t="str">
        <x:v>negative</x:v>
      </x:c>
      <x:c r="S1136" s="12"/>
      <x:c r="T1136" s="12" t="str">
        <x:v>negative</x:v>
      </x:c>
      <x:c r="U1136" s="12" t="str">
        <x:f>IF(OR(R1136="unavailable",T1136="unavailable"),"不可评价",IF(OR(R1136="equivocal",T1136="equivocal"),"疑似",IF(AND(R1136="positive",T1136="positive"),"a",IF(T1136="positive","b",IF(R1136="positive","c","d")))))</x:f>
        <x:v>d</x:v>
      </x:c>
      <x:c r="V1136" s="12"/>
      <x:c r="W1136" s="12" t="str">
        <x:v>negative</x:v>
      </x:c>
      <x:c r="X1136" s="12"/>
      <x:c r="Y1136" s="12" t="str">
        <x:v>negative</x:v>
      </x:c>
      <x:c r="Z1136" s="12" t="str">
        <x:f>IF(OR(W1136="unavailable",Y1136="unavailable"),"不可评价",IF(OR(W1136="equivocal",Y1136="equivocal"),"疑似",IF(AND(W1136="positive",Y1136="positive"),"a",IF(Y1136="positive","b",IF(W1136="positive","c","d")))))</x:f>
        <x:v>d</x:v>
      </x:c>
      <x:c r="AA1136" s="12" t="str">
        <x:f>IF(OR(M1136="unavailable",O1136="unavailable"),"不可评价",IF(AND(OR(M1136="positive",M1136="equivocal"),OR(O1136="positive",O1136="equivocal")),"a",IF(OR(O1136="positive",O1136="equivocal"),"b",IF(OR(M1136="positive",M1136="equivocal"),"c","d"))))</x:f>
        <x:v>a</x:v>
      </x:c>
      <x:c r="AB1136" s="12" t="str">
        <x:f>IF(OR(M1136="unavailable",O1136="unavailable"),"不可评价",IF(AND(M1136="positive",O1136="positive"),"a",IF(O1136="positive","b",IF(M1136="positive","c","d"))))</x:f>
        <x:v>a</x:v>
      </x:c>
      <x:c r="AC1136" s="12" t="str">
        <x:f>IF(OR(R1136="unavailable",T1136="unavailable"),"不可评价",IF(AND(OR(R1136="positive",R1136="equivocal"),OR(T1136="positive",T1136="equivocal")),"a",IF(OR(T1136="positive",T1136="equivocal"),"b",IF(OR(R1136="positive",R1136="equivocal"),"c","d"))))</x:f>
        <x:v>d</x:v>
      </x:c>
      <x:c r="AD1136" s="12" t="str">
        <x:f>IF(OR(R1136="unavailable",T1136="unavailable"),"不可评价",IF(AND(R1136="positive",T1136="positive"),"a",IF(T1136="positive","b",IF(R1136="positive","c","d"))))</x:f>
        <x:v>d</x:v>
      </x:c>
      <x:c r="AE1136" s="12" t="str">
        <x:f>IF(OR(W1136="unavailable",Y1136="unavailable"),"不可评价",IF(AND(OR(W1136="positive",W1136="equivocal"),OR(Y1136="positive",Y1136="equivocal")),"a",IF(OR(Y1136="positive",Y1136="equivocal"),"b",IF(OR(W1136="positive",W1136="equivocal"),"c","d"))))</x:f>
        <x:v>d</x:v>
      </x:c>
      <x:c r="AF1136" s="12" t="str">
        <x:f>IF(OR(W1136="unavailable",Y1136="unavailable"),"不可评价",IF(AND(W1136="positive",Y1136="positive"),"a",IF(Y1136="positive","b",IF(W1136="positive","c","d"))))</x:f>
        <x:v>d</x:v>
      </x:c>
    </x:row>
    <x:row r="1137" ht="24" customHeight="1">
      <x:c r="A1137" s="12" t="str">
        <x:v>10180</x:v>
      </x:c>
      <x:c r="B1137" s="12" t="str">
        <x:v>2382</x:v>
      </x:c>
      <x:c r="C1137" s="21" t="n">
        <x:v>34097.524618055555</x:v>
      </x:c>
      <x:c r="D1137" s="12" t="n">
        <x:v>60</x:v>
      </x:c>
      <x:c r="E1137" s="12" t="n">
        <x:v>1</x:v>
      </x:c>
      <x:c r="F1137" s="12" t="str">
        <x:v>未记录</x:v>
      </x:c>
      <x:c r="G1137" s="12" t="n">
        <x:v>1</x:v>
      </x:c>
      <x:c r="H1137" s="12" t="str">
        <x:v>{'LVH': 35.0, 'NT_': 0.0, 'VCLVH': 0.0, 'SR': 0.0}</x:v>
      </x:c>
      <x:c r="I1137" s="12" t="str">
        <x:v>[('NSR', 100.0), ('NT', 100.0), ('AB', 100.0)]</x:v>
      </x:c>
      <x:c r="J1137" s="12" t="str">
        <x:v>ptbxl_database.csv；ecg_id=10180；scp_codes</x:v>
      </x:c>
      <x:c r="K1137" s="12" t="str">
        <x:v>12sl_statements.csv；ecg_id=10180；statements_ext_snomed</x:v>
      </x:c>
      <x:c r="L1137" s="12"/>
      <x:c r="M1137" s="12" t="str">
        <x:v>negative</x:v>
      </x:c>
      <x:c r="N1137" s="12"/>
      <x:c r="O1137" s="12" t="str">
        <x:v>negative</x:v>
      </x:c>
      <x:c r="P1137" s="12" t="str">
        <x:f>IF(OR(M1137="unavailable",O1137="unavailable"),"不可评价",IF(OR(M1137="equivocal",O1137="equivocal"),"疑似",IF(AND(M1137="positive",O1137="positive"),"a",IF(O1137="positive","b",IF(M1137="positive","c","d")))))</x:f>
        <x:v>d</x:v>
      </x:c>
      <x:c r="Q1137" s="12"/>
      <x:c r="R1137" s="12" t="str">
        <x:v>negative</x:v>
      </x:c>
      <x:c r="S1137" s="12"/>
      <x:c r="T1137" s="12" t="str">
        <x:v>negative</x:v>
      </x:c>
      <x:c r="U1137" s="12" t="str">
        <x:f>IF(OR(R1137="unavailable",T1137="unavailable"),"不可评价",IF(OR(R1137="equivocal",T1137="equivocal"),"疑似",IF(AND(R1137="positive",T1137="positive"),"a",IF(T1137="positive","b",IF(R1137="positive","c","d")))))</x:f>
        <x:v>d</x:v>
      </x:c>
      <x:c r="V1137" s="12"/>
      <x:c r="W1137" s="12" t="str">
        <x:v>negative</x:v>
      </x:c>
      <x:c r="X1137" s="12"/>
      <x:c r="Y1137" s="12" t="str">
        <x:v>negative</x:v>
      </x:c>
      <x:c r="Z1137" s="12" t="str">
        <x:f>IF(OR(W1137="unavailable",Y1137="unavailable"),"不可评价",IF(OR(W1137="equivocal",Y1137="equivocal"),"疑似",IF(AND(W1137="positive",Y1137="positive"),"a",IF(Y1137="positive","b",IF(W1137="positive","c","d")))))</x:f>
        <x:v>d</x:v>
      </x:c>
      <x:c r="AA1137" s="12" t="str">
        <x:f>IF(OR(M1137="unavailable",O1137="unavailable"),"不可评价",IF(AND(OR(M1137="positive",M1137="equivocal"),OR(O1137="positive",O1137="equivocal")),"a",IF(OR(O1137="positive",O1137="equivocal"),"b",IF(OR(M1137="positive",M1137="equivocal"),"c","d"))))</x:f>
        <x:v>d</x:v>
      </x:c>
      <x:c r="AB1137" s="12" t="str">
        <x:f>IF(OR(M1137="unavailable",O1137="unavailable"),"不可评价",IF(AND(M1137="positive",O1137="positive"),"a",IF(O1137="positive","b",IF(M1137="positive","c","d"))))</x:f>
        <x:v>d</x:v>
      </x:c>
      <x:c r="AC1137" s="12" t="str">
        <x:f>IF(OR(R1137="unavailable",T1137="unavailable"),"不可评价",IF(AND(OR(R1137="positive",R1137="equivocal"),OR(T1137="positive",T1137="equivocal")),"a",IF(OR(T1137="positive",T1137="equivocal"),"b",IF(OR(R1137="positive",R1137="equivocal"),"c","d"))))</x:f>
        <x:v>d</x:v>
      </x:c>
      <x:c r="AD1137" s="12" t="str">
        <x:f>IF(OR(R1137="unavailable",T1137="unavailable"),"不可评价",IF(AND(R1137="positive",T1137="positive"),"a",IF(T1137="positive","b",IF(R1137="positive","c","d"))))</x:f>
        <x:v>d</x:v>
      </x:c>
      <x:c r="AE1137" s="12" t="str">
        <x:f>IF(OR(W1137="unavailable",Y1137="unavailable"),"不可评价",IF(AND(OR(W1137="positive",W1137="equivocal"),OR(Y1137="positive",Y1137="equivocal")),"a",IF(OR(Y1137="positive",Y1137="equivocal"),"b",IF(OR(W1137="positive",W1137="equivocal"),"c","d"))))</x:f>
        <x:v>d</x:v>
      </x:c>
      <x:c r="AF1137" s="12" t="str">
        <x:f>IF(OR(W1137="unavailable",Y1137="unavailable"),"不可评价",IF(AND(W1137="positive",Y1137="positive"),"a",IF(Y1137="positive","b",IF(W1137="positive","c","d"))))</x:f>
        <x:v>d</x:v>
      </x:c>
    </x:row>
    <x:row r="1138" ht="24" customHeight="1">
      <x:c r="A1138" s="12" t="str">
        <x:v>10181</x:v>
      </x:c>
      <x:c r="B1138" s="12" t="str">
        <x:v>17748</x:v>
      </x:c>
      <x:c r="C1138" s="21" t="n">
        <x:v>34098.38783564815</x:v>
      </x:c>
      <x:c r="D1138" s="12" t="n">
        <x:v>40</x:v>
      </x:c>
      <x:c r="E1138" s="12" t="n">
        <x:v>0</x:v>
      </x:c>
      <x:c r="F1138" s="12" t="str">
        <x:v>存在</x:v>
      </x:c>
      <x:c r="G1138" s="12" t="n">
        <x:v>1</x:v>
      </x:c>
      <x:c r="H1138" s="12" t="str">
        <x:v>{'NORM': 100.0, 'SR': 0.0}</x:v>
      </x:c>
      <x:c r="I1138" s="12" t="str">
        <x:v>[('SBRAD', 100.0), ('SAR', 100.0), ('ABR', 100.0)]</x:v>
      </x:c>
      <x:c r="J1138" s="12" t="str">
        <x:v>ptbxl_database.csv；ecg_id=10181；scp_codes</x:v>
      </x:c>
      <x:c r="K1138" s="12" t="str">
        <x:v>12sl_statements.csv；ecg_id=10181；statements_ext_snomed</x:v>
      </x:c>
      <x:c r="L1138" s="12"/>
      <x:c r="M1138" s="12" t="str">
        <x:v>negative</x:v>
      </x:c>
      <x:c r="N1138" s="12"/>
      <x:c r="O1138" s="12" t="str">
        <x:v>negative</x:v>
      </x:c>
      <x:c r="P1138" s="12" t="str">
        <x:f>IF(OR(M1138="unavailable",O1138="unavailable"),"不可评价",IF(OR(M1138="equivocal",O1138="equivocal"),"疑似",IF(AND(M1138="positive",O1138="positive"),"a",IF(O1138="positive","b",IF(M1138="positive","c","d")))))</x:f>
        <x:v>d</x:v>
      </x:c>
      <x:c r="Q1138" s="12"/>
      <x:c r="R1138" s="12" t="str">
        <x:v>negative</x:v>
      </x:c>
      <x:c r="S1138" s="12"/>
      <x:c r="T1138" s="12" t="str">
        <x:v>negative</x:v>
      </x:c>
      <x:c r="U1138" s="12" t="str">
        <x:f>IF(OR(R1138="unavailable",T1138="unavailable"),"不可评价",IF(OR(R1138="equivocal",T1138="equivocal"),"疑似",IF(AND(R1138="positive",T1138="positive"),"a",IF(T1138="positive","b",IF(R1138="positive","c","d")))))</x:f>
        <x:v>d</x:v>
      </x:c>
      <x:c r="V1138" s="12"/>
      <x:c r="W1138" s="12" t="str">
        <x:v>negative</x:v>
      </x:c>
      <x:c r="X1138" s="12"/>
      <x:c r="Y1138" s="12" t="str">
        <x:v>negative</x:v>
      </x:c>
      <x:c r="Z1138" s="12" t="str">
        <x:f>IF(OR(W1138="unavailable",Y1138="unavailable"),"不可评价",IF(OR(W1138="equivocal",Y1138="equivocal"),"疑似",IF(AND(W1138="positive",Y1138="positive"),"a",IF(Y1138="positive","b",IF(W1138="positive","c","d")))))</x:f>
        <x:v>d</x:v>
      </x:c>
      <x:c r="AA1138" s="12" t="str">
        <x:f>IF(OR(M1138="unavailable",O1138="unavailable"),"不可评价",IF(AND(OR(M1138="positive",M1138="equivocal"),OR(O1138="positive",O1138="equivocal")),"a",IF(OR(O1138="positive",O1138="equivocal"),"b",IF(OR(M1138="positive",M1138="equivocal"),"c","d"))))</x:f>
        <x:v>d</x:v>
      </x:c>
      <x:c r="AB1138" s="12" t="str">
        <x:f>IF(OR(M1138="unavailable",O1138="unavailable"),"不可评价",IF(AND(M1138="positive",O1138="positive"),"a",IF(O1138="positive","b",IF(M1138="positive","c","d"))))</x:f>
        <x:v>d</x:v>
      </x:c>
      <x:c r="AC1138" s="12" t="str">
        <x:f>IF(OR(R1138="unavailable",T1138="unavailable"),"不可评价",IF(AND(OR(R1138="positive",R1138="equivocal"),OR(T1138="positive",T1138="equivocal")),"a",IF(OR(T1138="positive",T1138="equivocal"),"b",IF(OR(R1138="positive",R1138="equivocal"),"c","d"))))</x:f>
        <x:v>d</x:v>
      </x:c>
      <x:c r="AD1138" s="12" t="str">
        <x:f>IF(OR(R1138="unavailable",T1138="unavailable"),"不可评价",IF(AND(R1138="positive",T1138="positive"),"a",IF(T1138="positive","b",IF(R1138="positive","c","d"))))</x:f>
        <x:v>d</x:v>
      </x:c>
      <x:c r="AE1138" s="12" t="str">
        <x:f>IF(OR(W1138="unavailable",Y1138="unavailable"),"不可评价",IF(AND(OR(W1138="positive",W1138="equivocal"),OR(Y1138="positive",Y1138="equivocal")),"a",IF(OR(Y1138="positive",Y1138="equivocal"),"b",IF(OR(W1138="positive",W1138="equivocal"),"c","d"))))</x:f>
        <x:v>d</x:v>
      </x:c>
      <x:c r="AF1138" s="12" t="str">
        <x:f>IF(OR(W1138="unavailable",Y1138="unavailable"),"不可评价",IF(AND(W1138="positive",Y1138="positive"),"a",IF(Y1138="positive","b",IF(W1138="positive","c","d"))))</x:f>
        <x:v>d</x:v>
      </x:c>
    </x:row>
    <x:row r="1139" ht="24" customHeight="1">
      <x:c r="A1139" s="12" t="str">
        <x:v>10196</x:v>
      </x:c>
      <x:c r="B1139" s="12" t="str">
        <x:v>11886</x:v>
      </x:c>
      <x:c r="C1139" s="21" t="n">
        <x:v>34102.70302083333</x:v>
      </x:c>
      <x:c r="D1139" s="12" t="n">
        <x:v>75</x:v>
      </x:c>
      <x:c r="E1139" s="12" t="n">
        <x:v>1</x:v>
      </x:c>
      <x:c r="F1139" s="12" t="str">
        <x:v>未记录</x:v>
      </x:c>
      <x:c r="G1139" s="12" t="n">
        <x:v>1</x:v>
      </x:c>
      <x:c r="H1139" s="12" t="str">
        <x:v>{'NST_': 100.0, 'AFIB': 0.0}</x:v>
      </x:c>
      <x:c r="I1139" s="12" t="str">
        <x:v>[('FLUT', 100.0), ('VAVB', 100.0), ('SMI;AU', 100.0), ('AB', 100.0)]</x:v>
      </x:c>
      <x:c r="J1139" s="12" t="str">
        <x:v>ptbxl_database.csv；ecg_id=10196；scp_codes</x:v>
      </x:c>
      <x:c r="K1139" s="12" t="str">
        <x:v>12sl_statements.csv；ecg_id=10196；statements_ext_snomed</x:v>
      </x:c>
      <x:c r="L1139" s="12" t="n">
        <x:v>0</x:v>
      </x:c>
      <x:c r="M1139" s="12" t="str">
        <x:v>positive</x:v>
      </x:c>
      <x:c r="N1139" s="12"/>
      <x:c r="O1139" s="12" t="str">
        <x:v>negative</x:v>
      </x:c>
      <x:c r="P1139" s="12" t="str">
        <x:f>IF(OR(M1139="unavailable",O1139="unavailable"),"不可评价",IF(OR(M1139="equivocal",O1139="equivocal"),"疑似",IF(AND(M1139="positive",O1139="positive"),"a",IF(O1139="positive","b",IF(M1139="positive","c","d")))))</x:f>
        <x:v>c</x:v>
      </x:c>
      <x:c r="Q1139" s="12"/>
      <x:c r="R1139" s="12" t="str">
        <x:v>negative</x:v>
      </x:c>
      <x:c r="S1139" s="12"/>
      <x:c r="T1139" s="12" t="str">
        <x:v>negative</x:v>
      </x:c>
      <x:c r="U1139" s="12" t="str">
        <x:f>IF(OR(R1139="unavailable",T1139="unavailable"),"不可评价",IF(OR(R1139="equivocal",T1139="equivocal"),"疑似",IF(AND(R1139="positive",T1139="positive"),"a",IF(T1139="positive","b",IF(R1139="positive","c","d")))))</x:f>
        <x:v>d</x:v>
      </x:c>
      <x:c r="V1139" s="12"/>
      <x:c r="W1139" s="12" t="str">
        <x:v>negative</x:v>
      </x:c>
      <x:c r="X1139" s="12"/>
      <x:c r="Y1139" s="12" t="str">
        <x:v>negative</x:v>
      </x:c>
      <x:c r="Z1139" s="12" t="str">
        <x:f>IF(OR(W1139="unavailable",Y1139="unavailable"),"不可评价",IF(OR(W1139="equivocal",Y1139="equivocal"),"疑似",IF(AND(W1139="positive",Y1139="positive"),"a",IF(Y1139="positive","b",IF(W1139="positive","c","d")))))</x:f>
        <x:v>d</x:v>
      </x:c>
      <x:c r="AA1139" s="12" t="str">
        <x:f>IF(OR(M1139="unavailable",O1139="unavailable"),"不可评价",IF(AND(OR(M1139="positive",M1139="equivocal"),OR(O1139="positive",O1139="equivocal")),"a",IF(OR(O1139="positive",O1139="equivocal"),"b",IF(OR(M1139="positive",M1139="equivocal"),"c","d"))))</x:f>
        <x:v>c</x:v>
      </x:c>
      <x:c r="AB1139" s="12" t="str">
        <x:f>IF(OR(M1139="unavailable",O1139="unavailable"),"不可评价",IF(AND(M1139="positive",O1139="positive"),"a",IF(O1139="positive","b",IF(M1139="positive","c","d"))))</x:f>
        <x:v>c</x:v>
      </x:c>
      <x:c r="AC1139" s="12" t="str">
        <x:f>IF(OR(R1139="unavailable",T1139="unavailable"),"不可评价",IF(AND(OR(R1139="positive",R1139="equivocal"),OR(T1139="positive",T1139="equivocal")),"a",IF(OR(T1139="positive",T1139="equivocal"),"b",IF(OR(R1139="positive",R1139="equivocal"),"c","d"))))</x:f>
        <x:v>d</x:v>
      </x:c>
      <x:c r="AD1139" s="12" t="str">
        <x:f>IF(OR(R1139="unavailable",T1139="unavailable"),"不可评价",IF(AND(R1139="positive",T1139="positive"),"a",IF(T1139="positive","b",IF(R1139="positive","c","d"))))</x:f>
        <x:v>d</x:v>
      </x:c>
      <x:c r="AE1139" s="12" t="str">
        <x:f>IF(OR(W1139="unavailable",Y1139="unavailable"),"不可评价",IF(AND(OR(W1139="positive",W1139="equivocal"),OR(Y1139="positive",Y1139="equivocal")),"a",IF(OR(Y1139="positive",Y1139="equivocal"),"b",IF(OR(W1139="positive",W1139="equivocal"),"c","d"))))</x:f>
        <x:v>d</x:v>
      </x:c>
      <x:c r="AF1139" s="12" t="str">
        <x:f>IF(OR(W1139="unavailable",Y1139="unavailable"),"不可评价",IF(AND(W1139="positive",Y1139="positive"),"a",IF(Y1139="positive","b",IF(W1139="positive","c","d"))))</x:f>
        <x:v>d</x:v>
      </x:c>
    </x:row>
    <x:row r="1140" ht="24" customHeight="1">
      <x:c r="A1140" s="12" t="str">
        <x:v>10200</x:v>
      </x:c>
      <x:c r="B1140" s="12" t="str">
        <x:v>14296</x:v>
      </x:c>
      <x:c r="C1140" s="21" t="n">
        <x:v>34104.52270833333</x:v>
      </x:c>
      <x:c r="D1140" s="12" t="n">
        <x:v>71</x:v>
      </x:c>
      <x:c r="E1140" s="12" t="n">
        <x:v>1</x:v>
      </x:c>
      <x:c r="F1140" s="12" t="str">
        <x:v>存在</x:v>
      </x:c>
      <x:c r="G1140" s="12" t="n">
        <x:v>1</x:v>
      </x:c>
      <x:c r="H1140" s="12" t="str">
        <x:v>{'ISCIN': 100.0, 'SR': 0.0}</x:v>
      </x:c>
      <x:c r="I1140" s="12" t="str">
        <x:v>[('NSR', 100.0), ('RVH', 50.0), ('AB', 100.0)]</x:v>
      </x:c>
      <x:c r="J1140" s="12" t="str">
        <x:v>ptbxl_database.csv；ecg_id=10200；scp_codes</x:v>
      </x:c>
      <x:c r="K1140" s="12" t="str">
        <x:v>12sl_statements.csv；ecg_id=10200；statements_ext_snomed</x:v>
      </x:c>
      <x:c r="L1140" s="12"/>
      <x:c r="M1140" s="12" t="str">
        <x:v>negative</x:v>
      </x:c>
      <x:c r="N1140" s="12"/>
      <x:c r="O1140" s="12" t="str">
        <x:v>negative</x:v>
      </x:c>
      <x:c r="P1140" s="12" t="str">
        <x:f>IF(OR(M1140="unavailable",O1140="unavailable"),"不可评价",IF(OR(M1140="equivocal",O1140="equivocal"),"疑似",IF(AND(M1140="positive",O1140="positive"),"a",IF(O1140="positive","b",IF(M1140="positive","c","d")))))</x:f>
        <x:v>d</x:v>
      </x:c>
      <x:c r="Q1140" s="12"/>
      <x:c r="R1140" s="12" t="str">
        <x:v>negative</x:v>
      </x:c>
      <x:c r="S1140" s="12"/>
      <x:c r="T1140" s="12" t="str">
        <x:v>negative</x:v>
      </x:c>
      <x:c r="U1140" s="12" t="str">
        <x:f>IF(OR(R1140="unavailable",T1140="unavailable"),"不可评价",IF(OR(R1140="equivocal",T1140="equivocal"),"疑似",IF(AND(R1140="positive",T1140="positive"),"a",IF(T1140="positive","b",IF(R1140="positive","c","d")))))</x:f>
        <x:v>d</x:v>
      </x:c>
      <x:c r="V1140" s="12"/>
      <x:c r="W1140" s="12" t="str">
        <x:v>negative</x:v>
      </x:c>
      <x:c r="X1140" s="12"/>
      <x:c r="Y1140" s="12" t="str">
        <x:v>negative</x:v>
      </x:c>
      <x:c r="Z1140" s="12" t="str">
        <x:f>IF(OR(W1140="unavailable",Y1140="unavailable"),"不可评价",IF(OR(W1140="equivocal",Y1140="equivocal"),"疑似",IF(AND(W1140="positive",Y1140="positive"),"a",IF(Y1140="positive","b",IF(W1140="positive","c","d")))))</x:f>
        <x:v>d</x:v>
      </x:c>
      <x:c r="AA1140" s="12" t="str">
        <x:f>IF(OR(M1140="unavailable",O1140="unavailable"),"不可评价",IF(AND(OR(M1140="positive",M1140="equivocal"),OR(O1140="positive",O1140="equivocal")),"a",IF(OR(O1140="positive",O1140="equivocal"),"b",IF(OR(M1140="positive",M1140="equivocal"),"c","d"))))</x:f>
        <x:v>d</x:v>
      </x:c>
      <x:c r="AB1140" s="12" t="str">
        <x:f>IF(OR(M1140="unavailable",O1140="unavailable"),"不可评价",IF(AND(M1140="positive",O1140="positive"),"a",IF(O1140="positive","b",IF(M1140="positive","c","d"))))</x:f>
        <x:v>d</x:v>
      </x:c>
      <x:c r="AC1140" s="12" t="str">
        <x:f>IF(OR(R1140="unavailable",T1140="unavailable"),"不可评价",IF(AND(OR(R1140="positive",R1140="equivocal"),OR(T1140="positive",T1140="equivocal")),"a",IF(OR(T1140="positive",T1140="equivocal"),"b",IF(OR(R1140="positive",R1140="equivocal"),"c","d"))))</x:f>
        <x:v>d</x:v>
      </x:c>
      <x:c r="AD1140" s="12" t="str">
        <x:f>IF(OR(R1140="unavailable",T1140="unavailable"),"不可评价",IF(AND(R1140="positive",T1140="positive"),"a",IF(T1140="positive","b",IF(R1140="positive","c","d"))))</x:f>
        <x:v>d</x:v>
      </x:c>
      <x:c r="AE1140" s="12" t="str">
        <x:f>IF(OR(W1140="unavailable",Y1140="unavailable"),"不可评价",IF(AND(OR(W1140="positive",W1140="equivocal"),OR(Y1140="positive",Y1140="equivocal")),"a",IF(OR(Y1140="positive",Y1140="equivocal"),"b",IF(OR(W1140="positive",W1140="equivocal"),"c","d"))))</x:f>
        <x:v>d</x:v>
      </x:c>
      <x:c r="AF1140" s="12" t="str">
        <x:f>IF(OR(W1140="unavailable",Y1140="unavailable"),"不可评价",IF(AND(W1140="positive",Y1140="positive"),"a",IF(Y1140="positive","b",IF(W1140="positive","c","d"))))</x:f>
        <x:v>d</x:v>
      </x:c>
    </x:row>
    <x:row r="1141" ht="24" customHeight="1">
      <x:c r="A1141" s="12" t="str">
        <x:v>10205</x:v>
      </x:c>
      <x:c r="B1141" s="12" t="str">
        <x:v>8338</x:v>
      </x:c>
      <x:c r="C1141" s="21" t="n">
        <x:v>34107.65207175926</x:v>
      </x:c>
      <x:c r="D1141" s="12" t="n">
        <x:v>41</x:v>
      </x:c>
      <x:c r="E1141" s="12" t="n">
        <x:v>0</x:v>
      </x:c>
      <x:c r="F1141" s="12" t="str">
        <x:v>未记录</x:v>
      </x:c>
      <x:c r="G1141" s="12" t="n">
        <x:v>1</x:v>
      </x:c>
      <x:c r="H1141" s="12" t="str">
        <x:v>{'LVH': 35.0, 'SR': 0.0}</x:v>
      </x:c>
      <x:c r="I1141" s="12" t="str">
        <x:v>[('NSR', 100.0), ('NML', 100.0)]</x:v>
      </x:c>
      <x:c r="J1141" s="12" t="str">
        <x:v>ptbxl_database.csv；ecg_id=10205；scp_codes</x:v>
      </x:c>
      <x:c r="K1141" s="12" t="str">
        <x:v>12sl_statements.csv；ecg_id=10205；statements_ext_snomed</x:v>
      </x:c>
      <x:c r="L1141" s="12"/>
      <x:c r="M1141" s="12" t="str">
        <x:v>negative</x:v>
      </x:c>
      <x:c r="N1141" s="12"/>
      <x:c r="O1141" s="12" t="str">
        <x:v>negative</x:v>
      </x:c>
      <x:c r="P1141" s="12" t="str">
        <x:f>IF(OR(M1141="unavailable",O1141="unavailable"),"不可评价",IF(OR(M1141="equivocal",O1141="equivocal"),"疑似",IF(AND(M1141="positive",O1141="positive"),"a",IF(O1141="positive","b",IF(M1141="positive","c","d")))))</x:f>
        <x:v>d</x:v>
      </x:c>
      <x:c r="Q1141" s="12"/>
      <x:c r="R1141" s="12" t="str">
        <x:v>negative</x:v>
      </x:c>
      <x:c r="S1141" s="12"/>
      <x:c r="T1141" s="12" t="str">
        <x:v>negative</x:v>
      </x:c>
      <x:c r="U1141" s="12" t="str">
        <x:f>IF(OR(R1141="unavailable",T1141="unavailable"),"不可评价",IF(OR(R1141="equivocal",T1141="equivocal"),"疑似",IF(AND(R1141="positive",T1141="positive"),"a",IF(T1141="positive","b",IF(R1141="positive","c","d")))))</x:f>
        <x:v>d</x:v>
      </x:c>
      <x:c r="V1141" s="12"/>
      <x:c r="W1141" s="12" t="str">
        <x:v>negative</x:v>
      </x:c>
      <x:c r="X1141" s="12"/>
      <x:c r="Y1141" s="12" t="str">
        <x:v>negative</x:v>
      </x:c>
      <x:c r="Z1141" s="12" t="str">
        <x:f>IF(OR(W1141="unavailable",Y1141="unavailable"),"不可评价",IF(OR(W1141="equivocal",Y1141="equivocal"),"疑似",IF(AND(W1141="positive",Y1141="positive"),"a",IF(Y1141="positive","b",IF(W1141="positive","c","d")))))</x:f>
        <x:v>d</x:v>
      </x:c>
      <x:c r="AA1141" s="12" t="str">
        <x:f>IF(OR(M1141="unavailable",O1141="unavailable"),"不可评价",IF(AND(OR(M1141="positive",M1141="equivocal"),OR(O1141="positive",O1141="equivocal")),"a",IF(OR(O1141="positive",O1141="equivocal"),"b",IF(OR(M1141="positive",M1141="equivocal"),"c","d"))))</x:f>
        <x:v>d</x:v>
      </x:c>
      <x:c r="AB1141" s="12" t="str">
        <x:f>IF(OR(M1141="unavailable",O1141="unavailable"),"不可评价",IF(AND(M1141="positive",O1141="positive"),"a",IF(O1141="positive","b",IF(M1141="positive","c","d"))))</x:f>
        <x:v>d</x:v>
      </x:c>
      <x:c r="AC1141" s="12" t="str">
        <x:f>IF(OR(R1141="unavailable",T1141="unavailable"),"不可评价",IF(AND(OR(R1141="positive",R1141="equivocal"),OR(T1141="positive",T1141="equivocal")),"a",IF(OR(T1141="positive",T1141="equivocal"),"b",IF(OR(R1141="positive",R1141="equivocal"),"c","d"))))</x:f>
        <x:v>d</x:v>
      </x:c>
      <x:c r="AD1141" s="12" t="str">
        <x:f>IF(OR(R1141="unavailable",T1141="unavailable"),"不可评价",IF(AND(R1141="positive",T1141="positive"),"a",IF(T1141="positive","b",IF(R1141="positive","c","d"))))</x:f>
        <x:v>d</x:v>
      </x:c>
      <x:c r="AE1141" s="12" t="str">
        <x:f>IF(OR(W1141="unavailable",Y1141="unavailable"),"不可评价",IF(AND(OR(W1141="positive",W1141="equivocal"),OR(Y1141="positive",Y1141="equivocal")),"a",IF(OR(Y1141="positive",Y1141="equivocal"),"b",IF(OR(W1141="positive",W1141="equivocal"),"c","d"))))</x:f>
        <x:v>d</x:v>
      </x:c>
      <x:c r="AF1141" s="12" t="str">
        <x:f>IF(OR(W1141="unavailable",Y1141="unavailable"),"不可评价",IF(AND(W1141="positive",Y1141="positive"),"a",IF(Y1141="positive","b",IF(W1141="positive","c","d"))))</x:f>
        <x:v>d</x:v>
      </x:c>
    </x:row>
    <x:row r="1142" ht="24" customHeight="1">
      <x:c r="A1142" s="12" t="str">
        <x:v>10206</x:v>
      </x:c>
      <x:c r="B1142" s="12" t="str">
        <x:v>18533</x:v>
      </x:c>
      <x:c r="C1142" s="21" t="n">
        <x:v>34107.73247685185</x:v>
      </x:c>
      <x:c r="D1142" s="12" t="n">
        <x:v>52</x:v>
      </x:c>
      <x:c r="E1142" s="12" t="n">
        <x:v>0</x:v>
      </x:c>
      <x:c r="F1142" s="12" t="str">
        <x:v>未记录</x:v>
      </x:c>
      <x:c r="G1142" s="12" t="n">
        <x:v>1</x:v>
      </x:c>
      <x:c r="H1142" s="12" t="str">
        <x:v>{'NORM': 100.0, 'SR': 0.0}</x:v>
      </x:c>
      <x:c r="I1142" s="12" t="str">
        <x:v>[('NSR', 100.0), ('NML', 100.0)]</x:v>
      </x:c>
      <x:c r="J1142" s="12" t="str">
        <x:v>ptbxl_database.csv；ecg_id=10206；scp_codes</x:v>
      </x:c>
      <x:c r="K1142" s="12" t="str">
        <x:v>12sl_statements.csv；ecg_id=10206；statements_ext_snomed</x:v>
      </x:c>
      <x:c r="L1142" s="12"/>
      <x:c r="M1142" s="12" t="str">
        <x:v>negative</x:v>
      </x:c>
      <x:c r="N1142" s="12"/>
      <x:c r="O1142" s="12" t="str">
        <x:v>negative</x:v>
      </x:c>
      <x:c r="P1142" s="12" t="str">
        <x:f>IF(OR(M1142="unavailable",O1142="unavailable"),"不可评价",IF(OR(M1142="equivocal",O1142="equivocal"),"疑似",IF(AND(M1142="positive",O1142="positive"),"a",IF(O1142="positive","b",IF(M1142="positive","c","d")))))</x:f>
        <x:v>d</x:v>
      </x:c>
      <x:c r="Q1142" s="12"/>
      <x:c r="R1142" s="12" t="str">
        <x:v>negative</x:v>
      </x:c>
      <x:c r="S1142" s="12"/>
      <x:c r="T1142" s="12" t="str">
        <x:v>negative</x:v>
      </x:c>
      <x:c r="U1142" s="12" t="str">
        <x:f>IF(OR(R1142="unavailable",T1142="unavailable"),"不可评价",IF(OR(R1142="equivocal",T1142="equivocal"),"疑似",IF(AND(R1142="positive",T1142="positive"),"a",IF(T1142="positive","b",IF(R1142="positive","c","d")))))</x:f>
        <x:v>d</x:v>
      </x:c>
      <x:c r="V1142" s="12"/>
      <x:c r="W1142" s="12" t="str">
        <x:v>negative</x:v>
      </x:c>
      <x:c r="X1142" s="12"/>
      <x:c r="Y1142" s="12" t="str">
        <x:v>negative</x:v>
      </x:c>
      <x:c r="Z1142" s="12" t="str">
        <x:f>IF(OR(W1142="unavailable",Y1142="unavailable"),"不可评价",IF(OR(W1142="equivocal",Y1142="equivocal"),"疑似",IF(AND(W1142="positive",Y1142="positive"),"a",IF(Y1142="positive","b",IF(W1142="positive","c","d")))))</x:f>
        <x:v>d</x:v>
      </x:c>
      <x:c r="AA1142" s="12" t="str">
        <x:f>IF(OR(M1142="unavailable",O1142="unavailable"),"不可评价",IF(AND(OR(M1142="positive",M1142="equivocal"),OR(O1142="positive",O1142="equivocal")),"a",IF(OR(O1142="positive",O1142="equivocal"),"b",IF(OR(M1142="positive",M1142="equivocal"),"c","d"))))</x:f>
        <x:v>d</x:v>
      </x:c>
      <x:c r="AB1142" s="12" t="str">
        <x:f>IF(OR(M1142="unavailable",O1142="unavailable"),"不可评价",IF(AND(M1142="positive",O1142="positive"),"a",IF(O1142="positive","b",IF(M1142="positive","c","d"))))</x:f>
        <x:v>d</x:v>
      </x:c>
      <x:c r="AC1142" s="12" t="str">
        <x:f>IF(OR(R1142="unavailable",T1142="unavailable"),"不可评价",IF(AND(OR(R1142="positive",R1142="equivocal"),OR(T1142="positive",T1142="equivocal")),"a",IF(OR(T1142="positive",T1142="equivocal"),"b",IF(OR(R1142="positive",R1142="equivocal"),"c","d"))))</x:f>
        <x:v>d</x:v>
      </x:c>
      <x:c r="AD1142" s="12" t="str">
        <x:f>IF(OR(R1142="unavailable",T1142="unavailable"),"不可评价",IF(AND(R1142="positive",T1142="positive"),"a",IF(T1142="positive","b",IF(R1142="positive","c","d"))))</x:f>
        <x:v>d</x:v>
      </x:c>
      <x:c r="AE1142" s="12" t="str">
        <x:f>IF(OR(W1142="unavailable",Y1142="unavailable"),"不可评价",IF(AND(OR(W1142="positive",W1142="equivocal"),OR(Y1142="positive",Y1142="equivocal")),"a",IF(OR(Y1142="positive",Y1142="equivocal"),"b",IF(OR(W1142="positive",W1142="equivocal"),"c","d"))))</x:f>
        <x:v>d</x:v>
      </x:c>
      <x:c r="AF1142" s="12" t="str">
        <x:f>IF(OR(W1142="unavailable",Y1142="unavailable"),"不可评价",IF(AND(W1142="positive",Y1142="positive"),"a",IF(Y1142="positive","b",IF(W1142="positive","c","d"))))</x:f>
        <x:v>d</x:v>
      </x:c>
    </x:row>
    <x:row r="1143" ht="24" customHeight="1">
      <x:c r="A1143" s="12" t="str">
        <x:v>10207</x:v>
      </x:c>
      <x:c r="B1143" s="12" t="str">
        <x:v>17568</x:v>
      </x:c>
      <x:c r="C1143" s="21" t="n">
        <x:v>34108.665</x:v>
      </x:c>
      <x:c r="D1143" s="12" t="n">
        <x:v>74</x:v>
      </x:c>
      <x:c r="E1143" s="12" t="n">
        <x:v>0</x:v>
      </x:c>
      <x:c r="F1143" s="12" t="str">
        <x:v>未记录</x:v>
      </x:c>
      <x:c r="G1143" s="12" t="n">
        <x:v>1</x:v>
      </x:c>
      <x:c r="H1143" s="12" t="str">
        <x:v>{'ASMI': 15.0, 'LAFB': 100.0, 'PVC': 100.0, 'STACH': 0.0}</x:v>
      </x:c>
      <x:c r="I1143" s="12" t="str">
        <x:v>[('STACH', 100.0), ('PVC', 100.0), ('LAD3', 100.0), ('AMI;AU', 100.0), ('AB', 100.0)]</x:v>
      </x:c>
      <x:c r="J1143" s="12" t="str">
        <x:v>ptbxl_database.csv；ecg_id=10207；scp_codes</x:v>
      </x:c>
      <x:c r="K1143" s="12" t="str">
        <x:v>12sl_statements.csv；ecg_id=10207；statements_ext_snomed</x:v>
      </x:c>
      <x:c r="L1143" s="12"/>
      <x:c r="M1143" s="12" t="str">
        <x:v>negative</x:v>
      </x:c>
      <x:c r="N1143" s="12"/>
      <x:c r="O1143" s="12" t="str">
        <x:v>negative</x:v>
      </x:c>
      <x:c r="P1143" s="12" t="str">
        <x:f>IF(OR(M1143="unavailable",O1143="unavailable"),"不可评价",IF(OR(M1143="equivocal",O1143="equivocal"),"疑似",IF(AND(M1143="positive",O1143="positive"),"a",IF(O1143="positive","b",IF(M1143="positive","c","d")))))</x:f>
        <x:v>d</x:v>
      </x:c>
      <x:c r="Q1143" s="12"/>
      <x:c r="R1143" s="12" t="str">
        <x:v>negative</x:v>
      </x:c>
      <x:c r="S1143" s="12"/>
      <x:c r="T1143" s="12" t="str">
        <x:v>negative</x:v>
      </x:c>
      <x:c r="U1143" s="12" t="str">
        <x:f>IF(OR(R1143="unavailable",T1143="unavailable"),"不可评价",IF(OR(R1143="equivocal",T1143="equivocal"),"疑似",IF(AND(R1143="positive",T1143="positive"),"a",IF(T1143="positive","b",IF(R1143="positive","c","d")))))</x:f>
        <x:v>d</x:v>
      </x:c>
      <x:c r="V1143" s="12"/>
      <x:c r="W1143" s="12" t="str">
        <x:v>negative</x:v>
      </x:c>
      <x:c r="X1143" s="12"/>
      <x:c r="Y1143" s="12" t="str">
        <x:v>negative</x:v>
      </x:c>
      <x:c r="Z1143" s="12" t="str">
        <x:f>IF(OR(W1143="unavailable",Y1143="unavailable"),"不可评价",IF(OR(W1143="equivocal",Y1143="equivocal"),"疑似",IF(AND(W1143="positive",Y1143="positive"),"a",IF(Y1143="positive","b",IF(W1143="positive","c","d")))))</x:f>
        <x:v>d</x:v>
      </x:c>
      <x:c r="AA1143" s="12" t="str">
        <x:f>IF(OR(M1143="unavailable",O1143="unavailable"),"不可评价",IF(AND(OR(M1143="positive",M1143="equivocal"),OR(O1143="positive",O1143="equivocal")),"a",IF(OR(O1143="positive",O1143="equivocal"),"b",IF(OR(M1143="positive",M1143="equivocal"),"c","d"))))</x:f>
        <x:v>d</x:v>
      </x:c>
      <x:c r="AB1143" s="12" t="str">
        <x:f>IF(OR(M1143="unavailable",O1143="unavailable"),"不可评价",IF(AND(M1143="positive",O1143="positive"),"a",IF(O1143="positive","b",IF(M1143="positive","c","d"))))</x:f>
        <x:v>d</x:v>
      </x:c>
      <x:c r="AC1143" s="12" t="str">
        <x:f>IF(OR(R1143="unavailable",T1143="unavailable"),"不可评价",IF(AND(OR(R1143="positive",R1143="equivocal"),OR(T1143="positive",T1143="equivocal")),"a",IF(OR(T1143="positive",T1143="equivocal"),"b",IF(OR(R1143="positive",R1143="equivocal"),"c","d"))))</x:f>
        <x:v>d</x:v>
      </x:c>
      <x:c r="AD1143" s="12" t="str">
        <x:f>IF(OR(R1143="unavailable",T1143="unavailable"),"不可评价",IF(AND(R1143="positive",T1143="positive"),"a",IF(T1143="positive","b",IF(R1143="positive","c","d"))))</x:f>
        <x:v>d</x:v>
      </x:c>
      <x:c r="AE1143" s="12" t="str">
        <x:f>IF(OR(W1143="unavailable",Y1143="unavailable"),"不可评价",IF(AND(OR(W1143="positive",W1143="equivocal"),OR(Y1143="positive",Y1143="equivocal")),"a",IF(OR(Y1143="positive",Y1143="equivocal"),"b",IF(OR(W1143="positive",W1143="equivocal"),"c","d"))))</x:f>
        <x:v>d</x:v>
      </x:c>
      <x:c r="AF1143" s="12" t="str">
        <x:f>IF(OR(W1143="unavailable",Y1143="unavailable"),"不可评价",IF(AND(W1143="positive",Y1143="positive"),"a",IF(Y1143="positive","b",IF(W1143="positive","c","d"))))</x:f>
        <x:v>d</x:v>
      </x:c>
    </x:row>
    <x:row r="1144" ht="24" customHeight="1">
      <x:c r="A1144" s="12" t="str">
        <x:v>10210</x:v>
      </x:c>
      <x:c r="B1144" s="12" t="str">
        <x:v>17381</x:v>
      </x:c>
      <x:c r="C1144" s="21" t="n">
        <x:v>34110.61246527778</x:v>
      </x:c>
      <x:c r="D1144" s="12" t="n">
        <x:v>54</x:v>
      </x:c>
      <x:c r="E1144" s="12" t="n">
        <x:v>1</x:v>
      </x:c>
      <x:c r="F1144" s="12" t="str">
        <x:v>存在</x:v>
      </x:c>
      <x:c r="G1144" s="12" t="n">
        <x:v>1</x:v>
      </x:c>
      <x:c r="H1144" s="12" t="str">
        <x:v>{'IMI': 15.0, 'ABQRS': 0.0, 'SR': 0.0}</x:v>
      </x:c>
      <x:c r="I1144" s="12" t="str">
        <x:v>[('SRTH', 100.0), ('PAC', 100.0), ('$SABCOND', 100.0), ('ABR', 100.0)]</x:v>
      </x:c>
      <x:c r="J1144" s="12" t="str">
        <x:v>ptbxl_database.csv；ecg_id=10210；scp_codes</x:v>
      </x:c>
      <x:c r="K1144" s="12" t="str">
        <x:v>12sl_statements.csv；ecg_id=10210；statements_ext_snomed</x:v>
      </x:c>
      <x:c r="L1144" s="12"/>
      <x:c r="M1144" s="12" t="str">
        <x:v>negative</x:v>
      </x:c>
      <x:c r="N1144" s="12"/>
      <x:c r="O1144" s="12" t="str">
        <x:v>negative</x:v>
      </x:c>
      <x:c r="P1144" s="12" t="str">
        <x:f>IF(OR(M1144="unavailable",O1144="unavailable"),"不可评价",IF(OR(M1144="equivocal",O1144="equivocal"),"疑似",IF(AND(M1144="positive",O1144="positive"),"a",IF(O1144="positive","b",IF(M1144="positive","c","d")))))</x:f>
        <x:v>d</x:v>
      </x:c>
      <x:c r="Q1144" s="12"/>
      <x:c r="R1144" s="12" t="str">
        <x:v>negative</x:v>
      </x:c>
      <x:c r="S1144" s="12"/>
      <x:c r="T1144" s="12" t="str">
        <x:v>negative</x:v>
      </x:c>
      <x:c r="U1144" s="12" t="str">
        <x:f>IF(OR(R1144="unavailable",T1144="unavailable"),"不可评价",IF(OR(R1144="equivocal",T1144="equivocal"),"疑似",IF(AND(R1144="positive",T1144="positive"),"a",IF(T1144="positive","b",IF(R1144="positive","c","d")))))</x:f>
        <x:v>d</x:v>
      </x:c>
      <x:c r="V1144" s="12"/>
      <x:c r="W1144" s="12" t="str">
        <x:v>negative</x:v>
      </x:c>
      <x:c r="X1144" s="12"/>
      <x:c r="Y1144" s="12" t="str">
        <x:v>negative</x:v>
      </x:c>
      <x:c r="Z1144" s="12" t="str">
        <x:f>IF(OR(W1144="unavailable",Y1144="unavailable"),"不可评价",IF(OR(W1144="equivocal",Y1144="equivocal"),"疑似",IF(AND(W1144="positive",Y1144="positive"),"a",IF(Y1144="positive","b",IF(W1144="positive","c","d")))))</x:f>
        <x:v>d</x:v>
      </x:c>
      <x:c r="AA1144" s="12" t="str">
        <x:f>IF(OR(M1144="unavailable",O1144="unavailable"),"不可评价",IF(AND(OR(M1144="positive",M1144="equivocal"),OR(O1144="positive",O1144="equivocal")),"a",IF(OR(O1144="positive",O1144="equivocal"),"b",IF(OR(M1144="positive",M1144="equivocal"),"c","d"))))</x:f>
        <x:v>d</x:v>
      </x:c>
      <x:c r="AB1144" s="12" t="str">
        <x:f>IF(OR(M1144="unavailable",O1144="unavailable"),"不可评价",IF(AND(M1144="positive",O1144="positive"),"a",IF(O1144="positive","b",IF(M1144="positive","c","d"))))</x:f>
        <x:v>d</x:v>
      </x:c>
      <x:c r="AC1144" s="12" t="str">
        <x:f>IF(OR(R1144="unavailable",T1144="unavailable"),"不可评价",IF(AND(OR(R1144="positive",R1144="equivocal"),OR(T1144="positive",T1144="equivocal")),"a",IF(OR(T1144="positive",T1144="equivocal"),"b",IF(OR(R1144="positive",R1144="equivocal"),"c","d"))))</x:f>
        <x:v>d</x:v>
      </x:c>
      <x:c r="AD1144" s="12" t="str">
        <x:f>IF(OR(R1144="unavailable",T1144="unavailable"),"不可评价",IF(AND(R1144="positive",T1144="positive"),"a",IF(T1144="positive","b",IF(R1144="positive","c","d"))))</x:f>
        <x:v>d</x:v>
      </x:c>
      <x:c r="AE1144" s="12" t="str">
        <x:f>IF(OR(W1144="unavailable",Y1144="unavailable"),"不可评价",IF(AND(OR(W1144="positive",W1144="equivocal"),OR(Y1144="positive",Y1144="equivocal")),"a",IF(OR(Y1144="positive",Y1144="equivocal"),"b",IF(OR(W1144="positive",W1144="equivocal"),"c","d"))))</x:f>
        <x:v>d</x:v>
      </x:c>
      <x:c r="AF1144" s="12" t="str">
        <x:f>IF(OR(W1144="unavailable",Y1144="unavailable"),"不可评价",IF(AND(W1144="positive",Y1144="positive"),"a",IF(Y1144="positive","b",IF(W1144="positive","c","d"))))</x:f>
        <x:v>d</x:v>
      </x:c>
    </x:row>
    <x:row r="1145" ht="24" customHeight="1">
      <x:c r="A1145" s="12" t="str">
        <x:v>10214</x:v>
      </x:c>
      <x:c r="B1145" s="12" t="str">
        <x:v>11449</x:v>
      </x:c>
      <x:c r="C1145" s="21" t="n">
        <x:v>34113.71355324074</x:v>
      </x:c>
      <x:c r="D1145" s="12" t="n">
        <x:v>51</x:v>
      </x:c>
      <x:c r="E1145" s="12" t="n">
        <x:v>0</x:v>
      </x:c>
      <x:c r="F1145" s="12" t="str">
        <x:v>未记录</x:v>
      </x:c>
      <x:c r="G1145" s="12" t="n">
        <x:v>1</x:v>
      </x:c>
      <x:c r="H1145" s="12" t="str">
        <x:v>{'NORM': 50.0, 'SR': 0.0}</x:v>
      </x:c>
      <x:c r="I1145" s="12" t="str">
        <x:v>[('SRTH', 100.0), ('PAC', 100.0), ('$SABCOND', 100.0), ('ABR', 100.0)]</x:v>
      </x:c>
      <x:c r="J1145" s="12" t="str">
        <x:v>ptbxl_database.csv；ecg_id=10214；scp_codes</x:v>
      </x:c>
      <x:c r="K1145" s="12" t="str">
        <x:v>12sl_statements.csv；ecg_id=10214；statements_ext_snomed</x:v>
      </x:c>
      <x:c r="L1145" s="12"/>
      <x:c r="M1145" s="12" t="str">
        <x:v>negative</x:v>
      </x:c>
      <x:c r="N1145" s="12"/>
      <x:c r="O1145" s="12" t="str">
        <x:v>negative</x:v>
      </x:c>
      <x:c r="P1145" s="12" t="str">
        <x:f>IF(OR(M1145="unavailable",O1145="unavailable"),"不可评价",IF(OR(M1145="equivocal",O1145="equivocal"),"疑似",IF(AND(M1145="positive",O1145="positive"),"a",IF(O1145="positive","b",IF(M1145="positive","c","d")))))</x:f>
        <x:v>d</x:v>
      </x:c>
      <x:c r="Q1145" s="12"/>
      <x:c r="R1145" s="12" t="str">
        <x:v>negative</x:v>
      </x:c>
      <x:c r="S1145" s="12"/>
      <x:c r="T1145" s="12" t="str">
        <x:v>negative</x:v>
      </x:c>
      <x:c r="U1145" s="12" t="str">
        <x:f>IF(OR(R1145="unavailable",T1145="unavailable"),"不可评价",IF(OR(R1145="equivocal",T1145="equivocal"),"疑似",IF(AND(R1145="positive",T1145="positive"),"a",IF(T1145="positive","b",IF(R1145="positive","c","d")))))</x:f>
        <x:v>d</x:v>
      </x:c>
      <x:c r="V1145" s="12"/>
      <x:c r="W1145" s="12" t="str">
        <x:v>negative</x:v>
      </x:c>
      <x:c r="X1145" s="12"/>
      <x:c r="Y1145" s="12" t="str">
        <x:v>negative</x:v>
      </x:c>
      <x:c r="Z1145" s="12" t="str">
        <x:f>IF(OR(W1145="unavailable",Y1145="unavailable"),"不可评价",IF(OR(W1145="equivocal",Y1145="equivocal"),"疑似",IF(AND(W1145="positive",Y1145="positive"),"a",IF(Y1145="positive","b",IF(W1145="positive","c","d")))))</x:f>
        <x:v>d</x:v>
      </x:c>
      <x:c r="AA1145" s="12" t="str">
        <x:f>IF(OR(M1145="unavailable",O1145="unavailable"),"不可评价",IF(AND(OR(M1145="positive",M1145="equivocal"),OR(O1145="positive",O1145="equivocal")),"a",IF(OR(O1145="positive",O1145="equivocal"),"b",IF(OR(M1145="positive",M1145="equivocal"),"c","d"))))</x:f>
        <x:v>d</x:v>
      </x:c>
      <x:c r="AB1145" s="12" t="str">
        <x:f>IF(OR(M1145="unavailable",O1145="unavailable"),"不可评价",IF(AND(M1145="positive",O1145="positive"),"a",IF(O1145="positive","b",IF(M1145="positive","c","d"))))</x:f>
        <x:v>d</x:v>
      </x:c>
      <x:c r="AC1145" s="12" t="str">
        <x:f>IF(OR(R1145="unavailable",T1145="unavailable"),"不可评价",IF(AND(OR(R1145="positive",R1145="equivocal"),OR(T1145="positive",T1145="equivocal")),"a",IF(OR(T1145="positive",T1145="equivocal"),"b",IF(OR(R1145="positive",R1145="equivocal"),"c","d"))))</x:f>
        <x:v>d</x:v>
      </x:c>
      <x:c r="AD1145" s="12" t="str">
        <x:f>IF(OR(R1145="unavailable",T1145="unavailable"),"不可评价",IF(AND(R1145="positive",T1145="positive"),"a",IF(T1145="positive","b",IF(R1145="positive","c","d"))))</x:f>
        <x:v>d</x:v>
      </x:c>
      <x:c r="AE1145" s="12" t="str">
        <x:f>IF(OR(W1145="unavailable",Y1145="unavailable"),"不可评价",IF(AND(OR(W1145="positive",W1145="equivocal"),OR(Y1145="positive",Y1145="equivocal")),"a",IF(OR(Y1145="positive",Y1145="equivocal"),"b",IF(OR(W1145="positive",W1145="equivocal"),"c","d"))))</x:f>
        <x:v>d</x:v>
      </x:c>
      <x:c r="AF1145" s="12" t="str">
        <x:f>IF(OR(W1145="unavailable",Y1145="unavailable"),"不可评价",IF(AND(W1145="positive",Y1145="positive"),"a",IF(Y1145="positive","b",IF(W1145="positive","c","d"))))</x:f>
        <x:v>d</x:v>
      </x:c>
    </x:row>
    <x:row r="1146" ht="24" customHeight="1">
      <x:c r="A1146" s="12" t="str">
        <x:v>10215</x:v>
      </x:c>
      <x:c r="B1146" s="12" t="str">
        <x:v>18811</x:v>
      </x:c>
      <x:c r="C1146" s="21" t="n">
        <x:v>34114.34644675926</x:v>
      </x:c>
      <x:c r="D1146" s="12" t="n">
        <x:v>22</x:v>
      </x:c>
      <x:c r="E1146" s="12" t="n">
        <x:v>1</x:v>
      </x:c>
      <x:c r="F1146" s="12" t="str">
        <x:v>未记录</x:v>
      </x:c>
      <x:c r="G1146" s="12" t="n">
        <x:v>1</x:v>
      </x:c>
      <x:c r="H1146" s="12" t="str">
        <x:v>{'NORM': 100.0, 'SR': 0.0}</x:v>
      </x:c>
      <x:c r="I1146" s="12" t="str">
        <x:v>[('NSR', 100.0), ('SAR', 100.0), ('NML', 100.0)]</x:v>
      </x:c>
      <x:c r="J1146" s="12" t="str">
        <x:v>ptbxl_database.csv；ecg_id=10215；scp_codes</x:v>
      </x:c>
      <x:c r="K1146" s="12" t="str">
        <x:v>12sl_statements.csv；ecg_id=10215；statements_ext_snomed</x:v>
      </x:c>
      <x:c r="L1146" s="12"/>
      <x:c r="M1146" s="12" t="str">
        <x:v>negative</x:v>
      </x:c>
      <x:c r="N1146" s="12"/>
      <x:c r="O1146" s="12" t="str">
        <x:v>negative</x:v>
      </x:c>
      <x:c r="P1146" s="12" t="str">
        <x:f>IF(OR(M1146="unavailable",O1146="unavailable"),"不可评价",IF(OR(M1146="equivocal",O1146="equivocal"),"疑似",IF(AND(M1146="positive",O1146="positive"),"a",IF(O1146="positive","b",IF(M1146="positive","c","d")))))</x:f>
        <x:v>d</x:v>
      </x:c>
      <x:c r="Q1146" s="12"/>
      <x:c r="R1146" s="12" t="str">
        <x:v>negative</x:v>
      </x:c>
      <x:c r="S1146" s="12"/>
      <x:c r="T1146" s="12" t="str">
        <x:v>negative</x:v>
      </x:c>
      <x:c r="U1146" s="12" t="str">
        <x:f>IF(OR(R1146="unavailable",T1146="unavailable"),"不可评价",IF(OR(R1146="equivocal",T1146="equivocal"),"疑似",IF(AND(R1146="positive",T1146="positive"),"a",IF(T1146="positive","b",IF(R1146="positive","c","d")))))</x:f>
        <x:v>d</x:v>
      </x:c>
      <x:c r="V1146" s="12"/>
      <x:c r="W1146" s="12" t="str">
        <x:v>negative</x:v>
      </x:c>
      <x:c r="X1146" s="12"/>
      <x:c r="Y1146" s="12" t="str">
        <x:v>negative</x:v>
      </x:c>
      <x:c r="Z1146" s="12" t="str">
        <x:f>IF(OR(W1146="unavailable",Y1146="unavailable"),"不可评价",IF(OR(W1146="equivocal",Y1146="equivocal"),"疑似",IF(AND(W1146="positive",Y1146="positive"),"a",IF(Y1146="positive","b",IF(W1146="positive","c","d")))))</x:f>
        <x:v>d</x:v>
      </x:c>
      <x:c r="AA1146" s="12" t="str">
        <x:f>IF(OR(M1146="unavailable",O1146="unavailable"),"不可评价",IF(AND(OR(M1146="positive",M1146="equivocal"),OR(O1146="positive",O1146="equivocal")),"a",IF(OR(O1146="positive",O1146="equivocal"),"b",IF(OR(M1146="positive",M1146="equivocal"),"c","d"))))</x:f>
        <x:v>d</x:v>
      </x:c>
      <x:c r="AB1146" s="12" t="str">
        <x:f>IF(OR(M1146="unavailable",O1146="unavailable"),"不可评价",IF(AND(M1146="positive",O1146="positive"),"a",IF(O1146="positive","b",IF(M1146="positive","c","d"))))</x:f>
        <x:v>d</x:v>
      </x:c>
      <x:c r="AC1146" s="12" t="str">
        <x:f>IF(OR(R1146="unavailable",T1146="unavailable"),"不可评价",IF(AND(OR(R1146="positive",R1146="equivocal"),OR(T1146="positive",T1146="equivocal")),"a",IF(OR(T1146="positive",T1146="equivocal"),"b",IF(OR(R1146="positive",R1146="equivocal"),"c","d"))))</x:f>
        <x:v>d</x:v>
      </x:c>
      <x:c r="AD1146" s="12" t="str">
        <x:f>IF(OR(R1146="unavailable",T1146="unavailable"),"不可评价",IF(AND(R1146="positive",T1146="positive"),"a",IF(T1146="positive","b",IF(R1146="positive","c","d"))))</x:f>
        <x:v>d</x:v>
      </x:c>
      <x:c r="AE1146" s="12" t="str">
        <x:f>IF(OR(W1146="unavailable",Y1146="unavailable"),"不可评价",IF(AND(OR(W1146="positive",W1146="equivocal"),OR(Y1146="positive",Y1146="equivocal")),"a",IF(OR(Y1146="positive",Y1146="equivocal"),"b",IF(OR(W1146="positive",W1146="equivocal"),"c","d"))))</x:f>
        <x:v>d</x:v>
      </x:c>
      <x:c r="AF1146" s="12" t="str">
        <x:f>IF(OR(W1146="unavailable",Y1146="unavailable"),"不可评价",IF(AND(W1146="positive",Y1146="positive"),"a",IF(Y1146="positive","b",IF(W1146="positive","c","d"))))</x:f>
        <x:v>d</x:v>
      </x:c>
    </x:row>
    <x:row r="1147" ht="24" customHeight="1">
      <x:c r="A1147" s="12" t="str">
        <x:v>10238</x:v>
      </x:c>
      <x:c r="B1147" s="12" t="str">
        <x:v>16384</x:v>
      </x:c>
      <x:c r="C1147" s="21" t="n">
        <x:v>34124.01043981482</x:v>
      </x:c>
      <x:c r="D1147" s="12" t="n">
        <x:v>76</x:v>
      </x:c>
      <x:c r="E1147" s="12" t="n">
        <x:v>0</x:v>
      </x:c>
      <x:c r="F1147" s="12" t="str">
        <x:v>存在</x:v>
      </x:c>
      <x:c r="G1147" s="12" t="n">
        <x:v>1</x:v>
      </x:c>
      <x:c r="H1147" s="12" t="str">
        <x:v>{'NORM': 100.0, 'ABQRS': 0.0, 'SR': 0.0}</x:v>
      </x:c>
      <x:c r="I1147" s="12" t="str">
        <x:v>[('NSR', 100.0), ('NML', 100.0)]</x:v>
      </x:c>
      <x:c r="J1147" s="12" t="str">
        <x:v>ptbxl_database.csv；ecg_id=10238；scp_codes</x:v>
      </x:c>
      <x:c r="K1147" s="12" t="str">
        <x:v>12sl_statements.csv；ecg_id=10238；statements_ext_snomed</x:v>
      </x:c>
      <x:c r="L1147" s="12"/>
      <x:c r="M1147" s="12" t="str">
        <x:v>negative</x:v>
      </x:c>
      <x:c r="N1147" s="12"/>
      <x:c r="O1147" s="12" t="str">
        <x:v>negative</x:v>
      </x:c>
      <x:c r="P1147" s="12" t="str">
        <x:f>IF(OR(M1147="unavailable",O1147="unavailable"),"不可评价",IF(OR(M1147="equivocal",O1147="equivocal"),"疑似",IF(AND(M1147="positive",O1147="positive"),"a",IF(O1147="positive","b",IF(M1147="positive","c","d")))))</x:f>
        <x:v>d</x:v>
      </x:c>
      <x:c r="Q1147" s="12"/>
      <x:c r="R1147" s="12" t="str">
        <x:v>negative</x:v>
      </x:c>
      <x:c r="S1147" s="12"/>
      <x:c r="T1147" s="12" t="str">
        <x:v>negative</x:v>
      </x:c>
      <x:c r="U1147" s="12" t="str">
        <x:f>IF(OR(R1147="unavailable",T1147="unavailable"),"不可评价",IF(OR(R1147="equivocal",T1147="equivocal"),"疑似",IF(AND(R1147="positive",T1147="positive"),"a",IF(T1147="positive","b",IF(R1147="positive","c","d")))))</x:f>
        <x:v>d</x:v>
      </x:c>
      <x:c r="V1147" s="12"/>
      <x:c r="W1147" s="12" t="str">
        <x:v>negative</x:v>
      </x:c>
      <x:c r="X1147" s="12"/>
      <x:c r="Y1147" s="12" t="str">
        <x:v>negative</x:v>
      </x:c>
      <x:c r="Z1147" s="12" t="str">
        <x:f>IF(OR(W1147="unavailable",Y1147="unavailable"),"不可评价",IF(OR(W1147="equivocal",Y1147="equivocal"),"疑似",IF(AND(W1147="positive",Y1147="positive"),"a",IF(Y1147="positive","b",IF(W1147="positive","c","d")))))</x:f>
        <x:v>d</x:v>
      </x:c>
      <x:c r="AA1147" s="12" t="str">
        <x:f>IF(OR(M1147="unavailable",O1147="unavailable"),"不可评价",IF(AND(OR(M1147="positive",M1147="equivocal"),OR(O1147="positive",O1147="equivocal")),"a",IF(OR(O1147="positive",O1147="equivocal"),"b",IF(OR(M1147="positive",M1147="equivocal"),"c","d"))))</x:f>
        <x:v>d</x:v>
      </x:c>
      <x:c r="AB1147" s="12" t="str">
        <x:f>IF(OR(M1147="unavailable",O1147="unavailable"),"不可评价",IF(AND(M1147="positive",O1147="positive"),"a",IF(O1147="positive","b",IF(M1147="positive","c","d"))))</x:f>
        <x:v>d</x:v>
      </x:c>
      <x:c r="AC1147" s="12" t="str">
        <x:f>IF(OR(R1147="unavailable",T1147="unavailable"),"不可评价",IF(AND(OR(R1147="positive",R1147="equivocal"),OR(T1147="positive",T1147="equivocal")),"a",IF(OR(T1147="positive",T1147="equivocal"),"b",IF(OR(R1147="positive",R1147="equivocal"),"c","d"))))</x:f>
        <x:v>d</x:v>
      </x:c>
      <x:c r="AD1147" s="12" t="str">
        <x:f>IF(OR(R1147="unavailable",T1147="unavailable"),"不可评价",IF(AND(R1147="positive",T1147="positive"),"a",IF(T1147="positive","b",IF(R1147="positive","c","d"))))</x:f>
        <x:v>d</x:v>
      </x:c>
      <x:c r="AE1147" s="12" t="str">
        <x:f>IF(OR(W1147="unavailable",Y1147="unavailable"),"不可评价",IF(AND(OR(W1147="positive",W1147="equivocal"),OR(Y1147="positive",Y1147="equivocal")),"a",IF(OR(Y1147="positive",Y1147="equivocal"),"b",IF(OR(W1147="positive",W1147="equivocal"),"c","d"))))</x:f>
        <x:v>d</x:v>
      </x:c>
      <x:c r="AF1147" s="12" t="str">
        <x:f>IF(OR(W1147="unavailable",Y1147="unavailable"),"不可评价",IF(AND(W1147="positive",Y1147="positive"),"a",IF(Y1147="positive","b",IF(W1147="positive","c","d"))))</x:f>
        <x:v>d</x:v>
      </x:c>
    </x:row>
    <x:row r="1148" ht="24" customHeight="1">
      <x:c r="A1148" s="12" t="str">
        <x:v>10240</x:v>
      </x:c>
      <x:c r="B1148" s="12" t="str">
        <x:v>8776</x:v>
      </x:c>
      <x:c r="C1148" s="21" t="n">
        <x:v>34124.68283564815</x:v>
      </x:c>
      <x:c r="D1148" s="12" t="n">
        <x:v>65</x:v>
      </x:c>
      <x:c r="E1148" s="12" t="n">
        <x:v>0</x:v>
      </x:c>
      <x:c r="F1148" s="12" t="str">
        <x:v>未记录</x:v>
      </x:c>
      <x:c r="G1148" s="12" t="n">
        <x:v>1</x:v>
      </x:c>
      <x:c r="H1148" s="12" t="str">
        <x:v>{'NORM': 35.0, 'PVC': 100.0, 'LVOLT': 0.0}</x:v>
      </x:c>
      <x:c r="I1148" s="12" t="str">
        <x:v>[('STACH', 100.0), ('PVC', 100.0), ('ABR', 100.0)]</x:v>
      </x:c>
      <x:c r="J1148" s="12" t="str">
        <x:v>ptbxl_database.csv；ecg_id=10240；scp_codes</x:v>
      </x:c>
      <x:c r="K1148" s="12" t="str">
        <x:v>12sl_statements.csv；ecg_id=10240；statements_ext_snomed</x:v>
      </x:c>
      <x:c r="L1148" s="12"/>
      <x:c r="M1148" s="12" t="str">
        <x:v>negative</x:v>
      </x:c>
      <x:c r="N1148" s="12"/>
      <x:c r="O1148" s="12" t="str">
        <x:v>negative</x:v>
      </x:c>
      <x:c r="P1148" s="12" t="str">
        <x:f>IF(OR(M1148="unavailable",O1148="unavailable"),"不可评价",IF(OR(M1148="equivocal",O1148="equivocal"),"疑似",IF(AND(M1148="positive",O1148="positive"),"a",IF(O1148="positive","b",IF(M1148="positive","c","d")))))</x:f>
        <x:v>d</x:v>
      </x:c>
      <x:c r="Q1148" s="12"/>
      <x:c r="R1148" s="12" t="str">
        <x:v>negative</x:v>
      </x:c>
      <x:c r="S1148" s="12"/>
      <x:c r="T1148" s="12" t="str">
        <x:v>negative</x:v>
      </x:c>
      <x:c r="U1148" s="12" t="str">
        <x:f>IF(OR(R1148="unavailable",T1148="unavailable"),"不可评价",IF(OR(R1148="equivocal",T1148="equivocal"),"疑似",IF(AND(R1148="positive",T1148="positive"),"a",IF(T1148="positive","b",IF(R1148="positive","c","d")))))</x:f>
        <x:v>d</x:v>
      </x:c>
      <x:c r="V1148" s="12"/>
      <x:c r="W1148" s="12" t="str">
        <x:v>negative</x:v>
      </x:c>
      <x:c r="X1148" s="12"/>
      <x:c r="Y1148" s="12" t="str">
        <x:v>negative</x:v>
      </x:c>
      <x:c r="Z1148" s="12" t="str">
        <x:f>IF(OR(W1148="unavailable",Y1148="unavailable"),"不可评价",IF(OR(W1148="equivocal",Y1148="equivocal"),"疑似",IF(AND(W1148="positive",Y1148="positive"),"a",IF(Y1148="positive","b",IF(W1148="positive","c","d")))))</x:f>
        <x:v>d</x:v>
      </x:c>
      <x:c r="AA1148" s="12" t="str">
        <x:f>IF(OR(M1148="unavailable",O1148="unavailable"),"不可评价",IF(AND(OR(M1148="positive",M1148="equivocal"),OR(O1148="positive",O1148="equivocal")),"a",IF(OR(O1148="positive",O1148="equivocal"),"b",IF(OR(M1148="positive",M1148="equivocal"),"c","d"))))</x:f>
        <x:v>d</x:v>
      </x:c>
      <x:c r="AB1148" s="12" t="str">
        <x:f>IF(OR(M1148="unavailable",O1148="unavailable"),"不可评价",IF(AND(M1148="positive",O1148="positive"),"a",IF(O1148="positive","b",IF(M1148="positive","c","d"))))</x:f>
        <x:v>d</x:v>
      </x:c>
      <x:c r="AC1148" s="12" t="str">
        <x:f>IF(OR(R1148="unavailable",T1148="unavailable"),"不可评价",IF(AND(OR(R1148="positive",R1148="equivocal"),OR(T1148="positive",T1148="equivocal")),"a",IF(OR(T1148="positive",T1148="equivocal"),"b",IF(OR(R1148="positive",R1148="equivocal"),"c","d"))))</x:f>
        <x:v>d</x:v>
      </x:c>
      <x:c r="AD1148" s="12" t="str">
        <x:f>IF(OR(R1148="unavailable",T1148="unavailable"),"不可评价",IF(AND(R1148="positive",T1148="positive"),"a",IF(T1148="positive","b",IF(R1148="positive","c","d"))))</x:f>
        <x:v>d</x:v>
      </x:c>
      <x:c r="AE1148" s="12" t="str">
        <x:f>IF(OR(W1148="unavailable",Y1148="unavailable"),"不可评价",IF(AND(OR(W1148="positive",W1148="equivocal"),OR(Y1148="positive",Y1148="equivocal")),"a",IF(OR(Y1148="positive",Y1148="equivocal"),"b",IF(OR(W1148="positive",W1148="equivocal"),"c","d"))))</x:f>
        <x:v>d</x:v>
      </x:c>
      <x:c r="AF1148" s="12" t="str">
        <x:f>IF(OR(W1148="unavailable",Y1148="unavailable"),"不可评价",IF(AND(W1148="positive",Y1148="positive"),"a",IF(Y1148="positive","b",IF(W1148="positive","c","d"))))</x:f>
        <x:v>d</x:v>
      </x:c>
    </x:row>
    <x:row r="1149" ht="24" customHeight="1">
      <x:c r="A1149" s="12" t="str">
        <x:v>10244</x:v>
      </x:c>
      <x:c r="B1149" s="12" t="str">
        <x:v>14832</x:v>
      </x:c>
      <x:c r="C1149" s="21" t="n">
        <x:v>34126.648252314815</x:v>
      </x:c>
      <x:c r="D1149" s="12" t="n">
        <x:v>66</x:v>
      </x:c>
      <x:c r="E1149" s="12" t="n">
        <x:v>0</x:v>
      </x:c>
      <x:c r="F1149" s="12" t="str">
        <x:v>未记录</x:v>
      </x:c>
      <x:c r="G1149" s="12" t="n">
        <x:v>1</x:v>
      </x:c>
      <x:c r="H1149" s="12" t="str">
        <x:v>{'IMI': 15.0, 'ABQRS': 0.0, 'SR': 0.0}</x:v>
      </x:c>
      <x:c r="I1149" s="12" t="str">
        <x:v>[('NSR', 100.0), ('NML', 100.0)]</x:v>
      </x:c>
      <x:c r="J1149" s="12" t="str">
        <x:v>ptbxl_database.csv；ecg_id=10244；scp_codes</x:v>
      </x:c>
      <x:c r="K1149" s="12" t="str">
        <x:v>12sl_statements.csv；ecg_id=10244；statements_ext_snomed</x:v>
      </x:c>
      <x:c r="L1149" s="12"/>
      <x:c r="M1149" s="12" t="str">
        <x:v>negative</x:v>
      </x:c>
      <x:c r="N1149" s="12"/>
      <x:c r="O1149" s="12" t="str">
        <x:v>negative</x:v>
      </x:c>
      <x:c r="P1149" s="12" t="str">
        <x:f>IF(OR(M1149="unavailable",O1149="unavailable"),"不可评价",IF(OR(M1149="equivocal",O1149="equivocal"),"疑似",IF(AND(M1149="positive",O1149="positive"),"a",IF(O1149="positive","b",IF(M1149="positive","c","d")))))</x:f>
        <x:v>d</x:v>
      </x:c>
      <x:c r="Q1149" s="12"/>
      <x:c r="R1149" s="12" t="str">
        <x:v>negative</x:v>
      </x:c>
      <x:c r="S1149" s="12"/>
      <x:c r="T1149" s="12" t="str">
        <x:v>negative</x:v>
      </x:c>
      <x:c r="U1149" s="12" t="str">
        <x:f>IF(OR(R1149="unavailable",T1149="unavailable"),"不可评价",IF(OR(R1149="equivocal",T1149="equivocal"),"疑似",IF(AND(R1149="positive",T1149="positive"),"a",IF(T1149="positive","b",IF(R1149="positive","c","d")))))</x:f>
        <x:v>d</x:v>
      </x:c>
      <x:c r="V1149" s="12"/>
      <x:c r="W1149" s="12" t="str">
        <x:v>negative</x:v>
      </x:c>
      <x:c r="X1149" s="12"/>
      <x:c r="Y1149" s="12" t="str">
        <x:v>negative</x:v>
      </x:c>
      <x:c r="Z1149" s="12" t="str">
        <x:f>IF(OR(W1149="unavailable",Y1149="unavailable"),"不可评价",IF(OR(W1149="equivocal",Y1149="equivocal"),"疑似",IF(AND(W1149="positive",Y1149="positive"),"a",IF(Y1149="positive","b",IF(W1149="positive","c","d")))))</x:f>
        <x:v>d</x:v>
      </x:c>
      <x:c r="AA1149" s="12" t="str">
        <x:f>IF(OR(M1149="unavailable",O1149="unavailable"),"不可评价",IF(AND(OR(M1149="positive",M1149="equivocal"),OR(O1149="positive",O1149="equivocal")),"a",IF(OR(O1149="positive",O1149="equivocal"),"b",IF(OR(M1149="positive",M1149="equivocal"),"c","d"))))</x:f>
        <x:v>d</x:v>
      </x:c>
      <x:c r="AB1149" s="12" t="str">
        <x:f>IF(OR(M1149="unavailable",O1149="unavailable"),"不可评价",IF(AND(M1149="positive",O1149="positive"),"a",IF(O1149="positive","b",IF(M1149="positive","c","d"))))</x:f>
        <x:v>d</x:v>
      </x:c>
      <x:c r="AC1149" s="12" t="str">
        <x:f>IF(OR(R1149="unavailable",T1149="unavailable"),"不可评价",IF(AND(OR(R1149="positive",R1149="equivocal"),OR(T1149="positive",T1149="equivocal")),"a",IF(OR(T1149="positive",T1149="equivocal"),"b",IF(OR(R1149="positive",R1149="equivocal"),"c","d"))))</x:f>
        <x:v>d</x:v>
      </x:c>
      <x:c r="AD1149" s="12" t="str">
        <x:f>IF(OR(R1149="unavailable",T1149="unavailable"),"不可评价",IF(AND(R1149="positive",T1149="positive"),"a",IF(T1149="positive","b",IF(R1149="positive","c","d"))))</x:f>
        <x:v>d</x:v>
      </x:c>
      <x:c r="AE1149" s="12" t="str">
        <x:f>IF(OR(W1149="unavailable",Y1149="unavailable"),"不可评价",IF(AND(OR(W1149="positive",W1149="equivocal"),OR(Y1149="positive",Y1149="equivocal")),"a",IF(OR(Y1149="positive",Y1149="equivocal"),"b",IF(OR(W1149="positive",W1149="equivocal"),"c","d"))))</x:f>
        <x:v>d</x:v>
      </x:c>
      <x:c r="AF1149" s="12" t="str">
        <x:f>IF(OR(W1149="unavailable",Y1149="unavailable"),"不可评价",IF(AND(W1149="positive",Y1149="positive"),"a",IF(Y1149="positive","b",IF(W1149="positive","c","d"))))</x:f>
        <x:v>d</x:v>
      </x:c>
    </x:row>
    <x:row r="1150" ht="24" customHeight="1">
      <x:c r="A1150" s="12" t="str">
        <x:v>10250</x:v>
      </x:c>
      <x:c r="B1150" s="12" t="str">
        <x:v>18361</x:v>
      </x:c>
      <x:c r="C1150" s="21" t="n">
        <x:v>34128.52369212963</x:v>
      </x:c>
      <x:c r="D1150" s="12" t="n">
        <x:v>33</x:v>
      </x:c>
      <x:c r="E1150" s="12" t="n">
        <x:v>0</x:v>
      </x:c>
      <x:c r="F1150" s="12" t="str">
        <x:v>未记录</x:v>
      </x:c>
      <x:c r="G1150" s="12" t="n">
        <x:v>1</x:v>
      </x:c>
      <x:c r="H1150" s="12" t="str">
        <x:v>{'NORM': 100.0, 'SR': 0.0}</x:v>
      </x:c>
      <x:c r="I1150" s="12" t="str">
        <x:v>[('NSR', 100.0), ('NML', 100.0)]</x:v>
      </x:c>
      <x:c r="J1150" s="12" t="str">
        <x:v>ptbxl_database.csv；ecg_id=10250；scp_codes</x:v>
      </x:c>
      <x:c r="K1150" s="12" t="str">
        <x:v>12sl_statements.csv；ecg_id=10250；statements_ext_snomed</x:v>
      </x:c>
      <x:c r="L1150" s="12"/>
      <x:c r="M1150" s="12" t="str">
        <x:v>negative</x:v>
      </x:c>
      <x:c r="N1150" s="12"/>
      <x:c r="O1150" s="12" t="str">
        <x:v>negative</x:v>
      </x:c>
      <x:c r="P1150" s="12" t="str">
        <x:f>IF(OR(M1150="unavailable",O1150="unavailable"),"不可评价",IF(OR(M1150="equivocal",O1150="equivocal"),"疑似",IF(AND(M1150="positive",O1150="positive"),"a",IF(O1150="positive","b",IF(M1150="positive","c","d")))))</x:f>
        <x:v>d</x:v>
      </x:c>
      <x:c r="Q1150" s="12"/>
      <x:c r="R1150" s="12" t="str">
        <x:v>negative</x:v>
      </x:c>
      <x:c r="S1150" s="12"/>
      <x:c r="T1150" s="12" t="str">
        <x:v>negative</x:v>
      </x:c>
      <x:c r="U1150" s="12" t="str">
        <x:f>IF(OR(R1150="unavailable",T1150="unavailable"),"不可评价",IF(OR(R1150="equivocal",T1150="equivocal"),"疑似",IF(AND(R1150="positive",T1150="positive"),"a",IF(T1150="positive","b",IF(R1150="positive","c","d")))))</x:f>
        <x:v>d</x:v>
      </x:c>
      <x:c r="V1150" s="12"/>
      <x:c r="W1150" s="12" t="str">
        <x:v>negative</x:v>
      </x:c>
      <x:c r="X1150" s="12"/>
      <x:c r="Y1150" s="12" t="str">
        <x:v>negative</x:v>
      </x:c>
      <x:c r="Z1150" s="12" t="str">
        <x:f>IF(OR(W1150="unavailable",Y1150="unavailable"),"不可评价",IF(OR(W1150="equivocal",Y1150="equivocal"),"疑似",IF(AND(W1150="positive",Y1150="positive"),"a",IF(Y1150="positive","b",IF(W1150="positive","c","d")))))</x:f>
        <x:v>d</x:v>
      </x:c>
      <x:c r="AA1150" s="12" t="str">
        <x:f>IF(OR(M1150="unavailable",O1150="unavailable"),"不可评价",IF(AND(OR(M1150="positive",M1150="equivocal"),OR(O1150="positive",O1150="equivocal")),"a",IF(OR(O1150="positive",O1150="equivocal"),"b",IF(OR(M1150="positive",M1150="equivocal"),"c","d"))))</x:f>
        <x:v>d</x:v>
      </x:c>
      <x:c r="AB1150" s="12" t="str">
        <x:f>IF(OR(M1150="unavailable",O1150="unavailable"),"不可评价",IF(AND(M1150="positive",O1150="positive"),"a",IF(O1150="positive","b",IF(M1150="positive","c","d"))))</x:f>
        <x:v>d</x:v>
      </x:c>
      <x:c r="AC1150" s="12" t="str">
        <x:f>IF(OR(R1150="unavailable",T1150="unavailable"),"不可评价",IF(AND(OR(R1150="positive",R1150="equivocal"),OR(T1150="positive",T1150="equivocal")),"a",IF(OR(T1150="positive",T1150="equivocal"),"b",IF(OR(R1150="positive",R1150="equivocal"),"c","d"))))</x:f>
        <x:v>d</x:v>
      </x:c>
      <x:c r="AD1150" s="12" t="str">
        <x:f>IF(OR(R1150="unavailable",T1150="unavailable"),"不可评价",IF(AND(R1150="positive",T1150="positive"),"a",IF(T1150="positive","b",IF(R1150="positive","c","d"))))</x:f>
        <x:v>d</x:v>
      </x:c>
      <x:c r="AE1150" s="12" t="str">
        <x:f>IF(OR(W1150="unavailable",Y1150="unavailable"),"不可评价",IF(AND(OR(W1150="positive",W1150="equivocal"),OR(Y1150="positive",Y1150="equivocal")),"a",IF(OR(Y1150="positive",Y1150="equivocal"),"b",IF(OR(W1150="positive",W1150="equivocal"),"c","d"))))</x:f>
        <x:v>d</x:v>
      </x:c>
      <x:c r="AF1150" s="12" t="str">
        <x:f>IF(OR(W1150="unavailable",Y1150="unavailable"),"不可评价",IF(AND(W1150="positive",Y1150="positive"),"a",IF(Y1150="positive","b",IF(W1150="positive","c","d"))))</x:f>
        <x:v>d</x:v>
      </x:c>
    </x:row>
    <x:row r="1151" ht="24" customHeight="1">
      <x:c r="A1151" s="12" t="str">
        <x:v>10255</x:v>
      </x:c>
      <x:c r="B1151" s="12" t="str">
        <x:v>17870</x:v>
      </x:c>
      <x:c r="C1151" s="21" t="n">
        <x:v>34130.53990740741</x:v>
      </x:c>
      <x:c r="D1151" s="12" t="n">
        <x:v>33</x:v>
      </x:c>
      <x:c r="E1151" s="12" t="n">
        <x:v>0</x:v>
      </x:c>
      <x:c r="F1151" s="12" t="str">
        <x:v>未记录</x:v>
      </x:c>
      <x:c r="G1151" s="12" t="n">
        <x:v>1</x:v>
      </x:c>
      <x:c r="H1151" s="12" t="str">
        <x:v>{'NORM': 100.0, 'IVCD': 100.0, 'SR': 0.0}</x:v>
      </x:c>
      <x:c r="I1151" s="12" t="str">
        <x:v>[('NSR', 100.0), ('NML', 100.0)]</x:v>
      </x:c>
      <x:c r="J1151" s="12" t="str">
        <x:v>ptbxl_database.csv；ecg_id=10255；scp_codes</x:v>
      </x:c>
      <x:c r="K1151" s="12" t="str">
        <x:v>12sl_statements.csv；ecg_id=10255；statements_ext_snomed</x:v>
      </x:c>
      <x:c r="L1151" s="12"/>
      <x:c r="M1151" s="12" t="str">
        <x:v>negative</x:v>
      </x:c>
      <x:c r="N1151" s="12"/>
      <x:c r="O1151" s="12" t="str">
        <x:v>negative</x:v>
      </x:c>
      <x:c r="P1151" s="12" t="str">
        <x:f>IF(OR(M1151="unavailable",O1151="unavailable"),"不可评价",IF(OR(M1151="equivocal",O1151="equivocal"),"疑似",IF(AND(M1151="positive",O1151="positive"),"a",IF(O1151="positive","b",IF(M1151="positive","c","d")))))</x:f>
        <x:v>d</x:v>
      </x:c>
      <x:c r="Q1151" s="12"/>
      <x:c r="R1151" s="12" t="str">
        <x:v>negative</x:v>
      </x:c>
      <x:c r="S1151" s="12"/>
      <x:c r="T1151" s="12" t="str">
        <x:v>negative</x:v>
      </x:c>
      <x:c r="U1151" s="12" t="str">
        <x:f>IF(OR(R1151="unavailable",T1151="unavailable"),"不可评价",IF(OR(R1151="equivocal",T1151="equivocal"),"疑似",IF(AND(R1151="positive",T1151="positive"),"a",IF(T1151="positive","b",IF(R1151="positive","c","d")))))</x:f>
        <x:v>d</x:v>
      </x:c>
      <x:c r="V1151" s="12"/>
      <x:c r="W1151" s="12" t="str">
        <x:v>negative</x:v>
      </x:c>
      <x:c r="X1151" s="12"/>
      <x:c r="Y1151" s="12" t="str">
        <x:v>negative</x:v>
      </x:c>
      <x:c r="Z1151" s="12" t="str">
        <x:f>IF(OR(W1151="unavailable",Y1151="unavailable"),"不可评价",IF(OR(W1151="equivocal",Y1151="equivocal"),"疑似",IF(AND(W1151="positive",Y1151="positive"),"a",IF(Y1151="positive","b",IF(W1151="positive","c","d")))))</x:f>
        <x:v>d</x:v>
      </x:c>
      <x:c r="AA1151" s="12" t="str">
        <x:f>IF(OR(M1151="unavailable",O1151="unavailable"),"不可评价",IF(AND(OR(M1151="positive",M1151="equivocal"),OR(O1151="positive",O1151="equivocal")),"a",IF(OR(O1151="positive",O1151="equivocal"),"b",IF(OR(M1151="positive",M1151="equivocal"),"c","d"))))</x:f>
        <x:v>d</x:v>
      </x:c>
      <x:c r="AB1151" s="12" t="str">
        <x:f>IF(OR(M1151="unavailable",O1151="unavailable"),"不可评价",IF(AND(M1151="positive",O1151="positive"),"a",IF(O1151="positive","b",IF(M1151="positive","c","d"))))</x:f>
        <x:v>d</x:v>
      </x:c>
      <x:c r="AC1151" s="12" t="str">
        <x:f>IF(OR(R1151="unavailable",T1151="unavailable"),"不可评价",IF(AND(OR(R1151="positive",R1151="equivocal"),OR(T1151="positive",T1151="equivocal")),"a",IF(OR(T1151="positive",T1151="equivocal"),"b",IF(OR(R1151="positive",R1151="equivocal"),"c","d"))))</x:f>
        <x:v>d</x:v>
      </x:c>
      <x:c r="AD1151" s="12" t="str">
        <x:f>IF(OR(R1151="unavailable",T1151="unavailable"),"不可评价",IF(AND(R1151="positive",T1151="positive"),"a",IF(T1151="positive","b",IF(R1151="positive","c","d"))))</x:f>
        <x:v>d</x:v>
      </x:c>
      <x:c r="AE1151" s="12" t="str">
        <x:f>IF(OR(W1151="unavailable",Y1151="unavailable"),"不可评价",IF(AND(OR(W1151="positive",W1151="equivocal"),OR(Y1151="positive",Y1151="equivocal")),"a",IF(OR(Y1151="positive",Y1151="equivocal"),"b",IF(OR(W1151="positive",W1151="equivocal"),"c","d"))))</x:f>
        <x:v>d</x:v>
      </x:c>
      <x:c r="AF1151" s="12" t="str">
        <x:f>IF(OR(W1151="unavailable",Y1151="unavailable"),"不可评价",IF(AND(W1151="positive",Y1151="positive"),"a",IF(Y1151="positive","b",IF(W1151="positive","c","d"))))</x:f>
        <x:v>d</x:v>
      </x:c>
    </x:row>
    <x:row r="1152" ht="24" customHeight="1">
      <x:c r="A1152" s="12" t="str">
        <x:v>10261</x:v>
      </x:c>
      <x:c r="B1152" s="12" t="str">
        <x:v>21059</x:v>
      </x:c>
      <x:c r="C1152" s="21" t="n">
        <x:v>34131.65244212963</x:v>
      </x:c>
      <x:c r="D1152" s="12" t="n">
        <x:v>52</x:v>
      </x:c>
      <x:c r="E1152" s="12" t="n">
        <x:v>0</x:v>
      </x:c>
      <x:c r="F1152" s="12" t="str">
        <x:v>未记录</x:v>
      </x:c>
      <x:c r="G1152" s="12" t="n">
        <x:v>1</x:v>
      </x:c>
      <x:c r="H1152" s="12" t="str">
        <x:v>{'NORM': 100.0, 'SR': 0.0}</x:v>
      </x:c>
      <x:c r="I1152" s="12" t="str">
        <x:v>[('SRTH', 100.0), ('PAC', 100.0), ('ABR', 100.0)]</x:v>
      </x:c>
      <x:c r="J1152" s="12" t="str">
        <x:v>ptbxl_database.csv；ecg_id=10261；scp_codes</x:v>
      </x:c>
      <x:c r="K1152" s="12" t="str">
        <x:v>12sl_statements.csv；ecg_id=10261；statements_ext_snomed</x:v>
      </x:c>
      <x:c r="L1152" s="12"/>
      <x:c r="M1152" s="12" t="str">
        <x:v>negative</x:v>
      </x:c>
      <x:c r="N1152" s="12"/>
      <x:c r="O1152" s="12" t="str">
        <x:v>negative</x:v>
      </x:c>
      <x:c r="P1152" s="12" t="str">
        <x:f>IF(OR(M1152="unavailable",O1152="unavailable"),"不可评价",IF(OR(M1152="equivocal",O1152="equivocal"),"疑似",IF(AND(M1152="positive",O1152="positive"),"a",IF(O1152="positive","b",IF(M1152="positive","c","d")))))</x:f>
        <x:v>d</x:v>
      </x:c>
      <x:c r="Q1152" s="12"/>
      <x:c r="R1152" s="12" t="str">
        <x:v>negative</x:v>
      </x:c>
      <x:c r="S1152" s="12"/>
      <x:c r="T1152" s="12" t="str">
        <x:v>negative</x:v>
      </x:c>
      <x:c r="U1152" s="12" t="str">
        <x:f>IF(OR(R1152="unavailable",T1152="unavailable"),"不可评价",IF(OR(R1152="equivocal",T1152="equivocal"),"疑似",IF(AND(R1152="positive",T1152="positive"),"a",IF(T1152="positive","b",IF(R1152="positive","c","d")))))</x:f>
        <x:v>d</x:v>
      </x:c>
      <x:c r="V1152" s="12"/>
      <x:c r="W1152" s="12" t="str">
        <x:v>negative</x:v>
      </x:c>
      <x:c r="X1152" s="12"/>
      <x:c r="Y1152" s="12" t="str">
        <x:v>negative</x:v>
      </x:c>
      <x:c r="Z1152" s="12" t="str">
        <x:f>IF(OR(W1152="unavailable",Y1152="unavailable"),"不可评价",IF(OR(W1152="equivocal",Y1152="equivocal"),"疑似",IF(AND(W1152="positive",Y1152="positive"),"a",IF(Y1152="positive","b",IF(W1152="positive","c","d")))))</x:f>
        <x:v>d</x:v>
      </x:c>
      <x:c r="AA1152" s="12" t="str">
        <x:f>IF(OR(M1152="unavailable",O1152="unavailable"),"不可评价",IF(AND(OR(M1152="positive",M1152="equivocal"),OR(O1152="positive",O1152="equivocal")),"a",IF(OR(O1152="positive",O1152="equivocal"),"b",IF(OR(M1152="positive",M1152="equivocal"),"c","d"))))</x:f>
        <x:v>d</x:v>
      </x:c>
      <x:c r="AB1152" s="12" t="str">
        <x:f>IF(OR(M1152="unavailable",O1152="unavailable"),"不可评价",IF(AND(M1152="positive",O1152="positive"),"a",IF(O1152="positive","b",IF(M1152="positive","c","d"))))</x:f>
        <x:v>d</x:v>
      </x:c>
      <x:c r="AC1152" s="12" t="str">
        <x:f>IF(OR(R1152="unavailable",T1152="unavailable"),"不可评价",IF(AND(OR(R1152="positive",R1152="equivocal"),OR(T1152="positive",T1152="equivocal")),"a",IF(OR(T1152="positive",T1152="equivocal"),"b",IF(OR(R1152="positive",R1152="equivocal"),"c","d"))))</x:f>
        <x:v>d</x:v>
      </x:c>
      <x:c r="AD1152" s="12" t="str">
        <x:f>IF(OR(R1152="unavailable",T1152="unavailable"),"不可评价",IF(AND(R1152="positive",T1152="positive"),"a",IF(T1152="positive","b",IF(R1152="positive","c","d"))))</x:f>
        <x:v>d</x:v>
      </x:c>
      <x:c r="AE1152" s="12" t="str">
        <x:f>IF(OR(W1152="unavailable",Y1152="unavailable"),"不可评价",IF(AND(OR(W1152="positive",W1152="equivocal"),OR(Y1152="positive",Y1152="equivocal")),"a",IF(OR(Y1152="positive",Y1152="equivocal"),"b",IF(OR(W1152="positive",W1152="equivocal"),"c","d"))))</x:f>
        <x:v>d</x:v>
      </x:c>
      <x:c r="AF1152" s="12" t="str">
        <x:f>IF(OR(W1152="unavailable",Y1152="unavailable"),"不可评价",IF(AND(W1152="positive",Y1152="positive"),"a",IF(Y1152="positive","b",IF(W1152="positive","c","d"))))</x:f>
        <x:v>d</x:v>
      </x:c>
    </x:row>
    <x:row r="1153" ht="24" customHeight="1">
      <x:c r="A1153" s="12" t="str">
        <x:v>10268</x:v>
      </x:c>
      <x:c r="B1153" s="12" t="str">
        <x:v>21191</x:v>
      </x:c>
      <x:c r="C1153" s="21" t="n">
        <x:v>34133.75429398148</x:v>
      </x:c>
      <x:c r="D1153" s="12" t="n">
        <x:v>65</x:v>
      </x:c>
      <x:c r="E1153" s="12" t="n">
        <x:v>1</x:v>
      </x:c>
      <x:c r="F1153" s="12" t="str">
        <x:v>未记录</x:v>
      </x:c>
      <x:c r="G1153" s="12" t="n">
        <x:v>1</x:v>
      </x:c>
      <x:c r="H1153" s="12" t="str">
        <x:v>{'NORM': 100.0, 'SR': 0.0}</x:v>
      </x:c>
      <x:c r="I1153" s="12" t="str">
        <x:v>[('NSR', 100.0), ('NST', 100.0), ('AB', 100.0)]</x:v>
      </x:c>
      <x:c r="J1153" s="12" t="str">
        <x:v>ptbxl_database.csv；ecg_id=10268；scp_codes</x:v>
      </x:c>
      <x:c r="K1153" s="12" t="str">
        <x:v>12sl_statements.csv；ecg_id=10268；statements_ext_snomed</x:v>
      </x:c>
      <x:c r="L1153" s="12"/>
      <x:c r="M1153" s="12" t="str">
        <x:v>negative</x:v>
      </x:c>
      <x:c r="N1153" s="12"/>
      <x:c r="O1153" s="12" t="str">
        <x:v>negative</x:v>
      </x:c>
      <x:c r="P1153" s="12" t="str">
        <x:f>IF(OR(M1153="unavailable",O1153="unavailable"),"不可评价",IF(OR(M1153="equivocal",O1153="equivocal"),"疑似",IF(AND(M1153="positive",O1153="positive"),"a",IF(O1153="positive","b",IF(M1153="positive","c","d")))))</x:f>
        <x:v>d</x:v>
      </x:c>
      <x:c r="Q1153" s="12"/>
      <x:c r="R1153" s="12" t="str">
        <x:v>negative</x:v>
      </x:c>
      <x:c r="S1153" s="12"/>
      <x:c r="T1153" s="12" t="str">
        <x:v>negative</x:v>
      </x:c>
      <x:c r="U1153" s="12" t="str">
        <x:f>IF(OR(R1153="unavailable",T1153="unavailable"),"不可评价",IF(OR(R1153="equivocal",T1153="equivocal"),"疑似",IF(AND(R1153="positive",T1153="positive"),"a",IF(T1153="positive","b",IF(R1153="positive","c","d")))))</x:f>
        <x:v>d</x:v>
      </x:c>
      <x:c r="V1153" s="12"/>
      <x:c r="W1153" s="12" t="str">
        <x:v>negative</x:v>
      </x:c>
      <x:c r="X1153" s="12"/>
      <x:c r="Y1153" s="12" t="str">
        <x:v>negative</x:v>
      </x:c>
      <x:c r="Z1153" s="12" t="str">
        <x:f>IF(OR(W1153="unavailable",Y1153="unavailable"),"不可评价",IF(OR(W1153="equivocal",Y1153="equivocal"),"疑似",IF(AND(W1153="positive",Y1153="positive"),"a",IF(Y1153="positive","b",IF(W1153="positive","c","d")))))</x:f>
        <x:v>d</x:v>
      </x:c>
      <x:c r="AA1153" s="12" t="str">
        <x:f>IF(OR(M1153="unavailable",O1153="unavailable"),"不可评价",IF(AND(OR(M1153="positive",M1153="equivocal"),OR(O1153="positive",O1153="equivocal")),"a",IF(OR(O1153="positive",O1153="equivocal"),"b",IF(OR(M1153="positive",M1153="equivocal"),"c","d"))))</x:f>
        <x:v>d</x:v>
      </x:c>
      <x:c r="AB1153" s="12" t="str">
        <x:f>IF(OR(M1153="unavailable",O1153="unavailable"),"不可评价",IF(AND(M1153="positive",O1153="positive"),"a",IF(O1153="positive","b",IF(M1153="positive","c","d"))))</x:f>
        <x:v>d</x:v>
      </x:c>
      <x:c r="AC1153" s="12" t="str">
        <x:f>IF(OR(R1153="unavailable",T1153="unavailable"),"不可评价",IF(AND(OR(R1153="positive",R1153="equivocal"),OR(T1153="positive",T1153="equivocal")),"a",IF(OR(T1153="positive",T1153="equivocal"),"b",IF(OR(R1153="positive",R1153="equivocal"),"c","d"))))</x:f>
        <x:v>d</x:v>
      </x:c>
      <x:c r="AD1153" s="12" t="str">
        <x:f>IF(OR(R1153="unavailable",T1153="unavailable"),"不可评价",IF(AND(R1153="positive",T1153="positive"),"a",IF(T1153="positive","b",IF(R1153="positive","c","d"))))</x:f>
        <x:v>d</x:v>
      </x:c>
      <x:c r="AE1153" s="12" t="str">
        <x:f>IF(OR(W1153="unavailable",Y1153="unavailable"),"不可评价",IF(AND(OR(W1153="positive",W1153="equivocal"),OR(Y1153="positive",Y1153="equivocal")),"a",IF(OR(Y1153="positive",Y1153="equivocal"),"b",IF(OR(W1153="positive",W1153="equivocal"),"c","d"))))</x:f>
        <x:v>d</x:v>
      </x:c>
      <x:c r="AF1153" s="12" t="str">
        <x:f>IF(OR(W1153="unavailable",Y1153="unavailable"),"不可评价",IF(AND(W1153="positive",Y1153="positive"),"a",IF(Y1153="positive","b",IF(W1153="positive","c","d"))))</x:f>
        <x:v>d</x:v>
      </x:c>
    </x:row>
    <x:row r="1154" ht="24" customHeight="1">
      <x:c r="A1154" s="12" t="str">
        <x:v>10272</x:v>
      </x:c>
      <x:c r="B1154" s="12" t="str">
        <x:v>8327</x:v>
      </x:c>
      <x:c r="C1154" s="21" t="n">
        <x:v>34134.662303240744</x:v>
      </x:c>
      <x:c r="D1154" s="12" t="n">
        <x:v>69</x:v>
      </x:c>
      <x:c r="E1154" s="12" t="n">
        <x:v>0</x:v>
      </x:c>
      <x:c r="F1154" s="12" t="str">
        <x:v>未记录</x:v>
      </x:c>
      <x:c r="G1154" s="12" t="n">
        <x:v>1</x:v>
      </x:c>
      <x:c r="H1154" s="12" t="str">
        <x:v>{'NORM': 100.0, 'SR': 0.0}</x:v>
      </x:c>
      <x:c r="I1154" s="12" t="str">
        <x:v>[('SBRAD', 100.0), ('ABR', 100.0)]</x:v>
      </x:c>
      <x:c r="J1154" s="12" t="str">
        <x:v>ptbxl_database.csv；ecg_id=10272；scp_codes</x:v>
      </x:c>
      <x:c r="K1154" s="12" t="str">
        <x:v>12sl_statements.csv；ecg_id=10272；statements_ext_snomed</x:v>
      </x:c>
      <x:c r="L1154" s="12"/>
      <x:c r="M1154" s="12" t="str">
        <x:v>negative</x:v>
      </x:c>
      <x:c r="N1154" s="12"/>
      <x:c r="O1154" s="12" t="str">
        <x:v>negative</x:v>
      </x:c>
      <x:c r="P1154" s="12" t="str">
        <x:f>IF(OR(M1154="unavailable",O1154="unavailable"),"不可评价",IF(OR(M1154="equivocal",O1154="equivocal"),"疑似",IF(AND(M1154="positive",O1154="positive"),"a",IF(O1154="positive","b",IF(M1154="positive","c","d")))))</x:f>
        <x:v>d</x:v>
      </x:c>
      <x:c r="Q1154" s="12"/>
      <x:c r="R1154" s="12" t="str">
        <x:v>negative</x:v>
      </x:c>
      <x:c r="S1154" s="12"/>
      <x:c r="T1154" s="12" t="str">
        <x:v>negative</x:v>
      </x:c>
      <x:c r="U1154" s="12" t="str">
        <x:f>IF(OR(R1154="unavailable",T1154="unavailable"),"不可评价",IF(OR(R1154="equivocal",T1154="equivocal"),"疑似",IF(AND(R1154="positive",T1154="positive"),"a",IF(T1154="positive","b",IF(R1154="positive","c","d")))))</x:f>
        <x:v>d</x:v>
      </x:c>
      <x:c r="V1154" s="12"/>
      <x:c r="W1154" s="12" t="str">
        <x:v>negative</x:v>
      </x:c>
      <x:c r="X1154" s="12"/>
      <x:c r="Y1154" s="12" t="str">
        <x:v>negative</x:v>
      </x:c>
      <x:c r="Z1154" s="12" t="str">
        <x:f>IF(OR(W1154="unavailable",Y1154="unavailable"),"不可评价",IF(OR(W1154="equivocal",Y1154="equivocal"),"疑似",IF(AND(W1154="positive",Y1154="positive"),"a",IF(Y1154="positive","b",IF(W1154="positive","c","d")))))</x:f>
        <x:v>d</x:v>
      </x:c>
      <x:c r="AA1154" s="12" t="str">
        <x:f>IF(OR(M1154="unavailable",O1154="unavailable"),"不可评价",IF(AND(OR(M1154="positive",M1154="equivocal"),OR(O1154="positive",O1154="equivocal")),"a",IF(OR(O1154="positive",O1154="equivocal"),"b",IF(OR(M1154="positive",M1154="equivocal"),"c","d"))))</x:f>
        <x:v>d</x:v>
      </x:c>
      <x:c r="AB1154" s="12" t="str">
        <x:f>IF(OR(M1154="unavailable",O1154="unavailable"),"不可评价",IF(AND(M1154="positive",O1154="positive"),"a",IF(O1154="positive","b",IF(M1154="positive","c","d"))))</x:f>
        <x:v>d</x:v>
      </x:c>
      <x:c r="AC1154" s="12" t="str">
        <x:f>IF(OR(R1154="unavailable",T1154="unavailable"),"不可评价",IF(AND(OR(R1154="positive",R1154="equivocal"),OR(T1154="positive",T1154="equivocal")),"a",IF(OR(T1154="positive",T1154="equivocal"),"b",IF(OR(R1154="positive",R1154="equivocal"),"c","d"))))</x:f>
        <x:v>d</x:v>
      </x:c>
      <x:c r="AD1154" s="12" t="str">
        <x:f>IF(OR(R1154="unavailable",T1154="unavailable"),"不可评价",IF(AND(R1154="positive",T1154="positive"),"a",IF(T1154="positive","b",IF(R1154="positive","c","d"))))</x:f>
        <x:v>d</x:v>
      </x:c>
      <x:c r="AE1154" s="12" t="str">
        <x:f>IF(OR(W1154="unavailable",Y1154="unavailable"),"不可评价",IF(AND(OR(W1154="positive",W1154="equivocal"),OR(Y1154="positive",Y1154="equivocal")),"a",IF(OR(Y1154="positive",Y1154="equivocal"),"b",IF(OR(W1154="positive",W1154="equivocal"),"c","d"))))</x:f>
        <x:v>d</x:v>
      </x:c>
      <x:c r="AF1154" s="12" t="str">
        <x:f>IF(OR(W1154="unavailable",Y1154="unavailable"),"不可评价",IF(AND(W1154="positive",Y1154="positive"),"a",IF(Y1154="positive","b",IF(W1154="positive","c","d"))))</x:f>
        <x:v>d</x:v>
      </x:c>
    </x:row>
    <x:row r="1155" ht="24" customHeight="1">
      <x:c r="A1155" s="12" t="str">
        <x:v>10283</x:v>
      </x:c>
      <x:c r="B1155" s="12" t="str">
        <x:v>14800</x:v>
      </x:c>
      <x:c r="C1155" s="21" t="n">
        <x:v>34138.4578125</x:v>
      </x:c>
      <x:c r="D1155" s="12" t="n">
        <x:v>64</x:v>
      </x:c>
      <x:c r="E1155" s="12" t="n">
        <x:v>0</x:v>
      </x:c>
      <x:c r="F1155" s="12" t="str">
        <x:v>未记录</x:v>
      </x:c>
      <x:c r="G1155" s="12" t="n">
        <x:v>1</x:v>
      </x:c>
      <x:c r="H1155" s="12" t="str">
        <x:v>{'CLBBB': 100.0, 'SR': 0.0}</x:v>
      </x:c>
      <x:c r="I1155" s="12" t="str">
        <x:v>[('NSR', 100.0), ('LBBB', 100.0), ('AB', 100.0)]</x:v>
      </x:c>
      <x:c r="J1155" s="12" t="str">
        <x:v>ptbxl_database.csv；ecg_id=10283；scp_codes</x:v>
      </x:c>
      <x:c r="K1155" s="12" t="str">
        <x:v>12sl_statements.csv；ecg_id=10283；statements_ext_snomed</x:v>
      </x:c>
      <x:c r="L1155" s="12"/>
      <x:c r="M1155" s="12" t="str">
        <x:v>negative</x:v>
      </x:c>
      <x:c r="N1155" s="12"/>
      <x:c r="O1155" s="12" t="str">
        <x:v>negative</x:v>
      </x:c>
      <x:c r="P1155" s="12" t="str">
        <x:f>IF(OR(M1155="unavailable",O1155="unavailable"),"不可评价",IF(OR(M1155="equivocal",O1155="equivocal"),"疑似",IF(AND(M1155="positive",O1155="positive"),"a",IF(O1155="positive","b",IF(M1155="positive","c","d")))))</x:f>
        <x:v>d</x:v>
      </x:c>
      <x:c r="Q1155" s="12" t="n">
        <x:v>100</x:v>
      </x:c>
      <x:c r="R1155" s="12" t="str">
        <x:v>positive</x:v>
      </x:c>
      <x:c r="S1155" s="12" t="n">
        <x:v>100</x:v>
      </x:c>
      <x:c r="T1155" s="12" t="str">
        <x:v>positive</x:v>
      </x:c>
      <x:c r="U1155" s="12" t="str">
        <x:f>IF(OR(R1155="unavailable",T1155="unavailable"),"不可评价",IF(OR(R1155="equivocal",T1155="equivocal"),"疑似",IF(AND(R1155="positive",T1155="positive"),"a",IF(T1155="positive","b",IF(R1155="positive","c","d")))))</x:f>
        <x:v>a</x:v>
      </x:c>
      <x:c r="V1155" s="12"/>
      <x:c r="W1155" s="12" t="str">
        <x:v>negative</x:v>
      </x:c>
      <x:c r="X1155" s="12"/>
      <x:c r="Y1155" s="12" t="str">
        <x:v>negative</x:v>
      </x:c>
      <x:c r="Z1155" s="12" t="str">
        <x:f>IF(OR(W1155="unavailable",Y1155="unavailable"),"不可评价",IF(OR(W1155="equivocal",Y1155="equivocal"),"疑似",IF(AND(W1155="positive",Y1155="positive"),"a",IF(Y1155="positive","b",IF(W1155="positive","c","d")))))</x:f>
        <x:v>d</x:v>
      </x:c>
      <x:c r="AA1155" s="12" t="str">
        <x:f>IF(OR(M1155="unavailable",O1155="unavailable"),"不可评价",IF(AND(OR(M1155="positive",M1155="equivocal"),OR(O1155="positive",O1155="equivocal")),"a",IF(OR(O1155="positive",O1155="equivocal"),"b",IF(OR(M1155="positive",M1155="equivocal"),"c","d"))))</x:f>
        <x:v>d</x:v>
      </x:c>
      <x:c r="AB1155" s="12" t="str">
        <x:f>IF(OR(M1155="unavailable",O1155="unavailable"),"不可评价",IF(AND(M1155="positive",O1155="positive"),"a",IF(O1155="positive","b",IF(M1155="positive","c","d"))))</x:f>
        <x:v>d</x:v>
      </x:c>
      <x:c r="AC1155" s="12" t="str">
        <x:f>IF(OR(R1155="unavailable",T1155="unavailable"),"不可评价",IF(AND(OR(R1155="positive",R1155="equivocal"),OR(T1155="positive",T1155="equivocal")),"a",IF(OR(T1155="positive",T1155="equivocal"),"b",IF(OR(R1155="positive",R1155="equivocal"),"c","d"))))</x:f>
        <x:v>a</x:v>
      </x:c>
      <x:c r="AD1155" s="12" t="str">
        <x:f>IF(OR(R1155="unavailable",T1155="unavailable"),"不可评价",IF(AND(R1155="positive",T1155="positive"),"a",IF(T1155="positive","b",IF(R1155="positive","c","d"))))</x:f>
        <x:v>a</x:v>
      </x:c>
      <x:c r="AE1155" s="12" t="str">
        <x:f>IF(OR(W1155="unavailable",Y1155="unavailable"),"不可评价",IF(AND(OR(W1155="positive",W1155="equivocal"),OR(Y1155="positive",Y1155="equivocal")),"a",IF(OR(Y1155="positive",Y1155="equivocal"),"b",IF(OR(W1155="positive",W1155="equivocal"),"c","d"))))</x:f>
        <x:v>d</x:v>
      </x:c>
      <x:c r="AF1155" s="12" t="str">
        <x:f>IF(OR(W1155="unavailable",Y1155="unavailable"),"不可评价",IF(AND(W1155="positive",Y1155="positive"),"a",IF(Y1155="positive","b",IF(W1155="positive","c","d"))))</x:f>
        <x:v>d</x:v>
      </x:c>
    </x:row>
    <x:row r="1156" ht="24" customHeight="1">
      <x:c r="A1156" s="12" t="str">
        <x:v>10318</x:v>
      </x:c>
      <x:c r="B1156" s="12" t="str">
        <x:v>6673</x:v>
      </x:c>
      <x:c r="C1156" s="21" t="n">
        <x:v>34144.45815972222</x:v>
      </x:c>
      <x:c r="D1156" s="12" t="n">
        <x:v>46</x:v>
      </x:c>
      <x:c r="E1156" s="12" t="n">
        <x:v>1</x:v>
      </x:c>
      <x:c r="F1156" s="12" t="str">
        <x:v>未记录</x:v>
      </x:c>
      <x:c r="G1156" s="12" t="n">
        <x:v>1</x:v>
      </x:c>
      <x:c r="H1156" s="12" t="str">
        <x:v>{'NORM': 80.0, 'LOWT': 0.0, 'STD_': 0.0, 'SR': 0.0}</x:v>
      </x:c>
      <x:c r="I1156" s="12" t="str">
        <x:v>[('NSR', 100.0), ('IT', 100.0), ('AB', 100.0)]</x:v>
      </x:c>
      <x:c r="J1156" s="12" t="str">
        <x:v>ptbxl_database.csv；ecg_id=10318；scp_codes</x:v>
      </x:c>
      <x:c r="K1156" s="12" t="str">
        <x:v>12sl_statements.csv；ecg_id=10318；statements_ext_snomed</x:v>
      </x:c>
      <x:c r="L1156" s="12"/>
      <x:c r="M1156" s="12" t="str">
        <x:v>negative</x:v>
      </x:c>
      <x:c r="N1156" s="12"/>
      <x:c r="O1156" s="12" t="str">
        <x:v>negative</x:v>
      </x:c>
      <x:c r="P1156" s="12" t="str">
        <x:f>IF(OR(M1156="unavailable",O1156="unavailable"),"不可评价",IF(OR(M1156="equivocal",O1156="equivocal"),"疑似",IF(AND(M1156="positive",O1156="positive"),"a",IF(O1156="positive","b",IF(M1156="positive","c","d")))))</x:f>
        <x:v>d</x:v>
      </x:c>
      <x:c r="Q1156" s="12"/>
      <x:c r="R1156" s="12" t="str">
        <x:v>negative</x:v>
      </x:c>
      <x:c r="S1156" s="12"/>
      <x:c r="T1156" s="12" t="str">
        <x:v>negative</x:v>
      </x:c>
      <x:c r="U1156" s="12" t="str">
        <x:f>IF(OR(R1156="unavailable",T1156="unavailable"),"不可评价",IF(OR(R1156="equivocal",T1156="equivocal"),"疑似",IF(AND(R1156="positive",T1156="positive"),"a",IF(T1156="positive","b",IF(R1156="positive","c","d")))))</x:f>
        <x:v>d</x:v>
      </x:c>
      <x:c r="V1156" s="12"/>
      <x:c r="W1156" s="12" t="str">
        <x:v>negative</x:v>
      </x:c>
      <x:c r="X1156" s="12"/>
      <x:c r="Y1156" s="12" t="str">
        <x:v>negative</x:v>
      </x:c>
      <x:c r="Z1156" s="12" t="str">
        <x:f>IF(OR(W1156="unavailable",Y1156="unavailable"),"不可评价",IF(OR(W1156="equivocal",Y1156="equivocal"),"疑似",IF(AND(W1156="positive",Y1156="positive"),"a",IF(Y1156="positive","b",IF(W1156="positive","c","d")))))</x:f>
        <x:v>d</x:v>
      </x:c>
      <x:c r="AA1156" s="12" t="str">
        <x:f>IF(OR(M1156="unavailable",O1156="unavailable"),"不可评价",IF(AND(OR(M1156="positive",M1156="equivocal"),OR(O1156="positive",O1156="equivocal")),"a",IF(OR(O1156="positive",O1156="equivocal"),"b",IF(OR(M1156="positive",M1156="equivocal"),"c","d"))))</x:f>
        <x:v>d</x:v>
      </x:c>
      <x:c r="AB1156" s="12" t="str">
        <x:f>IF(OR(M1156="unavailable",O1156="unavailable"),"不可评价",IF(AND(M1156="positive",O1156="positive"),"a",IF(O1156="positive","b",IF(M1156="positive","c","d"))))</x:f>
        <x:v>d</x:v>
      </x:c>
      <x:c r="AC1156" s="12" t="str">
        <x:f>IF(OR(R1156="unavailable",T1156="unavailable"),"不可评价",IF(AND(OR(R1156="positive",R1156="equivocal"),OR(T1156="positive",T1156="equivocal")),"a",IF(OR(T1156="positive",T1156="equivocal"),"b",IF(OR(R1156="positive",R1156="equivocal"),"c","d"))))</x:f>
        <x:v>d</x:v>
      </x:c>
      <x:c r="AD1156" s="12" t="str">
        <x:f>IF(OR(R1156="unavailable",T1156="unavailable"),"不可评价",IF(AND(R1156="positive",T1156="positive"),"a",IF(T1156="positive","b",IF(R1156="positive","c","d"))))</x:f>
        <x:v>d</x:v>
      </x:c>
      <x:c r="AE1156" s="12" t="str">
        <x:f>IF(OR(W1156="unavailable",Y1156="unavailable"),"不可评价",IF(AND(OR(W1156="positive",W1156="equivocal"),OR(Y1156="positive",Y1156="equivocal")),"a",IF(OR(Y1156="positive",Y1156="equivocal"),"b",IF(OR(W1156="positive",W1156="equivocal"),"c","d"))))</x:f>
        <x:v>d</x:v>
      </x:c>
      <x:c r="AF1156" s="12" t="str">
        <x:f>IF(OR(W1156="unavailable",Y1156="unavailable"),"不可评价",IF(AND(W1156="positive",Y1156="positive"),"a",IF(Y1156="positive","b",IF(W1156="positive","c","d"))))</x:f>
        <x:v>d</x:v>
      </x:c>
    </x:row>
    <x:row r="1157" ht="24" customHeight="1">
      <x:c r="A1157" s="12" t="str">
        <x:v>10327</x:v>
      </x:c>
      <x:c r="B1157" s="12" t="str">
        <x:v>1563</x:v>
      </x:c>
      <x:c r="C1157" s="21" t="n">
        <x:v>34145.43787037037</x:v>
      </x:c>
      <x:c r="D1157" s="12" t="n">
        <x:v>33</x:v>
      </x:c>
      <x:c r="E1157" s="12" t="n">
        <x:v>0</x:v>
      </x:c>
      <x:c r="F1157" s="12" t="str">
        <x:v>未记录</x:v>
      </x:c>
      <x:c r="G1157" s="12" t="n">
        <x:v>1</x:v>
      </x:c>
      <x:c r="H1157" s="12" t="str">
        <x:v>{'NORM': 100.0, 'SR': 0.0}</x:v>
      </x:c>
      <x:c r="I1157" s="12" t="str">
        <x:v>[('NSR', 100.0), ('NML', 100.0)]</x:v>
      </x:c>
      <x:c r="J1157" s="12" t="str">
        <x:v>ptbxl_database.csv；ecg_id=10327；scp_codes</x:v>
      </x:c>
      <x:c r="K1157" s="12" t="str">
        <x:v>12sl_statements.csv；ecg_id=10327；statements_ext_snomed</x:v>
      </x:c>
      <x:c r="L1157" s="12"/>
      <x:c r="M1157" s="12" t="str">
        <x:v>negative</x:v>
      </x:c>
      <x:c r="N1157" s="12"/>
      <x:c r="O1157" s="12" t="str">
        <x:v>negative</x:v>
      </x:c>
      <x:c r="P1157" s="12" t="str">
        <x:f>IF(OR(M1157="unavailable",O1157="unavailable"),"不可评价",IF(OR(M1157="equivocal",O1157="equivocal"),"疑似",IF(AND(M1157="positive",O1157="positive"),"a",IF(O1157="positive","b",IF(M1157="positive","c","d")))))</x:f>
        <x:v>d</x:v>
      </x:c>
      <x:c r="Q1157" s="12"/>
      <x:c r="R1157" s="12" t="str">
        <x:v>negative</x:v>
      </x:c>
      <x:c r="S1157" s="12"/>
      <x:c r="T1157" s="12" t="str">
        <x:v>negative</x:v>
      </x:c>
      <x:c r="U1157" s="12" t="str">
        <x:f>IF(OR(R1157="unavailable",T1157="unavailable"),"不可评价",IF(OR(R1157="equivocal",T1157="equivocal"),"疑似",IF(AND(R1157="positive",T1157="positive"),"a",IF(T1157="positive","b",IF(R1157="positive","c","d")))))</x:f>
        <x:v>d</x:v>
      </x:c>
      <x:c r="V1157" s="12"/>
      <x:c r="W1157" s="12" t="str">
        <x:v>negative</x:v>
      </x:c>
      <x:c r="X1157" s="12"/>
      <x:c r="Y1157" s="12" t="str">
        <x:v>negative</x:v>
      </x:c>
      <x:c r="Z1157" s="12" t="str">
        <x:f>IF(OR(W1157="unavailable",Y1157="unavailable"),"不可评价",IF(OR(W1157="equivocal",Y1157="equivocal"),"疑似",IF(AND(W1157="positive",Y1157="positive"),"a",IF(Y1157="positive","b",IF(W1157="positive","c","d")))))</x:f>
        <x:v>d</x:v>
      </x:c>
      <x:c r="AA1157" s="12" t="str">
        <x:f>IF(OR(M1157="unavailable",O1157="unavailable"),"不可评价",IF(AND(OR(M1157="positive",M1157="equivocal"),OR(O1157="positive",O1157="equivocal")),"a",IF(OR(O1157="positive",O1157="equivocal"),"b",IF(OR(M1157="positive",M1157="equivocal"),"c","d"))))</x:f>
        <x:v>d</x:v>
      </x:c>
      <x:c r="AB1157" s="12" t="str">
        <x:f>IF(OR(M1157="unavailable",O1157="unavailable"),"不可评价",IF(AND(M1157="positive",O1157="positive"),"a",IF(O1157="positive","b",IF(M1157="positive","c","d"))))</x:f>
        <x:v>d</x:v>
      </x:c>
      <x:c r="AC1157" s="12" t="str">
        <x:f>IF(OR(R1157="unavailable",T1157="unavailable"),"不可评价",IF(AND(OR(R1157="positive",R1157="equivocal"),OR(T1157="positive",T1157="equivocal")),"a",IF(OR(T1157="positive",T1157="equivocal"),"b",IF(OR(R1157="positive",R1157="equivocal"),"c","d"))))</x:f>
        <x:v>d</x:v>
      </x:c>
      <x:c r="AD1157" s="12" t="str">
        <x:f>IF(OR(R1157="unavailable",T1157="unavailable"),"不可评价",IF(AND(R1157="positive",T1157="positive"),"a",IF(T1157="positive","b",IF(R1157="positive","c","d"))))</x:f>
        <x:v>d</x:v>
      </x:c>
      <x:c r="AE1157" s="12" t="str">
        <x:f>IF(OR(W1157="unavailable",Y1157="unavailable"),"不可评价",IF(AND(OR(W1157="positive",W1157="equivocal"),OR(Y1157="positive",Y1157="equivocal")),"a",IF(OR(Y1157="positive",Y1157="equivocal"),"b",IF(OR(W1157="positive",W1157="equivocal"),"c","d"))))</x:f>
        <x:v>d</x:v>
      </x:c>
      <x:c r="AF1157" s="12" t="str">
        <x:f>IF(OR(W1157="unavailable",Y1157="unavailable"),"不可评价",IF(AND(W1157="positive",Y1157="positive"),"a",IF(Y1157="positive","b",IF(W1157="positive","c","d"))))</x:f>
        <x:v>d</x:v>
      </x:c>
    </x:row>
    <x:row r="1158" ht="24" customHeight="1">
      <x:c r="A1158" s="12" t="str">
        <x:v>10336</x:v>
      </x:c>
      <x:c r="B1158" s="12" t="str">
        <x:v>3198</x:v>
      </x:c>
      <x:c r="C1158" s="21" t="n">
        <x:v>34146.543229166666</x:v>
      </x:c>
      <x:c r="D1158" s="12" t="n">
        <x:v>87</x:v>
      </x:c>
      <x:c r="E1158" s="12" t="n">
        <x:v>1</x:v>
      </x:c>
      <x:c r="F1158" s="12" t="str">
        <x:v>未记录</x:v>
      </x:c>
      <x:c r="G1158" s="12" t="n">
        <x:v>1</x:v>
      </x:c>
      <x:c r="H1158" s="12" t="str">
        <x:v>{'CRBBB': 100.0, 'ISCIN': 100.0, 'PAC': 0.0, 'SR': 0.0}</x:v>
      </x:c>
      <x:c r="I1158" s="12" t="str">
        <x:v>[('SRTH', 100.0), ('PAC', 100.0), ('RBBB', 100.0), ('IT', 100.0), ('AB', 100.0)]</x:v>
      </x:c>
      <x:c r="J1158" s="12" t="str">
        <x:v>ptbxl_database.csv；ecg_id=10336；scp_codes</x:v>
      </x:c>
      <x:c r="K1158" s="12" t="str">
        <x:v>12sl_statements.csv；ecg_id=10336；statements_ext_snomed</x:v>
      </x:c>
      <x:c r="L1158" s="12"/>
      <x:c r="M1158" s="12" t="str">
        <x:v>negative</x:v>
      </x:c>
      <x:c r="N1158" s="12"/>
      <x:c r="O1158" s="12" t="str">
        <x:v>negative</x:v>
      </x:c>
      <x:c r="P1158" s="12" t="str">
        <x:f>IF(OR(M1158="unavailable",O1158="unavailable"),"不可评价",IF(OR(M1158="equivocal",O1158="equivocal"),"疑似",IF(AND(M1158="positive",O1158="positive"),"a",IF(O1158="positive","b",IF(M1158="positive","c","d")))))</x:f>
        <x:v>d</x:v>
      </x:c>
      <x:c r="Q1158" s="12"/>
      <x:c r="R1158" s="12" t="str">
        <x:v>negative</x:v>
      </x:c>
      <x:c r="S1158" s="12"/>
      <x:c r="T1158" s="12" t="str">
        <x:v>negative</x:v>
      </x:c>
      <x:c r="U1158" s="12" t="str">
        <x:f>IF(OR(R1158="unavailable",T1158="unavailable"),"不可评价",IF(OR(R1158="equivocal",T1158="equivocal"),"疑似",IF(AND(R1158="positive",T1158="positive"),"a",IF(T1158="positive","b",IF(R1158="positive","c","d")))))</x:f>
        <x:v>d</x:v>
      </x:c>
      <x:c r="V1158" s="12" t="n">
        <x:v>100</x:v>
      </x:c>
      <x:c r="W1158" s="12" t="str">
        <x:v>positive</x:v>
      </x:c>
      <x:c r="X1158" s="12" t="n">
        <x:v>100</x:v>
      </x:c>
      <x:c r="Y1158" s="12" t="str">
        <x:v>positive</x:v>
      </x:c>
      <x:c r="Z1158" s="12" t="str">
        <x:f>IF(OR(W1158="unavailable",Y1158="unavailable"),"不可评价",IF(OR(W1158="equivocal",Y1158="equivocal"),"疑似",IF(AND(W1158="positive",Y1158="positive"),"a",IF(Y1158="positive","b",IF(W1158="positive","c","d")))))</x:f>
        <x:v>a</x:v>
      </x:c>
      <x:c r="AA1158" s="12" t="str">
        <x:f>IF(OR(M1158="unavailable",O1158="unavailable"),"不可评价",IF(AND(OR(M1158="positive",M1158="equivocal"),OR(O1158="positive",O1158="equivocal")),"a",IF(OR(O1158="positive",O1158="equivocal"),"b",IF(OR(M1158="positive",M1158="equivocal"),"c","d"))))</x:f>
        <x:v>d</x:v>
      </x:c>
      <x:c r="AB1158" s="12" t="str">
        <x:f>IF(OR(M1158="unavailable",O1158="unavailable"),"不可评价",IF(AND(M1158="positive",O1158="positive"),"a",IF(O1158="positive","b",IF(M1158="positive","c","d"))))</x:f>
        <x:v>d</x:v>
      </x:c>
      <x:c r="AC1158" s="12" t="str">
        <x:f>IF(OR(R1158="unavailable",T1158="unavailable"),"不可评价",IF(AND(OR(R1158="positive",R1158="equivocal"),OR(T1158="positive",T1158="equivocal")),"a",IF(OR(T1158="positive",T1158="equivocal"),"b",IF(OR(R1158="positive",R1158="equivocal"),"c","d"))))</x:f>
        <x:v>d</x:v>
      </x:c>
      <x:c r="AD1158" s="12" t="str">
        <x:f>IF(OR(R1158="unavailable",T1158="unavailable"),"不可评价",IF(AND(R1158="positive",T1158="positive"),"a",IF(T1158="positive","b",IF(R1158="positive","c","d"))))</x:f>
        <x:v>d</x:v>
      </x:c>
      <x:c r="AE1158" s="12" t="str">
        <x:f>IF(OR(W1158="unavailable",Y1158="unavailable"),"不可评价",IF(AND(OR(W1158="positive",W1158="equivocal"),OR(Y1158="positive",Y1158="equivocal")),"a",IF(OR(Y1158="positive",Y1158="equivocal"),"b",IF(OR(W1158="positive",W1158="equivocal"),"c","d"))))</x:f>
        <x:v>a</x:v>
      </x:c>
      <x:c r="AF1158" s="12" t="str">
        <x:f>IF(OR(W1158="unavailable",Y1158="unavailable"),"不可评价",IF(AND(W1158="positive",Y1158="positive"),"a",IF(Y1158="positive","b",IF(W1158="positive","c","d"))))</x:f>
        <x:v>a</x:v>
      </x:c>
    </x:row>
    <x:row r="1159" ht="24" customHeight="1">
      <x:c r="A1159" s="12" t="str">
        <x:v>10342</x:v>
      </x:c>
      <x:c r="B1159" s="12" t="str">
        <x:v>322</x:v>
      </x:c>
      <x:c r="C1159" s="21" t="n">
        <x:v>34146.63825231481</x:v>
      </x:c>
      <x:c r="D1159" s="12" t="n">
        <x:v>77</x:v>
      </x:c>
      <x:c r="E1159" s="12" t="n">
        <x:v>0</x:v>
      </x:c>
      <x:c r="F1159" s="12" t="str">
        <x:v>未记录</x:v>
      </x:c>
      <x:c r="G1159" s="12" t="n">
        <x:v>0</x:v>
      </x:c>
      <x:c r="H1159" s="12" t="str">
        <x:v>{'NDT': 100.0, 'AFIB': 0.0}</x:v>
      </x:c>
      <x:c r="I1159" s="12" t="str">
        <x:v>[('AFIB', 100.0), ('AB', 100.0)]</x:v>
      </x:c>
      <x:c r="J1159" s="12" t="str">
        <x:v>ptbxl_database.csv；ecg_id=10342；scp_codes</x:v>
      </x:c>
      <x:c r="K1159" s="12" t="str">
        <x:v>12sl_statements.csv；ecg_id=10342；statements_ext_snomed</x:v>
      </x:c>
      <x:c r="L1159" s="12" t="n">
        <x:v>0</x:v>
      </x:c>
      <x:c r="M1159" s="12" t="str">
        <x:v>positive</x:v>
      </x:c>
      <x:c r="N1159" s="12" t="n">
        <x:v>100</x:v>
      </x:c>
      <x:c r="O1159" s="12" t="str">
        <x:v>positive</x:v>
      </x:c>
      <x:c r="P1159" s="12" t="str">
        <x:f>IF(OR(M1159="unavailable",O1159="unavailable"),"不可评价",IF(OR(M1159="equivocal",O1159="equivocal"),"疑似",IF(AND(M1159="positive",O1159="positive"),"a",IF(O1159="positive","b",IF(M1159="positive","c","d")))))</x:f>
        <x:v>a</x:v>
      </x:c>
      <x:c r="Q1159" s="12"/>
      <x:c r="R1159" s="12" t="str">
        <x:v>negative</x:v>
      </x:c>
      <x:c r="S1159" s="12"/>
      <x:c r="T1159" s="12" t="str">
        <x:v>negative</x:v>
      </x:c>
      <x:c r="U1159" s="12" t="str">
        <x:f>IF(OR(R1159="unavailable",T1159="unavailable"),"不可评价",IF(OR(R1159="equivocal",T1159="equivocal"),"疑似",IF(AND(R1159="positive",T1159="positive"),"a",IF(T1159="positive","b",IF(R1159="positive","c","d")))))</x:f>
        <x:v>d</x:v>
      </x:c>
      <x:c r="V1159" s="12"/>
      <x:c r="W1159" s="12" t="str">
        <x:v>negative</x:v>
      </x:c>
      <x:c r="X1159" s="12"/>
      <x:c r="Y1159" s="12" t="str">
        <x:v>negative</x:v>
      </x:c>
      <x:c r="Z1159" s="12" t="str">
        <x:f>IF(OR(W1159="unavailable",Y1159="unavailable"),"不可评价",IF(OR(W1159="equivocal",Y1159="equivocal"),"疑似",IF(AND(W1159="positive",Y1159="positive"),"a",IF(Y1159="positive","b",IF(W1159="positive","c","d")))))</x:f>
        <x:v>d</x:v>
      </x:c>
      <x:c r="AA1159" s="12" t="str">
        <x:f>IF(OR(M1159="unavailable",O1159="unavailable"),"不可评价",IF(AND(OR(M1159="positive",M1159="equivocal"),OR(O1159="positive",O1159="equivocal")),"a",IF(OR(O1159="positive",O1159="equivocal"),"b",IF(OR(M1159="positive",M1159="equivocal"),"c","d"))))</x:f>
        <x:v>a</x:v>
      </x:c>
      <x:c r="AB1159" s="12" t="str">
        <x:f>IF(OR(M1159="unavailable",O1159="unavailable"),"不可评价",IF(AND(M1159="positive",O1159="positive"),"a",IF(O1159="positive","b",IF(M1159="positive","c","d"))))</x:f>
        <x:v>a</x:v>
      </x:c>
      <x:c r="AC1159" s="12" t="str">
        <x:f>IF(OR(R1159="unavailable",T1159="unavailable"),"不可评价",IF(AND(OR(R1159="positive",R1159="equivocal"),OR(T1159="positive",T1159="equivocal")),"a",IF(OR(T1159="positive",T1159="equivocal"),"b",IF(OR(R1159="positive",R1159="equivocal"),"c","d"))))</x:f>
        <x:v>d</x:v>
      </x:c>
      <x:c r="AD1159" s="12" t="str">
        <x:f>IF(OR(R1159="unavailable",T1159="unavailable"),"不可评价",IF(AND(R1159="positive",T1159="positive"),"a",IF(T1159="positive","b",IF(R1159="positive","c","d"))))</x:f>
        <x:v>d</x:v>
      </x:c>
      <x:c r="AE1159" s="12" t="str">
        <x:f>IF(OR(W1159="unavailable",Y1159="unavailable"),"不可评价",IF(AND(OR(W1159="positive",W1159="equivocal"),OR(Y1159="positive",Y1159="equivocal")),"a",IF(OR(Y1159="positive",Y1159="equivocal"),"b",IF(OR(W1159="positive",W1159="equivocal"),"c","d"))))</x:f>
        <x:v>d</x:v>
      </x:c>
      <x:c r="AF1159" s="12" t="str">
        <x:f>IF(OR(W1159="unavailable",Y1159="unavailable"),"不可评价",IF(AND(W1159="positive",Y1159="positive"),"a",IF(Y1159="positive","b",IF(W1159="positive","c","d"))))</x:f>
        <x:v>d</x:v>
      </x:c>
    </x:row>
    <x:row r="1160" ht="39" customHeight="1">
      <x:c r="A1160" s="12" t="str">
        <x:v>10344</x:v>
      </x:c>
      <x:c r="B1160" s="12" t="str">
        <x:v>2170</x:v>
      </x:c>
      <x:c r="C1160" s="21" t="n">
        <x:v>34146.72971064815</x:v>
      </x:c>
      <x:c r="D1160" s="12" t="n">
        <x:v>78</x:v>
      </x:c>
      <x:c r="E1160" s="12" t="n">
        <x:v>1</x:v>
      </x:c>
      <x:c r="F1160" s="12" t="str">
        <x:v>未记录</x:v>
      </x:c>
      <x:c r="G1160" s="12" t="n">
        <x:v>1</x:v>
      </x:c>
      <x:c r="H1160" s="12" t="str">
        <x:v>{'LAFB': 100.0, 'ISC_': 80.0, 'LVH': 100.0, 'NST_': 0.0, 'STACH': 0.0}</x:v>
      </x:c>
      <x:c r="I1160" s="12" t="str">
        <x:v>[('STACH', 100.0), ('LAD3', 100.0), ('LVH2', 100.0), ('2ST', 100.0), ('NST', 100.0), ('AB', 100.0)]</x:v>
      </x:c>
      <x:c r="J1160" s="12" t="str">
        <x:v>ptbxl_database.csv；ecg_id=10344；scp_codes</x:v>
      </x:c>
      <x:c r="K1160" s="12" t="str">
        <x:v>12sl_statements.csv；ecg_id=10344；statements_ext_snomed</x:v>
      </x:c>
      <x:c r="L1160" s="12"/>
      <x:c r="M1160" s="12" t="str">
        <x:v>negative</x:v>
      </x:c>
      <x:c r="N1160" s="12"/>
      <x:c r="O1160" s="12" t="str">
        <x:v>negative</x:v>
      </x:c>
      <x:c r="P1160" s="12" t="str">
        <x:f>IF(OR(M1160="unavailable",O1160="unavailable"),"不可评价",IF(OR(M1160="equivocal",O1160="equivocal"),"疑似",IF(AND(M1160="positive",O1160="positive"),"a",IF(O1160="positive","b",IF(M1160="positive","c","d")))))</x:f>
        <x:v>d</x:v>
      </x:c>
      <x:c r="Q1160" s="12"/>
      <x:c r="R1160" s="12" t="str">
        <x:v>negative</x:v>
      </x:c>
      <x:c r="S1160" s="12"/>
      <x:c r="T1160" s="12" t="str">
        <x:v>negative</x:v>
      </x:c>
      <x:c r="U1160" s="12" t="str">
        <x:f>IF(OR(R1160="unavailable",T1160="unavailable"),"不可评价",IF(OR(R1160="equivocal",T1160="equivocal"),"疑似",IF(AND(R1160="positive",T1160="positive"),"a",IF(T1160="positive","b",IF(R1160="positive","c","d")))))</x:f>
        <x:v>d</x:v>
      </x:c>
      <x:c r="V1160" s="12"/>
      <x:c r="W1160" s="12" t="str">
        <x:v>negative</x:v>
      </x:c>
      <x:c r="X1160" s="12"/>
      <x:c r="Y1160" s="12" t="str">
        <x:v>negative</x:v>
      </x:c>
      <x:c r="Z1160" s="12" t="str">
        <x:f>IF(OR(W1160="unavailable",Y1160="unavailable"),"不可评价",IF(OR(W1160="equivocal",Y1160="equivocal"),"疑似",IF(AND(W1160="positive",Y1160="positive"),"a",IF(Y1160="positive","b",IF(W1160="positive","c","d")))))</x:f>
        <x:v>d</x:v>
      </x:c>
      <x:c r="AA1160" s="12" t="str">
        <x:f>IF(OR(M1160="unavailable",O1160="unavailable"),"不可评价",IF(AND(OR(M1160="positive",M1160="equivocal"),OR(O1160="positive",O1160="equivocal")),"a",IF(OR(O1160="positive",O1160="equivocal"),"b",IF(OR(M1160="positive",M1160="equivocal"),"c","d"))))</x:f>
        <x:v>d</x:v>
      </x:c>
      <x:c r="AB1160" s="12" t="str">
        <x:f>IF(OR(M1160="unavailable",O1160="unavailable"),"不可评价",IF(AND(M1160="positive",O1160="positive"),"a",IF(O1160="positive","b",IF(M1160="positive","c","d"))))</x:f>
        <x:v>d</x:v>
      </x:c>
      <x:c r="AC1160" s="12" t="str">
        <x:f>IF(OR(R1160="unavailable",T1160="unavailable"),"不可评价",IF(AND(OR(R1160="positive",R1160="equivocal"),OR(T1160="positive",T1160="equivocal")),"a",IF(OR(T1160="positive",T1160="equivocal"),"b",IF(OR(R1160="positive",R1160="equivocal"),"c","d"))))</x:f>
        <x:v>d</x:v>
      </x:c>
      <x:c r="AD1160" s="12" t="str">
        <x:f>IF(OR(R1160="unavailable",T1160="unavailable"),"不可评价",IF(AND(R1160="positive",T1160="positive"),"a",IF(T1160="positive","b",IF(R1160="positive","c","d"))))</x:f>
        <x:v>d</x:v>
      </x:c>
      <x:c r="AE1160" s="12" t="str">
        <x:f>IF(OR(W1160="unavailable",Y1160="unavailable"),"不可评价",IF(AND(OR(W1160="positive",W1160="equivocal"),OR(Y1160="positive",Y1160="equivocal")),"a",IF(OR(Y1160="positive",Y1160="equivocal"),"b",IF(OR(W1160="positive",W1160="equivocal"),"c","d"))))</x:f>
        <x:v>d</x:v>
      </x:c>
      <x:c r="AF1160" s="12" t="str">
        <x:f>IF(OR(W1160="unavailable",Y1160="unavailable"),"不可评价",IF(AND(W1160="positive",Y1160="positive"),"a",IF(Y1160="positive","b",IF(W1160="positive","c","d"))))</x:f>
        <x:v>d</x:v>
      </x:c>
    </x:row>
    <x:row r="1161" ht="24" customHeight="1">
      <x:c r="A1161" s="12" t="str">
        <x:v>10356</x:v>
      </x:c>
      <x:c r="B1161" s="12" t="str">
        <x:v>16512</x:v>
      </x:c>
      <x:c r="C1161" s="21" t="n">
        <x:v>34149.57083333333</x:v>
      </x:c>
      <x:c r="D1161" s="12" t="n">
        <x:v>41</x:v>
      </x:c>
      <x:c r="E1161" s="12" t="n">
        <x:v>1</x:v>
      </x:c>
      <x:c r="F1161" s="12" t="str">
        <x:v>存在</x:v>
      </x:c>
      <x:c r="G1161" s="12" t="n">
        <x:v>1</x:v>
      </x:c>
      <x:c r="H1161" s="12" t="str">
        <x:v>{'NORM': 80.0, 'SVTAC': 0.0}</x:v>
      </x:c>
      <x:c r="I1161" s="12" t="str">
        <x:v>[('STACH', 100.0), ('ABR', 100.0)]</x:v>
      </x:c>
      <x:c r="J1161" s="12" t="str">
        <x:v>ptbxl_database.csv；ecg_id=10356；scp_codes</x:v>
      </x:c>
      <x:c r="K1161" s="12" t="str">
        <x:v>12sl_statements.csv；ecg_id=10356；statements_ext_snomed</x:v>
      </x:c>
      <x:c r="L1161" s="12"/>
      <x:c r="M1161" s="12" t="str">
        <x:v>negative</x:v>
      </x:c>
      <x:c r="N1161" s="12"/>
      <x:c r="O1161" s="12" t="str">
        <x:v>negative</x:v>
      </x:c>
      <x:c r="P1161" s="12" t="str">
        <x:f>IF(OR(M1161="unavailable",O1161="unavailable"),"不可评价",IF(OR(M1161="equivocal",O1161="equivocal"),"疑似",IF(AND(M1161="positive",O1161="positive"),"a",IF(O1161="positive","b",IF(M1161="positive","c","d")))))</x:f>
        <x:v>d</x:v>
      </x:c>
      <x:c r="Q1161" s="12"/>
      <x:c r="R1161" s="12" t="str">
        <x:v>negative</x:v>
      </x:c>
      <x:c r="S1161" s="12"/>
      <x:c r="T1161" s="12" t="str">
        <x:v>negative</x:v>
      </x:c>
      <x:c r="U1161" s="12" t="str">
        <x:f>IF(OR(R1161="unavailable",T1161="unavailable"),"不可评价",IF(OR(R1161="equivocal",T1161="equivocal"),"疑似",IF(AND(R1161="positive",T1161="positive"),"a",IF(T1161="positive","b",IF(R1161="positive","c","d")))))</x:f>
        <x:v>d</x:v>
      </x:c>
      <x:c r="V1161" s="12"/>
      <x:c r="W1161" s="12" t="str">
        <x:v>negative</x:v>
      </x:c>
      <x:c r="X1161" s="12"/>
      <x:c r="Y1161" s="12" t="str">
        <x:v>negative</x:v>
      </x:c>
      <x:c r="Z1161" s="12" t="str">
        <x:f>IF(OR(W1161="unavailable",Y1161="unavailable"),"不可评价",IF(OR(W1161="equivocal",Y1161="equivocal"),"疑似",IF(AND(W1161="positive",Y1161="positive"),"a",IF(Y1161="positive","b",IF(W1161="positive","c","d")))))</x:f>
        <x:v>d</x:v>
      </x:c>
      <x:c r="AA1161" s="12" t="str">
        <x:f>IF(OR(M1161="unavailable",O1161="unavailable"),"不可评价",IF(AND(OR(M1161="positive",M1161="equivocal"),OR(O1161="positive",O1161="equivocal")),"a",IF(OR(O1161="positive",O1161="equivocal"),"b",IF(OR(M1161="positive",M1161="equivocal"),"c","d"))))</x:f>
        <x:v>d</x:v>
      </x:c>
      <x:c r="AB1161" s="12" t="str">
        <x:f>IF(OR(M1161="unavailable",O1161="unavailable"),"不可评价",IF(AND(M1161="positive",O1161="positive"),"a",IF(O1161="positive","b",IF(M1161="positive","c","d"))))</x:f>
        <x:v>d</x:v>
      </x:c>
      <x:c r="AC1161" s="12" t="str">
        <x:f>IF(OR(R1161="unavailable",T1161="unavailable"),"不可评价",IF(AND(OR(R1161="positive",R1161="equivocal"),OR(T1161="positive",T1161="equivocal")),"a",IF(OR(T1161="positive",T1161="equivocal"),"b",IF(OR(R1161="positive",R1161="equivocal"),"c","d"))))</x:f>
        <x:v>d</x:v>
      </x:c>
      <x:c r="AD1161" s="12" t="str">
        <x:f>IF(OR(R1161="unavailable",T1161="unavailable"),"不可评价",IF(AND(R1161="positive",T1161="positive"),"a",IF(T1161="positive","b",IF(R1161="positive","c","d"))))</x:f>
        <x:v>d</x:v>
      </x:c>
      <x:c r="AE1161" s="12" t="str">
        <x:f>IF(OR(W1161="unavailable",Y1161="unavailable"),"不可评价",IF(AND(OR(W1161="positive",W1161="equivocal"),OR(Y1161="positive",Y1161="equivocal")),"a",IF(OR(Y1161="positive",Y1161="equivocal"),"b",IF(OR(W1161="positive",W1161="equivocal"),"c","d"))))</x:f>
        <x:v>d</x:v>
      </x:c>
      <x:c r="AF1161" s="12" t="str">
        <x:f>IF(OR(W1161="unavailable",Y1161="unavailable"),"不可评价",IF(AND(W1161="positive",Y1161="positive"),"a",IF(Y1161="positive","b",IF(W1161="positive","c","d"))))</x:f>
        <x:v>d</x:v>
      </x:c>
    </x:row>
    <x:row r="1162" ht="24" customHeight="1">
      <x:c r="A1162" s="12" t="str">
        <x:v>10358</x:v>
      </x:c>
      <x:c r="B1162" s="12" t="str">
        <x:v>5425</x:v>
      </x:c>
      <x:c r="C1162" s="21" t="n">
        <x:v>34149.58258101852</x:v>
      </x:c>
      <x:c r="D1162" s="12" t="n">
        <x:v>34</x:v>
      </x:c>
      <x:c r="E1162" s="12" t="n">
        <x:v>0</x:v>
      </x:c>
      <x:c r="F1162" s="12" t="str">
        <x:v>未记录</x:v>
      </x:c>
      <x:c r="G1162" s="12" t="n">
        <x:v>1</x:v>
      </x:c>
      <x:c r="H1162" s="12" t="str">
        <x:v>{'NORM': 100.0, 'SR': 0.0}</x:v>
      </x:c>
      <x:c r="I1162" s="12" t="str">
        <x:v>[('NSR', 100.0), ('NML', 100.0)]</x:v>
      </x:c>
      <x:c r="J1162" s="12" t="str">
        <x:v>ptbxl_database.csv；ecg_id=10358；scp_codes</x:v>
      </x:c>
      <x:c r="K1162" s="12" t="str">
        <x:v>12sl_statements.csv；ecg_id=10358；statements_ext_snomed</x:v>
      </x:c>
      <x:c r="L1162" s="12"/>
      <x:c r="M1162" s="12" t="str">
        <x:v>negative</x:v>
      </x:c>
      <x:c r="N1162" s="12"/>
      <x:c r="O1162" s="12" t="str">
        <x:v>negative</x:v>
      </x:c>
      <x:c r="P1162" s="12" t="str">
        <x:f>IF(OR(M1162="unavailable",O1162="unavailable"),"不可评价",IF(OR(M1162="equivocal",O1162="equivocal"),"疑似",IF(AND(M1162="positive",O1162="positive"),"a",IF(O1162="positive","b",IF(M1162="positive","c","d")))))</x:f>
        <x:v>d</x:v>
      </x:c>
      <x:c r="Q1162" s="12"/>
      <x:c r="R1162" s="12" t="str">
        <x:v>negative</x:v>
      </x:c>
      <x:c r="S1162" s="12"/>
      <x:c r="T1162" s="12" t="str">
        <x:v>negative</x:v>
      </x:c>
      <x:c r="U1162" s="12" t="str">
        <x:f>IF(OR(R1162="unavailable",T1162="unavailable"),"不可评价",IF(OR(R1162="equivocal",T1162="equivocal"),"疑似",IF(AND(R1162="positive",T1162="positive"),"a",IF(T1162="positive","b",IF(R1162="positive","c","d")))))</x:f>
        <x:v>d</x:v>
      </x:c>
      <x:c r="V1162" s="12"/>
      <x:c r="W1162" s="12" t="str">
        <x:v>negative</x:v>
      </x:c>
      <x:c r="X1162" s="12"/>
      <x:c r="Y1162" s="12" t="str">
        <x:v>negative</x:v>
      </x:c>
      <x:c r="Z1162" s="12" t="str">
        <x:f>IF(OR(W1162="unavailable",Y1162="unavailable"),"不可评价",IF(OR(W1162="equivocal",Y1162="equivocal"),"疑似",IF(AND(W1162="positive",Y1162="positive"),"a",IF(Y1162="positive","b",IF(W1162="positive","c","d")))))</x:f>
        <x:v>d</x:v>
      </x:c>
      <x:c r="AA1162" s="12" t="str">
        <x:f>IF(OR(M1162="unavailable",O1162="unavailable"),"不可评价",IF(AND(OR(M1162="positive",M1162="equivocal"),OR(O1162="positive",O1162="equivocal")),"a",IF(OR(O1162="positive",O1162="equivocal"),"b",IF(OR(M1162="positive",M1162="equivocal"),"c","d"))))</x:f>
        <x:v>d</x:v>
      </x:c>
      <x:c r="AB1162" s="12" t="str">
        <x:f>IF(OR(M1162="unavailable",O1162="unavailable"),"不可评价",IF(AND(M1162="positive",O1162="positive"),"a",IF(O1162="positive","b",IF(M1162="positive","c","d"))))</x:f>
        <x:v>d</x:v>
      </x:c>
      <x:c r="AC1162" s="12" t="str">
        <x:f>IF(OR(R1162="unavailable",T1162="unavailable"),"不可评价",IF(AND(OR(R1162="positive",R1162="equivocal"),OR(T1162="positive",T1162="equivocal")),"a",IF(OR(T1162="positive",T1162="equivocal"),"b",IF(OR(R1162="positive",R1162="equivocal"),"c","d"))))</x:f>
        <x:v>d</x:v>
      </x:c>
      <x:c r="AD1162" s="12" t="str">
        <x:f>IF(OR(R1162="unavailable",T1162="unavailable"),"不可评价",IF(AND(R1162="positive",T1162="positive"),"a",IF(T1162="positive","b",IF(R1162="positive","c","d"))))</x:f>
        <x:v>d</x:v>
      </x:c>
      <x:c r="AE1162" s="12" t="str">
        <x:f>IF(OR(W1162="unavailable",Y1162="unavailable"),"不可评价",IF(AND(OR(W1162="positive",W1162="equivocal"),OR(Y1162="positive",Y1162="equivocal")),"a",IF(OR(Y1162="positive",Y1162="equivocal"),"b",IF(OR(W1162="positive",W1162="equivocal"),"c","d"))))</x:f>
        <x:v>d</x:v>
      </x:c>
      <x:c r="AF1162" s="12" t="str">
        <x:f>IF(OR(W1162="unavailable",Y1162="unavailable"),"不可评价",IF(AND(W1162="positive",Y1162="positive"),"a",IF(Y1162="positive","b",IF(W1162="positive","c","d"))))</x:f>
        <x:v>d</x:v>
      </x:c>
    </x:row>
    <x:row r="1163" ht="24" customHeight="1">
      <x:c r="A1163" s="12" t="str">
        <x:v>10359</x:v>
      </x:c>
      <x:c r="B1163" s="12" t="str">
        <x:v>7297</x:v>
      </x:c>
      <x:c r="C1163" s="21" t="n">
        <x:v>34149.61387731481</x:v>
      </x:c>
      <x:c r="D1163" s="12" t="n">
        <x:v>76</x:v>
      </x:c>
      <x:c r="E1163" s="12" t="n">
        <x:v>0</x:v>
      </x:c>
      <x:c r="F1163" s="12" t="str">
        <x:v>未记录</x:v>
      </x:c>
      <x:c r="G1163" s="12" t="n">
        <x:v>1</x:v>
      </x:c>
      <x:c r="H1163" s="12" t="str">
        <x:v>{'CRBBB': 100.0, 'SR': 0.0}</x:v>
      </x:c>
      <x:c r="I1163" s="12" t="str">
        <x:v>[('NSR', 100.0), ('SAR', 100.0), ('RBBB', 100.0), ('AB', 100.0)]</x:v>
      </x:c>
      <x:c r="J1163" s="12" t="str">
        <x:v>ptbxl_database.csv；ecg_id=10359；scp_codes</x:v>
      </x:c>
      <x:c r="K1163" s="12" t="str">
        <x:v>12sl_statements.csv；ecg_id=10359；statements_ext_snomed</x:v>
      </x:c>
      <x:c r="L1163" s="12"/>
      <x:c r="M1163" s="12" t="str">
        <x:v>negative</x:v>
      </x:c>
      <x:c r="N1163" s="12"/>
      <x:c r="O1163" s="12" t="str">
        <x:v>negative</x:v>
      </x:c>
      <x:c r="P1163" s="12" t="str">
        <x:f>IF(OR(M1163="unavailable",O1163="unavailable"),"不可评价",IF(OR(M1163="equivocal",O1163="equivocal"),"疑似",IF(AND(M1163="positive",O1163="positive"),"a",IF(O1163="positive","b",IF(M1163="positive","c","d")))))</x:f>
        <x:v>d</x:v>
      </x:c>
      <x:c r="Q1163" s="12"/>
      <x:c r="R1163" s="12" t="str">
        <x:v>negative</x:v>
      </x:c>
      <x:c r="S1163" s="12"/>
      <x:c r="T1163" s="12" t="str">
        <x:v>negative</x:v>
      </x:c>
      <x:c r="U1163" s="12" t="str">
        <x:f>IF(OR(R1163="unavailable",T1163="unavailable"),"不可评价",IF(OR(R1163="equivocal",T1163="equivocal"),"疑似",IF(AND(R1163="positive",T1163="positive"),"a",IF(T1163="positive","b",IF(R1163="positive","c","d")))))</x:f>
        <x:v>d</x:v>
      </x:c>
      <x:c r="V1163" s="12" t="n">
        <x:v>100</x:v>
      </x:c>
      <x:c r="W1163" s="12" t="str">
        <x:v>positive</x:v>
      </x:c>
      <x:c r="X1163" s="12" t="n">
        <x:v>100</x:v>
      </x:c>
      <x:c r="Y1163" s="12" t="str">
        <x:v>positive</x:v>
      </x:c>
      <x:c r="Z1163" s="12" t="str">
        <x:f>IF(OR(W1163="unavailable",Y1163="unavailable"),"不可评价",IF(OR(W1163="equivocal",Y1163="equivocal"),"疑似",IF(AND(W1163="positive",Y1163="positive"),"a",IF(Y1163="positive","b",IF(W1163="positive","c","d")))))</x:f>
        <x:v>a</x:v>
      </x:c>
      <x:c r="AA1163" s="12" t="str">
        <x:f>IF(OR(M1163="unavailable",O1163="unavailable"),"不可评价",IF(AND(OR(M1163="positive",M1163="equivocal"),OR(O1163="positive",O1163="equivocal")),"a",IF(OR(O1163="positive",O1163="equivocal"),"b",IF(OR(M1163="positive",M1163="equivocal"),"c","d"))))</x:f>
        <x:v>d</x:v>
      </x:c>
      <x:c r="AB1163" s="12" t="str">
        <x:f>IF(OR(M1163="unavailable",O1163="unavailable"),"不可评价",IF(AND(M1163="positive",O1163="positive"),"a",IF(O1163="positive","b",IF(M1163="positive","c","d"))))</x:f>
        <x:v>d</x:v>
      </x:c>
      <x:c r="AC1163" s="12" t="str">
        <x:f>IF(OR(R1163="unavailable",T1163="unavailable"),"不可评价",IF(AND(OR(R1163="positive",R1163="equivocal"),OR(T1163="positive",T1163="equivocal")),"a",IF(OR(T1163="positive",T1163="equivocal"),"b",IF(OR(R1163="positive",R1163="equivocal"),"c","d"))))</x:f>
        <x:v>d</x:v>
      </x:c>
      <x:c r="AD1163" s="12" t="str">
        <x:f>IF(OR(R1163="unavailable",T1163="unavailable"),"不可评价",IF(AND(R1163="positive",T1163="positive"),"a",IF(T1163="positive","b",IF(R1163="positive","c","d"))))</x:f>
        <x:v>d</x:v>
      </x:c>
      <x:c r="AE1163" s="12" t="str">
        <x:f>IF(OR(W1163="unavailable",Y1163="unavailable"),"不可评价",IF(AND(OR(W1163="positive",W1163="equivocal"),OR(Y1163="positive",Y1163="equivocal")),"a",IF(OR(Y1163="positive",Y1163="equivocal"),"b",IF(OR(W1163="positive",W1163="equivocal"),"c","d"))))</x:f>
        <x:v>a</x:v>
      </x:c>
      <x:c r="AF1163" s="12" t="str">
        <x:f>IF(OR(W1163="unavailable",Y1163="unavailable"),"不可评价",IF(AND(W1163="positive",Y1163="positive"),"a",IF(Y1163="positive","b",IF(W1163="positive","c","d"))))</x:f>
        <x:v>a</x:v>
      </x:c>
    </x:row>
    <x:row r="1164" ht="24" customHeight="1">
      <x:c r="A1164" s="12" t="str">
        <x:v>10380</x:v>
      </x:c>
      <x:c r="B1164" s="12" t="str">
        <x:v>11701</x:v>
      </x:c>
      <x:c r="C1164" s="21" t="n">
        <x:v>34150.721041666664</x:v>
      </x:c>
      <x:c r="D1164" s="12" t="n">
        <x:v>51</x:v>
      </x:c>
      <x:c r="E1164" s="12" t="n">
        <x:v>0</x:v>
      </x:c>
      <x:c r="F1164" s="12" t="str">
        <x:v>未记录</x:v>
      </x:c>
      <x:c r="G1164" s="12" t="n">
        <x:v>1</x:v>
      </x:c>
      <x:c r="H1164" s="12" t="str">
        <x:v>{'NORM': 50.0, 'SR': 0.0}</x:v>
      </x:c>
      <x:c r="I1164" s="12" t="str">
        <x:v>[('NSR', 100.0), ('BORDE', 100.0)]</x:v>
      </x:c>
      <x:c r="J1164" s="12" t="str">
        <x:v>ptbxl_database.csv；ecg_id=10380；scp_codes</x:v>
      </x:c>
      <x:c r="K1164" s="12" t="str">
        <x:v>12sl_statements.csv；ecg_id=10380；statements_ext_snomed</x:v>
      </x:c>
      <x:c r="L1164" s="12"/>
      <x:c r="M1164" s="12" t="str">
        <x:v>negative</x:v>
      </x:c>
      <x:c r="N1164" s="12"/>
      <x:c r="O1164" s="12" t="str">
        <x:v>negative</x:v>
      </x:c>
      <x:c r="P1164" s="12" t="str">
        <x:f>IF(OR(M1164="unavailable",O1164="unavailable"),"不可评价",IF(OR(M1164="equivocal",O1164="equivocal"),"疑似",IF(AND(M1164="positive",O1164="positive"),"a",IF(O1164="positive","b",IF(M1164="positive","c","d")))))</x:f>
        <x:v>d</x:v>
      </x:c>
      <x:c r="Q1164" s="12"/>
      <x:c r="R1164" s="12" t="str">
        <x:v>negative</x:v>
      </x:c>
      <x:c r="S1164" s="12"/>
      <x:c r="T1164" s="12" t="str">
        <x:v>negative</x:v>
      </x:c>
      <x:c r="U1164" s="12" t="str">
        <x:f>IF(OR(R1164="unavailable",T1164="unavailable"),"不可评价",IF(OR(R1164="equivocal",T1164="equivocal"),"疑似",IF(AND(R1164="positive",T1164="positive"),"a",IF(T1164="positive","b",IF(R1164="positive","c","d")))))</x:f>
        <x:v>d</x:v>
      </x:c>
      <x:c r="V1164" s="12"/>
      <x:c r="W1164" s="12" t="str">
        <x:v>negative</x:v>
      </x:c>
      <x:c r="X1164" s="12"/>
      <x:c r="Y1164" s="12" t="str">
        <x:v>negative</x:v>
      </x:c>
      <x:c r="Z1164" s="12" t="str">
        <x:f>IF(OR(W1164="unavailable",Y1164="unavailable"),"不可评价",IF(OR(W1164="equivocal",Y1164="equivocal"),"疑似",IF(AND(W1164="positive",Y1164="positive"),"a",IF(Y1164="positive","b",IF(W1164="positive","c","d")))))</x:f>
        <x:v>d</x:v>
      </x:c>
      <x:c r="AA1164" s="12" t="str">
        <x:f>IF(OR(M1164="unavailable",O1164="unavailable"),"不可评价",IF(AND(OR(M1164="positive",M1164="equivocal"),OR(O1164="positive",O1164="equivocal")),"a",IF(OR(O1164="positive",O1164="equivocal"),"b",IF(OR(M1164="positive",M1164="equivocal"),"c","d"))))</x:f>
        <x:v>d</x:v>
      </x:c>
      <x:c r="AB1164" s="12" t="str">
        <x:f>IF(OR(M1164="unavailable",O1164="unavailable"),"不可评价",IF(AND(M1164="positive",O1164="positive"),"a",IF(O1164="positive","b",IF(M1164="positive","c","d"))))</x:f>
        <x:v>d</x:v>
      </x:c>
      <x:c r="AC1164" s="12" t="str">
        <x:f>IF(OR(R1164="unavailable",T1164="unavailable"),"不可评价",IF(AND(OR(R1164="positive",R1164="equivocal"),OR(T1164="positive",T1164="equivocal")),"a",IF(OR(T1164="positive",T1164="equivocal"),"b",IF(OR(R1164="positive",R1164="equivocal"),"c","d"))))</x:f>
        <x:v>d</x:v>
      </x:c>
      <x:c r="AD1164" s="12" t="str">
        <x:f>IF(OR(R1164="unavailable",T1164="unavailable"),"不可评价",IF(AND(R1164="positive",T1164="positive"),"a",IF(T1164="positive","b",IF(R1164="positive","c","d"))))</x:f>
        <x:v>d</x:v>
      </x:c>
      <x:c r="AE1164" s="12" t="str">
        <x:f>IF(OR(W1164="unavailable",Y1164="unavailable"),"不可评价",IF(AND(OR(W1164="positive",W1164="equivocal"),OR(Y1164="positive",Y1164="equivocal")),"a",IF(OR(Y1164="positive",Y1164="equivocal"),"b",IF(OR(W1164="positive",W1164="equivocal"),"c","d"))))</x:f>
        <x:v>d</x:v>
      </x:c>
      <x:c r="AF1164" s="12" t="str">
        <x:f>IF(OR(W1164="unavailable",Y1164="unavailable"),"不可评价",IF(AND(W1164="positive",Y1164="positive"),"a",IF(Y1164="positive","b",IF(W1164="positive","c","d"))))</x:f>
        <x:v>d</x:v>
      </x:c>
    </x:row>
    <x:row r="1165" ht="24" customHeight="1">
      <x:c r="A1165" s="12" t="str">
        <x:v>10383</x:v>
      </x:c>
      <x:c r="B1165" s="12" t="str">
        <x:v>1129</x:v>
      </x:c>
      <x:c r="C1165" s="21" t="n">
        <x:v>34151.37331018518</x:v>
      </x:c>
      <x:c r="D1165" s="12" t="n">
        <x:v>72</x:v>
      </x:c>
      <x:c r="E1165" s="12" t="n">
        <x:v>1</x:v>
      </x:c>
      <x:c r="F1165" s="12" t="str">
        <x:v>未记录</x:v>
      </x:c>
      <x:c r="G1165" s="12" t="n">
        <x:v>1</x:v>
      </x:c>
      <x:c r="H1165" s="12" t="str">
        <x:v>{'IRBBB': 100.0, 'LAFB': 100.0, 'SR': 0.0}</x:v>
      </x:c>
      <x:c r="I1165" s="12" t="str">
        <x:v>[('NSR', 100.0), ('IRBBB', 100.0), ('AMI;AU', 50.0), ('AB', 100.0)]</x:v>
      </x:c>
      <x:c r="J1165" s="12" t="str">
        <x:v>ptbxl_database.csv；ecg_id=10383；scp_codes</x:v>
      </x:c>
      <x:c r="K1165" s="12" t="str">
        <x:v>12sl_statements.csv；ecg_id=10383；statements_ext_snomed</x:v>
      </x:c>
      <x:c r="L1165" s="12"/>
      <x:c r="M1165" s="12" t="str">
        <x:v>negative</x:v>
      </x:c>
      <x:c r="N1165" s="12"/>
      <x:c r="O1165" s="12" t="str">
        <x:v>negative</x:v>
      </x:c>
      <x:c r="P1165" s="12" t="str">
        <x:f>IF(OR(M1165="unavailable",O1165="unavailable"),"不可评价",IF(OR(M1165="equivocal",O1165="equivocal"),"疑似",IF(AND(M1165="positive",O1165="positive"),"a",IF(O1165="positive","b",IF(M1165="positive","c","d")))))</x:f>
        <x:v>d</x:v>
      </x:c>
      <x:c r="Q1165" s="12"/>
      <x:c r="R1165" s="12" t="str">
        <x:v>negative</x:v>
      </x:c>
      <x:c r="S1165" s="12"/>
      <x:c r="T1165" s="12" t="str">
        <x:v>negative</x:v>
      </x:c>
      <x:c r="U1165" s="12" t="str">
        <x:f>IF(OR(R1165="unavailable",T1165="unavailable"),"不可评价",IF(OR(R1165="equivocal",T1165="equivocal"),"疑似",IF(AND(R1165="positive",T1165="positive"),"a",IF(T1165="positive","b",IF(R1165="positive","c","d")))))</x:f>
        <x:v>d</x:v>
      </x:c>
      <x:c r="V1165" s="12"/>
      <x:c r="W1165" s="12" t="str">
        <x:v>negative</x:v>
      </x:c>
      <x:c r="X1165" s="12"/>
      <x:c r="Y1165" s="12" t="str">
        <x:v>negative</x:v>
      </x:c>
      <x:c r="Z1165" s="12" t="str">
        <x:f>IF(OR(W1165="unavailable",Y1165="unavailable"),"不可评价",IF(OR(W1165="equivocal",Y1165="equivocal"),"疑似",IF(AND(W1165="positive",Y1165="positive"),"a",IF(Y1165="positive","b",IF(W1165="positive","c","d")))))</x:f>
        <x:v>d</x:v>
      </x:c>
      <x:c r="AA1165" s="12" t="str">
        <x:f>IF(OR(M1165="unavailable",O1165="unavailable"),"不可评价",IF(AND(OR(M1165="positive",M1165="equivocal"),OR(O1165="positive",O1165="equivocal")),"a",IF(OR(O1165="positive",O1165="equivocal"),"b",IF(OR(M1165="positive",M1165="equivocal"),"c","d"))))</x:f>
        <x:v>d</x:v>
      </x:c>
      <x:c r="AB1165" s="12" t="str">
        <x:f>IF(OR(M1165="unavailable",O1165="unavailable"),"不可评价",IF(AND(M1165="positive",O1165="positive"),"a",IF(O1165="positive","b",IF(M1165="positive","c","d"))))</x:f>
        <x:v>d</x:v>
      </x:c>
      <x:c r="AC1165" s="12" t="str">
        <x:f>IF(OR(R1165="unavailable",T1165="unavailable"),"不可评价",IF(AND(OR(R1165="positive",R1165="equivocal"),OR(T1165="positive",T1165="equivocal")),"a",IF(OR(T1165="positive",T1165="equivocal"),"b",IF(OR(R1165="positive",R1165="equivocal"),"c","d"))))</x:f>
        <x:v>d</x:v>
      </x:c>
      <x:c r="AD1165" s="12" t="str">
        <x:f>IF(OR(R1165="unavailable",T1165="unavailable"),"不可评价",IF(AND(R1165="positive",T1165="positive"),"a",IF(T1165="positive","b",IF(R1165="positive","c","d"))))</x:f>
        <x:v>d</x:v>
      </x:c>
      <x:c r="AE1165" s="12" t="str">
        <x:f>IF(OR(W1165="unavailable",Y1165="unavailable"),"不可评价",IF(AND(OR(W1165="positive",W1165="equivocal"),OR(Y1165="positive",Y1165="equivocal")),"a",IF(OR(Y1165="positive",Y1165="equivocal"),"b",IF(OR(W1165="positive",W1165="equivocal"),"c","d"))))</x:f>
        <x:v>d</x:v>
      </x:c>
      <x:c r="AF1165" s="12" t="str">
        <x:f>IF(OR(W1165="unavailable",Y1165="unavailable"),"不可评价",IF(AND(W1165="positive",Y1165="positive"),"a",IF(Y1165="positive","b",IF(W1165="positive","c","d"))))</x:f>
        <x:v>d</x:v>
      </x:c>
    </x:row>
    <x:row r="1166" ht="24" customHeight="1">
      <x:c r="A1166" s="12" t="str">
        <x:v>10388</x:v>
      </x:c>
      <x:c r="B1166" s="12" t="str">
        <x:v>7811</x:v>
      </x:c>
      <x:c r="C1166" s="21" t="n">
        <x:v>34151.511400462965</x:v>
      </x:c>
      <x:c r="D1166" s="12" t="n">
        <x:v>64</x:v>
      </x:c>
      <x:c r="E1166" s="12" t="n">
        <x:v>0</x:v>
      </x:c>
      <x:c r="F1166" s="12" t="str">
        <x:v>未记录</x:v>
      </x:c>
      <x:c r="G1166" s="12" t="n">
        <x:v>1</x:v>
      </x:c>
      <x:c r="H1166" s="12" t="str">
        <x:v>{'LVH': 80.0, 'VCLVH': 0.0, 'SR': 0.0}</x:v>
      </x:c>
      <x:c r="I1166" s="12" t="str">
        <x:v>[('NSR', 100.0), ('BORDE', 100.0)]</x:v>
      </x:c>
      <x:c r="J1166" s="12" t="str">
        <x:v>ptbxl_database.csv；ecg_id=10388；scp_codes</x:v>
      </x:c>
      <x:c r="K1166" s="12" t="str">
        <x:v>12sl_statements.csv；ecg_id=10388；statements_ext_snomed</x:v>
      </x:c>
      <x:c r="L1166" s="12"/>
      <x:c r="M1166" s="12" t="str">
        <x:v>negative</x:v>
      </x:c>
      <x:c r="N1166" s="12"/>
      <x:c r="O1166" s="12" t="str">
        <x:v>negative</x:v>
      </x:c>
      <x:c r="P1166" s="12" t="str">
        <x:f>IF(OR(M1166="unavailable",O1166="unavailable"),"不可评价",IF(OR(M1166="equivocal",O1166="equivocal"),"疑似",IF(AND(M1166="positive",O1166="positive"),"a",IF(O1166="positive","b",IF(M1166="positive","c","d")))))</x:f>
        <x:v>d</x:v>
      </x:c>
      <x:c r="Q1166" s="12"/>
      <x:c r="R1166" s="12" t="str">
        <x:v>negative</x:v>
      </x:c>
      <x:c r="S1166" s="12"/>
      <x:c r="T1166" s="12" t="str">
        <x:v>negative</x:v>
      </x:c>
      <x:c r="U1166" s="12" t="str">
        <x:f>IF(OR(R1166="unavailable",T1166="unavailable"),"不可评价",IF(OR(R1166="equivocal",T1166="equivocal"),"疑似",IF(AND(R1166="positive",T1166="positive"),"a",IF(T1166="positive","b",IF(R1166="positive","c","d")))))</x:f>
        <x:v>d</x:v>
      </x:c>
      <x:c r="V1166" s="12"/>
      <x:c r="W1166" s="12" t="str">
        <x:v>negative</x:v>
      </x:c>
      <x:c r="X1166" s="12"/>
      <x:c r="Y1166" s="12" t="str">
        <x:v>negative</x:v>
      </x:c>
      <x:c r="Z1166" s="12" t="str">
        <x:f>IF(OR(W1166="unavailable",Y1166="unavailable"),"不可评价",IF(OR(W1166="equivocal",Y1166="equivocal"),"疑似",IF(AND(W1166="positive",Y1166="positive"),"a",IF(Y1166="positive","b",IF(W1166="positive","c","d")))))</x:f>
        <x:v>d</x:v>
      </x:c>
      <x:c r="AA1166" s="12" t="str">
        <x:f>IF(OR(M1166="unavailable",O1166="unavailable"),"不可评价",IF(AND(OR(M1166="positive",M1166="equivocal"),OR(O1166="positive",O1166="equivocal")),"a",IF(OR(O1166="positive",O1166="equivocal"),"b",IF(OR(M1166="positive",M1166="equivocal"),"c","d"))))</x:f>
        <x:v>d</x:v>
      </x:c>
      <x:c r="AB1166" s="12" t="str">
        <x:f>IF(OR(M1166="unavailable",O1166="unavailable"),"不可评价",IF(AND(M1166="positive",O1166="positive"),"a",IF(O1166="positive","b",IF(M1166="positive","c","d"))))</x:f>
        <x:v>d</x:v>
      </x:c>
      <x:c r="AC1166" s="12" t="str">
        <x:f>IF(OR(R1166="unavailable",T1166="unavailable"),"不可评价",IF(AND(OR(R1166="positive",R1166="equivocal"),OR(T1166="positive",T1166="equivocal")),"a",IF(OR(T1166="positive",T1166="equivocal"),"b",IF(OR(R1166="positive",R1166="equivocal"),"c","d"))))</x:f>
        <x:v>d</x:v>
      </x:c>
      <x:c r="AD1166" s="12" t="str">
        <x:f>IF(OR(R1166="unavailable",T1166="unavailable"),"不可评价",IF(AND(R1166="positive",T1166="positive"),"a",IF(T1166="positive","b",IF(R1166="positive","c","d"))))</x:f>
        <x:v>d</x:v>
      </x:c>
      <x:c r="AE1166" s="12" t="str">
        <x:f>IF(OR(W1166="unavailable",Y1166="unavailable"),"不可评价",IF(AND(OR(W1166="positive",W1166="equivocal"),OR(Y1166="positive",Y1166="equivocal")),"a",IF(OR(Y1166="positive",Y1166="equivocal"),"b",IF(OR(W1166="positive",W1166="equivocal"),"c","d"))))</x:f>
        <x:v>d</x:v>
      </x:c>
      <x:c r="AF1166" s="12" t="str">
        <x:f>IF(OR(W1166="unavailable",Y1166="unavailable"),"不可评价",IF(AND(W1166="positive",Y1166="positive"),"a",IF(Y1166="positive","b",IF(W1166="positive","c","d"))))</x:f>
        <x:v>d</x:v>
      </x:c>
    </x:row>
    <x:row r="1167" ht="24" customHeight="1">
      <x:c r="A1167" s="12" t="str">
        <x:v>10401</x:v>
      </x:c>
      <x:c r="B1167" s="12" t="str">
        <x:v>7192</x:v>
      </x:c>
      <x:c r="C1167" s="21" t="n">
        <x:v>34152.64592592593</x:v>
      </x:c>
      <x:c r="D1167" s="12" t="n">
        <x:v>68</x:v>
      </x:c>
      <x:c r="E1167" s="12" t="n">
        <x:v>1</x:v>
      </x:c>
      <x:c r="F1167" s="12" t="str">
        <x:v>未记录</x:v>
      </x:c>
      <x:c r="G1167" s="12" t="n">
        <x:v>1</x:v>
      </x:c>
      <x:c r="H1167" s="12" t="str">
        <x:v>{'LAFB': 100.0, 'LNGQT': 100.0, 'NST_': 100.0, 'STD_': 0.0, 'SR': 0.0}</x:v>
      </x:c>
      <x:c r="I1167" s="12" t="str">
        <x:v>[('NSR', 100.0), ('LAD3', 100.0), ('NST', 100.0), ('AB', 100.0)]</x:v>
      </x:c>
      <x:c r="J1167" s="12" t="str">
        <x:v>ptbxl_database.csv；ecg_id=10401；scp_codes</x:v>
      </x:c>
      <x:c r="K1167" s="12" t="str">
        <x:v>12sl_statements.csv；ecg_id=10401；statements_ext_snomed</x:v>
      </x:c>
      <x:c r="L1167" s="12"/>
      <x:c r="M1167" s="12" t="str">
        <x:v>negative</x:v>
      </x:c>
      <x:c r="N1167" s="12"/>
      <x:c r="O1167" s="12" t="str">
        <x:v>negative</x:v>
      </x:c>
      <x:c r="P1167" s="12" t="str">
        <x:f>IF(OR(M1167="unavailable",O1167="unavailable"),"不可评价",IF(OR(M1167="equivocal",O1167="equivocal"),"疑似",IF(AND(M1167="positive",O1167="positive"),"a",IF(O1167="positive","b",IF(M1167="positive","c","d")))))</x:f>
        <x:v>d</x:v>
      </x:c>
      <x:c r="Q1167" s="12"/>
      <x:c r="R1167" s="12" t="str">
        <x:v>negative</x:v>
      </x:c>
      <x:c r="S1167" s="12"/>
      <x:c r="T1167" s="12" t="str">
        <x:v>negative</x:v>
      </x:c>
      <x:c r="U1167" s="12" t="str">
        <x:f>IF(OR(R1167="unavailable",T1167="unavailable"),"不可评价",IF(OR(R1167="equivocal",T1167="equivocal"),"疑似",IF(AND(R1167="positive",T1167="positive"),"a",IF(T1167="positive","b",IF(R1167="positive","c","d")))))</x:f>
        <x:v>d</x:v>
      </x:c>
      <x:c r="V1167" s="12"/>
      <x:c r="W1167" s="12" t="str">
        <x:v>negative</x:v>
      </x:c>
      <x:c r="X1167" s="12"/>
      <x:c r="Y1167" s="12" t="str">
        <x:v>negative</x:v>
      </x:c>
      <x:c r="Z1167" s="12" t="str">
        <x:f>IF(OR(W1167="unavailable",Y1167="unavailable"),"不可评价",IF(OR(W1167="equivocal",Y1167="equivocal"),"疑似",IF(AND(W1167="positive",Y1167="positive"),"a",IF(Y1167="positive","b",IF(W1167="positive","c","d")))))</x:f>
        <x:v>d</x:v>
      </x:c>
      <x:c r="AA1167" s="12" t="str">
        <x:f>IF(OR(M1167="unavailable",O1167="unavailable"),"不可评价",IF(AND(OR(M1167="positive",M1167="equivocal"),OR(O1167="positive",O1167="equivocal")),"a",IF(OR(O1167="positive",O1167="equivocal"),"b",IF(OR(M1167="positive",M1167="equivocal"),"c","d"))))</x:f>
        <x:v>d</x:v>
      </x:c>
      <x:c r="AB1167" s="12" t="str">
        <x:f>IF(OR(M1167="unavailable",O1167="unavailable"),"不可评价",IF(AND(M1167="positive",O1167="positive"),"a",IF(O1167="positive","b",IF(M1167="positive","c","d"))))</x:f>
        <x:v>d</x:v>
      </x:c>
      <x:c r="AC1167" s="12" t="str">
        <x:f>IF(OR(R1167="unavailable",T1167="unavailable"),"不可评价",IF(AND(OR(R1167="positive",R1167="equivocal"),OR(T1167="positive",T1167="equivocal")),"a",IF(OR(T1167="positive",T1167="equivocal"),"b",IF(OR(R1167="positive",R1167="equivocal"),"c","d"))))</x:f>
        <x:v>d</x:v>
      </x:c>
      <x:c r="AD1167" s="12" t="str">
        <x:f>IF(OR(R1167="unavailable",T1167="unavailable"),"不可评价",IF(AND(R1167="positive",T1167="positive"),"a",IF(T1167="positive","b",IF(R1167="positive","c","d"))))</x:f>
        <x:v>d</x:v>
      </x:c>
      <x:c r="AE1167" s="12" t="str">
        <x:f>IF(OR(W1167="unavailable",Y1167="unavailable"),"不可评价",IF(AND(OR(W1167="positive",W1167="equivocal"),OR(Y1167="positive",Y1167="equivocal")),"a",IF(OR(Y1167="positive",Y1167="equivocal"),"b",IF(OR(W1167="positive",W1167="equivocal"),"c","d"))))</x:f>
        <x:v>d</x:v>
      </x:c>
      <x:c r="AF1167" s="12" t="str">
        <x:f>IF(OR(W1167="unavailable",Y1167="unavailable"),"不可评价",IF(AND(W1167="positive",Y1167="positive"),"a",IF(Y1167="positive","b",IF(W1167="positive","c","d"))))</x:f>
        <x:v>d</x:v>
      </x:c>
    </x:row>
    <x:row r="1168" ht="24" customHeight="1">
      <x:c r="A1168" s="12" t="str">
        <x:v>10431</x:v>
      </x:c>
      <x:c r="B1168" s="12" t="str">
        <x:v>9829</x:v>
      </x:c>
      <x:c r="C1168" s="21" t="n">
        <x:v>34156.41658564815</x:v>
      </x:c>
      <x:c r="D1168" s="12" t="n">
        <x:v>27</x:v>
      </x:c>
      <x:c r="E1168" s="12" t="n">
        <x:v>0</x:v>
      </x:c>
      <x:c r="F1168" s="12" t="str">
        <x:v>存在</x:v>
      </x:c>
      <x:c r="G1168" s="12" t="n">
        <x:v>1</x:v>
      </x:c>
      <x:c r="H1168" s="12" t="str">
        <x:v>{'NORM': 100.0, 'SARRH': 0.0}</x:v>
      </x:c>
      <x:c r="I1168" s="12" t="str">
        <x:v>[('NSR', 100.0), ('SAR', 100.0), ('NML', 100.0)]</x:v>
      </x:c>
      <x:c r="J1168" s="12" t="str">
        <x:v>ptbxl_database.csv；ecg_id=10431；scp_codes</x:v>
      </x:c>
      <x:c r="K1168" s="12" t="str">
        <x:v>12sl_statements.csv；ecg_id=10431；statements_ext_snomed</x:v>
      </x:c>
      <x:c r="L1168" s="12"/>
      <x:c r="M1168" s="12" t="str">
        <x:v>negative</x:v>
      </x:c>
      <x:c r="N1168" s="12"/>
      <x:c r="O1168" s="12" t="str">
        <x:v>negative</x:v>
      </x:c>
      <x:c r="P1168" s="12" t="str">
        <x:f>IF(OR(M1168="unavailable",O1168="unavailable"),"不可评价",IF(OR(M1168="equivocal",O1168="equivocal"),"疑似",IF(AND(M1168="positive",O1168="positive"),"a",IF(O1168="positive","b",IF(M1168="positive","c","d")))))</x:f>
        <x:v>d</x:v>
      </x:c>
      <x:c r="Q1168" s="12"/>
      <x:c r="R1168" s="12" t="str">
        <x:v>negative</x:v>
      </x:c>
      <x:c r="S1168" s="12"/>
      <x:c r="T1168" s="12" t="str">
        <x:v>negative</x:v>
      </x:c>
      <x:c r="U1168" s="12" t="str">
        <x:f>IF(OR(R1168="unavailable",T1168="unavailable"),"不可评价",IF(OR(R1168="equivocal",T1168="equivocal"),"疑似",IF(AND(R1168="positive",T1168="positive"),"a",IF(T1168="positive","b",IF(R1168="positive","c","d")))))</x:f>
        <x:v>d</x:v>
      </x:c>
      <x:c r="V1168" s="12"/>
      <x:c r="W1168" s="12" t="str">
        <x:v>negative</x:v>
      </x:c>
      <x:c r="X1168" s="12"/>
      <x:c r="Y1168" s="12" t="str">
        <x:v>negative</x:v>
      </x:c>
      <x:c r="Z1168" s="12" t="str">
        <x:f>IF(OR(W1168="unavailable",Y1168="unavailable"),"不可评价",IF(OR(W1168="equivocal",Y1168="equivocal"),"疑似",IF(AND(W1168="positive",Y1168="positive"),"a",IF(Y1168="positive","b",IF(W1168="positive","c","d")))))</x:f>
        <x:v>d</x:v>
      </x:c>
      <x:c r="AA1168" s="12" t="str">
        <x:f>IF(OR(M1168="unavailable",O1168="unavailable"),"不可评价",IF(AND(OR(M1168="positive",M1168="equivocal"),OR(O1168="positive",O1168="equivocal")),"a",IF(OR(O1168="positive",O1168="equivocal"),"b",IF(OR(M1168="positive",M1168="equivocal"),"c","d"))))</x:f>
        <x:v>d</x:v>
      </x:c>
      <x:c r="AB1168" s="12" t="str">
        <x:f>IF(OR(M1168="unavailable",O1168="unavailable"),"不可评价",IF(AND(M1168="positive",O1168="positive"),"a",IF(O1168="positive","b",IF(M1168="positive","c","d"))))</x:f>
        <x:v>d</x:v>
      </x:c>
      <x:c r="AC1168" s="12" t="str">
        <x:f>IF(OR(R1168="unavailable",T1168="unavailable"),"不可评价",IF(AND(OR(R1168="positive",R1168="equivocal"),OR(T1168="positive",T1168="equivocal")),"a",IF(OR(T1168="positive",T1168="equivocal"),"b",IF(OR(R1168="positive",R1168="equivocal"),"c","d"))))</x:f>
        <x:v>d</x:v>
      </x:c>
      <x:c r="AD1168" s="12" t="str">
        <x:f>IF(OR(R1168="unavailable",T1168="unavailable"),"不可评价",IF(AND(R1168="positive",T1168="positive"),"a",IF(T1168="positive","b",IF(R1168="positive","c","d"))))</x:f>
        <x:v>d</x:v>
      </x:c>
      <x:c r="AE1168" s="12" t="str">
        <x:f>IF(OR(W1168="unavailable",Y1168="unavailable"),"不可评价",IF(AND(OR(W1168="positive",W1168="equivocal"),OR(Y1168="positive",Y1168="equivocal")),"a",IF(OR(Y1168="positive",Y1168="equivocal"),"b",IF(OR(W1168="positive",W1168="equivocal"),"c","d"))))</x:f>
        <x:v>d</x:v>
      </x:c>
      <x:c r="AF1168" s="12" t="str">
        <x:f>IF(OR(W1168="unavailable",Y1168="unavailable"),"不可评价",IF(AND(W1168="positive",Y1168="positive"),"a",IF(Y1168="positive","b",IF(W1168="positive","c","d"))))</x:f>
        <x:v>d</x:v>
      </x:c>
    </x:row>
    <x:row r="1169" ht="24" customHeight="1">
      <x:c r="A1169" s="12" t="str">
        <x:v>10484</x:v>
      </x:c>
      <x:c r="B1169" s="12" t="str">
        <x:v>2869</x:v>
      </x:c>
      <x:c r="C1169" s="21" t="n">
        <x:v>34161.56083333334</x:v>
      </x:c>
      <x:c r="D1169" s="12" t="n">
        <x:v>35</x:v>
      </x:c>
      <x:c r="E1169" s="12" t="n">
        <x:v>0</x:v>
      </x:c>
      <x:c r="F1169" s="12" t="str">
        <x:v>未记录</x:v>
      </x:c>
      <x:c r="G1169" s="12" t="n">
        <x:v>1</x:v>
      </x:c>
      <x:c r="H1169" s="12" t="str">
        <x:v>{'NORM': 100.0, 'SR': 0.0}</x:v>
      </x:c>
      <x:c r="I1169" s="12" t="str">
        <x:v>[('SBRAD', 100.0), ('ABR', 100.0)]</x:v>
      </x:c>
      <x:c r="J1169" s="12" t="str">
        <x:v>ptbxl_database.csv；ecg_id=10484；scp_codes</x:v>
      </x:c>
      <x:c r="K1169" s="12" t="str">
        <x:v>12sl_statements.csv；ecg_id=10484；statements_ext_snomed</x:v>
      </x:c>
      <x:c r="L1169" s="12"/>
      <x:c r="M1169" s="12" t="str">
        <x:v>negative</x:v>
      </x:c>
      <x:c r="N1169" s="12"/>
      <x:c r="O1169" s="12" t="str">
        <x:v>negative</x:v>
      </x:c>
      <x:c r="P1169" s="12" t="str">
        <x:f>IF(OR(M1169="unavailable",O1169="unavailable"),"不可评价",IF(OR(M1169="equivocal",O1169="equivocal"),"疑似",IF(AND(M1169="positive",O1169="positive"),"a",IF(O1169="positive","b",IF(M1169="positive","c","d")))))</x:f>
        <x:v>d</x:v>
      </x:c>
      <x:c r="Q1169" s="12"/>
      <x:c r="R1169" s="12" t="str">
        <x:v>negative</x:v>
      </x:c>
      <x:c r="S1169" s="12"/>
      <x:c r="T1169" s="12" t="str">
        <x:v>negative</x:v>
      </x:c>
      <x:c r="U1169" s="12" t="str">
        <x:f>IF(OR(R1169="unavailable",T1169="unavailable"),"不可评价",IF(OR(R1169="equivocal",T1169="equivocal"),"疑似",IF(AND(R1169="positive",T1169="positive"),"a",IF(T1169="positive","b",IF(R1169="positive","c","d")))))</x:f>
        <x:v>d</x:v>
      </x:c>
      <x:c r="V1169" s="12"/>
      <x:c r="W1169" s="12" t="str">
        <x:v>negative</x:v>
      </x:c>
      <x:c r="X1169" s="12"/>
      <x:c r="Y1169" s="12" t="str">
        <x:v>negative</x:v>
      </x:c>
      <x:c r="Z1169" s="12" t="str">
        <x:f>IF(OR(W1169="unavailable",Y1169="unavailable"),"不可评价",IF(OR(W1169="equivocal",Y1169="equivocal"),"疑似",IF(AND(W1169="positive",Y1169="positive"),"a",IF(Y1169="positive","b",IF(W1169="positive","c","d")))))</x:f>
        <x:v>d</x:v>
      </x:c>
      <x:c r="AA1169" s="12" t="str">
        <x:f>IF(OR(M1169="unavailable",O1169="unavailable"),"不可评价",IF(AND(OR(M1169="positive",M1169="equivocal"),OR(O1169="positive",O1169="equivocal")),"a",IF(OR(O1169="positive",O1169="equivocal"),"b",IF(OR(M1169="positive",M1169="equivocal"),"c","d"))))</x:f>
        <x:v>d</x:v>
      </x:c>
      <x:c r="AB1169" s="12" t="str">
        <x:f>IF(OR(M1169="unavailable",O1169="unavailable"),"不可评价",IF(AND(M1169="positive",O1169="positive"),"a",IF(O1169="positive","b",IF(M1169="positive","c","d"))))</x:f>
        <x:v>d</x:v>
      </x:c>
      <x:c r="AC1169" s="12" t="str">
        <x:f>IF(OR(R1169="unavailable",T1169="unavailable"),"不可评价",IF(AND(OR(R1169="positive",R1169="equivocal"),OR(T1169="positive",T1169="equivocal")),"a",IF(OR(T1169="positive",T1169="equivocal"),"b",IF(OR(R1169="positive",R1169="equivocal"),"c","d"))))</x:f>
        <x:v>d</x:v>
      </x:c>
      <x:c r="AD1169" s="12" t="str">
        <x:f>IF(OR(R1169="unavailable",T1169="unavailable"),"不可评价",IF(AND(R1169="positive",T1169="positive"),"a",IF(T1169="positive","b",IF(R1169="positive","c","d"))))</x:f>
        <x:v>d</x:v>
      </x:c>
      <x:c r="AE1169" s="12" t="str">
        <x:f>IF(OR(W1169="unavailable",Y1169="unavailable"),"不可评价",IF(AND(OR(W1169="positive",W1169="equivocal"),OR(Y1169="positive",Y1169="equivocal")),"a",IF(OR(Y1169="positive",Y1169="equivocal"),"b",IF(OR(W1169="positive",W1169="equivocal"),"c","d"))))</x:f>
        <x:v>d</x:v>
      </x:c>
      <x:c r="AF1169" s="12" t="str">
        <x:f>IF(OR(W1169="unavailable",Y1169="unavailable"),"不可评价",IF(AND(W1169="positive",Y1169="positive"),"a",IF(Y1169="positive","b",IF(W1169="positive","c","d"))))</x:f>
        <x:v>d</x:v>
      </x:c>
    </x:row>
    <x:row r="1170" ht="24" customHeight="1">
      <x:c r="A1170" s="12" t="str">
        <x:v>10489</x:v>
      </x:c>
      <x:c r="B1170" s="12" t="str">
        <x:v>13229</x:v>
      </x:c>
      <x:c r="C1170" s="21" t="n">
        <x:v>34162.47144675926</x:v>
      </x:c>
      <x:c r="D1170" s="12" t="n">
        <x:v>26</x:v>
      </x:c>
      <x:c r="E1170" s="12" t="n">
        <x:v>1</x:v>
      </x:c>
      <x:c r="F1170" s="12" t="str">
        <x:v>存在</x:v>
      </x:c>
      <x:c r="G1170" s="12" t="n">
        <x:v>1</x:v>
      </x:c>
      <x:c r="H1170" s="12" t="str">
        <x:v>{'NORM': 80.0, 'IRBBB': 100.0, 'SR': 0.0}</x:v>
      </x:c>
      <x:c r="I1170" s="12" t="str">
        <x:v>[('NSR', 100.0), ('IRBBB', 100.0), ('BORDE', 100.0)]</x:v>
      </x:c>
      <x:c r="J1170" s="12" t="str">
        <x:v>ptbxl_database.csv；ecg_id=10489；scp_codes</x:v>
      </x:c>
      <x:c r="K1170" s="12" t="str">
        <x:v>12sl_statements.csv；ecg_id=10489；statements_ext_snomed</x:v>
      </x:c>
      <x:c r="L1170" s="12"/>
      <x:c r="M1170" s="12" t="str">
        <x:v>negative</x:v>
      </x:c>
      <x:c r="N1170" s="12"/>
      <x:c r="O1170" s="12" t="str">
        <x:v>negative</x:v>
      </x:c>
      <x:c r="P1170" s="12" t="str">
        <x:f>IF(OR(M1170="unavailable",O1170="unavailable"),"不可评价",IF(OR(M1170="equivocal",O1170="equivocal"),"疑似",IF(AND(M1170="positive",O1170="positive"),"a",IF(O1170="positive","b",IF(M1170="positive","c","d")))))</x:f>
        <x:v>d</x:v>
      </x:c>
      <x:c r="Q1170" s="12"/>
      <x:c r="R1170" s="12" t="str">
        <x:v>negative</x:v>
      </x:c>
      <x:c r="S1170" s="12"/>
      <x:c r="T1170" s="12" t="str">
        <x:v>negative</x:v>
      </x:c>
      <x:c r="U1170" s="12" t="str">
        <x:f>IF(OR(R1170="unavailable",T1170="unavailable"),"不可评价",IF(OR(R1170="equivocal",T1170="equivocal"),"疑似",IF(AND(R1170="positive",T1170="positive"),"a",IF(T1170="positive","b",IF(R1170="positive","c","d")))))</x:f>
        <x:v>d</x:v>
      </x:c>
      <x:c r="V1170" s="12"/>
      <x:c r="W1170" s="12" t="str">
        <x:v>negative</x:v>
      </x:c>
      <x:c r="X1170" s="12"/>
      <x:c r="Y1170" s="12" t="str">
        <x:v>negative</x:v>
      </x:c>
      <x:c r="Z1170" s="12" t="str">
        <x:f>IF(OR(W1170="unavailable",Y1170="unavailable"),"不可评价",IF(OR(W1170="equivocal",Y1170="equivocal"),"疑似",IF(AND(W1170="positive",Y1170="positive"),"a",IF(Y1170="positive","b",IF(W1170="positive","c","d")))))</x:f>
        <x:v>d</x:v>
      </x:c>
      <x:c r="AA1170" s="12" t="str">
        <x:f>IF(OR(M1170="unavailable",O1170="unavailable"),"不可评价",IF(AND(OR(M1170="positive",M1170="equivocal"),OR(O1170="positive",O1170="equivocal")),"a",IF(OR(O1170="positive",O1170="equivocal"),"b",IF(OR(M1170="positive",M1170="equivocal"),"c","d"))))</x:f>
        <x:v>d</x:v>
      </x:c>
      <x:c r="AB1170" s="12" t="str">
        <x:f>IF(OR(M1170="unavailable",O1170="unavailable"),"不可评价",IF(AND(M1170="positive",O1170="positive"),"a",IF(O1170="positive","b",IF(M1170="positive","c","d"))))</x:f>
        <x:v>d</x:v>
      </x:c>
      <x:c r="AC1170" s="12" t="str">
        <x:f>IF(OR(R1170="unavailable",T1170="unavailable"),"不可评价",IF(AND(OR(R1170="positive",R1170="equivocal"),OR(T1170="positive",T1170="equivocal")),"a",IF(OR(T1170="positive",T1170="equivocal"),"b",IF(OR(R1170="positive",R1170="equivocal"),"c","d"))))</x:f>
        <x:v>d</x:v>
      </x:c>
      <x:c r="AD1170" s="12" t="str">
        <x:f>IF(OR(R1170="unavailable",T1170="unavailable"),"不可评价",IF(AND(R1170="positive",T1170="positive"),"a",IF(T1170="positive","b",IF(R1170="positive","c","d"))))</x:f>
        <x:v>d</x:v>
      </x:c>
      <x:c r="AE1170" s="12" t="str">
        <x:f>IF(OR(W1170="unavailable",Y1170="unavailable"),"不可评价",IF(AND(OR(W1170="positive",W1170="equivocal"),OR(Y1170="positive",Y1170="equivocal")),"a",IF(OR(Y1170="positive",Y1170="equivocal"),"b",IF(OR(W1170="positive",W1170="equivocal"),"c","d"))))</x:f>
        <x:v>d</x:v>
      </x:c>
      <x:c r="AF1170" s="12" t="str">
        <x:f>IF(OR(W1170="unavailable",Y1170="unavailable"),"不可评价",IF(AND(W1170="positive",Y1170="positive"),"a",IF(Y1170="positive","b",IF(W1170="positive","c","d"))))</x:f>
        <x:v>d</x:v>
      </x:c>
    </x:row>
    <x:row r="1171" ht="24" customHeight="1">
      <x:c r="A1171" s="12" t="str">
        <x:v>10501</x:v>
      </x:c>
      <x:c r="B1171" s="12" t="str">
        <x:v>18534</x:v>
      </x:c>
      <x:c r="C1171" s="21" t="n">
        <x:v>34163.42895833333</x:v>
      </x:c>
      <x:c r="D1171" s="12" t="n">
        <x:v>84</x:v>
      </x:c>
      <x:c r="E1171" s="12" t="n">
        <x:v>1</x:v>
      </x:c>
      <x:c r="F1171" s="12" t="str">
        <x:v>未记录</x:v>
      </x:c>
      <x:c r="G1171" s="12" t="n">
        <x:v>1</x:v>
      </x:c>
      <x:c r="H1171" s="12" t="str">
        <x:v>{'LAFB': 100.0, 'SR': 0.0}</x:v>
      </x:c>
      <x:c r="I1171" s="12" t="str">
        <x:v>[('NSR', 100.0), ('NML', 100.0)]</x:v>
      </x:c>
      <x:c r="J1171" s="12" t="str">
        <x:v>ptbxl_database.csv；ecg_id=10501；scp_codes</x:v>
      </x:c>
      <x:c r="K1171" s="12" t="str">
        <x:v>12sl_statements.csv；ecg_id=10501；statements_ext_snomed</x:v>
      </x:c>
      <x:c r="L1171" s="12"/>
      <x:c r="M1171" s="12" t="str">
        <x:v>negative</x:v>
      </x:c>
      <x:c r="N1171" s="12"/>
      <x:c r="O1171" s="12" t="str">
        <x:v>negative</x:v>
      </x:c>
      <x:c r="P1171" s="12" t="str">
        <x:f>IF(OR(M1171="unavailable",O1171="unavailable"),"不可评价",IF(OR(M1171="equivocal",O1171="equivocal"),"疑似",IF(AND(M1171="positive",O1171="positive"),"a",IF(O1171="positive","b",IF(M1171="positive","c","d")))))</x:f>
        <x:v>d</x:v>
      </x:c>
      <x:c r="Q1171" s="12"/>
      <x:c r="R1171" s="12" t="str">
        <x:v>negative</x:v>
      </x:c>
      <x:c r="S1171" s="12"/>
      <x:c r="T1171" s="12" t="str">
        <x:v>negative</x:v>
      </x:c>
      <x:c r="U1171" s="12" t="str">
        <x:f>IF(OR(R1171="unavailable",T1171="unavailable"),"不可评价",IF(OR(R1171="equivocal",T1171="equivocal"),"疑似",IF(AND(R1171="positive",T1171="positive"),"a",IF(T1171="positive","b",IF(R1171="positive","c","d")))))</x:f>
        <x:v>d</x:v>
      </x:c>
      <x:c r="V1171" s="12"/>
      <x:c r="W1171" s="12" t="str">
        <x:v>negative</x:v>
      </x:c>
      <x:c r="X1171" s="12"/>
      <x:c r="Y1171" s="12" t="str">
        <x:v>negative</x:v>
      </x:c>
      <x:c r="Z1171" s="12" t="str">
        <x:f>IF(OR(W1171="unavailable",Y1171="unavailable"),"不可评价",IF(OR(W1171="equivocal",Y1171="equivocal"),"疑似",IF(AND(W1171="positive",Y1171="positive"),"a",IF(Y1171="positive","b",IF(W1171="positive","c","d")))))</x:f>
        <x:v>d</x:v>
      </x:c>
      <x:c r="AA1171" s="12" t="str">
        <x:f>IF(OR(M1171="unavailable",O1171="unavailable"),"不可评价",IF(AND(OR(M1171="positive",M1171="equivocal"),OR(O1171="positive",O1171="equivocal")),"a",IF(OR(O1171="positive",O1171="equivocal"),"b",IF(OR(M1171="positive",M1171="equivocal"),"c","d"))))</x:f>
        <x:v>d</x:v>
      </x:c>
      <x:c r="AB1171" s="12" t="str">
        <x:f>IF(OR(M1171="unavailable",O1171="unavailable"),"不可评价",IF(AND(M1171="positive",O1171="positive"),"a",IF(O1171="positive","b",IF(M1171="positive","c","d"))))</x:f>
        <x:v>d</x:v>
      </x:c>
      <x:c r="AC1171" s="12" t="str">
        <x:f>IF(OR(R1171="unavailable",T1171="unavailable"),"不可评价",IF(AND(OR(R1171="positive",R1171="equivocal"),OR(T1171="positive",T1171="equivocal")),"a",IF(OR(T1171="positive",T1171="equivocal"),"b",IF(OR(R1171="positive",R1171="equivocal"),"c","d"))))</x:f>
        <x:v>d</x:v>
      </x:c>
      <x:c r="AD1171" s="12" t="str">
        <x:f>IF(OR(R1171="unavailable",T1171="unavailable"),"不可评价",IF(AND(R1171="positive",T1171="positive"),"a",IF(T1171="positive","b",IF(R1171="positive","c","d"))))</x:f>
        <x:v>d</x:v>
      </x:c>
      <x:c r="AE1171" s="12" t="str">
        <x:f>IF(OR(W1171="unavailable",Y1171="unavailable"),"不可评价",IF(AND(OR(W1171="positive",W1171="equivocal"),OR(Y1171="positive",Y1171="equivocal")),"a",IF(OR(Y1171="positive",Y1171="equivocal"),"b",IF(OR(W1171="positive",W1171="equivocal"),"c","d"))))</x:f>
        <x:v>d</x:v>
      </x:c>
      <x:c r="AF1171" s="12" t="str">
        <x:f>IF(OR(W1171="unavailable",Y1171="unavailable"),"不可评价",IF(AND(W1171="positive",Y1171="positive"),"a",IF(Y1171="positive","b",IF(W1171="positive","c","d"))))</x:f>
        <x:v>d</x:v>
      </x:c>
    </x:row>
    <x:row r="1172" ht="39" customHeight="1">
      <x:c r="A1172" s="12" t="str">
        <x:v>10517</x:v>
      </x:c>
      <x:c r="B1172" s="12" t="str">
        <x:v>2466</x:v>
      </x:c>
      <x:c r="C1172" s="21" t="n">
        <x:v>34164.394895833335</x:v>
      </x:c>
      <x:c r="D1172" s="12" t="n">
        <x:v>89</x:v>
      </x:c>
      <x:c r="E1172" s="12" t="n">
        <x:v>0</x:v>
      </x:c>
      <x:c r="F1172" s="12" t="str">
        <x:v>存在</x:v>
      </x:c>
      <x:c r="G1172" s="12" t="n">
        <x:v>1</x:v>
      </x:c>
      <x:c r="H1172" s="12" t="str">
        <x:v>{'ISCAS': 100.0, 'ISCAL': 100.0, 'PVC': 100.0, 'LPR': 0.0, 'INVT': 0.0, 'SR': 0.0}</x:v>
      </x:c>
      <x:c r="I1172" s="12" t="str">
        <x:v>[('SBRAD', 100.0), ('SAR', 100.0), ('FAV', 100.0), ('PVC', 100.0), ('ST&amp;', 100.0), ('ALT', 100.0), ('AB', 100.0)]</x:v>
      </x:c>
      <x:c r="J1172" s="12" t="str">
        <x:v>ptbxl_database.csv；ecg_id=10517；scp_codes</x:v>
      </x:c>
      <x:c r="K1172" s="12" t="str">
        <x:v>12sl_statements.csv；ecg_id=10517；statements_ext_snomed</x:v>
      </x:c>
      <x:c r="L1172" s="12"/>
      <x:c r="M1172" s="12" t="str">
        <x:v>negative</x:v>
      </x:c>
      <x:c r="N1172" s="12"/>
      <x:c r="O1172" s="12" t="str">
        <x:v>negative</x:v>
      </x:c>
      <x:c r="P1172" s="12" t="str">
        <x:f>IF(OR(M1172="unavailable",O1172="unavailable"),"不可评价",IF(OR(M1172="equivocal",O1172="equivocal"),"疑似",IF(AND(M1172="positive",O1172="positive"),"a",IF(O1172="positive","b",IF(M1172="positive","c","d")))))</x:f>
        <x:v>d</x:v>
      </x:c>
      <x:c r="Q1172" s="12"/>
      <x:c r="R1172" s="12" t="str">
        <x:v>negative</x:v>
      </x:c>
      <x:c r="S1172" s="12"/>
      <x:c r="T1172" s="12" t="str">
        <x:v>negative</x:v>
      </x:c>
      <x:c r="U1172" s="12" t="str">
        <x:f>IF(OR(R1172="unavailable",T1172="unavailable"),"不可评价",IF(OR(R1172="equivocal",T1172="equivocal"),"疑似",IF(AND(R1172="positive",T1172="positive"),"a",IF(T1172="positive","b",IF(R1172="positive","c","d")))))</x:f>
        <x:v>d</x:v>
      </x:c>
      <x:c r="V1172" s="12"/>
      <x:c r="W1172" s="12" t="str">
        <x:v>negative</x:v>
      </x:c>
      <x:c r="X1172" s="12"/>
      <x:c r="Y1172" s="12" t="str">
        <x:v>negative</x:v>
      </x:c>
      <x:c r="Z1172" s="12" t="str">
        <x:f>IF(OR(W1172="unavailable",Y1172="unavailable"),"不可评价",IF(OR(W1172="equivocal",Y1172="equivocal"),"疑似",IF(AND(W1172="positive",Y1172="positive"),"a",IF(Y1172="positive","b",IF(W1172="positive","c","d")))))</x:f>
        <x:v>d</x:v>
      </x:c>
      <x:c r="AA1172" s="12" t="str">
        <x:f>IF(OR(M1172="unavailable",O1172="unavailable"),"不可评价",IF(AND(OR(M1172="positive",M1172="equivocal"),OR(O1172="positive",O1172="equivocal")),"a",IF(OR(O1172="positive",O1172="equivocal"),"b",IF(OR(M1172="positive",M1172="equivocal"),"c","d"))))</x:f>
        <x:v>d</x:v>
      </x:c>
      <x:c r="AB1172" s="12" t="str">
        <x:f>IF(OR(M1172="unavailable",O1172="unavailable"),"不可评价",IF(AND(M1172="positive",O1172="positive"),"a",IF(O1172="positive","b",IF(M1172="positive","c","d"))))</x:f>
        <x:v>d</x:v>
      </x:c>
      <x:c r="AC1172" s="12" t="str">
        <x:f>IF(OR(R1172="unavailable",T1172="unavailable"),"不可评价",IF(AND(OR(R1172="positive",R1172="equivocal"),OR(T1172="positive",T1172="equivocal")),"a",IF(OR(T1172="positive",T1172="equivocal"),"b",IF(OR(R1172="positive",R1172="equivocal"),"c","d"))))</x:f>
        <x:v>d</x:v>
      </x:c>
      <x:c r="AD1172" s="12" t="str">
        <x:f>IF(OR(R1172="unavailable",T1172="unavailable"),"不可评价",IF(AND(R1172="positive",T1172="positive"),"a",IF(T1172="positive","b",IF(R1172="positive","c","d"))))</x:f>
        <x:v>d</x:v>
      </x:c>
      <x:c r="AE1172" s="12" t="str">
        <x:f>IF(OR(W1172="unavailable",Y1172="unavailable"),"不可评价",IF(AND(OR(W1172="positive",W1172="equivocal"),OR(Y1172="positive",Y1172="equivocal")),"a",IF(OR(Y1172="positive",Y1172="equivocal"),"b",IF(OR(W1172="positive",W1172="equivocal"),"c","d"))))</x:f>
        <x:v>d</x:v>
      </x:c>
      <x:c r="AF1172" s="12" t="str">
        <x:f>IF(OR(W1172="unavailable",Y1172="unavailable"),"不可评价",IF(AND(W1172="positive",Y1172="positive"),"a",IF(Y1172="positive","b",IF(W1172="positive","c","d"))))</x:f>
        <x:v>d</x:v>
      </x:c>
    </x:row>
    <x:row r="1173" ht="24" customHeight="1">
      <x:c r="A1173" s="12" t="str">
        <x:v>10519</x:v>
      </x:c>
      <x:c r="B1173" s="12" t="str">
        <x:v>18676</x:v>
      </x:c>
      <x:c r="C1173" s="21" t="n">
        <x:v>34164.402662037035</x:v>
      </x:c>
      <x:c r="D1173" s="12" t="n">
        <x:v>35</x:v>
      </x:c>
      <x:c r="E1173" s="12" t="n">
        <x:v>1</x:v>
      </x:c>
      <x:c r="F1173" s="12" t="str">
        <x:v>未记录</x:v>
      </x:c>
      <x:c r="G1173" s="12" t="n">
        <x:v>1</x:v>
      </x:c>
      <x:c r="H1173" s="12" t="str">
        <x:v>{'NORM': 100.0, 'SR': 0.0}</x:v>
      </x:c>
      <x:c r="I1173" s="12" t="str">
        <x:v>[('NSR', 100.0), ('SAR', 100.0), ('NML', 100.0)]</x:v>
      </x:c>
      <x:c r="J1173" s="12" t="str">
        <x:v>ptbxl_database.csv；ecg_id=10519；scp_codes</x:v>
      </x:c>
      <x:c r="K1173" s="12" t="str">
        <x:v>12sl_statements.csv；ecg_id=10519；statements_ext_snomed</x:v>
      </x:c>
      <x:c r="L1173" s="12"/>
      <x:c r="M1173" s="12" t="str">
        <x:v>negative</x:v>
      </x:c>
      <x:c r="N1173" s="12"/>
      <x:c r="O1173" s="12" t="str">
        <x:v>negative</x:v>
      </x:c>
      <x:c r="P1173" s="12" t="str">
        <x:f>IF(OR(M1173="unavailable",O1173="unavailable"),"不可评价",IF(OR(M1173="equivocal",O1173="equivocal"),"疑似",IF(AND(M1173="positive",O1173="positive"),"a",IF(O1173="positive","b",IF(M1173="positive","c","d")))))</x:f>
        <x:v>d</x:v>
      </x:c>
      <x:c r="Q1173" s="12"/>
      <x:c r="R1173" s="12" t="str">
        <x:v>negative</x:v>
      </x:c>
      <x:c r="S1173" s="12"/>
      <x:c r="T1173" s="12" t="str">
        <x:v>negative</x:v>
      </x:c>
      <x:c r="U1173" s="12" t="str">
        <x:f>IF(OR(R1173="unavailable",T1173="unavailable"),"不可评价",IF(OR(R1173="equivocal",T1173="equivocal"),"疑似",IF(AND(R1173="positive",T1173="positive"),"a",IF(T1173="positive","b",IF(R1173="positive","c","d")))))</x:f>
        <x:v>d</x:v>
      </x:c>
      <x:c r="V1173" s="12"/>
      <x:c r="W1173" s="12" t="str">
        <x:v>negative</x:v>
      </x:c>
      <x:c r="X1173" s="12"/>
      <x:c r="Y1173" s="12" t="str">
        <x:v>negative</x:v>
      </x:c>
      <x:c r="Z1173" s="12" t="str">
        <x:f>IF(OR(W1173="unavailable",Y1173="unavailable"),"不可评价",IF(OR(W1173="equivocal",Y1173="equivocal"),"疑似",IF(AND(W1173="positive",Y1173="positive"),"a",IF(Y1173="positive","b",IF(W1173="positive","c","d")))))</x:f>
        <x:v>d</x:v>
      </x:c>
      <x:c r="AA1173" s="12" t="str">
        <x:f>IF(OR(M1173="unavailable",O1173="unavailable"),"不可评价",IF(AND(OR(M1173="positive",M1173="equivocal"),OR(O1173="positive",O1173="equivocal")),"a",IF(OR(O1173="positive",O1173="equivocal"),"b",IF(OR(M1173="positive",M1173="equivocal"),"c","d"))))</x:f>
        <x:v>d</x:v>
      </x:c>
      <x:c r="AB1173" s="12" t="str">
        <x:f>IF(OR(M1173="unavailable",O1173="unavailable"),"不可评价",IF(AND(M1173="positive",O1173="positive"),"a",IF(O1173="positive","b",IF(M1173="positive","c","d"))))</x:f>
        <x:v>d</x:v>
      </x:c>
      <x:c r="AC1173" s="12" t="str">
        <x:f>IF(OR(R1173="unavailable",T1173="unavailable"),"不可评价",IF(AND(OR(R1173="positive",R1173="equivocal"),OR(T1173="positive",T1173="equivocal")),"a",IF(OR(T1173="positive",T1173="equivocal"),"b",IF(OR(R1173="positive",R1173="equivocal"),"c","d"))))</x:f>
        <x:v>d</x:v>
      </x:c>
      <x:c r="AD1173" s="12" t="str">
        <x:f>IF(OR(R1173="unavailable",T1173="unavailable"),"不可评价",IF(AND(R1173="positive",T1173="positive"),"a",IF(T1173="positive","b",IF(R1173="positive","c","d"))))</x:f>
        <x:v>d</x:v>
      </x:c>
      <x:c r="AE1173" s="12" t="str">
        <x:f>IF(OR(W1173="unavailable",Y1173="unavailable"),"不可评价",IF(AND(OR(W1173="positive",W1173="equivocal"),OR(Y1173="positive",Y1173="equivocal")),"a",IF(OR(Y1173="positive",Y1173="equivocal"),"b",IF(OR(W1173="positive",W1173="equivocal"),"c","d"))))</x:f>
        <x:v>d</x:v>
      </x:c>
      <x:c r="AF1173" s="12" t="str">
        <x:f>IF(OR(W1173="unavailable",Y1173="unavailable"),"不可评价",IF(AND(W1173="positive",Y1173="positive"),"a",IF(Y1173="positive","b",IF(W1173="positive","c","d"))))</x:f>
        <x:v>d</x:v>
      </x:c>
    </x:row>
    <x:row r="1174" ht="24" customHeight="1">
      <x:c r="A1174" s="12" t="str">
        <x:v>10537</x:v>
      </x:c>
      <x:c r="B1174" s="12" t="str">
        <x:v>4043</x:v>
      </x:c>
      <x:c r="C1174" s="21" t="n">
        <x:v>34165.686840277776</x:v>
      </x:c>
      <x:c r="D1174" s="12" t="n">
        <x:v>38</x:v>
      </x:c>
      <x:c r="E1174" s="12" t="n">
        <x:v>1</x:v>
      </x:c>
      <x:c r="F1174" s="12" t="str">
        <x:v>未记录</x:v>
      </x:c>
      <x:c r="G1174" s="12" t="n">
        <x:v>1</x:v>
      </x:c>
      <x:c r="H1174" s="12" t="str">
        <x:v>{'NORM': 80.0, 'STD_': 0.0, 'SR': 0.0}</x:v>
      </x:c>
      <x:c r="I1174" s="12" t="str">
        <x:v>[('NSR', 100.0), ('NML', 100.0)]</x:v>
      </x:c>
      <x:c r="J1174" s="12" t="str">
        <x:v>ptbxl_database.csv；ecg_id=10537；scp_codes</x:v>
      </x:c>
      <x:c r="K1174" s="12" t="str">
        <x:v>12sl_statements.csv；ecg_id=10537；statements_ext_snomed</x:v>
      </x:c>
      <x:c r="L1174" s="12"/>
      <x:c r="M1174" s="12" t="str">
        <x:v>negative</x:v>
      </x:c>
      <x:c r="N1174" s="12"/>
      <x:c r="O1174" s="12" t="str">
        <x:v>negative</x:v>
      </x:c>
      <x:c r="P1174" s="12" t="str">
        <x:f>IF(OR(M1174="unavailable",O1174="unavailable"),"不可评价",IF(OR(M1174="equivocal",O1174="equivocal"),"疑似",IF(AND(M1174="positive",O1174="positive"),"a",IF(O1174="positive","b",IF(M1174="positive","c","d")))))</x:f>
        <x:v>d</x:v>
      </x:c>
      <x:c r="Q1174" s="12"/>
      <x:c r="R1174" s="12" t="str">
        <x:v>negative</x:v>
      </x:c>
      <x:c r="S1174" s="12"/>
      <x:c r="T1174" s="12" t="str">
        <x:v>negative</x:v>
      </x:c>
      <x:c r="U1174" s="12" t="str">
        <x:f>IF(OR(R1174="unavailable",T1174="unavailable"),"不可评价",IF(OR(R1174="equivocal",T1174="equivocal"),"疑似",IF(AND(R1174="positive",T1174="positive"),"a",IF(T1174="positive","b",IF(R1174="positive","c","d")))))</x:f>
        <x:v>d</x:v>
      </x:c>
      <x:c r="V1174" s="12"/>
      <x:c r="W1174" s="12" t="str">
        <x:v>negative</x:v>
      </x:c>
      <x:c r="X1174" s="12"/>
      <x:c r="Y1174" s="12" t="str">
        <x:v>negative</x:v>
      </x:c>
      <x:c r="Z1174" s="12" t="str">
        <x:f>IF(OR(W1174="unavailable",Y1174="unavailable"),"不可评价",IF(OR(W1174="equivocal",Y1174="equivocal"),"疑似",IF(AND(W1174="positive",Y1174="positive"),"a",IF(Y1174="positive","b",IF(W1174="positive","c","d")))))</x:f>
        <x:v>d</x:v>
      </x:c>
      <x:c r="AA1174" s="12" t="str">
        <x:f>IF(OR(M1174="unavailable",O1174="unavailable"),"不可评价",IF(AND(OR(M1174="positive",M1174="equivocal"),OR(O1174="positive",O1174="equivocal")),"a",IF(OR(O1174="positive",O1174="equivocal"),"b",IF(OR(M1174="positive",M1174="equivocal"),"c","d"))))</x:f>
        <x:v>d</x:v>
      </x:c>
      <x:c r="AB1174" s="12" t="str">
        <x:f>IF(OR(M1174="unavailable",O1174="unavailable"),"不可评价",IF(AND(M1174="positive",O1174="positive"),"a",IF(O1174="positive","b",IF(M1174="positive","c","d"))))</x:f>
        <x:v>d</x:v>
      </x:c>
      <x:c r="AC1174" s="12" t="str">
        <x:f>IF(OR(R1174="unavailable",T1174="unavailable"),"不可评价",IF(AND(OR(R1174="positive",R1174="equivocal"),OR(T1174="positive",T1174="equivocal")),"a",IF(OR(T1174="positive",T1174="equivocal"),"b",IF(OR(R1174="positive",R1174="equivocal"),"c","d"))))</x:f>
        <x:v>d</x:v>
      </x:c>
      <x:c r="AD1174" s="12" t="str">
        <x:f>IF(OR(R1174="unavailable",T1174="unavailable"),"不可评价",IF(AND(R1174="positive",T1174="positive"),"a",IF(T1174="positive","b",IF(R1174="positive","c","d"))))</x:f>
        <x:v>d</x:v>
      </x:c>
      <x:c r="AE1174" s="12" t="str">
        <x:f>IF(OR(W1174="unavailable",Y1174="unavailable"),"不可评价",IF(AND(OR(W1174="positive",W1174="equivocal"),OR(Y1174="positive",Y1174="equivocal")),"a",IF(OR(Y1174="positive",Y1174="equivocal"),"b",IF(OR(W1174="positive",W1174="equivocal"),"c","d"))))</x:f>
        <x:v>d</x:v>
      </x:c>
      <x:c r="AF1174" s="12" t="str">
        <x:f>IF(OR(W1174="unavailable",Y1174="unavailable"),"不可评价",IF(AND(W1174="positive",Y1174="positive"),"a",IF(Y1174="positive","b",IF(W1174="positive","c","d"))))</x:f>
        <x:v>d</x:v>
      </x:c>
    </x:row>
    <x:row r="1175" ht="24" customHeight="1">
      <x:c r="A1175" s="12" t="str">
        <x:v>10547</x:v>
      </x:c>
      <x:c r="B1175" s="12" t="str">
        <x:v>6385</x:v>
      </x:c>
      <x:c r="C1175" s="21" t="n">
        <x:v>34166.53931712963</x:v>
      </x:c>
      <x:c r="D1175" s="12" t="n">
        <x:v>55</x:v>
      </x:c>
      <x:c r="E1175" s="12" t="n">
        <x:v>0</x:v>
      </x:c>
      <x:c r="F1175" s="12" t="str">
        <x:v>未记录</x:v>
      </x:c>
      <x:c r="G1175" s="12" t="n">
        <x:v>1</x:v>
      </x:c>
      <x:c r="H1175" s="12" t="str">
        <x:v>{'NORM': 100.0, 'SR': 0.0}</x:v>
      </x:c>
      <x:c r="I1175" s="12" t="str">
        <x:v>[('NSR', 100.0), ('NML', 100.0)]</x:v>
      </x:c>
      <x:c r="J1175" s="12" t="str">
        <x:v>ptbxl_database.csv；ecg_id=10547；scp_codes</x:v>
      </x:c>
      <x:c r="K1175" s="12" t="str">
        <x:v>12sl_statements.csv；ecg_id=10547；statements_ext_snomed</x:v>
      </x:c>
      <x:c r="L1175" s="12"/>
      <x:c r="M1175" s="12" t="str">
        <x:v>negative</x:v>
      </x:c>
      <x:c r="N1175" s="12"/>
      <x:c r="O1175" s="12" t="str">
        <x:v>negative</x:v>
      </x:c>
      <x:c r="P1175" s="12" t="str">
        <x:f>IF(OR(M1175="unavailable",O1175="unavailable"),"不可评价",IF(OR(M1175="equivocal",O1175="equivocal"),"疑似",IF(AND(M1175="positive",O1175="positive"),"a",IF(O1175="positive","b",IF(M1175="positive","c","d")))))</x:f>
        <x:v>d</x:v>
      </x:c>
      <x:c r="Q1175" s="12"/>
      <x:c r="R1175" s="12" t="str">
        <x:v>negative</x:v>
      </x:c>
      <x:c r="S1175" s="12"/>
      <x:c r="T1175" s="12" t="str">
        <x:v>negative</x:v>
      </x:c>
      <x:c r="U1175" s="12" t="str">
        <x:f>IF(OR(R1175="unavailable",T1175="unavailable"),"不可评价",IF(OR(R1175="equivocal",T1175="equivocal"),"疑似",IF(AND(R1175="positive",T1175="positive"),"a",IF(T1175="positive","b",IF(R1175="positive","c","d")))))</x:f>
        <x:v>d</x:v>
      </x:c>
      <x:c r="V1175" s="12"/>
      <x:c r="W1175" s="12" t="str">
        <x:v>negative</x:v>
      </x:c>
      <x:c r="X1175" s="12"/>
      <x:c r="Y1175" s="12" t="str">
        <x:v>negative</x:v>
      </x:c>
      <x:c r="Z1175" s="12" t="str">
        <x:f>IF(OR(W1175="unavailable",Y1175="unavailable"),"不可评价",IF(OR(W1175="equivocal",Y1175="equivocal"),"疑似",IF(AND(W1175="positive",Y1175="positive"),"a",IF(Y1175="positive","b",IF(W1175="positive","c","d")))))</x:f>
        <x:v>d</x:v>
      </x:c>
      <x:c r="AA1175" s="12" t="str">
        <x:f>IF(OR(M1175="unavailable",O1175="unavailable"),"不可评价",IF(AND(OR(M1175="positive",M1175="equivocal"),OR(O1175="positive",O1175="equivocal")),"a",IF(OR(O1175="positive",O1175="equivocal"),"b",IF(OR(M1175="positive",M1175="equivocal"),"c","d"))))</x:f>
        <x:v>d</x:v>
      </x:c>
      <x:c r="AB1175" s="12" t="str">
        <x:f>IF(OR(M1175="unavailable",O1175="unavailable"),"不可评价",IF(AND(M1175="positive",O1175="positive"),"a",IF(O1175="positive","b",IF(M1175="positive","c","d"))))</x:f>
        <x:v>d</x:v>
      </x:c>
      <x:c r="AC1175" s="12" t="str">
        <x:f>IF(OR(R1175="unavailable",T1175="unavailable"),"不可评价",IF(AND(OR(R1175="positive",R1175="equivocal"),OR(T1175="positive",T1175="equivocal")),"a",IF(OR(T1175="positive",T1175="equivocal"),"b",IF(OR(R1175="positive",R1175="equivocal"),"c","d"))))</x:f>
        <x:v>d</x:v>
      </x:c>
      <x:c r="AD1175" s="12" t="str">
        <x:f>IF(OR(R1175="unavailable",T1175="unavailable"),"不可评价",IF(AND(R1175="positive",T1175="positive"),"a",IF(T1175="positive","b",IF(R1175="positive","c","d"))))</x:f>
        <x:v>d</x:v>
      </x:c>
      <x:c r="AE1175" s="12" t="str">
        <x:f>IF(OR(W1175="unavailable",Y1175="unavailable"),"不可评价",IF(AND(OR(W1175="positive",W1175="equivocal"),OR(Y1175="positive",Y1175="equivocal")),"a",IF(OR(Y1175="positive",Y1175="equivocal"),"b",IF(OR(W1175="positive",W1175="equivocal"),"c","d"))))</x:f>
        <x:v>d</x:v>
      </x:c>
      <x:c r="AF1175" s="12" t="str">
        <x:f>IF(OR(W1175="unavailable",Y1175="unavailable"),"不可评价",IF(AND(W1175="positive",Y1175="positive"),"a",IF(Y1175="positive","b",IF(W1175="positive","c","d"))))</x:f>
        <x:v>d</x:v>
      </x:c>
    </x:row>
    <x:row r="1176" ht="24" customHeight="1">
      <x:c r="A1176" s="12" t="str">
        <x:v>10563</x:v>
      </x:c>
      <x:c r="B1176" s="12" t="str">
        <x:v>3203</x:v>
      </x:c>
      <x:c r="C1176" s="21" t="n">
        <x:v>34167.972349537034</x:v>
      </x:c>
      <x:c r="D1176" s="12" t="n">
        <x:v>300</x:v>
      </x:c>
      <x:c r="E1176" s="12" t="n">
        <x:v>1</x:v>
      </x:c>
      <x:c r="F1176" s="12" t="str">
        <x:v>未记录</x:v>
      </x:c>
      <x:c r="G1176" s="12" t="n">
        <x:v>1</x:v>
      </x:c>
      <x:c r="H1176" s="12" t="str">
        <x:v>{'LAFB': 100.0, 'LVH': 100.0, 'ISC_': 50.0, 'SR': 0.0}</x:v>
      </x:c>
      <x:c r="I1176" s="12" t="str">
        <x:v>[('NSR', 100.0), ('AFB', 100.0), ('LVH2', 100.0), ('2ST', 100.0), ('AB', 100.0)]</x:v>
      </x:c>
      <x:c r="J1176" s="12" t="str">
        <x:v>ptbxl_database.csv；ecg_id=10563；scp_codes</x:v>
      </x:c>
      <x:c r="K1176" s="12" t="str">
        <x:v>12sl_statements.csv；ecg_id=10563；statements_ext_snomed</x:v>
      </x:c>
      <x:c r="L1176" s="12"/>
      <x:c r="M1176" s="12" t="str">
        <x:v>negative</x:v>
      </x:c>
      <x:c r="N1176" s="12"/>
      <x:c r="O1176" s="12" t="str">
        <x:v>negative</x:v>
      </x:c>
      <x:c r="P1176" s="12" t="str">
        <x:f>IF(OR(M1176="unavailable",O1176="unavailable"),"不可评价",IF(OR(M1176="equivocal",O1176="equivocal"),"疑似",IF(AND(M1176="positive",O1176="positive"),"a",IF(O1176="positive","b",IF(M1176="positive","c","d")))))</x:f>
        <x:v>d</x:v>
      </x:c>
      <x:c r="Q1176" s="12"/>
      <x:c r="R1176" s="12" t="str">
        <x:v>negative</x:v>
      </x:c>
      <x:c r="S1176" s="12"/>
      <x:c r="T1176" s="12" t="str">
        <x:v>negative</x:v>
      </x:c>
      <x:c r="U1176" s="12" t="str">
        <x:f>IF(OR(R1176="unavailable",T1176="unavailable"),"不可评价",IF(OR(R1176="equivocal",T1176="equivocal"),"疑似",IF(AND(R1176="positive",T1176="positive"),"a",IF(T1176="positive","b",IF(R1176="positive","c","d")))))</x:f>
        <x:v>d</x:v>
      </x:c>
      <x:c r="V1176" s="12"/>
      <x:c r="W1176" s="12" t="str">
        <x:v>negative</x:v>
      </x:c>
      <x:c r="X1176" s="12"/>
      <x:c r="Y1176" s="12" t="str">
        <x:v>negative</x:v>
      </x:c>
      <x:c r="Z1176" s="12" t="str">
        <x:f>IF(OR(W1176="unavailable",Y1176="unavailable"),"不可评价",IF(OR(W1176="equivocal",Y1176="equivocal"),"疑似",IF(AND(W1176="positive",Y1176="positive"),"a",IF(Y1176="positive","b",IF(W1176="positive","c","d")))))</x:f>
        <x:v>d</x:v>
      </x:c>
      <x:c r="AA1176" s="12" t="str">
        <x:f>IF(OR(M1176="unavailable",O1176="unavailable"),"不可评价",IF(AND(OR(M1176="positive",M1176="equivocal"),OR(O1176="positive",O1176="equivocal")),"a",IF(OR(O1176="positive",O1176="equivocal"),"b",IF(OR(M1176="positive",M1176="equivocal"),"c","d"))))</x:f>
        <x:v>d</x:v>
      </x:c>
      <x:c r="AB1176" s="12" t="str">
        <x:f>IF(OR(M1176="unavailable",O1176="unavailable"),"不可评价",IF(AND(M1176="positive",O1176="positive"),"a",IF(O1176="positive","b",IF(M1176="positive","c","d"))))</x:f>
        <x:v>d</x:v>
      </x:c>
      <x:c r="AC1176" s="12" t="str">
        <x:f>IF(OR(R1176="unavailable",T1176="unavailable"),"不可评价",IF(AND(OR(R1176="positive",R1176="equivocal"),OR(T1176="positive",T1176="equivocal")),"a",IF(OR(T1176="positive",T1176="equivocal"),"b",IF(OR(R1176="positive",R1176="equivocal"),"c","d"))))</x:f>
        <x:v>d</x:v>
      </x:c>
      <x:c r="AD1176" s="12" t="str">
        <x:f>IF(OR(R1176="unavailable",T1176="unavailable"),"不可评价",IF(AND(R1176="positive",T1176="positive"),"a",IF(T1176="positive","b",IF(R1176="positive","c","d"))))</x:f>
        <x:v>d</x:v>
      </x:c>
      <x:c r="AE1176" s="12" t="str">
        <x:f>IF(OR(W1176="unavailable",Y1176="unavailable"),"不可评价",IF(AND(OR(W1176="positive",W1176="equivocal"),OR(Y1176="positive",Y1176="equivocal")),"a",IF(OR(Y1176="positive",Y1176="equivocal"),"b",IF(OR(W1176="positive",W1176="equivocal"),"c","d"))))</x:f>
        <x:v>d</x:v>
      </x:c>
      <x:c r="AF1176" s="12" t="str">
        <x:f>IF(OR(W1176="unavailable",Y1176="unavailable"),"不可评价",IF(AND(W1176="positive",Y1176="positive"),"a",IF(Y1176="positive","b",IF(W1176="positive","c","d"))))</x:f>
        <x:v>d</x:v>
      </x:c>
    </x:row>
    <x:row r="1177" ht="24" customHeight="1">
      <x:c r="A1177" s="12" t="str">
        <x:v>10585</x:v>
      </x:c>
      <x:c r="B1177" s="12" t="str">
        <x:v>1345</x:v>
      </x:c>
      <x:c r="C1177" s="21" t="n">
        <x:v>34170.57309027778</x:v>
      </x:c>
      <x:c r="D1177" s="12" t="n">
        <x:v>58</x:v>
      </x:c>
      <x:c r="E1177" s="12" t="n">
        <x:v>1</x:v>
      </x:c>
      <x:c r="F1177" s="12" t="str">
        <x:v>未记录</x:v>
      </x:c>
      <x:c r="G1177" s="12" t="n">
        <x:v>1</x:v>
      </x:c>
      <x:c r="H1177" s="12" t="str">
        <x:v>{'NORM': 100.0, 'SR': 0.0}</x:v>
      </x:c>
      <x:c r="I1177" s="12" t="str">
        <x:v>[('SBRAD', 100.0), ('ABR', 100.0)]</x:v>
      </x:c>
      <x:c r="J1177" s="12" t="str">
        <x:v>ptbxl_database.csv；ecg_id=10585；scp_codes</x:v>
      </x:c>
      <x:c r="K1177" s="12" t="str">
        <x:v>12sl_statements.csv；ecg_id=10585；statements_ext_snomed</x:v>
      </x:c>
      <x:c r="L1177" s="12"/>
      <x:c r="M1177" s="12" t="str">
        <x:v>negative</x:v>
      </x:c>
      <x:c r="N1177" s="12"/>
      <x:c r="O1177" s="12" t="str">
        <x:v>negative</x:v>
      </x:c>
      <x:c r="P1177" s="12" t="str">
        <x:f>IF(OR(M1177="unavailable",O1177="unavailable"),"不可评价",IF(OR(M1177="equivocal",O1177="equivocal"),"疑似",IF(AND(M1177="positive",O1177="positive"),"a",IF(O1177="positive","b",IF(M1177="positive","c","d")))))</x:f>
        <x:v>d</x:v>
      </x:c>
      <x:c r="Q1177" s="12"/>
      <x:c r="R1177" s="12" t="str">
        <x:v>negative</x:v>
      </x:c>
      <x:c r="S1177" s="12"/>
      <x:c r="T1177" s="12" t="str">
        <x:v>negative</x:v>
      </x:c>
      <x:c r="U1177" s="12" t="str">
        <x:f>IF(OR(R1177="unavailable",T1177="unavailable"),"不可评价",IF(OR(R1177="equivocal",T1177="equivocal"),"疑似",IF(AND(R1177="positive",T1177="positive"),"a",IF(T1177="positive","b",IF(R1177="positive","c","d")))))</x:f>
        <x:v>d</x:v>
      </x:c>
      <x:c r="V1177" s="12"/>
      <x:c r="W1177" s="12" t="str">
        <x:v>negative</x:v>
      </x:c>
      <x:c r="X1177" s="12"/>
      <x:c r="Y1177" s="12" t="str">
        <x:v>negative</x:v>
      </x:c>
      <x:c r="Z1177" s="12" t="str">
        <x:f>IF(OR(W1177="unavailable",Y1177="unavailable"),"不可评价",IF(OR(W1177="equivocal",Y1177="equivocal"),"疑似",IF(AND(W1177="positive",Y1177="positive"),"a",IF(Y1177="positive","b",IF(W1177="positive","c","d")))))</x:f>
        <x:v>d</x:v>
      </x:c>
      <x:c r="AA1177" s="12" t="str">
        <x:f>IF(OR(M1177="unavailable",O1177="unavailable"),"不可评价",IF(AND(OR(M1177="positive",M1177="equivocal"),OR(O1177="positive",O1177="equivocal")),"a",IF(OR(O1177="positive",O1177="equivocal"),"b",IF(OR(M1177="positive",M1177="equivocal"),"c","d"))))</x:f>
        <x:v>d</x:v>
      </x:c>
      <x:c r="AB1177" s="12" t="str">
        <x:f>IF(OR(M1177="unavailable",O1177="unavailable"),"不可评价",IF(AND(M1177="positive",O1177="positive"),"a",IF(O1177="positive","b",IF(M1177="positive","c","d"))))</x:f>
        <x:v>d</x:v>
      </x:c>
      <x:c r="AC1177" s="12" t="str">
        <x:f>IF(OR(R1177="unavailable",T1177="unavailable"),"不可评价",IF(AND(OR(R1177="positive",R1177="equivocal"),OR(T1177="positive",T1177="equivocal")),"a",IF(OR(T1177="positive",T1177="equivocal"),"b",IF(OR(R1177="positive",R1177="equivocal"),"c","d"))))</x:f>
        <x:v>d</x:v>
      </x:c>
      <x:c r="AD1177" s="12" t="str">
        <x:f>IF(OR(R1177="unavailable",T1177="unavailable"),"不可评价",IF(AND(R1177="positive",T1177="positive"),"a",IF(T1177="positive","b",IF(R1177="positive","c","d"))))</x:f>
        <x:v>d</x:v>
      </x:c>
      <x:c r="AE1177" s="12" t="str">
        <x:f>IF(OR(W1177="unavailable",Y1177="unavailable"),"不可评价",IF(AND(OR(W1177="positive",W1177="equivocal"),OR(Y1177="positive",Y1177="equivocal")),"a",IF(OR(Y1177="positive",Y1177="equivocal"),"b",IF(OR(W1177="positive",W1177="equivocal"),"c","d"))))</x:f>
        <x:v>d</x:v>
      </x:c>
      <x:c r="AF1177" s="12" t="str">
        <x:f>IF(OR(W1177="unavailable",Y1177="unavailable"),"不可评价",IF(AND(W1177="positive",Y1177="positive"),"a",IF(Y1177="positive","b",IF(W1177="positive","c","d"))))</x:f>
        <x:v>d</x:v>
      </x:c>
    </x:row>
    <x:row r="1178" ht="24" customHeight="1">
      <x:c r="A1178" s="12" t="str">
        <x:v>10589</x:v>
      </x:c>
      <x:c r="B1178" s="12" t="str">
        <x:v>2875</x:v>
      </x:c>
      <x:c r="C1178" s="21" t="n">
        <x:v>34170.634305555555</x:v>
      </x:c>
      <x:c r="D1178" s="12" t="n">
        <x:v>51</x:v>
      </x:c>
      <x:c r="E1178" s="12" t="n">
        <x:v>1</x:v>
      </x:c>
      <x:c r="F1178" s="12" t="str">
        <x:v>未记录</x:v>
      </x:c>
      <x:c r="G1178" s="12" t="n">
        <x:v>1</x:v>
      </x:c>
      <x:c r="H1178" s="12" t="str">
        <x:v>{'NORM': 100.0, 'SR': 0.0}</x:v>
      </x:c>
      <x:c r="I1178" s="12" t="str">
        <x:v>[('NSR', 100.0), ('NML', 100.0)]</x:v>
      </x:c>
      <x:c r="J1178" s="12" t="str">
        <x:v>ptbxl_database.csv；ecg_id=10589；scp_codes</x:v>
      </x:c>
      <x:c r="K1178" s="12" t="str">
        <x:v>12sl_statements.csv；ecg_id=10589；statements_ext_snomed</x:v>
      </x:c>
      <x:c r="L1178" s="12"/>
      <x:c r="M1178" s="12" t="str">
        <x:v>negative</x:v>
      </x:c>
      <x:c r="N1178" s="12"/>
      <x:c r="O1178" s="12" t="str">
        <x:v>negative</x:v>
      </x:c>
      <x:c r="P1178" s="12" t="str">
        <x:f>IF(OR(M1178="unavailable",O1178="unavailable"),"不可评价",IF(OR(M1178="equivocal",O1178="equivocal"),"疑似",IF(AND(M1178="positive",O1178="positive"),"a",IF(O1178="positive","b",IF(M1178="positive","c","d")))))</x:f>
        <x:v>d</x:v>
      </x:c>
      <x:c r="Q1178" s="12"/>
      <x:c r="R1178" s="12" t="str">
        <x:v>negative</x:v>
      </x:c>
      <x:c r="S1178" s="12"/>
      <x:c r="T1178" s="12" t="str">
        <x:v>negative</x:v>
      </x:c>
      <x:c r="U1178" s="12" t="str">
        <x:f>IF(OR(R1178="unavailable",T1178="unavailable"),"不可评价",IF(OR(R1178="equivocal",T1178="equivocal"),"疑似",IF(AND(R1178="positive",T1178="positive"),"a",IF(T1178="positive","b",IF(R1178="positive","c","d")))))</x:f>
        <x:v>d</x:v>
      </x:c>
      <x:c r="V1178" s="12"/>
      <x:c r="W1178" s="12" t="str">
        <x:v>negative</x:v>
      </x:c>
      <x:c r="X1178" s="12"/>
      <x:c r="Y1178" s="12" t="str">
        <x:v>negative</x:v>
      </x:c>
      <x:c r="Z1178" s="12" t="str">
        <x:f>IF(OR(W1178="unavailable",Y1178="unavailable"),"不可评价",IF(OR(W1178="equivocal",Y1178="equivocal"),"疑似",IF(AND(W1178="positive",Y1178="positive"),"a",IF(Y1178="positive","b",IF(W1178="positive","c","d")))))</x:f>
        <x:v>d</x:v>
      </x:c>
      <x:c r="AA1178" s="12" t="str">
        <x:f>IF(OR(M1178="unavailable",O1178="unavailable"),"不可评价",IF(AND(OR(M1178="positive",M1178="equivocal"),OR(O1178="positive",O1178="equivocal")),"a",IF(OR(O1178="positive",O1178="equivocal"),"b",IF(OR(M1178="positive",M1178="equivocal"),"c","d"))))</x:f>
        <x:v>d</x:v>
      </x:c>
      <x:c r="AB1178" s="12" t="str">
        <x:f>IF(OR(M1178="unavailable",O1178="unavailable"),"不可评价",IF(AND(M1178="positive",O1178="positive"),"a",IF(O1178="positive","b",IF(M1178="positive","c","d"))))</x:f>
        <x:v>d</x:v>
      </x:c>
      <x:c r="AC1178" s="12" t="str">
        <x:f>IF(OR(R1178="unavailable",T1178="unavailable"),"不可评价",IF(AND(OR(R1178="positive",R1178="equivocal"),OR(T1178="positive",T1178="equivocal")),"a",IF(OR(T1178="positive",T1178="equivocal"),"b",IF(OR(R1178="positive",R1178="equivocal"),"c","d"))))</x:f>
        <x:v>d</x:v>
      </x:c>
      <x:c r="AD1178" s="12" t="str">
        <x:f>IF(OR(R1178="unavailable",T1178="unavailable"),"不可评价",IF(AND(R1178="positive",T1178="positive"),"a",IF(T1178="positive","b",IF(R1178="positive","c","d"))))</x:f>
        <x:v>d</x:v>
      </x:c>
      <x:c r="AE1178" s="12" t="str">
        <x:f>IF(OR(W1178="unavailable",Y1178="unavailable"),"不可评价",IF(AND(OR(W1178="positive",W1178="equivocal"),OR(Y1178="positive",Y1178="equivocal")),"a",IF(OR(Y1178="positive",Y1178="equivocal"),"b",IF(OR(W1178="positive",W1178="equivocal"),"c","d"))))</x:f>
        <x:v>d</x:v>
      </x:c>
      <x:c r="AF1178" s="12" t="str">
        <x:f>IF(OR(W1178="unavailable",Y1178="unavailable"),"不可评价",IF(AND(W1178="positive",Y1178="positive"),"a",IF(Y1178="positive","b",IF(W1178="positive","c","d"))))</x:f>
        <x:v>d</x:v>
      </x:c>
    </x:row>
    <x:row r="1179" ht="24" customHeight="1">
      <x:c r="A1179" s="12" t="str">
        <x:v>10594</x:v>
      </x:c>
      <x:c r="B1179" s="12" t="str">
        <x:v>8247</x:v>
      </x:c>
      <x:c r="C1179" s="21" t="n">
        <x:v>34171.38995370371</x:v>
      </x:c>
      <x:c r="D1179" s="12" t="n">
        <x:v>65</x:v>
      </x:c>
      <x:c r="E1179" s="12" t="n">
        <x:v>1</x:v>
      </x:c>
      <x:c r="F1179" s="12" t="str">
        <x:v>未记录</x:v>
      </x:c>
      <x:c r="G1179" s="12" t="n">
        <x:v>1</x:v>
      </x:c>
      <x:c r="H1179" s="12" t="str">
        <x:v>{'ISC_': 100.0, 'LVH': 100.0, 'VCLVH': 0.0, 'SR': 0.0}</x:v>
      </x:c>
      <x:c r="I1179" s="12" t="str">
        <x:v>[('NSR', 100.0), ('ASBINJ', 100.0), ('AB', 100.0)]</x:v>
      </x:c>
      <x:c r="J1179" s="12" t="str">
        <x:v>ptbxl_database.csv；ecg_id=10594；scp_codes</x:v>
      </x:c>
      <x:c r="K1179" s="12" t="str">
        <x:v>12sl_statements.csv；ecg_id=10594；statements_ext_snomed</x:v>
      </x:c>
      <x:c r="L1179" s="12"/>
      <x:c r="M1179" s="12" t="str">
        <x:v>negative</x:v>
      </x:c>
      <x:c r="N1179" s="12"/>
      <x:c r="O1179" s="12" t="str">
        <x:v>negative</x:v>
      </x:c>
      <x:c r="P1179" s="12" t="str">
        <x:f>IF(OR(M1179="unavailable",O1179="unavailable"),"不可评价",IF(OR(M1179="equivocal",O1179="equivocal"),"疑似",IF(AND(M1179="positive",O1179="positive"),"a",IF(O1179="positive","b",IF(M1179="positive","c","d")))))</x:f>
        <x:v>d</x:v>
      </x:c>
      <x:c r="Q1179" s="12"/>
      <x:c r="R1179" s="12" t="str">
        <x:v>negative</x:v>
      </x:c>
      <x:c r="S1179" s="12"/>
      <x:c r="T1179" s="12" t="str">
        <x:v>negative</x:v>
      </x:c>
      <x:c r="U1179" s="12" t="str">
        <x:f>IF(OR(R1179="unavailable",T1179="unavailable"),"不可评价",IF(OR(R1179="equivocal",T1179="equivocal"),"疑似",IF(AND(R1179="positive",T1179="positive"),"a",IF(T1179="positive","b",IF(R1179="positive","c","d")))))</x:f>
        <x:v>d</x:v>
      </x:c>
      <x:c r="V1179" s="12"/>
      <x:c r="W1179" s="12" t="str">
        <x:v>negative</x:v>
      </x:c>
      <x:c r="X1179" s="12"/>
      <x:c r="Y1179" s="12" t="str">
        <x:v>negative</x:v>
      </x:c>
      <x:c r="Z1179" s="12" t="str">
        <x:f>IF(OR(W1179="unavailable",Y1179="unavailable"),"不可评价",IF(OR(W1179="equivocal",Y1179="equivocal"),"疑似",IF(AND(W1179="positive",Y1179="positive"),"a",IF(Y1179="positive","b",IF(W1179="positive","c","d")))))</x:f>
        <x:v>d</x:v>
      </x:c>
      <x:c r="AA1179" s="12" t="str">
        <x:f>IF(OR(M1179="unavailable",O1179="unavailable"),"不可评价",IF(AND(OR(M1179="positive",M1179="equivocal"),OR(O1179="positive",O1179="equivocal")),"a",IF(OR(O1179="positive",O1179="equivocal"),"b",IF(OR(M1179="positive",M1179="equivocal"),"c","d"))))</x:f>
        <x:v>d</x:v>
      </x:c>
      <x:c r="AB1179" s="12" t="str">
        <x:f>IF(OR(M1179="unavailable",O1179="unavailable"),"不可评价",IF(AND(M1179="positive",O1179="positive"),"a",IF(O1179="positive","b",IF(M1179="positive","c","d"))))</x:f>
        <x:v>d</x:v>
      </x:c>
      <x:c r="AC1179" s="12" t="str">
        <x:f>IF(OR(R1179="unavailable",T1179="unavailable"),"不可评价",IF(AND(OR(R1179="positive",R1179="equivocal"),OR(T1179="positive",T1179="equivocal")),"a",IF(OR(T1179="positive",T1179="equivocal"),"b",IF(OR(R1179="positive",R1179="equivocal"),"c","d"))))</x:f>
        <x:v>d</x:v>
      </x:c>
      <x:c r="AD1179" s="12" t="str">
        <x:f>IF(OR(R1179="unavailable",T1179="unavailable"),"不可评价",IF(AND(R1179="positive",T1179="positive"),"a",IF(T1179="positive","b",IF(R1179="positive","c","d"))))</x:f>
        <x:v>d</x:v>
      </x:c>
      <x:c r="AE1179" s="12" t="str">
        <x:f>IF(OR(W1179="unavailable",Y1179="unavailable"),"不可评价",IF(AND(OR(W1179="positive",W1179="equivocal"),OR(Y1179="positive",Y1179="equivocal")),"a",IF(OR(Y1179="positive",Y1179="equivocal"),"b",IF(OR(W1179="positive",W1179="equivocal"),"c","d"))))</x:f>
        <x:v>d</x:v>
      </x:c>
      <x:c r="AF1179" s="12" t="str">
        <x:f>IF(OR(W1179="unavailable",Y1179="unavailable"),"不可评价",IF(AND(W1179="positive",Y1179="positive"),"a",IF(Y1179="positive","b",IF(W1179="positive","c","d"))))</x:f>
        <x:v>d</x:v>
      </x:c>
    </x:row>
    <x:row r="1180" ht="24" customHeight="1">
      <x:c r="A1180" s="12" t="str">
        <x:v>10596</x:v>
      </x:c>
      <x:c r="B1180" s="12" t="str">
        <x:v>5597</x:v>
      </x:c>
      <x:c r="C1180" s="21" t="n">
        <x:v>34171.40222222222</x:v>
      </x:c>
      <x:c r="D1180" s="12" t="n">
        <x:v>45</x:v>
      </x:c>
      <x:c r="E1180" s="12" t="n">
        <x:v>0</x:v>
      </x:c>
      <x:c r="F1180" s="12" t="str">
        <x:v>未记录</x:v>
      </x:c>
      <x:c r="G1180" s="12" t="n">
        <x:v>1</x:v>
      </x:c>
      <x:c r="H1180" s="12" t="str">
        <x:v>{'NORM': 100.0, 'SR': 0.0}</x:v>
      </x:c>
      <x:c r="I1180" s="12" t="str">
        <x:v>[('SBRAD', 100.0), ('BORDE', 100.0)]</x:v>
      </x:c>
      <x:c r="J1180" s="12" t="str">
        <x:v>ptbxl_database.csv；ecg_id=10596；scp_codes</x:v>
      </x:c>
      <x:c r="K1180" s="12" t="str">
        <x:v>12sl_statements.csv；ecg_id=10596；statements_ext_snomed</x:v>
      </x:c>
      <x:c r="L1180" s="12"/>
      <x:c r="M1180" s="12" t="str">
        <x:v>negative</x:v>
      </x:c>
      <x:c r="N1180" s="12"/>
      <x:c r="O1180" s="12" t="str">
        <x:v>negative</x:v>
      </x:c>
      <x:c r="P1180" s="12" t="str">
        <x:f>IF(OR(M1180="unavailable",O1180="unavailable"),"不可评价",IF(OR(M1180="equivocal",O1180="equivocal"),"疑似",IF(AND(M1180="positive",O1180="positive"),"a",IF(O1180="positive","b",IF(M1180="positive","c","d")))))</x:f>
        <x:v>d</x:v>
      </x:c>
      <x:c r="Q1180" s="12"/>
      <x:c r="R1180" s="12" t="str">
        <x:v>negative</x:v>
      </x:c>
      <x:c r="S1180" s="12"/>
      <x:c r="T1180" s="12" t="str">
        <x:v>negative</x:v>
      </x:c>
      <x:c r="U1180" s="12" t="str">
        <x:f>IF(OR(R1180="unavailable",T1180="unavailable"),"不可评价",IF(OR(R1180="equivocal",T1180="equivocal"),"疑似",IF(AND(R1180="positive",T1180="positive"),"a",IF(T1180="positive","b",IF(R1180="positive","c","d")))))</x:f>
        <x:v>d</x:v>
      </x:c>
      <x:c r="V1180" s="12"/>
      <x:c r="W1180" s="12" t="str">
        <x:v>negative</x:v>
      </x:c>
      <x:c r="X1180" s="12"/>
      <x:c r="Y1180" s="12" t="str">
        <x:v>negative</x:v>
      </x:c>
      <x:c r="Z1180" s="12" t="str">
        <x:f>IF(OR(W1180="unavailable",Y1180="unavailable"),"不可评价",IF(OR(W1180="equivocal",Y1180="equivocal"),"疑似",IF(AND(W1180="positive",Y1180="positive"),"a",IF(Y1180="positive","b",IF(W1180="positive","c","d")))))</x:f>
        <x:v>d</x:v>
      </x:c>
      <x:c r="AA1180" s="12" t="str">
        <x:f>IF(OR(M1180="unavailable",O1180="unavailable"),"不可评价",IF(AND(OR(M1180="positive",M1180="equivocal"),OR(O1180="positive",O1180="equivocal")),"a",IF(OR(O1180="positive",O1180="equivocal"),"b",IF(OR(M1180="positive",M1180="equivocal"),"c","d"))))</x:f>
        <x:v>d</x:v>
      </x:c>
      <x:c r="AB1180" s="12" t="str">
        <x:f>IF(OR(M1180="unavailable",O1180="unavailable"),"不可评价",IF(AND(M1180="positive",O1180="positive"),"a",IF(O1180="positive","b",IF(M1180="positive","c","d"))))</x:f>
        <x:v>d</x:v>
      </x:c>
      <x:c r="AC1180" s="12" t="str">
        <x:f>IF(OR(R1180="unavailable",T1180="unavailable"),"不可评价",IF(AND(OR(R1180="positive",R1180="equivocal"),OR(T1180="positive",T1180="equivocal")),"a",IF(OR(T1180="positive",T1180="equivocal"),"b",IF(OR(R1180="positive",R1180="equivocal"),"c","d"))))</x:f>
        <x:v>d</x:v>
      </x:c>
      <x:c r="AD1180" s="12" t="str">
        <x:f>IF(OR(R1180="unavailable",T1180="unavailable"),"不可评价",IF(AND(R1180="positive",T1180="positive"),"a",IF(T1180="positive","b",IF(R1180="positive","c","d"))))</x:f>
        <x:v>d</x:v>
      </x:c>
      <x:c r="AE1180" s="12" t="str">
        <x:f>IF(OR(W1180="unavailable",Y1180="unavailable"),"不可评价",IF(AND(OR(W1180="positive",W1180="equivocal"),OR(Y1180="positive",Y1180="equivocal")),"a",IF(OR(Y1180="positive",Y1180="equivocal"),"b",IF(OR(W1180="positive",W1180="equivocal"),"c","d"))))</x:f>
        <x:v>d</x:v>
      </x:c>
      <x:c r="AF1180" s="12" t="str">
        <x:f>IF(OR(W1180="unavailable",Y1180="unavailable"),"不可评价",IF(AND(W1180="positive",Y1180="positive"),"a",IF(Y1180="positive","b",IF(W1180="positive","c","d"))))</x:f>
        <x:v>d</x:v>
      </x:c>
    </x:row>
    <x:row r="1181" ht="24" customHeight="1">
      <x:c r="A1181" s="12" t="str">
        <x:v>10614</x:v>
      </x:c>
      <x:c r="B1181" s="12" t="str">
        <x:v>21413</x:v>
      </x:c>
      <x:c r="C1181" s="21" t="n">
        <x:v>34172.50451388889</x:v>
      </x:c>
      <x:c r="D1181" s="12" t="n">
        <x:v>39</x:v>
      </x:c>
      <x:c r="E1181" s="12" t="n">
        <x:v>0</x:v>
      </x:c>
      <x:c r="F1181" s="12" t="str">
        <x:v>未记录</x:v>
      </x:c>
      <x:c r="G1181" s="12" t="n">
        <x:v>1</x:v>
      </x:c>
      <x:c r="H1181" s="12" t="str">
        <x:v>{'IMI': 50.0, 'ABQRS': 0.0, 'SR': 0.0}</x:v>
      </x:c>
      <x:c r="I1181" s="12" t="str">
        <x:v>[('NSR', 100.0), ('NML', 100.0)]</x:v>
      </x:c>
      <x:c r="J1181" s="12" t="str">
        <x:v>ptbxl_database.csv；ecg_id=10614；scp_codes</x:v>
      </x:c>
      <x:c r="K1181" s="12" t="str">
        <x:v>12sl_statements.csv；ecg_id=10614；statements_ext_snomed</x:v>
      </x:c>
      <x:c r="L1181" s="12"/>
      <x:c r="M1181" s="12" t="str">
        <x:v>negative</x:v>
      </x:c>
      <x:c r="N1181" s="12"/>
      <x:c r="O1181" s="12" t="str">
        <x:v>negative</x:v>
      </x:c>
      <x:c r="P1181" s="12" t="str">
        <x:f>IF(OR(M1181="unavailable",O1181="unavailable"),"不可评价",IF(OR(M1181="equivocal",O1181="equivocal"),"疑似",IF(AND(M1181="positive",O1181="positive"),"a",IF(O1181="positive","b",IF(M1181="positive","c","d")))))</x:f>
        <x:v>d</x:v>
      </x:c>
      <x:c r="Q1181" s="12"/>
      <x:c r="R1181" s="12" t="str">
        <x:v>negative</x:v>
      </x:c>
      <x:c r="S1181" s="12"/>
      <x:c r="T1181" s="12" t="str">
        <x:v>negative</x:v>
      </x:c>
      <x:c r="U1181" s="12" t="str">
        <x:f>IF(OR(R1181="unavailable",T1181="unavailable"),"不可评价",IF(OR(R1181="equivocal",T1181="equivocal"),"疑似",IF(AND(R1181="positive",T1181="positive"),"a",IF(T1181="positive","b",IF(R1181="positive","c","d")))))</x:f>
        <x:v>d</x:v>
      </x:c>
      <x:c r="V1181" s="12"/>
      <x:c r="W1181" s="12" t="str">
        <x:v>negative</x:v>
      </x:c>
      <x:c r="X1181" s="12"/>
      <x:c r="Y1181" s="12" t="str">
        <x:v>negative</x:v>
      </x:c>
      <x:c r="Z1181" s="12" t="str">
        <x:f>IF(OR(W1181="unavailable",Y1181="unavailable"),"不可评价",IF(OR(W1181="equivocal",Y1181="equivocal"),"疑似",IF(AND(W1181="positive",Y1181="positive"),"a",IF(Y1181="positive","b",IF(W1181="positive","c","d")))))</x:f>
        <x:v>d</x:v>
      </x:c>
      <x:c r="AA1181" s="12" t="str">
        <x:f>IF(OR(M1181="unavailable",O1181="unavailable"),"不可评价",IF(AND(OR(M1181="positive",M1181="equivocal"),OR(O1181="positive",O1181="equivocal")),"a",IF(OR(O1181="positive",O1181="equivocal"),"b",IF(OR(M1181="positive",M1181="equivocal"),"c","d"))))</x:f>
        <x:v>d</x:v>
      </x:c>
      <x:c r="AB1181" s="12" t="str">
        <x:f>IF(OR(M1181="unavailable",O1181="unavailable"),"不可评价",IF(AND(M1181="positive",O1181="positive"),"a",IF(O1181="positive","b",IF(M1181="positive","c","d"))))</x:f>
        <x:v>d</x:v>
      </x:c>
      <x:c r="AC1181" s="12" t="str">
        <x:f>IF(OR(R1181="unavailable",T1181="unavailable"),"不可评价",IF(AND(OR(R1181="positive",R1181="equivocal"),OR(T1181="positive",T1181="equivocal")),"a",IF(OR(T1181="positive",T1181="equivocal"),"b",IF(OR(R1181="positive",R1181="equivocal"),"c","d"))))</x:f>
        <x:v>d</x:v>
      </x:c>
      <x:c r="AD1181" s="12" t="str">
        <x:f>IF(OR(R1181="unavailable",T1181="unavailable"),"不可评价",IF(AND(R1181="positive",T1181="positive"),"a",IF(T1181="positive","b",IF(R1181="positive","c","d"))))</x:f>
        <x:v>d</x:v>
      </x:c>
      <x:c r="AE1181" s="12" t="str">
        <x:f>IF(OR(W1181="unavailable",Y1181="unavailable"),"不可评价",IF(AND(OR(W1181="positive",W1181="equivocal"),OR(Y1181="positive",Y1181="equivocal")),"a",IF(OR(Y1181="positive",Y1181="equivocal"),"b",IF(OR(W1181="positive",W1181="equivocal"),"c","d"))))</x:f>
        <x:v>d</x:v>
      </x:c>
      <x:c r="AF1181" s="12" t="str">
        <x:f>IF(OR(W1181="unavailable",Y1181="unavailable"),"不可评价",IF(AND(W1181="positive",Y1181="positive"),"a",IF(Y1181="positive","b",IF(W1181="positive","c","d"))))</x:f>
        <x:v>d</x:v>
      </x:c>
    </x:row>
    <x:row r="1182" ht="24" customHeight="1">
      <x:c r="A1182" s="12" t="str">
        <x:v>10615</x:v>
      </x:c>
      <x:c r="B1182" s="12" t="str">
        <x:v>5650</x:v>
      </x:c>
      <x:c r="C1182" s="21" t="n">
        <x:v>34172.70230324074</x:v>
      </x:c>
      <x:c r="D1182" s="12" t="n">
        <x:v>66</x:v>
      </x:c>
      <x:c r="E1182" s="12" t="n">
        <x:v>0</x:v>
      </x:c>
      <x:c r="F1182" s="12" t="str">
        <x:v>未记录</x:v>
      </x:c>
      <x:c r="G1182" s="12" t="n">
        <x:v>1</x:v>
      </x:c>
      <x:c r="H1182" s="12" t="str">
        <x:v>{'IPMI': 50.0, 'NST_': 100.0}</x:v>
      </x:c>
      <x:c r="I1182" s="12" t="str">
        <x:v>[('NSR', 100.0), ('NST', 100.0), ('AB', 100.0)]</x:v>
      </x:c>
      <x:c r="J1182" s="12" t="str">
        <x:v>ptbxl_database.csv；ecg_id=10615；scp_codes</x:v>
      </x:c>
      <x:c r="K1182" s="12" t="str">
        <x:v>12sl_statements.csv；ecg_id=10615；statements_ext_snomed</x:v>
      </x:c>
      <x:c r="L1182" s="12"/>
      <x:c r="M1182" s="12" t="str">
        <x:v>negative</x:v>
      </x:c>
      <x:c r="N1182" s="12"/>
      <x:c r="O1182" s="12" t="str">
        <x:v>negative</x:v>
      </x:c>
      <x:c r="P1182" s="12" t="str">
        <x:f>IF(OR(M1182="unavailable",O1182="unavailable"),"不可评价",IF(OR(M1182="equivocal",O1182="equivocal"),"疑似",IF(AND(M1182="positive",O1182="positive"),"a",IF(O1182="positive","b",IF(M1182="positive","c","d")))))</x:f>
        <x:v>d</x:v>
      </x:c>
      <x:c r="Q1182" s="12"/>
      <x:c r="R1182" s="12" t="str">
        <x:v>negative</x:v>
      </x:c>
      <x:c r="S1182" s="12"/>
      <x:c r="T1182" s="12" t="str">
        <x:v>negative</x:v>
      </x:c>
      <x:c r="U1182" s="12" t="str">
        <x:f>IF(OR(R1182="unavailable",T1182="unavailable"),"不可评价",IF(OR(R1182="equivocal",T1182="equivocal"),"疑似",IF(AND(R1182="positive",T1182="positive"),"a",IF(T1182="positive","b",IF(R1182="positive","c","d")))))</x:f>
        <x:v>d</x:v>
      </x:c>
      <x:c r="V1182" s="12"/>
      <x:c r="W1182" s="12" t="str">
        <x:v>negative</x:v>
      </x:c>
      <x:c r="X1182" s="12"/>
      <x:c r="Y1182" s="12" t="str">
        <x:v>negative</x:v>
      </x:c>
      <x:c r="Z1182" s="12" t="str">
        <x:f>IF(OR(W1182="unavailable",Y1182="unavailable"),"不可评价",IF(OR(W1182="equivocal",Y1182="equivocal"),"疑似",IF(AND(W1182="positive",Y1182="positive"),"a",IF(Y1182="positive","b",IF(W1182="positive","c","d")))))</x:f>
        <x:v>d</x:v>
      </x:c>
      <x:c r="AA1182" s="12" t="str">
        <x:f>IF(OR(M1182="unavailable",O1182="unavailable"),"不可评价",IF(AND(OR(M1182="positive",M1182="equivocal"),OR(O1182="positive",O1182="equivocal")),"a",IF(OR(O1182="positive",O1182="equivocal"),"b",IF(OR(M1182="positive",M1182="equivocal"),"c","d"))))</x:f>
        <x:v>d</x:v>
      </x:c>
      <x:c r="AB1182" s="12" t="str">
        <x:f>IF(OR(M1182="unavailable",O1182="unavailable"),"不可评价",IF(AND(M1182="positive",O1182="positive"),"a",IF(O1182="positive","b",IF(M1182="positive","c","d"))))</x:f>
        <x:v>d</x:v>
      </x:c>
      <x:c r="AC1182" s="12" t="str">
        <x:f>IF(OR(R1182="unavailable",T1182="unavailable"),"不可评价",IF(AND(OR(R1182="positive",R1182="equivocal"),OR(T1182="positive",T1182="equivocal")),"a",IF(OR(T1182="positive",T1182="equivocal"),"b",IF(OR(R1182="positive",R1182="equivocal"),"c","d"))))</x:f>
        <x:v>d</x:v>
      </x:c>
      <x:c r="AD1182" s="12" t="str">
        <x:f>IF(OR(R1182="unavailable",T1182="unavailable"),"不可评价",IF(AND(R1182="positive",T1182="positive"),"a",IF(T1182="positive","b",IF(R1182="positive","c","d"))))</x:f>
        <x:v>d</x:v>
      </x:c>
      <x:c r="AE1182" s="12" t="str">
        <x:f>IF(OR(W1182="unavailable",Y1182="unavailable"),"不可评价",IF(AND(OR(W1182="positive",W1182="equivocal"),OR(Y1182="positive",Y1182="equivocal")),"a",IF(OR(Y1182="positive",Y1182="equivocal"),"b",IF(OR(W1182="positive",W1182="equivocal"),"c","d"))))</x:f>
        <x:v>d</x:v>
      </x:c>
      <x:c r="AF1182" s="12" t="str">
        <x:f>IF(OR(W1182="unavailable",Y1182="unavailable"),"不可评价",IF(AND(W1182="positive",Y1182="positive"),"a",IF(Y1182="positive","b",IF(W1182="positive","c","d"))))</x:f>
        <x:v>d</x:v>
      </x:c>
    </x:row>
    <x:row r="1183" ht="24" customHeight="1">
      <x:c r="A1183" s="12" t="str">
        <x:v>10624</x:v>
      </x:c>
      <x:c r="B1183" s="12" t="str">
        <x:v>7859</x:v>
      </x:c>
      <x:c r="C1183" s="21" t="n">
        <x:v>34173.68025462963</x:v>
      </x:c>
      <x:c r="D1183" s="12" t="n">
        <x:v>44</x:v>
      </x:c>
      <x:c r="E1183" s="12" t="n">
        <x:v>1</x:v>
      </x:c>
      <x:c r="F1183" s="12" t="str">
        <x:v>未记录</x:v>
      </x:c>
      <x:c r="G1183" s="12" t="n">
        <x:v>1</x:v>
      </x:c>
      <x:c r="H1183" s="12" t="str">
        <x:v>{'NDT': 100.0, 'NT_': 0.0, 'SR': 0.0}</x:v>
      </x:c>
      <x:c r="I1183" s="12" t="str">
        <x:v>[('SBRAD', 100.0), ('LAD3', 100.0), ('AB', 100.0)]</x:v>
      </x:c>
      <x:c r="J1183" s="12" t="str">
        <x:v>ptbxl_database.csv；ecg_id=10624；scp_codes</x:v>
      </x:c>
      <x:c r="K1183" s="12" t="str">
        <x:v>12sl_statements.csv；ecg_id=10624；statements_ext_snomed</x:v>
      </x:c>
      <x:c r="L1183" s="12"/>
      <x:c r="M1183" s="12" t="str">
        <x:v>negative</x:v>
      </x:c>
      <x:c r="N1183" s="12"/>
      <x:c r="O1183" s="12" t="str">
        <x:v>negative</x:v>
      </x:c>
      <x:c r="P1183" s="12" t="str">
        <x:f>IF(OR(M1183="unavailable",O1183="unavailable"),"不可评价",IF(OR(M1183="equivocal",O1183="equivocal"),"疑似",IF(AND(M1183="positive",O1183="positive"),"a",IF(O1183="positive","b",IF(M1183="positive","c","d")))))</x:f>
        <x:v>d</x:v>
      </x:c>
      <x:c r="Q1183" s="12"/>
      <x:c r="R1183" s="12" t="str">
        <x:v>negative</x:v>
      </x:c>
      <x:c r="S1183" s="12"/>
      <x:c r="T1183" s="12" t="str">
        <x:v>negative</x:v>
      </x:c>
      <x:c r="U1183" s="12" t="str">
        <x:f>IF(OR(R1183="unavailable",T1183="unavailable"),"不可评价",IF(OR(R1183="equivocal",T1183="equivocal"),"疑似",IF(AND(R1183="positive",T1183="positive"),"a",IF(T1183="positive","b",IF(R1183="positive","c","d")))))</x:f>
        <x:v>d</x:v>
      </x:c>
      <x:c r="V1183" s="12"/>
      <x:c r="W1183" s="12" t="str">
        <x:v>negative</x:v>
      </x:c>
      <x:c r="X1183" s="12"/>
      <x:c r="Y1183" s="12" t="str">
        <x:v>negative</x:v>
      </x:c>
      <x:c r="Z1183" s="12" t="str">
        <x:f>IF(OR(W1183="unavailable",Y1183="unavailable"),"不可评价",IF(OR(W1183="equivocal",Y1183="equivocal"),"疑似",IF(AND(W1183="positive",Y1183="positive"),"a",IF(Y1183="positive","b",IF(W1183="positive","c","d")))))</x:f>
        <x:v>d</x:v>
      </x:c>
      <x:c r="AA1183" s="12" t="str">
        <x:f>IF(OR(M1183="unavailable",O1183="unavailable"),"不可评价",IF(AND(OR(M1183="positive",M1183="equivocal"),OR(O1183="positive",O1183="equivocal")),"a",IF(OR(O1183="positive",O1183="equivocal"),"b",IF(OR(M1183="positive",M1183="equivocal"),"c","d"))))</x:f>
        <x:v>d</x:v>
      </x:c>
      <x:c r="AB1183" s="12" t="str">
        <x:f>IF(OR(M1183="unavailable",O1183="unavailable"),"不可评价",IF(AND(M1183="positive",O1183="positive"),"a",IF(O1183="positive","b",IF(M1183="positive","c","d"))))</x:f>
        <x:v>d</x:v>
      </x:c>
      <x:c r="AC1183" s="12" t="str">
        <x:f>IF(OR(R1183="unavailable",T1183="unavailable"),"不可评价",IF(AND(OR(R1183="positive",R1183="equivocal"),OR(T1183="positive",T1183="equivocal")),"a",IF(OR(T1183="positive",T1183="equivocal"),"b",IF(OR(R1183="positive",R1183="equivocal"),"c","d"))))</x:f>
        <x:v>d</x:v>
      </x:c>
      <x:c r="AD1183" s="12" t="str">
        <x:f>IF(OR(R1183="unavailable",T1183="unavailable"),"不可评价",IF(AND(R1183="positive",T1183="positive"),"a",IF(T1183="positive","b",IF(R1183="positive","c","d"))))</x:f>
        <x:v>d</x:v>
      </x:c>
      <x:c r="AE1183" s="12" t="str">
        <x:f>IF(OR(W1183="unavailable",Y1183="unavailable"),"不可评价",IF(AND(OR(W1183="positive",W1183="equivocal"),OR(Y1183="positive",Y1183="equivocal")),"a",IF(OR(Y1183="positive",Y1183="equivocal"),"b",IF(OR(W1183="positive",W1183="equivocal"),"c","d"))))</x:f>
        <x:v>d</x:v>
      </x:c>
      <x:c r="AF1183" s="12" t="str">
        <x:f>IF(OR(W1183="unavailable",Y1183="unavailable"),"不可评价",IF(AND(W1183="positive",Y1183="positive"),"a",IF(Y1183="positive","b",IF(W1183="positive","c","d"))))</x:f>
        <x:v>d</x:v>
      </x:c>
    </x:row>
    <x:row r="1184" ht="24" customHeight="1">
      <x:c r="A1184" s="12" t="str">
        <x:v>10640</x:v>
      </x:c>
      <x:c r="B1184" s="12" t="str">
        <x:v>6816</x:v>
      </x:c>
      <x:c r="C1184" s="21" t="n">
        <x:v>34174.501875</x:v>
      </x:c>
      <x:c r="D1184" s="12" t="n">
        <x:v>82</x:v>
      </x:c>
      <x:c r="E1184" s="12" t="n">
        <x:v>0</x:v>
      </x:c>
      <x:c r="F1184" s="12" t="str">
        <x:v>存在</x:v>
      </x:c>
      <x:c r="G1184" s="12" t="n">
        <x:v>1</x:v>
      </x:c>
      <x:c r="H1184" s="12" t="str">
        <x:v>{'LVH': 100.0, 'ISC_': 100.0, 'SR': 0.0}</x:v>
      </x:c>
      <x:c r="I1184" s="12" t="str">
        <x:v>[('UR', 100.0), ('NSTT', 100.0), ('LNGQT', 100.0), ('AB', 100.0)]</x:v>
      </x:c>
      <x:c r="J1184" s="12" t="str">
        <x:v>ptbxl_database.csv；ecg_id=10640；scp_codes</x:v>
      </x:c>
      <x:c r="K1184" s="12" t="str">
        <x:v>12sl_statements.csv；ecg_id=10640；statements_ext_snomed</x:v>
      </x:c>
      <x:c r="L1184" s="12"/>
      <x:c r="M1184" s="12" t="str">
        <x:v>negative</x:v>
      </x:c>
      <x:c r="N1184" s="12"/>
      <x:c r="O1184" s="12" t="str">
        <x:v>negative</x:v>
      </x:c>
      <x:c r="P1184" s="12" t="str">
        <x:f>IF(OR(M1184="unavailable",O1184="unavailable"),"不可评价",IF(OR(M1184="equivocal",O1184="equivocal"),"疑似",IF(AND(M1184="positive",O1184="positive"),"a",IF(O1184="positive","b",IF(M1184="positive","c","d")))))</x:f>
        <x:v>d</x:v>
      </x:c>
      <x:c r="Q1184" s="12"/>
      <x:c r="R1184" s="12" t="str">
        <x:v>negative</x:v>
      </x:c>
      <x:c r="S1184" s="12"/>
      <x:c r="T1184" s="12" t="str">
        <x:v>negative</x:v>
      </x:c>
      <x:c r="U1184" s="12" t="str">
        <x:f>IF(OR(R1184="unavailable",T1184="unavailable"),"不可评价",IF(OR(R1184="equivocal",T1184="equivocal"),"疑似",IF(AND(R1184="positive",T1184="positive"),"a",IF(T1184="positive","b",IF(R1184="positive","c","d")))))</x:f>
        <x:v>d</x:v>
      </x:c>
      <x:c r="V1184" s="12"/>
      <x:c r="W1184" s="12" t="str">
        <x:v>negative</x:v>
      </x:c>
      <x:c r="X1184" s="12"/>
      <x:c r="Y1184" s="12" t="str">
        <x:v>negative</x:v>
      </x:c>
      <x:c r="Z1184" s="12" t="str">
        <x:f>IF(OR(W1184="unavailable",Y1184="unavailable"),"不可评价",IF(OR(W1184="equivocal",Y1184="equivocal"),"疑似",IF(AND(W1184="positive",Y1184="positive"),"a",IF(Y1184="positive","b",IF(W1184="positive","c","d")))))</x:f>
        <x:v>d</x:v>
      </x:c>
      <x:c r="AA1184" s="12" t="str">
        <x:f>IF(OR(M1184="unavailable",O1184="unavailable"),"不可评价",IF(AND(OR(M1184="positive",M1184="equivocal"),OR(O1184="positive",O1184="equivocal")),"a",IF(OR(O1184="positive",O1184="equivocal"),"b",IF(OR(M1184="positive",M1184="equivocal"),"c","d"))))</x:f>
        <x:v>d</x:v>
      </x:c>
      <x:c r="AB1184" s="12" t="str">
        <x:f>IF(OR(M1184="unavailable",O1184="unavailable"),"不可评价",IF(AND(M1184="positive",O1184="positive"),"a",IF(O1184="positive","b",IF(M1184="positive","c","d"))))</x:f>
        <x:v>d</x:v>
      </x:c>
      <x:c r="AC1184" s="12" t="str">
        <x:f>IF(OR(R1184="unavailable",T1184="unavailable"),"不可评价",IF(AND(OR(R1184="positive",R1184="equivocal"),OR(T1184="positive",T1184="equivocal")),"a",IF(OR(T1184="positive",T1184="equivocal"),"b",IF(OR(R1184="positive",R1184="equivocal"),"c","d"))))</x:f>
        <x:v>d</x:v>
      </x:c>
      <x:c r="AD1184" s="12" t="str">
        <x:f>IF(OR(R1184="unavailable",T1184="unavailable"),"不可评价",IF(AND(R1184="positive",T1184="positive"),"a",IF(T1184="positive","b",IF(R1184="positive","c","d"))))</x:f>
        <x:v>d</x:v>
      </x:c>
      <x:c r="AE1184" s="12" t="str">
        <x:f>IF(OR(W1184="unavailable",Y1184="unavailable"),"不可评价",IF(AND(OR(W1184="positive",W1184="equivocal"),OR(Y1184="positive",Y1184="equivocal")),"a",IF(OR(Y1184="positive",Y1184="equivocal"),"b",IF(OR(W1184="positive",W1184="equivocal"),"c","d"))))</x:f>
        <x:v>d</x:v>
      </x:c>
      <x:c r="AF1184" s="12" t="str">
        <x:f>IF(OR(W1184="unavailable",Y1184="unavailable"),"不可评价",IF(AND(W1184="positive",Y1184="positive"),"a",IF(Y1184="positive","b",IF(W1184="positive","c","d"))))</x:f>
        <x:v>d</x:v>
      </x:c>
    </x:row>
    <x:row r="1185" ht="24" customHeight="1">
      <x:c r="A1185" s="12" t="str">
        <x:v>10660</x:v>
      </x:c>
      <x:c r="B1185" s="12" t="str">
        <x:v>13576</x:v>
      </x:c>
      <x:c r="C1185" s="21" t="n">
        <x:v>34176.409525462965</x:v>
      </x:c>
      <x:c r="D1185" s="12" t="n">
        <x:v>60</x:v>
      </x:c>
      <x:c r="E1185" s="12" t="n">
        <x:v>1</x:v>
      </x:c>
      <x:c r="F1185" s="12" t="str">
        <x:v>未记录</x:v>
      </x:c>
      <x:c r="G1185" s="12" t="n">
        <x:v>1</x:v>
      </x:c>
      <x:c r="H1185" s="12" t="str">
        <x:v>{'ILMI': 100.0, 'IVCD': 100.0, 'ABQRS': 0.0, 'SR': 0.0}</x:v>
      </x:c>
      <x:c r="I1185" s="12" t="str">
        <x:v>[('NSR', 100.0), ('IMI;AU', 100.0), ('AB', 100.0)]</x:v>
      </x:c>
      <x:c r="J1185" s="12" t="str">
        <x:v>ptbxl_database.csv；ecg_id=10660；scp_codes</x:v>
      </x:c>
      <x:c r="K1185" s="12" t="str">
        <x:v>12sl_statements.csv；ecg_id=10660；statements_ext_snomed</x:v>
      </x:c>
      <x:c r="L1185" s="12"/>
      <x:c r="M1185" s="12" t="str">
        <x:v>negative</x:v>
      </x:c>
      <x:c r="N1185" s="12"/>
      <x:c r="O1185" s="12" t="str">
        <x:v>negative</x:v>
      </x:c>
      <x:c r="P1185" s="12" t="str">
        <x:f>IF(OR(M1185="unavailable",O1185="unavailable"),"不可评价",IF(OR(M1185="equivocal",O1185="equivocal"),"疑似",IF(AND(M1185="positive",O1185="positive"),"a",IF(O1185="positive","b",IF(M1185="positive","c","d")))))</x:f>
        <x:v>d</x:v>
      </x:c>
      <x:c r="Q1185" s="12"/>
      <x:c r="R1185" s="12" t="str">
        <x:v>negative</x:v>
      </x:c>
      <x:c r="S1185" s="12"/>
      <x:c r="T1185" s="12" t="str">
        <x:v>negative</x:v>
      </x:c>
      <x:c r="U1185" s="12" t="str">
        <x:f>IF(OR(R1185="unavailable",T1185="unavailable"),"不可评价",IF(OR(R1185="equivocal",T1185="equivocal"),"疑似",IF(AND(R1185="positive",T1185="positive"),"a",IF(T1185="positive","b",IF(R1185="positive","c","d")))))</x:f>
        <x:v>d</x:v>
      </x:c>
      <x:c r="V1185" s="12"/>
      <x:c r="W1185" s="12" t="str">
        <x:v>negative</x:v>
      </x:c>
      <x:c r="X1185" s="12"/>
      <x:c r="Y1185" s="12" t="str">
        <x:v>negative</x:v>
      </x:c>
      <x:c r="Z1185" s="12" t="str">
        <x:f>IF(OR(W1185="unavailable",Y1185="unavailable"),"不可评价",IF(OR(W1185="equivocal",Y1185="equivocal"),"疑似",IF(AND(W1185="positive",Y1185="positive"),"a",IF(Y1185="positive","b",IF(W1185="positive","c","d")))))</x:f>
        <x:v>d</x:v>
      </x:c>
      <x:c r="AA1185" s="12" t="str">
        <x:f>IF(OR(M1185="unavailable",O1185="unavailable"),"不可评价",IF(AND(OR(M1185="positive",M1185="equivocal"),OR(O1185="positive",O1185="equivocal")),"a",IF(OR(O1185="positive",O1185="equivocal"),"b",IF(OR(M1185="positive",M1185="equivocal"),"c","d"))))</x:f>
        <x:v>d</x:v>
      </x:c>
      <x:c r="AB1185" s="12" t="str">
        <x:f>IF(OR(M1185="unavailable",O1185="unavailable"),"不可评价",IF(AND(M1185="positive",O1185="positive"),"a",IF(O1185="positive","b",IF(M1185="positive","c","d"))))</x:f>
        <x:v>d</x:v>
      </x:c>
      <x:c r="AC1185" s="12" t="str">
        <x:f>IF(OR(R1185="unavailable",T1185="unavailable"),"不可评价",IF(AND(OR(R1185="positive",R1185="equivocal"),OR(T1185="positive",T1185="equivocal")),"a",IF(OR(T1185="positive",T1185="equivocal"),"b",IF(OR(R1185="positive",R1185="equivocal"),"c","d"))))</x:f>
        <x:v>d</x:v>
      </x:c>
      <x:c r="AD1185" s="12" t="str">
        <x:f>IF(OR(R1185="unavailable",T1185="unavailable"),"不可评价",IF(AND(R1185="positive",T1185="positive"),"a",IF(T1185="positive","b",IF(R1185="positive","c","d"))))</x:f>
        <x:v>d</x:v>
      </x:c>
      <x:c r="AE1185" s="12" t="str">
        <x:f>IF(OR(W1185="unavailable",Y1185="unavailable"),"不可评价",IF(AND(OR(W1185="positive",W1185="equivocal"),OR(Y1185="positive",Y1185="equivocal")),"a",IF(OR(Y1185="positive",Y1185="equivocal"),"b",IF(OR(W1185="positive",W1185="equivocal"),"c","d"))))</x:f>
        <x:v>d</x:v>
      </x:c>
      <x:c r="AF1185" s="12" t="str">
        <x:f>IF(OR(W1185="unavailable",Y1185="unavailable"),"不可评价",IF(AND(W1185="positive",Y1185="positive"),"a",IF(Y1185="positive","b",IF(W1185="positive","c","d"))))</x:f>
        <x:v>d</x:v>
      </x:c>
    </x:row>
    <x:row r="1186" ht="24" customHeight="1">
      <x:c r="A1186" s="12" t="str">
        <x:v>10661</x:v>
      </x:c>
      <x:c r="B1186" s="12" t="str">
        <x:v>9919</x:v>
      </x:c>
      <x:c r="C1186" s="21" t="n">
        <x:v>34176.42458333333</x:v>
      </x:c>
      <x:c r="D1186" s="12" t="n">
        <x:v>52</x:v>
      </x:c>
      <x:c r="E1186" s="12" t="n">
        <x:v>0</x:v>
      </x:c>
      <x:c r="F1186" s="12" t="str">
        <x:v>未记录</x:v>
      </x:c>
      <x:c r="G1186" s="12" t="n">
        <x:v>1</x:v>
      </x:c>
      <x:c r="H1186" s="12" t="str">
        <x:v>{'NDT': 100.0, 'IRBBB': 100.0, 'ABQRS': 0.0, 'SR': 0.0}</x:v>
      </x:c>
      <x:c r="I1186" s="12" t="str">
        <x:v>[('NSR', 100.0), ('LAE', 50.0), ('BORDE', 100.0)]</x:v>
      </x:c>
      <x:c r="J1186" s="12" t="str">
        <x:v>ptbxl_database.csv；ecg_id=10661；scp_codes</x:v>
      </x:c>
      <x:c r="K1186" s="12" t="str">
        <x:v>12sl_statements.csv；ecg_id=10661；statements_ext_snomed</x:v>
      </x:c>
      <x:c r="L1186" s="12"/>
      <x:c r="M1186" s="12" t="str">
        <x:v>negative</x:v>
      </x:c>
      <x:c r="N1186" s="12"/>
      <x:c r="O1186" s="12" t="str">
        <x:v>negative</x:v>
      </x:c>
      <x:c r="P1186" s="12" t="str">
        <x:f>IF(OR(M1186="unavailable",O1186="unavailable"),"不可评价",IF(OR(M1186="equivocal",O1186="equivocal"),"疑似",IF(AND(M1186="positive",O1186="positive"),"a",IF(O1186="positive","b",IF(M1186="positive","c","d")))))</x:f>
        <x:v>d</x:v>
      </x:c>
      <x:c r="Q1186" s="12"/>
      <x:c r="R1186" s="12" t="str">
        <x:v>negative</x:v>
      </x:c>
      <x:c r="S1186" s="12"/>
      <x:c r="T1186" s="12" t="str">
        <x:v>negative</x:v>
      </x:c>
      <x:c r="U1186" s="12" t="str">
        <x:f>IF(OR(R1186="unavailable",T1186="unavailable"),"不可评价",IF(OR(R1186="equivocal",T1186="equivocal"),"疑似",IF(AND(R1186="positive",T1186="positive"),"a",IF(T1186="positive","b",IF(R1186="positive","c","d")))))</x:f>
        <x:v>d</x:v>
      </x:c>
      <x:c r="V1186" s="12"/>
      <x:c r="W1186" s="12" t="str">
        <x:v>negative</x:v>
      </x:c>
      <x:c r="X1186" s="12"/>
      <x:c r="Y1186" s="12" t="str">
        <x:v>negative</x:v>
      </x:c>
      <x:c r="Z1186" s="12" t="str">
        <x:f>IF(OR(W1186="unavailable",Y1186="unavailable"),"不可评价",IF(OR(W1186="equivocal",Y1186="equivocal"),"疑似",IF(AND(W1186="positive",Y1186="positive"),"a",IF(Y1186="positive","b",IF(W1186="positive","c","d")))))</x:f>
        <x:v>d</x:v>
      </x:c>
      <x:c r="AA1186" s="12" t="str">
        <x:f>IF(OR(M1186="unavailable",O1186="unavailable"),"不可评价",IF(AND(OR(M1186="positive",M1186="equivocal"),OR(O1186="positive",O1186="equivocal")),"a",IF(OR(O1186="positive",O1186="equivocal"),"b",IF(OR(M1186="positive",M1186="equivocal"),"c","d"))))</x:f>
        <x:v>d</x:v>
      </x:c>
      <x:c r="AB1186" s="12" t="str">
        <x:f>IF(OR(M1186="unavailable",O1186="unavailable"),"不可评价",IF(AND(M1186="positive",O1186="positive"),"a",IF(O1186="positive","b",IF(M1186="positive","c","d"))))</x:f>
        <x:v>d</x:v>
      </x:c>
      <x:c r="AC1186" s="12" t="str">
        <x:f>IF(OR(R1186="unavailable",T1186="unavailable"),"不可评价",IF(AND(OR(R1186="positive",R1186="equivocal"),OR(T1186="positive",T1186="equivocal")),"a",IF(OR(T1186="positive",T1186="equivocal"),"b",IF(OR(R1186="positive",R1186="equivocal"),"c","d"))))</x:f>
        <x:v>d</x:v>
      </x:c>
      <x:c r="AD1186" s="12" t="str">
        <x:f>IF(OR(R1186="unavailable",T1186="unavailable"),"不可评价",IF(AND(R1186="positive",T1186="positive"),"a",IF(T1186="positive","b",IF(R1186="positive","c","d"))))</x:f>
        <x:v>d</x:v>
      </x:c>
      <x:c r="AE1186" s="12" t="str">
        <x:f>IF(OR(W1186="unavailable",Y1186="unavailable"),"不可评价",IF(AND(OR(W1186="positive",W1186="equivocal"),OR(Y1186="positive",Y1186="equivocal")),"a",IF(OR(Y1186="positive",Y1186="equivocal"),"b",IF(OR(W1186="positive",W1186="equivocal"),"c","d"))))</x:f>
        <x:v>d</x:v>
      </x:c>
      <x:c r="AF1186" s="12" t="str">
        <x:f>IF(OR(W1186="unavailable",Y1186="unavailable"),"不可评价",IF(AND(W1186="positive",Y1186="positive"),"a",IF(Y1186="positive","b",IF(W1186="positive","c","d"))))</x:f>
        <x:v>d</x:v>
      </x:c>
    </x:row>
    <x:row r="1187" ht="24" customHeight="1">
      <x:c r="A1187" s="12" t="str">
        <x:v>10666</x:v>
      </x:c>
      <x:c r="B1187" s="12" t="str">
        <x:v>15706</x:v>
      </x:c>
      <x:c r="C1187" s="21" t="n">
        <x:v>34176.685902777775</x:v>
      </x:c>
      <x:c r="D1187" s="12" t="n">
        <x:v>52</x:v>
      </x:c>
      <x:c r="E1187" s="12" t="n">
        <x:v>0</x:v>
      </x:c>
      <x:c r="F1187" s="12" t="str">
        <x:v>未记录</x:v>
      </x:c>
      <x:c r="G1187" s="12" t="n">
        <x:v>1</x:v>
      </x:c>
      <x:c r="H1187" s="12" t="str">
        <x:v>{'NORM': 50.0, 'ABQRS': 0.0, 'SR': 0.0}</x:v>
      </x:c>
      <x:c r="I1187" s="12" t="str">
        <x:v>[('NSR', 100.0), ('SMI;AU', 100.0), ('AB', 100.0)]</x:v>
      </x:c>
      <x:c r="J1187" s="12" t="str">
        <x:v>ptbxl_database.csv；ecg_id=10666；scp_codes</x:v>
      </x:c>
      <x:c r="K1187" s="12" t="str">
        <x:v>12sl_statements.csv；ecg_id=10666；statements_ext_snomed</x:v>
      </x:c>
      <x:c r="L1187" s="12"/>
      <x:c r="M1187" s="12" t="str">
        <x:v>negative</x:v>
      </x:c>
      <x:c r="N1187" s="12"/>
      <x:c r="O1187" s="12" t="str">
        <x:v>negative</x:v>
      </x:c>
      <x:c r="P1187" s="12" t="str">
        <x:f>IF(OR(M1187="unavailable",O1187="unavailable"),"不可评价",IF(OR(M1187="equivocal",O1187="equivocal"),"疑似",IF(AND(M1187="positive",O1187="positive"),"a",IF(O1187="positive","b",IF(M1187="positive","c","d")))))</x:f>
        <x:v>d</x:v>
      </x:c>
      <x:c r="Q1187" s="12"/>
      <x:c r="R1187" s="12" t="str">
        <x:v>negative</x:v>
      </x:c>
      <x:c r="S1187" s="12"/>
      <x:c r="T1187" s="12" t="str">
        <x:v>negative</x:v>
      </x:c>
      <x:c r="U1187" s="12" t="str">
        <x:f>IF(OR(R1187="unavailable",T1187="unavailable"),"不可评价",IF(OR(R1187="equivocal",T1187="equivocal"),"疑似",IF(AND(R1187="positive",T1187="positive"),"a",IF(T1187="positive","b",IF(R1187="positive","c","d")))))</x:f>
        <x:v>d</x:v>
      </x:c>
      <x:c r="V1187" s="12"/>
      <x:c r="W1187" s="12" t="str">
        <x:v>negative</x:v>
      </x:c>
      <x:c r="X1187" s="12"/>
      <x:c r="Y1187" s="12" t="str">
        <x:v>negative</x:v>
      </x:c>
      <x:c r="Z1187" s="12" t="str">
        <x:f>IF(OR(W1187="unavailable",Y1187="unavailable"),"不可评价",IF(OR(W1187="equivocal",Y1187="equivocal"),"疑似",IF(AND(W1187="positive",Y1187="positive"),"a",IF(Y1187="positive","b",IF(W1187="positive","c","d")))))</x:f>
        <x:v>d</x:v>
      </x:c>
      <x:c r="AA1187" s="12" t="str">
        <x:f>IF(OR(M1187="unavailable",O1187="unavailable"),"不可评价",IF(AND(OR(M1187="positive",M1187="equivocal"),OR(O1187="positive",O1187="equivocal")),"a",IF(OR(O1187="positive",O1187="equivocal"),"b",IF(OR(M1187="positive",M1187="equivocal"),"c","d"))))</x:f>
        <x:v>d</x:v>
      </x:c>
      <x:c r="AB1187" s="12" t="str">
        <x:f>IF(OR(M1187="unavailable",O1187="unavailable"),"不可评价",IF(AND(M1187="positive",O1187="positive"),"a",IF(O1187="positive","b",IF(M1187="positive","c","d"))))</x:f>
        <x:v>d</x:v>
      </x:c>
      <x:c r="AC1187" s="12" t="str">
        <x:f>IF(OR(R1187="unavailable",T1187="unavailable"),"不可评价",IF(AND(OR(R1187="positive",R1187="equivocal"),OR(T1187="positive",T1187="equivocal")),"a",IF(OR(T1187="positive",T1187="equivocal"),"b",IF(OR(R1187="positive",R1187="equivocal"),"c","d"))))</x:f>
        <x:v>d</x:v>
      </x:c>
      <x:c r="AD1187" s="12" t="str">
        <x:f>IF(OR(R1187="unavailable",T1187="unavailable"),"不可评价",IF(AND(R1187="positive",T1187="positive"),"a",IF(T1187="positive","b",IF(R1187="positive","c","d"))))</x:f>
        <x:v>d</x:v>
      </x:c>
      <x:c r="AE1187" s="12" t="str">
        <x:f>IF(OR(W1187="unavailable",Y1187="unavailable"),"不可评价",IF(AND(OR(W1187="positive",W1187="equivocal"),OR(Y1187="positive",Y1187="equivocal")),"a",IF(OR(Y1187="positive",Y1187="equivocal"),"b",IF(OR(W1187="positive",W1187="equivocal"),"c","d"))))</x:f>
        <x:v>d</x:v>
      </x:c>
      <x:c r="AF1187" s="12" t="str">
        <x:f>IF(OR(W1187="unavailable",Y1187="unavailable"),"不可评价",IF(AND(W1187="positive",Y1187="positive"),"a",IF(Y1187="positive","b",IF(W1187="positive","c","d"))))</x:f>
        <x:v>d</x:v>
      </x:c>
    </x:row>
    <x:row r="1188" ht="24" customHeight="1">
      <x:c r="A1188" s="12" t="str">
        <x:v>10675</x:v>
      </x:c>
      <x:c r="B1188" s="12" t="str">
        <x:v>13629</x:v>
      </x:c>
      <x:c r="C1188" s="21" t="n">
        <x:v>34177.47269675926</x:v>
      </x:c>
      <x:c r="D1188" s="12" t="n">
        <x:v>84</x:v>
      </x:c>
      <x:c r="E1188" s="12" t="n">
        <x:v>0</x:v>
      </x:c>
      <x:c r="F1188" s="12" t="str">
        <x:v>未记录</x:v>
      </x:c>
      <x:c r="G1188" s="12" t="n">
        <x:v>1</x:v>
      </x:c>
      <x:c r="H1188" s="12" t="str">
        <x:v>{'ISCLA': 80.0, 'STACH': 0.0}</x:v>
      </x:c>
      <x:c r="I1188" s="12" t="str">
        <x:v>[('STACH', 100.0), ('LOWV', 100.0), ('NSTT', 100.0), ('AB', 100.0)]</x:v>
      </x:c>
      <x:c r="J1188" s="12" t="str">
        <x:v>ptbxl_database.csv；ecg_id=10675；scp_codes</x:v>
      </x:c>
      <x:c r="K1188" s="12" t="str">
        <x:v>12sl_statements.csv；ecg_id=10675；statements_ext_snomed</x:v>
      </x:c>
      <x:c r="L1188" s="12"/>
      <x:c r="M1188" s="12" t="str">
        <x:v>negative</x:v>
      </x:c>
      <x:c r="N1188" s="12"/>
      <x:c r="O1188" s="12" t="str">
        <x:v>negative</x:v>
      </x:c>
      <x:c r="P1188" s="12" t="str">
        <x:f>IF(OR(M1188="unavailable",O1188="unavailable"),"不可评价",IF(OR(M1188="equivocal",O1188="equivocal"),"疑似",IF(AND(M1188="positive",O1188="positive"),"a",IF(O1188="positive","b",IF(M1188="positive","c","d")))))</x:f>
        <x:v>d</x:v>
      </x:c>
      <x:c r="Q1188" s="12"/>
      <x:c r="R1188" s="12" t="str">
        <x:v>negative</x:v>
      </x:c>
      <x:c r="S1188" s="12"/>
      <x:c r="T1188" s="12" t="str">
        <x:v>negative</x:v>
      </x:c>
      <x:c r="U1188" s="12" t="str">
        <x:f>IF(OR(R1188="unavailable",T1188="unavailable"),"不可评价",IF(OR(R1188="equivocal",T1188="equivocal"),"疑似",IF(AND(R1188="positive",T1188="positive"),"a",IF(T1188="positive","b",IF(R1188="positive","c","d")))))</x:f>
        <x:v>d</x:v>
      </x:c>
      <x:c r="V1188" s="12"/>
      <x:c r="W1188" s="12" t="str">
        <x:v>negative</x:v>
      </x:c>
      <x:c r="X1188" s="12"/>
      <x:c r="Y1188" s="12" t="str">
        <x:v>negative</x:v>
      </x:c>
      <x:c r="Z1188" s="12" t="str">
        <x:f>IF(OR(W1188="unavailable",Y1188="unavailable"),"不可评价",IF(OR(W1188="equivocal",Y1188="equivocal"),"疑似",IF(AND(W1188="positive",Y1188="positive"),"a",IF(Y1188="positive","b",IF(W1188="positive","c","d")))))</x:f>
        <x:v>d</x:v>
      </x:c>
      <x:c r="AA1188" s="12" t="str">
        <x:f>IF(OR(M1188="unavailable",O1188="unavailable"),"不可评价",IF(AND(OR(M1188="positive",M1188="equivocal"),OR(O1188="positive",O1188="equivocal")),"a",IF(OR(O1188="positive",O1188="equivocal"),"b",IF(OR(M1188="positive",M1188="equivocal"),"c","d"))))</x:f>
        <x:v>d</x:v>
      </x:c>
      <x:c r="AB1188" s="12" t="str">
        <x:f>IF(OR(M1188="unavailable",O1188="unavailable"),"不可评价",IF(AND(M1188="positive",O1188="positive"),"a",IF(O1188="positive","b",IF(M1188="positive","c","d"))))</x:f>
        <x:v>d</x:v>
      </x:c>
      <x:c r="AC1188" s="12" t="str">
        <x:f>IF(OR(R1188="unavailable",T1188="unavailable"),"不可评价",IF(AND(OR(R1188="positive",R1188="equivocal"),OR(T1188="positive",T1188="equivocal")),"a",IF(OR(T1188="positive",T1188="equivocal"),"b",IF(OR(R1188="positive",R1188="equivocal"),"c","d"))))</x:f>
        <x:v>d</x:v>
      </x:c>
      <x:c r="AD1188" s="12" t="str">
        <x:f>IF(OR(R1188="unavailable",T1188="unavailable"),"不可评价",IF(AND(R1188="positive",T1188="positive"),"a",IF(T1188="positive","b",IF(R1188="positive","c","d"))))</x:f>
        <x:v>d</x:v>
      </x:c>
      <x:c r="AE1188" s="12" t="str">
        <x:f>IF(OR(W1188="unavailable",Y1188="unavailable"),"不可评价",IF(AND(OR(W1188="positive",W1188="equivocal"),OR(Y1188="positive",Y1188="equivocal")),"a",IF(OR(Y1188="positive",Y1188="equivocal"),"b",IF(OR(W1188="positive",W1188="equivocal"),"c","d"))))</x:f>
        <x:v>d</x:v>
      </x:c>
      <x:c r="AF1188" s="12" t="str">
        <x:f>IF(OR(W1188="unavailable",Y1188="unavailable"),"不可评价",IF(AND(W1188="positive",Y1188="positive"),"a",IF(Y1188="positive","b",IF(W1188="positive","c","d"))))</x:f>
        <x:v>d</x:v>
      </x:c>
    </x:row>
    <x:row r="1189" ht="24" customHeight="1">
      <x:c r="A1189" s="12" t="str">
        <x:v>10687</x:v>
      </x:c>
      <x:c r="B1189" s="12" t="str">
        <x:v>8805</x:v>
      </x:c>
      <x:c r="C1189" s="21" t="n">
        <x:v>34178.54215277778</x:v>
      </x:c>
      <x:c r="D1189" s="12" t="n">
        <x:v>35</x:v>
      </x:c>
      <x:c r="E1189" s="12" t="n">
        <x:v>0</x:v>
      </x:c>
      <x:c r="F1189" s="12" t="str">
        <x:v>未记录</x:v>
      </x:c>
      <x:c r="G1189" s="12" t="n">
        <x:v>1</x:v>
      </x:c>
      <x:c r="H1189" s="12" t="str">
        <x:v>{'NORM': 100.0, 'SR': 0.0}</x:v>
      </x:c>
      <x:c r="I1189" s="12" t="str">
        <x:v>[('NSR', 100.0), ('IRBBB', 100.0), ('BORDE', 100.0)]</x:v>
      </x:c>
      <x:c r="J1189" s="12" t="str">
        <x:v>ptbxl_database.csv；ecg_id=10687；scp_codes</x:v>
      </x:c>
      <x:c r="K1189" s="12" t="str">
        <x:v>12sl_statements.csv；ecg_id=10687；statements_ext_snomed</x:v>
      </x:c>
      <x:c r="L1189" s="12"/>
      <x:c r="M1189" s="12" t="str">
        <x:v>negative</x:v>
      </x:c>
      <x:c r="N1189" s="12"/>
      <x:c r="O1189" s="12" t="str">
        <x:v>negative</x:v>
      </x:c>
      <x:c r="P1189" s="12" t="str">
        <x:f>IF(OR(M1189="unavailable",O1189="unavailable"),"不可评价",IF(OR(M1189="equivocal",O1189="equivocal"),"疑似",IF(AND(M1189="positive",O1189="positive"),"a",IF(O1189="positive","b",IF(M1189="positive","c","d")))))</x:f>
        <x:v>d</x:v>
      </x:c>
      <x:c r="Q1189" s="12"/>
      <x:c r="R1189" s="12" t="str">
        <x:v>negative</x:v>
      </x:c>
      <x:c r="S1189" s="12"/>
      <x:c r="T1189" s="12" t="str">
        <x:v>negative</x:v>
      </x:c>
      <x:c r="U1189" s="12" t="str">
        <x:f>IF(OR(R1189="unavailable",T1189="unavailable"),"不可评价",IF(OR(R1189="equivocal",T1189="equivocal"),"疑似",IF(AND(R1189="positive",T1189="positive"),"a",IF(T1189="positive","b",IF(R1189="positive","c","d")))))</x:f>
        <x:v>d</x:v>
      </x:c>
      <x:c r="V1189" s="12"/>
      <x:c r="W1189" s="12" t="str">
        <x:v>negative</x:v>
      </x:c>
      <x:c r="X1189" s="12"/>
      <x:c r="Y1189" s="12" t="str">
        <x:v>negative</x:v>
      </x:c>
      <x:c r="Z1189" s="12" t="str">
        <x:f>IF(OR(W1189="unavailable",Y1189="unavailable"),"不可评价",IF(OR(W1189="equivocal",Y1189="equivocal"),"疑似",IF(AND(W1189="positive",Y1189="positive"),"a",IF(Y1189="positive","b",IF(W1189="positive","c","d")))))</x:f>
        <x:v>d</x:v>
      </x:c>
      <x:c r="AA1189" s="12" t="str">
        <x:f>IF(OR(M1189="unavailable",O1189="unavailable"),"不可评价",IF(AND(OR(M1189="positive",M1189="equivocal"),OR(O1189="positive",O1189="equivocal")),"a",IF(OR(O1189="positive",O1189="equivocal"),"b",IF(OR(M1189="positive",M1189="equivocal"),"c","d"))))</x:f>
        <x:v>d</x:v>
      </x:c>
      <x:c r="AB1189" s="12" t="str">
        <x:f>IF(OR(M1189="unavailable",O1189="unavailable"),"不可评价",IF(AND(M1189="positive",O1189="positive"),"a",IF(O1189="positive","b",IF(M1189="positive","c","d"))))</x:f>
        <x:v>d</x:v>
      </x:c>
      <x:c r="AC1189" s="12" t="str">
        <x:f>IF(OR(R1189="unavailable",T1189="unavailable"),"不可评价",IF(AND(OR(R1189="positive",R1189="equivocal"),OR(T1189="positive",T1189="equivocal")),"a",IF(OR(T1189="positive",T1189="equivocal"),"b",IF(OR(R1189="positive",R1189="equivocal"),"c","d"))))</x:f>
        <x:v>d</x:v>
      </x:c>
      <x:c r="AD1189" s="12" t="str">
        <x:f>IF(OR(R1189="unavailable",T1189="unavailable"),"不可评价",IF(AND(R1189="positive",T1189="positive"),"a",IF(T1189="positive","b",IF(R1189="positive","c","d"))))</x:f>
        <x:v>d</x:v>
      </x:c>
      <x:c r="AE1189" s="12" t="str">
        <x:f>IF(OR(W1189="unavailable",Y1189="unavailable"),"不可评价",IF(AND(OR(W1189="positive",W1189="equivocal"),OR(Y1189="positive",Y1189="equivocal")),"a",IF(OR(Y1189="positive",Y1189="equivocal"),"b",IF(OR(W1189="positive",W1189="equivocal"),"c","d"))))</x:f>
        <x:v>d</x:v>
      </x:c>
      <x:c r="AF1189" s="12" t="str">
        <x:f>IF(OR(W1189="unavailable",Y1189="unavailable"),"不可评价",IF(AND(W1189="positive",Y1189="positive"),"a",IF(Y1189="positive","b",IF(W1189="positive","c","d"))))</x:f>
        <x:v>d</x:v>
      </x:c>
    </x:row>
    <x:row r="1190" ht="24" customHeight="1">
      <x:c r="A1190" s="12" t="str">
        <x:v>10691</x:v>
      </x:c>
      <x:c r="B1190" s="12" t="str">
        <x:v>4344</x:v>
      </x:c>
      <x:c r="C1190" s="21" t="n">
        <x:v>34178.604837962965</x:v>
      </x:c>
      <x:c r="D1190" s="12" t="n">
        <x:v>55</x:v>
      </x:c>
      <x:c r="E1190" s="12" t="n">
        <x:v>1</x:v>
      </x:c>
      <x:c r="F1190" s="12" t="str">
        <x:v>未记录</x:v>
      </x:c>
      <x:c r="G1190" s="12" t="n">
        <x:v>1</x:v>
      </x:c>
      <x:c r="H1190" s="12" t="str">
        <x:v>{'NORM': 100.0, 'SR': 0.0}</x:v>
      </x:c>
      <x:c r="I1190" s="12" t="str">
        <x:v>[('SBRAD', 100.0), ('ABR', 100.0)]</x:v>
      </x:c>
      <x:c r="J1190" s="12" t="str">
        <x:v>ptbxl_database.csv；ecg_id=10691；scp_codes</x:v>
      </x:c>
      <x:c r="K1190" s="12" t="str">
        <x:v>12sl_statements.csv；ecg_id=10691；statements_ext_snomed</x:v>
      </x:c>
      <x:c r="L1190" s="12"/>
      <x:c r="M1190" s="12" t="str">
        <x:v>negative</x:v>
      </x:c>
      <x:c r="N1190" s="12"/>
      <x:c r="O1190" s="12" t="str">
        <x:v>negative</x:v>
      </x:c>
      <x:c r="P1190" s="12" t="str">
        <x:f>IF(OR(M1190="unavailable",O1190="unavailable"),"不可评价",IF(OR(M1190="equivocal",O1190="equivocal"),"疑似",IF(AND(M1190="positive",O1190="positive"),"a",IF(O1190="positive","b",IF(M1190="positive","c","d")))))</x:f>
        <x:v>d</x:v>
      </x:c>
      <x:c r="Q1190" s="12"/>
      <x:c r="R1190" s="12" t="str">
        <x:v>negative</x:v>
      </x:c>
      <x:c r="S1190" s="12"/>
      <x:c r="T1190" s="12" t="str">
        <x:v>negative</x:v>
      </x:c>
      <x:c r="U1190" s="12" t="str">
        <x:f>IF(OR(R1190="unavailable",T1190="unavailable"),"不可评价",IF(OR(R1190="equivocal",T1190="equivocal"),"疑似",IF(AND(R1190="positive",T1190="positive"),"a",IF(T1190="positive","b",IF(R1190="positive","c","d")))))</x:f>
        <x:v>d</x:v>
      </x:c>
      <x:c r="V1190" s="12"/>
      <x:c r="W1190" s="12" t="str">
        <x:v>negative</x:v>
      </x:c>
      <x:c r="X1190" s="12"/>
      <x:c r="Y1190" s="12" t="str">
        <x:v>negative</x:v>
      </x:c>
      <x:c r="Z1190" s="12" t="str">
        <x:f>IF(OR(W1190="unavailable",Y1190="unavailable"),"不可评价",IF(OR(W1190="equivocal",Y1190="equivocal"),"疑似",IF(AND(W1190="positive",Y1190="positive"),"a",IF(Y1190="positive","b",IF(W1190="positive","c","d")))))</x:f>
        <x:v>d</x:v>
      </x:c>
      <x:c r="AA1190" s="12" t="str">
        <x:f>IF(OR(M1190="unavailable",O1190="unavailable"),"不可评价",IF(AND(OR(M1190="positive",M1190="equivocal"),OR(O1190="positive",O1190="equivocal")),"a",IF(OR(O1190="positive",O1190="equivocal"),"b",IF(OR(M1190="positive",M1190="equivocal"),"c","d"))))</x:f>
        <x:v>d</x:v>
      </x:c>
      <x:c r="AB1190" s="12" t="str">
        <x:f>IF(OR(M1190="unavailable",O1190="unavailable"),"不可评价",IF(AND(M1190="positive",O1190="positive"),"a",IF(O1190="positive","b",IF(M1190="positive","c","d"))))</x:f>
        <x:v>d</x:v>
      </x:c>
      <x:c r="AC1190" s="12" t="str">
        <x:f>IF(OR(R1190="unavailable",T1190="unavailable"),"不可评价",IF(AND(OR(R1190="positive",R1190="equivocal"),OR(T1190="positive",T1190="equivocal")),"a",IF(OR(T1190="positive",T1190="equivocal"),"b",IF(OR(R1190="positive",R1190="equivocal"),"c","d"))))</x:f>
        <x:v>d</x:v>
      </x:c>
      <x:c r="AD1190" s="12" t="str">
        <x:f>IF(OR(R1190="unavailable",T1190="unavailable"),"不可评价",IF(AND(R1190="positive",T1190="positive"),"a",IF(T1190="positive","b",IF(R1190="positive","c","d"))))</x:f>
        <x:v>d</x:v>
      </x:c>
      <x:c r="AE1190" s="12" t="str">
        <x:f>IF(OR(W1190="unavailable",Y1190="unavailable"),"不可评价",IF(AND(OR(W1190="positive",W1190="equivocal"),OR(Y1190="positive",Y1190="equivocal")),"a",IF(OR(Y1190="positive",Y1190="equivocal"),"b",IF(OR(W1190="positive",W1190="equivocal"),"c","d"))))</x:f>
        <x:v>d</x:v>
      </x:c>
      <x:c r="AF1190" s="12" t="str">
        <x:f>IF(OR(W1190="unavailable",Y1190="unavailable"),"不可评价",IF(AND(W1190="positive",Y1190="positive"),"a",IF(Y1190="positive","b",IF(W1190="positive","c","d"))))</x:f>
        <x:v>d</x:v>
      </x:c>
    </x:row>
    <x:row r="1191" ht="24" customHeight="1">
      <x:c r="A1191" s="12" t="str">
        <x:v>10731</x:v>
      </x:c>
      <x:c r="B1191" s="12" t="str">
        <x:v>11726</x:v>
      </x:c>
      <x:c r="C1191" s="21" t="n">
        <x:v>34183.860497685186</x:v>
      </x:c>
      <x:c r="D1191" s="12" t="n">
        <x:v>79</x:v>
      </x:c>
      <x:c r="E1191" s="12" t="n">
        <x:v>0</x:v>
      </x:c>
      <x:c r="F1191" s="12" t="str">
        <x:v>未记录</x:v>
      </x:c>
      <x:c r="G1191" s="12" t="n">
        <x:v>1</x:v>
      </x:c>
      <x:c r="H1191" s="12" t="str">
        <x:v>{'NORM': 100.0, 'SR': 0.0}</x:v>
      </x:c>
      <x:c r="I1191" s="12" t="str">
        <x:v>[('NSR', 100.0), ('ILBBB', 100.0), ('BORDE', 100.0)]</x:v>
      </x:c>
      <x:c r="J1191" s="12" t="str">
        <x:v>ptbxl_database.csv；ecg_id=10731；scp_codes</x:v>
      </x:c>
      <x:c r="K1191" s="12" t="str">
        <x:v>12sl_statements.csv；ecg_id=10731；statements_ext_snomed</x:v>
      </x:c>
      <x:c r="L1191" s="12"/>
      <x:c r="M1191" s="12" t="str">
        <x:v>negative</x:v>
      </x:c>
      <x:c r="N1191" s="12"/>
      <x:c r="O1191" s="12" t="str">
        <x:v>negative</x:v>
      </x:c>
      <x:c r="P1191" s="12" t="str">
        <x:f>IF(OR(M1191="unavailable",O1191="unavailable"),"不可评价",IF(OR(M1191="equivocal",O1191="equivocal"),"疑似",IF(AND(M1191="positive",O1191="positive"),"a",IF(O1191="positive","b",IF(M1191="positive","c","d")))))</x:f>
        <x:v>d</x:v>
      </x:c>
      <x:c r="Q1191" s="12"/>
      <x:c r="R1191" s="12" t="str">
        <x:v>negative</x:v>
      </x:c>
      <x:c r="S1191" s="12"/>
      <x:c r="T1191" s="12" t="str">
        <x:v>negative</x:v>
      </x:c>
      <x:c r="U1191" s="12" t="str">
        <x:f>IF(OR(R1191="unavailable",T1191="unavailable"),"不可评价",IF(OR(R1191="equivocal",T1191="equivocal"),"疑似",IF(AND(R1191="positive",T1191="positive"),"a",IF(T1191="positive","b",IF(R1191="positive","c","d")))))</x:f>
        <x:v>d</x:v>
      </x:c>
      <x:c r="V1191" s="12"/>
      <x:c r="W1191" s="12" t="str">
        <x:v>negative</x:v>
      </x:c>
      <x:c r="X1191" s="12"/>
      <x:c r="Y1191" s="12" t="str">
        <x:v>negative</x:v>
      </x:c>
      <x:c r="Z1191" s="12" t="str">
        <x:f>IF(OR(W1191="unavailable",Y1191="unavailable"),"不可评价",IF(OR(W1191="equivocal",Y1191="equivocal"),"疑似",IF(AND(W1191="positive",Y1191="positive"),"a",IF(Y1191="positive","b",IF(W1191="positive","c","d")))))</x:f>
        <x:v>d</x:v>
      </x:c>
      <x:c r="AA1191" s="12" t="str">
        <x:f>IF(OR(M1191="unavailable",O1191="unavailable"),"不可评价",IF(AND(OR(M1191="positive",M1191="equivocal"),OR(O1191="positive",O1191="equivocal")),"a",IF(OR(O1191="positive",O1191="equivocal"),"b",IF(OR(M1191="positive",M1191="equivocal"),"c","d"))))</x:f>
        <x:v>d</x:v>
      </x:c>
      <x:c r="AB1191" s="12" t="str">
        <x:f>IF(OR(M1191="unavailable",O1191="unavailable"),"不可评价",IF(AND(M1191="positive",O1191="positive"),"a",IF(O1191="positive","b",IF(M1191="positive","c","d"))))</x:f>
        <x:v>d</x:v>
      </x:c>
      <x:c r="AC1191" s="12" t="str">
        <x:f>IF(OR(R1191="unavailable",T1191="unavailable"),"不可评价",IF(AND(OR(R1191="positive",R1191="equivocal"),OR(T1191="positive",T1191="equivocal")),"a",IF(OR(T1191="positive",T1191="equivocal"),"b",IF(OR(R1191="positive",R1191="equivocal"),"c","d"))))</x:f>
        <x:v>d</x:v>
      </x:c>
      <x:c r="AD1191" s="12" t="str">
        <x:f>IF(OR(R1191="unavailable",T1191="unavailable"),"不可评价",IF(AND(R1191="positive",T1191="positive"),"a",IF(T1191="positive","b",IF(R1191="positive","c","d"))))</x:f>
        <x:v>d</x:v>
      </x:c>
      <x:c r="AE1191" s="12" t="str">
        <x:f>IF(OR(W1191="unavailable",Y1191="unavailable"),"不可评价",IF(AND(OR(W1191="positive",W1191="equivocal"),OR(Y1191="positive",Y1191="equivocal")),"a",IF(OR(Y1191="positive",Y1191="equivocal"),"b",IF(OR(W1191="positive",W1191="equivocal"),"c","d"))))</x:f>
        <x:v>d</x:v>
      </x:c>
      <x:c r="AF1191" s="12" t="str">
        <x:f>IF(OR(W1191="unavailable",Y1191="unavailable"),"不可评价",IF(AND(W1191="positive",Y1191="positive"),"a",IF(Y1191="positive","b",IF(W1191="positive","c","d"))))</x:f>
        <x:v>d</x:v>
      </x:c>
    </x:row>
    <x:row r="1192" ht="24" customHeight="1">
      <x:c r="A1192" s="12" t="str">
        <x:v>10743</x:v>
      </x:c>
      <x:c r="B1192" s="12" t="str">
        <x:v>1921</x:v>
      </x:c>
      <x:c r="C1192" s="21" t="n">
        <x:v>34184.931921296295</x:v>
      </x:c>
      <x:c r="D1192" s="12" t="n">
        <x:v>72</x:v>
      </x:c>
      <x:c r="E1192" s="12" t="n">
        <x:v>1</x:v>
      </x:c>
      <x:c r="F1192" s="12" t="str">
        <x:v>存在</x:v>
      </x:c>
      <x:c r="G1192" s="12" t="n">
        <x:v>1</x:v>
      </x:c>
      <x:c r="H1192" s="12" t="str">
        <x:v>{'NST_': 100.0}</x:v>
      </x:c>
      <x:c r="I1192" s="12" t="str">
        <x:v>[('NSR', 100.0), ('NT', 100.0), ('AB', 100.0)]</x:v>
      </x:c>
      <x:c r="J1192" s="12" t="str">
        <x:v>ptbxl_database.csv；ecg_id=10743；scp_codes</x:v>
      </x:c>
      <x:c r="K1192" s="12" t="str">
        <x:v>12sl_statements.csv；ecg_id=10743；statements_ext_snomed</x:v>
      </x:c>
      <x:c r="L1192" s="12"/>
      <x:c r="M1192" s="12" t="str">
        <x:v>negative</x:v>
      </x:c>
      <x:c r="N1192" s="12"/>
      <x:c r="O1192" s="12" t="str">
        <x:v>negative</x:v>
      </x:c>
      <x:c r="P1192" s="12" t="str">
        <x:f>IF(OR(M1192="unavailable",O1192="unavailable"),"不可评价",IF(OR(M1192="equivocal",O1192="equivocal"),"疑似",IF(AND(M1192="positive",O1192="positive"),"a",IF(O1192="positive","b",IF(M1192="positive","c","d")))))</x:f>
        <x:v>d</x:v>
      </x:c>
      <x:c r="Q1192" s="12"/>
      <x:c r="R1192" s="12" t="str">
        <x:v>negative</x:v>
      </x:c>
      <x:c r="S1192" s="12"/>
      <x:c r="T1192" s="12" t="str">
        <x:v>negative</x:v>
      </x:c>
      <x:c r="U1192" s="12" t="str">
        <x:f>IF(OR(R1192="unavailable",T1192="unavailable"),"不可评价",IF(OR(R1192="equivocal",T1192="equivocal"),"疑似",IF(AND(R1192="positive",T1192="positive"),"a",IF(T1192="positive","b",IF(R1192="positive","c","d")))))</x:f>
        <x:v>d</x:v>
      </x:c>
      <x:c r="V1192" s="12"/>
      <x:c r="W1192" s="12" t="str">
        <x:v>negative</x:v>
      </x:c>
      <x:c r="X1192" s="12"/>
      <x:c r="Y1192" s="12" t="str">
        <x:v>negative</x:v>
      </x:c>
      <x:c r="Z1192" s="12" t="str">
        <x:f>IF(OR(W1192="unavailable",Y1192="unavailable"),"不可评价",IF(OR(W1192="equivocal",Y1192="equivocal"),"疑似",IF(AND(W1192="positive",Y1192="positive"),"a",IF(Y1192="positive","b",IF(W1192="positive","c","d")))))</x:f>
        <x:v>d</x:v>
      </x:c>
      <x:c r="AA1192" s="12" t="str">
        <x:f>IF(OR(M1192="unavailable",O1192="unavailable"),"不可评价",IF(AND(OR(M1192="positive",M1192="equivocal"),OR(O1192="positive",O1192="equivocal")),"a",IF(OR(O1192="positive",O1192="equivocal"),"b",IF(OR(M1192="positive",M1192="equivocal"),"c","d"))))</x:f>
        <x:v>d</x:v>
      </x:c>
      <x:c r="AB1192" s="12" t="str">
        <x:f>IF(OR(M1192="unavailable",O1192="unavailable"),"不可评价",IF(AND(M1192="positive",O1192="positive"),"a",IF(O1192="positive","b",IF(M1192="positive","c","d"))))</x:f>
        <x:v>d</x:v>
      </x:c>
      <x:c r="AC1192" s="12" t="str">
        <x:f>IF(OR(R1192="unavailable",T1192="unavailable"),"不可评价",IF(AND(OR(R1192="positive",R1192="equivocal"),OR(T1192="positive",T1192="equivocal")),"a",IF(OR(T1192="positive",T1192="equivocal"),"b",IF(OR(R1192="positive",R1192="equivocal"),"c","d"))))</x:f>
        <x:v>d</x:v>
      </x:c>
      <x:c r="AD1192" s="12" t="str">
        <x:f>IF(OR(R1192="unavailable",T1192="unavailable"),"不可评价",IF(AND(R1192="positive",T1192="positive"),"a",IF(T1192="positive","b",IF(R1192="positive","c","d"))))</x:f>
        <x:v>d</x:v>
      </x:c>
      <x:c r="AE1192" s="12" t="str">
        <x:f>IF(OR(W1192="unavailable",Y1192="unavailable"),"不可评价",IF(AND(OR(W1192="positive",W1192="equivocal"),OR(Y1192="positive",Y1192="equivocal")),"a",IF(OR(Y1192="positive",Y1192="equivocal"),"b",IF(OR(W1192="positive",W1192="equivocal"),"c","d"))))</x:f>
        <x:v>d</x:v>
      </x:c>
      <x:c r="AF1192" s="12" t="str">
        <x:f>IF(OR(W1192="unavailable",Y1192="unavailable"),"不可评价",IF(AND(W1192="positive",Y1192="positive"),"a",IF(Y1192="positive","b",IF(W1192="positive","c","d"))))</x:f>
        <x:v>d</x:v>
      </x:c>
    </x:row>
    <x:row r="1193" ht="24" customHeight="1">
      <x:c r="A1193" s="12" t="str">
        <x:v>10755</x:v>
      </x:c>
      <x:c r="B1193" s="12" t="str">
        <x:v>7544</x:v>
      </x:c>
      <x:c r="C1193" s="21" t="n">
        <x:v>34186.378645833334</x:v>
      </x:c>
      <x:c r="D1193" s="12" t="n">
        <x:v>75</x:v>
      </x:c>
      <x:c r="E1193" s="12" t="n">
        <x:v>0</x:v>
      </x:c>
      <x:c r="F1193" s="12" t="str">
        <x:v>未记录</x:v>
      </x:c>
      <x:c r="G1193" s="12" t="n">
        <x:v>1</x:v>
      </x:c>
      <x:c r="H1193" s="12" t="str">
        <x:v>{'ASMI': 35.0, 'ISCIN': 80.0, 'PVC': 100.0, 'STD_': 0.0, 'SR': 0.0}</x:v>
      </x:c>
      <x:c r="I1193" s="12" t="str">
        <x:v>[('SRTH', 100.0), ('SAR', 100.0), ('PVC', 100.0), ('NST', 100.0), ('AB', 100.0)]</x:v>
      </x:c>
      <x:c r="J1193" s="12" t="str">
        <x:v>ptbxl_database.csv；ecg_id=10755；scp_codes</x:v>
      </x:c>
      <x:c r="K1193" s="12" t="str">
        <x:v>12sl_statements.csv；ecg_id=10755；statements_ext_snomed</x:v>
      </x:c>
      <x:c r="L1193" s="12"/>
      <x:c r="M1193" s="12" t="str">
        <x:v>negative</x:v>
      </x:c>
      <x:c r="N1193" s="12"/>
      <x:c r="O1193" s="12" t="str">
        <x:v>negative</x:v>
      </x:c>
      <x:c r="P1193" s="12" t="str">
        <x:f>IF(OR(M1193="unavailable",O1193="unavailable"),"不可评价",IF(OR(M1193="equivocal",O1193="equivocal"),"疑似",IF(AND(M1193="positive",O1193="positive"),"a",IF(O1193="positive","b",IF(M1193="positive","c","d")))))</x:f>
        <x:v>d</x:v>
      </x:c>
      <x:c r="Q1193" s="12"/>
      <x:c r="R1193" s="12" t="str">
        <x:v>negative</x:v>
      </x:c>
      <x:c r="S1193" s="12"/>
      <x:c r="T1193" s="12" t="str">
        <x:v>negative</x:v>
      </x:c>
      <x:c r="U1193" s="12" t="str">
        <x:f>IF(OR(R1193="unavailable",T1193="unavailable"),"不可评价",IF(OR(R1193="equivocal",T1193="equivocal"),"疑似",IF(AND(R1193="positive",T1193="positive"),"a",IF(T1193="positive","b",IF(R1193="positive","c","d")))))</x:f>
        <x:v>d</x:v>
      </x:c>
      <x:c r="V1193" s="12"/>
      <x:c r="W1193" s="12" t="str">
        <x:v>negative</x:v>
      </x:c>
      <x:c r="X1193" s="12"/>
      <x:c r="Y1193" s="12" t="str">
        <x:v>negative</x:v>
      </x:c>
      <x:c r="Z1193" s="12" t="str">
        <x:f>IF(OR(W1193="unavailable",Y1193="unavailable"),"不可评价",IF(OR(W1193="equivocal",Y1193="equivocal"),"疑似",IF(AND(W1193="positive",Y1193="positive"),"a",IF(Y1193="positive","b",IF(W1193="positive","c","d")))))</x:f>
        <x:v>d</x:v>
      </x:c>
      <x:c r="AA1193" s="12" t="str">
        <x:f>IF(OR(M1193="unavailable",O1193="unavailable"),"不可评价",IF(AND(OR(M1193="positive",M1193="equivocal"),OR(O1193="positive",O1193="equivocal")),"a",IF(OR(O1193="positive",O1193="equivocal"),"b",IF(OR(M1193="positive",M1193="equivocal"),"c","d"))))</x:f>
        <x:v>d</x:v>
      </x:c>
      <x:c r="AB1193" s="12" t="str">
        <x:f>IF(OR(M1193="unavailable",O1193="unavailable"),"不可评价",IF(AND(M1193="positive",O1193="positive"),"a",IF(O1193="positive","b",IF(M1193="positive","c","d"))))</x:f>
        <x:v>d</x:v>
      </x:c>
      <x:c r="AC1193" s="12" t="str">
        <x:f>IF(OR(R1193="unavailable",T1193="unavailable"),"不可评价",IF(AND(OR(R1193="positive",R1193="equivocal"),OR(T1193="positive",T1193="equivocal")),"a",IF(OR(T1193="positive",T1193="equivocal"),"b",IF(OR(R1193="positive",R1193="equivocal"),"c","d"))))</x:f>
        <x:v>d</x:v>
      </x:c>
      <x:c r="AD1193" s="12" t="str">
        <x:f>IF(OR(R1193="unavailable",T1193="unavailable"),"不可评价",IF(AND(R1193="positive",T1193="positive"),"a",IF(T1193="positive","b",IF(R1193="positive","c","d"))))</x:f>
        <x:v>d</x:v>
      </x:c>
      <x:c r="AE1193" s="12" t="str">
        <x:f>IF(OR(W1193="unavailable",Y1193="unavailable"),"不可评价",IF(AND(OR(W1193="positive",W1193="equivocal"),OR(Y1193="positive",Y1193="equivocal")),"a",IF(OR(Y1193="positive",Y1193="equivocal"),"b",IF(OR(W1193="positive",W1193="equivocal"),"c","d"))))</x:f>
        <x:v>d</x:v>
      </x:c>
      <x:c r="AF1193" s="12" t="str">
        <x:f>IF(OR(W1193="unavailable",Y1193="unavailable"),"不可评价",IF(AND(W1193="positive",Y1193="positive"),"a",IF(Y1193="positive","b",IF(W1193="positive","c","d"))))</x:f>
        <x:v>d</x:v>
      </x:c>
    </x:row>
    <x:row r="1194" ht="24" customHeight="1">
      <x:c r="A1194" s="12" t="str">
        <x:v>10760</x:v>
      </x:c>
      <x:c r="B1194" s="12" t="str">
        <x:v>5638</x:v>
      </x:c>
      <x:c r="C1194" s="21" t="n">
        <x:v>34186.513078703705</x:v>
      </x:c>
      <x:c r="D1194" s="12" t="n">
        <x:v>29</x:v>
      </x:c>
      <x:c r="E1194" s="12" t="n">
        <x:v>0</x:v>
      </x:c>
      <x:c r="F1194" s="12" t="str">
        <x:v>未记录</x:v>
      </x:c>
      <x:c r="G1194" s="12" t="n">
        <x:v>1</x:v>
      </x:c>
      <x:c r="H1194" s="12" t="str">
        <x:v>{'NORM': 80.0, 'SBRAD': 0.0}</x:v>
      </x:c>
      <x:c r="I1194" s="12" t="str">
        <x:v>[('SBRAD', 100.0), ('ABR', 100.0)]</x:v>
      </x:c>
      <x:c r="J1194" s="12" t="str">
        <x:v>ptbxl_database.csv；ecg_id=10760；scp_codes</x:v>
      </x:c>
      <x:c r="K1194" s="12" t="str">
        <x:v>12sl_statements.csv；ecg_id=10760；statements_ext_snomed</x:v>
      </x:c>
      <x:c r="L1194" s="12"/>
      <x:c r="M1194" s="12" t="str">
        <x:v>negative</x:v>
      </x:c>
      <x:c r="N1194" s="12"/>
      <x:c r="O1194" s="12" t="str">
        <x:v>negative</x:v>
      </x:c>
      <x:c r="P1194" s="12" t="str">
        <x:f>IF(OR(M1194="unavailable",O1194="unavailable"),"不可评价",IF(OR(M1194="equivocal",O1194="equivocal"),"疑似",IF(AND(M1194="positive",O1194="positive"),"a",IF(O1194="positive","b",IF(M1194="positive","c","d")))))</x:f>
        <x:v>d</x:v>
      </x:c>
      <x:c r="Q1194" s="12"/>
      <x:c r="R1194" s="12" t="str">
        <x:v>negative</x:v>
      </x:c>
      <x:c r="S1194" s="12"/>
      <x:c r="T1194" s="12" t="str">
        <x:v>negative</x:v>
      </x:c>
      <x:c r="U1194" s="12" t="str">
        <x:f>IF(OR(R1194="unavailable",T1194="unavailable"),"不可评价",IF(OR(R1194="equivocal",T1194="equivocal"),"疑似",IF(AND(R1194="positive",T1194="positive"),"a",IF(T1194="positive","b",IF(R1194="positive","c","d")))))</x:f>
        <x:v>d</x:v>
      </x:c>
      <x:c r="V1194" s="12"/>
      <x:c r="W1194" s="12" t="str">
        <x:v>negative</x:v>
      </x:c>
      <x:c r="X1194" s="12"/>
      <x:c r="Y1194" s="12" t="str">
        <x:v>negative</x:v>
      </x:c>
      <x:c r="Z1194" s="12" t="str">
        <x:f>IF(OR(W1194="unavailable",Y1194="unavailable"),"不可评价",IF(OR(W1194="equivocal",Y1194="equivocal"),"疑似",IF(AND(W1194="positive",Y1194="positive"),"a",IF(Y1194="positive","b",IF(W1194="positive","c","d")))))</x:f>
        <x:v>d</x:v>
      </x:c>
      <x:c r="AA1194" s="12" t="str">
        <x:f>IF(OR(M1194="unavailable",O1194="unavailable"),"不可评价",IF(AND(OR(M1194="positive",M1194="equivocal"),OR(O1194="positive",O1194="equivocal")),"a",IF(OR(O1194="positive",O1194="equivocal"),"b",IF(OR(M1194="positive",M1194="equivocal"),"c","d"))))</x:f>
        <x:v>d</x:v>
      </x:c>
      <x:c r="AB1194" s="12" t="str">
        <x:f>IF(OR(M1194="unavailable",O1194="unavailable"),"不可评价",IF(AND(M1194="positive",O1194="positive"),"a",IF(O1194="positive","b",IF(M1194="positive","c","d"))))</x:f>
        <x:v>d</x:v>
      </x:c>
      <x:c r="AC1194" s="12" t="str">
        <x:f>IF(OR(R1194="unavailable",T1194="unavailable"),"不可评价",IF(AND(OR(R1194="positive",R1194="equivocal"),OR(T1194="positive",T1194="equivocal")),"a",IF(OR(T1194="positive",T1194="equivocal"),"b",IF(OR(R1194="positive",R1194="equivocal"),"c","d"))))</x:f>
        <x:v>d</x:v>
      </x:c>
      <x:c r="AD1194" s="12" t="str">
        <x:f>IF(OR(R1194="unavailable",T1194="unavailable"),"不可评价",IF(AND(R1194="positive",T1194="positive"),"a",IF(T1194="positive","b",IF(R1194="positive","c","d"))))</x:f>
        <x:v>d</x:v>
      </x:c>
      <x:c r="AE1194" s="12" t="str">
        <x:f>IF(OR(W1194="unavailable",Y1194="unavailable"),"不可评价",IF(AND(OR(W1194="positive",W1194="equivocal"),OR(Y1194="positive",Y1194="equivocal")),"a",IF(OR(Y1194="positive",Y1194="equivocal"),"b",IF(OR(W1194="positive",W1194="equivocal"),"c","d"))))</x:f>
        <x:v>d</x:v>
      </x:c>
      <x:c r="AF1194" s="12" t="str">
        <x:f>IF(OR(W1194="unavailable",Y1194="unavailable"),"不可评价",IF(AND(W1194="positive",Y1194="positive"),"a",IF(Y1194="positive","b",IF(W1194="positive","c","d"))))</x:f>
        <x:v>d</x:v>
      </x:c>
    </x:row>
    <x:row r="1195" ht="24" customHeight="1">
      <x:c r="A1195" s="12" t="str">
        <x:v>10766</x:v>
      </x:c>
      <x:c r="B1195" s="12" t="str">
        <x:v>11726</x:v>
      </x:c>
      <x:c r="C1195" s="21" t="n">
        <x:v>34186.91355324074</x:v>
      </x:c>
      <x:c r="D1195" s="12" t="n">
        <x:v>79</x:v>
      </x:c>
      <x:c r="E1195" s="12" t="n">
        <x:v>0</x:v>
      </x:c>
      <x:c r="F1195" s="12" t="str">
        <x:v>存在</x:v>
      </x:c>
      <x:c r="G1195" s="12" t="n">
        <x:v>0</x:v>
      </x:c>
      <x:c r="H1195" s="12" t="str">
        <x:v>{'LVH': 50.0, 'NDT': 100.0, 'IVCD': 100.0, 'SR': 0.0}</x:v>
      </x:c>
      <x:c r="I1195" s="12" t="str">
        <x:v>[('NSR', 100.0), ('NML', 100.0)]</x:v>
      </x:c>
      <x:c r="J1195" s="12" t="str">
        <x:v>ptbxl_database.csv；ecg_id=10766；scp_codes</x:v>
      </x:c>
      <x:c r="K1195" s="12" t="str">
        <x:v>12sl_statements.csv；ecg_id=10766；statements_ext_snomed</x:v>
      </x:c>
      <x:c r="L1195" s="12"/>
      <x:c r="M1195" s="12" t="str">
        <x:v>negative</x:v>
      </x:c>
      <x:c r="N1195" s="12"/>
      <x:c r="O1195" s="12" t="str">
        <x:v>negative</x:v>
      </x:c>
      <x:c r="P1195" s="12" t="str">
        <x:f>IF(OR(M1195="unavailable",O1195="unavailable"),"不可评价",IF(OR(M1195="equivocal",O1195="equivocal"),"疑似",IF(AND(M1195="positive",O1195="positive"),"a",IF(O1195="positive","b",IF(M1195="positive","c","d")))))</x:f>
        <x:v>d</x:v>
      </x:c>
      <x:c r="Q1195" s="12"/>
      <x:c r="R1195" s="12" t="str">
        <x:v>negative</x:v>
      </x:c>
      <x:c r="S1195" s="12"/>
      <x:c r="T1195" s="12" t="str">
        <x:v>negative</x:v>
      </x:c>
      <x:c r="U1195" s="12" t="str">
        <x:f>IF(OR(R1195="unavailable",T1195="unavailable"),"不可评价",IF(OR(R1195="equivocal",T1195="equivocal"),"疑似",IF(AND(R1195="positive",T1195="positive"),"a",IF(T1195="positive","b",IF(R1195="positive","c","d")))))</x:f>
        <x:v>d</x:v>
      </x:c>
      <x:c r="V1195" s="12"/>
      <x:c r="W1195" s="12" t="str">
        <x:v>negative</x:v>
      </x:c>
      <x:c r="X1195" s="12"/>
      <x:c r="Y1195" s="12" t="str">
        <x:v>negative</x:v>
      </x:c>
      <x:c r="Z1195" s="12" t="str">
        <x:f>IF(OR(W1195="unavailable",Y1195="unavailable"),"不可评价",IF(OR(W1195="equivocal",Y1195="equivocal"),"疑似",IF(AND(W1195="positive",Y1195="positive"),"a",IF(Y1195="positive","b",IF(W1195="positive","c","d")))))</x:f>
        <x:v>d</x:v>
      </x:c>
      <x:c r="AA1195" s="12" t="str">
        <x:f>IF(OR(M1195="unavailable",O1195="unavailable"),"不可评价",IF(AND(OR(M1195="positive",M1195="equivocal"),OR(O1195="positive",O1195="equivocal")),"a",IF(OR(O1195="positive",O1195="equivocal"),"b",IF(OR(M1195="positive",M1195="equivocal"),"c","d"))))</x:f>
        <x:v>d</x:v>
      </x:c>
      <x:c r="AB1195" s="12" t="str">
        <x:f>IF(OR(M1195="unavailable",O1195="unavailable"),"不可评价",IF(AND(M1195="positive",O1195="positive"),"a",IF(O1195="positive","b",IF(M1195="positive","c","d"))))</x:f>
        <x:v>d</x:v>
      </x:c>
      <x:c r="AC1195" s="12" t="str">
        <x:f>IF(OR(R1195="unavailable",T1195="unavailable"),"不可评价",IF(AND(OR(R1195="positive",R1195="equivocal"),OR(T1195="positive",T1195="equivocal")),"a",IF(OR(T1195="positive",T1195="equivocal"),"b",IF(OR(R1195="positive",R1195="equivocal"),"c","d"))))</x:f>
        <x:v>d</x:v>
      </x:c>
      <x:c r="AD1195" s="12" t="str">
        <x:f>IF(OR(R1195="unavailable",T1195="unavailable"),"不可评价",IF(AND(R1195="positive",T1195="positive"),"a",IF(T1195="positive","b",IF(R1195="positive","c","d"))))</x:f>
        <x:v>d</x:v>
      </x:c>
      <x:c r="AE1195" s="12" t="str">
        <x:f>IF(OR(W1195="unavailable",Y1195="unavailable"),"不可评价",IF(AND(OR(W1195="positive",W1195="equivocal"),OR(Y1195="positive",Y1195="equivocal")),"a",IF(OR(Y1195="positive",Y1195="equivocal"),"b",IF(OR(W1195="positive",W1195="equivocal"),"c","d"))))</x:f>
        <x:v>d</x:v>
      </x:c>
      <x:c r="AF1195" s="12" t="str">
        <x:f>IF(OR(W1195="unavailable",Y1195="unavailable"),"不可评价",IF(AND(W1195="positive",Y1195="positive"),"a",IF(Y1195="positive","b",IF(W1195="positive","c","d"))))</x:f>
        <x:v>d</x:v>
      </x:c>
    </x:row>
    <x:row r="1196" ht="24" customHeight="1">
      <x:c r="A1196" s="12" t="str">
        <x:v>10806</x:v>
      </x:c>
      <x:c r="B1196" s="12" t="str">
        <x:v>9274</x:v>
      </x:c>
      <x:c r="C1196" s="21" t="n">
        <x:v>34191.709861111114</x:v>
      </x:c>
      <x:c r="D1196" s="12" t="n">
        <x:v>53</x:v>
      </x:c>
      <x:c r="E1196" s="12" t="n">
        <x:v>0</x:v>
      </x:c>
      <x:c r="F1196" s="12" t="str">
        <x:v>未记录</x:v>
      </x:c>
      <x:c r="G1196" s="12" t="n">
        <x:v>1</x:v>
      </x:c>
      <x:c r="H1196" s="12" t="str">
        <x:v>{'NORM': 100.0, 'SBRAD': 0.0}</x:v>
      </x:c>
      <x:c r="I1196" s="12" t="str">
        <x:v>[('SBRAD', 100.0), ('ABR', 100.0)]</x:v>
      </x:c>
      <x:c r="J1196" s="12" t="str">
        <x:v>ptbxl_database.csv；ecg_id=10806；scp_codes</x:v>
      </x:c>
      <x:c r="K1196" s="12" t="str">
        <x:v>12sl_statements.csv；ecg_id=10806；statements_ext_snomed</x:v>
      </x:c>
      <x:c r="L1196" s="12"/>
      <x:c r="M1196" s="12" t="str">
        <x:v>negative</x:v>
      </x:c>
      <x:c r="N1196" s="12"/>
      <x:c r="O1196" s="12" t="str">
        <x:v>negative</x:v>
      </x:c>
      <x:c r="P1196" s="12" t="str">
        <x:f>IF(OR(M1196="unavailable",O1196="unavailable"),"不可评价",IF(OR(M1196="equivocal",O1196="equivocal"),"疑似",IF(AND(M1196="positive",O1196="positive"),"a",IF(O1196="positive","b",IF(M1196="positive","c","d")))))</x:f>
        <x:v>d</x:v>
      </x:c>
      <x:c r="Q1196" s="12"/>
      <x:c r="R1196" s="12" t="str">
        <x:v>negative</x:v>
      </x:c>
      <x:c r="S1196" s="12"/>
      <x:c r="T1196" s="12" t="str">
        <x:v>negative</x:v>
      </x:c>
      <x:c r="U1196" s="12" t="str">
        <x:f>IF(OR(R1196="unavailable",T1196="unavailable"),"不可评价",IF(OR(R1196="equivocal",T1196="equivocal"),"疑似",IF(AND(R1196="positive",T1196="positive"),"a",IF(T1196="positive","b",IF(R1196="positive","c","d")))))</x:f>
        <x:v>d</x:v>
      </x:c>
      <x:c r="V1196" s="12"/>
      <x:c r="W1196" s="12" t="str">
        <x:v>negative</x:v>
      </x:c>
      <x:c r="X1196" s="12"/>
      <x:c r="Y1196" s="12" t="str">
        <x:v>negative</x:v>
      </x:c>
      <x:c r="Z1196" s="12" t="str">
        <x:f>IF(OR(W1196="unavailable",Y1196="unavailable"),"不可评价",IF(OR(W1196="equivocal",Y1196="equivocal"),"疑似",IF(AND(W1196="positive",Y1196="positive"),"a",IF(Y1196="positive","b",IF(W1196="positive","c","d")))))</x:f>
        <x:v>d</x:v>
      </x:c>
      <x:c r="AA1196" s="12" t="str">
        <x:f>IF(OR(M1196="unavailable",O1196="unavailable"),"不可评价",IF(AND(OR(M1196="positive",M1196="equivocal"),OR(O1196="positive",O1196="equivocal")),"a",IF(OR(O1196="positive",O1196="equivocal"),"b",IF(OR(M1196="positive",M1196="equivocal"),"c","d"))))</x:f>
        <x:v>d</x:v>
      </x:c>
      <x:c r="AB1196" s="12" t="str">
        <x:f>IF(OR(M1196="unavailable",O1196="unavailable"),"不可评价",IF(AND(M1196="positive",O1196="positive"),"a",IF(O1196="positive","b",IF(M1196="positive","c","d"))))</x:f>
        <x:v>d</x:v>
      </x:c>
      <x:c r="AC1196" s="12" t="str">
        <x:f>IF(OR(R1196="unavailable",T1196="unavailable"),"不可评价",IF(AND(OR(R1196="positive",R1196="equivocal"),OR(T1196="positive",T1196="equivocal")),"a",IF(OR(T1196="positive",T1196="equivocal"),"b",IF(OR(R1196="positive",R1196="equivocal"),"c","d"))))</x:f>
        <x:v>d</x:v>
      </x:c>
      <x:c r="AD1196" s="12" t="str">
        <x:f>IF(OR(R1196="unavailable",T1196="unavailable"),"不可评价",IF(AND(R1196="positive",T1196="positive"),"a",IF(T1196="positive","b",IF(R1196="positive","c","d"))))</x:f>
        <x:v>d</x:v>
      </x:c>
      <x:c r="AE1196" s="12" t="str">
        <x:f>IF(OR(W1196="unavailable",Y1196="unavailable"),"不可评价",IF(AND(OR(W1196="positive",W1196="equivocal"),OR(Y1196="positive",Y1196="equivocal")),"a",IF(OR(Y1196="positive",Y1196="equivocal"),"b",IF(OR(W1196="positive",W1196="equivocal"),"c","d"))))</x:f>
        <x:v>d</x:v>
      </x:c>
      <x:c r="AF1196" s="12" t="str">
        <x:f>IF(OR(W1196="unavailable",Y1196="unavailable"),"不可评价",IF(AND(W1196="positive",Y1196="positive"),"a",IF(Y1196="positive","b",IF(W1196="positive","c","d"))))</x:f>
        <x:v>d</x:v>
      </x:c>
    </x:row>
    <x:row r="1197" ht="39" customHeight="1">
      <x:c r="A1197" s="12" t="str">
        <x:v>10807</x:v>
      </x:c>
      <x:c r="B1197" s="12" t="str">
        <x:v>13868</x:v>
      </x:c>
      <x:c r="C1197" s="21" t="n">
        <x:v>34191.778495370374</x:v>
      </x:c>
      <x:c r="D1197" s="12" t="n">
        <x:v>86</x:v>
      </x:c>
      <x:c r="E1197" s="12" t="n">
        <x:v>1</x:v>
      </x:c>
      <x:c r="F1197" s="12" t="str">
        <x:v>未记录</x:v>
      </x:c>
      <x:c r="G1197" s="12" t="n">
        <x:v>1</x:v>
      </x:c>
      <x:c r="H1197" s="12" t="str">
        <x:v>{'ASMI': 100.0, 'ILMI': 100.0, '1AVB': 100.0, 'ABQRS': 0.0, 'SR': 0.0}</x:v>
      </x:c>
      <x:c r="I1197" s="12" t="str">
        <x:v>[('SRTH', 100.0), ('FAV', 100.0), ('PAC', 100.0), ('PVC', 100.0), ('$SFUS', 100.0), ('LAD3', 100.0), ('IMI;AU', 100.0), ('ALMI;AU', 100.0), ('AB', 100.0)]</x:v>
      </x:c>
      <x:c r="J1197" s="12" t="str">
        <x:v>ptbxl_database.csv；ecg_id=10807；scp_codes</x:v>
      </x:c>
      <x:c r="K1197" s="12" t="str">
        <x:v>12sl_statements.csv；ecg_id=10807；statements_ext_snomed</x:v>
      </x:c>
      <x:c r="L1197" s="12"/>
      <x:c r="M1197" s="12" t="str">
        <x:v>negative</x:v>
      </x:c>
      <x:c r="N1197" s="12"/>
      <x:c r="O1197" s="12" t="str">
        <x:v>negative</x:v>
      </x:c>
      <x:c r="P1197" s="12" t="str">
        <x:f>IF(OR(M1197="unavailable",O1197="unavailable"),"不可评价",IF(OR(M1197="equivocal",O1197="equivocal"),"疑似",IF(AND(M1197="positive",O1197="positive"),"a",IF(O1197="positive","b",IF(M1197="positive","c","d")))))</x:f>
        <x:v>d</x:v>
      </x:c>
      <x:c r="Q1197" s="12"/>
      <x:c r="R1197" s="12" t="str">
        <x:v>negative</x:v>
      </x:c>
      <x:c r="S1197" s="12"/>
      <x:c r="T1197" s="12" t="str">
        <x:v>negative</x:v>
      </x:c>
      <x:c r="U1197" s="12" t="str">
        <x:f>IF(OR(R1197="unavailable",T1197="unavailable"),"不可评价",IF(OR(R1197="equivocal",T1197="equivocal"),"疑似",IF(AND(R1197="positive",T1197="positive"),"a",IF(T1197="positive","b",IF(R1197="positive","c","d")))))</x:f>
        <x:v>d</x:v>
      </x:c>
      <x:c r="V1197" s="12"/>
      <x:c r="W1197" s="12" t="str">
        <x:v>negative</x:v>
      </x:c>
      <x:c r="X1197" s="12"/>
      <x:c r="Y1197" s="12" t="str">
        <x:v>negative</x:v>
      </x:c>
      <x:c r="Z1197" s="12" t="str">
        <x:f>IF(OR(W1197="unavailable",Y1197="unavailable"),"不可评价",IF(OR(W1197="equivocal",Y1197="equivocal"),"疑似",IF(AND(W1197="positive",Y1197="positive"),"a",IF(Y1197="positive","b",IF(W1197="positive","c","d")))))</x:f>
        <x:v>d</x:v>
      </x:c>
      <x:c r="AA1197" s="12" t="str">
        <x:f>IF(OR(M1197="unavailable",O1197="unavailable"),"不可评价",IF(AND(OR(M1197="positive",M1197="equivocal"),OR(O1197="positive",O1197="equivocal")),"a",IF(OR(O1197="positive",O1197="equivocal"),"b",IF(OR(M1197="positive",M1197="equivocal"),"c","d"))))</x:f>
        <x:v>d</x:v>
      </x:c>
      <x:c r="AB1197" s="12" t="str">
        <x:f>IF(OR(M1197="unavailable",O1197="unavailable"),"不可评价",IF(AND(M1197="positive",O1197="positive"),"a",IF(O1197="positive","b",IF(M1197="positive","c","d"))))</x:f>
        <x:v>d</x:v>
      </x:c>
      <x:c r="AC1197" s="12" t="str">
        <x:f>IF(OR(R1197="unavailable",T1197="unavailable"),"不可评价",IF(AND(OR(R1197="positive",R1197="equivocal"),OR(T1197="positive",T1197="equivocal")),"a",IF(OR(T1197="positive",T1197="equivocal"),"b",IF(OR(R1197="positive",R1197="equivocal"),"c","d"))))</x:f>
        <x:v>d</x:v>
      </x:c>
      <x:c r="AD1197" s="12" t="str">
        <x:f>IF(OR(R1197="unavailable",T1197="unavailable"),"不可评价",IF(AND(R1197="positive",T1197="positive"),"a",IF(T1197="positive","b",IF(R1197="positive","c","d"))))</x:f>
        <x:v>d</x:v>
      </x:c>
      <x:c r="AE1197" s="12" t="str">
        <x:f>IF(OR(W1197="unavailable",Y1197="unavailable"),"不可评价",IF(AND(OR(W1197="positive",W1197="equivocal"),OR(Y1197="positive",Y1197="equivocal")),"a",IF(OR(Y1197="positive",Y1197="equivocal"),"b",IF(OR(W1197="positive",W1197="equivocal"),"c","d"))))</x:f>
        <x:v>d</x:v>
      </x:c>
      <x:c r="AF1197" s="12" t="str">
        <x:f>IF(OR(W1197="unavailable",Y1197="unavailable"),"不可评价",IF(AND(W1197="positive",Y1197="positive"),"a",IF(Y1197="positive","b",IF(W1197="positive","c","d"))))</x:f>
        <x:v>d</x:v>
      </x:c>
    </x:row>
    <x:row r="1198" ht="24" customHeight="1">
      <x:c r="A1198" s="12" t="str">
        <x:v>10824</x:v>
      </x:c>
      <x:c r="B1198" s="12" t="str">
        <x:v>4974</x:v>
      </x:c>
      <x:c r="C1198" s="21" t="n">
        <x:v>34193.459386574075</x:v>
      </x:c>
      <x:c r="D1198" s="12" t="n">
        <x:v>33</x:v>
      </x:c>
      <x:c r="E1198" s="12" t="n">
        <x:v>0</x:v>
      </x:c>
      <x:c r="F1198" s="12" t="str">
        <x:v>未记录</x:v>
      </x:c>
      <x:c r="G1198" s="12" t="n">
        <x:v>1</x:v>
      </x:c>
      <x:c r="H1198" s="12" t="str">
        <x:v>{'NORM': 100.0, 'SR': 0.0}</x:v>
      </x:c>
      <x:c r="I1198" s="12" t="str">
        <x:v>[('SBRAD', 100.0), ('ABR', 100.0)]</x:v>
      </x:c>
      <x:c r="J1198" s="12" t="str">
        <x:v>ptbxl_database.csv；ecg_id=10824；scp_codes</x:v>
      </x:c>
      <x:c r="K1198" s="12" t="str">
        <x:v>12sl_statements.csv；ecg_id=10824；statements_ext_snomed</x:v>
      </x:c>
      <x:c r="L1198" s="12"/>
      <x:c r="M1198" s="12" t="str">
        <x:v>negative</x:v>
      </x:c>
      <x:c r="N1198" s="12"/>
      <x:c r="O1198" s="12" t="str">
        <x:v>negative</x:v>
      </x:c>
      <x:c r="P1198" s="12" t="str">
        <x:f>IF(OR(M1198="unavailable",O1198="unavailable"),"不可评价",IF(OR(M1198="equivocal",O1198="equivocal"),"疑似",IF(AND(M1198="positive",O1198="positive"),"a",IF(O1198="positive","b",IF(M1198="positive","c","d")))))</x:f>
        <x:v>d</x:v>
      </x:c>
      <x:c r="Q1198" s="12"/>
      <x:c r="R1198" s="12" t="str">
        <x:v>negative</x:v>
      </x:c>
      <x:c r="S1198" s="12"/>
      <x:c r="T1198" s="12" t="str">
        <x:v>negative</x:v>
      </x:c>
      <x:c r="U1198" s="12" t="str">
        <x:f>IF(OR(R1198="unavailable",T1198="unavailable"),"不可评价",IF(OR(R1198="equivocal",T1198="equivocal"),"疑似",IF(AND(R1198="positive",T1198="positive"),"a",IF(T1198="positive","b",IF(R1198="positive","c","d")))))</x:f>
        <x:v>d</x:v>
      </x:c>
      <x:c r="V1198" s="12"/>
      <x:c r="W1198" s="12" t="str">
        <x:v>negative</x:v>
      </x:c>
      <x:c r="X1198" s="12"/>
      <x:c r="Y1198" s="12" t="str">
        <x:v>negative</x:v>
      </x:c>
      <x:c r="Z1198" s="12" t="str">
        <x:f>IF(OR(W1198="unavailable",Y1198="unavailable"),"不可评价",IF(OR(W1198="equivocal",Y1198="equivocal"),"疑似",IF(AND(W1198="positive",Y1198="positive"),"a",IF(Y1198="positive","b",IF(W1198="positive","c","d")))))</x:f>
        <x:v>d</x:v>
      </x:c>
      <x:c r="AA1198" s="12" t="str">
        <x:f>IF(OR(M1198="unavailable",O1198="unavailable"),"不可评价",IF(AND(OR(M1198="positive",M1198="equivocal"),OR(O1198="positive",O1198="equivocal")),"a",IF(OR(O1198="positive",O1198="equivocal"),"b",IF(OR(M1198="positive",M1198="equivocal"),"c","d"))))</x:f>
        <x:v>d</x:v>
      </x:c>
      <x:c r="AB1198" s="12" t="str">
        <x:f>IF(OR(M1198="unavailable",O1198="unavailable"),"不可评价",IF(AND(M1198="positive",O1198="positive"),"a",IF(O1198="positive","b",IF(M1198="positive","c","d"))))</x:f>
        <x:v>d</x:v>
      </x:c>
      <x:c r="AC1198" s="12" t="str">
        <x:f>IF(OR(R1198="unavailable",T1198="unavailable"),"不可评价",IF(AND(OR(R1198="positive",R1198="equivocal"),OR(T1198="positive",T1198="equivocal")),"a",IF(OR(T1198="positive",T1198="equivocal"),"b",IF(OR(R1198="positive",R1198="equivocal"),"c","d"))))</x:f>
        <x:v>d</x:v>
      </x:c>
      <x:c r="AD1198" s="12" t="str">
        <x:f>IF(OR(R1198="unavailable",T1198="unavailable"),"不可评价",IF(AND(R1198="positive",T1198="positive"),"a",IF(T1198="positive","b",IF(R1198="positive","c","d"))))</x:f>
        <x:v>d</x:v>
      </x:c>
      <x:c r="AE1198" s="12" t="str">
        <x:f>IF(OR(W1198="unavailable",Y1198="unavailable"),"不可评价",IF(AND(OR(W1198="positive",W1198="equivocal"),OR(Y1198="positive",Y1198="equivocal")),"a",IF(OR(Y1198="positive",Y1198="equivocal"),"b",IF(OR(W1198="positive",W1198="equivocal"),"c","d"))))</x:f>
        <x:v>d</x:v>
      </x:c>
      <x:c r="AF1198" s="12" t="str">
        <x:f>IF(OR(W1198="unavailable",Y1198="unavailable"),"不可评价",IF(AND(W1198="positive",Y1198="positive"),"a",IF(Y1198="positive","b",IF(W1198="positive","c","d"))))</x:f>
        <x:v>d</x:v>
      </x:c>
    </x:row>
    <x:row r="1199" ht="24" customHeight="1">
      <x:c r="A1199" s="12" t="str">
        <x:v>10828</x:v>
      </x:c>
      <x:c r="B1199" s="12" t="str">
        <x:v>20375</x:v>
      </x:c>
      <x:c r="C1199" s="21" t="n">
        <x:v>34194.54292824074</x:v>
      </x:c>
      <x:c r="D1199" s="12" t="n">
        <x:v>54</x:v>
      </x:c>
      <x:c r="E1199" s="12" t="n">
        <x:v>1</x:v>
      </x:c>
      <x:c r="F1199" s="12" t="str">
        <x:v>存在</x:v>
      </x:c>
      <x:c r="G1199" s="12" t="n">
        <x:v>1</x:v>
      </x:c>
      <x:c r="H1199" s="12" t="str">
        <x:v>{'AMI': 15.0, 'ABQRS': 0.0, 'SR': 0.0}</x:v>
      </x:c>
      <x:c r="I1199" s="12" t="str">
        <x:v>[('NSR', 100.0), ('NML', 100.0)]</x:v>
      </x:c>
      <x:c r="J1199" s="12" t="str">
        <x:v>ptbxl_database.csv；ecg_id=10828；scp_codes</x:v>
      </x:c>
      <x:c r="K1199" s="12" t="str">
        <x:v>12sl_statements.csv；ecg_id=10828；statements_ext_snomed</x:v>
      </x:c>
      <x:c r="L1199" s="12"/>
      <x:c r="M1199" s="12" t="str">
        <x:v>negative</x:v>
      </x:c>
      <x:c r="N1199" s="12"/>
      <x:c r="O1199" s="12" t="str">
        <x:v>negative</x:v>
      </x:c>
      <x:c r="P1199" s="12" t="str">
        <x:f>IF(OR(M1199="unavailable",O1199="unavailable"),"不可评价",IF(OR(M1199="equivocal",O1199="equivocal"),"疑似",IF(AND(M1199="positive",O1199="positive"),"a",IF(O1199="positive","b",IF(M1199="positive","c","d")))))</x:f>
        <x:v>d</x:v>
      </x:c>
      <x:c r="Q1199" s="12"/>
      <x:c r="R1199" s="12" t="str">
        <x:v>negative</x:v>
      </x:c>
      <x:c r="S1199" s="12"/>
      <x:c r="T1199" s="12" t="str">
        <x:v>negative</x:v>
      </x:c>
      <x:c r="U1199" s="12" t="str">
        <x:f>IF(OR(R1199="unavailable",T1199="unavailable"),"不可评价",IF(OR(R1199="equivocal",T1199="equivocal"),"疑似",IF(AND(R1199="positive",T1199="positive"),"a",IF(T1199="positive","b",IF(R1199="positive","c","d")))))</x:f>
        <x:v>d</x:v>
      </x:c>
      <x:c r="V1199" s="12"/>
      <x:c r="W1199" s="12" t="str">
        <x:v>negative</x:v>
      </x:c>
      <x:c r="X1199" s="12"/>
      <x:c r="Y1199" s="12" t="str">
        <x:v>negative</x:v>
      </x:c>
      <x:c r="Z1199" s="12" t="str">
        <x:f>IF(OR(W1199="unavailable",Y1199="unavailable"),"不可评价",IF(OR(W1199="equivocal",Y1199="equivocal"),"疑似",IF(AND(W1199="positive",Y1199="positive"),"a",IF(Y1199="positive","b",IF(W1199="positive","c","d")))))</x:f>
        <x:v>d</x:v>
      </x:c>
      <x:c r="AA1199" s="12" t="str">
        <x:f>IF(OR(M1199="unavailable",O1199="unavailable"),"不可评价",IF(AND(OR(M1199="positive",M1199="equivocal"),OR(O1199="positive",O1199="equivocal")),"a",IF(OR(O1199="positive",O1199="equivocal"),"b",IF(OR(M1199="positive",M1199="equivocal"),"c","d"))))</x:f>
        <x:v>d</x:v>
      </x:c>
      <x:c r="AB1199" s="12" t="str">
        <x:f>IF(OR(M1199="unavailable",O1199="unavailable"),"不可评价",IF(AND(M1199="positive",O1199="positive"),"a",IF(O1199="positive","b",IF(M1199="positive","c","d"))))</x:f>
        <x:v>d</x:v>
      </x:c>
      <x:c r="AC1199" s="12" t="str">
        <x:f>IF(OR(R1199="unavailable",T1199="unavailable"),"不可评价",IF(AND(OR(R1199="positive",R1199="equivocal"),OR(T1199="positive",T1199="equivocal")),"a",IF(OR(T1199="positive",T1199="equivocal"),"b",IF(OR(R1199="positive",R1199="equivocal"),"c","d"))))</x:f>
        <x:v>d</x:v>
      </x:c>
      <x:c r="AD1199" s="12" t="str">
        <x:f>IF(OR(R1199="unavailable",T1199="unavailable"),"不可评价",IF(AND(R1199="positive",T1199="positive"),"a",IF(T1199="positive","b",IF(R1199="positive","c","d"))))</x:f>
        <x:v>d</x:v>
      </x:c>
      <x:c r="AE1199" s="12" t="str">
        <x:f>IF(OR(W1199="unavailable",Y1199="unavailable"),"不可评价",IF(AND(OR(W1199="positive",W1199="equivocal"),OR(Y1199="positive",Y1199="equivocal")),"a",IF(OR(Y1199="positive",Y1199="equivocal"),"b",IF(OR(W1199="positive",W1199="equivocal"),"c","d"))))</x:f>
        <x:v>d</x:v>
      </x:c>
      <x:c r="AF1199" s="12" t="str">
        <x:f>IF(OR(W1199="unavailable",Y1199="unavailable"),"不可评价",IF(AND(W1199="positive",Y1199="positive"),"a",IF(Y1199="positive","b",IF(W1199="positive","c","d"))))</x:f>
        <x:v>d</x:v>
      </x:c>
    </x:row>
    <x:row r="1200" ht="39" customHeight="1">
      <x:c r="A1200" s="12" t="str">
        <x:v>10837</x:v>
      </x:c>
      <x:c r="B1200" s="12" t="str">
        <x:v>20001</x:v>
      </x:c>
      <x:c r="C1200" s="21" t="n">
        <x:v>34196.56166666667</x:v>
      </x:c>
      <x:c r="D1200" s="12" t="n">
        <x:v>66</x:v>
      </x:c>
      <x:c r="E1200" s="12" t="n">
        <x:v>1</x:v>
      </x:c>
      <x:c r="F1200" s="12" t="str">
        <x:v>存在</x:v>
      </x:c>
      <x:c r="G1200" s="12" t="n">
        <x:v>1</x:v>
      </x:c>
      <x:c r="H1200" s="12" t="str">
        <x:v>{'ILMI': 50.0, 'LVH': 50.0, 'ISC_': 100.0, 'IVCD': 100.0, 'SVARR': 0.0}</x:v>
      </x:c>
      <x:c r="I1200" s="12" t="str">
        <x:v>[('NSR', 100.0), ('ST&amp;', 100.0), ('IT', 100.0), ('AB', 100.0)]</x:v>
      </x:c>
      <x:c r="J1200" s="12" t="str">
        <x:v>ptbxl_database.csv；ecg_id=10837；scp_codes</x:v>
      </x:c>
      <x:c r="K1200" s="12" t="str">
        <x:v>12sl_statements.csv；ecg_id=10837；statements_ext_snomed</x:v>
      </x:c>
      <x:c r="L1200" s="12"/>
      <x:c r="M1200" s="12" t="str">
        <x:v>negative</x:v>
      </x:c>
      <x:c r="N1200" s="12"/>
      <x:c r="O1200" s="12" t="str">
        <x:v>negative</x:v>
      </x:c>
      <x:c r="P1200" s="12" t="str">
        <x:f>IF(OR(M1200="unavailable",O1200="unavailable"),"不可评价",IF(OR(M1200="equivocal",O1200="equivocal"),"疑似",IF(AND(M1200="positive",O1200="positive"),"a",IF(O1200="positive","b",IF(M1200="positive","c","d")))))</x:f>
        <x:v>d</x:v>
      </x:c>
      <x:c r="Q1200" s="12"/>
      <x:c r="R1200" s="12" t="str">
        <x:v>negative</x:v>
      </x:c>
      <x:c r="S1200" s="12"/>
      <x:c r="T1200" s="12" t="str">
        <x:v>negative</x:v>
      </x:c>
      <x:c r="U1200" s="12" t="str">
        <x:f>IF(OR(R1200="unavailable",T1200="unavailable"),"不可评价",IF(OR(R1200="equivocal",T1200="equivocal"),"疑似",IF(AND(R1200="positive",T1200="positive"),"a",IF(T1200="positive","b",IF(R1200="positive","c","d")))))</x:f>
        <x:v>d</x:v>
      </x:c>
      <x:c r="V1200" s="12"/>
      <x:c r="W1200" s="12" t="str">
        <x:v>negative</x:v>
      </x:c>
      <x:c r="X1200" s="12"/>
      <x:c r="Y1200" s="12" t="str">
        <x:v>negative</x:v>
      </x:c>
      <x:c r="Z1200" s="12" t="str">
        <x:f>IF(OR(W1200="unavailable",Y1200="unavailable"),"不可评价",IF(OR(W1200="equivocal",Y1200="equivocal"),"疑似",IF(AND(W1200="positive",Y1200="positive"),"a",IF(Y1200="positive","b",IF(W1200="positive","c","d")))))</x:f>
        <x:v>d</x:v>
      </x:c>
      <x:c r="AA1200" s="12" t="str">
        <x:f>IF(OR(M1200="unavailable",O1200="unavailable"),"不可评价",IF(AND(OR(M1200="positive",M1200="equivocal"),OR(O1200="positive",O1200="equivocal")),"a",IF(OR(O1200="positive",O1200="equivocal"),"b",IF(OR(M1200="positive",M1200="equivocal"),"c","d"))))</x:f>
        <x:v>d</x:v>
      </x:c>
      <x:c r="AB1200" s="12" t="str">
        <x:f>IF(OR(M1200="unavailable",O1200="unavailable"),"不可评价",IF(AND(M1200="positive",O1200="positive"),"a",IF(O1200="positive","b",IF(M1200="positive","c","d"))))</x:f>
        <x:v>d</x:v>
      </x:c>
      <x:c r="AC1200" s="12" t="str">
        <x:f>IF(OR(R1200="unavailable",T1200="unavailable"),"不可评价",IF(AND(OR(R1200="positive",R1200="equivocal"),OR(T1200="positive",T1200="equivocal")),"a",IF(OR(T1200="positive",T1200="equivocal"),"b",IF(OR(R1200="positive",R1200="equivocal"),"c","d"))))</x:f>
        <x:v>d</x:v>
      </x:c>
      <x:c r="AD1200" s="12" t="str">
        <x:f>IF(OR(R1200="unavailable",T1200="unavailable"),"不可评价",IF(AND(R1200="positive",T1200="positive"),"a",IF(T1200="positive","b",IF(R1200="positive","c","d"))))</x:f>
        <x:v>d</x:v>
      </x:c>
      <x:c r="AE1200" s="12" t="str">
        <x:f>IF(OR(W1200="unavailable",Y1200="unavailable"),"不可评价",IF(AND(OR(W1200="positive",W1200="equivocal"),OR(Y1200="positive",Y1200="equivocal")),"a",IF(OR(Y1200="positive",Y1200="equivocal"),"b",IF(OR(W1200="positive",W1200="equivocal"),"c","d"))))</x:f>
        <x:v>d</x:v>
      </x:c>
      <x:c r="AF1200" s="12" t="str">
        <x:f>IF(OR(W1200="unavailable",Y1200="unavailable"),"不可评价",IF(AND(W1200="positive",Y1200="positive"),"a",IF(Y1200="positive","b",IF(W1200="positive","c","d"))))</x:f>
        <x:v>d</x:v>
      </x:c>
    </x:row>
    <x:row r="1201" ht="24" customHeight="1">
      <x:c r="A1201" s="12" t="str">
        <x:v>10846</x:v>
      </x:c>
      <x:c r="B1201" s="12" t="str">
        <x:v>10796</x:v>
      </x:c>
      <x:c r="C1201" s="21" t="n">
        <x:v>34198.49890046296</x:v>
      </x:c>
      <x:c r="D1201" s="12" t="n">
        <x:v>83</x:v>
      </x:c>
      <x:c r="E1201" s="12" t="n">
        <x:v>0</x:v>
      </x:c>
      <x:c r="F1201" s="12" t="str">
        <x:v>存在</x:v>
      </x:c>
      <x:c r="G1201" s="12" t="n">
        <x:v>1</x:v>
      </x:c>
      <x:c r="H1201" s="12" t="str">
        <x:v>{'NORM': 50.0, 'PVC': 100.0, 'PACE': 0.0}</x:v>
      </x:c>
      <x:c r="I1201" s="12" t="str">
        <x:v>[('AFIB', 100.0), ('RVR', 100.0), ('ABER', 100.0), ('AB', 100.0)]</x:v>
      </x:c>
      <x:c r="J1201" s="12" t="str">
        <x:v>ptbxl_database.csv；ecg_id=10846；scp_codes</x:v>
      </x:c>
      <x:c r="K1201" s="12" t="str">
        <x:v>12sl_statements.csv；ecg_id=10846；statements_ext_snomed</x:v>
      </x:c>
      <x:c r="L1201" s="12"/>
      <x:c r="M1201" s="12" t="str">
        <x:v>negative</x:v>
      </x:c>
      <x:c r="N1201" s="12" t="n">
        <x:v>100</x:v>
      </x:c>
      <x:c r="O1201" s="12" t="str">
        <x:v>positive</x:v>
      </x:c>
      <x:c r="P1201" s="12" t="str">
        <x:f>IF(OR(M1201="unavailable",O1201="unavailable"),"不可评价",IF(OR(M1201="equivocal",O1201="equivocal"),"疑似",IF(AND(M1201="positive",O1201="positive"),"a",IF(O1201="positive","b",IF(M1201="positive","c","d")))))</x:f>
        <x:v>b</x:v>
      </x:c>
      <x:c r="Q1201" s="12"/>
      <x:c r="R1201" s="12" t="str">
        <x:v>negative</x:v>
      </x:c>
      <x:c r="S1201" s="12"/>
      <x:c r="T1201" s="12" t="str">
        <x:v>negative</x:v>
      </x:c>
      <x:c r="U1201" s="12" t="str">
        <x:f>IF(OR(R1201="unavailable",T1201="unavailable"),"不可评价",IF(OR(R1201="equivocal",T1201="equivocal"),"疑似",IF(AND(R1201="positive",T1201="positive"),"a",IF(T1201="positive","b",IF(R1201="positive","c","d")))))</x:f>
        <x:v>d</x:v>
      </x:c>
      <x:c r="V1201" s="12"/>
      <x:c r="W1201" s="12" t="str">
        <x:v>negative</x:v>
      </x:c>
      <x:c r="X1201" s="12"/>
      <x:c r="Y1201" s="12" t="str">
        <x:v>negative</x:v>
      </x:c>
      <x:c r="Z1201" s="12" t="str">
        <x:f>IF(OR(W1201="unavailable",Y1201="unavailable"),"不可评价",IF(OR(W1201="equivocal",Y1201="equivocal"),"疑似",IF(AND(W1201="positive",Y1201="positive"),"a",IF(Y1201="positive","b",IF(W1201="positive","c","d")))))</x:f>
        <x:v>d</x:v>
      </x:c>
      <x:c r="AA1201" s="12" t="str">
        <x:f>IF(OR(M1201="unavailable",O1201="unavailable"),"不可评价",IF(AND(OR(M1201="positive",M1201="equivocal"),OR(O1201="positive",O1201="equivocal")),"a",IF(OR(O1201="positive",O1201="equivocal"),"b",IF(OR(M1201="positive",M1201="equivocal"),"c","d"))))</x:f>
        <x:v>b</x:v>
      </x:c>
      <x:c r="AB1201" s="12" t="str">
        <x:f>IF(OR(M1201="unavailable",O1201="unavailable"),"不可评价",IF(AND(M1201="positive",O1201="positive"),"a",IF(O1201="positive","b",IF(M1201="positive","c","d"))))</x:f>
        <x:v>b</x:v>
      </x:c>
      <x:c r="AC1201" s="12" t="str">
        <x:f>IF(OR(R1201="unavailable",T1201="unavailable"),"不可评价",IF(AND(OR(R1201="positive",R1201="equivocal"),OR(T1201="positive",T1201="equivocal")),"a",IF(OR(T1201="positive",T1201="equivocal"),"b",IF(OR(R1201="positive",R1201="equivocal"),"c","d"))))</x:f>
        <x:v>d</x:v>
      </x:c>
      <x:c r="AD1201" s="12" t="str">
        <x:f>IF(OR(R1201="unavailable",T1201="unavailable"),"不可评价",IF(AND(R1201="positive",T1201="positive"),"a",IF(T1201="positive","b",IF(R1201="positive","c","d"))))</x:f>
        <x:v>d</x:v>
      </x:c>
      <x:c r="AE1201" s="12" t="str">
        <x:f>IF(OR(W1201="unavailable",Y1201="unavailable"),"不可评价",IF(AND(OR(W1201="positive",W1201="equivocal"),OR(Y1201="positive",Y1201="equivocal")),"a",IF(OR(Y1201="positive",Y1201="equivocal"),"b",IF(OR(W1201="positive",W1201="equivocal"),"c","d"))))</x:f>
        <x:v>d</x:v>
      </x:c>
      <x:c r="AF1201" s="12" t="str">
        <x:f>IF(OR(W1201="unavailable",Y1201="unavailable"),"不可评价",IF(AND(W1201="positive",Y1201="positive"),"a",IF(Y1201="positive","b",IF(W1201="positive","c","d"))))</x:f>
        <x:v>d</x:v>
      </x:c>
    </x:row>
    <x:row r="1202" ht="24" customHeight="1">
      <x:c r="A1202" s="12" t="str">
        <x:v>10847</x:v>
      </x:c>
      <x:c r="B1202" s="12" t="str">
        <x:v>9613</x:v>
      </x:c>
      <x:c r="C1202" s="21" t="n">
        <x:v>34198.549305555556</x:v>
      </x:c>
      <x:c r="D1202" s="12" t="n">
        <x:v>63</x:v>
      </x:c>
      <x:c r="E1202" s="12" t="n">
        <x:v>1</x:v>
      </x:c>
      <x:c r="F1202" s="12" t="str">
        <x:v>未记录</x:v>
      </x:c>
      <x:c r="G1202" s="12" t="n">
        <x:v>1</x:v>
      </x:c>
      <x:c r="H1202" s="12" t="str">
        <x:v>{'NORM': 100.0, 'SR': 0.0}</x:v>
      </x:c>
      <x:c r="I1202" s="12" t="str">
        <x:v>[('NSR', 100.0), ('NML', 100.0)]</x:v>
      </x:c>
      <x:c r="J1202" s="12" t="str">
        <x:v>ptbxl_database.csv；ecg_id=10847；scp_codes</x:v>
      </x:c>
      <x:c r="K1202" s="12" t="str">
        <x:v>12sl_statements.csv；ecg_id=10847；statements_ext_snomed</x:v>
      </x:c>
      <x:c r="L1202" s="12"/>
      <x:c r="M1202" s="12" t="str">
        <x:v>negative</x:v>
      </x:c>
      <x:c r="N1202" s="12"/>
      <x:c r="O1202" s="12" t="str">
        <x:v>negative</x:v>
      </x:c>
      <x:c r="P1202" s="12" t="str">
        <x:f>IF(OR(M1202="unavailable",O1202="unavailable"),"不可评价",IF(OR(M1202="equivocal",O1202="equivocal"),"疑似",IF(AND(M1202="positive",O1202="positive"),"a",IF(O1202="positive","b",IF(M1202="positive","c","d")))))</x:f>
        <x:v>d</x:v>
      </x:c>
      <x:c r="Q1202" s="12"/>
      <x:c r="R1202" s="12" t="str">
        <x:v>negative</x:v>
      </x:c>
      <x:c r="S1202" s="12"/>
      <x:c r="T1202" s="12" t="str">
        <x:v>negative</x:v>
      </x:c>
      <x:c r="U1202" s="12" t="str">
        <x:f>IF(OR(R1202="unavailable",T1202="unavailable"),"不可评价",IF(OR(R1202="equivocal",T1202="equivocal"),"疑似",IF(AND(R1202="positive",T1202="positive"),"a",IF(T1202="positive","b",IF(R1202="positive","c","d")))))</x:f>
        <x:v>d</x:v>
      </x:c>
      <x:c r="V1202" s="12"/>
      <x:c r="W1202" s="12" t="str">
        <x:v>negative</x:v>
      </x:c>
      <x:c r="X1202" s="12"/>
      <x:c r="Y1202" s="12" t="str">
        <x:v>negative</x:v>
      </x:c>
      <x:c r="Z1202" s="12" t="str">
        <x:f>IF(OR(W1202="unavailable",Y1202="unavailable"),"不可评价",IF(OR(W1202="equivocal",Y1202="equivocal"),"疑似",IF(AND(W1202="positive",Y1202="positive"),"a",IF(Y1202="positive","b",IF(W1202="positive","c","d")))))</x:f>
        <x:v>d</x:v>
      </x:c>
      <x:c r="AA1202" s="12" t="str">
        <x:f>IF(OR(M1202="unavailable",O1202="unavailable"),"不可评价",IF(AND(OR(M1202="positive",M1202="equivocal"),OR(O1202="positive",O1202="equivocal")),"a",IF(OR(O1202="positive",O1202="equivocal"),"b",IF(OR(M1202="positive",M1202="equivocal"),"c","d"))))</x:f>
        <x:v>d</x:v>
      </x:c>
      <x:c r="AB1202" s="12" t="str">
        <x:f>IF(OR(M1202="unavailable",O1202="unavailable"),"不可评价",IF(AND(M1202="positive",O1202="positive"),"a",IF(O1202="positive","b",IF(M1202="positive","c","d"))))</x:f>
        <x:v>d</x:v>
      </x:c>
      <x:c r="AC1202" s="12" t="str">
        <x:f>IF(OR(R1202="unavailable",T1202="unavailable"),"不可评价",IF(AND(OR(R1202="positive",R1202="equivocal"),OR(T1202="positive",T1202="equivocal")),"a",IF(OR(T1202="positive",T1202="equivocal"),"b",IF(OR(R1202="positive",R1202="equivocal"),"c","d"))))</x:f>
        <x:v>d</x:v>
      </x:c>
      <x:c r="AD1202" s="12" t="str">
        <x:f>IF(OR(R1202="unavailable",T1202="unavailable"),"不可评价",IF(AND(R1202="positive",T1202="positive"),"a",IF(T1202="positive","b",IF(R1202="positive","c","d"))))</x:f>
        <x:v>d</x:v>
      </x:c>
      <x:c r="AE1202" s="12" t="str">
        <x:f>IF(OR(W1202="unavailable",Y1202="unavailable"),"不可评价",IF(AND(OR(W1202="positive",W1202="equivocal"),OR(Y1202="positive",Y1202="equivocal")),"a",IF(OR(Y1202="positive",Y1202="equivocal"),"b",IF(OR(W1202="positive",W1202="equivocal"),"c","d"))))</x:f>
        <x:v>d</x:v>
      </x:c>
      <x:c r="AF1202" s="12" t="str">
        <x:f>IF(OR(W1202="unavailable",Y1202="unavailable"),"不可评价",IF(AND(W1202="positive",Y1202="positive"),"a",IF(Y1202="positive","b",IF(W1202="positive","c","d"))))</x:f>
        <x:v>d</x:v>
      </x:c>
    </x:row>
    <x:row r="1203" ht="24" customHeight="1">
      <x:c r="A1203" s="12" t="str">
        <x:v>10860</x:v>
      </x:c>
      <x:c r="B1203" s="12" t="str">
        <x:v>18959</x:v>
      </x:c>
      <x:c r="C1203" s="21" t="n">
        <x:v>34201.775092592594</x:v>
      </x:c>
      <x:c r="D1203" s="12" t="n">
        <x:v>87</x:v>
      </x:c>
      <x:c r="E1203" s="12" t="n">
        <x:v>0</x:v>
      </x:c>
      <x:c r="F1203" s="12" t="str">
        <x:v>未记录</x:v>
      </x:c>
      <x:c r="G1203" s="12" t="n">
        <x:v>1</x:v>
      </x:c>
      <x:c r="H1203" s="12" t="str">
        <x:v>{'LAFB': 100.0, 'SR': 0.0}</x:v>
      </x:c>
      <x:c r="I1203" s="12" t="str">
        <x:v>[('SBRAD', 100.0), ('LAD3', 100.0), ('AB', 100.0)]</x:v>
      </x:c>
      <x:c r="J1203" s="12" t="str">
        <x:v>ptbxl_database.csv；ecg_id=10860；scp_codes</x:v>
      </x:c>
      <x:c r="K1203" s="12" t="str">
        <x:v>12sl_statements.csv；ecg_id=10860；statements_ext_snomed</x:v>
      </x:c>
      <x:c r="L1203" s="12"/>
      <x:c r="M1203" s="12" t="str">
        <x:v>negative</x:v>
      </x:c>
      <x:c r="N1203" s="12"/>
      <x:c r="O1203" s="12" t="str">
        <x:v>negative</x:v>
      </x:c>
      <x:c r="P1203" s="12" t="str">
        <x:f>IF(OR(M1203="unavailable",O1203="unavailable"),"不可评价",IF(OR(M1203="equivocal",O1203="equivocal"),"疑似",IF(AND(M1203="positive",O1203="positive"),"a",IF(O1203="positive","b",IF(M1203="positive","c","d")))))</x:f>
        <x:v>d</x:v>
      </x:c>
      <x:c r="Q1203" s="12"/>
      <x:c r="R1203" s="12" t="str">
        <x:v>negative</x:v>
      </x:c>
      <x:c r="S1203" s="12"/>
      <x:c r="T1203" s="12" t="str">
        <x:v>negative</x:v>
      </x:c>
      <x:c r="U1203" s="12" t="str">
        <x:f>IF(OR(R1203="unavailable",T1203="unavailable"),"不可评价",IF(OR(R1203="equivocal",T1203="equivocal"),"疑似",IF(AND(R1203="positive",T1203="positive"),"a",IF(T1203="positive","b",IF(R1203="positive","c","d")))))</x:f>
        <x:v>d</x:v>
      </x:c>
      <x:c r="V1203" s="12"/>
      <x:c r="W1203" s="12" t="str">
        <x:v>negative</x:v>
      </x:c>
      <x:c r="X1203" s="12"/>
      <x:c r="Y1203" s="12" t="str">
        <x:v>negative</x:v>
      </x:c>
      <x:c r="Z1203" s="12" t="str">
        <x:f>IF(OR(W1203="unavailable",Y1203="unavailable"),"不可评价",IF(OR(W1203="equivocal",Y1203="equivocal"),"疑似",IF(AND(W1203="positive",Y1203="positive"),"a",IF(Y1203="positive","b",IF(W1203="positive","c","d")))))</x:f>
        <x:v>d</x:v>
      </x:c>
      <x:c r="AA1203" s="12" t="str">
        <x:f>IF(OR(M1203="unavailable",O1203="unavailable"),"不可评价",IF(AND(OR(M1203="positive",M1203="equivocal"),OR(O1203="positive",O1203="equivocal")),"a",IF(OR(O1203="positive",O1203="equivocal"),"b",IF(OR(M1203="positive",M1203="equivocal"),"c","d"))))</x:f>
        <x:v>d</x:v>
      </x:c>
      <x:c r="AB1203" s="12" t="str">
        <x:f>IF(OR(M1203="unavailable",O1203="unavailable"),"不可评价",IF(AND(M1203="positive",O1203="positive"),"a",IF(O1203="positive","b",IF(M1203="positive","c","d"))))</x:f>
        <x:v>d</x:v>
      </x:c>
      <x:c r="AC1203" s="12" t="str">
        <x:f>IF(OR(R1203="unavailable",T1203="unavailable"),"不可评价",IF(AND(OR(R1203="positive",R1203="equivocal"),OR(T1203="positive",T1203="equivocal")),"a",IF(OR(T1203="positive",T1203="equivocal"),"b",IF(OR(R1203="positive",R1203="equivocal"),"c","d"))))</x:f>
        <x:v>d</x:v>
      </x:c>
      <x:c r="AD1203" s="12" t="str">
        <x:f>IF(OR(R1203="unavailable",T1203="unavailable"),"不可评价",IF(AND(R1203="positive",T1203="positive"),"a",IF(T1203="positive","b",IF(R1203="positive","c","d"))))</x:f>
        <x:v>d</x:v>
      </x:c>
      <x:c r="AE1203" s="12" t="str">
        <x:f>IF(OR(W1203="unavailable",Y1203="unavailable"),"不可评价",IF(AND(OR(W1203="positive",W1203="equivocal"),OR(Y1203="positive",Y1203="equivocal")),"a",IF(OR(Y1203="positive",Y1203="equivocal"),"b",IF(OR(W1203="positive",W1203="equivocal"),"c","d"))))</x:f>
        <x:v>d</x:v>
      </x:c>
      <x:c r="AF1203" s="12" t="str">
        <x:f>IF(OR(W1203="unavailable",Y1203="unavailable"),"不可评价",IF(AND(W1203="positive",Y1203="positive"),"a",IF(Y1203="positive","b",IF(W1203="positive","c","d"))))</x:f>
        <x:v>d</x:v>
      </x:c>
    </x:row>
    <x:row r="1204" ht="39" customHeight="1">
      <x:c r="A1204" s="12" t="str">
        <x:v>10878</x:v>
      </x:c>
      <x:c r="B1204" s="12" t="str">
        <x:v>13868</x:v>
      </x:c>
      <x:c r="C1204" s="21" t="n">
        <x:v>34206.36990740741</x:v>
      </x:c>
      <x:c r="D1204" s="12" t="n">
        <x:v>86</x:v>
      </x:c>
      <x:c r="E1204" s="12" t="n">
        <x:v>1</x:v>
      </x:c>
      <x:c r="F1204" s="12" t="str">
        <x:v>未记录</x:v>
      </x:c>
      <x:c r="G1204" s="12" t="n">
        <x:v>0</x:v>
      </x:c>
      <x:c r="H1204" s="12" t="str">
        <x:v>{'ILMI': 100.0, 'ASMI': 100.0, '1AVB': 100.0, 'LAFB': 100.0, 'ABQRS': 0.0, 'SR': 0.0}</x:v>
      </x:c>
      <x:c r="I1204" s="12" t="str">
        <x:v>[('SRTH', 100.0), ('FAV', 100.0), ('LAD3', 100.0), ('IMI;AU', 100.0), ('ASMI;AU', 100.0), ('AB', 100.0)]</x:v>
      </x:c>
      <x:c r="J1204" s="12" t="str">
        <x:v>ptbxl_database.csv；ecg_id=10878；scp_codes</x:v>
      </x:c>
      <x:c r="K1204" s="12" t="str">
        <x:v>12sl_statements.csv；ecg_id=10878；statements_ext_snomed</x:v>
      </x:c>
      <x:c r="L1204" s="12"/>
      <x:c r="M1204" s="12" t="str">
        <x:v>negative</x:v>
      </x:c>
      <x:c r="N1204" s="12"/>
      <x:c r="O1204" s="12" t="str">
        <x:v>negative</x:v>
      </x:c>
      <x:c r="P1204" s="12" t="str">
        <x:f>IF(OR(M1204="unavailable",O1204="unavailable"),"不可评价",IF(OR(M1204="equivocal",O1204="equivocal"),"疑似",IF(AND(M1204="positive",O1204="positive"),"a",IF(O1204="positive","b",IF(M1204="positive","c","d")))))</x:f>
        <x:v>d</x:v>
      </x:c>
      <x:c r="Q1204" s="12"/>
      <x:c r="R1204" s="12" t="str">
        <x:v>negative</x:v>
      </x:c>
      <x:c r="S1204" s="12"/>
      <x:c r="T1204" s="12" t="str">
        <x:v>negative</x:v>
      </x:c>
      <x:c r="U1204" s="12" t="str">
        <x:f>IF(OR(R1204="unavailable",T1204="unavailable"),"不可评价",IF(OR(R1204="equivocal",T1204="equivocal"),"疑似",IF(AND(R1204="positive",T1204="positive"),"a",IF(T1204="positive","b",IF(R1204="positive","c","d")))))</x:f>
        <x:v>d</x:v>
      </x:c>
      <x:c r="V1204" s="12"/>
      <x:c r="W1204" s="12" t="str">
        <x:v>negative</x:v>
      </x:c>
      <x:c r="X1204" s="12"/>
      <x:c r="Y1204" s="12" t="str">
        <x:v>negative</x:v>
      </x:c>
      <x:c r="Z1204" s="12" t="str">
        <x:f>IF(OR(W1204="unavailable",Y1204="unavailable"),"不可评价",IF(OR(W1204="equivocal",Y1204="equivocal"),"疑似",IF(AND(W1204="positive",Y1204="positive"),"a",IF(Y1204="positive","b",IF(W1204="positive","c","d")))))</x:f>
        <x:v>d</x:v>
      </x:c>
      <x:c r="AA1204" s="12" t="str">
        <x:f>IF(OR(M1204="unavailable",O1204="unavailable"),"不可评价",IF(AND(OR(M1204="positive",M1204="equivocal"),OR(O1204="positive",O1204="equivocal")),"a",IF(OR(O1204="positive",O1204="equivocal"),"b",IF(OR(M1204="positive",M1204="equivocal"),"c","d"))))</x:f>
        <x:v>d</x:v>
      </x:c>
      <x:c r="AB1204" s="12" t="str">
        <x:f>IF(OR(M1204="unavailable",O1204="unavailable"),"不可评价",IF(AND(M1204="positive",O1204="positive"),"a",IF(O1204="positive","b",IF(M1204="positive","c","d"))))</x:f>
        <x:v>d</x:v>
      </x:c>
      <x:c r="AC1204" s="12" t="str">
        <x:f>IF(OR(R1204="unavailable",T1204="unavailable"),"不可评价",IF(AND(OR(R1204="positive",R1204="equivocal"),OR(T1204="positive",T1204="equivocal")),"a",IF(OR(T1204="positive",T1204="equivocal"),"b",IF(OR(R1204="positive",R1204="equivocal"),"c","d"))))</x:f>
        <x:v>d</x:v>
      </x:c>
      <x:c r="AD1204" s="12" t="str">
        <x:f>IF(OR(R1204="unavailable",T1204="unavailable"),"不可评价",IF(AND(R1204="positive",T1204="positive"),"a",IF(T1204="positive","b",IF(R1204="positive","c","d"))))</x:f>
        <x:v>d</x:v>
      </x:c>
      <x:c r="AE1204" s="12" t="str">
        <x:f>IF(OR(W1204="unavailable",Y1204="unavailable"),"不可评价",IF(AND(OR(W1204="positive",W1204="equivocal"),OR(Y1204="positive",Y1204="equivocal")),"a",IF(OR(Y1204="positive",Y1204="equivocal"),"b",IF(OR(W1204="positive",W1204="equivocal"),"c","d"))))</x:f>
        <x:v>d</x:v>
      </x:c>
      <x:c r="AF1204" s="12" t="str">
        <x:f>IF(OR(W1204="unavailable",Y1204="unavailable"),"不可评价",IF(AND(W1204="positive",Y1204="positive"),"a",IF(Y1204="positive","b",IF(W1204="positive","c","d"))))</x:f>
        <x:v>d</x:v>
      </x:c>
    </x:row>
    <x:row r="1205" ht="24" customHeight="1">
      <x:c r="A1205" s="12" t="str">
        <x:v>10887</x:v>
      </x:c>
      <x:c r="B1205" s="12" t="str">
        <x:v>18151</x:v>
      </x:c>
      <x:c r="C1205" s="21" t="n">
        <x:v>34209.367789351854</x:v>
      </x:c>
      <x:c r="D1205" s="12" t="n">
        <x:v>47</x:v>
      </x:c>
      <x:c r="E1205" s="12" t="n">
        <x:v>1</x:v>
      </x:c>
      <x:c r="F1205" s="12" t="str">
        <x:v>未记录</x:v>
      </x:c>
      <x:c r="G1205" s="12" t="n">
        <x:v>1</x:v>
      </x:c>
      <x:c r="H1205" s="12" t="str">
        <x:v>{'NORM': 100.0, 'ABQRS': 0.0, 'SR': 0.0}</x:v>
      </x:c>
      <x:c r="I1205" s="12" t="str">
        <x:v>[('NSR', 100.0), ('NML', 100.0)]</x:v>
      </x:c>
      <x:c r="J1205" s="12" t="str">
        <x:v>ptbxl_database.csv；ecg_id=10887；scp_codes</x:v>
      </x:c>
      <x:c r="K1205" s="12" t="str">
        <x:v>12sl_statements.csv；ecg_id=10887；statements_ext_snomed</x:v>
      </x:c>
      <x:c r="L1205" s="12"/>
      <x:c r="M1205" s="12" t="str">
        <x:v>negative</x:v>
      </x:c>
      <x:c r="N1205" s="12"/>
      <x:c r="O1205" s="12" t="str">
        <x:v>negative</x:v>
      </x:c>
      <x:c r="P1205" s="12" t="str">
        <x:f>IF(OR(M1205="unavailable",O1205="unavailable"),"不可评价",IF(OR(M1205="equivocal",O1205="equivocal"),"疑似",IF(AND(M1205="positive",O1205="positive"),"a",IF(O1205="positive","b",IF(M1205="positive","c","d")))))</x:f>
        <x:v>d</x:v>
      </x:c>
      <x:c r="Q1205" s="12"/>
      <x:c r="R1205" s="12" t="str">
        <x:v>negative</x:v>
      </x:c>
      <x:c r="S1205" s="12"/>
      <x:c r="T1205" s="12" t="str">
        <x:v>negative</x:v>
      </x:c>
      <x:c r="U1205" s="12" t="str">
        <x:f>IF(OR(R1205="unavailable",T1205="unavailable"),"不可评价",IF(OR(R1205="equivocal",T1205="equivocal"),"疑似",IF(AND(R1205="positive",T1205="positive"),"a",IF(T1205="positive","b",IF(R1205="positive","c","d")))))</x:f>
        <x:v>d</x:v>
      </x:c>
      <x:c r="V1205" s="12"/>
      <x:c r="W1205" s="12" t="str">
        <x:v>negative</x:v>
      </x:c>
      <x:c r="X1205" s="12"/>
      <x:c r="Y1205" s="12" t="str">
        <x:v>negative</x:v>
      </x:c>
      <x:c r="Z1205" s="12" t="str">
        <x:f>IF(OR(W1205="unavailable",Y1205="unavailable"),"不可评价",IF(OR(W1205="equivocal",Y1205="equivocal"),"疑似",IF(AND(W1205="positive",Y1205="positive"),"a",IF(Y1205="positive","b",IF(W1205="positive","c","d")))))</x:f>
        <x:v>d</x:v>
      </x:c>
      <x:c r="AA1205" s="12" t="str">
        <x:f>IF(OR(M1205="unavailable",O1205="unavailable"),"不可评价",IF(AND(OR(M1205="positive",M1205="equivocal"),OR(O1205="positive",O1205="equivocal")),"a",IF(OR(O1205="positive",O1205="equivocal"),"b",IF(OR(M1205="positive",M1205="equivocal"),"c","d"))))</x:f>
        <x:v>d</x:v>
      </x:c>
      <x:c r="AB1205" s="12" t="str">
        <x:f>IF(OR(M1205="unavailable",O1205="unavailable"),"不可评价",IF(AND(M1205="positive",O1205="positive"),"a",IF(O1205="positive","b",IF(M1205="positive","c","d"))))</x:f>
        <x:v>d</x:v>
      </x:c>
      <x:c r="AC1205" s="12" t="str">
        <x:f>IF(OR(R1205="unavailable",T1205="unavailable"),"不可评价",IF(AND(OR(R1205="positive",R1205="equivocal"),OR(T1205="positive",T1205="equivocal")),"a",IF(OR(T1205="positive",T1205="equivocal"),"b",IF(OR(R1205="positive",R1205="equivocal"),"c","d"))))</x:f>
        <x:v>d</x:v>
      </x:c>
      <x:c r="AD1205" s="12" t="str">
        <x:f>IF(OR(R1205="unavailable",T1205="unavailable"),"不可评价",IF(AND(R1205="positive",T1205="positive"),"a",IF(T1205="positive","b",IF(R1205="positive","c","d"))))</x:f>
        <x:v>d</x:v>
      </x:c>
      <x:c r="AE1205" s="12" t="str">
        <x:f>IF(OR(W1205="unavailable",Y1205="unavailable"),"不可评价",IF(AND(OR(W1205="positive",W1205="equivocal"),OR(Y1205="positive",Y1205="equivocal")),"a",IF(OR(Y1205="positive",Y1205="equivocal"),"b",IF(OR(W1205="positive",W1205="equivocal"),"c","d"))))</x:f>
        <x:v>d</x:v>
      </x:c>
      <x:c r="AF1205" s="12" t="str">
        <x:f>IF(OR(W1205="unavailable",Y1205="unavailable"),"不可评价",IF(AND(W1205="positive",Y1205="positive"),"a",IF(Y1205="positive","b",IF(W1205="positive","c","d"))))</x:f>
        <x:v>d</x:v>
      </x:c>
    </x:row>
    <x:row r="1206" ht="39" customHeight="1">
      <x:c r="A1206" s="12" t="str">
        <x:v>10888</x:v>
      </x:c>
      <x:c r="B1206" s="12" t="str">
        <x:v>13868</x:v>
      </x:c>
      <x:c r="C1206" s="21" t="n">
        <x:v>34209.5640625</x:v>
      </x:c>
      <x:c r="D1206" s="12" t="n">
        <x:v>86</x:v>
      </x:c>
      <x:c r="E1206" s="12" t="n">
        <x:v>1</x:v>
      </x:c>
      <x:c r="F1206" s="12" t="str">
        <x:v>存在</x:v>
      </x:c>
      <x:c r="G1206" s="12" t="n">
        <x:v>0</x:v>
      </x:c>
      <x:c r="H1206" s="12" t="str">
        <x:v>{'ILMI': 100.0, 'ASMI': 100.0, '1AVB': 100.0, 'LAFB': 100.0, 'ABQRS': 0.0, 'SR': 0.0}</x:v>
      </x:c>
      <x:c r="I1206" s="12" t="str">
        <x:v>[('SRTH', 100.0), ('FAV', 100.0), ('LAD3', 100.0), ('IMI;AU', 100.0), ('ASMI;AU', 100.0), ('AB', 100.0)]</x:v>
      </x:c>
      <x:c r="J1206" s="12" t="str">
        <x:v>ptbxl_database.csv；ecg_id=10888；scp_codes</x:v>
      </x:c>
      <x:c r="K1206" s="12" t="str">
        <x:v>12sl_statements.csv；ecg_id=10888；statements_ext_snomed</x:v>
      </x:c>
      <x:c r="L1206" s="12"/>
      <x:c r="M1206" s="12" t="str">
        <x:v>negative</x:v>
      </x:c>
      <x:c r="N1206" s="12"/>
      <x:c r="O1206" s="12" t="str">
        <x:v>negative</x:v>
      </x:c>
      <x:c r="P1206" s="12" t="str">
        <x:f>IF(OR(M1206="unavailable",O1206="unavailable"),"不可评价",IF(OR(M1206="equivocal",O1206="equivocal"),"疑似",IF(AND(M1206="positive",O1206="positive"),"a",IF(O1206="positive","b",IF(M1206="positive","c","d")))))</x:f>
        <x:v>d</x:v>
      </x:c>
      <x:c r="Q1206" s="12"/>
      <x:c r="R1206" s="12" t="str">
        <x:v>negative</x:v>
      </x:c>
      <x:c r="S1206" s="12"/>
      <x:c r="T1206" s="12" t="str">
        <x:v>negative</x:v>
      </x:c>
      <x:c r="U1206" s="12" t="str">
        <x:f>IF(OR(R1206="unavailable",T1206="unavailable"),"不可评价",IF(OR(R1206="equivocal",T1206="equivocal"),"疑似",IF(AND(R1206="positive",T1206="positive"),"a",IF(T1206="positive","b",IF(R1206="positive","c","d")))))</x:f>
        <x:v>d</x:v>
      </x:c>
      <x:c r="V1206" s="12"/>
      <x:c r="W1206" s="12" t="str">
        <x:v>negative</x:v>
      </x:c>
      <x:c r="X1206" s="12"/>
      <x:c r="Y1206" s="12" t="str">
        <x:v>negative</x:v>
      </x:c>
      <x:c r="Z1206" s="12" t="str">
        <x:f>IF(OR(W1206="unavailable",Y1206="unavailable"),"不可评价",IF(OR(W1206="equivocal",Y1206="equivocal"),"疑似",IF(AND(W1206="positive",Y1206="positive"),"a",IF(Y1206="positive","b",IF(W1206="positive","c","d")))))</x:f>
        <x:v>d</x:v>
      </x:c>
      <x:c r="AA1206" s="12" t="str">
        <x:f>IF(OR(M1206="unavailable",O1206="unavailable"),"不可评价",IF(AND(OR(M1206="positive",M1206="equivocal"),OR(O1206="positive",O1206="equivocal")),"a",IF(OR(O1206="positive",O1206="equivocal"),"b",IF(OR(M1206="positive",M1206="equivocal"),"c","d"))))</x:f>
        <x:v>d</x:v>
      </x:c>
      <x:c r="AB1206" s="12" t="str">
        <x:f>IF(OR(M1206="unavailable",O1206="unavailable"),"不可评价",IF(AND(M1206="positive",O1206="positive"),"a",IF(O1206="positive","b",IF(M1206="positive","c","d"))))</x:f>
        <x:v>d</x:v>
      </x:c>
      <x:c r="AC1206" s="12" t="str">
        <x:f>IF(OR(R1206="unavailable",T1206="unavailable"),"不可评价",IF(AND(OR(R1206="positive",R1206="equivocal"),OR(T1206="positive",T1206="equivocal")),"a",IF(OR(T1206="positive",T1206="equivocal"),"b",IF(OR(R1206="positive",R1206="equivocal"),"c","d"))))</x:f>
        <x:v>d</x:v>
      </x:c>
      <x:c r="AD1206" s="12" t="str">
        <x:f>IF(OR(R1206="unavailable",T1206="unavailable"),"不可评价",IF(AND(R1206="positive",T1206="positive"),"a",IF(T1206="positive","b",IF(R1206="positive","c","d"))))</x:f>
        <x:v>d</x:v>
      </x:c>
      <x:c r="AE1206" s="12" t="str">
        <x:f>IF(OR(W1206="unavailable",Y1206="unavailable"),"不可评价",IF(AND(OR(W1206="positive",W1206="equivocal"),OR(Y1206="positive",Y1206="equivocal")),"a",IF(OR(Y1206="positive",Y1206="equivocal"),"b",IF(OR(W1206="positive",W1206="equivocal"),"c","d"))))</x:f>
        <x:v>d</x:v>
      </x:c>
      <x:c r="AF1206" s="12" t="str">
        <x:f>IF(OR(W1206="unavailable",Y1206="unavailable"),"不可评价",IF(AND(W1206="positive",Y1206="positive"),"a",IF(Y1206="positive","b",IF(W1206="positive","c","d"))))</x:f>
        <x:v>d</x:v>
      </x:c>
    </x:row>
    <x:row r="1207" ht="39" customHeight="1">
      <x:c r="A1207" s="12" t="str">
        <x:v>10902</x:v>
      </x:c>
      <x:c r="B1207" s="12" t="str">
        <x:v>17568</x:v>
      </x:c>
      <x:c r="C1207" s="21" t="n">
        <x:v>34213.53871527778</x:v>
      </x:c>
      <x:c r="D1207" s="12" t="n">
        <x:v>74</x:v>
      </x:c>
      <x:c r="E1207" s="12" t="n">
        <x:v>0</x:v>
      </x:c>
      <x:c r="F1207" s="12" t="str">
        <x:v>未记录</x:v>
      </x:c>
      <x:c r="G1207" s="12" t="n">
        <x:v>0</x:v>
      </x:c>
      <x:c r="H1207" s="12" t="str">
        <x:v>{'IMI': 50.0, 'ASMI': 50.0, 'ISCAL': 100.0, 'IVCD': 100.0, 'PVC': 100.0, 'AFIB': 0.0}</x:v>
      </x:c>
      <x:c r="I1207" s="12" t="str">
        <x:v>[('AFIB', 100.0), ('RVR', 100.0), ('ABER', 100.0), ('LAD3', 100.0), ('ST&amp;', 100.0), ('LT', 100.0), ('AB', 100.0)]</x:v>
      </x:c>
      <x:c r="J1207" s="12" t="str">
        <x:v>ptbxl_database.csv；ecg_id=10902；scp_codes</x:v>
      </x:c>
      <x:c r="K1207" s="12" t="str">
        <x:v>12sl_statements.csv；ecg_id=10902；statements_ext_snomed</x:v>
      </x:c>
      <x:c r="L1207" s="12" t="n">
        <x:v>0</x:v>
      </x:c>
      <x:c r="M1207" s="12" t="str">
        <x:v>positive</x:v>
      </x:c>
      <x:c r="N1207" s="12" t="n">
        <x:v>100</x:v>
      </x:c>
      <x:c r="O1207" s="12" t="str">
        <x:v>positive</x:v>
      </x:c>
      <x:c r="P1207" s="12" t="str">
        <x:f>IF(OR(M1207="unavailable",O1207="unavailable"),"不可评价",IF(OR(M1207="equivocal",O1207="equivocal"),"疑似",IF(AND(M1207="positive",O1207="positive"),"a",IF(O1207="positive","b",IF(M1207="positive","c","d")))))</x:f>
        <x:v>a</x:v>
      </x:c>
      <x:c r="Q1207" s="12"/>
      <x:c r="R1207" s="12" t="str">
        <x:v>negative</x:v>
      </x:c>
      <x:c r="S1207" s="12"/>
      <x:c r="T1207" s="12" t="str">
        <x:v>negative</x:v>
      </x:c>
      <x:c r="U1207" s="12" t="str">
        <x:f>IF(OR(R1207="unavailable",T1207="unavailable"),"不可评价",IF(OR(R1207="equivocal",T1207="equivocal"),"疑似",IF(AND(R1207="positive",T1207="positive"),"a",IF(T1207="positive","b",IF(R1207="positive","c","d")))))</x:f>
        <x:v>d</x:v>
      </x:c>
      <x:c r="V1207" s="12"/>
      <x:c r="W1207" s="12" t="str">
        <x:v>negative</x:v>
      </x:c>
      <x:c r="X1207" s="12"/>
      <x:c r="Y1207" s="12" t="str">
        <x:v>negative</x:v>
      </x:c>
      <x:c r="Z1207" s="12" t="str">
        <x:f>IF(OR(W1207="unavailable",Y1207="unavailable"),"不可评价",IF(OR(W1207="equivocal",Y1207="equivocal"),"疑似",IF(AND(W1207="positive",Y1207="positive"),"a",IF(Y1207="positive","b",IF(W1207="positive","c","d")))))</x:f>
        <x:v>d</x:v>
      </x:c>
      <x:c r="AA1207" s="12" t="str">
        <x:f>IF(OR(M1207="unavailable",O1207="unavailable"),"不可评价",IF(AND(OR(M1207="positive",M1207="equivocal"),OR(O1207="positive",O1207="equivocal")),"a",IF(OR(O1207="positive",O1207="equivocal"),"b",IF(OR(M1207="positive",M1207="equivocal"),"c","d"))))</x:f>
        <x:v>a</x:v>
      </x:c>
      <x:c r="AB1207" s="12" t="str">
        <x:f>IF(OR(M1207="unavailable",O1207="unavailable"),"不可评价",IF(AND(M1207="positive",O1207="positive"),"a",IF(O1207="positive","b",IF(M1207="positive","c","d"))))</x:f>
        <x:v>a</x:v>
      </x:c>
      <x:c r="AC1207" s="12" t="str">
        <x:f>IF(OR(R1207="unavailable",T1207="unavailable"),"不可评价",IF(AND(OR(R1207="positive",R1207="equivocal"),OR(T1207="positive",T1207="equivocal")),"a",IF(OR(T1207="positive",T1207="equivocal"),"b",IF(OR(R1207="positive",R1207="equivocal"),"c","d"))))</x:f>
        <x:v>d</x:v>
      </x:c>
      <x:c r="AD1207" s="12" t="str">
        <x:f>IF(OR(R1207="unavailable",T1207="unavailable"),"不可评价",IF(AND(R1207="positive",T1207="positive"),"a",IF(T1207="positive","b",IF(R1207="positive","c","d"))))</x:f>
        <x:v>d</x:v>
      </x:c>
      <x:c r="AE1207" s="12" t="str">
        <x:f>IF(OR(W1207="unavailable",Y1207="unavailable"),"不可评价",IF(AND(OR(W1207="positive",W1207="equivocal"),OR(Y1207="positive",Y1207="equivocal")),"a",IF(OR(Y1207="positive",Y1207="equivocal"),"b",IF(OR(W1207="positive",W1207="equivocal"),"c","d"))))</x:f>
        <x:v>d</x:v>
      </x:c>
      <x:c r="AF1207" s="12" t="str">
        <x:f>IF(OR(W1207="unavailable",Y1207="unavailable"),"不可评价",IF(AND(W1207="positive",Y1207="positive"),"a",IF(Y1207="positive","b",IF(W1207="positive","c","d"))))</x:f>
        <x:v>d</x:v>
      </x:c>
    </x:row>
    <x:row r="1208" ht="24" customHeight="1">
      <x:c r="A1208" s="12" t="str">
        <x:v>10925</x:v>
      </x:c>
      <x:c r="B1208" s="12" t="str">
        <x:v>17663</x:v>
      </x:c>
      <x:c r="C1208" s="21" t="n">
        <x:v>34216.68902777778</x:v>
      </x:c>
      <x:c r="D1208" s="12" t="n">
        <x:v>74</x:v>
      </x:c>
      <x:c r="E1208" s="12" t="n">
        <x:v>1</x:v>
      </x:c>
      <x:c r="F1208" s="12" t="str">
        <x:v>未记录</x:v>
      </x:c>
      <x:c r="G1208" s="12" t="n">
        <x:v>1</x:v>
      </x:c>
      <x:c r="H1208" s="12" t="str">
        <x:v>{'NDT': 100.0, 'SR': 0.0}</x:v>
      </x:c>
      <x:c r="I1208" s="12" t="str">
        <x:v>[('NSR', 100.0), ('LVH2', 100.0), ('2ST', 100.0), ('AB', 100.0)]</x:v>
      </x:c>
      <x:c r="J1208" s="12" t="str">
        <x:v>ptbxl_database.csv；ecg_id=10925；scp_codes</x:v>
      </x:c>
      <x:c r="K1208" s="12" t="str">
        <x:v>12sl_statements.csv；ecg_id=10925；statements_ext_snomed</x:v>
      </x:c>
      <x:c r="L1208" s="12"/>
      <x:c r="M1208" s="12" t="str">
        <x:v>negative</x:v>
      </x:c>
      <x:c r="N1208" s="12"/>
      <x:c r="O1208" s="12" t="str">
        <x:v>negative</x:v>
      </x:c>
      <x:c r="P1208" s="12" t="str">
        <x:f>IF(OR(M1208="unavailable",O1208="unavailable"),"不可评价",IF(OR(M1208="equivocal",O1208="equivocal"),"疑似",IF(AND(M1208="positive",O1208="positive"),"a",IF(O1208="positive","b",IF(M1208="positive","c","d")))))</x:f>
        <x:v>d</x:v>
      </x:c>
      <x:c r="Q1208" s="12"/>
      <x:c r="R1208" s="12" t="str">
        <x:v>negative</x:v>
      </x:c>
      <x:c r="S1208" s="12"/>
      <x:c r="T1208" s="12" t="str">
        <x:v>negative</x:v>
      </x:c>
      <x:c r="U1208" s="12" t="str">
        <x:f>IF(OR(R1208="unavailable",T1208="unavailable"),"不可评价",IF(OR(R1208="equivocal",T1208="equivocal"),"疑似",IF(AND(R1208="positive",T1208="positive"),"a",IF(T1208="positive","b",IF(R1208="positive","c","d")))))</x:f>
        <x:v>d</x:v>
      </x:c>
      <x:c r="V1208" s="12"/>
      <x:c r="W1208" s="12" t="str">
        <x:v>negative</x:v>
      </x:c>
      <x:c r="X1208" s="12"/>
      <x:c r="Y1208" s="12" t="str">
        <x:v>negative</x:v>
      </x:c>
      <x:c r="Z1208" s="12" t="str">
        <x:f>IF(OR(W1208="unavailable",Y1208="unavailable"),"不可评价",IF(OR(W1208="equivocal",Y1208="equivocal"),"疑似",IF(AND(W1208="positive",Y1208="positive"),"a",IF(Y1208="positive","b",IF(W1208="positive","c","d")))))</x:f>
        <x:v>d</x:v>
      </x:c>
      <x:c r="AA1208" s="12" t="str">
        <x:f>IF(OR(M1208="unavailable",O1208="unavailable"),"不可评价",IF(AND(OR(M1208="positive",M1208="equivocal"),OR(O1208="positive",O1208="equivocal")),"a",IF(OR(O1208="positive",O1208="equivocal"),"b",IF(OR(M1208="positive",M1208="equivocal"),"c","d"))))</x:f>
        <x:v>d</x:v>
      </x:c>
      <x:c r="AB1208" s="12" t="str">
        <x:f>IF(OR(M1208="unavailable",O1208="unavailable"),"不可评价",IF(AND(M1208="positive",O1208="positive"),"a",IF(O1208="positive","b",IF(M1208="positive","c","d"))))</x:f>
        <x:v>d</x:v>
      </x:c>
      <x:c r="AC1208" s="12" t="str">
        <x:f>IF(OR(R1208="unavailable",T1208="unavailable"),"不可评价",IF(AND(OR(R1208="positive",R1208="equivocal"),OR(T1208="positive",T1208="equivocal")),"a",IF(OR(T1208="positive",T1208="equivocal"),"b",IF(OR(R1208="positive",R1208="equivocal"),"c","d"))))</x:f>
        <x:v>d</x:v>
      </x:c>
      <x:c r="AD1208" s="12" t="str">
        <x:f>IF(OR(R1208="unavailable",T1208="unavailable"),"不可评价",IF(AND(R1208="positive",T1208="positive"),"a",IF(T1208="positive","b",IF(R1208="positive","c","d"))))</x:f>
        <x:v>d</x:v>
      </x:c>
      <x:c r="AE1208" s="12" t="str">
        <x:f>IF(OR(W1208="unavailable",Y1208="unavailable"),"不可评价",IF(AND(OR(W1208="positive",W1208="equivocal"),OR(Y1208="positive",Y1208="equivocal")),"a",IF(OR(Y1208="positive",Y1208="equivocal"),"b",IF(OR(W1208="positive",W1208="equivocal"),"c","d"))))</x:f>
        <x:v>d</x:v>
      </x:c>
      <x:c r="AF1208" s="12" t="str">
        <x:f>IF(OR(W1208="unavailable",Y1208="unavailable"),"不可评价",IF(AND(W1208="positive",Y1208="positive"),"a",IF(Y1208="positive","b",IF(W1208="positive","c","d"))))</x:f>
        <x:v>d</x:v>
      </x:c>
    </x:row>
    <x:row r="1209" ht="39" customHeight="1">
      <x:c r="A1209" s="12" t="str">
        <x:v>10950</x:v>
      </x:c>
      <x:c r="B1209" s="12" t="str">
        <x:v>5318</x:v>
      </x:c>
      <x:c r="C1209" s="21" t="n">
        <x:v>34219.6606712963</x:v>
      </x:c>
      <x:c r="D1209" s="12" t="n">
        <x:v>59</x:v>
      </x:c>
      <x:c r="E1209" s="12" t="n">
        <x:v>0</x:v>
      </x:c>
      <x:c r="F1209" s="12" t="str">
        <x:v>未记录</x:v>
      </x:c>
      <x:c r="G1209" s="12" t="n">
        <x:v>1</x:v>
      </x:c>
      <x:c r="H1209" s="12" t="str">
        <x:v>{'ASMI': 100.0, 'LVH': 100.0, 'ISC_': 100.0, 'IVCD': 100.0, 'LAO/LAE': 100.0, 'QWAVE': 0.0, 'STD_': 0.0, 'SR': 0.0}</x:v>
      </x:c>
      <x:c r="I1209" s="12" t="str">
        <x:v>[('SBRAD', 100.0), ('LVH2', 100.0), ('QRSW', 100.0), ('AB', 100.0)]</x:v>
      </x:c>
      <x:c r="J1209" s="12" t="str">
        <x:v>ptbxl_database.csv；ecg_id=10950；scp_codes</x:v>
      </x:c>
      <x:c r="K1209" s="12" t="str">
        <x:v>12sl_statements.csv；ecg_id=10950；statements_ext_snomed</x:v>
      </x:c>
      <x:c r="L1209" s="12"/>
      <x:c r="M1209" s="12" t="str">
        <x:v>negative</x:v>
      </x:c>
      <x:c r="N1209" s="12"/>
      <x:c r="O1209" s="12" t="str">
        <x:v>negative</x:v>
      </x:c>
      <x:c r="P1209" s="12" t="str">
        <x:f>IF(OR(M1209="unavailable",O1209="unavailable"),"不可评价",IF(OR(M1209="equivocal",O1209="equivocal"),"疑似",IF(AND(M1209="positive",O1209="positive"),"a",IF(O1209="positive","b",IF(M1209="positive","c","d")))))</x:f>
        <x:v>d</x:v>
      </x:c>
      <x:c r="Q1209" s="12"/>
      <x:c r="R1209" s="12" t="str">
        <x:v>negative</x:v>
      </x:c>
      <x:c r="S1209" s="12"/>
      <x:c r="T1209" s="12" t="str">
        <x:v>negative</x:v>
      </x:c>
      <x:c r="U1209" s="12" t="str">
        <x:f>IF(OR(R1209="unavailable",T1209="unavailable"),"不可评价",IF(OR(R1209="equivocal",T1209="equivocal"),"疑似",IF(AND(R1209="positive",T1209="positive"),"a",IF(T1209="positive","b",IF(R1209="positive","c","d")))))</x:f>
        <x:v>d</x:v>
      </x:c>
      <x:c r="V1209" s="12"/>
      <x:c r="W1209" s="12" t="str">
        <x:v>negative</x:v>
      </x:c>
      <x:c r="X1209" s="12"/>
      <x:c r="Y1209" s="12" t="str">
        <x:v>negative</x:v>
      </x:c>
      <x:c r="Z1209" s="12" t="str">
        <x:f>IF(OR(W1209="unavailable",Y1209="unavailable"),"不可评价",IF(OR(W1209="equivocal",Y1209="equivocal"),"疑似",IF(AND(W1209="positive",Y1209="positive"),"a",IF(Y1209="positive","b",IF(W1209="positive","c","d")))))</x:f>
        <x:v>d</x:v>
      </x:c>
      <x:c r="AA1209" s="12" t="str">
        <x:f>IF(OR(M1209="unavailable",O1209="unavailable"),"不可评价",IF(AND(OR(M1209="positive",M1209="equivocal"),OR(O1209="positive",O1209="equivocal")),"a",IF(OR(O1209="positive",O1209="equivocal"),"b",IF(OR(M1209="positive",M1209="equivocal"),"c","d"))))</x:f>
        <x:v>d</x:v>
      </x:c>
      <x:c r="AB1209" s="12" t="str">
        <x:f>IF(OR(M1209="unavailable",O1209="unavailable"),"不可评价",IF(AND(M1209="positive",O1209="positive"),"a",IF(O1209="positive","b",IF(M1209="positive","c","d"))))</x:f>
        <x:v>d</x:v>
      </x:c>
      <x:c r="AC1209" s="12" t="str">
        <x:f>IF(OR(R1209="unavailable",T1209="unavailable"),"不可评价",IF(AND(OR(R1209="positive",R1209="equivocal"),OR(T1209="positive",T1209="equivocal")),"a",IF(OR(T1209="positive",T1209="equivocal"),"b",IF(OR(R1209="positive",R1209="equivocal"),"c","d"))))</x:f>
        <x:v>d</x:v>
      </x:c>
      <x:c r="AD1209" s="12" t="str">
        <x:f>IF(OR(R1209="unavailable",T1209="unavailable"),"不可评价",IF(AND(R1209="positive",T1209="positive"),"a",IF(T1209="positive","b",IF(R1209="positive","c","d"))))</x:f>
        <x:v>d</x:v>
      </x:c>
      <x:c r="AE1209" s="12" t="str">
        <x:f>IF(OR(W1209="unavailable",Y1209="unavailable"),"不可评价",IF(AND(OR(W1209="positive",W1209="equivocal"),OR(Y1209="positive",Y1209="equivocal")),"a",IF(OR(Y1209="positive",Y1209="equivocal"),"b",IF(OR(W1209="positive",W1209="equivocal"),"c","d"))))</x:f>
        <x:v>d</x:v>
      </x:c>
      <x:c r="AF1209" s="12" t="str">
        <x:f>IF(OR(W1209="unavailable",Y1209="unavailable"),"不可评价",IF(AND(W1209="positive",Y1209="positive"),"a",IF(Y1209="positive","b",IF(W1209="positive","c","d"))))</x:f>
        <x:v>d</x:v>
      </x:c>
    </x:row>
    <x:row r="1210" ht="24" customHeight="1">
      <x:c r="A1210" s="12" t="str">
        <x:v>10965</x:v>
      </x:c>
      <x:c r="B1210" s="12" t="str">
        <x:v>10725</x:v>
      </x:c>
      <x:c r="C1210" s="21" t="n">
        <x:v>34220.599965277775</x:v>
      </x:c>
      <x:c r="D1210" s="12" t="n">
        <x:v>85</x:v>
      </x:c>
      <x:c r="E1210" s="12" t="n">
        <x:v>1</x:v>
      </x:c>
      <x:c r="F1210" s="12" t="str">
        <x:v>存在</x:v>
      </x:c>
      <x:c r="G1210" s="12" t="n">
        <x:v>0</x:v>
      </x:c>
      <x:c r="H1210" s="12" t="str">
        <x:v>{'ASMI': 15.0, 'IMI': 15.0, 'IRBBB': 100.0, 'PVC': 100.0, 'SR': 0.0}</x:v>
      </x:c>
      <x:c r="I1210" s="12" t="str">
        <x:v>[('SRTH', 100.0), ('PVC', 100.0), ('RBBB', 100.0), ('AB', 100.0)]</x:v>
      </x:c>
      <x:c r="J1210" s="12" t="str">
        <x:v>ptbxl_database.csv；ecg_id=10965；scp_codes</x:v>
      </x:c>
      <x:c r="K1210" s="12" t="str">
        <x:v>12sl_statements.csv；ecg_id=10965；statements_ext_snomed</x:v>
      </x:c>
      <x:c r="L1210" s="12"/>
      <x:c r="M1210" s="12" t="str">
        <x:v>negative</x:v>
      </x:c>
      <x:c r="N1210" s="12"/>
      <x:c r="O1210" s="12" t="str">
        <x:v>negative</x:v>
      </x:c>
      <x:c r="P1210" s="12" t="str">
        <x:f>IF(OR(M1210="unavailable",O1210="unavailable"),"不可评价",IF(OR(M1210="equivocal",O1210="equivocal"),"疑似",IF(AND(M1210="positive",O1210="positive"),"a",IF(O1210="positive","b",IF(M1210="positive","c","d")))))</x:f>
        <x:v>d</x:v>
      </x:c>
      <x:c r="Q1210" s="12"/>
      <x:c r="R1210" s="12" t="str">
        <x:v>negative</x:v>
      </x:c>
      <x:c r="S1210" s="12"/>
      <x:c r="T1210" s="12" t="str">
        <x:v>negative</x:v>
      </x:c>
      <x:c r="U1210" s="12" t="str">
        <x:f>IF(OR(R1210="unavailable",T1210="unavailable"),"不可评价",IF(OR(R1210="equivocal",T1210="equivocal"),"疑似",IF(AND(R1210="positive",T1210="positive"),"a",IF(T1210="positive","b",IF(R1210="positive","c","d")))))</x:f>
        <x:v>d</x:v>
      </x:c>
      <x:c r="V1210" s="12"/>
      <x:c r="W1210" s="12" t="str">
        <x:v>negative</x:v>
      </x:c>
      <x:c r="X1210" s="12" t="n">
        <x:v>100</x:v>
      </x:c>
      <x:c r="Y1210" s="12" t="str">
        <x:v>positive</x:v>
      </x:c>
      <x:c r="Z1210" s="12" t="str">
        <x:f>IF(OR(W1210="unavailable",Y1210="unavailable"),"不可评价",IF(OR(W1210="equivocal",Y1210="equivocal"),"疑似",IF(AND(W1210="positive",Y1210="positive"),"a",IF(Y1210="positive","b",IF(W1210="positive","c","d")))))</x:f>
        <x:v>b</x:v>
      </x:c>
      <x:c r="AA1210" s="12" t="str">
        <x:f>IF(OR(M1210="unavailable",O1210="unavailable"),"不可评价",IF(AND(OR(M1210="positive",M1210="equivocal"),OR(O1210="positive",O1210="equivocal")),"a",IF(OR(O1210="positive",O1210="equivocal"),"b",IF(OR(M1210="positive",M1210="equivocal"),"c","d"))))</x:f>
        <x:v>d</x:v>
      </x:c>
      <x:c r="AB1210" s="12" t="str">
        <x:f>IF(OR(M1210="unavailable",O1210="unavailable"),"不可评价",IF(AND(M1210="positive",O1210="positive"),"a",IF(O1210="positive","b",IF(M1210="positive","c","d"))))</x:f>
        <x:v>d</x:v>
      </x:c>
      <x:c r="AC1210" s="12" t="str">
        <x:f>IF(OR(R1210="unavailable",T1210="unavailable"),"不可评价",IF(AND(OR(R1210="positive",R1210="equivocal"),OR(T1210="positive",T1210="equivocal")),"a",IF(OR(T1210="positive",T1210="equivocal"),"b",IF(OR(R1210="positive",R1210="equivocal"),"c","d"))))</x:f>
        <x:v>d</x:v>
      </x:c>
      <x:c r="AD1210" s="12" t="str">
        <x:f>IF(OR(R1210="unavailable",T1210="unavailable"),"不可评价",IF(AND(R1210="positive",T1210="positive"),"a",IF(T1210="positive","b",IF(R1210="positive","c","d"))))</x:f>
        <x:v>d</x:v>
      </x:c>
      <x:c r="AE1210" s="12" t="str">
        <x:f>IF(OR(W1210="unavailable",Y1210="unavailable"),"不可评价",IF(AND(OR(W1210="positive",W1210="equivocal"),OR(Y1210="positive",Y1210="equivocal")),"a",IF(OR(Y1210="positive",Y1210="equivocal"),"b",IF(OR(W1210="positive",W1210="equivocal"),"c","d"))))</x:f>
        <x:v>b</x:v>
      </x:c>
      <x:c r="AF1210" s="12" t="str">
        <x:f>IF(OR(W1210="unavailable",Y1210="unavailable"),"不可评价",IF(AND(W1210="positive",Y1210="positive"),"a",IF(Y1210="positive","b",IF(W1210="positive","c","d"))))</x:f>
        <x:v>b</x:v>
      </x:c>
    </x:row>
    <x:row r="1211" ht="24" customHeight="1">
      <x:c r="A1211" s="12" t="str">
        <x:v>10970</x:v>
      </x:c>
      <x:c r="B1211" s="12" t="str">
        <x:v>2072</x:v>
      </x:c>
      <x:c r="C1211" s="21" t="n">
        <x:v>34221.429247685184</x:v>
      </x:c>
      <x:c r="D1211" s="12" t="n">
        <x:v>46</x:v>
      </x:c>
      <x:c r="E1211" s="12" t="n">
        <x:v>0</x:v>
      </x:c>
      <x:c r="F1211" s="12" t="str">
        <x:v>未记录</x:v>
      </x:c>
      <x:c r="G1211" s="12" t="n">
        <x:v>1</x:v>
      </x:c>
      <x:c r="H1211" s="12" t="str">
        <x:v>{'NORM': 100.0, 'SR': 0.0}</x:v>
      </x:c>
      <x:c r="I1211" s="12" t="str">
        <x:v>[('NSR', 100.0), ('NML', 100.0)]</x:v>
      </x:c>
      <x:c r="J1211" s="12" t="str">
        <x:v>ptbxl_database.csv；ecg_id=10970；scp_codes</x:v>
      </x:c>
      <x:c r="K1211" s="12" t="str">
        <x:v>12sl_statements.csv；ecg_id=10970；statements_ext_snomed</x:v>
      </x:c>
      <x:c r="L1211" s="12"/>
      <x:c r="M1211" s="12" t="str">
        <x:v>negative</x:v>
      </x:c>
      <x:c r="N1211" s="12"/>
      <x:c r="O1211" s="12" t="str">
        <x:v>negative</x:v>
      </x:c>
      <x:c r="P1211" s="12" t="str">
        <x:f>IF(OR(M1211="unavailable",O1211="unavailable"),"不可评价",IF(OR(M1211="equivocal",O1211="equivocal"),"疑似",IF(AND(M1211="positive",O1211="positive"),"a",IF(O1211="positive","b",IF(M1211="positive","c","d")))))</x:f>
        <x:v>d</x:v>
      </x:c>
      <x:c r="Q1211" s="12"/>
      <x:c r="R1211" s="12" t="str">
        <x:v>negative</x:v>
      </x:c>
      <x:c r="S1211" s="12"/>
      <x:c r="T1211" s="12" t="str">
        <x:v>negative</x:v>
      </x:c>
      <x:c r="U1211" s="12" t="str">
        <x:f>IF(OR(R1211="unavailable",T1211="unavailable"),"不可评价",IF(OR(R1211="equivocal",T1211="equivocal"),"疑似",IF(AND(R1211="positive",T1211="positive"),"a",IF(T1211="positive","b",IF(R1211="positive","c","d")))))</x:f>
        <x:v>d</x:v>
      </x:c>
      <x:c r="V1211" s="12"/>
      <x:c r="W1211" s="12" t="str">
        <x:v>negative</x:v>
      </x:c>
      <x:c r="X1211" s="12"/>
      <x:c r="Y1211" s="12" t="str">
        <x:v>negative</x:v>
      </x:c>
      <x:c r="Z1211" s="12" t="str">
        <x:f>IF(OR(W1211="unavailable",Y1211="unavailable"),"不可评价",IF(OR(W1211="equivocal",Y1211="equivocal"),"疑似",IF(AND(W1211="positive",Y1211="positive"),"a",IF(Y1211="positive","b",IF(W1211="positive","c","d")))))</x:f>
        <x:v>d</x:v>
      </x:c>
      <x:c r="AA1211" s="12" t="str">
        <x:f>IF(OR(M1211="unavailable",O1211="unavailable"),"不可评价",IF(AND(OR(M1211="positive",M1211="equivocal"),OR(O1211="positive",O1211="equivocal")),"a",IF(OR(O1211="positive",O1211="equivocal"),"b",IF(OR(M1211="positive",M1211="equivocal"),"c","d"))))</x:f>
        <x:v>d</x:v>
      </x:c>
      <x:c r="AB1211" s="12" t="str">
        <x:f>IF(OR(M1211="unavailable",O1211="unavailable"),"不可评价",IF(AND(M1211="positive",O1211="positive"),"a",IF(O1211="positive","b",IF(M1211="positive","c","d"))))</x:f>
        <x:v>d</x:v>
      </x:c>
      <x:c r="AC1211" s="12" t="str">
        <x:f>IF(OR(R1211="unavailable",T1211="unavailable"),"不可评价",IF(AND(OR(R1211="positive",R1211="equivocal"),OR(T1211="positive",T1211="equivocal")),"a",IF(OR(T1211="positive",T1211="equivocal"),"b",IF(OR(R1211="positive",R1211="equivocal"),"c","d"))))</x:f>
        <x:v>d</x:v>
      </x:c>
      <x:c r="AD1211" s="12" t="str">
        <x:f>IF(OR(R1211="unavailable",T1211="unavailable"),"不可评价",IF(AND(R1211="positive",T1211="positive"),"a",IF(T1211="positive","b",IF(R1211="positive","c","d"))))</x:f>
        <x:v>d</x:v>
      </x:c>
      <x:c r="AE1211" s="12" t="str">
        <x:f>IF(OR(W1211="unavailable",Y1211="unavailable"),"不可评价",IF(AND(OR(W1211="positive",W1211="equivocal"),OR(Y1211="positive",Y1211="equivocal")),"a",IF(OR(Y1211="positive",Y1211="equivocal"),"b",IF(OR(W1211="positive",W1211="equivocal"),"c","d"))))</x:f>
        <x:v>d</x:v>
      </x:c>
      <x:c r="AF1211" s="12" t="str">
        <x:f>IF(OR(W1211="unavailable",Y1211="unavailable"),"不可评价",IF(AND(W1211="positive",Y1211="positive"),"a",IF(Y1211="positive","b",IF(W1211="positive","c","d"))))</x:f>
        <x:v>d</x:v>
      </x:c>
    </x:row>
    <x:row r="1212" ht="24" customHeight="1">
      <x:c r="A1212" s="12" t="str">
        <x:v>10984</x:v>
      </x:c>
      <x:c r="B1212" s="12" t="str">
        <x:v>1445</x:v>
      </x:c>
      <x:c r="C1212" s="21" t="n">
        <x:v>34223.28642361111</x:v>
      </x:c>
      <x:c r="D1212" s="12" t="n">
        <x:v>70</x:v>
      </x:c>
      <x:c r="E1212" s="12" t="n">
        <x:v>1</x:v>
      </x:c>
      <x:c r="F1212" s="12" t="str">
        <x:v>未记录</x:v>
      </x:c>
      <x:c r="G1212" s="12" t="n">
        <x:v>1</x:v>
      </x:c>
      <x:c r="H1212" s="12" t="str">
        <x:v>{'ASMI': 50.0, 'NST_': 0.0, 'SR': 0.0}</x:v>
      </x:c>
      <x:c r="I1212" s="12" t="str">
        <x:v>[('NSR', 100.0), ('SMI;AU', 100.0), ('AB', 100.0)]</x:v>
      </x:c>
      <x:c r="J1212" s="12" t="str">
        <x:v>ptbxl_database.csv；ecg_id=10984；scp_codes</x:v>
      </x:c>
      <x:c r="K1212" s="12" t="str">
        <x:v>12sl_statements.csv；ecg_id=10984；statements_ext_snomed</x:v>
      </x:c>
      <x:c r="L1212" s="12"/>
      <x:c r="M1212" s="12" t="str">
        <x:v>negative</x:v>
      </x:c>
      <x:c r="N1212" s="12"/>
      <x:c r="O1212" s="12" t="str">
        <x:v>negative</x:v>
      </x:c>
      <x:c r="P1212" s="12" t="str">
        <x:f>IF(OR(M1212="unavailable",O1212="unavailable"),"不可评价",IF(OR(M1212="equivocal",O1212="equivocal"),"疑似",IF(AND(M1212="positive",O1212="positive"),"a",IF(O1212="positive","b",IF(M1212="positive","c","d")))))</x:f>
        <x:v>d</x:v>
      </x:c>
      <x:c r="Q1212" s="12"/>
      <x:c r="R1212" s="12" t="str">
        <x:v>negative</x:v>
      </x:c>
      <x:c r="S1212" s="12"/>
      <x:c r="T1212" s="12" t="str">
        <x:v>negative</x:v>
      </x:c>
      <x:c r="U1212" s="12" t="str">
        <x:f>IF(OR(R1212="unavailable",T1212="unavailable"),"不可评价",IF(OR(R1212="equivocal",T1212="equivocal"),"疑似",IF(AND(R1212="positive",T1212="positive"),"a",IF(T1212="positive","b",IF(R1212="positive","c","d")))))</x:f>
        <x:v>d</x:v>
      </x:c>
      <x:c r="V1212" s="12"/>
      <x:c r="W1212" s="12" t="str">
        <x:v>negative</x:v>
      </x:c>
      <x:c r="X1212" s="12"/>
      <x:c r="Y1212" s="12" t="str">
        <x:v>negative</x:v>
      </x:c>
      <x:c r="Z1212" s="12" t="str">
        <x:f>IF(OR(W1212="unavailable",Y1212="unavailable"),"不可评价",IF(OR(W1212="equivocal",Y1212="equivocal"),"疑似",IF(AND(W1212="positive",Y1212="positive"),"a",IF(Y1212="positive","b",IF(W1212="positive","c","d")))))</x:f>
        <x:v>d</x:v>
      </x:c>
      <x:c r="AA1212" s="12" t="str">
        <x:f>IF(OR(M1212="unavailable",O1212="unavailable"),"不可评价",IF(AND(OR(M1212="positive",M1212="equivocal"),OR(O1212="positive",O1212="equivocal")),"a",IF(OR(O1212="positive",O1212="equivocal"),"b",IF(OR(M1212="positive",M1212="equivocal"),"c","d"))))</x:f>
        <x:v>d</x:v>
      </x:c>
      <x:c r="AB1212" s="12" t="str">
        <x:f>IF(OR(M1212="unavailable",O1212="unavailable"),"不可评价",IF(AND(M1212="positive",O1212="positive"),"a",IF(O1212="positive","b",IF(M1212="positive","c","d"))))</x:f>
        <x:v>d</x:v>
      </x:c>
      <x:c r="AC1212" s="12" t="str">
        <x:f>IF(OR(R1212="unavailable",T1212="unavailable"),"不可评价",IF(AND(OR(R1212="positive",R1212="equivocal"),OR(T1212="positive",T1212="equivocal")),"a",IF(OR(T1212="positive",T1212="equivocal"),"b",IF(OR(R1212="positive",R1212="equivocal"),"c","d"))))</x:f>
        <x:v>d</x:v>
      </x:c>
      <x:c r="AD1212" s="12" t="str">
        <x:f>IF(OR(R1212="unavailable",T1212="unavailable"),"不可评价",IF(AND(R1212="positive",T1212="positive"),"a",IF(T1212="positive","b",IF(R1212="positive","c","d"))))</x:f>
        <x:v>d</x:v>
      </x:c>
      <x:c r="AE1212" s="12" t="str">
        <x:f>IF(OR(W1212="unavailable",Y1212="unavailable"),"不可评价",IF(AND(OR(W1212="positive",W1212="equivocal"),OR(Y1212="positive",Y1212="equivocal")),"a",IF(OR(Y1212="positive",Y1212="equivocal"),"b",IF(OR(W1212="positive",W1212="equivocal"),"c","d"))))</x:f>
        <x:v>d</x:v>
      </x:c>
      <x:c r="AF1212" s="12" t="str">
        <x:f>IF(OR(W1212="unavailable",Y1212="unavailable"),"不可评价",IF(AND(W1212="positive",Y1212="positive"),"a",IF(Y1212="positive","b",IF(W1212="positive","c","d"))))</x:f>
        <x:v>d</x:v>
      </x:c>
    </x:row>
    <x:row r="1213" ht="24" customHeight="1">
      <x:c r="A1213" s="12" t="str">
        <x:v>10990</x:v>
      </x:c>
      <x:c r="B1213" s="12" t="str">
        <x:v>1122</x:v>
      </x:c>
      <x:c r="C1213" s="21" t="n">
        <x:v>34223.457708333335</x:v>
      </x:c>
      <x:c r="D1213" s="12" t="n">
        <x:v>44</x:v>
      </x:c>
      <x:c r="E1213" s="12" t="n">
        <x:v>1</x:v>
      </x:c>
      <x:c r="F1213" s="12" t="str">
        <x:v>未记录</x:v>
      </x:c>
      <x:c r="G1213" s="12" t="n">
        <x:v>1</x:v>
      </x:c>
      <x:c r="H1213" s="12" t="str">
        <x:v>{'NORM': 100.0, 'SR': 0.0}</x:v>
      </x:c>
      <x:c r="I1213" s="12" t="str">
        <x:v>[('NSR', 100.0), ('NML', 100.0)]</x:v>
      </x:c>
      <x:c r="J1213" s="12" t="str">
        <x:v>ptbxl_database.csv；ecg_id=10990；scp_codes</x:v>
      </x:c>
      <x:c r="K1213" s="12" t="str">
        <x:v>12sl_statements.csv；ecg_id=10990；statements_ext_snomed</x:v>
      </x:c>
      <x:c r="L1213" s="12"/>
      <x:c r="M1213" s="12" t="str">
        <x:v>negative</x:v>
      </x:c>
      <x:c r="N1213" s="12"/>
      <x:c r="O1213" s="12" t="str">
        <x:v>negative</x:v>
      </x:c>
      <x:c r="P1213" s="12" t="str">
        <x:f>IF(OR(M1213="unavailable",O1213="unavailable"),"不可评价",IF(OR(M1213="equivocal",O1213="equivocal"),"疑似",IF(AND(M1213="positive",O1213="positive"),"a",IF(O1213="positive","b",IF(M1213="positive","c","d")))))</x:f>
        <x:v>d</x:v>
      </x:c>
      <x:c r="Q1213" s="12"/>
      <x:c r="R1213" s="12" t="str">
        <x:v>negative</x:v>
      </x:c>
      <x:c r="S1213" s="12"/>
      <x:c r="T1213" s="12" t="str">
        <x:v>negative</x:v>
      </x:c>
      <x:c r="U1213" s="12" t="str">
        <x:f>IF(OR(R1213="unavailable",T1213="unavailable"),"不可评价",IF(OR(R1213="equivocal",T1213="equivocal"),"疑似",IF(AND(R1213="positive",T1213="positive"),"a",IF(T1213="positive","b",IF(R1213="positive","c","d")))))</x:f>
        <x:v>d</x:v>
      </x:c>
      <x:c r="V1213" s="12"/>
      <x:c r="W1213" s="12" t="str">
        <x:v>negative</x:v>
      </x:c>
      <x:c r="X1213" s="12"/>
      <x:c r="Y1213" s="12" t="str">
        <x:v>negative</x:v>
      </x:c>
      <x:c r="Z1213" s="12" t="str">
        <x:f>IF(OR(W1213="unavailable",Y1213="unavailable"),"不可评价",IF(OR(W1213="equivocal",Y1213="equivocal"),"疑似",IF(AND(W1213="positive",Y1213="positive"),"a",IF(Y1213="positive","b",IF(W1213="positive","c","d")))))</x:f>
        <x:v>d</x:v>
      </x:c>
      <x:c r="AA1213" s="12" t="str">
        <x:f>IF(OR(M1213="unavailable",O1213="unavailable"),"不可评价",IF(AND(OR(M1213="positive",M1213="equivocal"),OR(O1213="positive",O1213="equivocal")),"a",IF(OR(O1213="positive",O1213="equivocal"),"b",IF(OR(M1213="positive",M1213="equivocal"),"c","d"))))</x:f>
        <x:v>d</x:v>
      </x:c>
      <x:c r="AB1213" s="12" t="str">
        <x:f>IF(OR(M1213="unavailable",O1213="unavailable"),"不可评价",IF(AND(M1213="positive",O1213="positive"),"a",IF(O1213="positive","b",IF(M1213="positive","c","d"))))</x:f>
        <x:v>d</x:v>
      </x:c>
      <x:c r="AC1213" s="12" t="str">
        <x:f>IF(OR(R1213="unavailable",T1213="unavailable"),"不可评价",IF(AND(OR(R1213="positive",R1213="equivocal"),OR(T1213="positive",T1213="equivocal")),"a",IF(OR(T1213="positive",T1213="equivocal"),"b",IF(OR(R1213="positive",R1213="equivocal"),"c","d"))))</x:f>
        <x:v>d</x:v>
      </x:c>
      <x:c r="AD1213" s="12" t="str">
        <x:f>IF(OR(R1213="unavailable",T1213="unavailable"),"不可评价",IF(AND(R1213="positive",T1213="positive"),"a",IF(T1213="positive","b",IF(R1213="positive","c","d"))))</x:f>
        <x:v>d</x:v>
      </x:c>
      <x:c r="AE1213" s="12" t="str">
        <x:f>IF(OR(W1213="unavailable",Y1213="unavailable"),"不可评价",IF(AND(OR(W1213="positive",W1213="equivocal"),OR(Y1213="positive",Y1213="equivocal")),"a",IF(OR(Y1213="positive",Y1213="equivocal"),"b",IF(OR(W1213="positive",W1213="equivocal"),"c","d"))))</x:f>
        <x:v>d</x:v>
      </x:c>
      <x:c r="AF1213" s="12" t="str">
        <x:f>IF(OR(W1213="unavailable",Y1213="unavailable"),"不可评价",IF(AND(W1213="positive",Y1213="positive"),"a",IF(Y1213="positive","b",IF(W1213="positive","c","d"))))</x:f>
        <x:v>d</x:v>
      </x:c>
    </x:row>
    <x:row r="1214" ht="24" customHeight="1">
      <x:c r="A1214" s="12" t="str">
        <x:v>11010</x:v>
      </x:c>
      <x:c r="B1214" s="12" t="str">
        <x:v>21694</x:v>
      </x:c>
      <x:c r="C1214" s="21" t="n">
        <x:v>34225.43604166667</x:v>
      </x:c>
      <x:c r="D1214" s="12" t="n">
        <x:v>82</x:v>
      </x:c>
      <x:c r="E1214" s="12" t="n">
        <x:v>1</x:v>
      </x:c>
      <x:c r="F1214" s="12" t="str">
        <x:v>存在</x:v>
      </x:c>
      <x:c r="G1214" s="12" t="n">
        <x:v>1</x:v>
      </x:c>
      <x:c r="H1214" s="12" t="str">
        <x:v>{'ILMI': 100.0, 'ABQRS': 0.0, 'SR': 0.0}</x:v>
      </x:c>
      <x:c r="I1214" s="12" t="str">
        <x:v>[('SBRAD', 100.0), ('IMI;AU', 100.0), ('ASMI;AU', 15.0), ('AB', 100.0)]</x:v>
      </x:c>
      <x:c r="J1214" s="12" t="str">
        <x:v>ptbxl_database.csv；ecg_id=11010；scp_codes</x:v>
      </x:c>
      <x:c r="K1214" s="12" t="str">
        <x:v>12sl_statements.csv；ecg_id=11010；statements_ext_snomed</x:v>
      </x:c>
      <x:c r="L1214" s="12"/>
      <x:c r="M1214" s="12" t="str">
        <x:v>negative</x:v>
      </x:c>
      <x:c r="N1214" s="12"/>
      <x:c r="O1214" s="12" t="str">
        <x:v>negative</x:v>
      </x:c>
      <x:c r="P1214" s="12" t="str">
        <x:f>IF(OR(M1214="unavailable",O1214="unavailable"),"不可评价",IF(OR(M1214="equivocal",O1214="equivocal"),"疑似",IF(AND(M1214="positive",O1214="positive"),"a",IF(O1214="positive","b",IF(M1214="positive","c","d")))))</x:f>
        <x:v>d</x:v>
      </x:c>
      <x:c r="Q1214" s="12"/>
      <x:c r="R1214" s="12" t="str">
        <x:v>negative</x:v>
      </x:c>
      <x:c r="S1214" s="12"/>
      <x:c r="T1214" s="12" t="str">
        <x:v>negative</x:v>
      </x:c>
      <x:c r="U1214" s="12" t="str">
        <x:f>IF(OR(R1214="unavailable",T1214="unavailable"),"不可评价",IF(OR(R1214="equivocal",T1214="equivocal"),"疑似",IF(AND(R1214="positive",T1214="positive"),"a",IF(T1214="positive","b",IF(R1214="positive","c","d")))))</x:f>
        <x:v>d</x:v>
      </x:c>
      <x:c r="V1214" s="12"/>
      <x:c r="W1214" s="12" t="str">
        <x:v>negative</x:v>
      </x:c>
      <x:c r="X1214" s="12"/>
      <x:c r="Y1214" s="12" t="str">
        <x:v>negative</x:v>
      </x:c>
      <x:c r="Z1214" s="12" t="str">
        <x:f>IF(OR(W1214="unavailable",Y1214="unavailable"),"不可评价",IF(OR(W1214="equivocal",Y1214="equivocal"),"疑似",IF(AND(W1214="positive",Y1214="positive"),"a",IF(Y1214="positive","b",IF(W1214="positive","c","d")))))</x:f>
        <x:v>d</x:v>
      </x:c>
      <x:c r="AA1214" s="12" t="str">
        <x:f>IF(OR(M1214="unavailable",O1214="unavailable"),"不可评价",IF(AND(OR(M1214="positive",M1214="equivocal"),OR(O1214="positive",O1214="equivocal")),"a",IF(OR(O1214="positive",O1214="equivocal"),"b",IF(OR(M1214="positive",M1214="equivocal"),"c","d"))))</x:f>
        <x:v>d</x:v>
      </x:c>
      <x:c r="AB1214" s="12" t="str">
        <x:f>IF(OR(M1214="unavailable",O1214="unavailable"),"不可评价",IF(AND(M1214="positive",O1214="positive"),"a",IF(O1214="positive","b",IF(M1214="positive","c","d"))))</x:f>
        <x:v>d</x:v>
      </x:c>
      <x:c r="AC1214" s="12" t="str">
        <x:f>IF(OR(R1214="unavailable",T1214="unavailable"),"不可评价",IF(AND(OR(R1214="positive",R1214="equivocal"),OR(T1214="positive",T1214="equivocal")),"a",IF(OR(T1214="positive",T1214="equivocal"),"b",IF(OR(R1214="positive",R1214="equivocal"),"c","d"))))</x:f>
        <x:v>d</x:v>
      </x:c>
      <x:c r="AD1214" s="12" t="str">
        <x:f>IF(OR(R1214="unavailable",T1214="unavailable"),"不可评价",IF(AND(R1214="positive",T1214="positive"),"a",IF(T1214="positive","b",IF(R1214="positive","c","d"))))</x:f>
        <x:v>d</x:v>
      </x:c>
      <x:c r="AE1214" s="12" t="str">
        <x:f>IF(OR(W1214="unavailable",Y1214="unavailable"),"不可评价",IF(AND(OR(W1214="positive",W1214="equivocal"),OR(Y1214="positive",Y1214="equivocal")),"a",IF(OR(Y1214="positive",Y1214="equivocal"),"b",IF(OR(W1214="positive",W1214="equivocal"),"c","d"))))</x:f>
        <x:v>d</x:v>
      </x:c>
      <x:c r="AF1214" s="12" t="str">
        <x:f>IF(OR(W1214="unavailable",Y1214="unavailable"),"不可评价",IF(AND(W1214="positive",Y1214="positive"),"a",IF(Y1214="positive","b",IF(W1214="positive","c","d"))))</x:f>
        <x:v>d</x:v>
      </x:c>
    </x:row>
    <x:row r="1215" ht="24" customHeight="1">
      <x:c r="A1215" s="12" t="str">
        <x:v>11020</x:v>
      </x:c>
      <x:c r="B1215" s="12" t="str">
        <x:v>3855</x:v>
      </x:c>
      <x:c r="C1215" s="21" t="n">
        <x:v>34227.469039351854</x:v>
      </x:c>
      <x:c r="D1215" s="12" t="n">
        <x:v>82</x:v>
      </x:c>
      <x:c r="E1215" s="12" t="n">
        <x:v>1</x:v>
      </x:c>
      <x:c r="F1215" s="12" t="str">
        <x:v>未记录</x:v>
      </x:c>
      <x:c r="G1215" s="12" t="n">
        <x:v>1</x:v>
      </x:c>
      <x:c r="H1215" s="12" t="str">
        <x:v>{'IRBBB': 100.0, 'LAO/LAE': 50.0, 'SR': 0.0}</x:v>
      </x:c>
      <x:c r="I1215" s="12" t="str">
        <x:v>[('NSR', 100.0), ('BORDE', 100.0)]</x:v>
      </x:c>
      <x:c r="J1215" s="12" t="str">
        <x:v>ptbxl_database.csv；ecg_id=11020；scp_codes</x:v>
      </x:c>
      <x:c r="K1215" s="12" t="str">
        <x:v>12sl_statements.csv；ecg_id=11020；statements_ext_snomed</x:v>
      </x:c>
      <x:c r="L1215" s="12"/>
      <x:c r="M1215" s="12" t="str">
        <x:v>negative</x:v>
      </x:c>
      <x:c r="N1215" s="12"/>
      <x:c r="O1215" s="12" t="str">
        <x:v>negative</x:v>
      </x:c>
      <x:c r="P1215" s="12" t="str">
        <x:f>IF(OR(M1215="unavailable",O1215="unavailable"),"不可评价",IF(OR(M1215="equivocal",O1215="equivocal"),"疑似",IF(AND(M1215="positive",O1215="positive"),"a",IF(O1215="positive","b",IF(M1215="positive","c","d")))))</x:f>
        <x:v>d</x:v>
      </x:c>
      <x:c r="Q1215" s="12"/>
      <x:c r="R1215" s="12" t="str">
        <x:v>negative</x:v>
      </x:c>
      <x:c r="S1215" s="12"/>
      <x:c r="T1215" s="12" t="str">
        <x:v>negative</x:v>
      </x:c>
      <x:c r="U1215" s="12" t="str">
        <x:f>IF(OR(R1215="unavailable",T1215="unavailable"),"不可评价",IF(OR(R1215="equivocal",T1215="equivocal"),"疑似",IF(AND(R1215="positive",T1215="positive"),"a",IF(T1215="positive","b",IF(R1215="positive","c","d")))))</x:f>
        <x:v>d</x:v>
      </x:c>
      <x:c r="V1215" s="12"/>
      <x:c r="W1215" s="12" t="str">
        <x:v>negative</x:v>
      </x:c>
      <x:c r="X1215" s="12"/>
      <x:c r="Y1215" s="12" t="str">
        <x:v>negative</x:v>
      </x:c>
      <x:c r="Z1215" s="12" t="str">
        <x:f>IF(OR(W1215="unavailable",Y1215="unavailable"),"不可评价",IF(OR(W1215="equivocal",Y1215="equivocal"),"疑似",IF(AND(W1215="positive",Y1215="positive"),"a",IF(Y1215="positive","b",IF(W1215="positive","c","d")))))</x:f>
        <x:v>d</x:v>
      </x:c>
      <x:c r="AA1215" s="12" t="str">
        <x:f>IF(OR(M1215="unavailable",O1215="unavailable"),"不可评价",IF(AND(OR(M1215="positive",M1215="equivocal"),OR(O1215="positive",O1215="equivocal")),"a",IF(OR(O1215="positive",O1215="equivocal"),"b",IF(OR(M1215="positive",M1215="equivocal"),"c","d"))))</x:f>
        <x:v>d</x:v>
      </x:c>
      <x:c r="AB1215" s="12" t="str">
        <x:f>IF(OR(M1215="unavailable",O1215="unavailable"),"不可评价",IF(AND(M1215="positive",O1215="positive"),"a",IF(O1215="positive","b",IF(M1215="positive","c","d"))))</x:f>
        <x:v>d</x:v>
      </x:c>
      <x:c r="AC1215" s="12" t="str">
        <x:f>IF(OR(R1215="unavailable",T1215="unavailable"),"不可评价",IF(AND(OR(R1215="positive",R1215="equivocal"),OR(T1215="positive",T1215="equivocal")),"a",IF(OR(T1215="positive",T1215="equivocal"),"b",IF(OR(R1215="positive",R1215="equivocal"),"c","d"))))</x:f>
        <x:v>d</x:v>
      </x:c>
      <x:c r="AD1215" s="12" t="str">
        <x:f>IF(OR(R1215="unavailable",T1215="unavailable"),"不可评价",IF(AND(R1215="positive",T1215="positive"),"a",IF(T1215="positive","b",IF(R1215="positive","c","d"))))</x:f>
        <x:v>d</x:v>
      </x:c>
      <x:c r="AE1215" s="12" t="str">
        <x:f>IF(OR(W1215="unavailable",Y1215="unavailable"),"不可评价",IF(AND(OR(W1215="positive",W1215="equivocal"),OR(Y1215="positive",Y1215="equivocal")),"a",IF(OR(Y1215="positive",Y1215="equivocal"),"b",IF(OR(W1215="positive",W1215="equivocal"),"c","d"))))</x:f>
        <x:v>d</x:v>
      </x:c>
      <x:c r="AF1215" s="12" t="str">
        <x:f>IF(OR(W1215="unavailable",Y1215="unavailable"),"不可评价",IF(AND(W1215="positive",Y1215="positive"),"a",IF(Y1215="positive","b",IF(W1215="positive","c","d"))))</x:f>
        <x:v>d</x:v>
      </x:c>
    </x:row>
    <x:row r="1216" ht="24" customHeight="1">
      <x:c r="A1216" s="12" t="str">
        <x:v>11030</x:v>
      </x:c>
      <x:c r="B1216" s="12" t="str">
        <x:v>9410</x:v>
      </x:c>
      <x:c r="C1216" s="21" t="n">
        <x:v>34229.63791666667</x:v>
      </x:c>
      <x:c r="D1216" s="12" t="n">
        <x:v>78</x:v>
      </x:c>
      <x:c r="E1216" s="12" t="n">
        <x:v>1</x:v>
      </x:c>
      <x:c r="F1216" s="12" t="str">
        <x:v>未记录</x:v>
      </x:c>
      <x:c r="G1216" s="12" t="n">
        <x:v>1</x:v>
      </x:c>
      <x:c r="H1216" s="12" t="str">
        <x:v>{'ISCAS': 100.0, 'SR': 0.0}</x:v>
      </x:c>
      <x:c r="I1216" s="12" t="str">
        <x:v>[('NSR', 100.0), ('NSTT', 100.0), ('LNGQT', 100.0), ('AB', 100.0)]</x:v>
      </x:c>
      <x:c r="J1216" s="12" t="str">
        <x:v>ptbxl_database.csv；ecg_id=11030；scp_codes</x:v>
      </x:c>
      <x:c r="K1216" s="12" t="str">
        <x:v>12sl_statements.csv；ecg_id=11030；statements_ext_snomed</x:v>
      </x:c>
      <x:c r="L1216" s="12"/>
      <x:c r="M1216" s="12" t="str">
        <x:v>negative</x:v>
      </x:c>
      <x:c r="N1216" s="12"/>
      <x:c r="O1216" s="12" t="str">
        <x:v>negative</x:v>
      </x:c>
      <x:c r="P1216" s="12" t="str">
        <x:f>IF(OR(M1216="unavailable",O1216="unavailable"),"不可评价",IF(OR(M1216="equivocal",O1216="equivocal"),"疑似",IF(AND(M1216="positive",O1216="positive"),"a",IF(O1216="positive","b",IF(M1216="positive","c","d")))))</x:f>
        <x:v>d</x:v>
      </x:c>
      <x:c r="Q1216" s="12"/>
      <x:c r="R1216" s="12" t="str">
        <x:v>negative</x:v>
      </x:c>
      <x:c r="S1216" s="12"/>
      <x:c r="T1216" s="12" t="str">
        <x:v>negative</x:v>
      </x:c>
      <x:c r="U1216" s="12" t="str">
        <x:f>IF(OR(R1216="unavailable",T1216="unavailable"),"不可评价",IF(OR(R1216="equivocal",T1216="equivocal"),"疑似",IF(AND(R1216="positive",T1216="positive"),"a",IF(T1216="positive","b",IF(R1216="positive","c","d")))))</x:f>
        <x:v>d</x:v>
      </x:c>
      <x:c r="V1216" s="12"/>
      <x:c r="W1216" s="12" t="str">
        <x:v>negative</x:v>
      </x:c>
      <x:c r="X1216" s="12"/>
      <x:c r="Y1216" s="12" t="str">
        <x:v>negative</x:v>
      </x:c>
      <x:c r="Z1216" s="12" t="str">
        <x:f>IF(OR(W1216="unavailable",Y1216="unavailable"),"不可评价",IF(OR(W1216="equivocal",Y1216="equivocal"),"疑似",IF(AND(W1216="positive",Y1216="positive"),"a",IF(Y1216="positive","b",IF(W1216="positive","c","d")))))</x:f>
        <x:v>d</x:v>
      </x:c>
      <x:c r="AA1216" s="12" t="str">
        <x:f>IF(OR(M1216="unavailable",O1216="unavailable"),"不可评价",IF(AND(OR(M1216="positive",M1216="equivocal"),OR(O1216="positive",O1216="equivocal")),"a",IF(OR(O1216="positive",O1216="equivocal"),"b",IF(OR(M1216="positive",M1216="equivocal"),"c","d"))))</x:f>
        <x:v>d</x:v>
      </x:c>
      <x:c r="AB1216" s="12" t="str">
        <x:f>IF(OR(M1216="unavailable",O1216="unavailable"),"不可评价",IF(AND(M1216="positive",O1216="positive"),"a",IF(O1216="positive","b",IF(M1216="positive","c","d"))))</x:f>
        <x:v>d</x:v>
      </x:c>
      <x:c r="AC1216" s="12" t="str">
        <x:f>IF(OR(R1216="unavailable",T1216="unavailable"),"不可评价",IF(AND(OR(R1216="positive",R1216="equivocal"),OR(T1216="positive",T1216="equivocal")),"a",IF(OR(T1216="positive",T1216="equivocal"),"b",IF(OR(R1216="positive",R1216="equivocal"),"c","d"))))</x:f>
        <x:v>d</x:v>
      </x:c>
      <x:c r="AD1216" s="12" t="str">
        <x:f>IF(OR(R1216="unavailable",T1216="unavailable"),"不可评价",IF(AND(R1216="positive",T1216="positive"),"a",IF(T1216="positive","b",IF(R1216="positive","c","d"))))</x:f>
        <x:v>d</x:v>
      </x:c>
      <x:c r="AE1216" s="12" t="str">
        <x:f>IF(OR(W1216="unavailable",Y1216="unavailable"),"不可评价",IF(AND(OR(W1216="positive",W1216="equivocal"),OR(Y1216="positive",Y1216="equivocal")),"a",IF(OR(Y1216="positive",Y1216="equivocal"),"b",IF(OR(W1216="positive",W1216="equivocal"),"c","d"))))</x:f>
        <x:v>d</x:v>
      </x:c>
      <x:c r="AF1216" s="12" t="str">
        <x:f>IF(OR(W1216="unavailable",Y1216="unavailable"),"不可评价",IF(AND(W1216="positive",Y1216="positive"),"a",IF(Y1216="positive","b",IF(W1216="positive","c","d"))))</x:f>
        <x:v>d</x:v>
      </x:c>
    </x:row>
    <x:row r="1217" ht="24" customHeight="1">
      <x:c r="A1217" s="12" t="str">
        <x:v>11055</x:v>
      </x:c>
      <x:c r="B1217" s="12" t="str">
        <x:v>9219</x:v>
      </x:c>
      <x:c r="C1217" s="21" t="n">
        <x:v>34232.87038194444</x:v>
      </x:c>
      <x:c r="D1217" s="12" t="n">
        <x:v>64</x:v>
      </x:c>
      <x:c r="E1217" s="12" t="n">
        <x:v>0</x:v>
      </x:c>
      <x:c r="F1217" s="12" t="str">
        <x:v>未记录</x:v>
      </x:c>
      <x:c r="G1217" s="12" t="n">
        <x:v>1</x:v>
      </x:c>
      <x:c r="H1217" s="12" t="str">
        <x:v>{'NORM': 100.0, 'SBRAD': 0.0}</x:v>
      </x:c>
      <x:c r="I1217" s="12" t="str">
        <x:v>[('SBRAD', 100.0), ('IVCD', 100.0), ('BORDE', 100.0)]</x:v>
      </x:c>
      <x:c r="J1217" s="12" t="str">
        <x:v>ptbxl_database.csv；ecg_id=11055；scp_codes</x:v>
      </x:c>
      <x:c r="K1217" s="12" t="str">
        <x:v>12sl_statements.csv；ecg_id=11055；statements_ext_snomed</x:v>
      </x:c>
      <x:c r="L1217" s="12"/>
      <x:c r="M1217" s="12" t="str">
        <x:v>negative</x:v>
      </x:c>
      <x:c r="N1217" s="12"/>
      <x:c r="O1217" s="12" t="str">
        <x:v>negative</x:v>
      </x:c>
      <x:c r="P1217" s="12" t="str">
        <x:f>IF(OR(M1217="unavailable",O1217="unavailable"),"不可评价",IF(OR(M1217="equivocal",O1217="equivocal"),"疑似",IF(AND(M1217="positive",O1217="positive"),"a",IF(O1217="positive","b",IF(M1217="positive","c","d")))))</x:f>
        <x:v>d</x:v>
      </x:c>
      <x:c r="Q1217" s="12"/>
      <x:c r="R1217" s="12" t="str">
        <x:v>negative</x:v>
      </x:c>
      <x:c r="S1217" s="12"/>
      <x:c r="T1217" s="12" t="str">
        <x:v>negative</x:v>
      </x:c>
      <x:c r="U1217" s="12" t="str">
        <x:f>IF(OR(R1217="unavailable",T1217="unavailable"),"不可评价",IF(OR(R1217="equivocal",T1217="equivocal"),"疑似",IF(AND(R1217="positive",T1217="positive"),"a",IF(T1217="positive","b",IF(R1217="positive","c","d")))))</x:f>
        <x:v>d</x:v>
      </x:c>
      <x:c r="V1217" s="12"/>
      <x:c r="W1217" s="12" t="str">
        <x:v>negative</x:v>
      </x:c>
      <x:c r="X1217" s="12"/>
      <x:c r="Y1217" s="12" t="str">
        <x:v>negative</x:v>
      </x:c>
      <x:c r="Z1217" s="12" t="str">
        <x:f>IF(OR(W1217="unavailable",Y1217="unavailable"),"不可评价",IF(OR(W1217="equivocal",Y1217="equivocal"),"疑似",IF(AND(W1217="positive",Y1217="positive"),"a",IF(Y1217="positive","b",IF(W1217="positive","c","d")))))</x:f>
        <x:v>d</x:v>
      </x:c>
      <x:c r="AA1217" s="12" t="str">
        <x:f>IF(OR(M1217="unavailable",O1217="unavailable"),"不可评价",IF(AND(OR(M1217="positive",M1217="equivocal"),OR(O1217="positive",O1217="equivocal")),"a",IF(OR(O1217="positive",O1217="equivocal"),"b",IF(OR(M1217="positive",M1217="equivocal"),"c","d"))))</x:f>
        <x:v>d</x:v>
      </x:c>
      <x:c r="AB1217" s="12" t="str">
        <x:f>IF(OR(M1217="unavailable",O1217="unavailable"),"不可评价",IF(AND(M1217="positive",O1217="positive"),"a",IF(O1217="positive","b",IF(M1217="positive","c","d"))))</x:f>
        <x:v>d</x:v>
      </x:c>
      <x:c r="AC1217" s="12" t="str">
        <x:f>IF(OR(R1217="unavailable",T1217="unavailable"),"不可评价",IF(AND(OR(R1217="positive",R1217="equivocal"),OR(T1217="positive",T1217="equivocal")),"a",IF(OR(T1217="positive",T1217="equivocal"),"b",IF(OR(R1217="positive",R1217="equivocal"),"c","d"))))</x:f>
        <x:v>d</x:v>
      </x:c>
      <x:c r="AD1217" s="12" t="str">
        <x:f>IF(OR(R1217="unavailable",T1217="unavailable"),"不可评价",IF(AND(R1217="positive",T1217="positive"),"a",IF(T1217="positive","b",IF(R1217="positive","c","d"))))</x:f>
        <x:v>d</x:v>
      </x:c>
      <x:c r="AE1217" s="12" t="str">
        <x:f>IF(OR(W1217="unavailable",Y1217="unavailable"),"不可评价",IF(AND(OR(W1217="positive",W1217="equivocal"),OR(Y1217="positive",Y1217="equivocal")),"a",IF(OR(Y1217="positive",Y1217="equivocal"),"b",IF(OR(W1217="positive",W1217="equivocal"),"c","d"))))</x:f>
        <x:v>d</x:v>
      </x:c>
      <x:c r="AF1217" s="12" t="str">
        <x:f>IF(OR(W1217="unavailable",Y1217="unavailable"),"不可评价",IF(AND(W1217="positive",Y1217="positive"),"a",IF(Y1217="positive","b",IF(W1217="positive","c","d"))))</x:f>
        <x:v>d</x:v>
      </x:c>
    </x:row>
    <x:row r="1218" ht="24" customHeight="1">
      <x:c r="A1218" s="12" t="str">
        <x:v>11077</x:v>
      </x:c>
      <x:c r="B1218" s="12" t="str">
        <x:v>7623</x:v>
      </x:c>
      <x:c r="C1218" s="21" t="n">
        <x:v>34235.713587962964</x:v>
      </x:c>
      <x:c r="D1218" s="12" t="n">
        <x:v>67</x:v>
      </x:c>
      <x:c r="E1218" s="12" t="n">
        <x:v>0</x:v>
      </x:c>
      <x:c r="F1218" s="12" t="str">
        <x:v>未记录</x:v>
      </x:c>
      <x:c r="G1218" s="12" t="n">
        <x:v>1</x:v>
      </x:c>
      <x:c r="H1218" s="12" t="str">
        <x:v>{'NORM': 100.0}</x:v>
      </x:c>
      <x:c r="I1218" s="12" t="str">
        <x:v>[('SBRAD', 100.0), ('ABR', 100.0)]</x:v>
      </x:c>
      <x:c r="J1218" s="12" t="str">
        <x:v>ptbxl_database.csv；ecg_id=11077；scp_codes</x:v>
      </x:c>
      <x:c r="K1218" s="12" t="str">
        <x:v>12sl_statements.csv；ecg_id=11077；statements_ext_snomed</x:v>
      </x:c>
      <x:c r="L1218" s="12"/>
      <x:c r="M1218" s="12" t="str">
        <x:v>negative</x:v>
      </x:c>
      <x:c r="N1218" s="12"/>
      <x:c r="O1218" s="12" t="str">
        <x:v>negative</x:v>
      </x:c>
      <x:c r="P1218" s="12" t="str">
        <x:f>IF(OR(M1218="unavailable",O1218="unavailable"),"不可评价",IF(OR(M1218="equivocal",O1218="equivocal"),"疑似",IF(AND(M1218="positive",O1218="positive"),"a",IF(O1218="positive","b",IF(M1218="positive","c","d")))))</x:f>
        <x:v>d</x:v>
      </x:c>
      <x:c r="Q1218" s="12"/>
      <x:c r="R1218" s="12" t="str">
        <x:v>negative</x:v>
      </x:c>
      <x:c r="S1218" s="12"/>
      <x:c r="T1218" s="12" t="str">
        <x:v>negative</x:v>
      </x:c>
      <x:c r="U1218" s="12" t="str">
        <x:f>IF(OR(R1218="unavailable",T1218="unavailable"),"不可评价",IF(OR(R1218="equivocal",T1218="equivocal"),"疑似",IF(AND(R1218="positive",T1218="positive"),"a",IF(T1218="positive","b",IF(R1218="positive","c","d")))))</x:f>
        <x:v>d</x:v>
      </x:c>
      <x:c r="V1218" s="12"/>
      <x:c r="W1218" s="12" t="str">
        <x:v>negative</x:v>
      </x:c>
      <x:c r="X1218" s="12"/>
      <x:c r="Y1218" s="12" t="str">
        <x:v>negative</x:v>
      </x:c>
      <x:c r="Z1218" s="12" t="str">
        <x:f>IF(OR(W1218="unavailable",Y1218="unavailable"),"不可评价",IF(OR(W1218="equivocal",Y1218="equivocal"),"疑似",IF(AND(W1218="positive",Y1218="positive"),"a",IF(Y1218="positive","b",IF(W1218="positive","c","d")))))</x:f>
        <x:v>d</x:v>
      </x:c>
      <x:c r="AA1218" s="12" t="str">
        <x:f>IF(OR(M1218="unavailable",O1218="unavailable"),"不可评价",IF(AND(OR(M1218="positive",M1218="equivocal"),OR(O1218="positive",O1218="equivocal")),"a",IF(OR(O1218="positive",O1218="equivocal"),"b",IF(OR(M1218="positive",M1218="equivocal"),"c","d"))))</x:f>
        <x:v>d</x:v>
      </x:c>
      <x:c r="AB1218" s="12" t="str">
        <x:f>IF(OR(M1218="unavailable",O1218="unavailable"),"不可评价",IF(AND(M1218="positive",O1218="positive"),"a",IF(O1218="positive","b",IF(M1218="positive","c","d"))))</x:f>
        <x:v>d</x:v>
      </x:c>
      <x:c r="AC1218" s="12" t="str">
        <x:f>IF(OR(R1218="unavailable",T1218="unavailable"),"不可评价",IF(AND(OR(R1218="positive",R1218="equivocal"),OR(T1218="positive",T1218="equivocal")),"a",IF(OR(T1218="positive",T1218="equivocal"),"b",IF(OR(R1218="positive",R1218="equivocal"),"c","d"))))</x:f>
        <x:v>d</x:v>
      </x:c>
      <x:c r="AD1218" s="12" t="str">
        <x:f>IF(OR(R1218="unavailable",T1218="unavailable"),"不可评价",IF(AND(R1218="positive",T1218="positive"),"a",IF(T1218="positive","b",IF(R1218="positive","c","d"))))</x:f>
        <x:v>d</x:v>
      </x:c>
      <x:c r="AE1218" s="12" t="str">
        <x:f>IF(OR(W1218="unavailable",Y1218="unavailable"),"不可评价",IF(AND(OR(W1218="positive",W1218="equivocal"),OR(Y1218="positive",Y1218="equivocal")),"a",IF(OR(Y1218="positive",Y1218="equivocal"),"b",IF(OR(W1218="positive",W1218="equivocal"),"c","d"))))</x:f>
        <x:v>d</x:v>
      </x:c>
      <x:c r="AF1218" s="12" t="str">
        <x:f>IF(OR(W1218="unavailable",Y1218="unavailable"),"不可评价",IF(AND(W1218="positive",Y1218="positive"),"a",IF(Y1218="positive","b",IF(W1218="positive","c","d"))))</x:f>
        <x:v>d</x:v>
      </x:c>
    </x:row>
    <x:row r="1219" ht="24" customHeight="1">
      <x:c r="A1219" s="12" t="str">
        <x:v>11102</x:v>
      </x:c>
      <x:c r="B1219" s="12" t="str">
        <x:v>12772</x:v>
      </x:c>
      <x:c r="C1219" s="21" t="n">
        <x:v>34239.663773148146</x:v>
      </x:c>
      <x:c r="D1219" s="12" t="n">
        <x:v>67</x:v>
      </x:c>
      <x:c r="E1219" s="12" t="n">
        <x:v>1</x:v>
      </x:c>
      <x:c r="F1219" s="12" t="str">
        <x:v>未记录</x:v>
      </x:c>
      <x:c r="G1219" s="12" t="n">
        <x:v>1</x:v>
      </x:c>
      <x:c r="H1219" s="12" t="str">
        <x:v>{'NORM': 80.0, 'SR': 0.0}</x:v>
      </x:c>
      <x:c r="I1219" s="12" t="str">
        <x:v>[('NSR', 100.0), ('NML', 100.0)]</x:v>
      </x:c>
      <x:c r="J1219" s="12" t="str">
        <x:v>ptbxl_database.csv；ecg_id=11102；scp_codes</x:v>
      </x:c>
      <x:c r="K1219" s="12" t="str">
        <x:v>12sl_statements.csv；ecg_id=11102；statements_ext_snomed</x:v>
      </x:c>
      <x:c r="L1219" s="12"/>
      <x:c r="M1219" s="12" t="str">
        <x:v>negative</x:v>
      </x:c>
      <x:c r="N1219" s="12"/>
      <x:c r="O1219" s="12" t="str">
        <x:v>negative</x:v>
      </x:c>
      <x:c r="P1219" s="12" t="str">
        <x:f>IF(OR(M1219="unavailable",O1219="unavailable"),"不可评价",IF(OR(M1219="equivocal",O1219="equivocal"),"疑似",IF(AND(M1219="positive",O1219="positive"),"a",IF(O1219="positive","b",IF(M1219="positive","c","d")))))</x:f>
        <x:v>d</x:v>
      </x:c>
      <x:c r="Q1219" s="12"/>
      <x:c r="R1219" s="12" t="str">
        <x:v>negative</x:v>
      </x:c>
      <x:c r="S1219" s="12"/>
      <x:c r="T1219" s="12" t="str">
        <x:v>negative</x:v>
      </x:c>
      <x:c r="U1219" s="12" t="str">
        <x:f>IF(OR(R1219="unavailable",T1219="unavailable"),"不可评价",IF(OR(R1219="equivocal",T1219="equivocal"),"疑似",IF(AND(R1219="positive",T1219="positive"),"a",IF(T1219="positive","b",IF(R1219="positive","c","d")))))</x:f>
        <x:v>d</x:v>
      </x:c>
      <x:c r="V1219" s="12"/>
      <x:c r="W1219" s="12" t="str">
        <x:v>negative</x:v>
      </x:c>
      <x:c r="X1219" s="12"/>
      <x:c r="Y1219" s="12" t="str">
        <x:v>negative</x:v>
      </x:c>
      <x:c r="Z1219" s="12" t="str">
        <x:f>IF(OR(W1219="unavailable",Y1219="unavailable"),"不可评价",IF(OR(W1219="equivocal",Y1219="equivocal"),"疑似",IF(AND(W1219="positive",Y1219="positive"),"a",IF(Y1219="positive","b",IF(W1219="positive","c","d")))))</x:f>
        <x:v>d</x:v>
      </x:c>
      <x:c r="AA1219" s="12" t="str">
        <x:f>IF(OR(M1219="unavailable",O1219="unavailable"),"不可评价",IF(AND(OR(M1219="positive",M1219="equivocal"),OR(O1219="positive",O1219="equivocal")),"a",IF(OR(O1219="positive",O1219="equivocal"),"b",IF(OR(M1219="positive",M1219="equivocal"),"c","d"))))</x:f>
        <x:v>d</x:v>
      </x:c>
      <x:c r="AB1219" s="12" t="str">
        <x:f>IF(OR(M1219="unavailable",O1219="unavailable"),"不可评价",IF(AND(M1219="positive",O1219="positive"),"a",IF(O1219="positive","b",IF(M1219="positive","c","d"))))</x:f>
        <x:v>d</x:v>
      </x:c>
      <x:c r="AC1219" s="12" t="str">
        <x:f>IF(OR(R1219="unavailable",T1219="unavailable"),"不可评价",IF(AND(OR(R1219="positive",R1219="equivocal"),OR(T1219="positive",T1219="equivocal")),"a",IF(OR(T1219="positive",T1219="equivocal"),"b",IF(OR(R1219="positive",R1219="equivocal"),"c","d"))))</x:f>
        <x:v>d</x:v>
      </x:c>
      <x:c r="AD1219" s="12" t="str">
        <x:f>IF(OR(R1219="unavailable",T1219="unavailable"),"不可评价",IF(AND(R1219="positive",T1219="positive"),"a",IF(T1219="positive","b",IF(R1219="positive","c","d"))))</x:f>
        <x:v>d</x:v>
      </x:c>
      <x:c r="AE1219" s="12" t="str">
        <x:f>IF(OR(W1219="unavailable",Y1219="unavailable"),"不可评价",IF(AND(OR(W1219="positive",W1219="equivocal"),OR(Y1219="positive",Y1219="equivocal")),"a",IF(OR(Y1219="positive",Y1219="equivocal"),"b",IF(OR(W1219="positive",W1219="equivocal"),"c","d"))))</x:f>
        <x:v>d</x:v>
      </x:c>
      <x:c r="AF1219" s="12" t="str">
        <x:f>IF(OR(W1219="unavailable",Y1219="unavailable"),"不可评价",IF(AND(W1219="positive",Y1219="positive"),"a",IF(Y1219="positive","b",IF(W1219="positive","c","d"))))</x:f>
        <x:v>d</x:v>
      </x:c>
    </x:row>
    <x:row r="1220" ht="24" customHeight="1">
      <x:c r="A1220" s="12" t="str">
        <x:v>11103</x:v>
      </x:c>
      <x:c r="B1220" s="12" t="str">
        <x:v>9129</x:v>
      </x:c>
      <x:c r="C1220" s="21" t="n">
        <x:v>34239.78145833333</x:v>
      </x:c>
      <x:c r="D1220" s="12" t="n">
        <x:v>63</x:v>
      </x:c>
      <x:c r="E1220" s="12" t="n">
        <x:v>0</x:v>
      </x:c>
      <x:c r="F1220" s="12" t="str">
        <x:v>未记录</x:v>
      </x:c>
      <x:c r="G1220" s="12" t="n">
        <x:v>1</x:v>
      </x:c>
      <x:c r="H1220" s="12" t="str">
        <x:v>{'CRBBB': 100.0, 'SBRAD': 0.0}</x:v>
      </x:c>
      <x:c r="I1220" s="12" t="str">
        <x:v>[('SBRAD', 100.0), ('RBBB', 100.0), ('AB', 100.0)]</x:v>
      </x:c>
      <x:c r="J1220" s="12" t="str">
        <x:v>ptbxl_database.csv；ecg_id=11103；scp_codes</x:v>
      </x:c>
      <x:c r="K1220" s="12" t="str">
        <x:v>12sl_statements.csv；ecg_id=11103；statements_ext_snomed</x:v>
      </x:c>
      <x:c r="L1220" s="12"/>
      <x:c r="M1220" s="12" t="str">
        <x:v>negative</x:v>
      </x:c>
      <x:c r="N1220" s="12"/>
      <x:c r="O1220" s="12" t="str">
        <x:v>negative</x:v>
      </x:c>
      <x:c r="P1220" s="12" t="str">
        <x:f>IF(OR(M1220="unavailable",O1220="unavailable"),"不可评价",IF(OR(M1220="equivocal",O1220="equivocal"),"疑似",IF(AND(M1220="positive",O1220="positive"),"a",IF(O1220="positive","b",IF(M1220="positive","c","d")))))</x:f>
        <x:v>d</x:v>
      </x:c>
      <x:c r="Q1220" s="12"/>
      <x:c r="R1220" s="12" t="str">
        <x:v>negative</x:v>
      </x:c>
      <x:c r="S1220" s="12"/>
      <x:c r="T1220" s="12" t="str">
        <x:v>negative</x:v>
      </x:c>
      <x:c r="U1220" s="12" t="str">
        <x:f>IF(OR(R1220="unavailable",T1220="unavailable"),"不可评价",IF(OR(R1220="equivocal",T1220="equivocal"),"疑似",IF(AND(R1220="positive",T1220="positive"),"a",IF(T1220="positive","b",IF(R1220="positive","c","d")))))</x:f>
        <x:v>d</x:v>
      </x:c>
      <x:c r="V1220" s="12" t="n">
        <x:v>100</x:v>
      </x:c>
      <x:c r="W1220" s="12" t="str">
        <x:v>positive</x:v>
      </x:c>
      <x:c r="X1220" s="12" t="n">
        <x:v>100</x:v>
      </x:c>
      <x:c r="Y1220" s="12" t="str">
        <x:v>positive</x:v>
      </x:c>
      <x:c r="Z1220" s="12" t="str">
        <x:f>IF(OR(W1220="unavailable",Y1220="unavailable"),"不可评价",IF(OR(W1220="equivocal",Y1220="equivocal"),"疑似",IF(AND(W1220="positive",Y1220="positive"),"a",IF(Y1220="positive","b",IF(W1220="positive","c","d")))))</x:f>
        <x:v>a</x:v>
      </x:c>
      <x:c r="AA1220" s="12" t="str">
        <x:f>IF(OR(M1220="unavailable",O1220="unavailable"),"不可评价",IF(AND(OR(M1220="positive",M1220="equivocal"),OR(O1220="positive",O1220="equivocal")),"a",IF(OR(O1220="positive",O1220="equivocal"),"b",IF(OR(M1220="positive",M1220="equivocal"),"c","d"))))</x:f>
        <x:v>d</x:v>
      </x:c>
      <x:c r="AB1220" s="12" t="str">
        <x:f>IF(OR(M1220="unavailable",O1220="unavailable"),"不可评价",IF(AND(M1220="positive",O1220="positive"),"a",IF(O1220="positive","b",IF(M1220="positive","c","d"))))</x:f>
        <x:v>d</x:v>
      </x:c>
      <x:c r="AC1220" s="12" t="str">
        <x:f>IF(OR(R1220="unavailable",T1220="unavailable"),"不可评价",IF(AND(OR(R1220="positive",R1220="equivocal"),OR(T1220="positive",T1220="equivocal")),"a",IF(OR(T1220="positive",T1220="equivocal"),"b",IF(OR(R1220="positive",R1220="equivocal"),"c","d"))))</x:f>
        <x:v>d</x:v>
      </x:c>
      <x:c r="AD1220" s="12" t="str">
        <x:f>IF(OR(R1220="unavailable",T1220="unavailable"),"不可评价",IF(AND(R1220="positive",T1220="positive"),"a",IF(T1220="positive","b",IF(R1220="positive","c","d"))))</x:f>
        <x:v>d</x:v>
      </x:c>
      <x:c r="AE1220" s="12" t="str">
        <x:f>IF(OR(W1220="unavailable",Y1220="unavailable"),"不可评价",IF(AND(OR(W1220="positive",W1220="equivocal"),OR(Y1220="positive",Y1220="equivocal")),"a",IF(OR(Y1220="positive",Y1220="equivocal"),"b",IF(OR(W1220="positive",W1220="equivocal"),"c","d"))))</x:f>
        <x:v>a</x:v>
      </x:c>
      <x:c r="AF1220" s="12" t="str">
        <x:f>IF(OR(W1220="unavailable",Y1220="unavailable"),"不可评价",IF(AND(W1220="positive",Y1220="positive"),"a",IF(Y1220="positive","b",IF(W1220="positive","c","d"))))</x:f>
        <x:v>a</x:v>
      </x:c>
    </x:row>
    <x:row r="1221" ht="39" customHeight="1">
      <x:c r="A1221" s="12" t="str">
        <x:v>11108</x:v>
      </x:c>
      <x:c r="B1221" s="12" t="str">
        <x:v>18954</x:v>
      </x:c>
      <x:c r="C1221" s="21" t="n">
        <x:v>34240.56773148148</x:v>
      </x:c>
      <x:c r="D1221" s="12" t="n">
        <x:v>67</x:v>
      </x:c>
      <x:c r="E1221" s="12" t="n">
        <x:v>0</x:v>
      </x:c>
      <x:c r="F1221" s="12" t="str">
        <x:v>存在</x:v>
      </x:c>
      <x:c r="G1221" s="12" t="n">
        <x:v>1</x:v>
      </x:c>
      <x:c r="H1221" s="12" t="str">
        <x:v>{'IMI': 100.0, 'IVCD': 100.0, 'PVC': 100.0, 'ISCLA': 100.0, 'ABQRS': 0.0, 'AFIB': 0.0}</x:v>
      </x:c>
      <x:c r="I1221" s="12" t="str">
        <x:v>[('AFIB', 100.0), ('RVR', 100.0), ('ABER', 100.0), ('LAD3', 100.0), ('ST&amp;', 100.0), ('LT', 100.0), ('AB', 100.0)]</x:v>
      </x:c>
      <x:c r="J1221" s="12" t="str">
        <x:v>ptbxl_database.csv；ecg_id=11108；scp_codes</x:v>
      </x:c>
      <x:c r="K1221" s="12" t="str">
        <x:v>12sl_statements.csv；ecg_id=11108；statements_ext_snomed</x:v>
      </x:c>
      <x:c r="L1221" s="12" t="n">
        <x:v>0</x:v>
      </x:c>
      <x:c r="M1221" s="12" t="str">
        <x:v>positive</x:v>
      </x:c>
      <x:c r="N1221" s="12" t="n">
        <x:v>100</x:v>
      </x:c>
      <x:c r="O1221" s="12" t="str">
        <x:v>positive</x:v>
      </x:c>
      <x:c r="P1221" s="12" t="str">
        <x:f>IF(OR(M1221="unavailable",O1221="unavailable"),"不可评价",IF(OR(M1221="equivocal",O1221="equivocal"),"疑似",IF(AND(M1221="positive",O1221="positive"),"a",IF(O1221="positive","b",IF(M1221="positive","c","d")))))</x:f>
        <x:v>a</x:v>
      </x:c>
      <x:c r="Q1221" s="12"/>
      <x:c r="R1221" s="12" t="str">
        <x:v>negative</x:v>
      </x:c>
      <x:c r="S1221" s="12"/>
      <x:c r="T1221" s="12" t="str">
        <x:v>negative</x:v>
      </x:c>
      <x:c r="U1221" s="12" t="str">
        <x:f>IF(OR(R1221="unavailable",T1221="unavailable"),"不可评价",IF(OR(R1221="equivocal",T1221="equivocal"),"疑似",IF(AND(R1221="positive",T1221="positive"),"a",IF(T1221="positive","b",IF(R1221="positive","c","d")))))</x:f>
        <x:v>d</x:v>
      </x:c>
      <x:c r="V1221" s="12"/>
      <x:c r="W1221" s="12" t="str">
        <x:v>negative</x:v>
      </x:c>
      <x:c r="X1221" s="12"/>
      <x:c r="Y1221" s="12" t="str">
        <x:v>negative</x:v>
      </x:c>
      <x:c r="Z1221" s="12" t="str">
        <x:f>IF(OR(W1221="unavailable",Y1221="unavailable"),"不可评价",IF(OR(W1221="equivocal",Y1221="equivocal"),"疑似",IF(AND(W1221="positive",Y1221="positive"),"a",IF(Y1221="positive","b",IF(W1221="positive","c","d")))))</x:f>
        <x:v>d</x:v>
      </x:c>
      <x:c r="AA1221" s="12" t="str">
        <x:f>IF(OR(M1221="unavailable",O1221="unavailable"),"不可评价",IF(AND(OR(M1221="positive",M1221="equivocal"),OR(O1221="positive",O1221="equivocal")),"a",IF(OR(O1221="positive",O1221="equivocal"),"b",IF(OR(M1221="positive",M1221="equivocal"),"c","d"))))</x:f>
        <x:v>a</x:v>
      </x:c>
      <x:c r="AB1221" s="12" t="str">
        <x:f>IF(OR(M1221="unavailable",O1221="unavailable"),"不可评价",IF(AND(M1221="positive",O1221="positive"),"a",IF(O1221="positive","b",IF(M1221="positive","c","d"))))</x:f>
        <x:v>a</x:v>
      </x:c>
      <x:c r="AC1221" s="12" t="str">
        <x:f>IF(OR(R1221="unavailable",T1221="unavailable"),"不可评价",IF(AND(OR(R1221="positive",R1221="equivocal"),OR(T1221="positive",T1221="equivocal")),"a",IF(OR(T1221="positive",T1221="equivocal"),"b",IF(OR(R1221="positive",R1221="equivocal"),"c","d"))))</x:f>
        <x:v>d</x:v>
      </x:c>
      <x:c r="AD1221" s="12" t="str">
        <x:f>IF(OR(R1221="unavailable",T1221="unavailable"),"不可评价",IF(AND(R1221="positive",T1221="positive"),"a",IF(T1221="positive","b",IF(R1221="positive","c","d"))))</x:f>
        <x:v>d</x:v>
      </x:c>
      <x:c r="AE1221" s="12" t="str">
        <x:f>IF(OR(W1221="unavailable",Y1221="unavailable"),"不可评价",IF(AND(OR(W1221="positive",W1221="equivocal"),OR(Y1221="positive",Y1221="equivocal")),"a",IF(OR(Y1221="positive",Y1221="equivocal"),"b",IF(OR(W1221="positive",W1221="equivocal"),"c","d"))))</x:f>
        <x:v>d</x:v>
      </x:c>
      <x:c r="AF1221" s="12" t="str">
        <x:f>IF(OR(W1221="unavailable",Y1221="unavailable"),"不可评价",IF(AND(W1221="positive",Y1221="positive"),"a",IF(Y1221="positive","b",IF(W1221="positive","c","d"))))</x:f>
        <x:v>d</x:v>
      </x:c>
    </x:row>
    <x:row r="1222" ht="24" customHeight="1">
      <x:c r="A1222" s="12" t="str">
        <x:v>11113</x:v>
      </x:c>
      <x:c r="B1222" s="12" t="str">
        <x:v>3147</x:v>
      </x:c>
      <x:c r="C1222" s="21" t="n">
        <x:v>34240.808599537035</x:v>
      </x:c>
      <x:c r="D1222" s="12" t="n">
        <x:v>51</x:v>
      </x:c>
      <x:c r="E1222" s="12" t="n">
        <x:v>0</x:v>
      </x:c>
      <x:c r="F1222" s="12" t="str">
        <x:v>存在</x:v>
      </x:c>
      <x:c r="G1222" s="12" t="n">
        <x:v>1</x:v>
      </x:c>
      <x:c r="H1222" s="12" t="str">
        <x:v>{'NORM': 80.0, 'PAC': 0.0, 'SR': 0.0}</x:v>
      </x:c>
      <x:c r="I1222" s="12" t="str">
        <x:v>[('SRTH', 100.0), ('MSAR', 100.0), ('ABR', 100.0)]</x:v>
      </x:c>
      <x:c r="J1222" s="12" t="str">
        <x:v>ptbxl_database.csv；ecg_id=11113；scp_codes</x:v>
      </x:c>
      <x:c r="K1222" s="12" t="str">
        <x:v>12sl_statements.csv；ecg_id=11113；statements_ext_snomed</x:v>
      </x:c>
      <x:c r="L1222" s="12"/>
      <x:c r="M1222" s="12" t="str">
        <x:v>negative</x:v>
      </x:c>
      <x:c r="N1222" s="12"/>
      <x:c r="O1222" s="12" t="str">
        <x:v>negative</x:v>
      </x:c>
      <x:c r="P1222" s="12" t="str">
        <x:f>IF(OR(M1222="unavailable",O1222="unavailable"),"不可评价",IF(OR(M1222="equivocal",O1222="equivocal"),"疑似",IF(AND(M1222="positive",O1222="positive"),"a",IF(O1222="positive","b",IF(M1222="positive","c","d")))))</x:f>
        <x:v>d</x:v>
      </x:c>
      <x:c r="Q1222" s="12"/>
      <x:c r="R1222" s="12" t="str">
        <x:v>negative</x:v>
      </x:c>
      <x:c r="S1222" s="12"/>
      <x:c r="T1222" s="12" t="str">
        <x:v>negative</x:v>
      </x:c>
      <x:c r="U1222" s="12" t="str">
        <x:f>IF(OR(R1222="unavailable",T1222="unavailable"),"不可评价",IF(OR(R1222="equivocal",T1222="equivocal"),"疑似",IF(AND(R1222="positive",T1222="positive"),"a",IF(T1222="positive","b",IF(R1222="positive","c","d")))))</x:f>
        <x:v>d</x:v>
      </x:c>
      <x:c r="V1222" s="12"/>
      <x:c r="W1222" s="12" t="str">
        <x:v>negative</x:v>
      </x:c>
      <x:c r="X1222" s="12"/>
      <x:c r="Y1222" s="12" t="str">
        <x:v>negative</x:v>
      </x:c>
      <x:c r="Z1222" s="12" t="str">
        <x:f>IF(OR(W1222="unavailable",Y1222="unavailable"),"不可评价",IF(OR(W1222="equivocal",Y1222="equivocal"),"疑似",IF(AND(W1222="positive",Y1222="positive"),"a",IF(Y1222="positive","b",IF(W1222="positive","c","d")))))</x:f>
        <x:v>d</x:v>
      </x:c>
      <x:c r="AA1222" s="12" t="str">
        <x:f>IF(OR(M1222="unavailable",O1222="unavailable"),"不可评价",IF(AND(OR(M1222="positive",M1222="equivocal"),OR(O1222="positive",O1222="equivocal")),"a",IF(OR(O1222="positive",O1222="equivocal"),"b",IF(OR(M1222="positive",M1222="equivocal"),"c","d"))))</x:f>
        <x:v>d</x:v>
      </x:c>
      <x:c r="AB1222" s="12" t="str">
        <x:f>IF(OR(M1222="unavailable",O1222="unavailable"),"不可评价",IF(AND(M1222="positive",O1222="positive"),"a",IF(O1222="positive","b",IF(M1222="positive","c","d"))))</x:f>
        <x:v>d</x:v>
      </x:c>
      <x:c r="AC1222" s="12" t="str">
        <x:f>IF(OR(R1222="unavailable",T1222="unavailable"),"不可评价",IF(AND(OR(R1222="positive",R1222="equivocal"),OR(T1222="positive",T1222="equivocal")),"a",IF(OR(T1222="positive",T1222="equivocal"),"b",IF(OR(R1222="positive",R1222="equivocal"),"c","d"))))</x:f>
        <x:v>d</x:v>
      </x:c>
      <x:c r="AD1222" s="12" t="str">
        <x:f>IF(OR(R1222="unavailable",T1222="unavailable"),"不可评价",IF(AND(R1222="positive",T1222="positive"),"a",IF(T1222="positive","b",IF(R1222="positive","c","d"))))</x:f>
        <x:v>d</x:v>
      </x:c>
      <x:c r="AE1222" s="12" t="str">
        <x:f>IF(OR(W1222="unavailable",Y1222="unavailable"),"不可评价",IF(AND(OR(W1222="positive",W1222="equivocal"),OR(Y1222="positive",Y1222="equivocal")),"a",IF(OR(Y1222="positive",Y1222="equivocal"),"b",IF(OR(W1222="positive",W1222="equivocal"),"c","d"))))</x:f>
        <x:v>d</x:v>
      </x:c>
      <x:c r="AF1222" s="12" t="str">
        <x:f>IF(OR(W1222="unavailable",Y1222="unavailable"),"不可评价",IF(AND(W1222="positive",Y1222="positive"),"a",IF(Y1222="positive","b",IF(W1222="positive","c","d"))))</x:f>
        <x:v>d</x:v>
      </x:c>
    </x:row>
    <x:row r="1223" ht="24" customHeight="1">
      <x:c r="A1223" s="12" t="str">
        <x:v>11124</x:v>
      </x:c>
      <x:c r="B1223" s="12" t="str">
        <x:v>7686</x:v>
      </x:c>
      <x:c r="C1223" s="21" t="n">
        <x:v>34242.545115740744</x:v>
      </x:c>
      <x:c r="D1223" s="12" t="n">
        <x:v>28</x:v>
      </x:c>
      <x:c r="E1223" s="12" t="n">
        <x:v>0</x:v>
      </x:c>
      <x:c r="F1223" s="12" t="str">
        <x:v>存在</x:v>
      </x:c>
      <x:c r="G1223" s="12" t="n">
        <x:v>1</x:v>
      </x:c>
      <x:c r="H1223" s="12" t="str">
        <x:v>{'NORM': 100.0, 'SR': 0.0}</x:v>
      </x:c>
      <x:c r="I1223" s="12" t="str">
        <x:v>[('QCERR', 100.0), ('NSR', 100.0), ('NML', 100.0)]</x:v>
      </x:c>
      <x:c r="J1223" s="12" t="str">
        <x:v>ptbxl_database.csv；ecg_id=11124；scp_codes</x:v>
      </x:c>
      <x:c r="K1223" s="12" t="str">
        <x:v>12sl_statements.csv；ecg_id=11124；statements_ext_snomed</x:v>
      </x:c>
      <x:c r="L1223" s="12"/>
      <x:c r="M1223" s="12" t="str">
        <x:v>negative</x:v>
      </x:c>
      <x:c r="N1223" s="12"/>
      <x:c r="O1223" s="12" t="str">
        <x:v>negative</x:v>
      </x:c>
      <x:c r="P1223" s="12" t="str">
        <x:f>IF(OR(M1223="unavailable",O1223="unavailable"),"不可评价",IF(OR(M1223="equivocal",O1223="equivocal"),"疑似",IF(AND(M1223="positive",O1223="positive"),"a",IF(O1223="positive","b",IF(M1223="positive","c","d")))))</x:f>
        <x:v>d</x:v>
      </x:c>
      <x:c r="Q1223" s="12"/>
      <x:c r="R1223" s="12" t="str">
        <x:v>negative</x:v>
      </x:c>
      <x:c r="S1223" s="12"/>
      <x:c r="T1223" s="12" t="str">
        <x:v>negative</x:v>
      </x:c>
      <x:c r="U1223" s="12" t="str">
        <x:f>IF(OR(R1223="unavailable",T1223="unavailable"),"不可评价",IF(OR(R1223="equivocal",T1223="equivocal"),"疑似",IF(AND(R1223="positive",T1223="positive"),"a",IF(T1223="positive","b",IF(R1223="positive","c","d")))))</x:f>
        <x:v>d</x:v>
      </x:c>
      <x:c r="V1223" s="12"/>
      <x:c r="W1223" s="12" t="str">
        <x:v>negative</x:v>
      </x:c>
      <x:c r="X1223" s="12"/>
      <x:c r="Y1223" s="12" t="str">
        <x:v>negative</x:v>
      </x:c>
      <x:c r="Z1223" s="12" t="str">
        <x:f>IF(OR(W1223="unavailable",Y1223="unavailable"),"不可评价",IF(OR(W1223="equivocal",Y1223="equivocal"),"疑似",IF(AND(W1223="positive",Y1223="positive"),"a",IF(Y1223="positive","b",IF(W1223="positive","c","d")))))</x:f>
        <x:v>d</x:v>
      </x:c>
      <x:c r="AA1223" s="12" t="str">
        <x:f>IF(OR(M1223="unavailable",O1223="unavailable"),"不可评价",IF(AND(OR(M1223="positive",M1223="equivocal"),OR(O1223="positive",O1223="equivocal")),"a",IF(OR(O1223="positive",O1223="equivocal"),"b",IF(OR(M1223="positive",M1223="equivocal"),"c","d"))))</x:f>
        <x:v>d</x:v>
      </x:c>
      <x:c r="AB1223" s="12" t="str">
        <x:f>IF(OR(M1223="unavailable",O1223="unavailable"),"不可评价",IF(AND(M1223="positive",O1223="positive"),"a",IF(O1223="positive","b",IF(M1223="positive","c","d"))))</x:f>
        <x:v>d</x:v>
      </x:c>
      <x:c r="AC1223" s="12" t="str">
        <x:f>IF(OR(R1223="unavailable",T1223="unavailable"),"不可评价",IF(AND(OR(R1223="positive",R1223="equivocal"),OR(T1223="positive",T1223="equivocal")),"a",IF(OR(T1223="positive",T1223="equivocal"),"b",IF(OR(R1223="positive",R1223="equivocal"),"c","d"))))</x:f>
        <x:v>d</x:v>
      </x:c>
      <x:c r="AD1223" s="12" t="str">
        <x:f>IF(OR(R1223="unavailable",T1223="unavailable"),"不可评价",IF(AND(R1223="positive",T1223="positive"),"a",IF(T1223="positive","b",IF(R1223="positive","c","d"))))</x:f>
        <x:v>d</x:v>
      </x:c>
      <x:c r="AE1223" s="12" t="str">
        <x:f>IF(OR(W1223="unavailable",Y1223="unavailable"),"不可评价",IF(AND(OR(W1223="positive",W1223="equivocal"),OR(Y1223="positive",Y1223="equivocal")),"a",IF(OR(Y1223="positive",Y1223="equivocal"),"b",IF(OR(W1223="positive",W1223="equivocal"),"c","d"))))</x:f>
        <x:v>d</x:v>
      </x:c>
      <x:c r="AF1223" s="12" t="str">
        <x:f>IF(OR(W1223="unavailable",Y1223="unavailable"),"不可评价",IF(AND(W1223="positive",Y1223="positive"),"a",IF(Y1223="positive","b",IF(W1223="positive","c","d"))))</x:f>
        <x:v>d</x:v>
      </x:c>
    </x:row>
    <x:row r="1224" ht="24" customHeight="1">
      <x:c r="A1224" s="12" t="str">
        <x:v>11125</x:v>
      </x:c>
      <x:c r="B1224" s="12" t="str">
        <x:v>6363</x:v>
      </x:c>
      <x:c r="C1224" s="21" t="n">
        <x:v>34242.548368055555</x:v>
      </x:c>
      <x:c r="D1224" s="12" t="n">
        <x:v>62</x:v>
      </x:c>
      <x:c r="E1224" s="12" t="n">
        <x:v>1</x:v>
      </x:c>
      <x:c r="F1224" s="12" t="str">
        <x:v>未记录</x:v>
      </x:c>
      <x:c r="G1224" s="12" t="n">
        <x:v>1</x:v>
      </x:c>
      <x:c r="H1224" s="12" t="str">
        <x:v>{'IMI': 100.0, 'QWAVE': 0.0, 'SR': 0.0}</x:v>
      </x:c>
      <x:c r="I1224" s="12" t="str">
        <x:v>[('NSR', 100.0), ('IMI;AU', 100.0), ('AB', 100.0)]</x:v>
      </x:c>
      <x:c r="J1224" s="12" t="str">
        <x:v>ptbxl_database.csv；ecg_id=11125；scp_codes</x:v>
      </x:c>
      <x:c r="K1224" s="12" t="str">
        <x:v>12sl_statements.csv；ecg_id=11125；statements_ext_snomed</x:v>
      </x:c>
      <x:c r="L1224" s="12"/>
      <x:c r="M1224" s="12" t="str">
        <x:v>negative</x:v>
      </x:c>
      <x:c r="N1224" s="12"/>
      <x:c r="O1224" s="12" t="str">
        <x:v>negative</x:v>
      </x:c>
      <x:c r="P1224" s="12" t="str">
        <x:f>IF(OR(M1224="unavailable",O1224="unavailable"),"不可评价",IF(OR(M1224="equivocal",O1224="equivocal"),"疑似",IF(AND(M1224="positive",O1224="positive"),"a",IF(O1224="positive","b",IF(M1224="positive","c","d")))))</x:f>
        <x:v>d</x:v>
      </x:c>
      <x:c r="Q1224" s="12"/>
      <x:c r="R1224" s="12" t="str">
        <x:v>negative</x:v>
      </x:c>
      <x:c r="S1224" s="12"/>
      <x:c r="T1224" s="12" t="str">
        <x:v>negative</x:v>
      </x:c>
      <x:c r="U1224" s="12" t="str">
        <x:f>IF(OR(R1224="unavailable",T1224="unavailable"),"不可评价",IF(OR(R1224="equivocal",T1224="equivocal"),"疑似",IF(AND(R1224="positive",T1224="positive"),"a",IF(T1224="positive","b",IF(R1224="positive","c","d")))))</x:f>
        <x:v>d</x:v>
      </x:c>
      <x:c r="V1224" s="12"/>
      <x:c r="W1224" s="12" t="str">
        <x:v>negative</x:v>
      </x:c>
      <x:c r="X1224" s="12"/>
      <x:c r="Y1224" s="12" t="str">
        <x:v>negative</x:v>
      </x:c>
      <x:c r="Z1224" s="12" t="str">
        <x:f>IF(OR(W1224="unavailable",Y1224="unavailable"),"不可评价",IF(OR(W1224="equivocal",Y1224="equivocal"),"疑似",IF(AND(W1224="positive",Y1224="positive"),"a",IF(Y1224="positive","b",IF(W1224="positive","c","d")))))</x:f>
        <x:v>d</x:v>
      </x:c>
      <x:c r="AA1224" s="12" t="str">
        <x:f>IF(OR(M1224="unavailable",O1224="unavailable"),"不可评价",IF(AND(OR(M1224="positive",M1224="equivocal"),OR(O1224="positive",O1224="equivocal")),"a",IF(OR(O1224="positive",O1224="equivocal"),"b",IF(OR(M1224="positive",M1224="equivocal"),"c","d"))))</x:f>
        <x:v>d</x:v>
      </x:c>
      <x:c r="AB1224" s="12" t="str">
        <x:f>IF(OR(M1224="unavailable",O1224="unavailable"),"不可评价",IF(AND(M1224="positive",O1224="positive"),"a",IF(O1224="positive","b",IF(M1224="positive","c","d"))))</x:f>
        <x:v>d</x:v>
      </x:c>
      <x:c r="AC1224" s="12" t="str">
        <x:f>IF(OR(R1224="unavailable",T1224="unavailable"),"不可评价",IF(AND(OR(R1224="positive",R1224="equivocal"),OR(T1224="positive",T1224="equivocal")),"a",IF(OR(T1224="positive",T1224="equivocal"),"b",IF(OR(R1224="positive",R1224="equivocal"),"c","d"))))</x:f>
        <x:v>d</x:v>
      </x:c>
      <x:c r="AD1224" s="12" t="str">
        <x:f>IF(OR(R1224="unavailable",T1224="unavailable"),"不可评价",IF(AND(R1224="positive",T1224="positive"),"a",IF(T1224="positive","b",IF(R1224="positive","c","d"))))</x:f>
        <x:v>d</x:v>
      </x:c>
      <x:c r="AE1224" s="12" t="str">
        <x:f>IF(OR(W1224="unavailable",Y1224="unavailable"),"不可评价",IF(AND(OR(W1224="positive",W1224="equivocal"),OR(Y1224="positive",Y1224="equivocal")),"a",IF(OR(Y1224="positive",Y1224="equivocal"),"b",IF(OR(W1224="positive",W1224="equivocal"),"c","d"))))</x:f>
        <x:v>d</x:v>
      </x:c>
      <x:c r="AF1224" s="12" t="str">
        <x:f>IF(OR(W1224="unavailable",Y1224="unavailable"),"不可评价",IF(AND(W1224="positive",Y1224="positive"),"a",IF(Y1224="positive","b",IF(W1224="positive","c","d"))))</x:f>
        <x:v>d</x:v>
      </x:c>
    </x:row>
    <x:row r="1225" ht="24" customHeight="1">
      <x:c r="A1225" s="12" t="str">
        <x:v>11126</x:v>
      </x:c>
      <x:c r="B1225" s="12" t="str">
        <x:v>2233</x:v>
      </x:c>
      <x:c r="C1225" s="21" t="n">
        <x:v>34242.57420138889</x:v>
      </x:c>
      <x:c r="D1225" s="12" t="n">
        <x:v>53</x:v>
      </x:c>
      <x:c r="E1225" s="12" t="n">
        <x:v>0</x:v>
      </x:c>
      <x:c r="F1225" s="12" t="str">
        <x:v>未记录</x:v>
      </x:c>
      <x:c r="G1225" s="12" t="n">
        <x:v>1</x:v>
      </x:c>
      <x:c r="H1225" s="12" t="str">
        <x:v>{'NORM': 100.0, 'SR': 0.0}</x:v>
      </x:c>
      <x:c r="I1225" s="12" t="str">
        <x:v>[('SBRAD', 100.0), ('ABR', 100.0)]</x:v>
      </x:c>
      <x:c r="J1225" s="12" t="str">
        <x:v>ptbxl_database.csv；ecg_id=11126；scp_codes</x:v>
      </x:c>
      <x:c r="K1225" s="12" t="str">
        <x:v>12sl_statements.csv；ecg_id=11126；statements_ext_snomed</x:v>
      </x:c>
      <x:c r="L1225" s="12"/>
      <x:c r="M1225" s="12" t="str">
        <x:v>negative</x:v>
      </x:c>
      <x:c r="N1225" s="12"/>
      <x:c r="O1225" s="12" t="str">
        <x:v>negative</x:v>
      </x:c>
      <x:c r="P1225" s="12" t="str">
        <x:f>IF(OR(M1225="unavailable",O1225="unavailable"),"不可评价",IF(OR(M1225="equivocal",O1225="equivocal"),"疑似",IF(AND(M1225="positive",O1225="positive"),"a",IF(O1225="positive","b",IF(M1225="positive","c","d")))))</x:f>
        <x:v>d</x:v>
      </x:c>
      <x:c r="Q1225" s="12"/>
      <x:c r="R1225" s="12" t="str">
        <x:v>negative</x:v>
      </x:c>
      <x:c r="S1225" s="12"/>
      <x:c r="T1225" s="12" t="str">
        <x:v>negative</x:v>
      </x:c>
      <x:c r="U1225" s="12" t="str">
        <x:f>IF(OR(R1225="unavailable",T1225="unavailable"),"不可评价",IF(OR(R1225="equivocal",T1225="equivocal"),"疑似",IF(AND(R1225="positive",T1225="positive"),"a",IF(T1225="positive","b",IF(R1225="positive","c","d")))))</x:f>
        <x:v>d</x:v>
      </x:c>
      <x:c r="V1225" s="12"/>
      <x:c r="W1225" s="12" t="str">
        <x:v>negative</x:v>
      </x:c>
      <x:c r="X1225" s="12"/>
      <x:c r="Y1225" s="12" t="str">
        <x:v>negative</x:v>
      </x:c>
      <x:c r="Z1225" s="12" t="str">
        <x:f>IF(OR(W1225="unavailable",Y1225="unavailable"),"不可评价",IF(OR(W1225="equivocal",Y1225="equivocal"),"疑似",IF(AND(W1225="positive",Y1225="positive"),"a",IF(Y1225="positive","b",IF(W1225="positive","c","d")))))</x:f>
        <x:v>d</x:v>
      </x:c>
      <x:c r="AA1225" s="12" t="str">
        <x:f>IF(OR(M1225="unavailable",O1225="unavailable"),"不可评价",IF(AND(OR(M1225="positive",M1225="equivocal"),OR(O1225="positive",O1225="equivocal")),"a",IF(OR(O1225="positive",O1225="equivocal"),"b",IF(OR(M1225="positive",M1225="equivocal"),"c","d"))))</x:f>
        <x:v>d</x:v>
      </x:c>
      <x:c r="AB1225" s="12" t="str">
        <x:f>IF(OR(M1225="unavailable",O1225="unavailable"),"不可评价",IF(AND(M1225="positive",O1225="positive"),"a",IF(O1225="positive","b",IF(M1225="positive","c","d"))))</x:f>
        <x:v>d</x:v>
      </x:c>
      <x:c r="AC1225" s="12" t="str">
        <x:f>IF(OR(R1225="unavailable",T1225="unavailable"),"不可评价",IF(AND(OR(R1225="positive",R1225="equivocal"),OR(T1225="positive",T1225="equivocal")),"a",IF(OR(T1225="positive",T1225="equivocal"),"b",IF(OR(R1225="positive",R1225="equivocal"),"c","d"))))</x:f>
        <x:v>d</x:v>
      </x:c>
      <x:c r="AD1225" s="12" t="str">
        <x:f>IF(OR(R1225="unavailable",T1225="unavailable"),"不可评价",IF(AND(R1225="positive",T1225="positive"),"a",IF(T1225="positive","b",IF(R1225="positive","c","d"))))</x:f>
        <x:v>d</x:v>
      </x:c>
      <x:c r="AE1225" s="12" t="str">
        <x:f>IF(OR(W1225="unavailable",Y1225="unavailable"),"不可评价",IF(AND(OR(W1225="positive",W1225="equivocal"),OR(Y1225="positive",Y1225="equivocal")),"a",IF(OR(Y1225="positive",Y1225="equivocal"),"b",IF(OR(W1225="positive",W1225="equivocal"),"c","d"))))</x:f>
        <x:v>d</x:v>
      </x:c>
      <x:c r="AF1225" s="12" t="str">
        <x:f>IF(OR(W1225="unavailable",Y1225="unavailable"),"不可评价",IF(AND(W1225="positive",Y1225="positive"),"a",IF(Y1225="positive","b",IF(W1225="positive","c","d"))))</x:f>
        <x:v>d</x:v>
      </x:c>
    </x:row>
    <x:row r="1226" ht="24" customHeight="1">
      <x:c r="A1226" s="12" t="str">
        <x:v>11129</x:v>
      </x:c>
      <x:c r="B1226" s="12" t="str">
        <x:v>7227</x:v>
      </x:c>
      <x:c r="C1226" s="21" t="n">
        <x:v>34242.583090277774</x:v>
      </x:c>
      <x:c r="D1226" s="12" t="n">
        <x:v>34</x:v>
      </x:c>
      <x:c r="E1226" s="12" t="n">
        <x:v>1</x:v>
      </x:c>
      <x:c r="F1226" s="12" t="str">
        <x:v>未记录</x:v>
      </x:c>
      <x:c r="G1226" s="12" t="n">
        <x:v>1</x:v>
      </x:c>
      <x:c r="H1226" s="12" t="str">
        <x:v>{'NORM': 100.0, 'SR': 0.0}</x:v>
      </x:c>
      <x:c r="I1226" s="12" t="str">
        <x:v>[('NSR', 100.0), ('NML', 100.0)]</x:v>
      </x:c>
      <x:c r="J1226" s="12" t="str">
        <x:v>ptbxl_database.csv；ecg_id=11129；scp_codes</x:v>
      </x:c>
      <x:c r="K1226" s="12" t="str">
        <x:v>12sl_statements.csv；ecg_id=11129；statements_ext_snomed</x:v>
      </x:c>
      <x:c r="L1226" s="12"/>
      <x:c r="M1226" s="12" t="str">
        <x:v>negative</x:v>
      </x:c>
      <x:c r="N1226" s="12"/>
      <x:c r="O1226" s="12" t="str">
        <x:v>negative</x:v>
      </x:c>
      <x:c r="P1226" s="12" t="str">
        <x:f>IF(OR(M1226="unavailable",O1226="unavailable"),"不可评价",IF(OR(M1226="equivocal",O1226="equivocal"),"疑似",IF(AND(M1226="positive",O1226="positive"),"a",IF(O1226="positive","b",IF(M1226="positive","c","d")))))</x:f>
        <x:v>d</x:v>
      </x:c>
      <x:c r="Q1226" s="12"/>
      <x:c r="R1226" s="12" t="str">
        <x:v>negative</x:v>
      </x:c>
      <x:c r="S1226" s="12"/>
      <x:c r="T1226" s="12" t="str">
        <x:v>negative</x:v>
      </x:c>
      <x:c r="U1226" s="12" t="str">
        <x:f>IF(OR(R1226="unavailable",T1226="unavailable"),"不可评价",IF(OR(R1226="equivocal",T1226="equivocal"),"疑似",IF(AND(R1226="positive",T1226="positive"),"a",IF(T1226="positive","b",IF(R1226="positive","c","d")))))</x:f>
        <x:v>d</x:v>
      </x:c>
      <x:c r="V1226" s="12"/>
      <x:c r="W1226" s="12" t="str">
        <x:v>negative</x:v>
      </x:c>
      <x:c r="X1226" s="12"/>
      <x:c r="Y1226" s="12" t="str">
        <x:v>negative</x:v>
      </x:c>
      <x:c r="Z1226" s="12" t="str">
        <x:f>IF(OR(W1226="unavailable",Y1226="unavailable"),"不可评价",IF(OR(W1226="equivocal",Y1226="equivocal"),"疑似",IF(AND(W1226="positive",Y1226="positive"),"a",IF(Y1226="positive","b",IF(W1226="positive","c","d")))))</x:f>
        <x:v>d</x:v>
      </x:c>
      <x:c r="AA1226" s="12" t="str">
        <x:f>IF(OR(M1226="unavailable",O1226="unavailable"),"不可评价",IF(AND(OR(M1226="positive",M1226="equivocal"),OR(O1226="positive",O1226="equivocal")),"a",IF(OR(O1226="positive",O1226="equivocal"),"b",IF(OR(M1226="positive",M1226="equivocal"),"c","d"))))</x:f>
        <x:v>d</x:v>
      </x:c>
      <x:c r="AB1226" s="12" t="str">
        <x:f>IF(OR(M1226="unavailable",O1226="unavailable"),"不可评价",IF(AND(M1226="positive",O1226="positive"),"a",IF(O1226="positive","b",IF(M1226="positive","c","d"))))</x:f>
        <x:v>d</x:v>
      </x:c>
      <x:c r="AC1226" s="12" t="str">
        <x:f>IF(OR(R1226="unavailable",T1226="unavailable"),"不可评价",IF(AND(OR(R1226="positive",R1226="equivocal"),OR(T1226="positive",T1226="equivocal")),"a",IF(OR(T1226="positive",T1226="equivocal"),"b",IF(OR(R1226="positive",R1226="equivocal"),"c","d"))))</x:f>
        <x:v>d</x:v>
      </x:c>
      <x:c r="AD1226" s="12" t="str">
        <x:f>IF(OR(R1226="unavailable",T1226="unavailable"),"不可评价",IF(AND(R1226="positive",T1226="positive"),"a",IF(T1226="positive","b",IF(R1226="positive","c","d"))))</x:f>
        <x:v>d</x:v>
      </x:c>
      <x:c r="AE1226" s="12" t="str">
        <x:f>IF(OR(W1226="unavailable",Y1226="unavailable"),"不可评价",IF(AND(OR(W1226="positive",W1226="equivocal"),OR(Y1226="positive",Y1226="equivocal")),"a",IF(OR(Y1226="positive",Y1226="equivocal"),"b",IF(OR(W1226="positive",W1226="equivocal"),"c","d"))))</x:f>
        <x:v>d</x:v>
      </x:c>
      <x:c r="AF1226" s="12" t="str">
        <x:f>IF(OR(W1226="unavailable",Y1226="unavailable"),"不可评价",IF(AND(W1226="positive",Y1226="positive"),"a",IF(Y1226="positive","b",IF(W1226="positive","c","d"))))</x:f>
        <x:v>d</x:v>
      </x:c>
    </x:row>
    <x:row r="1227" ht="24" customHeight="1">
      <x:c r="A1227" s="12" t="str">
        <x:v>11132</x:v>
      </x:c>
      <x:c r="B1227" s="12" t="str">
        <x:v>2168</x:v>
      </x:c>
      <x:c r="C1227" s="21" t="n">
        <x:v>34243.36042824074</x:v>
      </x:c>
      <x:c r="D1227" s="12" t="n">
        <x:v>64</x:v>
      </x:c>
      <x:c r="E1227" s="12" t="n">
        <x:v>0</x:v>
      </x:c>
      <x:c r="F1227" s="12" t="str">
        <x:v>未记录</x:v>
      </x:c>
      <x:c r="G1227" s="12" t="n">
        <x:v>1</x:v>
      </x:c>
      <x:c r="H1227" s="12" t="str">
        <x:v>{'LVH': 80.0, 'ISC_': 100.0, 'PAC': 0.0, 'SR': 0.0, 'BIGU': 0.0}</x:v>
      </x:c>
      <x:c r="I1227" s="12" t="str">
        <x:v>[('SBRAD', 100.0), ('PAC', 100.0), ('BIGEM', 100.0), ('ABR', 100.0)]</x:v>
      </x:c>
      <x:c r="J1227" s="12" t="str">
        <x:v>ptbxl_database.csv；ecg_id=11132；scp_codes</x:v>
      </x:c>
      <x:c r="K1227" s="12" t="str">
        <x:v>12sl_statements.csv；ecg_id=11132；statements_ext_snomed</x:v>
      </x:c>
      <x:c r="L1227" s="12"/>
      <x:c r="M1227" s="12" t="str">
        <x:v>negative</x:v>
      </x:c>
      <x:c r="N1227" s="12"/>
      <x:c r="O1227" s="12" t="str">
        <x:v>negative</x:v>
      </x:c>
      <x:c r="P1227" s="12" t="str">
        <x:f>IF(OR(M1227="unavailable",O1227="unavailable"),"不可评价",IF(OR(M1227="equivocal",O1227="equivocal"),"疑似",IF(AND(M1227="positive",O1227="positive"),"a",IF(O1227="positive","b",IF(M1227="positive","c","d")))))</x:f>
        <x:v>d</x:v>
      </x:c>
      <x:c r="Q1227" s="12"/>
      <x:c r="R1227" s="12" t="str">
        <x:v>negative</x:v>
      </x:c>
      <x:c r="S1227" s="12"/>
      <x:c r="T1227" s="12" t="str">
        <x:v>negative</x:v>
      </x:c>
      <x:c r="U1227" s="12" t="str">
        <x:f>IF(OR(R1227="unavailable",T1227="unavailable"),"不可评价",IF(OR(R1227="equivocal",T1227="equivocal"),"疑似",IF(AND(R1227="positive",T1227="positive"),"a",IF(T1227="positive","b",IF(R1227="positive","c","d")))))</x:f>
        <x:v>d</x:v>
      </x:c>
      <x:c r="V1227" s="12"/>
      <x:c r="W1227" s="12" t="str">
        <x:v>negative</x:v>
      </x:c>
      <x:c r="X1227" s="12"/>
      <x:c r="Y1227" s="12" t="str">
        <x:v>negative</x:v>
      </x:c>
      <x:c r="Z1227" s="12" t="str">
        <x:f>IF(OR(W1227="unavailable",Y1227="unavailable"),"不可评价",IF(OR(W1227="equivocal",Y1227="equivocal"),"疑似",IF(AND(W1227="positive",Y1227="positive"),"a",IF(Y1227="positive","b",IF(W1227="positive","c","d")))))</x:f>
        <x:v>d</x:v>
      </x:c>
      <x:c r="AA1227" s="12" t="str">
        <x:f>IF(OR(M1227="unavailable",O1227="unavailable"),"不可评价",IF(AND(OR(M1227="positive",M1227="equivocal"),OR(O1227="positive",O1227="equivocal")),"a",IF(OR(O1227="positive",O1227="equivocal"),"b",IF(OR(M1227="positive",M1227="equivocal"),"c","d"))))</x:f>
        <x:v>d</x:v>
      </x:c>
      <x:c r="AB1227" s="12" t="str">
        <x:f>IF(OR(M1227="unavailable",O1227="unavailable"),"不可评价",IF(AND(M1227="positive",O1227="positive"),"a",IF(O1227="positive","b",IF(M1227="positive","c","d"))))</x:f>
        <x:v>d</x:v>
      </x:c>
      <x:c r="AC1227" s="12" t="str">
        <x:f>IF(OR(R1227="unavailable",T1227="unavailable"),"不可评价",IF(AND(OR(R1227="positive",R1227="equivocal"),OR(T1227="positive",T1227="equivocal")),"a",IF(OR(T1227="positive",T1227="equivocal"),"b",IF(OR(R1227="positive",R1227="equivocal"),"c","d"))))</x:f>
        <x:v>d</x:v>
      </x:c>
      <x:c r="AD1227" s="12" t="str">
        <x:f>IF(OR(R1227="unavailable",T1227="unavailable"),"不可评价",IF(AND(R1227="positive",T1227="positive"),"a",IF(T1227="positive","b",IF(R1227="positive","c","d"))))</x:f>
        <x:v>d</x:v>
      </x:c>
      <x:c r="AE1227" s="12" t="str">
        <x:f>IF(OR(W1227="unavailable",Y1227="unavailable"),"不可评价",IF(AND(OR(W1227="positive",W1227="equivocal"),OR(Y1227="positive",Y1227="equivocal")),"a",IF(OR(Y1227="positive",Y1227="equivocal"),"b",IF(OR(W1227="positive",W1227="equivocal"),"c","d"))))</x:f>
        <x:v>d</x:v>
      </x:c>
      <x:c r="AF1227" s="12" t="str">
        <x:f>IF(OR(W1227="unavailable",Y1227="unavailable"),"不可评价",IF(AND(W1227="positive",Y1227="positive"),"a",IF(Y1227="positive","b",IF(W1227="positive","c","d"))))</x:f>
        <x:v>d</x:v>
      </x:c>
    </x:row>
    <x:row r="1228" ht="39" customHeight="1">
      <x:c r="A1228" s="12" t="str">
        <x:v>11139</x:v>
      </x:c>
      <x:c r="B1228" s="12" t="str">
        <x:v>2474</x:v>
      </x:c>
      <x:c r="C1228" s="21" t="n">
        <x:v>34243.669895833336</x:v>
      </x:c>
      <x:c r="D1228" s="12" t="n">
        <x:v>61</x:v>
      </x:c>
      <x:c r="E1228" s="12" t="n">
        <x:v>0</x:v>
      </x:c>
      <x:c r="F1228" s="12" t="str">
        <x:v>未记录</x:v>
      </x:c>
      <x:c r="G1228" s="12" t="n">
        <x:v>1</x:v>
      </x:c>
      <x:c r="H1228" s="12" t="str">
        <x:v>{'IMI': 100.0, 'LVH': 100.0, 'ISC_': 100.0, 'VCLVH': 0.0, 'QWAVE': 0.0, 'STD_': 0.0, 'SR': 0.0}</x:v>
      </x:c>
      <x:c r="I1228" s="12" t="str">
        <x:v>[('NSR', 100.0), ('LAE', 50.0), ('LVH2', 100.0), ('2ST', 100.0), ('IMI;AU', 15.0), ('ASBINJ', 100.0), ('AB', 100.0)]</x:v>
      </x:c>
      <x:c r="J1228" s="12" t="str">
        <x:v>ptbxl_database.csv；ecg_id=11139；scp_codes</x:v>
      </x:c>
      <x:c r="K1228" s="12" t="str">
        <x:v>12sl_statements.csv；ecg_id=11139；statements_ext_snomed</x:v>
      </x:c>
      <x:c r="L1228" s="12"/>
      <x:c r="M1228" s="12" t="str">
        <x:v>negative</x:v>
      </x:c>
      <x:c r="N1228" s="12"/>
      <x:c r="O1228" s="12" t="str">
        <x:v>negative</x:v>
      </x:c>
      <x:c r="P1228" s="12" t="str">
        <x:f>IF(OR(M1228="unavailable",O1228="unavailable"),"不可评价",IF(OR(M1228="equivocal",O1228="equivocal"),"疑似",IF(AND(M1228="positive",O1228="positive"),"a",IF(O1228="positive","b",IF(M1228="positive","c","d")))))</x:f>
        <x:v>d</x:v>
      </x:c>
      <x:c r="Q1228" s="12"/>
      <x:c r="R1228" s="12" t="str">
        <x:v>negative</x:v>
      </x:c>
      <x:c r="S1228" s="12"/>
      <x:c r="T1228" s="12" t="str">
        <x:v>negative</x:v>
      </x:c>
      <x:c r="U1228" s="12" t="str">
        <x:f>IF(OR(R1228="unavailable",T1228="unavailable"),"不可评价",IF(OR(R1228="equivocal",T1228="equivocal"),"疑似",IF(AND(R1228="positive",T1228="positive"),"a",IF(T1228="positive","b",IF(R1228="positive","c","d")))))</x:f>
        <x:v>d</x:v>
      </x:c>
      <x:c r="V1228" s="12"/>
      <x:c r="W1228" s="12" t="str">
        <x:v>negative</x:v>
      </x:c>
      <x:c r="X1228" s="12"/>
      <x:c r="Y1228" s="12" t="str">
        <x:v>negative</x:v>
      </x:c>
      <x:c r="Z1228" s="12" t="str">
        <x:f>IF(OR(W1228="unavailable",Y1228="unavailable"),"不可评价",IF(OR(W1228="equivocal",Y1228="equivocal"),"疑似",IF(AND(W1228="positive",Y1228="positive"),"a",IF(Y1228="positive","b",IF(W1228="positive","c","d")))))</x:f>
        <x:v>d</x:v>
      </x:c>
      <x:c r="AA1228" s="12" t="str">
        <x:f>IF(OR(M1228="unavailable",O1228="unavailable"),"不可评价",IF(AND(OR(M1228="positive",M1228="equivocal"),OR(O1228="positive",O1228="equivocal")),"a",IF(OR(O1228="positive",O1228="equivocal"),"b",IF(OR(M1228="positive",M1228="equivocal"),"c","d"))))</x:f>
        <x:v>d</x:v>
      </x:c>
      <x:c r="AB1228" s="12" t="str">
        <x:f>IF(OR(M1228="unavailable",O1228="unavailable"),"不可评价",IF(AND(M1228="positive",O1228="positive"),"a",IF(O1228="positive","b",IF(M1228="positive","c","d"))))</x:f>
        <x:v>d</x:v>
      </x:c>
      <x:c r="AC1228" s="12" t="str">
        <x:f>IF(OR(R1228="unavailable",T1228="unavailable"),"不可评价",IF(AND(OR(R1228="positive",R1228="equivocal"),OR(T1228="positive",T1228="equivocal")),"a",IF(OR(T1228="positive",T1228="equivocal"),"b",IF(OR(R1228="positive",R1228="equivocal"),"c","d"))))</x:f>
        <x:v>d</x:v>
      </x:c>
      <x:c r="AD1228" s="12" t="str">
        <x:f>IF(OR(R1228="unavailable",T1228="unavailable"),"不可评价",IF(AND(R1228="positive",T1228="positive"),"a",IF(T1228="positive","b",IF(R1228="positive","c","d"))))</x:f>
        <x:v>d</x:v>
      </x:c>
      <x:c r="AE1228" s="12" t="str">
        <x:f>IF(OR(W1228="unavailable",Y1228="unavailable"),"不可评价",IF(AND(OR(W1228="positive",W1228="equivocal"),OR(Y1228="positive",Y1228="equivocal")),"a",IF(OR(Y1228="positive",Y1228="equivocal"),"b",IF(OR(W1228="positive",W1228="equivocal"),"c","d"))))</x:f>
        <x:v>d</x:v>
      </x:c>
      <x:c r="AF1228" s="12" t="str">
        <x:f>IF(OR(W1228="unavailable",Y1228="unavailable"),"不可评价",IF(AND(W1228="positive",Y1228="positive"),"a",IF(Y1228="positive","b",IF(W1228="positive","c","d"))))</x:f>
        <x:v>d</x:v>
      </x:c>
    </x:row>
    <x:row r="1229" ht="24" customHeight="1">
      <x:c r="A1229" s="12" t="str">
        <x:v>11144</x:v>
      </x:c>
      <x:c r="B1229" s="12" t="str">
        <x:v>1160</x:v>
      </x:c>
      <x:c r="C1229" s="21" t="n">
        <x:v>34244.323217592595</x:v>
      </x:c>
      <x:c r="D1229" s="12" t="n">
        <x:v>55</x:v>
      </x:c>
      <x:c r="E1229" s="12" t="n">
        <x:v>0</x:v>
      </x:c>
      <x:c r="F1229" s="12" t="str">
        <x:v>存在</x:v>
      </x:c>
      <x:c r="G1229" s="12" t="n">
        <x:v>1</x:v>
      </x:c>
      <x:c r="H1229" s="12" t="str">
        <x:v>{'NORM': 100.0, 'SR': 0.0}</x:v>
      </x:c>
      <x:c r="I1229" s="12" t="str">
        <x:v>[('QCERR', 100.0), ('NSR', 100.0), ('NML', 100.0)]</x:v>
      </x:c>
      <x:c r="J1229" s="12" t="str">
        <x:v>ptbxl_database.csv；ecg_id=11144；scp_codes</x:v>
      </x:c>
      <x:c r="K1229" s="12" t="str">
        <x:v>12sl_statements.csv；ecg_id=11144；statements_ext_snomed</x:v>
      </x:c>
      <x:c r="L1229" s="12"/>
      <x:c r="M1229" s="12" t="str">
        <x:v>negative</x:v>
      </x:c>
      <x:c r="N1229" s="12"/>
      <x:c r="O1229" s="12" t="str">
        <x:v>negative</x:v>
      </x:c>
      <x:c r="P1229" s="12" t="str">
        <x:f>IF(OR(M1229="unavailable",O1229="unavailable"),"不可评价",IF(OR(M1229="equivocal",O1229="equivocal"),"疑似",IF(AND(M1229="positive",O1229="positive"),"a",IF(O1229="positive","b",IF(M1229="positive","c","d")))))</x:f>
        <x:v>d</x:v>
      </x:c>
      <x:c r="Q1229" s="12"/>
      <x:c r="R1229" s="12" t="str">
        <x:v>negative</x:v>
      </x:c>
      <x:c r="S1229" s="12"/>
      <x:c r="T1229" s="12" t="str">
        <x:v>negative</x:v>
      </x:c>
      <x:c r="U1229" s="12" t="str">
        <x:f>IF(OR(R1229="unavailable",T1229="unavailable"),"不可评价",IF(OR(R1229="equivocal",T1229="equivocal"),"疑似",IF(AND(R1229="positive",T1229="positive"),"a",IF(T1229="positive","b",IF(R1229="positive","c","d")))))</x:f>
        <x:v>d</x:v>
      </x:c>
      <x:c r="V1229" s="12"/>
      <x:c r="W1229" s="12" t="str">
        <x:v>negative</x:v>
      </x:c>
      <x:c r="X1229" s="12"/>
      <x:c r="Y1229" s="12" t="str">
        <x:v>negative</x:v>
      </x:c>
      <x:c r="Z1229" s="12" t="str">
        <x:f>IF(OR(W1229="unavailable",Y1229="unavailable"),"不可评价",IF(OR(W1229="equivocal",Y1229="equivocal"),"疑似",IF(AND(W1229="positive",Y1229="positive"),"a",IF(Y1229="positive","b",IF(W1229="positive","c","d")))))</x:f>
        <x:v>d</x:v>
      </x:c>
      <x:c r="AA1229" s="12" t="str">
        <x:f>IF(OR(M1229="unavailable",O1229="unavailable"),"不可评价",IF(AND(OR(M1229="positive",M1229="equivocal"),OR(O1229="positive",O1229="equivocal")),"a",IF(OR(O1229="positive",O1229="equivocal"),"b",IF(OR(M1229="positive",M1229="equivocal"),"c","d"))))</x:f>
        <x:v>d</x:v>
      </x:c>
      <x:c r="AB1229" s="12" t="str">
        <x:f>IF(OR(M1229="unavailable",O1229="unavailable"),"不可评价",IF(AND(M1229="positive",O1229="positive"),"a",IF(O1229="positive","b",IF(M1229="positive","c","d"))))</x:f>
        <x:v>d</x:v>
      </x:c>
      <x:c r="AC1229" s="12" t="str">
        <x:f>IF(OR(R1229="unavailable",T1229="unavailable"),"不可评价",IF(AND(OR(R1229="positive",R1229="equivocal"),OR(T1229="positive",T1229="equivocal")),"a",IF(OR(T1229="positive",T1229="equivocal"),"b",IF(OR(R1229="positive",R1229="equivocal"),"c","d"))))</x:f>
        <x:v>d</x:v>
      </x:c>
      <x:c r="AD1229" s="12" t="str">
        <x:f>IF(OR(R1229="unavailable",T1229="unavailable"),"不可评价",IF(AND(R1229="positive",T1229="positive"),"a",IF(T1229="positive","b",IF(R1229="positive","c","d"))))</x:f>
        <x:v>d</x:v>
      </x:c>
      <x:c r="AE1229" s="12" t="str">
        <x:f>IF(OR(W1229="unavailable",Y1229="unavailable"),"不可评价",IF(AND(OR(W1229="positive",W1229="equivocal"),OR(Y1229="positive",Y1229="equivocal")),"a",IF(OR(Y1229="positive",Y1229="equivocal"),"b",IF(OR(W1229="positive",W1229="equivocal"),"c","d"))))</x:f>
        <x:v>d</x:v>
      </x:c>
      <x:c r="AF1229" s="12" t="str">
        <x:f>IF(OR(W1229="unavailable",Y1229="unavailable"),"不可评价",IF(AND(W1229="positive",Y1229="positive"),"a",IF(Y1229="positive","b",IF(W1229="positive","c","d"))))</x:f>
        <x:v>d</x:v>
      </x:c>
    </x:row>
    <x:row r="1230" ht="24" customHeight="1">
      <x:c r="A1230" s="12" t="str">
        <x:v>11152</x:v>
      </x:c>
      <x:c r="B1230" s="12" t="str">
        <x:v>9186</x:v>
      </x:c>
      <x:c r="C1230" s="21" t="n">
        <x:v>34244.5534375</x:v>
      </x:c>
      <x:c r="D1230" s="12" t="n">
        <x:v>65</x:v>
      </x:c>
      <x:c r="E1230" s="12" t="n">
        <x:v>1</x:v>
      </x:c>
      <x:c r="F1230" s="12" t="str">
        <x:v>未记录</x:v>
      </x:c>
      <x:c r="G1230" s="12" t="n">
        <x:v>1</x:v>
      </x:c>
      <x:c r="H1230" s="12" t="str">
        <x:v>{'NORM': 80.0, 'SR': 0.0}</x:v>
      </x:c>
      <x:c r="I1230" s="12" t="str">
        <x:v>[('NSR', 100.0), ('NML', 100.0)]</x:v>
      </x:c>
      <x:c r="J1230" s="12" t="str">
        <x:v>ptbxl_database.csv；ecg_id=11152；scp_codes</x:v>
      </x:c>
      <x:c r="K1230" s="12" t="str">
        <x:v>12sl_statements.csv；ecg_id=11152；statements_ext_snomed</x:v>
      </x:c>
      <x:c r="L1230" s="12"/>
      <x:c r="M1230" s="12" t="str">
        <x:v>negative</x:v>
      </x:c>
      <x:c r="N1230" s="12"/>
      <x:c r="O1230" s="12" t="str">
        <x:v>negative</x:v>
      </x:c>
      <x:c r="P1230" s="12" t="str">
        <x:f>IF(OR(M1230="unavailable",O1230="unavailable"),"不可评价",IF(OR(M1230="equivocal",O1230="equivocal"),"疑似",IF(AND(M1230="positive",O1230="positive"),"a",IF(O1230="positive","b",IF(M1230="positive","c","d")))))</x:f>
        <x:v>d</x:v>
      </x:c>
      <x:c r="Q1230" s="12"/>
      <x:c r="R1230" s="12" t="str">
        <x:v>negative</x:v>
      </x:c>
      <x:c r="S1230" s="12"/>
      <x:c r="T1230" s="12" t="str">
        <x:v>negative</x:v>
      </x:c>
      <x:c r="U1230" s="12" t="str">
        <x:f>IF(OR(R1230="unavailable",T1230="unavailable"),"不可评价",IF(OR(R1230="equivocal",T1230="equivocal"),"疑似",IF(AND(R1230="positive",T1230="positive"),"a",IF(T1230="positive","b",IF(R1230="positive","c","d")))))</x:f>
        <x:v>d</x:v>
      </x:c>
      <x:c r="V1230" s="12"/>
      <x:c r="W1230" s="12" t="str">
        <x:v>negative</x:v>
      </x:c>
      <x:c r="X1230" s="12"/>
      <x:c r="Y1230" s="12" t="str">
        <x:v>negative</x:v>
      </x:c>
      <x:c r="Z1230" s="12" t="str">
        <x:f>IF(OR(W1230="unavailable",Y1230="unavailable"),"不可评价",IF(OR(W1230="equivocal",Y1230="equivocal"),"疑似",IF(AND(W1230="positive",Y1230="positive"),"a",IF(Y1230="positive","b",IF(W1230="positive","c","d")))))</x:f>
        <x:v>d</x:v>
      </x:c>
      <x:c r="AA1230" s="12" t="str">
        <x:f>IF(OR(M1230="unavailable",O1230="unavailable"),"不可评价",IF(AND(OR(M1230="positive",M1230="equivocal"),OR(O1230="positive",O1230="equivocal")),"a",IF(OR(O1230="positive",O1230="equivocal"),"b",IF(OR(M1230="positive",M1230="equivocal"),"c","d"))))</x:f>
        <x:v>d</x:v>
      </x:c>
      <x:c r="AB1230" s="12" t="str">
        <x:f>IF(OR(M1230="unavailable",O1230="unavailable"),"不可评价",IF(AND(M1230="positive",O1230="positive"),"a",IF(O1230="positive","b",IF(M1230="positive","c","d"))))</x:f>
        <x:v>d</x:v>
      </x:c>
      <x:c r="AC1230" s="12" t="str">
        <x:f>IF(OR(R1230="unavailable",T1230="unavailable"),"不可评价",IF(AND(OR(R1230="positive",R1230="equivocal"),OR(T1230="positive",T1230="equivocal")),"a",IF(OR(T1230="positive",T1230="equivocal"),"b",IF(OR(R1230="positive",R1230="equivocal"),"c","d"))))</x:f>
        <x:v>d</x:v>
      </x:c>
      <x:c r="AD1230" s="12" t="str">
        <x:f>IF(OR(R1230="unavailable",T1230="unavailable"),"不可评价",IF(AND(R1230="positive",T1230="positive"),"a",IF(T1230="positive","b",IF(R1230="positive","c","d"))))</x:f>
        <x:v>d</x:v>
      </x:c>
      <x:c r="AE1230" s="12" t="str">
        <x:f>IF(OR(W1230="unavailable",Y1230="unavailable"),"不可评价",IF(AND(OR(W1230="positive",W1230="equivocal"),OR(Y1230="positive",Y1230="equivocal")),"a",IF(OR(Y1230="positive",Y1230="equivocal"),"b",IF(OR(W1230="positive",W1230="equivocal"),"c","d"))))</x:f>
        <x:v>d</x:v>
      </x:c>
      <x:c r="AF1230" s="12" t="str">
        <x:f>IF(OR(W1230="unavailable",Y1230="unavailable"),"不可评价",IF(AND(W1230="positive",Y1230="positive"),"a",IF(Y1230="positive","b",IF(W1230="positive","c","d"))))</x:f>
        <x:v>d</x:v>
      </x:c>
    </x:row>
    <x:row r="1231" ht="24" customHeight="1">
      <x:c r="A1231" s="12" t="str">
        <x:v>11170</x:v>
      </x:c>
      <x:c r="B1231" s="12" t="str">
        <x:v>19786</x:v>
      </x:c>
      <x:c r="C1231" s="21" t="n">
        <x:v>34246.63159722222</x:v>
      </x:c>
      <x:c r="D1231" s="12" t="n">
        <x:v>65</x:v>
      </x:c>
      <x:c r="E1231" s="12" t="n">
        <x:v>0</x:v>
      </x:c>
      <x:c r="F1231" s="12" t="str">
        <x:v>存在</x:v>
      </x:c>
      <x:c r="G1231" s="12" t="n">
        <x:v>1</x:v>
      </x:c>
      <x:c r="H1231" s="12" t="str">
        <x:v>{'IMI': 100.0, 'CRBBB': 100.0, 'ABQRS': 0.0, 'SR': 0.0}</x:v>
      </x:c>
      <x:c r="I1231" s="12" t="str">
        <x:v>[('NSR', 100.0), ('RBBB', 100.0), ('IMI;AU', 100.0), ('AB', 100.0)]</x:v>
      </x:c>
      <x:c r="J1231" s="12" t="str">
        <x:v>ptbxl_database.csv；ecg_id=11170；scp_codes</x:v>
      </x:c>
      <x:c r="K1231" s="12" t="str">
        <x:v>12sl_statements.csv；ecg_id=11170；statements_ext_snomed</x:v>
      </x:c>
      <x:c r="L1231" s="12"/>
      <x:c r="M1231" s="12" t="str">
        <x:v>negative</x:v>
      </x:c>
      <x:c r="N1231" s="12"/>
      <x:c r="O1231" s="12" t="str">
        <x:v>negative</x:v>
      </x:c>
      <x:c r="P1231" s="12" t="str">
        <x:f>IF(OR(M1231="unavailable",O1231="unavailable"),"不可评价",IF(OR(M1231="equivocal",O1231="equivocal"),"疑似",IF(AND(M1231="positive",O1231="positive"),"a",IF(O1231="positive","b",IF(M1231="positive","c","d")))))</x:f>
        <x:v>d</x:v>
      </x:c>
      <x:c r="Q1231" s="12"/>
      <x:c r="R1231" s="12" t="str">
        <x:v>negative</x:v>
      </x:c>
      <x:c r="S1231" s="12"/>
      <x:c r="T1231" s="12" t="str">
        <x:v>negative</x:v>
      </x:c>
      <x:c r="U1231" s="12" t="str">
        <x:f>IF(OR(R1231="unavailable",T1231="unavailable"),"不可评价",IF(OR(R1231="equivocal",T1231="equivocal"),"疑似",IF(AND(R1231="positive",T1231="positive"),"a",IF(T1231="positive","b",IF(R1231="positive","c","d")))))</x:f>
        <x:v>d</x:v>
      </x:c>
      <x:c r="V1231" s="12" t="n">
        <x:v>100</x:v>
      </x:c>
      <x:c r="W1231" s="12" t="str">
        <x:v>positive</x:v>
      </x:c>
      <x:c r="X1231" s="12" t="n">
        <x:v>100</x:v>
      </x:c>
      <x:c r="Y1231" s="12" t="str">
        <x:v>positive</x:v>
      </x:c>
      <x:c r="Z1231" s="12" t="str">
        <x:f>IF(OR(W1231="unavailable",Y1231="unavailable"),"不可评价",IF(OR(W1231="equivocal",Y1231="equivocal"),"疑似",IF(AND(W1231="positive",Y1231="positive"),"a",IF(Y1231="positive","b",IF(W1231="positive","c","d")))))</x:f>
        <x:v>a</x:v>
      </x:c>
      <x:c r="AA1231" s="12" t="str">
        <x:f>IF(OR(M1231="unavailable",O1231="unavailable"),"不可评价",IF(AND(OR(M1231="positive",M1231="equivocal"),OR(O1231="positive",O1231="equivocal")),"a",IF(OR(O1231="positive",O1231="equivocal"),"b",IF(OR(M1231="positive",M1231="equivocal"),"c","d"))))</x:f>
        <x:v>d</x:v>
      </x:c>
      <x:c r="AB1231" s="12" t="str">
        <x:f>IF(OR(M1231="unavailable",O1231="unavailable"),"不可评价",IF(AND(M1231="positive",O1231="positive"),"a",IF(O1231="positive","b",IF(M1231="positive","c","d"))))</x:f>
        <x:v>d</x:v>
      </x:c>
      <x:c r="AC1231" s="12" t="str">
        <x:f>IF(OR(R1231="unavailable",T1231="unavailable"),"不可评价",IF(AND(OR(R1231="positive",R1231="equivocal"),OR(T1231="positive",T1231="equivocal")),"a",IF(OR(T1231="positive",T1231="equivocal"),"b",IF(OR(R1231="positive",R1231="equivocal"),"c","d"))))</x:f>
        <x:v>d</x:v>
      </x:c>
      <x:c r="AD1231" s="12" t="str">
        <x:f>IF(OR(R1231="unavailable",T1231="unavailable"),"不可评价",IF(AND(R1231="positive",T1231="positive"),"a",IF(T1231="positive","b",IF(R1231="positive","c","d"))))</x:f>
        <x:v>d</x:v>
      </x:c>
      <x:c r="AE1231" s="12" t="str">
        <x:f>IF(OR(W1231="unavailable",Y1231="unavailable"),"不可评价",IF(AND(OR(W1231="positive",W1231="equivocal"),OR(Y1231="positive",Y1231="equivocal")),"a",IF(OR(Y1231="positive",Y1231="equivocal"),"b",IF(OR(W1231="positive",W1231="equivocal"),"c","d"))))</x:f>
        <x:v>a</x:v>
      </x:c>
      <x:c r="AF1231" s="12" t="str">
        <x:f>IF(OR(W1231="unavailable",Y1231="unavailable"),"不可评价",IF(AND(W1231="positive",Y1231="positive"),"a",IF(Y1231="positive","b",IF(W1231="positive","c","d"))))</x:f>
        <x:v>a</x:v>
      </x:c>
    </x:row>
    <x:row r="1232" ht="24" customHeight="1">
      <x:c r="A1232" s="12" t="str">
        <x:v>11182</x:v>
      </x:c>
      <x:c r="B1232" s="12" t="str">
        <x:v>21778</x:v>
      </x:c>
      <x:c r="C1232" s="21" t="n">
        <x:v>34250.56649305556</x:v>
      </x:c>
      <x:c r="D1232" s="12" t="n">
        <x:v>56</x:v>
      </x:c>
      <x:c r="E1232" s="12" t="n">
        <x:v>0</x:v>
      </x:c>
      <x:c r="F1232" s="12" t="str">
        <x:v>未记录</x:v>
      </x:c>
      <x:c r="G1232" s="12" t="n">
        <x:v>1</x:v>
      </x:c>
      <x:c r="H1232" s="12" t="str">
        <x:v>{'NORM': 100.0, 'SR': 0.0}</x:v>
      </x:c>
      <x:c r="I1232" s="12" t="str">
        <x:v>[('NSR', 100.0), ('NML', 100.0)]</x:v>
      </x:c>
      <x:c r="J1232" s="12" t="str">
        <x:v>ptbxl_database.csv；ecg_id=11182；scp_codes</x:v>
      </x:c>
      <x:c r="K1232" s="12" t="str">
        <x:v>12sl_statements.csv；ecg_id=11182；statements_ext_snomed</x:v>
      </x:c>
      <x:c r="L1232" s="12"/>
      <x:c r="M1232" s="12" t="str">
        <x:v>negative</x:v>
      </x:c>
      <x:c r="N1232" s="12"/>
      <x:c r="O1232" s="12" t="str">
        <x:v>negative</x:v>
      </x:c>
      <x:c r="P1232" s="12" t="str">
        <x:f>IF(OR(M1232="unavailable",O1232="unavailable"),"不可评价",IF(OR(M1232="equivocal",O1232="equivocal"),"疑似",IF(AND(M1232="positive",O1232="positive"),"a",IF(O1232="positive","b",IF(M1232="positive","c","d")))))</x:f>
        <x:v>d</x:v>
      </x:c>
      <x:c r="Q1232" s="12"/>
      <x:c r="R1232" s="12" t="str">
        <x:v>negative</x:v>
      </x:c>
      <x:c r="S1232" s="12"/>
      <x:c r="T1232" s="12" t="str">
        <x:v>negative</x:v>
      </x:c>
      <x:c r="U1232" s="12" t="str">
        <x:f>IF(OR(R1232="unavailable",T1232="unavailable"),"不可评价",IF(OR(R1232="equivocal",T1232="equivocal"),"疑似",IF(AND(R1232="positive",T1232="positive"),"a",IF(T1232="positive","b",IF(R1232="positive","c","d")))))</x:f>
        <x:v>d</x:v>
      </x:c>
      <x:c r="V1232" s="12"/>
      <x:c r="W1232" s="12" t="str">
        <x:v>negative</x:v>
      </x:c>
      <x:c r="X1232" s="12"/>
      <x:c r="Y1232" s="12" t="str">
        <x:v>negative</x:v>
      </x:c>
      <x:c r="Z1232" s="12" t="str">
        <x:f>IF(OR(W1232="unavailable",Y1232="unavailable"),"不可评价",IF(OR(W1232="equivocal",Y1232="equivocal"),"疑似",IF(AND(W1232="positive",Y1232="positive"),"a",IF(Y1232="positive","b",IF(W1232="positive","c","d")))))</x:f>
        <x:v>d</x:v>
      </x:c>
      <x:c r="AA1232" s="12" t="str">
        <x:f>IF(OR(M1232="unavailable",O1232="unavailable"),"不可评价",IF(AND(OR(M1232="positive",M1232="equivocal"),OR(O1232="positive",O1232="equivocal")),"a",IF(OR(O1232="positive",O1232="equivocal"),"b",IF(OR(M1232="positive",M1232="equivocal"),"c","d"))))</x:f>
        <x:v>d</x:v>
      </x:c>
      <x:c r="AB1232" s="12" t="str">
        <x:f>IF(OR(M1232="unavailable",O1232="unavailable"),"不可评价",IF(AND(M1232="positive",O1232="positive"),"a",IF(O1232="positive","b",IF(M1232="positive","c","d"))))</x:f>
        <x:v>d</x:v>
      </x:c>
      <x:c r="AC1232" s="12" t="str">
        <x:f>IF(OR(R1232="unavailable",T1232="unavailable"),"不可评价",IF(AND(OR(R1232="positive",R1232="equivocal"),OR(T1232="positive",T1232="equivocal")),"a",IF(OR(T1232="positive",T1232="equivocal"),"b",IF(OR(R1232="positive",R1232="equivocal"),"c","d"))))</x:f>
        <x:v>d</x:v>
      </x:c>
      <x:c r="AD1232" s="12" t="str">
        <x:f>IF(OR(R1232="unavailable",T1232="unavailable"),"不可评价",IF(AND(R1232="positive",T1232="positive"),"a",IF(T1232="positive","b",IF(R1232="positive","c","d"))))</x:f>
        <x:v>d</x:v>
      </x:c>
      <x:c r="AE1232" s="12" t="str">
        <x:f>IF(OR(W1232="unavailable",Y1232="unavailable"),"不可评价",IF(AND(OR(W1232="positive",W1232="equivocal"),OR(Y1232="positive",Y1232="equivocal")),"a",IF(OR(Y1232="positive",Y1232="equivocal"),"b",IF(OR(W1232="positive",W1232="equivocal"),"c","d"))))</x:f>
        <x:v>d</x:v>
      </x:c>
      <x:c r="AF1232" s="12" t="str">
        <x:f>IF(OR(W1232="unavailable",Y1232="unavailable"),"不可评价",IF(AND(W1232="positive",Y1232="positive"),"a",IF(Y1232="positive","b",IF(W1232="positive","c","d"))))</x:f>
        <x:v>d</x:v>
      </x:c>
    </x:row>
    <x:row r="1233" ht="24" customHeight="1">
      <x:c r="A1233" s="12" t="str">
        <x:v>11212</x:v>
      </x:c>
      <x:c r="B1233" s="12" t="str">
        <x:v>12783</x:v>
      </x:c>
      <x:c r="C1233" s="21" t="n">
        <x:v>34256.737488425926</x:v>
      </x:c>
      <x:c r="D1233" s="12" t="n">
        <x:v>78</x:v>
      </x:c>
      <x:c r="E1233" s="12" t="n">
        <x:v>1</x:v>
      </x:c>
      <x:c r="F1233" s="12" t="str">
        <x:v>未记录</x:v>
      </x:c>
      <x:c r="G1233" s="12" t="n">
        <x:v>1</x:v>
      </x:c>
      <x:c r="H1233" s="12" t="str">
        <x:v>{'ASMI': 50.0, 'PVC': 100.0, 'SR': 0.0}</x:v>
      </x:c>
      <x:c r="I1233" s="12" t="str">
        <x:v>[('SRTH', 100.0), ('PVC', 100.0), ('ABR', 100.0)]</x:v>
      </x:c>
      <x:c r="J1233" s="12" t="str">
        <x:v>ptbxl_database.csv；ecg_id=11212；scp_codes</x:v>
      </x:c>
      <x:c r="K1233" s="12" t="str">
        <x:v>12sl_statements.csv；ecg_id=11212；statements_ext_snomed</x:v>
      </x:c>
      <x:c r="L1233" s="12"/>
      <x:c r="M1233" s="12" t="str">
        <x:v>negative</x:v>
      </x:c>
      <x:c r="N1233" s="12"/>
      <x:c r="O1233" s="12" t="str">
        <x:v>negative</x:v>
      </x:c>
      <x:c r="P1233" s="12" t="str">
        <x:f>IF(OR(M1233="unavailable",O1233="unavailable"),"不可评价",IF(OR(M1233="equivocal",O1233="equivocal"),"疑似",IF(AND(M1233="positive",O1233="positive"),"a",IF(O1233="positive","b",IF(M1233="positive","c","d")))))</x:f>
        <x:v>d</x:v>
      </x:c>
      <x:c r="Q1233" s="12"/>
      <x:c r="R1233" s="12" t="str">
        <x:v>negative</x:v>
      </x:c>
      <x:c r="S1233" s="12"/>
      <x:c r="T1233" s="12" t="str">
        <x:v>negative</x:v>
      </x:c>
      <x:c r="U1233" s="12" t="str">
        <x:f>IF(OR(R1233="unavailable",T1233="unavailable"),"不可评价",IF(OR(R1233="equivocal",T1233="equivocal"),"疑似",IF(AND(R1233="positive",T1233="positive"),"a",IF(T1233="positive","b",IF(R1233="positive","c","d")))))</x:f>
        <x:v>d</x:v>
      </x:c>
      <x:c r="V1233" s="12"/>
      <x:c r="W1233" s="12" t="str">
        <x:v>negative</x:v>
      </x:c>
      <x:c r="X1233" s="12"/>
      <x:c r="Y1233" s="12" t="str">
        <x:v>negative</x:v>
      </x:c>
      <x:c r="Z1233" s="12" t="str">
        <x:f>IF(OR(W1233="unavailable",Y1233="unavailable"),"不可评价",IF(OR(W1233="equivocal",Y1233="equivocal"),"疑似",IF(AND(W1233="positive",Y1233="positive"),"a",IF(Y1233="positive","b",IF(W1233="positive","c","d")))))</x:f>
        <x:v>d</x:v>
      </x:c>
      <x:c r="AA1233" s="12" t="str">
        <x:f>IF(OR(M1233="unavailable",O1233="unavailable"),"不可评价",IF(AND(OR(M1233="positive",M1233="equivocal"),OR(O1233="positive",O1233="equivocal")),"a",IF(OR(O1233="positive",O1233="equivocal"),"b",IF(OR(M1233="positive",M1233="equivocal"),"c","d"))))</x:f>
        <x:v>d</x:v>
      </x:c>
      <x:c r="AB1233" s="12" t="str">
        <x:f>IF(OR(M1233="unavailable",O1233="unavailable"),"不可评价",IF(AND(M1233="positive",O1233="positive"),"a",IF(O1233="positive","b",IF(M1233="positive","c","d"))))</x:f>
        <x:v>d</x:v>
      </x:c>
      <x:c r="AC1233" s="12" t="str">
        <x:f>IF(OR(R1233="unavailable",T1233="unavailable"),"不可评价",IF(AND(OR(R1233="positive",R1233="equivocal"),OR(T1233="positive",T1233="equivocal")),"a",IF(OR(T1233="positive",T1233="equivocal"),"b",IF(OR(R1233="positive",R1233="equivocal"),"c","d"))))</x:f>
        <x:v>d</x:v>
      </x:c>
      <x:c r="AD1233" s="12" t="str">
        <x:f>IF(OR(R1233="unavailable",T1233="unavailable"),"不可评价",IF(AND(R1233="positive",T1233="positive"),"a",IF(T1233="positive","b",IF(R1233="positive","c","d"))))</x:f>
        <x:v>d</x:v>
      </x:c>
      <x:c r="AE1233" s="12" t="str">
        <x:f>IF(OR(W1233="unavailable",Y1233="unavailable"),"不可评价",IF(AND(OR(W1233="positive",W1233="equivocal"),OR(Y1233="positive",Y1233="equivocal")),"a",IF(OR(Y1233="positive",Y1233="equivocal"),"b",IF(OR(W1233="positive",W1233="equivocal"),"c","d"))))</x:f>
        <x:v>d</x:v>
      </x:c>
      <x:c r="AF1233" s="12" t="str">
        <x:f>IF(OR(W1233="unavailable",Y1233="unavailable"),"不可评价",IF(AND(W1233="positive",Y1233="positive"),"a",IF(Y1233="positive","b",IF(W1233="positive","c","d"))))</x:f>
        <x:v>d</x:v>
      </x:c>
    </x:row>
    <x:row r="1234" ht="24" customHeight="1">
      <x:c r="A1234" s="12" t="str">
        <x:v>11226</x:v>
      </x:c>
      <x:c r="B1234" s="12" t="str">
        <x:v>15243</x:v>
      </x:c>
      <x:c r="C1234" s="21" t="n">
        <x:v>34260.32474537037</x:v>
      </x:c>
      <x:c r="D1234" s="12" t="n">
        <x:v>62</x:v>
      </x:c>
      <x:c r="E1234" s="12" t="n">
        <x:v>0</x:v>
      </x:c>
      <x:c r="F1234" s="12" t="str">
        <x:v>未记录</x:v>
      </x:c>
      <x:c r="G1234" s="12" t="n">
        <x:v>1</x:v>
      </x:c>
      <x:c r="H1234" s="12" t="str">
        <x:v>{'IRBBB': 100.0, 'NDT': 100.0, 'SR': 0.0}</x:v>
      </x:c>
      <x:c r="I1234" s="12" t="str">
        <x:v>[('NSR', 100.0), ('RAD', 100.0), ('RSR', 100.0), ('NT', 100.0), ('AB', 100.0)]</x:v>
      </x:c>
      <x:c r="J1234" s="12" t="str">
        <x:v>ptbxl_database.csv；ecg_id=11226；scp_codes</x:v>
      </x:c>
      <x:c r="K1234" s="12" t="str">
        <x:v>12sl_statements.csv；ecg_id=11226；statements_ext_snomed</x:v>
      </x:c>
      <x:c r="L1234" s="12"/>
      <x:c r="M1234" s="12" t="str">
        <x:v>negative</x:v>
      </x:c>
      <x:c r="N1234" s="12"/>
      <x:c r="O1234" s="12" t="str">
        <x:v>negative</x:v>
      </x:c>
      <x:c r="P1234" s="12" t="str">
        <x:f>IF(OR(M1234="unavailable",O1234="unavailable"),"不可评价",IF(OR(M1234="equivocal",O1234="equivocal"),"疑似",IF(AND(M1234="positive",O1234="positive"),"a",IF(O1234="positive","b",IF(M1234="positive","c","d")))))</x:f>
        <x:v>d</x:v>
      </x:c>
      <x:c r="Q1234" s="12"/>
      <x:c r="R1234" s="12" t="str">
        <x:v>negative</x:v>
      </x:c>
      <x:c r="S1234" s="12"/>
      <x:c r="T1234" s="12" t="str">
        <x:v>negative</x:v>
      </x:c>
      <x:c r="U1234" s="12" t="str">
        <x:f>IF(OR(R1234="unavailable",T1234="unavailable"),"不可评价",IF(OR(R1234="equivocal",T1234="equivocal"),"疑似",IF(AND(R1234="positive",T1234="positive"),"a",IF(T1234="positive","b",IF(R1234="positive","c","d")))))</x:f>
        <x:v>d</x:v>
      </x:c>
      <x:c r="V1234" s="12"/>
      <x:c r="W1234" s="12" t="str">
        <x:v>negative</x:v>
      </x:c>
      <x:c r="X1234" s="12"/>
      <x:c r="Y1234" s="12" t="str">
        <x:v>negative</x:v>
      </x:c>
      <x:c r="Z1234" s="12" t="str">
        <x:f>IF(OR(W1234="unavailable",Y1234="unavailable"),"不可评价",IF(OR(W1234="equivocal",Y1234="equivocal"),"疑似",IF(AND(W1234="positive",Y1234="positive"),"a",IF(Y1234="positive","b",IF(W1234="positive","c","d")))))</x:f>
        <x:v>d</x:v>
      </x:c>
      <x:c r="AA1234" s="12" t="str">
        <x:f>IF(OR(M1234="unavailable",O1234="unavailable"),"不可评价",IF(AND(OR(M1234="positive",M1234="equivocal"),OR(O1234="positive",O1234="equivocal")),"a",IF(OR(O1234="positive",O1234="equivocal"),"b",IF(OR(M1234="positive",M1234="equivocal"),"c","d"))))</x:f>
        <x:v>d</x:v>
      </x:c>
      <x:c r="AB1234" s="12" t="str">
        <x:f>IF(OR(M1234="unavailable",O1234="unavailable"),"不可评价",IF(AND(M1234="positive",O1234="positive"),"a",IF(O1234="positive","b",IF(M1234="positive","c","d"))))</x:f>
        <x:v>d</x:v>
      </x:c>
      <x:c r="AC1234" s="12" t="str">
        <x:f>IF(OR(R1234="unavailable",T1234="unavailable"),"不可评价",IF(AND(OR(R1234="positive",R1234="equivocal"),OR(T1234="positive",T1234="equivocal")),"a",IF(OR(T1234="positive",T1234="equivocal"),"b",IF(OR(R1234="positive",R1234="equivocal"),"c","d"))))</x:f>
        <x:v>d</x:v>
      </x:c>
      <x:c r="AD1234" s="12" t="str">
        <x:f>IF(OR(R1234="unavailable",T1234="unavailable"),"不可评价",IF(AND(R1234="positive",T1234="positive"),"a",IF(T1234="positive","b",IF(R1234="positive","c","d"))))</x:f>
        <x:v>d</x:v>
      </x:c>
      <x:c r="AE1234" s="12" t="str">
        <x:f>IF(OR(W1234="unavailable",Y1234="unavailable"),"不可评价",IF(AND(OR(W1234="positive",W1234="equivocal"),OR(Y1234="positive",Y1234="equivocal")),"a",IF(OR(Y1234="positive",Y1234="equivocal"),"b",IF(OR(W1234="positive",W1234="equivocal"),"c","d"))))</x:f>
        <x:v>d</x:v>
      </x:c>
      <x:c r="AF1234" s="12" t="str">
        <x:f>IF(OR(W1234="unavailable",Y1234="unavailable"),"不可评价",IF(AND(W1234="positive",Y1234="positive"),"a",IF(Y1234="positive","b",IF(W1234="positive","c","d"))))</x:f>
        <x:v>d</x:v>
      </x:c>
    </x:row>
    <x:row r="1235" ht="24" customHeight="1">
      <x:c r="A1235" s="12" t="str">
        <x:v>11230</x:v>
      </x:c>
      <x:c r="B1235" s="12" t="str">
        <x:v>9846</x:v>
      </x:c>
      <x:c r="C1235" s="21" t="n">
        <x:v>34260.584444444445</x:v>
      </x:c>
      <x:c r="D1235" s="12" t="n">
        <x:v>50</x:v>
      </x:c>
      <x:c r="E1235" s="12" t="n">
        <x:v>0</x:v>
      </x:c>
      <x:c r="F1235" s="12" t="str">
        <x:v>存在</x:v>
      </x:c>
      <x:c r="G1235" s="12" t="n">
        <x:v>1</x:v>
      </x:c>
      <x:c r="H1235" s="12" t="str">
        <x:v>{'NORM': 100.0, 'ABQRS': 0.0, 'SR': 0.0}</x:v>
      </x:c>
      <x:c r="I1235" s="12" t="str">
        <x:v>[('NSR', 100.0), ('IMI;AU', 100.0), ('AB', 100.0)]</x:v>
      </x:c>
      <x:c r="J1235" s="12" t="str">
        <x:v>ptbxl_database.csv；ecg_id=11230；scp_codes</x:v>
      </x:c>
      <x:c r="K1235" s="12" t="str">
        <x:v>12sl_statements.csv；ecg_id=11230；statements_ext_snomed</x:v>
      </x:c>
      <x:c r="L1235" s="12"/>
      <x:c r="M1235" s="12" t="str">
        <x:v>negative</x:v>
      </x:c>
      <x:c r="N1235" s="12"/>
      <x:c r="O1235" s="12" t="str">
        <x:v>negative</x:v>
      </x:c>
      <x:c r="P1235" s="12" t="str">
        <x:f>IF(OR(M1235="unavailable",O1235="unavailable"),"不可评价",IF(OR(M1235="equivocal",O1235="equivocal"),"疑似",IF(AND(M1235="positive",O1235="positive"),"a",IF(O1235="positive","b",IF(M1235="positive","c","d")))))</x:f>
        <x:v>d</x:v>
      </x:c>
      <x:c r="Q1235" s="12"/>
      <x:c r="R1235" s="12" t="str">
        <x:v>negative</x:v>
      </x:c>
      <x:c r="S1235" s="12"/>
      <x:c r="T1235" s="12" t="str">
        <x:v>negative</x:v>
      </x:c>
      <x:c r="U1235" s="12" t="str">
        <x:f>IF(OR(R1235="unavailable",T1235="unavailable"),"不可评价",IF(OR(R1235="equivocal",T1235="equivocal"),"疑似",IF(AND(R1235="positive",T1235="positive"),"a",IF(T1235="positive","b",IF(R1235="positive","c","d")))))</x:f>
        <x:v>d</x:v>
      </x:c>
      <x:c r="V1235" s="12"/>
      <x:c r="W1235" s="12" t="str">
        <x:v>negative</x:v>
      </x:c>
      <x:c r="X1235" s="12"/>
      <x:c r="Y1235" s="12" t="str">
        <x:v>negative</x:v>
      </x:c>
      <x:c r="Z1235" s="12" t="str">
        <x:f>IF(OR(W1235="unavailable",Y1235="unavailable"),"不可评价",IF(OR(W1235="equivocal",Y1235="equivocal"),"疑似",IF(AND(W1235="positive",Y1235="positive"),"a",IF(Y1235="positive","b",IF(W1235="positive","c","d")))))</x:f>
        <x:v>d</x:v>
      </x:c>
      <x:c r="AA1235" s="12" t="str">
        <x:f>IF(OR(M1235="unavailable",O1235="unavailable"),"不可评价",IF(AND(OR(M1235="positive",M1235="equivocal"),OR(O1235="positive",O1235="equivocal")),"a",IF(OR(O1235="positive",O1235="equivocal"),"b",IF(OR(M1235="positive",M1235="equivocal"),"c","d"))))</x:f>
        <x:v>d</x:v>
      </x:c>
      <x:c r="AB1235" s="12" t="str">
        <x:f>IF(OR(M1235="unavailable",O1235="unavailable"),"不可评价",IF(AND(M1235="positive",O1235="positive"),"a",IF(O1235="positive","b",IF(M1235="positive","c","d"))))</x:f>
        <x:v>d</x:v>
      </x:c>
      <x:c r="AC1235" s="12" t="str">
        <x:f>IF(OR(R1235="unavailable",T1235="unavailable"),"不可评价",IF(AND(OR(R1235="positive",R1235="equivocal"),OR(T1235="positive",T1235="equivocal")),"a",IF(OR(T1235="positive",T1235="equivocal"),"b",IF(OR(R1235="positive",R1235="equivocal"),"c","d"))))</x:f>
        <x:v>d</x:v>
      </x:c>
      <x:c r="AD1235" s="12" t="str">
        <x:f>IF(OR(R1235="unavailable",T1235="unavailable"),"不可评价",IF(AND(R1235="positive",T1235="positive"),"a",IF(T1235="positive","b",IF(R1235="positive","c","d"))))</x:f>
        <x:v>d</x:v>
      </x:c>
      <x:c r="AE1235" s="12" t="str">
        <x:f>IF(OR(W1235="unavailable",Y1235="unavailable"),"不可评价",IF(AND(OR(W1235="positive",W1235="equivocal"),OR(Y1235="positive",Y1235="equivocal")),"a",IF(OR(Y1235="positive",Y1235="equivocal"),"b",IF(OR(W1235="positive",W1235="equivocal"),"c","d"))))</x:f>
        <x:v>d</x:v>
      </x:c>
      <x:c r="AF1235" s="12" t="str">
        <x:f>IF(OR(W1235="unavailable",Y1235="unavailable"),"不可评价",IF(AND(W1235="positive",Y1235="positive"),"a",IF(Y1235="positive","b",IF(W1235="positive","c","d"))))</x:f>
        <x:v>d</x:v>
      </x:c>
    </x:row>
    <x:row r="1236" ht="24" customHeight="1">
      <x:c r="A1236" s="12" t="str">
        <x:v>11238</x:v>
      </x:c>
      <x:c r="B1236" s="12" t="str">
        <x:v>10861</x:v>
      </x:c>
      <x:c r="C1236" s="21" t="n">
        <x:v>34262.59600694444</x:v>
      </x:c>
      <x:c r="D1236" s="12" t="n">
        <x:v>50</x:v>
      </x:c>
      <x:c r="E1236" s="12" t="n">
        <x:v>0</x:v>
      </x:c>
      <x:c r="F1236" s="12" t="str">
        <x:v>未记录</x:v>
      </x:c>
      <x:c r="G1236" s="12" t="n">
        <x:v>1</x:v>
      </x:c>
      <x:c r="H1236" s="12" t="str">
        <x:v>{'IMI': 50.0, 'SR': 0.0}</x:v>
      </x:c>
      <x:c r="I1236" s="12" t="str">
        <x:v>[('NSR', 100.0), ('LOWV', 100.0), ('IMI;AU', 100.0), ('AB', 100.0)]</x:v>
      </x:c>
      <x:c r="J1236" s="12" t="str">
        <x:v>ptbxl_database.csv；ecg_id=11238；scp_codes</x:v>
      </x:c>
      <x:c r="K1236" s="12" t="str">
        <x:v>12sl_statements.csv；ecg_id=11238；statements_ext_snomed</x:v>
      </x:c>
      <x:c r="L1236" s="12"/>
      <x:c r="M1236" s="12" t="str">
        <x:v>negative</x:v>
      </x:c>
      <x:c r="N1236" s="12"/>
      <x:c r="O1236" s="12" t="str">
        <x:v>negative</x:v>
      </x:c>
      <x:c r="P1236" s="12" t="str">
        <x:f>IF(OR(M1236="unavailable",O1236="unavailable"),"不可评价",IF(OR(M1236="equivocal",O1236="equivocal"),"疑似",IF(AND(M1236="positive",O1236="positive"),"a",IF(O1236="positive","b",IF(M1236="positive","c","d")))))</x:f>
        <x:v>d</x:v>
      </x:c>
      <x:c r="Q1236" s="12"/>
      <x:c r="R1236" s="12" t="str">
        <x:v>negative</x:v>
      </x:c>
      <x:c r="S1236" s="12"/>
      <x:c r="T1236" s="12" t="str">
        <x:v>negative</x:v>
      </x:c>
      <x:c r="U1236" s="12" t="str">
        <x:f>IF(OR(R1236="unavailable",T1236="unavailable"),"不可评价",IF(OR(R1236="equivocal",T1236="equivocal"),"疑似",IF(AND(R1236="positive",T1236="positive"),"a",IF(T1236="positive","b",IF(R1236="positive","c","d")))))</x:f>
        <x:v>d</x:v>
      </x:c>
      <x:c r="V1236" s="12"/>
      <x:c r="W1236" s="12" t="str">
        <x:v>negative</x:v>
      </x:c>
      <x:c r="X1236" s="12"/>
      <x:c r="Y1236" s="12" t="str">
        <x:v>negative</x:v>
      </x:c>
      <x:c r="Z1236" s="12" t="str">
        <x:f>IF(OR(W1236="unavailable",Y1236="unavailable"),"不可评价",IF(OR(W1236="equivocal",Y1236="equivocal"),"疑似",IF(AND(W1236="positive",Y1236="positive"),"a",IF(Y1236="positive","b",IF(W1236="positive","c","d")))))</x:f>
        <x:v>d</x:v>
      </x:c>
      <x:c r="AA1236" s="12" t="str">
        <x:f>IF(OR(M1236="unavailable",O1236="unavailable"),"不可评价",IF(AND(OR(M1236="positive",M1236="equivocal"),OR(O1236="positive",O1236="equivocal")),"a",IF(OR(O1236="positive",O1236="equivocal"),"b",IF(OR(M1236="positive",M1236="equivocal"),"c","d"))))</x:f>
        <x:v>d</x:v>
      </x:c>
      <x:c r="AB1236" s="12" t="str">
        <x:f>IF(OR(M1236="unavailable",O1236="unavailable"),"不可评价",IF(AND(M1236="positive",O1236="positive"),"a",IF(O1236="positive","b",IF(M1236="positive","c","d"))))</x:f>
        <x:v>d</x:v>
      </x:c>
      <x:c r="AC1236" s="12" t="str">
        <x:f>IF(OR(R1236="unavailable",T1236="unavailable"),"不可评价",IF(AND(OR(R1236="positive",R1236="equivocal"),OR(T1236="positive",T1236="equivocal")),"a",IF(OR(T1236="positive",T1236="equivocal"),"b",IF(OR(R1236="positive",R1236="equivocal"),"c","d"))))</x:f>
        <x:v>d</x:v>
      </x:c>
      <x:c r="AD1236" s="12" t="str">
        <x:f>IF(OR(R1236="unavailable",T1236="unavailable"),"不可评价",IF(AND(R1236="positive",T1236="positive"),"a",IF(T1236="positive","b",IF(R1236="positive","c","d"))))</x:f>
        <x:v>d</x:v>
      </x:c>
      <x:c r="AE1236" s="12" t="str">
        <x:f>IF(OR(W1236="unavailable",Y1236="unavailable"),"不可评价",IF(AND(OR(W1236="positive",W1236="equivocal"),OR(Y1236="positive",Y1236="equivocal")),"a",IF(OR(Y1236="positive",Y1236="equivocal"),"b",IF(OR(W1236="positive",W1236="equivocal"),"c","d"))))</x:f>
        <x:v>d</x:v>
      </x:c>
      <x:c r="AF1236" s="12" t="str">
        <x:f>IF(OR(W1236="unavailable",Y1236="unavailable"),"不可评价",IF(AND(W1236="positive",Y1236="positive"),"a",IF(Y1236="positive","b",IF(W1236="positive","c","d"))))</x:f>
        <x:v>d</x:v>
      </x:c>
    </x:row>
    <x:row r="1237" ht="24" customHeight="1">
      <x:c r="A1237" s="12" t="str">
        <x:v>11285</x:v>
      </x:c>
      <x:c r="B1237" s="12" t="str">
        <x:v>10861</x:v>
      </x:c>
      <x:c r="C1237" s="21" t="n">
        <x:v>34272.51416666667</x:v>
      </x:c>
      <x:c r="D1237" s="12" t="n">
        <x:v>50</x:v>
      </x:c>
      <x:c r="E1237" s="12" t="n">
        <x:v>0</x:v>
      </x:c>
      <x:c r="F1237" s="12" t="str">
        <x:v>未记录</x:v>
      </x:c>
      <x:c r="G1237" s="12" t="n">
        <x:v>0</x:v>
      </x:c>
      <x:c r="H1237" s="12" t="str">
        <x:v>{'IMI': 100.0, 'SR': 0.0}</x:v>
      </x:c>
      <x:c r="I1237" s="12" t="str">
        <x:v>[('NSR', 100.0), ('SAR', 100.0), ('LOWV', 100.0), ('IMI;AU', 100.0), ('AB', 100.0)]</x:v>
      </x:c>
      <x:c r="J1237" s="12" t="str">
        <x:v>ptbxl_database.csv；ecg_id=11285；scp_codes</x:v>
      </x:c>
      <x:c r="K1237" s="12" t="str">
        <x:v>12sl_statements.csv；ecg_id=11285；statements_ext_snomed</x:v>
      </x:c>
      <x:c r="L1237" s="12"/>
      <x:c r="M1237" s="12" t="str">
        <x:v>negative</x:v>
      </x:c>
      <x:c r="N1237" s="12"/>
      <x:c r="O1237" s="12" t="str">
        <x:v>negative</x:v>
      </x:c>
      <x:c r="P1237" s="12" t="str">
        <x:f>IF(OR(M1237="unavailable",O1237="unavailable"),"不可评价",IF(OR(M1237="equivocal",O1237="equivocal"),"疑似",IF(AND(M1237="positive",O1237="positive"),"a",IF(O1237="positive","b",IF(M1237="positive","c","d")))))</x:f>
        <x:v>d</x:v>
      </x:c>
      <x:c r="Q1237" s="12"/>
      <x:c r="R1237" s="12" t="str">
        <x:v>negative</x:v>
      </x:c>
      <x:c r="S1237" s="12"/>
      <x:c r="T1237" s="12" t="str">
        <x:v>negative</x:v>
      </x:c>
      <x:c r="U1237" s="12" t="str">
        <x:f>IF(OR(R1237="unavailable",T1237="unavailable"),"不可评价",IF(OR(R1237="equivocal",T1237="equivocal"),"疑似",IF(AND(R1237="positive",T1237="positive"),"a",IF(T1237="positive","b",IF(R1237="positive","c","d")))))</x:f>
        <x:v>d</x:v>
      </x:c>
      <x:c r="V1237" s="12"/>
      <x:c r="W1237" s="12" t="str">
        <x:v>negative</x:v>
      </x:c>
      <x:c r="X1237" s="12"/>
      <x:c r="Y1237" s="12" t="str">
        <x:v>negative</x:v>
      </x:c>
      <x:c r="Z1237" s="12" t="str">
        <x:f>IF(OR(W1237="unavailable",Y1237="unavailable"),"不可评价",IF(OR(W1237="equivocal",Y1237="equivocal"),"疑似",IF(AND(W1237="positive",Y1237="positive"),"a",IF(Y1237="positive","b",IF(W1237="positive","c","d")))))</x:f>
        <x:v>d</x:v>
      </x:c>
      <x:c r="AA1237" s="12" t="str">
        <x:f>IF(OR(M1237="unavailable",O1237="unavailable"),"不可评价",IF(AND(OR(M1237="positive",M1237="equivocal"),OR(O1237="positive",O1237="equivocal")),"a",IF(OR(O1237="positive",O1237="equivocal"),"b",IF(OR(M1237="positive",M1237="equivocal"),"c","d"))))</x:f>
        <x:v>d</x:v>
      </x:c>
      <x:c r="AB1237" s="12" t="str">
        <x:f>IF(OR(M1237="unavailable",O1237="unavailable"),"不可评价",IF(AND(M1237="positive",O1237="positive"),"a",IF(O1237="positive","b",IF(M1237="positive","c","d"))))</x:f>
        <x:v>d</x:v>
      </x:c>
      <x:c r="AC1237" s="12" t="str">
        <x:f>IF(OR(R1237="unavailable",T1237="unavailable"),"不可评价",IF(AND(OR(R1237="positive",R1237="equivocal"),OR(T1237="positive",T1237="equivocal")),"a",IF(OR(T1237="positive",T1237="equivocal"),"b",IF(OR(R1237="positive",R1237="equivocal"),"c","d"))))</x:f>
        <x:v>d</x:v>
      </x:c>
      <x:c r="AD1237" s="12" t="str">
        <x:f>IF(OR(R1237="unavailable",T1237="unavailable"),"不可评价",IF(AND(R1237="positive",T1237="positive"),"a",IF(T1237="positive","b",IF(R1237="positive","c","d"))))</x:f>
        <x:v>d</x:v>
      </x:c>
      <x:c r="AE1237" s="12" t="str">
        <x:f>IF(OR(W1237="unavailable",Y1237="unavailable"),"不可评价",IF(AND(OR(W1237="positive",W1237="equivocal"),OR(Y1237="positive",Y1237="equivocal")),"a",IF(OR(Y1237="positive",Y1237="equivocal"),"b",IF(OR(W1237="positive",W1237="equivocal"),"c","d"))))</x:f>
        <x:v>d</x:v>
      </x:c>
      <x:c r="AF1237" s="12" t="str">
        <x:f>IF(OR(W1237="unavailable",Y1237="unavailable"),"不可评价",IF(AND(W1237="positive",Y1237="positive"),"a",IF(Y1237="positive","b",IF(W1237="positive","c","d"))))</x:f>
        <x:v>d</x:v>
      </x:c>
    </x:row>
    <x:row r="1238" ht="24" customHeight="1">
      <x:c r="A1238" s="12" t="str">
        <x:v>11286</x:v>
      </x:c>
      <x:c r="B1238" s="12" t="str">
        <x:v>11582</x:v>
      </x:c>
      <x:c r="C1238" s="21" t="n">
        <x:v>34272.54194444444</x:v>
      </x:c>
      <x:c r="D1238" s="12" t="n">
        <x:v>75</x:v>
      </x:c>
      <x:c r="E1238" s="12" t="n">
        <x:v>0</x:v>
      </x:c>
      <x:c r="F1238" s="12" t="str">
        <x:v>未记录</x:v>
      </x:c>
      <x:c r="G1238" s="12" t="n">
        <x:v>1</x:v>
      </x:c>
      <x:c r="H1238" s="12" t="str">
        <x:v>{'ASMI': 80.0, 'ALMI': 50.0, 'AFIB': 0.0}</x:v>
      </x:c>
      <x:c r="I1238" s="12" t="str">
        <x:v>[('SRTH', 100.0), ('PAC', 100.0), ('ABR', 100.0)]</x:v>
      </x:c>
      <x:c r="J1238" s="12" t="str">
        <x:v>ptbxl_database.csv；ecg_id=11286；scp_codes</x:v>
      </x:c>
      <x:c r="K1238" s="12" t="str">
        <x:v>12sl_statements.csv；ecg_id=11286；statements_ext_snomed</x:v>
      </x:c>
      <x:c r="L1238" s="12" t="n">
        <x:v>0</x:v>
      </x:c>
      <x:c r="M1238" s="12" t="str">
        <x:v>positive</x:v>
      </x:c>
      <x:c r="N1238" s="12"/>
      <x:c r="O1238" s="12" t="str">
        <x:v>negative</x:v>
      </x:c>
      <x:c r="P1238" s="12" t="str">
        <x:f>IF(OR(M1238="unavailable",O1238="unavailable"),"不可评价",IF(OR(M1238="equivocal",O1238="equivocal"),"疑似",IF(AND(M1238="positive",O1238="positive"),"a",IF(O1238="positive","b",IF(M1238="positive","c","d")))))</x:f>
        <x:v>c</x:v>
      </x:c>
      <x:c r="Q1238" s="12"/>
      <x:c r="R1238" s="12" t="str">
        <x:v>negative</x:v>
      </x:c>
      <x:c r="S1238" s="12"/>
      <x:c r="T1238" s="12" t="str">
        <x:v>negative</x:v>
      </x:c>
      <x:c r="U1238" s="12" t="str">
        <x:f>IF(OR(R1238="unavailable",T1238="unavailable"),"不可评价",IF(OR(R1238="equivocal",T1238="equivocal"),"疑似",IF(AND(R1238="positive",T1238="positive"),"a",IF(T1238="positive","b",IF(R1238="positive","c","d")))))</x:f>
        <x:v>d</x:v>
      </x:c>
      <x:c r="V1238" s="12"/>
      <x:c r="W1238" s="12" t="str">
        <x:v>negative</x:v>
      </x:c>
      <x:c r="X1238" s="12"/>
      <x:c r="Y1238" s="12" t="str">
        <x:v>negative</x:v>
      </x:c>
      <x:c r="Z1238" s="12" t="str">
        <x:f>IF(OR(W1238="unavailable",Y1238="unavailable"),"不可评价",IF(OR(W1238="equivocal",Y1238="equivocal"),"疑似",IF(AND(W1238="positive",Y1238="positive"),"a",IF(Y1238="positive","b",IF(W1238="positive","c","d")))))</x:f>
        <x:v>d</x:v>
      </x:c>
      <x:c r="AA1238" s="12" t="str">
        <x:f>IF(OR(M1238="unavailable",O1238="unavailable"),"不可评价",IF(AND(OR(M1238="positive",M1238="equivocal"),OR(O1238="positive",O1238="equivocal")),"a",IF(OR(O1238="positive",O1238="equivocal"),"b",IF(OR(M1238="positive",M1238="equivocal"),"c","d"))))</x:f>
        <x:v>c</x:v>
      </x:c>
      <x:c r="AB1238" s="12" t="str">
        <x:f>IF(OR(M1238="unavailable",O1238="unavailable"),"不可评价",IF(AND(M1238="positive",O1238="positive"),"a",IF(O1238="positive","b",IF(M1238="positive","c","d"))))</x:f>
        <x:v>c</x:v>
      </x:c>
      <x:c r="AC1238" s="12" t="str">
        <x:f>IF(OR(R1238="unavailable",T1238="unavailable"),"不可评价",IF(AND(OR(R1238="positive",R1238="equivocal"),OR(T1238="positive",T1238="equivocal")),"a",IF(OR(T1238="positive",T1238="equivocal"),"b",IF(OR(R1238="positive",R1238="equivocal"),"c","d"))))</x:f>
        <x:v>d</x:v>
      </x:c>
      <x:c r="AD1238" s="12" t="str">
        <x:f>IF(OR(R1238="unavailable",T1238="unavailable"),"不可评价",IF(AND(R1238="positive",T1238="positive"),"a",IF(T1238="positive","b",IF(R1238="positive","c","d"))))</x:f>
        <x:v>d</x:v>
      </x:c>
      <x:c r="AE1238" s="12" t="str">
        <x:f>IF(OR(W1238="unavailable",Y1238="unavailable"),"不可评价",IF(AND(OR(W1238="positive",W1238="equivocal"),OR(Y1238="positive",Y1238="equivocal")),"a",IF(OR(Y1238="positive",Y1238="equivocal"),"b",IF(OR(W1238="positive",W1238="equivocal"),"c","d"))))</x:f>
        <x:v>d</x:v>
      </x:c>
      <x:c r="AF1238" s="12" t="str">
        <x:f>IF(OR(W1238="unavailable",Y1238="unavailable"),"不可评价",IF(AND(W1238="positive",Y1238="positive"),"a",IF(Y1238="positive","b",IF(W1238="positive","c","d"))))</x:f>
        <x:v>d</x:v>
      </x:c>
    </x:row>
    <x:row r="1239" ht="24" customHeight="1">
      <x:c r="A1239" s="12" t="str">
        <x:v>11319</x:v>
      </x:c>
      <x:c r="B1239" s="12" t="str">
        <x:v>20790</x:v>
      </x:c>
      <x:c r="C1239" s="21" t="n">
        <x:v>34277.50444444444</x:v>
      </x:c>
      <x:c r="D1239" s="12" t="n">
        <x:v>55</x:v>
      </x:c>
      <x:c r="E1239" s="12" t="n">
        <x:v>0</x:v>
      </x:c>
      <x:c r="F1239" s="12" t="str">
        <x:v>存在</x:v>
      </x:c>
      <x:c r="G1239" s="12" t="n">
        <x:v>1</x:v>
      </x:c>
      <x:c r="H1239" s="12" t="str">
        <x:v>{'AMI': 50.0, 'PVC': 100.0, 'SR': 0.0}</x:v>
      </x:c>
      <x:c r="I1239" s="12" t="str">
        <x:v>[('SRTH', 100.0), ('PVC', 100.0), ('ABR', 100.0)]</x:v>
      </x:c>
      <x:c r="J1239" s="12" t="str">
        <x:v>ptbxl_database.csv；ecg_id=11319；scp_codes</x:v>
      </x:c>
      <x:c r="K1239" s="12" t="str">
        <x:v>12sl_statements.csv；ecg_id=11319；statements_ext_snomed</x:v>
      </x:c>
      <x:c r="L1239" s="12"/>
      <x:c r="M1239" s="12" t="str">
        <x:v>negative</x:v>
      </x:c>
      <x:c r="N1239" s="12"/>
      <x:c r="O1239" s="12" t="str">
        <x:v>negative</x:v>
      </x:c>
      <x:c r="P1239" s="12" t="str">
        <x:f>IF(OR(M1239="unavailable",O1239="unavailable"),"不可评价",IF(OR(M1239="equivocal",O1239="equivocal"),"疑似",IF(AND(M1239="positive",O1239="positive"),"a",IF(O1239="positive","b",IF(M1239="positive","c","d")))))</x:f>
        <x:v>d</x:v>
      </x:c>
      <x:c r="Q1239" s="12"/>
      <x:c r="R1239" s="12" t="str">
        <x:v>negative</x:v>
      </x:c>
      <x:c r="S1239" s="12"/>
      <x:c r="T1239" s="12" t="str">
        <x:v>negative</x:v>
      </x:c>
      <x:c r="U1239" s="12" t="str">
        <x:f>IF(OR(R1239="unavailable",T1239="unavailable"),"不可评价",IF(OR(R1239="equivocal",T1239="equivocal"),"疑似",IF(AND(R1239="positive",T1239="positive"),"a",IF(T1239="positive","b",IF(R1239="positive","c","d")))))</x:f>
        <x:v>d</x:v>
      </x:c>
      <x:c r="V1239" s="12"/>
      <x:c r="W1239" s="12" t="str">
        <x:v>negative</x:v>
      </x:c>
      <x:c r="X1239" s="12"/>
      <x:c r="Y1239" s="12" t="str">
        <x:v>negative</x:v>
      </x:c>
      <x:c r="Z1239" s="12" t="str">
        <x:f>IF(OR(W1239="unavailable",Y1239="unavailable"),"不可评价",IF(OR(W1239="equivocal",Y1239="equivocal"),"疑似",IF(AND(W1239="positive",Y1239="positive"),"a",IF(Y1239="positive","b",IF(W1239="positive","c","d")))))</x:f>
        <x:v>d</x:v>
      </x:c>
      <x:c r="AA1239" s="12" t="str">
        <x:f>IF(OR(M1239="unavailable",O1239="unavailable"),"不可评价",IF(AND(OR(M1239="positive",M1239="equivocal"),OR(O1239="positive",O1239="equivocal")),"a",IF(OR(O1239="positive",O1239="equivocal"),"b",IF(OR(M1239="positive",M1239="equivocal"),"c","d"))))</x:f>
        <x:v>d</x:v>
      </x:c>
      <x:c r="AB1239" s="12" t="str">
        <x:f>IF(OR(M1239="unavailable",O1239="unavailable"),"不可评价",IF(AND(M1239="positive",O1239="positive"),"a",IF(O1239="positive","b",IF(M1239="positive","c","d"))))</x:f>
        <x:v>d</x:v>
      </x:c>
      <x:c r="AC1239" s="12" t="str">
        <x:f>IF(OR(R1239="unavailable",T1239="unavailable"),"不可评价",IF(AND(OR(R1239="positive",R1239="equivocal"),OR(T1239="positive",T1239="equivocal")),"a",IF(OR(T1239="positive",T1239="equivocal"),"b",IF(OR(R1239="positive",R1239="equivocal"),"c","d"))))</x:f>
        <x:v>d</x:v>
      </x:c>
      <x:c r="AD1239" s="12" t="str">
        <x:f>IF(OR(R1239="unavailable",T1239="unavailable"),"不可评价",IF(AND(R1239="positive",T1239="positive"),"a",IF(T1239="positive","b",IF(R1239="positive","c","d"))))</x:f>
        <x:v>d</x:v>
      </x:c>
      <x:c r="AE1239" s="12" t="str">
        <x:f>IF(OR(W1239="unavailable",Y1239="unavailable"),"不可评价",IF(AND(OR(W1239="positive",W1239="equivocal"),OR(Y1239="positive",Y1239="equivocal")),"a",IF(OR(Y1239="positive",Y1239="equivocal"),"b",IF(OR(W1239="positive",W1239="equivocal"),"c","d"))))</x:f>
        <x:v>d</x:v>
      </x:c>
      <x:c r="AF1239" s="12" t="str">
        <x:f>IF(OR(W1239="unavailable",Y1239="unavailable"),"不可评价",IF(AND(W1239="positive",Y1239="positive"),"a",IF(Y1239="positive","b",IF(W1239="positive","c","d"))))</x:f>
        <x:v>d</x:v>
      </x:c>
    </x:row>
    <x:row r="1240" ht="24" customHeight="1">
      <x:c r="A1240" s="12" t="str">
        <x:v>11336</x:v>
      </x:c>
      <x:c r="B1240" s="12" t="str">
        <x:v>14055</x:v>
      </x:c>
      <x:c r="C1240" s="21" t="n">
        <x:v>34281.427349537036</x:v>
      </x:c>
      <x:c r="D1240" s="12" t="n">
        <x:v>45</x:v>
      </x:c>
      <x:c r="E1240" s="12" t="n">
        <x:v>0</x:v>
      </x:c>
      <x:c r="F1240" s="12" t="str">
        <x:v>未记录</x:v>
      </x:c>
      <x:c r="G1240" s="12" t="n">
        <x:v>1</x:v>
      </x:c>
      <x:c r="H1240" s="12" t="str">
        <x:v>{'ILMI': 15.0, 'IVCD': 100.0, 'SR': 0.0}</x:v>
      </x:c>
      <x:c r="I1240" s="12" t="str">
        <x:v>[('NSR', 100.0), ('LMI;AU', 100.0), ('IMI;AU', 100.0), ('AB', 100.0)]</x:v>
      </x:c>
      <x:c r="J1240" s="12" t="str">
        <x:v>ptbxl_database.csv；ecg_id=11336；scp_codes</x:v>
      </x:c>
      <x:c r="K1240" s="12" t="str">
        <x:v>12sl_statements.csv；ecg_id=11336；statements_ext_snomed</x:v>
      </x:c>
      <x:c r="L1240" s="12"/>
      <x:c r="M1240" s="12" t="str">
        <x:v>negative</x:v>
      </x:c>
      <x:c r="N1240" s="12"/>
      <x:c r="O1240" s="12" t="str">
        <x:v>negative</x:v>
      </x:c>
      <x:c r="P1240" s="12" t="str">
        <x:f>IF(OR(M1240="unavailable",O1240="unavailable"),"不可评价",IF(OR(M1240="equivocal",O1240="equivocal"),"疑似",IF(AND(M1240="positive",O1240="positive"),"a",IF(O1240="positive","b",IF(M1240="positive","c","d")))))</x:f>
        <x:v>d</x:v>
      </x:c>
      <x:c r="Q1240" s="12"/>
      <x:c r="R1240" s="12" t="str">
        <x:v>negative</x:v>
      </x:c>
      <x:c r="S1240" s="12"/>
      <x:c r="T1240" s="12" t="str">
        <x:v>negative</x:v>
      </x:c>
      <x:c r="U1240" s="12" t="str">
        <x:f>IF(OR(R1240="unavailable",T1240="unavailable"),"不可评价",IF(OR(R1240="equivocal",T1240="equivocal"),"疑似",IF(AND(R1240="positive",T1240="positive"),"a",IF(T1240="positive","b",IF(R1240="positive","c","d")))))</x:f>
        <x:v>d</x:v>
      </x:c>
      <x:c r="V1240" s="12"/>
      <x:c r="W1240" s="12" t="str">
        <x:v>negative</x:v>
      </x:c>
      <x:c r="X1240" s="12"/>
      <x:c r="Y1240" s="12" t="str">
        <x:v>negative</x:v>
      </x:c>
      <x:c r="Z1240" s="12" t="str">
        <x:f>IF(OR(W1240="unavailable",Y1240="unavailable"),"不可评价",IF(OR(W1240="equivocal",Y1240="equivocal"),"疑似",IF(AND(W1240="positive",Y1240="positive"),"a",IF(Y1240="positive","b",IF(W1240="positive","c","d")))))</x:f>
        <x:v>d</x:v>
      </x:c>
      <x:c r="AA1240" s="12" t="str">
        <x:f>IF(OR(M1240="unavailable",O1240="unavailable"),"不可评价",IF(AND(OR(M1240="positive",M1240="equivocal"),OR(O1240="positive",O1240="equivocal")),"a",IF(OR(O1240="positive",O1240="equivocal"),"b",IF(OR(M1240="positive",M1240="equivocal"),"c","d"))))</x:f>
        <x:v>d</x:v>
      </x:c>
      <x:c r="AB1240" s="12" t="str">
        <x:f>IF(OR(M1240="unavailable",O1240="unavailable"),"不可评价",IF(AND(M1240="positive",O1240="positive"),"a",IF(O1240="positive","b",IF(M1240="positive","c","d"))))</x:f>
        <x:v>d</x:v>
      </x:c>
      <x:c r="AC1240" s="12" t="str">
        <x:f>IF(OR(R1240="unavailable",T1240="unavailable"),"不可评价",IF(AND(OR(R1240="positive",R1240="equivocal"),OR(T1240="positive",T1240="equivocal")),"a",IF(OR(T1240="positive",T1240="equivocal"),"b",IF(OR(R1240="positive",R1240="equivocal"),"c","d"))))</x:f>
        <x:v>d</x:v>
      </x:c>
      <x:c r="AD1240" s="12" t="str">
        <x:f>IF(OR(R1240="unavailable",T1240="unavailable"),"不可评价",IF(AND(R1240="positive",T1240="positive"),"a",IF(T1240="positive","b",IF(R1240="positive","c","d"))))</x:f>
        <x:v>d</x:v>
      </x:c>
      <x:c r="AE1240" s="12" t="str">
        <x:f>IF(OR(W1240="unavailable",Y1240="unavailable"),"不可评价",IF(AND(OR(W1240="positive",W1240="equivocal"),OR(Y1240="positive",Y1240="equivocal")),"a",IF(OR(Y1240="positive",Y1240="equivocal"),"b",IF(OR(W1240="positive",W1240="equivocal"),"c","d"))))</x:f>
        <x:v>d</x:v>
      </x:c>
      <x:c r="AF1240" s="12" t="str">
        <x:f>IF(OR(W1240="unavailable",Y1240="unavailable"),"不可评价",IF(AND(W1240="positive",Y1240="positive"),"a",IF(Y1240="positive","b",IF(W1240="positive","c","d"))))</x:f>
        <x:v>d</x:v>
      </x:c>
    </x:row>
    <x:row r="1241" ht="24" customHeight="1">
      <x:c r="A1241" s="12" t="str">
        <x:v>11359</x:v>
      </x:c>
      <x:c r="B1241" s="12" t="str">
        <x:v>21553</x:v>
      </x:c>
      <x:c r="C1241" s="21" t="n">
        <x:v>34284.53126157408</x:v>
      </x:c>
      <x:c r="D1241" s="12" t="n">
        <x:v>69</x:v>
      </x:c>
      <x:c r="E1241" s="12" t="n">
        <x:v>0</x:v>
      </x:c>
      <x:c r="F1241" s="12" t="str">
        <x:v>未记录</x:v>
      </x:c>
      <x:c r="G1241" s="12" t="n">
        <x:v>1</x:v>
      </x:c>
      <x:c r="H1241" s="12" t="str">
        <x:v>{'IMI': 50.0, 'SR': 0.0}</x:v>
      </x:c>
      <x:c r="I1241" s="12" t="str">
        <x:v>[('NSR', 100.0), ('IMI;AU', 100.0), ('AB', 100.0)]</x:v>
      </x:c>
      <x:c r="J1241" s="12" t="str">
        <x:v>ptbxl_database.csv；ecg_id=11359；scp_codes</x:v>
      </x:c>
      <x:c r="K1241" s="12" t="str">
        <x:v>12sl_statements.csv；ecg_id=11359；statements_ext_snomed</x:v>
      </x:c>
      <x:c r="L1241" s="12"/>
      <x:c r="M1241" s="12" t="str">
        <x:v>negative</x:v>
      </x:c>
      <x:c r="N1241" s="12"/>
      <x:c r="O1241" s="12" t="str">
        <x:v>negative</x:v>
      </x:c>
      <x:c r="P1241" s="12" t="str">
        <x:f>IF(OR(M1241="unavailable",O1241="unavailable"),"不可评价",IF(OR(M1241="equivocal",O1241="equivocal"),"疑似",IF(AND(M1241="positive",O1241="positive"),"a",IF(O1241="positive","b",IF(M1241="positive","c","d")))))</x:f>
        <x:v>d</x:v>
      </x:c>
      <x:c r="Q1241" s="12"/>
      <x:c r="R1241" s="12" t="str">
        <x:v>negative</x:v>
      </x:c>
      <x:c r="S1241" s="12"/>
      <x:c r="T1241" s="12" t="str">
        <x:v>negative</x:v>
      </x:c>
      <x:c r="U1241" s="12" t="str">
        <x:f>IF(OR(R1241="unavailable",T1241="unavailable"),"不可评价",IF(OR(R1241="equivocal",T1241="equivocal"),"疑似",IF(AND(R1241="positive",T1241="positive"),"a",IF(T1241="positive","b",IF(R1241="positive","c","d")))))</x:f>
        <x:v>d</x:v>
      </x:c>
      <x:c r="V1241" s="12"/>
      <x:c r="W1241" s="12" t="str">
        <x:v>negative</x:v>
      </x:c>
      <x:c r="X1241" s="12"/>
      <x:c r="Y1241" s="12" t="str">
        <x:v>negative</x:v>
      </x:c>
      <x:c r="Z1241" s="12" t="str">
        <x:f>IF(OR(W1241="unavailable",Y1241="unavailable"),"不可评价",IF(OR(W1241="equivocal",Y1241="equivocal"),"疑似",IF(AND(W1241="positive",Y1241="positive"),"a",IF(Y1241="positive","b",IF(W1241="positive","c","d")))))</x:f>
        <x:v>d</x:v>
      </x:c>
      <x:c r="AA1241" s="12" t="str">
        <x:f>IF(OR(M1241="unavailable",O1241="unavailable"),"不可评价",IF(AND(OR(M1241="positive",M1241="equivocal"),OR(O1241="positive",O1241="equivocal")),"a",IF(OR(O1241="positive",O1241="equivocal"),"b",IF(OR(M1241="positive",M1241="equivocal"),"c","d"))))</x:f>
        <x:v>d</x:v>
      </x:c>
      <x:c r="AB1241" s="12" t="str">
        <x:f>IF(OR(M1241="unavailable",O1241="unavailable"),"不可评价",IF(AND(M1241="positive",O1241="positive"),"a",IF(O1241="positive","b",IF(M1241="positive","c","d"))))</x:f>
        <x:v>d</x:v>
      </x:c>
      <x:c r="AC1241" s="12" t="str">
        <x:f>IF(OR(R1241="unavailable",T1241="unavailable"),"不可评价",IF(AND(OR(R1241="positive",R1241="equivocal"),OR(T1241="positive",T1241="equivocal")),"a",IF(OR(T1241="positive",T1241="equivocal"),"b",IF(OR(R1241="positive",R1241="equivocal"),"c","d"))))</x:f>
        <x:v>d</x:v>
      </x:c>
      <x:c r="AD1241" s="12" t="str">
        <x:f>IF(OR(R1241="unavailable",T1241="unavailable"),"不可评价",IF(AND(R1241="positive",T1241="positive"),"a",IF(T1241="positive","b",IF(R1241="positive","c","d"))))</x:f>
        <x:v>d</x:v>
      </x:c>
      <x:c r="AE1241" s="12" t="str">
        <x:f>IF(OR(W1241="unavailable",Y1241="unavailable"),"不可评价",IF(AND(OR(W1241="positive",W1241="equivocal"),OR(Y1241="positive",Y1241="equivocal")),"a",IF(OR(Y1241="positive",Y1241="equivocal"),"b",IF(OR(W1241="positive",W1241="equivocal"),"c","d"))))</x:f>
        <x:v>d</x:v>
      </x:c>
      <x:c r="AF1241" s="12" t="str">
        <x:f>IF(OR(W1241="unavailable",Y1241="unavailable"),"不可评价",IF(AND(W1241="positive",Y1241="positive"),"a",IF(Y1241="positive","b",IF(W1241="positive","c","d"))))</x:f>
        <x:v>d</x:v>
      </x:c>
    </x:row>
    <x:row r="1242" ht="24" customHeight="1">
      <x:c r="A1242" s="12" t="str">
        <x:v>11364</x:v>
      </x:c>
      <x:c r="B1242" s="12" t="str">
        <x:v>21650</x:v>
      </x:c>
      <x:c r="C1242" s="21" t="n">
        <x:v>34286.5102662037</x:v>
      </x:c>
      <x:c r="D1242" s="12" t="n">
        <x:v>48</x:v>
      </x:c>
      <x:c r="E1242" s="12" t="n">
        <x:v>0</x:v>
      </x:c>
      <x:c r="F1242" s="12" t="str">
        <x:v>未记录</x:v>
      </x:c>
      <x:c r="G1242" s="12" t="n">
        <x:v>1</x:v>
      </x:c>
      <x:c r="H1242" s="12" t="str">
        <x:v>{'NORM': 100.0, 'SR': 0.0}</x:v>
      </x:c>
      <x:c r="I1242" s="12" t="str">
        <x:v>[('NSR', 100.0), ('NML', 100.0)]</x:v>
      </x:c>
      <x:c r="J1242" s="12" t="str">
        <x:v>ptbxl_database.csv；ecg_id=11364；scp_codes</x:v>
      </x:c>
      <x:c r="K1242" s="12" t="str">
        <x:v>12sl_statements.csv；ecg_id=11364；statements_ext_snomed</x:v>
      </x:c>
      <x:c r="L1242" s="12"/>
      <x:c r="M1242" s="12" t="str">
        <x:v>negative</x:v>
      </x:c>
      <x:c r="N1242" s="12"/>
      <x:c r="O1242" s="12" t="str">
        <x:v>negative</x:v>
      </x:c>
      <x:c r="P1242" s="12" t="str">
        <x:f>IF(OR(M1242="unavailable",O1242="unavailable"),"不可评价",IF(OR(M1242="equivocal",O1242="equivocal"),"疑似",IF(AND(M1242="positive",O1242="positive"),"a",IF(O1242="positive","b",IF(M1242="positive","c","d")))))</x:f>
        <x:v>d</x:v>
      </x:c>
      <x:c r="Q1242" s="12"/>
      <x:c r="R1242" s="12" t="str">
        <x:v>negative</x:v>
      </x:c>
      <x:c r="S1242" s="12"/>
      <x:c r="T1242" s="12" t="str">
        <x:v>negative</x:v>
      </x:c>
      <x:c r="U1242" s="12" t="str">
        <x:f>IF(OR(R1242="unavailable",T1242="unavailable"),"不可评价",IF(OR(R1242="equivocal",T1242="equivocal"),"疑似",IF(AND(R1242="positive",T1242="positive"),"a",IF(T1242="positive","b",IF(R1242="positive","c","d")))))</x:f>
        <x:v>d</x:v>
      </x:c>
      <x:c r="V1242" s="12"/>
      <x:c r="W1242" s="12" t="str">
        <x:v>negative</x:v>
      </x:c>
      <x:c r="X1242" s="12"/>
      <x:c r="Y1242" s="12" t="str">
        <x:v>negative</x:v>
      </x:c>
      <x:c r="Z1242" s="12" t="str">
        <x:f>IF(OR(W1242="unavailable",Y1242="unavailable"),"不可评价",IF(OR(W1242="equivocal",Y1242="equivocal"),"疑似",IF(AND(W1242="positive",Y1242="positive"),"a",IF(Y1242="positive","b",IF(W1242="positive","c","d")))))</x:f>
        <x:v>d</x:v>
      </x:c>
      <x:c r="AA1242" s="12" t="str">
        <x:f>IF(OR(M1242="unavailable",O1242="unavailable"),"不可评价",IF(AND(OR(M1242="positive",M1242="equivocal"),OR(O1242="positive",O1242="equivocal")),"a",IF(OR(O1242="positive",O1242="equivocal"),"b",IF(OR(M1242="positive",M1242="equivocal"),"c","d"))))</x:f>
        <x:v>d</x:v>
      </x:c>
      <x:c r="AB1242" s="12" t="str">
        <x:f>IF(OR(M1242="unavailable",O1242="unavailable"),"不可评价",IF(AND(M1242="positive",O1242="positive"),"a",IF(O1242="positive","b",IF(M1242="positive","c","d"))))</x:f>
        <x:v>d</x:v>
      </x:c>
      <x:c r="AC1242" s="12" t="str">
        <x:f>IF(OR(R1242="unavailable",T1242="unavailable"),"不可评价",IF(AND(OR(R1242="positive",R1242="equivocal"),OR(T1242="positive",T1242="equivocal")),"a",IF(OR(T1242="positive",T1242="equivocal"),"b",IF(OR(R1242="positive",R1242="equivocal"),"c","d"))))</x:f>
        <x:v>d</x:v>
      </x:c>
      <x:c r="AD1242" s="12" t="str">
        <x:f>IF(OR(R1242="unavailable",T1242="unavailable"),"不可评价",IF(AND(R1242="positive",T1242="positive"),"a",IF(T1242="positive","b",IF(R1242="positive","c","d"))))</x:f>
        <x:v>d</x:v>
      </x:c>
      <x:c r="AE1242" s="12" t="str">
        <x:f>IF(OR(W1242="unavailable",Y1242="unavailable"),"不可评价",IF(AND(OR(W1242="positive",W1242="equivocal"),OR(Y1242="positive",Y1242="equivocal")),"a",IF(OR(Y1242="positive",Y1242="equivocal"),"b",IF(OR(W1242="positive",W1242="equivocal"),"c","d"))))</x:f>
        <x:v>d</x:v>
      </x:c>
      <x:c r="AF1242" s="12" t="str">
        <x:f>IF(OR(W1242="unavailable",Y1242="unavailable"),"不可评价",IF(AND(W1242="positive",Y1242="positive"),"a",IF(Y1242="positive","b",IF(W1242="positive","c","d"))))</x:f>
        <x:v>d</x:v>
      </x:c>
    </x:row>
    <x:row r="1243" ht="24" customHeight="1">
      <x:c r="A1243" s="12" t="str">
        <x:v>11371</x:v>
      </x:c>
      <x:c r="B1243" s="12" t="str">
        <x:v>17181</x:v>
      </x:c>
      <x:c r="C1243" s="21" t="n">
        <x:v>34287.70545138889</x:v>
      </x:c>
      <x:c r="D1243" s="12" t="n">
        <x:v>68</x:v>
      </x:c>
      <x:c r="E1243" s="12" t="n">
        <x:v>0</x:v>
      </x:c>
      <x:c r="F1243" s="12" t="str">
        <x:v>未记录</x:v>
      </x:c>
      <x:c r="G1243" s="12" t="n">
        <x:v>1</x:v>
      </x:c>
      <x:c r="H1243" s="12" t="str">
        <x:v>{'PACE': 100.0}</x:v>
      </x:c>
      <x:c r="I1243" s="12" t="str">
        <x:v>[('SRTH', 100.0), ('PAC', 100.0), ('$SABCOND', 100.0), ('LBBB', 100.0), ('AB', 100.0)]</x:v>
      </x:c>
      <x:c r="J1243" s="12" t="str">
        <x:v>ptbxl_database.csv；ecg_id=11371；scp_codes</x:v>
      </x:c>
      <x:c r="K1243" s="12" t="str">
        <x:v>12sl_statements.csv；ecg_id=11371；statements_ext_snomed</x:v>
      </x:c>
      <x:c r="L1243" s="12"/>
      <x:c r="M1243" s="12" t="str">
        <x:v>negative</x:v>
      </x:c>
      <x:c r="N1243" s="12"/>
      <x:c r="O1243" s="12" t="str">
        <x:v>negative</x:v>
      </x:c>
      <x:c r="P1243" s="12" t="str">
        <x:f>IF(OR(M1243="unavailable",O1243="unavailable"),"不可评价",IF(OR(M1243="equivocal",O1243="equivocal"),"疑似",IF(AND(M1243="positive",O1243="positive"),"a",IF(O1243="positive","b",IF(M1243="positive","c","d")))))</x:f>
        <x:v>d</x:v>
      </x:c>
      <x:c r="Q1243" s="12"/>
      <x:c r="R1243" s="12" t="str">
        <x:v>negative</x:v>
      </x:c>
      <x:c r="S1243" s="12" t="n">
        <x:v>100</x:v>
      </x:c>
      <x:c r="T1243" s="12" t="str">
        <x:v>positive</x:v>
      </x:c>
      <x:c r="U1243" s="12" t="str">
        <x:f>IF(OR(R1243="unavailable",T1243="unavailable"),"不可评价",IF(OR(R1243="equivocal",T1243="equivocal"),"疑似",IF(AND(R1243="positive",T1243="positive"),"a",IF(T1243="positive","b",IF(R1243="positive","c","d")))))</x:f>
        <x:v>b</x:v>
      </x:c>
      <x:c r="V1243" s="12"/>
      <x:c r="W1243" s="12" t="str">
        <x:v>negative</x:v>
      </x:c>
      <x:c r="X1243" s="12"/>
      <x:c r="Y1243" s="12" t="str">
        <x:v>negative</x:v>
      </x:c>
      <x:c r="Z1243" s="12" t="str">
        <x:f>IF(OR(W1243="unavailable",Y1243="unavailable"),"不可评价",IF(OR(W1243="equivocal",Y1243="equivocal"),"疑似",IF(AND(W1243="positive",Y1243="positive"),"a",IF(Y1243="positive","b",IF(W1243="positive","c","d")))))</x:f>
        <x:v>d</x:v>
      </x:c>
      <x:c r="AA1243" s="12" t="str">
        <x:f>IF(OR(M1243="unavailable",O1243="unavailable"),"不可评价",IF(AND(OR(M1243="positive",M1243="equivocal"),OR(O1243="positive",O1243="equivocal")),"a",IF(OR(O1243="positive",O1243="equivocal"),"b",IF(OR(M1243="positive",M1243="equivocal"),"c","d"))))</x:f>
        <x:v>d</x:v>
      </x:c>
      <x:c r="AB1243" s="12" t="str">
        <x:f>IF(OR(M1243="unavailable",O1243="unavailable"),"不可评价",IF(AND(M1243="positive",O1243="positive"),"a",IF(O1243="positive","b",IF(M1243="positive","c","d"))))</x:f>
        <x:v>d</x:v>
      </x:c>
      <x:c r="AC1243" s="12" t="str">
        <x:f>IF(OR(R1243="unavailable",T1243="unavailable"),"不可评价",IF(AND(OR(R1243="positive",R1243="equivocal"),OR(T1243="positive",T1243="equivocal")),"a",IF(OR(T1243="positive",T1243="equivocal"),"b",IF(OR(R1243="positive",R1243="equivocal"),"c","d"))))</x:f>
        <x:v>b</x:v>
      </x:c>
      <x:c r="AD1243" s="12" t="str">
        <x:f>IF(OR(R1243="unavailable",T1243="unavailable"),"不可评价",IF(AND(R1243="positive",T1243="positive"),"a",IF(T1243="positive","b",IF(R1243="positive","c","d"))))</x:f>
        <x:v>b</x:v>
      </x:c>
      <x:c r="AE1243" s="12" t="str">
        <x:f>IF(OR(W1243="unavailable",Y1243="unavailable"),"不可评价",IF(AND(OR(W1243="positive",W1243="equivocal"),OR(Y1243="positive",Y1243="equivocal")),"a",IF(OR(Y1243="positive",Y1243="equivocal"),"b",IF(OR(W1243="positive",W1243="equivocal"),"c","d"))))</x:f>
        <x:v>d</x:v>
      </x:c>
      <x:c r="AF1243" s="12" t="str">
        <x:f>IF(OR(W1243="unavailable",Y1243="unavailable"),"不可评价",IF(AND(W1243="positive",Y1243="positive"),"a",IF(Y1243="positive","b",IF(W1243="positive","c","d"))))</x:f>
        <x:v>d</x:v>
      </x:c>
    </x:row>
    <x:row r="1244" ht="24" customHeight="1">
      <x:c r="A1244" s="12" t="str">
        <x:v>11372</x:v>
      </x:c>
      <x:c r="B1244" s="12" t="str">
        <x:v>20751</x:v>
      </x:c>
      <x:c r="C1244" s="21" t="n">
        <x:v>34288.300208333334</x:v>
      </x:c>
      <x:c r="D1244" s="12" t="n">
        <x:v>47</x:v>
      </x:c>
      <x:c r="E1244" s="12" t="n">
        <x:v>0</x:v>
      </x:c>
      <x:c r="F1244" s="12" t="str">
        <x:v>未记录</x:v>
      </x:c>
      <x:c r="G1244" s="12" t="n">
        <x:v>1</x:v>
      </x:c>
      <x:c r="H1244" s="12" t="str">
        <x:v>{'NORM': 100.0, 'SR': 0.0}</x:v>
      </x:c>
      <x:c r="I1244" s="12" t="str">
        <x:v>[('SBRAD', 100.0), ('ABR', 100.0)]</x:v>
      </x:c>
      <x:c r="J1244" s="12" t="str">
        <x:v>ptbxl_database.csv；ecg_id=11372；scp_codes</x:v>
      </x:c>
      <x:c r="K1244" s="12" t="str">
        <x:v>12sl_statements.csv；ecg_id=11372；statements_ext_snomed</x:v>
      </x:c>
      <x:c r="L1244" s="12"/>
      <x:c r="M1244" s="12" t="str">
        <x:v>negative</x:v>
      </x:c>
      <x:c r="N1244" s="12"/>
      <x:c r="O1244" s="12" t="str">
        <x:v>negative</x:v>
      </x:c>
      <x:c r="P1244" s="12" t="str">
        <x:f>IF(OR(M1244="unavailable",O1244="unavailable"),"不可评价",IF(OR(M1244="equivocal",O1244="equivocal"),"疑似",IF(AND(M1244="positive",O1244="positive"),"a",IF(O1244="positive","b",IF(M1244="positive","c","d")))))</x:f>
        <x:v>d</x:v>
      </x:c>
      <x:c r="Q1244" s="12"/>
      <x:c r="R1244" s="12" t="str">
        <x:v>negative</x:v>
      </x:c>
      <x:c r="S1244" s="12"/>
      <x:c r="T1244" s="12" t="str">
        <x:v>negative</x:v>
      </x:c>
      <x:c r="U1244" s="12" t="str">
        <x:f>IF(OR(R1244="unavailable",T1244="unavailable"),"不可评价",IF(OR(R1244="equivocal",T1244="equivocal"),"疑似",IF(AND(R1244="positive",T1244="positive"),"a",IF(T1244="positive","b",IF(R1244="positive","c","d")))))</x:f>
        <x:v>d</x:v>
      </x:c>
      <x:c r="V1244" s="12"/>
      <x:c r="W1244" s="12" t="str">
        <x:v>negative</x:v>
      </x:c>
      <x:c r="X1244" s="12"/>
      <x:c r="Y1244" s="12" t="str">
        <x:v>negative</x:v>
      </x:c>
      <x:c r="Z1244" s="12" t="str">
        <x:f>IF(OR(W1244="unavailable",Y1244="unavailable"),"不可评价",IF(OR(W1244="equivocal",Y1244="equivocal"),"疑似",IF(AND(W1244="positive",Y1244="positive"),"a",IF(Y1244="positive","b",IF(W1244="positive","c","d")))))</x:f>
        <x:v>d</x:v>
      </x:c>
      <x:c r="AA1244" s="12" t="str">
        <x:f>IF(OR(M1244="unavailable",O1244="unavailable"),"不可评价",IF(AND(OR(M1244="positive",M1244="equivocal"),OR(O1244="positive",O1244="equivocal")),"a",IF(OR(O1244="positive",O1244="equivocal"),"b",IF(OR(M1244="positive",M1244="equivocal"),"c","d"))))</x:f>
        <x:v>d</x:v>
      </x:c>
      <x:c r="AB1244" s="12" t="str">
        <x:f>IF(OR(M1244="unavailable",O1244="unavailable"),"不可评价",IF(AND(M1244="positive",O1244="positive"),"a",IF(O1244="positive","b",IF(M1244="positive","c","d"))))</x:f>
        <x:v>d</x:v>
      </x:c>
      <x:c r="AC1244" s="12" t="str">
        <x:f>IF(OR(R1244="unavailable",T1244="unavailable"),"不可评价",IF(AND(OR(R1244="positive",R1244="equivocal"),OR(T1244="positive",T1244="equivocal")),"a",IF(OR(T1244="positive",T1244="equivocal"),"b",IF(OR(R1244="positive",R1244="equivocal"),"c","d"))))</x:f>
        <x:v>d</x:v>
      </x:c>
      <x:c r="AD1244" s="12" t="str">
        <x:f>IF(OR(R1244="unavailable",T1244="unavailable"),"不可评价",IF(AND(R1244="positive",T1244="positive"),"a",IF(T1244="positive","b",IF(R1244="positive","c","d"))))</x:f>
        <x:v>d</x:v>
      </x:c>
      <x:c r="AE1244" s="12" t="str">
        <x:f>IF(OR(W1244="unavailable",Y1244="unavailable"),"不可评价",IF(AND(OR(W1244="positive",W1244="equivocal"),OR(Y1244="positive",Y1244="equivocal")),"a",IF(OR(Y1244="positive",Y1244="equivocal"),"b",IF(OR(W1244="positive",W1244="equivocal"),"c","d"))))</x:f>
        <x:v>d</x:v>
      </x:c>
      <x:c r="AF1244" s="12" t="str">
        <x:f>IF(OR(W1244="unavailable",Y1244="unavailable"),"不可评价",IF(AND(W1244="positive",Y1244="positive"),"a",IF(Y1244="positive","b",IF(W1244="positive","c","d"))))</x:f>
        <x:v>d</x:v>
      </x:c>
    </x:row>
    <x:row r="1245" ht="24" customHeight="1">
      <x:c r="A1245" s="12" t="str">
        <x:v>11406</x:v>
      </x:c>
      <x:c r="B1245" s="12" t="str">
        <x:v>20898</x:v>
      </x:c>
      <x:c r="C1245" s="21" t="n">
        <x:v>34295.69070601852</x:v>
      </x:c>
      <x:c r="D1245" s="12" t="n">
        <x:v>74</x:v>
      </x:c>
      <x:c r="E1245" s="12" t="n">
        <x:v>1</x:v>
      </x:c>
      <x:c r="F1245" s="12" t="str">
        <x:v>未记录</x:v>
      </x:c>
      <x:c r="G1245" s="12" t="n">
        <x:v>1</x:v>
      </x:c>
      <x:c r="H1245" s="12" t="str">
        <x:v>{'IMI': 15.0, 'SR': 0.0}</x:v>
      </x:c>
      <x:c r="I1245" s="12" t="str">
        <x:v>[('NSR', 100.0), ('NSTT', 100.0), ('AB', 100.0)]</x:v>
      </x:c>
      <x:c r="J1245" s="12" t="str">
        <x:v>ptbxl_database.csv；ecg_id=11406；scp_codes</x:v>
      </x:c>
      <x:c r="K1245" s="12" t="str">
        <x:v>12sl_statements.csv；ecg_id=11406；statements_ext_snomed</x:v>
      </x:c>
      <x:c r="L1245" s="12"/>
      <x:c r="M1245" s="12" t="str">
        <x:v>negative</x:v>
      </x:c>
      <x:c r="N1245" s="12"/>
      <x:c r="O1245" s="12" t="str">
        <x:v>negative</x:v>
      </x:c>
      <x:c r="P1245" s="12" t="str">
        <x:f>IF(OR(M1245="unavailable",O1245="unavailable"),"不可评价",IF(OR(M1245="equivocal",O1245="equivocal"),"疑似",IF(AND(M1245="positive",O1245="positive"),"a",IF(O1245="positive","b",IF(M1245="positive","c","d")))))</x:f>
        <x:v>d</x:v>
      </x:c>
      <x:c r="Q1245" s="12"/>
      <x:c r="R1245" s="12" t="str">
        <x:v>negative</x:v>
      </x:c>
      <x:c r="S1245" s="12"/>
      <x:c r="T1245" s="12" t="str">
        <x:v>negative</x:v>
      </x:c>
      <x:c r="U1245" s="12" t="str">
        <x:f>IF(OR(R1245="unavailable",T1245="unavailable"),"不可评价",IF(OR(R1245="equivocal",T1245="equivocal"),"疑似",IF(AND(R1245="positive",T1245="positive"),"a",IF(T1245="positive","b",IF(R1245="positive","c","d")))))</x:f>
        <x:v>d</x:v>
      </x:c>
      <x:c r="V1245" s="12"/>
      <x:c r="W1245" s="12" t="str">
        <x:v>negative</x:v>
      </x:c>
      <x:c r="X1245" s="12"/>
      <x:c r="Y1245" s="12" t="str">
        <x:v>negative</x:v>
      </x:c>
      <x:c r="Z1245" s="12" t="str">
        <x:f>IF(OR(W1245="unavailable",Y1245="unavailable"),"不可评价",IF(OR(W1245="equivocal",Y1245="equivocal"),"疑似",IF(AND(W1245="positive",Y1245="positive"),"a",IF(Y1245="positive","b",IF(W1245="positive","c","d")))))</x:f>
        <x:v>d</x:v>
      </x:c>
      <x:c r="AA1245" s="12" t="str">
        <x:f>IF(OR(M1245="unavailable",O1245="unavailable"),"不可评价",IF(AND(OR(M1245="positive",M1245="equivocal"),OR(O1245="positive",O1245="equivocal")),"a",IF(OR(O1245="positive",O1245="equivocal"),"b",IF(OR(M1245="positive",M1245="equivocal"),"c","d"))))</x:f>
        <x:v>d</x:v>
      </x:c>
      <x:c r="AB1245" s="12" t="str">
        <x:f>IF(OR(M1245="unavailable",O1245="unavailable"),"不可评价",IF(AND(M1245="positive",O1245="positive"),"a",IF(O1245="positive","b",IF(M1245="positive","c","d"))))</x:f>
        <x:v>d</x:v>
      </x:c>
      <x:c r="AC1245" s="12" t="str">
        <x:f>IF(OR(R1245="unavailable",T1245="unavailable"),"不可评价",IF(AND(OR(R1245="positive",R1245="equivocal"),OR(T1245="positive",T1245="equivocal")),"a",IF(OR(T1245="positive",T1245="equivocal"),"b",IF(OR(R1245="positive",R1245="equivocal"),"c","d"))))</x:f>
        <x:v>d</x:v>
      </x:c>
      <x:c r="AD1245" s="12" t="str">
        <x:f>IF(OR(R1245="unavailable",T1245="unavailable"),"不可评价",IF(AND(R1245="positive",T1245="positive"),"a",IF(T1245="positive","b",IF(R1245="positive","c","d"))))</x:f>
        <x:v>d</x:v>
      </x:c>
      <x:c r="AE1245" s="12" t="str">
        <x:f>IF(OR(W1245="unavailable",Y1245="unavailable"),"不可评价",IF(AND(OR(W1245="positive",W1245="equivocal"),OR(Y1245="positive",Y1245="equivocal")),"a",IF(OR(Y1245="positive",Y1245="equivocal"),"b",IF(OR(W1245="positive",W1245="equivocal"),"c","d"))))</x:f>
        <x:v>d</x:v>
      </x:c>
      <x:c r="AF1245" s="12" t="str">
        <x:f>IF(OR(W1245="unavailable",Y1245="unavailable"),"不可评价",IF(AND(W1245="positive",Y1245="positive"),"a",IF(Y1245="positive","b",IF(W1245="positive","c","d"))))</x:f>
        <x:v>d</x:v>
      </x:c>
    </x:row>
    <x:row r="1246" ht="24" customHeight="1">
      <x:c r="A1246" s="12" t="str">
        <x:v>11411</x:v>
      </x:c>
      <x:c r="B1246" s="12" t="str">
        <x:v>9149</x:v>
      </x:c>
      <x:c r="C1246" s="21" t="n">
        <x:v>34297.357766203706</x:v>
      </x:c>
      <x:c r="D1246" s="12" t="n">
        <x:v>39</x:v>
      </x:c>
      <x:c r="E1246" s="12" t="n">
        <x:v>0</x:v>
      </x:c>
      <x:c r="F1246" s="12" t="str">
        <x:v>未记录</x:v>
      </x:c>
      <x:c r="G1246" s="12" t="n">
        <x:v>0</x:v>
      </x:c>
      <x:c r="H1246" s="12" t="str">
        <x:v>{'NORM': 80.0, 'ABQRS': 0.0, 'SR': 0.0}</x:v>
      </x:c>
      <x:c r="I1246" s="12" t="str">
        <x:v>[('NSR', 100.0), ('NML', 100.0)]</x:v>
      </x:c>
      <x:c r="J1246" s="12" t="str">
        <x:v>ptbxl_database.csv；ecg_id=11411；scp_codes</x:v>
      </x:c>
      <x:c r="K1246" s="12" t="str">
        <x:v>12sl_statements.csv；ecg_id=11411；statements_ext_snomed</x:v>
      </x:c>
      <x:c r="L1246" s="12"/>
      <x:c r="M1246" s="12" t="str">
        <x:v>negative</x:v>
      </x:c>
      <x:c r="N1246" s="12"/>
      <x:c r="O1246" s="12" t="str">
        <x:v>negative</x:v>
      </x:c>
      <x:c r="P1246" s="12" t="str">
        <x:f>IF(OR(M1246="unavailable",O1246="unavailable"),"不可评价",IF(OR(M1246="equivocal",O1246="equivocal"),"疑似",IF(AND(M1246="positive",O1246="positive"),"a",IF(O1246="positive","b",IF(M1246="positive","c","d")))))</x:f>
        <x:v>d</x:v>
      </x:c>
      <x:c r="Q1246" s="12"/>
      <x:c r="R1246" s="12" t="str">
        <x:v>negative</x:v>
      </x:c>
      <x:c r="S1246" s="12"/>
      <x:c r="T1246" s="12" t="str">
        <x:v>negative</x:v>
      </x:c>
      <x:c r="U1246" s="12" t="str">
        <x:f>IF(OR(R1246="unavailable",T1246="unavailable"),"不可评价",IF(OR(R1246="equivocal",T1246="equivocal"),"疑似",IF(AND(R1246="positive",T1246="positive"),"a",IF(T1246="positive","b",IF(R1246="positive","c","d")))))</x:f>
        <x:v>d</x:v>
      </x:c>
      <x:c r="V1246" s="12"/>
      <x:c r="W1246" s="12" t="str">
        <x:v>negative</x:v>
      </x:c>
      <x:c r="X1246" s="12"/>
      <x:c r="Y1246" s="12" t="str">
        <x:v>negative</x:v>
      </x:c>
      <x:c r="Z1246" s="12" t="str">
        <x:f>IF(OR(W1246="unavailable",Y1246="unavailable"),"不可评价",IF(OR(W1246="equivocal",Y1246="equivocal"),"疑似",IF(AND(W1246="positive",Y1246="positive"),"a",IF(Y1246="positive","b",IF(W1246="positive","c","d")))))</x:f>
        <x:v>d</x:v>
      </x:c>
      <x:c r="AA1246" s="12" t="str">
        <x:f>IF(OR(M1246="unavailable",O1246="unavailable"),"不可评价",IF(AND(OR(M1246="positive",M1246="equivocal"),OR(O1246="positive",O1246="equivocal")),"a",IF(OR(O1246="positive",O1246="equivocal"),"b",IF(OR(M1246="positive",M1246="equivocal"),"c","d"))))</x:f>
        <x:v>d</x:v>
      </x:c>
      <x:c r="AB1246" s="12" t="str">
        <x:f>IF(OR(M1246="unavailable",O1246="unavailable"),"不可评价",IF(AND(M1246="positive",O1246="positive"),"a",IF(O1246="positive","b",IF(M1246="positive","c","d"))))</x:f>
        <x:v>d</x:v>
      </x:c>
      <x:c r="AC1246" s="12" t="str">
        <x:f>IF(OR(R1246="unavailable",T1246="unavailable"),"不可评价",IF(AND(OR(R1246="positive",R1246="equivocal"),OR(T1246="positive",T1246="equivocal")),"a",IF(OR(T1246="positive",T1246="equivocal"),"b",IF(OR(R1246="positive",R1246="equivocal"),"c","d"))))</x:f>
        <x:v>d</x:v>
      </x:c>
      <x:c r="AD1246" s="12" t="str">
        <x:f>IF(OR(R1246="unavailable",T1246="unavailable"),"不可评价",IF(AND(R1246="positive",T1246="positive"),"a",IF(T1246="positive","b",IF(R1246="positive","c","d"))))</x:f>
        <x:v>d</x:v>
      </x:c>
      <x:c r="AE1246" s="12" t="str">
        <x:f>IF(OR(W1246="unavailable",Y1246="unavailable"),"不可评价",IF(AND(OR(W1246="positive",W1246="equivocal"),OR(Y1246="positive",Y1246="equivocal")),"a",IF(OR(Y1246="positive",Y1246="equivocal"),"b",IF(OR(W1246="positive",W1246="equivocal"),"c","d"))))</x:f>
        <x:v>d</x:v>
      </x:c>
      <x:c r="AF1246" s="12" t="str">
        <x:f>IF(OR(W1246="unavailable",Y1246="unavailable"),"不可评价",IF(AND(W1246="positive",Y1246="positive"),"a",IF(Y1246="positive","b",IF(W1246="positive","c","d"))))</x:f>
        <x:v>d</x:v>
      </x:c>
    </x:row>
    <x:row r="1247" ht="24" customHeight="1">
      <x:c r="A1247" s="12" t="str">
        <x:v>11418</x:v>
      </x:c>
      <x:c r="B1247" s="12" t="str">
        <x:v>13679</x:v>
      </x:c>
      <x:c r="C1247" s="21" t="n">
        <x:v>34298.44414351852</x:v>
      </x:c>
      <x:c r="D1247" s="12" t="n">
        <x:v>300</x:v>
      </x:c>
      <x:c r="E1247" s="12" t="n">
        <x:v>1</x:v>
      </x:c>
      <x:c r="F1247" s="12" t="str">
        <x:v>存在</x:v>
      </x:c>
      <x:c r="G1247" s="12" t="n">
        <x:v>1</x:v>
      </x:c>
      <x:c r="H1247" s="12" t="str">
        <x:v>{'CLBBB': 100.0, 'STACH': 0.0, 'BIGU': 0.0}</x:v>
      </x:c>
      <x:c r="I1247" s="12" t="str">
        <x:v>[('AFIB', 100.0), ('ABER', 100.0), ('LBBB', 100.0), ('AB', 100.0)]</x:v>
      </x:c>
      <x:c r="J1247" s="12" t="str">
        <x:v>ptbxl_database.csv；ecg_id=11418；scp_codes</x:v>
      </x:c>
      <x:c r="K1247" s="12" t="str">
        <x:v>12sl_statements.csv；ecg_id=11418；statements_ext_snomed</x:v>
      </x:c>
      <x:c r="L1247" s="12"/>
      <x:c r="M1247" s="12" t="str">
        <x:v>negative</x:v>
      </x:c>
      <x:c r="N1247" s="12" t="n">
        <x:v>100</x:v>
      </x:c>
      <x:c r="O1247" s="12" t="str">
        <x:v>positive</x:v>
      </x:c>
      <x:c r="P1247" s="12" t="str">
        <x:f>IF(OR(M1247="unavailable",O1247="unavailable"),"不可评价",IF(OR(M1247="equivocal",O1247="equivocal"),"疑似",IF(AND(M1247="positive",O1247="positive"),"a",IF(O1247="positive","b",IF(M1247="positive","c","d")))))</x:f>
        <x:v>b</x:v>
      </x:c>
      <x:c r="Q1247" s="12" t="n">
        <x:v>100</x:v>
      </x:c>
      <x:c r="R1247" s="12" t="str">
        <x:v>positive</x:v>
      </x:c>
      <x:c r="S1247" s="12" t="n">
        <x:v>100</x:v>
      </x:c>
      <x:c r="T1247" s="12" t="str">
        <x:v>positive</x:v>
      </x:c>
      <x:c r="U1247" s="12" t="str">
        <x:f>IF(OR(R1247="unavailable",T1247="unavailable"),"不可评价",IF(OR(R1247="equivocal",T1247="equivocal"),"疑似",IF(AND(R1247="positive",T1247="positive"),"a",IF(T1247="positive","b",IF(R1247="positive","c","d")))))</x:f>
        <x:v>a</x:v>
      </x:c>
      <x:c r="V1247" s="12"/>
      <x:c r="W1247" s="12" t="str">
        <x:v>negative</x:v>
      </x:c>
      <x:c r="X1247" s="12"/>
      <x:c r="Y1247" s="12" t="str">
        <x:v>negative</x:v>
      </x:c>
      <x:c r="Z1247" s="12" t="str">
        <x:f>IF(OR(W1247="unavailable",Y1247="unavailable"),"不可评价",IF(OR(W1247="equivocal",Y1247="equivocal"),"疑似",IF(AND(W1247="positive",Y1247="positive"),"a",IF(Y1247="positive","b",IF(W1247="positive","c","d")))))</x:f>
        <x:v>d</x:v>
      </x:c>
      <x:c r="AA1247" s="12" t="str">
        <x:f>IF(OR(M1247="unavailable",O1247="unavailable"),"不可评价",IF(AND(OR(M1247="positive",M1247="equivocal"),OR(O1247="positive",O1247="equivocal")),"a",IF(OR(O1247="positive",O1247="equivocal"),"b",IF(OR(M1247="positive",M1247="equivocal"),"c","d"))))</x:f>
        <x:v>b</x:v>
      </x:c>
      <x:c r="AB1247" s="12" t="str">
        <x:f>IF(OR(M1247="unavailable",O1247="unavailable"),"不可评价",IF(AND(M1247="positive",O1247="positive"),"a",IF(O1247="positive","b",IF(M1247="positive","c","d"))))</x:f>
        <x:v>b</x:v>
      </x:c>
      <x:c r="AC1247" s="12" t="str">
        <x:f>IF(OR(R1247="unavailable",T1247="unavailable"),"不可评价",IF(AND(OR(R1247="positive",R1247="equivocal"),OR(T1247="positive",T1247="equivocal")),"a",IF(OR(T1247="positive",T1247="equivocal"),"b",IF(OR(R1247="positive",R1247="equivocal"),"c","d"))))</x:f>
        <x:v>a</x:v>
      </x:c>
      <x:c r="AD1247" s="12" t="str">
        <x:f>IF(OR(R1247="unavailable",T1247="unavailable"),"不可评价",IF(AND(R1247="positive",T1247="positive"),"a",IF(T1247="positive","b",IF(R1247="positive","c","d"))))</x:f>
        <x:v>a</x:v>
      </x:c>
      <x:c r="AE1247" s="12" t="str">
        <x:f>IF(OR(W1247="unavailable",Y1247="unavailable"),"不可评价",IF(AND(OR(W1247="positive",W1247="equivocal"),OR(Y1247="positive",Y1247="equivocal")),"a",IF(OR(Y1247="positive",Y1247="equivocal"),"b",IF(OR(W1247="positive",W1247="equivocal"),"c","d"))))</x:f>
        <x:v>d</x:v>
      </x:c>
      <x:c r="AF1247" s="12" t="str">
        <x:f>IF(OR(W1247="unavailable",Y1247="unavailable"),"不可评价",IF(AND(W1247="positive",Y1247="positive"),"a",IF(Y1247="positive","b",IF(W1247="positive","c","d"))))</x:f>
        <x:v>d</x:v>
      </x:c>
    </x:row>
    <x:row r="1248" ht="24" customHeight="1">
      <x:c r="A1248" s="12" t="str">
        <x:v>11420</x:v>
      </x:c>
      <x:c r="B1248" s="12" t="str">
        <x:v>13629</x:v>
      </x:c>
      <x:c r="C1248" s="21" t="n">
        <x:v>34298.60832175926</x:v>
      </x:c>
      <x:c r="D1248" s="12" t="n">
        <x:v>84</x:v>
      </x:c>
      <x:c r="E1248" s="12" t="n">
        <x:v>0</x:v>
      </x:c>
      <x:c r="F1248" s="12" t="str">
        <x:v>存在</x:v>
      </x:c>
      <x:c r="G1248" s="12" t="n">
        <x:v>0</x:v>
      </x:c>
      <x:c r="H1248" s="12" t="str">
        <x:v>{'NDT': 100.0, 'SR': 0.0}</x:v>
      </x:c>
      <x:c r="I1248" s="12" t="str">
        <x:v>[('EAR', 100.0), ('LOWV', 100.0), ('AB', 100.0)]</x:v>
      </x:c>
      <x:c r="J1248" s="12" t="str">
        <x:v>ptbxl_database.csv；ecg_id=11420；scp_codes</x:v>
      </x:c>
      <x:c r="K1248" s="12" t="str">
        <x:v>12sl_statements.csv；ecg_id=11420；statements_ext_snomed</x:v>
      </x:c>
      <x:c r="L1248" s="12"/>
      <x:c r="M1248" s="12" t="str">
        <x:v>negative</x:v>
      </x:c>
      <x:c r="N1248" s="12"/>
      <x:c r="O1248" s="12" t="str">
        <x:v>negative</x:v>
      </x:c>
      <x:c r="P1248" s="12" t="str">
        <x:f>IF(OR(M1248="unavailable",O1248="unavailable"),"不可评价",IF(OR(M1248="equivocal",O1248="equivocal"),"疑似",IF(AND(M1248="positive",O1248="positive"),"a",IF(O1248="positive","b",IF(M1248="positive","c","d")))))</x:f>
        <x:v>d</x:v>
      </x:c>
      <x:c r="Q1248" s="12"/>
      <x:c r="R1248" s="12" t="str">
        <x:v>negative</x:v>
      </x:c>
      <x:c r="S1248" s="12"/>
      <x:c r="T1248" s="12" t="str">
        <x:v>negative</x:v>
      </x:c>
      <x:c r="U1248" s="12" t="str">
        <x:f>IF(OR(R1248="unavailable",T1248="unavailable"),"不可评价",IF(OR(R1248="equivocal",T1248="equivocal"),"疑似",IF(AND(R1248="positive",T1248="positive"),"a",IF(T1248="positive","b",IF(R1248="positive","c","d")))))</x:f>
        <x:v>d</x:v>
      </x:c>
      <x:c r="V1248" s="12"/>
      <x:c r="W1248" s="12" t="str">
        <x:v>negative</x:v>
      </x:c>
      <x:c r="X1248" s="12"/>
      <x:c r="Y1248" s="12" t="str">
        <x:v>negative</x:v>
      </x:c>
      <x:c r="Z1248" s="12" t="str">
        <x:f>IF(OR(W1248="unavailable",Y1248="unavailable"),"不可评价",IF(OR(W1248="equivocal",Y1248="equivocal"),"疑似",IF(AND(W1248="positive",Y1248="positive"),"a",IF(Y1248="positive","b",IF(W1248="positive","c","d")))))</x:f>
        <x:v>d</x:v>
      </x:c>
      <x:c r="AA1248" s="12" t="str">
        <x:f>IF(OR(M1248="unavailable",O1248="unavailable"),"不可评价",IF(AND(OR(M1248="positive",M1248="equivocal"),OR(O1248="positive",O1248="equivocal")),"a",IF(OR(O1248="positive",O1248="equivocal"),"b",IF(OR(M1248="positive",M1248="equivocal"),"c","d"))))</x:f>
        <x:v>d</x:v>
      </x:c>
      <x:c r="AB1248" s="12" t="str">
        <x:f>IF(OR(M1248="unavailable",O1248="unavailable"),"不可评价",IF(AND(M1248="positive",O1248="positive"),"a",IF(O1248="positive","b",IF(M1248="positive","c","d"))))</x:f>
        <x:v>d</x:v>
      </x:c>
      <x:c r="AC1248" s="12" t="str">
        <x:f>IF(OR(R1248="unavailable",T1248="unavailable"),"不可评价",IF(AND(OR(R1248="positive",R1248="equivocal"),OR(T1248="positive",T1248="equivocal")),"a",IF(OR(T1248="positive",T1248="equivocal"),"b",IF(OR(R1248="positive",R1248="equivocal"),"c","d"))))</x:f>
        <x:v>d</x:v>
      </x:c>
      <x:c r="AD1248" s="12" t="str">
        <x:f>IF(OR(R1248="unavailable",T1248="unavailable"),"不可评价",IF(AND(R1248="positive",T1248="positive"),"a",IF(T1248="positive","b",IF(R1248="positive","c","d"))))</x:f>
        <x:v>d</x:v>
      </x:c>
      <x:c r="AE1248" s="12" t="str">
        <x:f>IF(OR(W1248="unavailable",Y1248="unavailable"),"不可评价",IF(AND(OR(W1248="positive",W1248="equivocal"),OR(Y1248="positive",Y1248="equivocal")),"a",IF(OR(Y1248="positive",Y1248="equivocal"),"b",IF(OR(W1248="positive",W1248="equivocal"),"c","d"))))</x:f>
        <x:v>d</x:v>
      </x:c>
      <x:c r="AF1248" s="12" t="str">
        <x:f>IF(OR(W1248="unavailable",Y1248="unavailable"),"不可评价",IF(AND(W1248="positive",Y1248="positive"),"a",IF(Y1248="positive","b",IF(W1248="positive","c","d"))))</x:f>
        <x:v>d</x:v>
      </x:c>
    </x:row>
    <x:row r="1249" ht="24" customHeight="1">
      <x:c r="A1249" s="12" t="str">
        <x:v>11441</x:v>
      </x:c>
      <x:c r="B1249" s="12" t="str">
        <x:v>12916</x:v>
      </x:c>
      <x:c r="C1249" s="21" t="n">
        <x:v>34302.85884259259</x:v>
      </x:c>
      <x:c r="D1249" s="12" t="n">
        <x:v>79</x:v>
      </x:c>
      <x:c r="E1249" s="12" t="n">
        <x:v>0</x:v>
      </x:c>
      <x:c r="F1249" s="12" t="str">
        <x:v>存在</x:v>
      </x:c>
      <x:c r="G1249" s="12" t="n">
        <x:v>1</x:v>
      </x:c>
      <x:c r="H1249" s="12" t="str">
        <x:v>{'CLBBB': 100.0, 'LAO/LAE': 100.0, 'SR': 0.0}</x:v>
      </x:c>
      <x:c r="I1249" s="12" t="str">
        <x:v>[('$SWQR', 100.0), ('LVH2', 100.0), ('QRSW-2ST', 100.0), ('AB', 100.0)]</x:v>
      </x:c>
      <x:c r="J1249" s="12" t="str">
        <x:v>ptbxl_database.csv；ecg_id=11441；scp_codes</x:v>
      </x:c>
      <x:c r="K1249" s="12" t="str">
        <x:v>12sl_statements.csv；ecg_id=11441；statements_ext_snomed</x:v>
      </x:c>
      <x:c r="L1249" s="12"/>
      <x:c r="M1249" s="12" t="str">
        <x:v>negative</x:v>
      </x:c>
      <x:c r="N1249" s="12"/>
      <x:c r="O1249" s="12" t="str">
        <x:v>negative</x:v>
      </x:c>
      <x:c r="P1249" s="12" t="str">
        <x:f>IF(OR(M1249="unavailable",O1249="unavailable"),"不可评价",IF(OR(M1249="equivocal",O1249="equivocal"),"疑似",IF(AND(M1249="positive",O1249="positive"),"a",IF(O1249="positive","b",IF(M1249="positive","c","d")))))</x:f>
        <x:v>d</x:v>
      </x:c>
      <x:c r="Q1249" s="12" t="n">
        <x:v>100</x:v>
      </x:c>
      <x:c r="R1249" s="12" t="str">
        <x:v>positive</x:v>
      </x:c>
      <x:c r="S1249" s="12"/>
      <x:c r="T1249" s="12" t="str">
        <x:v>negative</x:v>
      </x:c>
      <x:c r="U1249" s="12" t="str">
        <x:f>IF(OR(R1249="unavailable",T1249="unavailable"),"不可评价",IF(OR(R1249="equivocal",T1249="equivocal"),"疑似",IF(AND(R1249="positive",T1249="positive"),"a",IF(T1249="positive","b",IF(R1249="positive","c","d")))))</x:f>
        <x:v>c</x:v>
      </x:c>
      <x:c r="V1249" s="12"/>
      <x:c r="W1249" s="12" t="str">
        <x:v>negative</x:v>
      </x:c>
      <x:c r="X1249" s="12"/>
      <x:c r="Y1249" s="12" t="str">
        <x:v>negative</x:v>
      </x:c>
      <x:c r="Z1249" s="12" t="str">
        <x:f>IF(OR(W1249="unavailable",Y1249="unavailable"),"不可评价",IF(OR(W1249="equivocal",Y1249="equivocal"),"疑似",IF(AND(W1249="positive",Y1249="positive"),"a",IF(Y1249="positive","b",IF(W1249="positive","c","d")))))</x:f>
        <x:v>d</x:v>
      </x:c>
      <x:c r="AA1249" s="12" t="str">
        <x:f>IF(OR(M1249="unavailable",O1249="unavailable"),"不可评价",IF(AND(OR(M1249="positive",M1249="equivocal"),OR(O1249="positive",O1249="equivocal")),"a",IF(OR(O1249="positive",O1249="equivocal"),"b",IF(OR(M1249="positive",M1249="equivocal"),"c","d"))))</x:f>
        <x:v>d</x:v>
      </x:c>
      <x:c r="AB1249" s="12" t="str">
        <x:f>IF(OR(M1249="unavailable",O1249="unavailable"),"不可评价",IF(AND(M1249="positive",O1249="positive"),"a",IF(O1249="positive","b",IF(M1249="positive","c","d"))))</x:f>
        <x:v>d</x:v>
      </x:c>
      <x:c r="AC1249" s="12" t="str">
        <x:f>IF(OR(R1249="unavailable",T1249="unavailable"),"不可评价",IF(AND(OR(R1249="positive",R1249="equivocal"),OR(T1249="positive",T1249="equivocal")),"a",IF(OR(T1249="positive",T1249="equivocal"),"b",IF(OR(R1249="positive",R1249="equivocal"),"c","d"))))</x:f>
        <x:v>c</x:v>
      </x:c>
      <x:c r="AD1249" s="12" t="str">
        <x:f>IF(OR(R1249="unavailable",T1249="unavailable"),"不可评价",IF(AND(R1249="positive",T1249="positive"),"a",IF(T1249="positive","b",IF(R1249="positive","c","d"))))</x:f>
        <x:v>c</x:v>
      </x:c>
      <x:c r="AE1249" s="12" t="str">
        <x:f>IF(OR(W1249="unavailable",Y1249="unavailable"),"不可评价",IF(AND(OR(W1249="positive",W1249="equivocal"),OR(Y1249="positive",Y1249="equivocal")),"a",IF(OR(Y1249="positive",Y1249="equivocal"),"b",IF(OR(W1249="positive",W1249="equivocal"),"c","d"))))</x:f>
        <x:v>d</x:v>
      </x:c>
      <x:c r="AF1249" s="12" t="str">
        <x:f>IF(OR(W1249="unavailable",Y1249="unavailable"),"不可评价",IF(AND(W1249="positive",Y1249="positive"),"a",IF(Y1249="positive","b",IF(W1249="positive","c","d"))))</x:f>
        <x:v>d</x:v>
      </x:c>
    </x:row>
    <x:row r="1250" ht="24" customHeight="1">
      <x:c r="A1250" s="12" t="str">
        <x:v>11453</x:v>
      </x:c>
      <x:c r="B1250" s="12" t="str">
        <x:v>16018</x:v>
      </x:c>
      <x:c r="C1250" s="21" t="n">
        <x:v>34305.70731481481</x:v>
      </x:c>
      <x:c r="D1250" s="12" t="n">
        <x:v>72</x:v>
      </x:c>
      <x:c r="E1250" s="12" t="n">
        <x:v>1</x:v>
      </x:c>
      <x:c r="F1250" s="12" t="str">
        <x:v>未记录</x:v>
      </x:c>
      <x:c r="G1250" s="12" t="n">
        <x:v>1</x:v>
      </x:c>
      <x:c r="H1250" s="12" t="str">
        <x:v>{'ASMI': 100.0, 'IMI': 15.0, 'ABQRS': 0.0, 'SR': 0.0}</x:v>
      </x:c>
      <x:c r="I1250" s="12" t="str">
        <x:v>[('NSR', 100.0), ('ASMI;AU', 100.0), ('AB', 100.0)]</x:v>
      </x:c>
      <x:c r="J1250" s="12" t="str">
        <x:v>ptbxl_database.csv；ecg_id=11453；scp_codes</x:v>
      </x:c>
      <x:c r="K1250" s="12" t="str">
        <x:v>12sl_statements.csv；ecg_id=11453；statements_ext_snomed</x:v>
      </x:c>
      <x:c r="L1250" s="12"/>
      <x:c r="M1250" s="12" t="str">
        <x:v>negative</x:v>
      </x:c>
      <x:c r="N1250" s="12"/>
      <x:c r="O1250" s="12" t="str">
        <x:v>negative</x:v>
      </x:c>
      <x:c r="P1250" s="12" t="str">
        <x:f>IF(OR(M1250="unavailable",O1250="unavailable"),"不可评价",IF(OR(M1250="equivocal",O1250="equivocal"),"疑似",IF(AND(M1250="positive",O1250="positive"),"a",IF(O1250="positive","b",IF(M1250="positive","c","d")))))</x:f>
        <x:v>d</x:v>
      </x:c>
      <x:c r="Q1250" s="12"/>
      <x:c r="R1250" s="12" t="str">
        <x:v>negative</x:v>
      </x:c>
      <x:c r="S1250" s="12"/>
      <x:c r="T1250" s="12" t="str">
        <x:v>negative</x:v>
      </x:c>
      <x:c r="U1250" s="12" t="str">
        <x:f>IF(OR(R1250="unavailable",T1250="unavailable"),"不可评价",IF(OR(R1250="equivocal",T1250="equivocal"),"疑似",IF(AND(R1250="positive",T1250="positive"),"a",IF(T1250="positive","b",IF(R1250="positive","c","d")))))</x:f>
        <x:v>d</x:v>
      </x:c>
      <x:c r="V1250" s="12"/>
      <x:c r="W1250" s="12" t="str">
        <x:v>negative</x:v>
      </x:c>
      <x:c r="X1250" s="12"/>
      <x:c r="Y1250" s="12" t="str">
        <x:v>negative</x:v>
      </x:c>
      <x:c r="Z1250" s="12" t="str">
        <x:f>IF(OR(W1250="unavailable",Y1250="unavailable"),"不可评价",IF(OR(W1250="equivocal",Y1250="equivocal"),"疑似",IF(AND(W1250="positive",Y1250="positive"),"a",IF(Y1250="positive","b",IF(W1250="positive","c","d")))))</x:f>
        <x:v>d</x:v>
      </x:c>
      <x:c r="AA1250" s="12" t="str">
        <x:f>IF(OR(M1250="unavailable",O1250="unavailable"),"不可评价",IF(AND(OR(M1250="positive",M1250="equivocal"),OR(O1250="positive",O1250="equivocal")),"a",IF(OR(O1250="positive",O1250="equivocal"),"b",IF(OR(M1250="positive",M1250="equivocal"),"c","d"))))</x:f>
        <x:v>d</x:v>
      </x:c>
      <x:c r="AB1250" s="12" t="str">
        <x:f>IF(OR(M1250="unavailable",O1250="unavailable"),"不可评价",IF(AND(M1250="positive",O1250="positive"),"a",IF(O1250="positive","b",IF(M1250="positive","c","d"))))</x:f>
        <x:v>d</x:v>
      </x:c>
      <x:c r="AC1250" s="12" t="str">
        <x:f>IF(OR(R1250="unavailable",T1250="unavailable"),"不可评价",IF(AND(OR(R1250="positive",R1250="equivocal"),OR(T1250="positive",T1250="equivocal")),"a",IF(OR(T1250="positive",T1250="equivocal"),"b",IF(OR(R1250="positive",R1250="equivocal"),"c","d"))))</x:f>
        <x:v>d</x:v>
      </x:c>
      <x:c r="AD1250" s="12" t="str">
        <x:f>IF(OR(R1250="unavailable",T1250="unavailable"),"不可评价",IF(AND(R1250="positive",T1250="positive"),"a",IF(T1250="positive","b",IF(R1250="positive","c","d"))))</x:f>
        <x:v>d</x:v>
      </x:c>
      <x:c r="AE1250" s="12" t="str">
        <x:f>IF(OR(W1250="unavailable",Y1250="unavailable"),"不可评价",IF(AND(OR(W1250="positive",W1250="equivocal"),OR(Y1250="positive",Y1250="equivocal")),"a",IF(OR(Y1250="positive",Y1250="equivocal"),"b",IF(OR(W1250="positive",W1250="equivocal"),"c","d"))))</x:f>
        <x:v>d</x:v>
      </x:c>
      <x:c r="AF1250" s="12" t="str">
        <x:f>IF(OR(W1250="unavailable",Y1250="unavailable"),"不可评价",IF(AND(W1250="positive",Y1250="positive"),"a",IF(Y1250="positive","b",IF(W1250="positive","c","d"))))</x:f>
        <x:v>d</x:v>
      </x:c>
    </x:row>
    <x:row r="1251" ht="24" customHeight="1">
      <x:c r="A1251" s="12" t="str">
        <x:v>11468</x:v>
      </x:c>
      <x:c r="B1251" s="12" t="str">
        <x:v>8336</x:v>
      </x:c>
      <x:c r="C1251" s="21" t="n">
        <x:v>34309.48111111111</x:v>
      </x:c>
      <x:c r="D1251" s="12" t="n">
        <x:v>80</x:v>
      </x:c>
      <x:c r="E1251" s="12" t="n">
        <x:v>0</x:v>
      </x:c>
      <x:c r="F1251" s="12" t="str">
        <x:v>存在</x:v>
      </x:c>
      <x:c r="G1251" s="12" t="n">
        <x:v>1</x:v>
      </x:c>
      <x:c r="H1251" s="12" t="str">
        <x:v>{'PACE': 100.0}</x:v>
      </x:c>
      <x:c r="I1251" s="12" t="str">
        <x:v>[('UR', 100.0), ('INDAX', 100.0), ('IT', 100.0), ('AB', 100.0)]</x:v>
      </x:c>
      <x:c r="J1251" s="12" t="str">
        <x:v>ptbxl_database.csv；ecg_id=11468；scp_codes</x:v>
      </x:c>
      <x:c r="K1251" s="12" t="str">
        <x:v>12sl_statements.csv；ecg_id=11468；statements_ext_snomed</x:v>
      </x:c>
      <x:c r="L1251" s="12"/>
      <x:c r="M1251" s="12" t="str">
        <x:v>negative</x:v>
      </x:c>
      <x:c r="N1251" s="12"/>
      <x:c r="O1251" s="12" t="str">
        <x:v>negative</x:v>
      </x:c>
      <x:c r="P1251" s="12" t="str">
        <x:f>IF(OR(M1251="unavailable",O1251="unavailable"),"不可评价",IF(OR(M1251="equivocal",O1251="equivocal"),"疑似",IF(AND(M1251="positive",O1251="positive"),"a",IF(O1251="positive","b",IF(M1251="positive","c","d")))))</x:f>
        <x:v>d</x:v>
      </x:c>
      <x:c r="Q1251" s="12"/>
      <x:c r="R1251" s="12" t="str">
        <x:v>negative</x:v>
      </x:c>
      <x:c r="S1251" s="12"/>
      <x:c r="T1251" s="12" t="str">
        <x:v>negative</x:v>
      </x:c>
      <x:c r="U1251" s="12" t="str">
        <x:f>IF(OR(R1251="unavailable",T1251="unavailable"),"不可评价",IF(OR(R1251="equivocal",T1251="equivocal"),"疑似",IF(AND(R1251="positive",T1251="positive"),"a",IF(T1251="positive","b",IF(R1251="positive","c","d")))))</x:f>
        <x:v>d</x:v>
      </x:c>
      <x:c r="V1251" s="12"/>
      <x:c r="W1251" s="12" t="str">
        <x:v>negative</x:v>
      </x:c>
      <x:c r="X1251" s="12"/>
      <x:c r="Y1251" s="12" t="str">
        <x:v>negative</x:v>
      </x:c>
      <x:c r="Z1251" s="12" t="str">
        <x:f>IF(OR(W1251="unavailable",Y1251="unavailable"),"不可评价",IF(OR(W1251="equivocal",Y1251="equivocal"),"疑似",IF(AND(W1251="positive",Y1251="positive"),"a",IF(Y1251="positive","b",IF(W1251="positive","c","d")))))</x:f>
        <x:v>d</x:v>
      </x:c>
      <x:c r="AA1251" s="12" t="str">
        <x:f>IF(OR(M1251="unavailable",O1251="unavailable"),"不可评价",IF(AND(OR(M1251="positive",M1251="equivocal"),OR(O1251="positive",O1251="equivocal")),"a",IF(OR(O1251="positive",O1251="equivocal"),"b",IF(OR(M1251="positive",M1251="equivocal"),"c","d"))))</x:f>
        <x:v>d</x:v>
      </x:c>
      <x:c r="AB1251" s="12" t="str">
        <x:f>IF(OR(M1251="unavailable",O1251="unavailable"),"不可评价",IF(AND(M1251="positive",O1251="positive"),"a",IF(O1251="positive","b",IF(M1251="positive","c","d"))))</x:f>
        <x:v>d</x:v>
      </x:c>
      <x:c r="AC1251" s="12" t="str">
        <x:f>IF(OR(R1251="unavailable",T1251="unavailable"),"不可评价",IF(AND(OR(R1251="positive",R1251="equivocal"),OR(T1251="positive",T1251="equivocal")),"a",IF(OR(T1251="positive",T1251="equivocal"),"b",IF(OR(R1251="positive",R1251="equivocal"),"c","d"))))</x:f>
        <x:v>d</x:v>
      </x:c>
      <x:c r="AD1251" s="12" t="str">
        <x:f>IF(OR(R1251="unavailable",T1251="unavailable"),"不可评价",IF(AND(R1251="positive",T1251="positive"),"a",IF(T1251="positive","b",IF(R1251="positive","c","d"))))</x:f>
        <x:v>d</x:v>
      </x:c>
      <x:c r="AE1251" s="12" t="str">
        <x:f>IF(OR(W1251="unavailable",Y1251="unavailable"),"不可评价",IF(AND(OR(W1251="positive",W1251="equivocal"),OR(Y1251="positive",Y1251="equivocal")),"a",IF(OR(Y1251="positive",Y1251="equivocal"),"b",IF(OR(W1251="positive",W1251="equivocal"),"c","d"))))</x:f>
        <x:v>d</x:v>
      </x:c>
      <x:c r="AF1251" s="12" t="str">
        <x:f>IF(OR(W1251="unavailable",Y1251="unavailable"),"不可评价",IF(AND(W1251="positive",Y1251="positive"),"a",IF(Y1251="positive","b",IF(W1251="positive","c","d"))))</x:f>
        <x:v>d</x:v>
      </x:c>
    </x:row>
    <x:row r="1252" ht="24" customHeight="1">
      <x:c r="A1252" s="12" t="str">
        <x:v>11474</x:v>
      </x:c>
      <x:c r="B1252" s="12" t="str">
        <x:v>13400</x:v>
      </x:c>
      <x:c r="C1252" s="21" t="n">
        <x:v>34310.33875</x:v>
      </x:c>
      <x:c r="D1252" s="12" t="n">
        <x:v>300</x:v>
      </x:c>
      <x:c r="E1252" s="12" t="n">
        <x:v>1</x:v>
      </x:c>
      <x:c r="F1252" s="12" t="str">
        <x:v>未记录</x:v>
      </x:c>
      <x:c r="G1252" s="12" t="n">
        <x:v>1</x:v>
      </x:c>
      <x:c r="H1252" s="12" t="str">
        <x:v>{'CLBBB': 100.0, 'SR': 0.0}</x:v>
      </x:c>
      <x:c r="I1252" s="12" t="str">
        <x:v>[('NSR', 100.0), ('LAD3', 100.0), ('LBBB', 100.0), ('AB', 100.0)]</x:v>
      </x:c>
      <x:c r="J1252" s="12" t="str">
        <x:v>ptbxl_database.csv；ecg_id=11474；scp_codes</x:v>
      </x:c>
      <x:c r="K1252" s="12" t="str">
        <x:v>12sl_statements.csv；ecg_id=11474；statements_ext_snomed</x:v>
      </x:c>
      <x:c r="L1252" s="12"/>
      <x:c r="M1252" s="12" t="str">
        <x:v>negative</x:v>
      </x:c>
      <x:c r="N1252" s="12"/>
      <x:c r="O1252" s="12" t="str">
        <x:v>negative</x:v>
      </x:c>
      <x:c r="P1252" s="12" t="str">
        <x:f>IF(OR(M1252="unavailable",O1252="unavailable"),"不可评价",IF(OR(M1252="equivocal",O1252="equivocal"),"疑似",IF(AND(M1252="positive",O1252="positive"),"a",IF(O1252="positive","b",IF(M1252="positive","c","d")))))</x:f>
        <x:v>d</x:v>
      </x:c>
      <x:c r="Q1252" s="12" t="n">
        <x:v>100</x:v>
      </x:c>
      <x:c r="R1252" s="12" t="str">
        <x:v>positive</x:v>
      </x:c>
      <x:c r="S1252" s="12" t="n">
        <x:v>100</x:v>
      </x:c>
      <x:c r="T1252" s="12" t="str">
        <x:v>positive</x:v>
      </x:c>
      <x:c r="U1252" s="12" t="str">
        <x:f>IF(OR(R1252="unavailable",T1252="unavailable"),"不可评价",IF(OR(R1252="equivocal",T1252="equivocal"),"疑似",IF(AND(R1252="positive",T1252="positive"),"a",IF(T1252="positive","b",IF(R1252="positive","c","d")))))</x:f>
        <x:v>a</x:v>
      </x:c>
      <x:c r="V1252" s="12"/>
      <x:c r="W1252" s="12" t="str">
        <x:v>negative</x:v>
      </x:c>
      <x:c r="X1252" s="12"/>
      <x:c r="Y1252" s="12" t="str">
        <x:v>negative</x:v>
      </x:c>
      <x:c r="Z1252" s="12" t="str">
        <x:f>IF(OR(W1252="unavailable",Y1252="unavailable"),"不可评价",IF(OR(W1252="equivocal",Y1252="equivocal"),"疑似",IF(AND(W1252="positive",Y1252="positive"),"a",IF(Y1252="positive","b",IF(W1252="positive","c","d")))))</x:f>
        <x:v>d</x:v>
      </x:c>
      <x:c r="AA1252" s="12" t="str">
        <x:f>IF(OR(M1252="unavailable",O1252="unavailable"),"不可评价",IF(AND(OR(M1252="positive",M1252="equivocal"),OR(O1252="positive",O1252="equivocal")),"a",IF(OR(O1252="positive",O1252="equivocal"),"b",IF(OR(M1252="positive",M1252="equivocal"),"c","d"))))</x:f>
        <x:v>d</x:v>
      </x:c>
      <x:c r="AB1252" s="12" t="str">
        <x:f>IF(OR(M1252="unavailable",O1252="unavailable"),"不可评价",IF(AND(M1252="positive",O1252="positive"),"a",IF(O1252="positive","b",IF(M1252="positive","c","d"))))</x:f>
        <x:v>d</x:v>
      </x:c>
      <x:c r="AC1252" s="12" t="str">
        <x:f>IF(OR(R1252="unavailable",T1252="unavailable"),"不可评价",IF(AND(OR(R1252="positive",R1252="equivocal"),OR(T1252="positive",T1252="equivocal")),"a",IF(OR(T1252="positive",T1252="equivocal"),"b",IF(OR(R1252="positive",R1252="equivocal"),"c","d"))))</x:f>
        <x:v>a</x:v>
      </x:c>
      <x:c r="AD1252" s="12" t="str">
        <x:f>IF(OR(R1252="unavailable",T1252="unavailable"),"不可评价",IF(AND(R1252="positive",T1252="positive"),"a",IF(T1252="positive","b",IF(R1252="positive","c","d"))))</x:f>
        <x:v>a</x:v>
      </x:c>
      <x:c r="AE1252" s="12" t="str">
        <x:f>IF(OR(W1252="unavailable",Y1252="unavailable"),"不可评价",IF(AND(OR(W1252="positive",W1252="equivocal"),OR(Y1252="positive",Y1252="equivocal")),"a",IF(OR(Y1252="positive",Y1252="equivocal"),"b",IF(OR(W1252="positive",W1252="equivocal"),"c","d"))))</x:f>
        <x:v>d</x:v>
      </x:c>
      <x:c r="AF1252" s="12" t="str">
        <x:f>IF(OR(W1252="unavailable",Y1252="unavailable"),"不可评价",IF(AND(W1252="positive",Y1252="positive"),"a",IF(Y1252="positive","b",IF(W1252="positive","c","d"))))</x:f>
        <x:v>d</x:v>
      </x:c>
    </x:row>
    <x:row r="1253" ht="24" customHeight="1">
      <x:c r="A1253" s="12" t="str">
        <x:v>11477</x:v>
      </x:c>
      <x:c r="B1253" s="12" t="str">
        <x:v>9781</x:v>
      </x:c>
      <x:c r="C1253" s="21" t="n">
        <x:v>34310.6193287037</x:v>
      </x:c>
      <x:c r="D1253" s="12" t="n">
        <x:v>79</x:v>
      </x:c>
      <x:c r="E1253" s="12" t="n">
        <x:v>1</x:v>
      </x:c>
      <x:c r="F1253" s="12" t="str">
        <x:v>未记录</x:v>
      </x:c>
      <x:c r="G1253" s="12" t="n">
        <x:v>1</x:v>
      </x:c>
      <x:c r="H1253" s="12" t="str">
        <x:v>{'IMI': 15.0, 'SR': 0.0}</x:v>
      </x:c>
      <x:c r="I1253" s="12" t="str">
        <x:v>[('SRTH', 100.0), ('PVC', 100.0), ('ABR', 100.0)]</x:v>
      </x:c>
      <x:c r="J1253" s="12" t="str">
        <x:v>ptbxl_database.csv；ecg_id=11477；scp_codes</x:v>
      </x:c>
      <x:c r="K1253" s="12" t="str">
        <x:v>12sl_statements.csv；ecg_id=11477；statements_ext_snomed</x:v>
      </x:c>
      <x:c r="L1253" s="12"/>
      <x:c r="M1253" s="12" t="str">
        <x:v>negative</x:v>
      </x:c>
      <x:c r="N1253" s="12"/>
      <x:c r="O1253" s="12" t="str">
        <x:v>negative</x:v>
      </x:c>
      <x:c r="P1253" s="12" t="str">
        <x:f>IF(OR(M1253="unavailable",O1253="unavailable"),"不可评价",IF(OR(M1253="equivocal",O1253="equivocal"),"疑似",IF(AND(M1253="positive",O1253="positive"),"a",IF(O1253="positive","b",IF(M1253="positive","c","d")))))</x:f>
        <x:v>d</x:v>
      </x:c>
      <x:c r="Q1253" s="12"/>
      <x:c r="R1253" s="12" t="str">
        <x:v>negative</x:v>
      </x:c>
      <x:c r="S1253" s="12"/>
      <x:c r="T1253" s="12" t="str">
        <x:v>negative</x:v>
      </x:c>
      <x:c r="U1253" s="12" t="str">
        <x:f>IF(OR(R1253="unavailable",T1253="unavailable"),"不可评价",IF(OR(R1253="equivocal",T1253="equivocal"),"疑似",IF(AND(R1253="positive",T1253="positive"),"a",IF(T1253="positive","b",IF(R1253="positive","c","d")))))</x:f>
        <x:v>d</x:v>
      </x:c>
      <x:c r="V1253" s="12"/>
      <x:c r="W1253" s="12" t="str">
        <x:v>negative</x:v>
      </x:c>
      <x:c r="X1253" s="12"/>
      <x:c r="Y1253" s="12" t="str">
        <x:v>negative</x:v>
      </x:c>
      <x:c r="Z1253" s="12" t="str">
        <x:f>IF(OR(W1253="unavailable",Y1253="unavailable"),"不可评价",IF(OR(W1253="equivocal",Y1253="equivocal"),"疑似",IF(AND(W1253="positive",Y1253="positive"),"a",IF(Y1253="positive","b",IF(W1253="positive","c","d")))))</x:f>
        <x:v>d</x:v>
      </x:c>
      <x:c r="AA1253" s="12" t="str">
        <x:f>IF(OR(M1253="unavailable",O1253="unavailable"),"不可评价",IF(AND(OR(M1253="positive",M1253="equivocal"),OR(O1253="positive",O1253="equivocal")),"a",IF(OR(O1253="positive",O1253="equivocal"),"b",IF(OR(M1253="positive",M1253="equivocal"),"c","d"))))</x:f>
        <x:v>d</x:v>
      </x:c>
      <x:c r="AB1253" s="12" t="str">
        <x:f>IF(OR(M1253="unavailable",O1253="unavailable"),"不可评价",IF(AND(M1253="positive",O1253="positive"),"a",IF(O1253="positive","b",IF(M1253="positive","c","d"))))</x:f>
        <x:v>d</x:v>
      </x:c>
      <x:c r="AC1253" s="12" t="str">
        <x:f>IF(OR(R1253="unavailable",T1253="unavailable"),"不可评价",IF(AND(OR(R1253="positive",R1253="equivocal"),OR(T1253="positive",T1253="equivocal")),"a",IF(OR(T1253="positive",T1253="equivocal"),"b",IF(OR(R1253="positive",R1253="equivocal"),"c","d"))))</x:f>
        <x:v>d</x:v>
      </x:c>
      <x:c r="AD1253" s="12" t="str">
        <x:f>IF(OR(R1253="unavailable",T1253="unavailable"),"不可评价",IF(AND(R1253="positive",T1253="positive"),"a",IF(T1253="positive","b",IF(R1253="positive","c","d"))))</x:f>
        <x:v>d</x:v>
      </x:c>
      <x:c r="AE1253" s="12" t="str">
        <x:f>IF(OR(W1253="unavailable",Y1253="unavailable"),"不可评价",IF(AND(OR(W1253="positive",W1253="equivocal"),OR(Y1253="positive",Y1253="equivocal")),"a",IF(OR(Y1253="positive",Y1253="equivocal"),"b",IF(OR(W1253="positive",W1253="equivocal"),"c","d"))))</x:f>
        <x:v>d</x:v>
      </x:c>
      <x:c r="AF1253" s="12" t="str">
        <x:f>IF(OR(W1253="unavailable",Y1253="unavailable"),"不可评价",IF(AND(W1253="positive",Y1253="positive"),"a",IF(Y1253="positive","b",IF(W1253="positive","c","d"))))</x:f>
        <x:v>d</x:v>
      </x:c>
    </x:row>
    <x:row r="1254" ht="24" customHeight="1">
      <x:c r="A1254" s="12" t="str">
        <x:v>11487</x:v>
      </x:c>
      <x:c r="B1254" s="12" t="str">
        <x:v>12517</x:v>
      </x:c>
      <x:c r="C1254" s="21" t="n">
        <x:v>34312.56346064815</x:v>
      </x:c>
      <x:c r="D1254" s="12" t="n">
        <x:v>77</x:v>
      </x:c>
      <x:c r="E1254" s="12" t="n">
        <x:v>0</x:v>
      </x:c>
      <x:c r="F1254" s="12" t="str">
        <x:v>存在</x:v>
      </x:c>
      <x:c r="G1254" s="12" t="n">
        <x:v>1</x:v>
      </x:c>
      <x:c r="H1254" s="12" t="str">
        <x:v>{'PACE': 100.0}</x:v>
      </x:c>
      <x:c r="I1254" s="12" t="str">
        <x:v>[('VPR', 100.0), ('AB', 100.0)]</x:v>
      </x:c>
      <x:c r="J1254" s="12" t="str">
        <x:v>ptbxl_database.csv；ecg_id=11487；scp_codes</x:v>
      </x:c>
      <x:c r="K1254" s="12" t="str">
        <x:v>12sl_statements.csv；ecg_id=11487；statements_ext_snomed</x:v>
      </x:c>
      <x:c r="L1254" s="12"/>
      <x:c r="M1254" s="12" t="str">
        <x:v>negative</x:v>
      </x:c>
      <x:c r="N1254" s="12"/>
      <x:c r="O1254" s="12" t="str">
        <x:v>negative</x:v>
      </x:c>
      <x:c r="P1254" s="12" t="str">
        <x:f>IF(OR(M1254="unavailable",O1254="unavailable"),"不可评价",IF(OR(M1254="equivocal",O1254="equivocal"),"疑似",IF(AND(M1254="positive",O1254="positive"),"a",IF(O1254="positive","b",IF(M1254="positive","c","d")))))</x:f>
        <x:v>d</x:v>
      </x:c>
      <x:c r="Q1254" s="12"/>
      <x:c r="R1254" s="12" t="str">
        <x:v>negative</x:v>
      </x:c>
      <x:c r="S1254" s="12"/>
      <x:c r="T1254" s="12" t="str">
        <x:v>negative</x:v>
      </x:c>
      <x:c r="U1254" s="12" t="str">
        <x:f>IF(OR(R1254="unavailable",T1254="unavailable"),"不可评价",IF(OR(R1254="equivocal",T1254="equivocal"),"疑似",IF(AND(R1254="positive",T1254="positive"),"a",IF(T1254="positive","b",IF(R1254="positive","c","d")))))</x:f>
        <x:v>d</x:v>
      </x:c>
      <x:c r="V1254" s="12"/>
      <x:c r="W1254" s="12" t="str">
        <x:v>negative</x:v>
      </x:c>
      <x:c r="X1254" s="12"/>
      <x:c r="Y1254" s="12" t="str">
        <x:v>negative</x:v>
      </x:c>
      <x:c r="Z1254" s="12" t="str">
        <x:f>IF(OR(W1254="unavailable",Y1254="unavailable"),"不可评价",IF(OR(W1254="equivocal",Y1254="equivocal"),"疑似",IF(AND(W1254="positive",Y1254="positive"),"a",IF(Y1254="positive","b",IF(W1254="positive","c","d")))))</x:f>
        <x:v>d</x:v>
      </x:c>
      <x:c r="AA1254" s="12" t="str">
        <x:f>IF(OR(M1254="unavailable",O1254="unavailable"),"不可评价",IF(AND(OR(M1254="positive",M1254="equivocal"),OR(O1254="positive",O1254="equivocal")),"a",IF(OR(O1254="positive",O1254="equivocal"),"b",IF(OR(M1254="positive",M1254="equivocal"),"c","d"))))</x:f>
        <x:v>d</x:v>
      </x:c>
      <x:c r="AB1254" s="12" t="str">
        <x:f>IF(OR(M1254="unavailable",O1254="unavailable"),"不可评价",IF(AND(M1254="positive",O1254="positive"),"a",IF(O1254="positive","b",IF(M1254="positive","c","d"))))</x:f>
        <x:v>d</x:v>
      </x:c>
      <x:c r="AC1254" s="12" t="str">
        <x:f>IF(OR(R1254="unavailable",T1254="unavailable"),"不可评价",IF(AND(OR(R1254="positive",R1254="equivocal"),OR(T1254="positive",T1254="equivocal")),"a",IF(OR(T1254="positive",T1254="equivocal"),"b",IF(OR(R1254="positive",R1254="equivocal"),"c","d"))))</x:f>
        <x:v>d</x:v>
      </x:c>
      <x:c r="AD1254" s="12" t="str">
        <x:f>IF(OR(R1254="unavailable",T1254="unavailable"),"不可评价",IF(AND(R1254="positive",T1254="positive"),"a",IF(T1254="positive","b",IF(R1254="positive","c","d"))))</x:f>
        <x:v>d</x:v>
      </x:c>
      <x:c r="AE1254" s="12" t="str">
        <x:f>IF(OR(W1254="unavailable",Y1254="unavailable"),"不可评价",IF(AND(OR(W1254="positive",W1254="equivocal"),OR(Y1254="positive",Y1254="equivocal")),"a",IF(OR(Y1254="positive",Y1254="equivocal"),"b",IF(OR(W1254="positive",W1254="equivocal"),"c","d"))))</x:f>
        <x:v>d</x:v>
      </x:c>
      <x:c r="AF1254" s="12" t="str">
        <x:f>IF(OR(W1254="unavailable",Y1254="unavailable"),"不可评价",IF(AND(W1254="positive",Y1254="positive"),"a",IF(Y1254="positive","b",IF(W1254="positive","c","d"))))</x:f>
        <x:v>d</x:v>
      </x:c>
    </x:row>
    <x:row r="1255" ht="24" customHeight="1">
      <x:c r="A1255" s="12" t="str">
        <x:v>11489</x:v>
      </x:c>
      <x:c r="B1255" s="12" t="str">
        <x:v>11408</x:v>
      </x:c>
      <x:c r="C1255" s="21" t="n">
        <x:v>34313.443136574075</x:v>
      </x:c>
      <x:c r="D1255" s="12" t="n">
        <x:v>67</x:v>
      </x:c>
      <x:c r="E1255" s="12" t="n">
        <x:v>0</x:v>
      </x:c>
      <x:c r="F1255" s="12" t="str">
        <x:v>未记录</x:v>
      </x:c>
      <x:c r="G1255" s="12" t="n">
        <x:v>1</x:v>
      </x:c>
      <x:c r="H1255" s="12" t="str">
        <x:v>{'NORM': 100.0}</x:v>
      </x:c>
      <x:c r="I1255" s="12" t="str">
        <x:v>[('SBRAD', 100.0), ('SAR', 100.0), ('ABR', 100.0)]</x:v>
      </x:c>
      <x:c r="J1255" s="12" t="str">
        <x:v>ptbxl_database.csv；ecg_id=11489；scp_codes</x:v>
      </x:c>
      <x:c r="K1255" s="12" t="str">
        <x:v>12sl_statements.csv；ecg_id=11489；statements_ext_snomed</x:v>
      </x:c>
      <x:c r="L1255" s="12"/>
      <x:c r="M1255" s="12" t="str">
        <x:v>negative</x:v>
      </x:c>
      <x:c r="N1255" s="12"/>
      <x:c r="O1255" s="12" t="str">
        <x:v>negative</x:v>
      </x:c>
      <x:c r="P1255" s="12" t="str">
        <x:f>IF(OR(M1255="unavailable",O1255="unavailable"),"不可评价",IF(OR(M1255="equivocal",O1255="equivocal"),"疑似",IF(AND(M1255="positive",O1255="positive"),"a",IF(O1255="positive","b",IF(M1255="positive","c","d")))))</x:f>
        <x:v>d</x:v>
      </x:c>
      <x:c r="Q1255" s="12"/>
      <x:c r="R1255" s="12" t="str">
        <x:v>negative</x:v>
      </x:c>
      <x:c r="S1255" s="12"/>
      <x:c r="T1255" s="12" t="str">
        <x:v>negative</x:v>
      </x:c>
      <x:c r="U1255" s="12" t="str">
        <x:f>IF(OR(R1255="unavailable",T1255="unavailable"),"不可评价",IF(OR(R1255="equivocal",T1255="equivocal"),"疑似",IF(AND(R1255="positive",T1255="positive"),"a",IF(T1255="positive","b",IF(R1255="positive","c","d")))))</x:f>
        <x:v>d</x:v>
      </x:c>
      <x:c r="V1255" s="12"/>
      <x:c r="W1255" s="12" t="str">
        <x:v>negative</x:v>
      </x:c>
      <x:c r="X1255" s="12"/>
      <x:c r="Y1255" s="12" t="str">
        <x:v>negative</x:v>
      </x:c>
      <x:c r="Z1255" s="12" t="str">
        <x:f>IF(OR(W1255="unavailable",Y1255="unavailable"),"不可评价",IF(OR(W1255="equivocal",Y1255="equivocal"),"疑似",IF(AND(W1255="positive",Y1255="positive"),"a",IF(Y1255="positive","b",IF(W1255="positive","c","d")))))</x:f>
        <x:v>d</x:v>
      </x:c>
      <x:c r="AA1255" s="12" t="str">
        <x:f>IF(OR(M1255="unavailable",O1255="unavailable"),"不可评价",IF(AND(OR(M1255="positive",M1255="equivocal"),OR(O1255="positive",O1255="equivocal")),"a",IF(OR(O1255="positive",O1255="equivocal"),"b",IF(OR(M1255="positive",M1255="equivocal"),"c","d"))))</x:f>
        <x:v>d</x:v>
      </x:c>
      <x:c r="AB1255" s="12" t="str">
        <x:f>IF(OR(M1255="unavailable",O1255="unavailable"),"不可评价",IF(AND(M1255="positive",O1255="positive"),"a",IF(O1255="positive","b",IF(M1255="positive","c","d"))))</x:f>
        <x:v>d</x:v>
      </x:c>
      <x:c r="AC1255" s="12" t="str">
        <x:f>IF(OR(R1255="unavailable",T1255="unavailable"),"不可评价",IF(AND(OR(R1255="positive",R1255="equivocal"),OR(T1255="positive",T1255="equivocal")),"a",IF(OR(T1255="positive",T1255="equivocal"),"b",IF(OR(R1255="positive",R1255="equivocal"),"c","d"))))</x:f>
        <x:v>d</x:v>
      </x:c>
      <x:c r="AD1255" s="12" t="str">
        <x:f>IF(OR(R1255="unavailable",T1255="unavailable"),"不可评价",IF(AND(R1255="positive",T1255="positive"),"a",IF(T1255="positive","b",IF(R1255="positive","c","d"))))</x:f>
        <x:v>d</x:v>
      </x:c>
      <x:c r="AE1255" s="12" t="str">
        <x:f>IF(OR(W1255="unavailable",Y1255="unavailable"),"不可评价",IF(AND(OR(W1255="positive",W1255="equivocal"),OR(Y1255="positive",Y1255="equivocal")),"a",IF(OR(Y1255="positive",Y1255="equivocal"),"b",IF(OR(W1255="positive",W1255="equivocal"),"c","d"))))</x:f>
        <x:v>d</x:v>
      </x:c>
      <x:c r="AF1255" s="12" t="str">
        <x:f>IF(OR(W1255="unavailable",Y1255="unavailable"),"不可评价",IF(AND(W1255="positive",Y1255="positive"),"a",IF(Y1255="positive","b",IF(W1255="positive","c","d"))))</x:f>
        <x:v>d</x:v>
      </x:c>
    </x:row>
    <x:row r="1256" ht="24" customHeight="1">
      <x:c r="A1256" s="12" t="str">
        <x:v>11490</x:v>
      </x:c>
      <x:c r="B1256" s="12" t="str">
        <x:v>12644</x:v>
      </x:c>
      <x:c r="C1256" s="21" t="n">
        <x:v>34313.56674768519</x:v>
      </x:c>
      <x:c r="D1256" s="12" t="n">
        <x:v>18</x:v>
      </x:c>
      <x:c r="E1256" s="12" t="n">
        <x:v>1</x:v>
      </x:c>
      <x:c r="F1256" s="12" t="str">
        <x:v>未记录</x:v>
      </x:c>
      <x:c r="G1256" s="12" t="n">
        <x:v>1</x:v>
      </x:c>
      <x:c r="H1256" s="12" t="str">
        <x:v>{'NORM': 100.0, 'SR': 0.0}</x:v>
      </x:c>
      <x:c r="I1256" s="12" t="str">
        <x:v>[('SBRAD', 100.0), ('ABR', 100.0)]</x:v>
      </x:c>
      <x:c r="J1256" s="12" t="str">
        <x:v>ptbxl_database.csv；ecg_id=11490；scp_codes</x:v>
      </x:c>
      <x:c r="K1256" s="12" t="str">
        <x:v>12sl_statements.csv；ecg_id=11490；statements_ext_snomed</x:v>
      </x:c>
      <x:c r="L1256" s="12"/>
      <x:c r="M1256" s="12" t="str">
        <x:v>negative</x:v>
      </x:c>
      <x:c r="N1256" s="12"/>
      <x:c r="O1256" s="12" t="str">
        <x:v>negative</x:v>
      </x:c>
      <x:c r="P1256" s="12" t="str">
        <x:f>IF(OR(M1256="unavailable",O1256="unavailable"),"不可评价",IF(OR(M1256="equivocal",O1256="equivocal"),"疑似",IF(AND(M1256="positive",O1256="positive"),"a",IF(O1256="positive","b",IF(M1256="positive","c","d")))))</x:f>
        <x:v>d</x:v>
      </x:c>
      <x:c r="Q1256" s="12"/>
      <x:c r="R1256" s="12" t="str">
        <x:v>negative</x:v>
      </x:c>
      <x:c r="S1256" s="12"/>
      <x:c r="T1256" s="12" t="str">
        <x:v>negative</x:v>
      </x:c>
      <x:c r="U1256" s="12" t="str">
        <x:f>IF(OR(R1256="unavailable",T1256="unavailable"),"不可评价",IF(OR(R1256="equivocal",T1256="equivocal"),"疑似",IF(AND(R1256="positive",T1256="positive"),"a",IF(T1256="positive","b",IF(R1256="positive","c","d")))))</x:f>
        <x:v>d</x:v>
      </x:c>
      <x:c r="V1256" s="12"/>
      <x:c r="W1256" s="12" t="str">
        <x:v>negative</x:v>
      </x:c>
      <x:c r="X1256" s="12"/>
      <x:c r="Y1256" s="12" t="str">
        <x:v>negative</x:v>
      </x:c>
      <x:c r="Z1256" s="12" t="str">
        <x:f>IF(OR(W1256="unavailable",Y1256="unavailable"),"不可评价",IF(OR(W1256="equivocal",Y1256="equivocal"),"疑似",IF(AND(W1256="positive",Y1256="positive"),"a",IF(Y1256="positive","b",IF(W1256="positive","c","d")))))</x:f>
        <x:v>d</x:v>
      </x:c>
      <x:c r="AA1256" s="12" t="str">
        <x:f>IF(OR(M1256="unavailable",O1256="unavailable"),"不可评价",IF(AND(OR(M1256="positive",M1256="equivocal"),OR(O1256="positive",O1256="equivocal")),"a",IF(OR(O1256="positive",O1256="equivocal"),"b",IF(OR(M1256="positive",M1256="equivocal"),"c","d"))))</x:f>
        <x:v>d</x:v>
      </x:c>
      <x:c r="AB1256" s="12" t="str">
        <x:f>IF(OR(M1256="unavailable",O1256="unavailable"),"不可评价",IF(AND(M1256="positive",O1256="positive"),"a",IF(O1256="positive","b",IF(M1256="positive","c","d"))))</x:f>
        <x:v>d</x:v>
      </x:c>
      <x:c r="AC1256" s="12" t="str">
        <x:f>IF(OR(R1256="unavailable",T1256="unavailable"),"不可评价",IF(AND(OR(R1256="positive",R1256="equivocal"),OR(T1256="positive",T1256="equivocal")),"a",IF(OR(T1256="positive",T1256="equivocal"),"b",IF(OR(R1256="positive",R1256="equivocal"),"c","d"))))</x:f>
        <x:v>d</x:v>
      </x:c>
      <x:c r="AD1256" s="12" t="str">
        <x:f>IF(OR(R1256="unavailable",T1256="unavailable"),"不可评价",IF(AND(R1256="positive",T1256="positive"),"a",IF(T1256="positive","b",IF(R1256="positive","c","d"))))</x:f>
        <x:v>d</x:v>
      </x:c>
      <x:c r="AE1256" s="12" t="str">
        <x:f>IF(OR(W1256="unavailable",Y1256="unavailable"),"不可评价",IF(AND(OR(W1256="positive",W1256="equivocal"),OR(Y1256="positive",Y1256="equivocal")),"a",IF(OR(Y1256="positive",Y1256="equivocal"),"b",IF(OR(W1256="positive",W1256="equivocal"),"c","d"))))</x:f>
        <x:v>d</x:v>
      </x:c>
      <x:c r="AF1256" s="12" t="str">
        <x:f>IF(OR(W1256="unavailable",Y1256="unavailable"),"不可评价",IF(AND(W1256="positive",Y1256="positive"),"a",IF(Y1256="positive","b",IF(W1256="positive","c","d"))))</x:f>
        <x:v>d</x:v>
      </x:c>
    </x:row>
    <x:row r="1257" ht="39" customHeight="1">
      <x:c r="A1257" s="12" t="str">
        <x:v>11500</x:v>
      </x:c>
      <x:c r="B1257" s="12" t="str">
        <x:v>13887</x:v>
      </x:c>
      <x:c r="C1257" s="21" t="n">
        <x:v>34314.65851851852</x:v>
      </x:c>
      <x:c r="D1257" s="12" t="n">
        <x:v>300</x:v>
      </x:c>
      <x:c r="E1257" s="12" t="n">
        <x:v>1</x:v>
      </x:c>
      <x:c r="F1257" s="12" t="str">
        <x:v>存在</x:v>
      </x:c>
      <x:c r="G1257" s="12" t="n">
        <x:v>1</x:v>
      </x:c>
      <x:c r="H1257" s="12" t="str">
        <x:v>{'ASMI': 15.0, 'CRBBB': 100.0, 'LAFB': 100.0, '3AVB': 100.0, 'ABQRS': 0.0}</x:v>
      </x:c>
      <x:c r="I1257" s="12" t="str">
        <x:v>[('AFIB', 100.0), ('SVR', 100.0), ('RBBB', 100.0), ('AFB', 100.0), ('BIFB', 100.0), ('LVH2', 100.0), ('2ST', 100.0), ('SMI;AU', 15.0), ('AB', 100.0)]</x:v>
      </x:c>
      <x:c r="J1257" s="12" t="str">
        <x:v>ptbxl_database.csv；ecg_id=11500；scp_codes</x:v>
      </x:c>
      <x:c r="K1257" s="12" t="str">
        <x:v>12sl_statements.csv；ecg_id=11500；statements_ext_snomed</x:v>
      </x:c>
      <x:c r="L1257" s="12"/>
      <x:c r="M1257" s="12" t="str">
        <x:v>negative</x:v>
      </x:c>
      <x:c r="N1257" s="12" t="n">
        <x:v>100</x:v>
      </x:c>
      <x:c r="O1257" s="12" t="str">
        <x:v>positive</x:v>
      </x:c>
      <x:c r="P1257" s="12" t="str">
        <x:f>IF(OR(M1257="unavailable",O1257="unavailable"),"不可评价",IF(OR(M1257="equivocal",O1257="equivocal"),"疑似",IF(AND(M1257="positive",O1257="positive"),"a",IF(O1257="positive","b",IF(M1257="positive","c","d")))))</x:f>
        <x:v>b</x:v>
      </x:c>
      <x:c r="Q1257" s="12"/>
      <x:c r="R1257" s="12" t="str">
        <x:v>negative</x:v>
      </x:c>
      <x:c r="S1257" s="12"/>
      <x:c r="T1257" s="12" t="str">
        <x:v>negative</x:v>
      </x:c>
      <x:c r="U1257" s="12" t="str">
        <x:f>IF(OR(R1257="unavailable",T1257="unavailable"),"不可评价",IF(OR(R1257="equivocal",T1257="equivocal"),"疑似",IF(AND(R1257="positive",T1257="positive"),"a",IF(T1257="positive","b",IF(R1257="positive","c","d")))))</x:f>
        <x:v>d</x:v>
      </x:c>
      <x:c r="V1257" s="12" t="n">
        <x:v>100</x:v>
      </x:c>
      <x:c r="W1257" s="12" t="str">
        <x:v>positive</x:v>
      </x:c>
      <x:c r="X1257" s="12" t="n">
        <x:v>100</x:v>
      </x:c>
      <x:c r="Y1257" s="12" t="str">
        <x:v>positive</x:v>
      </x:c>
      <x:c r="Z1257" s="12" t="str">
        <x:f>IF(OR(W1257="unavailable",Y1257="unavailable"),"不可评价",IF(OR(W1257="equivocal",Y1257="equivocal"),"疑似",IF(AND(W1257="positive",Y1257="positive"),"a",IF(Y1257="positive","b",IF(W1257="positive","c","d")))))</x:f>
        <x:v>a</x:v>
      </x:c>
      <x:c r="AA1257" s="12" t="str">
        <x:f>IF(OR(M1257="unavailable",O1257="unavailable"),"不可评价",IF(AND(OR(M1257="positive",M1257="equivocal"),OR(O1257="positive",O1257="equivocal")),"a",IF(OR(O1257="positive",O1257="equivocal"),"b",IF(OR(M1257="positive",M1257="equivocal"),"c","d"))))</x:f>
        <x:v>b</x:v>
      </x:c>
      <x:c r="AB1257" s="12" t="str">
        <x:f>IF(OR(M1257="unavailable",O1257="unavailable"),"不可评价",IF(AND(M1257="positive",O1257="positive"),"a",IF(O1257="positive","b",IF(M1257="positive","c","d"))))</x:f>
        <x:v>b</x:v>
      </x:c>
      <x:c r="AC1257" s="12" t="str">
        <x:f>IF(OR(R1257="unavailable",T1257="unavailable"),"不可评价",IF(AND(OR(R1257="positive",R1257="equivocal"),OR(T1257="positive",T1257="equivocal")),"a",IF(OR(T1257="positive",T1257="equivocal"),"b",IF(OR(R1257="positive",R1257="equivocal"),"c","d"))))</x:f>
        <x:v>d</x:v>
      </x:c>
      <x:c r="AD1257" s="12" t="str">
        <x:f>IF(OR(R1257="unavailable",T1257="unavailable"),"不可评价",IF(AND(R1257="positive",T1257="positive"),"a",IF(T1257="positive","b",IF(R1257="positive","c","d"))))</x:f>
        <x:v>d</x:v>
      </x:c>
      <x:c r="AE1257" s="12" t="str">
        <x:f>IF(OR(W1257="unavailable",Y1257="unavailable"),"不可评价",IF(AND(OR(W1257="positive",W1257="equivocal"),OR(Y1257="positive",Y1257="equivocal")),"a",IF(OR(Y1257="positive",Y1257="equivocal"),"b",IF(OR(W1257="positive",W1257="equivocal"),"c","d"))))</x:f>
        <x:v>a</x:v>
      </x:c>
      <x:c r="AF1257" s="12" t="str">
        <x:f>IF(OR(W1257="unavailable",Y1257="unavailable"),"不可评价",IF(AND(W1257="positive",Y1257="positive"),"a",IF(Y1257="positive","b",IF(W1257="positive","c","d"))))</x:f>
        <x:v>a</x:v>
      </x:c>
    </x:row>
    <x:row r="1258" ht="24" customHeight="1">
      <x:c r="A1258" s="12" t="str">
        <x:v>11520</x:v>
      </x:c>
      <x:c r="B1258" s="12" t="str">
        <x:v>9005</x:v>
      </x:c>
      <x:c r="C1258" s="21" t="n">
        <x:v>34317.81420138889</x:v>
      </x:c>
      <x:c r="D1258" s="12" t="n">
        <x:v>67</x:v>
      </x:c>
      <x:c r="E1258" s="12" t="n">
        <x:v>0</x:v>
      </x:c>
      <x:c r="F1258" s="12" t="str">
        <x:v>存在</x:v>
      </x:c>
      <x:c r="G1258" s="12" t="n">
        <x:v>1</x:v>
      </x:c>
      <x:c r="H1258" s="12" t="str">
        <x:v>{'NORM': 80.0, 'SVARR': 0.0}</x:v>
      </x:c>
      <x:c r="I1258" s="12" t="str">
        <x:v>[('SRTH', 100.0), ('PAC', 100.0), ('$SABCOND', 100.0), ('ABR', 100.0)]</x:v>
      </x:c>
      <x:c r="J1258" s="12" t="str">
        <x:v>ptbxl_database.csv；ecg_id=11520；scp_codes</x:v>
      </x:c>
      <x:c r="K1258" s="12" t="str">
        <x:v>12sl_statements.csv；ecg_id=11520；statements_ext_snomed</x:v>
      </x:c>
      <x:c r="L1258" s="12"/>
      <x:c r="M1258" s="12" t="str">
        <x:v>negative</x:v>
      </x:c>
      <x:c r="N1258" s="12"/>
      <x:c r="O1258" s="12" t="str">
        <x:v>negative</x:v>
      </x:c>
      <x:c r="P1258" s="12" t="str">
        <x:f>IF(OR(M1258="unavailable",O1258="unavailable"),"不可评价",IF(OR(M1258="equivocal",O1258="equivocal"),"疑似",IF(AND(M1258="positive",O1258="positive"),"a",IF(O1258="positive","b",IF(M1258="positive","c","d")))))</x:f>
        <x:v>d</x:v>
      </x:c>
      <x:c r="Q1258" s="12"/>
      <x:c r="R1258" s="12" t="str">
        <x:v>negative</x:v>
      </x:c>
      <x:c r="S1258" s="12"/>
      <x:c r="T1258" s="12" t="str">
        <x:v>negative</x:v>
      </x:c>
      <x:c r="U1258" s="12" t="str">
        <x:f>IF(OR(R1258="unavailable",T1258="unavailable"),"不可评价",IF(OR(R1258="equivocal",T1258="equivocal"),"疑似",IF(AND(R1258="positive",T1258="positive"),"a",IF(T1258="positive","b",IF(R1258="positive","c","d")))))</x:f>
        <x:v>d</x:v>
      </x:c>
      <x:c r="V1258" s="12"/>
      <x:c r="W1258" s="12" t="str">
        <x:v>negative</x:v>
      </x:c>
      <x:c r="X1258" s="12"/>
      <x:c r="Y1258" s="12" t="str">
        <x:v>negative</x:v>
      </x:c>
      <x:c r="Z1258" s="12" t="str">
        <x:f>IF(OR(W1258="unavailable",Y1258="unavailable"),"不可评价",IF(OR(W1258="equivocal",Y1258="equivocal"),"疑似",IF(AND(W1258="positive",Y1258="positive"),"a",IF(Y1258="positive","b",IF(W1258="positive","c","d")))))</x:f>
        <x:v>d</x:v>
      </x:c>
      <x:c r="AA1258" s="12" t="str">
        <x:f>IF(OR(M1258="unavailable",O1258="unavailable"),"不可评价",IF(AND(OR(M1258="positive",M1258="equivocal"),OR(O1258="positive",O1258="equivocal")),"a",IF(OR(O1258="positive",O1258="equivocal"),"b",IF(OR(M1258="positive",M1258="equivocal"),"c","d"))))</x:f>
        <x:v>d</x:v>
      </x:c>
      <x:c r="AB1258" s="12" t="str">
        <x:f>IF(OR(M1258="unavailable",O1258="unavailable"),"不可评价",IF(AND(M1258="positive",O1258="positive"),"a",IF(O1258="positive","b",IF(M1258="positive","c","d"))))</x:f>
        <x:v>d</x:v>
      </x:c>
      <x:c r="AC1258" s="12" t="str">
        <x:f>IF(OR(R1258="unavailable",T1258="unavailable"),"不可评价",IF(AND(OR(R1258="positive",R1258="equivocal"),OR(T1258="positive",T1258="equivocal")),"a",IF(OR(T1258="positive",T1258="equivocal"),"b",IF(OR(R1258="positive",R1258="equivocal"),"c","d"))))</x:f>
        <x:v>d</x:v>
      </x:c>
      <x:c r="AD1258" s="12" t="str">
        <x:f>IF(OR(R1258="unavailable",T1258="unavailable"),"不可评价",IF(AND(R1258="positive",T1258="positive"),"a",IF(T1258="positive","b",IF(R1258="positive","c","d"))))</x:f>
        <x:v>d</x:v>
      </x:c>
      <x:c r="AE1258" s="12" t="str">
        <x:f>IF(OR(W1258="unavailable",Y1258="unavailable"),"不可评价",IF(AND(OR(W1258="positive",W1258="equivocal"),OR(Y1258="positive",Y1258="equivocal")),"a",IF(OR(Y1258="positive",Y1258="equivocal"),"b",IF(OR(W1258="positive",W1258="equivocal"),"c","d"))))</x:f>
        <x:v>d</x:v>
      </x:c>
      <x:c r="AF1258" s="12" t="str">
        <x:f>IF(OR(W1258="unavailable",Y1258="unavailable"),"不可评价",IF(AND(W1258="positive",Y1258="positive"),"a",IF(Y1258="positive","b",IF(W1258="positive","c","d"))))</x:f>
        <x:v>d</x:v>
      </x:c>
    </x:row>
    <x:row r="1259" ht="24" customHeight="1">
      <x:c r="A1259" s="12" t="str">
        <x:v>11530</x:v>
      </x:c>
      <x:c r="B1259" s="12" t="str">
        <x:v>20601</x:v>
      </x:c>
      <x:c r="C1259" s="21" t="n">
        <x:v>34318.71152777778</x:v>
      </x:c>
      <x:c r="D1259" s="12" t="n">
        <x:v>28</x:v>
      </x:c>
      <x:c r="E1259" s="12" t="n">
        <x:v>0</x:v>
      </x:c>
      <x:c r="F1259" s="12" t="str">
        <x:v>未记录</x:v>
      </x:c>
      <x:c r="G1259" s="12" t="n">
        <x:v>1</x:v>
      </x:c>
      <x:c r="H1259" s="12" t="str">
        <x:v>{'NORM': 80.0, 'SR': 0.0}</x:v>
      </x:c>
      <x:c r="I1259" s="12" t="str">
        <x:v>[('SBRAD', 100.0), ('MSAR', 100.0), ('ABR', 100.0)]</x:v>
      </x:c>
      <x:c r="J1259" s="12" t="str">
        <x:v>ptbxl_database.csv；ecg_id=11530；scp_codes</x:v>
      </x:c>
      <x:c r="K1259" s="12" t="str">
        <x:v>12sl_statements.csv；ecg_id=11530；statements_ext_snomed</x:v>
      </x:c>
      <x:c r="L1259" s="12"/>
      <x:c r="M1259" s="12" t="str">
        <x:v>negative</x:v>
      </x:c>
      <x:c r="N1259" s="12"/>
      <x:c r="O1259" s="12" t="str">
        <x:v>negative</x:v>
      </x:c>
      <x:c r="P1259" s="12" t="str">
        <x:f>IF(OR(M1259="unavailable",O1259="unavailable"),"不可评价",IF(OR(M1259="equivocal",O1259="equivocal"),"疑似",IF(AND(M1259="positive",O1259="positive"),"a",IF(O1259="positive","b",IF(M1259="positive","c","d")))))</x:f>
        <x:v>d</x:v>
      </x:c>
      <x:c r="Q1259" s="12"/>
      <x:c r="R1259" s="12" t="str">
        <x:v>negative</x:v>
      </x:c>
      <x:c r="S1259" s="12"/>
      <x:c r="T1259" s="12" t="str">
        <x:v>negative</x:v>
      </x:c>
      <x:c r="U1259" s="12" t="str">
        <x:f>IF(OR(R1259="unavailable",T1259="unavailable"),"不可评价",IF(OR(R1259="equivocal",T1259="equivocal"),"疑似",IF(AND(R1259="positive",T1259="positive"),"a",IF(T1259="positive","b",IF(R1259="positive","c","d")))))</x:f>
        <x:v>d</x:v>
      </x:c>
      <x:c r="V1259" s="12"/>
      <x:c r="W1259" s="12" t="str">
        <x:v>negative</x:v>
      </x:c>
      <x:c r="X1259" s="12"/>
      <x:c r="Y1259" s="12" t="str">
        <x:v>negative</x:v>
      </x:c>
      <x:c r="Z1259" s="12" t="str">
        <x:f>IF(OR(W1259="unavailable",Y1259="unavailable"),"不可评价",IF(OR(W1259="equivocal",Y1259="equivocal"),"疑似",IF(AND(W1259="positive",Y1259="positive"),"a",IF(Y1259="positive","b",IF(W1259="positive","c","d")))))</x:f>
        <x:v>d</x:v>
      </x:c>
      <x:c r="AA1259" s="12" t="str">
        <x:f>IF(OR(M1259="unavailable",O1259="unavailable"),"不可评价",IF(AND(OR(M1259="positive",M1259="equivocal"),OR(O1259="positive",O1259="equivocal")),"a",IF(OR(O1259="positive",O1259="equivocal"),"b",IF(OR(M1259="positive",M1259="equivocal"),"c","d"))))</x:f>
        <x:v>d</x:v>
      </x:c>
      <x:c r="AB1259" s="12" t="str">
        <x:f>IF(OR(M1259="unavailable",O1259="unavailable"),"不可评价",IF(AND(M1259="positive",O1259="positive"),"a",IF(O1259="positive","b",IF(M1259="positive","c","d"))))</x:f>
        <x:v>d</x:v>
      </x:c>
      <x:c r="AC1259" s="12" t="str">
        <x:f>IF(OR(R1259="unavailable",T1259="unavailable"),"不可评价",IF(AND(OR(R1259="positive",R1259="equivocal"),OR(T1259="positive",T1259="equivocal")),"a",IF(OR(T1259="positive",T1259="equivocal"),"b",IF(OR(R1259="positive",R1259="equivocal"),"c","d"))))</x:f>
        <x:v>d</x:v>
      </x:c>
      <x:c r="AD1259" s="12" t="str">
        <x:f>IF(OR(R1259="unavailable",T1259="unavailable"),"不可评价",IF(AND(R1259="positive",T1259="positive"),"a",IF(T1259="positive","b",IF(R1259="positive","c","d"))))</x:f>
        <x:v>d</x:v>
      </x:c>
      <x:c r="AE1259" s="12" t="str">
        <x:f>IF(OR(W1259="unavailable",Y1259="unavailable"),"不可评价",IF(AND(OR(W1259="positive",W1259="equivocal"),OR(Y1259="positive",Y1259="equivocal")),"a",IF(OR(Y1259="positive",Y1259="equivocal"),"b",IF(OR(W1259="positive",W1259="equivocal"),"c","d"))))</x:f>
        <x:v>d</x:v>
      </x:c>
      <x:c r="AF1259" s="12" t="str">
        <x:f>IF(OR(W1259="unavailable",Y1259="unavailable"),"不可评价",IF(AND(W1259="positive",Y1259="positive"),"a",IF(Y1259="positive","b",IF(W1259="positive","c","d"))))</x:f>
        <x:v>d</x:v>
      </x:c>
    </x:row>
    <x:row r="1260" ht="24" customHeight="1">
      <x:c r="A1260" s="12" t="str">
        <x:v>11532</x:v>
      </x:c>
      <x:c r="B1260" s="12" t="str">
        <x:v>10387</x:v>
      </x:c>
      <x:c r="C1260" s="21" t="n">
        <x:v>34320.52173611111</x:v>
      </x:c>
      <x:c r="D1260" s="12" t="n">
        <x:v>19</x:v>
      </x:c>
      <x:c r="E1260" s="12" t="n">
        <x:v>1</x:v>
      </x:c>
      <x:c r="F1260" s="12" t="str">
        <x:v>存在</x:v>
      </x:c>
      <x:c r="G1260" s="12" t="n">
        <x:v>1</x:v>
      </x:c>
      <x:c r="H1260" s="12" t="str">
        <x:v>{'NORM': 100.0, 'SR': 0.0}</x:v>
      </x:c>
      <x:c r="I1260" s="12" t="str">
        <x:v>[('NSR', 100.0), ('NML', 100.0)]</x:v>
      </x:c>
      <x:c r="J1260" s="12" t="str">
        <x:v>ptbxl_database.csv；ecg_id=11532；scp_codes</x:v>
      </x:c>
      <x:c r="K1260" s="12" t="str">
        <x:v>12sl_statements.csv；ecg_id=11532；statements_ext_snomed</x:v>
      </x:c>
      <x:c r="L1260" s="12"/>
      <x:c r="M1260" s="12" t="str">
        <x:v>negative</x:v>
      </x:c>
      <x:c r="N1260" s="12"/>
      <x:c r="O1260" s="12" t="str">
        <x:v>negative</x:v>
      </x:c>
      <x:c r="P1260" s="12" t="str">
        <x:f>IF(OR(M1260="unavailable",O1260="unavailable"),"不可评价",IF(OR(M1260="equivocal",O1260="equivocal"),"疑似",IF(AND(M1260="positive",O1260="positive"),"a",IF(O1260="positive","b",IF(M1260="positive","c","d")))))</x:f>
        <x:v>d</x:v>
      </x:c>
      <x:c r="Q1260" s="12"/>
      <x:c r="R1260" s="12" t="str">
        <x:v>negative</x:v>
      </x:c>
      <x:c r="S1260" s="12"/>
      <x:c r="T1260" s="12" t="str">
        <x:v>negative</x:v>
      </x:c>
      <x:c r="U1260" s="12" t="str">
        <x:f>IF(OR(R1260="unavailable",T1260="unavailable"),"不可评价",IF(OR(R1260="equivocal",T1260="equivocal"),"疑似",IF(AND(R1260="positive",T1260="positive"),"a",IF(T1260="positive","b",IF(R1260="positive","c","d")))))</x:f>
        <x:v>d</x:v>
      </x:c>
      <x:c r="V1260" s="12"/>
      <x:c r="W1260" s="12" t="str">
        <x:v>negative</x:v>
      </x:c>
      <x:c r="X1260" s="12"/>
      <x:c r="Y1260" s="12" t="str">
        <x:v>negative</x:v>
      </x:c>
      <x:c r="Z1260" s="12" t="str">
        <x:f>IF(OR(W1260="unavailable",Y1260="unavailable"),"不可评价",IF(OR(W1260="equivocal",Y1260="equivocal"),"疑似",IF(AND(W1260="positive",Y1260="positive"),"a",IF(Y1260="positive","b",IF(W1260="positive","c","d")))))</x:f>
        <x:v>d</x:v>
      </x:c>
      <x:c r="AA1260" s="12" t="str">
        <x:f>IF(OR(M1260="unavailable",O1260="unavailable"),"不可评价",IF(AND(OR(M1260="positive",M1260="equivocal"),OR(O1260="positive",O1260="equivocal")),"a",IF(OR(O1260="positive",O1260="equivocal"),"b",IF(OR(M1260="positive",M1260="equivocal"),"c","d"))))</x:f>
        <x:v>d</x:v>
      </x:c>
      <x:c r="AB1260" s="12" t="str">
        <x:f>IF(OR(M1260="unavailable",O1260="unavailable"),"不可评价",IF(AND(M1260="positive",O1260="positive"),"a",IF(O1260="positive","b",IF(M1260="positive","c","d"))))</x:f>
        <x:v>d</x:v>
      </x:c>
      <x:c r="AC1260" s="12" t="str">
        <x:f>IF(OR(R1260="unavailable",T1260="unavailable"),"不可评价",IF(AND(OR(R1260="positive",R1260="equivocal"),OR(T1260="positive",T1260="equivocal")),"a",IF(OR(T1260="positive",T1260="equivocal"),"b",IF(OR(R1260="positive",R1260="equivocal"),"c","d"))))</x:f>
        <x:v>d</x:v>
      </x:c>
      <x:c r="AD1260" s="12" t="str">
        <x:f>IF(OR(R1260="unavailable",T1260="unavailable"),"不可评价",IF(AND(R1260="positive",T1260="positive"),"a",IF(T1260="positive","b",IF(R1260="positive","c","d"))))</x:f>
        <x:v>d</x:v>
      </x:c>
      <x:c r="AE1260" s="12" t="str">
        <x:f>IF(OR(W1260="unavailable",Y1260="unavailable"),"不可评价",IF(AND(OR(W1260="positive",W1260="equivocal"),OR(Y1260="positive",Y1260="equivocal")),"a",IF(OR(Y1260="positive",Y1260="equivocal"),"b",IF(OR(W1260="positive",W1260="equivocal"),"c","d"))))</x:f>
        <x:v>d</x:v>
      </x:c>
      <x:c r="AF1260" s="12" t="str">
        <x:f>IF(OR(W1260="unavailable",Y1260="unavailable"),"不可评价",IF(AND(W1260="positive",Y1260="positive"),"a",IF(Y1260="positive","b",IF(W1260="positive","c","d"))))</x:f>
        <x:v>d</x:v>
      </x:c>
    </x:row>
    <x:row r="1261" ht="24" customHeight="1">
      <x:c r="A1261" s="12" t="str">
        <x:v>11533</x:v>
      </x:c>
      <x:c r="B1261" s="12" t="str">
        <x:v>18719</x:v>
      </x:c>
      <x:c r="C1261" s="21" t="n">
        <x:v>34320.60071759259</x:v>
      </x:c>
      <x:c r="D1261" s="12" t="n">
        <x:v>77</x:v>
      </x:c>
      <x:c r="E1261" s="12" t="n">
        <x:v>1</x:v>
      </x:c>
      <x:c r="F1261" s="12" t="str">
        <x:v>未记录</x:v>
      </x:c>
      <x:c r="G1261" s="12" t="n">
        <x:v>1</x:v>
      </x:c>
      <x:c r="H1261" s="12" t="str">
        <x:v>{'NORM': 100.0, 'SR': 0.0}</x:v>
      </x:c>
      <x:c r="I1261" s="12" t="str">
        <x:v>[('SRTH', 100.0), ('PAC', 100.0), ('ABR', 100.0)]</x:v>
      </x:c>
      <x:c r="J1261" s="12" t="str">
        <x:v>ptbxl_database.csv；ecg_id=11533；scp_codes</x:v>
      </x:c>
      <x:c r="K1261" s="12" t="str">
        <x:v>12sl_statements.csv；ecg_id=11533；statements_ext_snomed</x:v>
      </x:c>
      <x:c r="L1261" s="12"/>
      <x:c r="M1261" s="12" t="str">
        <x:v>negative</x:v>
      </x:c>
      <x:c r="N1261" s="12"/>
      <x:c r="O1261" s="12" t="str">
        <x:v>negative</x:v>
      </x:c>
      <x:c r="P1261" s="12" t="str">
        <x:f>IF(OR(M1261="unavailable",O1261="unavailable"),"不可评价",IF(OR(M1261="equivocal",O1261="equivocal"),"疑似",IF(AND(M1261="positive",O1261="positive"),"a",IF(O1261="positive","b",IF(M1261="positive","c","d")))))</x:f>
        <x:v>d</x:v>
      </x:c>
      <x:c r="Q1261" s="12"/>
      <x:c r="R1261" s="12" t="str">
        <x:v>negative</x:v>
      </x:c>
      <x:c r="S1261" s="12"/>
      <x:c r="T1261" s="12" t="str">
        <x:v>negative</x:v>
      </x:c>
      <x:c r="U1261" s="12" t="str">
        <x:f>IF(OR(R1261="unavailable",T1261="unavailable"),"不可评价",IF(OR(R1261="equivocal",T1261="equivocal"),"疑似",IF(AND(R1261="positive",T1261="positive"),"a",IF(T1261="positive","b",IF(R1261="positive","c","d")))))</x:f>
        <x:v>d</x:v>
      </x:c>
      <x:c r="V1261" s="12"/>
      <x:c r="W1261" s="12" t="str">
        <x:v>negative</x:v>
      </x:c>
      <x:c r="X1261" s="12"/>
      <x:c r="Y1261" s="12" t="str">
        <x:v>negative</x:v>
      </x:c>
      <x:c r="Z1261" s="12" t="str">
        <x:f>IF(OR(W1261="unavailable",Y1261="unavailable"),"不可评价",IF(OR(W1261="equivocal",Y1261="equivocal"),"疑似",IF(AND(W1261="positive",Y1261="positive"),"a",IF(Y1261="positive","b",IF(W1261="positive","c","d")))))</x:f>
        <x:v>d</x:v>
      </x:c>
      <x:c r="AA1261" s="12" t="str">
        <x:f>IF(OR(M1261="unavailable",O1261="unavailable"),"不可评价",IF(AND(OR(M1261="positive",M1261="equivocal"),OR(O1261="positive",O1261="equivocal")),"a",IF(OR(O1261="positive",O1261="equivocal"),"b",IF(OR(M1261="positive",M1261="equivocal"),"c","d"))))</x:f>
        <x:v>d</x:v>
      </x:c>
      <x:c r="AB1261" s="12" t="str">
        <x:f>IF(OR(M1261="unavailable",O1261="unavailable"),"不可评价",IF(AND(M1261="positive",O1261="positive"),"a",IF(O1261="positive","b",IF(M1261="positive","c","d"))))</x:f>
        <x:v>d</x:v>
      </x:c>
      <x:c r="AC1261" s="12" t="str">
        <x:f>IF(OR(R1261="unavailable",T1261="unavailable"),"不可评价",IF(AND(OR(R1261="positive",R1261="equivocal"),OR(T1261="positive",T1261="equivocal")),"a",IF(OR(T1261="positive",T1261="equivocal"),"b",IF(OR(R1261="positive",R1261="equivocal"),"c","d"))))</x:f>
        <x:v>d</x:v>
      </x:c>
      <x:c r="AD1261" s="12" t="str">
        <x:f>IF(OR(R1261="unavailable",T1261="unavailable"),"不可评价",IF(AND(R1261="positive",T1261="positive"),"a",IF(T1261="positive","b",IF(R1261="positive","c","d"))))</x:f>
        <x:v>d</x:v>
      </x:c>
      <x:c r="AE1261" s="12" t="str">
        <x:f>IF(OR(W1261="unavailable",Y1261="unavailable"),"不可评价",IF(AND(OR(W1261="positive",W1261="equivocal"),OR(Y1261="positive",Y1261="equivocal")),"a",IF(OR(Y1261="positive",Y1261="equivocal"),"b",IF(OR(W1261="positive",W1261="equivocal"),"c","d"))))</x:f>
        <x:v>d</x:v>
      </x:c>
      <x:c r="AF1261" s="12" t="str">
        <x:f>IF(OR(W1261="unavailable",Y1261="unavailable"),"不可评价",IF(AND(W1261="positive",Y1261="positive"),"a",IF(Y1261="positive","b",IF(W1261="positive","c","d"))))</x:f>
        <x:v>d</x:v>
      </x:c>
    </x:row>
    <x:row r="1262" ht="24" customHeight="1">
      <x:c r="A1262" s="12" t="str">
        <x:v>11550</x:v>
      </x:c>
      <x:c r="B1262" s="12" t="str">
        <x:v>18719</x:v>
      </x:c>
      <x:c r="C1262" s="21" t="n">
        <x:v>34323.56652777778</x:v>
      </x:c>
      <x:c r="D1262" s="12" t="n">
        <x:v>77</x:v>
      </x:c>
      <x:c r="E1262" s="12" t="n">
        <x:v>1</x:v>
      </x:c>
      <x:c r="F1262" s="12" t="str">
        <x:v>未记录</x:v>
      </x:c>
      <x:c r="G1262" s="12" t="n">
        <x:v>0</x:v>
      </x:c>
      <x:c r="H1262" s="12" t="str">
        <x:v>{'ISCAL': 100.0, 'PVC': 100.0, 'SR': 0.0}</x:v>
      </x:c>
      <x:c r="I1262" s="12" t="str">
        <x:v>[('SRTH', 100.0), ('PVC', 100.0), ('PAC', 100.0), ('NSTT', 100.0), ('AB', 100.0)]</x:v>
      </x:c>
      <x:c r="J1262" s="12" t="str">
        <x:v>ptbxl_database.csv；ecg_id=11550；scp_codes</x:v>
      </x:c>
      <x:c r="K1262" s="12" t="str">
        <x:v>12sl_statements.csv；ecg_id=11550；statements_ext_snomed</x:v>
      </x:c>
      <x:c r="L1262" s="12"/>
      <x:c r="M1262" s="12" t="str">
        <x:v>negative</x:v>
      </x:c>
      <x:c r="N1262" s="12"/>
      <x:c r="O1262" s="12" t="str">
        <x:v>negative</x:v>
      </x:c>
      <x:c r="P1262" s="12" t="str">
        <x:f>IF(OR(M1262="unavailable",O1262="unavailable"),"不可评价",IF(OR(M1262="equivocal",O1262="equivocal"),"疑似",IF(AND(M1262="positive",O1262="positive"),"a",IF(O1262="positive","b",IF(M1262="positive","c","d")))))</x:f>
        <x:v>d</x:v>
      </x:c>
      <x:c r="Q1262" s="12"/>
      <x:c r="R1262" s="12" t="str">
        <x:v>negative</x:v>
      </x:c>
      <x:c r="S1262" s="12"/>
      <x:c r="T1262" s="12" t="str">
        <x:v>negative</x:v>
      </x:c>
      <x:c r="U1262" s="12" t="str">
        <x:f>IF(OR(R1262="unavailable",T1262="unavailable"),"不可评价",IF(OR(R1262="equivocal",T1262="equivocal"),"疑似",IF(AND(R1262="positive",T1262="positive"),"a",IF(T1262="positive","b",IF(R1262="positive","c","d")))))</x:f>
        <x:v>d</x:v>
      </x:c>
      <x:c r="V1262" s="12"/>
      <x:c r="W1262" s="12" t="str">
        <x:v>negative</x:v>
      </x:c>
      <x:c r="X1262" s="12"/>
      <x:c r="Y1262" s="12" t="str">
        <x:v>negative</x:v>
      </x:c>
      <x:c r="Z1262" s="12" t="str">
        <x:f>IF(OR(W1262="unavailable",Y1262="unavailable"),"不可评价",IF(OR(W1262="equivocal",Y1262="equivocal"),"疑似",IF(AND(W1262="positive",Y1262="positive"),"a",IF(Y1262="positive","b",IF(W1262="positive","c","d")))))</x:f>
        <x:v>d</x:v>
      </x:c>
      <x:c r="AA1262" s="12" t="str">
        <x:f>IF(OR(M1262="unavailable",O1262="unavailable"),"不可评价",IF(AND(OR(M1262="positive",M1262="equivocal"),OR(O1262="positive",O1262="equivocal")),"a",IF(OR(O1262="positive",O1262="equivocal"),"b",IF(OR(M1262="positive",M1262="equivocal"),"c","d"))))</x:f>
        <x:v>d</x:v>
      </x:c>
      <x:c r="AB1262" s="12" t="str">
        <x:f>IF(OR(M1262="unavailable",O1262="unavailable"),"不可评价",IF(AND(M1262="positive",O1262="positive"),"a",IF(O1262="positive","b",IF(M1262="positive","c","d"))))</x:f>
        <x:v>d</x:v>
      </x:c>
      <x:c r="AC1262" s="12" t="str">
        <x:f>IF(OR(R1262="unavailable",T1262="unavailable"),"不可评价",IF(AND(OR(R1262="positive",R1262="equivocal"),OR(T1262="positive",T1262="equivocal")),"a",IF(OR(T1262="positive",T1262="equivocal"),"b",IF(OR(R1262="positive",R1262="equivocal"),"c","d"))))</x:f>
        <x:v>d</x:v>
      </x:c>
      <x:c r="AD1262" s="12" t="str">
        <x:f>IF(OR(R1262="unavailable",T1262="unavailable"),"不可评价",IF(AND(R1262="positive",T1262="positive"),"a",IF(T1262="positive","b",IF(R1262="positive","c","d"))))</x:f>
        <x:v>d</x:v>
      </x:c>
      <x:c r="AE1262" s="12" t="str">
        <x:f>IF(OR(W1262="unavailable",Y1262="unavailable"),"不可评价",IF(AND(OR(W1262="positive",W1262="equivocal"),OR(Y1262="positive",Y1262="equivocal")),"a",IF(OR(Y1262="positive",Y1262="equivocal"),"b",IF(OR(W1262="positive",W1262="equivocal"),"c","d"))))</x:f>
        <x:v>d</x:v>
      </x:c>
      <x:c r="AF1262" s="12" t="str">
        <x:f>IF(OR(W1262="unavailable",Y1262="unavailable"),"不可评价",IF(AND(W1262="positive",Y1262="positive"),"a",IF(Y1262="positive","b",IF(W1262="positive","c","d"))))</x:f>
        <x:v>d</x:v>
      </x:c>
    </x:row>
    <x:row r="1263" ht="24" customHeight="1">
      <x:c r="A1263" s="12" t="str">
        <x:v>11564</x:v>
      </x:c>
      <x:c r="B1263" s="12" t="str">
        <x:v>13373</x:v>
      </x:c>
      <x:c r="C1263" s="21" t="n">
        <x:v>34330.42920138889</x:v>
      </x:c>
      <x:c r="D1263" s="12" t="n">
        <x:v>40</x:v>
      </x:c>
      <x:c r="E1263" s="12" t="n">
        <x:v>0</x:v>
      </x:c>
      <x:c r="F1263" s="12" t="str">
        <x:v>未记录</x:v>
      </x:c>
      <x:c r="G1263" s="12" t="n">
        <x:v>1</x:v>
      </x:c>
      <x:c r="H1263" s="12" t="str">
        <x:v>{'NORM': 100.0, 'ABQRS': 0.0, 'SR': 0.0}</x:v>
      </x:c>
      <x:c r="I1263" s="12" t="str">
        <x:v>[('SBRAD', 100.0), ('SAR', 100.0), ('ABR', 100.0)]</x:v>
      </x:c>
      <x:c r="J1263" s="12" t="str">
        <x:v>ptbxl_database.csv；ecg_id=11564；scp_codes</x:v>
      </x:c>
      <x:c r="K1263" s="12" t="str">
        <x:v>12sl_statements.csv；ecg_id=11564；statements_ext_snomed</x:v>
      </x:c>
      <x:c r="L1263" s="12"/>
      <x:c r="M1263" s="12" t="str">
        <x:v>negative</x:v>
      </x:c>
      <x:c r="N1263" s="12"/>
      <x:c r="O1263" s="12" t="str">
        <x:v>negative</x:v>
      </x:c>
      <x:c r="P1263" s="12" t="str">
        <x:f>IF(OR(M1263="unavailable",O1263="unavailable"),"不可评价",IF(OR(M1263="equivocal",O1263="equivocal"),"疑似",IF(AND(M1263="positive",O1263="positive"),"a",IF(O1263="positive","b",IF(M1263="positive","c","d")))))</x:f>
        <x:v>d</x:v>
      </x:c>
      <x:c r="Q1263" s="12"/>
      <x:c r="R1263" s="12" t="str">
        <x:v>negative</x:v>
      </x:c>
      <x:c r="S1263" s="12"/>
      <x:c r="T1263" s="12" t="str">
        <x:v>negative</x:v>
      </x:c>
      <x:c r="U1263" s="12" t="str">
        <x:f>IF(OR(R1263="unavailable",T1263="unavailable"),"不可评价",IF(OR(R1263="equivocal",T1263="equivocal"),"疑似",IF(AND(R1263="positive",T1263="positive"),"a",IF(T1263="positive","b",IF(R1263="positive","c","d")))))</x:f>
        <x:v>d</x:v>
      </x:c>
      <x:c r="V1263" s="12"/>
      <x:c r="W1263" s="12" t="str">
        <x:v>negative</x:v>
      </x:c>
      <x:c r="X1263" s="12"/>
      <x:c r="Y1263" s="12" t="str">
        <x:v>negative</x:v>
      </x:c>
      <x:c r="Z1263" s="12" t="str">
        <x:f>IF(OR(W1263="unavailable",Y1263="unavailable"),"不可评价",IF(OR(W1263="equivocal",Y1263="equivocal"),"疑似",IF(AND(W1263="positive",Y1263="positive"),"a",IF(Y1263="positive","b",IF(W1263="positive","c","d")))))</x:f>
        <x:v>d</x:v>
      </x:c>
      <x:c r="AA1263" s="12" t="str">
        <x:f>IF(OR(M1263="unavailable",O1263="unavailable"),"不可评价",IF(AND(OR(M1263="positive",M1263="equivocal"),OR(O1263="positive",O1263="equivocal")),"a",IF(OR(O1263="positive",O1263="equivocal"),"b",IF(OR(M1263="positive",M1263="equivocal"),"c","d"))))</x:f>
        <x:v>d</x:v>
      </x:c>
      <x:c r="AB1263" s="12" t="str">
        <x:f>IF(OR(M1263="unavailable",O1263="unavailable"),"不可评价",IF(AND(M1263="positive",O1263="positive"),"a",IF(O1263="positive","b",IF(M1263="positive","c","d"))))</x:f>
        <x:v>d</x:v>
      </x:c>
      <x:c r="AC1263" s="12" t="str">
        <x:f>IF(OR(R1263="unavailable",T1263="unavailable"),"不可评价",IF(AND(OR(R1263="positive",R1263="equivocal"),OR(T1263="positive",T1263="equivocal")),"a",IF(OR(T1263="positive",T1263="equivocal"),"b",IF(OR(R1263="positive",R1263="equivocal"),"c","d"))))</x:f>
        <x:v>d</x:v>
      </x:c>
      <x:c r="AD1263" s="12" t="str">
        <x:f>IF(OR(R1263="unavailable",T1263="unavailable"),"不可评价",IF(AND(R1263="positive",T1263="positive"),"a",IF(T1263="positive","b",IF(R1263="positive","c","d"))))</x:f>
        <x:v>d</x:v>
      </x:c>
      <x:c r="AE1263" s="12" t="str">
        <x:f>IF(OR(W1263="unavailable",Y1263="unavailable"),"不可评价",IF(AND(OR(W1263="positive",W1263="equivocal"),OR(Y1263="positive",Y1263="equivocal")),"a",IF(OR(Y1263="positive",Y1263="equivocal"),"b",IF(OR(W1263="positive",W1263="equivocal"),"c","d"))))</x:f>
        <x:v>d</x:v>
      </x:c>
      <x:c r="AF1263" s="12" t="str">
        <x:f>IF(OR(W1263="unavailable",Y1263="unavailable"),"不可评价",IF(AND(W1263="positive",Y1263="positive"),"a",IF(Y1263="positive","b",IF(W1263="positive","c","d"))))</x:f>
        <x:v>d</x:v>
      </x:c>
    </x:row>
    <x:row r="1264" ht="24" customHeight="1">
      <x:c r="A1264" s="12" t="str">
        <x:v>11575</x:v>
      </x:c>
      <x:c r="B1264" s="12" t="str">
        <x:v>9842</x:v>
      </x:c>
      <x:c r="C1264" s="21" t="n">
        <x:v>34336.313125</x:v>
      </x:c>
      <x:c r="D1264" s="12" t="n">
        <x:v>42</x:v>
      </x:c>
      <x:c r="E1264" s="12" t="n">
        <x:v>0</x:v>
      </x:c>
      <x:c r="F1264" s="12" t="str">
        <x:v>未记录</x:v>
      </x:c>
      <x:c r="G1264" s="12" t="n">
        <x:v>1</x:v>
      </x:c>
      <x:c r="H1264" s="12" t="str">
        <x:v>{'NORM': 80.0, 'SR': 0.0}</x:v>
      </x:c>
      <x:c r="I1264" s="12" t="str">
        <x:v>[('NSR', 100.0), ('NML', 100.0)]</x:v>
      </x:c>
      <x:c r="J1264" s="12" t="str">
        <x:v>ptbxl_database.csv；ecg_id=11575；scp_codes</x:v>
      </x:c>
      <x:c r="K1264" s="12" t="str">
        <x:v>12sl_statements.csv；ecg_id=11575；statements_ext_snomed</x:v>
      </x:c>
      <x:c r="L1264" s="12"/>
      <x:c r="M1264" s="12" t="str">
        <x:v>negative</x:v>
      </x:c>
      <x:c r="N1264" s="12"/>
      <x:c r="O1264" s="12" t="str">
        <x:v>negative</x:v>
      </x:c>
      <x:c r="P1264" s="12" t="str">
        <x:f>IF(OR(M1264="unavailable",O1264="unavailable"),"不可评价",IF(OR(M1264="equivocal",O1264="equivocal"),"疑似",IF(AND(M1264="positive",O1264="positive"),"a",IF(O1264="positive","b",IF(M1264="positive","c","d")))))</x:f>
        <x:v>d</x:v>
      </x:c>
      <x:c r="Q1264" s="12"/>
      <x:c r="R1264" s="12" t="str">
        <x:v>negative</x:v>
      </x:c>
      <x:c r="S1264" s="12"/>
      <x:c r="T1264" s="12" t="str">
        <x:v>negative</x:v>
      </x:c>
      <x:c r="U1264" s="12" t="str">
        <x:f>IF(OR(R1264="unavailable",T1264="unavailable"),"不可评价",IF(OR(R1264="equivocal",T1264="equivocal"),"疑似",IF(AND(R1264="positive",T1264="positive"),"a",IF(T1264="positive","b",IF(R1264="positive","c","d")))))</x:f>
        <x:v>d</x:v>
      </x:c>
      <x:c r="V1264" s="12"/>
      <x:c r="W1264" s="12" t="str">
        <x:v>negative</x:v>
      </x:c>
      <x:c r="X1264" s="12"/>
      <x:c r="Y1264" s="12" t="str">
        <x:v>negative</x:v>
      </x:c>
      <x:c r="Z1264" s="12" t="str">
        <x:f>IF(OR(W1264="unavailable",Y1264="unavailable"),"不可评价",IF(OR(W1264="equivocal",Y1264="equivocal"),"疑似",IF(AND(W1264="positive",Y1264="positive"),"a",IF(Y1264="positive","b",IF(W1264="positive","c","d")))))</x:f>
        <x:v>d</x:v>
      </x:c>
      <x:c r="AA1264" s="12" t="str">
        <x:f>IF(OR(M1264="unavailable",O1264="unavailable"),"不可评价",IF(AND(OR(M1264="positive",M1264="equivocal"),OR(O1264="positive",O1264="equivocal")),"a",IF(OR(O1264="positive",O1264="equivocal"),"b",IF(OR(M1264="positive",M1264="equivocal"),"c","d"))))</x:f>
        <x:v>d</x:v>
      </x:c>
      <x:c r="AB1264" s="12" t="str">
        <x:f>IF(OR(M1264="unavailable",O1264="unavailable"),"不可评价",IF(AND(M1264="positive",O1264="positive"),"a",IF(O1264="positive","b",IF(M1264="positive","c","d"))))</x:f>
        <x:v>d</x:v>
      </x:c>
      <x:c r="AC1264" s="12" t="str">
        <x:f>IF(OR(R1264="unavailable",T1264="unavailable"),"不可评价",IF(AND(OR(R1264="positive",R1264="equivocal"),OR(T1264="positive",T1264="equivocal")),"a",IF(OR(T1264="positive",T1264="equivocal"),"b",IF(OR(R1264="positive",R1264="equivocal"),"c","d"))))</x:f>
        <x:v>d</x:v>
      </x:c>
      <x:c r="AD1264" s="12" t="str">
        <x:f>IF(OR(R1264="unavailable",T1264="unavailable"),"不可评价",IF(AND(R1264="positive",T1264="positive"),"a",IF(T1264="positive","b",IF(R1264="positive","c","d"))))</x:f>
        <x:v>d</x:v>
      </x:c>
      <x:c r="AE1264" s="12" t="str">
        <x:f>IF(OR(W1264="unavailable",Y1264="unavailable"),"不可评价",IF(AND(OR(W1264="positive",W1264="equivocal"),OR(Y1264="positive",Y1264="equivocal")),"a",IF(OR(Y1264="positive",Y1264="equivocal"),"b",IF(OR(W1264="positive",W1264="equivocal"),"c","d"))))</x:f>
        <x:v>d</x:v>
      </x:c>
      <x:c r="AF1264" s="12" t="str">
        <x:f>IF(OR(W1264="unavailable",Y1264="unavailable"),"不可评价",IF(AND(W1264="positive",Y1264="positive"),"a",IF(Y1264="positive","b",IF(W1264="positive","c","d"))))</x:f>
        <x:v>d</x:v>
      </x:c>
    </x:row>
    <x:row r="1265" ht="24" customHeight="1">
      <x:c r="A1265" s="12" t="str">
        <x:v>11601</x:v>
      </x:c>
      <x:c r="B1265" s="12" t="str">
        <x:v>18111</x:v>
      </x:c>
      <x:c r="C1265" s="21" t="n">
        <x:v>34340.56236111111</x:v>
      </x:c>
      <x:c r="D1265" s="12" t="n">
        <x:v>62</x:v>
      </x:c>
      <x:c r="E1265" s="12" t="n">
        <x:v>0</x:v>
      </x:c>
      <x:c r="F1265" s="12" t="str">
        <x:v>存在</x:v>
      </x:c>
      <x:c r="G1265" s="12" t="n">
        <x:v>1</x:v>
      </x:c>
      <x:c r="H1265" s="12" t="str">
        <x:v>{'NORM': 100.0, 'SR': 0.0}</x:v>
      </x:c>
      <x:c r="I1265" s="12" t="str">
        <x:v>[('NSR', 100.0), ('NML', 100.0)]</x:v>
      </x:c>
      <x:c r="J1265" s="12" t="str">
        <x:v>ptbxl_database.csv；ecg_id=11601；scp_codes</x:v>
      </x:c>
      <x:c r="K1265" s="12" t="str">
        <x:v>12sl_statements.csv；ecg_id=11601；statements_ext_snomed</x:v>
      </x:c>
      <x:c r="L1265" s="12"/>
      <x:c r="M1265" s="12" t="str">
        <x:v>negative</x:v>
      </x:c>
      <x:c r="N1265" s="12"/>
      <x:c r="O1265" s="12" t="str">
        <x:v>negative</x:v>
      </x:c>
      <x:c r="P1265" s="12" t="str">
        <x:f>IF(OR(M1265="unavailable",O1265="unavailable"),"不可评价",IF(OR(M1265="equivocal",O1265="equivocal"),"疑似",IF(AND(M1265="positive",O1265="positive"),"a",IF(O1265="positive","b",IF(M1265="positive","c","d")))))</x:f>
        <x:v>d</x:v>
      </x:c>
      <x:c r="Q1265" s="12"/>
      <x:c r="R1265" s="12" t="str">
        <x:v>negative</x:v>
      </x:c>
      <x:c r="S1265" s="12"/>
      <x:c r="T1265" s="12" t="str">
        <x:v>negative</x:v>
      </x:c>
      <x:c r="U1265" s="12" t="str">
        <x:f>IF(OR(R1265="unavailable",T1265="unavailable"),"不可评价",IF(OR(R1265="equivocal",T1265="equivocal"),"疑似",IF(AND(R1265="positive",T1265="positive"),"a",IF(T1265="positive","b",IF(R1265="positive","c","d")))))</x:f>
        <x:v>d</x:v>
      </x:c>
      <x:c r="V1265" s="12"/>
      <x:c r="W1265" s="12" t="str">
        <x:v>negative</x:v>
      </x:c>
      <x:c r="X1265" s="12"/>
      <x:c r="Y1265" s="12" t="str">
        <x:v>negative</x:v>
      </x:c>
      <x:c r="Z1265" s="12" t="str">
        <x:f>IF(OR(W1265="unavailable",Y1265="unavailable"),"不可评价",IF(OR(W1265="equivocal",Y1265="equivocal"),"疑似",IF(AND(W1265="positive",Y1265="positive"),"a",IF(Y1265="positive","b",IF(W1265="positive","c","d")))))</x:f>
        <x:v>d</x:v>
      </x:c>
      <x:c r="AA1265" s="12" t="str">
        <x:f>IF(OR(M1265="unavailable",O1265="unavailable"),"不可评价",IF(AND(OR(M1265="positive",M1265="equivocal"),OR(O1265="positive",O1265="equivocal")),"a",IF(OR(O1265="positive",O1265="equivocal"),"b",IF(OR(M1265="positive",M1265="equivocal"),"c","d"))))</x:f>
        <x:v>d</x:v>
      </x:c>
      <x:c r="AB1265" s="12" t="str">
        <x:f>IF(OR(M1265="unavailable",O1265="unavailable"),"不可评价",IF(AND(M1265="positive",O1265="positive"),"a",IF(O1265="positive","b",IF(M1265="positive","c","d"))))</x:f>
        <x:v>d</x:v>
      </x:c>
      <x:c r="AC1265" s="12" t="str">
        <x:f>IF(OR(R1265="unavailable",T1265="unavailable"),"不可评价",IF(AND(OR(R1265="positive",R1265="equivocal"),OR(T1265="positive",T1265="equivocal")),"a",IF(OR(T1265="positive",T1265="equivocal"),"b",IF(OR(R1265="positive",R1265="equivocal"),"c","d"))))</x:f>
        <x:v>d</x:v>
      </x:c>
      <x:c r="AD1265" s="12" t="str">
        <x:f>IF(OR(R1265="unavailable",T1265="unavailable"),"不可评价",IF(AND(R1265="positive",T1265="positive"),"a",IF(T1265="positive","b",IF(R1265="positive","c","d"))))</x:f>
        <x:v>d</x:v>
      </x:c>
      <x:c r="AE1265" s="12" t="str">
        <x:f>IF(OR(W1265="unavailable",Y1265="unavailable"),"不可评价",IF(AND(OR(W1265="positive",W1265="equivocal"),OR(Y1265="positive",Y1265="equivocal")),"a",IF(OR(Y1265="positive",Y1265="equivocal"),"b",IF(OR(W1265="positive",W1265="equivocal"),"c","d"))))</x:f>
        <x:v>d</x:v>
      </x:c>
      <x:c r="AF1265" s="12" t="str">
        <x:f>IF(OR(W1265="unavailable",Y1265="unavailable"),"不可评价",IF(AND(W1265="positive",Y1265="positive"),"a",IF(Y1265="positive","b",IF(W1265="positive","c","d"))))</x:f>
        <x:v>d</x:v>
      </x:c>
    </x:row>
    <x:row r="1266" ht="24" customHeight="1">
      <x:c r="A1266" s="12" t="str">
        <x:v>11605</x:v>
      </x:c>
      <x:c r="B1266" s="12" t="str">
        <x:v>12255</x:v>
      </x:c>
      <x:c r="C1266" s="21" t="n">
        <x:v>34341.73195601852</x:v>
      </x:c>
      <x:c r="D1266" s="12" t="n">
        <x:v>67</x:v>
      </x:c>
      <x:c r="E1266" s="12" t="n">
        <x:v>0</x:v>
      </x:c>
      <x:c r="F1266" s="12" t="str">
        <x:v>未记录</x:v>
      </x:c>
      <x:c r="G1266" s="12" t="n">
        <x:v>1</x:v>
      </x:c>
      <x:c r="H1266" s="12" t="str">
        <x:v>{'IMI': 15.0, 'IVCD': 100.0, 'SR': 0.0}</x:v>
      </x:c>
      <x:c r="I1266" s="12" t="str">
        <x:v>[('NSR', 100.0), ('NML', 100.0)]</x:v>
      </x:c>
      <x:c r="J1266" s="12" t="str">
        <x:v>ptbxl_database.csv；ecg_id=11605；scp_codes</x:v>
      </x:c>
      <x:c r="K1266" s="12" t="str">
        <x:v>12sl_statements.csv；ecg_id=11605；statements_ext_snomed</x:v>
      </x:c>
      <x:c r="L1266" s="12"/>
      <x:c r="M1266" s="12" t="str">
        <x:v>negative</x:v>
      </x:c>
      <x:c r="N1266" s="12"/>
      <x:c r="O1266" s="12" t="str">
        <x:v>negative</x:v>
      </x:c>
      <x:c r="P1266" s="12" t="str">
        <x:f>IF(OR(M1266="unavailable",O1266="unavailable"),"不可评价",IF(OR(M1266="equivocal",O1266="equivocal"),"疑似",IF(AND(M1266="positive",O1266="positive"),"a",IF(O1266="positive","b",IF(M1266="positive","c","d")))))</x:f>
        <x:v>d</x:v>
      </x:c>
      <x:c r="Q1266" s="12"/>
      <x:c r="R1266" s="12" t="str">
        <x:v>negative</x:v>
      </x:c>
      <x:c r="S1266" s="12"/>
      <x:c r="T1266" s="12" t="str">
        <x:v>negative</x:v>
      </x:c>
      <x:c r="U1266" s="12" t="str">
        <x:f>IF(OR(R1266="unavailable",T1266="unavailable"),"不可评价",IF(OR(R1266="equivocal",T1266="equivocal"),"疑似",IF(AND(R1266="positive",T1266="positive"),"a",IF(T1266="positive","b",IF(R1266="positive","c","d")))))</x:f>
        <x:v>d</x:v>
      </x:c>
      <x:c r="V1266" s="12"/>
      <x:c r="W1266" s="12" t="str">
        <x:v>negative</x:v>
      </x:c>
      <x:c r="X1266" s="12"/>
      <x:c r="Y1266" s="12" t="str">
        <x:v>negative</x:v>
      </x:c>
      <x:c r="Z1266" s="12" t="str">
        <x:f>IF(OR(W1266="unavailable",Y1266="unavailable"),"不可评价",IF(OR(W1266="equivocal",Y1266="equivocal"),"疑似",IF(AND(W1266="positive",Y1266="positive"),"a",IF(Y1266="positive","b",IF(W1266="positive","c","d")))))</x:f>
        <x:v>d</x:v>
      </x:c>
      <x:c r="AA1266" s="12" t="str">
        <x:f>IF(OR(M1266="unavailable",O1266="unavailable"),"不可评价",IF(AND(OR(M1266="positive",M1266="equivocal"),OR(O1266="positive",O1266="equivocal")),"a",IF(OR(O1266="positive",O1266="equivocal"),"b",IF(OR(M1266="positive",M1266="equivocal"),"c","d"))))</x:f>
        <x:v>d</x:v>
      </x:c>
      <x:c r="AB1266" s="12" t="str">
        <x:f>IF(OR(M1266="unavailable",O1266="unavailable"),"不可评价",IF(AND(M1266="positive",O1266="positive"),"a",IF(O1266="positive","b",IF(M1266="positive","c","d"))))</x:f>
        <x:v>d</x:v>
      </x:c>
      <x:c r="AC1266" s="12" t="str">
        <x:f>IF(OR(R1266="unavailable",T1266="unavailable"),"不可评价",IF(AND(OR(R1266="positive",R1266="equivocal"),OR(T1266="positive",T1266="equivocal")),"a",IF(OR(T1266="positive",T1266="equivocal"),"b",IF(OR(R1266="positive",R1266="equivocal"),"c","d"))))</x:f>
        <x:v>d</x:v>
      </x:c>
      <x:c r="AD1266" s="12" t="str">
        <x:f>IF(OR(R1266="unavailable",T1266="unavailable"),"不可评价",IF(AND(R1266="positive",T1266="positive"),"a",IF(T1266="positive","b",IF(R1266="positive","c","d"))))</x:f>
        <x:v>d</x:v>
      </x:c>
      <x:c r="AE1266" s="12" t="str">
        <x:f>IF(OR(W1266="unavailable",Y1266="unavailable"),"不可评价",IF(AND(OR(W1266="positive",W1266="equivocal"),OR(Y1266="positive",Y1266="equivocal")),"a",IF(OR(Y1266="positive",Y1266="equivocal"),"b",IF(OR(W1266="positive",W1266="equivocal"),"c","d"))))</x:f>
        <x:v>d</x:v>
      </x:c>
      <x:c r="AF1266" s="12" t="str">
        <x:f>IF(OR(W1266="unavailable",Y1266="unavailable"),"不可评价",IF(AND(W1266="positive",Y1266="positive"),"a",IF(Y1266="positive","b",IF(W1266="positive","c","d"))))</x:f>
        <x:v>d</x:v>
      </x:c>
    </x:row>
    <x:row r="1267" ht="24" customHeight="1">
      <x:c r="A1267" s="12" t="str">
        <x:v>11616</x:v>
      </x:c>
      <x:c r="B1267" s="12" t="str">
        <x:v>10369</x:v>
      </x:c>
      <x:c r="C1267" s="21" t="n">
        <x:v>34343.689155092594</x:v>
      </x:c>
      <x:c r="D1267" s="12" t="n">
        <x:v>82</x:v>
      </x:c>
      <x:c r="E1267" s="12" t="n">
        <x:v>1</x:v>
      </x:c>
      <x:c r="F1267" s="12" t="str">
        <x:v>未记录</x:v>
      </x:c>
      <x:c r="G1267" s="12" t="n">
        <x:v>1</x:v>
      </x:c>
      <x:c r="H1267" s="12" t="str">
        <x:v>{'ASMI': 50.0, 'NST_': 100.0, 'SR': 0.0}</x:v>
      </x:c>
      <x:c r="I1267" s="12" t="str">
        <x:v>[('NSR', 100.0), ('NSTT', 100.0), ('LNGQT', 100.0), ('AB', 100.0)]</x:v>
      </x:c>
      <x:c r="J1267" s="12" t="str">
        <x:v>ptbxl_database.csv；ecg_id=11616；scp_codes</x:v>
      </x:c>
      <x:c r="K1267" s="12" t="str">
        <x:v>12sl_statements.csv；ecg_id=11616；statements_ext_snomed</x:v>
      </x:c>
      <x:c r="L1267" s="12"/>
      <x:c r="M1267" s="12" t="str">
        <x:v>negative</x:v>
      </x:c>
      <x:c r="N1267" s="12"/>
      <x:c r="O1267" s="12" t="str">
        <x:v>negative</x:v>
      </x:c>
      <x:c r="P1267" s="12" t="str">
        <x:f>IF(OR(M1267="unavailable",O1267="unavailable"),"不可评价",IF(OR(M1267="equivocal",O1267="equivocal"),"疑似",IF(AND(M1267="positive",O1267="positive"),"a",IF(O1267="positive","b",IF(M1267="positive","c","d")))))</x:f>
        <x:v>d</x:v>
      </x:c>
      <x:c r="Q1267" s="12"/>
      <x:c r="R1267" s="12" t="str">
        <x:v>negative</x:v>
      </x:c>
      <x:c r="S1267" s="12"/>
      <x:c r="T1267" s="12" t="str">
        <x:v>negative</x:v>
      </x:c>
      <x:c r="U1267" s="12" t="str">
        <x:f>IF(OR(R1267="unavailable",T1267="unavailable"),"不可评价",IF(OR(R1267="equivocal",T1267="equivocal"),"疑似",IF(AND(R1267="positive",T1267="positive"),"a",IF(T1267="positive","b",IF(R1267="positive","c","d")))))</x:f>
        <x:v>d</x:v>
      </x:c>
      <x:c r="V1267" s="12"/>
      <x:c r="W1267" s="12" t="str">
        <x:v>negative</x:v>
      </x:c>
      <x:c r="X1267" s="12"/>
      <x:c r="Y1267" s="12" t="str">
        <x:v>negative</x:v>
      </x:c>
      <x:c r="Z1267" s="12" t="str">
        <x:f>IF(OR(W1267="unavailable",Y1267="unavailable"),"不可评价",IF(OR(W1267="equivocal",Y1267="equivocal"),"疑似",IF(AND(W1267="positive",Y1267="positive"),"a",IF(Y1267="positive","b",IF(W1267="positive","c","d")))))</x:f>
        <x:v>d</x:v>
      </x:c>
      <x:c r="AA1267" s="12" t="str">
        <x:f>IF(OR(M1267="unavailable",O1267="unavailable"),"不可评价",IF(AND(OR(M1267="positive",M1267="equivocal"),OR(O1267="positive",O1267="equivocal")),"a",IF(OR(O1267="positive",O1267="equivocal"),"b",IF(OR(M1267="positive",M1267="equivocal"),"c","d"))))</x:f>
        <x:v>d</x:v>
      </x:c>
      <x:c r="AB1267" s="12" t="str">
        <x:f>IF(OR(M1267="unavailable",O1267="unavailable"),"不可评价",IF(AND(M1267="positive",O1267="positive"),"a",IF(O1267="positive","b",IF(M1267="positive","c","d"))))</x:f>
        <x:v>d</x:v>
      </x:c>
      <x:c r="AC1267" s="12" t="str">
        <x:f>IF(OR(R1267="unavailable",T1267="unavailable"),"不可评价",IF(AND(OR(R1267="positive",R1267="equivocal"),OR(T1267="positive",T1267="equivocal")),"a",IF(OR(T1267="positive",T1267="equivocal"),"b",IF(OR(R1267="positive",R1267="equivocal"),"c","d"))))</x:f>
        <x:v>d</x:v>
      </x:c>
      <x:c r="AD1267" s="12" t="str">
        <x:f>IF(OR(R1267="unavailable",T1267="unavailable"),"不可评价",IF(AND(R1267="positive",T1267="positive"),"a",IF(T1267="positive","b",IF(R1267="positive","c","d"))))</x:f>
        <x:v>d</x:v>
      </x:c>
      <x:c r="AE1267" s="12" t="str">
        <x:f>IF(OR(W1267="unavailable",Y1267="unavailable"),"不可评价",IF(AND(OR(W1267="positive",W1267="equivocal"),OR(Y1267="positive",Y1267="equivocal")),"a",IF(OR(Y1267="positive",Y1267="equivocal"),"b",IF(OR(W1267="positive",W1267="equivocal"),"c","d"))))</x:f>
        <x:v>d</x:v>
      </x:c>
      <x:c r="AF1267" s="12" t="str">
        <x:f>IF(OR(W1267="unavailable",Y1267="unavailable"),"不可评价",IF(AND(W1267="positive",Y1267="positive"),"a",IF(Y1267="positive","b",IF(W1267="positive","c","d"))))</x:f>
        <x:v>d</x:v>
      </x:c>
    </x:row>
    <x:row r="1268" ht="24" customHeight="1">
      <x:c r="A1268" s="12" t="str">
        <x:v>11644</x:v>
      </x:c>
      <x:c r="B1268" s="12" t="str">
        <x:v>15762</x:v>
      </x:c>
      <x:c r="C1268" s="21" t="n">
        <x:v>34346.605266203704</x:v>
      </x:c>
      <x:c r="D1268" s="12" t="n">
        <x:v>49</x:v>
      </x:c>
      <x:c r="E1268" s="12" t="n">
        <x:v>1</x:v>
      </x:c>
      <x:c r="F1268" s="12" t="str">
        <x:v>未记录</x:v>
      </x:c>
      <x:c r="G1268" s="12" t="n">
        <x:v>1</x:v>
      </x:c>
      <x:c r="H1268" s="12" t="str">
        <x:v>{'NDT': 100.0, 'SR': 0.0}</x:v>
      </x:c>
      <x:c r="I1268" s="12" t="str">
        <x:v>[('NSR', 100.0), ('NML', 100.0)]</x:v>
      </x:c>
      <x:c r="J1268" s="12" t="str">
        <x:v>ptbxl_database.csv；ecg_id=11644；scp_codes</x:v>
      </x:c>
      <x:c r="K1268" s="12" t="str">
        <x:v>12sl_statements.csv；ecg_id=11644；statements_ext_snomed</x:v>
      </x:c>
      <x:c r="L1268" s="12"/>
      <x:c r="M1268" s="12" t="str">
        <x:v>negative</x:v>
      </x:c>
      <x:c r="N1268" s="12"/>
      <x:c r="O1268" s="12" t="str">
        <x:v>negative</x:v>
      </x:c>
      <x:c r="P1268" s="12" t="str">
        <x:f>IF(OR(M1268="unavailable",O1268="unavailable"),"不可评价",IF(OR(M1268="equivocal",O1268="equivocal"),"疑似",IF(AND(M1268="positive",O1268="positive"),"a",IF(O1268="positive","b",IF(M1268="positive","c","d")))))</x:f>
        <x:v>d</x:v>
      </x:c>
      <x:c r="Q1268" s="12"/>
      <x:c r="R1268" s="12" t="str">
        <x:v>negative</x:v>
      </x:c>
      <x:c r="S1268" s="12"/>
      <x:c r="T1268" s="12" t="str">
        <x:v>negative</x:v>
      </x:c>
      <x:c r="U1268" s="12" t="str">
        <x:f>IF(OR(R1268="unavailable",T1268="unavailable"),"不可评价",IF(OR(R1268="equivocal",T1268="equivocal"),"疑似",IF(AND(R1268="positive",T1268="positive"),"a",IF(T1268="positive","b",IF(R1268="positive","c","d")))))</x:f>
        <x:v>d</x:v>
      </x:c>
      <x:c r="V1268" s="12"/>
      <x:c r="W1268" s="12" t="str">
        <x:v>negative</x:v>
      </x:c>
      <x:c r="X1268" s="12"/>
      <x:c r="Y1268" s="12" t="str">
        <x:v>negative</x:v>
      </x:c>
      <x:c r="Z1268" s="12" t="str">
        <x:f>IF(OR(W1268="unavailable",Y1268="unavailable"),"不可评价",IF(OR(W1268="equivocal",Y1268="equivocal"),"疑似",IF(AND(W1268="positive",Y1268="positive"),"a",IF(Y1268="positive","b",IF(W1268="positive","c","d")))))</x:f>
        <x:v>d</x:v>
      </x:c>
      <x:c r="AA1268" s="12" t="str">
        <x:f>IF(OR(M1268="unavailable",O1268="unavailable"),"不可评价",IF(AND(OR(M1268="positive",M1268="equivocal"),OR(O1268="positive",O1268="equivocal")),"a",IF(OR(O1268="positive",O1268="equivocal"),"b",IF(OR(M1268="positive",M1268="equivocal"),"c","d"))))</x:f>
        <x:v>d</x:v>
      </x:c>
      <x:c r="AB1268" s="12" t="str">
        <x:f>IF(OR(M1268="unavailable",O1268="unavailable"),"不可评价",IF(AND(M1268="positive",O1268="positive"),"a",IF(O1268="positive","b",IF(M1268="positive","c","d"))))</x:f>
        <x:v>d</x:v>
      </x:c>
      <x:c r="AC1268" s="12" t="str">
        <x:f>IF(OR(R1268="unavailable",T1268="unavailable"),"不可评价",IF(AND(OR(R1268="positive",R1268="equivocal"),OR(T1268="positive",T1268="equivocal")),"a",IF(OR(T1268="positive",T1268="equivocal"),"b",IF(OR(R1268="positive",R1268="equivocal"),"c","d"))))</x:f>
        <x:v>d</x:v>
      </x:c>
      <x:c r="AD1268" s="12" t="str">
        <x:f>IF(OR(R1268="unavailable",T1268="unavailable"),"不可评价",IF(AND(R1268="positive",T1268="positive"),"a",IF(T1268="positive","b",IF(R1268="positive","c","d"))))</x:f>
        <x:v>d</x:v>
      </x:c>
      <x:c r="AE1268" s="12" t="str">
        <x:f>IF(OR(W1268="unavailable",Y1268="unavailable"),"不可评价",IF(AND(OR(W1268="positive",W1268="equivocal"),OR(Y1268="positive",Y1268="equivocal")),"a",IF(OR(Y1268="positive",Y1268="equivocal"),"b",IF(OR(W1268="positive",W1268="equivocal"),"c","d"))))</x:f>
        <x:v>d</x:v>
      </x:c>
      <x:c r="AF1268" s="12" t="str">
        <x:f>IF(OR(W1268="unavailable",Y1268="unavailable"),"不可评价",IF(AND(W1268="positive",Y1268="positive"),"a",IF(Y1268="positive","b",IF(W1268="positive","c","d"))))</x:f>
        <x:v>d</x:v>
      </x:c>
    </x:row>
    <x:row r="1269" ht="24" customHeight="1">
      <x:c r="A1269" s="12" t="str">
        <x:v>11645</x:v>
      </x:c>
      <x:c r="B1269" s="12" t="str">
        <x:v>8388</x:v>
      </x:c>
      <x:c r="C1269" s="21" t="n">
        <x:v>34347.614907407406</x:v>
      </x:c>
      <x:c r="D1269" s="12" t="n">
        <x:v>61</x:v>
      </x:c>
      <x:c r="E1269" s="12" t="n">
        <x:v>0</x:v>
      </x:c>
      <x:c r="F1269" s="12" t="str">
        <x:v>未记录</x:v>
      </x:c>
      <x:c r="G1269" s="12" t="n">
        <x:v>0</x:v>
      </x:c>
      <x:c r="H1269" s="12" t="str">
        <x:v>{'ASMI': 15.0, 'SR': 0.0}</x:v>
      </x:c>
      <x:c r="I1269" s="12" t="str">
        <x:v>[('NSR', 100.0), ('NML', 100.0)]</x:v>
      </x:c>
      <x:c r="J1269" s="12" t="str">
        <x:v>ptbxl_database.csv；ecg_id=11645；scp_codes</x:v>
      </x:c>
      <x:c r="K1269" s="12" t="str">
        <x:v>12sl_statements.csv；ecg_id=11645；statements_ext_snomed</x:v>
      </x:c>
      <x:c r="L1269" s="12"/>
      <x:c r="M1269" s="12" t="str">
        <x:v>negative</x:v>
      </x:c>
      <x:c r="N1269" s="12"/>
      <x:c r="O1269" s="12" t="str">
        <x:v>negative</x:v>
      </x:c>
      <x:c r="P1269" s="12" t="str">
        <x:f>IF(OR(M1269="unavailable",O1269="unavailable"),"不可评价",IF(OR(M1269="equivocal",O1269="equivocal"),"疑似",IF(AND(M1269="positive",O1269="positive"),"a",IF(O1269="positive","b",IF(M1269="positive","c","d")))))</x:f>
        <x:v>d</x:v>
      </x:c>
      <x:c r="Q1269" s="12"/>
      <x:c r="R1269" s="12" t="str">
        <x:v>negative</x:v>
      </x:c>
      <x:c r="S1269" s="12"/>
      <x:c r="T1269" s="12" t="str">
        <x:v>negative</x:v>
      </x:c>
      <x:c r="U1269" s="12" t="str">
        <x:f>IF(OR(R1269="unavailable",T1269="unavailable"),"不可评价",IF(OR(R1269="equivocal",T1269="equivocal"),"疑似",IF(AND(R1269="positive",T1269="positive"),"a",IF(T1269="positive","b",IF(R1269="positive","c","d")))))</x:f>
        <x:v>d</x:v>
      </x:c>
      <x:c r="V1269" s="12"/>
      <x:c r="W1269" s="12" t="str">
        <x:v>negative</x:v>
      </x:c>
      <x:c r="X1269" s="12"/>
      <x:c r="Y1269" s="12" t="str">
        <x:v>negative</x:v>
      </x:c>
      <x:c r="Z1269" s="12" t="str">
        <x:f>IF(OR(W1269="unavailable",Y1269="unavailable"),"不可评价",IF(OR(W1269="equivocal",Y1269="equivocal"),"疑似",IF(AND(W1269="positive",Y1269="positive"),"a",IF(Y1269="positive","b",IF(W1269="positive","c","d")))))</x:f>
        <x:v>d</x:v>
      </x:c>
      <x:c r="AA1269" s="12" t="str">
        <x:f>IF(OR(M1269="unavailable",O1269="unavailable"),"不可评价",IF(AND(OR(M1269="positive",M1269="equivocal"),OR(O1269="positive",O1269="equivocal")),"a",IF(OR(O1269="positive",O1269="equivocal"),"b",IF(OR(M1269="positive",M1269="equivocal"),"c","d"))))</x:f>
        <x:v>d</x:v>
      </x:c>
      <x:c r="AB1269" s="12" t="str">
        <x:f>IF(OR(M1269="unavailable",O1269="unavailable"),"不可评价",IF(AND(M1269="positive",O1269="positive"),"a",IF(O1269="positive","b",IF(M1269="positive","c","d"))))</x:f>
        <x:v>d</x:v>
      </x:c>
      <x:c r="AC1269" s="12" t="str">
        <x:f>IF(OR(R1269="unavailable",T1269="unavailable"),"不可评价",IF(AND(OR(R1269="positive",R1269="equivocal"),OR(T1269="positive",T1269="equivocal")),"a",IF(OR(T1269="positive",T1269="equivocal"),"b",IF(OR(R1269="positive",R1269="equivocal"),"c","d"))))</x:f>
        <x:v>d</x:v>
      </x:c>
      <x:c r="AD1269" s="12" t="str">
        <x:f>IF(OR(R1269="unavailable",T1269="unavailable"),"不可评价",IF(AND(R1269="positive",T1269="positive"),"a",IF(T1269="positive","b",IF(R1269="positive","c","d"))))</x:f>
        <x:v>d</x:v>
      </x:c>
      <x:c r="AE1269" s="12" t="str">
        <x:f>IF(OR(W1269="unavailable",Y1269="unavailable"),"不可评价",IF(AND(OR(W1269="positive",W1269="equivocal"),OR(Y1269="positive",Y1269="equivocal")),"a",IF(OR(Y1269="positive",Y1269="equivocal"),"b",IF(OR(W1269="positive",W1269="equivocal"),"c","d"))))</x:f>
        <x:v>d</x:v>
      </x:c>
      <x:c r="AF1269" s="12" t="str">
        <x:f>IF(OR(W1269="unavailable",Y1269="unavailable"),"不可评价",IF(AND(W1269="positive",Y1269="positive"),"a",IF(Y1269="positive","b",IF(W1269="positive","c","d"))))</x:f>
        <x:v>d</x:v>
      </x:c>
    </x:row>
    <x:row r="1270" ht="39" customHeight="1">
      <x:c r="A1270" s="12" t="str">
        <x:v>11664</x:v>
      </x:c>
      <x:c r="B1270" s="12" t="str">
        <x:v>11991</x:v>
      </x:c>
      <x:c r="C1270" s="21" t="n">
        <x:v>34350.475636574076</x:v>
      </x:c>
      <x:c r="D1270" s="12" t="n">
        <x:v>67</x:v>
      </x:c>
      <x:c r="E1270" s="12" t="n">
        <x:v>1</x:v>
      </x:c>
      <x:c r="F1270" s="12" t="str">
        <x:v>未记录</x:v>
      </x:c>
      <x:c r="G1270" s="12" t="n">
        <x:v>1</x:v>
      </x:c>
      <x:c r="H1270" s="12" t="str">
        <x:v>{'ASMI': 80.0, 'ABQRS': 0.0, 'SARRH': 0.0}</x:v>
      </x:c>
      <x:c r="I1270" s="12" t="str">
        <x:v>[('SRTH', 100.0), ('PAC', 100.0), ('$SABCOND', 100.0), ('SMI;AU', 100.0), ('AB', 100.0)]</x:v>
      </x:c>
      <x:c r="J1270" s="12" t="str">
        <x:v>ptbxl_database.csv；ecg_id=11664；scp_codes</x:v>
      </x:c>
      <x:c r="K1270" s="12" t="str">
        <x:v>12sl_statements.csv；ecg_id=11664；statements_ext_snomed</x:v>
      </x:c>
      <x:c r="L1270" s="12"/>
      <x:c r="M1270" s="12" t="str">
        <x:v>negative</x:v>
      </x:c>
      <x:c r="N1270" s="12"/>
      <x:c r="O1270" s="12" t="str">
        <x:v>negative</x:v>
      </x:c>
      <x:c r="P1270" s="12" t="str">
        <x:f>IF(OR(M1270="unavailable",O1270="unavailable"),"不可评价",IF(OR(M1270="equivocal",O1270="equivocal"),"疑似",IF(AND(M1270="positive",O1270="positive"),"a",IF(O1270="positive","b",IF(M1270="positive","c","d")))))</x:f>
        <x:v>d</x:v>
      </x:c>
      <x:c r="Q1270" s="12"/>
      <x:c r="R1270" s="12" t="str">
        <x:v>negative</x:v>
      </x:c>
      <x:c r="S1270" s="12"/>
      <x:c r="T1270" s="12" t="str">
        <x:v>negative</x:v>
      </x:c>
      <x:c r="U1270" s="12" t="str">
        <x:f>IF(OR(R1270="unavailable",T1270="unavailable"),"不可评价",IF(OR(R1270="equivocal",T1270="equivocal"),"疑似",IF(AND(R1270="positive",T1270="positive"),"a",IF(T1270="positive","b",IF(R1270="positive","c","d")))))</x:f>
        <x:v>d</x:v>
      </x:c>
      <x:c r="V1270" s="12"/>
      <x:c r="W1270" s="12" t="str">
        <x:v>negative</x:v>
      </x:c>
      <x:c r="X1270" s="12"/>
      <x:c r="Y1270" s="12" t="str">
        <x:v>negative</x:v>
      </x:c>
      <x:c r="Z1270" s="12" t="str">
        <x:f>IF(OR(W1270="unavailable",Y1270="unavailable"),"不可评价",IF(OR(W1270="equivocal",Y1270="equivocal"),"疑似",IF(AND(W1270="positive",Y1270="positive"),"a",IF(Y1270="positive","b",IF(W1270="positive","c","d")))))</x:f>
        <x:v>d</x:v>
      </x:c>
      <x:c r="AA1270" s="12" t="str">
        <x:f>IF(OR(M1270="unavailable",O1270="unavailable"),"不可评价",IF(AND(OR(M1270="positive",M1270="equivocal"),OR(O1270="positive",O1270="equivocal")),"a",IF(OR(O1270="positive",O1270="equivocal"),"b",IF(OR(M1270="positive",M1270="equivocal"),"c","d"))))</x:f>
        <x:v>d</x:v>
      </x:c>
      <x:c r="AB1270" s="12" t="str">
        <x:f>IF(OR(M1270="unavailable",O1270="unavailable"),"不可评价",IF(AND(M1270="positive",O1270="positive"),"a",IF(O1270="positive","b",IF(M1270="positive","c","d"))))</x:f>
        <x:v>d</x:v>
      </x:c>
      <x:c r="AC1270" s="12" t="str">
        <x:f>IF(OR(R1270="unavailable",T1270="unavailable"),"不可评价",IF(AND(OR(R1270="positive",R1270="equivocal"),OR(T1270="positive",T1270="equivocal")),"a",IF(OR(T1270="positive",T1270="equivocal"),"b",IF(OR(R1270="positive",R1270="equivocal"),"c","d"))))</x:f>
        <x:v>d</x:v>
      </x:c>
      <x:c r="AD1270" s="12" t="str">
        <x:f>IF(OR(R1270="unavailable",T1270="unavailable"),"不可评价",IF(AND(R1270="positive",T1270="positive"),"a",IF(T1270="positive","b",IF(R1270="positive","c","d"))))</x:f>
        <x:v>d</x:v>
      </x:c>
      <x:c r="AE1270" s="12" t="str">
        <x:f>IF(OR(W1270="unavailable",Y1270="unavailable"),"不可评价",IF(AND(OR(W1270="positive",W1270="equivocal"),OR(Y1270="positive",Y1270="equivocal")),"a",IF(OR(Y1270="positive",Y1270="equivocal"),"b",IF(OR(W1270="positive",W1270="equivocal"),"c","d"))))</x:f>
        <x:v>d</x:v>
      </x:c>
      <x:c r="AF1270" s="12" t="str">
        <x:f>IF(OR(W1270="unavailable",Y1270="unavailable"),"不可评价",IF(AND(W1270="positive",Y1270="positive"),"a",IF(Y1270="positive","b",IF(W1270="positive","c","d"))))</x:f>
        <x:v>d</x:v>
      </x:c>
    </x:row>
    <x:row r="1271" ht="24" customHeight="1">
      <x:c r="A1271" s="12" t="str">
        <x:v>11679</x:v>
      </x:c>
      <x:c r="B1271" s="12" t="str">
        <x:v>20141</x:v>
      </x:c>
      <x:c r="C1271" s="21" t="n">
        <x:v>34351.52997685185</x:v>
      </x:c>
      <x:c r="D1271" s="12" t="n">
        <x:v>30</x:v>
      </x:c>
      <x:c r="E1271" s="12" t="n">
        <x:v>0</x:v>
      </x:c>
      <x:c r="F1271" s="12" t="str">
        <x:v>未记录</x:v>
      </x:c>
      <x:c r="G1271" s="12" t="n">
        <x:v>1</x:v>
      </x:c>
      <x:c r="H1271" s="12" t="str">
        <x:v>{'NORM': 100.0, 'SR': 0.0}</x:v>
      </x:c>
      <x:c r="I1271" s="12" t="str">
        <x:v>[('NSR', 100.0), ('NML', 100.0)]</x:v>
      </x:c>
      <x:c r="J1271" s="12" t="str">
        <x:v>ptbxl_database.csv；ecg_id=11679；scp_codes</x:v>
      </x:c>
      <x:c r="K1271" s="12" t="str">
        <x:v>12sl_statements.csv；ecg_id=11679；statements_ext_snomed</x:v>
      </x:c>
      <x:c r="L1271" s="12"/>
      <x:c r="M1271" s="12" t="str">
        <x:v>negative</x:v>
      </x:c>
      <x:c r="N1271" s="12"/>
      <x:c r="O1271" s="12" t="str">
        <x:v>negative</x:v>
      </x:c>
      <x:c r="P1271" s="12" t="str">
        <x:f>IF(OR(M1271="unavailable",O1271="unavailable"),"不可评价",IF(OR(M1271="equivocal",O1271="equivocal"),"疑似",IF(AND(M1271="positive",O1271="positive"),"a",IF(O1271="positive","b",IF(M1271="positive","c","d")))))</x:f>
        <x:v>d</x:v>
      </x:c>
      <x:c r="Q1271" s="12"/>
      <x:c r="R1271" s="12" t="str">
        <x:v>negative</x:v>
      </x:c>
      <x:c r="S1271" s="12"/>
      <x:c r="T1271" s="12" t="str">
        <x:v>negative</x:v>
      </x:c>
      <x:c r="U1271" s="12" t="str">
        <x:f>IF(OR(R1271="unavailable",T1271="unavailable"),"不可评价",IF(OR(R1271="equivocal",T1271="equivocal"),"疑似",IF(AND(R1271="positive",T1271="positive"),"a",IF(T1271="positive","b",IF(R1271="positive","c","d")))))</x:f>
        <x:v>d</x:v>
      </x:c>
      <x:c r="V1271" s="12"/>
      <x:c r="W1271" s="12" t="str">
        <x:v>negative</x:v>
      </x:c>
      <x:c r="X1271" s="12"/>
      <x:c r="Y1271" s="12" t="str">
        <x:v>negative</x:v>
      </x:c>
      <x:c r="Z1271" s="12" t="str">
        <x:f>IF(OR(W1271="unavailable",Y1271="unavailable"),"不可评价",IF(OR(W1271="equivocal",Y1271="equivocal"),"疑似",IF(AND(W1271="positive",Y1271="positive"),"a",IF(Y1271="positive","b",IF(W1271="positive","c","d")))))</x:f>
        <x:v>d</x:v>
      </x:c>
      <x:c r="AA1271" s="12" t="str">
        <x:f>IF(OR(M1271="unavailable",O1271="unavailable"),"不可评价",IF(AND(OR(M1271="positive",M1271="equivocal"),OR(O1271="positive",O1271="equivocal")),"a",IF(OR(O1271="positive",O1271="equivocal"),"b",IF(OR(M1271="positive",M1271="equivocal"),"c","d"))))</x:f>
        <x:v>d</x:v>
      </x:c>
      <x:c r="AB1271" s="12" t="str">
        <x:f>IF(OR(M1271="unavailable",O1271="unavailable"),"不可评价",IF(AND(M1271="positive",O1271="positive"),"a",IF(O1271="positive","b",IF(M1271="positive","c","d"))))</x:f>
        <x:v>d</x:v>
      </x:c>
      <x:c r="AC1271" s="12" t="str">
        <x:f>IF(OR(R1271="unavailable",T1271="unavailable"),"不可评价",IF(AND(OR(R1271="positive",R1271="equivocal"),OR(T1271="positive",T1271="equivocal")),"a",IF(OR(T1271="positive",T1271="equivocal"),"b",IF(OR(R1271="positive",R1271="equivocal"),"c","d"))))</x:f>
        <x:v>d</x:v>
      </x:c>
      <x:c r="AD1271" s="12" t="str">
        <x:f>IF(OR(R1271="unavailable",T1271="unavailable"),"不可评价",IF(AND(R1271="positive",T1271="positive"),"a",IF(T1271="positive","b",IF(R1271="positive","c","d"))))</x:f>
        <x:v>d</x:v>
      </x:c>
      <x:c r="AE1271" s="12" t="str">
        <x:f>IF(OR(W1271="unavailable",Y1271="unavailable"),"不可评价",IF(AND(OR(W1271="positive",W1271="equivocal"),OR(Y1271="positive",Y1271="equivocal")),"a",IF(OR(Y1271="positive",Y1271="equivocal"),"b",IF(OR(W1271="positive",W1271="equivocal"),"c","d"))))</x:f>
        <x:v>d</x:v>
      </x:c>
      <x:c r="AF1271" s="12" t="str">
        <x:f>IF(OR(W1271="unavailable",Y1271="unavailable"),"不可评价",IF(AND(W1271="positive",Y1271="positive"),"a",IF(Y1271="positive","b",IF(W1271="positive","c","d"))))</x:f>
        <x:v>d</x:v>
      </x:c>
    </x:row>
    <x:row r="1272" ht="24" customHeight="1">
      <x:c r="A1272" s="12" t="str">
        <x:v>11681</x:v>
      </x:c>
      <x:c r="B1272" s="12" t="str">
        <x:v>10233</x:v>
      </x:c>
      <x:c r="C1272" s="21" t="n">
        <x:v>34351.587164351855</x:v>
      </x:c>
      <x:c r="D1272" s="12" t="n">
        <x:v>48</x:v>
      </x:c>
      <x:c r="E1272" s="12" t="n">
        <x:v>1</x:v>
      </x:c>
      <x:c r="F1272" s="12" t="str">
        <x:v>未记录</x:v>
      </x:c>
      <x:c r="G1272" s="12" t="n">
        <x:v>1</x:v>
      </x:c>
      <x:c r="H1272" s="12" t="str">
        <x:v>{'LVH': 15.0, 'ISC_': 100.0, 'IRBBB': 100.0, 'VCLVH': 0.0, 'SR': 0.0}</x:v>
      </x:c>
      <x:c r="I1272" s="12" t="str">
        <x:v>[('SRTH', 100.0), ('SPR', 100.0), ('NST', 100.0), ('AB', 100.0)]</x:v>
      </x:c>
      <x:c r="J1272" s="12" t="str">
        <x:v>ptbxl_database.csv；ecg_id=11681；scp_codes</x:v>
      </x:c>
      <x:c r="K1272" s="12" t="str">
        <x:v>12sl_statements.csv；ecg_id=11681；statements_ext_snomed</x:v>
      </x:c>
      <x:c r="L1272" s="12"/>
      <x:c r="M1272" s="12" t="str">
        <x:v>negative</x:v>
      </x:c>
      <x:c r="N1272" s="12"/>
      <x:c r="O1272" s="12" t="str">
        <x:v>negative</x:v>
      </x:c>
      <x:c r="P1272" s="12" t="str">
        <x:f>IF(OR(M1272="unavailable",O1272="unavailable"),"不可评价",IF(OR(M1272="equivocal",O1272="equivocal"),"疑似",IF(AND(M1272="positive",O1272="positive"),"a",IF(O1272="positive","b",IF(M1272="positive","c","d")))))</x:f>
        <x:v>d</x:v>
      </x:c>
      <x:c r="Q1272" s="12"/>
      <x:c r="R1272" s="12" t="str">
        <x:v>negative</x:v>
      </x:c>
      <x:c r="S1272" s="12"/>
      <x:c r="T1272" s="12" t="str">
        <x:v>negative</x:v>
      </x:c>
      <x:c r="U1272" s="12" t="str">
        <x:f>IF(OR(R1272="unavailable",T1272="unavailable"),"不可评价",IF(OR(R1272="equivocal",T1272="equivocal"),"疑似",IF(AND(R1272="positive",T1272="positive"),"a",IF(T1272="positive","b",IF(R1272="positive","c","d")))))</x:f>
        <x:v>d</x:v>
      </x:c>
      <x:c r="V1272" s="12"/>
      <x:c r="W1272" s="12" t="str">
        <x:v>negative</x:v>
      </x:c>
      <x:c r="X1272" s="12"/>
      <x:c r="Y1272" s="12" t="str">
        <x:v>negative</x:v>
      </x:c>
      <x:c r="Z1272" s="12" t="str">
        <x:f>IF(OR(W1272="unavailable",Y1272="unavailable"),"不可评价",IF(OR(W1272="equivocal",Y1272="equivocal"),"疑似",IF(AND(W1272="positive",Y1272="positive"),"a",IF(Y1272="positive","b",IF(W1272="positive","c","d")))))</x:f>
        <x:v>d</x:v>
      </x:c>
      <x:c r="AA1272" s="12" t="str">
        <x:f>IF(OR(M1272="unavailable",O1272="unavailable"),"不可评价",IF(AND(OR(M1272="positive",M1272="equivocal"),OR(O1272="positive",O1272="equivocal")),"a",IF(OR(O1272="positive",O1272="equivocal"),"b",IF(OR(M1272="positive",M1272="equivocal"),"c","d"))))</x:f>
        <x:v>d</x:v>
      </x:c>
      <x:c r="AB1272" s="12" t="str">
        <x:f>IF(OR(M1272="unavailable",O1272="unavailable"),"不可评价",IF(AND(M1272="positive",O1272="positive"),"a",IF(O1272="positive","b",IF(M1272="positive","c","d"))))</x:f>
        <x:v>d</x:v>
      </x:c>
      <x:c r="AC1272" s="12" t="str">
        <x:f>IF(OR(R1272="unavailable",T1272="unavailable"),"不可评价",IF(AND(OR(R1272="positive",R1272="equivocal"),OR(T1272="positive",T1272="equivocal")),"a",IF(OR(T1272="positive",T1272="equivocal"),"b",IF(OR(R1272="positive",R1272="equivocal"),"c","d"))))</x:f>
        <x:v>d</x:v>
      </x:c>
      <x:c r="AD1272" s="12" t="str">
        <x:f>IF(OR(R1272="unavailable",T1272="unavailable"),"不可评价",IF(AND(R1272="positive",T1272="positive"),"a",IF(T1272="positive","b",IF(R1272="positive","c","d"))))</x:f>
        <x:v>d</x:v>
      </x:c>
      <x:c r="AE1272" s="12" t="str">
        <x:f>IF(OR(W1272="unavailable",Y1272="unavailable"),"不可评价",IF(AND(OR(W1272="positive",W1272="equivocal"),OR(Y1272="positive",Y1272="equivocal")),"a",IF(OR(Y1272="positive",Y1272="equivocal"),"b",IF(OR(W1272="positive",W1272="equivocal"),"c","d"))))</x:f>
        <x:v>d</x:v>
      </x:c>
      <x:c r="AF1272" s="12" t="str">
        <x:f>IF(OR(W1272="unavailable",Y1272="unavailable"),"不可评价",IF(AND(W1272="positive",Y1272="positive"),"a",IF(Y1272="positive","b",IF(W1272="positive","c","d"))))</x:f>
        <x:v>d</x:v>
      </x:c>
    </x:row>
    <x:row r="1273" ht="39" customHeight="1">
      <x:c r="A1273" s="12" t="str">
        <x:v>11686</x:v>
      </x:c>
      <x:c r="B1273" s="12" t="str">
        <x:v>18058</x:v>
      </x:c>
      <x:c r="C1273" s="21" t="n">
        <x:v>34352.43894675926</x:v>
      </x:c>
      <x:c r="D1273" s="12" t="n">
        <x:v>62</x:v>
      </x:c>
      <x:c r="E1273" s="12" t="n">
        <x:v>0</x:v>
      </x:c>
      <x:c r="F1273" s="12" t="str">
        <x:v>存在</x:v>
      </x:c>
      <x:c r="G1273" s="12" t="n">
        <x:v>1</x:v>
      </x:c>
      <x:c r="H1273" s="12" t="str">
        <x:v>{'IMI': 15.0, 'IRBBB': 100.0, 'ISCLA': 100.0, 'PVC': 100.0, 'ABQRS': 0.0, 'AFIB': 0.0}</x:v>
      </x:c>
      <x:c r="I1273" s="12" t="str">
        <x:v>[('AFIB', 100.0), ('VPCX', 100.0), ('LAD3', 100.0), ('NSTT', 100.0), ('LNGQT', 100.0), ('AB', 100.0)]</x:v>
      </x:c>
      <x:c r="J1273" s="12" t="str">
        <x:v>ptbxl_database.csv；ecg_id=11686；scp_codes</x:v>
      </x:c>
      <x:c r="K1273" s="12" t="str">
        <x:v>12sl_statements.csv；ecg_id=11686；statements_ext_snomed</x:v>
      </x:c>
      <x:c r="L1273" s="12" t="n">
        <x:v>0</x:v>
      </x:c>
      <x:c r="M1273" s="12" t="str">
        <x:v>positive</x:v>
      </x:c>
      <x:c r="N1273" s="12" t="n">
        <x:v>100</x:v>
      </x:c>
      <x:c r="O1273" s="12" t="str">
        <x:v>positive</x:v>
      </x:c>
      <x:c r="P1273" s="12" t="str">
        <x:f>IF(OR(M1273="unavailable",O1273="unavailable"),"不可评价",IF(OR(M1273="equivocal",O1273="equivocal"),"疑似",IF(AND(M1273="positive",O1273="positive"),"a",IF(O1273="positive","b",IF(M1273="positive","c","d")))))</x:f>
        <x:v>a</x:v>
      </x:c>
      <x:c r="Q1273" s="12"/>
      <x:c r="R1273" s="12" t="str">
        <x:v>negative</x:v>
      </x:c>
      <x:c r="S1273" s="12"/>
      <x:c r="T1273" s="12" t="str">
        <x:v>negative</x:v>
      </x:c>
      <x:c r="U1273" s="12" t="str">
        <x:f>IF(OR(R1273="unavailable",T1273="unavailable"),"不可评价",IF(OR(R1273="equivocal",T1273="equivocal"),"疑似",IF(AND(R1273="positive",T1273="positive"),"a",IF(T1273="positive","b",IF(R1273="positive","c","d")))))</x:f>
        <x:v>d</x:v>
      </x:c>
      <x:c r="V1273" s="12"/>
      <x:c r="W1273" s="12" t="str">
        <x:v>negative</x:v>
      </x:c>
      <x:c r="X1273" s="12"/>
      <x:c r="Y1273" s="12" t="str">
        <x:v>negative</x:v>
      </x:c>
      <x:c r="Z1273" s="12" t="str">
        <x:f>IF(OR(W1273="unavailable",Y1273="unavailable"),"不可评价",IF(OR(W1273="equivocal",Y1273="equivocal"),"疑似",IF(AND(W1273="positive",Y1273="positive"),"a",IF(Y1273="positive","b",IF(W1273="positive","c","d")))))</x:f>
        <x:v>d</x:v>
      </x:c>
      <x:c r="AA1273" s="12" t="str">
        <x:f>IF(OR(M1273="unavailable",O1273="unavailable"),"不可评价",IF(AND(OR(M1273="positive",M1273="equivocal"),OR(O1273="positive",O1273="equivocal")),"a",IF(OR(O1273="positive",O1273="equivocal"),"b",IF(OR(M1273="positive",M1273="equivocal"),"c","d"))))</x:f>
        <x:v>a</x:v>
      </x:c>
      <x:c r="AB1273" s="12" t="str">
        <x:f>IF(OR(M1273="unavailable",O1273="unavailable"),"不可评价",IF(AND(M1273="positive",O1273="positive"),"a",IF(O1273="positive","b",IF(M1273="positive","c","d"))))</x:f>
        <x:v>a</x:v>
      </x:c>
      <x:c r="AC1273" s="12" t="str">
        <x:f>IF(OR(R1273="unavailable",T1273="unavailable"),"不可评价",IF(AND(OR(R1273="positive",R1273="equivocal"),OR(T1273="positive",T1273="equivocal")),"a",IF(OR(T1273="positive",T1273="equivocal"),"b",IF(OR(R1273="positive",R1273="equivocal"),"c","d"))))</x:f>
        <x:v>d</x:v>
      </x:c>
      <x:c r="AD1273" s="12" t="str">
        <x:f>IF(OR(R1273="unavailable",T1273="unavailable"),"不可评价",IF(AND(R1273="positive",T1273="positive"),"a",IF(T1273="positive","b",IF(R1273="positive","c","d"))))</x:f>
        <x:v>d</x:v>
      </x:c>
      <x:c r="AE1273" s="12" t="str">
        <x:f>IF(OR(W1273="unavailable",Y1273="unavailable"),"不可评价",IF(AND(OR(W1273="positive",W1273="equivocal"),OR(Y1273="positive",Y1273="equivocal")),"a",IF(OR(Y1273="positive",Y1273="equivocal"),"b",IF(OR(W1273="positive",W1273="equivocal"),"c","d"))))</x:f>
        <x:v>d</x:v>
      </x:c>
      <x:c r="AF1273" s="12" t="str">
        <x:f>IF(OR(W1273="unavailable",Y1273="unavailable"),"不可评价",IF(AND(W1273="positive",Y1273="positive"),"a",IF(Y1273="positive","b",IF(W1273="positive","c","d"))))</x:f>
        <x:v>d</x:v>
      </x:c>
    </x:row>
    <x:row r="1274" ht="24" customHeight="1">
      <x:c r="A1274" s="12" t="str">
        <x:v>11705</x:v>
      </x:c>
      <x:c r="B1274" s="12" t="str">
        <x:v>8445</x:v>
      </x:c>
      <x:c r="C1274" s="21" t="n">
        <x:v>34356.586064814815</x:v>
      </x:c>
      <x:c r="D1274" s="12" t="n">
        <x:v>34</x:v>
      </x:c>
      <x:c r="E1274" s="12" t="n">
        <x:v>0</x:v>
      </x:c>
      <x:c r="F1274" s="12" t="str">
        <x:v>未记录</x:v>
      </x:c>
      <x:c r="G1274" s="12" t="n">
        <x:v>1</x:v>
      </x:c>
      <x:c r="H1274" s="12" t="str">
        <x:v>{'NORM': 100.0, 'SR': 0.0}</x:v>
      </x:c>
      <x:c r="I1274" s="12" t="str">
        <x:v>[('NSR', 100.0), ('NML', 100.0)]</x:v>
      </x:c>
      <x:c r="J1274" s="12" t="str">
        <x:v>ptbxl_database.csv；ecg_id=11705；scp_codes</x:v>
      </x:c>
      <x:c r="K1274" s="12" t="str">
        <x:v>12sl_statements.csv；ecg_id=11705；statements_ext_snomed</x:v>
      </x:c>
      <x:c r="L1274" s="12"/>
      <x:c r="M1274" s="12" t="str">
        <x:v>negative</x:v>
      </x:c>
      <x:c r="N1274" s="12"/>
      <x:c r="O1274" s="12" t="str">
        <x:v>negative</x:v>
      </x:c>
      <x:c r="P1274" s="12" t="str">
        <x:f>IF(OR(M1274="unavailable",O1274="unavailable"),"不可评价",IF(OR(M1274="equivocal",O1274="equivocal"),"疑似",IF(AND(M1274="positive",O1274="positive"),"a",IF(O1274="positive","b",IF(M1274="positive","c","d")))))</x:f>
        <x:v>d</x:v>
      </x:c>
      <x:c r="Q1274" s="12"/>
      <x:c r="R1274" s="12" t="str">
        <x:v>negative</x:v>
      </x:c>
      <x:c r="S1274" s="12"/>
      <x:c r="T1274" s="12" t="str">
        <x:v>negative</x:v>
      </x:c>
      <x:c r="U1274" s="12" t="str">
        <x:f>IF(OR(R1274="unavailable",T1274="unavailable"),"不可评价",IF(OR(R1274="equivocal",T1274="equivocal"),"疑似",IF(AND(R1274="positive",T1274="positive"),"a",IF(T1274="positive","b",IF(R1274="positive","c","d")))))</x:f>
        <x:v>d</x:v>
      </x:c>
      <x:c r="V1274" s="12"/>
      <x:c r="W1274" s="12" t="str">
        <x:v>negative</x:v>
      </x:c>
      <x:c r="X1274" s="12"/>
      <x:c r="Y1274" s="12" t="str">
        <x:v>negative</x:v>
      </x:c>
      <x:c r="Z1274" s="12" t="str">
        <x:f>IF(OR(W1274="unavailable",Y1274="unavailable"),"不可评价",IF(OR(W1274="equivocal",Y1274="equivocal"),"疑似",IF(AND(W1274="positive",Y1274="positive"),"a",IF(Y1274="positive","b",IF(W1274="positive","c","d")))))</x:f>
        <x:v>d</x:v>
      </x:c>
      <x:c r="AA1274" s="12" t="str">
        <x:f>IF(OR(M1274="unavailable",O1274="unavailable"),"不可评价",IF(AND(OR(M1274="positive",M1274="equivocal"),OR(O1274="positive",O1274="equivocal")),"a",IF(OR(O1274="positive",O1274="equivocal"),"b",IF(OR(M1274="positive",M1274="equivocal"),"c","d"))))</x:f>
        <x:v>d</x:v>
      </x:c>
      <x:c r="AB1274" s="12" t="str">
        <x:f>IF(OR(M1274="unavailable",O1274="unavailable"),"不可评价",IF(AND(M1274="positive",O1274="positive"),"a",IF(O1274="positive","b",IF(M1274="positive","c","d"))))</x:f>
        <x:v>d</x:v>
      </x:c>
      <x:c r="AC1274" s="12" t="str">
        <x:f>IF(OR(R1274="unavailable",T1274="unavailable"),"不可评价",IF(AND(OR(R1274="positive",R1274="equivocal"),OR(T1274="positive",T1274="equivocal")),"a",IF(OR(T1274="positive",T1274="equivocal"),"b",IF(OR(R1274="positive",R1274="equivocal"),"c","d"))))</x:f>
        <x:v>d</x:v>
      </x:c>
      <x:c r="AD1274" s="12" t="str">
        <x:f>IF(OR(R1274="unavailable",T1274="unavailable"),"不可评价",IF(AND(R1274="positive",T1274="positive"),"a",IF(T1274="positive","b",IF(R1274="positive","c","d"))))</x:f>
        <x:v>d</x:v>
      </x:c>
      <x:c r="AE1274" s="12" t="str">
        <x:f>IF(OR(W1274="unavailable",Y1274="unavailable"),"不可评价",IF(AND(OR(W1274="positive",W1274="equivocal"),OR(Y1274="positive",Y1274="equivocal")),"a",IF(OR(Y1274="positive",Y1274="equivocal"),"b",IF(OR(W1274="positive",W1274="equivocal"),"c","d"))))</x:f>
        <x:v>d</x:v>
      </x:c>
      <x:c r="AF1274" s="12" t="str">
        <x:f>IF(OR(W1274="unavailable",Y1274="unavailable"),"不可评价",IF(AND(W1274="positive",Y1274="positive"),"a",IF(Y1274="positive","b",IF(W1274="positive","c","d"))))</x:f>
        <x:v>d</x:v>
      </x:c>
    </x:row>
    <x:row r="1275" ht="24" customHeight="1">
      <x:c r="A1275" s="12" t="str">
        <x:v>11711</x:v>
      </x:c>
      <x:c r="B1275" s="12" t="str">
        <x:v>8762</x:v>
      </x:c>
      <x:c r="C1275" s="21" t="n">
        <x:v>34357.5128587963</x:v>
      </x:c>
      <x:c r="D1275" s="12" t="n">
        <x:v>72</x:v>
      </x:c>
      <x:c r="E1275" s="12" t="n">
        <x:v>1</x:v>
      </x:c>
      <x:c r="F1275" s="12" t="str">
        <x:v>未记录</x:v>
      </x:c>
      <x:c r="G1275" s="12" t="n">
        <x:v>1</x:v>
      </x:c>
      <x:c r="H1275" s="12" t="str">
        <x:v>{'NORM': 50.0, 'PVC': 100.0, 'SARRH': 0.0}</x:v>
      </x:c>
      <x:c r="I1275" s="12" t="str">
        <x:v>[('SRTH', 100.0), ('SAR', 100.0), ('PVC', 100.0), ('NST', 100.0), ('AB', 100.0)]</x:v>
      </x:c>
      <x:c r="J1275" s="12" t="str">
        <x:v>ptbxl_database.csv；ecg_id=11711；scp_codes</x:v>
      </x:c>
      <x:c r="K1275" s="12" t="str">
        <x:v>12sl_statements.csv；ecg_id=11711；statements_ext_snomed</x:v>
      </x:c>
      <x:c r="L1275" s="12"/>
      <x:c r="M1275" s="12" t="str">
        <x:v>negative</x:v>
      </x:c>
      <x:c r="N1275" s="12"/>
      <x:c r="O1275" s="12" t="str">
        <x:v>negative</x:v>
      </x:c>
      <x:c r="P1275" s="12" t="str">
        <x:f>IF(OR(M1275="unavailable",O1275="unavailable"),"不可评价",IF(OR(M1275="equivocal",O1275="equivocal"),"疑似",IF(AND(M1275="positive",O1275="positive"),"a",IF(O1275="positive","b",IF(M1275="positive","c","d")))))</x:f>
        <x:v>d</x:v>
      </x:c>
      <x:c r="Q1275" s="12"/>
      <x:c r="R1275" s="12" t="str">
        <x:v>negative</x:v>
      </x:c>
      <x:c r="S1275" s="12"/>
      <x:c r="T1275" s="12" t="str">
        <x:v>negative</x:v>
      </x:c>
      <x:c r="U1275" s="12" t="str">
        <x:f>IF(OR(R1275="unavailable",T1275="unavailable"),"不可评价",IF(OR(R1275="equivocal",T1275="equivocal"),"疑似",IF(AND(R1275="positive",T1275="positive"),"a",IF(T1275="positive","b",IF(R1275="positive","c","d")))))</x:f>
        <x:v>d</x:v>
      </x:c>
      <x:c r="V1275" s="12"/>
      <x:c r="W1275" s="12" t="str">
        <x:v>negative</x:v>
      </x:c>
      <x:c r="X1275" s="12"/>
      <x:c r="Y1275" s="12" t="str">
        <x:v>negative</x:v>
      </x:c>
      <x:c r="Z1275" s="12" t="str">
        <x:f>IF(OR(W1275="unavailable",Y1275="unavailable"),"不可评价",IF(OR(W1275="equivocal",Y1275="equivocal"),"疑似",IF(AND(W1275="positive",Y1275="positive"),"a",IF(Y1275="positive","b",IF(W1275="positive","c","d")))))</x:f>
        <x:v>d</x:v>
      </x:c>
      <x:c r="AA1275" s="12" t="str">
        <x:f>IF(OR(M1275="unavailable",O1275="unavailable"),"不可评价",IF(AND(OR(M1275="positive",M1275="equivocal"),OR(O1275="positive",O1275="equivocal")),"a",IF(OR(O1275="positive",O1275="equivocal"),"b",IF(OR(M1275="positive",M1275="equivocal"),"c","d"))))</x:f>
        <x:v>d</x:v>
      </x:c>
      <x:c r="AB1275" s="12" t="str">
        <x:f>IF(OR(M1275="unavailable",O1275="unavailable"),"不可评价",IF(AND(M1275="positive",O1275="positive"),"a",IF(O1275="positive","b",IF(M1275="positive","c","d"))))</x:f>
        <x:v>d</x:v>
      </x:c>
      <x:c r="AC1275" s="12" t="str">
        <x:f>IF(OR(R1275="unavailable",T1275="unavailable"),"不可评价",IF(AND(OR(R1275="positive",R1275="equivocal"),OR(T1275="positive",T1275="equivocal")),"a",IF(OR(T1275="positive",T1275="equivocal"),"b",IF(OR(R1275="positive",R1275="equivocal"),"c","d"))))</x:f>
        <x:v>d</x:v>
      </x:c>
      <x:c r="AD1275" s="12" t="str">
        <x:f>IF(OR(R1275="unavailable",T1275="unavailable"),"不可评价",IF(AND(R1275="positive",T1275="positive"),"a",IF(T1275="positive","b",IF(R1275="positive","c","d"))))</x:f>
        <x:v>d</x:v>
      </x:c>
      <x:c r="AE1275" s="12" t="str">
        <x:f>IF(OR(W1275="unavailable",Y1275="unavailable"),"不可评价",IF(AND(OR(W1275="positive",W1275="equivocal"),OR(Y1275="positive",Y1275="equivocal")),"a",IF(OR(Y1275="positive",Y1275="equivocal"),"b",IF(OR(W1275="positive",W1275="equivocal"),"c","d"))))</x:f>
        <x:v>d</x:v>
      </x:c>
      <x:c r="AF1275" s="12" t="str">
        <x:f>IF(OR(W1275="unavailable",Y1275="unavailable"),"不可评价",IF(AND(W1275="positive",Y1275="positive"),"a",IF(Y1275="positive","b",IF(W1275="positive","c","d"))))</x:f>
        <x:v>d</x:v>
      </x:c>
    </x:row>
    <x:row r="1276" ht="24" customHeight="1">
      <x:c r="A1276" s="12" t="str">
        <x:v>11723</x:v>
      </x:c>
      <x:c r="B1276" s="12" t="str">
        <x:v>19518</x:v>
      </x:c>
      <x:c r="C1276" s="21" t="n">
        <x:v>34359.61126157407</x:v>
      </x:c>
      <x:c r="D1276" s="12" t="n">
        <x:v>52</x:v>
      </x:c>
      <x:c r="E1276" s="12" t="n">
        <x:v>0</x:v>
      </x:c>
      <x:c r="F1276" s="12" t="str">
        <x:v>存在</x:v>
      </x:c>
      <x:c r="G1276" s="12" t="n">
        <x:v>1</x:v>
      </x:c>
      <x:c r="H1276" s="12" t="str">
        <x:v>{'NORM': 100.0, 'SR': 0.0}</x:v>
      </x:c>
      <x:c r="I1276" s="12" t="str">
        <x:v>[('NSR', 100.0), ('SAR', 100.0), ('NML', 100.0)]</x:v>
      </x:c>
      <x:c r="J1276" s="12" t="str">
        <x:v>ptbxl_database.csv；ecg_id=11723；scp_codes</x:v>
      </x:c>
      <x:c r="K1276" s="12" t="str">
        <x:v>12sl_statements.csv；ecg_id=11723；statements_ext_snomed</x:v>
      </x:c>
      <x:c r="L1276" s="12"/>
      <x:c r="M1276" s="12" t="str">
        <x:v>negative</x:v>
      </x:c>
      <x:c r="N1276" s="12"/>
      <x:c r="O1276" s="12" t="str">
        <x:v>negative</x:v>
      </x:c>
      <x:c r="P1276" s="12" t="str">
        <x:f>IF(OR(M1276="unavailable",O1276="unavailable"),"不可评价",IF(OR(M1276="equivocal",O1276="equivocal"),"疑似",IF(AND(M1276="positive",O1276="positive"),"a",IF(O1276="positive","b",IF(M1276="positive","c","d")))))</x:f>
        <x:v>d</x:v>
      </x:c>
      <x:c r="Q1276" s="12"/>
      <x:c r="R1276" s="12" t="str">
        <x:v>negative</x:v>
      </x:c>
      <x:c r="S1276" s="12"/>
      <x:c r="T1276" s="12" t="str">
        <x:v>negative</x:v>
      </x:c>
      <x:c r="U1276" s="12" t="str">
        <x:f>IF(OR(R1276="unavailable",T1276="unavailable"),"不可评价",IF(OR(R1276="equivocal",T1276="equivocal"),"疑似",IF(AND(R1276="positive",T1276="positive"),"a",IF(T1276="positive","b",IF(R1276="positive","c","d")))))</x:f>
        <x:v>d</x:v>
      </x:c>
      <x:c r="V1276" s="12"/>
      <x:c r="W1276" s="12" t="str">
        <x:v>negative</x:v>
      </x:c>
      <x:c r="X1276" s="12"/>
      <x:c r="Y1276" s="12" t="str">
        <x:v>negative</x:v>
      </x:c>
      <x:c r="Z1276" s="12" t="str">
        <x:f>IF(OR(W1276="unavailable",Y1276="unavailable"),"不可评价",IF(OR(W1276="equivocal",Y1276="equivocal"),"疑似",IF(AND(W1276="positive",Y1276="positive"),"a",IF(Y1276="positive","b",IF(W1276="positive","c","d")))))</x:f>
        <x:v>d</x:v>
      </x:c>
      <x:c r="AA1276" s="12" t="str">
        <x:f>IF(OR(M1276="unavailable",O1276="unavailable"),"不可评价",IF(AND(OR(M1276="positive",M1276="equivocal"),OR(O1276="positive",O1276="equivocal")),"a",IF(OR(O1276="positive",O1276="equivocal"),"b",IF(OR(M1276="positive",M1276="equivocal"),"c","d"))))</x:f>
        <x:v>d</x:v>
      </x:c>
      <x:c r="AB1276" s="12" t="str">
        <x:f>IF(OR(M1276="unavailable",O1276="unavailable"),"不可评价",IF(AND(M1276="positive",O1276="positive"),"a",IF(O1276="positive","b",IF(M1276="positive","c","d"))))</x:f>
        <x:v>d</x:v>
      </x:c>
      <x:c r="AC1276" s="12" t="str">
        <x:f>IF(OR(R1276="unavailable",T1276="unavailable"),"不可评价",IF(AND(OR(R1276="positive",R1276="equivocal"),OR(T1276="positive",T1276="equivocal")),"a",IF(OR(T1276="positive",T1276="equivocal"),"b",IF(OR(R1276="positive",R1276="equivocal"),"c","d"))))</x:f>
        <x:v>d</x:v>
      </x:c>
      <x:c r="AD1276" s="12" t="str">
        <x:f>IF(OR(R1276="unavailable",T1276="unavailable"),"不可评价",IF(AND(R1276="positive",T1276="positive"),"a",IF(T1276="positive","b",IF(R1276="positive","c","d"))))</x:f>
        <x:v>d</x:v>
      </x:c>
      <x:c r="AE1276" s="12" t="str">
        <x:f>IF(OR(W1276="unavailable",Y1276="unavailable"),"不可评价",IF(AND(OR(W1276="positive",W1276="equivocal"),OR(Y1276="positive",Y1276="equivocal")),"a",IF(OR(Y1276="positive",Y1276="equivocal"),"b",IF(OR(W1276="positive",W1276="equivocal"),"c","d"))))</x:f>
        <x:v>d</x:v>
      </x:c>
      <x:c r="AF1276" s="12" t="str">
        <x:f>IF(OR(W1276="unavailable",Y1276="unavailable"),"不可评价",IF(AND(W1276="positive",Y1276="positive"),"a",IF(Y1276="positive","b",IF(W1276="positive","c","d"))))</x:f>
        <x:v>d</x:v>
      </x:c>
    </x:row>
    <x:row r="1277" ht="24" customHeight="1">
      <x:c r="A1277" s="12" t="str">
        <x:v>11727</x:v>
      </x:c>
      <x:c r="B1277" s="12" t="str">
        <x:v>18670</x:v>
      </x:c>
      <x:c r="C1277" s="21" t="n">
        <x:v>34360.38086805555</x:v>
      </x:c>
      <x:c r="D1277" s="12" t="n">
        <x:v>51</x:v>
      </x:c>
      <x:c r="E1277" s="12" t="n">
        <x:v>0</x:v>
      </x:c>
      <x:c r="F1277" s="12" t="str">
        <x:v>未记录</x:v>
      </x:c>
      <x:c r="G1277" s="12" t="n">
        <x:v>1</x:v>
      </x:c>
      <x:c r="H1277" s="12" t="str">
        <x:v>{'NORM': 80.0, 'STACH': 0.0}</x:v>
      </x:c>
      <x:c r="I1277" s="12" t="str">
        <x:v>[('STACH', 100.0), ('ABR', 100.0)]</x:v>
      </x:c>
      <x:c r="J1277" s="12" t="str">
        <x:v>ptbxl_database.csv；ecg_id=11727；scp_codes</x:v>
      </x:c>
      <x:c r="K1277" s="12" t="str">
        <x:v>12sl_statements.csv；ecg_id=11727；statements_ext_snomed</x:v>
      </x:c>
      <x:c r="L1277" s="12"/>
      <x:c r="M1277" s="12" t="str">
        <x:v>negative</x:v>
      </x:c>
      <x:c r="N1277" s="12"/>
      <x:c r="O1277" s="12" t="str">
        <x:v>negative</x:v>
      </x:c>
      <x:c r="P1277" s="12" t="str">
        <x:f>IF(OR(M1277="unavailable",O1277="unavailable"),"不可评价",IF(OR(M1277="equivocal",O1277="equivocal"),"疑似",IF(AND(M1277="positive",O1277="positive"),"a",IF(O1277="positive","b",IF(M1277="positive","c","d")))))</x:f>
        <x:v>d</x:v>
      </x:c>
      <x:c r="Q1277" s="12"/>
      <x:c r="R1277" s="12" t="str">
        <x:v>negative</x:v>
      </x:c>
      <x:c r="S1277" s="12"/>
      <x:c r="T1277" s="12" t="str">
        <x:v>negative</x:v>
      </x:c>
      <x:c r="U1277" s="12" t="str">
        <x:f>IF(OR(R1277="unavailable",T1277="unavailable"),"不可评价",IF(OR(R1277="equivocal",T1277="equivocal"),"疑似",IF(AND(R1277="positive",T1277="positive"),"a",IF(T1277="positive","b",IF(R1277="positive","c","d")))))</x:f>
        <x:v>d</x:v>
      </x:c>
      <x:c r="V1277" s="12"/>
      <x:c r="W1277" s="12" t="str">
        <x:v>negative</x:v>
      </x:c>
      <x:c r="X1277" s="12"/>
      <x:c r="Y1277" s="12" t="str">
        <x:v>negative</x:v>
      </x:c>
      <x:c r="Z1277" s="12" t="str">
        <x:f>IF(OR(W1277="unavailable",Y1277="unavailable"),"不可评价",IF(OR(W1277="equivocal",Y1277="equivocal"),"疑似",IF(AND(W1277="positive",Y1277="positive"),"a",IF(Y1277="positive","b",IF(W1277="positive","c","d")))))</x:f>
        <x:v>d</x:v>
      </x:c>
      <x:c r="AA1277" s="12" t="str">
        <x:f>IF(OR(M1277="unavailable",O1277="unavailable"),"不可评价",IF(AND(OR(M1277="positive",M1277="equivocal"),OR(O1277="positive",O1277="equivocal")),"a",IF(OR(O1277="positive",O1277="equivocal"),"b",IF(OR(M1277="positive",M1277="equivocal"),"c","d"))))</x:f>
        <x:v>d</x:v>
      </x:c>
      <x:c r="AB1277" s="12" t="str">
        <x:f>IF(OR(M1277="unavailable",O1277="unavailable"),"不可评价",IF(AND(M1277="positive",O1277="positive"),"a",IF(O1277="positive","b",IF(M1277="positive","c","d"))))</x:f>
        <x:v>d</x:v>
      </x:c>
      <x:c r="AC1277" s="12" t="str">
        <x:f>IF(OR(R1277="unavailable",T1277="unavailable"),"不可评价",IF(AND(OR(R1277="positive",R1277="equivocal"),OR(T1277="positive",T1277="equivocal")),"a",IF(OR(T1277="positive",T1277="equivocal"),"b",IF(OR(R1277="positive",R1277="equivocal"),"c","d"))))</x:f>
        <x:v>d</x:v>
      </x:c>
      <x:c r="AD1277" s="12" t="str">
        <x:f>IF(OR(R1277="unavailable",T1277="unavailable"),"不可评价",IF(AND(R1277="positive",T1277="positive"),"a",IF(T1277="positive","b",IF(R1277="positive","c","d"))))</x:f>
        <x:v>d</x:v>
      </x:c>
      <x:c r="AE1277" s="12" t="str">
        <x:f>IF(OR(W1277="unavailable",Y1277="unavailable"),"不可评价",IF(AND(OR(W1277="positive",W1277="equivocal"),OR(Y1277="positive",Y1277="equivocal")),"a",IF(OR(Y1277="positive",Y1277="equivocal"),"b",IF(OR(W1277="positive",W1277="equivocal"),"c","d"))))</x:f>
        <x:v>d</x:v>
      </x:c>
      <x:c r="AF1277" s="12" t="str">
        <x:f>IF(OR(W1277="unavailable",Y1277="unavailable"),"不可评价",IF(AND(W1277="positive",Y1277="positive"),"a",IF(Y1277="positive","b",IF(W1277="positive","c","d"))))</x:f>
        <x:v>d</x:v>
      </x:c>
    </x:row>
    <x:row r="1278" ht="24" customHeight="1">
      <x:c r="A1278" s="12" t="str">
        <x:v>11738</x:v>
      </x:c>
      <x:c r="B1278" s="12" t="str">
        <x:v>4169</x:v>
      </x:c>
      <x:c r="C1278" s="21" t="n">
        <x:v>34361.40813657407</x:v>
      </x:c>
      <x:c r="D1278" s="12" t="n">
        <x:v>47</x:v>
      </x:c>
      <x:c r="E1278" s="12" t="n">
        <x:v>0</x:v>
      </x:c>
      <x:c r="F1278" s="12" t="str">
        <x:v>未记录</x:v>
      </x:c>
      <x:c r="G1278" s="12" t="n">
        <x:v>1</x:v>
      </x:c>
      <x:c r="H1278" s="12" t="str">
        <x:v>{'IVCD': 80.0, 'STACH': 0.0}</x:v>
      </x:c>
      <x:c r="I1278" s="12" t="str">
        <x:v>[('STACH', 100.0), ('ABR', 100.0)]</x:v>
      </x:c>
      <x:c r="J1278" s="12" t="str">
        <x:v>ptbxl_database.csv；ecg_id=11738；scp_codes</x:v>
      </x:c>
      <x:c r="K1278" s="12" t="str">
        <x:v>12sl_statements.csv；ecg_id=11738；statements_ext_snomed</x:v>
      </x:c>
      <x:c r="L1278" s="12"/>
      <x:c r="M1278" s="12" t="str">
        <x:v>negative</x:v>
      </x:c>
      <x:c r="N1278" s="12"/>
      <x:c r="O1278" s="12" t="str">
        <x:v>negative</x:v>
      </x:c>
      <x:c r="P1278" s="12" t="str">
        <x:f>IF(OR(M1278="unavailable",O1278="unavailable"),"不可评价",IF(OR(M1278="equivocal",O1278="equivocal"),"疑似",IF(AND(M1278="positive",O1278="positive"),"a",IF(O1278="positive","b",IF(M1278="positive","c","d")))))</x:f>
        <x:v>d</x:v>
      </x:c>
      <x:c r="Q1278" s="12"/>
      <x:c r="R1278" s="12" t="str">
        <x:v>negative</x:v>
      </x:c>
      <x:c r="S1278" s="12"/>
      <x:c r="T1278" s="12" t="str">
        <x:v>negative</x:v>
      </x:c>
      <x:c r="U1278" s="12" t="str">
        <x:f>IF(OR(R1278="unavailable",T1278="unavailable"),"不可评价",IF(OR(R1278="equivocal",T1278="equivocal"),"疑似",IF(AND(R1278="positive",T1278="positive"),"a",IF(T1278="positive","b",IF(R1278="positive","c","d")))))</x:f>
        <x:v>d</x:v>
      </x:c>
      <x:c r="V1278" s="12"/>
      <x:c r="W1278" s="12" t="str">
        <x:v>negative</x:v>
      </x:c>
      <x:c r="X1278" s="12"/>
      <x:c r="Y1278" s="12" t="str">
        <x:v>negative</x:v>
      </x:c>
      <x:c r="Z1278" s="12" t="str">
        <x:f>IF(OR(W1278="unavailable",Y1278="unavailable"),"不可评价",IF(OR(W1278="equivocal",Y1278="equivocal"),"疑似",IF(AND(W1278="positive",Y1278="positive"),"a",IF(Y1278="positive","b",IF(W1278="positive","c","d")))))</x:f>
        <x:v>d</x:v>
      </x:c>
      <x:c r="AA1278" s="12" t="str">
        <x:f>IF(OR(M1278="unavailable",O1278="unavailable"),"不可评价",IF(AND(OR(M1278="positive",M1278="equivocal"),OR(O1278="positive",O1278="equivocal")),"a",IF(OR(O1278="positive",O1278="equivocal"),"b",IF(OR(M1278="positive",M1278="equivocal"),"c","d"))))</x:f>
        <x:v>d</x:v>
      </x:c>
      <x:c r="AB1278" s="12" t="str">
        <x:f>IF(OR(M1278="unavailable",O1278="unavailable"),"不可评价",IF(AND(M1278="positive",O1278="positive"),"a",IF(O1278="positive","b",IF(M1278="positive","c","d"))))</x:f>
        <x:v>d</x:v>
      </x:c>
      <x:c r="AC1278" s="12" t="str">
        <x:f>IF(OR(R1278="unavailable",T1278="unavailable"),"不可评价",IF(AND(OR(R1278="positive",R1278="equivocal"),OR(T1278="positive",T1278="equivocal")),"a",IF(OR(T1278="positive",T1278="equivocal"),"b",IF(OR(R1278="positive",R1278="equivocal"),"c","d"))))</x:f>
        <x:v>d</x:v>
      </x:c>
      <x:c r="AD1278" s="12" t="str">
        <x:f>IF(OR(R1278="unavailable",T1278="unavailable"),"不可评价",IF(AND(R1278="positive",T1278="positive"),"a",IF(T1278="positive","b",IF(R1278="positive","c","d"))))</x:f>
        <x:v>d</x:v>
      </x:c>
      <x:c r="AE1278" s="12" t="str">
        <x:f>IF(OR(W1278="unavailable",Y1278="unavailable"),"不可评价",IF(AND(OR(W1278="positive",W1278="equivocal"),OR(Y1278="positive",Y1278="equivocal")),"a",IF(OR(Y1278="positive",Y1278="equivocal"),"b",IF(OR(W1278="positive",W1278="equivocal"),"c","d"))))</x:f>
        <x:v>d</x:v>
      </x:c>
      <x:c r="AF1278" s="12" t="str">
        <x:f>IF(OR(W1278="unavailable",Y1278="unavailable"),"不可评价",IF(AND(W1278="positive",Y1278="positive"),"a",IF(Y1278="positive","b",IF(W1278="positive","c","d"))))</x:f>
        <x:v>d</x:v>
      </x:c>
    </x:row>
    <x:row r="1279" ht="24" customHeight="1">
      <x:c r="A1279" s="12" t="str">
        <x:v>11739</x:v>
      </x:c>
      <x:c r="B1279" s="12" t="str">
        <x:v>19038</x:v>
      </x:c>
      <x:c r="C1279" s="21" t="n">
        <x:v>34361.44697916666</x:v>
      </x:c>
      <x:c r="D1279" s="12" t="n">
        <x:v>19</x:v>
      </x:c>
      <x:c r="E1279" s="12" t="n">
        <x:v>1</x:v>
      </x:c>
      <x:c r="F1279" s="12" t="str">
        <x:v>未记录</x:v>
      </x:c>
      <x:c r="G1279" s="12" t="n">
        <x:v>1</x:v>
      </x:c>
      <x:c r="H1279" s="12" t="str">
        <x:v>{'NORM': 100.0, 'SR': 0.0}</x:v>
      </x:c>
      <x:c r="I1279" s="12" t="str">
        <x:v>[('NSR', 100.0), ('SAR', 100.0), ('NML', 100.0)]</x:v>
      </x:c>
      <x:c r="J1279" s="12" t="str">
        <x:v>ptbxl_database.csv；ecg_id=11739；scp_codes</x:v>
      </x:c>
      <x:c r="K1279" s="12" t="str">
        <x:v>12sl_statements.csv；ecg_id=11739；statements_ext_snomed</x:v>
      </x:c>
      <x:c r="L1279" s="12"/>
      <x:c r="M1279" s="12" t="str">
        <x:v>negative</x:v>
      </x:c>
      <x:c r="N1279" s="12"/>
      <x:c r="O1279" s="12" t="str">
        <x:v>negative</x:v>
      </x:c>
      <x:c r="P1279" s="12" t="str">
        <x:f>IF(OR(M1279="unavailable",O1279="unavailable"),"不可评价",IF(OR(M1279="equivocal",O1279="equivocal"),"疑似",IF(AND(M1279="positive",O1279="positive"),"a",IF(O1279="positive","b",IF(M1279="positive","c","d")))))</x:f>
        <x:v>d</x:v>
      </x:c>
      <x:c r="Q1279" s="12"/>
      <x:c r="R1279" s="12" t="str">
        <x:v>negative</x:v>
      </x:c>
      <x:c r="S1279" s="12"/>
      <x:c r="T1279" s="12" t="str">
        <x:v>negative</x:v>
      </x:c>
      <x:c r="U1279" s="12" t="str">
        <x:f>IF(OR(R1279="unavailable",T1279="unavailable"),"不可评价",IF(OR(R1279="equivocal",T1279="equivocal"),"疑似",IF(AND(R1279="positive",T1279="positive"),"a",IF(T1279="positive","b",IF(R1279="positive","c","d")))))</x:f>
        <x:v>d</x:v>
      </x:c>
      <x:c r="V1279" s="12"/>
      <x:c r="W1279" s="12" t="str">
        <x:v>negative</x:v>
      </x:c>
      <x:c r="X1279" s="12"/>
      <x:c r="Y1279" s="12" t="str">
        <x:v>negative</x:v>
      </x:c>
      <x:c r="Z1279" s="12" t="str">
        <x:f>IF(OR(W1279="unavailable",Y1279="unavailable"),"不可评价",IF(OR(W1279="equivocal",Y1279="equivocal"),"疑似",IF(AND(W1279="positive",Y1279="positive"),"a",IF(Y1279="positive","b",IF(W1279="positive","c","d")))))</x:f>
        <x:v>d</x:v>
      </x:c>
      <x:c r="AA1279" s="12" t="str">
        <x:f>IF(OR(M1279="unavailable",O1279="unavailable"),"不可评价",IF(AND(OR(M1279="positive",M1279="equivocal"),OR(O1279="positive",O1279="equivocal")),"a",IF(OR(O1279="positive",O1279="equivocal"),"b",IF(OR(M1279="positive",M1279="equivocal"),"c","d"))))</x:f>
        <x:v>d</x:v>
      </x:c>
      <x:c r="AB1279" s="12" t="str">
        <x:f>IF(OR(M1279="unavailable",O1279="unavailable"),"不可评价",IF(AND(M1279="positive",O1279="positive"),"a",IF(O1279="positive","b",IF(M1279="positive","c","d"))))</x:f>
        <x:v>d</x:v>
      </x:c>
      <x:c r="AC1279" s="12" t="str">
        <x:f>IF(OR(R1279="unavailable",T1279="unavailable"),"不可评价",IF(AND(OR(R1279="positive",R1279="equivocal"),OR(T1279="positive",T1279="equivocal")),"a",IF(OR(T1279="positive",T1279="equivocal"),"b",IF(OR(R1279="positive",R1279="equivocal"),"c","d"))))</x:f>
        <x:v>d</x:v>
      </x:c>
      <x:c r="AD1279" s="12" t="str">
        <x:f>IF(OR(R1279="unavailable",T1279="unavailable"),"不可评价",IF(AND(R1279="positive",T1279="positive"),"a",IF(T1279="positive","b",IF(R1279="positive","c","d"))))</x:f>
        <x:v>d</x:v>
      </x:c>
      <x:c r="AE1279" s="12" t="str">
        <x:f>IF(OR(W1279="unavailable",Y1279="unavailable"),"不可评价",IF(AND(OR(W1279="positive",W1279="equivocal"),OR(Y1279="positive",Y1279="equivocal")),"a",IF(OR(Y1279="positive",Y1279="equivocal"),"b",IF(OR(W1279="positive",W1279="equivocal"),"c","d"))))</x:f>
        <x:v>d</x:v>
      </x:c>
      <x:c r="AF1279" s="12" t="str">
        <x:f>IF(OR(W1279="unavailable",Y1279="unavailable"),"不可评价",IF(AND(W1279="positive",Y1279="positive"),"a",IF(Y1279="positive","b",IF(W1279="positive","c","d"))))</x:f>
        <x:v>d</x:v>
      </x:c>
    </x:row>
    <x:row r="1280" ht="39" customHeight="1">
      <x:c r="A1280" s="12" t="str">
        <x:v>11755</x:v>
      </x:c>
      <x:c r="B1280" s="12" t="str">
        <x:v>15631</x:v>
      </x:c>
      <x:c r="C1280" s="21" t="n">
        <x:v>34363.41994212963</x:v>
      </x:c>
      <x:c r="D1280" s="12" t="n">
        <x:v>76</x:v>
      </x:c>
      <x:c r="E1280" s="12" t="n">
        <x:v>1</x:v>
      </x:c>
      <x:c r="F1280" s="12" t="str">
        <x:v>未记录</x:v>
      </x:c>
      <x:c r="G1280" s="12" t="n">
        <x:v>1</x:v>
      </x:c>
      <x:c r="H1280" s="12" t="str">
        <x:v>{'IMI': 50.0, 'ASMI': 50.0, 'LVH': 50.0, 'ISC_': 100.0, 'ABQRS': 0.0, 'AFIB': 0.0}</x:v>
      </x:c>
      <x:c r="I1280" s="12" t="str">
        <x:v>[('AFIB', 100.0), ('RVR', 100.0), ('LAD3', 100.0), ('SMI;AU', 100.0), ('IMI;AU', 100.0), ('LSBINJ', 100.0), ('AB', 100.0)]</x:v>
      </x:c>
      <x:c r="J1280" s="12" t="str">
        <x:v>ptbxl_database.csv；ecg_id=11755；scp_codes</x:v>
      </x:c>
      <x:c r="K1280" s="12" t="str">
        <x:v>12sl_statements.csv；ecg_id=11755；statements_ext_snomed</x:v>
      </x:c>
      <x:c r="L1280" s="12" t="n">
        <x:v>0</x:v>
      </x:c>
      <x:c r="M1280" s="12" t="str">
        <x:v>positive</x:v>
      </x:c>
      <x:c r="N1280" s="12" t="n">
        <x:v>100</x:v>
      </x:c>
      <x:c r="O1280" s="12" t="str">
        <x:v>positive</x:v>
      </x:c>
      <x:c r="P1280" s="12" t="str">
        <x:f>IF(OR(M1280="unavailable",O1280="unavailable"),"不可评价",IF(OR(M1280="equivocal",O1280="equivocal"),"疑似",IF(AND(M1280="positive",O1280="positive"),"a",IF(O1280="positive","b",IF(M1280="positive","c","d")))))</x:f>
        <x:v>a</x:v>
      </x:c>
      <x:c r="Q1280" s="12"/>
      <x:c r="R1280" s="12" t="str">
        <x:v>negative</x:v>
      </x:c>
      <x:c r="S1280" s="12"/>
      <x:c r="T1280" s="12" t="str">
        <x:v>negative</x:v>
      </x:c>
      <x:c r="U1280" s="12" t="str">
        <x:f>IF(OR(R1280="unavailable",T1280="unavailable"),"不可评价",IF(OR(R1280="equivocal",T1280="equivocal"),"疑似",IF(AND(R1280="positive",T1280="positive"),"a",IF(T1280="positive","b",IF(R1280="positive","c","d")))))</x:f>
        <x:v>d</x:v>
      </x:c>
      <x:c r="V1280" s="12"/>
      <x:c r="W1280" s="12" t="str">
        <x:v>negative</x:v>
      </x:c>
      <x:c r="X1280" s="12"/>
      <x:c r="Y1280" s="12" t="str">
        <x:v>negative</x:v>
      </x:c>
      <x:c r="Z1280" s="12" t="str">
        <x:f>IF(OR(W1280="unavailable",Y1280="unavailable"),"不可评价",IF(OR(W1280="equivocal",Y1280="equivocal"),"疑似",IF(AND(W1280="positive",Y1280="positive"),"a",IF(Y1280="positive","b",IF(W1280="positive","c","d")))))</x:f>
        <x:v>d</x:v>
      </x:c>
      <x:c r="AA1280" s="12" t="str">
        <x:f>IF(OR(M1280="unavailable",O1280="unavailable"),"不可评价",IF(AND(OR(M1280="positive",M1280="equivocal"),OR(O1280="positive",O1280="equivocal")),"a",IF(OR(O1280="positive",O1280="equivocal"),"b",IF(OR(M1280="positive",M1280="equivocal"),"c","d"))))</x:f>
        <x:v>a</x:v>
      </x:c>
      <x:c r="AB1280" s="12" t="str">
        <x:f>IF(OR(M1280="unavailable",O1280="unavailable"),"不可评价",IF(AND(M1280="positive",O1280="positive"),"a",IF(O1280="positive","b",IF(M1280="positive","c","d"))))</x:f>
        <x:v>a</x:v>
      </x:c>
      <x:c r="AC1280" s="12" t="str">
        <x:f>IF(OR(R1280="unavailable",T1280="unavailable"),"不可评价",IF(AND(OR(R1280="positive",R1280="equivocal"),OR(T1280="positive",T1280="equivocal")),"a",IF(OR(T1280="positive",T1280="equivocal"),"b",IF(OR(R1280="positive",R1280="equivocal"),"c","d"))))</x:f>
        <x:v>d</x:v>
      </x:c>
      <x:c r="AD1280" s="12" t="str">
        <x:f>IF(OR(R1280="unavailable",T1280="unavailable"),"不可评价",IF(AND(R1280="positive",T1280="positive"),"a",IF(T1280="positive","b",IF(R1280="positive","c","d"))))</x:f>
        <x:v>d</x:v>
      </x:c>
      <x:c r="AE1280" s="12" t="str">
        <x:f>IF(OR(W1280="unavailable",Y1280="unavailable"),"不可评价",IF(AND(OR(W1280="positive",W1280="equivocal"),OR(Y1280="positive",Y1280="equivocal")),"a",IF(OR(Y1280="positive",Y1280="equivocal"),"b",IF(OR(W1280="positive",W1280="equivocal"),"c","d"))))</x:f>
        <x:v>d</x:v>
      </x:c>
      <x:c r="AF1280" s="12" t="str">
        <x:f>IF(OR(W1280="unavailable",Y1280="unavailable"),"不可评价",IF(AND(W1280="positive",Y1280="positive"),"a",IF(Y1280="positive","b",IF(W1280="positive","c","d"))))</x:f>
        <x:v>d</x:v>
      </x:c>
    </x:row>
    <x:row r="1281" ht="24" customHeight="1">
      <x:c r="A1281" s="12" t="str">
        <x:v>11758</x:v>
      </x:c>
      <x:c r="B1281" s="12" t="str">
        <x:v>6276</x:v>
      </x:c>
      <x:c r="C1281" s="21" t="n">
        <x:v>34363.4630787037</x:v>
      </x:c>
      <x:c r="D1281" s="12" t="n">
        <x:v>82</x:v>
      </x:c>
      <x:c r="E1281" s="12" t="n">
        <x:v>1</x:v>
      </x:c>
      <x:c r="F1281" s="12" t="str">
        <x:v>未记录</x:v>
      </x:c>
      <x:c r="G1281" s="12" t="n">
        <x:v>1</x:v>
      </x:c>
      <x:c r="H1281" s="12" t="str">
        <x:v>{'NDT': 100.0, 'NT_': 0.0, 'SR': 0.0}</x:v>
      </x:c>
      <x:c r="I1281" s="12" t="str">
        <x:v>[('SBRAD', 100.0), ('FAV', 100.0), ('ABR', 100.0)]</x:v>
      </x:c>
      <x:c r="J1281" s="12" t="str">
        <x:v>ptbxl_database.csv；ecg_id=11758；scp_codes</x:v>
      </x:c>
      <x:c r="K1281" s="12" t="str">
        <x:v>12sl_statements.csv；ecg_id=11758；statements_ext_snomed</x:v>
      </x:c>
      <x:c r="L1281" s="12"/>
      <x:c r="M1281" s="12" t="str">
        <x:v>negative</x:v>
      </x:c>
      <x:c r="N1281" s="12"/>
      <x:c r="O1281" s="12" t="str">
        <x:v>negative</x:v>
      </x:c>
      <x:c r="P1281" s="12" t="str">
        <x:f>IF(OR(M1281="unavailable",O1281="unavailable"),"不可评价",IF(OR(M1281="equivocal",O1281="equivocal"),"疑似",IF(AND(M1281="positive",O1281="positive"),"a",IF(O1281="positive","b",IF(M1281="positive","c","d")))))</x:f>
        <x:v>d</x:v>
      </x:c>
      <x:c r="Q1281" s="12"/>
      <x:c r="R1281" s="12" t="str">
        <x:v>negative</x:v>
      </x:c>
      <x:c r="S1281" s="12"/>
      <x:c r="T1281" s="12" t="str">
        <x:v>negative</x:v>
      </x:c>
      <x:c r="U1281" s="12" t="str">
        <x:f>IF(OR(R1281="unavailable",T1281="unavailable"),"不可评价",IF(OR(R1281="equivocal",T1281="equivocal"),"疑似",IF(AND(R1281="positive",T1281="positive"),"a",IF(T1281="positive","b",IF(R1281="positive","c","d")))))</x:f>
        <x:v>d</x:v>
      </x:c>
      <x:c r="V1281" s="12"/>
      <x:c r="W1281" s="12" t="str">
        <x:v>negative</x:v>
      </x:c>
      <x:c r="X1281" s="12"/>
      <x:c r="Y1281" s="12" t="str">
        <x:v>negative</x:v>
      </x:c>
      <x:c r="Z1281" s="12" t="str">
        <x:f>IF(OR(W1281="unavailable",Y1281="unavailable"),"不可评价",IF(OR(W1281="equivocal",Y1281="equivocal"),"疑似",IF(AND(W1281="positive",Y1281="positive"),"a",IF(Y1281="positive","b",IF(W1281="positive","c","d")))))</x:f>
        <x:v>d</x:v>
      </x:c>
      <x:c r="AA1281" s="12" t="str">
        <x:f>IF(OR(M1281="unavailable",O1281="unavailable"),"不可评价",IF(AND(OR(M1281="positive",M1281="equivocal"),OR(O1281="positive",O1281="equivocal")),"a",IF(OR(O1281="positive",O1281="equivocal"),"b",IF(OR(M1281="positive",M1281="equivocal"),"c","d"))))</x:f>
        <x:v>d</x:v>
      </x:c>
      <x:c r="AB1281" s="12" t="str">
        <x:f>IF(OR(M1281="unavailable",O1281="unavailable"),"不可评价",IF(AND(M1281="positive",O1281="positive"),"a",IF(O1281="positive","b",IF(M1281="positive","c","d"))))</x:f>
        <x:v>d</x:v>
      </x:c>
      <x:c r="AC1281" s="12" t="str">
        <x:f>IF(OR(R1281="unavailable",T1281="unavailable"),"不可评价",IF(AND(OR(R1281="positive",R1281="equivocal"),OR(T1281="positive",T1281="equivocal")),"a",IF(OR(T1281="positive",T1281="equivocal"),"b",IF(OR(R1281="positive",R1281="equivocal"),"c","d"))))</x:f>
        <x:v>d</x:v>
      </x:c>
      <x:c r="AD1281" s="12" t="str">
        <x:f>IF(OR(R1281="unavailable",T1281="unavailable"),"不可评价",IF(AND(R1281="positive",T1281="positive"),"a",IF(T1281="positive","b",IF(R1281="positive","c","d"))))</x:f>
        <x:v>d</x:v>
      </x:c>
      <x:c r="AE1281" s="12" t="str">
        <x:f>IF(OR(W1281="unavailable",Y1281="unavailable"),"不可评价",IF(AND(OR(W1281="positive",W1281="equivocal"),OR(Y1281="positive",Y1281="equivocal")),"a",IF(OR(Y1281="positive",Y1281="equivocal"),"b",IF(OR(W1281="positive",W1281="equivocal"),"c","d"))))</x:f>
        <x:v>d</x:v>
      </x:c>
      <x:c r="AF1281" s="12" t="str">
        <x:f>IF(OR(W1281="unavailable",Y1281="unavailable"),"不可评价",IF(AND(W1281="positive",Y1281="positive"),"a",IF(Y1281="positive","b",IF(W1281="positive","c","d"))))</x:f>
        <x:v>d</x:v>
      </x:c>
    </x:row>
    <x:row r="1282" ht="24" customHeight="1">
      <x:c r="A1282" s="12" t="str">
        <x:v>11788</x:v>
      </x:c>
      <x:c r="B1282" s="12" t="str">
        <x:v>16870</x:v>
      </x:c>
      <x:c r="C1282" s="21" t="n">
        <x:v>34370.73101851852</x:v>
      </x:c>
      <x:c r="D1282" s="12" t="n">
        <x:v>77</x:v>
      </x:c>
      <x:c r="E1282" s="12" t="n">
        <x:v>1</x:v>
      </x:c>
      <x:c r="F1282" s="12" t="str">
        <x:v>未记录</x:v>
      </x:c>
      <x:c r="G1282" s="12" t="n">
        <x:v>1</x:v>
      </x:c>
      <x:c r="H1282" s="12" t="str">
        <x:v>{'NDT': 100.0, 'VCLVH': 0.0, 'SR': 0.0}</x:v>
      </x:c>
      <x:c r="I1282" s="12" t="str">
        <x:v>[('NSR', 100.0), ('NT', 100.0), ('AB', 100.0)]</x:v>
      </x:c>
      <x:c r="J1282" s="12" t="str">
        <x:v>ptbxl_database.csv；ecg_id=11788；scp_codes</x:v>
      </x:c>
      <x:c r="K1282" s="12" t="str">
        <x:v>12sl_statements.csv；ecg_id=11788；statements_ext_snomed</x:v>
      </x:c>
      <x:c r="L1282" s="12"/>
      <x:c r="M1282" s="12" t="str">
        <x:v>negative</x:v>
      </x:c>
      <x:c r="N1282" s="12"/>
      <x:c r="O1282" s="12" t="str">
        <x:v>negative</x:v>
      </x:c>
      <x:c r="P1282" s="12" t="str">
        <x:f>IF(OR(M1282="unavailable",O1282="unavailable"),"不可评价",IF(OR(M1282="equivocal",O1282="equivocal"),"疑似",IF(AND(M1282="positive",O1282="positive"),"a",IF(O1282="positive","b",IF(M1282="positive","c","d")))))</x:f>
        <x:v>d</x:v>
      </x:c>
      <x:c r="Q1282" s="12"/>
      <x:c r="R1282" s="12" t="str">
        <x:v>negative</x:v>
      </x:c>
      <x:c r="S1282" s="12"/>
      <x:c r="T1282" s="12" t="str">
        <x:v>negative</x:v>
      </x:c>
      <x:c r="U1282" s="12" t="str">
        <x:f>IF(OR(R1282="unavailable",T1282="unavailable"),"不可评价",IF(OR(R1282="equivocal",T1282="equivocal"),"疑似",IF(AND(R1282="positive",T1282="positive"),"a",IF(T1282="positive","b",IF(R1282="positive","c","d")))))</x:f>
        <x:v>d</x:v>
      </x:c>
      <x:c r="V1282" s="12"/>
      <x:c r="W1282" s="12" t="str">
        <x:v>negative</x:v>
      </x:c>
      <x:c r="X1282" s="12"/>
      <x:c r="Y1282" s="12" t="str">
        <x:v>negative</x:v>
      </x:c>
      <x:c r="Z1282" s="12" t="str">
        <x:f>IF(OR(W1282="unavailable",Y1282="unavailable"),"不可评价",IF(OR(W1282="equivocal",Y1282="equivocal"),"疑似",IF(AND(W1282="positive",Y1282="positive"),"a",IF(Y1282="positive","b",IF(W1282="positive","c","d")))))</x:f>
        <x:v>d</x:v>
      </x:c>
      <x:c r="AA1282" s="12" t="str">
        <x:f>IF(OR(M1282="unavailable",O1282="unavailable"),"不可评价",IF(AND(OR(M1282="positive",M1282="equivocal"),OR(O1282="positive",O1282="equivocal")),"a",IF(OR(O1282="positive",O1282="equivocal"),"b",IF(OR(M1282="positive",M1282="equivocal"),"c","d"))))</x:f>
        <x:v>d</x:v>
      </x:c>
      <x:c r="AB1282" s="12" t="str">
        <x:f>IF(OR(M1282="unavailable",O1282="unavailable"),"不可评价",IF(AND(M1282="positive",O1282="positive"),"a",IF(O1282="positive","b",IF(M1282="positive","c","d"))))</x:f>
        <x:v>d</x:v>
      </x:c>
      <x:c r="AC1282" s="12" t="str">
        <x:f>IF(OR(R1282="unavailable",T1282="unavailable"),"不可评价",IF(AND(OR(R1282="positive",R1282="equivocal"),OR(T1282="positive",T1282="equivocal")),"a",IF(OR(T1282="positive",T1282="equivocal"),"b",IF(OR(R1282="positive",R1282="equivocal"),"c","d"))))</x:f>
        <x:v>d</x:v>
      </x:c>
      <x:c r="AD1282" s="12" t="str">
        <x:f>IF(OR(R1282="unavailable",T1282="unavailable"),"不可评价",IF(AND(R1282="positive",T1282="positive"),"a",IF(T1282="positive","b",IF(R1282="positive","c","d"))))</x:f>
        <x:v>d</x:v>
      </x:c>
      <x:c r="AE1282" s="12" t="str">
        <x:f>IF(OR(W1282="unavailable",Y1282="unavailable"),"不可评价",IF(AND(OR(W1282="positive",W1282="equivocal"),OR(Y1282="positive",Y1282="equivocal")),"a",IF(OR(Y1282="positive",Y1282="equivocal"),"b",IF(OR(W1282="positive",W1282="equivocal"),"c","d"))))</x:f>
        <x:v>d</x:v>
      </x:c>
      <x:c r="AF1282" s="12" t="str">
        <x:f>IF(OR(W1282="unavailable",Y1282="unavailable"),"不可评价",IF(AND(W1282="positive",Y1282="positive"),"a",IF(Y1282="positive","b",IF(W1282="positive","c","d"))))</x:f>
        <x:v>d</x:v>
      </x:c>
    </x:row>
    <x:row r="1283" ht="24" customHeight="1">
      <x:c r="A1283" s="12" t="str">
        <x:v>11789</x:v>
      </x:c>
      <x:c r="B1283" s="12" t="str">
        <x:v>8503</x:v>
      </x:c>
      <x:c r="C1283" s="21" t="n">
        <x:v>34371.556493055556</x:v>
      </x:c>
      <x:c r="D1283" s="12" t="n">
        <x:v>22</x:v>
      </x:c>
      <x:c r="E1283" s="12" t="n">
        <x:v>1</x:v>
      </x:c>
      <x:c r="F1283" s="12" t="str">
        <x:v>存在</x:v>
      </x:c>
      <x:c r="G1283" s="12" t="n">
        <x:v>1</x:v>
      </x:c>
      <x:c r="H1283" s="12" t="str">
        <x:v>{'NORM': 80.0, 'SBRAD': 0.0}</x:v>
      </x:c>
      <x:c r="I1283" s="12" t="str">
        <x:v>[('SBRAD', 100.0), ('ABR', 100.0)]</x:v>
      </x:c>
      <x:c r="J1283" s="12" t="str">
        <x:v>ptbxl_database.csv；ecg_id=11789；scp_codes</x:v>
      </x:c>
      <x:c r="K1283" s="12" t="str">
        <x:v>12sl_statements.csv；ecg_id=11789；statements_ext_snomed</x:v>
      </x:c>
      <x:c r="L1283" s="12"/>
      <x:c r="M1283" s="12" t="str">
        <x:v>negative</x:v>
      </x:c>
      <x:c r="N1283" s="12"/>
      <x:c r="O1283" s="12" t="str">
        <x:v>negative</x:v>
      </x:c>
      <x:c r="P1283" s="12" t="str">
        <x:f>IF(OR(M1283="unavailable",O1283="unavailable"),"不可评价",IF(OR(M1283="equivocal",O1283="equivocal"),"疑似",IF(AND(M1283="positive",O1283="positive"),"a",IF(O1283="positive","b",IF(M1283="positive","c","d")))))</x:f>
        <x:v>d</x:v>
      </x:c>
      <x:c r="Q1283" s="12"/>
      <x:c r="R1283" s="12" t="str">
        <x:v>negative</x:v>
      </x:c>
      <x:c r="S1283" s="12"/>
      <x:c r="T1283" s="12" t="str">
        <x:v>negative</x:v>
      </x:c>
      <x:c r="U1283" s="12" t="str">
        <x:f>IF(OR(R1283="unavailable",T1283="unavailable"),"不可评价",IF(OR(R1283="equivocal",T1283="equivocal"),"疑似",IF(AND(R1283="positive",T1283="positive"),"a",IF(T1283="positive","b",IF(R1283="positive","c","d")))))</x:f>
        <x:v>d</x:v>
      </x:c>
      <x:c r="V1283" s="12"/>
      <x:c r="W1283" s="12" t="str">
        <x:v>negative</x:v>
      </x:c>
      <x:c r="X1283" s="12"/>
      <x:c r="Y1283" s="12" t="str">
        <x:v>negative</x:v>
      </x:c>
      <x:c r="Z1283" s="12" t="str">
        <x:f>IF(OR(W1283="unavailable",Y1283="unavailable"),"不可评价",IF(OR(W1283="equivocal",Y1283="equivocal"),"疑似",IF(AND(W1283="positive",Y1283="positive"),"a",IF(Y1283="positive","b",IF(W1283="positive","c","d")))))</x:f>
        <x:v>d</x:v>
      </x:c>
      <x:c r="AA1283" s="12" t="str">
        <x:f>IF(OR(M1283="unavailable",O1283="unavailable"),"不可评价",IF(AND(OR(M1283="positive",M1283="equivocal"),OR(O1283="positive",O1283="equivocal")),"a",IF(OR(O1283="positive",O1283="equivocal"),"b",IF(OR(M1283="positive",M1283="equivocal"),"c","d"))))</x:f>
        <x:v>d</x:v>
      </x:c>
      <x:c r="AB1283" s="12" t="str">
        <x:f>IF(OR(M1283="unavailable",O1283="unavailable"),"不可评价",IF(AND(M1283="positive",O1283="positive"),"a",IF(O1283="positive","b",IF(M1283="positive","c","d"))))</x:f>
        <x:v>d</x:v>
      </x:c>
      <x:c r="AC1283" s="12" t="str">
        <x:f>IF(OR(R1283="unavailable",T1283="unavailable"),"不可评价",IF(AND(OR(R1283="positive",R1283="equivocal"),OR(T1283="positive",T1283="equivocal")),"a",IF(OR(T1283="positive",T1283="equivocal"),"b",IF(OR(R1283="positive",R1283="equivocal"),"c","d"))))</x:f>
        <x:v>d</x:v>
      </x:c>
      <x:c r="AD1283" s="12" t="str">
        <x:f>IF(OR(R1283="unavailable",T1283="unavailable"),"不可评价",IF(AND(R1283="positive",T1283="positive"),"a",IF(T1283="positive","b",IF(R1283="positive","c","d"))))</x:f>
        <x:v>d</x:v>
      </x:c>
      <x:c r="AE1283" s="12" t="str">
        <x:f>IF(OR(W1283="unavailable",Y1283="unavailable"),"不可评价",IF(AND(OR(W1283="positive",W1283="equivocal"),OR(Y1283="positive",Y1283="equivocal")),"a",IF(OR(Y1283="positive",Y1283="equivocal"),"b",IF(OR(W1283="positive",W1283="equivocal"),"c","d"))))</x:f>
        <x:v>d</x:v>
      </x:c>
      <x:c r="AF1283" s="12" t="str">
        <x:f>IF(OR(W1283="unavailable",Y1283="unavailable"),"不可评价",IF(AND(W1283="positive",Y1283="positive"),"a",IF(Y1283="positive","b",IF(W1283="positive","c","d"))))</x:f>
        <x:v>d</x:v>
      </x:c>
    </x:row>
    <x:row r="1284" ht="24" customHeight="1">
      <x:c r="A1284" s="12" t="str">
        <x:v>11799</x:v>
      </x:c>
      <x:c r="B1284" s="12" t="str">
        <x:v>17249</x:v>
      </x:c>
      <x:c r="C1284" s="21" t="n">
        <x:v>34375.45738425926</x:v>
      </x:c>
      <x:c r="D1284" s="12" t="n">
        <x:v>58</x:v>
      </x:c>
      <x:c r="E1284" s="12" t="n">
        <x:v>0</x:v>
      </x:c>
      <x:c r="F1284" s="12" t="str">
        <x:v>未记录</x:v>
      </x:c>
      <x:c r="G1284" s="12" t="n">
        <x:v>1</x:v>
      </x:c>
      <x:c r="H1284" s="12" t="str">
        <x:v>{'IMI': 15.0, 'ABQRS': 0.0, 'SR': 0.0}</x:v>
      </x:c>
      <x:c r="I1284" s="12" t="str">
        <x:v>[('NSR', 100.0), ('NML', 100.0)]</x:v>
      </x:c>
      <x:c r="J1284" s="12" t="str">
        <x:v>ptbxl_database.csv；ecg_id=11799；scp_codes</x:v>
      </x:c>
      <x:c r="K1284" s="12" t="str">
        <x:v>12sl_statements.csv；ecg_id=11799；statements_ext_snomed</x:v>
      </x:c>
      <x:c r="L1284" s="12"/>
      <x:c r="M1284" s="12" t="str">
        <x:v>negative</x:v>
      </x:c>
      <x:c r="N1284" s="12"/>
      <x:c r="O1284" s="12" t="str">
        <x:v>negative</x:v>
      </x:c>
      <x:c r="P1284" s="12" t="str">
        <x:f>IF(OR(M1284="unavailable",O1284="unavailable"),"不可评价",IF(OR(M1284="equivocal",O1284="equivocal"),"疑似",IF(AND(M1284="positive",O1284="positive"),"a",IF(O1284="positive","b",IF(M1284="positive","c","d")))))</x:f>
        <x:v>d</x:v>
      </x:c>
      <x:c r="Q1284" s="12"/>
      <x:c r="R1284" s="12" t="str">
        <x:v>negative</x:v>
      </x:c>
      <x:c r="S1284" s="12"/>
      <x:c r="T1284" s="12" t="str">
        <x:v>negative</x:v>
      </x:c>
      <x:c r="U1284" s="12" t="str">
        <x:f>IF(OR(R1284="unavailable",T1284="unavailable"),"不可评价",IF(OR(R1284="equivocal",T1284="equivocal"),"疑似",IF(AND(R1284="positive",T1284="positive"),"a",IF(T1284="positive","b",IF(R1284="positive","c","d")))))</x:f>
        <x:v>d</x:v>
      </x:c>
      <x:c r="V1284" s="12"/>
      <x:c r="W1284" s="12" t="str">
        <x:v>negative</x:v>
      </x:c>
      <x:c r="X1284" s="12"/>
      <x:c r="Y1284" s="12" t="str">
        <x:v>negative</x:v>
      </x:c>
      <x:c r="Z1284" s="12" t="str">
        <x:f>IF(OR(W1284="unavailable",Y1284="unavailable"),"不可评价",IF(OR(W1284="equivocal",Y1284="equivocal"),"疑似",IF(AND(W1284="positive",Y1284="positive"),"a",IF(Y1284="positive","b",IF(W1284="positive","c","d")))))</x:f>
        <x:v>d</x:v>
      </x:c>
      <x:c r="AA1284" s="12" t="str">
        <x:f>IF(OR(M1284="unavailable",O1284="unavailable"),"不可评价",IF(AND(OR(M1284="positive",M1284="equivocal"),OR(O1284="positive",O1284="equivocal")),"a",IF(OR(O1284="positive",O1284="equivocal"),"b",IF(OR(M1284="positive",M1284="equivocal"),"c","d"))))</x:f>
        <x:v>d</x:v>
      </x:c>
      <x:c r="AB1284" s="12" t="str">
        <x:f>IF(OR(M1284="unavailable",O1284="unavailable"),"不可评价",IF(AND(M1284="positive",O1284="positive"),"a",IF(O1284="positive","b",IF(M1284="positive","c","d"))))</x:f>
        <x:v>d</x:v>
      </x:c>
      <x:c r="AC1284" s="12" t="str">
        <x:f>IF(OR(R1284="unavailable",T1284="unavailable"),"不可评价",IF(AND(OR(R1284="positive",R1284="equivocal"),OR(T1284="positive",T1284="equivocal")),"a",IF(OR(T1284="positive",T1284="equivocal"),"b",IF(OR(R1284="positive",R1284="equivocal"),"c","d"))))</x:f>
        <x:v>d</x:v>
      </x:c>
      <x:c r="AD1284" s="12" t="str">
        <x:f>IF(OR(R1284="unavailable",T1284="unavailable"),"不可评价",IF(AND(R1284="positive",T1284="positive"),"a",IF(T1284="positive","b",IF(R1284="positive","c","d"))))</x:f>
        <x:v>d</x:v>
      </x:c>
      <x:c r="AE1284" s="12" t="str">
        <x:f>IF(OR(W1284="unavailable",Y1284="unavailable"),"不可评价",IF(AND(OR(W1284="positive",W1284="equivocal"),OR(Y1284="positive",Y1284="equivocal")),"a",IF(OR(Y1284="positive",Y1284="equivocal"),"b",IF(OR(W1284="positive",W1284="equivocal"),"c","d"))))</x:f>
        <x:v>d</x:v>
      </x:c>
      <x:c r="AF1284" s="12" t="str">
        <x:f>IF(OR(W1284="unavailable",Y1284="unavailable"),"不可评价",IF(AND(W1284="positive",Y1284="positive"),"a",IF(Y1284="positive","b",IF(W1284="positive","c","d"))))</x:f>
        <x:v>d</x:v>
      </x:c>
    </x:row>
    <x:row r="1285" ht="24" customHeight="1">
      <x:c r="A1285" s="12" t="str">
        <x:v>11802</x:v>
      </x:c>
      <x:c r="B1285" s="12" t="str">
        <x:v>11015</x:v>
      </x:c>
      <x:c r="C1285" s="21" t="n">
        <x:v>34383.46486111111</x:v>
      </x:c>
      <x:c r="D1285" s="12" t="n">
        <x:v>43</x:v>
      </x:c>
      <x:c r="E1285" s="12" t="n">
        <x:v>0</x:v>
      </x:c>
      <x:c r="F1285" s="12" t="str">
        <x:v>存在</x:v>
      </x:c>
      <x:c r="G1285" s="12" t="n">
        <x:v>1</x:v>
      </x:c>
      <x:c r="H1285" s="12" t="str">
        <x:v>{'NORM': 80.0, 'IRBBB': 100.0, 'SR': 0.0}</x:v>
      </x:c>
      <x:c r="I1285" s="12" t="str">
        <x:v>[('NSR', 100.0), ('NML', 100.0)]</x:v>
      </x:c>
      <x:c r="J1285" s="12" t="str">
        <x:v>ptbxl_database.csv；ecg_id=11802；scp_codes</x:v>
      </x:c>
      <x:c r="K1285" s="12" t="str">
        <x:v>12sl_statements.csv；ecg_id=11802；statements_ext_snomed</x:v>
      </x:c>
      <x:c r="L1285" s="12"/>
      <x:c r="M1285" s="12" t="str">
        <x:v>negative</x:v>
      </x:c>
      <x:c r="N1285" s="12"/>
      <x:c r="O1285" s="12" t="str">
        <x:v>negative</x:v>
      </x:c>
      <x:c r="P1285" s="12" t="str">
        <x:f>IF(OR(M1285="unavailable",O1285="unavailable"),"不可评价",IF(OR(M1285="equivocal",O1285="equivocal"),"疑似",IF(AND(M1285="positive",O1285="positive"),"a",IF(O1285="positive","b",IF(M1285="positive","c","d")))))</x:f>
        <x:v>d</x:v>
      </x:c>
      <x:c r="Q1285" s="12"/>
      <x:c r="R1285" s="12" t="str">
        <x:v>negative</x:v>
      </x:c>
      <x:c r="S1285" s="12"/>
      <x:c r="T1285" s="12" t="str">
        <x:v>negative</x:v>
      </x:c>
      <x:c r="U1285" s="12" t="str">
        <x:f>IF(OR(R1285="unavailable",T1285="unavailable"),"不可评价",IF(OR(R1285="equivocal",T1285="equivocal"),"疑似",IF(AND(R1285="positive",T1285="positive"),"a",IF(T1285="positive","b",IF(R1285="positive","c","d")))))</x:f>
        <x:v>d</x:v>
      </x:c>
      <x:c r="V1285" s="12"/>
      <x:c r="W1285" s="12" t="str">
        <x:v>negative</x:v>
      </x:c>
      <x:c r="X1285" s="12"/>
      <x:c r="Y1285" s="12" t="str">
        <x:v>negative</x:v>
      </x:c>
      <x:c r="Z1285" s="12" t="str">
        <x:f>IF(OR(W1285="unavailable",Y1285="unavailable"),"不可评价",IF(OR(W1285="equivocal",Y1285="equivocal"),"疑似",IF(AND(W1285="positive",Y1285="positive"),"a",IF(Y1285="positive","b",IF(W1285="positive","c","d")))))</x:f>
        <x:v>d</x:v>
      </x:c>
      <x:c r="AA1285" s="12" t="str">
        <x:f>IF(OR(M1285="unavailable",O1285="unavailable"),"不可评价",IF(AND(OR(M1285="positive",M1285="equivocal"),OR(O1285="positive",O1285="equivocal")),"a",IF(OR(O1285="positive",O1285="equivocal"),"b",IF(OR(M1285="positive",M1285="equivocal"),"c","d"))))</x:f>
        <x:v>d</x:v>
      </x:c>
      <x:c r="AB1285" s="12" t="str">
        <x:f>IF(OR(M1285="unavailable",O1285="unavailable"),"不可评价",IF(AND(M1285="positive",O1285="positive"),"a",IF(O1285="positive","b",IF(M1285="positive","c","d"))))</x:f>
        <x:v>d</x:v>
      </x:c>
      <x:c r="AC1285" s="12" t="str">
        <x:f>IF(OR(R1285="unavailable",T1285="unavailable"),"不可评价",IF(AND(OR(R1285="positive",R1285="equivocal"),OR(T1285="positive",T1285="equivocal")),"a",IF(OR(T1285="positive",T1285="equivocal"),"b",IF(OR(R1285="positive",R1285="equivocal"),"c","d"))))</x:f>
        <x:v>d</x:v>
      </x:c>
      <x:c r="AD1285" s="12" t="str">
        <x:f>IF(OR(R1285="unavailable",T1285="unavailable"),"不可评价",IF(AND(R1285="positive",T1285="positive"),"a",IF(T1285="positive","b",IF(R1285="positive","c","d"))))</x:f>
        <x:v>d</x:v>
      </x:c>
      <x:c r="AE1285" s="12" t="str">
        <x:f>IF(OR(W1285="unavailable",Y1285="unavailable"),"不可评价",IF(AND(OR(W1285="positive",W1285="equivocal"),OR(Y1285="positive",Y1285="equivocal")),"a",IF(OR(Y1285="positive",Y1285="equivocal"),"b",IF(OR(W1285="positive",W1285="equivocal"),"c","d"))))</x:f>
        <x:v>d</x:v>
      </x:c>
      <x:c r="AF1285" s="12" t="str">
        <x:f>IF(OR(W1285="unavailable",Y1285="unavailable"),"不可评价",IF(AND(W1285="positive",Y1285="positive"),"a",IF(Y1285="positive","b",IF(W1285="positive","c","d"))))</x:f>
        <x:v>d</x:v>
      </x:c>
    </x:row>
    <x:row r="1286" ht="24" customHeight="1">
      <x:c r="A1286" s="12" t="str">
        <x:v>11803</x:v>
      </x:c>
      <x:c r="B1286" s="12" t="str">
        <x:v>13455</x:v>
      </x:c>
      <x:c r="C1286" s="21" t="n">
        <x:v>34384.42228009259</x:v>
      </x:c>
      <x:c r="D1286" s="12" t="n">
        <x:v>57</x:v>
      </x:c>
      <x:c r="E1286" s="12" t="n">
        <x:v>0</x:v>
      </x:c>
      <x:c r="F1286" s="12" t="str">
        <x:v>存在</x:v>
      </x:c>
      <x:c r="G1286" s="12" t="n">
        <x:v>1</x:v>
      </x:c>
      <x:c r="H1286" s="12" t="str">
        <x:v>{'NORM': 100.0}</x:v>
      </x:c>
      <x:c r="I1286" s="12" t="str">
        <x:v>[('SBRAD', 100.0), ('SAR', 100.0), ('ABR', 100.0)]</x:v>
      </x:c>
      <x:c r="J1286" s="12" t="str">
        <x:v>ptbxl_database.csv；ecg_id=11803；scp_codes</x:v>
      </x:c>
      <x:c r="K1286" s="12" t="str">
        <x:v>12sl_statements.csv；ecg_id=11803；statements_ext_snomed</x:v>
      </x:c>
      <x:c r="L1286" s="12"/>
      <x:c r="M1286" s="12" t="str">
        <x:v>negative</x:v>
      </x:c>
      <x:c r="N1286" s="12"/>
      <x:c r="O1286" s="12" t="str">
        <x:v>negative</x:v>
      </x:c>
      <x:c r="P1286" s="12" t="str">
        <x:f>IF(OR(M1286="unavailable",O1286="unavailable"),"不可评价",IF(OR(M1286="equivocal",O1286="equivocal"),"疑似",IF(AND(M1286="positive",O1286="positive"),"a",IF(O1286="positive","b",IF(M1286="positive","c","d")))))</x:f>
        <x:v>d</x:v>
      </x:c>
      <x:c r="Q1286" s="12"/>
      <x:c r="R1286" s="12" t="str">
        <x:v>negative</x:v>
      </x:c>
      <x:c r="S1286" s="12"/>
      <x:c r="T1286" s="12" t="str">
        <x:v>negative</x:v>
      </x:c>
      <x:c r="U1286" s="12" t="str">
        <x:f>IF(OR(R1286="unavailable",T1286="unavailable"),"不可评价",IF(OR(R1286="equivocal",T1286="equivocal"),"疑似",IF(AND(R1286="positive",T1286="positive"),"a",IF(T1286="positive","b",IF(R1286="positive","c","d")))))</x:f>
        <x:v>d</x:v>
      </x:c>
      <x:c r="V1286" s="12"/>
      <x:c r="W1286" s="12" t="str">
        <x:v>negative</x:v>
      </x:c>
      <x:c r="X1286" s="12"/>
      <x:c r="Y1286" s="12" t="str">
        <x:v>negative</x:v>
      </x:c>
      <x:c r="Z1286" s="12" t="str">
        <x:f>IF(OR(W1286="unavailable",Y1286="unavailable"),"不可评价",IF(OR(W1286="equivocal",Y1286="equivocal"),"疑似",IF(AND(W1286="positive",Y1286="positive"),"a",IF(Y1286="positive","b",IF(W1286="positive","c","d")))))</x:f>
        <x:v>d</x:v>
      </x:c>
      <x:c r="AA1286" s="12" t="str">
        <x:f>IF(OR(M1286="unavailable",O1286="unavailable"),"不可评价",IF(AND(OR(M1286="positive",M1286="equivocal"),OR(O1286="positive",O1286="equivocal")),"a",IF(OR(O1286="positive",O1286="equivocal"),"b",IF(OR(M1286="positive",M1286="equivocal"),"c","d"))))</x:f>
        <x:v>d</x:v>
      </x:c>
      <x:c r="AB1286" s="12" t="str">
        <x:f>IF(OR(M1286="unavailable",O1286="unavailable"),"不可评价",IF(AND(M1286="positive",O1286="positive"),"a",IF(O1286="positive","b",IF(M1286="positive","c","d"))))</x:f>
        <x:v>d</x:v>
      </x:c>
      <x:c r="AC1286" s="12" t="str">
        <x:f>IF(OR(R1286="unavailable",T1286="unavailable"),"不可评价",IF(AND(OR(R1286="positive",R1286="equivocal"),OR(T1286="positive",T1286="equivocal")),"a",IF(OR(T1286="positive",T1286="equivocal"),"b",IF(OR(R1286="positive",R1286="equivocal"),"c","d"))))</x:f>
        <x:v>d</x:v>
      </x:c>
      <x:c r="AD1286" s="12" t="str">
        <x:f>IF(OR(R1286="unavailable",T1286="unavailable"),"不可评价",IF(AND(R1286="positive",T1286="positive"),"a",IF(T1286="positive","b",IF(R1286="positive","c","d"))))</x:f>
        <x:v>d</x:v>
      </x:c>
      <x:c r="AE1286" s="12" t="str">
        <x:f>IF(OR(W1286="unavailable",Y1286="unavailable"),"不可评价",IF(AND(OR(W1286="positive",W1286="equivocal"),OR(Y1286="positive",Y1286="equivocal")),"a",IF(OR(Y1286="positive",Y1286="equivocal"),"b",IF(OR(W1286="positive",W1286="equivocal"),"c","d"))))</x:f>
        <x:v>d</x:v>
      </x:c>
      <x:c r="AF1286" s="12" t="str">
        <x:f>IF(OR(W1286="unavailable",Y1286="unavailable"),"不可评价",IF(AND(W1286="positive",Y1286="positive"),"a",IF(Y1286="positive","b",IF(W1286="positive","c","d"))))</x:f>
        <x:v>d</x:v>
      </x:c>
    </x:row>
    <x:row r="1287" ht="24" customHeight="1">
      <x:c r="A1287" s="12" t="str">
        <x:v>11805</x:v>
      </x:c>
      <x:c r="B1287" s="12" t="str">
        <x:v>21651</x:v>
      </x:c>
      <x:c r="C1287" s="21" t="n">
        <x:v>34384.47109953704</x:v>
      </x:c>
      <x:c r="D1287" s="12" t="n">
        <x:v>40</x:v>
      </x:c>
      <x:c r="E1287" s="12" t="n">
        <x:v>0</x:v>
      </x:c>
      <x:c r="F1287" s="12" t="str">
        <x:v>未记录</x:v>
      </x:c>
      <x:c r="G1287" s="12" t="n">
        <x:v>0</x:v>
      </x:c>
      <x:c r="H1287" s="12" t="str">
        <x:v>{'NORM': 100.0, 'SR': 0.0}</x:v>
      </x:c>
      <x:c r="I1287" s="12" t="str">
        <x:v>[('SBRAD', 100.0), ('BORDE', 100.0)]</x:v>
      </x:c>
      <x:c r="J1287" s="12" t="str">
        <x:v>ptbxl_database.csv；ecg_id=11805；scp_codes</x:v>
      </x:c>
      <x:c r="K1287" s="12" t="str">
        <x:v>12sl_statements.csv；ecg_id=11805；statements_ext_snomed</x:v>
      </x:c>
      <x:c r="L1287" s="12"/>
      <x:c r="M1287" s="12" t="str">
        <x:v>negative</x:v>
      </x:c>
      <x:c r="N1287" s="12"/>
      <x:c r="O1287" s="12" t="str">
        <x:v>negative</x:v>
      </x:c>
      <x:c r="P1287" s="12" t="str">
        <x:f>IF(OR(M1287="unavailable",O1287="unavailable"),"不可评价",IF(OR(M1287="equivocal",O1287="equivocal"),"疑似",IF(AND(M1287="positive",O1287="positive"),"a",IF(O1287="positive","b",IF(M1287="positive","c","d")))))</x:f>
        <x:v>d</x:v>
      </x:c>
      <x:c r="Q1287" s="12"/>
      <x:c r="R1287" s="12" t="str">
        <x:v>negative</x:v>
      </x:c>
      <x:c r="S1287" s="12"/>
      <x:c r="T1287" s="12" t="str">
        <x:v>negative</x:v>
      </x:c>
      <x:c r="U1287" s="12" t="str">
        <x:f>IF(OR(R1287="unavailable",T1287="unavailable"),"不可评价",IF(OR(R1287="equivocal",T1287="equivocal"),"疑似",IF(AND(R1287="positive",T1287="positive"),"a",IF(T1287="positive","b",IF(R1287="positive","c","d")))))</x:f>
        <x:v>d</x:v>
      </x:c>
      <x:c r="V1287" s="12"/>
      <x:c r="W1287" s="12" t="str">
        <x:v>negative</x:v>
      </x:c>
      <x:c r="X1287" s="12"/>
      <x:c r="Y1287" s="12" t="str">
        <x:v>negative</x:v>
      </x:c>
      <x:c r="Z1287" s="12" t="str">
        <x:f>IF(OR(W1287="unavailable",Y1287="unavailable"),"不可评价",IF(OR(W1287="equivocal",Y1287="equivocal"),"疑似",IF(AND(W1287="positive",Y1287="positive"),"a",IF(Y1287="positive","b",IF(W1287="positive","c","d")))))</x:f>
        <x:v>d</x:v>
      </x:c>
      <x:c r="AA1287" s="12" t="str">
        <x:f>IF(OR(M1287="unavailable",O1287="unavailable"),"不可评价",IF(AND(OR(M1287="positive",M1287="equivocal"),OR(O1287="positive",O1287="equivocal")),"a",IF(OR(O1287="positive",O1287="equivocal"),"b",IF(OR(M1287="positive",M1287="equivocal"),"c","d"))))</x:f>
        <x:v>d</x:v>
      </x:c>
      <x:c r="AB1287" s="12" t="str">
        <x:f>IF(OR(M1287="unavailable",O1287="unavailable"),"不可评价",IF(AND(M1287="positive",O1287="positive"),"a",IF(O1287="positive","b",IF(M1287="positive","c","d"))))</x:f>
        <x:v>d</x:v>
      </x:c>
      <x:c r="AC1287" s="12" t="str">
        <x:f>IF(OR(R1287="unavailable",T1287="unavailable"),"不可评价",IF(AND(OR(R1287="positive",R1287="equivocal"),OR(T1287="positive",T1287="equivocal")),"a",IF(OR(T1287="positive",T1287="equivocal"),"b",IF(OR(R1287="positive",R1287="equivocal"),"c","d"))))</x:f>
        <x:v>d</x:v>
      </x:c>
      <x:c r="AD1287" s="12" t="str">
        <x:f>IF(OR(R1287="unavailable",T1287="unavailable"),"不可评价",IF(AND(R1287="positive",T1287="positive"),"a",IF(T1287="positive","b",IF(R1287="positive","c","d"))))</x:f>
        <x:v>d</x:v>
      </x:c>
      <x:c r="AE1287" s="12" t="str">
        <x:f>IF(OR(W1287="unavailable",Y1287="unavailable"),"不可评价",IF(AND(OR(W1287="positive",W1287="equivocal"),OR(Y1287="positive",Y1287="equivocal")),"a",IF(OR(Y1287="positive",Y1287="equivocal"),"b",IF(OR(W1287="positive",W1287="equivocal"),"c","d"))))</x:f>
        <x:v>d</x:v>
      </x:c>
      <x:c r="AF1287" s="12" t="str">
        <x:f>IF(OR(W1287="unavailable",Y1287="unavailable"),"不可评价",IF(AND(W1287="positive",Y1287="positive"),"a",IF(Y1287="positive","b",IF(W1287="positive","c","d"))))</x:f>
        <x:v>d</x:v>
      </x:c>
    </x:row>
    <x:row r="1288" ht="24" customHeight="1">
      <x:c r="A1288" s="12" t="str">
        <x:v>11832</x:v>
      </x:c>
      <x:c r="B1288" s="12" t="str">
        <x:v>17190</x:v>
      </x:c>
      <x:c r="C1288" s="21" t="n">
        <x:v>34390.47387731481</x:v>
      </x:c>
      <x:c r="D1288" s="12" t="n">
        <x:v>72</x:v>
      </x:c>
      <x:c r="E1288" s="12" t="n">
        <x:v>0</x:v>
      </x:c>
      <x:c r="F1288" s="12" t="str">
        <x:v>未记录</x:v>
      </x:c>
      <x:c r="G1288" s="12" t="n">
        <x:v>1</x:v>
      </x:c>
      <x:c r="H1288" s="12" t="str">
        <x:v>{'ILMI': 100.0, 'IVCD': 100.0, 'SR': 0.0}</x:v>
      </x:c>
      <x:c r="I1288" s="12" t="str">
        <x:v>[('SBRAD', 100.0), ('LAD3', 100.0), ('IMI;AU', 50.0), ('AB', 100.0)]</x:v>
      </x:c>
      <x:c r="J1288" s="12" t="str">
        <x:v>ptbxl_database.csv；ecg_id=11832；scp_codes</x:v>
      </x:c>
      <x:c r="K1288" s="12" t="str">
        <x:v>12sl_statements.csv；ecg_id=11832；statements_ext_snomed</x:v>
      </x:c>
      <x:c r="L1288" s="12"/>
      <x:c r="M1288" s="12" t="str">
        <x:v>negative</x:v>
      </x:c>
      <x:c r="N1288" s="12"/>
      <x:c r="O1288" s="12" t="str">
        <x:v>negative</x:v>
      </x:c>
      <x:c r="P1288" s="12" t="str">
        <x:f>IF(OR(M1288="unavailable",O1288="unavailable"),"不可评价",IF(OR(M1288="equivocal",O1288="equivocal"),"疑似",IF(AND(M1288="positive",O1288="positive"),"a",IF(O1288="positive","b",IF(M1288="positive","c","d")))))</x:f>
        <x:v>d</x:v>
      </x:c>
      <x:c r="Q1288" s="12"/>
      <x:c r="R1288" s="12" t="str">
        <x:v>negative</x:v>
      </x:c>
      <x:c r="S1288" s="12"/>
      <x:c r="T1288" s="12" t="str">
        <x:v>negative</x:v>
      </x:c>
      <x:c r="U1288" s="12" t="str">
        <x:f>IF(OR(R1288="unavailable",T1288="unavailable"),"不可评价",IF(OR(R1288="equivocal",T1288="equivocal"),"疑似",IF(AND(R1288="positive",T1288="positive"),"a",IF(T1288="positive","b",IF(R1288="positive","c","d")))))</x:f>
        <x:v>d</x:v>
      </x:c>
      <x:c r="V1288" s="12"/>
      <x:c r="W1288" s="12" t="str">
        <x:v>negative</x:v>
      </x:c>
      <x:c r="X1288" s="12"/>
      <x:c r="Y1288" s="12" t="str">
        <x:v>negative</x:v>
      </x:c>
      <x:c r="Z1288" s="12" t="str">
        <x:f>IF(OR(W1288="unavailable",Y1288="unavailable"),"不可评价",IF(OR(W1288="equivocal",Y1288="equivocal"),"疑似",IF(AND(W1288="positive",Y1288="positive"),"a",IF(Y1288="positive","b",IF(W1288="positive","c","d")))))</x:f>
        <x:v>d</x:v>
      </x:c>
      <x:c r="AA1288" s="12" t="str">
        <x:f>IF(OR(M1288="unavailable",O1288="unavailable"),"不可评价",IF(AND(OR(M1288="positive",M1288="equivocal"),OR(O1288="positive",O1288="equivocal")),"a",IF(OR(O1288="positive",O1288="equivocal"),"b",IF(OR(M1288="positive",M1288="equivocal"),"c","d"))))</x:f>
        <x:v>d</x:v>
      </x:c>
      <x:c r="AB1288" s="12" t="str">
        <x:f>IF(OR(M1288="unavailable",O1288="unavailable"),"不可评价",IF(AND(M1288="positive",O1288="positive"),"a",IF(O1288="positive","b",IF(M1288="positive","c","d"))))</x:f>
        <x:v>d</x:v>
      </x:c>
      <x:c r="AC1288" s="12" t="str">
        <x:f>IF(OR(R1288="unavailable",T1288="unavailable"),"不可评价",IF(AND(OR(R1288="positive",R1288="equivocal"),OR(T1288="positive",T1288="equivocal")),"a",IF(OR(T1288="positive",T1288="equivocal"),"b",IF(OR(R1288="positive",R1288="equivocal"),"c","d"))))</x:f>
        <x:v>d</x:v>
      </x:c>
      <x:c r="AD1288" s="12" t="str">
        <x:f>IF(OR(R1288="unavailable",T1288="unavailable"),"不可评价",IF(AND(R1288="positive",T1288="positive"),"a",IF(T1288="positive","b",IF(R1288="positive","c","d"))))</x:f>
        <x:v>d</x:v>
      </x:c>
      <x:c r="AE1288" s="12" t="str">
        <x:f>IF(OR(W1288="unavailable",Y1288="unavailable"),"不可评价",IF(AND(OR(W1288="positive",W1288="equivocal"),OR(Y1288="positive",Y1288="equivocal")),"a",IF(OR(Y1288="positive",Y1288="equivocal"),"b",IF(OR(W1288="positive",W1288="equivocal"),"c","d"))))</x:f>
        <x:v>d</x:v>
      </x:c>
      <x:c r="AF1288" s="12" t="str">
        <x:f>IF(OR(W1288="unavailable",Y1288="unavailable"),"不可评价",IF(AND(W1288="positive",Y1288="positive"),"a",IF(Y1288="positive","b",IF(W1288="positive","c","d"))))</x:f>
        <x:v>d</x:v>
      </x:c>
    </x:row>
    <x:row r="1289" ht="24" customHeight="1">
      <x:c r="A1289" s="12" t="str">
        <x:v>11834</x:v>
      </x:c>
      <x:c r="B1289" s="12" t="str">
        <x:v>4988</x:v>
      </x:c>
      <x:c r="C1289" s="21" t="n">
        <x:v>34390.54640046296</x:v>
      </x:c>
      <x:c r="D1289" s="12" t="n">
        <x:v>40</x:v>
      </x:c>
      <x:c r="E1289" s="12" t="n">
        <x:v>1</x:v>
      </x:c>
      <x:c r="F1289" s="12" t="str">
        <x:v>未记录</x:v>
      </x:c>
      <x:c r="G1289" s="12" t="n">
        <x:v>1</x:v>
      </x:c>
      <x:c r="H1289" s="12" t="str">
        <x:v>{'IRBBB': 100.0, 'SR': 0.0}</x:v>
      </x:c>
      <x:c r="I1289" s="12" t="str">
        <x:v>[('SBRAD', 100.0), ('ABR', 100.0)]</x:v>
      </x:c>
      <x:c r="J1289" s="12" t="str">
        <x:v>ptbxl_database.csv；ecg_id=11834；scp_codes</x:v>
      </x:c>
      <x:c r="K1289" s="12" t="str">
        <x:v>12sl_statements.csv；ecg_id=11834；statements_ext_snomed</x:v>
      </x:c>
      <x:c r="L1289" s="12"/>
      <x:c r="M1289" s="12" t="str">
        <x:v>negative</x:v>
      </x:c>
      <x:c r="N1289" s="12"/>
      <x:c r="O1289" s="12" t="str">
        <x:v>negative</x:v>
      </x:c>
      <x:c r="P1289" s="12" t="str">
        <x:f>IF(OR(M1289="unavailable",O1289="unavailable"),"不可评价",IF(OR(M1289="equivocal",O1289="equivocal"),"疑似",IF(AND(M1289="positive",O1289="positive"),"a",IF(O1289="positive","b",IF(M1289="positive","c","d")))))</x:f>
        <x:v>d</x:v>
      </x:c>
      <x:c r="Q1289" s="12"/>
      <x:c r="R1289" s="12" t="str">
        <x:v>negative</x:v>
      </x:c>
      <x:c r="S1289" s="12"/>
      <x:c r="T1289" s="12" t="str">
        <x:v>negative</x:v>
      </x:c>
      <x:c r="U1289" s="12" t="str">
        <x:f>IF(OR(R1289="unavailable",T1289="unavailable"),"不可评价",IF(OR(R1289="equivocal",T1289="equivocal"),"疑似",IF(AND(R1289="positive",T1289="positive"),"a",IF(T1289="positive","b",IF(R1289="positive","c","d")))))</x:f>
        <x:v>d</x:v>
      </x:c>
      <x:c r="V1289" s="12"/>
      <x:c r="W1289" s="12" t="str">
        <x:v>negative</x:v>
      </x:c>
      <x:c r="X1289" s="12"/>
      <x:c r="Y1289" s="12" t="str">
        <x:v>negative</x:v>
      </x:c>
      <x:c r="Z1289" s="12" t="str">
        <x:f>IF(OR(W1289="unavailable",Y1289="unavailable"),"不可评价",IF(OR(W1289="equivocal",Y1289="equivocal"),"疑似",IF(AND(W1289="positive",Y1289="positive"),"a",IF(Y1289="positive","b",IF(W1289="positive","c","d")))))</x:f>
        <x:v>d</x:v>
      </x:c>
      <x:c r="AA1289" s="12" t="str">
        <x:f>IF(OR(M1289="unavailable",O1289="unavailable"),"不可评价",IF(AND(OR(M1289="positive",M1289="equivocal"),OR(O1289="positive",O1289="equivocal")),"a",IF(OR(O1289="positive",O1289="equivocal"),"b",IF(OR(M1289="positive",M1289="equivocal"),"c","d"))))</x:f>
        <x:v>d</x:v>
      </x:c>
      <x:c r="AB1289" s="12" t="str">
        <x:f>IF(OR(M1289="unavailable",O1289="unavailable"),"不可评价",IF(AND(M1289="positive",O1289="positive"),"a",IF(O1289="positive","b",IF(M1289="positive","c","d"))))</x:f>
        <x:v>d</x:v>
      </x:c>
      <x:c r="AC1289" s="12" t="str">
        <x:f>IF(OR(R1289="unavailable",T1289="unavailable"),"不可评价",IF(AND(OR(R1289="positive",R1289="equivocal"),OR(T1289="positive",T1289="equivocal")),"a",IF(OR(T1289="positive",T1289="equivocal"),"b",IF(OR(R1289="positive",R1289="equivocal"),"c","d"))))</x:f>
        <x:v>d</x:v>
      </x:c>
      <x:c r="AD1289" s="12" t="str">
        <x:f>IF(OR(R1289="unavailable",T1289="unavailable"),"不可评价",IF(AND(R1289="positive",T1289="positive"),"a",IF(T1289="positive","b",IF(R1289="positive","c","d"))))</x:f>
        <x:v>d</x:v>
      </x:c>
      <x:c r="AE1289" s="12" t="str">
        <x:f>IF(OR(W1289="unavailable",Y1289="unavailable"),"不可评价",IF(AND(OR(W1289="positive",W1289="equivocal"),OR(Y1289="positive",Y1289="equivocal")),"a",IF(OR(Y1289="positive",Y1289="equivocal"),"b",IF(OR(W1289="positive",W1289="equivocal"),"c","d"))))</x:f>
        <x:v>d</x:v>
      </x:c>
      <x:c r="AF1289" s="12" t="str">
        <x:f>IF(OR(W1289="unavailable",Y1289="unavailable"),"不可评价",IF(AND(W1289="positive",Y1289="positive"),"a",IF(Y1289="positive","b",IF(W1289="positive","c","d"))))</x:f>
        <x:v>d</x:v>
      </x:c>
    </x:row>
    <x:row r="1290" ht="24" customHeight="1">
      <x:c r="A1290" s="12" t="str">
        <x:v>11842</x:v>
      </x:c>
      <x:c r="B1290" s="12" t="str">
        <x:v>13781</x:v>
      </x:c>
      <x:c r="C1290" s="21" t="n">
        <x:v>34391.46524305556</x:v>
      </x:c>
      <x:c r="D1290" s="12" t="n">
        <x:v>26</x:v>
      </x:c>
      <x:c r="E1290" s="12" t="n">
        <x:v>1</x:v>
      </x:c>
      <x:c r="F1290" s="12" t="str">
        <x:v>未记录</x:v>
      </x:c>
      <x:c r="G1290" s="12" t="n">
        <x:v>1</x:v>
      </x:c>
      <x:c r="H1290" s="12" t="str">
        <x:v>{'NORM': 100.0, 'SR': 0.0}</x:v>
      </x:c>
      <x:c r="I1290" s="12" t="str">
        <x:v>[('NSR', 100.0), ('NML', 100.0)]</x:v>
      </x:c>
      <x:c r="J1290" s="12" t="str">
        <x:v>ptbxl_database.csv；ecg_id=11842；scp_codes</x:v>
      </x:c>
      <x:c r="K1290" s="12" t="str">
        <x:v>12sl_statements.csv；ecg_id=11842；statements_ext_snomed</x:v>
      </x:c>
      <x:c r="L1290" s="12"/>
      <x:c r="M1290" s="12" t="str">
        <x:v>negative</x:v>
      </x:c>
      <x:c r="N1290" s="12"/>
      <x:c r="O1290" s="12" t="str">
        <x:v>negative</x:v>
      </x:c>
      <x:c r="P1290" s="12" t="str">
        <x:f>IF(OR(M1290="unavailable",O1290="unavailable"),"不可评价",IF(OR(M1290="equivocal",O1290="equivocal"),"疑似",IF(AND(M1290="positive",O1290="positive"),"a",IF(O1290="positive","b",IF(M1290="positive","c","d")))))</x:f>
        <x:v>d</x:v>
      </x:c>
      <x:c r="Q1290" s="12"/>
      <x:c r="R1290" s="12" t="str">
        <x:v>negative</x:v>
      </x:c>
      <x:c r="S1290" s="12"/>
      <x:c r="T1290" s="12" t="str">
        <x:v>negative</x:v>
      </x:c>
      <x:c r="U1290" s="12" t="str">
        <x:f>IF(OR(R1290="unavailable",T1290="unavailable"),"不可评价",IF(OR(R1290="equivocal",T1290="equivocal"),"疑似",IF(AND(R1290="positive",T1290="positive"),"a",IF(T1290="positive","b",IF(R1290="positive","c","d")))))</x:f>
        <x:v>d</x:v>
      </x:c>
      <x:c r="V1290" s="12"/>
      <x:c r="W1290" s="12" t="str">
        <x:v>negative</x:v>
      </x:c>
      <x:c r="X1290" s="12"/>
      <x:c r="Y1290" s="12" t="str">
        <x:v>negative</x:v>
      </x:c>
      <x:c r="Z1290" s="12" t="str">
        <x:f>IF(OR(W1290="unavailable",Y1290="unavailable"),"不可评价",IF(OR(W1290="equivocal",Y1290="equivocal"),"疑似",IF(AND(W1290="positive",Y1290="positive"),"a",IF(Y1290="positive","b",IF(W1290="positive","c","d")))))</x:f>
        <x:v>d</x:v>
      </x:c>
      <x:c r="AA1290" s="12" t="str">
        <x:f>IF(OR(M1290="unavailable",O1290="unavailable"),"不可评价",IF(AND(OR(M1290="positive",M1290="equivocal"),OR(O1290="positive",O1290="equivocal")),"a",IF(OR(O1290="positive",O1290="equivocal"),"b",IF(OR(M1290="positive",M1290="equivocal"),"c","d"))))</x:f>
        <x:v>d</x:v>
      </x:c>
      <x:c r="AB1290" s="12" t="str">
        <x:f>IF(OR(M1290="unavailable",O1290="unavailable"),"不可评价",IF(AND(M1290="positive",O1290="positive"),"a",IF(O1290="positive","b",IF(M1290="positive","c","d"))))</x:f>
        <x:v>d</x:v>
      </x:c>
      <x:c r="AC1290" s="12" t="str">
        <x:f>IF(OR(R1290="unavailable",T1290="unavailable"),"不可评价",IF(AND(OR(R1290="positive",R1290="equivocal"),OR(T1290="positive",T1290="equivocal")),"a",IF(OR(T1290="positive",T1290="equivocal"),"b",IF(OR(R1290="positive",R1290="equivocal"),"c","d"))))</x:f>
        <x:v>d</x:v>
      </x:c>
      <x:c r="AD1290" s="12" t="str">
        <x:f>IF(OR(R1290="unavailable",T1290="unavailable"),"不可评价",IF(AND(R1290="positive",T1290="positive"),"a",IF(T1290="positive","b",IF(R1290="positive","c","d"))))</x:f>
        <x:v>d</x:v>
      </x:c>
      <x:c r="AE1290" s="12" t="str">
        <x:f>IF(OR(W1290="unavailable",Y1290="unavailable"),"不可评价",IF(AND(OR(W1290="positive",W1290="equivocal"),OR(Y1290="positive",Y1290="equivocal")),"a",IF(OR(Y1290="positive",Y1290="equivocal"),"b",IF(OR(W1290="positive",W1290="equivocal"),"c","d"))))</x:f>
        <x:v>d</x:v>
      </x:c>
      <x:c r="AF1290" s="12" t="str">
        <x:f>IF(OR(W1290="unavailable",Y1290="unavailable"),"不可评价",IF(AND(W1290="positive",Y1290="positive"),"a",IF(Y1290="positive","b",IF(W1290="positive","c","d"))))</x:f>
        <x:v>d</x:v>
      </x:c>
    </x:row>
    <x:row r="1291" ht="24" customHeight="1">
      <x:c r="A1291" s="12" t="str">
        <x:v>11843</x:v>
      </x:c>
      <x:c r="B1291" s="12" t="str">
        <x:v>13781</x:v>
      </x:c>
      <x:c r="C1291" s="21" t="n">
        <x:v>34391.46524305556</x:v>
      </x:c>
      <x:c r="D1291" s="12" t="n">
        <x:v>26</x:v>
      </x:c>
      <x:c r="E1291" s="12" t="n">
        <x:v>1</x:v>
      </x:c>
      <x:c r="F1291" s="12" t="str">
        <x:v>未记录</x:v>
      </x:c>
      <x:c r="G1291" s="12" t="n">
        <x:v>0</x:v>
      </x:c>
      <x:c r="H1291" s="12" t="str">
        <x:v>{'NORM': 100.0, 'SR': 0.0}</x:v>
      </x:c>
      <x:c r="I1291" s="12" t="str">
        <x:v>[('NSR', 100.0), ('IVCD', 100.0), ('BORDE', 100.0)]</x:v>
      </x:c>
      <x:c r="J1291" s="12" t="str">
        <x:v>ptbxl_database.csv；ecg_id=11843；scp_codes</x:v>
      </x:c>
      <x:c r="K1291" s="12" t="str">
        <x:v>12sl_statements.csv；ecg_id=11843；statements_ext_snomed</x:v>
      </x:c>
      <x:c r="L1291" s="12"/>
      <x:c r="M1291" s="12" t="str">
        <x:v>negative</x:v>
      </x:c>
      <x:c r="N1291" s="12"/>
      <x:c r="O1291" s="12" t="str">
        <x:v>negative</x:v>
      </x:c>
      <x:c r="P1291" s="12" t="str">
        <x:f>IF(OR(M1291="unavailable",O1291="unavailable"),"不可评价",IF(OR(M1291="equivocal",O1291="equivocal"),"疑似",IF(AND(M1291="positive",O1291="positive"),"a",IF(O1291="positive","b",IF(M1291="positive","c","d")))))</x:f>
        <x:v>d</x:v>
      </x:c>
      <x:c r="Q1291" s="12"/>
      <x:c r="R1291" s="12" t="str">
        <x:v>negative</x:v>
      </x:c>
      <x:c r="S1291" s="12"/>
      <x:c r="T1291" s="12" t="str">
        <x:v>negative</x:v>
      </x:c>
      <x:c r="U1291" s="12" t="str">
        <x:f>IF(OR(R1291="unavailable",T1291="unavailable"),"不可评价",IF(OR(R1291="equivocal",T1291="equivocal"),"疑似",IF(AND(R1291="positive",T1291="positive"),"a",IF(T1291="positive","b",IF(R1291="positive","c","d")))))</x:f>
        <x:v>d</x:v>
      </x:c>
      <x:c r="V1291" s="12"/>
      <x:c r="W1291" s="12" t="str">
        <x:v>negative</x:v>
      </x:c>
      <x:c r="X1291" s="12"/>
      <x:c r="Y1291" s="12" t="str">
        <x:v>negative</x:v>
      </x:c>
      <x:c r="Z1291" s="12" t="str">
        <x:f>IF(OR(W1291="unavailable",Y1291="unavailable"),"不可评价",IF(OR(W1291="equivocal",Y1291="equivocal"),"疑似",IF(AND(W1291="positive",Y1291="positive"),"a",IF(Y1291="positive","b",IF(W1291="positive","c","d")))))</x:f>
        <x:v>d</x:v>
      </x:c>
      <x:c r="AA1291" s="12" t="str">
        <x:f>IF(OR(M1291="unavailable",O1291="unavailable"),"不可评价",IF(AND(OR(M1291="positive",M1291="equivocal"),OR(O1291="positive",O1291="equivocal")),"a",IF(OR(O1291="positive",O1291="equivocal"),"b",IF(OR(M1291="positive",M1291="equivocal"),"c","d"))))</x:f>
        <x:v>d</x:v>
      </x:c>
      <x:c r="AB1291" s="12" t="str">
        <x:f>IF(OR(M1291="unavailable",O1291="unavailable"),"不可评价",IF(AND(M1291="positive",O1291="positive"),"a",IF(O1291="positive","b",IF(M1291="positive","c","d"))))</x:f>
        <x:v>d</x:v>
      </x:c>
      <x:c r="AC1291" s="12" t="str">
        <x:f>IF(OR(R1291="unavailable",T1291="unavailable"),"不可评价",IF(AND(OR(R1291="positive",R1291="equivocal"),OR(T1291="positive",T1291="equivocal")),"a",IF(OR(T1291="positive",T1291="equivocal"),"b",IF(OR(R1291="positive",R1291="equivocal"),"c","d"))))</x:f>
        <x:v>d</x:v>
      </x:c>
      <x:c r="AD1291" s="12" t="str">
        <x:f>IF(OR(R1291="unavailable",T1291="unavailable"),"不可评价",IF(AND(R1291="positive",T1291="positive"),"a",IF(T1291="positive","b",IF(R1291="positive","c","d"))))</x:f>
        <x:v>d</x:v>
      </x:c>
      <x:c r="AE1291" s="12" t="str">
        <x:f>IF(OR(W1291="unavailable",Y1291="unavailable"),"不可评价",IF(AND(OR(W1291="positive",W1291="equivocal"),OR(Y1291="positive",Y1291="equivocal")),"a",IF(OR(Y1291="positive",Y1291="equivocal"),"b",IF(OR(W1291="positive",W1291="equivocal"),"c","d"))))</x:f>
        <x:v>d</x:v>
      </x:c>
      <x:c r="AF1291" s="12" t="str">
        <x:f>IF(OR(W1291="unavailable",Y1291="unavailable"),"不可评价",IF(AND(W1291="positive",Y1291="positive"),"a",IF(Y1291="positive","b",IF(W1291="positive","c","d"))))</x:f>
        <x:v>d</x:v>
      </x:c>
    </x:row>
    <x:row r="1292" ht="24" customHeight="1">
      <x:c r="A1292" s="12" t="str">
        <x:v>11853</x:v>
      </x:c>
      <x:c r="B1292" s="12" t="str">
        <x:v>1024</x:v>
      </x:c>
      <x:c r="C1292" s="21" t="n">
        <x:v>34392.45266203704</x:v>
      </x:c>
      <x:c r="D1292" s="12" t="n">
        <x:v>64</x:v>
      </x:c>
      <x:c r="E1292" s="12" t="n">
        <x:v>0</x:v>
      </x:c>
      <x:c r="F1292" s="12" t="str">
        <x:v>存在</x:v>
      </x:c>
      <x:c r="G1292" s="12" t="n">
        <x:v>1</x:v>
      </x:c>
      <x:c r="H1292" s="12" t="str">
        <x:v>{'NORM': 100.0, 'SR': 0.0}</x:v>
      </x:c>
      <x:c r="I1292" s="12" t="str">
        <x:v>[('SBRAD', 100.0), ('IMI;AU', 100.0), ('AB', 100.0)]</x:v>
      </x:c>
      <x:c r="J1292" s="12" t="str">
        <x:v>ptbxl_database.csv；ecg_id=11853；scp_codes</x:v>
      </x:c>
      <x:c r="K1292" s="12" t="str">
        <x:v>12sl_statements.csv；ecg_id=11853；statements_ext_snomed</x:v>
      </x:c>
      <x:c r="L1292" s="12"/>
      <x:c r="M1292" s="12" t="str">
        <x:v>negative</x:v>
      </x:c>
      <x:c r="N1292" s="12"/>
      <x:c r="O1292" s="12" t="str">
        <x:v>negative</x:v>
      </x:c>
      <x:c r="P1292" s="12" t="str">
        <x:f>IF(OR(M1292="unavailable",O1292="unavailable"),"不可评价",IF(OR(M1292="equivocal",O1292="equivocal"),"疑似",IF(AND(M1292="positive",O1292="positive"),"a",IF(O1292="positive","b",IF(M1292="positive","c","d")))))</x:f>
        <x:v>d</x:v>
      </x:c>
      <x:c r="Q1292" s="12"/>
      <x:c r="R1292" s="12" t="str">
        <x:v>negative</x:v>
      </x:c>
      <x:c r="S1292" s="12"/>
      <x:c r="T1292" s="12" t="str">
        <x:v>negative</x:v>
      </x:c>
      <x:c r="U1292" s="12" t="str">
        <x:f>IF(OR(R1292="unavailable",T1292="unavailable"),"不可评价",IF(OR(R1292="equivocal",T1292="equivocal"),"疑似",IF(AND(R1292="positive",T1292="positive"),"a",IF(T1292="positive","b",IF(R1292="positive","c","d")))))</x:f>
        <x:v>d</x:v>
      </x:c>
      <x:c r="V1292" s="12"/>
      <x:c r="W1292" s="12" t="str">
        <x:v>negative</x:v>
      </x:c>
      <x:c r="X1292" s="12"/>
      <x:c r="Y1292" s="12" t="str">
        <x:v>negative</x:v>
      </x:c>
      <x:c r="Z1292" s="12" t="str">
        <x:f>IF(OR(W1292="unavailable",Y1292="unavailable"),"不可评价",IF(OR(W1292="equivocal",Y1292="equivocal"),"疑似",IF(AND(W1292="positive",Y1292="positive"),"a",IF(Y1292="positive","b",IF(W1292="positive","c","d")))))</x:f>
        <x:v>d</x:v>
      </x:c>
      <x:c r="AA1292" s="12" t="str">
        <x:f>IF(OR(M1292="unavailable",O1292="unavailable"),"不可评价",IF(AND(OR(M1292="positive",M1292="equivocal"),OR(O1292="positive",O1292="equivocal")),"a",IF(OR(O1292="positive",O1292="equivocal"),"b",IF(OR(M1292="positive",M1292="equivocal"),"c","d"))))</x:f>
        <x:v>d</x:v>
      </x:c>
      <x:c r="AB1292" s="12" t="str">
        <x:f>IF(OR(M1292="unavailable",O1292="unavailable"),"不可评价",IF(AND(M1292="positive",O1292="positive"),"a",IF(O1292="positive","b",IF(M1292="positive","c","d"))))</x:f>
        <x:v>d</x:v>
      </x:c>
      <x:c r="AC1292" s="12" t="str">
        <x:f>IF(OR(R1292="unavailable",T1292="unavailable"),"不可评价",IF(AND(OR(R1292="positive",R1292="equivocal"),OR(T1292="positive",T1292="equivocal")),"a",IF(OR(T1292="positive",T1292="equivocal"),"b",IF(OR(R1292="positive",R1292="equivocal"),"c","d"))))</x:f>
        <x:v>d</x:v>
      </x:c>
      <x:c r="AD1292" s="12" t="str">
        <x:f>IF(OR(R1292="unavailable",T1292="unavailable"),"不可评价",IF(AND(R1292="positive",T1292="positive"),"a",IF(T1292="positive","b",IF(R1292="positive","c","d"))))</x:f>
        <x:v>d</x:v>
      </x:c>
      <x:c r="AE1292" s="12" t="str">
        <x:f>IF(OR(W1292="unavailable",Y1292="unavailable"),"不可评价",IF(AND(OR(W1292="positive",W1292="equivocal"),OR(Y1292="positive",Y1292="equivocal")),"a",IF(OR(Y1292="positive",Y1292="equivocal"),"b",IF(OR(W1292="positive",W1292="equivocal"),"c","d"))))</x:f>
        <x:v>d</x:v>
      </x:c>
      <x:c r="AF1292" s="12" t="str">
        <x:f>IF(OR(W1292="unavailable",Y1292="unavailable"),"不可评价",IF(AND(W1292="positive",Y1292="positive"),"a",IF(Y1292="positive","b",IF(W1292="positive","c","d"))))</x:f>
        <x:v>d</x:v>
      </x:c>
    </x:row>
    <x:row r="1293" ht="24" customHeight="1">
      <x:c r="A1293" s="12" t="str">
        <x:v>11855</x:v>
      </x:c>
      <x:c r="B1293" s="12" t="str">
        <x:v>8288</x:v>
      </x:c>
      <x:c r="C1293" s="21" t="n">
        <x:v>34392.53957175926</x:v>
      </x:c>
      <x:c r="D1293" s="12" t="n">
        <x:v>60</x:v>
      </x:c>
      <x:c r="E1293" s="12" t="n">
        <x:v>0</x:v>
      </x:c>
      <x:c r="F1293" s="12" t="str">
        <x:v>未记录</x:v>
      </x:c>
      <x:c r="G1293" s="12" t="n">
        <x:v>1</x:v>
      </x:c>
      <x:c r="H1293" s="12" t="str">
        <x:v>{'IMI': 15.0, 'NDT': 100.0}</x:v>
      </x:c>
      <x:c r="I1293" s="12" t="str">
        <x:v>[('SBRAD', 100.0), ('SAR', 100.0), ('NT', 100.0), ('AB', 100.0)]</x:v>
      </x:c>
      <x:c r="J1293" s="12" t="str">
        <x:v>ptbxl_database.csv；ecg_id=11855；scp_codes</x:v>
      </x:c>
      <x:c r="K1293" s="12" t="str">
        <x:v>12sl_statements.csv；ecg_id=11855；statements_ext_snomed</x:v>
      </x:c>
      <x:c r="L1293" s="12"/>
      <x:c r="M1293" s="12" t="str">
        <x:v>negative</x:v>
      </x:c>
      <x:c r="N1293" s="12"/>
      <x:c r="O1293" s="12" t="str">
        <x:v>negative</x:v>
      </x:c>
      <x:c r="P1293" s="12" t="str">
        <x:f>IF(OR(M1293="unavailable",O1293="unavailable"),"不可评价",IF(OR(M1293="equivocal",O1293="equivocal"),"疑似",IF(AND(M1293="positive",O1293="positive"),"a",IF(O1293="positive","b",IF(M1293="positive","c","d")))))</x:f>
        <x:v>d</x:v>
      </x:c>
      <x:c r="Q1293" s="12"/>
      <x:c r="R1293" s="12" t="str">
        <x:v>negative</x:v>
      </x:c>
      <x:c r="S1293" s="12"/>
      <x:c r="T1293" s="12" t="str">
        <x:v>negative</x:v>
      </x:c>
      <x:c r="U1293" s="12" t="str">
        <x:f>IF(OR(R1293="unavailable",T1293="unavailable"),"不可评价",IF(OR(R1293="equivocal",T1293="equivocal"),"疑似",IF(AND(R1293="positive",T1293="positive"),"a",IF(T1293="positive","b",IF(R1293="positive","c","d")))))</x:f>
        <x:v>d</x:v>
      </x:c>
      <x:c r="V1293" s="12"/>
      <x:c r="W1293" s="12" t="str">
        <x:v>negative</x:v>
      </x:c>
      <x:c r="X1293" s="12"/>
      <x:c r="Y1293" s="12" t="str">
        <x:v>negative</x:v>
      </x:c>
      <x:c r="Z1293" s="12" t="str">
        <x:f>IF(OR(W1293="unavailable",Y1293="unavailable"),"不可评价",IF(OR(W1293="equivocal",Y1293="equivocal"),"疑似",IF(AND(W1293="positive",Y1293="positive"),"a",IF(Y1293="positive","b",IF(W1293="positive","c","d")))))</x:f>
        <x:v>d</x:v>
      </x:c>
      <x:c r="AA1293" s="12" t="str">
        <x:f>IF(OR(M1293="unavailable",O1293="unavailable"),"不可评价",IF(AND(OR(M1293="positive",M1293="equivocal"),OR(O1293="positive",O1293="equivocal")),"a",IF(OR(O1293="positive",O1293="equivocal"),"b",IF(OR(M1293="positive",M1293="equivocal"),"c","d"))))</x:f>
        <x:v>d</x:v>
      </x:c>
      <x:c r="AB1293" s="12" t="str">
        <x:f>IF(OR(M1293="unavailable",O1293="unavailable"),"不可评价",IF(AND(M1293="positive",O1293="positive"),"a",IF(O1293="positive","b",IF(M1293="positive","c","d"))))</x:f>
        <x:v>d</x:v>
      </x:c>
      <x:c r="AC1293" s="12" t="str">
        <x:f>IF(OR(R1293="unavailable",T1293="unavailable"),"不可评价",IF(AND(OR(R1293="positive",R1293="equivocal"),OR(T1293="positive",T1293="equivocal")),"a",IF(OR(T1293="positive",T1293="equivocal"),"b",IF(OR(R1293="positive",R1293="equivocal"),"c","d"))))</x:f>
        <x:v>d</x:v>
      </x:c>
      <x:c r="AD1293" s="12" t="str">
        <x:f>IF(OR(R1293="unavailable",T1293="unavailable"),"不可评价",IF(AND(R1293="positive",T1293="positive"),"a",IF(T1293="positive","b",IF(R1293="positive","c","d"))))</x:f>
        <x:v>d</x:v>
      </x:c>
      <x:c r="AE1293" s="12" t="str">
        <x:f>IF(OR(W1293="unavailable",Y1293="unavailable"),"不可评价",IF(AND(OR(W1293="positive",W1293="equivocal"),OR(Y1293="positive",Y1293="equivocal")),"a",IF(OR(Y1293="positive",Y1293="equivocal"),"b",IF(OR(W1293="positive",W1293="equivocal"),"c","d"))))</x:f>
        <x:v>d</x:v>
      </x:c>
      <x:c r="AF1293" s="12" t="str">
        <x:f>IF(OR(W1293="unavailable",Y1293="unavailable"),"不可评价",IF(AND(W1293="positive",Y1293="positive"),"a",IF(Y1293="positive","b",IF(W1293="positive","c","d"))))</x:f>
        <x:v>d</x:v>
      </x:c>
    </x:row>
    <x:row r="1294" ht="24" customHeight="1">
      <x:c r="A1294" s="12" t="str">
        <x:v>11868</x:v>
      </x:c>
      <x:c r="B1294" s="12" t="str">
        <x:v>16795</x:v>
      </x:c>
      <x:c r="C1294" s="21" t="n">
        <x:v>34396.39517361111</x:v>
      </x:c>
      <x:c r="D1294" s="12" t="n">
        <x:v>57</x:v>
      </x:c>
      <x:c r="E1294" s="12" t="n">
        <x:v>1</x:v>
      </x:c>
      <x:c r="F1294" s="12" t="str">
        <x:v>存在</x:v>
      </x:c>
      <x:c r="G1294" s="12" t="n">
        <x:v>1</x:v>
      </x:c>
      <x:c r="H1294" s="12" t="str">
        <x:v>{'NDT': 100.0, 'SR': 0.0}</x:v>
      </x:c>
      <x:c r="I1294" s="12" t="str">
        <x:v>[('SBRAD', 100.0), ('NT', 100.0), ('AB', 100.0)]</x:v>
      </x:c>
      <x:c r="J1294" s="12" t="str">
        <x:v>ptbxl_database.csv；ecg_id=11868；scp_codes</x:v>
      </x:c>
      <x:c r="K1294" s="12" t="str">
        <x:v>12sl_statements.csv；ecg_id=11868；statements_ext_snomed</x:v>
      </x:c>
      <x:c r="L1294" s="12"/>
      <x:c r="M1294" s="12" t="str">
        <x:v>negative</x:v>
      </x:c>
      <x:c r="N1294" s="12"/>
      <x:c r="O1294" s="12" t="str">
        <x:v>negative</x:v>
      </x:c>
      <x:c r="P1294" s="12" t="str">
        <x:f>IF(OR(M1294="unavailable",O1294="unavailable"),"不可评价",IF(OR(M1294="equivocal",O1294="equivocal"),"疑似",IF(AND(M1294="positive",O1294="positive"),"a",IF(O1294="positive","b",IF(M1294="positive","c","d")))))</x:f>
        <x:v>d</x:v>
      </x:c>
      <x:c r="Q1294" s="12"/>
      <x:c r="R1294" s="12" t="str">
        <x:v>negative</x:v>
      </x:c>
      <x:c r="S1294" s="12"/>
      <x:c r="T1294" s="12" t="str">
        <x:v>negative</x:v>
      </x:c>
      <x:c r="U1294" s="12" t="str">
        <x:f>IF(OR(R1294="unavailable",T1294="unavailable"),"不可评价",IF(OR(R1294="equivocal",T1294="equivocal"),"疑似",IF(AND(R1294="positive",T1294="positive"),"a",IF(T1294="positive","b",IF(R1294="positive","c","d")))))</x:f>
        <x:v>d</x:v>
      </x:c>
      <x:c r="V1294" s="12"/>
      <x:c r="W1294" s="12" t="str">
        <x:v>negative</x:v>
      </x:c>
      <x:c r="X1294" s="12"/>
      <x:c r="Y1294" s="12" t="str">
        <x:v>negative</x:v>
      </x:c>
      <x:c r="Z1294" s="12" t="str">
        <x:f>IF(OR(W1294="unavailable",Y1294="unavailable"),"不可评价",IF(OR(W1294="equivocal",Y1294="equivocal"),"疑似",IF(AND(W1294="positive",Y1294="positive"),"a",IF(Y1294="positive","b",IF(W1294="positive","c","d")))))</x:f>
        <x:v>d</x:v>
      </x:c>
      <x:c r="AA1294" s="12" t="str">
        <x:f>IF(OR(M1294="unavailable",O1294="unavailable"),"不可评价",IF(AND(OR(M1294="positive",M1294="equivocal"),OR(O1294="positive",O1294="equivocal")),"a",IF(OR(O1294="positive",O1294="equivocal"),"b",IF(OR(M1294="positive",M1294="equivocal"),"c","d"))))</x:f>
        <x:v>d</x:v>
      </x:c>
      <x:c r="AB1294" s="12" t="str">
        <x:f>IF(OR(M1294="unavailable",O1294="unavailable"),"不可评价",IF(AND(M1294="positive",O1294="positive"),"a",IF(O1294="positive","b",IF(M1294="positive","c","d"))))</x:f>
        <x:v>d</x:v>
      </x:c>
      <x:c r="AC1294" s="12" t="str">
        <x:f>IF(OR(R1294="unavailable",T1294="unavailable"),"不可评价",IF(AND(OR(R1294="positive",R1294="equivocal"),OR(T1294="positive",T1294="equivocal")),"a",IF(OR(T1294="positive",T1294="equivocal"),"b",IF(OR(R1294="positive",R1294="equivocal"),"c","d"))))</x:f>
        <x:v>d</x:v>
      </x:c>
      <x:c r="AD1294" s="12" t="str">
        <x:f>IF(OR(R1294="unavailable",T1294="unavailable"),"不可评价",IF(AND(R1294="positive",T1294="positive"),"a",IF(T1294="positive","b",IF(R1294="positive","c","d"))))</x:f>
        <x:v>d</x:v>
      </x:c>
      <x:c r="AE1294" s="12" t="str">
        <x:f>IF(OR(W1294="unavailable",Y1294="unavailable"),"不可评价",IF(AND(OR(W1294="positive",W1294="equivocal"),OR(Y1294="positive",Y1294="equivocal")),"a",IF(OR(Y1294="positive",Y1294="equivocal"),"b",IF(OR(W1294="positive",W1294="equivocal"),"c","d"))))</x:f>
        <x:v>d</x:v>
      </x:c>
      <x:c r="AF1294" s="12" t="str">
        <x:f>IF(OR(W1294="unavailable",Y1294="unavailable"),"不可评价",IF(AND(W1294="positive",Y1294="positive"),"a",IF(Y1294="positive","b",IF(W1294="positive","c","d"))))</x:f>
        <x:v>d</x:v>
      </x:c>
    </x:row>
    <x:row r="1295" ht="24" customHeight="1">
      <x:c r="A1295" s="12" t="str">
        <x:v>11872</x:v>
      </x:c>
      <x:c r="B1295" s="12" t="str">
        <x:v>15943</x:v>
      </x:c>
      <x:c r="C1295" s="21" t="n">
        <x:v>34396.55978009259</x:v>
      </x:c>
      <x:c r="D1295" s="12" t="n">
        <x:v>59</x:v>
      </x:c>
      <x:c r="E1295" s="12" t="n">
        <x:v>0</x:v>
      </x:c>
      <x:c r="F1295" s="12" t="str">
        <x:v>未记录</x:v>
      </x:c>
      <x:c r="G1295" s="12" t="n">
        <x:v>1</x:v>
      </x:c>
      <x:c r="H1295" s="12" t="str">
        <x:v>{'IMI': 15.0, 'RVH': 80.0, 'SR': 0.0}</x:v>
      </x:c>
      <x:c r="I1295" s="12" t="str">
        <x:v>[('SBRAD', 100.0), ('ABR', 100.0)]</x:v>
      </x:c>
      <x:c r="J1295" s="12" t="str">
        <x:v>ptbxl_database.csv；ecg_id=11872；scp_codes</x:v>
      </x:c>
      <x:c r="K1295" s="12" t="str">
        <x:v>12sl_statements.csv；ecg_id=11872；statements_ext_snomed</x:v>
      </x:c>
      <x:c r="L1295" s="12"/>
      <x:c r="M1295" s="12" t="str">
        <x:v>negative</x:v>
      </x:c>
      <x:c r="N1295" s="12"/>
      <x:c r="O1295" s="12" t="str">
        <x:v>negative</x:v>
      </x:c>
      <x:c r="P1295" s="12" t="str">
        <x:f>IF(OR(M1295="unavailable",O1295="unavailable"),"不可评价",IF(OR(M1295="equivocal",O1295="equivocal"),"疑似",IF(AND(M1295="positive",O1295="positive"),"a",IF(O1295="positive","b",IF(M1295="positive","c","d")))))</x:f>
        <x:v>d</x:v>
      </x:c>
      <x:c r="Q1295" s="12"/>
      <x:c r="R1295" s="12" t="str">
        <x:v>negative</x:v>
      </x:c>
      <x:c r="S1295" s="12"/>
      <x:c r="T1295" s="12" t="str">
        <x:v>negative</x:v>
      </x:c>
      <x:c r="U1295" s="12" t="str">
        <x:f>IF(OR(R1295="unavailable",T1295="unavailable"),"不可评价",IF(OR(R1295="equivocal",T1295="equivocal"),"疑似",IF(AND(R1295="positive",T1295="positive"),"a",IF(T1295="positive","b",IF(R1295="positive","c","d")))))</x:f>
        <x:v>d</x:v>
      </x:c>
      <x:c r="V1295" s="12"/>
      <x:c r="W1295" s="12" t="str">
        <x:v>negative</x:v>
      </x:c>
      <x:c r="X1295" s="12"/>
      <x:c r="Y1295" s="12" t="str">
        <x:v>negative</x:v>
      </x:c>
      <x:c r="Z1295" s="12" t="str">
        <x:f>IF(OR(W1295="unavailable",Y1295="unavailable"),"不可评价",IF(OR(W1295="equivocal",Y1295="equivocal"),"疑似",IF(AND(W1295="positive",Y1295="positive"),"a",IF(Y1295="positive","b",IF(W1295="positive","c","d")))))</x:f>
        <x:v>d</x:v>
      </x:c>
      <x:c r="AA1295" s="12" t="str">
        <x:f>IF(OR(M1295="unavailable",O1295="unavailable"),"不可评价",IF(AND(OR(M1295="positive",M1295="equivocal"),OR(O1295="positive",O1295="equivocal")),"a",IF(OR(O1295="positive",O1295="equivocal"),"b",IF(OR(M1295="positive",M1295="equivocal"),"c","d"))))</x:f>
        <x:v>d</x:v>
      </x:c>
      <x:c r="AB1295" s="12" t="str">
        <x:f>IF(OR(M1295="unavailable",O1295="unavailable"),"不可评价",IF(AND(M1295="positive",O1295="positive"),"a",IF(O1295="positive","b",IF(M1295="positive","c","d"))))</x:f>
        <x:v>d</x:v>
      </x:c>
      <x:c r="AC1295" s="12" t="str">
        <x:f>IF(OR(R1295="unavailable",T1295="unavailable"),"不可评价",IF(AND(OR(R1295="positive",R1295="equivocal"),OR(T1295="positive",T1295="equivocal")),"a",IF(OR(T1295="positive",T1295="equivocal"),"b",IF(OR(R1295="positive",R1295="equivocal"),"c","d"))))</x:f>
        <x:v>d</x:v>
      </x:c>
      <x:c r="AD1295" s="12" t="str">
        <x:f>IF(OR(R1295="unavailable",T1295="unavailable"),"不可评价",IF(AND(R1295="positive",T1295="positive"),"a",IF(T1295="positive","b",IF(R1295="positive","c","d"))))</x:f>
        <x:v>d</x:v>
      </x:c>
      <x:c r="AE1295" s="12" t="str">
        <x:f>IF(OR(W1295="unavailable",Y1295="unavailable"),"不可评价",IF(AND(OR(W1295="positive",W1295="equivocal"),OR(Y1295="positive",Y1295="equivocal")),"a",IF(OR(Y1295="positive",Y1295="equivocal"),"b",IF(OR(W1295="positive",W1295="equivocal"),"c","d"))))</x:f>
        <x:v>d</x:v>
      </x:c>
      <x:c r="AF1295" s="12" t="str">
        <x:f>IF(OR(W1295="unavailable",Y1295="unavailable"),"不可评价",IF(AND(W1295="positive",Y1295="positive"),"a",IF(Y1295="positive","b",IF(W1295="positive","c","d"))))</x:f>
        <x:v>d</x:v>
      </x:c>
    </x:row>
    <x:row r="1296" ht="24" customHeight="1">
      <x:c r="A1296" s="12" t="str">
        <x:v>11884</x:v>
      </x:c>
      <x:c r="B1296" s="12" t="str">
        <x:v>16698</x:v>
      </x:c>
      <x:c r="C1296" s="21" t="n">
        <x:v>34398.27856481481</x:v>
      </x:c>
      <x:c r="D1296" s="12" t="n">
        <x:v>65</x:v>
      </x:c>
      <x:c r="E1296" s="12" t="n">
        <x:v>0</x:v>
      </x:c>
      <x:c r="F1296" s="12" t="str">
        <x:v>未记录</x:v>
      </x:c>
      <x:c r="G1296" s="12" t="n">
        <x:v>1</x:v>
      </x:c>
      <x:c r="H1296" s="12" t="str">
        <x:v>{'NORM': 100.0, 'SR': 0.0}</x:v>
      </x:c>
      <x:c r="I1296" s="12" t="str">
        <x:v>[('NSR', 100.0), ('NML', 100.0)]</x:v>
      </x:c>
      <x:c r="J1296" s="12" t="str">
        <x:v>ptbxl_database.csv；ecg_id=11884；scp_codes</x:v>
      </x:c>
      <x:c r="K1296" s="12" t="str">
        <x:v>12sl_statements.csv；ecg_id=11884；statements_ext_snomed</x:v>
      </x:c>
      <x:c r="L1296" s="12"/>
      <x:c r="M1296" s="12" t="str">
        <x:v>negative</x:v>
      </x:c>
      <x:c r="N1296" s="12"/>
      <x:c r="O1296" s="12" t="str">
        <x:v>negative</x:v>
      </x:c>
      <x:c r="P1296" s="12" t="str">
        <x:f>IF(OR(M1296="unavailable",O1296="unavailable"),"不可评价",IF(OR(M1296="equivocal",O1296="equivocal"),"疑似",IF(AND(M1296="positive",O1296="positive"),"a",IF(O1296="positive","b",IF(M1296="positive","c","d")))))</x:f>
        <x:v>d</x:v>
      </x:c>
      <x:c r="Q1296" s="12"/>
      <x:c r="R1296" s="12" t="str">
        <x:v>negative</x:v>
      </x:c>
      <x:c r="S1296" s="12"/>
      <x:c r="T1296" s="12" t="str">
        <x:v>negative</x:v>
      </x:c>
      <x:c r="U1296" s="12" t="str">
        <x:f>IF(OR(R1296="unavailable",T1296="unavailable"),"不可评价",IF(OR(R1296="equivocal",T1296="equivocal"),"疑似",IF(AND(R1296="positive",T1296="positive"),"a",IF(T1296="positive","b",IF(R1296="positive","c","d")))))</x:f>
        <x:v>d</x:v>
      </x:c>
      <x:c r="V1296" s="12"/>
      <x:c r="W1296" s="12" t="str">
        <x:v>negative</x:v>
      </x:c>
      <x:c r="X1296" s="12"/>
      <x:c r="Y1296" s="12" t="str">
        <x:v>negative</x:v>
      </x:c>
      <x:c r="Z1296" s="12" t="str">
        <x:f>IF(OR(W1296="unavailable",Y1296="unavailable"),"不可评价",IF(OR(W1296="equivocal",Y1296="equivocal"),"疑似",IF(AND(W1296="positive",Y1296="positive"),"a",IF(Y1296="positive","b",IF(W1296="positive","c","d")))))</x:f>
        <x:v>d</x:v>
      </x:c>
      <x:c r="AA1296" s="12" t="str">
        <x:f>IF(OR(M1296="unavailable",O1296="unavailable"),"不可评价",IF(AND(OR(M1296="positive",M1296="equivocal"),OR(O1296="positive",O1296="equivocal")),"a",IF(OR(O1296="positive",O1296="equivocal"),"b",IF(OR(M1296="positive",M1296="equivocal"),"c","d"))))</x:f>
        <x:v>d</x:v>
      </x:c>
      <x:c r="AB1296" s="12" t="str">
        <x:f>IF(OR(M1296="unavailable",O1296="unavailable"),"不可评价",IF(AND(M1296="positive",O1296="positive"),"a",IF(O1296="positive","b",IF(M1296="positive","c","d"))))</x:f>
        <x:v>d</x:v>
      </x:c>
      <x:c r="AC1296" s="12" t="str">
        <x:f>IF(OR(R1296="unavailable",T1296="unavailable"),"不可评价",IF(AND(OR(R1296="positive",R1296="equivocal"),OR(T1296="positive",T1296="equivocal")),"a",IF(OR(T1296="positive",T1296="equivocal"),"b",IF(OR(R1296="positive",R1296="equivocal"),"c","d"))))</x:f>
        <x:v>d</x:v>
      </x:c>
      <x:c r="AD1296" s="12" t="str">
        <x:f>IF(OR(R1296="unavailable",T1296="unavailable"),"不可评价",IF(AND(R1296="positive",T1296="positive"),"a",IF(T1296="positive","b",IF(R1296="positive","c","d"))))</x:f>
        <x:v>d</x:v>
      </x:c>
      <x:c r="AE1296" s="12" t="str">
        <x:f>IF(OR(W1296="unavailable",Y1296="unavailable"),"不可评价",IF(AND(OR(W1296="positive",W1296="equivocal"),OR(Y1296="positive",Y1296="equivocal")),"a",IF(OR(Y1296="positive",Y1296="equivocal"),"b",IF(OR(W1296="positive",W1296="equivocal"),"c","d"))))</x:f>
        <x:v>d</x:v>
      </x:c>
      <x:c r="AF1296" s="12" t="str">
        <x:f>IF(OR(W1296="unavailable",Y1296="unavailable"),"不可评价",IF(AND(W1296="positive",Y1296="positive"),"a",IF(Y1296="positive","b",IF(W1296="positive","c","d"))))</x:f>
        <x:v>d</x:v>
      </x:c>
    </x:row>
    <x:row r="1297" ht="24" customHeight="1">
      <x:c r="A1297" s="12" t="str">
        <x:v>11885</x:v>
      </x:c>
      <x:c r="B1297" s="12" t="str">
        <x:v>8628</x:v>
      </x:c>
      <x:c r="C1297" s="21" t="n">
        <x:v>34398.362974537034</x:v>
      </x:c>
      <x:c r="D1297" s="12" t="n">
        <x:v>18</x:v>
      </x:c>
      <x:c r="E1297" s="12" t="n">
        <x:v>1</x:v>
      </x:c>
      <x:c r="F1297" s="12" t="str">
        <x:v>存在</x:v>
      </x:c>
      <x:c r="G1297" s="12" t="n">
        <x:v>1</x:v>
      </x:c>
      <x:c r="H1297" s="12" t="str">
        <x:v>{'NORM': 100.0, 'SR': 0.0}</x:v>
      </x:c>
      <x:c r="I1297" s="12" t="str">
        <x:v>[('NSR', 100.0), ('NST', 100.0), ('AB', 100.0)]</x:v>
      </x:c>
      <x:c r="J1297" s="12" t="str">
        <x:v>ptbxl_database.csv；ecg_id=11885；scp_codes</x:v>
      </x:c>
      <x:c r="K1297" s="12" t="str">
        <x:v>12sl_statements.csv；ecg_id=11885；statements_ext_snomed</x:v>
      </x:c>
      <x:c r="L1297" s="12"/>
      <x:c r="M1297" s="12" t="str">
        <x:v>negative</x:v>
      </x:c>
      <x:c r="N1297" s="12"/>
      <x:c r="O1297" s="12" t="str">
        <x:v>negative</x:v>
      </x:c>
      <x:c r="P1297" s="12" t="str">
        <x:f>IF(OR(M1297="unavailable",O1297="unavailable"),"不可评价",IF(OR(M1297="equivocal",O1297="equivocal"),"疑似",IF(AND(M1297="positive",O1297="positive"),"a",IF(O1297="positive","b",IF(M1297="positive","c","d")))))</x:f>
        <x:v>d</x:v>
      </x:c>
      <x:c r="Q1297" s="12"/>
      <x:c r="R1297" s="12" t="str">
        <x:v>negative</x:v>
      </x:c>
      <x:c r="S1297" s="12"/>
      <x:c r="T1297" s="12" t="str">
        <x:v>negative</x:v>
      </x:c>
      <x:c r="U1297" s="12" t="str">
        <x:f>IF(OR(R1297="unavailable",T1297="unavailable"),"不可评价",IF(OR(R1297="equivocal",T1297="equivocal"),"疑似",IF(AND(R1297="positive",T1297="positive"),"a",IF(T1297="positive","b",IF(R1297="positive","c","d")))))</x:f>
        <x:v>d</x:v>
      </x:c>
      <x:c r="V1297" s="12"/>
      <x:c r="W1297" s="12" t="str">
        <x:v>negative</x:v>
      </x:c>
      <x:c r="X1297" s="12"/>
      <x:c r="Y1297" s="12" t="str">
        <x:v>negative</x:v>
      </x:c>
      <x:c r="Z1297" s="12" t="str">
        <x:f>IF(OR(W1297="unavailable",Y1297="unavailable"),"不可评价",IF(OR(W1297="equivocal",Y1297="equivocal"),"疑似",IF(AND(W1297="positive",Y1297="positive"),"a",IF(Y1297="positive","b",IF(W1297="positive","c","d")))))</x:f>
        <x:v>d</x:v>
      </x:c>
      <x:c r="AA1297" s="12" t="str">
        <x:f>IF(OR(M1297="unavailable",O1297="unavailable"),"不可评价",IF(AND(OR(M1297="positive",M1297="equivocal"),OR(O1297="positive",O1297="equivocal")),"a",IF(OR(O1297="positive",O1297="equivocal"),"b",IF(OR(M1297="positive",M1297="equivocal"),"c","d"))))</x:f>
        <x:v>d</x:v>
      </x:c>
      <x:c r="AB1297" s="12" t="str">
        <x:f>IF(OR(M1297="unavailable",O1297="unavailable"),"不可评价",IF(AND(M1297="positive",O1297="positive"),"a",IF(O1297="positive","b",IF(M1297="positive","c","d"))))</x:f>
        <x:v>d</x:v>
      </x:c>
      <x:c r="AC1297" s="12" t="str">
        <x:f>IF(OR(R1297="unavailable",T1297="unavailable"),"不可评价",IF(AND(OR(R1297="positive",R1297="equivocal"),OR(T1297="positive",T1297="equivocal")),"a",IF(OR(T1297="positive",T1297="equivocal"),"b",IF(OR(R1297="positive",R1297="equivocal"),"c","d"))))</x:f>
        <x:v>d</x:v>
      </x:c>
      <x:c r="AD1297" s="12" t="str">
        <x:f>IF(OR(R1297="unavailable",T1297="unavailable"),"不可评价",IF(AND(R1297="positive",T1297="positive"),"a",IF(T1297="positive","b",IF(R1297="positive","c","d"))))</x:f>
        <x:v>d</x:v>
      </x:c>
      <x:c r="AE1297" s="12" t="str">
        <x:f>IF(OR(W1297="unavailable",Y1297="unavailable"),"不可评价",IF(AND(OR(W1297="positive",W1297="equivocal"),OR(Y1297="positive",Y1297="equivocal")),"a",IF(OR(Y1297="positive",Y1297="equivocal"),"b",IF(OR(W1297="positive",W1297="equivocal"),"c","d"))))</x:f>
        <x:v>d</x:v>
      </x:c>
      <x:c r="AF1297" s="12" t="str">
        <x:f>IF(OR(W1297="unavailable",Y1297="unavailable"),"不可评价",IF(AND(W1297="positive",Y1297="positive"),"a",IF(Y1297="positive","b",IF(W1297="positive","c","d"))))</x:f>
        <x:v>d</x:v>
      </x:c>
    </x:row>
    <x:row r="1298" ht="39" customHeight="1">
      <x:c r="A1298" s="12" t="str">
        <x:v>11896</x:v>
      </x:c>
      <x:c r="B1298" s="12" t="str">
        <x:v>19461</x:v>
      </x:c>
      <x:c r="C1298" s="21" t="n">
        <x:v>34400.395208333335</x:v>
      </x:c>
      <x:c r="D1298" s="12" t="n">
        <x:v>86</x:v>
      </x:c>
      <x:c r="E1298" s="12" t="n">
        <x:v>1</x:v>
      </x:c>
      <x:c r="F1298" s="12" t="str">
        <x:v>存在</x:v>
      </x:c>
      <x:c r="G1298" s="12" t="n">
        <x:v>1</x:v>
      </x:c>
      <x:c r="H1298" s="12" t="str">
        <x:v>{'IPMI': 100.0, 'SR': 0.0}</x:v>
      </x:c>
      <x:c r="I1298" s="12" t="str">
        <x:v>[('STACH', 100.0), ('SAV', 100.0), ('W3T1', 100.0), ('LVH2', 100.0), ('QRSW-2ST', 100.0), ('AB', 100.0)]</x:v>
      </x:c>
      <x:c r="J1298" s="12" t="str">
        <x:v>ptbxl_database.csv；ecg_id=11896；scp_codes</x:v>
      </x:c>
      <x:c r="K1298" s="12" t="str">
        <x:v>12sl_statements.csv；ecg_id=11896；statements_ext_snomed</x:v>
      </x:c>
      <x:c r="L1298" s="12"/>
      <x:c r="M1298" s="12" t="str">
        <x:v>negative</x:v>
      </x:c>
      <x:c r="N1298" s="12"/>
      <x:c r="O1298" s="12" t="str">
        <x:v>negative</x:v>
      </x:c>
      <x:c r="P1298" s="12" t="str">
        <x:f>IF(OR(M1298="unavailable",O1298="unavailable"),"不可评价",IF(OR(M1298="equivocal",O1298="equivocal"),"疑似",IF(AND(M1298="positive",O1298="positive"),"a",IF(O1298="positive","b",IF(M1298="positive","c","d")))))</x:f>
        <x:v>d</x:v>
      </x:c>
      <x:c r="Q1298" s="12"/>
      <x:c r="R1298" s="12" t="str">
        <x:v>negative</x:v>
      </x:c>
      <x:c r="S1298" s="12"/>
      <x:c r="T1298" s="12" t="str">
        <x:v>negative</x:v>
      </x:c>
      <x:c r="U1298" s="12" t="str">
        <x:f>IF(OR(R1298="unavailable",T1298="unavailable"),"不可评价",IF(OR(R1298="equivocal",T1298="equivocal"),"疑似",IF(AND(R1298="positive",T1298="positive"),"a",IF(T1298="positive","b",IF(R1298="positive","c","d")))))</x:f>
        <x:v>d</x:v>
      </x:c>
      <x:c r="V1298" s="12"/>
      <x:c r="W1298" s="12" t="str">
        <x:v>negative</x:v>
      </x:c>
      <x:c r="X1298" s="12"/>
      <x:c r="Y1298" s="12" t="str">
        <x:v>negative</x:v>
      </x:c>
      <x:c r="Z1298" s="12" t="str">
        <x:f>IF(OR(W1298="unavailable",Y1298="unavailable"),"不可评价",IF(OR(W1298="equivocal",Y1298="equivocal"),"疑似",IF(AND(W1298="positive",Y1298="positive"),"a",IF(Y1298="positive","b",IF(W1298="positive","c","d")))))</x:f>
        <x:v>d</x:v>
      </x:c>
      <x:c r="AA1298" s="12" t="str">
        <x:f>IF(OR(M1298="unavailable",O1298="unavailable"),"不可评价",IF(AND(OR(M1298="positive",M1298="equivocal"),OR(O1298="positive",O1298="equivocal")),"a",IF(OR(O1298="positive",O1298="equivocal"),"b",IF(OR(M1298="positive",M1298="equivocal"),"c","d"))))</x:f>
        <x:v>d</x:v>
      </x:c>
      <x:c r="AB1298" s="12" t="str">
        <x:f>IF(OR(M1298="unavailable",O1298="unavailable"),"不可评价",IF(AND(M1298="positive",O1298="positive"),"a",IF(O1298="positive","b",IF(M1298="positive","c","d"))))</x:f>
        <x:v>d</x:v>
      </x:c>
      <x:c r="AC1298" s="12" t="str">
        <x:f>IF(OR(R1298="unavailable",T1298="unavailable"),"不可评价",IF(AND(OR(R1298="positive",R1298="equivocal"),OR(T1298="positive",T1298="equivocal")),"a",IF(OR(T1298="positive",T1298="equivocal"),"b",IF(OR(R1298="positive",R1298="equivocal"),"c","d"))))</x:f>
        <x:v>d</x:v>
      </x:c>
      <x:c r="AD1298" s="12" t="str">
        <x:f>IF(OR(R1298="unavailable",T1298="unavailable"),"不可评价",IF(AND(R1298="positive",T1298="positive"),"a",IF(T1298="positive","b",IF(R1298="positive","c","d"))))</x:f>
        <x:v>d</x:v>
      </x:c>
      <x:c r="AE1298" s="12" t="str">
        <x:f>IF(OR(W1298="unavailable",Y1298="unavailable"),"不可评价",IF(AND(OR(W1298="positive",W1298="equivocal"),OR(Y1298="positive",Y1298="equivocal")),"a",IF(OR(Y1298="positive",Y1298="equivocal"),"b",IF(OR(W1298="positive",W1298="equivocal"),"c","d"))))</x:f>
        <x:v>d</x:v>
      </x:c>
      <x:c r="AF1298" s="12" t="str">
        <x:f>IF(OR(W1298="unavailable",Y1298="unavailable"),"不可评价",IF(AND(W1298="positive",Y1298="positive"),"a",IF(Y1298="positive","b",IF(W1298="positive","c","d"))))</x:f>
        <x:v>d</x:v>
      </x:c>
    </x:row>
    <x:row r="1299" ht="24" customHeight="1">
      <x:c r="A1299" s="12" t="str">
        <x:v>11899</x:v>
      </x:c>
      <x:c r="B1299" s="12" t="str">
        <x:v>8388</x:v>
      </x:c>
      <x:c r="C1299" s="21" t="n">
        <x:v>34400.72033564815</x:v>
      </x:c>
      <x:c r="D1299" s="12" t="n">
        <x:v>61</x:v>
      </x:c>
      <x:c r="E1299" s="12" t="n">
        <x:v>0</x:v>
      </x:c>
      <x:c r="F1299" s="12" t="str">
        <x:v>未记录</x:v>
      </x:c>
      <x:c r="G1299" s="12" t="n">
        <x:v>0</x:v>
      </x:c>
      <x:c r="H1299" s="12" t="str">
        <x:v>{'IMI': 15.0, 'SR': 0.0}</x:v>
      </x:c>
      <x:c r="I1299" s="12" t="str">
        <x:v>[('NSR', 100.0), ('NML', 100.0)]</x:v>
      </x:c>
      <x:c r="J1299" s="12" t="str">
        <x:v>ptbxl_database.csv；ecg_id=11899；scp_codes</x:v>
      </x:c>
      <x:c r="K1299" s="12" t="str">
        <x:v>12sl_statements.csv；ecg_id=11899；statements_ext_snomed</x:v>
      </x:c>
      <x:c r="L1299" s="12"/>
      <x:c r="M1299" s="12" t="str">
        <x:v>negative</x:v>
      </x:c>
      <x:c r="N1299" s="12"/>
      <x:c r="O1299" s="12" t="str">
        <x:v>negative</x:v>
      </x:c>
      <x:c r="P1299" s="12" t="str">
        <x:f>IF(OR(M1299="unavailable",O1299="unavailable"),"不可评价",IF(OR(M1299="equivocal",O1299="equivocal"),"疑似",IF(AND(M1299="positive",O1299="positive"),"a",IF(O1299="positive","b",IF(M1299="positive","c","d")))))</x:f>
        <x:v>d</x:v>
      </x:c>
      <x:c r="Q1299" s="12"/>
      <x:c r="R1299" s="12" t="str">
        <x:v>negative</x:v>
      </x:c>
      <x:c r="S1299" s="12"/>
      <x:c r="T1299" s="12" t="str">
        <x:v>negative</x:v>
      </x:c>
      <x:c r="U1299" s="12" t="str">
        <x:f>IF(OR(R1299="unavailable",T1299="unavailable"),"不可评价",IF(OR(R1299="equivocal",T1299="equivocal"),"疑似",IF(AND(R1299="positive",T1299="positive"),"a",IF(T1299="positive","b",IF(R1299="positive","c","d")))))</x:f>
        <x:v>d</x:v>
      </x:c>
      <x:c r="V1299" s="12"/>
      <x:c r="W1299" s="12" t="str">
        <x:v>negative</x:v>
      </x:c>
      <x:c r="X1299" s="12"/>
      <x:c r="Y1299" s="12" t="str">
        <x:v>negative</x:v>
      </x:c>
      <x:c r="Z1299" s="12" t="str">
        <x:f>IF(OR(W1299="unavailable",Y1299="unavailable"),"不可评价",IF(OR(W1299="equivocal",Y1299="equivocal"),"疑似",IF(AND(W1299="positive",Y1299="positive"),"a",IF(Y1299="positive","b",IF(W1299="positive","c","d")))))</x:f>
        <x:v>d</x:v>
      </x:c>
      <x:c r="AA1299" s="12" t="str">
        <x:f>IF(OR(M1299="unavailable",O1299="unavailable"),"不可评价",IF(AND(OR(M1299="positive",M1299="equivocal"),OR(O1299="positive",O1299="equivocal")),"a",IF(OR(O1299="positive",O1299="equivocal"),"b",IF(OR(M1299="positive",M1299="equivocal"),"c","d"))))</x:f>
        <x:v>d</x:v>
      </x:c>
      <x:c r="AB1299" s="12" t="str">
        <x:f>IF(OR(M1299="unavailable",O1299="unavailable"),"不可评价",IF(AND(M1299="positive",O1299="positive"),"a",IF(O1299="positive","b",IF(M1299="positive","c","d"))))</x:f>
        <x:v>d</x:v>
      </x:c>
      <x:c r="AC1299" s="12" t="str">
        <x:f>IF(OR(R1299="unavailable",T1299="unavailable"),"不可评价",IF(AND(OR(R1299="positive",R1299="equivocal"),OR(T1299="positive",T1299="equivocal")),"a",IF(OR(T1299="positive",T1299="equivocal"),"b",IF(OR(R1299="positive",R1299="equivocal"),"c","d"))))</x:f>
        <x:v>d</x:v>
      </x:c>
      <x:c r="AD1299" s="12" t="str">
        <x:f>IF(OR(R1299="unavailable",T1299="unavailable"),"不可评价",IF(AND(R1299="positive",T1299="positive"),"a",IF(T1299="positive","b",IF(R1299="positive","c","d"))))</x:f>
        <x:v>d</x:v>
      </x:c>
      <x:c r="AE1299" s="12" t="str">
        <x:f>IF(OR(W1299="unavailable",Y1299="unavailable"),"不可评价",IF(AND(OR(W1299="positive",W1299="equivocal"),OR(Y1299="positive",Y1299="equivocal")),"a",IF(OR(Y1299="positive",Y1299="equivocal"),"b",IF(OR(W1299="positive",W1299="equivocal"),"c","d"))))</x:f>
        <x:v>d</x:v>
      </x:c>
      <x:c r="AF1299" s="12" t="str">
        <x:f>IF(OR(W1299="unavailable",Y1299="unavailable"),"不可评价",IF(AND(W1299="positive",Y1299="positive"),"a",IF(Y1299="positive","b",IF(W1299="positive","c","d"))))</x:f>
        <x:v>d</x:v>
      </x:c>
    </x:row>
    <x:row r="1300" ht="39" customHeight="1">
      <x:c r="A1300" s="12" t="str">
        <x:v>11901</x:v>
      </x:c>
      <x:c r="B1300" s="12" t="str">
        <x:v>19461</x:v>
      </x:c>
      <x:c r="C1300" s="21" t="n">
        <x:v>34401.42712962963</x:v>
      </x:c>
      <x:c r="D1300" s="12" t="n">
        <x:v>86</x:v>
      </x:c>
      <x:c r="E1300" s="12" t="n">
        <x:v>1</x:v>
      </x:c>
      <x:c r="F1300" s="12" t="str">
        <x:v>未记录</x:v>
      </x:c>
      <x:c r="G1300" s="12" t="n">
        <x:v>0</x:v>
      </x:c>
      <x:c r="H1300" s="12" t="str">
        <x:v>{'LVH': 100.0, 'ISC_': 100.0, 'SR': 0.0}</x:v>
      </x:c>
      <x:c r="I1300" s="12" t="str">
        <x:v>[('SBRAD', 100.0), ('LVH2', 100.0), ('QRSW-2ST', 100.0), ('IMI;AU', 50.0), ('AB', 100.0)]</x:v>
      </x:c>
      <x:c r="J1300" s="12" t="str">
        <x:v>ptbxl_database.csv；ecg_id=11901；scp_codes</x:v>
      </x:c>
      <x:c r="K1300" s="12" t="str">
        <x:v>12sl_statements.csv；ecg_id=11901；statements_ext_snomed</x:v>
      </x:c>
      <x:c r="L1300" s="12"/>
      <x:c r="M1300" s="12" t="str">
        <x:v>negative</x:v>
      </x:c>
      <x:c r="N1300" s="12"/>
      <x:c r="O1300" s="12" t="str">
        <x:v>negative</x:v>
      </x:c>
      <x:c r="P1300" s="12" t="str">
        <x:f>IF(OR(M1300="unavailable",O1300="unavailable"),"不可评价",IF(OR(M1300="equivocal",O1300="equivocal"),"疑似",IF(AND(M1300="positive",O1300="positive"),"a",IF(O1300="positive","b",IF(M1300="positive","c","d")))))</x:f>
        <x:v>d</x:v>
      </x:c>
      <x:c r="Q1300" s="12"/>
      <x:c r="R1300" s="12" t="str">
        <x:v>negative</x:v>
      </x:c>
      <x:c r="S1300" s="12"/>
      <x:c r="T1300" s="12" t="str">
        <x:v>negative</x:v>
      </x:c>
      <x:c r="U1300" s="12" t="str">
        <x:f>IF(OR(R1300="unavailable",T1300="unavailable"),"不可评价",IF(OR(R1300="equivocal",T1300="equivocal"),"疑似",IF(AND(R1300="positive",T1300="positive"),"a",IF(T1300="positive","b",IF(R1300="positive","c","d")))))</x:f>
        <x:v>d</x:v>
      </x:c>
      <x:c r="V1300" s="12"/>
      <x:c r="W1300" s="12" t="str">
        <x:v>negative</x:v>
      </x:c>
      <x:c r="X1300" s="12"/>
      <x:c r="Y1300" s="12" t="str">
        <x:v>negative</x:v>
      </x:c>
      <x:c r="Z1300" s="12" t="str">
        <x:f>IF(OR(W1300="unavailable",Y1300="unavailable"),"不可评价",IF(OR(W1300="equivocal",Y1300="equivocal"),"疑似",IF(AND(W1300="positive",Y1300="positive"),"a",IF(Y1300="positive","b",IF(W1300="positive","c","d")))))</x:f>
        <x:v>d</x:v>
      </x:c>
      <x:c r="AA1300" s="12" t="str">
        <x:f>IF(OR(M1300="unavailable",O1300="unavailable"),"不可评价",IF(AND(OR(M1300="positive",M1300="equivocal"),OR(O1300="positive",O1300="equivocal")),"a",IF(OR(O1300="positive",O1300="equivocal"),"b",IF(OR(M1300="positive",M1300="equivocal"),"c","d"))))</x:f>
        <x:v>d</x:v>
      </x:c>
      <x:c r="AB1300" s="12" t="str">
        <x:f>IF(OR(M1300="unavailable",O1300="unavailable"),"不可评价",IF(AND(M1300="positive",O1300="positive"),"a",IF(O1300="positive","b",IF(M1300="positive","c","d"))))</x:f>
        <x:v>d</x:v>
      </x:c>
      <x:c r="AC1300" s="12" t="str">
        <x:f>IF(OR(R1300="unavailable",T1300="unavailable"),"不可评价",IF(AND(OR(R1300="positive",R1300="equivocal"),OR(T1300="positive",T1300="equivocal")),"a",IF(OR(T1300="positive",T1300="equivocal"),"b",IF(OR(R1300="positive",R1300="equivocal"),"c","d"))))</x:f>
        <x:v>d</x:v>
      </x:c>
      <x:c r="AD1300" s="12" t="str">
        <x:f>IF(OR(R1300="unavailable",T1300="unavailable"),"不可评价",IF(AND(R1300="positive",T1300="positive"),"a",IF(T1300="positive","b",IF(R1300="positive","c","d"))))</x:f>
        <x:v>d</x:v>
      </x:c>
      <x:c r="AE1300" s="12" t="str">
        <x:f>IF(OR(W1300="unavailable",Y1300="unavailable"),"不可评价",IF(AND(OR(W1300="positive",W1300="equivocal"),OR(Y1300="positive",Y1300="equivocal")),"a",IF(OR(Y1300="positive",Y1300="equivocal"),"b",IF(OR(W1300="positive",W1300="equivocal"),"c","d"))))</x:f>
        <x:v>d</x:v>
      </x:c>
      <x:c r="AF1300" s="12" t="str">
        <x:f>IF(OR(W1300="unavailable",Y1300="unavailable"),"不可评价",IF(AND(W1300="positive",Y1300="positive"),"a",IF(Y1300="positive","b",IF(W1300="positive","c","d"))))</x:f>
        <x:v>d</x:v>
      </x:c>
    </x:row>
    <x:row r="1301" ht="24" customHeight="1">
      <x:c r="A1301" s="12" t="str">
        <x:v>11916</x:v>
      </x:c>
      <x:c r="B1301" s="12" t="str">
        <x:v>9715</x:v>
      </x:c>
      <x:c r="C1301" s="21" t="n">
        <x:v>34406.58262731481</x:v>
      </x:c>
      <x:c r="D1301" s="12" t="n">
        <x:v>55</x:v>
      </x:c>
      <x:c r="E1301" s="12" t="n">
        <x:v>1</x:v>
      </x:c>
      <x:c r="F1301" s="12" t="str">
        <x:v>未记录</x:v>
      </x:c>
      <x:c r="G1301" s="12" t="n">
        <x:v>1</x:v>
      </x:c>
      <x:c r="H1301" s="12" t="str">
        <x:v>{'LNGQT': 100.0, 'SR': 0.0}</x:v>
      </x:c>
      <x:c r="I1301" s="12" t="str">
        <x:v>[('NSR', 100.0), ('RAE', 100.0), ('LNGQT', 100.0), ('AB', 100.0)]</x:v>
      </x:c>
      <x:c r="J1301" s="12" t="str">
        <x:v>ptbxl_database.csv；ecg_id=11916；scp_codes</x:v>
      </x:c>
      <x:c r="K1301" s="12" t="str">
        <x:v>12sl_statements.csv；ecg_id=11916；statements_ext_snomed</x:v>
      </x:c>
      <x:c r="L1301" s="12"/>
      <x:c r="M1301" s="12" t="str">
        <x:v>negative</x:v>
      </x:c>
      <x:c r="N1301" s="12"/>
      <x:c r="O1301" s="12" t="str">
        <x:v>negative</x:v>
      </x:c>
      <x:c r="P1301" s="12" t="str">
        <x:f>IF(OR(M1301="unavailable",O1301="unavailable"),"不可评价",IF(OR(M1301="equivocal",O1301="equivocal"),"疑似",IF(AND(M1301="positive",O1301="positive"),"a",IF(O1301="positive","b",IF(M1301="positive","c","d")))))</x:f>
        <x:v>d</x:v>
      </x:c>
      <x:c r="Q1301" s="12"/>
      <x:c r="R1301" s="12" t="str">
        <x:v>negative</x:v>
      </x:c>
      <x:c r="S1301" s="12"/>
      <x:c r="T1301" s="12" t="str">
        <x:v>negative</x:v>
      </x:c>
      <x:c r="U1301" s="12" t="str">
        <x:f>IF(OR(R1301="unavailable",T1301="unavailable"),"不可评价",IF(OR(R1301="equivocal",T1301="equivocal"),"疑似",IF(AND(R1301="positive",T1301="positive"),"a",IF(T1301="positive","b",IF(R1301="positive","c","d")))))</x:f>
        <x:v>d</x:v>
      </x:c>
      <x:c r="V1301" s="12"/>
      <x:c r="W1301" s="12" t="str">
        <x:v>negative</x:v>
      </x:c>
      <x:c r="X1301" s="12"/>
      <x:c r="Y1301" s="12" t="str">
        <x:v>negative</x:v>
      </x:c>
      <x:c r="Z1301" s="12" t="str">
        <x:f>IF(OR(W1301="unavailable",Y1301="unavailable"),"不可评价",IF(OR(W1301="equivocal",Y1301="equivocal"),"疑似",IF(AND(W1301="positive",Y1301="positive"),"a",IF(Y1301="positive","b",IF(W1301="positive","c","d")))))</x:f>
        <x:v>d</x:v>
      </x:c>
      <x:c r="AA1301" s="12" t="str">
        <x:f>IF(OR(M1301="unavailable",O1301="unavailable"),"不可评价",IF(AND(OR(M1301="positive",M1301="equivocal"),OR(O1301="positive",O1301="equivocal")),"a",IF(OR(O1301="positive",O1301="equivocal"),"b",IF(OR(M1301="positive",M1301="equivocal"),"c","d"))))</x:f>
        <x:v>d</x:v>
      </x:c>
      <x:c r="AB1301" s="12" t="str">
        <x:f>IF(OR(M1301="unavailable",O1301="unavailable"),"不可评价",IF(AND(M1301="positive",O1301="positive"),"a",IF(O1301="positive","b",IF(M1301="positive","c","d"))))</x:f>
        <x:v>d</x:v>
      </x:c>
      <x:c r="AC1301" s="12" t="str">
        <x:f>IF(OR(R1301="unavailable",T1301="unavailable"),"不可评价",IF(AND(OR(R1301="positive",R1301="equivocal"),OR(T1301="positive",T1301="equivocal")),"a",IF(OR(T1301="positive",T1301="equivocal"),"b",IF(OR(R1301="positive",R1301="equivocal"),"c","d"))))</x:f>
        <x:v>d</x:v>
      </x:c>
      <x:c r="AD1301" s="12" t="str">
        <x:f>IF(OR(R1301="unavailable",T1301="unavailable"),"不可评价",IF(AND(R1301="positive",T1301="positive"),"a",IF(T1301="positive","b",IF(R1301="positive","c","d"))))</x:f>
        <x:v>d</x:v>
      </x:c>
      <x:c r="AE1301" s="12" t="str">
        <x:f>IF(OR(W1301="unavailable",Y1301="unavailable"),"不可评价",IF(AND(OR(W1301="positive",W1301="equivocal"),OR(Y1301="positive",Y1301="equivocal")),"a",IF(OR(Y1301="positive",Y1301="equivocal"),"b",IF(OR(W1301="positive",W1301="equivocal"),"c","d"))))</x:f>
        <x:v>d</x:v>
      </x:c>
      <x:c r="AF1301" s="12" t="str">
        <x:f>IF(OR(W1301="unavailable",Y1301="unavailable"),"不可评价",IF(AND(W1301="positive",Y1301="positive"),"a",IF(Y1301="positive","b",IF(W1301="positive","c","d"))))</x:f>
        <x:v>d</x:v>
      </x:c>
    </x:row>
    <x:row r="1302" ht="24" customHeight="1">
      <x:c r="A1302" s="12" t="str">
        <x:v>11932</x:v>
      </x:c>
      <x:c r="B1302" s="12" t="str">
        <x:v>15735</x:v>
      </x:c>
      <x:c r="C1302" s="21" t="n">
        <x:v>34412.336122685185</x:v>
      </x:c>
      <x:c r="D1302" s="12" t="n">
        <x:v>39</x:v>
      </x:c>
      <x:c r="E1302" s="12" t="n">
        <x:v>0</x:v>
      </x:c>
      <x:c r="F1302" s="12" t="str">
        <x:v>未记录</x:v>
      </x:c>
      <x:c r="G1302" s="12" t="n">
        <x:v>1</x:v>
      </x:c>
      <x:c r="H1302" s="12" t="str">
        <x:v>{'NORM': 100.0, 'LAFB': 50.0, 'SR': 0.0}</x:v>
      </x:c>
      <x:c r="I1302" s="12" t="str">
        <x:v>[('SBRAD', 100.0), ('ABR', 100.0)]</x:v>
      </x:c>
      <x:c r="J1302" s="12" t="str">
        <x:v>ptbxl_database.csv；ecg_id=11932；scp_codes</x:v>
      </x:c>
      <x:c r="K1302" s="12" t="str">
        <x:v>12sl_statements.csv；ecg_id=11932；statements_ext_snomed</x:v>
      </x:c>
      <x:c r="L1302" s="12"/>
      <x:c r="M1302" s="12" t="str">
        <x:v>negative</x:v>
      </x:c>
      <x:c r="N1302" s="12"/>
      <x:c r="O1302" s="12" t="str">
        <x:v>negative</x:v>
      </x:c>
      <x:c r="P1302" s="12" t="str">
        <x:f>IF(OR(M1302="unavailable",O1302="unavailable"),"不可评价",IF(OR(M1302="equivocal",O1302="equivocal"),"疑似",IF(AND(M1302="positive",O1302="positive"),"a",IF(O1302="positive","b",IF(M1302="positive","c","d")))))</x:f>
        <x:v>d</x:v>
      </x:c>
      <x:c r="Q1302" s="12"/>
      <x:c r="R1302" s="12" t="str">
        <x:v>negative</x:v>
      </x:c>
      <x:c r="S1302" s="12"/>
      <x:c r="T1302" s="12" t="str">
        <x:v>negative</x:v>
      </x:c>
      <x:c r="U1302" s="12" t="str">
        <x:f>IF(OR(R1302="unavailable",T1302="unavailable"),"不可评价",IF(OR(R1302="equivocal",T1302="equivocal"),"疑似",IF(AND(R1302="positive",T1302="positive"),"a",IF(T1302="positive","b",IF(R1302="positive","c","d")))))</x:f>
        <x:v>d</x:v>
      </x:c>
      <x:c r="V1302" s="12"/>
      <x:c r="W1302" s="12" t="str">
        <x:v>negative</x:v>
      </x:c>
      <x:c r="X1302" s="12"/>
      <x:c r="Y1302" s="12" t="str">
        <x:v>negative</x:v>
      </x:c>
      <x:c r="Z1302" s="12" t="str">
        <x:f>IF(OR(W1302="unavailable",Y1302="unavailable"),"不可评价",IF(OR(W1302="equivocal",Y1302="equivocal"),"疑似",IF(AND(W1302="positive",Y1302="positive"),"a",IF(Y1302="positive","b",IF(W1302="positive","c","d")))))</x:f>
        <x:v>d</x:v>
      </x:c>
      <x:c r="AA1302" s="12" t="str">
        <x:f>IF(OR(M1302="unavailable",O1302="unavailable"),"不可评价",IF(AND(OR(M1302="positive",M1302="equivocal"),OR(O1302="positive",O1302="equivocal")),"a",IF(OR(O1302="positive",O1302="equivocal"),"b",IF(OR(M1302="positive",M1302="equivocal"),"c","d"))))</x:f>
        <x:v>d</x:v>
      </x:c>
      <x:c r="AB1302" s="12" t="str">
        <x:f>IF(OR(M1302="unavailable",O1302="unavailable"),"不可评价",IF(AND(M1302="positive",O1302="positive"),"a",IF(O1302="positive","b",IF(M1302="positive","c","d"))))</x:f>
        <x:v>d</x:v>
      </x:c>
      <x:c r="AC1302" s="12" t="str">
        <x:f>IF(OR(R1302="unavailable",T1302="unavailable"),"不可评价",IF(AND(OR(R1302="positive",R1302="equivocal"),OR(T1302="positive",T1302="equivocal")),"a",IF(OR(T1302="positive",T1302="equivocal"),"b",IF(OR(R1302="positive",R1302="equivocal"),"c","d"))))</x:f>
        <x:v>d</x:v>
      </x:c>
      <x:c r="AD1302" s="12" t="str">
        <x:f>IF(OR(R1302="unavailable",T1302="unavailable"),"不可评价",IF(AND(R1302="positive",T1302="positive"),"a",IF(T1302="positive","b",IF(R1302="positive","c","d"))))</x:f>
        <x:v>d</x:v>
      </x:c>
      <x:c r="AE1302" s="12" t="str">
        <x:f>IF(OR(W1302="unavailable",Y1302="unavailable"),"不可评价",IF(AND(OR(W1302="positive",W1302="equivocal"),OR(Y1302="positive",Y1302="equivocal")),"a",IF(OR(Y1302="positive",Y1302="equivocal"),"b",IF(OR(W1302="positive",W1302="equivocal"),"c","d"))))</x:f>
        <x:v>d</x:v>
      </x:c>
      <x:c r="AF1302" s="12" t="str">
        <x:f>IF(OR(W1302="unavailable",Y1302="unavailable"),"不可评价",IF(AND(W1302="positive",Y1302="positive"),"a",IF(Y1302="positive","b",IF(W1302="positive","c","d"))))</x:f>
        <x:v>d</x:v>
      </x:c>
    </x:row>
    <x:row r="1303" ht="24" customHeight="1">
      <x:c r="A1303" s="12" t="str">
        <x:v>11933</x:v>
      </x:c>
      <x:c r="B1303" s="12" t="str">
        <x:v>21446</x:v>
      </x:c>
      <x:c r="C1303" s="21" t="n">
        <x:v>34412.37092592593</x:v>
      </x:c>
      <x:c r="D1303" s="12" t="n">
        <x:v>67</x:v>
      </x:c>
      <x:c r="E1303" s="12" t="n">
        <x:v>0</x:v>
      </x:c>
      <x:c r="F1303" s="12" t="str">
        <x:v>未记录</x:v>
      </x:c>
      <x:c r="G1303" s="12" t="n">
        <x:v>1</x:v>
      </x:c>
      <x:c r="H1303" s="12" t="str">
        <x:v>{'NORM': 100.0, 'SR': 0.0}</x:v>
      </x:c>
      <x:c r="I1303" s="12" t="str">
        <x:v>[('NSR', 100.0), ('NML', 100.0)]</x:v>
      </x:c>
      <x:c r="J1303" s="12" t="str">
        <x:v>ptbxl_database.csv；ecg_id=11933；scp_codes</x:v>
      </x:c>
      <x:c r="K1303" s="12" t="str">
        <x:v>12sl_statements.csv；ecg_id=11933；statements_ext_snomed</x:v>
      </x:c>
      <x:c r="L1303" s="12"/>
      <x:c r="M1303" s="12" t="str">
        <x:v>negative</x:v>
      </x:c>
      <x:c r="N1303" s="12"/>
      <x:c r="O1303" s="12" t="str">
        <x:v>negative</x:v>
      </x:c>
      <x:c r="P1303" s="12" t="str">
        <x:f>IF(OR(M1303="unavailable",O1303="unavailable"),"不可评价",IF(OR(M1303="equivocal",O1303="equivocal"),"疑似",IF(AND(M1303="positive",O1303="positive"),"a",IF(O1303="positive","b",IF(M1303="positive","c","d")))))</x:f>
        <x:v>d</x:v>
      </x:c>
      <x:c r="Q1303" s="12"/>
      <x:c r="R1303" s="12" t="str">
        <x:v>negative</x:v>
      </x:c>
      <x:c r="S1303" s="12"/>
      <x:c r="T1303" s="12" t="str">
        <x:v>negative</x:v>
      </x:c>
      <x:c r="U1303" s="12" t="str">
        <x:f>IF(OR(R1303="unavailable",T1303="unavailable"),"不可评价",IF(OR(R1303="equivocal",T1303="equivocal"),"疑似",IF(AND(R1303="positive",T1303="positive"),"a",IF(T1303="positive","b",IF(R1303="positive","c","d")))))</x:f>
        <x:v>d</x:v>
      </x:c>
      <x:c r="V1303" s="12"/>
      <x:c r="W1303" s="12" t="str">
        <x:v>negative</x:v>
      </x:c>
      <x:c r="X1303" s="12"/>
      <x:c r="Y1303" s="12" t="str">
        <x:v>negative</x:v>
      </x:c>
      <x:c r="Z1303" s="12" t="str">
        <x:f>IF(OR(W1303="unavailable",Y1303="unavailable"),"不可评价",IF(OR(W1303="equivocal",Y1303="equivocal"),"疑似",IF(AND(W1303="positive",Y1303="positive"),"a",IF(Y1303="positive","b",IF(W1303="positive","c","d")))))</x:f>
        <x:v>d</x:v>
      </x:c>
      <x:c r="AA1303" s="12" t="str">
        <x:f>IF(OR(M1303="unavailable",O1303="unavailable"),"不可评价",IF(AND(OR(M1303="positive",M1303="equivocal"),OR(O1303="positive",O1303="equivocal")),"a",IF(OR(O1303="positive",O1303="equivocal"),"b",IF(OR(M1303="positive",M1303="equivocal"),"c","d"))))</x:f>
        <x:v>d</x:v>
      </x:c>
      <x:c r="AB1303" s="12" t="str">
        <x:f>IF(OR(M1303="unavailable",O1303="unavailable"),"不可评价",IF(AND(M1303="positive",O1303="positive"),"a",IF(O1303="positive","b",IF(M1303="positive","c","d"))))</x:f>
        <x:v>d</x:v>
      </x:c>
      <x:c r="AC1303" s="12" t="str">
        <x:f>IF(OR(R1303="unavailable",T1303="unavailable"),"不可评价",IF(AND(OR(R1303="positive",R1303="equivocal"),OR(T1303="positive",T1303="equivocal")),"a",IF(OR(T1303="positive",T1303="equivocal"),"b",IF(OR(R1303="positive",R1303="equivocal"),"c","d"))))</x:f>
        <x:v>d</x:v>
      </x:c>
      <x:c r="AD1303" s="12" t="str">
        <x:f>IF(OR(R1303="unavailable",T1303="unavailable"),"不可评价",IF(AND(R1303="positive",T1303="positive"),"a",IF(T1303="positive","b",IF(R1303="positive","c","d"))))</x:f>
        <x:v>d</x:v>
      </x:c>
      <x:c r="AE1303" s="12" t="str">
        <x:f>IF(OR(W1303="unavailable",Y1303="unavailable"),"不可评价",IF(AND(OR(W1303="positive",W1303="equivocal"),OR(Y1303="positive",Y1303="equivocal")),"a",IF(OR(Y1303="positive",Y1303="equivocal"),"b",IF(OR(W1303="positive",W1303="equivocal"),"c","d"))))</x:f>
        <x:v>d</x:v>
      </x:c>
      <x:c r="AF1303" s="12" t="str">
        <x:f>IF(OR(W1303="unavailable",Y1303="unavailable"),"不可评价",IF(AND(W1303="positive",Y1303="positive"),"a",IF(Y1303="positive","b",IF(W1303="positive","c","d"))))</x:f>
        <x:v>d</x:v>
      </x:c>
    </x:row>
    <x:row r="1304" ht="24" customHeight="1">
      <x:c r="A1304" s="12" t="str">
        <x:v>11934</x:v>
      </x:c>
      <x:c r="B1304" s="12" t="str">
        <x:v>21446</x:v>
      </x:c>
      <x:c r="C1304" s="21" t="n">
        <x:v>34412.373877314814</x:v>
      </x:c>
      <x:c r="D1304" s="12" t="n">
        <x:v>67</x:v>
      </x:c>
      <x:c r="E1304" s="12" t="n">
        <x:v>0</x:v>
      </x:c>
      <x:c r="F1304" s="12" t="str">
        <x:v>存在</x:v>
      </x:c>
      <x:c r="G1304" s="12" t="n">
        <x:v>0</x:v>
      </x:c>
      <x:c r="H1304" s="12" t="str">
        <x:v>{'NORM': 100.0, 'SR': 0.0}</x:v>
      </x:c>
      <x:c r="I1304" s="12" t="str">
        <x:v>[('NSR', 100.0), ('NML', 100.0)]</x:v>
      </x:c>
      <x:c r="J1304" s="12" t="str">
        <x:v>ptbxl_database.csv；ecg_id=11934；scp_codes</x:v>
      </x:c>
      <x:c r="K1304" s="12" t="str">
        <x:v>12sl_statements.csv；ecg_id=11934；statements_ext_snomed</x:v>
      </x:c>
      <x:c r="L1304" s="12"/>
      <x:c r="M1304" s="12" t="str">
        <x:v>negative</x:v>
      </x:c>
      <x:c r="N1304" s="12"/>
      <x:c r="O1304" s="12" t="str">
        <x:v>negative</x:v>
      </x:c>
      <x:c r="P1304" s="12" t="str">
        <x:f>IF(OR(M1304="unavailable",O1304="unavailable"),"不可评价",IF(OR(M1304="equivocal",O1304="equivocal"),"疑似",IF(AND(M1304="positive",O1304="positive"),"a",IF(O1304="positive","b",IF(M1304="positive","c","d")))))</x:f>
        <x:v>d</x:v>
      </x:c>
      <x:c r="Q1304" s="12"/>
      <x:c r="R1304" s="12" t="str">
        <x:v>negative</x:v>
      </x:c>
      <x:c r="S1304" s="12"/>
      <x:c r="T1304" s="12" t="str">
        <x:v>negative</x:v>
      </x:c>
      <x:c r="U1304" s="12" t="str">
        <x:f>IF(OR(R1304="unavailable",T1304="unavailable"),"不可评价",IF(OR(R1304="equivocal",T1304="equivocal"),"疑似",IF(AND(R1304="positive",T1304="positive"),"a",IF(T1304="positive","b",IF(R1304="positive","c","d")))))</x:f>
        <x:v>d</x:v>
      </x:c>
      <x:c r="V1304" s="12"/>
      <x:c r="W1304" s="12" t="str">
        <x:v>negative</x:v>
      </x:c>
      <x:c r="X1304" s="12"/>
      <x:c r="Y1304" s="12" t="str">
        <x:v>negative</x:v>
      </x:c>
      <x:c r="Z1304" s="12" t="str">
        <x:f>IF(OR(W1304="unavailable",Y1304="unavailable"),"不可评价",IF(OR(W1304="equivocal",Y1304="equivocal"),"疑似",IF(AND(W1304="positive",Y1304="positive"),"a",IF(Y1304="positive","b",IF(W1304="positive","c","d")))))</x:f>
        <x:v>d</x:v>
      </x:c>
      <x:c r="AA1304" s="12" t="str">
        <x:f>IF(OR(M1304="unavailable",O1304="unavailable"),"不可评价",IF(AND(OR(M1304="positive",M1304="equivocal"),OR(O1304="positive",O1304="equivocal")),"a",IF(OR(O1304="positive",O1304="equivocal"),"b",IF(OR(M1304="positive",M1304="equivocal"),"c","d"))))</x:f>
        <x:v>d</x:v>
      </x:c>
      <x:c r="AB1304" s="12" t="str">
        <x:f>IF(OR(M1304="unavailable",O1304="unavailable"),"不可评价",IF(AND(M1304="positive",O1304="positive"),"a",IF(O1304="positive","b",IF(M1304="positive","c","d"))))</x:f>
        <x:v>d</x:v>
      </x:c>
      <x:c r="AC1304" s="12" t="str">
        <x:f>IF(OR(R1304="unavailable",T1304="unavailable"),"不可评价",IF(AND(OR(R1304="positive",R1304="equivocal"),OR(T1304="positive",T1304="equivocal")),"a",IF(OR(T1304="positive",T1304="equivocal"),"b",IF(OR(R1304="positive",R1304="equivocal"),"c","d"))))</x:f>
        <x:v>d</x:v>
      </x:c>
      <x:c r="AD1304" s="12" t="str">
        <x:f>IF(OR(R1304="unavailable",T1304="unavailable"),"不可评价",IF(AND(R1304="positive",T1304="positive"),"a",IF(T1304="positive","b",IF(R1304="positive","c","d"))))</x:f>
        <x:v>d</x:v>
      </x:c>
      <x:c r="AE1304" s="12" t="str">
        <x:f>IF(OR(W1304="unavailable",Y1304="unavailable"),"不可评价",IF(AND(OR(W1304="positive",W1304="equivocal"),OR(Y1304="positive",Y1304="equivocal")),"a",IF(OR(Y1304="positive",Y1304="equivocal"),"b",IF(OR(W1304="positive",W1304="equivocal"),"c","d"))))</x:f>
        <x:v>d</x:v>
      </x:c>
      <x:c r="AF1304" s="12" t="str">
        <x:f>IF(OR(W1304="unavailable",Y1304="unavailable"),"不可评价",IF(AND(W1304="positive",Y1304="positive"),"a",IF(Y1304="positive","b",IF(W1304="positive","c","d"))))</x:f>
        <x:v>d</x:v>
      </x:c>
    </x:row>
    <x:row r="1305" ht="24" customHeight="1">
      <x:c r="A1305" s="12" t="str">
        <x:v>11937</x:v>
      </x:c>
      <x:c r="B1305" s="12" t="str">
        <x:v>793</x:v>
      </x:c>
      <x:c r="C1305" s="21" t="n">
        <x:v>34415.70655092593</x:v>
      </x:c>
      <x:c r="D1305" s="12" t="n">
        <x:v>300</x:v>
      </x:c>
      <x:c r="E1305" s="12" t="n">
        <x:v>1</x:v>
      </x:c>
      <x:c r="F1305" s="12" t="str">
        <x:v>未记录</x:v>
      </x:c>
      <x:c r="G1305" s="12" t="n">
        <x:v>1</x:v>
      </x:c>
      <x:c r="H1305" s="12" t="str">
        <x:v>{'ASMI': 35.0, 'NDT': 100.0, 'LAFB': 100.0, 'INVT': 0.0, 'SR': 0.0}</x:v>
      </x:c>
      <x:c r="I1305" s="12" t="str">
        <x:v>[('NSR', 100.0), ('AFB', 100.0), ('SMI;AU', 100.0), ('LT', 100.0), ('AB', 100.0)]</x:v>
      </x:c>
      <x:c r="J1305" s="12" t="str">
        <x:v>ptbxl_database.csv；ecg_id=11937；scp_codes</x:v>
      </x:c>
      <x:c r="K1305" s="12" t="str">
        <x:v>12sl_statements.csv；ecg_id=11937；statements_ext_snomed</x:v>
      </x:c>
      <x:c r="L1305" s="12"/>
      <x:c r="M1305" s="12" t="str">
        <x:v>negative</x:v>
      </x:c>
      <x:c r="N1305" s="12"/>
      <x:c r="O1305" s="12" t="str">
        <x:v>negative</x:v>
      </x:c>
      <x:c r="P1305" s="12" t="str">
        <x:f>IF(OR(M1305="unavailable",O1305="unavailable"),"不可评价",IF(OR(M1305="equivocal",O1305="equivocal"),"疑似",IF(AND(M1305="positive",O1305="positive"),"a",IF(O1305="positive","b",IF(M1305="positive","c","d")))))</x:f>
        <x:v>d</x:v>
      </x:c>
      <x:c r="Q1305" s="12"/>
      <x:c r="R1305" s="12" t="str">
        <x:v>negative</x:v>
      </x:c>
      <x:c r="S1305" s="12"/>
      <x:c r="T1305" s="12" t="str">
        <x:v>negative</x:v>
      </x:c>
      <x:c r="U1305" s="12" t="str">
        <x:f>IF(OR(R1305="unavailable",T1305="unavailable"),"不可评价",IF(OR(R1305="equivocal",T1305="equivocal"),"疑似",IF(AND(R1305="positive",T1305="positive"),"a",IF(T1305="positive","b",IF(R1305="positive","c","d")))))</x:f>
        <x:v>d</x:v>
      </x:c>
      <x:c r="V1305" s="12"/>
      <x:c r="W1305" s="12" t="str">
        <x:v>negative</x:v>
      </x:c>
      <x:c r="X1305" s="12"/>
      <x:c r="Y1305" s="12" t="str">
        <x:v>negative</x:v>
      </x:c>
      <x:c r="Z1305" s="12" t="str">
        <x:f>IF(OR(W1305="unavailable",Y1305="unavailable"),"不可评价",IF(OR(W1305="equivocal",Y1305="equivocal"),"疑似",IF(AND(W1305="positive",Y1305="positive"),"a",IF(Y1305="positive","b",IF(W1305="positive","c","d")))))</x:f>
        <x:v>d</x:v>
      </x:c>
      <x:c r="AA1305" s="12" t="str">
        <x:f>IF(OR(M1305="unavailable",O1305="unavailable"),"不可评价",IF(AND(OR(M1305="positive",M1305="equivocal"),OR(O1305="positive",O1305="equivocal")),"a",IF(OR(O1305="positive",O1305="equivocal"),"b",IF(OR(M1305="positive",M1305="equivocal"),"c","d"))))</x:f>
        <x:v>d</x:v>
      </x:c>
      <x:c r="AB1305" s="12" t="str">
        <x:f>IF(OR(M1305="unavailable",O1305="unavailable"),"不可评价",IF(AND(M1305="positive",O1305="positive"),"a",IF(O1305="positive","b",IF(M1305="positive","c","d"))))</x:f>
        <x:v>d</x:v>
      </x:c>
      <x:c r="AC1305" s="12" t="str">
        <x:f>IF(OR(R1305="unavailable",T1305="unavailable"),"不可评价",IF(AND(OR(R1305="positive",R1305="equivocal"),OR(T1305="positive",T1305="equivocal")),"a",IF(OR(T1305="positive",T1305="equivocal"),"b",IF(OR(R1305="positive",R1305="equivocal"),"c","d"))))</x:f>
        <x:v>d</x:v>
      </x:c>
      <x:c r="AD1305" s="12" t="str">
        <x:f>IF(OR(R1305="unavailable",T1305="unavailable"),"不可评价",IF(AND(R1305="positive",T1305="positive"),"a",IF(T1305="positive","b",IF(R1305="positive","c","d"))))</x:f>
        <x:v>d</x:v>
      </x:c>
      <x:c r="AE1305" s="12" t="str">
        <x:f>IF(OR(W1305="unavailable",Y1305="unavailable"),"不可评价",IF(AND(OR(W1305="positive",W1305="equivocal"),OR(Y1305="positive",Y1305="equivocal")),"a",IF(OR(Y1305="positive",Y1305="equivocal"),"b",IF(OR(W1305="positive",W1305="equivocal"),"c","d"))))</x:f>
        <x:v>d</x:v>
      </x:c>
      <x:c r="AF1305" s="12" t="str">
        <x:f>IF(OR(W1305="unavailable",Y1305="unavailable"),"不可评价",IF(AND(W1305="positive",Y1305="positive"),"a",IF(Y1305="positive","b",IF(W1305="positive","c","d"))))</x:f>
        <x:v>d</x:v>
      </x:c>
    </x:row>
    <x:row r="1306" ht="24" customHeight="1">
      <x:c r="A1306" s="12" t="str">
        <x:v>11956</x:v>
      </x:c>
      <x:c r="B1306" s="12" t="str">
        <x:v>17691</x:v>
      </x:c>
      <x:c r="C1306" s="21" t="n">
        <x:v>34431.5687962963</x:v>
      </x:c>
      <x:c r="D1306" s="12" t="n">
        <x:v>70</x:v>
      </x:c>
      <x:c r="E1306" s="12" t="n">
        <x:v>0</x:v>
      </x:c>
      <x:c r="F1306" s="12" t="str">
        <x:v>存在</x:v>
      </x:c>
      <x:c r="G1306" s="12" t="n">
        <x:v>1</x:v>
      </x:c>
      <x:c r="H1306" s="12" t="str">
        <x:v>{'NORM': 100.0, 'SR': 0.0}</x:v>
      </x:c>
      <x:c r="I1306" s="12" t="str">
        <x:v>[('NSR', 100.0), ('NML', 100.0)]</x:v>
      </x:c>
      <x:c r="J1306" s="12" t="str">
        <x:v>ptbxl_database.csv；ecg_id=11956；scp_codes</x:v>
      </x:c>
      <x:c r="K1306" s="12" t="str">
        <x:v>12sl_statements.csv；ecg_id=11956；statements_ext_snomed</x:v>
      </x:c>
      <x:c r="L1306" s="12"/>
      <x:c r="M1306" s="12" t="str">
        <x:v>negative</x:v>
      </x:c>
      <x:c r="N1306" s="12"/>
      <x:c r="O1306" s="12" t="str">
        <x:v>negative</x:v>
      </x:c>
      <x:c r="P1306" s="12" t="str">
        <x:f>IF(OR(M1306="unavailable",O1306="unavailable"),"不可评价",IF(OR(M1306="equivocal",O1306="equivocal"),"疑似",IF(AND(M1306="positive",O1306="positive"),"a",IF(O1306="positive","b",IF(M1306="positive","c","d")))))</x:f>
        <x:v>d</x:v>
      </x:c>
      <x:c r="Q1306" s="12"/>
      <x:c r="R1306" s="12" t="str">
        <x:v>negative</x:v>
      </x:c>
      <x:c r="S1306" s="12"/>
      <x:c r="T1306" s="12" t="str">
        <x:v>negative</x:v>
      </x:c>
      <x:c r="U1306" s="12" t="str">
        <x:f>IF(OR(R1306="unavailable",T1306="unavailable"),"不可评价",IF(OR(R1306="equivocal",T1306="equivocal"),"疑似",IF(AND(R1306="positive",T1306="positive"),"a",IF(T1306="positive","b",IF(R1306="positive","c","d")))))</x:f>
        <x:v>d</x:v>
      </x:c>
      <x:c r="V1306" s="12"/>
      <x:c r="W1306" s="12" t="str">
        <x:v>negative</x:v>
      </x:c>
      <x:c r="X1306" s="12"/>
      <x:c r="Y1306" s="12" t="str">
        <x:v>negative</x:v>
      </x:c>
      <x:c r="Z1306" s="12" t="str">
        <x:f>IF(OR(W1306="unavailable",Y1306="unavailable"),"不可评价",IF(OR(W1306="equivocal",Y1306="equivocal"),"疑似",IF(AND(W1306="positive",Y1306="positive"),"a",IF(Y1306="positive","b",IF(W1306="positive","c","d")))))</x:f>
        <x:v>d</x:v>
      </x:c>
      <x:c r="AA1306" s="12" t="str">
        <x:f>IF(OR(M1306="unavailable",O1306="unavailable"),"不可评价",IF(AND(OR(M1306="positive",M1306="equivocal"),OR(O1306="positive",O1306="equivocal")),"a",IF(OR(O1306="positive",O1306="equivocal"),"b",IF(OR(M1306="positive",M1306="equivocal"),"c","d"))))</x:f>
        <x:v>d</x:v>
      </x:c>
      <x:c r="AB1306" s="12" t="str">
        <x:f>IF(OR(M1306="unavailable",O1306="unavailable"),"不可评价",IF(AND(M1306="positive",O1306="positive"),"a",IF(O1306="positive","b",IF(M1306="positive","c","d"))))</x:f>
        <x:v>d</x:v>
      </x:c>
      <x:c r="AC1306" s="12" t="str">
        <x:f>IF(OR(R1306="unavailable",T1306="unavailable"),"不可评价",IF(AND(OR(R1306="positive",R1306="equivocal"),OR(T1306="positive",T1306="equivocal")),"a",IF(OR(T1306="positive",T1306="equivocal"),"b",IF(OR(R1306="positive",R1306="equivocal"),"c","d"))))</x:f>
        <x:v>d</x:v>
      </x:c>
      <x:c r="AD1306" s="12" t="str">
        <x:f>IF(OR(R1306="unavailable",T1306="unavailable"),"不可评价",IF(AND(R1306="positive",T1306="positive"),"a",IF(T1306="positive","b",IF(R1306="positive","c","d"))))</x:f>
        <x:v>d</x:v>
      </x:c>
      <x:c r="AE1306" s="12" t="str">
        <x:f>IF(OR(W1306="unavailable",Y1306="unavailable"),"不可评价",IF(AND(OR(W1306="positive",W1306="equivocal"),OR(Y1306="positive",Y1306="equivocal")),"a",IF(OR(Y1306="positive",Y1306="equivocal"),"b",IF(OR(W1306="positive",W1306="equivocal"),"c","d"))))</x:f>
        <x:v>d</x:v>
      </x:c>
      <x:c r="AF1306" s="12" t="str">
        <x:f>IF(OR(W1306="unavailable",Y1306="unavailable"),"不可评价",IF(AND(W1306="positive",Y1306="positive"),"a",IF(Y1306="positive","b",IF(W1306="positive","c","d"))))</x:f>
        <x:v>d</x:v>
      </x:c>
    </x:row>
    <x:row r="1307" ht="24" customHeight="1">
      <x:c r="A1307" s="12" t="str">
        <x:v>11982</x:v>
      </x:c>
      <x:c r="B1307" s="12" t="str">
        <x:v>357</x:v>
      </x:c>
      <x:c r="C1307" s="21" t="n">
        <x:v>34434.707650462966</x:v>
      </x:c>
      <x:c r="D1307" s="12" t="n">
        <x:v>83</x:v>
      </x:c>
      <x:c r="E1307" s="12" t="n">
        <x:v>1</x:v>
      </x:c>
      <x:c r="F1307" s="12" t="str">
        <x:v>未记录</x:v>
      </x:c>
      <x:c r="G1307" s="12" t="n">
        <x:v>1</x:v>
      </x:c>
      <x:c r="H1307" s="12" t="str">
        <x:v>{'PACE': 100.0}</x:v>
      </x:c>
      <x:c r="I1307" s="12" t="str">
        <x:v>[('VPR', 100.0), ('AB', 100.0)]</x:v>
      </x:c>
      <x:c r="J1307" s="12" t="str">
        <x:v>ptbxl_database.csv；ecg_id=11982；scp_codes</x:v>
      </x:c>
      <x:c r="K1307" s="12" t="str">
        <x:v>12sl_statements.csv；ecg_id=11982；statements_ext_snomed</x:v>
      </x:c>
      <x:c r="L1307" s="12"/>
      <x:c r="M1307" s="12" t="str">
        <x:v>negative</x:v>
      </x:c>
      <x:c r="N1307" s="12"/>
      <x:c r="O1307" s="12" t="str">
        <x:v>negative</x:v>
      </x:c>
      <x:c r="P1307" s="12" t="str">
        <x:f>IF(OR(M1307="unavailable",O1307="unavailable"),"不可评价",IF(OR(M1307="equivocal",O1307="equivocal"),"疑似",IF(AND(M1307="positive",O1307="positive"),"a",IF(O1307="positive","b",IF(M1307="positive","c","d")))))</x:f>
        <x:v>d</x:v>
      </x:c>
      <x:c r="Q1307" s="12"/>
      <x:c r="R1307" s="12" t="str">
        <x:v>negative</x:v>
      </x:c>
      <x:c r="S1307" s="12"/>
      <x:c r="T1307" s="12" t="str">
        <x:v>negative</x:v>
      </x:c>
      <x:c r="U1307" s="12" t="str">
        <x:f>IF(OR(R1307="unavailable",T1307="unavailable"),"不可评价",IF(OR(R1307="equivocal",T1307="equivocal"),"疑似",IF(AND(R1307="positive",T1307="positive"),"a",IF(T1307="positive","b",IF(R1307="positive","c","d")))))</x:f>
        <x:v>d</x:v>
      </x:c>
      <x:c r="V1307" s="12"/>
      <x:c r="W1307" s="12" t="str">
        <x:v>negative</x:v>
      </x:c>
      <x:c r="X1307" s="12"/>
      <x:c r="Y1307" s="12" t="str">
        <x:v>negative</x:v>
      </x:c>
      <x:c r="Z1307" s="12" t="str">
        <x:f>IF(OR(W1307="unavailable",Y1307="unavailable"),"不可评价",IF(OR(W1307="equivocal",Y1307="equivocal"),"疑似",IF(AND(W1307="positive",Y1307="positive"),"a",IF(Y1307="positive","b",IF(W1307="positive","c","d")))))</x:f>
        <x:v>d</x:v>
      </x:c>
      <x:c r="AA1307" s="12" t="str">
        <x:f>IF(OR(M1307="unavailable",O1307="unavailable"),"不可评价",IF(AND(OR(M1307="positive",M1307="equivocal"),OR(O1307="positive",O1307="equivocal")),"a",IF(OR(O1307="positive",O1307="equivocal"),"b",IF(OR(M1307="positive",M1307="equivocal"),"c","d"))))</x:f>
        <x:v>d</x:v>
      </x:c>
      <x:c r="AB1307" s="12" t="str">
        <x:f>IF(OR(M1307="unavailable",O1307="unavailable"),"不可评价",IF(AND(M1307="positive",O1307="positive"),"a",IF(O1307="positive","b",IF(M1307="positive","c","d"))))</x:f>
        <x:v>d</x:v>
      </x:c>
      <x:c r="AC1307" s="12" t="str">
        <x:f>IF(OR(R1307="unavailable",T1307="unavailable"),"不可评价",IF(AND(OR(R1307="positive",R1307="equivocal"),OR(T1307="positive",T1307="equivocal")),"a",IF(OR(T1307="positive",T1307="equivocal"),"b",IF(OR(R1307="positive",R1307="equivocal"),"c","d"))))</x:f>
        <x:v>d</x:v>
      </x:c>
      <x:c r="AD1307" s="12" t="str">
        <x:f>IF(OR(R1307="unavailable",T1307="unavailable"),"不可评价",IF(AND(R1307="positive",T1307="positive"),"a",IF(T1307="positive","b",IF(R1307="positive","c","d"))))</x:f>
        <x:v>d</x:v>
      </x:c>
      <x:c r="AE1307" s="12" t="str">
        <x:f>IF(OR(W1307="unavailable",Y1307="unavailable"),"不可评价",IF(AND(OR(W1307="positive",W1307="equivocal"),OR(Y1307="positive",Y1307="equivocal")),"a",IF(OR(Y1307="positive",Y1307="equivocal"),"b",IF(OR(W1307="positive",W1307="equivocal"),"c","d"))))</x:f>
        <x:v>d</x:v>
      </x:c>
      <x:c r="AF1307" s="12" t="str">
        <x:f>IF(OR(W1307="unavailable",Y1307="unavailable"),"不可评价",IF(AND(W1307="positive",Y1307="positive"),"a",IF(Y1307="positive","b",IF(W1307="positive","c","d"))))</x:f>
        <x:v>d</x:v>
      </x:c>
    </x:row>
    <x:row r="1308" ht="24" customHeight="1">
      <x:c r="A1308" s="12" t="str">
        <x:v>12027</x:v>
      </x:c>
      <x:c r="B1308" s="12" t="str">
        <x:v>16783</x:v>
      </x:c>
      <x:c r="C1308" s="21" t="n">
        <x:v>34442.82109953704</x:v>
      </x:c>
      <x:c r="D1308" s="12" t="n">
        <x:v>84</x:v>
      </x:c>
      <x:c r="E1308" s="12" t="n">
        <x:v>1</x:v>
      </x:c>
      <x:c r="F1308" s="12" t="str">
        <x:v>未记录</x:v>
      </x:c>
      <x:c r="G1308" s="12" t="n">
        <x:v>1</x:v>
      </x:c>
      <x:c r="H1308" s="12" t="str">
        <x:v>{'PACE': 100.0}</x:v>
      </x:c>
      <x:c r="I1308" s="12" t="str">
        <x:v>[('SRTH', 100.0), ('MSAR', 100.0), ('ABR', 100.0)]</x:v>
      </x:c>
      <x:c r="J1308" s="12" t="str">
        <x:v>ptbxl_database.csv；ecg_id=12027；scp_codes</x:v>
      </x:c>
      <x:c r="K1308" s="12" t="str">
        <x:v>12sl_statements.csv；ecg_id=12027；statements_ext_snomed</x:v>
      </x:c>
      <x:c r="L1308" s="12"/>
      <x:c r="M1308" s="12" t="str">
        <x:v>negative</x:v>
      </x:c>
      <x:c r="N1308" s="12"/>
      <x:c r="O1308" s="12" t="str">
        <x:v>negative</x:v>
      </x:c>
      <x:c r="P1308" s="12" t="str">
        <x:f>IF(OR(M1308="unavailable",O1308="unavailable"),"不可评价",IF(OR(M1308="equivocal",O1308="equivocal"),"疑似",IF(AND(M1308="positive",O1308="positive"),"a",IF(O1308="positive","b",IF(M1308="positive","c","d")))))</x:f>
        <x:v>d</x:v>
      </x:c>
      <x:c r="Q1308" s="12"/>
      <x:c r="R1308" s="12" t="str">
        <x:v>negative</x:v>
      </x:c>
      <x:c r="S1308" s="12"/>
      <x:c r="T1308" s="12" t="str">
        <x:v>negative</x:v>
      </x:c>
      <x:c r="U1308" s="12" t="str">
        <x:f>IF(OR(R1308="unavailable",T1308="unavailable"),"不可评价",IF(OR(R1308="equivocal",T1308="equivocal"),"疑似",IF(AND(R1308="positive",T1308="positive"),"a",IF(T1308="positive","b",IF(R1308="positive","c","d")))))</x:f>
        <x:v>d</x:v>
      </x:c>
      <x:c r="V1308" s="12"/>
      <x:c r="W1308" s="12" t="str">
        <x:v>negative</x:v>
      </x:c>
      <x:c r="X1308" s="12"/>
      <x:c r="Y1308" s="12" t="str">
        <x:v>negative</x:v>
      </x:c>
      <x:c r="Z1308" s="12" t="str">
        <x:f>IF(OR(W1308="unavailable",Y1308="unavailable"),"不可评价",IF(OR(W1308="equivocal",Y1308="equivocal"),"疑似",IF(AND(W1308="positive",Y1308="positive"),"a",IF(Y1308="positive","b",IF(W1308="positive","c","d")))))</x:f>
        <x:v>d</x:v>
      </x:c>
      <x:c r="AA1308" s="12" t="str">
        <x:f>IF(OR(M1308="unavailable",O1308="unavailable"),"不可评价",IF(AND(OR(M1308="positive",M1308="equivocal"),OR(O1308="positive",O1308="equivocal")),"a",IF(OR(O1308="positive",O1308="equivocal"),"b",IF(OR(M1308="positive",M1308="equivocal"),"c","d"))))</x:f>
        <x:v>d</x:v>
      </x:c>
      <x:c r="AB1308" s="12" t="str">
        <x:f>IF(OR(M1308="unavailable",O1308="unavailable"),"不可评价",IF(AND(M1308="positive",O1308="positive"),"a",IF(O1308="positive","b",IF(M1308="positive","c","d"))))</x:f>
        <x:v>d</x:v>
      </x:c>
      <x:c r="AC1308" s="12" t="str">
        <x:f>IF(OR(R1308="unavailable",T1308="unavailable"),"不可评价",IF(AND(OR(R1308="positive",R1308="equivocal"),OR(T1308="positive",T1308="equivocal")),"a",IF(OR(T1308="positive",T1308="equivocal"),"b",IF(OR(R1308="positive",R1308="equivocal"),"c","d"))))</x:f>
        <x:v>d</x:v>
      </x:c>
      <x:c r="AD1308" s="12" t="str">
        <x:f>IF(OR(R1308="unavailable",T1308="unavailable"),"不可评价",IF(AND(R1308="positive",T1308="positive"),"a",IF(T1308="positive","b",IF(R1308="positive","c","d"))))</x:f>
        <x:v>d</x:v>
      </x:c>
      <x:c r="AE1308" s="12" t="str">
        <x:f>IF(OR(W1308="unavailable",Y1308="unavailable"),"不可评价",IF(AND(OR(W1308="positive",W1308="equivocal"),OR(Y1308="positive",Y1308="equivocal")),"a",IF(OR(Y1308="positive",Y1308="equivocal"),"b",IF(OR(W1308="positive",W1308="equivocal"),"c","d"))))</x:f>
        <x:v>d</x:v>
      </x:c>
      <x:c r="AF1308" s="12" t="str">
        <x:f>IF(OR(W1308="unavailable",Y1308="unavailable"),"不可评价",IF(AND(W1308="positive",Y1308="positive"),"a",IF(Y1308="positive","b",IF(W1308="positive","c","d"))))</x:f>
        <x:v>d</x:v>
      </x:c>
    </x:row>
    <x:row r="1309" ht="24" customHeight="1">
      <x:c r="A1309" s="12" t="str">
        <x:v>12028</x:v>
      </x:c>
      <x:c r="B1309" s="12" t="str">
        <x:v>16783</x:v>
      </x:c>
      <x:c r="C1309" s="21" t="n">
        <x:v>34443.31266203704</x:v>
      </x:c>
      <x:c r="D1309" s="12" t="n">
        <x:v>84</x:v>
      </x:c>
      <x:c r="E1309" s="12" t="n">
        <x:v>1</x:v>
      </x:c>
      <x:c r="F1309" s="12" t="str">
        <x:v>未记录</x:v>
      </x:c>
      <x:c r="G1309" s="12" t="n">
        <x:v>0</x:v>
      </x:c>
      <x:c r="H1309" s="12" t="str">
        <x:v>{'IVCD': 100.0, 'NST_': 100.0, 'PAC': 100.0, 'TAB_': 0.0, 'SR': 0.0}</x:v>
      </x:c>
      <x:c r="I1309" s="12" t="str">
        <x:v>[('SRTH', 100.0), ('PVC', 100.0), ('PAC', 100.0), ('ABR', 100.0)]</x:v>
      </x:c>
      <x:c r="J1309" s="12" t="str">
        <x:v>ptbxl_database.csv；ecg_id=12028；scp_codes</x:v>
      </x:c>
      <x:c r="K1309" s="12" t="str">
        <x:v>12sl_statements.csv；ecg_id=12028；statements_ext_snomed</x:v>
      </x:c>
      <x:c r="L1309" s="12"/>
      <x:c r="M1309" s="12" t="str">
        <x:v>negative</x:v>
      </x:c>
      <x:c r="N1309" s="12"/>
      <x:c r="O1309" s="12" t="str">
        <x:v>negative</x:v>
      </x:c>
      <x:c r="P1309" s="12" t="str">
        <x:f>IF(OR(M1309="unavailable",O1309="unavailable"),"不可评价",IF(OR(M1309="equivocal",O1309="equivocal"),"疑似",IF(AND(M1309="positive",O1309="positive"),"a",IF(O1309="positive","b",IF(M1309="positive","c","d")))))</x:f>
        <x:v>d</x:v>
      </x:c>
      <x:c r="Q1309" s="12"/>
      <x:c r="R1309" s="12" t="str">
        <x:v>negative</x:v>
      </x:c>
      <x:c r="S1309" s="12"/>
      <x:c r="T1309" s="12" t="str">
        <x:v>negative</x:v>
      </x:c>
      <x:c r="U1309" s="12" t="str">
        <x:f>IF(OR(R1309="unavailable",T1309="unavailable"),"不可评价",IF(OR(R1309="equivocal",T1309="equivocal"),"疑似",IF(AND(R1309="positive",T1309="positive"),"a",IF(T1309="positive","b",IF(R1309="positive","c","d")))))</x:f>
        <x:v>d</x:v>
      </x:c>
      <x:c r="V1309" s="12"/>
      <x:c r="W1309" s="12" t="str">
        <x:v>negative</x:v>
      </x:c>
      <x:c r="X1309" s="12"/>
      <x:c r="Y1309" s="12" t="str">
        <x:v>negative</x:v>
      </x:c>
      <x:c r="Z1309" s="12" t="str">
        <x:f>IF(OR(W1309="unavailable",Y1309="unavailable"),"不可评价",IF(OR(W1309="equivocal",Y1309="equivocal"),"疑似",IF(AND(W1309="positive",Y1309="positive"),"a",IF(Y1309="positive","b",IF(W1309="positive","c","d")))))</x:f>
        <x:v>d</x:v>
      </x:c>
      <x:c r="AA1309" s="12" t="str">
        <x:f>IF(OR(M1309="unavailable",O1309="unavailable"),"不可评价",IF(AND(OR(M1309="positive",M1309="equivocal"),OR(O1309="positive",O1309="equivocal")),"a",IF(OR(O1309="positive",O1309="equivocal"),"b",IF(OR(M1309="positive",M1309="equivocal"),"c","d"))))</x:f>
        <x:v>d</x:v>
      </x:c>
      <x:c r="AB1309" s="12" t="str">
        <x:f>IF(OR(M1309="unavailable",O1309="unavailable"),"不可评价",IF(AND(M1309="positive",O1309="positive"),"a",IF(O1309="positive","b",IF(M1309="positive","c","d"))))</x:f>
        <x:v>d</x:v>
      </x:c>
      <x:c r="AC1309" s="12" t="str">
        <x:f>IF(OR(R1309="unavailable",T1309="unavailable"),"不可评价",IF(AND(OR(R1309="positive",R1309="equivocal"),OR(T1309="positive",T1309="equivocal")),"a",IF(OR(T1309="positive",T1309="equivocal"),"b",IF(OR(R1309="positive",R1309="equivocal"),"c","d"))))</x:f>
        <x:v>d</x:v>
      </x:c>
      <x:c r="AD1309" s="12" t="str">
        <x:f>IF(OR(R1309="unavailable",T1309="unavailable"),"不可评价",IF(AND(R1309="positive",T1309="positive"),"a",IF(T1309="positive","b",IF(R1309="positive","c","d"))))</x:f>
        <x:v>d</x:v>
      </x:c>
      <x:c r="AE1309" s="12" t="str">
        <x:f>IF(OR(W1309="unavailable",Y1309="unavailable"),"不可评价",IF(AND(OR(W1309="positive",W1309="equivocal"),OR(Y1309="positive",Y1309="equivocal")),"a",IF(OR(Y1309="positive",Y1309="equivocal"),"b",IF(OR(W1309="positive",W1309="equivocal"),"c","d"))))</x:f>
        <x:v>d</x:v>
      </x:c>
      <x:c r="AF1309" s="12" t="str">
        <x:f>IF(OR(W1309="unavailable",Y1309="unavailable"),"不可评价",IF(AND(W1309="positive",Y1309="positive"),"a",IF(Y1309="positive","b",IF(W1309="positive","c","d"))))</x:f>
        <x:v>d</x:v>
      </x:c>
    </x:row>
    <x:row r="1310" ht="24" customHeight="1">
      <x:c r="A1310" s="12" t="str">
        <x:v>12031</x:v>
      </x:c>
      <x:c r="B1310" s="12" t="str">
        <x:v>504</x:v>
      </x:c>
      <x:c r="C1310" s="21" t="n">
        <x:v>34444.75300925926</x:v>
      </x:c>
      <x:c r="D1310" s="12" t="n">
        <x:v>69</x:v>
      </x:c>
      <x:c r="E1310" s="12" t="n">
        <x:v>0</x:v>
      </x:c>
      <x:c r="F1310" s="12" t="str">
        <x:v>未记录</x:v>
      </x:c>
      <x:c r="G1310" s="12" t="n">
        <x:v>1</x:v>
      </x:c>
      <x:c r="H1310" s="12" t="str">
        <x:v>{'LVH': 35.0, 'HVOLT': 0.0, 'SR': 0.0}</x:v>
      </x:c>
      <x:c r="I1310" s="12" t="str">
        <x:v>[('NSR', 100.0), ('LAD3', 100.0), ('AB', 100.0)]</x:v>
      </x:c>
      <x:c r="J1310" s="12" t="str">
        <x:v>ptbxl_database.csv；ecg_id=12031；scp_codes</x:v>
      </x:c>
      <x:c r="K1310" s="12" t="str">
        <x:v>12sl_statements.csv；ecg_id=12031；statements_ext_snomed</x:v>
      </x:c>
      <x:c r="L1310" s="12"/>
      <x:c r="M1310" s="12" t="str">
        <x:v>negative</x:v>
      </x:c>
      <x:c r="N1310" s="12"/>
      <x:c r="O1310" s="12" t="str">
        <x:v>negative</x:v>
      </x:c>
      <x:c r="P1310" s="12" t="str">
        <x:f>IF(OR(M1310="unavailable",O1310="unavailable"),"不可评价",IF(OR(M1310="equivocal",O1310="equivocal"),"疑似",IF(AND(M1310="positive",O1310="positive"),"a",IF(O1310="positive","b",IF(M1310="positive","c","d")))))</x:f>
        <x:v>d</x:v>
      </x:c>
      <x:c r="Q1310" s="12"/>
      <x:c r="R1310" s="12" t="str">
        <x:v>negative</x:v>
      </x:c>
      <x:c r="S1310" s="12"/>
      <x:c r="T1310" s="12" t="str">
        <x:v>negative</x:v>
      </x:c>
      <x:c r="U1310" s="12" t="str">
        <x:f>IF(OR(R1310="unavailable",T1310="unavailable"),"不可评价",IF(OR(R1310="equivocal",T1310="equivocal"),"疑似",IF(AND(R1310="positive",T1310="positive"),"a",IF(T1310="positive","b",IF(R1310="positive","c","d")))))</x:f>
        <x:v>d</x:v>
      </x:c>
      <x:c r="V1310" s="12"/>
      <x:c r="W1310" s="12" t="str">
        <x:v>negative</x:v>
      </x:c>
      <x:c r="X1310" s="12"/>
      <x:c r="Y1310" s="12" t="str">
        <x:v>negative</x:v>
      </x:c>
      <x:c r="Z1310" s="12" t="str">
        <x:f>IF(OR(W1310="unavailable",Y1310="unavailable"),"不可评价",IF(OR(W1310="equivocal",Y1310="equivocal"),"疑似",IF(AND(W1310="positive",Y1310="positive"),"a",IF(Y1310="positive","b",IF(W1310="positive","c","d")))))</x:f>
        <x:v>d</x:v>
      </x:c>
      <x:c r="AA1310" s="12" t="str">
        <x:f>IF(OR(M1310="unavailable",O1310="unavailable"),"不可评价",IF(AND(OR(M1310="positive",M1310="equivocal"),OR(O1310="positive",O1310="equivocal")),"a",IF(OR(O1310="positive",O1310="equivocal"),"b",IF(OR(M1310="positive",M1310="equivocal"),"c","d"))))</x:f>
        <x:v>d</x:v>
      </x:c>
      <x:c r="AB1310" s="12" t="str">
        <x:f>IF(OR(M1310="unavailable",O1310="unavailable"),"不可评价",IF(AND(M1310="positive",O1310="positive"),"a",IF(O1310="positive","b",IF(M1310="positive","c","d"))))</x:f>
        <x:v>d</x:v>
      </x:c>
      <x:c r="AC1310" s="12" t="str">
        <x:f>IF(OR(R1310="unavailable",T1310="unavailable"),"不可评价",IF(AND(OR(R1310="positive",R1310="equivocal"),OR(T1310="positive",T1310="equivocal")),"a",IF(OR(T1310="positive",T1310="equivocal"),"b",IF(OR(R1310="positive",R1310="equivocal"),"c","d"))))</x:f>
        <x:v>d</x:v>
      </x:c>
      <x:c r="AD1310" s="12" t="str">
        <x:f>IF(OR(R1310="unavailable",T1310="unavailable"),"不可评价",IF(AND(R1310="positive",T1310="positive"),"a",IF(T1310="positive","b",IF(R1310="positive","c","d"))))</x:f>
        <x:v>d</x:v>
      </x:c>
      <x:c r="AE1310" s="12" t="str">
        <x:f>IF(OR(W1310="unavailable",Y1310="unavailable"),"不可评价",IF(AND(OR(W1310="positive",W1310="equivocal"),OR(Y1310="positive",Y1310="equivocal")),"a",IF(OR(Y1310="positive",Y1310="equivocal"),"b",IF(OR(W1310="positive",W1310="equivocal"),"c","d"))))</x:f>
        <x:v>d</x:v>
      </x:c>
      <x:c r="AF1310" s="12" t="str">
        <x:f>IF(OR(W1310="unavailable",Y1310="unavailable"),"不可评价",IF(AND(W1310="positive",Y1310="positive"),"a",IF(Y1310="positive","b",IF(W1310="positive","c","d"))))</x:f>
        <x:v>d</x:v>
      </x:c>
    </x:row>
    <x:row r="1311" ht="24" customHeight="1">
      <x:c r="A1311" s="12" t="str">
        <x:v>12033</x:v>
      </x:c>
      <x:c r="B1311" s="12" t="str">
        <x:v>21386</x:v>
      </x:c>
      <x:c r="C1311" s="21" t="n">
        <x:v>34445.320925925924</x:v>
      </x:c>
      <x:c r="D1311" s="12" t="n">
        <x:v>56</x:v>
      </x:c>
      <x:c r="E1311" s="12" t="n">
        <x:v>1</x:v>
      </x:c>
      <x:c r="F1311" s="12" t="str">
        <x:v>存在</x:v>
      </x:c>
      <x:c r="G1311" s="12" t="n">
        <x:v>1</x:v>
      </x:c>
      <x:c r="H1311" s="12" t="str">
        <x:v>{'NORM': 80.0, 'SR': 0.0}</x:v>
      </x:c>
      <x:c r="I1311" s="12" t="str">
        <x:v>[('SBRAD', 100.0), ('LAD3', 100.0), ('AB', 100.0)]</x:v>
      </x:c>
      <x:c r="J1311" s="12" t="str">
        <x:v>ptbxl_database.csv；ecg_id=12033；scp_codes</x:v>
      </x:c>
      <x:c r="K1311" s="12" t="str">
        <x:v>12sl_statements.csv；ecg_id=12033；statements_ext_snomed</x:v>
      </x:c>
      <x:c r="L1311" s="12"/>
      <x:c r="M1311" s="12" t="str">
        <x:v>negative</x:v>
      </x:c>
      <x:c r="N1311" s="12"/>
      <x:c r="O1311" s="12" t="str">
        <x:v>negative</x:v>
      </x:c>
      <x:c r="P1311" s="12" t="str">
        <x:f>IF(OR(M1311="unavailable",O1311="unavailable"),"不可评价",IF(OR(M1311="equivocal",O1311="equivocal"),"疑似",IF(AND(M1311="positive",O1311="positive"),"a",IF(O1311="positive","b",IF(M1311="positive","c","d")))))</x:f>
        <x:v>d</x:v>
      </x:c>
      <x:c r="Q1311" s="12"/>
      <x:c r="R1311" s="12" t="str">
        <x:v>negative</x:v>
      </x:c>
      <x:c r="S1311" s="12"/>
      <x:c r="T1311" s="12" t="str">
        <x:v>negative</x:v>
      </x:c>
      <x:c r="U1311" s="12" t="str">
        <x:f>IF(OR(R1311="unavailable",T1311="unavailable"),"不可评价",IF(OR(R1311="equivocal",T1311="equivocal"),"疑似",IF(AND(R1311="positive",T1311="positive"),"a",IF(T1311="positive","b",IF(R1311="positive","c","d")))))</x:f>
        <x:v>d</x:v>
      </x:c>
      <x:c r="V1311" s="12"/>
      <x:c r="W1311" s="12" t="str">
        <x:v>negative</x:v>
      </x:c>
      <x:c r="X1311" s="12"/>
      <x:c r="Y1311" s="12" t="str">
        <x:v>negative</x:v>
      </x:c>
      <x:c r="Z1311" s="12" t="str">
        <x:f>IF(OR(W1311="unavailable",Y1311="unavailable"),"不可评价",IF(OR(W1311="equivocal",Y1311="equivocal"),"疑似",IF(AND(W1311="positive",Y1311="positive"),"a",IF(Y1311="positive","b",IF(W1311="positive","c","d")))))</x:f>
        <x:v>d</x:v>
      </x:c>
      <x:c r="AA1311" s="12" t="str">
        <x:f>IF(OR(M1311="unavailable",O1311="unavailable"),"不可评价",IF(AND(OR(M1311="positive",M1311="equivocal"),OR(O1311="positive",O1311="equivocal")),"a",IF(OR(O1311="positive",O1311="equivocal"),"b",IF(OR(M1311="positive",M1311="equivocal"),"c","d"))))</x:f>
        <x:v>d</x:v>
      </x:c>
      <x:c r="AB1311" s="12" t="str">
        <x:f>IF(OR(M1311="unavailable",O1311="unavailable"),"不可评价",IF(AND(M1311="positive",O1311="positive"),"a",IF(O1311="positive","b",IF(M1311="positive","c","d"))))</x:f>
        <x:v>d</x:v>
      </x:c>
      <x:c r="AC1311" s="12" t="str">
        <x:f>IF(OR(R1311="unavailable",T1311="unavailable"),"不可评价",IF(AND(OR(R1311="positive",R1311="equivocal"),OR(T1311="positive",T1311="equivocal")),"a",IF(OR(T1311="positive",T1311="equivocal"),"b",IF(OR(R1311="positive",R1311="equivocal"),"c","d"))))</x:f>
        <x:v>d</x:v>
      </x:c>
      <x:c r="AD1311" s="12" t="str">
        <x:f>IF(OR(R1311="unavailable",T1311="unavailable"),"不可评价",IF(AND(R1311="positive",T1311="positive"),"a",IF(T1311="positive","b",IF(R1311="positive","c","d"))))</x:f>
        <x:v>d</x:v>
      </x:c>
      <x:c r="AE1311" s="12" t="str">
        <x:f>IF(OR(W1311="unavailable",Y1311="unavailable"),"不可评价",IF(AND(OR(W1311="positive",W1311="equivocal"),OR(Y1311="positive",Y1311="equivocal")),"a",IF(OR(Y1311="positive",Y1311="equivocal"),"b",IF(OR(W1311="positive",W1311="equivocal"),"c","d"))))</x:f>
        <x:v>d</x:v>
      </x:c>
      <x:c r="AF1311" s="12" t="str">
        <x:f>IF(OR(W1311="unavailable",Y1311="unavailable"),"不可评价",IF(AND(W1311="positive",Y1311="positive"),"a",IF(Y1311="positive","b",IF(W1311="positive","c","d"))))</x:f>
        <x:v>d</x:v>
      </x:c>
    </x:row>
    <x:row r="1312" ht="24" customHeight="1">
      <x:c r="A1312" s="12" t="str">
        <x:v>12034</x:v>
      </x:c>
      <x:c r="B1312" s="12" t="str">
        <x:v>2506</x:v>
      </x:c>
      <x:c r="C1312" s="21" t="n">
        <x:v>34445.349224537036</x:v>
      </x:c>
      <x:c r="D1312" s="12" t="n">
        <x:v>65</x:v>
      </x:c>
      <x:c r="E1312" s="12" t="n">
        <x:v>1</x:v>
      </x:c>
      <x:c r="F1312" s="12" t="str">
        <x:v>未记录</x:v>
      </x:c>
      <x:c r="G1312" s="12" t="n">
        <x:v>1</x:v>
      </x:c>
      <x:c r="H1312" s="12" t="str">
        <x:v>{'NORM': 100.0, 'SR': 0.0}</x:v>
      </x:c>
      <x:c r="I1312" s="12" t="str">
        <x:v>[('SBRAD', 100.0), ('ABR', 100.0)]</x:v>
      </x:c>
      <x:c r="J1312" s="12" t="str">
        <x:v>ptbxl_database.csv；ecg_id=12034；scp_codes</x:v>
      </x:c>
      <x:c r="K1312" s="12" t="str">
        <x:v>12sl_statements.csv；ecg_id=12034；statements_ext_snomed</x:v>
      </x:c>
      <x:c r="L1312" s="12"/>
      <x:c r="M1312" s="12" t="str">
        <x:v>negative</x:v>
      </x:c>
      <x:c r="N1312" s="12"/>
      <x:c r="O1312" s="12" t="str">
        <x:v>negative</x:v>
      </x:c>
      <x:c r="P1312" s="12" t="str">
        <x:f>IF(OR(M1312="unavailable",O1312="unavailable"),"不可评价",IF(OR(M1312="equivocal",O1312="equivocal"),"疑似",IF(AND(M1312="positive",O1312="positive"),"a",IF(O1312="positive","b",IF(M1312="positive","c","d")))))</x:f>
        <x:v>d</x:v>
      </x:c>
      <x:c r="Q1312" s="12"/>
      <x:c r="R1312" s="12" t="str">
        <x:v>negative</x:v>
      </x:c>
      <x:c r="S1312" s="12"/>
      <x:c r="T1312" s="12" t="str">
        <x:v>negative</x:v>
      </x:c>
      <x:c r="U1312" s="12" t="str">
        <x:f>IF(OR(R1312="unavailable",T1312="unavailable"),"不可评价",IF(OR(R1312="equivocal",T1312="equivocal"),"疑似",IF(AND(R1312="positive",T1312="positive"),"a",IF(T1312="positive","b",IF(R1312="positive","c","d")))))</x:f>
        <x:v>d</x:v>
      </x:c>
      <x:c r="V1312" s="12"/>
      <x:c r="W1312" s="12" t="str">
        <x:v>negative</x:v>
      </x:c>
      <x:c r="X1312" s="12"/>
      <x:c r="Y1312" s="12" t="str">
        <x:v>negative</x:v>
      </x:c>
      <x:c r="Z1312" s="12" t="str">
        <x:f>IF(OR(W1312="unavailable",Y1312="unavailable"),"不可评价",IF(OR(W1312="equivocal",Y1312="equivocal"),"疑似",IF(AND(W1312="positive",Y1312="positive"),"a",IF(Y1312="positive","b",IF(W1312="positive","c","d")))))</x:f>
        <x:v>d</x:v>
      </x:c>
      <x:c r="AA1312" s="12" t="str">
        <x:f>IF(OR(M1312="unavailable",O1312="unavailable"),"不可评价",IF(AND(OR(M1312="positive",M1312="equivocal"),OR(O1312="positive",O1312="equivocal")),"a",IF(OR(O1312="positive",O1312="equivocal"),"b",IF(OR(M1312="positive",M1312="equivocal"),"c","d"))))</x:f>
        <x:v>d</x:v>
      </x:c>
      <x:c r="AB1312" s="12" t="str">
        <x:f>IF(OR(M1312="unavailable",O1312="unavailable"),"不可评价",IF(AND(M1312="positive",O1312="positive"),"a",IF(O1312="positive","b",IF(M1312="positive","c","d"))))</x:f>
        <x:v>d</x:v>
      </x:c>
      <x:c r="AC1312" s="12" t="str">
        <x:f>IF(OR(R1312="unavailable",T1312="unavailable"),"不可评价",IF(AND(OR(R1312="positive",R1312="equivocal"),OR(T1312="positive",T1312="equivocal")),"a",IF(OR(T1312="positive",T1312="equivocal"),"b",IF(OR(R1312="positive",R1312="equivocal"),"c","d"))))</x:f>
        <x:v>d</x:v>
      </x:c>
      <x:c r="AD1312" s="12" t="str">
        <x:f>IF(OR(R1312="unavailable",T1312="unavailable"),"不可评价",IF(AND(R1312="positive",T1312="positive"),"a",IF(T1312="positive","b",IF(R1312="positive","c","d"))))</x:f>
        <x:v>d</x:v>
      </x:c>
      <x:c r="AE1312" s="12" t="str">
        <x:f>IF(OR(W1312="unavailable",Y1312="unavailable"),"不可评价",IF(AND(OR(W1312="positive",W1312="equivocal"),OR(Y1312="positive",Y1312="equivocal")),"a",IF(OR(Y1312="positive",Y1312="equivocal"),"b",IF(OR(W1312="positive",W1312="equivocal"),"c","d"))))</x:f>
        <x:v>d</x:v>
      </x:c>
      <x:c r="AF1312" s="12" t="str">
        <x:f>IF(OR(W1312="unavailable",Y1312="unavailable"),"不可评价",IF(AND(W1312="positive",Y1312="positive"),"a",IF(Y1312="positive","b",IF(W1312="positive","c","d"))))</x:f>
        <x:v>d</x:v>
      </x:c>
    </x:row>
    <x:row r="1313" ht="24" customHeight="1">
      <x:c r="A1313" s="12" t="str">
        <x:v>12074</x:v>
      </x:c>
      <x:c r="B1313" s="12" t="str">
        <x:v>7908</x:v>
      </x:c>
      <x:c r="C1313" s="21" t="n">
        <x:v>34451.337743055556</x:v>
      </x:c>
      <x:c r="D1313" s="12" t="n">
        <x:v>47</x:v>
      </x:c>
      <x:c r="E1313" s="12" t="n">
        <x:v>0</x:v>
      </x:c>
      <x:c r="F1313" s="12" t="str">
        <x:v>未记录</x:v>
      </x:c>
      <x:c r="G1313" s="12" t="n">
        <x:v>1</x:v>
      </x:c>
      <x:c r="H1313" s="12" t="str">
        <x:v>{'NORM': 100.0}</x:v>
      </x:c>
      <x:c r="I1313" s="12" t="str">
        <x:v>[('NSR', 100.0), ('NML', 100.0)]</x:v>
      </x:c>
      <x:c r="J1313" s="12" t="str">
        <x:v>ptbxl_database.csv；ecg_id=12074；scp_codes</x:v>
      </x:c>
      <x:c r="K1313" s="12" t="str">
        <x:v>12sl_statements.csv；ecg_id=12074；statements_ext_snomed</x:v>
      </x:c>
      <x:c r="L1313" s="12"/>
      <x:c r="M1313" s="12" t="str">
        <x:v>negative</x:v>
      </x:c>
      <x:c r="N1313" s="12"/>
      <x:c r="O1313" s="12" t="str">
        <x:v>negative</x:v>
      </x:c>
      <x:c r="P1313" s="12" t="str">
        <x:f>IF(OR(M1313="unavailable",O1313="unavailable"),"不可评价",IF(OR(M1313="equivocal",O1313="equivocal"),"疑似",IF(AND(M1313="positive",O1313="positive"),"a",IF(O1313="positive","b",IF(M1313="positive","c","d")))))</x:f>
        <x:v>d</x:v>
      </x:c>
      <x:c r="Q1313" s="12"/>
      <x:c r="R1313" s="12" t="str">
        <x:v>negative</x:v>
      </x:c>
      <x:c r="S1313" s="12"/>
      <x:c r="T1313" s="12" t="str">
        <x:v>negative</x:v>
      </x:c>
      <x:c r="U1313" s="12" t="str">
        <x:f>IF(OR(R1313="unavailable",T1313="unavailable"),"不可评价",IF(OR(R1313="equivocal",T1313="equivocal"),"疑似",IF(AND(R1313="positive",T1313="positive"),"a",IF(T1313="positive","b",IF(R1313="positive","c","d")))))</x:f>
        <x:v>d</x:v>
      </x:c>
      <x:c r="V1313" s="12"/>
      <x:c r="W1313" s="12" t="str">
        <x:v>negative</x:v>
      </x:c>
      <x:c r="X1313" s="12"/>
      <x:c r="Y1313" s="12" t="str">
        <x:v>negative</x:v>
      </x:c>
      <x:c r="Z1313" s="12" t="str">
        <x:f>IF(OR(W1313="unavailable",Y1313="unavailable"),"不可评价",IF(OR(W1313="equivocal",Y1313="equivocal"),"疑似",IF(AND(W1313="positive",Y1313="positive"),"a",IF(Y1313="positive","b",IF(W1313="positive","c","d")))))</x:f>
        <x:v>d</x:v>
      </x:c>
      <x:c r="AA1313" s="12" t="str">
        <x:f>IF(OR(M1313="unavailable",O1313="unavailable"),"不可评价",IF(AND(OR(M1313="positive",M1313="equivocal"),OR(O1313="positive",O1313="equivocal")),"a",IF(OR(O1313="positive",O1313="equivocal"),"b",IF(OR(M1313="positive",M1313="equivocal"),"c","d"))))</x:f>
        <x:v>d</x:v>
      </x:c>
      <x:c r="AB1313" s="12" t="str">
        <x:f>IF(OR(M1313="unavailable",O1313="unavailable"),"不可评价",IF(AND(M1313="positive",O1313="positive"),"a",IF(O1313="positive","b",IF(M1313="positive","c","d"))))</x:f>
        <x:v>d</x:v>
      </x:c>
      <x:c r="AC1313" s="12" t="str">
        <x:f>IF(OR(R1313="unavailable",T1313="unavailable"),"不可评价",IF(AND(OR(R1313="positive",R1313="equivocal"),OR(T1313="positive",T1313="equivocal")),"a",IF(OR(T1313="positive",T1313="equivocal"),"b",IF(OR(R1313="positive",R1313="equivocal"),"c","d"))))</x:f>
        <x:v>d</x:v>
      </x:c>
      <x:c r="AD1313" s="12" t="str">
        <x:f>IF(OR(R1313="unavailable",T1313="unavailable"),"不可评价",IF(AND(R1313="positive",T1313="positive"),"a",IF(T1313="positive","b",IF(R1313="positive","c","d"))))</x:f>
        <x:v>d</x:v>
      </x:c>
      <x:c r="AE1313" s="12" t="str">
        <x:f>IF(OR(W1313="unavailable",Y1313="unavailable"),"不可评价",IF(AND(OR(W1313="positive",W1313="equivocal"),OR(Y1313="positive",Y1313="equivocal")),"a",IF(OR(Y1313="positive",Y1313="equivocal"),"b",IF(OR(W1313="positive",W1313="equivocal"),"c","d"))))</x:f>
        <x:v>d</x:v>
      </x:c>
      <x:c r="AF1313" s="12" t="str">
        <x:f>IF(OR(W1313="unavailable",Y1313="unavailable"),"不可评价",IF(AND(W1313="positive",Y1313="positive"),"a",IF(Y1313="positive","b",IF(W1313="positive","c","d"))))</x:f>
        <x:v>d</x:v>
      </x:c>
    </x:row>
    <x:row r="1314" ht="24" customHeight="1">
      <x:c r="A1314" s="12" t="str">
        <x:v>12082</x:v>
      </x:c>
      <x:c r="B1314" s="12" t="str">
        <x:v>18812</x:v>
      </x:c>
      <x:c r="C1314" s="21" t="n">
        <x:v>34452.49269675926</x:v>
      </x:c>
      <x:c r="D1314" s="12" t="n">
        <x:v>33</x:v>
      </x:c>
      <x:c r="E1314" s="12" t="n">
        <x:v>1</x:v>
      </x:c>
      <x:c r="F1314" s="12" t="str">
        <x:v>存在</x:v>
      </x:c>
      <x:c r="G1314" s="12" t="n">
        <x:v>1</x:v>
      </x:c>
      <x:c r="H1314" s="12" t="str">
        <x:v>{'NORM': 80.0, 'IRBBB': 100.0, 'SR': 0.0}</x:v>
      </x:c>
      <x:c r="I1314" s="12" t="str">
        <x:v>[('NSR', 100.0), ('NML', 100.0)]</x:v>
      </x:c>
      <x:c r="J1314" s="12" t="str">
        <x:v>ptbxl_database.csv；ecg_id=12082；scp_codes</x:v>
      </x:c>
      <x:c r="K1314" s="12" t="str">
        <x:v>12sl_statements.csv；ecg_id=12082；statements_ext_snomed</x:v>
      </x:c>
      <x:c r="L1314" s="12"/>
      <x:c r="M1314" s="12" t="str">
        <x:v>negative</x:v>
      </x:c>
      <x:c r="N1314" s="12"/>
      <x:c r="O1314" s="12" t="str">
        <x:v>negative</x:v>
      </x:c>
      <x:c r="P1314" s="12" t="str">
        <x:f>IF(OR(M1314="unavailable",O1314="unavailable"),"不可评价",IF(OR(M1314="equivocal",O1314="equivocal"),"疑似",IF(AND(M1314="positive",O1314="positive"),"a",IF(O1314="positive","b",IF(M1314="positive","c","d")))))</x:f>
        <x:v>d</x:v>
      </x:c>
      <x:c r="Q1314" s="12"/>
      <x:c r="R1314" s="12" t="str">
        <x:v>negative</x:v>
      </x:c>
      <x:c r="S1314" s="12"/>
      <x:c r="T1314" s="12" t="str">
        <x:v>negative</x:v>
      </x:c>
      <x:c r="U1314" s="12" t="str">
        <x:f>IF(OR(R1314="unavailable",T1314="unavailable"),"不可评价",IF(OR(R1314="equivocal",T1314="equivocal"),"疑似",IF(AND(R1314="positive",T1314="positive"),"a",IF(T1314="positive","b",IF(R1314="positive","c","d")))))</x:f>
        <x:v>d</x:v>
      </x:c>
      <x:c r="V1314" s="12"/>
      <x:c r="W1314" s="12" t="str">
        <x:v>negative</x:v>
      </x:c>
      <x:c r="X1314" s="12"/>
      <x:c r="Y1314" s="12" t="str">
        <x:v>negative</x:v>
      </x:c>
      <x:c r="Z1314" s="12" t="str">
        <x:f>IF(OR(W1314="unavailable",Y1314="unavailable"),"不可评价",IF(OR(W1314="equivocal",Y1314="equivocal"),"疑似",IF(AND(W1314="positive",Y1314="positive"),"a",IF(Y1314="positive","b",IF(W1314="positive","c","d")))))</x:f>
        <x:v>d</x:v>
      </x:c>
      <x:c r="AA1314" s="12" t="str">
        <x:f>IF(OR(M1314="unavailable",O1314="unavailable"),"不可评价",IF(AND(OR(M1314="positive",M1314="equivocal"),OR(O1314="positive",O1314="equivocal")),"a",IF(OR(O1314="positive",O1314="equivocal"),"b",IF(OR(M1314="positive",M1314="equivocal"),"c","d"))))</x:f>
        <x:v>d</x:v>
      </x:c>
      <x:c r="AB1314" s="12" t="str">
        <x:f>IF(OR(M1314="unavailable",O1314="unavailable"),"不可评价",IF(AND(M1314="positive",O1314="positive"),"a",IF(O1314="positive","b",IF(M1314="positive","c","d"))))</x:f>
        <x:v>d</x:v>
      </x:c>
      <x:c r="AC1314" s="12" t="str">
        <x:f>IF(OR(R1314="unavailable",T1314="unavailable"),"不可评价",IF(AND(OR(R1314="positive",R1314="equivocal"),OR(T1314="positive",T1314="equivocal")),"a",IF(OR(T1314="positive",T1314="equivocal"),"b",IF(OR(R1314="positive",R1314="equivocal"),"c","d"))))</x:f>
        <x:v>d</x:v>
      </x:c>
      <x:c r="AD1314" s="12" t="str">
        <x:f>IF(OR(R1314="unavailable",T1314="unavailable"),"不可评价",IF(AND(R1314="positive",T1314="positive"),"a",IF(T1314="positive","b",IF(R1314="positive","c","d"))))</x:f>
        <x:v>d</x:v>
      </x:c>
      <x:c r="AE1314" s="12" t="str">
        <x:f>IF(OR(W1314="unavailable",Y1314="unavailable"),"不可评价",IF(AND(OR(W1314="positive",W1314="equivocal"),OR(Y1314="positive",Y1314="equivocal")),"a",IF(OR(Y1314="positive",Y1314="equivocal"),"b",IF(OR(W1314="positive",W1314="equivocal"),"c","d"))))</x:f>
        <x:v>d</x:v>
      </x:c>
      <x:c r="AF1314" s="12" t="str">
        <x:f>IF(OR(W1314="unavailable",Y1314="unavailable"),"不可评价",IF(AND(W1314="positive",Y1314="positive"),"a",IF(Y1314="positive","b",IF(W1314="positive","c","d"))))</x:f>
        <x:v>d</x:v>
      </x:c>
    </x:row>
    <x:row r="1315" ht="24" customHeight="1">
      <x:c r="A1315" s="12" t="str">
        <x:v>12112</x:v>
      </x:c>
      <x:c r="B1315" s="12" t="str">
        <x:v>20694</x:v>
      </x:c>
      <x:c r="C1315" s="21" t="n">
        <x:v>34455.51700231482</x:v>
      </x:c>
      <x:c r="D1315" s="12" t="n">
        <x:v>68</x:v>
      </x:c>
      <x:c r="E1315" s="12" t="n">
        <x:v>1</x:v>
      </x:c>
      <x:c r="F1315" s="12" t="str">
        <x:v>未记录</x:v>
      </x:c>
      <x:c r="G1315" s="12" t="n">
        <x:v>1</x:v>
      </x:c>
      <x:c r="H1315" s="12" t="str">
        <x:v>{'IMI': 50.0, 'SR': 0.0}</x:v>
      </x:c>
      <x:c r="I1315" s="12" t="str">
        <x:v>[('NSR', 100.0), ('NSTT', 100.0), ('AB', 100.0)]</x:v>
      </x:c>
      <x:c r="J1315" s="12" t="str">
        <x:v>ptbxl_database.csv；ecg_id=12112；scp_codes</x:v>
      </x:c>
      <x:c r="K1315" s="12" t="str">
        <x:v>12sl_statements.csv；ecg_id=12112；statements_ext_snomed</x:v>
      </x:c>
      <x:c r="L1315" s="12"/>
      <x:c r="M1315" s="12" t="str">
        <x:v>negative</x:v>
      </x:c>
      <x:c r="N1315" s="12"/>
      <x:c r="O1315" s="12" t="str">
        <x:v>negative</x:v>
      </x:c>
      <x:c r="P1315" s="12" t="str">
        <x:f>IF(OR(M1315="unavailable",O1315="unavailable"),"不可评价",IF(OR(M1315="equivocal",O1315="equivocal"),"疑似",IF(AND(M1315="positive",O1315="positive"),"a",IF(O1315="positive","b",IF(M1315="positive","c","d")))))</x:f>
        <x:v>d</x:v>
      </x:c>
      <x:c r="Q1315" s="12"/>
      <x:c r="R1315" s="12" t="str">
        <x:v>negative</x:v>
      </x:c>
      <x:c r="S1315" s="12"/>
      <x:c r="T1315" s="12" t="str">
        <x:v>negative</x:v>
      </x:c>
      <x:c r="U1315" s="12" t="str">
        <x:f>IF(OR(R1315="unavailable",T1315="unavailable"),"不可评价",IF(OR(R1315="equivocal",T1315="equivocal"),"疑似",IF(AND(R1315="positive",T1315="positive"),"a",IF(T1315="positive","b",IF(R1315="positive","c","d")))))</x:f>
        <x:v>d</x:v>
      </x:c>
      <x:c r="V1315" s="12"/>
      <x:c r="W1315" s="12" t="str">
        <x:v>negative</x:v>
      </x:c>
      <x:c r="X1315" s="12"/>
      <x:c r="Y1315" s="12" t="str">
        <x:v>negative</x:v>
      </x:c>
      <x:c r="Z1315" s="12" t="str">
        <x:f>IF(OR(W1315="unavailable",Y1315="unavailable"),"不可评价",IF(OR(W1315="equivocal",Y1315="equivocal"),"疑似",IF(AND(W1315="positive",Y1315="positive"),"a",IF(Y1315="positive","b",IF(W1315="positive","c","d")))))</x:f>
        <x:v>d</x:v>
      </x:c>
      <x:c r="AA1315" s="12" t="str">
        <x:f>IF(OR(M1315="unavailable",O1315="unavailable"),"不可评价",IF(AND(OR(M1315="positive",M1315="equivocal"),OR(O1315="positive",O1315="equivocal")),"a",IF(OR(O1315="positive",O1315="equivocal"),"b",IF(OR(M1315="positive",M1315="equivocal"),"c","d"))))</x:f>
        <x:v>d</x:v>
      </x:c>
      <x:c r="AB1315" s="12" t="str">
        <x:f>IF(OR(M1315="unavailable",O1315="unavailable"),"不可评价",IF(AND(M1315="positive",O1315="positive"),"a",IF(O1315="positive","b",IF(M1315="positive","c","d"))))</x:f>
        <x:v>d</x:v>
      </x:c>
      <x:c r="AC1315" s="12" t="str">
        <x:f>IF(OR(R1315="unavailable",T1315="unavailable"),"不可评价",IF(AND(OR(R1315="positive",R1315="equivocal"),OR(T1315="positive",T1315="equivocal")),"a",IF(OR(T1315="positive",T1315="equivocal"),"b",IF(OR(R1315="positive",R1315="equivocal"),"c","d"))))</x:f>
        <x:v>d</x:v>
      </x:c>
      <x:c r="AD1315" s="12" t="str">
        <x:f>IF(OR(R1315="unavailable",T1315="unavailable"),"不可评价",IF(AND(R1315="positive",T1315="positive"),"a",IF(T1315="positive","b",IF(R1315="positive","c","d"))))</x:f>
        <x:v>d</x:v>
      </x:c>
      <x:c r="AE1315" s="12" t="str">
        <x:f>IF(OR(W1315="unavailable",Y1315="unavailable"),"不可评价",IF(AND(OR(W1315="positive",W1315="equivocal"),OR(Y1315="positive",Y1315="equivocal")),"a",IF(OR(Y1315="positive",Y1315="equivocal"),"b",IF(OR(W1315="positive",W1315="equivocal"),"c","d"))))</x:f>
        <x:v>d</x:v>
      </x:c>
      <x:c r="AF1315" s="12" t="str">
        <x:f>IF(OR(W1315="unavailable",Y1315="unavailable"),"不可评价",IF(AND(W1315="positive",Y1315="positive"),"a",IF(Y1315="positive","b",IF(W1315="positive","c","d"))))</x:f>
        <x:v>d</x:v>
      </x:c>
    </x:row>
    <x:row r="1316" ht="24" customHeight="1">
      <x:c r="A1316" s="12" t="str">
        <x:v>12122</x:v>
      </x:c>
      <x:c r="B1316" s="12" t="str">
        <x:v>5766</x:v>
      </x:c>
      <x:c r="C1316" s="21" t="n">
        <x:v>34458.39293981482</x:v>
      </x:c>
      <x:c r="D1316" s="12" t="n">
        <x:v>76</x:v>
      </x:c>
      <x:c r="E1316" s="12" t="n">
        <x:v>1</x:v>
      </x:c>
      <x:c r="F1316" s="12" t="str">
        <x:v>未记录</x:v>
      </x:c>
      <x:c r="G1316" s="12" t="n">
        <x:v>1</x:v>
      </x:c>
      <x:c r="H1316" s="12" t="str">
        <x:v>{'LVH': 35.0, 'VCLVH': 0.0, 'SR': 0.0}</x:v>
      </x:c>
      <x:c r="I1316" s="12" t="str">
        <x:v>[('NSR', 100.0), ('LAE', 50.0), ('LAD3', 100.0), ('AB', 100.0)]</x:v>
      </x:c>
      <x:c r="J1316" s="12" t="str">
        <x:v>ptbxl_database.csv；ecg_id=12122；scp_codes</x:v>
      </x:c>
      <x:c r="K1316" s="12" t="str">
        <x:v>12sl_statements.csv；ecg_id=12122；statements_ext_snomed</x:v>
      </x:c>
      <x:c r="L1316" s="12"/>
      <x:c r="M1316" s="12" t="str">
        <x:v>negative</x:v>
      </x:c>
      <x:c r="N1316" s="12"/>
      <x:c r="O1316" s="12" t="str">
        <x:v>negative</x:v>
      </x:c>
      <x:c r="P1316" s="12" t="str">
        <x:f>IF(OR(M1316="unavailable",O1316="unavailable"),"不可评价",IF(OR(M1316="equivocal",O1316="equivocal"),"疑似",IF(AND(M1316="positive",O1316="positive"),"a",IF(O1316="positive","b",IF(M1316="positive","c","d")))))</x:f>
        <x:v>d</x:v>
      </x:c>
      <x:c r="Q1316" s="12"/>
      <x:c r="R1316" s="12" t="str">
        <x:v>negative</x:v>
      </x:c>
      <x:c r="S1316" s="12"/>
      <x:c r="T1316" s="12" t="str">
        <x:v>negative</x:v>
      </x:c>
      <x:c r="U1316" s="12" t="str">
        <x:f>IF(OR(R1316="unavailable",T1316="unavailable"),"不可评价",IF(OR(R1316="equivocal",T1316="equivocal"),"疑似",IF(AND(R1316="positive",T1316="positive"),"a",IF(T1316="positive","b",IF(R1316="positive","c","d")))))</x:f>
        <x:v>d</x:v>
      </x:c>
      <x:c r="V1316" s="12"/>
      <x:c r="W1316" s="12" t="str">
        <x:v>negative</x:v>
      </x:c>
      <x:c r="X1316" s="12"/>
      <x:c r="Y1316" s="12" t="str">
        <x:v>negative</x:v>
      </x:c>
      <x:c r="Z1316" s="12" t="str">
        <x:f>IF(OR(W1316="unavailable",Y1316="unavailable"),"不可评价",IF(OR(W1316="equivocal",Y1316="equivocal"),"疑似",IF(AND(W1316="positive",Y1316="positive"),"a",IF(Y1316="positive","b",IF(W1316="positive","c","d")))))</x:f>
        <x:v>d</x:v>
      </x:c>
      <x:c r="AA1316" s="12" t="str">
        <x:f>IF(OR(M1316="unavailable",O1316="unavailable"),"不可评价",IF(AND(OR(M1316="positive",M1316="equivocal"),OR(O1316="positive",O1316="equivocal")),"a",IF(OR(O1316="positive",O1316="equivocal"),"b",IF(OR(M1316="positive",M1316="equivocal"),"c","d"))))</x:f>
        <x:v>d</x:v>
      </x:c>
      <x:c r="AB1316" s="12" t="str">
        <x:f>IF(OR(M1316="unavailable",O1316="unavailable"),"不可评价",IF(AND(M1316="positive",O1316="positive"),"a",IF(O1316="positive","b",IF(M1316="positive","c","d"))))</x:f>
        <x:v>d</x:v>
      </x:c>
      <x:c r="AC1316" s="12" t="str">
        <x:f>IF(OR(R1316="unavailable",T1316="unavailable"),"不可评价",IF(AND(OR(R1316="positive",R1316="equivocal"),OR(T1316="positive",T1316="equivocal")),"a",IF(OR(T1316="positive",T1316="equivocal"),"b",IF(OR(R1316="positive",R1316="equivocal"),"c","d"))))</x:f>
        <x:v>d</x:v>
      </x:c>
      <x:c r="AD1316" s="12" t="str">
        <x:f>IF(OR(R1316="unavailable",T1316="unavailable"),"不可评价",IF(AND(R1316="positive",T1316="positive"),"a",IF(T1316="positive","b",IF(R1316="positive","c","d"))))</x:f>
        <x:v>d</x:v>
      </x:c>
      <x:c r="AE1316" s="12" t="str">
        <x:f>IF(OR(W1316="unavailable",Y1316="unavailable"),"不可评价",IF(AND(OR(W1316="positive",W1316="equivocal"),OR(Y1316="positive",Y1316="equivocal")),"a",IF(OR(Y1316="positive",Y1316="equivocal"),"b",IF(OR(W1316="positive",W1316="equivocal"),"c","d"))))</x:f>
        <x:v>d</x:v>
      </x:c>
      <x:c r="AF1316" s="12" t="str">
        <x:f>IF(OR(W1316="unavailable",Y1316="unavailable"),"不可评价",IF(AND(W1316="positive",Y1316="positive"),"a",IF(Y1316="positive","b",IF(W1316="positive","c","d"))))</x:f>
        <x:v>d</x:v>
      </x:c>
    </x:row>
    <x:row r="1317" ht="24" customHeight="1">
      <x:c r="A1317" s="12" t="str">
        <x:v>12124</x:v>
      </x:c>
      <x:c r="B1317" s="12" t="str">
        <x:v>6916</x:v>
      </x:c>
      <x:c r="C1317" s="21" t="n">
        <x:v>34458.443020833336</x:v>
      </x:c>
      <x:c r="D1317" s="12" t="n">
        <x:v>70</x:v>
      </x:c>
      <x:c r="E1317" s="12" t="n">
        <x:v>1</x:v>
      </x:c>
      <x:c r="F1317" s="12" t="str">
        <x:v>未记录</x:v>
      </x:c>
      <x:c r="G1317" s="12" t="n">
        <x:v>1</x:v>
      </x:c>
      <x:c r="H1317" s="12" t="str">
        <x:v>{'IMI': 50.0, 'QWAVE': 0.0, 'SR': 0.0}</x:v>
      </x:c>
      <x:c r="I1317" s="12" t="str">
        <x:v>[('NSR', 100.0), ('NML', 100.0)]</x:v>
      </x:c>
      <x:c r="J1317" s="12" t="str">
        <x:v>ptbxl_database.csv；ecg_id=12124；scp_codes</x:v>
      </x:c>
      <x:c r="K1317" s="12" t="str">
        <x:v>12sl_statements.csv；ecg_id=12124；statements_ext_snomed</x:v>
      </x:c>
      <x:c r="L1317" s="12"/>
      <x:c r="M1317" s="12" t="str">
        <x:v>negative</x:v>
      </x:c>
      <x:c r="N1317" s="12"/>
      <x:c r="O1317" s="12" t="str">
        <x:v>negative</x:v>
      </x:c>
      <x:c r="P1317" s="12" t="str">
        <x:f>IF(OR(M1317="unavailable",O1317="unavailable"),"不可评价",IF(OR(M1317="equivocal",O1317="equivocal"),"疑似",IF(AND(M1317="positive",O1317="positive"),"a",IF(O1317="positive","b",IF(M1317="positive","c","d")))))</x:f>
        <x:v>d</x:v>
      </x:c>
      <x:c r="Q1317" s="12"/>
      <x:c r="R1317" s="12" t="str">
        <x:v>negative</x:v>
      </x:c>
      <x:c r="S1317" s="12"/>
      <x:c r="T1317" s="12" t="str">
        <x:v>negative</x:v>
      </x:c>
      <x:c r="U1317" s="12" t="str">
        <x:f>IF(OR(R1317="unavailable",T1317="unavailable"),"不可评价",IF(OR(R1317="equivocal",T1317="equivocal"),"疑似",IF(AND(R1317="positive",T1317="positive"),"a",IF(T1317="positive","b",IF(R1317="positive","c","d")))))</x:f>
        <x:v>d</x:v>
      </x:c>
      <x:c r="V1317" s="12"/>
      <x:c r="W1317" s="12" t="str">
        <x:v>negative</x:v>
      </x:c>
      <x:c r="X1317" s="12"/>
      <x:c r="Y1317" s="12" t="str">
        <x:v>negative</x:v>
      </x:c>
      <x:c r="Z1317" s="12" t="str">
        <x:f>IF(OR(W1317="unavailable",Y1317="unavailable"),"不可评价",IF(OR(W1317="equivocal",Y1317="equivocal"),"疑似",IF(AND(W1317="positive",Y1317="positive"),"a",IF(Y1317="positive","b",IF(W1317="positive","c","d")))))</x:f>
        <x:v>d</x:v>
      </x:c>
      <x:c r="AA1317" s="12" t="str">
        <x:f>IF(OR(M1317="unavailable",O1317="unavailable"),"不可评价",IF(AND(OR(M1317="positive",M1317="equivocal"),OR(O1317="positive",O1317="equivocal")),"a",IF(OR(O1317="positive",O1317="equivocal"),"b",IF(OR(M1317="positive",M1317="equivocal"),"c","d"))))</x:f>
        <x:v>d</x:v>
      </x:c>
      <x:c r="AB1317" s="12" t="str">
        <x:f>IF(OR(M1317="unavailable",O1317="unavailable"),"不可评价",IF(AND(M1317="positive",O1317="positive"),"a",IF(O1317="positive","b",IF(M1317="positive","c","d"))))</x:f>
        <x:v>d</x:v>
      </x:c>
      <x:c r="AC1317" s="12" t="str">
        <x:f>IF(OR(R1317="unavailable",T1317="unavailable"),"不可评价",IF(AND(OR(R1317="positive",R1317="equivocal"),OR(T1317="positive",T1317="equivocal")),"a",IF(OR(T1317="positive",T1317="equivocal"),"b",IF(OR(R1317="positive",R1317="equivocal"),"c","d"))))</x:f>
        <x:v>d</x:v>
      </x:c>
      <x:c r="AD1317" s="12" t="str">
        <x:f>IF(OR(R1317="unavailable",T1317="unavailable"),"不可评价",IF(AND(R1317="positive",T1317="positive"),"a",IF(T1317="positive","b",IF(R1317="positive","c","d"))))</x:f>
        <x:v>d</x:v>
      </x:c>
      <x:c r="AE1317" s="12" t="str">
        <x:f>IF(OR(W1317="unavailable",Y1317="unavailable"),"不可评价",IF(AND(OR(W1317="positive",W1317="equivocal"),OR(Y1317="positive",Y1317="equivocal")),"a",IF(OR(Y1317="positive",Y1317="equivocal"),"b",IF(OR(W1317="positive",W1317="equivocal"),"c","d"))))</x:f>
        <x:v>d</x:v>
      </x:c>
      <x:c r="AF1317" s="12" t="str">
        <x:f>IF(OR(W1317="unavailable",Y1317="unavailable"),"不可评价",IF(AND(W1317="positive",Y1317="positive"),"a",IF(Y1317="positive","b",IF(W1317="positive","c","d"))))</x:f>
        <x:v>d</x:v>
      </x:c>
    </x:row>
    <x:row r="1318" ht="24" customHeight="1">
      <x:c r="A1318" s="12" t="str">
        <x:v>12126</x:v>
      </x:c>
      <x:c r="B1318" s="12" t="str">
        <x:v>4515</x:v>
      </x:c>
      <x:c r="C1318" s="21" t="n">
        <x:v>34458.533171296294</x:v>
      </x:c>
      <x:c r="D1318" s="12" t="n">
        <x:v>83</x:v>
      </x:c>
      <x:c r="E1318" s="12" t="n">
        <x:v>0</x:v>
      </x:c>
      <x:c r="F1318" s="12" t="str">
        <x:v>未记录</x:v>
      </x:c>
      <x:c r="G1318" s="12" t="n">
        <x:v>1</x:v>
      </x:c>
      <x:c r="H1318" s="12" t="str">
        <x:v>{'EL': 50.0, 'STD_': 0.0, 'SR': 0.0}</x:v>
      </x:c>
      <x:c r="I1318" s="12" t="str">
        <x:v>[('NSR', 100.0), ('NST', 100.0), ('AB', 100.0)]</x:v>
      </x:c>
      <x:c r="J1318" s="12" t="str">
        <x:v>ptbxl_database.csv；ecg_id=12126；scp_codes</x:v>
      </x:c>
      <x:c r="K1318" s="12" t="str">
        <x:v>12sl_statements.csv；ecg_id=12126；statements_ext_snomed</x:v>
      </x:c>
      <x:c r="L1318" s="12"/>
      <x:c r="M1318" s="12" t="str">
        <x:v>negative</x:v>
      </x:c>
      <x:c r="N1318" s="12"/>
      <x:c r="O1318" s="12" t="str">
        <x:v>negative</x:v>
      </x:c>
      <x:c r="P1318" s="12" t="str">
        <x:f>IF(OR(M1318="unavailable",O1318="unavailable"),"不可评价",IF(OR(M1318="equivocal",O1318="equivocal"),"疑似",IF(AND(M1318="positive",O1318="positive"),"a",IF(O1318="positive","b",IF(M1318="positive","c","d")))))</x:f>
        <x:v>d</x:v>
      </x:c>
      <x:c r="Q1318" s="12"/>
      <x:c r="R1318" s="12" t="str">
        <x:v>negative</x:v>
      </x:c>
      <x:c r="S1318" s="12"/>
      <x:c r="T1318" s="12" t="str">
        <x:v>negative</x:v>
      </x:c>
      <x:c r="U1318" s="12" t="str">
        <x:f>IF(OR(R1318="unavailable",T1318="unavailable"),"不可评价",IF(OR(R1318="equivocal",T1318="equivocal"),"疑似",IF(AND(R1318="positive",T1318="positive"),"a",IF(T1318="positive","b",IF(R1318="positive","c","d")))))</x:f>
        <x:v>d</x:v>
      </x:c>
      <x:c r="V1318" s="12"/>
      <x:c r="W1318" s="12" t="str">
        <x:v>negative</x:v>
      </x:c>
      <x:c r="X1318" s="12"/>
      <x:c r="Y1318" s="12" t="str">
        <x:v>negative</x:v>
      </x:c>
      <x:c r="Z1318" s="12" t="str">
        <x:f>IF(OR(W1318="unavailable",Y1318="unavailable"),"不可评价",IF(OR(W1318="equivocal",Y1318="equivocal"),"疑似",IF(AND(W1318="positive",Y1318="positive"),"a",IF(Y1318="positive","b",IF(W1318="positive","c","d")))))</x:f>
        <x:v>d</x:v>
      </x:c>
      <x:c r="AA1318" s="12" t="str">
        <x:f>IF(OR(M1318="unavailable",O1318="unavailable"),"不可评价",IF(AND(OR(M1318="positive",M1318="equivocal"),OR(O1318="positive",O1318="equivocal")),"a",IF(OR(O1318="positive",O1318="equivocal"),"b",IF(OR(M1318="positive",M1318="equivocal"),"c","d"))))</x:f>
        <x:v>d</x:v>
      </x:c>
      <x:c r="AB1318" s="12" t="str">
        <x:f>IF(OR(M1318="unavailable",O1318="unavailable"),"不可评价",IF(AND(M1318="positive",O1318="positive"),"a",IF(O1318="positive","b",IF(M1318="positive","c","d"))))</x:f>
        <x:v>d</x:v>
      </x:c>
      <x:c r="AC1318" s="12" t="str">
        <x:f>IF(OR(R1318="unavailable",T1318="unavailable"),"不可评价",IF(AND(OR(R1318="positive",R1318="equivocal"),OR(T1318="positive",T1318="equivocal")),"a",IF(OR(T1318="positive",T1318="equivocal"),"b",IF(OR(R1318="positive",R1318="equivocal"),"c","d"))))</x:f>
        <x:v>d</x:v>
      </x:c>
      <x:c r="AD1318" s="12" t="str">
        <x:f>IF(OR(R1318="unavailable",T1318="unavailable"),"不可评价",IF(AND(R1318="positive",T1318="positive"),"a",IF(T1318="positive","b",IF(R1318="positive","c","d"))))</x:f>
        <x:v>d</x:v>
      </x:c>
      <x:c r="AE1318" s="12" t="str">
        <x:f>IF(OR(W1318="unavailable",Y1318="unavailable"),"不可评价",IF(AND(OR(W1318="positive",W1318="equivocal"),OR(Y1318="positive",Y1318="equivocal")),"a",IF(OR(Y1318="positive",Y1318="equivocal"),"b",IF(OR(W1318="positive",W1318="equivocal"),"c","d"))))</x:f>
        <x:v>d</x:v>
      </x:c>
      <x:c r="AF1318" s="12" t="str">
        <x:f>IF(OR(W1318="unavailable",Y1318="unavailable"),"不可评价",IF(AND(W1318="positive",Y1318="positive"),"a",IF(Y1318="positive","b",IF(W1318="positive","c","d"))))</x:f>
        <x:v>d</x:v>
      </x:c>
    </x:row>
    <x:row r="1319" ht="24" customHeight="1">
      <x:c r="A1319" s="12" t="str">
        <x:v>12137</x:v>
      </x:c>
      <x:c r="B1319" s="12" t="str">
        <x:v>2290</x:v>
      </x:c>
      <x:c r="C1319" s="21" t="n">
        <x:v>34459.51944444444</x:v>
      </x:c>
      <x:c r="D1319" s="12" t="n">
        <x:v>84</x:v>
      </x:c>
      <x:c r="E1319" s="12" t="n">
        <x:v>1</x:v>
      </x:c>
      <x:c r="F1319" s="12" t="str">
        <x:v>未记录</x:v>
      </x:c>
      <x:c r="G1319" s="12" t="n">
        <x:v>1</x:v>
      </x:c>
      <x:c r="H1319" s="12" t="str">
        <x:v>{'AMI': 35.0, 'SR': 0.0}</x:v>
      </x:c>
      <x:c r="I1319" s="12" t="str">
        <x:v>[('NSR', 100.0), ('SMI;AU', 100.0), ('AB', 100.0)]</x:v>
      </x:c>
      <x:c r="J1319" s="12" t="str">
        <x:v>ptbxl_database.csv；ecg_id=12137；scp_codes</x:v>
      </x:c>
      <x:c r="K1319" s="12" t="str">
        <x:v>12sl_statements.csv；ecg_id=12137；statements_ext_snomed</x:v>
      </x:c>
      <x:c r="L1319" s="12"/>
      <x:c r="M1319" s="12" t="str">
        <x:v>negative</x:v>
      </x:c>
      <x:c r="N1319" s="12"/>
      <x:c r="O1319" s="12" t="str">
        <x:v>negative</x:v>
      </x:c>
      <x:c r="P1319" s="12" t="str">
        <x:f>IF(OR(M1319="unavailable",O1319="unavailable"),"不可评价",IF(OR(M1319="equivocal",O1319="equivocal"),"疑似",IF(AND(M1319="positive",O1319="positive"),"a",IF(O1319="positive","b",IF(M1319="positive","c","d")))))</x:f>
        <x:v>d</x:v>
      </x:c>
      <x:c r="Q1319" s="12"/>
      <x:c r="R1319" s="12" t="str">
        <x:v>negative</x:v>
      </x:c>
      <x:c r="S1319" s="12"/>
      <x:c r="T1319" s="12" t="str">
        <x:v>negative</x:v>
      </x:c>
      <x:c r="U1319" s="12" t="str">
        <x:f>IF(OR(R1319="unavailable",T1319="unavailable"),"不可评价",IF(OR(R1319="equivocal",T1319="equivocal"),"疑似",IF(AND(R1319="positive",T1319="positive"),"a",IF(T1319="positive","b",IF(R1319="positive","c","d")))))</x:f>
        <x:v>d</x:v>
      </x:c>
      <x:c r="V1319" s="12"/>
      <x:c r="W1319" s="12" t="str">
        <x:v>negative</x:v>
      </x:c>
      <x:c r="X1319" s="12"/>
      <x:c r="Y1319" s="12" t="str">
        <x:v>negative</x:v>
      </x:c>
      <x:c r="Z1319" s="12" t="str">
        <x:f>IF(OR(W1319="unavailable",Y1319="unavailable"),"不可评价",IF(OR(W1319="equivocal",Y1319="equivocal"),"疑似",IF(AND(W1319="positive",Y1319="positive"),"a",IF(Y1319="positive","b",IF(W1319="positive","c","d")))))</x:f>
        <x:v>d</x:v>
      </x:c>
      <x:c r="AA1319" s="12" t="str">
        <x:f>IF(OR(M1319="unavailable",O1319="unavailable"),"不可评价",IF(AND(OR(M1319="positive",M1319="equivocal"),OR(O1319="positive",O1319="equivocal")),"a",IF(OR(O1319="positive",O1319="equivocal"),"b",IF(OR(M1319="positive",M1319="equivocal"),"c","d"))))</x:f>
        <x:v>d</x:v>
      </x:c>
      <x:c r="AB1319" s="12" t="str">
        <x:f>IF(OR(M1319="unavailable",O1319="unavailable"),"不可评价",IF(AND(M1319="positive",O1319="positive"),"a",IF(O1319="positive","b",IF(M1319="positive","c","d"))))</x:f>
        <x:v>d</x:v>
      </x:c>
      <x:c r="AC1319" s="12" t="str">
        <x:f>IF(OR(R1319="unavailable",T1319="unavailable"),"不可评价",IF(AND(OR(R1319="positive",R1319="equivocal"),OR(T1319="positive",T1319="equivocal")),"a",IF(OR(T1319="positive",T1319="equivocal"),"b",IF(OR(R1319="positive",R1319="equivocal"),"c","d"))))</x:f>
        <x:v>d</x:v>
      </x:c>
      <x:c r="AD1319" s="12" t="str">
        <x:f>IF(OR(R1319="unavailable",T1319="unavailable"),"不可评价",IF(AND(R1319="positive",T1319="positive"),"a",IF(T1319="positive","b",IF(R1319="positive","c","d"))))</x:f>
        <x:v>d</x:v>
      </x:c>
      <x:c r="AE1319" s="12" t="str">
        <x:f>IF(OR(W1319="unavailable",Y1319="unavailable"),"不可评价",IF(AND(OR(W1319="positive",W1319="equivocal"),OR(Y1319="positive",Y1319="equivocal")),"a",IF(OR(Y1319="positive",Y1319="equivocal"),"b",IF(OR(W1319="positive",W1319="equivocal"),"c","d"))))</x:f>
        <x:v>d</x:v>
      </x:c>
      <x:c r="AF1319" s="12" t="str">
        <x:f>IF(OR(W1319="unavailable",Y1319="unavailable"),"不可评价",IF(AND(W1319="positive",Y1319="positive"),"a",IF(Y1319="positive","b",IF(W1319="positive","c","d"))))</x:f>
        <x:v>d</x:v>
      </x:c>
    </x:row>
    <x:row r="1320" ht="39" customHeight="1">
      <x:c r="A1320" s="12" t="str">
        <x:v>12143</x:v>
      </x:c>
      <x:c r="B1320" s="12" t="str">
        <x:v>535</x:v>
      </x:c>
      <x:c r="C1320" s="21" t="n">
        <x:v>34460.36986111111</x:v>
      </x:c>
      <x:c r="D1320" s="12" t="n">
        <x:v>72</x:v>
      </x:c>
      <x:c r="E1320" s="12" t="n">
        <x:v>1</x:v>
      </x:c>
      <x:c r="F1320" s="12" t="str">
        <x:v>未记录</x:v>
      </x:c>
      <x:c r="G1320" s="12" t="n">
        <x:v>1</x:v>
      </x:c>
      <x:c r="H1320" s="12" t="str">
        <x:v>{'ASMI': 15.0, 'LAFB': 100.0, 'VCLVH': 0.0, 'SR': 0.0}</x:v>
      </x:c>
      <x:c r="I1320" s="12" t="str">
        <x:v>[('SBRAD', 100.0), ('SPR', 100.0), ('AFB', 100.0), ('LVH2', 100.0), ('2ST', 100.0), ('AB', 100.0)]</x:v>
      </x:c>
      <x:c r="J1320" s="12" t="str">
        <x:v>ptbxl_database.csv；ecg_id=12143；scp_codes</x:v>
      </x:c>
      <x:c r="K1320" s="12" t="str">
        <x:v>12sl_statements.csv；ecg_id=12143；statements_ext_snomed</x:v>
      </x:c>
      <x:c r="L1320" s="12"/>
      <x:c r="M1320" s="12" t="str">
        <x:v>negative</x:v>
      </x:c>
      <x:c r="N1320" s="12"/>
      <x:c r="O1320" s="12" t="str">
        <x:v>negative</x:v>
      </x:c>
      <x:c r="P1320" s="12" t="str">
        <x:f>IF(OR(M1320="unavailable",O1320="unavailable"),"不可评价",IF(OR(M1320="equivocal",O1320="equivocal"),"疑似",IF(AND(M1320="positive",O1320="positive"),"a",IF(O1320="positive","b",IF(M1320="positive","c","d")))))</x:f>
        <x:v>d</x:v>
      </x:c>
      <x:c r="Q1320" s="12"/>
      <x:c r="R1320" s="12" t="str">
        <x:v>negative</x:v>
      </x:c>
      <x:c r="S1320" s="12"/>
      <x:c r="T1320" s="12" t="str">
        <x:v>negative</x:v>
      </x:c>
      <x:c r="U1320" s="12" t="str">
        <x:f>IF(OR(R1320="unavailable",T1320="unavailable"),"不可评价",IF(OR(R1320="equivocal",T1320="equivocal"),"疑似",IF(AND(R1320="positive",T1320="positive"),"a",IF(T1320="positive","b",IF(R1320="positive","c","d")))))</x:f>
        <x:v>d</x:v>
      </x:c>
      <x:c r="V1320" s="12"/>
      <x:c r="W1320" s="12" t="str">
        <x:v>negative</x:v>
      </x:c>
      <x:c r="X1320" s="12"/>
      <x:c r="Y1320" s="12" t="str">
        <x:v>negative</x:v>
      </x:c>
      <x:c r="Z1320" s="12" t="str">
        <x:f>IF(OR(W1320="unavailable",Y1320="unavailable"),"不可评价",IF(OR(W1320="equivocal",Y1320="equivocal"),"疑似",IF(AND(W1320="positive",Y1320="positive"),"a",IF(Y1320="positive","b",IF(W1320="positive","c","d")))))</x:f>
        <x:v>d</x:v>
      </x:c>
      <x:c r="AA1320" s="12" t="str">
        <x:f>IF(OR(M1320="unavailable",O1320="unavailable"),"不可评价",IF(AND(OR(M1320="positive",M1320="equivocal"),OR(O1320="positive",O1320="equivocal")),"a",IF(OR(O1320="positive",O1320="equivocal"),"b",IF(OR(M1320="positive",M1320="equivocal"),"c","d"))))</x:f>
        <x:v>d</x:v>
      </x:c>
      <x:c r="AB1320" s="12" t="str">
        <x:f>IF(OR(M1320="unavailable",O1320="unavailable"),"不可评价",IF(AND(M1320="positive",O1320="positive"),"a",IF(O1320="positive","b",IF(M1320="positive","c","d"))))</x:f>
        <x:v>d</x:v>
      </x:c>
      <x:c r="AC1320" s="12" t="str">
        <x:f>IF(OR(R1320="unavailable",T1320="unavailable"),"不可评价",IF(AND(OR(R1320="positive",R1320="equivocal"),OR(T1320="positive",T1320="equivocal")),"a",IF(OR(T1320="positive",T1320="equivocal"),"b",IF(OR(R1320="positive",R1320="equivocal"),"c","d"))))</x:f>
        <x:v>d</x:v>
      </x:c>
      <x:c r="AD1320" s="12" t="str">
        <x:f>IF(OR(R1320="unavailable",T1320="unavailable"),"不可评价",IF(AND(R1320="positive",T1320="positive"),"a",IF(T1320="positive","b",IF(R1320="positive","c","d"))))</x:f>
        <x:v>d</x:v>
      </x:c>
      <x:c r="AE1320" s="12" t="str">
        <x:f>IF(OR(W1320="unavailable",Y1320="unavailable"),"不可评价",IF(AND(OR(W1320="positive",W1320="equivocal"),OR(Y1320="positive",Y1320="equivocal")),"a",IF(OR(Y1320="positive",Y1320="equivocal"),"b",IF(OR(W1320="positive",W1320="equivocal"),"c","d"))))</x:f>
        <x:v>d</x:v>
      </x:c>
      <x:c r="AF1320" s="12" t="str">
        <x:f>IF(OR(W1320="unavailable",Y1320="unavailable"),"不可评价",IF(AND(W1320="positive",Y1320="positive"),"a",IF(Y1320="positive","b",IF(W1320="positive","c","d"))))</x:f>
        <x:v>d</x:v>
      </x:c>
    </x:row>
    <x:row r="1321" ht="24" customHeight="1">
      <x:c r="A1321" s="12" t="str">
        <x:v>12144</x:v>
      </x:c>
      <x:c r="B1321" s="12" t="str">
        <x:v>6601</x:v>
      </x:c>
      <x:c r="C1321" s="21" t="n">
        <x:v>34460.39436342593</x:v>
      </x:c>
      <x:c r="D1321" s="12" t="n">
        <x:v>40</x:v>
      </x:c>
      <x:c r="E1321" s="12" t="n">
        <x:v>0</x:v>
      </x:c>
      <x:c r="F1321" s="12" t="str">
        <x:v>未记录</x:v>
      </x:c>
      <x:c r="G1321" s="12" t="n">
        <x:v>1</x:v>
      </x:c>
      <x:c r="H1321" s="12" t="str">
        <x:v>{'NORM': 100.0, 'SR': 0.0}</x:v>
      </x:c>
      <x:c r="I1321" s="12" t="str">
        <x:v>[('NSR', 100.0), ('NML', 100.0)]</x:v>
      </x:c>
      <x:c r="J1321" s="12" t="str">
        <x:v>ptbxl_database.csv；ecg_id=12144；scp_codes</x:v>
      </x:c>
      <x:c r="K1321" s="12" t="str">
        <x:v>12sl_statements.csv；ecg_id=12144；statements_ext_snomed</x:v>
      </x:c>
      <x:c r="L1321" s="12"/>
      <x:c r="M1321" s="12" t="str">
        <x:v>negative</x:v>
      </x:c>
      <x:c r="N1321" s="12"/>
      <x:c r="O1321" s="12" t="str">
        <x:v>negative</x:v>
      </x:c>
      <x:c r="P1321" s="12" t="str">
        <x:f>IF(OR(M1321="unavailable",O1321="unavailable"),"不可评价",IF(OR(M1321="equivocal",O1321="equivocal"),"疑似",IF(AND(M1321="positive",O1321="positive"),"a",IF(O1321="positive","b",IF(M1321="positive","c","d")))))</x:f>
        <x:v>d</x:v>
      </x:c>
      <x:c r="Q1321" s="12"/>
      <x:c r="R1321" s="12" t="str">
        <x:v>negative</x:v>
      </x:c>
      <x:c r="S1321" s="12"/>
      <x:c r="T1321" s="12" t="str">
        <x:v>negative</x:v>
      </x:c>
      <x:c r="U1321" s="12" t="str">
        <x:f>IF(OR(R1321="unavailable",T1321="unavailable"),"不可评价",IF(OR(R1321="equivocal",T1321="equivocal"),"疑似",IF(AND(R1321="positive",T1321="positive"),"a",IF(T1321="positive","b",IF(R1321="positive","c","d")))))</x:f>
        <x:v>d</x:v>
      </x:c>
      <x:c r="V1321" s="12"/>
      <x:c r="W1321" s="12" t="str">
        <x:v>negative</x:v>
      </x:c>
      <x:c r="X1321" s="12"/>
      <x:c r="Y1321" s="12" t="str">
        <x:v>negative</x:v>
      </x:c>
      <x:c r="Z1321" s="12" t="str">
        <x:f>IF(OR(W1321="unavailable",Y1321="unavailable"),"不可评价",IF(OR(W1321="equivocal",Y1321="equivocal"),"疑似",IF(AND(W1321="positive",Y1321="positive"),"a",IF(Y1321="positive","b",IF(W1321="positive","c","d")))))</x:f>
        <x:v>d</x:v>
      </x:c>
      <x:c r="AA1321" s="12" t="str">
        <x:f>IF(OR(M1321="unavailable",O1321="unavailable"),"不可评价",IF(AND(OR(M1321="positive",M1321="equivocal"),OR(O1321="positive",O1321="equivocal")),"a",IF(OR(O1321="positive",O1321="equivocal"),"b",IF(OR(M1321="positive",M1321="equivocal"),"c","d"))))</x:f>
        <x:v>d</x:v>
      </x:c>
      <x:c r="AB1321" s="12" t="str">
        <x:f>IF(OR(M1321="unavailable",O1321="unavailable"),"不可评价",IF(AND(M1321="positive",O1321="positive"),"a",IF(O1321="positive","b",IF(M1321="positive","c","d"))))</x:f>
        <x:v>d</x:v>
      </x:c>
      <x:c r="AC1321" s="12" t="str">
        <x:f>IF(OR(R1321="unavailable",T1321="unavailable"),"不可评价",IF(AND(OR(R1321="positive",R1321="equivocal"),OR(T1321="positive",T1321="equivocal")),"a",IF(OR(T1321="positive",T1321="equivocal"),"b",IF(OR(R1321="positive",R1321="equivocal"),"c","d"))))</x:f>
        <x:v>d</x:v>
      </x:c>
      <x:c r="AD1321" s="12" t="str">
        <x:f>IF(OR(R1321="unavailable",T1321="unavailable"),"不可评价",IF(AND(R1321="positive",T1321="positive"),"a",IF(T1321="positive","b",IF(R1321="positive","c","d"))))</x:f>
        <x:v>d</x:v>
      </x:c>
      <x:c r="AE1321" s="12" t="str">
        <x:f>IF(OR(W1321="unavailable",Y1321="unavailable"),"不可评价",IF(AND(OR(W1321="positive",W1321="equivocal"),OR(Y1321="positive",Y1321="equivocal")),"a",IF(OR(Y1321="positive",Y1321="equivocal"),"b",IF(OR(W1321="positive",W1321="equivocal"),"c","d"))))</x:f>
        <x:v>d</x:v>
      </x:c>
      <x:c r="AF1321" s="12" t="str">
        <x:f>IF(OR(W1321="unavailable",Y1321="unavailable"),"不可评价",IF(AND(W1321="positive",Y1321="positive"),"a",IF(Y1321="positive","b",IF(W1321="positive","c","d"))))</x:f>
        <x:v>d</x:v>
      </x:c>
    </x:row>
    <x:row r="1322" ht="24" customHeight="1">
      <x:c r="A1322" s="12" t="str">
        <x:v>12147</x:v>
      </x:c>
      <x:c r="B1322" s="12" t="str">
        <x:v>5173</x:v>
      </x:c>
      <x:c r="C1322" s="21" t="n">
        <x:v>34460.44534722222</x:v>
      </x:c>
      <x:c r="D1322" s="12" t="n">
        <x:v>61</x:v>
      </x:c>
      <x:c r="E1322" s="12" t="n">
        <x:v>0</x:v>
      </x:c>
      <x:c r="F1322" s="12" t="str">
        <x:v>未记录</x:v>
      </x:c>
      <x:c r="G1322" s="12" t="n">
        <x:v>1</x:v>
      </x:c>
      <x:c r="H1322" s="12" t="str">
        <x:v>{'NORM': 50.0, 'AFIB': 0.0}</x:v>
      </x:c>
      <x:c r="I1322" s="12" t="str">
        <x:v>[('AFIB', 100.0), ('AB', 100.0)]</x:v>
      </x:c>
      <x:c r="J1322" s="12" t="str">
        <x:v>ptbxl_database.csv；ecg_id=12147；scp_codes</x:v>
      </x:c>
      <x:c r="K1322" s="12" t="str">
        <x:v>12sl_statements.csv；ecg_id=12147；statements_ext_snomed</x:v>
      </x:c>
      <x:c r="L1322" s="12" t="n">
        <x:v>0</x:v>
      </x:c>
      <x:c r="M1322" s="12" t="str">
        <x:v>positive</x:v>
      </x:c>
      <x:c r="N1322" s="12" t="n">
        <x:v>100</x:v>
      </x:c>
      <x:c r="O1322" s="12" t="str">
        <x:v>positive</x:v>
      </x:c>
      <x:c r="P1322" s="12" t="str">
        <x:f>IF(OR(M1322="unavailable",O1322="unavailable"),"不可评价",IF(OR(M1322="equivocal",O1322="equivocal"),"疑似",IF(AND(M1322="positive",O1322="positive"),"a",IF(O1322="positive","b",IF(M1322="positive","c","d")))))</x:f>
        <x:v>a</x:v>
      </x:c>
      <x:c r="Q1322" s="12"/>
      <x:c r="R1322" s="12" t="str">
        <x:v>negative</x:v>
      </x:c>
      <x:c r="S1322" s="12"/>
      <x:c r="T1322" s="12" t="str">
        <x:v>negative</x:v>
      </x:c>
      <x:c r="U1322" s="12" t="str">
        <x:f>IF(OR(R1322="unavailable",T1322="unavailable"),"不可评价",IF(OR(R1322="equivocal",T1322="equivocal"),"疑似",IF(AND(R1322="positive",T1322="positive"),"a",IF(T1322="positive","b",IF(R1322="positive","c","d")))))</x:f>
        <x:v>d</x:v>
      </x:c>
      <x:c r="V1322" s="12"/>
      <x:c r="W1322" s="12" t="str">
        <x:v>negative</x:v>
      </x:c>
      <x:c r="X1322" s="12"/>
      <x:c r="Y1322" s="12" t="str">
        <x:v>negative</x:v>
      </x:c>
      <x:c r="Z1322" s="12" t="str">
        <x:f>IF(OR(W1322="unavailable",Y1322="unavailable"),"不可评价",IF(OR(W1322="equivocal",Y1322="equivocal"),"疑似",IF(AND(W1322="positive",Y1322="positive"),"a",IF(Y1322="positive","b",IF(W1322="positive","c","d")))))</x:f>
        <x:v>d</x:v>
      </x:c>
      <x:c r="AA1322" s="12" t="str">
        <x:f>IF(OR(M1322="unavailable",O1322="unavailable"),"不可评价",IF(AND(OR(M1322="positive",M1322="equivocal"),OR(O1322="positive",O1322="equivocal")),"a",IF(OR(O1322="positive",O1322="equivocal"),"b",IF(OR(M1322="positive",M1322="equivocal"),"c","d"))))</x:f>
        <x:v>a</x:v>
      </x:c>
      <x:c r="AB1322" s="12" t="str">
        <x:f>IF(OR(M1322="unavailable",O1322="unavailable"),"不可评价",IF(AND(M1322="positive",O1322="positive"),"a",IF(O1322="positive","b",IF(M1322="positive","c","d"))))</x:f>
        <x:v>a</x:v>
      </x:c>
      <x:c r="AC1322" s="12" t="str">
        <x:f>IF(OR(R1322="unavailable",T1322="unavailable"),"不可评价",IF(AND(OR(R1322="positive",R1322="equivocal"),OR(T1322="positive",T1322="equivocal")),"a",IF(OR(T1322="positive",T1322="equivocal"),"b",IF(OR(R1322="positive",R1322="equivocal"),"c","d"))))</x:f>
        <x:v>d</x:v>
      </x:c>
      <x:c r="AD1322" s="12" t="str">
        <x:f>IF(OR(R1322="unavailable",T1322="unavailable"),"不可评价",IF(AND(R1322="positive",T1322="positive"),"a",IF(T1322="positive","b",IF(R1322="positive","c","d"))))</x:f>
        <x:v>d</x:v>
      </x:c>
      <x:c r="AE1322" s="12" t="str">
        <x:f>IF(OR(W1322="unavailable",Y1322="unavailable"),"不可评价",IF(AND(OR(W1322="positive",W1322="equivocal"),OR(Y1322="positive",Y1322="equivocal")),"a",IF(OR(Y1322="positive",Y1322="equivocal"),"b",IF(OR(W1322="positive",W1322="equivocal"),"c","d"))))</x:f>
        <x:v>d</x:v>
      </x:c>
      <x:c r="AF1322" s="12" t="str">
        <x:f>IF(OR(W1322="unavailable",Y1322="unavailable"),"不可评价",IF(AND(W1322="positive",Y1322="positive"),"a",IF(Y1322="positive","b",IF(W1322="positive","c","d"))))</x:f>
        <x:v>d</x:v>
      </x:c>
    </x:row>
    <x:row r="1323" ht="24" customHeight="1">
      <x:c r="A1323" s="12" t="str">
        <x:v>12156</x:v>
      </x:c>
      <x:c r="B1323" s="12" t="str">
        <x:v>4419</x:v>
      </x:c>
      <x:c r="C1323" s="21" t="n">
        <x:v>34461.43199074074</x:v>
      </x:c>
      <x:c r="D1323" s="12" t="n">
        <x:v>300</x:v>
      </x:c>
      <x:c r="E1323" s="12" t="n">
        <x:v>1</x:v>
      </x:c>
      <x:c r="F1323" s="12" t="str">
        <x:v>存在</x:v>
      </x:c>
      <x:c r="G1323" s="12" t="n">
        <x:v>1</x:v>
      </x:c>
      <x:c r="H1323" s="12" t="str">
        <x:v>{'IMI': 100.0, 'QWAVE': 0.0, 'SR': 0.0}</x:v>
      </x:c>
      <x:c r="I1323" s="12" t="str">
        <x:v>[('NSR', 100.0), ('IMI;AU', 50.0), ('AB', 100.0)]</x:v>
      </x:c>
      <x:c r="J1323" s="12" t="str">
        <x:v>ptbxl_database.csv；ecg_id=12156；scp_codes</x:v>
      </x:c>
      <x:c r="K1323" s="12" t="str">
        <x:v>12sl_statements.csv；ecg_id=12156；statements_ext_snomed</x:v>
      </x:c>
      <x:c r="L1323" s="12"/>
      <x:c r="M1323" s="12" t="str">
        <x:v>negative</x:v>
      </x:c>
      <x:c r="N1323" s="12"/>
      <x:c r="O1323" s="12" t="str">
        <x:v>negative</x:v>
      </x:c>
      <x:c r="P1323" s="12" t="str">
        <x:f>IF(OR(M1323="unavailable",O1323="unavailable"),"不可评价",IF(OR(M1323="equivocal",O1323="equivocal"),"疑似",IF(AND(M1323="positive",O1323="positive"),"a",IF(O1323="positive","b",IF(M1323="positive","c","d")))))</x:f>
        <x:v>d</x:v>
      </x:c>
      <x:c r="Q1323" s="12"/>
      <x:c r="R1323" s="12" t="str">
        <x:v>negative</x:v>
      </x:c>
      <x:c r="S1323" s="12"/>
      <x:c r="T1323" s="12" t="str">
        <x:v>negative</x:v>
      </x:c>
      <x:c r="U1323" s="12" t="str">
        <x:f>IF(OR(R1323="unavailable",T1323="unavailable"),"不可评价",IF(OR(R1323="equivocal",T1323="equivocal"),"疑似",IF(AND(R1323="positive",T1323="positive"),"a",IF(T1323="positive","b",IF(R1323="positive","c","d")))))</x:f>
        <x:v>d</x:v>
      </x:c>
      <x:c r="V1323" s="12"/>
      <x:c r="W1323" s="12" t="str">
        <x:v>negative</x:v>
      </x:c>
      <x:c r="X1323" s="12"/>
      <x:c r="Y1323" s="12" t="str">
        <x:v>negative</x:v>
      </x:c>
      <x:c r="Z1323" s="12" t="str">
        <x:f>IF(OR(W1323="unavailable",Y1323="unavailable"),"不可评价",IF(OR(W1323="equivocal",Y1323="equivocal"),"疑似",IF(AND(W1323="positive",Y1323="positive"),"a",IF(Y1323="positive","b",IF(W1323="positive","c","d")))))</x:f>
        <x:v>d</x:v>
      </x:c>
      <x:c r="AA1323" s="12" t="str">
        <x:f>IF(OR(M1323="unavailable",O1323="unavailable"),"不可评价",IF(AND(OR(M1323="positive",M1323="equivocal"),OR(O1323="positive",O1323="equivocal")),"a",IF(OR(O1323="positive",O1323="equivocal"),"b",IF(OR(M1323="positive",M1323="equivocal"),"c","d"))))</x:f>
        <x:v>d</x:v>
      </x:c>
      <x:c r="AB1323" s="12" t="str">
        <x:f>IF(OR(M1323="unavailable",O1323="unavailable"),"不可评价",IF(AND(M1323="positive",O1323="positive"),"a",IF(O1323="positive","b",IF(M1323="positive","c","d"))))</x:f>
        <x:v>d</x:v>
      </x:c>
      <x:c r="AC1323" s="12" t="str">
        <x:f>IF(OR(R1323="unavailable",T1323="unavailable"),"不可评价",IF(AND(OR(R1323="positive",R1323="equivocal"),OR(T1323="positive",T1323="equivocal")),"a",IF(OR(T1323="positive",T1323="equivocal"),"b",IF(OR(R1323="positive",R1323="equivocal"),"c","d"))))</x:f>
        <x:v>d</x:v>
      </x:c>
      <x:c r="AD1323" s="12" t="str">
        <x:f>IF(OR(R1323="unavailable",T1323="unavailable"),"不可评价",IF(AND(R1323="positive",T1323="positive"),"a",IF(T1323="positive","b",IF(R1323="positive","c","d"))))</x:f>
        <x:v>d</x:v>
      </x:c>
      <x:c r="AE1323" s="12" t="str">
        <x:f>IF(OR(W1323="unavailable",Y1323="unavailable"),"不可评价",IF(AND(OR(W1323="positive",W1323="equivocal"),OR(Y1323="positive",Y1323="equivocal")),"a",IF(OR(Y1323="positive",Y1323="equivocal"),"b",IF(OR(W1323="positive",W1323="equivocal"),"c","d"))))</x:f>
        <x:v>d</x:v>
      </x:c>
      <x:c r="AF1323" s="12" t="str">
        <x:f>IF(OR(W1323="unavailable",Y1323="unavailable"),"不可评价",IF(AND(W1323="positive",Y1323="positive"),"a",IF(Y1323="positive","b",IF(W1323="positive","c","d"))))</x:f>
        <x:v>d</x:v>
      </x:c>
    </x:row>
    <x:row r="1324" ht="39" customHeight="1">
      <x:c r="A1324" s="12" t="str">
        <x:v>12169</x:v>
      </x:c>
      <x:c r="B1324" s="12" t="str">
        <x:v>9472</x:v>
      </x:c>
      <x:c r="C1324" s="21" t="n">
        <x:v>34465.73876157407</x:v>
      </x:c>
      <x:c r="D1324" s="12" t="n">
        <x:v>75</x:v>
      </x:c>
      <x:c r="E1324" s="12" t="n">
        <x:v>0</x:v>
      </x:c>
      <x:c r="F1324" s="12" t="str">
        <x:v>存在</x:v>
      </x:c>
      <x:c r="G1324" s="12" t="n">
        <x:v>1</x:v>
      </x:c>
      <x:c r="H1324" s="12" t="str">
        <x:v>{'ASMI': 100.0, 'IMI': 50.0, 'ABQRS': 0.0, 'SR': 0.0}</x:v>
      </x:c>
      <x:c r="I1324" s="12" t="str">
        <x:v>[('SRTH', 100.0), ('PVC', 100.0), ('ASMI;AC', 100.0), ('LT', 100.0), ('LNGQT', 100.0), ('STEMI', 100.0), ('AB', 100.0)]</x:v>
      </x:c>
      <x:c r="J1324" s="12" t="str">
        <x:v>ptbxl_database.csv；ecg_id=12169；scp_codes</x:v>
      </x:c>
      <x:c r="K1324" s="12" t="str">
        <x:v>12sl_statements.csv；ecg_id=12169；statements_ext_snomed</x:v>
      </x:c>
      <x:c r="L1324" s="12"/>
      <x:c r="M1324" s="12" t="str">
        <x:v>negative</x:v>
      </x:c>
      <x:c r="N1324" s="12"/>
      <x:c r="O1324" s="12" t="str">
        <x:v>negative</x:v>
      </x:c>
      <x:c r="P1324" s="12" t="str">
        <x:f>IF(OR(M1324="unavailable",O1324="unavailable"),"不可评价",IF(OR(M1324="equivocal",O1324="equivocal"),"疑似",IF(AND(M1324="positive",O1324="positive"),"a",IF(O1324="positive","b",IF(M1324="positive","c","d")))))</x:f>
        <x:v>d</x:v>
      </x:c>
      <x:c r="Q1324" s="12"/>
      <x:c r="R1324" s="12" t="str">
        <x:v>negative</x:v>
      </x:c>
      <x:c r="S1324" s="12"/>
      <x:c r="T1324" s="12" t="str">
        <x:v>negative</x:v>
      </x:c>
      <x:c r="U1324" s="12" t="str">
        <x:f>IF(OR(R1324="unavailable",T1324="unavailable"),"不可评价",IF(OR(R1324="equivocal",T1324="equivocal"),"疑似",IF(AND(R1324="positive",T1324="positive"),"a",IF(T1324="positive","b",IF(R1324="positive","c","d")))))</x:f>
        <x:v>d</x:v>
      </x:c>
      <x:c r="V1324" s="12"/>
      <x:c r="W1324" s="12" t="str">
        <x:v>negative</x:v>
      </x:c>
      <x:c r="X1324" s="12"/>
      <x:c r="Y1324" s="12" t="str">
        <x:v>negative</x:v>
      </x:c>
      <x:c r="Z1324" s="12" t="str">
        <x:f>IF(OR(W1324="unavailable",Y1324="unavailable"),"不可评价",IF(OR(W1324="equivocal",Y1324="equivocal"),"疑似",IF(AND(W1324="positive",Y1324="positive"),"a",IF(Y1324="positive","b",IF(W1324="positive","c","d")))))</x:f>
        <x:v>d</x:v>
      </x:c>
      <x:c r="AA1324" s="12" t="str">
        <x:f>IF(OR(M1324="unavailable",O1324="unavailable"),"不可评价",IF(AND(OR(M1324="positive",M1324="equivocal"),OR(O1324="positive",O1324="equivocal")),"a",IF(OR(O1324="positive",O1324="equivocal"),"b",IF(OR(M1324="positive",M1324="equivocal"),"c","d"))))</x:f>
        <x:v>d</x:v>
      </x:c>
      <x:c r="AB1324" s="12" t="str">
        <x:f>IF(OR(M1324="unavailable",O1324="unavailable"),"不可评价",IF(AND(M1324="positive",O1324="positive"),"a",IF(O1324="positive","b",IF(M1324="positive","c","d"))))</x:f>
        <x:v>d</x:v>
      </x:c>
      <x:c r="AC1324" s="12" t="str">
        <x:f>IF(OR(R1324="unavailable",T1324="unavailable"),"不可评价",IF(AND(OR(R1324="positive",R1324="equivocal"),OR(T1324="positive",T1324="equivocal")),"a",IF(OR(T1324="positive",T1324="equivocal"),"b",IF(OR(R1324="positive",R1324="equivocal"),"c","d"))))</x:f>
        <x:v>d</x:v>
      </x:c>
      <x:c r="AD1324" s="12" t="str">
        <x:f>IF(OR(R1324="unavailable",T1324="unavailable"),"不可评价",IF(AND(R1324="positive",T1324="positive"),"a",IF(T1324="positive","b",IF(R1324="positive","c","d"))))</x:f>
        <x:v>d</x:v>
      </x:c>
      <x:c r="AE1324" s="12" t="str">
        <x:f>IF(OR(W1324="unavailable",Y1324="unavailable"),"不可评价",IF(AND(OR(W1324="positive",W1324="equivocal"),OR(Y1324="positive",Y1324="equivocal")),"a",IF(OR(Y1324="positive",Y1324="equivocal"),"b",IF(OR(W1324="positive",W1324="equivocal"),"c","d"))))</x:f>
        <x:v>d</x:v>
      </x:c>
      <x:c r="AF1324" s="12" t="str">
        <x:f>IF(OR(W1324="unavailable",Y1324="unavailable"),"不可评价",IF(AND(W1324="positive",Y1324="positive"),"a",IF(Y1324="positive","b",IF(W1324="positive","c","d"))))</x:f>
        <x:v>d</x:v>
      </x:c>
    </x:row>
    <x:row r="1325" ht="24" customHeight="1">
      <x:c r="A1325" s="12" t="str">
        <x:v>12172</x:v>
      </x:c>
      <x:c r="B1325" s="12" t="str">
        <x:v>15109</x:v>
      </x:c>
      <x:c r="C1325" s="21" t="n">
        <x:v>34469.69085648148</x:v>
      </x:c>
      <x:c r="D1325" s="12" t="n">
        <x:v>50</x:v>
      </x:c>
      <x:c r="E1325" s="12" t="n">
        <x:v>1</x:v>
      </x:c>
      <x:c r="F1325" s="12" t="str">
        <x:v>未记录</x:v>
      </x:c>
      <x:c r="G1325" s="12" t="n">
        <x:v>1</x:v>
      </x:c>
      <x:c r="H1325" s="12" t="str">
        <x:v>{'NORM': 80.0, 'SBRAD': 0.0}</x:v>
      </x:c>
      <x:c r="I1325" s="12" t="str">
        <x:v>[('SBRAD', 100.0), ('ABR', 100.0)]</x:v>
      </x:c>
      <x:c r="J1325" s="12" t="str">
        <x:v>ptbxl_database.csv；ecg_id=12172；scp_codes</x:v>
      </x:c>
      <x:c r="K1325" s="12" t="str">
        <x:v>12sl_statements.csv；ecg_id=12172；statements_ext_snomed</x:v>
      </x:c>
      <x:c r="L1325" s="12"/>
      <x:c r="M1325" s="12" t="str">
        <x:v>negative</x:v>
      </x:c>
      <x:c r="N1325" s="12"/>
      <x:c r="O1325" s="12" t="str">
        <x:v>negative</x:v>
      </x:c>
      <x:c r="P1325" s="12" t="str">
        <x:f>IF(OR(M1325="unavailable",O1325="unavailable"),"不可评价",IF(OR(M1325="equivocal",O1325="equivocal"),"疑似",IF(AND(M1325="positive",O1325="positive"),"a",IF(O1325="positive","b",IF(M1325="positive","c","d")))))</x:f>
        <x:v>d</x:v>
      </x:c>
      <x:c r="Q1325" s="12"/>
      <x:c r="R1325" s="12" t="str">
        <x:v>negative</x:v>
      </x:c>
      <x:c r="S1325" s="12"/>
      <x:c r="T1325" s="12" t="str">
        <x:v>negative</x:v>
      </x:c>
      <x:c r="U1325" s="12" t="str">
        <x:f>IF(OR(R1325="unavailable",T1325="unavailable"),"不可评价",IF(OR(R1325="equivocal",T1325="equivocal"),"疑似",IF(AND(R1325="positive",T1325="positive"),"a",IF(T1325="positive","b",IF(R1325="positive","c","d")))))</x:f>
        <x:v>d</x:v>
      </x:c>
      <x:c r="V1325" s="12"/>
      <x:c r="W1325" s="12" t="str">
        <x:v>negative</x:v>
      </x:c>
      <x:c r="X1325" s="12"/>
      <x:c r="Y1325" s="12" t="str">
        <x:v>negative</x:v>
      </x:c>
      <x:c r="Z1325" s="12" t="str">
        <x:f>IF(OR(W1325="unavailable",Y1325="unavailable"),"不可评价",IF(OR(W1325="equivocal",Y1325="equivocal"),"疑似",IF(AND(W1325="positive",Y1325="positive"),"a",IF(Y1325="positive","b",IF(W1325="positive","c","d")))))</x:f>
        <x:v>d</x:v>
      </x:c>
      <x:c r="AA1325" s="12" t="str">
        <x:f>IF(OR(M1325="unavailable",O1325="unavailable"),"不可评价",IF(AND(OR(M1325="positive",M1325="equivocal"),OR(O1325="positive",O1325="equivocal")),"a",IF(OR(O1325="positive",O1325="equivocal"),"b",IF(OR(M1325="positive",M1325="equivocal"),"c","d"))))</x:f>
        <x:v>d</x:v>
      </x:c>
      <x:c r="AB1325" s="12" t="str">
        <x:f>IF(OR(M1325="unavailable",O1325="unavailable"),"不可评价",IF(AND(M1325="positive",O1325="positive"),"a",IF(O1325="positive","b",IF(M1325="positive","c","d"))))</x:f>
        <x:v>d</x:v>
      </x:c>
      <x:c r="AC1325" s="12" t="str">
        <x:f>IF(OR(R1325="unavailable",T1325="unavailable"),"不可评价",IF(AND(OR(R1325="positive",R1325="equivocal"),OR(T1325="positive",T1325="equivocal")),"a",IF(OR(T1325="positive",T1325="equivocal"),"b",IF(OR(R1325="positive",R1325="equivocal"),"c","d"))))</x:f>
        <x:v>d</x:v>
      </x:c>
      <x:c r="AD1325" s="12" t="str">
        <x:f>IF(OR(R1325="unavailable",T1325="unavailable"),"不可评价",IF(AND(R1325="positive",T1325="positive"),"a",IF(T1325="positive","b",IF(R1325="positive","c","d"))))</x:f>
        <x:v>d</x:v>
      </x:c>
      <x:c r="AE1325" s="12" t="str">
        <x:f>IF(OR(W1325="unavailable",Y1325="unavailable"),"不可评价",IF(AND(OR(W1325="positive",W1325="equivocal"),OR(Y1325="positive",Y1325="equivocal")),"a",IF(OR(Y1325="positive",Y1325="equivocal"),"b",IF(OR(W1325="positive",W1325="equivocal"),"c","d"))))</x:f>
        <x:v>d</x:v>
      </x:c>
      <x:c r="AF1325" s="12" t="str">
        <x:f>IF(OR(W1325="unavailable",Y1325="unavailable"),"不可评价",IF(AND(W1325="positive",Y1325="positive"),"a",IF(Y1325="positive","b",IF(W1325="positive","c","d"))))</x:f>
        <x:v>d</x:v>
      </x:c>
    </x:row>
    <x:row r="1326" ht="24" customHeight="1">
      <x:c r="A1326" s="12" t="str">
        <x:v>12176</x:v>
      </x:c>
      <x:c r="B1326" s="12" t="str">
        <x:v>16042</x:v>
      </x:c>
      <x:c r="C1326" s="21" t="n">
        <x:v>34472.60490740741</x:v>
      </x:c>
      <x:c r="D1326" s="12" t="n">
        <x:v>87</x:v>
      </x:c>
      <x:c r="E1326" s="12" t="n">
        <x:v>1</x:v>
      </x:c>
      <x:c r="F1326" s="12" t="str">
        <x:v>未记录</x:v>
      </x:c>
      <x:c r="G1326" s="12" t="n">
        <x:v>1</x:v>
      </x:c>
      <x:c r="H1326" s="12" t="str">
        <x:v>{'ASMI': 15.0, 'IMI': 15.0, 'LAFB': 100.0, 'SARRH': 0.0}</x:v>
      </x:c>
      <x:c r="I1326" s="12" t="str">
        <x:v>[('SRTH', 100.0), ('PAC', 100.0), ('LAD3', 100.0), ('AB', 100.0)]</x:v>
      </x:c>
      <x:c r="J1326" s="12" t="str">
        <x:v>ptbxl_database.csv；ecg_id=12176；scp_codes</x:v>
      </x:c>
      <x:c r="K1326" s="12" t="str">
        <x:v>12sl_statements.csv；ecg_id=12176；statements_ext_snomed</x:v>
      </x:c>
      <x:c r="L1326" s="12"/>
      <x:c r="M1326" s="12" t="str">
        <x:v>negative</x:v>
      </x:c>
      <x:c r="N1326" s="12"/>
      <x:c r="O1326" s="12" t="str">
        <x:v>negative</x:v>
      </x:c>
      <x:c r="P1326" s="12" t="str">
        <x:f>IF(OR(M1326="unavailable",O1326="unavailable"),"不可评价",IF(OR(M1326="equivocal",O1326="equivocal"),"疑似",IF(AND(M1326="positive",O1326="positive"),"a",IF(O1326="positive","b",IF(M1326="positive","c","d")))))</x:f>
        <x:v>d</x:v>
      </x:c>
      <x:c r="Q1326" s="12"/>
      <x:c r="R1326" s="12" t="str">
        <x:v>negative</x:v>
      </x:c>
      <x:c r="S1326" s="12"/>
      <x:c r="T1326" s="12" t="str">
        <x:v>negative</x:v>
      </x:c>
      <x:c r="U1326" s="12" t="str">
        <x:f>IF(OR(R1326="unavailable",T1326="unavailable"),"不可评价",IF(OR(R1326="equivocal",T1326="equivocal"),"疑似",IF(AND(R1326="positive",T1326="positive"),"a",IF(T1326="positive","b",IF(R1326="positive","c","d")))))</x:f>
        <x:v>d</x:v>
      </x:c>
      <x:c r="V1326" s="12"/>
      <x:c r="W1326" s="12" t="str">
        <x:v>negative</x:v>
      </x:c>
      <x:c r="X1326" s="12"/>
      <x:c r="Y1326" s="12" t="str">
        <x:v>negative</x:v>
      </x:c>
      <x:c r="Z1326" s="12" t="str">
        <x:f>IF(OR(W1326="unavailable",Y1326="unavailable"),"不可评价",IF(OR(W1326="equivocal",Y1326="equivocal"),"疑似",IF(AND(W1326="positive",Y1326="positive"),"a",IF(Y1326="positive","b",IF(W1326="positive","c","d")))))</x:f>
        <x:v>d</x:v>
      </x:c>
      <x:c r="AA1326" s="12" t="str">
        <x:f>IF(OR(M1326="unavailable",O1326="unavailable"),"不可评价",IF(AND(OR(M1326="positive",M1326="equivocal"),OR(O1326="positive",O1326="equivocal")),"a",IF(OR(O1326="positive",O1326="equivocal"),"b",IF(OR(M1326="positive",M1326="equivocal"),"c","d"))))</x:f>
        <x:v>d</x:v>
      </x:c>
      <x:c r="AB1326" s="12" t="str">
        <x:f>IF(OR(M1326="unavailable",O1326="unavailable"),"不可评价",IF(AND(M1326="positive",O1326="positive"),"a",IF(O1326="positive","b",IF(M1326="positive","c","d"))))</x:f>
        <x:v>d</x:v>
      </x:c>
      <x:c r="AC1326" s="12" t="str">
        <x:f>IF(OR(R1326="unavailable",T1326="unavailable"),"不可评价",IF(AND(OR(R1326="positive",R1326="equivocal"),OR(T1326="positive",T1326="equivocal")),"a",IF(OR(T1326="positive",T1326="equivocal"),"b",IF(OR(R1326="positive",R1326="equivocal"),"c","d"))))</x:f>
        <x:v>d</x:v>
      </x:c>
      <x:c r="AD1326" s="12" t="str">
        <x:f>IF(OR(R1326="unavailable",T1326="unavailable"),"不可评价",IF(AND(R1326="positive",T1326="positive"),"a",IF(T1326="positive","b",IF(R1326="positive","c","d"))))</x:f>
        <x:v>d</x:v>
      </x:c>
      <x:c r="AE1326" s="12" t="str">
        <x:f>IF(OR(W1326="unavailable",Y1326="unavailable"),"不可评价",IF(AND(OR(W1326="positive",W1326="equivocal"),OR(Y1326="positive",Y1326="equivocal")),"a",IF(OR(Y1326="positive",Y1326="equivocal"),"b",IF(OR(W1326="positive",W1326="equivocal"),"c","d"))))</x:f>
        <x:v>d</x:v>
      </x:c>
      <x:c r="AF1326" s="12" t="str">
        <x:f>IF(OR(W1326="unavailable",Y1326="unavailable"),"不可评价",IF(AND(W1326="positive",Y1326="positive"),"a",IF(Y1326="positive","b",IF(W1326="positive","c","d"))))</x:f>
        <x:v>d</x:v>
      </x:c>
    </x:row>
    <x:row r="1327" ht="24" customHeight="1">
      <x:c r="A1327" s="12" t="str">
        <x:v>12178</x:v>
      </x:c>
      <x:c r="B1327" s="12" t="str">
        <x:v>19226</x:v>
      </x:c>
      <x:c r="C1327" s="21" t="n">
        <x:v>34473.64304398148</x:v>
      </x:c>
      <x:c r="D1327" s="12" t="n">
        <x:v>61</x:v>
      </x:c>
      <x:c r="E1327" s="12" t="n">
        <x:v>1</x:v>
      </x:c>
      <x:c r="F1327" s="12" t="str">
        <x:v>未记录</x:v>
      </x:c>
      <x:c r="G1327" s="12" t="n">
        <x:v>1</x:v>
      </x:c>
      <x:c r="H1327" s="12" t="str">
        <x:v>{'CLBBB': 100.0, 'SR': 0.0}</x:v>
      </x:c>
      <x:c r="I1327" s="12" t="str">
        <x:v>[('NSR', 100.0), ('LBBB', 100.0), ('AB', 100.0)]</x:v>
      </x:c>
      <x:c r="J1327" s="12" t="str">
        <x:v>ptbxl_database.csv；ecg_id=12178；scp_codes</x:v>
      </x:c>
      <x:c r="K1327" s="12" t="str">
        <x:v>12sl_statements.csv；ecg_id=12178；statements_ext_snomed</x:v>
      </x:c>
      <x:c r="L1327" s="12"/>
      <x:c r="M1327" s="12" t="str">
        <x:v>negative</x:v>
      </x:c>
      <x:c r="N1327" s="12"/>
      <x:c r="O1327" s="12" t="str">
        <x:v>negative</x:v>
      </x:c>
      <x:c r="P1327" s="12" t="str">
        <x:f>IF(OR(M1327="unavailable",O1327="unavailable"),"不可评价",IF(OR(M1327="equivocal",O1327="equivocal"),"疑似",IF(AND(M1327="positive",O1327="positive"),"a",IF(O1327="positive","b",IF(M1327="positive","c","d")))))</x:f>
        <x:v>d</x:v>
      </x:c>
      <x:c r="Q1327" s="12" t="n">
        <x:v>100</x:v>
      </x:c>
      <x:c r="R1327" s="12" t="str">
        <x:v>positive</x:v>
      </x:c>
      <x:c r="S1327" s="12" t="n">
        <x:v>100</x:v>
      </x:c>
      <x:c r="T1327" s="12" t="str">
        <x:v>positive</x:v>
      </x:c>
      <x:c r="U1327" s="12" t="str">
        <x:f>IF(OR(R1327="unavailable",T1327="unavailable"),"不可评价",IF(OR(R1327="equivocal",T1327="equivocal"),"疑似",IF(AND(R1327="positive",T1327="positive"),"a",IF(T1327="positive","b",IF(R1327="positive","c","d")))))</x:f>
        <x:v>a</x:v>
      </x:c>
      <x:c r="V1327" s="12"/>
      <x:c r="W1327" s="12" t="str">
        <x:v>negative</x:v>
      </x:c>
      <x:c r="X1327" s="12"/>
      <x:c r="Y1327" s="12" t="str">
        <x:v>negative</x:v>
      </x:c>
      <x:c r="Z1327" s="12" t="str">
        <x:f>IF(OR(W1327="unavailable",Y1327="unavailable"),"不可评价",IF(OR(W1327="equivocal",Y1327="equivocal"),"疑似",IF(AND(W1327="positive",Y1327="positive"),"a",IF(Y1327="positive","b",IF(W1327="positive","c","d")))))</x:f>
        <x:v>d</x:v>
      </x:c>
      <x:c r="AA1327" s="12" t="str">
        <x:f>IF(OR(M1327="unavailable",O1327="unavailable"),"不可评价",IF(AND(OR(M1327="positive",M1327="equivocal"),OR(O1327="positive",O1327="equivocal")),"a",IF(OR(O1327="positive",O1327="equivocal"),"b",IF(OR(M1327="positive",M1327="equivocal"),"c","d"))))</x:f>
        <x:v>d</x:v>
      </x:c>
      <x:c r="AB1327" s="12" t="str">
        <x:f>IF(OR(M1327="unavailable",O1327="unavailable"),"不可评价",IF(AND(M1327="positive",O1327="positive"),"a",IF(O1327="positive","b",IF(M1327="positive","c","d"))))</x:f>
        <x:v>d</x:v>
      </x:c>
      <x:c r="AC1327" s="12" t="str">
        <x:f>IF(OR(R1327="unavailable",T1327="unavailable"),"不可评价",IF(AND(OR(R1327="positive",R1327="equivocal"),OR(T1327="positive",T1327="equivocal")),"a",IF(OR(T1327="positive",T1327="equivocal"),"b",IF(OR(R1327="positive",R1327="equivocal"),"c","d"))))</x:f>
        <x:v>a</x:v>
      </x:c>
      <x:c r="AD1327" s="12" t="str">
        <x:f>IF(OR(R1327="unavailable",T1327="unavailable"),"不可评价",IF(AND(R1327="positive",T1327="positive"),"a",IF(T1327="positive","b",IF(R1327="positive","c","d"))))</x:f>
        <x:v>a</x:v>
      </x:c>
      <x:c r="AE1327" s="12" t="str">
        <x:f>IF(OR(W1327="unavailable",Y1327="unavailable"),"不可评价",IF(AND(OR(W1327="positive",W1327="equivocal"),OR(Y1327="positive",Y1327="equivocal")),"a",IF(OR(Y1327="positive",Y1327="equivocal"),"b",IF(OR(W1327="positive",W1327="equivocal"),"c","d"))))</x:f>
        <x:v>d</x:v>
      </x:c>
      <x:c r="AF1327" s="12" t="str">
        <x:f>IF(OR(W1327="unavailable",Y1327="unavailable"),"不可评价",IF(AND(W1327="positive",Y1327="positive"),"a",IF(Y1327="positive","b",IF(W1327="positive","c","d"))))</x:f>
        <x:v>d</x:v>
      </x:c>
    </x:row>
    <x:row r="1328" ht="24" customHeight="1">
      <x:c r="A1328" s="12" t="str">
        <x:v>12179</x:v>
      </x:c>
      <x:c r="B1328" s="12" t="str">
        <x:v>17070</x:v>
      </x:c>
      <x:c r="C1328" s="21" t="n">
        <x:v>34473.73486111111</x:v>
      </x:c>
      <x:c r="D1328" s="12" t="n">
        <x:v>50</x:v>
      </x:c>
      <x:c r="E1328" s="12" t="n">
        <x:v>0</x:v>
      </x:c>
      <x:c r="F1328" s="12" t="str">
        <x:v>未记录</x:v>
      </x:c>
      <x:c r="G1328" s="12" t="n">
        <x:v>1</x:v>
      </x:c>
      <x:c r="H1328" s="12" t="str">
        <x:v>{'NORM': 35.0, 'IVCD': 100.0, 'SBRAD': 0.0}</x:v>
      </x:c>
      <x:c r="I1328" s="12" t="str">
        <x:v>[('NSR', 100.0), ('NML', 100.0)]</x:v>
      </x:c>
      <x:c r="J1328" s="12" t="str">
        <x:v>ptbxl_database.csv；ecg_id=12179；scp_codes</x:v>
      </x:c>
      <x:c r="K1328" s="12" t="str">
        <x:v>12sl_statements.csv；ecg_id=12179；statements_ext_snomed</x:v>
      </x:c>
      <x:c r="L1328" s="12"/>
      <x:c r="M1328" s="12" t="str">
        <x:v>negative</x:v>
      </x:c>
      <x:c r="N1328" s="12"/>
      <x:c r="O1328" s="12" t="str">
        <x:v>negative</x:v>
      </x:c>
      <x:c r="P1328" s="12" t="str">
        <x:f>IF(OR(M1328="unavailable",O1328="unavailable"),"不可评价",IF(OR(M1328="equivocal",O1328="equivocal"),"疑似",IF(AND(M1328="positive",O1328="positive"),"a",IF(O1328="positive","b",IF(M1328="positive","c","d")))))</x:f>
        <x:v>d</x:v>
      </x:c>
      <x:c r="Q1328" s="12"/>
      <x:c r="R1328" s="12" t="str">
        <x:v>negative</x:v>
      </x:c>
      <x:c r="S1328" s="12"/>
      <x:c r="T1328" s="12" t="str">
        <x:v>negative</x:v>
      </x:c>
      <x:c r="U1328" s="12" t="str">
        <x:f>IF(OR(R1328="unavailable",T1328="unavailable"),"不可评价",IF(OR(R1328="equivocal",T1328="equivocal"),"疑似",IF(AND(R1328="positive",T1328="positive"),"a",IF(T1328="positive","b",IF(R1328="positive","c","d")))))</x:f>
        <x:v>d</x:v>
      </x:c>
      <x:c r="V1328" s="12"/>
      <x:c r="W1328" s="12" t="str">
        <x:v>negative</x:v>
      </x:c>
      <x:c r="X1328" s="12"/>
      <x:c r="Y1328" s="12" t="str">
        <x:v>negative</x:v>
      </x:c>
      <x:c r="Z1328" s="12" t="str">
        <x:f>IF(OR(W1328="unavailable",Y1328="unavailable"),"不可评价",IF(OR(W1328="equivocal",Y1328="equivocal"),"疑似",IF(AND(W1328="positive",Y1328="positive"),"a",IF(Y1328="positive","b",IF(W1328="positive","c","d")))))</x:f>
        <x:v>d</x:v>
      </x:c>
      <x:c r="AA1328" s="12" t="str">
        <x:f>IF(OR(M1328="unavailable",O1328="unavailable"),"不可评价",IF(AND(OR(M1328="positive",M1328="equivocal"),OR(O1328="positive",O1328="equivocal")),"a",IF(OR(O1328="positive",O1328="equivocal"),"b",IF(OR(M1328="positive",M1328="equivocal"),"c","d"))))</x:f>
        <x:v>d</x:v>
      </x:c>
      <x:c r="AB1328" s="12" t="str">
        <x:f>IF(OR(M1328="unavailable",O1328="unavailable"),"不可评价",IF(AND(M1328="positive",O1328="positive"),"a",IF(O1328="positive","b",IF(M1328="positive","c","d"))))</x:f>
        <x:v>d</x:v>
      </x:c>
      <x:c r="AC1328" s="12" t="str">
        <x:f>IF(OR(R1328="unavailable",T1328="unavailable"),"不可评价",IF(AND(OR(R1328="positive",R1328="equivocal"),OR(T1328="positive",T1328="equivocal")),"a",IF(OR(T1328="positive",T1328="equivocal"),"b",IF(OR(R1328="positive",R1328="equivocal"),"c","d"))))</x:f>
        <x:v>d</x:v>
      </x:c>
      <x:c r="AD1328" s="12" t="str">
        <x:f>IF(OR(R1328="unavailable",T1328="unavailable"),"不可评价",IF(AND(R1328="positive",T1328="positive"),"a",IF(T1328="positive","b",IF(R1328="positive","c","d"))))</x:f>
        <x:v>d</x:v>
      </x:c>
      <x:c r="AE1328" s="12" t="str">
        <x:f>IF(OR(W1328="unavailable",Y1328="unavailable"),"不可评价",IF(AND(OR(W1328="positive",W1328="equivocal"),OR(Y1328="positive",Y1328="equivocal")),"a",IF(OR(Y1328="positive",Y1328="equivocal"),"b",IF(OR(W1328="positive",W1328="equivocal"),"c","d"))))</x:f>
        <x:v>d</x:v>
      </x:c>
      <x:c r="AF1328" s="12" t="str">
        <x:f>IF(OR(W1328="unavailable",Y1328="unavailable"),"不可评价",IF(AND(W1328="positive",Y1328="positive"),"a",IF(Y1328="positive","b",IF(W1328="positive","c","d"))))</x:f>
        <x:v>d</x:v>
      </x:c>
    </x:row>
    <x:row r="1329" ht="24" customHeight="1">
      <x:c r="A1329" s="12" t="str">
        <x:v>12181</x:v>
      </x:c>
      <x:c r="B1329" s="12" t="str">
        <x:v>12576</x:v>
      </x:c>
      <x:c r="C1329" s="21" t="n">
        <x:v>34475.29892361111</x:v>
      </x:c>
      <x:c r="D1329" s="12" t="n">
        <x:v>61</x:v>
      </x:c>
      <x:c r="E1329" s="12" t="n">
        <x:v>0</x:v>
      </x:c>
      <x:c r="F1329" s="12" t="str">
        <x:v>未记录</x:v>
      </x:c>
      <x:c r="G1329" s="12" t="n">
        <x:v>1</x:v>
      </x:c>
      <x:c r="H1329" s="12" t="str">
        <x:v>{'NORM': 80.0, 'SR': 0.0}</x:v>
      </x:c>
      <x:c r="I1329" s="12" t="str">
        <x:v>[('NSR', 100.0), ('BORDE', 100.0)]</x:v>
      </x:c>
      <x:c r="J1329" s="12" t="str">
        <x:v>ptbxl_database.csv；ecg_id=12181；scp_codes</x:v>
      </x:c>
      <x:c r="K1329" s="12" t="str">
        <x:v>12sl_statements.csv；ecg_id=12181；statements_ext_snomed</x:v>
      </x:c>
      <x:c r="L1329" s="12"/>
      <x:c r="M1329" s="12" t="str">
        <x:v>negative</x:v>
      </x:c>
      <x:c r="N1329" s="12"/>
      <x:c r="O1329" s="12" t="str">
        <x:v>negative</x:v>
      </x:c>
      <x:c r="P1329" s="12" t="str">
        <x:f>IF(OR(M1329="unavailable",O1329="unavailable"),"不可评价",IF(OR(M1329="equivocal",O1329="equivocal"),"疑似",IF(AND(M1329="positive",O1329="positive"),"a",IF(O1329="positive","b",IF(M1329="positive","c","d")))))</x:f>
        <x:v>d</x:v>
      </x:c>
      <x:c r="Q1329" s="12"/>
      <x:c r="R1329" s="12" t="str">
        <x:v>negative</x:v>
      </x:c>
      <x:c r="S1329" s="12"/>
      <x:c r="T1329" s="12" t="str">
        <x:v>negative</x:v>
      </x:c>
      <x:c r="U1329" s="12" t="str">
        <x:f>IF(OR(R1329="unavailable",T1329="unavailable"),"不可评价",IF(OR(R1329="equivocal",T1329="equivocal"),"疑似",IF(AND(R1329="positive",T1329="positive"),"a",IF(T1329="positive","b",IF(R1329="positive","c","d")))))</x:f>
        <x:v>d</x:v>
      </x:c>
      <x:c r="V1329" s="12"/>
      <x:c r="W1329" s="12" t="str">
        <x:v>negative</x:v>
      </x:c>
      <x:c r="X1329" s="12"/>
      <x:c r="Y1329" s="12" t="str">
        <x:v>negative</x:v>
      </x:c>
      <x:c r="Z1329" s="12" t="str">
        <x:f>IF(OR(W1329="unavailable",Y1329="unavailable"),"不可评价",IF(OR(W1329="equivocal",Y1329="equivocal"),"疑似",IF(AND(W1329="positive",Y1329="positive"),"a",IF(Y1329="positive","b",IF(W1329="positive","c","d")))))</x:f>
        <x:v>d</x:v>
      </x:c>
      <x:c r="AA1329" s="12" t="str">
        <x:f>IF(OR(M1329="unavailable",O1329="unavailable"),"不可评价",IF(AND(OR(M1329="positive",M1329="equivocal"),OR(O1329="positive",O1329="equivocal")),"a",IF(OR(O1329="positive",O1329="equivocal"),"b",IF(OR(M1329="positive",M1329="equivocal"),"c","d"))))</x:f>
        <x:v>d</x:v>
      </x:c>
      <x:c r="AB1329" s="12" t="str">
        <x:f>IF(OR(M1329="unavailable",O1329="unavailable"),"不可评价",IF(AND(M1329="positive",O1329="positive"),"a",IF(O1329="positive","b",IF(M1329="positive","c","d"))))</x:f>
        <x:v>d</x:v>
      </x:c>
      <x:c r="AC1329" s="12" t="str">
        <x:f>IF(OR(R1329="unavailable",T1329="unavailable"),"不可评价",IF(AND(OR(R1329="positive",R1329="equivocal"),OR(T1329="positive",T1329="equivocal")),"a",IF(OR(T1329="positive",T1329="equivocal"),"b",IF(OR(R1329="positive",R1329="equivocal"),"c","d"))))</x:f>
        <x:v>d</x:v>
      </x:c>
      <x:c r="AD1329" s="12" t="str">
        <x:f>IF(OR(R1329="unavailable",T1329="unavailable"),"不可评价",IF(AND(R1329="positive",T1329="positive"),"a",IF(T1329="positive","b",IF(R1329="positive","c","d"))))</x:f>
        <x:v>d</x:v>
      </x:c>
      <x:c r="AE1329" s="12" t="str">
        <x:f>IF(OR(W1329="unavailable",Y1329="unavailable"),"不可评价",IF(AND(OR(W1329="positive",W1329="equivocal"),OR(Y1329="positive",Y1329="equivocal")),"a",IF(OR(Y1329="positive",Y1329="equivocal"),"b",IF(OR(W1329="positive",W1329="equivocal"),"c","d"))))</x:f>
        <x:v>d</x:v>
      </x:c>
      <x:c r="AF1329" s="12" t="str">
        <x:f>IF(OR(W1329="unavailable",Y1329="unavailable"),"不可评价",IF(AND(W1329="positive",Y1329="positive"),"a",IF(Y1329="positive","b",IF(W1329="positive","c","d"))))</x:f>
        <x:v>d</x:v>
      </x:c>
    </x:row>
    <x:row r="1330" ht="24" customHeight="1">
      <x:c r="A1330" s="12" t="str">
        <x:v>12189</x:v>
      </x:c>
      <x:c r="B1330" s="12" t="str">
        <x:v>9029</x:v>
      </x:c>
      <x:c r="C1330" s="21" t="n">
        <x:v>34479.49254629629</x:v>
      </x:c>
      <x:c r="D1330" s="12" t="n">
        <x:v>82</x:v>
      </x:c>
      <x:c r="E1330" s="12" t="n">
        <x:v>1</x:v>
      </x:c>
      <x:c r="F1330" s="12" t="str">
        <x:v>未记录</x:v>
      </x:c>
      <x:c r="G1330" s="12" t="n">
        <x:v>1</x:v>
      </x:c>
      <x:c r="H1330" s="12" t="str">
        <x:v>{'ASMI': 50.0, 'ILMI': 15.0, 'LAFB': 100.0, 'SR': 0.0}</x:v>
      </x:c>
      <x:c r="I1330" s="12" t="str">
        <x:v>[('NSR', 100.0), ('LAD3', 100.0), ('IMI;AU', 100.0), ('AMI;AU', 50.0), ('AB', 100.0)]</x:v>
      </x:c>
      <x:c r="J1330" s="12" t="str">
        <x:v>ptbxl_database.csv；ecg_id=12189；scp_codes</x:v>
      </x:c>
      <x:c r="K1330" s="12" t="str">
        <x:v>12sl_statements.csv；ecg_id=12189；statements_ext_snomed</x:v>
      </x:c>
      <x:c r="L1330" s="12"/>
      <x:c r="M1330" s="12" t="str">
        <x:v>negative</x:v>
      </x:c>
      <x:c r="N1330" s="12"/>
      <x:c r="O1330" s="12" t="str">
        <x:v>negative</x:v>
      </x:c>
      <x:c r="P1330" s="12" t="str">
        <x:f>IF(OR(M1330="unavailable",O1330="unavailable"),"不可评价",IF(OR(M1330="equivocal",O1330="equivocal"),"疑似",IF(AND(M1330="positive",O1330="positive"),"a",IF(O1330="positive","b",IF(M1330="positive","c","d")))))</x:f>
        <x:v>d</x:v>
      </x:c>
      <x:c r="Q1330" s="12"/>
      <x:c r="R1330" s="12" t="str">
        <x:v>negative</x:v>
      </x:c>
      <x:c r="S1330" s="12"/>
      <x:c r="T1330" s="12" t="str">
        <x:v>negative</x:v>
      </x:c>
      <x:c r="U1330" s="12" t="str">
        <x:f>IF(OR(R1330="unavailable",T1330="unavailable"),"不可评价",IF(OR(R1330="equivocal",T1330="equivocal"),"疑似",IF(AND(R1330="positive",T1330="positive"),"a",IF(T1330="positive","b",IF(R1330="positive","c","d")))))</x:f>
        <x:v>d</x:v>
      </x:c>
      <x:c r="V1330" s="12"/>
      <x:c r="W1330" s="12" t="str">
        <x:v>negative</x:v>
      </x:c>
      <x:c r="X1330" s="12"/>
      <x:c r="Y1330" s="12" t="str">
        <x:v>negative</x:v>
      </x:c>
      <x:c r="Z1330" s="12" t="str">
        <x:f>IF(OR(W1330="unavailable",Y1330="unavailable"),"不可评价",IF(OR(W1330="equivocal",Y1330="equivocal"),"疑似",IF(AND(W1330="positive",Y1330="positive"),"a",IF(Y1330="positive","b",IF(W1330="positive","c","d")))))</x:f>
        <x:v>d</x:v>
      </x:c>
      <x:c r="AA1330" s="12" t="str">
        <x:f>IF(OR(M1330="unavailable",O1330="unavailable"),"不可评价",IF(AND(OR(M1330="positive",M1330="equivocal"),OR(O1330="positive",O1330="equivocal")),"a",IF(OR(O1330="positive",O1330="equivocal"),"b",IF(OR(M1330="positive",M1330="equivocal"),"c","d"))))</x:f>
        <x:v>d</x:v>
      </x:c>
      <x:c r="AB1330" s="12" t="str">
        <x:f>IF(OR(M1330="unavailable",O1330="unavailable"),"不可评价",IF(AND(M1330="positive",O1330="positive"),"a",IF(O1330="positive","b",IF(M1330="positive","c","d"))))</x:f>
        <x:v>d</x:v>
      </x:c>
      <x:c r="AC1330" s="12" t="str">
        <x:f>IF(OR(R1330="unavailable",T1330="unavailable"),"不可评价",IF(AND(OR(R1330="positive",R1330="equivocal"),OR(T1330="positive",T1330="equivocal")),"a",IF(OR(T1330="positive",T1330="equivocal"),"b",IF(OR(R1330="positive",R1330="equivocal"),"c","d"))))</x:f>
        <x:v>d</x:v>
      </x:c>
      <x:c r="AD1330" s="12" t="str">
        <x:f>IF(OR(R1330="unavailable",T1330="unavailable"),"不可评价",IF(AND(R1330="positive",T1330="positive"),"a",IF(T1330="positive","b",IF(R1330="positive","c","d"))))</x:f>
        <x:v>d</x:v>
      </x:c>
      <x:c r="AE1330" s="12" t="str">
        <x:f>IF(OR(W1330="unavailable",Y1330="unavailable"),"不可评价",IF(AND(OR(W1330="positive",W1330="equivocal"),OR(Y1330="positive",Y1330="equivocal")),"a",IF(OR(Y1330="positive",Y1330="equivocal"),"b",IF(OR(W1330="positive",W1330="equivocal"),"c","d"))))</x:f>
        <x:v>d</x:v>
      </x:c>
      <x:c r="AF1330" s="12" t="str">
        <x:f>IF(OR(W1330="unavailable",Y1330="unavailable"),"不可评价",IF(AND(W1330="positive",Y1330="positive"),"a",IF(Y1330="positive","b",IF(W1330="positive","c","d"))))</x:f>
        <x:v>d</x:v>
      </x:c>
    </x:row>
    <x:row r="1331" ht="39" customHeight="1">
      <x:c r="A1331" s="12" t="str">
        <x:v>12190</x:v>
      </x:c>
      <x:c r="B1331" s="12" t="str">
        <x:v>13119</x:v>
      </x:c>
      <x:c r="C1331" s="21" t="n">
        <x:v>34480.34291666667</x:v>
      </x:c>
      <x:c r="D1331" s="12" t="n">
        <x:v>77</x:v>
      </x:c>
      <x:c r="E1331" s="12" t="n">
        <x:v>1</x:v>
      </x:c>
      <x:c r="F1331" s="12" t="str">
        <x:v>未记录</x:v>
      </x:c>
      <x:c r="G1331" s="12" t="n">
        <x:v>1</x:v>
      </x:c>
      <x:c r="H1331" s="12" t="str">
        <x:v>{'ASMI': 100.0, 'ILMI': 100.0, 'ABQRS': 0.0, 'STACH': 0.0}</x:v>
      </x:c>
      <x:c r="I1331" s="12" t="str">
        <x:v>[('STACH', 100.0), ('IMI;AU', 100.0), ('ASMI;AC', 100.0), ('LINJ', 100.0), ('STEMI', 100.0), ('AB', 100.0)]</x:v>
      </x:c>
      <x:c r="J1331" s="12" t="str">
        <x:v>ptbxl_database.csv；ecg_id=12190；scp_codes</x:v>
      </x:c>
      <x:c r="K1331" s="12" t="str">
        <x:v>12sl_statements.csv；ecg_id=12190；statements_ext_snomed</x:v>
      </x:c>
      <x:c r="L1331" s="12"/>
      <x:c r="M1331" s="12" t="str">
        <x:v>negative</x:v>
      </x:c>
      <x:c r="N1331" s="12"/>
      <x:c r="O1331" s="12" t="str">
        <x:v>negative</x:v>
      </x:c>
      <x:c r="P1331" s="12" t="str">
        <x:f>IF(OR(M1331="unavailable",O1331="unavailable"),"不可评价",IF(OR(M1331="equivocal",O1331="equivocal"),"疑似",IF(AND(M1331="positive",O1331="positive"),"a",IF(O1331="positive","b",IF(M1331="positive","c","d")))))</x:f>
        <x:v>d</x:v>
      </x:c>
      <x:c r="Q1331" s="12"/>
      <x:c r="R1331" s="12" t="str">
        <x:v>negative</x:v>
      </x:c>
      <x:c r="S1331" s="12"/>
      <x:c r="T1331" s="12" t="str">
        <x:v>negative</x:v>
      </x:c>
      <x:c r="U1331" s="12" t="str">
        <x:f>IF(OR(R1331="unavailable",T1331="unavailable"),"不可评价",IF(OR(R1331="equivocal",T1331="equivocal"),"疑似",IF(AND(R1331="positive",T1331="positive"),"a",IF(T1331="positive","b",IF(R1331="positive","c","d")))))</x:f>
        <x:v>d</x:v>
      </x:c>
      <x:c r="V1331" s="12"/>
      <x:c r="W1331" s="12" t="str">
        <x:v>negative</x:v>
      </x:c>
      <x:c r="X1331" s="12"/>
      <x:c r="Y1331" s="12" t="str">
        <x:v>negative</x:v>
      </x:c>
      <x:c r="Z1331" s="12" t="str">
        <x:f>IF(OR(W1331="unavailable",Y1331="unavailable"),"不可评价",IF(OR(W1331="equivocal",Y1331="equivocal"),"疑似",IF(AND(W1331="positive",Y1331="positive"),"a",IF(Y1331="positive","b",IF(W1331="positive","c","d")))))</x:f>
        <x:v>d</x:v>
      </x:c>
      <x:c r="AA1331" s="12" t="str">
        <x:f>IF(OR(M1331="unavailable",O1331="unavailable"),"不可评价",IF(AND(OR(M1331="positive",M1331="equivocal"),OR(O1331="positive",O1331="equivocal")),"a",IF(OR(O1331="positive",O1331="equivocal"),"b",IF(OR(M1331="positive",M1331="equivocal"),"c","d"))))</x:f>
        <x:v>d</x:v>
      </x:c>
      <x:c r="AB1331" s="12" t="str">
        <x:f>IF(OR(M1331="unavailable",O1331="unavailable"),"不可评价",IF(AND(M1331="positive",O1331="positive"),"a",IF(O1331="positive","b",IF(M1331="positive","c","d"))))</x:f>
        <x:v>d</x:v>
      </x:c>
      <x:c r="AC1331" s="12" t="str">
        <x:f>IF(OR(R1331="unavailable",T1331="unavailable"),"不可评价",IF(AND(OR(R1331="positive",R1331="equivocal"),OR(T1331="positive",T1331="equivocal")),"a",IF(OR(T1331="positive",T1331="equivocal"),"b",IF(OR(R1331="positive",R1331="equivocal"),"c","d"))))</x:f>
        <x:v>d</x:v>
      </x:c>
      <x:c r="AD1331" s="12" t="str">
        <x:f>IF(OR(R1331="unavailable",T1331="unavailable"),"不可评价",IF(AND(R1331="positive",T1331="positive"),"a",IF(T1331="positive","b",IF(R1331="positive","c","d"))))</x:f>
        <x:v>d</x:v>
      </x:c>
      <x:c r="AE1331" s="12" t="str">
        <x:f>IF(OR(W1331="unavailable",Y1331="unavailable"),"不可评价",IF(AND(OR(W1331="positive",W1331="equivocal"),OR(Y1331="positive",Y1331="equivocal")),"a",IF(OR(Y1331="positive",Y1331="equivocal"),"b",IF(OR(W1331="positive",W1331="equivocal"),"c","d"))))</x:f>
        <x:v>d</x:v>
      </x:c>
      <x:c r="AF1331" s="12" t="str">
        <x:f>IF(OR(W1331="unavailable",Y1331="unavailable"),"不可评价",IF(AND(W1331="positive",Y1331="positive"),"a",IF(Y1331="positive","b",IF(W1331="positive","c","d"))))</x:f>
        <x:v>d</x:v>
      </x:c>
    </x:row>
    <x:row r="1332" ht="24" customHeight="1">
      <x:c r="A1332" s="12" t="str">
        <x:v>12192</x:v>
      </x:c>
      <x:c r="B1332" s="12" t="str">
        <x:v>12202</x:v>
      </x:c>
      <x:c r="C1332" s="21" t="n">
        <x:v>34480.65892361111</x:v>
      </x:c>
      <x:c r="D1332" s="12" t="n">
        <x:v>71</x:v>
      </x:c>
      <x:c r="E1332" s="12" t="n">
        <x:v>0</x:v>
      </x:c>
      <x:c r="F1332" s="12" t="str">
        <x:v>未记录</x:v>
      </x:c>
      <x:c r="G1332" s="12" t="n">
        <x:v>1</x:v>
      </x:c>
      <x:c r="H1332" s="12" t="str">
        <x:v>{'LAFB': 100.0, 'LAO/LAE': 100.0, 'ABQRS': 0.0, 'SR': 0.0}</x:v>
      </x:c>
      <x:c r="I1332" s="12" t="str">
        <x:v>[('NSR', 100.0), ('LAD3', 100.0), ('AB', 100.0)]</x:v>
      </x:c>
      <x:c r="J1332" s="12" t="str">
        <x:v>ptbxl_database.csv；ecg_id=12192；scp_codes</x:v>
      </x:c>
      <x:c r="K1332" s="12" t="str">
        <x:v>12sl_statements.csv；ecg_id=12192；statements_ext_snomed</x:v>
      </x:c>
      <x:c r="L1332" s="12"/>
      <x:c r="M1332" s="12" t="str">
        <x:v>negative</x:v>
      </x:c>
      <x:c r="N1332" s="12"/>
      <x:c r="O1332" s="12" t="str">
        <x:v>negative</x:v>
      </x:c>
      <x:c r="P1332" s="12" t="str">
        <x:f>IF(OR(M1332="unavailable",O1332="unavailable"),"不可评价",IF(OR(M1332="equivocal",O1332="equivocal"),"疑似",IF(AND(M1332="positive",O1332="positive"),"a",IF(O1332="positive","b",IF(M1332="positive","c","d")))))</x:f>
        <x:v>d</x:v>
      </x:c>
      <x:c r="Q1332" s="12"/>
      <x:c r="R1332" s="12" t="str">
        <x:v>negative</x:v>
      </x:c>
      <x:c r="S1332" s="12"/>
      <x:c r="T1332" s="12" t="str">
        <x:v>negative</x:v>
      </x:c>
      <x:c r="U1332" s="12" t="str">
        <x:f>IF(OR(R1332="unavailable",T1332="unavailable"),"不可评价",IF(OR(R1332="equivocal",T1332="equivocal"),"疑似",IF(AND(R1332="positive",T1332="positive"),"a",IF(T1332="positive","b",IF(R1332="positive","c","d")))))</x:f>
        <x:v>d</x:v>
      </x:c>
      <x:c r="V1332" s="12"/>
      <x:c r="W1332" s="12" t="str">
        <x:v>negative</x:v>
      </x:c>
      <x:c r="X1332" s="12"/>
      <x:c r="Y1332" s="12" t="str">
        <x:v>negative</x:v>
      </x:c>
      <x:c r="Z1332" s="12" t="str">
        <x:f>IF(OR(W1332="unavailable",Y1332="unavailable"),"不可评价",IF(OR(W1332="equivocal",Y1332="equivocal"),"疑似",IF(AND(W1332="positive",Y1332="positive"),"a",IF(Y1332="positive","b",IF(W1332="positive","c","d")))))</x:f>
        <x:v>d</x:v>
      </x:c>
      <x:c r="AA1332" s="12" t="str">
        <x:f>IF(OR(M1332="unavailable",O1332="unavailable"),"不可评价",IF(AND(OR(M1332="positive",M1332="equivocal"),OR(O1332="positive",O1332="equivocal")),"a",IF(OR(O1332="positive",O1332="equivocal"),"b",IF(OR(M1332="positive",M1332="equivocal"),"c","d"))))</x:f>
        <x:v>d</x:v>
      </x:c>
      <x:c r="AB1332" s="12" t="str">
        <x:f>IF(OR(M1332="unavailable",O1332="unavailable"),"不可评价",IF(AND(M1332="positive",O1332="positive"),"a",IF(O1332="positive","b",IF(M1332="positive","c","d"))))</x:f>
        <x:v>d</x:v>
      </x:c>
      <x:c r="AC1332" s="12" t="str">
        <x:f>IF(OR(R1332="unavailable",T1332="unavailable"),"不可评价",IF(AND(OR(R1332="positive",R1332="equivocal"),OR(T1332="positive",T1332="equivocal")),"a",IF(OR(T1332="positive",T1332="equivocal"),"b",IF(OR(R1332="positive",R1332="equivocal"),"c","d"))))</x:f>
        <x:v>d</x:v>
      </x:c>
      <x:c r="AD1332" s="12" t="str">
        <x:f>IF(OR(R1332="unavailable",T1332="unavailable"),"不可评价",IF(AND(R1332="positive",T1332="positive"),"a",IF(T1332="positive","b",IF(R1332="positive","c","d"))))</x:f>
        <x:v>d</x:v>
      </x:c>
      <x:c r="AE1332" s="12" t="str">
        <x:f>IF(OR(W1332="unavailable",Y1332="unavailable"),"不可评价",IF(AND(OR(W1332="positive",W1332="equivocal"),OR(Y1332="positive",Y1332="equivocal")),"a",IF(OR(Y1332="positive",Y1332="equivocal"),"b",IF(OR(W1332="positive",W1332="equivocal"),"c","d"))))</x:f>
        <x:v>d</x:v>
      </x:c>
      <x:c r="AF1332" s="12" t="str">
        <x:f>IF(OR(W1332="unavailable",Y1332="unavailable"),"不可评价",IF(AND(W1332="positive",Y1332="positive"),"a",IF(Y1332="positive","b",IF(W1332="positive","c","d"))))</x:f>
        <x:v>d</x:v>
      </x:c>
    </x:row>
    <x:row r="1333" ht="24" customHeight="1">
      <x:c r="A1333" s="12" t="str">
        <x:v>12195</x:v>
      </x:c>
      <x:c r="B1333" s="12" t="str">
        <x:v>12202</x:v>
      </x:c>
      <x:c r="C1333" s="21" t="n">
        <x:v>34481.5528587963</x:v>
      </x:c>
      <x:c r="D1333" s="12" t="n">
        <x:v>71</x:v>
      </x:c>
      <x:c r="E1333" s="12" t="n">
        <x:v>0</x:v>
      </x:c>
      <x:c r="F1333" s="12" t="str">
        <x:v>未记录</x:v>
      </x:c>
      <x:c r="G1333" s="12" t="n">
        <x:v>0</x:v>
      </x:c>
      <x:c r="H1333" s="12" t="str">
        <x:v>{'LAFB': 100.0}</x:v>
      </x:c>
      <x:c r="I1333" s="12" t="str">
        <x:v>[('SVT', 100.0), ('LAD3', 100.0), ('NST', 100.0), ('AB', 100.0)]</x:v>
      </x:c>
      <x:c r="J1333" s="12" t="str">
        <x:v>ptbxl_database.csv；ecg_id=12195；scp_codes</x:v>
      </x:c>
      <x:c r="K1333" s="12" t="str">
        <x:v>12sl_statements.csv；ecg_id=12195；statements_ext_snomed</x:v>
      </x:c>
      <x:c r="L1333" s="12"/>
      <x:c r="M1333" s="12" t="str">
        <x:v>negative</x:v>
      </x:c>
      <x:c r="N1333" s="12"/>
      <x:c r="O1333" s="12" t="str">
        <x:v>negative</x:v>
      </x:c>
      <x:c r="P1333" s="12" t="str">
        <x:f>IF(OR(M1333="unavailable",O1333="unavailable"),"不可评价",IF(OR(M1333="equivocal",O1333="equivocal"),"疑似",IF(AND(M1333="positive",O1333="positive"),"a",IF(O1333="positive","b",IF(M1333="positive","c","d")))))</x:f>
        <x:v>d</x:v>
      </x:c>
      <x:c r="Q1333" s="12"/>
      <x:c r="R1333" s="12" t="str">
        <x:v>negative</x:v>
      </x:c>
      <x:c r="S1333" s="12"/>
      <x:c r="T1333" s="12" t="str">
        <x:v>negative</x:v>
      </x:c>
      <x:c r="U1333" s="12" t="str">
        <x:f>IF(OR(R1333="unavailable",T1333="unavailable"),"不可评价",IF(OR(R1333="equivocal",T1333="equivocal"),"疑似",IF(AND(R1333="positive",T1333="positive"),"a",IF(T1333="positive","b",IF(R1333="positive","c","d")))))</x:f>
        <x:v>d</x:v>
      </x:c>
      <x:c r="V1333" s="12"/>
      <x:c r="W1333" s="12" t="str">
        <x:v>negative</x:v>
      </x:c>
      <x:c r="X1333" s="12"/>
      <x:c r="Y1333" s="12" t="str">
        <x:v>negative</x:v>
      </x:c>
      <x:c r="Z1333" s="12" t="str">
        <x:f>IF(OR(W1333="unavailable",Y1333="unavailable"),"不可评价",IF(OR(W1333="equivocal",Y1333="equivocal"),"疑似",IF(AND(W1333="positive",Y1333="positive"),"a",IF(Y1333="positive","b",IF(W1333="positive","c","d")))))</x:f>
        <x:v>d</x:v>
      </x:c>
      <x:c r="AA1333" s="12" t="str">
        <x:f>IF(OR(M1333="unavailable",O1333="unavailable"),"不可评价",IF(AND(OR(M1333="positive",M1333="equivocal"),OR(O1333="positive",O1333="equivocal")),"a",IF(OR(O1333="positive",O1333="equivocal"),"b",IF(OR(M1333="positive",M1333="equivocal"),"c","d"))))</x:f>
        <x:v>d</x:v>
      </x:c>
      <x:c r="AB1333" s="12" t="str">
        <x:f>IF(OR(M1333="unavailable",O1333="unavailable"),"不可评价",IF(AND(M1333="positive",O1333="positive"),"a",IF(O1333="positive","b",IF(M1333="positive","c","d"))))</x:f>
        <x:v>d</x:v>
      </x:c>
      <x:c r="AC1333" s="12" t="str">
        <x:f>IF(OR(R1333="unavailable",T1333="unavailable"),"不可评价",IF(AND(OR(R1333="positive",R1333="equivocal"),OR(T1333="positive",T1333="equivocal")),"a",IF(OR(T1333="positive",T1333="equivocal"),"b",IF(OR(R1333="positive",R1333="equivocal"),"c","d"))))</x:f>
        <x:v>d</x:v>
      </x:c>
      <x:c r="AD1333" s="12" t="str">
        <x:f>IF(OR(R1333="unavailable",T1333="unavailable"),"不可评价",IF(AND(R1333="positive",T1333="positive"),"a",IF(T1333="positive","b",IF(R1333="positive","c","d"))))</x:f>
        <x:v>d</x:v>
      </x:c>
      <x:c r="AE1333" s="12" t="str">
        <x:f>IF(OR(W1333="unavailable",Y1333="unavailable"),"不可评价",IF(AND(OR(W1333="positive",W1333="equivocal"),OR(Y1333="positive",Y1333="equivocal")),"a",IF(OR(Y1333="positive",Y1333="equivocal"),"b",IF(OR(W1333="positive",W1333="equivocal"),"c","d"))))</x:f>
        <x:v>d</x:v>
      </x:c>
      <x:c r="AF1333" s="12" t="str">
        <x:f>IF(OR(W1333="unavailable",Y1333="unavailable"),"不可评价",IF(AND(W1333="positive",Y1333="positive"),"a",IF(Y1333="positive","b",IF(W1333="positive","c","d"))))</x:f>
        <x:v>d</x:v>
      </x:c>
    </x:row>
    <x:row r="1334" ht="24" customHeight="1">
      <x:c r="A1334" s="12" t="str">
        <x:v>12197</x:v>
      </x:c>
      <x:c r="B1334" s="12" t="str">
        <x:v>13119</x:v>
      </x:c>
      <x:c r="C1334" s="21" t="n">
        <x:v>34482.35142361111</x:v>
      </x:c>
      <x:c r="D1334" s="12" t="n">
        <x:v>77</x:v>
      </x:c>
      <x:c r="E1334" s="12" t="n">
        <x:v>1</x:v>
      </x:c>
      <x:c r="F1334" s="12" t="str">
        <x:v>未记录</x:v>
      </x:c>
      <x:c r="G1334" s="12" t="n">
        <x:v>0</x:v>
      </x:c>
      <x:c r="H1334" s="12" t="str">
        <x:v>{'ASMI': 100.0, 'ILMI': 100.0, 'ABQRS': 0.0, 'SR': 0.0}</x:v>
      </x:c>
      <x:c r="I1334" s="12" t="str">
        <x:v>[('NSR', 100.0), ('IMI;AU', 100.0), ('ASMI;AU', 100.0), ('AB', 100.0)]</x:v>
      </x:c>
      <x:c r="J1334" s="12" t="str">
        <x:v>ptbxl_database.csv；ecg_id=12197；scp_codes</x:v>
      </x:c>
      <x:c r="K1334" s="12" t="str">
        <x:v>12sl_statements.csv；ecg_id=12197；statements_ext_snomed</x:v>
      </x:c>
      <x:c r="L1334" s="12"/>
      <x:c r="M1334" s="12" t="str">
        <x:v>negative</x:v>
      </x:c>
      <x:c r="N1334" s="12"/>
      <x:c r="O1334" s="12" t="str">
        <x:v>negative</x:v>
      </x:c>
      <x:c r="P1334" s="12" t="str">
        <x:f>IF(OR(M1334="unavailable",O1334="unavailable"),"不可评价",IF(OR(M1334="equivocal",O1334="equivocal"),"疑似",IF(AND(M1334="positive",O1334="positive"),"a",IF(O1334="positive","b",IF(M1334="positive","c","d")))))</x:f>
        <x:v>d</x:v>
      </x:c>
      <x:c r="Q1334" s="12"/>
      <x:c r="R1334" s="12" t="str">
        <x:v>negative</x:v>
      </x:c>
      <x:c r="S1334" s="12"/>
      <x:c r="T1334" s="12" t="str">
        <x:v>negative</x:v>
      </x:c>
      <x:c r="U1334" s="12" t="str">
        <x:f>IF(OR(R1334="unavailable",T1334="unavailable"),"不可评价",IF(OR(R1334="equivocal",T1334="equivocal"),"疑似",IF(AND(R1334="positive",T1334="positive"),"a",IF(T1334="positive","b",IF(R1334="positive","c","d")))))</x:f>
        <x:v>d</x:v>
      </x:c>
      <x:c r="V1334" s="12"/>
      <x:c r="W1334" s="12" t="str">
        <x:v>negative</x:v>
      </x:c>
      <x:c r="X1334" s="12"/>
      <x:c r="Y1334" s="12" t="str">
        <x:v>negative</x:v>
      </x:c>
      <x:c r="Z1334" s="12" t="str">
        <x:f>IF(OR(W1334="unavailable",Y1334="unavailable"),"不可评价",IF(OR(W1334="equivocal",Y1334="equivocal"),"疑似",IF(AND(W1334="positive",Y1334="positive"),"a",IF(Y1334="positive","b",IF(W1334="positive","c","d")))))</x:f>
        <x:v>d</x:v>
      </x:c>
      <x:c r="AA1334" s="12" t="str">
        <x:f>IF(OR(M1334="unavailable",O1334="unavailable"),"不可评价",IF(AND(OR(M1334="positive",M1334="equivocal"),OR(O1334="positive",O1334="equivocal")),"a",IF(OR(O1334="positive",O1334="equivocal"),"b",IF(OR(M1334="positive",M1334="equivocal"),"c","d"))))</x:f>
        <x:v>d</x:v>
      </x:c>
      <x:c r="AB1334" s="12" t="str">
        <x:f>IF(OR(M1334="unavailable",O1334="unavailable"),"不可评价",IF(AND(M1334="positive",O1334="positive"),"a",IF(O1334="positive","b",IF(M1334="positive","c","d"))))</x:f>
        <x:v>d</x:v>
      </x:c>
      <x:c r="AC1334" s="12" t="str">
        <x:f>IF(OR(R1334="unavailable",T1334="unavailable"),"不可评价",IF(AND(OR(R1334="positive",R1334="equivocal"),OR(T1334="positive",T1334="equivocal")),"a",IF(OR(T1334="positive",T1334="equivocal"),"b",IF(OR(R1334="positive",R1334="equivocal"),"c","d"))))</x:f>
        <x:v>d</x:v>
      </x:c>
      <x:c r="AD1334" s="12" t="str">
        <x:f>IF(OR(R1334="unavailable",T1334="unavailable"),"不可评价",IF(AND(R1334="positive",T1334="positive"),"a",IF(T1334="positive","b",IF(R1334="positive","c","d"))))</x:f>
        <x:v>d</x:v>
      </x:c>
      <x:c r="AE1334" s="12" t="str">
        <x:f>IF(OR(W1334="unavailable",Y1334="unavailable"),"不可评价",IF(AND(OR(W1334="positive",W1334="equivocal"),OR(Y1334="positive",Y1334="equivocal")),"a",IF(OR(Y1334="positive",Y1334="equivocal"),"b",IF(OR(W1334="positive",W1334="equivocal"),"c","d"))))</x:f>
        <x:v>d</x:v>
      </x:c>
      <x:c r="AF1334" s="12" t="str">
        <x:f>IF(OR(W1334="unavailable",Y1334="unavailable"),"不可评价",IF(AND(W1334="positive",Y1334="positive"),"a",IF(Y1334="positive","b",IF(W1334="positive","c","d"))))</x:f>
        <x:v>d</x:v>
      </x:c>
    </x:row>
    <x:row r="1335" ht="24" customHeight="1">
      <x:c r="A1335" s="12" t="str">
        <x:v>12199</x:v>
      </x:c>
      <x:c r="B1335" s="12" t="str">
        <x:v>17861</x:v>
      </x:c>
      <x:c r="C1335" s="21" t="n">
        <x:v>34483.37517361111</x:v>
      </x:c>
      <x:c r="D1335" s="12" t="n">
        <x:v>45</x:v>
      </x:c>
      <x:c r="E1335" s="12" t="n">
        <x:v>0</x:v>
      </x:c>
      <x:c r="F1335" s="12" t="str">
        <x:v>未记录</x:v>
      </x:c>
      <x:c r="G1335" s="12" t="n">
        <x:v>1</x:v>
      </x:c>
      <x:c r="H1335" s="12" t="str">
        <x:v>{'NORM': 100.0, 'SR': 0.0}</x:v>
      </x:c>
      <x:c r="I1335" s="12" t="str">
        <x:v>[('NSR', 100.0), ('SAR', 100.0), ('NML', 100.0)]</x:v>
      </x:c>
      <x:c r="J1335" s="12" t="str">
        <x:v>ptbxl_database.csv；ecg_id=12199；scp_codes</x:v>
      </x:c>
      <x:c r="K1335" s="12" t="str">
        <x:v>12sl_statements.csv；ecg_id=12199；statements_ext_snomed</x:v>
      </x:c>
      <x:c r="L1335" s="12"/>
      <x:c r="M1335" s="12" t="str">
        <x:v>negative</x:v>
      </x:c>
      <x:c r="N1335" s="12"/>
      <x:c r="O1335" s="12" t="str">
        <x:v>negative</x:v>
      </x:c>
      <x:c r="P1335" s="12" t="str">
        <x:f>IF(OR(M1335="unavailable",O1335="unavailable"),"不可评价",IF(OR(M1335="equivocal",O1335="equivocal"),"疑似",IF(AND(M1335="positive",O1335="positive"),"a",IF(O1335="positive","b",IF(M1335="positive","c","d")))))</x:f>
        <x:v>d</x:v>
      </x:c>
      <x:c r="Q1335" s="12"/>
      <x:c r="R1335" s="12" t="str">
        <x:v>negative</x:v>
      </x:c>
      <x:c r="S1335" s="12"/>
      <x:c r="T1335" s="12" t="str">
        <x:v>negative</x:v>
      </x:c>
      <x:c r="U1335" s="12" t="str">
        <x:f>IF(OR(R1335="unavailable",T1335="unavailable"),"不可评价",IF(OR(R1335="equivocal",T1335="equivocal"),"疑似",IF(AND(R1335="positive",T1335="positive"),"a",IF(T1335="positive","b",IF(R1335="positive","c","d")))))</x:f>
        <x:v>d</x:v>
      </x:c>
      <x:c r="V1335" s="12"/>
      <x:c r="W1335" s="12" t="str">
        <x:v>negative</x:v>
      </x:c>
      <x:c r="X1335" s="12"/>
      <x:c r="Y1335" s="12" t="str">
        <x:v>negative</x:v>
      </x:c>
      <x:c r="Z1335" s="12" t="str">
        <x:f>IF(OR(W1335="unavailable",Y1335="unavailable"),"不可评价",IF(OR(W1335="equivocal",Y1335="equivocal"),"疑似",IF(AND(W1335="positive",Y1335="positive"),"a",IF(Y1335="positive","b",IF(W1335="positive","c","d")))))</x:f>
        <x:v>d</x:v>
      </x:c>
      <x:c r="AA1335" s="12" t="str">
        <x:f>IF(OR(M1335="unavailable",O1335="unavailable"),"不可评价",IF(AND(OR(M1335="positive",M1335="equivocal"),OR(O1335="positive",O1335="equivocal")),"a",IF(OR(O1335="positive",O1335="equivocal"),"b",IF(OR(M1335="positive",M1335="equivocal"),"c","d"))))</x:f>
        <x:v>d</x:v>
      </x:c>
      <x:c r="AB1335" s="12" t="str">
        <x:f>IF(OR(M1335="unavailable",O1335="unavailable"),"不可评价",IF(AND(M1335="positive",O1335="positive"),"a",IF(O1335="positive","b",IF(M1335="positive","c","d"))))</x:f>
        <x:v>d</x:v>
      </x:c>
      <x:c r="AC1335" s="12" t="str">
        <x:f>IF(OR(R1335="unavailable",T1335="unavailable"),"不可评价",IF(AND(OR(R1335="positive",R1335="equivocal"),OR(T1335="positive",T1335="equivocal")),"a",IF(OR(T1335="positive",T1335="equivocal"),"b",IF(OR(R1335="positive",R1335="equivocal"),"c","d"))))</x:f>
        <x:v>d</x:v>
      </x:c>
      <x:c r="AD1335" s="12" t="str">
        <x:f>IF(OR(R1335="unavailable",T1335="unavailable"),"不可评价",IF(AND(R1335="positive",T1335="positive"),"a",IF(T1335="positive","b",IF(R1335="positive","c","d"))))</x:f>
        <x:v>d</x:v>
      </x:c>
      <x:c r="AE1335" s="12" t="str">
        <x:f>IF(OR(W1335="unavailable",Y1335="unavailable"),"不可评价",IF(AND(OR(W1335="positive",W1335="equivocal"),OR(Y1335="positive",Y1335="equivocal")),"a",IF(OR(Y1335="positive",Y1335="equivocal"),"b",IF(OR(W1335="positive",W1335="equivocal"),"c","d"))))</x:f>
        <x:v>d</x:v>
      </x:c>
      <x:c r="AF1335" s="12" t="str">
        <x:f>IF(OR(W1335="unavailable",Y1335="unavailable"),"不可评价",IF(AND(W1335="positive",Y1335="positive"),"a",IF(Y1335="positive","b",IF(W1335="positive","c","d"))))</x:f>
        <x:v>d</x:v>
      </x:c>
    </x:row>
    <x:row r="1336" ht="24" customHeight="1">
      <x:c r="A1336" s="12" t="str">
        <x:v>12201</x:v>
      </x:c>
      <x:c r="B1336" s="12" t="str">
        <x:v>19742</x:v>
      </x:c>
      <x:c r="C1336" s="21" t="n">
        <x:v>34484.32267361111</x:v>
      </x:c>
      <x:c r="D1336" s="12" t="n">
        <x:v>66</x:v>
      </x:c>
      <x:c r="E1336" s="12" t="n">
        <x:v>0</x:v>
      </x:c>
      <x:c r="F1336" s="12" t="str">
        <x:v>未记录</x:v>
      </x:c>
      <x:c r="G1336" s="12" t="n">
        <x:v>1</x:v>
      </x:c>
      <x:c r="H1336" s="12" t="str">
        <x:v>{'IMI': 15.0, 'SR': 0.0}</x:v>
      </x:c>
      <x:c r="I1336" s="12" t="str">
        <x:v>[('NSR', 100.0), ('IMI;AU', 15.0), ('AB', 100.0)]</x:v>
      </x:c>
      <x:c r="J1336" s="12" t="str">
        <x:v>ptbxl_database.csv；ecg_id=12201；scp_codes</x:v>
      </x:c>
      <x:c r="K1336" s="12" t="str">
        <x:v>12sl_statements.csv；ecg_id=12201；statements_ext_snomed</x:v>
      </x:c>
      <x:c r="L1336" s="12"/>
      <x:c r="M1336" s="12" t="str">
        <x:v>negative</x:v>
      </x:c>
      <x:c r="N1336" s="12"/>
      <x:c r="O1336" s="12" t="str">
        <x:v>negative</x:v>
      </x:c>
      <x:c r="P1336" s="12" t="str">
        <x:f>IF(OR(M1336="unavailable",O1336="unavailable"),"不可评价",IF(OR(M1336="equivocal",O1336="equivocal"),"疑似",IF(AND(M1336="positive",O1336="positive"),"a",IF(O1336="positive","b",IF(M1336="positive","c","d")))))</x:f>
        <x:v>d</x:v>
      </x:c>
      <x:c r="Q1336" s="12"/>
      <x:c r="R1336" s="12" t="str">
        <x:v>negative</x:v>
      </x:c>
      <x:c r="S1336" s="12"/>
      <x:c r="T1336" s="12" t="str">
        <x:v>negative</x:v>
      </x:c>
      <x:c r="U1336" s="12" t="str">
        <x:f>IF(OR(R1336="unavailable",T1336="unavailable"),"不可评价",IF(OR(R1336="equivocal",T1336="equivocal"),"疑似",IF(AND(R1336="positive",T1336="positive"),"a",IF(T1336="positive","b",IF(R1336="positive","c","d")))))</x:f>
        <x:v>d</x:v>
      </x:c>
      <x:c r="V1336" s="12"/>
      <x:c r="W1336" s="12" t="str">
        <x:v>negative</x:v>
      </x:c>
      <x:c r="X1336" s="12"/>
      <x:c r="Y1336" s="12" t="str">
        <x:v>negative</x:v>
      </x:c>
      <x:c r="Z1336" s="12" t="str">
        <x:f>IF(OR(W1336="unavailable",Y1336="unavailable"),"不可评价",IF(OR(W1336="equivocal",Y1336="equivocal"),"疑似",IF(AND(W1336="positive",Y1336="positive"),"a",IF(Y1336="positive","b",IF(W1336="positive","c","d")))))</x:f>
        <x:v>d</x:v>
      </x:c>
      <x:c r="AA1336" s="12" t="str">
        <x:f>IF(OR(M1336="unavailable",O1336="unavailable"),"不可评价",IF(AND(OR(M1336="positive",M1336="equivocal"),OR(O1336="positive",O1336="equivocal")),"a",IF(OR(O1336="positive",O1336="equivocal"),"b",IF(OR(M1336="positive",M1336="equivocal"),"c","d"))))</x:f>
        <x:v>d</x:v>
      </x:c>
      <x:c r="AB1336" s="12" t="str">
        <x:f>IF(OR(M1336="unavailable",O1336="unavailable"),"不可评价",IF(AND(M1336="positive",O1336="positive"),"a",IF(O1336="positive","b",IF(M1336="positive","c","d"))))</x:f>
        <x:v>d</x:v>
      </x:c>
      <x:c r="AC1336" s="12" t="str">
        <x:f>IF(OR(R1336="unavailable",T1336="unavailable"),"不可评价",IF(AND(OR(R1336="positive",R1336="equivocal"),OR(T1336="positive",T1336="equivocal")),"a",IF(OR(T1336="positive",T1336="equivocal"),"b",IF(OR(R1336="positive",R1336="equivocal"),"c","d"))))</x:f>
        <x:v>d</x:v>
      </x:c>
      <x:c r="AD1336" s="12" t="str">
        <x:f>IF(OR(R1336="unavailable",T1336="unavailable"),"不可评价",IF(AND(R1336="positive",T1336="positive"),"a",IF(T1336="positive","b",IF(R1336="positive","c","d"))))</x:f>
        <x:v>d</x:v>
      </x:c>
      <x:c r="AE1336" s="12" t="str">
        <x:f>IF(OR(W1336="unavailable",Y1336="unavailable"),"不可评价",IF(AND(OR(W1336="positive",W1336="equivocal"),OR(Y1336="positive",Y1336="equivocal")),"a",IF(OR(Y1336="positive",Y1336="equivocal"),"b",IF(OR(W1336="positive",W1336="equivocal"),"c","d"))))</x:f>
        <x:v>d</x:v>
      </x:c>
      <x:c r="AF1336" s="12" t="str">
        <x:f>IF(OR(W1336="unavailable",Y1336="unavailable"),"不可评价",IF(AND(W1336="positive",Y1336="positive"),"a",IF(Y1336="positive","b",IF(W1336="positive","c","d"))))</x:f>
        <x:v>d</x:v>
      </x:c>
    </x:row>
    <x:row r="1337" ht="24" customHeight="1">
      <x:c r="A1337" s="12" t="str">
        <x:v>12216</x:v>
      </x:c>
      <x:c r="B1337" s="12" t="str">
        <x:v>12546</x:v>
      </x:c>
      <x:c r="C1337" s="21" t="n">
        <x:v>34490.61262731482</x:v>
      </x:c>
      <x:c r="D1337" s="12" t="n">
        <x:v>55</x:v>
      </x:c>
      <x:c r="E1337" s="12" t="n">
        <x:v>1</x:v>
      </x:c>
      <x:c r="F1337" s="12" t="str">
        <x:v>存在</x:v>
      </x:c>
      <x:c r="G1337" s="12" t="n">
        <x:v>1</x:v>
      </x:c>
      <x:c r="H1337" s="12" t="str">
        <x:v>{'NORM': 100.0, 'SBRAD': 0.0}</x:v>
      </x:c>
      <x:c r="I1337" s="12" t="str">
        <x:v>[('SBRAD', 100.0), ('NT', 100.0), ('AB', 100.0)]</x:v>
      </x:c>
      <x:c r="J1337" s="12" t="str">
        <x:v>ptbxl_database.csv；ecg_id=12216；scp_codes</x:v>
      </x:c>
      <x:c r="K1337" s="12" t="str">
        <x:v>12sl_statements.csv；ecg_id=12216；statements_ext_snomed</x:v>
      </x:c>
      <x:c r="L1337" s="12"/>
      <x:c r="M1337" s="12" t="str">
        <x:v>negative</x:v>
      </x:c>
      <x:c r="N1337" s="12"/>
      <x:c r="O1337" s="12" t="str">
        <x:v>negative</x:v>
      </x:c>
      <x:c r="P1337" s="12" t="str">
        <x:f>IF(OR(M1337="unavailable",O1337="unavailable"),"不可评价",IF(OR(M1337="equivocal",O1337="equivocal"),"疑似",IF(AND(M1337="positive",O1337="positive"),"a",IF(O1337="positive","b",IF(M1337="positive","c","d")))))</x:f>
        <x:v>d</x:v>
      </x:c>
      <x:c r="Q1337" s="12"/>
      <x:c r="R1337" s="12" t="str">
        <x:v>negative</x:v>
      </x:c>
      <x:c r="S1337" s="12"/>
      <x:c r="T1337" s="12" t="str">
        <x:v>negative</x:v>
      </x:c>
      <x:c r="U1337" s="12" t="str">
        <x:f>IF(OR(R1337="unavailable",T1337="unavailable"),"不可评价",IF(OR(R1337="equivocal",T1337="equivocal"),"疑似",IF(AND(R1337="positive",T1337="positive"),"a",IF(T1337="positive","b",IF(R1337="positive","c","d")))))</x:f>
        <x:v>d</x:v>
      </x:c>
      <x:c r="V1337" s="12"/>
      <x:c r="W1337" s="12" t="str">
        <x:v>negative</x:v>
      </x:c>
      <x:c r="X1337" s="12"/>
      <x:c r="Y1337" s="12" t="str">
        <x:v>negative</x:v>
      </x:c>
      <x:c r="Z1337" s="12" t="str">
        <x:f>IF(OR(W1337="unavailable",Y1337="unavailable"),"不可评价",IF(OR(W1337="equivocal",Y1337="equivocal"),"疑似",IF(AND(W1337="positive",Y1337="positive"),"a",IF(Y1337="positive","b",IF(W1337="positive","c","d")))))</x:f>
        <x:v>d</x:v>
      </x:c>
      <x:c r="AA1337" s="12" t="str">
        <x:f>IF(OR(M1337="unavailable",O1337="unavailable"),"不可评价",IF(AND(OR(M1337="positive",M1337="equivocal"),OR(O1337="positive",O1337="equivocal")),"a",IF(OR(O1337="positive",O1337="equivocal"),"b",IF(OR(M1337="positive",M1337="equivocal"),"c","d"))))</x:f>
        <x:v>d</x:v>
      </x:c>
      <x:c r="AB1337" s="12" t="str">
        <x:f>IF(OR(M1337="unavailable",O1337="unavailable"),"不可评价",IF(AND(M1337="positive",O1337="positive"),"a",IF(O1337="positive","b",IF(M1337="positive","c","d"))))</x:f>
        <x:v>d</x:v>
      </x:c>
      <x:c r="AC1337" s="12" t="str">
        <x:f>IF(OR(R1337="unavailable",T1337="unavailable"),"不可评价",IF(AND(OR(R1337="positive",R1337="equivocal"),OR(T1337="positive",T1337="equivocal")),"a",IF(OR(T1337="positive",T1337="equivocal"),"b",IF(OR(R1337="positive",R1337="equivocal"),"c","d"))))</x:f>
        <x:v>d</x:v>
      </x:c>
      <x:c r="AD1337" s="12" t="str">
        <x:f>IF(OR(R1337="unavailable",T1337="unavailable"),"不可评价",IF(AND(R1337="positive",T1337="positive"),"a",IF(T1337="positive","b",IF(R1337="positive","c","d"))))</x:f>
        <x:v>d</x:v>
      </x:c>
      <x:c r="AE1337" s="12" t="str">
        <x:f>IF(OR(W1337="unavailable",Y1337="unavailable"),"不可评价",IF(AND(OR(W1337="positive",W1337="equivocal"),OR(Y1337="positive",Y1337="equivocal")),"a",IF(OR(Y1337="positive",Y1337="equivocal"),"b",IF(OR(W1337="positive",W1337="equivocal"),"c","d"))))</x:f>
        <x:v>d</x:v>
      </x:c>
      <x:c r="AF1337" s="12" t="str">
        <x:f>IF(OR(W1337="unavailable",Y1337="unavailable"),"不可评价",IF(AND(W1337="positive",Y1337="positive"),"a",IF(Y1337="positive","b",IF(W1337="positive","c","d"))))</x:f>
        <x:v>d</x:v>
      </x:c>
    </x:row>
    <x:row r="1338" ht="24" customHeight="1">
      <x:c r="A1338" s="12" t="str">
        <x:v>12220</x:v>
      </x:c>
      <x:c r="B1338" s="12" t="str">
        <x:v>12440</x:v>
      </x:c>
      <x:c r="C1338" s="21" t="n">
        <x:v>34492.492268518516</x:v>
      </x:c>
      <x:c r="D1338" s="12" t="n">
        <x:v>28</x:v>
      </x:c>
      <x:c r="E1338" s="12" t="n">
        <x:v>0</x:v>
      </x:c>
      <x:c r="F1338" s="12" t="str">
        <x:v>未记录</x:v>
      </x:c>
      <x:c r="G1338" s="12" t="n">
        <x:v>1</x:v>
      </x:c>
      <x:c r="H1338" s="12" t="str">
        <x:v>{'NORM': 80.0, 'SR': 0.0}</x:v>
      </x:c>
      <x:c r="I1338" s="12" t="str">
        <x:v>[('SBRAD', 100.0), ('ABR', 100.0)]</x:v>
      </x:c>
      <x:c r="J1338" s="12" t="str">
        <x:v>ptbxl_database.csv；ecg_id=12220；scp_codes</x:v>
      </x:c>
      <x:c r="K1338" s="12" t="str">
        <x:v>12sl_statements.csv；ecg_id=12220；statements_ext_snomed</x:v>
      </x:c>
      <x:c r="L1338" s="12"/>
      <x:c r="M1338" s="12" t="str">
        <x:v>negative</x:v>
      </x:c>
      <x:c r="N1338" s="12"/>
      <x:c r="O1338" s="12" t="str">
        <x:v>negative</x:v>
      </x:c>
      <x:c r="P1338" s="12" t="str">
        <x:f>IF(OR(M1338="unavailable",O1338="unavailable"),"不可评价",IF(OR(M1338="equivocal",O1338="equivocal"),"疑似",IF(AND(M1338="positive",O1338="positive"),"a",IF(O1338="positive","b",IF(M1338="positive","c","d")))))</x:f>
        <x:v>d</x:v>
      </x:c>
      <x:c r="Q1338" s="12"/>
      <x:c r="R1338" s="12" t="str">
        <x:v>negative</x:v>
      </x:c>
      <x:c r="S1338" s="12"/>
      <x:c r="T1338" s="12" t="str">
        <x:v>negative</x:v>
      </x:c>
      <x:c r="U1338" s="12" t="str">
        <x:f>IF(OR(R1338="unavailable",T1338="unavailable"),"不可评价",IF(OR(R1338="equivocal",T1338="equivocal"),"疑似",IF(AND(R1338="positive",T1338="positive"),"a",IF(T1338="positive","b",IF(R1338="positive","c","d")))))</x:f>
        <x:v>d</x:v>
      </x:c>
      <x:c r="V1338" s="12"/>
      <x:c r="W1338" s="12" t="str">
        <x:v>negative</x:v>
      </x:c>
      <x:c r="X1338" s="12"/>
      <x:c r="Y1338" s="12" t="str">
        <x:v>negative</x:v>
      </x:c>
      <x:c r="Z1338" s="12" t="str">
        <x:f>IF(OR(W1338="unavailable",Y1338="unavailable"),"不可评价",IF(OR(W1338="equivocal",Y1338="equivocal"),"疑似",IF(AND(W1338="positive",Y1338="positive"),"a",IF(Y1338="positive","b",IF(W1338="positive","c","d")))))</x:f>
        <x:v>d</x:v>
      </x:c>
      <x:c r="AA1338" s="12" t="str">
        <x:f>IF(OR(M1338="unavailable",O1338="unavailable"),"不可评价",IF(AND(OR(M1338="positive",M1338="equivocal"),OR(O1338="positive",O1338="equivocal")),"a",IF(OR(O1338="positive",O1338="equivocal"),"b",IF(OR(M1338="positive",M1338="equivocal"),"c","d"))))</x:f>
        <x:v>d</x:v>
      </x:c>
      <x:c r="AB1338" s="12" t="str">
        <x:f>IF(OR(M1338="unavailable",O1338="unavailable"),"不可评价",IF(AND(M1338="positive",O1338="positive"),"a",IF(O1338="positive","b",IF(M1338="positive","c","d"))))</x:f>
        <x:v>d</x:v>
      </x:c>
      <x:c r="AC1338" s="12" t="str">
        <x:f>IF(OR(R1338="unavailable",T1338="unavailable"),"不可评价",IF(AND(OR(R1338="positive",R1338="equivocal"),OR(T1338="positive",T1338="equivocal")),"a",IF(OR(T1338="positive",T1338="equivocal"),"b",IF(OR(R1338="positive",R1338="equivocal"),"c","d"))))</x:f>
        <x:v>d</x:v>
      </x:c>
      <x:c r="AD1338" s="12" t="str">
        <x:f>IF(OR(R1338="unavailable",T1338="unavailable"),"不可评价",IF(AND(R1338="positive",T1338="positive"),"a",IF(T1338="positive","b",IF(R1338="positive","c","d"))))</x:f>
        <x:v>d</x:v>
      </x:c>
      <x:c r="AE1338" s="12" t="str">
        <x:f>IF(OR(W1338="unavailable",Y1338="unavailable"),"不可评价",IF(AND(OR(W1338="positive",W1338="equivocal"),OR(Y1338="positive",Y1338="equivocal")),"a",IF(OR(Y1338="positive",Y1338="equivocal"),"b",IF(OR(W1338="positive",W1338="equivocal"),"c","d"))))</x:f>
        <x:v>d</x:v>
      </x:c>
      <x:c r="AF1338" s="12" t="str">
        <x:f>IF(OR(W1338="unavailable",Y1338="unavailable"),"不可评价",IF(AND(W1338="positive",Y1338="positive"),"a",IF(Y1338="positive","b",IF(W1338="positive","c","d"))))</x:f>
        <x:v>d</x:v>
      </x:c>
    </x:row>
    <x:row r="1339" ht="24" customHeight="1">
      <x:c r="A1339" s="12" t="str">
        <x:v>12221</x:v>
      </x:c>
      <x:c r="B1339" s="12" t="str">
        <x:v>21745</x:v>
      </x:c>
      <x:c r="C1339" s="21" t="n">
        <x:v>34492.77116898148</x:v>
      </x:c>
      <x:c r="D1339" s="12" t="n">
        <x:v>84</x:v>
      </x:c>
      <x:c r="E1339" s="12" t="n">
        <x:v>1</x:v>
      </x:c>
      <x:c r="F1339" s="12" t="str">
        <x:v>存在</x:v>
      </x:c>
      <x:c r="G1339" s="12" t="n">
        <x:v>1</x:v>
      </x:c>
      <x:c r="H1339" s="12" t="str">
        <x:v>{'LMI': 50.0, '1AVB': 100.0, 'ABQRS': 0.0, 'SR': 0.0}</x:v>
      </x:c>
      <x:c r="I1339" s="12" t="str">
        <x:v>[('SRTH', 100.0), ('FAV', 100.0), ('BORDE', 100.0)]</x:v>
      </x:c>
      <x:c r="J1339" s="12" t="str">
        <x:v>ptbxl_database.csv；ecg_id=12221；scp_codes</x:v>
      </x:c>
      <x:c r="K1339" s="12" t="str">
        <x:v>12sl_statements.csv；ecg_id=12221；statements_ext_snomed</x:v>
      </x:c>
      <x:c r="L1339" s="12"/>
      <x:c r="M1339" s="12" t="str">
        <x:v>negative</x:v>
      </x:c>
      <x:c r="N1339" s="12"/>
      <x:c r="O1339" s="12" t="str">
        <x:v>negative</x:v>
      </x:c>
      <x:c r="P1339" s="12" t="str">
        <x:f>IF(OR(M1339="unavailable",O1339="unavailable"),"不可评价",IF(OR(M1339="equivocal",O1339="equivocal"),"疑似",IF(AND(M1339="positive",O1339="positive"),"a",IF(O1339="positive","b",IF(M1339="positive","c","d")))))</x:f>
        <x:v>d</x:v>
      </x:c>
      <x:c r="Q1339" s="12"/>
      <x:c r="R1339" s="12" t="str">
        <x:v>negative</x:v>
      </x:c>
      <x:c r="S1339" s="12"/>
      <x:c r="T1339" s="12" t="str">
        <x:v>negative</x:v>
      </x:c>
      <x:c r="U1339" s="12" t="str">
        <x:f>IF(OR(R1339="unavailable",T1339="unavailable"),"不可评价",IF(OR(R1339="equivocal",T1339="equivocal"),"疑似",IF(AND(R1339="positive",T1339="positive"),"a",IF(T1339="positive","b",IF(R1339="positive","c","d")))))</x:f>
        <x:v>d</x:v>
      </x:c>
      <x:c r="V1339" s="12"/>
      <x:c r="W1339" s="12" t="str">
        <x:v>negative</x:v>
      </x:c>
      <x:c r="X1339" s="12"/>
      <x:c r="Y1339" s="12" t="str">
        <x:v>negative</x:v>
      </x:c>
      <x:c r="Z1339" s="12" t="str">
        <x:f>IF(OR(W1339="unavailable",Y1339="unavailable"),"不可评价",IF(OR(W1339="equivocal",Y1339="equivocal"),"疑似",IF(AND(W1339="positive",Y1339="positive"),"a",IF(Y1339="positive","b",IF(W1339="positive","c","d")))))</x:f>
        <x:v>d</x:v>
      </x:c>
      <x:c r="AA1339" s="12" t="str">
        <x:f>IF(OR(M1339="unavailable",O1339="unavailable"),"不可评价",IF(AND(OR(M1339="positive",M1339="equivocal"),OR(O1339="positive",O1339="equivocal")),"a",IF(OR(O1339="positive",O1339="equivocal"),"b",IF(OR(M1339="positive",M1339="equivocal"),"c","d"))))</x:f>
        <x:v>d</x:v>
      </x:c>
      <x:c r="AB1339" s="12" t="str">
        <x:f>IF(OR(M1339="unavailable",O1339="unavailable"),"不可评价",IF(AND(M1339="positive",O1339="positive"),"a",IF(O1339="positive","b",IF(M1339="positive","c","d"))))</x:f>
        <x:v>d</x:v>
      </x:c>
      <x:c r="AC1339" s="12" t="str">
        <x:f>IF(OR(R1339="unavailable",T1339="unavailable"),"不可评价",IF(AND(OR(R1339="positive",R1339="equivocal"),OR(T1339="positive",T1339="equivocal")),"a",IF(OR(T1339="positive",T1339="equivocal"),"b",IF(OR(R1339="positive",R1339="equivocal"),"c","d"))))</x:f>
        <x:v>d</x:v>
      </x:c>
      <x:c r="AD1339" s="12" t="str">
        <x:f>IF(OR(R1339="unavailable",T1339="unavailable"),"不可评价",IF(AND(R1339="positive",T1339="positive"),"a",IF(T1339="positive","b",IF(R1339="positive","c","d"))))</x:f>
        <x:v>d</x:v>
      </x:c>
      <x:c r="AE1339" s="12" t="str">
        <x:f>IF(OR(W1339="unavailable",Y1339="unavailable"),"不可评价",IF(AND(OR(W1339="positive",W1339="equivocal"),OR(Y1339="positive",Y1339="equivocal")),"a",IF(OR(Y1339="positive",Y1339="equivocal"),"b",IF(OR(W1339="positive",W1339="equivocal"),"c","d"))))</x:f>
        <x:v>d</x:v>
      </x:c>
      <x:c r="AF1339" s="12" t="str">
        <x:f>IF(OR(W1339="unavailable",Y1339="unavailable"),"不可评价",IF(AND(W1339="positive",Y1339="positive"),"a",IF(Y1339="positive","b",IF(W1339="positive","c","d"))))</x:f>
        <x:v>d</x:v>
      </x:c>
    </x:row>
    <x:row r="1340" ht="39" customHeight="1">
      <x:c r="A1340" s="12" t="str">
        <x:v>12223</x:v>
      </x:c>
      <x:c r="B1340" s="12" t="str">
        <x:v>18277</x:v>
      </x:c>
      <x:c r="C1340" s="21" t="n">
        <x:v>34493.61907407407</x:v>
      </x:c>
      <x:c r="D1340" s="12" t="n">
        <x:v>72</x:v>
      </x:c>
      <x:c r="E1340" s="12" t="n">
        <x:v>1</x:v>
      </x:c>
      <x:c r="F1340" s="12" t="str">
        <x:v>未记录</x:v>
      </x:c>
      <x:c r="G1340" s="12" t="n">
        <x:v>1</x:v>
      </x:c>
      <x:c r="H1340" s="12" t="str">
        <x:v>{'AMI': 50.0, 'INJAL': 50.0, 'PVC': 100.0, '1AVB': 100.0, 'ABQRS': 0.0, 'SR': 0.0}</x:v>
      </x:c>
      <x:c r="I1340" s="12" t="str">
        <x:v>[('SRTH', 100.0), ('PVC', 100.0), ('SMI;AU', 100.0), ('LSBINJ', 100.0), ('AB', 100.0)]</x:v>
      </x:c>
      <x:c r="J1340" s="12" t="str">
        <x:v>ptbxl_database.csv；ecg_id=12223；scp_codes</x:v>
      </x:c>
      <x:c r="K1340" s="12" t="str">
        <x:v>12sl_statements.csv；ecg_id=12223；statements_ext_snomed</x:v>
      </x:c>
      <x:c r="L1340" s="12"/>
      <x:c r="M1340" s="12" t="str">
        <x:v>negative</x:v>
      </x:c>
      <x:c r="N1340" s="12"/>
      <x:c r="O1340" s="12" t="str">
        <x:v>negative</x:v>
      </x:c>
      <x:c r="P1340" s="12" t="str">
        <x:f>IF(OR(M1340="unavailable",O1340="unavailable"),"不可评价",IF(OR(M1340="equivocal",O1340="equivocal"),"疑似",IF(AND(M1340="positive",O1340="positive"),"a",IF(O1340="positive","b",IF(M1340="positive","c","d")))))</x:f>
        <x:v>d</x:v>
      </x:c>
      <x:c r="Q1340" s="12"/>
      <x:c r="R1340" s="12" t="str">
        <x:v>negative</x:v>
      </x:c>
      <x:c r="S1340" s="12"/>
      <x:c r="T1340" s="12" t="str">
        <x:v>negative</x:v>
      </x:c>
      <x:c r="U1340" s="12" t="str">
        <x:f>IF(OR(R1340="unavailable",T1340="unavailable"),"不可评价",IF(OR(R1340="equivocal",T1340="equivocal"),"疑似",IF(AND(R1340="positive",T1340="positive"),"a",IF(T1340="positive","b",IF(R1340="positive","c","d")))))</x:f>
        <x:v>d</x:v>
      </x:c>
      <x:c r="V1340" s="12"/>
      <x:c r="W1340" s="12" t="str">
        <x:v>negative</x:v>
      </x:c>
      <x:c r="X1340" s="12"/>
      <x:c r="Y1340" s="12" t="str">
        <x:v>negative</x:v>
      </x:c>
      <x:c r="Z1340" s="12" t="str">
        <x:f>IF(OR(W1340="unavailable",Y1340="unavailable"),"不可评价",IF(OR(W1340="equivocal",Y1340="equivocal"),"疑似",IF(AND(W1340="positive",Y1340="positive"),"a",IF(Y1340="positive","b",IF(W1340="positive","c","d")))))</x:f>
        <x:v>d</x:v>
      </x:c>
      <x:c r="AA1340" s="12" t="str">
        <x:f>IF(OR(M1340="unavailable",O1340="unavailable"),"不可评价",IF(AND(OR(M1340="positive",M1340="equivocal"),OR(O1340="positive",O1340="equivocal")),"a",IF(OR(O1340="positive",O1340="equivocal"),"b",IF(OR(M1340="positive",M1340="equivocal"),"c","d"))))</x:f>
        <x:v>d</x:v>
      </x:c>
      <x:c r="AB1340" s="12" t="str">
        <x:f>IF(OR(M1340="unavailable",O1340="unavailable"),"不可评价",IF(AND(M1340="positive",O1340="positive"),"a",IF(O1340="positive","b",IF(M1340="positive","c","d"))))</x:f>
        <x:v>d</x:v>
      </x:c>
      <x:c r="AC1340" s="12" t="str">
        <x:f>IF(OR(R1340="unavailable",T1340="unavailable"),"不可评价",IF(AND(OR(R1340="positive",R1340="equivocal"),OR(T1340="positive",T1340="equivocal")),"a",IF(OR(T1340="positive",T1340="equivocal"),"b",IF(OR(R1340="positive",R1340="equivocal"),"c","d"))))</x:f>
        <x:v>d</x:v>
      </x:c>
      <x:c r="AD1340" s="12" t="str">
        <x:f>IF(OR(R1340="unavailable",T1340="unavailable"),"不可评价",IF(AND(R1340="positive",T1340="positive"),"a",IF(T1340="positive","b",IF(R1340="positive","c","d"))))</x:f>
        <x:v>d</x:v>
      </x:c>
      <x:c r="AE1340" s="12" t="str">
        <x:f>IF(OR(W1340="unavailable",Y1340="unavailable"),"不可评价",IF(AND(OR(W1340="positive",W1340="equivocal"),OR(Y1340="positive",Y1340="equivocal")),"a",IF(OR(Y1340="positive",Y1340="equivocal"),"b",IF(OR(W1340="positive",W1340="equivocal"),"c","d"))))</x:f>
        <x:v>d</x:v>
      </x:c>
      <x:c r="AF1340" s="12" t="str">
        <x:f>IF(OR(W1340="unavailable",Y1340="unavailable"),"不可评价",IF(AND(W1340="positive",Y1340="positive"),"a",IF(Y1340="positive","b",IF(W1340="positive","c","d"))))</x:f>
        <x:v>d</x:v>
      </x:c>
    </x:row>
    <x:row r="1341" ht="24" customHeight="1">
      <x:c r="A1341" s="12" t="str">
        <x:v>12224</x:v>
      </x:c>
      <x:c r="B1341" s="12" t="str">
        <x:v>9692</x:v>
      </x:c>
      <x:c r="C1341" s="21" t="n">
        <x:v>34493.65013888889</x:v>
      </x:c>
      <x:c r="D1341" s="12" t="n">
        <x:v>44</x:v>
      </x:c>
      <x:c r="E1341" s="12" t="n">
        <x:v>0</x:v>
      </x:c>
      <x:c r="F1341" s="12" t="str">
        <x:v>存在</x:v>
      </x:c>
      <x:c r="G1341" s="12" t="n">
        <x:v>1</x:v>
      </x:c>
      <x:c r="H1341" s="12" t="str">
        <x:v>{'ASMI': 100.0, 'ABQRS': 0.0, 'STACH': 0.0}</x:v>
      </x:c>
      <x:c r="I1341" s="12" t="str">
        <x:v>[('STACH', 100.0), ('RAE', 100.0), ('SMI;AU', 100.0), ('AB', 100.0)]</x:v>
      </x:c>
      <x:c r="J1341" s="12" t="str">
        <x:v>ptbxl_database.csv；ecg_id=12224；scp_codes</x:v>
      </x:c>
      <x:c r="K1341" s="12" t="str">
        <x:v>12sl_statements.csv；ecg_id=12224；statements_ext_snomed</x:v>
      </x:c>
      <x:c r="L1341" s="12"/>
      <x:c r="M1341" s="12" t="str">
        <x:v>negative</x:v>
      </x:c>
      <x:c r="N1341" s="12"/>
      <x:c r="O1341" s="12" t="str">
        <x:v>negative</x:v>
      </x:c>
      <x:c r="P1341" s="12" t="str">
        <x:f>IF(OR(M1341="unavailable",O1341="unavailable"),"不可评价",IF(OR(M1341="equivocal",O1341="equivocal"),"疑似",IF(AND(M1341="positive",O1341="positive"),"a",IF(O1341="positive","b",IF(M1341="positive","c","d")))))</x:f>
        <x:v>d</x:v>
      </x:c>
      <x:c r="Q1341" s="12"/>
      <x:c r="R1341" s="12" t="str">
        <x:v>negative</x:v>
      </x:c>
      <x:c r="S1341" s="12"/>
      <x:c r="T1341" s="12" t="str">
        <x:v>negative</x:v>
      </x:c>
      <x:c r="U1341" s="12" t="str">
        <x:f>IF(OR(R1341="unavailable",T1341="unavailable"),"不可评价",IF(OR(R1341="equivocal",T1341="equivocal"),"疑似",IF(AND(R1341="positive",T1341="positive"),"a",IF(T1341="positive","b",IF(R1341="positive","c","d")))))</x:f>
        <x:v>d</x:v>
      </x:c>
      <x:c r="V1341" s="12"/>
      <x:c r="W1341" s="12" t="str">
        <x:v>negative</x:v>
      </x:c>
      <x:c r="X1341" s="12"/>
      <x:c r="Y1341" s="12" t="str">
        <x:v>negative</x:v>
      </x:c>
      <x:c r="Z1341" s="12" t="str">
        <x:f>IF(OR(W1341="unavailable",Y1341="unavailable"),"不可评价",IF(OR(W1341="equivocal",Y1341="equivocal"),"疑似",IF(AND(W1341="positive",Y1341="positive"),"a",IF(Y1341="positive","b",IF(W1341="positive","c","d")))))</x:f>
        <x:v>d</x:v>
      </x:c>
      <x:c r="AA1341" s="12" t="str">
        <x:f>IF(OR(M1341="unavailable",O1341="unavailable"),"不可评价",IF(AND(OR(M1341="positive",M1341="equivocal"),OR(O1341="positive",O1341="equivocal")),"a",IF(OR(O1341="positive",O1341="equivocal"),"b",IF(OR(M1341="positive",M1341="equivocal"),"c","d"))))</x:f>
        <x:v>d</x:v>
      </x:c>
      <x:c r="AB1341" s="12" t="str">
        <x:f>IF(OR(M1341="unavailable",O1341="unavailable"),"不可评价",IF(AND(M1341="positive",O1341="positive"),"a",IF(O1341="positive","b",IF(M1341="positive","c","d"))))</x:f>
        <x:v>d</x:v>
      </x:c>
      <x:c r="AC1341" s="12" t="str">
        <x:f>IF(OR(R1341="unavailable",T1341="unavailable"),"不可评价",IF(AND(OR(R1341="positive",R1341="equivocal"),OR(T1341="positive",T1341="equivocal")),"a",IF(OR(T1341="positive",T1341="equivocal"),"b",IF(OR(R1341="positive",R1341="equivocal"),"c","d"))))</x:f>
        <x:v>d</x:v>
      </x:c>
      <x:c r="AD1341" s="12" t="str">
        <x:f>IF(OR(R1341="unavailable",T1341="unavailable"),"不可评价",IF(AND(R1341="positive",T1341="positive"),"a",IF(T1341="positive","b",IF(R1341="positive","c","d"))))</x:f>
        <x:v>d</x:v>
      </x:c>
      <x:c r="AE1341" s="12" t="str">
        <x:f>IF(OR(W1341="unavailable",Y1341="unavailable"),"不可评价",IF(AND(OR(W1341="positive",W1341="equivocal"),OR(Y1341="positive",Y1341="equivocal")),"a",IF(OR(Y1341="positive",Y1341="equivocal"),"b",IF(OR(W1341="positive",W1341="equivocal"),"c","d"))))</x:f>
        <x:v>d</x:v>
      </x:c>
      <x:c r="AF1341" s="12" t="str">
        <x:f>IF(OR(W1341="unavailable",Y1341="unavailable"),"不可评价",IF(AND(W1341="positive",Y1341="positive"),"a",IF(Y1341="positive","b",IF(W1341="positive","c","d"))))</x:f>
        <x:v>d</x:v>
      </x:c>
    </x:row>
    <x:row r="1342" ht="24" customHeight="1">
      <x:c r="A1342" s="12" t="str">
        <x:v>12230</x:v>
      </x:c>
      <x:c r="B1342" s="12" t="str">
        <x:v>21715</x:v>
      </x:c>
      <x:c r="C1342" s="21" t="n">
        <x:v>34495.62107638889</x:v>
      </x:c>
      <x:c r="D1342" s="12" t="n">
        <x:v>68</x:v>
      </x:c>
      <x:c r="E1342" s="12" t="n">
        <x:v>0</x:v>
      </x:c>
      <x:c r="F1342" s="12" t="str">
        <x:v>未记录</x:v>
      </x:c>
      <x:c r="G1342" s="12" t="n">
        <x:v>1</x:v>
      </x:c>
      <x:c r="H1342" s="12" t="str">
        <x:v>{'NORM': 100.0, 'SR': 0.0}</x:v>
      </x:c>
      <x:c r="I1342" s="12" t="str">
        <x:v>[('NSR', 100.0), ('NSTT', 100.0), ('AB', 100.0)]</x:v>
      </x:c>
      <x:c r="J1342" s="12" t="str">
        <x:v>ptbxl_database.csv；ecg_id=12230；scp_codes</x:v>
      </x:c>
      <x:c r="K1342" s="12" t="str">
        <x:v>12sl_statements.csv；ecg_id=12230；statements_ext_snomed</x:v>
      </x:c>
      <x:c r="L1342" s="12"/>
      <x:c r="M1342" s="12" t="str">
        <x:v>negative</x:v>
      </x:c>
      <x:c r="N1342" s="12"/>
      <x:c r="O1342" s="12" t="str">
        <x:v>negative</x:v>
      </x:c>
      <x:c r="P1342" s="12" t="str">
        <x:f>IF(OR(M1342="unavailable",O1342="unavailable"),"不可评价",IF(OR(M1342="equivocal",O1342="equivocal"),"疑似",IF(AND(M1342="positive",O1342="positive"),"a",IF(O1342="positive","b",IF(M1342="positive","c","d")))))</x:f>
        <x:v>d</x:v>
      </x:c>
      <x:c r="Q1342" s="12"/>
      <x:c r="R1342" s="12" t="str">
        <x:v>negative</x:v>
      </x:c>
      <x:c r="S1342" s="12"/>
      <x:c r="T1342" s="12" t="str">
        <x:v>negative</x:v>
      </x:c>
      <x:c r="U1342" s="12" t="str">
        <x:f>IF(OR(R1342="unavailable",T1342="unavailable"),"不可评价",IF(OR(R1342="equivocal",T1342="equivocal"),"疑似",IF(AND(R1342="positive",T1342="positive"),"a",IF(T1342="positive","b",IF(R1342="positive","c","d")))))</x:f>
        <x:v>d</x:v>
      </x:c>
      <x:c r="V1342" s="12"/>
      <x:c r="W1342" s="12" t="str">
        <x:v>negative</x:v>
      </x:c>
      <x:c r="X1342" s="12"/>
      <x:c r="Y1342" s="12" t="str">
        <x:v>negative</x:v>
      </x:c>
      <x:c r="Z1342" s="12" t="str">
        <x:f>IF(OR(W1342="unavailable",Y1342="unavailable"),"不可评价",IF(OR(W1342="equivocal",Y1342="equivocal"),"疑似",IF(AND(W1342="positive",Y1342="positive"),"a",IF(Y1342="positive","b",IF(W1342="positive","c","d")))))</x:f>
        <x:v>d</x:v>
      </x:c>
      <x:c r="AA1342" s="12" t="str">
        <x:f>IF(OR(M1342="unavailable",O1342="unavailable"),"不可评价",IF(AND(OR(M1342="positive",M1342="equivocal"),OR(O1342="positive",O1342="equivocal")),"a",IF(OR(O1342="positive",O1342="equivocal"),"b",IF(OR(M1342="positive",M1342="equivocal"),"c","d"))))</x:f>
        <x:v>d</x:v>
      </x:c>
      <x:c r="AB1342" s="12" t="str">
        <x:f>IF(OR(M1342="unavailable",O1342="unavailable"),"不可评价",IF(AND(M1342="positive",O1342="positive"),"a",IF(O1342="positive","b",IF(M1342="positive","c","d"))))</x:f>
        <x:v>d</x:v>
      </x:c>
      <x:c r="AC1342" s="12" t="str">
        <x:f>IF(OR(R1342="unavailable",T1342="unavailable"),"不可评价",IF(AND(OR(R1342="positive",R1342="equivocal"),OR(T1342="positive",T1342="equivocal")),"a",IF(OR(T1342="positive",T1342="equivocal"),"b",IF(OR(R1342="positive",R1342="equivocal"),"c","d"))))</x:f>
        <x:v>d</x:v>
      </x:c>
      <x:c r="AD1342" s="12" t="str">
        <x:f>IF(OR(R1342="unavailable",T1342="unavailable"),"不可评价",IF(AND(R1342="positive",T1342="positive"),"a",IF(T1342="positive","b",IF(R1342="positive","c","d"))))</x:f>
        <x:v>d</x:v>
      </x:c>
      <x:c r="AE1342" s="12" t="str">
        <x:f>IF(OR(W1342="unavailable",Y1342="unavailable"),"不可评价",IF(AND(OR(W1342="positive",W1342="equivocal"),OR(Y1342="positive",Y1342="equivocal")),"a",IF(OR(Y1342="positive",Y1342="equivocal"),"b",IF(OR(W1342="positive",W1342="equivocal"),"c","d"))))</x:f>
        <x:v>d</x:v>
      </x:c>
      <x:c r="AF1342" s="12" t="str">
        <x:f>IF(OR(W1342="unavailable",Y1342="unavailable"),"不可评价",IF(AND(W1342="positive",Y1342="positive"),"a",IF(Y1342="positive","b",IF(W1342="positive","c","d"))))</x:f>
        <x:v>d</x:v>
      </x:c>
    </x:row>
    <x:row r="1343" ht="24" customHeight="1">
      <x:c r="A1343" s="12" t="str">
        <x:v>12235</x:v>
      </x:c>
      <x:c r="B1343" s="12" t="str">
        <x:v>10043</x:v>
      </x:c>
      <x:c r="C1343" s="21" t="n">
        <x:v>34496.93581018518</x:v>
      </x:c>
      <x:c r="D1343" s="12" t="n">
        <x:v>83</x:v>
      </x:c>
      <x:c r="E1343" s="12" t="n">
        <x:v>0</x:v>
      </x:c>
      <x:c r="F1343" s="12" t="str">
        <x:v>存在</x:v>
      </x:c>
      <x:c r="G1343" s="12" t="n">
        <x:v>1</x:v>
      </x:c>
      <x:c r="H1343" s="12" t="str">
        <x:v>{'AMI': 100.0, 'LAFB': 100.0, 'ABQRS': 0.0, 'SR': 0.0}</x:v>
      </x:c>
      <x:c r="I1343" s="12" t="str">
        <x:v>[('NSR', 100.0), ('LAD3', 100.0), ('SMI;AU', 100.0), ('AB', 100.0)]</x:v>
      </x:c>
      <x:c r="J1343" s="12" t="str">
        <x:v>ptbxl_database.csv；ecg_id=12235；scp_codes</x:v>
      </x:c>
      <x:c r="K1343" s="12" t="str">
        <x:v>12sl_statements.csv；ecg_id=12235；statements_ext_snomed</x:v>
      </x:c>
      <x:c r="L1343" s="12"/>
      <x:c r="M1343" s="12" t="str">
        <x:v>negative</x:v>
      </x:c>
      <x:c r="N1343" s="12"/>
      <x:c r="O1343" s="12" t="str">
        <x:v>negative</x:v>
      </x:c>
      <x:c r="P1343" s="12" t="str">
        <x:f>IF(OR(M1343="unavailable",O1343="unavailable"),"不可评价",IF(OR(M1343="equivocal",O1343="equivocal"),"疑似",IF(AND(M1343="positive",O1343="positive"),"a",IF(O1343="positive","b",IF(M1343="positive","c","d")))))</x:f>
        <x:v>d</x:v>
      </x:c>
      <x:c r="Q1343" s="12"/>
      <x:c r="R1343" s="12" t="str">
        <x:v>negative</x:v>
      </x:c>
      <x:c r="S1343" s="12"/>
      <x:c r="T1343" s="12" t="str">
        <x:v>negative</x:v>
      </x:c>
      <x:c r="U1343" s="12" t="str">
        <x:f>IF(OR(R1343="unavailable",T1343="unavailable"),"不可评价",IF(OR(R1343="equivocal",T1343="equivocal"),"疑似",IF(AND(R1343="positive",T1343="positive"),"a",IF(T1343="positive","b",IF(R1343="positive","c","d")))))</x:f>
        <x:v>d</x:v>
      </x:c>
      <x:c r="V1343" s="12"/>
      <x:c r="W1343" s="12" t="str">
        <x:v>negative</x:v>
      </x:c>
      <x:c r="X1343" s="12"/>
      <x:c r="Y1343" s="12" t="str">
        <x:v>negative</x:v>
      </x:c>
      <x:c r="Z1343" s="12" t="str">
        <x:f>IF(OR(W1343="unavailable",Y1343="unavailable"),"不可评价",IF(OR(W1343="equivocal",Y1343="equivocal"),"疑似",IF(AND(W1343="positive",Y1343="positive"),"a",IF(Y1343="positive","b",IF(W1343="positive","c","d")))))</x:f>
        <x:v>d</x:v>
      </x:c>
      <x:c r="AA1343" s="12" t="str">
        <x:f>IF(OR(M1343="unavailable",O1343="unavailable"),"不可评价",IF(AND(OR(M1343="positive",M1343="equivocal"),OR(O1343="positive",O1343="equivocal")),"a",IF(OR(O1343="positive",O1343="equivocal"),"b",IF(OR(M1343="positive",M1343="equivocal"),"c","d"))))</x:f>
        <x:v>d</x:v>
      </x:c>
      <x:c r="AB1343" s="12" t="str">
        <x:f>IF(OR(M1343="unavailable",O1343="unavailable"),"不可评价",IF(AND(M1343="positive",O1343="positive"),"a",IF(O1343="positive","b",IF(M1343="positive","c","d"))))</x:f>
        <x:v>d</x:v>
      </x:c>
      <x:c r="AC1343" s="12" t="str">
        <x:f>IF(OR(R1343="unavailable",T1343="unavailable"),"不可评价",IF(AND(OR(R1343="positive",R1343="equivocal"),OR(T1343="positive",T1343="equivocal")),"a",IF(OR(T1343="positive",T1343="equivocal"),"b",IF(OR(R1343="positive",R1343="equivocal"),"c","d"))))</x:f>
        <x:v>d</x:v>
      </x:c>
      <x:c r="AD1343" s="12" t="str">
        <x:f>IF(OR(R1343="unavailable",T1343="unavailable"),"不可评价",IF(AND(R1343="positive",T1343="positive"),"a",IF(T1343="positive","b",IF(R1343="positive","c","d"))))</x:f>
        <x:v>d</x:v>
      </x:c>
      <x:c r="AE1343" s="12" t="str">
        <x:f>IF(OR(W1343="unavailable",Y1343="unavailable"),"不可评价",IF(AND(OR(W1343="positive",W1343="equivocal"),OR(Y1343="positive",Y1343="equivocal")),"a",IF(OR(Y1343="positive",Y1343="equivocal"),"b",IF(OR(W1343="positive",W1343="equivocal"),"c","d"))))</x:f>
        <x:v>d</x:v>
      </x:c>
      <x:c r="AF1343" s="12" t="str">
        <x:f>IF(OR(W1343="unavailable",Y1343="unavailable"),"不可评价",IF(AND(W1343="positive",Y1343="positive"),"a",IF(Y1343="positive","b",IF(W1343="positive","c","d"))))</x:f>
        <x:v>d</x:v>
      </x:c>
    </x:row>
    <x:row r="1344" ht="24" customHeight="1">
      <x:c r="A1344" s="12" t="str">
        <x:v>12241</x:v>
      </x:c>
      <x:c r="B1344" s="12" t="str">
        <x:v>18299</x:v>
      </x:c>
      <x:c r="C1344" s="21" t="n">
        <x:v>34498.56407407407</x:v>
      </x:c>
      <x:c r="D1344" s="12" t="n">
        <x:v>51</x:v>
      </x:c>
      <x:c r="E1344" s="12" t="n">
        <x:v>1</x:v>
      </x:c>
      <x:c r="F1344" s="12" t="str">
        <x:v>未记录</x:v>
      </x:c>
      <x:c r="G1344" s="12" t="n">
        <x:v>1</x:v>
      </x:c>
      <x:c r="H1344" s="12" t="str">
        <x:v>{'IMI': 35.0, 'LAFB': 100.0, 'ABQRS': 0.0, 'SR': 0.0}</x:v>
      </x:c>
      <x:c r="I1344" s="12" t="str">
        <x:v>[('SBRAD', 100.0), ('LAD3', 100.0), ('IMI;AU', 100.0), ('AB', 100.0)]</x:v>
      </x:c>
      <x:c r="J1344" s="12" t="str">
        <x:v>ptbxl_database.csv；ecg_id=12241；scp_codes</x:v>
      </x:c>
      <x:c r="K1344" s="12" t="str">
        <x:v>12sl_statements.csv；ecg_id=12241；statements_ext_snomed</x:v>
      </x:c>
      <x:c r="L1344" s="12"/>
      <x:c r="M1344" s="12" t="str">
        <x:v>negative</x:v>
      </x:c>
      <x:c r="N1344" s="12"/>
      <x:c r="O1344" s="12" t="str">
        <x:v>negative</x:v>
      </x:c>
      <x:c r="P1344" s="12" t="str">
        <x:f>IF(OR(M1344="unavailable",O1344="unavailable"),"不可评价",IF(OR(M1344="equivocal",O1344="equivocal"),"疑似",IF(AND(M1344="positive",O1344="positive"),"a",IF(O1344="positive","b",IF(M1344="positive","c","d")))))</x:f>
        <x:v>d</x:v>
      </x:c>
      <x:c r="Q1344" s="12"/>
      <x:c r="R1344" s="12" t="str">
        <x:v>negative</x:v>
      </x:c>
      <x:c r="S1344" s="12"/>
      <x:c r="T1344" s="12" t="str">
        <x:v>negative</x:v>
      </x:c>
      <x:c r="U1344" s="12" t="str">
        <x:f>IF(OR(R1344="unavailable",T1344="unavailable"),"不可评价",IF(OR(R1344="equivocal",T1344="equivocal"),"疑似",IF(AND(R1344="positive",T1344="positive"),"a",IF(T1344="positive","b",IF(R1344="positive","c","d")))))</x:f>
        <x:v>d</x:v>
      </x:c>
      <x:c r="V1344" s="12"/>
      <x:c r="W1344" s="12" t="str">
        <x:v>negative</x:v>
      </x:c>
      <x:c r="X1344" s="12"/>
      <x:c r="Y1344" s="12" t="str">
        <x:v>negative</x:v>
      </x:c>
      <x:c r="Z1344" s="12" t="str">
        <x:f>IF(OR(W1344="unavailable",Y1344="unavailable"),"不可评价",IF(OR(W1344="equivocal",Y1344="equivocal"),"疑似",IF(AND(W1344="positive",Y1344="positive"),"a",IF(Y1344="positive","b",IF(W1344="positive","c","d")))))</x:f>
        <x:v>d</x:v>
      </x:c>
      <x:c r="AA1344" s="12" t="str">
        <x:f>IF(OR(M1344="unavailable",O1344="unavailable"),"不可评价",IF(AND(OR(M1344="positive",M1344="equivocal"),OR(O1344="positive",O1344="equivocal")),"a",IF(OR(O1344="positive",O1344="equivocal"),"b",IF(OR(M1344="positive",M1344="equivocal"),"c","d"))))</x:f>
        <x:v>d</x:v>
      </x:c>
      <x:c r="AB1344" s="12" t="str">
        <x:f>IF(OR(M1344="unavailable",O1344="unavailable"),"不可评价",IF(AND(M1344="positive",O1344="positive"),"a",IF(O1344="positive","b",IF(M1344="positive","c","d"))))</x:f>
        <x:v>d</x:v>
      </x:c>
      <x:c r="AC1344" s="12" t="str">
        <x:f>IF(OR(R1344="unavailable",T1344="unavailable"),"不可评价",IF(AND(OR(R1344="positive",R1344="equivocal"),OR(T1344="positive",T1344="equivocal")),"a",IF(OR(T1344="positive",T1344="equivocal"),"b",IF(OR(R1344="positive",R1344="equivocal"),"c","d"))))</x:f>
        <x:v>d</x:v>
      </x:c>
      <x:c r="AD1344" s="12" t="str">
        <x:f>IF(OR(R1344="unavailable",T1344="unavailable"),"不可评价",IF(AND(R1344="positive",T1344="positive"),"a",IF(T1344="positive","b",IF(R1344="positive","c","d"))))</x:f>
        <x:v>d</x:v>
      </x:c>
      <x:c r="AE1344" s="12" t="str">
        <x:f>IF(OR(W1344="unavailable",Y1344="unavailable"),"不可评价",IF(AND(OR(W1344="positive",W1344="equivocal"),OR(Y1344="positive",Y1344="equivocal")),"a",IF(OR(Y1344="positive",Y1344="equivocal"),"b",IF(OR(W1344="positive",W1344="equivocal"),"c","d"))))</x:f>
        <x:v>d</x:v>
      </x:c>
      <x:c r="AF1344" s="12" t="str">
        <x:f>IF(OR(W1344="unavailable",Y1344="unavailable"),"不可评价",IF(AND(W1344="positive",Y1344="positive"),"a",IF(Y1344="positive","b",IF(W1344="positive","c","d"))))</x:f>
        <x:v>d</x:v>
      </x:c>
    </x:row>
    <x:row r="1345" ht="24" customHeight="1">
      <x:c r="A1345" s="12" t="str">
        <x:v>12252</x:v>
      </x:c>
      <x:c r="B1345" s="12" t="str">
        <x:v>18001</x:v>
      </x:c>
      <x:c r="C1345" s="21" t="n">
        <x:v>34502.380740740744</x:v>
      </x:c>
      <x:c r="D1345" s="12" t="n">
        <x:v>69</x:v>
      </x:c>
      <x:c r="E1345" s="12" t="n">
        <x:v>1</x:v>
      </x:c>
      <x:c r="F1345" s="12" t="str">
        <x:v>未记录</x:v>
      </x:c>
      <x:c r="G1345" s="12" t="n">
        <x:v>1</x:v>
      </x:c>
      <x:c r="H1345" s="12" t="str">
        <x:v>{'LVH': 100.0, 'ISC_': 50.0, 'SR': 0.0}</x:v>
      </x:c>
      <x:c r="I1345" s="12" t="str">
        <x:v>[('NSR', 100.0), ('ST&amp;', 100.0), ('LT', 100.0), ('AB', 100.0)]</x:v>
      </x:c>
      <x:c r="J1345" s="12" t="str">
        <x:v>ptbxl_database.csv；ecg_id=12252；scp_codes</x:v>
      </x:c>
      <x:c r="K1345" s="12" t="str">
        <x:v>12sl_statements.csv；ecg_id=12252；statements_ext_snomed</x:v>
      </x:c>
      <x:c r="L1345" s="12"/>
      <x:c r="M1345" s="12" t="str">
        <x:v>negative</x:v>
      </x:c>
      <x:c r="N1345" s="12"/>
      <x:c r="O1345" s="12" t="str">
        <x:v>negative</x:v>
      </x:c>
      <x:c r="P1345" s="12" t="str">
        <x:f>IF(OR(M1345="unavailable",O1345="unavailable"),"不可评价",IF(OR(M1345="equivocal",O1345="equivocal"),"疑似",IF(AND(M1345="positive",O1345="positive"),"a",IF(O1345="positive","b",IF(M1345="positive","c","d")))))</x:f>
        <x:v>d</x:v>
      </x:c>
      <x:c r="Q1345" s="12"/>
      <x:c r="R1345" s="12" t="str">
        <x:v>negative</x:v>
      </x:c>
      <x:c r="S1345" s="12"/>
      <x:c r="T1345" s="12" t="str">
        <x:v>negative</x:v>
      </x:c>
      <x:c r="U1345" s="12" t="str">
        <x:f>IF(OR(R1345="unavailable",T1345="unavailable"),"不可评价",IF(OR(R1345="equivocal",T1345="equivocal"),"疑似",IF(AND(R1345="positive",T1345="positive"),"a",IF(T1345="positive","b",IF(R1345="positive","c","d")))))</x:f>
        <x:v>d</x:v>
      </x:c>
      <x:c r="V1345" s="12"/>
      <x:c r="W1345" s="12" t="str">
        <x:v>negative</x:v>
      </x:c>
      <x:c r="X1345" s="12"/>
      <x:c r="Y1345" s="12" t="str">
        <x:v>negative</x:v>
      </x:c>
      <x:c r="Z1345" s="12" t="str">
        <x:f>IF(OR(W1345="unavailable",Y1345="unavailable"),"不可评价",IF(OR(W1345="equivocal",Y1345="equivocal"),"疑似",IF(AND(W1345="positive",Y1345="positive"),"a",IF(Y1345="positive","b",IF(W1345="positive","c","d")))))</x:f>
        <x:v>d</x:v>
      </x:c>
      <x:c r="AA1345" s="12" t="str">
        <x:f>IF(OR(M1345="unavailable",O1345="unavailable"),"不可评价",IF(AND(OR(M1345="positive",M1345="equivocal"),OR(O1345="positive",O1345="equivocal")),"a",IF(OR(O1345="positive",O1345="equivocal"),"b",IF(OR(M1345="positive",M1345="equivocal"),"c","d"))))</x:f>
        <x:v>d</x:v>
      </x:c>
      <x:c r="AB1345" s="12" t="str">
        <x:f>IF(OR(M1345="unavailable",O1345="unavailable"),"不可评价",IF(AND(M1345="positive",O1345="positive"),"a",IF(O1345="positive","b",IF(M1345="positive","c","d"))))</x:f>
        <x:v>d</x:v>
      </x:c>
      <x:c r="AC1345" s="12" t="str">
        <x:f>IF(OR(R1345="unavailable",T1345="unavailable"),"不可评价",IF(AND(OR(R1345="positive",R1345="equivocal"),OR(T1345="positive",T1345="equivocal")),"a",IF(OR(T1345="positive",T1345="equivocal"),"b",IF(OR(R1345="positive",R1345="equivocal"),"c","d"))))</x:f>
        <x:v>d</x:v>
      </x:c>
      <x:c r="AD1345" s="12" t="str">
        <x:f>IF(OR(R1345="unavailable",T1345="unavailable"),"不可评价",IF(AND(R1345="positive",T1345="positive"),"a",IF(T1345="positive","b",IF(R1345="positive","c","d"))))</x:f>
        <x:v>d</x:v>
      </x:c>
      <x:c r="AE1345" s="12" t="str">
        <x:f>IF(OR(W1345="unavailable",Y1345="unavailable"),"不可评价",IF(AND(OR(W1345="positive",W1345="equivocal"),OR(Y1345="positive",Y1345="equivocal")),"a",IF(OR(Y1345="positive",Y1345="equivocal"),"b",IF(OR(W1345="positive",W1345="equivocal"),"c","d"))))</x:f>
        <x:v>d</x:v>
      </x:c>
      <x:c r="AF1345" s="12" t="str">
        <x:f>IF(OR(W1345="unavailable",Y1345="unavailable"),"不可评价",IF(AND(W1345="positive",Y1345="positive"),"a",IF(Y1345="positive","b",IF(W1345="positive","c","d"))))</x:f>
        <x:v>d</x:v>
      </x:c>
    </x:row>
    <x:row r="1346" ht="24" customHeight="1">
      <x:c r="A1346" s="12" t="str">
        <x:v>12254</x:v>
      </x:c>
      <x:c r="B1346" s="12" t="str">
        <x:v>21715</x:v>
      </x:c>
      <x:c r="C1346" s="21" t="n">
        <x:v>34503.50865740741</x:v>
      </x:c>
      <x:c r="D1346" s="12" t="n">
        <x:v>68</x:v>
      </x:c>
      <x:c r="E1346" s="12" t="n">
        <x:v>0</x:v>
      </x:c>
      <x:c r="F1346" s="12" t="str">
        <x:v>未记录</x:v>
      </x:c>
      <x:c r="G1346" s="12" t="n">
        <x:v>0</x:v>
      </x:c>
      <x:c r="H1346" s="12" t="str">
        <x:v>{'NORM': 50.0, 'SR': 0.0}</x:v>
      </x:c>
      <x:c r="I1346" s="12" t="str">
        <x:v>[('NSR', 100.0), ('NST', 100.0), ('AB', 100.0)]</x:v>
      </x:c>
      <x:c r="J1346" s="12" t="str">
        <x:v>ptbxl_database.csv；ecg_id=12254；scp_codes</x:v>
      </x:c>
      <x:c r="K1346" s="12" t="str">
        <x:v>12sl_statements.csv；ecg_id=12254；statements_ext_snomed</x:v>
      </x:c>
      <x:c r="L1346" s="12"/>
      <x:c r="M1346" s="12" t="str">
        <x:v>negative</x:v>
      </x:c>
      <x:c r="N1346" s="12"/>
      <x:c r="O1346" s="12" t="str">
        <x:v>negative</x:v>
      </x:c>
      <x:c r="P1346" s="12" t="str">
        <x:f>IF(OR(M1346="unavailable",O1346="unavailable"),"不可评价",IF(OR(M1346="equivocal",O1346="equivocal"),"疑似",IF(AND(M1346="positive",O1346="positive"),"a",IF(O1346="positive","b",IF(M1346="positive","c","d")))))</x:f>
        <x:v>d</x:v>
      </x:c>
      <x:c r="Q1346" s="12"/>
      <x:c r="R1346" s="12" t="str">
        <x:v>negative</x:v>
      </x:c>
      <x:c r="S1346" s="12"/>
      <x:c r="T1346" s="12" t="str">
        <x:v>negative</x:v>
      </x:c>
      <x:c r="U1346" s="12" t="str">
        <x:f>IF(OR(R1346="unavailable",T1346="unavailable"),"不可评价",IF(OR(R1346="equivocal",T1346="equivocal"),"疑似",IF(AND(R1346="positive",T1346="positive"),"a",IF(T1346="positive","b",IF(R1346="positive","c","d")))))</x:f>
        <x:v>d</x:v>
      </x:c>
      <x:c r="V1346" s="12"/>
      <x:c r="W1346" s="12" t="str">
        <x:v>negative</x:v>
      </x:c>
      <x:c r="X1346" s="12"/>
      <x:c r="Y1346" s="12" t="str">
        <x:v>negative</x:v>
      </x:c>
      <x:c r="Z1346" s="12" t="str">
        <x:f>IF(OR(W1346="unavailable",Y1346="unavailable"),"不可评价",IF(OR(W1346="equivocal",Y1346="equivocal"),"疑似",IF(AND(W1346="positive",Y1346="positive"),"a",IF(Y1346="positive","b",IF(W1346="positive","c","d")))))</x:f>
        <x:v>d</x:v>
      </x:c>
      <x:c r="AA1346" s="12" t="str">
        <x:f>IF(OR(M1346="unavailable",O1346="unavailable"),"不可评价",IF(AND(OR(M1346="positive",M1346="equivocal"),OR(O1346="positive",O1346="equivocal")),"a",IF(OR(O1346="positive",O1346="equivocal"),"b",IF(OR(M1346="positive",M1346="equivocal"),"c","d"))))</x:f>
        <x:v>d</x:v>
      </x:c>
      <x:c r="AB1346" s="12" t="str">
        <x:f>IF(OR(M1346="unavailable",O1346="unavailable"),"不可评价",IF(AND(M1346="positive",O1346="positive"),"a",IF(O1346="positive","b",IF(M1346="positive","c","d"))))</x:f>
        <x:v>d</x:v>
      </x:c>
      <x:c r="AC1346" s="12" t="str">
        <x:f>IF(OR(R1346="unavailable",T1346="unavailable"),"不可评价",IF(AND(OR(R1346="positive",R1346="equivocal"),OR(T1346="positive",T1346="equivocal")),"a",IF(OR(T1346="positive",T1346="equivocal"),"b",IF(OR(R1346="positive",R1346="equivocal"),"c","d"))))</x:f>
        <x:v>d</x:v>
      </x:c>
      <x:c r="AD1346" s="12" t="str">
        <x:f>IF(OR(R1346="unavailable",T1346="unavailable"),"不可评价",IF(AND(R1346="positive",T1346="positive"),"a",IF(T1346="positive","b",IF(R1346="positive","c","d"))))</x:f>
        <x:v>d</x:v>
      </x:c>
      <x:c r="AE1346" s="12" t="str">
        <x:f>IF(OR(W1346="unavailable",Y1346="unavailable"),"不可评价",IF(AND(OR(W1346="positive",W1346="equivocal"),OR(Y1346="positive",Y1346="equivocal")),"a",IF(OR(Y1346="positive",Y1346="equivocal"),"b",IF(OR(W1346="positive",W1346="equivocal"),"c","d"))))</x:f>
        <x:v>d</x:v>
      </x:c>
      <x:c r="AF1346" s="12" t="str">
        <x:f>IF(OR(W1346="unavailable",Y1346="unavailable"),"不可评价",IF(AND(W1346="positive",Y1346="positive"),"a",IF(Y1346="positive","b",IF(W1346="positive","c","d"))))</x:f>
        <x:v>d</x:v>
      </x:c>
    </x:row>
    <x:row r="1347" ht="24" customHeight="1">
      <x:c r="A1347" s="12" t="str">
        <x:v>12262</x:v>
      </x:c>
      <x:c r="B1347" s="12" t="str">
        <x:v>13944</x:v>
      </x:c>
      <x:c r="C1347" s="21" t="n">
        <x:v>34506.464953703704</x:v>
      </x:c>
      <x:c r="D1347" s="12" t="n">
        <x:v>89</x:v>
      </x:c>
      <x:c r="E1347" s="12" t="n">
        <x:v>1</x:v>
      </x:c>
      <x:c r="F1347" s="12" t="str">
        <x:v>未记录</x:v>
      </x:c>
      <x:c r="G1347" s="12" t="n">
        <x:v>1</x:v>
      </x:c>
      <x:c r="H1347" s="12" t="str">
        <x:v>{'ALMI': 15.0, 'IVCD': 100.0, 'SR': 0.0}</x:v>
      </x:c>
      <x:c r="I1347" s="12" t="str">
        <x:v>[('NSR', 100.0), ('NT', 100.0), ('AB', 100.0)]</x:v>
      </x:c>
      <x:c r="J1347" s="12" t="str">
        <x:v>ptbxl_database.csv；ecg_id=12262；scp_codes</x:v>
      </x:c>
      <x:c r="K1347" s="12" t="str">
        <x:v>12sl_statements.csv；ecg_id=12262；statements_ext_snomed</x:v>
      </x:c>
      <x:c r="L1347" s="12"/>
      <x:c r="M1347" s="12" t="str">
        <x:v>negative</x:v>
      </x:c>
      <x:c r="N1347" s="12"/>
      <x:c r="O1347" s="12" t="str">
        <x:v>negative</x:v>
      </x:c>
      <x:c r="P1347" s="12" t="str">
        <x:f>IF(OR(M1347="unavailable",O1347="unavailable"),"不可评价",IF(OR(M1347="equivocal",O1347="equivocal"),"疑似",IF(AND(M1347="positive",O1347="positive"),"a",IF(O1347="positive","b",IF(M1347="positive","c","d")))))</x:f>
        <x:v>d</x:v>
      </x:c>
      <x:c r="Q1347" s="12"/>
      <x:c r="R1347" s="12" t="str">
        <x:v>negative</x:v>
      </x:c>
      <x:c r="S1347" s="12"/>
      <x:c r="T1347" s="12" t="str">
        <x:v>negative</x:v>
      </x:c>
      <x:c r="U1347" s="12" t="str">
        <x:f>IF(OR(R1347="unavailable",T1347="unavailable"),"不可评价",IF(OR(R1347="equivocal",T1347="equivocal"),"疑似",IF(AND(R1347="positive",T1347="positive"),"a",IF(T1347="positive","b",IF(R1347="positive","c","d")))))</x:f>
        <x:v>d</x:v>
      </x:c>
      <x:c r="V1347" s="12"/>
      <x:c r="W1347" s="12" t="str">
        <x:v>negative</x:v>
      </x:c>
      <x:c r="X1347" s="12"/>
      <x:c r="Y1347" s="12" t="str">
        <x:v>negative</x:v>
      </x:c>
      <x:c r="Z1347" s="12" t="str">
        <x:f>IF(OR(W1347="unavailable",Y1347="unavailable"),"不可评价",IF(OR(W1347="equivocal",Y1347="equivocal"),"疑似",IF(AND(W1347="positive",Y1347="positive"),"a",IF(Y1347="positive","b",IF(W1347="positive","c","d")))))</x:f>
        <x:v>d</x:v>
      </x:c>
      <x:c r="AA1347" s="12" t="str">
        <x:f>IF(OR(M1347="unavailable",O1347="unavailable"),"不可评价",IF(AND(OR(M1347="positive",M1347="equivocal"),OR(O1347="positive",O1347="equivocal")),"a",IF(OR(O1347="positive",O1347="equivocal"),"b",IF(OR(M1347="positive",M1347="equivocal"),"c","d"))))</x:f>
        <x:v>d</x:v>
      </x:c>
      <x:c r="AB1347" s="12" t="str">
        <x:f>IF(OR(M1347="unavailable",O1347="unavailable"),"不可评价",IF(AND(M1347="positive",O1347="positive"),"a",IF(O1347="positive","b",IF(M1347="positive","c","d"))))</x:f>
        <x:v>d</x:v>
      </x:c>
      <x:c r="AC1347" s="12" t="str">
        <x:f>IF(OR(R1347="unavailable",T1347="unavailable"),"不可评价",IF(AND(OR(R1347="positive",R1347="equivocal"),OR(T1347="positive",T1347="equivocal")),"a",IF(OR(T1347="positive",T1347="equivocal"),"b",IF(OR(R1347="positive",R1347="equivocal"),"c","d"))))</x:f>
        <x:v>d</x:v>
      </x:c>
      <x:c r="AD1347" s="12" t="str">
        <x:f>IF(OR(R1347="unavailable",T1347="unavailable"),"不可评价",IF(AND(R1347="positive",T1347="positive"),"a",IF(T1347="positive","b",IF(R1347="positive","c","d"))))</x:f>
        <x:v>d</x:v>
      </x:c>
      <x:c r="AE1347" s="12" t="str">
        <x:f>IF(OR(W1347="unavailable",Y1347="unavailable"),"不可评价",IF(AND(OR(W1347="positive",W1347="equivocal"),OR(Y1347="positive",Y1347="equivocal")),"a",IF(OR(Y1347="positive",Y1347="equivocal"),"b",IF(OR(W1347="positive",W1347="equivocal"),"c","d"))))</x:f>
        <x:v>d</x:v>
      </x:c>
      <x:c r="AF1347" s="12" t="str">
        <x:f>IF(OR(W1347="unavailable",Y1347="unavailable"),"不可评价",IF(AND(W1347="positive",Y1347="positive"),"a",IF(Y1347="positive","b",IF(W1347="positive","c","d"))))</x:f>
        <x:v>d</x:v>
      </x:c>
    </x:row>
    <x:row r="1348" ht="24" customHeight="1">
      <x:c r="A1348" s="12" t="str">
        <x:v>12276</x:v>
      </x:c>
      <x:c r="B1348" s="12" t="str">
        <x:v>5927</x:v>
      </x:c>
      <x:c r="C1348" s="21" t="n">
        <x:v>34509.40211805556</x:v>
      </x:c>
      <x:c r="D1348" s="12" t="n">
        <x:v>37</x:v>
      </x:c>
      <x:c r="E1348" s="12" t="n">
        <x:v>1</x:v>
      </x:c>
      <x:c r="F1348" s="12" t="str">
        <x:v>未记录</x:v>
      </x:c>
      <x:c r="G1348" s="12" t="n">
        <x:v>1</x:v>
      </x:c>
      <x:c r="H1348" s="12" t="str">
        <x:v>{'NORM': 80.0, 'IRBBB': 100.0, 'SR': 0.0}</x:v>
      </x:c>
      <x:c r="I1348" s="12" t="str">
        <x:v>[('NSR', 100.0), ('NML', 100.0)]</x:v>
      </x:c>
      <x:c r="J1348" s="12" t="str">
        <x:v>ptbxl_database.csv；ecg_id=12276；scp_codes</x:v>
      </x:c>
      <x:c r="K1348" s="12" t="str">
        <x:v>12sl_statements.csv；ecg_id=12276；statements_ext_snomed</x:v>
      </x:c>
      <x:c r="L1348" s="12"/>
      <x:c r="M1348" s="12" t="str">
        <x:v>negative</x:v>
      </x:c>
      <x:c r="N1348" s="12"/>
      <x:c r="O1348" s="12" t="str">
        <x:v>negative</x:v>
      </x:c>
      <x:c r="P1348" s="12" t="str">
        <x:f>IF(OR(M1348="unavailable",O1348="unavailable"),"不可评价",IF(OR(M1348="equivocal",O1348="equivocal"),"疑似",IF(AND(M1348="positive",O1348="positive"),"a",IF(O1348="positive","b",IF(M1348="positive","c","d")))))</x:f>
        <x:v>d</x:v>
      </x:c>
      <x:c r="Q1348" s="12"/>
      <x:c r="R1348" s="12" t="str">
        <x:v>negative</x:v>
      </x:c>
      <x:c r="S1348" s="12"/>
      <x:c r="T1348" s="12" t="str">
        <x:v>negative</x:v>
      </x:c>
      <x:c r="U1348" s="12" t="str">
        <x:f>IF(OR(R1348="unavailable",T1348="unavailable"),"不可评价",IF(OR(R1348="equivocal",T1348="equivocal"),"疑似",IF(AND(R1348="positive",T1348="positive"),"a",IF(T1348="positive","b",IF(R1348="positive","c","d")))))</x:f>
        <x:v>d</x:v>
      </x:c>
      <x:c r="V1348" s="12"/>
      <x:c r="W1348" s="12" t="str">
        <x:v>negative</x:v>
      </x:c>
      <x:c r="X1348" s="12"/>
      <x:c r="Y1348" s="12" t="str">
        <x:v>negative</x:v>
      </x:c>
      <x:c r="Z1348" s="12" t="str">
        <x:f>IF(OR(W1348="unavailable",Y1348="unavailable"),"不可评价",IF(OR(W1348="equivocal",Y1348="equivocal"),"疑似",IF(AND(W1348="positive",Y1348="positive"),"a",IF(Y1348="positive","b",IF(W1348="positive","c","d")))))</x:f>
        <x:v>d</x:v>
      </x:c>
      <x:c r="AA1348" s="12" t="str">
        <x:f>IF(OR(M1348="unavailable",O1348="unavailable"),"不可评价",IF(AND(OR(M1348="positive",M1348="equivocal"),OR(O1348="positive",O1348="equivocal")),"a",IF(OR(O1348="positive",O1348="equivocal"),"b",IF(OR(M1348="positive",M1348="equivocal"),"c","d"))))</x:f>
        <x:v>d</x:v>
      </x:c>
      <x:c r="AB1348" s="12" t="str">
        <x:f>IF(OR(M1348="unavailable",O1348="unavailable"),"不可评价",IF(AND(M1348="positive",O1348="positive"),"a",IF(O1348="positive","b",IF(M1348="positive","c","d"))))</x:f>
        <x:v>d</x:v>
      </x:c>
      <x:c r="AC1348" s="12" t="str">
        <x:f>IF(OR(R1348="unavailable",T1348="unavailable"),"不可评价",IF(AND(OR(R1348="positive",R1348="equivocal"),OR(T1348="positive",T1348="equivocal")),"a",IF(OR(T1348="positive",T1348="equivocal"),"b",IF(OR(R1348="positive",R1348="equivocal"),"c","d"))))</x:f>
        <x:v>d</x:v>
      </x:c>
      <x:c r="AD1348" s="12" t="str">
        <x:f>IF(OR(R1348="unavailable",T1348="unavailable"),"不可评价",IF(AND(R1348="positive",T1348="positive"),"a",IF(T1348="positive","b",IF(R1348="positive","c","d"))))</x:f>
        <x:v>d</x:v>
      </x:c>
      <x:c r="AE1348" s="12" t="str">
        <x:f>IF(OR(W1348="unavailable",Y1348="unavailable"),"不可评价",IF(AND(OR(W1348="positive",W1348="equivocal"),OR(Y1348="positive",Y1348="equivocal")),"a",IF(OR(Y1348="positive",Y1348="equivocal"),"b",IF(OR(W1348="positive",W1348="equivocal"),"c","d"))))</x:f>
        <x:v>d</x:v>
      </x:c>
      <x:c r="AF1348" s="12" t="str">
        <x:f>IF(OR(W1348="unavailable",Y1348="unavailable"),"不可评价",IF(AND(W1348="positive",Y1348="positive"),"a",IF(Y1348="positive","b",IF(W1348="positive","c","d"))))</x:f>
        <x:v>d</x:v>
      </x:c>
    </x:row>
    <x:row r="1349" ht="24" customHeight="1">
      <x:c r="A1349" s="12" t="str">
        <x:v>12277</x:v>
      </x:c>
      <x:c r="B1349" s="12" t="str">
        <x:v>14199</x:v>
      </x:c>
      <x:c r="C1349" s="21" t="n">
        <x:v>34509.44159722222</x:v>
      </x:c>
      <x:c r="D1349" s="12" t="n">
        <x:v>44</x:v>
      </x:c>
      <x:c r="E1349" s="12" t="n">
        <x:v>1</x:v>
      </x:c>
      <x:c r="F1349" s="12" t="str">
        <x:v>未记录</x:v>
      </x:c>
      <x:c r="G1349" s="12" t="n">
        <x:v>1</x:v>
      </x:c>
      <x:c r="H1349" s="12" t="str">
        <x:v>{'NORM': 100.0, 'ABQRS': 0.0, 'SR': 0.0}</x:v>
      </x:c>
      <x:c r="I1349" s="12" t="str">
        <x:v>[('NSR', 100.0), ('NML', 100.0)]</x:v>
      </x:c>
      <x:c r="J1349" s="12" t="str">
        <x:v>ptbxl_database.csv；ecg_id=12277；scp_codes</x:v>
      </x:c>
      <x:c r="K1349" s="12" t="str">
        <x:v>12sl_statements.csv；ecg_id=12277；statements_ext_snomed</x:v>
      </x:c>
      <x:c r="L1349" s="12"/>
      <x:c r="M1349" s="12" t="str">
        <x:v>negative</x:v>
      </x:c>
      <x:c r="N1349" s="12"/>
      <x:c r="O1349" s="12" t="str">
        <x:v>negative</x:v>
      </x:c>
      <x:c r="P1349" s="12" t="str">
        <x:f>IF(OR(M1349="unavailable",O1349="unavailable"),"不可评价",IF(OR(M1349="equivocal",O1349="equivocal"),"疑似",IF(AND(M1349="positive",O1349="positive"),"a",IF(O1349="positive","b",IF(M1349="positive","c","d")))))</x:f>
        <x:v>d</x:v>
      </x:c>
      <x:c r="Q1349" s="12"/>
      <x:c r="R1349" s="12" t="str">
        <x:v>negative</x:v>
      </x:c>
      <x:c r="S1349" s="12"/>
      <x:c r="T1349" s="12" t="str">
        <x:v>negative</x:v>
      </x:c>
      <x:c r="U1349" s="12" t="str">
        <x:f>IF(OR(R1349="unavailable",T1349="unavailable"),"不可评价",IF(OR(R1349="equivocal",T1349="equivocal"),"疑似",IF(AND(R1349="positive",T1349="positive"),"a",IF(T1349="positive","b",IF(R1349="positive","c","d")))))</x:f>
        <x:v>d</x:v>
      </x:c>
      <x:c r="V1349" s="12"/>
      <x:c r="W1349" s="12" t="str">
        <x:v>negative</x:v>
      </x:c>
      <x:c r="X1349" s="12"/>
      <x:c r="Y1349" s="12" t="str">
        <x:v>negative</x:v>
      </x:c>
      <x:c r="Z1349" s="12" t="str">
        <x:f>IF(OR(W1349="unavailable",Y1349="unavailable"),"不可评价",IF(OR(W1349="equivocal",Y1349="equivocal"),"疑似",IF(AND(W1349="positive",Y1349="positive"),"a",IF(Y1349="positive","b",IF(W1349="positive","c","d")))))</x:f>
        <x:v>d</x:v>
      </x:c>
      <x:c r="AA1349" s="12" t="str">
        <x:f>IF(OR(M1349="unavailable",O1349="unavailable"),"不可评价",IF(AND(OR(M1349="positive",M1349="equivocal"),OR(O1349="positive",O1349="equivocal")),"a",IF(OR(O1349="positive",O1349="equivocal"),"b",IF(OR(M1349="positive",M1349="equivocal"),"c","d"))))</x:f>
        <x:v>d</x:v>
      </x:c>
      <x:c r="AB1349" s="12" t="str">
        <x:f>IF(OR(M1349="unavailable",O1349="unavailable"),"不可评价",IF(AND(M1349="positive",O1349="positive"),"a",IF(O1349="positive","b",IF(M1349="positive","c","d"))))</x:f>
        <x:v>d</x:v>
      </x:c>
      <x:c r="AC1349" s="12" t="str">
        <x:f>IF(OR(R1349="unavailable",T1349="unavailable"),"不可评价",IF(AND(OR(R1349="positive",R1349="equivocal"),OR(T1349="positive",T1349="equivocal")),"a",IF(OR(T1349="positive",T1349="equivocal"),"b",IF(OR(R1349="positive",R1349="equivocal"),"c","d"))))</x:f>
        <x:v>d</x:v>
      </x:c>
      <x:c r="AD1349" s="12" t="str">
        <x:f>IF(OR(R1349="unavailable",T1349="unavailable"),"不可评价",IF(AND(R1349="positive",T1349="positive"),"a",IF(T1349="positive","b",IF(R1349="positive","c","d"))))</x:f>
        <x:v>d</x:v>
      </x:c>
      <x:c r="AE1349" s="12" t="str">
        <x:f>IF(OR(W1349="unavailable",Y1349="unavailable"),"不可评价",IF(AND(OR(W1349="positive",W1349="equivocal"),OR(Y1349="positive",Y1349="equivocal")),"a",IF(OR(Y1349="positive",Y1349="equivocal"),"b",IF(OR(W1349="positive",W1349="equivocal"),"c","d"))))</x:f>
        <x:v>d</x:v>
      </x:c>
      <x:c r="AF1349" s="12" t="str">
        <x:f>IF(OR(W1349="unavailable",Y1349="unavailable"),"不可评价",IF(AND(W1349="positive",Y1349="positive"),"a",IF(Y1349="positive","b",IF(W1349="positive","c","d"))))</x:f>
        <x:v>d</x:v>
      </x:c>
    </x:row>
    <x:row r="1350" ht="24" customHeight="1">
      <x:c r="A1350" s="12" t="str">
        <x:v>12281</x:v>
      </x:c>
      <x:c r="B1350" s="12" t="str">
        <x:v>13944</x:v>
      </x:c>
      <x:c r="C1350" s="21" t="n">
        <x:v>34509.54047453704</x:v>
      </x:c>
      <x:c r="D1350" s="12" t="n">
        <x:v>89</x:v>
      </x:c>
      <x:c r="E1350" s="12" t="n">
        <x:v>1</x:v>
      </x:c>
      <x:c r="F1350" s="12" t="str">
        <x:v>未记录</x:v>
      </x:c>
      <x:c r="G1350" s="12" t="n">
        <x:v>0</x:v>
      </x:c>
      <x:c r="H1350" s="12" t="str">
        <x:v>{'IVCD': 100.0, 'ISCAL': 100.0, 'STACH': 0.0}</x:v>
      </x:c>
      <x:c r="I1350" s="12" t="str">
        <x:v>[('STACH', 100.0), ('NT', 100.0), ('AB', 100.0)]</x:v>
      </x:c>
      <x:c r="J1350" s="12" t="str">
        <x:v>ptbxl_database.csv；ecg_id=12281；scp_codes</x:v>
      </x:c>
      <x:c r="K1350" s="12" t="str">
        <x:v>12sl_statements.csv；ecg_id=12281；statements_ext_snomed</x:v>
      </x:c>
      <x:c r="L1350" s="12"/>
      <x:c r="M1350" s="12" t="str">
        <x:v>negative</x:v>
      </x:c>
      <x:c r="N1350" s="12"/>
      <x:c r="O1350" s="12" t="str">
        <x:v>negative</x:v>
      </x:c>
      <x:c r="P1350" s="12" t="str">
        <x:f>IF(OR(M1350="unavailable",O1350="unavailable"),"不可评价",IF(OR(M1350="equivocal",O1350="equivocal"),"疑似",IF(AND(M1350="positive",O1350="positive"),"a",IF(O1350="positive","b",IF(M1350="positive","c","d")))))</x:f>
        <x:v>d</x:v>
      </x:c>
      <x:c r="Q1350" s="12"/>
      <x:c r="R1350" s="12" t="str">
        <x:v>negative</x:v>
      </x:c>
      <x:c r="S1350" s="12"/>
      <x:c r="T1350" s="12" t="str">
        <x:v>negative</x:v>
      </x:c>
      <x:c r="U1350" s="12" t="str">
        <x:f>IF(OR(R1350="unavailable",T1350="unavailable"),"不可评价",IF(OR(R1350="equivocal",T1350="equivocal"),"疑似",IF(AND(R1350="positive",T1350="positive"),"a",IF(T1350="positive","b",IF(R1350="positive","c","d")))))</x:f>
        <x:v>d</x:v>
      </x:c>
      <x:c r="V1350" s="12"/>
      <x:c r="W1350" s="12" t="str">
        <x:v>negative</x:v>
      </x:c>
      <x:c r="X1350" s="12"/>
      <x:c r="Y1350" s="12" t="str">
        <x:v>negative</x:v>
      </x:c>
      <x:c r="Z1350" s="12" t="str">
        <x:f>IF(OR(W1350="unavailable",Y1350="unavailable"),"不可评价",IF(OR(W1350="equivocal",Y1350="equivocal"),"疑似",IF(AND(W1350="positive",Y1350="positive"),"a",IF(Y1350="positive","b",IF(W1350="positive","c","d")))))</x:f>
        <x:v>d</x:v>
      </x:c>
      <x:c r="AA1350" s="12" t="str">
        <x:f>IF(OR(M1350="unavailable",O1350="unavailable"),"不可评价",IF(AND(OR(M1350="positive",M1350="equivocal"),OR(O1350="positive",O1350="equivocal")),"a",IF(OR(O1350="positive",O1350="equivocal"),"b",IF(OR(M1350="positive",M1350="equivocal"),"c","d"))))</x:f>
        <x:v>d</x:v>
      </x:c>
      <x:c r="AB1350" s="12" t="str">
        <x:f>IF(OR(M1350="unavailable",O1350="unavailable"),"不可评价",IF(AND(M1350="positive",O1350="positive"),"a",IF(O1350="positive","b",IF(M1350="positive","c","d"))))</x:f>
        <x:v>d</x:v>
      </x:c>
      <x:c r="AC1350" s="12" t="str">
        <x:f>IF(OR(R1350="unavailable",T1350="unavailable"),"不可评价",IF(AND(OR(R1350="positive",R1350="equivocal"),OR(T1350="positive",T1350="equivocal")),"a",IF(OR(T1350="positive",T1350="equivocal"),"b",IF(OR(R1350="positive",R1350="equivocal"),"c","d"))))</x:f>
        <x:v>d</x:v>
      </x:c>
      <x:c r="AD1350" s="12" t="str">
        <x:f>IF(OR(R1350="unavailable",T1350="unavailable"),"不可评价",IF(AND(R1350="positive",T1350="positive"),"a",IF(T1350="positive","b",IF(R1350="positive","c","d"))))</x:f>
        <x:v>d</x:v>
      </x:c>
      <x:c r="AE1350" s="12" t="str">
        <x:f>IF(OR(W1350="unavailable",Y1350="unavailable"),"不可评价",IF(AND(OR(W1350="positive",W1350="equivocal"),OR(Y1350="positive",Y1350="equivocal")),"a",IF(OR(Y1350="positive",Y1350="equivocal"),"b",IF(OR(W1350="positive",W1350="equivocal"),"c","d"))))</x:f>
        <x:v>d</x:v>
      </x:c>
      <x:c r="AF1350" s="12" t="str">
        <x:f>IF(OR(W1350="unavailable",Y1350="unavailable"),"不可评价",IF(AND(W1350="positive",Y1350="positive"),"a",IF(Y1350="positive","b",IF(W1350="positive","c","d"))))</x:f>
        <x:v>d</x:v>
      </x:c>
    </x:row>
    <x:row r="1351" ht="24" customHeight="1">
      <x:c r="A1351" s="12" t="str">
        <x:v>12285</x:v>
      </x:c>
      <x:c r="B1351" s="12" t="str">
        <x:v>4069</x:v>
      </x:c>
      <x:c r="C1351" s="21" t="n">
        <x:v>34509.64534722222</x:v>
      </x:c>
      <x:c r="D1351" s="12" t="n">
        <x:v>83</x:v>
      </x:c>
      <x:c r="E1351" s="12" t="n">
        <x:v>1</x:v>
      </x:c>
      <x:c r="F1351" s="12" t="str">
        <x:v>未记录</x:v>
      </x:c>
      <x:c r="G1351" s="12" t="n">
        <x:v>1</x:v>
      </x:c>
      <x:c r="H1351" s="12" t="str">
        <x:v>{'ASMI': 100.0, 'NT_': 0.0, 'LPR': 0.0, 'TRIGU': 0.0}</x:v>
      </x:c>
      <x:c r="I1351" s="12" t="str">
        <x:v>[('SBRAD', 100.0), ('FAV', 100.0), ('PVC', 100.0), ('QRST', 100.0), ('AB', 100.0)]</x:v>
      </x:c>
      <x:c r="J1351" s="12" t="str">
        <x:v>ptbxl_database.csv；ecg_id=12285；scp_codes</x:v>
      </x:c>
      <x:c r="K1351" s="12" t="str">
        <x:v>12sl_statements.csv；ecg_id=12285；statements_ext_snomed</x:v>
      </x:c>
      <x:c r="L1351" s="12"/>
      <x:c r="M1351" s="12" t="str">
        <x:v>negative</x:v>
      </x:c>
      <x:c r="N1351" s="12"/>
      <x:c r="O1351" s="12" t="str">
        <x:v>negative</x:v>
      </x:c>
      <x:c r="P1351" s="12" t="str">
        <x:f>IF(OR(M1351="unavailable",O1351="unavailable"),"不可评价",IF(OR(M1351="equivocal",O1351="equivocal"),"疑似",IF(AND(M1351="positive",O1351="positive"),"a",IF(O1351="positive","b",IF(M1351="positive","c","d")))))</x:f>
        <x:v>d</x:v>
      </x:c>
      <x:c r="Q1351" s="12"/>
      <x:c r="R1351" s="12" t="str">
        <x:v>negative</x:v>
      </x:c>
      <x:c r="S1351" s="12"/>
      <x:c r="T1351" s="12" t="str">
        <x:v>negative</x:v>
      </x:c>
      <x:c r="U1351" s="12" t="str">
        <x:f>IF(OR(R1351="unavailable",T1351="unavailable"),"不可评价",IF(OR(R1351="equivocal",T1351="equivocal"),"疑似",IF(AND(R1351="positive",T1351="positive"),"a",IF(T1351="positive","b",IF(R1351="positive","c","d")))))</x:f>
        <x:v>d</x:v>
      </x:c>
      <x:c r="V1351" s="12"/>
      <x:c r="W1351" s="12" t="str">
        <x:v>negative</x:v>
      </x:c>
      <x:c r="X1351" s="12"/>
      <x:c r="Y1351" s="12" t="str">
        <x:v>negative</x:v>
      </x:c>
      <x:c r="Z1351" s="12" t="str">
        <x:f>IF(OR(W1351="unavailable",Y1351="unavailable"),"不可评价",IF(OR(W1351="equivocal",Y1351="equivocal"),"疑似",IF(AND(W1351="positive",Y1351="positive"),"a",IF(Y1351="positive","b",IF(W1351="positive","c","d")))))</x:f>
        <x:v>d</x:v>
      </x:c>
      <x:c r="AA1351" s="12" t="str">
        <x:f>IF(OR(M1351="unavailable",O1351="unavailable"),"不可评价",IF(AND(OR(M1351="positive",M1351="equivocal"),OR(O1351="positive",O1351="equivocal")),"a",IF(OR(O1351="positive",O1351="equivocal"),"b",IF(OR(M1351="positive",M1351="equivocal"),"c","d"))))</x:f>
        <x:v>d</x:v>
      </x:c>
      <x:c r="AB1351" s="12" t="str">
        <x:f>IF(OR(M1351="unavailable",O1351="unavailable"),"不可评价",IF(AND(M1351="positive",O1351="positive"),"a",IF(O1351="positive","b",IF(M1351="positive","c","d"))))</x:f>
        <x:v>d</x:v>
      </x:c>
      <x:c r="AC1351" s="12" t="str">
        <x:f>IF(OR(R1351="unavailable",T1351="unavailable"),"不可评价",IF(AND(OR(R1351="positive",R1351="equivocal"),OR(T1351="positive",T1351="equivocal")),"a",IF(OR(T1351="positive",T1351="equivocal"),"b",IF(OR(R1351="positive",R1351="equivocal"),"c","d"))))</x:f>
        <x:v>d</x:v>
      </x:c>
      <x:c r="AD1351" s="12" t="str">
        <x:f>IF(OR(R1351="unavailable",T1351="unavailable"),"不可评价",IF(AND(R1351="positive",T1351="positive"),"a",IF(T1351="positive","b",IF(R1351="positive","c","d"))))</x:f>
        <x:v>d</x:v>
      </x:c>
      <x:c r="AE1351" s="12" t="str">
        <x:f>IF(OR(W1351="unavailable",Y1351="unavailable"),"不可评价",IF(AND(OR(W1351="positive",W1351="equivocal"),OR(Y1351="positive",Y1351="equivocal")),"a",IF(OR(Y1351="positive",Y1351="equivocal"),"b",IF(OR(W1351="positive",W1351="equivocal"),"c","d"))))</x:f>
        <x:v>d</x:v>
      </x:c>
      <x:c r="AF1351" s="12" t="str">
        <x:f>IF(OR(W1351="unavailable",Y1351="unavailable"),"不可评价",IF(AND(W1351="positive",Y1351="positive"),"a",IF(Y1351="positive","b",IF(W1351="positive","c","d"))))</x:f>
        <x:v>d</x:v>
      </x:c>
    </x:row>
    <x:row r="1352" ht="24" customHeight="1">
      <x:c r="A1352" s="12" t="str">
        <x:v>12301</x:v>
      </x:c>
      <x:c r="B1352" s="12" t="str">
        <x:v>6442</x:v>
      </x:c>
      <x:c r="C1352" s="21" t="n">
        <x:v>34511.49989583333</x:v>
      </x:c>
      <x:c r="D1352" s="12" t="n">
        <x:v>88</x:v>
      </x:c>
      <x:c r="E1352" s="12" t="n">
        <x:v>1</x:v>
      </x:c>
      <x:c r="F1352" s="12" t="str">
        <x:v>未记录</x:v>
      </x:c>
      <x:c r="G1352" s="12" t="n">
        <x:v>1</x:v>
      </x:c>
      <x:c r="H1352" s="12" t="str">
        <x:v>{'LVH': 35.0, 'VCLVH': 0.0, 'SR': 0.0}</x:v>
      </x:c>
      <x:c r="I1352" s="12" t="str">
        <x:v>[('NSR', 100.0), ('BORDE', 100.0)]</x:v>
      </x:c>
      <x:c r="J1352" s="12" t="str">
        <x:v>ptbxl_database.csv；ecg_id=12301；scp_codes</x:v>
      </x:c>
      <x:c r="K1352" s="12" t="str">
        <x:v>12sl_statements.csv；ecg_id=12301；statements_ext_snomed</x:v>
      </x:c>
      <x:c r="L1352" s="12"/>
      <x:c r="M1352" s="12" t="str">
        <x:v>negative</x:v>
      </x:c>
      <x:c r="N1352" s="12"/>
      <x:c r="O1352" s="12" t="str">
        <x:v>negative</x:v>
      </x:c>
      <x:c r="P1352" s="12" t="str">
        <x:f>IF(OR(M1352="unavailable",O1352="unavailable"),"不可评价",IF(OR(M1352="equivocal",O1352="equivocal"),"疑似",IF(AND(M1352="positive",O1352="positive"),"a",IF(O1352="positive","b",IF(M1352="positive","c","d")))))</x:f>
        <x:v>d</x:v>
      </x:c>
      <x:c r="Q1352" s="12"/>
      <x:c r="R1352" s="12" t="str">
        <x:v>negative</x:v>
      </x:c>
      <x:c r="S1352" s="12"/>
      <x:c r="T1352" s="12" t="str">
        <x:v>negative</x:v>
      </x:c>
      <x:c r="U1352" s="12" t="str">
        <x:f>IF(OR(R1352="unavailable",T1352="unavailable"),"不可评价",IF(OR(R1352="equivocal",T1352="equivocal"),"疑似",IF(AND(R1352="positive",T1352="positive"),"a",IF(T1352="positive","b",IF(R1352="positive","c","d")))))</x:f>
        <x:v>d</x:v>
      </x:c>
      <x:c r="V1352" s="12"/>
      <x:c r="W1352" s="12" t="str">
        <x:v>negative</x:v>
      </x:c>
      <x:c r="X1352" s="12"/>
      <x:c r="Y1352" s="12" t="str">
        <x:v>negative</x:v>
      </x:c>
      <x:c r="Z1352" s="12" t="str">
        <x:f>IF(OR(W1352="unavailable",Y1352="unavailable"),"不可评价",IF(OR(W1352="equivocal",Y1352="equivocal"),"疑似",IF(AND(W1352="positive",Y1352="positive"),"a",IF(Y1352="positive","b",IF(W1352="positive","c","d")))))</x:f>
        <x:v>d</x:v>
      </x:c>
      <x:c r="AA1352" s="12" t="str">
        <x:f>IF(OR(M1352="unavailable",O1352="unavailable"),"不可评价",IF(AND(OR(M1352="positive",M1352="equivocal"),OR(O1352="positive",O1352="equivocal")),"a",IF(OR(O1352="positive",O1352="equivocal"),"b",IF(OR(M1352="positive",M1352="equivocal"),"c","d"))))</x:f>
        <x:v>d</x:v>
      </x:c>
      <x:c r="AB1352" s="12" t="str">
        <x:f>IF(OR(M1352="unavailable",O1352="unavailable"),"不可评价",IF(AND(M1352="positive",O1352="positive"),"a",IF(O1352="positive","b",IF(M1352="positive","c","d"))))</x:f>
        <x:v>d</x:v>
      </x:c>
      <x:c r="AC1352" s="12" t="str">
        <x:f>IF(OR(R1352="unavailable",T1352="unavailable"),"不可评价",IF(AND(OR(R1352="positive",R1352="equivocal"),OR(T1352="positive",T1352="equivocal")),"a",IF(OR(T1352="positive",T1352="equivocal"),"b",IF(OR(R1352="positive",R1352="equivocal"),"c","d"))))</x:f>
        <x:v>d</x:v>
      </x:c>
      <x:c r="AD1352" s="12" t="str">
        <x:f>IF(OR(R1352="unavailable",T1352="unavailable"),"不可评价",IF(AND(R1352="positive",T1352="positive"),"a",IF(T1352="positive","b",IF(R1352="positive","c","d"))))</x:f>
        <x:v>d</x:v>
      </x:c>
      <x:c r="AE1352" s="12" t="str">
        <x:f>IF(OR(W1352="unavailable",Y1352="unavailable"),"不可评价",IF(AND(OR(W1352="positive",W1352="equivocal"),OR(Y1352="positive",Y1352="equivocal")),"a",IF(OR(Y1352="positive",Y1352="equivocal"),"b",IF(OR(W1352="positive",W1352="equivocal"),"c","d"))))</x:f>
        <x:v>d</x:v>
      </x:c>
      <x:c r="AF1352" s="12" t="str">
        <x:f>IF(OR(W1352="unavailable",Y1352="unavailable"),"不可评价",IF(AND(W1352="positive",Y1352="positive"),"a",IF(Y1352="positive","b",IF(W1352="positive","c","d"))))</x:f>
        <x:v>d</x:v>
      </x:c>
    </x:row>
    <x:row r="1353" ht="24" customHeight="1">
      <x:c r="A1353" s="12" t="str">
        <x:v>12310</x:v>
      </x:c>
      <x:c r="B1353" s="12" t="str">
        <x:v>511</x:v>
      </x:c>
      <x:c r="C1353" s="21" t="n">
        <x:v>34513.69583333333</x:v>
      </x:c>
      <x:c r="D1353" s="12" t="n">
        <x:v>81</x:v>
      </x:c>
      <x:c r="E1353" s="12" t="n">
        <x:v>1</x:v>
      </x:c>
      <x:c r="F1353" s="12" t="str">
        <x:v>存在</x:v>
      </x:c>
      <x:c r="G1353" s="12" t="n">
        <x:v>1</x:v>
      </x:c>
      <x:c r="H1353" s="12" t="str">
        <x:v>{'NORM': 100.0, 'NT_': 0.0, 'SR': 0.0}</x:v>
      </x:c>
      <x:c r="I1353" s="12" t="str">
        <x:v>[('NSR', 100.0), ('NSTT', 100.0), ('AB', 100.0)]</x:v>
      </x:c>
      <x:c r="J1353" s="12" t="str">
        <x:v>ptbxl_database.csv；ecg_id=12310；scp_codes</x:v>
      </x:c>
      <x:c r="K1353" s="12" t="str">
        <x:v>12sl_statements.csv；ecg_id=12310；statements_ext_snomed</x:v>
      </x:c>
      <x:c r="L1353" s="12"/>
      <x:c r="M1353" s="12" t="str">
        <x:v>negative</x:v>
      </x:c>
      <x:c r="N1353" s="12"/>
      <x:c r="O1353" s="12" t="str">
        <x:v>negative</x:v>
      </x:c>
      <x:c r="P1353" s="12" t="str">
        <x:f>IF(OR(M1353="unavailable",O1353="unavailable"),"不可评价",IF(OR(M1353="equivocal",O1353="equivocal"),"疑似",IF(AND(M1353="positive",O1353="positive"),"a",IF(O1353="positive","b",IF(M1353="positive","c","d")))))</x:f>
        <x:v>d</x:v>
      </x:c>
      <x:c r="Q1353" s="12"/>
      <x:c r="R1353" s="12" t="str">
        <x:v>negative</x:v>
      </x:c>
      <x:c r="S1353" s="12"/>
      <x:c r="T1353" s="12" t="str">
        <x:v>negative</x:v>
      </x:c>
      <x:c r="U1353" s="12" t="str">
        <x:f>IF(OR(R1353="unavailable",T1353="unavailable"),"不可评价",IF(OR(R1353="equivocal",T1353="equivocal"),"疑似",IF(AND(R1353="positive",T1353="positive"),"a",IF(T1353="positive","b",IF(R1353="positive","c","d")))))</x:f>
        <x:v>d</x:v>
      </x:c>
      <x:c r="V1353" s="12"/>
      <x:c r="W1353" s="12" t="str">
        <x:v>negative</x:v>
      </x:c>
      <x:c r="X1353" s="12"/>
      <x:c r="Y1353" s="12" t="str">
        <x:v>negative</x:v>
      </x:c>
      <x:c r="Z1353" s="12" t="str">
        <x:f>IF(OR(W1353="unavailable",Y1353="unavailable"),"不可评价",IF(OR(W1353="equivocal",Y1353="equivocal"),"疑似",IF(AND(W1353="positive",Y1353="positive"),"a",IF(Y1353="positive","b",IF(W1353="positive","c","d")))))</x:f>
        <x:v>d</x:v>
      </x:c>
      <x:c r="AA1353" s="12" t="str">
        <x:f>IF(OR(M1353="unavailable",O1353="unavailable"),"不可评价",IF(AND(OR(M1353="positive",M1353="equivocal"),OR(O1353="positive",O1353="equivocal")),"a",IF(OR(O1353="positive",O1353="equivocal"),"b",IF(OR(M1353="positive",M1353="equivocal"),"c","d"))))</x:f>
        <x:v>d</x:v>
      </x:c>
      <x:c r="AB1353" s="12" t="str">
        <x:f>IF(OR(M1353="unavailable",O1353="unavailable"),"不可评价",IF(AND(M1353="positive",O1353="positive"),"a",IF(O1353="positive","b",IF(M1353="positive","c","d"))))</x:f>
        <x:v>d</x:v>
      </x:c>
      <x:c r="AC1353" s="12" t="str">
        <x:f>IF(OR(R1353="unavailable",T1353="unavailable"),"不可评价",IF(AND(OR(R1353="positive",R1353="equivocal"),OR(T1353="positive",T1353="equivocal")),"a",IF(OR(T1353="positive",T1353="equivocal"),"b",IF(OR(R1353="positive",R1353="equivocal"),"c","d"))))</x:f>
        <x:v>d</x:v>
      </x:c>
      <x:c r="AD1353" s="12" t="str">
        <x:f>IF(OR(R1353="unavailable",T1353="unavailable"),"不可评价",IF(AND(R1353="positive",T1353="positive"),"a",IF(T1353="positive","b",IF(R1353="positive","c","d"))))</x:f>
        <x:v>d</x:v>
      </x:c>
      <x:c r="AE1353" s="12" t="str">
        <x:f>IF(OR(W1353="unavailable",Y1353="unavailable"),"不可评价",IF(AND(OR(W1353="positive",W1353="equivocal"),OR(Y1353="positive",Y1353="equivocal")),"a",IF(OR(Y1353="positive",Y1353="equivocal"),"b",IF(OR(W1353="positive",W1353="equivocal"),"c","d"))))</x:f>
        <x:v>d</x:v>
      </x:c>
      <x:c r="AF1353" s="12" t="str">
        <x:f>IF(OR(W1353="unavailable",Y1353="unavailable"),"不可评价",IF(AND(W1353="positive",Y1353="positive"),"a",IF(Y1353="positive","b",IF(W1353="positive","c","d"))))</x:f>
        <x:v>d</x:v>
      </x:c>
    </x:row>
    <x:row r="1354" ht="24" customHeight="1">
      <x:c r="A1354" s="12" t="str">
        <x:v>12328</x:v>
      </x:c>
      <x:c r="B1354" s="12" t="str">
        <x:v>6109</x:v>
      </x:c>
      <x:c r="C1354" s="21" t="n">
        <x:v>34514.729525462964</x:v>
      </x:c>
      <x:c r="D1354" s="12" t="n">
        <x:v>62</x:v>
      </x:c>
      <x:c r="E1354" s="12" t="n">
        <x:v>0</x:v>
      </x:c>
      <x:c r="F1354" s="12" t="str">
        <x:v>未记录</x:v>
      </x:c>
      <x:c r="G1354" s="12" t="n">
        <x:v>1</x:v>
      </x:c>
      <x:c r="H1354" s="12" t="str">
        <x:v>{'ASMI': 15.0, 'PAC': 0.0, 'SR': 0.0}</x:v>
      </x:c>
      <x:c r="I1354" s="12" t="str">
        <x:v>[('SRTH', 100.0), ('MSAR', 100.0), ('ABR', 100.0)]</x:v>
      </x:c>
      <x:c r="J1354" s="12" t="str">
        <x:v>ptbxl_database.csv；ecg_id=12328；scp_codes</x:v>
      </x:c>
      <x:c r="K1354" s="12" t="str">
        <x:v>12sl_statements.csv；ecg_id=12328；statements_ext_snomed</x:v>
      </x:c>
      <x:c r="L1354" s="12"/>
      <x:c r="M1354" s="12" t="str">
        <x:v>negative</x:v>
      </x:c>
      <x:c r="N1354" s="12"/>
      <x:c r="O1354" s="12" t="str">
        <x:v>negative</x:v>
      </x:c>
      <x:c r="P1354" s="12" t="str">
        <x:f>IF(OR(M1354="unavailable",O1354="unavailable"),"不可评价",IF(OR(M1354="equivocal",O1354="equivocal"),"疑似",IF(AND(M1354="positive",O1354="positive"),"a",IF(O1354="positive","b",IF(M1354="positive","c","d")))))</x:f>
        <x:v>d</x:v>
      </x:c>
      <x:c r="Q1354" s="12"/>
      <x:c r="R1354" s="12" t="str">
        <x:v>negative</x:v>
      </x:c>
      <x:c r="S1354" s="12"/>
      <x:c r="T1354" s="12" t="str">
        <x:v>negative</x:v>
      </x:c>
      <x:c r="U1354" s="12" t="str">
        <x:f>IF(OR(R1354="unavailable",T1354="unavailable"),"不可评价",IF(OR(R1354="equivocal",T1354="equivocal"),"疑似",IF(AND(R1354="positive",T1354="positive"),"a",IF(T1354="positive","b",IF(R1354="positive","c","d")))))</x:f>
        <x:v>d</x:v>
      </x:c>
      <x:c r="V1354" s="12"/>
      <x:c r="W1354" s="12" t="str">
        <x:v>negative</x:v>
      </x:c>
      <x:c r="X1354" s="12"/>
      <x:c r="Y1354" s="12" t="str">
        <x:v>negative</x:v>
      </x:c>
      <x:c r="Z1354" s="12" t="str">
        <x:f>IF(OR(W1354="unavailable",Y1354="unavailable"),"不可评价",IF(OR(W1354="equivocal",Y1354="equivocal"),"疑似",IF(AND(W1354="positive",Y1354="positive"),"a",IF(Y1354="positive","b",IF(W1354="positive","c","d")))))</x:f>
        <x:v>d</x:v>
      </x:c>
      <x:c r="AA1354" s="12" t="str">
        <x:f>IF(OR(M1354="unavailable",O1354="unavailable"),"不可评价",IF(AND(OR(M1354="positive",M1354="equivocal"),OR(O1354="positive",O1354="equivocal")),"a",IF(OR(O1354="positive",O1354="equivocal"),"b",IF(OR(M1354="positive",M1354="equivocal"),"c","d"))))</x:f>
        <x:v>d</x:v>
      </x:c>
      <x:c r="AB1354" s="12" t="str">
        <x:f>IF(OR(M1354="unavailable",O1354="unavailable"),"不可评价",IF(AND(M1354="positive",O1354="positive"),"a",IF(O1354="positive","b",IF(M1354="positive","c","d"))))</x:f>
        <x:v>d</x:v>
      </x:c>
      <x:c r="AC1354" s="12" t="str">
        <x:f>IF(OR(R1354="unavailable",T1354="unavailable"),"不可评价",IF(AND(OR(R1354="positive",R1354="equivocal"),OR(T1354="positive",T1354="equivocal")),"a",IF(OR(T1354="positive",T1354="equivocal"),"b",IF(OR(R1354="positive",R1354="equivocal"),"c","d"))))</x:f>
        <x:v>d</x:v>
      </x:c>
      <x:c r="AD1354" s="12" t="str">
        <x:f>IF(OR(R1354="unavailable",T1354="unavailable"),"不可评价",IF(AND(R1354="positive",T1354="positive"),"a",IF(T1354="positive","b",IF(R1354="positive","c","d"))))</x:f>
        <x:v>d</x:v>
      </x:c>
      <x:c r="AE1354" s="12" t="str">
        <x:f>IF(OR(W1354="unavailable",Y1354="unavailable"),"不可评价",IF(AND(OR(W1354="positive",W1354="equivocal"),OR(Y1354="positive",Y1354="equivocal")),"a",IF(OR(Y1354="positive",Y1354="equivocal"),"b",IF(OR(W1354="positive",W1354="equivocal"),"c","d"))))</x:f>
        <x:v>d</x:v>
      </x:c>
      <x:c r="AF1354" s="12" t="str">
        <x:f>IF(OR(W1354="unavailable",Y1354="unavailable"),"不可评价",IF(AND(W1354="positive",Y1354="positive"),"a",IF(Y1354="positive","b",IF(W1354="positive","c","d"))))</x:f>
        <x:v>d</x:v>
      </x:c>
    </x:row>
    <x:row r="1355" ht="24" customHeight="1">
      <x:c r="A1355" s="12" t="str">
        <x:v>12336</x:v>
      </x:c>
      <x:c r="B1355" s="12" t="str">
        <x:v>6891</x:v>
      </x:c>
      <x:c r="C1355" s="21" t="n">
        <x:v>34515.67519675926</x:v>
      </x:c>
      <x:c r="D1355" s="12" t="n">
        <x:v>63</x:v>
      </x:c>
      <x:c r="E1355" s="12" t="n">
        <x:v>0</x:v>
      </x:c>
      <x:c r="F1355" s="12" t="str">
        <x:v>未记录</x:v>
      </x:c>
      <x:c r="G1355" s="12" t="n">
        <x:v>1</x:v>
      </x:c>
      <x:c r="H1355" s="12" t="str">
        <x:v>{'NORM': 100.0, 'SR': 0.0}</x:v>
      </x:c>
      <x:c r="I1355" s="12" t="str">
        <x:v>[('NSR', 100.0), ('NML', 100.0)]</x:v>
      </x:c>
      <x:c r="J1355" s="12" t="str">
        <x:v>ptbxl_database.csv；ecg_id=12336；scp_codes</x:v>
      </x:c>
      <x:c r="K1355" s="12" t="str">
        <x:v>12sl_statements.csv；ecg_id=12336；statements_ext_snomed</x:v>
      </x:c>
      <x:c r="L1355" s="12"/>
      <x:c r="M1355" s="12" t="str">
        <x:v>negative</x:v>
      </x:c>
      <x:c r="N1355" s="12"/>
      <x:c r="O1355" s="12" t="str">
        <x:v>negative</x:v>
      </x:c>
      <x:c r="P1355" s="12" t="str">
        <x:f>IF(OR(M1355="unavailable",O1355="unavailable"),"不可评价",IF(OR(M1355="equivocal",O1355="equivocal"),"疑似",IF(AND(M1355="positive",O1355="positive"),"a",IF(O1355="positive","b",IF(M1355="positive","c","d")))))</x:f>
        <x:v>d</x:v>
      </x:c>
      <x:c r="Q1355" s="12"/>
      <x:c r="R1355" s="12" t="str">
        <x:v>negative</x:v>
      </x:c>
      <x:c r="S1355" s="12"/>
      <x:c r="T1355" s="12" t="str">
        <x:v>negative</x:v>
      </x:c>
      <x:c r="U1355" s="12" t="str">
        <x:f>IF(OR(R1355="unavailable",T1355="unavailable"),"不可评价",IF(OR(R1355="equivocal",T1355="equivocal"),"疑似",IF(AND(R1355="positive",T1355="positive"),"a",IF(T1355="positive","b",IF(R1355="positive","c","d")))))</x:f>
        <x:v>d</x:v>
      </x:c>
      <x:c r="V1355" s="12"/>
      <x:c r="W1355" s="12" t="str">
        <x:v>negative</x:v>
      </x:c>
      <x:c r="X1355" s="12"/>
      <x:c r="Y1355" s="12" t="str">
        <x:v>negative</x:v>
      </x:c>
      <x:c r="Z1355" s="12" t="str">
        <x:f>IF(OR(W1355="unavailable",Y1355="unavailable"),"不可评价",IF(OR(W1355="equivocal",Y1355="equivocal"),"疑似",IF(AND(W1355="positive",Y1355="positive"),"a",IF(Y1355="positive","b",IF(W1355="positive","c","d")))))</x:f>
        <x:v>d</x:v>
      </x:c>
      <x:c r="AA1355" s="12" t="str">
        <x:f>IF(OR(M1355="unavailable",O1355="unavailable"),"不可评价",IF(AND(OR(M1355="positive",M1355="equivocal"),OR(O1355="positive",O1355="equivocal")),"a",IF(OR(O1355="positive",O1355="equivocal"),"b",IF(OR(M1355="positive",M1355="equivocal"),"c","d"))))</x:f>
        <x:v>d</x:v>
      </x:c>
      <x:c r="AB1355" s="12" t="str">
        <x:f>IF(OR(M1355="unavailable",O1355="unavailable"),"不可评价",IF(AND(M1355="positive",O1355="positive"),"a",IF(O1355="positive","b",IF(M1355="positive","c","d"))))</x:f>
        <x:v>d</x:v>
      </x:c>
      <x:c r="AC1355" s="12" t="str">
        <x:f>IF(OR(R1355="unavailable",T1355="unavailable"),"不可评价",IF(AND(OR(R1355="positive",R1355="equivocal"),OR(T1355="positive",T1355="equivocal")),"a",IF(OR(T1355="positive",T1355="equivocal"),"b",IF(OR(R1355="positive",R1355="equivocal"),"c","d"))))</x:f>
        <x:v>d</x:v>
      </x:c>
      <x:c r="AD1355" s="12" t="str">
        <x:f>IF(OR(R1355="unavailable",T1355="unavailable"),"不可评价",IF(AND(R1355="positive",T1355="positive"),"a",IF(T1355="positive","b",IF(R1355="positive","c","d"))))</x:f>
        <x:v>d</x:v>
      </x:c>
      <x:c r="AE1355" s="12" t="str">
        <x:f>IF(OR(W1355="unavailable",Y1355="unavailable"),"不可评价",IF(AND(OR(W1355="positive",W1355="equivocal"),OR(Y1355="positive",Y1355="equivocal")),"a",IF(OR(Y1355="positive",Y1355="equivocal"),"b",IF(OR(W1355="positive",W1355="equivocal"),"c","d"))))</x:f>
        <x:v>d</x:v>
      </x:c>
      <x:c r="AF1355" s="12" t="str">
        <x:f>IF(OR(W1355="unavailable",Y1355="unavailable"),"不可评价",IF(AND(W1355="positive",Y1355="positive"),"a",IF(Y1355="positive","b",IF(W1355="positive","c","d"))))</x:f>
        <x:v>d</x:v>
      </x:c>
    </x:row>
    <x:row r="1356" ht="24" customHeight="1">
      <x:c r="A1356" s="12" t="str">
        <x:v>12338</x:v>
      </x:c>
      <x:c r="B1356" s="12" t="str">
        <x:v>14881</x:v>
      </x:c>
      <x:c r="C1356" s="21" t="n">
        <x:v>34515.73155092593</x:v>
      </x:c>
      <x:c r="D1356" s="12" t="n">
        <x:v>65</x:v>
      </x:c>
      <x:c r="E1356" s="12" t="n">
        <x:v>0</x:v>
      </x:c>
      <x:c r="F1356" s="12" t="str">
        <x:v>未记录</x:v>
      </x:c>
      <x:c r="G1356" s="12" t="n">
        <x:v>1</x:v>
      </x:c>
      <x:c r="H1356" s="12" t="str">
        <x:v>{'LVH': 100.0, 'NDT': 100.0, 'SBRAD': 0.0}</x:v>
      </x:c>
      <x:c r="I1356" s="12" t="str">
        <x:v>[('SBRAD', 100.0), ('LAE', 50.0), ('LVH2', 100.0), ('NSTT', 100.0), ('AB', 100.0)]</x:v>
      </x:c>
      <x:c r="J1356" s="12" t="str">
        <x:v>ptbxl_database.csv；ecg_id=12338；scp_codes</x:v>
      </x:c>
      <x:c r="K1356" s="12" t="str">
        <x:v>12sl_statements.csv；ecg_id=12338；statements_ext_snomed</x:v>
      </x:c>
      <x:c r="L1356" s="12"/>
      <x:c r="M1356" s="12" t="str">
        <x:v>negative</x:v>
      </x:c>
      <x:c r="N1356" s="12"/>
      <x:c r="O1356" s="12" t="str">
        <x:v>negative</x:v>
      </x:c>
      <x:c r="P1356" s="12" t="str">
        <x:f>IF(OR(M1356="unavailable",O1356="unavailable"),"不可评价",IF(OR(M1356="equivocal",O1356="equivocal"),"疑似",IF(AND(M1356="positive",O1356="positive"),"a",IF(O1356="positive","b",IF(M1356="positive","c","d")))))</x:f>
        <x:v>d</x:v>
      </x:c>
      <x:c r="Q1356" s="12"/>
      <x:c r="R1356" s="12" t="str">
        <x:v>negative</x:v>
      </x:c>
      <x:c r="S1356" s="12"/>
      <x:c r="T1356" s="12" t="str">
        <x:v>negative</x:v>
      </x:c>
      <x:c r="U1356" s="12" t="str">
        <x:f>IF(OR(R1356="unavailable",T1356="unavailable"),"不可评价",IF(OR(R1356="equivocal",T1356="equivocal"),"疑似",IF(AND(R1356="positive",T1356="positive"),"a",IF(T1356="positive","b",IF(R1356="positive","c","d")))))</x:f>
        <x:v>d</x:v>
      </x:c>
      <x:c r="V1356" s="12"/>
      <x:c r="W1356" s="12" t="str">
        <x:v>negative</x:v>
      </x:c>
      <x:c r="X1356" s="12"/>
      <x:c r="Y1356" s="12" t="str">
        <x:v>negative</x:v>
      </x:c>
      <x:c r="Z1356" s="12" t="str">
        <x:f>IF(OR(W1356="unavailable",Y1356="unavailable"),"不可评价",IF(OR(W1356="equivocal",Y1356="equivocal"),"疑似",IF(AND(W1356="positive",Y1356="positive"),"a",IF(Y1356="positive","b",IF(W1356="positive","c","d")))))</x:f>
        <x:v>d</x:v>
      </x:c>
      <x:c r="AA1356" s="12" t="str">
        <x:f>IF(OR(M1356="unavailable",O1356="unavailable"),"不可评价",IF(AND(OR(M1356="positive",M1356="equivocal"),OR(O1356="positive",O1356="equivocal")),"a",IF(OR(O1356="positive",O1356="equivocal"),"b",IF(OR(M1356="positive",M1356="equivocal"),"c","d"))))</x:f>
        <x:v>d</x:v>
      </x:c>
      <x:c r="AB1356" s="12" t="str">
        <x:f>IF(OR(M1356="unavailable",O1356="unavailable"),"不可评价",IF(AND(M1356="positive",O1356="positive"),"a",IF(O1356="positive","b",IF(M1356="positive","c","d"))))</x:f>
        <x:v>d</x:v>
      </x:c>
      <x:c r="AC1356" s="12" t="str">
        <x:f>IF(OR(R1356="unavailable",T1356="unavailable"),"不可评价",IF(AND(OR(R1356="positive",R1356="equivocal"),OR(T1356="positive",T1356="equivocal")),"a",IF(OR(T1356="positive",T1356="equivocal"),"b",IF(OR(R1356="positive",R1356="equivocal"),"c","d"))))</x:f>
        <x:v>d</x:v>
      </x:c>
      <x:c r="AD1356" s="12" t="str">
        <x:f>IF(OR(R1356="unavailable",T1356="unavailable"),"不可评价",IF(AND(R1356="positive",T1356="positive"),"a",IF(T1356="positive","b",IF(R1356="positive","c","d"))))</x:f>
        <x:v>d</x:v>
      </x:c>
      <x:c r="AE1356" s="12" t="str">
        <x:f>IF(OR(W1356="unavailable",Y1356="unavailable"),"不可评价",IF(AND(OR(W1356="positive",W1356="equivocal"),OR(Y1356="positive",Y1356="equivocal")),"a",IF(OR(Y1356="positive",Y1356="equivocal"),"b",IF(OR(W1356="positive",W1356="equivocal"),"c","d"))))</x:f>
        <x:v>d</x:v>
      </x:c>
      <x:c r="AF1356" s="12" t="str">
        <x:f>IF(OR(W1356="unavailable",Y1356="unavailable"),"不可评价",IF(AND(W1356="positive",Y1356="positive"),"a",IF(Y1356="positive","b",IF(W1356="positive","c","d"))))</x:f>
        <x:v>d</x:v>
      </x:c>
    </x:row>
    <x:row r="1357" ht="24" customHeight="1">
      <x:c r="A1357" s="12" t="str">
        <x:v>12340</x:v>
      </x:c>
      <x:c r="B1357" s="12" t="str">
        <x:v>5873</x:v>
      </x:c>
      <x:c r="C1357" s="21" t="n">
        <x:v>34516.47216435185</x:v>
      </x:c>
      <x:c r="D1357" s="12" t="n">
        <x:v>63</x:v>
      </x:c>
      <x:c r="E1357" s="12" t="n">
        <x:v>0</x:v>
      </x:c>
      <x:c r="F1357" s="12" t="str">
        <x:v>未记录</x:v>
      </x:c>
      <x:c r="G1357" s="12" t="n">
        <x:v>1</x:v>
      </x:c>
      <x:c r="H1357" s="12" t="str">
        <x:v>{'ASMI': 100.0, 'IMI': 50.0, 'LVOLT': 0.0, 'SR': 0.0}</x:v>
      </x:c>
      <x:c r="I1357" s="12" t="str">
        <x:v>[('NSR', 100.0), ('ASMI;AU', 100.0), ('AB', 100.0)]</x:v>
      </x:c>
      <x:c r="J1357" s="12" t="str">
        <x:v>ptbxl_database.csv；ecg_id=12340；scp_codes</x:v>
      </x:c>
      <x:c r="K1357" s="12" t="str">
        <x:v>12sl_statements.csv；ecg_id=12340；statements_ext_snomed</x:v>
      </x:c>
      <x:c r="L1357" s="12"/>
      <x:c r="M1357" s="12" t="str">
        <x:v>negative</x:v>
      </x:c>
      <x:c r="N1357" s="12"/>
      <x:c r="O1357" s="12" t="str">
        <x:v>negative</x:v>
      </x:c>
      <x:c r="P1357" s="12" t="str">
        <x:f>IF(OR(M1357="unavailable",O1357="unavailable"),"不可评价",IF(OR(M1357="equivocal",O1357="equivocal"),"疑似",IF(AND(M1357="positive",O1357="positive"),"a",IF(O1357="positive","b",IF(M1357="positive","c","d")))))</x:f>
        <x:v>d</x:v>
      </x:c>
      <x:c r="Q1357" s="12"/>
      <x:c r="R1357" s="12" t="str">
        <x:v>negative</x:v>
      </x:c>
      <x:c r="S1357" s="12"/>
      <x:c r="T1357" s="12" t="str">
        <x:v>negative</x:v>
      </x:c>
      <x:c r="U1357" s="12" t="str">
        <x:f>IF(OR(R1357="unavailable",T1357="unavailable"),"不可评价",IF(OR(R1357="equivocal",T1357="equivocal"),"疑似",IF(AND(R1357="positive",T1357="positive"),"a",IF(T1357="positive","b",IF(R1357="positive","c","d")))))</x:f>
        <x:v>d</x:v>
      </x:c>
      <x:c r="V1357" s="12"/>
      <x:c r="W1357" s="12" t="str">
        <x:v>negative</x:v>
      </x:c>
      <x:c r="X1357" s="12"/>
      <x:c r="Y1357" s="12" t="str">
        <x:v>negative</x:v>
      </x:c>
      <x:c r="Z1357" s="12" t="str">
        <x:f>IF(OR(W1357="unavailable",Y1357="unavailable"),"不可评价",IF(OR(W1357="equivocal",Y1357="equivocal"),"疑似",IF(AND(W1357="positive",Y1357="positive"),"a",IF(Y1357="positive","b",IF(W1357="positive","c","d")))))</x:f>
        <x:v>d</x:v>
      </x:c>
      <x:c r="AA1357" s="12" t="str">
        <x:f>IF(OR(M1357="unavailable",O1357="unavailable"),"不可评价",IF(AND(OR(M1357="positive",M1357="equivocal"),OR(O1357="positive",O1357="equivocal")),"a",IF(OR(O1357="positive",O1357="equivocal"),"b",IF(OR(M1357="positive",M1357="equivocal"),"c","d"))))</x:f>
        <x:v>d</x:v>
      </x:c>
      <x:c r="AB1357" s="12" t="str">
        <x:f>IF(OR(M1357="unavailable",O1357="unavailable"),"不可评价",IF(AND(M1357="positive",O1357="positive"),"a",IF(O1357="positive","b",IF(M1357="positive","c","d"))))</x:f>
        <x:v>d</x:v>
      </x:c>
      <x:c r="AC1357" s="12" t="str">
        <x:f>IF(OR(R1357="unavailable",T1357="unavailable"),"不可评价",IF(AND(OR(R1357="positive",R1357="equivocal"),OR(T1357="positive",T1357="equivocal")),"a",IF(OR(T1357="positive",T1357="equivocal"),"b",IF(OR(R1357="positive",R1357="equivocal"),"c","d"))))</x:f>
        <x:v>d</x:v>
      </x:c>
      <x:c r="AD1357" s="12" t="str">
        <x:f>IF(OR(R1357="unavailable",T1357="unavailable"),"不可评价",IF(AND(R1357="positive",T1357="positive"),"a",IF(T1357="positive","b",IF(R1357="positive","c","d"))))</x:f>
        <x:v>d</x:v>
      </x:c>
      <x:c r="AE1357" s="12" t="str">
        <x:f>IF(OR(W1357="unavailable",Y1357="unavailable"),"不可评价",IF(AND(OR(W1357="positive",W1357="equivocal"),OR(Y1357="positive",Y1357="equivocal")),"a",IF(OR(Y1357="positive",Y1357="equivocal"),"b",IF(OR(W1357="positive",W1357="equivocal"),"c","d"))))</x:f>
        <x:v>d</x:v>
      </x:c>
      <x:c r="AF1357" s="12" t="str">
        <x:f>IF(OR(W1357="unavailable",Y1357="unavailable"),"不可评价",IF(AND(W1357="positive",Y1357="positive"),"a",IF(Y1357="positive","b",IF(W1357="positive","c","d"))))</x:f>
        <x:v>d</x:v>
      </x:c>
    </x:row>
    <x:row r="1358" ht="24" customHeight="1">
      <x:c r="A1358" s="12" t="str">
        <x:v>12345</x:v>
      </x:c>
      <x:c r="B1358" s="12" t="str">
        <x:v>5942</x:v>
      </x:c>
      <x:c r="C1358" s="21" t="n">
        <x:v>34516.68300925926</x:v>
      </x:c>
      <x:c r="D1358" s="12" t="n">
        <x:v>68</x:v>
      </x:c>
      <x:c r="E1358" s="12" t="n">
        <x:v>1</x:v>
      </x:c>
      <x:c r="F1358" s="12" t="str">
        <x:v>未记录</x:v>
      </x:c>
      <x:c r="G1358" s="12" t="n">
        <x:v>1</x:v>
      </x:c>
      <x:c r="H1358" s="12" t="str">
        <x:v>{'NORM': 100.0}</x:v>
      </x:c>
      <x:c r="I1358" s="12" t="str">
        <x:v>[('NSR', 100.0), ('NML', 100.0)]</x:v>
      </x:c>
      <x:c r="J1358" s="12" t="str">
        <x:v>ptbxl_database.csv；ecg_id=12345；scp_codes</x:v>
      </x:c>
      <x:c r="K1358" s="12" t="str">
        <x:v>12sl_statements.csv；ecg_id=12345；statements_ext_snomed</x:v>
      </x:c>
      <x:c r="L1358" s="12"/>
      <x:c r="M1358" s="12" t="str">
        <x:v>negative</x:v>
      </x:c>
      <x:c r="N1358" s="12"/>
      <x:c r="O1358" s="12" t="str">
        <x:v>negative</x:v>
      </x:c>
      <x:c r="P1358" s="12" t="str">
        <x:f>IF(OR(M1358="unavailable",O1358="unavailable"),"不可评价",IF(OR(M1358="equivocal",O1358="equivocal"),"疑似",IF(AND(M1358="positive",O1358="positive"),"a",IF(O1358="positive","b",IF(M1358="positive","c","d")))))</x:f>
        <x:v>d</x:v>
      </x:c>
      <x:c r="Q1358" s="12"/>
      <x:c r="R1358" s="12" t="str">
        <x:v>negative</x:v>
      </x:c>
      <x:c r="S1358" s="12"/>
      <x:c r="T1358" s="12" t="str">
        <x:v>negative</x:v>
      </x:c>
      <x:c r="U1358" s="12" t="str">
        <x:f>IF(OR(R1358="unavailable",T1358="unavailable"),"不可评价",IF(OR(R1358="equivocal",T1358="equivocal"),"疑似",IF(AND(R1358="positive",T1358="positive"),"a",IF(T1358="positive","b",IF(R1358="positive","c","d")))))</x:f>
        <x:v>d</x:v>
      </x:c>
      <x:c r="V1358" s="12"/>
      <x:c r="W1358" s="12" t="str">
        <x:v>negative</x:v>
      </x:c>
      <x:c r="X1358" s="12"/>
      <x:c r="Y1358" s="12" t="str">
        <x:v>negative</x:v>
      </x:c>
      <x:c r="Z1358" s="12" t="str">
        <x:f>IF(OR(W1358="unavailable",Y1358="unavailable"),"不可评价",IF(OR(W1358="equivocal",Y1358="equivocal"),"疑似",IF(AND(W1358="positive",Y1358="positive"),"a",IF(Y1358="positive","b",IF(W1358="positive","c","d")))))</x:f>
        <x:v>d</x:v>
      </x:c>
      <x:c r="AA1358" s="12" t="str">
        <x:f>IF(OR(M1358="unavailable",O1358="unavailable"),"不可评价",IF(AND(OR(M1358="positive",M1358="equivocal"),OR(O1358="positive",O1358="equivocal")),"a",IF(OR(O1358="positive",O1358="equivocal"),"b",IF(OR(M1358="positive",M1358="equivocal"),"c","d"))))</x:f>
        <x:v>d</x:v>
      </x:c>
      <x:c r="AB1358" s="12" t="str">
        <x:f>IF(OR(M1358="unavailable",O1358="unavailable"),"不可评价",IF(AND(M1358="positive",O1358="positive"),"a",IF(O1358="positive","b",IF(M1358="positive","c","d"))))</x:f>
        <x:v>d</x:v>
      </x:c>
      <x:c r="AC1358" s="12" t="str">
        <x:f>IF(OR(R1358="unavailable",T1358="unavailable"),"不可评价",IF(AND(OR(R1358="positive",R1358="equivocal"),OR(T1358="positive",T1358="equivocal")),"a",IF(OR(T1358="positive",T1358="equivocal"),"b",IF(OR(R1358="positive",R1358="equivocal"),"c","d"))))</x:f>
        <x:v>d</x:v>
      </x:c>
      <x:c r="AD1358" s="12" t="str">
        <x:f>IF(OR(R1358="unavailable",T1358="unavailable"),"不可评价",IF(AND(R1358="positive",T1358="positive"),"a",IF(T1358="positive","b",IF(R1358="positive","c","d"))))</x:f>
        <x:v>d</x:v>
      </x:c>
      <x:c r="AE1358" s="12" t="str">
        <x:f>IF(OR(W1358="unavailable",Y1358="unavailable"),"不可评价",IF(AND(OR(W1358="positive",W1358="equivocal"),OR(Y1358="positive",Y1358="equivocal")),"a",IF(OR(Y1358="positive",Y1358="equivocal"),"b",IF(OR(W1358="positive",W1358="equivocal"),"c","d"))))</x:f>
        <x:v>d</x:v>
      </x:c>
      <x:c r="AF1358" s="12" t="str">
        <x:f>IF(OR(W1358="unavailable",Y1358="unavailable"),"不可评价",IF(AND(W1358="positive",Y1358="positive"),"a",IF(Y1358="positive","b",IF(W1358="positive","c","d"))))</x:f>
        <x:v>d</x:v>
      </x:c>
    </x:row>
    <x:row r="1359" ht="24" customHeight="1">
      <x:c r="A1359" s="12" t="str">
        <x:v>12348</x:v>
      </x:c>
      <x:c r="B1359" s="12" t="str">
        <x:v>5363</x:v>
      </x:c>
      <x:c r="C1359" s="21" t="n">
        <x:v>34517.39747685185</x:v>
      </x:c>
      <x:c r="D1359" s="12" t="n">
        <x:v>75</x:v>
      </x:c>
      <x:c r="E1359" s="12" t="n">
        <x:v>1</x:v>
      </x:c>
      <x:c r="F1359" s="12" t="str">
        <x:v>未记录</x:v>
      </x:c>
      <x:c r="G1359" s="12" t="n">
        <x:v>1</x:v>
      </x:c>
      <x:c r="H1359" s="12" t="str">
        <x:v>{'NORM': 100.0, 'SR': 0.0}</x:v>
      </x:c>
      <x:c r="I1359" s="12" t="str">
        <x:v>[('SBRAD', 100.0), ('ABR', 100.0)]</x:v>
      </x:c>
      <x:c r="J1359" s="12" t="str">
        <x:v>ptbxl_database.csv；ecg_id=12348；scp_codes</x:v>
      </x:c>
      <x:c r="K1359" s="12" t="str">
        <x:v>12sl_statements.csv；ecg_id=12348；statements_ext_snomed</x:v>
      </x:c>
      <x:c r="L1359" s="12"/>
      <x:c r="M1359" s="12" t="str">
        <x:v>negative</x:v>
      </x:c>
      <x:c r="N1359" s="12"/>
      <x:c r="O1359" s="12" t="str">
        <x:v>negative</x:v>
      </x:c>
      <x:c r="P1359" s="12" t="str">
        <x:f>IF(OR(M1359="unavailable",O1359="unavailable"),"不可评价",IF(OR(M1359="equivocal",O1359="equivocal"),"疑似",IF(AND(M1359="positive",O1359="positive"),"a",IF(O1359="positive","b",IF(M1359="positive","c","d")))))</x:f>
        <x:v>d</x:v>
      </x:c>
      <x:c r="Q1359" s="12"/>
      <x:c r="R1359" s="12" t="str">
        <x:v>negative</x:v>
      </x:c>
      <x:c r="S1359" s="12"/>
      <x:c r="T1359" s="12" t="str">
        <x:v>negative</x:v>
      </x:c>
      <x:c r="U1359" s="12" t="str">
        <x:f>IF(OR(R1359="unavailable",T1359="unavailable"),"不可评价",IF(OR(R1359="equivocal",T1359="equivocal"),"疑似",IF(AND(R1359="positive",T1359="positive"),"a",IF(T1359="positive","b",IF(R1359="positive","c","d")))))</x:f>
        <x:v>d</x:v>
      </x:c>
      <x:c r="V1359" s="12"/>
      <x:c r="W1359" s="12" t="str">
        <x:v>negative</x:v>
      </x:c>
      <x:c r="X1359" s="12"/>
      <x:c r="Y1359" s="12" t="str">
        <x:v>negative</x:v>
      </x:c>
      <x:c r="Z1359" s="12" t="str">
        <x:f>IF(OR(W1359="unavailable",Y1359="unavailable"),"不可评价",IF(OR(W1359="equivocal",Y1359="equivocal"),"疑似",IF(AND(W1359="positive",Y1359="positive"),"a",IF(Y1359="positive","b",IF(W1359="positive","c","d")))))</x:f>
        <x:v>d</x:v>
      </x:c>
      <x:c r="AA1359" s="12" t="str">
        <x:f>IF(OR(M1359="unavailable",O1359="unavailable"),"不可评价",IF(AND(OR(M1359="positive",M1359="equivocal"),OR(O1359="positive",O1359="equivocal")),"a",IF(OR(O1359="positive",O1359="equivocal"),"b",IF(OR(M1359="positive",M1359="equivocal"),"c","d"))))</x:f>
        <x:v>d</x:v>
      </x:c>
      <x:c r="AB1359" s="12" t="str">
        <x:f>IF(OR(M1359="unavailable",O1359="unavailable"),"不可评价",IF(AND(M1359="positive",O1359="positive"),"a",IF(O1359="positive","b",IF(M1359="positive","c","d"))))</x:f>
        <x:v>d</x:v>
      </x:c>
      <x:c r="AC1359" s="12" t="str">
        <x:f>IF(OR(R1359="unavailable",T1359="unavailable"),"不可评价",IF(AND(OR(R1359="positive",R1359="equivocal"),OR(T1359="positive",T1359="equivocal")),"a",IF(OR(T1359="positive",T1359="equivocal"),"b",IF(OR(R1359="positive",R1359="equivocal"),"c","d"))))</x:f>
        <x:v>d</x:v>
      </x:c>
      <x:c r="AD1359" s="12" t="str">
        <x:f>IF(OR(R1359="unavailable",T1359="unavailable"),"不可评价",IF(AND(R1359="positive",T1359="positive"),"a",IF(T1359="positive","b",IF(R1359="positive","c","d"))))</x:f>
        <x:v>d</x:v>
      </x:c>
      <x:c r="AE1359" s="12" t="str">
        <x:f>IF(OR(W1359="unavailable",Y1359="unavailable"),"不可评价",IF(AND(OR(W1359="positive",W1359="equivocal"),OR(Y1359="positive",Y1359="equivocal")),"a",IF(OR(Y1359="positive",Y1359="equivocal"),"b",IF(OR(W1359="positive",W1359="equivocal"),"c","d"))))</x:f>
        <x:v>d</x:v>
      </x:c>
      <x:c r="AF1359" s="12" t="str">
        <x:f>IF(OR(W1359="unavailable",Y1359="unavailable"),"不可评价",IF(AND(W1359="positive",Y1359="positive"),"a",IF(Y1359="positive","b",IF(W1359="positive","c","d"))))</x:f>
        <x:v>d</x:v>
      </x:c>
    </x:row>
    <x:row r="1360" ht="24" customHeight="1">
      <x:c r="A1360" s="12" t="str">
        <x:v>12353</x:v>
      </x:c>
      <x:c r="B1360" s="12" t="str">
        <x:v>1867</x:v>
      </x:c>
      <x:c r="C1360" s="21" t="n">
        <x:v>34517.60175925926</x:v>
      </x:c>
      <x:c r="D1360" s="12" t="n">
        <x:v>80</x:v>
      </x:c>
      <x:c r="E1360" s="12" t="n">
        <x:v>1</x:v>
      </x:c>
      <x:c r="F1360" s="12" t="str">
        <x:v>未记录</x:v>
      </x:c>
      <x:c r="G1360" s="12" t="n">
        <x:v>1</x:v>
      </x:c>
      <x:c r="H1360" s="12" t="str">
        <x:v>{'NDT': 100.0, 'LPR': 0.0, 'STD_': 0.0, 'STACH': 0.0}</x:v>
      </x:c>
      <x:c r="I1360" s="12" t="str">
        <x:v>[('STACH', 100.0), ('FAV', 100.0), ('ABR', 100.0)]</x:v>
      </x:c>
      <x:c r="J1360" s="12" t="str">
        <x:v>ptbxl_database.csv；ecg_id=12353；scp_codes</x:v>
      </x:c>
      <x:c r="K1360" s="12" t="str">
        <x:v>12sl_statements.csv；ecg_id=12353；statements_ext_snomed</x:v>
      </x:c>
      <x:c r="L1360" s="12"/>
      <x:c r="M1360" s="12" t="str">
        <x:v>negative</x:v>
      </x:c>
      <x:c r="N1360" s="12"/>
      <x:c r="O1360" s="12" t="str">
        <x:v>negative</x:v>
      </x:c>
      <x:c r="P1360" s="12" t="str">
        <x:f>IF(OR(M1360="unavailable",O1360="unavailable"),"不可评价",IF(OR(M1360="equivocal",O1360="equivocal"),"疑似",IF(AND(M1360="positive",O1360="positive"),"a",IF(O1360="positive","b",IF(M1360="positive","c","d")))))</x:f>
        <x:v>d</x:v>
      </x:c>
      <x:c r="Q1360" s="12"/>
      <x:c r="R1360" s="12" t="str">
        <x:v>negative</x:v>
      </x:c>
      <x:c r="S1360" s="12"/>
      <x:c r="T1360" s="12" t="str">
        <x:v>negative</x:v>
      </x:c>
      <x:c r="U1360" s="12" t="str">
        <x:f>IF(OR(R1360="unavailable",T1360="unavailable"),"不可评价",IF(OR(R1360="equivocal",T1360="equivocal"),"疑似",IF(AND(R1360="positive",T1360="positive"),"a",IF(T1360="positive","b",IF(R1360="positive","c","d")))))</x:f>
        <x:v>d</x:v>
      </x:c>
      <x:c r="V1360" s="12"/>
      <x:c r="W1360" s="12" t="str">
        <x:v>negative</x:v>
      </x:c>
      <x:c r="X1360" s="12"/>
      <x:c r="Y1360" s="12" t="str">
        <x:v>negative</x:v>
      </x:c>
      <x:c r="Z1360" s="12" t="str">
        <x:f>IF(OR(W1360="unavailable",Y1360="unavailable"),"不可评价",IF(OR(W1360="equivocal",Y1360="equivocal"),"疑似",IF(AND(W1360="positive",Y1360="positive"),"a",IF(Y1360="positive","b",IF(W1360="positive","c","d")))))</x:f>
        <x:v>d</x:v>
      </x:c>
      <x:c r="AA1360" s="12" t="str">
        <x:f>IF(OR(M1360="unavailable",O1360="unavailable"),"不可评价",IF(AND(OR(M1360="positive",M1360="equivocal"),OR(O1360="positive",O1360="equivocal")),"a",IF(OR(O1360="positive",O1360="equivocal"),"b",IF(OR(M1360="positive",M1360="equivocal"),"c","d"))))</x:f>
        <x:v>d</x:v>
      </x:c>
      <x:c r="AB1360" s="12" t="str">
        <x:f>IF(OR(M1360="unavailable",O1360="unavailable"),"不可评价",IF(AND(M1360="positive",O1360="positive"),"a",IF(O1360="positive","b",IF(M1360="positive","c","d"))))</x:f>
        <x:v>d</x:v>
      </x:c>
      <x:c r="AC1360" s="12" t="str">
        <x:f>IF(OR(R1360="unavailable",T1360="unavailable"),"不可评价",IF(AND(OR(R1360="positive",R1360="equivocal"),OR(T1360="positive",T1360="equivocal")),"a",IF(OR(T1360="positive",T1360="equivocal"),"b",IF(OR(R1360="positive",R1360="equivocal"),"c","d"))))</x:f>
        <x:v>d</x:v>
      </x:c>
      <x:c r="AD1360" s="12" t="str">
        <x:f>IF(OR(R1360="unavailable",T1360="unavailable"),"不可评价",IF(AND(R1360="positive",T1360="positive"),"a",IF(T1360="positive","b",IF(R1360="positive","c","d"))))</x:f>
        <x:v>d</x:v>
      </x:c>
      <x:c r="AE1360" s="12" t="str">
        <x:f>IF(OR(W1360="unavailable",Y1360="unavailable"),"不可评价",IF(AND(OR(W1360="positive",W1360="equivocal"),OR(Y1360="positive",Y1360="equivocal")),"a",IF(OR(Y1360="positive",Y1360="equivocal"),"b",IF(OR(W1360="positive",W1360="equivocal"),"c","d"))))</x:f>
        <x:v>d</x:v>
      </x:c>
      <x:c r="AF1360" s="12" t="str">
        <x:f>IF(OR(W1360="unavailable",Y1360="unavailable"),"不可评价",IF(AND(W1360="positive",Y1360="positive"),"a",IF(Y1360="positive","b",IF(W1360="positive","c","d"))))</x:f>
        <x:v>d</x:v>
      </x:c>
    </x:row>
    <x:row r="1361" ht="24" customHeight="1">
      <x:c r="A1361" s="12" t="str">
        <x:v>12355</x:v>
      </x:c>
      <x:c r="B1361" s="12" t="str">
        <x:v>2894</x:v>
      </x:c>
      <x:c r="C1361" s="21" t="n">
        <x:v>34517.63525462963</x:v>
      </x:c>
      <x:c r="D1361" s="12" t="n">
        <x:v>69</x:v>
      </x:c>
      <x:c r="E1361" s="12" t="n">
        <x:v>1</x:v>
      </x:c>
      <x:c r="F1361" s="12" t="str">
        <x:v>未记录</x:v>
      </x:c>
      <x:c r="G1361" s="12" t="n">
        <x:v>1</x:v>
      </x:c>
      <x:c r="H1361" s="12" t="str">
        <x:v>{'NORM': 100.0, 'SR': 0.0}</x:v>
      </x:c>
      <x:c r="I1361" s="12" t="str">
        <x:v>[('NSR', 100.0), ('NML', 100.0)]</x:v>
      </x:c>
      <x:c r="J1361" s="12" t="str">
        <x:v>ptbxl_database.csv；ecg_id=12355；scp_codes</x:v>
      </x:c>
      <x:c r="K1361" s="12" t="str">
        <x:v>12sl_statements.csv；ecg_id=12355；statements_ext_snomed</x:v>
      </x:c>
      <x:c r="L1361" s="12"/>
      <x:c r="M1361" s="12" t="str">
        <x:v>negative</x:v>
      </x:c>
      <x:c r="N1361" s="12"/>
      <x:c r="O1361" s="12" t="str">
        <x:v>negative</x:v>
      </x:c>
      <x:c r="P1361" s="12" t="str">
        <x:f>IF(OR(M1361="unavailable",O1361="unavailable"),"不可评价",IF(OR(M1361="equivocal",O1361="equivocal"),"疑似",IF(AND(M1361="positive",O1361="positive"),"a",IF(O1361="positive","b",IF(M1361="positive","c","d")))))</x:f>
        <x:v>d</x:v>
      </x:c>
      <x:c r="Q1361" s="12"/>
      <x:c r="R1361" s="12" t="str">
        <x:v>negative</x:v>
      </x:c>
      <x:c r="S1361" s="12"/>
      <x:c r="T1361" s="12" t="str">
        <x:v>negative</x:v>
      </x:c>
      <x:c r="U1361" s="12" t="str">
        <x:f>IF(OR(R1361="unavailable",T1361="unavailable"),"不可评价",IF(OR(R1361="equivocal",T1361="equivocal"),"疑似",IF(AND(R1361="positive",T1361="positive"),"a",IF(T1361="positive","b",IF(R1361="positive","c","d")))))</x:f>
        <x:v>d</x:v>
      </x:c>
      <x:c r="V1361" s="12"/>
      <x:c r="W1361" s="12" t="str">
        <x:v>negative</x:v>
      </x:c>
      <x:c r="X1361" s="12"/>
      <x:c r="Y1361" s="12" t="str">
        <x:v>negative</x:v>
      </x:c>
      <x:c r="Z1361" s="12" t="str">
        <x:f>IF(OR(W1361="unavailable",Y1361="unavailable"),"不可评价",IF(OR(W1361="equivocal",Y1361="equivocal"),"疑似",IF(AND(W1361="positive",Y1361="positive"),"a",IF(Y1361="positive","b",IF(W1361="positive","c","d")))))</x:f>
        <x:v>d</x:v>
      </x:c>
      <x:c r="AA1361" s="12" t="str">
        <x:f>IF(OR(M1361="unavailable",O1361="unavailable"),"不可评价",IF(AND(OR(M1361="positive",M1361="equivocal"),OR(O1361="positive",O1361="equivocal")),"a",IF(OR(O1361="positive",O1361="equivocal"),"b",IF(OR(M1361="positive",M1361="equivocal"),"c","d"))))</x:f>
        <x:v>d</x:v>
      </x:c>
      <x:c r="AB1361" s="12" t="str">
        <x:f>IF(OR(M1361="unavailable",O1361="unavailable"),"不可评价",IF(AND(M1361="positive",O1361="positive"),"a",IF(O1361="positive","b",IF(M1361="positive","c","d"))))</x:f>
        <x:v>d</x:v>
      </x:c>
      <x:c r="AC1361" s="12" t="str">
        <x:f>IF(OR(R1361="unavailable",T1361="unavailable"),"不可评价",IF(AND(OR(R1361="positive",R1361="equivocal"),OR(T1361="positive",T1361="equivocal")),"a",IF(OR(T1361="positive",T1361="equivocal"),"b",IF(OR(R1361="positive",R1361="equivocal"),"c","d"))))</x:f>
        <x:v>d</x:v>
      </x:c>
      <x:c r="AD1361" s="12" t="str">
        <x:f>IF(OR(R1361="unavailable",T1361="unavailable"),"不可评价",IF(AND(R1361="positive",T1361="positive"),"a",IF(T1361="positive","b",IF(R1361="positive","c","d"))))</x:f>
        <x:v>d</x:v>
      </x:c>
      <x:c r="AE1361" s="12" t="str">
        <x:f>IF(OR(W1361="unavailable",Y1361="unavailable"),"不可评价",IF(AND(OR(W1361="positive",W1361="equivocal"),OR(Y1361="positive",Y1361="equivocal")),"a",IF(OR(Y1361="positive",Y1361="equivocal"),"b",IF(OR(W1361="positive",W1361="equivocal"),"c","d"))))</x:f>
        <x:v>d</x:v>
      </x:c>
      <x:c r="AF1361" s="12" t="str">
        <x:f>IF(OR(W1361="unavailable",Y1361="unavailable"),"不可评价",IF(AND(W1361="positive",Y1361="positive"),"a",IF(Y1361="positive","b",IF(W1361="positive","c","d"))))</x:f>
        <x:v>d</x:v>
      </x:c>
    </x:row>
    <x:row r="1362" ht="24" customHeight="1">
      <x:c r="A1362" s="12" t="str">
        <x:v>12376</x:v>
      </x:c>
      <x:c r="B1362" s="12" t="str">
        <x:v>20950</x:v>
      </x:c>
      <x:c r="C1362" s="21" t="n">
        <x:v>34520.717523148145</x:v>
      </x:c>
      <x:c r="D1362" s="12" t="n">
        <x:v>58</x:v>
      </x:c>
      <x:c r="E1362" s="12" t="n">
        <x:v>0</x:v>
      </x:c>
      <x:c r="F1362" s="12" t="str">
        <x:v>未记录</x:v>
      </x:c>
      <x:c r="G1362" s="12" t="n">
        <x:v>1</x:v>
      </x:c>
      <x:c r="H1362" s="12" t="str">
        <x:v>{'NORM': 100.0, 'SR': 0.0}</x:v>
      </x:c>
      <x:c r="I1362" s="12" t="str">
        <x:v>[('NSR', 100.0), ('NML', 100.0)]</x:v>
      </x:c>
      <x:c r="J1362" s="12" t="str">
        <x:v>ptbxl_database.csv；ecg_id=12376；scp_codes</x:v>
      </x:c>
      <x:c r="K1362" s="12" t="str">
        <x:v>12sl_statements.csv；ecg_id=12376；statements_ext_snomed</x:v>
      </x:c>
      <x:c r="L1362" s="12"/>
      <x:c r="M1362" s="12" t="str">
        <x:v>negative</x:v>
      </x:c>
      <x:c r="N1362" s="12"/>
      <x:c r="O1362" s="12" t="str">
        <x:v>negative</x:v>
      </x:c>
      <x:c r="P1362" s="12" t="str">
        <x:f>IF(OR(M1362="unavailable",O1362="unavailable"),"不可评价",IF(OR(M1362="equivocal",O1362="equivocal"),"疑似",IF(AND(M1362="positive",O1362="positive"),"a",IF(O1362="positive","b",IF(M1362="positive","c","d")))))</x:f>
        <x:v>d</x:v>
      </x:c>
      <x:c r="Q1362" s="12"/>
      <x:c r="R1362" s="12" t="str">
        <x:v>negative</x:v>
      </x:c>
      <x:c r="S1362" s="12"/>
      <x:c r="T1362" s="12" t="str">
        <x:v>negative</x:v>
      </x:c>
      <x:c r="U1362" s="12" t="str">
        <x:f>IF(OR(R1362="unavailable",T1362="unavailable"),"不可评价",IF(OR(R1362="equivocal",T1362="equivocal"),"疑似",IF(AND(R1362="positive",T1362="positive"),"a",IF(T1362="positive","b",IF(R1362="positive","c","d")))))</x:f>
        <x:v>d</x:v>
      </x:c>
      <x:c r="V1362" s="12"/>
      <x:c r="W1362" s="12" t="str">
        <x:v>negative</x:v>
      </x:c>
      <x:c r="X1362" s="12"/>
      <x:c r="Y1362" s="12" t="str">
        <x:v>negative</x:v>
      </x:c>
      <x:c r="Z1362" s="12" t="str">
        <x:f>IF(OR(W1362="unavailable",Y1362="unavailable"),"不可评价",IF(OR(W1362="equivocal",Y1362="equivocal"),"疑似",IF(AND(W1362="positive",Y1362="positive"),"a",IF(Y1362="positive","b",IF(W1362="positive","c","d")))))</x:f>
        <x:v>d</x:v>
      </x:c>
      <x:c r="AA1362" s="12" t="str">
        <x:f>IF(OR(M1362="unavailable",O1362="unavailable"),"不可评价",IF(AND(OR(M1362="positive",M1362="equivocal"),OR(O1362="positive",O1362="equivocal")),"a",IF(OR(O1362="positive",O1362="equivocal"),"b",IF(OR(M1362="positive",M1362="equivocal"),"c","d"))))</x:f>
        <x:v>d</x:v>
      </x:c>
      <x:c r="AB1362" s="12" t="str">
        <x:f>IF(OR(M1362="unavailable",O1362="unavailable"),"不可评价",IF(AND(M1362="positive",O1362="positive"),"a",IF(O1362="positive","b",IF(M1362="positive","c","d"))))</x:f>
        <x:v>d</x:v>
      </x:c>
      <x:c r="AC1362" s="12" t="str">
        <x:f>IF(OR(R1362="unavailable",T1362="unavailable"),"不可评价",IF(AND(OR(R1362="positive",R1362="equivocal"),OR(T1362="positive",T1362="equivocal")),"a",IF(OR(T1362="positive",T1362="equivocal"),"b",IF(OR(R1362="positive",R1362="equivocal"),"c","d"))))</x:f>
        <x:v>d</x:v>
      </x:c>
      <x:c r="AD1362" s="12" t="str">
        <x:f>IF(OR(R1362="unavailable",T1362="unavailable"),"不可评价",IF(AND(R1362="positive",T1362="positive"),"a",IF(T1362="positive","b",IF(R1362="positive","c","d"))))</x:f>
        <x:v>d</x:v>
      </x:c>
      <x:c r="AE1362" s="12" t="str">
        <x:f>IF(OR(W1362="unavailable",Y1362="unavailable"),"不可评价",IF(AND(OR(W1362="positive",W1362="equivocal"),OR(Y1362="positive",Y1362="equivocal")),"a",IF(OR(Y1362="positive",Y1362="equivocal"),"b",IF(OR(W1362="positive",W1362="equivocal"),"c","d"))))</x:f>
        <x:v>d</x:v>
      </x:c>
      <x:c r="AF1362" s="12" t="str">
        <x:f>IF(OR(W1362="unavailable",Y1362="unavailable"),"不可评价",IF(AND(W1362="positive",Y1362="positive"),"a",IF(Y1362="positive","b",IF(W1362="positive","c","d"))))</x:f>
        <x:v>d</x:v>
      </x:c>
    </x:row>
    <x:row r="1363" ht="24" customHeight="1">
      <x:c r="A1363" s="12" t="str">
        <x:v>12400</x:v>
      </x:c>
      <x:c r="B1363" s="12" t="str">
        <x:v>11104</x:v>
      </x:c>
      <x:c r="C1363" s="21" t="n">
        <x:v>34524.31232638889</x:v>
      </x:c>
      <x:c r="D1363" s="12" t="n">
        <x:v>62</x:v>
      </x:c>
      <x:c r="E1363" s="12" t="n">
        <x:v>0</x:v>
      </x:c>
      <x:c r="F1363" s="12" t="str">
        <x:v>未记录</x:v>
      </x:c>
      <x:c r="G1363" s="12" t="n">
        <x:v>1</x:v>
      </x:c>
      <x:c r="H1363" s="12" t="str">
        <x:v>{'IVCD': 100.0, 'ABQRS': 0.0, 'SR': 0.0}</x:v>
      </x:c>
      <x:c r="I1363" s="12" t="str">
        <x:v>[('SBRAD', 100.0), ('ABR', 100.0)]</x:v>
      </x:c>
      <x:c r="J1363" s="12" t="str">
        <x:v>ptbxl_database.csv；ecg_id=12400；scp_codes</x:v>
      </x:c>
      <x:c r="K1363" s="12" t="str">
        <x:v>12sl_statements.csv；ecg_id=12400；statements_ext_snomed</x:v>
      </x:c>
      <x:c r="L1363" s="12"/>
      <x:c r="M1363" s="12" t="str">
        <x:v>negative</x:v>
      </x:c>
      <x:c r="N1363" s="12"/>
      <x:c r="O1363" s="12" t="str">
        <x:v>negative</x:v>
      </x:c>
      <x:c r="P1363" s="12" t="str">
        <x:f>IF(OR(M1363="unavailable",O1363="unavailable"),"不可评价",IF(OR(M1363="equivocal",O1363="equivocal"),"疑似",IF(AND(M1363="positive",O1363="positive"),"a",IF(O1363="positive","b",IF(M1363="positive","c","d")))))</x:f>
        <x:v>d</x:v>
      </x:c>
      <x:c r="Q1363" s="12"/>
      <x:c r="R1363" s="12" t="str">
        <x:v>negative</x:v>
      </x:c>
      <x:c r="S1363" s="12"/>
      <x:c r="T1363" s="12" t="str">
        <x:v>negative</x:v>
      </x:c>
      <x:c r="U1363" s="12" t="str">
        <x:f>IF(OR(R1363="unavailable",T1363="unavailable"),"不可评价",IF(OR(R1363="equivocal",T1363="equivocal"),"疑似",IF(AND(R1363="positive",T1363="positive"),"a",IF(T1363="positive","b",IF(R1363="positive","c","d")))))</x:f>
        <x:v>d</x:v>
      </x:c>
      <x:c r="V1363" s="12"/>
      <x:c r="W1363" s="12" t="str">
        <x:v>negative</x:v>
      </x:c>
      <x:c r="X1363" s="12"/>
      <x:c r="Y1363" s="12" t="str">
        <x:v>negative</x:v>
      </x:c>
      <x:c r="Z1363" s="12" t="str">
        <x:f>IF(OR(W1363="unavailable",Y1363="unavailable"),"不可评价",IF(OR(W1363="equivocal",Y1363="equivocal"),"疑似",IF(AND(W1363="positive",Y1363="positive"),"a",IF(Y1363="positive","b",IF(W1363="positive","c","d")))))</x:f>
        <x:v>d</x:v>
      </x:c>
      <x:c r="AA1363" s="12" t="str">
        <x:f>IF(OR(M1363="unavailable",O1363="unavailable"),"不可评价",IF(AND(OR(M1363="positive",M1363="equivocal"),OR(O1363="positive",O1363="equivocal")),"a",IF(OR(O1363="positive",O1363="equivocal"),"b",IF(OR(M1363="positive",M1363="equivocal"),"c","d"))))</x:f>
        <x:v>d</x:v>
      </x:c>
      <x:c r="AB1363" s="12" t="str">
        <x:f>IF(OR(M1363="unavailable",O1363="unavailable"),"不可评价",IF(AND(M1363="positive",O1363="positive"),"a",IF(O1363="positive","b",IF(M1363="positive","c","d"))))</x:f>
        <x:v>d</x:v>
      </x:c>
      <x:c r="AC1363" s="12" t="str">
        <x:f>IF(OR(R1363="unavailable",T1363="unavailable"),"不可评价",IF(AND(OR(R1363="positive",R1363="equivocal"),OR(T1363="positive",T1363="equivocal")),"a",IF(OR(T1363="positive",T1363="equivocal"),"b",IF(OR(R1363="positive",R1363="equivocal"),"c","d"))))</x:f>
        <x:v>d</x:v>
      </x:c>
      <x:c r="AD1363" s="12" t="str">
        <x:f>IF(OR(R1363="unavailable",T1363="unavailable"),"不可评价",IF(AND(R1363="positive",T1363="positive"),"a",IF(T1363="positive","b",IF(R1363="positive","c","d"))))</x:f>
        <x:v>d</x:v>
      </x:c>
      <x:c r="AE1363" s="12" t="str">
        <x:f>IF(OR(W1363="unavailable",Y1363="unavailable"),"不可评价",IF(AND(OR(W1363="positive",W1363="equivocal"),OR(Y1363="positive",Y1363="equivocal")),"a",IF(OR(Y1363="positive",Y1363="equivocal"),"b",IF(OR(W1363="positive",W1363="equivocal"),"c","d"))))</x:f>
        <x:v>d</x:v>
      </x:c>
      <x:c r="AF1363" s="12" t="str">
        <x:f>IF(OR(W1363="unavailable",Y1363="unavailable"),"不可评价",IF(AND(W1363="positive",Y1363="positive"),"a",IF(Y1363="positive","b",IF(W1363="positive","c","d"))))</x:f>
        <x:v>d</x:v>
      </x:c>
    </x:row>
    <x:row r="1364" ht="24" customHeight="1">
      <x:c r="A1364" s="12" t="str">
        <x:v>12407</x:v>
      </x:c>
      <x:c r="B1364" s="12" t="str">
        <x:v>14659</x:v>
      </x:c>
      <x:c r="C1364" s="21" t="n">
        <x:v>34525.417592592596</x:v>
      </x:c>
      <x:c r="D1364" s="12" t="n">
        <x:v>53</x:v>
      </x:c>
      <x:c r="E1364" s="12" t="n">
        <x:v>0</x:v>
      </x:c>
      <x:c r="F1364" s="12" t="str">
        <x:v>未记录</x:v>
      </x:c>
      <x:c r="G1364" s="12" t="n">
        <x:v>1</x:v>
      </x:c>
      <x:c r="H1364" s="12" t="str">
        <x:v>{'NORM': 100.0, 'ABQRS': 0.0, 'SR': 0.0}</x:v>
      </x:c>
      <x:c r="I1364" s="12" t="str">
        <x:v>[('NSR', 100.0), ('NML', 100.0)]</x:v>
      </x:c>
      <x:c r="J1364" s="12" t="str">
        <x:v>ptbxl_database.csv；ecg_id=12407；scp_codes</x:v>
      </x:c>
      <x:c r="K1364" s="12" t="str">
        <x:v>12sl_statements.csv；ecg_id=12407；statements_ext_snomed</x:v>
      </x:c>
      <x:c r="L1364" s="12"/>
      <x:c r="M1364" s="12" t="str">
        <x:v>negative</x:v>
      </x:c>
      <x:c r="N1364" s="12"/>
      <x:c r="O1364" s="12" t="str">
        <x:v>negative</x:v>
      </x:c>
      <x:c r="P1364" s="12" t="str">
        <x:f>IF(OR(M1364="unavailable",O1364="unavailable"),"不可评价",IF(OR(M1364="equivocal",O1364="equivocal"),"疑似",IF(AND(M1364="positive",O1364="positive"),"a",IF(O1364="positive","b",IF(M1364="positive","c","d")))))</x:f>
        <x:v>d</x:v>
      </x:c>
      <x:c r="Q1364" s="12"/>
      <x:c r="R1364" s="12" t="str">
        <x:v>negative</x:v>
      </x:c>
      <x:c r="S1364" s="12"/>
      <x:c r="T1364" s="12" t="str">
        <x:v>negative</x:v>
      </x:c>
      <x:c r="U1364" s="12" t="str">
        <x:f>IF(OR(R1364="unavailable",T1364="unavailable"),"不可评价",IF(OR(R1364="equivocal",T1364="equivocal"),"疑似",IF(AND(R1364="positive",T1364="positive"),"a",IF(T1364="positive","b",IF(R1364="positive","c","d")))))</x:f>
        <x:v>d</x:v>
      </x:c>
      <x:c r="V1364" s="12"/>
      <x:c r="W1364" s="12" t="str">
        <x:v>negative</x:v>
      </x:c>
      <x:c r="X1364" s="12"/>
      <x:c r="Y1364" s="12" t="str">
        <x:v>negative</x:v>
      </x:c>
      <x:c r="Z1364" s="12" t="str">
        <x:f>IF(OR(W1364="unavailable",Y1364="unavailable"),"不可评价",IF(OR(W1364="equivocal",Y1364="equivocal"),"疑似",IF(AND(W1364="positive",Y1364="positive"),"a",IF(Y1364="positive","b",IF(W1364="positive","c","d")))))</x:f>
        <x:v>d</x:v>
      </x:c>
      <x:c r="AA1364" s="12" t="str">
        <x:f>IF(OR(M1364="unavailable",O1364="unavailable"),"不可评价",IF(AND(OR(M1364="positive",M1364="equivocal"),OR(O1364="positive",O1364="equivocal")),"a",IF(OR(O1364="positive",O1364="equivocal"),"b",IF(OR(M1364="positive",M1364="equivocal"),"c","d"))))</x:f>
        <x:v>d</x:v>
      </x:c>
      <x:c r="AB1364" s="12" t="str">
        <x:f>IF(OR(M1364="unavailable",O1364="unavailable"),"不可评价",IF(AND(M1364="positive",O1364="positive"),"a",IF(O1364="positive","b",IF(M1364="positive","c","d"))))</x:f>
        <x:v>d</x:v>
      </x:c>
      <x:c r="AC1364" s="12" t="str">
        <x:f>IF(OR(R1364="unavailable",T1364="unavailable"),"不可评价",IF(AND(OR(R1364="positive",R1364="equivocal"),OR(T1364="positive",T1364="equivocal")),"a",IF(OR(T1364="positive",T1364="equivocal"),"b",IF(OR(R1364="positive",R1364="equivocal"),"c","d"))))</x:f>
        <x:v>d</x:v>
      </x:c>
      <x:c r="AD1364" s="12" t="str">
        <x:f>IF(OR(R1364="unavailable",T1364="unavailable"),"不可评价",IF(AND(R1364="positive",T1364="positive"),"a",IF(T1364="positive","b",IF(R1364="positive","c","d"))))</x:f>
        <x:v>d</x:v>
      </x:c>
      <x:c r="AE1364" s="12" t="str">
        <x:f>IF(OR(W1364="unavailable",Y1364="unavailable"),"不可评价",IF(AND(OR(W1364="positive",W1364="equivocal"),OR(Y1364="positive",Y1364="equivocal")),"a",IF(OR(Y1364="positive",Y1364="equivocal"),"b",IF(OR(W1364="positive",W1364="equivocal"),"c","d"))))</x:f>
        <x:v>d</x:v>
      </x:c>
      <x:c r="AF1364" s="12" t="str">
        <x:f>IF(OR(W1364="unavailable",Y1364="unavailable"),"不可评价",IF(AND(W1364="positive",Y1364="positive"),"a",IF(Y1364="positive","b",IF(W1364="positive","c","d"))))</x:f>
        <x:v>d</x:v>
      </x:c>
    </x:row>
    <x:row r="1365" ht="24" customHeight="1">
      <x:c r="A1365" s="12" t="str">
        <x:v>12409</x:v>
      </x:c>
      <x:c r="B1365" s="12" t="str">
        <x:v>5282</x:v>
      </x:c>
      <x:c r="C1365" s="21" t="n">
        <x:v>34525.47454861111</x:v>
      </x:c>
      <x:c r="D1365" s="12" t="n">
        <x:v>39</x:v>
      </x:c>
      <x:c r="E1365" s="12" t="n">
        <x:v>0</x:v>
      </x:c>
      <x:c r="F1365" s="12" t="str">
        <x:v>未记录</x:v>
      </x:c>
      <x:c r="G1365" s="12" t="n">
        <x:v>1</x:v>
      </x:c>
      <x:c r="H1365" s="12" t="str">
        <x:v>{'NORM': 80.0, 'SR': 0.0}</x:v>
      </x:c>
      <x:c r="I1365" s="12" t="str">
        <x:v>[('NSR', 100.0), ('QESPMI', 100.0), ('AB', 100.0)]</x:v>
      </x:c>
      <x:c r="J1365" s="12" t="str">
        <x:v>ptbxl_database.csv；ecg_id=12409；scp_codes</x:v>
      </x:c>
      <x:c r="K1365" s="12" t="str">
        <x:v>12sl_statements.csv；ecg_id=12409；statements_ext_snomed</x:v>
      </x:c>
      <x:c r="L1365" s="12"/>
      <x:c r="M1365" s="12" t="str">
        <x:v>negative</x:v>
      </x:c>
      <x:c r="N1365" s="12"/>
      <x:c r="O1365" s="12" t="str">
        <x:v>negative</x:v>
      </x:c>
      <x:c r="P1365" s="12" t="str">
        <x:f>IF(OR(M1365="unavailable",O1365="unavailable"),"不可评价",IF(OR(M1365="equivocal",O1365="equivocal"),"疑似",IF(AND(M1365="positive",O1365="positive"),"a",IF(O1365="positive","b",IF(M1365="positive","c","d")))))</x:f>
        <x:v>d</x:v>
      </x:c>
      <x:c r="Q1365" s="12"/>
      <x:c r="R1365" s="12" t="str">
        <x:v>negative</x:v>
      </x:c>
      <x:c r="S1365" s="12"/>
      <x:c r="T1365" s="12" t="str">
        <x:v>negative</x:v>
      </x:c>
      <x:c r="U1365" s="12" t="str">
        <x:f>IF(OR(R1365="unavailable",T1365="unavailable"),"不可评价",IF(OR(R1365="equivocal",T1365="equivocal"),"疑似",IF(AND(R1365="positive",T1365="positive"),"a",IF(T1365="positive","b",IF(R1365="positive","c","d")))))</x:f>
        <x:v>d</x:v>
      </x:c>
      <x:c r="V1365" s="12"/>
      <x:c r="W1365" s="12" t="str">
        <x:v>negative</x:v>
      </x:c>
      <x:c r="X1365" s="12"/>
      <x:c r="Y1365" s="12" t="str">
        <x:v>negative</x:v>
      </x:c>
      <x:c r="Z1365" s="12" t="str">
        <x:f>IF(OR(W1365="unavailable",Y1365="unavailable"),"不可评价",IF(OR(W1365="equivocal",Y1365="equivocal"),"疑似",IF(AND(W1365="positive",Y1365="positive"),"a",IF(Y1365="positive","b",IF(W1365="positive","c","d")))))</x:f>
        <x:v>d</x:v>
      </x:c>
      <x:c r="AA1365" s="12" t="str">
        <x:f>IF(OR(M1365="unavailable",O1365="unavailable"),"不可评价",IF(AND(OR(M1365="positive",M1365="equivocal"),OR(O1365="positive",O1365="equivocal")),"a",IF(OR(O1365="positive",O1365="equivocal"),"b",IF(OR(M1365="positive",M1365="equivocal"),"c","d"))))</x:f>
        <x:v>d</x:v>
      </x:c>
      <x:c r="AB1365" s="12" t="str">
        <x:f>IF(OR(M1365="unavailable",O1365="unavailable"),"不可评价",IF(AND(M1365="positive",O1365="positive"),"a",IF(O1365="positive","b",IF(M1365="positive","c","d"))))</x:f>
        <x:v>d</x:v>
      </x:c>
      <x:c r="AC1365" s="12" t="str">
        <x:f>IF(OR(R1365="unavailable",T1365="unavailable"),"不可评价",IF(AND(OR(R1365="positive",R1365="equivocal"),OR(T1365="positive",T1365="equivocal")),"a",IF(OR(T1365="positive",T1365="equivocal"),"b",IF(OR(R1365="positive",R1365="equivocal"),"c","d"))))</x:f>
        <x:v>d</x:v>
      </x:c>
      <x:c r="AD1365" s="12" t="str">
        <x:f>IF(OR(R1365="unavailable",T1365="unavailable"),"不可评价",IF(AND(R1365="positive",T1365="positive"),"a",IF(T1365="positive","b",IF(R1365="positive","c","d"))))</x:f>
        <x:v>d</x:v>
      </x:c>
      <x:c r="AE1365" s="12" t="str">
        <x:f>IF(OR(W1365="unavailable",Y1365="unavailable"),"不可评价",IF(AND(OR(W1365="positive",W1365="equivocal"),OR(Y1365="positive",Y1365="equivocal")),"a",IF(OR(Y1365="positive",Y1365="equivocal"),"b",IF(OR(W1365="positive",W1365="equivocal"),"c","d"))))</x:f>
        <x:v>d</x:v>
      </x:c>
      <x:c r="AF1365" s="12" t="str">
        <x:f>IF(OR(W1365="unavailable",Y1365="unavailable"),"不可评价",IF(AND(W1365="positive",Y1365="positive"),"a",IF(Y1365="positive","b",IF(W1365="positive","c","d"))))</x:f>
        <x:v>d</x:v>
      </x:c>
    </x:row>
    <x:row r="1366" ht="24" customHeight="1">
      <x:c r="A1366" s="12" t="str">
        <x:v>12426</x:v>
      </x:c>
      <x:c r="B1366" s="12" t="str">
        <x:v>18277</x:v>
      </x:c>
      <x:c r="C1366" s="21" t="n">
        <x:v>34526.48297453704</x:v>
      </x:c>
      <x:c r="D1366" s="12" t="n">
        <x:v>72</x:v>
      </x:c>
      <x:c r="E1366" s="12" t="n">
        <x:v>1</x:v>
      </x:c>
      <x:c r="F1366" s="12" t="str">
        <x:v>未记录</x:v>
      </x:c>
      <x:c r="G1366" s="12" t="n">
        <x:v>0</x:v>
      </x:c>
      <x:c r="H1366" s="12" t="str">
        <x:v>{'AMI': 100.0, 'IMI': 15.0, 'PVC': 100.0, 'ABQRS': 0.0, 'SARRH': 0.0}</x:v>
      </x:c>
      <x:c r="I1366" s="12" t="str">
        <x:v>[('SRTH', 100.0), ('PVC', 100.0), ('SMI;AU', 100.0), ('AB', 100.0)]</x:v>
      </x:c>
      <x:c r="J1366" s="12" t="str">
        <x:v>ptbxl_database.csv；ecg_id=12426；scp_codes</x:v>
      </x:c>
      <x:c r="K1366" s="12" t="str">
        <x:v>12sl_statements.csv；ecg_id=12426；statements_ext_snomed</x:v>
      </x:c>
      <x:c r="L1366" s="12"/>
      <x:c r="M1366" s="12" t="str">
        <x:v>negative</x:v>
      </x:c>
      <x:c r="N1366" s="12"/>
      <x:c r="O1366" s="12" t="str">
        <x:v>negative</x:v>
      </x:c>
      <x:c r="P1366" s="12" t="str">
        <x:f>IF(OR(M1366="unavailable",O1366="unavailable"),"不可评价",IF(OR(M1366="equivocal",O1366="equivocal"),"疑似",IF(AND(M1366="positive",O1366="positive"),"a",IF(O1366="positive","b",IF(M1366="positive","c","d")))))</x:f>
        <x:v>d</x:v>
      </x:c>
      <x:c r="Q1366" s="12"/>
      <x:c r="R1366" s="12" t="str">
        <x:v>negative</x:v>
      </x:c>
      <x:c r="S1366" s="12"/>
      <x:c r="T1366" s="12" t="str">
        <x:v>negative</x:v>
      </x:c>
      <x:c r="U1366" s="12" t="str">
        <x:f>IF(OR(R1366="unavailable",T1366="unavailable"),"不可评价",IF(OR(R1366="equivocal",T1366="equivocal"),"疑似",IF(AND(R1366="positive",T1366="positive"),"a",IF(T1366="positive","b",IF(R1366="positive","c","d")))))</x:f>
        <x:v>d</x:v>
      </x:c>
      <x:c r="V1366" s="12"/>
      <x:c r="W1366" s="12" t="str">
        <x:v>negative</x:v>
      </x:c>
      <x:c r="X1366" s="12"/>
      <x:c r="Y1366" s="12" t="str">
        <x:v>negative</x:v>
      </x:c>
      <x:c r="Z1366" s="12" t="str">
        <x:f>IF(OR(W1366="unavailable",Y1366="unavailable"),"不可评价",IF(OR(W1366="equivocal",Y1366="equivocal"),"疑似",IF(AND(W1366="positive",Y1366="positive"),"a",IF(Y1366="positive","b",IF(W1366="positive","c","d")))))</x:f>
        <x:v>d</x:v>
      </x:c>
      <x:c r="AA1366" s="12" t="str">
        <x:f>IF(OR(M1366="unavailable",O1366="unavailable"),"不可评价",IF(AND(OR(M1366="positive",M1366="equivocal"),OR(O1366="positive",O1366="equivocal")),"a",IF(OR(O1366="positive",O1366="equivocal"),"b",IF(OR(M1366="positive",M1366="equivocal"),"c","d"))))</x:f>
        <x:v>d</x:v>
      </x:c>
      <x:c r="AB1366" s="12" t="str">
        <x:f>IF(OR(M1366="unavailable",O1366="unavailable"),"不可评价",IF(AND(M1366="positive",O1366="positive"),"a",IF(O1366="positive","b",IF(M1366="positive","c","d"))))</x:f>
        <x:v>d</x:v>
      </x:c>
      <x:c r="AC1366" s="12" t="str">
        <x:f>IF(OR(R1366="unavailable",T1366="unavailable"),"不可评价",IF(AND(OR(R1366="positive",R1366="equivocal"),OR(T1366="positive",T1366="equivocal")),"a",IF(OR(T1366="positive",T1366="equivocal"),"b",IF(OR(R1366="positive",R1366="equivocal"),"c","d"))))</x:f>
        <x:v>d</x:v>
      </x:c>
      <x:c r="AD1366" s="12" t="str">
        <x:f>IF(OR(R1366="unavailable",T1366="unavailable"),"不可评价",IF(AND(R1366="positive",T1366="positive"),"a",IF(T1366="positive","b",IF(R1366="positive","c","d"))))</x:f>
        <x:v>d</x:v>
      </x:c>
      <x:c r="AE1366" s="12" t="str">
        <x:f>IF(OR(W1366="unavailable",Y1366="unavailable"),"不可评价",IF(AND(OR(W1366="positive",W1366="equivocal"),OR(Y1366="positive",Y1366="equivocal")),"a",IF(OR(Y1366="positive",Y1366="equivocal"),"b",IF(OR(W1366="positive",W1366="equivocal"),"c","d"))))</x:f>
        <x:v>d</x:v>
      </x:c>
      <x:c r="AF1366" s="12" t="str">
        <x:f>IF(OR(W1366="unavailable",Y1366="unavailable"),"不可评价",IF(AND(W1366="positive",Y1366="positive"),"a",IF(Y1366="positive","b",IF(W1366="positive","c","d"))))</x:f>
        <x:v>d</x:v>
      </x:c>
    </x:row>
    <x:row r="1367" ht="24" customHeight="1">
      <x:c r="A1367" s="12" t="str">
        <x:v>12451</x:v>
      </x:c>
      <x:c r="B1367" s="12" t="str">
        <x:v>6988</x:v>
      </x:c>
      <x:c r="C1367" s="21" t="n">
        <x:v>34529.42321759259</x:v>
      </x:c>
      <x:c r="D1367" s="12" t="n">
        <x:v>55</x:v>
      </x:c>
      <x:c r="E1367" s="12" t="n">
        <x:v>1</x:v>
      </x:c>
      <x:c r="F1367" s="12" t="str">
        <x:v>未记录</x:v>
      </x:c>
      <x:c r="G1367" s="12" t="n">
        <x:v>1</x:v>
      </x:c>
      <x:c r="H1367" s="12" t="str">
        <x:v>{'NORM': 100.0}</x:v>
      </x:c>
      <x:c r="I1367" s="12" t="str">
        <x:v>[('NSR', 100.0), ('NML', 100.0)]</x:v>
      </x:c>
      <x:c r="J1367" s="12" t="str">
        <x:v>ptbxl_database.csv；ecg_id=12451；scp_codes</x:v>
      </x:c>
      <x:c r="K1367" s="12" t="str">
        <x:v>12sl_statements.csv；ecg_id=12451；statements_ext_snomed</x:v>
      </x:c>
      <x:c r="L1367" s="12"/>
      <x:c r="M1367" s="12" t="str">
        <x:v>negative</x:v>
      </x:c>
      <x:c r="N1367" s="12"/>
      <x:c r="O1367" s="12" t="str">
        <x:v>negative</x:v>
      </x:c>
      <x:c r="P1367" s="12" t="str">
        <x:f>IF(OR(M1367="unavailable",O1367="unavailable"),"不可评价",IF(OR(M1367="equivocal",O1367="equivocal"),"疑似",IF(AND(M1367="positive",O1367="positive"),"a",IF(O1367="positive","b",IF(M1367="positive","c","d")))))</x:f>
        <x:v>d</x:v>
      </x:c>
      <x:c r="Q1367" s="12"/>
      <x:c r="R1367" s="12" t="str">
        <x:v>negative</x:v>
      </x:c>
      <x:c r="S1367" s="12"/>
      <x:c r="T1367" s="12" t="str">
        <x:v>negative</x:v>
      </x:c>
      <x:c r="U1367" s="12" t="str">
        <x:f>IF(OR(R1367="unavailable",T1367="unavailable"),"不可评价",IF(OR(R1367="equivocal",T1367="equivocal"),"疑似",IF(AND(R1367="positive",T1367="positive"),"a",IF(T1367="positive","b",IF(R1367="positive","c","d")))))</x:f>
        <x:v>d</x:v>
      </x:c>
      <x:c r="V1367" s="12"/>
      <x:c r="W1367" s="12" t="str">
        <x:v>negative</x:v>
      </x:c>
      <x:c r="X1367" s="12"/>
      <x:c r="Y1367" s="12" t="str">
        <x:v>negative</x:v>
      </x:c>
      <x:c r="Z1367" s="12" t="str">
        <x:f>IF(OR(W1367="unavailable",Y1367="unavailable"),"不可评价",IF(OR(W1367="equivocal",Y1367="equivocal"),"疑似",IF(AND(W1367="positive",Y1367="positive"),"a",IF(Y1367="positive","b",IF(W1367="positive","c","d")))))</x:f>
        <x:v>d</x:v>
      </x:c>
      <x:c r="AA1367" s="12" t="str">
        <x:f>IF(OR(M1367="unavailable",O1367="unavailable"),"不可评价",IF(AND(OR(M1367="positive",M1367="equivocal"),OR(O1367="positive",O1367="equivocal")),"a",IF(OR(O1367="positive",O1367="equivocal"),"b",IF(OR(M1367="positive",M1367="equivocal"),"c","d"))))</x:f>
        <x:v>d</x:v>
      </x:c>
      <x:c r="AB1367" s="12" t="str">
        <x:f>IF(OR(M1367="unavailable",O1367="unavailable"),"不可评价",IF(AND(M1367="positive",O1367="positive"),"a",IF(O1367="positive","b",IF(M1367="positive","c","d"))))</x:f>
        <x:v>d</x:v>
      </x:c>
      <x:c r="AC1367" s="12" t="str">
        <x:f>IF(OR(R1367="unavailable",T1367="unavailable"),"不可评价",IF(AND(OR(R1367="positive",R1367="equivocal"),OR(T1367="positive",T1367="equivocal")),"a",IF(OR(T1367="positive",T1367="equivocal"),"b",IF(OR(R1367="positive",R1367="equivocal"),"c","d"))))</x:f>
        <x:v>d</x:v>
      </x:c>
      <x:c r="AD1367" s="12" t="str">
        <x:f>IF(OR(R1367="unavailable",T1367="unavailable"),"不可评价",IF(AND(R1367="positive",T1367="positive"),"a",IF(T1367="positive","b",IF(R1367="positive","c","d"))))</x:f>
        <x:v>d</x:v>
      </x:c>
      <x:c r="AE1367" s="12" t="str">
        <x:f>IF(OR(W1367="unavailable",Y1367="unavailable"),"不可评价",IF(AND(OR(W1367="positive",W1367="equivocal"),OR(Y1367="positive",Y1367="equivocal")),"a",IF(OR(Y1367="positive",Y1367="equivocal"),"b",IF(OR(W1367="positive",W1367="equivocal"),"c","d"))))</x:f>
        <x:v>d</x:v>
      </x:c>
      <x:c r="AF1367" s="12" t="str">
        <x:f>IF(OR(W1367="unavailable",Y1367="unavailable"),"不可评价",IF(AND(W1367="positive",Y1367="positive"),"a",IF(Y1367="positive","b",IF(W1367="positive","c","d"))))</x:f>
        <x:v>d</x:v>
      </x:c>
    </x:row>
    <x:row r="1368" ht="24" customHeight="1">
      <x:c r="A1368" s="12" t="str">
        <x:v>12475</x:v>
      </x:c>
      <x:c r="B1368" s="12" t="str">
        <x:v>7365</x:v>
      </x:c>
      <x:c r="C1368" s="21" t="n">
        <x:v>34532.30081018519</x:v>
      </x:c>
      <x:c r="D1368" s="12" t="n">
        <x:v>59</x:v>
      </x:c>
      <x:c r="E1368" s="12" t="n">
        <x:v>0</x:v>
      </x:c>
      <x:c r="F1368" s="12" t="str">
        <x:v>未记录</x:v>
      </x:c>
      <x:c r="G1368" s="12" t="n">
        <x:v>1</x:v>
      </x:c>
      <x:c r="H1368" s="12" t="str">
        <x:v>{'NORM': 100.0, 'SR': 0.0}</x:v>
      </x:c>
      <x:c r="I1368" s="12" t="str">
        <x:v>[('NSR', 100.0), ('NML', 100.0)]</x:v>
      </x:c>
      <x:c r="J1368" s="12" t="str">
        <x:v>ptbxl_database.csv；ecg_id=12475；scp_codes</x:v>
      </x:c>
      <x:c r="K1368" s="12" t="str">
        <x:v>12sl_statements.csv；ecg_id=12475；statements_ext_snomed</x:v>
      </x:c>
      <x:c r="L1368" s="12"/>
      <x:c r="M1368" s="12" t="str">
        <x:v>negative</x:v>
      </x:c>
      <x:c r="N1368" s="12"/>
      <x:c r="O1368" s="12" t="str">
        <x:v>negative</x:v>
      </x:c>
      <x:c r="P1368" s="12" t="str">
        <x:f>IF(OR(M1368="unavailable",O1368="unavailable"),"不可评价",IF(OR(M1368="equivocal",O1368="equivocal"),"疑似",IF(AND(M1368="positive",O1368="positive"),"a",IF(O1368="positive","b",IF(M1368="positive","c","d")))))</x:f>
        <x:v>d</x:v>
      </x:c>
      <x:c r="Q1368" s="12"/>
      <x:c r="R1368" s="12" t="str">
        <x:v>negative</x:v>
      </x:c>
      <x:c r="S1368" s="12"/>
      <x:c r="T1368" s="12" t="str">
        <x:v>negative</x:v>
      </x:c>
      <x:c r="U1368" s="12" t="str">
        <x:f>IF(OR(R1368="unavailable",T1368="unavailable"),"不可评价",IF(OR(R1368="equivocal",T1368="equivocal"),"疑似",IF(AND(R1368="positive",T1368="positive"),"a",IF(T1368="positive","b",IF(R1368="positive","c","d")))))</x:f>
        <x:v>d</x:v>
      </x:c>
      <x:c r="V1368" s="12"/>
      <x:c r="W1368" s="12" t="str">
        <x:v>negative</x:v>
      </x:c>
      <x:c r="X1368" s="12"/>
      <x:c r="Y1368" s="12" t="str">
        <x:v>negative</x:v>
      </x:c>
      <x:c r="Z1368" s="12" t="str">
        <x:f>IF(OR(W1368="unavailable",Y1368="unavailable"),"不可评价",IF(OR(W1368="equivocal",Y1368="equivocal"),"疑似",IF(AND(W1368="positive",Y1368="positive"),"a",IF(Y1368="positive","b",IF(W1368="positive","c","d")))))</x:f>
        <x:v>d</x:v>
      </x:c>
      <x:c r="AA1368" s="12" t="str">
        <x:f>IF(OR(M1368="unavailable",O1368="unavailable"),"不可评价",IF(AND(OR(M1368="positive",M1368="equivocal"),OR(O1368="positive",O1368="equivocal")),"a",IF(OR(O1368="positive",O1368="equivocal"),"b",IF(OR(M1368="positive",M1368="equivocal"),"c","d"))))</x:f>
        <x:v>d</x:v>
      </x:c>
      <x:c r="AB1368" s="12" t="str">
        <x:f>IF(OR(M1368="unavailable",O1368="unavailable"),"不可评价",IF(AND(M1368="positive",O1368="positive"),"a",IF(O1368="positive","b",IF(M1368="positive","c","d"))))</x:f>
        <x:v>d</x:v>
      </x:c>
      <x:c r="AC1368" s="12" t="str">
        <x:f>IF(OR(R1368="unavailable",T1368="unavailable"),"不可评价",IF(AND(OR(R1368="positive",R1368="equivocal"),OR(T1368="positive",T1368="equivocal")),"a",IF(OR(T1368="positive",T1368="equivocal"),"b",IF(OR(R1368="positive",R1368="equivocal"),"c","d"))))</x:f>
        <x:v>d</x:v>
      </x:c>
      <x:c r="AD1368" s="12" t="str">
        <x:f>IF(OR(R1368="unavailable",T1368="unavailable"),"不可评价",IF(AND(R1368="positive",T1368="positive"),"a",IF(T1368="positive","b",IF(R1368="positive","c","d"))))</x:f>
        <x:v>d</x:v>
      </x:c>
      <x:c r="AE1368" s="12" t="str">
        <x:f>IF(OR(W1368="unavailable",Y1368="unavailable"),"不可评价",IF(AND(OR(W1368="positive",W1368="equivocal"),OR(Y1368="positive",Y1368="equivocal")),"a",IF(OR(Y1368="positive",Y1368="equivocal"),"b",IF(OR(W1368="positive",W1368="equivocal"),"c","d"))))</x:f>
        <x:v>d</x:v>
      </x:c>
      <x:c r="AF1368" s="12" t="str">
        <x:f>IF(OR(W1368="unavailable",Y1368="unavailable"),"不可评价",IF(AND(W1368="positive",Y1368="positive"),"a",IF(Y1368="positive","b",IF(W1368="positive","c","d"))))</x:f>
        <x:v>d</x:v>
      </x:c>
    </x:row>
    <x:row r="1369" ht="24" customHeight="1">
      <x:c r="A1369" s="12" t="str">
        <x:v>12478</x:v>
      </x:c>
      <x:c r="B1369" s="12" t="str">
        <x:v>1503</x:v>
      </x:c>
      <x:c r="C1369" s="21" t="n">
        <x:v>34532.399189814816</x:v>
      </x:c>
      <x:c r="D1369" s="12" t="n">
        <x:v>50</x:v>
      </x:c>
      <x:c r="E1369" s="12" t="n">
        <x:v>0</x:v>
      </x:c>
      <x:c r="F1369" s="12" t="str">
        <x:v>未记录</x:v>
      </x:c>
      <x:c r="G1369" s="12" t="n">
        <x:v>1</x:v>
      </x:c>
      <x:c r="H1369" s="12" t="str">
        <x:v>{'NORM': 100.0, 'SR': 0.0}</x:v>
      </x:c>
      <x:c r="I1369" s="12" t="str">
        <x:v>[('NSR', 100.0), ('NML', 100.0)]</x:v>
      </x:c>
      <x:c r="J1369" s="12" t="str">
        <x:v>ptbxl_database.csv；ecg_id=12478；scp_codes</x:v>
      </x:c>
      <x:c r="K1369" s="12" t="str">
        <x:v>12sl_statements.csv；ecg_id=12478；statements_ext_snomed</x:v>
      </x:c>
      <x:c r="L1369" s="12"/>
      <x:c r="M1369" s="12" t="str">
        <x:v>negative</x:v>
      </x:c>
      <x:c r="N1369" s="12"/>
      <x:c r="O1369" s="12" t="str">
        <x:v>negative</x:v>
      </x:c>
      <x:c r="P1369" s="12" t="str">
        <x:f>IF(OR(M1369="unavailable",O1369="unavailable"),"不可评价",IF(OR(M1369="equivocal",O1369="equivocal"),"疑似",IF(AND(M1369="positive",O1369="positive"),"a",IF(O1369="positive","b",IF(M1369="positive","c","d")))))</x:f>
        <x:v>d</x:v>
      </x:c>
      <x:c r="Q1369" s="12"/>
      <x:c r="R1369" s="12" t="str">
        <x:v>negative</x:v>
      </x:c>
      <x:c r="S1369" s="12"/>
      <x:c r="T1369" s="12" t="str">
        <x:v>negative</x:v>
      </x:c>
      <x:c r="U1369" s="12" t="str">
        <x:f>IF(OR(R1369="unavailable",T1369="unavailable"),"不可评价",IF(OR(R1369="equivocal",T1369="equivocal"),"疑似",IF(AND(R1369="positive",T1369="positive"),"a",IF(T1369="positive","b",IF(R1369="positive","c","d")))))</x:f>
        <x:v>d</x:v>
      </x:c>
      <x:c r="V1369" s="12"/>
      <x:c r="W1369" s="12" t="str">
        <x:v>negative</x:v>
      </x:c>
      <x:c r="X1369" s="12"/>
      <x:c r="Y1369" s="12" t="str">
        <x:v>negative</x:v>
      </x:c>
      <x:c r="Z1369" s="12" t="str">
        <x:f>IF(OR(W1369="unavailable",Y1369="unavailable"),"不可评价",IF(OR(W1369="equivocal",Y1369="equivocal"),"疑似",IF(AND(W1369="positive",Y1369="positive"),"a",IF(Y1369="positive","b",IF(W1369="positive","c","d")))))</x:f>
        <x:v>d</x:v>
      </x:c>
      <x:c r="AA1369" s="12" t="str">
        <x:f>IF(OR(M1369="unavailable",O1369="unavailable"),"不可评价",IF(AND(OR(M1369="positive",M1369="equivocal"),OR(O1369="positive",O1369="equivocal")),"a",IF(OR(O1369="positive",O1369="equivocal"),"b",IF(OR(M1369="positive",M1369="equivocal"),"c","d"))))</x:f>
        <x:v>d</x:v>
      </x:c>
      <x:c r="AB1369" s="12" t="str">
        <x:f>IF(OR(M1369="unavailable",O1369="unavailable"),"不可评价",IF(AND(M1369="positive",O1369="positive"),"a",IF(O1369="positive","b",IF(M1369="positive","c","d"))))</x:f>
        <x:v>d</x:v>
      </x:c>
      <x:c r="AC1369" s="12" t="str">
        <x:f>IF(OR(R1369="unavailable",T1369="unavailable"),"不可评价",IF(AND(OR(R1369="positive",R1369="equivocal"),OR(T1369="positive",T1369="equivocal")),"a",IF(OR(T1369="positive",T1369="equivocal"),"b",IF(OR(R1369="positive",R1369="equivocal"),"c","d"))))</x:f>
        <x:v>d</x:v>
      </x:c>
      <x:c r="AD1369" s="12" t="str">
        <x:f>IF(OR(R1369="unavailable",T1369="unavailable"),"不可评价",IF(AND(R1369="positive",T1369="positive"),"a",IF(T1369="positive","b",IF(R1369="positive","c","d"))))</x:f>
        <x:v>d</x:v>
      </x:c>
      <x:c r="AE1369" s="12" t="str">
        <x:f>IF(OR(W1369="unavailable",Y1369="unavailable"),"不可评价",IF(AND(OR(W1369="positive",W1369="equivocal"),OR(Y1369="positive",Y1369="equivocal")),"a",IF(OR(Y1369="positive",Y1369="equivocal"),"b",IF(OR(W1369="positive",W1369="equivocal"),"c","d"))))</x:f>
        <x:v>d</x:v>
      </x:c>
      <x:c r="AF1369" s="12" t="str">
        <x:f>IF(OR(W1369="unavailable",Y1369="unavailable"),"不可评价",IF(AND(W1369="positive",Y1369="positive"),"a",IF(Y1369="positive","b",IF(W1369="positive","c","d"))))</x:f>
        <x:v>d</x:v>
      </x:c>
    </x:row>
    <x:row r="1370" ht="24" customHeight="1">
      <x:c r="A1370" s="12" t="str">
        <x:v>12480</x:v>
      </x:c>
      <x:c r="B1370" s="12" t="str">
        <x:v>5042</x:v>
      </x:c>
      <x:c r="C1370" s="21" t="n">
        <x:v>34532.46640046296</x:v>
      </x:c>
      <x:c r="D1370" s="12" t="n">
        <x:v>68</x:v>
      </x:c>
      <x:c r="E1370" s="12" t="n">
        <x:v>1</x:v>
      </x:c>
      <x:c r="F1370" s="12" t="str">
        <x:v>未记录</x:v>
      </x:c>
      <x:c r="G1370" s="12" t="n">
        <x:v>1</x:v>
      </x:c>
      <x:c r="H1370" s="12" t="str">
        <x:v>{'NORM': 100.0, 'SR': 0.0}</x:v>
      </x:c>
      <x:c r="I1370" s="12" t="str">
        <x:v>[('NSR', 100.0), ('NML', 100.0)]</x:v>
      </x:c>
      <x:c r="J1370" s="12" t="str">
        <x:v>ptbxl_database.csv；ecg_id=12480；scp_codes</x:v>
      </x:c>
      <x:c r="K1370" s="12" t="str">
        <x:v>12sl_statements.csv；ecg_id=12480；statements_ext_snomed</x:v>
      </x:c>
      <x:c r="L1370" s="12"/>
      <x:c r="M1370" s="12" t="str">
        <x:v>negative</x:v>
      </x:c>
      <x:c r="N1370" s="12"/>
      <x:c r="O1370" s="12" t="str">
        <x:v>negative</x:v>
      </x:c>
      <x:c r="P1370" s="12" t="str">
        <x:f>IF(OR(M1370="unavailable",O1370="unavailable"),"不可评价",IF(OR(M1370="equivocal",O1370="equivocal"),"疑似",IF(AND(M1370="positive",O1370="positive"),"a",IF(O1370="positive","b",IF(M1370="positive","c","d")))))</x:f>
        <x:v>d</x:v>
      </x:c>
      <x:c r="Q1370" s="12"/>
      <x:c r="R1370" s="12" t="str">
        <x:v>negative</x:v>
      </x:c>
      <x:c r="S1370" s="12"/>
      <x:c r="T1370" s="12" t="str">
        <x:v>negative</x:v>
      </x:c>
      <x:c r="U1370" s="12" t="str">
        <x:f>IF(OR(R1370="unavailable",T1370="unavailable"),"不可评价",IF(OR(R1370="equivocal",T1370="equivocal"),"疑似",IF(AND(R1370="positive",T1370="positive"),"a",IF(T1370="positive","b",IF(R1370="positive","c","d")))))</x:f>
        <x:v>d</x:v>
      </x:c>
      <x:c r="V1370" s="12"/>
      <x:c r="W1370" s="12" t="str">
        <x:v>negative</x:v>
      </x:c>
      <x:c r="X1370" s="12"/>
      <x:c r="Y1370" s="12" t="str">
        <x:v>negative</x:v>
      </x:c>
      <x:c r="Z1370" s="12" t="str">
        <x:f>IF(OR(W1370="unavailable",Y1370="unavailable"),"不可评价",IF(OR(W1370="equivocal",Y1370="equivocal"),"疑似",IF(AND(W1370="positive",Y1370="positive"),"a",IF(Y1370="positive","b",IF(W1370="positive","c","d")))))</x:f>
        <x:v>d</x:v>
      </x:c>
      <x:c r="AA1370" s="12" t="str">
        <x:f>IF(OR(M1370="unavailable",O1370="unavailable"),"不可评价",IF(AND(OR(M1370="positive",M1370="equivocal"),OR(O1370="positive",O1370="equivocal")),"a",IF(OR(O1370="positive",O1370="equivocal"),"b",IF(OR(M1370="positive",M1370="equivocal"),"c","d"))))</x:f>
        <x:v>d</x:v>
      </x:c>
      <x:c r="AB1370" s="12" t="str">
        <x:f>IF(OR(M1370="unavailable",O1370="unavailable"),"不可评价",IF(AND(M1370="positive",O1370="positive"),"a",IF(O1370="positive","b",IF(M1370="positive","c","d"))))</x:f>
        <x:v>d</x:v>
      </x:c>
      <x:c r="AC1370" s="12" t="str">
        <x:f>IF(OR(R1370="unavailable",T1370="unavailable"),"不可评价",IF(AND(OR(R1370="positive",R1370="equivocal"),OR(T1370="positive",T1370="equivocal")),"a",IF(OR(T1370="positive",T1370="equivocal"),"b",IF(OR(R1370="positive",R1370="equivocal"),"c","d"))))</x:f>
        <x:v>d</x:v>
      </x:c>
      <x:c r="AD1370" s="12" t="str">
        <x:f>IF(OR(R1370="unavailable",T1370="unavailable"),"不可评价",IF(AND(R1370="positive",T1370="positive"),"a",IF(T1370="positive","b",IF(R1370="positive","c","d"))))</x:f>
        <x:v>d</x:v>
      </x:c>
      <x:c r="AE1370" s="12" t="str">
        <x:f>IF(OR(W1370="unavailable",Y1370="unavailable"),"不可评价",IF(AND(OR(W1370="positive",W1370="equivocal"),OR(Y1370="positive",Y1370="equivocal")),"a",IF(OR(Y1370="positive",Y1370="equivocal"),"b",IF(OR(W1370="positive",W1370="equivocal"),"c","d"))))</x:f>
        <x:v>d</x:v>
      </x:c>
      <x:c r="AF1370" s="12" t="str">
        <x:f>IF(OR(W1370="unavailable",Y1370="unavailable"),"不可评价",IF(AND(W1370="positive",Y1370="positive"),"a",IF(Y1370="positive","b",IF(W1370="positive","c","d"))))</x:f>
        <x:v>d</x:v>
      </x:c>
    </x:row>
    <x:row r="1371" ht="24" customHeight="1">
      <x:c r="A1371" s="12" t="str">
        <x:v>12516</x:v>
      </x:c>
      <x:c r="B1371" s="12" t="str">
        <x:v>7714</x:v>
      </x:c>
      <x:c r="C1371" s="21" t="n">
        <x:v>34535.4478125</x:v>
      </x:c>
      <x:c r="D1371" s="12" t="n">
        <x:v>82</x:v>
      </x:c>
      <x:c r="E1371" s="12" t="n">
        <x:v>0</x:v>
      </x:c>
      <x:c r="F1371" s="12" t="str">
        <x:v>未记录</x:v>
      </x:c>
      <x:c r="G1371" s="12" t="n">
        <x:v>1</x:v>
      </x:c>
      <x:c r="H1371" s="12" t="str">
        <x:v>{'PACE': 100.0}</x:v>
      </x:c>
      <x:c r="I1371" s="12" t="str">
        <x:v>[('VPR', 100.0), ('AB', 100.0)]</x:v>
      </x:c>
      <x:c r="J1371" s="12" t="str">
        <x:v>ptbxl_database.csv；ecg_id=12516；scp_codes</x:v>
      </x:c>
      <x:c r="K1371" s="12" t="str">
        <x:v>12sl_statements.csv；ecg_id=12516；statements_ext_snomed</x:v>
      </x:c>
      <x:c r="L1371" s="12"/>
      <x:c r="M1371" s="12" t="str">
        <x:v>negative</x:v>
      </x:c>
      <x:c r="N1371" s="12"/>
      <x:c r="O1371" s="12" t="str">
        <x:v>negative</x:v>
      </x:c>
      <x:c r="P1371" s="12" t="str">
        <x:f>IF(OR(M1371="unavailable",O1371="unavailable"),"不可评价",IF(OR(M1371="equivocal",O1371="equivocal"),"疑似",IF(AND(M1371="positive",O1371="positive"),"a",IF(O1371="positive","b",IF(M1371="positive","c","d")))))</x:f>
        <x:v>d</x:v>
      </x:c>
      <x:c r="Q1371" s="12"/>
      <x:c r="R1371" s="12" t="str">
        <x:v>negative</x:v>
      </x:c>
      <x:c r="S1371" s="12"/>
      <x:c r="T1371" s="12" t="str">
        <x:v>negative</x:v>
      </x:c>
      <x:c r="U1371" s="12" t="str">
        <x:f>IF(OR(R1371="unavailable",T1371="unavailable"),"不可评价",IF(OR(R1371="equivocal",T1371="equivocal"),"疑似",IF(AND(R1371="positive",T1371="positive"),"a",IF(T1371="positive","b",IF(R1371="positive","c","d")))))</x:f>
        <x:v>d</x:v>
      </x:c>
      <x:c r="V1371" s="12"/>
      <x:c r="W1371" s="12" t="str">
        <x:v>negative</x:v>
      </x:c>
      <x:c r="X1371" s="12"/>
      <x:c r="Y1371" s="12" t="str">
        <x:v>negative</x:v>
      </x:c>
      <x:c r="Z1371" s="12" t="str">
        <x:f>IF(OR(W1371="unavailable",Y1371="unavailable"),"不可评价",IF(OR(W1371="equivocal",Y1371="equivocal"),"疑似",IF(AND(W1371="positive",Y1371="positive"),"a",IF(Y1371="positive","b",IF(W1371="positive","c","d")))))</x:f>
        <x:v>d</x:v>
      </x:c>
      <x:c r="AA1371" s="12" t="str">
        <x:f>IF(OR(M1371="unavailable",O1371="unavailable"),"不可评价",IF(AND(OR(M1371="positive",M1371="equivocal"),OR(O1371="positive",O1371="equivocal")),"a",IF(OR(O1371="positive",O1371="equivocal"),"b",IF(OR(M1371="positive",M1371="equivocal"),"c","d"))))</x:f>
        <x:v>d</x:v>
      </x:c>
      <x:c r="AB1371" s="12" t="str">
        <x:f>IF(OR(M1371="unavailable",O1371="unavailable"),"不可评价",IF(AND(M1371="positive",O1371="positive"),"a",IF(O1371="positive","b",IF(M1371="positive","c","d"))))</x:f>
        <x:v>d</x:v>
      </x:c>
      <x:c r="AC1371" s="12" t="str">
        <x:f>IF(OR(R1371="unavailable",T1371="unavailable"),"不可评价",IF(AND(OR(R1371="positive",R1371="equivocal"),OR(T1371="positive",T1371="equivocal")),"a",IF(OR(T1371="positive",T1371="equivocal"),"b",IF(OR(R1371="positive",R1371="equivocal"),"c","d"))))</x:f>
        <x:v>d</x:v>
      </x:c>
      <x:c r="AD1371" s="12" t="str">
        <x:f>IF(OR(R1371="unavailable",T1371="unavailable"),"不可评价",IF(AND(R1371="positive",T1371="positive"),"a",IF(T1371="positive","b",IF(R1371="positive","c","d"))))</x:f>
        <x:v>d</x:v>
      </x:c>
      <x:c r="AE1371" s="12" t="str">
        <x:f>IF(OR(W1371="unavailable",Y1371="unavailable"),"不可评价",IF(AND(OR(W1371="positive",W1371="equivocal"),OR(Y1371="positive",Y1371="equivocal")),"a",IF(OR(Y1371="positive",Y1371="equivocal"),"b",IF(OR(W1371="positive",W1371="equivocal"),"c","d"))))</x:f>
        <x:v>d</x:v>
      </x:c>
      <x:c r="AF1371" s="12" t="str">
        <x:f>IF(OR(W1371="unavailable",Y1371="unavailable"),"不可评价",IF(AND(W1371="positive",Y1371="positive"),"a",IF(Y1371="positive","b",IF(W1371="positive","c","d"))))</x:f>
        <x:v>d</x:v>
      </x:c>
    </x:row>
    <x:row r="1372" ht="24" customHeight="1">
      <x:c r="A1372" s="12" t="str">
        <x:v>12519</x:v>
      </x:c>
      <x:c r="B1372" s="12" t="str">
        <x:v>511</x:v>
      </x:c>
      <x:c r="C1372" s="21" t="n">
        <x:v>34535.61083333333</x:v>
      </x:c>
      <x:c r="D1372" s="12" t="n">
        <x:v>81</x:v>
      </x:c>
      <x:c r="E1372" s="12" t="n">
        <x:v>1</x:v>
      </x:c>
      <x:c r="F1372" s="12" t="str">
        <x:v>未记录</x:v>
      </x:c>
      <x:c r="G1372" s="12" t="n">
        <x:v>0</x:v>
      </x:c>
      <x:c r="H1372" s="12" t="str">
        <x:v>{'NDT': 100.0, 'NT_': 0.0, 'LPR': 0.0, 'SR': 0.0}</x:v>
      </x:c>
      <x:c r="I1372" s="12" t="str">
        <x:v>[('SRTH', 100.0), ('FAV', 100.0), ('NSTT', 100.0), ('AB', 100.0)]</x:v>
      </x:c>
      <x:c r="J1372" s="12" t="str">
        <x:v>ptbxl_database.csv；ecg_id=12519；scp_codes</x:v>
      </x:c>
      <x:c r="K1372" s="12" t="str">
        <x:v>12sl_statements.csv；ecg_id=12519；statements_ext_snomed</x:v>
      </x:c>
      <x:c r="L1372" s="12"/>
      <x:c r="M1372" s="12" t="str">
        <x:v>negative</x:v>
      </x:c>
      <x:c r="N1372" s="12"/>
      <x:c r="O1372" s="12" t="str">
        <x:v>negative</x:v>
      </x:c>
      <x:c r="P1372" s="12" t="str">
        <x:f>IF(OR(M1372="unavailable",O1372="unavailable"),"不可评价",IF(OR(M1372="equivocal",O1372="equivocal"),"疑似",IF(AND(M1372="positive",O1372="positive"),"a",IF(O1372="positive","b",IF(M1372="positive","c","d")))))</x:f>
        <x:v>d</x:v>
      </x:c>
      <x:c r="Q1372" s="12"/>
      <x:c r="R1372" s="12" t="str">
        <x:v>negative</x:v>
      </x:c>
      <x:c r="S1372" s="12"/>
      <x:c r="T1372" s="12" t="str">
        <x:v>negative</x:v>
      </x:c>
      <x:c r="U1372" s="12" t="str">
        <x:f>IF(OR(R1372="unavailable",T1372="unavailable"),"不可评价",IF(OR(R1372="equivocal",T1372="equivocal"),"疑似",IF(AND(R1372="positive",T1372="positive"),"a",IF(T1372="positive","b",IF(R1372="positive","c","d")))))</x:f>
        <x:v>d</x:v>
      </x:c>
      <x:c r="V1372" s="12"/>
      <x:c r="W1372" s="12" t="str">
        <x:v>negative</x:v>
      </x:c>
      <x:c r="X1372" s="12"/>
      <x:c r="Y1372" s="12" t="str">
        <x:v>negative</x:v>
      </x:c>
      <x:c r="Z1372" s="12" t="str">
        <x:f>IF(OR(W1372="unavailable",Y1372="unavailable"),"不可评价",IF(OR(W1372="equivocal",Y1372="equivocal"),"疑似",IF(AND(W1372="positive",Y1372="positive"),"a",IF(Y1372="positive","b",IF(W1372="positive","c","d")))))</x:f>
        <x:v>d</x:v>
      </x:c>
      <x:c r="AA1372" s="12" t="str">
        <x:f>IF(OR(M1372="unavailable",O1372="unavailable"),"不可评价",IF(AND(OR(M1372="positive",M1372="equivocal"),OR(O1372="positive",O1372="equivocal")),"a",IF(OR(O1372="positive",O1372="equivocal"),"b",IF(OR(M1372="positive",M1372="equivocal"),"c","d"))))</x:f>
        <x:v>d</x:v>
      </x:c>
      <x:c r="AB1372" s="12" t="str">
        <x:f>IF(OR(M1372="unavailable",O1372="unavailable"),"不可评价",IF(AND(M1372="positive",O1372="positive"),"a",IF(O1372="positive","b",IF(M1372="positive","c","d"))))</x:f>
        <x:v>d</x:v>
      </x:c>
      <x:c r="AC1372" s="12" t="str">
        <x:f>IF(OR(R1372="unavailable",T1372="unavailable"),"不可评价",IF(AND(OR(R1372="positive",R1372="equivocal"),OR(T1372="positive",T1372="equivocal")),"a",IF(OR(T1372="positive",T1372="equivocal"),"b",IF(OR(R1372="positive",R1372="equivocal"),"c","d"))))</x:f>
        <x:v>d</x:v>
      </x:c>
      <x:c r="AD1372" s="12" t="str">
        <x:f>IF(OR(R1372="unavailable",T1372="unavailable"),"不可评价",IF(AND(R1372="positive",T1372="positive"),"a",IF(T1372="positive","b",IF(R1372="positive","c","d"))))</x:f>
        <x:v>d</x:v>
      </x:c>
      <x:c r="AE1372" s="12" t="str">
        <x:f>IF(OR(W1372="unavailable",Y1372="unavailable"),"不可评价",IF(AND(OR(W1372="positive",W1372="equivocal"),OR(Y1372="positive",Y1372="equivocal")),"a",IF(OR(Y1372="positive",Y1372="equivocal"),"b",IF(OR(W1372="positive",W1372="equivocal"),"c","d"))))</x:f>
        <x:v>d</x:v>
      </x:c>
      <x:c r="AF1372" s="12" t="str">
        <x:f>IF(OR(W1372="unavailable",Y1372="unavailable"),"不可评价",IF(AND(W1372="positive",Y1372="positive"),"a",IF(Y1372="positive","b",IF(W1372="positive","c","d"))))</x:f>
        <x:v>d</x:v>
      </x:c>
    </x:row>
    <x:row r="1373" ht="24" customHeight="1">
      <x:c r="A1373" s="12" t="str">
        <x:v>12520</x:v>
      </x:c>
      <x:c r="B1373" s="12" t="str">
        <x:v>17381</x:v>
      </x:c>
      <x:c r="C1373" s="21" t="n">
        <x:v>34535.61693287037</x:v>
      </x:c>
      <x:c r="D1373" s="12" t="n">
        <x:v>55</x:v>
      </x:c>
      <x:c r="E1373" s="12" t="n">
        <x:v>1</x:v>
      </x:c>
      <x:c r="F1373" s="12" t="str">
        <x:v>存在</x:v>
      </x:c>
      <x:c r="G1373" s="12" t="n">
        <x:v>0</x:v>
      </x:c>
      <x:c r="H1373" s="12" t="str">
        <x:v>{'NORM': 80.0, 'SR': 0.0}</x:v>
      </x:c>
      <x:c r="I1373" s="12" t="str">
        <x:v>[('NSR', 100.0), ('NML', 100.0)]</x:v>
      </x:c>
      <x:c r="J1373" s="12" t="str">
        <x:v>ptbxl_database.csv；ecg_id=12520；scp_codes</x:v>
      </x:c>
      <x:c r="K1373" s="12" t="str">
        <x:v>12sl_statements.csv；ecg_id=12520；statements_ext_snomed</x:v>
      </x:c>
      <x:c r="L1373" s="12"/>
      <x:c r="M1373" s="12" t="str">
        <x:v>negative</x:v>
      </x:c>
      <x:c r="N1373" s="12"/>
      <x:c r="O1373" s="12" t="str">
        <x:v>negative</x:v>
      </x:c>
      <x:c r="P1373" s="12" t="str">
        <x:f>IF(OR(M1373="unavailable",O1373="unavailable"),"不可评价",IF(OR(M1373="equivocal",O1373="equivocal"),"疑似",IF(AND(M1373="positive",O1373="positive"),"a",IF(O1373="positive","b",IF(M1373="positive","c","d")))))</x:f>
        <x:v>d</x:v>
      </x:c>
      <x:c r="Q1373" s="12"/>
      <x:c r="R1373" s="12" t="str">
        <x:v>negative</x:v>
      </x:c>
      <x:c r="S1373" s="12"/>
      <x:c r="T1373" s="12" t="str">
        <x:v>negative</x:v>
      </x:c>
      <x:c r="U1373" s="12" t="str">
        <x:f>IF(OR(R1373="unavailable",T1373="unavailable"),"不可评价",IF(OR(R1373="equivocal",T1373="equivocal"),"疑似",IF(AND(R1373="positive",T1373="positive"),"a",IF(T1373="positive","b",IF(R1373="positive","c","d")))))</x:f>
        <x:v>d</x:v>
      </x:c>
      <x:c r="V1373" s="12"/>
      <x:c r="W1373" s="12" t="str">
        <x:v>negative</x:v>
      </x:c>
      <x:c r="X1373" s="12"/>
      <x:c r="Y1373" s="12" t="str">
        <x:v>negative</x:v>
      </x:c>
      <x:c r="Z1373" s="12" t="str">
        <x:f>IF(OR(W1373="unavailable",Y1373="unavailable"),"不可评价",IF(OR(W1373="equivocal",Y1373="equivocal"),"疑似",IF(AND(W1373="positive",Y1373="positive"),"a",IF(Y1373="positive","b",IF(W1373="positive","c","d")))))</x:f>
        <x:v>d</x:v>
      </x:c>
      <x:c r="AA1373" s="12" t="str">
        <x:f>IF(OR(M1373="unavailable",O1373="unavailable"),"不可评价",IF(AND(OR(M1373="positive",M1373="equivocal"),OR(O1373="positive",O1373="equivocal")),"a",IF(OR(O1373="positive",O1373="equivocal"),"b",IF(OR(M1373="positive",M1373="equivocal"),"c","d"))))</x:f>
        <x:v>d</x:v>
      </x:c>
      <x:c r="AB1373" s="12" t="str">
        <x:f>IF(OR(M1373="unavailable",O1373="unavailable"),"不可评价",IF(AND(M1373="positive",O1373="positive"),"a",IF(O1373="positive","b",IF(M1373="positive","c","d"))))</x:f>
        <x:v>d</x:v>
      </x:c>
      <x:c r="AC1373" s="12" t="str">
        <x:f>IF(OR(R1373="unavailable",T1373="unavailable"),"不可评价",IF(AND(OR(R1373="positive",R1373="equivocal"),OR(T1373="positive",T1373="equivocal")),"a",IF(OR(T1373="positive",T1373="equivocal"),"b",IF(OR(R1373="positive",R1373="equivocal"),"c","d"))))</x:f>
        <x:v>d</x:v>
      </x:c>
      <x:c r="AD1373" s="12" t="str">
        <x:f>IF(OR(R1373="unavailable",T1373="unavailable"),"不可评价",IF(AND(R1373="positive",T1373="positive"),"a",IF(T1373="positive","b",IF(R1373="positive","c","d"))))</x:f>
        <x:v>d</x:v>
      </x:c>
      <x:c r="AE1373" s="12" t="str">
        <x:f>IF(OR(W1373="unavailable",Y1373="unavailable"),"不可评价",IF(AND(OR(W1373="positive",W1373="equivocal"),OR(Y1373="positive",Y1373="equivocal")),"a",IF(OR(Y1373="positive",Y1373="equivocal"),"b",IF(OR(W1373="positive",W1373="equivocal"),"c","d"))))</x:f>
        <x:v>d</x:v>
      </x:c>
      <x:c r="AF1373" s="12" t="str">
        <x:f>IF(OR(W1373="unavailable",Y1373="unavailable"),"不可评价",IF(AND(W1373="positive",Y1373="positive"),"a",IF(Y1373="positive","b",IF(W1373="positive","c","d"))))</x:f>
        <x:v>d</x:v>
      </x:c>
    </x:row>
    <x:row r="1374" ht="24" customHeight="1">
      <x:c r="A1374" s="12" t="str">
        <x:v>12521</x:v>
      </x:c>
      <x:c r="B1374" s="12" t="str">
        <x:v>502</x:v>
      </x:c>
      <x:c r="C1374" s="21" t="n">
        <x:v>34535.627858796295</x:v>
      </x:c>
      <x:c r="D1374" s="12" t="n">
        <x:v>82</x:v>
      </x:c>
      <x:c r="E1374" s="12" t="n">
        <x:v>1</x:v>
      </x:c>
      <x:c r="F1374" s="12" t="str">
        <x:v>存在</x:v>
      </x:c>
      <x:c r="G1374" s="12" t="n">
        <x:v>1</x:v>
      </x:c>
      <x:c r="H1374" s="12" t="str">
        <x:v>{'ASMI': 15.0, 'STD_': 0.0, 'STACH': 0.0}</x:v>
      </x:c>
      <x:c r="I1374" s="12" t="str">
        <x:v>[('STACH', 100.0), ('PVC', 100.0), ('LSBINJ', 100.0), ('AB', 100.0)]</x:v>
      </x:c>
      <x:c r="J1374" s="12" t="str">
        <x:v>ptbxl_database.csv；ecg_id=12521；scp_codes</x:v>
      </x:c>
      <x:c r="K1374" s="12" t="str">
        <x:v>12sl_statements.csv；ecg_id=12521；statements_ext_snomed</x:v>
      </x:c>
      <x:c r="L1374" s="12"/>
      <x:c r="M1374" s="12" t="str">
        <x:v>negative</x:v>
      </x:c>
      <x:c r="N1374" s="12"/>
      <x:c r="O1374" s="12" t="str">
        <x:v>negative</x:v>
      </x:c>
      <x:c r="P1374" s="12" t="str">
        <x:f>IF(OR(M1374="unavailable",O1374="unavailable"),"不可评价",IF(OR(M1374="equivocal",O1374="equivocal"),"疑似",IF(AND(M1374="positive",O1374="positive"),"a",IF(O1374="positive","b",IF(M1374="positive","c","d")))))</x:f>
        <x:v>d</x:v>
      </x:c>
      <x:c r="Q1374" s="12"/>
      <x:c r="R1374" s="12" t="str">
        <x:v>negative</x:v>
      </x:c>
      <x:c r="S1374" s="12"/>
      <x:c r="T1374" s="12" t="str">
        <x:v>negative</x:v>
      </x:c>
      <x:c r="U1374" s="12" t="str">
        <x:f>IF(OR(R1374="unavailable",T1374="unavailable"),"不可评价",IF(OR(R1374="equivocal",T1374="equivocal"),"疑似",IF(AND(R1374="positive",T1374="positive"),"a",IF(T1374="positive","b",IF(R1374="positive","c","d")))))</x:f>
        <x:v>d</x:v>
      </x:c>
      <x:c r="V1374" s="12"/>
      <x:c r="W1374" s="12" t="str">
        <x:v>negative</x:v>
      </x:c>
      <x:c r="X1374" s="12"/>
      <x:c r="Y1374" s="12" t="str">
        <x:v>negative</x:v>
      </x:c>
      <x:c r="Z1374" s="12" t="str">
        <x:f>IF(OR(W1374="unavailable",Y1374="unavailable"),"不可评价",IF(OR(W1374="equivocal",Y1374="equivocal"),"疑似",IF(AND(W1374="positive",Y1374="positive"),"a",IF(Y1374="positive","b",IF(W1374="positive","c","d")))))</x:f>
        <x:v>d</x:v>
      </x:c>
      <x:c r="AA1374" s="12" t="str">
        <x:f>IF(OR(M1374="unavailable",O1374="unavailable"),"不可评价",IF(AND(OR(M1374="positive",M1374="equivocal"),OR(O1374="positive",O1374="equivocal")),"a",IF(OR(O1374="positive",O1374="equivocal"),"b",IF(OR(M1374="positive",M1374="equivocal"),"c","d"))))</x:f>
        <x:v>d</x:v>
      </x:c>
      <x:c r="AB1374" s="12" t="str">
        <x:f>IF(OR(M1374="unavailable",O1374="unavailable"),"不可评价",IF(AND(M1374="positive",O1374="positive"),"a",IF(O1374="positive","b",IF(M1374="positive","c","d"))))</x:f>
        <x:v>d</x:v>
      </x:c>
      <x:c r="AC1374" s="12" t="str">
        <x:f>IF(OR(R1374="unavailable",T1374="unavailable"),"不可评价",IF(AND(OR(R1374="positive",R1374="equivocal"),OR(T1374="positive",T1374="equivocal")),"a",IF(OR(T1374="positive",T1374="equivocal"),"b",IF(OR(R1374="positive",R1374="equivocal"),"c","d"))))</x:f>
        <x:v>d</x:v>
      </x:c>
      <x:c r="AD1374" s="12" t="str">
        <x:f>IF(OR(R1374="unavailable",T1374="unavailable"),"不可评价",IF(AND(R1374="positive",T1374="positive"),"a",IF(T1374="positive","b",IF(R1374="positive","c","d"))))</x:f>
        <x:v>d</x:v>
      </x:c>
      <x:c r="AE1374" s="12" t="str">
        <x:f>IF(OR(W1374="unavailable",Y1374="unavailable"),"不可评价",IF(AND(OR(W1374="positive",W1374="equivocal"),OR(Y1374="positive",Y1374="equivocal")),"a",IF(OR(Y1374="positive",Y1374="equivocal"),"b",IF(OR(W1374="positive",W1374="equivocal"),"c","d"))))</x:f>
        <x:v>d</x:v>
      </x:c>
      <x:c r="AF1374" s="12" t="str">
        <x:f>IF(OR(W1374="unavailable",Y1374="unavailable"),"不可评价",IF(AND(W1374="positive",Y1374="positive"),"a",IF(Y1374="positive","b",IF(W1374="positive","c","d"))))</x:f>
        <x:v>d</x:v>
      </x:c>
    </x:row>
    <x:row r="1375" ht="24" customHeight="1">
      <x:c r="A1375" s="12" t="str">
        <x:v>12528</x:v>
      </x:c>
      <x:c r="B1375" s="12" t="str">
        <x:v>4244</x:v>
      </x:c>
      <x:c r="C1375" s="21" t="n">
        <x:v>34536.46728009259</x:v>
      </x:c>
      <x:c r="D1375" s="12" t="n">
        <x:v>59</x:v>
      </x:c>
      <x:c r="E1375" s="12" t="n">
        <x:v>0</x:v>
      </x:c>
      <x:c r="F1375" s="12" t="str">
        <x:v>未记录</x:v>
      </x:c>
      <x:c r="G1375" s="12" t="n">
        <x:v>1</x:v>
      </x:c>
      <x:c r="H1375" s="12" t="str">
        <x:v>{'NORM': 100.0, 'SR': 0.0}</x:v>
      </x:c>
      <x:c r="I1375" s="12" t="str">
        <x:v>[('NSR', 100.0), ('NML', 100.0)]</x:v>
      </x:c>
      <x:c r="J1375" s="12" t="str">
        <x:v>ptbxl_database.csv；ecg_id=12528；scp_codes</x:v>
      </x:c>
      <x:c r="K1375" s="12" t="str">
        <x:v>12sl_statements.csv；ecg_id=12528；statements_ext_snomed</x:v>
      </x:c>
      <x:c r="L1375" s="12"/>
      <x:c r="M1375" s="12" t="str">
        <x:v>negative</x:v>
      </x:c>
      <x:c r="N1375" s="12"/>
      <x:c r="O1375" s="12" t="str">
        <x:v>negative</x:v>
      </x:c>
      <x:c r="P1375" s="12" t="str">
        <x:f>IF(OR(M1375="unavailable",O1375="unavailable"),"不可评价",IF(OR(M1375="equivocal",O1375="equivocal"),"疑似",IF(AND(M1375="positive",O1375="positive"),"a",IF(O1375="positive","b",IF(M1375="positive","c","d")))))</x:f>
        <x:v>d</x:v>
      </x:c>
      <x:c r="Q1375" s="12"/>
      <x:c r="R1375" s="12" t="str">
        <x:v>negative</x:v>
      </x:c>
      <x:c r="S1375" s="12"/>
      <x:c r="T1375" s="12" t="str">
        <x:v>negative</x:v>
      </x:c>
      <x:c r="U1375" s="12" t="str">
        <x:f>IF(OR(R1375="unavailable",T1375="unavailable"),"不可评价",IF(OR(R1375="equivocal",T1375="equivocal"),"疑似",IF(AND(R1375="positive",T1375="positive"),"a",IF(T1375="positive","b",IF(R1375="positive","c","d")))))</x:f>
        <x:v>d</x:v>
      </x:c>
      <x:c r="V1375" s="12"/>
      <x:c r="W1375" s="12" t="str">
        <x:v>negative</x:v>
      </x:c>
      <x:c r="X1375" s="12"/>
      <x:c r="Y1375" s="12" t="str">
        <x:v>negative</x:v>
      </x:c>
      <x:c r="Z1375" s="12" t="str">
        <x:f>IF(OR(W1375="unavailable",Y1375="unavailable"),"不可评价",IF(OR(W1375="equivocal",Y1375="equivocal"),"疑似",IF(AND(W1375="positive",Y1375="positive"),"a",IF(Y1375="positive","b",IF(W1375="positive","c","d")))))</x:f>
        <x:v>d</x:v>
      </x:c>
      <x:c r="AA1375" s="12" t="str">
        <x:f>IF(OR(M1375="unavailable",O1375="unavailable"),"不可评价",IF(AND(OR(M1375="positive",M1375="equivocal"),OR(O1375="positive",O1375="equivocal")),"a",IF(OR(O1375="positive",O1375="equivocal"),"b",IF(OR(M1375="positive",M1375="equivocal"),"c","d"))))</x:f>
        <x:v>d</x:v>
      </x:c>
      <x:c r="AB1375" s="12" t="str">
        <x:f>IF(OR(M1375="unavailable",O1375="unavailable"),"不可评价",IF(AND(M1375="positive",O1375="positive"),"a",IF(O1375="positive","b",IF(M1375="positive","c","d"))))</x:f>
        <x:v>d</x:v>
      </x:c>
      <x:c r="AC1375" s="12" t="str">
        <x:f>IF(OR(R1375="unavailable",T1375="unavailable"),"不可评价",IF(AND(OR(R1375="positive",R1375="equivocal"),OR(T1375="positive",T1375="equivocal")),"a",IF(OR(T1375="positive",T1375="equivocal"),"b",IF(OR(R1375="positive",R1375="equivocal"),"c","d"))))</x:f>
        <x:v>d</x:v>
      </x:c>
      <x:c r="AD1375" s="12" t="str">
        <x:f>IF(OR(R1375="unavailable",T1375="unavailable"),"不可评价",IF(AND(R1375="positive",T1375="positive"),"a",IF(T1375="positive","b",IF(R1375="positive","c","d"))))</x:f>
        <x:v>d</x:v>
      </x:c>
      <x:c r="AE1375" s="12" t="str">
        <x:f>IF(OR(W1375="unavailable",Y1375="unavailable"),"不可评价",IF(AND(OR(W1375="positive",W1375="equivocal"),OR(Y1375="positive",Y1375="equivocal")),"a",IF(OR(Y1375="positive",Y1375="equivocal"),"b",IF(OR(W1375="positive",W1375="equivocal"),"c","d"))))</x:f>
        <x:v>d</x:v>
      </x:c>
      <x:c r="AF1375" s="12" t="str">
        <x:f>IF(OR(W1375="unavailable",Y1375="unavailable"),"不可评价",IF(AND(W1375="positive",Y1375="positive"),"a",IF(Y1375="positive","b",IF(W1375="positive","c","d"))))</x:f>
        <x:v>d</x:v>
      </x:c>
    </x:row>
    <x:row r="1376" ht="24" customHeight="1">
      <x:c r="A1376" s="12" t="str">
        <x:v>12529</x:v>
      </x:c>
      <x:c r="B1376" s="12" t="str">
        <x:v>3673</x:v>
      </x:c>
      <x:c r="C1376" s="21" t="n">
        <x:v>34536.48905092593</x:v>
      </x:c>
      <x:c r="D1376" s="12" t="n">
        <x:v>44</x:v>
      </x:c>
      <x:c r="E1376" s="12" t="n">
        <x:v>1</x:v>
      </x:c>
      <x:c r="F1376" s="12" t="str">
        <x:v>未记录</x:v>
      </x:c>
      <x:c r="G1376" s="12" t="n">
        <x:v>1</x:v>
      </x:c>
      <x:c r="H1376" s="12" t="str">
        <x:v>{'NORM': 100.0, 'SR': 0.0}</x:v>
      </x:c>
      <x:c r="I1376" s="12" t="str">
        <x:v>[('NSR', 100.0), ('NML', 100.0)]</x:v>
      </x:c>
      <x:c r="J1376" s="12" t="str">
        <x:v>ptbxl_database.csv；ecg_id=12529；scp_codes</x:v>
      </x:c>
      <x:c r="K1376" s="12" t="str">
        <x:v>12sl_statements.csv；ecg_id=12529；statements_ext_snomed</x:v>
      </x:c>
      <x:c r="L1376" s="12"/>
      <x:c r="M1376" s="12" t="str">
        <x:v>negative</x:v>
      </x:c>
      <x:c r="N1376" s="12"/>
      <x:c r="O1376" s="12" t="str">
        <x:v>negative</x:v>
      </x:c>
      <x:c r="P1376" s="12" t="str">
        <x:f>IF(OR(M1376="unavailable",O1376="unavailable"),"不可评价",IF(OR(M1376="equivocal",O1376="equivocal"),"疑似",IF(AND(M1376="positive",O1376="positive"),"a",IF(O1376="positive","b",IF(M1376="positive","c","d")))))</x:f>
        <x:v>d</x:v>
      </x:c>
      <x:c r="Q1376" s="12"/>
      <x:c r="R1376" s="12" t="str">
        <x:v>negative</x:v>
      </x:c>
      <x:c r="S1376" s="12"/>
      <x:c r="T1376" s="12" t="str">
        <x:v>negative</x:v>
      </x:c>
      <x:c r="U1376" s="12" t="str">
        <x:f>IF(OR(R1376="unavailable",T1376="unavailable"),"不可评价",IF(OR(R1376="equivocal",T1376="equivocal"),"疑似",IF(AND(R1376="positive",T1376="positive"),"a",IF(T1376="positive","b",IF(R1376="positive","c","d")))))</x:f>
        <x:v>d</x:v>
      </x:c>
      <x:c r="V1376" s="12"/>
      <x:c r="W1376" s="12" t="str">
        <x:v>negative</x:v>
      </x:c>
      <x:c r="X1376" s="12"/>
      <x:c r="Y1376" s="12" t="str">
        <x:v>negative</x:v>
      </x:c>
      <x:c r="Z1376" s="12" t="str">
        <x:f>IF(OR(W1376="unavailable",Y1376="unavailable"),"不可评价",IF(OR(W1376="equivocal",Y1376="equivocal"),"疑似",IF(AND(W1376="positive",Y1376="positive"),"a",IF(Y1376="positive","b",IF(W1376="positive","c","d")))))</x:f>
        <x:v>d</x:v>
      </x:c>
      <x:c r="AA1376" s="12" t="str">
        <x:f>IF(OR(M1376="unavailable",O1376="unavailable"),"不可评价",IF(AND(OR(M1376="positive",M1376="equivocal"),OR(O1376="positive",O1376="equivocal")),"a",IF(OR(O1376="positive",O1376="equivocal"),"b",IF(OR(M1376="positive",M1376="equivocal"),"c","d"))))</x:f>
        <x:v>d</x:v>
      </x:c>
      <x:c r="AB1376" s="12" t="str">
        <x:f>IF(OR(M1376="unavailable",O1376="unavailable"),"不可评价",IF(AND(M1376="positive",O1376="positive"),"a",IF(O1376="positive","b",IF(M1376="positive","c","d"))))</x:f>
        <x:v>d</x:v>
      </x:c>
      <x:c r="AC1376" s="12" t="str">
        <x:f>IF(OR(R1376="unavailable",T1376="unavailable"),"不可评价",IF(AND(OR(R1376="positive",R1376="equivocal"),OR(T1376="positive",T1376="equivocal")),"a",IF(OR(T1376="positive",T1376="equivocal"),"b",IF(OR(R1376="positive",R1376="equivocal"),"c","d"))))</x:f>
        <x:v>d</x:v>
      </x:c>
      <x:c r="AD1376" s="12" t="str">
        <x:f>IF(OR(R1376="unavailable",T1376="unavailable"),"不可评价",IF(AND(R1376="positive",T1376="positive"),"a",IF(T1376="positive","b",IF(R1376="positive","c","d"))))</x:f>
        <x:v>d</x:v>
      </x:c>
      <x:c r="AE1376" s="12" t="str">
        <x:f>IF(OR(W1376="unavailable",Y1376="unavailable"),"不可评价",IF(AND(OR(W1376="positive",W1376="equivocal"),OR(Y1376="positive",Y1376="equivocal")),"a",IF(OR(Y1376="positive",Y1376="equivocal"),"b",IF(OR(W1376="positive",W1376="equivocal"),"c","d"))))</x:f>
        <x:v>d</x:v>
      </x:c>
      <x:c r="AF1376" s="12" t="str">
        <x:f>IF(OR(W1376="unavailable",Y1376="unavailable"),"不可评价",IF(AND(W1376="positive",Y1376="positive"),"a",IF(Y1376="positive","b",IF(W1376="positive","c","d"))))</x:f>
        <x:v>d</x:v>
      </x:c>
    </x:row>
    <x:row r="1377" ht="24" customHeight="1">
      <x:c r="A1377" s="12" t="str">
        <x:v>12532</x:v>
      </x:c>
      <x:c r="B1377" s="12" t="str">
        <x:v>357</x:v>
      </x:c>
      <x:c r="C1377" s="21" t="n">
        <x:v>34536.723078703704</x:v>
      </x:c>
      <x:c r="D1377" s="12" t="n">
        <x:v>83</x:v>
      </x:c>
      <x:c r="E1377" s="12" t="n">
        <x:v>1</x:v>
      </x:c>
      <x:c r="F1377" s="12" t="str">
        <x:v>未记录</x:v>
      </x:c>
      <x:c r="G1377" s="12" t="n">
        <x:v>0</x:v>
      </x:c>
      <x:c r="H1377" s="12" t="str">
        <x:v>{'PACE': 100.0}</x:v>
      </x:c>
      <x:c r="I1377" s="12" t="str">
        <x:v>[('VPR', 100.0), ('AB', 100.0)]</x:v>
      </x:c>
      <x:c r="J1377" s="12" t="str">
        <x:v>ptbxl_database.csv；ecg_id=12532；scp_codes</x:v>
      </x:c>
      <x:c r="K1377" s="12" t="str">
        <x:v>12sl_statements.csv；ecg_id=12532；statements_ext_snomed</x:v>
      </x:c>
      <x:c r="L1377" s="12"/>
      <x:c r="M1377" s="12" t="str">
        <x:v>negative</x:v>
      </x:c>
      <x:c r="N1377" s="12"/>
      <x:c r="O1377" s="12" t="str">
        <x:v>negative</x:v>
      </x:c>
      <x:c r="P1377" s="12" t="str">
        <x:f>IF(OR(M1377="unavailable",O1377="unavailable"),"不可评价",IF(OR(M1377="equivocal",O1377="equivocal"),"疑似",IF(AND(M1377="positive",O1377="positive"),"a",IF(O1377="positive","b",IF(M1377="positive","c","d")))))</x:f>
        <x:v>d</x:v>
      </x:c>
      <x:c r="Q1377" s="12"/>
      <x:c r="R1377" s="12" t="str">
        <x:v>negative</x:v>
      </x:c>
      <x:c r="S1377" s="12"/>
      <x:c r="T1377" s="12" t="str">
        <x:v>negative</x:v>
      </x:c>
      <x:c r="U1377" s="12" t="str">
        <x:f>IF(OR(R1377="unavailable",T1377="unavailable"),"不可评价",IF(OR(R1377="equivocal",T1377="equivocal"),"疑似",IF(AND(R1377="positive",T1377="positive"),"a",IF(T1377="positive","b",IF(R1377="positive","c","d")))))</x:f>
        <x:v>d</x:v>
      </x:c>
      <x:c r="V1377" s="12"/>
      <x:c r="W1377" s="12" t="str">
        <x:v>negative</x:v>
      </x:c>
      <x:c r="X1377" s="12"/>
      <x:c r="Y1377" s="12" t="str">
        <x:v>negative</x:v>
      </x:c>
      <x:c r="Z1377" s="12" t="str">
        <x:f>IF(OR(W1377="unavailable",Y1377="unavailable"),"不可评价",IF(OR(W1377="equivocal",Y1377="equivocal"),"疑似",IF(AND(W1377="positive",Y1377="positive"),"a",IF(Y1377="positive","b",IF(W1377="positive","c","d")))))</x:f>
        <x:v>d</x:v>
      </x:c>
      <x:c r="AA1377" s="12" t="str">
        <x:f>IF(OR(M1377="unavailable",O1377="unavailable"),"不可评价",IF(AND(OR(M1377="positive",M1377="equivocal"),OR(O1377="positive",O1377="equivocal")),"a",IF(OR(O1377="positive",O1377="equivocal"),"b",IF(OR(M1377="positive",M1377="equivocal"),"c","d"))))</x:f>
        <x:v>d</x:v>
      </x:c>
      <x:c r="AB1377" s="12" t="str">
        <x:f>IF(OR(M1377="unavailable",O1377="unavailable"),"不可评价",IF(AND(M1377="positive",O1377="positive"),"a",IF(O1377="positive","b",IF(M1377="positive","c","d"))))</x:f>
        <x:v>d</x:v>
      </x:c>
      <x:c r="AC1377" s="12" t="str">
        <x:f>IF(OR(R1377="unavailable",T1377="unavailable"),"不可评价",IF(AND(OR(R1377="positive",R1377="equivocal"),OR(T1377="positive",T1377="equivocal")),"a",IF(OR(T1377="positive",T1377="equivocal"),"b",IF(OR(R1377="positive",R1377="equivocal"),"c","d"))))</x:f>
        <x:v>d</x:v>
      </x:c>
      <x:c r="AD1377" s="12" t="str">
        <x:f>IF(OR(R1377="unavailable",T1377="unavailable"),"不可评价",IF(AND(R1377="positive",T1377="positive"),"a",IF(T1377="positive","b",IF(R1377="positive","c","d"))))</x:f>
        <x:v>d</x:v>
      </x:c>
      <x:c r="AE1377" s="12" t="str">
        <x:f>IF(OR(W1377="unavailable",Y1377="unavailable"),"不可评价",IF(AND(OR(W1377="positive",W1377="equivocal"),OR(Y1377="positive",Y1377="equivocal")),"a",IF(OR(Y1377="positive",Y1377="equivocal"),"b",IF(OR(W1377="positive",W1377="equivocal"),"c","d"))))</x:f>
        <x:v>d</x:v>
      </x:c>
      <x:c r="AF1377" s="12" t="str">
        <x:f>IF(OR(W1377="unavailable",Y1377="unavailable"),"不可评价",IF(AND(W1377="positive",Y1377="positive"),"a",IF(Y1377="positive","b",IF(W1377="positive","c","d"))))</x:f>
        <x:v>d</x:v>
      </x:c>
    </x:row>
    <x:row r="1378" ht="24" customHeight="1">
      <x:c r="A1378" s="12" t="str">
        <x:v>12533</x:v>
      </x:c>
      <x:c r="B1378" s="12" t="str">
        <x:v>21408</x:v>
      </x:c>
      <x:c r="C1378" s="21" t="n">
        <x:v>34536.793217592596</x:v>
      </x:c>
      <x:c r="D1378" s="12" t="n">
        <x:v>60</x:v>
      </x:c>
      <x:c r="E1378" s="12" t="n">
        <x:v>0</x:v>
      </x:c>
      <x:c r="F1378" s="12" t="str">
        <x:v>未记录</x:v>
      </x:c>
      <x:c r="G1378" s="12" t="n">
        <x:v>1</x:v>
      </x:c>
      <x:c r="H1378" s="12" t="str">
        <x:v>{'IMI': 15.0, 'NDT': 100.0, 'ABQRS': 0.0, 'SR': 0.0}</x:v>
      </x:c>
      <x:c r="I1378" s="12" t="str">
        <x:v>[('NSR', 100.0), ('NT', 100.0), ('AB', 100.0)]</x:v>
      </x:c>
      <x:c r="J1378" s="12" t="str">
        <x:v>ptbxl_database.csv；ecg_id=12533；scp_codes</x:v>
      </x:c>
      <x:c r="K1378" s="12" t="str">
        <x:v>12sl_statements.csv；ecg_id=12533；statements_ext_snomed</x:v>
      </x:c>
      <x:c r="L1378" s="12"/>
      <x:c r="M1378" s="12" t="str">
        <x:v>negative</x:v>
      </x:c>
      <x:c r="N1378" s="12"/>
      <x:c r="O1378" s="12" t="str">
        <x:v>negative</x:v>
      </x:c>
      <x:c r="P1378" s="12" t="str">
        <x:f>IF(OR(M1378="unavailable",O1378="unavailable"),"不可评价",IF(OR(M1378="equivocal",O1378="equivocal"),"疑似",IF(AND(M1378="positive",O1378="positive"),"a",IF(O1378="positive","b",IF(M1378="positive","c","d")))))</x:f>
        <x:v>d</x:v>
      </x:c>
      <x:c r="Q1378" s="12"/>
      <x:c r="R1378" s="12" t="str">
        <x:v>negative</x:v>
      </x:c>
      <x:c r="S1378" s="12"/>
      <x:c r="T1378" s="12" t="str">
        <x:v>negative</x:v>
      </x:c>
      <x:c r="U1378" s="12" t="str">
        <x:f>IF(OR(R1378="unavailable",T1378="unavailable"),"不可评价",IF(OR(R1378="equivocal",T1378="equivocal"),"疑似",IF(AND(R1378="positive",T1378="positive"),"a",IF(T1378="positive","b",IF(R1378="positive","c","d")))))</x:f>
        <x:v>d</x:v>
      </x:c>
      <x:c r="V1378" s="12"/>
      <x:c r="W1378" s="12" t="str">
        <x:v>negative</x:v>
      </x:c>
      <x:c r="X1378" s="12"/>
      <x:c r="Y1378" s="12" t="str">
        <x:v>negative</x:v>
      </x:c>
      <x:c r="Z1378" s="12" t="str">
        <x:f>IF(OR(W1378="unavailable",Y1378="unavailable"),"不可评价",IF(OR(W1378="equivocal",Y1378="equivocal"),"疑似",IF(AND(W1378="positive",Y1378="positive"),"a",IF(Y1378="positive","b",IF(W1378="positive","c","d")))))</x:f>
        <x:v>d</x:v>
      </x:c>
      <x:c r="AA1378" s="12" t="str">
        <x:f>IF(OR(M1378="unavailable",O1378="unavailable"),"不可评价",IF(AND(OR(M1378="positive",M1378="equivocal"),OR(O1378="positive",O1378="equivocal")),"a",IF(OR(O1378="positive",O1378="equivocal"),"b",IF(OR(M1378="positive",M1378="equivocal"),"c","d"))))</x:f>
        <x:v>d</x:v>
      </x:c>
      <x:c r="AB1378" s="12" t="str">
        <x:f>IF(OR(M1378="unavailable",O1378="unavailable"),"不可评价",IF(AND(M1378="positive",O1378="positive"),"a",IF(O1378="positive","b",IF(M1378="positive","c","d"))))</x:f>
        <x:v>d</x:v>
      </x:c>
      <x:c r="AC1378" s="12" t="str">
        <x:f>IF(OR(R1378="unavailable",T1378="unavailable"),"不可评价",IF(AND(OR(R1378="positive",R1378="equivocal"),OR(T1378="positive",T1378="equivocal")),"a",IF(OR(T1378="positive",T1378="equivocal"),"b",IF(OR(R1378="positive",R1378="equivocal"),"c","d"))))</x:f>
        <x:v>d</x:v>
      </x:c>
      <x:c r="AD1378" s="12" t="str">
        <x:f>IF(OR(R1378="unavailable",T1378="unavailable"),"不可评价",IF(AND(R1378="positive",T1378="positive"),"a",IF(T1378="positive","b",IF(R1378="positive","c","d"))))</x:f>
        <x:v>d</x:v>
      </x:c>
      <x:c r="AE1378" s="12" t="str">
        <x:f>IF(OR(W1378="unavailable",Y1378="unavailable"),"不可评价",IF(AND(OR(W1378="positive",W1378="equivocal"),OR(Y1378="positive",Y1378="equivocal")),"a",IF(OR(Y1378="positive",Y1378="equivocal"),"b",IF(OR(W1378="positive",W1378="equivocal"),"c","d"))))</x:f>
        <x:v>d</x:v>
      </x:c>
      <x:c r="AF1378" s="12" t="str">
        <x:f>IF(OR(W1378="unavailable",Y1378="unavailable"),"不可评价",IF(AND(W1378="positive",Y1378="positive"),"a",IF(Y1378="positive","b",IF(W1378="positive","c","d"))))</x:f>
        <x:v>d</x:v>
      </x:c>
    </x:row>
    <x:row r="1379" ht="39" customHeight="1">
      <x:c r="A1379" s="12" t="str">
        <x:v>12545</x:v>
      </x:c>
      <x:c r="B1379" s="12" t="str">
        <x:v>502</x:v>
      </x:c>
      <x:c r="C1379" s="21" t="n">
        <x:v>34538.51594907408</x:v>
      </x:c>
      <x:c r="D1379" s="12" t="n">
        <x:v>82</x:v>
      </x:c>
      <x:c r="E1379" s="12" t="n">
        <x:v>1</x:v>
      </x:c>
      <x:c r="F1379" s="12" t="str">
        <x:v>未记录</x:v>
      </x:c>
      <x:c r="G1379" s="12" t="n">
        <x:v>0</x:v>
      </x:c>
      <x:c r="H1379" s="12" t="str">
        <x:v>{'ASMI': 100.0, 'IMI': 15.0, 'DIG': 100.0, 'NST_': 0.0, 'STD_': 0.0, 'SR': 0.0}</x:v>
      </x:c>
      <x:c r="I1379" s="12" t="str">
        <x:v>[('NSR', 100.0), ('ST&amp;', 100.0), ('AT', 100.0), ('AB', 100.0)]</x:v>
      </x:c>
      <x:c r="J1379" s="12" t="str">
        <x:v>ptbxl_database.csv；ecg_id=12545；scp_codes</x:v>
      </x:c>
      <x:c r="K1379" s="12" t="str">
        <x:v>12sl_statements.csv；ecg_id=12545；statements_ext_snomed</x:v>
      </x:c>
      <x:c r="L1379" s="12"/>
      <x:c r="M1379" s="12" t="str">
        <x:v>negative</x:v>
      </x:c>
      <x:c r="N1379" s="12"/>
      <x:c r="O1379" s="12" t="str">
        <x:v>negative</x:v>
      </x:c>
      <x:c r="P1379" s="12" t="str">
        <x:f>IF(OR(M1379="unavailable",O1379="unavailable"),"不可评价",IF(OR(M1379="equivocal",O1379="equivocal"),"疑似",IF(AND(M1379="positive",O1379="positive"),"a",IF(O1379="positive","b",IF(M1379="positive","c","d")))))</x:f>
        <x:v>d</x:v>
      </x:c>
      <x:c r="Q1379" s="12"/>
      <x:c r="R1379" s="12" t="str">
        <x:v>negative</x:v>
      </x:c>
      <x:c r="S1379" s="12"/>
      <x:c r="T1379" s="12" t="str">
        <x:v>negative</x:v>
      </x:c>
      <x:c r="U1379" s="12" t="str">
        <x:f>IF(OR(R1379="unavailable",T1379="unavailable"),"不可评价",IF(OR(R1379="equivocal",T1379="equivocal"),"疑似",IF(AND(R1379="positive",T1379="positive"),"a",IF(T1379="positive","b",IF(R1379="positive","c","d")))))</x:f>
        <x:v>d</x:v>
      </x:c>
      <x:c r="V1379" s="12"/>
      <x:c r="W1379" s="12" t="str">
        <x:v>negative</x:v>
      </x:c>
      <x:c r="X1379" s="12"/>
      <x:c r="Y1379" s="12" t="str">
        <x:v>negative</x:v>
      </x:c>
      <x:c r="Z1379" s="12" t="str">
        <x:f>IF(OR(W1379="unavailable",Y1379="unavailable"),"不可评价",IF(OR(W1379="equivocal",Y1379="equivocal"),"疑似",IF(AND(W1379="positive",Y1379="positive"),"a",IF(Y1379="positive","b",IF(W1379="positive","c","d")))))</x:f>
        <x:v>d</x:v>
      </x:c>
      <x:c r="AA1379" s="12" t="str">
        <x:f>IF(OR(M1379="unavailable",O1379="unavailable"),"不可评价",IF(AND(OR(M1379="positive",M1379="equivocal"),OR(O1379="positive",O1379="equivocal")),"a",IF(OR(O1379="positive",O1379="equivocal"),"b",IF(OR(M1379="positive",M1379="equivocal"),"c","d"))))</x:f>
        <x:v>d</x:v>
      </x:c>
      <x:c r="AB1379" s="12" t="str">
        <x:f>IF(OR(M1379="unavailable",O1379="unavailable"),"不可评价",IF(AND(M1379="positive",O1379="positive"),"a",IF(O1379="positive","b",IF(M1379="positive","c","d"))))</x:f>
        <x:v>d</x:v>
      </x:c>
      <x:c r="AC1379" s="12" t="str">
        <x:f>IF(OR(R1379="unavailable",T1379="unavailable"),"不可评价",IF(AND(OR(R1379="positive",R1379="equivocal"),OR(T1379="positive",T1379="equivocal")),"a",IF(OR(T1379="positive",T1379="equivocal"),"b",IF(OR(R1379="positive",R1379="equivocal"),"c","d"))))</x:f>
        <x:v>d</x:v>
      </x:c>
      <x:c r="AD1379" s="12" t="str">
        <x:f>IF(OR(R1379="unavailable",T1379="unavailable"),"不可评价",IF(AND(R1379="positive",T1379="positive"),"a",IF(T1379="positive","b",IF(R1379="positive","c","d"))))</x:f>
        <x:v>d</x:v>
      </x:c>
      <x:c r="AE1379" s="12" t="str">
        <x:f>IF(OR(W1379="unavailable",Y1379="unavailable"),"不可评价",IF(AND(OR(W1379="positive",W1379="equivocal"),OR(Y1379="positive",Y1379="equivocal")),"a",IF(OR(Y1379="positive",Y1379="equivocal"),"b",IF(OR(W1379="positive",W1379="equivocal"),"c","d"))))</x:f>
        <x:v>d</x:v>
      </x:c>
      <x:c r="AF1379" s="12" t="str">
        <x:f>IF(OR(W1379="unavailable",Y1379="unavailable"),"不可评价",IF(AND(W1379="positive",Y1379="positive"),"a",IF(Y1379="positive","b",IF(W1379="positive","c","d"))))</x:f>
        <x:v>d</x:v>
      </x:c>
    </x:row>
    <x:row r="1380" ht="24" customHeight="1">
      <x:c r="A1380" s="12" t="str">
        <x:v>12552</x:v>
      </x:c>
      <x:c r="B1380" s="12" t="str">
        <x:v>1873</x:v>
      </x:c>
      <x:c r="C1380" s="21" t="n">
        <x:v>34538.795439814814</x:v>
      </x:c>
      <x:c r="D1380" s="12" t="n">
        <x:v>65</x:v>
      </x:c>
      <x:c r="E1380" s="12" t="n">
        <x:v>1</x:v>
      </x:c>
      <x:c r="F1380" s="12" t="str">
        <x:v>未记录</x:v>
      </x:c>
      <x:c r="G1380" s="12" t="n">
        <x:v>1</x:v>
      </x:c>
      <x:c r="H1380" s="12" t="str">
        <x:v>{'CRBBB': 100.0, 'LAFB': 100.0, 'SR': 0.0}</x:v>
      </x:c>
      <x:c r="I1380" s="12" t="str">
        <x:v>[('NSR', 100.0), ('LAD3', 100.0), ('RBBB', 100.0), ('AB', 100.0)]</x:v>
      </x:c>
      <x:c r="J1380" s="12" t="str">
        <x:v>ptbxl_database.csv；ecg_id=12552；scp_codes</x:v>
      </x:c>
      <x:c r="K1380" s="12" t="str">
        <x:v>12sl_statements.csv；ecg_id=12552；statements_ext_snomed</x:v>
      </x:c>
      <x:c r="L1380" s="12"/>
      <x:c r="M1380" s="12" t="str">
        <x:v>negative</x:v>
      </x:c>
      <x:c r="N1380" s="12"/>
      <x:c r="O1380" s="12" t="str">
        <x:v>negative</x:v>
      </x:c>
      <x:c r="P1380" s="12" t="str">
        <x:f>IF(OR(M1380="unavailable",O1380="unavailable"),"不可评价",IF(OR(M1380="equivocal",O1380="equivocal"),"疑似",IF(AND(M1380="positive",O1380="positive"),"a",IF(O1380="positive","b",IF(M1380="positive","c","d")))))</x:f>
        <x:v>d</x:v>
      </x:c>
      <x:c r="Q1380" s="12"/>
      <x:c r="R1380" s="12" t="str">
        <x:v>negative</x:v>
      </x:c>
      <x:c r="S1380" s="12"/>
      <x:c r="T1380" s="12" t="str">
        <x:v>negative</x:v>
      </x:c>
      <x:c r="U1380" s="12" t="str">
        <x:f>IF(OR(R1380="unavailable",T1380="unavailable"),"不可评价",IF(OR(R1380="equivocal",T1380="equivocal"),"疑似",IF(AND(R1380="positive",T1380="positive"),"a",IF(T1380="positive","b",IF(R1380="positive","c","d")))))</x:f>
        <x:v>d</x:v>
      </x:c>
      <x:c r="V1380" s="12" t="n">
        <x:v>100</x:v>
      </x:c>
      <x:c r="W1380" s="12" t="str">
        <x:v>positive</x:v>
      </x:c>
      <x:c r="X1380" s="12" t="n">
        <x:v>100</x:v>
      </x:c>
      <x:c r="Y1380" s="12" t="str">
        <x:v>positive</x:v>
      </x:c>
      <x:c r="Z1380" s="12" t="str">
        <x:f>IF(OR(W1380="unavailable",Y1380="unavailable"),"不可评价",IF(OR(W1380="equivocal",Y1380="equivocal"),"疑似",IF(AND(W1380="positive",Y1380="positive"),"a",IF(Y1380="positive","b",IF(W1380="positive","c","d")))))</x:f>
        <x:v>a</x:v>
      </x:c>
      <x:c r="AA1380" s="12" t="str">
        <x:f>IF(OR(M1380="unavailable",O1380="unavailable"),"不可评价",IF(AND(OR(M1380="positive",M1380="equivocal"),OR(O1380="positive",O1380="equivocal")),"a",IF(OR(O1380="positive",O1380="equivocal"),"b",IF(OR(M1380="positive",M1380="equivocal"),"c","d"))))</x:f>
        <x:v>d</x:v>
      </x:c>
      <x:c r="AB1380" s="12" t="str">
        <x:f>IF(OR(M1380="unavailable",O1380="unavailable"),"不可评价",IF(AND(M1380="positive",O1380="positive"),"a",IF(O1380="positive","b",IF(M1380="positive","c","d"))))</x:f>
        <x:v>d</x:v>
      </x:c>
      <x:c r="AC1380" s="12" t="str">
        <x:f>IF(OR(R1380="unavailable",T1380="unavailable"),"不可评价",IF(AND(OR(R1380="positive",R1380="equivocal"),OR(T1380="positive",T1380="equivocal")),"a",IF(OR(T1380="positive",T1380="equivocal"),"b",IF(OR(R1380="positive",R1380="equivocal"),"c","d"))))</x:f>
        <x:v>d</x:v>
      </x:c>
      <x:c r="AD1380" s="12" t="str">
        <x:f>IF(OR(R1380="unavailable",T1380="unavailable"),"不可评价",IF(AND(R1380="positive",T1380="positive"),"a",IF(T1380="positive","b",IF(R1380="positive","c","d"))))</x:f>
        <x:v>d</x:v>
      </x:c>
      <x:c r="AE1380" s="12" t="str">
        <x:f>IF(OR(W1380="unavailable",Y1380="unavailable"),"不可评价",IF(AND(OR(W1380="positive",W1380="equivocal"),OR(Y1380="positive",Y1380="equivocal")),"a",IF(OR(Y1380="positive",Y1380="equivocal"),"b",IF(OR(W1380="positive",W1380="equivocal"),"c","d"))))</x:f>
        <x:v>a</x:v>
      </x:c>
      <x:c r="AF1380" s="12" t="str">
        <x:f>IF(OR(W1380="unavailable",Y1380="unavailable"),"不可评价",IF(AND(W1380="positive",Y1380="positive"),"a",IF(Y1380="positive","b",IF(W1380="positive","c","d"))))</x:f>
        <x:v>a</x:v>
      </x:c>
    </x:row>
    <x:row r="1381" ht="24" customHeight="1">
      <x:c r="A1381" s="12" t="str">
        <x:v>12568</x:v>
      </x:c>
      <x:c r="B1381" s="12" t="str">
        <x:v>19758</x:v>
      </x:c>
      <x:c r="C1381" s="21" t="n">
        <x:v>34541.52909722222</x:v>
      </x:c>
      <x:c r="D1381" s="12" t="n">
        <x:v>71</x:v>
      </x:c>
      <x:c r="E1381" s="12" t="n">
        <x:v>0</x:v>
      </x:c>
      <x:c r="F1381" s="12" t="str">
        <x:v>未记录</x:v>
      </x:c>
      <x:c r="G1381" s="12" t="n">
        <x:v>1</x:v>
      </x:c>
      <x:c r="H1381" s="12" t="str">
        <x:v>{'NST_': 100.0, 'ABQRS': 0.0, 'AFIB': 0.0}</x:v>
      </x:c>
      <x:c r="I1381" s="12" t="str">
        <x:v>[('AFIB', 100.0), ('AB', 100.0)]</x:v>
      </x:c>
      <x:c r="J1381" s="12" t="str">
        <x:v>ptbxl_database.csv；ecg_id=12568；scp_codes</x:v>
      </x:c>
      <x:c r="K1381" s="12" t="str">
        <x:v>12sl_statements.csv；ecg_id=12568；statements_ext_snomed</x:v>
      </x:c>
      <x:c r="L1381" s="12" t="n">
        <x:v>0</x:v>
      </x:c>
      <x:c r="M1381" s="12" t="str">
        <x:v>positive</x:v>
      </x:c>
      <x:c r="N1381" s="12" t="n">
        <x:v>100</x:v>
      </x:c>
      <x:c r="O1381" s="12" t="str">
        <x:v>positive</x:v>
      </x:c>
      <x:c r="P1381" s="12" t="str">
        <x:f>IF(OR(M1381="unavailable",O1381="unavailable"),"不可评价",IF(OR(M1381="equivocal",O1381="equivocal"),"疑似",IF(AND(M1381="positive",O1381="positive"),"a",IF(O1381="positive","b",IF(M1381="positive","c","d")))))</x:f>
        <x:v>a</x:v>
      </x:c>
      <x:c r="Q1381" s="12"/>
      <x:c r="R1381" s="12" t="str">
        <x:v>negative</x:v>
      </x:c>
      <x:c r="S1381" s="12"/>
      <x:c r="T1381" s="12" t="str">
        <x:v>negative</x:v>
      </x:c>
      <x:c r="U1381" s="12" t="str">
        <x:f>IF(OR(R1381="unavailable",T1381="unavailable"),"不可评价",IF(OR(R1381="equivocal",T1381="equivocal"),"疑似",IF(AND(R1381="positive",T1381="positive"),"a",IF(T1381="positive","b",IF(R1381="positive","c","d")))))</x:f>
        <x:v>d</x:v>
      </x:c>
      <x:c r="V1381" s="12"/>
      <x:c r="W1381" s="12" t="str">
        <x:v>negative</x:v>
      </x:c>
      <x:c r="X1381" s="12"/>
      <x:c r="Y1381" s="12" t="str">
        <x:v>negative</x:v>
      </x:c>
      <x:c r="Z1381" s="12" t="str">
        <x:f>IF(OR(W1381="unavailable",Y1381="unavailable"),"不可评价",IF(OR(W1381="equivocal",Y1381="equivocal"),"疑似",IF(AND(W1381="positive",Y1381="positive"),"a",IF(Y1381="positive","b",IF(W1381="positive","c","d")))))</x:f>
        <x:v>d</x:v>
      </x:c>
      <x:c r="AA1381" s="12" t="str">
        <x:f>IF(OR(M1381="unavailable",O1381="unavailable"),"不可评价",IF(AND(OR(M1381="positive",M1381="equivocal"),OR(O1381="positive",O1381="equivocal")),"a",IF(OR(O1381="positive",O1381="equivocal"),"b",IF(OR(M1381="positive",M1381="equivocal"),"c","d"))))</x:f>
        <x:v>a</x:v>
      </x:c>
      <x:c r="AB1381" s="12" t="str">
        <x:f>IF(OR(M1381="unavailable",O1381="unavailable"),"不可评价",IF(AND(M1381="positive",O1381="positive"),"a",IF(O1381="positive","b",IF(M1381="positive","c","d"))))</x:f>
        <x:v>a</x:v>
      </x:c>
      <x:c r="AC1381" s="12" t="str">
        <x:f>IF(OR(R1381="unavailable",T1381="unavailable"),"不可评价",IF(AND(OR(R1381="positive",R1381="equivocal"),OR(T1381="positive",T1381="equivocal")),"a",IF(OR(T1381="positive",T1381="equivocal"),"b",IF(OR(R1381="positive",R1381="equivocal"),"c","d"))))</x:f>
        <x:v>d</x:v>
      </x:c>
      <x:c r="AD1381" s="12" t="str">
        <x:f>IF(OR(R1381="unavailable",T1381="unavailable"),"不可评价",IF(AND(R1381="positive",T1381="positive"),"a",IF(T1381="positive","b",IF(R1381="positive","c","d"))))</x:f>
        <x:v>d</x:v>
      </x:c>
      <x:c r="AE1381" s="12" t="str">
        <x:f>IF(OR(W1381="unavailable",Y1381="unavailable"),"不可评价",IF(AND(OR(W1381="positive",W1381="equivocal"),OR(Y1381="positive",Y1381="equivocal")),"a",IF(OR(Y1381="positive",Y1381="equivocal"),"b",IF(OR(W1381="positive",W1381="equivocal"),"c","d"))))</x:f>
        <x:v>d</x:v>
      </x:c>
      <x:c r="AF1381" s="12" t="str">
        <x:f>IF(OR(W1381="unavailable",Y1381="unavailable"),"不可评价",IF(AND(W1381="positive",Y1381="positive"),"a",IF(Y1381="positive","b",IF(W1381="positive","c","d"))))</x:f>
        <x:v>d</x:v>
      </x:c>
    </x:row>
    <x:row r="1382" ht="24" customHeight="1">
      <x:c r="A1382" s="12" t="str">
        <x:v>12576</x:v>
      </x:c>
      <x:c r="B1382" s="12" t="str">
        <x:v>5352</x:v>
      </x:c>
      <x:c r="C1382" s="21" t="n">
        <x:v>34542.392476851855</x:v>
      </x:c>
      <x:c r="D1382" s="12" t="n">
        <x:v>72</x:v>
      </x:c>
      <x:c r="E1382" s="12" t="n">
        <x:v>1</x:v>
      </x:c>
      <x:c r="F1382" s="12" t="str">
        <x:v>未记录</x:v>
      </x:c>
      <x:c r="G1382" s="12" t="n">
        <x:v>1</x:v>
      </x:c>
      <x:c r="H1382" s="12" t="str">
        <x:v>{'LAFB': 50.0, 'PVC': 100.0, 'SR': 0.0}</x:v>
      </x:c>
      <x:c r="I1382" s="12" t="str">
        <x:v>[('SRTH', 100.0), ('PVC', 100.0), ('LAD3', 100.0), ('AB', 100.0)]</x:v>
      </x:c>
      <x:c r="J1382" s="12" t="str">
        <x:v>ptbxl_database.csv；ecg_id=12576；scp_codes</x:v>
      </x:c>
      <x:c r="K1382" s="12" t="str">
        <x:v>12sl_statements.csv；ecg_id=12576；statements_ext_snomed</x:v>
      </x:c>
      <x:c r="L1382" s="12"/>
      <x:c r="M1382" s="12" t="str">
        <x:v>negative</x:v>
      </x:c>
      <x:c r="N1382" s="12"/>
      <x:c r="O1382" s="12" t="str">
        <x:v>negative</x:v>
      </x:c>
      <x:c r="P1382" s="12" t="str">
        <x:f>IF(OR(M1382="unavailable",O1382="unavailable"),"不可评价",IF(OR(M1382="equivocal",O1382="equivocal"),"疑似",IF(AND(M1382="positive",O1382="positive"),"a",IF(O1382="positive","b",IF(M1382="positive","c","d")))))</x:f>
        <x:v>d</x:v>
      </x:c>
      <x:c r="Q1382" s="12"/>
      <x:c r="R1382" s="12" t="str">
        <x:v>negative</x:v>
      </x:c>
      <x:c r="S1382" s="12"/>
      <x:c r="T1382" s="12" t="str">
        <x:v>negative</x:v>
      </x:c>
      <x:c r="U1382" s="12" t="str">
        <x:f>IF(OR(R1382="unavailable",T1382="unavailable"),"不可评价",IF(OR(R1382="equivocal",T1382="equivocal"),"疑似",IF(AND(R1382="positive",T1382="positive"),"a",IF(T1382="positive","b",IF(R1382="positive","c","d")))))</x:f>
        <x:v>d</x:v>
      </x:c>
      <x:c r="V1382" s="12"/>
      <x:c r="W1382" s="12" t="str">
        <x:v>negative</x:v>
      </x:c>
      <x:c r="X1382" s="12"/>
      <x:c r="Y1382" s="12" t="str">
        <x:v>negative</x:v>
      </x:c>
      <x:c r="Z1382" s="12" t="str">
        <x:f>IF(OR(W1382="unavailable",Y1382="unavailable"),"不可评价",IF(OR(W1382="equivocal",Y1382="equivocal"),"疑似",IF(AND(W1382="positive",Y1382="positive"),"a",IF(Y1382="positive","b",IF(W1382="positive","c","d")))))</x:f>
        <x:v>d</x:v>
      </x:c>
      <x:c r="AA1382" s="12" t="str">
        <x:f>IF(OR(M1382="unavailable",O1382="unavailable"),"不可评价",IF(AND(OR(M1382="positive",M1382="equivocal"),OR(O1382="positive",O1382="equivocal")),"a",IF(OR(O1382="positive",O1382="equivocal"),"b",IF(OR(M1382="positive",M1382="equivocal"),"c","d"))))</x:f>
        <x:v>d</x:v>
      </x:c>
      <x:c r="AB1382" s="12" t="str">
        <x:f>IF(OR(M1382="unavailable",O1382="unavailable"),"不可评价",IF(AND(M1382="positive",O1382="positive"),"a",IF(O1382="positive","b",IF(M1382="positive","c","d"))))</x:f>
        <x:v>d</x:v>
      </x:c>
      <x:c r="AC1382" s="12" t="str">
        <x:f>IF(OR(R1382="unavailable",T1382="unavailable"),"不可评价",IF(AND(OR(R1382="positive",R1382="equivocal"),OR(T1382="positive",T1382="equivocal")),"a",IF(OR(T1382="positive",T1382="equivocal"),"b",IF(OR(R1382="positive",R1382="equivocal"),"c","d"))))</x:f>
        <x:v>d</x:v>
      </x:c>
      <x:c r="AD1382" s="12" t="str">
        <x:f>IF(OR(R1382="unavailable",T1382="unavailable"),"不可评价",IF(AND(R1382="positive",T1382="positive"),"a",IF(T1382="positive","b",IF(R1382="positive","c","d"))))</x:f>
        <x:v>d</x:v>
      </x:c>
      <x:c r="AE1382" s="12" t="str">
        <x:f>IF(OR(W1382="unavailable",Y1382="unavailable"),"不可评价",IF(AND(OR(W1382="positive",W1382="equivocal"),OR(Y1382="positive",Y1382="equivocal")),"a",IF(OR(Y1382="positive",Y1382="equivocal"),"b",IF(OR(W1382="positive",W1382="equivocal"),"c","d"))))</x:f>
        <x:v>d</x:v>
      </x:c>
      <x:c r="AF1382" s="12" t="str">
        <x:f>IF(OR(W1382="unavailable",Y1382="unavailable"),"不可评价",IF(AND(W1382="positive",Y1382="positive"),"a",IF(Y1382="positive","b",IF(W1382="positive","c","d"))))</x:f>
        <x:v>d</x:v>
      </x:c>
    </x:row>
    <x:row r="1383" ht="24" customHeight="1">
      <x:c r="A1383" s="12" t="str">
        <x:v>12577</x:v>
      </x:c>
      <x:c r="B1383" s="12" t="str">
        <x:v>4273</x:v>
      </x:c>
      <x:c r="C1383" s="21" t="n">
        <x:v>34542.408425925925</x:v>
      </x:c>
      <x:c r="D1383" s="12" t="n">
        <x:v>72</x:v>
      </x:c>
      <x:c r="E1383" s="12" t="n">
        <x:v>1</x:v>
      </x:c>
      <x:c r="F1383" s="12" t="str">
        <x:v>未记录</x:v>
      </x:c>
      <x:c r="G1383" s="12" t="n">
        <x:v>1</x:v>
      </x:c>
      <x:c r="H1383" s="12" t="str">
        <x:v>{'NORM': 80.0, 'VCLVH': 0.0, 'SR': 0.0}</x:v>
      </x:c>
      <x:c r="I1383" s="12" t="str">
        <x:v>[('SBRAD', 100.0), ('QESPMI', 100.0), ('AB', 100.0)]</x:v>
      </x:c>
      <x:c r="J1383" s="12" t="str">
        <x:v>ptbxl_database.csv；ecg_id=12577；scp_codes</x:v>
      </x:c>
      <x:c r="K1383" s="12" t="str">
        <x:v>12sl_statements.csv；ecg_id=12577；statements_ext_snomed</x:v>
      </x:c>
      <x:c r="L1383" s="12"/>
      <x:c r="M1383" s="12" t="str">
        <x:v>negative</x:v>
      </x:c>
      <x:c r="N1383" s="12"/>
      <x:c r="O1383" s="12" t="str">
        <x:v>negative</x:v>
      </x:c>
      <x:c r="P1383" s="12" t="str">
        <x:f>IF(OR(M1383="unavailable",O1383="unavailable"),"不可评价",IF(OR(M1383="equivocal",O1383="equivocal"),"疑似",IF(AND(M1383="positive",O1383="positive"),"a",IF(O1383="positive","b",IF(M1383="positive","c","d")))))</x:f>
        <x:v>d</x:v>
      </x:c>
      <x:c r="Q1383" s="12"/>
      <x:c r="R1383" s="12" t="str">
        <x:v>negative</x:v>
      </x:c>
      <x:c r="S1383" s="12"/>
      <x:c r="T1383" s="12" t="str">
        <x:v>negative</x:v>
      </x:c>
      <x:c r="U1383" s="12" t="str">
        <x:f>IF(OR(R1383="unavailable",T1383="unavailable"),"不可评价",IF(OR(R1383="equivocal",T1383="equivocal"),"疑似",IF(AND(R1383="positive",T1383="positive"),"a",IF(T1383="positive","b",IF(R1383="positive","c","d")))))</x:f>
        <x:v>d</x:v>
      </x:c>
      <x:c r="V1383" s="12"/>
      <x:c r="W1383" s="12" t="str">
        <x:v>negative</x:v>
      </x:c>
      <x:c r="X1383" s="12"/>
      <x:c r="Y1383" s="12" t="str">
        <x:v>negative</x:v>
      </x:c>
      <x:c r="Z1383" s="12" t="str">
        <x:f>IF(OR(W1383="unavailable",Y1383="unavailable"),"不可评价",IF(OR(W1383="equivocal",Y1383="equivocal"),"疑似",IF(AND(W1383="positive",Y1383="positive"),"a",IF(Y1383="positive","b",IF(W1383="positive","c","d")))))</x:f>
        <x:v>d</x:v>
      </x:c>
      <x:c r="AA1383" s="12" t="str">
        <x:f>IF(OR(M1383="unavailable",O1383="unavailable"),"不可评价",IF(AND(OR(M1383="positive",M1383="equivocal"),OR(O1383="positive",O1383="equivocal")),"a",IF(OR(O1383="positive",O1383="equivocal"),"b",IF(OR(M1383="positive",M1383="equivocal"),"c","d"))))</x:f>
        <x:v>d</x:v>
      </x:c>
      <x:c r="AB1383" s="12" t="str">
        <x:f>IF(OR(M1383="unavailable",O1383="unavailable"),"不可评价",IF(AND(M1383="positive",O1383="positive"),"a",IF(O1383="positive","b",IF(M1383="positive","c","d"))))</x:f>
        <x:v>d</x:v>
      </x:c>
      <x:c r="AC1383" s="12" t="str">
        <x:f>IF(OR(R1383="unavailable",T1383="unavailable"),"不可评价",IF(AND(OR(R1383="positive",R1383="equivocal"),OR(T1383="positive",T1383="equivocal")),"a",IF(OR(T1383="positive",T1383="equivocal"),"b",IF(OR(R1383="positive",R1383="equivocal"),"c","d"))))</x:f>
        <x:v>d</x:v>
      </x:c>
      <x:c r="AD1383" s="12" t="str">
        <x:f>IF(OR(R1383="unavailable",T1383="unavailable"),"不可评价",IF(AND(R1383="positive",T1383="positive"),"a",IF(T1383="positive","b",IF(R1383="positive","c","d"))))</x:f>
        <x:v>d</x:v>
      </x:c>
      <x:c r="AE1383" s="12" t="str">
        <x:f>IF(OR(W1383="unavailable",Y1383="unavailable"),"不可评价",IF(AND(OR(W1383="positive",W1383="equivocal"),OR(Y1383="positive",Y1383="equivocal")),"a",IF(OR(Y1383="positive",Y1383="equivocal"),"b",IF(OR(W1383="positive",W1383="equivocal"),"c","d"))))</x:f>
        <x:v>d</x:v>
      </x:c>
      <x:c r="AF1383" s="12" t="str">
        <x:f>IF(OR(W1383="unavailable",Y1383="unavailable"),"不可评价",IF(AND(W1383="positive",Y1383="positive"),"a",IF(Y1383="positive","b",IF(W1383="positive","c","d"))))</x:f>
        <x:v>d</x:v>
      </x:c>
    </x:row>
    <x:row r="1384" ht="24" customHeight="1">
      <x:c r="A1384" s="12" t="str">
        <x:v>12585</x:v>
      </x:c>
      <x:c r="B1384" s="12" t="str">
        <x:v>493</x:v>
      </x:c>
      <x:c r="C1384" s="21" t="n">
        <x:v>34542.60082175926</x:v>
      </x:c>
      <x:c r="D1384" s="12" t="n">
        <x:v>84</x:v>
      </x:c>
      <x:c r="E1384" s="12" t="n">
        <x:v>1</x:v>
      </x:c>
      <x:c r="F1384" s="12" t="str">
        <x:v>存在</x:v>
      </x:c>
      <x:c r="G1384" s="12" t="n">
        <x:v>1</x:v>
      </x:c>
      <x:c r="H1384" s="12" t="str">
        <x:v>{'NDT': 100.0, 'LVH': 100.0, 'STD_': 0.0, 'SR': 0.0}</x:v>
      </x:c>
      <x:c r="I1384" s="12" t="str">
        <x:v>[('NSR', 100.0), ('STDEP2', 100.0), ('NT', 100.0), ('AB', 100.0)]</x:v>
      </x:c>
      <x:c r="J1384" s="12" t="str">
        <x:v>ptbxl_database.csv；ecg_id=12585；scp_codes</x:v>
      </x:c>
      <x:c r="K1384" s="12" t="str">
        <x:v>12sl_statements.csv；ecg_id=12585；statements_ext_snomed</x:v>
      </x:c>
      <x:c r="L1384" s="12"/>
      <x:c r="M1384" s="12" t="str">
        <x:v>negative</x:v>
      </x:c>
      <x:c r="N1384" s="12"/>
      <x:c r="O1384" s="12" t="str">
        <x:v>negative</x:v>
      </x:c>
      <x:c r="P1384" s="12" t="str">
        <x:f>IF(OR(M1384="unavailable",O1384="unavailable"),"不可评价",IF(OR(M1384="equivocal",O1384="equivocal"),"疑似",IF(AND(M1384="positive",O1384="positive"),"a",IF(O1384="positive","b",IF(M1384="positive","c","d")))))</x:f>
        <x:v>d</x:v>
      </x:c>
      <x:c r="Q1384" s="12"/>
      <x:c r="R1384" s="12" t="str">
        <x:v>negative</x:v>
      </x:c>
      <x:c r="S1384" s="12"/>
      <x:c r="T1384" s="12" t="str">
        <x:v>negative</x:v>
      </x:c>
      <x:c r="U1384" s="12" t="str">
        <x:f>IF(OR(R1384="unavailable",T1384="unavailable"),"不可评价",IF(OR(R1384="equivocal",T1384="equivocal"),"疑似",IF(AND(R1384="positive",T1384="positive"),"a",IF(T1384="positive","b",IF(R1384="positive","c","d")))))</x:f>
        <x:v>d</x:v>
      </x:c>
      <x:c r="V1384" s="12"/>
      <x:c r="W1384" s="12" t="str">
        <x:v>negative</x:v>
      </x:c>
      <x:c r="X1384" s="12"/>
      <x:c r="Y1384" s="12" t="str">
        <x:v>negative</x:v>
      </x:c>
      <x:c r="Z1384" s="12" t="str">
        <x:f>IF(OR(W1384="unavailable",Y1384="unavailable"),"不可评价",IF(OR(W1384="equivocal",Y1384="equivocal"),"疑似",IF(AND(W1384="positive",Y1384="positive"),"a",IF(Y1384="positive","b",IF(W1384="positive","c","d")))))</x:f>
        <x:v>d</x:v>
      </x:c>
      <x:c r="AA1384" s="12" t="str">
        <x:f>IF(OR(M1384="unavailable",O1384="unavailable"),"不可评价",IF(AND(OR(M1384="positive",M1384="equivocal"),OR(O1384="positive",O1384="equivocal")),"a",IF(OR(O1384="positive",O1384="equivocal"),"b",IF(OR(M1384="positive",M1384="equivocal"),"c","d"))))</x:f>
        <x:v>d</x:v>
      </x:c>
      <x:c r="AB1384" s="12" t="str">
        <x:f>IF(OR(M1384="unavailable",O1384="unavailable"),"不可评价",IF(AND(M1384="positive",O1384="positive"),"a",IF(O1384="positive","b",IF(M1384="positive","c","d"))))</x:f>
        <x:v>d</x:v>
      </x:c>
      <x:c r="AC1384" s="12" t="str">
        <x:f>IF(OR(R1384="unavailable",T1384="unavailable"),"不可评价",IF(AND(OR(R1384="positive",R1384="equivocal"),OR(T1384="positive",T1384="equivocal")),"a",IF(OR(T1384="positive",T1384="equivocal"),"b",IF(OR(R1384="positive",R1384="equivocal"),"c","d"))))</x:f>
        <x:v>d</x:v>
      </x:c>
      <x:c r="AD1384" s="12" t="str">
        <x:f>IF(OR(R1384="unavailable",T1384="unavailable"),"不可评价",IF(AND(R1384="positive",T1384="positive"),"a",IF(T1384="positive","b",IF(R1384="positive","c","d"))))</x:f>
        <x:v>d</x:v>
      </x:c>
      <x:c r="AE1384" s="12" t="str">
        <x:f>IF(OR(W1384="unavailable",Y1384="unavailable"),"不可评价",IF(AND(OR(W1384="positive",W1384="equivocal"),OR(Y1384="positive",Y1384="equivocal")),"a",IF(OR(Y1384="positive",Y1384="equivocal"),"b",IF(OR(W1384="positive",W1384="equivocal"),"c","d"))))</x:f>
        <x:v>d</x:v>
      </x:c>
      <x:c r="AF1384" s="12" t="str">
        <x:f>IF(OR(W1384="unavailable",Y1384="unavailable"),"不可评价",IF(AND(W1384="positive",Y1384="positive"),"a",IF(Y1384="positive","b",IF(W1384="positive","c","d"))))</x:f>
        <x:v>d</x:v>
      </x:c>
    </x:row>
    <x:row r="1385" ht="24" customHeight="1">
      <x:c r="A1385" s="12" t="str">
        <x:v>12596</x:v>
      </x:c>
      <x:c r="B1385" s="12" t="str">
        <x:v>511</x:v>
      </x:c>
      <x:c r="C1385" s="21" t="n">
        <x:v>34543.417662037034</x:v>
      </x:c>
      <x:c r="D1385" s="12" t="n">
        <x:v>81</x:v>
      </x:c>
      <x:c r="E1385" s="12" t="n">
        <x:v>1</x:v>
      </x:c>
      <x:c r="F1385" s="12" t="str">
        <x:v>未记录</x:v>
      </x:c>
      <x:c r="G1385" s="12" t="n">
        <x:v>0</x:v>
      </x:c>
      <x:c r="H1385" s="12" t="str">
        <x:v>{'NST_': 100.0, 'SR': 0.0}</x:v>
      </x:c>
      <x:c r="I1385" s="12" t="str">
        <x:v>[('NSR', 100.0), ('NML', 100.0)]</x:v>
      </x:c>
      <x:c r="J1385" s="12" t="str">
        <x:v>ptbxl_database.csv；ecg_id=12596；scp_codes</x:v>
      </x:c>
      <x:c r="K1385" s="12" t="str">
        <x:v>12sl_statements.csv；ecg_id=12596；statements_ext_snomed</x:v>
      </x:c>
      <x:c r="L1385" s="12"/>
      <x:c r="M1385" s="12" t="str">
        <x:v>negative</x:v>
      </x:c>
      <x:c r="N1385" s="12"/>
      <x:c r="O1385" s="12" t="str">
        <x:v>negative</x:v>
      </x:c>
      <x:c r="P1385" s="12" t="str">
        <x:f>IF(OR(M1385="unavailable",O1385="unavailable"),"不可评价",IF(OR(M1385="equivocal",O1385="equivocal"),"疑似",IF(AND(M1385="positive",O1385="positive"),"a",IF(O1385="positive","b",IF(M1385="positive","c","d")))))</x:f>
        <x:v>d</x:v>
      </x:c>
      <x:c r="Q1385" s="12"/>
      <x:c r="R1385" s="12" t="str">
        <x:v>negative</x:v>
      </x:c>
      <x:c r="S1385" s="12"/>
      <x:c r="T1385" s="12" t="str">
        <x:v>negative</x:v>
      </x:c>
      <x:c r="U1385" s="12" t="str">
        <x:f>IF(OR(R1385="unavailable",T1385="unavailable"),"不可评价",IF(OR(R1385="equivocal",T1385="equivocal"),"疑似",IF(AND(R1385="positive",T1385="positive"),"a",IF(T1385="positive","b",IF(R1385="positive","c","d")))))</x:f>
        <x:v>d</x:v>
      </x:c>
      <x:c r="V1385" s="12"/>
      <x:c r="W1385" s="12" t="str">
        <x:v>negative</x:v>
      </x:c>
      <x:c r="X1385" s="12"/>
      <x:c r="Y1385" s="12" t="str">
        <x:v>negative</x:v>
      </x:c>
      <x:c r="Z1385" s="12" t="str">
        <x:f>IF(OR(W1385="unavailable",Y1385="unavailable"),"不可评价",IF(OR(W1385="equivocal",Y1385="equivocal"),"疑似",IF(AND(W1385="positive",Y1385="positive"),"a",IF(Y1385="positive","b",IF(W1385="positive","c","d")))))</x:f>
        <x:v>d</x:v>
      </x:c>
      <x:c r="AA1385" s="12" t="str">
        <x:f>IF(OR(M1385="unavailable",O1385="unavailable"),"不可评价",IF(AND(OR(M1385="positive",M1385="equivocal"),OR(O1385="positive",O1385="equivocal")),"a",IF(OR(O1385="positive",O1385="equivocal"),"b",IF(OR(M1385="positive",M1385="equivocal"),"c","d"))))</x:f>
        <x:v>d</x:v>
      </x:c>
      <x:c r="AB1385" s="12" t="str">
        <x:f>IF(OR(M1385="unavailable",O1385="unavailable"),"不可评价",IF(AND(M1385="positive",O1385="positive"),"a",IF(O1385="positive","b",IF(M1385="positive","c","d"))))</x:f>
        <x:v>d</x:v>
      </x:c>
      <x:c r="AC1385" s="12" t="str">
        <x:f>IF(OR(R1385="unavailable",T1385="unavailable"),"不可评价",IF(AND(OR(R1385="positive",R1385="equivocal"),OR(T1385="positive",T1385="equivocal")),"a",IF(OR(T1385="positive",T1385="equivocal"),"b",IF(OR(R1385="positive",R1385="equivocal"),"c","d"))))</x:f>
        <x:v>d</x:v>
      </x:c>
      <x:c r="AD1385" s="12" t="str">
        <x:f>IF(OR(R1385="unavailable",T1385="unavailable"),"不可评价",IF(AND(R1385="positive",T1385="positive"),"a",IF(T1385="positive","b",IF(R1385="positive","c","d"))))</x:f>
        <x:v>d</x:v>
      </x:c>
      <x:c r="AE1385" s="12" t="str">
        <x:f>IF(OR(W1385="unavailable",Y1385="unavailable"),"不可评价",IF(AND(OR(W1385="positive",W1385="equivocal"),OR(Y1385="positive",Y1385="equivocal")),"a",IF(OR(Y1385="positive",Y1385="equivocal"),"b",IF(OR(W1385="positive",W1385="equivocal"),"c","d"))))</x:f>
        <x:v>d</x:v>
      </x:c>
      <x:c r="AF1385" s="12" t="str">
        <x:f>IF(OR(W1385="unavailable",Y1385="unavailable"),"不可评价",IF(AND(W1385="positive",Y1385="positive"),"a",IF(Y1385="positive","b",IF(W1385="positive","c","d"))))</x:f>
        <x:v>d</x:v>
      </x:c>
    </x:row>
    <x:row r="1386" ht="24" customHeight="1">
      <x:c r="A1386" s="12" t="str">
        <x:v>12607</x:v>
      </x:c>
      <x:c r="B1386" s="12" t="str">
        <x:v>2553</x:v>
      </x:c>
      <x:c r="C1386" s="21" t="n">
        <x:v>34543.80936342593</x:v>
      </x:c>
      <x:c r="D1386" s="12" t="n">
        <x:v>70</x:v>
      </x:c>
      <x:c r="E1386" s="12" t="n">
        <x:v>1</x:v>
      </x:c>
      <x:c r="F1386" s="12" t="str">
        <x:v>未记录</x:v>
      </x:c>
      <x:c r="G1386" s="12" t="n">
        <x:v>1</x:v>
      </x:c>
      <x:c r="H1386" s="12" t="str">
        <x:v>{'NORM': 100.0}</x:v>
      </x:c>
      <x:c r="I1386" s="12" t="str">
        <x:v>[('NSR', 100.0), ('NML', 100.0)]</x:v>
      </x:c>
      <x:c r="J1386" s="12" t="str">
        <x:v>ptbxl_database.csv；ecg_id=12607；scp_codes</x:v>
      </x:c>
      <x:c r="K1386" s="12" t="str">
        <x:v>12sl_statements.csv；ecg_id=12607；statements_ext_snomed</x:v>
      </x:c>
      <x:c r="L1386" s="12"/>
      <x:c r="M1386" s="12" t="str">
        <x:v>negative</x:v>
      </x:c>
      <x:c r="N1386" s="12"/>
      <x:c r="O1386" s="12" t="str">
        <x:v>negative</x:v>
      </x:c>
      <x:c r="P1386" s="12" t="str">
        <x:f>IF(OR(M1386="unavailable",O1386="unavailable"),"不可评价",IF(OR(M1386="equivocal",O1386="equivocal"),"疑似",IF(AND(M1386="positive",O1386="positive"),"a",IF(O1386="positive","b",IF(M1386="positive","c","d")))))</x:f>
        <x:v>d</x:v>
      </x:c>
      <x:c r="Q1386" s="12"/>
      <x:c r="R1386" s="12" t="str">
        <x:v>negative</x:v>
      </x:c>
      <x:c r="S1386" s="12"/>
      <x:c r="T1386" s="12" t="str">
        <x:v>negative</x:v>
      </x:c>
      <x:c r="U1386" s="12" t="str">
        <x:f>IF(OR(R1386="unavailable",T1386="unavailable"),"不可评价",IF(OR(R1386="equivocal",T1386="equivocal"),"疑似",IF(AND(R1386="positive",T1386="positive"),"a",IF(T1386="positive","b",IF(R1386="positive","c","d")))))</x:f>
        <x:v>d</x:v>
      </x:c>
      <x:c r="V1386" s="12"/>
      <x:c r="W1386" s="12" t="str">
        <x:v>negative</x:v>
      </x:c>
      <x:c r="X1386" s="12"/>
      <x:c r="Y1386" s="12" t="str">
        <x:v>negative</x:v>
      </x:c>
      <x:c r="Z1386" s="12" t="str">
        <x:f>IF(OR(W1386="unavailable",Y1386="unavailable"),"不可评价",IF(OR(W1386="equivocal",Y1386="equivocal"),"疑似",IF(AND(W1386="positive",Y1386="positive"),"a",IF(Y1386="positive","b",IF(W1386="positive","c","d")))))</x:f>
        <x:v>d</x:v>
      </x:c>
      <x:c r="AA1386" s="12" t="str">
        <x:f>IF(OR(M1386="unavailable",O1386="unavailable"),"不可评价",IF(AND(OR(M1386="positive",M1386="equivocal"),OR(O1386="positive",O1386="equivocal")),"a",IF(OR(O1386="positive",O1386="equivocal"),"b",IF(OR(M1386="positive",M1386="equivocal"),"c","d"))))</x:f>
        <x:v>d</x:v>
      </x:c>
      <x:c r="AB1386" s="12" t="str">
        <x:f>IF(OR(M1386="unavailable",O1386="unavailable"),"不可评价",IF(AND(M1386="positive",O1386="positive"),"a",IF(O1386="positive","b",IF(M1386="positive","c","d"))))</x:f>
        <x:v>d</x:v>
      </x:c>
      <x:c r="AC1386" s="12" t="str">
        <x:f>IF(OR(R1386="unavailable",T1386="unavailable"),"不可评价",IF(AND(OR(R1386="positive",R1386="equivocal"),OR(T1386="positive",T1386="equivocal")),"a",IF(OR(T1386="positive",T1386="equivocal"),"b",IF(OR(R1386="positive",R1386="equivocal"),"c","d"))))</x:f>
        <x:v>d</x:v>
      </x:c>
      <x:c r="AD1386" s="12" t="str">
        <x:f>IF(OR(R1386="unavailable",T1386="unavailable"),"不可评价",IF(AND(R1386="positive",T1386="positive"),"a",IF(T1386="positive","b",IF(R1386="positive","c","d"))))</x:f>
        <x:v>d</x:v>
      </x:c>
      <x:c r="AE1386" s="12" t="str">
        <x:f>IF(OR(W1386="unavailable",Y1386="unavailable"),"不可评价",IF(AND(OR(W1386="positive",W1386="equivocal"),OR(Y1386="positive",Y1386="equivocal")),"a",IF(OR(Y1386="positive",Y1386="equivocal"),"b",IF(OR(W1386="positive",W1386="equivocal"),"c","d"))))</x:f>
        <x:v>d</x:v>
      </x:c>
      <x:c r="AF1386" s="12" t="str">
        <x:f>IF(OR(W1386="unavailable",Y1386="unavailable"),"不可评价",IF(AND(W1386="positive",Y1386="positive"),"a",IF(Y1386="positive","b",IF(W1386="positive","c","d"))))</x:f>
        <x:v>d</x:v>
      </x:c>
    </x:row>
    <x:row r="1387" ht="24" customHeight="1">
      <x:c r="A1387" s="12" t="str">
        <x:v>12609</x:v>
      </x:c>
      <x:c r="B1387" s="12" t="str">
        <x:v>511</x:v>
      </x:c>
      <x:c r="C1387" s="21" t="n">
        <x:v>34544.42935185185</x:v>
      </x:c>
      <x:c r="D1387" s="12" t="n">
        <x:v>81</x:v>
      </x:c>
      <x:c r="E1387" s="12" t="n">
        <x:v>1</x:v>
      </x:c>
      <x:c r="F1387" s="12" t="str">
        <x:v>未记录</x:v>
      </x:c>
      <x:c r="G1387" s="12" t="n">
        <x:v>0</x:v>
      </x:c>
      <x:c r="H1387" s="12" t="str">
        <x:v>{'NORM': 100.0, 'SR': 0.0}</x:v>
      </x:c>
      <x:c r="I1387" s="12" t="str">
        <x:v>[('NSR', 100.0), ('NML', 100.0)]</x:v>
      </x:c>
      <x:c r="J1387" s="12" t="str">
        <x:v>ptbxl_database.csv；ecg_id=12609；scp_codes</x:v>
      </x:c>
      <x:c r="K1387" s="12" t="str">
        <x:v>12sl_statements.csv；ecg_id=12609；statements_ext_snomed</x:v>
      </x:c>
      <x:c r="L1387" s="12"/>
      <x:c r="M1387" s="12" t="str">
        <x:v>negative</x:v>
      </x:c>
      <x:c r="N1387" s="12"/>
      <x:c r="O1387" s="12" t="str">
        <x:v>negative</x:v>
      </x:c>
      <x:c r="P1387" s="12" t="str">
        <x:f>IF(OR(M1387="unavailable",O1387="unavailable"),"不可评价",IF(OR(M1387="equivocal",O1387="equivocal"),"疑似",IF(AND(M1387="positive",O1387="positive"),"a",IF(O1387="positive","b",IF(M1387="positive","c","d")))))</x:f>
        <x:v>d</x:v>
      </x:c>
      <x:c r="Q1387" s="12"/>
      <x:c r="R1387" s="12" t="str">
        <x:v>negative</x:v>
      </x:c>
      <x:c r="S1387" s="12"/>
      <x:c r="T1387" s="12" t="str">
        <x:v>negative</x:v>
      </x:c>
      <x:c r="U1387" s="12" t="str">
        <x:f>IF(OR(R1387="unavailable",T1387="unavailable"),"不可评价",IF(OR(R1387="equivocal",T1387="equivocal"),"疑似",IF(AND(R1387="positive",T1387="positive"),"a",IF(T1387="positive","b",IF(R1387="positive","c","d")))))</x:f>
        <x:v>d</x:v>
      </x:c>
      <x:c r="V1387" s="12"/>
      <x:c r="W1387" s="12" t="str">
        <x:v>negative</x:v>
      </x:c>
      <x:c r="X1387" s="12"/>
      <x:c r="Y1387" s="12" t="str">
        <x:v>negative</x:v>
      </x:c>
      <x:c r="Z1387" s="12" t="str">
        <x:f>IF(OR(W1387="unavailable",Y1387="unavailable"),"不可评价",IF(OR(W1387="equivocal",Y1387="equivocal"),"疑似",IF(AND(W1387="positive",Y1387="positive"),"a",IF(Y1387="positive","b",IF(W1387="positive","c","d")))))</x:f>
        <x:v>d</x:v>
      </x:c>
      <x:c r="AA1387" s="12" t="str">
        <x:f>IF(OR(M1387="unavailable",O1387="unavailable"),"不可评价",IF(AND(OR(M1387="positive",M1387="equivocal"),OR(O1387="positive",O1387="equivocal")),"a",IF(OR(O1387="positive",O1387="equivocal"),"b",IF(OR(M1387="positive",M1387="equivocal"),"c","d"))))</x:f>
        <x:v>d</x:v>
      </x:c>
      <x:c r="AB1387" s="12" t="str">
        <x:f>IF(OR(M1387="unavailable",O1387="unavailable"),"不可评价",IF(AND(M1387="positive",O1387="positive"),"a",IF(O1387="positive","b",IF(M1387="positive","c","d"))))</x:f>
        <x:v>d</x:v>
      </x:c>
      <x:c r="AC1387" s="12" t="str">
        <x:f>IF(OR(R1387="unavailable",T1387="unavailable"),"不可评价",IF(AND(OR(R1387="positive",R1387="equivocal"),OR(T1387="positive",T1387="equivocal")),"a",IF(OR(T1387="positive",T1387="equivocal"),"b",IF(OR(R1387="positive",R1387="equivocal"),"c","d"))))</x:f>
        <x:v>d</x:v>
      </x:c>
      <x:c r="AD1387" s="12" t="str">
        <x:f>IF(OR(R1387="unavailable",T1387="unavailable"),"不可评价",IF(AND(R1387="positive",T1387="positive"),"a",IF(T1387="positive","b",IF(R1387="positive","c","d"))))</x:f>
        <x:v>d</x:v>
      </x:c>
      <x:c r="AE1387" s="12" t="str">
        <x:f>IF(OR(W1387="unavailable",Y1387="unavailable"),"不可评价",IF(AND(OR(W1387="positive",W1387="equivocal"),OR(Y1387="positive",Y1387="equivocal")),"a",IF(OR(Y1387="positive",Y1387="equivocal"),"b",IF(OR(W1387="positive",W1387="equivocal"),"c","d"))))</x:f>
        <x:v>d</x:v>
      </x:c>
      <x:c r="AF1387" s="12" t="str">
        <x:f>IF(OR(W1387="unavailable",Y1387="unavailable"),"不可评价",IF(AND(W1387="positive",Y1387="positive"),"a",IF(Y1387="positive","b",IF(W1387="positive","c","d"))))</x:f>
        <x:v>d</x:v>
      </x:c>
    </x:row>
    <x:row r="1388" ht="39" customHeight="1">
      <x:c r="A1388" s="12" t="str">
        <x:v>12618</x:v>
      </x:c>
      <x:c r="B1388" s="12" t="str">
        <x:v>7032</x:v>
      </x:c>
      <x:c r="C1388" s="21" t="n">
        <x:v>34545.44929398148</x:v>
      </x:c>
      <x:c r="D1388" s="12" t="n">
        <x:v>69</x:v>
      </x:c>
      <x:c r="E1388" s="12" t="n">
        <x:v>0</x:v>
      </x:c>
      <x:c r="F1388" s="12" t="str">
        <x:v>未记录</x:v>
      </x:c>
      <x:c r="G1388" s="12" t="n">
        <x:v>1</x:v>
      </x:c>
      <x:c r="H1388" s="12" t="str">
        <x:v>{'ALMI': 100.0, 'ASMI': 100.0, 'PVC': 100.0, 'QWAVE': 0.0, 'INVT': 0.0, 'SR': 0.0}</x:v>
      </x:c>
      <x:c r="I1388" s="12" t="str">
        <x:v>[('SRTH', 100.0), ('PVC', 100.0), ('LAD3', 100.0), ('LVH2', 100.0), ('QRSW-2ST', 100.0), ('IMI;AU', 50.0), ('AMI;AC', 100.0), ('STEMI', 100.0), ('AB', 100.0)]</x:v>
      </x:c>
      <x:c r="J1388" s="12" t="str">
        <x:v>ptbxl_database.csv；ecg_id=12618；scp_codes</x:v>
      </x:c>
      <x:c r="K1388" s="12" t="str">
        <x:v>12sl_statements.csv；ecg_id=12618；statements_ext_snomed</x:v>
      </x:c>
      <x:c r="L1388" s="12"/>
      <x:c r="M1388" s="12" t="str">
        <x:v>negative</x:v>
      </x:c>
      <x:c r="N1388" s="12"/>
      <x:c r="O1388" s="12" t="str">
        <x:v>negative</x:v>
      </x:c>
      <x:c r="P1388" s="12" t="str">
        <x:f>IF(OR(M1388="unavailable",O1388="unavailable"),"不可评价",IF(OR(M1388="equivocal",O1388="equivocal"),"疑似",IF(AND(M1388="positive",O1388="positive"),"a",IF(O1388="positive","b",IF(M1388="positive","c","d")))))</x:f>
        <x:v>d</x:v>
      </x:c>
      <x:c r="Q1388" s="12"/>
      <x:c r="R1388" s="12" t="str">
        <x:v>negative</x:v>
      </x:c>
      <x:c r="S1388" s="12"/>
      <x:c r="T1388" s="12" t="str">
        <x:v>negative</x:v>
      </x:c>
      <x:c r="U1388" s="12" t="str">
        <x:f>IF(OR(R1388="unavailable",T1388="unavailable"),"不可评价",IF(OR(R1388="equivocal",T1388="equivocal"),"疑似",IF(AND(R1388="positive",T1388="positive"),"a",IF(T1388="positive","b",IF(R1388="positive","c","d")))))</x:f>
        <x:v>d</x:v>
      </x:c>
      <x:c r="V1388" s="12"/>
      <x:c r="W1388" s="12" t="str">
        <x:v>negative</x:v>
      </x:c>
      <x:c r="X1388" s="12"/>
      <x:c r="Y1388" s="12" t="str">
        <x:v>negative</x:v>
      </x:c>
      <x:c r="Z1388" s="12" t="str">
        <x:f>IF(OR(W1388="unavailable",Y1388="unavailable"),"不可评价",IF(OR(W1388="equivocal",Y1388="equivocal"),"疑似",IF(AND(W1388="positive",Y1388="positive"),"a",IF(Y1388="positive","b",IF(W1388="positive","c","d")))))</x:f>
        <x:v>d</x:v>
      </x:c>
      <x:c r="AA1388" s="12" t="str">
        <x:f>IF(OR(M1388="unavailable",O1388="unavailable"),"不可评价",IF(AND(OR(M1388="positive",M1388="equivocal"),OR(O1388="positive",O1388="equivocal")),"a",IF(OR(O1388="positive",O1388="equivocal"),"b",IF(OR(M1388="positive",M1388="equivocal"),"c","d"))))</x:f>
        <x:v>d</x:v>
      </x:c>
      <x:c r="AB1388" s="12" t="str">
        <x:f>IF(OR(M1388="unavailable",O1388="unavailable"),"不可评价",IF(AND(M1388="positive",O1388="positive"),"a",IF(O1388="positive","b",IF(M1388="positive","c","d"))))</x:f>
        <x:v>d</x:v>
      </x:c>
      <x:c r="AC1388" s="12" t="str">
        <x:f>IF(OR(R1388="unavailable",T1388="unavailable"),"不可评价",IF(AND(OR(R1388="positive",R1388="equivocal"),OR(T1388="positive",T1388="equivocal")),"a",IF(OR(T1388="positive",T1388="equivocal"),"b",IF(OR(R1388="positive",R1388="equivocal"),"c","d"))))</x:f>
        <x:v>d</x:v>
      </x:c>
      <x:c r="AD1388" s="12" t="str">
        <x:f>IF(OR(R1388="unavailable",T1388="unavailable"),"不可评价",IF(AND(R1388="positive",T1388="positive"),"a",IF(T1388="positive","b",IF(R1388="positive","c","d"))))</x:f>
        <x:v>d</x:v>
      </x:c>
      <x:c r="AE1388" s="12" t="str">
        <x:f>IF(OR(W1388="unavailable",Y1388="unavailable"),"不可评价",IF(AND(OR(W1388="positive",W1388="equivocal"),OR(Y1388="positive",Y1388="equivocal")),"a",IF(OR(Y1388="positive",Y1388="equivocal"),"b",IF(OR(W1388="positive",W1388="equivocal"),"c","d"))))</x:f>
        <x:v>d</x:v>
      </x:c>
      <x:c r="AF1388" s="12" t="str">
        <x:f>IF(OR(W1388="unavailable",Y1388="unavailable"),"不可评价",IF(AND(W1388="positive",Y1388="positive"),"a",IF(Y1388="positive","b",IF(W1388="positive","c","d"))))</x:f>
        <x:v>d</x:v>
      </x:c>
    </x:row>
    <x:row r="1389" ht="24" customHeight="1">
      <x:c r="A1389" s="12" t="str">
        <x:v>12619</x:v>
      </x:c>
      <x:c r="B1389" s="12" t="str">
        <x:v>5648</x:v>
      </x:c>
      <x:c r="C1389" s="21" t="n">
        <x:v>34545.4503125</x:v>
      </x:c>
      <x:c r="D1389" s="12" t="n">
        <x:v>68</x:v>
      </x:c>
      <x:c r="E1389" s="12" t="n">
        <x:v>1</x:v>
      </x:c>
      <x:c r="F1389" s="12" t="str">
        <x:v>未记录</x:v>
      </x:c>
      <x:c r="G1389" s="12" t="n">
        <x:v>1</x:v>
      </x:c>
      <x:c r="H1389" s="12" t="str">
        <x:v>{'NORM': 100.0, 'SR': 0.0}</x:v>
      </x:c>
      <x:c r="I1389" s="12" t="str">
        <x:v>[('SBRAD', 100.0), ('ABR', 100.0)]</x:v>
      </x:c>
      <x:c r="J1389" s="12" t="str">
        <x:v>ptbxl_database.csv；ecg_id=12619；scp_codes</x:v>
      </x:c>
      <x:c r="K1389" s="12" t="str">
        <x:v>12sl_statements.csv；ecg_id=12619；statements_ext_snomed</x:v>
      </x:c>
      <x:c r="L1389" s="12"/>
      <x:c r="M1389" s="12" t="str">
        <x:v>negative</x:v>
      </x:c>
      <x:c r="N1389" s="12"/>
      <x:c r="O1389" s="12" t="str">
        <x:v>negative</x:v>
      </x:c>
      <x:c r="P1389" s="12" t="str">
        <x:f>IF(OR(M1389="unavailable",O1389="unavailable"),"不可评价",IF(OR(M1389="equivocal",O1389="equivocal"),"疑似",IF(AND(M1389="positive",O1389="positive"),"a",IF(O1389="positive","b",IF(M1389="positive","c","d")))))</x:f>
        <x:v>d</x:v>
      </x:c>
      <x:c r="Q1389" s="12"/>
      <x:c r="R1389" s="12" t="str">
        <x:v>negative</x:v>
      </x:c>
      <x:c r="S1389" s="12"/>
      <x:c r="T1389" s="12" t="str">
        <x:v>negative</x:v>
      </x:c>
      <x:c r="U1389" s="12" t="str">
        <x:f>IF(OR(R1389="unavailable",T1389="unavailable"),"不可评价",IF(OR(R1389="equivocal",T1389="equivocal"),"疑似",IF(AND(R1389="positive",T1389="positive"),"a",IF(T1389="positive","b",IF(R1389="positive","c","d")))))</x:f>
        <x:v>d</x:v>
      </x:c>
      <x:c r="V1389" s="12"/>
      <x:c r="W1389" s="12" t="str">
        <x:v>negative</x:v>
      </x:c>
      <x:c r="X1389" s="12"/>
      <x:c r="Y1389" s="12" t="str">
        <x:v>negative</x:v>
      </x:c>
      <x:c r="Z1389" s="12" t="str">
        <x:f>IF(OR(W1389="unavailable",Y1389="unavailable"),"不可评价",IF(OR(W1389="equivocal",Y1389="equivocal"),"疑似",IF(AND(W1389="positive",Y1389="positive"),"a",IF(Y1389="positive","b",IF(W1389="positive","c","d")))))</x:f>
        <x:v>d</x:v>
      </x:c>
      <x:c r="AA1389" s="12" t="str">
        <x:f>IF(OR(M1389="unavailable",O1389="unavailable"),"不可评价",IF(AND(OR(M1389="positive",M1389="equivocal"),OR(O1389="positive",O1389="equivocal")),"a",IF(OR(O1389="positive",O1389="equivocal"),"b",IF(OR(M1389="positive",M1389="equivocal"),"c","d"))))</x:f>
        <x:v>d</x:v>
      </x:c>
      <x:c r="AB1389" s="12" t="str">
        <x:f>IF(OR(M1389="unavailable",O1389="unavailable"),"不可评价",IF(AND(M1389="positive",O1389="positive"),"a",IF(O1389="positive","b",IF(M1389="positive","c","d"))))</x:f>
        <x:v>d</x:v>
      </x:c>
      <x:c r="AC1389" s="12" t="str">
        <x:f>IF(OR(R1389="unavailable",T1389="unavailable"),"不可评价",IF(AND(OR(R1389="positive",R1389="equivocal"),OR(T1389="positive",T1389="equivocal")),"a",IF(OR(T1389="positive",T1389="equivocal"),"b",IF(OR(R1389="positive",R1389="equivocal"),"c","d"))))</x:f>
        <x:v>d</x:v>
      </x:c>
      <x:c r="AD1389" s="12" t="str">
        <x:f>IF(OR(R1389="unavailable",T1389="unavailable"),"不可评价",IF(AND(R1389="positive",T1389="positive"),"a",IF(T1389="positive","b",IF(R1389="positive","c","d"))))</x:f>
        <x:v>d</x:v>
      </x:c>
      <x:c r="AE1389" s="12" t="str">
        <x:f>IF(OR(W1389="unavailable",Y1389="unavailable"),"不可评价",IF(AND(OR(W1389="positive",W1389="equivocal"),OR(Y1389="positive",Y1389="equivocal")),"a",IF(OR(Y1389="positive",Y1389="equivocal"),"b",IF(OR(W1389="positive",W1389="equivocal"),"c","d"))))</x:f>
        <x:v>d</x:v>
      </x:c>
      <x:c r="AF1389" s="12" t="str">
        <x:f>IF(OR(W1389="unavailable",Y1389="unavailable"),"不可评价",IF(AND(W1389="positive",Y1389="positive"),"a",IF(Y1389="positive","b",IF(W1389="positive","c","d"))))</x:f>
        <x:v>d</x:v>
      </x:c>
    </x:row>
    <x:row r="1390" ht="24" customHeight="1">
      <x:c r="A1390" s="12" t="str">
        <x:v>12620</x:v>
      </x:c>
      <x:c r="B1390" s="12" t="str">
        <x:v>511</x:v>
      </x:c>
      <x:c r="C1390" s="21" t="n">
        <x:v>34545.465833333335</x:v>
      </x:c>
      <x:c r="D1390" s="12" t="n">
        <x:v>81</x:v>
      </x:c>
      <x:c r="E1390" s="12" t="n">
        <x:v>1</x:v>
      </x:c>
      <x:c r="F1390" s="12" t="str">
        <x:v>未记录</x:v>
      </x:c>
      <x:c r="G1390" s="12" t="n">
        <x:v>0</x:v>
      </x:c>
      <x:c r="H1390" s="12" t="str">
        <x:v>{'NORM': 100.0, 'SR': 0.0}</x:v>
      </x:c>
      <x:c r="I1390" s="12" t="str">
        <x:v>[('NSR', 100.0), ('NML', 100.0)]</x:v>
      </x:c>
      <x:c r="J1390" s="12" t="str">
        <x:v>ptbxl_database.csv；ecg_id=12620；scp_codes</x:v>
      </x:c>
      <x:c r="K1390" s="12" t="str">
        <x:v>12sl_statements.csv；ecg_id=12620；statements_ext_snomed</x:v>
      </x:c>
      <x:c r="L1390" s="12"/>
      <x:c r="M1390" s="12" t="str">
        <x:v>negative</x:v>
      </x:c>
      <x:c r="N1390" s="12"/>
      <x:c r="O1390" s="12" t="str">
        <x:v>negative</x:v>
      </x:c>
      <x:c r="P1390" s="12" t="str">
        <x:f>IF(OR(M1390="unavailable",O1390="unavailable"),"不可评价",IF(OR(M1390="equivocal",O1390="equivocal"),"疑似",IF(AND(M1390="positive",O1390="positive"),"a",IF(O1390="positive","b",IF(M1390="positive","c","d")))))</x:f>
        <x:v>d</x:v>
      </x:c>
      <x:c r="Q1390" s="12"/>
      <x:c r="R1390" s="12" t="str">
        <x:v>negative</x:v>
      </x:c>
      <x:c r="S1390" s="12"/>
      <x:c r="T1390" s="12" t="str">
        <x:v>negative</x:v>
      </x:c>
      <x:c r="U1390" s="12" t="str">
        <x:f>IF(OR(R1390="unavailable",T1390="unavailable"),"不可评价",IF(OR(R1390="equivocal",T1390="equivocal"),"疑似",IF(AND(R1390="positive",T1390="positive"),"a",IF(T1390="positive","b",IF(R1390="positive","c","d")))))</x:f>
        <x:v>d</x:v>
      </x:c>
      <x:c r="V1390" s="12"/>
      <x:c r="W1390" s="12" t="str">
        <x:v>negative</x:v>
      </x:c>
      <x:c r="X1390" s="12"/>
      <x:c r="Y1390" s="12" t="str">
        <x:v>negative</x:v>
      </x:c>
      <x:c r="Z1390" s="12" t="str">
        <x:f>IF(OR(W1390="unavailable",Y1390="unavailable"),"不可评价",IF(OR(W1390="equivocal",Y1390="equivocal"),"疑似",IF(AND(W1390="positive",Y1390="positive"),"a",IF(Y1390="positive","b",IF(W1390="positive","c","d")))))</x:f>
        <x:v>d</x:v>
      </x:c>
      <x:c r="AA1390" s="12" t="str">
        <x:f>IF(OR(M1390="unavailable",O1390="unavailable"),"不可评价",IF(AND(OR(M1390="positive",M1390="equivocal"),OR(O1390="positive",O1390="equivocal")),"a",IF(OR(O1390="positive",O1390="equivocal"),"b",IF(OR(M1390="positive",M1390="equivocal"),"c","d"))))</x:f>
        <x:v>d</x:v>
      </x:c>
      <x:c r="AB1390" s="12" t="str">
        <x:f>IF(OR(M1390="unavailable",O1390="unavailable"),"不可评价",IF(AND(M1390="positive",O1390="positive"),"a",IF(O1390="positive","b",IF(M1390="positive","c","d"))))</x:f>
        <x:v>d</x:v>
      </x:c>
      <x:c r="AC1390" s="12" t="str">
        <x:f>IF(OR(R1390="unavailable",T1390="unavailable"),"不可评价",IF(AND(OR(R1390="positive",R1390="equivocal"),OR(T1390="positive",T1390="equivocal")),"a",IF(OR(T1390="positive",T1390="equivocal"),"b",IF(OR(R1390="positive",R1390="equivocal"),"c","d"))))</x:f>
        <x:v>d</x:v>
      </x:c>
      <x:c r="AD1390" s="12" t="str">
        <x:f>IF(OR(R1390="unavailable",T1390="unavailable"),"不可评价",IF(AND(R1390="positive",T1390="positive"),"a",IF(T1390="positive","b",IF(R1390="positive","c","d"))))</x:f>
        <x:v>d</x:v>
      </x:c>
      <x:c r="AE1390" s="12" t="str">
        <x:f>IF(OR(W1390="unavailable",Y1390="unavailable"),"不可评价",IF(AND(OR(W1390="positive",W1390="equivocal"),OR(Y1390="positive",Y1390="equivocal")),"a",IF(OR(Y1390="positive",Y1390="equivocal"),"b",IF(OR(W1390="positive",W1390="equivocal"),"c","d"))))</x:f>
        <x:v>d</x:v>
      </x:c>
      <x:c r="AF1390" s="12" t="str">
        <x:f>IF(OR(W1390="unavailable",Y1390="unavailable"),"不可评价",IF(AND(W1390="positive",Y1390="positive"),"a",IF(Y1390="positive","b",IF(W1390="positive","c","d"))))</x:f>
        <x:v>d</x:v>
      </x:c>
    </x:row>
    <x:row r="1391" ht="24" customHeight="1">
      <x:c r="A1391" s="12" t="str">
        <x:v>12631</x:v>
      </x:c>
      <x:c r="B1391" s="12" t="str">
        <x:v>2588</x:v>
      </x:c>
      <x:c r="C1391" s="21" t="n">
        <x:v>34546.38854166667</x:v>
      </x:c>
      <x:c r="D1391" s="12" t="n">
        <x:v>67</x:v>
      </x:c>
      <x:c r="E1391" s="12" t="n">
        <x:v>0</x:v>
      </x:c>
      <x:c r="F1391" s="12" t="str">
        <x:v>未记录</x:v>
      </x:c>
      <x:c r="G1391" s="12" t="n">
        <x:v>1</x:v>
      </x:c>
      <x:c r="H1391" s="12" t="str">
        <x:v>{'IMI': 50.0, 'LVOLT': 0.0, 'SR': 0.0}</x:v>
      </x:c>
      <x:c r="I1391" s="12" t="str">
        <x:v>[('NSR', 100.0), ('IMI;AU', 100.0), ('AB', 100.0)]</x:v>
      </x:c>
      <x:c r="J1391" s="12" t="str">
        <x:v>ptbxl_database.csv；ecg_id=12631；scp_codes</x:v>
      </x:c>
      <x:c r="K1391" s="12" t="str">
        <x:v>12sl_statements.csv；ecg_id=12631；statements_ext_snomed</x:v>
      </x:c>
      <x:c r="L1391" s="12"/>
      <x:c r="M1391" s="12" t="str">
        <x:v>negative</x:v>
      </x:c>
      <x:c r="N1391" s="12"/>
      <x:c r="O1391" s="12" t="str">
        <x:v>negative</x:v>
      </x:c>
      <x:c r="P1391" s="12" t="str">
        <x:f>IF(OR(M1391="unavailable",O1391="unavailable"),"不可评价",IF(OR(M1391="equivocal",O1391="equivocal"),"疑似",IF(AND(M1391="positive",O1391="positive"),"a",IF(O1391="positive","b",IF(M1391="positive","c","d")))))</x:f>
        <x:v>d</x:v>
      </x:c>
      <x:c r="Q1391" s="12"/>
      <x:c r="R1391" s="12" t="str">
        <x:v>negative</x:v>
      </x:c>
      <x:c r="S1391" s="12"/>
      <x:c r="T1391" s="12" t="str">
        <x:v>negative</x:v>
      </x:c>
      <x:c r="U1391" s="12" t="str">
        <x:f>IF(OR(R1391="unavailable",T1391="unavailable"),"不可评价",IF(OR(R1391="equivocal",T1391="equivocal"),"疑似",IF(AND(R1391="positive",T1391="positive"),"a",IF(T1391="positive","b",IF(R1391="positive","c","d")))))</x:f>
        <x:v>d</x:v>
      </x:c>
      <x:c r="V1391" s="12"/>
      <x:c r="W1391" s="12" t="str">
        <x:v>negative</x:v>
      </x:c>
      <x:c r="X1391" s="12"/>
      <x:c r="Y1391" s="12" t="str">
        <x:v>negative</x:v>
      </x:c>
      <x:c r="Z1391" s="12" t="str">
        <x:f>IF(OR(W1391="unavailable",Y1391="unavailable"),"不可评价",IF(OR(W1391="equivocal",Y1391="equivocal"),"疑似",IF(AND(W1391="positive",Y1391="positive"),"a",IF(Y1391="positive","b",IF(W1391="positive","c","d")))))</x:f>
        <x:v>d</x:v>
      </x:c>
      <x:c r="AA1391" s="12" t="str">
        <x:f>IF(OR(M1391="unavailable",O1391="unavailable"),"不可评价",IF(AND(OR(M1391="positive",M1391="equivocal"),OR(O1391="positive",O1391="equivocal")),"a",IF(OR(O1391="positive",O1391="equivocal"),"b",IF(OR(M1391="positive",M1391="equivocal"),"c","d"))))</x:f>
        <x:v>d</x:v>
      </x:c>
      <x:c r="AB1391" s="12" t="str">
        <x:f>IF(OR(M1391="unavailable",O1391="unavailable"),"不可评价",IF(AND(M1391="positive",O1391="positive"),"a",IF(O1391="positive","b",IF(M1391="positive","c","d"))))</x:f>
        <x:v>d</x:v>
      </x:c>
      <x:c r="AC1391" s="12" t="str">
        <x:f>IF(OR(R1391="unavailable",T1391="unavailable"),"不可评价",IF(AND(OR(R1391="positive",R1391="equivocal"),OR(T1391="positive",T1391="equivocal")),"a",IF(OR(T1391="positive",T1391="equivocal"),"b",IF(OR(R1391="positive",R1391="equivocal"),"c","d"))))</x:f>
        <x:v>d</x:v>
      </x:c>
      <x:c r="AD1391" s="12" t="str">
        <x:f>IF(OR(R1391="unavailable",T1391="unavailable"),"不可评价",IF(AND(R1391="positive",T1391="positive"),"a",IF(T1391="positive","b",IF(R1391="positive","c","d"))))</x:f>
        <x:v>d</x:v>
      </x:c>
      <x:c r="AE1391" s="12" t="str">
        <x:f>IF(OR(W1391="unavailable",Y1391="unavailable"),"不可评价",IF(AND(OR(W1391="positive",W1391="equivocal"),OR(Y1391="positive",Y1391="equivocal")),"a",IF(OR(Y1391="positive",Y1391="equivocal"),"b",IF(OR(W1391="positive",W1391="equivocal"),"c","d"))))</x:f>
        <x:v>d</x:v>
      </x:c>
      <x:c r="AF1391" s="12" t="str">
        <x:f>IF(OR(W1391="unavailable",Y1391="unavailable"),"不可评价",IF(AND(W1391="positive",Y1391="positive"),"a",IF(Y1391="positive","b",IF(W1391="positive","c","d"))))</x:f>
        <x:v>d</x:v>
      </x:c>
    </x:row>
    <x:row r="1392" ht="39" customHeight="1">
      <x:c r="A1392" s="12" t="str">
        <x:v>12641</x:v>
      </x:c>
      <x:c r="B1392" s="12" t="str">
        <x:v>535</x:v>
      </x:c>
      <x:c r="C1392" s="21" t="n">
        <x:v>34546.535046296296</x:v>
      </x:c>
      <x:c r="D1392" s="12" t="n">
        <x:v>72</x:v>
      </x:c>
      <x:c r="E1392" s="12" t="n">
        <x:v>1</x:v>
      </x:c>
      <x:c r="F1392" s="12" t="str">
        <x:v>未记录</x:v>
      </x:c>
      <x:c r="G1392" s="12" t="n">
        <x:v>0</x:v>
      </x:c>
      <x:c r="H1392" s="12" t="str">
        <x:v>{'ASMI': 100.0, 'LAFB': 100.0, 'PAC': 0.0, 'QWAVE': 0.0, 'STD_': 0.0, 'SR': 0.0}</x:v>
      </x:c>
      <x:c r="I1392" s="12" t="str">
        <x:v>[('NSR', 100.0), ('SAR', 100.0), ('AFB', 100.0), ('SMI;AU', 100.0), ('AB', 100.0)]</x:v>
      </x:c>
      <x:c r="J1392" s="12" t="str">
        <x:v>ptbxl_database.csv；ecg_id=12641；scp_codes</x:v>
      </x:c>
      <x:c r="K1392" s="12" t="str">
        <x:v>12sl_statements.csv；ecg_id=12641；statements_ext_snomed</x:v>
      </x:c>
      <x:c r="L1392" s="12"/>
      <x:c r="M1392" s="12" t="str">
        <x:v>negative</x:v>
      </x:c>
      <x:c r="N1392" s="12"/>
      <x:c r="O1392" s="12" t="str">
        <x:v>negative</x:v>
      </x:c>
      <x:c r="P1392" s="12" t="str">
        <x:f>IF(OR(M1392="unavailable",O1392="unavailable"),"不可评价",IF(OR(M1392="equivocal",O1392="equivocal"),"疑似",IF(AND(M1392="positive",O1392="positive"),"a",IF(O1392="positive","b",IF(M1392="positive","c","d")))))</x:f>
        <x:v>d</x:v>
      </x:c>
      <x:c r="Q1392" s="12"/>
      <x:c r="R1392" s="12" t="str">
        <x:v>negative</x:v>
      </x:c>
      <x:c r="S1392" s="12"/>
      <x:c r="T1392" s="12" t="str">
        <x:v>negative</x:v>
      </x:c>
      <x:c r="U1392" s="12" t="str">
        <x:f>IF(OR(R1392="unavailable",T1392="unavailable"),"不可评价",IF(OR(R1392="equivocal",T1392="equivocal"),"疑似",IF(AND(R1392="positive",T1392="positive"),"a",IF(T1392="positive","b",IF(R1392="positive","c","d")))))</x:f>
        <x:v>d</x:v>
      </x:c>
      <x:c r="V1392" s="12"/>
      <x:c r="W1392" s="12" t="str">
        <x:v>negative</x:v>
      </x:c>
      <x:c r="X1392" s="12"/>
      <x:c r="Y1392" s="12" t="str">
        <x:v>negative</x:v>
      </x:c>
      <x:c r="Z1392" s="12" t="str">
        <x:f>IF(OR(W1392="unavailable",Y1392="unavailable"),"不可评价",IF(OR(W1392="equivocal",Y1392="equivocal"),"疑似",IF(AND(W1392="positive",Y1392="positive"),"a",IF(Y1392="positive","b",IF(W1392="positive","c","d")))))</x:f>
        <x:v>d</x:v>
      </x:c>
      <x:c r="AA1392" s="12" t="str">
        <x:f>IF(OR(M1392="unavailable",O1392="unavailable"),"不可评价",IF(AND(OR(M1392="positive",M1392="equivocal"),OR(O1392="positive",O1392="equivocal")),"a",IF(OR(O1392="positive",O1392="equivocal"),"b",IF(OR(M1392="positive",M1392="equivocal"),"c","d"))))</x:f>
        <x:v>d</x:v>
      </x:c>
      <x:c r="AB1392" s="12" t="str">
        <x:f>IF(OR(M1392="unavailable",O1392="unavailable"),"不可评价",IF(AND(M1392="positive",O1392="positive"),"a",IF(O1392="positive","b",IF(M1392="positive","c","d"))))</x:f>
        <x:v>d</x:v>
      </x:c>
      <x:c r="AC1392" s="12" t="str">
        <x:f>IF(OR(R1392="unavailable",T1392="unavailable"),"不可评价",IF(AND(OR(R1392="positive",R1392="equivocal"),OR(T1392="positive",T1392="equivocal")),"a",IF(OR(T1392="positive",T1392="equivocal"),"b",IF(OR(R1392="positive",R1392="equivocal"),"c","d"))))</x:f>
        <x:v>d</x:v>
      </x:c>
      <x:c r="AD1392" s="12" t="str">
        <x:f>IF(OR(R1392="unavailable",T1392="unavailable"),"不可评价",IF(AND(R1392="positive",T1392="positive"),"a",IF(T1392="positive","b",IF(R1392="positive","c","d"))))</x:f>
        <x:v>d</x:v>
      </x:c>
      <x:c r="AE1392" s="12" t="str">
        <x:f>IF(OR(W1392="unavailable",Y1392="unavailable"),"不可评价",IF(AND(OR(W1392="positive",W1392="equivocal"),OR(Y1392="positive",Y1392="equivocal")),"a",IF(OR(Y1392="positive",Y1392="equivocal"),"b",IF(OR(W1392="positive",W1392="equivocal"),"c","d"))))</x:f>
        <x:v>d</x:v>
      </x:c>
      <x:c r="AF1392" s="12" t="str">
        <x:f>IF(OR(W1392="unavailable",Y1392="unavailable"),"不可评价",IF(AND(W1392="positive",Y1392="positive"),"a",IF(Y1392="positive","b",IF(W1392="positive","c","d"))))</x:f>
        <x:v>d</x:v>
      </x:c>
    </x:row>
    <x:row r="1393" ht="24" customHeight="1">
      <x:c r="A1393" s="12" t="str">
        <x:v>12646</x:v>
      </x:c>
      <x:c r="B1393" s="12" t="str">
        <x:v>493</x:v>
      </x:c>
      <x:c r="C1393" s="21" t="n">
        <x:v>34546.68954861111</x:v>
      </x:c>
      <x:c r="D1393" s="12" t="n">
        <x:v>84</x:v>
      </x:c>
      <x:c r="E1393" s="12" t="n">
        <x:v>1</x:v>
      </x:c>
      <x:c r="F1393" s="12" t="str">
        <x:v>存在</x:v>
      </x:c>
      <x:c r="G1393" s="12" t="n">
        <x:v>0</x:v>
      </x:c>
      <x:c r="H1393" s="12" t="str">
        <x:v>{'ISC_': 100.0, 'LVH': 100.0, 'AFIB': 0.0}</x:v>
      </x:c>
      <x:c r="I1393" s="12" t="str">
        <x:v>[('AFIB', 100.0), ('RVR', 100.0), ('MSTDAL', 100.0), ('AB', 100.0)]</x:v>
      </x:c>
      <x:c r="J1393" s="12" t="str">
        <x:v>ptbxl_database.csv；ecg_id=12646；scp_codes</x:v>
      </x:c>
      <x:c r="K1393" s="12" t="str">
        <x:v>12sl_statements.csv；ecg_id=12646；statements_ext_snomed</x:v>
      </x:c>
      <x:c r="L1393" s="12" t="n">
        <x:v>0</x:v>
      </x:c>
      <x:c r="M1393" s="12" t="str">
        <x:v>positive</x:v>
      </x:c>
      <x:c r="N1393" s="12" t="n">
        <x:v>100</x:v>
      </x:c>
      <x:c r="O1393" s="12" t="str">
        <x:v>positive</x:v>
      </x:c>
      <x:c r="P1393" s="12" t="str">
        <x:f>IF(OR(M1393="unavailable",O1393="unavailable"),"不可评价",IF(OR(M1393="equivocal",O1393="equivocal"),"疑似",IF(AND(M1393="positive",O1393="positive"),"a",IF(O1393="positive","b",IF(M1393="positive","c","d")))))</x:f>
        <x:v>a</x:v>
      </x:c>
      <x:c r="Q1393" s="12"/>
      <x:c r="R1393" s="12" t="str">
        <x:v>negative</x:v>
      </x:c>
      <x:c r="S1393" s="12"/>
      <x:c r="T1393" s="12" t="str">
        <x:v>negative</x:v>
      </x:c>
      <x:c r="U1393" s="12" t="str">
        <x:f>IF(OR(R1393="unavailable",T1393="unavailable"),"不可评价",IF(OR(R1393="equivocal",T1393="equivocal"),"疑似",IF(AND(R1393="positive",T1393="positive"),"a",IF(T1393="positive","b",IF(R1393="positive","c","d")))))</x:f>
        <x:v>d</x:v>
      </x:c>
      <x:c r="V1393" s="12"/>
      <x:c r="W1393" s="12" t="str">
        <x:v>negative</x:v>
      </x:c>
      <x:c r="X1393" s="12"/>
      <x:c r="Y1393" s="12" t="str">
        <x:v>negative</x:v>
      </x:c>
      <x:c r="Z1393" s="12" t="str">
        <x:f>IF(OR(W1393="unavailable",Y1393="unavailable"),"不可评价",IF(OR(W1393="equivocal",Y1393="equivocal"),"疑似",IF(AND(W1393="positive",Y1393="positive"),"a",IF(Y1393="positive","b",IF(W1393="positive","c","d")))))</x:f>
        <x:v>d</x:v>
      </x:c>
      <x:c r="AA1393" s="12" t="str">
        <x:f>IF(OR(M1393="unavailable",O1393="unavailable"),"不可评价",IF(AND(OR(M1393="positive",M1393="equivocal"),OR(O1393="positive",O1393="equivocal")),"a",IF(OR(O1393="positive",O1393="equivocal"),"b",IF(OR(M1393="positive",M1393="equivocal"),"c","d"))))</x:f>
        <x:v>a</x:v>
      </x:c>
      <x:c r="AB1393" s="12" t="str">
        <x:f>IF(OR(M1393="unavailable",O1393="unavailable"),"不可评价",IF(AND(M1393="positive",O1393="positive"),"a",IF(O1393="positive","b",IF(M1393="positive","c","d"))))</x:f>
        <x:v>a</x:v>
      </x:c>
      <x:c r="AC1393" s="12" t="str">
        <x:f>IF(OR(R1393="unavailable",T1393="unavailable"),"不可评价",IF(AND(OR(R1393="positive",R1393="equivocal"),OR(T1393="positive",T1393="equivocal")),"a",IF(OR(T1393="positive",T1393="equivocal"),"b",IF(OR(R1393="positive",R1393="equivocal"),"c","d"))))</x:f>
        <x:v>d</x:v>
      </x:c>
      <x:c r="AD1393" s="12" t="str">
        <x:f>IF(OR(R1393="unavailable",T1393="unavailable"),"不可评价",IF(AND(R1393="positive",T1393="positive"),"a",IF(T1393="positive","b",IF(R1393="positive","c","d"))))</x:f>
        <x:v>d</x:v>
      </x:c>
      <x:c r="AE1393" s="12" t="str">
        <x:f>IF(OR(W1393="unavailable",Y1393="unavailable"),"不可评价",IF(AND(OR(W1393="positive",W1393="equivocal"),OR(Y1393="positive",Y1393="equivocal")),"a",IF(OR(Y1393="positive",Y1393="equivocal"),"b",IF(OR(W1393="positive",W1393="equivocal"),"c","d"))))</x:f>
        <x:v>d</x:v>
      </x:c>
      <x:c r="AF1393" s="12" t="str">
        <x:f>IF(OR(W1393="unavailable",Y1393="unavailable"),"不可评价",IF(AND(W1393="positive",Y1393="positive"),"a",IF(Y1393="positive","b",IF(W1393="positive","c","d"))))</x:f>
        <x:v>d</x:v>
      </x:c>
    </x:row>
    <x:row r="1394" ht="24" customHeight="1">
      <x:c r="A1394" s="12" t="str">
        <x:v>12649</x:v>
      </x:c>
      <x:c r="B1394" s="12" t="str">
        <x:v>493</x:v>
      </x:c>
      <x:c r="C1394" s="21" t="n">
        <x:v>34547.37028935185</x:v>
      </x:c>
      <x:c r="D1394" s="12" t="n">
        <x:v>84</x:v>
      </x:c>
      <x:c r="E1394" s="12" t="n">
        <x:v>1</x:v>
      </x:c>
      <x:c r="F1394" s="12" t="str">
        <x:v>未记录</x:v>
      </x:c>
      <x:c r="G1394" s="12" t="n">
        <x:v>0</x:v>
      </x:c>
      <x:c r="H1394" s="12" t="str">
        <x:v>{'LVH': 100.0, 'ISC_': 100.0}</x:v>
      </x:c>
      <x:c r="I1394" s="12" t="str">
        <x:v>[('NSR', 100.0), ('LVH2', 100.0), ('2ST', 100.0), ('AB', 100.0)]</x:v>
      </x:c>
      <x:c r="J1394" s="12" t="str">
        <x:v>ptbxl_database.csv；ecg_id=12649；scp_codes</x:v>
      </x:c>
      <x:c r="K1394" s="12" t="str">
        <x:v>12sl_statements.csv；ecg_id=12649；statements_ext_snomed</x:v>
      </x:c>
      <x:c r="L1394" s="12"/>
      <x:c r="M1394" s="12" t="str">
        <x:v>negative</x:v>
      </x:c>
      <x:c r="N1394" s="12"/>
      <x:c r="O1394" s="12" t="str">
        <x:v>negative</x:v>
      </x:c>
      <x:c r="P1394" s="12" t="str">
        <x:f>IF(OR(M1394="unavailable",O1394="unavailable"),"不可评价",IF(OR(M1394="equivocal",O1394="equivocal"),"疑似",IF(AND(M1394="positive",O1394="positive"),"a",IF(O1394="positive","b",IF(M1394="positive","c","d")))))</x:f>
        <x:v>d</x:v>
      </x:c>
      <x:c r="Q1394" s="12"/>
      <x:c r="R1394" s="12" t="str">
        <x:v>negative</x:v>
      </x:c>
      <x:c r="S1394" s="12"/>
      <x:c r="T1394" s="12" t="str">
        <x:v>negative</x:v>
      </x:c>
      <x:c r="U1394" s="12" t="str">
        <x:f>IF(OR(R1394="unavailable",T1394="unavailable"),"不可评价",IF(OR(R1394="equivocal",T1394="equivocal"),"疑似",IF(AND(R1394="positive",T1394="positive"),"a",IF(T1394="positive","b",IF(R1394="positive","c","d")))))</x:f>
        <x:v>d</x:v>
      </x:c>
      <x:c r="V1394" s="12"/>
      <x:c r="W1394" s="12" t="str">
        <x:v>negative</x:v>
      </x:c>
      <x:c r="X1394" s="12"/>
      <x:c r="Y1394" s="12" t="str">
        <x:v>negative</x:v>
      </x:c>
      <x:c r="Z1394" s="12" t="str">
        <x:f>IF(OR(W1394="unavailable",Y1394="unavailable"),"不可评价",IF(OR(W1394="equivocal",Y1394="equivocal"),"疑似",IF(AND(W1394="positive",Y1394="positive"),"a",IF(Y1394="positive","b",IF(W1394="positive","c","d")))))</x:f>
        <x:v>d</x:v>
      </x:c>
      <x:c r="AA1394" s="12" t="str">
        <x:f>IF(OR(M1394="unavailable",O1394="unavailable"),"不可评价",IF(AND(OR(M1394="positive",M1394="equivocal"),OR(O1394="positive",O1394="equivocal")),"a",IF(OR(O1394="positive",O1394="equivocal"),"b",IF(OR(M1394="positive",M1394="equivocal"),"c","d"))))</x:f>
        <x:v>d</x:v>
      </x:c>
      <x:c r="AB1394" s="12" t="str">
        <x:f>IF(OR(M1394="unavailable",O1394="unavailable"),"不可评价",IF(AND(M1394="positive",O1394="positive"),"a",IF(O1394="positive","b",IF(M1394="positive","c","d"))))</x:f>
        <x:v>d</x:v>
      </x:c>
      <x:c r="AC1394" s="12" t="str">
        <x:f>IF(OR(R1394="unavailable",T1394="unavailable"),"不可评价",IF(AND(OR(R1394="positive",R1394="equivocal"),OR(T1394="positive",T1394="equivocal")),"a",IF(OR(T1394="positive",T1394="equivocal"),"b",IF(OR(R1394="positive",R1394="equivocal"),"c","d"))))</x:f>
        <x:v>d</x:v>
      </x:c>
      <x:c r="AD1394" s="12" t="str">
        <x:f>IF(OR(R1394="unavailable",T1394="unavailable"),"不可评价",IF(AND(R1394="positive",T1394="positive"),"a",IF(T1394="positive","b",IF(R1394="positive","c","d"))))</x:f>
        <x:v>d</x:v>
      </x:c>
      <x:c r="AE1394" s="12" t="str">
        <x:f>IF(OR(W1394="unavailable",Y1394="unavailable"),"不可评价",IF(AND(OR(W1394="positive",W1394="equivocal"),OR(Y1394="positive",Y1394="equivocal")),"a",IF(OR(Y1394="positive",Y1394="equivocal"),"b",IF(OR(W1394="positive",W1394="equivocal"),"c","d"))))</x:f>
        <x:v>d</x:v>
      </x:c>
      <x:c r="AF1394" s="12" t="str">
        <x:f>IF(OR(W1394="unavailable",Y1394="unavailable"),"不可评价",IF(AND(W1394="positive",Y1394="positive"),"a",IF(Y1394="positive","b",IF(W1394="positive","c","d"))))</x:f>
        <x:v>d</x:v>
      </x:c>
    </x:row>
    <x:row r="1395" ht="24" customHeight="1">
      <x:c r="A1395" s="12" t="str">
        <x:v>12677</x:v>
      </x:c>
      <x:c r="B1395" s="12" t="str">
        <x:v>5341</x:v>
      </x:c>
      <x:c r="C1395" s="21" t="n">
        <x:v>34549.57461805556</x:v>
      </x:c>
      <x:c r="D1395" s="12" t="n">
        <x:v>62</x:v>
      </x:c>
      <x:c r="E1395" s="12" t="n">
        <x:v>1</x:v>
      </x:c>
      <x:c r="F1395" s="12" t="str">
        <x:v>未记录</x:v>
      </x:c>
      <x:c r="G1395" s="12" t="n">
        <x:v>1</x:v>
      </x:c>
      <x:c r="H1395" s="12" t="str">
        <x:v>{'NORM': 100.0, 'STD_': 0.0, 'SR': 0.0}</x:v>
      </x:c>
      <x:c r="I1395" s="12" t="str">
        <x:v>[('SBRAD', 100.0), ('NST', 100.0), ('AB', 100.0)]</x:v>
      </x:c>
      <x:c r="J1395" s="12" t="str">
        <x:v>ptbxl_database.csv；ecg_id=12677；scp_codes</x:v>
      </x:c>
      <x:c r="K1395" s="12" t="str">
        <x:v>12sl_statements.csv；ecg_id=12677；statements_ext_snomed</x:v>
      </x:c>
      <x:c r="L1395" s="12"/>
      <x:c r="M1395" s="12" t="str">
        <x:v>negative</x:v>
      </x:c>
      <x:c r="N1395" s="12"/>
      <x:c r="O1395" s="12" t="str">
        <x:v>negative</x:v>
      </x:c>
      <x:c r="P1395" s="12" t="str">
        <x:f>IF(OR(M1395="unavailable",O1395="unavailable"),"不可评价",IF(OR(M1395="equivocal",O1395="equivocal"),"疑似",IF(AND(M1395="positive",O1395="positive"),"a",IF(O1395="positive","b",IF(M1395="positive","c","d")))))</x:f>
        <x:v>d</x:v>
      </x:c>
      <x:c r="Q1395" s="12"/>
      <x:c r="R1395" s="12" t="str">
        <x:v>negative</x:v>
      </x:c>
      <x:c r="S1395" s="12"/>
      <x:c r="T1395" s="12" t="str">
        <x:v>negative</x:v>
      </x:c>
      <x:c r="U1395" s="12" t="str">
        <x:f>IF(OR(R1395="unavailable",T1395="unavailable"),"不可评价",IF(OR(R1395="equivocal",T1395="equivocal"),"疑似",IF(AND(R1395="positive",T1395="positive"),"a",IF(T1395="positive","b",IF(R1395="positive","c","d")))))</x:f>
        <x:v>d</x:v>
      </x:c>
      <x:c r="V1395" s="12"/>
      <x:c r="W1395" s="12" t="str">
        <x:v>negative</x:v>
      </x:c>
      <x:c r="X1395" s="12"/>
      <x:c r="Y1395" s="12" t="str">
        <x:v>negative</x:v>
      </x:c>
      <x:c r="Z1395" s="12" t="str">
        <x:f>IF(OR(W1395="unavailable",Y1395="unavailable"),"不可评价",IF(OR(W1395="equivocal",Y1395="equivocal"),"疑似",IF(AND(W1395="positive",Y1395="positive"),"a",IF(Y1395="positive","b",IF(W1395="positive","c","d")))))</x:f>
        <x:v>d</x:v>
      </x:c>
      <x:c r="AA1395" s="12" t="str">
        <x:f>IF(OR(M1395="unavailable",O1395="unavailable"),"不可评价",IF(AND(OR(M1395="positive",M1395="equivocal"),OR(O1395="positive",O1395="equivocal")),"a",IF(OR(O1395="positive",O1395="equivocal"),"b",IF(OR(M1395="positive",M1395="equivocal"),"c","d"))))</x:f>
        <x:v>d</x:v>
      </x:c>
      <x:c r="AB1395" s="12" t="str">
        <x:f>IF(OR(M1395="unavailable",O1395="unavailable"),"不可评价",IF(AND(M1395="positive",O1395="positive"),"a",IF(O1395="positive","b",IF(M1395="positive","c","d"))))</x:f>
        <x:v>d</x:v>
      </x:c>
      <x:c r="AC1395" s="12" t="str">
        <x:f>IF(OR(R1395="unavailable",T1395="unavailable"),"不可评价",IF(AND(OR(R1395="positive",R1395="equivocal"),OR(T1395="positive",T1395="equivocal")),"a",IF(OR(T1395="positive",T1395="equivocal"),"b",IF(OR(R1395="positive",R1395="equivocal"),"c","d"))))</x:f>
        <x:v>d</x:v>
      </x:c>
      <x:c r="AD1395" s="12" t="str">
        <x:f>IF(OR(R1395="unavailable",T1395="unavailable"),"不可评价",IF(AND(R1395="positive",T1395="positive"),"a",IF(T1395="positive","b",IF(R1395="positive","c","d"))))</x:f>
        <x:v>d</x:v>
      </x:c>
      <x:c r="AE1395" s="12" t="str">
        <x:f>IF(OR(W1395="unavailable",Y1395="unavailable"),"不可评价",IF(AND(OR(W1395="positive",W1395="equivocal"),OR(Y1395="positive",Y1395="equivocal")),"a",IF(OR(Y1395="positive",Y1395="equivocal"),"b",IF(OR(W1395="positive",W1395="equivocal"),"c","d"))))</x:f>
        <x:v>d</x:v>
      </x:c>
      <x:c r="AF1395" s="12" t="str">
        <x:f>IF(OR(W1395="unavailable",Y1395="unavailable"),"不可评价",IF(AND(W1395="positive",Y1395="positive"),"a",IF(Y1395="positive","b",IF(W1395="positive","c","d"))))</x:f>
        <x:v>d</x:v>
      </x:c>
    </x:row>
    <x:row r="1396" ht="39" customHeight="1">
      <x:c r="A1396" s="12" t="str">
        <x:v>12679</x:v>
      </x:c>
      <x:c r="B1396" s="12" t="str">
        <x:v>2355</x:v>
      </x:c>
      <x:c r="C1396" s="21" t="n">
        <x:v>34549.617106481484</x:v>
      </x:c>
      <x:c r="D1396" s="12" t="n">
        <x:v>83</x:v>
      </x:c>
      <x:c r="E1396" s="12" t="n">
        <x:v>0</x:v>
      </x:c>
      <x:c r="F1396" s="12" t="str">
        <x:v>未记录</x:v>
      </x:c>
      <x:c r="G1396" s="12" t="n">
        <x:v>1</x:v>
      </x:c>
      <x:c r="H1396" s="12" t="str">
        <x:v>{'LVH': 100.0, 'ISC_': 100.0, 'IVCD': 100.0, 'LPR': 0.0, 'STD_': 0.0, 'SR': 0.0}</x:v>
      </x:c>
      <x:c r="I1396" s="12" t="str">
        <x:v>[('SRTH', 100.0), ('FAV', 100.0), ('ST&amp;', 100.0), ('ILT', 100.0), ('AB', 100.0)]</x:v>
      </x:c>
      <x:c r="J1396" s="12" t="str">
        <x:v>ptbxl_database.csv；ecg_id=12679；scp_codes</x:v>
      </x:c>
      <x:c r="K1396" s="12" t="str">
        <x:v>12sl_statements.csv；ecg_id=12679；statements_ext_snomed</x:v>
      </x:c>
      <x:c r="L1396" s="12"/>
      <x:c r="M1396" s="12" t="str">
        <x:v>negative</x:v>
      </x:c>
      <x:c r="N1396" s="12"/>
      <x:c r="O1396" s="12" t="str">
        <x:v>negative</x:v>
      </x:c>
      <x:c r="P1396" s="12" t="str">
        <x:f>IF(OR(M1396="unavailable",O1396="unavailable"),"不可评价",IF(OR(M1396="equivocal",O1396="equivocal"),"疑似",IF(AND(M1396="positive",O1396="positive"),"a",IF(O1396="positive","b",IF(M1396="positive","c","d")))))</x:f>
        <x:v>d</x:v>
      </x:c>
      <x:c r="Q1396" s="12"/>
      <x:c r="R1396" s="12" t="str">
        <x:v>negative</x:v>
      </x:c>
      <x:c r="S1396" s="12"/>
      <x:c r="T1396" s="12" t="str">
        <x:v>negative</x:v>
      </x:c>
      <x:c r="U1396" s="12" t="str">
        <x:f>IF(OR(R1396="unavailable",T1396="unavailable"),"不可评价",IF(OR(R1396="equivocal",T1396="equivocal"),"疑似",IF(AND(R1396="positive",T1396="positive"),"a",IF(T1396="positive","b",IF(R1396="positive","c","d")))))</x:f>
        <x:v>d</x:v>
      </x:c>
      <x:c r="V1396" s="12"/>
      <x:c r="W1396" s="12" t="str">
        <x:v>negative</x:v>
      </x:c>
      <x:c r="X1396" s="12"/>
      <x:c r="Y1396" s="12" t="str">
        <x:v>negative</x:v>
      </x:c>
      <x:c r="Z1396" s="12" t="str">
        <x:f>IF(OR(W1396="unavailable",Y1396="unavailable"),"不可评价",IF(OR(W1396="equivocal",Y1396="equivocal"),"疑似",IF(AND(W1396="positive",Y1396="positive"),"a",IF(Y1396="positive","b",IF(W1396="positive","c","d")))))</x:f>
        <x:v>d</x:v>
      </x:c>
      <x:c r="AA1396" s="12" t="str">
        <x:f>IF(OR(M1396="unavailable",O1396="unavailable"),"不可评价",IF(AND(OR(M1396="positive",M1396="equivocal"),OR(O1396="positive",O1396="equivocal")),"a",IF(OR(O1396="positive",O1396="equivocal"),"b",IF(OR(M1396="positive",M1396="equivocal"),"c","d"))))</x:f>
        <x:v>d</x:v>
      </x:c>
      <x:c r="AB1396" s="12" t="str">
        <x:f>IF(OR(M1396="unavailable",O1396="unavailable"),"不可评价",IF(AND(M1396="positive",O1396="positive"),"a",IF(O1396="positive","b",IF(M1396="positive","c","d"))))</x:f>
        <x:v>d</x:v>
      </x:c>
      <x:c r="AC1396" s="12" t="str">
        <x:f>IF(OR(R1396="unavailable",T1396="unavailable"),"不可评价",IF(AND(OR(R1396="positive",R1396="equivocal"),OR(T1396="positive",T1396="equivocal")),"a",IF(OR(T1396="positive",T1396="equivocal"),"b",IF(OR(R1396="positive",R1396="equivocal"),"c","d"))))</x:f>
        <x:v>d</x:v>
      </x:c>
      <x:c r="AD1396" s="12" t="str">
        <x:f>IF(OR(R1396="unavailable",T1396="unavailable"),"不可评价",IF(AND(R1396="positive",T1396="positive"),"a",IF(T1396="positive","b",IF(R1396="positive","c","d"))))</x:f>
        <x:v>d</x:v>
      </x:c>
      <x:c r="AE1396" s="12" t="str">
        <x:f>IF(OR(W1396="unavailable",Y1396="unavailable"),"不可评价",IF(AND(OR(W1396="positive",W1396="equivocal"),OR(Y1396="positive",Y1396="equivocal")),"a",IF(OR(Y1396="positive",Y1396="equivocal"),"b",IF(OR(W1396="positive",W1396="equivocal"),"c","d"))))</x:f>
        <x:v>d</x:v>
      </x:c>
      <x:c r="AF1396" s="12" t="str">
        <x:f>IF(OR(W1396="unavailable",Y1396="unavailable"),"不可评价",IF(AND(W1396="positive",Y1396="positive"),"a",IF(Y1396="positive","b",IF(W1396="positive","c","d"))))</x:f>
        <x:v>d</x:v>
      </x:c>
    </x:row>
    <x:row r="1397" ht="24" customHeight="1">
      <x:c r="A1397" s="12" t="str">
        <x:v>12692</x:v>
      </x:c>
      <x:c r="B1397" s="12" t="str">
        <x:v>6898</x:v>
      </x:c>
      <x:c r="C1397" s="21" t="n">
        <x:v>34550.60545138889</x:v>
      </x:c>
      <x:c r="D1397" s="12" t="n">
        <x:v>69</x:v>
      </x:c>
      <x:c r="E1397" s="12" t="n">
        <x:v>0</x:v>
      </x:c>
      <x:c r="F1397" s="12" t="str">
        <x:v>未记录</x:v>
      </x:c>
      <x:c r="G1397" s="12" t="n">
        <x:v>1</x:v>
      </x:c>
      <x:c r="H1397" s="12" t="str">
        <x:v>{'LVH': 50.0, 'LAO/LAE': 100.0, 'VCLVH': 0.0, 'SR': 0.0}</x:v>
      </x:c>
      <x:c r="I1397" s="12" t="str">
        <x:v>[('NSR', 100.0), ('BORDE', 100.0)]</x:v>
      </x:c>
      <x:c r="J1397" s="12" t="str">
        <x:v>ptbxl_database.csv；ecg_id=12692；scp_codes</x:v>
      </x:c>
      <x:c r="K1397" s="12" t="str">
        <x:v>12sl_statements.csv；ecg_id=12692；statements_ext_snomed</x:v>
      </x:c>
      <x:c r="L1397" s="12"/>
      <x:c r="M1397" s="12" t="str">
        <x:v>negative</x:v>
      </x:c>
      <x:c r="N1397" s="12"/>
      <x:c r="O1397" s="12" t="str">
        <x:v>negative</x:v>
      </x:c>
      <x:c r="P1397" s="12" t="str">
        <x:f>IF(OR(M1397="unavailable",O1397="unavailable"),"不可评价",IF(OR(M1397="equivocal",O1397="equivocal"),"疑似",IF(AND(M1397="positive",O1397="positive"),"a",IF(O1397="positive","b",IF(M1397="positive","c","d")))))</x:f>
        <x:v>d</x:v>
      </x:c>
      <x:c r="Q1397" s="12"/>
      <x:c r="R1397" s="12" t="str">
        <x:v>negative</x:v>
      </x:c>
      <x:c r="S1397" s="12"/>
      <x:c r="T1397" s="12" t="str">
        <x:v>negative</x:v>
      </x:c>
      <x:c r="U1397" s="12" t="str">
        <x:f>IF(OR(R1397="unavailable",T1397="unavailable"),"不可评价",IF(OR(R1397="equivocal",T1397="equivocal"),"疑似",IF(AND(R1397="positive",T1397="positive"),"a",IF(T1397="positive","b",IF(R1397="positive","c","d")))))</x:f>
        <x:v>d</x:v>
      </x:c>
      <x:c r="V1397" s="12"/>
      <x:c r="W1397" s="12" t="str">
        <x:v>negative</x:v>
      </x:c>
      <x:c r="X1397" s="12"/>
      <x:c r="Y1397" s="12" t="str">
        <x:v>negative</x:v>
      </x:c>
      <x:c r="Z1397" s="12" t="str">
        <x:f>IF(OR(W1397="unavailable",Y1397="unavailable"),"不可评价",IF(OR(W1397="equivocal",Y1397="equivocal"),"疑似",IF(AND(W1397="positive",Y1397="positive"),"a",IF(Y1397="positive","b",IF(W1397="positive","c","d")))))</x:f>
        <x:v>d</x:v>
      </x:c>
      <x:c r="AA1397" s="12" t="str">
        <x:f>IF(OR(M1397="unavailable",O1397="unavailable"),"不可评价",IF(AND(OR(M1397="positive",M1397="equivocal"),OR(O1397="positive",O1397="equivocal")),"a",IF(OR(O1397="positive",O1397="equivocal"),"b",IF(OR(M1397="positive",M1397="equivocal"),"c","d"))))</x:f>
        <x:v>d</x:v>
      </x:c>
      <x:c r="AB1397" s="12" t="str">
        <x:f>IF(OR(M1397="unavailable",O1397="unavailable"),"不可评价",IF(AND(M1397="positive",O1397="positive"),"a",IF(O1397="positive","b",IF(M1397="positive","c","d"))))</x:f>
        <x:v>d</x:v>
      </x:c>
      <x:c r="AC1397" s="12" t="str">
        <x:f>IF(OR(R1397="unavailable",T1397="unavailable"),"不可评价",IF(AND(OR(R1397="positive",R1397="equivocal"),OR(T1397="positive",T1397="equivocal")),"a",IF(OR(T1397="positive",T1397="equivocal"),"b",IF(OR(R1397="positive",R1397="equivocal"),"c","d"))))</x:f>
        <x:v>d</x:v>
      </x:c>
      <x:c r="AD1397" s="12" t="str">
        <x:f>IF(OR(R1397="unavailable",T1397="unavailable"),"不可评价",IF(AND(R1397="positive",T1397="positive"),"a",IF(T1397="positive","b",IF(R1397="positive","c","d"))))</x:f>
        <x:v>d</x:v>
      </x:c>
      <x:c r="AE1397" s="12" t="str">
        <x:f>IF(OR(W1397="unavailable",Y1397="unavailable"),"不可评价",IF(AND(OR(W1397="positive",W1397="equivocal"),OR(Y1397="positive",Y1397="equivocal")),"a",IF(OR(Y1397="positive",Y1397="equivocal"),"b",IF(OR(W1397="positive",W1397="equivocal"),"c","d"))))</x:f>
        <x:v>d</x:v>
      </x:c>
      <x:c r="AF1397" s="12" t="str">
        <x:f>IF(OR(W1397="unavailable",Y1397="unavailable"),"不可评价",IF(AND(W1397="positive",Y1397="positive"),"a",IF(Y1397="positive","b",IF(W1397="positive","c","d"))))</x:f>
        <x:v>d</x:v>
      </x:c>
    </x:row>
    <x:row r="1398" ht="24" customHeight="1">
      <x:c r="A1398" s="12" t="str">
        <x:v>12699</x:v>
      </x:c>
      <x:c r="B1398" s="12" t="str">
        <x:v>6509</x:v>
      </x:c>
      <x:c r="C1398" s="21" t="n">
        <x:v>34551.46094907408</x:v>
      </x:c>
      <x:c r="D1398" s="12" t="n">
        <x:v>27</x:v>
      </x:c>
      <x:c r="E1398" s="12" t="n">
        <x:v>0</x:v>
      </x:c>
      <x:c r="F1398" s="12" t="str">
        <x:v>未记录</x:v>
      </x:c>
      <x:c r="G1398" s="12" t="n">
        <x:v>1</x:v>
      </x:c>
      <x:c r="H1398" s="12" t="str">
        <x:v>{'NORM': 100.0, 'SR': 0.0}</x:v>
      </x:c>
      <x:c r="I1398" s="12" t="str">
        <x:v>[('NSR', 100.0), ('NML', 100.0)]</x:v>
      </x:c>
      <x:c r="J1398" s="12" t="str">
        <x:v>ptbxl_database.csv；ecg_id=12699；scp_codes</x:v>
      </x:c>
      <x:c r="K1398" s="12" t="str">
        <x:v>12sl_statements.csv；ecg_id=12699；statements_ext_snomed</x:v>
      </x:c>
      <x:c r="L1398" s="12"/>
      <x:c r="M1398" s="12" t="str">
        <x:v>negative</x:v>
      </x:c>
      <x:c r="N1398" s="12"/>
      <x:c r="O1398" s="12" t="str">
        <x:v>negative</x:v>
      </x:c>
      <x:c r="P1398" s="12" t="str">
        <x:f>IF(OR(M1398="unavailable",O1398="unavailable"),"不可评价",IF(OR(M1398="equivocal",O1398="equivocal"),"疑似",IF(AND(M1398="positive",O1398="positive"),"a",IF(O1398="positive","b",IF(M1398="positive","c","d")))))</x:f>
        <x:v>d</x:v>
      </x:c>
      <x:c r="Q1398" s="12"/>
      <x:c r="R1398" s="12" t="str">
        <x:v>negative</x:v>
      </x:c>
      <x:c r="S1398" s="12"/>
      <x:c r="T1398" s="12" t="str">
        <x:v>negative</x:v>
      </x:c>
      <x:c r="U1398" s="12" t="str">
        <x:f>IF(OR(R1398="unavailable",T1398="unavailable"),"不可评价",IF(OR(R1398="equivocal",T1398="equivocal"),"疑似",IF(AND(R1398="positive",T1398="positive"),"a",IF(T1398="positive","b",IF(R1398="positive","c","d")))))</x:f>
        <x:v>d</x:v>
      </x:c>
      <x:c r="V1398" s="12"/>
      <x:c r="W1398" s="12" t="str">
        <x:v>negative</x:v>
      </x:c>
      <x:c r="X1398" s="12"/>
      <x:c r="Y1398" s="12" t="str">
        <x:v>negative</x:v>
      </x:c>
      <x:c r="Z1398" s="12" t="str">
        <x:f>IF(OR(W1398="unavailable",Y1398="unavailable"),"不可评价",IF(OR(W1398="equivocal",Y1398="equivocal"),"疑似",IF(AND(W1398="positive",Y1398="positive"),"a",IF(Y1398="positive","b",IF(W1398="positive","c","d")))))</x:f>
        <x:v>d</x:v>
      </x:c>
      <x:c r="AA1398" s="12" t="str">
        <x:f>IF(OR(M1398="unavailable",O1398="unavailable"),"不可评价",IF(AND(OR(M1398="positive",M1398="equivocal"),OR(O1398="positive",O1398="equivocal")),"a",IF(OR(O1398="positive",O1398="equivocal"),"b",IF(OR(M1398="positive",M1398="equivocal"),"c","d"))))</x:f>
        <x:v>d</x:v>
      </x:c>
      <x:c r="AB1398" s="12" t="str">
        <x:f>IF(OR(M1398="unavailable",O1398="unavailable"),"不可评价",IF(AND(M1398="positive",O1398="positive"),"a",IF(O1398="positive","b",IF(M1398="positive","c","d"))))</x:f>
        <x:v>d</x:v>
      </x:c>
      <x:c r="AC1398" s="12" t="str">
        <x:f>IF(OR(R1398="unavailable",T1398="unavailable"),"不可评价",IF(AND(OR(R1398="positive",R1398="equivocal"),OR(T1398="positive",T1398="equivocal")),"a",IF(OR(T1398="positive",T1398="equivocal"),"b",IF(OR(R1398="positive",R1398="equivocal"),"c","d"))))</x:f>
        <x:v>d</x:v>
      </x:c>
      <x:c r="AD1398" s="12" t="str">
        <x:f>IF(OR(R1398="unavailable",T1398="unavailable"),"不可评价",IF(AND(R1398="positive",T1398="positive"),"a",IF(T1398="positive","b",IF(R1398="positive","c","d"))))</x:f>
        <x:v>d</x:v>
      </x:c>
      <x:c r="AE1398" s="12" t="str">
        <x:f>IF(OR(W1398="unavailable",Y1398="unavailable"),"不可评价",IF(AND(OR(W1398="positive",W1398="equivocal"),OR(Y1398="positive",Y1398="equivocal")),"a",IF(OR(Y1398="positive",Y1398="equivocal"),"b",IF(OR(W1398="positive",W1398="equivocal"),"c","d"))))</x:f>
        <x:v>d</x:v>
      </x:c>
      <x:c r="AF1398" s="12" t="str">
        <x:f>IF(OR(W1398="unavailable",Y1398="unavailable"),"不可评价",IF(AND(W1398="positive",Y1398="positive"),"a",IF(Y1398="positive","b",IF(W1398="positive","c","d"))))</x:f>
        <x:v>d</x:v>
      </x:c>
    </x:row>
    <x:row r="1399" ht="24" customHeight="1">
      <x:c r="A1399" s="12" t="str">
        <x:v>12702</x:v>
      </x:c>
      <x:c r="B1399" s="12" t="str">
        <x:v>4248</x:v>
      </x:c>
      <x:c r="C1399" s="21" t="n">
        <x:v>34551.52416666667</x:v>
      </x:c>
      <x:c r="D1399" s="12" t="n">
        <x:v>31</x:v>
      </x:c>
      <x:c r="E1399" s="12" t="n">
        <x:v>1</x:v>
      </x:c>
      <x:c r="F1399" s="12" t="str">
        <x:v>存在</x:v>
      </x:c>
      <x:c r="G1399" s="12" t="n">
        <x:v>1</x:v>
      </x:c>
      <x:c r="H1399" s="12" t="str">
        <x:v>{'NORM': 100.0, 'SR': 0.0}</x:v>
      </x:c>
      <x:c r="I1399" s="12" t="str">
        <x:v>[('NSR', 100.0), ('NML', 100.0)]</x:v>
      </x:c>
      <x:c r="J1399" s="12" t="str">
        <x:v>ptbxl_database.csv；ecg_id=12702；scp_codes</x:v>
      </x:c>
      <x:c r="K1399" s="12" t="str">
        <x:v>12sl_statements.csv；ecg_id=12702；statements_ext_snomed</x:v>
      </x:c>
      <x:c r="L1399" s="12"/>
      <x:c r="M1399" s="12" t="str">
        <x:v>negative</x:v>
      </x:c>
      <x:c r="N1399" s="12"/>
      <x:c r="O1399" s="12" t="str">
        <x:v>negative</x:v>
      </x:c>
      <x:c r="P1399" s="12" t="str">
        <x:f>IF(OR(M1399="unavailable",O1399="unavailable"),"不可评价",IF(OR(M1399="equivocal",O1399="equivocal"),"疑似",IF(AND(M1399="positive",O1399="positive"),"a",IF(O1399="positive","b",IF(M1399="positive","c","d")))))</x:f>
        <x:v>d</x:v>
      </x:c>
      <x:c r="Q1399" s="12"/>
      <x:c r="R1399" s="12" t="str">
        <x:v>negative</x:v>
      </x:c>
      <x:c r="S1399" s="12"/>
      <x:c r="T1399" s="12" t="str">
        <x:v>negative</x:v>
      </x:c>
      <x:c r="U1399" s="12" t="str">
        <x:f>IF(OR(R1399="unavailable",T1399="unavailable"),"不可评价",IF(OR(R1399="equivocal",T1399="equivocal"),"疑似",IF(AND(R1399="positive",T1399="positive"),"a",IF(T1399="positive","b",IF(R1399="positive","c","d")))))</x:f>
        <x:v>d</x:v>
      </x:c>
      <x:c r="V1399" s="12"/>
      <x:c r="W1399" s="12" t="str">
        <x:v>negative</x:v>
      </x:c>
      <x:c r="X1399" s="12"/>
      <x:c r="Y1399" s="12" t="str">
        <x:v>negative</x:v>
      </x:c>
      <x:c r="Z1399" s="12" t="str">
        <x:f>IF(OR(W1399="unavailable",Y1399="unavailable"),"不可评价",IF(OR(W1399="equivocal",Y1399="equivocal"),"疑似",IF(AND(W1399="positive",Y1399="positive"),"a",IF(Y1399="positive","b",IF(W1399="positive","c","d")))))</x:f>
        <x:v>d</x:v>
      </x:c>
      <x:c r="AA1399" s="12" t="str">
        <x:f>IF(OR(M1399="unavailable",O1399="unavailable"),"不可评价",IF(AND(OR(M1399="positive",M1399="equivocal"),OR(O1399="positive",O1399="equivocal")),"a",IF(OR(O1399="positive",O1399="equivocal"),"b",IF(OR(M1399="positive",M1399="equivocal"),"c","d"))))</x:f>
        <x:v>d</x:v>
      </x:c>
      <x:c r="AB1399" s="12" t="str">
        <x:f>IF(OR(M1399="unavailable",O1399="unavailable"),"不可评价",IF(AND(M1399="positive",O1399="positive"),"a",IF(O1399="positive","b",IF(M1399="positive","c","d"))))</x:f>
        <x:v>d</x:v>
      </x:c>
      <x:c r="AC1399" s="12" t="str">
        <x:f>IF(OR(R1399="unavailable",T1399="unavailable"),"不可评价",IF(AND(OR(R1399="positive",R1399="equivocal"),OR(T1399="positive",T1399="equivocal")),"a",IF(OR(T1399="positive",T1399="equivocal"),"b",IF(OR(R1399="positive",R1399="equivocal"),"c","d"))))</x:f>
        <x:v>d</x:v>
      </x:c>
      <x:c r="AD1399" s="12" t="str">
        <x:f>IF(OR(R1399="unavailable",T1399="unavailable"),"不可评价",IF(AND(R1399="positive",T1399="positive"),"a",IF(T1399="positive","b",IF(R1399="positive","c","d"))))</x:f>
        <x:v>d</x:v>
      </x:c>
      <x:c r="AE1399" s="12" t="str">
        <x:f>IF(OR(W1399="unavailable",Y1399="unavailable"),"不可评价",IF(AND(OR(W1399="positive",W1399="equivocal"),OR(Y1399="positive",Y1399="equivocal")),"a",IF(OR(Y1399="positive",Y1399="equivocal"),"b",IF(OR(W1399="positive",W1399="equivocal"),"c","d"))))</x:f>
        <x:v>d</x:v>
      </x:c>
      <x:c r="AF1399" s="12" t="str">
        <x:f>IF(OR(W1399="unavailable",Y1399="unavailable"),"不可评价",IF(AND(W1399="positive",Y1399="positive"),"a",IF(Y1399="positive","b",IF(W1399="positive","c","d"))))</x:f>
        <x:v>d</x:v>
      </x:c>
    </x:row>
    <x:row r="1400" ht="24" customHeight="1">
      <x:c r="A1400" s="12" t="str">
        <x:v>12703</x:v>
      </x:c>
      <x:c r="B1400" s="12" t="str">
        <x:v>4015</x:v>
      </x:c>
      <x:c r="C1400" s="21" t="n">
        <x:v>34551.576319444444</x:v>
      </x:c>
      <x:c r="D1400" s="12" t="n">
        <x:v>71</x:v>
      </x:c>
      <x:c r="E1400" s="12" t="n">
        <x:v>1</x:v>
      </x:c>
      <x:c r="F1400" s="12" t="str">
        <x:v>未记录</x:v>
      </x:c>
      <x:c r="G1400" s="12" t="n">
        <x:v>1</x:v>
      </x:c>
      <x:c r="H1400" s="12" t="str">
        <x:v>{'CLBBB': 100.0, '1AVB': 100.0, 'LPR': 0.0, 'SBRAD': 0.0}</x:v>
      </x:c>
      <x:c r="I1400" s="12" t="str">
        <x:v>[('SBRAD', 100.0), ('LAD3', 100.0), ('LBBB', 100.0), ('AB', 100.0)]</x:v>
      </x:c>
      <x:c r="J1400" s="12" t="str">
        <x:v>ptbxl_database.csv；ecg_id=12703；scp_codes</x:v>
      </x:c>
      <x:c r="K1400" s="12" t="str">
        <x:v>12sl_statements.csv；ecg_id=12703；statements_ext_snomed</x:v>
      </x:c>
      <x:c r="L1400" s="12"/>
      <x:c r="M1400" s="12" t="str">
        <x:v>negative</x:v>
      </x:c>
      <x:c r="N1400" s="12"/>
      <x:c r="O1400" s="12" t="str">
        <x:v>negative</x:v>
      </x:c>
      <x:c r="P1400" s="12" t="str">
        <x:f>IF(OR(M1400="unavailable",O1400="unavailable"),"不可评价",IF(OR(M1400="equivocal",O1400="equivocal"),"疑似",IF(AND(M1400="positive",O1400="positive"),"a",IF(O1400="positive","b",IF(M1400="positive","c","d")))))</x:f>
        <x:v>d</x:v>
      </x:c>
      <x:c r="Q1400" s="12" t="n">
        <x:v>100</x:v>
      </x:c>
      <x:c r="R1400" s="12" t="str">
        <x:v>positive</x:v>
      </x:c>
      <x:c r="S1400" s="12" t="n">
        <x:v>100</x:v>
      </x:c>
      <x:c r="T1400" s="12" t="str">
        <x:v>positive</x:v>
      </x:c>
      <x:c r="U1400" s="12" t="str">
        <x:f>IF(OR(R1400="unavailable",T1400="unavailable"),"不可评价",IF(OR(R1400="equivocal",T1400="equivocal"),"疑似",IF(AND(R1400="positive",T1400="positive"),"a",IF(T1400="positive","b",IF(R1400="positive","c","d")))))</x:f>
        <x:v>a</x:v>
      </x:c>
      <x:c r="V1400" s="12"/>
      <x:c r="W1400" s="12" t="str">
        <x:v>negative</x:v>
      </x:c>
      <x:c r="X1400" s="12"/>
      <x:c r="Y1400" s="12" t="str">
        <x:v>negative</x:v>
      </x:c>
      <x:c r="Z1400" s="12" t="str">
        <x:f>IF(OR(W1400="unavailable",Y1400="unavailable"),"不可评价",IF(OR(W1400="equivocal",Y1400="equivocal"),"疑似",IF(AND(W1400="positive",Y1400="positive"),"a",IF(Y1400="positive","b",IF(W1400="positive","c","d")))))</x:f>
        <x:v>d</x:v>
      </x:c>
      <x:c r="AA1400" s="12" t="str">
        <x:f>IF(OR(M1400="unavailable",O1400="unavailable"),"不可评价",IF(AND(OR(M1400="positive",M1400="equivocal"),OR(O1400="positive",O1400="equivocal")),"a",IF(OR(O1400="positive",O1400="equivocal"),"b",IF(OR(M1400="positive",M1400="equivocal"),"c","d"))))</x:f>
        <x:v>d</x:v>
      </x:c>
      <x:c r="AB1400" s="12" t="str">
        <x:f>IF(OR(M1400="unavailable",O1400="unavailable"),"不可评价",IF(AND(M1400="positive",O1400="positive"),"a",IF(O1400="positive","b",IF(M1400="positive","c","d"))))</x:f>
        <x:v>d</x:v>
      </x:c>
      <x:c r="AC1400" s="12" t="str">
        <x:f>IF(OR(R1400="unavailable",T1400="unavailable"),"不可评价",IF(AND(OR(R1400="positive",R1400="equivocal"),OR(T1400="positive",T1400="equivocal")),"a",IF(OR(T1400="positive",T1400="equivocal"),"b",IF(OR(R1400="positive",R1400="equivocal"),"c","d"))))</x:f>
        <x:v>a</x:v>
      </x:c>
      <x:c r="AD1400" s="12" t="str">
        <x:f>IF(OR(R1400="unavailable",T1400="unavailable"),"不可评价",IF(AND(R1400="positive",T1400="positive"),"a",IF(T1400="positive","b",IF(R1400="positive","c","d"))))</x:f>
        <x:v>a</x:v>
      </x:c>
      <x:c r="AE1400" s="12" t="str">
        <x:f>IF(OR(W1400="unavailable",Y1400="unavailable"),"不可评价",IF(AND(OR(W1400="positive",W1400="equivocal"),OR(Y1400="positive",Y1400="equivocal")),"a",IF(OR(Y1400="positive",Y1400="equivocal"),"b",IF(OR(W1400="positive",W1400="equivocal"),"c","d"))))</x:f>
        <x:v>d</x:v>
      </x:c>
      <x:c r="AF1400" s="12" t="str">
        <x:f>IF(OR(W1400="unavailable",Y1400="unavailable"),"不可评价",IF(AND(W1400="positive",Y1400="positive"),"a",IF(Y1400="positive","b",IF(W1400="positive","c","d"))))</x:f>
        <x:v>d</x:v>
      </x:c>
    </x:row>
    <x:row r="1401" ht="24" customHeight="1">
      <x:c r="A1401" s="12" t="str">
        <x:v>12709</x:v>
      </x:c>
      <x:c r="B1401" s="12" t="str">
        <x:v>15291</x:v>
      </x:c>
      <x:c r="C1401" s="21" t="n">
        <x:v>34551.70358796296</x:v>
      </x:c>
      <x:c r="D1401" s="12" t="n">
        <x:v>70</x:v>
      </x:c>
      <x:c r="E1401" s="12" t="n">
        <x:v>1</x:v>
      </x:c>
      <x:c r="F1401" s="12" t="str">
        <x:v>未记录</x:v>
      </x:c>
      <x:c r="G1401" s="12" t="n">
        <x:v>1</x:v>
      </x:c>
      <x:c r="H1401" s="12" t="str">
        <x:v>{'NORM': 100.0, 'SR': 0.0}</x:v>
      </x:c>
      <x:c r="I1401" s="12" t="str">
        <x:v>[('SBRAD', 100.0), ('ABR', 100.0)]</x:v>
      </x:c>
      <x:c r="J1401" s="12" t="str">
        <x:v>ptbxl_database.csv；ecg_id=12709；scp_codes</x:v>
      </x:c>
      <x:c r="K1401" s="12" t="str">
        <x:v>12sl_statements.csv；ecg_id=12709；statements_ext_snomed</x:v>
      </x:c>
      <x:c r="L1401" s="12"/>
      <x:c r="M1401" s="12" t="str">
        <x:v>negative</x:v>
      </x:c>
      <x:c r="N1401" s="12"/>
      <x:c r="O1401" s="12" t="str">
        <x:v>negative</x:v>
      </x:c>
      <x:c r="P1401" s="12" t="str">
        <x:f>IF(OR(M1401="unavailable",O1401="unavailable"),"不可评价",IF(OR(M1401="equivocal",O1401="equivocal"),"疑似",IF(AND(M1401="positive",O1401="positive"),"a",IF(O1401="positive","b",IF(M1401="positive","c","d")))))</x:f>
        <x:v>d</x:v>
      </x:c>
      <x:c r="Q1401" s="12"/>
      <x:c r="R1401" s="12" t="str">
        <x:v>negative</x:v>
      </x:c>
      <x:c r="S1401" s="12"/>
      <x:c r="T1401" s="12" t="str">
        <x:v>negative</x:v>
      </x:c>
      <x:c r="U1401" s="12" t="str">
        <x:f>IF(OR(R1401="unavailable",T1401="unavailable"),"不可评价",IF(OR(R1401="equivocal",T1401="equivocal"),"疑似",IF(AND(R1401="positive",T1401="positive"),"a",IF(T1401="positive","b",IF(R1401="positive","c","d")))))</x:f>
        <x:v>d</x:v>
      </x:c>
      <x:c r="V1401" s="12"/>
      <x:c r="W1401" s="12" t="str">
        <x:v>negative</x:v>
      </x:c>
      <x:c r="X1401" s="12"/>
      <x:c r="Y1401" s="12" t="str">
        <x:v>negative</x:v>
      </x:c>
      <x:c r="Z1401" s="12" t="str">
        <x:f>IF(OR(W1401="unavailable",Y1401="unavailable"),"不可评价",IF(OR(W1401="equivocal",Y1401="equivocal"),"疑似",IF(AND(W1401="positive",Y1401="positive"),"a",IF(Y1401="positive","b",IF(W1401="positive","c","d")))))</x:f>
        <x:v>d</x:v>
      </x:c>
      <x:c r="AA1401" s="12" t="str">
        <x:f>IF(OR(M1401="unavailable",O1401="unavailable"),"不可评价",IF(AND(OR(M1401="positive",M1401="equivocal"),OR(O1401="positive",O1401="equivocal")),"a",IF(OR(O1401="positive",O1401="equivocal"),"b",IF(OR(M1401="positive",M1401="equivocal"),"c","d"))))</x:f>
        <x:v>d</x:v>
      </x:c>
      <x:c r="AB1401" s="12" t="str">
        <x:f>IF(OR(M1401="unavailable",O1401="unavailable"),"不可评价",IF(AND(M1401="positive",O1401="positive"),"a",IF(O1401="positive","b",IF(M1401="positive","c","d"))))</x:f>
        <x:v>d</x:v>
      </x:c>
      <x:c r="AC1401" s="12" t="str">
        <x:f>IF(OR(R1401="unavailable",T1401="unavailable"),"不可评价",IF(AND(OR(R1401="positive",R1401="equivocal"),OR(T1401="positive",T1401="equivocal")),"a",IF(OR(T1401="positive",T1401="equivocal"),"b",IF(OR(R1401="positive",R1401="equivocal"),"c","d"))))</x:f>
        <x:v>d</x:v>
      </x:c>
      <x:c r="AD1401" s="12" t="str">
        <x:f>IF(OR(R1401="unavailable",T1401="unavailable"),"不可评价",IF(AND(R1401="positive",T1401="positive"),"a",IF(T1401="positive","b",IF(R1401="positive","c","d"))))</x:f>
        <x:v>d</x:v>
      </x:c>
      <x:c r="AE1401" s="12" t="str">
        <x:f>IF(OR(W1401="unavailable",Y1401="unavailable"),"不可评价",IF(AND(OR(W1401="positive",W1401="equivocal"),OR(Y1401="positive",Y1401="equivocal")),"a",IF(OR(Y1401="positive",Y1401="equivocal"),"b",IF(OR(W1401="positive",W1401="equivocal"),"c","d"))))</x:f>
        <x:v>d</x:v>
      </x:c>
      <x:c r="AF1401" s="12" t="str">
        <x:f>IF(OR(W1401="unavailable",Y1401="unavailable"),"不可评价",IF(AND(W1401="positive",Y1401="positive"),"a",IF(Y1401="positive","b",IF(W1401="positive","c","d"))))</x:f>
        <x:v>d</x:v>
      </x:c>
    </x:row>
    <x:row r="1402" ht="24" customHeight="1">
      <x:c r="A1402" s="12" t="str">
        <x:v>12710</x:v>
      </x:c>
      <x:c r="B1402" s="12" t="str">
        <x:v>9219</x:v>
      </x:c>
      <x:c r="C1402" s="21" t="n">
        <x:v>34551.741643518515</x:v>
      </x:c>
      <x:c r="D1402" s="12" t="n">
        <x:v>65</x:v>
      </x:c>
      <x:c r="E1402" s="12" t="n">
        <x:v>0</x:v>
      </x:c>
      <x:c r="F1402" s="12" t="str">
        <x:v>未记录</x:v>
      </x:c>
      <x:c r="G1402" s="12" t="n">
        <x:v>0</x:v>
      </x:c>
      <x:c r="H1402" s="12" t="str">
        <x:v>{'LMI': 15.0, 'IRBBB': 100.0, 'ABQRS': 0.0, 'SBRAD': 0.0}</x:v>
      </x:c>
      <x:c r="I1402" s="12" t="str">
        <x:v>[('SBRAD', 100.0), ('IRBBB', 100.0), ('BORDE', 100.0)]</x:v>
      </x:c>
      <x:c r="J1402" s="12" t="str">
        <x:v>ptbxl_database.csv；ecg_id=12710；scp_codes</x:v>
      </x:c>
      <x:c r="K1402" s="12" t="str">
        <x:v>12sl_statements.csv；ecg_id=12710；statements_ext_snomed</x:v>
      </x:c>
      <x:c r="L1402" s="12"/>
      <x:c r="M1402" s="12" t="str">
        <x:v>negative</x:v>
      </x:c>
      <x:c r="N1402" s="12"/>
      <x:c r="O1402" s="12" t="str">
        <x:v>negative</x:v>
      </x:c>
      <x:c r="P1402" s="12" t="str">
        <x:f>IF(OR(M1402="unavailable",O1402="unavailable"),"不可评价",IF(OR(M1402="equivocal",O1402="equivocal"),"疑似",IF(AND(M1402="positive",O1402="positive"),"a",IF(O1402="positive","b",IF(M1402="positive","c","d")))))</x:f>
        <x:v>d</x:v>
      </x:c>
      <x:c r="Q1402" s="12"/>
      <x:c r="R1402" s="12" t="str">
        <x:v>negative</x:v>
      </x:c>
      <x:c r="S1402" s="12"/>
      <x:c r="T1402" s="12" t="str">
        <x:v>negative</x:v>
      </x:c>
      <x:c r="U1402" s="12" t="str">
        <x:f>IF(OR(R1402="unavailable",T1402="unavailable"),"不可评价",IF(OR(R1402="equivocal",T1402="equivocal"),"疑似",IF(AND(R1402="positive",T1402="positive"),"a",IF(T1402="positive","b",IF(R1402="positive","c","d")))))</x:f>
        <x:v>d</x:v>
      </x:c>
      <x:c r="V1402" s="12"/>
      <x:c r="W1402" s="12" t="str">
        <x:v>negative</x:v>
      </x:c>
      <x:c r="X1402" s="12"/>
      <x:c r="Y1402" s="12" t="str">
        <x:v>negative</x:v>
      </x:c>
      <x:c r="Z1402" s="12" t="str">
        <x:f>IF(OR(W1402="unavailable",Y1402="unavailable"),"不可评价",IF(OR(W1402="equivocal",Y1402="equivocal"),"疑似",IF(AND(W1402="positive",Y1402="positive"),"a",IF(Y1402="positive","b",IF(W1402="positive","c","d")))))</x:f>
        <x:v>d</x:v>
      </x:c>
      <x:c r="AA1402" s="12" t="str">
        <x:f>IF(OR(M1402="unavailable",O1402="unavailable"),"不可评价",IF(AND(OR(M1402="positive",M1402="equivocal"),OR(O1402="positive",O1402="equivocal")),"a",IF(OR(O1402="positive",O1402="equivocal"),"b",IF(OR(M1402="positive",M1402="equivocal"),"c","d"))))</x:f>
        <x:v>d</x:v>
      </x:c>
      <x:c r="AB1402" s="12" t="str">
        <x:f>IF(OR(M1402="unavailable",O1402="unavailable"),"不可评价",IF(AND(M1402="positive",O1402="positive"),"a",IF(O1402="positive","b",IF(M1402="positive","c","d"))))</x:f>
        <x:v>d</x:v>
      </x:c>
      <x:c r="AC1402" s="12" t="str">
        <x:f>IF(OR(R1402="unavailable",T1402="unavailable"),"不可评价",IF(AND(OR(R1402="positive",R1402="equivocal"),OR(T1402="positive",T1402="equivocal")),"a",IF(OR(T1402="positive",T1402="equivocal"),"b",IF(OR(R1402="positive",R1402="equivocal"),"c","d"))))</x:f>
        <x:v>d</x:v>
      </x:c>
      <x:c r="AD1402" s="12" t="str">
        <x:f>IF(OR(R1402="unavailable",T1402="unavailable"),"不可评价",IF(AND(R1402="positive",T1402="positive"),"a",IF(T1402="positive","b",IF(R1402="positive","c","d"))))</x:f>
        <x:v>d</x:v>
      </x:c>
      <x:c r="AE1402" s="12" t="str">
        <x:f>IF(OR(W1402="unavailable",Y1402="unavailable"),"不可评价",IF(AND(OR(W1402="positive",W1402="equivocal"),OR(Y1402="positive",Y1402="equivocal")),"a",IF(OR(Y1402="positive",Y1402="equivocal"),"b",IF(OR(W1402="positive",W1402="equivocal"),"c","d"))))</x:f>
        <x:v>d</x:v>
      </x:c>
      <x:c r="AF1402" s="12" t="str">
        <x:f>IF(OR(W1402="unavailable",Y1402="unavailable"),"不可评价",IF(AND(W1402="positive",Y1402="positive"),"a",IF(Y1402="positive","b",IF(W1402="positive","c","d"))))</x:f>
        <x:v>d</x:v>
      </x:c>
    </x:row>
    <x:row r="1403" ht="24" customHeight="1">
      <x:c r="A1403" s="12" t="str">
        <x:v>12711</x:v>
      </x:c>
      <x:c r="B1403" s="12" t="str">
        <x:v>6454</x:v>
      </x:c>
      <x:c r="C1403" s="21" t="n">
        <x:v>34551.76949074074</x:v>
      </x:c>
      <x:c r="D1403" s="12" t="n">
        <x:v>64</x:v>
      </x:c>
      <x:c r="E1403" s="12" t="n">
        <x:v>0</x:v>
      </x:c>
      <x:c r="F1403" s="12" t="str">
        <x:v>未记录</x:v>
      </x:c>
      <x:c r="G1403" s="12" t="n">
        <x:v>1</x:v>
      </x:c>
      <x:c r="H1403" s="12" t="str">
        <x:v>{'NORM': 100.0}</x:v>
      </x:c>
      <x:c r="I1403" s="12" t="str">
        <x:v>[('NSR', 100.0), ('NSTT', 100.0), ('AB', 100.0)]</x:v>
      </x:c>
      <x:c r="J1403" s="12" t="str">
        <x:v>ptbxl_database.csv；ecg_id=12711；scp_codes</x:v>
      </x:c>
      <x:c r="K1403" s="12" t="str">
        <x:v>12sl_statements.csv；ecg_id=12711；statements_ext_snomed</x:v>
      </x:c>
      <x:c r="L1403" s="12"/>
      <x:c r="M1403" s="12" t="str">
        <x:v>negative</x:v>
      </x:c>
      <x:c r="N1403" s="12"/>
      <x:c r="O1403" s="12" t="str">
        <x:v>negative</x:v>
      </x:c>
      <x:c r="P1403" s="12" t="str">
        <x:f>IF(OR(M1403="unavailable",O1403="unavailable"),"不可评价",IF(OR(M1403="equivocal",O1403="equivocal"),"疑似",IF(AND(M1403="positive",O1403="positive"),"a",IF(O1403="positive","b",IF(M1403="positive","c","d")))))</x:f>
        <x:v>d</x:v>
      </x:c>
      <x:c r="Q1403" s="12"/>
      <x:c r="R1403" s="12" t="str">
        <x:v>negative</x:v>
      </x:c>
      <x:c r="S1403" s="12"/>
      <x:c r="T1403" s="12" t="str">
        <x:v>negative</x:v>
      </x:c>
      <x:c r="U1403" s="12" t="str">
        <x:f>IF(OR(R1403="unavailable",T1403="unavailable"),"不可评价",IF(OR(R1403="equivocal",T1403="equivocal"),"疑似",IF(AND(R1403="positive",T1403="positive"),"a",IF(T1403="positive","b",IF(R1403="positive","c","d")))))</x:f>
        <x:v>d</x:v>
      </x:c>
      <x:c r="V1403" s="12"/>
      <x:c r="W1403" s="12" t="str">
        <x:v>negative</x:v>
      </x:c>
      <x:c r="X1403" s="12"/>
      <x:c r="Y1403" s="12" t="str">
        <x:v>negative</x:v>
      </x:c>
      <x:c r="Z1403" s="12" t="str">
        <x:f>IF(OR(W1403="unavailable",Y1403="unavailable"),"不可评价",IF(OR(W1403="equivocal",Y1403="equivocal"),"疑似",IF(AND(W1403="positive",Y1403="positive"),"a",IF(Y1403="positive","b",IF(W1403="positive","c","d")))))</x:f>
        <x:v>d</x:v>
      </x:c>
      <x:c r="AA1403" s="12" t="str">
        <x:f>IF(OR(M1403="unavailable",O1403="unavailable"),"不可评价",IF(AND(OR(M1403="positive",M1403="equivocal"),OR(O1403="positive",O1403="equivocal")),"a",IF(OR(O1403="positive",O1403="equivocal"),"b",IF(OR(M1403="positive",M1403="equivocal"),"c","d"))))</x:f>
        <x:v>d</x:v>
      </x:c>
      <x:c r="AB1403" s="12" t="str">
        <x:f>IF(OR(M1403="unavailable",O1403="unavailable"),"不可评价",IF(AND(M1403="positive",O1403="positive"),"a",IF(O1403="positive","b",IF(M1403="positive","c","d"))))</x:f>
        <x:v>d</x:v>
      </x:c>
      <x:c r="AC1403" s="12" t="str">
        <x:f>IF(OR(R1403="unavailable",T1403="unavailable"),"不可评价",IF(AND(OR(R1403="positive",R1403="equivocal"),OR(T1403="positive",T1403="equivocal")),"a",IF(OR(T1403="positive",T1403="equivocal"),"b",IF(OR(R1403="positive",R1403="equivocal"),"c","d"))))</x:f>
        <x:v>d</x:v>
      </x:c>
      <x:c r="AD1403" s="12" t="str">
        <x:f>IF(OR(R1403="unavailable",T1403="unavailable"),"不可评价",IF(AND(R1403="positive",T1403="positive"),"a",IF(T1403="positive","b",IF(R1403="positive","c","d"))))</x:f>
        <x:v>d</x:v>
      </x:c>
      <x:c r="AE1403" s="12" t="str">
        <x:f>IF(OR(W1403="unavailable",Y1403="unavailable"),"不可评价",IF(AND(OR(W1403="positive",W1403="equivocal"),OR(Y1403="positive",Y1403="equivocal")),"a",IF(OR(Y1403="positive",Y1403="equivocal"),"b",IF(OR(W1403="positive",W1403="equivocal"),"c","d"))))</x:f>
        <x:v>d</x:v>
      </x:c>
      <x:c r="AF1403" s="12" t="str">
        <x:f>IF(OR(W1403="unavailable",Y1403="unavailable"),"不可评价",IF(AND(W1403="positive",Y1403="positive"),"a",IF(Y1403="positive","b",IF(W1403="positive","c","d"))))</x:f>
        <x:v>d</x:v>
      </x:c>
    </x:row>
    <x:row r="1404" ht="24" customHeight="1">
      <x:c r="A1404" s="12" t="str">
        <x:v>12715</x:v>
      </x:c>
      <x:c r="B1404" s="12" t="str">
        <x:v>9910</x:v>
      </x:c>
      <x:c r="C1404" s="21" t="n">
        <x:v>34552.445555555554</x:v>
      </x:c>
      <x:c r="D1404" s="12" t="n">
        <x:v>60</x:v>
      </x:c>
      <x:c r="E1404" s="12" t="n">
        <x:v>0</x:v>
      </x:c>
      <x:c r="F1404" s="12" t="str">
        <x:v>存在</x:v>
      </x:c>
      <x:c r="G1404" s="12" t="n">
        <x:v>1</x:v>
      </x:c>
      <x:c r="H1404" s="12" t="str">
        <x:v>{'NORM': 100.0, 'SR': 0.0}</x:v>
      </x:c>
      <x:c r="I1404" s="12" t="str">
        <x:v>[('NSR', 100.0), ('NML', 100.0)]</x:v>
      </x:c>
      <x:c r="J1404" s="12" t="str">
        <x:v>ptbxl_database.csv；ecg_id=12715；scp_codes</x:v>
      </x:c>
      <x:c r="K1404" s="12" t="str">
        <x:v>12sl_statements.csv；ecg_id=12715；statements_ext_snomed</x:v>
      </x:c>
      <x:c r="L1404" s="12"/>
      <x:c r="M1404" s="12" t="str">
        <x:v>negative</x:v>
      </x:c>
      <x:c r="N1404" s="12"/>
      <x:c r="O1404" s="12" t="str">
        <x:v>negative</x:v>
      </x:c>
      <x:c r="P1404" s="12" t="str">
        <x:f>IF(OR(M1404="unavailable",O1404="unavailable"),"不可评价",IF(OR(M1404="equivocal",O1404="equivocal"),"疑似",IF(AND(M1404="positive",O1404="positive"),"a",IF(O1404="positive","b",IF(M1404="positive","c","d")))))</x:f>
        <x:v>d</x:v>
      </x:c>
      <x:c r="Q1404" s="12"/>
      <x:c r="R1404" s="12" t="str">
        <x:v>negative</x:v>
      </x:c>
      <x:c r="S1404" s="12"/>
      <x:c r="T1404" s="12" t="str">
        <x:v>negative</x:v>
      </x:c>
      <x:c r="U1404" s="12" t="str">
        <x:f>IF(OR(R1404="unavailable",T1404="unavailable"),"不可评价",IF(OR(R1404="equivocal",T1404="equivocal"),"疑似",IF(AND(R1404="positive",T1404="positive"),"a",IF(T1404="positive","b",IF(R1404="positive","c","d")))))</x:f>
        <x:v>d</x:v>
      </x:c>
      <x:c r="V1404" s="12"/>
      <x:c r="W1404" s="12" t="str">
        <x:v>negative</x:v>
      </x:c>
      <x:c r="X1404" s="12"/>
      <x:c r="Y1404" s="12" t="str">
        <x:v>negative</x:v>
      </x:c>
      <x:c r="Z1404" s="12" t="str">
        <x:f>IF(OR(W1404="unavailable",Y1404="unavailable"),"不可评价",IF(OR(W1404="equivocal",Y1404="equivocal"),"疑似",IF(AND(W1404="positive",Y1404="positive"),"a",IF(Y1404="positive","b",IF(W1404="positive","c","d")))))</x:f>
        <x:v>d</x:v>
      </x:c>
      <x:c r="AA1404" s="12" t="str">
        <x:f>IF(OR(M1404="unavailable",O1404="unavailable"),"不可评价",IF(AND(OR(M1404="positive",M1404="equivocal"),OR(O1404="positive",O1404="equivocal")),"a",IF(OR(O1404="positive",O1404="equivocal"),"b",IF(OR(M1404="positive",M1404="equivocal"),"c","d"))))</x:f>
        <x:v>d</x:v>
      </x:c>
      <x:c r="AB1404" s="12" t="str">
        <x:f>IF(OR(M1404="unavailable",O1404="unavailable"),"不可评价",IF(AND(M1404="positive",O1404="positive"),"a",IF(O1404="positive","b",IF(M1404="positive","c","d"))))</x:f>
        <x:v>d</x:v>
      </x:c>
      <x:c r="AC1404" s="12" t="str">
        <x:f>IF(OR(R1404="unavailable",T1404="unavailable"),"不可评价",IF(AND(OR(R1404="positive",R1404="equivocal"),OR(T1404="positive",T1404="equivocal")),"a",IF(OR(T1404="positive",T1404="equivocal"),"b",IF(OR(R1404="positive",R1404="equivocal"),"c","d"))))</x:f>
        <x:v>d</x:v>
      </x:c>
      <x:c r="AD1404" s="12" t="str">
        <x:f>IF(OR(R1404="unavailable",T1404="unavailable"),"不可评价",IF(AND(R1404="positive",T1404="positive"),"a",IF(T1404="positive","b",IF(R1404="positive","c","d"))))</x:f>
        <x:v>d</x:v>
      </x:c>
      <x:c r="AE1404" s="12" t="str">
        <x:f>IF(OR(W1404="unavailable",Y1404="unavailable"),"不可评价",IF(AND(OR(W1404="positive",W1404="equivocal"),OR(Y1404="positive",Y1404="equivocal")),"a",IF(OR(Y1404="positive",Y1404="equivocal"),"b",IF(OR(W1404="positive",W1404="equivocal"),"c","d"))))</x:f>
        <x:v>d</x:v>
      </x:c>
      <x:c r="AF1404" s="12" t="str">
        <x:f>IF(OR(W1404="unavailable",Y1404="unavailable"),"不可评价",IF(AND(W1404="positive",Y1404="positive"),"a",IF(Y1404="positive","b",IF(W1404="positive","c","d"))))</x:f>
        <x:v>d</x:v>
      </x:c>
    </x:row>
    <x:row r="1405" ht="24" customHeight="1">
      <x:c r="A1405" s="12" t="str">
        <x:v>12719</x:v>
      </x:c>
      <x:c r="B1405" s="12" t="str">
        <x:v>1850</x:v>
      </x:c>
      <x:c r="C1405" s="21" t="n">
        <x:v>34552.584965277776</x:v>
      </x:c>
      <x:c r="D1405" s="12" t="n">
        <x:v>61</x:v>
      </x:c>
      <x:c r="E1405" s="12" t="n">
        <x:v>0</x:v>
      </x:c>
      <x:c r="F1405" s="12" t="str">
        <x:v>未记录</x:v>
      </x:c>
      <x:c r="G1405" s="12" t="n">
        <x:v>1</x:v>
      </x:c>
      <x:c r="H1405" s="12" t="str">
        <x:v>{'IMI': 80.0, 'LVH': 80.0, 'VCLVH': 0.0, 'QWAVE': 0.0, 'SR': 0.0}</x:v>
      </x:c>
      <x:c r="I1405" s="12" t="str">
        <x:v>[('NSR', 100.0), ('IMI;AU', 100.0), ('AB', 100.0)]</x:v>
      </x:c>
      <x:c r="J1405" s="12" t="str">
        <x:v>ptbxl_database.csv；ecg_id=12719；scp_codes</x:v>
      </x:c>
      <x:c r="K1405" s="12" t="str">
        <x:v>12sl_statements.csv；ecg_id=12719；statements_ext_snomed</x:v>
      </x:c>
      <x:c r="L1405" s="12"/>
      <x:c r="M1405" s="12" t="str">
        <x:v>negative</x:v>
      </x:c>
      <x:c r="N1405" s="12"/>
      <x:c r="O1405" s="12" t="str">
        <x:v>negative</x:v>
      </x:c>
      <x:c r="P1405" s="12" t="str">
        <x:f>IF(OR(M1405="unavailable",O1405="unavailable"),"不可评价",IF(OR(M1405="equivocal",O1405="equivocal"),"疑似",IF(AND(M1405="positive",O1405="positive"),"a",IF(O1405="positive","b",IF(M1405="positive","c","d")))))</x:f>
        <x:v>d</x:v>
      </x:c>
      <x:c r="Q1405" s="12"/>
      <x:c r="R1405" s="12" t="str">
        <x:v>negative</x:v>
      </x:c>
      <x:c r="S1405" s="12"/>
      <x:c r="T1405" s="12" t="str">
        <x:v>negative</x:v>
      </x:c>
      <x:c r="U1405" s="12" t="str">
        <x:f>IF(OR(R1405="unavailable",T1405="unavailable"),"不可评价",IF(OR(R1405="equivocal",T1405="equivocal"),"疑似",IF(AND(R1405="positive",T1405="positive"),"a",IF(T1405="positive","b",IF(R1405="positive","c","d")))))</x:f>
        <x:v>d</x:v>
      </x:c>
      <x:c r="V1405" s="12"/>
      <x:c r="W1405" s="12" t="str">
        <x:v>negative</x:v>
      </x:c>
      <x:c r="X1405" s="12"/>
      <x:c r="Y1405" s="12" t="str">
        <x:v>negative</x:v>
      </x:c>
      <x:c r="Z1405" s="12" t="str">
        <x:f>IF(OR(W1405="unavailable",Y1405="unavailable"),"不可评价",IF(OR(W1405="equivocal",Y1405="equivocal"),"疑似",IF(AND(W1405="positive",Y1405="positive"),"a",IF(Y1405="positive","b",IF(W1405="positive","c","d")))))</x:f>
        <x:v>d</x:v>
      </x:c>
      <x:c r="AA1405" s="12" t="str">
        <x:f>IF(OR(M1405="unavailable",O1405="unavailable"),"不可评价",IF(AND(OR(M1405="positive",M1405="equivocal"),OR(O1405="positive",O1405="equivocal")),"a",IF(OR(O1405="positive",O1405="equivocal"),"b",IF(OR(M1405="positive",M1405="equivocal"),"c","d"))))</x:f>
        <x:v>d</x:v>
      </x:c>
      <x:c r="AB1405" s="12" t="str">
        <x:f>IF(OR(M1405="unavailable",O1405="unavailable"),"不可评价",IF(AND(M1405="positive",O1405="positive"),"a",IF(O1405="positive","b",IF(M1405="positive","c","d"))))</x:f>
        <x:v>d</x:v>
      </x:c>
      <x:c r="AC1405" s="12" t="str">
        <x:f>IF(OR(R1405="unavailable",T1405="unavailable"),"不可评价",IF(AND(OR(R1405="positive",R1405="equivocal"),OR(T1405="positive",T1405="equivocal")),"a",IF(OR(T1405="positive",T1405="equivocal"),"b",IF(OR(R1405="positive",R1405="equivocal"),"c","d"))))</x:f>
        <x:v>d</x:v>
      </x:c>
      <x:c r="AD1405" s="12" t="str">
        <x:f>IF(OR(R1405="unavailable",T1405="unavailable"),"不可评价",IF(AND(R1405="positive",T1405="positive"),"a",IF(T1405="positive","b",IF(R1405="positive","c","d"))))</x:f>
        <x:v>d</x:v>
      </x:c>
      <x:c r="AE1405" s="12" t="str">
        <x:f>IF(OR(W1405="unavailable",Y1405="unavailable"),"不可评价",IF(AND(OR(W1405="positive",W1405="equivocal"),OR(Y1405="positive",Y1405="equivocal")),"a",IF(OR(Y1405="positive",Y1405="equivocal"),"b",IF(OR(W1405="positive",W1405="equivocal"),"c","d"))))</x:f>
        <x:v>d</x:v>
      </x:c>
      <x:c r="AF1405" s="12" t="str">
        <x:f>IF(OR(W1405="unavailable",Y1405="unavailable"),"不可评价",IF(AND(W1405="positive",Y1405="positive"),"a",IF(Y1405="positive","b",IF(W1405="positive","c","d"))))</x:f>
        <x:v>d</x:v>
      </x:c>
    </x:row>
    <x:row r="1406" ht="24" customHeight="1">
      <x:c r="A1406" s="12" t="str">
        <x:v>12720</x:v>
      </x:c>
      <x:c r="B1406" s="12" t="str">
        <x:v>1440</x:v>
      </x:c>
      <x:c r="C1406" s="21" t="n">
        <x:v>34552.599583333336</x:v>
      </x:c>
      <x:c r="D1406" s="12" t="n">
        <x:v>44</x:v>
      </x:c>
      <x:c r="E1406" s="12" t="n">
        <x:v>1</x:v>
      </x:c>
      <x:c r="F1406" s="12" t="str">
        <x:v>未记录</x:v>
      </x:c>
      <x:c r="G1406" s="12" t="n">
        <x:v>1</x:v>
      </x:c>
      <x:c r="H1406" s="12" t="str">
        <x:v>{'NORM': 80.0, 'STACH': 0.0}</x:v>
      </x:c>
      <x:c r="I1406" s="12" t="str">
        <x:v>[('STACH', 100.0), ('ABR', 100.0)]</x:v>
      </x:c>
      <x:c r="J1406" s="12" t="str">
        <x:v>ptbxl_database.csv；ecg_id=12720；scp_codes</x:v>
      </x:c>
      <x:c r="K1406" s="12" t="str">
        <x:v>12sl_statements.csv；ecg_id=12720；statements_ext_snomed</x:v>
      </x:c>
      <x:c r="L1406" s="12"/>
      <x:c r="M1406" s="12" t="str">
        <x:v>negative</x:v>
      </x:c>
      <x:c r="N1406" s="12"/>
      <x:c r="O1406" s="12" t="str">
        <x:v>negative</x:v>
      </x:c>
      <x:c r="P1406" s="12" t="str">
        <x:f>IF(OR(M1406="unavailable",O1406="unavailable"),"不可评价",IF(OR(M1406="equivocal",O1406="equivocal"),"疑似",IF(AND(M1406="positive",O1406="positive"),"a",IF(O1406="positive","b",IF(M1406="positive","c","d")))))</x:f>
        <x:v>d</x:v>
      </x:c>
      <x:c r="Q1406" s="12"/>
      <x:c r="R1406" s="12" t="str">
        <x:v>negative</x:v>
      </x:c>
      <x:c r="S1406" s="12"/>
      <x:c r="T1406" s="12" t="str">
        <x:v>negative</x:v>
      </x:c>
      <x:c r="U1406" s="12" t="str">
        <x:f>IF(OR(R1406="unavailable",T1406="unavailable"),"不可评价",IF(OR(R1406="equivocal",T1406="equivocal"),"疑似",IF(AND(R1406="positive",T1406="positive"),"a",IF(T1406="positive","b",IF(R1406="positive","c","d")))))</x:f>
        <x:v>d</x:v>
      </x:c>
      <x:c r="V1406" s="12"/>
      <x:c r="W1406" s="12" t="str">
        <x:v>negative</x:v>
      </x:c>
      <x:c r="X1406" s="12"/>
      <x:c r="Y1406" s="12" t="str">
        <x:v>negative</x:v>
      </x:c>
      <x:c r="Z1406" s="12" t="str">
        <x:f>IF(OR(W1406="unavailable",Y1406="unavailable"),"不可评价",IF(OR(W1406="equivocal",Y1406="equivocal"),"疑似",IF(AND(W1406="positive",Y1406="positive"),"a",IF(Y1406="positive","b",IF(W1406="positive","c","d")))))</x:f>
        <x:v>d</x:v>
      </x:c>
      <x:c r="AA1406" s="12" t="str">
        <x:f>IF(OR(M1406="unavailable",O1406="unavailable"),"不可评价",IF(AND(OR(M1406="positive",M1406="equivocal"),OR(O1406="positive",O1406="equivocal")),"a",IF(OR(O1406="positive",O1406="equivocal"),"b",IF(OR(M1406="positive",M1406="equivocal"),"c","d"))))</x:f>
        <x:v>d</x:v>
      </x:c>
      <x:c r="AB1406" s="12" t="str">
        <x:f>IF(OR(M1406="unavailable",O1406="unavailable"),"不可评价",IF(AND(M1406="positive",O1406="positive"),"a",IF(O1406="positive","b",IF(M1406="positive","c","d"))))</x:f>
        <x:v>d</x:v>
      </x:c>
      <x:c r="AC1406" s="12" t="str">
        <x:f>IF(OR(R1406="unavailable",T1406="unavailable"),"不可评价",IF(AND(OR(R1406="positive",R1406="equivocal"),OR(T1406="positive",T1406="equivocal")),"a",IF(OR(T1406="positive",T1406="equivocal"),"b",IF(OR(R1406="positive",R1406="equivocal"),"c","d"))))</x:f>
        <x:v>d</x:v>
      </x:c>
      <x:c r="AD1406" s="12" t="str">
        <x:f>IF(OR(R1406="unavailable",T1406="unavailable"),"不可评价",IF(AND(R1406="positive",T1406="positive"),"a",IF(T1406="positive","b",IF(R1406="positive","c","d"))))</x:f>
        <x:v>d</x:v>
      </x:c>
      <x:c r="AE1406" s="12" t="str">
        <x:f>IF(OR(W1406="unavailable",Y1406="unavailable"),"不可评价",IF(AND(OR(W1406="positive",W1406="equivocal"),OR(Y1406="positive",Y1406="equivocal")),"a",IF(OR(Y1406="positive",Y1406="equivocal"),"b",IF(OR(W1406="positive",W1406="equivocal"),"c","d"))))</x:f>
        <x:v>d</x:v>
      </x:c>
      <x:c r="AF1406" s="12" t="str">
        <x:f>IF(OR(W1406="unavailable",Y1406="unavailable"),"不可评价",IF(AND(W1406="positive",Y1406="positive"),"a",IF(Y1406="positive","b",IF(W1406="positive","c","d"))))</x:f>
        <x:v>d</x:v>
      </x:c>
    </x:row>
    <x:row r="1407" ht="24" customHeight="1">
      <x:c r="A1407" s="12" t="str">
        <x:v>12742</x:v>
      </x:c>
      <x:c r="B1407" s="12" t="str">
        <x:v>4678</x:v>
      </x:c>
      <x:c r="C1407" s="21" t="n">
        <x:v>34555.828564814816</x:v>
      </x:c>
      <x:c r="D1407" s="12" t="n">
        <x:v>60</x:v>
      </x:c>
      <x:c r="E1407" s="12" t="n">
        <x:v>1</x:v>
      </x:c>
      <x:c r="F1407" s="12" t="str">
        <x:v>存在</x:v>
      </x:c>
      <x:c r="G1407" s="12" t="n">
        <x:v>1</x:v>
      </x:c>
      <x:c r="H1407" s="12" t="str">
        <x:v>{'NORM': 80.0, 'SR': 0.0}</x:v>
      </x:c>
      <x:c r="I1407" s="12" t="str">
        <x:v>[('SRTH', 100.0), ('FAV', 100.0), ('ABR', 100.0)]</x:v>
      </x:c>
      <x:c r="J1407" s="12" t="str">
        <x:v>ptbxl_database.csv；ecg_id=12742；scp_codes</x:v>
      </x:c>
      <x:c r="K1407" s="12" t="str">
        <x:v>12sl_statements.csv；ecg_id=12742；statements_ext_snomed</x:v>
      </x:c>
      <x:c r="L1407" s="12"/>
      <x:c r="M1407" s="12" t="str">
        <x:v>negative</x:v>
      </x:c>
      <x:c r="N1407" s="12"/>
      <x:c r="O1407" s="12" t="str">
        <x:v>negative</x:v>
      </x:c>
      <x:c r="P1407" s="12" t="str">
        <x:f>IF(OR(M1407="unavailable",O1407="unavailable"),"不可评价",IF(OR(M1407="equivocal",O1407="equivocal"),"疑似",IF(AND(M1407="positive",O1407="positive"),"a",IF(O1407="positive","b",IF(M1407="positive","c","d")))))</x:f>
        <x:v>d</x:v>
      </x:c>
      <x:c r="Q1407" s="12"/>
      <x:c r="R1407" s="12" t="str">
        <x:v>negative</x:v>
      </x:c>
      <x:c r="S1407" s="12"/>
      <x:c r="T1407" s="12" t="str">
        <x:v>negative</x:v>
      </x:c>
      <x:c r="U1407" s="12" t="str">
        <x:f>IF(OR(R1407="unavailable",T1407="unavailable"),"不可评价",IF(OR(R1407="equivocal",T1407="equivocal"),"疑似",IF(AND(R1407="positive",T1407="positive"),"a",IF(T1407="positive","b",IF(R1407="positive","c","d")))))</x:f>
        <x:v>d</x:v>
      </x:c>
      <x:c r="V1407" s="12"/>
      <x:c r="W1407" s="12" t="str">
        <x:v>negative</x:v>
      </x:c>
      <x:c r="X1407" s="12"/>
      <x:c r="Y1407" s="12" t="str">
        <x:v>negative</x:v>
      </x:c>
      <x:c r="Z1407" s="12" t="str">
        <x:f>IF(OR(W1407="unavailable",Y1407="unavailable"),"不可评价",IF(OR(W1407="equivocal",Y1407="equivocal"),"疑似",IF(AND(W1407="positive",Y1407="positive"),"a",IF(Y1407="positive","b",IF(W1407="positive","c","d")))))</x:f>
        <x:v>d</x:v>
      </x:c>
      <x:c r="AA1407" s="12" t="str">
        <x:f>IF(OR(M1407="unavailable",O1407="unavailable"),"不可评价",IF(AND(OR(M1407="positive",M1407="equivocal"),OR(O1407="positive",O1407="equivocal")),"a",IF(OR(O1407="positive",O1407="equivocal"),"b",IF(OR(M1407="positive",M1407="equivocal"),"c","d"))))</x:f>
        <x:v>d</x:v>
      </x:c>
      <x:c r="AB1407" s="12" t="str">
        <x:f>IF(OR(M1407="unavailable",O1407="unavailable"),"不可评价",IF(AND(M1407="positive",O1407="positive"),"a",IF(O1407="positive","b",IF(M1407="positive","c","d"))))</x:f>
        <x:v>d</x:v>
      </x:c>
      <x:c r="AC1407" s="12" t="str">
        <x:f>IF(OR(R1407="unavailable",T1407="unavailable"),"不可评价",IF(AND(OR(R1407="positive",R1407="equivocal"),OR(T1407="positive",T1407="equivocal")),"a",IF(OR(T1407="positive",T1407="equivocal"),"b",IF(OR(R1407="positive",R1407="equivocal"),"c","d"))))</x:f>
        <x:v>d</x:v>
      </x:c>
      <x:c r="AD1407" s="12" t="str">
        <x:f>IF(OR(R1407="unavailable",T1407="unavailable"),"不可评价",IF(AND(R1407="positive",T1407="positive"),"a",IF(T1407="positive","b",IF(R1407="positive","c","d"))))</x:f>
        <x:v>d</x:v>
      </x:c>
      <x:c r="AE1407" s="12" t="str">
        <x:f>IF(OR(W1407="unavailable",Y1407="unavailable"),"不可评价",IF(AND(OR(W1407="positive",W1407="equivocal"),OR(Y1407="positive",Y1407="equivocal")),"a",IF(OR(Y1407="positive",Y1407="equivocal"),"b",IF(OR(W1407="positive",W1407="equivocal"),"c","d"))))</x:f>
        <x:v>d</x:v>
      </x:c>
      <x:c r="AF1407" s="12" t="str">
        <x:f>IF(OR(W1407="unavailable",Y1407="unavailable"),"不可评价",IF(AND(W1407="positive",Y1407="positive"),"a",IF(Y1407="positive","b",IF(W1407="positive","c","d"))))</x:f>
        <x:v>d</x:v>
      </x:c>
    </x:row>
    <x:row r="1408" ht="24" customHeight="1">
      <x:c r="A1408" s="12" t="str">
        <x:v>12758</x:v>
      </x:c>
      <x:c r="B1408" s="12" t="str">
        <x:v>996</x:v>
      </x:c>
      <x:c r="C1408" s="21" t="n">
        <x:v>34556.66273148148</x:v>
      </x:c>
      <x:c r="D1408" s="12" t="n">
        <x:v>300</x:v>
      </x:c>
      <x:c r="E1408" s="12" t="n">
        <x:v>1</x:v>
      </x:c>
      <x:c r="F1408" s="12" t="str">
        <x:v>未记录</x:v>
      </x:c>
      <x:c r="G1408" s="12" t="n">
        <x:v>1</x:v>
      </x:c>
      <x:c r="H1408" s="12" t="str">
        <x:v>{'PMI': 50.0, 'NST_': 0.0, 'VCLVH': 0.0, 'AFIB': 0.0}</x:v>
      </x:c>
      <x:c r="I1408" s="12" t="str">
        <x:v>[('AFIB', 100.0), ('RVR', 100.0), ('NSTT', 100.0), ('AB', 100.0)]</x:v>
      </x:c>
      <x:c r="J1408" s="12" t="str">
        <x:v>ptbxl_database.csv；ecg_id=12758；scp_codes</x:v>
      </x:c>
      <x:c r="K1408" s="12" t="str">
        <x:v>12sl_statements.csv；ecg_id=12758；statements_ext_snomed</x:v>
      </x:c>
      <x:c r="L1408" s="12" t="n">
        <x:v>0</x:v>
      </x:c>
      <x:c r="M1408" s="12" t="str">
        <x:v>positive</x:v>
      </x:c>
      <x:c r="N1408" s="12" t="n">
        <x:v>100</x:v>
      </x:c>
      <x:c r="O1408" s="12" t="str">
        <x:v>positive</x:v>
      </x:c>
      <x:c r="P1408" s="12" t="str">
        <x:f>IF(OR(M1408="unavailable",O1408="unavailable"),"不可评价",IF(OR(M1408="equivocal",O1408="equivocal"),"疑似",IF(AND(M1408="positive",O1408="positive"),"a",IF(O1408="positive","b",IF(M1408="positive","c","d")))))</x:f>
        <x:v>a</x:v>
      </x:c>
      <x:c r="Q1408" s="12"/>
      <x:c r="R1408" s="12" t="str">
        <x:v>negative</x:v>
      </x:c>
      <x:c r="S1408" s="12"/>
      <x:c r="T1408" s="12" t="str">
        <x:v>negative</x:v>
      </x:c>
      <x:c r="U1408" s="12" t="str">
        <x:f>IF(OR(R1408="unavailable",T1408="unavailable"),"不可评价",IF(OR(R1408="equivocal",T1408="equivocal"),"疑似",IF(AND(R1408="positive",T1408="positive"),"a",IF(T1408="positive","b",IF(R1408="positive","c","d")))))</x:f>
        <x:v>d</x:v>
      </x:c>
      <x:c r="V1408" s="12"/>
      <x:c r="W1408" s="12" t="str">
        <x:v>negative</x:v>
      </x:c>
      <x:c r="X1408" s="12"/>
      <x:c r="Y1408" s="12" t="str">
        <x:v>negative</x:v>
      </x:c>
      <x:c r="Z1408" s="12" t="str">
        <x:f>IF(OR(W1408="unavailable",Y1408="unavailable"),"不可评价",IF(OR(W1408="equivocal",Y1408="equivocal"),"疑似",IF(AND(W1408="positive",Y1408="positive"),"a",IF(Y1408="positive","b",IF(W1408="positive","c","d")))))</x:f>
        <x:v>d</x:v>
      </x:c>
      <x:c r="AA1408" s="12" t="str">
        <x:f>IF(OR(M1408="unavailable",O1408="unavailable"),"不可评价",IF(AND(OR(M1408="positive",M1408="equivocal"),OR(O1408="positive",O1408="equivocal")),"a",IF(OR(O1408="positive",O1408="equivocal"),"b",IF(OR(M1408="positive",M1408="equivocal"),"c","d"))))</x:f>
        <x:v>a</x:v>
      </x:c>
      <x:c r="AB1408" s="12" t="str">
        <x:f>IF(OR(M1408="unavailable",O1408="unavailable"),"不可评价",IF(AND(M1408="positive",O1408="positive"),"a",IF(O1408="positive","b",IF(M1408="positive","c","d"))))</x:f>
        <x:v>a</x:v>
      </x:c>
      <x:c r="AC1408" s="12" t="str">
        <x:f>IF(OR(R1408="unavailable",T1408="unavailable"),"不可评价",IF(AND(OR(R1408="positive",R1408="equivocal"),OR(T1408="positive",T1408="equivocal")),"a",IF(OR(T1408="positive",T1408="equivocal"),"b",IF(OR(R1408="positive",R1408="equivocal"),"c","d"))))</x:f>
        <x:v>d</x:v>
      </x:c>
      <x:c r="AD1408" s="12" t="str">
        <x:f>IF(OR(R1408="unavailable",T1408="unavailable"),"不可评价",IF(AND(R1408="positive",T1408="positive"),"a",IF(T1408="positive","b",IF(R1408="positive","c","d"))))</x:f>
        <x:v>d</x:v>
      </x:c>
      <x:c r="AE1408" s="12" t="str">
        <x:f>IF(OR(W1408="unavailable",Y1408="unavailable"),"不可评价",IF(AND(OR(W1408="positive",W1408="equivocal"),OR(Y1408="positive",Y1408="equivocal")),"a",IF(OR(Y1408="positive",Y1408="equivocal"),"b",IF(OR(W1408="positive",W1408="equivocal"),"c","d"))))</x:f>
        <x:v>d</x:v>
      </x:c>
      <x:c r="AF1408" s="12" t="str">
        <x:f>IF(OR(W1408="unavailable",Y1408="unavailable"),"不可评价",IF(AND(W1408="positive",Y1408="positive"),"a",IF(Y1408="positive","b",IF(W1408="positive","c","d"))))</x:f>
        <x:v>d</x:v>
      </x:c>
    </x:row>
    <x:row r="1409" ht="24" customHeight="1">
      <x:c r="A1409" s="12" t="str">
        <x:v>12770</x:v>
      </x:c>
      <x:c r="B1409" s="12" t="str">
        <x:v>7926</x:v>
      </x:c>
      <x:c r="C1409" s="21" t="n">
        <x:v>34558.49886574074</x:v>
      </x:c>
      <x:c r="D1409" s="12" t="n">
        <x:v>71</x:v>
      </x:c>
      <x:c r="E1409" s="12" t="n">
        <x:v>1</x:v>
      </x:c>
      <x:c r="F1409" s="12" t="str">
        <x:v>未记录</x:v>
      </x:c>
      <x:c r="G1409" s="12" t="n">
        <x:v>1</x:v>
      </x:c>
      <x:c r="H1409" s="12" t="str">
        <x:v>{'NDT': 100.0, '1AVB': 100.0, 'SR': 0.0}</x:v>
      </x:c>
      <x:c r="I1409" s="12" t="str">
        <x:v>[('SRTH', 100.0), ('FAV', 100.0), ('NSTT', 100.0), ('AB', 100.0)]</x:v>
      </x:c>
      <x:c r="J1409" s="12" t="str">
        <x:v>ptbxl_database.csv；ecg_id=12770；scp_codes</x:v>
      </x:c>
      <x:c r="K1409" s="12" t="str">
        <x:v>12sl_statements.csv；ecg_id=12770；statements_ext_snomed</x:v>
      </x:c>
      <x:c r="L1409" s="12"/>
      <x:c r="M1409" s="12" t="str">
        <x:v>negative</x:v>
      </x:c>
      <x:c r="N1409" s="12"/>
      <x:c r="O1409" s="12" t="str">
        <x:v>negative</x:v>
      </x:c>
      <x:c r="P1409" s="12" t="str">
        <x:f>IF(OR(M1409="unavailable",O1409="unavailable"),"不可评价",IF(OR(M1409="equivocal",O1409="equivocal"),"疑似",IF(AND(M1409="positive",O1409="positive"),"a",IF(O1409="positive","b",IF(M1409="positive","c","d")))))</x:f>
        <x:v>d</x:v>
      </x:c>
      <x:c r="Q1409" s="12"/>
      <x:c r="R1409" s="12" t="str">
        <x:v>negative</x:v>
      </x:c>
      <x:c r="S1409" s="12"/>
      <x:c r="T1409" s="12" t="str">
        <x:v>negative</x:v>
      </x:c>
      <x:c r="U1409" s="12" t="str">
        <x:f>IF(OR(R1409="unavailable",T1409="unavailable"),"不可评价",IF(OR(R1409="equivocal",T1409="equivocal"),"疑似",IF(AND(R1409="positive",T1409="positive"),"a",IF(T1409="positive","b",IF(R1409="positive","c","d")))))</x:f>
        <x:v>d</x:v>
      </x:c>
      <x:c r="V1409" s="12"/>
      <x:c r="W1409" s="12" t="str">
        <x:v>negative</x:v>
      </x:c>
      <x:c r="X1409" s="12"/>
      <x:c r="Y1409" s="12" t="str">
        <x:v>negative</x:v>
      </x:c>
      <x:c r="Z1409" s="12" t="str">
        <x:f>IF(OR(W1409="unavailable",Y1409="unavailable"),"不可评价",IF(OR(W1409="equivocal",Y1409="equivocal"),"疑似",IF(AND(W1409="positive",Y1409="positive"),"a",IF(Y1409="positive","b",IF(W1409="positive","c","d")))))</x:f>
        <x:v>d</x:v>
      </x:c>
      <x:c r="AA1409" s="12" t="str">
        <x:f>IF(OR(M1409="unavailable",O1409="unavailable"),"不可评价",IF(AND(OR(M1409="positive",M1409="equivocal"),OR(O1409="positive",O1409="equivocal")),"a",IF(OR(O1409="positive",O1409="equivocal"),"b",IF(OR(M1409="positive",M1409="equivocal"),"c","d"))))</x:f>
        <x:v>d</x:v>
      </x:c>
      <x:c r="AB1409" s="12" t="str">
        <x:f>IF(OR(M1409="unavailable",O1409="unavailable"),"不可评价",IF(AND(M1409="positive",O1409="positive"),"a",IF(O1409="positive","b",IF(M1409="positive","c","d"))))</x:f>
        <x:v>d</x:v>
      </x:c>
      <x:c r="AC1409" s="12" t="str">
        <x:f>IF(OR(R1409="unavailable",T1409="unavailable"),"不可评价",IF(AND(OR(R1409="positive",R1409="equivocal"),OR(T1409="positive",T1409="equivocal")),"a",IF(OR(T1409="positive",T1409="equivocal"),"b",IF(OR(R1409="positive",R1409="equivocal"),"c","d"))))</x:f>
        <x:v>d</x:v>
      </x:c>
      <x:c r="AD1409" s="12" t="str">
        <x:f>IF(OR(R1409="unavailable",T1409="unavailable"),"不可评价",IF(AND(R1409="positive",T1409="positive"),"a",IF(T1409="positive","b",IF(R1409="positive","c","d"))))</x:f>
        <x:v>d</x:v>
      </x:c>
      <x:c r="AE1409" s="12" t="str">
        <x:f>IF(OR(W1409="unavailable",Y1409="unavailable"),"不可评价",IF(AND(OR(W1409="positive",W1409="equivocal"),OR(Y1409="positive",Y1409="equivocal")),"a",IF(OR(Y1409="positive",Y1409="equivocal"),"b",IF(OR(W1409="positive",W1409="equivocal"),"c","d"))))</x:f>
        <x:v>d</x:v>
      </x:c>
      <x:c r="AF1409" s="12" t="str">
        <x:f>IF(OR(W1409="unavailable",Y1409="unavailable"),"不可评价",IF(AND(W1409="positive",Y1409="positive"),"a",IF(Y1409="positive","b",IF(W1409="positive","c","d"))))</x:f>
        <x:v>d</x:v>
      </x:c>
    </x:row>
    <x:row r="1410" ht="24" customHeight="1">
      <x:c r="A1410" s="12" t="str">
        <x:v>12776</x:v>
      </x:c>
      <x:c r="B1410" s="12" t="str">
        <x:v>4797</x:v>
      </x:c>
      <x:c r="C1410" s="21" t="n">
        <x:v>34558.86273148148</x:v>
      </x:c>
      <x:c r="D1410" s="12" t="n">
        <x:v>69</x:v>
      </x:c>
      <x:c r="E1410" s="12" t="n">
        <x:v>0</x:v>
      </x:c>
      <x:c r="F1410" s="12" t="str">
        <x:v>未记录</x:v>
      </x:c>
      <x:c r="G1410" s="12" t="n">
        <x:v>1</x:v>
      </x:c>
      <x:c r="H1410" s="12" t="str">
        <x:v>{'NST_': 100.0, 'NT_': 0.0, 'SR': 0.0}</x:v>
      </x:c>
      <x:c r="I1410" s="12" t="str">
        <x:v>[('NSR', 100.0), ('NSTT', 100.0), ('AB', 100.0)]</x:v>
      </x:c>
      <x:c r="J1410" s="12" t="str">
        <x:v>ptbxl_database.csv；ecg_id=12776；scp_codes</x:v>
      </x:c>
      <x:c r="K1410" s="12" t="str">
        <x:v>12sl_statements.csv；ecg_id=12776；statements_ext_snomed</x:v>
      </x:c>
      <x:c r="L1410" s="12"/>
      <x:c r="M1410" s="12" t="str">
        <x:v>negative</x:v>
      </x:c>
      <x:c r="N1410" s="12"/>
      <x:c r="O1410" s="12" t="str">
        <x:v>negative</x:v>
      </x:c>
      <x:c r="P1410" s="12" t="str">
        <x:f>IF(OR(M1410="unavailable",O1410="unavailable"),"不可评价",IF(OR(M1410="equivocal",O1410="equivocal"),"疑似",IF(AND(M1410="positive",O1410="positive"),"a",IF(O1410="positive","b",IF(M1410="positive","c","d")))))</x:f>
        <x:v>d</x:v>
      </x:c>
      <x:c r="Q1410" s="12"/>
      <x:c r="R1410" s="12" t="str">
        <x:v>negative</x:v>
      </x:c>
      <x:c r="S1410" s="12"/>
      <x:c r="T1410" s="12" t="str">
        <x:v>negative</x:v>
      </x:c>
      <x:c r="U1410" s="12" t="str">
        <x:f>IF(OR(R1410="unavailable",T1410="unavailable"),"不可评价",IF(OR(R1410="equivocal",T1410="equivocal"),"疑似",IF(AND(R1410="positive",T1410="positive"),"a",IF(T1410="positive","b",IF(R1410="positive","c","d")))))</x:f>
        <x:v>d</x:v>
      </x:c>
      <x:c r="V1410" s="12"/>
      <x:c r="W1410" s="12" t="str">
        <x:v>negative</x:v>
      </x:c>
      <x:c r="X1410" s="12"/>
      <x:c r="Y1410" s="12" t="str">
        <x:v>negative</x:v>
      </x:c>
      <x:c r="Z1410" s="12" t="str">
        <x:f>IF(OR(W1410="unavailable",Y1410="unavailable"),"不可评价",IF(OR(W1410="equivocal",Y1410="equivocal"),"疑似",IF(AND(W1410="positive",Y1410="positive"),"a",IF(Y1410="positive","b",IF(W1410="positive","c","d")))))</x:f>
        <x:v>d</x:v>
      </x:c>
      <x:c r="AA1410" s="12" t="str">
        <x:f>IF(OR(M1410="unavailable",O1410="unavailable"),"不可评价",IF(AND(OR(M1410="positive",M1410="equivocal"),OR(O1410="positive",O1410="equivocal")),"a",IF(OR(O1410="positive",O1410="equivocal"),"b",IF(OR(M1410="positive",M1410="equivocal"),"c","d"))))</x:f>
        <x:v>d</x:v>
      </x:c>
      <x:c r="AB1410" s="12" t="str">
        <x:f>IF(OR(M1410="unavailable",O1410="unavailable"),"不可评价",IF(AND(M1410="positive",O1410="positive"),"a",IF(O1410="positive","b",IF(M1410="positive","c","d"))))</x:f>
        <x:v>d</x:v>
      </x:c>
      <x:c r="AC1410" s="12" t="str">
        <x:f>IF(OR(R1410="unavailable",T1410="unavailable"),"不可评价",IF(AND(OR(R1410="positive",R1410="equivocal"),OR(T1410="positive",T1410="equivocal")),"a",IF(OR(T1410="positive",T1410="equivocal"),"b",IF(OR(R1410="positive",R1410="equivocal"),"c","d"))))</x:f>
        <x:v>d</x:v>
      </x:c>
      <x:c r="AD1410" s="12" t="str">
        <x:f>IF(OR(R1410="unavailable",T1410="unavailable"),"不可评价",IF(AND(R1410="positive",T1410="positive"),"a",IF(T1410="positive","b",IF(R1410="positive","c","d"))))</x:f>
        <x:v>d</x:v>
      </x:c>
      <x:c r="AE1410" s="12" t="str">
        <x:f>IF(OR(W1410="unavailable",Y1410="unavailable"),"不可评价",IF(AND(OR(W1410="positive",W1410="equivocal"),OR(Y1410="positive",Y1410="equivocal")),"a",IF(OR(Y1410="positive",Y1410="equivocal"),"b",IF(OR(W1410="positive",W1410="equivocal"),"c","d"))))</x:f>
        <x:v>d</x:v>
      </x:c>
      <x:c r="AF1410" s="12" t="str">
        <x:f>IF(OR(W1410="unavailable",Y1410="unavailable"),"不可评价",IF(AND(W1410="positive",Y1410="positive"),"a",IF(Y1410="positive","b",IF(W1410="positive","c","d"))))</x:f>
        <x:v>d</x:v>
      </x:c>
    </x:row>
    <x:row r="1411" ht="24" customHeight="1">
      <x:c r="A1411" s="12" t="str">
        <x:v>12785</x:v>
      </x:c>
      <x:c r="B1411" s="12" t="str">
        <x:v>504</x:v>
      </x:c>
      <x:c r="C1411" s="21" t="n">
        <x:v>34559.670636574076</x:v>
      </x:c>
      <x:c r="D1411" s="12" t="n">
        <x:v>69</x:v>
      </x:c>
      <x:c r="E1411" s="12" t="n">
        <x:v>0</x:v>
      </x:c>
      <x:c r="F1411" s="12" t="str">
        <x:v>未记录</x:v>
      </x:c>
      <x:c r="G1411" s="12" t="n">
        <x:v>0</x:v>
      </x:c>
      <x:c r="H1411" s="12" t="str">
        <x:v>{'LAFB': 100.0, 'SR': 0.0}</x:v>
      </x:c>
      <x:c r="I1411" s="12" t="str">
        <x:v>[('SBRAD', 100.0), ('LAD3', 100.0), ('NST', 100.0), ('AB', 100.0)]</x:v>
      </x:c>
      <x:c r="J1411" s="12" t="str">
        <x:v>ptbxl_database.csv；ecg_id=12785；scp_codes</x:v>
      </x:c>
      <x:c r="K1411" s="12" t="str">
        <x:v>12sl_statements.csv；ecg_id=12785；statements_ext_snomed</x:v>
      </x:c>
      <x:c r="L1411" s="12"/>
      <x:c r="M1411" s="12" t="str">
        <x:v>negative</x:v>
      </x:c>
      <x:c r="N1411" s="12"/>
      <x:c r="O1411" s="12" t="str">
        <x:v>negative</x:v>
      </x:c>
      <x:c r="P1411" s="12" t="str">
        <x:f>IF(OR(M1411="unavailable",O1411="unavailable"),"不可评价",IF(OR(M1411="equivocal",O1411="equivocal"),"疑似",IF(AND(M1411="positive",O1411="positive"),"a",IF(O1411="positive","b",IF(M1411="positive","c","d")))))</x:f>
        <x:v>d</x:v>
      </x:c>
      <x:c r="Q1411" s="12"/>
      <x:c r="R1411" s="12" t="str">
        <x:v>negative</x:v>
      </x:c>
      <x:c r="S1411" s="12"/>
      <x:c r="T1411" s="12" t="str">
        <x:v>negative</x:v>
      </x:c>
      <x:c r="U1411" s="12" t="str">
        <x:f>IF(OR(R1411="unavailable",T1411="unavailable"),"不可评价",IF(OR(R1411="equivocal",T1411="equivocal"),"疑似",IF(AND(R1411="positive",T1411="positive"),"a",IF(T1411="positive","b",IF(R1411="positive","c","d")))))</x:f>
        <x:v>d</x:v>
      </x:c>
      <x:c r="V1411" s="12"/>
      <x:c r="W1411" s="12" t="str">
        <x:v>negative</x:v>
      </x:c>
      <x:c r="X1411" s="12"/>
      <x:c r="Y1411" s="12" t="str">
        <x:v>negative</x:v>
      </x:c>
      <x:c r="Z1411" s="12" t="str">
        <x:f>IF(OR(W1411="unavailable",Y1411="unavailable"),"不可评价",IF(OR(W1411="equivocal",Y1411="equivocal"),"疑似",IF(AND(W1411="positive",Y1411="positive"),"a",IF(Y1411="positive","b",IF(W1411="positive","c","d")))))</x:f>
        <x:v>d</x:v>
      </x:c>
      <x:c r="AA1411" s="12" t="str">
        <x:f>IF(OR(M1411="unavailable",O1411="unavailable"),"不可评价",IF(AND(OR(M1411="positive",M1411="equivocal"),OR(O1411="positive",O1411="equivocal")),"a",IF(OR(O1411="positive",O1411="equivocal"),"b",IF(OR(M1411="positive",M1411="equivocal"),"c","d"))))</x:f>
        <x:v>d</x:v>
      </x:c>
      <x:c r="AB1411" s="12" t="str">
        <x:f>IF(OR(M1411="unavailable",O1411="unavailable"),"不可评价",IF(AND(M1411="positive",O1411="positive"),"a",IF(O1411="positive","b",IF(M1411="positive","c","d"))))</x:f>
        <x:v>d</x:v>
      </x:c>
      <x:c r="AC1411" s="12" t="str">
        <x:f>IF(OR(R1411="unavailable",T1411="unavailable"),"不可评价",IF(AND(OR(R1411="positive",R1411="equivocal"),OR(T1411="positive",T1411="equivocal")),"a",IF(OR(T1411="positive",T1411="equivocal"),"b",IF(OR(R1411="positive",R1411="equivocal"),"c","d"))))</x:f>
        <x:v>d</x:v>
      </x:c>
      <x:c r="AD1411" s="12" t="str">
        <x:f>IF(OR(R1411="unavailable",T1411="unavailable"),"不可评价",IF(AND(R1411="positive",T1411="positive"),"a",IF(T1411="positive","b",IF(R1411="positive","c","d"))))</x:f>
        <x:v>d</x:v>
      </x:c>
      <x:c r="AE1411" s="12" t="str">
        <x:f>IF(OR(W1411="unavailable",Y1411="unavailable"),"不可评价",IF(AND(OR(W1411="positive",W1411="equivocal"),OR(Y1411="positive",Y1411="equivocal")),"a",IF(OR(Y1411="positive",Y1411="equivocal"),"b",IF(OR(W1411="positive",W1411="equivocal"),"c","d"))))</x:f>
        <x:v>d</x:v>
      </x:c>
      <x:c r="AF1411" s="12" t="str">
        <x:f>IF(OR(W1411="unavailable",Y1411="unavailable"),"不可评价",IF(AND(W1411="positive",Y1411="positive"),"a",IF(Y1411="positive","b",IF(W1411="positive","c","d"))))</x:f>
        <x:v>d</x:v>
      </x:c>
    </x:row>
    <x:row r="1412" ht="39" customHeight="1">
      <x:c r="A1412" s="12" t="str">
        <x:v>12801</x:v>
      </x:c>
      <x:c r="B1412" s="12" t="str">
        <x:v>18225</x:v>
      </x:c>
      <x:c r="C1412" s="21" t="n">
        <x:v>34563.27270833333</x:v>
      </x:c>
      <x:c r="D1412" s="12" t="n">
        <x:v>70</x:v>
      </x:c>
      <x:c r="E1412" s="12" t="n">
        <x:v>0</x:v>
      </x:c>
      <x:c r="F1412" s="12" t="str">
        <x:v>未记录</x:v>
      </x:c>
      <x:c r="G1412" s="12" t="n">
        <x:v>1</x:v>
      </x:c>
      <x:c r="H1412" s="12" t="str">
        <x:v>{'IPLMI': 100.0, 'IVCD': 100.0, '1AVB': 100.0, 'ABQRS': 0.0, 'SR': 0.0}</x:v>
      </x:c>
      <x:c r="I1412" s="12" t="str">
        <x:v>[('NSR', 100.0), ('IMI;AU', 100.0), ('AB', 100.0)]</x:v>
      </x:c>
      <x:c r="J1412" s="12" t="str">
        <x:v>ptbxl_database.csv；ecg_id=12801；scp_codes</x:v>
      </x:c>
      <x:c r="K1412" s="12" t="str">
        <x:v>12sl_statements.csv；ecg_id=12801；statements_ext_snomed</x:v>
      </x:c>
      <x:c r="L1412" s="12"/>
      <x:c r="M1412" s="12" t="str">
        <x:v>negative</x:v>
      </x:c>
      <x:c r="N1412" s="12"/>
      <x:c r="O1412" s="12" t="str">
        <x:v>negative</x:v>
      </x:c>
      <x:c r="P1412" s="12" t="str">
        <x:f>IF(OR(M1412="unavailable",O1412="unavailable"),"不可评价",IF(OR(M1412="equivocal",O1412="equivocal"),"疑似",IF(AND(M1412="positive",O1412="positive"),"a",IF(O1412="positive","b",IF(M1412="positive","c","d")))))</x:f>
        <x:v>d</x:v>
      </x:c>
      <x:c r="Q1412" s="12"/>
      <x:c r="R1412" s="12" t="str">
        <x:v>negative</x:v>
      </x:c>
      <x:c r="S1412" s="12"/>
      <x:c r="T1412" s="12" t="str">
        <x:v>negative</x:v>
      </x:c>
      <x:c r="U1412" s="12" t="str">
        <x:f>IF(OR(R1412="unavailable",T1412="unavailable"),"不可评价",IF(OR(R1412="equivocal",T1412="equivocal"),"疑似",IF(AND(R1412="positive",T1412="positive"),"a",IF(T1412="positive","b",IF(R1412="positive","c","d")))))</x:f>
        <x:v>d</x:v>
      </x:c>
      <x:c r="V1412" s="12"/>
      <x:c r="W1412" s="12" t="str">
        <x:v>negative</x:v>
      </x:c>
      <x:c r="X1412" s="12"/>
      <x:c r="Y1412" s="12" t="str">
        <x:v>negative</x:v>
      </x:c>
      <x:c r="Z1412" s="12" t="str">
        <x:f>IF(OR(W1412="unavailable",Y1412="unavailable"),"不可评价",IF(OR(W1412="equivocal",Y1412="equivocal"),"疑似",IF(AND(W1412="positive",Y1412="positive"),"a",IF(Y1412="positive","b",IF(W1412="positive","c","d")))))</x:f>
        <x:v>d</x:v>
      </x:c>
      <x:c r="AA1412" s="12" t="str">
        <x:f>IF(OR(M1412="unavailable",O1412="unavailable"),"不可评价",IF(AND(OR(M1412="positive",M1412="equivocal"),OR(O1412="positive",O1412="equivocal")),"a",IF(OR(O1412="positive",O1412="equivocal"),"b",IF(OR(M1412="positive",M1412="equivocal"),"c","d"))))</x:f>
        <x:v>d</x:v>
      </x:c>
      <x:c r="AB1412" s="12" t="str">
        <x:f>IF(OR(M1412="unavailable",O1412="unavailable"),"不可评价",IF(AND(M1412="positive",O1412="positive"),"a",IF(O1412="positive","b",IF(M1412="positive","c","d"))))</x:f>
        <x:v>d</x:v>
      </x:c>
      <x:c r="AC1412" s="12" t="str">
        <x:f>IF(OR(R1412="unavailable",T1412="unavailable"),"不可评价",IF(AND(OR(R1412="positive",R1412="equivocal"),OR(T1412="positive",T1412="equivocal")),"a",IF(OR(T1412="positive",T1412="equivocal"),"b",IF(OR(R1412="positive",R1412="equivocal"),"c","d"))))</x:f>
        <x:v>d</x:v>
      </x:c>
      <x:c r="AD1412" s="12" t="str">
        <x:f>IF(OR(R1412="unavailable",T1412="unavailable"),"不可评价",IF(AND(R1412="positive",T1412="positive"),"a",IF(T1412="positive","b",IF(R1412="positive","c","d"))))</x:f>
        <x:v>d</x:v>
      </x:c>
      <x:c r="AE1412" s="12" t="str">
        <x:f>IF(OR(W1412="unavailable",Y1412="unavailable"),"不可评价",IF(AND(OR(W1412="positive",W1412="equivocal"),OR(Y1412="positive",Y1412="equivocal")),"a",IF(OR(Y1412="positive",Y1412="equivocal"),"b",IF(OR(W1412="positive",W1412="equivocal"),"c","d"))))</x:f>
        <x:v>d</x:v>
      </x:c>
      <x:c r="AF1412" s="12" t="str">
        <x:f>IF(OR(W1412="unavailable",Y1412="unavailable"),"不可评价",IF(AND(W1412="positive",Y1412="positive"),"a",IF(Y1412="positive","b",IF(W1412="positive","c","d"))))</x:f>
        <x:v>d</x:v>
      </x:c>
    </x:row>
    <x:row r="1413" ht="24" customHeight="1">
      <x:c r="A1413" s="12" t="str">
        <x:v>12828</x:v>
      </x:c>
      <x:c r="B1413" s="12" t="str">
        <x:v>16405</x:v>
      </x:c>
      <x:c r="C1413" s="21" t="n">
        <x:v>34568.33241898148</x:v>
      </x:c>
      <x:c r="D1413" s="12" t="n">
        <x:v>49</x:v>
      </x:c>
      <x:c r="E1413" s="12" t="n">
        <x:v>1</x:v>
      </x:c>
      <x:c r="F1413" s="12" t="str">
        <x:v>存在</x:v>
      </x:c>
      <x:c r="G1413" s="12" t="n">
        <x:v>1</x:v>
      </x:c>
      <x:c r="H1413" s="12" t="str">
        <x:v>{'ASMI': 100.0, 'IMI': 15.0, 'ABQRS': 0.0, 'SR': 0.0}</x:v>
      </x:c>
      <x:c r="I1413" s="12" t="str">
        <x:v>[('NSR', 100.0), ('SMI;AU', 100.0), ('AB', 100.0)]</x:v>
      </x:c>
      <x:c r="J1413" s="12" t="str">
        <x:v>ptbxl_database.csv；ecg_id=12828；scp_codes</x:v>
      </x:c>
      <x:c r="K1413" s="12" t="str">
        <x:v>12sl_statements.csv；ecg_id=12828；statements_ext_snomed</x:v>
      </x:c>
      <x:c r="L1413" s="12"/>
      <x:c r="M1413" s="12" t="str">
        <x:v>negative</x:v>
      </x:c>
      <x:c r="N1413" s="12"/>
      <x:c r="O1413" s="12" t="str">
        <x:v>negative</x:v>
      </x:c>
      <x:c r="P1413" s="12" t="str">
        <x:f>IF(OR(M1413="unavailable",O1413="unavailable"),"不可评价",IF(OR(M1413="equivocal",O1413="equivocal"),"疑似",IF(AND(M1413="positive",O1413="positive"),"a",IF(O1413="positive","b",IF(M1413="positive","c","d")))))</x:f>
        <x:v>d</x:v>
      </x:c>
      <x:c r="Q1413" s="12"/>
      <x:c r="R1413" s="12" t="str">
        <x:v>negative</x:v>
      </x:c>
      <x:c r="S1413" s="12"/>
      <x:c r="T1413" s="12" t="str">
        <x:v>negative</x:v>
      </x:c>
      <x:c r="U1413" s="12" t="str">
        <x:f>IF(OR(R1413="unavailable",T1413="unavailable"),"不可评价",IF(OR(R1413="equivocal",T1413="equivocal"),"疑似",IF(AND(R1413="positive",T1413="positive"),"a",IF(T1413="positive","b",IF(R1413="positive","c","d")))))</x:f>
        <x:v>d</x:v>
      </x:c>
      <x:c r="V1413" s="12"/>
      <x:c r="W1413" s="12" t="str">
        <x:v>negative</x:v>
      </x:c>
      <x:c r="X1413" s="12"/>
      <x:c r="Y1413" s="12" t="str">
        <x:v>negative</x:v>
      </x:c>
      <x:c r="Z1413" s="12" t="str">
        <x:f>IF(OR(W1413="unavailable",Y1413="unavailable"),"不可评价",IF(OR(W1413="equivocal",Y1413="equivocal"),"疑似",IF(AND(W1413="positive",Y1413="positive"),"a",IF(Y1413="positive","b",IF(W1413="positive","c","d")))))</x:f>
        <x:v>d</x:v>
      </x:c>
      <x:c r="AA1413" s="12" t="str">
        <x:f>IF(OR(M1413="unavailable",O1413="unavailable"),"不可评价",IF(AND(OR(M1413="positive",M1413="equivocal"),OR(O1413="positive",O1413="equivocal")),"a",IF(OR(O1413="positive",O1413="equivocal"),"b",IF(OR(M1413="positive",M1413="equivocal"),"c","d"))))</x:f>
        <x:v>d</x:v>
      </x:c>
      <x:c r="AB1413" s="12" t="str">
        <x:f>IF(OR(M1413="unavailable",O1413="unavailable"),"不可评价",IF(AND(M1413="positive",O1413="positive"),"a",IF(O1413="positive","b",IF(M1413="positive","c","d"))))</x:f>
        <x:v>d</x:v>
      </x:c>
      <x:c r="AC1413" s="12" t="str">
        <x:f>IF(OR(R1413="unavailable",T1413="unavailable"),"不可评价",IF(AND(OR(R1413="positive",R1413="equivocal"),OR(T1413="positive",T1413="equivocal")),"a",IF(OR(T1413="positive",T1413="equivocal"),"b",IF(OR(R1413="positive",R1413="equivocal"),"c","d"))))</x:f>
        <x:v>d</x:v>
      </x:c>
      <x:c r="AD1413" s="12" t="str">
        <x:f>IF(OR(R1413="unavailable",T1413="unavailable"),"不可评价",IF(AND(R1413="positive",T1413="positive"),"a",IF(T1413="positive","b",IF(R1413="positive","c","d"))))</x:f>
        <x:v>d</x:v>
      </x:c>
      <x:c r="AE1413" s="12" t="str">
        <x:f>IF(OR(W1413="unavailable",Y1413="unavailable"),"不可评价",IF(AND(OR(W1413="positive",W1413="equivocal"),OR(Y1413="positive",Y1413="equivocal")),"a",IF(OR(Y1413="positive",Y1413="equivocal"),"b",IF(OR(W1413="positive",W1413="equivocal"),"c","d"))))</x:f>
        <x:v>d</x:v>
      </x:c>
      <x:c r="AF1413" s="12" t="str">
        <x:f>IF(OR(W1413="unavailable",Y1413="unavailable"),"不可评价",IF(AND(W1413="positive",Y1413="positive"),"a",IF(Y1413="positive","b",IF(W1413="positive","c","d"))))</x:f>
        <x:v>d</x:v>
      </x:c>
    </x:row>
    <x:row r="1414" ht="24" customHeight="1">
      <x:c r="A1414" s="12" t="str">
        <x:v>12835</x:v>
      </x:c>
      <x:c r="B1414" s="12" t="str">
        <x:v>14399</x:v>
      </x:c>
      <x:c r="C1414" s="21" t="n">
        <x:v>34569.638819444444</x:v>
      </x:c>
      <x:c r="D1414" s="12" t="n">
        <x:v>52</x:v>
      </x:c>
      <x:c r="E1414" s="12" t="n">
        <x:v>0</x:v>
      </x:c>
      <x:c r="F1414" s="12" t="str">
        <x:v>未记录</x:v>
      </x:c>
      <x:c r="G1414" s="12" t="n">
        <x:v>1</x:v>
      </x:c>
      <x:c r="H1414" s="12" t="str">
        <x:v>{'NORM': 50.0, 'ABQRS': 0.0, 'SR': 0.0}</x:v>
      </x:c>
      <x:c r="I1414" s="12" t="str">
        <x:v>[('NSR', 100.0), ('NML', 100.0)]</x:v>
      </x:c>
      <x:c r="J1414" s="12" t="str">
        <x:v>ptbxl_database.csv；ecg_id=12835；scp_codes</x:v>
      </x:c>
      <x:c r="K1414" s="12" t="str">
        <x:v>12sl_statements.csv；ecg_id=12835；statements_ext_snomed</x:v>
      </x:c>
      <x:c r="L1414" s="12"/>
      <x:c r="M1414" s="12" t="str">
        <x:v>negative</x:v>
      </x:c>
      <x:c r="N1414" s="12"/>
      <x:c r="O1414" s="12" t="str">
        <x:v>negative</x:v>
      </x:c>
      <x:c r="P1414" s="12" t="str">
        <x:f>IF(OR(M1414="unavailable",O1414="unavailable"),"不可评价",IF(OR(M1414="equivocal",O1414="equivocal"),"疑似",IF(AND(M1414="positive",O1414="positive"),"a",IF(O1414="positive","b",IF(M1414="positive","c","d")))))</x:f>
        <x:v>d</x:v>
      </x:c>
      <x:c r="Q1414" s="12"/>
      <x:c r="R1414" s="12" t="str">
        <x:v>negative</x:v>
      </x:c>
      <x:c r="S1414" s="12"/>
      <x:c r="T1414" s="12" t="str">
        <x:v>negative</x:v>
      </x:c>
      <x:c r="U1414" s="12" t="str">
        <x:f>IF(OR(R1414="unavailable",T1414="unavailable"),"不可评价",IF(OR(R1414="equivocal",T1414="equivocal"),"疑似",IF(AND(R1414="positive",T1414="positive"),"a",IF(T1414="positive","b",IF(R1414="positive","c","d")))))</x:f>
        <x:v>d</x:v>
      </x:c>
      <x:c r="V1414" s="12"/>
      <x:c r="W1414" s="12" t="str">
        <x:v>negative</x:v>
      </x:c>
      <x:c r="X1414" s="12"/>
      <x:c r="Y1414" s="12" t="str">
        <x:v>negative</x:v>
      </x:c>
      <x:c r="Z1414" s="12" t="str">
        <x:f>IF(OR(W1414="unavailable",Y1414="unavailable"),"不可评价",IF(OR(W1414="equivocal",Y1414="equivocal"),"疑似",IF(AND(W1414="positive",Y1414="positive"),"a",IF(Y1414="positive","b",IF(W1414="positive","c","d")))))</x:f>
        <x:v>d</x:v>
      </x:c>
      <x:c r="AA1414" s="12" t="str">
        <x:f>IF(OR(M1414="unavailable",O1414="unavailable"),"不可评价",IF(AND(OR(M1414="positive",M1414="equivocal"),OR(O1414="positive",O1414="equivocal")),"a",IF(OR(O1414="positive",O1414="equivocal"),"b",IF(OR(M1414="positive",M1414="equivocal"),"c","d"))))</x:f>
        <x:v>d</x:v>
      </x:c>
      <x:c r="AB1414" s="12" t="str">
        <x:f>IF(OR(M1414="unavailable",O1414="unavailable"),"不可评价",IF(AND(M1414="positive",O1414="positive"),"a",IF(O1414="positive","b",IF(M1414="positive","c","d"))))</x:f>
        <x:v>d</x:v>
      </x:c>
      <x:c r="AC1414" s="12" t="str">
        <x:f>IF(OR(R1414="unavailable",T1414="unavailable"),"不可评价",IF(AND(OR(R1414="positive",R1414="equivocal"),OR(T1414="positive",T1414="equivocal")),"a",IF(OR(T1414="positive",T1414="equivocal"),"b",IF(OR(R1414="positive",R1414="equivocal"),"c","d"))))</x:f>
        <x:v>d</x:v>
      </x:c>
      <x:c r="AD1414" s="12" t="str">
        <x:f>IF(OR(R1414="unavailable",T1414="unavailable"),"不可评价",IF(AND(R1414="positive",T1414="positive"),"a",IF(T1414="positive","b",IF(R1414="positive","c","d"))))</x:f>
        <x:v>d</x:v>
      </x:c>
      <x:c r="AE1414" s="12" t="str">
        <x:f>IF(OR(W1414="unavailable",Y1414="unavailable"),"不可评价",IF(AND(OR(W1414="positive",W1414="equivocal"),OR(Y1414="positive",Y1414="equivocal")),"a",IF(OR(Y1414="positive",Y1414="equivocal"),"b",IF(OR(W1414="positive",W1414="equivocal"),"c","d"))))</x:f>
        <x:v>d</x:v>
      </x:c>
      <x:c r="AF1414" s="12" t="str">
        <x:f>IF(OR(W1414="unavailable",Y1414="unavailable"),"不可评价",IF(AND(W1414="positive",Y1414="positive"),"a",IF(Y1414="positive","b",IF(W1414="positive","c","d"))))</x:f>
        <x:v>d</x:v>
      </x:c>
    </x:row>
    <x:row r="1415" ht="24" customHeight="1">
      <x:c r="A1415" s="12" t="str">
        <x:v>12841</x:v>
      </x:c>
      <x:c r="B1415" s="12" t="str">
        <x:v>8023</x:v>
      </x:c>
      <x:c r="C1415" s="21" t="n">
        <x:v>34573.496666666666</x:v>
      </x:c>
      <x:c r="D1415" s="12" t="n">
        <x:v>52</x:v>
      </x:c>
      <x:c r="E1415" s="12" t="n">
        <x:v>0</x:v>
      </x:c>
      <x:c r="F1415" s="12" t="str">
        <x:v>未记录</x:v>
      </x:c>
      <x:c r="G1415" s="12" t="n">
        <x:v>1</x:v>
      </x:c>
      <x:c r="H1415" s="12" t="str">
        <x:v>{'IMI': 100.0, 'SR': 0.0}</x:v>
      </x:c>
      <x:c r="I1415" s="12" t="str">
        <x:v>[('NSR', 100.0), ('IMI;AU', 100.0), ('AB', 100.0)]</x:v>
      </x:c>
      <x:c r="J1415" s="12" t="str">
        <x:v>ptbxl_database.csv；ecg_id=12841；scp_codes</x:v>
      </x:c>
      <x:c r="K1415" s="12" t="str">
        <x:v>12sl_statements.csv；ecg_id=12841；statements_ext_snomed</x:v>
      </x:c>
      <x:c r="L1415" s="12"/>
      <x:c r="M1415" s="12" t="str">
        <x:v>negative</x:v>
      </x:c>
      <x:c r="N1415" s="12"/>
      <x:c r="O1415" s="12" t="str">
        <x:v>negative</x:v>
      </x:c>
      <x:c r="P1415" s="12" t="str">
        <x:f>IF(OR(M1415="unavailable",O1415="unavailable"),"不可评价",IF(OR(M1415="equivocal",O1415="equivocal"),"疑似",IF(AND(M1415="positive",O1415="positive"),"a",IF(O1415="positive","b",IF(M1415="positive","c","d")))))</x:f>
        <x:v>d</x:v>
      </x:c>
      <x:c r="Q1415" s="12"/>
      <x:c r="R1415" s="12" t="str">
        <x:v>negative</x:v>
      </x:c>
      <x:c r="S1415" s="12"/>
      <x:c r="T1415" s="12" t="str">
        <x:v>negative</x:v>
      </x:c>
      <x:c r="U1415" s="12" t="str">
        <x:f>IF(OR(R1415="unavailable",T1415="unavailable"),"不可评价",IF(OR(R1415="equivocal",T1415="equivocal"),"疑似",IF(AND(R1415="positive",T1415="positive"),"a",IF(T1415="positive","b",IF(R1415="positive","c","d")))))</x:f>
        <x:v>d</x:v>
      </x:c>
      <x:c r="V1415" s="12"/>
      <x:c r="W1415" s="12" t="str">
        <x:v>negative</x:v>
      </x:c>
      <x:c r="X1415" s="12"/>
      <x:c r="Y1415" s="12" t="str">
        <x:v>negative</x:v>
      </x:c>
      <x:c r="Z1415" s="12" t="str">
        <x:f>IF(OR(W1415="unavailable",Y1415="unavailable"),"不可评价",IF(OR(W1415="equivocal",Y1415="equivocal"),"疑似",IF(AND(W1415="positive",Y1415="positive"),"a",IF(Y1415="positive","b",IF(W1415="positive","c","d")))))</x:f>
        <x:v>d</x:v>
      </x:c>
      <x:c r="AA1415" s="12" t="str">
        <x:f>IF(OR(M1415="unavailable",O1415="unavailable"),"不可评价",IF(AND(OR(M1415="positive",M1415="equivocal"),OR(O1415="positive",O1415="equivocal")),"a",IF(OR(O1415="positive",O1415="equivocal"),"b",IF(OR(M1415="positive",M1415="equivocal"),"c","d"))))</x:f>
        <x:v>d</x:v>
      </x:c>
      <x:c r="AB1415" s="12" t="str">
        <x:f>IF(OR(M1415="unavailable",O1415="unavailable"),"不可评价",IF(AND(M1415="positive",O1415="positive"),"a",IF(O1415="positive","b",IF(M1415="positive","c","d"))))</x:f>
        <x:v>d</x:v>
      </x:c>
      <x:c r="AC1415" s="12" t="str">
        <x:f>IF(OR(R1415="unavailable",T1415="unavailable"),"不可评价",IF(AND(OR(R1415="positive",R1415="equivocal"),OR(T1415="positive",T1415="equivocal")),"a",IF(OR(T1415="positive",T1415="equivocal"),"b",IF(OR(R1415="positive",R1415="equivocal"),"c","d"))))</x:f>
        <x:v>d</x:v>
      </x:c>
      <x:c r="AD1415" s="12" t="str">
        <x:f>IF(OR(R1415="unavailable",T1415="unavailable"),"不可评价",IF(AND(R1415="positive",T1415="positive"),"a",IF(T1415="positive","b",IF(R1415="positive","c","d"))))</x:f>
        <x:v>d</x:v>
      </x:c>
      <x:c r="AE1415" s="12" t="str">
        <x:f>IF(OR(W1415="unavailable",Y1415="unavailable"),"不可评价",IF(AND(OR(W1415="positive",W1415="equivocal"),OR(Y1415="positive",Y1415="equivocal")),"a",IF(OR(Y1415="positive",Y1415="equivocal"),"b",IF(OR(W1415="positive",W1415="equivocal"),"c","d"))))</x:f>
        <x:v>d</x:v>
      </x:c>
      <x:c r="AF1415" s="12" t="str">
        <x:f>IF(OR(W1415="unavailable",Y1415="unavailable"),"不可评价",IF(AND(W1415="positive",Y1415="positive"),"a",IF(Y1415="positive","b",IF(W1415="positive","c","d"))))</x:f>
        <x:v>d</x:v>
      </x:c>
    </x:row>
    <x:row r="1416" ht="24" customHeight="1">
      <x:c r="A1416" s="12" t="str">
        <x:v>12870</x:v>
      </x:c>
      <x:c r="B1416" s="12" t="str">
        <x:v>8023</x:v>
      </x:c>
      <x:c r="C1416" s="21" t="n">
        <x:v>34579.459328703706</x:v>
      </x:c>
      <x:c r="D1416" s="12" t="n">
        <x:v>52</x:v>
      </x:c>
      <x:c r="E1416" s="12" t="n">
        <x:v>0</x:v>
      </x:c>
      <x:c r="F1416" s="12" t="str">
        <x:v>未记录</x:v>
      </x:c>
      <x:c r="G1416" s="12" t="n">
        <x:v>0</x:v>
      </x:c>
      <x:c r="H1416" s="12" t="str">
        <x:v>{'IMI': 100.0, 'SR': 0.0}</x:v>
      </x:c>
      <x:c r="I1416" s="12" t="str">
        <x:v>[('SBRAD', 100.0), ('IMI;AU', 100.0), ('AB', 100.0)]</x:v>
      </x:c>
      <x:c r="J1416" s="12" t="str">
        <x:v>ptbxl_database.csv；ecg_id=12870；scp_codes</x:v>
      </x:c>
      <x:c r="K1416" s="12" t="str">
        <x:v>12sl_statements.csv；ecg_id=12870；statements_ext_snomed</x:v>
      </x:c>
      <x:c r="L1416" s="12"/>
      <x:c r="M1416" s="12" t="str">
        <x:v>negative</x:v>
      </x:c>
      <x:c r="N1416" s="12"/>
      <x:c r="O1416" s="12" t="str">
        <x:v>negative</x:v>
      </x:c>
      <x:c r="P1416" s="12" t="str">
        <x:f>IF(OR(M1416="unavailable",O1416="unavailable"),"不可评价",IF(OR(M1416="equivocal",O1416="equivocal"),"疑似",IF(AND(M1416="positive",O1416="positive"),"a",IF(O1416="positive","b",IF(M1416="positive","c","d")))))</x:f>
        <x:v>d</x:v>
      </x:c>
      <x:c r="Q1416" s="12"/>
      <x:c r="R1416" s="12" t="str">
        <x:v>negative</x:v>
      </x:c>
      <x:c r="S1416" s="12"/>
      <x:c r="T1416" s="12" t="str">
        <x:v>negative</x:v>
      </x:c>
      <x:c r="U1416" s="12" t="str">
        <x:f>IF(OR(R1416="unavailable",T1416="unavailable"),"不可评价",IF(OR(R1416="equivocal",T1416="equivocal"),"疑似",IF(AND(R1416="positive",T1416="positive"),"a",IF(T1416="positive","b",IF(R1416="positive","c","d")))))</x:f>
        <x:v>d</x:v>
      </x:c>
      <x:c r="V1416" s="12"/>
      <x:c r="W1416" s="12" t="str">
        <x:v>negative</x:v>
      </x:c>
      <x:c r="X1416" s="12"/>
      <x:c r="Y1416" s="12" t="str">
        <x:v>negative</x:v>
      </x:c>
      <x:c r="Z1416" s="12" t="str">
        <x:f>IF(OR(W1416="unavailable",Y1416="unavailable"),"不可评价",IF(OR(W1416="equivocal",Y1416="equivocal"),"疑似",IF(AND(W1416="positive",Y1416="positive"),"a",IF(Y1416="positive","b",IF(W1416="positive","c","d")))))</x:f>
        <x:v>d</x:v>
      </x:c>
      <x:c r="AA1416" s="12" t="str">
        <x:f>IF(OR(M1416="unavailable",O1416="unavailable"),"不可评价",IF(AND(OR(M1416="positive",M1416="equivocal"),OR(O1416="positive",O1416="equivocal")),"a",IF(OR(O1416="positive",O1416="equivocal"),"b",IF(OR(M1416="positive",M1416="equivocal"),"c","d"))))</x:f>
        <x:v>d</x:v>
      </x:c>
      <x:c r="AB1416" s="12" t="str">
        <x:f>IF(OR(M1416="unavailable",O1416="unavailable"),"不可评价",IF(AND(M1416="positive",O1416="positive"),"a",IF(O1416="positive","b",IF(M1416="positive","c","d"))))</x:f>
        <x:v>d</x:v>
      </x:c>
      <x:c r="AC1416" s="12" t="str">
        <x:f>IF(OR(R1416="unavailable",T1416="unavailable"),"不可评价",IF(AND(OR(R1416="positive",R1416="equivocal"),OR(T1416="positive",T1416="equivocal")),"a",IF(OR(T1416="positive",T1416="equivocal"),"b",IF(OR(R1416="positive",R1416="equivocal"),"c","d"))))</x:f>
        <x:v>d</x:v>
      </x:c>
      <x:c r="AD1416" s="12" t="str">
        <x:f>IF(OR(R1416="unavailable",T1416="unavailable"),"不可评价",IF(AND(R1416="positive",T1416="positive"),"a",IF(T1416="positive","b",IF(R1416="positive","c","d"))))</x:f>
        <x:v>d</x:v>
      </x:c>
      <x:c r="AE1416" s="12" t="str">
        <x:f>IF(OR(W1416="unavailable",Y1416="unavailable"),"不可评价",IF(AND(OR(W1416="positive",W1416="equivocal"),OR(Y1416="positive",Y1416="equivocal")),"a",IF(OR(Y1416="positive",Y1416="equivocal"),"b",IF(OR(W1416="positive",W1416="equivocal"),"c","d"))))</x:f>
        <x:v>d</x:v>
      </x:c>
      <x:c r="AF1416" s="12" t="str">
        <x:f>IF(OR(W1416="unavailable",Y1416="unavailable"),"不可评价",IF(AND(W1416="positive",Y1416="positive"),"a",IF(Y1416="positive","b",IF(W1416="positive","c","d"))))</x:f>
        <x:v>d</x:v>
      </x:c>
    </x:row>
    <x:row r="1417" ht="24" customHeight="1">
      <x:c r="A1417" s="12" t="str">
        <x:v>12886</x:v>
      </x:c>
      <x:c r="B1417" s="12" t="str">
        <x:v>4007</x:v>
      </x:c>
      <x:c r="C1417" s="21" t="n">
        <x:v>34581.48811342593</x:v>
      </x:c>
      <x:c r="D1417" s="12" t="n">
        <x:v>31</x:v>
      </x:c>
      <x:c r="E1417" s="12" t="n">
        <x:v>0</x:v>
      </x:c>
      <x:c r="F1417" s="12" t="str">
        <x:v>未记录</x:v>
      </x:c>
      <x:c r="G1417" s="12" t="n">
        <x:v>1</x:v>
      </x:c>
      <x:c r="H1417" s="12" t="str">
        <x:v>{'NORM': 100.0, 'SR': 0.0}</x:v>
      </x:c>
      <x:c r="I1417" s="12" t="str">
        <x:v>[('NSR', 100.0), ('SAR', 100.0), ('NML', 100.0)]</x:v>
      </x:c>
      <x:c r="J1417" s="12" t="str">
        <x:v>ptbxl_database.csv；ecg_id=12886；scp_codes</x:v>
      </x:c>
      <x:c r="K1417" s="12" t="str">
        <x:v>12sl_statements.csv；ecg_id=12886；statements_ext_snomed</x:v>
      </x:c>
      <x:c r="L1417" s="12"/>
      <x:c r="M1417" s="12" t="str">
        <x:v>negative</x:v>
      </x:c>
      <x:c r="N1417" s="12"/>
      <x:c r="O1417" s="12" t="str">
        <x:v>negative</x:v>
      </x:c>
      <x:c r="P1417" s="12" t="str">
        <x:f>IF(OR(M1417="unavailable",O1417="unavailable"),"不可评价",IF(OR(M1417="equivocal",O1417="equivocal"),"疑似",IF(AND(M1417="positive",O1417="positive"),"a",IF(O1417="positive","b",IF(M1417="positive","c","d")))))</x:f>
        <x:v>d</x:v>
      </x:c>
      <x:c r="Q1417" s="12"/>
      <x:c r="R1417" s="12" t="str">
        <x:v>negative</x:v>
      </x:c>
      <x:c r="S1417" s="12"/>
      <x:c r="T1417" s="12" t="str">
        <x:v>negative</x:v>
      </x:c>
      <x:c r="U1417" s="12" t="str">
        <x:f>IF(OR(R1417="unavailable",T1417="unavailable"),"不可评价",IF(OR(R1417="equivocal",T1417="equivocal"),"疑似",IF(AND(R1417="positive",T1417="positive"),"a",IF(T1417="positive","b",IF(R1417="positive","c","d")))))</x:f>
        <x:v>d</x:v>
      </x:c>
      <x:c r="V1417" s="12"/>
      <x:c r="W1417" s="12" t="str">
        <x:v>negative</x:v>
      </x:c>
      <x:c r="X1417" s="12"/>
      <x:c r="Y1417" s="12" t="str">
        <x:v>negative</x:v>
      </x:c>
      <x:c r="Z1417" s="12" t="str">
        <x:f>IF(OR(W1417="unavailable",Y1417="unavailable"),"不可评价",IF(OR(W1417="equivocal",Y1417="equivocal"),"疑似",IF(AND(W1417="positive",Y1417="positive"),"a",IF(Y1417="positive","b",IF(W1417="positive","c","d")))))</x:f>
        <x:v>d</x:v>
      </x:c>
      <x:c r="AA1417" s="12" t="str">
        <x:f>IF(OR(M1417="unavailable",O1417="unavailable"),"不可评价",IF(AND(OR(M1417="positive",M1417="equivocal"),OR(O1417="positive",O1417="equivocal")),"a",IF(OR(O1417="positive",O1417="equivocal"),"b",IF(OR(M1417="positive",M1417="equivocal"),"c","d"))))</x:f>
        <x:v>d</x:v>
      </x:c>
      <x:c r="AB1417" s="12" t="str">
        <x:f>IF(OR(M1417="unavailable",O1417="unavailable"),"不可评价",IF(AND(M1417="positive",O1417="positive"),"a",IF(O1417="positive","b",IF(M1417="positive","c","d"))))</x:f>
        <x:v>d</x:v>
      </x:c>
      <x:c r="AC1417" s="12" t="str">
        <x:f>IF(OR(R1417="unavailable",T1417="unavailable"),"不可评价",IF(AND(OR(R1417="positive",R1417="equivocal"),OR(T1417="positive",T1417="equivocal")),"a",IF(OR(T1417="positive",T1417="equivocal"),"b",IF(OR(R1417="positive",R1417="equivocal"),"c","d"))))</x:f>
        <x:v>d</x:v>
      </x:c>
      <x:c r="AD1417" s="12" t="str">
        <x:f>IF(OR(R1417="unavailable",T1417="unavailable"),"不可评价",IF(AND(R1417="positive",T1417="positive"),"a",IF(T1417="positive","b",IF(R1417="positive","c","d"))))</x:f>
        <x:v>d</x:v>
      </x:c>
      <x:c r="AE1417" s="12" t="str">
        <x:f>IF(OR(W1417="unavailable",Y1417="unavailable"),"不可评价",IF(AND(OR(W1417="positive",W1417="equivocal"),OR(Y1417="positive",Y1417="equivocal")),"a",IF(OR(Y1417="positive",Y1417="equivocal"),"b",IF(OR(W1417="positive",W1417="equivocal"),"c","d"))))</x:f>
        <x:v>d</x:v>
      </x:c>
      <x:c r="AF1417" s="12" t="str">
        <x:f>IF(OR(W1417="unavailable",Y1417="unavailable"),"不可评价",IF(AND(W1417="positive",Y1417="positive"),"a",IF(Y1417="positive","b",IF(W1417="positive","c","d"))))</x:f>
        <x:v>d</x:v>
      </x:c>
    </x:row>
    <x:row r="1418" ht="24" customHeight="1">
      <x:c r="A1418" s="12" t="str">
        <x:v>12919</x:v>
      </x:c>
      <x:c r="B1418" s="12" t="str">
        <x:v>4986</x:v>
      </x:c>
      <x:c r="C1418" s="21" t="n">
        <x:v>34585.47415509259</x:v>
      </x:c>
      <x:c r="D1418" s="12" t="n">
        <x:v>44</x:v>
      </x:c>
      <x:c r="E1418" s="12" t="n">
        <x:v>1</x:v>
      </x:c>
      <x:c r="F1418" s="12" t="str">
        <x:v>未记录</x:v>
      </x:c>
      <x:c r="G1418" s="12" t="n">
        <x:v>1</x:v>
      </x:c>
      <x:c r="H1418" s="12" t="str">
        <x:v>{'NORM': 80.0, 'IRBBB': 100.0, 'STD_': 0.0, 'SR': 0.0}</x:v>
      </x:c>
      <x:c r="I1418" s="12" t="str">
        <x:v>[('NSR', 100.0), ('NST', 100.0), ('AB', 100.0)]</x:v>
      </x:c>
      <x:c r="J1418" s="12" t="str">
        <x:v>ptbxl_database.csv；ecg_id=12919；scp_codes</x:v>
      </x:c>
      <x:c r="K1418" s="12" t="str">
        <x:v>12sl_statements.csv；ecg_id=12919；statements_ext_snomed</x:v>
      </x:c>
      <x:c r="L1418" s="12"/>
      <x:c r="M1418" s="12" t="str">
        <x:v>negative</x:v>
      </x:c>
      <x:c r="N1418" s="12"/>
      <x:c r="O1418" s="12" t="str">
        <x:v>negative</x:v>
      </x:c>
      <x:c r="P1418" s="12" t="str">
        <x:f>IF(OR(M1418="unavailable",O1418="unavailable"),"不可评价",IF(OR(M1418="equivocal",O1418="equivocal"),"疑似",IF(AND(M1418="positive",O1418="positive"),"a",IF(O1418="positive","b",IF(M1418="positive","c","d")))))</x:f>
        <x:v>d</x:v>
      </x:c>
      <x:c r="Q1418" s="12"/>
      <x:c r="R1418" s="12" t="str">
        <x:v>negative</x:v>
      </x:c>
      <x:c r="S1418" s="12"/>
      <x:c r="T1418" s="12" t="str">
        <x:v>negative</x:v>
      </x:c>
      <x:c r="U1418" s="12" t="str">
        <x:f>IF(OR(R1418="unavailable",T1418="unavailable"),"不可评价",IF(OR(R1418="equivocal",T1418="equivocal"),"疑似",IF(AND(R1418="positive",T1418="positive"),"a",IF(T1418="positive","b",IF(R1418="positive","c","d")))))</x:f>
        <x:v>d</x:v>
      </x:c>
      <x:c r="V1418" s="12"/>
      <x:c r="W1418" s="12" t="str">
        <x:v>negative</x:v>
      </x:c>
      <x:c r="X1418" s="12"/>
      <x:c r="Y1418" s="12" t="str">
        <x:v>negative</x:v>
      </x:c>
      <x:c r="Z1418" s="12" t="str">
        <x:f>IF(OR(W1418="unavailable",Y1418="unavailable"),"不可评价",IF(OR(W1418="equivocal",Y1418="equivocal"),"疑似",IF(AND(W1418="positive",Y1418="positive"),"a",IF(Y1418="positive","b",IF(W1418="positive","c","d")))))</x:f>
        <x:v>d</x:v>
      </x:c>
      <x:c r="AA1418" s="12" t="str">
        <x:f>IF(OR(M1418="unavailable",O1418="unavailable"),"不可评价",IF(AND(OR(M1418="positive",M1418="equivocal"),OR(O1418="positive",O1418="equivocal")),"a",IF(OR(O1418="positive",O1418="equivocal"),"b",IF(OR(M1418="positive",M1418="equivocal"),"c","d"))))</x:f>
        <x:v>d</x:v>
      </x:c>
      <x:c r="AB1418" s="12" t="str">
        <x:f>IF(OR(M1418="unavailable",O1418="unavailable"),"不可评价",IF(AND(M1418="positive",O1418="positive"),"a",IF(O1418="positive","b",IF(M1418="positive","c","d"))))</x:f>
        <x:v>d</x:v>
      </x:c>
      <x:c r="AC1418" s="12" t="str">
        <x:f>IF(OR(R1418="unavailable",T1418="unavailable"),"不可评价",IF(AND(OR(R1418="positive",R1418="equivocal"),OR(T1418="positive",T1418="equivocal")),"a",IF(OR(T1418="positive",T1418="equivocal"),"b",IF(OR(R1418="positive",R1418="equivocal"),"c","d"))))</x:f>
        <x:v>d</x:v>
      </x:c>
      <x:c r="AD1418" s="12" t="str">
        <x:f>IF(OR(R1418="unavailable",T1418="unavailable"),"不可评价",IF(AND(R1418="positive",T1418="positive"),"a",IF(T1418="positive","b",IF(R1418="positive","c","d"))))</x:f>
        <x:v>d</x:v>
      </x:c>
      <x:c r="AE1418" s="12" t="str">
        <x:f>IF(OR(W1418="unavailable",Y1418="unavailable"),"不可评价",IF(AND(OR(W1418="positive",W1418="equivocal"),OR(Y1418="positive",Y1418="equivocal")),"a",IF(OR(Y1418="positive",Y1418="equivocal"),"b",IF(OR(W1418="positive",W1418="equivocal"),"c","d"))))</x:f>
        <x:v>d</x:v>
      </x:c>
      <x:c r="AF1418" s="12" t="str">
        <x:f>IF(OR(W1418="unavailable",Y1418="unavailable"),"不可评价",IF(AND(W1418="positive",Y1418="positive"),"a",IF(Y1418="positive","b",IF(W1418="positive","c","d"))))</x:f>
        <x:v>d</x:v>
      </x:c>
    </x:row>
    <x:row r="1419" ht="24" customHeight="1">
      <x:c r="A1419" s="12" t="str">
        <x:v>12925</x:v>
      </x:c>
      <x:c r="B1419" s="12" t="str">
        <x:v>5811</x:v>
      </x:c>
      <x:c r="C1419" s="21" t="n">
        <x:v>34585.741111111114</x:v>
      </x:c>
      <x:c r="D1419" s="12" t="n">
        <x:v>74</x:v>
      </x:c>
      <x:c r="E1419" s="12" t="n">
        <x:v>0</x:v>
      </x:c>
      <x:c r="F1419" s="12" t="str">
        <x:v>未记录</x:v>
      </x:c>
      <x:c r="G1419" s="12" t="n">
        <x:v>1</x:v>
      </x:c>
      <x:c r="H1419" s="12" t="str">
        <x:v>{'NORM': 100.0, 'SR': 0.0}</x:v>
      </x:c>
      <x:c r="I1419" s="12" t="str">
        <x:v>[('NSR', 100.0), ('NML', 100.0)]</x:v>
      </x:c>
      <x:c r="J1419" s="12" t="str">
        <x:v>ptbxl_database.csv；ecg_id=12925；scp_codes</x:v>
      </x:c>
      <x:c r="K1419" s="12" t="str">
        <x:v>12sl_statements.csv；ecg_id=12925；statements_ext_snomed</x:v>
      </x:c>
      <x:c r="L1419" s="12"/>
      <x:c r="M1419" s="12" t="str">
        <x:v>negative</x:v>
      </x:c>
      <x:c r="N1419" s="12"/>
      <x:c r="O1419" s="12" t="str">
        <x:v>negative</x:v>
      </x:c>
      <x:c r="P1419" s="12" t="str">
        <x:f>IF(OR(M1419="unavailable",O1419="unavailable"),"不可评价",IF(OR(M1419="equivocal",O1419="equivocal"),"疑似",IF(AND(M1419="positive",O1419="positive"),"a",IF(O1419="positive","b",IF(M1419="positive","c","d")))))</x:f>
        <x:v>d</x:v>
      </x:c>
      <x:c r="Q1419" s="12"/>
      <x:c r="R1419" s="12" t="str">
        <x:v>negative</x:v>
      </x:c>
      <x:c r="S1419" s="12"/>
      <x:c r="T1419" s="12" t="str">
        <x:v>negative</x:v>
      </x:c>
      <x:c r="U1419" s="12" t="str">
        <x:f>IF(OR(R1419="unavailable",T1419="unavailable"),"不可评价",IF(OR(R1419="equivocal",T1419="equivocal"),"疑似",IF(AND(R1419="positive",T1419="positive"),"a",IF(T1419="positive","b",IF(R1419="positive","c","d")))))</x:f>
        <x:v>d</x:v>
      </x:c>
      <x:c r="V1419" s="12"/>
      <x:c r="W1419" s="12" t="str">
        <x:v>negative</x:v>
      </x:c>
      <x:c r="X1419" s="12"/>
      <x:c r="Y1419" s="12" t="str">
        <x:v>negative</x:v>
      </x:c>
      <x:c r="Z1419" s="12" t="str">
        <x:f>IF(OR(W1419="unavailable",Y1419="unavailable"),"不可评价",IF(OR(W1419="equivocal",Y1419="equivocal"),"疑似",IF(AND(W1419="positive",Y1419="positive"),"a",IF(Y1419="positive","b",IF(W1419="positive","c","d")))))</x:f>
        <x:v>d</x:v>
      </x:c>
      <x:c r="AA1419" s="12" t="str">
        <x:f>IF(OR(M1419="unavailable",O1419="unavailable"),"不可评价",IF(AND(OR(M1419="positive",M1419="equivocal"),OR(O1419="positive",O1419="equivocal")),"a",IF(OR(O1419="positive",O1419="equivocal"),"b",IF(OR(M1419="positive",M1419="equivocal"),"c","d"))))</x:f>
        <x:v>d</x:v>
      </x:c>
      <x:c r="AB1419" s="12" t="str">
        <x:f>IF(OR(M1419="unavailable",O1419="unavailable"),"不可评价",IF(AND(M1419="positive",O1419="positive"),"a",IF(O1419="positive","b",IF(M1419="positive","c","d"))))</x:f>
        <x:v>d</x:v>
      </x:c>
      <x:c r="AC1419" s="12" t="str">
        <x:f>IF(OR(R1419="unavailable",T1419="unavailable"),"不可评价",IF(AND(OR(R1419="positive",R1419="equivocal"),OR(T1419="positive",T1419="equivocal")),"a",IF(OR(T1419="positive",T1419="equivocal"),"b",IF(OR(R1419="positive",R1419="equivocal"),"c","d"))))</x:f>
        <x:v>d</x:v>
      </x:c>
      <x:c r="AD1419" s="12" t="str">
        <x:f>IF(OR(R1419="unavailable",T1419="unavailable"),"不可评价",IF(AND(R1419="positive",T1419="positive"),"a",IF(T1419="positive","b",IF(R1419="positive","c","d"))))</x:f>
        <x:v>d</x:v>
      </x:c>
      <x:c r="AE1419" s="12" t="str">
        <x:f>IF(OR(W1419="unavailable",Y1419="unavailable"),"不可评价",IF(AND(OR(W1419="positive",W1419="equivocal"),OR(Y1419="positive",Y1419="equivocal")),"a",IF(OR(Y1419="positive",Y1419="equivocal"),"b",IF(OR(W1419="positive",W1419="equivocal"),"c","d"))))</x:f>
        <x:v>d</x:v>
      </x:c>
      <x:c r="AF1419" s="12" t="str">
        <x:f>IF(OR(W1419="unavailable",Y1419="unavailable"),"不可评价",IF(AND(W1419="positive",Y1419="positive"),"a",IF(Y1419="positive","b",IF(W1419="positive","c","d"))))</x:f>
        <x:v>d</x:v>
      </x:c>
    </x:row>
    <x:row r="1420" ht="39" customHeight="1">
      <x:c r="A1420" s="12" t="str">
        <x:v>12936</x:v>
      </x:c>
      <x:c r="B1420" s="12" t="str">
        <x:v>1406</x:v>
      </x:c>
      <x:c r="C1420" s="21" t="n">
        <x:v>34587.47144675926</x:v>
      </x:c>
      <x:c r="D1420" s="12" t="n">
        <x:v>78</x:v>
      </x:c>
      <x:c r="E1420" s="12" t="n">
        <x:v>0</x:v>
      </x:c>
      <x:c r="F1420" s="12" t="str">
        <x:v>未记录</x:v>
      </x:c>
      <x:c r="G1420" s="12" t="n">
        <x:v>1</x:v>
      </x:c>
      <x:c r="H1420" s="12" t="str">
        <x:v>{'ASMI': 50.0, 'CRBBB': 100.0, 'LAFB': 100.0, '1AVB': 100.0, 'LPR': 0.0, 'SR': 0.0}</x:v>
      </x:c>
      <x:c r="I1420" s="12" t="str">
        <x:v>[('SRTH', 100.0), ('FAV', 100.0), ('LAE', 50.0), ('RBBB', 100.0), ('AFB', 100.0), ('BIFB', 100.0), ('SMI;AU', 100.0), ('AB', 100.0)]</x:v>
      </x:c>
      <x:c r="J1420" s="12" t="str">
        <x:v>ptbxl_database.csv；ecg_id=12936；scp_codes</x:v>
      </x:c>
      <x:c r="K1420" s="12" t="str">
        <x:v>12sl_statements.csv；ecg_id=12936；statements_ext_snomed</x:v>
      </x:c>
      <x:c r="L1420" s="12"/>
      <x:c r="M1420" s="12" t="str">
        <x:v>negative</x:v>
      </x:c>
      <x:c r="N1420" s="12"/>
      <x:c r="O1420" s="12" t="str">
        <x:v>negative</x:v>
      </x:c>
      <x:c r="P1420" s="12" t="str">
        <x:f>IF(OR(M1420="unavailable",O1420="unavailable"),"不可评价",IF(OR(M1420="equivocal",O1420="equivocal"),"疑似",IF(AND(M1420="positive",O1420="positive"),"a",IF(O1420="positive","b",IF(M1420="positive","c","d")))))</x:f>
        <x:v>d</x:v>
      </x:c>
      <x:c r="Q1420" s="12"/>
      <x:c r="R1420" s="12" t="str">
        <x:v>negative</x:v>
      </x:c>
      <x:c r="S1420" s="12"/>
      <x:c r="T1420" s="12" t="str">
        <x:v>negative</x:v>
      </x:c>
      <x:c r="U1420" s="12" t="str">
        <x:f>IF(OR(R1420="unavailable",T1420="unavailable"),"不可评价",IF(OR(R1420="equivocal",T1420="equivocal"),"疑似",IF(AND(R1420="positive",T1420="positive"),"a",IF(T1420="positive","b",IF(R1420="positive","c","d")))))</x:f>
        <x:v>d</x:v>
      </x:c>
      <x:c r="V1420" s="12" t="n">
        <x:v>100</x:v>
      </x:c>
      <x:c r="W1420" s="12" t="str">
        <x:v>positive</x:v>
      </x:c>
      <x:c r="X1420" s="12" t="n">
        <x:v>100</x:v>
      </x:c>
      <x:c r="Y1420" s="12" t="str">
        <x:v>positive</x:v>
      </x:c>
      <x:c r="Z1420" s="12" t="str">
        <x:f>IF(OR(W1420="unavailable",Y1420="unavailable"),"不可评价",IF(OR(W1420="equivocal",Y1420="equivocal"),"疑似",IF(AND(W1420="positive",Y1420="positive"),"a",IF(Y1420="positive","b",IF(W1420="positive","c","d")))))</x:f>
        <x:v>a</x:v>
      </x:c>
      <x:c r="AA1420" s="12" t="str">
        <x:f>IF(OR(M1420="unavailable",O1420="unavailable"),"不可评价",IF(AND(OR(M1420="positive",M1420="equivocal"),OR(O1420="positive",O1420="equivocal")),"a",IF(OR(O1420="positive",O1420="equivocal"),"b",IF(OR(M1420="positive",M1420="equivocal"),"c","d"))))</x:f>
        <x:v>d</x:v>
      </x:c>
      <x:c r="AB1420" s="12" t="str">
        <x:f>IF(OR(M1420="unavailable",O1420="unavailable"),"不可评价",IF(AND(M1420="positive",O1420="positive"),"a",IF(O1420="positive","b",IF(M1420="positive","c","d"))))</x:f>
        <x:v>d</x:v>
      </x:c>
      <x:c r="AC1420" s="12" t="str">
        <x:f>IF(OR(R1420="unavailable",T1420="unavailable"),"不可评价",IF(AND(OR(R1420="positive",R1420="equivocal"),OR(T1420="positive",T1420="equivocal")),"a",IF(OR(T1420="positive",T1420="equivocal"),"b",IF(OR(R1420="positive",R1420="equivocal"),"c","d"))))</x:f>
        <x:v>d</x:v>
      </x:c>
      <x:c r="AD1420" s="12" t="str">
        <x:f>IF(OR(R1420="unavailable",T1420="unavailable"),"不可评价",IF(AND(R1420="positive",T1420="positive"),"a",IF(T1420="positive","b",IF(R1420="positive","c","d"))))</x:f>
        <x:v>d</x:v>
      </x:c>
      <x:c r="AE1420" s="12" t="str">
        <x:f>IF(OR(W1420="unavailable",Y1420="unavailable"),"不可评价",IF(AND(OR(W1420="positive",W1420="equivocal"),OR(Y1420="positive",Y1420="equivocal")),"a",IF(OR(Y1420="positive",Y1420="equivocal"),"b",IF(OR(W1420="positive",W1420="equivocal"),"c","d"))))</x:f>
        <x:v>a</x:v>
      </x:c>
      <x:c r="AF1420" s="12" t="str">
        <x:f>IF(OR(W1420="unavailable",Y1420="unavailable"),"不可评价",IF(AND(W1420="positive",Y1420="positive"),"a",IF(Y1420="positive","b",IF(W1420="positive","c","d"))))</x:f>
        <x:v>a</x:v>
      </x:c>
    </x:row>
    <x:row r="1421" ht="24" customHeight="1">
      <x:c r="A1421" s="12" t="str">
        <x:v>12937</x:v>
      </x:c>
      <x:c r="B1421" s="12" t="str">
        <x:v>4224</x:v>
      </x:c>
      <x:c r="C1421" s="21" t="n">
        <x:v>34587.517280092594</x:v>
      </x:c>
      <x:c r="D1421" s="12" t="n">
        <x:v>69</x:v>
      </x:c>
      <x:c r="E1421" s="12" t="n">
        <x:v>1</x:v>
      </x:c>
      <x:c r="F1421" s="12" t="str">
        <x:v>未记录</x:v>
      </x:c>
      <x:c r="G1421" s="12" t="n">
        <x:v>1</x:v>
      </x:c>
      <x:c r="H1421" s="12" t="str">
        <x:v>{'LAFB': 100.0, 'IRBBB': 100.0, 'SR': 0.0}</x:v>
      </x:c>
      <x:c r="I1421" s="12" t="str">
        <x:v>[('NSR', 100.0), ('NML', 100.0)]</x:v>
      </x:c>
      <x:c r="J1421" s="12" t="str">
        <x:v>ptbxl_database.csv；ecg_id=12937；scp_codes</x:v>
      </x:c>
      <x:c r="K1421" s="12" t="str">
        <x:v>12sl_statements.csv；ecg_id=12937；statements_ext_snomed</x:v>
      </x:c>
      <x:c r="L1421" s="12"/>
      <x:c r="M1421" s="12" t="str">
        <x:v>negative</x:v>
      </x:c>
      <x:c r="N1421" s="12"/>
      <x:c r="O1421" s="12" t="str">
        <x:v>negative</x:v>
      </x:c>
      <x:c r="P1421" s="12" t="str">
        <x:f>IF(OR(M1421="unavailable",O1421="unavailable"),"不可评价",IF(OR(M1421="equivocal",O1421="equivocal"),"疑似",IF(AND(M1421="positive",O1421="positive"),"a",IF(O1421="positive","b",IF(M1421="positive","c","d")))))</x:f>
        <x:v>d</x:v>
      </x:c>
      <x:c r="Q1421" s="12"/>
      <x:c r="R1421" s="12" t="str">
        <x:v>negative</x:v>
      </x:c>
      <x:c r="S1421" s="12"/>
      <x:c r="T1421" s="12" t="str">
        <x:v>negative</x:v>
      </x:c>
      <x:c r="U1421" s="12" t="str">
        <x:f>IF(OR(R1421="unavailable",T1421="unavailable"),"不可评价",IF(OR(R1421="equivocal",T1421="equivocal"),"疑似",IF(AND(R1421="positive",T1421="positive"),"a",IF(T1421="positive","b",IF(R1421="positive","c","d")))))</x:f>
        <x:v>d</x:v>
      </x:c>
      <x:c r="V1421" s="12"/>
      <x:c r="W1421" s="12" t="str">
        <x:v>negative</x:v>
      </x:c>
      <x:c r="X1421" s="12"/>
      <x:c r="Y1421" s="12" t="str">
        <x:v>negative</x:v>
      </x:c>
      <x:c r="Z1421" s="12" t="str">
        <x:f>IF(OR(W1421="unavailable",Y1421="unavailable"),"不可评价",IF(OR(W1421="equivocal",Y1421="equivocal"),"疑似",IF(AND(W1421="positive",Y1421="positive"),"a",IF(Y1421="positive","b",IF(W1421="positive","c","d")))))</x:f>
        <x:v>d</x:v>
      </x:c>
      <x:c r="AA1421" s="12" t="str">
        <x:f>IF(OR(M1421="unavailable",O1421="unavailable"),"不可评价",IF(AND(OR(M1421="positive",M1421="equivocal"),OR(O1421="positive",O1421="equivocal")),"a",IF(OR(O1421="positive",O1421="equivocal"),"b",IF(OR(M1421="positive",M1421="equivocal"),"c","d"))))</x:f>
        <x:v>d</x:v>
      </x:c>
      <x:c r="AB1421" s="12" t="str">
        <x:f>IF(OR(M1421="unavailable",O1421="unavailable"),"不可评价",IF(AND(M1421="positive",O1421="positive"),"a",IF(O1421="positive","b",IF(M1421="positive","c","d"))))</x:f>
        <x:v>d</x:v>
      </x:c>
      <x:c r="AC1421" s="12" t="str">
        <x:f>IF(OR(R1421="unavailable",T1421="unavailable"),"不可评价",IF(AND(OR(R1421="positive",R1421="equivocal"),OR(T1421="positive",T1421="equivocal")),"a",IF(OR(T1421="positive",T1421="equivocal"),"b",IF(OR(R1421="positive",R1421="equivocal"),"c","d"))))</x:f>
        <x:v>d</x:v>
      </x:c>
      <x:c r="AD1421" s="12" t="str">
        <x:f>IF(OR(R1421="unavailable",T1421="unavailable"),"不可评价",IF(AND(R1421="positive",T1421="positive"),"a",IF(T1421="positive","b",IF(R1421="positive","c","d"))))</x:f>
        <x:v>d</x:v>
      </x:c>
      <x:c r="AE1421" s="12" t="str">
        <x:f>IF(OR(W1421="unavailable",Y1421="unavailable"),"不可评价",IF(AND(OR(W1421="positive",W1421="equivocal"),OR(Y1421="positive",Y1421="equivocal")),"a",IF(OR(Y1421="positive",Y1421="equivocal"),"b",IF(OR(W1421="positive",W1421="equivocal"),"c","d"))))</x:f>
        <x:v>d</x:v>
      </x:c>
      <x:c r="AF1421" s="12" t="str">
        <x:f>IF(OR(W1421="unavailable",Y1421="unavailable"),"不可评价",IF(AND(W1421="positive",Y1421="positive"),"a",IF(Y1421="positive","b",IF(W1421="positive","c","d"))))</x:f>
        <x:v>d</x:v>
      </x:c>
    </x:row>
    <x:row r="1422" ht="24" customHeight="1">
      <x:c r="A1422" s="12" t="str">
        <x:v>12941</x:v>
      </x:c>
      <x:c r="B1422" s="12" t="str">
        <x:v>6684</x:v>
      </x:c>
      <x:c r="C1422" s="21" t="n">
        <x:v>34587.78434027778</x:v>
      </x:c>
      <x:c r="D1422" s="12" t="n">
        <x:v>61</x:v>
      </x:c>
      <x:c r="E1422" s="12" t="n">
        <x:v>0</x:v>
      </x:c>
      <x:c r="F1422" s="12" t="str">
        <x:v>未记录</x:v>
      </x:c>
      <x:c r="G1422" s="12" t="n">
        <x:v>1</x:v>
      </x:c>
      <x:c r="H1422" s="12" t="str">
        <x:v>{'IMI': 100.0}</x:v>
      </x:c>
      <x:c r="I1422" s="12" t="str">
        <x:v>[('SBRAD', 100.0), ('IMI;AU', 100.0), ('AB', 100.0)]</x:v>
      </x:c>
      <x:c r="J1422" s="12" t="str">
        <x:v>ptbxl_database.csv；ecg_id=12941；scp_codes</x:v>
      </x:c>
      <x:c r="K1422" s="12" t="str">
        <x:v>12sl_statements.csv；ecg_id=12941；statements_ext_snomed</x:v>
      </x:c>
      <x:c r="L1422" s="12"/>
      <x:c r="M1422" s="12" t="str">
        <x:v>negative</x:v>
      </x:c>
      <x:c r="N1422" s="12"/>
      <x:c r="O1422" s="12" t="str">
        <x:v>negative</x:v>
      </x:c>
      <x:c r="P1422" s="12" t="str">
        <x:f>IF(OR(M1422="unavailable",O1422="unavailable"),"不可评价",IF(OR(M1422="equivocal",O1422="equivocal"),"疑似",IF(AND(M1422="positive",O1422="positive"),"a",IF(O1422="positive","b",IF(M1422="positive","c","d")))))</x:f>
        <x:v>d</x:v>
      </x:c>
      <x:c r="Q1422" s="12"/>
      <x:c r="R1422" s="12" t="str">
        <x:v>negative</x:v>
      </x:c>
      <x:c r="S1422" s="12"/>
      <x:c r="T1422" s="12" t="str">
        <x:v>negative</x:v>
      </x:c>
      <x:c r="U1422" s="12" t="str">
        <x:f>IF(OR(R1422="unavailable",T1422="unavailable"),"不可评价",IF(OR(R1422="equivocal",T1422="equivocal"),"疑似",IF(AND(R1422="positive",T1422="positive"),"a",IF(T1422="positive","b",IF(R1422="positive","c","d")))))</x:f>
        <x:v>d</x:v>
      </x:c>
      <x:c r="V1422" s="12"/>
      <x:c r="W1422" s="12" t="str">
        <x:v>negative</x:v>
      </x:c>
      <x:c r="X1422" s="12"/>
      <x:c r="Y1422" s="12" t="str">
        <x:v>negative</x:v>
      </x:c>
      <x:c r="Z1422" s="12" t="str">
        <x:f>IF(OR(W1422="unavailable",Y1422="unavailable"),"不可评价",IF(OR(W1422="equivocal",Y1422="equivocal"),"疑似",IF(AND(W1422="positive",Y1422="positive"),"a",IF(Y1422="positive","b",IF(W1422="positive","c","d")))))</x:f>
        <x:v>d</x:v>
      </x:c>
      <x:c r="AA1422" s="12" t="str">
        <x:f>IF(OR(M1422="unavailable",O1422="unavailable"),"不可评价",IF(AND(OR(M1422="positive",M1422="equivocal"),OR(O1422="positive",O1422="equivocal")),"a",IF(OR(O1422="positive",O1422="equivocal"),"b",IF(OR(M1422="positive",M1422="equivocal"),"c","d"))))</x:f>
        <x:v>d</x:v>
      </x:c>
      <x:c r="AB1422" s="12" t="str">
        <x:f>IF(OR(M1422="unavailable",O1422="unavailable"),"不可评价",IF(AND(M1422="positive",O1422="positive"),"a",IF(O1422="positive","b",IF(M1422="positive","c","d"))))</x:f>
        <x:v>d</x:v>
      </x:c>
      <x:c r="AC1422" s="12" t="str">
        <x:f>IF(OR(R1422="unavailable",T1422="unavailable"),"不可评价",IF(AND(OR(R1422="positive",R1422="equivocal"),OR(T1422="positive",T1422="equivocal")),"a",IF(OR(T1422="positive",T1422="equivocal"),"b",IF(OR(R1422="positive",R1422="equivocal"),"c","d"))))</x:f>
        <x:v>d</x:v>
      </x:c>
      <x:c r="AD1422" s="12" t="str">
        <x:f>IF(OR(R1422="unavailable",T1422="unavailable"),"不可评价",IF(AND(R1422="positive",T1422="positive"),"a",IF(T1422="positive","b",IF(R1422="positive","c","d"))))</x:f>
        <x:v>d</x:v>
      </x:c>
      <x:c r="AE1422" s="12" t="str">
        <x:f>IF(OR(W1422="unavailable",Y1422="unavailable"),"不可评价",IF(AND(OR(W1422="positive",W1422="equivocal"),OR(Y1422="positive",Y1422="equivocal")),"a",IF(OR(Y1422="positive",Y1422="equivocal"),"b",IF(OR(W1422="positive",W1422="equivocal"),"c","d"))))</x:f>
        <x:v>d</x:v>
      </x:c>
      <x:c r="AF1422" s="12" t="str">
        <x:f>IF(OR(W1422="unavailable",Y1422="unavailable"),"不可评价",IF(AND(W1422="positive",Y1422="positive"),"a",IF(Y1422="positive","b",IF(W1422="positive","c","d"))))</x:f>
        <x:v>d</x:v>
      </x:c>
    </x:row>
    <x:row r="1423" ht="24" customHeight="1">
      <x:c r="A1423" s="12" t="str">
        <x:v>12991</x:v>
      </x:c>
      <x:c r="B1423" s="12" t="str">
        <x:v>18608</x:v>
      </x:c>
      <x:c r="C1423" s="21" t="n">
        <x:v>34592.61890046296</x:v>
      </x:c>
      <x:c r="D1423" s="12" t="n">
        <x:v>84</x:v>
      </x:c>
      <x:c r="E1423" s="12" t="n">
        <x:v>0</x:v>
      </x:c>
      <x:c r="F1423" s="12" t="str">
        <x:v>未记录</x:v>
      </x:c>
      <x:c r="G1423" s="12" t="n">
        <x:v>1</x:v>
      </x:c>
      <x:c r="H1423" s="12" t="str">
        <x:v>{'ASMI': 100.0, 'ABQRS': 0.0, 'AFIB': 0.0}</x:v>
      </x:c>
      <x:c r="I1423" s="12" t="str">
        <x:v>[('AFIB', 100.0), ('LOWV', 100.0), ('SMI;AU', 100.0), ('AB', 100.0)]</x:v>
      </x:c>
      <x:c r="J1423" s="12" t="str">
        <x:v>ptbxl_database.csv；ecg_id=12991；scp_codes</x:v>
      </x:c>
      <x:c r="K1423" s="12" t="str">
        <x:v>12sl_statements.csv；ecg_id=12991；statements_ext_snomed</x:v>
      </x:c>
      <x:c r="L1423" s="12" t="n">
        <x:v>0</x:v>
      </x:c>
      <x:c r="M1423" s="12" t="str">
        <x:v>positive</x:v>
      </x:c>
      <x:c r="N1423" s="12" t="n">
        <x:v>100</x:v>
      </x:c>
      <x:c r="O1423" s="12" t="str">
        <x:v>positive</x:v>
      </x:c>
      <x:c r="P1423" s="12" t="str">
        <x:f>IF(OR(M1423="unavailable",O1423="unavailable"),"不可评价",IF(OR(M1423="equivocal",O1423="equivocal"),"疑似",IF(AND(M1423="positive",O1423="positive"),"a",IF(O1423="positive","b",IF(M1423="positive","c","d")))))</x:f>
        <x:v>a</x:v>
      </x:c>
      <x:c r="Q1423" s="12"/>
      <x:c r="R1423" s="12" t="str">
        <x:v>negative</x:v>
      </x:c>
      <x:c r="S1423" s="12"/>
      <x:c r="T1423" s="12" t="str">
        <x:v>negative</x:v>
      </x:c>
      <x:c r="U1423" s="12" t="str">
        <x:f>IF(OR(R1423="unavailable",T1423="unavailable"),"不可评价",IF(OR(R1423="equivocal",T1423="equivocal"),"疑似",IF(AND(R1423="positive",T1423="positive"),"a",IF(T1423="positive","b",IF(R1423="positive","c","d")))))</x:f>
        <x:v>d</x:v>
      </x:c>
      <x:c r="V1423" s="12"/>
      <x:c r="W1423" s="12" t="str">
        <x:v>negative</x:v>
      </x:c>
      <x:c r="X1423" s="12"/>
      <x:c r="Y1423" s="12" t="str">
        <x:v>negative</x:v>
      </x:c>
      <x:c r="Z1423" s="12" t="str">
        <x:f>IF(OR(W1423="unavailable",Y1423="unavailable"),"不可评价",IF(OR(W1423="equivocal",Y1423="equivocal"),"疑似",IF(AND(W1423="positive",Y1423="positive"),"a",IF(Y1423="positive","b",IF(W1423="positive","c","d")))))</x:f>
        <x:v>d</x:v>
      </x:c>
      <x:c r="AA1423" s="12" t="str">
        <x:f>IF(OR(M1423="unavailable",O1423="unavailable"),"不可评价",IF(AND(OR(M1423="positive",M1423="equivocal"),OR(O1423="positive",O1423="equivocal")),"a",IF(OR(O1423="positive",O1423="equivocal"),"b",IF(OR(M1423="positive",M1423="equivocal"),"c","d"))))</x:f>
        <x:v>a</x:v>
      </x:c>
      <x:c r="AB1423" s="12" t="str">
        <x:f>IF(OR(M1423="unavailable",O1423="unavailable"),"不可评价",IF(AND(M1423="positive",O1423="positive"),"a",IF(O1423="positive","b",IF(M1423="positive","c","d"))))</x:f>
        <x:v>a</x:v>
      </x:c>
      <x:c r="AC1423" s="12" t="str">
        <x:f>IF(OR(R1423="unavailable",T1423="unavailable"),"不可评价",IF(AND(OR(R1423="positive",R1423="equivocal"),OR(T1423="positive",T1423="equivocal")),"a",IF(OR(T1423="positive",T1423="equivocal"),"b",IF(OR(R1423="positive",R1423="equivocal"),"c","d"))))</x:f>
        <x:v>d</x:v>
      </x:c>
      <x:c r="AD1423" s="12" t="str">
        <x:f>IF(OR(R1423="unavailable",T1423="unavailable"),"不可评价",IF(AND(R1423="positive",T1423="positive"),"a",IF(T1423="positive","b",IF(R1423="positive","c","d"))))</x:f>
        <x:v>d</x:v>
      </x:c>
      <x:c r="AE1423" s="12" t="str">
        <x:f>IF(OR(W1423="unavailable",Y1423="unavailable"),"不可评价",IF(AND(OR(W1423="positive",W1423="equivocal"),OR(Y1423="positive",Y1423="equivocal")),"a",IF(OR(Y1423="positive",Y1423="equivocal"),"b",IF(OR(W1423="positive",W1423="equivocal"),"c","d"))))</x:f>
        <x:v>d</x:v>
      </x:c>
      <x:c r="AF1423" s="12" t="str">
        <x:f>IF(OR(W1423="unavailable",Y1423="unavailable"),"不可评价",IF(AND(W1423="positive",Y1423="positive"),"a",IF(Y1423="positive","b",IF(W1423="positive","c","d"))))</x:f>
        <x:v>d</x:v>
      </x:c>
    </x:row>
    <x:row r="1424" ht="24" customHeight="1">
      <x:c r="A1424" s="12" t="str">
        <x:v>12999</x:v>
      </x:c>
      <x:c r="B1424" s="12" t="str">
        <x:v>7304</x:v>
      </x:c>
      <x:c r="C1424" s="21" t="n">
        <x:v>34595.44384259259</x:v>
      </x:c>
      <x:c r="D1424" s="12" t="n">
        <x:v>50</x:v>
      </x:c>
      <x:c r="E1424" s="12" t="n">
        <x:v>0</x:v>
      </x:c>
      <x:c r="F1424" s="12" t="str">
        <x:v>未记录</x:v>
      </x:c>
      <x:c r="G1424" s="12" t="n">
        <x:v>1</x:v>
      </x:c>
      <x:c r="H1424" s="12" t="str">
        <x:v>{'NORM': 100.0, 'SR': 0.0}</x:v>
      </x:c>
      <x:c r="I1424" s="12" t="str">
        <x:v>[('NSR', 100.0), ('NML', 100.0)]</x:v>
      </x:c>
      <x:c r="J1424" s="12" t="str">
        <x:v>ptbxl_database.csv；ecg_id=12999；scp_codes</x:v>
      </x:c>
      <x:c r="K1424" s="12" t="str">
        <x:v>12sl_statements.csv；ecg_id=12999；statements_ext_snomed</x:v>
      </x:c>
      <x:c r="L1424" s="12"/>
      <x:c r="M1424" s="12" t="str">
        <x:v>negative</x:v>
      </x:c>
      <x:c r="N1424" s="12"/>
      <x:c r="O1424" s="12" t="str">
        <x:v>negative</x:v>
      </x:c>
      <x:c r="P1424" s="12" t="str">
        <x:f>IF(OR(M1424="unavailable",O1424="unavailable"),"不可评价",IF(OR(M1424="equivocal",O1424="equivocal"),"疑似",IF(AND(M1424="positive",O1424="positive"),"a",IF(O1424="positive","b",IF(M1424="positive","c","d")))))</x:f>
        <x:v>d</x:v>
      </x:c>
      <x:c r="Q1424" s="12"/>
      <x:c r="R1424" s="12" t="str">
        <x:v>negative</x:v>
      </x:c>
      <x:c r="S1424" s="12"/>
      <x:c r="T1424" s="12" t="str">
        <x:v>negative</x:v>
      </x:c>
      <x:c r="U1424" s="12" t="str">
        <x:f>IF(OR(R1424="unavailable",T1424="unavailable"),"不可评价",IF(OR(R1424="equivocal",T1424="equivocal"),"疑似",IF(AND(R1424="positive",T1424="positive"),"a",IF(T1424="positive","b",IF(R1424="positive","c","d")))))</x:f>
        <x:v>d</x:v>
      </x:c>
      <x:c r="V1424" s="12"/>
      <x:c r="W1424" s="12" t="str">
        <x:v>negative</x:v>
      </x:c>
      <x:c r="X1424" s="12"/>
      <x:c r="Y1424" s="12" t="str">
        <x:v>negative</x:v>
      </x:c>
      <x:c r="Z1424" s="12" t="str">
        <x:f>IF(OR(W1424="unavailable",Y1424="unavailable"),"不可评价",IF(OR(W1424="equivocal",Y1424="equivocal"),"疑似",IF(AND(W1424="positive",Y1424="positive"),"a",IF(Y1424="positive","b",IF(W1424="positive","c","d")))))</x:f>
        <x:v>d</x:v>
      </x:c>
      <x:c r="AA1424" s="12" t="str">
        <x:f>IF(OR(M1424="unavailable",O1424="unavailable"),"不可评价",IF(AND(OR(M1424="positive",M1424="equivocal"),OR(O1424="positive",O1424="equivocal")),"a",IF(OR(O1424="positive",O1424="equivocal"),"b",IF(OR(M1424="positive",M1424="equivocal"),"c","d"))))</x:f>
        <x:v>d</x:v>
      </x:c>
      <x:c r="AB1424" s="12" t="str">
        <x:f>IF(OR(M1424="unavailable",O1424="unavailable"),"不可评价",IF(AND(M1424="positive",O1424="positive"),"a",IF(O1424="positive","b",IF(M1424="positive","c","d"))))</x:f>
        <x:v>d</x:v>
      </x:c>
      <x:c r="AC1424" s="12" t="str">
        <x:f>IF(OR(R1424="unavailable",T1424="unavailable"),"不可评价",IF(AND(OR(R1424="positive",R1424="equivocal"),OR(T1424="positive",T1424="equivocal")),"a",IF(OR(T1424="positive",T1424="equivocal"),"b",IF(OR(R1424="positive",R1424="equivocal"),"c","d"))))</x:f>
        <x:v>d</x:v>
      </x:c>
      <x:c r="AD1424" s="12" t="str">
        <x:f>IF(OR(R1424="unavailable",T1424="unavailable"),"不可评价",IF(AND(R1424="positive",T1424="positive"),"a",IF(T1424="positive","b",IF(R1424="positive","c","d"))))</x:f>
        <x:v>d</x:v>
      </x:c>
      <x:c r="AE1424" s="12" t="str">
        <x:f>IF(OR(W1424="unavailable",Y1424="unavailable"),"不可评价",IF(AND(OR(W1424="positive",W1424="equivocal"),OR(Y1424="positive",Y1424="equivocal")),"a",IF(OR(Y1424="positive",Y1424="equivocal"),"b",IF(OR(W1424="positive",W1424="equivocal"),"c","d"))))</x:f>
        <x:v>d</x:v>
      </x:c>
      <x:c r="AF1424" s="12" t="str">
        <x:f>IF(OR(W1424="unavailable",Y1424="unavailable"),"不可评价",IF(AND(W1424="positive",Y1424="positive"),"a",IF(Y1424="positive","b",IF(W1424="positive","c","d"))))</x:f>
        <x:v>d</x:v>
      </x:c>
    </x:row>
    <x:row r="1425" ht="24" customHeight="1">
      <x:c r="A1425" s="12" t="str">
        <x:v>13006</x:v>
      </x:c>
      <x:c r="B1425" s="12" t="str">
        <x:v>15712</x:v>
      </x:c>
      <x:c r="C1425" s="21" t="n">
        <x:v>34596.52196759259</x:v>
      </x:c>
      <x:c r="D1425" s="12" t="n">
        <x:v>73</x:v>
      </x:c>
      <x:c r="E1425" s="12" t="n">
        <x:v>1</x:v>
      </x:c>
      <x:c r="F1425" s="12" t="str">
        <x:v>存在</x:v>
      </x:c>
      <x:c r="G1425" s="12" t="n">
        <x:v>1</x:v>
      </x:c>
      <x:c r="H1425" s="12" t="str">
        <x:v>{'NORM': 80.0, 'SR': 0.0}</x:v>
      </x:c>
      <x:c r="I1425" s="12" t="str">
        <x:v>[('NSR', 100.0), ('BORDE', 100.0)]</x:v>
      </x:c>
      <x:c r="J1425" s="12" t="str">
        <x:v>ptbxl_database.csv；ecg_id=13006；scp_codes</x:v>
      </x:c>
      <x:c r="K1425" s="12" t="str">
        <x:v>12sl_statements.csv；ecg_id=13006；statements_ext_snomed</x:v>
      </x:c>
      <x:c r="L1425" s="12"/>
      <x:c r="M1425" s="12" t="str">
        <x:v>negative</x:v>
      </x:c>
      <x:c r="N1425" s="12"/>
      <x:c r="O1425" s="12" t="str">
        <x:v>negative</x:v>
      </x:c>
      <x:c r="P1425" s="12" t="str">
        <x:f>IF(OR(M1425="unavailable",O1425="unavailable"),"不可评价",IF(OR(M1425="equivocal",O1425="equivocal"),"疑似",IF(AND(M1425="positive",O1425="positive"),"a",IF(O1425="positive","b",IF(M1425="positive","c","d")))))</x:f>
        <x:v>d</x:v>
      </x:c>
      <x:c r="Q1425" s="12"/>
      <x:c r="R1425" s="12" t="str">
        <x:v>negative</x:v>
      </x:c>
      <x:c r="S1425" s="12"/>
      <x:c r="T1425" s="12" t="str">
        <x:v>negative</x:v>
      </x:c>
      <x:c r="U1425" s="12" t="str">
        <x:f>IF(OR(R1425="unavailable",T1425="unavailable"),"不可评价",IF(OR(R1425="equivocal",T1425="equivocal"),"疑似",IF(AND(R1425="positive",T1425="positive"),"a",IF(T1425="positive","b",IF(R1425="positive","c","d")))))</x:f>
        <x:v>d</x:v>
      </x:c>
      <x:c r="V1425" s="12"/>
      <x:c r="W1425" s="12" t="str">
        <x:v>negative</x:v>
      </x:c>
      <x:c r="X1425" s="12"/>
      <x:c r="Y1425" s="12" t="str">
        <x:v>negative</x:v>
      </x:c>
      <x:c r="Z1425" s="12" t="str">
        <x:f>IF(OR(W1425="unavailable",Y1425="unavailable"),"不可评价",IF(OR(W1425="equivocal",Y1425="equivocal"),"疑似",IF(AND(W1425="positive",Y1425="positive"),"a",IF(Y1425="positive","b",IF(W1425="positive","c","d")))))</x:f>
        <x:v>d</x:v>
      </x:c>
      <x:c r="AA1425" s="12" t="str">
        <x:f>IF(OR(M1425="unavailable",O1425="unavailable"),"不可评价",IF(AND(OR(M1425="positive",M1425="equivocal"),OR(O1425="positive",O1425="equivocal")),"a",IF(OR(O1425="positive",O1425="equivocal"),"b",IF(OR(M1425="positive",M1425="equivocal"),"c","d"))))</x:f>
        <x:v>d</x:v>
      </x:c>
      <x:c r="AB1425" s="12" t="str">
        <x:f>IF(OR(M1425="unavailable",O1425="unavailable"),"不可评价",IF(AND(M1425="positive",O1425="positive"),"a",IF(O1425="positive","b",IF(M1425="positive","c","d"))))</x:f>
        <x:v>d</x:v>
      </x:c>
      <x:c r="AC1425" s="12" t="str">
        <x:f>IF(OR(R1425="unavailable",T1425="unavailable"),"不可评价",IF(AND(OR(R1425="positive",R1425="equivocal"),OR(T1425="positive",T1425="equivocal")),"a",IF(OR(T1425="positive",T1425="equivocal"),"b",IF(OR(R1425="positive",R1425="equivocal"),"c","d"))))</x:f>
        <x:v>d</x:v>
      </x:c>
      <x:c r="AD1425" s="12" t="str">
        <x:f>IF(OR(R1425="unavailable",T1425="unavailable"),"不可评价",IF(AND(R1425="positive",T1425="positive"),"a",IF(T1425="positive","b",IF(R1425="positive","c","d"))))</x:f>
        <x:v>d</x:v>
      </x:c>
      <x:c r="AE1425" s="12" t="str">
        <x:f>IF(OR(W1425="unavailable",Y1425="unavailable"),"不可评价",IF(AND(OR(W1425="positive",W1425="equivocal"),OR(Y1425="positive",Y1425="equivocal")),"a",IF(OR(Y1425="positive",Y1425="equivocal"),"b",IF(OR(W1425="positive",W1425="equivocal"),"c","d"))))</x:f>
        <x:v>d</x:v>
      </x:c>
      <x:c r="AF1425" s="12" t="str">
        <x:f>IF(OR(W1425="unavailable",Y1425="unavailable"),"不可评价",IF(AND(W1425="positive",Y1425="positive"),"a",IF(Y1425="positive","b",IF(W1425="positive","c","d"))))</x:f>
        <x:v>d</x:v>
      </x:c>
    </x:row>
    <x:row r="1426" ht="24" customHeight="1">
      <x:c r="A1426" s="12" t="str">
        <x:v>13007</x:v>
      </x:c>
      <x:c r="B1426" s="12" t="str">
        <x:v>19974</x:v>
      </x:c>
      <x:c r="C1426" s="21" t="n">
        <x:v>34596.55641203704</x:v>
      </x:c>
      <x:c r="D1426" s="12" t="n">
        <x:v>38</x:v>
      </x:c>
      <x:c r="E1426" s="12" t="n">
        <x:v>1</x:v>
      </x:c>
      <x:c r="F1426" s="12" t="str">
        <x:v>未记录</x:v>
      </x:c>
      <x:c r="G1426" s="12" t="n">
        <x:v>1</x:v>
      </x:c>
      <x:c r="H1426" s="12" t="str">
        <x:v>{'ISC_': 100.0, 'SR': 0.0}</x:v>
      </x:c>
      <x:c r="I1426" s="12" t="str">
        <x:v>[('NSR', 100.0), ('ILT', 100.0), ('AB', 100.0)]</x:v>
      </x:c>
      <x:c r="J1426" s="12" t="str">
        <x:v>ptbxl_database.csv；ecg_id=13007；scp_codes</x:v>
      </x:c>
      <x:c r="K1426" s="12" t="str">
        <x:v>12sl_statements.csv；ecg_id=13007；statements_ext_snomed</x:v>
      </x:c>
      <x:c r="L1426" s="12"/>
      <x:c r="M1426" s="12" t="str">
        <x:v>negative</x:v>
      </x:c>
      <x:c r="N1426" s="12"/>
      <x:c r="O1426" s="12" t="str">
        <x:v>negative</x:v>
      </x:c>
      <x:c r="P1426" s="12" t="str">
        <x:f>IF(OR(M1426="unavailable",O1426="unavailable"),"不可评价",IF(OR(M1426="equivocal",O1426="equivocal"),"疑似",IF(AND(M1426="positive",O1426="positive"),"a",IF(O1426="positive","b",IF(M1426="positive","c","d")))))</x:f>
        <x:v>d</x:v>
      </x:c>
      <x:c r="Q1426" s="12"/>
      <x:c r="R1426" s="12" t="str">
        <x:v>negative</x:v>
      </x:c>
      <x:c r="S1426" s="12"/>
      <x:c r="T1426" s="12" t="str">
        <x:v>negative</x:v>
      </x:c>
      <x:c r="U1426" s="12" t="str">
        <x:f>IF(OR(R1426="unavailable",T1426="unavailable"),"不可评价",IF(OR(R1426="equivocal",T1426="equivocal"),"疑似",IF(AND(R1426="positive",T1426="positive"),"a",IF(T1426="positive","b",IF(R1426="positive","c","d")))))</x:f>
        <x:v>d</x:v>
      </x:c>
      <x:c r="V1426" s="12"/>
      <x:c r="W1426" s="12" t="str">
        <x:v>negative</x:v>
      </x:c>
      <x:c r="X1426" s="12"/>
      <x:c r="Y1426" s="12" t="str">
        <x:v>negative</x:v>
      </x:c>
      <x:c r="Z1426" s="12" t="str">
        <x:f>IF(OR(W1426="unavailable",Y1426="unavailable"),"不可评价",IF(OR(W1426="equivocal",Y1426="equivocal"),"疑似",IF(AND(W1426="positive",Y1426="positive"),"a",IF(Y1426="positive","b",IF(W1426="positive","c","d")))))</x:f>
        <x:v>d</x:v>
      </x:c>
      <x:c r="AA1426" s="12" t="str">
        <x:f>IF(OR(M1426="unavailable",O1426="unavailable"),"不可评价",IF(AND(OR(M1426="positive",M1426="equivocal"),OR(O1426="positive",O1426="equivocal")),"a",IF(OR(O1426="positive",O1426="equivocal"),"b",IF(OR(M1426="positive",M1426="equivocal"),"c","d"))))</x:f>
        <x:v>d</x:v>
      </x:c>
      <x:c r="AB1426" s="12" t="str">
        <x:f>IF(OR(M1426="unavailable",O1426="unavailable"),"不可评价",IF(AND(M1426="positive",O1426="positive"),"a",IF(O1426="positive","b",IF(M1426="positive","c","d"))))</x:f>
        <x:v>d</x:v>
      </x:c>
      <x:c r="AC1426" s="12" t="str">
        <x:f>IF(OR(R1426="unavailable",T1426="unavailable"),"不可评价",IF(AND(OR(R1426="positive",R1426="equivocal"),OR(T1426="positive",T1426="equivocal")),"a",IF(OR(T1426="positive",T1426="equivocal"),"b",IF(OR(R1426="positive",R1426="equivocal"),"c","d"))))</x:f>
        <x:v>d</x:v>
      </x:c>
      <x:c r="AD1426" s="12" t="str">
        <x:f>IF(OR(R1426="unavailable",T1426="unavailable"),"不可评价",IF(AND(R1426="positive",T1426="positive"),"a",IF(T1426="positive","b",IF(R1426="positive","c","d"))))</x:f>
        <x:v>d</x:v>
      </x:c>
      <x:c r="AE1426" s="12" t="str">
        <x:f>IF(OR(W1426="unavailable",Y1426="unavailable"),"不可评价",IF(AND(OR(W1426="positive",W1426="equivocal"),OR(Y1426="positive",Y1426="equivocal")),"a",IF(OR(Y1426="positive",Y1426="equivocal"),"b",IF(OR(W1426="positive",W1426="equivocal"),"c","d"))))</x:f>
        <x:v>d</x:v>
      </x:c>
      <x:c r="AF1426" s="12" t="str">
        <x:f>IF(OR(W1426="unavailable",Y1426="unavailable"),"不可评价",IF(AND(W1426="positive",Y1426="positive"),"a",IF(Y1426="positive","b",IF(W1426="positive","c","d"))))</x:f>
        <x:v>d</x:v>
      </x:c>
    </x:row>
    <x:row r="1427" ht="24" customHeight="1">
      <x:c r="A1427" s="12" t="str">
        <x:v>13014</x:v>
      </x:c>
      <x:c r="B1427" s="12" t="str">
        <x:v>8895</x:v>
      </x:c>
      <x:c r="C1427" s="21" t="n">
        <x:v>34597.76321759259</x:v>
      </x:c>
      <x:c r="D1427" s="12" t="n">
        <x:v>65</x:v>
      </x:c>
      <x:c r="E1427" s="12" t="n">
        <x:v>1</x:v>
      </x:c>
      <x:c r="F1427" s="12" t="str">
        <x:v>存在</x:v>
      </x:c>
      <x:c r="G1427" s="12" t="n">
        <x:v>1</x:v>
      </x:c>
      <x:c r="H1427" s="12" t="str">
        <x:v>{'NORM': 100.0, 'SR': 0.0}</x:v>
      </x:c>
      <x:c r="I1427" s="12" t="str">
        <x:v>[('NSR', 100.0), ('NML', 100.0)]</x:v>
      </x:c>
      <x:c r="J1427" s="12" t="str">
        <x:v>ptbxl_database.csv；ecg_id=13014；scp_codes</x:v>
      </x:c>
      <x:c r="K1427" s="12" t="str">
        <x:v>12sl_statements.csv；ecg_id=13014；statements_ext_snomed</x:v>
      </x:c>
      <x:c r="L1427" s="12"/>
      <x:c r="M1427" s="12" t="str">
        <x:v>negative</x:v>
      </x:c>
      <x:c r="N1427" s="12"/>
      <x:c r="O1427" s="12" t="str">
        <x:v>negative</x:v>
      </x:c>
      <x:c r="P1427" s="12" t="str">
        <x:f>IF(OR(M1427="unavailable",O1427="unavailable"),"不可评价",IF(OR(M1427="equivocal",O1427="equivocal"),"疑似",IF(AND(M1427="positive",O1427="positive"),"a",IF(O1427="positive","b",IF(M1427="positive","c","d")))))</x:f>
        <x:v>d</x:v>
      </x:c>
      <x:c r="Q1427" s="12"/>
      <x:c r="R1427" s="12" t="str">
        <x:v>negative</x:v>
      </x:c>
      <x:c r="S1427" s="12"/>
      <x:c r="T1427" s="12" t="str">
        <x:v>negative</x:v>
      </x:c>
      <x:c r="U1427" s="12" t="str">
        <x:f>IF(OR(R1427="unavailable",T1427="unavailable"),"不可评价",IF(OR(R1427="equivocal",T1427="equivocal"),"疑似",IF(AND(R1427="positive",T1427="positive"),"a",IF(T1427="positive","b",IF(R1427="positive","c","d")))))</x:f>
        <x:v>d</x:v>
      </x:c>
      <x:c r="V1427" s="12"/>
      <x:c r="W1427" s="12" t="str">
        <x:v>negative</x:v>
      </x:c>
      <x:c r="X1427" s="12"/>
      <x:c r="Y1427" s="12" t="str">
        <x:v>negative</x:v>
      </x:c>
      <x:c r="Z1427" s="12" t="str">
        <x:f>IF(OR(W1427="unavailable",Y1427="unavailable"),"不可评价",IF(OR(W1427="equivocal",Y1427="equivocal"),"疑似",IF(AND(W1427="positive",Y1427="positive"),"a",IF(Y1427="positive","b",IF(W1427="positive","c","d")))))</x:f>
        <x:v>d</x:v>
      </x:c>
      <x:c r="AA1427" s="12" t="str">
        <x:f>IF(OR(M1427="unavailable",O1427="unavailable"),"不可评价",IF(AND(OR(M1427="positive",M1427="equivocal"),OR(O1427="positive",O1427="equivocal")),"a",IF(OR(O1427="positive",O1427="equivocal"),"b",IF(OR(M1427="positive",M1427="equivocal"),"c","d"))))</x:f>
        <x:v>d</x:v>
      </x:c>
      <x:c r="AB1427" s="12" t="str">
        <x:f>IF(OR(M1427="unavailable",O1427="unavailable"),"不可评价",IF(AND(M1427="positive",O1427="positive"),"a",IF(O1427="positive","b",IF(M1427="positive","c","d"))))</x:f>
        <x:v>d</x:v>
      </x:c>
      <x:c r="AC1427" s="12" t="str">
        <x:f>IF(OR(R1427="unavailable",T1427="unavailable"),"不可评价",IF(AND(OR(R1427="positive",R1427="equivocal"),OR(T1427="positive",T1427="equivocal")),"a",IF(OR(T1427="positive",T1427="equivocal"),"b",IF(OR(R1427="positive",R1427="equivocal"),"c","d"))))</x:f>
        <x:v>d</x:v>
      </x:c>
      <x:c r="AD1427" s="12" t="str">
        <x:f>IF(OR(R1427="unavailable",T1427="unavailable"),"不可评价",IF(AND(R1427="positive",T1427="positive"),"a",IF(T1427="positive","b",IF(R1427="positive","c","d"))))</x:f>
        <x:v>d</x:v>
      </x:c>
      <x:c r="AE1427" s="12" t="str">
        <x:f>IF(OR(W1427="unavailable",Y1427="unavailable"),"不可评价",IF(AND(OR(W1427="positive",W1427="equivocal"),OR(Y1427="positive",Y1427="equivocal")),"a",IF(OR(Y1427="positive",Y1427="equivocal"),"b",IF(OR(W1427="positive",W1427="equivocal"),"c","d"))))</x:f>
        <x:v>d</x:v>
      </x:c>
      <x:c r="AF1427" s="12" t="str">
        <x:f>IF(OR(W1427="unavailable",Y1427="unavailable"),"不可评价",IF(AND(W1427="positive",Y1427="positive"),"a",IF(Y1427="positive","b",IF(W1427="positive","c","d"))))</x:f>
        <x:v>d</x:v>
      </x:c>
    </x:row>
    <x:row r="1428" ht="24" customHeight="1">
      <x:c r="A1428" s="12" t="str">
        <x:v>13025</x:v>
      </x:c>
      <x:c r="B1428" s="12" t="str">
        <x:v>16559</x:v>
      </x:c>
      <x:c r="C1428" s="21" t="n">
        <x:v>34599.57780092592</x:v>
      </x:c>
      <x:c r="D1428" s="12" t="n">
        <x:v>61</x:v>
      </x:c>
      <x:c r="E1428" s="12" t="n">
        <x:v>1</x:v>
      </x:c>
      <x:c r="F1428" s="12" t="str">
        <x:v>存在</x:v>
      </x:c>
      <x:c r="G1428" s="12" t="n">
        <x:v>1</x:v>
      </x:c>
      <x:c r="H1428" s="12" t="str">
        <x:v>{'NORM': 100.0, 'SR': 0.0}</x:v>
      </x:c>
      <x:c r="I1428" s="12" t="str">
        <x:v>[('SBRAD', 100.0), ('ABR', 100.0)]</x:v>
      </x:c>
      <x:c r="J1428" s="12" t="str">
        <x:v>ptbxl_database.csv；ecg_id=13025；scp_codes</x:v>
      </x:c>
      <x:c r="K1428" s="12" t="str">
        <x:v>12sl_statements.csv；ecg_id=13025；statements_ext_snomed</x:v>
      </x:c>
      <x:c r="L1428" s="12"/>
      <x:c r="M1428" s="12" t="str">
        <x:v>negative</x:v>
      </x:c>
      <x:c r="N1428" s="12"/>
      <x:c r="O1428" s="12" t="str">
        <x:v>negative</x:v>
      </x:c>
      <x:c r="P1428" s="12" t="str">
        <x:f>IF(OR(M1428="unavailable",O1428="unavailable"),"不可评价",IF(OR(M1428="equivocal",O1428="equivocal"),"疑似",IF(AND(M1428="positive",O1428="positive"),"a",IF(O1428="positive","b",IF(M1428="positive","c","d")))))</x:f>
        <x:v>d</x:v>
      </x:c>
      <x:c r="Q1428" s="12"/>
      <x:c r="R1428" s="12" t="str">
        <x:v>negative</x:v>
      </x:c>
      <x:c r="S1428" s="12"/>
      <x:c r="T1428" s="12" t="str">
        <x:v>negative</x:v>
      </x:c>
      <x:c r="U1428" s="12" t="str">
        <x:f>IF(OR(R1428="unavailable",T1428="unavailable"),"不可评价",IF(OR(R1428="equivocal",T1428="equivocal"),"疑似",IF(AND(R1428="positive",T1428="positive"),"a",IF(T1428="positive","b",IF(R1428="positive","c","d")))))</x:f>
        <x:v>d</x:v>
      </x:c>
      <x:c r="V1428" s="12"/>
      <x:c r="W1428" s="12" t="str">
        <x:v>negative</x:v>
      </x:c>
      <x:c r="X1428" s="12"/>
      <x:c r="Y1428" s="12" t="str">
        <x:v>negative</x:v>
      </x:c>
      <x:c r="Z1428" s="12" t="str">
        <x:f>IF(OR(W1428="unavailable",Y1428="unavailable"),"不可评价",IF(OR(W1428="equivocal",Y1428="equivocal"),"疑似",IF(AND(W1428="positive",Y1428="positive"),"a",IF(Y1428="positive","b",IF(W1428="positive","c","d")))))</x:f>
        <x:v>d</x:v>
      </x:c>
      <x:c r="AA1428" s="12" t="str">
        <x:f>IF(OR(M1428="unavailable",O1428="unavailable"),"不可评价",IF(AND(OR(M1428="positive",M1428="equivocal"),OR(O1428="positive",O1428="equivocal")),"a",IF(OR(O1428="positive",O1428="equivocal"),"b",IF(OR(M1428="positive",M1428="equivocal"),"c","d"))))</x:f>
        <x:v>d</x:v>
      </x:c>
      <x:c r="AB1428" s="12" t="str">
        <x:f>IF(OR(M1428="unavailable",O1428="unavailable"),"不可评价",IF(AND(M1428="positive",O1428="positive"),"a",IF(O1428="positive","b",IF(M1428="positive","c","d"))))</x:f>
        <x:v>d</x:v>
      </x:c>
      <x:c r="AC1428" s="12" t="str">
        <x:f>IF(OR(R1428="unavailable",T1428="unavailable"),"不可评价",IF(AND(OR(R1428="positive",R1428="equivocal"),OR(T1428="positive",T1428="equivocal")),"a",IF(OR(T1428="positive",T1428="equivocal"),"b",IF(OR(R1428="positive",R1428="equivocal"),"c","d"))))</x:f>
        <x:v>d</x:v>
      </x:c>
      <x:c r="AD1428" s="12" t="str">
        <x:f>IF(OR(R1428="unavailable",T1428="unavailable"),"不可评价",IF(AND(R1428="positive",T1428="positive"),"a",IF(T1428="positive","b",IF(R1428="positive","c","d"))))</x:f>
        <x:v>d</x:v>
      </x:c>
      <x:c r="AE1428" s="12" t="str">
        <x:f>IF(OR(W1428="unavailable",Y1428="unavailable"),"不可评价",IF(AND(OR(W1428="positive",W1428="equivocal"),OR(Y1428="positive",Y1428="equivocal")),"a",IF(OR(Y1428="positive",Y1428="equivocal"),"b",IF(OR(W1428="positive",W1428="equivocal"),"c","d"))))</x:f>
        <x:v>d</x:v>
      </x:c>
      <x:c r="AF1428" s="12" t="str">
        <x:f>IF(OR(W1428="unavailable",Y1428="unavailable"),"不可评价",IF(AND(W1428="positive",Y1428="positive"),"a",IF(Y1428="positive","b",IF(W1428="positive","c","d"))))</x:f>
        <x:v>d</x:v>
      </x:c>
    </x:row>
    <x:row r="1429" ht="24" customHeight="1">
      <x:c r="A1429" s="12" t="str">
        <x:v>13035</x:v>
      </x:c>
      <x:c r="B1429" s="12" t="str">
        <x:v>6176</x:v>
      </x:c>
      <x:c r="C1429" s="21" t="n">
        <x:v>34601.49099537037</x:v>
      </x:c>
      <x:c r="D1429" s="12" t="n">
        <x:v>36</x:v>
      </x:c>
      <x:c r="E1429" s="12" t="n">
        <x:v>0</x:v>
      </x:c>
      <x:c r="F1429" s="12" t="str">
        <x:v>未记录</x:v>
      </x:c>
      <x:c r="G1429" s="12" t="n">
        <x:v>1</x:v>
      </x:c>
      <x:c r="H1429" s="12" t="str">
        <x:v>{'NORM': 100.0, 'SR': 0.0}</x:v>
      </x:c>
      <x:c r="I1429" s="12" t="str">
        <x:v>[('NSR', 100.0), ('NML', 100.0)]</x:v>
      </x:c>
      <x:c r="J1429" s="12" t="str">
        <x:v>ptbxl_database.csv；ecg_id=13035；scp_codes</x:v>
      </x:c>
      <x:c r="K1429" s="12" t="str">
        <x:v>12sl_statements.csv；ecg_id=13035；statements_ext_snomed</x:v>
      </x:c>
      <x:c r="L1429" s="12"/>
      <x:c r="M1429" s="12" t="str">
        <x:v>negative</x:v>
      </x:c>
      <x:c r="N1429" s="12"/>
      <x:c r="O1429" s="12" t="str">
        <x:v>negative</x:v>
      </x:c>
      <x:c r="P1429" s="12" t="str">
        <x:f>IF(OR(M1429="unavailable",O1429="unavailable"),"不可评价",IF(OR(M1429="equivocal",O1429="equivocal"),"疑似",IF(AND(M1429="positive",O1429="positive"),"a",IF(O1429="positive","b",IF(M1429="positive","c","d")))))</x:f>
        <x:v>d</x:v>
      </x:c>
      <x:c r="Q1429" s="12"/>
      <x:c r="R1429" s="12" t="str">
        <x:v>negative</x:v>
      </x:c>
      <x:c r="S1429" s="12"/>
      <x:c r="T1429" s="12" t="str">
        <x:v>negative</x:v>
      </x:c>
      <x:c r="U1429" s="12" t="str">
        <x:f>IF(OR(R1429="unavailable",T1429="unavailable"),"不可评价",IF(OR(R1429="equivocal",T1429="equivocal"),"疑似",IF(AND(R1429="positive",T1429="positive"),"a",IF(T1429="positive","b",IF(R1429="positive","c","d")))))</x:f>
        <x:v>d</x:v>
      </x:c>
      <x:c r="V1429" s="12"/>
      <x:c r="W1429" s="12" t="str">
        <x:v>negative</x:v>
      </x:c>
      <x:c r="X1429" s="12"/>
      <x:c r="Y1429" s="12" t="str">
        <x:v>negative</x:v>
      </x:c>
      <x:c r="Z1429" s="12" t="str">
        <x:f>IF(OR(W1429="unavailable",Y1429="unavailable"),"不可评价",IF(OR(W1429="equivocal",Y1429="equivocal"),"疑似",IF(AND(W1429="positive",Y1429="positive"),"a",IF(Y1429="positive","b",IF(W1429="positive","c","d")))))</x:f>
        <x:v>d</x:v>
      </x:c>
      <x:c r="AA1429" s="12" t="str">
        <x:f>IF(OR(M1429="unavailable",O1429="unavailable"),"不可评价",IF(AND(OR(M1429="positive",M1429="equivocal"),OR(O1429="positive",O1429="equivocal")),"a",IF(OR(O1429="positive",O1429="equivocal"),"b",IF(OR(M1429="positive",M1429="equivocal"),"c","d"))))</x:f>
        <x:v>d</x:v>
      </x:c>
      <x:c r="AB1429" s="12" t="str">
        <x:f>IF(OR(M1429="unavailable",O1429="unavailable"),"不可评价",IF(AND(M1429="positive",O1429="positive"),"a",IF(O1429="positive","b",IF(M1429="positive","c","d"))))</x:f>
        <x:v>d</x:v>
      </x:c>
      <x:c r="AC1429" s="12" t="str">
        <x:f>IF(OR(R1429="unavailable",T1429="unavailable"),"不可评价",IF(AND(OR(R1429="positive",R1429="equivocal"),OR(T1429="positive",T1429="equivocal")),"a",IF(OR(T1429="positive",T1429="equivocal"),"b",IF(OR(R1429="positive",R1429="equivocal"),"c","d"))))</x:f>
        <x:v>d</x:v>
      </x:c>
      <x:c r="AD1429" s="12" t="str">
        <x:f>IF(OR(R1429="unavailable",T1429="unavailable"),"不可评价",IF(AND(R1429="positive",T1429="positive"),"a",IF(T1429="positive","b",IF(R1429="positive","c","d"))))</x:f>
        <x:v>d</x:v>
      </x:c>
      <x:c r="AE1429" s="12" t="str">
        <x:f>IF(OR(W1429="unavailable",Y1429="unavailable"),"不可评价",IF(AND(OR(W1429="positive",W1429="equivocal"),OR(Y1429="positive",Y1429="equivocal")),"a",IF(OR(Y1429="positive",Y1429="equivocal"),"b",IF(OR(W1429="positive",W1429="equivocal"),"c","d"))))</x:f>
        <x:v>d</x:v>
      </x:c>
      <x:c r="AF1429" s="12" t="str">
        <x:f>IF(OR(W1429="unavailable",Y1429="unavailable"),"不可评价",IF(AND(W1429="positive",Y1429="positive"),"a",IF(Y1429="positive","b",IF(W1429="positive","c","d"))))</x:f>
        <x:v>d</x:v>
      </x:c>
    </x:row>
    <x:row r="1430" ht="24" customHeight="1">
      <x:c r="A1430" s="12" t="str">
        <x:v>13052</x:v>
      </x:c>
      <x:c r="B1430" s="12" t="str">
        <x:v>21775</x:v>
      </x:c>
      <x:c r="C1430" s="21" t="n">
        <x:v>34603.651655092595</x:v>
      </x:c>
      <x:c r="D1430" s="12" t="n">
        <x:v>35</x:v>
      </x:c>
      <x:c r="E1430" s="12" t="n">
        <x:v>0</x:v>
      </x:c>
      <x:c r="F1430" s="12" t="str">
        <x:v>未记录</x:v>
      </x:c>
      <x:c r="G1430" s="12" t="n">
        <x:v>1</x:v>
      </x:c>
      <x:c r="H1430" s="12" t="str">
        <x:v>{'NORM': 100.0, 'LPFB': 100.0, 'SR': 0.0}</x:v>
      </x:c>
      <x:c r="I1430" s="12" t="str">
        <x:v>[('NSR', 100.0), ('RAD', 100.0), ('BORDE', 100.0)]</x:v>
      </x:c>
      <x:c r="J1430" s="12" t="str">
        <x:v>ptbxl_database.csv；ecg_id=13052；scp_codes</x:v>
      </x:c>
      <x:c r="K1430" s="12" t="str">
        <x:v>12sl_statements.csv；ecg_id=13052；statements_ext_snomed</x:v>
      </x:c>
      <x:c r="L1430" s="12"/>
      <x:c r="M1430" s="12" t="str">
        <x:v>negative</x:v>
      </x:c>
      <x:c r="N1430" s="12"/>
      <x:c r="O1430" s="12" t="str">
        <x:v>negative</x:v>
      </x:c>
      <x:c r="P1430" s="12" t="str">
        <x:f>IF(OR(M1430="unavailable",O1430="unavailable"),"不可评价",IF(OR(M1430="equivocal",O1430="equivocal"),"疑似",IF(AND(M1430="positive",O1430="positive"),"a",IF(O1430="positive","b",IF(M1430="positive","c","d")))))</x:f>
        <x:v>d</x:v>
      </x:c>
      <x:c r="Q1430" s="12"/>
      <x:c r="R1430" s="12" t="str">
        <x:v>negative</x:v>
      </x:c>
      <x:c r="S1430" s="12"/>
      <x:c r="T1430" s="12" t="str">
        <x:v>negative</x:v>
      </x:c>
      <x:c r="U1430" s="12" t="str">
        <x:f>IF(OR(R1430="unavailable",T1430="unavailable"),"不可评价",IF(OR(R1430="equivocal",T1430="equivocal"),"疑似",IF(AND(R1430="positive",T1430="positive"),"a",IF(T1430="positive","b",IF(R1430="positive","c","d")))))</x:f>
        <x:v>d</x:v>
      </x:c>
      <x:c r="V1430" s="12"/>
      <x:c r="W1430" s="12" t="str">
        <x:v>negative</x:v>
      </x:c>
      <x:c r="X1430" s="12"/>
      <x:c r="Y1430" s="12" t="str">
        <x:v>negative</x:v>
      </x:c>
      <x:c r="Z1430" s="12" t="str">
        <x:f>IF(OR(W1430="unavailable",Y1430="unavailable"),"不可评价",IF(OR(W1430="equivocal",Y1430="equivocal"),"疑似",IF(AND(W1430="positive",Y1430="positive"),"a",IF(Y1430="positive","b",IF(W1430="positive","c","d")))))</x:f>
        <x:v>d</x:v>
      </x:c>
      <x:c r="AA1430" s="12" t="str">
        <x:f>IF(OR(M1430="unavailable",O1430="unavailable"),"不可评价",IF(AND(OR(M1430="positive",M1430="equivocal"),OR(O1430="positive",O1430="equivocal")),"a",IF(OR(O1430="positive",O1430="equivocal"),"b",IF(OR(M1430="positive",M1430="equivocal"),"c","d"))))</x:f>
        <x:v>d</x:v>
      </x:c>
      <x:c r="AB1430" s="12" t="str">
        <x:f>IF(OR(M1430="unavailable",O1430="unavailable"),"不可评价",IF(AND(M1430="positive",O1430="positive"),"a",IF(O1430="positive","b",IF(M1430="positive","c","d"))))</x:f>
        <x:v>d</x:v>
      </x:c>
      <x:c r="AC1430" s="12" t="str">
        <x:f>IF(OR(R1430="unavailable",T1430="unavailable"),"不可评价",IF(AND(OR(R1430="positive",R1430="equivocal"),OR(T1430="positive",T1430="equivocal")),"a",IF(OR(T1430="positive",T1430="equivocal"),"b",IF(OR(R1430="positive",R1430="equivocal"),"c","d"))))</x:f>
        <x:v>d</x:v>
      </x:c>
      <x:c r="AD1430" s="12" t="str">
        <x:f>IF(OR(R1430="unavailable",T1430="unavailable"),"不可评价",IF(AND(R1430="positive",T1430="positive"),"a",IF(T1430="positive","b",IF(R1430="positive","c","d"))))</x:f>
        <x:v>d</x:v>
      </x:c>
      <x:c r="AE1430" s="12" t="str">
        <x:f>IF(OR(W1430="unavailable",Y1430="unavailable"),"不可评价",IF(AND(OR(W1430="positive",W1430="equivocal"),OR(Y1430="positive",Y1430="equivocal")),"a",IF(OR(Y1430="positive",Y1430="equivocal"),"b",IF(OR(W1430="positive",W1430="equivocal"),"c","d"))))</x:f>
        <x:v>d</x:v>
      </x:c>
      <x:c r="AF1430" s="12" t="str">
        <x:f>IF(OR(W1430="unavailable",Y1430="unavailable"),"不可评价",IF(AND(W1430="positive",Y1430="positive"),"a",IF(Y1430="positive","b",IF(W1430="positive","c","d"))))</x:f>
        <x:v>d</x:v>
      </x:c>
    </x:row>
    <x:row r="1431" ht="24" customHeight="1">
      <x:c r="A1431" s="12" t="str">
        <x:v>13058</x:v>
      </x:c>
      <x:c r="B1431" s="12" t="str">
        <x:v>18608</x:v>
      </x:c>
      <x:c r="C1431" s="21" t="n">
        <x:v>34604.47368055556</x:v>
      </x:c>
      <x:c r="D1431" s="12" t="n">
        <x:v>84</x:v>
      </x:c>
      <x:c r="E1431" s="12" t="n">
        <x:v>0</x:v>
      </x:c>
      <x:c r="F1431" s="12" t="str">
        <x:v>未记录</x:v>
      </x:c>
      <x:c r="G1431" s="12" t="n">
        <x:v>0</x:v>
      </x:c>
      <x:c r="H1431" s="12" t="str">
        <x:v>{'ASMI': 100.0, 'ABQRS': 0.0, 'AFIB': 0.0}</x:v>
      </x:c>
      <x:c r="I1431" s="12" t="str">
        <x:v>[('AFIB', 100.0), ('LOWV', 100.0), ('NT', 100.0), ('AB', 100.0)]</x:v>
      </x:c>
      <x:c r="J1431" s="12" t="str">
        <x:v>ptbxl_database.csv；ecg_id=13058；scp_codes</x:v>
      </x:c>
      <x:c r="K1431" s="12" t="str">
        <x:v>12sl_statements.csv；ecg_id=13058；statements_ext_snomed</x:v>
      </x:c>
      <x:c r="L1431" s="12" t="n">
        <x:v>0</x:v>
      </x:c>
      <x:c r="M1431" s="12" t="str">
        <x:v>positive</x:v>
      </x:c>
      <x:c r="N1431" s="12" t="n">
        <x:v>100</x:v>
      </x:c>
      <x:c r="O1431" s="12" t="str">
        <x:v>positive</x:v>
      </x:c>
      <x:c r="P1431" s="12" t="str">
        <x:f>IF(OR(M1431="unavailable",O1431="unavailable"),"不可评价",IF(OR(M1431="equivocal",O1431="equivocal"),"疑似",IF(AND(M1431="positive",O1431="positive"),"a",IF(O1431="positive","b",IF(M1431="positive","c","d")))))</x:f>
        <x:v>a</x:v>
      </x:c>
      <x:c r="Q1431" s="12"/>
      <x:c r="R1431" s="12" t="str">
        <x:v>negative</x:v>
      </x:c>
      <x:c r="S1431" s="12"/>
      <x:c r="T1431" s="12" t="str">
        <x:v>negative</x:v>
      </x:c>
      <x:c r="U1431" s="12" t="str">
        <x:f>IF(OR(R1431="unavailable",T1431="unavailable"),"不可评价",IF(OR(R1431="equivocal",T1431="equivocal"),"疑似",IF(AND(R1431="positive",T1431="positive"),"a",IF(T1431="positive","b",IF(R1431="positive","c","d")))))</x:f>
        <x:v>d</x:v>
      </x:c>
      <x:c r="V1431" s="12"/>
      <x:c r="W1431" s="12" t="str">
        <x:v>negative</x:v>
      </x:c>
      <x:c r="X1431" s="12"/>
      <x:c r="Y1431" s="12" t="str">
        <x:v>negative</x:v>
      </x:c>
      <x:c r="Z1431" s="12" t="str">
        <x:f>IF(OR(W1431="unavailable",Y1431="unavailable"),"不可评价",IF(OR(W1431="equivocal",Y1431="equivocal"),"疑似",IF(AND(W1431="positive",Y1431="positive"),"a",IF(Y1431="positive","b",IF(W1431="positive","c","d")))))</x:f>
        <x:v>d</x:v>
      </x:c>
      <x:c r="AA1431" s="12" t="str">
        <x:f>IF(OR(M1431="unavailable",O1431="unavailable"),"不可评价",IF(AND(OR(M1431="positive",M1431="equivocal"),OR(O1431="positive",O1431="equivocal")),"a",IF(OR(O1431="positive",O1431="equivocal"),"b",IF(OR(M1431="positive",M1431="equivocal"),"c","d"))))</x:f>
        <x:v>a</x:v>
      </x:c>
      <x:c r="AB1431" s="12" t="str">
        <x:f>IF(OR(M1431="unavailable",O1431="unavailable"),"不可评价",IF(AND(M1431="positive",O1431="positive"),"a",IF(O1431="positive","b",IF(M1431="positive","c","d"))))</x:f>
        <x:v>a</x:v>
      </x:c>
      <x:c r="AC1431" s="12" t="str">
        <x:f>IF(OR(R1431="unavailable",T1431="unavailable"),"不可评价",IF(AND(OR(R1431="positive",R1431="equivocal"),OR(T1431="positive",T1431="equivocal")),"a",IF(OR(T1431="positive",T1431="equivocal"),"b",IF(OR(R1431="positive",R1431="equivocal"),"c","d"))))</x:f>
        <x:v>d</x:v>
      </x:c>
      <x:c r="AD1431" s="12" t="str">
        <x:f>IF(OR(R1431="unavailable",T1431="unavailable"),"不可评价",IF(AND(R1431="positive",T1431="positive"),"a",IF(T1431="positive","b",IF(R1431="positive","c","d"))))</x:f>
        <x:v>d</x:v>
      </x:c>
      <x:c r="AE1431" s="12" t="str">
        <x:f>IF(OR(W1431="unavailable",Y1431="unavailable"),"不可评价",IF(AND(OR(W1431="positive",W1431="equivocal"),OR(Y1431="positive",Y1431="equivocal")),"a",IF(OR(Y1431="positive",Y1431="equivocal"),"b",IF(OR(W1431="positive",W1431="equivocal"),"c","d"))))</x:f>
        <x:v>d</x:v>
      </x:c>
      <x:c r="AF1431" s="12" t="str">
        <x:f>IF(OR(W1431="unavailable",Y1431="unavailable"),"不可评价",IF(AND(W1431="positive",Y1431="positive"),"a",IF(Y1431="positive","b",IF(W1431="positive","c","d"))))</x:f>
        <x:v>d</x:v>
      </x:c>
    </x:row>
    <x:row r="1432" ht="24" customHeight="1">
      <x:c r="A1432" s="12" t="str">
        <x:v>13078</x:v>
      </x:c>
      <x:c r="B1432" s="12" t="str">
        <x:v>15813</x:v>
      </x:c>
      <x:c r="C1432" s="21" t="n">
        <x:v>34606.45480324074</x:v>
      </x:c>
      <x:c r="D1432" s="12" t="n">
        <x:v>67</x:v>
      </x:c>
      <x:c r="E1432" s="12" t="n">
        <x:v>0</x:v>
      </x:c>
      <x:c r="F1432" s="12" t="str">
        <x:v>未记录</x:v>
      </x:c>
      <x:c r="G1432" s="12" t="n">
        <x:v>1</x:v>
      </x:c>
      <x:c r="H1432" s="12" t="str">
        <x:v>{'IMI': 100.0, 'ABQRS': 0.0, 'SR': 0.0}</x:v>
      </x:c>
      <x:c r="I1432" s="12" t="str">
        <x:v>[('SBRAD', 100.0), ('IMI;AU', 100.0), ('AB', 100.0)]</x:v>
      </x:c>
      <x:c r="J1432" s="12" t="str">
        <x:v>ptbxl_database.csv；ecg_id=13078；scp_codes</x:v>
      </x:c>
      <x:c r="K1432" s="12" t="str">
        <x:v>12sl_statements.csv；ecg_id=13078；statements_ext_snomed</x:v>
      </x:c>
      <x:c r="L1432" s="12"/>
      <x:c r="M1432" s="12" t="str">
        <x:v>negative</x:v>
      </x:c>
      <x:c r="N1432" s="12"/>
      <x:c r="O1432" s="12" t="str">
        <x:v>negative</x:v>
      </x:c>
      <x:c r="P1432" s="12" t="str">
        <x:f>IF(OR(M1432="unavailable",O1432="unavailable"),"不可评价",IF(OR(M1432="equivocal",O1432="equivocal"),"疑似",IF(AND(M1432="positive",O1432="positive"),"a",IF(O1432="positive","b",IF(M1432="positive","c","d")))))</x:f>
        <x:v>d</x:v>
      </x:c>
      <x:c r="Q1432" s="12"/>
      <x:c r="R1432" s="12" t="str">
        <x:v>negative</x:v>
      </x:c>
      <x:c r="S1432" s="12"/>
      <x:c r="T1432" s="12" t="str">
        <x:v>negative</x:v>
      </x:c>
      <x:c r="U1432" s="12" t="str">
        <x:f>IF(OR(R1432="unavailable",T1432="unavailable"),"不可评价",IF(OR(R1432="equivocal",T1432="equivocal"),"疑似",IF(AND(R1432="positive",T1432="positive"),"a",IF(T1432="positive","b",IF(R1432="positive","c","d")))))</x:f>
        <x:v>d</x:v>
      </x:c>
      <x:c r="V1432" s="12"/>
      <x:c r="W1432" s="12" t="str">
        <x:v>negative</x:v>
      </x:c>
      <x:c r="X1432" s="12"/>
      <x:c r="Y1432" s="12" t="str">
        <x:v>negative</x:v>
      </x:c>
      <x:c r="Z1432" s="12" t="str">
        <x:f>IF(OR(W1432="unavailable",Y1432="unavailable"),"不可评价",IF(OR(W1432="equivocal",Y1432="equivocal"),"疑似",IF(AND(W1432="positive",Y1432="positive"),"a",IF(Y1432="positive","b",IF(W1432="positive","c","d")))))</x:f>
        <x:v>d</x:v>
      </x:c>
      <x:c r="AA1432" s="12" t="str">
        <x:f>IF(OR(M1432="unavailable",O1432="unavailable"),"不可评价",IF(AND(OR(M1432="positive",M1432="equivocal"),OR(O1432="positive",O1432="equivocal")),"a",IF(OR(O1432="positive",O1432="equivocal"),"b",IF(OR(M1432="positive",M1432="equivocal"),"c","d"))))</x:f>
        <x:v>d</x:v>
      </x:c>
      <x:c r="AB1432" s="12" t="str">
        <x:f>IF(OR(M1432="unavailable",O1432="unavailable"),"不可评价",IF(AND(M1432="positive",O1432="positive"),"a",IF(O1432="positive","b",IF(M1432="positive","c","d"))))</x:f>
        <x:v>d</x:v>
      </x:c>
      <x:c r="AC1432" s="12" t="str">
        <x:f>IF(OR(R1432="unavailable",T1432="unavailable"),"不可评价",IF(AND(OR(R1432="positive",R1432="equivocal"),OR(T1432="positive",T1432="equivocal")),"a",IF(OR(T1432="positive",T1432="equivocal"),"b",IF(OR(R1432="positive",R1432="equivocal"),"c","d"))))</x:f>
        <x:v>d</x:v>
      </x:c>
      <x:c r="AD1432" s="12" t="str">
        <x:f>IF(OR(R1432="unavailable",T1432="unavailable"),"不可评价",IF(AND(R1432="positive",T1432="positive"),"a",IF(T1432="positive","b",IF(R1432="positive","c","d"))))</x:f>
        <x:v>d</x:v>
      </x:c>
      <x:c r="AE1432" s="12" t="str">
        <x:f>IF(OR(W1432="unavailable",Y1432="unavailable"),"不可评价",IF(AND(OR(W1432="positive",W1432="equivocal"),OR(Y1432="positive",Y1432="equivocal")),"a",IF(OR(Y1432="positive",Y1432="equivocal"),"b",IF(OR(W1432="positive",W1432="equivocal"),"c","d"))))</x:f>
        <x:v>d</x:v>
      </x:c>
      <x:c r="AF1432" s="12" t="str">
        <x:f>IF(OR(W1432="unavailable",Y1432="unavailable"),"不可评价",IF(AND(W1432="positive",Y1432="positive"),"a",IF(Y1432="positive","b",IF(W1432="positive","c","d"))))</x:f>
        <x:v>d</x:v>
      </x:c>
    </x:row>
    <x:row r="1433" ht="24" customHeight="1">
      <x:c r="A1433" s="12" t="str">
        <x:v>13092</x:v>
      </x:c>
      <x:c r="B1433" s="12" t="str">
        <x:v>20296</x:v>
      </x:c>
      <x:c r="C1433" s="21" t="n">
        <x:v>34607.465520833335</x:v>
      </x:c>
      <x:c r="D1433" s="12" t="n">
        <x:v>40</x:v>
      </x:c>
      <x:c r="E1433" s="12" t="n">
        <x:v>0</x:v>
      </x:c>
      <x:c r="F1433" s="12" t="str">
        <x:v>存在</x:v>
      </x:c>
      <x:c r="G1433" s="12" t="n">
        <x:v>1</x:v>
      </x:c>
      <x:c r="H1433" s="12" t="str">
        <x:v>{'NORM': 100.0, 'SR': 0.0}</x:v>
      </x:c>
      <x:c r="I1433" s="12" t="str">
        <x:v>[('SBRAD', 100.0), ('ABR', 100.0)]</x:v>
      </x:c>
      <x:c r="J1433" s="12" t="str">
        <x:v>ptbxl_database.csv；ecg_id=13092；scp_codes</x:v>
      </x:c>
      <x:c r="K1433" s="12" t="str">
        <x:v>12sl_statements.csv；ecg_id=13092；statements_ext_snomed</x:v>
      </x:c>
      <x:c r="L1433" s="12"/>
      <x:c r="M1433" s="12" t="str">
        <x:v>negative</x:v>
      </x:c>
      <x:c r="N1433" s="12"/>
      <x:c r="O1433" s="12" t="str">
        <x:v>negative</x:v>
      </x:c>
      <x:c r="P1433" s="12" t="str">
        <x:f>IF(OR(M1433="unavailable",O1433="unavailable"),"不可评价",IF(OR(M1433="equivocal",O1433="equivocal"),"疑似",IF(AND(M1433="positive",O1433="positive"),"a",IF(O1433="positive","b",IF(M1433="positive","c","d")))))</x:f>
        <x:v>d</x:v>
      </x:c>
      <x:c r="Q1433" s="12"/>
      <x:c r="R1433" s="12" t="str">
        <x:v>negative</x:v>
      </x:c>
      <x:c r="S1433" s="12"/>
      <x:c r="T1433" s="12" t="str">
        <x:v>negative</x:v>
      </x:c>
      <x:c r="U1433" s="12" t="str">
        <x:f>IF(OR(R1433="unavailable",T1433="unavailable"),"不可评价",IF(OR(R1433="equivocal",T1433="equivocal"),"疑似",IF(AND(R1433="positive",T1433="positive"),"a",IF(T1433="positive","b",IF(R1433="positive","c","d")))))</x:f>
        <x:v>d</x:v>
      </x:c>
      <x:c r="V1433" s="12"/>
      <x:c r="W1433" s="12" t="str">
        <x:v>negative</x:v>
      </x:c>
      <x:c r="X1433" s="12"/>
      <x:c r="Y1433" s="12" t="str">
        <x:v>negative</x:v>
      </x:c>
      <x:c r="Z1433" s="12" t="str">
        <x:f>IF(OR(W1433="unavailable",Y1433="unavailable"),"不可评价",IF(OR(W1433="equivocal",Y1433="equivocal"),"疑似",IF(AND(W1433="positive",Y1433="positive"),"a",IF(Y1433="positive","b",IF(W1433="positive","c","d")))))</x:f>
        <x:v>d</x:v>
      </x:c>
      <x:c r="AA1433" s="12" t="str">
        <x:f>IF(OR(M1433="unavailable",O1433="unavailable"),"不可评价",IF(AND(OR(M1433="positive",M1433="equivocal"),OR(O1433="positive",O1433="equivocal")),"a",IF(OR(O1433="positive",O1433="equivocal"),"b",IF(OR(M1433="positive",M1433="equivocal"),"c","d"))))</x:f>
        <x:v>d</x:v>
      </x:c>
      <x:c r="AB1433" s="12" t="str">
        <x:f>IF(OR(M1433="unavailable",O1433="unavailable"),"不可评价",IF(AND(M1433="positive",O1433="positive"),"a",IF(O1433="positive","b",IF(M1433="positive","c","d"))))</x:f>
        <x:v>d</x:v>
      </x:c>
      <x:c r="AC1433" s="12" t="str">
        <x:f>IF(OR(R1433="unavailable",T1433="unavailable"),"不可评价",IF(AND(OR(R1433="positive",R1433="equivocal"),OR(T1433="positive",T1433="equivocal")),"a",IF(OR(T1433="positive",T1433="equivocal"),"b",IF(OR(R1433="positive",R1433="equivocal"),"c","d"))))</x:f>
        <x:v>d</x:v>
      </x:c>
      <x:c r="AD1433" s="12" t="str">
        <x:f>IF(OR(R1433="unavailable",T1433="unavailable"),"不可评价",IF(AND(R1433="positive",T1433="positive"),"a",IF(T1433="positive","b",IF(R1433="positive","c","d"))))</x:f>
        <x:v>d</x:v>
      </x:c>
      <x:c r="AE1433" s="12" t="str">
        <x:f>IF(OR(W1433="unavailable",Y1433="unavailable"),"不可评价",IF(AND(OR(W1433="positive",W1433="equivocal"),OR(Y1433="positive",Y1433="equivocal")),"a",IF(OR(Y1433="positive",Y1433="equivocal"),"b",IF(OR(W1433="positive",W1433="equivocal"),"c","d"))))</x:f>
        <x:v>d</x:v>
      </x:c>
      <x:c r="AF1433" s="12" t="str">
        <x:f>IF(OR(W1433="unavailable",Y1433="unavailable"),"不可评价",IF(AND(W1433="positive",Y1433="positive"),"a",IF(Y1433="positive","b",IF(W1433="positive","c","d"))))</x:f>
        <x:v>d</x:v>
      </x:c>
    </x:row>
    <x:row r="1434" ht="24" customHeight="1">
      <x:c r="A1434" s="12" t="str">
        <x:v>13120</x:v>
      </x:c>
      <x:c r="B1434" s="12" t="str">
        <x:v>16856</x:v>
      </x:c>
      <x:c r="C1434" s="21" t="n">
        <x:v>34610.35175925926</x:v>
      </x:c>
      <x:c r="D1434" s="12" t="n">
        <x:v>72</x:v>
      </x:c>
      <x:c r="E1434" s="12" t="n">
        <x:v>0</x:v>
      </x:c>
      <x:c r="F1434" s="12" t="str">
        <x:v>存在</x:v>
      </x:c>
      <x:c r="G1434" s="12" t="n">
        <x:v>1</x:v>
      </x:c>
      <x:c r="H1434" s="12" t="str">
        <x:v>{'NORM': 50.0, 'ABQRS': 0.0, 'SR': 0.0}</x:v>
      </x:c>
      <x:c r="I1434" s="12" t="str">
        <x:v>[('NSR', 100.0), ('NML', 100.0)]</x:v>
      </x:c>
      <x:c r="J1434" s="12" t="str">
        <x:v>ptbxl_database.csv；ecg_id=13120；scp_codes</x:v>
      </x:c>
      <x:c r="K1434" s="12" t="str">
        <x:v>12sl_statements.csv；ecg_id=13120；statements_ext_snomed</x:v>
      </x:c>
      <x:c r="L1434" s="12"/>
      <x:c r="M1434" s="12" t="str">
        <x:v>negative</x:v>
      </x:c>
      <x:c r="N1434" s="12"/>
      <x:c r="O1434" s="12" t="str">
        <x:v>negative</x:v>
      </x:c>
      <x:c r="P1434" s="12" t="str">
        <x:f>IF(OR(M1434="unavailable",O1434="unavailable"),"不可评价",IF(OR(M1434="equivocal",O1434="equivocal"),"疑似",IF(AND(M1434="positive",O1434="positive"),"a",IF(O1434="positive","b",IF(M1434="positive","c","d")))))</x:f>
        <x:v>d</x:v>
      </x:c>
      <x:c r="Q1434" s="12"/>
      <x:c r="R1434" s="12" t="str">
        <x:v>negative</x:v>
      </x:c>
      <x:c r="S1434" s="12"/>
      <x:c r="T1434" s="12" t="str">
        <x:v>negative</x:v>
      </x:c>
      <x:c r="U1434" s="12" t="str">
        <x:f>IF(OR(R1434="unavailable",T1434="unavailable"),"不可评价",IF(OR(R1434="equivocal",T1434="equivocal"),"疑似",IF(AND(R1434="positive",T1434="positive"),"a",IF(T1434="positive","b",IF(R1434="positive","c","d")))))</x:f>
        <x:v>d</x:v>
      </x:c>
      <x:c r="V1434" s="12"/>
      <x:c r="W1434" s="12" t="str">
        <x:v>negative</x:v>
      </x:c>
      <x:c r="X1434" s="12"/>
      <x:c r="Y1434" s="12" t="str">
        <x:v>negative</x:v>
      </x:c>
      <x:c r="Z1434" s="12" t="str">
        <x:f>IF(OR(W1434="unavailable",Y1434="unavailable"),"不可评价",IF(OR(W1434="equivocal",Y1434="equivocal"),"疑似",IF(AND(W1434="positive",Y1434="positive"),"a",IF(Y1434="positive","b",IF(W1434="positive","c","d")))))</x:f>
        <x:v>d</x:v>
      </x:c>
      <x:c r="AA1434" s="12" t="str">
        <x:f>IF(OR(M1434="unavailable",O1434="unavailable"),"不可评价",IF(AND(OR(M1434="positive",M1434="equivocal"),OR(O1434="positive",O1434="equivocal")),"a",IF(OR(O1434="positive",O1434="equivocal"),"b",IF(OR(M1434="positive",M1434="equivocal"),"c","d"))))</x:f>
        <x:v>d</x:v>
      </x:c>
      <x:c r="AB1434" s="12" t="str">
        <x:f>IF(OR(M1434="unavailable",O1434="unavailable"),"不可评价",IF(AND(M1434="positive",O1434="positive"),"a",IF(O1434="positive","b",IF(M1434="positive","c","d"))))</x:f>
        <x:v>d</x:v>
      </x:c>
      <x:c r="AC1434" s="12" t="str">
        <x:f>IF(OR(R1434="unavailable",T1434="unavailable"),"不可评价",IF(AND(OR(R1434="positive",R1434="equivocal"),OR(T1434="positive",T1434="equivocal")),"a",IF(OR(T1434="positive",T1434="equivocal"),"b",IF(OR(R1434="positive",R1434="equivocal"),"c","d"))))</x:f>
        <x:v>d</x:v>
      </x:c>
      <x:c r="AD1434" s="12" t="str">
        <x:f>IF(OR(R1434="unavailable",T1434="unavailable"),"不可评价",IF(AND(R1434="positive",T1434="positive"),"a",IF(T1434="positive","b",IF(R1434="positive","c","d"))))</x:f>
        <x:v>d</x:v>
      </x:c>
      <x:c r="AE1434" s="12" t="str">
        <x:f>IF(OR(W1434="unavailable",Y1434="unavailable"),"不可评价",IF(AND(OR(W1434="positive",W1434="equivocal"),OR(Y1434="positive",Y1434="equivocal")),"a",IF(OR(Y1434="positive",Y1434="equivocal"),"b",IF(OR(W1434="positive",W1434="equivocal"),"c","d"))))</x:f>
        <x:v>d</x:v>
      </x:c>
      <x:c r="AF1434" s="12" t="str">
        <x:f>IF(OR(W1434="unavailable",Y1434="unavailable"),"不可评价",IF(AND(W1434="positive",Y1434="positive"),"a",IF(Y1434="positive","b",IF(W1434="positive","c","d"))))</x:f>
        <x:v>d</x:v>
      </x:c>
    </x:row>
    <x:row r="1435" ht="39" customHeight="1">
      <x:c r="A1435" s="12" t="str">
        <x:v>13122</x:v>
      </x:c>
      <x:c r="B1435" s="12" t="str">
        <x:v>6878</x:v>
      </x:c>
      <x:c r="C1435" s="21" t="n">
        <x:v>34610.546261574076</x:v>
      </x:c>
      <x:c r="D1435" s="12" t="n">
        <x:v>84</x:v>
      </x:c>
      <x:c r="E1435" s="12" t="n">
        <x:v>1</x:v>
      </x:c>
      <x:c r="F1435" s="12" t="str">
        <x:v>未记录</x:v>
      </x:c>
      <x:c r="G1435" s="12" t="n">
        <x:v>1</x:v>
      </x:c>
      <x:c r="H1435" s="12" t="str">
        <x:v>{'LAFB': 100.0, 'LVH': 50.0, 'ISCAL': 100.0, 'SR': 0.0}</x:v>
      </x:c>
      <x:c r="I1435" s="12" t="str">
        <x:v>[('NSR', 100.0), ('LAE', 50.0), ('LAD3', 100.0), ('LVH2', 100.0), ('2ST', 100.0), ('AB', 100.0)]</x:v>
      </x:c>
      <x:c r="J1435" s="12" t="str">
        <x:v>ptbxl_database.csv；ecg_id=13122；scp_codes</x:v>
      </x:c>
      <x:c r="K1435" s="12" t="str">
        <x:v>12sl_statements.csv；ecg_id=13122；statements_ext_snomed</x:v>
      </x:c>
      <x:c r="L1435" s="12"/>
      <x:c r="M1435" s="12" t="str">
        <x:v>negative</x:v>
      </x:c>
      <x:c r="N1435" s="12"/>
      <x:c r="O1435" s="12" t="str">
        <x:v>negative</x:v>
      </x:c>
      <x:c r="P1435" s="12" t="str">
        <x:f>IF(OR(M1435="unavailable",O1435="unavailable"),"不可评价",IF(OR(M1435="equivocal",O1435="equivocal"),"疑似",IF(AND(M1435="positive",O1435="positive"),"a",IF(O1435="positive","b",IF(M1435="positive","c","d")))))</x:f>
        <x:v>d</x:v>
      </x:c>
      <x:c r="Q1435" s="12"/>
      <x:c r="R1435" s="12" t="str">
        <x:v>negative</x:v>
      </x:c>
      <x:c r="S1435" s="12"/>
      <x:c r="T1435" s="12" t="str">
        <x:v>negative</x:v>
      </x:c>
      <x:c r="U1435" s="12" t="str">
        <x:f>IF(OR(R1435="unavailable",T1435="unavailable"),"不可评价",IF(OR(R1435="equivocal",T1435="equivocal"),"疑似",IF(AND(R1435="positive",T1435="positive"),"a",IF(T1435="positive","b",IF(R1435="positive","c","d")))))</x:f>
        <x:v>d</x:v>
      </x:c>
      <x:c r="V1435" s="12"/>
      <x:c r="W1435" s="12" t="str">
        <x:v>negative</x:v>
      </x:c>
      <x:c r="X1435" s="12"/>
      <x:c r="Y1435" s="12" t="str">
        <x:v>negative</x:v>
      </x:c>
      <x:c r="Z1435" s="12" t="str">
        <x:f>IF(OR(W1435="unavailable",Y1435="unavailable"),"不可评价",IF(OR(W1435="equivocal",Y1435="equivocal"),"疑似",IF(AND(W1435="positive",Y1435="positive"),"a",IF(Y1435="positive","b",IF(W1435="positive","c","d")))))</x:f>
        <x:v>d</x:v>
      </x:c>
      <x:c r="AA1435" s="12" t="str">
        <x:f>IF(OR(M1435="unavailable",O1435="unavailable"),"不可评价",IF(AND(OR(M1435="positive",M1435="equivocal"),OR(O1435="positive",O1435="equivocal")),"a",IF(OR(O1435="positive",O1435="equivocal"),"b",IF(OR(M1435="positive",M1435="equivocal"),"c","d"))))</x:f>
        <x:v>d</x:v>
      </x:c>
      <x:c r="AB1435" s="12" t="str">
        <x:f>IF(OR(M1435="unavailable",O1435="unavailable"),"不可评价",IF(AND(M1435="positive",O1435="positive"),"a",IF(O1435="positive","b",IF(M1435="positive","c","d"))))</x:f>
        <x:v>d</x:v>
      </x:c>
      <x:c r="AC1435" s="12" t="str">
        <x:f>IF(OR(R1435="unavailable",T1435="unavailable"),"不可评价",IF(AND(OR(R1435="positive",R1435="equivocal"),OR(T1435="positive",T1435="equivocal")),"a",IF(OR(T1435="positive",T1435="equivocal"),"b",IF(OR(R1435="positive",R1435="equivocal"),"c","d"))))</x:f>
        <x:v>d</x:v>
      </x:c>
      <x:c r="AD1435" s="12" t="str">
        <x:f>IF(OR(R1435="unavailable",T1435="unavailable"),"不可评价",IF(AND(R1435="positive",T1435="positive"),"a",IF(T1435="positive","b",IF(R1435="positive","c","d"))))</x:f>
        <x:v>d</x:v>
      </x:c>
      <x:c r="AE1435" s="12" t="str">
        <x:f>IF(OR(W1435="unavailable",Y1435="unavailable"),"不可评价",IF(AND(OR(W1435="positive",W1435="equivocal"),OR(Y1435="positive",Y1435="equivocal")),"a",IF(OR(Y1435="positive",Y1435="equivocal"),"b",IF(OR(W1435="positive",W1435="equivocal"),"c","d"))))</x:f>
        <x:v>d</x:v>
      </x:c>
      <x:c r="AF1435" s="12" t="str">
        <x:f>IF(OR(W1435="unavailable",Y1435="unavailable"),"不可评价",IF(AND(W1435="positive",Y1435="positive"),"a",IF(Y1435="positive","b",IF(W1435="positive","c","d"))))</x:f>
        <x:v>d</x:v>
      </x:c>
    </x:row>
    <x:row r="1436" ht="24" customHeight="1">
      <x:c r="A1436" s="12" t="str">
        <x:v>13131</x:v>
      </x:c>
      <x:c r="B1436" s="12" t="str">
        <x:v>18608</x:v>
      </x:c>
      <x:c r="C1436" s="21" t="n">
        <x:v>34612.5008912037</x:v>
      </x:c>
      <x:c r="D1436" s="12" t="n">
        <x:v>84</x:v>
      </x:c>
      <x:c r="E1436" s="12" t="n">
        <x:v>0</x:v>
      </x:c>
      <x:c r="F1436" s="12" t="str">
        <x:v>未记录</x:v>
      </x:c>
      <x:c r="G1436" s="12" t="n">
        <x:v>0</x:v>
      </x:c>
      <x:c r="H1436" s="12" t="str">
        <x:v>{'PACE': 100.0}</x:v>
      </x:c>
      <x:c r="I1436" s="12" t="str">
        <x:v>[('VPR', 100.0), ('AB', 100.0)]</x:v>
      </x:c>
      <x:c r="J1436" s="12" t="str">
        <x:v>ptbxl_database.csv；ecg_id=13131；scp_codes</x:v>
      </x:c>
      <x:c r="K1436" s="12" t="str">
        <x:v>12sl_statements.csv；ecg_id=13131；statements_ext_snomed</x:v>
      </x:c>
      <x:c r="L1436" s="12"/>
      <x:c r="M1436" s="12" t="str">
        <x:v>negative</x:v>
      </x:c>
      <x:c r="N1436" s="12"/>
      <x:c r="O1436" s="12" t="str">
        <x:v>negative</x:v>
      </x:c>
      <x:c r="P1436" s="12" t="str">
        <x:f>IF(OR(M1436="unavailable",O1436="unavailable"),"不可评价",IF(OR(M1436="equivocal",O1436="equivocal"),"疑似",IF(AND(M1436="positive",O1436="positive"),"a",IF(O1436="positive","b",IF(M1436="positive","c","d")))))</x:f>
        <x:v>d</x:v>
      </x:c>
      <x:c r="Q1436" s="12"/>
      <x:c r="R1436" s="12" t="str">
        <x:v>negative</x:v>
      </x:c>
      <x:c r="S1436" s="12"/>
      <x:c r="T1436" s="12" t="str">
        <x:v>negative</x:v>
      </x:c>
      <x:c r="U1436" s="12" t="str">
        <x:f>IF(OR(R1436="unavailable",T1436="unavailable"),"不可评价",IF(OR(R1436="equivocal",T1436="equivocal"),"疑似",IF(AND(R1436="positive",T1436="positive"),"a",IF(T1436="positive","b",IF(R1436="positive","c","d")))))</x:f>
        <x:v>d</x:v>
      </x:c>
      <x:c r="V1436" s="12"/>
      <x:c r="W1436" s="12" t="str">
        <x:v>negative</x:v>
      </x:c>
      <x:c r="X1436" s="12"/>
      <x:c r="Y1436" s="12" t="str">
        <x:v>negative</x:v>
      </x:c>
      <x:c r="Z1436" s="12" t="str">
        <x:f>IF(OR(W1436="unavailable",Y1436="unavailable"),"不可评价",IF(OR(W1436="equivocal",Y1436="equivocal"),"疑似",IF(AND(W1436="positive",Y1436="positive"),"a",IF(Y1436="positive","b",IF(W1436="positive","c","d")))))</x:f>
        <x:v>d</x:v>
      </x:c>
      <x:c r="AA1436" s="12" t="str">
        <x:f>IF(OR(M1436="unavailable",O1436="unavailable"),"不可评价",IF(AND(OR(M1436="positive",M1436="equivocal"),OR(O1436="positive",O1436="equivocal")),"a",IF(OR(O1436="positive",O1436="equivocal"),"b",IF(OR(M1436="positive",M1436="equivocal"),"c","d"))))</x:f>
        <x:v>d</x:v>
      </x:c>
      <x:c r="AB1436" s="12" t="str">
        <x:f>IF(OR(M1436="unavailable",O1436="unavailable"),"不可评价",IF(AND(M1436="positive",O1436="positive"),"a",IF(O1436="positive","b",IF(M1436="positive","c","d"))))</x:f>
        <x:v>d</x:v>
      </x:c>
      <x:c r="AC1436" s="12" t="str">
        <x:f>IF(OR(R1436="unavailable",T1436="unavailable"),"不可评价",IF(AND(OR(R1436="positive",R1436="equivocal"),OR(T1436="positive",T1436="equivocal")),"a",IF(OR(T1436="positive",T1436="equivocal"),"b",IF(OR(R1436="positive",R1436="equivocal"),"c","d"))))</x:f>
        <x:v>d</x:v>
      </x:c>
      <x:c r="AD1436" s="12" t="str">
        <x:f>IF(OR(R1436="unavailable",T1436="unavailable"),"不可评价",IF(AND(R1436="positive",T1436="positive"),"a",IF(T1436="positive","b",IF(R1436="positive","c","d"))))</x:f>
        <x:v>d</x:v>
      </x:c>
      <x:c r="AE1436" s="12" t="str">
        <x:f>IF(OR(W1436="unavailable",Y1436="unavailable"),"不可评价",IF(AND(OR(W1436="positive",W1436="equivocal"),OR(Y1436="positive",Y1436="equivocal")),"a",IF(OR(Y1436="positive",Y1436="equivocal"),"b",IF(OR(W1436="positive",W1436="equivocal"),"c","d"))))</x:f>
        <x:v>d</x:v>
      </x:c>
      <x:c r="AF1436" s="12" t="str">
        <x:f>IF(OR(W1436="unavailable",Y1436="unavailable"),"不可评价",IF(AND(W1436="positive",Y1436="positive"),"a",IF(Y1436="positive","b",IF(W1436="positive","c","d"))))</x:f>
        <x:v>d</x:v>
      </x:c>
    </x:row>
    <x:row r="1437" ht="24" customHeight="1">
      <x:c r="A1437" s="12" t="str">
        <x:v>13139</x:v>
      </x:c>
      <x:c r="B1437" s="12" t="str">
        <x:v>14855</x:v>
      </x:c>
      <x:c r="C1437" s="21" t="n">
        <x:v>34612.77989583334</x:v>
      </x:c>
      <x:c r="D1437" s="12" t="n">
        <x:v>65</x:v>
      </x:c>
      <x:c r="E1437" s="12" t="n">
        <x:v>1</x:v>
      </x:c>
      <x:c r="F1437" s="12" t="str">
        <x:v>未记录</x:v>
      </x:c>
      <x:c r="G1437" s="12" t="n">
        <x:v>1</x:v>
      </x:c>
      <x:c r="H1437" s="12" t="str">
        <x:v>{'NST_': 100.0, 'SR': 0.0}</x:v>
      </x:c>
      <x:c r="I1437" s="12" t="str">
        <x:v>[('NSR', 100.0), ('NML', 100.0)]</x:v>
      </x:c>
      <x:c r="J1437" s="12" t="str">
        <x:v>ptbxl_database.csv；ecg_id=13139；scp_codes</x:v>
      </x:c>
      <x:c r="K1437" s="12" t="str">
        <x:v>12sl_statements.csv；ecg_id=13139；statements_ext_snomed</x:v>
      </x:c>
      <x:c r="L1437" s="12"/>
      <x:c r="M1437" s="12" t="str">
        <x:v>negative</x:v>
      </x:c>
      <x:c r="N1437" s="12"/>
      <x:c r="O1437" s="12" t="str">
        <x:v>negative</x:v>
      </x:c>
      <x:c r="P1437" s="12" t="str">
        <x:f>IF(OR(M1437="unavailable",O1437="unavailable"),"不可评价",IF(OR(M1437="equivocal",O1437="equivocal"),"疑似",IF(AND(M1437="positive",O1437="positive"),"a",IF(O1437="positive","b",IF(M1437="positive","c","d")))))</x:f>
        <x:v>d</x:v>
      </x:c>
      <x:c r="Q1437" s="12"/>
      <x:c r="R1437" s="12" t="str">
        <x:v>negative</x:v>
      </x:c>
      <x:c r="S1437" s="12"/>
      <x:c r="T1437" s="12" t="str">
        <x:v>negative</x:v>
      </x:c>
      <x:c r="U1437" s="12" t="str">
        <x:f>IF(OR(R1437="unavailable",T1437="unavailable"),"不可评价",IF(OR(R1437="equivocal",T1437="equivocal"),"疑似",IF(AND(R1437="positive",T1437="positive"),"a",IF(T1437="positive","b",IF(R1437="positive","c","d")))))</x:f>
        <x:v>d</x:v>
      </x:c>
      <x:c r="V1437" s="12"/>
      <x:c r="W1437" s="12" t="str">
        <x:v>negative</x:v>
      </x:c>
      <x:c r="X1437" s="12"/>
      <x:c r="Y1437" s="12" t="str">
        <x:v>negative</x:v>
      </x:c>
      <x:c r="Z1437" s="12" t="str">
        <x:f>IF(OR(W1437="unavailable",Y1437="unavailable"),"不可评价",IF(OR(W1437="equivocal",Y1437="equivocal"),"疑似",IF(AND(W1437="positive",Y1437="positive"),"a",IF(Y1437="positive","b",IF(W1437="positive","c","d")))))</x:f>
        <x:v>d</x:v>
      </x:c>
      <x:c r="AA1437" s="12" t="str">
        <x:f>IF(OR(M1437="unavailable",O1437="unavailable"),"不可评价",IF(AND(OR(M1437="positive",M1437="equivocal"),OR(O1437="positive",O1437="equivocal")),"a",IF(OR(O1437="positive",O1437="equivocal"),"b",IF(OR(M1437="positive",M1437="equivocal"),"c","d"))))</x:f>
        <x:v>d</x:v>
      </x:c>
      <x:c r="AB1437" s="12" t="str">
        <x:f>IF(OR(M1437="unavailable",O1437="unavailable"),"不可评价",IF(AND(M1437="positive",O1437="positive"),"a",IF(O1437="positive","b",IF(M1437="positive","c","d"))))</x:f>
        <x:v>d</x:v>
      </x:c>
      <x:c r="AC1437" s="12" t="str">
        <x:f>IF(OR(R1437="unavailable",T1437="unavailable"),"不可评价",IF(AND(OR(R1437="positive",R1437="equivocal"),OR(T1437="positive",T1437="equivocal")),"a",IF(OR(T1437="positive",T1437="equivocal"),"b",IF(OR(R1437="positive",R1437="equivocal"),"c","d"))))</x:f>
        <x:v>d</x:v>
      </x:c>
      <x:c r="AD1437" s="12" t="str">
        <x:f>IF(OR(R1437="unavailable",T1437="unavailable"),"不可评价",IF(AND(R1437="positive",T1437="positive"),"a",IF(T1437="positive","b",IF(R1437="positive","c","d"))))</x:f>
        <x:v>d</x:v>
      </x:c>
      <x:c r="AE1437" s="12" t="str">
        <x:f>IF(OR(W1437="unavailable",Y1437="unavailable"),"不可评价",IF(AND(OR(W1437="positive",W1437="equivocal"),OR(Y1437="positive",Y1437="equivocal")),"a",IF(OR(Y1437="positive",Y1437="equivocal"),"b",IF(OR(W1437="positive",W1437="equivocal"),"c","d"))))</x:f>
        <x:v>d</x:v>
      </x:c>
      <x:c r="AF1437" s="12" t="str">
        <x:f>IF(OR(W1437="unavailable",Y1437="unavailable"),"不可评价",IF(AND(W1437="positive",Y1437="positive"),"a",IF(Y1437="positive","b",IF(W1437="positive","c","d"))))</x:f>
        <x:v>d</x:v>
      </x:c>
    </x:row>
    <x:row r="1438" ht="24" customHeight="1">
      <x:c r="A1438" s="12" t="str">
        <x:v>13143</x:v>
      </x:c>
      <x:c r="B1438" s="12" t="str">
        <x:v>16307</x:v>
      </x:c>
      <x:c r="C1438" s="21" t="n">
        <x:v>34613.52576388889</x:v>
      </x:c>
      <x:c r="D1438" s="12" t="n">
        <x:v>56</x:v>
      </x:c>
      <x:c r="E1438" s="12" t="n">
        <x:v>1</x:v>
      </x:c>
      <x:c r="F1438" s="12" t="str">
        <x:v>未记录</x:v>
      </x:c>
      <x:c r="G1438" s="12" t="n">
        <x:v>1</x:v>
      </x:c>
      <x:c r="H1438" s="12" t="str">
        <x:v>{'ISCAS': 100.0, 'ISCAL': 100.0, 'STACH': 0.0}</x:v>
      </x:c>
      <x:c r="I1438" s="12" t="str">
        <x:v>[('STACH', 100.0), ('NSTT', 100.0), ('AB', 100.0)]</x:v>
      </x:c>
      <x:c r="J1438" s="12" t="str">
        <x:v>ptbxl_database.csv；ecg_id=13143；scp_codes</x:v>
      </x:c>
      <x:c r="K1438" s="12" t="str">
        <x:v>12sl_statements.csv；ecg_id=13143；statements_ext_snomed</x:v>
      </x:c>
      <x:c r="L1438" s="12"/>
      <x:c r="M1438" s="12" t="str">
        <x:v>negative</x:v>
      </x:c>
      <x:c r="N1438" s="12"/>
      <x:c r="O1438" s="12" t="str">
        <x:v>negative</x:v>
      </x:c>
      <x:c r="P1438" s="12" t="str">
        <x:f>IF(OR(M1438="unavailable",O1438="unavailable"),"不可评价",IF(OR(M1438="equivocal",O1438="equivocal"),"疑似",IF(AND(M1438="positive",O1438="positive"),"a",IF(O1438="positive","b",IF(M1438="positive","c","d")))))</x:f>
        <x:v>d</x:v>
      </x:c>
      <x:c r="Q1438" s="12"/>
      <x:c r="R1438" s="12" t="str">
        <x:v>negative</x:v>
      </x:c>
      <x:c r="S1438" s="12"/>
      <x:c r="T1438" s="12" t="str">
        <x:v>negative</x:v>
      </x:c>
      <x:c r="U1438" s="12" t="str">
        <x:f>IF(OR(R1438="unavailable",T1438="unavailable"),"不可评价",IF(OR(R1438="equivocal",T1438="equivocal"),"疑似",IF(AND(R1438="positive",T1438="positive"),"a",IF(T1438="positive","b",IF(R1438="positive","c","d")))))</x:f>
        <x:v>d</x:v>
      </x:c>
      <x:c r="V1438" s="12"/>
      <x:c r="W1438" s="12" t="str">
        <x:v>negative</x:v>
      </x:c>
      <x:c r="X1438" s="12"/>
      <x:c r="Y1438" s="12" t="str">
        <x:v>negative</x:v>
      </x:c>
      <x:c r="Z1438" s="12" t="str">
        <x:f>IF(OR(W1438="unavailable",Y1438="unavailable"),"不可评价",IF(OR(W1438="equivocal",Y1438="equivocal"),"疑似",IF(AND(W1438="positive",Y1438="positive"),"a",IF(Y1438="positive","b",IF(W1438="positive","c","d")))))</x:f>
        <x:v>d</x:v>
      </x:c>
      <x:c r="AA1438" s="12" t="str">
        <x:f>IF(OR(M1438="unavailable",O1438="unavailable"),"不可评价",IF(AND(OR(M1438="positive",M1438="equivocal"),OR(O1438="positive",O1438="equivocal")),"a",IF(OR(O1438="positive",O1438="equivocal"),"b",IF(OR(M1438="positive",M1438="equivocal"),"c","d"))))</x:f>
        <x:v>d</x:v>
      </x:c>
      <x:c r="AB1438" s="12" t="str">
        <x:f>IF(OR(M1438="unavailable",O1438="unavailable"),"不可评价",IF(AND(M1438="positive",O1438="positive"),"a",IF(O1438="positive","b",IF(M1438="positive","c","d"))))</x:f>
        <x:v>d</x:v>
      </x:c>
      <x:c r="AC1438" s="12" t="str">
        <x:f>IF(OR(R1438="unavailable",T1438="unavailable"),"不可评价",IF(AND(OR(R1438="positive",R1438="equivocal"),OR(T1438="positive",T1438="equivocal")),"a",IF(OR(T1438="positive",T1438="equivocal"),"b",IF(OR(R1438="positive",R1438="equivocal"),"c","d"))))</x:f>
        <x:v>d</x:v>
      </x:c>
      <x:c r="AD1438" s="12" t="str">
        <x:f>IF(OR(R1438="unavailable",T1438="unavailable"),"不可评价",IF(AND(R1438="positive",T1438="positive"),"a",IF(T1438="positive","b",IF(R1438="positive","c","d"))))</x:f>
        <x:v>d</x:v>
      </x:c>
      <x:c r="AE1438" s="12" t="str">
        <x:f>IF(OR(W1438="unavailable",Y1438="unavailable"),"不可评价",IF(AND(OR(W1438="positive",W1438="equivocal"),OR(Y1438="positive",Y1438="equivocal")),"a",IF(OR(Y1438="positive",Y1438="equivocal"),"b",IF(OR(W1438="positive",W1438="equivocal"),"c","d"))))</x:f>
        <x:v>d</x:v>
      </x:c>
      <x:c r="AF1438" s="12" t="str">
        <x:f>IF(OR(W1438="unavailable",Y1438="unavailable"),"不可评价",IF(AND(W1438="positive",Y1438="positive"),"a",IF(Y1438="positive","b",IF(W1438="positive","c","d"))))</x:f>
        <x:v>d</x:v>
      </x:c>
    </x:row>
    <x:row r="1439" ht="24" customHeight="1">
      <x:c r="A1439" s="12" t="str">
        <x:v>13145</x:v>
      </x:c>
      <x:c r="B1439" s="12" t="str">
        <x:v>18250</x:v>
      </x:c>
      <x:c r="C1439" s="21" t="n">
        <x:v>34613.7615625</x:v>
      </x:c>
      <x:c r="D1439" s="12" t="n">
        <x:v>67</x:v>
      </x:c>
      <x:c r="E1439" s="12" t="n">
        <x:v>1</x:v>
      </x:c>
      <x:c r="F1439" s="12" t="str">
        <x:v>未记录</x:v>
      </x:c>
      <x:c r="G1439" s="12" t="n">
        <x:v>1</x:v>
      </x:c>
      <x:c r="H1439" s="12" t="str">
        <x:v>{'NORM': 100.0, 'SR': 0.0}</x:v>
      </x:c>
      <x:c r="I1439" s="12" t="str">
        <x:v>[('NSR', 100.0), ('NML', 100.0)]</x:v>
      </x:c>
      <x:c r="J1439" s="12" t="str">
        <x:v>ptbxl_database.csv；ecg_id=13145；scp_codes</x:v>
      </x:c>
      <x:c r="K1439" s="12" t="str">
        <x:v>12sl_statements.csv；ecg_id=13145；statements_ext_snomed</x:v>
      </x:c>
      <x:c r="L1439" s="12"/>
      <x:c r="M1439" s="12" t="str">
        <x:v>negative</x:v>
      </x:c>
      <x:c r="N1439" s="12"/>
      <x:c r="O1439" s="12" t="str">
        <x:v>negative</x:v>
      </x:c>
      <x:c r="P1439" s="12" t="str">
        <x:f>IF(OR(M1439="unavailable",O1439="unavailable"),"不可评价",IF(OR(M1439="equivocal",O1439="equivocal"),"疑似",IF(AND(M1439="positive",O1439="positive"),"a",IF(O1439="positive","b",IF(M1439="positive","c","d")))))</x:f>
        <x:v>d</x:v>
      </x:c>
      <x:c r="Q1439" s="12"/>
      <x:c r="R1439" s="12" t="str">
        <x:v>negative</x:v>
      </x:c>
      <x:c r="S1439" s="12"/>
      <x:c r="T1439" s="12" t="str">
        <x:v>negative</x:v>
      </x:c>
      <x:c r="U1439" s="12" t="str">
        <x:f>IF(OR(R1439="unavailable",T1439="unavailable"),"不可评价",IF(OR(R1439="equivocal",T1439="equivocal"),"疑似",IF(AND(R1439="positive",T1439="positive"),"a",IF(T1439="positive","b",IF(R1439="positive","c","d")))))</x:f>
        <x:v>d</x:v>
      </x:c>
      <x:c r="V1439" s="12"/>
      <x:c r="W1439" s="12" t="str">
        <x:v>negative</x:v>
      </x:c>
      <x:c r="X1439" s="12"/>
      <x:c r="Y1439" s="12" t="str">
        <x:v>negative</x:v>
      </x:c>
      <x:c r="Z1439" s="12" t="str">
        <x:f>IF(OR(W1439="unavailable",Y1439="unavailable"),"不可评价",IF(OR(W1439="equivocal",Y1439="equivocal"),"疑似",IF(AND(W1439="positive",Y1439="positive"),"a",IF(Y1439="positive","b",IF(W1439="positive","c","d")))))</x:f>
        <x:v>d</x:v>
      </x:c>
      <x:c r="AA1439" s="12" t="str">
        <x:f>IF(OR(M1439="unavailable",O1439="unavailable"),"不可评价",IF(AND(OR(M1439="positive",M1439="equivocal"),OR(O1439="positive",O1439="equivocal")),"a",IF(OR(O1439="positive",O1439="equivocal"),"b",IF(OR(M1439="positive",M1439="equivocal"),"c","d"))))</x:f>
        <x:v>d</x:v>
      </x:c>
      <x:c r="AB1439" s="12" t="str">
        <x:f>IF(OR(M1439="unavailable",O1439="unavailable"),"不可评价",IF(AND(M1439="positive",O1439="positive"),"a",IF(O1439="positive","b",IF(M1439="positive","c","d"))))</x:f>
        <x:v>d</x:v>
      </x:c>
      <x:c r="AC1439" s="12" t="str">
        <x:f>IF(OR(R1439="unavailable",T1439="unavailable"),"不可评价",IF(AND(OR(R1439="positive",R1439="equivocal"),OR(T1439="positive",T1439="equivocal")),"a",IF(OR(T1439="positive",T1439="equivocal"),"b",IF(OR(R1439="positive",R1439="equivocal"),"c","d"))))</x:f>
        <x:v>d</x:v>
      </x:c>
      <x:c r="AD1439" s="12" t="str">
        <x:f>IF(OR(R1439="unavailable",T1439="unavailable"),"不可评价",IF(AND(R1439="positive",T1439="positive"),"a",IF(T1439="positive","b",IF(R1439="positive","c","d"))))</x:f>
        <x:v>d</x:v>
      </x:c>
      <x:c r="AE1439" s="12" t="str">
        <x:f>IF(OR(W1439="unavailable",Y1439="unavailable"),"不可评价",IF(AND(OR(W1439="positive",W1439="equivocal"),OR(Y1439="positive",Y1439="equivocal")),"a",IF(OR(Y1439="positive",Y1439="equivocal"),"b",IF(OR(W1439="positive",W1439="equivocal"),"c","d"))))</x:f>
        <x:v>d</x:v>
      </x:c>
      <x:c r="AF1439" s="12" t="str">
        <x:f>IF(OR(W1439="unavailable",Y1439="unavailable"),"不可评价",IF(AND(W1439="positive",Y1439="positive"),"a",IF(Y1439="positive","b",IF(W1439="positive","c","d"))))</x:f>
        <x:v>d</x:v>
      </x:c>
    </x:row>
    <x:row r="1440" ht="24" customHeight="1">
      <x:c r="A1440" s="12" t="str">
        <x:v>13158</x:v>
      </x:c>
      <x:c r="B1440" s="12" t="str">
        <x:v>8528</x:v>
      </x:c>
      <x:c r="C1440" s="21" t="n">
        <x:v>34616.632106481484</x:v>
      </x:c>
      <x:c r="D1440" s="12" t="n">
        <x:v>84</x:v>
      </x:c>
      <x:c r="E1440" s="12" t="n">
        <x:v>1</x:v>
      </x:c>
      <x:c r="F1440" s="12" t="str">
        <x:v>未记录</x:v>
      </x:c>
      <x:c r="G1440" s="12" t="n">
        <x:v>1</x:v>
      </x:c>
      <x:c r="H1440" s="12" t="str">
        <x:v>{'IMI': 80.0, 'STACH': 0.0}</x:v>
      </x:c>
      <x:c r="I1440" s="12" t="str">
        <x:v>[('EATACH', 100.0), ('PAC', 100.0), ('AB', 100.0)]</x:v>
      </x:c>
      <x:c r="J1440" s="12" t="str">
        <x:v>ptbxl_database.csv；ecg_id=13158；scp_codes</x:v>
      </x:c>
      <x:c r="K1440" s="12" t="str">
        <x:v>12sl_statements.csv；ecg_id=13158；statements_ext_snomed</x:v>
      </x:c>
      <x:c r="L1440" s="12"/>
      <x:c r="M1440" s="12" t="str">
        <x:v>negative</x:v>
      </x:c>
      <x:c r="N1440" s="12"/>
      <x:c r="O1440" s="12" t="str">
        <x:v>negative</x:v>
      </x:c>
      <x:c r="P1440" s="12" t="str">
        <x:f>IF(OR(M1440="unavailable",O1440="unavailable"),"不可评价",IF(OR(M1440="equivocal",O1440="equivocal"),"疑似",IF(AND(M1440="positive",O1440="positive"),"a",IF(O1440="positive","b",IF(M1440="positive","c","d")))))</x:f>
        <x:v>d</x:v>
      </x:c>
      <x:c r="Q1440" s="12"/>
      <x:c r="R1440" s="12" t="str">
        <x:v>negative</x:v>
      </x:c>
      <x:c r="S1440" s="12"/>
      <x:c r="T1440" s="12" t="str">
        <x:v>negative</x:v>
      </x:c>
      <x:c r="U1440" s="12" t="str">
        <x:f>IF(OR(R1440="unavailable",T1440="unavailable"),"不可评价",IF(OR(R1440="equivocal",T1440="equivocal"),"疑似",IF(AND(R1440="positive",T1440="positive"),"a",IF(T1440="positive","b",IF(R1440="positive","c","d")))))</x:f>
        <x:v>d</x:v>
      </x:c>
      <x:c r="V1440" s="12"/>
      <x:c r="W1440" s="12" t="str">
        <x:v>negative</x:v>
      </x:c>
      <x:c r="X1440" s="12"/>
      <x:c r="Y1440" s="12" t="str">
        <x:v>negative</x:v>
      </x:c>
      <x:c r="Z1440" s="12" t="str">
        <x:f>IF(OR(W1440="unavailable",Y1440="unavailable"),"不可评价",IF(OR(W1440="equivocal",Y1440="equivocal"),"疑似",IF(AND(W1440="positive",Y1440="positive"),"a",IF(Y1440="positive","b",IF(W1440="positive","c","d")))))</x:f>
        <x:v>d</x:v>
      </x:c>
      <x:c r="AA1440" s="12" t="str">
        <x:f>IF(OR(M1440="unavailable",O1440="unavailable"),"不可评价",IF(AND(OR(M1440="positive",M1440="equivocal"),OR(O1440="positive",O1440="equivocal")),"a",IF(OR(O1440="positive",O1440="equivocal"),"b",IF(OR(M1440="positive",M1440="equivocal"),"c","d"))))</x:f>
        <x:v>d</x:v>
      </x:c>
      <x:c r="AB1440" s="12" t="str">
        <x:f>IF(OR(M1440="unavailable",O1440="unavailable"),"不可评价",IF(AND(M1440="positive",O1440="positive"),"a",IF(O1440="positive","b",IF(M1440="positive","c","d"))))</x:f>
        <x:v>d</x:v>
      </x:c>
      <x:c r="AC1440" s="12" t="str">
        <x:f>IF(OR(R1440="unavailable",T1440="unavailable"),"不可评价",IF(AND(OR(R1440="positive",R1440="equivocal"),OR(T1440="positive",T1440="equivocal")),"a",IF(OR(T1440="positive",T1440="equivocal"),"b",IF(OR(R1440="positive",R1440="equivocal"),"c","d"))))</x:f>
        <x:v>d</x:v>
      </x:c>
      <x:c r="AD1440" s="12" t="str">
        <x:f>IF(OR(R1440="unavailable",T1440="unavailable"),"不可评价",IF(AND(R1440="positive",T1440="positive"),"a",IF(T1440="positive","b",IF(R1440="positive","c","d"))))</x:f>
        <x:v>d</x:v>
      </x:c>
      <x:c r="AE1440" s="12" t="str">
        <x:f>IF(OR(W1440="unavailable",Y1440="unavailable"),"不可评价",IF(AND(OR(W1440="positive",W1440="equivocal"),OR(Y1440="positive",Y1440="equivocal")),"a",IF(OR(Y1440="positive",Y1440="equivocal"),"b",IF(OR(W1440="positive",W1440="equivocal"),"c","d"))))</x:f>
        <x:v>d</x:v>
      </x:c>
      <x:c r="AF1440" s="12" t="str">
        <x:f>IF(OR(W1440="unavailable",Y1440="unavailable"),"不可评价",IF(AND(W1440="positive",Y1440="positive"),"a",IF(Y1440="positive","b",IF(W1440="positive","c","d"))))</x:f>
        <x:v>d</x:v>
      </x:c>
    </x:row>
    <x:row r="1441" ht="24" customHeight="1">
      <x:c r="A1441" s="12" t="str">
        <x:v>13166</x:v>
      </x:c>
      <x:c r="B1441" s="12" t="str">
        <x:v>13944</x:v>
      </x:c>
      <x:c r="C1441" s="21" t="n">
        <x:v>34617.691666666666</x:v>
      </x:c>
      <x:c r="D1441" s="12" t="n">
        <x:v>89</x:v>
      </x:c>
      <x:c r="E1441" s="12" t="n">
        <x:v>1</x:v>
      </x:c>
      <x:c r="F1441" s="12" t="str">
        <x:v>存在</x:v>
      </x:c>
      <x:c r="G1441" s="12" t="n">
        <x:v>0</x:v>
      </x:c>
      <x:c r="H1441" s="12" t="str">
        <x:v>{'ALMI': 15.0, 'ABQRS': 0.0, 'STACH': 0.0}</x:v>
      </x:c>
      <x:c r="I1441" s="12" t="str">
        <x:v>[('STACH', 100.0), ('NT', 100.0), ('AB', 100.0)]</x:v>
      </x:c>
      <x:c r="J1441" s="12" t="str">
        <x:v>ptbxl_database.csv；ecg_id=13166；scp_codes</x:v>
      </x:c>
      <x:c r="K1441" s="12" t="str">
        <x:v>12sl_statements.csv；ecg_id=13166；statements_ext_snomed</x:v>
      </x:c>
      <x:c r="L1441" s="12"/>
      <x:c r="M1441" s="12" t="str">
        <x:v>negative</x:v>
      </x:c>
      <x:c r="N1441" s="12"/>
      <x:c r="O1441" s="12" t="str">
        <x:v>negative</x:v>
      </x:c>
      <x:c r="P1441" s="12" t="str">
        <x:f>IF(OR(M1441="unavailable",O1441="unavailable"),"不可评价",IF(OR(M1441="equivocal",O1441="equivocal"),"疑似",IF(AND(M1441="positive",O1441="positive"),"a",IF(O1441="positive","b",IF(M1441="positive","c","d")))))</x:f>
        <x:v>d</x:v>
      </x:c>
      <x:c r="Q1441" s="12"/>
      <x:c r="R1441" s="12" t="str">
        <x:v>negative</x:v>
      </x:c>
      <x:c r="S1441" s="12"/>
      <x:c r="T1441" s="12" t="str">
        <x:v>negative</x:v>
      </x:c>
      <x:c r="U1441" s="12" t="str">
        <x:f>IF(OR(R1441="unavailable",T1441="unavailable"),"不可评价",IF(OR(R1441="equivocal",T1441="equivocal"),"疑似",IF(AND(R1441="positive",T1441="positive"),"a",IF(T1441="positive","b",IF(R1441="positive","c","d")))))</x:f>
        <x:v>d</x:v>
      </x:c>
      <x:c r="V1441" s="12"/>
      <x:c r="W1441" s="12" t="str">
        <x:v>negative</x:v>
      </x:c>
      <x:c r="X1441" s="12"/>
      <x:c r="Y1441" s="12" t="str">
        <x:v>negative</x:v>
      </x:c>
      <x:c r="Z1441" s="12" t="str">
        <x:f>IF(OR(W1441="unavailable",Y1441="unavailable"),"不可评价",IF(OR(W1441="equivocal",Y1441="equivocal"),"疑似",IF(AND(W1441="positive",Y1441="positive"),"a",IF(Y1441="positive","b",IF(W1441="positive","c","d")))))</x:f>
        <x:v>d</x:v>
      </x:c>
      <x:c r="AA1441" s="12" t="str">
        <x:f>IF(OR(M1441="unavailable",O1441="unavailable"),"不可评价",IF(AND(OR(M1441="positive",M1441="equivocal"),OR(O1441="positive",O1441="equivocal")),"a",IF(OR(O1441="positive",O1441="equivocal"),"b",IF(OR(M1441="positive",M1441="equivocal"),"c","d"))))</x:f>
        <x:v>d</x:v>
      </x:c>
      <x:c r="AB1441" s="12" t="str">
        <x:f>IF(OR(M1441="unavailable",O1441="unavailable"),"不可评价",IF(AND(M1441="positive",O1441="positive"),"a",IF(O1441="positive","b",IF(M1441="positive","c","d"))))</x:f>
        <x:v>d</x:v>
      </x:c>
      <x:c r="AC1441" s="12" t="str">
        <x:f>IF(OR(R1441="unavailable",T1441="unavailable"),"不可评价",IF(AND(OR(R1441="positive",R1441="equivocal"),OR(T1441="positive",T1441="equivocal")),"a",IF(OR(T1441="positive",T1441="equivocal"),"b",IF(OR(R1441="positive",R1441="equivocal"),"c","d"))))</x:f>
        <x:v>d</x:v>
      </x:c>
      <x:c r="AD1441" s="12" t="str">
        <x:f>IF(OR(R1441="unavailable",T1441="unavailable"),"不可评价",IF(AND(R1441="positive",T1441="positive"),"a",IF(T1441="positive","b",IF(R1441="positive","c","d"))))</x:f>
        <x:v>d</x:v>
      </x:c>
      <x:c r="AE1441" s="12" t="str">
        <x:f>IF(OR(W1441="unavailable",Y1441="unavailable"),"不可评价",IF(AND(OR(W1441="positive",W1441="equivocal"),OR(Y1441="positive",Y1441="equivocal")),"a",IF(OR(Y1441="positive",Y1441="equivocal"),"b",IF(OR(W1441="positive",W1441="equivocal"),"c","d"))))</x:f>
        <x:v>d</x:v>
      </x:c>
      <x:c r="AF1441" s="12" t="str">
        <x:f>IF(OR(W1441="unavailable",Y1441="unavailable"),"不可评价",IF(AND(W1441="positive",Y1441="positive"),"a",IF(Y1441="positive","b",IF(W1441="positive","c","d"))))</x:f>
        <x:v>d</x:v>
      </x:c>
    </x:row>
    <x:row r="1442" ht="24" customHeight="1">
      <x:c r="A1442" s="12" t="str">
        <x:v>13167</x:v>
      </x:c>
      <x:c r="B1442" s="12" t="str">
        <x:v>21794</x:v>
      </x:c>
      <x:c r="C1442" s="21" t="n">
        <x:v>34617.764918981484</x:v>
      </x:c>
      <x:c r="D1442" s="12" t="n">
        <x:v>79</x:v>
      </x:c>
      <x:c r="E1442" s="12" t="n">
        <x:v>1</x:v>
      </x:c>
      <x:c r="F1442" s="12" t="str">
        <x:v>存在</x:v>
      </x:c>
      <x:c r="G1442" s="12" t="n">
        <x:v>1</x:v>
      </x:c>
      <x:c r="H1442" s="12" t="str">
        <x:v>{'IVCD': 100.0}</x:v>
      </x:c>
      <x:c r="I1442" s="12" t="str">
        <x:v>[('SBRAD', 100.0), ('ABR', 100.0)]</x:v>
      </x:c>
      <x:c r="J1442" s="12" t="str">
        <x:v>ptbxl_database.csv；ecg_id=13167；scp_codes</x:v>
      </x:c>
      <x:c r="K1442" s="12" t="str">
        <x:v>12sl_statements.csv；ecg_id=13167；statements_ext_snomed</x:v>
      </x:c>
      <x:c r="L1442" s="12"/>
      <x:c r="M1442" s="12" t="str">
        <x:v>negative</x:v>
      </x:c>
      <x:c r="N1442" s="12"/>
      <x:c r="O1442" s="12" t="str">
        <x:v>negative</x:v>
      </x:c>
      <x:c r="P1442" s="12" t="str">
        <x:f>IF(OR(M1442="unavailable",O1442="unavailable"),"不可评价",IF(OR(M1442="equivocal",O1442="equivocal"),"疑似",IF(AND(M1442="positive",O1442="positive"),"a",IF(O1442="positive","b",IF(M1442="positive","c","d")))))</x:f>
        <x:v>d</x:v>
      </x:c>
      <x:c r="Q1442" s="12"/>
      <x:c r="R1442" s="12" t="str">
        <x:v>negative</x:v>
      </x:c>
      <x:c r="S1442" s="12"/>
      <x:c r="T1442" s="12" t="str">
        <x:v>negative</x:v>
      </x:c>
      <x:c r="U1442" s="12" t="str">
        <x:f>IF(OR(R1442="unavailable",T1442="unavailable"),"不可评价",IF(OR(R1442="equivocal",T1442="equivocal"),"疑似",IF(AND(R1442="positive",T1442="positive"),"a",IF(T1442="positive","b",IF(R1442="positive","c","d")))))</x:f>
        <x:v>d</x:v>
      </x:c>
      <x:c r="V1442" s="12"/>
      <x:c r="W1442" s="12" t="str">
        <x:v>negative</x:v>
      </x:c>
      <x:c r="X1442" s="12"/>
      <x:c r="Y1442" s="12" t="str">
        <x:v>negative</x:v>
      </x:c>
      <x:c r="Z1442" s="12" t="str">
        <x:f>IF(OR(W1442="unavailable",Y1442="unavailable"),"不可评价",IF(OR(W1442="equivocal",Y1442="equivocal"),"疑似",IF(AND(W1442="positive",Y1442="positive"),"a",IF(Y1442="positive","b",IF(W1442="positive","c","d")))))</x:f>
        <x:v>d</x:v>
      </x:c>
      <x:c r="AA1442" s="12" t="str">
        <x:f>IF(OR(M1442="unavailable",O1442="unavailable"),"不可评价",IF(AND(OR(M1442="positive",M1442="equivocal"),OR(O1442="positive",O1442="equivocal")),"a",IF(OR(O1442="positive",O1442="equivocal"),"b",IF(OR(M1442="positive",M1442="equivocal"),"c","d"))))</x:f>
        <x:v>d</x:v>
      </x:c>
      <x:c r="AB1442" s="12" t="str">
        <x:f>IF(OR(M1442="unavailable",O1442="unavailable"),"不可评价",IF(AND(M1442="positive",O1442="positive"),"a",IF(O1442="positive","b",IF(M1442="positive","c","d"))))</x:f>
        <x:v>d</x:v>
      </x:c>
      <x:c r="AC1442" s="12" t="str">
        <x:f>IF(OR(R1442="unavailable",T1442="unavailable"),"不可评价",IF(AND(OR(R1442="positive",R1442="equivocal"),OR(T1442="positive",T1442="equivocal")),"a",IF(OR(T1442="positive",T1442="equivocal"),"b",IF(OR(R1442="positive",R1442="equivocal"),"c","d"))))</x:f>
        <x:v>d</x:v>
      </x:c>
      <x:c r="AD1442" s="12" t="str">
        <x:f>IF(OR(R1442="unavailable",T1442="unavailable"),"不可评价",IF(AND(R1442="positive",T1442="positive"),"a",IF(T1442="positive","b",IF(R1442="positive","c","d"))))</x:f>
        <x:v>d</x:v>
      </x:c>
      <x:c r="AE1442" s="12" t="str">
        <x:f>IF(OR(W1442="unavailable",Y1442="unavailable"),"不可评价",IF(AND(OR(W1442="positive",W1442="equivocal"),OR(Y1442="positive",Y1442="equivocal")),"a",IF(OR(Y1442="positive",Y1442="equivocal"),"b",IF(OR(W1442="positive",W1442="equivocal"),"c","d"))))</x:f>
        <x:v>d</x:v>
      </x:c>
      <x:c r="AF1442" s="12" t="str">
        <x:f>IF(OR(W1442="unavailable",Y1442="unavailable"),"不可评价",IF(AND(W1442="positive",Y1442="positive"),"a",IF(Y1442="positive","b",IF(W1442="positive","c","d"))))</x:f>
        <x:v>d</x:v>
      </x:c>
    </x:row>
    <x:row r="1443" ht="24" customHeight="1">
      <x:c r="A1443" s="12" t="str">
        <x:v>13212</x:v>
      </x:c>
      <x:c r="B1443" s="12" t="str">
        <x:v>16092</x:v>
      </x:c>
      <x:c r="C1443" s="21" t="n">
        <x:v>34625.61170138889</x:v>
      </x:c>
      <x:c r="D1443" s="12" t="n">
        <x:v>34</x:v>
      </x:c>
      <x:c r="E1443" s="12" t="n">
        <x:v>0</x:v>
      </x:c>
      <x:c r="F1443" s="12" t="str">
        <x:v>未记录</x:v>
      </x:c>
      <x:c r="G1443" s="12" t="n">
        <x:v>1</x:v>
      </x:c>
      <x:c r="H1443" s="12" t="str">
        <x:v>{'NORM': 100.0, 'ABQRS': 0.0, 'SR': 0.0}</x:v>
      </x:c>
      <x:c r="I1443" s="12" t="str">
        <x:v>[('NSR', 100.0), ('NML', 100.0)]</x:v>
      </x:c>
      <x:c r="J1443" s="12" t="str">
        <x:v>ptbxl_database.csv；ecg_id=13212；scp_codes</x:v>
      </x:c>
      <x:c r="K1443" s="12" t="str">
        <x:v>12sl_statements.csv；ecg_id=13212；statements_ext_snomed</x:v>
      </x:c>
      <x:c r="L1443" s="12"/>
      <x:c r="M1443" s="12" t="str">
        <x:v>negative</x:v>
      </x:c>
      <x:c r="N1443" s="12"/>
      <x:c r="O1443" s="12" t="str">
        <x:v>negative</x:v>
      </x:c>
      <x:c r="P1443" s="12" t="str">
        <x:f>IF(OR(M1443="unavailable",O1443="unavailable"),"不可评价",IF(OR(M1443="equivocal",O1443="equivocal"),"疑似",IF(AND(M1443="positive",O1443="positive"),"a",IF(O1443="positive","b",IF(M1443="positive","c","d")))))</x:f>
        <x:v>d</x:v>
      </x:c>
      <x:c r="Q1443" s="12"/>
      <x:c r="R1443" s="12" t="str">
        <x:v>negative</x:v>
      </x:c>
      <x:c r="S1443" s="12"/>
      <x:c r="T1443" s="12" t="str">
        <x:v>negative</x:v>
      </x:c>
      <x:c r="U1443" s="12" t="str">
        <x:f>IF(OR(R1443="unavailable",T1443="unavailable"),"不可评价",IF(OR(R1443="equivocal",T1443="equivocal"),"疑似",IF(AND(R1443="positive",T1443="positive"),"a",IF(T1443="positive","b",IF(R1443="positive","c","d")))))</x:f>
        <x:v>d</x:v>
      </x:c>
      <x:c r="V1443" s="12"/>
      <x:c r="W1443" s="12" t="str">
        <x:v>negative</x:v>
      </x:c>
      <x:c r="X1443" s="12"/>
      <x:c r="Y1443" s="12" t="str">
        <x:v>negative</x:v>
      </x:c>
      <x:c r="Z1443" s="12" t="str">
        <x:f>IF(OR(W1443="unavailable",Y1443="unavailable"),"不可评价",IF(OR(W1443="equivocal",Y1443="equivocal"),"疑似",IF(AND(W1443="positive",Y1443="positive"),"a",IF(Y1443="positive","b",IF(W1443="positive","c","d")))))</x:f>
        <x:v>d</x:v>
      </x:c>
      <x:c r="AA1443" s="12" t="str">
        <x:f>IF(OR(M1443="unavailable",O1443="unavailable"),"不可评价",IF(AND(OR(M1443="positive",M1443="equivocal"),OR(O1443="positive",O1443="equivocal")),"a",IF(OR(O1443="positive",O1443="equivocal"),"b",IF(OR(M1443="positive",M1443="equivocal"),"c","d"))))</x:f>
        <x:v>d</x:v>
      </x:c>
      <x:c r="AB1443" s="12" t="str">
        <x:f>IF(OR(M1443="unavailable",O1443="unavailable"),"不可评价",IF(AND(M1443="positive",O1443="positive"),"a",IF(O1443="positive","b",IF(M1443="positive","c","d"))))</x:f>
        <x:v>d</x:v>
      </x:c>
      <x:c r="AC1443" s="12" t="str">
        <x:f>IF(OR(R1443="unavailable",T1443="unavailable"),"不可评价",IF(AND(OR(R1443="positive",R1443="equivocal"),OR(T1443="positive",T1443="equivocal")),"a",IF(OR(T1443="positive",T1443="equivocal"),"b",IF(OR(R1443="positive",R1443="equivocal"),"c","d"))))</x:f>
        <x:v>d</x:v>
      </x:c>
      <x:c r="AD1443" s="12" t="str">
        <x:f>IF(OR(R1443="unavailable",T1443="unavailable"),"不可评价",IF(AND(R1443="positive",T1443="positive"),"a",IF(T1443="positive","b",IF(R1443="positive","c","d"))))</x:f>
        <x:v>d</x:v>
      </x:c>
      <x:c r="AE1443" s="12" t="str">
        <x:f>IF(OR(W1443="unavailable",Y1443="unavailable"),"不可评价",IF(AND(OR(W1443="positive",W1443="equivocal"),OR(Y1443="positive",Y1443="equivocal")),"a",IF(OR(Y1443="positive",Y1443="equivocal"),"b",IF(OR(W1443="positive",W1443="equivocal"),"c","d"))))</x:f>
        <x:v>d</x:v>
      </x:c>
      <x:c r="AF1443" s="12" t="str">
        <x:f>IF(OR(W1443="unavailable",Y1443="unavailable"),"不可评价",IF(AND(W1443="positive",Y1443="positive"),"a",IF(Y1443="positive","b",IF(W1443="positive","c","d"))))</x:f>
        <x:v>d</x:v>
      </x:c>
    </x:row>
    <x:row r="1444" ht="24" customHeight="1">
      <x:c r="A1444" s="12" t="str">
        <x:v>13214</x:v>
      </x:c>
      <x:c r="B1444" s="12" t="str">
        <x:v>10372</x:v>
      </x:c>
      <x:c r="C1444" s="21" t="n">
        <x:v>34625.7087962963</x:v>
      </x:c>
      <x:c r="D1444" s="12" t="n">
        <x:v>62</x:v>
      </x:c>
      <x:c r="E1444" s="12" t="n">
        <x:v>1</x:v>
      </x:c>
      <x:c r="F1444" s="12" t="str">
        <x:v>未记录</x:v>
      </x:c>
      <x:c r="G1444" s="12" t="n">
        <x:v>1</x:v>
      </x:c>
      <x:c r="H1444" s="12" t="str">
        <x:v>{'1AVB': 100.0, 'SBRAD': 0.0}</x:v>
      </x:c>
      <x:c r="I1444" s="12" t="str">
        <x:v>[('SBRAD', 100.0), ('ABR', 100.0)]</x:v>
      </x:c>
      <x:c r="J1444" s="12" t="str">
        <x:v>ptbxl_database.csv；ecg_id=13214；scp_codes</x:v>
      </x:c>
      <x:c r="K1444" s="12" t="str">
        <x:v>12sl_statements.csv；ecg_id=13214；statements_ext_snomed</x:v>
      </x:c>
      <x:c r="L1444" s="12"/>
      <x:c r="M1444" s="12" t="str">
        <x:v>negative</x:v>
      </x:c>
      <x:c r="N1444" s="12"/>
      <x:c r="O1444" s="12" t="str">
        <x:v>negative</x:v>
      </x:c>
      <x:c r="P1444" s="12" t="str">
        <x:f>IF(OR(M1444="unavailable",O1444="unavailable"),"不可评价",IF(OR(M1444="equivocal",O1444="equivocal"),"疑似",IF(AND(M1444="positive",O1444="positive"),"a",IF(O1444="positive","b",IF(M1444="positive","c","d")))))</x:f>
        <x:v>d</x:v>
      </x:c>
      <x:c r="Q1444" s="12"/>
      <x:c r="R1444" s="12" t="str">
        <x:v>negative</x:v>
      </x:c>
      <x:c r="S1444" s="12"/>
      <x:c r="T1444" s="12" t="str">
        <x:v>negative</x:v>
      </x:c>
      <x:c r="U1444" s="12" t="str">
        <x:f>IF(OR(R1444="unavailable",T1444="unavailable"),"不可评价",IF(OR(R1444="equivocal",T1444="equivocal"),"疑似",IF(AND(R1444="positive",T1444="positive"),"a",IF(T1444="positive","b",IF(R1444="positive","c","d")))))</x:f>
        <x:v>d</x:v>
      </x:c>
      <x:c r="V1444" s="12"/>
      <x:c r="W1444" s="12" t="str">
        <x:v>negative</x:v>
      </x:c>
      <x:c r="X1444" s="12"/>
      <x:c r="Y1444" s="12" t="str">
        <x:v>negative</x:v>
      </x:c>
      <x:c r="Z1444" s="12" t="str">
        <x:f>IF(OR(W1444="unavailable",Y1444="unavailable"),"不可评价",IF(OR(W1444="equivocal",Y1444="equivocal"),"疑似",IF(AND(W1444="positive",Y1444="positive"),"a",IF(Y1444="positive","b",IF(W1444="positive","c","d")))))</x:f>
        <x:v>d</x:v>
      </x:c>
      <x:c r="AA1444" s="12" t="str">
        <x:f>IF(OR(M1444="unavailable",O1444="unavailable"),"不可评价",IF(AND(OR(M1444="positive",M1444="equivocal"),OR(O1444="positive",O1444="equivocal")),"a",IF(OR(O1444="positive",O1444="equivocal"),"b",IF(OR(M1444="positive",M1444="equivocal"),"c","d"))))</x:f>
        <x:v>d</x:v>
      </x:c>
      <x:c r="AB1444" s="12" t="str">
        <x:f>IF(OR(M1444="unavailable",O1444="unavailable"),"不可评价",IF(AND(M1444="positive",O1444="positive"),"a",IF(O1444="positive","b",IF(M1444="positive","c","d"))))</x:f>
        <x:v>d</x:v>
      </x:c>
      <x:c r="AC1444" s="12" t="str">
        <x:f>IF(OR(R1444="unavailable",T1444="unavailable"),"不可评价",IF(AND(OR(R1444="positive",R1444="equivocal"),OR(T1444="positive",T1444="equivocal")),"a",IF(OR(T1444="positive",T1444="equivocal"),"b",IF(OR(R1444="positive",R1444="equivocal"),"c","d"))))</x:f>
        <x:v>d</x:v>
      </x:c>
      <x:c r="AD1444" s="12" t="str">
        <x:f>IF(OR(R1444="unavailable",T1444="unavailable"),"不可评价",IF(AND(R1444="positive",T1444="positive"),"a",IF(T1444="positive","b",IF(R1444="positive","c","d"))))</x:f>
        <x:v>d</x:v>
      </x:c>
      <x:c r="AE1444" s="12" t="str">
        <x:f>IF(OR(W1444="unavailable",Y1444="unavailable"),"不可评价",IF(AND(OR(W1444="positive",W1444="equivocal"),OR(Y1444="positive",Y1444="equivocal")),"a",IF(OR(Y1444="positive",Y1444="equivocal"),"b",IF(OR(W1444="positive",W1444="equivocal"),"c","d"))))</x:f>
        <x:v>d</x:v>
      </x:c>
      <x:c r="AF1444" s="12" t="str">
        <x:f>IF(OR(W1444="unavailable",Y1444="unavailable"),"不可评价",IF(AND(W1444="positive",Y1444="positive"),"a",IF(Y1444="positive","b",IF(W1444="positive","c","d"))))</x:f>
        <x:v>d</x:v>
      </x:c>
    </x:row>
    <x:row r="1445" ht="24" customHeight="1">
      <x:c r="A1445" s="12" t="str">
        <x:v>13227</x:v>
      </x:c>
      <x:c r="B1445" s="12" t="str">
        <x:v>15567</x:v>
      </x:c>
      <x:c r="C1445" s="21" t="n">
        <x:v>34627.73857638889</x:v>
      </x:c>
      <x:c r="D1445" s="12" t="n">
        <x:v>78</x:v>
      </x:c>
      <x:c r="E1445" s="12" t="n">
        <x:v>0</x:v>
      </x:c>
      <x:c r="F1445" s="12" t="str">
        <x:v>未记录</x:v>
      </x:c>
      <x:c r="G1445" s="12" t="n">
        <x:v>1</x:v>
      </x:c>
      <x:c r="H1445" s="12" t="str">
        <x:v>{'ASMI': 100.0, 'ANEUR': 50.0, 'ABQRS': 0.0, 'SR': 0.0}</x:v>
      </x:c>
      <x:c r="I1445" s="12" t="str">
        <x:v>[('NSR', 100.0), ('SMI;AU', 100.0), ('ST&amp;', 100.0), ('LT', 100.0), ('AB', 100.0)]</x:v>
      </x:c>
      <x:c r="J1445" s="12" t="str">
        <x:v>ptbxl_database.csv；ecg_id=13227；scp_codes</x:v>
      </x:c>
      <x:c r="K1445" s="12" t="str">
        <x:v>12sl_statements.csv；ecg_id=13227；statements_ext_snomed</x:v>
      </x:c>
      <x:c r="L1445" s="12"/>
      <x:c r="M1445" s="12" t="str">
        <x:v>negative</x:v>
      </x:c>
      <x:c r="N1445" s="12"/>
      <x:c r="O1445" s="12" t="str">
        <x:v>negative</x:v>
      </x:c>
      <x:c r="P1445" s="12" t="str">
        <x:f>IF(OR(M1445="unavailable",O1445="unavailable"),"不可评价",IF(OR(M1445="equivocal",O1445="equivocal"),"疑似",IF(AND(M1445="positive",O1445="positive"),"a",IF(O1445="positive","b",IF(M1445="positive","c","d")))))</x:f>
        <x:v>d</x:v>
      </x:c>
      <x:c r="Q1445" s="12"/>
      <x:c r="R1445" s="12" t="str">
        <x:v>negative</x:v>
      </x:c>
      <x:c r="S1445" s="12"/>
      <x:c r="T1445" s="12" t="str">
        <x:v>negative</x:v>
      </x:c>
      <x:c r="U1445" s="12" t="str">
        <x:f>IF(OR(R1445="unavailable",T1445="unavailable"),"不可评价",IF(OR(R1445="equivocal",T1445="equivocal"),"疑似",IF(AND(R1445="positive",T1445="positive"),"a",IF(T1445="positive","b",IF(R1445="positive","c","d")))))</x:f>
        <x:v>d</x:v>
      </x:c>
      <x:c r="V1445" s="12"/>
      <x:c r="W1445" s="12" t="str">
        <x:v>negative</x:v>
      </x:c>
      <x:c r="X1445" s="12"/>
      <x:c r="Y1445" s="12" t="str">
        <x:v>negative</x:v>
      </x:c>
      <x:c r="Z1445" s="12" t="str">
        <x:f>IF(OR(W1445="unavailable",Y1445="unavailable"),"不可评价",IF(OR(W1445="equivocal",Y1445="equivocal"),"疑似",IF(AND(W1445="positive",Y1445="positive"),"a",IF(Y1445="positive","b",IF(W1445="positive","c","d")))))</x:f>
        <x:v>d</x:v>
      </x:c>
      <x:c r="AA1445" s="12" t="str">
        <x:f>IF(OR(M1445="unavailable",O1445="unavailable"),"不可评价",IF(AND(OR(M1445="positive",M1445="equivocal"),OR(O1445="positive",O1445="equivocal")),"a",IF(OR(O1445="positive",O1445="equivocal"),"b",IF(OR(M1445="positive",M1445="equivocal"),"c","d"))))</x:f>
        <x:v>d</x:v>
      </x:c>
      <x:c r="AB1445" s="12" t="str">
        <x:f>IF(OR(M1445="unavailable",O1445="unavailable"),"不可评价",IF(AND(M1445="positive",O1445="positive"),"a",IF(O1445="positive","b",IF(M1445="positive","c","d"))))</x:f>
        <x:v>d</x:v>
      </x:c>
      <x:c r="AC1445" s="12" t="str">
        <x:f>IF(OR(R1445="unavailable",T1445="unavailable"),"不可评价",IF(AND(OR(R1445="positive",R1445="equivocal"),OR(T1445="positive",T1445="equivocal")),"a",IF(OR(T1445="positive",T1445="equivocal"),"b",IF(OR(R1445="positive",R1445="equivocal"),"c","d"))))</x:f>
        <x:v>d</x:v>
      </x:c>
      <x:c r="AD1445" s="12" t="str">
        <x:f>IF(OR(R1445="unavailable",T1445="unavailable"),"不可评价",IF(AND(R1445="positive",T1445="positive"),"a",IF(T1445="positive","b",IF(R1445="positive","c","d"))))</x:f>
        <x:v>d</x:v>
      </x:c>
      <x:c r="AE1445" s="12" t="str">
        <x:f>IF(OR(W1445="unavailable",Y1445="unavailable"),"不可评价",IF(AND(OR(W1445="positive",W1445="equivocal"),OR(Y1445="positive",Y1445="equivocal")),"a",IF(OR(Y1445="positive",Y1445="equivocal"),"b",IF(OR(W1445="positive",W1445="equivocal"),"c","d"))))</x:f>
        <x:v>d</x:v>
      </x:c>
      <x:c r="AF1445" s="12" t="str">
        <x:f>IF(OR(W1445="unavailable",Y1445="unavailable"),"不可评价",IF(AND(W1445="positive",Y1445="positive"),"a",IF(Y1445="positive","b",IF(W1445="positive","c","d"))))</x:f>
        <x:v>d</x:v>
      </x:c>
    </x:row>
    <x:row r="1446" ht="24" customHeight="1">
      <x:c r="A1446" s="12" t="str">
        <x:v>13233</x:v>
      </x:c>
      <x:c r="B1446" s="12" t="str">
        <x:v>13648</x:v>
      </x:c>
      <x:c r="C1446" s="21" t="n">
        <x:v>34630.52966435185</x:v>
      </x:c>
      <x:c r="D1446" s="12" t="n">
        <x:v>59</x:v>
      </x:c>
      <x:c r="E1446" s="12" t="n">
        <x:v>0</x:v>
      </x:c>
      <x:c r="F1446" s="12" t="str">
        <x:v>未记录</x:v>
      </x:c>
      <x:c r="G1446" s="12" t="n">
        <x:v>1</x:v>
      </x:c>
      <x:c r="H1446" s="12" t="str">
        <x:v>{'ASMI': 15.0, 'LVH': 50.0, 'ISC_': 100.0, 'SR': 0.0}</x:v>
      </x:c>
      <x:c r="I1446" s="12" t="str">
        <x:v>[('NSR', 100.0), ('LVH2', 100.0), ('2ST', 100.0), ('AB', 100.0)]</x:v>
      </x:c>
      <x:c r="J1446" s="12" t="str">
        <x:v>ptbxl_database.csv；ecg_id=13233；scp_codes</x:v>
      </x:c>
      <x:c r="K1446" s="12" t="str">
        <x:v>12sl_statements.csv；ecg_id=13233；statements_ext_snomed</x:v>
      </x:c>
      <x:c r="L1446" s="12"/>
      <x:c r="M1446" s="12" t="str">
        <x:v>negative</x:v>
      </x:c>
      <x:c r="N1446" s="12"/>
      <x:c r="O1446" s="12" t="str">
        <x:v>negative</x:v>
      </x:c>
      <x:c r="P1446" s="12" t="str">
        <x:f>IF(OR(M1446="unavailable",O1446="unavailable"),"不可评价",IF(OR(M1446="equivocal",O1446="equivocal"),"疑似",IF(AND(M1446="positive",O1446="positive"),"a",IF(O1446="positive","b",IF(M1446="positive","c","d")))))</x:f>
        <x:v>d</x:v>
      </x:c>
      <x:c r="Q1446" s="12"/>
      <x:c r="R1446" s="12" t="str">
        <x:v>negative</x:v>
      </x:c>
      <x:c r="S1446" s="12"/>
      <x:c r="T1446" s="12" t="str">
        <x:v>negative</x:v>
      </x:c>
      <x:c r="U1446" s="12" t="str">
        <x:f>IF(OR(R1446="unavailable",T1446="unavailable"),"不可评价",IF(OR(R1446="equivocal",T1446="equivocal"),"疑似",IF(AND(R1446="positive",T1446="positive"),"a",IF(T1446="positive","b",IF(R1446="positive","c","d")))))</x:f>
        <x:v>d</x:v>
      </x:c>
      <x:c r="V1446" s="12"/>
      <x:c r="W1446" s="12" t="str">
        <x:v>negative</x:v>
      </x:c>
      <x:c r="X1446" s="12"/>
      <x:c r="Y1446" s="12" t="str">
        <x:v>negative</x:v>
      </x:c>
      <x:c r="Z1446" s="12" t="str">
        <x:f>IF(OR(W1446="unavailable",Y1446="unavailable"),"不可评价",IF(OR(W1446="equivocal",Y1446="equivocal"),"疑似",IF(AND(W1446="positive",Y1446="positive"),"a",IF(Y1446="positive","b",IF(W1446="positive","c","d")))))</x:f>
        <x:v>d</x:v>
      </x:c>
      <x:c r="AA1446" s="12" t="str">
        <x:f>IF(OR(M1446="unavailable",O1446="unavailable"),"不可评价",IF(AND(OR(M1446="positive",M1446="equivocal"),OR(O1446="positive",O1446="equivocal")),"a",IF(OR(O1446="positive",O1446="equivocal"),"b",IF(OR(M1446="positive",M1446="equivocal"),"c","d"))))</x:f>
        <x:v>d</x:v>
      </x:c>
      <x:c r="AB1446" s="12" t="str">
        <x:f>IF(OR(M1446="unavailable",O1446="unavailable"),"不可评价",IF(AND(M1446="positive",O1446="positive"),"a",IF(O1446="positive","b",IF(M1446="positive","c","d"))))</x:f>
        <x:v>d</x:v>
      </x:c>
      <x:c r="AC1446" s="12" t="str">
        <x:f>IF(OR(R1446="unavailable",T1446="unavailable"),"不可评价",IF(AND(OR(R1446="positive",R1446="equivocal"),OR(T1446="positive",T1446="equivocal")),"a",IF(OR(T1446="positive",T1446="equivocal"),"b",IF(OR(R1446="positive",R1446="equivocal"),"c","d"))))</x:f>
        <x:v>d</x:v>
      </x:c>
      <x:c r="AD1446" s="12" t="str">
        <x:f>IF(OR(R1446="unavailable",T1446="unavailable"),"不可评价",IF(AND(R1446="positive",T1446="positive"),"a",IF(T1446="positive","b",IF(R1446="positive","c","d"))))</x:f>
        <x:v>d</x:v>
      </x:c>
      <x:c r="AE1446" s="12" t="str">
        <x:f>IF(OR(W1446="unavailable",Y1446="unavailable"),"不可评价",IF(AND(OR(W1446="positive",W1446="equivocal"),OR(Y1446="positive",Y1446="equivocal")),"a",IF(OR(Y1446="positive",Y1446="equivocal"),"b",IF(OR(W1446="positive",W1446="equivocal"),"c","d"))))</x:f>
        <x:v>d</x:v>
      </x:c>
      <x:c r="AF1446" s="12" t="str">
        <x:f>IF(OR(W1446="unavailable",Y1446="unavailable"),"不可评价",IF(AND(W1446="positive",Y1446="positive"),"a",IF(Y1446="positive","b",IF(W1446="positive","c","d"))))</x:f>
        <x:v>d</x:v>
      </x:c>
    </x:row>
    <x:row r="1447" ht="24" customHeight="1">
      <x:c r="A1447" s="12" t="str">
        <x:v>13238</x:v>
      </x:c>
      <x:c r="B1447" s="12" t="str">
        <x:v>8701</x:v>
      </x:c>
      <x:c r="C1447" s="21" t="n">
        <x:v>34631.529490740744</x:v>
      </x:c>
      <x:c r="D1447" s="12" t="n">
        <x:v>300</x:v>
      </x:c>
      <x:c r="E1447" s="12" t="n">
        <x:v>1</x:v>
      </x:c>
      <x:c r="F1447" s="12" t="str">
        <x:v>未记录</x:v>
      </x:c>
      <x:c r="G1447" s="12" t="n">
        <x:v>1</x:v>
      </x:c>
      <x:c r="H1447" s="12" t="str">
        <x:v>{'NST_': 100.0}</x:v>
      </x:c>
      <x:c r="I1447" s="12" t="str">
        <x:v>[('STACH', 100.0), ('ABR', 100.0)]</x:v>
      </x:c>
      <x:c r="J1447" s="12" t="str">
        <x:v>ptbxl_database.csv；ecg_id=13238；scp_codes</x:v>
      </x:c>
      <x:c r="K1447" s="12" t="str">
        <x:v>12sl_statements.csv；ecg_id=13238；statements_ext_snomed</x:v>
      </x:c>
      <x:c r="L1447" s="12"/>
      <x:c r="M1447" s="12" t="str">
        <x:v>negative</x:v>
      </x:c>
      <x:c r="N1447" s="12"/>
      <x:c r="O1447" s="12" t="str">
        <x:v>negative</x:v>
      </x:c>
      <x:c r="P1447" s="12" t="str">
        <x:f>IF(OR(M1447="unavailable",O1447="unavailable"),"不可评价",IF(OR(M1447="equivocal",O1447="equivocal"),"疑似",IF(AND(M1447="positive",O1447="positive"),"a",IF(O1447="positive","b",IF(M1447="positive","c","d")))))</x:f>
        <x:v>d</x:v>
      </x:c>
      <x:c r="Q1447" s="12"/>
      <x:c r="R1447" s="12" t="str">
        <x:v>negative</x:v>
      </x:c>
      <x:c r="S1447" s="12"/>
      <x:c r="T1447" s="12" t="str">
        <x:v>negative</x:v>
      </x:c>
      <x:c r="U1447" s="12" t="str">
        <x:f>IF(OR(R1447="unavailable",T1447="unavailable"),"不可评价",IF(OR(R1447="equivocal",T1447="equivocal"),"疑似",IF(AND(R1447="positive",T1447="positive"),"a",IF(T1447="positive","b",IF(R1447="positive","c","d")))))</x:f>
        <x:v>d</x:v>
      </x:c>
      <x:c r="V1447" s="12"/>
      <x:c r="W1447" s="12" t="str">
        <x:v>negative</x:v>
      </x:c>
      <x:c r="X1447" s="12"/>
      <x:c r="Y1447" s="12" t="str">
        <x:v>negative</x:v>
      </x:c>
      <x:c r="Z1447" s="12" t="str">
        <x:f>IF(OR(W1447="unavailable",Y1447="unavailable"),"不可评价",IF(OR(W1447="equivocal",Y1447="equivocal"),"疑似",IF(AND(W1447="positive",Y1447="positive"),"a",IF(Y1447="positive","b",IF(W1447="positive","c","d")))))</x:f>
        <x:v>d</x:v>
      </x:c>
      <x:c r="AA1447" s="12" t="str">
        <x:f>IF(OR(M1447="unavailable",O1447="unavailable"),"不可评价",IF(AND(OR(M1447="positive",M1447="equivocal"),OR(O1447="positive",O1447="equivocal")),"a",IF(OR(O1447="positive",O1447="equivocal"),"b",IF(OR(M1447="positive",M1447="equivocal"),"c","d"))))</x:f>
        <x:v>d</x:v>
      </x:c>
      <x:c r="AB1447" s="12" t="str">
        <x:f>IF(OR(M1447="unavailable",O1447="unavailable"),"不可评价",IF(AND(M1447="positive",O1447="positive"),"a",IF(O1447="positive","b",IF(M1447="positive","c","d"))))</x:f>
        <x:v>d</x:v>
      </x:c>
      <x:c r="AC1447" s="12" t="str">
        <x:f>IF(OR(R1447="unavailable",T1447="unavailable"),"不可评价",IF(AND(OR(R1447="positive",R1447="equivocal"),OR(T1447="positive",T1447="equivocal")),"a",IF(OR(T1447="positive",T1447="equivocal"),"b",IF(OR(R1447="positive",R1447="equivocal"),"c","d"))))</x:f>
        <x:v>d</x:v>
      </x:c>
      <x:c r="AD1447" s="12" t="str">
        <x:f>IF(OR(R1447="unavailable",T1447="unavailable"),"不可评价",IF(AND(R1447="positive",T1447="positive"),"a",IF(T1447="positive","b",IF(R1447="positive","c","d"))))</x:f>
        <x:v>d</x:v>
      </x:c>
      <x:c r="AE1447" s="12" t="str">
        <x:f>IF(OR(W1447="unavailable",Y1447="unavailable"),"不可评价",IF(AND(OR(W1447="positive",W1447="equivocal"),OR(Y1447="positive",Y1447="equivocal")),"a",IF(OR(Y1447="positive",Y1447="equivocal"),"b",IF(OR(W1447="positive",W1447="equivocal"),"c","d"))))</x:f>
        <x:v>d</x:v>
      </x:c>
      <x:c r="AF1447" s="12" t="str">
        <x:f>IF(OR(W1447="unavailable",Y1447="unavailable"),"不可评价",IF(AND(W1447="positive",Y1447="positive"),"a",IF(Y1447="positive","b",IF(W1447="positive","c","d"))))</x:f>
        <x:v>d</x:v>
      </x:c>
    </x:row>
    <x:row r="1448" ht="39" customHeight="1">
      <x:c r="A1448" s="12" t="str">
        <x:v>13248</x:v>
      </x:c>
      <x:c r="B1448" s="12" t="str">
        <x:v>11496</x:v>
      </x:c>
      <x:c r="C1448" s="21" t="n">
        <x:v>34633.426516203705</x:v>
      </x:c>
      <x:c r="D1448" s="12" t="n">
        <x:v>76</x:v>
      </x:c>
      <x:c r="E1448" s="12" t="n">
        <x:v>0</x:v>
      </x:c>
      <x:c r="F1448" s="12" t="str">
        <x:v>存在</x:v>
      </x:c>
      <x:c r="G1448" s="12" t="n">
        <x:v>1</x:v>
      </x:c>
      <x:c r="H1448" s="12" t="str">
        <x:v>{'IRBBB': 100.0, 'ISCAL': 100.0, 'SR': 0.0}</x:v>
      </x:c>
      <x:c r="I1448" s="12" t="str">
        <x:v>[('SRTH', 100.0), ('MSAR', 100.0), ('IRBBB', 100.0), ('ST&amp;', 100.0), ('ILT', 100.0), ('AB', 100.0)]</x:v>
      </x:c>
      <x:c r="J1448" s="12" t="str">
        <x:v>ptbxl_database.csv；ecg_id=13248；scp_codes</x:v>
      </x:c>
      <x:c r="K1448" s="12" t="str">
        <x:v>12sl_statements.csv；ecg_id=13248；statements_ext_snomed</x:v>
      </x:c>
      <x:c r="L1448" s="12"/>
      <x:c r="M1448" s="12" t="str">
        <x:v>negative</x:v>
      </x:c>
      <x:c r="N1448" s="12"/>
      <x:c r="O1448" s="12" t="str">
        <x:v>negative</x:v>
      </x:c>
      <x:c r="P1448" s="12" t="str">
        <x:f>IF(OR(M1448="unavailable",O1448="unavailable"),"不可评价",IF(OR(M1448="equivocal",O1448="equivocal"),"疑似",IF(AND(M1448="positive",O1448="positive"),"a",IF(O1448="positive","b",IF(M1448="positive","c","d")))))</x:f>
        <x:v>d</x:v>
      </x:c>
      <x:c r="Q1448" s="12"/>
      <x:c r="R1448" s="12" t="str">
        <x:v>negative</x:v>
      </x:c>
      <x:c r="S1448" s="12"/>
      <x:c r="T1448" s="12" t="str">
        <x:v>negative</x:v>
      </x:c>
      <x:c r="U1448" s="12" t="str">
        <x:f>IF(OR(R1448="unavailable",T1448="unavailable"),"不可评价",IF(OR(R1448="equivocal",T1448="equivocal"),"疑似",IF(AND(R1448="positive",T1448="positive"),"a",IF(T1448="positive","b",IF(R1448="positive","c","d")))))</x:f>
        <x:v>d</x:v>
      </x:c>
      <x:c r="V1448" s="12"/>
      <x:c r="W1448" s="12" t="str">
        <x:v>negative</x:v>
      </x:c>
      <x:c r="X1448" s="12"/>
      <x:c r="Y1448" s="12" t="str">
        <x:v>negative</x:v>
      </x:c>
      <x:c r="Z1448" s="12" t="str">
        <x:f>IF(OR(W1448="unavailable",Y1448="unavailable"),"不可评价",IF(OR(W1448="equivocal",Y1448="equivocal"),"疑似",IF(AND(W1448="positive",Y1448="positive"),"a",IF(Y1448="positive","b",IF(W1448="positive","c","d")))))</x:f>
        <x:v>d</x:v>
      </x:c>
      <x:c r="AA1448" s="12" t="str">
        <x:f>IF(OR(M1448="unavailable",O1448="unavailable"),"不可评价",IF(AND(OR(M1448="positive",M1448="equivocal"),OR(O1448="positive",O1448="equivocal")),"a",IF(OR(O1448="positive",O1448="equivocal"),"b",IF(OR(M1448="positive",M1448="equivocal"),"c","d"))))</x:f>
        <x:v>d</x:v>
      </x:c>
      <x:c r="AB1448" s="12" t="str">
        <x:f>IF(OR(M1448="unavailable",O1448="unavailable"),"不可评价",IF(AND(M1448="positive",O1448="positive"),"a",IF(O1448="positive","b",IF(M1448="positive","c","d"))))</x:f>
        <x:v>d</x:v>
      </x:c>
      <x:c r="AC1448" s="12" t="str">
        <x:f>IF(OR(R1448="unavailable",T1448="unavailable"),"不可评价",IF(AND(OR(R1448="positive",R1448="equivocal"),OR(T1448="positive",T1448="equivocal")),"a",IF(OR(T1448="positive",T1448="equivocal"),"b",IF(OR(R1448="positive",R1448="equivocal"),"c","d"))))</x:f>
        <x:v>d</x:v>
      </x:c>
      <x:c r="AD1448" s="12" t="str">
        <x:f>IF(OR(R1448="unavailable",T1448="unavailable"),"不可评价",IF(AND(R1448="positive",T1448="positive"),"a",IF(T1448="positive","b",IF(R1448="positive","c","d"))))</x:f>
        <x:v>d</x:v>
      </x:c>
      <x:c r="AE1448" s="12" t="str">
        <x:f>IF(OR(W1448="unavailable",Y1448="unavailable"),"不可评价",IF(AND(OR(W1448="positive",W1448="equivocal"),OR(Y1448="positive",Y1448="equivocal")),"a",IF(OR(Y1448="positive",Y1448="equivocal"),"b",IF(OR(W1448="positive",W1448="equivocal"),"c","d"))))</x:f>
        <x:v>d</x:v>
      </x:c>
      <x:c r="AF1448" s="12" t="str">
        <x:f>IF(OR(W1448="unavailable",Y1448="unavailable"),"不可评价",IF(AND(W1448="positive",Y1448="positive"),"a",IF(Y1448="positive","b",IF(W1448="positive","c","d"))))</x:f>
        <x:v>d</x:v>
      </x:c>
    </x:row>
    <x:row r="1449" ht="24" customHeight="1">
      <x:c r="A1449" s="12" t="str">
        <x:v>13267</x:v>
      </x:c>
      <x:c r="B1449" s="12" t="str">
        <x:v>10955</x:v>
      </x:c>
      <x:c r="C1449" s="21" t="n">
        <x:v>34638.669074074074</x:v>
      </x:c>
      <x:c r="D1449" s="12" t="n">
        <x:v>46</x:v>
      </x:c>
      <x:c r="E1449" s="12" t="n">
        <x:v>0</x:v>
      </x:c>
      <x:c r="F1449" s="12" t="str">
        <x:v>未记录</x:v>
      </x:c>
      <x:c r="G1449" s="12" t="n">
        <x:v>1</x:v>
      </x:c>
      <x:c r="H1449" s="12" t="str">
        <x:v>{'NORM': 50.0, 'ABQRS': 0.0, 'SR': 0.0}</x:v>
      </x:c>
      <x:c r="I1449" s="12" t="str">
        <x:v>[('NSR', 100.0), ('NML', 100.0)]</x:v>
      </x:c>
      <x:c r="J1449" s="12" t="str">
        <x:v>ptbxl_database.csv；ecg_id=13267；scp_codes</x:v>
      </x:c>
      <x:c r="K1449" s="12" t="str">
        <x:v>12sl_statements.csv；ecg_id=13267；statements_ext_snomed</x:v>
      </x:c>
      <x:c r="L1449" s="12"/>
      <x:c r="M1449" s="12" t="str">
        <x:v>negative</x:v>
      </x:c>
      <x:c r="N1449" s="12"/>
      <x:c r="O1449" s="12" t="str">
        <x:v>negative</x:v>
      </x:c>
      <x:c r="P1449" s="12" t="str">
        <x:f>IF(OR(M1449="unavailable",O1449="unavailable"),"不可评价",IF(OR(M1449="equivocal",O1449="equivocal"),"疑似",IF(AND(M1449="positive",O1449="positive"),"a",IF(O1449="positive","b",IF(M1449="positive","c","d")))))</x:f>
        <x:v>d</x:v>
      </x:c>
      <x:c r="Q1449" s="12"/>
      <x:c r="R1449" s="12" t="str">
        <x:v>negative</x:v>
      </x:c>
      <x:c r="S1449" s="12"/>
      <x:c r="T1449" s="12" t="str">
        <x:v>negative</x:v>
      </x:c>
      <x:c r="U1449" s="12" t="str">
        <x:f>IF(OR(R1449="unavailable",T1449="unavailable"),"不可评价",IF(OR(R1449="equivocal",T1449="equivocal"),"疑似",IF(AND(R1449="positive",T1449="positive"),"a",IF(T1449="positive","b",IF(R1449="positive","c","d")))))</x:f>
        <x:v>d</x:v>
      </x:c>
      <x:c r="V1449" s="12"/>
      <x:c r="W1449" s="12" t="str">
        <x:v>negative</x:v>
      </x:c>
      <x:c r="X1449" s="12"/>
      <x:c r="Y1449" s="12" t="str">
        <x:v>negative</x:v>
      </x:c>
      <x:c r="Z1449" s="12" t="str">
        <x:f>IF(OR(W1449="unavailable",Y1449="unavailable"),"不可评价",IF(OR(W1449="equivocal",Y1449="equivocal"),"疑似",IF(AND(W1449="positive",Y1449="positive"),"a",IF(Y1449="positive","b",IF(W1449="positive","c","d")))))</x:f>
        <x:v>d</x:v>
      </x:c>
      <x:c r="AA1449" s="12" t="str">
        <x:f>IF(OR(M1449="unavailable",O1449="unavailable"),"不可评价",IF(AND(OR(M1449="positive",M1449="equivocal"),OR(O1449="positive",O1449="equivocal")),"a",IF(OR(O1449="positive",O1449="equivocal"),"b",IF(OR(M1449="positive",M1449="equivocal"),"c","d"))))</x:f>
        <x:v>d</x:v>
      </x:c>
      <x:c r="AB1449" s="12" t="str">
        <x:f>IF(OR(M1449="unavailable",O1449="unavailable"),"不可评价",IF(AND(M1449="positive",O1449="positive"),"a",IF(O1449="positive","b",IF(M1449="positive","c","d"))))</x:f>
        <x:v>d</x:v>
      </x:c>
      <x:c r="AC1449" s="12" t="str">
        <x:f>IF(OR(R1449="unavailable",T1449="unavailable"),"不可评价",IF(AND(OR(R1449="positive",R1449="equivocal"),OR(T1449="positive",T1449="equivocal")),"a",IF(OR(T1449="positive",T1449="equivocal"),"b",IF(OR(R1449="positive",R1449="equivocal"),"c","d"))))</x:f>
        <x:v>d</x:v>
      </x:c>
      <x:c r="AD1449" s="12" t="str">
        <x:f>IF(OR(R1449="unavailable",T1449="unavailable"),"不可评价",IF(AND(R1449="positive",T1449="positive"),"a",IF(T1449="positive","b",IF(R1449="positive","c","d"))))</x:f>
        <x:v>d</x:v>
      </x:c>
      <x:c r="AE1449" s="12" t="str">
        <x:f>IF(OR(W1449="unavailable",Y1449="unavailable"),"不可评价",IF(AND(OR(W1449="positive",W1449="equivocal"),OR(Y1449="positive",Y1449="equivocal")),"a",IF(OR(Y1449="positive",Y1449="equivocal"),"b",IF(OR(W1449="positive",W1449="equivocal"),"c","d"))))</x:f>
        <x:v>d</x:v>
      </x:c>
      <x:c r="AF1449" s="12" t="str">
        <x:f>IF(OR(W1449="unavailable",Y1449="unavailable"),"不可评价",IF(AND(W1449="positive",Y1449="positive"),"a",IF(Y1449="positive","b",IF(W1449="positive","c","d"))))</x:f>
        <x:v>d</x:v>
      </x:c>
    </x:row>
    <x:row r="1450" ht="24" customHeight="1">
      <x:c r="A1450" s="12" t="str">
        <x:v>13268</x:v>
      </x:c>
      <x:c r="B1450" s="12" t="str">
        <x:v>16959</x:v>
      </x:c>
      <x:c r="C1450" s="21" t="n">
        <x:v>34638.783171296294</x:v>
      </x:c>
      <x:c r="D1450" s="12" t="n">
        <x:v>50</x:v>
      </x:c>
      <x:c r="E1450" s="12" t="n">
        <x:v>0</x:v>
      </x:c>
      <x:c r="F1450" s="12" t="str">
        <x:v>未记录</x:v>
      </x:c>
      <x:c r="G1450" s="12" t="n">
        <x:v>1</x:v>
      </x:c>
      <x:c r="H1450" s="12" t="str">
        <x:v>{'NORM': 100.0, 'SR': 0.0}</x:v>
      </x:c>
      <x:c r="I1450" s="12" t="str">
        <x:v>[('NSR', 100.0), ('NML', 100.0)]</x:v>
      </x:c>
      <x:c r="J1450" s="12" t="str">
        <x:v>ptbxl_database.csv；ecg_id=13268；scp_codes</x:v>
      </x:c>
      <x:c r="K1450" s="12" t="str">
        <x:v>12sl_statements.csv；ecg_id=13268；statements_ext_snomed</x:v>
      </x:c>
      <x:c r="L1450" s="12"/>
      <x:c r="M1450" s="12" t="str">
        <x:v>negative</x:v>
      </x:c>
      <x:c r="N1450" s="12"/>
      <x:c r="O1450" s="12" t="str">
        <x:v>negative</x:v>
      </x:c>
      <x:c r="P1450" s="12" t="str">
        <x:f>IF(OR(M1450="unavailable",O1450="unavailable"),"不可评价",IF(OR(M1450="equivocal",O1450="equivocal"),"疑似",IF(AND(M1450="positive",O1450="positive"),"a",IF(O1450="positive","b",IF(M1450="positive","c","d")))))</x:f>
        <x:v>d</x:v>
      </x:c>
      <x:c r="Q1450" s="12"/>
      <x:c r="R1450" s="12" t="str">
        <x:v>negative</x:v>
      </x:c>
      <x:c r="S1450" s="12"/>
      <x:c r="T1450" s="12" t="str">
        <x:v>negative</x:v>
      </x:c>
      <x:c r="U1450" s="12" t="str">
        <x:f>IF(OR(R1450="unavailable",T1450="unavailable"),"不可评价",IF(OR(R1450="equivocal",T1450="equivocal"),"疑似",IF(AND(R1450="positive",T1450="positive"),"a",IF(T1450="positive","b",IF(R1450="positive","c","d")))))</x:f>
        <x:v>d</x:v>
      </x:c>
      <x:c r="V1450" s="12"/>
      <x:c r="W1450" s="12" t="str">
        <x:v>negative</x:v>
      </x:c>
      <x:c r="X1450" s="12"/>
      <x:c r="Y1450" s="12" t="str">
        <x:v>negative</x:v>
      </x:c>
      <x:c r="Z1450" s="12" t="str">
        <x:f>IF(OR(W1450="unavailable",Y1450="unavailable"),"不可评价",IF(OR(W1450="equivocal",Y1450="equivocal"),"疑似",IF(AND(W1450="positive",Y1450="positive"),"a",IF(Y1450="positive","b",IF(W1450="positive","c","d")))))</x:f>
        <x:v>d</x:v>
      </x:c>
      <x:c r="AA1450" s="12" t="str">
        <x:f>IF(OR(M1450="unavailable",O1450="unavailable"),"不可评价",IF(AND(OR(M1450="positive",M1450="equivocal"),OR(O1450="positive",O1450="equivocal")),"a",IF(OR(O1450="positive",O1450="equivocal"),"b",IF(OR(M1450="positive",M1450="equivocal"),"c","d"))))</x:f>
        <x:v>d</x:v>
      </x:c>
      <x:c r="AB1450" s="12" t="str">
        <x:f>IF(OR(M1450="unavailable",O1450="unavailable"),"不可评价",IF(AND(M1450="positive",O1450="positive"),"a",IF(O1450="positive","b",IF(M1450="positive","c","d"))))</x:f>
        <x:v>d</x:v>
      </x:c>
      <x:c r="AC1450" s="12" t="str">
        <x:f>IF(OR(R1450="unavailable",T1450="unavailable"),"不可评价",IF(AND(OR(R1450="positive",R1450="equivocal"),OR(T1450="positive",T1450="equivocal")),"a",IF(OR(T1450="positive",T1450="equivocal"),"b",IF(OR(R1450="positive",R1450="equivocal"),"c","d"))))</x:f>
        <x:v>d</x:v>
      </x:c>
      <x:c r="AD1450" s="12" t="str">
        <x:f>IF(OR(R1450="unavailable",T1450="unavailable"),"不可评价",IF(AND(R1450="positive",T1450="positive"),"a",IF(T1450="positive","b",IF(R1450="positive","c","d"))))</x:f>
        <x:v>d</x:v>
      </x:c>
      <x:c r="AE1450" s="12" t="str">
        <x:f>IF(OR(W1450="unavailable",Y1450="unavailable"),"不可评价",IF(AND(OR(W1450="positive",W1450="equivocal"),OR(Y1450="positive",Y1450="equivocal")),"a",IF(OR(Y1450="positive",Y1450="equivocal"),"b",IF(OR(W1450="positive",W1450="equivocal"),"c","d"))))</x:f>
        <x:v>d</x:v>
      </x:c>
      <x:c r="AF1450" s="12" t="str">
        <x:f>IF(OR(W1450="unavailable",Y1450="unavailable"),"不可评价",IF(AND(W1450="positive",Y1450="positive"),"a",IF(Y1450="positive","b",IF(W1450="positive","c","d"))))</x:f>
        <x:v>d</x:v>
      </x:c>
    </x:row>
    <x:row r="1451" ht="24" customHeight="1">
      <x:c r="A1451" s="12" t="str">
        <x:v>13282</x:v>
      </x:c>
      <x:c r="B1451" s="12" t="str">
        <x:v>20584</x:v>
      </x:c>
      <x:c r="C1451" s="21" t="n">
        <x:v>34643.45322916667</x:v>
      </x:c>
      <x:c r="D1451" s="12" t="n">
        <x:v>48</x:v>
      </x:c>
      <x:c r="E1451" s="12" t="n">
        <x:v>0</x:v>
      </x:c>
      <x:c r="F1451" s="12" t="str">
        <x:v>未记录</x:v>
      </x:c>
      <x:c r="G1451" s="12" t="n">
        <x:v>1</x:v>
      </x:c>
      <x:c r="H1451" s="12" t="str">
        <x:v>{'NORM': 100.0, 'SR': 0.0}</x:v>
      </x:c>
      <x:c r="I1451" s="12" t="str">
        <x:v>[('SBRAD', 100.0), ('ABR', 100.0)]</x:v>
      </x:c>
      <x:c r="J1451" s="12" t="str">
        <x:v>ptbxl_database.csv；ecg_id=13282；scp_codes</x:v>
      </x:c>
      <x:c r="K1451" s="12" t="str">
        <x:v>12sl_statements.csv；ecg_id=13282；statements_ext_snomed</x:v>
      </x:c>
      <x:c r="L1451" s="12"/>
      <x:c r="M1451" s="12" t="str">
        <x:v>negative</x:v>
      </x:c>
      <x:c r="N1451" s="12"/>
      <x:c r="O1451" s="12" t="str">
        <x:v>negative</x:v>
      </x:c>
      <x:c r="P1451" s="12" t="str">
        <x:f>IF(OR(M1451="unavailable",O1451="unavailable"),"不可评价",IF(OR(M1451="equivocal",O1451="equivocal"),"疑似",IF(AND(M1451="positive",O1451="positive"),"a",IF(O1451="positive","b",IF(M1451="positive","c","d")))))</x:f>
        <x:v>d</x:v>
      </x:c>
      <x:c r="Q1451" s="12"/>
      <x:c r="R1451" s="12" t="str">
        <x:v>negative</x:v>
      </x:c>
      <x:c r="S1451" s="12"/>
      <x:c r="T1451" s="12" t="str">
        <x:v>negative</x:v>
      </x:c>
      <x:c r="U1451" s="12" t="str">
        <x:f>IF(OR(R1451="unavailable",T1451="unavailable"),"不可评价",IF(OR(R1451="equivocal",T1451="equivocal"),"疑似",IF(AND(R1451="positive",T1451="positive"),"a",IF(T1451="positive","b",IF(R1451="positive","c","d")))))</x:f>
        <x:v>d</x:v>
      </x:c>
      <x:c r="V1451" s="12"/>
      <x:c r="W1451" s="12" t="str">
        <x:v>negative</x:v>
      </x:c>
      <x:c r="X1451" s="12"/>
      <x:c r="Y1451" s="12" t="str">
        <x:v>negative</x:v>
      </x:c>
      <x:c r="Z1451" s="12" t="str">
        <x:f>IF(OR(W1451="unavailable",Y1451="unavailable"),"不可评价",IF(OR(W1451="equivocal",Y1451="equivocal"),"疑似",IF(AND(W1451="positive",Y1451="positive"),"a",IF(Y1451="positive","b",IF(W1451="positive","c","d")))))</x:f>
        <x:v>d</x:v>
      </x:c>
      <x:c r="AA1451" s="12" t="str">
        <x:f>IF(OR(M1451="unavailable",O1451="unavailable"),"不可评价",IF(AND(OR(M1451="positive",M1451="equivocal"),OR(O1451="positive",O1451="equivocal")),"a",IF(OR(O1451="positive",O1451="equivocal"),"b",IF(OR(M1451="positive",M1451="equivocal"),"c","d"))))</x:f>
        <x:v>d</x:v>
      </x:c>
      <x:c r="AB1451" s="12" t="str">
        <x:f>IF(OR(M1451="unavailable",O1451="unavailable"),"不可评价",IF(AND(M1451="positive",O1451="positive"),"a",IF(O1451="positive","b",IF(M1451="positive","c","d"))))</x:f>
        <x:v>d</x:v>
      </x:c>
      <x:c r="AC1451" s="12" t="str">
        <x:f>IF(OR(R1451="unavailable",T1451="unavailable"),"不可评价",IF(AND(OR(R1451="positive",R1451="equivocal"),OR(T1451="positive",T1451="equivocal")),"a",IF(OR(T1451="positive",T1451="equivocal"),"b",IF(OR(R1451="positive",R1451="equivocal"),"c","d"))))</x:f>
        <x:v>d</x:v>
      </x:c>
      <x:c r="AD1451" s="12" t="str">
        <x:f>IF(OR(R1451="unavailable",T1451="unavailable"),"不可评价",IF(AND(R1451="positive",T1451="positive"),"a",IF(T1451="positive","b",IF(R1451="positive","c","d"))))</x:f>
        <x:v>d</x:v>
      </x:c>
      <x:c r="AE1451" s="12" t="str">
        <x:f>IF(OR(W1451="unavailable",Y1451="unavailable"),"不可评价",IF(AND(OR(W1451="positive",W1451="equivocal"),OR(Y1451="positive",Y1451="equivocal")),"a",IF(OR(Y1451="positive",Y1451="equivocal"),"b",IF(OR(W1451="positive",W1451="equivocal"),"c","d"))))</x:f>
        <x:v>d</x:v>
      </x:c>
      <x:c r="AF1451" s="12" t="str">
        <x:f>IF(OR(W1451="unavailable",Y1451="unavailable"),"不可评价",IF(AND(W1451="positive",Y1451="positive"),"a",IF(Y1451="positive","b",IF(W1451="positive","c","d"))))</x:f>
        <x:v>d</x:v>
      </x:c>
    </x:row>
    <x:row r="1452" ht="24" customHeight="1">
      <x:c r="A1452" s="12" t="str">
        <x:v>13292</x:v>
      </x:c>
      <x:c r="B1452" s="12" t="str">
        <x:v>20811</x:v>
      </x:c>
      <x:c r="C1452" s="21" t="n">
        <x:v>34644.760046296295</x:v>
      </x:c>
      <x:c r="D1452" s="12" t="n">
        <x:v>65</x:v>
      </x:c>
      <x:c r="E1452" s="12" t="n">
        <x:v>1</x:v>
      </x:c>
      <x:c r="F1452" s="12" t="str">
        <x:v>存在</x:v>
      </x:c>
      <x:c r="G1452" s="12" t="n">
        <x:v>1</x:v>
      </x:c>
      <x:c r="H1452" s="12" t="str">
        <x:v>{'NDT': 100.0, 'LAO/LAE': 50.0, 'SR': 0.0}</x:v>
      </x:c>
      <x:c r="I1452" s="12" t="str">
        <x:v>[('NSR', 100.0), ('LOWV', 100.0), ('NST', 100.0), ('AB', 100.0)]</x:v>
      </x:c>
      <x:c r="J1452" s="12" t="str">
        <x:v>ptbxl_database.csv；ecg_id=13292；scp_codes</x:v>
      </x:c>
      <x:c r="K1452" s="12" t="str">
        <x:v>12sl_statements.csv；ecg_id=13292；statements_ext_snomed</x:v>
      </x:c>
      <x:c r="L1452" s="12"/>
      <x:c r="M1452" s="12" t="str">
        <x:v>negative</x:v>
      </x:c>
      <x:c r="N1452" s="12"/>
      <x:c r="O1452" s="12" t="str">
        <x:v>negative</x:v>
      </x:c>
      <x:c r="P1452" s="12" t="str">
        <x:f>IF(OR(M1452="unavailable",O1452="unavailable"),"不可评价",IF(OR(M1452="equivocal",O1452="equivocal"),"疑似",IF(AND(M1452="positive",O1452="positive"),"a",IF(O1452="positive","b",IF(M1452="positive","c","d")))))</x:f>
        <x:v>d</x:v>
      </x:c>
      <x:c r="Q1452" s="12"/>
      <x:c r="R1452" s="12" t="str">
        <x:v>negative</x:v>
      </x:c>
      <x:c r="S1452" s="12"/>
      <x:c r="T1452" s="12" t="str">
        <x:v>negative</x:v>
      </x:c>
      <x:c r="U1452" s="12" t="str">
        <x:f>IF(OR(R1452="unavailable",T1452="unavailable"),"不可评价",IF(OR(R1452="equivocal",T1452="equivocal"),"疑似",IF(AND(R1452="positive",T1452="positive"),"a",IF(T1452="positive","b",IF(R1452="positive","c","d")))))</x:f>
        <x:v>d</x:v>
      </x:c>
      <x:c r="V1452" s="12"/>
      <x:c r="W1452" s="12" t="str">
        <x:v>negative</x:v>
      </x:c>
      <x:c r="X1452" s="12"/>
      <x:c r="Y1452" s="12" t="str">
        <x:v>negative</x:v>
      </x:c>
      <x:c r="Z1452" s="12" t="str">
        <x:f>IF(OR(W1452="unavailable",Y1452="unavailable"),"不可评价",IF(OR(W1452="equivocal",Y1452="equivocal"),"疑似",IF(AND(W1452="positive",Y1452="positive"),"a",IF(Y1452="positive","b",IF(W1452="positive","c","d")))))</x:f>
        <x:v>d</x:v>
      </x:c>
      <x:c r="AA1452" s="12" t="str">
        <x:f>IF(OR(M1452="unavailable",O1452="unavailable"),"不可评价",IF(AND(OR(M1452="positive",M1452="equivocal"),OR(O1452="positive",O1452="equivocal")),"a",IF(OR(O1452="positive",O1452="equivocal"),"b",IF(OR(M1452="positive",M1452="equivocal"),"c","d"))))</x:f>
        <x:v>d</x:v>
      </x:c>
      <x:c r="AB1452" s="12" t="str">
        <x:f>IF(OR(M1452="unavailable",O1452="unavailable"),"不可评价",IF(AND(M1452="positive",O1452="positive"),"a",IF(O1452="positive","b",IF(M1452="positive","c","d"))))</x:f>
        <x:v>d</x:v>
      </x:c>
      <x:c r="AC1452" s="12" t="str">
        <x:f>IF(OR(R1452="unavailable",T1452="unavailable"),"不可评价",IF(AND(OR(R1452="positive",R1452="equivocal"),OR(T1452="positive",T1452="equivocal")),"a",IF(OR(T1452="positive",T1452="equivocal"),"b",IF(OR(R1452="positive",R1452="equivocal"),"c","d"))))</x:f>
        <x:v>d</x:v>
      </x:c>
      <x:c r="AD1452" s="12" t="str">
        <x:f>IF(OR(R1452="unavailable",T1452="unavailable"),"不可评价",IF(AND(R1452="positive",T1452="positive"),"a",IF(T1452="positive","b",IF(R1452="positive","c","d"))))</x:f>
        <x:v>d</x:v>
      </x:c>
      <x:c r="AE1452" s="12" t="str">
        <x:f>IF(OR(W1452="unavailable",Y1452="unavailable"),"不可评价",IF(AND(OR(W1452="positive",W1452="equivocal"),OR(Y1452="positive",Y1452="equivocal")),"a",IF(OR(Y1452="positive",Y1452="equivocal"),"b",IF(OR(W1452="positive",W1452="equivocal"),"c","d"))))</x:f>
        <x:v>d</x:v>
      </x:c>
      <x:c r="AF1452" s="12" t="str">
        <x:f>IF(OR(W1452="unavailable",Y1452="unavailable"),"不可评价",IF(AND(W1452="positive",Y1452="positive"),"a",IF(Y1452="positive","b",IF(W1452="positive","c","d"))))</x:f>
        <x:v>d</x:v>
      </x:c>
    </x:row>
    <x:row r="1453" ht="24" customHeight="1">
      <x:c r="A1453" s="12" t="str">
        <x:v>13301</x:v>
      </x:c>
      <x:c r="B1453" s="12" t="str">
        <x:v>13965</x:v>
      </x:c>
      <x:c r="C1453" s="21" t="n">
        <x:v>34646.651296296295</x:v>
      </x:c>
      <x:c r="D1453" s="12" t="n">
        <x:v>61</x:v>
      </x:c>
      <x:c r="E1453" s="12" t="n">
        <x:v>0</x:v>
      </x:c>
      <x:c r="F1453" s="12" t="str">
        <x:v>未记录</x:v>
      </x:c>
      <x:c r="G1453" s="12" t="n">
        <x:v>0</x:v>
      </x:c>
      <x:c r="H1453" s="12" t="str">
        <x:v>{'ISCAL': 50.0, 'ISCIL': 50.0, 'LAO/LAE': 50.0, 'SR': 0.0}</x:v>
      </x:c>
      <x:c r="I1453" s="12" t="str">
        <x:v>[('SBRAD', 100.0), ('IMI;AU', 15.0), ('AB', 100.0)]</x:v>
      </x:c>
      <x:c r="J1453" s="12" t="str">
        <x:v>ptbxl_database.csv；ecg_id=13301；scp_codes</x:v>
      </x:c>
      <x:c r="K1453" s="12" t="str">
        <x:v>12sl_statements.csv；ecg_id=13301；statements_ext_snomed</x:v>
      </x:c>
      <x:c r="L1453" s="12"/>
      <x:c r="M1453" s="12" t="str">
        <x:v>negative</x:v>
      </x:c>
      <x:c r="N1453" s="12"/>
      <x:c r="O1453" s="12" t="str">
        <x:v>negative</x:v>
      </x:c>
      <x:c r="P1453" s="12" t="str">
        <x:f>IF(OR(M1453="unavailable",O1453="unavailable"),"不可评价",IF(OR(M1453="equivocal",O1453="equivocal"),"疑似",IF(AND(M1453="positive",O1453="positive"),"a",IF(O1453="positive","b",IF(M1453="positive","c","d")))))</x:f>
        <x:v>d</x:v>
      </x:c>
      <x:c r="Q1453" s="12"/>
      <x:c r="R1453" s="12" t="str">
        <x:v>negative</x:v>
      </x:c>
      <x:c r="S1453" s="12"/>
      <x:c r="T1453" s="12" t="str">
        <x:v>negative</x:v>
      </x:c>
      <x:c r="U1453" s="12" t="str">
        <x:f>IF(OR(R1453="unavailable",T1453="unavailable"),"不可评价",IF(OR(R1453="equivocal",T1453="equivocal"),"疑似",IF(AND(R1453="positive",T1453="positive"),"a",IF(T1453="positive","b",IF(R1453="positive","c","d")))))</x:f>
        <x:v>d</x:v>
      </x:c>
      <x:c r="V1453" s="12"/>
      <x:c r="W1453" s="12" t="str">
        <x:v>negative</x:v>
      </x:c>
      <x:c r="X1453" s="12"/>
      <x:c r="Y1453" s="12" t="str">
        <x:v>negative</x:v>
      </x:c>
      <x:c r="Z1453" s="12" t="str">
        <x:f>IF(OR(W1453="unavailable",Y1453="unavailable"),"不可评价",IF(OR(W1453="equivocal",Y1453="equivocal"),"疑似",IF(AND(W1453="positive",Y1453="positive"),"a",IF(Y1453="positive","b",IF(W1453="positive","c","d")))))</x:f>
        <x:v>d</x:v>
      </x:c>
      <x:c r="AA1453" s="12" t="str">
        <x:f>IF(OR(M1453="unavailable",O1453="unavailable"),"不可评价",IF(AND(OR(M1453="positive",M1453="equivocal"),OR(O1453="positive",O1453="equivocal")),"a",IF(OR(O1453="positive",O1453="equivocal"),"b",IF(OR(M1453="positive",M1453="equivocal"),"c","d"))))</x:f>
        <x:v>d</x:v>
      </x:c>
      <x:c r="AB1453" s="12" t="str">
        <x:f>IF(OR(M1453="unavailable",O1453="unavailable"),"不可评价",IF(AND(M1453="positive",O1453="positive"),"a",IF(O1453="positive","b",IF(M1453="positive","c","d"))))</x:f>
        <x:v>d</x:v>
      </x:c>
      <x:c r="AC1453" s="12" t="str">
        <x:f>IF(OR(R1453="unavailable",T1453="unavailable"),"不可评价",IF(AND(OR(R1453="positive",R1453="equivocal"),OR(T1453="positive",T1453="equivocal")),"a",IF(OR(T1453="positive",T1453="equivocal"),"b",IF(OR(R1453="positive",R1453="equivocal"),"c","d"))))</x:f>
        <x:v>d</x:v>
      </x:c>
      <x:c r="AD1453" s="12" t="str">
        <x:f>IF(OR(R1453="unavailable",T1453="unavailable"),"不可评价",IF(AND(R1453="positive",T1453="positive"),"a",IF(T1453="positive","b",IF(R1453="positive","c","d"))))</x:f>
        <x:v>d</x:v>
      </x:c>
      <x:c r="AE1453" s="12" t="str">
        <x:f>IF(OR(W1453="unavailable",Y1453="unavailable"),"不可评价",IF(AND(OR(W1453="positive",W1453="equivocal"),OR(Y1453="positive",Y1453="equivocal")),"a",IF(OR(Y1453="positive",Y1453="equivocal"),"b",IF(OR(W1453="positive",W1453="equivocal"),"c","d"))))</x:f>
        <x:v>d</x:v>
      </x:c>
      <x:c r="AF1453" s="12" t="str">
        <x:f>IF(OR(W1453="unavailable",Y1453="unavailable"),"不可评价",IF(AND(W1453="positive",Y1453="positive"),"a",IF(Y1453="positive","b",IF(W1453="positive","c","d"))))</x:f>
        <x:v>d</x:v>
      </x:c>
    </x:row>
    <x:row r="1454" ht="24" customHeight="1">
      <x:c r="A1454" s="12" t="str">
        <x:v>13314</x:v>
      </x:c>
      <x:c r="B1454" s="12" t="str">
        <x:v>8335</x:v>
      </x:c>
      <x:c r="C1454" s="21" t="n">
        <x:v>34648.6694212963</x:v>
      </x:c>
      <x:c r="D1454" s="12" t="n">
        <x:v>56</x:v>
      </x:c>
      <x:c r="E1454" s="12" t="n">
        <x:v>1</x:v>
      </x:c>
      <x:c r="F1454" s="12" t="str">
        <x:v>未记录</x:v>
      </x:c>
      <x:c r="G1454" s="12" t="n">
        <x:v>1</x:v>
      </x:c>
      <x:c r="H1454" s="12" t="str">
        <x:v>{'NORM': 100.0, 'IVCD': 100.0, 'SR': 0.0}</x:v>
      </x:c>
      <x:c r="I1454" s="12" t="str">
        <x:v>[('NSR', 100.0), ('NML', 100.0)]</x:v>
      </x:c>
      <x:c r="J1454" s="12" t="str">
        <x:v>ptbxl_database.csv；ecg_id=13314；scp_codes</x:v>
      </x:c>
      <x:c r="K1454" s="12" t="str">
        <x:v>12sl_statements.csv；ecg_id=13314；statements_ext_snomed</x:v>
      </x:c>
      <x:c r="L1454" s="12"/>
      <x:c r="M1454" s="12" t="str">
        <x:v>negative</x:v>
      </x:c>
      <x:c r="N1454" s="12"/>
      <x:c r="O1454" s="12" t="str">
        <x:v>negative</x:v>
      </x:c>
      <x:c r="P1454" s="12" t="str">
        <x:f>IF(OR(M1454="unavailable",O1454="unavailable"),"不可评价",IF(OR(M1454="equivocal",O1454="equivocal"),"疑似",IF(AND(M1454="positive",O1454="positive"),"a",IF(O1454="positive","b",IF(M1454="positive","c","d")))))</x:f>
        <x:v>d</x:v>
      </x:c>
      <x:c r="Q1454" s="12"/>
      <x:c r="R1454" s="12" t="str">
        <x:v>negative</x:v>
      </x:c>
      <x:c r="S1454" s="12"/>
      <x:c r="T1454" s="12" t="str">
        <x:v>negative</x:v>
      </x:c>
      <x:c r="U1454" s="12" t="str">
        <x:f>IF(OR(R1454="unavailable",T1454="unavailable"),"不可评价",IF(OR(R1454="equivocal",T1454="equivocal"),"疑似",IF(AND(R1454="positive",T1454="positive"),"a",IF(T1454="positive","b",IF(R1454="positive","c","d")))))</x:f>
        <x:v>d</x:v>
      </x:c>
      <x:c r="V1454" s="12"/>
      <x:c r="W1454" s="12" t="str">
        <x:v>negative</x:v>
      </x:c>
      <x:c r="X1454" s="12"/>
      <x:c r="Y1454" s="12" t="str">
        <x:v>negative</x:v>
      </x:c>
      <x:c r="Z1454" s="12" t="str">
        <x:f>IF(OR(W1454="unavailable",Y1454="unavailable"),"不可评价",IF(OR(W1454="equivocal",Y1454="equivocal"),"疑似",IF(AND(W1454="positive",Y1454="positive"),"a",IF(Y1454="positive","b",IF(W1454="positive","c","d")))))</x:f>
        <x:v>d</x:v>
      </x:c>
      <x:c r="AA1454" s="12" t="str">
        <x:f>IF(OR(M1454="unavailable",O1454="unavailable"),"不可评价",IF(AND(OR(M1454="positive",M1454="equivocal"),OR(O1454="positive",O1454="equivocal")),"a",IF(OR(O1454="positive",O1454="equivocal"),"b",IF(OR(M1454="positive",M1454="equivocal"),"c","d"))))</x:f>
        <x:v>d</x:v>
      </x:c>
      <x:c r="AB1454" s="12" t="str">
        <x:f>IF(OR(M1454="unavailable",O1454="unavailable"),"不可评价",IF(AND(M1454="positive",O1454="positive"),"a",IF(O1454="positive","b",IF(M1454="positive","c","d"))))</x:f>
        <x:v>d</x:v>
      </x:c>
      <x:c r="AC1454" s="12" t="str">
        <x:f>IF(OR(R1454="unavailable",T1454="unavailable"),"不可评价",IF(AND(OR(R1454="positive",R1454="equivocal"),OR(T1454="positive",T1454="equivocal")),"a",IF(OR(T1454="positive",T1454="equivocal"),"b",IF(OR(R1454="positive",R1454="equivocal"),"c","d"))))</x:f>
        <x:v>d</x:v>
      </x:c>
      <x:c r="AD1454" s="12" t="str">
        <x:f>IF(OR(R1454="unavailable",T1454="unavailable"),"不可评价",IF(AND(R1454="positive",T1454="positive"),"a",IF(T1454="positive","b",IF(R1454="positive","c","d"))))</x:f>
        <x:v>d</x:v>
      </x:c>
      <x:c r="AE1454" s="12" t="str">
        <x:f>IF(OR(W1454="unavailable",Y1454="unavailable"),"不可评价",IF(AND(OR(W1454="positive",W1454="equivocal"),OR(Y1454="positive",Y1454="equivocal")),"a",IF(OR(Y1454="positive",Y1454="equivocal"),"b",IF(OR(W1454="positive",W1454="equivocal"),"c","d"))))</x:f>
        <x:v>d</x:v>
      </x:c>
      <x:c r="AF1454" s="12" t="str">
        <x:f>IF(OR(W1454="unavailable",Y1454="unavailable"),"不可评价",IF(AND(W1454="positive",Y1454="positive"),"a",IF(Y1454="positive","b",IF(W1454="positive","c","d"))))</x:f>
        <x:v>d</x:v>
      </x:c>
    </x:row>
    <x:row r="1455" ht="24" customHeight="1">
      <x:c r="A1455" s="12" t="str">
        <x:v>13333</x:v>
      </x:c>
      <x:c r="B1455" s="12" t="str">
        <x:v>8352</x:v>
      </x:c>
      <x:c r="C1455" s="21" t="n">
        <x:v>34653.63379629629</x:v>
      </x:c>
      <x:c r="D1455" s="12" t="n">
        <x:v>84</x:v>
      </x:c>
      <x:c r="E1455" s="12" t="n">
        <x:v>1</x:v>
      </x:c>
      <x:c r="F1455" s="12" t="str">
        <x:v>存在</x:v>
      </x:c>
      <x:c r="G1455" s="12" t="n">
        <x:v>1</x:v>
      </x:c>
      <x:c r="H1455" s="12" t="str">
        <x:v>{'ISCAL': 50.0, 'ISCIL': 50.0, 'AFIB': 0.0}</x:v>
      </x:c>
      <x:c r="I1455" s="12" t="str">
        <x:v>[('AFIB', 100.0), ('ST&amp;', 100.0), ('IT', 100.0), ('AB', 100.0)]</x:v>
      </x:c>
      <x:c r="J1455" s="12" t="str">
        <x:v>ptbxl_database.csv；ecg_id=13333；scp_codes</x:v>
      </x:c>
      <x:c r="K1455" s="12" t="str">
        <x:v>12sl_statements.csv；ecg_id=13333；statements_ext_snomed</x:v>
      </x:c>
      <x:c r="L1455" s="12" t="n">
        <x:v>0</x:v>
      </x:c>
      <x:c r="M1455" s="12" t="str">
        <x:v>positive</x:v>
      </x:c>
      <x:c r="N1455" s="12" t="n">
        <x:v>100</x:v>
      </x:c>
      <x:c r="O1455" s="12" t="str">
        <x:v>positive</x:v>
      </x:c>
      <x:c r="P1455" s="12" t="str">
        <x:f>IF(OR(M1455="unavailable",O1455="unavailable"),"不可评价",IF(OR(M1455="equivocal",O1455="equivocal"),"疑似",IF(AND(M1455="positive",O1455="positive"),"a",IF(O1455="positive","b",IF(M1455="positive","c","d")))))</x:f>
        <x:v>a</x:v>
      </x:c>
      <x:c r="Q1455" s="12"/>
      <x:c r="R1455" s="12" t="str">
        <x:v>negative</x:v>
      </x:c>
      <x:c r="S1455" s="12"/>
      <x:c r="T1455" s="12" t="str">
        <x:v>negative</x:v>
      </x:c>
      <x:c r="U1455" s="12" t="str">
        <x:f>IF(OR(R1455="unavailable",T1455="unavailable"),"不可评价",IF(OR(R1455="equivocal",T1455="equivocal"),"疑似",IF(AND(R1455="positive",T1455="positive"),"a",IF(T1455="positive","b",IF(R1455="positive","c","d")))))</x:f>
        <x:v>d</x:v>
      </x:c>
      <x:c r="V1455" s="12"/>
      <x:c r="W1455" s="12" t="str">
        <x:v>negative</x:v>
      </x:c>
      <x:c r="X1455" s="12"/>
      <x:c r="Y1455" s="12" t="str">
        <x:v>negative</x:v>
      </x:c>
      <x:c r="Z1455" s="12" t="str">
        <x:f>IF(OR(W1455="unavailable",Y1455="unavailable"),"不可评价",IF(OR(W1455="equivocal",Y1455="equivocal"),"疑似",IF(AND(W1455="positive",Y1455="positive"),"a",IF(Y1455="positive","b",IF(W1455="positive","c","d")))))</x:f>
        <x:v>d</x:v>
      </x:c>
      <x:c r="AA1455" s="12" t="str">
        <x:f>IF(OR(M1455="unavailable",O1455="unavailable"),"不可评价",IF(AND(OR(M1455="positive",M1455="equivocal"),OR(O1455="positive",O1455="equivocal")),"a",IF(OR(O1455="positive",O1455="equivocal"),"b",IF(OR(M1455="positive",M1455="equivocal"),"c","d"))))</x:f>
        <x:v>a</x:v>
      </x:c>
      <x:c r="AB1455" s="12" t="str">
        <x:f>IF(OR(M1455="unavailable",O1455="unavailable"),"不可评价",IF(AND(M1455="positive",O1455="positive"),"a",IF(O1455="positive","b",IF(M1455="positive","c","d"))))</x:f>
        <x:v>a</x:v>
      </x:c>
      <x:c r="AC1455" s="12" t="str">
        <x:f>IF(OR(R1455="unavailable",T1455="unavailable"),"不可评价",IF(AND(OR(R1455="positive",R1455="equivocal"),OR(T1455="positive",T1455="equivocal")),"a",IF(OR(T1455="positive",T1455="equivocal"),"b",IF(OR(R1455="positive",R1455="equivocal"),"c","d"))))</x:f>
        <x:v>d</x:v>
      </x:c>
      <x:c r="AD1455" s="12" t="str">
        <x:f>IF(OR(R1455="unavailable",T1455="unavailable"),"不可评价",IF(AND(R1455="positive",T1455="positive"),"a",IF(T1455="positive","b",IF(R1455="positive","c","d"))))</x:f>
        <x:v>d</x:v>
      </x:c>
      <x:c r="AE1455" s="12" t="str">
        <x:f>IF(OR(W1455="unavailable",Y1455="unavailable"),"不可评价",IF(AND(OR(W1455="positive",W1455="equivocal"),OR(Y1455="positive",Y1455="equivocal")),"a",IF(OR(Y1455="positive",Y1455="equivocal"),"b",IF(OR(W1455="positive",W1455="equivocal"),"c","d"))))</x:f>
        <x:v>d</x:v>
      </x:c>
      <x:c r="AF1455" s="12" t="str">
        <x:f>IF(OR(W1455="unavailable",Y1455="unavailable"),"不可评价",IF(AND(W1455="positive",Y1455="positive"),"a",IF(Y1455="positive","b",IF(W1455="positive","c","d"))))</x:f>
        <x:v>d</x:v>
      </x:c>
    </x:row>
    <x:row r="1456" ht="24" customHeight="1">
      <x:c r="A1456" s="12" t="str">
        <x:v>13335</x:v>
      </x:c>
      <x:c r="B1456" s="12" t="str">
        <x:v>14559</x:v>
      </x:c>
      <x:c r="C1456" s="21" t="n">
        <x:v>34653.95408564815</x:v>
      </x:c>
      <x:c r="D1456" s="12" t="n">
        <x:v>88</x:v>
      </x:c>
      <x:c r="E1456" s="12" t="n">
        <x:v>0</x:v>
      </x:c>
      <x:c r="F1456" s="12" t="str">
        <x:v>存在</x:v>
      </x:c>
      <x:c r="G1456" s="12" t="n">
        <x:v>1</x:v>
      </x:c>
      <x:c r="H1456" s="12" t="str">
        <x:v>{'ASMI': 15.0, 'SBRAD': 0.0}</x:v>
      </x:c>
      <x:c r="I1456" s="12" t="str">
        <x:v>[('SBRAD', 100.0), ('NST', 100.0), ('AB', 100.0)]</x:v>
      </x:c>
      <x:c r="J1456" s="12" t="str">
        <x:v>ptbxl_database.csv；ecg_id=13335；scp_codes</x:v>
      </x:c>
      <x:c r="K1456" s="12" t="str">
        <x:v>12sl_statements.csv；ecg_id=13335；statements_ext_snomed</x:v>
      </x:c>
      <x:c r="L1456" s="12"/>
      <x:c r="M1456" s="12" t="str">
        <x:v>negative</x:v>
      </x:c>
      <x:c r="N1456" s="12"/>
      <x:c r="O1456" s="12" t="str">
        <x:v>negative</x:v>
      </x:c>
      <x:c r="P1456" s="12" t="str">
        <x:f>IF(OR(M1456="unavailable",O1456="unavailable"),"不可评价",IF(OR(M1456="equivocal",O1456="equivocal"),"疑似",IF(AND(M1456="positive",O1456="positive"),"a",IF(O1456="positive","b",IF(M1456="positive","c","d")))))</x:f>
        <x:v>d</x:v>
      </x:c>
      <x:c r="Q1456" s="12"/>
      <x:c r="R1456" s="12" t="str">
        <x:v>negative</x:v>
      </x:c>
      <x:c r="S1456" s="12"/>
      <x:c r="T1456" s="12" t="str">
        <x:v>negative</x:v>
      </x:c>
      <x:c r="U1456" s="12" t="str">
        <x:f>IF(OR(R1456="unavailable",T1456="unavailable"),"不可评价",IF(OR(R1456="equivocal",T1456="equivocal"),"疑似",IF(AND(R1456="positive",T1456="positive"),"a",IF(T1456="positive","b",IF(R1456="positive","c","d")))))</x:f>
        <x:v>d</x:v>
      </x:c>
      <x:c r="V1456" s="12"/>
      <x:c r="W1456" s="12" t="str">
        <x:v>negative</x:v>
      </x:c>
      <x:c r="X1456" s="12"/>
      <x:c r="Y1456" s="12" t="str">
        <x:v>negative</x:v>
      </x:c>
      <x:c r="Z1456" s="12" t="str">
        <x:f>IF(OR(W1456="unavailable",Y1456="unavailable"),"不可评价",IF(OR(W1456="equivocal",Y1456="equivocal"),"疑似",IF(AND(W1456="positive",Y1456="positive"),"a",IF(Y1456="positive","b",IF(W1456="positive","c","d")))))</x:f>
        <x:v>d</x:v>
      </x:c>
      <x:c r="AA1456" s="12" t="str">
        <x:f>IF(OR(M1456="unavailable",O1456="unavailable"),"不可评价",IF(AND(OR(M1456="positive",M1456="equivocal"),OR(O1456="positive",O1456="equivocal")),"a",IF(OR(O1456="positive",O1456="equivocal"),"b",IF(OR(M1456="positive",M1456="equivocal"),"c","d"))))</x:f>
        <x:v>d</x:v>
      </x:c>
      <x:c r="AB1456" s="12" t="str">
        <x:f>IF(OR(M1456="unavailable",O1456="unavailable"),"不可评价",IF(AND(M1456="positive",O1456="positive"),"a",IF(O1456="positive","b",IF(M1456="positive","c","d"))))</x:f>
        <x:v>d</x:v>
      </x:c>
      <x:c r="AC1456" s="12" t="str">
        <x:f>IF(OR(R1456="unavailable",T1456="unavailable"),"不可评价",IF(AND(OR(R1456="positive",R1456="equivocal"),OR(T1456="positive",T1456="equivocal")),"a",IF(OR(T1456="positive",T1456="equivocal"),"b",IF(OR(R1456="positive",R1456="equivocal"),"c","d"))))</x:f>
        <x:v>d</x:v>
      </x:c>
      <x:c r="AD1456" s="12" t="str">
        <x:f>IF(OR(R1456="unavailable",T1456="unavailable"),"不可评价",IF(AND(R1456="positive",T1456="positive"),"a",IF(T1456="positive","b",IF(R1456="positive","c","d"))))</x:f>
        <x:v>d</x:v>
      </x:c>
      <x:c r="AE1456" s="12" t="str">
        <x:f>IF(OR(W1456="unavailable",Y1456="unavailable"),"不可评价",IF(AND(OR(W1456="positive",W1456="equivocal"),OR(Y1456="positive",Y1456="equivocal")),"a",IF(OR(Y1456="positive",Y1456="equivocal"),"b",IF(OR(W1456="positive",W1456="equivocal"),"c","d"))))</x:f>
        <x:v>d</x:v>
      </x:c>
      <x:c r="AF1456" s="12" t="str">
        <x:f>IF(OR(W1456="unavailable",Y1456="unavailable"),"不可评价",IF(AND(W1456="positive",Y1456="positive"),"a",IF(Y1456="positive","b",IF(W1456="positive","c","d"))))</x:f>
        <x:v>d</x:v>
      </x:c>
    </x:row>
    <x:row r="1457" ht="24" customHeight="1">
      <x:c r="A1457" s="12" t="str">
        <x:v>13337</x:v>
      </x:c>
      <x:c r="B1457" s="12" t="str">
        <x:v>14559</x:v>
      </x:c>
      <x:c r="C1457" s="21" t="n">
        <x:v>34654.49643518519</x:v>
      </x:c>
      <x:c r="D1457" s="12" t="n">
        <x:v>88</x:v>
      </x:c>
      <x:c r="E1457" s="12" t="n">
        <x:v>0</x:v>
      </x:c>
      <x:c r="F1457" s="12" t="str">
        <x:v>存在</x:v>
      </x:c>
      <x:c r="G1457" s="12" t="n">
        <x:v>0</x:v>
      </x:c>
      <x:c r="H1457" s="12" t="str">
        <x:v>{'AMI': 100.0, 'IMI': 15.0, 'IVCD': 100.0, 'ABQRS': 0.0, 'SR': 0.0}</x:v>
      </x:c>
      <x:c r="I1457" s="12" t="str">
        <x:v>[('SBRAD', 100.0), ('NST', 100.0), ('AB', 100.0)]</x:v>
      </x:c>
      <x:c r="J1457" s="12" t="str">
        <x:v>ptbxl_database.csv；ecg_id=13337；scp_codes</x:v>
      </x:c>
      <x:c r="K1457" s="12" t="str">
        <x:v>12sl_statements.csv；ecg_id=13337；statements_ext_snomed</x:v>
      </x:c>
      <x:c r="L1457" s="12"/>
      <x:c r="M1457" s="12" t="str">
        <x:v>negative</x:v>
      </x:c>
      <x:c r="N1457" s="12"/>
      <x:c r="O1457" s="12" t="str">
        <x:v>negative</x:v>
      </x:c>
      <x:c r="P1457" s="12" t="str">
        <x:f>IF(OR(M1457="unavailable",O1457="unavailable"),"不可评价",IF(OR(M1457="equivocal",O1457="equivocal"),"疑似",IF(AND(M1457="positive",O1457="positive"),"a",IF(O1457="positive","b",IF(M1457="positive","c","d")))))</x:f>
        <x:v>d</x:v>
      </x:c>
      <x:c r="Q1457" s="12"/>
      <x:c r="R1457" s="12" t="str">
        <x:v>negative</x:v>
      </x:c>
      <x:c r="S1457" s="12"/>
      <x:c r="T1457" s="12" t="str">
        <x:v>negative</x:v>
      </x:c>
      <x:c r="U1457" s="12" t="str">
        <x:f>IF(OR(R1457="unavailable",T1457="unavailable"),"不可评价",IF(OR(R1457="equivocal",T1457="equivocal"),"疑似",IF(AND(R1457="positive",T1457="positive"),"a",IF(T1457="positive","b",IF(R1457="positive","c","d")))))</x:f>
        <x:v>d</x:v>
      </x:c>
      <x:c r="V1457" s="12"/>
      <x:c r="W1457" s="12" t="str">
        <x:v>negative</x:v>
      </x:c>
      <x:c r="X1457" s="12"/>
      <x:c r="Y1457" s="12" t="str">
        <x:v>negative</x:v>
      </x:c>
      <x:c r="Z1457" s="12" t="str">
        <x:f>IF(OR(W1457="unavailable",Y1457="unavailable"),"不可评价",IF(OR(W1457="equivocal",Y1457="equivocal"),"疑似",IF(AND(W1457="positive",Y1457="positive"),"a",IF(Y1457="positive","b",IF(W1457="positive","c","d")))))</x:f>
        <x:v>d</x:v>
      </x:c>
      <x:c r="AA1457" s="12" t="str">
        <x:f>IF(OR(M1457="unavailable",O1457="unavailable"),"不可评价",IF(AND(OR(M1457="positive",M1457="equivocal"),OR(O1457="positive",O1457="equivocal")),"a",IF(OR(O1457="positive",O1457="equivocal"),"b",IF(OR(M1457="positive",M1457="equivocal"),"c","d"))))</x:f>
        <x:v>d</x:v>
      </x:c>
      <x:c r="AB1457" s="12" t="str">
        <x:f>IF(OR(M1457="unavailable",O1457="unavailable"),"不可评价",IF(AND(M1457="positive",O1457="positive"),"a",IF(O1457="positive","b",IF(M1457="positive","c","d"))))</x:f>
        <x:v>d</x:v>
      </x:c>
      <x:c r="AC1457" s="12" t="str">
        <x:f>IF(OR(R1457="unavailable",T1457="unavailable"),"不可评价",IF(AND(OR(R1457="positive",R1457="equivocal"),OR(T1457="positive",T1457="equivocal")),"a",IF(OR(T1457="positive",T1457="equivocal"),"b",IF(OR(R1457="positive",R1457="equivocal"),"c","d"))))</x:f>
        <x:v>d</x:v>
      </x:c>
      <x:c r="AD1457" s="12" t="str">
        <x:f>IF(OR(R1457="unavailable",T1457="unavailable"),"不可评价",IF(AND(R1457="positive",T1457="positive"),"a",IF(T1457="positive","b",IF(R1457="positive","c","d"))))</x:f>
        <x:v>d</x:v>
      </x:c>
      <x:c r="AE1457" s="12" t="str">
        <x:f>IF(OR(W1457="unavailable",Y1457="unavailable"),"不可评价",IF(AND(OR(W1457="positive",W1457="equivocal"),OR(Y1457="positive",Y1457="equivocal")),"a",IF(OR(Y1457="positive",Y1457="equivocal"),"b",IF(OR(W1457="positive",W1457="equivocal"),"c","d"))))</x:f>
        <x:v>d</x:v>
      </x:c>
      <x:c r="AF1457" s="12" t="str">
        <x:f>IF(OR(W1457="unavailable",Y1457="unavailable"),"不可评价",IF(AND(W1457="positive",Y1457="positive"),"a",IF(Y1457="positive","b",IF(W1457="positive","c","d"))))</x:f>
        <x:v>d</x:v>
      </x:c>
    </x:row>
    <x:row r="1458" ht="39" customHeight="1">
      <x:c r="A1458" s="12" t="str">
        <x:v>13338</x:v>
      </x:c>
      <x:c r="B1458" s="12" t="str">
        <x:v>10018</x:v>
      </x:c>
      <x:c r="C1458" s="21" t="n">
        <x:v>34654.6983912037</x:v>
      </x:c>
      <x:c r="D1458" s="12" t="n">
        <x:v>87</x:v>
      </x:c>
      <x:c r="E1458" s="12" t="n">
        <x:v>1</x:v>
      </x:c>
      <x:c r="F1458" s="12" t="str">
        <x:v>未记录</x:v>
      </x:c>
      <x:c r="G1458" s="12" t="n">
        <x:v>1</x:v>
      </x:c>
      <x:c r="H1458" s="12" t="str">
        <x:v>{'ASMI': 100.0, 'LAFB': 100.0, 'ABQRS': 0.0, 'SR': 0.0}</x:v>
      </x:c>
      <x:c r="I1458" s="12" t="str">
        <x:v>[('NSR', 100.0), ('AFB', 100.0), ('LVH2', 100.0), ('QRSW', 100.0), ('SMI;AU', 15.0), ('AB', 100.0)]</x:v>
      </x:c>
      <x:c r="J1458" s="12" t="str">
        <x:v>ptbxl_database.csv；ecg_id=13338；scp_codes</x:v>
      </x:c>
      <x:c r="K1458" s="12" t="str">
        <x:v>12sl_statements.csv；ecg_id=13338；statements_ext_snomed</x:v>
      </x:c>
      <x:c r="L1458" s="12"/>
      <x:c r="M1458" s="12" t="str">
        <x:v>negative</x:v>
      </x:c>
      <x:c r="N1458" s="12"/>
      <x:c r="O1458" s="12" t="str">
        <x:v>negative</x:v>
      </x:c>
      <x:c r="P1458" s="12" t="str">
        <x:f>IF(OR(M1458="unavailable",O1458="unavailable"),"不可评价",IF(OR(M1458="equivocal",O1458="equivocal"),"疑似",IF(AND(M1458="positive",O1458="positive"),"a",IF(O1458="positive","b",IF(M1458="positive","c","d")))))</x:f>
        <x:v>d</x:v>
      </x:c>
      <x:c r="Q1458" s="12"/>
      <x:c r="R1458" s="12" t="str">
        <x:v>negative</x:v>
      </x:c>
      <x:c r="S1458" s="12"/>
      <x:c r="T1458" s="12" t="str">
        <x:v>negative</x:v>
      </x:c>
      <x:c r="U1458" s="12" t="str">
        <x:f>IF(OR(R1458="unavailable",T1458="unavailable"),"不可评价",IF(OR(R1458="equivocal",T1458="equivocal"),"疑似",IF(AND(R1458="positive",T1458="positive"),"a",IF(T1458="positive","b",IF(R1458="positive","c","d")))))</x:f>
        <x:v>d</x:v>
      </x:c>
      <x:c r="V1458" s="12"/>
      <x:c r="W1458" s="12" t="str">
        <x:v>negative</x:v>
      </x:c>
      <x:c r="X1458" s="12"/>
      <x:c r="Y1458" s="12" t="str">
        <x:v>negative</x:v>
      </x:c>
      <x:c r="Z1458" s="12" t="str">
        <x:f>IF(OR(W1458="unavailable",Y1458="unavailable"),"不可评价",IF(OR(W1458="equivocal",Y1458="equivocal"),"疑似",IF(AND(W1458="positive",Y1458="positive"),"a",IF(Y1458="positive","b",IF(W1458="positive","c","d")))))</x:f>
        <x:v>d</x:v>
      </x:c>
      <x:c r="AA1458" s="12" t="str">
        <x:f>IF(OR(M1458="unavailable",O1458="unavailable"),"不可评价",IF(AND(OR(M1458="positive",M1458="equivocal"),OR(O1458="positive",O1458="equivocal")),"a",IF(OR(O1458="positive",O1458="equivocal"),"b",IF(OR(M1458="positive",M1458="equivocal"),"c","d"))))</x:f>
        <x:v>d</x:v>
      </x:c>
      <x:c r="AB1458" s="12" t="str">
        <x:f>IF(OR(M1458="unavailable",O1458="unavailable"),"不可评价",IF(AND(M1458="positive",O1458="positive"),"a",IF(O1458="positive","b",IF(M1458="positive","c","d"))))</x:f>
        <x:v>d</x:v>
      </x:c>
      <x:c r="AC1458" s="12" t="str">
        <x:f>IF(OR(R1458="unavailable",T1458="unavailable"),"不可评价",IF(AND(OR(R1458="positive",R1458="equivocal"),OR(T1458="positive",T1458="equivocal")),"a",IF(OR(T1458="positive",T1458="equivocal"),"b",IF(OR(R1458="positive",R1458="equivocal"),"c","d"))))</x:f>
        <x:v>d</x:v>
      </x:c>
      <x:c r="AD1458" s="12" t="str">
        <x:f>IF(OR(R1458="unavailable",T1458="unavailable"),"不可评价",IF(AND(R1458="positive",T1458="positive"),"a",IF(T1458="positive","b",IF(R1458="positive","c","d"))))</x:f>
        <x:v>d</x:v>
      </x:c>
      <x:c r="AE1458" s="12" t="str">
        <x:f>IF(OR(W1458="unavailable",Y1458="unavailable"),"不可评价",IF(AND(OR(W1458="positive",W1458="equivocal"),OR(Y1458="positive",Y1458="equivocal")),"a",IF(OR(Y1458="positive",Y1458="equivocal"),"b",IF(OR(W1458="positive",W1458="equivocal"),"c","d"))))</x:f>
        <x:v>d</x:v>
      </x:c>
      <x:c r="AF1458" s="12" t="str">
        <x:f>IF(OR(W1458="unavailable",Y1458="unavailable"),"不可评价",IF(AND(W1458="positive",Y1458="positive"),"a",IF(Y1458="positive","b",IF(W1458="positive","c","d"))))</x:f>
        <x:v>d</x:v>
      </x:c>
    </x:row>
    <x:row r="1459" ht="24" customHeight="1">
      <x:c r="A1459" s="12" t="str">
        <x:v>13349</x:v>
      </x:c>
      <x:c r="B1459" s="12" t="str">
        <x:v>19086</x:v>
      </x:c>
      <x:c r="C1459" s="21" t="n">
        <x:v>34657.486597222225</x:v>
      </x:c>
      <x:c r="D1459" s="12" t="n">
        <x:v>34</x:v>
      </x:c>
      <x:c r="E1459" s="12" t="n">
        <x:v>1</x:v>
      </x:c>
      <x:c r="F1459" s="12" t="str">
        <x:v>未记录</x:v>
      </x:c>
      <x:c r="G1459" s="12" t="n">
        <x:v>1</x:v>
      </x:c>
      <x:c r="H1459" s="12" t="str">
        <x:v>{'NORM': 100.0, 'SR': 0.0}</x:v>
      </x:c>
      <x:c r="I1459" s="12" t="str">
        <x:v>[('NSR', 100.0), ('NML', 100.0)]</x:v>
      </x:c>
      <x:c r="J1459" s="12" t="str">
        <x:v>ptbxl_database.csv；ecg_id=13349；scp_codes</x:v>
      </x:c>
      <x:c r="K1459" s="12" t="str">
        <x:v>12sl_statements.csv；ecg_id=13349；statements_ext_snomed</x:v>
      </x:c>
      <x:c r="L1459" s="12"/>
      <x:c r="M1459" s="12" t="str">
        <x:v>negative</x:v>
      </x:c>
      <x:c r="N1459" s="12"/>
      <x:c r="O1459" s="12" t="str">
        <x:v>negative</x:v>
      </x:c>
      <x:c r="P1459" s="12" t="str">
        <x:f>IF(OR(M1459="unavailable",O1459="unavailable"),"不可评价",IF(OR(M1459="equivocal",O1459="equivocal"),"疑似",IF(AND(M1459="positive",O1459="positive"),"a",IF(O1459="positive","b",IF(M1459="positive","c","d")))))</x:f>
        <x:v>d</x:v>
      </x:c>
      <x:c r="Q1459" s="12"/>
      <x:c r="R1459" s="12" t="str">
        <x:v>negative</x:v>
      </x:c>
      <x:c r="S1459" s="12"/>
      <x:c r="T1459" s="12" t="str">
        <x:v>negative</x:v>
      </x:c>
      <x:c r="U1459" s="12" t="str">
        <x:f>IF(OR(R1459="unavailable",T1459="unavailable"),"不可评价",IF(OR(R1459="equivocal",T1459="equivocal"),"疑似",IF(AND(R1459="positive",T1459="positive"),"a",IF(T1459="positive","b",IF(R1459="positive","c","d")))))</x:f>
        <x:v>d</x:v>
      </x:c>
      <x:c r="V1459" s="12"/>
      <x:c r="W1459" s="12" t="str">
        <x:v>negative</x:v>
      </x:c>
      <x:c r="X1459" s="12"/>
      <x:c r="Y1459" s="12" t="str">
        <x:v>negative</x:v>
      </x:c>
      <x:c r="Z1459" s="12" t="str">
        <x:f>IF(OR(W1459="unavailable",Y1459="unavailable"),"不可评价",IF(OR(W1459="equivocal",Y1459="equivocal"),"疑似",IF(AND(W1459="positive",Y1459="positive"),"a",IF(Y1459="positive","b",IF(W1459="positive","c","d")))))</x:f>
        <x:v>d</x:v>
      </x:c>
      <x:c r="AA1459" s="12" t="str">
        <x:f>IF(OR(M1459="unavailable",O1459="unavailable"),"不可评价",IF(AND(OR(M1459="positive",M1459="equivocal"),OR(O1459="positive",O1459="equivocal")),"a",IF(OR(O1459="positive",O1459="equivocal"),"b",IF(OR(M1459="positive",M1459="equivocal"),"c","d"))))</x:f>
        <x:v>d</x:v>
      </x:c>
      <x:c r="AB1459" s="12" t="str">
        <x:f>IF(OR(M1459="unavailable",O1459="unavailable"),"不可评价",IF(AND(M1459="positive",O1459="positive"),"a",IF(O1459="positive","b",IF(M1459="positive","c","d"))))</x:f>
        <x:v>d</x:v>
      </x:c>
      <x:c r="AC1459" s="12" t="str">
        <x:f>IF(OR(R1459="unavailable",T1459="unavailable"),"不可评价",IF(AND(OR(R1459="positive",R1459="equivocal"),OR(T1459="positive",T1459="equivocal")),"a",IF(OR(T1459="positive",T1459="equivocal"),"b",IF(OR(R1459="positive",R1459="equivocal"),"c","d"))))</x:f>
        <x:v>d</x:v>
      </x:c>
      <x:c r="AD1459" s="12" t="str">
        <x:f>IF(OR(R1459="unavailable",T1459="unavailable"),"不可评价",IF(AND(R1459="positive",T1459="positive"),"a",IF(T1459="positive","b",IF(R1459="positive","c","d"))))</x:f>
        <x:v>d</x:v>
      </x:c>
      <x:c r="AE1459" s="12" t="str">
        <x:f>IF(OR(W1459="unavailable",Y1459="unavailable"),"不可评价",IF(AND(OR(W1459="positive",W1459="equivocal"),OR(Y1459="positive",Y1459="equivocal")),"a",IF(OR(Y1459="positive",Y1459="equivocal"),"b",IF(OR(W1459="positive",W1459="equivocal"),"c","d"))))</x:f>
        <x:v>d</x:v>
      </x:c>
      <x:c r="AF1459" s="12" t="str">
        <x:f>IF(OR(W1459="unavailable",Y1459="unavailable"),"不可评价",IF(AND(W1459="positive",Y1459="positive"),"a",IF(Y1459="positive","b",IF(W1459="positive","c","d"))))</x:f>
        <x:v>d</x:v>
      </x:c>
    </x:row>
    <x:row r="1460" ht="24" customHeight="1">
      <x:c r="A1460" s="12" t="str">
        <x:v>13361</x:v>
      </x:c>
      <x:c r="B1460" s="12" t="str">
        <x:v>12506</x:v>
      </x:c>
      <x:c r="C1460" s="21" t="n">
        <x:v>34660.4546875</x:v>
      </x:c>
      <x:c r="D1460" s="12" t="n">
        <x:v>40</x:v>
      </x:c>
      <x:c r="E1460" s="12" t="n">
        <x:v>0</x:v>
      </x:c>
      <x:c r="F1460" s="12" t="str">
        <x:v>未记录</x:v>
      </x:c>
      <x:c r="G1460" s="12" t="n">
        <x:v>1</x:v>
      </x:c>
      <x:c r="H1460" s="12" t="str">
        <x:v>{'NDT': 100.0, 'SARRH': 0.0}</x:v>
      </x:c>
      <x:c r="I1460" s="12" t="str">
        <x:v>[('NSR', 100.0), ('SAR', 100.0), ('NT', 100.0), ('AB', 100.0)]</x:v>
      </x:c>
      <x:c r="J1460" s="12" t="str">
        <x:v>ptbxl_database.csv；ecg_id=13361；scp_codes</x:v>
      </x:c>
      <x:c r="K1460" s="12" t="str">
        <x:v>12sl_statements.csv；ecg_id=13361；statements_ext_snomed</x:v>
      </x:c>
      <x:c r="L1460" s="12"/>
      <x:c r="M1460" s="12" t="str">
        <x:v>negative</x:v>
      </x:c>
      <x:c r="N1460" s="12"/>
      <x:c r="O1460" s="12" t="str">
        <x:v>negative</x:v>
      </x:c>
      <x:c r="P1460" s="12" t="str">
        <x:f>IF(OR(M1460="unavailable",O1460="unavailable"),"不可评价",IF(OR(M1460="equivocal",O1460="equivocal"),"疑似",IF(AND(M1460="positive",O1460="positive"),"a",IF(O1460="positive","b",IF(M1460="positive","c","d")))))</x:f>
        <x:v>d</x:v>
      </x:c>
      <x:c r="Q1460" s="12"/>
      <x:c r="R1460" s="12" t="str">
        <x:v>negative</x:v>
      </x:c>
      <x:c r="S1460" s="12"/>
      <x:c r="T1460" s="12" t="str">
        <x:v>negative</x:v>
      </x:c>
      <x:c r="U1460" s="12" t="str">
        <x:f>IF(OR(R1460="unavailable",T1460="unavailable"),"不可评价",IF(OR(R1460="equivocal",T1460="equivocal"),"疑似",IF(AND(R1460="positive",T1460="positive"),"a",IF(T1460="positive","b",IF(R1460="positive","c","d")))))</x:f>
        <x:v>d</x:v>
      </x:c>
      <x:c r="V1460" s="12"/>
      <x:c r="W1460" s="12" t="str">
        <x:v>negative</x:v>
      </x:c>
      <x:c r="X1460" s="12"/>
      <x:c r="Y1460" s="12" t="str">
        <x:v>negative</x:v>
      </x:c>
      <x:c r="Z1460" s="12" t="str">
        <x:f>IF(OR(W1460="unavailable",Y1460="unavailable"),"不可评价",IF(OR(W1460="equivocal",Y1460="equivocal"),"疑似",IF(AND(W1460="positive",Y1460="positive"),"a",IF(Y1460="positive","b",IF(W1460="positive","c","d")))))</x:f>
        <x:v>d</x:v>
      </x:c>
      <x:c r="AA1460" s="12" t="str">
        <x:f>IF(OR(M1460="unavailable",O1460="unavailable"),"不可评价",IF(AND(OR(M1460="positive",M1460="equivocal"),OR(O1460="positive",O1460="equivocal")),"a",IF(OR(O1460="positive",O1460="equivocal"),"b",IF(OR(M1460="positive",M1460="equivocal"),"c","d"))))</x:f>
        <x:v>d</x:v>
      </x:c>
      <x:c r="AB1460" s="12" t="str">
        <x:f>IF(OR(M1460="unavailable",O1460="unavailable"),"不可评价",IF(AND(M1460="positive",O1460="positive"),"a",IF(O1460="positive","b",IF(M1460="positive","c","d"))))</x:f>
        <x:v>d</x:v>
      </x:c>
      <x:c r="AC1460" s="12" t="str">
        <x:f>IF(OR(R1460="unavailable",T1460="unavailable"),"不可评价",IF(AND(OR(R1460="positive",R1460="equivocal"),OR(T1460="positive",T1460="equivocal")),"a",IF(OR(T1460="positive",T1460="equivocal"),"b",IF(OR(R1460="positive",R1460="equivocal"),"c","d"))))</x:f>
        <x:v>d</x:v>
      </x:c>
      <x:c r="AD1460" s="12" t="str">
        <x:f>IF(OR(R1460="unavailable",T1460="unavailable"),"不可评价",IF(AND(R1460="positive",T1460="positive"),"a",IF(T1460="positive","b",IF(R1460="positive","c","d"))))</x:f>
        <x:v>d</x:v>
      </x:c>
      <x:c r="AE1460" s="12" t="str">
        <x:f>IF(OR(W1460="unavailable",Y1460="unavailable"),"不可评价",IF(AND(OR(W1460="positive",W1460="equivocal"),OR(Y1460="positive",Y1460="equivocal")),"a",IF(OR(Y1460="positive",Y1460="equivocal"),"b",IF(OR(W1460="positive",W1460="equivocal"),"c","d"))))</x:f>
        <x:v>d</x:v>
      </x:c>
      <x:c r="AF1460" s="12" t="str">
        <x:f>IF(OR(W1460="unavailable",Y1460="unavailable"),"不可评价",IF(AND(W1460="positive",Y1460="positive"),"a",IF(Y1460="positive","b",IF(W1460="positive","c","d"))))</x:f>
        <x:v>d</x:v>
      </x:c>
    </x:row>
    <x:row r="1461" ht="24" customHeight="1">
      <x:c r="A1461" s="12" t="str">
        <x:v>13370</x:v>
      </x:c>
      <x:c r="B1461" s="12" t="str">
        <x:v>12465</x:v>
      </x:c>
      <x:c r="C1461" s="21" t="n">
        <x:v>34661.47803240741</x:v>
      </x:c>
      <x:c r="D1461" s="12" t="n">
        <x:v>45</x:v>
      </x:c>
      <x:c r="E1461" s="12" t="n">
        <x:v>1</x:v>
      </x:c>
      <x:c r="F1461" s="12" t="str">
        <x:v>未记录</x:v>
      </x:c>
      <x:c r="G1461" s="12" t="n">
        <x:v>1</x:v>
      </x:c>
      <x:c r="H1461" s="12" t="str">
        <x:v>{'NORM': 100.0}</x:v>
      </x:c>
      <x:c r="I1461" s="12" t="str">
        <x:v>[('NSR', 100.0), ('NML', 100.0)]</x:v>
      </x:c>
      <x:c r="J1461" s="12" t="str">
        <x:v>ptbxl_database.csv；ecg_id=13370；scp_codes</x:v>
      </x:c>
      <x:c r="K1461" s="12" t="str">
        <x:v>12sl_statements.csv；ecg_id=13370；statements_ext_snomed</x:v>
      </x:c>
      <x:c r="L1461" s="12"/>
      <x:c r="M1461" s="12" t="str">
        <x:v>negative</x:v>
      </x:c>
      <x:c r="N1461" s="12"/>
      <x:c r="O1461" s="12" t="str">
        <x:v>negative</x:v>
      </x:c>
      <x:c r="P1461" s="12" t="str">
        <x:f>IF(OR(M1461="unavailable",O1461="unavailable"),"不可评价",IF(OR(M1461="equivocal",O1461="equivocal"),"疑似",IF(AND(M1461="positive",O1461="positive"),"a",IF(O1461="positive","b",IF(M1461="positive","c","d")))))</x:f>
        <x:v>d</x:v>
      </x:c>
      <x:c r="Q1461" s="12"/>
      <x:c r="R1461" s="12" t="str">
        <x:v>negative</x:v>
      </x:c>
      <x:c r="S1461" s="12"/>
      <x:c r="T1461" s="12" t="str">
        <x:v>negative</x:v>
      </x:c>
      <x:c r="U1461" s="12" t="str">
        <x:f>IF(OR(R1461="unavailable",T1461="unavailable"),"不可评价",IF(OR(R1461="equivocal",T1461="equivocal"),"疑似",IF(AND(R1461="positive",T1461="positive"),"a",IF(T1461="positive","b",IF(R1461="positive","c","d")))))</x:f>
        <x:v>d</x:v>
      </x:c>
      <x:c r="V1461" s="12"/>
      <x:c r="W1461" s="12" t="str">
        <x:v>negative</x:v>
      </x:c>
      <x:c r="X1461" s="12"/>
      <x:c r="Y1461" s="12" t="str">
        <x:v>negative</x:v>
      </x:c>
      <x:c r="Z1461" s="12" t="str">
        <x:f>IF(OR(W1461="unavailable",Y1461="unavailable"),"不可评价",IF(OR(W1461="equivocal",Y1461="equivocal"),"疑似",IF(AND(W1461="positive",Y1461="positive"),"a",IF(Y1461="positive","b",IF(W1461="positive","c","d")))))</x:f>
        <x:v>d</x:v>
      </x:c>
      <x:c r="AA1461" s="12" t="str">
        <x:f>IF(OR(M1461="unavailable",O1461="unavailable"),"不可评价",IF(AND(OR(M1461="positive",M1461="equivocal"),OR(O1461="positive",O1461="equivocal")),"a",IF(OR(O1461="positive",O1461="equivocal"),"b",IF(OR(M1461="positive",M1461="equivocal"),"c","d"))))</x:f>
        <x:v>d</x:v>
      </x:c>
      <x:c r="AB1461" s="12" t="str">
        <x:f>IF(OR(M1461="unavailable",O1461="unavailable"),"不可评价",IF(AND(M1461="positive",O1461="positive"),"a",IF(O1461="positive","b",IF(M1461="positive","c","d"))))</x:f>
        <x:v>d</x:v>
      </x:c>
      <x:c r="AC1461" s="12" t="str">
        <x:f>IF(OR(R1461="unavailable",T1461="unavailable"),"不可评价",IF(AND(OR(R1461="positive",R1461="equivocal"),OR(T1461="positive",T1461="equivocal")),"a",IF(OR(T1461="positive",T1461="equivocal"),"b",IF(OR(R1461="positive",R1461="equivocal"),"c","d"))))</x:f>
        <x:v>d</x:v>
      </x:c>
      <x:c r="AD1461" s="12" t="str">
        <x:f>IF(OR(R1461="unavailable",T1461="unavailable"),"不可评价",IF(AND(R1461="positive",T1461="positive"),"a",IF(T1461="positive","b",IF(R1461="positive","c","d"))))</x:f>
        <x:v>d</x:v>
      </x:c>
      <x:c r="AE1461" s="12" t="str">
        <x:f>IF(OR(W1461="unavailable",Y1461="unavailable"),"不可评价",IF(AND(OR(W1461="positive",W1461="equivocal"),OR(Y1461="positive",Y1461="equivocal")),"a",IF(OR(Y1461="positive",Y1461="equivocal"),"b",IF(OR(W1461="positive",W1461="equivocal"),"c","d"))))</x:f>
        <x:v>d</x:v>
      </x:c>
      <x:c r="AF1461" s="12" t="str">
        <x:f>IF(OR(W1461="unavailable",Y1461="unavailable"),"不可评价",IF(AND(W1461="positive",Y1461="positive"),"a",IF(Y1461="positive","b",IF(W1461="positive","c","d"))))</x:f>
        <x:v>d</x:v>
      </x:c>
    </x:row>
    <x:row r="1462" ht="24" customHeight="1">
      <x:c r="A1462" s="12" t="str">
        <x:v>13380</x:v>
      </x:c>
      <x:c r="B1462" s="12" t="str">
        <x:v>19220</x:v>
      </x:c>
      <x:c r="C1462" s="21" t="n">
        <x:v>34664.30578703704</x:v>
      </x:c>
      <x:c r="D1462" s="12" t="n">
        <x:v>46</x:v>
      </x:c>
      <x:c r="E1462" s="12" t="n">
        <x:v>0</x:v>
      </x:c>
      <x:c r="F1462" s="12" t="str">
        <x:v>存在</x:v>
      </x:c>
      <x:c r="G1462" s="12" t="n">
        <x:v>1</x:v>
      </x:c>
      <x:c r="H1462" s="12" t="str">
        <x:v>{'NORM': 100.0, 'SR': 0.0}</x:v>
      </x:c>
      <x:c r="I1462" s="12" t="str">
        <x:v>[('NSR', 100.0), ('NML', 100.0)]</x:v>
      </x:c>
      <x:c r="J1462" s="12" t="str">
        <x:v>ptbxl_database.csv；ecg_id=13380；scp_codes</x:v>
      </x:c>
      <x:c r="K1462" s="12" t="str">
        <x:v>12sl_statements.csv；ecg_id=13380；statements_ext_snomed</x:v>
      </x:c>
      <x:c r="L1462" s="12"/>
      <x:c r="M1462" s="12" t="str">
        <x:v>negative</x:v>
      </x:c>
      <x:c r="N1462" s="12"/>
      <x:c r="O1462" s="12" t="str">
        <x:v>negative</x:v>
      </x:c>
      <x:c r="P1462" s="12" t="str">
        <x:f>IF(OR(M1462="unavailable",O1462="unavailable"),"不可评价",IF(OR(M1462="equivocal",O1462="equivocal"),"疑似",IF(AND(M1462="positive",O1462="positive"),"a",IF(O1462="positive","b",IF(M1462="positive","c","d")))))</x:f>
        <x:v>d</x:v>
      </x:c>
      <x:c r="Q1462" s="12"/>
      <x:c r="R1462" s="12" t="str">
        <x:v>negative</x:v>
      </x:c>
      <x:c r="S1462" s="12"/>
      <x:c r="T1462" s="12" t="str">
        <x:v>negative</x:v>
      </x:c>
      <x:c r="U1462" s="12" t="str">
        <x:f>IF(OR(R1462="unavailable",T1462="unavailable"),"不可评价",IF(OR(R1462="equivocal",T1462="equivocal"),"疑似",IF(AND(R1462="positive",T1462="positive"),"a",IF(T1462="positive","b",IF(R1462="positive","c","d")))))</x:f>
        <x:v>d</x:v>
      </x:c>
      <x:c r="V1462" s="12"/>
      <x:c r="W1462" s="12" t="str">
        <x:v>negative</x:v>
      </x:c>
      <x:c r="X1462" s="12"/>
      <x:c r="Y1462" s="12" t="str">
        <x:v>negative</x:v>
      </x:c>
      <x:c r="Z1462" s="12" t="str">
        <x:f>IF(OR(W1462="unavailable",Y1462="unavailable"),"不可评价",IF(OR(W1462="equivocal",Y1462="equivocal"),"疑似",IF(AND(W1462="positive",Y1462="positive"),"a",IF(Y1462="positive","b",IF(W1462="positive","c","d")))))</x:f>
        <x:v>d</x:v>
      </x:c>
      <x:c r="AA1462" s="12" t="str">
        <x:f>IF(OR(M1462="unavailable",O1462="unavailable"),"不可评价",IF(AND(OR(M1462="positive",M1462="equivocal"),OR(O1462="positive",O1462="equivocal")),"a",IF(OR(O1462="positive",O1462="equivocal"),"b",IF(OR(M1462="positive",M1462="equivocal"),"c","d"))))</x:f>
        <x:v>d</x:v>
      </x:c>
      <x:c r="AB1462" s="12" t="str">
        <x:f>IF(OR(M1462="unavailable",O1462="unavailable"),"不可评价",IF(AND(M1462="positive",O1462="positive"),"a",IF(O1462="positive","b",IF(M1462="positive","c","d"))))</x:f>
        <x:v>d</x:v>
      </x:c>
      <x:c r="AC1462" s="12" t="str">
        <x:f>IF(OR(R1462="unavailable",T1462="unavailable"),"不可评价",IF(AND(OR(R1462="positive",R1462="equivocal"),OR(T1462="positive",T1462="equivocal")),"a",IF(OR(T1462="positive",T1462="equivocal"),"b",IF(OR(R1462="positive",R1462="equivocal"),"c","d"))))</x:f>
        <x:v>d</x:v>
      </x:c>
      <x:c r="AD1462" s="12" t="str">
        <x:f>IF(OR(R1462="unavailable",T1462="unavailable"),"不可评价",IF(AND(R1462="positive",T1462="positive"),"a",IF(T1462="positive","b",IF(R1462="positive","c","d"))))</x:f>
        <x:v>d</x:v>
      </x:c>
      <x:c r="AE1462" s="12" t="str">
        <x:f>IF(OR(W1462="unavailable",Y1462="unavailable"),"不可评价",IF(AND(OR(W1462="positive",W1462="equivocal"),OR(Y1462="positive",Y1462="equivocal")),"a",IF(OR(Y1462="positive",Y1462="equivocal"),"b",IF(OR(W1462="positive",W1462="equivocal"),"c","d"))))</x:f>
        <x:v>d</x:v>
      </x:c>
      <x:c r="AF1462" s="12" t="str">
        <x:f>IF(OR(W1462="unavailable",Y1462="unavailable"),"不可评价",IF(AND(W1462="positive",Y1462="positive"),"a",IF(Y1462="positive","b",IF(W1462="positive","c","d"))))</x:f>
        <x:v>d</x:v>
      </x:c>
    </x:row>
    <x:row r="1463" ht="24" customHeight="1">
      <x:c r="A1463" s="12" t="str">
        <x:v>13397</x:v>
      </x:c>
      <x:c r="B1463" s="12" t="str">
        <x:v>19052</x:v>
      </x:c>
      <x:c r="C1463" s="21" t="n">
        <x:v>34666.67795138889</x:v>
      </x:c>
      <x:c r="D1463" s="12" t="n">
        <x:v>37</x:v>
      </x:c>
      <x:c r="E1463" s="12" t="n">
        <x:v>0</x:v>
      </x:c>
      <x:c r="F1463" s="12" t="str">
        <x:v>未记录</x:v>
      </x:c>
      <x:c r="G1463" s="12" t="n">
        <x:v>1</x:v>
      </x:c>
      <x:c r="H1463" s="12" t="str">
        <x:v>{'NDT': 100.0, 'ABQRS': 0.0, 'STACH': 0.0}</x:v>
      </x:c>
      <x:c r="I1463" s="12" t="str">
        <x:v>[('STACH', 100.0), ('NT', 100.0), ('AB', 100.0)]</x:v>
      </x:c>
      <x:c r="J1463" s="12" t="str">
        <x:v>ptbxl_database.csv；ecg_id=13397；scp_codes</x:v>
      </x:c>
      <x:c r="K1463" s="12" t="str">
        <x:v>12sl_statements.csv；ecg_id=13397；statements_ext_snomed</x:v>
      </x:c>
      <x:c r="L1463" s="12"/>
      <x:c r="M1463" s="12" t="str">
        <x:v>negative</x:v>
      </x:c>
      <x:c r="N1463" s="12"/>
      <x:c r="O1463" s="12" t="str">
        <x:v>negative</x:v>
      </x:c>
      <x:c r="P1463" s="12" t="str">
        <x:f>IF(OR(M1463="unavailable",O1463="unavailable"),"不可评价",IF(OR(M1463="equivocal",O1463="equivocal"),"疑似",IF(AND(M1463="positive",O1463="positive"),"a",IF(O1463="positive","b",IF(M1463="positive","c","d")))))</x:f>
        <x:v>d</x:v>
      </x:c>
      <x:c r="Q1463" s="12"/>
      <x:c r="R1463" s="12" t="str">
        <x:v>negative</x:v>
      </x:c>
      <x:c r="S1463" s="12"/>
      <x:c r="T1463" s="12" t="str">
        <x:v>negative</x:v>
      </x:c>
      <x:c r="U1463" s="12" t="str">
        <x:f>IF(OR(R1463="unavailable",T1463="unavailable"),"不可评价",IF(OR(R1463="equivocal",T1463="equivocal"),"疑似",IF(AND(R1463="positive",T1463="positive"),"a",IF(T1463="positive","b",IF(R1463="positive","c","d")))))</x:f>
        <x:v>d</x:v>
      </x:c>
      <x:c r="V1463" s="12"/>
      <x:c r="W1463" s="12" t="str">
        <x:v>negative</x:v>
      </x:c>
      <x:c r="X1463" s="12"/>
      <x:c r="Y1463" s="12" t="str">
        <x:v>negative</x:v>
      </x:c>
      <x:c r="Z1463" s="12" t="str">
        <x:f>IF(OR(W1463="unavailable",Y1463="unavailable"),"不可评价",IF(OR(W1463="equivocal",Y1463="equivocal"),"疑似",IF(AND(W1463="positive",Y1463="positive"),"a",IF(Y1463="positive","b",IF(W1463="positive","c","d")))))</x:f>
        <x:v>d</x:v>
      </x:c>
      <x:c r="AA1463" s="12" t="str">
        <x:f>IF(OR(M1463="unavailable",O1463="unavailable"),"不可评价",IF(AND(OR(M1463="positive",M1463="equivocal"),OR(O1463="positive",O1463="equivocal")),"a",IF(OR(O1463="positive",O1463="equivocal"),"b",IF(OR(M1463="positive",M1463="equivocal"),"c","d"))))</x:f>
        <x:v>d</x:v>
      </x:c>
      <x:c r="AB1463" s="12" t="str">
        <x:f>IF(OR(M1463="unavailable",O1463="unavailable"),"不可评价",IF(AND(M1463="positive",O1463="positive"),"a",IF(O1463="positive","b",IF(M1463="positive","c","d"))))</x:f>
        <x:v>d</x:v>
      </x:c>
      <x:c r="AC1463" s="12" t="str">
        <x:f>IF(OR(R1463="unavailable",T1463="unavailable"),"不可评价",IF(AND(OR(R1463="positive",R1463="equivocal"),OR(T1463="positive",T1463="equivocal")),"a",IF(OR(T1463="positive",T1463="equivocal"),"b",IF(OR(R1463="positive",R1463="equivocal"),"c","d"))))</x:f>
        <x:v>d</x:v>
      </x:c>
      <x:c r="AD1463" s="12" t="str">
        <x:f>IF(OR(R1463="unavailable",T1463="unavailable"),"不可评价",IF(AND(R1463="positive",T1463="positive"),"a",IF(T1463="positive","b",IF(R1463="positive","c","d"))))</x:f>
        <x:v>d</x:v>
      </x:c>
      <x:c r="AE1463" s="12" t="str">
        <x:f>IF(OR(W1463="unavailable",Y1463="unavailable"),"不可评价",IF(AND(OR(W1463="positive",W1463="equivocal"),OR(Y1463="positive",Y1463="equivocal")),"a",IF(OR(Y1463="positive",Y1463="equivocal"),"b",IF(OR(W1463="positive",W1463="equivocal"),"c","d"))))</x:f>
        <x:v>d</x:v>
      </x:c>
      <x:c r="AF1463" s="12" t="str">
        <x:f>IF(OR(W1463="unavailable",Y1463="unavailable"),"不可评价",IF(AND(W1463="positive",Y1463="positive"),"a",IF(Y1463="positive","b",IF(W1463="positive","c","d"))))</x:f>
        <x:v>d</x:v>
      </x:c>
    </x:row>
    <x:row r="1464" ht="24" customHeight="1">
      <x:c r="A1464" s="12" t="str">
        <x:v>13398</x:v>
      </x:c>
      <x:c r="B1464" s="12" t="str">
        <x:v>20811</x:v>
      </x:c>
      <x:c r="C1464" s="21" t="n">
        <x:v>34667.48241898148</x:v>
      </x:c>
      <x:c r="D1464" s="12" t="n">
        <x:v>65</x:v>
      </x:c>
      <x:c r="E1464" s="12" t="n">
        <x:v>1</x:v>
      </x:c>
      <x:c r="F1464" s="12" t="str">
        <x:v>未记录</x:v>
      </x:c>
      <x:c r="G1464" s="12" t="n">
        <x:v>0</x:v>
      </x:c>
      <x:c r="H1464" s="12" t="str">
        <x:v>{'NORM': 100.0, 'SR': 0.0}</x:v>
      </x:c>
      <x:c r="I1464" s="12" t="str">
        <x:v>[('NSR', 100.0), ('NML', 100.0)]</x:v>
      </x:c>
      <x:c r="J1464" s="12" t="str">
        <x:v>ptbxl_database.csv；ecg_id=13398；scp_codes</x:v>
      </x:c>
      <x:c r="K1464" s="12" t="str">
        <x:v>12sl_statements.csv；ecg_id=13398；statements_ext_snomed</x:v>
      </x:c>
      <x:c r="L1464" s="12"/>
      <x:c r="M1464" s="12" t="str">
        <x:v>negative</x:v>
      </x:c>
      <x:c r="N1464" s="12"/>
      <x:c r="O1464" s="12" t="str">
        <x:v>negative</x:v>
      </x:c>
      <x:c r="P1464" s="12" t="str">
        <x:f>IF(OR(M1464="unavailable",O1464="unavailable"),"不可评价",IF(OR(M1464="equivocal",O1464="equivocal"),"疑似",IF(AND(M1464="positive",O1464="positive"),"a",IF(O1464="positive","b",IF(M1464="positive","c","d")))))</x:f>
        <x:v>d</x:v>
      </x:c>
      <x:c r="Q1464" s="12"/>
      <x:c r="R1464" s="12" t="str">
        <x:v>negative</x:v>
      </x:c>
      <x:c r="S1464" s="12"/>
      <x:c r="T1464" s="12" t="str">
        <x:v>negative</x:v>
      </x:c>
      <x:c r="U1464" s="12" t="str">
        <x:f>IF(OR(R1464="unavailable",T1464="unavailable"),"不可评价",IF(OR(R1464="equivocal",T1464="equivocal"),"疑似",IF(AND(R1464="positive",T1464="positive"),"a",IF(T1464="positive","b",IF(R1464="positive","c","d")))))</x:f>
        <x:v>d</x:v>
      </x:c>
      <x:c r="V1464" s="12"/>
      <x:c r="W1464" s="12" t="str">
        <x:v>negative</x:v>
      </x:c>
      <x:c r="X1464" s="12"/>
      <x:c r="Y1464" s="12" t="str">
        <x:v>negative</x:v>
      </x:c>
      <x:c r="Z1464" s="12" t="str">
        <x:f>IF(OR(W1464="unavailable",Y1464="unavailable"),"不可评价",IF(OR(W1464="equivocal",Y1464="equivocal"),"疑似",IF(AND(W1464="positive",Y1464="positive"),"a",IF(Y1464="positive","b",IF(W1464="positive","c","d")))))</x:f>
        <x:v>d</x:v>
      </x:c>
      <x:c r="AA1464" s="12" t="str">
        <x:f>IF(OR(M1464="unavailable",O1464="unavailable"),"不可评价",IF(AND(OR(M1464="positive",M1464="equivocal"),OR(O1464="positive",O1464="equivocal")),"a",IF(OR(O1464="positive",O1464="equivocal"),"b",IF(OR(M1464="positive",M1464="equivocal"),"c","d"))))</x:f>
        <x:v>d</x:v>
      </x:c>
      <x:c r="AB1464" s="12" t="str">
        <x:f>IF(OR(M1464="unavailable",O1464="unavailable"),"不可评价",IF(AND(M1464="positive",O1464="positive"),"a",IF(O1464="positive","b",IF(M1464="positive","c","d"))))</x:f>
        <x:v>d</x:v>
      </x:c>
      <x:c r="AC1464" s="12" t="str">
        <x:f>IF(OR(R1464="unavailable",T1464="unavailable"),"不可评价",IF(AND(OR(R1464="positive",R1464="equivocal"),OR(T1464="positive",T1464="equivocal")),"a",IF(OR(T1464="positive",T1464="equivocal"),"b",IF(OR(R1464="positive",R1464="equivocal"),"c","d"))))</x:f>
        <x:v>d</x:v>
      </x:c>
      <x:c r="AD1464" s="12" t="str">
        <x:f>IF(OR(R1464="unavailable",T1464="unavailable"),"不可评价",IF(AND(R1464="positive",T1464="positive"),"a",IF(T1464="positive","b",IF(R1464="positive","c","d"))))</x:f>
        <x:v>d</x:v>
      </x:c>
      <x:c r="AE1464" s="12" t="str">
        <x:f>IF(OR(W1464="unavailable",Y1464="unavailable"),"不可评价",IF(AND(OR(W1464="positive",W1464="equivocal"),OR(Y1464="positive",Y1464="equivocal")),"a",IF(OR(Y1464="positive",Y1464="equivocal"),"b",IF(OR(W1464="positive",W1464="equivocal"),"c","d"))))</x:f>
        <x:v>d</x:v>
      </x:c>
      <x:c r="AF1464" s="12" t="str">
        <x:f>IF(OR(W1464="unavailable",Y1464="unavailable"),"不可评价",IF(AND(W1464="positive",Y1464="positive"),"a",IF(Y1464="positive","b",IF(W1464="positive","c","d"))))</x:f>
        <x:v>d</x:v>
      </x:c>
    </x:row>
    <x:row r="1465" ht="24" customHeight="1">
      <x:c r="A1465" s="12" t="str">
        <x:v>13400</x:v>
      </x:c>
      <x:c r="B1465" s="12" t="str">
        <x:v>20135</x:v>
      </x:c>
      <x:c r="C1465" s="21" t="n">
        <x:v>34667.614895833336</x:v>
      </x:c>
      <x:c r="D1465" s="12" t="n">
        <x:v>64</x:v>
      </x:c>
      <x:c r="E1465" s="12" t="n">
        <x:v>1</x:v>
      </x:c>
      <x:c r="F1465" s="12" t="str">
        <x:v>未记录</x:v>
      </x:c>
      <x:c r="G1465" s="12" t="n">
        <x:v>1</x:v>
      </x:c>
      <x:c r="H1465" s="12" t="str">
        <x:v>{'NORM': 100.0, 'SR': 0.0}</x:v>
      </x:c>
      <x:c r="I1465" s="12" t="str">
        <x:v>[('NSR', 100.0), ('NML', 100.0)]</x:v>
      </x:c>
      <x:c r="J1465" s="12" t="str">
        <x:v>ptbxl_database.csv；ecg_id=13400；scp_codes</x:v>
      </x:c>
      <x:c r="K1465" s="12" t="str">
        <x:v>12sl_statements.csv；ecg_id=13400；statements_ext_snomed</x:v>
      </x:c>
      <x:c r="L1465" s="12"/>
      <x:c r="M1465" s="12" t="str">
        <x:v>negative</x:v>
      </x:c>
      <x:c r="N1465" s="12"/>
      <x:c r="O1465" s="12" t="str">
        <x:v>negative</x:v>
      </x:c>
      <x:c r="P1465" s="12" t="str">
        <x:f>IF(OR(M1465="unavailable",O1465="unavailable"),"不可评价",IF(OR(M1465="equivocal",O1465="equivocal"),"疑似",IF(AND(M1465="positive",O1465="positive"),"a",IF(O1465="positive","b",IF(M1465="positive","c","d")))))</x:f>
        <x:v>d</x:v>
      </x:c>
      <x:c r="Q1465" s="12"/>
      <x:c r="R1465" s="12" t="str">
        <x:v>negative</x:v>
      </x:c>
      <x:c r="S1465" s="12"/>
      <x:c r="T1465" s="12" t="str">
        <x:v>negative</x:v>
      </x:c>
      <x:c r="U1465" s="12" t="str">
        <x:f>IF(OR(R1465="unavailable",T1465="unavailable"),"不可评价",IF(OR(R1465="equivocal",T1465="equivocal"),"疑似",IF(AND(R1465="positive",T1465="positive"),"a",IF(T1465="positive","b",IF(R1465="positive","c","d")))))</x:f>
        <x:v>d</x:v>
      </x:c>
      <x:c r="V1465" s="12"/>
      <x:c r="W1465" s="12" t="str">
        <x:v>negative</x:v>
      </x:c>
      <x:c r="X1465" s="12"/>
      <x:c r="Y1465" s="12" t="str">
        <x:v>negative</x:v>
      </x:c>
      <x:c r="Z1465" s="12" t="str">
        <x:f>IF(OR(W1465="unavailable",Y1465="unavailable"),"不可评价",IF(OR(W1465="equivocal",Y1465="equivocal"),"疑似",IF(AND(W1465="positive",Y1465="positive"),"a",IF(Y1465="positive","b",IF(W1465="positive","c","d")))))</x:f>
        <x:v>d</x:v>
      </x:c>
      <x:c r="AA1465" s="12" t="str">
        <x:f>IF(OR(M1465="unavailable",O1465="unavailable"),"不可评价",IF(AND(OR(M1465="positive",M1465="equivocal"),OR(O1465="positive",O1465="equivocal")),"a",IF(OR(O1465="positive",O1465="equivocal"),"b",IF(OR(M1465="positive",M1465="equivocal"),"c","d"))))</x:f>
        <x:v>d</x:v>
      </x:c>
      <x:c r="AB1465" s="12" t="str">
        <x:f>IF(OR(M1465="unavailable",O1465="unavailable"),"不可评价",IF(AND(M1465="positive",O1465="positive"),"a",IF(O1465="positive","b",IF(M1465="positive","c","d"))))</x:f>
        <x:v>d</x:v>
      </x:c>
      <x:c r="AC1465" s="12" t="str">
        <x:f>IF(OR(R1465="unavailable",T1465="unavailable"),"不可评价",IF(AND(OR(R1465="positive",R1465="equivocal"),OR(T1465="positive",T1465="equivocal")),"a",IF(OR(T1465="positive",T1465="equivocal"),"b",IF(OR(R1465="positive",R1465="equivocal"),"c","d"))))</x:f>
        <x:v>d</x:v>
      </x:c>
      <x:c r="AD1465" s="12" t="str">
        <x:f>IF(OR(R1465="unavailable",T1465="unavailable"),"不可评价",IF(AND(R1465="positive",T1465="positive"),"a",IF(T1465="positive","b",IF(R1465="positive","c","d"))))</x:f>
        <x:v>d</x:v>
      </x:c>
      <x:c r="AE1465" s="12" t="str">
        <x:f>IF(OR(W1465="unavailable",Y1465="unavailable"),"不可评价",IF(AND(OR(W1465="positive",W1465="equivocal"),OR(Y1465="positive",Y1465="equivocal")),"a",IF(OR(Y1465="positive",Y1465="equivocal"),"b",IF(OR(W1465="positive",W1465="equivocal"),"c","d"))))</x:f>
        <x:v>d</x:v>
      </x:c>
      <x:c r="AF1465" s="12" t="str">
        <x:f>IF(OR(W1465="unavailable",Y1465="unavailable"),"不可评价",IF(AND(W1465="positive",Y1465="positive"),"a",IF(Y1465="positive","b",IF(W1465="positive","c","d"))))</x:f>
        <x:v>d</x:v>
      </x:c>
    </x:row>
    <x:row r="1466" ht="24" customHeight="1">
      <x:c r="A1466" s="12" t="str">
        <x:v>13404</x:v>
      </x:c>
      <x:c r="B1466" s="12" t="str">
        <x:v>19873</x:v>
      </x:c>
      <x:c r="C1466" s="21" t="n">
        <x:v>34668.556875</x:v>
      </x:c>
      <x:c r="D1466" s="12" t="n">
        <x:v>56</x:v>
      </x:c>
      <x:c r="E1466" s="12" t="n">
        <x:v>0</x:v>
      </x:c>
      <x:c r="F1466" s="12" t="str">
        <x:v>存在</x:v>
      </x:c>
      <x:c r="G1466" s="12" t="n">
        <x:v>1</x:v>
      </x:c>
      <x:c r="H1466" s="12" t="str">
        <x:v>{'NORM': 100.0}</x:v>
      </x:c>
      <x:c r="I1466" s="12" t="str">
        <x:v>[('NSR', 100.0), ('NML', 100.0)]</x:v>
      </x:c>
      <x:c r="J1466" s="12" t="str">
        <x:v>ptbxl_database.csv；ecg_id=13404；scp_codes</x:v>
      </x:c>
      <x:c r="K1466" s="12" t="str">
        <x:v>12sl_statements.csv；ecg_id=13404；statements_ext_snomed</x:v>
      </x:c>
      <x:c r="L1466" s="12"/>
      <x:c r="M1466" s="12" t="str">
        <x:v>negative</x:v>
      </x:c>
      <x:c r="N1466" s="12"/>
      <x:c r="O1466" s="12" t="str">
        <x:v>negative</x:v>
      </x:c>
      <x:c r="P1466" s="12" t="str">
        <x:f>IF(OR(M1466="unavailable",O1466="unavailable"),"不可评价",IF(OR(M1466="equivocal",O1466="equivocal"),"疑似",IF(AND(M1466="positive",O1466="positive"),"a",IF(O1466="positive","b",IF(M1466="positive","c","d")))))</x:f>
        <x:v>d</x:v>
      </x:c>
      <x:c r="Q1466" s="12"/>
      <x:c r="R1466" s="12" t="str">
        <x:v>negative</x:v>
      </x:c>
      <x:c r="S1466" s="12"/>
      <x:c r="T1466" s="12" t="str">
        <x:v>negative</x:v>
      </x:c>
      <x:c r="U1466" s="12" t="str">
        <x:f>IF(OR(R1466="unavailable",T1466="unavailable"),"不可评价",IF(OR(R1466="equivocal",T1466="equivocal"),"疑似",IF(AND(R1466="positive",T1466="positive"),"a",IF(T1466="positive","b",IF(R1466="positive","c","d")))))</x:f>
        <x:v>d</x:v>
      </x:c>
      <x:c r="V1466" s="12"/>
      <x:c r="W1466" s="12" t="str">
        <x:v>negative</x:v>
      </x:c>
      <x:c r="X1466" s="12"/>
      <x:c r="Y1466" s="12" t="str">
        <x:v>negative</x:v>
      </x:c>
      <x:c r="Z1466" s="12" t="str">
        <x:f>IF(OR(W1466="unavailable",Y1466="unavailable"),"不可评价",IF(OR(W1466="equivocal",Y1466="equivocal"),"疑似",IF(AND(W1466="positive",Y1466="positive"),"a",IF(Y1466="positive","b",IF(W1466="positive","c","d")))))</x:f>
        <x:v>d</x:v>
      </x:c>
      <x:c r="AA1466" s="12" t="str">
        <x:f>IF(OR(M1466="unavailable",O1466="unavailable"),"不可评价",IF(AND(OR(M1466="positive",M1466="equivocal"),OR(O1466="positive",O1466="equivocal")),"a",IF(OR(O1466="positive",O1466="equivocal"),"b",IF(OR(M1466="positive",M1466="equivocal"),"c","d"))))</x:f>
        <x:v>d</x:v>
      </x:c>
      <x:c r="AB1466" s="12" t="str">
        <x:f>IF(OR(M1466="unavailable",O1466="unavailable"),"不可评价",IF(AND(M1466="positive",O1466="positive"),"a",IF(O1466="positive","b",IF(M1466="positive","c","d"))))</x:f>
        <x:v>d</x:v>
      </x:c>
      <x:c r="AC1466" s="12" t="str">
        <x:f>IF(OR(R1466="unavailable",T1466="unavailable"),"不可评价",IF(AND(OR(R1466="positive",R1466="equivocal"),OR(T1466="positive",T1466="equivocal")),"a",IF(OR(T1466="positive",T1466="equivocal"),"b",IF(OR(R1466="positive",R1466="equivocal"),"c","d"))))</x:f>
        <x:v>d</x:v>
      </x:c>
      <x:c r="AD1466" s="12" t="str">
        <x:f>IF(OR(R1466="unavailable",T1466="unavailable"),"不可评价",IF(AND(R1466="positive",T1466="positive"),"a",IF(T1466="positive","b",IF(R1466="positive","c","d"))))</x:f>
        <x:v>d</x:v>
      </x:c>
      <x:c r="AE1466" s="12" t="str">
        <x:f>IF(OR(W1466="unavailable",Y1466="unavailable"),"不可评价",IF(AND(OR(W1466="positive",W1466="equivocal"),OR(Y1466="positive",Y1466="equivocal")),"a",IF(OR(Y1466="positive",Y1466="equivocal"),"b",IF(OR(W1466="positive",W1466="equivocal"),"c","d"))))</x:f>
        <x:v>d</x:v>
      </x:c>
      <x:c r="AF1466" s="12" t="str">
        <x:f>IF(OR(W1466="unavailable",Y1466="unavailable"),"不可评价",IF(AND(W1466="positive",Y1466="positive"),"a",IF(Y1466="positive","b",IF(W1466="positive","c","d"))))</x:f>
        <x:v>d</x:v>
      </x:c>
    </x:row>
    <x:row r="1467" ht="24" customHeight="1">
      <x:c r="A1467" s="12" t="str">
        <x:v>13405</x:v>
      </x:c>
      <x:c r="B1467" s="12" t="str">
        <x:v>7990</x:v>
      </x:c>
      <x:c r="C1467" s="21" t="n">
        <x:v>34668.56138888889</x:v>
      </x:c>
      <x:c r="D1467" s="12" t="n">
        <x:v>78</x:v>
      </x:c>
      <x:c r="E1467" s="12" t="n">
        <x:v>0</x:v>
      </x:c>
      <x:c r="F1467" s="12" t="str">
        <x:v>未记录</x:v>
      </x:c>
      <x:c r="G1467" s="12" t="n">
        <x:v>1</x:v>
      </x:c>
      <x:c r="H1467" s="12" t="str">
        <x:v>{'IMI': 100.0, 'ABQRS': 0.0, 'SR': 0.0}</x:v>
      </x:c>
      <x:c r="I1467" s="12" t="str">
        <x:v>[('NSR', 100.0), ('IRBBB', 100.0), ('BORDE', 100.0)]</x:v>
      </x:c>
      <x:c r="J1467" s="12" t="str">
        <x:v>ptbxl_database.csv；ecg_id=13405；scp_codes</x:v>
      </x:c>
      <x:c r="K1467" s="12" t="str">
        <x:v>12sl_statements.csv；ecg_id=13405；statements_ext_snomed</x:v>
      </x:c>
      <x:c r="L1467" s="12"/>
      <x:c r="M1467" s="12" t="str">
        <x:v>negative</x:v>
      </x:c>
      <x:c r="N1467" s="12"/>
      <x:c r="O1467" s="12" t="str">
        <x:v>negative</x:v>
      </x:c>
      <x:c r="P1467" s="12" t="str">
        <x:f>IF(OR(M1467="unavailable",O1467="unavailable"),"不可评价",IF(OR(M1467="equivocal",O1467="equivocal"),"疑似",IF(AND(M1467="positive",O1467="positive"),"a",IF(O1467="positive","b",IF(M1467="positive","c","d")))))</x:f>
        <x:v>d</x:v>
      </x:c>
      <x:c r="Q1467" s="12"/>
      <x:c r="R1467" s="12" t="str">
        <x:v>negative</x:v>
      </x:c>
      <x:c r="S1467" s="12"/>
      <x:c r="T1467" s="12" t="str">
        <x:v>negative</x:v>
      </x:c>
      <x:c r="U1467" s="12" t="str">
        <x:f>IF(OR(R1467="unavailable",T1467="unavailable"),"不可评价",IF(OR(R1467="equivocal",T1467="equivocal"),"疑似",IF(AND(R1467="positive",T1467="positive"),"a",IF(T1467="positive","b",IF(R1467="positive","c","d")))))</x:f>
        <x:v>d</x:v>
      </x:c>
      <x:c r="V1467" s="12"/>
      <x:c r="W1467" s="12" t="str">
        <x:v>negative</x:v>
      </x:c>
      <x:c r="X1467" s="12"/>
      <x:c r="Y1467" s="12" t="str">
        <x:v>negative</x:v>
      </x:c>
      <x:c r="Z1467" s="12" t="str">
        <x:f>IF(OR(W1467="unavailable",Y1467="unavailable"),"不可评价",IF(OR(W1467="equivocal",Y1467="equivocal"),"疑似",IF(AND(W1467="positive",Y1467="positive"),"a",IF(Y1467="positive","b",IF(W1467="positive","c","d")))))</x:f>
        <x:v>d</x:v>
      </x:c>
      <x:c r="AA1467" s="12" t="str">
        <x:f>IF(OR(M1467="unavailable",O1467="unavailable"),"不可评价",IF(AND(OR(M1467="positive",M1467="equivocal"),OR(O1467="positive",O1467="equivocal")),"a",IF(OR(O1467="positive",O1467="equivocal"),"b",IF(OR(M1467="positive",M1467="equivocal"),"c","d"))))</x:f>
        <x:v>d</x:v>
      </x:c>
      <x:c r="AB1467" s="12" t="str">
        <x:f>IF(OR(M1467="unavailable",O1467="unavailable"),"不可评价",IF(AND(M1467="positive",O1467="positive"),"a",IF(O1467="positive","b",IF(M1467="positive","c","d"))))</x:f>
        <x:v>d</x:v>
      </x:c>
      <x:c r="AC1467" s="12" t="str">
        <x:f>IF(OR(R1467="unavailable",T1467="unavailable"),"不可评价",IF(AND(OR(R1467="positive",R1467="equivocal"),OR(T1467="positive",T1467="equivocal")),"a",IF(OR(T1467="positive",T1467="equivocal"),"b",IF(OR(R1467="positive",R1467="equivocal"),"c","d"))))</x:f>
        <x:v>d</x:v>
      </x:c>
      <x:c r="AD1467" s="12" t="str">
        <x:f>IF(OR(R1467="unavailable",T1467="unavailable"),"不可评价",IF(AND(R1467="positive",T1467="positive"),"a",IF(T1467="positive","b",IF(R1467="positive","c","d"))))</x:f>
        <x:v>d</x:v>
      </x:c>
      <x:c r="AE1467" s="12" t="str">
        <x:f>IF(OR(W1467="unavailable",Y1467="unavailable"),"不可评价",IF(AND(OR(W1467="positive",W1467="equivocal"),OR(Y1467="positive",Y1467="equivocal")),"a",IF(OR(Y1467="positive",Y1467="equivocal"),"b",IF(OR(W1467="positive",W1467="equivocal"),"c","d"))))</x:f>
        <x:v>d</x:v>
      </x:c>
      <x:c r="AF1467" s="12" t="str">
        <x:f>IF(OR(W1467="unavailable",Y1467="unavailable"),"不可评价",IF(AND(W1467="positive",Y1467="positive"),"a",IF(Y1467="positive","b",IF(W1467="positive","c","d"))))</x:f>
        <x:v>d</x:v>
      </x:c>
    </x:row>
    <x:row r="1468" ht="24" customHeight="1">
      <x:c r="A1468" s="12" t="str">
        <x:v>13446</x:v>
      </x:c>
      <x:c r="B1468" s="12" t="str">
        <x:v>13840</x:v>
      </x:c>
      <x:c r="C1468" s="21" t="n">
        <x:v>34677.43325231481</x:v>
      </x:c>
      <x:c r="D1468" s="12" t="n">
        <x:v>73</x:v>
      </x:c>
      <x:c r="E1468" s="12" t="n">
        <x:v>0</x:v>
      </x:c>
      <x:c r="F1468" s="12" t="str">
        <x:v>存在</x:v>
      </x:c>
      <x:c r="G1468" s="12" t="n">
        <x:v>1</x:v>
      </x:c>
      <x:c r="H1468" s="12" t="str">
        <x:v>{'NDT': 100.0, 'SR': 0.0}</x:v>
      </x:c>
      <x:c r="I1468" s="12" t="str">
        <x:v>[('SBRAD', 100.0), ('QESPMI', 100.0), ('AB', 100.0)]</x:v>
      </x:c>
      <x:c r="J1468" s="12" t="str">
        <x:v>ptbxl_database.csv；ecg_id=13446；scp_codes</x:v>
      </x:c>
      <x:c r="K1468" s="12" t="str">
        <x:v>12sl_statements.csv；ecg_id=13446；statements_ext_snomed</x:v>
      </x:c>
      <x:c r="L1468" s="12"/>
      <x:c r="M1468" s="12" t="str">
        <x:v>negative</x:v>
      </x:c>
      <x:c r="N1468" s="12"/>
      <x:c r="O1468" s="12" t="str">
        <x:v>negative</x:v>
      </x:c>
      <x:c r="P1468" s="12" t="str">
        <x:f>IF(OR(M1468="unavailable",O1468="unavailable"),"不可评价",IF(OR(M1468="equivocal",O1468="equivocal"),"疑似",IF(AND(M1468="positive",O1468="positive"),"a",IF(O1468="positive","b",IF(M1468="positive","c","d")))))</x:f>
        <x:v>d</x:v>
      </x:c>
      <x:c r="Q1468" s="12"/>
      <x:c r="R1468" s="12" t="str">
        <x:v>negative</x:v>
      </x:c>
      <x:c r="S1468" s="12"/>
      <x:c r="T1468" s="12" t="str">
        <x:v>negative</x:v>
      </x:c>
      <x:c r="U1468" s="12" t="str">
        <x:f>IF(OR(R1468="unavailable",T1468="unavailable"),"不可评价",IF(OR(R1468="equivocal",T1468="equivocal"),"疑似",IF(AND(R1468="positive",T1468="positive"),"a",IF(T1468="positive","b",IF(R1468="positive","c","d")))))</x:f>
        <x:v>d</x:v>
      </x:c>
      <x:c r="V1468" s="12"/>
      <x:c r="W1468" s="12" t="str">
        <x:v>negative</x:v>
      </x:c>
      <x:c r="X1468" s="12"/>
      <x:c r="Y1468" s="12" t="str">
        <x:v>negative</x:v>
      </x:c>
      <x:c r="Z1468" s="12" t="str">
        <x:f>IF(OR(W1468="unavailable",Y1468="unavailable"),"不可评价",IF(OR(W1468="equivocal",Y1468="equivocal"),"疑似",IF(AND(W1468="positive",Y1468="positive"),"a",IF(Y1468="positive","b",IF(W1468="positive","c","d")))))</x:f>
        <x:v>d</x:v>
      </x:c>
      <x:c r="AA1468" s="12" t="str">
        <x:f>IF(OR(M1468="unavailable",O1468="unavailable"),"不可评价",IF(AND(OR(M1468="positive",M1468="equivocal"),OR(O1468="positive",O1468="equivocal")),"a",IF(OR(O1468="positive",O1468="equivocal"),"b",IF(OR(M1468="positive",M1468="equivocal"),"c","d"))))</x:f>
        <x:v>d</x:v>
      </x:c>
      <x:c r="AB1468" s="12" t="str">
        <x:f>IF(OR(M1468="unavailable",O1468="unavailable"),"不可评价",IF(AND(M1468="positive",O1468="positive"),"a",IF(O1468="positive","b",IF(M1468="positive","c","d"))))</x:f>
        <x:v>d</x:v>
      </x:c>
      <x:c r="AC1468" s="12" t="str">
        <x:f>IF(OR(R1468="unavailable",T1468="unavailable"),"不可评价",IF(AND(OR(R1468="positive",R1468="equivocal"),OR(T1468="positive",T1468="equivocal")),"a",IF(OR(T1468="positive",T1468="equivocal"),"b",IF(OR(R1468="positive",R1468="equivocal"),"c","d"))))</x:f>
        <x:v>d</x:v>
      </x:c>
      <x:c r="AD1468" s="12" t="str">
        <x:f>IF(OR(R1468="unavailable",T1468="unavailable"),"不可评价",IF(AND(R1468="positive",T1468="positive"),"a",IF(T1468="positive","b",IF(R1468="positive","c","d"))))</x:f>
        <x:v>d</x:v>
      </x:c>
      <x:c r="AE1468" s="12" t="str">
        <x:f>IF(OR(W1468="unavailable",Y1468="unavailable"),"不可评价",IF(AND(OR(W1468="positive",W1468="equivocal"),OR(Y1468="positive",Y1468="equivocal")),"a",IF(OR(Y1468="positive",Y1468="equivocal"),"b",IF(OR(W1468="positive",W1468="equivocal"),"c","d"))))</x:f>
        <x:v>d</x:v>
      </x:c>
      <x:c r="AF1468" s="12" t="str">
        <x:f>IF(OR(W1468="unavailable",Y1468="unavailable"),"不可评价",IF(AND(W1468="positive",Y1468="positive"),"a",IF(Y1468="positive","b",IF(W1468="positive","c","d"))))</x:f>
        <x:v>d</x:v>
      </x:c>
    </x:row>
    <x:row r="1469" ht="24" customHeight="1">
      <x:c r="A1469" s="12" t="str">
        <x:v>13479</x:v>
      </x:c>
      <x:c r="B1469" s="12" t="str">
        <x:v>18631</x:v>
      </x:c>
      <x:c r="C1469" s="21" t="n">
        <x:v>34682.740381944444</x:v>
      </x:c>
      <x:c r="D1469" s="12" t="n">
        <x:v>50</x:v>
      </x:c>
      <x:c r="E1469" s="12" t="n">
        <x:v>0</x:v>
      </x:c>
      <x:c r="F1469" s="12" t="str">
        <x:v>存在</x:v>
      </x:c>
      <x:c r="G1469" s="12" t="n">
        <x:v>1</x:v>
      </x:c>
      <x:c r="H1469" s="12" t="str">
        <x:v>{'NDT': 100.0, 'SR': 0.0}</x:v>
      </x:c>
      <x:c r="I1469" s="12" t="str">
        <x:v>[('NSR', 100.0), ('NML', 100.0)]</x:v>
      </x:c>
      <x:c r="J1469" s="12" t="str">
        <x:v>ptbxl_database.csv；ecg_id=13479；scp_codes</x:v>
      </x:c>
      <x:c r="K1469" s="12" t="str">
        <x:v>12sl_statements.csv；ecg_id=13479；statements_ext_snomed</x:v>
      </x:c>
      <x:c r="L1469" s="12"/>
      <x:c r="M1469" s="12" t="str">
        <x:v>negative</x:v>
      </x:c>
      <x:c r="N1469" s="12"/>
      <x:c r="O1469" s="12" t="str">
        <x:v>negative</x:v>
      </x:c>
      <x:c r="P1469" s="12" t="str">
        <x:f>IF(OR(M1469="unavailable",O1469="unavailable"),"不可评价",IF(OR(M1469="equivocal",O1469="equivocal"),"疑似",IF(AND(M1469="positive",O1469="positive"),"a",IF(O1469="positive","b",IF(M1469="positive","c","d")))))</x:f>
        <x:v>d</x:v>
      </x:c>
      <x:c r="Q1469" s="12"/>
      <x:c r="R1469" s="12" t="str">
        <x:v>negative</x:v>
      </x:c>
      <x:c r="S1469" s="12"/>
      <x:c r="T1469" s="12" t="str">
        <x:v>negative</x:v>
      </x:c>
      <x:c r="U1469" s="12" t="str">
        <x:f>IF(OR(R1469="unavailable",T1469="unavailable"),"不可评价",IF(OR(R1469="equivocal",T1469="equivocal"),"疑似",IF(AND(R1469="positive",T1469="positive"),"a",IF(T1469="positive","b",IF(R1469="positive","c","d")))))</x:f>
        <x:v>d</x:v>
      </x:c>
      <x:c r="V1469" s="12"/>
      <x:c r="W1469" s="12" t="str">
        <x:v>negative</x:v>
      </x:c>
      <x:c r="X1469" s="12"/>
      <x:c r="Y1469" s="12" t="str">
        <x:v>negative</x:v>
      </x:c>
      <x:c r="Z1469" s="12" t="str">
        <x:f>IF(OR(W1469="unavailable",Y1469="unavailable"),"不可评价",IF(OR(W1469="equivocal",Y1469="equivocal"),"疑似",IF(AND(W1469="positive",Y1469="positive"),"a",IF(Y1469="positive","b",IF(W1469="positive","c","d")))))</x:f>
        <x:v>d</x:v>
      </x:c>
      <x:c r="AA1469" s="12" t="str">
        <x:f>IF(OR(M1469="unavailable",O1469="unavailable"),"不可评价",IF(AND(OR(M1469="positive",M1469="equivocal"),OR(O1469="positive",O1469="equivocal")),"a",IF(OR(O1469="positive",O1469="equivocal"),"b",IF(OR(M1469="positive",M1469="equivocal"),"c","d"))))</x:f>
        <x:v>d</x:v>
      </x:c>
      <x:c r="AB1469" s="12" t="str">
        <x:f>IF(OR(M1469="unavailable",O1469="unavailable"),"不可评价",IF(AND(M1469="positive",O1469="positive"),"a",IF(O1469="positive","b",IF(M1469="positive","c","d"))))</x:f>
        <x:v>d</x:v>
      </x:c>
      <x:c r="AC1469" s="12" t="str">
        <x:f>IF(OR(R1469="unavailable",T1469="unavailable"),"不可评价",IF(AND(OR(R1469="positive",R1469="equivocal"),OR(T1469="positive",T1469="equivocal")),"a",IF(OR(T1469="positive",T1469="equivocal"),"b",IF(OR(R1469="positive",R1469="equivocal"),"c","d"))))</x:f>
        <x:v>d</x:v>
      </x:c>
      <x:c r="AD1469" s="12" t="str">
        <x:f>IF(OR(R1469="unavailable",T1469="unavailable"),"不可评价",IF(AND(R1469="positive",T1469="positive"),"a",IF(T1469="positive","b",IF(R1469="positive","c","d"))))</x:f>
        <x:v>d</x:v>
      </x:c>
      <x:c r="AE1469" s="12" t="str">
        <x:f>IF(OR(W1469="unavailable",Y1469="unavailable"),"不可评价",IF(AND(OR(W1469="positive",W1469="equivocal"),OR(Y1469="positive",Y1469="equivocal")),"a",IF(OR(Y1469="positive",Y1469="equivocal"),"b",IF(OR(W1469="positive",W1469="equivocal"),"c","d"))))</x:f>
        <x:v>d</x:v>
      </x:c>
      <x:c r="AF1469" s="12" t="str">
        <x:f>IF(OR(W1469="unavailable",Y1469="unavailable"),"不可评价",IF(AND(W1469="positive",Y1469="positive"),"a",IF(Y1469="positive","b",IF(W1469="positive","c","d"))))</x:f>
        <x:v>d</x:v>
      </x:c>
    </x:row>
    <x:row r="1470" ht="24" customHeight="1">
      <x:c r="A1470" s="12" t="str">
        <x:v>13494</x:v>
      </x:c>
      <x:c r="B1470" s="12" t="str">
        <x:v>19272</x:v>
      </x:c>
      <x:c r="C1470" s="21" t="n">
        <x:v>34686.71021990741</x:v>
      </x:c>
      <x:c r="D1470" s="12" t="n">
        <x:v>68</x:v>
      </x:c>
      <x:c r="E1470" s="12" t="n">
        <x:v>0</x:v>
      </x:c>
      <x:c r="F1470" s="12" t="str">
        <x:v>未记录</x:v>
      </x:c>
      <x:c r="G1470" s="12" t="n">
        <x:v>1</x:v>
      </x:c>
      <x:c r="H1470" s="12" t="str">
        <x:v>{'NORM': 80.0, 'SR': 0.0}</x:v>
      </x:c>
      <x:c r="I1470" s="12" t="str">
        <x:v>[('SRTH', 100.0), ('FAV', 100.0), ('ABR', 100.0)]</x:v>
      </x:c>
      <x:c r="J1470" s="12" t="str">
        <x:v>ptbxl_database.csv；ecg_id=13494；scp_codes</x:v>
      </x:c>
      <x:c r="K1470" s="12" t="str">
        <x:v>12sl_statements.csv；ecg_id=13494；statements_ext_snomed</x:v>
      </x:c>
      <x:c r="L1470" s="12"/>
      <x:c r="M1470" s="12" t="str">
        <x:v>negative</x:v>
      </x:c>
      <x:c r="N1470" s="12"/>
      <x:c r="O1470" s="12" t="str">
        <x:v>negative</x:v>
      </x:c>
      <x:c r="P1470" s="12" t="str">
        <x:f>IF(OR(M1470="unavailable",O1470="unavailable"),"不可评价",IF(OR(M1470="equivocal",O1470="equivocal"),"疑似",IF(AND(M1470="positive",O1470="positive"),"a",IF(O1470="positive","b",IF(M1470="positive","c","d")))))</x:f>
        <x:v>d</x:v>
      </x:c>
      <x:c r="Q1470" s="12"/>
      <x:c r="R1470" s="12" t="str">
        <x:v>negative</x:v>
      </x:c>
      <x:c r="S1470" s="12"/>
      <x:c r="T1470" s="12" t="str">
        <x:v>negative</x:v>
      </x:c>
      <x:c r="U1470" s="12" t="str">
        <x:f>IF(OR(R1470="unavailable",T1470="unavailable"),"不可评价",IF(OR(R1470="equivocal",T1470="equivocal"),"疑似",IF(AND(R1470="positive",T1470="positive"),"a",IF(T1470="positive","b",IF(R1470="positive","c","d")))))</x:f>
        <x:v>d</x:v>
      </x:c>
      <x:c r="V1470" s="12"/>
      <x:c r="W1470" s="12" t="str">
        <x:v>negative</x:v>
      </x:c>
      <x:c r="X1470" s="12"/>
      <x:c r="Y1470" s="12" t="str">
        <x:v>negative</x:v>
      </x:c>
      <x:c r="Z1470" s="12" t="str">
        <x:f>IF(OR(W1470="unavailable",Y1470="unavailable"),"不可评价",IF(OR(W1470="equivocal",Y1470="equivocal"),"疑似",IF(AND(W1470="positive",Y1470="positive"),"a",IF(Y1470="positive","b",IF(W1470="positive","c","d")))))</x:f>
        <x:v>d</x:v>
      </x:c>
      <x:c r="AA1470" s="12" t="str">
        <x:f>IF(OR(M1470="unavailable",O1470="unavailable"),"不可评价",IF(AND(OR(M1470="positive",M1470="equivocal"),OR(O1470="positive",O1470="equivocal")),"a",IF(OR(O1470="positive",O1470="equivocal"),"b",IF(OR(M1470="positive",M1470="equivocal"),"c","d"))))</x:f>
        <x:v>d</x:v>
      </x:c>
      <x:c r="AB1470" s="12" t="str">
        <x:f>IF(OR(M1470="unavailable",O1470="unavailable"),"不可评价",IF(AND(M1470="positive",O1470="positive"),"a",IF(O1470="positive","b",IF(M1470="positive","c","d"))))</x:f>
        <x:v>d</x:v>
      </x:c>
      <x:c r="AC1470" s="12" t="str">
        <x:f>IF(OR(R1470="unavailable",T1470="unavailable"),"不可评价",IF(AND(OR(R1470="positive",R1470="equivocal"),OR(T1470="positive",T1470="equivocal")),"a",IF(OR(T1470="positive",T1470="equivocal"),"b",IF(OR(R1470="positive",R1470="equivocal"),"c","d"))))</x:f>
        <x:v>d</x:v>
      </x:c>
      <x:c r="AD1470" s="12" t="str">
        <x:f>IF(OR(R1470="unavailable",T1470="unavailable"),"不可评价",IF(AND(R1470="positive",T1470="positive"),"a",IF(T1470="positive","b",IF(R1470="positive","c","d"))))</x:f>
        <x:v>d</x:v>
      </x:c>
      <x:c r="AE1470" s="12" t="str">
        <x:f>IF(OR(W1470="unavailable",Y1470="unavailable"),"不可评价",IF(AND(OR(W1470="positive",W1470="equivocal"),OR(Y1470="positive",Y1470="equivocal")),"a",IF(OR(Y1470="positive",Y1470="equivocal"),"b",IF(OR(W1470="positive",W1470="equivocal"),"c","d"))))</x:f>
        <x:v>d</x:v>
      </x:c>
      <x:c r="AF1470" s="12" t="str">
        <x:f>IF(OR(W1470="unavailable",Y1470="unavailable"),"不可评价",IF(AND(W1470="positive",Y1470="positive"),"a",IF(Y1470="positive","b",IF(W1470="positive","c","d"))))</x:f>
        <x:v>d</x:v>
      </x:c>
    </x:row>
    <x:row r="1471" ht="39" customHeight="1">
      <x:c r="A1471" s="12" t="str">
        <x:v>13499</x:v>
      </x:c>
      <x:c r="B1471" s="12" t="str">
        <x:v>11335</x:v>
      </x:c>
      <x:c r="C1471" s="21" t="n">
        <x:v>34687.69694444445</x:v>
      </x:c>
      <x:c r="D1471" s="12" t="n">
        <x:v>82</x:v>
      </x:c>
      <x:c r="E1471" s="12" t="n">
        <x:v>1</x:v>
      </x:c>
      <x:c r="F1471" s="12" t="str">
        <x:v>未记录</x:v>
      </x:c>
      <x:c r="G1471" s="12" t="n">
        <x:v>1</x:v>
      </x:c>
      <x:c r="H1471" s="12" t="str">
        <x:v>{'ASMI': 100.0, '1AVB': 100.0, 'ANEUR': 50.0, 'ABQRS': 0.0, 'SR': 0.0}</x:v>
      </x:c>
      <x:c r="I1471" s="12" t="str">
        <x:v>[('SRTH', 100.0), ('FAV', 100.0), ('PSVC', 100.0), ('SMI;AU', 100.0), ('ST&amp;', 100.0), ('LT', 100.0), ('AB', 100.0)]</x:v>
      </x:c>
      <x:c r="J1471" s="12" t="str">
        <x:v>ptbxl_database.csv；ecg_id=13499；scp_codes</x:v>
      </x:c>
      <x:c r="K1471" s="12" t="str">
        <x:v>12sl_statements.csv；ecg_id=13499；statements_ext_snomed</x:v>
      </x:c>
      <x:c r="L1471" s="12"/>
      <x:c r="M1471" s="12" t="str">
        <x:v>negative</x:v>
      </x:c>
      <x:c r="N1471" s="12"/>
      <x:c r="O1471" s="12" t="str">
        <x:v>negative</x:v>
      </x:c>
      <x:c r="P1471" s="12" t="str">
        <x:f>IF(OR(M1471="unavailable",O1471="unavailable"),"不可评价",IF(OR(M1471="equivocal",O1471="equivocal"),"疑似",IF(AND(M1471="positive",O1471="positive"),"a",IF(O1471="positive","b",IF(M1471="positive","c","d")))))</x:f>
        <x:v>d</x:v>
      </x:c>
      <x:c r="Q1471" s="12"/>
      <x:c r="R1471" s="12" t="str">
        <x:v>negative</x:v>
      </x:c>
      <x:c r="S1471" s="12"/>
      <x:c r="T1471" s="12" t="str">
        <x:v>negative</x:v>
      </x:c>
      <x:c r="U1471" s="12" t="str">
        <x:f>IF(OR(R1471="unavailable",T1471="unavailable"),"不可评价",IF(OR(R1471="equivocal",T1471="equivocal"),"疑似",IF(AND(R1471="positive",T1471="positive"),"a",IF(T1471="positive","b",IF(R1471="positive","c","d")))))</x:f>
        <x:v>d</x:v>
      </x:c>
      <x:c r="V1471" s="12"/>
      <x:c r="W1471" s="12" t="str">
        <x:v>negative</x:v>
      </x:c>
      <x:c r="X1471" s="12"/>
      <x:c r="Y1471" s="12" t="str">
        <x:v>negative</x:v>
      </x:c>
      <x:c r="Z1471" s="12" t="str">
        <x:f>IF(OR(W1471="unavailable",Y1471="unavailable"),"不可评价",IF(OR(W1471="equivocal",Y1471="equivocal"),"疑似",IF(AND(W1471="positive",Y1471="positive"),"a",IF(Y1471="positive","b",IF(W1471="positive","c","d")))))</x:f>
        <x:v>d</x:v>
      </x:c>
      <x:c r="AA1471" s="12" t="str">
        <x:f>IF(OR(M1471="unavailable",O1471="unavailable"),"不可评价",IF(AND(OR(M1471="positive",M1471="equivocal"),OR(O1471="positive",O1471="equivocal")),"a",IF(OR(O1471="positive",O1471="equivocal"),"b",IF(OR(M1471="positive",M1471="equivocal"),"c","d"))))</x:f>
        <x:v>d</x:v>
      </x:c>
      <x:c r="AB1471" s="12" t="str">
        <x:f>IF(OR(M1471="unavailable",O1471="unavailable"),"不可评价",IF(AND(M1471="positive",O1471="positive"),"a",IF(O1471="positive","b",IF(M1471="positive","c","d"))))</x:f>
        <x:v>d</x:v>
      </x:c>
      <x:c r="AC1471" s="12" t="str">
        <x:f>IF(OR(R1471="unavailable",T1471="unavailable"),"不可评价",IF(AND(OR(R1471="positive",R1471="equivocal"),OR(T1471="positive",T1471="equivocal")),"a",IF(OR(T1471="positive",T1471="equivocal"),"b",IF(OR(R1471="positive",R1471="equivocal"),"c","d"))))</x:f>
        <x:v>d</x:v>
      </x:c>
      <x:c r="AD1471" s="12" t="str">
        <x:f>IF(OR(R1471="unavailable",T1471="unavailable"),"不可评价",IF(AND(R1471="positive",T1471="positive"),"a",IF(T1471="positive","b",IF(R1471="positive","c","d"))))</x:f>
        <x:v>d</x:v>
      </x:c>
      <x:c r="AE1471" s="12" t="str">
        <x:f>IF(OR(W1471="unavailable",Y1471="unavailable"),"不可评价",IF(AND(OR(W1471="positive",W1471="equivocal"),OR(Y1471="positive",Y1471="equivocal")),"a",IF(OR(Y1471="positive",Y1471="equivocal"),"b",IF(OR(W1471="positive",W1471="equivocal"),"c","d"))))</x:f>
        <x:v>d</x:v>
      </x:c>
      <x:c r="AF1471" s="12" t="str">
        <x:f>IF(OR(W1471="unavailable",Y1471="unavailable"),"不可评价",IF(AND(W1471="positive",Y1471="positive"),"a",IF(Y1471="positive","b",IF(W1471="positive","c","d"))))</x:f>
        <x:v>d</x:v>
      </x:c>
    </x:row>
    <x:row r="1472" ht="39" customHeight="1">
      <x:c r="A1472" s="12" t="str">
        <x:v>13516</x:v>
      </x:c>
      <x:c r="B1472" s="12" t="str">
        <x:v>12402</x:v>
      </x:c>
      <x:c r="C1472" s="21" t="n">
        <x:v>34694.47829861111</x:v>
      </x:c>
      <x:c r="D1472" s="12" t="n">
        <x:v>84</x:v>
      </x:c>
      <x:c r="E1472" s="12" t="n">
        <x:v>0</x:v>
      </x:c>
      <x:c r="F1472" s="12" t="str">
        <x:v>未记录</x:v>
      </x:c>
      <x:c r="G1472" s="12" t="n">
        <x:v>1</x:v>
      </x:c>
      <x:c r="H1472" s="12" t="str">
        <x:v>{'ASMI': 100.0, 'IMI': 100.0, 'PVC': 100.0, 'ABQRS': 0.0, 'STACH': 0.0}</x:v>
      </x:c>
      <x:c r="I1472" s="12" t="str">
        <x:v>[('STACH', 100.0), ('PSVC', 100.0), ('$SFUS', 100.0), ('ASMI;AU', 15.0), ('ST&amp;', 100.0), ('LT', 100.0), ('AB', 100.0)]</x:v>
      </x:c>
      <x:c r="J1472" s="12" t="str">
        <x:v>ptbxl_database.csv；ecg_id=13516；scp_codes</x:v>
      </x:c>
      <x:c r="K1472" s="12" t="str">
        <x:v>12sl_statements.csv；ecg_id=13516；statements_ext_snomed</x:v>
      </x:c>
      <x:c r="L1472" s="12"/>
      <x:c r="M1472" s="12" t="str">
        <x:v>negative</x:v>
      </x:c>
      <x:c r="N1472" s="12"/>
      <x:c r="O1472" s="12" t="str">
        <x:v>negative</x:v>
      </x:c>
      <x:c r="P1472" s="12" t="str">
        <x:f>IF(OR(M1472="unavailable",O1472="unavailable"),"不可评价",IF(OR(M1472="equivocal",O1472="equivocal"),"疑似",IF(AND(M1472="positive",O1472="positive"),"a",IF(O1472="positive","b",IF(M1472="positive","c","d")))))</x:f>
        <x:v>d</x:v>
      </x:c>
      <x:c r="Q1472" s="12"/>
      <x:c r="R1472" s="12" t="str">
        <x:v>negative</x:v>
      </x:c>
      <x:c r="S1472" s="12"/>
      <x:c r="T1472" s="12" t="str">
        <x:v>negative</x:v>
      </x:c>
      <x:c r="U1472" s="12" t="str">
        <x:f>IF(OR(R1472="unavailable",T1472="unavailable"),"不可评价",IF(OR(R1472="equivocal",T1472="equivocal"),"疑似",IF(AND(R1472="positive",T1472="positive"),"a",IF(T1472="positive","b",IF(R1472="positive","c","d")))))</x:f>
        <x:v>d</x:v>
      </x:c>
      <x:c r="V1472" s="12"/>
      <x:c r="W1472" s="12" t="str">
        <x:v>negative</x:v>
      </x:c>
      <x:c r="X1472" s="12"/>
      <x:c r="Y1472" s="12" t="str">
        <x:v>negative</x:v>
      </x:c>
      <x:c r="Z1472" s="12" t="str">
        <x:f>IF(OR(W1472="unavailable",Y1472="unavailable"),"不可评价",IF(OR(W1472="equivocal",Y1472="equivocal"),"疑似",IF(AND(W1472="positive",Y1472="positive"),"a",IF(Y1472="positive","b",IF(W1472="positive","c","d")))))</x:f>
        <x:v>d</x:v>
      </x:c>
      <x:c r="AA1472" s="12" t="str">
        <x:f>IF(OR(M1472="unavailable",O1472="unavailable"),"不可评价",IF(AND(OR(M1472="positive",M1472="equivocal"),OR(O1472="positive",O1472="equivocal")),"a",IF(OR(O1472="positive",O1472="equivocal"),"b",IF(OR(M1472="positive",M1472="equivocal"),"c","d"))))</x:f>
        <x:v>d</x:v>
      </x:c>
      <x:c r="AB1472" s="12" t="str">
        <x:f>IF(OR(M1472="unavailable",O1472="unavailable"),"不可评价",IF(AND(M1472="positive",O1472="positive"),"a",IF(O1472="positive","b",IF(M1472="positive","c","d"))))</x:f>
        <x:v>d</x:v>
      </x:c>
      <x:c r="AC1472" s="12" t="str">
        <x:f>IF(OR(R1472="unavailable",T1472="unavailable"),"不可评价",IF(AND(OR(R1472="positive",R1472="equivocal"),OR(T1472="positive",T1472="equivocal")),"a",IF(OR(T1472="positive",T1472="equivocal"),"b",IF(OR(R1472="positive",R1472="equivocal"),"c","d"))))</x:f>
        <x:v>d</x:v>
      </x:c>
      <x:c r="AD1472" s="12" t="str">
        <x:f>IF(OR(R1472="unavailable",T1472="unavailable"),"不可评价",IF(AND(R1472="positive",T1472="positive"),"a",IF(T1472="positive","b",IF(R1472="positive","c","d"))))</x:f>
        <x:v>d</x:v>
      </x:c>
      <x:c r="AE1472" s="12" t="str">
        <x:f>IF(OR(W1472="unavailable",Y1472="unavailable"),"不可评价",IF(AND(OR(W1472="positive",W1472="equivocal"),OR(Y1472="positive",Y1472="equivocal")),"a",IF(OR(Y1472="positive",Y1472="equivocal"),"b",IF(OR(W1472="positive",W1472="equivocal"),"c","d"))))</x:f>
        <x:v>d</x:v>
      </x:c>
      <x:c r="AF1472" s="12" t="str">
        <x:f>IF(OR(W1472="unavailable",Y1472="unavailable"),"不可评价",IF(AND(W1472="positive",Y1472="positive"),"a",IF(Y1472="positive","b",IF(W1472="positive","c","d"))))</x:f>
        <x:v>d</x:v>
      </x:c>
    </x:row>
    <x:row r="1473" ht="39" customHeight="1">
      <x:c r="A1473" s="12" t="str">
        <x:v>13556</x:v>
      </x:c>
      <x:c r="B1473" s="12" t="str">
        <x:v>8788</x:v>
      </x:c>
      <x:c r="C1473" s="21" t="n">
        <x:v>34707.642013888886</x:v>
      </x:c>
      <x:c r="D1473" s="12" t="n">
        <x:v>67</x:v>
      </x:c>
      <x:c r="E1473" s="12" t="n">
        <x:v>0</x:v>
      </x:c>
      <x:c r="F1473" s="12" t="str">
        <x:v>未记录</x:v>
      </x:c>
      <x:c r="G1473" s="12" t="n">
        <x:v>1</x:v>
      </x:c>
      <x:c r="H1473" s="12" t="str">
        <x:v>{'ASMI': 100.0, 'LAFB': 100.0, 'LVH': 100.0, 'ISC_': 100.0, 'ABQRS': 0.0, 'SR': 0.0}</x:v>
      </x:c>
      <x:c r="I1473" s="12" t="str">
        <x:v>[('SBRAD', 100.0), ('FAV', 100.0), ('LAD3', 100.0), ('LVH2', 100.0), ('QRSW-2ST', 100.0), ('AB', 100.0)]</x:v>
      </x:c>
      <x:c r="J1473" s="12" t="str">
        <x:v>ptbxl_database.csv；ecg_id=13556；scp_codes</x:v>
      </x:c>
      <x:c r="K1473" s="12" t="str">
        <x:v>12sl_statements.csv；ecg_id=13556；statements_ext_snomed</x:v>
      </x:c>
      <x:c r="L1473" s="12"/>
      <x:c r="M1473" s="12" t="str">
        <x:v>negative</x:v>
      </x:c>
      <x:c r="N1473" s="12"/>
      <x:c r="O1473" s="12" t="str">
        <x:v>negative</x:v>
      </x:c>
      <x:c r="P1473" s="12" t="str">
        <x:f>IF(OR(M1473="unavailable",O1473="unavailable"),"不可评价",IF(OR(M1473="equivocal",O1473="equivocal"),"疑似",IF(AND(M1473="positive",O1473="positive"),"a",IF(O1473="positive","b",IF(M1473="positive","c","d")))))</x:f>
        <x:v>d</x:v>
      </x:c>
      <x:c r="Q1473" s="12"/>
      <x:c r="R1473" s="12" t="str">
        <x:v>negative</x:v>
      </x:c>
      <x:c r="S1473" s="12"/>
      <x:c r="T1473" s="12" t="str">
        <x:v>negative</x:v>
      </x:c>
      <x:c r="U1473" s="12" t="str">
        <x:f>IF(OR(R1473="unavailable",T1473="unavailable"),"不可评价",IF(OR(R1473="equivocal",T1473="equivocal"),"疑似",IF(AND(R1473="positive",T1473="positive"),"a",IF(T1473="positive","b",IF(R1473="positive","c","d")))))</x:f>
        <x:v>d</x:v>
      </x:c>
      <x:c r="V1473" s="12"/>
      <x:c r="W1473" s="12" t="str">
        <x:v>negative</x:v>
      </x:c>
      <x:c r="X1473" s="12"/>
      <x:c r="Y1473" s="12" t="str">
        <x:v>negative</x:v>
      </x:c>
      <x:c r="Z1473" s="12" t="str">
        <x:f>IF(OR(W1473="unavailable",Y1473="unavailable"),"不可评价",IF(OR(W1473="equivocal",Y1473="equivocal"),"疑似",IF(AND(W1473="positive",Y1473="positive"),"a",IF(Y1473="positive","b",IF(W1473="positive","c","d")))))</x:f>
        <x:v>d</x:v>
      </x:c>
      <x:c r="AA1473" s="12" t="str">
        <x:f>IF(OR(M1473="unavailable",O1473="unavailable"),"不可评价",IF(AND(OR(M1473="positive",M1473="equivocal"),OR(O1473="positive",O1473="equivocal")),"a",IF(OR(O1473="positive",O1473="equivocal"),"b",IF(OR(M1473="positive",M1473="equivocal"),"c","d"))))</x:f>
        <x:v>d</x:v>
      </x:c>
      <x:c r="AB1473" s="12" t="str">
        <x:f>IF(OR(M1473="unavailable",O1473="unavailable"),"不可评价",IF(AND(M1473="positive",O1473="positive"),"a",IF(O1473="positive","b",IF(M1473="positive","c","d"))))</x:f>
        <x:v>d</x:v>
      </x:c>
      <x:c r="AC1473" s="12" t="str">
        <x:f>IF(OR(R1473="unavailable",T1473="unavailable"),"不可评价",IF(AND(OR(R1473="positive",R1473="equivocal"),OR(T1473="positive",T1473="equivocal")),"a",IF(OR(T1473="positive",T1473="equivocal"),"b",IF(OR(R1473="positive",R1473="equivocal"),"c","d"))))</x:f>
        <x:v>d</x:v>
      </x:c>
      <x:c r="AD1473" s="12" t="str">
        <x:f>IF(OR(R1473="unavailable",T1473="unavailable"),"不可评价",IF(AND(R1473="positive",T1473="positive"),"a",IF(T1473="positive","b",IF(R1473="positive","c","d"))))</x:f>
        <x:v>d</x:v>
      </x:c>
      <x:c r="AE1473" s="12" t="str">
        <x:f>IF(OR(W1473="unavailable",Y1473="unavailable"),"不可评价",IF(AND(OR(W1473="positive",W1473="equivocal"),OR(Y1473="positive",Y1473="equivocal")),"a",IF(OR(Y1473="positive",Y1473="equivocal"),"b",IF(OR(W1473="positive",W1473="equivocal"),"c","d"))))</x:f>
        <x:v>d</x:v>
      </x:c>
      <x:c r="AF1473" s="12" t="str">
        <x:f>IF(OR(W1473="unavailable",Y1473="unavailable"),"不可评价",IF(AND(W1473="positive",Y1473="positive"),"a",IF(Y1473="positive","b",IF(W1473="positive","c","d"))))</x:f>
        <x:v>d</x:v>
      </x:c>
    </x:row>
    <x:row r="1474" ht="24" customHeight="1">
      <x:c r="A1474" s="12" t="str">
        <x:v>13577</x:v>
      </x:c>
      <x:c r="B1474" s="12" t="str">
        <x:v>11335</x:v>
      </x:c>
      <x:c r="C1474" s="21" t="n">
        <x:v>34709.84300925926</x:v>
      </x:c>
      <x:c r="D1474" s="12" t="n">
        <x:v>82</x:v>
      </x:c>
      <x:c r="E1474" s="12" t="n">
        <x:v>1</x:v>
      </x:c>
      <x:c r="F1474" s="12" t="str">
        <x:v>未记录</x:v>
      </x:c>
      <x:c r="G1474" s="12" t="n">
        <x:v>0</x:v>
      </x:c>
      <x:c r="H1474" s="12" t="str">
        <x:v>{'ASMI': 100.0, 'ISCAL': 50.0, 'ABQRS': 0.0}</x:v>
      </x:c>
      <x:c r="I1474" s="12" t="str">
        <x:v>[('SVT', 100.0), ('LVH2', 100.0), ('2ST', 100.0), ('SMI;AU', 15.0), ('AB', 100.0)]</x:v>
      </x:c>
      <x:c r="J1474" s="12" t="str">
        <x:v>ptbxl_database.csv；ecg_id=13577；scp_codes</x:v>
      </x:c>
      <x:c r="K1474" s="12" t="str">
        <x:v>12sl_statements.csv；ecg_id=13577；statements_ext_snomed</x:v>
      </x:c>
      <x:c r="L1474" s="12"/>
      <x:c r="M1474" s="12" t="str">
        <x:v>negative</x:v>
      </x:c>
      <x:c r="N1474" s="12"/>
      <x:c r="O1474" s="12" t="str">
        <x:v>negative</x:v>
      </x:c>
      <x:c r="P1474" s="12" t="str">
        <x:f>IF(OR(M1474="unavailable",O1474="unavailable"),"不可评价",IF(OR(M1474="equivocal",O1474="equivocal"),"疑似",IF(AND(M1474="positive",O1474="positive"),"a",IF(O1474="positive","b",IF(M1474="positive","c","d")))))</x:f>
        <x:v>d</x:v>
      </x:c>
      <x:c r="Q1474" s="12"/>
      <x:c r="R1474" s="12" t="str">
        <x:v>negative</x:v>
      </x:c>
      <x:c r="S1474" s="12"/>
      <x:c r="T1474" s="12" t="str">
        <x:v>negative</x:v>
      </x:c>
      <x:c r="U1474" s="12" t="str">
        <x:f>IF(OR(R1474="unavailable",T1474="unavailable"),"不可评价",IF(OR(R1474="equivocal",T1474="equivocal"),"疑似",IF(AND(R1474="positive",T1474="positive"),"a",IF(T1474="positive","b",IF(R1474="positive","c","d")))))</x:f>
        <x:v>d</x:v>
      </x:c>
      <x:c r="V1474" s="12"/>
      <x:c r="W1474" s="12" t="str">
        <x:v>negative</x:v>
      </x:c>
      <x:c r="X1474" s="12"/>
      <x:c r="Y1474" s="12" t="str">
        <x:v>negative</x:v>
      </x:c>
      <x:c r="Z1474" s="12" t="str">
        <x:f>IF(OR(W1474="unavailable",Y1474="unavailable"),"不可评价",IF(OR(W1474="equivocal",Y1474="equivocal"),"疑似",IF(AND(W1474="positive",Y1474="positive"),"a",IF(Y1474="positive","b",IF(W1474="positive","c","d")))))</x:f>
        <x:v>d</x:v>
      </x:c>
      <x:c r="AA1474" s="12" t="str">
        <x:f>IF(OR(M1474="unavailable",O1474="unavailable"),"不可评价",IF(AND(OR(M1474="positive",M1474="equivocal"),OR(O1474="positive",O1474="equivocal")),"a",IF(OR(O1474="positive",O1474="equivocal"),"b",IF(OR(M1474="positive",M1474="equivocal"),"c","d"))))</x:f>
        <x:v>d</x:v>
      </x:c>
      <x:c r="AB1474" s="12" t="str">
        <x:f>IF(OR(M1474="unavailable",O1474="unavailable"),"不可评价",IF(AND(M1474="positive",O1474="positive"),"a",IF(O1474="positive","b",IF(M1474="positive","c","d"))))</x:f>
        <x:v>d</x:v>
      </x:c>
      <x:c r="AC1474" s="12" t="str">
        <x:f>IF(OR(R1474="unavailable",T1474="unavailable"),"不可评价",IF(AND(OR(R1474="positive",R1474="equivocal"),OR(T1474="positive",T1474="equivocal")),"a",IF(OR(T1474="positive",T1474="equivocal"),"b",IF(OR(R1474="positive",R1474="equivocal"),"c","d"))))</x:f>
        <x:v>d</x:v>
      </x:c>
      <x:c r="AD1474" s="12" t="str">
        <x:f>IF(OR(R1474="unavailable",T1474="unavailable"),"不可评价",IF(AND(R1474="positive",T1474="positive"),"a",IF(T1474="positive","b",IF(R1474="positive","c","d"))))</x:f>
        <x:v>d</x:v>
      </x:c>
      <x:c r="AE1474" s="12" t="str">
        <x:f>IF(OR(W1474="unavailable",Y1474="unavailable"),"不可评价",IF(AND(OR(W1474="positive",W1474="equivocal"),OR(Y1474="positive",Y1474="equivocal")),"a",IF(OR(Y1474="positive",Y1474="equivocal"),"b",IF(OR(W1474="positive",W1474="equivocal"),"c","d"))))</x:f>
        <x:v>d</x:v>
      </x:c>
      <x:c r="AF1474" s="12" t="str">
        <x:f>IF(OR(W1474="unavailable",Y1474="unavailable"),"不可评价",IF(AND(W1474="positive",Y1474="positive"),"a",IF(Y1474="positive","b",IF(W1474="positive","c","d"))))</x:f>
        <x:v>d</x:v>
      </x:c>
    </x:row>
    <x:row r="1475" ht="24" customHeight="1">
      <x:c r="A1475" s="12" t="str">
        <x:v>13595</x:v>
      </x:c>
      <x:c r="B1475" s="12" t="str">
        <x:v>16047</x:v>
      </x:c>
      <x:c r="C1475" s="21" t="n">
        <x:v>34713.3553125</x:v>
      </x:c>
      <x:c r="D1475" s="12" t="n">
        <x:v>69</x:v>
      </x:c>
      <x:c r="E1475" s="12" t="n">
        <x:v>1</x:v>
      </x:c>
      <x:c r="F1475" s="12" t="str">
        <x:v>存在</x:v>
      </x:c>
      <x:c r="G1475" s="12" t="n">
        <x:v>1</x:v>
      </x:c>
      <x:c r="H1475" s="12" t="str">
        <x:v>{'NORM': 100.0, 'SR': 0.0}</x:v>
      </x:c>
      <x:c r="I1475" s="12" t="str">
        <x:v>[('NSR', 100.0), ('NML', 100.0)]</x:v>
      </x:c>
      <x:c r="J1475" s="12" t="str">
        <x:v>ptbxl_database.csv；ecg_id=13595；scp_codes</x:v>
      </x:c>
      <x:c r="K1475" s="12" t="str">
        <x:v>12sl_statements.csv；ecg_id=13595；statements_ext_snomed</x:v>
      </x:c>
      <x:c r="L1475" s="12"/>
      <x:c r="M1475" s="12" t="str">
        <x:v>negative</x:v>
      </x:c>
      <x:c r="N1475" s="12"/>
      <x:c r="O1475" s="12" t="str">
        <x:v>negative</x:v>
      </x:c>
      <x:c r="P1475" s="12" t="str">
        <x:f>IF(OR(M1475="unavailable",O1475="unavailable"),"不可评价",IF(OR(M1475="equivocal",O1475="equivocal"),"疑似",IF(AND(M1475="positive",O1475="positive"),"a",IF(O1475="positive","b",IF(M1475="positive","c","d")))))</x:f>
        <x:v>d</x:v>
      </x:c>
      <x:c r="Q1475" s="12"/>
      <x:c r="R1475" s="12" t="str">
        <x:v>negative</x:v>
      </x:c>
      <x:c r="S1475" s="12"/>
      <x:c r="T1475" s="12" t="str">
        <x:v>negative</x:v>
      </x:c>
      <x:c r="U1475" s="12" t="str">
        <x:f>IF(OR(R1475="unavailable",T1475="unavailable"),"不可评价",IF(OR(R1475="equivocal",T1475="equivocal"),"疑似",IF(AND(R1475="positive",T1475="positive"),"a",IF(T1475="positive","b",IF(R1475="positive","c","d")))))</x:f>
        <x:v>d</x:v>
      </x:c>
      <x:c r="V1475" s="12"/>
      <x:c r="W1475" s="12" t="str">
        <x:v>negative</x:v>
      </x:c>
      <x:c r="X1475" s="12"/>
      <x:c r="Y1475" s="12" t="str">
        <x:v>negative</x:v>
      </x:c>
      <x:c r="Z1475" s="12" t="str">
        <x:f>IF(OR(W1475="unavailable",Y1475="unavailable"),"不可评价",IF(OR(W1475="equivocal",Y1475="equivocal"),"疑似",IF(AND(W1475="positive",Y1475="positive"),"a",IF(Y1475="positive","b",IF(W1475="positive","c","d")))))</x:f>
        <x:v>d</x:v>
      </x:c>
      <x:c r="AA1475" s="12" t="str">
        <x:f>IF(OR(M1475="unavailable",O1475="unavailable"),"不可评价",IF(AND(OR(M1475="positive",M1475="equivocal"),OR(O1475="positive",O1475="equivocal")),"a",IF(OR(O1475="positive",O1475="equivocal"),"b",IF(OR(M1475="positive",M1475="equivocal"),"c","d"))))</x:f>
        <x:v>d</x:v>
      </x:c>
      <x:c r="AB1475" s="12" t="str">
        <x:f>IF(OR(M1475="unavailable",O1475="unavailable"),"不可评价",IF(AND(M1475="positive",O1475="positive"),"a",IF(O1475="positive","b",IF(M1475="positive","c","d"))))</x:f>
        <x:v>d</x:v>
      </x:c>
      <x:c r="AC1475" s="12" t="str">
        <x:f>IF(OR(R1475="unavailable",T1475="unavailable"),"不可评价",IF(AND(OR(R1475="positive",R1475="equivocal"),OR(T1475="positive",T1475="equivocal")),"a",IF(OR(T1475="positive",T1475="equivocal"),"b",IF(OR(R1475="positive",R1475="equivocal"),"c","d"))))</x:f>
        <x:v>d</x:v>
      </x:c>
      <x:c r="AD1475" s="12" t="str">
        <x:f>IF(OR(R1475="unavailable",T1475="unavailable"),"不可评价",IF(AND(R1475="positive",T1475="positive"),"a",IF(T1475="positive","b",IF(R1475="positive","c","d"))))</x:f>
        <x:v>d</x:v>
      </x:c>
      <x:c r="AE1475" s="12" t="str">
        <x:f>IF(OR(W1475="unavailable",Y1475="unavailable"),"不可评价",IF(AND(OR(W1475="positive",W1475="equivocal"),OR(Y1475="positive",Y1475="equivocal")),"a",IF(OR(Y1475="positive",Y1475="equivocal"),"b",IF(OR(W1475="positive",W1475="equivocal"),"c","d"))))</x:f>
        <x:v>d</x:v>
      </x:c>
      <x:c r="AF1475" s="12" t="str">
        <x:f>IF(OR(W1475="unavailable",Y1475="unavailable"),"不可评价",IF(AND(W1475="positive",Y1475="positive"),"a",IF(Y1475="positive","b",IF(W1475="positive","c","d"))))</x:f>
        <x:v>d</x:v>
      </x:c>
    </x:row>
    <x:row r="1476" ht="24" customHeight="1">
      <x:c r="A1476" s="12" t="str">
        <x:v>13612</x:v>
      </x:c>
      <x:c r="B1476" s="12" t="str">
        <x:v>21749</x:v>
      </x:c>
      <x:c r="C1476" s="21" t="n">
        <x:v>34715.48163194444</x:v>
      </x:c>
      <x:c r="D1476" s="12" t="n">
        <x:v>86</x:v>
      </x:c>
      <x:c r="E1476" s="12" t="n">
        <x:v>1</x:v>
      </x:c>
      <x:c r="F1476" s="12" t="str">
        <x:v>存在</x:v>
      </x:c>
      <x:c r="G1476" s="12" t="n">
        <x:v>1</x:v>
      </x:c>
      <x:c r="H1476" s="12" t="str">
        <x:v>{'LAFB': 100.0, 'SR': 0.0}</x:v>
      </x:c>
      <x:c r="I1476" s="12" t="str">
        <x:v>[('SRTH', 100.0), ('SPR', 100.0), ('LAD3', 100.0), ('AB', 100.0)]</x:v>
      </x:c>
      <x:c r="J1476" s="12" t="str">
        <x:v>ptbxl_database.csv；ecg_id=13612；scp_codes</x:v>
      </x:c>
      <x:c r="K1476" s="12" t="str">
        <x:v>12sl_statements.csv；ecg_id=13612；statements_ext_snomed</x:v>
      </x:c>
      <x:c r="L1476" s="12"/>
      <x:c r="M1476" s="12" t="str">
        <x:v>negative</x:v>
      </x:c>
      <x:c r="N1476" s="12"/>
      <x:c r="O1476" s="12" t="str">
        <x:v>negative</x:v>
      </x:c>
      <x:c r="P1476" s="12" t="str">
        <x:f>IF(OR(M1476="unavailable",O1476="unavailable"),"不可评价",IF(OR(M1476="equivocal",O1476="equivocal"),"疑似",IF(AND(M1476="positive",O1476="positive"),"a",IF(O1476="positive","b",IF(M1476="positive","c","d")))))</x:f>
        <x:v>d</x:v>
      </x:c>
      <x:c r="Q1476" s="12"/>
      <x:c r="R1476" s="12" t="str">
        <x:v>negative</x:v>
      </x:c>
      <x:c r="S1476" s="12"/>
      <x:c r="T1476" s="12" t="str">
        <x:v>negative</x:v>
      </x:c>
      <x:c r="U1476" s="12" t="str">
        <x:f>IF(OR(R1476="unavailable",T1476="unavailable"),"不可评价",IF(OR(R1476="equivocal",T1476="equivocal"),"疑似",IF(AND(R1476="positive",T1476="positive"),"a",IF(T1476="positive","b",IF(R1476="positive","c","d")))))</x:f>
        <x:v>d</x:v>
      </x:c>
      <x:c r="V1476" s="12"/>
      <x:c r="W1476" s="12" t="str">
        <x:v>negative</x:v>
      </x:c>
      <x:c r="X1476" s="12"/>
      <x:c r="Y1476" s="12" t="str">
        <x:v>negative</x:v>
      </x:c>
      <x:c r="Z1476" s="12" t="str">
        <x:f>IF(OR(W1476="unavailable",Y1476="unavailable"),"不可评价",IF(OR(W1476="equivocal",Y1476="equivocal"),"疑似",IF(AND(W1476="positive",Y1476="positive"),"a",IF(Y1476="positive","b",IF(W1476="positive","c","d")))))</x:f>
        <x:v>d</x:v>
      </x:c>
      <x:c r="AA1476" s="12" t="str">
        <x:f>IF(OR(M1476="unavailable",O1476="unavailable"),"不可评价",IF(AND(OR(M1476="positive",M1476="equivocal"),OR(O1476="positive",O1476="equivocal")),"a",IF(OR(O1476="positive",O1476="equivocal"),"b",IF(OR(M1476="positive",M1476="equivocal"),"c","d"))))</x:f>
        <x:v>d</x:v>
      </x:c>
      <x:c r="AB1476" s="12" t="str">
        <x:f>IF(OR(M1476="unavailable",O1476="unavailable"),"不可评价",IF(AND(M1476="positive",O1476="positive"),"a",IF(O1476="positive","b",IF(M1476="positive","c","d"))))</x:f>
        <x:v>d</x:v>
      </x:c>
      <x:c r="AC1476" s="12" t="str">
        <x:f>IF(OR(R1476="unavailable",T1476="unavailable"),"不可评价",IF(AND(OR(R1476="positive",R1476="equivocal"),OR(T1476="positive",T1476="equivocal")),"a",IF(OR(T1476="positive",T1476="equivocal"),"b",IF(OR(R1476="positive",R1476="equivocal"),"c","d"))))</x:f>
        <x:v>d</x:v>
      </x:c>
      <x:c r="AD1476" s="12" t="str">
        <x:f>IF(OR(R1476="unavailable",T1476="unavailable"),"不可评价",IF(AND(R1476="positive",T1476="positive"),"a",IF(T1476="positive","b",IF(R1476="positive","c","d"))))</x:f>
        <x:v>d</x:v>
      </x:c>
      <x:c r="AE1476" s="12" t="str">
        <x:f>IF(OR(W1476="unavailable",Y1476="unavailable"),"不可评价",IF(AND(OR(W1476="positive",W1476="equivocal"),OR(Y1476="positive",Y1476="equivocal")),"a",IF(OR(Y1476="positive",Y1476="equivocal"),"b",IF(OR(W1476="positive",W1476="equivocal"),"c","d"))))</x:f>
        <x:v>d</x:v>
      </x:c>
      <x:c r="AF1476" s="12" t="str">
        <x:f>IF(OR(W1476="unavailable",Y1476="unavailable"),"不可评价",IF(AND(W1476="positive",Y1476="positive"),"a",IF(Y1476="positive","b",IF(W1476="positive","c","d"))))</x:f>
        <x:v>d</x:v>
      </x:c>
    </x:row>
    <x:row r="1477" ht="24" customHeight="1">
      <x:c r="A1477" s="12" t="str">
        <x:v>13630</x:v>
      </x:c>
      <x:c r="B1477" s="12" t="str">
        <x:v>11041</x:v>
      </x:c>
      <x:c r="C1477" s="21" t="n">
        <x:v>34718.36732638889</x:v>
      </x:c>
      <x:c r="D1477" s="12" t="n">
        <x:v>18</x:v>
      </x:c>
      <x:c r="E1477" s="12" t="n">
        <x:v>1</x:v>
      </x:c>
      <x:c r="F1477" s="12" t="str">
        <x:v>存在</x:v>
      </x:c>
      <x:c r="G1477" s="12" t="n">
        <x:v>1</x:v>
      </x:c>
      <x:c r="H1477" s="12" t="str">
        <x:v>{'NORM': 100.0, 'SR': 0.0}</x:v>
      </x:c>
      <x:c r="I1477" s="12" t="str">
        <x:v>[('NSR', 100.0), ('NML', 100.0)]</x:v>
      </x:c>
      <x:c r="J1477" s="12" t="str">
        <x:v>ptbxl_database.csv；ecg_id=13630；scp_codes</x:v>
      </x:c>
      <x:c r="K1477" s="12" t="str">
        <x:v>12sl_statements.csv；ecg_id=13630；statements_ext_snomed</x:v>
      </x:c>
      <x:c r="L1477" s="12"/>
      <x:c r="M1477" s="12" t="str">
        <x:v>negative</x:v>
      </x:c>
      <x:c r="N1477" s="12"/>
      <x:c r="O1477" s="12" t="str">
        <x:v>negative</x:v>
      </x:c>
      <x:c r="P1477" s="12" t="str">
        <x:f>IF(OR(M1477="unavailable",O1477="unavailable"),"不可评价",IF(OR(M1477="equivocal",O1477="equivocal"),"疑似",IF(AND(M1477="positive",O1477="positive"),"a",IF(O1477="positive","b",IF(M1477="positive","c","d")))))</x:f>
        <x:v>d</x:v>
      </x:c>
      <x:c r="Q1477" s="12"/>
      <x:c r="R1477" s="12" t="str">
        <x:v>negative</x:v>
      </x:c>
      <x:c r="S1477" s="12"/>
      <x:c r="T1477" s="12" t="str">
        <x:v>negative</x:v>
      </x:c>
      <x:c r="U1477" s="12" t="str">
        <x:f>IF(OR(R1477="unavailable",T1477="unavailable"),"不可评价",IF(OR(R1477="equivocal",T1477="equivocal"),"疑似",IF(AND(R1477="positive",T1477="positive"),"a",IF(T1477="positive","b",IF(R1477="positive","c","d")))))</x:f>
        <x:v>d</x:v>
      </x:c>
      <x:c r="V1477" s="12"/>
      <x:c r="W1477" s="12" t="str">
        <x:v>negative</x:v>
      </x:c>
      <x:c r="X1477" s="12"/>
      <x:c r="Y1477" s="12" t="str">
        <x:v>negative</x:v>
      </x:c>
      <x:c r="Z1477" s="12" t="str">
        <x:f>IF(OR(W1477="unavailable",Y1477="unavailable"),"不可评价",IF(OR(W1477="equivocal",Y1477="equivocal"),"疑似",IF(AND(W1477="positive",Y1477="positive"),"a",IF(Y1477="positive","b",IF(W1477="positive","c","d")))))</x:f>
        <x:v>d</x:v>
      </x:c>
      <x:c r="AA1477" s="12" t="str">
        <x:f>IF(OR(M1477="unavailable",O1477="unavailable"),"不可评价",IF(AND(OR(M1477="positive",M1477="equivocal"),OR(O1477="positive",O1477="equivocal")),"a",IF(OR(O1477="positive",O1477="equivocal"),"b",IF(OR(M1477="positive",M1477="equivocal"),"c","d"))))</x:f>
        <x:v>d</x:v>
      </x:c>
      <x:c r="AB1477" s="12" t="str">
        <x:f>IF(OR(M1477="unavailable",O1477="unavailable"),"不可评价",IF(AND(M1477="positive",O1477="positive"),"a",IF(O1477="positive","b",IF(M1477="positive","c","d"))))</x:f>
        <x:v>d</x:v>
      </x:c>
      <x:c r="AC1477" s="12" t="str">
        <x:f>IF(OR(R1477="unavailable",T1477="unavailable"),"不可评价",IF(AND(OR(R1477="positive",R1477="equivocal"),OR(T1477="positive",T1477="equivocal")),"a",IF(OR(T1477="positive",T1477="equivocal"),"b",IF(OR(R1477="positive",R1477="equivocal"),"c","d"))))</x:f>
        <x:v>d</x:v>
      </x:c>
      <x:c r="AD1477" s="12" t="str">
        <x:f>IF(OR(R1477="unavailable",T1477="unavailable"),"不可评价",IF(AND(R1477="positive",T1477="positive"),"a",IF(T1477="positive","b",IF(R1477="positive","c","d"))))</x:f>
        <x:v>d</x:v>
      </x:c>
      <x:c r="AE1477" s="12" t="str">
        <x:f>IF(OR(W1477="unavailable",Y1477="unavailable"),"不可评价",IF(AND(OR(W1477="positive",W1477="equivocal"),OR(Y1477="positive",Y1477="equivocal")),"a",IF(OR(Y1477="positive",Y1477="equivocal"),"b",IF(OR(W1477="positive",W1477="equivocal"),"c","d"))))</x:f>
        <x:v>d</x:v>
      </x:c>
      <x:c r="AF1477" s="12" t="str">
        <x:f>IF(OR(W1477="unavailable",Y1477="unavailable"),"不可评价",IF(AND(W1477="positive",Y1477="positive"),"a",IF(Y1477="positive","b",IF(W1477="positive","c","d"))))</x:f>
        <x:v>d</x:v>
      </x:c>
    </x:row>
    <x:row r="1478" ht="24" customHeight="1">
      <x:c r="A1478" s="12" t="str">
        <x:v>13642</x:v>
      </x:c>
      <x:c r="B1478" s="12" t="str">
        <x:v>14913</x:v>
      </x:c>
      <x:c r="C1478" s="21" t="n">
        <x:v>34719.388136574074</x:v>
      </x:c>
      <x:c r="D1478" s="12" t="n">
        <x:v>55</x:v>
      </x:c>
      <x:c r="E1478" s="12" t="n">
        <x:v>0</x:v>
      </x:c>
      <x:c r="F1478" s="12" t="str">
        <x:v>存在</x:v>
      </x:c>
      <x:c r="G1478" s="12" t="n">
        <x:v>1</x:v>
      </x:c>
      <x:c r="H1478" s="12" t="str">
        <x:v>{'NORM': 100.0, 'SR': 0.0}</x:v>
      </x:c>
      <x:c r="I1478" s="12" t="str">
        <x:v>[('NSR', 100.0), ('NML', 100.0)]</x:v>
      </x:c>
      <x:c r="J1478" s="12" t="str">
        <x:v>ptbxl_database.csv；ecg_id=13642；scp_codes</x:v>
      </x:c>
      <x:c r="K1478" s="12" t="str">
        <x:v>12sl_statements.csv；ecg_id=13642；statements_ext_snomed</x:v>
      </x:c>
      <x:c r="L1478" s="12"/>
      <x:c r="M1478" s="12" t="str">
        <x:v>negative</x:v>
      </x:c>
      <x:c r="N1478" s="12"/>
      <x:c r="O1478" s="12" t="str">
        <x:v>negative</x:v>
      </x:c>
      <x:c r="P1478" s="12" t="str">
        <x:f>IF(OR(M1478="unavailable",O1478="unavailable"),"不可评价",IF(OR(M1478="equivocal",O1478="equivocal"),"疑似",IF(AND(M1478="positive",O1478="positive"),"a",IF(O1478="positive","b",IF(M1478="positive","c","d")))))</x:f>
        <x:v>d</x:v>
      </x:c>
      <x:c r="Q1478" s="12"/>
      <x:c r="R1478" s="12" t="str">
        <x:v>negative</x:v>
      </x:c>
      <x:c r="S1478" s="12"/>
      <x:c r="T1478" s="12" t="str">
        <x:v>negative</x:v>
      </x:c>
      <x:c r="U1478" s="12" t="str">
        <x:f>IF(OR(R1478="unavailable",T1478="unavailable"),"不可评价",IF(OR(R1478="equivocal",T1478="equivocal"),"疑似",IF(AND(R1478="positive",T1478="positive"),"a",IF(T1478="positive","b",IF(R1478="positive","c","d")))))</x:f>
        <x:v>d</x:v>
      </x:c>
      <x:c r="V1478" s="12"/>
      <x:c r="W1478" s="12" t="str">
        <x:v>negative</x:v>
      </x:c>
      <x:c r="X1478" s="12"/>
      <x:c r="Y1478" s="12" t="str">
        <x:v>negative</x:v>
      </x:c>
      <x:c r="Z1478" s="12" t="str">
        <x:f>IF(OR(W1478="unavailable",Y1478="unavailable"),"不可评价",IF(OR(W1478="equivocal",Y1478="equivocal"),"疑似",IF(AND(W1478="positive",Y1478="positive"),"a",IF(Y1478="positive","b",IF(W1478="positive","c","d")))))</x:f>
        <x:v>d</x:v>
      </x:c>
      <x:c r="AA1478" s="12" t="str">
        <x:f>IF(OR(M1478="unavailable",O1478="unavailable"),"不可评价",IF(AND(OR(M1478="positive",M1478="equivocal"),OR(O1478="positive",O1478="equivocal")),"a",IF(OR(O1478="positive",O1478="equivocal"),"b",IF(OR(M1478="positive",M1478="equivocal"),"c","d"))))</x:f>
        <x:v>d</x:v>
      </x:c>
      <x:c r="AB1478" s="12" t="str">
        <x:f>IF(OR(M1478="unavailable",O1478="unavailable"),"不可评价",IF(AND(M1478="positive",O1478="positive"),"a",IF(O1478="positive","b",IF(M1478="positive","c","d"))))</x:f>
        <x:v>d</x:v>
      </x:c>
      <x:c r="AC1478" s="12" t="str">
        <x:f>IF(OR(R1478="unavailable",T1478="unavailable"),"不可评价",IF(AND(OR(R1478="positive",R1478="equivocal"),OR(T1478="positive",T1478="equivocal")),"a",IF(OR(T1478="positive",T1478="equivocal"),"b",IF(OR(R1478="positive",R1478="equivocal"),"c","d"))))</x:f>
        <x:v>d</x:v>
      </x:c>
      <x:c r="AD1478" s="12" t="str">
        <x:f>IF(OR(R1478="unavailable",T1478="unavailable"),"不可评价",IF(AND(R1478="positive",T1478="positive"),"a",IF(T1478="positive","b",IF(R1478="positive","c","d"))))</x:f>
        <x:v>d</x:v>
      </x:c>
      <x:c r="AE1478" s="12" t="str">
        <x:f>IF(OR(W1478="unavailable",Y1478="unavailable"),"不可评价",IF(AND(OR(W1478="positive",W1478="equivocal"),OR(Y1478="positive",Y1478="equivocal")),"a",IF(OR(Y1478="positive",Y1478="equivocal"),"b",IF(OR(W1478="positive",W1478="equivocal"),"c","d"))))</x:f>
        <x:v>d</x:v>
      </x:c>
      <x:c r="AF1478" s="12" t="str">
        <x:f>IF(OR(W1478="unavailable",Y1478="unavailable"),"不可评价",IF(AND(W1478="positive",Y1478="positive"),"a",IF(Y1478="positive","b",IF(W1478="positive","c","d"))))</x:f>
        <x:v>d</x:v>
      </x:c>
    </x:row>
    <x:row r="1479" ht="24" customHeight="1">
      <x:c r="A1479" s="12" t="str">
        <x:v>13711</x:v>
      </x:c>
      <x:c r="B1479" s="12" t="str">
        <x:v>19515</x:v>
      </x:c>
      <x:c r="C1479" s="21" t="n">
        <x:v>34727.54472222222</x:v>
      </x:c>
      <x:c r="D1479" s="12" t="n">
        <x:v>32</x:v>
      </x:c>
      <x:c r="E1479" s="12" t="n">
        <x:v>0</x:v>
      </x:c>
      <x:c r="F1479" s="12" t="str">
        <x:v>存在</x:v>
      </x:c>
      <x:c r="G1479" s="12" t="n">
        <x:v>1</x:v>
      </x:c>
      <x:c r="H1479" s="12" t="str">
        <x:v>{'IRBBB': 100.0, 'PVC': 100.0, 'SR': 0.0}</x:v>
      </x:c>
      <x:c r="I1479" s="12" t="str">
        <x:v>[('SRTH', 100.0), ('PVC', 100.0), ('LAE', 50.0), ('BORDE', 100.0)]</x:v>
      </x:c>
      <x:c r="J1479" s="12" t="str">
        <x:v>ptbxl_database.csv；ecg_id=13711；scp_codes</x:v>
      </x:c>
      <x:c r="K1479" s="12" t="str">
        <x:v>12sl_statements.csv；ecg_id=13711；statements_ext_snomed</x:v>
      </x:c>
      <x:c r="L1479" s="12"/>
      <x:c r="M1479" s="12" t="str">
        <x:v>negative</x:v>
      </x:c>
      <x:c r="N1479" s="12"/>
      <x:c r="O1479" s="12" t="str">
        <x:v>negative</x:v>
      </x:c>
      <x:c r="P1479" s="12" t="str">
        <x:f>IF(OR(M1479="unavailable",O1479="unavailable"),"不可评价",IF(OR(M1479="equivocal",O1479="equivocal"),"疑似",IF(AND(M1479="positive",O1479="positive"),"a",IF(O1479="positive","b",IF(M1479="positive","c","d")))))</x:f>
        <x:v>d</x:v>
      </x:c>
      <x:c r="Q1479" s="12"/>
      <x:c r="R1479" s="12" t="str">
        <x:v>negative</x:v>
      </x:c>
      <x:c r="S1479" s="12"/>
      <x:c r="T1479" s="12" t="str">
        <x:v>negative</x:v>
      </x:c>
      <x:c r="U1479" s="12" t="str">
        <x:f>IF(OR(R1479="unavailable",T1479="unavailable"),"不可评价",IF(OR(R1479="equivocal",T1479="equivocal"),"疑似",IF(AND(R1479="positive",T1479="positive"),"a",IF(T1479="positive","b",IF(R1479="positive","c","d")))))</x:f>
        <x:v>d</x:v>
      </x:c>
      <x:c r="V1479" s="12"/>
      <x:c r="W1479" s="12" t="str">
        <x:v>negative</x:v>
      </x:c>
      <x:c r="X1479" s="12"/>
      <x:c r="Y1479" s="12" t="str">
        <x:v>negative</x:v>
      </x:c>
      <x:c r="Z1479" s="12" t="str">
        <x:f>IF(OR(W1479="unavailable",Y1479="unavailable"),"不可评价",IF(OR(W1479="equivocal",Y1479="equivocal"),"疑似",IF(AND(W1479="positive",Y1479="positive"),"a",IF(Y1479="positive","b",IF(W1479="positive","c","d")))))</x:f>
        <x:v>d</x:v>
      </x:c>
      <x:c r="AA1479" s="12" t="str">
        <x:f>IF(OR(M1479="unavailable",O1479="unavailable"),"不可评价",IF(AND(OR(M1479="positive",M1479="equivocal"),OR(O1479="positive",O1479="equivocal")),"a",IF(OR(O1479="positive",O1479="equivocal"),"b",IF(OR(M1479="positive",M1479="equivocal"),"c","d"))))</x:f>
        <x:v>d</x:v>
      </x:c>
      <x:c r="AB1479" s="12" t="str">
        <x:f>IF(OR(M1479="unavailable",O1479="unavailable"),"不可评价",IF(AND(M1479="positive",O1479="positive"),"a",IF(O1479="positive","b",IF(M1479="positive","c","d"))))</x:f>
        <x:v>d</x:v>
      </x:c>
      <x:c r="AC1479" s="12" t="str">
        <x:f>IF(OR(R1479="unavailable",T1479="unavailable"),"不可评价",IF(AND(OR(R1479="positive",R1479="equivocal"),OR(T1479="positive",T1479="equivocal")),"a",IF(OR(T1479="positive",T1479="equivocal"),"b",IF(OR(R1479="positive",R1479="equivocal"),"c","d"))))</x:f>
        <x:v>d</x:v>
      </x:c>
      <x:c r="AD1479" s="12" t="str">
        <x:f>IF(OR(R1479="unavailable",T1479="unavailable"),"不可评价",IF(AND(R1479="positive",T1479="positive"),"a",IF(T1479="positive","b",IF(R1479="positive","c","d"))))</x:f>
        <x:v>d</x:v>
      </x:c>
      <x:c r="AE1479" s="12" t="str">
        <x:f>IF(OR(W1479="unavailable",Y1479="unavailable"),"不可评价",IF(AND(OR(W1479="positive",W1479="equivocal"),OR(Y1479="positive",Y1479="equivocal")),"a",IF(OR(Y1479="positive",Y1479="equivocal"),"b",IF(OR(W1479="positive",W1479="equivocal"),"c","d"))))</x:f>
        <x:v>d</x:v>
      </x:c>
      <x:c r="AF1479" s="12" t="str">
        <x:f>IF(OR(W1479="unavailable",Y1479="unavailable"),"不可评价",IF(AND(W1479="positive",Y1479="positive"),"a",IF(Y1479="positive","b",IF(W1479="positive","c","d"))))</x:f>
        <x:v>d</x:v>
      </x:c>
    </x:row>
    <x:row r="1480" ht="24" customHeight="1">
      <x:c r="A1480" s="12" t="str">
        <x:v>13712</x:v>
      </x:c>
      <x:c r="B1480" s="12" t="str">
        <x:v>15286</x:v>
      </x:c>
      <x:c r="C1480" s="21" t="n">
        <x:v>34727.55224537037</x:v>
      </x:c>
      <x:c r="D1480" s="12" t="n">
        <x:v>22</x:v>
      </x:c>
      <x:c r="E1480" s="12" t="n">
        <x:v>0</x:v>
      </x:c>
      <x:c r="F1480" s="12" t="str">
        <x:v>未记录</x:v>
      </x:c>
      <x:c r="G1480" s="12" t="n">
        <x:v>1</x:v>
      </x:c>
      <x:c r="H1480" s="12" t="str">
        <x:v>{'NORM': 100.0, 'SR': 0.0}</x:v>
      </x:c>
      <x:c r="I1480" s="12" t="str">
        <x:v>[('NSR', 100.0), ('BORDE', 100.0)]</x:v>
      </x:c>
      <x:c r="J1480" s="12" t="str">
        <x:v>ptbxl_database.csv；ecg_id=13712；scp_codes</x:v>
      </x:c>
      <x:c r="K1480" s="12" t="str">
        <x:v>12sl_statements.csv；ecg_id=13712；statements_ext_snomed</x:v>
      </x:c>
      <x:c r="L1480" s="12"/>
      <x:c r="M1480" s="12" t="str">
        <x:v>negative</x:v>
      </x:c>
      <x:c r="N1480" s="12"/>
      <x:c r="O1480" s="12" t="str">
        <x:v>negative</x:v>
      </x:c>
      <x:c r="P1480" s="12" t="str">
        <x:f>IF(OR(M1480="unavailable",O1480="unavailable"),"不可评价",IF(OR(M1480="equivocal",O1480="equivocal"),"疑似",IF(AND(M1480="positive",O1480="positive"),"a",IF(O1480="positive","b",IF(M1480="positive","c","d")))))</x:f>
        <x:v>d</x:v>
      </x:c>
      <x:c r="Q1480" s="12"/>
      <x:c r="R1480" s="12" t="str">
        <x:v>negative</x:v>
      </x:c>
      <x:c r="S1480" s="12"/>
      <x:c r="T1480" s="12" t="str">
        <x:v>negative</x:v>
      </x:c>
      <x:c r="U1480" s="12" t="str">
        <x:f>IF(OR(R1480="unavailable",T1480="unavailable"),"不可评价",IF(OR(R1480="equivocal",T1480="equivocal"),"疑似",IF(AND(R1480="positive",T1480="positive"),"a",IF(T1480="positive","b",IF(R1480="positive","c","d")))))</x:f>
        <x:v>d</x:v>
      </x:c>
      <x:c r="V1480" s="12"/>
      <x:c r="W1480" s="12" t="str">
        <x:v>negative</x:v>
      </x:c>
      <x:c r="X1480" s="12"/>
      <x:c r="Y1480" s="12" t="str">
        <x:v>negative</x:v>
      </x:c>
      <x:c r="Z1480" s="12" t="str">
        <x:f>IF(OR(W1480="unavailable",Y1480="unavailable"),"不可评价",IF(OR(W1480="equivocal",Y1480="equivocal"),"疑似",IF(AND(W1480="positive",Y1480="positive"),"a",IF(Y1480="positive","b",IF(W1480="positive","c","d")))))</x:f>
        <x:v>d</x:v>
      </x:c>
      <x:c r="AA1480" s="12" t="str">
        <x:f>IF(OR(M1480="unavailable",O1480="unavailable"),"不可评价",IF(AND(OR(M1480="positive",M1480="equivocal"),OR(O1480="positive",O1480="equivocal")),"a",IF(OR(O1480="positive",O1480="equivocal"),"b",IF(OR(M1480="positive",M1480="equivocal"),"c","d"))))</x:f>
        <x:v>d</x:v>
      </x:c>
      <x:c r="AB1480" s="12" t="str">
        <x:f>IF(OR(M1480="unavailable",O1480="unavailable"),"不可评价",IF(AND(M1480="positive",O1480="positive"),"a",IF(O1480="positive","b",IF(M1480="positive","c","d"))))</x:f>
        <x:v>d</x:v>
      </x:c>
      <x:c r="AC1480" s="12" t="str">
        <x:f>IF(OR(R1480="unavailable",T1480="unavailable"),"不可评价",IF(AND(OR(R1480="positive",R1480="equivocal"),OR(T1480="positive",T1480="equivocal")),"a",IF(OR(T1480="positive",T1480="equivocal"),"b",IF(OR(R1480="positive",R1480="equivocal"),"c","d"))))</x:f>
        <x:v>d</x:v>
      </x:c>
      <x:c r="AD1480" s="12" t="str">
        <x:f>IF(OR(R1480="unavailable",T1480="unavailable"),"不可评价",IF(AND(R1480="positive",T1480="positive"),"a",IF(T1480="positive","b",IF(R1480="positive","c","d"))))</x:f>
        <x:v>d</x:v>
      </x:c>
      <x:c r="AE1480" s="12" t="str">
        <x:f>IF(OR(W1480="unavailable",Y1480="unavailable"),"不可评价",IF(AND(OR(W1480="positive",W1480="equivocal"),OR(Y1480="positive",Y1480="equivocal")),"a",IF(OR(Y1480="positive",Y1480="equivocal"),"b",IF(OR(W1480="positive",W1480="equivocal"),"c","d"))))</x:f>
        <x:v>d</x:v>
      </x:c>
      <x:c r="AF1480" s="12" t="str">
        <x:f>IF(OR(W1480="unavailable",Y1480="unavailable"),"不可评价",IF(AND(W1480="positive",Y1480="positive"),"a",IF(Y1480="positive","b",IF(W1480="positive","c","d"))))</x:f>
        <x:v>d</x:v>
      </x:c>
    </x:row>
    <x:row r="1481" ht="24" customHeight="1">
      <x:c r="A1481" s="12" t="str">
        <x:v>13717</x:v>
      </x:c>
      <x:c r="B1481" s="12" t="str">
        <x:v>2722</x:v>
      </x:c>
      <x:c r="C1481" s="21" t="n">
        <x:v>34727.76332175926</x:v>
      </x:c>
      <x:c r="D1481" s="12" t="n">
        <x:v>62</x:v>
      </x:c>
      <x:c r="E1481" s="12" t="n">
        <x:v>1</x:v>
      </x:c>
      <x:c r="F1481" s="12" t="str">
        <x:v>未记录</x:v>
      </x:c>
      <x:c r="G1481" s="12" t="n">
        <x:v>1</x:v>
      </x:c>
      <x:c r="H1481" s="12" t="str">
        <x:v>{'NORM': 100.0, 'SR': 0.0}</x:v>
      </x:c>
      <x:c r="I1481" s="12" t="str">
        <x:v>[('NSR', 100.0), ('NML', 100.0)]</x:v>
      </x:c>
      <x:c r="J1481" s="12" t="str">
        <x:v>ptbxl_database.csv；ecg_id=13717；scp_codes</x:v>
      </x:c>
      <x:c r="K1481" s="12" t="str">
        <x:v>12sl_statements.csv；ecg_id=13717；statements_ext_snomed</x:v>
      </x:c>
      <x:c r="L1481" s="12"/>
      <x:c r="M1481" s="12" t="str">
        <x:v>negative</x:v>
      </x:c>
      <x:c r="N1481" s="12"/>
      <x:c r="O1481" s="12" t="str">
        <x:v>negative</x:v>
      </x:c>
      <x:c r="P1481" s="12" t="str">
        <x:f>IF(OR(M1481="unavailable",O1481="unavailable"),"不可评价",IF(OR(M1481="equivocal",O1481="equivocal"),"疑似",IF(AND(M1481="positive",O1481="positive"),"a",IF(O1481="positive","b",IF(M1481="positive","c","d")))))</x:f>
        <x:v>d</x:v>
      </x:c>
      <x:c r="Q1481" s="12"/>
      <x:c r="R1481" s="12" t="str">
        <x:v>negative</x:v>
      </x:c>
      <x:c r="S1481" s="12"/>
      <x:c r="T1481" s="12" t="str">
        <x:v>negative</x:v>
      </x:c>
      <x:c r="U1481" s="12" t="str">
        <x:f>IF(OR(R1481="unavailable",T1481="unavailable"),"不可评价",IF(OR(R1481="equivocal",T1481="equivocal"),"疑似",IF(AND(R1481="positive",T1481="positive"),"a",IF(T1481="positive","b",IF(R1481="positive","c","d")))))</x:f>
        <x:v>d</x:v>
      </x:c>
      <x:c r="V1481" s="12"/>
      <x:c r="W1481" s="12" t="str">
        <x:v>negative</x:v>
      </x:c>
      <x:c r="X1481" s="12"/>
      <x:c r="Y1481" s="12" t="str">
        <x:v>negative</x:v>
      </x:c>
      <x:c r="Z1481" s="12" t="str">
        <x:f>IF(OR(W1481="unavailable",Y1481="unavailable"),"不可评价",IF(OR(W1481="equivocal",Y1481="equivocal"),"疑似",IF(AND(W1481="positive",Y1481="positive"),"a",IF(Y1481="positive","b",IF(W1481="positive","c","d")))))</x:f>
        <x:v>d</x:v>
      </x:c>
      <x:c r="AA1481" s="12" t="str">
        <x:f>IF(OR(M1481="unavailable",O1481="unavailable"),"不可评价",IF(AND(OR(M1481="positive",M1481="equivocal"),OR(O1481="positive",O1481="equivocal")),"a",IF(OR(O1481="positive",O1481="equivocal"),"b",IF(OR(M1481="positive",M1481="equivocal"),"c","d"))))</x:f>
        <x:v>d</x:v>
      </x:c>
      <x:c r="AB1481" s="12" t="str">
        <x:f>IF(OR(M1481="unavailable",O1481="unavailable"),"不可评价",IF(AND(M1481="positive",O1481="positive"),"a",IF(O1481="positive","b",IF(M1481="positive","c","d"))))</x:f>
        <x:v>d</x:v>
      </x:c>
      <x:c r="AC1481" s="12" t="str">
        <x:f>IF(OR(R1481="unavailable",T1481="unavailable"),"不可评价",IF(AND(OR(R1481="positive",R1481="equivocal"),OR(T1481="positive",T1481="equivocal")),"a",IF(OR(T1481="positive",T1481="equivocal"),"b",IF(OR(R1481="positive",R1481="equivocal"),"c","d"))))</x:f>
        <x:v>d</x:v>
      </x:c>
      <x:c r="AD1481" s="12" t="str">
        <x:f>IF(OR(R1481="unavailable",T1481="unavailable"),"不可评价",IF(AND(R1481="positive",T1481="positive"),"a",IF(T1481="positive","b",IF(R1481="positive","c","d"))))</x:f>
        <x:v>d</x:v>
      </x:c>
      <x:c r="AE1481" s="12" t="str">
        <x:f>IF(OR(W1481="unavailable",Y1481="unavailable"),"不可评价",IF(AND(OR(W1481="positive",W1481="equivocal"),OR(Y1481="positive",Y1481="equivocal")),"a",IF(OR(Y1481="positive",Y1481="equivocal"),"b",IF(OR(W1481="positive",W1481="equivocal"),"c","d"))))</x:f>
        <x:v>d</x:v>
      </x:c>
      <x:c r="AF1481" s="12" t="str">
        <x:f>IF(OR(W1481="unavailable",Y1481="unavailable"),"不可评价",IF(AND(W1481="positive",Y1481="positive"),"a",IF(Y1481="positive","b",IF(W1481="positive","c","d"))))</x:f>
        <x:v>d</x:v>
      </x:c>
    </x:row>
    <x:row r="1482" ht="24" customHeight="1">
      <x:c r="A1482" s="12" t="str">
        <x:v>13744</x:v>
      </x:c>
      <x:c r="B1482" s="12" t="str">
        <x:v>5682</x:v>
      </x:c>
      <x:c r="C1482" s="21" t="n">
        <x:v>34732.45856481481</x:v>
      </x:c>
      <x:c r="D1482" s="12" t="n">
        <x:v>68</x:v>
      </x:c>
      <x:c r="E1482" s="12" t="n">
        <x:v>0</x:v>
      </x:c>
      <x:c r="F1482" s="12" t="str">
        <x:v>未记录</x:v>
      </x:c>
      <x:c r="G1482" s="12" t="n">
        <x:v>1</x:v>
      </x:c>
      <x:c r="H1482" s="12" t="str">
        <x:v>{'IMI': 15.0, 'HVOLT': 0.0, 'SR': 0.0}</x:v>
      </x:c>
      <x:c r="I1482" s="12" t="str">
        <x:v>[('NSR', 100.0), ('IMI;AU', 100.0), ('AB', 100.0)]</x:v>
      </x:c>
      <x:c r="J1482" s="12" t="str">
        <x:v>ptbxl_database.csv；ecg_id=13744；scp_codes</x:v>
      </x:c>
      <x:c r="K1482" s="12" t="str">
        <x:v>12sl_statements.csv；ecg_id=13744；statements_ext_snomed</x:v>
      </x:c>
      <x:c r="L1482" s="12"/>
      <x:c r="M1482" s="12" t="str">
        <x:v>negative</x:v>
      </x:c>
      <x:c r="N1482" s="12"/>
      <x:c r="O1482" s="12" t="str">
        <x:v>negative</x:v>
      </x:c>
      <x:c r="P1482" s="12" t="str">
        <x:f>IF(OR(M1482="unavailable",O1482="unavailable"),"不可评价",IF(OR(M1482="equivocal",O1482="equivocal"),"疑似",IF(AND(M1482="positive",O1482="positive"),"a",IF(O1482="positive","b",IF(M1482="positive","c","d")))))</x:f>
        <x:v>d</x:v>
      </x:c>
      <x:c r="Q1482" s="12"/>
      <x:c r="R1482" s="12" t="str">
        <x:v>negative</x:v>
      </x:c>
      <x:c r="S1482" s="12"/>
      <x:c r="T1482" s="12" t="str">
        <x:v>negative</x:v>
      </x:c>
      <x:c r="U1482" s="12" t="str">
        <x:f>IF(OR(R1482="unavailable",T1482="unavailable"),"不可评价",IF(OR(R1482="equivocal",T1482="equivocal"),"疑似",IF(AND(R1482="positive",T1482="positive"),"a",IF(T1482="positive","b",IF(R1482="positive","c","d")))))</x:f>
        <x:v>d</x:v>
      </x:c>
      <x:c r="V1482" s="12"/>
      <x:c r="W1482" s="12" t="str">
        <x:v>negative</x:v>
      </x:c>
      <x:c r="X1482" s="12"/>
      <x:c r="Y1482" s="12" t="str">
        <x:v>negative</x:v>
      </x:c>
      <x:c r="Z1482" s="12" t="str">
        <x:f>IF(OR(W1482="unavailable",Y1482="unavailable"),"不可评价",IF(OR(W1482="equivocal",Y1482="equivocal"),"疑似",IF(AND(W1482="positive",Y1482="positive"),"a",IF(Y1482="positive","b",IF(W1482="positive","c","d")))))</x:f>
        <x:v>d</x:v>
      </x:c>
      <x:c r="AA1482" s="12" t="str">
        <x:f>IF(OR(M1482="unavailable",O1482="unavailable"),"不可评价",IF(AND(OR(M1482="positive",M1482="equivocal"),OR(O1482="positive",O1482="equivocal")),"a",IF(OR(O1482="positive",O1482="equivocal"),"b",IF(OR(M1482="positive",M1482="equivocal"),"c","d"))))</x:f>
        <x:v>d</x:v>
      </x:c>
      <x:c r="AB1482" s="12" t="str">
        <x:f>IF(OR(M1482="unavailable",O1482="unavailable"),"不可评价",IF(AND(M1482="positive",O1482="positive"),"a",IF(O1482="positive","b",IF(M1482="positive","c","d"))))</x:f>
        <x:v>d</x:v>
      </x:c>
      <x:c r="AC1482" s="12" t="str">
        <x:f>IF(OR(R1482="unavailable",T1482="unavailable"),"不可评价",IF(AND(OR(R1482="positive",R1482="equivocal"),OR(T1482="positive",T1482="equivocal")),"a",IF(OR(T1482="positive",T1482="equivocal"),"b",IF(OR(R1482="positive",R1482="equivocal"),"c","d"))))</x:f>
        <x:v>d</x:v>
      </x:c>
      <x:c r="AD1482" s="12" t="str">
        <x:f>IF(OR(R1482="unavailable",T1482="unavailable"),"不可评价",IF(AND(R1482="positive",T1482="positive"),"a",IF(T1482="positive","b",IF(R1482="positive","c","d"))))</x:f>
        <x:v>d</x:v>
      </x:c>
      <x:c r="AE1482" s="12" t="str">
        <x:f>IF(OR(W1482="unavailable",Y1482="unavailable"),"不可评价",IF(AND(OR(W1482="positive",W1482="equivocal"),OR(Y1482="positive",Y1482="equivocal")),"a",IF(OR(Y1482="positive",Y1482="equivocal"),"b",IF(OR(W1482="positive",W1482="equivocal"),"c","d"))))</x:f>
        <x:v>d</x:v>
      </x:c>
      <x:c r="AF1482" s="12" t="str">
        <x:f>IF(OR(W1482="unavailable",Y1482="unavailable"),"不可评价",IF(AND(W1482="positive",Y1482="positive"),"a",IF(Y1482="positive","b",IF(W1482="positive","c","d"))))</x:f>
        <x:v>d</x:v>
      </x:c>
    </x:row>
    <x:row r="1483" ht="24" customHeight="1">
      <x:c r="A1483" s="12" t="str">
        <x:v>13777</x:v>
      </x:c>
      <x:c r="B1483" s="12" t="str">
        <x:v>10893</x:v>
      </x:c>
      <x:c r="C1483" s="21" t="n">
        <x:v>34740.627280092594</x:v>
      </x:c>
      <x:c r="D1483" s="12" t="n">
        <x:v>64</x:v>
      </x:c>
      <x:c r="E1483" s="12" t="n">
        <x:v>1</x:v>
      </x:c>
      <x:c r="F1483" s="12" t="str">
        <x:v>存在</x:v>
      </x:c>
      <x:c r="G1483" s="12" t="n">
        <x:v>1</x:v>
      </x:c>
      <x:c r="H1483" s="12" t="str">
        <x:v>{'NORM': 80.0, 'SARRH': 0.0}</x:v>
      </x:c>
      <x:c r="I1483" s="12" t="str">
        <x:v>[('SRTH', 100.0), ('PSVC', 100.0), ('ABR', 100.0)]</x:v>
      </x:c>
      <x:c r="J1483" s="12" t="str">
        <x:v>ptbxl_database.csv；ecg_id=13777；scp_codes</x:v>
      </x:c>
      <x:c r="K1483" s="12" t="str">
        <x:v>12sl_statements.csv；ecg_id=13777；statements_ext_snomed</x:v>
      </x:c>
      <x:c r="L1483" s="12"/>
      <x:c r="M1483" s="12" t="str">
        <x:v>negative</x:v>
      </x:c>
      <x:c r="N1483" s="12"/>
      <x:c r="O1483" s="12" t="str">
        <x:v>negative</x:v>
      </x:c>
      <x:c r="P1483" s="12" t="str">
        <x:f>IF(OR(M1483="unavailable",O1483="unavailable"),"不可评价",IF(OR(M1483="equivocal",O1483="equivocal"),"疑似",IF(AND(M1483="positive",O1483="positive"),"a",IF(O1483="positive","b",IF(M1483="positive","c","d")))))</x:f>
        <x:v>d</x:v>
      </x:c>
      <x:c r="Q1483" s="12"/>
      <x:c r="R1483" s="12" t="str">
        <x:v>negative</x:v>
      </x:c>
      <x:c r="S1483" s="12"/>
      <x:c r="T1483" s="12" t="str">
        <x:v>negative</x:v>
      </x:c>
      <x:c r="U1483" s="12" t="str">
        <x:f>IF(OR(R1483="unavailable",T1483="unavailable"),"不可评价",IF(OR(R1483="equivocal",T1483="equivocal"),"疑似",IF(AND(R1483="positive",T1483="positive"),"a",IF(T1483="positive","b",IF(R1483="positive","c","d")))))</x:f>
        <x:v>d</x:v>
      </x:c>
      <x:c r="V1483" s="12"/>
      <x:c r="W1483" s="12" t="str">
        <x:v>negative</x:v>
      </x:c>
      <x:c r="X1483" s="12"/>
      <x:c r="Y1483" s="12" t="str">
        <x:v>negative</x:v>
      </x:c>
      <x:c r="Z1483" s="12" t="str">
        <x:f>IF(OR(W1483="unavailable",Y1483="unavailable"),"不可评价",IF(OR(W1483="equivocal",Y1483="equivocal"),"疑似",IF(AND(W1483="positive",Y1483="positive"),"a",IF(Y1483="positive","b",IF(W1483="positive","c","d")))))</x:f>
        <x:v>d</x:v>
      </x:c>
      <x:c r="AA1483" s="12" t="str">
        <x:f>IF(OR(M1483="unavailable",O1483="unavailable"),"不可评价",IF(AND(OR(M1483="positive",M1483="equivocal"),OR(O1483="positive",O1483="equivocal")),"a",IF(OR(O1483="positive",O1483="equivocal"),"b",IF(OR(M1483="positive",M1483="equivocal"),"c","d"))))</x:f>
        <x:v>d</x:v>
      </x:c>
      <x:c r="AB1483" s="12" t="str">
        <x:f>IF(OR(M1483="unavailable",O1483="unavailable"),"不可评价",IF(AND(M1483="positive",O1483="positive"),"a",IF(O1483="positive","b",IF(M1483="positive","c","d"))))</x:f>
        <x:v>d</x:v>
      </x:c>
      <x:c r="AC1483" s="12" t="str">
        <x:f>IF(OR(R1483="unavailable",T1483="unavailable"),"不可评价",IF(AND(OR(R1483="positive",R1483="equivocal"),OR(T1483="positive",T1483="equivocal")),"a",IF(OR(T1483="positive",T1483="equivocal"),"b",IF(OR(R1483="positive",R1483="equivocal"),"c","d"))))</x:f>
        <x:v>d</x:v>
      </x:c>
      <x:c r="AD1483" s="12" t="str">
        <x:f>IF(OR(R1483="unavailable",T1483="unavailable"),"不可评价",IF(AND(R1483="positive",T1483="positive"),"a",IF(T1483="positive","b",IF(R1483="positive","c","d"))))</x:f>
        <x:v>d</x:v>
      </x:c>
      <x:c r="AE1483" s="12" t="str">
        <x:f>IF(OR(W1483="unavailable",Y1483="unavailable"),"不可评价",IF(AND(OR(W1483="positive",W1483="equivocal"),OR(Y1483="positive",Y1483="equivocal")),"a",IF(OR(Y1483="positive",Y1483="equivocal"),"b",IF(OR(W1483="positive",W1483="equivocal"),"c","d"))))</x:f>
        <x:v>d</x:v>
      </x:c>
      <x:c r="AF1483" s="12" t="str">
        <x:f>IF(OR(W1483="unavailable",Y1483="unavailable"),"不可评价",IF(AND(W1483="positive",Y1483="positive"),"a",IF(Y1483="positive","b",IF(W1483="positive","c","d"))))</x:f>
        <x:v>d</x:v>
      </x:c>
    </x:row>
    <x:row r="1484" ht="24" customHeight="1">
      <x:c r="A1484" s="12" t="str">
        <x:v>13786</x:v>
      </x:c>
      <x:c r="B1484" s="12" t="str">
        <x:v>19734</x:v>
      </x:c>
      <x:c r="C1484" s="21" t="n">
        <x:v>34749.48236111111</x:v>
      </x:c>
      <x:c r="D1484" s="12" t="n">
        <x:v>48</x:v>
      </x:c>
      <x:c r="E1484" s="12" t="n">
        <x:v>0</x:v>
      </x:c>
      <x:c r="F1484" s="12" t="str">
        <x:v>未记录</x:v>
      </x:c>
      <x:c r="G1484" s="12" t="n">
        <x:v>1</x:v>
      </x:c>
      <x:c r="H1484" s="12" t="str">
        <x:v>{'NORM': 100.0, 'SR': 0.0}</x:v>
      </x:c>
      <x:c r="I1484" s="12" t="str">
        <x:v>[('NSR', 100.0), ('NML', 100.0)]</x:v>
      </x:c>
      <x:c r="J1484" s="12" t="str">
        <x:v>ptbxl_database.csv；ecg_id=13786；scp_codes</x:v>
      </x:c>
      <x:c r="K1484" s="12" t="str">
        <x:v>12sl_statements.csv；ecg_id=13786；statements_ext_snomed</x:v>
      </x:c>
      <x:c r="L1484" s="12"/>
      <x:c r="M1484" s="12" t="str">
        <x:v>negative</x:v>
      </x:c>
      <x:c r="N1484" s="12"/>
      <x:c r="O1484" s="12" t="str">
        <x:v>negative</x:v>
      </x:c>
      <x:c r="P1484" s="12" t="str">
        <x:f>IF(OR(M1484="unavailable",O1484="unavailable"),"不可评价",IF(OR(M1484="equivocal",O1484="equivocal"),"疑似",IF(AND(M1484="positive",O1484="positive"),"a",IF(O1484="positive","b",IF(M1484="positive","c","d")))))</x:f>
        <x:v>d</x:v>
      </x:c>
      <x:c r="Q1484" s="12"/>
      <x:c r="R1484" s="12" t="str">
        <x:v>negative</x:v>
      </x:c>
      <x:c r="S1484" s="12"/>
      <x:c r="T1484" s="12" t="str">
        <x:v>negative</x:v>
      </x:c>
      <x:c r="U1484" s="12" t="str">
        <x:f>IF(OR(R1484="unavailable",T1484="unavailable"),"不可评价",IF(OR(R1484="equivocal",T1484="equivocal"),"疑似",IF(AND(R1484="positive",T1484="positive"),"a",IF(T1484="positive","b",IF(R1484="positive","c","d")))))</x:f>
        <x:v>d</x:v>
      </x:c>
      <x:c r="V1484" s="12"/>
      <x:c r="W1484" s="12" t="str">
        <x:v>negative</x:v>
      </x:c>
      <x:c r="X1484" s="12"/>
      <x:c r="Y1484" s="12" t="str">
        <x:v>negative</x:v>
      </x:c>
      <x:c r="Z1484" s="12" t="str">
        <x:f>IF(OR(W1484="unavailable",Y1484="unavailable"),"不可评价",IF(OR(W1484="equivocal",Y1484="equivocal"),"疑似",IF(AND(W1484="positive",Y1484="positive"),"a",IF(Y1484="positive","b",IF(W1484="positive","c","d")))))</x:f>
        <x:v>d</x:v>
      </x:c>
      <x:c r="AA1484" s="12" t="str">
        <x:f>IF(OR(M1484="unavailable",O1484="unavailable"),"不可评价",IF(AND(OR(M1484="positive",M1484="equivocal"),OR(O1484="positive",O1484="equivocal")),"a",IF(OR(O1484="positive",O1484="equivocal"),"b",IF(OR(M1484="positive",M1484="equivocal"),"c","d"))))</x:f>
        <x:v>d</x:v>
      </x:c>
      <x:c r="AB1484" s="12" t="str">
        <x:f>IF(OR(M1484="unavailable",O1484="unavailable"),"不可评价",IF(AND(M1484="positive",O1484="positive"),"a",IF(O1484="positive","b",IF(M1484="positive","c","d"))))</x:f>
        <x:v>d</x:v>
      </x:c>
      <x:c r="AC1484" s="12" t="str">
        <x:f>IF(OR(R1484="unavailable",T1484="unavailable"),"不可评价",IF(AND(OR(R1484="positive",R1484="equivocal"),OR(T1484="positive",T1484="equivocal")),"a",IF(OR(T1484="positive",T1484="equivocal"),"b",IF(OR(R1484="positive",R1484="equivocal"),"c","d"))))</x:f>
        <x:v>d</x:v>
      </x:c>
      <x:c r="AD1484" s="12" t="str">
        <x:f>IF(OR(R1484="unavailable",T1484="unavailable"),"不可评价",IF(AND(R1484="positive",T1484="positive"),"a",IF(T1484="positive","b",IF(R1484="positive","c","d"))))</x:f>
        <x:v>d</x:v>
      </x:c>
      <x:c r="AE1484" s="12" t="str">
        <x:f>IF(OR(W1484="unavailable",Y1484="unavailable"),"不可评价",IF(AND(OR(W1484="positive",W1484="equivocal"),OR(Y1484="positive",Y1484="equivocal")),"a",IF(OR(Y1484="positive",Y1484="equivocal"),"b",IF(OR(W1484="positive",W1484="equivocal"),"c","d"))))</x:f>
        <x:v>d</x:v>
      </x:c>
      <x:c r="AF1484" s="12" t="str">
        <x:f>IF(OR(W1484="unavailable",Y1484="unavailable"),"不可评价",IF(AND(W1484="positive",Y1484="positive"),"a",IF(Y1484="positive","b",IF(W1484="positive","c","d"))))</x:f>
        <x:v>d</x:v>
      </x:c>
    </x:row>
    <x:row r="1485" ht="24" customHeight="1">
      <x:c r="A1485" s="12" t="str">
        <x:v>13812</x:v>
      </x:c>
      <x:c r="B1485" s="12" t="str">
        <x:v>2623</x:v>
      </x:c>
      <x:c r="C1485" s="21" t="n">
        <x:v>34753.686944444446</x:v>
      </x:c>
      <x:c r="D1485" s="12" t="n">
        <x:v>79</x:v>
      </x:c>
      <x:c r="E1485" s="12" t="n">
        <x:v>0</x:v>
      </x:c>
      <x:c r="F1485" s="12" t="str">
        <x:v>未记录</x:v>
      </x:c>
      <x:c r="G1485" s="12" t="n">
        <x:v>1</x:v>
      </x:c>
      <x:c r="H1485" s="12" t="str">
        <x:v>{'NORM': 100.0, 'IVCD': 100.0, 'SR': 0.0}</x:v>
      </x:c>
      <x:c r="I1485" s="12" t="str">
        <x:v>[('SBRAD', 100.0), ('ABR', 100.0)]</x:v>
      </x:c>
      <x:c r="J1485" s="12" t="str">
        <x:v>ptbxl_database.csv；ecg_id=13812；scp_codes</x:v>
      </x:c>
      <x:c r="K1485" s="12" t="str">
        <x:v>12sl_statements.csv；ecg_id=13812；statements_ext_snomed</x:v>
      </x:c>
      <x:c r="L1485" s="12"/>
      <x:c r="M1485" s="12" t="str">
        <x:v>negative</x:v>
      </x:c>
      <x:c r="N1485" s="12"/>
      <x:c r="O1485" s="12" t="str">
        <x:v>negative</x:v>
      </x:c>
      <x:c r="P1485" s="12" t="str">
        <x:f>IF(OR(M1485="unavailable",O1485="unavailable"),"不可评价",IF(OR(M1485="equivocal",O1485="equivocal"),"疑似",IF(AND(M1485="positive",O1485="positive"),"a",IF(O1485="positive","b",IF(M1485="positive","c","d")))))</x:f>
        <x:v>d</x:v>
      </x:c>
      <x:c r="Q1485" s="12"/>
      <x:c r="R1485" s="12" t="str">
        <x:v>negative</x:v>
      </x:c>
      <x:c r="S1485" s="12"/>
      <x:c r="T1485" s="12" t="str">
        <x:v>negative</x:v>
      </x:c>
      <x:c r="U1485" s="12" t="str">
        <x:f>IF(OR(R1485="unavailable",T1485="unavailable"),"不可评价",IF(OR(R1485="equivocal",T1485="equivocal"),"疑似",IF(AND(R1485="positive",T1485="positive"),"a",IF(T1485="positive","b",IF(R1485="positive","c","d")))))</x:f>
        <x:v>d</x:v>
      </x:c>
      <x:c r="V1485" s="12"/>
      <x:c r="W1485" s="12" t="str">
        <x:v>negative</x:v>
      </x:c>
      <x:c r="X1485" s="12"/>
      <x:c r="Y1485" s="12" t="str">
        <x:v>negative</x:v>
      </x:c>
      <x:c r="Z1485" s="12" t="str">
        <x:f>IF(OR(W1485="unavailable",Y1485="unavailable"),"不可评价",IF(OR(W1485="equivocal",Y1485="equivocal"),"疑似",IF(AND(W1485="positive",Y1485="positive"),"a",IF(Y1485="positive","b",IF(W1485="positive","c","d")))))</x:f>
        <x:v>d</x:v>
      </x:c>
      <x:c r="AA1485" s="12" t="str">
        <x:f>IF(OR(M1485="unavailable",O1485="unavailable"),"不可评价",IF(AND(OR(M1485="positive",M1485="equivocal"),OR(O1485="positive",O1485="equivocal")),"a",IF(OR(O1485="positive",O1485="equivocal"),"b",IF(OR(M1485="positive",M1485="equivocal"),"c","d"))))</x:f>
        <x:v>d</x:v>
      </x:c>
      <x:c r="AB1485" s="12" t="str">
        <x:f>IF(OR(M1485="unavailable",O1485="unavailable"),"不可评价",IF(AND(M1485="positive",O1485="positive"),"a",IF(O1485="positive","b",IF(M1485="positive","c","d"))))</x:f>
        <x:v>d</x:v>
      </x:c>
      <x:c r="AC1485" s="12" t="str">
        <x:f>IF(OR(R1485="unavailable",T1485="unavailable"),"不可评价",IF(AND(OR(R1485="positive",R1485="equivocal"),OR(T1485="positive",T1485="equivocal")),"a",IF(OR(T1485="positive",T1485="equivocal"),"b",IF(OR(R1485="positive",R1485="equivocal"),"c","d"))))</x:f>
        <x:v>d</x:v>
      </x:c>
      <x:c r="AD1485" s="12" t="str">
        <x:f>IF(OR(R1485="unavailable",T1485="unavailable"),"不可评价",IF(AND(R1485="positive",T1485="positive"),"a",IF(T1485="positive","b",IF(R1485="positive","c","d"))))</x:f>
        <x:v>d</x:v>
      </x:c>
      <x:c r="AE1485" s="12" t="str">
        <x:f>IF(OR(W1485="unavailable",Y1485="unavailable"),"不可评价",IF(AND(OR(W1485="positive",W1485="equivocal"),OR(Y1485="positive",Y1485="equivocal")),"a",IF(OR(Y1485="positive",Y1485="equivocal"),"b",IF(OR(W1485="positive",W1485="equivocal"),"c","d"))))</x:f>
        <x:v>d</x:v>
      </x:c>
      <x:c r="AF1485" s="12" t="str">
        <x:f>IF(OR(W1485="unavailable",Y1485="unavailable"),"不可评价",IF(AND(W1485="positive",Y1485="positive"),"a",IF(Y1485="positive","b",IF(W1485="positive","c","d"))))</x:f>
        <x:v>d</x:v>
      </x:c>
    </x:row>
    <x:row r="1486" ht="24" customHeight="1">
      <x:c r="A1486" s="12" t="str">
        <x:v>13819</x:v>
      </x:c>
      <x:c r="B1486" s="12" t="str">
        <x:v>21338</x:v>
      </x:c>
      <x:c r="C1486" s="21" t="n">
        <x:v>34754.492847222224</x:v>
      </x:c>
      <x:c r="D1486" s="12" t="n">
        <x:v>56</x:v>
      </x:c>
      <x:c r="E1486" s="12" t="n">
        <x:v>0</x:v>
      </x:c>
      <x:c r="F1486" s="12" t="str">
        <x:v>未记录</x:v>
      </x:c>
      <x:c r="G1486" s="12" t="n">
        <x:v>1</x:v>
      </x:c>
      <x:c r="H1486" s="12" t="str">
        <x:v>{'IMI': 15.0, 'ABQRS': 0.0, 'SR': 0.0}</x:v>
      </x:c>
      <x:c r="I1486" s="12" t="str">
        <x:v>[('NSR', 100.0), ('NML', 100.0)]</x:v>
      </x:c>
      <x:c r="J1486" s="12" t="str">
        <x:v>ptbxl_database.csv；ecg_id=13819；scp_codes</x:v>
      </x:c>
      <x:c r="K1486" s="12" t="str">
        <x:v>12sl_statements.csv；ecg_id=13819；statements_ext_snomed</x:v>
      </x:c>
      <x:c r="L1486" s="12"/>
      <x:c r="M1486" s="12" t="str">
        <x:v>negative</x:v>
      </x:c>
      <x:c r="N1486" s="12"/>
      <x:c r="O1486" s="12" t="str">
        <x:v>negative</x:v>
      </x:c>
      <x:c r="P1486" s="12" t="str">
        <x:f>IF(OR(M1486="unavailable",O1486="unavailable"),"不可评价",IF(OR(M1486="equivocal",O1486="equivocal"),"疑似",IF(AND(M1486="positive",O1486="positive"),"a",IF(O1486="positive","b",IF(M1486="positive","c","d")))))</x:f>
        <x:v>d</x:v>
      </x:c>
      <x:c r="Q1486" s="12"/>
      <x:c r="R1486" s="12" t="str">
        <x:v>negative</x:v>
      </x:c>
      <x:c r="S1486" s="12"/>
      <x:c r="T1486" s="12" t="str">
        <x:v>negative</x:v>
      </x:c>
      <x:c r="U1486" s="12" t="str">
        <x:f>IF(OR(R1486="unavailable",T1486="unavailable"),"不可评价",IF(OR(R1486="equivocal",T1486="equivocal"),"疑似",IF(AND(R1486="positive",T1486="positive"),"a",IF(T1486="positive","b",IF(R1486="positive","c","d")))))</x:f>
        <x:v>d</x:v>
      </x:c>
      <x:c r="V1486" s="12"/>
      <x:c r="W1486" s="12" t="str">
        <x:v>negative</x:v>
      </x:c>
      <x:c r="X1486" s="12"/>
      <x:c r="Y1486" s="12" t="str">
        <x:v>negative</x:v>
      </x:c>
      <x:c r="Z1486" s="12" t="str">
        <x:f>IF(OR(W1486="unavailable",Y1486="unavailable"),"不可评价",IF(OR(W1486="equivocal",Y1486="equivocal"),"疑似",IF(AND(W1486="positive",Y1486="positive"),"a",IF(Y1486="positive","b",IF(W1486="positive","c","d")))))</x:f>
        <x:v>d</x:v>
      </x:c>
      <x:c r="AA1486" s="12" t="str">
        <x:f>IF(OR(M1486="unavailable",O1486="unavailable"),"不可评价",IF(AND(OR(M1486="positive",M1486="equivocal"),OR(O1486="positive",O1486="equivocal")),"a",IF(OR(O1486="positive",O1486="equivocal"),"b",IF(OR(M1486="positive",M1486="equivocal"),"c","d"))))</x:f>
        <x:v>d</x:v>
      </x:c>
      <x:c r="AB1486" s="12" t="str">
        <x:f>IF(OR(M1486="unavailable",O1486="unavailable"),"不可评价",IF(AND(M1486="positive",O1486="positive"),"a",IF(O1486="positive","b",IF(M1486="positive","c","d"))))</x:f>
        <x:v>d</x:v>
      </x:c>
      <x:c r="AC1486" s="12" t="str">
        <x:f>IF(OR(R1486="unavailable",T1486="unavailable"),"不可评价",IF(AND(OR(R1486="positive",R1486="equivocal"),OR(T1486="positive",T1486="equivocal")),"a",IF(OR(T1486="positive",T1486="equivocal"),"b",IF(OR(R1486="positive",R1486="equivocal"),"c","d"))))</x:f>
        <x:v>d</x:v>
      </x:c>
      <x:c r="AD1486" s="12" t="str">
        <x:f>IF(OR(R1486="unavailable",T1486="unavailable"),"不可评价",IF(AND(R1486="positive",T1486="positive"),"a",IF(T1486="positive","b",IF(R1486="positive","c","d"))))</x:f>
        <x:v>d</x:v>
      </x:c>
      <x:c r="AE1486" s="12" t="str">
        <x:f>IF(OR(W1486="unavailable",Y1486="unavailable"),"不可评价",IF(AND(OR(W1486="positive",W1486="equivocal"),OR(Y1486="positive",Y1486="equivocal")),"a",IF(OR(Y1486="positive",Y1486="equivocal"),"b",IF(OR(W1486="positive",W1486="equivocal"),"c","d"))))</x:f>
        <x:v>d</x:v>
      </x:c>
      <x:c r="AF1486" s="12" t="str">
        <x:f>IF(OR(W1486="unavailable",Y1486="unavailable"),"不可评价",IF(AND(W1486="positive",Y1486="positive"),"a",IF(Y1486="positive","b",IF(W1486="positive","c","d"))))</x:f>
        <x:v>d</x:v>
      </x:c>
    </x:row>
    <x:row r="1487" ht="39" customHeight="1">
      <x:c r="A1487" s="12" t="str">
        <x:v>13835</x:v>
      </x:c>
      <x:c r="B1487" s="12" t="str">
        <x:v>3089</x:v>
      </x:c>
      <x:c r="C1487" s="21" t="n">
        <x:v>34756.57954861111</x:v>
      </x:c>
      <x:c r="D1487" s="12" t="n">
        <x:v>87</x:v>
      </x:c>
      <x:c r="E1487" s="12" t="n">
        <x:v>0</x:v>
      </x:c>
      <x:c r="F1487" s="12" t="str">
        <x:v>未记录</x:v>
      </x:c>
      <x:c r="G1487" s="12" t="n">
        <x:v>1</x:v>
      </x:c>
      <x:c r="H1487" s="12" t="str">
        <x:v>{'IMI': 100.0, 'LVH': 100.0}</x:v>
      </x:c>
      <x:c r="I1487" s="12" t="str">
        <x:v>[('SRTH', 100.0), ('FAV', 100.0), ('PVC', 100.0), ('IVCB', 100.0), ('IMI;AU', 100.0), ('AB', 100.0)]</x:v>
      </x:c>
      <x:c r="J1487" s="12" t="str">
        <x:v>ptbxl_database.csv；ecg_id=13835；scp_codes</x:v>
      </x:c>
      <x:c r="K1487" s="12" t="str">
        <x:v>12sl_statements.csv；ecg_id=13835；statements_ext_snomed</x:v>
      </x:c>
      <x:c r="L1487" s="12"/>
      <x:c r="M1487" s="12" t="str">
        <x:v>negative</x:v>
      </x:c>
      <x:c r="N1487" s="12"/>
      <x:c r="O1487" s="12" t="str">
        <x:v>negative</x:v>
      </x:c>
      <x:c r="P1487" s="12" t="str">
        <x:f>IF(OR(M1487="unavailable",O1487="unavailable"),"不可评价",IF(OR(M1487="equivocal",O1487="equivocal"),"疑似",IF(AND(M1487="positive",O1487="positive"),"a",IF(O1487="positive","b",IF(M1487="positive","c","d")))))</x:f>
        <x:v>d</x:v>
      </x:c>
      <x:c r="Q1487" s="12"/>
      <x:c r="R1487" s="12" t="str">
        <x:v>negative</x:v>
      </x:c>
      <x:c r="S1487" s="12"/>
      <x:c r="T1487" s="12" t="str">
        <x:v>negative</x:v>
      </x:c>
      <x:c r="U1487" s="12" t="str">
        <x:f>IF(OR(R1487="unavailable",T1487="unavailable"),"不可评价",IF(OR(R1487="equivocal",T1487="equivocal"),"疑似",IF(AND(R1487="positive",T1487="positive"),"a",IF(T1487="positive","b",IF(R1487="positive","c","d")))))</x:f>
        <x:v>d</x:v>
      </x:c>
      <x:c r="V1487" s="12"/>
      <x:c r="W1487" s="12" t="str">
        <x:v>negative</x:v>
      </x:c>
      <x:c r="X1487" s="12"/>
      <x:c r="Y1487" s="12" t="str">
        <x:v>negative</x:v>
      </x:c>
      <x:c r="Z1487" s="12" t="str">
        <x:f>IF(OR(W1487="unavailable",Y1487="unavailable"),"不可评价",IF(OR(W1487="equivocal",Y1487="equivocal"),"疑似",IF(AND(W1487="positive",Y1487="positive"),"a",IF(Y1487="positive","b",IF(W1487="positive","c","d")))))</x:f>
        <x:v>d</x:v>
      </x:c>
      <x:c r="AA1487" s="12" t="str">
        <x:f>IF(OR(M1487="unavailable",O1487="unavailable"),"不可评价",IF(AND(OR(M1487="positive",M1487="equivocal"),OR(O1487="positive",O1487="equivocal")),"a",IF(OR(O1487="positive",O1487="equivocal"),"b",IF(OR(M1487="positive",M1487="equivocal"),"c","d"))))</x:f>
        <x:v>d</x:v>
      </x:c>
      <x:c r="AB1487" s="12" t="str">
        <x:f>IF(OR(M1487="unavailable",O1487="unavailable"),"不可评价",IF(AND(M1487="positive",O1487="positive"),"a",IF(O1487="positive","b",IF(M1487="positive","c","d"))))</x:f>
        <x:v>d</x:v>
      </x:c>
      <x:c r="AC1487" s="12" t="str">
        <x:f>IF(OR(R1487="unavailable",T1487="unavailable"),"不可评价",IF(AND(OR(R1487="positive",R1487="equivocal"),OR(T1487="positive",T1487="equivocal")),"a",IF(OR(T1487="positive",T1487="equivocal"),"b",IF(OR(R1487="positive",R1487="equivocal"),"c","d"))))</x:f>
        <x:v>d</x:v>
      </x:c>
      <x:c r="AD1487" s="12" t="str">
        <x:f>IF(OR(R1487="unavailable",T1487="unavailable"),"不可评价",IF(AND(R1487="positive",T1487="positive"),"a",IF(T1487="positive","b",IF(R1487="positive","c","d"))))</x:f>
        <x:v>d</x:v>
      </x:c>
      <x:c r="AE1487" s="12" t="str">
        <x:f>IF(OR(W1487="unavailable",Y1487="unavailable"),"不可评价",IF(AND(OR(W1487="positive",W1487="equivocal"),OR(Y1487="positive",Y1487="equivocal")),"a",IF(OR(Y1487="positive",Y1487="equivocal"),"b",IF(OR(W1487="positive",W1487="equivocal"),"c","d"))))</x:f>
        <x:v>d</x:v>
      </x:c>
      <x:c r="AF1487" s="12" t="str">
        <x:f>IF(OR(W1487="unavailable",Y1487="unavailable"),"不可评价",IF(AND(W1487="positive",Y1487="positive"),"a",IF(Y1487="positive","b",IF(W1487="positive","c","d"))))</x:f>
        <x:v>d</x:v>
      </x:c>
    </x:row>
    <x:row r="1488" ht="24" customHeight="1">
      <x:c r="A1488" s="12" t="str">
        <x:v>13847</x:v>
      </x:c>
      <x:c r="B1488" s="12" t="str">
        <x:v>11706</x:v>
      </x:c>
      <x:c r="C1488" s="21" t="n">
        <x:v>34758.40047453704</x:v>
      </x:c>
      <x:c r="D1488" s="12" t="n">
        <x:v>59</x:v>
      </x:c>
      <x:c r="E1488" s="12" t="n">
        <x:v>0</x:v>
      </x:c>
      <x:c r="F1488" s="12" t="str">
        <x:v>存在</x:v>
      </x:c>
      <x:c r="G1488" s="12" t="n">
        <x:v>1</x:v>
      </x:c>
      <x:c r="H1488" s="12" t="str">
        <x:v>{'IMI': 50.0, 'ISCAS': 100.0}</x:v>
      </x:c>
      <x:c r="I1488" s="12" t="str">
        <x:v>[('NSR', 100.0), ('AT', 100.0), ('LNGQT', 100.0), ('AB', 100.0)]</x:v>
      </x:c>
      <x:c r="J1488" s="12" t="str">
        <x:v>ptbxl_database.csv；ecg_id=13847；scp_codes</x:v>
      </x:c>
      <x:c r="K1488" s="12" t="str">
        <x:v>12sl_statements.csv；ecg_id=13847；statements_ext_snomed</x:v>
      </x:c>
      <x:c r="L1488" s="12"/>
      <x:c r="M1488" s="12" t="str">
        <x:v>negative</x:v>
      </x:c>
      <x:c r="N1488" s="12"/>
      <x:c r="O1488" s="12" t="str">
        <x:v>negative</x:v>
      </x:c>
      <x:c r="P1488" s="12" t="str">
        <x:f>IF(OR(M1488="unavailable",O1488="unavailable"),"不可评价",IF(OR(M1488="equivocal",O1488="equivocal"),"疑似",IF(AND(M1488="positive",O1488="positive"),"a",IF(O1488="positive","b",IF(M1488="positive","c","d")))))</x:f>
        <x:v>d</x:v>
      </x:c>
      <x:c r="Q1488" s="12"/>
      <x:c r="R1488" s="12" t="str">
        <x:v>negative</x:v>
      </x:c>
      <x:c r="S1488" s="12"/>
      <x:c r="T1488" s="12" t="str">
        <x:v>negative</x:v>
      </x:c>
      <x:c r="U1488" s="12" t="str">
        <x:f>IF(OR(R1488="unavailable",T1488="unavailable"),"不可评价",IF(OR(R1488="equivocal",T1488="equivocal"),"疑似",IF(AND(R1488="positive",T1488="positive"),"a",IF(T1488="positive","b",IF(R1488="positive","c","d")))))</x:f>
        <x:v>d</x:v>
      </x:c>
      <x:c r="V1488" s="12"/>
      <x:c r="W1488" s="12" t="str">
        <x:v>negative</x:v>
      </x:c>
      <x:c r="X1488" s="12"/>
      <x:c r="Y1488" s="12" t="str">
        <x:v>negative</x:v>
      </x:c>
      <x:c r="Z1488" s="12" t="str">
        <x:f>IF(OR(W1488="unavailable",Y1488="unavailable"),"不可评价",IF(OR(W1488="equivocal",Y1488="equivocal"),"疑似",IF(AND(W1488="positive",Y1488="positive"),"a",IF(Y1488="positive","b",IF(W1488="positive","c","d")))))</x:f>
        <x:v>d</x:v>
      </x:c>
      <x:c r="AA1488" s="12" t="str">
        <x:f>IF(OR(M1488="unavailable",O1488="unavailable"),"不可评价",IF(AND(OR(M1488="positive",M1488="equivocal"),OR(O1488="positive",O1488="equivocal")),"a",IF(OR(O1488="positive",O1488="equivocal"),"b",IF(OR(M1488="positive",M1488="equivocal"),"c","d"))))</x:f>
        <x:v>d</x:v>
      </x:c>
      <x:c r="AB1488" s="12" t="str">
        <x:f>IF(OR(M1488="unavailable",O1488="unavailable"),"不可评价",IF(AND(M1488="positive",O1488="positive"),"a",IF(O1488="positive","b",IF(M1488="positive","c","d"))))</x:f>
        <x:v>d</x:v>
      </x:c>
      <x:c r="AC1488" s="12" t="str">
        <x:f>IF(OR(R1488="unavailable",T1488="unavailable"),"不可评价",IF(AND(OR(R1488="positive",R1488="equivocal"),OR(T1488="positive",T1488="equivocal")),"a",IF(OR(T1488="positive",T1488="equivocal"),"b",IF(OR(R1488="positive",R1488="equivocal"),"c","d"))))</x:f>
        <x:v>d</x:v>
      </x:c>
      <x:c r="AD1488" s="12" t="str">
        <x:f>IF(OR(R1488="unavailable",T1488="unavailable"),"不可评价",IF(AND(R1488="positive",T1488="positive"),"a",IF(T1488="positive","b",IF(R1488="positive","c","d"))))</x:f>
        <x:v>d</x:v>
      </x:c>
      <x:c r="AE1488" s="12" t="str">
        <x:f>IF(OR(W1488="unavailable",Y1488="unavailable"),"不可评价",IF(AND(OR(W1488="positive",W1488="equivocal"),OR(Y1488="positive",Y1488="equivocal")),"a",IF(OR(Y1488="positive",Y1488="equivocal"),"b",IF(OR(W1488="positive",W1488="equivocal"),"c","d"))))</x:f>
        <x:v>d</x:v>
      </x:c>
      <x:c r="AF1488" s="12" t="str">
        <x:f>IF(OR(W1488="unavailable",Y1488="unavailable"),"不可评价",IF(AND(W1488="positive",Y1488="positive"),"a",IF(Y1488="positive","b",IF(W1488="positive","c","d"))))</x:f>
        <x:v>d</x:v>
      </x:c>
    </x:row>
    <x:row r="1489" ht="24" customHeight="1">
      <x:c r="A1489" s="12" t="str">
        <x:v>13848</x:v>
      </x:c>
      <x:c r="B1489" s="12" t="str">
        <x:v>21761</x:v>
      </x:c>
      <x:c r="C1489" s="21" t="n">
        <x:v>34758.67480324074</x:v>
      </x:c>
      <x:c r="D1489" s="12" t="n">
        <x:v>58</x:v>
      </x:c>
      <x:c r="E1489" s="12" t="n">
        <x:v>1</x:v>
      </x:c>
      <x:c r="F1489" s="12" t="str">
        <x:v>未记录</x:v>
      </x:c>
      <x:c r="G1489" s="12" t="n">
        <x:v>1</x:v>
      </x:c>
      <x:c r="H1489" s="12" t="str">
        <x:v>{'NORM': 80.0, 'SARRH': 0.0}</x:v>
      </x:c>
      <x:c r="I1489" s="12" t="str">
        <x:v>[('NSR', 100.0), ('SAR', 100.0), ('NML', 100.0)]</x:v>
      </x:c>
      <x:c r="J1489" s="12" t="str">
        <x:v>ptbxl_database.csv；ecg_id=13848；scp_codes</x:v>
      </x:c>
      <x:c r="K1489" s="12" t="str">
        <x:v>12sl_statements.csv；ecg_id=13848；statements_ext_snomed</x:v>
      </x:c>
      <x:c r="L1489" s="12"/>
      <x:c r="M1489" s="12" t="str">
        <x:v>negative</x:v>
      </x:c>
      <x:c r="N1489" s="12"/>
      <x:c r="O1489" s="12" t="str">
        <x:v>negative</x:v>
      </x:c>
      <x:c r="P1489" s="12" t="str">
        <x:f>IF(OR(M1489="unavailable",O1489="unavailable"),"不可评价",IF(OR(M1489="equivocal",O1489="equivocal"),"疑似",IF(AND(M1489="positive",O1489="positive"),"a",IF(O1489="positive","b",IF(M1489="positive","c","d")))))</x:f>
        <x:v>d</x:v>
      </x:c>
      <x:c r="Q1489" s="12"/>
      <x:c r="R1489" s="12" t="str">
        <x:v>negative</x:v>
      </x:c>
      <x:c r="S1489" s="12"/>
      <x:c r="T1489" s="12" t="str">
        <x:v>negative</x:v>
      </x:c>
      <x:c r="U1489" s="12" t="str">
        <x:f>IF(OR(R1489="unavailable",T1489="unavailable"),"不可评价",IF(OR(R1489="equivocal",T1489="equivocal"),"疑似",IF(AND(R1489="positive",T1489="positive"),"a",IF(T1489="positive","b",IF(R1489="positive","c","d")))))</x:f>
        <x:v>d</x:v>
      </x:c>
      <x:c r="V1489" s="12"/>
      <x:c r="W1489" s="12" t="str">
        <x:v>negative</x:v>
      </x:c>
      <x:c r="X1489" s="12"/>
      <x:c r="Y1489" s="12" t="str">
        <x:v>negative</x:v>
      </x:c>
      <x:c r="Z1489" s="12" t="str">
        <x:f>IF(OR(W1489="unavailable",Y1489="unavailable"),"不可评价",IF(OR(W1489="equivocal",Y1489="equivocal"),"疑似",IF(AND(W1489="positive",Y1489="positive"),"a",IF(Y1489="positive","b",IF(W1489="positive","c","d")))))</x:f>
        <x:v>d</x:v>
      </x:c>
      <x:c r="AA1489" s="12" t="str">
        <x:f>IF(OR(M1489="unavailable",O1489="unavailable"),"不可评价",IF(AND(OR(M1489="positive",M1489="equivocal"),OR(O1489="positive",O1489="equivocal")),"a",IF(OR(O1489="positive",O1489="equivocal"),"b",IF(OR(M1489="positive",M1489="equivocal"),"c","d"))))</x:f>
        <x:v>d</x:v>
      </x:c>
      <x:c r="AB1489" s="12" t="str">
        <x:f>IF(OR(M1489="unavailable",O1489="unavailable"),"不可评价",IF(AND(M1489="positive",O1489="positive"),"a",IF(O1489="positive","b",IF(M1489="positive","c","d"))))</x:f>
        <x:v>d</x:v>
      </x:c>
      <x:c r="AC1489" s="12" t="str">
        <x:f>IF(OR(R1489="unavailable",T1489="unavailable"),"不可评价",IF(AND(OR(R1489="positive",R1489="equivocal"),OR(T1489="positive",T1489="equivocal")),"a",IF(OR(T1489="positive",T1489="equivocal"),"b",IF(OR(R1489="positive",R1489="equivocal"),"c","d"))))</x:f>
        <x:v>d</x:v>
      </x:c>
      <x:c r="AD1489" s="12" t="str">
        <x:f>IF(OR(R1489="unavailable",T1489="unavailable"),"不可评价",IF(AND(R1489="positive",T1489="positive"),"a",IF(T1489="positive","b",IF(R1489="positive","c","d"))))</x:f>
        <x:v>d</x:v>
      </x:c>
      <x:c r="AE1489" s="12" t="str">
        <x:f>IF(OR(W1489="unavailable",Y1489="unavailable"),"不可评价",IF(AND(OR(W1489="positive",W1489="equivocal"),OR(Y1489="positive",Y1489="equivocal")),"a",IF(OR(Y1489="positive",Y1489="equivocal"),"b",IF(OR(W1489="positive",W1489="equivocal"),"c","d"))))</x:f>
        <x:v>d</x:v>
      </x:c>
      <x:c r="AF1489" s="12" t="str">
        <x:f>IF(OR(W1489="unavailable",Y1489="unavailable"),"不可评价",IF(AND(W1489="positive",Y1489="positive"),"a",IF(Y1489="positive","b",IF(W1489="positive","c","d"))))</x:f>
        <x:v>d</x:v>
      </x:c>
    </x:row>
    <x:row r="1490" ht="39" customHeight="1">
      <x:c r="A1490" s="12" t="str">
        <x:v>13849</x:v>
      </x:c>
      <x:c r="B1490" s="12" t="str">
        <x:v>13343</x:v>
      </x:c>
      <x:c r="C1490" s="21" t="n">
        <x:v>34759.41945601852</x:v>
      </x:c>
      <x:c r="D1490" s="12" t="n">
        <x:v>67</x:v>
      </x:c>
      <x:c r="E1490" s="12" t="n">
        <x:v>1</x:v>
      </x:c>
      <x:c r="F1490" s="12" t="str">
        <x:v>未记录</x:v>
      </x:c>
      <x:c r="G1490" s="12" t="n">
        <x:v>1</x:v>
      </x:c>
      <x:c r="H1490" s="12" t="str">
        <x:v>{'ASMI': 100.0, 'CRBBB': 100.0, 'LAFB': 100.0, 'AFIB': 0.0}</x:v>
      </x:c>
      <x:c r="I1490" s="12" t="str">
        <x:v>[('AFIB', 100.0), ('CJP', 100.0), ('RBBB', 100.0), ('AFB', 100.0), ('BIFB', 100.0), ('LVH2', 100.0), ('2ST', 100.0), ('ASMI;AU', 100.0), ('AB', 100.0)]</x:v>
      </x:c>
      <x:c r="J1490" s="12" t="str">
        <x:v>ptbxl_database.csv；ecg_id=13849；scp_codes</x:v>
      </x:c>
      <x:c r="K1490" s="12" t="str">
        <x:v>12sl_statements.csv；ecg_id=13849；statements_ext_snomed</x:v>
      </x:c>
      <x:c r="L1490" s="12" t="n">
        <x:v>0</x:v>
      </x:c>
      <x:c r="M1490" s="12" t="str">
        <x:v>positive</x:v>
      </x:c>
      <x:c r="N1490" s="12" t="n">
        <x:v>100</x:v>
      </x:c>
      <x:c r="O1490" s="12" t="str">
        <x:v>positive</x:v>
      </x:c>
      <x:c r="P1490" s="12" t="str">
        <x:f>IF(OR(M1490="unavailable",O1490="unavailable"),"不可评价",IF(OR(M1490="equivocal",O1490="equivocal"),"疑似",IF(AND(M1490="positive",O1490="positive"),"a",IF(O1490="positive","b",IF(M1490="positive","c","d")))))</x:f>
        <x:v>a</x:v>
      </x:c>
      <x:c r="Q1490" s="12"/>
      <x:c r="R1490" s="12" t="str">
        <x:v>negative</x:v>
      </x:c>
      <x:c r="S1490" s="12"/>
      <x:c r="T1490" s="12" t="str">
        <x:v>negative</x:v>
      </x:c>
      <x:c r="U1490" s="12" t="str">
        <x:f>IF(OR(R1490="unavailable",T1490="unavailable"),"不可评价",IF(OR(R1490="equivocal",T1490="equivocal"),"疑似",IF(AND(R1490="positive",T1490="positive"),"a",IF(T1490="positive","b",IF(R1490="positive","c","d")))))</x:f>
        <x:v>d</x:v>
      </x:c>
      <x:c r="V1490" s="12" t="n">
        <x:v>100</x:v>
      </x:c>
      <x:c r="W1490" s="12" t="str">
        <x:v>positive</x:v>
      </x:c>
      <x:c r="X1490" s="12" t="n">
        <x:v>100</x:v>
      </x:c>
      <x:c r="Y1490" s="12" t="str">
        <x:v>positive</x:v>
      </x:c>
      <x:c r="Z1490" s="12" t="str">
        <x:f>IF(OR(W1490="unavailable",Y1490="unavailable"),"不可评价",IF(OR(W1490="equivocal",Y1490="equivocal"),"疑似",IF(AND(W1490="positive",Y1490="positive"),"a",IF(Y1490="positive","b",IF(W1490="positive","c","d")))))</x:f>
        <x:v>a</x:v>
      </x:c>
      <x:c r="AA1490" s="12" t="str">
        <x:f>IF(OR(M1490="unavailable",O1490="unavailable"),"不可评价",IF(AND(OR(M1490="positive",M1490="equivocal"),OR(O1490="positive",O1490="equivocal")),"a",IF(OR(O1490="positive",O1490="equivocal"),"b",IF(OR(M1490="positive",M1490="equivocal"),"c","d"))))</x:f>
        <x:v>a</x:v>
      </x:c>
      <x:c r="AB1490" s="12" t="str">
        <x:f>IF(OR(M1490="unavailable",O1490="unavailable"),"不可评价",IF(AND(M1490="positive",O1490="positive"),"a",IF(O1490="positive","b",IF(M1490="positive","c","d"))))</x:f>
        <x:v>a</x:v>
      </x:c>
      <x:c r="AC1490" s="12" t="str">
        <x:f>IF(OR(R1490="unavailable",T1490="unavailable"),"不可评价",IF(AND(OR(R1490="positive",R1490="equivocal"),OR(T1490="positive",T1490="equivocal")),"a",IF(OR(T1490="positive",T1490="equivocal"),"b",IF(OR(R1490="positive",R1490="equivocal"),"c","d"))))</x:f>
        <x:v>d</x:v>
      </x:c>
      <x:c r="AD1490" s="12" t="str">
        <x:f>IF(OR(R1490="unavailable",T1490="unavailable"),"不可评价",IF(AND(R1490="positive",T1490="positive"),"a",IF(T1490="positive","b",IF(R1490="positive","c","d"))))</x:f>
        <x:v>d</x:v>
      </x:c>
      <x:c r="AE1490" s="12" t="str">
        <x:f>IF(OR(W1490="unavailable",Y1490="unavailable"),"不可评价",IF(AND(OR(W1490="positive",W1490="equivocal"),OR(Y1490="positive",Y1490="equivocal")),"a",IF(OR(Y1490="positive",Y1490="equivocal"),"b",IF(OR(W1490="positive",W1490="equivocal"),"c","d"))))</x:f>
        <x:v>a</x:v>
      </x:c>
      <x:c r="AF1490" s="12" t="str">
        <x:f>IF(OR(W1490="unavailable",Y1490="unavailable"),"不可评价",IF(AND(W1490="positive",Y1490="positive"),"a",IF(Y1490="positive","b",IF(W1490="positive","c","d"))))</x:f>
        <x:v>a</x:v>
      </x:c>
    </x:row>
    <x:row r="1491" ht="39" customHeight="1">
      <x:c r="A1491" s="12" t="str">
        <x:v>13853</x:v>
      </x:c>
      <x:c r="B1491" s="12" t="str">
        <x:v>13343</x:v>
      </x:c>
      <x:c r="C1491" s="21" t="n">
        <x:v>34761.46195601852</x:v>
      </x:c>
      <x:c r="D1491" s="12" t="n">
        <x:v>67</x:v>
      </x:c>
      <x:c r="E1491" s="12" t="n">
        <x:v>1</x:v>
      </x:c>
      <x:c r="F1491" s="12" t="str">
        <x:v>存在</x:v>
      </x:c>
      <x:c r="G1491" s="12" t="n">
        <x:v>0</x:v>
      </x:c>
      <x:c r="H1491" s="12" t="str">
        <x:v>{'ASMI': 100.0, 'CRBBB': 100.0, 'LAFB': 100.0}</x:v>
      </x:c>
      <x:c r="I1491" s="12" t="str">
        <x:v>[('STACH', 100.0), ('PVC', 100.0), ('RBBB', 100.0), ('AFB', 100.0), ('BIFB', 100.0), ('LVH2', 100.0), ('2ST', 100.0), ('ASMI;AU', 100.0), ('AB', 100.0)]</x:v>
      </x:c>
      <x:c r="J1491" s="12" t="str">
        <x:v>ptbxl_database.csv；ecg_id=13853；scp_codes</x:v>
      </x:c>
      <x:c r="K1491" s="12" t="str">
        <x:v>12sl_statements.csv；ecg_id=13853；statements_ext_snomed</x:v>
      </x:c>
      <x:c r="L1491" s="12"/>
      <x:c r="M1491" s="12" t="str">
        <x:v>negative</x:v>
      </x:c>
      <x:c r="N1491" s="12"/>
      <x:c r="O1491" s="12" t="str">
        <x:v>negative</x:v>
      </x:c>
      <x:c r="P1491" s="12" t="str">
        <x:f>IF(OR(M1491="unavailable",O1491="unavailable"),"不可评价",IF(OR(M1491="equivocal",O1491="equivocal"),"疑似",IF(AND(M1491="positive",O1491="positive"),"a",IF(O1491="positive","b",IF(M1491="positive","c","d")))))</x:f>
        <x:v>d</x:v>
      </x:c>
      <x:c r="Q1491" s="12"/>
      <x:c r="R1491" s="12" t="str">
        <x:v>negative</x:v>
      </x:c>
      <x:c r="S1491" s="12"/>
      <x:c r="T1491" s="12" t="str">
        <x:v>negative</x:v>
      </x:c>
      <x:c r="U1491" s="12" t="str">
        <x:f>IF(OR(R1491="unavailable",T1491="unavailable"),"不可评价",IF(OR(R1491="equivocal",T1491="equivocal"),"疑似",IF(AND(R1491="positive",T1491="positive"),"a",IF(T1491="positive","b",IF(R1491="positive","c","d")))))</x:f>
        <x:v>d</x:v>
      </x:c>
      <x:c r="V1491" s="12" t="n">
        <x:v>100</x:v>
      </x:c>
      <x:c r="W1491" s="12" t="str">
        <x:v>positive</x:v>
      </x:c>
      <x:c r="X1491" s="12" t="n">
        <x:v>100</x:v>
      </x:c>
      <x:c r="Y1491" s="12" t="str">
        <x:v>positive</x:v>
      </x:c>
      <x:c r="Z1491" s="12" t="str">
        <x:f>IF(OR(W1491="unavailable",Y1491="unavailable"),"不可评价",IF(OR(W1491="equivocal",Y1491="equivocal"),"疑似",IF(AND(W1491="positive",Y1491="positive"),"a",IF(Y1491="positive","b",IF(W1491="positive","c","d")))))</x:f>
        <x:v>a</x:v>
      </x:c>
      <x:c r="AA1491" s="12" t="str">
        <x:f>IF(OR(M1491="unavailable",O1491="unavailable"),"不可评价",IF(AND(OR(M1491="positive",M1491="equivocal"),OR(O1491="positive",O1491="equivocal")),"a",IF(OR(O1491="positive",O1491="equivocal"),"b",IF(OR(M1491="positive",M1491="equivocal"),"c","d"))))</x:f>
        <x:v>d</x:v>
      </x:c>
      <x:c r="AB1491" s="12" t="str">
        <x:f>IF(OR(M1491="unavailable",O1491="unavailable"),"不可评价",IF(AND(M1491="positive",O1491="positive"),"a",IF(O1491="positive","b",IF(M1491="positive","c","d"))))</x:f>
        <x:v>d</x:v>
      </x:c>
      <x:c r="AC1491" s="12" t="str">
        <x:f>IF(OR(R1491="unavailable",T1491="unavailable"),"不可评价",IF(AND(OR(R1491="positive",R1491="equivocal"),OR(T1491="positive",T1491="equivocal")),"a",IF(OR(T1491="positive",T1491="equivocal"),"b",IF(OR(R1491="positive",R1491="equivocal"),"c","d"))))</x:f>
        <x:v>d</x:v>
      </x:c>
      <x:c r="AD1491" s="12" t="str">
        <x:f>IF(OR(R1491="unavailable",T1491="unavailable"),"不可评价",IF(AND(R1491="positive",T1491="positive"),"a",IF(T1491="positive","b",IF(R1491="positive","c","d"))))</x:f>
        <x:v>d</x:v>
      </x:c>
      <x:c r="AE1491" s="12" t="str">
        <x:f>IF(OR(W1491="unavailable",Y1491="unavailable"),"不可评价",IF(AND(OR(W1491="positive",W1491="equivocal"),OR(Y1491="positive",Y1491="equivocal")),"a",IF(OR(Y1491="positive",Y1491="equivocal"),"b",IF(OR(W1491="positive",W1491="equivocal"),"c","d"))))</x:f>
        <x:v>a</x:v>
      </x:c>
      <x:c r="AF1491" s="12" t="str">
        <x:f>IF(OR(W1491="unavailable",Y1491="unavailable"),"不可评价",IF(AND(W1491="positive",Y1491="positive"),"a",IF(Y1491="positive","b",IF(W1491="positive","c","d"))))</x:f>
        <x:v>a</x:v>
      </x:c>
    </x:row>
    <x:row r="1492" ht="39" customHeight="1">
      <x:c r="A1492" s="12" t="str">
        <x:v>13855</x:v>
      </x:c>
      <x:c r="B1492" s="12" t="str">
        <x:v>13343</x:v>
      </x:c>
      <x:c r="C1492" s="21" t="n">
        <x:v>34762.42644675926</x:v>
      </x:c>
      <x:c r="D1492" s="12" t="n">
        <x:v>67</x:v>
      </x:c>
      <x:c r="E1492" s="12" t="n">
        <x:v>1</x:v>
      </x:c>
      <x:c r="F1492" s="12" t="str">
        <x:v>未记录</x:v>
      </x:c>
      <x:c r="G1492" s="12" t="n">
        <x:v>0</x:v>
      </x:c>
      <x:c r="H1492" s="12" t="str">
        <x:v>{'ASMI': 50.0, 'CRBBB': 100.0, 'LAFB': 100.0, 'ISCAL': 50.0, 'SR': 0.0}</x:v>
      </x:c>
      <x:c r="I1492" s="12" t="str">
        <x:v>[('NSR', 100.0), ('RBBB', 100.0), ('AFB', 100.0), ('BIFB', 100.0), ('LVH2', 100.0), ('2ST', 100.0), ('ASMI;AU', 100.0), ('AB', 100.0)]</x:v>
      </x:c>
      <x:c r="J1492" s="12" t="str">
        <x:v>ptbxl_database.csv；ecg_id=13855；scp_codes</x:v>
      </x:c>
      <x:c r="K1492" s="12" t="str">
        <x:v>12sl_statements.csv；ecg_id=13855；statements_ext_snomed</x:v>
      </x:c>
      <x:c r="L1492" s="12"/>
      <x:c r="M1492" s="12" t="str">
        <x:v>negative</x:v>
      </x:c>
      <x:c r="N1492" s="12"/>
      <x:c r="O1492" s="12" t="str">
        <x:v>negative</x:v>
      </x:c>
      <x:c r="P1492" s="12" t="str">
        <x:f>IF(OR(M1492="unavailable",O1492="unavailable"),"不可评价",IF(OR(M1492="equivocal",O1492="equivocal"),"疑似",IF(AND(M1492="positive",O1492="positive"),"a",IF(O1492="positive","b",IF(M1492="positive","c","d")))))</x:f>
        <x:v>d</x:v>
      </x:c>
      <x:c r="Q1492" s="12"/>
      <x:c r="R1492" s="12" t="str">
        <x:v>negative</x:v>
      </x:c>
      <x:c r="S1492" s="12"/>
      <x:c r="T1492" s="12" t="str">
        <x:v>negative</x:v>
      </x:c>
      <x:c r="U1492" s="12" t="str">
        <x:f>IF(OR(R1492="unavailable",T1492="unavailable"),"不可评价",IF(OR(R1492="equivocal",T1492="equivocal"),"疑似",IF(AND(R1492="positive",T1492="positive"),"a",IF(T1492="positive","b",IF(R1492="positive","c","d")))))</x:f>
        <x:v>d</x:v>
      </x:c>
      <x:c r="V1492" s="12" t="n">
        <x:v>100</x:v>
      </x:c>
      <x:c r="W1492" s="12" t="str">
        <x:v>positive</x:v>
      </x:c>
      <x:c r="X1492" s="12" t="n">
        <x:v>100</x:v>
      </x:c>
      <x:c r="Y1492" s="12" t="str">
        <x:v>positive</x:v>
      </x:c>
      <x:c r="Z1492" s="12" t="str">
        <x:f>IF(OR(W1492="unavailable",Y1492="unavailable"),"不可评价",IF(OR(W1492="equivocal",Y1492="equivocal"),"疑似",IF(AND(W1492="positive",Y1492="positive"),"a",IF(Y1492="positive","b",IF(W1492="positive","c","d")))))</x:f>
        <x:v>a</x:v>
      </x:c>
      <x:c r="AA1492" s="12" t="str">
        <x:f>IF(OR(M1492="unavailable",O1492="unavailable"),"不可评价",IF(AND(OR(M1492="positive",M1492="equivocal"),OR(O1492="positive",O1492="equivocal")),"a",IF(OR(O1492="positive",O1492="equivocal"),"b",IF(OR(M1492="positive",M1492="equivocal"),"c","d"))))</x:f>
        <x:v>d</x:v>
      </x:c>
      <x:c r="AB1492" s="12" t="str">
        <x:f>IF(OR(M1492="unavailable",O1492="unavailable"),"不可评价",IF(AND(M1492="positive",O1492="positive"),"a",IF(O1492="positive","b",IF(M1492="positive","c","d"))))</x:f>
        <x:v>d</x:v>
      </x:c>
      <x:c r="AC1492" s="12" t="str">
        <x:f>IF(OR(R1492="unavailable",T1492="unavailable"),"不可评价",IF(AND(OR(R1492="positive",R1492="equivocal"),OR(T1492="positive",T1492="equivocal")),"a",IF(OR(T1492="positive",T1492="equivocal"),"b",IF(OR(R1492="positive",R1492="equivocal"),"c","d"))))</x:f>
        <x:v>d</x:v>
      </x:c>
      <x:c r="AD1492" s="12" t="str">
        <x:f>IF(OR(R1492="unavailable",T1492="unavailable"),"不可评价",IF(AND(R1492="positive",T1492="positive"),"a",IF(T1492="positive","b",IF(R1492="positive","c","d"))))</x:f>
        <x:v>d</x:v>
      </x:c>
      <x:c r="AE1492" s="12" t="str">
        <x:f>IF(OR(W1492="unavailable",Y1492="unavailable"),"不可评价",IF(AND(OR(W1492="positive",W1492="equivocal"),OR(Y1492="positive",Y1492="equivocal")),"a",IF(OR(Y1492="positive",Y1492="equivocal"),"b",IF(OR(W1492="positive",W1492="equivocal"),"c","d"))))</x:f>
        <x:v>a</x:v>
      </x:c>
      <x:c r="AF1492" s="12" t="str">
        <x:f>IF(OR(W1492="unavailable",Y1492="unavailable"),"不可评价",IF(AND(W1492="positive",Y1492="positive"),"a",IF(Y1492="positive","b",IF(W1492="positive","c","d"))))</x:f>
        <x:v>a</x:v>
      </x:c>
    </x:row>
    <x:row r="1493" ht="24" customHeight="1">
      <x:c r="A1493" s="12" t="str">
        <x:v>13860</x:v>
      </x:c>
      <x:c r="B1493" s="12" t="str">
        <x:v>13193</x:v>
      </x:c>
      <x:c r="C1493" s="21" t="n">
        <x:v>34763.416180555556</x:v>
      </x:c>
      <x:c r="D1493" s="12" t="n">
        <x:v>59</x:v>
      </x:c>
      <x:c r="E1493" s="12" t="n">
        <x:v>0</x:v>
      </x:c>
      <x:c r="F1493" s="12" t="str">
        <x:v>存在</x:v>
      </x:c>
      <x:c r="G1493" s="12" t="n">
        <x:v>1</x:v>
      </x:c>
      <x:c r="H1493" s="12" t="str">
        <x:v>{'NORM': 100.0, 'SR': 0.0}</x:v>
      </x:c>
      <x:c r="I1493" s="12" t="str">
        <x:v>[('NSR', 100.0), ('NML', 100.0)]</x:v>
      </x:c>
      <x:c r="J1493" s="12" t="str">
        <x:v>ptbxl_database.csv；ecg_id=13860；scp_codes</x:v>
      </x:c>
      <x:c r="K1493" s="12" t="str">
        <x:v>12sl_statements.csv；ecg_id=13860；statements_ext_snomed</x:v>
      </x:c>
      <x:c r="L1493" s="12"/>
      <x:c r="M1493" s="12" t="str">
        <x:v>negative</x:v>
      </x:c>
      <x:c r="N1493" s="12"/>
      <x:c r="O1493" s="12" t="str">
        <x:v>negative</x:v>
      </x:c>
      <x:c r="P1493" s="12" t="str">
        <x:f>IF(OR(M1493="unavailable",O1493="unavailable"),"不可评价",IF(OR(M1493="equivocal",O1493="equivocal"),"疑似",IF(AND(M1493="positive",O1493="positive"),"a",IF(O1493="positive","b",IF(M1493="positive","c","d")))))</x:f>
        <x:v>d</x:v>
      </x:c>
      <x:c r="Q1493" s="12"/>
      <x:c r="R1493" s="12" t="str">
        <x:v>negative</x:v>
      </x:c>
      <x:c r="S1493" s="12"/>
      <x:c r="T1493" s="12" t="str">
        <x:v>negative</x:v>
      </x:c>
      <x:c r="U1493" s="12" t="str">
        <x:f>IF(OR(R1493="unavailable",T1493="unavailable"),"不可评价",IF(OR(R1493="equivocal",T1493="equivocal"),"疑似",IF(AND(R1493="positive",T1493="positive"),"a",IF(T1493="positive","b",IF(R1493="positive","c","d")))))</x:f>
        <x:v>d</x:v>
      </x:c>
      <x:c r="V1493" s="12"/>
      <x:c r="W1493" s="12" t="str">
        <x:v>negative</x:v>
      </x:c>
      <x:c r="X1493" s="12"/>
      <x:c r="Y1493" s="12" t="str">
        <x:v>negative</x:v>
      </x:c>
      <x:c r="Z1493" s="12" t="str">
        <x:f>IF(OR(W1493="unavailable",Y1493="unavailable"),"不可评价",IF(OR(W1493="equivocal",Y1493="equivocal"),"疑似",IF(AND(W1493="positive",Y1493="positive"),"a",IF(Y1493="positive","b",IF(W1493="positive","c","d")))))</x:f>
        <x:v>d</x:v>
      </x:c>
      <x:c r="AA1493" s="12" t="str">
        <x:f>IF(OR(M1493="unavailable",O1493="unavailable"),"不可评价",IF(AND(OR(M1493="positive",M1493="equivocal"),OR(O1493="positive",O1493="equivocal")),"a",IF(OR(O1493="positive",O1493="equivocal"),"b",IF(OR(M1493="positive",M1493="equivocal"),"c","d"))))</x:f>
        <x:v>d</x:v>
      </x:c>
      <x:c r="AB1493" s="12" t="str">
        <x:f>IF(OR(M1493="unavailable",O1493="unavailable"),"不可评价",IF(AND(M1493="positive",O1493="positive"),"a",IF(O1493="positive","b",IF(M1493="positive","c","d"))))</x:f>
        <x:v>d</x:v>
      </x:c>
      <x:c r="AC1493" s="12" t="str">
        <x:f>IF(OR(R1493="unavailable",T1493="unavailable"),"不可评价",IF(AND(OR(R1493="positive",R1493="equivocal"),OR(T1493="positive",T1493="equivocal")),"a",IF(OR(T1493="positive",T1493="equivocal"),"b",IF(OR(R1493="positive",R1493="equivocal"),"c","d"))))</x:f>
        <x:v>d</x:v>
      </x:c>
      <x:c r="AD1493" s="12" t="str">
        <x:f>IF(OR(R1493="unavailable",T1493="unavailable"),"不可评价",IF(AND(R1493="positive",T1493="positive"),"a",IF(T1493="positive","b",IF(R1493="positive","c","d"))))</x:f>
        <x:v>d</x:v>
      </x:c>
      <x:c r="AE1493" s="12" t="str">
        <x:f>IF(OR(W1493="unavailable",Y1493="unavailable"),"不可评价",IF(AND(OR(W1493="positive",W1493="equivocal"),OR(Y1493="positive",Y1493="equivocal")),"a",IF(OR(Y1493="positive",Y1493="equivocal"),"b",IF(OR(W1493="positive",W1493="equivocal"),"c","d"))))</x:f>
        <x:v>d</x:v>
      </x:c>
      <x:c r="AF1493" s="12" t="str">
        <x:f>IF(OR(W1493="unavailable",Y1493="unavailable"),"不可评价",IF(AND(W1493="positive",Y1493="positive"),"a",IF(Y1493="positive","b",IF(W1493="positive","c","d"))))</x:f>
        <x:v>d</x:v>
      </x:c>
    </x:row>
    <x:row r="1494" ht="24" customHeight="1">
      <x:c r="A1494" s="12" t="str">
        <x:v>13867</x:v>
      </x:c>
      <x:c r="B1494" s="12" t="str">
        <x:v>12093</x:v>
      </x:c>
      <x:c r="C1494" s="21" t="n">
        <x:v>34765.608449074076</x:v>
      </x:c>
      <x:c r="D1494" s="12" t="n">
        <x:v>53</x:v>
      </x:c>
      <x:c r="E1494" s="12" t="n">
        <x:v>1</x:v>
      </x:c>
      <x:c r="F1494" s="12" t="str">
        <x:v>未记录</x:v>
      </x:c>
      <x:c r="G1494" s="12" t="n">
        <x:v>1</x:v>
      </x:c>
      <x:c r="H1494" s="12" t="str">
        <x:v>{'NDT': 100.0, 'SR': 0.0}</x:v>
      </x:c>
      <x:c r="I1494" s="12" t="str">
        <x:v>[('SBRAD', 100.0), ('NSTT', 100.0), ('AB', 100.0)]</x:v>
      </x:c>
      <x:c r="J1494" s="12" t="str">
        <x:v>ptbxl_database.csv；ecg_id=13867；scp_codes</x:v>
      </x:c>
      <x:c r="K1494" s="12" t="str">
        <x:v>12sl_statements.csv；ecg_id=13867；statements_ext_snomed</x:v>
      </x:c>
      <x:c r="L1494" s="12"/>
      <x:c r="M1494" s="12" t="str">
        <x:v>negative</x:v>
      </x:c>
      <x:c r="N1494" s="12"/>
      <x:c r="O1494" s="12" t="str">
        <x:v>negative</x:v>
      </x:c>
      <x:c r="P1494" s="12" t="str">
        <x:f>IF(OR(M1494="unavailable",O1494="unavailable"),"不可评价",IF(OR(M1494="equivocal",O1494="equivocal"),"疑似",IF(AND(M1494="positive",O1494="positive"),"a",IF(O1494="positive","b",IF(M1494="positive","c","d")))))</x:f>
        <x:v>d</x:v>
      </x:c>
      <x:c r="Q1494" s="12"/>
      <x:c r="R1494" s="12" t="str">
        <x:v>negative</x:v>
      </x:c>
      <x:c r="S1494" s="12"/>
      <x:c r="T1494" s="12" t="str">
        <x:v>negative</x:v>
      </x:c>
      <x:c r="U1494" s="12" t="str">
        <x:f>IF(OR(R1494="unavailable",T1494="unavailable"),"不可评价",IF(OR(R1494="equivocal",T1494="equivocal"),"疑似",IF(AND(R1494="positive",T1494="positive"),"a",IF(T1494="positive","b",IF(R1494="positive","c","d")))))</x:f>
        <x:v>d</x:v>
      </x:c>
      <x:c r="V1494" s="12"/>
      <x:c r="W1494" s="12" t="str">
        <x:v>negative</x:v>
      </x:c>
      <x:c r="X1494" s="12"/>
      <x:c r="Y1494" s="12" t="str">
        <x:v>negative</x:v>
      </x:c>
      <x:c r="Z1494" s="12" t="str">
        <x:f>IF(OR(W1494="unavailable",Y1494="unavailable"),"不可评价",IF(OR(W1494="equivocal",Y1494="equivocal"),"疑似",IF(AND(W1494="positive",Y1494="positive"),"a",IF(Y1494="positive","b",IF(W1494="positive","c","d")))))</x:f>
        <x:v>d</x:v>
      </x:c>
      <x:c r="AA1494" s="12" t="str">
        <x:f>IF(OR(M1494="unavailable",O1494="unavailable"),"不可评价",IF(AND(OR(M1494="positive",M1494="equivocal"),OR(O1494="positive",O1494="equivocal")),"a",IF(OR(O1494="positive",O1494="equivocal"),"b",IF(OR(M1494="positive",M1494="equivocal"),"c","d"))))</x:f>
        <x:v>d</x:v>
      </x:c>
      <x:c r="AB1494" s="12" t="str">
        <x:f>IF(OR(M1494="unavailable",O1494="unavailable"),"不可评价",IF(AND(M1494="positive",O1494="positive"),"a",IF(O1494="positive","b",IF(M1494="positive","c","d"))))</x:f>
        <x:v>d</x:v>
      </x:c>
      <x:c r="AC1494" s="12" t="str">
        <x:f>IF(OR(R1494="unavailable",T1494="unavailable"),"不可评价",IF(AND(OR(R1494="positive",R1494="equivocal"),OR(T1494="positive",T1494="equivocal")),"a",IF(OR(T1494="positive",T1494="equivocal"),"b",IF(OR(R1494="positive",R1494="equivocal"),"c","d"))))</x:f>
        <x:v>d</x:v>
      </x:c>
      <x:c r="AD1494" s="12" t="str">
        <x:f>IF(OR(R1494="unavailable",T1494="unavailable"),"不可评价",IF(AND(R1494="positive",T1494="positive"),"a",IF(T1494="positive","b",IF(R1494="positive","c","d"))))</x:f>
        <x:v>d</x:v>
      </x:c>
      <x:c r="AE1494" s="12" t="str">
        <x:f>IF(OR(W1494="unavailable",Y1494="unavailable"),"不可评价",IF(AND(OR(W1494="positive",W1494="equivocal"),OR(Y1494="positive",Y1494="equivocal")),"a",IF(OR(Y1494="positive",Y1494="equivocal"),"b",IF(OR(W1494="positive",W1494="equivocal"),"c","d"))))</x:f>
        <x:v>d</x:v>
      </x:c>
      <x:c r="AF1494" s="12" t="str">
        <x:f>IF(OR(W1494="unavailable",Y1494="unavailable"),"不可评价",IF(AND(W1494="positive",Y1494="positive"),"a",IF(Y1494="positive","b",IF(W1494="positive","c","d"))))</x:f>
        <x:v>d</x:v>
      </x:c>
    </x:row>
    <x:row r="1495" ht="24" customHeight="1">
      <x:c r="A1495" s="12" t="str">
        <x:v>13879</x:v>
      </x:c>
      <x:c r="B1495" s="12" t="str">
        <x:v>19220</x:v>
      </x:c>
      <x:c r="C1495" s="21" t="n">
        <x:v>34770.30730324074</x:v>
      </x:c>
      <x:c r="D1495" s="12" t="n">
        <x:v>47</x:v>
      </x:c>
      <x:c r="E1495" s="12" t="n">
        <x:v>0</x:v>
      </x:c>
      <x:c r="F1495" s="12" t="str">
        <x:v>未记录</x:v>
      </x:c>
      <x:c r="G1495" s="12" t="n">
        <x:v>0</x:v>
      </x:c>
      <x:c r="H1495" s="12" t="str">
        <x:v>{'NORM': 100.0, 'SR': 0.0}</x:v>
      </x:c>
      <x:c r="I1495" s="12" t="str">
        <x:v>[('NSR', 100.0), ('SAR', 100.0), ('NML', 100.0)]</x:v>
      </x:c>
      <x:c r="J1495" s="12" t="str">
        <x:v>ptbxl_database.csv；ecg_id=13879；scp_codes</x:v>
      </x:c>
      <x:c r="K1495" s="12" t="str">
        <x:v>12sl_statements.csv；ecg_id=13879；statements_ext_snomed</x:v>
      </x:c>
      <x:c r="L1495" s="12"/>
      <x:c r="M1495" s="12" t="str">
        <x:v>negative</x:v>
      </x:c>
      <x:c r="N1495" s="12"/>
      <x:c r="O1495" s="12" t="str">
        <x:v>negative</x:v>
      </x:c>
      <x:c r="P1495" s="12" t="str">
        <x:f>IF(OR(M1495="unavailable",O1495="unavailable"),"不可评价",IF(OR(M1495="equivocal",O1495="equivocal"),"疑似",IF(AND(M1495="positive",O1495="positive"),"a",IF(O1495="positive","b",IF(M1495="positive","c","d")))))</x:f>
        <x:v>d</x:v>
      </x:c>
      <x:c r="Q1495" s="12"/>
      <x:c r="R1495" s="12" t="str">
        <x:v>negative</x:v>
      </x:c>
      <x:c r="S1495" s="12"/>
      <x:c r="T1495" s="12" t="str">
        <x:v>negative</x:v>
      </x:c>
      <x:c r="U1495" s="12" t="str">
        <x:f>IF(OR(R1495="unavailable",T1495="unavailable"),"不可评价",IF(OR(R1495="equivocal",T1495="equivocal"),"疑似",IF(AND(R1495="positive",T1495="positive"),"a",IF(T1495="positive","b",IF(R1495="positive","c","d")))))</x:f>
        <x:v>d</x:v>
      </x:c>
      <x:c r="V1495" s="12"/>
      <x:c r="W1495" s="12" t="str">
        <x:v>negative</x:v>
      </x:c>
      <x:c r="X1495" s="12"/>
      <x:c r="Y1495" s="12" t="str">
        <x:v>negative</x:v>
      </x:c>
      <x:c r="Z1495" s="12" t="str">
        <x:f>IF(OR(W1495="unavailable",Y1495="unavailable"),"不可评价",IF(OR(W1495="equivocal",Y1495="equivocal"),"疑似",IF(AND(W1495="positive",Y1495="positive"),"a",IF(Y1495="positive","b",IF(W1495="positive","c","d")))))</x:f>
        <x:v>d</x:v>
      </x:c>
      <x:c r="AA1495" s="12" t="str">
        <x:f>IF(OR(M1495="unavailable",O1495="unavailable"),"不可评价",IF(AND(OR(M1495="positive",M1495="equivocal"),OR(O1495="positive",O1495="equivocal")),"a",IF(OR(O1495="positive",O1495="equivocal"),"b",IF(OR(M1495="positive",M1495="equivocal"),"c","d"))))</x:f>
        <x:v>d</x:v>
      </x:c>
      <x:c r="AB1495" s="12" t="str">
        <x:f>IF(OR(M1495="unavailable",O1495="unavailable"),"不可评价",IF(AND(M1495="positive",O1495="positive"),"a",IF(O1495="positive","b",IF(M1495="positive","c","d"))))</x:f>
        <x:v>d</x:v>
      </x:c>
      <x:c r="AC1495" s="12" t="str">
        <x:f>IF(OR(R1495="unavailable",T1495="unavailable"),"不可评价",IF(AND(OR(R1495="positive",R1495="equivocal"),OR(T1495="positive",T1495="equivocal")),"a",IF(OR(T1495="positive",T1495="equivocal"),"b",IF(OR(R1495="positive",R1495="equivocal"),"c","d"))))</x:f>
        <x:v>d</x:v>
      </x:c>
      <x:c r="AD1495" s="12" t="str">
        <x:f>IF(OR(R1495="unavailable",T1495="unavailable"),"不可评价",IF(AND(R1495="positive",T1495="positive"),"a",IF(T1495="positive","b",IF(R1495="positive","c","d"))))</x:f>
        <x:v>d</x:v>
      </x:c>
      <x:c r="AE1495" s="12" t="str">
        <x:f>IF(OR(W1495="unavailable",Y1495="unavailable"),"不可评价",IF(AND(OR(W1495="positive",W1495="equivocal"),OR(Y1495="positive",Y1495="equivocal")),"a",IF(OR(Y1495="positive",Y1495="equivocal"),"b",IF(OR(W1495="positive",W1495="equivocal"),"c","d"))))</x:f>
        <x:v>d</x:v>
      </x:c>
      <x:c r="AF1495" s="12" t="str">
        <x:f>IF(OR(W1495="unavailable",Y1495="unavailable"),"不可评价",IF(AND(W1495="positive",Y1495="positive"),"a",IF(Y1495="positive","b",IF(W1495="positive","c","d"))))</x:f>
        <x:v>d</x:v>
      </x:c>
    </x:row>
    <x:row r="1496" ht="24" customHeight="1">
      <x:c r="A1496" s="12" t="str">
        <x:v>13887</x:v>
      </x:c>
      <x:c r="B1496" s="12" t="str">
        <x:v>12564</x:v>
      </x:c>
      <x:c r="C1496" s="21" t="n">
        <x:v>34773.5402662037</x:v>
      </x:c>
      <x:c r="D1496" s="12" t="n">
        <x:v>30</x:v>
      </x:c>
      <x:c r="E1496" s="12" t="n">
        <x:v>1</x:v>
      </x:c>
      <x:c r="F1496" s="12" t="str">
        <x:v>存在</x:v>
      </x:c>
      <x:c r="G1496" s="12" t="n">
        <x:v>1</x:v>
      </x:c>
      <x:c r="H1496" s="12" t="str">
        <x:v>{'NORM': 100.0, 'SR': 0.0}</x:v>
      </x:c>
      <x:c r="I1496" s="12" t="str">
        <x:v>[('NSR', 100.0), ('NML', 100.0)]</x:v>
      </x:c>
      <x:c r="J1496" s="12" t="str">
        <x:v>ptbxl_database.csv；ecg_id=13887；scp_codes</x:v>
      </x:c>
      <x:c r="K1496" s="12" t="str">
        <x:v>12sl_statements.csv；ecg_id=13887；statements_ext_snomed</x:v>
      </x:c>
      <x:c r="L1496" s="12"/>
      <x:c r="M1496" s="12" t="str">
        <x:v>negative</x:v>
      </x:c>
      <x:c r="N1496" s="12"/>
      <x:c r="O1496" s="12" t="str">
        <x:v>negative</x:v>
      </x:c>
      <x:c r="P1496" s="12" t="str">
        <x:f>IF(OR(M1496="unavailable",O1496="unavailable"),"不可评价",IF(OR(M1496="equivocal",O1496="equivocal"),"疑似",IF(AND(M1496="positive",O1496="positive"),"a",IF(O1496="positive","b",IF(M1496="positive","c","d")))))</x:f>
        <x:v>d</x:v>
      </x:c>
      <x:c r="Q1496" s="12"/>
      <x:c r="R1496" s="12" t="str">
        <x:v>negative</x:v>
      </x:c>
      <x:c r="S1496" s="12"/>
      <x:c r="T1496" s="12" t="str">
        <x:v>negative</x:v>
      </x:c>
      <x:c r="U1496" s="12" t="str">
        <x:f>IF(OR(R1496="unavailable",T1496="unavailable"),"不可评价",IF(OR(R1496="equivocal",T1496="equivocal"),"疑似",IF(AND(R1496="positive",T1496="positive"),"a",IF(T1496="positive","b",IF(R1496="positive","c","d")))))</x:f>
        <x:v>d</x:v>
      </x:c>
      <x:c r="V1496" s="12"/>
      <x:c r="W1496" s="12" t="str">
        <x:v>negative</x:v>
      </x:c>
      <x:c r="X1496" s="12"/>
      <x:c r="Y1496" s="12" t="str">
        <x:v>negative</x:v>
      </x:c>
      <x:c r="Z1496" s="12" t="str">
        <x:f>IF(OR(W1496="unavailable",Y1496="unavailable"),"不可评价",IF(OR(W1496="equivocal",Y1496="equivocal"),"疑似",IF(AND(W1496="positive",Y1496="positive"),"a",IF(Y1496="positive","b",IF(W1496="positive","c","d")))))</x:f>
        <x:v>d</x:v>
      </x:c>
      <x:c r="AA1496" s="12" t="str">
        <x:f>IF(OR(M1496="unavailable",O1496="unavailable"),"不可评价",IF(AND(OR(M1496="positive",M1496="equivocal"),OR(O1496="positive",O1496="equivocal")),"a",IF(OR(O1496="positive",O1496="equivocal"),"b",IF(OR(M1496="positive",M1496="equivocal"),"c","d"))))</x:f>
        <x:v>d</x:v>
      </x:c>
      <x:c r="AB1496" s="12" t="str">
        <x:f>IF(OR(M1496="unavailable",O1496="unavailable"),"不可评价",IF(AND(M1496="positive",O1496="positive"),"a",IF(O1496="positive","b",IF(M1496="positive","c","d"))))</x:f>
        <x:v>d</x:v>
      </x:c>
      <x:c r="AC1496" s="12" t="str">
        <x:f>IF(OR(R1496="unavailable",T1496="unavailable"),"不可评价",IF(AND(OR(R1496="positive",R1496="equivocal"),OR(T1496="positive",T1496="equivocal")),"a",IF(OR(T1496="positive",T1496="equivocal"),"b",IF(OR(R1496="positive",R1496="equivocal"),"c","d"))))</x:f>
        <x:v>d</x:v>
      </x:c>
      <x:c r="AD1496" s="12" t="str">
        <x:f>IF(OR(R1496="unavailable",T1496="unavailable"),"不可评价",IF(AND(R1496="positive",T1496="positive"),"a",IF(T1496="positive","b",IF(R1496="positive","c","d"))))</x:f>
        <x:v>d</x:v>
      </x:c>
      <x:c r="AE1496" s="12" t="str">
        <x:f>IF(OR(W1496="unavailable",Y1496="unavailable"),"不可评价",IF(AND(OR(W1496="positive",W1496="equivocal"),OR(Y1496="positive",Y1496="equivocal")),"a",IF(OR(Y1496="positive",Y1496="equivocal"),"b",IF(OR(W1496="positive",W1496="equivocal"),"c","d"))))</x:f>
        <x:v>d</x:v>
      </x:c>
      <x:c r="AF1496" s="12" t="str">
        <x:f>IF(OR(W1496="unavailable",Y1496="unavailable"),"不可评价",IF(AND(W1496="positive",Y1496="positive"),"a",IF(Y1496="positive","b",IF(W1496="positive","c","d"))))</x:f>
        <x:v>d</x:v>
      </x:c>
    </x:row>
    <x:row r="1497" ht="24" customHeight="1">
      <x:c r="A1497" s="12" t="str">
        <x:v>13895</x:v>
      </x:c>
      <x:c r="B1497" s="12" t="str">
        <x:v>9910</x:v>
      </x:c>
      <x:c r="C1497" s="21" t="n">
        <x:v>34776.56922453704</x:v>
      </x:c>
      <x:c r="D1497" s="12" t="n">
        <x:v>61</x:v>
      </x:c>
      <x:c r="E1497" s="12" t="n">
        <x:v>0</x:v>
      </x:c>
      <x:c r="F1497" s="12" t="str">
        <x:v>存在</x:v>
      </x:c>
      <x:c r="G1497" s="12" t="n">
        <x:v>0</x:v>
      </x:c>
      <x:c r="H1497" s="12" t="str">
        <x:v>{'NORM': 100.0, 'SR': 0.0}</x:v>
      </x:c>
      <x:c r="I1497" s="12" t="str">
        <x:v>[('NSR', 100.0), ('NML', 100.0)]</x:v>
      </x:c>
      <x:c r="J1497" s="12" t="str">
        <x:v>ptbxl_database.csv；ecg_id=13895；scp_codes</x:v>
      </x:c>
      <x:c r="K1497" s="12" t="str">
        <x:v>12sl_statements.csv；ecg_id=13895；statements_ext_snomed</x:v>
      </x:c>
      <x:c r="L1497" s="12"/>
      <x:c r="M1497" s="12" t="str">
        <x:v>negative</x:v>
      </x:c>
      <x:c r="N1497" s="12"/>
      <x:c r="O1497" s="12" t="str">
        <x:v>negative</x:v>
      </x:c>
      <x:c r="P1497" s="12" t="str">
        <x:f>IF(OR(M1497="unavailable",O1497="unavailable"),"不可评价",IF(OR(M1497="equivocal",O1497="equivocal"),"疑似",IF(AND(M1497="positive",O1497="positive"),"a",IF(O1497="positive","b",IF(M1497="positive","c","d")))))</x:f>
        <x:v>d</x:v>
      </x:c>
      <x:c r="Q1497" s="12"/>
      <x:c r="R1497" s="12" t="str">
        <x:v>negative</x:v>
      </x:c>
      <x:c r="S1497" s="12"/>
      <x:c r="T1497" s="12" t="str">
        <x:v>negative</x:v>
      </x:c>
      <x:c r="U1497" s="12" t="str">
        <x:f>IF(OR(R1497="unavailable",T1497="unavailable"),"不可评价",IF(OR(R1497="equivocal",T1497="equivocal"),"疑似",IF(AND(R1497="positive",T1497="positive"),"a",IF(T1497="positive","b",IF(R1497="positive","c","d")))))</x:f>
        <x:v>d</x:v>
      </x:c>
      <x:c r="V1497" s="12"/>
      <x:c r="W1497" s="12" t="str">
        <x:v>negative</x:v>
      </x:c>
      <x:c r="X1497" s="12"/>
      <x:c r="Y1497" s="12" t="str">
        <x:v>negative</x:v>
      </x:c>
      <x:c r="Z1497" s="12" t="str">
        <x:f>IF(OR(W1497="unavailable",Y1497="unavailable"),"不可评价",IF(OR(W1497="equivocal",Y1497="equivocal"),"疑似",IF(AND(W1497="positive",Y1497="positive"),"a",IF(Y1497="positive","b",IF(W1497="positive","c","d")))))</x:f>
        <x:v>d</x:v>
      </x:c>
      <x:c r="AA1497" s="12" t="str">
        <x:f>IF(OR(M1497="unavailable",O1497="unavailable"),"不可评价",IF(AND(OR(M1497="positive",M1497="equivocal"),OR(O1497="positive",O1497="equivocal")),"a",IF(OR(O1497="positive",O1497="equivocal"),"b",IF(OR(M1497="positive",M1497="equivocal"),"c","d"))))</x:f>
        <x:v>d</x:v>
      </x:c>
      <x:c r="AB1497" s="12" t="str">
        <x:f>IF(OR(M1497="unavailable",O1497="unavailable"),"不可评价",IF(AND(M1497="positive",O1497="positive"),"a",IF(O1497="positive","b",IF(M1497="positive","c","d"))))</x:f>
        <x:v>d</x:v>
      </x:c>
      <x:c r="AC1497" s="12" t="str">
        <x:f>IF(OR(R1497="unavailable",T1497="unavailable"),"不可评价",IF(AND(OR(R1497="positive",R1497="equivocal"),OR(T1497="positive",T1497="equivocal")),"a",IF(OR(T1497="positive",T1497="equivocal"),"b",IF(OR(R1497="positive",R1497="equivocal"),"c","d"))))</x:f>
        <x:v>d</x:v>
      </x:c>
      <x:c r="AD1497" s="12" t="str">
        <x:f>IF(OR(R1497="unavailable",T1497="unavailable"),"不可评价",IF(AND(R1497="positive",T1497="positive"),"a",IF(T1497="positive","b",IF(R1497="positive","c","d"))))</x:f>
        <x:v>d</x:v>
      </x:c>
      <x:c r="AE1497" s="12" t="str">
        <x:f>IF(OR(W1497="unavailable",Y1497="unavailable"),"不可评价",IF(AND(OR(W1497="positive",W1497="equivocal"),OR(Y1497="positive",Y1497="equivocal")),"a",IF(OR(Y1497="positive",Y1497="equivocal"),"b",IF(OR(W1497="positive",W1497="equivocal"),"c","d"))))</x:f>
        <x:v>d</x:v>
      </x:c>
      <x:c r="AF1497" s="12" t="str">
        <x:f>IF(OR(W1497="unavailable",Y1497="unavailable"),"不可评价",IF(AND(W1497="positive",Y1497="positive"),"a",IF(Y1497="positive","b",IF(W1497="positive","c","d"))))</x:f>
        <x:v>d</x:v>
      </x:c>
    </x:row>
    <x:row r="1498" ht="39" customHeight="1">
      <x:c r="A1498" s="12" t="str">
        <x:v>13899</x:v>
      </x:c>
      <x:c r="B1498" s="12" t="str">
        <x:v>11269</x:v>
      </x:c>
      <x:c r="C1498" s="21" t="n">
        <x:v>34777.45322916667</x:v>
      </x:c>
      <x:c r="D1498" s="12" t="n">
        <x:v>71</x:v>
      </x:c>
      <x:c r="E1498" s="12" t="n">
        <x:v>0</x:v>
      </x:c>
      <x:c r="F1498" s="12" t="str">
        <x:v>存在</x:v>
      </x:c>
      <x:c r="G1498" s="12" t="n">
        <x:v>1</x:v>
      </x:c>
      <x:c r="H1498" s="12" t="str">
        <x:v>{'LVH': 100.0, 'ISC_': 100.0, 'SR': 0.0}</x:v>
      </x:c>
      <x:c r="I1498" s="12" t="str">
        <x:v>[('STACH', 100.0), ('PVC', 100.0), ('LVH2', 100.0), ('QRSW', 100.0), ('AMI;AU', 100.0), ('ST&amp;', 100.0), ('IT', 100.0), ('AB', 100.0)]</x:v>
      </x:c>
      <x:c r="J1498" s="12" t="str">
        <x:v>ptbxl_database.csv；ecg_id=13899；scp_codes</x:v>
      </x:c>
      <x:c r="K1498" s="12" t="str">
        <x:v>12sl_statements.csv；ecg_id=13899；statements_ext_snomed</x:v>
      </x:c>
      <x:c r="L1498" s="12"/>
      <x:c r="M1498" s="12" t="str">
        <x:v>negative</x:v>
      </x:c>
      <x:c r="N1498" s="12"/>
      <x:c r="O1498" s="12" t="str">
        <x:v>negative</x:v>
      </x:c>
      <x:c r="P1498" s="12" t="str">
        <x:f>IF(OR(M1498="unavailable",O1498="unavailable"),"不可评价",IF(OR(M1498="equivocal",O1498="equivocal"),"疑似",IF(AND(M1498="positive",O1498="positive"),"a",IF(O1498="positive","b",IF(M1498="positive","c","d")))))</x:f>
        <x:v>d</x:v>
      </x:c>
      <x:c r="Q1498" s="12"/>
      <x:c r="R1498" s="12" t="str">
        <x:v>negative</x:v>
      </x:c>
      <x:c r="S1498" s="12"/>
      <x:c r="T1498" s="12" t="str">
        <x:v>negative</x:v>
      </x:c>
      <x:c r="U1498" s="12" t="str">
        <x:f>IF(OR(R1498="unavailable",T1498="unavailable"),"不可评价",IF(OR(R1498="equivocal",T1498="equivocal"),"疑似",IF(AND(R1498="positive",T1498="positive"),"a",IF(T1498="positive","b",IF(R1498="positive","c","d")))))</x:f>
        <x:v>d</x:v>
      </x:c>
      <x:c r="V1498" s="12"/>
      <x:c r="W1498" s="12" t="str">
        <x:v>negative</x:v>
      </x:c>
      <x:c r="X1498" s="12"/>
      <x:c r="Y1498" s="12" t="str">
        <x:v>negative</x:v>
      </x:c>
      <x:c r="Z1498" s="12" t="str">
        <x:f>IF(OR(W1498="unavailable",Y1498="unavailable"),"不可评价",IF(OR(W1498="equivocal",Y1498="equivocal"),"疑似",IF(AND(W1498="positive",Y1498="positive"),"a",IF(Y1498="positive","b",IF(W1498="positive","c","d")))))</x:f>
        <x:v>d</x:v>
      </x:c>
      <x:c r="AA1498" s="12" t="str">
        <x:f>IF(OR(M1498="unavailable",O1498="unavailable"),"不可评价",IF(AND(OR(M1498="positive",M1498="equivocal"),OR(O1498="positive",O1498="equivocal")),"a",IF(OR(O1498="positive",O1498="equivocal"),"b",IF(OR(M1498="positive",M1498="equivocal"),"c","d"))))</x:f>
        <x:v>d</x:v>
      </x:c>
      <x:c r="AB1498" s="12" t="str">
        <x:f>IF(OR(M1498="unavailable",O1498="unavailable"),"不可评价",IF(AND(M1498="positive",O1498="positive"),"a",IF(O1498="positive","b",IF(M1498="positive","c","d"))))</x:f>
        <x:v>d</x:v>
      </x:c>
      <x:c r="AC1498" s="12" t="str">
        <x:f>IF(OR(R1498="unavailable",T1498="unavailable"),"不可评价",IF(AND(OR(R1498="positive",R1498="equivocal"),OR(T1498="positive",T1498="equivocal")),"a",IF(OR(T1498="positive",T1498="equivocal"),"b",IF(OR(R1498="positive",R1498="equivocal"),"c","d"))))</x:f>
        <x:v>d</x:v>
      </x:c>
      <x:c r="AD1498" s="12" t="str">
        <x:f>IF(OR(R1498="unavailable",T1498="unavailable"),"不可评价",IF(AND(R1498="positive",T1498="positive"),"a",IF(T1498="positive","b",IF(R1498="positive","c","d"))))</x:f>
        <x:v>d</x:v>
      </x:c>
      <x:c r="AE1498" s="12" t="str">
        <x:f>IF(OR(W1498="unavailable",Y1498="unavailable"),"不可评价",IF(AND(OR(W1498="positive",W1498="equivocal"),OR(Y1498="positive",Y1498="equivocal")),"a",IF(OR(Y1498="positive",Y1498="equivocal"),"b",IF(OR(W1498="positive",W1498="equivocal"),"c","d"))))</x:f>
        <x:v>d</x:v>
      </x:c>
      <x:c r="AF1498" s="12" t="str">
        <x:f>IF(OR(W1498="unavailable",Y1498="unavailable"),"不可评价",IF(AND(W1498="positive",Y1498="positive"),"a",IF(Y1498="positive","b",IF(W1498="positive","c","d"))))</x:f>
        <x:v>d</x:v>
      </x:c>
    </x:row>
    <x:row r="1499" ht="24" customHeight="1">
      <x:c r="A1499" s="12" t="str">
        <x:v>13908</x:v>
      </x:c>
      <x:c r="B1499" s="12" t="str">
        <x:v>21560</x:v>
      </x:c>
      <x:c r="C1499" s="21" t="n">
        <x:v>34781.5315162037</x:v>
      </x:c>
      <x:c r="D1499" s="12" t="n">
        <x:v>49</x:v>
      </x:c>
      <x:c r="E1499" s="12" t="n">
        <x:v>1</x:v>
      </x:c>
      <x:c r="F1499" s="12" t="str">
        <x:v>存在</x:v>
      </x:c>
      <x:c r="G1499" s="12" t="n">
        <x:v>1</x:v>
      </x:c>
      <x:c r="H1499" s="12" t="str">
        <x:v>{'IRBBB': 100.0, 'LAO/LAE': 100.0, 'PVC': 100.0, 'STACH': 0.0}</x:v>
      </x:c>
      <x:c r="I1499" s="12" t="str">
        <x:v>[('STACH', 100.0), ('PVC', 100.0), ('ABR', 100.0)]</x:v>
      </x:c>
      <x:c r="J1499" s="12" t="str">
        <x:v>ptbxl_database.csv；ecg_id=13908；scp_codes</x:v>
      </x:c>
      <x:c r="K1499" s="12" t="str">
        <x:v>12sl_statements.csv；ecg_id=13908；statements_ext_snomed</x:v>
      </x:c>
      <x:c r="L1499" s="12"/>
      <x:c r="M1499" s="12" t="str">
        <x:v>negative</x:v>
      </x:c>
      <x:c r="N1499" s="12"/>
      <x:c r="O1499" s="12" t="str">
        <x:v>negative</x:v>
      </x:c>
      <x:c r="P1499" s="12" t="str">
        <x:f>IF(OR(M1499="unavailable",O1499="unavailable"),"不可评价",IF(OR(M1499="equivocal",O1499="equivocal"),"疑似",IF(AND(M1499="positive",O1499="positive"),"a",IF(O1499="positive","b",IF(M1499="positive","c","d")))))</x:f>
        <x:v>d</x:v>
      </x:c>
      <x:c r="Q1499" s="12"/>
      <x:c r="R1499" s="12" t="str">
        <x:v>negative</x:v>
      </x:c>
      <x:c r="S1499" s="12"/>
      <x:c r="T1499" s="12" t="str">
        <x:v>negative</x:v>
      </x:c>
      <x:c r="U1499" s="12" t="str">
        <x:f>IF(OR(R1499="unavailable",T1499="unavailable"),"不可评价",IF(OR(R1499="equivocal",T1499="equivocal"),"疑似",IF(AND(R1499="positive",T1499="positive"),"a",IF(T1499="positive","b",IF(R1499="positive","c","d")))))</x:f>
        <x:v>d</x:v>
      </x:c>
      <x:c r="V1499" s="12"/>
      <x:c r="W1499" s="12" t="str">
        <x:v>negative</x:v>
      </x:c>
      <x:c r="X1499" s="12"/>
      <x:c r="Y1499" s="12" t="str">
        <x:v>negative</x:v>
      </x:c>
      <x:c r="Z1499" s="12" t="str">
        <x:f>IF(OR(W1499="unavailable",Y1499="unavailable"),"不可评价",IF(OR(W1499="equivocal",Y1499="equivocal"),"疑似",IF(AND(W1499="positive",Y1499="positive"),"a",IF(Y1499="positive","b",IF(W1499="positive","c","d")))))</x:f>
        <x:v>d</x:v>
      </x:c>
      <x:c r="AA1499" s="12" t="str">
        <x:f>IF(OR(M1499="unavailable",O1499="unavailable"),"不可评价",IF(AND(OR(M1499="positive",M1499="equivocal"),OR(O1499="positive",O1499="equivocal")),"a",IF(OR(O1499="positive",O1499="equivocal"),"b",IF(OR(M1499="positive",M1499="equivocal"),"c","d"))))</x:f>
        <x:v>d</x:v>
      </x:c>
      <x:c r="AB1499" s="12" t="str">
        <x:f>IF(OR(M1499="unavailable",O1499="unavailable"),"不可评价",IF(AND(M1499="positive",O1499="positive"),"a",IF(O1499="positive","b",IF(M1499="positive","c","d"))))</x:f>
        <x:v>d</x:v>
      </x:c>
      <x:c r="AC1499" s="12" t="str">
        <x:f>IF(OR(R1499="unavailable",T1499="unavailable"),"不可评价",IF(AND(OR(R1499="positive",R1499="equivocal"),OR(T1499="positive",T1499="equivocal")),"a",IF(OR(T1499="positive",T1499="equivocal"),"b",IF(OR(R1499="positive",R1499="equivocal"),"c","d"))))</x:f>
        <x:v>d</x:v>
      </x:c>
      <x:c r="AD1499" s="12" t="str">
        <x:f>IF(OR(R1499="unavailable",T1499="unavailable"),"不可评价",IF(AND(R1499="positive",T1499="positive"),"a",IF(T1499="positive","b",IF(R1499="positive","c","d"))))</x:f>
        <x:v>d</x:v>
      </x:c>
      <x:c r="AE1499" s="12" t="str">
        <x:f>IF(OR(W1499="unavailable",Y1499="unavailable"),"不可评价",IF(AND(OR(W1499="positive",W1499="equivocal"),OR(Y1499="positive",Y1499="equivocal")),"a",IF(OR(Y1499="positive",Y1499="equivocal"),"b",IF(OR(W1499="positive",W1499="equivocal"),"c","d"))))</x:f>
        <x:v>d</x:v>
      </x:c>
      <x:c r="AF1499" s="12" t="str">
        <x:f>IF(OR(W1499="unavailable",Y1499="unavailable"),"不可评价",IF(AND(W1499="positive",Y1499="positive"),"a",IF(Y1499="positive","b",IF(W1499="positive","c","d"))))</x:f>
        <x:v>d</x:v>
      </x:c>
    </x:row>
    <x:row r="1500" ht="24" customHeight="1">
      <x:c r="A1500" s="12" t="str">
        <x:v>13912</x:v>
      </x:c>
      <x:c r="B1500" s="12" t="str">
        <x:v>5242</x:v>
      </x:c>
      <x:c r="C1500" s="21" t="n">
        <x:v>34782.47267361111</x:v>
      </x:c>
      <x:c r="D1500" s="12" t="n">
        <x:v>65</x:v>
      </x:c>
      <x:c r="E1500" s="12" t="n">
        <x:v>1</x:v>
      </x:c>
      <x:c r="F1500" s="12" t="str">
        <x:v>未记录</x:v>
      </x:c>
      <x:c r="G1500" s="12" t="n">
        <x:v>1</x:v>
      </x:c>
      <x:c r="H1500" s="12" t="str">
        <x:v>{'IMI': 15.0, 'LVOLT': 0.0, 'QWAVE': 0.0, 'SR': 0.0}</x:v>
      </x:c>
      <x:c r="I1500" s="12" t="str">
        <x:v>[('NSR', 100.0), ('NML', 100.0)]</x:v>
      </x:c>
      <x:c r="J1500" s="12" t="str">
        <x:v>ptbxl_database.csv；ecg_id=13912；scp_codes</x:v>
      </x:c>
      <x:c r="K1500" s="12" t="str">
        <x:v>12sl_statements.csv；ecg_id=13912；statements_ext_snomed</x:v>
      </x:c>
      <x:c r="L1500" s="12"/>
      <x:c r="M1500" s="12" t="str">
        <x:v>negative</x:v>
      </x:c>
      <x:c r="N1500" s="12"/>
      <x:c r="O1500" s="12" t="str">
        <x:v>negative</x:v>
      </x:c>
      <x:c r="P1500" s="12" t="str">
        <x:f>IF(OR(M1500="unavailable",O1500="unavailable"),"不可评价",IF(OR(M1500="equivocal",O1500="equivocal"),"疑似",IF(AND(M1500="positive",O1500="positive"),"a",IF(O1500="positive","b",IF(M1500="positive","c","d")))))</x:f>
        <x:v>d</x:v>
      </x:c>
      <x:c r="Q1500" s="12"/>
      <x:c r="R1500" s="12" t="str">
        <x:v>negative</x:v>
      </x:c>
      <x:c r="S1500" s="12"/>
      <x:c r="T1500" s="12" t="str">
        <x:v>negative</x:v>
      </x:c>
      <x:c r="U1500" s="12" t="str">
        <x:f>IF(OR(R1500="unavailable",T1500="unavailable"),"不可评价",IF(OR(R1500="equivocal",T1500="equivocal"),"疑似",IF(AND(R1500="positive",T1500="positive"),"a",IF(T1500="positive","b",IF(R1500="positive","c","d")))))</x:f>
        <x:v>d</x:v>
      </x:c>
      <x:c r="V1500" s="12"/>
      <x:c r="W1500" s="12" t="str">
        <x:v>negative</x:v>
      </x:c>
      <x:c r="X1500" s="12"/>
      <x:c r="Y1500" s="12" t="str">
        <x:v>negative</x:v>
      </x:c>
      <x:c r="Z1500" s="12" t="str">
        <x:f>IF(OR(W1500="unavailable",Y1500="unavailable"),"不可评价",IF(OR(W1500="equivocal",Y1500="equivocal"),"疑似",IF(AND(W1500="positive",Y1500="positive"),"a",IF(Y1500="positive","b",IF(W1500="positive","c","d")))))</x:f>
        <x:v>d</x:v>
      </x:c>
      <x:c r="AA1500" s="12" t="str">
        <x:f>IF(OR(M1500="unavailable",O1500="unavailable"),"不可评价",IF(AND(OR(M1500="positive",M1500="equivocal"),OR(O1500="positive",O1500="equivocal")),"a",IF(OR(O1500="positive",O1500="equivocal"),"b",IF(OR(M1500="positive",M1500="equivocal"),"c","d"))))</x:f>
        <x:v>d</x:v>
      </x:c>
      <x:c r="AB1500" s="12" t="str">
        <x:f>IF(OR(M1500="unavailable",O1500="unavailable"),"不可评价",IF(AND(M1500="positive",O1500="positive"),"a",IF(O1500="positive","b",IF(M1500="positive","c","d"))))</x:f>
        <x:v>d</x:v>
      </x:c>
      <x:c r="AC1500" s="12" t="str">
        <x:f>IF(OR(R1500="unavailable",T1500="unavailable"),"不可评价",IF(AND(OR(R1500="positive",R1500="equivocal"),OR(T1500="positive",T1500="equivocal")),"a",IF(OR(T1500="positive",T1500="equivocal"),"b",IF(OR(R1500="positive",R1500="equivocal"),"c","d"))))</x:f>
        <x:v>d</x:v>
      </x:c>
      <x:c r="AD1500" s="12" t="str">
        <x:f>IF(OR(R1500="unavailable",T1500="unavailable"),"不可评价",IF(AND(R1500="positive",T1500="positive"),"a",IF(T1500="positive","b",IF(R1500="positive","c","d"))))</x:f>
        <x:v>d</x:v>
      </x:c>
      <x:c r="AE1500" s="12" t="str">
        <x:f>IF(OR(W1500="unavailable",Y1500="unavailable"),"不可评价",IF(AND(OR(W1500="positive",W1500="equivocal"),OR(Y1500="positive",Y1500="equivocal")),"a",IF(OR(Y1500="positive",Y1500="equivocal"),"b",IF(OR(W1500="positive",W1500="equivocal"),"c","d"))))</x:f>
        <x:v>d</x:v>
      </x:c>
      <x:c r="AF1500" s="12" t="str">
        <x:f>IF(OR(W1500="unavailable",Y1500="unavailable"),"不可评价",IF(AND(W1500="positive",Y1500="positive"),"a",IF(Y1500="positive","b",IF(W1500="positive","c","d"))))</x:f>
        <x:v>d</x:v>
      </x:c>
    </x:row>
    <x:row r="1501" ht="39" customHeight="1">
      <x:c r="A1501" s="12" t="str">
        <x:v>13913</x:v>
      </x:c>
      <x:c r="B1501" s="12" t="str">
        <x:v>5806</x:v>
      </x:c>
      <x:c r="C1501" s="21" t="n">
        <x:v>34782.49796296296</x:v>
      </x:c>
      <x:c r="D1501" s="12" t="n">
        <x:v>68</x:v>
      </x:c>
      <x:c r="E1501" s="12" t="n">
        <x:v>0</x:v>
      </x:c>
      <x:c r="F1501" s="12" t="str">
        <x:v>未记录</x:v>
      </x:c>
      <x:c r="G1501" s="12" t="n">
        <x:v>1</x:v>
      </x:c>
      <x:c r="H1501" s="12" t="str">
        <x:v>{'ASMI': 100.0, 'ALMI': 100.0, '1AVB': 100.0, 'QWAVE': 0.0, 'STD_': 0.0, 'STACH': 0.0}</x:v>
      </x:c>
      <x:c r="I1501" s="12" t="str">
        <x:v>[('STACH', 100.0), ('ASMI;AU', 100.0), ('ILINJ', 100.0), ('STEMI', 100.0), ('AB', 100.0)]</x:v>
      </x:c>
      <x:c r="J1501" s="12" t="str">
        <x:v>ptbxl_database.csv；ecg_id=13913；scp_codes</x:v>
      </x:c>
      <x:c r="K1501" s="12" t="str">
        <x:v>12sl_statements.csv；ecg_id=13913；statements_ext_snomed</x:v>
      </x:c>
      <x:c r="L1501" s="12"/>
      <x:c r="M1501" s="12" t="str">
        <x:v>negative</x:v>
      </x:c>
      <x:c r="N1501" s="12"/>
      <x:c r="O1501" s="12" t="str">
        <x:v>negative</x:v>
      </x:c>
      <x:c r="P1501" s="12" t="str">
        <x:f>IF(OR(M1501="unavailable",O1501="unavailable"),"不可评价",IF(OR(M1501="equivocal",O1501="equivocal"),"疑似",IF(AND(M1501="positive",O1501="positive"),"a",IF(O1501="positive","b",IF(M1501="positive","c","d")))))</x:f>
        <x:v>d</x:v>
      </x:c>
      <x:c r="Q1501" s="12"/>
      <x:c r="R1501" s="12" t="str">
        <x:v>negative</x:v>
      </x:c>
      <x:c r="S1501" s="12"/>
      <x:c r="T1501" s="12" t="str">
        <x:v>negative</x:v>
      </x:c>
      <x:c r="U1501" s="12" t="str">
        <x:f>IF(OR(R1501="unavailable",T1501="unavailable"),"不可评价",IF(OR(R1501="equivocal",T1501="equivocal"),"疑似",IF(AND(R1501="positive",T1501="positive"),"a",IF(T1501="positive","b",IF(R1501="positive","c","d")))))</x:f>
        <x:v>d</x:v>
      </x:c>
      <x:c r="V1501" s="12"/>
      <x:c r="W1501" s="12" t="str">
        <x:v>negative</x:v>
      </x:c>
      <x:c r="X1501" s="12"/>
      <x:c r="Y1501" s="12" t="str">
        <x:v>negative</x:v>
      </x:c>
      <x:c r="Z1501" s="12" t="str">
        <x:f>IF(OR(W1501="unavailable",Y1501="unavailable"),"不可评价",IF(OR(W1501="equivocal",Y1501="equivocal"),"疑似",IF(AND(W1501="positive",Y1501="positive"),"a",IF(Y1501="positive","b",IF(W1501="positive","c","d")))))</x:f>
        <x:v>d</x:v>
      </x:c>
      <x:c r="AA1501" s="12" t="str">
        <x:f>IF(OR(M1501="unavailable",O1501="unavailable"),"不可评价",IF(AND(OR(M1501="positive",M1501="equivocal"),OR(O1501="positive",O1501="equivocal")),"a",IF(OR(O1501="positive",O1501="equivocal"),"b",IF(OR(M1501="positive",M1501="equivocal"),"c","d"))))</x:f>
        <x:v>d</x:v>
      </x:c>
      <x:c r="AB1501" s="12" t="str">
        <x:f>IF(OR(M1501="unavailable",O1501="unavailable"),"不可评价",IF(AND(M1501="positive",O1501="positive"),"a",IF(O1501="positive","b",IF(M1501="positive","c","d"))))</x:f>
        <x:v>d</x:v>
      </x:c>
      <x:c r="AC1501" s="12" t="str">
        <x:f>IF(OR(R1501="unavailable",T1501="unavailable"),"不可评价",IF(AND(OR(R1501="positive",R1501="equivocal"),OR(T1501="positive",T1501="equivocal")),"a",IF(OR(T1501="positive",T1501="equivocal"),"b",IF(OR(R1501="positive",R1501="equivocal"),"c","d"))))</x:f>
        <x:v>d</x:v>
      </x:c>
      <x:c r="AD1501" s="12" t="str">
        <x:f>IF(OR(R1501="unavailable",T1501="unavailable"),"不可评价",IF(AND(R1501="positive",T1501="positive"),"a",IF(T1501="positive","b",IF(R1501="positive","c","d"))))</x:f>
        <x:v>d</x:v>
      </x:c>
      <x:c r="AE1501" s="12" t="str">
        <x:f>IF(OR(W1501="unavailable",Y1501="unavailable"),"不可评价",IF(AND(OR(W1501="positive",W1501="equivocal"),OR(Y1501="positive",Y1501="equivocal")),"a",IF(OR(Y1501="positive",Y1501="equivocal"),"b",IF(OR(W1501="positive",W1501="equivocal"),"c","d"))))</x:f>
        <x:v>d</x:v>
      </x:c>
      <x:c r="AF1501" s="12" t="str">
        <x:f>IF(OR(W1501="unavailable",Y1501="unavailable"),"不可评价",IF(AND(W1501="positive",Y1501="positive"),"a",IF(Y1501="positive","b",IF(W1501="positive","c","d"))))</x:f>
        <x:v>d</x:v>
      </x:c>
    </x:row>
    <x:row r="1502" ht="24" customHeight="1">
      <x:c r="A1502" s="12" t="str">
        <x:v>13918</x:v>
      </x:c>
      <x:c r="B1502" s="12" t="str">
        <x:v>10094</x:v>
      </x:c>
      <x:c r="C1502" s="21" t="n">
        <x:v>34783.50549768518</x:v>
      </x:c>
      <x:c r="D1502" s="12" t="n">
        <x:v>22</x:v>
      </x:c>
      <x:c r="E1502" s="12" t="n">
        <x:v>1</x:v>
      </x:c>
      <x:c r="F1502" s="12" t="str">
        <x:v>未记录</x:v>
      </x:c>
      <x:c r="G1502" s="12" t="n">
        <x:v>0</x:v>
      </x:c>
      <x:c r="H1502" s="12" t="str">
        <x:v>{'NORM': 100.0, 'SR': 0.0}</x:v>
      </x:c>
      <x:c r="I1502" s="12" t="str">
        <x:v>[('SBRAD', 100.0), ('SPR', 100.0), ('ABR', 100.0)]</x:v>
      </x:c>
      <x:c r="J1502" s="12" t="str">
        <x:v>ptbxl_database.csv；ecg_id=13918；scp_codes</x:v>
      </x:c>
      <x:c r="K1502" s="12" t="str">
        <x:v>12sl_statements.csv；ecg_id=13918；statements_ext_snomed</x:v>
      </x:c>
      <x:c r="L1502" s="12"/>
      <x:c r="M1502" s="12" t="str">
        <x:v>negative</x:v>
      </x:c>
      <x:c r="N1502" s="12"/>
      <x:c r="O1502" s="12" t="str">
        <x:v>negative</x:v>
      </x:c>
      <x:c r="P1502" s="12" t="str">
        <x:f>IF(OR(M1502="unavailable",O1502="unavailable"),"不可评价",IF(OR(M1502="equivocal",O1502="equivocal"),"疑似",IF(AND(M1502="positive",O1502="positive"),"a",IF(O1502="positive","b",IF(M1502="positive","c","d")))))</x:f>
        <x:v>d</x:v>
      </x:c>
      <x:c r="Q1502" s="12"/>
      <x:c r="R1502" s="12" t="str">
        <x:v>negative</x:v>
      </x:c>
      <x:c r="S1502" s="12"/>
      <x:c r="T1502" s="12" t="str">
        <x:v>negative</x:v>
      </x:c>
      <x:c r="U1502" s="12" t="str">
        <x:f>IF(OR(R1502="unavailable",T1502="unavailable"),"不可评价",IF(OR(R1502="equivocal",T1502="equivocal"),"疑似",IF(AND(R1502="positive",T1502="positive"),"a",IF(T1502="positive","b",IF(R1502="positive","c","d")))))</x:f>
        <x:v>d</x:v>
      </x:c>
      <x:c r="V1502" s="12"/>
      <x:c r="W1502" s="12" t="str">
        <x:v>negative</x:v>
      </x:c>
      <x:c r="X1502" s="12"/>
      <x:c r="Y1502" s="12" t="str">
        <x:v>negative</x:v>
      </x:c>
      <x:c r="Z1502" s="12" t="str">
        <x:f>IF(OR(W1502="unavailable",Y1502="unavailable"),"不可评价",IF(OR(W1502="equivocal",Y1502="equivocal"),"疑似",IF(AND(W1502="positive",Y1502="positive"),"a",IF(Y1502="positive","b",IF(W1502="positive","c","d")))))</x:f>
        <x:v>d</x:v>
      </x:c>
      <x:c r="AA1502" s="12" t="str">
        <x:f>IF(OR(M1502="unavailable",O1502="unavailable"),"不可评价",IF(AND(OR(M1502="positive",M1502="equivocal"),OR(O1502="positive",O1502="equivocal")),"a",IF(OR(O1502="positive",O1502="equivocal"),"b",IF(OR(M1502="positive",M1502="equivocal"),"c","d"))))</x:f>
        <x:v>d</x:v>
      </x:c>
      <x:c r="AB1502" s="12" t="str">
        <x:f>IF(OR(M1502="unavailable",O1502="unavailable"),"不可评价",IF(AND(M1502="positive",O1502="positive"),"a",IF(O1502="positive","b",IF(M1502="positive","c","d"))))</x:f>
        <x:v>d</x:v>
      </x:c>
      <x:c r="AC1502" s="12" t="str">
        <x:f>IF(OR(R1502="unavailable",T1502="unavailable"),"不可评价",IF(AND(OR(R1502="positive",R1502="equivocal"),OR(T1502="positive",T1502="equivocal")),"a",IF(OR(T1502="positive",T1502="equivocal"),"b",IF(OR(R1502="positive",R1502="equivocal"),"c","d"))))</x:f>
        <x:v>d</x:v>
      </x:c>
      <x:c r="AD1502" s="12" t="str">
        <x:f>IF(OR(R1502="unavailable",T1502="unavailable"),"不可评价",IF(AND(R1502="positive",T1502="positive"),"a",IF(T1502="positive","b",IF(R1502="positive","c","d"))))</x:f>
        <x:v>d</x:v>
      </x:c>
      <x:c r="AE1502" s="12" t="str">
        <x:f>IF(OR(W1502="unavailable",Y1502="unavailable"),"不可评价",IF(AND(OR(W1502="positive",W1502="equivocal"),OR(Y1502="positive",Y1502="equivocal")),"a",IF(OR(Y1502="positive",Y1502="equivocal"),"b",IF(OR(W1502="positive",W1502="equivocal"),"c","d"))))</x:f>
        <x:v>d</x:v>
      </x:c>
      <x:c r="AF1502" s="12" t="str">
        <x:f>IF(OR(W1502="unavailable",Y1502="unavailable"),"不可评价",IF(AND(W1502="positive",Y1502="positive"),"a",IF(Y1502="positive","b",IF(W1502="positive","c","d"))))</x:f>
        <x:v>d</x:v>
      </x:c>
    </x:row>
    <x:row r="1503" ht="24" customHeight="1">
      <x:c r="A1503" s="12" t="str">
        <x:v>13923</x:v>
      </x:c>
      <x:c r="B1503" s="12" t="str">
        <x:v>15242</x:v>
      </x:c>
      <x:c r="C1503" s="21" t="n">
        <x:v>34786.42453703703</x:v>
      </x:c>
      <x:c r="D1503" s="12" t="n">
        <x:v>44</x:v>
      </x:c>
      <x:c r="E1503" s="12" t="n">
        <x:v>0</x:v>
      </x:c>
      <x:c r="F1503" s="12" t="str">
        <x:v>存在</x:v>
      </x:c>
      <x:c r="G1503" s="12" t="n">
        <x:v>1</x:v>
      </x:c>
      <x:c r="H1503" s="12" t="str">
        <x:v>{'NORM': 100.0, 'SR': 0.0}</x:v>
      </x:c>
      <x:c r="I1503" s="12" t="str">
        <x:v>[('NSR', 100.0), ('NML', 100.0)]</x:v>
      </x:c>
      <x:c r="J1503" s="12" t="str">
        <x:v>ptbxl_database.csv；ecg_id=13923；scp_codes</x:v>
      </x:c>
      <x:c r="K1503" s="12" t="str">
        <x:v>12sl_statements.csv；ecg_id=13923；statements_ext_snomed</x:v>
      </x:c>
      <x:c r="L1503" s="12"/>
      <x:c r="M1503" s="12" t="str">
        <x:v>negative</x:v>
      </x:c>
      <x:c r="N1503" s="12"/>
      <x:c r="O1503" s="12" t="str">
        <x:v>negative</x:v>
      </x:c>
      <x:c r="P1503" s="12" t="str">
        <x:f>IF(OR(M1503="unavailable",O1503="unavailable"),"不可评价",IF(OR(M1503="equivocal",O1503="equivocal"),"疑似",IF(AND(M1503="positive",O1503="positive"),"a",IF(O1503="positive","b",IF(M1503="positive","c","d")))))</x:f>
        <x:v>d</x:v>
      </x:c>
      <x:c r="Q1503" s="12"/>
      <x:c r="R1503" s="12" t="str">
        <x:v>negative</x:v>
      </x:c>
      <x:c r="S1503" s="12"/>
      <x:c r="T1503" s="12" t="str">
        <x:v>negative</x:v>
      </x:c>
      <x:c r="U1503" s="12" t="str">
        <x:f>IF(OR(R1503="unavailable",T1503="unavailable"),"不可评价",IF(OR(R1503="equivocal",T1503="equivocal"),"疑似",IF(AND(R1503="positive",T1503="positive"),"a",IF(T1503="positive","b",IF(R1503="positive","c","d")))))</x:f>
        <x:v>d</x:v>
      </x:c>
      <x:c r="V1503" s="12"/>
      <x:c r="W1503" s="12" t="str">
        <x:v>negative</x:v>
      </x:c>
      <x:c r="X1503" s="12"/>
      <x:c r="Y1503" s="12" t="str">
        <x:v>negative</x:v>
      </x:c>
      <x:c r="Z1503" s="12" t="str">
        <x:f>IF(OR(W1503="unavailable",Y1503="unavailable"),"不可评价",IF(OR(W1503="equivocal",Y1503="equivocal"),"疑似",IF(AND(W1503="positive",Y1503="positive"),"a",IF(Y1503="positive","b",IF(W1503="positive","c","d")))))</x:f>
        <x:v>d</x:v>
      </x:c>
      <x:c r="AA1503" s="12" t="str">
        <x:f>IF(OR(M1503="unavailable",O1503="unavailable"),"不可评价",IF(AND(OR(M1503="positive",M1503="equivocal"),OR(O1503="positive",O1503="equivocal")),"a",IF(OR(O1503="positive",O1503="equivocal"),"b",IF(OR(M1503="positive",M1503="equivocal"),"c","d"))))</x:f>
        <x:v>d</x:v>
      </x:c>
      <x:c r="AB1503" s="12" t="str">
        <x:f>IF(OR(M1503="unavailable",O1503="unavailable"),"不可评价",IF(AND(M1503="positive",O1503="positive"),"a",IF(O1503="positive","b",IF(M1503="positive","c","d"))))</x:f>
        <x:v>d</x:v>
      </x:c>
      <x:c r="AC1503" s="12" t="str">
        <x:f>IF(OR(R1503="unavailable",T1503="unavailable"),"不可评价",IF(AND(OR(R1503="positive",R1503="equivocal"),OR(T1503="positive",T1503="equivocal")),"a",IF(OR(T1503="positive",T1503="equivocal"),"b",IF(OR(R1503="positive",R1503="equivocal"),"c","d"))))</x:f>
        <x:v>d</x:v>
      </x:c>
      <x:c r="AD1503" s="12" t="str">
        <x:f>IF(OR(R1503="unavailable",T1503="unavailable"),"不可评价",IF(AND(R1503="positive",T1503="positive"),"a",IF(T1503="positive","b",IF(R1503="positive","c","d"))))</x:f>
        <x:v>d</x:v>
      </x:c>
      <x:c r="AE1503" s="12" t="str">
        <x:f>IF(OR(W1503="unavailable",Y1503="unavailable"),"不可评价",IF(AND(OR(W1503="positive",W1503="equivocal"),OR(Y1503="positive",Y1503="equivocal")),"a",IF(OR(Y1503="positive",Y1503="equivocal"),"b",IF(OR(W1503="positive",W1503="equivocal"),"c","d"))))</x:f>
        <x:v>d</x:v>
      </x:c>
      <x:c r="AF1503" s="12" t="str">
        <x:f>IF(OR(W1503="unavailable",Y1503="unavailable"),"不可评价",IF(AND(W1503="positive",Y1503="positive"),"a",IF(Y1503="positive","b",IF(W1503="positive","c","d"))))</x:f>
        <x:v>d</x:v>
      </x:c>
    </x:row>
    <x:row r="1504" ht="24" customHeight="1">
      <x:c r="A1504" s="12" t="str">
        <x:v>13926</x:v>
      </x:c>
      <x:c r="B1504" s="12" t="str">
        <x:v>16014</x:v>
      </x:c>
      <x:c r="C1504" s="21" t="n">
        <x:v>34787.63652777778</x:v>
      </x:c>
      <x:c r="D1504" s="12" t="n">
        <x:v>56</x:v>
      </x:c>
      <x:c r="E1504" s="12" t="n">
        <x:v>0</x:v>
      </x:c>
      <x:c r="F1504" s="12" t="str">
        <x:v>未记录</x:v>
      </x:c>
      <x:c r="G1504" s="12" t="n">
        <x:v>1</x:v>
      </x:c>
      <x:c r="H1504" s="12" t="str">
        <x:v>{'IRBBB': 100.0, 'SR': 0.0}</x:v>
      </x:c>
      <x:c r="I1504" s="12" t="str">
        <x:v>[('NSR', 100.0), ('RBBB', 100.0), ('AB', 100.0)]</x:v>
      </x:c>
      <x:c r="J1504" s="12" t="str">
        <x:v>ptbxl_database.csv；ecg_id=13926；scp_codes</x:v>
      </x:c>
      <x:c r="K1504" s="12" t="str">
        <x:v>12sl_statements.csv；ecg_id=13926；statements_ext_snomed</x:v>
      </x:c>
      <x:c r="L1504" s="12"/>
      <x:c r="M1504" s="12" t="str">
        <x:v>negative</x:v>
      </x:c>
      <x:c r="N1504" s="12"/>
      <x:c r="O1504" s="12" t="str">
        <x:v>negative</x:v>
      </x:c>
      <x:c r="P1504" s="12" t="str">
        <x:f>IF(OR(M1504="unavailable",O1504="unavailable"),"不可评价",IF(OR(M1504="equivocal",O1504="equivocal"),"疑似",IF(AND(M1504="positive",O1504="positive"),"a",IF(O1504="positive","b",IF(M1504="positive","c","d")))))</x:f>
        <x:v>d</x:v>
      </x:c>
      <x:c r="Q1504" s="12"/>
      <x:c r="R1504" s="12" t="str">
        <x:v>negative</x:v>
      </x:c>
      <x:c r="S1504" s="12"/>
      <x:c r="T1504" s="12" t="str">
        <x:v>negative</x:v>
      </x:c>
      <x:c r="U1504" s="12" t="str">
        <x:f>IF(OR(R1504="unavailable",T1504="unavailable"),"不可评价",IF(OR(R1504="equivocal",T1504="equivocal"),"疑似",IF(AND(R1504="positive",T1504="positive"),"a",IF(T1504="positive","b",IF(R1504="positive","c","d")))))</x:f>
        <x:v>d</x:v>
      </x:c>
      <x:c r="V1504" s="12"/>
      <x:c r="W1504" s="12" t="str">
        <x:v>negative</x:v>
      </x:c>
      <x:c r="X1504" s="12" t="n">
        <x:v>100</x:v>
      </x:c>
      <x:c r="Y1504" s="12" t="str">
        <x:v>positive</x:v>
      </x:c>
      <x:c r="Z1504" s="12" t="str">
        <x:f>IF(OR(W1504="unavailable",Y1504="unavailable"),"不可评价",IF(OR(W1504="equivocal",Y1504="equivocal"),"疑似",IF(AND(W1504="positive",Y1504="positive"),"a",IF(Y1504="positive","b",IF(W1504="positive","c","d")))))</x:f>
        <x:v>b</x:v>
      </x:c>
      <x:c r="AA1504" s="12" t="str">
        <x:f>IF(OR(M1504="unavailable",O1504="unavailable"),"不可评价",IF(AND(OR(M1504="positive",M1504="equivocal"),OR(O1504="positive",O1504="equivocal")),"a",IF(OR(O1504="positive",O1504="equivocal"),"b",IF(OR(M1504="positive",M1504="equivocal"),"c","d"))))</x:f>
        <x:v>d</x:v>
      </x:c>
      <x:c r="AB1504" s="12" t="str">
        <x:f>IF(OR(M1504="unavailable",O1504="unavailable"),"不可评价",IF(AND(M1504="positive",O1504="positive"),"a",IF(O1504="positive","b",IF(M1504="positive","c","d"))))</x:f>
        <x:v>d</x:v>
      </x:c>
      <x:c r="AC1504" s="12" t="str">
        <x:f>IF(OR(R1504="unavailable",T1504="unavailable"),"不可评价",IF(AND(OR(R1504="positive",R1504="equivocal"),OR(T1504="positive",T1504="equivocal")),"a",IF(OR(T1504="positive",T1504="equivocal"),"b",IF(OR(R1504="positive",R1504="equivocal"),"c","d"))))</x:f>
        <x:v>d</x:v>
      </x:c>
      <x:c r="AD1504" s="12" t="str">
        <x:f>IF(OR(R1504="unavailable",T1504="unavailable"),"不可评价",IF(AND(R1504="positive",T1504="positive"),"a",IF(T1504="positive","b",IF(R1504="positive","c","d"))))</x:f>
        <x:v>d</x:v>
      </x:c>
      <x:c r="AE1504" s="12" t="str">
        <x:f>IF(OR(W1504="unavailable",Y1504="unavailable"),"不可评价",IF(AND(OR(W1504="positive",W1504="equivocal"),OR(Y1504="positive",Y1504="equivocal")),"a",IF(OR(Y1504="positive",Y1504="equivocal"),"b",IF(OR(W1504="positive",W1504="equivocal"),"c","d"))))</x:f>
        <x:v>b</x:v>
      </x:c>
      <x:c r="AF1504" s="12" t="str">
        <x:f>IF(OR(W1504="unavailable",Y1504="unavailable"),"不可评价",IF(AND(W1504="positive",Y1504="positive"),"a",IF(Y1504="positive","b",IF(W1504="positive","c","d"))))</x:f>
        <x:v>b</x:v>
      </x:c>
    </x:row>
    <x:row r="1505" ht="24" customHeight="1">
      <x:c r="A1505" s="12" t="str">
        <x:v>13946</x:v>
      </x:c>
      <x:c r="B1505" s="12" t="str">
        <x:v>1493</x:v>
      </x:c>
      <x:c r="C1505" s="21" t="n">
        <x:v>34797.494467592594</x:v>
      </x:c>
      <x:c r="D1505" s="12" t="n">
        <x:v>67</x:v>
      </x:c>
      <x:c r="E1505" s="12" t="n">
        <x:v>0</x:v>
      </x:c>
      <x:c r="F1505" s="12" t="str">
        <x:v>未记录</x:v>
      </x:c>
      <x:c r="G1505" s="12" t="n">
        <x:v>1</x:v>
      </x:c>
      <x:c r="H1505" s="12" t="str">
        <x:v>{'NDT': 100.0, 'LAO/LAE': 100.0, 'NT_': 0.0, 'SR': 0.0}</x:v>
      </x:c>
      <x:c r="I1505" s="12" t="str">
        <x:v>[('NSR', 100.0), ('NT', 100.0), ('AB', 100.0)]</x:v>
      </x:c>
      <x:c r="J1505" s="12" t="str">
        <x:v>ptbxl_database.csv；ecg_id=13946；scp_codes</x:v>
      </x:c>
      <x:c r="K1505" s="12" t="str">
        <x:v>12sl_statements.csv；ecg_id=13946；statements_ext_snomed</x:v>
      </x:c>
      <x:c r="L1505" s="12"/>
      <x:c r="M1505" s="12" t="str">
        <x:v>negative</x:v>
      </x:c>
      <x:c r="N1505" s="12"/>
      <x:c r="O1505" s="12" t="str">
        <x:v>negative</x:v>
      </x:c>
      <x:c r="P1505" s="12" t="str">
        <x:f>IF(OR(M1505="unavailable",O1505="unavailable"),"不可评价",IF(OR(M1505="equivocal",O1505="equivocal"),"疑似",IF(AND(M1505="positive",O1505="positive"),"a",IF(O1505="positive","b",IF(M1505="positive","c","d")))))</x:f>
        <x:v>d</x:v>
      </x:c>
      <x:c r="Q1505" s="12"/>
      <x:c r="R1505" s="12" t="str">
        <x:v>negative</x:v>
      </x:c>
      <x:c r="S1505" s="12"/>
      <x:c r="T1505" s="12" t="str">
        <x:v>negative</x:v>
      </x:c>
      <x:c r="U1505" s="12" t="str">
        <x:f>IF(OR(R1505="unavailable",T1505="unavailable"),"不可评价",IF(OR(R1505="equivocal",T1505="equivocal"),"疑似",IF(AND(R1505="positive",T1505="positive"),"a",IF(T1505="positive","b",IF(R1505="positive","c","d")))))</x:f>
        <x:v>d</x:v>
      </x:c>
      <x:c r="V1505" s="12"/>
      <x:c r="W1505" s="12" t="str">
        <x:v>negative</x:v>
      </x:c>
      <x:c r="X1505" s="12"/>
      <x:c r="Y1505" s="12" t="str">
        <x:v>negative</x:v>
      </x:c>
      <x:c r="Z1505" s="12" t="str">
        <x:f>IF(OR(W1505="unavailable",Y1505="unavailable"),"不可评价",IF(OR(W1505="equivocal",Y1505="equivocal"),"疑似",IF(AND(W1505="positive",Y1505="positive"),"a",IF(Y1505="positive","b",IF(W1505="positive","c","d")))))</x:f>
        <x:v>d</x:v>
      </x:c>
      <x:c r="AA1505" s="12" t="str">
        <x:f>IF(OR(M1505="unavailable",O1505="unavailable"),"不可评价",IF(AND(OR(M1505="positive",M1505="equivocal"),OR(O1505="positive",O1505="equivocal")),"a",IF(OR(O1505="positive",O1505="equivocal"),"b",IF(OR(M1505="positive",M1505="equivocal"),"c","d"))))</x:f>
        <x:v>d</x:v>
      </x:c>
      <x:c r="AB1505" s="12" t="str">
        <x:f>IF(OR(M1505="unavailable",O1505="unavailable"),"不可评价",IF(AND(M1505="positive",O1505="positive"),"a",IF(O1505="positive","b",IF(M1505="positive","c","d"))))</x:f>
        <x:v>d</x:v>
      </x:c>
      <x:c r="AC1505" s="12" t="str">
        <x:f>IF(OR(R1505="unavailable",T1505="unavailable"),"不可评价",IF(AND(OR(R1505="positive",R1505="equivocal"),OR(T1505="positive",T1505="equivocal")),"a",IF(OR(T1505="positive",T1505="equivocal"),"b",IF(OR(R1505="positive",R1505="equivocal"),"c","d"))))</x:f>
        <x:v>d</x:v>
      </x:c>
      <x:c r="AD1505" s="12" t="str">
        <x:f>IF(OR(R1505="unavailable",T1505="unavailable"),"不可评价",IF(AND(R1505="positive",T1505="positive"),"a",IF(T1505="positive","b",IF(R1505="positive","c","d"))))</x:f>
        <x:v>d</x:v>
      </x:c>
      <x:c r="AE1505" s="12" t="str">
        <x:f>IF(OR(W1505="unavailable",Y1505="unavailable"),"不可评价",IF(AND(OR(W1505="positive",W1505="equivocal"),OR(Y1505="positive",Y1505="equivocal")),"a",IF(OR(Y1505="positive",Y1505="equivocal"),"b",IF(OR(W1505="positive",W1505="equivocal"),"c","d"))))</x:f>
        <x:v>d</x:v>
      </x:c>
      <x:c r="AF1505" s="12" t="str">
        <x:f>IF(OR(W1505="unavailable",Y1505="unavailable"),"不可评价",IF(AND(W1505="positive",Y1505="positive"),"a",IF(Y1505="positive","b",IF(W1505="positive","c","d"))))</x:f>
        <x:v>d</x:v>
      </x:c>
    </x:row>
    <x:row r="1506" ht="24" customHeight="1">
      <x:c r="A1506" s="12" t="str">
        <x:v>13954</x:v>
      </x:c>
      <x:c r="B1506" s="12" t="str">
        <x:v>6088</x:v>
      </x:c>
      <x:c r="C1506" s="21" t="n">
        <x:v>34797.649976851855</x:v>
      </x:c>
      <x:c r="D1506" s="12" t="n">
        <x:v>85</x:v>
      </x:c>
      <x:c r="E1506" s="12" t="n">
        <x:v>1</x:v>
      </x:c>
      <x:c r="F1506" s="12" t="str">
        <x:v>未记录</x:v>
      </x:c>
      <x:c r="G1506" s="12" t="n">
        <x:v>1</x:v>
      </x:c>
      <x:c r="H1506" s="12" t="str">
        <x:v>{'LAFB': 100.0, 'ISCAL': 100.0, 'INVT': 0.0, 'STD_': 0.0, 'SR': 0.0}</x:v>
      </x:c>
      <x:c r="I1506" s="12" t="str">
        <x:v>[('NSR', 100.0), ('LAD3', 100.0), ('LVH2', 100.0), ('2ST', 100.0), ('AB', 100.0)]</x:v>
      </x:c>
      <x:c r="J1506" s="12" t="str">
        <x:v>ptbxl_database.csv；ecg_id=13954；scp_codes</x:v>
      </x:c>
      <x:c r="K1506" s="12" t="str">
        <x:v>12sl_statements.csv；ecg_id=13954；statements_ext_snomed</x:v>
      </x:c>
      <x:c r="L1506" s="12"/>
      <x:c r="M1506" s="12" t="str">
        <x:v>negative</x:v>
      </x:c>
      <x:c r="N1506" s="12"/>
      <x:c r="O1506" s="12" t="str">
        <x:v>negative</x:v>
      </x:c>
      <x:c r="P1506" s="12" t="str">
        <x:f>IF(OR(M1506="unavailable",O1506="unavailable"),"不可评价",IF(OR(M1506="equivocal",O1506="equivocal"),"疑似",IF(AND(M1506="positive",O1506="positive"),"a",IF(O1506="positive","b",IF(M1506="positive","c","d")))))</x:f>
        <x:v>d</x:v>
      </x:c>
      <x:c r="Q1506" s="12"/>
      <x:c r="R1506" s="12" t="str">
        <x:v>negative</x:v>
      </x:c>
      <x:c r="S1506" s="12"/>
      <x:c r="T1506" s="12" t="str">
        <x:v>negative</x:v>
      </x:c>
      <x:c r="U1506" s="12" t="str">
        <x:f>IF(OR(R1506="unavailable",T1506="unavailable"),"不可评价",IF(OR(R1506="equivocal",T1506="equivocal"),"疑似",IF(AND(R1506="positive",T1506="positive"),"a",IF(T1506="positive","b",IF(R1506="positive","c","d")))))</x:f>
        <x:v>d</x:v>
      </x:c>
      <x:c r="V1506" s="12"/>
      <x:c r="W1506" s="12" t="str">
        <x:v>negative</x:v>
      </x:c>
      <x:c r="X1506" s="12"/>
      <x:c r="Y1506" s="12" t="str">
        <x:v>negative</x:v>
      </x:c>
      <x:c r="Z1506" s="12" t="str">
        <x:f>IF(OR(W1506="unavailable",Y1506="unavailable"),"不可评价",IF(OR(W1506="equivocal",Y1506="equivocal"),"疑似",IF(AND(W1506="positive",Y1506="positive"),"a",IF(Y1506="positive","b",IF(W1506="positive","c","d")))))</x:f>
        <x:v>d</x:v>
      </x:c>
      <x:c r="AA1506" s="12" t="str">
        <x:f>IF(OR(M1506="unavailable",O1506="unavailable"),"不可评价",IF(AND(OR(M1506="positive",M1506="equivocal"),OR(O1506="positive",O1506="equivocal")),"a",IF(OR(O1506="positive",O1506="equivocal"),"b",IF(OR(M1506="positive",M1506="equivocal"),"c","d"))))</x:f>
        <x:v>d</x:v>
      </x:c>
      <x:c r="AB1506" s="12" t="str">
        <x:f>IF(OR(M1506="unavailable",O1506="unavailable"),"不可评价",IF(AND(M1506="positive",O1506="positive"),"a",IF(O1506="positive","b",IF(M1506="positive","c","d"))))</x:f>
        <x:v>d</x:v>
      </x:c>
      <x:c r="AC1506" s="12" t="str">
        <x:f>IF(OR(R1506="unavailable",T1506="unavailable"),"不可评价",IF(AND(OR(R1506="positive",R1506="equivocal"),OR(T1506="positive",T1506="equivocal")),"a",IF(OR(T1506="positive",T1506="equivocal"),"b",IF(OR(R1506="positive",R1506="equivocal"),"c","d"))))</x:f>
        <x:v>d</x:v>
      </x:c>
      <x:c r="AD1506" s="12" t="str">
        <x:f>IF(OR(R1506="unavailable",T1506="unavailable"),"不可评价",IF(AND(R1506="positive",T1506="positive"),"a",IF(T1506="positive","b",IF(R1506="positive","c","d"))))</x:f>
        <x:v>d</x:v>
      </x:c>
      <x:c r="AE1506" s="12" t="str">
        <x:f>IF(OR(W1506="unavailable",Y1506="unavailable"),"不可评价",IF(AND(OR(W1506="positive",W1506="equivocal"),OR(Y1506="positive",Y1506="equivocal")),"a",IF(OR(Y1506="positive",Y1506="equivocal"),"b",IF(OR(W1506="positive",W1506="equivocal"),"c","d"))))</x:f>
        <x:v>d</x:v>
      </x:c>
      <x:c r="AF1506" s="12" t="str">
        <x:f>IF(OR(W1506="unavailable",Y1506="unavailable"),"不可评价",IF(AND(W1506="positive",Y1506="positive"),"a",IF(Y1506="positive","b",IF(W1506="positive","c","d"))))</x:f>
        <x:v>d</x:v>
      </x:c>
    </x:row>
    <x:row r="1507" ht="24" customHeight="1">
      <x:c r="A1507" s="12" t="str">
        <x:v>13955</x:v>
      </x:c>
      <x:c r="B1507" s="12" t="str">
        <x:v>16014</x:v>
      </x:c>
      <x:c r="C1507" s="21" t="n">
        <x:v>34797.656018518515</x:v>
      </x:c>
      <x:c r="D1507" s="12" t="n">
        <x:v>56</x:v>
      </x:c>
      <x:c r="E1507" s="12" t="n">
        <x:v>0</x:v>
      </x:c>
      <x:c r="F1507" s="12" t="str">
        <x:v>未记录</x:v>
      </x:c>
      <x:c r="G1507" s="12" t="n">
        <x:v>0</x:v>
      </x:c>
      <x:c r="H1507" s="12" t="str">
        <x:v>{'IRBBB': 100.0, 'SBRAD': 0.0}</x:v>
      </x:c>
      <x:c r="I1507" s="12" t="str">
        <x:v>[('SBRAD', 100.0), ('RBBB', 100.0), ('AB', 100.0)]</x:v>
      </x:c>
      <x:c r="J1507" s="12" t="str">
        <x:v>ptbxl_database.csv；ecg_id=13955；scp_codes</x:v>
      </x:c>
      <x:c r="K1507" s="12" t="str">
        <x:v>12sl_statements.csv；ecg_id=13955；statements_ext_snomed</x:v>
      </x:c>
      <x:c r="L1507" s="12"/>
      <x:c r="M1507" s="12" t="str">
        <x:v>negative</x:v>
      </x:c>
      <x:c r="N1507" s="12"/>
      <x:c r="O1507" s="12" t="str">
        <x:v>negative</x:v>
      </x:c>
      <x:c r="P1507" s="12" t="str">
        <x:f>IF(OR(M1507="unavailable",O1507="unavailable"),"不可评价",IF(OR(M1507="equivocal",O1507="equivocal"),"疑似",IF(AND(M1507="positive",O1507="positive"),"a",IF(O1507="positive","b",IF(M1507="positive","c","d")))))</x:f>
        <x:v>d</x:v>
      </x:c>
      <x:c r="Q1507" s="12"/>
      <x:c r="R1507" s="12" t="str">
        <x:v>negative</x:v>
      </x:c>
      <x:c r="S1507" s="12"/>
      <x:c r="T1507" s="12" t="str">
        <x:v>negative</x:v>
      </x:c>
      <x:c r="U1507" s="12" t="str">
        <x:f>IF(OR(R1507="unavailable",T1507="unavailable"),"不可评价",IF(OR(R1507="equivocal",T1507="equivocal"),"疑似",IF(AND(R1507="positive",T1507="positive"),"a",IF(T1507="positive","b",IF(R1507="positive","c","d")))))</x:f>
        <x:v>d</x:v>
      </x:c>
      <x:c r="V1507" s="12"/>
      <x:c r="W1507" s="12" t="str">
        <x:v>negative</x:v>
      </x:c>
      <x:c r="X1507" s="12" t="n">
        <x:v>100</x:v>
      </x:c>
      <x:c r="Y1507" s="12" t="str">
        <x:v>positive</x:v>
      </x:c>
      <x:c r="Z1507" s="12" t="str">
        <x:f>IF(OR(W1507="unavailable",Y1507="unavailable"),"不可评价",IF(OR(W1507="equivocal",Y1507="equivocal"),"疑似",IF(AND(W1507="positive",Y1507="positive"),"a",IF(Y1507="positive","b",IF(W1507="positive","c","d")))))</x:f>
        <x:v>b</x:v>
      </x:c>
      <x:c r="AA1507" s="12" t="str">
        <x:f>IF(OR(M1507="unavailable",O1507="unavailable"),"不可评价",IF(AND(OR(M1507="positive",M1507="equivocal"),OR(O1507="positive",O1507="equivocal")),"a",IF(OR(O1507="positive",O1507="equivocal"),"b",IF(OR(M1507="positive",M1507="equivocal"),"c","d"))))</x:f>
        <x:v>d</x:v>
      </x:c>
      <x:c r="AB1507" s="12" t="str">
        <x:f>IF(OR(M1507="unavailable",O1507="unavailable"),"不可评价",IF(AND(M1507="positive",O1507="positive"),"a",IF(O1507="positive","b",IF(M1507="positive","c","d"))))</x:f>
        <x:v>d</x:v>
      </x:c>
      <x:c r="AC1507" s="12" t="str">
        <x:f>IF(OR(R1507="unavailable",T1507="unavailable"),"不可评价",IF(AND(OR(R1507="positive",R1507="equivocal"),OR(T1507="positive",T1507="equivocal")),"a",IF(OR(T1507="positive",T1507="equivocal"),"b",IF(OR(R1507="positive",R1507="equivocal"),"c","d"))))</x:f>
        <x:v>d</x:v>
      </x:c>
      <x:c r="AD1507" s="12" t="str">
        <x:f>IF(OR(R1507="unavailable",T1507="unavailable"),"不可评价",IF(AND(R1507="positive",T1507="positive"),"a",IF(T1507="positive","b",IF(R1507="positive","c","d"))))</x:f>
        <x:v>d</x:v>
      </x:c>
      <x:c r="AE1507" s="12" t="str">
        <x:f>IF(OR(W1507="unavailable",Y1507="unavailable"),"不可评价",IF(AND(OR(W1507="positive",W1507="equivocal"),OR(Y1507="positive",Y1507="equivocal")),"a",IF(OR(Y1507="positive",Y1507="equivocal"),"b",IF(OR(W1507="positive",W1507="equivocal"),"c","d"))))</x:f>
        <x:v>b</x:v>
      </x:c>
      <x:c r="AF1507" s="12" t="str">
        <x:f>IF(OR(W1507="unavailable",Y1507="unavailable"),"不可评价",IF(AND(W1507="positive",Y1507="positive"),"a",IF(Y1507="positive","b",IF(W1507="positive","c","d"))))</x:f>
        <x:v>b</x:v>
      </x:c>
    </x:row>
    <x:row r="1508" ht="24" customHeight="1">
      <x:c r="A1508" s="12" t="str">
        <x:v>13959</x:v>
      </x:c>
      <x:c r="B1508" s="12" t="str">
        <x:v>10523</x:v>
      </x:c>
      <x:c r="C1508" s="21" t="n">
        <x:v>34798.311215277776</x:v>
      </x:c>
      <x:c r="D1508" s="12" t="n">
        <x:v>24</x:v>
      </x:c>
      <x:c r="E1508" s="12" t="n">
        <x:v>0</x:v>
      </x:c>
      <x:c r="F1508" s="12" t="str">
        <x:v>未记录</x:v>
      </x:c>
      <x:c r="G1508" s="12" t="n">
        <x:v>1</x:v>
      </x:c>
      <x:c r="H1508" s="12" t="str">
        <x:v>{'NORM': 100.0, 'SR': 0.0}</x:v>
      </x:c>
      <x:c r="I1508" s="12" t="str">
        <x:v>[('NSR', 100.0), ('NML', 100.0)]</x:v>
      </x:c>
      <x:c r="J1508" s="12" t="str">
        <x:v>ptbxl_database.csv；ecg_id=13959；scp_codes</x:v>
      </x:c>
      <x:c r="K1508" s="12" t="str">
        <x:v>12sl_statements.csv；ecg_id=13959；statements_ext_snomed</x:v>
      </x:c>
      <x:c r="L1508" s="12"/>
      <x:c r="M1508" s="12" t="str">
        <x:v>negative</x:v>
      </x:c>
      <x:c r="N1508" s="12"/>
      <x:c r="O1508" s="12" t="str">
        <x:v>negative</x:v>
      </x:c>
      <x:c r="P1508" s="12" t="str">
        <x:f>IF(OR(M1508="unavailable",O1508="unavailable"),"不可评价",IF(OR(M1508="equivocal",O1508="equivocal"),"疑似",IF(AND(M1508="positive",O1508="positive"),"a",IF(O1508="positive","b",IF(M1508="positive","c","d")))))</x:f>
        <x:v>d</x:v>
      </x:c>
      <x:c r="Q1508" s="12"/>
      <x:c r="R1508" s="12" t="str">
        <x:v>negative</x:v>
      </x:c>
      <x:c r="S1508" s="12"/>
      <x:c r="T1508" s="12" t="str">
        <x:v>negative</x:v>
      </x:c>
      <x:c r="U1508" s="12" t="str">
        <x:f>IF(OR(R1508="unavailable",T1508="unavailable"),"不可评价",IF(OR(R1508="equivocal",T1508="equivocal"),"疑似",IF(AND(R1508="positive",T1508="positive"),"a",IF(T1508="positive","b",IF(R1508="positive","c","d")))))</x:f>
        <x:v>d</x:v>
      </x:c>
      <x:c r="V1508" s="12"/>
      <x:c r="W1508" s="12" t="str">
        <x:v>negative</x:v>
      </x:c>
      <x:c r="X1508" s="12"/>
      <x:c r="Y1508" s="12" t="str">
        <x:v>negative</x:v>
      </x:c>
      <x:c r="Z1508" s="12" t="str">
        <x:f>IF(OR(W1508="unavailable",Y1508="unavailable"),"不可评价",IF(OR(W1508="equivocal",Y1508="equivocal"),"疑似",IF(AND(W1508="positive",Y1508="positive"),"a",IF(Y1508="positive","b",IF(W1508="positive","c","d")))))</x:f>
        <x:v>d</x:v>
      </x:c>
      <x:c r="AA1508" s="12" t="str">
        <x:f>IF(OR(M1508="unavailable",O1508="unavailable"),"不可评价",IF(AND(OR(M1508="positive",M1508="equivocal"),OR(O1508="positive",O1508="equivocal")),"a",IF(OR(O1508="positive",O1508="equivocal"),"b",IF(OR(M1508="positive",M1508="equivocal"),"c","d"))))</x:f>
        <x:v>d</x:v>
      </x:c>
      <x:c r="AB1508" s="12" t="str">
        <x:f>IF(OR(M1508="unavailable",O1508="unavailable"),"不可评价",IF(AND(M1508="positive",O1508="positive"),"a",IF(O1508="positive","b",IF(M1508="positive","c","d"))))</x:f>
        <x:v>d</x:v>
      </x:c>
      <x:c r="AC1508" s="12" t="str">
        <x:f>IF(OR(R1508="unavailable",T1508="unavailable"),"不可评价",IF(AND(OR(R1508="positive",R1508="equivocal"),OR(T1508="positive",T1508="equivocal")),"a",IF(OR(T1508="positive",T1508="equivocal"),"b",IF(OR(R1508="positive",R1508="equivocal"),"c","d"))))</x:f>
        <x:v>d</x:v>
      </x:c>
      <x:c r="AD1508" s="12" t="str">
        <x:f>IF(OR(R1508="unavailable",T1508="unavailable"),"不可评价",IF(AND(R1508="positive",T1508="positive"),"a",IF(T1508="positive","b",IF(R1508="positive","c","d"))))</x:f>
        <x:v>d</x:v>
      </x:c>
      <x:c r="AE1508" s="12" t="str">
        <x:f>IF(OR(W1508="unavailable",Y1508="unavailable"),"不可评价",IF(AND(OR(W1508="positive",W1508="equivocal"),OR(Y1508="positive",Y1508="equivocal")),"a",IF(OR(Y1508="positive",Y1508="equivocal"),"b",IF(OR(W1508="positive",W1508="equivocal"),"c","d"))))</x:f>
        <x:v>d</x:v>
      </x:c>
      <x:c r="AF1508" s="12" t="str">
        <x:f>IF(OR(W1508="unavailable",Y1508="unavailable"),"不可评价",IF(AND(W1508="positive",Y1508="positive"),"a",IF(Y1508="positive","b",IF(W1508="positive","c","d"))))</x:f>
        <x:v>d</x:v>
      </x:c>
    </x:row>
    <x:row r="1509" ht="24" customHeight="1">
      <x:c r="A1509" s="12" t="str">
        <x:v>13971</x:v>
      </x:c>
      <x:c r="B1509" s="12" t="str">
        <x:v>3022</x:v>
      </x:c>
      <x:c r="C1509" s="21" t="n">
        <x:v>34799.46712962963</x:v>
      </x:c>
      <x:c r="D1509" s="12" t="n">
        <x:v>78</x:v>
      </x:c>
      <x:c r="E1509" s="12" t="n">
        <x:v>1</x:v>
      </x:c>
      <x:c r="F1509" s="12" t="str">
        <x:v>未记录</x:v>
      </x:c>
      <x:c r="G1509" s="12" t="n">
        <x:v>1</x:v>
      </x:c>
      <x:c r="H1509" s="12" t="str">
        <x:v>{'NORM': 100.0, 'SR': 0.0}</x:v>
      </x:c>
      <x:c r="I1509" s="12" t="str">
        <x:v>[('NSR', 100.0), ('NML', 100.0)]</x:v>
      </x:c>
      <x:c r="J1509" s="12" t="str">
        <x:v>ptbxl_database.csv；ecg_id=13971；scp_codes</x:v>
      </x:c>
      <x:c r="K1509" s="12" t="str">
        <x:v>12sl_statements.csv；ecg_id=13971；statements_ext_snomed</x:v>
      </x:c>
      <x:c r="L1509" s="12"/>
      <x:c r="M1509" s="12" t="str">
        <x:v>negative</x:v>
      </x:c>
      <x:c r="N1509" s="12"/>
      <x:c r="O1509" s="12" t="str">
        <x:v>negative</x:v>
      </x:c>
      <x:c r="P1509" s="12" t="str">
        <x:f>IF(OR(M1509="unavailable",O1509="unavailable"),"不可评价",IF(OR(M1509="equivocal",O1509="equivocal"),"疑似",IF(AND(M1509="positive",O1509="positive"),"a",IF(O1509="positive","b",IF(M1509="positive","c","d")))))</x:f>
        <x:v>d</x:v>
      </x:c>
      <x:c r="Q1509" s="12"/>
      <x:c r="R1509" s="12" t="str">
        <x:v>negative</x:v>
      </x:c>
      <x:c r="S1509" s="12"/>
      <x:c r="T1509" s="12" t="str">
        <x:v>negative</x:v>
      </x:c>
      <x:c r="U1509" s="12" t="str">
        <x:f>IF(OR(R1509="unavailable",T1509="unavailable"),"不可评价",IF(OR(R1509="equivocal",T1509="equivocal"),"疑似",IF(AND(R1509="positive",T1509="positive"),"a",IF(T1509="positive","b",IF(R1509="positive","c","d")))))</x:f>
        <x:v>d</x:v>
      </x:c>
      <x:c r="V1509" s="12"/>
      <x:c r="W1509" s="12" t="str">
        <x:v>negative</x:v>
      </x:c>
      <x:c r="X1509" s="12"/>
      <x:c r="Y1509" s="12" t="str">
        <x:v>negative</x:v>
      </x:c>
      <x:c r="Z1509" s="12" t="str">
        <x:f>IF(OR(W1509="unavailable",Y1509="unavailable"),"不可评价",IF(OR(W1509="equivocal",Y1509="equivocal"),"疑似",IF(AND(W1509="positive",Y1509="positive"),"a",IF(Y1509="positive","b",IF(W1509="positive","c","d")))))</x:f>
        <x:v>d</x:v>
      </x:c>
      <x:c r="AA1509" s="12" t="str">
        <x:f>IF(OR(M1509="unavailable",O1509="unavailable"),"不可评价",IF(AND(OR(M1509="positive",M1509="equivocal"),OR(O1509="positive",O1509="equivocal")),"a",IF(OR(O1509="positive",O1509="equivocal"),"b",IF(OR(M1509="positive",M1509="equivocal"),"c","d"))))</x:f>
        <x:v>d</x:v>
      </x:c>
      <x:c r="AB1509" s="12" t="str">
        <x:f>IF(OR(M1509="unavailable",O1509="unavailable"),"不可评价",IF(AND(M1509="positive",O1509="positive"),"a",IF(O1509="positive","b",IF(M1509="positive","c","d"))))</x:f>
        <x:v>d</x:v>
      </x:c>
      <x:c r="AC1509" s="12" t="str">
        <x:f>IF(OR(R1509="unavailable",T1509="unavailable"),"不可评价",IF(AND(OR(R1509="positive",R1509="equivocal"),OR(T1509="positive",T1509="equivocal")),"a",IF(OR(T1509="positive",T1509="equivocal"),"b",IF(OR(R1509="positive",R1509="equivocal"),"c","d"))))</x:f>
        <x:v>d</x:v>
      </x:c>
      <x:c r="AD1509" s="12" t="str">
        <x:f>IF(OR(R1509="unavailable",T1509="unavailable"),"不可评价",IF(AND(R1509="positive",T1509="positive"),"a",IF(T1509="positive","b",IF(R1509="positive","c","d"))))</x:f>
        <x:v>d</x:v>
      </x:c>
      <x:c r="AE1509" s="12" t="str">
        <x:f>IF(OR(W1509="unavailable",Y1509="unavailable"),"不可评价",IF(AND(OR(W1509="positive",W1509="equivocal"),OR(Y1509="positive",Y1509="equivocal")),"a",IF(OR(Y1509="positive",Y1509="equivocal"),"b",IF(OR(W1509="positive",W1509="equivocal"),"c","d"))))</x:f>
        <x:v>d</x:v>
      </x:c>
      <x:c r="AF1509" s="12" t="str">
        <x:f>IF(OR(W1509="unavailable",Y1509="unavailable"),"不可评价",IF(AND(W1509="positive",Y1509="positive"),"a",IF(Y1509="positive","b",IF(W1509="positive","c","d"))))</x:f>
        <x:v>d</x:v>
      </x:c>
    </x:row>
    <x:row r="1510" ht="24" customHeight="1">
      <x:c r="A1510" s="12" t="str">
        <x:v>13993</x:v>
      </x:c>
      <x:c r="B1510" s="12" t="str">
        <x:v>701</x:v>
      </x:c>
      <x:c r="C1510" s="21" t="n">
        <x:v>34803.420578703706</x:v>
      </x:c>
      <x:c r="D1510" s="12" t="n">
        <x:v>46</x:v>
      </x:c>
      <x:c r="E1510" s="12" t="n">
        <x:v>1</x:v>
      </x:c>
      <x:c r="F1510" s="12" t="str">
        <x:v>未记录</x:v>
      </x:c>
      <x:c r="G1510" s="12" t="n">
        <x:v>1</x:v>
      </x:c>
      <x:c r="H1510" s="12" t="str">
        <x:v>{'NORM': 100.0, 'SR': 0.0}</x:v>
      </x:c>
      <x:c r="I1510" s="12" t="str">
        <x:v>[('NSR', 100.0), ('NML', 100.0)]</x:v>
      </x:c>
      <x:c r="J1510" s="12" t="str">
        <x:v>ptbxl_database.csv；ecg_id=13993；scp_codes</x:v>
      </x:c>
      <x:c r="K1510" s="12" t="str">
        <x:v>12sl_statements.csv；ecg_id=13993；statements_ext_snomed</x:v>
      </x:c>
      <x:c r="L1510" s="12"/>
      <x:c r="M1510" s="12" t="str">
        <x:v>negative</x:v>
      </x:c>
      <x:c r="N1510" s="12"/>
      <x:c r="O1510" s="12" t="str">
        <x:v>negative</x:v>
      </x:c>
      <x:c r="P1510" s="12" t="str">
        <x:f>IF(OR(M1510="unavailable",O1510="unavailable"),"不可评价",IF(OR(M1510="equivocal",O1510="equivocal"),"疑似",IF(AND(M1510="positive",O1510="positive"),"a",IF(O1510="positive","b",IF(M1510="positive","c","d")))))</x:f>
        <x:v>d</x:v>
      </x:c>
      <x:c r="Q1510" s="12"/>
      <x:c r="R1510" s="12" t="str">
        <x:v>negative</x:v>
      </x:c>
      <x:c r="S1510" s="12"/>
      <x:c r="T1510" s="12" t="str">
        <x:v>negative</x:v>
      </x:c>
      <x:c r="U1510" s="12" t="str">
        <x:f>IF(OR(R1510="unavailable",T1510="unavailable"),"不可评价",IF(OR(R1510="equivocal",T1510="equivocal"),"疑似",IF(AND(R1510="positive",T1510="positive"),"a",IF(T1510="positive","b",IF(R1510="positive","c","d")))))</x:f>
        <x:v>d</x:v>
      </x:c>
      <x:c r="V1510" s="12"/>
      <x:c r="W1510" s="12" t="str">
        <x:v>negative</x:v>
      </x:c>
      <x:c r="X1510" s="12"/>
      <x:c r="Y1510" s="12" t="str">
        <x:v>negative</x:v>
      </x:c>
      <x:c r="Z1510" s="12" t="str">
        <x:f>IF(OR(W1510="unavailable",Y1510="unavailable"),"不可评价",IF(OR(W1510="equivocal",Y1510="equivocal"),"疑似",IF(AND(W1510="positive",Y1510="positive"),"a",IF(Y1510="positive","b",IF(W1510="positive","c","d")))))</x:f>
        <x:v>d</x:v>
      </x:c>
      <x:c r="AA1510" s="12" t="str">
        <x:f>IF(OR(M1510="unavailable",O1510="unavailable"),"不可评价",IF(AND(OR(M1510="positive",M1510="equivocal"),OR(O1510="positive",O1510="equivocal")),"a",IF(OR(O1510="positive",O1510="equivocal"),"b",IF(OR(M1510="positive",M1510="equivocal"),"c","d"))))</x:f>
        <x:v>d</x:v>
      </x:c>
      <x:c r="AB1510" s="12" t="str">
        <x:f>IF(OR(M1510="unavailable",O1510="unavailable"),"不可评价",IF(AND(M1510="positive",O1510="positive"),"a",IF(O1510="positive","b",IF(M1510="positive","c","d"))))</x:f>
        <x:v>d</x:v>
      </x:c>
      <x:c r="AC1510" s="12" t="str">
        <x:f>IF(OR(R1510="unavailable",T1510="unavailable"),"不可评价",IF(AND(OR(R1510="positive",R1510="equivocal"),OR(T1510="positive",T1510="equivocal")),"a",IF(OR(T1510="positive",T1510="equivocal"),"b",IF(OR(R1510="positive",R1510="equivocal"),"c","d"))))</x:f>
        <x:v>d</x:v>
      </x:c>
      <x:c r="AD1510" s="12" t="str">
        <x:f>IF(OR(R1510="unavailable",T1510="unavailable"),"不可评价",IF(AND(R1510="positive",T1510="positive"),"a",IF(T1510="positive","b",IF(R1510="positive","c","d"))))</x:f>
        <x:v>d</x:v>
      </x:c>
      <x:c r="AE1510" s="12" t="str">
        <x:f>IF(OR(W1510="unavailable",Y1510="unavailable"),"不可评价",IF(AND(OR(W1510="positive",W1510="equivocal"),OR(Y1510="positive",Y1510="equivocal")),"a",IF(OR(Y1510="positive",Y1510="equivocal"),"b",IF(OR(W1510="positive",W1510="equivocal"),"c","d"))))</x:f>
        <x:v>d</x:v>
      </x:c>
      <x:c r="AF1510" s="12" t="str">
        <x:f>IF(OR(W1510="unavailable",Y1510="unavailable"),"不可评价",IF(AND(W1510="positive",Y1510="positive"),"a",IF(Y1510="positive","b",IF(W1510="positive","c","d"))))</x:f>
        <x:v>d</x:v>
      </x:c>
    </x:row>
    <x:row r="1511" ht="39" customHeight="1">
      <x:c r="A1511" s="12" t="str">
        <x:v>14004</x:v>
      </x:c>
      <x:c r="B1511" s="12" t="str">
        <x:v>3798</x:v>
      </x:c>
      <x:c r="C1511" s="21" t="n">
        <x:v>34804.581782407404</x:v>
      </x:c>
      <x:c r="D1511" s="12" t="n">
        <x:v>85</x:v>
      </x:c>
      <x:c r="E1511" s="12" t="n">
        <x:v>1</x:v>
      </x:c>
      <x:c r="F1511" s="12" t="str">
        <x:v>未记录</x:v>
      </x:c>
      <x:c r="G1511" s="12" t="n">
        <x:v>1</x:v>
      </x:c>
      <x:c r="H1511" s="12" t="str">
        <x:v>{'ASMI': 100.0, 'LAFB': 100.0, 'LVH': 100.0, 'ISC_': 100.0, 'INVT': 0.0, 'STD_': 0.0, 'AFIB': 0.0}</x:v>
      </x:c>
      <x:c r="I1511" s="12" t="str">
        <x:v>[('AFIB', 100.0), ('CJP', 100.0), ('LAD3', 100.0), ('LVH2', 100.0), ('2ST', 100.0), ('SMI;AU', 15.0), ('AB', 100.0)]</x:v>
      </x:c>
      <x:c r="J1511" s="12" t="str">
        <x:v>ptbxl_database.csv；ecg_id=14004；scp_codes</x:v>
      </x:c>
      <x:c r="K1511" s="12" t="str">
        <x:v>12sl_statements.csv；ecg_id=14004；statements_ext_snomed</x:v>
      </x:c>
      <x:c r="L1511" s="12" t="n">
        <x:v>0</x:v>
      </x:c>
      <x:c r="M1511" s="12" t="str">
        <x:v>positive</x:v>
      </x:c>
      <x:c r="N1511" s="12" t="n">
        <x:v>100</x:v>
      </x:c>
      <x:c r="O1511" s="12" t="str">
        <x:v>positive</x:v>
      </x:c>
      <x:c r="P1511" s="12" t="str">
        <x:f>IF(OR(M1511="unavailable",O1511="unavailable"),"不可评价",IF(OR(M1511="equivocal",O1511="equivocal"),"疑似",IF(AND(M1511="positive",O1511="positive"),"a",IF(O1511="positive","b",IF(M1511="positive","c","d")))))</x:f>
        <x:v>a</x:v>
      </x:c>
      <x:c r="Q1511" s="12"/>
      <x:c r="R1511" s="12" t="str">
        <x:v>negative</x:v>
      </x:c>
      <x:c r="S1511" s="12"/>
      <x:c r="T1511" s="12" t="str">
        <x:v>negative</x:v>
      </x:c>
      <x:c r="U1511" s="12" t="str">
        <x:f>IF(OR(R1511="unavailable",T1511="unavailable"),"不可评价",IF(OR(R1511="equivocal",T1511="equivocal"),"疑似",IF(AND(R1511="positive",T1511="positive"),"a",IF(T1511="positive","b",IF(R1511="positive","c","d")))))</x:f>
        <x:v>d</x:v>
      </x:c>
      <x:c r="V1511" s="12"/>
      <x:c r="W1511" s="12" t="str">
        <x:v>negative</x:v>
      </x:c>
      <x:c r="X1511" s="12"/>
      <x:c r="Y1511" s="12" t="str">
        <x:v>negative</x:v>
      </x:c>
      <x:c r="Z1511" s="12" t="str">
        <x:f>IF(OR(W1511="unavailable",Y1511="unavailable"),"不可评价",IF(OR(W1511="equivocal",Y1511="equivocal"),"疑似",IF(AND(W1511="positive",Y1511="positive"),"a",IF(Y1511="positive","b",IF(W1511="positive","c","d")))))</x:f>
        <x:v>d</x:v>
      </x:c>
      <x:c r="AA1511" s="12" t="str">
        <x:f>IF(OR(M1511="unavailable",O1511="unavailable"),"不可评价",IF(AND(OR(M1511="positive",M1511="equivocal"),OR(O1511="positive",O1511="equivocal")),"a",IF(OR(O1511="positive",O1511="equivocal"),"b",IF(OR(M1511="positive",M1511="equivocal"),"c","d"))))</x:f>
        <x:v>a</x:v>
      </x:c>
      <x:c r="AB1511" s="12" t="str">
        <x:f>IF(OR(M1511="unavailable",O1511="unavailable"),"不可评价",IF(AND(M1511="positive",O1511="positive"),"a",IF(O1511="positive","b",IF(M1511="positive","c","d"))))</x:f>
        <x:v>a</x:v>
      </x:c>
      <x:c r="AC1511" s="12" t="str">
        <x:f>IF(OR(R1511="unavailable",T1511="unavailable"),"不可评价",IF(AND(OR(R1511="positive",R1511="equivocal"),OR(T1511="positive",T1511="equivocal")),"a",IF(OR(T1511="positive",T1511="equivocal"),"b",IF(OR(R1511="positive",R1511="equivocal"),"c","d"))))</x:f>
        <x:v>d</x:v>
      </x:c>
      <x:c r="AD1511" s="12" t="str">
        <x:f>IF(OR(R1511="unavailable",T1511="unavailable"),"不可评价",IF(AND(R1511="positive",T1511="positive"),"a",IF(T1511="positive","b",IF(R1511="positive","c","d"))))</x:f>
        <x:v>d</x:v>
      </x:c>
      <x:c r="AE1511" s="12" t="str">
        <x:f>IF(OR(W1511="unavailable",Y1511="unavailable"),"不可评价",IF(AND(OR(W1511="positive",W1511="equivocal"),OR(Y1511="positive",Y1511="equivocal")),"a",IF(OR(Y1511="positive",Y1511="equivocal"),"b",IF(OR(W1511="positive",W1511="equivocal"),"c","d"))))</x:f>
        <x:v>d</x:v>
      </x:c>
      <x:c r="AF1511" s="12" t="str">
        <x:f>IF(OR(W1511="unavailable",Y1511="unavailable"),"不可评价",IF(AND(W1511="positive",Y1511="positive"),"a",IF(Y1511="positive","b",IF(W1511="positive","c","d"))))</x:f>
        <x:v>d</x:v>
      </x:c>
    </x:row>
    <x:row r="1512" ht="24" customHeight="1">
      <x:c r="A1512" s="12" t="str">
        <x:v>14005</x:v>
      </x:c>
      <x:c r="B1512" s="12" t="str">
        <x:v>1306</x:v>
      </x:c>
      <x:c r="C1512" s="21" t="n">
        <x:v>34804.6355787037</x:v>
      </x:c>
      <x:c r="D1512" s="12" t="n">
        <x:v>83</x:v>
      </x:c>
      <x:c r="E1512" s="12" t="n">
        <x:v>1</x:v>
      </x:c>
      <x:c r="F1512" s="12" t="str">
        <x:v>未记录</x:v>
      </x:c>
      <x:c r="G1512" s="12" t="n">
        <x:v>1</x:v>
      </x:c>
      <x:c r="H1512" s="12" t="str">
        <x:v>{'INJAL': 100.0, 'LAFB': 100.0, 'INVT': 0.0, 'SR': 0.0}</x:v>
      </x:c>
      <x:c r="I1512" s="12" t="str">
        <x:v>[('NSR', 100.0), ('LAD3', 100.0), ('MALT', 100.0), ('LNGQT', 100.0), ('AB', 100.0)]</x:v>
      </x:c>
      <x:c r="J1512" s="12" t="str">
        <x:v>ptbxl_database.csv；ecg_id=14005；scp_codes</x:v>
      </x:c>
      <x:c r="K1512" s="12" t="str">
        <x:v>12sl_statements.csv；ecg_id=14005；statements_ext_snomed</x:v>
      </x:c>
      <x:c r="L1512" s="12"/>
      <x:c r="M1512" s="12" t="str">
        <x:v>negative</x:v>
      </x:c>
      <x:c r="N1512" s="12"/>
      <x:c r="O1512" s="12" t="str">
        <x:v>negative</x:v>
      </x:c>
      <x:c r="P1512" s="12" t="str">
        <x:f>IF(OR(M1512="unavailable",O1512="unavailable"),"不可评价",IF(OR(M1512="equivocal",O1512="equivocal"),"疑似",IF(AND(M1512="positive",O1512="positive"),"a",IF(O1512="positive","b",IF(M1512="positive","c","d")))))</x:f>
        <x:v>d</x:v>
      </x:c>
      <x:c r="Q1512" s="12"/>
      <x:c r="R1512" s="12" t="str">
        <x:v>negative</x:v>
      </x:c>
      <x:c r="S1512" s="12"/>
      <x:c r="T1512" s="12" t="str">
        <x:v>negative</x:v>
      </x:c>
      <x:c r="U1512" s="12" t="str">
        <x:f>IF(OR(R1512="unavailable",T1512="unavailable"),"不可评价",IF(OR(R1512="equivocal",T1512="equivocal"),"疑似",IF(AND(R1512="positive",T1512="positive"),"a",IF(T1512="positive","b",IF(R1512="positive","c","d")))))</x:f>
        <x:v>d</x:v>
      </x:c>
      <x:c r="V1512" s="12"/>
      <x:c r="W1512" s="12" t="str">
        <x:v>negative</x:v>
      </x:c>
      <x:c r="X1512" s="12"/>
      <x:c r="Y1512" s="12" t="str">
        <x:v>negative</x:v>
      </x:c>
      <x:c r="Z1512" s="12" t="str">
        <x:f>IF(OR(W1512="unavailable",Y1512="unavailable"),"不可评价",IF(OR(W1512="equivocal",Y1512="equivocal"),"疑似",IF(AND(W1512="positive",Y1512="positive"),"a",IF(Y1512="positive","b",IF(W1512="positive","c","d")))))</x:f>
        <x:v>d</x:v>
      </x:c>
      <x:c r="AA1512" s="12" t="str">
        <x:f>IF(OR(M1512="unavailable",O1512="unavailable"),"不可评价",IF(AND(OR(M1512="positive",M1512="equivocal"),OR(O1512="positive",O1512="equivocal")),"a",IF(OR(O1512="positive",O1512="equivocal"),"b",IF(OR(M1512="positive",M1512="equivocal"),"c","d"))))</x:f>
        <x:v>d</x:v>
      </x:c>
      <x:c r="AB1512" s="12" t="str">
        <x:f>IF(OR(M1512="unavailable",O1512="unavailable"),"不可评价",IF(AND(M1512="positive",O1512="positive"),"a",IF(O1512="positive","b",IF(M1512="positive","c","d"))))</x:f>
        <x:v>d</x:v>
      </x:c>
      <x:c r="AC1512" s="12" t="str">
        <x:f>IF(OR(R1512="unavailable",T1512="unavailable"),"不可评价",IF(AND(OR(R1512="positive",R1512="equivocal"),OR(T1512="positive",T1512="equivocal")),"a",IF(OR(T1512="positive",T1512="equivocal"),"b",IF(OR(R1512="positive",R1512="equivocal"),"c","d"))))</x:f>
        <x:v>d</x:v>
      </x:c>
      <x:c r="AD1512" s="12" t="str">
        <x:f>IF(OR(R1512="unavailable",T1512="unavailable"),"不可评价",IF(AND(R1512="positive",T1512="positive"),"a",IF(T1512="positive","b",IF(R1512="positive","c","d"))))</x:f>
        <x:v>d</x:v>
      </x:c>
      <x:c r="AE1512" s="12" t="str">
        <x:f>IF(OR(W1512="unavailable",Y1512="unavailable"),"不可评价",IF(AND(OR(W1512="positive",W1512="equivocal"),OR(Y1512="positive",Y1512="equivocal")),"a",IF(OR(Y1512="positive",Y1512="equivocal"),"b",IF(OR(W1512="positive",W1512="equivocal"),"c","d"))))</x:f>
        <x:v>d</x:v>
      </x:c>
      <x:c r="AF1512" s="12" t="str">
        <x:f>IF(OR(W1512="unavailable",Y1512="unavailable"),"不可评价",IF(AND(W1512="positive",Y1512="positive"),"a",IF(Y1512="positive","b",IF(W1512="positive","c","d"))))</x:f>
        <x:v>d</x:v>
      </x:c>
    </x:row>
    <x:row r="1513" ht="24" customHeight="1">
      <x:c r="A1513" s="12" t="str">
        <x:v>14018</x:v>
      </x:c>
      <x:c r="B1513" s="12" t="str">
        <x:v>19421</x:v>
      </x:c>
      <x:c r="C1513" s="21" t="n">
        <x:v>34806.38429398148</x:v>
      </x:c>
      <x:c r="D1513" s="12" t="n">
        <x:v>54</x:v>
      </x:c>
      <x:c r="E1513" s="12" t="n">
        <x:v>0</x:v>
      </x:c>
      <x:c r="F1513" s="12" t="str">
        <x:v>存在</x:v>
      </x:c>
      <x:c r="G1513" s="12" t="n">
        <x:v>1</x:v>
      </x:c>
      <x:c r="H1513" s="12" t="str">
        <x:v>{'IMI': 80.0, 'ABQRS': 0.0, 'SR': 0.0}</x:v>
      </x:c>
      <x:c r="I1513" s="12" t="str">
        <x:v>[('SBRAD', 100.0), ('IMI;AU', 100.0), ('AB', 100.0)]</x:v>
      </x:c>
      <x:c r="J1513" s="12" t="str">
        <x:v>ptbxl_database.csv；ecg_id=14018；scp_codes</x:v>
      </x:c>
      <x:c r="K1513" s="12" t="str">
        <x:v>12sl_statements.csv；ecg_id=14018；statements_ext_snomed</x:v>
      </x:c>
      <x:c r="L1513" s="12"/>
      <x:c r="M1513" s="12" t="str">
        <x:v>negative</x:v>
      </x:c>
      <x:c r="N1513" s="12"/>
      <x:c r="O1513" s="12" t="str">
        <x:v>negative</x:v>
      </x:c>
      <x:c r="P1513" s="12" t="str">
        <x:f>IF(OR(M1513="unavailable",O1513="unavailable"),"不可评价",IF(OR(M1513="equivocal",O1513="equivocal"),"疑似",IF(AND(M1513="positive",O1513="positive"),"a",IF(O1513="positive","b",IF(M1513="positive","c","d")))))</x:f>
        <x:v>d</x:v>
      </x:c>
      <x:c r="Q1513" s="12"/>
      <x:c r="R1513" s="12" t="str">
        <x:v>negative</x:v>
      </x:c>
      <x:c r="S1513" s="12"/>
      <x:c r="T1513" s="12" t="str">
        <x:v>negative</x:v>
      </x:c>
      <x:c r="U1513" s="12" t="str">
        <x:f>IF(OR(R1513="unavailable",T1513="unavailable"),"不可评价",IF(OR(R1513="equivocal",T1513="equivocal"),"疑似",IF(AND(R1513="positive",T1513="positive"),"a",IF(T1513="positive","b",IF(R1513="positive","c","d")))))</x:f>
        <x:v>d</x:v>
      </x:c>
      <x:c r="V1513" s="12"/>
      <x:c r="W1513" s="12" t="str">
        <x:v>negative</x:v>
      </x:c>
      <x:c r="X1513" s="12"/>
      <x:c r="Y1513" s="12" t="str">
        <x:v>negative</x:v>
      </x:c>
      <x:c r="Z1513" s="12" t="str">
        <x:f>IF(OR(W1513="unavailable",Y1513="unavailable"),"不可评价",IF(OR(W1513="equivocal",Y1513="equivocal"),"疑似",IF(AND(W1513="positive",Y1513="positive"),"a",IF(Y1513="positive","b",IF(W1513="positive","c","d")))))</x:f>
        <x:v>d</x:v>
      </x:c>
      <x:c r="AA1513" s="12" t="str">
        <x:f>IF(OR(M1513="unavailable",O1513="unavailable"),"不可评价",IF(AND(OR(M1513="positive",M1513="equivocal"),OR(O1513="positive",O1513="equivocal")),"a",IF(OR(O1513="positive",O1513="equivocal"),"b",IF(OR(M1513="positive",M1513="equivocal"),"c","d"))))</x:f>
        <x:v>d</x:v>
      </x:c>
      <x:c r="AB1513" s="12" t="str">
        <x:f>IF(OR(M1513="unavailable",O1513="unavailable"),"不可评价",IF(AND(M1513="positive",O1513="positive"),"a",IF(O1513="positive","b",IF(M1513="positive","c","d"))))</x:f>
        <x:v>d</x:v>
      </x:c>
      <x:c r="AC1513" s="12" t="str">
        <x:f>IF(OR(R1513="unavailable",T1513="unavailable"),"不可评价",IF(AND(OR(R1513="positive",R1513="equivocal"),OR(T1513="positive",T1513="equivocal")),"a",IF(OR(T1513="positive",T1513="equivocal"),"b",IF(OR(R1513="positive",R1513="equivocal"),"c","d"))))</x:f>
        <x:v>d</x:v>
      </x:c>
      <x:c r="AD1513" s="12" t="str">
        <x:f>IF(OR(R1513="unavailable",T1513="unavailable"),"不可评价",IF(AND(R1513="positive",T1513="positive"),"a",IF(T1513="positive","b",IF(R1513="positive","c","d"))))</x:f>
        <x:v>d</x:v>
      </x:c>
      <x:c r="AE1513" s="12" t="str">
        <x:f>IF(OR(W1513="unavailable",Y1513="unavailable"),"不可评价",IF(AND(OR(W1513="positive",W1513="equivocal"),OR(Y1513="positive",Y1513="equivocal")),"a",IF(OR(Y1513="positive",Y1513="equivocal"),"b",IF(OR(W1513="positive",W1513="equivocal"),"c","d"))))</x:f>
        <x:v>d</x:v>
      </x:c>
      <x:c r="AF1513" s="12" t="str">
        <x:f>IF(OR(W1513="unavailable",Y1513="unavailable"),"不可评价",IF(AND(W1513="positive",Y1513="positive"),"a",IF(Y1513="positive","b",IF(W1513="positive","c","d"))))</x:f>
        <x:v>d</x:v>
      </x:c>
    </x:row>
    <x:row r="1514" ht="24" customHeight="1">
      <x:c r="A1514" s="12" t="str">
        <x:v>14021</x:v>
      </x:c>
      <x:c r="B1514" s="12" t="str">
        <x:v>20776</x:v>
      </x:c>
      <x:c r="C1514" s="21" t="n">
        <x:v>34808.631377314814</x:v>
      </x:c>
      <x:c r="D1514" s="12" t="n">
        <x:v>71</x:v>
      </x:c>
      <x:c r="E1514" s="12" t="n">
        <x:v>0</x:v>
      </x:c>
      <x:c r="F1514" s="12" t="str">
        <x:v>未记录</x:v>
      </x:c>
      <x:c r="G1514" s="12" t="n">
        <x:v>1</x:v>
      </x:c>
      <x:c r="H1514" s="12" t="str">
        <x:v>{'NORM': 80.0, 'SR': 0.0}</x:v>
      </x:c>
      <x:c r="I1514" s="12" t="str">
        <x:v>[('NSR', 100.0), ('NML', 100.0)]</x:v>
      </x:c>
      <x:c r="J1514" s="12" t="str">
        <x:v>ptbxl_database.csv；ecg_id=14021；scp_codes</x:v>
      </x:c>
      <x:c r="K1514" s="12" t="str">
        <x:v>12sl_statements.csv；ecg_id=14021；statements_ext_snomed</x:v>
      </x:c>
      <x:c r="L1514" s="12"/>
      <x:c r="M1514" s="12" t="str">
        <x:v>negative</x:v>
      </x:c>
      <x:c r="N1514" s="12"/>
      <x:c r="O1514" s="12" t="str">
        <x:v>negative</x:v>
      </x:c>
      <x:c r="P1514" s="12" t="str">
        <x:f>IF(OR(M1514="unavailable",O1514="unavailable"),"不可评价",IF(OR(M1514="equivocal",O1514="equivocal"),"疑似",IF(AND(M1514="positive",O1514="positive"),"a",IF(O1514="positive","b",IF(M1514="positive","c","d")))))</x:f>
        <x:v>d</x:v>
      </x:c>
      <x:c r="Q1514" s="12"/>
      <x:c r="R1514" s="12" t="str">
        <x:v>negative</x:v>
      </x:c>
      <x:c r="S1514" s="12"/>
      <x:c r="T1514" s="12" t="str">
        <x:v>negative</x:v>
      </x:c>
      <x:c r="U1514" s="12" t="str">
        <x:f>IF(OR(R1514="unavailable",T1514="unavailable"),"不可评价",IF(OR(R1514="equivocal",T1514="equivocal"),"疑似",IF(AND(R1514="positive",T1514="positive"),"a",IF(T1514="positive","b",IF(R1514="positive","c","d")))))</x:f>
        <x:v>d</x:v>
      </x:c>
      <x:c r="V1514" s="12"/>
      <x:c r="W1514" s="12" t="str">
        <x:v>negative</x:v>
      </x:c>
      <x:c r="X1514" s="12"/>
      <x:c r="Y1514" s="12" t="str">
        <x:v>negative</x:v>
      </x:c>
      <x:c r="Z1514" s="12" t="str">
        <x:f>IF(OR(W1514="unavailable",Y1514="unavailable"),"不可评价",IF(OR(W1514="equivocal",Y1514="equivocal"),"疑似",IF(AND(W1514="positive",Y1514="positive"),"a",IF(Y1514="positive","b",IF(W1514="positive","c","d")))))</x:f>
        <x:v>d</x:v>
      </x:c>
      <x:c r="AA1514" s="12" t="str">
        <x:f>IF(OR(M1514="unavailable",O1514="unavailable"),"不可评价",IF(AND(OR(M1514="positive",M1514="equivocal"),OR(O1514="positive",O1514="equivocal")),"a",IF(OR(O1514="positive",O1514="equivocal"),"b",IF(OR(M1514="positive",M1514="equivocal"),"c","d"))))</x:f>
        <x:v>d</x:v>
      </x:c>
      <x:c r="AB1514" s="12" t="str">
        <x:f>IF(OR(M1514="unavailable",O1514="unavailable"),"不可评价",IF(AND(M1514="positive",O1514="positive"),"a",IF(O1514="positive","b",IF(M1514="positive","c","d"))))</x:f>
        <x:v>d</x:v>
      </x:c>
      <x:c r="AC1514" s="12" t="str">
        <x:f>IF(OR(R1514="unavailable",T1514="unavailable"),"不可评价",IF(AND(OR(R1514="positive",R1514="equivocal"),OR(T1514="positive",T1514="equivocal")),"a",IF(OR(T1514="positive",T1514="equivocal"),"b",IF(OR(R1514="positive",R1514="equivocal"),"c","d"))))</x:f>
        <x:v>d</x:v>
      </x:c>
      <x:c r="AD1514" s="12" t="str">
        <x:f>IF(OR(R1514="unavailable",T1514="unavailable"),"不可评价",IF(AND(R1514="positive",T1514="positive"),"a",IF(T1514="positive","b",IF(R1514="positive","c","d"))))</x:f>
        <x:v>d</x:v>
      </x:c>
      <x:c r="AE1514" s="12" t="str">
        <x:f>IF(OR(W1514="unavailable",Y1514="unavailable"),"不可评价",IF(AND(OR(W1514="positive",W1514="equivocal"),OR(Y1514="positive",Y1514="equivocal")),"a",IF(OR(Y1514="positive",Y1514="equivocal"),"b",IF(OR(W1514="positive",W1514="equivocal"),"c","d"))))</x:f>
        <x:v>d</x:v>
      </x:c>
      <x:c r="AF1514" s="12" t="str">
        <x:f>IF(OR(W1514="unavailable",Y1514="unavailable"),"不可评价",IF(AND(W1514="positive",Y1514="positive"),"a",IF(Y1514="positive","b",IF(W1514="positive","c","d"))))</x:f>
        <x:v>d</x:v>
      </x:c>
    </x:row>
    <x:row r="1515" ht="24" customHeight="1">
      <x:c r="A1515" s="12" t="str">
        <x:v>14026</x:v>
      </x:c>
      <x:c r="B1515" s="12" t="str">
        <x:v>6544</x:v>
      </x:c>
      <x:c r="C1515" s="21" t="n">
        <x:v>34810.6509375</x:v>
      </x:c>
      <x:c r="D1515" s="12" t="n">
        <x:v>72</x:v>
      </x:c>
      <x:c r="E1515" s="12" t="n">
        <x:v>0</x:v>
      </x:c>
      <x:c r="F1515" s="12" t="str">
        <x:v>未记录</x:v>
      </x:c>
      <x:c r="G1515" s="12" t="n">
        <x:v>1</x:v>
      </x:c>
      <x:c r="H1515" s="12" t="str">
        <x:v>{'ISC_': 80.0, 'LVH': 35.0, 'VCLVH': 0.0, 'INVT': 0.0, 'SBRAD': 0.0}</x:v>
      </x:c>
      <x:c r="I1515" s="12" t="str">
        <x:v>[('SBRAD', 100.0), ('LVH2', 100.0), ('2ST', 100.0), ('AB', 100.0)]</x:v>
      </x:c>
      <x:c r="J1515" s="12" t="str">
        <x:v>ptbxl_database.csv；ecg_id=14026；scp_codes</x:v>
      </x:c>
      <x:c r="K1515" s="12" t="str">
        <x:v>12sl_statements.csv；ecg_id=14026；statements_ext_snomed</x:v>
      </x:c>
      <x:c r="L1515" s="12"/>
      <x:c r="M1515" s="12" t="str">
        <x:v>negative</x:v>
      </x:c>
      <x:c r="N1515" s="12"/>
      <x:c r="O1515" s="12" t="str">
        <x:v>negative</x:v>
      </x:c>
      <x:c r="P1515" s="12" t="str">
        <x:f>IF(OR(M1515="unavailable",O1515="unavailable"),"不可评价",IF(OR(M1515="equivocal",O1515="equivocal"),"疑似",IF(AND(M1515="positive",O1515="positive"),"a",IF(O1515="positive","b",IF(M1515="positive","c","d")))))</x:f>
        <x:v>d</x:v>
      </x:c>
      <x:c r="Q1515" s="12"/>
      <x:c r="R1515" s="12" t="str">
        <x:v>negative</x:v>
      </x:c>
      <x:c r="S1515" s="12"/>
      <x:c r="T1515" s="12" t="str">
        <x:v>negative</x:v>
      </x:c>
      <x:c r="U1515" s="12" t="str">
        <x:f>IF(OR(R1515="unavailable",T1515="unavailable"),"不可评价",IF(OR(R1515="equivocal",T1515="equivocal"),"疑似",IF(AND(R1515="positive",T1515="positive"),"a",IF(T1515="positive","b",IF(R1515="positive","c","d")))))</x:f>
        <x:v>d</x:v>
      </x:c>
      <x:c r="V1515" s="12"/>
      <x:c r="W1515" s="12" t="str">
        <x:v>negative</x:v>
      </x:c>
      <x:c r="X1515" s="12"/>
      <x:c r="Y1515" s="12" t="str">
        <x:v>negative</x:v>
      </x:c>
      <x:c r="Z1515" s="12" t="str">
        <x:f>IF(OR(W1515="unavailable",Y1515="unavailable"),"不可评价",IF(OR(W1515="equivocal",Y1515="equivocal"),"疑似",IF(AND(W1515="positive",Y1515="positive"),"a",IF(Y1515="positive","b",IF(W1515="positive","c","d")))))</x:f>
        <x:v>d</x:v>
      </x:c>
      <x:c r="AA1515" s="12" t="str">
        <x:f>IF(OR(M1515="unavailable",O1515="unavailable"),"不可评价",IF(AND(OR(M1515="positive",M1515="equivocal"),OR(O1515="positive",O1515="equivocal")),"a",IF(OR(O1515="positive",O1515="equivocal"),"b",IF(OR(M1515="positive",M1515="equivocal"),"c","d"))))</x:f>
        <x:v>d</x:v>
      </x:c>
      <x:c r="AB1515" s="12" t="str">
        <x:f>IF(OR(M1515="unavailable",O1515="unavailable"),"不可评价",IF(AND(M1515="positive",O1515="positive"),"a",IF(O1515="positive","b",IF(M1515="positive","c","d"))))</x:f>
        <x:v>d</x:v>
      </x:c>
      <x:c r="AC1515" s="12" t="str">
        <x:f>IF(OR(R1515="unavailable",T1515="unavailable"),"不可评价",IF(AND(OR(R1515="positive",R1515="equivocal"),OR(T1515="positive",T1515="equivocal")),"a",IF(OR(T1515="positive",T1515="equivocal"),"b",IF(OR(R1515="positive",R1515="equivocal"),"c","d"))))</x:f>
        <x:v>d</x:v>
      </x:c>
      <x:c r="AD1515" s="12" t="str">
        <x:f>IF(OR(R1515="unavailable",T1515="unavailable"),"不可评价",IF(AND(R1515="positive",T1515="positive"),"a",IF(T1515="positive","b",IF(R1515="positive","c","d"))))</x:f>
        <x:v>d</x:v>
      </x:c>
      <x:c r="AE1515" s="12" t="str">
        <x:f>IF(OR(W1515="unavailable",Y1515="unavailable"),"不可评价",IF(AND(OR(W1515="positive",W1515="equivocal"),OR(Y1515="positive",Y1515="equivocal")),"a",IF(OR(Y1515="positive",Y1515="equivocal"),"b",IF(OR(W1515="positive",W1515="equivocal"),"c","d"))))</x:f>
        <x:v>d</x:v>
      </x:c>
      <x:c r="AF1515" s="12" t="str">
        <x:f>IF(OR(W1515="unavailable",Y1515="unavailable"),"不可评价",IF(AND(W1515="positive",Y1515="positive"),"a",IF(Y1515="positive","b",IF(W1515="positive","c","d"))))</x:f>
        <x:v>d</x:v>
      </x:c>
    </x:row>
    <x:row r="1516" ht="24" customHeight="1">
      <x:c r="A1516" s="12" t="str">
        <x:v>14027</x:v>
      </x:c>
      <x:c r="B1516" s="12" t="str">
        <x:v>5875</x:v>
      </x:c>
      <x:c r="C1516" s="21" t="n">
        <x:v>34810.68625</x:v>
      </x:c>
      <x:c r="D1516" s="12" t="n">
        <x:v>62</x:v>
      </x:c>
      <x:c r="E1516" s="12" t="n">
        <x:v>1</x:v>
      </x:c>
      <x:c r="F1516" s="12" t="str">
        <x:v>未记录</x:v>
      </x:c>
      <x:c r="G1516" s="12" t="n">
        <x:v>1</x:v>
      </x:c>
      <x:c r="H1516" s="12" t="str">
        <x:v>{'NORM': 100.0, 'SR': 0.0}</x:v>
      </x:c>
      <x:c r="I1516" s="12" t="str">
        <x:v>[('NSR', 100.0), ('NML', 100.0)]</x:v>
      </x:c>
      <x:c r="J1516" s="12" t="str">
        <x:v>ptbxl_database.csv；ecg_id=14027；scp_codes</x:v>
      </x:c>
      <x:c r="K1516" s="12" t="str">
        <x:v>12sl_statements.csv；ecg_id=14027；statements_ext_snomed</x:v>
      </x:c>
      <x:c r="L1516" s="12"/>
      <x:c r="M1516" s="12" t="str">
        <x:v>negative</x:v>
      </x:c>
      <x:c r="N1516" s="12"/>
      <x:c r="O1516" s="12" t="str">
        <x:v>negative</x:v>
      </x:c>
      <x:c r="P1516" s="12" t="str">
        <x:f>IF(OR(M1516="unavailable",O1516="unavailable"),"不可评价",IF(OR(M1516="equivocal",O1516="equivocal"),"疑似",IF(AND(M1516="positive",O1516="positive"),"a",IF(O1516="positive","b",IF(M1516="positive","c","d")))))</x:f>
        <x:v>d</x:v>
      </x:c>
      <x:c r="Q1516" s="12"/>
      <x:c r="R1516" s="12" t="str">
        <x:v>negative</x:v>
      </x:c>
      <x:c r="S1516" s="12"/>
      <x:c r="T1516" s="12" t="str">
        <x:v>negative</x:v>
      </x:c>
      <x:c r="U1516" s="12" t="str">
        <x:f>IF(OR(R1516="unavailable",T1516="unavailable"),"不可评价",IF(OR(R1516="equivocal",T1516="equivocal"),"疑似",IF(AND(R1516="positive",T1516="positive"),"a",IF(T1516="positive","b",IF(R1516="positive","c","d")))))</x:f>
        <x:v>d</x:v>
      </x:c>
      <x:c r="V1516" s="12"/>
      <x:c r="W1516" s="12" t="str">
        <x:v>negative</x:v>
      </x:c>
      <x:c r="X1516" s="12"/>
      <x:c r="Y1516" s="12" t="str">
        <x:v>negative</x:v>
      </x:c>
      <x:c r="Z1516" s="12" t="str">
        <x:f>IF(OR(W1516="unavailable",Y1516="unavailable"),"不可评价",IF(OR(W1516="equivocal",Y1516="equivocal"),"疑似",IF(AND(W1516="positive",Y1516="positive"),"a",IF(Y1516="positive","b",IF(W1516="positive","c","d")))))</x:f>
        <x:v>d</x:v>
      </x:c>
      <x:c r="AA1516" s="12" t="str">
        <x:f>IF(OR(M1516="unavailable",O1516="unavailable"),"不可评价",IF(AND(OR(M1516="positive",M1516="equivocal"),OR(O1516="positive",O1516="equivocal")),"a",IF(OR(O1516="positive",O1516="equivocal"),"b",IF(OR(M1516="positive",M1516="equivocal"),"c","d"))))</x:f>
        <x:v>d</x:v>
      </x:c>
      <x:c r="AB1516" s="12" t="str">
        <x:f>IF(OR(M1516="unavailable",O1516="unavailable"),"不可评价",IF(AND(M1516="positive",O1516="positive"),"a",IF(O1516="positive","b",IF(M1516="positive","c","d"))))</x:f>
        <x:v>d</x:v>
      </x:c>
      <x:c r="AC1516" s="12" t="str">
        <x:f>IF(OR(R1516="unavailable",T1516="unavailable"),"不可评价",IF(AND(OR(R1516="positive",R1516="equivocal"),OR(T1516="positive",T1516="equivocal")),"a",IF(OR(T1516="positive",T1516="equivocal"),"b",IF(OR(R1516="positive",R1516="equivocal"),"c","d"))))</x:f>
        <x:v>d</x:v>
      </x:c>
      <x:c r="AD1516" s="12" t="str">
        <x:f>IF(OR(R1516="unavailable",T1516="unavailable"),"不可评价",IF(AND(R1516="positive",T1516="positive"),"a",IF(T1516="positive","b",IF(R1516="positive","c","d"))))</x:f>
        <x:v>d</x:v>
      </x:c>
      <x:c r="AE1516" s="12" t="str">
        <x:f>IF(OR(W1516="unavailable",Y1516="unavailable"),"不可评价",IF(AND(OR(W1516="positive",W1516="equivocal"),OR(Y1516="positive",Y1516="equivocal")),"a",IF(OR(Y1516="positive",Y1516="equivocal"),"b",IF(OR(W1516="positive",W1516="equivocal"),"c","d"))))</x:f>
        <x:v>d</x:v>
      </x:c>
      <x:c r="AF1516" s="12" t="str">
        <x:f>IF(OR(W1516="unavailable",Y1516="unavailable"),"不可评价",IF(AND(W1516="positive",Y1516="positive"),"a",IF(Y1516="positive","b",IF(W1516="positive","c","d"))))</x:f>
        <x:v>d</x:v>
      </x:c>
    </x:row>
    <x:row r="1517" ht="24" customHeight="1">
      <x:c r="A1517" s="12" t="str">
        <x:v>14071</x:v>
      </x:c>
      <x:c r="B1517" s="12" t="str">
        <x:v>6741</x:v>
      </x:c>
      <x:c r="C1517" s="21" t="n">
        <x:v>34816.73771990741</x:v>
      </x:c>
      <x:c r="D1517" s="12" t="n">
        <x:v>71</x:v>
      </x:c>
      <x:c r="E1517" s="12" t="n">
        <x:v>1</x:v>
      </x:c>
      <x:c r="F1517" s="12" t="str">
        <x:v>未记录</x:v>
      </x:c>
      <x:c r="G1517" s="12" t="n">
        <x:v>1</x:v>
      </x:c>
      <x:c r="H1517" s="12" t="str">
        <x:v>{'NORM': 100.0, 'SR': 0.0}</x:v>
      </x:c>
      <x:c r="I1517" s="12" t="str">
        <x:v>[('NSR', 100.0), ('NML', 100.0)]</x:v>
      </x:c>
      <x:c r="J1517" s="12" t="str">
        <x:v>ptbxl_database.csv；ecg_id=14071；scp_codes</x:v>
      </x:c>
      <x:c r="K1517" s="12" t="str">
        <x:v>12sl_statements.csv；ecg_id=14071；statements_ext_snomed</x:v>
      </x:c>
      <x:c r="L1517" s="12"/>
      <x:c r="M1517" s="12" t="str">
        <x:v>negative</x:v>
      </x:c>
      <x:c r="N1517" s="12"/>
      <x:c r="O1517" s="12" t="str">
        <x:v>negative</x:v>
      </x:c>
      <x:c r="P1517" s="12" t="str">
        <x:f>IF(OR(M1517="unavailable",O1517="unavailable"),"不可评价",IF(OR(M1517="equivocal",O1517="equivocal"),"疑似",IF(AND(M1517="positive",O1517="positive"),"a",IF(O1517="positive","b",IF(M1517="positive","c","d")))))</x:f>
        <x:v>d</x:v>
      </x:c>
      <x:c r="Q1517" s="12"/>
      <x:c r="R1517" s="12" t="str">
        <x:v>negative</x:v>
      </x:c>
      <x:c r="S1517" s="12"/>
      <x:c r="T1517" s="12" t="str">
        <x:v>negative</x:v>
      </x:c>
      <x:c r="U1517" s="12" t="str">
        <x:f>IF(OR(R1517="unavailable",T1517="unavailable"),"不可评价",IF(OR(R1517="equivocal",T1517="equivocal"),"疑似",IF(AND(R1517="positive",T1517="positive"),"a",IF(T1517="positive","b",IF(R1517="positive","c","d")))))</x:f>
        <x:v>d</x:v>
      </x:c>
      <x:c r="V1517" s="12"/>
      <x:c r="W1517" s="12" t="str">
        <x:v>negative</x:v>
      </x:c>
      <x:c r="X1517" s="12"/>
      <x:c r="Y1517" s="12" t="str">
        <x:v>negative</x:v>
      </x:c>
      <x:c r="Z1517" s="12" t="str">
        <x:f>IF(OR(W1517="unavailable",Y1517="unavailable"),"不可评价",IF(OR(W1517="equivocal",Y1517="equivocal"),"疑似",IF(AND(W1517="positive",Y1517="positive"),"a",IF(Y1517="positive","b",IF(W1517="positive","c","d")))))</x:f>
        <x:v>d</x:v>
      </x:c>
      <x:c r="AA1517" s="12" t="str">
        <x:f>IF(OR(M1517="unavailable",O1517="unavailable"),"不可评价",IF(AND(OR(M1517="positive",M1517="equivocal"),OR(O1517="positive",O1517="equivocal")),"a",IF(OR(O1517="positive",O1517="equivocal"),"b",IF(OR(M1517="positive",M1517="equivocal"),"c","d"))))</x:f>
        <x:v>d</x:v>
      </x:c>
      <x:c r="AB1517" s="12" t="str">
        <x:f>IF(OR(M1517="unavailable",O1517="unavailable"),"不可评价",IF(AND(M1517="positive",O1517="positive"),"a",IF(O1517="positive","b",IF(M1517="positive","c","d"))))</x:f>
        <x:v>d</x:v>
      </x:c>
      <x:c r="AC1517" s="12" t="str">
        <x:f>IF(OR(R1517="unavailable",T1517="unavailable"),"不可评价",IF(AND(OR(R1517="positive",R1517="equivocal"),OR(T1517="positive",T1517="equivocal")),"a",IF(OR(T1517="positive",T1517="equivocal"),"b",IF(OR(R1517="positive",R1517="equivocal"),"c","d"))))</x:f>
        <x:v>d</x:v>
      </x:c>
      <x:c r="AD1517" s="12" t="str">
        <x:f>IF(OR(R1517="unavailable",T1517="unavailable"),"不可评价",IF(AND(R1517="positive",T1517="positive"),"a",IF(T1517="positive","b",IF(R1517="positive","c","d"))))</x:f>
        <x:v>d</x:v>
      </x:c>
      <x:c r="AE1517" s="12" t="str">
        <x:f>IF(OR(W1517="unavailable",Y1517="unavailable"),"不可评价",IF(AND(OR(W1517="positive",W1517="equivocal"),OR(Y1517="positive",Y1517="equivocal")),"a",IF(OR(Y1517="positive",Y1517="equivocal"),"b",IF(OR(W1517="positive",W1517="equivocal"),"c","d"))))</x:f>
        <x:v>d</x:v>
      </x:c>
      <x:c r="AF1517" s="12" t="str">
        <x:f>IF(OR(W1517="unavailable",Y1517="unavailable"),"不可评价",IF(AND(W1517="positive",Y1517="positive"),"a",IF(Y1517="positive","b",IF(W1517="positive","c","d"))))</x:f>
        <x:v>d</x:v>
      </x:c>
    </x:row>
    <x:row r="1518" ht="24" customHeight="1">
      <x:c r="A1518" s="12" t="str">
        <x:v>14097</x:v>
      </x:c>
      <x:c r="B1518" s="12" t="str">
        <x:v>2153</x:v>
      </x:c>
      <x:c r="C1518" s="21" t="n">
        <x:v>34820.5480787037</x:v>
      </x:c>
      <x:c r="D1518" s="12" t="n">
        <x:v>71</x:v>
      </x:c>
      <x:c r="E1518" s="12" t="n">
        <x:v>1</x:v>
      </x:c>
      <x:c r="F1518" s="12" t="str">
        <x:v>未记录</x:v>
      </x:c>
      <x:c r="G1518" s="12" t="n">
        <x:v>1</x:v>
      </x:c>
      <x:c r="H1518" s="12" t="str">
        <x:v>{'NORM': 80.0, 'IRBBB': 100.0, 'SR': 0.0}</x:v>
      </x:c>
      <x:c r="I1518" s="12" t="str">
        <x:v>[('NSR', 100.0), ('NML', 100.0)]</x:v>
      </x:c>
      <x:c r="J1518" s="12" t="str">
        <x:v>ptbxl_database.csv；ecg_id=14097；scp_codes</x:v>
      </x:c>
      <x:c r="K1518" s="12" t="str">
        <x:v>12sl_statements.csv；ecg_id=14097；statements_ext_snomed</x:v>
      </x:c>
      <x:c r="L1518" s="12"/>
      <x:c r="M1518" s="12" t="str">
        <x:v>negative</x:v>
      </x:c>
      <x:c r="N1518" s="12"/>
      <x:c r="O1518" s="12" t="str">
        <x:v>negative</x:v>
      </x:c>
      <x:c r="P1518" s="12" t="str">
        <x:f>IF(OR(M1518="unavailable",O1518="unavailable"),"不可评价",IF(OR(M1518="equivocal",O1518="equivocal"),"疑似",IF(AND(M1518="positive",O1518="positive"),"a",IF(O1518="positive","b",IF(M1518="positive","c","d")))))</x:f>
        <x:v>d</x:v>
      </x:c>
      <x:c r="Q1518" s="12"/>
      <x:c r="R1518" s="12" t="str">
        <x:v>negative</x:v>
      </x:c>
      <x:c r="S1518" s="12"/>
      <x:c r="T1518" s="12" t="str">
        <x:v>negative</x:v>
      </x:c>
      <x:c r="U1518" s="12" t="str">
        <x:f>IF(OR(R1518="unavailable",T1518="unavailable"),"不可评价",IF(OR(R1518="equivocal",T1518="equivocal"),"疑似",IF(AND(R1518="positive",T1518="positive"),"a",IF(T1518="positive","b",IF(R1518="positive","c","d")))))</x:f>
        <x:v>d</x:v>
      </x:c>
      <x:c r="V1518" s="12"/>
      <x:c r="W1518" s="12" t="str">
        <x:v>negative</x:v>
      </x:c>
      <x:c r="X1518" s="12"/>
      <x:c r="Y1518" s="12" t="str">
        <x:v>negative</x:v>
      </x:c>
      <x:c r="Z1518" s="12" t="str">
        <x:f>IF(OR(W1518="unavailable",Y1518="unavailable"),"不可评价",IF(OR(W1518="equivocal",Y1518="equivocal"),"疑似",IF(AND(W1518="positive",Y1518="positive"),"a",IF(Y1518="positive","b",IF(W1518="positive","c","d")))))</x:f>
        <x:v>d</x:v>
      </x:c>
      <x:c r="AA1518" s="12" t="str">
        <x:f>IF(OR(M1518="unavailable",O1518="unavailable"),"不可评价",IF(AND(OR(M1518="positive",M1518="equivocal"),OR(O1518="positive",O1518="equivocal")),"a",IF(OR(O1518="positive",O1518="equivocal"),"b",IF(OR(M1518="positive",M1518="equivocal"),"c","d"))))</x:f>
        <x:v>d</x:v>
      </x:c>
      <x:c r="AB1518" s="12" t="str">
        <x:f>IF(OR(M1518="unavailable",O1518="unavailable"),"不可评价",IF(AND(M1518="positive",O1518="positive"),"a",IF(O1518="positive","b",IF(M1518="positive","c","d"))))</x:f>
        <x:v>d</x:v>
      </x:c>
      <x:c r="AC1518" s="12" t="str">
        <x:f>IF(OR(R1518="unavailable",T1518="unavailable"),"不可评价",IF(AND(OR(R1518="positive",R1518="equivocal"),OR(T1518="positive",T1518="equivocal")),"a",IF(OR(T1518="positive",T1518="equivocal"),"b",IF(OR(R1518="positive",R1518="equivocal"),"c","d"))))</x:f>
        <x:v>d</x:v>
      </x:c>
      <x:c r="AD1518" s="12" t="str">
        <x:f>IF(OR(R1518="unavailable",T1518="unavailable"),"不可评价",IF(AND(R1518="positive",T1518="positive"),"a",IF(T1518="positive","b",IF(R1518="positive","c","d"))))</x:f>
        <x:v>d</x:v>
      </x:c>
      <x:c r="AE1518" s="12" t="str">
        <x:f>IF(OR(W1518="unavailable",Y1518="unavailable"),"不可评价",IF(AND(OR(W1518="positive",W1518="equivocal"),OR(Y1518="positive",Y1518="equivocal")),"a",IF(OR(Y1518="positive",Y1518="equivocal"),"b",IF(OR(W1518="positive",W1518="equivocal"),"c","d"))))</x:f>
        <x:v>d</x:v>
      </x:c>
      <x:c r="AF1518" s="12" t="str">
        <x:f>IF(OR(W1518="unavailable",Y1518="unavailable"),"不可评价",IF(AND(W1518="positive",Y1518="positive"),"a",IF(Y1518="positive","b",IF(W1518="positive","c","d"))))</x:f>
        <x:v>d</x:v>
      </x:c>
    </x:row>
    <x:row r="1519" ht="24" customHeight="1">
      <x:c r="A1519" s="12" t="str">
        <x:v>14107</x:v>
      </x:c>
      <x:c r="B1519" s="12" t="str">
        <x:v>3401</x:v>
      </x:c>
      <x:c r="C1519" s="21" t="n">
        <x:v>34824.37174768518</x:v>
      </x:c>
      <x:c r="D1519" s="12" t="n">
        <x:v>35</x:v>
      </x:c>
      <x:c r="E1519" s="12" t="n">
        <x:v>1</x:v>
      </x:c>
      <x:c r="F1519" s="12" t="str">
        <x:v>未记录</x:v>
      </x:c>
      <x:c r="G1519" s="12" t="n">
        <x:v>1</x:v>
      </x:c>
      <x:c r="H1519" s="12" t="str">
        <x:v>{'NORM': 80.0, 'LVOLT': 0.0, 'QWAVE': 0.0, 'SR': 0.0}</x:v>
      </x:c>
      <x:c r="I1519" s="12" t="str">
        <x:v>[('NSR', 100.0), ('SAR', 100.0), ('NML', 100.0)]</x:v>
      </x:c>
      <x:c r="J1519" s="12" t="str">
        <x:v>ptbxl_database.csv；ecg_id=14107；scp_codes</x:v>
      </x:c>
      <x:c r="K1519" s="12" t="str">
        <x:v>12sl_statements.csv；ecg_id=14107；statements_ext_snomed</x:v>
      </x:c>
      <x:c r="L1519" s="12"/>
      <x:c r="M1519" s="12" t="str">
        <x:v>negative</x:v>
      </x:c>
      <x:c r="N1519" s="12"/>
      <x:c r="O1519" s="12" t="str">
        <x:v>negative</x:v>
      </x:c>
      <x:c r="P1519" s="12" t="str">
        <x:f>IF(OR(M1519="unavailable",O1519="unavailable"),"不可评价",IF(OR(M1519="equivocal",O1519="equivocal"),"疑似",IF(AND(M1519="positive",O1519="positive"),"a",IF(O1519="positive","b",IF(M1519="positive","c","d")))))</x:f>
        <x:v>d</x:v>
      </x:c>
      <x:c r="Q1519" s="12"/>
      <x:c r="R1519" s="12" t="str">
        <x:v>negative</x:v>
      </x:c>
      <x:c r="S1519" s="12"/>
      <x:c r="T1519" s="12" t="str">
        <x:v>negative</x:v>
      </x:c>
      <x:c r="U1519" s="12" t="str">
        <x:f>IF(OR(R1519="unavailable",T1519="unavailable"),"不可评价",IF(OR(R1519="equivocal",T1519="equivocal"),"疑似",IF(AND(R1519="positive",T1519="positive"),"a",IF(T1519="positive","b",IF(R1519="positive","c","d")))))</x:f>
        <x:v>d</x:v>
      </x:c>
      <x:c r="V1519" s="12"/>
      <x:c r="W1519" s="12" t="str">
        <x:v>negative</x:v>
      </x:c>
      <x:c r="X1519" s="12"/>
      <x:c r="Y1519" s="12" t="str">
        <x:v>negative</x:v>
      </x:c>
      <x:c r="Z1519" s="12" t="str">
        <x:f>IF(OR(W1519="unavailable",Y1519="unavailable"),"不可评价",IF(OR(W1519="equivocal",Y1519="equivocal"),"疑似",IF(AND(W1519="positive",Y1519="positive"),"a",IF(Y1519="positive","b",IF(W1519="positive","c","d")))))</x:f>
        <x:v>d</x:v>
      </x:c>
      <x:c r="AA1519" s="12" t="str">
        <x:f>IF(OR(M1519="unavailable",O1519="unavailable"),"不可评价",IF(AND(OR(M1519="positive",M1519="equivocal"),OR(O1519="positive",O1519="equivocal")),"a",IF(OR(O1519="positive",O1519="equivocal"),"b",IF(OR(M1519="positive",M1519="equivocal"),"c","d"))))</x:f>
        <x:v>d</x:v>
      </x:c>
      <x:c r="AB1519" s="12" t="str">
        <x:f>IF(OR(M1519="unavailable",O1519="unavailable"),"不可评价",IF(AND(M1519="positive",O1519="positive"),"a",IF(O1519="positive","b",IF(M1519="positive","c","d"))))</x:f>
        <x:v>d</x:v>
      </x:c>
      <x:c r="AC1519" s="12" t="str">
        <x:f>IF(OR(R1519="unavailable",T1519="unavailable"),"不可评价",IF(AND(OR(R1519="positive",R1519="equivocal"),OR(T1519="positive",T1519="equivocal")),"a",IF(OR(T1519="positive",T1519="equivocal"),"b",IF(OR(R1519="positive",R1519="equivocal"),"c","d"))))</x:f>
        <x:v>d</x:v>
      </x:c>
      <x:c r="AD1519" s="12" t="str">
        <x:f>IF(OR(R1519="unavailable",T1519="unavailable"),"不可评价",IF(AND(R1519="positive",T1519="positive"),"a",IF(T1519="positive","b",IF(R1519="positive","c","d"))))</x:f>
        <x:v>d</x:v>
      </x:c>
      <x:c r="AE1519" s="12" t="str">
        <x:f>IF(OR(W1519="unavailable",Y1519="unavailable"),"不可评价",IF(AND(OR(W1519="positive",W1519="equivocal"),OR(Y1519="positive",Y1519="equivocal")),"a",IF(OR(Y1519="positive",Y1519="equivocal"),"b",IF(OR(W1519="positive",W1519="equivocal"),"c","d"))))</x:f>
        <x:v>d</x:v>
      </x:c>
      <x:c r="AF1519" s="12" t="str">
        <x:f>IF(OR(W1519="unavailable",Y1519="unavailable"),"不可评价",IF(AND(W1519="positive",Y1519="positive"),"a",IF(Y1519="positive","b",IF(W1519="positive","c","d"))))</x:f>
        <x:v>d</x:v>
      </x:c>
    </x:row>
    <x:row r="1520" ht="24" customHeight="1">
      <x:c r="A1520" s="12" t="str">
        <x:v>14123</x:v>
      </x:c>
      <x:c r="B1520" s="12" t="str">
        <x:v>7387</x:v>
      </x:c>
      <x:c r="C1520" s="21" t="n">
        <x:v>34825.75232638889</x:v>
      </x:c>
      <x:c r="D1520" s="12" t="n">
        <x:v>64</x:v>
      </x:c>
      <x:c r="E1520" s="12" t="n">
        <x:v>0</x:v>
      </x:c>
      <x:c r="F1520" s="12" t="str">
        <x:v>未记录</x:v>
      </x:c>
      <x:c r="G1520" s="12" t="n">
        <x:v>1</x:v>
      </x:c>
      <x:c r="H1520" s="12" t="str">
        <x:v>{'LAFB': 100.0}</x:v>
      </x:c>
      <x:c r="I1520" s="12" t="str">
        <x:v>[('NSR', 100.0), ('LAD3', 100.0), ('AB', 100.0)]</x:v>
      </x:c>
      <x:c r="J1520" s="12" t="str">
        <x:v>ptbxl_database.csv；ecg_id=14123；scp_codes</x:v>
      </x:c>
      <x:c r="K1520" s="12" t="str">
        <x:v>12sl_statements.csv；ecg_id=14123；statements_ext_snomed</x:v>
      </x:c>
      <x:c r="L1520" s="12"/>
      <x:c r="M1520" s="12" t="str">
        <x:v>negative</x:v>
      </x:c>
      <x:c r="N1520" s="12"/>
      <x:c r="O1520" s="12" t="str">
        <x:v>negative</x:v>
      </x:c>
      <x:c r="P1520" s="12" t="str">
        <x:f>IF(OR(M1520="unavailable",O1520="unavailable"),"不可评价",IF(OR(M1520="equivocal",O1520="equivocal"),"疑似",IF(AND(M1520="positive",O1520="positive"),"a",IF(O1520="positive","b",IF(M1520="positive","c","d")))))</x:f>
        <x:v>d</x:v>
      </x:c>
      <x:c r="Q1520" s="12"/>
      <x:c r="R1520" s="12" t="str">
        <x:v>negative</x:v>
      </x:c>
      <x:c r="S1520" s="12"/>
      <x:c r="T1520" s="12" t="str">
        <x:v>negative</x:v>
      </x:c>
      <x:c r="U1520" s="12" t="str">
        <x:f>IF(OR(R1520="unavailable",T1520="unavailable"),"不可评价",IF(OR(R1520="equivocal",T1520="equivocal"),"疑似",IF(AND(R1520="positive",T1520="positive"),"a",IF(T1520="positive","b",IF(R1520="positive","c","d")))))</x:f>
        <x:v>d</x:v>
      </x:c>
      <x:c r="V1520" s="12"/>
      <x:c r="W1520" s="12" t="str">
        <x:v>negative</x:v>
      </x:c>
      <x:c r="X1520" s="12"/>
      <x:c r="Y1520" s="12" t="str">
        <x:v>negative</x:v>
      </x:c>
      <x:c r="Z1520" s="12" t="str">
        <x:f>IF(OR(W1520="unavailable",Y1520="unavailable"),"不可评价",IF(OR(W1520="equivocal",Y1520="equivocal"),"疑似",IF(AND(W1520="positive",Y1520="positive"),"a",IF(Y1520="positive","b",IF(W1520="positive","c","d")))))</x:f>
        <x:v>d</x:v>
      </x:c>
      <x:c r="AA1520" s="12" t="str">
        <x:f>IF(OR(M1520="unavailable",O1520="unavailable"),"不可评价",IF(AND(OR(M1520="positive",M1520="equivocal"),OR(O1520="positive",O1520="equivocal")),"a",IF(OR(O1520="positive",O1520="equivocal"),"b",IF(OR(M1520="positive",M1520="equivocal"),"c","d"))))</x:f>
        <x:v>d</x:v>
      </x:c>
      <x:c r="AB1520" s="12" t="str">
        <x:f>IF(OR(M1520="unavailable",O1520="unavailable"),"不可评价",IF(AND(M1520="positive",O1520="positive"),"a",IF(O1520="positive","b",IF(M1520="positive","c","d"))))</x:f>
        <x:v>d</x:v>
      </x:c>
      <x:c r="AC1520" s="12" t="str">
        <x:f>IF(OR(R1520="unavailable",T1520="unavailable"),"不可评价",IF(AND(OR(R1520="positive",R1520="equivocal"),OR(T1520="positive",T1520="equivocal")),"a",IF(OR(T1520="positive",T1520="equivocal"),"b",IF(OR(R1520="positive",R1520="equivocal"),"c","d"))))</x:f>
        <x:v>d</x:v>
      </x:c>
      <x:c r="AD1520" s="12" t="str">
        <x:f>IF(OR(R1520="unavailable",T1520="unavailable"),"不可评价",IF(AND(R1520="positive",T1520="positive"),"a",IF(T1520="positive","b",IF(R1520="positive","c","d"))))</x:f>
        <x:v>d</x:v>
      </x:c>
      <x:c r="AE1520" s="12" t="str">
        <x:f>IF(OR(W1520="unavailable",Y1520="unavailable"),"不可评价",IF(AND(OR(W1520="positive",W1520="equivocal"),OR(Y1520="positive",Y1520="equivocal")),"a",IF(OR(Y1520="positive",Y1520="equivocal"),"b",IF(OR(W1520="positive",W1520="equivocal"),"c","d"))))</x:f>
        <x:v>d</x:v>
      </x:c>
      <x:c r="AF1520" s="12" t="str">
        <x:f>IF(OR(W1520="unavailable",Y1520="unavailable"),"不可评价",IF(AND(W1520="positive",Y1520="positive"),"a",IF(Y1520="positive","b",IF(W1520="positive","c","d"))))</x:f>
        <x:v>d</x:v>
      </x:c>
    </x:row>
    <x:row r="1521" ht="24" customHeight="1">
      <x:c r="A1521" s="12" t="str">
        <x:v>14131</x:v>
      </x:c>
      <x:c r="B1521" s="12" t="str">
        <x:v>14388</x:v>
      </x:c>
      <x:c r="C1521" s="21" t="n">
        <x:v>34826.72452546296</x:v>
      </x:c>
      <x:c r="D1521" s="12" t="n">
        <x:v>36</x:v>
      </x:c>
      <x:c r="E1521" s="12" t="n">
        <x:v>1</x:v>
      </x:c>
      <x:c r="F1521" s="12" t="str">
        <x:v>存在</x:v>
      </x:c>
      <x:c r="G1521" s="12" t="n">
        <x:v>1</x:v>
      </x:c>
      <x:c r="H1521" s="12" t="str">
        <x:v>{'NDT': 100.0, 'PVC': 100.0}</x:v>
      </x:c>
      <x:c r="I1521" s="12" t="str">
        <x:v>[('SRTH', 100.0), ('PVC', 100.0), ('ABR', 100.0)]</x:v>
      </x:c>
      <x:c r="J1521" s="12" t="str">
        <x:v>ptbxl_database.csv；ecg_id=14131；scp_codes</x:v>
      </x:c>
      <x:c r="K1521" s="12" t="str">
        <x:v>12sl_statements.csv；ecg_id=14131；statements_ext_snomed</x:v>
      </x:c>
      <x:c r="L1521" s="12"/>
      <x:c r="M1521" s="12" t="str">
        <x:v>negative</x:v>
      </x:c>
      <x:c r="N1521" s="12"/>
      <x:c r="O1521" s="12" t="str">
        <x:v>negative</x:v>
      </x:c>
      <x:c r="P1521" s="12" t="str">
        <x:f>IF(OR(M1521="unavailable",O1521="unavailable"),"不可评价",IF(OR(M1521="equivocal",O1521="equivocal"),"疑似",IF(AND(M1521="positive",O1521="positive"),"a",IF(O1521="positive","b",IF(M1521="positive","c","d")))))</x:f>
        <x:v>d</x:v>
      </x:c>
      <x:c r="Q1521" s="12"/>
      <x:c r="R1521" s="12" t="str">
        <x:v>negative</x:v>
      </x:c>
      <x:c r="S1521" s="12"/>
      <x:c r="T1521" s="12" t="str">
        <x:v>negative</x:v>
      </x:c>
      <x:c r="U1521" s="12" t="str">
        <x:f>IF(OR(R1521="unavailable",T1521="unavailable"),"不可评价",IF(OR(R1521="equivocal",T1521="equivocal"),"疑似",IF(AND(R1521="positive",T1521="positive"),"a",IF(T1521="positive","b",IF(R1521="positive","c","d")))))</x:f>
        <x:v>d</x:v>
      </x:c>
      <x:c r="V1521" s="12"/>
      <x:c r="W1521" s="12" t="str">
        <x:v>negative</x:v>
      </x:c>
      <x:c r="X1521" s="12"/>
      <x:c r="Y1521" s="12" t="str">
        <x:v>negative</x:v>
      </x:c>
      <x:c r="Z1521" s="12" t="str">
        <x:f>IF(OR(W1521="unavailable",Y1521="unavailable"),"不可评价",IF(OR(W1521="equivocal",Y1521="equivocal"),"疑似",IF(AND(W1521="positive",Y1521="positive"),"a",IF(Y1521="positive","b",IF(W1521="positive","c","d")))))</x:f>
        <x:v>d</x:v>
      </x:c>
      <x:c r="AA1521" s="12" t="str">
        <x:f>IF(OR(M1521="unavailable",O1521="unavailable"),"不可评价",IF(AND(OR(M1521="positive",M1521="equivocal"),OR(O1521="positive",O1521="equivocal")),"a",IF(OR(O1521="positive",O1521="equivocal"),"b",IF(OR(M1521="positive",M1521="equivocal"),"c","d"))))</x:f>
        <x:v>d</x:v>
      </x:c>
      <x:c r="AB1521" s="12" t="str">
        <x:f>IF(OR(M1521="unavailable",O1521="unavailable"),"不可评价",IF(AND(M1521="positive",O1521="positive"),"a",IF(O1521="positive","b",IF(M1521="positive","c","d"))))</x:f>
        <x:v>d</x:v>
      </x:c>
      <x:c r="AC1521" s="12" t="str">
        <x:f>IF(OR(R1521="unavailable",T1521="unavailable"),"不可评价",IF(AND(OR(R1521="positive",R1521="equivocal"),OR(T1521="positive",T1521="equivocal")),"a",IF(OR(T1521="positive",T1521="equivocal"),"b",IF(OR(R1521="positive",R1521="equivocal"),"c","d"))))</x:f>
        <x:v>d</x:v>
      </x:c>
      <x:c r="AD1521" s="12" t="str">
        <x:f>IF(OR(R1521="unavailable",T1521="unavailable"),"不可评价",IF(AND(R1521="positive",T1521="positive"),"a",IF(T1521="positive","b",IF(R1521="positive","c","d"))))</x:f>
        <x:v>d</x:v>
      </x:c>
      <x:c r="AE1521" s="12" t="str">
        <x:f>IF(OR(W1521="unavailable",Y1521="unavailable"),"不可评价",IF(AND(OR(W1521="positive",W1521="equivocal"),OR(Y1521="positive",Y1521="equivocal")),"a",IF(OR(Y1521="positive",Y1521="equivocal"),"b",IF(OR(W1521="positive",W1521="equivocal"),"c","d"))))</x:f>
        <x:v>d</x:v>
      </x:c>
      <x:c r="AF1521" s="12" t="str">
        <x:f>IF(OR(W1521="unavailable",Y1521="unavailable"),"不可评价",IF(AND(W1521="positive",Y1521="positive"),"a",IF(Y1521="positive","b",IF(W1521="positive","c","d"))))</x:f>
        <x:v>d</x:v>
      </x:c>
    </x:row>
    <x:row r="1522" ht="24" customHeight="1">
      <x:c r="A1522" s="12" t="str">
        <x:v>14138</x:v>
      </x:c>
      <x:c r="B1522" s="12" t="str">
        <x:v>13952</x:v>
      </x:c>
      <x:c r="C1522" s="21" t="n">
        <x:v>34829.749560185184</x:v>
      </x:c>
      <x:c r="D1522" s="12" t="n">
        <x:v>28</x:v>
      </x:c>
      <x:c r="E1522" s="12" t="n">
        <x:v>1</x:v>
      </x:c>
      <x:c r="F1522" s="12" t="str">
        <x:v>未记录</x:v>
      </x:c>
      <x:c r="G1522" s="12" t="n">
        <x:v>1</x:v>
      </x:c>
      <x:c r="H1522" s="12" t="str">
        <x:v>{'NORM': 100.0, 'SR': 0.0}</x:v>
      </x:c>
      <x:c r="I1522" s="12" t="str">
        <x:v>[('SBRAD', 100.0), ('ABR', 100.0)]</x:v>
      </x:c>
      <x:c r="J1522" s="12" t="str">
        <x:v>ptbxl_database.csv；ecg_id=14138；scp_codes</x:v>
      </x:c>
      <x:c r="K1522" s="12" t="str">
        <x:v>12sl_statements.csv；ecg_id=14138；statements_ext_snomed</x:v>
      </x:c>
      <x:c r="L1522" s="12"/>
      <x:c r="M1522" s="12" t="str">
        <x:v>negative</x:v>
      </x:c>
      <x:c r="N1522" s="12"/>
      <x:c r="O1522" s="12" t="str">
        <x:v>negative</x:v>
      </x:c>
      <x:c r="P1522" s="12" t="str">
        <x:f>IF(OR(M1522="unavailable",O1522="unavailable"),"不可评价",IF(OR(M1522="equivocal",O1522="equivocal"),"疑似",IF(AND(M1522="positive",O1522="positive"),"a",IF(O1522="positive","b",IF(M1522="positive","c","d")))))</x:f>
        <x:v>d</x:v>
      </x:c>
      <x:c r="Q1522" s="12"/>
      <x:c r="R1522" s="12" t="str">
        <x:v>negative</x:v>
      </x:c>
      <x:c r="S1522" s="12"/>
      <x:c r="T1522" s="12" t="str">
        <x:v>negative</x:v>
      </x:c>
      <x:c r="U1522" s="12" t="str">
        <x:f>IF(OR(R1522="unavailable",T1522="unavailable"),"不可评价",IF(OR(R1522="equivocal",T1522="equivocal"),"疑似",IF(AND(R1522="positive",T1522="positive"),"a",IF(T1522="positive","b",IF(R1522="positive","c","d")))))</x:f>
        <x:v>d</x:v>
      </x:c>
      <x:c r="V1522" s="12"/>
      <x:c r="W1522" s="12" t="str">
        <x:v>negative</x:v>
      </x:c>
      <x:c r="X1522" s="12"/>
      <x:c r="Y1522" s="12" t="str">
        <x:v>negative</x:v>
      </x:c>
      <x:c r="Z1522" s="12" t="str">
        <x:f>IF(OR(W1522="unavailable",Y1522="unavailable"),"不可评价",IF(OR(W1522="equivocal",Y1522="equivocal"),"疑似",IF(AND(W1522="positive",Y1522="positive"),"a",IF(Y1522="positive","b",IF(W1522="positive","c","d")))))</x:f>
        <x:v>d</x:v>
      </x:c>
      <x:c r="AA1522" s="12" t="str">
        <x:f>IF(OR(M1522="unavailable",O1522="unavailable"),"不可评价",IF(AND(OR(M1522="positive",M1522="equivocal"),OR(O1522="positive",O1522="equivocal")),"a",IF(OR(O1522="positive",O1522="equivocal"),"b",IF(OR(M1522="positive",M1522="equivocal"),"c","d"))))</x:f>
        <x:v>d</x:v>
      </x:c>
      <x:c r="AB1522" s="12" t="str">
        <x:f>IF(OR(M1522="unavailable",O1522="unavailable"),"不可评价",IF(AND(M1522="positive",O1522="positive"),"a",IF(O1522="positive","b",IF(M1522="positive","c","d"))))</x:f>
        <x:v>d</x:v>
      </x:c>
      <x:c r="AC1522" s="12" t="str">
        <x:f>IF(OR(R1522="unavailable",T1522="unavailable"),"不可评价",IF(AND(OR(R1522="positive",R1522="equivocal"),OR(T1522="positive",T1522="equivocal")),"a",IF(OR(T1522="positive",T1522="equivocal"),"b",IF(OR(R1522="positive",R1522="equivocal"),"c","d"))))</x:f>
        <x:v>d</x:v>
      </x:c>
      <x:c r="AD1522" s="12" t="str">
        <x:f>IF(OR(R1522="unavailable",T1522="unavailable"),"不可评价",IF(AND(R1522="positive",T1522="positive"),"a",IF(T1522="positive","b",IF(R1522="positive","c","d"))))</x:f>
        <x:v>d</x:v>
      </x:c>
      <x:c r="AE1522" s="12" t="str">
        <x:f>IF(OR(W1522="unavailable",Y1522="unavailable"),"不可评价",IF(AND(OR(W1522="positive",W1522="equivocal"),OR(Y1522="positive",Y1522="equivocal")),"a",IF(OR(Y1522="positive",Y1522="equivocal"),"b",IF(OR(W1522="positive",W1522="equivocal"),"c","d"))))</x:f>
        <x:v>d</x:v>
      </x:c>
      <x:c r="AF1522" s="12" t="str">
        <x:f>IF(OR(W1522="unavailable",Y1522="unavailable"),"不可评价",IF(AND(W1522="positive",Y1522="positive"),"a",IF(Y1522="positive","b",IF(W1522="positive","c","d"))))</x:f>
        <x:v>d</x:v>
      </x:c>
    </x:row>
    <x:row r="1523" ht="24" customHeight="1">
      <x:c r="A1523" s="12" t="str">
        <x:v>14139</x:v>
      </x:c>
      <x:c r="B1523" s="12" t="str">
        <x:v>9944</x:v>
      </x:c>
      <x:c r="C1523" s="21" t="n">
        <x:v>34830.52658564815</x:v>
      </x:c>
      <x:c r="D1523" s="12" t="n">
        <x:v>60</x:v>
      </x:c>
      <x:c r="E1523" s="12" t="n">
        <x:v>1</x:v>
      </x:c>
      <x:c r="F1523" s="12" t="str">
        <x:v>未记录</x:v>
      </x:c>
      <x:c r="G1523" s="12" t="n">
        <x:v>1</x:v>
      </x:c>
      <x:c r="H1523" s="12" t="str">
        <x:v>{'NORM': 50.0, 'SR': 0.0}</x:v>
      </x:c>
      <x:c r="I1523" s="12" t="str">
        <x:v>[('NSR', 100.0), ('LAD3', 100.0), ('NST', 100.0), ('AB', 100.0)]</x:v>
      </x:c>
      <x:c r="J1523" s="12" t="str">
        <x:v>ptbxl_database.csv；ecg_id=14139；scp_codes</x:v>
      </x:c>
      <x:c r="K1523" s="12" t="str">
        <x:v>12sl_statements.csv；ecg_id=14139；statements_ext_snomed</x:v>
      </x:c>
      <x:c r="L1523" s="12"/>
      <x:c r="M1523" s="12" t="str">
        <x:v>negative</x:v>
      </x:c>
      <x:c r="N1523" s="12"/>
      <x:c r="O1523" s="12" t="str">
        <x:v>negative</x:v>
      </x:c>
      <x:c r="P1523" s="12" t="str">
        <x:f>IF(OR(M1523="unavailable",O1523="unavailable"),"不可评价",IF(OR(M1523="equivocal",O1523="equivocal"),"疑似",IF(AND(M1523="positive",O1523="positive"),"a",IF(O1523="positive","b",IF(M1523="positive","c","d")))))</x:f>
        <x:v>d</x:v>
      </x:c>
      <x:c r="Q1523" s="12"/>
      <x:c r="R1523" s="12" t="str">
        <x:v>negative</x:v>
      </x:c>
      <x:c r="S1523" s="12"/>
      <x:c r="T1523" s="12" t="str">
        <x:v>negative</x:v>
      </x:c>
      <x:c r="U1523" s="12" t="str">
        <x:f>IF(OR(R1523="unavailable",T1523="unavailable"),"不可评价",IF(OR(R1523="equivocal",T1523="equivocal"),"疑似",IF(AND(R1523="positive",T1523="positive"),"a",IF(T1523="positive","b",IF(R1523="positive","c","d")))))</x:f>
        <x:v>d</x:v>
      </x:c>
      <x:c r="V1523" s="12"/>
      <x:c r="W1523" s="12" t="str">
        <x:v>negative</x:v>
      </x:c>
      <x:c r="X1523" s="12"/>
      <x:c r="Y1523" s="12" t="str">
        <x:v>negative</x:v>
      </x:c>
      <x:c r="Z1523" s="12" t="str">
        <x:f>IF(OR(W1523="unavailable",Y1523="unavailable"),"不可评价",IF(OR(W1523="equivocal",Y1523="equivocal"),"疑似",IF(AND(W1523="positive",Y1523="positive"),"a",IF(Y1523="positive","b",IF(W1523="positive","c","d")))))</x:f>
        <x:v>d</x:v>
      </x:c>
      <x:c r="AA1523" s="12" t="str">
        <x:f>IF(OR(M1523="unavailable",O1523="unavailable"),"不可评价",IF(AND(OR(M1523="positive",M1523="equivocal"),OR(O1523="positive",O1523="equivocal")),"a",IF(OR(O1523="positive",O1523="equivocal"),"b",IF(OR(M1523="positive",M1523="equivocal"),"c","d"))))</x:f>
        <x:v>d</x:v>
      </x:c>
      <x:c r="AB1523" s="12" t="str">
        <x:f>IF(OR(M1523="unavailable",O1523="unavailable"),"不可评价",IF(AND(M1523="positive",O1523="positive"),"a",IF(O1523="positive","b",IF(M1523="positive","c","d"))))</x:f>
        <x:v>d</x:v>
      </x:c>
      <x:c r="AC1523" s="12" t="str">
        <x:f>IF(OR(R1523="unavailable",T1523="unavailable"),"不可评价",IF(AND(OR(R1523="positive",R1523="equivocal"),OR(T1523="positive",T1523="equivocal")),"a",IF(OR(T1523="positive",T1523="equivocal"),"b",IF(OR(R1523="positive",R1523="equivocal"),"c","d"))))</x:f>
        <x:v>d</x:v>
      </x:c>
      <x:c r="AD1523" s="12" t="str">
        <x:f>IF(OR(R1523="unavailable",T1523="unavailable"),"不可评价",IF(AND(R1523="positive",T1523="positive"),"a",IF(T1523="positive","b",IF(R1523="positive","c","d"))))</x:f>
        <x:v>d</x:v>
      </x:c>
      <x:c r="AE1523" s="12" t="str">
        <x:f>IF(OR(W1523="unavailable",Y1523="unavailable"),"不可评价",IF(AND(OR(W1523="positive",W1523="equivocal"),OR(Y1523="positive",Y1523="equivocal")),"a",IF(OR(Y1523="positive",Y1523="equivocal"),"b",IF(OR(W1523="positive",W1523="equivocal"),"c","d"))))</x:f>
        <x:v>d</x:v>
      </x:c>
      <x:c r="AF1523" s="12" t="str">
        <x:f>IF(OR(W1523="unavailable",Y1523="unavailable"),"不可评价",IF(AND(W1523="positive",Y1523="positive"),"a",IF(Y1523="positive","b",IF(W1523="positive","c","d"))))</x:f>
        <x:v>d</x:v>
      </x:c>
    </x:row>
    <x:row r="1524" ht="24" customHeight="1">
      <x:c r="A1524" s="12" t="str">
        <x:v>14145</x:v>
      </x:c>
      <x:c r="B1524" s="12" t="str">
        <x:v>13671</x:v>
      </x:c>
      <x:c r="C1524" s="21" t="n">
        <x:v>34833.47045138889</x:v>
      </x:c>
      <x:c r="D1524" s="12" t="n">
        <x:v>51</x:v>
      </x:c>
      <x:c r="E1524" s="12" t="n">
        <x:v>0</x:v>
      </x:c>
      <x:c r="F1524" s="12" t="str">
        <x:v>存在</x:v>
      </x:c>
      <x:c r="G1524" s="12" t="n">
        <x:v>1</x:v>
      </x:c>
      <x:c r="H1524" s="12" t="str">
        <x:v>{'NORM': 100.0, 'SR': 0.0}</x:v>
      </x:c>
      <x:c r="I1524" s="12" t="str">
        <x:v>[('SBRAD', 100.0), ('ABR', 100.0)]</x:v>
      </x:c>
      <x:c r="J1524" s="12" t="str">
        <x:v>ptbxl_database.csv；ecg_id=14145；scp_codes</x:v>
      </x:c>
      <x:c r="K1524" s="12" t="str">
        <x:v>12sl_statements.csv；ecg_id=14145；statements_ext_snomed</x:v>
      </x:c>
      <x:c r="L1524" s="12"/>
      <x:c r="M1524" s="12" t="str">
        <x:v>negative</x:v>
      </x:c>
      <x:c r="N1524" s="12"/>
      <x:c r="O1524" s="12" t="str">
        <x:v>negative</x:v>
      </x:c>
      <x:c r="P1524" s="12" t="str">
        <x:f>IF(OR(M1524="unavailable",O1524="unavailable"),"不可评价",IF(OR(M1524="equivocal",O1524="equivocal"),"疑似",IF(AND(M1524="positive",O1524="positive"),"a",IF(O1524="positive","b",IF(M1524="positive","c","d")))))</x:f>
        <x:v>d</x:v>
      </x:c>
      <x:c r="Q1524" s="12"/>
      <x:c r="R1524" s="12" t="str">
        <x:v>negative</x:v>
      </x:c>
      <x:c r="S1524" s="12"/>
      <x:c r="T1524" s="12" t="str">
        <x:v>negative</x:v>
      </x:c>
      <x:c r="U1524" s="12" t="str">
        <x:f>IF(OR(R1524="unavailable",T1524="unavailable"),"不可评价",IF(OR(R1524="equivocal",T1524="equivocal"),"疑似",IF(AND(R1524="positive",T1524="positive"),"a",IF(T1524="positive","b",IF(R1524="positive","c","d")))))</x:f>
        <x:v>d</x:v>
      </x:c>
      <x:c r="V1524" s="12"/>
      <x:c r="W1524" s="12" t="str">
        <x:v>negative</x:v>
      </x:c>
      <x:c r="X1524" s="12"/>
      <x:c r="Y1524" s="12" t="str">
        <x:v>negative</x:v>
      </x:c>
      <x:c r="Z1524" s="12" t="str">
        <x:f>IF(OR(W1524="unavailable",Y1524="unavailable"),"不可评价",IF(OR(W1524="equivocal",Y1524="equivocal"),"疑似",IF(AND(W1524="positive",Y1524="positive"),"a",IF(Y1524="positive","b",IF(W1524="positive","c","d")))))</x:f>
        <x:v>d</x:v>
      </x:c>
      <x:c r="AA1524" s="12" t="str">
        <x:f>IF(OR(M1524="unavailable",O1524="unavailable"),"不可评价",IF(AND(OR(M1524="positive",M1524="equivocal"),OR(O1524="positive",O1524="equivocal")),"a",IF(OR(O1524="positive",O1524="equivocal"),"b",IF(OR(M1524="positive",M1524="equivocal"),"c","d"))))</x:f>
        <x:v>d</x:v>
      </x:c>
      <x:c r="AB1524" s="12" t="str">
        <x:f>IF(OR(M1524="unavailable",O1524="unavailable"),"不可评价",IF(AND(M1524="positive",O1524="positive"),"a",IF(O1524="positive","b",IF(M1524="positive","c","d"))))</x:f>
        <x:v>d</x:v>
      </x:c>
      <x:c r="AC1524" s="12" t="str">
        <x:f>IF(OR(R1524="unavailable",T1524="unavailable"),"不可评价",IF(AND(OR(R1524="positive",R1524="equivocal"),OR(T1524="positive",T1524="equivocal")),"a",IF(OR(T1524="positive",T1524="equivocal"),"b",IF(OR(R1524="positive",R1524="equivocal"),"c","d"))))</x:f>
        <x:v>d</x:v>
      </x:c>
      <x:c r="AD1524" s="12" t="str">
        <x:f>IF(OR(R1524="unavailable",T1524="unavailable"),"不可评价",IF(AND(R1524="positive",T1524="positive"),"a",IF(T1524="positive","b",IF(R1524="positive","c","d"))))</x:f>
        <x:v>d</x:v>
      </x:c>
      <x:c r="AE1524" s="12" t="str">
        <x:f>IF(OR(W1524="unavailable",Y1524="unavailable"),"不可评价",IF(AND(OR(W1524="positive",W1524="equivocal"),OR(Y1524="positive",Y1524="equivocal")),"a",IF(OR(Y1524="positive",Y1524="equivocal"),"b",IF(OR(W1524="positive",W1524="equivocal"),"c","d"))))</x:f>
        <x:v>d</x:v>
      </x:c>
      <x:c r="AF1524" s="12" t="str">
        <x:f>IF(OR(W1524="unavailable",Y1524="unavailable"),"不可评价",IF(AND(W1524="positive",Y1524="positive"),"a",IF(Y1524="positive","b",IF(W1524="positive","c","d"))))</x:f>
        <x:v>d</x:v>
      </x:c>
    </x:row>
    <x:row r="1525" ht="24" customHeight="1">
      <x:c r="A1525" s="12" t="str">
        <x:v>14146</x:v>
      </x:c>
      <x:c r="B1525" s="12" t="str">
        <x:v>19513</x:v>
      </x:c>
      <x:c r="C1525" s="21" t="n">
        <x:v>34833.52122685185</x:v>
      </x:c>
      <x:c r="D1525" s="12" t="n">
        <x:v>55</x:v>
      </x:c>
      <x:c r="E1525" s="12" t="n">
        <x:v>0</x:v>
      </x:c>
      <x:c r="F1525" s="12" t="str">
        <x:v>存在</x:v>
      </x:c>
      <x:c r="G1525" s="12" t="n">
        <x:v>1</x:v>
      </x:c>
      <x:c r="H1525" s="12" t="str">
        <x:v>{'NORM': 80.0, 'SR': 0.0}</x:v>
      </x:c>
      <x:c r="I1525" s="12" t="str">
        <x:v>[('NSR', 100.0), ('BORDE', 100.0)]</x:v>
      </x:c>
      <x:c r="J1525" s="12" t="str">
        <x:v>ptbxl_database.csv；ecg_id=14146；scp_codes</x:v>
      </x:c>
      <x:c r="K1525" s="12" t="str">
        <x:v>12sl_statements.csv；ecg_id=14146；statements_ext_snomed</x:v>
      </x:c>
      <x:c r="L1525" s="12"/>
      <x:c r="M1525" s="12" t="str">
        <x:v>negative</x:v>
      </x:c>
      <x:c r="N1525" s="12"/>
      <x:c r="O1525" s="12" t="str">
        <x:v>negative</x:v>
      </x:c>
      <x:c r="P1525" s="12" t="str">
        <x:f>IF(OR(M1525="unavailable",O1525="unavailable"),"不可评价",IF(OR(M1525="equivocal",O1525="equivocal"),"疑似",IF(AND(M1525="positive",O1525="positive"),"a",IF(O1525="positive","b",IF(M1525="positive","c","d")))))</x:f>
        <x:v>d</x:v>
      </x:c>
      <x:c r="Q1525" s="12"/>
      <x:c r="R1525" s="12" t="str">
        <x:v>negative</x:v>
      </x:c>
      <x:c r="S1525" s="12"/>
      <x:c r="T1525" s="12" t="str">
        <x:v>negative</x:v>
      </x:c>
      <x:c r="U1525" s="12" t="str">
        <x:f>IF(OR(R1525="unavailable",T1525="unavailable"),"不可评价",IF(OR(R1525="equivocal",T1525="equivocal"),"疑似",IF(AND(R1525="positive",T1525="positive"),"a",IF(T1525="positive","b",IF(R1525="positive","c","d")))))</x:f>
        <x:v>d</x:v>
      </x:c>
      <x:c r="V1525" s="12"/>
      <x:c r="W1525" s="12" t="str">
        <x:v>negative</x:v>
      </x:c>
      <x:c r="X1525" s="12"/>
      <x:c r="Y1525" s="12" t="str">
        <x:v>negative</x:v>
      </x:c>
      <x:c r="Z1525" s="12" t="str">
        <x:f>IF(OR(W1525="unavailable",Y1525="unavailable"),"不可评价",IF(OR(W1525="equivocal",Y1525="equivocal"),"疑似",IF(AND(W1525="positive",Y1525="positive"),"a",IF(Y1525="positive","b",IF(W1525="positive","c","d")))))</x:f>
        <x:v>d</x:v>
      </x:c>
      <x:c r="AA1525" s="12" t="str">
        <x:f>IF(OR(M1525="unavailable",O1525="unavailable"),"不可评价",IF(AND(OR(M1525="positive",M1525="equivocal"),OR(O1525="positive",O1525="equivocal")),"a",IF(OR(O1525="positive",O1525="equivocal"),"b",IF(OR(M1525="positive",M1525="equivocal"),"c","d"))))</x:f>
        <x:v>d</x:v>
      </x:c>
      <x:c r="AB1525" s="12" t="str">
        <x:f>IF(OR(M1525="unavailable",O1525="unavailable"),"不可评价",IF(AND(M1525="positive",O1525="positive"),"a",IF(O1525="positive","b",IF(M1525="positive","c","d"))))</x:f>
        <x:v>d</x:v>
      </x:c>
      <x:c r="AC1525" s="12" t="str">
        <x:f>IF(OR(R1525="unavailable",T1525="unavailable"),"不可评价",IF(AND(OR(R1525="positive",R1525="equivocal"),OR(T1525="positive",T1525="equivocal")),"a",IF(OR(T1525="positive",T1525="equivocal"),"b",IF(OR(R1525="positive",R1525="equivocal"),"c","d"))))</x:f>
        <x:v>d</x:v>
      </x:c>
      <x:c r="AD1525" s="12" t="str">
        <x:f>IF(OR(R1525="unavailable",T1525="unavailable"),"不可评价",IF(AND(R1525="positive",T1525="positive"),"a",IF(T1525="positive","b",IF(R1525="positive","c","d"))))</x:f>
        <x:v>d</x:v>
      </x:c>
      <x:c r="AE1525" s="12" t="str">
        <x:f>IF(OR(W1525="unavailable",Y1525="unavailable"),"不可评价",IF(AND(OR(W1525="positive",W1525="equivocal"),OR(Y1525="positive",Y1525="equivocal")),"a",IF(OR(Y1525="positive",Y1525="equivocal"),"b",IF(OR(W1525="positive",W1525="equivocal"),"c","d"))))</x:f>
        <x:v>d</x:v>
      </x:c>
      <x:c r="AF1525" s="12" t="str">
        <x:f>IF(OR(W1525="unavailable",Y1525="unavailable"),"不可评价",IF(AND(W1525="positive",Y1525="positive"),"a",IF(Y1525="positive","b",IF(W1525="positive","c","d"))))</x:f>
        <x:v>d</x:v>
      </x:c>
    </x:row>
    <x:row r="1526" ht="24" customHeight="1">
      <x:c r="A1526" s="12" t="str">
        <x:v>14149</x:v>
      </x:c>
      <x:c r="B1526" s="12" t="str">
        <x:v>15879</x:v>
      </x:c>
      <x:c r="C1526" s="21" t="n">
        <x:v>34836.78025462963</x:v>
      </x:c>
      <x:c r="D1526" s="12" t="n">
        <x:v>62</x:v>
      </x:c>
      <x:c r="E1526" s="12" t="n">
        <x:v>1</x:v>
      </x:c>
      <x:c r="F1526" s="12" t="str">
        <x:v>未记录</x:v>
      </x:c>
      <x:c r="G1526" s="12" t="n">
        <x:v>1</x:v>
      </x:c>
      <x:c r="H1526" s="12" t="str">
        <x:v>{'NORM': 100.0, 'SR': 0.0}</x:v>
      </x:c>
      <x:c r="I1526" s="12" t="str">
        <x:v>[('NSR', 100.0), ('NST', 100.0), ('AB', 100.0)]</x:v>
      </x:c>
      <x:c r="J1526" s="12" t="str">
        <x:v>ptbxl_database.csv；ecg_id=14149；scp_codes</x:v>
      </x:c>
      <x:c r="K1526" s="12" t="str">
        <x:v>12sl_statements.csv；ecg_id=14149；statements_ext_snomed</x:v>
      </x:c>
      <x:c r="L1526" s="12"/>
      <x:c r="M1526" s="12" t="str">
        <x:v>negative</x:v>
      </x:c>
      <x:c r="N1526" s="12"/>
      <x:c r="O1526" s="12" t="str">
        <x:v>negative</x:v>
      </x:c>
      <x:c r="P1526" s="12" t="str">
        <x:f>IF(OR(M1526="unavailable",O1526="unavailable"),"不可评价",IF(OR(M1526="equivocal",O1526="equivocal"),"疑似",IF(AND(M1526="positive",O1526="positive"),"a",IF(O1526="positive","b",IF(M1526="positive","c","d")))))</x:f>
        <x:v>d</x:v>
      </x:c>
      <x:c r="Q1526" s="12"/>
      <x:c r="R1526" s="12" t="str">
        <x:v>negative</x:v>
      </x:c>
      <x:c r="S1526" s="12"/>
      <x:c r="T1526" s="12" t="str">
        <x:v>negative</x:v>
      </x:c>
      <x:c r="U1526" s="12" t="str">
        <x:f>IF(OR(R1526="unavailable",T1526="unavailable"),"不可评价",IF(OR(R1526="equivocal",T1526="equivocal"),"疑似",IF(AND(R1526="positive",T1526="positive"),"a",IF(T1526="positive","b",IF(R1526="positive","c","d")))))</x:f>
        <x:v>d</x:v>
      </x:c>
      <x:c r="V1526" s="12"/>
      <x:c r="W1526" s="12" t="str">
        <x:v>negative</x:v>
      </x:c>
      <x:c r="X1526" s="12"/>
      <x:c r="Y1526" s="12" t="str">
        <x:v>negative</x:v>
      </x:c>
      <x:c r="Z1526" s="12" t="str">
        <x:f>IF(OR(W1526="unavailable",Y1526="unavailable"),"不可评价",IF(OR(W1526="equivocal",Y1526="equivocal"),"疑似",IF(AND(W1526="positive",Y1526="positive"),"a",IF(Y1526="positive","b",IF(W1526="positive","c","d")))))</x:f>
        <x:v>d</x:v>
      </x:c>
      <x:c r="AA1526" s="12" t="str">
        <x:f>IF(OR(M1526="unavailable",O1526="unavailable"),"不可评价",IF(AND(OR(M1526="positive",M1526="equivocal"),OR(O1526="positive",O1526="equivocal")),"a",IF(OR(O1526="positive",O1526="equivocal"),"b",IF(OR(M1526="positive",M1526="equivocal"),"c","d"))))</x:f>
        <x:v>d</x:v>
      </x:c>
      <x:c r="AB1526" s="12" t="str">
        <x:f>IF(OR(M1526="unavailable",O1526="unavailable"),"不可评价",IF(AND(M1526="positive",O1526="positive"),"a",IF(O1526="positive","b",IF(M1526="positive","c","d"))))</x:f>
        <x:v>d</x:v>
      </x:c>
      <x:c r="AC1526" s="12" t="str">
        <x:f>IF(OR(R1526="unavailable",T1526="unavailable"),"不可评价",IF(AND(OR(R1526="positive",R1526="equivocal"),OR(T1526="positive",T1526="equivocal")),"a",IF(OR(T1526="positive",T1526="equivocal"),"b",IF(OR(R1526="positive",R1526="equivocal"),"c","d"))))</x:f>
        <x:v>d</x:v>
      </x:c>
      <x:c r="AD1526" s="12" t="str">
        <x:f>IF(OR(R1526="unavailable",T1526="unavailable"),"不可评价",IF(AND(R1526="positive",T1526="positive"),"a",IF(T1526="positive","b",IF(R1526="positive","c","d"))))</x:f>
        <x:v>d</x:v>
      </x:c>
      <x:c r="AE1526" s="12" t="str">
        <x:f>IF(OR(W1526="unavailable",Y1526="unavailable"),"不可评价",IF(AND(OR(W1526="positive",W1526="equivocal"),OR(Y1526="positive",Y1526="equivocal")),"a",IF(OR(Y1526="positive",Y1526="equivocal"),"b",IF(OR(W1526="positive",W1526="equivocal"),"c","d"))))</x:f>
        <x:v>d</x:v>
      </x:c>
      <x:c r="AF1526" s="12" t="str">
        <x:f>IF(OR(W1526="unavailable",Y1526="unavailable"),"不可评价",IF(AND(W1526="positive",Y1526="positive"),"a",IF(Y1526="positive","b",IF(W1526="positive","c","d"))))</x:f>
        <x:v>d</x:v>
      </x:c>
    </x:row>
    <x:row r="1527" ht="24" customHeight="1">
      <x:c r="A1527" s="12" t="str">
        <x:v>14159</x:v>
      </x:c>
      <x:c r="B1527" s="12" t="str">
        <x:v>19513</x:v>
      </x:c>
      <x:c r="C1527" s="21" t="n">
        <x:v>34840.510358796295</x:v>
      </x:c>
      <x:c r="D1527" s="12" t="n">
        <x:v>55</x:v>
      </x:c>
      <x:c r="E1527" s="12" t="n">
        <x:v>0</x:v>
      </x:c>
      <x:c r="F1527" s="12" t="str">
        <x:v>存在</x:v>
      </x:c>
      <x:c r="G1527" s="12" t="n">
        <x:v>0</x:v>
      </x:c>
      <x:c r="H1527" s="12" t="str">
        <x:v>{'NORM': 100.0, 'SR': 0.0}</x:v>
      </x:c>
      <x:c r="I1527" s="12" t="str">
        <x:v>[('NSR', 100.0), ('BORDE', 100.0)]</x:v>
      </x:c>
      <x:c r="J1527" s="12" t="str">
        <x:v>ptbxl_database.csv；ecg_id=14159；scp_codes</x:v>
      </x:c>
      <x:c r="K1527" s="12" t="str">
        <x:v>12sl_statements.csv；ecg_id=14159；statements_ext_snomed</x:v>
      </x:c>
      <x:c r="L1527" s="12"/>
      <x:c r="M1527" s="12" t="str">
        <x:v>negative</x:v>
      </x:c>
      <x:c r="N1527" s="12"/>
      <x:c r="O1527" s="12" t="str">
        <x:v>negative</x:v>
      </x:c>
      <x:c r="P1527" s="12" t="str">
        <x:f>IF(OR(M1527="unavailable",O1527="unavailable"),"不可评价",IF(OR(M1527="equivocal",O1527="equivocal"),"疑似",IF(AND(M1527="positive",O1527="positive"),"a",IF(O1527="positive","b",IF(M1527="positive","c","d")))))</x:f>
        <x:v>d</x:v>
      </x:c>
      <x:c r="Q1527" s="12"/>
      <x:c r="R1527" s="12" t="str">
        <x:v>negative</x:v>
      </x:c>
      <x:c r="S1527" s="12"/>
      <x:c r="T1527" s="12" t="str">
        <x:v>negative</x:v>
      </x:c>
      <x:c r="U1527" s="12" t="str">
        <x:f>IF(OR(R1527="unavailable",T1527="unavailable"),"不可评价",IF(OR(R1527="equivocal",T1527="equivocal"),"疑似",IF(AND(R1527="positive",T1527="positive"),"a",IF(T1527="positive","b",IF(R1527="positive","c","d")))))</x:f>
        <x:v>d</x:v>
      </x:c>
      <x:c r="V1527" s="12"/>
      <x:c r="W1527" s="12" t="str">
        <x:v>negative</x:v>
      </x:c>
      <x:c r="X1527" s="12"/>
      <x:c r="Y1527" s="12" t="str">
        <x:v>negative</x:v>
      </x:c>
      <x:c r="Z1527" s="12" t="str">
        <x:f>IF(OR(W1527="unavailable",Y1527="unavailable"),"不可评价",IF(OR(W1527="equivocal",Y1527="equivocal"),"疑似",IF(AND(W1527="positive",Y1527="positive"),"a",IF(Y1527="positive","b",IF(W1527="positive","c","d")))))</x:f>
        <x:v>d</x:v>
      </x:c>
      <x:c r="AA1527" s="12" t="str">
        <x:f>IF(OR(M1527="unavailable",O1527="unavailable"),"不可评价",IF(AND(OR(M1527="positive",M1527="equivocal"),OR(O1527="positive",O1527="equivocal")),"a",IF(OR(O1527="positive",O1527="equivocal"),"b",IF(OR(M1527="positive",M1527="equivocal"),"c","d"))))</x:f>
        <x:v>d</x:v>
      </x:c>
      <x:c r="AB1527" s="12" t="str">
        <x:f>IF(OR(M1527="unavailable",O1527="unavailable"),"不可评价",IF(AND(M1527="positive",O1527="positive"),"a",IF(O1527="positive","b",IF(M1527="positive","c","d"))))</x:f>
        <x:v>d</x:v>
      </x:c>
      <x:c r="AC1527" s="12" t="str">
        <x:f>IF(OR(R1527="unavailable",T1527="unavailable"),"不可评价",IF(AND(OR(R1527="positive",R1527="equivocal"),OR(T1527="positive",T1527="equivocal")),"a",IF(OR(T1527="positive",T1527="equivocal"),"b",IF(OR(R1527="positive",R1527="equivocal"),"c","d"))))</x:f>
        <x:v>d</x:v>
      </x:c>
      <x:c r="AD1527" s="12" t="str">
        <x:f>IF(OR(R1527="unavailable",T1527="unavailable"),"不可评价",IF(AND(R1527="positive",T1527="positive"),"a",IF(T1527="positive","b",IF(R1527="positive","c","d"))))</x:f>
        <x:v>d</x:v>
      </x:c>
      <x:c r="AE1527" s="12" t="str">
        <x:f>IF(OR(W1527="unavailable",Y1527="unavailable"),"不可评价",IF(AND(OR(W1527="positive",W1527="equivocal"),OR(Y1527="positive",Y1527="equivocal")),"a",IF(OR(Y1527="positive",Y1527="equivocal"),"b",IF(OR(W1527="positive",W1527="equivocal"),"c","d"))))</x:f>
        <x:v>d</x:v>
      </x:c>
      <x:c r="AF1527" s="12" t="str">
        <x:f>IF(OR(W1527="unavailable",Y1527="unavailable"),"不可评价",IF(AND(W1527="positive",Y1527="positive"),"a",IF(Y1527="positive","b",IF(W1527="positive","c","d"))))</x:f>
        <x:v>d</x:v>
      </x:c>
    </x:row>
    <x:row r="1528" ht="24" customHeight="1">
      <x:c r="A1528" s="12" t="str">
        <x:v>14166</x:v>
      </x:c>
      <x:c r="B1528" s="12" t="str">
        <x:v>19511</x:v>
      </x:c>
      <x:c r="C1528" s="21" t="n">
        <x:v>34845.40862268519</x:v>
      </x:c>
      <x:c r="D1528" s="12" t="n">
        <x:v>79</x:v>
      </x:c>
      <x:c r="E1528" s="12" t="n">
        <x:v>0</x:v>
      </x:c>
      <x:c r="F1528" s="12" t="str">
        <x:v>未记录</x:v>
      </x:c>
      <x:c r="G1528" s="12" t="n">
        <x:v>1</x:v>
      </x:c>
      <x:c r="H1528" s="12" t="str">
        <x:v>{'1AVB': 100.0, 'ISCAS': 50.0, 'SR': 0.0}</x:v>
      </x:c>
      <x:c r="I1528" s="12" t="str">
        <x:v>[('SRTH', 100.0), ('FAV', 100.0), ('NT', 100.0), ('AB', 100.0)]</x:v>
      </x:c>
      <x:c r="J1528" s="12" t="str">
        <x:v>ptbxl_database.csv；ecg_id=14166；scp_codes</x:v>
      </x:c>
      <x:c r="K1528" s="12" t="str">
        <x:v>12sl_statements.csv；ecg_id=14166；statements_ext_snomed</x:v>
      </x:c>
      <x:c r="L1528" s="12"/>
      <x:c r="M1528" s="12" t="str">
        <x:v>negative</x:v>
      </x:c>
      <x:c r="N1528" s="12"/>
      <x:c r="O1528" s="12" t="str">
        <x:v>negative</x:v>
      </x:c>
      <x:c r="P1528" s="12" t="str">
        <x:f>IF(OR(M1528="unavailable",O1528="unavailable"),"不可评价",IF(OR(M1528="equivocal",O1528="equivocal"),"疑似",IF(AND(M1528="positive",O1528="positive"),"a",IF(O1528="positive","b",IF(M1528="positive","c","d")))))</x:f>
        <x:v>d</x:v>
      </x:c>
      <x:c r="Q1528" s="12"/>
      <x:c r="R1528" s="12" t="str">
        <x:v>negative</x:v>
      </x:c>
      <x:c r="S1528" s="12"/>
      <x:c r="T1528" s="12" t="str">
        <x:v>negative</x:v>
      </x:c>
      <x:c r="U1528" s="12" t="str">
        <x:f>IF(OR(R1528="unavailable",T1528="unavailable"),"不可评价",IF(OR(R1528="equivocal",T1528="equivocal"),"疑似",IF(AND(R1528="positive",T1528="positive"),"a",IF(T1528="positive","b",IF(R1528="positive","c","d")))))</x:f>
        <x:v>d</x:v>
      </x:c>
      <x:c r="V1528" s="12"/>
      <x:c r="W1528" s="12" t="str">
        <x:v>negative</x:v>
      </x:c>
      <x:c r="X1528" s="12"/>
      <x:c r="Y1528" s="12" t="str">
        <x:v>negative</x:v>
      </x:c>
      <x:c r="Z1528" s="12" t="str">
        <x:f>IF(OR(W1528="unavailable",Y1528="unavailable"),"不可评价",IF(OR(W1528="equivocal",Y1528="equivocal"),"疑似",IF(AND(W1528="positive",Y1528="positive"),"a",IF(Y1528="positive","b",IF(W1528="positive","c","d")))))</x:f>
        <x:v>d</x:v>
      </x:c>
      <x:c r="AA1528" s="12" t="str">
        <x:f>IF(OR(M1528="unavailable",O1528="unavailable"),"不可评价",IF(AND(OR(M1528="positive",M1528="equivocal"),OR(O1528="positive",O1528="equivocal")),"a",IF(OR(O1528="positive",O1528="equivocal"),"b",IF(OR(M1528="positive",M1528="equivocal"),"c","d"))))</x:f>
        <x:v>d</x:v>
      </x:c>
      <x:c r="AB1528" s="12" t="str">
        <x:f>IF(OR(M1528="unavailable",O1528="unavailable"),"不可评价",IF(AND(M1528="positive",O1528="positive"),"a",IF(O1528="positive","b",IF(M1528="positive","c","d"))))</x:f>
        <x:v>d</x:v>
      </x:c>
      <x:c r="AC1528" s="12" t="str">
        <x:f>IF(OR(R1528="unavailable",T1528="unavailable"),"不可评价",IF(AND(OR(R1528="positive",R1528="equivocal"),OR(T1528="positive",T1528="equivocal")),"a",IF(OR(T1528="positive",T1528="equivocal"),"b",IF(OR(R1528="positive",R1528="equivocal"),"c","d"))))</x:f>
        <x:v>d</x:v>
      </x:c>
      <x:c r="AD1528" s="12" t="str">
        <x:f>IF(OR(R1528="unavailable",T1528="unavailable"),"不可评价",IF(AND(R1528="positive",T1528="positive"),"a",IF(T1528="positive","b",IF(R1528="positive","c","d"))))</x:f>
        <x:v>d</x:v>
      </x:c>
      <x:c r="AE1528" s="12" t="str">
        <x:f>IF(OR(W1528="unavailable",Y1528="unavailable"),"不可评价",IF(AND(OR(W1528="positive",W1528="equivocal"),OR(Y1528="positive",Y1528="equivocal")),"a",IF(OR(Y1528="positive",Y1528="equivocal"),"b",IF(OR(W1528="positive",W1528="equivocal"),"c","d"))))</x:f>
        <x:v>d</x:v>
      </x:c>
      <x:c r="AF1528" s="12" t="str">
        <x:f>IF(OR(W1528="unavailable",Y1528="unavailable"),"不可评价",IF(AND(W1528="positive",Y1528="positive"),"a",IF(Y1528="positive","b",IF(W1528="positive","c","d"))))</x:f>
        <x:v>d</x:v>
      </x:c>
    </x:row>
    <x:row r="1529" ht="24" customHeight="1">
      <x:c r="A1529" s="12" t="str">
        <x:v>14167</x:v>
      </x:c>
      <x:c r="B1529" s="12" t="str">
        <x:v>15023</x:v>
      </x:c>
      <x:c r="C1529" s="21" t="n">
        <x:v>34845.6459375</x:v>
      </x:c>
      <x:c r="D1529" s="12" t="n">
        <x:v>80</x:v>
      </x:c>
      <x:c r="E1529" s="12" t="n">
        <x:v>1</x:v>
      </x:c>
      <x:c r="F1529" s="12" t="str">
        <x:v>未记录</x:v>
      </x:c>
      <x:c r="G1529" s="12" t="n">
        <x:v>1</x:v>
      </x:c>
      <x:c r="H1529" s="12" t="str">
        <x:v>{'LVH': 100.0, 'NDT': 100.0, 'PVC': 100.0, 'ABQRS': 0.0, 'SBRAD': 0.0}</x:v>
      </x:c>
      <x:c r="I1529" s="12" t="str">
        <x:v>[('SBRAD', 100.0), ('PVC', 100.0), ('AMI;AU', 15.0), ('AB', 100.0)]</x:v>
      </x:c>
      <x:c r="J1529" s="12" t="str">
        <x:v>ptbxl_database.csv；ecg_id=14167；scp_codes</x:v>
      </x:c>
      <x:c r="K1529" s="12" t="str">
        <x:v>12sl_statements.csv；ecg_id=14167；statements_ext_snomed</x:v>
      </x:c>
      <x:c r="L1529" s="12"/>
      <x:c r="M1529" s="12" t="str">
        <x:v>negative</x:v>
      </x:c>
      <x:c r="N1529" s="12"/>
      <x:c r="O1529" s="12" t="str">
        <x:v>negative</x:v>
      </x:c>
      <x:c r="P1529" s="12" t="str">
        <x:f>IF(OR(M1529="unavailable",O1529="unavailable"),"不可评价",IF(OR(M1529="equivocal",O1529="equivocal"),"疑似",IF(AND(M1529="positive",O1529="positive"),"a",IF(O1529="positive","b",IF(M1529="positive","c","d")))))</x:f>
        <x:v>d</x:v>
      </x:c>
      <x:c r="Q1529" s="12"/>
      <x:c r="R1529" s="12" t="str">
        <x:v>negative</x:v>
      </x:c>
      <x:c r="S1529" s="12"/>
      <x:c r="T1529" s="12" t="str">
        <x:v>negative</x:v>
      </x:c>
      <x:c r="U1529" s="12" t="str">
        <x:f>IF(OR(R1529="unavailable",T1529="unavailable"),"不可评价",IF(OR(R1529="equivocal",T1529="equivocal"),"疑似",IF(AND(R1529="positive",T1529="positive"),"a",IF(T1529="positive","b",IF(R1529="positive","c","d")))))</x:f>
        <x:v>d</x:v>
      </x:c>
      <x:c r="V1529" s="12"/>
      <x:c r="W1529" s="12" t="str">
        <x:v>negative</x:v>
      </x:c>
      <x:c r="X1529" s="12"/>
      <x:c r="Y1529" s="12" t="str">
        <x:v>negative</x:v>
      </x:c>
      <x:c r="Z1529" s="12" t="str">
        <x:f>IF(OR(W1529="unavailable",Y1529="unavailable"),"不可评价",IF(OR(W1529="equivocal",Y1529="equivocal"),"疑似",IF(AND(W1529="positive",Y1529="positive"),"a",IF(Y1529="positive","b",IF(W1529="positive","c","d")))))</x:f>
        <x:v>d</x:v>
      </x:c>
      <x:c r="AA1529" s="12" t="str">
        <x:f>IF(OR(M1529="unavailable",O1529="unavailable"),"不可评价",IF(AND(OR(M1529="positive",M1529="equivocal"),OR(O1529="positive",O1529="equivocal")),"a",IF(OR(O1529="positive",O1529="equivocal"),"b",IF(OR(M1529="positive",M1529="equivocal"),"c","d"))))</x:f>
        <x:v>d</x:v>
      </x:c>
      <x:c r="AB1529" s="12" t="str">
        <x:f>IF(OR(M1529="unavailable",O1529="unavailable"),"不可评价",IF(AND(M1529="positive",O1529="positive"),"a",IF(O1529="positive","b",IF(M1529="positive","c","d"))))</x:f>
        <x:v>d</x:v>
      </x:c>
      <x:c r="AC1529" s="12" t="str">
        <x:f>IF(OR(R1529="unavailable",T1529="unavailable"),"不可评价",IF(AND(OR(R1529="positive",R1529="equivocal"),OR(T1529="positive",T1529="equivocal")),"a",IF(OR(T1529="positive",T1529="equivocal"),"b",IF(OR(R1529="positive",R1529="equivocal"),"c","d"))))</x:f>
        <x:v>d</x:v>
      </x:c>
      <x:c r="AD1529" s="12" t="str">
        <x:f>IF(OR(R1529="unavailable",T1529="unavailable"),"不可评价",IF(AND(R1529="positive",T1529="positive"),"a",IF(T1529="positive","b",IF(R1529="positive","c","d"))))</x:f>
        <x:v>d</x:v>
      </x:c>
      <x:c r="AE1529" s="12" t="str">
        <x:f>IF(OR(W1529="unavailable",Y1529="unavailable"),"不可评价",IF(AND(OR(W1529="positive",W1529="equivocal"),OR(Y1529="positive",Y1529="equivocal")),"a",IF(OR(Y1529="positive",Y1529="equivocal"),"b",IF(OR(W1529="positive",W1529="equivocal"),"c","d"))))</x:f>
        <x:v>d</x:v>
      </x:c>
      <x:c r="AF1529" s="12" t="str">
        <x:f>IF(OR(W1529="unavailable",Y1529="unavailable"),"不可评价",IF(AND(W1529="positive",Y1529="positive"),"a",IF(Y1529="positive","b",IF(W1529="positive","c","d"))))</x:f>
        <x:v>d</x:v>
      </x:c>
    </x:row>
    <x:row r="1530" ht="24" customHeight="1">
      <x:c r="A1530" s="12" t="str">
        <x:v>14170</x:v>
      </x:c>
      <x:c r="B1530" s="12" t="str">
        <x:v>18905</x:v>
      </x:c>
      <x:c r="C1530" s="21" t="n">
        <x:v>34846.605104166665</x:v>
      </x:c>
      <x:c r="D1530" s="12" t="n">
        <x:v>59</x:v>
      </x:c>
      <x:c r="E1530" s="12" t="n">
        <x:v>0</x:v>
      </x:c>
      <x:c r="F1530" s="12" t="str">
        <x:v>未记录</x:v>
      </x:c>
      <x:c r="G1530" s="12" t="n">
        <x:v>1</x:v>
      </x:c>
      <x:c r="H1530" s="12" t="str">
        <x:v>{'NORM': 100.0, 'SR': 0.0}</x:v>
      </x:c>
      <x:c r="I1530" s="12" t="str">
        <x:v>[('NSR', 100.0), ('SAR', 100.0), ('NML', 100.0)]</x:v>
      </x:c>
      <x:c r="J1530" s="12" t="str">
        <x:v>ptbxl_database.csv；ecg_id=14170；scp_codes</x:v>
      </x:c>
      <x:c r="K1530" s="12" t="str">
        <x:v>12sl_statements.csv；ecg_id=14170；statements_ext_snomed</x:v>
      </x:c>
      <x:c r="L1530" s="12"/>
      <x:c r="M1530" s="12" t="str">
        <x:v>negative</x:v>
      </x:c>
      <x:c r="N1530" s="12"/>
      <x:c r="O1530" s="12" t="str">
        <x:v>negative</x:v>
      </x:c>
      <x:c r="P1530" s="12" t="str">
        <x:f>IF(OR(M1530="unavailable",O1530="unavailable"),"不可评价",IF(OR(M1530="equivocal",O1530="equivocal"),"疑似",IF(AND(M1530="positive",O1530="positive"),"a",IF(O1530="positive","b",IF(M1530="positive","c","d")))))</x:f>
        <x:v>d</x:v>
      </x:c>
      <x:c r="Q1530" s="12"/>
      <x:c r="R1530" s="12" t="str">
        <x:v>negative</x:v>
      </x:c>
      <x:c r="S1530" s="12"/>
      <x:c r="T1530" s="12" t="str">
        <x:v>negative</x:v>
      </x:c>
      <x:c r="U1530" s="12" t="str">
        <x:f>IF(OR(R1530="unavailable",T1530="unavailable"),"不可评价",IF(OR(R1530="equivocal",T1530="equivocal"),"疑似",IF(AND(R1530="positive",T1530="positive"),"a",IF(T1530="positive","b",IF(R1530="positive","c","d")))))</x:f>
        <x:v>d</x:v>
      </x:c>
      <x:c r="V1530" s="12"/>
      <x:c r="W1530" s="12" t="str">
        <x:v>negative</x:v>
      </x:c>
      <x:c r="X1530" s="12"/>
      <x:c r="Y1530" s="12" t="str">
        <x:v>negative</x:v>
      </x:c>
      <x:c r="Z1530" s="12" t="str">
        <x:f>IF(OR(W1530="unavailable",Y1530="unavailable"),"不可评价",IF(OR(W1530="equivocal",Y1530="equivocal"),"疑似",IF(AND(W1530="positive",Y1530="positive"),"a",IF(Y1530="positive","b",IF(W1530="positive","c","d")))))</x:f>
        <x:v>d</x:v>
      </x:c>
      <x:c r="AA1530" s="12" t="str">
        <x:f>IF(OR(M1530="unavailable",O1530="unavailable"),"不可评价",IF(AND(OR(M1530="positive",M1530="equivocal"),OR(O1530="positive",O1530="equivocal")),"a",IF(OR(O1530="positive",O1530="equivocal"),"b",IF(OR(M1530="positive",M1530="equivocal"),"c","d"))))</x:f>
        <x:v>d</x:v>
      </x:c>
      <x:c r="AB1530" s="12" t="str">
        <x:f>IF(OR(M1530="unavailable",O1530="unavailable"),"不可评价",IF(AND(M1530="positive",O1530="positive"),"a",IF(O1530="positive","b",IF(M1530="positive","c","d"))))</x:f>
        <x:v>d</x:v>
      </x:c>
      <x:c r="AC1530" s="12" t="str">
        <x:f>IF(OR(R1530="unavailable",T1530="unavailable"),"不可评价",IF(AND(OR(R1530="positive",R1530="equivocal"),OR(T1530="positive",T1530="equivocal")),"a",IF(OR(T1530="positive",T1530="equivocal"),"b",IF(OR(R1530="positive",R1530="equivocal"),"c","d"))))</x:f>
        <x:v>d</x:v>
      </x:c>
      <x:c r="AD1530" s="12" t="str">
        <x:f>IF(OR(R1530="unavailable",T1530="unavailable"),"不可评价",IF(AND(R1530="positive",T1530="positive"),"a",IF(T1530="positive","b",IF(R1530="positive","c","d"))))</x:f>
        <x:v>d</x:v>
      </x:c>
      <x:c r="AE1530" s="12" t="str">
        <x:f>IF(OR(W1530="unavailable",Y1530="unavailable"),"不可评价",IF(AND(OR(W1530="positive",W1530="equivocal"),OR(Y1530="positive",Y1530="equivocal")),"a",IF(OR(Y1530="positive",Y1530="equivocal"),"b",IF(OR(W1530="positive",W1530="equivocal"),"c","d"))))</x:f>
        <x:v>d</x:v>
      </x:c>
      <x:c r="AF1530" s="12" t="str">
        <x:f>IF(OR(W1530="unavailable",Y1530="unavailable"),"不可评价",IF(AND(W1530="positive",Y1530="positive"),"a",IF(Y1530="positive","b",IF(W1530="positive","c","d"))))</x:f>
        <x:v>d</x:v>
      </x:c>
    </x:row>
    <x:row r="1531" ht="24" customHeight="1">
      <x:c r="A1531" s="12" t="str">
        <x:v>14177</x:v>
      </x:c>
      <x:c r="B1531" s="12" t="str">
        <x:v>12745</x:v>
      </x:c>
      <x:c r="C1531" s="21" t="n">
        <x:v>34849.2365162037</x:v>
      </x:c>
      <x:c r="D1531" s="12" t="n">
        <x:v>32</x:v>
      </x:c>
      <x:c r="E1531" s="12" t="n">
        <x:v>0</x:v>
      </x:c>
      <x:c r="F1531" s="12" t="str">
        <x:v>存在</x:v>
      </x:c>
      <x:c r="G1531" s="12" t="n">
        <x:v>1</x:v>
      </x:c>
      <x:c r="H1531" s="12" t="str">
        <x:v>{'NORM': 100.0, 'SR': 0.0}</x:v>
      </x:c>
      <x:c r="I1531" s="12" t="str">
        <x:v>[('NSR', 100.0), ('NT', 100.0), ('AB', 100.0)]</x:v>
      </x:c>
      <x:c r="J1531" s="12" t="str">
        <x:v>ptbxl_database.csv；ecg_id=14177；scp_codes</x:v>
      </x:c>
      <x:c r="K1531" s="12" t="str">
        <x:v>12sl_statements.csv；ecg_id=14177；statements_ext_snomed</x:v>
      </x:c>
      <x:c r="L1531" s="12"/>
      <x:c r="M1531" s="12" t="str">
        <x:v>negative</x:v>
      </x:c>
      <x:c r="N1531" s="12"/>
      <x:c r="O1531" s="12" t="str">
        <x:v>negative</x:v>
      </x:c>
      <x:c r="P1531" s="12" t="str">
        <x:f>IF(OR(M1531="unavailable",O1531="unavailable"),"不可评价",IF(OR(M1531="equivocal",O1531="equivocal"),"疑似",IF(AND(M1531="positive",O1531="positive"),"a",IF(O1531="positive","b",IF(M1531="positive","c","d")))))</x:f>
        <x:v>d</x:v>
      </x:c>
      <x:c r="Q1531" s="12"/>
      <x:c r="R1531" s="12" t="str">
        <x:v>negative</x:v>
      </x:c>
      <x:c r="S1531" s="12"/>
      <x:c r="T1531" s="12" t="str">
        <x:v>negative</x:v>
      </x:c>
      <x:c r="U1531" s="12" t="str">
        <x:f>IF(OR(R1531="unavailable",T1531="unavailable"),"不可评价",IF(OR(R1531="equivocal",T1531="equivocal"),"疑似",IF(AND(R1531="positive",T1531="positive"),"a",IF(T1531="positive","b",IF(R1531="positive","c","d")))))</x:f>
        <x:v>d</x:v>
      </x:c>
      <x:c r="V1531" s="12"/>
      <x:c r="W1531" s="12" t="str">
        <x:v>negative</x:v>
      </x:c>
      <x:c r="X1531" s="12"/>
      <x:c r="Y1531" s="12" t="str">
        <x:v>negative</x:v>
      </x:c>
      <x:c r="Z1531" s="12" t="str">
        <x:f>IF(OR(W1531="unavailable",Y1531="unavailable"),"不可评价",IF(OR(W1531="equivocal",Y1531="equivocal"),"疑似",IF(AND(W1531="positive",Y1531="positive"),"a",IF(Y1531="positive","b",IF(W1531="positive","c","d")))))</x:f>
        <x:v>d</x:v>
      </x:c>
      <x:c r="AA1531" s="12" t="str">
        <x:f>IF(OR(M1531="unavailable",O1531="unavailable"),"不可评价",IF(AND(OR(M1531="positive",M1531="equivocal"),OR(O1531="positive",O1531="equivocal")),"a",IF(OR(O1531="positive",O1531="equivocal"),"b",IF(OR(M1531="positive",M1531="equivocal"),"c","d"))))</x:f>
        <x:v>d</x:v>
      </x:c>
      <x:c r="AB1531" s="12" t="str">
        <x:f>IF(OR(M1531="unavailable",O1531="unavailable"),"不可评价",IF(AND(M1531="positive",O1531="positive"),"a",IF(O1531="positive","b",IF(M1531="positive","c","d"))))</x:f>
        <x:v>d</x:v>
      </x:c>
      <x:c r="AC1531" s="12" t="str">
        <x:f>IF(OR(R1531="unavailable",T1531="unavailable"),"不可评价",IF(AND(OR(R1531="positive",R1531="equivocal"),OR(T1531="positive",T1531="equivocal")),"a",IF(OR(T1531="positive",T1531="equivocal"),"b",IF(OR(R1531="positive",R1531="equivocal"),"c","d"))))</x:f>
        <x:v>d</x:v>
      </x:c>
      <x:c r="AD1531" s="12" t="str">
        <x:f>IF(OR(R1531="unavailable",T1531="unavailable"),"不可评价",IF(AND(R1531="positive",T1531="positive"),"a",IF(T1531="positive","b",IF(R1531="positive","c","d"))))</x:f>
        <x:v>d</x:v>
      </x:c>
      <x:c r="AE1531" s="12" t="str">
        <x:f>IF(OR(W1531="unavailable",Y1531="unavailable"),"不可评价",IF(AND(OR(W1531="positive",W1531="equivocal"),OR(Y1531="positive",Y1531="equivocal")),"a",IF(OR(Y1531="positive",Y1531="equivocal"),"b",IF(OR(W1531="positive",W1531="equivocal"),"c","d"))))</x:f>
        <x:v>d</x:v>
      </x:c>
      <x:c r="AF1531" s="12" t="str">
        <x:f>IF(OR(W1531="unavailable",Y1531="unavailable"),"不可评价",IF(AND(W1531="positive",Y1531="positive"),"a",IF(Y1531="positive","b",IF(W1531="positive","c","d"))))</x:f>
        <x:v>d</x:v>
      </x:c>
    </x:row>
    <x:row r="1532" ht="24" customHeight="1">
      <x:c r="A1532" s="12" t="str">
        <x:v>14184</x:v>
      </x:c>
      <x:c r="B1532" s="12" t="str">
        <x:v>17691</x:v>
      </x:c>
      <x:c r="C1532" s="21" t="n">
        <x:v>34851.48002314815</x:v>
      </x:c>
      <x:c r="D1532" s="12" t="n">
        <x:v>71</x:v>
      </x:c>
      <x:c r="E1532" s="12" t="n">
        <x:v>0</x:v>
      </x:c>
      <x:c r="F1532" s="12" t="str">
        <x:v>存在</x:v>
      </x:c>
      <x:c r="G1532" s="12" t="n">
        <x:v>0</x:v>
      </x:c>
      <x:c r="H1532" s="12" t="str">
        <x:v>{'NORM': 100.0, 'SR': 0.0}</x:v>
      </x:c>
      <x:c r="I1532" s="12" t="str">
        <x:v>[('NSR', 100.0), ('NML', 100.0)]</x:v>
      </x:c>
      <x:c r="J1532" s="12" t="str">
        <x:v>ptbxl_database.csv；ecg_id=14184；scp_codes</x:v>
      </x:c>
      <x:c r="K1532" s="12" t="str">
        <x:v>12sl_statements.csv；ecg_id=14184；statements_ext_snomed</x:v>
      </x:c>
      <x:c r="L1532" s="12"/>
      <x:c r="M1532" s="12" t="str">
        <x:v>negative</x:v>
      </x:c>
      <x:c r="N1532" s="12"/>
      <x:c r="O1532" s="12" t="str">
        <x:v>negative</x:v>
      </x:c>
      <x:c r="P1532" s="12" t="str">
        <x:f>IF(OR(M1532="unavailable",O1532="unavailable"),"不可评价",IF(OR(M1532="equivocal",O1532="equivocal"),"疑似",IF(AND(M1532="positive",O1532="positive"),"a",IF(O1532="positive","b",IF(M1532="positive","c","d")))))</x:f>
        <x:v>d</x:v>
      </x:c>
      <x:c r="Q1532" s="12"/>
      <x:c r="R1532" s="12" t="str">
        <x:v>negative</x:v>
      </x:c>
      <x:c r="S1532" s="12"/>
      <x:c r="T1532" s="12" t="str">
        <x:v>negative</x:v>
      </x:c>
      <x:c r="U1532" s="12" t="str">
        <x:f>IF(OR(R1532="unavailable",T1532="unavailable"),"不可评价",IF(OR(R1532="equivocal",T1532="equivocal"),"疑似",IF(AND(R1532="positive",T1532="positive"),"a",IF(T1532="positive","b",IF(R1532="positive","c","d")))))</x:f>
        <x:v>d</x:v>
      </x:c>
      <x:c r="V1532" s="12"/>
      <x:c r="W1532" s="12" t="str">
        <x:v>negative</x:v>
      </x:c>
      <x:c r="X1532" s="12"/>
      <x:c r="Y1532" s="12" t="str">
        <x:v>negative</x:v>
      </x:c>
      <x:c r="Z1532" s="12" t="str">
        <x:f>IF(OR(W1532="unavailable",Y1532="unavailable"),"不可评价",IF(OR(W1532="equivocal",Y1532="equivocal"),"疑似",IF(AND(W1532="positive",Y1532="positive"),"a",IF(Y1532="positive","b",IF(W1532="positive","c","d")))))</x:f>
        <x:v>d</x:v>
      </x:c>
      <x:c r="AA1532" s="12" t="str">
        <x:f>IF(OR(M1532="unavailable",O1532="unavailable"),"不可评价",IF(AND(OR(M1532="positive",M1532="equivocal"),OR(O1532="positive",O1532="equivocal")),"a",IF(OR(O1532="positive",O1532="equivocal"),"b",IF(OR(M1532="positive",M1532="equivocal"),"c","d"))))</x:f>
        <x:v>d</x:v>
      </x:c>
      <x:c r="AB1532" s="12" t="str">
        <x:f>IF(OR(M1532="unavailable",O1532="unavailable"),"不可评价",IF(AND(M1532="positive",O1532="positive"),"a",IF(O1532="positive","b",IF(M1532="positive","c","d"))))</x:f>
        <x:v>d</x:v>
      </x:c>
      <x:c r="AC1532" s="12" t="str">
        <x:f>IF(OR(R1532="unavailable",T1532="unavailable"),"不可评价",IF(AND(OR(R1532="positive",R1532="equivocal"),OR(T1532="positive",T1532="equivocal")),"a",IF(OR(T1532="positive",T1532="equivocal"),"b",IF(OR(R1532="positive",R1532="equivocal"),"c","d"))))</x:f>
        <x:v>d</x:v>
      </x:c>
      <x:c r="AD1532" s="12" t="str">
        <x:f>IF(OR(R1532="unavailable",T1532="unavailable"),"不可评价",IF(AND(R1532="positive",T1532="positive"),"a",IF(T1532="positive","b",IF(R1532="positive","c","d"))))</x:f>
        <x:v>d</x:v>
      </x:c>
      <x:c r="AE1532" s="12" t="str">
        <x:f>IF(OR(W1532="unavailable",Y1532="unavailable"),"不可评价",IF(AND(OR(W1532="positive",W1532="equivocal"),OR(Y1532="positive",Y1532="equivocal")),"a",IF(OR(Y1532="positive",Y1532="equivocal"),"b",IF(OR(W1532="positive",W1532="equivocal"),"c","d"))))</x:f>
        <x:v>d</x:v>
      </x:c>
      <x:c r="AF1532" s="12" t="str">
        <x:f>IF(OR(W1532="unavailable",Y1532="unavailable"),"不可评价",IF(AND(W1532="positive",Y1532="positive"),"a",IF(Y1532="positive","b",IF(W1532="positive","c","d"))))</x:f>
        <x:v>d</x:v>
      </x:c>
    </x:row>
    <x:row r="1533" ht="24" customHeight="1">
      <x:c r="A1533" s="12" t="str">
        <x:v>14187</x:v>
      </x:c>
      <x:c r="B1533" s="12" t="str">
        <x:v>13838</x:v>
      </x:c>
      <x:c r="C1533" s="21" t="n">
        <x:v>34852.403391203705</x:v>
      </x:c>
      <x:c r="D1533" s="12" t="n">
        <x:v>45</x:v>
      </x:c>
      <x:c r="E1533" s="12" t="n">
        <x:v>0</x:v>
      </x:c>
      <x:c r="F1533" s="12" t="str">
        <x:v>未记录</x:v>
      </x:c>
      <x:c r="G1533" s="12" t="n">
        <x:v>1</x:v>
      </x:c>
      <x:c r="H1533" s="12" t="str">
        <x:v>{'NORM': 100.0, 'SR': 0.0}</x:v>
      </x:c>
      <x:c r="I1533" s="12" t="str">
        <x:v>[('NSR', 100.0), ('NML', 100.0)]</x:v>
      </x:c>
      <x:c r="J1533" s="12" t="str">
        <x:v>ptbxl_database.csv；ecg_id=14187；scp_codes</x:v>
      </x:c>
      <x:c r="K1533" s="12" t="str">
        <x:v>12sl_statements.csv；ecg_id=14187；statements_ext_snomed</x:v>
      </x:c>
      <x:c r="L1533" s="12"/>
      <x:c r="M1533" s="12" t="str">
        <x:v>negative</x:v>
      </x:c>
      <x:c r="N1533" s="12"/>
      <x:c r="O1533" s="12" t="str">
        <x:v>negative</x:v>
      </x:c>
      <x:c r="P1533" s="12" t="str">
        <x:f>IF(OR(M1533="unavailable",O1533="unavailable"),"不可评价",IF(OR(M1533="equivocal",O1533="equivocal"),"疑似",IF(AND(M1533="positive",O1533="positive"),"a",IF(O1533="positive","b",IF(M1533="positive","c","d")))))</x:f>
        <x:v>d</x:v>
      </x:c>
      <x:c r="Q1533" s="12"/>
      <x:c r="R1533" s="12" t="str">
        <x:v>negative</x:v>
      </x:c>
      <x:c r="S1533" s="12"/>
      <x:c r="T1533" s="12" t="str">
        <x:v>negative</x:v>
      </x:c>
      <x:c r="U1533" s="12" t="str">
        <x:f>IF(OR(R1533="unavailable",T1533="unavailable"),"不可评价",IF(OR(R1533="equivocal",T1533="equivocal"),"疑似",IF(AND(R1533="positive",T1533="positive"),"a",IF(T1533="positive","b",IF(R1533="positive","c","d")))))</x:f>
        <x:v>d</x:v>
      </x:c>
      <x:c r="V1533" s="12"/>
      <x:c r="W1533" s="12" t="str">
        <x:v>negative</x:v>
      </x:c>
      <x:c r="X1533" s="12"/>
      <x:c r="Y1533" s="12" t="str">
        <x:v>negative</x:v>
      </x:c>
      <x:c r="Z1533" s="12" t="str">
        <x:f>IF(OR(W1533="unavailable",Y1533="unavailable"),"不可评价",IF(OR(W1533="equivocal",Y1533="equivocal"),"疑似",IF(AND(W1533="positive",Y1533="positive"),"a",IF(Y1533="positive","b",IF(W1533="positive","c","d")))))</x:f>
        <x:v>d</x:v>
      </x:c>
      <x:c r="AA1533" s="12" t="str">
        <x:f>IF(OR(M1533="unavailable",O1533="unavailable"),"不可评价",IF(AND(OR(M1533="positive",M1533="equivocal"),OR(O1533="positive",O1533="equivocal")),"a",IF(OR(O1533="positive",O1533="equivocal"),"b",IF(OR(M1533="positive",M1533="equivocal"),"c","d"))))</x:f>
        <x:v>d</x:v>
      </x:c>
      <x:c r="AB1533" s="12" t="str">
        <x:f>IF(OR(M1533="unavailable",O1533="unavailable"),"不可评价",IF(AND(M1533="positive",O1533="positive"),"a",IF(O1533="positive","b",IF(M1533="positive","c","d"))))</x:f>
        <x:v>d</x:v>
      </x:c>
      <x:c r="AC1533" s="12" t="str">
        <x:f>IF(OR(R1533="unavailable",T1533="unavailable"),"不可评价",IF(AND(OR(R1533="positive",R1533="equivocal"),OR(T1533="positive",T1533="equivocal")),"a",IF(OR(T1533="positive",T1533="equivocal"),"b",IF(OR(R1533="positive",R1533="equivocal"),"c","d"))))</x:f>
        <x:v>d</x:v>
      </x:c>
      <x:c r="AD1533" s="12" t="str">
        <x:f>IF(OR(R1533="unavailable",T1533="unavailable"),"不可评价",IF(AND(R1533="positive",T1533="positive"),"a",IF(T1533="positive","b",IF(R1533="positive","c","d"))))</x:f>
        <x:v>d</x:v>
      </x:c>
      <x:c r="AE1533" s="12" t="str">
        <x:f>IF(OR(W1533="unavailable",Y1533="unavailable"),"不可评价",IF(AND(OR(W1533="positive",W1533="equivocal"),OR(Y1533="positive",Y1533="equivocal")),"a",IF(OR(Y1533="positive",Y1533="equivocal"),"b",IF(OR(W1533="positive",W1533="equivocal"),"c","d"))))</x:f>
        <x:v>d</x:v>
      </x:c>
      <x:c r="AF1533" s="12" t="str">
        <x:f>IF(OR(W1533="unavailable",Y1533="unavailable"),"不可评价",IF(AND(W1533="positive",Y1533="positive"),"a",IF(Y1533="positive","b",IF(W1533="positive","c","d"))))</x:f>
        <x:v>d</x:v>
      </x:c>
    </x:row>
    <x:row r="1534" ht="39" customHeight="1">
      <x:c r="A1534" s="12" t="str">
        <x:v>14192</x:v>
      </x:c>
      <x:c r="B1534" s="12" t="str">
        <x:v>11439</x:v>
      </x:c>
      <x:c r="C1534" s="21" t="n">
        <x:v>34853.4715625</x:v>
      </x:c>
      <x:c r="D1534" s="12" t="n">
        <x:v>83</x:v>
      </x:c>
      <x:c r="E1534" s="12" t="n">
        <x:v>0</x:v>
      </x:c>
      <x:c r="F1534" s="12" t="str">
        <x:v>未记录</x:v>
      </x:c>
      <x:c r="G1534" s="12" t="n">
        <x:v>1</x:v>
      </x:c>
      <x:c r="H1534" s="12" t="str">
        <x:v>{'ILMI': 50.0, 'ASMI': 50.0, 'CRBBB': 100.0, 'LAFB': 100.0, 'SR': 0.0}</x:v>
      </x:c>
      <x:c r="I1534" s="12" t="str">
        <x:v>[('NSR', 100.0), ('LAD3', 100.0), ('RBBB', 100.0), ('IMI;AU', 100.0), ('LT', 100.0), ('AB', 100.0)]</x:v>
      </x:c>
      <x:c r="J1534" s="12" t="str">
        <x:v>ptbxl_database.csv；ecg_id=14192；scp_codes</x:v>
      </x:c>
      <x:c r="K1534" s="12" t="str">
        <x:v>12sl_statements.csv；ecg_id=14192；statements_ext_snomed</x:v>
      </x:c>
      <x:c r="L1534" s="12"/>
      <x:c r="M1534" s="12" t="str">
        <x:v>negative</x:v>
      </x:c>
      <x:c r="N1534" s="12"/>
      <x:c r="O1534" s="12" t="str">
        <x:v>negative</x:v>
      </x:c>
      <x:c r="P1534" s="12" t="str">
        <x:f>IF(OR(M1534="unavailable",O1534="unavailable"),"不可评价",IF(OR(M1534="equivocal",O1534="equivocal"),"疑似",IF(AND(M1534="positive",O1534="positive"),"a",IF(O1534="positive","b",IF(M1534="positive","c","d")))))</x:f>
        <x:v>d</x:v>
      </x:c>
      <x:c r="Q1534" s="12"/>
      <x:c r="R1534" s="12" t="str">
        <x:v>negative</x:v>
      </x:c>
      <x:c r="S1534" s="12"/>
      <x:c r="T1534" s="12" t="str">
        <x:v>negative</x:v>
      </x:c>
      <x:c r="U1534" s="12" t="str">
        <x:f>IF(OR(R1534="unavailable",T1534="unavailable"),"不可评价",IF(OR(R1534="equivocal",T1534="equivocal"),"疑似",IF(AND(R1534="positive",T1534="positive"),"a",IF(T1534="positive","b",IF(R1534="positive","c","d")))))</x:f>
        <x:v>d</x:v>
      </x:c>
      <x:c r="V1534" s="12" t="n">
        <x:v>100</x:v>
      </x:c>
      <x:c r="W1534" s="12" t="str">
        <x:v>positive</x:v>
      </x:c>
      <x:c r="X1534" s="12" t="n">
        <x:v>100</x:v>
      </x:c>
      <x:c r="Y1534" s="12" t="str">
        <x:v>positive</x:v>
      </x:c>
      <x:c r="Z1534" s="12" t="str">
        <x:f>IF(OR(W1534="unavailable",Y1534="unavailable"),"不可评价",IF(OR(W1534="equivocal",Y1534="equivocal"),"疑似",IF(AND(W1534="positive",Y1534="positive"),"a",IF(Y1534="positive","b",IF(W1534="positive","c","d")))))</x:f>
        <x:v>a</x:v>
      </x:c>
      <x:c r="AA1534" s="12" t="str">
        <x:f>IF(OR(M1534="unavailable",O1534="unavailable"),"不可评价",IF(AND(OR(M1534="positive",M1534="equivocal"),OR(O1534="positive",O1534="equivocal")),"a",IF(OR(O1534="positive",O1534="equivocal"),"b",IF(OR(M1534="positive",M1534="equivocal"),"c","d"))))</x:f>
        <x:v>d</x:v>
      </x:c>
      <x:c r="AB1534" s="12" t="str">
        <x:f>IF(OR(M1534="unavailable",O1534="unavailable"),"不可评价",IF(AND(M1534="positive",O1534="positive"),"a",IF(O1534="positive","b",IF(M1534="positive","c","d"))))</x:f>
        <x:v>d</x:v>
      </x:c>
      <x:c r="AC1534" s="12" t="str">
        <x:f>IF(OR(R1534="unavailable",T1534="unavailable"),"不可评价",IF(AND(OR(R1534="positive",R1534="equivocal"),OR(T1534="positive",T1534="equivocal")),"a",IF(OR(T1534="positive",T1534="equivocal"),"b",IF(OR(R1534="positive",R1534="equivocal"),"c","d"))))</x:f>
        <x:v>d</x:v>
      </x:c>
      <x:c r="AD1534" s="12" t="str">
        <x:f>IF(OR(R1534="unavailable",T1534="unavailable"),"不可评价",IF(AND(R1534="positive",T1534="positive"),"a",IF(T1534="positive","b",IF(R1534="positive","c","d"))))</x:f>
        <x:v>d</x:v>
      </x:c>
      <x:c r="AE1534" s="12" t="str">
        <x:f>IF(OR(W1534="unavailable",Y1534="unavailable"),"不可评价",IF(AND(OR(W1534="positive",W1534="equivocal"),OR(Y1534="positive",Y1534="equivocal")),"a",IF(OR(Y1534="positive",Y1534="equivocal"),"b",IF(OR(W1534="positive",W1534="equivocal"),"c","d"))))</x:f>
        <x:v>a</x:v>
      </x:c>
      <x:c r="AF1534" s="12" t="str">
        <x:f>IF(OR(W1534="unavailable",Y1534="unavailable"),"不可评价",IF(AND(W1534="positive",Y1534="positive"),"a",IF(Y1534="positive","b",IF(W1534="positive","c","d"))))</x:f>
        <x:v>a</x:v>
      </x:c>
    </x:row>
    <x:row r="1535" ht="24" customHeight="1">
      <x:c r="A1535" s="12" t="str">
        <x:v>14194</x:v>
      </x:c>
      <x:c r="B1535" s="12" t="str">
        <x:v>19668</x:v>
      </x:c>
      <x:c r="C1535" s="21" t="n">
        <x:v>34853.77135416667</x:v>
      </x:c>
      <x:c r="D1535" s="12" t="n">
        <x:v>86</x:v>
      </x:c>
      <x:c r="E1535" s="12" t="n">
        <x:v>0</x:v>
      </x:c>
      <x:c r="F1535" s="12" t="str">
        <x:v>未记录</x:v>
      </x:c>
      <x:c r="G1535" s="12" t="n">
        <x:v>1</x:v>
      </x:c>
      <x:c r="H1535" s="12" t="str">
        <x:v>{'ALMI': 15.0, '1AVB': 100.0, 'ABQRS': 0.0, 'SR': 0.0}</x:v>
      </x:c>
      <x:c r="I1535" s="12" t="str">
        <x:v>[('SRTH', 100.0), ('FAV', 100.0), ('ABR', 100.0)]</x:v>
      </x:c>
      <x:c r="J1535" s="12" t="str">
        <x:v>ptbxl_database.csv；ecg_id=14194；scp_codes</x:v>
      </x:c>
      <x:c r="K1535" s="12" t="str">
        <x:v>12sl_statements.csv；ecg_id=14194；statements_ext_snomed</x:v>
      </x:c>
      <x:c r="L1535" s="12"/>
      <x:c r="M1535" s="12" t="str">
        <x:v>negative</x:v>
      </x:c>
      <x:c r="N1535" s="12"/>
      <x:c r="O1535" s="12" t="str">
        <x:v>negative</x:v>
      </x:c>
      <x:c r="P1535" s="12" t="str">
        <x:f>IF(OR(M1535="unavailable",O1535="unavailable"),"不可评价",IF(OR(M1535="equivocal",O1535="equivocal"),"疑似",IF(AND(M1535="positive",O1535="positive"),"a",IF(O1535="positive","b",IF(M1535="positive","c","d")))))</x:f>
        <x:v>d</x:v>
      </x:c>
      <x:c r="Q1535" s="12"/>
      <x:c r="R1535" s="12" t="str">
        <x:v>negative</x:v>
      </x:c>
      <x:c r="S1535" s="12"/>
      <x:c r="T1535" s="12" t="str">
        <x:v>negative</x:v>
      </x:c>
      <x:c r="U1535" s="12" t="str">
        <x:f>IF(OR(R1535="unavailable",T1535="unavailable"),"不可评价",IF(OR(R1535="equivocal",T1535="equivocal"),"疑似",IF(AND(R1535="positive",T1535="positive"),"a",IF(T1535="positive","b",IF(R1535="positive","c","d")))))</x:f>
        <x:v>d</x:v>
      </x:c>
      <x:c r="V1535" s="12"/>
      <x:c r="W1535" s="12" t="str">
        <x:v>negative</x:v>
      </x:c>
      <x:c r="X1535" s="12"/>
      <x:c r="Y1535" s="12" t="str">
        <x:v>negative</x:v>
      </x:c>
      <x:c r="Z1535" s="12" t="str">
        <x:f>IF(OR(W1535="unavailable",Y1535="unavailable"),"不可评价",IF(OR(W1535="equivocal",Y1535="equivocal"),"疑似",IF(AND(W1535="positive",Y1535="positive"),"a",IF(Y1535="positive","b",IF(W1535="positive","c","d")))))</x:f>
        <x:v>d</x:v>
      </x:c>
      <x:c r="AA1535" s="12" t="str">
        <x:f>IF(OR(M1535="unavailable",O1535="unavailable"),"不可评价",IF(AND(OR(M1535="positive",M1535="equivocal"),OR(O1535="positive",O1535="equivocal")),"a",IF(OR(O1535="positive",O1535="equivocal"),"b",IF(OR(M1535="positive",M1535="equivocal"),"c","d"))))</x:f>
        <x:v>d</x:v>
      </x:c>
      <x:c r="AB1535" s="12" t="str">
        <x:f>IF(OR(M1535="unavailable",O1535="unavailable"),"不可评价",IF(AND(M1535="positive",O1535="positive"),"a",IF(O1535="positive","b",IF(M1535="positive","c","d"))))</x:f>
        <x:v>d</x:v>
      </x:c>
      <x:c r="AC1535" s="12" t="str">
        <x:f>IF(OR(R1535="unavailable",T1535="unavailable"),"不可评价",IF(AND(OR(R1535="positive",R1535="equivocal"),OR(T1535="positive",T1535="equivocal")),"a",IF(OR(T1535="positive",T1535="equivocal"),"b",IF(OR(R1535="positive",R1535="equivocal"),"c","d"))))</x:f>
        <x:v>d</x:v>
      </x:c>
      <x:c r="AD1535" s="12" t="str">
        <x:f>IF(OR(R1535="unavailable",T1535="unavailable"),"不可评价",IF(AND(R1535="positive",T1535="positive"),"a",IF(T1535="positive","b",IF(R1535="positive","c","d"))))</x:f>
        <x:v>d</x:v>
      </x:c>
      <x:c r="AE1535" s="12" t="str">
        <x:f>IF(OR(W1535="unavailable",Y1535="unavailable"),"不可评价",IF(AND(OR(W1535="positive",W1535="equivocal"),OR(Y1535="positive",Y1535="equivocal")),"a",IF(OR(Y1535="positive",Y1535="equivocal"),"b",IF(OR(W1535="positive",W1535="equivocal"),"c","d"))))</x:f>
        <x:v>d</x:v>
      </x:c>
      <x:c r="AF1535" s="12" t="str">
        <x:f>IF(OR(W1535="unavailable",Y1535="unavailable"),"不可评价",IF(AND(W1535="positive",Y1535="positive"),"a",IF(Y1535="positive","b",IF(W1535="positive","c","d"))))</x:f>
        <x:v>d</x:v>
      </x:c>
    </x:row>
    <x:row r="1536" ht="39" customHeight="1">
      <x:c r="A1536" s="12" t="str">
        <x:v>14201</x:v>
      </x:c>
      <x:c r="B1536" s="12" t="str">
        <x:v>10836</x:v>
      </x:c>
      <x:c r="C1536" s="21" t="n">
        <x:v>34857.53765046296</x:v>
      </x:c>
      <x:c r="D1536" s="12" t="n">
        <x:v>83</x:v>
      </x:c>
      <x:c r="E1536" s="12" t="n">
        <x:v>0</x:v>
      </x:c>
      <x:c r="F1536" s="12" t="str">
        <x:v>存在</x:v>
      </x:c>
      <x:c r="G1536" s="12" t="n">
        <x:v>1</x:v>
      </x:c>
      <x:c r="H1536" s="12" t="str">
        <x:v>{'LVH': 50.0, 'ISC_': 100.0, 'LAFB': 100.0, 'AFIB': 0.0}</x:v>
      </x:c>
      <x:c r="I1536" s="12" t="str">
        <x:v>[('AFIB', 100.0), ('RVR', 100.0), ('LAD3', 100.0), ('ILBBB', 100.0), ('LVH2', 100.0), ('ST&amp;', 100.0), ('LT', 100.0), ('AB', 100.0)]</x:v>
      </x:c>
      <x:c r="J1536" s="12" t="str">
        <x:v>ptbxl_database.csv；ecg_id=14201；scp_codes</x:v>
      </x:c>
      <x:c r="K1536" s="12" t="str">
        <x:v>12sl_statements.csv；ecg_id=14201；statements_ext_snomed</x:v>
      </x:c>
      <x:c r="L1536" s="12" t="n">
        <x:v>0</x:v>
      </x:c>
      <x:c r="M1536" s="12" t="str">
        <x:v>positive</x:v>
      </x:c>
      <x:c r="N1536" s="12" t="n">
        <x:v>100</x:v>
      </x:c>
      <x:c r="O1536" s="12" t="str">
        <x:v>positive</x:v>
      </x:c>
      <x:c r="P1536" s="12" t="str">
        <x:f>IF(OR(M1536="unavailable",O1536="unavailable"),"不可评价",IF(OR(M1536="equivocal",O1536="equivocal"),"疑似",IF(AND(M1536="positive",O1536="positive"),"a",IF(O1536="positive","b",IF(M1536="positive","c","d")))))</x:f>
        <x:v>a</x:v>
      </x:c>
      <x:c r="Q1536" s="12"/>
      <x:c r="R1536" s="12" t="str">
        <x:v>negative</x:v>
      </x:c>
      <x:c r="S1536" s="12"/>
      <x:c r="T1536" s="12" t="str">
        <x:v>negative</x:v>
      </x:c>
      <x:c r="U1536" s="12" t="str">
        <x:f>IF(OR(R1536="unavailable",T1536="unavailable"),"不可评价",IF(OR(R1536="equivocal",T1536="equivocal"),"疑似",IF(AND(R1536="positive",T1536="positive"),"a",IF(T1536="positive","b",IF(R1536="positive","c","d")))))</x:f>
        <x:v>d</x:v>
      </x:c>
      <x:c r="V1536" s="12"/>
      <x:c r="W1536" s="12" t="str">
        <x:v>negative</x:v>
      </x:c>
      <x:c r="X1536" s="12"/>
      <x:c r="Y1536" s="12" t="str">
        <x:v>negative</x:v>
      </x:c>
      <x:c r="Z1536" s="12" t="str">
        <x:f>IF(OR(W1536="unavailable",Y1536="unavailable"),"不可评价",IF(OR(W1536="equivocal",Y1536="equivocal"),"疑似",IF(AND(W1536="positive",Y1536="positive"),"a",IF(Y1536="positive","b",IF(W1536="positive","c","d")))))</x:f>
        <x:v>d</x:v>
      </x:c>
      <x:c r="AA1536" s="12" t="str">
        <x:f>IF(OR(M1536="unavailable",O1536="unavailable"),"不可评价",IF(AND(OR(M1536="positive",M1536="equivocal"),OR(O1536="positive",O1536="equivocal")),"a",IF(OR(O1536="positive",O1536="equivocal"),"b",IF(OR(M1536="positive",M1536="equivocal"),"c","d"))))</x:f>
        <x:v>a</x:v>
      </x:c>
      <x:c r="AB1536" s="12" t="str">
        <x:f>IF(OR(M1536="unavailable",O1536="unavailable"),"不可评价",IF(AND(M1536="positive",O1536="positive"),"a",IF(O1536="positive","b",IF(M1536="positive","c","d"))))</x:f>
        <x:v>a</x:v>
      </x:c>
      <x:c r="AC1536" s="12" t="str">
        <x:f>IF(OR(R1536="unavailable",T1536="unavailable"),"不可评价",IF(AND(OR(R1536="positive",R1536="equivocal"),OR(T1536="positive",T1536="equivocal")),"a",IF(OR(T1536="positive",T1536="equivocal"),"b",IF(OR(R1536="positive",R1536="equivocal"),"c","d"))))</x:f>
        <x:v>d</x:v>
      </x:c>
      <x:c r="AD1536" s="12" t="str">
        <x:f>IF(OR(R1536="unavailable",T1536="unavailable"),"不可评价",IF(AND(R1536="positive",T1536="positive"),"a",IF(T1536="positive","b",IF(R1536="positive","c","d"))))</x:f>
        <x:v>d</x:v>
      </x:c>
      <x:c r="AE1536" s="12" t="str">
        <x:f>IF(OR(W1536="unavailable",Y1536="unavailable"),"不可评价",IF(AND(OR(W1536="positive",W1536="equivocal"),OR(Y1536="positive",Y1536="equivocal")),"a",IF(OR(Y1536="positive",Y1536="equivocal"),"b",IF(OR(W1536="positive",W1536="equivocal"),"c","d"))))</x:f>
        <x:v>d</x:v>
      </x:c>
      <x:c r="AF1536" s="12" t="str">
        <x:f>IF(OR(W1536="unavailable",Y1536="unavailable"),"不可评价",IF(AND(W1536="positive",Y1536="positive"),"a",IF(Y1536="positive","b",IF(W1536="positive","c","d"))))</x:f>
        <x:v>d</x:v>
      </x:c>
    </x:row>
    <x:row r="1537" ht="24" customHeight="1">
      <x:c r="A1537" s="12" t="str">
        <x:v>14205</x:v>
      </x:c>
      <x:c r="B1537" s="12" t="str">
        <x:v>19177</x:v>
      </x:c>
      <x:c r="C1537" s="21" t="n">
        <x:v>34858.582407407404</x:v>
      </x:c>
      <x:c r="D1537" s="12" t="n">
        <x:v>65</x:v>
      </x:c>
      <x:c r="E1537" s="12" t="n">
        <x:v>0</x:v>
      </x:c>
      <x:c r="F1537" s="12" t="str">
        <x:v>未记录</x:v>
      </x:c>
      <x:c r="G1537" s="12" t="n">
        <x:v>1</x:v>
      </x:c>
      <x:c r="H1537" s="12" t="str">
        <x:v>{'NORM': 50.0, 'SR': 0.0}</x:v>
      </x:c>
      <x:c r="I1537" s="12" t="str">
        <x:v>[('NSR', 100.0), ('NST', 100.0), ('AB', 100.0)]</x:v>
      </x:c>
      <x:c r="J1537" s="12" t="str">
        <x:v>ptbxl_database.csv；ecg_id=14205；scp_codes</x:v>
      </x:c>
      <x:c r="K1537" s="12" t="str">
        <x:v>12sl_statements.csv；ecg_id=14205；statements_ext_snomed</x:v>
      </x:c>
      <x:c r="L1537" s="12"/>
      <x:c r="M1537" s="12" t="str">
        <x:v>negative</x:v>
      </x:c>
      <x:c r="N1537" s="12"/>
      <x:c r="O1537" s="12" t="str">
        <x:v>negative</x:v>
      </x:c>
      <x:c r="P1537" s="12" t="str">
        <x:f>IF(OR(M1537="unavailable",O1537="unavailable"),"不可评价",IF(OR(M1537="equivocal",O1537="equivocal"),"疑似",IF(AND(M1537="positive",O1537="positive"),"a",IF(O1537="positive","b",IF(M1537="positive","c","d")))))</x:f>
        <x:v>d</x:v>
      </x:c>
      <x:c r="Q1537" s="12"/>
      <x:c r="R1537" s="12" t="str">
        <x:v>negative</x:v>
      </x:c>
      <x:c r="S1537" s="12"/>
      <x:c r="T1537" s="12" t="str">
        <x:v>negative</x:v>
      </x:c>
      <x:c r="U1537" s="12" t="str">
        <x:f>IF(OR(R1537="unavailable",T1537="unavailable"),"不可评价",IF(OR(R1537="equivocal",T1537="equivocal"),"疑似",IF(AND(R1537="positive",T1537="positive"),"a",IF(T1537="positive","b",IF(R1537="positive","c","d")))))</x:f>
        <x:v>d</x:v>
      </x:c>
      <x:c r="V1537" s="12"/>
      <x:c r="W1537" s="12" t="str">
        <x:v>negative</x:v>
      </x:c>
      <x:c r="X1537" s="12"/>
      <x:c r="Y1537" s="12" t="str">
        <x:v>negative</x:v>
      </x:c>
      <x:c r="Z1537" s="12" t="str">
        <x:f>IF(OR(W1537="unavailable",Y1537="unavailable"),"不可评价",IF(OR(W1537="equivocal",Y1537="equivocal"),"疑似",IF(AND(W1537="positive",Y1537="positive"),"a",IF(Y1537="positive","b",IF(W1537="positive","c","d")))))</x:f>
        <x:v>d</x:v>
      </x:c>
      <x:c r="AA1537" s="12" t="str">
        <x:f>IF(OR(M1537="unavailable",O1537="unavailable"),"不可评价",IF(AND(OR(M1537="positive",M1537="equivocal"),OR(O1537="positive",O1537="equivocal")),"a",IF(OR(O1537="positive",O1537="equivocal"),"b",IF(OR(M1537="positive",M1537="equivocal"),"c","d"))))</x:f>
        <x:v>d</x:v>
      </x:c>
      <x:c r="AB1537" s="12" t="str">
        <x:f>IF(OR(M1537="unavailable",O1537="unavailable"),"不可评价",IF(AND(M1537="positive",O1537="positive"),"a",IF(O1537="positive","b",IF(M1537="positive","c","d"))))</x:f>
        <x:v>d</x:v>
      </x:c>
      <x:c r="AC1537" s="12" t="str">
        <x:f>IF(OR(R1537="unavailable",T1537="unavailable"),"不可评价",IF(AND(OR(R1537="positive",R1537="equivocal"),OR(T1537="positive",T1537="equivocal")),"a",IF(OR(T1537="positive",T1537="equivocal"),"b",IF(OR(R1537="positive",R1537="equivocal"),"c","d"))))</x:f>
        <x:v>d</x:v>
      </x:c>
      <x:c r="AD1537" s="12" t="str">
        <x:f>IF(OR(R1537="unavailable",T1537="unavailable"),"不可评价",IF(AND(R1537="positive",T1537="positive"),"a",IF(T1537="positive","b",IF(R1537="positive","c","d"))))</x:f>
        <x:v>d</x:v>
      </x:c>
      <x:c r="AE1537" s="12" t="str">
        <x:f>IF(OR(W1537="unavailable",Y1537="unavailable"),"不可评价",IF(AND(OR(W1537="positive",W1537="equivocal"),OR(Y1537="positive",Y1537="equivocal")),"a",IF(OR(Y1537="positive",Y1537="equivocal"),"b",IF(OR(W1537="positive",W1537="equivocal"),"c","d"))))</x:f>
        <x:v>d</x:v>
      </x:c>
      <x:c r="AF1537" s="12" t="str">
        <x:f>IF(OR(W1537="unavailable",Y1537="unavailable"),"不可评价",IF(AND(W1537="positive",Y1537="positive"),"a",IF(Y1537="positive","b",IF(W1537="positive","c","d"))))</x:f>
        <x:v>d</x:v>
      </x:c>
    </x:row>
    <x:row r="1538" ht="24" customHeight="1">
      <x:c r="A1538" s="12" t="str">
        <x:v>14217</x:v>
      </x:c>
      <x:c r="B1538" s="12" t="str">
        <x:v>12500</x:v>
      </x:c>
      <x:c r="C1538" s="21" t="n">
        <x:v>34862.28413194444</x:v>
      </x:c>
      <x:c r="D1538" s="12" t="n">
        <x:v>57</x:v>
      </x:c>
      <x:c r="E1538" s="12" t="n">
        <x:v>1</x:v>
      </x:c>
      <x:c r="F1538" s="12" t="str">
        <x:v>未记录</x:v>
      </x:c>
      <x:c r="G1538" s="12" t="n">
        <x:v>1</x:v>
      </x:c>
      <x:c r="H1538" s="12" t="str">
        <x:v>{'NDT': 100.0, 'SR': 0.0}</x:v>
      </x:c>
      <x:c r="I1538" s="12" t="str">
        <x:v>[('SBRAD', 100.0), ('ABR', 100.0)]</x:v>
      </x:c>
      <x:c r="J1538" s="12" t="str">
        <x:v>ptbxl_database.csv；ecg_id=14217；scp_codes</x:v>
      </x:c>
      <x:c r="K1538" s="12" t="str">
        <x:v>12sl_statements.csv；ecg_id=14217；statements_ext_snomed</x:v>
      </x:c>
      <x:c r="L1538" s="12"/>
      <x:c r="M1538" s="12" t="str">
        <x:v>negative</x:v>
      </x:c>
      <x:c r="N1538" s="12"/>
      <x:c r="O1538" s="12" t="str">
        <x:v>negative</x:v>
      </x:c>
      <x:c r="P1538" s="12" t="str">
        <x:f>IF(OR(M1538="unavailable",O1538="unavailable"),"不可评价",IF(OR(M1538="equivocal",O1538="equivocal"),"疑似",IF(AND(M1538="positive",O1538="positive"),"a",IF(O1538="positive","b",IF(M1538="positive","c","d")))))</x:f>
        <x:v>d</x:v>
      </x:c>
      <x:c r="Q1538" s="12"/>
      <x:c r="R1538" s="12" t="str">
        <x:v>negative</x:v>
      </x:c>
      <x:c r="S1538" s="12"/>
      <x:c r="T1538" s="12" t="str">
        <x:v>negative</x:v>
      </x:c>
      <x:c r="U1538" s="12" t="str">
        <x:f>IF(OR(R1538="unavailable",T1538="unavailable"),"不可评价",IF(OR(R1538="equivocal",T1538="equivocal"),"疑似",IF(AND(R1538="positive",T1538="positive"),"a",IF(T1538="positive","b",IF(R1538="positive","c","d")))))</x:f>
        <x:v>d</x:v>
      </x:c>
      <x:c r="V1538" s="12"/>
      <x:c r="W1538" s="12" t="str">
        <x:v>negative</x:v>
      </x:c>
      <x:c r="X1538" s="12"/>
      <x:c r="Y1538" s="12" t="str">
        <x:v>negative</x:v>
      </x:c>
      <x:c r="Z1538" s="12" t="str">
        <x:f>IF(OR(W1538="unavailable",Y1538="unavailable"),"不可评价",IF(OR(W1538="equivocal",Y1538="equivocal"),"疑似",IF(AND(W1538="positive",Y1538="positive"),"a",IF(Y1538="positive","b",IF(W1538="positive","c","d")))))</x:f>
        <x:v>d</x:v>
      </x:c>
      <x:c r="AA1538" s="12" t="str">
        <x:f>IF(OR(M1538="unavailable",O1538="unavailable"),"不可评价",IF(AND(OR(M1538="positive",M1538="equivocal"),OR(O1538="positive",O1538="equivocal")),"a",IF(OR(O1538="positive",O1538="equivocal"),"b",IF(OR(M1538="positive",M1538="equivocal"),"c","d"))))</x:f>
        <x:v>d</x:v>
      </x:c>
      <x:c r="AB1538" s="12" t="str">
        <x:f>IF(OR(M1538="unavailable",O1538="unavailable"),"不可评价",IF(AND(M1538="positive",O1538="positive"),"a",IF(O1538="positive","b",IF(M1538="positive","c","d"))))</x:f>
        <x:v>d</x:v>
      </x:c>
      <x:c r="AC1538" s="12" t="str">
        <x:f>IF(OR(R1538="unavailable",T1538="unavailable"),"不可评价",IF(AND(OR(R1538="positive",R1538="equivocal"),OR(T1538="positive",T1538="equivocal")),"a",IF(OR(T1538="positive",T1538="equivocal"),"b",IF(OR(R1538="positive",R1538="equivocal"),"c","d"))))</x:f>
        <x:v>d</x:v>
      </x:c>
      <x:c r="AD1538" s="12" t="str">
        <x:f>IF(OR(R1538="unavailable",T1538="unavailable"),"不可评价",IF(AND(R1538="positive",T1538="positive"),"a",IF(T1538="positive","b",IF(R1538="positive","c","d"))))</x:f>
        <x:v>d</x:v>
      </x:c>
      <x:c r="AE1538" s="12" t="str">
        <x:f>IF(OR(W1538="unavailable",Y1538="unavailable"),"不可评价",IF(AND(OR(W1538="positive",W1538="equivocal"),OR(Y1538="positive",Y1538="equivocal")),"a",IF(OR(Y1538="positive",Y1538="equivocal"),"b",IF(OR(W1538="positive",W1538="equivocal"),"c","d"))))</x:f>
        <x:v>d</x:v>
      </x:c>
      <x:c r="AF1538" s="12" t="str">
        <x:f>IF(OR(W1538="unavailable",Y1538="unavailable"),"不可评价",IF(AND(W1538="positive",Y1538="positive"),"a",IF(Y1538="positive","b",IF(W1538="positive","c","d"))))</x:f>
        <x:v>d</x:v>
      </x:c>
    </x:row>
    <x:row r="1539" ht="24" customHeight="1">
      <x:c r="A1539" s="12" t="str">
        <x:v>14220</x:v>
      </x:c>
      <x:c r="B1539" s="12" t="str">
        <x:v>13157</x:v>
      </x:c>
      <x:c r="C1539" s="21" t="n">
        <x:v>34862.47736111111</x:v>
      </x:c>
      <x:c r="D1539" s="12" t="n">
        <x:v>32</x:v>
      </x:c>
      <x:c r="E1539" s="12" t="n">
        <x:v>0</x:v>
      </x:c>
      <x:c r="F1539" s="12" t="str">
        <x:v>未记录</x:v>
      </x:c>
      <x:c r="G1539" s="12" t="n">
        <x:v>1</x:v>
      </x:c>
      <x:c r="H1539" s="12" t="str">
        <x:v>{'NORM': 100.0, 'SR': 0.0}</x:v>
      </x:c>
      <x:c r="I1539" s="12" t="str">
        <x:v>[('SBRAD', 100.0), ('BORDE', 100.0)]</x:v>
      </x:c>
      <x:c r="J1539" s="12" t="str">
        <x:v>ptbxl_database.csv；ecg_id=14220；scp_codes</x:v>
      </x:c>
      <x:c r="K1539" s="12" t="str">
        <x:v>12sl_statements.csv；ecg_id=14220；statements_ext_snomed</x:v>
      </x:c>
      <x:c r="L1539" s="12"/>
      <x:c r="M1539" s="12" t="str">
        <x:v>negative</x:v>
      </x:c>
      <x:c r="N1539" s="12"/>
      <x:c r="O1539" s="12" t="str">
        <x:v>negative</x:v>
      </x:c>
      <x:c r="P1539" s="12" t="str">
        <x:f>IF(OR(M1539="unavailable",O1539="unavailable"),"不可评价",IF(OR(M1539="equivocal",O1539="equivocal"),"疑似",IF(AND(M1539="positive",O1539="positive"),"a",IF(O1539="positive","b",IF(M1539="positive","c","d")))))</x:f>
        <x:v>d</x:v>
      </x:c>
      <x:c r="Q1539" s="12"/>
      <x:c r="R1539" s="12" t="str">
        <x:v>negative</x:v>
      </x:c>
      <x:c r="S1539" s="12"/>
      <x:c r="T1539" s="12" t="str">
        <x:v>negative</x:v>
      </x:c>
      <x:c r="U1539" s="12" t="str">
        <x:f>IF(OR(R1539="unavailable",T1539="unavailable"),"不可评价",IF(OR(R1539="equivocal",T1539="equivocal"),"疑似",IF(AND(R1539="positive",T1539="positive"),"a",IF(T1539="positive","b",IF(R1539="positive","c","d")))))</x:f>
        <x:v>d</x:v>
      </x:c>
      <x:c r="V1539" s="12"/>
      <x:c r="W1539" s="12" t="str">
        <x:v>negative</x:v>
      </x:c>
      <x:c r="X1539" s="12"/>
      <x:c r="Y1539" s="12" t="str">
        <x:v>negative</x:v>
      </x:c>
      <x:c r="Z1539" s="12" t="str">
        <x:f>IF(OR(W1539="unavailable",Y1539="unavailable"),"不可评价",IF(OR(W1539="equivocal",Y1539="equivocal"),"疑似",IF(AND(W1539="positive",Y1539="positive"),"a",IF(Y1539="positive","b",IF(W1539="positive","c","d")))))</x:f>
        <x:v>d</x:v>
      </x:c>
      <x:c r="AA1539" s="12" t="str">
        <x:f>IF(OR(M1539="unavailable",O1539="unavailable"),"不可评价",IF(AND(OR(M1539="positive",M1539="equivocal"),OR(O1539="positive",O1539="equivocal")),"a",IF(OR(O1539="positive",O1539="equivocal"),"b",IF(OR(M1539="positive",M1539="equivocal"),"c","d"))))</x:f>
        <x:v>d</x:v>
      </x:c>
      <x:c r="AB1539" s="12" t="str">
        <x:f>IF(OR(M1539="unavailable",O1539="unavailable"),"不可评价",IF(AND(M1539="positive",O1539="positive"),"a",IF(O1539="positive","b",IF(M1539="positive","c","d"))))</x:f>
        <x:v>d</x:v>
      </x:c>
      <x:c r="AC1539" s="12" t="str">
        <x:f>IF(OR(R1539="unavailable",T1539="unavailable"),"不可评价",IF(AND(OR(R1539="positive",R1539="equivocal"),OR(T1539="positive",T1539="equivocal")),"a",IF(OR(T1539="positive",T1539="equivocal"),"b",IF(OR(R1539="positive",R1539="equivocal"),"c","d"))))</x:f>
        <x:v>d</x:v>
      </x:c>
      <x:c r="AD1539" s="12" t="str">
        <x:f>IF(OR(R1539="unavailable",T1539="unavailable"),"不可评价",IF(AND(R1539="positive",T1539="positive"),"a",IF(T1539="positive","b",IF(R1539="positive","c","d"))))</x:f>
        <x:v>d</x:v>
      </x:c>
      <x:c r="AE1539" s="12" t="str">
        <x:f>IF(OR(W1539="unavailable",Y1539="unavailable"),"不可评价",IF(AND(OR(W1539="positive",W1539="equivocal"),OR(Y1539="positive",Y1539="equivocal")),"a",IF(OR(Y1539="positive",Y1539="equivocal"),"b",IF(OR(W1539="positive",W1539="equivocal"),"c","d"))))</x:f>
        <x:v>d</x:v>
      </x:c>
      <x:c r="AF1539" s="12" t="str">
        <x:f>IF(OR(W1539="unavailable",Y1539="unavailable"),"不可评价",IF(AND(W1539="positive",Y1539="positive"),"a",IF(Y1539="positive","b",IF(W1539="positive","c","d"))))</x:f>
        <x:v>d</x:v>
      </x:c>
    </x:row>
    <x:row r="1540" ht="24" customHeight="1">
      <x:c r="A1540" s="12" t="str">
        <x:v>14224</x:v>
      </x:c>
      <x:c r="B1540" s="12" t="str">
        <x:v>8859</x:v>
      </x:c>
      <x:c r="C1540" s="21" t="n">
        <x:v>34865.469189814816</x:v>
      </x:c>
      <x:c r="D1540" s="12" t="n">
        <x:v>84</x:v>
      </x:c>
      <x:c r="E1540" s="12" t="n">
        <x:v>0</x:v>
      </x:c>
      <x:c r="F1540" s="12" t="str">
        <x:v>未记录</x:v>
      </x:c>
      <x:c r="G1540" s="12" t="n">
        <x:v>1</x:v>
      </x:c>
      <x:c r="H1540" s="12" t="str">
        <x:v>{'ISCLA': 100.0, 'IVCD': 100.0, 'AFIB': 0.0}</x:v>
      </x:c>
      <x:c r="I1540" s="12" t="str">
        <x:v>[('AFIB', 100.0), ('CJP', 100.0), ('IVCD', 100.0), ('NSTT', 100.0), ('AB', 100.0)]</x:v>
      </x:c>
      <x:c r="J1540" s="12" t="str">
        <x:v>ptbxl_database.csv；ecg_id=14224；scp_codes</x:v>
      </x:c>
      <x:c r="K1540" s="12" t="str">
        <x:v>12sl_statements.csv；ecg_id=14224；statements_ext_snomed</x:v>
      </x:c>
      <x:c r="L1540" s="12" t="n">
        <x:v>0</x:v>
      </x:c>
      <x:c r="M1540" s="12" t="str">
        <x:v>positive</x:v>
      </x:c>
      <x:c r="N1540" s="12" t="n">
        <x:v>100</x:v>
      </x:c>
      <x:c r="O1540" s="12" t="str">
        <x:v>positive</x:v>
      </x:c>
      <x:c r="P1540" s="12" t="str">
        <x:f>IF(OR(M1540="unavailable",O1540="unavailable"),"不可评价",IF(OR(M1540="equivocal",O1540="equivocal"),"疑似",IF(AND(M1540="positive",O1540="positive"),"a",IF(O1540="positive","b",IF(M1540="positive","c","d")))))</x:f>
        <x:v>a</x:v>
      </x:c>
      <x:c r="Q1540" s="12"/>
      <x:c r="R1540" s="12" t="str">
        <x:v>negative</x:v>
      </x:c>
      <x:c r="S1540" s="12"/>
      <x:c r="T1540" s="12" t="str">
        <x:v>negative</x:v>
      </x:c>
      <x:c r="U1540" s="12" t="str">
        <x:f>IF(OR(R1540="unavailable",T1540="unavailable"),"不可评价",IF(OR(R1540="equivocal",T1540="equivocal"),"疑似",IF(AND(R1540="positive",T1540="positive"),"a",IF(T1540="positive","b",IF(R1540="positive","c","d")))))</x:f>
        <x:v>d</x:v>
      </x:c>
      <x:c r="V1540" s="12"/>
      <x:c r="W1540" s="12" t="str">
        <x:v>negative</x:v>
      </x:c>
      <x:c r="X1540" s="12"/>
      <x:c r="Y1540" s="12" t="str">
        <x:v>negative</x:v>
      </x:c>
      <x:c r="Z1540" s="12" t="str">
        <x:f>IF(OR(W1540="unavailable",Y1540="unavailable"),"不可评价",IF(OR(W1540="equivocal",Y1540="equivocal"),"疑似",IF(AND(W1540="positive",Y1540="positive"),"a",IF(Y1540="positive","b",IF(W1540="positive","c","d")))))</x:f>
        <x:v>d</x:v>
      </x:c>
      <x:c r="AA1540" s="12" t="str">
        <x:f>IF(OR(M1540="unavailable",O1540="unavailable"),"不可评价",IF(AND(OR(M1540="positive",M1540="equivocal"),OR(O1540="positive",O1540="equivocal")),"a",IF(OR(O1540="positive",O1540="equivocal"),"b",IF(OR(M1540="positive",M1540="equivocal"),"c","d"))))</x:f>
        <x:v>a</x:v>
      </x:c>
      <x:c r="AB1540" s="12" t="str">
        <x:f>IF(OR(M1540="unavailable",O1540="unavailable"),"不可评价",IF(AND(M1540="positive",O1540="positive"),"a",IF(O1540="positive","b",IF(M1540="positive","c","d"))))</x:f>
        <x:v>a</x:v>
      </x:c>
      <x:c r="AC1540" s="12" t="str">
        <x:f>IF(OR(R1540="unavailable",T1540="unavailable"),"不可评价",IF(AND(OR(R1540="positive",R1540="equivocal"),OR(T1540="positive",T1540="equivocal")),"a",IF(OR(T1540="positive",T1540="equivocal"),"b",IF(OR(R1540="positive",R1540="equivocal"),"c","d"))))</x:f>
        <x:v>d</x:v>
      </x:c>
      <x:c r="AD1540" s="12" t="str">
        <x:f>IF(OR(R1540="unavailable",T1540="unavailable"),"不可评价",IF(AND(R1540="positive",T1540="positive"),"a",IF(T1540="positive","b",IF(R1540="positive","c","d"))))</x:f>
        <x:v>d</x:v>
      </x:c>
      <x:c r="AE1540" s="12" t="str">
        <x:f>IF(OR(W1540="unavailable",Y1540="unavailable"),"不可评价",IF(AND(OR(W1540="positive",W1540="equivocal"),OR(Y1540="positive",Y1540="equivocal")),"a",IF(OR(Y1540="positive",Y1540="equivocal"),"b",IF(OR(W1540="positive",W1540="equivocal"),"c","d"))))</x:f>
        <x:v>d</x:v>
      </x:c>
      <x:c r="AF1540" s="12" t="str">
        <x:f>IF(OR(W1540="unavailable",Y1540="unavailable"),"不可评价",IF(AND(W1540="positive",Y1540="positive"),"a",IF(Y1540="positive","b",IF(W1540="positive","c","d"))))</x:f>
        <x:v>d</x:v>
      </x:c>
    </x:row>
    <x:row r="1541" ht="24" customHeight="1">
      <x:c r="A1541" s="12" t="str">
        <x:v>14238</x:v>
      </x:c>
      <x:c r="B1541" s="12" t="str">
        <x:v>20559</x:v>
      </x:c>
      <x:c r="C1541" s="21" t="n">
        <x:v>34869.44168981481</x:v>
      </x:c>
      <x:c r="D1541" s="12" t="n">
        <x:v>83</x:v>
      </x:c>
      <x:c r="E1541" s="12" t="n">
        <x:v>1</x:v>
      </x:c>
      <x:c r="F1541" s="12" t="str">
        <x:v>未记录</x:v>
      </x:c>
      <x:c r="G1541" s="12" t="n">
        <x:v>1</x:v>
      </x:c>
      <x:c r="H1541" s="12" t="str">
        <x:v>{'NST_': 100.0, 'AFIB': 0.0}</x:v>
      </x:c>
      <x:c r="I1541" s="12" t="str">
        <x:v>[('AFIB', 100.0), ('RVR', 100.0), ('ABER', 100.0), ('AB', 100.0)]</x:v>
      </x:c>
      <x:c r="J1541" s="12" t="str">
        <x:v>ptbxl_database.csv；ecg_id=14238；scp_codes</x:v>
      </x:c>
      <x:c r="K1541" s="12" t="str">
        <x:v>12sl_statements.csv；ecg_id=14238；statements_ext_snomed</x:v>
      </x:c>
      <x:c r="L1541" s="12" t="n">
        <x:v>0</x:v>
      </x:c>
      <x:c r="M1541" s="12" t="str">
        <x:v>positive</x:v>
      </x:c>
      <x:c r="N1541" s="12" t="n">
        <x:v>100</x:v>
      </x:c>
      <x:c r="O1541" s="12" t="str">
        <x:v>positive</x:v>
      </x:c>
      <x:c r="P1541" s="12" t="str">
        <x:f>IF(OR(M1541="unavailable",O1541="unavailable"),"不可评价",IF(OR(M1541="equivocal",O1541="equivocal"),"疑似",IF(AND(M1541="positive",O1541="positive"),"a",IF(O1541="positive","b",IF(M1541="positive","c","d")))))</x:f>
        <x:v>a</x:v>
      </x:c>
      <x:c r="Q1541" s="12"/>
      <x:c r="R1541" s="12" t="str">
        <x:v>negative</x:v>
      </x:c>
      <x:c r="S1541" s="12"/>
      <x:c r="T1541" s="12" t="str">
        <x:v>negative</x:v>
      </x:c>
      <x:c r="U1541" s="12" t="str">
        <x:f>IF(OR(R1541="unavailable",T1541="unavailable"),"不可评价",IF(OR(R1541="equivocal",T1541="equivocal"),"疑似",IF(AND(R1541="positive",T1541="positive"),"a",IF(T1541="positive","b",IF(R1541="positive","c","d")))))</x:f>
        <x:v>d</x:v>
      </x:c>
      <x:c r="V1541" s="12"/>
      <x:c r="W1541" s="12" t="str">
        <x:v>negative</x:v>
      </x:c>
      <x:c r="X1541" s="12"/>
      <x:c r="Y1541" s="12" t="str">
        <x:v>negative</x:v>
      </x:c>
      <x:c r="Z1541" s="12" t="str">
        <x:f>IF(OR(W1541="unavailable",Y1541="unavailable"),"不可评价",IF(OR(W1541="equivocal",Y1541="equivocal"),"疑似",IF(AND(W1541="positive",Y1541="positive"),"a",IF(Y1541="positive","b",IF(W1541="positive","c","d")))))</x:f>
        <x:v>d</x:v>
      </x:c>
      <x:c r="AA1541" s="12" t="str">
        <x:f>IF(OR(M1541="unavailable",O1541="unavailable"),"不可评价",IF(AND(OR(M1541="positive",M1541="equivocal"),OR(O1541="positive",O1541="equivocal")),"a",IF(OR(O1541="positive",O1541="equivocal"),"b",IF(OR(M1541="positive",M1541="equivocal"),"c","d"))))</x:f>
        <x:v>a</x:v>
      </x:c>
      <x:c r="AB1541" s="12" t="str">
        <x:f>IF(OR(M1541="unavailable",O1541="unavailable"),"不可评价",IF(AND(M1541="positive",O1541="positive"),"a",IF(O1541="positive","b",IF(M1541="positive","c","d"))))</x:f>
        <x:v>a</x:v>
      </x:c>
      <x:c r="AC1541" s="12" t="str">
        <x:f>IF(OR(R1541="unavailable",T1541="unavailable"),"不可评价",IF(AND(OR(R1541="positive",R1541="equivocal"),OR(T1541="positive",T1541="equivocal")),"a",IF(OR(T1541="positive",T1541="equivocal"),"b",IF(OR(R1541="positive",R1541="equivocal"),"c","d"))))</x:f>
        <x:v>d</x:v>
      </x:c>
      <x:c r="AD1541" s="12" t="str">
        <x:f>IF(OR(R1541="unavailable",T1541="unavailable"),"不可评价",IF(AND(R1541="positive",T1541="positive"),"a",IF(T1541="positive","b",IF(R1541="positive","c","d"))))</x:f>
        <x:v>d</x:v>
      </x:c>
      <x:c r="AE1541" s="12" t="str">
        <x:f>IF(OR(W1541="unavailable",Y1541="unavailable"),"不可评价",IF(AND(OR(W1541="positive",W1541="equivocal"),OR(Y1541="positive",Y1541="equivocal")),"a",IF(OR(Y1541="positive",Y1541="equivocal"),"b",IF(OR(W1541="positive",W1541="equivocal"),"c","d"))))</x:f>
        <x:v>d</x:v>
      </x:c>
      <x:c r="AF1541" s="12" t="str">
        <x:f>IF(OR(W1541="unavailable",Y1541="unavailable"),"不可评价",IF(AND(W1541="positive",Y1541="positive"),"a",IF(Y1541="positive","b",IF(W1541="positive","c","d"))))</x:f>
        <x:v>d</x:v>
      </x:c>
    </x:row>
    <x:row r="1542" ht="24" customHeight="1">
      <x:c r="A1542" s="12" t="str">
        <x:v>14244</x:v>
      </x:c>
      <x:c r="B1542" s="12" t="str">
        <x:v>8694</x:v>
      </x:c>
      <x:c r="C1542" s="21" t="n">
        <x:v>34871.321550925924</x:v>
      </x:c>
      <x:c r="D1542" s="12" t="n">
        <x:v>80</x:v>
      </x:c>
      <x:c r="E1542" s="12" t="n">
        <x:v>1</x:v>
      </x:c>
      <x:c r="F1542" s="12" t="str">
        <x:v>未记录</x:v>
      </x:c>
      <x:c r="G1542" s="12" t="n">
        <x:v>1</x:v>
      </x:c>
      <x:c r="H1542" s="12" t="str">
        <x:v>{'NDT': 100.0, 'QWAVE': 0.0, 'SR': 0.0}</x:v>
      </x:c>
      <x:c r="I1542" s="12" t="str">
        <x:v>[('NSR', 100.0), ('IMI;AU', 50.0), ('AB', 100.0)]</x:v>
      </x:c>
      <x:c r="J1542" s="12" t="str">
        <x:v>ptbxl_database.csv；ecg_id=14244；scp_codes</x:v>
      </x:c>
      <x:c r="K1542" s="12" t="str">
        <x:v>12sl_statements.csv；ecg_id=14244；statements_ext_snomed</x:v>
      </x:c>
      <x:c r="L1542" s="12"/>
      <x:c r="M1542" s="12" t="str">
        <x:v>negative</x:v>
      </x:c>
      <x:c r="N1542" s="12"/>
      <x:c r="O1542" s="12" t="str">
        <x:v>negative</x:v>
      </x:c>
      <x:c r="P1542" s="12" t="str">
        <x:f>IF(OR(M1542="unavailable",O1542="unavailable"),"不可评价",IF(OR(M1542="equivocal",O1542="equivocal"),"疑似",IF(AND(M1542="positive",O1542="positive"),"a",IF(O1542="positive","b",IF(M1542="positive","c","d")))))</x:f>
        <x:v>d</x:v>
      </x:c>
      <x:c r="Q1542" s="12"/>
      <x:c r="R1542" s="12" t="str">
        <x:v>negative</x:v>
      </x:c>
      <x:c r="S1542" s="12"/>
      <x:c r="T1542" s="12" t="str">
        <x:v>negative</x:v>
      </x:c>
      <x:c r="U1542" s="12" t="str">
        <x:f>IF(OR(R1542="unavailable",T1542="unavailable"),"不可评价",IF(OR(R1542="equivocal",T1542="equivocal"),"疑似",IF(AND(R1542="positive",T1542="positive"),"a",IF(T1542="positive","b",IF(R1542="positive","c","d")))))</x:f>
        <x:v>d</x:v>
      </x:c>
      <x:c r="V1542" s="12"/>
      <x:c r="W1542" s="12" t="str">
        <x:v>negative</x:v>
      </x:c>
      <x:c r="X1542" s="12"/>
      <x:c r="Y1542" s="12" t="str">
        <x:v>negative</x:v>
      </x:c>
      <x:c r="Z1542" s="12" t="str">
        <x:f>IF(OR(W1542="unavailable",Y1542="unavailable"),"不可评价",IF(OR(W1542="equivocal",Y1542="equivocal"),"疑似",IF(AND(W1542="positive",Y1542="positive"),"a",IF(Y1542="positive","b",IF(W1542="positive","c","d")))))</x:f>
        <x:v>d</x:v>
      </x:c>
      <x:c r="AA1542" s="12" t="str">
        <x:f>IF(OR(M1542="unavailable",O1542="unavailable"),"不可评价",IF(AND(OR(M1542="positive",M1542="equivocal"),OR(O1542="positive",O1542="equivocal")),"a",IF(OR(O1542="positive",O1542="equivocal"),"b",IF(OR(M1542="positive",M1542="equivocal"),"c","d"))))</x:f>
        <x:v>d</x:v>
      </x:c>
      <x:c r="AB1542" s="12" t="str">
        <x:f>IF(OR(M1542="unavailable",O1542="unavailable"),"不可评价",IF(AND(M1542="positive",O1542="positive"),"a",IF(O1542="positive","b",IF(M1542="positive","c","d"))))</x:f>
        <x:v>d</x:v>
      </x:c>
      <x:c r="AC1542" s="12" t="str">
        <x:f>IF(OR(R1542="unavailable",T1542="unavailable"),"不可评价",IF(AND(OR(R1542="positive",R1542="equivocal"),OR(T1542="positive",T1542="equivocal")),"a",IF(OR(T1542="positive",T1542="equivocal"),"b",IF(OR(R1542="positive",R1542="equivocal"),"c","d"))))</x:f>
        <x:v>d</x:v>
      </x:c>
      <x:c r="AD1542" s="12" t="str">
        <x:f>IF(OR(R1542="unavailable",T1542="unavailable"),"不可评价",IF(AND(R1542="positive",T1542="positive"),"a",IF(T1542="positive","b",IF(R1542="positive","c","d"))))</x:f>
        <x:v>d</x:v>
      </x:c>
      <x:c r="AE1542" s="12" t="str">
        <x:f>IF(OR(W1542="unavailable",Y1542="unavailable"),"不可评价",IF(AND(OR(W1542="positive",W1542="equivocal"),OR(Y1542="positive",Y1542="equivocal")),"a",IF(OR(Y1542="positive",Y1542="equivocal"),"b",IF(OR(W1542="positive",W1542="equivocal"),"c","d"))))</x:f>
        <x:v>d</x:v>
      </x:c>
      <x:c r="AF1542" s="12" t="str">
        <x:f>IF(OR(W1542="unavailable",Y1542="unavailable"),"不可评价",IF(AND(W1542="positive",Y1542="positive"),"a",IF(Y1542="positive","b",IF(W1542="positive","c","d"))))</x:f>
        <x:v>d</x:v>
      </x:c>
    </x:row>
    <x:row r="1543" ht="24" customHeight="1">
      <x:c r="A1543" s="12" t="str">
        <x:v>14248</x:v>
      </x:c>
      <x:c r="B1543" s="12" t="str">
        <x:v>17488</x:v>
      </x:c>
      <x:c r="C1543" s="21" t="n">
        <x:v>34873.268483796295</x:v>
      </x:c>
      <x:c r="D1543" s="12" t="n">
        <x:v>38</x:v>
      </x:c>
      <x:c r="E1543" s="12" t="n">
        <x:v>1</x:v>
      </x:c>
      <x:c r="F1543" s="12" t="str">
        <x:v>未记录</x:v>
      </x:c>
      <x:c r="G1543" s="12" t="n">
        <x:v>1</x:v>
      </x:c>
      <x:c r="H1543" s="12" t="str">
        <x:v>{'NORM': 15.0, 'ABQRS': 0.0, 'SR': 0.0}</x:v>
      </x:c>
      <x:c r="I1543" s="12" t="str">
        <x:v>[('NSR', 100.0), ('NML', 100.0)]</x:v>
      </x:c>
      <x:c r="J1543" s="12" t="str">
        <x:v>ptbxl_database.csv；ecg_id=14248；scp_codes</x:v>
      </x:c>
      <x:c r="K1543" s="12" t="str">
        <x:v>12sl_statements.csv；ecg_id=14248；statements_ext_snomed</x:v>
      </x:c>
      <x:c r="L1543" s="12"/>
      <x:c r="M1543" s="12" t="str">
        <x:v>negative</x:v>
      </x:c>
      <x:c r="N1543" s="12"/>
      <x:c r="O1543" s="12" t="str">
        <x:v>negative</x:v>
      </x:c>
      <x:c r="P1543" s="12" t="str">
        <x:f>IF(OR(M1543="unavailable",O1543="unavailable"),"不可评价",IF(OR(M1543="equivocal",O1543="equivocal"),"疑似",IF(AND(M1543="positive",O1543="positive"),"a",IF(O1543="positive","b",IF(M1543="positive","c","d")))))</x:f>
        <x:v>d</x:v>
      </x:c>
      <x:c r="Q1543" s="12"/>
      <x:c r="R1543" s="12" t="str">
        <x:v>negative</x:v>
      </x:c>
      <x:c r="S1543" s="12"/>
      <x:c r="T1543" s="12" t="str">
        <x:v>negative</x:v>
      </x:c>
      <x:c r="U1543" s="12" t="str">
        <x:f>IF(OR(R1543="unavailable",T1543="unavailable"),"不可评价",IF(OR(R1543="equivocal",T1543="equivocal"),"疑似",IF(AND(R1543="positive",T1543="positive"),"a",IF(T1543="positive","b",IF(R1543="positive","c","d")))))</x:f>
        <x:v>d</x:v>
      </x:c>
      <x:c r="V1543" s="12"/>
      <x:c r="W1543" s="12" t="str">
        <x:v>negative</x:v>
      </x:c>
      <x:c r="X1543" s="12"/>
      <x:c r="Y1543" s="12" t="str">
        <x:v>negative</x:v>
      </x:c>
      <x:c r="Z1543" s="12" t="str">
        <x:f>IF(OR(W1543="unavailable",Y1543="unavailable"),"不可评价",IF(OR(W1543="equivocal",Y1543="equivocal"),"疑似",IF(AND(W1543="positive",Y1543="positive"),"a",IF(Y1543="positive","b",IF(W1543="positive","c","d")))))</x:f>
        <x:v>d</x:v>
      </x:c>
      <x:c r="AA1543" s="12" t="str">
        <x:f>IF(OR(M1543="unavailable",O1543="unavailable"),"不可评价",IF(AND(OR(M1543="positive",M1543="equivocal"),OR(O1543="positive",O1543="equivocal")),"a",IF(OR(O1543="positive",O1543="equivocal"),"b",IF(OR(M1543="positive",M1543="equivocal"),"c","d"))))</x:f>
        <x:v>d</x:v>
      </x:c>
      <x:c r="AB1543" s="12" t="str">
        <x:f>IF(OR(M1543="unavailable",O1543="unavailable"),"不可评价",IF(AND(M1543="positive",O1543="positive"),"a",IF(O1543="positive","b",IF(M1543="positive","c","d"))))</x:f>
        <x:v>d</x:v>
      </x:c>
      <x:c r="AC1543" s="12" t="str">
        <x:f>IF(OR(R1543="unavailable",T1543="unavailable"),"不可评价",IF(AND(OR(R1543="positive",R1543="equivocal"),OR(T1543="positive",T1543="equivocal")),"a",IF(OR(T1543="positive",T1543="equivocal"),"b",IF(OR(R1543="positive",R1543="equivocal"),"c","d"))))</x:f>
        <x:v>d</x:v>
      </x:c>
      <x:c r="AD1543" s="12" t="str">
        <x:f>IF(OR(R1543="unavailable",T1543="unavailable"),"不可评价",IF(AND(R1543="positive",T1543="positive"),"a",IF(T1543="positive","b",IF(R1543="positive","c","d"))))</x:f>
        <x:v>d</x:v>
      </x:c>
      <x:c r="AE1543" s="12" t="str">
        <x:f>IF(OR(W1543="unavailable",Y1543="unavailable"),"不可评价",IF(AND(OR(W1543="positive",W1543="equivocal"),OR(Y1543="positive",Y1543="equivocal")),"a",IF(OR(Y1543="positive",Y1543="equivocal"),"b",IF(OR(W1543="positive",W1543="equivocal"),"c","d"))))</x:f>
        <x:v>d</x:v>
      </x:c>
      <x:c r="AF1543" s="12" t="str">
        <x:f>IF(OR(W1543="unavailable",Y1543="unavailable"),"不可评价",IF(AND(W1543="positive",Y1543="positive"),"a",IF(Y1543="positive","b",IF(W1543="positive","c","d"))))</x:f>
        <x:v>d</x:v>
      </x:c>
    </x:row>
    <x:row r="1544" ht="24" customHeight="1">
      <x:c r="A1544" s="12" t="str">
        <x:v>14256</x:v>
      </x:c>
      <x:c r="B1544" s="12" t="str">
        <x:v>19831</x:v>
      </x:c>
      <x:c r="C1544" s="21" t="n">
        <x:v>34874.49868055555</x:v>
      </x:c>
      <x:c r="D1544" s="12" t="n">
        <x:v>51</x:v>
      </x:c>
      <x:c r="E1544" s="12" t="n">
        <x:v>0</x:v>
      </x:c>
      <x:c r="F1544" s="12" t="str">
        <x:v>存在</x:v>
      </x:c>
      <x:c r="G1544" s="12" t="n">
        <x:v>1</x:v>
      </x:c>
      <x:c r="H1544" s="12" t="str">
        <x:v>{'NORM': 100.0, 'SR': 0.0}</x:v>
      </x:c>
      <x:c r="I1544" s="12" t="str">
        <x:v>[('NSR', 100.0), ('NML', 100.0)]</x:v>
      </x:c>
      <x:c r="J1544" s="12" t="str">
        <x:v>ptbxl_database.csv；ecg_id=14256；scp_codes</x:v>
      </x:c>
      <x:c r="K1544" s="12" t="str">
        <x:v>12sl_statements.csv；ecg_id=14256；statements_ext_snomed</x:v>
      </x:c>
      <x:c r="L1544" s="12"/>
      <x:c r="M1544" s="12" t="str">
        <x:v>negative</x:v>
      </x:c>
      <x:c r="N1544" s="12"/>
      <x:c r="O1544" s="12" t="str">
        <x:v>negative</x:v>
      </x:c>
      <x:c r="P1544" s="12" t="str">
        <x:f>IF(OR(M1544="unavailable",O1544="unavailable"),"不可评价",IF(OR(M1544="equivocal",O1544="equivocal"),"疑似",IF(AND(M1544="positive",O1544="positive"),"a",IF(O1544="positive","b",IF(M1544="positive","c","d")))))</x:f>
        <x:v>d</x:v>
      </x:c>
      <x:c r="Q1544" s="12"/>
      <x:c r="R1544" s="12" t="str">
        <x:v>negative</x:v>
      </x:c>
      <x:c r="S1544" s="12"/>
      <x:c r="T1544" s="12" t="str">
        <x:v>negative</x:v>
      </x:c>
      <x:c r="U1544" s="12" t="str">
        <x:f>IF(OR(R1544="unavailable",T1544="unavailable"),"不可评价",IF(OR(R1544="equivocal",T1544="equivocal"),"疑似",IF(AND(R1544="positive",T1544="positive"),"a",IF(T1544="positive","b",IF(R1544="positive","c","d")))))</x:f>
        <x:v>d</x:v>
      </x:c>
      <x:c r="V1544" s="12"/>
      <x:c r="W1544" s="12" t="str">
        <x:v>negative</x:v>
      </x:c>
      <x:c r="X1544" s="12"/>
      <x:c r="Y1544" s="12" t="str">
        <x:v>negative</x:v>
      </x:c>
      <x:c r="Z1544" s="12" t="str">
        <x:f>IF(OR(W1544="unavailable",Y1544="unavailable"),"不可评价",IF(OR(W1544="equivocal",Y1544="equivocal"),"疑似",IF(AND(W1544="positive",Y1544="positive"),"a",IF(Y1544="positive","b",IF(W1544="positive","c","d")))))</x:f>
        <x:v>d</x:v>
      </x:c>
      <x:c r="AA1544" s="12" t="str">
        <x:f>IF(OR(M1544="unavailable",O1544="unavailable"),"不可评价",IF(AND(OR(M1544="positive",M1544="equivocal"),OR(O1544="positive",O1544="equivocal")),"a",IF(OR(O1544="positive",O1544="equivocal"),"b",IF(OR(M1544="positive",M1544="equivocal"),"c","d"))))</x:f>
        <x:v>d</x:v>
      </x:c>
      <x:c r="AB1544" s="12" t="str">
        <x:f>IF(OR(M1544="unavailable",O1544="unavailable"),"不可评价",IF(AND(M1544="positive",O1544="positive"),"a",IF(O1544="positive","b",IF(M1544="positive","c","d"))))</x:f>
        <x:v>d</x:v>
      </x:c>
      <x:c r="AC1544" s="12" t="str">
        <x:f>IF(OR(R1544="unavailable",T1544="unavailable"),"不可评价",IF(AND(OR(R1544="positive",R1544="equivocal"),OR(T1544="positive",T1544="equivocal")),"a",IF(OR(T1544="positive",T1544="equivocal"),"b",IF(OR(R1544="positive",R1544="equivocal"),"c","d"))))</x:f>
        <x:v>d</x:v>
      </x:c>
      <x:c r="AD1544" s="12" t="str">
        <x:f>IF(OR(R1544="unavailable",T1544="unavailable"),"不可评价",IF(AND(R1544="positive",T1544="positive"),"a",IF(T1544="positive","b",IF(R1544="positive","c","d"))))</x:f>
        <x:v>d</x:v>
      </x:c>
      <x:c r="AE1544" s="12" t="str">
        <x:f>IF(OR(W1544="unavailable",Y1544="unavailable"),"不可评价",IF(AND(OR(W1544="positive",W1544="equivocal"),OR(Y1544="positive",Y1544="equivocal")),"a",IF(OR(Y1544="positive",Y1544="equivocal"),"b",IF(OR(W1544="positive",W1544="equivocal"),"c","d"))))</x:f>
        <x:v>d</x:v>
      </x:c>
      <x:c r="AF1544" s="12" t="str">
        <x:f>IF(OR(W1544="unavailable",Y1544="unavailable"),"不可评价",IF(AND(W1544="positive",Y1544="positive"),"a",IF(Y1544="positive","b",IF(W1544="positive","c","d"))))</x:f>
        <x:v>d</x:v>
      </x:c>
    </x:row>
    <x:row r="1545" ht="24" customHeight="1">
      <x:c r="A1545" s="12" t="str">
        <x:v>14288</x:v>
      </x:c>
      <x:c r="B1545" s="12" t="str">
        <x:v>20185</x:v>
      </x:c>
      <x:c r="C1545" s="21" t="n">
        <x:v>34875.781168981484</x:v>
      </x:c>
      <x:c r="D1545" s="12" t="n">
        <x:v>73</x:v>
      </x:c>
      <x:c r="E1545" s="12" t="n">
        <x:v>0</x:v>
      </x:c>
      <x:c r="F1545" s="12" t="str">
        <x:v>未记录</x:v>
      </x:c>
      <x:c r="G1545" s="12" t="n">
        <x:v>1</x:v>
      </x:c>
      <x:c r="H1545" s="12" t="str">
        <x:v>{'NORM': 50.0, 'IVCD': 100.0, 'SR': 0.0}</x:v>
      </x:c>
      <x:c r="I1545" s="12" t="str">
        <x:v>[('NSR', 100.0), ('NML', 100.0)]</x:v>
      </x:c>
      <x:c r="J1545" s="12" t="str">
        <x:v>ptbxl_database.csv；ecg_id=14288；scp_codes</x:v>
      </x:c>
      <x:c r="K1545" s="12" t="str">
        <x:v>12sl_statements.csv；ecg_id=14288；statements_ext_snomed</x:v>
      </x:c>
      <x:c r="L1545" s="12"/>
      <x:c r="M1545" s="12" t="str">
        <x:v>negative</x:v>
      </x:c>
      <x:c r="N1545" s="12"/>
      <x:c r="O1545" s="12" t="str">
        <x:v>negative</x:v>
      </x:c>
      <x:c r="P1545" s="12" t="str">
        <x:f>IF(OR(M1545="unavailable",O1545="unavailable"),"不可评价",IF(OR(M1545="equivocal",O1545="equivocal"),"疑似",IF(AND(M1545="positive",O1545="positive"),"a",IF(O1545="positive","b",IF(M1545="positive","c","d")))))</x:f>
        <x:v>d</x:v>
      </x:c>
      <x:c r="Q1545" s="12"/>
      <x:c r="R1545" s="12" t="str">
        <x:v>negative</x:v>
      </x:c>
      <x:c r="S1545" s="12"/>
      <x:c r="T1545" s="12" t="str">
        <x:v>negative</x:v>
      </x:c>
      <x:c r="U1545" s="12" t="str">
        <x:f>IF(OR(R1545="unavailable",T1545="unavailable"),"不可评价",IF(OR(R1545="equivocal",T1545="equivocal"),"疑似",IF(AND(R1545="positive",T1545="positive"),"a",IF(T1545="positive","b",IF(R1545="positive","c","d")))))</x:f>
        <x:v>d</x:v>
      </x:c>
      <x:c r="V1545" s="12"/>
      <x:c r="W1545" s="12" t="str">
        <x:v>negative</x:v>
      </x:c>
      <x:c r="X1545" s="12"/>
      <x:c r="Y1545" s="12" t="str">
        <x:v>negative</x:v>
      </x:c>
      <x:c r="Z1545" s="12" t="str">
        <x:f>IF(OR(W1545="unavailable",Y1545="unavailable"),"不可评价",IF(OR(W1545="equivocal",Y1545="equivocal"),"疑似",IF(AND(W1545="positive",Y1545="positive"),"a",IF(Y1545="positive","b",IF(W1545="positive","c","d")))))</x:f>
        <x:v>d</x:v>
      </x:c>
      <x:c r="AA1545" s="12" t="str">
        <x:f>IF(OR(M1545="unavailable",O1545="unavailable"),"不可评价",IF(AND(OR(M1545="positive",M1545="equivocal"),OR(O1545="positive",O1545="equivocal")),"a",IF(OR(O1545="positive",O1545="equivocal"),"b",IF(OR(M1545="positive",M1545="equivocal"),"c","d"))))</x:f>
        <x:v>d</x:v>
      </x:c>
      <x:c r="AB1545" s="12" t="str">
        <x:f>IF(OR(M1545="unavailable",O1545="unavailable"),"不可评价",IF(AND(M1545="positive",O1545="positive"),"a",IF(O1545="positive","b",IF(M1545="positive","c","d"))))</x:f>
        <x:v>d</x:v>
      </x:c>
      <x:c r="AC1545" s="12" t="str">
        <x:f>IF(OR(R1545="unavailable",T1545="unavailable"),"不可评价",IF(AND(OR(R1545="positive",R1545="equivocal"),OR(T1545="positive",T1545="equivocal")),"a",IF(OR(T1545="positive",T1545="equivocal"),"b",IF(OR(R1545="positive",R1545="equivocal"),"c","d"))))</x:f>
        <x:v>d</x:v>
      </x:c>
      <x:c r="AD1545" s="12" t="str">
        <x:f>IF(OR(R1545="unavailable",T1545="unavailable"),"不可评价",IF(AND(R1545="positive",T1545="positive"),"a",IF(T1545="positive","b",IF(R1545="positive","c","d"))))</x:f>
        <x:v>d</x:v>
      </x:c>
      <x:c r="AE1545" s="12" t="str">
        <x:f>IF(OR(W1545="unavailable",Y1545="unavailable"),"不可评价",IF(AND(OR(W1545="positive",W1545="equivocal"),OR(Y1545="positive",Y1545="equivocal")),"a",IF(OR(Y1545="positive",Y1545="equivocal"),"b",IF(OR(W1545="positive",W1545="equivocal"),"c","d"))))</x:f>
        <x:v>d</x:v>
      </x:c>
      <x:c r="AF1545" s="12" t="str">
        <x:f>IF(OR(W1545="unavailable",Y1545="unavailable"),"不可评价",IF(AND(W1545="positive",Y1545="positive"),"a",IF(Y1545="positive","b",IF(W1545="positive","c","d"))))</x:f>
        <x:v>d</x:v>
      </x:c>
    </x:row>
    <x:row r="1546" ht="24" customHeight="1">
      <x:c r="A1546" s="12" t="str">
        <x:v>14301</x:v>
      </x:c>
      <x:c r="B1546" s="12" t="str">
        <x:v>12445</x:v>
      </x:c>
      <x:c r="C1546" s="21" t="n">
        <x:v>34877.626238425924</x:v>
      </x:c>
      <x:c r="D1546" s="12" t="n">
        <x:v>43</x:v>
      </x:c>
      <x:c r="E1546" s="12" t="n">
        <x:v>0</x:v>
      </x:c>
      <x:c r="F1546" s="12" t="str">
        <x:v>存在</x:v>
      </x:c>
      <x:c r="G1546" s="12" t="n">
        <x:v>1</x:v>
      </x:c>
      <x:c r="H1546" s="12" t="str">
        <x:v>{'NORM': 100.0, 'SR': 0.0}</x:v>
      </x:c>
      <x:c r="I1546" s="12" t="str">
        <x:v>[('NSR', 100.0), ('NML', 100.0)]</x:v>
      </x:c>
      <x:c r="J1546" s="12" t="str">
        <x:v>ptbxl_database.csv；ecg_id=14301；scp_codes</x:v>
      </x:c>
      <x:c r="K1546" s="12" t="str">
        <x:v>12sl_statements.csv；ecg_id=14301；statements_ext_snomed</x:v>
      </x:c>
      <x:c r="L1546" s="12"/>
      <x:c r="M1546" s="12" t="str">
        <x:v>negative</x:v>
      </x:c>
      <x:c r="N1546" s="12"/>
      <x:c r="O1546" s="12" t="str">
        <x:v>negative</x:v>
      </x:c>
      <x:c r="P1546" s="12" t="str">
        <x:f>IF(OR(M1546="unavailable",O1546="unavailable"),"不可评价",IF(OR(M1546="equivocal",O1546="equivocal"),"疑似",IF(AND(M1546="positive",O1546="positive"),"a",IF(O1546="positive","b",IF(M1546="positive","c","d")))))</x:f>
        <x:v>d</x:v>
      </x:c>
      <x:c r="Q1546" s="12"/>
      <x:c r="R1546" s="12" t="str">
        <x:v>negative</x:v>
      </x:c>
      <x:c r="S1546" s="12"/>
      <x:c r="T1546" s="12" t="str">
        <x:v>negative</x:v>
      </x:c>
      <x:c r="U1546" s="12" t="str">
        <x:f>IF(OR(R1546="unavailable",T1546="unavailable"),"不可评价",IF(OR(R1546="equivocal",T1546="equivocal"),"疑似",IF(AND(R1546="positive",T1546="positive"),"a",IF(T1546="positive","b",IF(R1546="positive","c","d")))))</x:f>
        <x:v>d</x:v>
      </x:c>
      <x:c r="V1546" s="12"/>
      <x:c r="W1546" s="12" t="str">
        <x:v>negative</x:v>
      </x:c>
      <x:c r="X1546" s="12"/>
      <x:c r="Y1546" s="12" t="str">
        <x:v>negative</x:v>
      </x:c>
      <x:c r="Z1546" s="12" t="str">
        <x:f>IF(OR(W1546="unavailable",Y1546="unavailable"),"不可评价",IF(OR(W1546="equivocal",Y1546="equivocal"),"疑似",IF(AND(W1546="positive",Y1546="positive"),"a",IF(Y1546="positive","b",IF(W1546="positive","c","d")))))</x:f>
        <x:v>d</x:v>
      </x:c>
      <x:c r="AA1546" s="12" t="str">
        <x:f>IF(OR(M1546="unavailable",O1546="unavailable"),"不可评价",IF(AND(OR(M1546="positive",M1546="equivocal"),OR(O1546="positive",O1546="equivocal")),"a",IF(OR(O1546="positive",O1546="equivocal"),"b",IF(OR(M1546="positive",M1546="equivocal"),"c","d"))))</x:f>
        <x:v>d</x:v>
      </x:c>
      <x:c r="AB1546" s="12" t="str">
        <x:f>IF(OR(M1546="unavailable",O1546="unavailable"),"不可评价",IF(AND(M1546="positive",O1546="positive"),"a",IF(O1546="positive","b",IF(M1546="positive","c","d"))))</x:f>
        <x:v>d</x:v>
      </x:c>
      <x:c r="AC1546" s="12" t="str">
        <x:f>IF(OR(R1546="unavailable",T1546="unavailable"),"不可评价",IF(AND(OR(R1546="positive",R1546="equivocal"),OR(T1546="positive",T1546="equivocal")),"a",IF(OR(T1546="positive",T1546="equivocal"),"b",IF(OR(R1546="positive",R1546="equivocal"),"c","d"))))</x:f>
        <x:v>d</x:v>
      </x:c>
      <x:c r="AD1546" s="12" t="str">
        <x:f>IF(OR(R1546="unavailable",T1546="unavailable"),"不可评价",IF(AND(R1546="positive",T1546="positive"),"a",IF(T1546="positive","b",IF(R1546="positive","c","d"))))</x:f>
        <x:v>d</x:v>
      </x:c>
      <x:c r="AE1546" s="12" t="str">
        <x:f>IF(OR(W1546="unavailable",Y1546="unavailable"),"不可评价",IF(AND(OR(W1546="positive",W1546="equivocal"),OR(Y1546="positive",Y1546="equivocal")),"a",IF(OR(Y1546="positive",Y1546="equivocal"),"b",IF(OR(W1546="positive",W1546="equivocal"),"c","d"))))</x:f>
        <x:v>d</x:v>
      </x:c>
      <x:c r="AF1546" s="12" t="str">
        <x:f>IF(OR(W1546="unavailable",Y1546="unavailable"),"不可评价",IF(AND(W1546="positive",Y1546="positive"),"a",IF(Y1546="positive","b",IF(W1546="positive","c","d"))))</x:f>
        <x:v>d</x:v>
      </x:c>
    </x:row>
    <x:row r="1547" ht="24" customHeight="1">
      <x:c r="A1547" s="12" t="str">
        <x:v>14304</x:v>
      </x:c>
      <x:c r="B1547" s="12" t="str">
        <x:v>17745</x:v>
      </x:c>
      <x:c r="C1547" s="21" t="n">
        <x:v>34878.551469907405</x:v>
      </x:c>
      <x:c r="D1547" s="12" t="n">
        <x:v>40</x:v>
      </x:c>
      <x:c r="E1547" s="12" t="n">
        <x:v>0</x:v>
      </x:c>
      <x:c r="F1547" s="12" t="str">
        <x:v>未记录</x:v>
      </x:c>
      <x:c r="G1547" s="12" t="n">
        <x:v>1</x:v>
      </x:c>
      <x:c r="H1547" s="12" t="str">
        <x:v>{'NORM': 80.0, 'SARRH': 0.0}</x:v>
      </x:c>
      <x:c r="I1547" s="12" t="str">
        <x:v>[('NSR', 100.0), ('SAR', 100.0), ('NST', 100.0), ('AB', 100.0)]</x:v>
      </x:c>
      <x:c r="J1547" s="12" t="str">
        <x:v>ptbxl_database.csv；ecg_id=14304；scp_codes</x:v>
      </x:c>
      <x:c r="K1547" s="12" t="str">
        <x:v>12sl_statements.csv；ecg_id=14304；statements_ext_snomed</x:v>
      </x:c>
      <x:c r="L1547" s="12"/>
      <x:c r="M1547" s="12" t="str">
        <x:v>negative</x:v>
      </x:c>
      <x:c r="N1547" s="12"/>
      <x:c r="O1547" s="12" t="str">
        <x:v>negative</x:v>
      </x:c>
      <x:c r="P1547" s="12" t="str">
        <x:f>IF(OR(M1547="unavailable",O1547="unavailable"),"不可评价",IF(OR(M1547="equivocal",O1547="equivocal"),"疑似",IF(AND(M1547="positive",O1547="positive"),"a",IF(O1547="positive","b",IF(M1547="positive","c","d")))))</x:f>
        <x:v>d</x:v>
      </x:c>
      <x:c r="Q1547" s="12"/>
      <x:c r="R1547" s="12" t="str">
        <x:v>negative</x:v>
      </x:c>
      <x:c r="S1547" s="12"/>
      <x:c r="T1547" s="12" t="str">
        <x:v>negative</x:v>
      </x:c>
      <x:c r="U1547" s="12" t="str">
        <x:f>IF(OR(R1547="unavailable",T1547="unavailable"),"不可评价",IF(OR(R1547="equivocal",T1547="equivocal"),"疑似",IF(AND(R1547="positive",T1547="positive"),"a",IF(T1547="positive","b",IF(R1547="positive","c","d")))))</x:f>
        <x:v>d</x:v>
      </x:c>
      <x:c r="V1547" s="12"/>
      <x:c r="W1547" s="12" t="str">
        <x:v>negative</x:v>
      </x:c>
      <x:c r="X1547" s="12"/>
      <x:c r="Y1547" s="12" t="str">
        <x:v>negative</x:v>
      </x:c>
      <x:c r="Z1547" s="12" t="str">
        <x:f>IF(OR(W1547="unavailable",Y1547="unavailable"),"不可评价",IF(OR(W1547="equivocal",Y1547="equivocal"),"疑似",IF(AND(W1547="positive",Y1547="positive"),"a",IF(Y1547="positive","b",IF(W1547="positive","c","d")))))</x:f>
        <x:v>d</x:v>
      </x:c>
      <x:c r="AA1547" s="12" t="str">
        <x:f>IF(OR(M1547="unavailable",O1547="unavailable"),"不可评价",IF(AND(OR(M1547="positive",M1547="equivocal"),OR(O1547="positive",O1547="equivocal")),"a",IF(OR(O1547="positive",O1547="equivocal"),"b",IF(OR(M1547="positive",M1547="equivocal"),"c","d"))))</x:f>
        <x:v>d</x:v>
      </x:c>
      <x:c r="AB1547" s="12" t="str">
        <x:f>IF(OR(M1547="unavailable",O1547="unavailable"),"不可评价",IF(AND(M1547="positive",O1547="positive"),"a",IF(O1547="positive","b",IF(M1547="positive","c","d"))))</x:f>
        <x:v>d</x:v>
      </x:c>
      <x:c r="AC1547" s="12" t="str">
        <x:f>IF(OR(R1547="unavailable",T1547="unavailable"),"不可评价",IF(AND(OR(R1547="positive",R1547="equivocal"),OR(T1547="positive",T1547="equivocal")),"a",IF(OR(T1547="positive",T1547="equivocal"),"b",IF(OR(R1547="positive",R1547="equivocal"),"c","d"))))</x:f>
        <x:v>d</x:v>
      </x:c>
      <x:c r="AD1547" s="12" t="str">
        <x:f>IF(OR(R1547="unavailable",T1547="unavailable"),"不可评价",IF(AND(R1547="positive",T1547="positive"),"a",IF(T1547="positive","b",IF(R1547="positive","c","d"))))</x:f>
        <x:v>d</x:v>
      </x:c>
      <x:c r="AE1547" s="12" t="str">
        <x:f>IF(OR(W1547="unavailable",Y1547="unavailable"),"不可评价",IF(AND(OR(W1547="positive",W1547="equivocal"),OR(Y1547="positive",Y1547="equivocal")),"a",IF(OR(Y1547="positive",Y1547="equivocal"),"b",IF(OR(W1547="positive",W1547="equivocal"),"c","d"))))</x:f>
        <x:v>d</x:v>
      </x:c>
      <x:c r="AF1547" s="12" t="str">
        <x:f>IF(OR(W1547="unavailable",Y1547="unavailable"),"不可评价",IF(AND(W1547="positive",Y1547="positive"),"a",IF(Y1547="positive","b",IF(W1547="positive","c","d"))))</x:f>
        <x:v>d</x:v>
      </x:c>
    </x:row>
    <x:row r="1548" ht="39" customHeight="1">
      <x:c r="A1548" s="12" t="str">
        <x:v>14314</x:v>
      </x:c>
      <x:c r="B1548" s="12" t="str">
        <x:v>16356</x:v>
      </x:c>
      <x:c r="C1548" s="21" t="n">
        <x:v>34879.675150462965</x:v>
      </x:c>
      <x:c r="D1548" s="12" t="n">
        <x:v>69</x:v>
      </x:c>
      <x:c r="E1548" s="12" t="n">
        <x:v>1</x:v>
      </x:c>
      <x:c r="F1548" s="12" t="str">
        <x:v>未记录</x:v>
      </x:c>
      <x:c r="G1548" s="12" t="n">
        <x:v>1</x:v>
      </x:c>
      <x:c r="H1548" s="12" t="str">
        <x:v>{'ASMI': 100.0, 'ILMI': 100.0, 'ABQRS': 0.0, 'SR': 0.0}</x:v>
      </x:c>
      <x:c r="I1548" s="12" t="str">
        <x:v>[('SRTH', 100.0), ('FAV', 100.0), ('LAD3', 100.0), ('LMI;AU', 50.0), ('IMI;AU', 100.0), ('AB', 100.0)]</x:v>
      </x:c>
      <x:c r="J1548" s="12" t="str">
        <x:v>ptbxl_database.csv；ecg_id=14314；scp_codes</x:v>
      </x:c>
      <x:c r="K1548" s="12" t="str">
        <x:v>12sl_statements.csv；ecg_id=14314；statements_ext_snomed</x:v>
      </x:c>
      <x:c r="L1548" s="12"/>
      <x:c r="M1548" s="12" t="str">
        <x:v>negative</x:v>
      </x:c>
      <x:c r="N1548" s="12"/>
      <x:c r="O1548" s="12" t="str">
        <x:v>negative</x:v>
      </x:c>
      <x:c r="P1548" s="12" t="str">
        <x:f>IF(OR(M1548="unavailable",O1548="unavailable"),"不可评价",IF(OR(M1548="equivocal",O1548="equivocal"),"疑似",IF(AND(M1548="positive",O1548="positive"),"a",IF(O1548="positive","b",IF(M1548="positive","c","d")))))</x:f>
        <x:v>d</x:v>
      </x:c>
      <x:c r="Q1548" s="12"/>
      <x:c r="R1548" s="12" t="str">
        <x:v>negative</x:v>
      </x:c>
      <x:c r="S1548" s="12"/>
      <x:c r="T1548" s="12" t="str">
        <x:v>negative</x:v>
      </x:c>
      <x:c r="U1548" s="12" t="str">
        <x:f>IF(OR(R1548="unavailable",T1548="unavailable"),"不可评价",IF(OR(R1548="equivocal",T1548="equivocal"),"疑似",IF(AND(R1548="positive",T1548="positive"),"a",IF(T1548="positive","b",IF(R1548="positive","c","d")))))</x:f>
        <x:v>d</x:v>
      </x:c>
      <x:c r="V1548" s="12"/>
      <x:c r="W1548" s="12" t="str">
        <x:v>negative</x:v>
      </x:c>
      <x:c r="X1548" s="12"/>
      <x:c r="Y1548" s="12" t="str">
        <x:v>negative</x:v>
      </x:c>
      <x:c r="Z1548" s="12" t="str">
        <x:f>IF(OR(W1548="unavailable",Y1548="unavailable"),"不可评价",IF(OR(W1548="equivocal",Y1548="equivocal"),"疑似",IF(AND(W1548="positive",Y1548="positive"),"a",IF(Y1548="positive","b",IF(W1548="positive","c","d")))))</x:f>
        <x:v>d</x:v>
      </x:c>
      <x:c r="AA1548" s="12" t="str">
        <x:f>IF(OR(M1548="unavailable",O1548="unavailable"),"不可评价",IF(AND(OR(M1548="positive",M1548="equivocal"),OR(O1548="positive",O1548="equivocal")),"a",IF(OR(O1548="positive",O1548="equivocal"),"b",IF(OR(M1548="positive",M1548="equivocal"),"c","d"))))</x:f>
        <x:v>d</x:v>
      </x:c>
      <x:c r="AB1548" s="12" t="str">
        <x:f>IF(OR(M1548="unavailable",O1548="unavailable"),"不可评价",IF(AND(M1548="positive",O1548="positive"),"a",IF(O1548="positive","b",IF(M1548="positive","c","d"))))</x:f>
        <x:v>d</x:v>
      </x:c>
      <x:c r="AC1548" s="12" t="str">
        <x:f>IF(OR(R1548="unavailable",T1548="unavailable"),"不可评价",IF(AND(OR(R1548="positive",R1548="equivocal"),OR(T1548="positive",T1548="equivocal")),"a",IF(OR(T1548="positive",T1548="equivocal"),"b",IF(OR(R1548="positive",R1548="equivocal"),"c","d"))))</x:f>
        <x:v>d</x:v>
      </x:c>
      <x:c r="AD1548" s="12" t="str">
        <x:f>IF(OR(R1548="unavailable",T1548="unavailable"),"不可评价",IF(AND(R1548="positive",T1548="positive"),"a",IF(T1548="positive","b",IF(R1548="positive","c","d"))))</x:f>
        <x:v>d</x:v>
      </x:c>
      <x:c r="AE1548" s="12" t="str">
        <x:f>IF(OR(W1548="unavailable",Y1548="unavailable"),"不可评价",IF(AND(OR(W1548="positive",W1548="equivocal"),OR(Y1548="positive",Y1548="equivocal")),"a",IF(OR(Y1548="positive",Y1548="equivocal"),"b",IF(OR(W1548="positive",W1548="equivocal"),"c","d"))))</x:f>
        <x:v>d</x:v>
      </x:c>
      <x:c r="AF1548" s="12" t="str">
        <x:f>IF(OR(W1548="unavailable",Y1548="unavailable"),"不可评价",IF(AND(W1548="positive",Y1548="positive"),"a",IF(Y1548="positive","b",IF(W1548="positive","c","d"))))</x:f>
        <x:v>d</x:v>
      </x:c>
    </x:row>
    <x:row r="1549" ht="24" customHeight="1">
      <x:c r="A1549" s="12" t="str">
        <x:v>14315</x:v>
      </x:c>
      <x:c r="B1549" s="12" t="str">
        <x:v>10982</x:v>
      </x:c>
      <x:c r="C1549" s="21" t="n">
        <x:v>34879.690150462964</x:v>
      </x:c>
      <x:c r="D1549" s="12" t="n">
        <x:v>53</x:v>
      </x:c>
      <x:c r="E1549" s="12" t="n">
        <x:v>0</x:v>
      </x:c>
      <x:c r="F1549" s="12" t="str">
        <x:v>未记录</x:v>
      </x:c>
      <x:c r="G1549" s="12" t="n">
        <x:v>0</x:v>
      </x:c>
      <x:c r="H1549" s="12" t="str">
        <x:v>{'RVH': 35.0, 'SR': 0.0}</x:v>
      </x:c>
      <x:c r="I1549" s="12" t="str">
        <x:v>[('NSR', 100.0), ('RAD4', 100.0), ('AB', 100.0)]</x:v>
      </x:c>
      <x:c r="J1549" s="12" t="str">
        <x:v>ptbxl_database.csv；ecg_id=14315；scp_codes</x:v>
      </x:c>
      <x:c r="K1549" s="12" t="str">
        <x:v>12sl_statements.csv；ecg_id=14315；statements_ext_snomed</x:v>
      </x:c>
      <x:c r="L1549" s="12"/>
      <x:c r="M1549" s="12" t="str">
        <x:v>negative</x:v>
      </x:c>
      <x:c r="N1549" s="12"/>
      <x:c r="O1549" s="12" t="str">
        <x:v>negative</x:v>
      </x:c>
      <x:c r="P1549" s="12" t="str">
        <x:f>IF(OR(M1549="unavailable",O1549="unavailable"),"不可评价",IF(OR(M1549="equivocal",O1549="equivocal"),"疑似",IF(AND(M1549="positive",O1549="positive"),"a",IF(O1549="positive","b",IF(M1549="positive","c","d")))))</x:f>
        <x:v>d</x:v>
      </x:c>
      <x:c r="Q1549" s="12"/>
      <x:c r="R1549" s="12" t="str">
        <x:v>negative</x:v>
      </x:c>
      <x:c r="S1549" s="12"/>
      <x:c r="T1549" s="12" t="str">
        <x:v>negative</x:v>
      </x:c>
      <x:c r="U1549" s="12" t="str">
        <x:f>IF(OR(R1549="unavailable",T1549="unavailable"),"不可评价",IF(OR(R1549="equivocal",T1549="equivocal"),"疑似",IF(AND(R1549="positive",T1549="positive"),"a",IF(T1549="positive","b",IF(R1549="positive","c","d")))))</x:f>
        <x:v>d</x:v>
      </x:c>
      <x:c r="V1549" s="12"/>
      <x:c r="W1549" s="12" t="str">
        <x:v>negative</x:v>
      </x:c>
      <x:c r="X1549" s="12"/>
      <x:c r="Y1549" s="12" t="str">
        <x:v>negative</x:v>
      </x:c>
      <x:c r="Z1549" s="12" t="str">
        <x:f>IF(OR(W1549="unavailable",Y1549="unavailable"),"不可评价",IF(OR(W1549="equivocal",Y1549="equivocal"),"疑似",IF(AND(W1549="positive",Y1549="positive"),"a",IF(Y1549="positive","b",IF(W1549="positive","c","d")))))</x:f>
        <x:v>d</x:v>
      </x:c>
      <x:c r="AA1549" s="12" t="str">
        <x:f>IF(OR(M1549="unavailable",O1549="unavailable"),"不可评价",IF(AND(OR(M1549="positive",M1549="equivocal"),OR(O1549="positive",O1549="equivocal")),"a",IF(OR(O1549="positive",O1549="equivocal"),"b",IF(OR(M1549="positive",M1549="equivocal"),"c","d"))))</x:f>
        <x:v>d</x:v>
      </x:c>
      <x:c r="AB1549" s="12" t="str">
        <x:f>IF(OR(M1549="unavailable",O1549="unavailable"),"不可评价",IF(AND(M1549="positive",O1549="positive"),"a",IF(O1549="positive","b",IF(M1549="positive","c","d"))))</x:f>
        <x:v>d</x:v>
      </x:c>
      <x:c r="AC1549" s="12" t="str">
        <x:f>IF(OR(R1549="unavailable",T1549="unavailable"),"不可评价",IF(AND(OR(R1549="positive",R1549="equivocal"),OR(T1549="positive",T1549="equivocal")),"a",IF(OR(T1549="positive",T1549="equivocal"),"b",IF(OR(R1549="positive",R1549="equivocal"),"c","d"))))</x:f>
        <x:v>d</x:v>
      </x:c>
      <x:c r="AD1549" s="12" t="str">
        <x:f>IF(OR(R1549="unavailable",T1549="unavailable"),"不可评价",IF(AND(R1549="positive",T1549="positive"),"a",IF(T1549="positive","b",IF(R1549="positive","c","d"))))</x:f>
        <x:v>d</x:v>
      </x:c>
      <x:c r="AE1549" s="12" t="str">
        <x:f>IF(OR(W1549="unavailable",Y1549="unavailable"),"不可评价",IF(AND(OR(W1549="positive",W1549="equivocal"),OR(Y1549="positive",Y1549="equivocal")),"a",IF(OR(Y1549="positive",Y1549="equivocal"),"b",IF(OR(W1549="positive",W1549="equivocal"),"c","d"))))</x:f>
        <x:v>d</x:v>
      </x:c>
      <x:c r="AF1549" s="12" t="str">
        <x:f>IF(OR(W1549="unavailable",Y1549="unavailable"),"不可评价",IF(AND(W1549="positive",Y1549="positive"),"a",IF(Y1549="positive","b",IF(W1549="positive","c","d"))))</x:f>
        <x:v>d</x:v>
      </x:c>
    </x:row>
    <x:row r="1550" ht="39" customHeight="1">
      <x:c r="A1550" s="12" t="str">
        <x:v>14350</x:v>
      </x:c>
      <x:c r="B1550" s="12" t="str">
        <x:v>886</x:v>
      </x:c>
      <x:c r="C1550" s="21" t="n">
        <x:v>34882.34846064815</x:v>
      </x:c>
      <x:c r="D1550" s="12" t="n">
        <x:v>65</x:v>
      </x:c>
      <x:c r="E1550" s="12" t="n">
        <x:v>1</x:v>
      </x:c>
      <x:c r="F1550" s="12" t="str">
        <x:v>未记录</x:v>
      </x:c>
      <x:c r="G1550" s="12" t="n">
        <x:v>1</x:v>
      </x:c>
      <x:c r="H1550" s="12" t="str">
        <x:v>{'IMI': 15.0, 'LVH': 50.0, 'ISC_': 100.0, 'VCLVH': 0.0, 'QWAVE': 0.0, 'STD_': 0.0, 'STACH': 0.0}</x:v>
      </x:c>
      <x:c r="I1550" s="12" t="str">
        <x:v>[('STACH', 100.0), ('SMI;AU', 100.0), ('ST&amp;', 100.0), ('LT', 100.0), ('AB', 100.0)]</x:v>
      </x:c>
      <x:c r="J1550" s="12" t="str">
        <x:v>ptbxl_database.csv；ecg_id=14350；scp_codes</x:v>
      </x:c>
      <x:c r="K1550" s="12" t="str">
        <x:v>12sl_statements.csv；ecg_id=14350；statements_ext_snomed</x:v>
      </x:c>
      <x:c r="L1550" s="12"/>
      <x:c r="M1550" s="12" t="str">
        <x:v>negative</x:v>
      </x:c>
      <x:c r="N1550" s="12"/>
      <x:c r="O1550" s="12" t="str">
        <x:v>negative</x:v>
      </x:c>
      <x:c r="P1550" s="12" t="str">
        <x:f>IF(OR(M1550="unavailable",O1550="unavailable"),"不可评价",IF(OR(M1550="equivocal",O1550="equivocal"),"疑似",IF(AND(M1550="positive",O1550="positive"),"a",IF(O1550="positive","b",IF(M1550="positive","c","d")))))</x:f>
        <x:v>d</x:v>
      </x:c>
      <x:c r="Q1550" s="12"/>
      <x:c r="R1550" s="12" t="str">
        <x:v>negative</x:v>
      </x:c>
      <x:c r="S1550" s="12"/>
      <x:c r="T1550" s="12" t="str">
        <x:v>negative</x:v>
      </x:c>
      <x:c r="U1550" s="12" t="str">
        <x:f>IF(OR(R1550="unavailable",T1550="unavailable"),"不可评价",IF(OR(R1550="equivocal",T1550="equivocal"),"疑似",IF(AND(R1550="positive",T1550="positive"),"a",IF(T1550="positive","b",IF(R1550="positive","c","d")))))</x:f>
        <x:v>d</x:v>
      </x:c>
      <x:c r="V1550" s="12"/>
      <x:c r="W1550" s="12" t="str">
        <x:v>negative</x:v>
      </x:c>
      <x:c r="X1550" s="12"/>
      <x:c r="Y1550" s="12" t="str">
        <x:v>negative</x:v>
      </x:c>
      <x:c r="Z1550" s="12" t="str">
        <x:f>IF(OR(W1550="unavailable",Y1550="unavailable"),"不可评价",IF(OR(W1550="equivocal",Y1550="equivocal"),"疑似",IF(AND(W1550="positive",Y1550="positive"),"a",IF(Y1550="positive","b",IF(W1550="positive","c","d")))))</x:f>
        <x:v>d</x:v>
      </x:c>
      <x:c r="AA1550" s="12" t="str">
        <x:f>IF(OR(M1550="unavailable",O1550="unavailable"),"不可评价",IF(AND(OR(M1550="positive",M1550="equivocal"),OR(O1550="positive",O1550="equivocal")),"a",IF(OR(O1550="positive",O1550="equivocal"),"b",IF(OR(M1550="positive",M1550="equivocal"),"c","d"))))</x:f>
        <x:v>d</x:v>
      </x:c>
      <x:c r="AB1550" s="12" t="str">
        <x:f>IF(OR(M1550="unavailable",O1550="unavailable"),"不可评价",IF(AND(M1550="positive",O1550="positive"),"a",IF(O1550="positive","b",IF(M1550="positive","c","d"))))</x:f>
        <x:v>d</x:v>
      </x:c>
      <x:c r="AC1550" s="12" t="str">
        <x:f>IF(OR(R1550="unavailable",T1550="unavailable"),"不可评价",IF(AND(OR(R1550="positive",R1550="equivocal"),OR(T1550="positive",T1550="equivocal")),"a",IF(OR(T1550="positive",T1550="equivocal"),"b",IF(OR(R1550="positive",R1550="equivocal"),"c","d"))))</x:f>
        <x:v>d</x:v>
      </x:c>
      <x:c r="AD1550" s="12" t="str">
        <x:f>IF(OR(R1550="unavailable",T1550="unavailable"),"不可评价",IF(AND(R1550="positive",T1550="positive"),"a",IF(T1550="positive","b",IF(R1550="positive","c","d"))))</x:f>
        <x:v>d</x:v>
      </x:c>
      <x:c r="AE1550" s="12" t="str">
        <x:f>IF(OR(W1550="unavailable",Y1550="unavailable"),"不可评价",IF(AND(OR(W1550="positive",W1550="equivocal"),OR(Y1550="positive",Y1550="equivocal")),"a",IF(OR(Y1550="positive",Y1550="equivocal"),"b",IF(OR(W1550="positive",W1550="equivocal"),"c","d"))))</x:f>
        <x:v>d</x:v>
      </x:c>
      <x:c r="AF1550" s="12" t="str">
        <x:f>IF(OR(W1550="unavailable",Y1550="unavailable"),"不可评价",IF(AND(W1550="positive",Y1550="positive"),"a",IF(Y1550="positive","b",IF(W1550="positive","c","d"))))</x:f>
        <x:v>d</x:v>
      </x:c>
    </x:row>
    <x:row r="1551" ht="24" customHeight="1">
      <x:c r="A1551" s="12" t="str">
        <x:v>14356</x:v>
      </x:c>
      <x:c r="B1551" s="12" t="str">
        <x:v>8024</x:v>
      </x:c>
      <x:c r="C1551" s="21" t="n">
        <x:v>34882.855729166666</x:v>
      </x:c>
      <x:c r="D1551" s="12" t="n">
        <x:v>33</x:v>
      </x:c>
      <x:c r="E1551" s="12" t="n">
        <x:v>1</x:v>
      </x:c>
      <x:c r="F1551" s="12" t="str">
        <x:v>未记录</x:v>
      </x:c>
      <x:c r="G1551" s="12" t="n">
        <x:v>1</x:v>
      </x:c>
      <x:c r="H1551" s="12" t="str">
        <x:v>{'NORM': 100.0, 'SR': 0.0}</x:v>
      </x:c>
      <x:c r="I1551" s="12" t="str">
        <x:v>[('NSR', 100.0), ('NML', 100.0)]</x:v>
      </x:c>
      <x:c r="J1551" s="12" t="str">
        <x:v>ptbxl_database.csv；ecg_id=14356；scp_codes</x:v>
      </x:c>
      <x:c r="K1551" s="12" t="str">
        <x:v>12sl_statements.csv；ecg_id=14356；statements_ext_snomed</x:v>
      </x:c>
      <x:c r="L1551" s="12"/>
      <x:c r="M1551" s="12" t="str">
        <x:v>negative</x:v>
      </x:c>
      <x:c r="N1551" s="12"/>
      <x:c r="O1551" s="12" t="str">
        <x:v>negative</x:v>
      </x:c>
      <x:c r="P1551" s="12" t="str">
        <x:f>IF(OR(M1551="unavailable",O1551="unavailable"),"不可评价",IF(OR(M1551="equivocal",O1551="equivocal"),"疑似",IF(AND(M1551="positive",O1551="positive"),"a",IF(O1551="positive","b",IF(M1551="positive","c","d")))))</x:f>
        <x:v>d</x:v>
      </x:c>
      <x:c r="Q1551" s="12"/>
      <x:c r="R1551" s="12" t="str">
        <x:v>negative</x:v>
      </x:c>
      <x:c r="S1551" s="12"/>
      <x:c r="T1551" s="12" t="str">
        <x:v>negative</x:v>
      </x:c>
      <x:c r="U1551" s="12" t="str">
        <x:f>IF(OR(R1551="unavailable",T1551="unavailable"),"不可评价",IF(OR(R1551="equivocal",T1551="equivocal"),"疑似",IF(AND(R1551="positive",T1551="positive"),"a",IF(T1551="positive","b",IF(R1551="positive","c","d")))))</x:f>
        <x:v>d</x:v>
      </x:c>
      <x:c r="V1551" s="12"/>
      <x:c r="W1551" s="12" t="str">
        <x:v>negative</x:v>
      </x:c>
      <x:c r="X1551" s="12"/>
      <x:c r="Y1551" s="12" t="str">
        <x:v>negative</x:v>
      </x:c>
      <x:c r="Z1551" s="12" t="str">
        <x:f>IF(OR(W1551="unavailable",Y1551="unavailable"),"不可评价",IF(OR(W1551="equivocal",Y1551="equivocal"),"疑似",IF(AND(W1551="positive",Y1551="positive"),"a",IF(Y1551="positive","b",IF(W1551="positive","c","d")))))</x:f>
        <x:v>d</x:v>
      </x:c>
      <x:c r="AA1551" s="12" t="str">
        <x:f>IF(OR(M1551="unavailable",O1551="unavailable"),"不可评价",IF(AND(OR(M1551="positive",M1551="equivocal"),OR(O1551="positive",O1551="equivocal")),"a",IF(OR(O1551="positive",O1551="equivocal"),"b",IF(OR(M1551="positive",M1551="equivocal"),"c","d"))))</x:f>
        <x:v>d</x:v>
      </x:c>
      <x:c r="AB1551" s="12" t="str">
        <x:f>IF(OR(M1551="unavailable",O1551="unavailable"),"不可评价",IF(AND(M1551="positive",O1551="positive"),"a",IF(O1551="positive","b",IF(M1551="positive","c","d"))))</x:f>
        <x:v>d</x:v>
      </x:c>
      <x:c r="AC1551" s="12" t="str">
        <x:f>IF(OR(R1551="unavailable",T1551="unavailable"),"不可评价",IF(AND(OR(R1551="positive",R1551="equivocal"),OR(T1551="positive",T1551="equivocal")),"a",IF(OR(T1551="positive",T1551="equivocal"),"b",IF(OR(R1551="positive",R1551="equivocal"),"c","d"))))</x:f>
        <x:v>d</x:v>
      </x:c>
      <x:c r="AD1551" s="12" t="str">
        <x:f>IF(OR(R1551="unavailable",T1551="unavailable"),"不可评价",IF(AND(R1551="positive",T1551="positive"),"a",IF(T1551="positive","b",IF(R1551="positive","c","d"))))</x:f>
        <x:v>d</x:v>
      </x:c>
      <x:c r="AE1551" s="12" t="str">
        <x:f>IF(OR(W1551="unavailable",Y1551="unavailable"),"不可评价",IF(AND(OR(W1551="positive",W1551="equivocal"),OR(Y1551="positive",Y1551="equivocal")),"a",IF(OR(Y1551="positive",Y1551="equivocal"),"b",IF(OR(W1551="positive",W1551="equivocal"),"c","d"))))</x:f>
        <x:v>d</x:v>
      </x:c>
      <x:c r="AF1551" s="12" t="str">
        <x:f>IF(OR(W1551="unavailable",Y1551="unavailable"),"不可评价",IF(AND(W1551="positive",Y1551="positive"),"a",IF(Y1551="positive","b",IF(W1551="positive","c","d"))))</x:f>
        <x:v>d</x:v>
      </x:c>
    </x:row>
    <x:row r="1552" ht="24" customHeight="1">
      <x:c r="A1552" s="12" t="str">
        <x:v>14375</x:v>
      </x:c>
      <x:c r="B1552" s="12" t="str">
        <x:v>3481</x:v>
      </x:c>
      <x:c r="C1552" s="21" t="n">
        <x:v>34884.35965277778</x:v>
      </x:c>
      <x:c r="D1552" s="12" t="n">
        <x:v>39</x:v>
      </x:c>
      <x:c r="E1552" s="12" t="n">
        <x:v>0</x:v>
      </x:c>
      <x:c r="F1552" s="12" t="str">
        <x:v>未记录</x:v>
      </x:c>
      <x:c r="G1552" s="12" t="n">
        <x:v>1</x:v>
      </x:c>
      <x:c r="H1552" s="12" t="str">
        <x:v>{'NORM': 80.0, 'SARRH': 0.0}</x:v>
      </x:c>
      <x:c r="I1552" s="12" t="str">
        <x:v>[('NSR', 100.0), ('SAR', 100.0), ('NML', 100.0)]</x:v>
      </x:c>
      <x:c r="J1552" s="12" t="str">
        <x:v>ptbxl_database.csv；ecg_id=14375；scp_codes</x:v>
      </x:c>
      <x:c r="K1552" s="12" t="str">
        <x:v>12sl_statements.csv；ecg_id=14375；statements_ext_snomed</x:v>
      </x:c>
      <x:c r="L1552" s="12"/>
      <x:c r="M1552" s="12" t="str">
        <x:v>negative</x:v>
      </x:c>
      <x:c r="N1552" s="12"/>
      <x:c r="O1552" s="12" t="str">
        <x:v>negative</x:v>
      </x:c>
      <x:c r="P1552" s="12" t="str">
        <x:f>IF(OR(M1552="unavailable",O1552="unavailable"),"不可评价",IF(OR(M1552="equivocal",O1552="equivocal"),"疑似",IF(AND(M1552="positive",O1552="positive"),"a",IF(O1552="positive","b",IF(M1552="positive","c","d")))))</x:f>
        <x:v>d</x:v>
      </x:c>
      <x:c r="Q1552" s="12"/>
      <x:c r="R1552" s="12" t="str">
        <x:v>negative</x:v>
      </x:c>
      <x:c r="S1552" s="12"/>
      <x:c r="T1552" s="12" t="str">
        <x:v>negative</x:v>
      </x:c>
      <x:c r="U1552" s="12" t="str">
        <x:f>IF(OR(R1552="unavailable",T1552="unavailable"),"不可评价",IF(OR(R1552="equivocal",T1552="equivocal"),"疑似",IF(AND(R1552="positive",T1552="positive"),"a",IF(T1552="positive","b",IF(R1552="positive","c","d")))))</x:f>
        <x:v>d</x:v>
      </x:c>
      <x:c r="V1552" s="12"/>
      <x:c r="W1552" s="12" t="str">
        <x:v>negative</x:v>
      </x:c>
      <x:c r="X1552" s="12"/>
      <x:c r="Y1552" s="12" t="str">
        <x:v>negative</x:v>
      </x:c>
      <x:c r="Z1552" s="12" t="str">
        <x:f>IF(OR(W1552="unavailable",Y1552="unavailable"),"不可评价",IF(OR(W1552="equivocal",Y1552="equivocal"),"疑似",IF(AND(W1552="positive",Y1552="positive"),"a",IF(Y1552="positive","b",IF(W1552="positive","c","d")))))</x:f>
        <x:v>d</x:v>
      </x:c>
      <x:c r="AA1552" s="12" t="str">
        <x:f>IF(OR(M1552="unavailable",O1552="unavailable"),"不可评价",IF(AND(OR(M1552="positive",M1552="equivocal"),OR(O1552="positive",O1552="equivocal")),"a",IF(OR(O1552="positive",O1552="equivocal"),"b",IF(OR(M1552="positive",M1552="equivocal"),"c","d"))))</x:f>
        <x:v>d</x:v>
      </x:c>
      <x:c r="AB1552" s="12" t="str">
        <x:f>IF(OR(M1552="unavailable",O1552="unavailable"),"不可评价",IF(AND(M1552="positive",O1552="positive"),"a",IF(O1552="positive","b",IF(M1552="positive","c","d"))))</x:f>
        <x:v>d</x:v>
      </x:c>
      <x:c r="AC1552" s="12" t="str">
        <x:f>IF(OR(R1552="unavailable",T1552="unavailable"),"不可评价",IF(AND(OR(R1552="positive",R1552="equivocal"),OR(T1552="positive",T1552="equivocal")),"a",IF(OR(T1552="positive",T1552="equivocal"),"b",IF(OR(R1552="positive",R1552="equivocal"),"c","d"))))</x:f>
        <x:v>d</x:v>
      </x:c>
      <x:c r="AD1552" s="12" t="str">
        <x:f>IF(OR(R1552="unavailable",T1552="unavailable"),"不可评价",IF(AND(R1552="positive",T1552="positive"),"a",IF(T1552="positive","b",IF(R1552="positive","c","d"))))</x:f>
        <x:v>d</x:v>
      </x:c>
      <x:c r="AE1552" s="12" t="str">
        <x:f>IF(OR(W1552="unavailable",Y1552="unavailable"),"不可评价",IF(AND(OR(W1552="positive",W1552="equivocal"),OR(Y1552="positive",Y1552="equivocal")),"a",IF(OR(Y1552="positive",Y1552="equivocal"),"b",IF(OR(W1552="positive",W1552="equivocal"),"c","d"))))</x:f>
        <x:v>d</x:v>
      </x:c>
      <x:c r="AF1552" s="12" t="str">
        <x:f>IF(OR(W1552="unavailable",Y1552="unavailable"),"不可评价",IF(AND(W1552="positive",Y1552="positive"),"a",IF(Y1552="positive","b",IF(W1552="positive","c","d"))))</x:f>
        <x:v>d</x:v>
      </x:c>
    </x:row>
    <x:row r="1553" ht="39" customHeight="1">
      <x:c r="A1553" s="12" t="str">
        <x:v>14382</x:v>
      </x:c>
      <x:c r="B1553" s="12" t="str">
        <x:v>19439</x:v>
      </x:c>
      <x:c r="C1553" s="21" t="n">
        <x:v>34885.69055555556</x:v>
      </x:c>
      <x:c r="D1553" s="12" t="n">
        <x:v>80</x:v>
      </x:c>
      <x:c r="E1553" s="12" t="n">
        <x:v>1</x:v>
      </x:c>
      <x:c r="F1553" s="12" t="str">
        <x:v>未记录</x:v>
      </x:c>
      <x:c r="G1553" s="12" t="n">
        <x:v>1</x:v>
      </x:c>
      <x:c r="H1553" s="12" t="str">
        <x:v>{'IMI': 100.0, 'QWAVE': 0.0, 'LVOLT': 0.0, 'AFIB': 0.0}</x:v>
      </x:c>
      <x:c r="I1553" s="12" t="str">
        <x:v>[('AFIB', 100.0), ('RVR', 100.0), ('LAD3', 100.0), ('IMI;AU', 100.0), ('ASMI;AU', 100.0), ('AB', 100.0)]</x:v>
      </x:c>
      <x:c r="J1553" s="12" t="str">
        <x:v>ptbxl_database.csv；ecg_id=14382；scp_codes</x:v>
      </x:c>
      <x:c r="K1553" s="12" t="str">
        <x:v>12sl_statements.csv；ecg_id=14382；statements_ext_snomed</x:v>
      </x:c>
      <x:c r="L1553" s="12" t="n">
        <x:v>0</x:v>
      </x:c>
      <x:c r="M1553" s="12" t="str">
        <x:v>positive</x:v>
      </x:c>
      <x:c r="N1553" s="12" t="n">
        <x:v>100</x:v>
      </x:c>
      <x:c r="O1553" s="12" t="str">
        <x:v>positive</x:v>
      </x:c>
      <x:c r="P1553" s="12" t="str">
        <x:f>IF(OR(M1553="unavailable",O1553="unavailable"),"不可评价",IF(OR(M1553="equivocal",O1553="equivocal"),"疑似",IF(AND(M1553="positive",O1553="positive"),"a",IF(O1553="positive","b",IF(M1553="positive","c","d")))))</x:f>
        <x:v>a</x:v>
      </x:c>
      <x:c r="Q1553" s="12"/>
      <x:c r="R1553" s="12" t="str">
        <x:v>negative</x:v>
      </x:c>
      <x:c r="S1553" s="12"/>
      <x:c r="T1553" s="12" t="str">
        <x:v>negative</x:v>
      </x:c>
      <x:c r="U1553" s="12" t="str">
        <x:f>IF(OR(R1553="unavailable",T1553="unavailable"),"不可评价",IF(OR(R1553="equivocal",T1553="equivocal"),"疑似",IF(AND(R1553="positive",T1553="positive"),"a",IF(T1553="positive","b",IF(R1553="positive","c","d")))))</x:f>
        <x:v>d</x:v>
      </x:c>
      <x:c r="V1553" s="12"/>
      <x:c r="W1553" s="12" t="str">
        <x:v>negative</x:v>
      </x:c>
      <x:c r="X1553" s="12"/>
      <x:c r="Y1553" s="12" t="str">
        <x:v>negative</x:v>
      </x:c>
      <x:c r="Z1553" s="12" t="str">
        <x:f>IF(OR(W1553="unavailable",Y1553="unavailable"),"不可评价",IF(OR(W1553="equivocal",Y1553="equivocal"),"疑似",IF(AND(W1553="positive",Y1553="positive"),"a",IF(Y1553="positive","b",IF(W1553="positive","c","d")))))</x:f>
        <x:v>d</x:v>
      </x:c>
      <x:c r="AA1553" s="12" t="str">
        <x:f>IF(OR(M1553="unavailable",O1553="unavailable"),"不可评价",IF(AND(OR(M1553="positive",M1553="equivocal"),OR(O1553="positive",O1553="equivocal")),"a",IF(OR(O1553="positive",O1553="equivocal"),"b",IF(OR(M1553="positive",M1553="equivocal"),"c","d"))))</x:f>
        <x:v>a</x:v>
      </x:c>
      <x:c r="AB1553" s="12" t="str">
        <x:f>IF(OR(M1553="unavailable",O1553="unavailable"),"不可评价",IF(AND(M1553="positive",O1553="positive"),"a",IF(O1553="positive","b",IF(M1553="positive","c","d"))))</x:f>
        <x:v>a</x:v>
      </x:c>
      <x:c r="AC1553" s="12" t="str">
        <x:f>IF(OR(R1553="unavailable",T1553="unavailable"),"不可评价",IF(AND(OR(R1553="positive",R1553="equivocal"),OR(T1553="positive",T1553="equivocal")),"a",IF(OR(T1553="positive",T1553="equivocal"),"b",IF(OR(R1553="positive",R1553="equivocal"),"c","d"))))</x:f>
        <x:v>d</x:v>
      </x:c>
      <x:c r="AD1553" s="12" t="str">
        <x:f>IF(OR(R1553="unavailable",T1553="unavailable"),"不可评价",IF(AND(R1553="positive",T1553="positive"),"a",IF(T1553="positive","b",IF(R1553="positive","c","d"))))</x:f>
        <x:v>d</x:v>
      </x:c>
      <x:c r="AE1553" s="12" t="str">
        <x:f>IF(OR(W1553="unavailable",Y1553="unavailable"),"不可评价",IF(AND(OR(W1553="positive",W1553="equivocal"),OR(Y1553="positive",Y1553="equivocal")),"a",IF(OR(Y1553="positive",Y1553="equivocal"),"b",IF(OR(W1553="positive",W1553="equivocal"),"c","d"))))</x:f>
        <x:v>d</x:v>
      </x:c>
      <x:c r="AF1553" s="12" t="str">
        <x:f>IF(OR(W1553="unavailable",Y1553="unavailable"),"不可评价",IF(AND(W1553="positive",Y1553="positive"),"a",IF(Y1553="positive","b",IF(W1553="positive","c","d"))))</x:f>
        <x:v>d</x:v>
      </x:c>
    </x:row>
    <x:row r="1554" ht="24" customHeight="1">
      <x:c r="A1554" s="12" t="str">
        <x:v>14384</x:v>
      </x:c>
      <x:c r="B1554" s="12" t="str">
        <x:v>5232</x:v>
      </x:c>
      <x:c r="C1554" s="21" t="n">
        <x:v>34885.91189814815</x:v>
      </x:c>
      <x:c r="D1554" s="12" t="n">
        <x:v>72</x:v>
      </x:c>
      <x:c r="E1554" s="12" t="n">
        <x:v>0</x:v>
      </x:c>
      <x:c r="F1554" s="12" t="str">
        <x:v>未记录</x:v>
      </x:c>
      <x:c r="G1554" s="12" t="n">
        <x:v>1</x:v>
      </x:c>
      <x:c r="H1554" s="12" t="str">
        <x:v>{'ISCAL': 100.0, 'PVC': 100.0, 'INVT': 0.0, 'STD_': 0.0, 'SR': 0.0}</x:v>
      </x:c>
      <x:c r="I1554" s="12" t="str">
        <x:v>[('SRTH', 100.0), ('PVC', 100.0), ('LT', 100.0), ('AB', 100.0)]</x:v>
      </x:c>
      <x:c r="J1554" s="12" t="str">
        <x:v>ptbxl_database.csv；ecg_id=14384；scp_codes</x:v>
      </x:c>
      <x:c r="K1554" s="12" t="str">
        <x:v>12sl_statements.csv；ecg_id=14384；statements_ext_snomed</x:v>
      </x:c>
      <x:c r="L1554" s="12"/>
      <x:c r="M1554" s="12" t="str">
        <x:v>negative</x:v>
      </x:c>
      <x:c r="N1554" s="12"/>
      <x:c r="O1554" s="12" t="str">
        <x:v>negative</x:v>
      </x:c>
      <x:c r="P1554" s="12" t="str">
        <x:f>IF(OR(M1554="unavailable",O1554="unavailable"),"不可评价",IF(OR(M1554="equivocal",O1554="equivocal"),"疑似",IF(AND(M1554="positive",O1554="positive"),"a",IF(O1554="positive","b",IF(M1554="positive","c","d")))))</x:f>
        <x:v>d</x:v>
      </x:c>
      <x:c r="Q1554" s="12"/>
      <x:c r="R1554" s="12" t="str">
        <x:v>negative</x:v>
      </x:c>
      <x:c r="S1554" s="12"/>
      <x:c r="T1554" s="12" t="str">
        <x:v>negative</x:v>
      </x:c>
      <x:c r="U1554" s="12" t="str">
        <x:f>IF(OR(R1554="unavailable",T1554="unavailable"),"不可评价",IF(OR(R1554="equivocal",T1554="equivocal"),"疑似",IF(AND(R1554="positive",T1554="positive"),"a",IF(T1554="positive","b",IF(R1554="positive","c","d")))))</x:f>
        <x:v>d</x:v>
      </x:c>
      <x:c r="V1554" s="12"/>
      <x:c r="W1554" s="12" t="str">
        <x:v>negative</x:v>
      </x:c>
      <x:c r="X1554" s="12"/>
      <x:c r="Y1554" s="12" t="str">
        <x:v>negative</x:v>
      </x:c>
      <x:c r="Z1554" s="12" t="str">
        <x:f>IF(OR(W1554="unavailable",Y1554="unavailable"),"不可评价",IF(OR(W1554="equivocal",Y1554="equivocal"),"疑似",IF(AND(W1554="positive",Y1554="positive"),"a",IF(Y1554="positive","b",IF(W1554="positive","c","d")))))</x:f>
        <x:v>d</x:v>
      </x:c>
      <x:c r="AA1554" s="12" t="str">
        <x:f>IF(OR(M1554="unavailable",O1554="unavailable"),"不可评价",IF(AND(OR(M1554="positive",M1554="equivocal"),OR(O1554="positive",O1554="equivocal")),"a",IF(OR(O1554="positive",O1554="equivocal"),"b",IF(OR(M1554="positive",M1554="equivocal"),"c","d"))))</x:f>
        <x:v>d</x:v>
      </x:c>
      <x:c r="AB1554" s="12" t="str">
        <x:f>IF(OR(M1554="unavailable",O1554="unavailable"),"不可评价",IF(AND(M1554="positive",O1554="positive"),"a",IF(O1554="positive","b",IF(M1554="positive","c","d"))))</x:f>
        <x:v>d</x:v>
      </x:c>
      <x:c r="AC1554" s="12" t="str">
        <x:f>IF(OR(R1554="unavailable",T1554="unavailable"),"不可评价",IF(AND(OR(R1554="positive",R1554="equivocal"),OR(T1554="positive",T1554="equivocal")),"a",IF(OR(T1554="positive",T1554="equivocal"),"b",IF(OR(R1554="positive",R1554="equivocal"),"c","d"))))</x:f>
        <x:v>d</x:v>
      </x:c>
      <x:c r="AD1554" s="12" t="str">
        <x:f>IF(OR(R1554="unavailable",T1554="unavailable"),"不可评价",IF(AND(R1554="positive",T1554="positive"),"a",IF(T1554="positive","b",IF(R1554="positive","c","d"))))</x:f>
        <x:v>d</x:v>
      </x:c>
      <x:c r="AE1554" s="12" t="str">
        <x:f>IF(OR(W1554="unavailable",Y1554="unavailable"),"不可评价",IF(AND(OR(W1554="positive",W1554="equivocal"),OR(Y1554="positive",Y1554="equivocal")),"a",IF(OR(Y1554="positive",Y1554="equivocal"),"b",IF(OR(W1554="positive",W1554="equivocal"),"c","d"))))</x:f>
        <x:v>d</x:v>
      </x:c>
      <x:c r="AF1554" s="12" t="str">
        <x:f>IF(OR(W1554="unavailable",Y1554="unavailable"),"不可评价",IF(AND(W1554="positive",Y1554="positive"),"a",IF(Y1554="positive","b",IF(W1554="positive","c","d"))))</x:f>
        <x:v>d</x:v>
      </x:c>
    </x:row>
    <x:row r="1555" ht="24" customHeight="1">
      <x:c r="A1555" s="12" t="str">
        <x:v>14392</x:v>
      </x:c>
      <x:c r="B1555" s="12" t="str">
        <x:v>14881</x:v>
      </x:c>
      <x:c r="C1555" s="21" t="n">
        <x:v>34886.75570601852</x:v>
      </x:c>
      <x:c r="D1555" s="12" t="n">
        <x:v>66</x:v>
      </x:c>
      <x:c r="E1555" s="12" t="n">
        <x:v>0</x:v>
      </x:c>
      <x:c r="F1555" s="12" t="str">
        <x:v>未记录</x:v>
      </x:c>
      <x:c r="G1555" s="12" t="n">
        <x:v>0</x:v>
      </x:c>
      <x:c r="H1555" s="12" t="str">
        <x:v>{'NDT': 100.0, 'SR': 0.0}</x:v>
      </x:c>
      <x:c r="I1555" s="12" t="str">
        <x:v>[('SBRAD', 100.0), ('NSTT', 100.0), ('AB', 100.0)]</x:v>
      </x:c>
      <x:c r="J1555" s="12" t="str">
        <x:v>ptbxl_database.csv；ecg_id=14392；scp_codes</x:v>
      </x:c>
      <x:c r="K1555" s="12" t="str">
        <x:v>12sl_statements.csv；ecg_id=14392；statements_ext_snomed</x:v>
      </x:c>
      <x:c r="L1555" s="12"/>
      <x:c r="M1555" s="12" t="str">
        <x:v>negative</x:v>
      </x:c>
      <x:c r="N1555" s="12"/>
      <x:c r="O1555" s="12" t="str">
        <x:v>negative</x:v>
      </x:c>
      <x:c r="P1555" s="12" t="str">
        <x:f>IF(OR(M1555="unavailable",O1555="unavailable"),"不可评价",IF(OR(M1555="equivocal",O1555="equivocal"),"疑似",IF(AND(M1555="positive",O1555="positive"),"a",IF(O1555="positive","b",IF(M1555="positive","c","d")))))</x:f>
        <x:v>d</x:v>
      </x:c>
      <x:c r="Q1555" s="12"/>
      <x:c r="R1555" s="12" t="str">
        <x:v>negative</x:v>
      </x:c>
      <x:c r="S1555" s="12"/>
      <x:c r="T1555" s="12" t="str">
        <x:v>negative</x:v>
      </x:c>
      <x:c r="U1555" s="12" t="str">
        <x:f>IF(OR(R1555="unavailable",T1555="unavailable"),"不可评价",IF(OR(R1555="equivocal",T1555="equivocal"),"疑似",IF(AND(R1555="positive",T1555="positive"),"a",IF(T1555="positive","b",IF(R1555="positive","c","d")))))</x:f>
        <x:v>d</x:v>
      </x:c>
      <x:c r="V1555" s="12"/>
      <x:c r="W1555" s="12" t="str">
        <x:v>negative</x:v>
      </x:c>
      <x:c r="X1555" s="12"/>
      <x:c r="Y1555" s="12" t="str">
        <x:v>negative</x:v>
      </x:c>
      <x:c r="Z1555" s="12" t="str">
        <x:f>IF(OR(W1555="unavailable",Y1555="unavailable"),"不可评价",IF(OR(W1555="equivocal",Y1555="equivocal"),"疑似",IF(AND(W1555="positive",Y1555="positive"),"a",IF(Y1555="positive","b",IF(W1555="positive","c","d")))))</x:f>
        <x:v>d</x:v>
      </x:c>
      <x:c r="AA1555" s="12" t="str">
        <x:f>IF(OR(M1555="unavailable",O1555="unavailable"),"不可评价",IF(AND(OR(M1555="positive",M1555="equivocal"),OR(O1555="positive",O1555="equivocal")),"a",IF(OR(O1555="positive",O1555="equivocal"),"b",IF(OR(M1555="positive",M1555="equivocal"),"c","d"))))</x:f>
        <x:v>d</x:v>
      </x:c>
      <x:c r="AB1555" s="12" t="str">
        <x:f>IF(OR(M1555="unavailable",O1555="unavailable"),"不可评价",IF(AND(M1555="positive",O1555="positive"),"a",IF(O1555="positive","b",IF(M1555="positive","c","d"))))</x:f>
        <x:v>d</x:v>
      </x:c>
      <x:c r="AC1555" s="12" t="str">
        <x:f>IF(OR(R1555="unavailable",T1555="unavailable"),"不可评价",IF(AND(OR(R1555="positive",R1555="equivocal"),OR(T1555="positive",T1555="equivocal")),"a",IF(OR(T1555="positive",T1555="equivocal"),"b",IF(OR(R1555="positive",R1555="equivocal"),"c","d"))))</x:f>
        <x:v>d</x:v>
      </x:c>
      <x:c r="AD1555" s="12" t="str">
        <x:f>IF(OR(R1555="unavailable",T1555="unavailable"),"不可评价",IF(AND(R1555="positive",T1555="positive"),"a",IF(T1555="positive","b",IF(R1555="positive","c","d"))))</x:f>
        <x:v>d</x:v>
      </x:c>
      <x:c r="AE1555" s="12" t="str">
        <x:f>IF(OR(W1555="unavailable",Y1555="unavailable"),"不可评价",IF(AND(OR(W1555="positive",W1555="equivocal"),OR(Y1555="positive",Y1555="equivocal")),"a",IF(OR(Y1555="positive",Y1555="equivocal"),"b",IF(OR(W1555="positive",W1555="equivocal"),"c","d"))))</x:f>
        <x:v>d</x:v>
      </x:c>
      <x:c r="AF1555" s="12" t="str">
        <x:f>IF(OR(W1555="unavailable",Y1555="unavailable"),"不可评价",IF(AND(W1555="positive",Y1555="positive"),"a",IF(Y1555="positive","b",IF(W1555="positive","c","d"))))</x:f>
        <x:v>d</x:v>
      </x:c>
    </x:row>
    <x:row r="1556" ht="24" customHeight="1">
      <x:c r="A1556" s="12" t="str">
        <x:v>14400</x:v>
      </x:c>
      <x:c r="B1556" s="12" t="str">
        <x:v>19439</x:v>
      </x:c>
      <x:c r="C1556" s="21" t="n">
        <x:v>34887.67875</x:v>
      </x:c>
      <x:c r="D1556" s="12" t="n">
        <x:v>80</x:v>
      </x:c>
      <x:c r="E1556" s="12" t="n">
        <x:v>1</x:v>
      </x:c>
      <x:c r="F1556" s="12" t="str">
        <x:v>未记录</x:v>
      </x:c>
      <x:c r="G1556" s="12" t="n">
        <x:v>0</x:v>
      </x:c>
      <x:c r="H1556" s="12" t="str">
        <x:v>{'ASMI': 100.0, 'IMI': 50.0, '1AVB': 100.0, 'SR': 0.0}</x:v>
      </x:c>
      <x:c r="I1556" s="12" t="str">
        <x:v>[('NSR', 100.0), ('ASMI;AU', 100.0), ('AB', 100.0)]</x:v>
      </x:c>
      <x:c r="J1556" s="12" t="str">
        <x:v>ptbxl_database.csv；ecg_id=14400；scp_codes</x:v>
      </x:c>
      <x:c r="K1556" s="12" t="str">
        <x:v>12sl_statements.csv；ecg_id=14400；statements_ext_snomed</x:v>
      </x:c>
      <x:c r="L1556" s="12"/>
      <x:c r="M1556" s="12" t="str">
        <x:v>negative</x:v>
      </x:c>
      <x:c r="N1556" s="12"/>
      <x:c r="O1556" s="12" t="str">
        <x:v>negative</x:v>
      </x:c>
      <x:c r="P1556" s="12" t="str">
        <x:f>IF(OR(M1556="unavailable",O1556="unavailable"),"不可评价",IF(OR(M1556="equivocal",O1556="equivocal"),"疑似",IF(AND(M1556="positive",O1556="positive"),"a",IF(O1556="positive","b",IF(M1556="positive","c","d")))))</x:f>
        <x:v>d</x:v>
      </x:c>
      <x:c r="Q1556" s="12"/>
      <x:c r="R1556" s="12" t="str">
        <x:v>negative</x:v>
      </x:c>
      <x:c r="S1556" s="12"/>
      <x:c r="T1556" s="12" t="str">
        <x:v>negative</x:v>
      </x:c>
      <x:c r="U1556" s="12" t="str">
        <x:f>IF(OR(R1556="unavailable",T1556="unavailable"),"不可评价",IF(OR(R1556="equivocal",T1556="equivocal"),"疑似",IF(AND(R1556="positive",T1556="positive"),"a",IF(T1556="positive","b",IF(R1556="positive","c","d")))))</x:f>
        <x:v>d</x:v>
      </x:c>
      <x:c r="V1556" s="12"/>
      <x:c r="W1556" s="12" t="str">
        <x:v>negative</x:v>
      </x:c>
      <x:c r="X1556" s="12"/>
      <x:c r="Y1556" s="12" t="str">
        <x:v>negative</x:v>
      </x:c>
      <x:c r="Z1556" s="12" t="str">
        <x:f>IF(OR(W1556="unavailable",Y1556="unavailable"),"不可评价",IF(OR(W1556="equivocal",Y1556="equivocal"),"疑似",IF(AND(W1556="positive",Y1556="positive"),"a",IF(Y1556="positive","b",IF(W1556="positive","c","d")))))</x:f>
        <x:v>d</x:v>
      </x:c>
      <x:c r="AA1556" s="12" t="str">
        <x:f>IF(OR(M1556="unavailable",O1556="unavailable"),"不可评价",IF(AND(OR(M1556="positive",M1556="equivocal"),OR(O1556="positive",O1556="equivocal")),"a",IF(OR(O1556="positive",O1556="equivocal"),"b",IF(OR(M1556="positive",M1556="equivocal"),"c","d"))))</x:f>
        <x:v>d</x:v>
      </x:c>
      <x:c r="AB1556" s="12" t="str">
        <x:f>IF(OR(M1556="unavailable",O1556="unavailable"),"不可评价",IF(AND(M1556="positive",O1556="positive"),"a",IF(O1556="positive","b",IF(M1556="positive","c","d"))))</x:f>
        <x:v>d</x:v>
      </x:c>
      <x:c r="AC1556" s="12" t="str">
        <x:f>IF(OR(R1556="unavailable",T1556="unavailable"),"不可评价",IF(AND(OR(R1556="positive",R1556="equivocal"),OR(T1556="positive",T1556="equivocal")),"a",IF(OR(T1556="positive",T1556="equivocal"),"b",IF(OR(R1556="positive",R1556="equivocal"),"c","d"))))</x:f>
        <x:v>d</x:v>
      </x:c>
      <x:c r="AD1556" s="12" t="str">
        <x:f>IF(OR(R1556="unavailable",T1556="unavailable"),"不可评价",IF(AND(R1556="positive",T1556="positive"),"a",IF(T1556="positive","b",IF(R1556="positive","c","d"))))</x:f>
        <x:v>d</x:v>
      </x:c>
      <x:c r="AE1556" s="12" t="str">
        <x:f>IF(OR(W1556="unavailable",Y1556="unavailable"),"不可评价",IF(AND(OR(W1556="positive",W1556="equivocal"),OR(Y1556="positive",Y1556="equivocal")),"a",IF(OR(Y1556="positive",Y1556="equivocal"),"b",IF(OR(W1556="positive",W1556="equivocal"),"c","d"))))</x:f>
        <x:v>d</x:v>
      </x:c>
      <x:c r="AF1556" s="12" t="str">
        <x:f>IF(OR(W1556="unavailable",Y1556="unavailable"),"不可评价",IF(AND(W1556="positive",Y1556="positive"),"a",IF(Y1556="positive","b",IF(W1556="positive","c","d"))))</x:f>
        <x:v>d</x:v>
      </x:c>
    </x:row>
    <x:row r="1557" ht="24" customHeight="1">
      <x:c r="A1557" s="12" t="str">
        <x:v>14409</x:v>
      </x:c>
      <x:c r="B1557" s="12" t="str">
        <x:v>10835</x:v>
      </x:c>
      <x:c r="C1557" s="21" t="n">
        <x:v>34890.07623842593</x:v>
      </x:c>
      <x:c r="D1557" s="12" t="n">
        <x:v>25</x:v>
      </x:c>
      <x:c r="E1557" s="12" t="n">
        <x:v>1</x:v>
      </x:c>
      <x:c r="F1557" s="12" t="str">
        <x:v>存在</x:v>
      </x:c>
      <x:c r="G1557" s="12" t="n">
        <x:v>1</x:v>
      </x:c>
      <x:c r="H1557" s="12" t="str">
        <x:v>{'NORM': 100.0, 'SR': 0.0}</x:v>
      </x:c>
      <x:c r="I1557" s="12" t="str">
        <x:v>[('SRTH', 100.0), ('FAV', 100.0), ('ABR', 100.0)]</x:v>
      </x:c>
      <x:c r="J1557" s="12" t="str">
        <x:v>ptbxl_database.csv；ecg_id=14409；scp_codes</x:v>
      </x:c>
      <x:c r="K1557" s="12" t="str">
        <x:v>12sl_statements.csv；ecg_id=14409；statements_ext_snomed</x:v>
      </x:c>
      <x:c r="L1557" s="12"/>
      <x:c r="M1557" s="12" t="str">
        <x:v>negative</x:v>
      </x:c>
      <x:c r="N1557" s="12"/>
      <x:c r="O1557" s="12" t="str">
        <x:v>negative</x:v>
      </x:c>
      <x:c r="P1557" s="12" t="str">
        <x:f>IF(OR(M1557="unavailable",O1557="unavailable"),"不可评价",IF(OR(M1557="equivocal",O1557="equivocal"),"疑似",IF(AND(M1557="positive",O1557="positive"),"a",IF(O1557="positive","b",IF(M1557="positive","c","d")))))</x:f>
        <x:v>d</x:v>
      </x:c>
      <x:c r="Q1557" s="12"/>
      <x:c r="R1557" s="12" t="str">
        <x:v>negative</x:v>
      </x:c>
      <x:c r="S1557" s="12"/>
      <x:c r="T1557" s="12" t="str">
        <x:v>negative</x:v>
      </x:c>
      <x:c r="U1557" s="12" t="str">
        <x:f>IF(OR(R1557="unavailable",T1557="unavailable"),"不可评价",IF(OR(R1557="equivocal",T1557="equivocal"),"疑似",IF(AND(R1557="positive",T1557="positive"),"a",IF(T1557="positive","b",IF(R1557="positive","c","d")))))</x:f>
        <x:v>d</x:v>
      </x:c>
      <x:c r="V1557" s="12"/>
      <x:c r="W1557" s="12" t="str">
        <x:v>negative</x:v>
      </x:c>
      <x:c r="X1557" s="12"/>
      <x:c r="Y1557" s="12" t="str">
        <x:v>negative</x:v>
      </x:c>
      <x:c r="Z1557" s="12" t="str">
        <x:f>IF(OR(W1557="unavailable",Y1557="unavailable"),"不可评价",IF(OR(W1557="equivocal",Y1557="equivocal"),"疑似",IF(AND(W1557="positive",Y1557="positive"),"a",IF(Y1557="positive","b",IF(W1557="positive","c","d")))))</x:f>
        <x:v>d</x:v>
      </x:c>
      <x:c r="AA1557" s="12" t="str">
        <x:f>IF(OR(M1557="unavailable",O1557="unavailable"),"不可评价",IF(AND(OR(M1557="positive",M1557="equivocal"),OR(O1557="positive",O1557="equivocal")),"a",IF(OR(O1557="positive",O1557="equivocal"),"b",IF(OR(M1557="positive",M1557="equivocal"),"c","d"))))</x:f>
        <x:v>d</x:v>
      </x:c>
      <x:c r="AB1557" s="12" t="str">
        <x:f>IF(OR(M1557="unavailable",O1557="unavailable"),"不可评价",IF(AND(M1557="positive",O1557="positive"),"a",IF(O1557="positive","b",IF(M1557="positive","c","d"))))</x:f>
        <x:v>d</x:v>
      </x:c>
      <x:c r="AC1557" s="12" t="str">
        <x:f>IF(OR(R1557="unavailable",T1557="unavailable"),"不可评价",IF(AND(OR(R1557="positive",R1557="equivocal"),OR(T1557="positive",T1557="equivocal")),"a",IF(OR(T1557="positive",T1557="equivocal"),"b",IF(OR(R1557="positive",R1557="equivocal"),"c","d"))))</x:f>
        <x:v>d</x:v>
      </x:c>
      <x:c r="AD1557" s="12" t="str">
        <x:f>IF(OR(R1557="unavailable",T1557="unavailable"),"不可评价",IF(AND(R1557="positive",T1557="positive"),"a",IF(T1557="positive","b",IF(R1557="positive","c","d"))))</x:f>
        <x:v>d</x:v>
      </x:c>
      <x:c r="AE1557" s="12" t="str">
        <x:f>IF(OR(W1557="unavailable",Y1557="unavailable"),"不可评价",IF(AND(OR(W1557="positive",W1557="equivocal"),OR(Y1557="positive",Y1557="equivocal")),"a",IF(OR(Y1557="positive",Y1557="equivocal"),"b",IF(OR(W1557="positive",W1557="equivocal"),"c","d"))))</x:f>
        <x:v>d</x:v>
      </x:c>
      <x:c r="AF1557" s="12" t="str">
        <x:f>IF(OR(W1557="unavailable",Y1557="unavailable"),"不可评价",IF(AND(W1557="positive",Y1557="positive"),"a",IF(Y1557="positive","b",IF(W1557="positive","c","d"))))</x:f>
        <x:v>d</x:v>
      </x:c>
    </x:row>
    <x:row r="1558" ht="24" customHeight="1">
      <x:c r="A1558" s="12" t="str">
        <x:v>14424</x:v>
      </x:c>
      <x:c r="B1558" s="12" t="str">
        <x:v>12255</x:v>
      </x:c>
      <x:c r="C1558" s="21" t="n">
        <x:v>34891.45912037037</x:v>
      </x:c>
      <x:c r="D1558" s="12" t="n">
        <x:v>69</x:v>
      </x:c>
      <x:c r="E1558" s="12" t="n">
        <x:v>0</x:v>
      </x:c>
      <x:c r="F1558" s="12" t="str">
        <x:v>存在</x:v>
      </x:c>
      <x:c r="G1558" s="12" t="n">
        <x:v>0</x:v>
      </x:c>
      <x:c r="H1558" s="12" t="str">
        <x:v>{'IMI': 100.0, 'ABQRS': 0.0, 'SR': 0.0}</x:v>
      </x:c>
      <x:c r="I1558" s="12" t="str">
        <x:v>[('NSR', 100.0), ('NSTT', 100.0), ('LNGQT', 100.0), ('AB', 100.0)]</x:v>
      </x:c>
      <x:c r="J1558" s="12" t="str">
        <x:v>ptbxl_database.csv；ecg_id=14424；scp_codes</x:v>
      </x:c>
      <x:c r="K1558" s="12" t="str">
        <x:v>12sl_statements.csv；ecg_id=14424；statements_ext_snomed</x:v>
      </x:c>
      <x:c r="L1558" s="12"/>
      <x:c r="M1558" s="12" t="str">
        <x:v>negative</x:v>
      </x:c>
      <x:c r="N1558" s="12"/>
      <x:c r="O1558" s="12" t="str">
        <x:v>negative</x:v>
      </x:c>
      <x:c r="P1558" s="12" t="str">
        <x:f>IF(OR(M1558="unavailable",O1558="unavailable"),"不可评价",IF(OR(M1558="equivocal",O1558="equivocal"),"疑似",IF(AND(M1558="positive",O1558="positive"),"a",IF(O1558="positive","b",IF(M1558="positive","c","d")))))</x:f>
        <x:v>d</x:v>
      </x:c>
      <x:c r="Q1558" s="12"/>
      <x:c r="R1558" s="12" t="str">
        <x:v>negative</x:v>
      </x:c>
      <x:c r="S1558" s="12"/>
      <x:c r="T1558" s="12" t="str">
        <x:v>negative</x:v>
      </x:c>
      <x:c r="U1558" s="12" t="str">
        <x:f>IF(OR(R1558="unavailable",T1558="unavailable"),"不可评价",IF(OR(R1558="equivocal",T1558="equivocal"),"疑似",IF(AND(R1558="positive",T1558="positive"),"a",IF(T1558="positive","b",IF(R1558="positive","c","d")))))</x:f>
        <x:v>d</x:v>
      </x:c>
      <x:c r="V1558" s="12"/>
      <x:c r="W1558" s="12" t="str">
        <x:v>negative</x:v>
      </x:c>
      <x:c r="X1558" s="12"/>
      <x:c r="Y1558" s="12" t="str">
        <x:v>negative</x:v>
      </x:c>
      <x:c r="Z1558" s="12" t="str">
        <x:f>IF(OR(W1558="unavailable",Y1558="unavailable"),"不可评价",IF(OR(W1558="equivocal",Y1558="equivocal"),"疑似",IF(AND(W1558="positive",Y1558="positive"),"a",IF(Y1558="positive","b",IF(W1558="positive","c","d")))))</x:f>
        <x:v>d</x:v>
      </x:c>
      <x:c r="AA1558" s="12" t="str">
        <x:f>IF(OR(M1558="unavailable",O1558="unavailable"),"不可评价",IF(AND(OR(M1558="positive",M1558="equivocal"),OR(O1558="positive",O1558="equivocal")),"a",IF(OR(O1558="positive",O1558="equivocal"),"b",IF(OR(M1558="positive",M1558="equivocal"),"c","d"))))</x:f>
        <x:v>d</x:v>
      </x:c>
      <x:c r="AB1558" s="12" t="str">
        <x:f>IF(OR(M1558="unavailable",O1558="unavailable"),"不可评价",IF(AND(M1558="positive",O1558="positive"),"a",IF(O1558="positive","b",IF(M1558="positive","c","d"))))</x:f>
        <x:v>d</x:v>
      </x:c>
      <x:c r="AC1558" s="12" t="str">
        <x:f>IF(OR(R1558="unavailable",T1558="unavailable"),"不可评价",IF(AND(OR(R1558="positive",R1558="equivocal"),OR(T1558="positive",T1558="equivocal")),"a",IF(OR(T1558="positive",T1558="equivocal"),"b",IF(OR(R1558="positive",R1558="equivocal"),"c","d"))))</x:f>
        <x:v>d</x:v>
      </x:c>
      <x:c r="AD1558" s="12" t="str">
        <x:f>IF(OR(R1558="unavailable",T1558="unavailable"),"不可评价",IF(AND(R1558="positive",T1558="positive"),"a",IF(T1558="positive","b",IF(R1558="positive","c","d"))))</x:f>
        <x:v>d</x:v>
      </x:c>
      <x:c r="AE1558" s="12" t="str">
        <x:f>IF(OR(W1558="unavailable",Y1558="unavailable"),"不可评价",IF(AND(OR(W1558="positive",W1558="equivocal"),OR(Y1558="positive",Y1558="equivocal")),"a",IF(OR(Y1558="positive",Y1558="equivocal"),"b",IF(OR(W1558="positive",W1558="equivocal"),"c","d"))))</x:f>
        <x:v>d</x:v>
      </x:c>
      <x:c r="AF1558" s="12" t="str">
        <x:f>IF(OR(W1558="unavailable",Y1558="unavailable"),"不可评价",IF(AND(W1558="positive",Y1558="positive"),"a",IF(Y1558="positive","b",IF(W1558="positive","c","d"))))</x:f>
        <x:v>d</x:v>
      </x:c>
    </x:row>
    <x:row r="1559" ht="39" customHeight="1">
      <x:c r="A1559" s="12" t="str">
        <x:v>14427</x:v>
      </x:c>
      <x:c r="B1559" s="12" t="str">
        <x:v>15083</x:v>
      </x:c>
      <x:c r="C1559" s="21" t="n">
        <x:v>34891.60128472222</x:v>
      </x:c>
      <x:c r="D1559" s="12" t="n">
        <x:v>83</x:v>
      </x:c>
      <x:c r="E1559" s="12" t="n">
        <x:v>1</x:v>
      </x:c>
      <x:c r="F1559" s="12" t="str">
        <x:v>存在</x:v>
      </x:c>
      <x:c r="G1559" s="12" t="n">
        <x:v>1</x:v>
      </x:c>
      <x:c r="H1559" s="12" t="str">
        <x:v>{'1AVB': 100.0, 'LAFB': 100.0, 'SARRH': 0.0}</x:v>
      </x:c>
      <x:c r="I1559" s="12" t="str">
        <x:v>[('SRTH', 100.0), ('FAV', 100.0), ('PSVC', 100.0), ('LVH2', 100.0), ('2ST', 100.0), ('AB', 100.0)]</x:v>
      </x:c>
      <x:c r="J1559" s="12" t="str">
        <x:v>ptbxl_database.csv；ecg_id=14427；scp_codes</x:v>
      </x:c>
      <x:c r="K1559" s="12" t="str">
        <x:v>12sl_statements.csv；ecg_id=14427；statements_ext_snomed</x:v>
      </x:c>
      <x:c r="L1559" s="12"/>
      <x:c r="M1559" s="12" t="str">
        <x:v>negative</x:v>
      </x:c>
      <x:c r="N1559" s="12"/>
      <x:c r="O1559" s="12" t="str">
        <x:v>negative</x:v>
      </x:c>
      <x:c r="P1559" s="12" t="str">
        <x:f>IF(OR(M1559="unavailable",O1559="unavailable"),"不可评价",IF(OR(M1559="equivocal",O1559="equivocal"),"疑似",IF(AND(M1559="positive",O1559="positive"),"a",IF(O1559="positive","b",IF(M1559="positive","c","d")))))</x:f>
        <x:v>d</x:v>
      </x:c>
      <x:c r="Q1559" s="12"/>
      <x:c r="R1559" s="12" t="str">
        <x:v>negative</x:v>
      </x:c>
      <x:c r="S1559" s="12"/>
      <x:c r="T1559" s="12" t="str">
        <x:v>negative</x:v>
      </x:c>
      <x:c r="U1559" s="12" t="str">
        <x:f>IF(OR(R1559="unavailable",T1559="unavailable"),"不可评价",IF(OR(R1559="equivocal",T1559="equivocal"),"疑似",IF(AND(R1559="positive",T1559="positive"),"a",IF(T1559="positive","b",IF(R1559="positive","c","d")))))</x:f>
        <x:v>d</x:v>
      </x:c>
      <x:c r="V1559" s="12"/>
      <x:c r="W1559" s="12" t="str">
        <x:v>negative</x:v>
      </x:c>
      <x:c r="X1559" s="12"/>
      <x:c r="Y1559" s="12" t="str">
        <x:v>negative</x:v>
      </x:c>
      <x:c r="Z1559" s="12" t="str">
        <x:f>IF(OR(W1559="unavailable",Y1559="unavailable"),"不可评价",IF(OR(W1559="equivocal",Y1559="equivocal"),"疑似",IF(AND(W1559="positive",Y1559="positive"),"a",IF(Y1559="positive","b",IF(W1559="positive","c","d")))))</x:f>
        <x:v>d</x:v>
      </x:c>
      <x:c r="AA1559" s="12" t="str">
        <x:f>IF(OR(M1559="unavailable",O1559="unavailable"),"不可评价",IF(AND(OR(M1559="positive",M1559="equivocal"),OR(O1559="positive",O1559="equivocal")),"a",IF(OR(O1559="positive",O1559="equivocal"),"b",IF(OR(M1559="positive",M1559="equivocal"),"c","d"))))</x:f>
        <x:v>d</x:v>
      </x:c>
      <x:c r="AB1559" s="12" t="str">
        <x:f>IF(OR(M1559="unavailable",O1559="unavailable"),"不可评价",IF(AND(M1559="positive",O1559="positive"),"a",IF(O1559="positive","b",IF(M1559="positive","c","d"))))</x:f>
        <x:v>d</x:v>
      </x:c>
      <x:c r="AC1559" s="12" t="str">
        <x:f>IF(OR(R1559="unavailable",T1559="unavailable"),"不可评价",IF(AND(OR(R1559="positive",R1559="equivocal"),OR(T1559="positive",T1559="equivocal")),"a",IF(OR(T1559="positive",T1559="equivocal"),"b",IF(OR(R1559="positive",R1559="equivocal"),"c","d"))))</x:f>
        <x:v>d</x:v>
      </x:c>
      <x:c r="AD1559" s="12" t="str">
        <x:f>IF(OR(R1559="unavailable",T1559="unavailable"),"不可评价",IF(AND(R1559="positive",T1559="positive"),"a",IF(T1559="positive","b",IF(R1559="positive","c","d"))))</x:f>
        <x:v>d</x:v>
      </x:c>
      <x:c r="AE1559" s="12" t="str">
        <x:f>IF(OR(W1559="unavailable",Y1559="unavailable"),"不可评价",IF(AND(OR(W1559="positive",W1559="equivocal"),OR(Y1559="positive",Y1559="equivocal")),"a",IF(OR(Y1559="positive",Y1559="equivocal"),"b",IF(OR(W1559="positive",W1559="equivocal"),"c","d"))))</x:f>
        <x:v>d</x:v>
      </x:c>
      <x:c r="AF1559" s="12" t="str">
        <x:f>IF(OR(W1559="unavailable",Y1559="unavailable"),"不可评价",IF(AND(W1559="positive",Y1559="positive"),"a",IF(Y1559="positive","b",IF(W1559="positive","c","d"))))</x:f>
        <x:v>d</x:v>
      </x:c>
    </x:row>
    <x:row r="1560" ht="39" customHeight="1">
      <x:c r="A1560" s="12" t="str">
        <x:v>14446</x:v>
      </x:c>
      <x:c r="B1560" s="12" t="str">
        <x:v>10914</x:v>
      </x:c>
      <x:c r="C1560" s="21" t="n">
        <x:v>34893.87258101852</x:v>
      </x:c>
      <x:c r="D1560" s="12" t="n">
        <x:v>300</x:v>
      </x:c>
      <x:c r="E1560" s="12" t="n">
        <x:v>1</x:v>
      </x:c>
      <x:c r="F1560" s="12" t="str">
        <x:v>未记录</x:v>
      </x:c>
      <x:c r="G1560" s="12" t="n">
        <x:v>1</x:v>
      </x:c>
      <x:c r="H1560" s="12" t="str">
        <x:v>{'ASMI': 100.0, 'NST_': 100.0, 'PVC': 100.0, 'ABQRS': 0.0, 'AFIB': 0.0}</x:v>
      </x:c>
      <x:c r="I1560" s="12" t="str">
        <x:v>[('AFIB', 100.0), ('RVR', 100.0), ('ABER', 100.0), ('STDEP2', 100.0), ('NT', 100.0), ('AB', 100.0)]</x:v>
      </x:c>
      <x:c r="J1560" s="12" t="str">
        <x:v>ptbxl_database.csv；ecg_id=14446；scp_codes</x:v>
      </x:c>
      <x:c r="K1560" s="12" t="str">
        <x:v>12sl_statements.csv；ecg_id=14446；statements_ext_snomed</x:v>
      </x:c>
      <x:c r="L1560" s="12" t="n">
        <x:v>0</x:v>
      </x:c>
      <x:c r="M1560" s="12" t="str">
        <x:v>positive</x:v>
      </x:c>
      <x:c r="N1560" s="12" t="n">
        <x:v>100</x:v>
      </x:c>
      <x:c r="O1560" s="12" t="str">
        <x:v>positive</x:v>
      </x:c>
      <x:c r="P1560" s="12" t="str">
        <x:f>IF(OR(M1560="unavailable",O1560="unavailable"),"不可评价",IF(OR(M1560="equivocal",O1560="equivocal"),"疑似",IF(AND(M1560="positive",O1560="positive"),"a",IF(O1560="positive","b",IF(M1560="positive","c","d")))))</x:f>
        <x:v>a</x:v>
      </x:c>
      <x:c r="Q1560" s="12"/>
      <x:c r="R1560" s="12" t="str">
        <x:v>negative</x:v>
      </x:c>
      <x:c r="S1560" s="12"/>
      <x:c r="T1560" s="12" t="str">
        <x:v>negative</x:v>
      </x:c>
      <x:c r="U1560" s="12" t="str">
        <x:f>IF(OR(R1560="unavailable",T1560="unavailable"),"不可评价",IF(OR(R1560="equivocal",T1560="equivocal"),"疑似",IF(AND(R1560="positive",T1560="positive"),"a",IF(T1560="positive","b",IF(R1560="positive","c","d")))))</x:f>
        <x:v>d</x:v>
      </x:c>
      <x:c r="V1560" s="12"/>
      <x:c r="W1560" s="12" t="str">
        <x:v>negative</x:v>
      </x:c>
      <x:c r="X1560" s="12"/>
      <x:c r="Y1560" s="12" t="str">
        <x:v>negative</x:v>
      </x:c>
      <x:c r="Z1560" s="12" t="str">
        <x:f>IF(OR(W1560="unavailable",Y1560="unavailable"),"不可评价",IF(OR(W1560="equivocal",Y1560="equivocal"),"疑似",IF(AND(W1560="positive",Y1560="positive"),"a",IF(Y1560="positive","b",IF(W1560="positive","c","d")))))</x:f>
        <x:v>d</x:v>
      </x:c>
      <x:c r="AA1560" s="12" t="str">
        <x:f>IF(OR(M1560="unavailable",O1560="unavailable"),"不可评价",IF(AND(OR(M1560="positive",M1560="equivocal"),OR(O1560="positive",O1560="equivocal")),"a",IF(OR(O1560="positive",O1560="equivocal"),"b",IF(OR(M1560="positive",M1560="equivocal"),"c","d"))))</x:f>
        <x:v>a</x:v>
      </x:c>
      <x:c r="AB1560" s="12" t="str">
        <x:f>IF(OR(M1560="unavailable",O1560="unavailable"),"不可评价",IF(AND(M1560="positive",O1560="positive"),"a",IF(O1560="positive","b",IF(M1560="positive","c","d"))))</x:f>
        <x:v>a</x:v>
      </x:c>
      <x:c r="AC1560" s="12" t="str">
        <x:f>IF(OR(R1560="unavailable",T1560="unavailable"),"不可评价",IF(AND(OR(R1560="positive",R1560="equivocal"),OR(T1560="positive",T1560="equivocal")),"a",IF(OR(T1560="positive",T1560="equivocal"),"b",IF(OR(R1560="positive",R1560="equivocal"),"c","d"))))</x:f>
        <x:v>d</x:v>
      </x:c>
      <x:c r="AD1560" s="12" t="str">
        <x:f>IF(OR(R1560="unavailable",T1560="unavailable"),"不可评价",IF(AND(R1560="positive",T1560="positive"),"a",IF(T1560="positive","b",IF(R1560="positive","c","d"))))</x:f>
        <x:v>d</x:v>
      </x:c>
      <x:c r="AE1560" s="12" t="str">
        <x:f>IF(OR(W1560="unavailable",Y1560="unavailable"),"不可评价",IF(AND(OR(W1560="positive",W1560="equivocal"),OR(Y1560="positive",Y1560="equivocal")),"a",IF(OR(Y1560="positive",Y1560="equivocal"),"b",IF(OR(W1560="positive",W1560="equivocal"),"c","d"))))</x:f>
        <x:v>d</x:v>
      </x:c>
      <x:c r="AF1560" s="12" t="str">
        <x:f>IF(OR(W1560="unavailable",Y1560="unavailable"),"不可评价",IF(AND(W1560="positive",Y1560="positive"),"a",IF(Y1560="positive","b",IF(W1560="positive","c","d"))))</x:f>
        <x:v>d</x:v>
      </x:c>
    </x:row>
    <x:row r="1561" ht="24" customHeight="1">
      <x:c r="A1561" s="12" t="str">
        <x:v>14448</x:v>
      </x:c>
      <x:c r="B1561" s="12" t="str">
        <x:v>671</x:v>
      </x:c>
      <x:c r="C1561" s="21" t="n">
        <x:v>34894.36283564815</x:v>
      </x:c>
      <x:c r="D1561" s="12" t="n">
        <x:v>61</x:v>
      </x:c>
      <x:c r="E1561" s="12" t="n">
        <x:v>0</x:v>
      </x:c>
      <x:c r="F1561" s="12" t="str">
        <x:v>未记录</x:v>
      </x:c>
      <x:c r="G1561" s="12" t="n">
        <x:v>1</x:v>
      </x:c>
      <x:c r="H1561" s="12" t="str">
        <x:v>{'NST_': 100.0, 'RAO/RAE': 100.0, 'STD_': 0.0, 'SR': 0.0}</x:v>
      </x:c>
      <x:c r="I1561" s="12" t="str">
        <x:v>[('NSR', 100.0), ('RAE', 100.0), ('NST', 100.0), ('AB', 100.0)]</x:v>
      </x:c>
      <x:c r="J1561" s="12" t="str">
        <x:v>ptbxl_database.csv；ecg_id=14448；scp_codes</x:v>
      </x:c>
      <x:c r="K1561" s="12" t="str">
        <x:v>12sl_statements.csv；ecg_id=14448；statements_ext_snomed</x:v>
      </x:c>
      <x:c r="L1561" s="12"/>
      <x:c r="M1561" s="12" t="str">
        <x:v>negative</x:v>
      </x:c>
      <x:c r="N1561" s="12"/>
      <x:c r="O1561" s="12" t="str">
        <x:v>negative</x:v>
      </x:c>
      <x:c r="P1561" s="12" t="str">
        <x:f>IF(OR(M1561="unavailable",O1561="unavailable"),"不可评价",IF(OR(M1561="equivocal",O1561="equivocal"),"疑似",IF(AND(M1561="positive",O1561="positive"),"a",IF(O1561="positive","b",IF(M1561="positive","c","d")))))</x:f>
        <x:v>d</x:v>
      </x:c>
      <x:c r="Q1561" s="12"/>
      <x:c r="R1561" s="12" t="str">
        <x:v>negative</x:v>
      </x:c>
      <x:c r="S1561" s="12"/>
      <x:c r="T1561" s="12" t="str">
        <x:v>negative</x:v>
      </x:c>
      <x:c r="U1561" s="12" t="str">
        <x:f>IF(OR(R1561="unavailable",T1561="unavailable"),"不可评价",IF(OR(R1561="equivocal",T1561="equivocal"),"疑似",IF(AND(R1561="positive",T1561="positive"),"a",IF(T1561="positive","b",IF(R1561="positive","c","d")))))</x:f>
        <x:v>d</x:v>
      </x:c>
      <x:c r="V1561" s="12"/>
      <x:c r="W1561" s="12" t="str">
        <x:v>negative</x:v>
      </x:c>
      <x:c r="X1561" s="12"/>
      <x:c r="Y1561" s="12" t="str">
        <x:v>negative</x:v>
      </x:c>
      <x:c r="Z1561" s="12" t="str">
        <x:f>IF(OR(W1561="unavailable",Y1561="unavailable"),"不可评价",IF(OR(W1561="equivocal",Y1561="equivocal"),"疑似",IF(AND(W1561="positive",Y1561="positive"),"a",IF(Y1561="positive","b",IF(W1561="positive","c","d")))))</x:f>
        <x:v>d</x:v>
      </x:c>
      <x:c r="AA1561" s="12" t="str">
        <x:f>IF(OR(M1561="unavailable",O1561="unavailable"),"不可评价",IF(AND(OR(M1561="positive",M1561="equivocal"),OR(O1561="positive",O1561="equivocal")),"a",IF(OR(O1561="positive",O1561="equivocal"),"b",IF(OR(M1561="positive",M1561="equivocal"),"c","d"))))</x:f>
        <x:v>d</x:v>
      </x:c>
      <x:c r="AB1561" s="12" t="str">
        <x:f>IF(OR(M1561="unavailable",O1561="unavailable"),"不可评价",IF(AND(M1561="positive",O1561="positive"),"a",IF(O1561="positive","b",IF(M1561="positive","c","d"))))</x:f>
        <x:v>d</x:v>
      </x:c>
      <x:c r="AC1561" s="12" t="str">
        <x:f>IF(OR(R1561="unavailable",T1561="unavailable"),"不可评价",IF(AND(OR(R1561="positive",R1561="equivocal"),OR(T1561="positive",T1561="equivocal")),"a",IF(OR(T1561="positive",T1561="equivocal"),"b",IF(OR(R1561="positive",R1561="equivocal"),"c","d"))))</x:f>
        <x:v>d</x:v>
      </x:c>
      <x:c r="AD1561" s="12" t="str">
        <x:f>IF(OR(R1561="unavailable",T1561="unavailable"),"不可评价",IF(AND(R1561="positive",T1561="positive"),"a",IF(T1561="positive","b",IF(R1561="positive","c","d"))))</x:f>
        <x:v>d</x:v>
      </x:c>
      <x:c r="AE1561" s="12" t="str">
        <x:f>IF(OR(W1561="unavailable",Y1561="unavailable"),"不可评价",IF(AND(OR(W1561="positive",W1561="equivocal"),OR(Y1561="positive",Y1561="equivocal")),"a",IF(OR(Y1561="positive",Y1561="equivocal"),"b",IF(OR(W1561="positive",W1561="equivocal"),"c","d"))))</x:f>
        <x:v>d</x:v>
      </x:c>
      <x:c r="AF1561" s="12" t="str">
        <x:f>IF(OR(W1561="unavailable",Y1561="unavailable"),"不可评价",IF(AND(W1561="positive",Y1561="positive"),"a",IF(Y1561="positive","b",IF(W1561="positive","c","d"))))</x:f>
        <x:v>d</x:v>
      </x:c>
    </x:row>
    <x:row r="1562" ht="24" customHeight="1">
      <x:c r="A1562" s="12" t="str">
        <x:v>14457</x:v>
      </x:c>
      <x:c r="B1562" s="12" t="str">
        <x:v>1249</x:v>
      </x:c>
      <x:c r="C1562" s="21" t="n">
        <x:v>34895.37446759259</x:v>
      </x:c>
      <x:c r="D1562" s="12" t="n">
        <x:v>37</x:v>
      </x:c>
      <x:c r="E1562" s="12" t="n">
        <x:v>1</x:v>
      </x:c>
      <x:c r="F1562" s="12" t="str">
        <x:v>未记录</x:v>
      </x:c>
      <x:c r="G1562" s="12" t="n">
        <x:v>1</x:v>
      </x:c>
      <x:c r="H1562" s="12" t="str">
        <x:v>{'NORM': 100.0, 'SR': 0.0}</x:v>
      </x:c>
      <x:c r="I1562" s="12" t="str">
        <x:v>[('NSR', 100.0), ('NSTT', 100.0), ('AB', 100.0)]</x:v>
      </x:c>
      <x:c r="J1562" s="12" t="str">
        <x:v>ptbxl_database.csv；ecg_id=14457；scp_codes</x:v>
      </x:c>
      <x:c r="K1562" s="12" t="str">
        <x:v>12sl_statements.csv；ecg_id=14457；statements_ext_snomed</x:v>
      </x:c>
      <x:c r="L1562" s="12"/>
      <x:c r="M1562" s="12" t="str">
        <x:v>negative</x:v>
      </x:c>
      <x:c r="N1562" s="12"/>
      <x:c r="O1562" s="12" t="str">
        <x:v>negative</x:v>
      </x:c>
      <x:c r="P1562" s="12" t="str">
        <x:f>IF(OR(M1562="unavailable",O1562="unavailable"),"不可评价",IF(OR(M1562="equivocal",O1562="equivocal"),"疑似",IF(AND(M1562="positive",O1562="positive"),"a",IF(O1562="positive","b",IF(M1562="positive","c","d")))))</x:f>
        <x:v>d</x:v>
      </x:c>
      <x:c r="Q1562" s="12"/>
      <x:c r="R1562" s="12" t="str">
        <x:v>negative</x:v>
      </x:c>
      <x:c r="S1562" s="12"/>
      <x:c r="T1562" s="12" t="str">
        <x:v>negative</x:v>
      </x:c>
      <x:c r="U1562" s="12" t="str">
        <x:f>IF(OR(R1562="unavailable",T1562="unavailable"),"不可评价",IF(OR(R1562="equivocal",T1562="equivocal"),"疑似",IF(AND(R1562="positive",T1562="positive"),"a",IF(T1562="positive","b",IF(R1562="positive","c","d")))))</x:f>
        <x:v>d</x:v>
      </x:c>
      <x:c r="V1562" s="12"/>
      <x:c r="W1562" s="12" t="str">
        <x:v>negative</x:v>
      </x:c>
      <x:c r="X1562" s="12"/>
      <x:c r="Y1562" s="12" t="str">
        <x:v>negative</x:v>
      </x:c>
      <x:c r="Z1562" s="12" t="str">
        <x:f>IF(OR(W1562="unavailable",Y1562="unavailable"),"不可评价",IF(OR(W1562="equivocal",Y1562="equivocal"),"疑似",IF(AND(W1562="positive",Y1562="positive"),"a",IF(Y1562="positive","b",IF(W1562="positive","c","d")))))</x:f>
        <x:v>d</x:v>
      </x:c>
      <x:c r="AA1562" s="12" t="str">
        <x:f>IF(OR(M1562="unavailable",O1562="unavailable"),"不可评价",IF(AND(OR(M1562="positive",M1562="equivocal"),OR(O1562="positive",O1562="equivocal")),"a",IF(OR(O1562="positive",O1562="equivocal"),"b",IF(OR(M1562="positive",M1562="equivocal"),"c","d"))))</x:f>
        <x:v>d</x:v>
      </x:c>
      <x:c r="AB1562" s="12" t="str">
        <x:f>IF(OR(M1562="unavailable",O1562="unavailable"),"不可评价",IF(AND(M1562="positive",O1562="positive"),"a",IF(O1562="positive","b",IF(M1562="positive","c","d"))))</x:f>
        <x:v>d</x:v>
      </x:c>
      <x:c r="AC1562" s="12" t="str">
        <x:f>IF(OR(R1562="unavailable",T1562="unavailable"),"不可评价",IF(AND(OR(R1562="positive",R1562="equivocal"),OR(T1562="positive",T1562="equivocal")),"a",IF(OR(T1562="positive",T1562="equivocal"),"b",IF(OR(R1562="positive",R1562="equivocal"),"c","d"))))</x:f>
        <x:v>d</x:v>
      </x:c>
      <x:c r="AD1562" s="12" t="str">
        <x:f>IF(OR(R1562="unavailable",T1562="unavailable"),"不可评价",IF(AND(R1562="positive",T1562="positive"),"a",IF(T1562="positive","b",IF(R1562="positive","c","d"))))</x:f>
        <x:v>d</x:v>
      </x:c>
      <x:c r="AE1562" s="12" t="str">
        <x:f>IF(OR(W1562="unavailable",Y1562="unavailable"),"不可评价",IF(AND(OR(W1562="positive",W1562="equivocal"),OR(Y1562="positive",Y1562="equivocal")),"a",IF(OR(Y1562="positive",Y1562="equivocal"),"b",IF(OR(W1562="positive",W1562="equivocal"),"c","d"))))</x:f>
        <x:v>d</x:v>
      </x:c>
      <x:c r="AF1562" s="12" t="str">
        <x:f>IF(OR(W1562="unavailable",Y1562="unavailable"),"不可评价",IF(AND(W1562="positive",Y1562="positive"),"a",IF(Y1562="positive","b",IF(W1562="positive","c","d"))))</x:f>
        <x:v>d</x:v>
      </x:c>
    </x:row>
    <x:row r="1563" ht="24" customHeight="1">
      <x:c r="A1563" s="12" t="str">
        <x:v>14459</x:v>
      </x:c>
      <x:c r="B1563" s="12" t="str">
        <x:v>4594</x:v>
      </x:c>
      <x:c r="C1563" s="21" t="n">
        <x:v>34895.4465625</x:v>
      </x:c>
      <x:c r="D1563" s="12" t="n">
        <x:v>62</x:v>
      </x:c>
      <x:c r="E1563" s="12" t="n">
        <x:v>0</x:v>
      </x:c>
      <x:c r="F1563" s="12" t="str">
        <x:v>未记录</x:v>
      </x:c>
      <x:c r="G1563" s="12" t="n">
        <x:v>1</x:v>
      </x:c>
      <x:c r="H1563" s="12" t="str">
        <x:v>{'NORM': 100.0, 'PVC': 0.0, 'SR': 0.0}</x:v>
      </x:c>
      <x:c r="I1563" s="12" t="str">
        <x:v>[('SBRAD', 100.0), ('PVC', 100.0), ('BORDE', 100.0)]</x:v>
      </x:c>
      <x:c r="J1563" s="12" t="str">
        <x:v>ptbxl_database.csv；ecg_id=14459；scp_codes</x:v>
      </x:c>
      <x:c r="K1563" s="12" t="str">
        <x:v>12sl_statements.csv；ecg_id=14459；statements_ext_snomed</x:v>
      </x:c>
      <x:c r="L1563" s="12"/>
      <x:c r="M1563" s="12" t="str">
        <x:v>negative</x:v>
      </x:c>
      <x:c r="N1563" s="12"/>
      <x:c r="O1563" s="12" t="str">
        <x:v>negative</x:v>
      </x:c>
      <x:c r="P1563" s="12" t="str">
        <x:f>IF(OR(M1563="unavailable",O1563="unavailable"),"不可评价",IF(OR(M1563="equivocal",O1563="equivocal"),"疑似",IF(AND(M1563="positive",O1563="positive"),"a",IF(O1563="positive","b",IF(M1563="positive","c","d")))))</x:f>
        <x:v>d</x:v>
      </x:c>
      <x:c r="Q1563" s="12"/>
      <x:c r="R1563" s="12" t="str">
        <x:v>negative</x:v>
      </x:c>
      <x:c r="S1563" s="12"/>
      <x:c r="T1563" s="12" t="str">
        <x:v>negative</x:v>
      </x:c>
      <x:c r="U1563" s="12" t="str">
        <x:f>IF(OR(R1563="unavailable",T1563="unavailable"),"不可评价",IF(OR(R1563="equivocal",T1563="equivocal"),"疑似",IF(AND(R1563="positive",T1563="positive"),"a",IF(T1563="positive","b",IF(R1563="positive","c","d")))))</x:f>
        <x:v>d</x:v>
      </x:c>
      <x:c r="V1563" s="12"/>
      <x:c r="W1563" s="12" t="str">
        <x:v>negative</x:v>
      </x:c>
      <x:c r="X1563" s="12"/>
      <x:c r="Y1563" s="12" t="str">
        <x:v>negative</x:v>
      </x:c>
      <x:c r="Z1563" s="12" t="str">
        <x:f>IF(OR(W1563="unavailable",Y1563="unavailable"),"不可评价",IF(OR(W1563="equivocal",Y1563="equivocal"),"疑似",IF(AND(W1563="positive",Y1563="positive"),"a",IF(Y1563="positive","b",IF(W1563="positive","c","d")))))</x:f>
        <x:v>d</x:v>
      </x:c>
      <x:c r="AA1563" s="12" t="str">
        <x:f>IF(OR(M1563="unavailable",O1563="unavailable"),"不可评价",IF(AND(OR(M1563="positive",M1563="equivocal"),OR(O1563="positive",O1563="equivocal")),"a",IF(OR(O1563="positive",O1563="equivocal"),"b",IF(OR(M1563="positive",M1563="equivocal"),"c","d"))))</x:f>
        <x:v>d</x:v>
      </x:c>
      <x:c r="AB1563" s="12" t="str">
        <x:f>IF(OR(M1563="unavailable",O1563="unavailable"),"不可评价",IF(AND(M1563="positive",O1563="positive"),"a",IF(O1563="positive","b",IF(M1563="positive","c","d"))))</x:f>
        <x:v>d</x:v>
      </x:c>
      <x:c r="AC1563" s="12" t="str">
        <x:f>IF(OR(R1563="unavailable",T1563="unavailable"),"不可评价",IF(AND(OR(R1563="positive",R1563="equivocal"),OR(T1563="positive",T1563="equivocal")),"a",IF(OR(T1563="positive",T1563="equivocal"),"b",IF(OR(R1563="positive",R1563="equivocal"),"c","d"))))</x:f>
        <x:v>d</x:v>
      </x:c>
      <x:c r="AD1563" s="12" t="str">
        <x:f>IF(OR(R1563="unavailable",T1563="unavailable"),"不可评价",IF(AND(R1563="positive",T1563="positive"),"a",IF(T1563="positive","b",IF(R1563="positive","c","d"))))</x:f>
        <x:v>d</x:v>
      </x:c>
      <x:c r="AE1563" s="12" t="str">
        <x:f>IF(OR(W1563="unavailable",Y1563="unavailable"),"不可评价",IF(AND(OR(W1563="positive",W1563="equivocal"),OR(Y1563="positive",Y1563="equivocal")),"a",IF(OR(Y1563="positive",Y1563="equivocal"),"b",IF(OR(W1563="positive",W1563="equivocal"),"c","d"))))</x:f>
        <x:v>d</x:v>
      </x:c>
      <x:c r="AF1563" s="12" t="str">
        <x:f>IF(OR(W1563="unavailable",Y1563="unavailable"),"不可评价",IF(AND(W1563="positive",Y1563="positive"),"a",IF(Y1563="positive","b",IF(W1563="positive","c","d"))))</x:f>
        <x:v>d</x:v>
      </x:c>
    </x:row>
    <x:row r="1564" ht="24" customHeight="1">
      <x:c r="A1564" s="12" t="str">
        <x:v>14501</x:v>
      </x:c>
      <x:c r="B1564" s="12" t="str">
        <x:v>1259</x:v>
      </x:c>
      <x:c r="C1564" s="21" t="n">
        <x:v>34900.609664351854</x:v>
      </x:c>
      <x:c r="D1564" s="12" t="n">
        <x:v>59</x:v>
      </x:c>
      <x:c r="E1564" s="12" t="n">
        <x:v>1</x:v>
      </x:c>
      <x:c r="F1564" s="12" t="str">
        <x:v>未记录</x:v>
      </x:c>
      <x:c r="G1564" s="12" t="n">
        <x:v>1</x:v>
      </x:c>
      <x:c r="H1564" s="12" t="str">
        <x:v>{'NORM': 80.0, 'SR': 0.0, 'BIGU': 0.0}</x:v>
      </x:c>
      <x:c r="I1564" s="12" t="str">
        <x:v>[('SRTH', 100.0), ('SAR', 100.0), ('PVC', 100.0), ('ABR', 100.0)]</x:v>
      </x:c>
      <x:c r="J1564" s="12" t="str">
        <x:v>ptbxl_database.csv；ecg_id=14501；scp_codes</x:v>
      </x:c>
      <x:c r="K1564" s="12" t="str">
        <x:v>12sl_statements.csv；ecg_id=14501；statements_ext_snomed</x:v>
      </x:c>
      <x:c r="L1564" s="12"/>
      <x:c r="M1564" s="12" t="str">
        <x:v>negative</x:v>
      </x:c>
      <x:c r="N1564" s="12"/>
      <x:c r="O1564" s="12" t="str">
        <x:v>negative</x:v>
      </x:c>
      <x:c r="P1564" s="12" t="str">
        <x:f>IF(OR(M1564="unavailable",O1564="unavailable"),"不可评价",IF(OR(M1564="equivocal",O1564="equivocal"),"疑似",IF(AND(M1564="positive",O1564="positive"),"a",IF(O1564="positive","b",IF(M1564="positive","c","d")))))</x:f>
        <x:v>d</x:v>
      </x:c>
      <x:c r="Q1564" s="12"/>
      <x:c r="R1564" s="12" t="str">
        <x:v>negative</x:v>
      </x:c>
      <x:c r="S1564" s="12"/>
      <x:c r="T1564" s="12" t="str">
        <x:v>negative</x:v>
      </x:c>
      <x:c r="U1564" s="12" t="str">
        <x:f>IF(OR(R1564="unavailable",T1564="unavailable"),"不可评价",IF(OR(R1564="equivocal",T1564="equivocal"),"疑似",IF(AND(R1564="positive",T1564="positive"),"a",IF(T1564="positive","b",IF(R1564="positive","c","d")))))</x:f>
        <x:v>d</x:v>
      </x:c>
      <x:c r="V1564" s="12"/>
      <x:c r="W1564" s="12" t="str">
        <x:v>negative</x:v>
      </x:c>
      <x:c r="X1564" s="12"/>
      <x:c r="Y1564" s="12" t="str">
        <x:v>negative</x:v>
      </x:c>
      <x:c r="Z1564" s="12" t="str">
        <x:f>IF(OR(W1564="unavailable",Y1564="unavailable"),"不可评价",IF(OR(W1564="equivocal",Y1564="equivocal"),"疑似",IF(AND(W1564="positive",Y1564="positive"),"a",IF(Y1564="positive","b",IF(W1564="positive","c","d")))))</x:f>
        <x:v>d</x:v>
      </x:c>
      <x:c r="AA1564" s="12" t="str">
        <x:f>IF(OR(M1564="unavailable",O1564="unavailable"),"不可评价",IF(AND(OR(M1564="positive",M1564="equivocal"),OR(O1564="positive",O1564="equivocal")),"a",IF(OR(O1564="positive",O1564="equivocal"),"b",IF(OR(M1564="positive",M1564="equivocal"),"c","d"))))</x:f>
        <x:v>d</x:v>
      </x:c>
      <x:c r="AB1564" s="12" t="str">
        <x:f>IF(OR(M1564="unavailable",O1564="unavailable"),"不可评价",IF(AND(M1564="positive",O1564="positive"),"a",IF(O1564="positive","b",IF(M1564="positive","c","d"))))</x:f>
        <x:v>d</x:v>
      </x:c>
      <x:c r="AC1564" s="12" t="str">
        <x:f>IF(OR(R1564="unavailable",T1564="unavailable"),"不可评价",IF(AND(OR(R1564="positive",R1564="equivocal"),OR(T1564="positive",T1564="equivocal")),"a",IF(OR(T1564="positive",T1564="equivocal"),"b",IF(OR(R1564="positive",R1564="equivocal"),"c","d"))))</x:f>
        <x:v>d</x:v>
      </x:c>
      <x:c r="AD1564" s="12" t="str">
        <x:f>IF(OR(R1564="unavailable",T1564="unavailable"),"不可评价",IF(AND(R1564="positive",T1564="positive"),"a",IF(T1564="positive","b",IF(R1564="positive","c","d"))))</x:f>
        <x:v>d</x:v>
      </x:c>
      <x:c r="AE1564" s="12" t="str">
        <x:f>IF(OR(W1564="unavailable",Y1564="unavailable"),"不可评价",IF(AND(OR(W1564="positive",W1564="equivocal"),OR(Y1564="positive",Y1564="equivocal")),"a",IF(OR(Y1564="positive",Y1564="equivocal"),"b",IF(OR(W1564="positive",W1564="equivocal"),"c","d"))))</x:f>
        <x:v>d</x:v>
      </x:c>
      <x:c r="AF1564" s="12" t="str">
        <x:f>IF(OR(W1564="unavailable",Y1564="unavailable"),"不可评价",IF(AND(W1564="positive",Y1564="positive"),"a",IF(Y1564="positive","b",IF(W1564="positive","c","d"))))</x:f>
        <x:v>d</x:v>
      </x:c>
    </x:row>
    <x:row r="1565" ht="39" customHeight="1">
      <x:c r="A1565" s="12" t="str">
        <x:v>14534</x:v>
      </x:c>
      <x:c r="B1565" s="12" t="str">
        <x:v>5360</x:v>
      </x:c>
      <x:c r="C1565" s="21" t="n">
        <x:v>34903.481307870374</x:v>
      </x:c>
      <x:c r="D1565" s="12" t="n">
        <x:v>79</x:v>
      </x:c>
      <x:c r="E1565" s="12" t="n">
        <x:v>0</x:v>
      </x:c>
      <x:c r="F1565" s="12" t="str">
        <x:v>未记录</x:v>
      </x:c>
      <x:c r="G1565" s="12" t="n">
        <x:v>1</x:v>
      </x:c>
      <x:c r="H1565" s="12" t="str">
        <x:v>{'ASMI': 100.0, 'LAFB': 100.0, 'CRBBB': 100.0, 'PVC': 100.0, '1AVB': 100.0, 'LPR': 0.0, 'QWAVE': 0.0, 'SR': 0.0}</x:v>
      </x:c>
      <x:c r="I1565" s="12" t="str">
        <x:v>[('SRTH', 100.0), ('FAV', 100.0), ('PVC', 100.0), ('RBBB', 100.0), ('AFB', 100.0), ('BIFB', 100.0), ('LVH2', 100.0), ('2ST', 100.0), ('ASMI;AU', 100.0), ('AB', 100.0)]</x:v>
      </x:c>
      <x:c r="J1565" s="12" t="str">
        <x:v>ptbxl_database.csv；ecg_id=14534；scp_codes</x:v>
      </x:c>
      <x:c r="K1565" s="12" t="str">
        <x:v>12sl_statements.csv；ecg_id=14534；statements_ext_snomed</x:v>
      </x:c>
      <x:c r="L1565" s="12"/>
      <x:c r="M1565" s="12" t="str">
        <x:v>negative</x:v>
      </x:c>
      <x:c r="N1565" s="12"/>
      <x:c r="O1565" s="12" t="str">
        <x:v>negative</x:v>
      </x:c>
      <x:c r="P1565" s="12" t="str">
        <x:f>IF(OR(M1565="unavailable",O1565="unavailable"),"不可评价",IF(OR(M1565="equivocal",O1565="equivocal"),"疑似",IF(AND(M1565="positive",O1565="positive"),"a",IF(O1565="positive","b",IF(M1565="positive","c","d")))))</x:f>
        <x:v>d</x:v>
      </x:c>
      <x:c r="Q1565" s="12"/>
      <x:c r="R1565" s="12" t="str">
        <x:v>negative</x:v>
      </x:c>
      <x:c r="S1565" s="12"/>
      <x:c r="T1565" s="12" t="str">
        <x:v>negative</x:v>
      </x:c>
      <x:c r="U1565" s="12" t="str">
        <x:f>IF(OR(R1565="unavailable",T1565="unavailable"),"不可评价",IF(OR(R1565="equivocal",T1565="equivocal"),"疑似",IF(AND(R1565="positive",T1565="positive"),"a",IF(T1565="positive","b",IF(R1565="positive","c","d")))))</x:f>
        <x:v>d</x:v>
      </x:c>
      <x:c r="V1565" s="12" t="n">
        <x:v>100</x:v>
      </x:c>
      <x:c r="W1565" s="12" t="str">
        <x:v>positive</x:v>
      </x:c>
      <x:c r="X1565" s="12" t="n">
        <x:v>100</x:v>
      </x:c>
      <x:c r="Y1565" s="12" t="str">
        <x:v>positive</x:v>
      </x:c>
      <x:c r="Z1565" s="12" t="str">
        <x:f>IF(OR(W1565="unavailable",Y1565="unavailable"),"不可评价",IF(OR(W1565="equivocal",Y1565="equivocal"),"疑似",IF(AND(W1565="positive",Y1565="positive"),"a",IF(Y1565="positive","b",IF(W1565="positive","c","d")))))</x:f>
        <x:v>a</x:v>
      </x:c>
      <x:c r="AA1565" s="12" t="str">
        <x:f>IF(OR(M1565="unavailable",O1565="unavailable"),"不可评价",IF(AND(OR(M1565="positive",M1565="equivocal"),OR(O1565="positive",O1565="equivocal")),"a",IF(OR(O1565="positive",O1565="equivocal"),"b",IF(OR(M1565="positive",M1565="equivocal"),"c","d"))))</x:f>
        <x:v>d</x:v>
      </x:c>
      <x:c r="AB1565" s="12" t="str">
        <x:f>IF(OR(M1565="unavailable",O1565="unavailable"),"不可评价",IF(AND(M1565="positive",O1565="positive"),"a",IF(O1565="positive","b",IF(M1565="positive","c","d"))))</x:f>
        <x:v>d</x:v>
      </x:c>
      <x:c r="AC1565" s="12" t="str">
        <x:f>IF(OR(R1565="unavailable",T1565="unavailable"),"不可评价",IF(AND(OR(R1565="positive",R1565="equivocal"),OR(T1565="positive",T1565="equivocal")),"a",IF(OR(T1565="positive",T1565="equivocal"),"b",IF(OR(R1565="positive",R1565="equivocal"),"c","d"))))</x:f>
        <x:v>d</x:v>
      </x:c>
      <x:c r="AD1565" s="12" t="str">
        <x:f>IF(OR(R1565="unavailable",T1565="unavailable"),"不可评价",IF(AND(R1565="positive",T1565="positive"),"a",IF(T1565="positive","b",IF(R1565="positive","c","d"))))</x:f>
        <x:v>d</x:v>
      </x:c>
      <x:c r="AE1565" s="12" t="str">
        <x:f>IF(OR(W1565="unavailable",Y1565="unavailable"),"不可评价",IF(AND(OR(W1565="positive",W1565="equivocal"),OR(Y1565="positive",Y1565="equivocal")),"a",IF(OR(Y1565="positive",Y1565="equivocal"),"b",IF(OR(W1565="positive",W1565="equivocal"),"c","d"))))</x:f>
        <x:v>a</x:v>
      </x:c>
      <x:c r="AF1565" s="12" t="str">
        <x:f>IF(OR(W1565="unavailable",Y1565="unavailable"),"不可评价",IF(AND(W1565="positive",Y1565="positive"),"a",IF(Y1565="positive","b",IF(W1565="positive","c","d"))))</x:f>
        <x:v>a</x:v>
      </x:c>
    </x:row>
    <x:row r="1566" ht="24" customHeight="1">
      <x:c r="A1566" s="12" t="str">
        <x:v>14565</x:v>
      </x:c>
      <x:c r="B1566" s="12" t="str">
        <x:v>5050</x:v>
      </x:c>
      <x:c r="C1566" s="21" t="n">
        <x:v>34907.324641203704</x:v>
      </x:c>
      <x:c r="D1566" s="12" t="n">
        <x:v>50</x:v>
      </x:c>
      <x:c r="E1566" s="12" t="n">
        <x:v>0</x:v>
      </x:c>
      <x:c r="F1566" s="12" t="str">
        <x:v>未记录</x:v>
      </x:c>
      <x:c r="G1566" s="12" t="n">
        <x:v>1</x:v>
      </x:c>
      <x:c r="H1566" s="12" t="str">
        <x:v>{'NORM': 100.0, 'SR': 0.0}</x:v>
      </x:c>
      <x:c r="I1566" s="12" t="str">
        <x:v>[('NSR', 100.0), ('NML', 100.0)]</x:v>
      </x:c>
      <x:c r="J1566" s="12" t="str">
        <x:v>ptbxl_database.csv；ecg_id=14565；scp_codes</x:v>
      </x:c>
      <x:c r="K1566" s="12" t="str">
        <x:v>12sl_statements.csv；ecg_id=14565；statements_ext_snomed</x:v>
      </x:c>
      <x:c r="L1566" s="12"/>
      <x:c r="M1566" s="12" t="str">
        <x:v>negative</x:v>
      </x:c>
      <x:c r="N1566" s="12"/>
      <x:c r="O1566" s="12" t="str">
        <x:v>negative</x:v>
      </x:c>
      <x:c r="P1566" s="12" t="str">
        <x:f>IF(OR(M1566="unavailable",O1566="unavailable"),"不可评价",IF(OR(M1566="equivocal",O1566="equivocal"),"疑似",IF(AND(M1566="positive",O1566="positive"),"a",IF(O1566="positive","b",IF(M1566="positive","c","d")))))</x:f>
        <x:v>d</x:v>
      </x:c>
      <x:c r="Q1566" s="12"/>
      <x:c r="R1566" s="12" t="str">
        <x:v>negative</x:v>
      </x:c>
      <x:c r="S1566" s="12"/>
      <x:c r="T1566" s="12" t="str">
        <x:v>negative</x:v>
      </x:c>
      <x:c r="U1566" s="12" t="str">
        <x:f>IF(OR(R1566="unavailable",T1566="unavailable"),"不可评价",IF(OR(R1566="equivocal",T1566="equivocal"),"疑似",IF(AND(R1566="positive",T1566="positive"),"a",IF(T1566="positive","b",IF(R1566="positive","c","d")))))</x:f>
        <x:v>d</x:v>
      </x:c>
      <x:c r="V1566" s="12"/>
      <x:c r="W1566" s="12" t="str">
        <x:v>negative</x:v>
      </x:c>
      <x:c r="X1566" s="12"/>
      <x:c r="Y1566" s="12" t="str">
        <x:v>negative</x:v>
      </x:c>
      <x:c r="Z1566" s="12" t="str">
        <x:f>IF(OR(W1566="unavailable",Y1566="unavailable"),"不可评价",IF(OR(W1566="equivocal",Y1566="equivocal"),"疑似",IF(AND(W1566="positive",Y1566="positive"),"a",IF(Y1566="positive","b",IF(W1566="positive","c","d")))))</x:f>
        <x:v>d</x:v>
      </x:c>
      <x:c r="AA1566" s="12" t="str">
        <x:f>IF(OR(M1566="unavailable",O1566="unavailable"),"不可评价",IF(AND(OR(M1566="positive",M1566="equivocal"),OR(O1566="positive",O1566="equivocal")),"a",IF(OR(O1566="positive",O1566="equivocal"),"b",IF(OR(M1566="positive",M1566="equivocal"),"c","d"))))</x:f>
        <x:v>d</x:v>
      </x:c>
      <x:c r="AB1566" s="12" t="str">
        <x:f>IF(OR(M1566="unavailable",O1566="unavailable"),"不可评价",IF(AND(M1566="positive",O1566="positive"),"a",IF(O1566="positive","b",IF(M1566="positive","c","d"))))</x:f>
        <x:v>d</x:v>
      </x:c>
      <x:c r="AC1566" s="12" t="str">
        <x:f>IF(OR(R1566="unavailable",T1566="unavailable"),"不可评价",IF(AND(OR(R1566="positive",R1566="equivocal"),OR(T1566="positive",T1566="equivocal")),"a",IF(OR(T1566="positive",T1566="equivocal"),"b",IF(OR(R1566="positive",R1566="equivocal"),"c","d"))))</x:f>
        <x:v>d</x:v>
      </x:c>
      <x:c r="AD1566" s="12" t="str">
        <x:f>IF(OR(R1566="unavailable",T1566="unavailable"),"不可评价",IF(AND(R1566="positive",T1566="positive"),"a",IF(T1566="positive","b",IF(R1566="positive","c","d"))))</x:f>
        <x:v>d</x:v>
      </x:c>
      <x:c r="AE1566" s="12" t="str">
        <x:f>IF(OR(W1566="unavailable",Y1566="unavailable"),"不可评价",IF(AND(OR(W1566="positive",W1566="equivocal"),OR(Y1566="positive",Y1566="equivocal")),"a",IF(OR(Y1566="positive",Y1566="equivocal"),"b",IF(OR(W1566="positive",W1566="equivocal"),"c","d"))))</x:f>
        <x:v>d</x:v>
      </x:c>
      <x:c r="AF1566" s="12" t="str">
        <x:f>IF(OR(W1566="unavailable",Y1566="unavailable"),"不可评价",IF(AND(W1566="positive",Y1566="positive"),"a",IF(Y1566="positive","b",IF(W1566="positive","c","d"))))</x:f>
        <x:v>d</x:v>
      </x:c>
    </x:row>
    <x:row r="1567" ht="24" customHeight="1">
      <x:c r="A1567" s="12" t="str">
        <x:v>14580</x:v>
      </x:c>
      <x:c r="B1567" s="12" t="str">
        <x:v>18701</x:v>
      </x:c>
      <x:c r="C1567" s="21" t="n">
        <x:v>34907.830046296294</x:v>
      </x:c>
      <x:c r="D1567" s="12" t="n">
        <x:v>59</x:v>
      </x:c>
      <x:c r="E1567" s="12" t="n">
        <x:v>1</x:v>
      </x:c>
      <x:c r="F1567" s="12" t="str">
        <x:v>未记录</x:v>
      </x:c>
      <x:c r="G1567" s="12" t="n">
        <x:v>1</x:v>
      </x:c>
      <x:c r="H1567" s="12" t="str">
        <x:v>{'NORM': 50.0, 'ABQRS': 0.0, 'SR': 0.0}</x:v>
      </x:c>
      <x:c r="I1567" s="12" t="str">
        <x:v>[('NSR', 100.0), ('NML', 100.0)]</x:v>
      </x:c>
      <x:c r="J1567" s="12" t="str">
        <x:v>ptbxl_database.csv；ecg_id=14580；scp_codes</x:v>
      </x:c>
      <x:c r="K1567" s="12" t="str">
        <x:v>12sl_statements.csv；ecg_id=14580；statements_ext_snomed</x:v>
      </x:c>
      <x:c r="L1567" s="12"/>
      <x:c r="M1567" s="12" t="str">
        <x:v>negative</x:v>
      </x:c>
      <x:c r="N1567" s="12"/>
      <x:c r="O1567" s="12" t="str">
        <x:v>negative</x:v>
      </x:c>
      <x:c r="P1567" s="12" t="str">
        <x:f>IF(OR(M1567="unavailable",O1567="unavailable"),"不可评价",IF(OR(M1567="equivocal",O1567="equivocal"),"疑似",IF(AND(M1567="positive",O1567="positive"),"a",IF(O1567="positive","b",IF(M1567="positive","c","d")))))</x:f>
        <x:v>d</x:v>
      </x:c>
      <x:c r="Q1567" s="12"/>
      <x:c r="R1567" s="12" t="str">
        <x:v>negative</x:v>
      </x:c>
      <x:c r="S1567" s="12"/>
      <x:c r="T1567" s="12" t="str">
        <x:v>negative</x:v>
      </x:c>
      <x:c r="U1567" s="12" t="str">
        <x:f>IF(OR(R1567="unavailable",T1567="unavailable"),"不可评价",IF(OR(R1567="equivocal",T1567="equivocal"),"疑似",IF(AND(R1567="positive",T1567="positive"),"a",IF(T1567="positive","b",IF(R1567="positive","c","d")))))</x:f>
        <x:v>d</x:v>
      </x:c>
      <x:c r="V1567" s="12"/>
      <x:c r="W1567" s="12" t="str">
        <x:v>negative</x:v>
      </x:c>
      <x:c r="X1567" s="12"/>
      <x:c r="Y1567" s="12" t="str">
        <x:v>negative</x:v>
      </x:c>
      <x:c r="Z1567" s="12" t="str">
        <x:f>IF(OR(W1567="unavailable",Y1567="unavailable"),"不可评价",IF(OR(W1567="equivocal",Y1567="equivocal"),"疑似",IF(AND(W1567="positive",Y1567="positive"),"a",IF(Y1567="positive","b",IF(W1567="positive","c","d")))))</x:f>
        <x:v>d</x:v>
      </x:c>
      <x:c r="AA1567" s="12" t="str">
        <x:f>IF(OR(M1567="unavailable",O1567="unavailable"),"不可评价",IF(AND(OR(M1567="positive",M1567="equivocal"),OR(O1567="positive",O1567="equivocal")),"a",IF(OR(O1567="positive",O1567="equivocal"),"b",IF(OR(M1567="positive",M1567="equivocal"),"c","d"))))</x:f>
        <x:v>d</x:v>
      </x:c>
      <x:c r="AB1567" s="12" t="str">
        <x:f>IF(OR(M1567="unavailable",O1567="unavailable"),"不可评价",IF(AND(M1567="positive",O1567="positive"),"a",IF(O1567="positive","b",IF(M1567="positive","c","d"))))</x:f>
        <x:v>d</x:v>
      </x:c>
      <x:c r="AC1567" s="12" t="str">
        <x:f>IF(OR(R1567="unavailable",T1567="unavailable"),"不可评价",IF(AND(OR(R1567="positive",R1567="equivocal"),OR(T1567="positive",T1567="equivocal")),"a",IF(OR(T1567="positive",T1567="equivocal"),"b",IF(OR(R1567="positive",R1567="equivocal"),"c","d"))))</x:f>
        <x:v>d</x:v>
      </x:c>
      <x:c r="AD1567" s="12" t="str">
        <x:f>IF(OR(R1567="unavailable",T1567="unavailable"),"不可评价",IF(AND(R1567="positive",T1567="positive"),"a",IF(T1567="positive","b",IF(R1567="positive","c","d"))))</x:f>
        <x:v>d</x:v>
      </x:c>
      <x:c r="AE1567" s="12" t="str">
        <x:f>IF(OR(W1567="unavailable",Y1567="unavailable"),"不可评价",IF(AND(OR(W1567="positive",W1567="equivocal"),OR(Y1567="positive",Y1567="equivocal")),"a",IF(OR(Y1567="positive",Y1567="equivocal"),"b",IF(OR(W1567="positive",W1567="equivocal"),"c","d"))))</x:f>
        <x:v>d</x:v>
      </x:c>
      <x:c r="AF1567" s="12" t="str">
        <x:f>IF(OR(W1567="unavailable",Y1567="unavailable"),"不可评价",IF(AND(W1567="positive",Y1567="positive"),"a",IF(Y1567="positive","b",IF(W1567="positive","c","d"))))</x:f>
        <x:v>d</x:v>
      </x:c>
    </x:row>
    <x:row r="1568" ht="39" customHeight="1">
      <x:c r="A1568" s="12" t="str">
        <x:v>14585</x:v>
      </x:c>
      <x:c r="B1568" s="12" t="str">
        <x:v>10318</x:v>
      </x:c>
      <x:c r="C1568" s="21" t="n">
        <x:v>34908.46774305555</x:v>
      </x:c>
      <x:c r="D1568" s="12" t="n">
        <x:v>55</x:v>
      </x:c>
      <x:c r="E1568" s="12" t="n">
        <x:v>0</x:v>
      </x:c>
      <x:c r="F1568" s="12" t="str">
        <x:v>未记录</x:v>
      </x:c>
      <x:c r="G1568" s="12" t="n">
        <x:v>1</x:v>
      </x:c>
      <x:c r="H1568" s="12" t="str">
        <x:v>{'IMI': 100.0, 'ISCLA': 100.0, 'ABQRS': 0.0, 'SR': 0.0}</x:v>
      </x:c>
      <x:c r="I1568" s="12" t="str">
        <x:v>[('NSR', 100.0), ('SMI;AU', 100.0), ('IMI;AU', 100.0), ('ST&amp;', 100.0), ('LT', 100.0), ('AB', 100.0)]</x:v>
      </x:c>
      <x:c r="J1568" s="12" t="str">
        <x:v>ptbxl_database.csv；ecg_id=14585；scp_codes</x:v>
      </x:c>
      <x:c r="K1568" s="12" t="str">
        <x:v>12sl_statements.csv；ecg_id=14585；statements_ext_snomed</x:v>
      </x:c>
      <x:c r="L1568" s="12"/>
      <x:c r="M1568" s="12" t="str">
        <x:v>negative</x:v>
      </x:c>
      <x:c r="N1568" s="12"/>
      <x:c r="O1568" s="12" t="str">
        <x:v>negative</x:v>
      </x:c>
      <x:c r="P1568" s="12" t="str">
        <x:f>IF(OR(M1568="unavailable",O1568="unavailable"),"不可评价",IF(OR(M1568="equivocal",O1568="equivocal"),"疑似",IF(AND(M1568="positive",O1568="positive"),"a",IF(O1568="positive","b",IF(M1568="positive","c","d")))))</x:f>
        <x:v>d</x:v>
      </x:c>
      <x:c r="Q1568" s="12"/>
      <x:c r="R1568" s="12" t="str">
        <x:v>negative</x:v>
      </x:c>
      <x:c r="S1568" s="12"/>
      <x:c r="T1568" s="12" t="str">
        <x:v>negative</x:v>
      </x:c>
      <x:c r="U1568" s="12" t="str">
        <x:f>IF(OR(R1568="unavailable",T1568="unavailable"),"不可评价",IF(OR(R1568="equivocal",T1568="equivocal"),"疑似",IF(AND(R1568="positive",T1568="positive"),"a",IF(T1568="positive","b",IF(R1568="positive","c","d")))))</x:f>
        <x:v>d</x:v>
      </x:c>
      <x:c r="V1568" s="12"/>
      <x:c r="W1568" s="12" t="str">
        <x:v>negative</x:v>
      </x:c>
      <x:c r="X1568" s="12"/>
      <x:c r="Y1568" s="12" t="str">
        <x:v>negative</x:v>
      </x:c>
      <x:c r="Z1568" s="12" t="str">
        <x:f>IF(OR(W1568="unavailable",Y1568="unavailable"),"不可评价",IF(OR(W1568="equivocal",Y1568="equivocal"),"疑似",IF(AND(W1568="positive",Y1568="positive"),"a",IF(Y1568="positive","b",IF(W1568="positive","c","d")))))</x:f>
        <x:v>d</x:v>
      </x:c>
      <x:c r="AA1568" s="12" t="str">
        <x:f>IF(OR(M1568="unavailable",O1568="unavailable"),"不可评价",IF(AND(OR(M1568="positive",M1568="equivocal"),OR(O1568="positive",O1568="equivocal")),"a",IF(OR(O1568="positive",O1568="equivocal"),"b",IF(OR(M1568="positive",M1568="equivocal"),"c","d"))))</x:f>
        <x:v>d</x:v>
      </x:c>
      <x:c r="AB1568" s="12" t="str">
        <x:f>IF(OR(M1568="unavailable",O1568="unavailable"),"不可评价",IF(AND(M1568="positive",O1568="positive"),"a",IF(O1568="positive","b",IF(M1568="positive","c","d"))))</x:f>
        <x:v>d</x:v>
      </x:c>
      <x:c r="AC1568" s="12" t="str">
        <x:f>IF(OR(R1568="unavailable",T1568="unavailable"),"不可评价",IF(AND(OR(R1568="positive",R1568="equivocal"),OR(T1568="positive",T1568="equivocal")),"a",IF(OR(T1568="positive",T1568="equivocal"),"b",IF(OR(R1568="positive",R1568="equivocal"),"c","d"))))</x:f>
        <x:v>d</x:v>
      </x:c>
      <x:c r="AD1568" s="12" t="str">
        <x:f>IF(OR(R1568="unavailable",T1568="unavailable"),"不可评价",IF(AND(R1568="positive",T1568="positive"),"a",IF(T1568="positive","b",IF(R1568="positive","c","d"))))</x:f>
        <x:v>d</x:v>
      </x:c>
      <x:c r="AE1568" s="12" t="str">
        <x:f>IF(OR(W1568="unavailable",Y1568="unavailable"),"不可评价",IF(AND(OR(W1568="positive",W1568="equivocal"),OR(Y1568="positive",Y1568="equivocal")),"a",IF(OR(Y1568="positive",Y1568="equivocal"),"b",IF(OR(W1568="positive",W1568="equivocal"),"c","d"))))</x:f>
        <x:v>d</x:v>
      </x:c>
      <x:c r="AF1568" s="12" t="str">
        <x:f>IF(OR(W1568="unavailable",Y1568="unavailable"),"不可评价",IF(AND(W1568="positive",Y1568="positive"),"a",IF(Y1568="positive","b",IF(W1568="positive","c","d"))))</x:f>
        <x:v>d</x:v>
      </x:c>
    </x:row>
    <x:row r="1569" ht="24" customHeight="1">
      <x:c r="A1569" s="12" t="str">
        <x:v>14597</x:v>
      </x:c>
      <x:c r="B1569" s="12" t="str">
        <x:v>3367</x:v>
      </x:c>
      <x:c r="C1569" s="21" t="n">
        <x:v>34909.46576388889</x:v>
      </x:c>
      <x:c r="D1569" s="12" t="n">
        <x:v>66</x:v>
      </x:c>
      <x:c r="E1569" s="12" t="n">
        <x:v>0</x:v>
      </x:c>
      <x:c r="F1569" s="12" t="str">
        <x:v>未记录</x:v>
      </x:c>
      <x:c r="G1569" s="12" t="n">
        <x:v>1</x:v>
      </x:c>
      <x:c r="H1569" s="12" t="str">
        <x:v>{'NORM': 100.0, 'SR': 0.0}</x:v>
      </x:c>
      <x:c r="I1569" s="12" t="str">
        <x:v>[('SBRAD', 100.0), ('ABR', 100.0)]</x:v>
      </x:c>
      <x:c r="J1569" s="12" t="str">
        <x:v>ptbxl_database.csv；ecg_id=14597；scp_codes</x:v>
      </x:c>
      <x:c r="K1569" s="12" t="str">
        <x:v>12sl_statements.csv；ecg_id=14597；statements_ext_snomed</x:v>
      </x:c>
      <x:c r="L1569" s="12"/>
      <x:c r="M1569" s="12" t="str">
        <x:v>negative</x:v>
      </x:c>
      <x:c r="N1569" s="12"/>
      <x:c r="O1569" s="12" t="str">
        <x:v>negative</x:v>
      </x:c>
      <x:c r="P1569" s="12" t="str">
        <x:f>IF(OR(M1569="unavailable",O1569="unavailable"),"不可评价",IF(OR(M1569="equivocal",O1569="equivocal"),"疑似",IF(AND(M1569="positive",O1569="positive"),"a",IF(O1569="positive","b",IF(M1569="positive","c","d")))))</x:f>
        <x:v>d</x:v>
      </x:c>
      <x:c r="Q1569" s="12"/>
      <x:c r="R1569" s="12" t="str">
        <x:v>negative</x:v>
      </x:c>
      <x:c r="S1569" s="12"/>
      <x:c r="T1569" s="12" t="str">
        <x:v>negative</x:v>
      </x:c>
      <x:c r="U1569" s="12" t="str">
        <x:f>IF(OR(R1569="unavailable",T1569="unavailable"),"不可评价",IF(OR(R1569="equivocal",T1569="equivocal"),"疑似",IF(AND(R1569="positive",T1569="positive"),"a",IF(T1569="positive","b",IF(R1569="positive","c","d")))))</x:f>
        <x:v>d</x:v>
      </x:c>
      <x:c r="V1569" s="12"/>
      <x:c r="W1569" s="12" t="str">
        <x:v>negative</x:v>
      </x:c>
      <x:c r="X1569" s="12"/>
      <x:c r="Y1569" s="12" t="str">
        <x:v>negative</x:v>
      </x:c>
      <x:c r="Z1569" s="12" t="str">
        <x:f>IF(OR(W1569="unavailable",Y1569="unavailable"),"不可评价",IF(OR(W1569="equivocal",Y1569="equivocal"),"疑似",IF(AND(W1569="positive",Y1569="positive"),"a",IF(Y1569="positive","b",IF(W1569="positive","c","d")))))</x:f>
        <x:v>d</x:v>
      </x:c>
      <x:c r="AA1569" s="12" t="str">
        <x:f>IF(OR(M1569="unavailable",O1569="unavailable"),"不可评价",IF(AND(OR(M1569="positive",M1569="equivocal"),OR(O1569="positive",O1569="equivocal")),"a",IF(OR(O1569="positive",O1569="equivocal"),"b",IF(OR(M1569="positive",M1569="equivocal"),"c","d"))))</x:f>
        <x:v>d</x:v>
      </x:c>
      <x:c r="AB1569" s="12" t="str">
        <x:f>IF(OR(M1569="unavailable",O1569="unavailable"),"不可评价",IF(AND(M1569="positive",O1569="positive"),"a",IF(O1569="positive","b",IF(M1569="positive","c","d"))))</x:f>
        <x:v>d</x:v>
      </x:c>
      <x:c r="AC1569" s="12" t="str">
        <x:f>IF(OR(R1569="unavailable",T1569="unavailable"),"不可评价",IF(AND(OR(R1569="positive",R1569="equivocal"),OR(T1569="positive",T1569="equivocal")),"a",IF(OR(T1569="positive",T1569="equivocal"),"b",IF(OR(R1569="positive",R1569="equivocal"),"c","d"))))</x:f>
        <x:v>d</x:v>
      </x:c>
      <x:c r="AD1569" s="12" t="str">
        <x:f>IF(OR(R1569="unavailable",T1569="unavailable"),"不可评价",IF(AND(R1569="positive",T1569="positive"),"a",IF(T1569="positive","b",IF(R1569="positive","c","d"))))</x:f>
        <x:v>d</x:v>
      </x:c>
      <x:c r="AE1569" s="12" t="str">
        <x:f>IF(OR(W1569="unavailable",Y1569="unavailable"),"不可评价",IF(AND(OR(W1569="positive",W1569="equivocal"),OR(Y1569="positive",Y1569="equivocal")),"a",IF(OR(Y1569="positive",Y1569="equivocal"),"b",IF(OR(W1569="positive",W1569="equivocal"),"c","d"))))</x:f>
        <x:v>d</x:v>
      </x:c>
      <x:c r="AF1569" s="12" t="str">
        <x:f>IF(OR(W1569="unavailable",Y1569="unavailable"),"不可评价",IF(AND(W1569="positive",Y1569="positive"),"a",IF(Y1569="positive","b",IF(W1569="positive","c","d"))))</x:f>
        <x:v>d</x:v>
      </x:c>
    </x:row>
    <x:row r="1570" ht="24" customHeight="1">
      <x:c r="A1570" s="12" t="str">
        <x:v>14613</x:v>
      </x:c>
      <x:c r="B1570" s="12" t="str">
        <x:v>5999</x:v>
      </x:c>
      <x:c r="C1570" s="21" t="n">
        <x:v>34910.7866087963</x:v>
      </x:c>
      <x:c r="D1570" s="12" t="n">
        <x:v>63</x:v>
      </x:c>
      <x:c r="E1570" s="12" t="n">
        <x:v>1</x:v>
      </x:c>
      <x:c r="F1570" s="12" t="str">
        <x:v>未记录</x:v>
      </x:c>
      <x:c r="G1570" s="12" t="n">
        <x:v>1</x:v>
      </x:c>
      <x:c r="H1570" s="12" t="str">
        <x:v>{'NORM': 100.0, 'SR': 0.0}</x:v>
      </x:c>
      <x:c r="I1570" s="12" t="str">
        <x:v>[('SBRAD', 100.0), ('ABR', 100.0)]</x:v>
      </x:c>
      <x:c r="J1570" s="12" t="str">
        <x:v>ptbxl_database.csv；ecg_id=14613；scp_codes</x:v>
      </x:c>
      <x:c r="K1570" s="12" t="str">
        <x:v>12sl_statements.csv；ecg_id=14613；statements_ext_snomed</x:v>
      </x:c>
      <x:c r="L1570" s="12"/>
      <x:c r="M1570" s="12" t="str">
        <x:v>negative</x:v>
      </x:c>
      <x:c r="N1570" s="12"/>
      <x:c r="O1570" s="12" t="str">
        <x:v>negative</x:v>
      </x:c>
      <x:c r="P1570" s="12" t="str">
        <x:f>IF(OR(M1570="unavailable",O1570="unavailable"),"不可评价",IF(OR(M1570="equivocal",O1570="equivocal"),"疑似",IF(AND(M1570="positive",O1570="positive"),"a",IF(O1570="positive","b",IF(M1570="positive","c","d")))))</x:f>
        <x:v>d</x:v>
      </x:c>
      <x:c r="Q1570" s="12"/>
      <x:c r="R1570" s="12" t="str">
        <x:v>negative</x:v>
      </x:c>
      <x:c r="S1570" s="12"/>
      <x:c r="T1570" s="12" t="str">
        <x:v>negative</x:v>
      </x:c>
      <x:c r="U1570" s="12" t="str">
        <x:f>IF(OR(R1570="unavailable",T1570="unavailable"),"不可评价",IF(OR(R1570="equivocal",T1570="equivocal"),"疑似",IF(AND(R1570="positive",T1570="positive"),"a",IF(T1570="positive","b",IF(R1570="positive","c","d")))))</x:f>
        <x:v>d</x:v>
      </x:c>
      <x:c r="V1570" s="12"/>
      <x:c r="W1570" s="12" t="str">
        <x:v>negative</x:v>
      </x:c>
      <x:c r="X1570" s="12"/>
      <x:c r="Y1570" s="12" t="str">
        <x:v>negative</x:v>
      </x:c>
      <x:c r="Z1570" s="12" t="str">
        <x:f>IF(OR(W1570="unavailable",Y1570="unavailable"),"不可评价",IF(OR(W1570="equivocal",Y1570="equivocal"),"疑似",IF(AND(W1570="positive",Y1570="positive"),"a",IF(Y1570="positive","b",IF(W1570="positive","c","d")))))</x:f>
        <x:v>d</x:v>
      </x:c>
      <x:c r="AA1570" s="12" t="str">
        <x:f>IF(OR(M1570="unavailable",O1570="unavailable"),"不可评价",IF(AND(OR(M1570="positive",M1570="equivocal"),OR(O1570="positive",O1570="equivocal")),"a",IF(OR(O1570="positive",O1570="equivocal"),"b",IF(OR(M1570="positive",M1570="equivocal"),"c","d"))))</x:f>
        <x:v>d</x:v>
      </x:c>
      <x:c r="AB1570" s="12" t="str">
        <x:f>IF(OR(M1570="unavailable",O1570="unavailable"),"不可评价",IF(AND(M1570="positive",O1570="positive"),"a",IF(O1570="positive","b",IF(M1570="positive","c","d"))))</x:f>
        <x:v>d</x:v>
      </x:c>
      <x:c r="AC1570" s="12" t="str">
        <x:f>IF(OR(R1570="unavailable",T1570="unavailable"),"不可评价",IF(AND(OR(R1570="positive",R1570="equivocal"),OR(T1570="positive",T1570="equivocal")),"a",IF(OR(T1570="positive",T1570="equivocal"),"b",IF(OR(R1570="positive",R1570="equivocal"),"c","d"))))</x:f>
        <x:v>d</x:v>
      </x:c>
      <x:c r="AD1570" s="12" t="str">
        <x:f>IF(OR(R1570="unavailable",T1570="unavailable"),"不可评价",IF(AND(R1570="positive",T1570="positive"),"a",IF(T1570="positive","b",IF(R1570="positive","c","d"))))</x:f>
        <x:v>d</x:v>
      </x:c>
      <x:c r="AE1570" s="12" t="str">
        <x:f>IF(OR(W1570="unavailable",Y1570="unavailable"),"不可评价",IF(AND(OR(W1570="positive",W1570="equivocal"),OR(Y1570="positive",Y1570="equivocal")),"a",IF(OR(Y1570="positive",Y1570="equivocal"),"b",IF(OR(W1570="positive",W1570="equivocal"),"c","d"))))</x:f>
        <x:v>d</x:v>
      </x:c>
      <x:c r="AF1570" s="12" t="str">
        <x:f>IF(OR(W1570="unavailable",Y1570="unavailable"),"不可评价",IF(AND(W1570="positive",Y1570="positive"),"a",IF(Y1570="positive","b",IF(W1570="positive","c","d"))))</x:f>
        <x:v>d</x:v>
      </x:c>
    </x:row>
    <x:row r="1571" ht="24" customHeight="1">
      <x:c r="A1571" s="12" t="str">
        <x:v>14620</x:v>
      </x:c>
      <x:c r="B1571" s="12" t="str">
        <x:v>4953</x:v>
      </x:c>
      <x:c r="C1571" s="21" t="n">
        <x:v>34911.467824074076</x:v>
      </x:c>
      <x:c r="D1571" s="12" t="n">
        <x:v>46</x:v>
      </x:c>
      <x:c r="E1571" s="12" t="n">
        <x:v>1</x:v>
      </x:c>
      <x:c r="F1571" s="12" t="str">
        <x:v>未记录</x:v>
      </x:c>
      <x:c r="G1571" s="12" t="n">
        <x:v>1</x:v>
      </x:c>
      <x:c r="H1571" s="12" t="str">
        <x:v>{'NORM': 100.0, 'SR': 0.0}</x:v>
      </x:c>
      <x:c r="I1571" s="12" t="str">
        <x:v>[('NSR', 100.0), ('NML', 100.0)]</x:v>
      </x:c>
      <x:c r="J1571" s="12" t="str">
        <x:v>ptbxl_database.csv；ecg_id=14620；scp_codes</x:v>
      </x:c>
      <x:c r="K1571" s="12" t="str">
        <x:v>12sl_statements.csv；ecg_id=14620；statements_ext_snomed</x:v>
      </x:c>
      <x:c r="L1571" s="12"/>
      <x:c r="M1571" s="12" t="str">
        <x:v>negative</x:v>
      </x:c>
      <x:c r="N1571" s="12"/>
      <x:c r="O1571" s="12" t="str">
        <x:v>negative</x:v>
      </x:c>
      <x:c r="P1571" s="12" t="str">
        <x:f>IF(OR(M1571="unavailable",O1571="unavailable"),"不可评价",IF(OR(M1571="equivocal",O1571="equivocal"),"疑似",IF(AND(M1571="positive",O1571="positive"),"a",IF(O1571="positive","b",IF(M1571="positive","c","d")))))</x:f>
        <x:v>d</x:v>
      </x:c>
      <x:c r="Q1571" s="12"/>
      <x:c r="R1571" s="12" t="str">
        <x:v>negative</x:v>
      </x:c>
      <x:c r="S1571" s="12"/>
      <x:c r="T1571" s="12" t="str">
        <x:v>negative</x:v>
      </x:c>
      <x:c r="U1571" s="12" t="str">
        <x:f>IF(OR(R1571="unavailable",T1571="unavailable"),"不可评价",IF(OR(R1571="equivocal",T1571="equivocal"),"疑似",IF(AND(R1571="positive",T1571="positive"),"a",IF(T1571="positive","b",IF(R1571="positive","c","d")))))</x:f>
        <x:v>d</x:v>
      </x:c>
      <x:c r="V1571" s="12"/>
      <x:c r="W1571" s="12" t="str">
        <x:v>negative</x:v>
      </x:c>
      <x:c r="X1571" s="12"/>
      <x:c r="Y1571" s="12" t="str">
        <x:v>negative</x:v>
      </x:c>
      <x:c r="Z1571" s="12" t="str">
        <x:f>IF(OR(W1571="unavailable",Y1571="unavailable"),"不可评价",IF(OR(W1571="equivocal",Y1571="equivocal"),"疑似",IF(AND(W1571="positive",Y1571="positive"),"a",IF(Y1571="positive","b",IF(W1571="positive","c","d")))))</x:f>
        <x:v>d</x:v>
      </x:c>
      <x:c r="AA1571" s="12" t="str">
        <x:f>IF(OR(M1571="unavailable",O1571="unavailable"),"不可评价",IF(AND(OR(M1571="positive",M1571="equivocal"),OR(O1571="positive",O1571="equivocal")),"a",IF(OR(O1571="positive",O1571="equivocal"),"b",IF(OR(M1571="positive",M1571="equivocal"),"c","d"))))</x:f>
        <x:v>d</x:v>
      </x:c>
      <x:c r="AB1571" s="12" t="str">
        <x:f>IF(OR(M1571="unavailable",O1571="unavailable"),"不可评价",IF(AND(M1571="positive",O1571="positive"),"a",IF(O1571="positive","b",IF(M1571="positive","c","d"))))</x:f>
        <x:v>d</x:v>
      </x:c>
      <x:c r="AC1571" s="12" t="str">
        <x:f>IF(OR(R1571="unavailable",T1571="unavailable"),"不可评价",IF(AND(OR(R1571="positive",R1571="equivocal"),OR(T1571="positive",T1571="equivocal")),"a",IF(OR(T1571="positive",T1571="equivocal"),"b",IF(OR(R1571="positive",R1571="equivocal"),"c","d"))))</x:f>
        <x:v>d</x:v>
      </x:c>
      <x:c r="AD1571" s="12" t="str">
        <x:f>IF(OR(R1571="unavailable",T1571="unavailable"),"不可评价",IF(AND(R1571="positive",T1571="positive"),"a",IF(T1571="positive","b",IF(R1571="positive","c","d"))))</x:f>
        <x:v>d</x:v>
      </x:c>
      <x:c r="AE1571" s="12" t="str">
        <x:f>IF(OR(W1571="unavailable",Y1571="unavailable"),"不可评价",IF(AND(OR(W1571="positive",W1571="equivocal"),OR(Y1571="positive",Y1571="equivocal")),"a",IF(OR(Y1571="positive",Y1571="equivocal"),"b",IF(OR(W1571="positive",W1571="equivocal"),"c","d"))))</x:f>
        <x:v>d</x:v>
      </x:c>
      <x:c r="AF1571" s="12" t="str">
        <x:f>IF(OR(W1571="unavailable",Y1571="unavailable"),"不可评价",IF(AND(W1571="positive",Y1571="positive"),"a",IF(Y1571="positive","b",IF(W1571="positive","c","d"))))</x:f>
        <x:v>d</x:v>
      </x:c>
    </x:row>
    <x:row r="1572" ht="24" customHeight="1">
      <x:c r="A1572" s="12" t="str">
        <x:v>14627</x:v>
      </x:c>
      <x:c r="B1572" s="12" t="str">
        <x:v>18620</x:v>
      </x:c>
      <x:c r="C1572" s="21" t="n">
        <x:v>34912.53313657407</x:v>
      </x:c>
      <x:c r="D1572" s="12" t="n">
        <x:v>39</x:v>
      </x:c>
      <x:c r="E1572" s="12" t="n">
        <x:v>0</x:v>
      </x:c>
      <x:c r="F1572" s="12" t="str">
        <x:v>存在</x:v>
      </x:c>
      <x:c r="G1572" s="12" t="n">
        <x:v>1</x:v>
      </x:c>
      <x:c r="H1572" s="12" t="str">
        <x:v>{'IMI': 50.0, 'ABQRS': 0.0, 'SR': 0.0}</x:v>
      </x:c>
      <x:c r="I1572" s="12" t="str">
        <x:v>[('SRTH', 100.0), ('PAC', 100.0), ('$SABCOND', 100.0), ('ABR', 100.0)]</x:v>
      </x:c>
      <x:c r="J1572" s="12" t="str">
        <x:v>ptbxl_database.csv；ecg_id=14627；scp_codes</x:v>
      </x:c>
      <x:c r="K1572" s="12" t="str">
        <x:v>12sl_statements.csv；ecg_id=14627；statements_ext_snomed</x:v>
      </x:c>
      <x:c r="L1572" s="12"/>
      <x:c r="M1572" s="12" t="str">
        <x:v>negative</x:v>
      </x:c>
      <x:c r="N1572" s="12"/>
      <x:c r="O1572" s="12" t="str">
        <x:v>negative</x:v>
      </x:c>
      <x:c r="P1572" s="12" t="str">
        <x:f>IF(OR(M1572="unavailable",O1572="unavailable"),"不可评价",IF(OR(M1572="equivocal",O1572="equivocal"),"疑似",IF(AND(M1572="positive",O1572="positive"),"a",IF(O1572="positive","b",IF(M1572="positive","c","d")))))</x:f>
        <x:v>d</x:v>
      </x:c>
      <x:c r="Q1572" s="12"/>
      <x:c r="R1572" s="12" t="str">
        <x:v>negative</x:v>
      </x:c>
      <x:c r="S1572" s="12"/>
      <x:c r="T1572" s="12" t="str">
        <x:v>negative</x:v>
      </x:c>
      <x:c r="U1572" s="12" t="str">
        <x:f>IF(OR(R1572="unavailable",T1572="unavailable"),"不可评价",IF(OR(R1572="equivocal",T1572="equivocal"),"疑似",IF(AND(R1572="positive",T1572="positive"),"a",IF(T1572="positive","b",IF(R1572="positive","c","d")))))</x:f>
        <x:v>d</x:v>
      </x:c>
      <x:c r="V1572" s="12"/>
      <x:c r="W1572" s="12" t="str">
        <x:v>negative</x:v>
      </x:c>
      <x:c r="X1572" s="12"/>
      <x:c r="Y1572" s="12" t="str">
        <x:v>negative</x:v>
      </x:c>
      <x:c r="Z1572" s="12" t="str">
        <x:f>IF(OR(W1572="unavailable",Y1572="unavailable"),"不可评价",IF(OR(W1572="equivocal",Y1572="equivocal"),"疑似",IF(AND(W1572="positive",Y1572="positive"),"a",IF(Y1572="positive","b",IF(W1572="positive","c","d")))))</x:f>
        <x:v>d</x:v>
      </x:c>
      <x:c r="AA1572" s="12" t="str">
        <x:f>IF(OR(M1572="unavailable",O1572="unavailable"),"不可评价",IF(AND(OR(M1572="positive",M1572="equivocal"),OR(O1572="positive",O1572="equivocal")),"a",IF(OR(O1572="positive",O1572="equivocal"),"b",IF(OR(M1572="positive",M1572="equivocal"),"c","d"))))</x:f>
        <x:v>d</x:v>
      </x:c>
      <x:c r="AB1572" s="12" t="str">
        <x:f>IF(OR(M1572="unavailable",O1572="unavailable"),"不可评价",IF(AND(M1572="positive",O1572="positive"),"a",IF(O1572="positive","b",IF(M1572="positive","c","d"))))</x:f>
        <x:v>d</x:v>
      </x:c>
      <x:c r="AC1572" s="12" t="str">
        <x:f>IF(OR(R1572="unavailable",T1572="unavailable"),"不可评价",IF(AND(OR(R1572="positive",R1572="equivocal"),OR(T1572="positive",T1572="equivocal")),"a",IF(OR(T1572="positive",T1572="equivocal"),"b",IF(OR(R1572="positive",R1572="equivocal"),"c","d"))))</x:f>
        <x:v>d</x:v>
      </x:c>
      <x:c r="AD1572" s="12" t="str">
        <x:f>IF(OR(R1572="unavailable",T1572="unavailable"),"不可评价",IF(AND(R1572="positive",T1572="positive"),"a",IF(T1572="positive","b",IF(R1572="positive","c","d"))))</x:f>
        <x:v>d</x:v>
      </x:c>
      <x:c r="AE1572" s="12" t="str">
        <x:f>IF(OR(W1572="unavailable",Y1572="unavailable"),"不可评价",IF(AND(OR(W1572="positive",W1572="equivocal"),OR(Y1572="positive",Y1572="equivocal")),"a",IF(OR(Y1572="positive",Y1572="equivocal"),"b",IF(OR(W1572="positive",W1572="equivocal"),"c","d"))))</x:f>
        <x:v>d</x:v>
      </x:c>
      <x:c r="AF1572" s="12" t="str">
        <x:f>IF(OR(W1572="unavailable",Y1572="unavailable"),"不可评价",IF(AND(W1572="positive",Y1572="positive"),"a",IF(Y1572="positive","b",IF(W1572="positive","c","d"))))</x:f>
        <x:v>d</x:v>
      </x:c>
    </x:row>
    <x:row r="1573" ht="24" customHeight="1">
      <x:c r="A1573" s="12" t="str">
        <x:v>14628</x:v>
      </x:c>
      <x:c r="B1573" s="12" t="str">
        <x:v>9761</x:v>
      </x:c>
      <x:c r="C1573" s="21" t="n">
        <x:v>34912.68405092593</x:v>
      </x:c>
      <x:c r="D1573" s="12" t="n">
        <x:v>82</x:v>
      </x:c>
      <x:c r="E1573" s="12" t="n">
        <x:v>1</x:v>
      </x:c>
      <x:c r="F1573" s="12" t="str">
        <x:v>未记录</x:v>
      </x:c>
      <x:c r="G1573" s="12" t="n">
        <x:v>1</x:v>
      </x:c>
      <x:c r="H1573" s="12" t="str">
        <x:v>{'NDT': 100.0, 'AFIB': 0.0}</x:v>
      </x:c>
      <x:c r="I1573" s="12" t="str">
        <x:v>[('UR', 100.0), ('ABR', 100.0)]</x:v>
      </x:c>
      <x:c r="J1573" s="12" t="str">
        <x:v>ptbxl_database.csv；ecg_id=14628；scp_codes</x:v>
      </x:c>
      <x:c r="K1573" s="12" t="str">
        <x:v>12sl_statements.csv；ecg_id=14628；statements_ext_snomed</x:v>
      </x:c>
      <x:c r="L1573" s="12" t="n">
        <x:v>0</x:v>
      </x:c>
      <x:c r="M1573" s="12" t="str">
        <x:v>positive</x:v>
      </x:c>
      <x:c r="N1573" s="12"/>
      <x:c r="O1573" s="12" t="str">
        <x:v>negative</x:v>
      </x:c>
      <x:c r="P1573" s="12" t="str">
        <x:f>IF(OR(M1573="unavailable",O1573="unavailable"),"不可评价",IF(OR(M1573="equivocal",O1573="equivocal"),"疑似",IF(AND(M1573="positive",O1573="positive"),"a",IF(O1573="positive","b",IF(M1573="positive","c","d")))))</x:f>
        <x:v>c</x:v>
      </x:c>
      <x:c r="Q1573" s="12"/>
      <x:c r="R1573" s="12" t="str">
        <x:v>negative</x:v>
      </x:c>
      <x:c r="S1573" s="12"/>
      <x:c r="T1573" s="12" t="str">
        <x:v>negative</x:v>
      </x:c>
      <x:c r="U1573" s="12" t="str">
        <x:f>IF(OR(R1573="unavailable",T1573="unavailable"),"不可评价",IF(OR(R1573="equivocal",T1573="equivocal"),"疑似",IF(AND(R1573="positive",T1573="positive"),"a",IF(T1573="positive","b",IF(R1573="positive","c","d")))))</x:f>
        <x:v>d</x:v>
      </x:c>
      <x:c r="V1573" s="12"/>
      <x:c r="W1573" s="12" t="str">
        <x:v>negative</x:v>
      </x:c>
      <x:c r="X1573" s="12"/>
      <x:c r="Y1573" s="12" t="str">
        <x:v>negative</x:v>
      </x:c>
      <x:c r="Z1573" s="12" t="str">
        <x:f>IF(OR(W1573="unavailable",Y1573="unavailable"),"不可评价",IF(OR(W1573="equivocal",Y1573="equivocal"),"疑似",IF(AND(W1573="positive",Y1573="positive"),"a",IF(Y1573="positive","b",IF(W1573="positive","c","d")))))</x:f>
        <x:v>d</x:v>
      </x:c>
      <x:c r="AA1573" s="12" t="str">
        <x:f>IF(OR(M1573="unavailable",O1573="unavailable"),"不可评价",IF(AND(OR(M1573="positive",M1573="equivocal"),OR(O1573="positive",O1573="equivocal")),"a",IF(OR(O1573="positive",O1573="equivocal"),"b",IF(OR(M1573="positive",M1573="equivocal"),"c","d"))))</x:f>
        <x:v>c</x:v>
      </x:c>
      <x:c r="AB1573" s="12" t="str">
        <x:f>IF(OR(M1573="unavailable",O1573="unavailable"),"不可评价",IF(AND(M1573="positive",O1573="positive"),"a",IF(O1573="positive","b",IF(M1573="positive","c","d"))))</x:f>
        <x:v>c</x:v>
      </x:c>
      <x:c r="AC1573" s="12" t="str">
        <x:f>IF(OR(R1573="unavailable",T1573="unavailable"),"不可评价",IF(AND(OR(R1573="positive",R1573="equivocal"),OR(T1573="positive",T1573="equivocal")),"a",IF(OR(T1573="positive",T1573="equivocal"),"b",IF(OR(R1573="positive",R1573="equivocal"),"c","d"))))</x:f>
        <x:v>d</x:v>
      </x:c>
      <x:c r="AD1573" s="12" t="str">
        <x:f>IF(OR(R1573="unavailable",T1573="unavailable"),"不可评价",IF(AND(R1573="positive",T1573="positive"),"a",IF(T1573="positive","b",IF(R1573="positive","c","d"))))</x:f>
        <x:v>d</x:v>
      </x:c>
      <x:c r="AE1573" s="12" t="str">
        <x:f>IF(OR(W1573="unavailable",Y1573="unavailable"),"不可评价",IF(AND(OR(W1573="positive",W1573="equivocal"),OR(Y1573="positive",Y1573="equivocal")),"a",IF(OR(Y1573="positive",Y1573="equivocal"),"b",IF(OR(W1573="positive",W1573="equivocal"),"c","d"))))</x:f>
        <x:v>d</x:v>
      </x:c>
      <x:c r="AF1573" s="12" t="str">
        <x:f>IF(OR(W1573="unavailable",Y1573="unavailable"),"不可评价",IF(AND(W1573="positive",Y1573="positive"),"a",IF(Y1573="positive","b",IF(W1573="positive","c","d"))))</x:f>
        <x:v>d</x:v>
      </x:c>
    </x:row>
    <x:row r="1574" ht="24" customHeight="1">
      <x:c r="A1574" s="12" t="str">
        <x:v>14634</x:v>
      </x:c>
      <x:c r="B1574" s="12" t="str">
        <x:v>1535</x:v>
      </x:c>
      <x:c r="C1574" s="21" t="n">
        <x:v>34913.716527777775</x:v>
      </x:c>
      <x:c r="D1574" s="12" t="n">
        <x:v>58</x:v>
      </x:c>
      <x:c r="E1574" s="12" t="n">
        <x:v>1</x:v>
      </x:c>
      <x:c r="F1574" s="12" t="str">
        <x:v>未记录</x:v>
      </x:c>
      <x:c r="G1574" s="12" t="n">
        <x:v>1</x:v>
      </x:c>
      <x:c r="H1574" s="12" t="str">
        <x:v>{'NORM': 80.0, 'NT_': 0.0, 'SR': 0.0}</x:v>
      </x:c>
      <x:c r="I1574" s="12" t="str">
        <x:v>[('NSR', 100.0), ('NML', 100.0)]</x:v>
      </x:c>
      <x:c r="J1574" s="12" t="str">
        <x:v>ptbxl_database.csv；ecg_id=14634；scp_codes</x:v>
      </x:c>
      <x:c r="K1574" s="12" t="str">
        <x:v>12sl_statements.csv；ecg_id=14634；statements_ext_snomed</x:v>
      </x:c>
      <x:c r="L1574" s="12"/>
      <x:c r="M1574" s="12" t="str">
        <x:v>negative</x:v>
      </x:c>
      <x:c r="N1574" s="12"/>
      <x:c r="O1574" s="12" t="str">
        <x:v>negative</x:v>
      </x:c>
      <x:c r="P1574" s="12" t="str">
        <x:f>IF(OR(M1574="unavailable",O1574="unavailable"),"不可评价",IF(OR(M1574="equivocal",O1574="equivocal"),"疑似",IF(AND(M1574="positive",O1574="positive"),"a",IF(O1574="positive","b",IF(M1574="positive","c","d")))))</x:f>
        <x:v>d</x:v>
      </x:c>
      <x:c r="Q1574" s="12"/>
      <x:c r="R1574" s="12" t="str">
        <x:v>negative</x:v>
      </x:c>
      <x:c r="S1574" s="12"/>
      <x:c r="T1574" s="12" t="str">
        <x:v>negative</x:v>
      </x:c>
      <x:c r="U1574" s="12" t="str">
        <x:f>IF(OR(R1574="unavailable",T1574="unavailable"),"不可评价",IF(OR(R1574="equivocal",T1574="equivocal"),"疑似",IF(AND(R1574="positive",T1574="positive"),"a",IF(T1574="positive","b",IF(R1574="positive","c","d")))))</x:f>
        <x:v>d</x:v>
      </x:c>
      <x:c r="V1574" s="12"/>
      <x:c r="W1574" s="12" t="str">
        <x:v>negative</x:v>
      </x:c>
      <x:c r="X1574" s="12"/>
      <x:c r="Y1574" s="12" t="str">
        <x:v>negative</x:v>
      </x:c>
      <x:c r="Z1574" s="12" t="str">
        <x:f>IF(OR(W1574="unavailable",Y1574="unavailable"),"不可评价",IF(OR(W1574="equivocal",Y1574="equivocal"),"疑似",IF(AND(W1574="positive",Y1574="positive"),"a",IF(Y1574="positive","b",IF(W1574="positive","c","d")))))</x:f>
        <x:v>d</x:v>
      </x:c>
      <x:c r="AA1574" s="12" t="str">
        <x:f>IF(OR(M1574="unavailable",O1574="unavailable"),"不可评价",IF(AND(OR(M1574="positive",M1574="equivocal"),OR(O1574="positive",O1574="equivocal")),"a",IF(OR(O1574="positive",O1574="equivocal"),"b",IF(OR(M1574="positive",M1574="equivocal"),"c","d"))))</x:f>
        <x:v>d</x:v>
      </x:c>
      <x:c r="AB1574" s="12" t="str">
        <x:f>IF(OR(M1574="unavailable",O1574="unavailable"),"不可评价",IF(AND(M1574="positive",O1574="positive"),"a",IF(O1574="positive","b",IF(M1574="positive","c","d"))))</x:f>
        <x:v>d</x:v>
      </x:c>
      <x:c r="AC1574" s="12" t="str">
        <x:f>IF(OR(R1574="unavailable",T1574="unavailable"),"不可评价",IF(AND(OR(R1574="positive",R1574="equivocal"),OR(T1574="positive",T1574="equivocal")),"a",IF(OR(T1574="positive",T1574="equivocal"),"b",IF(OR(R1574="positive",R1574="equivocal"),"c","d"))))</x:f>
        <x:v>d</x:v>
      </x:c>
      <x:c r="AD1574" s="12" t="str">
        <x:f>IF(OR(R1574="unavailable",T1574="unavailable"),"不可评价",IF(AND(R1574="positive",T1574="positive"),"a",IF(T1574="positive","b",IF(R1574="positive","c","d"))))</x:f>
        <x:v>d</x:v>
      </x:c>
      <x:c r="AE1574" s="12" t="str">
        <x:f>IF(OR(W1574="unavailable",Y1574="unavailable"),"不可评价",IF(AND(OR(W1574="positive",W1574="equivocal"),OR(Y1574="positive",Y1574="equivocal")),"a",IF(OR(Y1574="positive",Y1574="equivocal"),"b",IF(OR(W1574="positive",W1574="equivocal"),"c","d"))))</x:f>
        <x:v>d</x:v>
      </x:c>
      <x:c r="AF1574" s="12" t="str">
        <x:f>IF(OR(W1574="unavailable",Y1574="unavailable"),"不可评价",IF(AND(W1574="positive",Y1574="positive"),"a",IF(Y1574="positive","b",IF(W1574="positive","c","d"))))</x:f>
        <x:v>d</x:v>
      </x:c>
    </x:row>
    <x:row r="1575" ht="24" customHeight="1">
      <x:c r="A1575" s="12" t="str">
        <x:v>14637</x:v>
      </x:c>
      <x:c r="B1575" s="12" t="str">
        <x:v>3841</x:v>
      </x:c>
      <x:c r="C1575" s="21" t="n">
        <x:v>34914.30912037037</x:v>
      </x:c>
      <x:c r="D1575" s="12" t="n">
        <x:v>59</x:v>
      </x:c>
      <x:c r="E1575" s="12" t="n">
        <x:v>0</x:v>
      </x:c>
      <x:c r="F1575" s="12" t="str">
        <x:v>未记录</x:v>
      </x:c>
      <x:c r="G1575" s="12" t="n">
        <x:v>1</x:v>
      </x:c>
      <x:c r="H1575" s="12" t="str">
        <x:v>{'NORM': 100.0, 'SR': 0.0}</x:v>
      </x:c>
      <x:c r="I1575" s="12" t="str">
        <x:v>[('NSR', 100.0), ('NML', 100.0)]</x:v>
      </x:c>
      <x:c r="J1575" s="12" t="str">
        <x:v>ptbxl_database.csv；ecg_id=14637；scp_codes</x:v>
      </x:c>
      <x:c r="K1575" s="12" t="str">
        <x:v>12sl_statements.csv；ecg_id=14637；statements_ext_snomed</x:v>
      </x:c>
      <x:c r="L1575" s="12"/>
      <x:c r="M1575" s="12" t="str">
        <x:v>negative</x:v>
      </x:c>
      <x:c r="N1575" s="12"/>
      <x:c r="O1575" s="12" t="str">
        <x:v>negative</x:v>
      </x:c>
      <x:c r="P1575" s="12" t="str">
        <x:f>IF(OR(M1575="unavailable",O1575="unavailable"),"不可评价",IF(OR(M1575="equivocal",O1575="equivocal"),"疑似",IF(AND(M1575="positive",O1575="positive"),"a",IF(O1575="positive","b",IF(M1575="positive","c","d")))))</x:f>
        <x:v>d</x:v>
      </x:c>
      <x:c r="Q1575" s="12"/>
      <x:c r="R1575" s="12" t="str">
        <x:v>negative</x:v>
      </x:c>
      <x:c r="S1575" s="12"/>
      <x:c r="T1575" s="12" t="str">
        <x:v>negative</x:v>
      </x:c>
      <x:c r="U1575" s="12" t="str">
        <x:f>IF(OR(R1575="unavailable",T1575="unavailable"),"不可评价",IF(OR(R1575="equivocal",T1575="equivocal"),"疑似",IF(AND(R1575="positive",T1575="positive"),"a",IF(T1575="positive","b",IF(R1575="positive","c","d")))))</x:f>
        <x:v>d</x:v>
      </x:c>
      <x:c r="V1575" s="12"/>
      <x:c r="W1575" s="12" t="str">
        <x:v>negative</x:v>
      </x:c>
      <x:c r="X1575" s="12"/>
      <x:c r="Y1575" s="12" t="str">
        <x:v>negative</x:v>
      </x:c>
      <x:c r="Z1575" s="12" t="str">
        <x:f>IF(OR(W1575="unavailable",Y1575="unavailable"),"不可评价",IF(OR(W1575="equivocal",Y1575="equivocal"),"疑似",IF(AND(W1575="positive",Y1575="positive"),"a",IF(Y1575="positive","b",IF(W1575="positive","c","d")))))</x:f>
        <x:v>d</x:v>
      </x:c>
      <x:c r="AA1575" s="12" t="str">
        <x:f>IF(OR(M1575="unavailable",O1575="unavailable"),"不可评价",IF(AND(OR(M1575="positive",M1575="equivocal"),OR(O1575="positive",O1575="equivocal")),"a",IF(OR(O1575="positive",O1575="equivocal"),"b",IF(OR(M1575="positive",M1575="equivocal"),"c","d"))))</x:f>
        <x:v>d</x:v>
      </x:c>
      <x:c r="AB1575" s="12" t="str">
        <x:f>IF(OR(M1575="unavailable",O1575="unavailable"),"不可评价",IF(AND(M1575="positive",O1575="positive"),"a",IF(O1575="positive","b",IF(M1575="positive","c","d"))))</x:f>
        <x:v>d</x:v>
      </x:c>
      <x:c r="AC1575" s="12" t="str">
        <x:f>IF(OR(R1575="unavailable",T1575="unavailable"),"不可评价",IF(AND(OR(R1575="positive",R1575="equivocal"),OR(T1575="positive",T1575="equivocal")),"a",IF(OR(T1575="positive",T1575="equivocal"),"b",IF(OR(R1575="positive",R1575="equivocal"),"c","d"))))</x:f>
        <x:v>d</x:v>
      </x:c>
      <x:c r="AD1575" s="12" t="str">
        <x:f>IF(OR(R1575="unavailable",T1575="unavailable"),"不可评价",IF(AND(R1575="positive",T1575="positive"),"a",IF(T1575="positive","b",IF(R1575="positive","c","d"))))</x:f>
        <x:v>d</x:v>
      </x:c>
      <x:c r="AE1575" s="12" t="str">
        <x:f>IF(OR(W1575="unavailable",Y1575="unavailable"),"不可评价",IF(AND(OR(W1575="positive",W1575="equivocal"),OR(Y1575="positive",Y1575="equivocal")),"a",IF(OR(Y1575="positive",Y1575="equivocal"),"b",IF(OR(W1575="positive",W1575="equivocal"),"c","d"))))</x:f>
        <x:v>d</x:v>
      </x:c>
      <x:c r="AF1575" s="12" t="str">
        <x:f>IF(OR(W1575="unavailable",Y1575="unavailable"),"不可评价",IF(AND(W1575="positive",Y1575="positive"),"a",IF(Y1575="positive","b",IF(W1575="positive","c","d"))))</x:f>
        <x:v>d</x:v>
      </x:c>
    </x:row>
    <x:row r="1576" ht="24" customHeight="1">
      <x:c r="A1576" s="12" t="str">
        <x:v>14647</x:v>
      </x:c>
      <x:c r="B1576" s="12" t="str">
        <x:v>7777</x:v>
      </x:c>
      <x:c r="C1576" s="21" t="n">
        <x:v>34914.59512731482</x:v>
      </x:c>
      <x:c r="D1576" s="12" t="n">
        <x:v>75</x:v>
      </x:c>
      <x:c r="E1576" s="12" t="n">
        <x:v>1</x:v>
      </x:c>
      <x:c r="F1576" s="12" t="str">
        <x:v>未记录</x:v>
      </x:c>
      <x:c r="G1576" s="12" t="n">
        <x:v>1</x:v>
      </x:c>
      <x:c r="H1576" s="12" t="str">
        <x:v>{'ASMI': 50.0, 'QWAVE': 0.0, 'SR': 0.0}</x:v>
      </x:c>
      <x:c r="I1576" s="12" t="str">
        <x:v>[('NSR', 100.0), ('SMI;AU', 100.0), ('AB', 100.0)]</x:v>
      </x:c>
      <x:c r="J1576" s="12" t="str">
        <x:v>ptbxl_database.csv；ecg_id=14647；scp_codes</x:v>
      </x:c>
      <x:c r="K1576" s="12" t="str">
        <x:v>12sl_statements.csv；ecg_id=14647；statements_ext_snomed</x:v>
      </x:c>
      <x:c r="L1576" s="12"/>
      <x:c r="M1576" s="12" t="str">
        <x:v>negative</x:v>
      </x:c>
      <x:c r="N1576" s="12"/>
      <x:c r="O1576" s="12" t="str">
        <x:v>negative</x:v>
      </x:c>
      <x:c r="P1576" s="12" t="str">
        <x:f>IF(OR(M1576="unavailable",O1576="unavailable"),"不可评价",IF(OR(M1576="equivocal",O1576="equivocal"),"疑似",IF(AND(M1576="positive",O1576="positive"),"a",IF(O1576="positive","b",IF(M1576="positive","c","d")))))</x:f>
        <x:v>d</x:v>
      </x:c>
      <x:c r="Q1576" s="12"/>
      <x:c r="R1576" s="12" t="str">
        <x:v>negative</x:v>
      </x:c>
      <x:c r="S1576" s="12"/>
      <x:c r="T1576" s="12" t="str">
        <x:v>negative</x:v>
      </x:c>
      <x:c r="U1576" s="12" t="str">
        <x:f>IF(OR(R1576="unavailable",T1576="unavailable"),"不可评价",IF(OR(R1576="equivocal",T1576="equivocal"),"疑似",IF(AND(R1576="positive",T1576="positive"),"a",IF(T1576="positive","b",IF(R1576="positive","c","d")))))</x:f>
        <x:v>d</x:v>
      </x:c>
      <x:c r="V1576" s="12"/>
      <x:c r="W1576" s="12" t="str">
        <x:v>negative</x:v>
      </x:c>
      <x:c r="X1576" s="12"/>
      <x:c r="Y1576" s="12" t="str">
        <x:v>negative</x:v>
      </x:c>
      <x:c r="Z1576" s="12" t="str">
        <x:f>IF(OR(W1576="unavailable",Y1576="unavailable"),"不可评价",IF(OR(W1576="equivocal",Y1576="equivocal"),"疑似",IF(AND(W1576="positive",Y1576="positive"),"a",IF(Y1576="positive","b",IF(W1576="positive","c","d")))))</x:f>
        <x:v>d</x:v>
      </x:c>
      <x:c r="AA1576" s="12" t="str">
        <x:f>IF(OR(M1576="unavailable",O1576="unavailable"),"不可评价",IF(AND(OR(M1576="positive",M1576="equivocal"),OR(O1576="positive",O1576="equivocal")),"a",IF(OR(O1576="positive",O1576="equivocal"),"b",IF(OR(M1576="positive",M1576="equivocal"),"c","d"))))</x:f>
        <x:v>d</x:v>
      </x:c>
      <x:c r="AB1576" s="12" t="str">
        <x:f>IF(OR(M1576="unavailable",O1576="unavailable"),"不可评价",IF(AND(M1576="positive",O1576="positive"),"a",IF(O1576="positive","b",IF(M1576="positive","c","d"))))</x:f>
        <x:v>d</x:v>
      </x:c>
      <x:c r="AC1576" s="12" t="str">
        <x:f>IF(OR(R1576="unavailable",T1576="unavailable"),"不可评价",IF(AND(OR(R1576="positive",R1576="equivocal"),OR(T1576="positive",T1576="equivocal")),"a",IF(OR(T1576="positive",T1576="equivocal"),"b",IF(OR(R1576="positive",R1576="equivocal"),"c","d"))))</x:f>
        <x:v>d</x:v>
      </x:c>
      <x:c r="AD1576" s="12" t="str">
        <x:f>IF(OR(R1576="unavailable",T1576="unavailable"),"不可评价",IF(AND(R1576="positive",T1576="positive"),"a",IF(T1576="positive","b",IF(R1576="positive","c","d"))))</x:f>
        <x:v>d</x:v>
      </x:c>
      <x:c r="AE1576" s="12" t="str">
        <x:f>IF(OR(W1576="unavailable",Y1576="unavailable"),"不可评价",IF(AND(OR(W1576="positive",W1576="equivocal"),OR(Y1576="positive",Y1576="equivocal")),"a",IF(OR(Y1576="positive",Y1576="equivocal"),"b",IF(OR(W1576="positive",W1576="equivocal"),"c","d"))))</x:f>
        <x:v>d</x:v>
      </x:c>
      <x:c r="AF1576" s="12" t="str">
        <x:f>IF(OR(W1576="unavailable",Y1576="unavailable"),"不可评价",IF(AND(W1576="positive",Y1576="positive"),"a",IF(Y1576="positive","b",IF(W1576="positive","c","d"))))</x:f>
        <x:v>d</x:v>
      </x:c>
    </x:row>
    <x:row r="1577" ht="24" customHeight="1">
      <x:c r="A1577" s="12" t="str">
        <x:v>14662</x:v>
      </x:c>
      <x:c r="B1577" s="12" t="str">
        <x:v>6658</x:v>
      </x:c>
      <x:c r="C1577" s="21" t="n">
        <x:v>34915.45935185185</x:v>
      </x:c>
      <x:c r="D1577" s="12" t="n">
        <x:v>60</x:v>
      </x:c>
      <x:c r="E1577" s="12" t="n">
        <x:v>1</x:v>
      </x:c>
      <x:c r="F1577" s="12" t="str">
        <x:v>未记录</x:v>
      </x:c>
      <x:c r="G1577" s="12" t="n">
        <x:v>1</x:v>
      </x:c>
      <x:c r="H1577" s="12" t="str">
        <x:v>{'NORM': 100.0, 'SR': 0.0}</x:v>
      </x:c>
      <x:c r="I1577" s="12" t="str">
        <x:v>[('JUNCT-R', 100.0), ('AB', 100.0)]</x:v>
      </x:c>
      <x:c r="J1577" s="12" t="str">
        <x:v>ptbxl_database.csv；ecg_id=14662；scp_codes</x:v>
      </x:c>
      <x:c r="K1577" s="12" t="str">
        <x:v>12sl_statements.csv；ecg_id=14662；statements_ext_snomed</x:v>
      </x:c>
      <x:c r="L1577" s="12"/>
      <x:c r="M1577" s="12" t="str">
        <x:v>negative</x:v>
      </x:c>
      <x:c r="N1577" s="12"/>
      <x:c r="O1577" s="12" t="str">
        <x:v>negative</x:v>
      </x:c>
      <x:c r="P1577" s="12" t="str">
        <x:f>IF(OR(M1577="unavailable",O1577="unavailable"),"不可评价",IF(OR(M1577="equivocal",O1577="equivocal"),"疑似",IF(AND(M1577="positive",O1577="positive"),"a",IF(O1577="positive","b",IF(M1577="positive","c","d")))))</x:f>
        <x:v>d</x:v>
      </x:c>
      <x:c r="Q1577" s="12"/>
      <x:c r="R1577" s="12" t="str">
        <x:v>negative</x:v>
      </x:c>
      <x:c r="S1577" s="12"/>
      <x:c r="T1577" s="12" t="str">
        <x:v>negative</x:v>
      </x:c>
      <x:c r="U1577" s="12" t="str">
        <x:f>IF(OR(R1577="unavailable",T1577="unavailable"),"不可评价",IF(OR(R1577="equivocal",T1577="equivocal"),"疑似",IF(AND(R1577="positive",T1577="positive"),"a",IF(T1577="positive","b",IF(R1577="positive","c","d")))))</x:f>
        <x:v>d</x:v>
      </x:c>
      <x:c r="V1577" s="12"/>
      <x:c r="W1577" s="12" t="str">
        <x:v>negative</x:v>
      </x:c>
      <x:c r="X1577" s="12"/>
      <x:c r="Y1577" s="12" t="str">
        <x:v>negative</x:v>
      </x:c>
      <x:c r="Z1577" s="12" t="str">
        <x:f>IF(OR(W1577="unavailable",Y1577="unavailable"),"不可评价",IF(OR(W1577="equivocal",Y1577="equivocal"),"疑似",IF(AND(W1577="positive",Y1577="positive"),"a",IF(Y1577="positive","b",IF(W1577="positive","c","d")))))</x:f>
        <x:v>d</x:v>
      </x:c>
      <x:c r="AA1577" s="12" t="str">
        <x:f>IF(OR(M1577="unavailable",O1577="unavailable"),"不可评价",IF(AND(OR(M1577="positive",M1577="equivocal"),OR(O1577="positive",O1577="equivocal")),"a",IF(OR(O1577="positive",O1577="equivocal"),"b",IF(OR(M1577="positive",M1577="equivocal"),"c","d"))))</x:f>
        <x:v>d</x:v>
      </x:c>
      <x:c r="AB1577" s="12" t="str">
        <x:f>IF(OR(M1577="unavailable",O1577="unavailable"),"不可评价",IF(AND(M1577="positive",O1577="positive"),"a",IF(O1577="positive","b",IF(M1577="positive","c","d"))))</x:f>
        <x:v>d</x:v>
      </x:c>
      <x:c r="AC1577" s="12" t="str">
        <x:f>IF(OR(R1577="unavailable",T1577="unavailable"),"不可评价",IF(AND(OR(R1577="positive",R1577="equivocal"),OR(T1577="positive",T1577="equivocal")),"a",IF(OR(T1577="positive",T1577="equivocal"),"b",IF(OR(R1577="positive",R1577="equivocal"),"c","d"))))</x:f>
        <x:v>d</x:v>
      </x:c>
      <x:c r="AD1577" s="12" t="str">
        <x:f>IF(OR(R1577="unavailable",T1577="unavailable"),"不可评价",IF(AND(R1577="positive",T1577="positive"),"a",IF(T1577="positive","b",IF(R1577="positive","c","d"))))</x:f>
        <x:v>d</x:v>
      </x:c>
      <x:c r="AE1577" s="12" t="str">
        <x:f>IF(OR(W1577="unavailable",Y1577="unavailable"),"不可评价",IF(AND(OR(W1577="positive",W1577="equivocal"),OR(Y1577="positive",Y1577="equivocal")),"a",IF(OR(Y1577="positive",Y1577="equivocal"),"b",IF(OR(W1577="positive",W1577="equivocal"),"c","d"))))</x:f>
        <x:v>d</x:v>
      </x:c>
      <x:c r="AF1577" s="12" t="str">
        <x:f>IF(OR(W1577="unavailable",Y1577="unavailable"),"不可评价",IF(AND(W1577="positive",Y1577="positive"),"a",IF(Y1577="positive","b",IF(W1577="positive","c","d"))))</x:f>
        <x:v>d</x:v>
      </x:c>
    </x:row>
    <x:row r="1578" ht="24" customHeight="1">
      <x:c r="A1578" s="12" t="str">
        <x:v>14667</x:v>
      </x:c>
      <x:c r="B1578" s="12" t="str">
        <x:v>6901</x:v>
      </x:c>
      <x:c r="C1578" s="21" t="n">
        <x:v>34915.5878125</x:v>
      </x:c>
      <x:c r="D1578" s="12" t="n">
        <x:v>86</x:v>
      </x:c>
      <x:c r="E1578" s="12" t="n">
        <x:v>1</x:v>
      </x:c>
      <x:c r="F1578" s="12" t="str">
        <x:v>未记录</x:v>
      </x:c>
      <x:c r="G1578" s="12" t="n">
        <x:v>1</x:v>
      </x:c>
      <x:c r="H1578" s="12" t="str">
        <x:v>{'ASMI': 100.0, 'SR': 0.0}</x:v>
      </x:c>
      <x:c r="I1578" s="12" t="str">
        <x:v>[('NSR', 100.0), ('SMI;AU', 100.0), ('AB', 100.0)]</x:v>
      </x:c>
      <x:c r="J1578" s="12" t="str">
        <x:v>ptbxl_database.csv；ecg_id=14667；scp_codes</x:v>
      </x:c>
      <x:c r="K1578" s="12" t="str">
        <x:v>12sl_statements.csv；ecg_id=14667；statements_ext_snomed</x:v>
      </x:c>
      <x:c r="L1578" s="12"/>
      <x:c r="M1578" s="12" t="str">
        <x:v>negative</x:v>
      </x:c>
      <x:c r="N1578" s="12"/>
      <x:c r="O1578" s="12" t="str">
        <x:v>negative</x:v>
      </x:c>
      <x:c r="P1578" s="12" t="str">
        <x:f>IF(OR(M1578="unavailable",O1578="unavailable"),"不可评价",IF(OR(M1578="equivocal",O1578="equivocal"),"疑似",IF(AND(M1578="positive",O1578="positive"),"a",IF(O1578="positive","b",IF(M1578="positive","c","d")))))</x:f>
        <x:v>d</x:v>
      </x:c>
      <x:c r="Q1578" s="12"/>
      <x:c r="R1578" s="12" t="str">
        <x:v>negative</x:v>
      </x:c>
      <x:c r="S1578" s="12"/>
      <x:c r="T1578" s="12" t="str">
        <x:v>negative</x:v>
      </x:c>
      <x:c r="U1578" s="12" t="str">
        <x:f>IF(OR(R1578="unavailable",T1578="unavailable"),"不可评价",IF(OR(R1578="equivocal",T1578="equivocal"),"疑似",IF(AND(R1578="positive",T1578="positive"),"a",IF(T1578="positive","b",IF(R1578="positive","c","d")))))</x:f>
        <x:v>d</x:v>
      </x:c>
      <x:c r="V1578" s="12"/>
      <x:c r="W1578" s="12" t="str">
        <x:v>negative</x:v>
      </x:c>
      <x:c r="X1578" s="12"/>
      <x:c r="Y1578" s="12" t="str">
        <x:v>negative</x:v>
      </x:c>
      <x:c r="Z1578" s="12" t="str">
        <x:f>IF(OR(W1578="unavailable",Y1578="unavailable"),"不可评价",IF(OR(W1578="equivocal",Y1578="equivocal"),"疑似",IF(AND(W1578="positive",Y1578="positive"),"a",IF(Y1578="positive","b",IF(W1578="positive","c","d")))))</x:f>
        <x:v>d</x:v>
      </x:c>
      <x:c r="AA1578" s="12" t="str">
        <x:f>IF(OR(M1578="unavailable",O1578="unavailable"),"不可评价",IF(AND(OR(M1578="positive",M1578="equivocal"),OR(O1578="positive",O1578="equivocal")),"a",IF(OR(O1578="positive",O1578="equivocal"),"b",IF(OR(M1578="positive",M1578="equivocal"),"c","d"))))</x:f>
        <x:v>d</x:v>
      </x:c>
      <x:c r="AB1578" s="12" t="str">
        <x:f>IF(OR(M1578="unavailable",O1578="unavailable"),"不可评价",IF(AND(M1578="positive",O1578="positive"),"a",IF(O1578="positive","b",IF(M1578="positive","c","d"))))</x:f>
        <x:v>d</x:v>
      </x:c>
      <x:c r="AC1578" s="12" t="str">
        <x:f>IF(OR(R1578="unavailable",T1578="unavailable"),"不可评价",IF(AND(OR(R1578="positive",R1578="equivocal"),OR(T1578="positive",T1578="equivocal")),"a",IF(OR(T1578="positive",T1578="equivocal"),"b",IF(OR(R1578="positive",R1578="equivocal"),"c","d"))))</x:f>
        <x:v>d</x:v>
      </x:c>
      <x:c r="AD1578" s="12" t="str">
        <x:f>IF(OR(R1578="unavailable",T1578="unavailable"),"不可评价",IF(AND(R1578="positive",T1578="positive"),"a",IF(T1578="positive","b",IF(R1578="positive","c","d"))))</x:f>
        <x:v>d</x:v>
      </x:c>
      <x:c r="AE1578" s="12" t="str">
        <x:f>IF(OR(W1578="unavailable",Y1578="unavailable"),"不可评价",IF(AND(OR(W1578="positive",W1578="equivocal"),OR(Y1578="positive",Y1578="equivocal")),"a",IF(OR(Y1578="positive",Y1578="equivocal"),"b",IF(OR(W1578="positive",W1578="equivocal"),"c","d"))))</x:f>
        <x:v>d</x:v>
      </x:c>
      <x:c r="AF1578" s="12" t="str">
        <x:f>IF(OR(W1578="unavailable",Y1578="unavailable"),"不可评价",IF(AND(W1578="positive",Y1578="positive"),"a",IF(Y1578="positive","b",IF(W1578="positive","c","d"))))</x:f>
        <x:v>d</x:v>
      </x:c>
    </x:row>
    <x:row r="1579" ht="24" customHeight="1">
      <x:c r="A1579" s="12" t="str">
        <x:v>14670</x:v>
      </x:c>
      <x:c r="B1579" s="12" t="str">
        <x:v>740</x:v>
      </x:c>
      <x:c r="C1579" s="21" t="n">
        <x:v>34915.78171296296</x:v>
      </x:c>
      <x:c r="D1579" s="12" t="n">
        <x:v>74</x:v>
      </x:c>
      <x:c r="E1579" s="12" t="n">
        <x:v>0</x:v>
      </x:c>
      <x:c r="F1579" s="12" t="str">
        <x:v>未记录</x:v>
      </x:c>
      <x:c r="G1579" s="12" t="n">
        <x:v>1</x:v>
      </x:c>
      <x:c r="H1579" s="12" t="str">
        <x:v>{'LVH': 50.0, 'ISC_': 80.0, 'DIG': 50.0, 'STD_': 0.0, 'SR': 0.0}</x:v>
      </x:c>
      <x:c r="I1579" s="12" t="str">
        <x:v>[('NSR', 100.0), ('LVH2', 100.0), ('2ST', 100.0), ('LNGQT', 100.0), ('AB', 100.0)]</x:v>
      </x:c>
      <x:c r="J1579" s="12" t="str">
        <x:v>ptbxl_database.csv；ecg_id=14670；scp_codes</x:v>
      </x:c>
      <x:c r="K1579" s="12" t="str">
        <x:v>12sl_statements.csv；ecg_id=14670；statements_ext_snomed</x:v>
      </x:c>
      <x:c r="L1579" s="12"/>
      <x:c r="M1579" s="12" t="str">
        <x:v>negative</x:v>
      </x:c>
      <x:c r="N1579" s="12"/>
      <x:c r="O1579" s="12" t="str">
        <x:v>negative</x:v>
      </x:c>
      <x:c r="P1579" s="12" t="str">
        <x:f>IF(OR(M1579="unavailable",O1579="unavailable"),"不可评价",IF(OR(M1579="equivocal",O1579="equivocal"),"疑似",IF(AND(M1579="positive",O1579="positive"),"a",IF(O1579="positive","b",IF(M1579="positive","c","d")))))</x:f>
        <x:v>d</x:v>
      </x:c>
      <x:c r="Q1579" s="12"/>
      <x:c r="R1579" s="12" t="str">
        <x:v>negative</x:v>
      </x:c>
      <x:c r="S1579" s="12"/>
      <x:c r="T1579" s="12" t="str">
        <x:v>negative</x:v>
      </x:c>
      <x:c r="U1579" s="12" t="str">
        <x:f>IF(OR(R1579="unavailable",T1579="unavailable"),"不可评价",IF(OR(R1579="equivocal",T1579="equivocal"),"疑似",IF(AND(R1579="positive",T1579="positive"),"a",IF(T1579="positive","b",IF(R1579="positive","c","d")))))</x:f>
        <x:v>d</x:v>
      </x:c>
      <x:c r="V1579" s="12"/>
      <x:c r="W1579" s="12" t="str">
        <x:v>negative</x:v>
      </x:c>
      <x:c r="X1579" s="12"/>
      <x:c r="Y1579" s="12" t="str">
        <x:v>negative</x:v>
      </x:c>
      <x:c r="Z1579" s="12" t="str">
        <x:f>IF(OR(W1579="unavailable",Y1579="unavailable"),"不可评价",IF(OR(W1579="equivocal",Y1579="equivocal"),"疑似",IF(AND(W1579="positive",Y1579="positive"),"a",IF(Y1579="positive","b",IF(W1579="positive","c","d")))))</x:f>
        <x:v>d</x:v>
      </x:c>
      <x:c r="AA1579" s="12" t="str">
        <x:f>IF(OR(M1579="unavailable",O1579="unavailable"),"不可评价",IF(AND(OR(M1579="positive",M1579="equivocal"),OR(O1579="positive",O1579="equivocal")),"a",IF(OR(O1579="positive",O1579="equivocal"),"b",IF(OR(M1579="positive",M1579="equivocal"),"c","d"))))</x:f>
        <x:v>d</x:v>
      </x:c>
      <x:c r="AB1579" s="12" t="str">
        <x:f>IF(OR(M1579="unavailable",O1579="unavailable"),"不可评价",IF(AND(M1579="positive",O1579="positive"),"a",IF(O1579="positive","b",IF(M1579="positive","c","d"))))</x:f>
        <x:v>d</x:v>
      </x:c>
      <x:c r="AC1579" s="12" t="str">
        <x:f>IF(OR(R1579="unavailable",T1579="unavailable"),"不可评价",IF(AND(OR(R1579="positive",R1579="equivocal"),OR(T1579="positive",T1579="equivocal")),"a",IF(OR(T1579="positive",T1579="equivocal"),"b",IF(OR(R1579="positive",R1579="equivocal"),"c","d"))))</x:f>
        <x:v>d</x:v>
      </x:c>
      <x:c r="AD1579" s="12" t="str">
        <x:f>IF(OR(R1579="unavailable",T1579="unavailable"),"不可评价",IF(AND(R1579="positive",T1579="positive"),"a",IF(T1579="positive","b",IF(R1579="positive","c","d"))))</x:f>
        <x:v>d</x:v>
      </x:c>
      <x:c r="AE1579" s="12" t="str">
        <x:f>IF(OR(W1579="unavailable",Y1579="unavailable"),"不可评价",IF(AND(OR(W1579="positive",W1579="equivocal"),OR(Y1579="positive",Y1579="equivocal")),"a",IF(OR(Y1579="positive",Y1579="equivocal"),"b",IF(OR(W1579="positive",W1579="equivocal"),"c","d"))))</x:f>
        <x:v>d</x:v>
      </x:c>
      <x:c r="AF1579" s="12" t="str">
        <x:f>IF(OR(W1579="unavailable",Y1579="unavailable"),"不可评价",IF(AND(W1579="positive",Y1579="positive"),"a",IF(Y1579="positive","b",IF(W1579="positive","c","d"))))</x:f>
        <x:v>d</x:v>
      </x:c>
    </x:row>
    <x:row r="1580" ht="24" customHeight="1">
      <x:c r="A1580" s="12" t="str">
        <x:v>14674</x:v>
      </x:c>
      <x:c r="B1580" s="12" t="str">
        <x:v>7737</x:v>
      </x:c>
      <x:c r="C1580" s="21" t="n">
        <x:v>34916.32577546296</x:v>
      </x:c>
      <x:c r="D1580" s="12" t="n">
        <x:v>63</x:v>
      </x:c>
      <x:c r="E1580" s="12" t="n">
        <x:v>1</x:v>
      </x:c>
      <x:c r="F1580" s="12" t="str">
        <x:v>存在</x:v>
      </x:c>
      <x:c r="G1580" s="12" t="n">
        <x:v>1</x:v>
      </x:c>
      <x:c r="H1580" s="12" t="str">
        <x:v>{'NDT': 100.0, 'SR': 0.0}</x:v>
      </x:c>
      <x:c r="I1580" s="12" t="str">
        <x:v>[('NSR', 100.0), ('NML', 100.0)]</x:v>
      </x:c>
      <x:c r="J1580" s="12" t="str">
        <x:v>ptbxl_database.csv；ecg_id=14674；scp_codes</x:v>
      </x:c>
      <x:c r="K1580" s="12" t="str">
        <x:v>12sl_statements.csv；ecg_id=14674；statements_ext_snomed</x:v>
      </x:c>
      <x:c r="L1580" s="12"/>
      <x:c r="M1580" s="12" t="str">
        <x:v>negative</x:v>
      </x:c>
      <x:c r="N1580" s="12"/>
      <x:c r="O1580" s="12" t="str">
        <x:v>negative</x:v>
      </x:c>
      <x:c r="P1580" s="12" t="str">
        <x:f>IF(OR(M1580="unavailable",O1580="unavailable"),"不可评价",IF(OR(M1580="equivocal",O1580="equivocal"),"疑似",IF(AND(M1580="positive",O1580="positive"),"a",IF(O1580="positive","b",IF(M1580="positive","c","d")))))</x:f>
        <x:v>d</x:v>
      </x:c>
      <x:c r="Q1580" s="12"/>
      <x:c r="R1580" s="12" t="str">
        <x:v>negative</x:v>
      </x:c>
      <x:c r="S1580" s="12"/>
      <x:c r="T1580" s="12" t="str">
        <x:v>negative</x:v>
      </x:c>
      <x:c r="U1580" s="12" t="str">
        <x:f>IF(OR(R1580="unavailable",T1580="unavailable"),"不可评价",IF(OR(R1580="equivocal",T1580="equivocal"),"疑似",IF(AND(R1580="positive",T1580="positive"),"a",IF(T1580="positive","b",IF(R1580="positive","c","d")))))</x:f>
        <x:v>d</x:v>
      </x:c>
      <x:c r="V1580" s="12"/>
      <x:c r="W1580" s="12" t="str">
        <x:v>negative</x:v>
      </x:c>
      <x:c r="X1580" s="12"/>
      <x:c r="Y1580" s="12" t="str">
        <x:v>negative</x:v>
      </x:c>
      <x:c r="Z1580" s="12" t="str">
        <x:f>IF(OR(W1580="unavailable",Y1580="unavailable"),"不可评价",IF(OR(W1580="equivocal",Y1580="equivocal"),"疑似",IF(AND(W1580="positive",Y1580="positive"),"a",IF(Y1580="positive","b",IF(W1580="positive","c","d")))))</x:f>
        <x:v>d</x:v>
      </x:c>
      <x:c r="AA1580" s="12" t="str">
        <x:f>IF(OR(M1580="unavailable",O1580="unavailable"),"不可评价",IF(AND(OR(M1580="positive",M1580="equivocal"),OR(O1580="positive",O1580="equivocal")),"a",IF(OR(O1580="positive",O1580="equivocal"),"b",IF(OR(M1580="positive",M1580="equivocal"),"c","d"))))</x:f>
        <x:v>d</x:v>
      </x:c>
      <x:c r="AB1580" s="12" t="str">
        <x:f>IF(OR(M1580="unavailable",O1580="unavailable"),"不可评价",IF(AND(M1580="positive",O1580="positive"),"a",IF(O1580="positive","b",IF(M1580="positive","c","d"))))</x:f>
        <x:v>d</x:v>
      </x:c>
      <x:c r="AC1580" s="12" t="str">
        <x:f>IF(OR(R1580="unavailable",T1580="unavailable"),"不可评价",IF(AND(OR(R1580="positive",R1580="equivocal"),OR(T1580="positive",T1580="equivocal")),"a",IF(OR(T1580="positive",T1580="equivocal"),"b",IF(OR(R1580="positive",R1580="equivocal"),"c","d"))))</x:f>
        <x:v>d</x:v>
      </x:c>
      <x:c r="AD1580" s="12" t="str">
        <x:f>IF(OR(R1580="unavailable",T1580="unavailable"),"不可评价",IF(AND(R1580="positive",T1580="positive"),"a",IF(T1580="positive","b",IF(R1580="positive","c","d"))))</x:f>
        <x:v>d</x:v>
      </x:c>
      <x:c r="AE1580" s="12" t="str">
        <x:f>IF(OR(W1580="unavailable",Y1580="unavailable"),"不可评价",IF(AND(OR(W1580="positive",W1580="equivocal"),OR(Y1580="positive",Y1580="equivocal")),"a",IF(OR(Y1580="positive",Y1580="equivocal"),"b",IF(OR(W1580="positive",W1580="equivocal"),"c","d"))))</x:f>
        <x:v>d</x:v>
      </x:c>
      <x:c r="AF1580" s="12" t="str">
        <x:f>IF(OR(W1580="unavailable",Y1580="unavailable"),"不可评价",IF(AND(W1580="positive",Y1580="positive"),"a",IF(Y1580="positive","b",IF(W1580="positive","c","d"))))</x:f>
        <x:v>d</x:v>
      </x:c>
    </x:row>
    <x:row r="1581" ht="24" customHeight="1">
      <x:c r="A1581" s="12" t="str">
        <x:v>14678</x:v>
      </x:c>
      <x:c r="B1581" s="12" t="str">
        <x:v>5657</x:v>
      </x:c>
      <x:c r="C1581" s="21" t="n">
        <x:v>34916.44703703704</x:v>
      </x:c>
      <x:c r="D1581" s="12" t="n">
        <x:v>71</x:v>
      </x:c>
      <x:c r="E1581" s="12" t="n">
        <x:v>0</x:v>
      </x:c>
      <x:c r="F1581" s="12" t="str">
        <x:v>未记录</x:v>
      </x:c>
      <x:c r="G1581" s="12" t="n">
        <x:v>1</x:v>
      </x:c>
      <x:c r="H1581" s="12" t="str">
        <x:v>{'IRBBB': 100.0, 'LPFB': 100.0, 'SR': 0.0}</x:v>
      </x:c>
      <x:c r="I1581" s="12" t="str">
        <x:v>[('SBRAD', 100.0), ('RBBB', 100.0), ('AB', 100.0)]</x:v>
      </x:c>
      <x:c r="J1581" s="12" t="str">
        <x:v>ptbxl_database.csv；ecg_id=14678；scp_codes</x:v>
      </x:c>
      <x:c r="K1581" s="12" t="str">
        <x:v>12sl_statements.csv；ecg_id=14678；statements_ext_snomed</x:v>
      </x:c>
      <x:c r="L1581" s="12"/>
      <x:c r="M1581" s="12" t="str">
        <x:v>negative</x:v>
      </x:c>
      <x:c r="N1581" s="12"/>
      <x:c r="O1581" s="12" t="str">
        <x:v>negative</x:v>
      </x:c>
      <x:c r="P1581" s="12" t="str">
        <x:f>IF(OR(M1581="unavailable",O1581="unavailable"),"不可评价",IF(OR(M1581="equivocal",O1581="equivocal"),"疑似",IF(AND(M1581="positive",O1581="positive"),"a",IF(O1581="positive","b",IF(M1581="positive","c","d")))))</x:f>
        <x:v>d</x:v>
      </x:c>
      <x:c r="Q1581" s="12"/>
      <x:c r="R1581" s="12" t="str">
        <x:v>negative</x:v>
      </x:c>
      <x:c r="S1581" s="12"/>
      <x:c r="T1581" s="12" t="str">
        <x:v>negative</x:v>
      </x:c>
      <x:c r="U1581" s="12" t="str">
        <x:f>IF(OR(R1581="unavailable",T1581="unavailable"),"不可评价",IF(OR(R1581="equivocal",T1581="equivocal"),"疑似",IF(AND(R1581="positive",T1581="positive"),"a",IF(T1581="positive","b",IF(R1581="positive","c","d")))))</x:f>
        <x:v>d</x:v>
      </x:c>
      <x:c r="V1581" s="12"/>
      <x:c r="W1581" s="12" t="str">
        <x:v>negative</x:v>
      </x:c>
      <x:c r="X1581" s="12" t="n">
        <x:v>100</x:v>
      </x:c>
      <x:c r="Y1581" s="12" t="str">
        <x:v>positive</x:v>
      </x:c>
      <x:c r="Z1581" s="12" t="str">
        <x:f>IF(OR(W1581="unavailable",Y1581="unavailable"),"不可评价",IF(OR(W1581="equivocal",Y1581="equivocal"),"疑似",IF(AND(W1581="positive",Y1581="positive"),"a",IF(Y1581="positive","b",IF(W1581="positive","c","d")))))</x:f>
        <x:v>b</x:v>
      </x:c>
      <x:c r="AA1581" s="12" t="str">
        <x:f>IF(OR(M1581="unavailable",O1581="unavailable"),"不可评价",IF(AND(OR(M1581="positive",M1581="equivocal"),OR(O1581="positive",O1581="equivocal")),"a",IF(OR(O1581="positive",O1581="equivocal"),"b",IF(OR(M1581="positive",M1581="equivocal"),"c","d"))))</x:f>
        <x:v>d</x:v>
      </x:c>
      <x:c r="AB1581" s="12" t="str">
        <x:f>IF(OR(M1581="unavailable",O1581="unavailable"),"不可评价",IF(AND(M1581="positive",O1581="positive"),"a",IF(O1581="positive","b",IF(M1581="positive","c","d"))))</x:f>
        <x:v>d</x:v>
      </x:c>
      <x:c r="AC1581" s="12" t="str">
        <x:f>IF(OR(R1581="unavailable",T1581="unavailable"),"不可评价",IF(AND(OR(R1581="positive",R1581="equivocal"),OR(T1581="positive",T1581="equivocal")),"a",IF(OR(T1581="positive",T1581="equivocal"),"b",IF(OR(R1581="positive",R1581="equivocal"),"c","d"))))</x:f>
        <x:v>d</x:v>
      </x:c>
      <x:c r="AD1581" s="12" t="str">
        <x:f>IF(OR(R1581="unavailable",T1581="unavailable"),"不可评价",IF(AND(R1581="positive",T1581="positive"),"a",IF(T1581="positive","b",IF(R1581="positive","c","d"))))</x:f>
        <x:v>d</x:v>
      </x:c>
      <x:c r="AE1581" s="12" t="str">
        <x:f>IF(OR(W1581="unavailable",Y1581="unavailable"),"不可评价",IF(AND(OR(W1581="positive",W1581="equivocal"),OR(Y1581="positive",Y1581="equivocal")),"a",IF(OR(Y1581="positive",Y1581="equivocal"),"b",IF(OR(W1581="positive",W1581="equivocal"),"c","d"))))</x:f>
        <x:v>b</x:v>
      </x:c>
      <x:c r="AF1581" s="12" t="str">
        <x:f>IF(OR(W1581="unavailable",Y1581="unavailable"),"不可评价",IF(AND(W1581="positive",Y1581="positive"),"a",IF(Y1581="positive","b",IF(W1581="positive","c","d"))))</x:f>
        <x:v>b</x:v>
      </x:c>
    </x:row>
    <x:row r="1582" ht="24" customHeight="1">
      <x:c r="A1582" s="12" t="str">
        <x:v>14713</x:v>
      </x:c>
      <x:c r="B1582" s="12" t="str">
        <x:v>9124</x:v>
      </x:c>
      <x:c r="C1582" s="21" t="n">
        <x:v>34920.62579861111</x:v>
      </x:c>
      <x:c r="D1582" s="12" t="n">
        <x:v>81</x:v>
      </x:c>
      <x:c r="E1582" s="12" t="n">
        <x:v>1</x:v>
      </x:c>
      <x:c r="F1582" s="12" t="str">
        <x:v>未记录</x:v>
      </x:c>
      <x:c r="G1582" s="12" t="n">
        <x:v>1</x:v>
      </x:c>
      <x:c r="H1582" s="12" t="str">
        <x:v>{'ASMI': 15.0, 'ABQRS': 0.0, 'SR': 0.0}</x:v>
      </x:c>
      <x:c r="I1582" s="12" t="str">
        <x:v>[('NSR', 100.0), ('SMI;AU', 100.0), ('AB', 100.0)]</x:v>
      </x:c>
      <x:c r="J1582" s="12" t="str">
        <x:v>ptbxl_database.csv；ecg_id=14713；scp_codes</x:v>
      </x:c>
      <x:c r="K1582" s="12" t="str">
        <x:v>12sl_statements.csv；ecg_id=14713；statements_ext_snomed</x:v>
      </x:c>
      <x:c r="L1582" s="12"/>
      <x:c r="M1582" s="12" t="str">
        <x:v>negative</x:v>
      </x:c>
      <x:c r="N1582" s="12"/>
      <x:c r="O1582" s="12" t="str">
        <x:v>negative</x:v>
      </x:c>
      <x:c r="P1582" s="12" t="str">
        <x:f>IF(OR(M1582="unavailable",O1582="unavailable"),"不可评价",IF(OR(M1582="equivocal",O1582="equivocal"),"疑似",IF(AND(M1582="positive",O1582="positive"),"a",IF(O1582="positive","b",IF(M1582="positive","c","d")))))</x:f>
        <x:v>d</x:v>
      </x:c>
      <x:c r="Q1582" s="12"/>
      <x:c r="R1582" s="12" t="str">
        <x:v>negative</x:v>
      </x:c>
      <x:c r="S1582" s="12"/>
      <x:c r="T1582" s="12" t="str">
        <x:v>negative</x:v>
      </x:c>
      <x:c r="U1582" s="12" t="str">
        <x:f>IF(OR(R1582="unavailable",T1582="unavailable"),"不可评价",IF(OR(R1582="equivocal",T1582="equivocal"),"疑似",IF(AND(R1582="positive",T1582="positive"),"a",IF(T1582="positive","b",IF(R1582="positive","c","d")))))</x:f>
        <x:v>d</x:v>
      </x:c>
      <x:c r="V1582" s="12"/>
      <x:c r="W1582" s="12" t="str">
        <x:v>negative</x:v>
      </x:c>
      <x:c r="X1582" s="12"/>
      <x:c r="Y1582" s="12" t="str">
        <x:v>negative</x:v>
      </x:c>
      <x:c r="Z1582" s="12" t="str">
        <x:f>IF(OR(W1582="unavailable",Y1582="unavailable"),"不可评价",IF(OR(W1582="equivocal",Y1582="equivocal"),"疑似",IF(AND(W1582="positive",Y1582="positive"),"a",IF(Y1582="positive","b",IF(W1582="positive","c","d")))))</x:f>
        <x:v>d</x:v>
      </x:c>
      <x:c r="AA1582" s="12" t="str">
        <x:f>IF(OR(M1582="unavailable",O1582="unavailable"),"不可评价",IF(AND(OR(M1582="positive",M1582="equivocal"),OR(O1582="positive",O1582="equivocal")),"a",IF(OR(O1582="positive",O1582="equivocal"),"b",IF(OR(M1582="positive",M1582="equivocal"),"c","d"))))</x:f>
        <x:v>d</x:v>
      </x:c>
      <x:c r="AB1582" s="12" t="str">
        <x:f>IF(OR(M1582="unavailable",O1582="unavailable"),"不可评价",IF(AND(M1582="positive",O1582="positive"),"a",IF(O1582="positive","b",IF(M1582="positive","c","d"))))</x:f>
        <x:v>d</x:v>
      </x:c>
      <x:c r="AC1582" s="12" t="str">
        <x:f>IF(OR(R1582="unavailable",T1582="unavailable"),"不可评价",IF(AND(OR(R1582="positive",R1582="equivocal"),OR(T1582="positive",T1582="equivocal")),"a",IF(OR(T1582="positive",T1582="equivocal"),"b",IF(OR(R1582="positive",R1582="equivocal"),"c","d"))))</x:f>
        <x:v>d</x:v>
      </x:c>
      <x:c r="AD1582" s="12" t="str">
        <x:f>IF(OR(R1582="unavailable",T1582="unavailable"),"不可评价",IF(AND(R1582="positive",T1582="positive"),"a",IF(T1582="positive","b",IF(R1582="positive","c","d"))))</x:f>
        <x:v>d</x:v>
      </x:c>
      <x:c r="AE1582" s="12" t="str">
        <x:f>IF(OR(W1582="unavailable",Y1582="unavailable"),"不可评价",IF(AND(OR(W1582="positive",W1582="equivocal"),OR(Y1582="positive",Y1582="equivocal")),"a",IF(OR(Y1582="positive",Y1582="equivocal"),"b",IF(OR(W1582="positive",W1582="equivocal"),"c","d"))))</x:f>
        <x:v>d</x:v>
      </x:c>
      <x:c r="AF1582" s="12" t="str">
        <x:f>IF(OR(W1582="unavailable",Y1582="unavailable"),"不可评价",IF(AND(W1582="positive",Y1582="positive"),"a",IF(Y1582="positive","b",IF(W1582="positive","c","d"))))</x:f>
        <x:v>d</x:v>
      </x:c>
    </x:row>
    <x:row r="1583" ht="39" customHeight="1">
      <x:c r="A1583" s="12" t="str">
        <x:v>14729</x:v>
      </x:c>
      <x:c r="B1583" s="12" t="str">
        <x:v>2619</x:v>
      </x:c>
      <x:c r="C1583" s="21" t="n">
        <x:v>34921.676469907405</x:v>
      </x:c>
      <x:c r="D1583" s="12" t="n">
        <x:v>300</x:v>
      </x:c>
      <x:c r="E1583" s="12" t="n">
        <x:v>1</x:v>
      </x:c>
      <x:c r="F1583" s="12" t="str">
        <x:v>存在</x:v>
      </x:c>
      <x:c r="G1583" s="12" t="n">
        <x:v>1</x:v>
      </x:c>
      <x:c r="H1583" s="12" t="str">
        <x:v>{'ASMI': 100.0, 'LVH': 100.0, 'ISC_': 100.0, '1AVB': 100.0, 'LAO/LAE': 100.0, 'SR': 0.0}</x:v>
      </x:c>
      <x:c r="I1583" s="12" t="str">
        <x:v>[('QCERR', 100.0), ('SRTH', 100.0), ('FAV', 100.0), ('BAE', 100.0), ('LVH2', 100.0), ('2ST', 100.0), ('ASMI;AU', 100.0), ('AB', 100.0)]</x:v>
      </x:c>
      <x:c r="J1583" s="12" t="str">
        <x:v>ptbxl_database.csv；ecg_id=14729；scp_codes</x:v>
      </x:c>
      <x:c r="K1583" s="12" t="str">
        <x:v>12sl_statements.csv；ecg_id=14729；statements_ext_snomed</x:v>
      </x:c>
      <x:c r="L1583" s="12"/>
      <x:c r="M1583" s="12" t="str">
        <x:v>negative</x:v>
      </x:c>
      <x:c r="N1583" s="12"/>
      <x:c r="O1583" s="12" t="str">
        <x:v>negative</x:v>
      </x:c>
      <x:c r="P1583" s="12" t="str">
        <x:f>IF(OR(M1583="unavailable",O1583="unavailable"),"不可评价",IF(OR(M1583="equivocal",O1583="equivocal"),"疑似",IF(AND(M1583="positive",O1583="positive"),"a",IF(O1583="positive","b",IF(M1583="positive","c","d")))))</x:f>
        <x:v>d</x:v>
      </x:c>
      <x:c r="Q1583" s="12"/>
      <x:c r="R1583" s="12" t="str">
        <x:v>negative</x:v>
      </x:c>
      <x:c r="S1583" s="12"/>
      <x:c r="T1583" s="12" t="str">
        <x:v>negative</x:v>
      </x:c>
      <x:c r="U1583" s="12" t="str">
        <x:f>IF(OR(R1583="unavailable",T1583="unavailable"),"不可评价",IF(OR(R1583="equivocal",T1583="equivocal"),"疑似",IF(AND(R1583="positive",T1583="positive"),"a",IF(T1583="positive","b",IF(R1583="positive","c","d")))))</x:f>
        <x:v>d</x:v>
      </x:c>
      <x:c r="V1583" s="12"/>
      <x:c r="W1583" s="12" t="str">
        <x:v>negative</x:v>
      </x:c>
      <x:c r="X1583" s="12"/>
      <x:c r="Y1583" s="12" t="str">
        <x:v>negative</x:v>
      </x:c>
      <x:c r="Z1583" s="12" t="str">
        <x:f>IF(OR(W1583="unavailable",Y1583="unavailable"),"不可评价",IF(OR(W1583="equivocal",Y1583="equivocal"),"疑似",IF(AND(W1583="positive",Y1583="positive"),"a",IF(Y1583="positive","b",IF(W1583="positive","c","d")))))</x:f>
        <x:v>d</x:v>
      </x:c>
      <x:c r="AA1583" s="12" t="str">
        <x:f>IF(OR(M1583="unavailable",O1583="unavailable"),"不可评价",IF(AND(OR(M1583="positive",M1583="equivocal"),OR(O1583="positive",O1583="equivocal")),"a",IF(OR(O1583="positive",O1583="equivocal"),"b",IF(OR(M1583="positive",M1583="equivocal"),"c","d"))))</x:f>
        <x:v>d</x:v>
      </x:c>
      <x:c r="AB1583" s="12" t="str">
        <x:f>IF(OR(M1583="unavailable",O1583="unavailable"),"不可评价",IF(AND(M1583="positive",O1583="positive"),"a",IF(O1583="positive","b",IF(M1583="positive","c","d"))))</x:f>
        <x:v>d</x:v>
      </x:c>
      <x:c r="AC1583" s="12" t="str">
        <x:f>IF(OR(R1583="unavailable",T1583="unavailable"),"不可评价",IF(AND(OR(R1583="positive",R1583="equivocal"),OR(T1583="positive",T1583="equivocal")),"a",IF(OR(T1583="positive",T1583="equivocal"),"b",IF(OR(R1583="positive",R1583="equivocal"),"c","d"))))</x:f>
        <x:v>d</x:v>
      </x:c>
      <x:c r="AD1583" s="12" t="str">
        <x:f>IF(OR(R1583="unavailable",T1583="unavailable"),"不可评价",IF(AND(R1583="positive",T1583="positive"),"a",IF(T1583="positive","b",IF(R1583="positive","c","d"))))</x:f>
        <x:v>d</x:v>
      </x:c>
      <x:c r="AE1583" s="12" t="str">
        <x:f>IF(OR(W1583="unavailable",Y1583="unavailable"),"不可评价",IF(AND(OR(W1583="positive",W1583="equivocal"),OR(Y1583="positive",Y1583="equivocal")),"a",IF(OR(Y1583="positive",Y1583="equivocal"),"b",IF(OR(W1583="positive",W1583="equivocal"),"c","d"))))</x:f>
        <x:v>d</x:v>
      </x:c>
      <x:c r="AF1583" s="12" t="str">
        <x:f>IF(OR(W1583="unavailable",Y1583="unavailable"),"不可评价",IF(AND(W1583="positive",Y1583="positive"),"a",IF(Y1583="positive","b",IF(W1583="positive","c","d"))))</x:f>
        <x:v>d</x:v>
      </x:c>
    </x:row>
    <x:row r="1584" ht="24" customHeight="1">
      <x:c r="A1584" s="12" t="str">
        <x:v>14731</x:v>
      </x:c>
      <x:c r="B1584" s="12" t="str">
        <x:v>18540</x:v>
      </x:c>
      <x:c r="C1584" s="21" t="n">
        <x:v>34921.70243055555</x:v>
      </x:c>
      <x:c r="D1584" s="12" t="n">
        <x:v>84</x:v>
      </x:c>
      <x:c r="E1584" s="12" t="n">
        <x:v>1</x:v>
      </x:c>
      <x:c r="F1584" s="12" t="str">
        <x:v>未记录</x:v>
      </x:c>
      <x:c r="G1584" s="12" t="n">
        <x:v>1</x:v>
      </x:c>
      <x:c r="H1584" s="12" t="str">
        <x:v>{'ASMI': 50.0, 'IMI': 50.0, 'IRBBB': 100.0, 'AFIB': 0.0}</x:v>
      </x:c>
      <x:c r="I1584" s="12" t="str">
        <x:v>[('AFIB', 100.0), ('ABER', 100.0), ('AB', 100.0)]</x:v>
      </x:c>
      <x:c r="J1584" s="12" t="str">
        <x:v>ptbxl_database.csv；ecg_id=14731；scp_codes</x:v>
      </x:c>
      <x:c r="K1584" s="12" t="str">
        <x:v>12sl_statements.csv；ecg_id=14731；statements_ext_snomed</x:v>
      </x:c>
      <x:c r="L1584" s="12" t="n">
        <x:v>0</x:v>
      </x:c>
      <x:c r="M1584" s="12" t="str">
        <x:v>positive</x:v>
      </x:c>
      <x:c r="N1584" s="12" t="n">
        <x:v>100</x:v>
      </x:c>
      <x:c r="O1584" s="12" t="str">
        <x:v>positive</x:v>
      </x:c>
      <x:c r="P1584" s="12" t="str">
        <x:f>IF(OR(M1584="unavailable",O1584="unavailable"),"不可评价",IF(OR(M1584="equivocal",O1584="equivocal"),"疑似",IF(AND(M1584="positive",O1584="positive"),"a",IF(O1584="positive","b",IF(M1584="positive","c","d")))))</x:f>
        <x:v>a</x:v>
      </x:c>
      <x:c r="Q1584" s="12"/>
      <x:c r="R1584" s="12" t="str">
        <x:v>negative</x:v>
      </x:c>
      <x:c r="S1584" s="12"/>
      <x:c r="T1584" s="12" t="str">
        <x:v>negative</x:v>
      </x:c>
      <x:c r="U1584" s="12" t="str">
        <x:f>IF(OR(R1584="unavailable",T1584="unavailable"),"不可评价",IF(OR(R1584="equivocal",T1584="equivocal"),"疑似",IF(AND(R1584="positive",T1584="positive"),"a",IF(T1584="positive","b",IF(R1584="positive","c","d")))))</x:f>
        <x:v>d</x:v>
      </x:c>
      <x:c r="V1584" s="12"/>
      <x:c r="W1584" s="12" t="str">
        <x:v>negative</x:v>
      </x:c>
      <x:c r="X1584" s="12"/>
      <x:c r="Y1584" s="12" t="str">
        <x:v>negative</x:v>
      </x:c>
      <x:c r="Z1584" s="12" t="str">
        <x:f>IF(OR(W1584="unavailable",Y1584="unavailable"),"不可评价",IF(OR(W1584="equivocal",Y1584="equivocal"),"疑似",IF(AND(W1584="positive",Y1584="positive"),"a",IF(Y1584="positive","b",IF(W1584="positive","c","d")))))</x:f>
        <x:v>d</x:v>
      </x:c>
      <x:c r="AA1584" s="12" t="str">
        <x:f>IF(OR(M1584="unavailable",O1584="unavailable"),"不可评价",IF(AND(OR(M1584="positive",M1584="equivocal"),OR(O1584="positive",O1584="equivocal")),"a",IF(OR(O1584="positive",O1584="equivocal"),"b",IF(OR(M1584="positive",M1584="equivocal"),"c","d"))))</x:f>
        <x:v>a</x:v>
      </x:c>
      <x:c r="AB1584" s="12" t="str">
        <x:f>IF(OR(M1584="unavailable",O1584="unavailable"),"不可评价",IF(AND(M1584="positive",O1584="positive"),"a",IF(O1584="positive","b",IF(M1584="positive","c","d"))))</x:f>
        <x:v>a</x:v>
      </x:c>
      <x:c r="AC1584" s="12" t="str">
        <x:f>IF(OR(R1584="unavailable",T1584="unavailable"),"不可评价",IF(AND(OR(R1584="positive",R1584="equivocal"),OR(T1584="positive",T1584="equivocal")),"a",IF(OR(T1584="positive",T1584="equivocal"),"b",IF(OR(R1584="positive",R1584="equivocal"),"c","d"))))</x:f>
        <x:v>d</x:v>
      </x:c>
      <x:c r="AD1584" s="12" t="str">
        <x:f>IF(OR(R1584="unavailable",T1584="unavailable"),"不可评价",IF(AND(R1584="positive",T1584="positive"),"a",IF(T1584="positive","b",IF(R1584="positive","c","d"))))</x:f>
        <x:v>d</x:v>
      </x:c>
      <x:c r="AE1584" s="12" t="str">
        <x:f>IF(OR(W1584="unavailable",Y1584="unavailable"),"不可评价",IF(AND(OR(W1584="positive",W1584="equivocal"),OR(Y1584="positive",Y1584="equivocal")),"a",IF(OR(Y1584="positive",Y1584="equivocal"),"b",IF(OR(W1584="positive",W1584="equivocal"),"c","d"))))</x:f>
        <x:v>d</x:v>
      </x:c>
      <x:c r="AF1584" s="12" t="str">
        <x:f>IF(OR(W1584="unavailable",Y1584="unavailable"),"不可评价",IF(AND(W1584="positive",Y1584="positive"),"a",IF(Y1584="positive","b",IF(W1584="positive","c","d"))))</x:f>
        <x:v>d</x:v>
      </x:c>
    </x:row>
    <x:row r="1585" ht="24" customHeight="1">
      <x:c r="A1585" s="12" t="str">
        <x:v>14745</x:v>
      </x:c>
      <x:c r="B1585" s="12" t="str">
        <x:v>5527</x:v>
      </x:c>
      <x:c r="C1585" s="21" t="n">
        <x:v>34923.73678240741</x:v>
      </x:c>
      <x:c r="D1585" s="12" t="n">
        <x:v>68</x:v>
      </x:c>
      <x:c r="E1585" s="12" t="n">
        <x:v>1</x:v>
      </x:c>
      <x:c r="F1585" s="12" t="str">
        <x:v>未记录</x:v>
      </x:c>
      <x:c r="G1585" s="12" t="n">
        <x:v>1</x:v>
      </x:c>
      <x:c r="H1585" s="12" t="str">
        <x:v>{'ISC_': 100.0, 'LVH': 100.0, 'NST_': 0.0, 'SR': 0.0}</x:v>
      </x:c>
      <x:c r="I1585" s="12" t="str">
        <x:v>[('SBRAD', 100.0), ('AMI;AU', 15.0), ('MSTDIL', 100.0), ('AB', 100.0)]</x:v>
      </x:c>
      <x:c r="J1585" s="12" t="str">
        <x:v>ptbxl_database.csv；ecg_id=14745；scp_codes</x:v>
      </x:c>
      <x:c r="K1585" s="12" t="str">
        <x:v>12sl_statements.csv；ecg_id=14745；statements_ext_snomed</x:v>
      </x:c>
      <x:c r="L1585" s="12"/>
      <x:c r="M1585" s="12" t="str">
        <x:v>negative</x:v>
      </x:c>
      <x:c r="N1585" s="12"/>
      <x:c r="O1585" s="12" t="str">
        <x:v>negative</x:v>
      </x:c>
      <x:c r="P1585" s="12" t="str">
        <x:f>IF(OR(M1585="unavailable",O1585="unavailable"),"不可评价",IF(OR(M1585="equivocal",O1585="equivocal"),"疑似",IF(AND(M1585="positive",O1585="positive"),"a",IF(O1585="positive","b",IF(M1585="positive","c","d")))))</x:f>
        <x:v>d</x:v>
      </x:c>
      <x:c r="Q1585" s="12"/>
      <x:c r="R1585" s="12" t="str">
        <x:v>negative</x:v>
      </x:c>
      <x:c r="S1585" s="12"/>
      <x:c r="T1585" s="12" t="str">
        <x:v>negative</x:v>
      </x:c>
      <x:c r="U1585" s="12" t="str">
        <x:f>IF(OR(R1585="unavailable",T1585="unavailable"),"不可评价",IF(OR(R1585="equivocal",T1585="equivocal"),"疑似",IF(AND(R1585="positive",T1585="positive"),"a",IF(T1585="positive","b",IF(R1585="positive","c","d")))))</x:f>
        <x:v>d</x:v>
      </x:c>
      <x:c r="V1585" s="12"/>
      <x:c r="W1585" s="12" t="str">
        <x:v>negative</x:v>
      </x:c>
      <x:c r="X1585" s="12"/>
      <x:c r="Y1585" s="12" t="str">
        <x:v>negative</x:v>
      </x:c>
      <x:c r="Z1585" s="12" t="str">
        <x:f>IF(OR(W1585="unavailable",Y1585="unavailable"),"不可评价",IF(OR(W1585="equivocal",Y1585="equivocal"),"疑似",IF(AND(W1585="positive",Y1585="positive"),"a",IF(Y1585="positive","b",IF(W1585="positive","c","d")))))</x:f>
        <x:v>d</x:v>
      </x:c>
      <x:c r="AA1585" s="12" t="str">
        <x:f>IF(OR(M1585="unavailable",O1585="unavailable"),"不可评价",IF(AND(OR(M1585="positive",M1585="equivocal"),OR(O1585="positive",O1585="equivocal")),"a",IF(OR(O1585="positive",O1585="equivocal"),"b",IF(OR(M1585="positive",M1585="equivocal"),"c","d"))))</x:f>
        <x:v>d</x:v>
      </x:c>
      <x:c r="AB1585" s="12" t="str">
        <x:f>IF(OR(M1585="unavailable",O1585="unavailable"),"不可评价",IF(AND(M1585="positive",O1585="positive"),"a",IF(O1585="positive","b",IF(M1585="positive","c","d"))))</x:f>
        <x:v>d</x:v>
      </x:c>
      <x:c r="AC1585" s="12" t="str">
        <x:f>IF(OR(R1585="unavailable",T1585="unavailable"),"不可评价",IF(AND(OR(R1585="positive",R1585="equivocal"),OR(T1585="positive",T1585="equivocal")),"a",IF(OR(T1585="positive",T1585="equivocal"),"b",IF(OR(R1585="positive",R1585="equivocal"),"c","d"))))</x:f>
        <x:v>d</x:v>
      </x:c>
      <x:c r="AD1585" s="12" t="str">
        <x:f>IF(OR(R1585="unavailable",T1585="unavailable"),"不可评价",IF(AND(R1585="positive",T1585="positive"),"a",IF(T1585="positive","b",IF(R1585="positive","c","d"))))</x:f>
        <x:v>d</x:v>
      </x:c>
      <x:c r="AE1585" s="12" t="str">
        <x:f>IF(OR(W1585="unavailable",Y1585="unavailable"),"不可评价",IF(AND(OR(W1585="positive",W1585="equivocal"),OR(Y1585="positive",Y1585="equivocal")),"a",IF(OR(Y1585="positive",Y1585="equivocal"),"b",IF(OR(W1585="positive",W1585="equivocal"),"c","d"))))</x:f>
        <x:v>d</x:v>
      </x:c>
      <x:c r="AF1585" s="12" t="str">
        <x:f>IF(OR(W1585="unavailable",Y1585="unavailable"),"不可评价",IF(AND(W1585="positive",Y1585="positive"),"a",IF(Y1585="positive","b",IF(W1585="positive","c","d"))))</x:f>
        <x:v>d</x:v>
      </x:c>
    </x:row>
    <x:row r="1586" ht="24" customHeight="1">
      <x:c r="A1586" s="12" t="str">
        <x:v>14746</x:v>
      </x:c>
      <x:c r="B1586" s="12" t="str">
        <x:v>7097</x:v>
      </x:c>
      <x:c r="C1586" s="21" t="n">
        <x:v>34924.313263888886</x:v>
      </x:c>
      <x:c r="D1586" s="12" t="n">
        <x:v>50</x:v>
      </x:c>
      <x:c r="E1586" s="12" t="n">
        <x:v>0</x:v>
      </x:c>
      <x:c r="F1586" s="12" t="str">
        <x:v>未记录</x:v>
      </x:c>
      <x:c r="G1586" s="12" t="n">
        <x:v>1</x:v>
      </x:c>
      <x:c r="H1586" s="12" t="str">
        <x:v>{'NORM': 100.0, 'SR': 0.0}</x:v>
      </x:c>
      <x:c r="I1586" s="12" t="str">
        <x:v>[('NSR', 100.0), ('NML', 100.0)]</x:v>
      </x:c>
      <x:c r="J1586" s="12" t="str">
        <x:v>ptbxl_database.csv；ecg_id=14746；scp_codes</x:v>
      </x:c>
      <x:c r="K1586" s="12" t="str">
        <x:v>12sl_statements.csv；ecg_id=14746；statements_ext_snomed</x:v>
      </x:c>
      <x:c r="L1586" s="12"/>
      <x:c r="M1586" s="12" t="str">
        <x:v>negative</x:v>
      </x:c>
      <x:c r="N1586" s="12"/>
      <x:c r="O1586" s="12" t="str">
        <x:v>negative</x:v>
      </x:c>
      <x:c r="P1586" s="12" t="str">
        <x:f>IF(OR(M1586="unavailable",O1586="unavailable"),"不可评价",IF(OR(M1586="equivocal",O1586="equivocal"),"疑似",IF(AND(M1586="positive",O1586="positive"),"a",IF(O1586="positive","b",IF(M1586="positive","c","d")))))</x:f>
        <x:v>d</x:v>
      </x:c>
      <x:c r="Q1586" s="12"/>
      <x:c r="R1586" s="12" t="str">
        <x:v>negative</x:v>
      </x:c>
      <x:c r="S1586" s="12"/>
      <x:c r="T1586" s="12" t="str">
        <x:v>negative</x:v>
      </x:c>
      <x:c r="U1586" s="12" t="str">
        <x:f>IF(OR(R1586="unavailable",T1586="unavailable"),"不可评价",IF(OR(R1586="equivocal",T1586="equivocal"),"疑似",IF(AND(R1586="positive",T1586="positive"),"a",IF(T1586="positive","b",IF(R1586="positive","c","d")))))</x:f>
        <x:v>d</x:v>
      </x:c>
      <x:c r="V1586" s="12"/>
      <x:c r="W1586" s="12" t="str">
        <x:v>negative</x:v>
      </x:c>
      <x:c r="X1586" s="12"/>
      <x:c r="Y1586" s="12" t="str">
        <x:v>negative</x:v>
      </x:c>
      <x:c r="Z1586" s="12" t="str">
        <x:f>IF(OR(W1586="unavailable",Y1586="unavailable"),"不可评价",IF(OR(W1586="equivocal",Y1586="equivocal"),"疑似",IF(AND(W1586="positive",Y1586="positive"),"a",IF(Y1586="positive","b",IF(W1586="positive","c","d")))))</x:f>
        <x:v>d</x:v>
      </x:c>
      <x:c r="AA1586" s="12" t="str">
        <x:f>IF(OR(M1586="unavailable",O1586="unavailable"),"不可评价",IF(AND(OR(M1586="positive",M1586="equivocal"),OR(O1586="positive",O1586="equivocal")),"a",IF(OR(O1586="positive",O1586="equivocal"),"b",IF(OR(M1586="positive",M1586="equivocal"),"c","d"))))</x:f>
        <x:v>d</x:v>
      </x:c>
      <x:c r="AB1586" s="12" t="str">
        <x:f>IF(OR(M1586="unavailable",O1586="unavailable"),"不可评价",IF(AND(M1586="positive",O1586="positive"),"a",IF(O1586="positive","b",IF(M1586="positive","c","d"))))</x:f>
        <x:v>d</x:v>
      </x:c>
      <x:c r="AC1586" s="12" t="str">
        <x:f>IF(OR(R1586="unavailable",T1586="unavailable"),"不可评价",IF(AND(OR(R1586="positive",R1586="equivocal"),OR(T1586="positive",T1586="equivocal")),"a",IF(OR(T1586="positive",T1586="equivocal"),"b",IF(OR(R1586="positive",R1586="equivocal"),"c","d"))))</x:f>
        <x:v>d</x:v>
      </x:c>
      <x:c r="AD1586" s="12" t="str">
        <x:f>IF(OR(R1586="unavailable",T1586="unavailable"),"不可评价",IF(AND(R1586="positive",T1586="positive"),"a",IF(T1586="positive","b",IF(R1586="positive","c","d"))))</x:f>
        <x:v>d</x:v>
      </x:c>
      <x:c r="AE1586" s="12" t="str">
        <x:f>IF(OR(W1586="unavailable",Y1586="unavailable"),"不可评价",IF(AND(OR(W1586="positive",W1586="equivocal"),OR(Y1586="positive",Y1586="equivocal")),"a",IF(OR(Y1586="positive",Y1586="equivocal"),"b",IF(OR(W1586="positive",W1586="equivocal"),"c","d"))))</x:f>
        <x:v>d</x:v>
      </x:c>
      <x:c r="AF1586" s="12" t="str">
        <x:f>IF(OR(W1586="unavailable",Y1586="unavailable"),"不可评价",IF(AND(W1586="positive",Y1586="positive"),"a",IF(Y1586="positive","b",IF(W1586="positive","c","d"))))</x:f>
        <x:v>d</x:v>
      </x:c>
    </x:row>
    <x:row r="1587" ht="24" customHeight="1">
      <x:c r="A1587" s="12" t="str">
        <x:v>14762</x:v>
      </x:c>
      <x:c r="B1587" s="12" t="str">
        <x:v>19279</x:v>
      </x:c>
      <x:c r="C1587" s="21" t="n">
        <x:v>34926.08020833333</x:v>
      </x:c>
      <x:c r="D1587" s="12" t="n">
        <x:v>55</x:v>
      </x:c>
      <x:c r="E1587" s="12" t="n">
        <x:v>1</x:v>
      </x:c>
      <x:c r="F1587" s="12" t="str">
        <x:v>存在</x:v>
      </x:c>
      <x:c r="G1587" s="12" t="n">
        <x:v>1</x:v>
      </x:c>
      <x:c r="H1587" s="12" t="str">
        <x:v>{'IMI': 50.0, 'ABQRS': 0.0, 'SR': 0.0}</x:v>
      </x:c>
      <x:c r="I1587" s="12" t="str">
        <x:v>[('NSR', 100.0), ('NML', 100.0)]</x:v>
      </x:c>
      <x:c r="J1587" s="12" t="str">
        <x:v>ptbxl_database.csv；ecg_id=14762；scp_codes</x:v>
      </x:c>
      <x:c r="K1587" s="12" t="str">
        <x:v>12sl_statements.csv；ecg_id=14762；statements_ext_snomed</x:v>
      </x:c>
      <x:c r="L1587" s="12"/>
      <x:c r="M1587" s="12" t="str">
        <x:v>negative</x:v>
      </x:c>
      <x:c r="N1587" s="12"/>
      <x:c r="O1587" s="12" t="str">
        <x:v>negative</x:v>
      </x:c>
      <x:c r="P1587" s="12" t="str">
        <x:f>IF(OR(M1587="unavailable",O1587="unavailable"),"不可评价",IF(OR(M1587="equivocal",O1587="equivocal"),"疑似",IF(AND(M1587="positive",O1587="positive"),"a",IF(O1587="positive","b",IF(M1587="positive","c","d")))))</x:f>
        <x:v>d</x:v>
      </x:c>
      <x:c r="Q1587" s="12"/>
      <x:c r="R1587" s="12" t="str">
        <x:v>negative</x:v>
      </x:c>
      <x:c r="S1587" s="12"/>
      <x:c r="T1587" s="12" t="str">
        <x:v>negative</x:v>
      </x:c>
      <x:c r="U1587" s="12" t="str">
        <x:f>IF(OR(R1587="unavailable",T1587="unavailable"),"不可评价",IF(OR(R1587="equivocal",T1587="equivocal"),"疑似",IF(AND(R1587="positive",T1587="positive"),"a",IF(T1587="positive","b",IF(R1587="positive","c","d")))))</x:f>
        <x:v>d</x:v>
      </x:c>
      <x:c r="V1587" s="12"/>
      <x:c r="W1587" s="12" t="str">
        <x:v>negative</x:v>
      </x:c>
      <x:c r="X1587" s="12"/>
      <x:c r="Y1587" s="12" t="str">
        <x:v>negative</x:v>
      </x:c>
      <x:c r="Z1587" s="12" t="str">
        <x:f>IF(OR(W1587="unavailable",Y1587="unavailable"),"不可评价",IF(OR(W1587="equivocal",Y1587="equivocal"),"疑似",IF(AND(W1587="positive",Y1587="positive"),"a",IF(Y1587="positive","b",IF(W1587="positive","c","d")))))</x:f>
        <x:v>d</x:v>
      </x:c>
      <x:c r="AA1587" s="12" t="str">
        <x:f>IF(OR(M1587="unavailable",O1587="unavailable"),"不可评价",IF(AND(OR(M1587="positive",M1587="equivocal"),OR(O1587="positive",O1587="equivocal")),"a",IF(OR(O1587="positive",O1587="equivocal"),"b",IF(OR(M1587="positive",M1587="equivocal"),"c","d"))))</x:f>
        <x:v>d</x:v>
      </x:c>
      <x:c r="AB1587" s="12" t="str">
        <x:f>IF(OR(M1587="unavailable",O1587="unavailable"),"不可评价",IF(AND(M1587="positive",O1587="positive"),"a",IF(O1587="positive","b",IF(M1587="positive","c","d"))))</x:f>
        <x:v>d</x:v>
      </x:c>
      <x:c r="AC1587" s="12" t="str">
        <x:f>IF(OR(R1587="unavailable",T1587="unavailable"),"不可评价",IF(AND(OR(R1587="positive",R1587="equivocal"),OR(T1587="positive",T1587="equivocal")),"a",IF(OR(T1587="positive",T1587="equivocal"),"b",IF(OR(R1587="positive",R1587="equivocal"),"c","d"))))</x:f>
        <x:v>d</x:v>
      </x:c>
      <x:c r="AD1587" s="12" t="str">
        <x:f>IF(OR(R1587="unavailable",T1587="unavailable"),"不可评价",IF(AND(R1587="positive",T1587="positive"),"a",IF(T1587="positive","b",IF(R1587="positive","c","d"))))</x:f>
        <x:v>d</x:v>
      </x:c>
      <x:c r="AE1587" s="12" t="str">
        <x:f>IF(OR(W1587="unavailable",Y1587="unavailable"),"不可评价",IF(AND(OR(W1587="positive",W1587="equivocal"),OR(Y1587="positive",Y1587="equivocal")),"a",IF(OR(Y1587="positive",Y1587="equivocal"),"b",IF(OR(W1587="positive",W1587="equivocal"),"c","d"))))</x:f>
        <x:v>d</x:v>
      </x:c>
      <x:c r="AF1587" s="12" t="str">
        <x:f>IF(OR(W1587="unavailable",Y1587="unavailable"),"不可评价",IF(AND(W1587="positive",Y1587="positive"),"a",IF(Y1587="positive","b",IF(W1587="positive","c","d"))))</x:f>
        <x:v>d</x:v>
      </x:c>
    </x:row>
    <x:row r="1588" ht="24" customHeight="1">
      <x:c r="A1588" s="12" t="str">
        <x:v>14771</x:v>
      </x:c>
      <x:c r="B1588" s="12" t="str">
        <x:v>16358</x:v>
      </x:c>
      <x:c r="C1588" s="21" t="n">
        <x:v>34926.653182870374</x:v>
      </x:c>
      <x:c r="D1588" s="12" t="n">
        <x:v>59</x:v>
      </x:c>
      <x:c r="E1588" s="12" t="n">
        <x:v>1</x:v>
      </x:c>
      <x:c r="F1588" s="12" t="str">
        <x:v>未记录</x:v>
      </x:c>
      <x:c r="G1588" s="12" t="n">
        <x:v>1</x:v>
      </x:c>
      <x:c r="H1588" s="12" t="str">
        <x:v>{'NORM': 80.0, 'SBRAD': 0.0}</x:v>
      </x:c>
      <x:c r="I1588" s="12" t="str">
        <x:v>[('MSBRAD', 100.0), ('AB', 100.0)]</x:v>
      </x:c>
      <x:c r="J1588" s="12" t="str">
        <x:v>ptbxl_database.csv；ecg_id=14771；scp_codes</x:v>
      </x:c>
      <x:c r="K1588" s="12" t="str">
        <x:v>12sl_statements.csv；ecg_id=14771；statements_ext_snomed</x:v>
      </x:c>
      <x:c r="L1588" s="12"/>
      <x:c r="M1588" s="12" t="str">
        <x:v>negative</x:v>
      </x:c>
      <x:c r="N1588" s="12"/>
      <x:c r="O1588" s="12" t="str">
        <x:v>negative</x:v>
      </x:c>
      <x:c r="P1588" s="12" t="str">
        <x:f>IF(OR(M1588="unavailable",O1588="unavailable"),"不可评价",IF(OR(M1588="equivocal",O1588="equivocal"),"疑似",IF(AND(M1588="positive",O1588="positive"),"a",IF(O1588="positive","b",IF(M1588="positive","c","d")))))</x:f>
        <x:v>d</x:v>
      </x:c>
      <x:c r="Q1588" s="12"/>
      <x:c r="R1588" s="12" t="str">
        <x:v>negative</x:v>
      </x:c>
      <x:c r="S1588" s="12"/>
      <x:c r="T1588" s="12" t="str">
        <x:v>negative</x:v>
      </x:c>
      <x:c r="U1588" s="12" t="str">
        <x:f>IF(OR(R1588="unavailable",T1588="unavailable"),"不可评价",IF(OR(R1588="equivocal",T1588="equivocal"),"疑似",IF(AND(R1588="positive",T1588="positive"),"a",IF(T1588="positive","b",IF(R1588="positive","c","d")))))</x:f>
        <x:v>d</x:v>
      </x:c>
      <x:c r="V1588" s="12"/>
      <x:c r="W1588" s="12" t="str">
        <x:v>negative</x:v>
      </x:c>
      <x:c r="X1588" s="12"/>
      <x:c r="Y1588" s="12" t="str">
        <x:v>negative</x:v>
      </x:c>
      <x:c r="Z1588" s="12" t="str">
        <x:f>IF(OR(W1588="unavailable",Y1588="unavailable"),"不可评价",IF(OR(W1588="equivocal",Y1588="equivocal"),"疑似",IF(AND(W1588="positive",Y1588="positive"),"a",IF(Y1588="positive","b",IF(W1588="positive","c","d")))))</x:f>
        <x:v>d</x:v>
      </x:c>
      <x:c r="AA1588" s="12" t="str">
        <x:f>IF(OR(M1588="unavailable",O1588="unavailable"),"不可评价",IF(AND(OR(M1588="positive",M1588="equivocal"),OR(O1588="positive",O1588="equivocal")),"a",IF(OR(O1588="positive",O1588="equivocal"),"b",IF(OR(M1588="positive",M1588="equivocal"),"c","d"))))</x:f>
        <x:v>d</x:v>
      </x:c>
      <x:c r="AB1588" s="12" t="str">
        <x:f>IF(OR(M1588="unavailable",O1588="unavailable"),"不可评价",IF(AND(M1588="positive",O1588="positive"),"a",IF(O1588="positive","b",IF(M1588="positive","c","d"))))</x:f>
        <x:v>d</x:v>
      </x:c>
      <x:c r="AC1588" s="12" t="str">
        <x:f>IF(OR(R1588="unavailable",T1588="unavailable"),"不可评价",IF(AND(OR(R1588="positive",R1588="equivocal"),OR(T1588="positive",T1588="equivocal")),"a",IF(OR(T1588="positive",T1588="equivocal"),"b",IF(OR(R1588="positive",R1588="equivocal"),"c","d"))))</x:f>
        <x:v>d</x:v>
      </x:c>
      <x:c r="AD1588" s="12" t="str">
        <x:f>IF(OR(R1588="unavailable",T1588="unavailable"),"不可评价",IF(AND(R1588="positive",T1588="positive"),"a",IF(T1588="positive","b",IF(R1588="positive","c","d"))))</x:f>
        <x:v>d</x:v>
      </x:c>
      <x:c r="AE1588" s="12" t="str">
        <x:f>IF(OR(W1588="unavailable",Y1588="unavailable"),"不可评价",IF(AND(OR(W1588="positive",W1588="equivocal"),OR(Y1588="positive",Y1588="equivocal")),"a",IF(OR(Y1588="positive",Y1588="equivocal"),"b",IF(OR(W1588="positive",W1588="equivocal"),"c","d"))))</x:f>
        <x:v>d</x:v>
      </x:c>
      <x:c r="AF1588" s="12" t="str">
        <x:f>IF(OR(W1588="unavailable",Y1588="unavailable"),"不可评价",IF(AND(W1588="positive",Y1588="positive"),"a",IF(Y1588="positive","b",IF(W1588="positive","c","d"))))</x:f>
        <x:v>d</x:v>
      </x:c>
    </x:row>
    <x:row r="1589" ht="24" customHeight="1">
      <x:c r="A1589" s="12" t="str">
        <x:v>14775</x:v>
      </x:c>
      <x:c r="B1589" s="12" t="str">
        <x:v>11660</x:v>
      </x:c>
      <x:c r="C1589" s="21" t="n">
        <x:v>34927.59216435185</x:v>
      </x:c>
      <x:c r="D1589" s="12" t="n">
        <x:v>65</x:v>
      </x:c>
      <x:c r="E1589" s="12" t="n">
        <x:v>1</x:v>
      </x:c>
      <x:c r="F1589" s="12" t="str">
        <x:v>存在</x:v>
      </x:c>
      <x:c r="G1589" s="12" t="n">
        <x:v>1</x:v>
      </x:c>
      <x:c r="H1589" s="12" t="str">
        <x:v>{'NORM': 100.0, 'SR': 0.0}</x:v>
      </x:c>
      <x:c r="I1589" s="12" t="str">
        <x:v>[('NSR', 100.0), ('NML', 100.0)]</x:v>
      </x:c>
      <x:c r="J1589" s="12" t="str">
        <x:v>ptbxl_database.csv；ecg_id=14775；scp_codes</x:v>
      </x:c>
      <x:c r="K1589" s="12" t="str">
        <x:v>12sl_statements.csv；ecg_id=14775；statements_ext_snomed</x:v>
      </x:c>
      <x:c r="L1589" s="12"/>
      <x:c r="M1589" s="12" t="str">
        <x:v>negative</x:v>
      </x:c>
      <x:c r="N1589" s="12"/>
      <x:c r="O1589" s="12" t="str">
        <x:v>negative</x:v>
      </x:c>
      <x:c r="P1589" s="12" t="str">
        <x:f>IF(OR(M1589="unavailable",O1589="unavailable"),"不可评价",IF(OR(M1589="equivocal",O1589="equivocal"),"疑似",IF(AND(M1589="positive",O1589="positive"),"a",IF(O1589="positive","b",IF(M1589="positive","c","d")))))</x:f>
        <x:v>d</x:v>
      </x:c>
      <x:c r="Q1589" s="12"/>
      <x:c r="R1589" s="12" t="str">
        <x:v>negative</x:v>
      </x:c>
      <x:c r="S1589" s="12"/>
      <x:c r="T1589" s="12" t="str">
        <x:v>negative</x:v>
      </x:c>
      <x:c r="U1589" s="12" t="str">
        <x:f>IF(OR(R1589="unavailable",T1589="unavailable"),"不可评价",IF(OR(R1589="equivocal",T1589="equivocal"),"疑似",IF(AND(R1589="positive",T1589="positive"),"a",IF(T1589="positive","b",IF(R1589="positive","c","d")))))</x:f>
        <x:v>d</x:v>
      </x:c>
      <x:c r="V1589" s="12"/>
      <x:c r="W1589" s="12" t="str">
        <x:v>negative</x:v>
      </x:c>
      <x:c r="X1589" s="12"/>
      <x:c r="Y1589" s="12" t="str">
        <x:v>negative</x:v>
      </x:c>
      <x:c r="Z1589" s="12" t="str">
        <x:f>IF(OR(W1589="unavailable",Y1589="unavailable"),"不可评价",IF(OR(W1589="equivocal",Y1589="equivocal"),"疑似",IF(AND(W1589="positive",Y1589="positive"),"a",IF(Y1589="positive","b",IF(W1589="positive","c","d")))))</x:f>
        <x:v>d</x:v>
      </x:c>
      <x:c r="AA1589" s="12" t="str">
        <x:f>IF(OR(M1589="unavailable",O1589="unavailable"),"不可评价",IF(AND(OR(M1589="positive",M1589="equivocal"),OR(O1589="positive",O1589="equivocal")),"a",IF(OR(O1589="positive",O1589="equivocal"),"b",IF(OR(M1589="positive",M1589="equivocal"),"c","d"))))</x:f>
        <x:v>d</x:v>
      </x:c>
      <x:c r="AB1589" s="12" t="str">
        <x:f>IF(OR(M1589="unavailable",O1589="unavailable"),"不可评价",IF(AND(M1589="positive",O1589="positive"),"a",IF(O1589="positive","b",IF(M1589="positive","c","d"))))</x:f>
        <x:v>d</x:v>
      </x:c>
      <x:c r="AC1589" s="12" t="str">
        <x:f>IF(OR(R1589="unavailable",T1589="unavailable"),"不可评价",IF(AND(OR(R1589="positive",R1589="equivocal"),OR(T1589="positive",T1589="equivocal")),"a",IF(OR(T1589="positive",T1589="equivocal"),"b",IF(OR(R1589="positive",R1589="equivocal"),"c","d"))))</x:f>
        <x:v>d</x:v>
      </x:c>
      <x:c r="AD1589" s="12" t="str">
        <x:f>IF(OR(R1589="unavailable",T1589="unavailable"),"不可评价",IF(AND(R1589="positive",T1589="positive"),"a",IF(T1589="positive","b",IF(R1589="positive","c","d"))))</x:f>
        <x:v>d</x:v>
      </x:c>
      <x:c r="AE1589" s="12" t="str">
        <x:f>IF(OR(W1589="unavailable",Y1589="unavailable"),"不可评价",IF(AND(OR(W1589="positive",W1589="equivocal"),OR(Y1589="positive",Y1589="equivocal")),"a",IF(OR(Y1589="positive",Y1589="equivocal"),"b",IF(OR(W1589="positive",W1589="equivocal"),"c","d"))))</x:f>
        <x:v>d</x:v>
      </x:c>
      <x:c r="AF1589" s="12" t="str">
        <x:f>IF(OR(W1589="unavailable",Y1589="unavailable"),"不可评价",IF(AND(W1589="positive",Y1589="positive"),"a",IF(Y1589="positive","b",IF(W1589="positive","c","d"))))</x:f>
        <x:v>d</x:v>
      </x:c>
    </x:row>
    <x:row r="1590" ht="24" customHeight="1">
      <x:c r="A1590" s="12" t="str">
        <x:v>14781</x:v>
      </x:c>
      <x:c r="B1590" s="12" t="str">
        <x:v>10286</x:v>
      </x:c>
      <x:c r="C1590" s="21" t="n">
        <x:v>34928.335960648146</x:v>
      </x:c>
      <x:c r="D1590" s="12" t="n">
        <x:v>78</x:v>
      </x:c>
      <x:c r="E1590" s="12" t="n">
        <x:v>1</x:v>
      </x:c>
      <x:c r="F1590" s="12" t="str">
        <x:v>未记录</x:v>
      </x:c>
      <x:c r="G1590" s="12" t="n">
        <x:v>1</x:v>
      </x:c>
      <x:c r="H1590" s="12" t="str">
        <x:v>{'INJAS': 100.0, '1AVB': 100.0, 'SR': 0.0}</x:v>
      </x:c>
      <x:c r="I1590" s="12" t="str">
        <x:v>[('SRTH', 100.0), ('FAV', 100.0), ('ALT', 100.0), ('LNGQT', 100.0), ('AB', 100.0)]</x:v>
      </x:c>
      <x:c r="J1590" s="12" t="str">
        <x:v>ptbxl_database.csv；ecg_id=14781；scp_codes</x:v>
      </x:c>
      <x:c r="K1590" s="12" t="str">
        <x:v>12sl_statements.csv；ecg_id=14781；statements_ext_snomed</x:v>
      </x:c>
      <x:c r="L1590" s="12"/>
      <x:c r="M1590" s="12" t="str">
        <x:v>negative</x:v>
      </x:c>
      <x:c r="N1590" s="12"/>
      <x:c r="O1590" s="12" t="str">
        <x:v>negative</x:v>
      </x:c>
      <x:c r="P1590" s="12" t="str">
        <x:f>IF(OR(M1590="unavailable",O1590="unavailable"),"不可评价",IF(OR(M1590="equivocal",O1590="equivocal"),"疑似",IF(AND(M1590="positive",O1590="positive"),"a",IF(O1590="positive","b",IF(M1590="positive","c","d")))))</x:f>
        <x:v>d</x:v>
      </x:c>
      <x:c r="Q1590" s="12"/>
      <x:c r="R1590" s="12" t="str">
        <x:v>negative</x:v>
      </x:c>
      <x:c r="S1590" s="12"/>
      <x:c r="T1590" s="12" t="str">
        <x:v>negative</x:v>
      </x:c>
      <x:c r="U1590" s="12" t="str">
        <x:f>IF(OR(R1590="unavailable",T1590="unavailable"),"不可评价",IF(OR(R1590="equivocal",T1590="equivocal"),"疑似",IF(AND(R1590="positive",T1590="positive"),"a",IF(T1590="positive","b",IF(R1590="positive","c","d")))))</x:f>
        <x:v>d</x:v>
      </x:c>
      <x:c r="V1590" s="12"/>
      <x:c r="W1590" s="12" t="str">
        <x:v>negative</x:v>
      </x:c>
      <x:c r="X1590" s="12"/>
      <x:c r="Y1590" s="12" t="str">
        <x:v>negative</x:v>
      </x:c>
      <x:c r="Z1590" s="12" t="str">
        <x:f>IF(OR(W1590="unavailable",Y1590="unavailable"),"不可评价",IF(OR(W1590="equivocal",Y1590="equivocal"),"疑似",IF(AND(W1590="positive",Y1590="positive"),"a",IF(Y1590="positive","b",IF(W1590="positive","c","d")))))</x:f>
        <x:v>d</x:v>
      </x:c>
      <x:c r="AA1590" s="12" t="str">
        <x:f>IF(OR(M1590="unavailable",O1590="unavailable"),"不可评价",IF(AND(OR(M1590="positive",M1590="equivocal"),OR(O1590="positive",O1590="equivocal")),"a",IF(OR(O1590="positive",O1590="equivocal"),"b",IF(OR(M1590="positive",M1590="equivocal"),"c","d"))))</x:f>
        <x:v>d</x:v>
      </x:c>
      <x:c r="AB1590" s="12" t="str">
        <x:f>IF(OR(M1590="unavailable",O1590="unavailable"),"不可评价",IF(AND(M1590="positive",O1590="positive"),"a",IF(O1590="positive","b",IF(M1590="positive","c","d"))))</x:f>
        <x:v>d</x:v>
      </x:c>
      <x:c r="AC1590" s="12" t="str">
        <x:f>IF(OR(R1590="unavailable",T1590="unavailable"),"不可评价",IF(AND(OR(R1590="positive",R1590="equivocal"),OR(T1590="positive",T1590="equivocal")),"a",IF(OR(T1590="positive",T1590="equivocal"),"b",IF(OR(R1590="positive",R1590="equivocal"),"c","d"))))</x:f>
        <x:v>d</x:v>
      </x:c>
      <x:c r="AD1590" s="12" t="str">
        <x:f>IF(OR(R1590="unavailable",T1590="unavailable"),"不可评价",IF(AND(R1590="positive",T1590="positive"),"a",IF(T1590="positive","b",IF(R1590="positive","c","d"))))</x:f>
        <x:v>d</x:v>
      </x:c>
      <x:c r="AE1590" s="12" t="str">
        <x:f>IF(OR(W1590="unavailable",Y1590="unavailable"),"不可评价",IF(AND(OR(W1590="positive",W1590="equivocal"),OR(Y1590="positive",Y1590="equivocal")),"a",IF(OR(Y1590="positive",Y1590="equivocal"),"b",IF(OR(W1590="positive",W1590="equivocal"),"c","d"))))</x:f>
        <x:v>d</x:v>
      </x:c>
      <x:c r="AF1590" s="12" t="str">
        <x:f>IF(OR(W1590="unavailable",Y1590="unavailable"),"不可评价",IF(AND(W1590="positive",Y1590="positive"),"a",IF(Y1590="positive","b",IF(W1590="positive","c","d"))))</x:f>
        <x:v>d</x:v>
      </x:c>
    </x:row>
    <x:row r="1591" ht="24" customHeight="1">
      <x:c r="A1591" s="12" t="str">
        <x:v>14792</x:v>
      </x:c>
      <x:c r="B1591" s="12" t="str">
        <x:v>10286</x:v>
      </x:c>
      <x:c r="C1591" s="21" t="n">
        <x:v>34930.38899305555</x:v>
      </x:c>
      <x:c r="D1591" s="12" t="n">
        <x:v>78</x:v>
      </x:c>
      <x:c r="E1591" s="12" t="n">
        <x:v>1</x:v>
      </x:c>
      <x:c r="F1591" s="12" t="str">
        <x:v>存在</x:v>
      </x:c>
      <x:c r="G1591" s="12" t="n">
        <x:v>0</x:v>
      </x:c>
      <x:c r="H1591" s="12" t="str">
        <x:v>{'AFIB': 100.0}</x:v>
      </x:c>
      <x:c r="I1591" s="12" t="str">
        <x:v>[('AFIB', 100.0), ('RVR', 100.0), ('NT', 100.0), ('AB', 100.0)]</x:v>
      </x:c>
      <x:c r="J1591" s="12" t="str">
        <x:v>ptbxl_database.csv；ecg_id=14792；scp_codes</x:v>
      </x:c>
      <x:c r="K1591" s="12" t="str">
        <x:v>12sl_statements.csv；ecg_id=14792；statements_ext_snomed</x:v>
      </x:c>
      <x:c r="L1591" s="12" t="n">
        <x:v>100</x:v>
      </x:c>
      <x:c r="M1591" s="12" t="str">
        <x:v>positive</x:v>
      </x:c>
      <x:c r="N1591" s="12" t="n">
        <x:v>100</x:v>
      </x:c>
      <x:c r="O1591" s="12" t="str">
        <x:v>positive</x:v>
      </x:c>
      <x:c r="P1591" s="12" t="str">
        <x:f>IF(OR(M1591="unavailable",O1591="unavailable"),"不可评价",IF(OR(M1591="equivocal",O1591="equivocal"),"疑似",IF(AND(M1591="positive",O1591="positive"),"a",IF(O1591="positive","b",IF(M1591="positive","c","d")))))</x:f>
        <x:v>a</x:v>
      </x:c>
      <x:c r="Q1591" s="12"/>
      <x:c r="R1591" s="12" t="str">
        <x:v>negative</x:v>
      </x:c>
      <x:c r="S1591" s="12"/>
      <x:c r="T1591" s="12" t="str">
        <x:v>negative</x:v>
      </x:c>
      <x:c r="U1591" s="12" t="str">
        <x:f>IF(OR(R1591="unavailable",T1591="unavailable"),"不可评价",IF(OR(R1591="equivocal",T1591="equivocal"),"疑似",IF(AND(R1591="positive",T1591="positive"),"a",IF(T1591="positive","b",IF(R1591="positive","c","d")))))</x:f>
        <x:v>d</x:v>
      </x:c>
      <x:c r="V1591" s="12"/>
      <x:c r="W1591" s="12" t="str">
        <x:v>negative</x:v>
      </x:c>
      <x:c r="X1591" s="12"/>
      <x:c r="Y1591" s="12" t="str">
        <x:v>negative</x:v>
      </x:c>
      <x:c r="Z1591" s="12" t="str">
        <x:f>IF(OR(W1591="unavailable",Y1591="unavailable"),"不可评价",IF(OR(W1591="equivocal",Y1591="equivocal"),"疑似",IF(AND(W1591="positive",Y1591="positive"),"a",IF(Y1591="positive","b",IF(W1591="positive","c","d")))))</x:f>
        <x:v>d</x:v>
      </x:c>
      <x:c r="AA1591" s="12" t="str">
        <x:f>IF(OR(M1591="unavailable",O1591="unavailable"),"不可评价",IF(AND(OR(M1591="positive",M1591="equivocal"),OR(O1591="positive",O1591="equivocal")),"a",IF(OR(O1591="positive",O1591="equivocal"),"b",IF(OR(M1591="positive",M1591="equivocal"),"c","d"))))</x:f>
        <x:v>a</x:v>
      </x:c>
      <x:c r="AB1591" s="12" t="str">
        <x:f>IF(OR(M1591="unavailable",O1591="unavailable"),"不可评价",IF(AND(M1591="positive",O1591="positive"),"a",IF(O1591="positive","b",IF(M1591="positive","c","d"))))</x:f>
        <x:v>a</x:v>
      </x:c>
      <x:c r="AC1591" s="12" t="str">
        <x:f>IF(OR(R1591="unavailable",T1591="unavailable"),"不可评价",IF(AND(OR(R1591="positive",R1591="equivocal"),OR(T1591="positive",T1591="equivocal")),"a",IF(OR(T1591="positive",T1591="equivocal"),"b",IF(OR(R1591="positive",R1591="equivocal"),"c","d"))))</x:f>
        <x:v>d</x:v>
      </x:c>
      <x:c r="AD1591" s="12" t="str">
        <x:f>IF(OR(R1591="unavailable",T1591="unavailable"),"不可评价",IF(AND(R1591="positive",T1591="positive"),"a",IF(T1591="positive","b",IF(R1591="positive","c","d"))))</x:f>
        <x:v>d</x:v>
      </x:c>
      <x:c r="AE1591" s="12" t="str">
        <x:f>IF(OR(W1591="unavailable",Y1591="unavailable"),"不可评价",IF(AND(OR(W1591="positive",W1591="equivocal"),OR(Y1591="positive",Y1591="equivocal")),"a",IF(OR(Y1591="positive",Y1591="equivocal"),"b",IF(OR(W1591="positive",W1591="equivocal"),"c","d"))))</x:f>
        <x:v>d</x:v>
      </x:c>
      <x:c r="AF1591" s="12" t="str">
        <x:f>IF(OR(W1591="unavailable",Y1591="unavailable"),"不可评价",IF(AND(W1591="positive",Y1591="positive"),"a",IF(Y1591="positive","b",IF(W1591="positive","c","d"))))</x:f>
        <x:v>d</x:v>
      </x:c>
    </x:row>
    <x:row r="1592" ht="24" customHeight="1">
      <x:c r="A1592" s="12" t="str">
        <x:v>14805</x:v>
      </x:c>
      <x:c r="B1592" s="12" t="str">
        <x:v>9893</x:v>
      </x:c>
      <x:c r="C1592" s="21" t="n">
        <x:v>34933.43115740741</x:v>
      </x:c>
      <x:c r="D1592" s="12" t="n">
        <x:v>54</x:v>
      </x:c>
      <x:c r="E1592" s="12" t="n">
        <x:v>1</x:v>
      </x:c>
      <x:c r="F1592" s="12" t="str">
        <x:v>未记录</x:v>
      </x:c>
      <x:c r="G1592" s="12" t="n">
        <x:v>1</x:v>
      </x:c>
      <x:c r="H1592" s="12" t="str">
        <x:v>{'LVH': 35.0, 'VCLVH': 0.0, 'SBRAD': 0.0}</x:v>
      </x:c>
      <x:c r="I1592" s="12" t="str">
        <x:v>[('SBRAD', 100.0), ('BORDE', 100.0)]</x:v>
      </x:c>
      <x:c r="J1592" s="12" t="str">
        <x:v>ptbxl_database.csv；ecg_id=14805；scp_codes</x:v>
      </x:c>
      <x:c r="K1592" s="12" t="str">
        <x:v>12sl_statements.csv；ecg_id=14805；statements_ext_snomed</x:v>
      </x:c>
      <x:c r="L1592" s="12"/>
      <x:c r="M1592" s="12" t="str">
        <x:v>negative</x:v>
      </x:c>
      <x:c r="N1592" s="12"/>
      <x:c r="O1592" s="12" t="str">
        <x:v>negative</x:v>
      </x:c>
      <x:c r="P1592" s="12" t="str">
        <x:f>IF(OR(M1592="unavailable",O1592="unavailable"),"不可评价",IF(OR(M1592="equivocal",O1592="equivocal"),"疑似",IF(AND(M1592="positive",O1592="positive"),"a",IF(O1592="positive","b",IF(M1592="positive","c","d")))))</x:f>
        <x:v>d</x:v>
      </x:c>
      <x:c r="Q1592" s="12"/>
      <x:c r="R1592" s="12" t="str">
        <x:v>negative</x:v>
      </x:c>
      <x:c r="S1592" s="12"/>
      <x:c r="T1592" s="12" t="str">
        <x:v>negative</x:v>
      </x:c>
      <x:c r="U1592" s="12" t="str">
        <x:f>IF(OR(R1592="unavailable",T1592="unavailable"),"不可评价",IF(OR(R1592="equivocal",T1592="equivocal"),"疑似",IF(AND(R1592="positive",T1592="positive"),"a",IF(T1592="positive","b",IF(R1592="positive","c","d")))))</x:f>
        <x:v>d</x:v>
      </x:c>
      <x:c r="V1592" s="12"/>
      <x:c r="W1592" s="12" t="str">
        <x:v>negative</x:v>
      </x:c>
      <x:c r="X1592" s="12"/>
      <x:c r="Y1592" s="12" t="str">
        <x:v>negative</x:v>
      </x:c>
      <x:c r="Z1592" s="12" t="str">
        <x:f>IF(OR(W1592="unavailable",Y1592="unavailable"),"不可评价",IF(OR(W1592="equivocal",Y1592="equivocal"),"疑似",IF(AND(W1592="positive",Y1592="positive"),"a",IF(Y1592="positive","b",IF(W1592="positive","c","d")))))</x:f>
        <x:v>d</x:v>
      </x:c>
      <x:c r="AA1592" s="12" t="str">
        <x:f>IF(OR(M1592="unavailable",O1592="unavailable"),"不可评价",IF(AND(OR(M1592="positive",M1592="equivocal"),OR(O1592="positive",O1592="equivocal")),"a",IF(OR(O1592="positive",O1592="equivocal"),"b",IF(OR(M1592="positive",M1592="equivocal"),"c","d"))))</x:f>
        <x:v>d</x:v>
      </x:c>
      <x:c r="AB1592" s="12" t="str">
        <x:f>IF(OR(M1592="unavailable",O1592="unavailable"),"不可评价",IF(AND(M1592="positive",O1592="positive"),"a",IF(O1592="positive","b",IF(M1592="positive","c","d"))))</x:f>
        <x:v>d</x:v>
      </x:c>
      <x:c r="AC1592" s="12" t="str">
        <x:f>IF(OR(R1592="unavailable",T1592="unavailable"),"不可评价",IF(AND(OR(R1592="positive",R1592="equivocal"),OR(T1592="positive",T1592="equivocal")),"a",IF(OR(T1592="positive",T1592="equivocal"),"b",IF(OR(R1592="positive",R1592="equivocal"),"c","d"))))</x:f>
        <x:v>d</x:v>
      </x:c>
      <x:c r="AD1592" s="12" t="str">
        <x:f>IF(OR(R1592="unavailable",T1592="unavailable"),"不可评价",IF(AND(R1592="positive",T1592="positive"),"a",IF(T1592="positive","b",IF(R1592="positive","c","d"))))</x:f>
        <x:v>d</x:v>
      </x:c>
      <x:c r="AE1592" s="12" t="str">
        <x:f>IF(OR(W1592="unavailable",Y1592="unavailable"),"不可评价",IF(AND(OR(W1592="positive",W1592="equivocal"),OR(Y1592="positive",Y1592="equivocal")),"a",IF(OR(Y1592="positive",Y1592="equivocal"),"b",IF(OR(W1592="positive",W1592="equivocal"),"c","d"))))</x:f>
        <x:v>d</x:v>
      </x:c>
      <x:c r="AF1592" s="12" t="str">
        <x:f>IF(OR(W1592="unavailable",Y1592="unavailable"),"不可评价",IF(AND(W1592="positive",Y1592="positive"),"a",IF(Y1592="positive","b",IF(W1592="positive","c","d"))))</x:f>
        <x:v>d</x:v>
      </x:c>
    </x:row>
    <x:row r="1593" ht="24" customHeight="1">
      <x:c r="A1593" s="12" t="str">
        <x:v>14814</x:v>
      </x:c>
      <x:c r="B1593" s="12" t="str">
        <x:v>11723</x:v>
      </x:c>
      <x:c r="C1593" s="21" t="n">
        <x:v>34934.3671875</x:v>
      </x:c>
      <x:c r="D1593" s="12" t="n">
        <x:v>54</x:v>
      </x:c>
      <x:c r="E1593" s="12" t="n">
        <x:v>0</x:v>
      </x:c>
      <x:c r="F1593" s="12" t="str">
        <x:v>未记录</x:v>
      </x:c>
      <x:c r="G1593" s="12" t="n">
        <x:v>1</x:v>
      </x:c>
      <x:c r="H1593" s="12" t="str">
        <x:v>{'NORM': 100.0, 'SR': 0.0}</x:v>
      </x:c>
      <x:c r="I1593" s="12" t="str">
        <x:v>[('SBRAD', 100.0), ('ABR', 100.0)]</x:v>
      </x:c>
      <x:c r="J1593" s="12" t="str">
        <x:v>ptbxl_database.csv；ecg_id=14814；scp_codes</x:v>
      </x:c>
      <x:c r="K1593" s="12" t="str">
        <x:v>12sl_statements.csv；ecg_id=14814；statements_ext_snomed</x:v>
      </x:c>
      <x:c r="L1593" s="12"/>
      <x:c r="M1593" s="12" t="str">
        <x:v>negative</x:v>
      </x:c>
      <x:c r="N1593" s="12"/>
      <x:c r="O1593" s="12" t="str">
        <x:v>negative</x:v>
      </x:c>
      <x:c r="P1593" s="12" t="str">
        <x:f>IF(OR(M1593="unavailable",O1593="unavailable"),"不可评价",IF(OR(M1593="equivocal",O1593="equivocal"),"疑似",IF(AND(M1593="positive",O1593="positive"),"a",IF(O1593="positive","b",IF(M1593="positive","c","d")))))</x:f>
        <x:v>d</x:v>
      </x:c>
      <x:c r="Q1593" s="12"/>
      <x:c r="R1593" s="12" t="str">
        <x:v>negative</x:v>
      </x:c>
      <x:c r="S1593" s="12"/>
      <x:c r="T1593" s="12" t="str">
        <x:v>negative</x:v>
      </x:c>
      <x:c r="U1593" s="12" t="str">
        <x:f>IF(OR(R1593="unavailable",T1593="unavailable"),"不可评价",IF(OR(R1593="equivocal",T1593="equivocal"),"疑似",IF(AND(R1593="positive",T1593="positive"),"a",IF(T1593="positive","b",IF(R1593="positive","c","d")))))</x:f>
        <x:v>d</x:v>
      </x:c>
      <x:c r="V1593" s="12"/>
      <x:c r="W1593" s="12" t="str">
        <x:v>negative</x:v>
      </x:c>
      <x:c r="X1593" s="12"/>
      <x:c r="Y1593" s="12" t="str">
        <x:v>negative</x:v>
      </x:c>
      <x:c r="Z1593" s="12" t="str">
        <x:f>IF(OR(W1593="unavailable",Y1593="unavailable"),"不可评价",IF(OR(W1593="equivocal",Y1593="equivocal"),"疑似",IF(AND(W1593="positive",Y1593="positive"),"a",IF(Y1593="positive","b",IF(W1593="positive","c","d")))))</x:f>
        <x:v>d</x:v>
      </x:c>
      <x:c r="AA1593" s="12" t="str">
        <x:f>IF(OR(M1593="unavailable",O1593="unavailable"),"不可评价",IF(AND(OR(M1593="positive",M1593="equivocal"),OR(O1593="positive",O1593="equivocal")),"a",IF(OR(O1593="positive",O1593="equivocal"),"b",IF(OR(M1593="positive",M1593="equivocal"),"c","d"))))</x:f>
        <x:v>d</x:v>
      </x:c>
      <x:c r="AB1593" s="12" t="str">
        <x:f>IF(OR(M1593="unavailable",O1593="unavailable"),"不可评价",IF(AND(M1593="positive",O1593="positive"),"a",IF(O1593="positive","b",IF(M1593="positive","c","d"))))</x:f>
        <x:v>d</x:v>
      </x:c>
      <x:c r="AC1593" s="12" t="str">
        <x:f>IF(OR(R1593="unavailable",T1593="unavailable"),"不可评价",IF(AND(OR(R1593="positive",R1593="equivocal"),OR(T1593="positive",T1593="equivocal")),"a",IF(OR(T1593="positive",T1593="equivocal"),"b",IF(OR(R1593="positive",R1593="equivocal"),"c","d"))))</x:f>
        <x:v>d</x:v>
      </x:c>
      <x:c r="AD1593" s="12" t="str">
        <x:f>IF(OR(R1593="unavailable",T1593="unavailable"),"不可评价",IF(AND(R1593="positive",T1593="positive"),"a",IF(T1593="positive","b",IF(R1593="positive","c","d"))))</x:f>
        <x:v>d</x:v>
      </x:c>
      <x:c r="AE1593" s="12" t="str">
        <x:f>IF(OR(W1593="unavailable",Y1593="unavailable"),"不可评价",IF(AND(OR(W1593="positive",W1593="equivocal"),OR(Y1593="positive",Y1593="equivocal")),"a",IF(OR(Y1593="positive",Y1593="equivocal"),"b",IF(OR(W1593="positive",W1593="equivocal"),"c","d"))))</x:f>
        <x:v>d</x:v>
      </x:c>
      <x:c r="AF1593" s="12" t="str">
        <x:f>IF(OR(W1593="unavailable",Y1593="unavailable"),"不可评价",IF(AND(W1593="positive",Y1593="positive"),"a",IF(Y1593="positive","b",IF(W1593="positive","c","d"))))</x:f>
        <x:v>d</x:v>
      </x:c>
    </x:row>
    <x:row r="1594" ht="24" customHeight="1">
      <x:c r="A1594" s="12" t="str">
        <x:v>14836</x:v>
      </x:c>
      <x:c r="B1594" s="12" t="str">
        <x:v>16126</x:v>
      </x:c>
      <x:c r="C1594" s="21" t="n">
        <x:v>34939.39634259259</x:v>
      </x:c>
      <x:c r="D1594" s="12" t="n">
        <x:v>56</x:v>
      </x:c>
      <x:c r="E1594" s="12" t="n">
        <x:v>0</x:v>
      </x:c>
      <x:c r="F1594" s="12" t="str">
        <x:v>未记录</x:v>
      </x:c>
      <x:c r="G1594" s="12" t="n">
        <x:v>1</x:v>
      </x:c>
      <x:c r="H1594" s="12" t="str">
        <x:v>{'IRBBB': 100.0, 'LVH': 100.0, 'ISC_': 100.0, 'VCLVH': 0.0, 'SR': 0.0}</x:v>
      </x:c>
      <x:c r="I1594" s="12" t="str">
        <x:v>[('NSR', 100.0), ('LVH2', 100.0), ('2ST', 100.0), ('AB', 100.0)]</x:v>
      </x:c>
      <x:c r="J1594" s="12" t="str">
        <x:v>ptbxl_database.csv；ecg_id=14836；scp_codes</x:v>
      </x:c>
      <x:c r="K1594" s="12" t="str">
        <x:v>12sl_statements.csv；ecg_id=14836；statements_ext_snomed</x:v>
      </x:c>
      <x:c r="L1594" s="12"/>
      <x:c r="M1594" s="12" t="str">
        <x:v>negative</x:v>
      </x:c>
      <x:c r="N1594" s="12"/>
      <x:c r="O1594" s="12" t="str">
        <x:v>negative</x:v>
      </x:c>
      <x:c r="P1594" s="12" t="str">
        <x:f>IF(OR(M1594="unavailable",O1594="unavailable"),"不可评价",IF(OR(M1594="equivocal",O1594="equivocal"),"疑似",IF(AND(M1594="positive",O1594="positive"),"a",IF(O1594="positive","b",IF(M1594="positive","c","d")))))</x:f>
        <x:v>d</x:v>
      </x:c>
      <x:c r="Q1594" s="12"/>
      <x:c r="R1594" s="12" t="str">
        <x:v>negative</x:v>
      </x:c>
      <x:c r="S1594" s="12"/>
      <x:c r="T1594" s="12" t="str">
        <x:v>negative</x:v>
      </x:c>
      <x:c r="U1594" s="12" t="str">
        <x:f>IF(OR(R1594="unavailable",T1594="unavailable"),"不可评价",IF(OR(R1594="equivocal",T1594="equivocal"),"疑似",IF(AND(R1594="positive",T1594="positive"),"a",IF(T1594="positive","b",IF(R1594="positive","c","d")))))</x:f>
        <x:v>d</x:v>
      </x:c>
      <x:c r="V1594" s="12"/>
      <x:c r="W1594" s="12" t="str">
        <x:v>negative</x:v>
      </x:c>
      <x:c r="X1594" s="12"/>
      <x:c r="Y1594" s="12" t="str">
        <x:v>negative</x:v>
      </x:c>
      <x:c r="Z1594" s="12" t="str">
        <x:f>IF(OR(W1594="unavailable",Y1594="unavailable"),"不可评价",IF(OR(W1594="equivocal",Y1594="equivocal"),"疑似",IF(AND(W1594="positive",Y1594="positive"),"a",IF(Y1594="positive","b",IF(W1594="positive","c","d")))))</x:f>
        <x:v>d</x:v>
      </x:c>
      <x:c r="AA1594" s="12" t="str">
        <x:f>IF(OR(M1594="unavailable",O1594="unavailable"),"不可评价",IF(AND(OR(M1594="positive",M1594="equivocal"),OR(O1594="positive",O1594="equivocal")),"a",IF(OR(O1594="positive",O1594="equivocal"),"b",IF(OR(M1594="positive",M1594="equivocal"),"c","d"))))</x:f>
        <x:v>d</x:v>
      </x:c>
      <x:c r="AB1594" s="12" t="str">
        <x:f>IF(OR(M1594="unavailable",O1594="unavailable"),"不可评价",IF(AND(M1594="positive",O1594="positive"),"a",IF(O1594="positive","b",IF(M1594="positive","c","d"))))</x:f>
        <x:v>d</x:v>
      </x:c>
      <x:c r="AC1594" s="12" t="str">
        <x:f>IF(OR(R1594="unavailable",T1594="unavailable"),"不可评价",IF(AND(OR(R1594="positive",R1594="equivocal"),OR(T1594="positive",T1594="equivocal")),"a",IF(OR(T1594="positive",T1594="equivocal"),"b",IF(OR(R1594="positive",R1594="equivocal"),"c","d"))))</x:f>
        <x:v>d</x:v>
      </x:c>
      <x:c r="AD1594" s="12" t="str">
        <x:f>IF(OR(R1594="unavailable",T1594="unavailable"),"不可评价",IF(AND(R1594="positive",T1594="positive"),"a",IF(T1594="positive","b",IF(R1594="positive","c","d"))))</x:f>
        <x:v>d</x:v>
      </x:c>
      <x:c r="AE1594" s="12" t="str">
        <x:f>IF(OR(W1594="unavailable",Y1594="unavailable"),"不可评价",IF(AND(OR(W1594="positive",W1594="equivocal"),OR(Y1594="positive",Y1594="equivocal")),"a",IF(OR(Y1594="positive",Y1594="equivocal"),"b",IF(OR(W1594="positive",W1594="equivocal"),"c","d"))))</x:f>
        <x:v>d</x:v>
      </x:c>
      <x:c r="AF1594" s="12" t="str">
        <x:f>IF(OR(W1594="unavailable",Y1594="unavailable"),"不可评价",IF(AND(W1594="positive",Y1594="positive"),"a",IF(Y1594="positive","b",IF(W1594="positive","c","d"))))</x:f>
        <x:v>d</x:v>
      </x:c>
    </x:row>
    <x:row r="1595" ht="24" customHeight="1">
      <x:c r="A1595" s="12" t="str">
        <x:v>14851</x:v>
      </x:c>
      <x:c r="B1595" s="12" t="str">
        <x:v>11723</x:v>
      </x:c>
      <x:c r="C1595" s="21" t="n">
        <x:v>34942.24914351852</x:v>
      </x:c>
      <x:c r="D1595" s="12" t="n">
        <x:v>54</x:v>
      </x:c>
      <x:c r="E1595" s="12" t="n">
        <x:v>0</x:v>
      </x:c>
      <x:c r="F1595" s="12" t="str">
        <x:v>存在</x:v>
      </x:c>
      <x:c r="G1595" s="12" t="n">
        <x:v>0</x:v>
      </x:c>
      <x:c r="H1595" s="12" t="str">
        <x:v>{'NORM': 100.0, 'SR': 0.0}</x:v>
      </x:c>
      <x:c r="I1595" s="12" t="str">
        <x:v>[('SBRAD', 100.0), ('ABR', 100.0)]</x:v>
      </x:c>
      <x:c r="J1595" s="12" t="str">
        <x:v>ptbxl_database.csv；ecg_id=14851；scp_codes</x:v>
      </x:c>
      <x:c r="K1595" s="12" t="str">
        <x:v>12sl_statements.csv；ecg_id=14851；statements_ext_snomed</x:v>
      </x:c>
      <x:c r="L1595" s="12"/>
      <x:c r="M1595" s="12" t="str">
        <x:v>negative</x:v>
      </x:c>
      <x:c r="N1595" s="12"/>
      <x:c r="O1595" s="12" t="str">
        <x:v>negative</x:v>
      </x:c>
      <x:c r="P1595" s="12" t="str">
        <x:f>IF(OR(M1595="unavailable",O1595="unavailable"),"不可评价",IF(OR(M1595="equivocal",O1595="equivocal"),"疑似",IF(AND(M1595="positive",O1595="positive"),"a",IF(O1595="positive","b",IF(M1595="positive","c","d")))))</x:f>
        <x:v>d</x:v>
      </x:c>
      <x:c r="Q1595" s="12"/>
      <x:c r="R1595" s="12" t="str">
        <x:v>negative</x:v>
      </x:c>
      <x:c r="S1595" s="12"/>
      <x:c r="T1595" s="12" t="str">
        <x:v>negative</x:v>
      </x:c>
      <x:c r="U1595" s="12" t="str">
        <x:f>IF(OR(R1595="unavailable",T1595="unavailable"),"不可评价",IF(OR(R1595="equivocal",T1595="equivocal"),"疑似",IF(AND(R1595="positive",T1595="positive"),"a",IF(T1595="positive","b",IF(R1595="positive","c","d")))))</x:f>
        <x:v>d</x:v>
      </x:c>
      <x:c r="V1595" s="12"/>
      <x:c r="W1595" s="12" t="str">
        <x:v>negative</x:v>
      </x:c>
      <x:c r="X1595" s="12"/>
      <x:c r="Y1595" s="12" t="str">
        <x:v>negative</x:v>
      </x:c>
      <x:c r="Z1595" s="12" t="str">
        <x:f>IF(OR(W1595="unavailable",Y1595="unavailable"),"不可评价",IF(OR(W1595="equivocal",Y1595="equivocal"),"疑似",IF(AND(W1595="positive",Y1595="positive"),"a",IF(Y1595="positive","b",IF(W1595="positive","c","d")))))</x:f>
        <x:v>d</x:v>
      </x:c>
      <x:c r="AA1595" s="12" t="str">
        <x:f>IF(OR(M1595="unavailable",O1595="unavailable"),"不可评价",IF(AND(OR(M1595="positive",M1595="equivocal"),OR(O1595="positive",O1595="equivocal")),"a",IF(OR(O1595="positive",O1595="equivocal"),"b",IF(OR(M1595="positive",M1595="equivocal"),"c","d"))))</x:f>
        <x:v>d</x:v>
      </x:c>
      <x:c r="AB1595" s="12" t="str">
        <x:f>IF(OR(M1595="unavailable",O1595="unavailable"),"不可评价",IF(AND(M1595="positive",O1595="positive"),"a",IF(O1595="positive","b",IF(M1595="positive","c","d"))))</x:f>
        <x:v>d</x:v>
      </x:c>
      <x:c r="AC1595" s="12" t="str">
        <x:f>IF(OR(R1595="unavailable",T1595="unavailable"),"不可评价",IF(AND(OR(R1595="positive",R1595="equivocal"),OR(T1595="positive",T1595="equivocal")),"a",IF(OR(T1595="positive",T1595="equivocal"),"b",IF(OR(R1595="positive",R1595="equivocal"),"c","d"))))</x:f>
        <x:v>d</x:v>
      </x:c>
      <x:c r="AD1595" s="12" t="str">
        <x:f>IF(OR(R1595="unavailable",T1595="unavailable"),"不可评价",IF(AND(R1595="positive",T1595="positive"),"a",IF(T1595="positive","b",IF(R1595="positive","c","d"))))</x:f>
        <x:v>d</x:v>
      </x:c>
      <x:c r="AE1595" s="12" t="str">
        <x:f>IF(OR(W1595="unavailable",Y1595="unavailable"),"不可评价",IF(AND(OR(W1595="positive",W1595="equivocal"),OR(Y1595="positive",Y1595="equivocal")),"a",IF(OR(Y1595="positive",Y1595="equivocal"),"b",IF(OR(W1595="positive",W1595="equivocal"),"c","d"))))</x:f>
        <x:v>d</x:v>
      </x:c>
      <x:c r="AF1595" s="12" t="str">
        <x:f>IF(OR(W1595="unavailable",Y1595="unavailable"),"不可评价",IF(AND(W1595="positive",Y1595="positive"),"a",IF(Y1595="positive","b",IF(W1595="positive","c","d"))))</x:f>
        <x:v>d</x:v>
      </x:c>
    </x:row>
    <x:row r="1596" ht="24" customHeight="1">
      <x:c r="A1596" s="12" t="str">
        <x:v>14869</x:v>
      </x:c>
      <x:c r="B1596" s="12" t="str">
        <x:v>8962</x:v>
      </x:c>
      <x:c r="C1596" s="21" t="n">
        <x:v>34945.543344907404</x:v>
      </x:c>
      <x:c r="D1596" s="12" t="n">
        <x:v>65</x:v>
      </x:c>
      <x:c r="E1596" s="12" t="n">
        <x:v>0</x:v>
      </x:c>
      <x:c r="F1596" s="12" t="str">
        <x:v>未记录</x:v>
      </x:c>
      <x:c r="G1596" s="12" t="n">
        <x:v>1</x:v>
      </x:c>
      <x:c r="H1596" s="12" t="str">
        <x:v>{'LVH': 100.0, 'ISC_': 100.0, 'STACH': 0.0}</x:v>
      </x:c>
      <x:c r="I1596" s="12" t="str">
        <x:v>[('STACH', 100.0), ('LVH2', 100.0), ('2ST', 100.0), ('AB', 100.0)]</x:v>
      </x:c>
      <x:c r="J1596" s="12" t="str">
        <x:v>ptbxl_database.csv；ecg_id=14869；scp_codes</x:v>
      </x:c>
      <x:c r="K1596" s="12" t="str">
        <x:v>12sl_statements.csv；ecg_id=14869；statements_ext_snomed</x:v>
      </x:c>
      <x:c r="L1596" s="12"/>
      <x:c r="M1596" s="12" t="str">
        <x:v>negative</x:v>
      </x:c>
      <x:c r="N1596" s="12"/>
      <x:c r="O1596" s="12" t="str">
        <x:v>negative</x:v>
      </x:c>
      <x:c r="P1596" s="12" t="str">
        <x:f>IF(OR(M1596="unavailable",O1596="unavailable"),"不可评价",IF(OR(M1596="equivocal",O1596="equivocal"),"疑似",IF(AND(M1596="positive",O1596="positive"),"a",IF(O1596="positive","b",IF(M1596="positive","c","d")))))</x:f>
        <x:v>d</x:v>
      </x:c>
      <x:c r="Q1596" s="12"/>
      <x:c r="R1596" s="12" t="str">
        <x:v>negative</x:v>
      </x:c>
      <x:c r="S1596" s="12"/>
      <x:c r="T1596" s="12" t="str">
        <x:v>negative</x:v>
      </x:c>
      <x:c r="U1596" s="12" t="str">
        <x:f>IF(OR(R1596="unavailable",T1596="unavailable"),"不可评价",IF(OR(R1596="equivocal",T1596="equivocal"),"疑似",IF(AND(R1596="positive",T1596="positive"),"a",IF(T1596="positive","b",IF(R1596="positive","c","d")))))</x:f>
        <x:v>d</x:v>
      </x:c>
      <x:c r="V1596" s="12"/>
      <x:c r="W1596" s="12" t="str">
        <x:v>negative</x:v>
      </x:c>
      <x:c r="X1596" s="12"/>
      <x:c r="Y1596" s="12" t="str">
        <x:v>negative</x:v>
      </x:c>
      <x:c r="Z1596" s="12" t="str">
        <x:f>IF(OR(W1596="unavailable",Y1596="unavailable"),"不可评价",IF(OR(W1596="equivocal",Y1596="equivocal"),"疑似",IF(AND(W1596="positive",Y1596="positive"),"a",IF(Y1596="positive","b",IF(W1596="positive","c","d")))))</x:f>
        <x:v>d</x:v>
      </x:c>
      <x:c r="AA1596" s="12" t="str">
        <x:f>IF(OR(M1596="unavailable",O1596="unavailable"),"不可评价",IF(AND(OR(M1596="positive",M1596="equivocal"),OR(O1596="positive",O1596="equivocal")),"a",IF(OR(O1596="positive",O1596="equivocal"),"b",IF(OR(M1596="positive",M1596="equivocal"),"c","d"))))</x:f>
        <x:v>d</x:v>
      </x:c>
      <x:c r="AB1596" s="12" t="str">
        <x:f>IF(OR(M1596="unavailable",O1596="unavailable"),"不可评价",IF(AND(M1596="positive",O1596="positive"),"a",IF(O1596="positive","b",IF(M1596="positive","c","d"))))</x:f>
        <x:v>d</x:v>
      </x:c>
      <x:c r="AC1596" s="12" t="str">
        <x:f>IF(OR(R1596="unavailable",T1596="unavailable"),"不可评价",IF(AND(OR(R1596="positive",R1596="equivocal"),OR(T1596="positive",T1596="equivocal")),"a",IF(OR(T1596="positive",T1596="equivocal"),"b",IF(OR(R1596="positive",R1596="equivocal"),"c","d"))))</x:f>
        <x:v>d</x:v>
      </x:c>
      <x:c r="AD1596" s="12" t="str">
        <x:f>IF(OR(R1596="unavailable",T1596="unavailable"),"不可评价",IF(AND(R1596="positive",T1596="positive"),"a",IF(T1596="positive","b",IF(R1596="positive","c","d"))))</x:f>
        <x:v>d</x:v>
      </x:c>
      <x:c r="AE1596" s="12" t="str">
        <x:f>IF(OR(W1596="unavailable",Y1596="unavailable"),"不可评价",IF(AND(OR(W1596="positive",W1596="equivocal"),OR(Y1596="positive",Y1596="equivocal")),"a",IF(OR(Y1596="positive",Y1596="equivocal"),"b",IF(OR(W1596="positive",W1596="equivocal"),"c","d"))))</x:f>
        <x:v>d</x:v>
      </x:c>
      <x:c r="AF1596" s="12" t="str">
        <x:f>IF(OR(W1596="unavailable",Y1596="unavailable"),"不可评价",IF(AND(W1596="positive",Y1596="positive"),"a",IF(Y1596="positive","b",IF(W1596="positive","c","d"))))</x:f>
        <x:v>d</x:v>
      </x:c>
    </x:row>
    <x:row r="1597" ht="24" customHeight="1">
      <x:c r="A1597" s="12" t="str">
        <x:v>14912</x:v>
      </x:c>
      <x:c r="B1597" s="12" t="str">
        <x:v>12415</x:v>
      </x:c>
      <x:c r="C1597" s="21" t="n">
        <x:v>34948.579351851855</x:v>
      </x:c>
      <x:c r="D1597" s="12" t="n">
        <x:v>73</x:v>
      </x:c>
      <x:c r="E1597" s="12" t="n">
        <x:v>0</x:v>
      </x:c>
      <x:c r="F1597" s="12" t="str">
        <x:v>未记录</x:v>
      </x:c>
      <x:c r="G1597" s="12" t="n">
        <x:v>1</x:v>
      </x:c>
      <x:c r="H1597" s="12" t="str">
        <x:v>{'ASMI': 50.0, 'LMI': 15.0, 'ABQRS': 0.0, 'SR': 0.0}</x:v>
      </x:c>
      <x:c r="I1597" s="12" t="str">
        <x:v>[('NSR', 100.0), ('LAE', 50.0), ('AMI;AU', 15.0), ('AB', 100.0)]</x:v>
      </x:c>
      <x:c r="J1597" s="12" t="str">
        <x:v>ptbxl_database.csv；ecg_id=14912；scp_codes</x:v>
      </x:c>
      <x:c r="K1597" s="12" t="str">
        <x:v>12sl_statements.csv；ecg_id=14912；statements_ext_snomed</x:v>
      </x:c>
      <x:c r="L1597" s="12"/>
      <x:c r="M1597" s="12" t="str">
        <x:v>negative</x:v>
      </x:c>
      <x:c r="N1597" s="12"/>
      <x:c r="O1597" s="12" t="str">
        <x:v>negative</x:v>
      </x:c>
      <x:c r="P1597" s="12" t="str">
        <x:f>IF(OR(M1597="unavailable",O1597="unavailable"),"不可评价",IF(OR(M1597="equivocal",O1597="equivocal"),"疑似",IF(AND(M1597="positive",O1597="positive"),"a",IF(O1597="positive","b",IF(M1597="positive","c","d")))))</x:f>
        <x:v>d</x:v>
      </x:c>
      <x:c r="Q1597" s="12"/>
      <x:c r="R1597" s="12" t="str">
        <x:v>negative</x:v>
      </x:c>
      <x:c r="S1597" s="12"/>
      <x:c r="T1597" s="12" t="str">
        <x:v>negative</x:v>
      </x:c>
      <x:c r="U1597" s="12" t="str">
        <x:f>IF(OR(R1597="unavailable",T1597="unavailable"),"不可评价",IF(OR(R1597="equivocal",T1597="equivocal"),"疑似",IF(AND(R1597="positive",T1597="positive"),"a",IF(T1597="positive","b",IF(R1597="positive","c","d")))))</x:f>
        <x:v>d</x:v>
      </x:c>
      <x:c r="V1597" s="12"/>
      <x:c r="W1597" s="12" t="str">
        <x:v>negative</x:v>
      </x:c>
      <x:c r="X1597" s="12"/>
      <x:c r="Y1597" s="12" t="str">
        <x:v>negative</x:v>
      </x:c>
      <x:c r="Z1597" s="12" t="str">
        <x:f>IF(OR(W1597="unavailable",Y1597="unavailable"),"不可评价",IF(OR(W1597="equivocal",Y1597="equivocal"),"疑似",IF(AND(W1597="positive",Y1597="positive"),"a",IF(Y1597="positive","b",IF(W1597="positive","c","d")))))</x:f>
        <x:v>d</x:v>
      </x:c>
      <x:c r="AA1597" s="12" t="str">
        <x:f>IF(OR(M1597="unavailable",O1597="unavailable"),"不可评价",IF(AND(OR(M1597="positive",M1597="equivocal"),OR(O1597="positive",O1597="equivocal")),"a",IF(OR(O1597="positive",O1597="equivocal"),"b",IF(OR(M1597="positive",M1597="equivocal"),"c","d"))))</x:f>
        <x:v>d</x:v>
      </x:c>
      <x:c r="AB1597" s="12" t="str">
        <x:f>IF(OR(M1597="unavailable",O1597="unavailable"),"不可评价",IF(AND(M1597="positive",O1597="positive"),"a",IF(O1597="positive","b",IF(M1597="positive","c","d"))))</x:f>
        <x:v>d</x:v>
      </x:c>
      <x:c r="AC1597" s="12" t="str">
        <x:f>IF(OR(R1597="unavailable",T1597="unavailable"),"不可评价",IF(AND(OR(R1597="positive",R1597="equivocal"),OR(T1597="positive",T1597="equivocal")),"a",IF(OR(T1597="positive",T1597="equivocal"),"b",IF(OR(R1597="positive",R1597="equivocal"),"c","d"))))</x:f>
        <x:v>d</x:v>
      </x:c>
      <x:c r="AD1597" s="12" t="str">
        <x:f>IF(OR(R1597="unavailable",T1597="unavailable"),"不可评价",IF(AND(R1597="positive",T1597="positive"),"a",IF(T1597="positive","b",IF(R1597="positive","c","d"))))</x:f>
        <x:v>d</x:v>
      </x:c>
      <x:c r="AE1597" s="12" t="str">
        <x:f>IF(OR(W1597="unavailable",Y1597="unavailable"),"不可评价",IF(AND(OR(W1597="positive",W1597="equivocal"),OR(Y1597="positive",Y1597="equivocal")),"a",IF(OR(Y1597="positive",Y1597="equivocal"),"b",IF(OR(W1597="positive",W1597="equivocal"),"c","d"))))</x:f>
        <x:v>d</x:v>
      </x:c>
      <x:c r="AF1597" s="12" t="str">
        <x:f>IF(OR(W1597="unavailable",Y1597="unavailable"),"不可评价",IF(AND(W1597="positive",Y1597="positive"),"a",IF(Y1597="positive","b",IF(W1597="positive","c","d"))))</x:f>
        <x:v>d</x:v>
      </x:c>
    </x:row>
    <x:row r="1598" ht="24" customHeight="1">
      <x:c r="A1598" s="12" t="str">
        <x:v>14923</x:v>
      </x:c>
      <x:c r="B1598" s="12" t="str">
        <x:v>3921</x:v>
      </x:c>
      <x:c r="C1598" s="21" t="n">
        <x:v>34950.35475694444</x:v>
      </x:c>
      <x:c r="D1598" s="12" t="n">
        <x:v>32</x:v>
      </x:c>
      <x:c r="E1598" s="12" t="n">
        <x:v>0</x:v>
      </x:c>
      <x:c r="F1598" s="12" t="str">
        <x:v>存在</x:v>
      </x:c>
      <x:c r="G1598" s="12" t="n">
        <x:v>1</x:v>
      </x:c>
      <x:c r="H1598" s="12" t="str">
        <x:v>{'NORM': 80.0, 'PVC': 0.0, 'SR': 0.0}</x:v>
      </x:c>
      <x:c r="I1598" s="12" t="str">
        <x:v>[('SRTH', 100.0), ('SAR', 100.0), ('PVC', 100.0), ('ABR', 100.0)]</x:v>
      </x:c>
      <x:c r="J1598" s="12" t="str">
        <x:v>ptbxl_database.csv；ecg_id=14923；scp_codes</x:v>
      </x:c>
      <x:c r="K1598" s="12" t="str">
        <x:v>12sl_statements.csv；ecg_id=14923；statements_ext_snomed</x:v>
      </x:c>
      <x:c r="L1598" s="12"/>
      <x:c r="M1598" s="12" t="str">
        <x:v>negative</x:v>
      </x:c>
      <x:c r="N1598" s="12"/>
      <x:c r="O1598" s="12" t="str">
        <x:v>negative</x:v>
      </x:c>
      <x:c r="P1598" s="12" t="str">
        <x:f>IF(OR(M1598="unavailable",O1598="unavailable"),"不可评价",IF(OR(M1598="equivocal",O1598="equivocal"),"疑似",IF(AND(M1598="positive",O1598="positive"),"a",IF(O1598="positive","b",IF(M1598="positive","c","d")))))</x:f>
        <x:v>d</x:v>
      </x:c>
      <x:c r="Q1598" s="12"/>
      <x:c r="R1598" s="12" t="str">
        <x:v>negative</x:v>
      </x:c>
      <x:c r="S1598" s="12"/>
      <x:c r="T1598" s="12" t="str">
        <x:v>negative</x:v>
      </x:c>
      <x:c r="U1598" s="12" t="str">
        <x:f>IF(OR(R1598="unavailable",T1598="unavailable"),"不可评价",IF(OR(R1598="equivocal",T1598="equivocal"),"疑似",IF(AND(R1598="positive",T1598="positive"),"a",IF(T1598="positive","b",IF(R1598="positive","c","d")))))</x:f>
        <x:v>d</x:v>
      </x:c>
      <x:c r="V1598" s="12"/>
      <x:c r="W1598" s="12" t="str">
        <x:v>negative</x:v>
      </x:c>
      <x:c r="X1598" s="12"/>
      <x:c r="Y1598" s="12" t="str">
        <x:v>negative</x:v>
      </x:c>
      <x:c r="Z1598" s="12" t="str">
        <x:f>IF(OR(W1598="unavailable",Y1598="unavailable"),"不可评价",IF(OR(W1598="equivocal",Y1598="equivocal"),"疑似",IF(AND(W1598="positive",Y1598="positive"),"a",IF(Y1598="positive","b",IF(W1598="positive","c","d")))))</x:f>
        <x:v>d</x:v>
      </x:c>
      <x:c r="AA1598" s="12" t="str">
        <x:f>IF(OR(M1598="unavailable",O1598="unavailable"),"不可评价",IF(AND(OR(M1598="positive",M1598="equivocal"),OR(O1598="positive",O1598="equivocal")),"a",IF(OR(O1598="positive",O1598="equivocal"),"b",IF(OR(M1598="positive",M1598="equivocal"),"c","d"))))</x:f>
        <x:v>d</x:v>
      </x:c>
      <x:c r="AB1598" s="12" t="str">
        <x:f>IF(OR(M1598="unavailable",O1598="unavailable"),"不可评价",IF(AND(M1598="positive",O1598="positive"),"a",IF(O1598="positive","b",IF(M1598="positive","c","d"))))</x:f>
        <x:v>d</x:v>
      </x:c>
      <x:c r="AC1598" s="12" t="str">
        <x:f>IF(OR(R1598="unavailable",T1598="unavailable"),"不可评价",IF(AND(OR(R1598="positive",R1598="equivocal"),OR(T1598="positive",T1598="equivocal")),"a",IF(OR(T1598="positive",T1598="equivocal"),"b",IF(OR(R1598="positive",R1598="equivocal"),"c","d"))))</x:f>
        <x:v>d</x:v>
      </x:c>
      <x:c r="AD1598" s="12" t="str">
        <x:f>IF(OR(R1598="unavailable",T1598="unavailable"),"不可评价",IF(AND(R1598="positive",T1598="positive"),"a",IF(T1598="positive","b",IF(R1598="positive","c","d"))))</x:f>
        <x:v>d</x:v>
      </x:c>
      <x:c r="AE1598" s="12" t="str">
        <x:f>IF(OR(W1598="unavailable",Y1598="unavailable"),"不可评价",IF(AND(OR(W1598="positive",W1598="equivocal"),OR(Y1598="positive",Y1598="equivocal")),"a",IF(OR(Y1598="positive",Y1598="equivocal"),"b",IF(OR(W1598="positive",W1598="equivocal"),"c","d"))))</x:f>
        <x:v>d</x:v>
      </x:c>
      <x:c r="AF1598" s="12" t="str">
        <x:f>IF(OR(W1598="unavailable",Y1598="unavailable"),"不可评价",IF(AND(W1598="positive",Y1598="positive"),"a",IF(Y1598="positive","b",IF(W1598="positive","c","d"))))</x:f>
        <x:v>d</x:v>
      </x:c>
    </x:row>
    <x:row r="1599" ht="39" customHeight="1">
      <x:c r="A1599" s="12" t="str">
        <x:v>14937</x:v>
      </x:c>
      <x:c r="B1599" s="12" t="str">
        <x:v>7175</x:v>
      </x:c>
      <x:c r="C1599" s="21" t="n">
        <x:v>34950.8303125</x:v>
      </x:c>
      <x:c r="D1599" s="12" t="n">
        <x:v>78</x:v>
      </x:c>
      <x:c r="E1599" s="12" t="n">
        <x:v>1</x:v>
      </x:c>
      <x:c r="F1599" s="12" t="str">
        <x:v>未记录</x:v>
      </x:c>
      <x:c r="G1599" s="12" t="n">
        <x:v>1</x:v>
      </x:c>
      <x:c r="H1599" s="12" t="str">
        <x:v>{'ASMI': 100.0, 'ILBBB': 100.0}</x:v>
      </x:c>
      <x:c r="I1599" s="12" t="str">
        <x:v>[('NSR', 100.0), ('LVH2', 100.0), ('QRSW-2ST', 100.0), ('SMI;AU', 15.0), ('AB', 100.0)]</x:v>
      </x:c>
      <x:c r="J1599" s="12" t="str">
        <x:v>ptbxl_database.csv；ecg_id=14937；scp_codes</x:v>
      </x:c>
      <x:c r="K1599" s="12" t="str">
        <x:v>12sl_statements.csv；ecg_id=14937；statements_ext_snomed</x:v>
      </x:c>
      <x:c r="L1599" s="12"/>
      <x:c r="M1599" s="12" t="str">
        <x:v>negative</x:v>
      </x:c>
      <x:c r="N1599" s="12"/>
      <x:c r="O1599" s="12" t="str">
        <x:v>negative</x:v>
      </x:c>
      <x:c r="P1599" s="12" t="str">
        <x:f>IF(OR(M1599="unavailable",O1599="unavailable"),"不可评价",IF(OR(M1599="equivocal",O1599="equivocal"),"疑似",IF(AND(M1599="positive",O1599="positive"),"a",IF(O1599="positive","b",IF(M1599="positive","c","d")))))</x:f>
        <x:v>d</x:v>
      </x:c>
      <x:c r="Q1599" s="12"/>
      <x:c r="R1599" s="12" t="str">
        <x:v>negative</x:v>
      </x:c>
      <x:c r="S1599" s="12"/>
      <x:c r="T1599" s="12" t="str">
        <x:v>negative</x:v>
      </x:c>
      <x:c r="U1599" s="12" t="str">
        <x:f>IF(OR(R1599="unavailable",T1599="unavailable"),"不可评价",IF(OR(R1599="equivocal",T1599="equivocal"),"疑似",IF(AND(R1599="positive",T1599="positive"),"a",IF(T1599="positive","b",IF(R1599="positive","c","d")))))</x:f>
        <x:v>d</x:v>
      </x:c>
      <x:c r="V1599" s="12"/>
      <x:c r="W1599" s="12" t="str">
        <x:v>negative</x:v>
      </x:c>
      <x:c r="X1599" s="12"/>
      <x:c r="Y1599" s="12" t="str">
        <x:v>negative</x:v>
      </x:c>
      <x:c r="Z1599" s="12" t="str">
        <x:f>IF(OR(W1599="unavailable",Y1599="unavailable"),"不可评价",IF(OR(W1599="equivocal",Y1599="equivocal"),"疑似",IF(AND(W1599="positive",Y1599="positive"),"a",IF(Y1599="positive","b",IF(W1599="positive","c","d")))))</x:f>
        <x:v>d</x:v>
      </x:c>
      <x:c r="AA1599" s="12" t="str">
        <x:f>IF(OR(M1599="unavailable",O1599="unavailable"),"不可评价",IF(AND(OR(M1599="positive",M1599="equivocal"),OR(O1599="positive",O1599="equivocal")),"a",IF(OR(O1599="positive",O1599="equivocal"),"b",IF(OR(M1599="positive",M1599="equivocal"),"c","d"))))</x:f>
        <x:v>d</x:v>
      </x:c>
      <x:c r="AB1599" s="12" t="str">
        <x:f>IF(OR(M1599="unavailable",O1599="unavailable"),"不可评价",IF(AND(M1599="positive",O1599="positive"),"a",IF(O1599="positive","b",IF(M1599="positive","c","d"))))</x:f>
        <x:v>d</x:v>
      </x:c>
      <x:c r="AC1599" s="12" t="str">
        <x:f>IF(OR(R1599="unavailable",T1599="unavailable"),"不可评价",IF(AND(OR(R1599="positive",R1599="equivocal"),OR(T1599="positive",T1599="equivocal")),"a",IF(OR(T1599="positive",T1599="equivocal"),"b",IF(OR(R1599="positive",R1599="equivocal"),"c","d"))))</x:f>
        <x:v>d</x:v>
      </x:c>
      <x:c r="AD1599" s="12" t="str">
        <x:f>IF(OR(R1599="unavailable",T1599="unavailable"),"不可评价",IF(AND(R1599="positive",T1599="positive"),"a",IF(T1599="positive","b",IF(R1599="positive","c","d"))))</x:f>
        <x:v>d</x:v>
      </x:c>
      <x:c r="AE1599" s="12" t="str">
        <x:f>IF(OR(W1599="unavailable",Y1599="unavailable"),"不可评价",IF(AND(OR(W1599="positive",W1599="equivocal"),OR(Y1599="positive",Y1599="equivocal")),"a",IF(OR(Y1599="positive",Y1599="equivocal"),"b",IF(OR(W1599="positive",W1599="equivocal"),"c","d"))))</x:f>
        <x:v>d</x:v>
      </x:c>
      <x:c r="AF1599" s="12" t="str">
        <x:f>IF(OR(W1599="unavailable",Y1599="unavailable"),"不可评价",IF(AND(W1599="positive",Y1599="positive"),"a",IF(Y1599="positive","b",IF(W1599="positive","c","d"))))</x:f>
        <x:v>d</x:v>
      </x:c>
    </x:row>
    <x:row r="1600" ht="24" customHeight="1">
      <x:c r="A1600" s="12" t="str">
        <x:v>14938</x:v>
      </x:c>
      <x:c r="B1600" s="12" t="str">
        <x:v>17162</x:v>
      </x:c>
      <x:c r="C1600" s="21" t="n">
        <x:v>34951.36351851852</x:v>
      </x:c>
      <x:c r="D1600" s="12" t="n">
        <x:v>18</x:v>
      </x:c>
      <x:c r="E1600" s="12" t="n">
        <x:v>1</x:v>
      </x:c>
      <x:c r="F1600" s="12" t="str">
        <x:v>未记录</x:v>
      </x:c>
      <x:c r="G1600" s="12" t="n">
        <x:v>1</x:v>
      </x:c>
      <x:c r="H1600" s="12" t="str">
        <x:v>{'NORM': 100.0, 'SR': 0.0}</x:v>
      </x:c>
      <x:c r="I1600" s="12" t="str">
        <x:v>[('SBRAD', 100.0), ('SAR', 100.0), ('ABR', 100.0)]</x:v>
      </x:c>
      <x:c r="J1600" s="12" t="str">
        <x:v>ptbxl_database.csv；ecg_id=14938；scp_codes</x:v>
      </x:c>
      <x:c r="K1600" s="12" t="str">
        <x:v>12sl_statements.csv；ecg_id=14938；statements_ext_snomed</x:v>
      </x:c>
      <x:c r="L1600" s="12"/>
      <x:c r="M1600" s="12" t="str">
        <x:v>negative</x:v>
      </x:c>
      <x:c r="N1600" s="12"/>
      <x:c r="O1600" s="12" t="str">
        <x:v>negative</x:v>
      </x:c>
      <x:c r="P1600" s="12" t="str">
        <x:f>IF(OR(M1600="unavailable",O1600="unavailable"),"不可评价",IF(OR(M1600="equivocal",O1600="equivocal"),"疑似",IF(AND(M1600="positive",O1600="positive"),"a",IF(O1600="positive","b",IF(M1600="positive","c","d")))))</x:f>
        <x:v>d</x:v>
      </x:c>
      <x:c r="Q1600" s="12"/>
      <x:c r="R1600" s="12" t="str">
        <x:v>negative</x:v>
      </x:c>
      <x:c r="S1600" s="12"/>
      <x:c r="T1600" s="12" t="str">
        <x:v>negative</x:v>
      </x:c>
      <x:c r="U1600" s="12" t="str">
        <x:f>IF(OR(R1600="unavailable",T1600="unavailable"),"不可评价",IF(OR(R1600="equivocal",T1600="equivocal"),"疑似",IF(AND(R1600="positive",T1600="positive"),"a",IF(T1600="positive","b",IF(R1600="positive","c","d")))))</x:f>
        <x:v>d</x:v>
      </x:c>
      <x:c r="V1600" s="12"/>
      <x:c r="W1600" s="12" t="str">
        <x:v>negative</x:v>
      </x:c>
      <x:c r="X1600" s="12"/>
      <x:c r="Y1600" s="12" t="str">
        <x:v>negative</x:v>
      </x:c>
      <x:c r="Z1600" s="12" t="str">
        <x:f>IF(OR(W1600="unavailable",Y1600="unavailable"),"不可评价",IF(OR(W1600="equivocal",Y1600="equivocal"),"疑似",IF(AND(W1600="positive",Y1600="positive"),"a",IF(Y1600="positive","b",IF(W1600="positive","c","d")))))</x:f>
        <x:v>d</x:v>
      </x:c>
      <x:c r="AA1600" s="12" t="str">
        <x:f>IF(OR(M1600="unavailable",O1600="unavailable"),"不可评价",IF(AND(OR(M1600="positive",M1600="equivocal"),OR(O1600="positive",O1600="equivocal")),"a",IF(OR(O1600="positive",O1600="equivocal"),"b",IF(OR(M1600="positive",M1600="equivocal"),"c","d"))))</x:f>
        <x:v>d</x:v>
      </x:c>
      <x:c r="AB1600" s="12" t="str">
        <x:f>IF(OR(M1600="unavailable",O1600="unavailable"),"不可评价",IF(AND(M1600="positive",O1600="positive"),"a",IF(O1600="positive","b",IF(M1600="positive","c","d"))))</x:f>
        <x:v>d</x:v>
      </x:c>
      <x:c r="AC1600" s="12" t="str">
        <x:f>IF(OR(R1600="unavailable",T1600="unavailable"),"不可评价",IF(AND(OR(R1600="positive",R1600="equivocal"),OR(T1600="positive",T1600="equivocal")),"a",IF(OR(T1600="positive",T1600="equivocal"),"b",IF(OR(R1600="positive",R1600="equivocal"),"c","d"))))</x:f>
        <x:v>d</x:v>
      </x:c>
      <x:c r="AD1600" s="12" t="str">
        <x:f>IF(OR(R1600="unavailable",T1600="unavailable"),"不可评价",IF(AND(R1600="positive",T1600="positive"),"a",IF(T1600="positive","b",IF(R1600="positive","c","d"))))</x:f>
        <x:v>d</x:v>
      </x:c>
      <x:c r="AE1600" s="12" t="str">
        <x:f>IF(OR(W1600="unavailable",Y1600="unavailable"),"不可评价",IF(AND(OR(W1600="positive",W1600="equivocal"),OR(Y1600="positive",Y1600="equivocal")),"a",IF(OR(Y1600="positive",Y1600="equivocal"),"b",IF(OR(W1600="positive",W1600="equivocal"),"c","d"))))</x:f>
        <x:v>d</x:v>
      </x:c>
      <x:c r="AF1600" s="12" t="str">
        <x:f>IF(OR(W1600="unavailable",Y1600="unavailable"),"不可评价",IF(AND(W1600="positive",Y1600="positive"),"a",IF(Y1600="positive","b",IF(W1600="positive","c","d"))))</x:f>
        <x:v>d</x:v>
      </x:c>
    </x:row>
    <x:row r="1601" ht="24" customHeight="1">
      <x:c r="A1601" s="12" t="str">
        <x:v>14944</x:v>
      </x:c>
      <x:c r="B1601" s="12" t="str">
        <x:v>6969</x:v>
      </x:c>
      <x:c r="C1601" s="21" t="n">
        <x:v>34951.591574074075</x:v>
      </x:c>
      <x:c r="D1601" s="12" t="n">
        <x:v>69</x:v>
      </x:c>
      <x:c r="E1601" s="12" t="n">
        <x:v>1</x:v>
      </x:c>
      <x:c r="F1601" s="12" t="str">
        <x:v>未记录</x:v>
      </x:c>
      <x:c r="G1601" s="12" t="n">
        <x:v>1</x:v>
      </x:c>
      <x:c r="H1601" s="12" t="str">
        <x:v>{'NORM': 100.0, 'SR': 0.0}</x:v>
      </x:c>
      <x:c r="I1601" s="12" t="str">
        <x:v>[('NSR', 100.0), ('NML', 100.0)]</x:v>
      </x:c>
      <x:c r="J1601" s="12" t="str">
        <x:v>ptbxl_database.csv；ecg_id=14944；scp_codes</x:v>
      </x:c>
      <x:c r="K1601" s="12" t="str">
        <x:v>12sl_statements.csv；ecg_id=14944；statements_ext_snomed</x:v>
      </x:c>
      <x:c r="L1601" s="12"/>
      <x:c r="M1601" s="12" t="str">
        <x:v>negative</x:v>
      </x:c>
      <x:c r="N1601" s="12"/>
      <x:c r="O1601" s="12" t="str">
        <x:v>negative</x:v>
      </x:c>
      <x:c r="P1601" s="12" t="str">
        <x:f>IF(OR(M1601="unavailable",O1601="unavailable"),"不可评价",IF(OR(M1601="equivocal",O1601="equivocal"),"疑似",IF(AND(M1601="positive",O1601="positive"),"a",IF(O1601="positive","b",IF(M1601="positive","c","d")))))</x:f>
        <x:v>d</x:v>
      </x:c>
      <x:c r="Q1601" s="12"/>
      <x:c r="R1601" s="12" t="str">
        <x:v>negative</x:v>
      </x:c>
      <x:c r="S1601" s="12"/>
      <x:c r="T1601" s="12" t="str">
        <x:v>negative</x:v>
      </x:c>
      <x:c r="U1601" s="12" t="str">
        <x:f>IF(OR(R1601="unavailable",T1601="unavailable"),"不可评价",IF(OR(R1601="equivocal",T1601="equivocal"),"疑似",IF(AND(R1601="positive",T1601="positive"),"a",IF(T1601="positive","b",IF(R1601="positive","c","d")))))</x:f>
        <x:v>d</x:v>
      </x:c>
      <x:c r="V1601" s="12"/>
      <x:c r="W1601" s="12" t="str">
        <x:v>negative</x:v>
      </x:c>
      <x:c r="X1601" s="12"/>
      <x:c r="Y1601" s="12" t="str">
        <x:v>negative</x:v>
      </x:c>
      <x:c r="Z1601" s="12" t="str">
        <x:f>IF(OR(W1601="unavailable",Y1601="unavailable"),"不可评价",IF(OR(W1601="equivocal",Y1601="equivocal"),"疑似",IF(AND(W1601="positive",Y1601="positive"),"a",IF(Y1601="positive","b",IF(W1601="positive","c","d")))))</x:f>
        <x:v>d</x:v>
      </x:c>
      <x:c r="AA1601" s="12" t="str">
        <x:f>IF(OR(M1601="unavailable",O1601="unavailable"),"不可评价",IF(AND(OR(M1601="positive",M1601="equivocal"),OR(O1601="positive",O1601="equivocal")),"a",IF(OR(O1601="positive",O1601="equivocal"),"b",IF(OR(M1601="positive",M1601="equivocal"),"c","d"))))</x:f>
        <x:v>d</x:v>
      </x:c>
      <x:c r="AB1601" s="12" t="str">
        <x:f>IF(OR(M1601="unavailable",O1601="unavailable"),"不可评价",IF(AND(M1601="positive",O1601="positive"),"a",IF(O1601="positive","b",IF(M1601="positive","c","d"))))</x:f>
        <x:v>d</x:v>
      </x:c>
      <x:c r="AC1601" s="12" t="str">
        <x:f>IF(OR(R1601="unavailable",T1601="unavailable"),"不可评价",IF(AND(OR(R1601="positive",R1601="equivocal"),OR(T1601="positive",T1601="equivocal")),"a",IF(OR(T1601="positive",T1601="equivocal"),"b",IF(OR(R1601="positive",R1601="equivocal"),"c","d"))))</x:f>
        <x:v>d</x:v>
      </x:c>
      <x:c r="AD1601" s="12" t="str">
        <x:f>IF(OR(R1601="unavailable",T1601="unavailable"),"不可评价",IF(AND(R1601="positive",T1601="positive"),"a",IF(T1601="positive","b",IF(R1601="positive","c","d"))))</x:f>
        <x:v>d</x:v>
      </x:c>
      <x:c r="AE1601" s="12" t="str">
        <x:f>IF(OR(W1601="unavailable",Y1601="unavailable"),"不可评价",IF(AND(OR(W1601="positive",W1601="equivocal"),OR(Y1601="positive",Y1601="equivocal")),"a",IF(OR(Y1601="positive",Y1601="equivocal"),"b",IF(OR(W1601="positive",W1601="equivocal"),"c","d"))))</x:f>
        <x:v>d</x:v>
      </x:c>
      <x:c r="AF1601" s="12" t="str">
        <x:f>IF(OR(W1601="unavailable",Y1601="unavailable"),"不可评价",IF(AND(W1601="positive",Y1601="positive"),"a",IF(Y1601="positive","b",IF(W1601="positive","c","d"))))</x:f>
        <x:v>d</x:v>
      </x:c>
    </x:row>
    <x:row r="1602" ht="24" customHeight="1">
      <x:c r="A1602" s="12" t="str">
        <x:v>14946</x:v>
      </x:c>
      <x:c r="B1602" s="12" t="str">
        <x:v>14116</x:v>
      </x:c>
      <x:c r="C1602" s="21" t="n">
        <x:v>34952.32239583333</x:v>
      </x:c>
      <x:c r="D1602" s="12" t="n">
        <x:v>55</x:v>
      </x:c>
      <x:c r="E1602" s="12" t="n">
        <x:v>0</x:v>
      </x:c>
      <x:c r="F1602" s="12" t="str">
        <x:v>未记录</x:v>
      </x:c>
      <x:c r="G1602" s="12" t="n">
        <x:v>1</x:v>
      </x:c>
      <x:c r="H1602" s="12" t="str">
        <x:v>{'NORM': 100.0, 'SR': 0.0}</x:v>
      </x:c>
      <x:c r="I1602" s="12" t="str">
        <x:v>[('SBRAD', 100.0), ('ABR', 100.0)]</x:v>
      </x:c>
      <x:c r="J1602" s="12" t="str">
        <x:v>ptbxl_database.csv；ecg_id=14946；scp_codes</x:v>
      </x:c>
      <x:c r="K1602" s="12" t="str">
        <x:v>12sl_statements.csv；ecg_id=14946；statements_ext_snomed</x:v>
      </x:c>
      <x:c r="L1602" s="12"/>
      <x:c r="M1602" s="12" t="str">
        <x:v>negative</x:v>
      </x:c>
      <x:c r="N1602" s="12"/>
      <x:c r="O1602" s="12" t="str">
        <x:v>negative</x:v>
      </x:c>
      <x:c r="P1602" s="12" t="str">
        <x:f>IF(OR(M1602="unavailable",O1602="unavailable"),"不可评价",IF(OR(M1602="equivocal",O1602="equivocal"),"疑似",IF(AND(M1602="positive",O1602="positive"),"a",IF(O1602="positive","b",IF(M1602="positive","c","d")))))</x:f>
        <x:v>d</x:v>
      </x:c>
      <x:c r="Q1602" s="12"/>
      <x:c r="R1602" s="12" t="str">
        <x:v>negative</x:v>
      </x:c>
      <x:c r="S1602" s="12"/>
      <x:c r="T1602" s="12" t="str">
        <x:v>negative</x:v>
      </x:c>
      <x:c r="U1602" s="12" t="str">
        <x:f>IF(OR(R1602="unavailable",T1602="unavailable"),"不可评价",IF(OR(R1602="equivocal",T1602="equivocal"),"疑似",IF(AND(R1602="positive",T1602="positive"),"a",IF(T1602="positive","b",IF(R1602="positive","c","d")))))</x:f>
        <x:v>d</x:v>
      </x:c>
      <x:c r="V1602" s="12"/>
      <x:c r="W1602" s="12" t="str">
        <x:v>negative</x:v>
      </x:c>
      <x:c r="X1602" s="12"/>
      <x:c r="Y1602" s="12" t="str">
        <x:v>negative</x:v>
      </x:c>
      <x:c r="Z1602" s="12" t="str">
        <x:f>IF(OR(W1602="unavailable",Y1602="unavailable"),"不可评价",IF(OR(W1602="equivocal",Y1602="equivocal"),"疑似",IF(AND(W1602="positive",Y1602="positive"),"a",IF(Y1602="positive","b",IF(W1602="positive","c","d")))))</x:f>
        <x:v>d</x:v>
      </x:c>
      <x:c r="AA1602" s="12" t="str">
        <x:f>IF(OR(M1602="unavailable",O1602="unavailable"),"不可评价",IF(AND(OR(M1602="positive",M1602="equivocal"),OR(O1602="positive",O1602="equivocal")),"a",IF(OR(O1602="positive",O1602="equivocal"),"b",IF(OR(M1602="positive",M1602="equivocal"),"c","d"))))</x:f>
        <x:v>d</x:v>
      </x:c>
      <x:c r="AB1602" s="12" t="str">
        <x:f>IF(OR(M1602="unavailable",O1602="unavailable"),"不可评价",IF(AND(M1602="positive",O1602="positive"),"a",IF(O1602="positive","b",IF(M1602="positive","c","d"))))</x:f>
        <x:v>d</x:v>
      </x:c>
      <x:c r="AC1602" s="12" t="str">
        <x:f>IF(OR(R1602="unavailable",T1602="unavailable"),"不可评价",IF(AND(OR(R1602="positive",R1602="equivocal"),OR(T1602="positive",T1602="equivocal")),"a",IF(OR(T1602="positive",T1602="equivocal"),"b",IF(OR(R1602="positive",R1602="equivocal"),"c","d"))))</x:f>
        <x:v>d</x:v>
      </x:c>
      <x:c r="AD1602" s="12" t="str">
        <x:f>IF(OR(R1602="unavailable",T1602="unavailable"),"不可评价",IF(AND(R1602="positive",T1602="positive"),"a",IF(T1602="positive","b",IF(R1602="positive","c","d"))))</x:f>
        <x:v>d</x:v>
      </x:c>
      <x:c r="AE1602" s="12" t="str">
        <x:f>IF(OR(W1602="unavailable",Y1602="unavailable"),"不可评价",IF(AND(OR(W1602="positive",W1602="equivocal"),OR(Y1602="positive",Y1602="equivocal")),"a",IF(OR(Y1602="positive",Y1602="equivocal"),"b",IF(OR(W1602="positive",W1602="equivocal"),"c","d"))))</x:f>
        <x:v>d</x:v>
      </x:c>
      <x:c r="AF1602" s="12" t="str">
        <x:f>IF(OR(W1602="unavailable",Y1602="unavailable"),"不可评价",IF(AND(W1602="positive",Y1602="positive"),"a",IF(Y1602="positive","b",IF(W1602="positive","c","d"))))</x:f>
        <x:v>d</x:v>
      </x:c>
    </x:row>
    <x:row r="1603" ht="24" customHeight="1">
      <x:c r="A1603" s="12" t="str">
        <x:v>14965</x:v>
      </x:c>
      <x:c r="B1603" s="12" t="str">
        <x:v>7440</x:v>
      </x:c>
      <x:c r="C1603" s="21" t="n">
        <x:v>34953.88538194444</x:v>
      </x:c>
      <x:c r="D1603" s="12" t="n">
        <x:v>74</x:v>
      </x:c>
      <x:c r="E1603" s="12" t="n">
        <x:v>0</x:v>
      </x:c>
      <x:c r="F1603" s="12" t="str">
        <x:v>未记录</x:v>
      </x:c>
      <x:c r="G1603" s="12" t="n">
        <x:v>1</x:v>
      </x:c>
      <x:c r="H1603" s="12" t="str">
        <x:v>{'LVH': 100.0, 'NST_': 0.0, 'SR': 0.0}</x:v>
      </x:c>
      <x:c r="I1603" s="12" t="str">
        <x:v>[('NSR', 100.0), ('LVH2', 100.0), ('2ST', 100.0), ('AB', 100.0)]</x:v>
      </x:c>
      <x:c r="J1603" s="12" t="str">
        <x:v>ptbxl_database.csv；ecg_id=14965；scp_codes</x:v>
      </x:c>
      <x:c r="K1603" s="12" t="str">
        <x:v>12sl_statements.csv；ecg_id=14965；statements_ext_snomed</x:v>
      </x:c>
      <x:c r="L1603" s="12"/>
      <x:c r="M1603" s="12" t="str">
        <x:v>negative</x:v>
      </x:c>
      <x:c r="N1603" s="12"/>
      <x:c r="O1603" s="12" t="str">
        <x:v>negative</x:v>
      </x:c>
      <x:c r="P1603" s="12" t="str">
        <x:f>IF(OR(M1603="unavailable",O1603="unavailable"),"不可评价",IF(OR(M1603="equivocal",O1603="equivocal"),"疑似",IF(AND(M1603="positive",O1603="positive"),"a",IF(O1603="positive","b",IF(M1603="positive","c","d")))))</x:f>
        <x:v>d</x:v>
      </x:c>
      <x:c r="Q1603" s="12"/>
      <x:c r="R1603" s="12" t="str">
        <x:v>negative</x:v>
      </x:c>
      <x:c r="S1603" s="12"/>
      <x:c r="T1603" s="12" t="str">
        <x:v>negative</x:v>
      </x:c>
      <x:c r="U1603" s="12" t="str">
        <x:f>IF(OR(R1603="unavailable",T1603="unavailable"),"不可评价",IF(OR(R1603="equivocal",T1603="equivocal"),"疑似",IF(AND(R1603="positive",T1603="positive"),"a",IF(T1603="positive","b",IF(R1603="positive","c","d")))))</x:f>
        <x:v>d</x:v>
      </x:c>
      <x:c r="V1603" s="12"/>
      <x:c r="W1603" s="12" t="str">
        <x:v>negative</x:v>
      </x:c>
      <x:c r="X1603" s="12"/>
      <x:c r="Y1603" s="12" t="str">
        <x:v>negative</x:v>
      </x:c>
      <x:c r="Z1603" s="12" t="str">
        <x:f>IF(OR(W1603="unavailable",Y1603="unavailable"),"不可评价",IF(OR(W1603="equivocal",Y1603="equivocal"),"疑似",IF(AND(W1603="positive",Y1603="positive"),"a",IF(Y1603="positive","b",IF(W1603="positive","c","d")))))</x:f>
        <x:v>d</x:v>
      </x:c>
      <x:c r="AA1603" s="12" t="str">
        <x:f>IF(OR(M1603="unavailable",O1603="unavailable"),"不可评价",IF(AND(OR(M1603="positive",M1603="equivocal"),OR(O1603="positive",O1603="equivocal")),"a",IF(OR(O1603="positive",O1603="equivocal"),"b",IF(OR(M1603="positive",M1603="equivocal"),"c","d"))))</x:f>
        <x:v>d</x:v>
      </x:c>
      <x:c r="AB1603" s="12" t="str">
        <x:f>IF(OR(M1603="unavailable",O1603="unavailable"),"不可评价",IF(AND(M1603="positive",O1603="positive"),"a",IF(O1603="positive","b",IF(M1603="positive","c","d"))))</x:f>
        <x:v>d</x:v>
      </x:c>
      <x:c r="AC1603" s="12" t="str">
        <x:f>IF(OR(R1603="unavailable",T1603="unavailable"),"不可评价",IF(AND(OR(R1603="positive",R1603="equivocal"),OR(T1603="positive",T1603="equivocal")),"a",IF(OR(T1603="positive",T1603="equivocal"),"b",IF(OR(R1603="positive",R1603="equivocal"),"c","d"))))</x:f>
        <x:v>d</x:v>
      </x:c>
      <x:c r="AD1603" s="12" t="str">
        <x:f>IF(OR(R1603="unavailable",T1603="unavailable"),"不可评价",IF(AND(R1603="positive",T1603="positive"),"a",IF(T1603="positive","b",IF(R1603="positive","c","d"))))</x:f>
        <x:v>d</x:v>
      </x:c>
      <x:c r="AE1603" s="12" t="str">
        <x:f>IF(OR(W1603="unavailable",Y1603="unavailable"),"不可评价",IF(AND(OR(W1603="positive",W1603="equivocal"),OR(Y1603="positive",Y1603="equivocal")),"a",IF(OR(Y1603="positive",Y1603="equivocal"),"b",IF(OR(W1603="positive",W1603="equivocal"),"c","d"))))</x:f>
        <x:v>d</x:v>
      </x:c>
      <x:c r="AF1603" s="12" t="str">
        <x:f>IF(OR(W1603="unavailable",Y1603="unavailable"),"不可评价",IF(AND(W1603="positive",Y1603="positive"),"a",IF(Y1603="positive","b",IF(W1603="positive","c","d"))))</x:f>
        <x:v>d</x:v>
      </x:c>
    </x:row>
    <x:row r="1604" ht="24" customHeight="1">
      <x:c r="A1604" s="12" t="str">
        <x:v>14976</x:v>
      </x:c>
      <x:c r="B1604" s="12" t="str">
        <x:v>9325</x:v>
      </x:c>
      <x:c r="C1604" s="21" t="n">
        <x:v>34954.72828703704</x:v>
      </x:c>
      <x:c r="D1604" s="12" t="n">
        <x:v>72</x:v>
      </x:c>
      <x:c r="E1604" s="12" t="n">
        <x:v>1</x:v>
      </x:c>
      <x:c r="F1604" s="12" t="str">
        <x:v>未记录</x:v>
      </x:c>
      <x:c r="G1604" s="12" t="n">
        <x:v>1</x:v>
      </x:c>
      <x:c r="H1604" s="12" t="str">
        <x:v>{'NORM': 100.0, 'SR': 0.0}</x:v>
      </x:c>
      <x:c r="I1604" s="12" t="str">
        <x:v>[('SBRAD', 100.0), ('ABR', 100.0)]</x:v>
      </x:c>
      <x:c r="J1604" s="12" t="str">
        <x:v>ptbxl_database.csv；ecg_id=14976；scp_codes</x:v>
      </x:c>
      <x:c r="K1604" s="12" t="str">
        <x:v>12sl_statements.csv；ecg_id=14976；statements_ext_snomed</x:v>
      </x:c>
      <x:c r="L1604" s="12"/>
      <x:c r="M1604" s="12" t="str">
        <x:v>negative</x:v>
      </x:c>
      <x:c r="N1604" s="12"/>
      <x:c r="O1604" s="12" t="str">
        <x:v>negative</x:v>
      </x:c>
      <x:c r="P1604" s="12" t="str">
        <x:f>IF(OR(M1604="unavailable",O1604="unavailable"),"不可评价",IF(OR(M1604="equivocal",O1604="equivocal"),"疑似",IF(AND(M1604="positive",O1604="positive"),"a",IF(O1604="positive","b",IF(M1604="positive","c","d")))))</x:f>
        <x:v>d</x:v>
      </x:c>
      <x:c r="Q1604" s="12"/>
      <x:c r="R1604" s="12" t="str">
        <x:v>negative</x:v>
      </x:c>
      <x:c r="S1604" s="12"/>
      <x:c r="T1604" s="12" t="str">
        <x:v>negative</x:v>
      </x:c>
      <x:c r="U1604" s="12" t="str">
        <x:f>IF(OR(R1604="unavailable",T1604="unavailable"),"不可评价",IF(OR(R1604="equivocal",T1604="equivocal"),"疑似",IF(AND(R1604="positive",T1604="positive"),"a",IF(T1604="positive","b",IF(R1604="positive","c","d")))))</x:f>
        <x:v>d</x:v>
      </x:c>
      <x:c r="V1604" s="12"/>
      <x:c r="W1604" s="12" t="str">
        <x:v>negative</x:v>
      </x:c>
      <x:c r="X1604" s="12"/>
      <x:c r="Y1604" s="12" t="str">
        <x:v>negative</x:v>
      </x:c>
      <x:c r="Z1604" s="12" t="str">
        <x:f>IF(OR(W1604="unavailable",Y1604="unavailable"),"不可评价",IF(OR(W1604="equivocal",Y1604="equivocal"),"疑似",IF(AND(W1604="positive",Y1604="positive"),"a",IF(Y1604="positive","b",IF(W1604="positive","c","d")))))</x:f>
        <x:v>d</x:v>
      </x:c>
      <x:c r="AA1604" s="12" t="str">
        <x:f>IF(OR(M1604="unavailable",O1604="unavailable"),"不可评价",IF(AND(OR(M1604="positive",M1604="equivocal"),OR(O1604="positive",O1604="equivocal")),"a",IF(OR(O1604="positive",O1604="equivocal"),"b",IF(OR(M1604="positive",M1604="equivocal"),"c","d"))))</x:f>
        <x:v>d</x:v>
      </x:c>
      <x:c r="AB1604" s="12" t="str">
        <x:f>IF(OR(M1604="unavailable",O1604="unavailable"),"不可评价",IF(AND(M1604="positive",O1604="positive"),"a",IF(O1604="positive","b",IF(M1604="positive","c","d"))))</x:f>
        <x:v>d</x:v>
      </x:c>
      <x:c r="AC1604" s="12" t="str">
        <x:f>IF(OR(R1604="unavailable",T1604="unavailable"),"不可评价",IF(AND(OR(R1604="positive",R1604="equivocal"),OR(T1604="positive",T1604="equivocal")),"a",IF(OR(T1604="positive",T1604="equivocal"),"b",IF(OR(R1604="positive",R1604="equivocal"),"c","d"))))</x:f>
        <x:v>d</x:v>
      </x:c>
      <x:c r="AD1604" s="12" t="str">
        <x:f>IF(OR(R1604="unavailable",T1604="unavailable"),"不可评价",IF(AND(R1604="positive",T1604="positive"),"a",IF(T1604="positive","b",IF(R1604="positive","c","d"))))</x:f>
        <x:v>d</x:v>
      </x:c>
      <x:c r="AE1604" s="12" t="str">
        <x:f>IF(OR(W1604="unavailable",Y1604="unavailable"),"不可评价",IF(AND(OR(W1604="positive",W1604="equivocal"),OR(Y1604="positive",Y1604="equivocal")),"a",IF(OR(Y1604="positive",Y1604="equivocal"),"b",IF(OR(W1604="positive",W1604="equivocal"),"c","d"))))</x:f>
        <x:v>d</x:v>
      </x:c>
      <x:c r="AF1604" s="12" t="str">
        <x:f>IF(OR(W1604="unavailable",Y1604="unavailable"),"不可评价",IF(AND(W1604="positive",Y1604="positive"),"a",IF(Y1604="positive","b",IF(W1604="positive","c","d"))))</x:f>
        <x:v>d</x:v>
      </x:c>
    </x:row>
    <x:row r="1605" ht="24" customHeight="1">
      <x:c r="A1605" s="12" t="str">
        <x:v>15015</x:v>
      </x:c>
      <x:c r="B1605" s="12" t="str">
        <x:v>4462</x:v>
      </x:c>
      <x:c r="C1605" s="21" t="n">
        <x:v>34960.32277777778</x:v>
      </x:c>
      <x:c r="D1605" s="12" t="n">
        <x:v>33</x:v>
      </x:c>
      <x:c r="E1605" s="12" t="n">
        <x:v>1</x:v>
      </x:c>
      <x:c r="F1605" s="12" t="str">
        <x:v>存在</x:v>
      </x:c>
      <x:c r="G1605" s="12" t="n">
        <x:v>1</x:v>
      </x:c>
      <x:c r="H1605" s="12" t="str">
        <x:v>{'NORM': 100.0, 'SARRH': 0.0}</x:v>
      </x:c>
      <x:c r="I1605" s="12" t="str">
        <x:v>[('NSR', 100.0), ('NML', 100.0)]</x:v>
      </x:c>
      <x:c r="J1605" s="12" t="str">
        <x:v>ptbxl_database.csv；ecg_id=15015；scp_codes</x:v>
      </x:c>
      <x:c r="K1605" s="12" t="str">
        <x:v>12sl_statements.csv；ecg_id=15015；statements_ext_snomed</x:v>
      </x:c>
      <x:c r="L1605" s="12"/>
      <x:c r="M1605" s="12" t="str">
        <x:v>negative</x:v>
      </x:c>
      <x:c r="N1605" s="12"/>
      <x:c r="O1605" s="12" t="str">
        <x:v>negative</x:v>
      </x:c>
      <x:c r="P1605" s="12" t="str">
        <x:f>IF(OR(M1605="unavailable",O1605="unavailable"),"不可评价",IF(OR(M1605="equivocal",O1605="equivocal"),"疑似",IF(AND(M1605="positive",O1605="positive"),"a",IF(O1605="positive","b",IF(M1605="positive","c","d")))))</x:f>
        <x:v>d</x:v>
      </x:c>
      <x:c r="Q1605" s="12"/>
      <x:c r="R1605" s="12" t="str">
        <x:v>negative</x:v>
      </x:c>
      <x:c r="S1605" s="12"/>
      <x:c r="T1605" s="12" t="str">
        <x:v>negative</x:v>
      </x:c>
      <x:c r="U1605" s="12" t="str">
        <x:f>IF(OR(R1605="unavailable",T1605="unavailable"),"不可评价",IF(OR(R1605="equivocal",T1605="equivocal"),"疑似",IF(AND(R1605="positive",T1605="positive"),"a",IF(T1605="positive","b",IF(R1605="positive","c","d")))))</x:f>
        <x:v>d</x:v>
      </x:c>
      <x:c r="V1605" s="12"/>
      <x:c r="W1605" s="12" t="str">
        <x:v>negative</x:v>
      </x:c>
      <x:c r="X1605" s="12"/>
      <x:c r="Y1605" s="12" t="str">
        <x:v>negative</x:v>
      </x:c>
      <x:c r="Z1605" s="12" t="str">
        <x:f>IF(OR(W1605="unavailable",Y1605="unavailable"),"不可评价",IF(OR(W1605="equivocal",Y1605="equivocal"),"疑似",IF(AND(W1605="positive",Y1605="positive"),"a",IF(Y1605="positive","b",IF(W1605="positive","c","d")))))</x:f>
        <x:v>d</x:v>
      </x:c>
      <x:c r="AA1605" s="12" t="str">
        <x:f>IF(OR(M1605="unavailable",O1605="unavailable"),"不可评价",IF(AND(OR(M1605="positive",M1605="equivocal"),OR(O1605="positive",O1605="equivocal")),"a",IF(OR(O1605="positive",O1605="equivocal"),"b",IF(OR(M1605="positive",M1605="equivocal"),"c","d"))))</x:f>
        <x:v>d</x:v>
      </x:c>
      <x:c r="AB1605" s="12" t="str">
        <x:f>IF(OR(M1605="unavailable",O1605="unavailable"),"不可评价",IF(AND(M1605="positive",O1605="positive"),"a",IF(O1605="positive","b",IF(M1605="positive","c","d"))))</x:f>
        <x:v>d</x:v>
      </x:c>
      <x:c r="AC1605" s="12" t="str">
        <x:f>IF(OR(R1605="unavailable",T1605="unavailable"),"不可评价",IF(AND(OR(R1605="positive",R1605="equivocal"),OR(T1605="positive",T1605="equivocal")),"a",IF(OR(T1605="positive",T1605="equivocal"),"b",IF(OR(R1605="positive",R1605="equivocal"),"c","d"))))</x:f>
        <x:v>d</x:v>
      </x:c>
      <x:c r="AD1605" s="12" t="str">
        <x:f>IF(OR(R1605="unavailable",T1605="unavailable"),"不可评价",IF(AND(R1605="positive",T1605="positive"),"a",IF(T1605="positive","b",IF(R1605="positive","c","d"))))</x:f>
        <x:v>d</x:v>
      </x:c>
      <x:c r="AE1605" s="12" t="str">
        <x:f>IF(OR(W1605="unavailable",Y1605="unavailable"),"不可评价",IF(AND(OR(W1605="positive",W1605="equivocal"),OR(Y1605="positive",Y1605="equivocal")),"a",IF(OR(Y1605="positive",Y1605="equivocal"),"b",IF(OR(W1605="positive",W1605="equivocal"),"c","d"))))</x:f>
        <x:v>d</x:v>
      </x:c>
      <x:c r="AF1605" s="12" t="str">
        <x:f>IF(OR(W1605="unavailable",Y1605="unavailable"),"不可评价",IF(AND(W1605="positive",Y1605="positive"),"a",IF(Y1605="positive","b",IF(W1605="positive","c","d"))))</x:f>
        <x:v>d</x:v>
      </x:c>
    </x:row>
    <x:row r="1606" ht="24" customHeight="1">
      <x:c r="A1606" s="12" t="str">
        <x:v>15024</x:v>
      </x:c>
      <x:c r="B1606" s="12" t="str">
        <x:v>14829</x:v>
      </x:c>
      <x:c r="C1606" s="21" t="n">
        <x:v>34961.420266203706</x:v>
      </x:c>
      <x:c r="D1606" s="12" t="n">
        <x:v>83</x:v>
      </x:c>
      <x:c r="E1606" s="12" t="n">
        <x:v>0</x:v>
      </x:c>
      <x:c r="F1606" s="12" t="str">
        <x:v>存在</x:v>
      </x:c>
      <x:c r="G1606" s="12" t="n">
        <x:v>1</x:v>
      </x:c>
      <x:c r="H1606" s="12" t="str">
        <x:v>{'LMI': 15.0, 'ISCAL': 100.0, 'ABQRS': 0.0, 'STACH': 0.0}</x:v>
      </x:c>
      <x:c r="I1606" s="12" t="str">
        <x:v>[('STACH', 100.0), ('PAC', 100.0), ('NSTT', 100.0), ('AB', 100.0)]</x:v>
      </x:c>
      <x:c r="J1606" s="12" t="str">
        <x:v>ptbxl_database.csv；ecg_id=15024；scp_codes</x:v>
      </x:c>
      <x:c r="K1606" s="12" t="str">
        <x:v>12sl_statements.csv；ecg_id=15024；statements_ext_snomed</x:v>
      </x:c>
      <x:c r="L1606" s="12"/>
      <x:c r="M1606" s="12" t="str">
        <x:v>negative</x:v>
      </x:c>
      <x:c r="N1606" s="12"/>
      <x:c r="O1606" s="12" t="str">
        <x:v>negative</x:v>
      </x:c>
      <x:c r="P1606" s="12" t="str">
        <x:f>IF(OR(M1606="unavailable",O1606="unavailable"),"不可评价",IF(OR(M1606="equivocal",O1606="equivocal"),"疑似",IF(AND(M1606="positive",O1606="positive"),"a",IF(O1606="positive","b",IF(M1606="positive","c","d")))))</x:f>
        <x:v>d</x:v>
      </x:c>
      <x:c r="Q1606" s="12"/>
      <x:c r="R1606" s="12" t="str">
        <x:v>negative</x:v>
      </x:c>
      <x:c r="S1606" s="12"/>
      <x:c r="T1606" s="12" t="str">
        <x:v>negative</x:v>
      </x:c>
      <x:c r="U1606" s="12" t="str">
        <x:f>IF(OR(R1606="unavailable",T1606="unavailable"),"不可评价",IF(OR(R1606="equivocal",T1606="equivocal"),"疑似",IF(AND(R1606="positive",T1606="positive"),"a",IF(T1606="positive","b",IF(R1606="positive","c","d")))))</x:f>
        <x:v>d</x:v>
      </x:c>
      <x:c r="V1606" s="12"/>
      <x:c r="W1606" s="12" t="str">
        <x:v>negative</x:v>
      </x:c>
      <x:c r="X1606" s="12"/>
      <x:c r="Y1606" s="12" t="str">
        <x:v>negative</x:v>
      </x:c>
      <x:c r="Z1606" s="12" t="str">
        <x:f>IF(OR(W1606="unavailable",Y1606="unavailable"),"不可评价",IF(OR(W1606="equivocal",Y1606="equivocal"),"疑似",IF(AND(W1606="positive",Y1606="positive"),"a",IF(Y1606="positive","b",IF(W1606="positive","c","d")))))</x:f>
        <x:v>d</x:v>
      </x:c>
      <x:c r="AA1606" s="12" t="str">
        <x:f>IF(OR(M1606="unavailable",O1606="unavailable"),"不可评价",IF(AND(OR(M1606="positive",M1606="equivocal"),OR(O1606="positive",O1606="equivocal")),"a",IF(OR(O1606="positive",O1606="equivocal"),"b",IF(OR(M1606="positive",M1606="equivocal"),"c","d"))))</x:f>
        <x:v>d</x:v>
      </x:c>
      <x:c r="AB1606" s="12" t="str">
        <x:f>IF(OR(M1606="unavailable",O1606="unavailable"),"不可评价",IF(AND(M1606="positive",O1606="positive"),"a",IF(O1606="positive","b",IF(M1606="positive","c","d"))))</x:f>
        <x:v>d</x:v>
      </x:c>
      <x:c r="AC1606" s="12" t="str">
        <x:f>IF(OR(R1606="unavailable",T1606="unavailable"),"不可评价",IF(AND(OR(R1606="positive",R1606="equivocal"),OR(T1606="positive",T1606="equivocal")),"a",IF(OR(T1606="positive",T1606="equivocal"),"b",IF(OR(R1606="positive",R1606="equivocal"),"c","d"))))</x:f>
        <x:v>d</x:v>
      </x:c>
      <x:c r="AD1606" s="12" t="str">
        <x:f>IF(OR(R1606="unavailable",T1606="unavailable"),"不可评价",IF(AND(R1606="positive",T1606="positive"),"a",IF(T1606="positive","b",IF(R1606="positive","c","d"))))</x:f>
        <x:v>d</x:v>
      </x:c>
      <x:c r="AE1606" s="12" t="str">
        <x:f>IF(OR(W1606="unavailable",Y1606="unavailable"),"不可评价",IF(AND(OR(W1606="positive",W1606="equivocal"),OR(Y1606="positive",Y1606="equivocal")),"a",IF(OR(Y1606="positive",Y1606="equivocal"),"b",IF(OR(W1606="positive",W1606="equivocal"),"c","d"))))</x:f>
        <x:v>d</x:v>
      </x:c>
      <x:c r="AF1606" s="12" t="str">
        <x:f>IF(OR(W1606="unavailable",Y1606="unavailable"),"不可评价",IF(AND(W1606="positive",Y1606="positive"),"a",IF(Y1606="positive","b",IF(W1606="positive","c","d"))))</x:f>
        <x:v>d</x:v>
      </x:c>
    </x:row>
    <x:row r="1607" ht="24" customHeight="1">
      <x:c r="A1607" s="12" t="str">
        <x:v>15034</x:v>
      </x:c>
      <x:c r="B1607" s="12" t="str">
        <x:v>8324</x:v>
      </x:c>
      <x:c r="C1607" s="21" t="n">
        <x:v>34962.4946412037</x:v>
      </x:c>
      <x:c r="D1607" s="12" t="n">
        <x:v>49</x:v>
      </x:c>
      <x:c r="E1607" s="12" t="n">
        <x:v>0</x:v>
      </x:c>
      <x:c r="F1607" s="12" t="str">
        <x:v>存在</x:v>
      </x:c>
      <x:c r="G1607" s="12" t="n">
        <x:v>1</x:v>
      </x:c>
      <x:c r="H1607" s="12" t="str">
        <x:v>{'IMI': 50.0, 'ABQRS': 0.0, 'SR': 0.0}</x:v>
      </x:c>
      <x:c r="I1607" s="12" t="str">
        <x:v>[('NSR', 100.0), ('LAD3', 100.0), ('IMI;AU', 100.0), ('AB', 100.0)]</x:v>
      </x:c>
      <x:c r="J1607" s="12" t="str">
        <x:v>ptbxl_database.csv；ecg_id=15034；scp_codes</x:v>
      </x:c>
      <x:c r="K1607" s="12" t="str">
        <x:v>12sl_statements.csv；ecg_id=15034；statements_ext_snomed</x:v>
      </x:c>
      <x:c r="L1607" s="12"/>
      <x:c r="M1607" s="12" t="str">
        <x:v>negative</x:v>
      </x:c>
      <x:c r="N1607" s="12"/>
      <x:c r="O1607" s="12" t="str">
        <x:v>negative</x:v>
      </x:c>
      <x:c r="P1607" s="12" t="str">
        <x:f>IF(OR(M1607="unavailable",O1607="unavailable"),"不可评价",IF(OR(M1607="equivocal",O1607="equivocal"),"疑似",IF(AND(M1607="positive",O1607="positive"),"a",IF(O1607="positive","b",IF(M1607="positive","c","d")))))</x:f>
        <x:v>d</x:v>
      </x:c>
      <x:c r="Q1607" s="12"/>
      <x:c r="R1607" s="12" t="str">
        <x:v>negative</x:v>
      </x:c>
      <x:c r="S1607" s="12"/>
      <x:c r="T1607" s="12" t="str">
        <x:v>negative</x:v>
      </x:c>
      <x:c r="U1607" s="12" t="str">
        <x:f>IF(OR(R1607="unavailable",T1607="unavailable"),"不可评价",IF(OR(R1607="equivocal",T1607="equivocal"),"疑似",IF(AND(R1607="positive",T1607="positive"),"a",IF(T1607="positive","b",IF(R1607="positive","c","d")))))</x:f>
        <x:v>d</x:v>
      </x:c>
      <x:c r="V1607" s="12"/>
      <x:c r="W1607" s="12" t="str">
        <x:v>negative</x:v>
      </x:c>
      <x:c r="X1607" s="12"/>
      <x:c r="Y1607" s="12" t="str">
        <x:v>negative</x:v>
      </x:c>
      <x:c r="Z1607" s="12" t="str">
        <x:f>IF(OR(W1607="unavailable",Y1607="unavailable"),"不可评价",IF(OR(W1607="equivocal",Y1607="equivocal"),"疑似",IF(AND(W1607="positive",Y1607="positive"),"a",IF(Y1607="positive","b",IF(W1607="positive","c","d")))))</x:f>
        <x:v>d</x:v>
      </x:c>
      <x:c r="AA1607" s="12" t="str">
        <x:f>IF(OR(M1607="unavailable",O1607="unavailable"),"不可评价",IF(AND(OR(M1607="positive",M1607="equivocal"),OR(O1607="positive",O1607="equivocal")),"a",IF(OR(O1607="positive",O1607="equivocal"),"b",IF(OR(M1607="positive",M1607="equivocal"),"c","d"))))</x:f>
        <x:v>d</x:v>
      </x:c>
      <x:c r="AB1607" s="12" t="str">
        <x:f>IF(OR(M1607="unavailable",O1607="unavailable"),"不可评价",IF(AND(M1607="positive",O1607="positive"),"a",IF(O1607="positive","b",IF(M1607="positive","c","d"))))</x:f>
        <x:v>d</x:v>
      </x:c>
      <x:c r="AC1607" s="12" t="str">
        <x:f>IF(OR(R1607="unavailable",T1607="unavailable"),"不可评价",IF(AND(OR(R1607="positive",R1607="equivocal"),OR(T1607="positive",T1607="equivocal")),"a",IF(OR(T1607="positive",T1607="equivocal"),"b",IF(OR(R1607="positive",R1607="equivocal"),"c","d"))))</x:f>
        <x:v>d</x:v>
      </x:c>
      <x:c r="AD1607" s="12" t="str">
        <x:f>IF(OR(R1607="unavailable",T1607="unavailable"),"不可评价",IF(AND(R1607="positive",T1607="positive"),"a",IF(T1607="positive","b",IF(R1607="positive","c","d"))))</x:f>
        <x:v>d</x:v>
      </x:c>
      <x:c r="AE1607" s="12" t="str">
        <x:f>IF(OR(W1607="unavailable",Y1607="unavailable"),"不可评价",IF(AND(OR(W1607="positive",W1607="equivocal"),OR(Y1607="positive",Y1607="equivocal")),"a",IF(OR(Y1607="positive",Y1607="equivocal"),"b",IF(OR(W1607="positive",W1607="equivocal"),"c","d"))))</x:f>
        <x:v>d</x:v>
      </x:c>
      <x:c r="AF1607" s="12" t="str">
        <x:f>IF(OR(W1607="unavailable",Y1607="unavailable"),"不可评价",IF(AND(W1607="positive",Y1607="positive"),"a",IF(Y1607="positive","b",IF(W1607="positive","c","d"))))</x:f>
        <x:v>d</x:v>
      </x:c>
    </x:row>
    <x:row r="1608" ht="24" customHeight="1">
      <x:c r="A1608" s="12" t="str">
        <x:v>15057</x:v>
      </x:c>
      <x:c r="B1608" s="12" t="str">
        <x:v>2019</x:v>
      </x:c>
      <x:c r="C1608" s="21" t="n">
        <x:v>34966.551087962966</x:v>
      </x:c>
      <x:c r="D1608" s="12" t="n">
        <x:v>49</x:v>
      </x:c>
      <x:c r="E1608" s="12" t="n">
        <x:v>1</x:v>
      </x:c>
      <x:c r="F1608" s="12" t="str">
        <x:v>未记录</x:v>
      </x:c>
      <x:c r="G1608" s="12" t="n">
        <x:v>1</x:v>
      </x:c>
      <x:c r="H1608" s="12" t="str">
        <x:v>{'NORM': 100.0, 'SARRH': 0.0}</x:v>
      </x:c>
      <x:c r="I1608" s="12" t="str">
        <x:v>[('NSR', 100.0), ('SAR', 100.0), ('BORDE', 100.0)]</x:v>
      </x:c>
      <x:c r="J1608" s="12" t="str">
        <x:v>ptbxl_database.csv；ecg_id=15057；scp_codes</x:v>
      </x:c>
      <x:c r="K1608" s="12" t="str">
        <x:v>12sl_statements.csv；ecg_id=15057；statements_ext_snomed</x:v>
      </x:c>
      <x:c r="L1608" s="12"/>
      <x:c r="M1608" s="12" t="str">
        <x:v>negative</x:v>
      </x:c>
      <x:c r="N1608" s="12"/>
      <x:c r="O1608" s="12" t="str">
        <x:v>negative</x:v>
      </x:c>
      <x:c r="P1608" s="12" t="str">
        <x:f>IF(OR(M1608="unavailable",O1608="unavailable"),"不可评价",IF(OR(M1608="equivocal",O1608="equivocal"),"疑似",IF(AND(M1608="positive",O1608="positive"),"a",IF(O1608="positive","b",IF(M1608="positive","c","d")))))</x:f>
        <x:v>d</x:v>
      </x:c>
      <x:c r="Q1608" s="12"/>
      <x:c r="R1608" s="12" t="str">
        <x:v>negative</x:v>
      </x:c>
      <x:c r="S1608" s="12"/>
      <x:c r="T1608" s="12" t="str">
        <x:v>negative</x:v>
      </x:c>
      <x:c r="U1608" s="12" t="str">
        <x:f>IF(OR(R1608="unavailable",T1608="unavailable"),"不可评价",IF(OR(R1608="equivocal",T1608="equivocal"),"疑似",IF(AND(R1608="positive",T1608="positive"),"a",IF(T1608="positive","b",IF(R1608="positive","c","d")))))</x:f>
        <x:v>d</x:v>
      </x:c>
      <x:c r="V1608" s="12"/>
      <x:c r="W1608" s="12" t="str">
        <x:v>negative</x:v>
      </x:c>
      <x:c r="X1608" s="12"/>
      <x:c r="Y1608" s="12" t="str">
        <x:v>negative</x:v>
      </x:c>
      <x:c r="Z1608" s="12" t="str">
        <x:f>IF(OR(W1608="unavailable",Y1608="unavailable"),"不可评价",IF(OR(W1608="equivocal",Y1608="equivocal"),"疑似",IF(AND(W1608="positive",Y1608="positive"),"a",IF(Y1608="positive","b",IF(W1608="positive","c","d")))))</x:f>
        <x:v>d</x:v>
      </x:c>
      <x:c r="AA1608" s="12" t="str">
        <x:f>IF(OR(M1608="unavailable",O1608="unavailable"),"不可评价",IF(AND(OR(M1608="positive",M1608="equivocal"),OR(O1608="positive",O1608="equivocal")),"a",IF(OR(O1608="positive",O1608="equivocal"),"b",IF(OR(M1608="positive",M1608="equivocal"),"c","d"))))</x:f>
        <x:v>d</x:v>
      </x:c>
      <x:c r="AB1608" s="12" t="str">
        <x:f>IF(OR(M1608="unavailable",O1608="unavailable"),"不可评价",IF(AND(M1608="positive",O1608="positive"),"a",IF(O1608="positive","b",IF(M1608="positive","c","d"))))</x:f>
        <x:v>d</x:v>
      </x:c>
      <x:c r="AC1608" s="12" t="str">
        <x:f>IF(OR(R1608="unavailable",T1608="unavailable"),"不可评价",IF(AND(OR(R1608="positive",R1608="equivocal"),OR(T1608="positive",T1608="equivocal")),"a",IF(OR(T1608="positive",T1608="equivocal"),"b",IF(OR(R1608="positive",R1608="equivocal"),"c","d"))))</x:f>
        <x:v>d</x:v>
      </x:c>
      <x:c r="AD1608" s="12" t="str">
        <x:f>IF(OR(R1608="unavailable",T1608="unavailable"),"不可评价",IF(AND(R1608="positive",T1608="positive"),"a",IF(T1608="positive","b",IF(R1608="positive","c","d"))))</x:f>
        <x:v>d</x:v>
      </x:c>
      <x:c r="AE1608" s="12" t="str">
        <x:f>IF(OR(W1608="unavailable",Y1608="unavailable"),"不可评价",IF(AND(OR(W1608="positive",W1608="equivocal"),OR(Y1608="positive",Y1608="equivocal")),"a",IF(OR(Y1608="positive",Y1608="equivocal"),"b",IF(OR(W1608="positive",W1608="equivocal"),"c","d"))))</x:f>
        <x:v>d</x:v>
      </x:c>
      <x:c r="AF1608" s="12" t="str">
        <x:f>IF(OR(W1608="unavailable",Y1608="unavailable"),"不可评价",IF(AND(W1608="positive",Y1608="positive"),"a",IF(Y1608="positive","b",IF(W1608="positive","c","d"))))</x:f>
        <x:v>d</x:v>
      </x:c>
    </x:row>
    <x:row r="1609" ht="39" customHeight="1">
      <x:c r="A1609" s="12" t="str">
        <x:v>15059</x:v>
      </x:c>
      <x:c r="B1609" s="12" t="str">
        <x:v>15353</x:v>
      </x:c>
      <x:c r="C1609" s="21" t="n">
        <x:v>34966.766238425924</x:v>
      </x:c>
      <x:c r="D1609" s="12" t="n">
        <x:v>81</x:v>
      </x:c>
      <x:c r="E1609" s="12" t="n">
        <x:v>0</x:v>
      </x:c>
      <x:c r="F1609" s="12" t="str">
        <x:v>未记录</x:v>
      </x:c>
      <x:c r="G1609" s="12" t="n">
        <x:v>1</x:v>
      </x:c>
      <x:c r="H1609" s="12" t="str">
        <x:v>{'PMI': 100.0, 'IMI': 100.0, '1AVB': 100.0, 'SR': 0.0}</x:v>
      </x:c>
      <x:c r="I1609" s="12" t="str">
        <x:v>[('SRTH', 100.0), ('SAR', 100.0), ('FAV', 100.0), ('SMI;AU', 100.0), ('IMI;AU', 100.0), ('MSTDAL', 100.0), ('AB', 100.0)]</x:v>
      </x:c>
      <x:c r="J1609" s="12" t="str">
        <x:v>ptbxl_database.csv；ecg_id=15059；scp_codes</x:v>
      </x:c>
      <x:c r="K1609" s="12" t="str">
        <x:v>12sl_statements.csv；ecg_id=15059；statements_ext_snomed</x:v>
      </x:c>
      <x:c r="L1609" s="12"/>
      <x:c r="M1609" s="12" t="str">
        <x:v>negative</x:v>
      </x:c>
      <x:c r="N1609" s="12"/>
      <x:c r="O1609" s="12" t="str">
        <x:v>negative</x:v>
      </x:c>
      <x:c r="P1609" s="12" t="str">
        <x:f>IF(OR(M1609="unavailable",O1609="unavailable"),"不可评价",IF(OR(M1609="equivocal",O1609="equivocal"),"疑似",IF(AND(M1609="positive",O1609="positive"),"a",IF(O1609="positive","b",IF(M1609="positive","c","d")))))</x:f>
        <x:v>d</x:v>
      </x:c>
      <x:c r="Q1609" s="12"/>
      <x:c r="R1609" s="12" t="str">
        <x:v>negative</x:v>
      </x:c>
      <x:c r="S1609" s="12"/>
      <x:c r="T1609" s="12" t="str">
        <x:v>negative</x:v>
      </x:c>
      <x:c r="U1609" s="12" t="str">
        <x:f>IF(OR(R1609="unavailable",T1609="unavailable"),"不可评价",IF(OR(R1609="equivocal",T1609="equivocal"),"疑似",IF(AND(R1609="positive",T1609="positive"),"a",IF(T1609="positive","b",IF(R1609="positive","c","d")))))</x:f>
        <x:v>d</x:v>
      </x:c>
      <x:c r="V1609" s="12"/>
      <x:c r="W1609" s="12" t="str">
        <x:v>negative</x:v>
      </x:c>
      <x:c r="X1609" s="12"/>
      <x:c r="Y1609" s="12" t="str">
        <x:v>negative</x:v>
      </x:c>
      <x:c r="Z1609" s="12" t="str">
        <x:f>IF(OR(W1609="unavailable",Y1609="unavailable"),"不可评价",IF(OR(W1609="equivocal",Y1609="equivocal"),"疑似",IF(AND(W1609="positive",Y1609="positive"),"a",IF(Y1609="positive","b",IF(W1609="positive","c","d")))))</x:f>
        <x:v>d</x:v>
      </x:c>
      <x:c r="AA1609" s="12" t="str">
        <x:f>IF(OR(M1609="unavailable",O1609="unavailable"),"不可评价",IF(AND(OR(M1609="positive",M1609="equivocal"),OR(O1609="positive",O1609="equivocal")),"a",IF(OR(O1609="positive",O1609="equivocal"),"b",IF(OR(M1609="positive",M1609="equivocal"),"c","d"))))</x:f>
        <x:v>d</x:v>
      </x:c>
      <x:c r="AB1609" s="12" t="str">
        <x:f>IF(OR(M1609="unavailable",O1609="unavailable"),"不可评价",IF(AND(M1609="positive",O1609="positive"),"a",IF(O1609="positive","b",IF(M1609="positive","c","d"))))</x:f>
        <x:v>d</x:v>
      </x:c>
      <x:c r="AC1609" s="12" t="str">
        <x:f>IF(OR(R1609="unavailable",T1609="unavailable"),"不可评价",IF(AND(OR(R1609="positive",R1609="equivocal"),OR(T1609="positive",T1609="equivocal")),"a",IF(OR(T1609="positive",T1609="equivocal"),"b",IF(OR(R1609="positive",R1609="equivocal"),"c","d"))))</x:f>
        <x:v>d</x:v>
      </x:c>
      <x:c r="AD1609" s="12" t="str">
        <x:f>IF(OR(R1609="unavailable",T1609="unavailable"),"不可评价",IF(AND(R1609="positive",T1609="positive"),"a",IF(T1609="positive","b",IF(R1609="positive","c","d"))))</x:f>
        <x:v>d</x:v>
      </x:c>
      <x:c r="AE1609" s="12" t="str">
        <x:f>IF(OR(W1609="unavailable",Y1609="unavailable"),"不可评价",IF(AND(OR(W1609="positive",W1609="equivocal"),OR(Y1609="positive",Y1609="equivocal")),"a",IF(OR(Y1609="positive",Y1609="equivocal"),"b",IF(OR(W1609="positive",W1609="equivocal"),"c","d"))))</x:f>
        <x:v>d</x:v>
      </x:c>
      <x:c r="AF1609" s="12" t="str">
        <x:f>IF(OR(W1609="unavailable",Y1609="unavailable"),"不可评价",IF(AND(W1609="positive",Y1609="positive"),"a",IF(Y1609="positive","b",IF(W1609="positive","c","d"))))</x:f>
        <x:v>d</x:v>
      </x:c>
    </x:row>
    <x:row r="1610" ht="39" customHeight="1">
      <x:c r="A1610" s="12" t="str">
        <x:v>15064</x:v>
      </x:c>
      <x:c r="B1610" s="12" t="str">
        <x:v>15353</x:v>
      </x:c>
      <x:c r="C1610" s="21" t="n">
        <x:v>34967.508888888886</x:v>
      </x:c>
      <x:c r="D1610" s="12" t="n">
        <x:v>81</x:v>
      </x:c>
      <x:c r="E1610" s="12" t="n">
        <x:v>0</x:v>
      </x:c>
      <x:c r="F1610" s="12" t="str">
        <x:v>存在</x:v>
      </x:c>
      <x:c r="G1610" s="12" t="n">
        <x:v>0</x:v>
      </x:c>
      <x:c r="H1610" s="12" t="str">
        <x:v>{'ISCAL': 100.0, '1AVB': 100.0, 'IVCD': 100.0, 'PVC': 100.0, 'SR': 0.0}</x:v>
      </x:c>
      <x:c r="I1610" s="12" t="str">
        <x:v>[('SRTH', 100.0), ('FAV', 100.0), ('PVC', 100.0), ('$SFUS', 100.0), ('IMI;AU', 100.0), ('AB', 100.0)]</x:v>
      </x:c>
      <x:c r="J1610" s="12" t="str">
        <x:v>ptbxl_database.csv；ecg_id=15064；scp_codes</x:v>
      </x:c>
      <x:c r="K1610" s="12" t="str">
        <x:v>12sl_statements.csv；ecg_id=15064；statements_ext_snomed</x:v>
      </x:c>
      <x:c r="L1610" s="12"/>
      <x:c r="M1610" s="12" t="str">
        <x:v>negative</x:v>
      </x:c>
      <x:c r="N1610" s="12"/>
      <x:c r="O1610" s="12" t="str">
        <x:v>negative</x:v>
      </x:c>
      <x:c r="P1610" s="12" t="str">
        <x:f>IF(OR(M1610="unavailable",O1610="unavailable"),"不可评价",IF(OR(M1610="equivocal",O1610="equivocal"),"疑似",IF(AND(M1610="positive",O1610="positive"),"a",IF(O1610="positive","b",IF(M1610="positive","c","d")))))</x:f>
        <x:v>d</x:v>
      </x:c>
      <x:c r="Q1610" s="12"/>
      <x:c r="R1610" s="12" t="str">
        <x:v>negative</x:v>
      </x:c>
      <x:c r="S1610" s="12"/>
      <x:c r="T1610" s="12" t="str">
        <x:v>negative</x:v>
      </x:c>
      <x:c r="U1610" s="12" t="str">
        <x:f>IF(OR(R1610="unavailable",T1610="unavailable"),"不可评价",IF(OR(R1610="equivocal",T1610="equivocal"),"疑似",IF(AND(R1610="positive",T1610="positive"),"a",IF(T1610="positive","b",IF(R1610="positive","c","d")))))</x:f>
        <x:v>d</x:v>
      </x:c>
      <x:c r="V1610" s="12"/>
      <x:c r="W1610" s="12" t="str">
        <x:v>negative</x:v>
      </x:c>
      <x:c r="X1610" s="12"/>
      <x:c r="Y1610" s="12" t="str">
        <x:v>negative</x:v>
      </x:c>
      <x:c r="Z1610" s="12" t="str">
        <x:f>IF(OR(W1610="unavailable",Y1610="unavailable"),"不可评价",IF(OR(W1610="equivocal",Y1610="equivocal"),"疑似",IF(AND(W1610="positive",Y1610="positive"),"a",IF(Y1610="positive","b",IF(W1610="positive","c","d")))))</x:f>
        <x:v>d</x:v>
      </x:c>
      <x:c r="AA1610" s="12" t="str">
        <x:f>IF(OR(M1610="unavailable",O1610="unavailable"),"不可评价",IF(AND(OR(M1610="positive",M1610="equivocal"),OR(O1610="positive",O1610="equivocal")),"a",IF(OR(O1610="positive",O1610="equivocal"),"b",IF(OR(M1610="positive",M1610="equivocal"),"c","d"))))</x:f>
        <x:v>d</x:v>
      </x:c>
      <x:c r="AB1610" s="12" t="str">
        <x:f>IF(OR(M1610="unavailable",O1610="unavailable"),"不可评价",IF(AND(M1610="positive",O1610="positive"),"a",IF(O1610="positive","b",IF(M1610="positive","c","d"))))</x:f>
        <x:v>d</x:v>
      </x:c>
      <x:c r="AC1610" s="12" t="str">
        <x:f>IF(OR(R1610="unavailable",T1610="unavailable"),"不可评价",IF(AND(OR(R1610="positive",R1610="equivocal"),OR(T1610="positive",T1610="equivocal")),"a",IF(OR(T1610="positive",T1610="equivocal"),"b",IF(OR(R1610="positive",R1610="equivocal"),"c","d"))))</x:f>
        <x:v>d</x:v>
      </x:c>
      <x:c r="AD1610" s="12" t="str">
        <x:f>IF(OR(R1610="unavailable",T1610="unavailable"),"不可评价",IF(AND(R1610="positive",T1610="positive"),"a",IF(T1610="positive","b",IF(R1610="positive","c","d"))))</x:f>
        <x:v>d</x:v>
      </x:c>
      <x:c r="AE1610" s="12" t="str">
        <x:f>IF(OR(W1610="unavailable",Y1610="unavailable"),"不可评价",IF(AND(OR(W1610="positive",W1610="equivocal"),OR(Y1610="positive",Y1610="equivocal")),"a",IF(OR(Y1610="positive",Y1610="equivocal"),"b",IF(OR(W1610="positive",W1610="equivocal"),"c","d"))))</x:f>
        <x:v>d</x:v>
      </x:c>
      <x:c r="AF1610" s="12" t="str">
        <x:f>IF(OR(W1610="unavailable",Y1610="unavailable"),"不可评价",IF(AND(W1610="positive",Y1610="positive"),"a",IF(Y1610="positive","b",IF(W1610="positive","c","d"))))</x:f>
        <x:v>d</x:v>
      </x:c>
    </x:row>
    <x:row r="1611" ht="24" customHeight="1">
      <x:c r="A1611" s="12" t="str">
        <x:v>15074</x:v>
      </x:c>
      <x:c r="B1611" s="12" t="str">
        <x:v>17722</x:v>
      </x:c>
      <x:c r="C1611" s="21" t="n">
        <x:v>34969.46608796297</x:v>
      </x:c>
      <x:c r="D1611" s="12" t="n">
        <x:v>46</x:v>
      </x:c>
      <x:c r="E1611" s="12" t="n">
        <x:v>1</x:v>
      </x:c>
      <x:c r="F1611" s="12" t="str">
        <x:v>未记录</x:v>
      </x:c>
      <x:c r="G1611" s="12" t="n">
        <x:v>1</x:v>
      </x:c>
      <x:c r="H1611" s="12" t="str">
        <x:v>{'NORM': 100.0, 'ABQRS': 0.0, 'SR': 0.0}</x:v>
      </x:c>
      <x:c r="I1611" s="12" t="str">
        <x:v>[('NSR', 100.0), ('SAR', 100.0), ('NML', 100.0)]</x:v>
      </x:c>
      <x:c r="J1611" s="12" t="str">
        <x:v>ptbxl_database.csv；ecg_id=15074；scp_codes</x:v>
      </x:c>
      <x:c r="K1611" s="12" t="str">
        <x:v>12sl_statements.csv；ecg_id=15074；statements_ext_snomed</x:v>
      </x:c>
      <x:c r="L1611" s="12"/>
      <x:c r="M1611" s="12" t="str">
        <x:v>negative</x:v>
      </x:c>
      <x:c r="N1611" s="12"/>
      <x:c r="O1611" s="12" t="str">
        <x:v>negative</x:v>
      </x:c>
      <x:c r="P1611" s="12" t="str">
        <x:f>IF(OR(M1611="unavailable",O1611="unavailable"),"不可评价",IF(OR(M1611="equivocal",O1611="equivocal"),"疑似",IF(AND(M1611="positive",O1611="positive"),"a",IF(O1611="positive","b",IF(M1611="positive","c","d")))))</x:f>
        <x:v>d</x:v>
      </x:c>
      <x:c r="Q1611" s="12"/>
      <x:c r="R1611" s="12" t="str">
        <x:v>negative</x:v>
      </x:c>
      <x:c r="S1611" s="12"/>
      <x:c r="T1611" s="12" t="str">
        <x:v>negative</x:v>
      </x:c>
      <x:c r="U1611" s="12" t="str">
        <x:f>IF(OR(R1611="unavailable",T1611="unavailable"),"不可评价",IF(OR(R1611="equivocal",T1611="equivocal"),"疑似",IF(AND(R1611="positive",T1611="positive"),"a",IF(T1611="positive","b",IF(R1611="positive","c","d")))))</x:f>
        <x:v>d</x:v>
      </x:c>
      <x:c r="V1611" s="12"/>
      <x:c r="W1611" s="12" t="str">
        <x:v>negative</x:v>
      </x:c>
      <x:c r="X1611" s="12"/>
      <x:c r="Y1611" s="12" t="str">
        <x:v>negative</x:v>
      </x:c>
      <x:c r="Z1611" s="12" t="str">
        <x:f>IF(OR(W1611="unavailable",Y1611="unavailable"),"不可评价",IF(OR(W1611="equivocal",Y1611="equivocal"),"疑似",IF(AND(W1611="positive",Y1611="positive"),"a",IF(Y1611="positive","b",IF(W1611="positive","c","d")))))</x:f>
        <x:v>d</x:v>
      </x:c>
      <x:c r="AA1611" s="12" t="str">
        <x:f>IF(OR(M1611="unavailable",O1611="unavailable"),"不可评价",IF(AND(OR(M1611="positive",M1611="equivocal"),OR(O1611="positive",O1611="equivocal")),"a",IF(OR(O1611="positive",O1611="equivocal"),"b",IF(OR(M1611="positive",M1611="equivocal"),"c","d"))))</x:f>
        <x:v>d</x:v>
      </x:c>
      <x:c r="AB1611" s="12" t="str">
        <x:f>IF(OR(M1611="unavailable",O1611="unavailable"),"不可评价",IF(AND(M1611="positive",O1611="positive"),"a",IF(O1611="positive","b",IF(M1611="positive","c","d"))))</x:f>
        <x:v>d</x:v>
      </x:c>
      <x:c r="AC1611" s="12" t="str">
        <x:f>IF(OR(R1611="unavailable",T1611="unavailable"),"不可评价",IF(AND(OR(R1611="positive",R1611="equivocal"),OR(T1611="positive",T1611="equivocal")),"a",IF(OR(T1611="positive",T1611="equivocal"),"b",IF(OR(R1611="positive",R1611="equivocal"),"c","d"))))</x:f>
        <x:v>d</x:v>
      </x:c>
      <x:c r="AD1611" s="12" t="str">
        <x:f>IF(OR(R1611="unavailable",T1611="unavailable"),"不可评价",IF(AND(R1611="positive",T1611="positive"),"a",IF(T1611="positive","b",IF(R1611="positive","c","d"))))</x:f>
        <x:v>d</x:v>
      </x:c>
      <x:c r="AE1611" s="12" t="str">
        <x:f>IF(OR(W1611="unavailable",Y1611="unavailable"),"不可评价",IF(AND(OR(W1611="positive",W1611="equivocal"),OR(Y1611="positive",Y1611="equivocal")),"a",IF(OR(Y1611="positive",Y1611="equivocal"),"b",IF(OR(W1611="positive",W1611="equivocal"),"c","d"))))</x:f>
        <x:v>d</x:v>
      </x:c>
      <x:c r="AF1611" s="12" t="str">
        <x:f>IF(OR(W1611="unavailable",Y1611="unavailable"),"不可评价",IF(AND(W1611="positive",Y1611="positive"),"a",IF(Y1611="positive","b",IF(W1611="positive","c","d"))))</x:f>
        <x:v>d</x:v>
      </x:c>
    </x:row>
    <x:row r="1612" ht="24" customHeight="1">
      <x:c r="A1612" s="12" t="str">
        <x:v>15090</x:v>
      </x:c>
      <x:c r="B1612" s="12" t="str">
        <x:v>6977</x:v>
      </x:c>
      <x:c r="C1612" s="21" t="n">
        <x:v>34971.390706018516</x:v>
      </x:c>
      <x:c r="D1612" s="12" t="n">
        <x:v>32</x:v>
      </x:c>
      <x:c r="E1612" s="12" t="n">
        <x:v>0</x:v>
      </x:c>
      <x:c r="F1612" s="12" t="str">
        <x:v>未记录</x:v>
      </x:c>
      <x:c r="G1612" s="12" t="n">
        <x:v>1</x:v>
      </x:c>
      <x:c r="H1612" s="12" t="str">
        <x:v>{'NORM': 100.0, 'SR': 0.0}</x:v>
      </x:c>
      <x:c r="I1612" s="12" t="str">
        <x:v>[('SBRAD', 100.0), ('SAR', 100.0), ('ABR', 100.0)]</x:v>
      </x:c>
      <x:c r="J1612" s="12" t="str">
        <x:v>ptbxl_database.csv；ecg_id=15090；scp_codes</x:v>
      </x:c>
      <x:c r="K1612" s="12" t="str">
        <x:v>12sl_statements.csv；ecg_id=15090；statements_ext_snomed</x:v>
      </x:c>
      <x:c r="L1612" s="12"/>
      <x:c r="M1612" s="12" t="str">
        <x:v>negative</x:v>
      </x:c>
      <x:c r="N1612" s="12"/>
      <x:c r="O1612" s="12" t="str">
        <x:v>negative</x:v>
      </x:c>
      <x:c r="P1612" s="12" t="str">
        <x:f>IF(OR(M1612="unavailable",O1612="unavailable"),"不可评价",IF(OR(M1612="equivocal",O1612="equivocal"),"疑似",IF(AND(M1612="positive",O1612="positive"),"a",IF(O1612="positive","b",IF(M1612="positive","c","d")))))</x:f>
        <x:v>d</x:v>
      </x:c>
      <x:c r="Q1612" s="12"/>
      <x:c r="R1612" s="12" t="str">
        <x:v>negative</x:v>
      </x:c>
      <x:c r="S1612" s="12"/>
      <x:c r="T1612" s="12" t="str">
        <x:v>negative</x:v>
      </x:c>
      <x:c r="U1612" s="12" t="str">
        <x:f>IF(OR(R1612="unavailable",T1612="unavailable"),"不可评价",IF(OR(R1612="equivocal",T1612="equivocal"),"疑似",IF(AND(R1612="positive",T1612="positive"),"a",IF(T1612="positive","b",IF(R1612="positive","c","d")))))</x:f>
        <x:v>d</x:v>
      </x:c>
      <x:c r="V1612" s="12"/>
      <x:c r="W1612" s="12" t="str">
        <x:v>negative</x:v>
      </x:c>
      <x:c r="X1612" s="12"/>
      <x:c r="Y1612" s="12" t="str">
        <x:v>negative</x:v>
      </x:c>
      <x:c r="Z1612" s="12" t="str">
        <x:f>IF(OR(W1612="unavailable",Y1612="unavailable"),"不可评价",IF(OR(W1612="equivocal",Y1612="equivocal"),"疑似",IF(AND(W1612="positive",Y1612="positive"),"a",IF(Y1612="positive","b",IF(W1612="positive","c","d")))))</x:f>
        <x:v>d</x:v>
      </x:c>
      <x:c r="AA1612" s="12" t="str">
        <x:f>IF(OR(M1612="unavailable",O1612="unavailable"),"不可评价",IF(AND(OR(M1612="positive",M1612="equivocal"),OR(O1612="positive",O1612="equivocal")),"a",IF(OR(O1612="positive",O1612="equivocal"),"b",IF(OR(M1612="positive",M1612="equivocal"),"c","d"))))</x:f>
        <x:v>d</x:v>
      </x:c>
      <x:c r="AB1612" s="12" t="str">
        <x:f>IF(OR(M1612="unavailable",O1612="unavailable"),"不可评价",IF(AND(M1612="positive",O1612="positive"),"a",IF(O1612="positive","b",IF(M1612="positive","c","d"))))</x:f>
        <x:v>d</x:v>
      </x:c>
      <x:c r="AC1612" s="12" t="str">
        <x:f>IF(OR(R1612="unavailable",T1612="unavailable"),"不可评价",IF(AND(OR(R1612="positive",R1612="equivocal"),OR(T1612="positive",T1612="equivocal")),"a",IF(OR(T1612="positive",T1612="equivocal"),"b",IF(OR(R1612="positive",R1612="equivocal"),"c","d"))))</x:f>
        <x:v>d</x:v>
      </x:c>
      <x:c r="AD1612" s="12" t="str">
        <x:f>IF(OR(R1612="unavailable",T1612="unavailable"),"不可评价",IF(AND(R1612="positive",T1612="positive"),"a",IF(T1612="positive","b",IF(R1612="positive","c","d"))))</x:f>
        <x:v>d</x:v>
      </x:c>
      <x:c r="AE1612" s="12" t="str">
        <x:f>IF(OR(W1612="unavailable",Y1612="unavailable"),"不可评价",IF(AND(OR(W1612="positive",W1612="equivocal"),OR(Y1612="positive",Y1612="equivocal")),"a",IF(OR(Y1612="positive",Y1612="equivocal"),"b",IF(OR(W1612="positive",W1612="equivocal"),"c","d"))))</x:f>
        <x:v>d</x:v>
      </x:c>
      <x:c r="AF1612" s="12" t="str">
        <x:f>IF(OR(W1612="unavailable",Y1612="unavailable"),"不可评价",IF(AND(W1612="positive",Y1612="positive"),"a",IF(Y1612="positive","b",IF(W1612="positive","c","d"))))</x:f>
        <x:v>d</x:v>
      </x:c>
    </x:row>
    <x:row r="1613" ht="24" customHeight="1">
      <x:c r="A1613" s="12" t="str">
        <x:v>15094</x:v>
      </x:c>
      <x:c r="B1613" s="12" t="str">
        <x:v>6812</x:v>
      </x:c>
      <x:c r="C1613" s="21" t="n">
        <x:v>34971.49418981482</x:v>
      </x:c>
      <x:c r="D1613" s="12" t="n">
        <x:v>60</x:v>
      </x:c>
      <x:c r="E1613" s="12" t="n">
        <x:v>0</x:v>
      </x:c>
      <x:c r="F1613" s="12" t="str">
        <x:v>未记录</x:v>
      </x:c>
      <x:c r="G1613" s="12" t="n">
        <x:v>1</x:v>
      </x:c>
      <x:c r="H1613" s="12" t="str">
        <x:v>{'NORM': 100.0, 'SR': 0.0}</x:v>
      </x:c>
      <x:c r="I1613" s="12" t="str">
        <x:v>[('NSR', 100.0), ('BORDE', 100.0)]</x:v>
      </x:c>
      <x:c r="J1613" s="12" t="str">
        <x:v>ptbxl_database.csv；ecg_id=15094；scp_codes</x:v>
      </x:c>
      <x:c r="K1613" s="12" t="str">
        <x:v>12sl_statements.csv；ecg_id=15094；statements_ext_snomed</x:v>
      </x:c>
      <x:c r="L1613" s="12"/>
      <x:c r="M1613" s="12" t="str">
        <x:v>negative</x:v>
      </x:c>
      <x:c r="N1613" s="12"/>
      <x:c r="O1613" s="12" t="str">
        <x:v>negative</x:v>
      </x:c>
      <x:c r="P1613" s="12" t="str">
        <x:f>IF(OR(M1613="unavailable",O1613="unavailable"),"不可评价",IF(OR(M1613="equivocal",O1613="equivocal"),"疑似",IF(AND(M1613="positive",O1613="positive"),"a",IF(O1613="positive","b",IF(M1613="positive","c","d")))))</x:f>
        <x:v>d</x:v>
      </x:c>
      <x:c r="Q1613" s="12"/>
      <x:c r="R1613" s="12" t="str">
        <x:v>negative</x:v>
      </x:c>
      <x:c r="S1613" s="12"/>
      <x:c r="T1613" s="12" t="str">
        <x:v>negative</x:v>
      </x:c>
      <x:c r="U1613" s="12" t="str">
        <x:f>IF(OR(R1613="unavailable",T1613="unavailable"),"不可评价",IF(OR(R1613="equivocal",T1613="equivocal"),"疑似",IF(AND(R1613="positive",T1613="positive"),"a",IF(T1613="positive","b",IF(R1613="positive","c","d")))))</x:f>
        <x:v>d</x:v>
      </x:c>
      <x:c r="V1613" s="12"/>
      <x:c r="W1613" s="12" t="str">
        <x:v>negative</x:v>
      </x:c>
      <x:c r="X1613" s="12"/>
      <x:c r="Y1613" s="12" t="str">
        <x:v>negative</x:v>
      </x:c>
      <x:c r="Z1613" s="12" t="str">
        <x:f>IF(OR(W1613="unavailable",Y1613="unavailable"),"不可评价",IF(OR(W1613="equivocal",Y1613="equivocal"),"疑似",IF(AND(W1613="positive",Y1613="positive"),"a",IF(Y1613="positive","b",IF(W1613="positive","c","d")))))</x:f>
        <x:v>d</x:v>
      </x:c>
      <x:c r="AA1613" s="12" t="str">
        <x:f>IF(OR(M1613="unavailable",O1613="unavailable"),"不可评价",IF(AND(OR(M1613="positive",M1613="equivocal"),OR(O1613="positive",O1613="equivocal")),"a",IF(OR(O1613="positive",O1613="equivocal"),"b",IF(OR(M1613="positive",M1613="equivocal"),"c","d"))))</x:f>
        <x:v>d</x:v>
      </x:c>
      <x:c r="AB1613" s="12" t="str">
        <x:f>IF(OR(M1613="unavailable",O1613="unavailable"),"不可评价",IF(AND(M1613="positive",O1613="positive"),"a",IF(O1613="positive","b",IF(M1613="positive","c","d"))))</x:f>
        <x:v>d</x:v>
      </x:c>
      <x:c r="AC1613" s="12" t="str">
        <x:f>IF(OR(R1613="unavailable",T1613="unavailable"),"不可评价",IF(AND(OR(R1613="positive",R1613="equivocal"),OR(T1613="positive",T1613="equivocal")),"a",IF(OR(T1613="positive",T1613="equivocal"),"b",IF(OR(R1613="positive",R1613="equivocal"),"c","d"))))</x:f>
        <x:v>d</x:v>
      </x:c>
      <x:c r="AD1613" s="12" t="str">
        <x:f>IF(OR(R1613="unavailable",T1613="unavailable"),"不可评价",IF(AND(R1613="positive",T1613="positive"),"a",IF(T1613="positive","b",IF(R1613="positive","c","d"))))</x:f>
        <x:v>d</x:v>
      </x:c>
      <x:c r="AE1613" s="12" t="str">
        <x:f>IF(OR(W1613="unavailable",Y1613="unavailable"),"不可评价",IF(AND(OR(W1613="positive",W1613="equivocal"),OR(Y1613="positive",Y1613="equivocal")),"a",IF(OR(Y1613="positive",Y1613="equivocal"),"b",IF(OR(W1613="positive",W1613="equivocal"),"c","d"))))</x:f>
        <x:v>d</x:v>
      </x:c>
      <x:c r="AF1613" s="12" t="str">
        <x:f>IF(OR(W1613="unavailable",Y1613="unavailable"),"不可评价",IF(AND(W1613="positive",Y1613="positive"),"a",IF(Y1613="positive","b",IF(W1613="positive","c","d"))))</x:f>
        <x:v>d</x:v>
      </x:c>
    </x:row>
    <x:row r="1614" ht="24" customHeight="1">
      <x:c r="A1614" s="12" t="str">
        <x:v>15101</x:v>
      </x:c>
      <x:c r="B1614" s="12" t="str">
        <x:v>1050</x:v>
      </x:c>
      <x:c r="C1614" s="21" t="n">
        <x:v>34971.7731712963</x:v>
      </x:c>
      <x:c r="D1614" s="12" t="n">
        <x:v>79</x:v>
      </x:c>
      <x:c r="E1614" s="12" t="n">
        <x:v>1</x:v>
      </x:c>
      <x:c r="F1614" s="12" t="str">
        <x:v>未记录</x:v>
      </x:c>
      <x:c r="G1614" s="12" t="n">
        <x:v>1</x:v>
      </x:c>
      <x:c r="H1614" s="12" t="str">
        <x:v>{'CLBBB': 100.0, '1AVB': 100.0, 'PAC': 0.0, 'SR': 0.0}</x:v>
      </x:c>
      <x:c r="I1614" s="12" t="str">
        <x:v>[('SRTH', 100.0), ('PAC', 100.0), ('LBBB', 100.0), ('AB', 100.0)]</x:v>
      </x:c>
      <x:c r="J1614" s="12" t="str">
        <x:v>ptbxl_database.csv；ecg_id=15101；scp_codes</x:v>
      </x:c>
      <x:c r="K1614" s="12" t="str">
        <x:v>12sl_statements.csv；ecg_id=15101；statements_ext_snomed</x:v>
      </x:c>
      <x:c r="L1614" s="12"/>
      <x:c r="M1614" s="12" t="str">
        <x:v>negative</x:v>
      </x:c>
      <x:c r="N1614" s="12"/>
      <x:c r="O1614" s="12" t="str">
        <x:v>negative</x:v>
      </x:c>
      <x:c r="P1614" s="12" t="str">
        <x:f>IF(OR(M1614="unavailable",O1614="unavailable"),"不可评价",IF(OR(M1614="equivocal",O1614="equivocal"),"疑似",IF(AND(M1614="positive",O1614="positive"),"a",IF(O1614="positive","b",IF(M1614="positive","c","d")))))</x:f>
        <x:v>d</x:v>
      </x:c>
      <x:c r="Q1614" s="12" t="n">
        <x:v>100</x:v>
      </x:c>
      <x:c r="R1614" s="12" t="str">
        <x:v>positive</x:v>
      </x:c>
      <x:c r="S1614" s="12" t="n">
        <x:v>100</x:v>
      </x:c>
      <x:c r="T1614" s="12" t="str">
        <x:v>positive</x:v>
      </x:c>
      <x:c r="U1614" s="12" t="str">
        <x:f>IF(OR(R1614="unavailable",T1614="unavailable"),"不可评价",IF(OR(R1614="equivocal",T1614="equivocal"),"疑似",IF(AND(R1614="positive",T1614="positive"),"a",IF(T1614="positive","b",IF(R1614="positive","c","d")))))</x:f>
        <x:v>a</x:v>
      </x:c>
      <x:c r="V1614" s="12"/>
      <x:c r="W1614" s="12" t="str">
        <x:v>negative</x:v>
      </x:c>
      <x:c r="X1614" s="12"/>
      <x:c r="Y1614" s="12" t="str">
        <x:v>negative</x:v>
      </x:c>
      <x:c r="Z1614" s="12" t="str">
        <x:f>IF(OR(W1614="unavailable",Y1614="unavailable"),"不可评价",IF(OR(W1614="equivocal",Y1614="equivocal"),"疑似",IF(AND(W1614="positive",Y1614="positive"),"a",IF(Y1614="positive","b",IF(W1614="positive","c","d")))))</x:f>
        <x:v>d</x:v>
      </x:c>
      <x:c r="AA1614" s="12" t="str">
        <x:f>IF(OR(M1614="unavailable",O1614="unavailable"),"不可评价",IF(AND(OR(M1614="positive",M1614="equivocal"),OR(O1614="positive",O1614="equivocal")),"a",IF(OR(O1614="positive",O1614="equivocal"),"b",IF(OR(M1614="positive",M1614="equivocal"),"c","d"))))</x:f>
        <x:v>d</x:v>
      </x:c>
      <x:c r="AB1614" s="12" t="str">
        <x:f>IF(OR(M1614="unavailable",O1614="unavailable"),"不可评价",IF(AND(M1614="positive",O1614="positive"),"a",IF(O1614="positive","b",IF(M1614="positive","c","d"))))</x:f>
        <x:v>d</x:v>
      </x:c>
      <x:c r="AC1614" s="12" t="str">
        <x:f>IF(OR(R1614="unavailable",T1614="unavailable"),"不可评价",IF(AND(OR(R1614="positive",R1614="equivocal"),OR(T1614="positive",T1614="equivocal")),"a",IF(OR(T1614="positive",T1614="equivocal"),"b",IF(OR(R1614="positive",R1614="equivocal"),"c","d"))))</x:f>
        <x:v>a</x:v>
      </x:c>
      <x:c r="AD1614" s="12" t="str">
        <x:f>IF(OR(R1614="unavailable",T1614="unavailable"),"不可评价",IF(AND(R1614="positive",T1614="positive"),"a",IF(T1614="positive","b",IF(R1614="positive","c","d"))))</x:f>
        <x:v>a</x:v>
      </x:c>
      <x:c r="AE1614" s="12" t="str">
        <x:f>IF(OR(W1614="unavailable",Y1614="unavailable"),"不可评价",IF(AND(OR(W1614="positive",W1614="equivocal"),OR(Y1614="positive",Y1614="equivocal")),"a",IF(OR(Y1614="positive",Y1614="equivocal"),"b",IF(OR(W1614="positive",W1614="equivocal"),"c","d"))))</x:f>
        <x:v>d</x:v>
      </x:c>
      <x:c r="AF1614" s="12" t="str">
        <x:f>IF(OR(W1614="unavailable",Y1614="unavailable"),"不可评价",IF(AND(W1614="positive",Y1614="positive"),"a",IF(Y1614="positive","b",IF(W1614="positive","c","d"))))</x:f>
        <x:v>d</x:v>
      </x:c>
    </x:row>
    <x:row r="1615" ht="24" customHeight="1">
      <x:c r="A1615" s="12" t="str">
        <x:v>15136</x:v>
      </x:c>
      <x:c r="B1615" s="12" t="str">
        <x:v>5529</x:v>
      </x:c>
      <x:c r="C1615" s="21" t="n">
        <x:v>34974.690717592595</x:v>
      </x:c>
      <x:c r="D1615" s="12" t="n">
        <x:v>68</x:v>
      </x:c>
      <x:c r="E1615" s="12" t="n">
        <x:v>0</x:v>
      </x:c>
      <x:c r="F1615" s="12" t="str">
        <x:v>未记录</x:v>
      </x:c>
      <x:c r="G1615" s="12" t="n">
        <x:v>1</x:v>
      </x:c>
      <x:c r="H1615" s="12" t="str">
        <x:v>{'NORM': 100.0, 'SR': 0.0}</x:v>
      </x:c>
      <x:c r="I1615" s="12" t="str">
        <x:v>[('NSR', 100.0), ('NML', 100.0)]</x:v>
      </x:c>
      <x:c r="J1615" s="12" t="str">
        <x:v>ptbxl_database.csv；ecg_id=15136；scp_codes</x:v>
      </x:c>
      <x:c r="K1615" s="12" t="str">
        <x:v>12sl_statements.csv；ecg_id=15136；statements_ext_snomed</x:v>
      </x:c>
      <x:c r="L1615" s="12"/>
      <x:c r="M1615" s="12" t="str">
        <x:v>negative</x:v>
      </x:c>
      <x:c r="N1615" s="12"/>
      <x:c r="O1615" s="12" t="str">
        <x:v>negative</x:v>
      </x:c>
      <x:c r="P1615" s="12" t="str">
        <x:f>IF(OR(M1615="unavailable",O1615="unavailable"),"不可评价",IF(OR(M1615="equivocal",O1615="equivocal"),"疑似",IF(AND(M1615="positive",O1615="positive"),"a",IF(O1615="positive","b",IF(M1615="positive","c","d")))))</x:f>
        <x:v>d</x:v>
      </x:c>
      <x:c r="Q1615" s="12"/>
      <x:c r="R1615" s="12" t="str">
        <x:v>negative</x:v>
      </x:c>
      <x:c r="S1615" s="12"/>
      <x:c r="T1615" s="12" t="str">
        <x:v>negative</x:v>
      </x:c>
      <x:c r="U1615" s="12" t="str">
        <x:f>IF(OR(R1615="unavailable",T1615="unavailable"),"不可评价",IF(OR(R1615="equivocal",T1615="equivocal"),"疑似",IF(AND(R1615="positive",T1615="positive"),"a",IF(T1615="positive","b",IF(R1615="positive","c","d")))))</x:f>
        <x:v>d</x:v>
      </x:c>
      <x:c r="V1615" s="12"/>
      <x:c r="W1615" s="12" t="str">
        <x:v>negative</x:v>
      </x:c>
      <x:c r="X1615" s="12"/>
      <x:c r="Y1615" s="12" t="str">
        <x:v>negative</x:v>
      </x:c>
      <x:c r="Z1615" s="12" t="str">
        <x:f>IF(OR(W1615="unavailable",Y1615="unavailable"),"不可评价",IF(OR(W1615="equivocal",Y1615="equivocal"),"疑似",IF(AND(W1615="positive",Y1615="positive"),"a",IF(Y1615="positive","b",IF(W1615="positive","c","d")))))</x:f>
        <x:v>d</x:v>
      </x:c>
      <x:c r="AA1615" s="12" t="str">
        <x:f>IF(OR(M1615="unavailable",O1615="unavailable"),"不可评价",IF(AND(OR(M1615="positive",M1615="equivocal"),OR(O1615="positive",O1615="equivocal")),"a",IF(OR(O1615="positive",O1615="equivocal"),"b",IF(OR(M1615="positive",M1615="equivocal"),"c","d"))))</x:f>
        <x:v>d</x:v>
      </x:c>
      <x:c r="AB1615" s="12" t="str">
        <x:f>IF(OR(M1615="unavailable",O1615="unavailable"),"不可评价",IF(AND(M1615="positive",O1615="positive"),"a",IF(O1615="positive","b",IF(M1615="positive","c","d"))))</x:f>
        <x:v>d</x:v>
      </x:c>
      <x:c r="AC1615" s="12" t="str">
        <x:f>IF(OR(R1615="unavailable",T1615="unavailable"),"不可评价",IF(AND(OR(R1615="positive",R1615="equivocal"),OR(T1615="positive",T1615="equivocal")),"a",IF(OR(T1615="positive",T1615="equivocal"),"b",IF(OR(R1615="positive",R1615="equivocal"),"c","d"))))</x:f>
        <x:v>d</x:v>
      </x:c>
      <x:c r="AD1615" s="12" t="str">
        <x:f>IF(OR(R1615="unavailable",T1615="unavailable"),"不可评价",IF(AND(R1615="positive",T1615="positive"),"a",IF(T1615="positive","b",IF(R1615="positive","c","d"))))</x:f>
        <x:v>d</x:v>
      </x:c>
      <x:c r="AE1615" s="12" t="str">
        <x:f>IF(OR(W1615="unavailable",Y1615="unavailable"),"不可评价",IF(AND(OR(W1615="positive",W1615="equivocal"),OR(Y1615="positive",Y1615="equivocal")),"a",IF(OR(Y1615="positive",Y1615="equivocal"),"b",IF(OR(W1615="positive",W1615="equivocal"),"c","d"))))</x:f>
        <x:v>d</x:v>
      </x:c>
      <x:c r="AF1615" s="12" t="str">
        <x:f>IF(OR(W1615="unavailable",Y1615="unavailable"),"不可评价",IF(AND(W1615="positive",Y1615="positive"),"a",IF(Y1615="positive","b",IF(W1615="positive","c","d"))))</x:f>
        <x:v>d</x:v>
      </x:c>
    </x:row>
    <x:row r="1616" ht="24" customHeight="1">
      <x:c r="A1616" s="12" t="str">
        <x:v>15139</x:v>
      </x:c>
      <x:c r="B1616" s="12" t="str">
        <x:v>10372</x:v>
      </x:c>
      <x:c r="C1616" s="21" t="n">
        <x:v>34975.47618055555</x:v>
      </x:c>
      <x:c r="D1616" s="12" t="n">
        <x:v>63</x:v>
      </x:c>
      <x:c r="E1616" s="12" t="n">
        <x:v>1</x:v>
      </x:c>
      <x:c r="F1616" s="12" t="str">
        <x:v>未记录</x:v>
      </x:c>
      <x:c r="G1616" s="12" t="n">
        <x:v>0</x:v>
      </x:c>
      <x:c r="H1616" s="12" t="str">
        <x:v>{'NDT': 100.0, 'SR': 0.0}</x:v>
      </x:c>
      <x:c r="I1616" s="12" t="str">
        <x:v>[('NSR', 100.0), ('NML', 100.0)]</x:v>
      </x:c>
      <x:c r="J1616" s="12" t="str">
        <x:v>ptbxl_database.csv；ecg_id=15139；scp_codes</x:v>
      </x:c>
      <x:c r="K1616" s="12" t="str">
        <x:v>12sl_statements.csv；ecg_id=15139；statements_ext_snomed</x:v>
      </x:c>
      <x:c r="L1616" s="12"/>
      <x:c r="M1616" s="12" t="str">
        <x:v>negative</x:v>
      </x:c>
      <x:c r="N1616" s="12"/>
      <x:c r="O1616" s="12" t="str">
        <x:v>negative</x:v>
      </x:c>
      <x:c r="P1616" s="12" t="str">
        <x:f>IF(OR(M1616="unavailable",O1616="unavailable"),"不可评价",IF(OR(M1616="equivocal",O1616="equivocal"),"疑似",IF(AND(M1616="positive",O1616="positive"),"a",IF(O1616="positive","b",IF(M1616="positive","c","d")))))</x:f>
        <x:v>d</x:v>
      </x:c>
      <x:c r="Q1616" s="12"/>
      <x:c r="R1616" s="12" t="str">
        <x:v>negative</x:v>
      </x:c>
      <x:c r="S1616" s="12"/>
      <x:c r="T1616" s="12" t="str">
        <x:v>negative</x:v>
      </x:c>
      <x:c r="U1616" s="12" t="str">
        <x:f>IF(OR(R1616="unavailable",T1616="unavailable"),"不可评价",IF(OR(R1616="equivocal",T1616="equivocal"),"疑似",IF(AND(R1616="positive",T1616="positive"),"a",IF(T1616="positive","b",IF(R1616="positive","c","d")))))</x:f>
        <x:v>d</x:v>
      </x:c>
      <x:c r="V1616" s="12"/>
      <x:c r="W1616" s="12" t="str">
        <x:v>negative</x:v>
      </x:c>
      <x:c r="X1616" s="12"/>
      <x:c r="Y1616" s="12" t="str">
        <x:v>negative</x:v>
      </x:c>
      <x:c r="Z1616" s="12" t="str">
        <x:f>IF(OR(W1616="unavailable",Y1616="unavailable"),"不可评价",IF(OR(W1616="equivocal",Y1616="equivocal"),"疑似",IF(AND(W1616="positive",Y1616="positive"),"a",IF(Y1616="positive","b",IF(W1616="positive","c","d")))))</x:f>
        <x:v>d</x:v>
      </x:c>
      <x:c r="AA1616" s="12" t="str">
        <x:f>IF(OR(M1616="unavailable",O1616="unavailable"),"不可评价",IF(AND(OR(M1616="positive",M1616="equivocal"),OR(O1616="positive",O1616="equivocal")),"a",IF(OR(O1616="positive",O1616="equivocal"),"b",IF(OR(M1616="positive",M1616="equivocal"),"c","d"))))</x:f>
        <x:v>d</x:v>
      </x:c>
      <x:c r="AB1616" s="12" t="str">
        <x:f>IF(OR(M1616="unavailable",O1616="unavailable"),"不可评价",IF(AND(M1616="positive",O1616="positive"),"a",IF(O1616="positive","b",IF(M1616="positive","c","d"))))</x:f>
        <x:v>d</x:v>
      </x:c>
      <x:c r="AC1616" s="12" t="str">
        <x:f>IF(OR(R1616="unavailable",T1616="unavailable"),"不可评价",IF(AND(OR(R1616="positive",R1616="equivocal"),OR(T1616="positive",T1616="equivocal")),"a",IF(OR(T1616="positive",T1616="equivocal"),"b",IF(OR(R1616="positive",R1616="equivocal"),"c","d"))))</x:f>
        <x:v>d</x:v>
      </x:c>
      <x:c r="AD1616" s="12" t="str">
        <x:f>IF(OR(R1616="unavailable",T1616="unavailable"),"不可评价",IF(AND(R1616="positive",T1616="positive"),"a",IF(T1616="positive","b",IF(R1616="positive","c","d"))))</x:f>
        <x:v>d</x:v>
      </x:c>
      <x:c r="AE1616" s="12" t="str">
        <x:f>IF(OR(W1616="unavailable",Y1616="unavailable"),"不可评价",IF(AND(OR(W1616="positive",W1616="equivocal"),OR(Y1616="positive",Y1616="equivocal")),"a",IF(OR(Y1616="positive",Y1616="equivocal"),"b",IF(OR(W1616="positive",W1616="equivocal"),"c","d"))))</x:f>
        <x:v>d</x:v>
      </x:c>
      <x:c r="AF1616" s="12" t="str">
        <x:f>IF(OR(W1616="unavailable",Y1616="unavailable"),"不可评价",IF(AND(W1616="positive",Y1616="positive"),"a",IF(Y1616="positive","b",IF(W1616="positive","c","d"))))</x:f>
        <x:v>d</x:v>
      </x:c>
    </x:row>
    <x:row r="1617" ht="24" customHeight="1">
      <x:c r="A1617" s="12" t="str">
        <x:v>15141</x:v>
      </x:c>
      <x:c r="B1617" s="12" t="str">
        <x:v>20107</x:v>
      </x:c>
      <x:c r="C1617" s="21" t="n">
        <x:v>34975.69391203704</x:v>
      </x:c>
      <x:c r="D1617" s="12" t="n">
        <x:v>55</x:v>
      </x:c>
      <x:c r="E1617" s="12" t="n">
        <x:v>0</x:v>
      </x:c>
      <x:c r="F1617" s="12" t="str">
        <x:v>存在</x:v>
      </x:c>
      <x:c r="G1617" s="12" t="n">
        <x:v>1</x:v>
      </x:c>
      <x:c r="H1617" s="12" t="str">
        <x:v>{'ASMI': 100.0, 'ABQRS': 0.0, 'AFIB': 0.0}</x:v>
      </x:c>
      <x:c r="I1617" s="12" t="str">
        <x:v>[('AFIB', 100.0), ('SMI;AU', 100.0), ('AB', 100.0)]</x:v>
      </x:c>
      <x:c r="J1617" s="12" t="str">
        <x:v>ptbxl_database.csv；ecg_id=15141；scp_codes</x:v>
      </x:c>
      <x:c r="K1617" s="12" t="str">
        <x:v>12sl_statements.csv；ecg_id=15141；statements_ext_snomed</x:v>
      </x:c>
      <x:c r="L1617" s="12" t="n">
        <x:v>0</x:v>
      </x:c>
      <x:c r="M1617" s="12" t="str">
        <x:v>positive</x:v>
      </x:c>
      <x:c r="N1617" s="12" t="n">
        <x:v>100</x:v>
      </x:c>
      <x:c r="O1617" s="12" t="str">
        <x:v>positive</x:v>
      </x:c>
      <x:c r="P1617" s="12" t="str">
        <x:f>IF(OR(M1617="unavailable",O1617="unavailable"),"不可评价",IF(OR(M1617="equivocal",O1617="equivocal"),"疑似",IF(AND(M1617="positive",O1617="positive"),"a",IF(O1617="positive","b",IF(M1617="positive","c","d")))))</x:f>
        <x:v>a</x:v>
      </x:c>
      <x:c r="Q1617" s="12"/>
      <x:c r="R1617" s="12" t="str">
        <x:v>negative</x:v>
      </x:c>
      <x:c r="S1617" s="12"/>
      <x:c r="T1617" s="12" t="str">
        <x:v>negative</x:v>
      </x:c>
      <x:c r="U1617" s="12" t="str">
        <x:f>IF(OR(R1617="unavailable",T1617="unavailable"),"不可评价",IF(OR(R1617="equivocal",T1617="equivocal"),"疑似",IF(AND(R1617="positive",T1617="positive"),"a",IF(T1617="positive","b",IF(R1617="positive","c","d")))))</x:f>
        <x:v>d</x:v>
      </x:c>
      <x:c r="V1617" s="12"/>
      <x:c r="W1617" s="12" t="str">
        <x:v>negative</x:v>
      </x:c>
      <x:c r="X1617" s="12"/>
      <x:c r="Y1617" s="12" t="str">
        <x:v>negative</x:v>
      </x:c>
      <x:c r="Z1617" s="12" t="str">
        <x:f>IF(OR(W1617="unavailable",Y1617="unavailable"),"不可评价",IF(OR(W1617="equivocal",Y1617="equivocal"),"疑似",IF(AND(W1617="positive",Y1617="positive"),"a",IF(Y1617="positive","b",IF(W1617="positive","c","d")))))</x:f>
        <x:v>d</x:v>
      </x:c>
      <x:c r="AA1617" s="12" t="str">
        <x:f>IF(OR(M1617="unavailable",O1617="unavailable"),"不可评价",IF(AND(OR(M1617="positive",M1617="equivocal"),OR(O1617="positive",O1617="equivocal")),"a",IF(OR(O1617="positive",O1617="equivocal"),"b",IF(OR(M1617="positive",M1617="equivocal"),"c","d"))))</x:f>
        <x:v>a</x:v>
      </x:c>
      <x:c r="AB1617" s="12" t="str">
        <x:f>IF(OR(M1617="unavailable",O1617="unavailable"),"不可评价",IF(AND(M1617="positive",O1617="positive"),"a",IF(O1617="positive","b",IF(M1617="positive","c","d"))))</x:f>
        <x:v>a</x:v>
      </x:c>
      <x:c r="AC1617" s="12" t="str">
        <x:f>IF(OR(R1617="unavailable",T1617="unavailable"),"不可评价",IF(AND(OR(R1617="positive",R1617="equivocal"),OR(T1617="positive",T1617="equivocal")),"a",IF(OR(T1617="positive",T1617="equivocal"),"b",IF(OR(R1617="positive",R1617="equivocal"),"c","d"))))</x:f>
        <x:v>d</x:v>
      </x:c>
      <x:c r="AD1617" s="12" t="str">
        <x:f>IF(OR(R1617="unavailable",T1617="unavailable"),"不可评价",IF(AND(R1617="positive",T1617="positive"),"a",IF(T1617="positive","b",IF(R1617="positive","c","d"))))</x:f>
        <x:v>d</x:v>
      </x:c>
      <x:c r="AE1617" s="12" t="str">
        <x:f>IF(OR(W1617="unavailable",Y1617="unavailable"),"不可评价",IF(AND(OR(W1617="positive",W1617="equivocal"),OR(Y1617="positive",Y1617="equivocal")),"a",IF(OR(Y1617="positive",Y1617="equivocal"),"b",IF(OR(W1617="positive",W1617="equivocal"),"c","d"))))</x:f>
        <x:v>d</x:v>
      </x:c>
      <x:c r="AF1617" s="12" t="str">
        <x:f>IF(OR(W1617="unavailable",Y1617="unavailable"),"不可评价",IF(AND(W1617="positive",Y1617="positive"),"a",IF(Y1617="positive","b",IF(W1617="positive","c","d"))))</x:f>
        <x:v>d</x:v>
      </x:c>
    </x:row>
    <x:row r="1618" ht="24" customHeight="1">
      <x:c r="A1618" s="12" t="str">
        <x:v>15180</x:v>
      </x:c>
      <x:c r="B1618" s="12" t="str">
        <x:v>12255</x:v>
      </x:c>
      <x:c r="C1618" s="21" t="n">
        <x:v>34984.62490740741</x:v>
      </x:c>
      <x:c r="D1618" s="12" t="n">
        <x:v>69</x:v>
      </x:c>
      <x:c r="E1618" s="12" t="n">
        <x:v>0</x:v>
      </x:c>
      <x:c r="F1618" s="12" t="str">
        <x:v>存在</x:v>
      </x:c>
      <x:c r="G1618" s="12" t="n">
        <x:v>0</x:v>
      </x:c>
      <x:c r="H1618" s="12" t="str">
        <x:v>{'IMI': 100.0, 'ABQRS': 0.0, 'AFIB': 0.0}</x:v>
      </x:c>
      <x:c r="I1618" s="12" t="str">
        <x:v>[('STACH', 100.0), ('IMI;AU', 100.0), ('AB', 100.0)]</x:v>
      </x:c>
      <x:c r="J1618" s="12" t="str">
        <x:v>ptbxl_database.csv；ecg_id=15180；scp_codes</x:v>
      </x:c>
      <x:c r="K1618" s="12" t="str">
        <x:v>12sl_statements.csv；ecg_id=15180；statements_ext_snomed</x:v>
      </x:c>
      <x:c r="L1618" s="12" t="n">
        <x:v>0</x:v>
      </x:c>
      <x:c r="M1618" s="12" t="str">
        <x:v>positive</x:v>
      </x:c>
      <x:c r="N1618" s="12"/>
      <x:c r="O1618" s="12" t="str">
        <x:v>negative</x:v>
      </x:c>
      <x:c r="P1618" s="12" t="str">
        <x:f>IF(OR(M1618="unavailable",O1618="unavailable"),"不可评价",IF(OR(M1618="equivocal",O1618="equivocal"),"疑似",IF(AND(M1618="positive",O1618="positive"),"a",IF(O1618="positive","b",IF(M1618="positive","c","d")))))</x:f>
        <x:v>c</x:v>
      </x:c>
      <x:c r="Q1618" s="12"/>
      <x:c r="R1618" s="12" t="str">
        <x:v>negative</x:v>
      </x:c>
      <x:c r="S1618" s="12"/>
      <x:c r="T1618" s="12" t="str">
        <x:v>negative</x:v>
      </x:c>
      <x:c r="U1618" s="12" t="str">
        <x:f>IF(OR(R1618="unavailable",T1618="unavailable"),"不可评价",IF(OR(R1618="equivocal",T1618="equivocal"),"疑似",IF(AND(R1618="positive",T1618="positive"),"a",IF(T1618="positive","b",IF(R1618="positive","c","d")))))</x:f>
        <x:v>d</x:v>
      </x:c>
      <x:c r="V1618" s="12"/>
      <x:c r="W1618" s="12" t="str">
        <x:v>negative</x:v>
      </x:c>
      <x:c r="X1618" s="12"/>
      <x:c r="Y1618" s="12" t="str">
        <x:v>negative</x:v>
      </x:c>
      <x:c r="Z1618" s="12" t="str">
        <x:f>IF(OR(W1618="unavailable",Y1618="unavailable"),"不可评价",IF(OR(W1618="equivocal",Y1618="equivocal"),"疑似",IF(AND(W1618="positive",Y1618="positive"),"a",IF(Y1618="positive","b",IF(W1618="positive","c","d")))))</x:f>
        <x:v>d</x:v>
      </x:c>
      <x:c r="AA1618" s="12" t="str">
        <x:f>IF(OR(M1618="unavailable",O1618="unavailable"),"不可评价",IF(AND(OR(M1618="positive",M1618="equivocal"),OR(O1618="positive",O1618="equivocal")),"a",IF(OR(O1618="positive",O1618="equivocal"),"b",IF(OR(M1618="positive",M1618="equivocal"),"c","d"))))</x:f>
        <x:v>c</x:v>
      </x:c>
      <x:c r="AB1618" s="12" t="str">
        <x:f>IF(OR(M1618="unavailable",O1618="unavailable"),"不可评价",IF(AND(M1618="positive",O1618="positive"),"a",IF(O1618="positive","b",IF(M1618="positive","c","d"))))</x:f>
        <x:v>c</x:v>
      </x:c>
      <x:c r="AC1618" s="12" t="str">
        <x:f>IF(OR(R1618="unavailable",T1618="unavailable"),"不可评价",IF(AND(OR(R1618="positive",R1618="equivocal"),OR(T1618="positive",T1618="equivocal")),"a",IF(OR(T1618="positive",T1618="equivocal"),"b",IF(OR(R1618="positive",R1618="equivocal"),"c","d"))))</x:f>
        <x:v>d</x:v>
      </x:c>
      <x:c r="AD1618" s="12" t="str">
        <x:f>IF(OR(R1618="unavailable",T1618="unavailable"),"不可评价",IF(AND(R1618="positive",T1618="positive"),"a",IF(T1618="positive","b",IF(R1618="positive","c","d"))))</x:f>
        <x:v>d</x:v>
      </x:c>
      <x:c r="AE1618" s="12" t="str">
        <x:f>IF(OR(W1618="unavailable",Y1618="unavailable"),"不可评价",IF(AND(OR(W1618="positive",W1618="equivocal"),OR(Y1618="positive",Y1618="equivocal")),"a",IF(OR(Y1618="positive",Y1618="equivocal"),"b",IF(OR(W1618="positive",W1618="equivocal"),"c","d"))))</x:f>
        <x:v>d</x:v>
      </x:c>
      <x:c r="AF1618" s="12" t="str">
        <x:f>IF(OR(W1618="unavailable",Y1618="unavailable"),"不可评价",IF(AND(W1618="positive",Y1618="positive"),"a",IF(Y1618="positive","b",IF(W1618="positive","c","d"))))</x:f>
        <x:v>d</x:v>
      </x:c>
    </x:row>
    <x:row r="1619" ht="39" customHeight="1">
      <x:c r="A1619" s="12" t="str">
        <x:v>15203</x:v>
      </x:c>
      <x:c r="B1619" s="12" t="str">
        <x:v>13008</x:v>
      </x:c>
      <x:c r="C1619" s="21" t="n">
        <x:v>34989.68650462963</x:v>
      </x:c>
      <x:c r="D1619" s="12" t="n">
        <x:v>88</x:v>
      </x:c>
      <x:c r="E1619" s="12" t="n">
        <x:v>0</x:v>
      </x:c>
      <x:c r="F1619" s="12" t="str">
        <x:v>存在</x:v>
      </x:c>
      <x:c r="G1619" s="12" t="n">
        <x:v>1</x:v>
      </x:c>
      <x:c r="H1619" s="12" t="str">
        <x:v>{'IMI': 100.0, 'ASMI': 35.0, 'CRBBB': 100.0, 'ABQRS': 0.0, 'SR': 0.0}</x:v>
      </x:c>
      <x:c r="I1619" s="12" t="str">
        <x:v>[('SRTH', 100.0), ('MSAR', 100.0), ('RBBB', 100.0), ('AFB', 100.0), ('BIFB', 100.0), ('AB', 100.0)]</x:v>
      </x:c>
      <x:c r="J1619" s="12" t="str">
        <x:v>ptbxl_database.csv；ecg_id=15203；scp_codes</x:v>
      </x:c>
      <x:c r="K1619" s="12" t="str">
        <x:v>12sl_statements.csv；ecg_id=15203；statements_ext_snomed</x:v>
      </x:c>
      <x:c r="L1619" s="12"/>
      <x:c r="M1619" s="12" t="str">
        <x:v>negative</x:v>
      </x:c>
      <x:c r="N1619" s="12"/>
      <x:c r="O1619" s="12" t="str">
        <x:v>negative</x:v>
      </x:c>
      <x:c r="P1619" s="12" t="str">
        <x:f>IF(OR(M1619="unavailable",O1619="unavailable"),"不可评价",IF(OR(M1619="equivocal",O1619="equivocal"),"疑似",IF(AND(M1619="positive",O1619="positive"),"a",IF(O1619="positive","b",IF(M1619="positive","c","d")))))</x:f>
        <x:v>d</x:v>
      </x:c>
      <x:c r="Q1619" s="12"/>
      <x:c r="R1619" s="12" t="str">
        <x:v>negative</x:v>
      </x:c>
      <x:c r="S1619" s="12"/>
      <x:c r="T1619" s="12" t="str">
        <x:v>negative</x:v>
      </x:c>
      <x:c r="U1619" s="12" t="str">
        <x:f>IF(OR(R1619="unavailable",T1619="unavailable"),"不可评价",IF(OR(R1619="equivocal",T1619="equivocal"),"疑似",IF(AND(R1619="positive",T1619="positive"),"a",IF(T1619="positive","b",IF(R1619="positive","c","d")))))</x:f>
        <x:v>d</x:v>
      </x:c>
      <x:c r="V1619" s="12" t="n">
        <x:v>100</x:v>
      </x:c>
      <x:c r="W1619" s="12" t="str">
        <x:v>positive</x:v>
      </x:c>
      <x:c r="X1619" s="12" t="n">
        <x:v>100</x:v>
      </x:c>
      <x:c r="Y1619" s="12" t="str">
        <x:v>positive</x:v>
      </x:c>
      <x:c r="Z1619" s="12" t="str">
        <x:f>IF(OR(W1619="unavailable",Y1619="unavailable"),"不可评价",IF(OR(W1619="equivocal",Y1619="equivocal"),"疑似",IF(AND(W1619="positive",Y1619="positive"),"a",IF(Y1619="positive","b",IF(W1619="positive","c","d")))))</x:f>
        <x:v>a</x:v>
      </x:c>
      <x:c r="AA1619" s="12" t="str">
        <x:f>IF(OR(M1619="unavailable",O1619="unavailable"),"不可评价",IF(AND(OR(M1619="positive",M1619="equivocal"),OR(O1619="positive",O1619="equivocal")),"a",IF(OR(O1619="positive",O1619="equivocal"),"b",IF(OR(M1619="positive",M1619="equivocal"),"c","d"))))</x:f>
        <x:v>d</x:v>
      </x:c>
      <x:c r="AB1619" s="12" t="str">
        <x:f>IF(OR(M1619="unavailable",O1619="unavailable"),"不可评价",IF(AND(M1619="positive",O1619="positive"),"a",IF(O1619="positive","b",IF(M1619="positive","c","d"))))</x:f>
        <x:v>d</x:v>
      </x:c>
      <x:c r="AC1619" s="12" t="str">
        <x:f>IF(OR(R1619="unavailable",T1619="unavailable"),"不可评价",IF(AND(OR(R1619="positive",R1619="equivocal"),OR(T1619="positive",T1619="equivocal")),"a",IF(OR(T1619="positive",T1619="equivocal"),"b",IF(OR(R1619="positive",R1619="equivocal"),"c","d"))))</x:f>
        <x:v>d</x:v>
      </x:c>
      <x:c r="AD1619" s="12" t="str">
        <x:f>IF(OR(R1619="unavailable",T1619="unavailable"),"不可评价",IF(AND(R1619="positive",T1619="positive"),"a",IF(T1619="positive","b",IF(R1619="positive","c","d"))))</x:f>
        <x:v>d</x:v>
      </x:c>
      <x:c r="AE1619" s="12" t="str">
        <x:f>IF(OR(W1619="unavailable",Y1619="unavailable"),"不可评价",IF(AND(OR(W1619="positive",W1619="equivocal"),OR(Y1619="positive",Y1619="equivocal")),"a",IF(OR(Y1619="positive",Y1619="equivocal"),"b",IF(OR(W1619="positive",W1619="equivocal"),"c","d"))))</x:f>
        <x:v>a</x:v>
      </x:c>
      <x:c r="AF1619" s="12" t="str">
        <x:f>IF(OR(W1619="unavailable",Y1619="unavailable"),"不可评价",IF(AND(W1619="positive",Y1619="positive"),"a",IF(Y1619="positive","b",IF(W1619="positive","c","d"))))</x:f>
        <x:v>a</x:v>
      </x:c>
    </x:row>
    <x:row r="1620" ht="24" customHeight="1">
      <x:c r="A1620" s="12" t="str">
        <x:v>15207</x:v>
      </x:c>
      <x:c r="B1620" s="12" t="str">
        <x:v>9105</x:v>
      </x:c>
      <x:c r="C1620" s="21" t="n">
        <x:v>34990.675729166665</x:v>
      </x:c>
      <x:c r="D1620" s="12" t="n">
        <x:v>86</x:v>
      </x:c>
      <x:c r="E1620" s="12" t="n">
        <x:v>1</x:v>
      </x:c>
      <x:c r="F1620" s="12" t="str">
        <x:v>未记录</x:v>
      </x:c>
      <x:c r="G1620" s="12" t="n">
        <x:v>1</x:v>
      </x:c>
      <x:c r="H1620" s="12" t="str">
        <x:v>{'AMI': 15.0, 'SR': 0.0}</x:v>
      </x:c>
      <x:c r="I1620" s="12" t="str">
        <x:v>[('NSR', 100.0), ('NML', 100.0)]</x:v>
      </x:c>
      <x:c r="J1620" s="12" t="str">
        <x:v>ptbxl_database.csv；ecg_id=15207；scp_codes</x:v>
      </x:c>
      <x:c r="K1620" s="12" t="str">
        <x:v>12sl_statements.csv；ecg_id=15207；statements_ext_snomed</x:v>
      </x:c>
      <x:c r="L1620" s="12"/>
      <x:c r="M1620" s="12" t="str">
        <x:v>negative</x:v>
      </x:c>
      <x:c r="N1620" s="12"/>
      <x:c r="O1620" s="12" t="str">
        <x:v>negative</x:v>
      </x:c>
      <x:c r="P1620" s="12" t="str">
        <x:f>IF(OR(M1620="unavailable",O1620="unavailable"),"不可评价",IF(OR(M1620="equivocal",O1620="equivocal"),"疑似",IF(AND(M1620="positive",O1620="positive"),"a",IF(O1620="positive","b",IF(M1620="positive","c","d")))))</x:f>
        <x:v>d</x:v>
      </x:c>
      <x:c r="Q1620" s="12"/>
      <x:c r="R1620" s="12" t="str">
        <x:v>negative</x:v>
      </x:c>
      <x:c r="S1620" s="12"/>
      <x:c r="T1620" s="12" t="str">
        <x:v>negative</x:v>
      </x:c>
      <x:c r="U1620" s="12" t="str">
        <x:f>IF(OR(R1620="unavailable",T1620="unavailable"),"不可评价",IF(OR(R1620="equivocal",T1620="equivocal"),"疑似",IF(AND(R1620="positive",T1620="positive"),"a",IF(T1620="positive","b",IF(R1620="positive","c","d")))))</x:f>
        <x:v>d</x:v>
      </x:c>
      <x:c r="V1620" s="12"/>
      <x:c r="W1620" s="12" t="str">
        <x:v>negative</x:v>
      </x:c>
      <x:c r="X1620" s="12"/>
      <x:c r="Y1620" s="12" t="str">
        <x:v>negative</x:v>
      </x:c>
      <x:c r="Z1620" s="12" t="str">
        <x:f>IF(OR(W1620="unavailable",Y1620="unavailable"),"不可评价",IF(OR(W1620="equivocal",Y1620="equivocal"),"疑似",IF(AND(W1620="positive",Y1620="positive"),"a",IF(Y1620="positive","b",IF(W1620="positive","c","d")))))</x:f>
        <x:v>d</x:v>
      </x:c>
      <x:c r="AA1620" s="12" t="str">
        <x:f>IF(OR(M1620="unavailable",O1620="unavailable"),"不可评价",IF(AND(OR(M1620="positive",M1620="equivocal"),OR(O1620="positive",O1620="equivocal")),"a",IF(OR(O1620="positive",O1620="equivocal"),"b",IF(OR(M1620="positive",M1620="equivocal"),"c","d"))))</x:f>
        <x:v>d</x:v>
      </x:c>
      <x:c r="AB1620" s="12" t="str">
        <x:f>IF(OR(M1620="unavailable",O1620="unavailable"),"不可评价",IF(AND(M1620="positive",O1620="positive"),"a",IF(O1620="positive","b",IF(M1620="positive","c","d"))))</x:f>
        <x:v>d</x:v>
      </x:c>
      <x:c r="AC1620" s="12" t="str">
        <x:f>IF(OR(R1620="unavailable",T1620="unavailable"),"不可评价",IF(AND(OR(R1620="positive",R1620="equivocal"),OR(T1620="positive",T1620="equivocal")),"a",IF(OR(T1620="positive",T1620="equivocal"),"b",IF(OR(R1620="positive",R1620="equivocal"),"c","d"))))</x:f>
        <x:v>d</x:v>
      </x:c>
      <x:c r="AD1620" s="12" t="str">
        <x:f>IF(OR(R1620="unavailable",T1620="unavailable"),"不可评价",IF(AND(R1620="positive",T1620="positive"),"a",IF(T1620="positive","b",IF(R1620="positive","c","d"))))</x:f>
        <x:v>d</x:v>
      </x:c>
      <x:c r="AE1620" s="12" t="str">
        <x:f>IF(OR(W1620="unavailable",Y1620="unavailable"),"不可评价",IF(AND(OR(W1620="positive",W1620="equivocal"),OR(Y1620="positive",Y1620="equivocal")),"a",IF(OR(Y1620="positive",Y1620="equivocal"),"b",IF(OR(W1620="positive",W1620="equivocal"),"c","d"))))</x:f>
        <x:v>d</x:v>
      </x:c>
      <x:c r="AF1620" s="12" t="str">
        <x:f>IF(OR(W1620="unavailable",Y1620="unavailable"),"不可评价",IF(AND(W1620="positive",Y1620="positive"),"a",IF(Y1620="positive","b",IF(W1620="positive","c","d"))))</x:f>
        <x:v>d</x:v>
      </x:c>
    </x:row>
    <x:row r="1621" ht="24" customHeight="1">
      <x:c r="A1621" s="12" t="str">
        <x:v>15221</x:v>
      </x:c>
      <x:c r="B1621" s="12" t="str">
        <x:v>17578</x:v>
      </x:c>
      <x:c r="C1621" s="21" t="n">
        <x:v>34995.72318287037</x:v>
      </x:c>
      <x:c r="D1621" s="12" t="n">
        <x:v>69</x:v>
      </x:c>
      <x:c r="E1621" s="12" t="n">
        <x:v>1</x:v>
      </x:c>
      <x:c r="F1621" s="12" t="str">
        <x:v>存在</x:v>
      </x:c>
      <x:c r="G1621" s="12" t="n">
        <x:v>1</x:v>
      </x:c>
      <x:c r="H1621" s="12" t="str">
        <x:v>{'NORM': 100.0, 'SR': 0.0}</x:v>
      </x:c>
      <x:c r="I1621" s="12" t="str">
        <x:v>[('NSR', 100.0), ('NML', 100.0)]</x:v>
      </x:c>
      <x:c r="J1621" s="12" t="str">
        <x:v>ptbxl_database.csv；ecg_id=15221；scp_codes</x:v>
      </x:c>
      <x:c r="K1621" s="12" t="str">
        <x:v>12sl_statements.csv；ecg_id=15221；statements_ext_snomed</x:v>
      </x:c>
      <x:c r="L1621" s="12"/>
      <x:c r="M1621" s="12" t="str">
        <x:v>negative</x:v>
      </x:c>
      <x:c r="N1621" s="12"/>
      <x:c r="O1621" s="12" t="str">
        <x:v>negative</x:v>
      </x:c>
      <x:c r="P1621" s="12" t="str">
        <x:f>IF(OR(M1621="unavailable",O1621="unavailable"),"不可评价",IF(OR(M1621="equivocal",O1621="equivocal"),"疑似",IF(AND(M1621="positive",O1621="positive"),"a",IF(O1621="positive","b",IF(M1621="positive","c","d")))))</x:f>
        <x:v>d</x:v>
      </x:c>
      <x:c r="Q1621" s="12"/>
      <x:c r="R1621" s="12" t="str">
        <x:v>negative</x:v>
      </x:c>
      <x:c r="S1621" s="12"/>
      <x:c r="T1621" s="12" t="str">
        <x:v>negative</x:v>
      </x:c>
      <x:c r="U1621" s="12" t="str">
        <x:f>IF(OR(R1621="unavailable",T1621="unavailable"),"不可评价",IF(OR(R1621="equivocal",T1621="equivocal"),"疑似",IF(AND(R1621="positive",T1621="positive"),"a",IF(T1621="positive","b",IF(R1621="positive","c","d")))))</x:f>
        <x:v>d</x:v>
      </x:c>
      <x:c r="V1621" s="12"/>
      <x:c r="W1621" s="12" t="str">
        <x:v>negative</x:v>
      </x:c>
      <x:c r="X1621" s="12"/>
      <x:c r="Y1621" s="12" t="str">
        <x:v>negative</x:v>
      </x:c>
      <x:c r="Z1621" s="12" t="str">
        <x:f>IF(OR(W1621="unavailable",Y1621="unavailable"),"不可评价",IF(OR(W1621="equivocal",Y1621="equivocal"),"疑似",IF(AND(W1621="positive",Y1621="positive"),"a",IF(Y1621="positive","b",IF(W1621="positive","c","d")))))</x:f>
        <x:v>d</x:v>
      </x:c>
      <x:c r="AA1621" s="12" t="str">
        <x:f>IF(OR(M1621="unavailable",O1621="unavailable"),"不可评价",IF(AND(OR(M1621="positive",M1621="equivocal"),OR(O1621="positive",O1621="equivocal")),"a",IF(OR(O1621="positive",O1621="equivocal"),"b",IF(OR(M1621="positive",M1621="equivocal"),"c","d"))))</x:f>
        <x:v>d</x:v>
      </x:c>
      <x:c r="AB1621" s="12" t="str">
        <x:f>IF(OR(M1621="unavailable",O1621="unavailable"),"不可评价",IF(AND(M1621="positive",O1621="positive"),"a",IF(O1621="positive","b",IF(M1621="positive","c","d"))))</x:f>
        <x:v>d</x:v>
      </x:c>
      <x:c r="AC1621" s="12" t="str">
        <x:f>IF(OR(R1621="unavailable",T1621="unavailable"),"不可评价",IF(AND(OR(R1621="positive",R1621="equivocal"),OR(T1621="positive",T1621="equivocal")),"a",IF(OR(T1621="positive",T1621="equivocal"),"b",IF(OR(R1621="positive",R1621="equivocal"),"c","d"))))</x:f>
        <x:v>d</x:v>
      </x:c>
      <x:c r="AD1621" s="12" t="str">
        <x:f>IF(OR(R1621="unavailable",T1621="unavailable"),"不可评价",IF(AND(R1621="positive",T1621="positive"),"a",IF(T1621="positive","b",IF(R1621="positive","c","d"))))</x:f>
        <x:v>d</x:v>
      </x:c>
      <x:c r="AE1621" s="12" t="str">
        <x:f>IF(OR(W1621="unavailable",Y1621="unavailable"),"不可评价",IF(AND(OR(W1621="positive",W1621="equivocal"),OR(Y1621="positive",Y1621="equivocal")),"a",IF(OR(Y1621="positive",Y1621="equivocal"),"b",IF(OR(W1621="positive",W1621="equivocal"),"c","d"))))</x:f>
        <x:v>d</x:v>
      </x:c>
      <x:c r="AF1621" s="12" t="str">
        <x:f>IF(OR(W1621="unavailable",Y1621="unavailable"),"不可评价",IF(AND(W1621="positive",Y1621="positive"),"a",IF(Y1621="positive","b",IF(W1621="positive","c","d"))))</x:f>
        <x:v>d</x:v>
      </x:c>
    </x:row>
    <x:row r="1622" ht="24" customHeight="1">
      <x:c r="A1622" s="12" t="str">
        <x:v>15227</x:v>
      </x:c>
      <x:c r="B1622" s="12" t="str">
        <x:v>13393</x:v>
      </x:c>
      <x:c r="C1622" s="21" t="n">
        <x:v>34996.87349537037</x:v>
      </x:c>
      <x:c r="D1622" s="12" t="n">
        <x:v>52</x:v>
      </x:c>
      <x:c r="E1622" s="12" t="n">
        <x:v>1</x:v>
      </x:c>
      <x:c r="F1622" s="12" t="str">
        <x:v>未记录</x:v>
      </x:c>
      <x:c r="G1622" s="12" t="n">
        <x:v>1</x:v>
      </x:c>
      <x:c r="H1622" s="12" t="str">
        <x:v>{'IMI': 100.0, 'ABQRS': 0.0, 'SR': 0.0}</x:v>
      </x:c>
      <x:c r="I1622" s="12" t="str">
        <x:v>[('NSR', 100.0), ('IMI;AU', 100.0), ('AMI;AU', 50.0), ('AB', 100.0)]</x:v>
      </x:c>
      <x:c r="J1622" s="12" t="str">
        <x:v>ptbxl_database.csv；ecg_id=15227；scp_codes</x:v>
      </x:c>
      <x:c r="K1622" s="12" t="str">
        <x:v>12sl_statements.csv；ecg_id=15227；statements_ext_snomed</x:v>
      </x:c>
      <x:c r="L1622" s="12"/>
      <x:c r="M1622" s="12" t="str">
        <x:v>negative</x:v>
      </x:c>
      <x:c r="N1622" s="12"/>
      <x:c r="O1622" s="12" t="str">
        <x:v>negative</x:v>
      </x:c>
      <x:c r="P1622" s="12" t="str">
        <x:f>IF(OR(M1622="unavailable",O1622="unavailable"),"不可评价",IF(OR(M1622="equivocal",O1622="equivocal"),"疑似",IF(AND(M1622="positive",O1622="positive"),"a",IF(O1622="positive","b",IF(M1622="positive","c","d")))))</x:f>
        <x:v>d</x:v>
      </x:c>
      <x:c r="Q1622" s="12"/>
      <x:c r="R1622" s="12" t="str">
        <x:v>negative</x:v>
      </x:c>
      <x:c r="S1622" s="12"/>
      <x:c r="T1622" s="12" t="str">
        <x:v>negative</x:v>
      </x:c>
      <x:c r="U1622" s="12" t="str">
        <x:f>IF(OR(R1622="unavailable",T1622="unavailable"),"不可评价",IF(OR(R1622="equivocal",T1622="equivocal"),"疑似",IF(AND(R1622="positive",T1622="positive"),"a",IF(T1622="positive","b",IF(R1622="positive","c","d")))))</x:f>
        <x:v>d</x:v>
      </x:c>
      <x:c r="V1622" s="12"/>
      <x:c r="W1622" s="12" t="str">
        <x:v>negative</x:v>
      </x:c>
      <x:c r="X1622" s="12"/>
      <x:c r="Y1622" s="12" t="str">
        <x:v>negative</x:v>
      </x:c>
      <x:c r="Z1622" s="12" t="str">
        <x:f>IF(OR(W1622="unavailable",Y1622="unavailable"),"不可评价",IF(OR(W1622="equivocal",Y1622="equivocal"),"疑似",IF(AND(W1622="positive",Y1622="positive"),"a",IF(Y1622="positive","b",IF(W1622="positive","c","d")))))</x:f>
        <x:v>d</x:v>
      </x:c>
      <x:c r="AA1622" s="12" t="str">
        <x:f>IF(OR(M1622="unavailable",O1622="unavailable"),"不可评价",IF(AND(OR(M1622="positive",M1622="equivocal"),OR(O1622="positive",O1622="equivocal")),"a",IF(OR(O1622="positive",O1622="equivocal"),"b",IF(OR(M1622="positive",M1622="equivocal"),"c","d"))))</x:f>
        <x:v>d</x:v>
      </x:c>
      <x:c r="AB1622" s="12" t="str">
        <x:f>IF(OR(M1622="unavailable",O1622="unavailable"),"不可评价",IF(AND(M1622="positive",O1622="positive"),"a",IF(O1622="positive","b",IF(M1622="positive","c","d"))))</x:f>
        <x:v>d</x:v>
      </x:c>
      <x:c r="AC1622" s="12" t="str">
        <x:f>IF(OR(R1622="unavailable",T1622="unavailable"),"不可评价",IF(AND(OR(R1622="positive",R1622="equivocal"),OR(T1622="positive",T1622="equivocal")),"a",IF(OR(T1622="positive",T1622="equivocal"),"b",IF(OR(R1622="positive",R1622="equivocal"),"c","d"))))</x:f>
        <x:v>d</x:v>
      </x:c>
      <x:c r="AD1622" s="12" t="str">
        <x:f>IF(OR(R1622="unavailable",T1622="unavailable"),"不可评价",IF(AND(R1622="positive",T1622="positive"),"a",IF(T1622="positive","b",IF(R1622="positive","c","d"))))</x:f>
        <x:v>d</x:v>
      </x:c>
      <x:c r="AE1622" s="12" t="str">
        <x:f>IF(OR(W1622="unavailable",Y1622="unavailable"),"不可评价",IF(AND(OR(W1622="positive",W1622="equivocal"),OR(Y1622="positive",Y1622="equivocal")),"a",IF(OR(Y1622="positive",Y1622="equivocal"),"b",IF(OR(W1622="positive",W1622="equivocal"),"c","d"))))</x:f>
        <x:v>d</x:v>
      </x:c>
      <x:c r="AF1622" s="12" t="str">
        <x:f>IF(OR(W1622="unavailable",Y1622="unavailable"),"不可评价",IF(AND(W1622="positive",Y1622="positive"),"a",IF(Y1622="positive","b",IF(W1622="positive","c","d"))))</x:f>
        <x:v>d</x:v>
      </x:c>
    </x:row>
    <x:row r="1623" ht="24" customHeight="1">
      <x:c r="A1623" s="12" t="str">
        <x:v>15235</x:v>
      </x:c>
      <x:c r="B1623" s="12" t="str">
        <x:v>12422</x:v>
      </x:c>
      <x:c r="C1623" s="21" t="n">
        <x:v>34997.44416666667</x:v>
      </x:c>
      <x:c r="D1623" s="12" t="n">
        <x:v>56</x:v>
      </x:c>
      <x:c r="E1623" s="12" t="n">
        <x:v>0</x:v>
      </x:c>
      <x:c r="F1623" s="12" t="str">
        <x:v>未记录</x:v>
      </x:c>
      <x:c r="G1623" s="12" t="n">
        <x:v>1</x:v>
      </x:c>
      <x:c r="H1623" s="12" t="str">
        <x:v>{'IMI': 100.0, 'ABQRS': 0.0, 'SR': 0.0}</x:v>
      </x:c>
      <x:c r="I1623" s="12" t="str">
        <x:v>[('STACH', 100.0), ('PAC', 100.0), ('IMI;AU', 100.0), ('AB', 100.0)]</x:v>
      </x:c>
      <x:c r="J1623" s="12" t="str">
        <x:v>ptbxl_database.csv；ecg_id=15235；scp_codes</x:v>
      </x:c>
      <x:c r="K1623" s="12" t="str">
        <x:v>12sl_statements.csv；ecg_id=15235；statements_ext_snomed</x:v>
      </x:c>
      <x:c r="L1623" s="12"/>
      <x:c r="M1623" s="12" t="str">
        <x:v>negative</x:v>
      </x:c>
      <x:c r="N1623" s="12"/>
      <x:c r="O1623" s="12" t="str">
        <x:v>negative</x:v>
      </x:c>
      <x:c r="P1623" s="12" t="str">
        <x:f>IF(OR(M1623="unavailable",O1623="unavailable"),"不可评价",IF(OR(M1623="equivocal",O1623="equivocal"),"疑似",IF(AND(M1623="positive",O1623="positive"),"a",IF(O1623="positive","b",IF(M1623="positive","c","d")))))</x:f>
        <x:v>d</x:v>
      </x:c>
      <x:c r="Q1623" s="12"/>
      <x:c r="R1623" s="12" t="str">
        <x:v>negative</x:v>
      </x:c>
      <x:c r="S1623" s="12"/>
      <x:c r="T1623" s="12" t="str">
        <x:v>negative</x:v>
      </x:c>
      <x:c r="U1623" s="12" t="str">
        <x:f>IF(OR(R1623="unavailable",T1623="unavailable"),"不可评价",IF(OR(R1623="equivocal",T1623="equivocal"),"疑似",IF(AND(R1623="positive",T1623="positive"),"a",IF(T1623="positive","b",IF(R1623="positive","c","d")))))</x:f>
        <x:v>d</x:v>
      </x:c>
      <x:c r="V1623" s="12"/>
      <x:c r="W1623" s="12" t="str">
        <x:v>negative</x:v>
      </x:c>
      <x:c r="X1623" s="12"/>
      <x:c r="Y1623" s="12" t="str">
        <x:v>negative</x:v>
      </x:c>
      <x:c r="Z1623" s="12" t="str">
        <x:f>IF(OR(W1623="unavailable",Y1623="unavailable"),"不可评价",IF(OR(W1623="equivocal",Y1623="equivocal"),"疑似",IF(AND(W1623="positive",Y1623="positive"),"a",IF(Y1623="positive","b",IF(W1623="positive","c","d")))))</x:f>
        <x:v>d</x:v>
      </x:c>
      <x:c r="AA1623" s="12" t="str">
        <x:f>IF(OR(M1623="unavailable",O1623="unavailable"),"不可评价",IF(AND(OR(M1623="positive",M1623="equivocal"),OR(O1623="positive",O1623="equivocal")),"a",IF(OR(O1623="positive",O1623="equivocal"),"b",IF(OR(M1623="positive",M1623="equivocal"),"c","d"))))</x:f>
        <x:v>d</x:v>
      </x:c>
      <x:c r="AB1623" s="12" t="str">
        <x:f>IF(OR(M1623="unavailable",O1623="unavailable"),"不可评价",IF(AND(M1623="positive",O1623="positive"),"a",IF(O1623="positive","b",IF(M1623="positive","c","d"))))</x:f>
        <x:v>d</x:v>
      </x:c>
      <x:c r="AC1623" s="12" t="str">
        <x:f>IF(OR(R1623="unavailable",T1623="unavailable"),"不可评价",IF(AND(OR(R1623="positive",R1623="equivocal"),OR(T1623="positive",T1623="equivocal")),"a",IF(OR(T1623="positive",T1623="equivocal"),"b",IF(OR(R1623="positive",R1623="equivocal"),"c","d"))))</x:f>
        <x:v>d</x:v>
      </x:c>
      <x:c r="AD1623" s="12" t="str">
        <x:f>IF(OR(R1623="unavailable",T1623="unavailable"),"不可评价",IF(AND(R1623="positive",T1623="positive"),"a",IF(T1623="positive","b",IF(R1623="positive","c","d"))))</x:f>
        <x:v>d</x:v>
      </x:c>
      <x:c r="AE1623" s="12" t="str">
        <x:f>IF(OR(W1623="unavailable",Y1623="unavailable"),"不可评价",IF(AND(OR(W1623="positive",W1623="equivocal"),OR(Y1623="positive",Y1623="equivocal")),"a",IF(OR(Y1623="positive",Y1623="equivocal"),"b",IF(OR(W1623="positive",W1623="equivocal"),"c","d"))))</x:f>
        <x:v>d</x:v>
      </x:c>
      <x:c r="AF1623" s="12" t="str">
        <x:f>IF(OR(W1623="unavailable",Y1623="unavailable"),"不可评价",IF(AND(W1623="positive",Y1623="positive"),"a",IF(Y1623="positive","b",IF(W1623="positive","c","d"))))</x:f>
        <x:v>d</x:v>
      </x:c>
    </x:row>
    <x:row r="1624" ht="24" customHeight="1">
      <x:c r="A1624" s="12" t="str">
        <x:v>15259</x:v>
      </x:c>
      <x:c r="B1624" s="12" t="str">
        <x:v>20107</x:v>
      </x:c>
      <x:c r="C1624" s="21" t="n">
        <x:v>35004.44451388889</x:v>
      </x:c>
      <x:c r="D1624" s="12" t="n">
        <x:v>55</x:v>
      </x:c>
      <x:c r="E1624" s="12" t="n">
        <x:v>0</x:v>
      </x:c>
      <x:c r="F1624" s="12" t="str">
        <x:v>未记录</x:v>
      </x:c>
      <x:c r="G1624" s="12" t="n">
        <x:v>0</x:v>
      </x:c>
      <x:c r="H1624" s="12" t="str">
        <x:v>{'ASMI': 100.0, 'ISCIN': 50.0, 'ABQRS': 0.0, 'SR': 0.0}</x:v>
      </x:c>
      <x:c r="I1624" s="12" t="str">
        <x:v>[('NSR', 100.0), ('ASMI;AU', 100.0), ('AB', 100.0)]</x:v>
      </x:c>
      <x:c r="J1624" s="12" t="str">
        <x:v>ptbxl_database.csv；ecg_id=15259；scp_codes</x:v>
      </x:c>
      <x:c r="K1624" s="12" t="str">
        <x:v>12sl_statements.csv；ecg_id=15259；statements_ext_snomed</x:v>
      </x:c>
      <x:c r="L1624" s="12"/>
      <x:c r="M1624" s="12" t="str">
        <x:v>negative</x:v>
      </x:c>
      <x:c r="N1624" s="12"/>
      <x:c r="O1624" s="12" t="str">
        <x:v>negative</x:v>
      </x:c>
      <x:c r="P1624" s="12" t="str">
        <x:f>IF(OR(M1624="unavailable",O1624="unavailable"),"不可评价",IF(OR(M1624="equivocal",O1624="equivocal"),"疑似",IF(AND(M1624="positive",O1624="positive"),"a",IF(O1624="positive","b",IF(M1624="positive","c","d")))))</x:f>
        <x:v>d</x:v>
      </x:c>
      <x:c r="Q1624" s="12"/>
      <x:c r="R1624" s="12" t="str">
        <x:v>negative</x:v>
      </x:c>
      <x:c r="S1624" s="12"/>
      <x:c r="T1624" s="12" t="str">
        <x:v>negative</x:v>
      </x:c>
      <x:c r="U1624" s="12" t="str">
        <x:f>IF(OR(R1624="unavailable",T1624="unavailable"),"不可评价",IF(OR(R1624="equivocal",T1624="equivocal"),"疑似",IF(AND(R1624="positive",T1624="positive"),"a",IF(T1624="positive","b",IF(R1624="positive","c","d")))))</x:f>
        <x:v>d</x:v>
      </x:c>
      <x:c r="V1624" s="12"/>
      <x:c r="W1624" s="12" t="str">
        <x:v>negative</x:v>
      </x:c>
      <x:c r="X1624" s="12"/>
      <x:c r="Y1624" s="12" t="str">
        <x:v>negative</x:v>
      </x:c>
      <x:c r="Z1624" s="12" t="str">
        <x:f>IF(OR(W1624="unavailable",Y1624="unavailable"),"不可评价",IF(OR(W1624="equivocal",Y1624="equivocal"),"疑似",IF(AND(W1624="positive",Y1624="positive"),"a",IF(Y1624="positive","b",IF(W1624="positive","c","d")))))</x:f>
        <x:v>d</x:v>
      </x:c>
      <x:c r="AA1624" s="12" t="str">
        <x:f>IF(OR(M1624="unavailable",O1624="unavailable"),"不可评价",IF(AND(OR(M1624="positive",M1624="equivocal"),OR(O1624="positive",O1624="equivocal")),"a",IF(OR(O1624="positive",O1624="equivocal"),"b",IF(OR(M1624="positive",M1624="equivocal"),"c","d"))))</x:f>
        <x:v>d</x:v>
      </x:c>
      <x:c r="AB1624" s="12" t="str">
        <x:f>IF(OR(M1624="unavailable",O1624="unavailable"),"不可评价",IF(AND(M1624="positive",O1624="positive"),"a",IF(O1624="positive","b",IF(M1624="positive","c","d"))))</x:f>
        <x:v>d</x:v>
      </x:c>
      <x:c r="AC1624" s="12" t="str">
        <x:f>IF(OR(R1624="unavailable",T1624="unavailable"),"不可评价",IF(AND(OR(R1624="positive",R1624="equivocal"),OR(T1624="positive",T1624="equivocal")),"a",IF(OR(T1624="positive",T1624="equivocal"),"b",IF(OR(R1624="positive",R1624="equivocal"),"c","d"))))</x:f>
        <x:v>d</x:v>
      </x:c>
      <x:c r="AD1624" s="12" t="str">
        <x:f>IF(OR(R1624="unavailable",T1624="unavailable"),"不可评价",IF(AND(R1624="positive",T1624="positive"),"a",IF(T1624="positive","b",IF(R1624="positive","c","d"))))</x:f>
        <x:v>d</x:v>
      </x:c>
      <x:c r="AE1624" s="12" t="str">
        <x:f>IF(OR(W1624="unavailable",Y1624="unavailable"),"不可评价",IF(AND(OR(W1624="positive",W1624="equivocal"),OR(Y1624="positive",Y1624="equivocal")),"a",IF(OR(Y1624="positive",Y1624="equivocal"),"b",IF(OR(W1624="positive",W1624="equivocal"),"c","d"))))</x:f>
        <x:v>d</x:v>
      </x:c>
      <x:c r="AF1624" s="12" t="str">
        <x:f>IF(OR(W1624="unavailable",Y1624="unavailable"),"不可评价",IF(AND(W1624="positive",Y1624="positive"),"a",IF(Y1624="positive","b",IF(W1624="positive","c","d"))))</x:f>
        <x:v>d</x:v>
      </x:c>
    </x:row>
    <x:row r="1625" ht="39" customHeight="1">
      <x:c r="A1625" s="12" t="str">
        <x:v>15279</x:v>
      </x:c>
      <x:c r="B1625" s="12" t="str">
        <x:v>10836</x:v>
      </x:c>
      <x:c r="C1625" s="21" t="n">
        <x:v>35006.685266203705</x:v>
      </x:c>
      <x:c r="D1625" s="12" t="n">
        <x:v>83</x:v>
      </x:c>
      <x:c r="E1625" s="12" t="n">
        <x:v>0</x:v>
      </x:c>
      <x:c r="F1625" s="12" t="str">
        <x:v>未记录</x:v>
      </x:c>
      <x:c r="G1625" s="12" t="n">
        <x:v>0</x:v>
      </x:c>
      <x:c r="H1625" s="12" t="str">
        <x:v>{'IMI': 100.0, 'ISCAL': 50.0, 'IVCD': 100.0, 'ABQRS': 0.0, 'AFIB': 0.0}</x:v>
      </x:c>
      <x:c r="I1625" s="12" t="str">
        <x:v>[('AFIB', 100.0), ('LAD3', 100.0), ('NSTT', 100.0), ('LNGQT', 100.0), ('AB', 100.0)]</x:v>
      </x:c>
      <x:c r="J1625" s="12" t="str">
        <x:v>ptbxl_database.csv；ecg_id=15279；scp_codes</x:v>
      </x:c>
      <x:c r="K1625" s="12" t="str">
        <x:v>12sl_statements.csv；ecg_id=15279；statements_ext_snomed</x:v>
      </x:c>
      <x:c r="L1625" s="12" t="n">
        <x:v>0</x:v>
      </x:c>
      <x:c r="M1625" s="12" t="str">
        <x:v>positive</x:v>
      </x:c>
      <x:c r="N1625" s="12" t="n">
        <x:v>100</x:v>
      </x:c>
      <x:c r="O1625" s="12" t="str">
        <x:v>positive</x:v>
      </x:c>
      <x:c r="P1625" s="12" t="str">
        <x:f>IF(OR(M1625="unavailable",O1625="unavailable"),"不可评价",IF(OR(M1625="equivocal",O1625="equivocal"),"疑似",IF(AND(M1625="positive",O1625="positive"),"a",IF(O1625="positive","b",IF(M1625="positive","c","d")))))</x:f>
        <x:v>a</x:v>
      </x:c>
      <x:c r="Q1625" s="12"/>
      <x:c r="R1625" s="12" t="str">
        <x:v>negative</x:v>
      </x:c>
      <x:c r="S1625" s="12"/>
      <x:c r="T1625" s="12" t="str">
        <x:v>negative</x:v>
      </x:c>
      <x:c r="U1625" s="12" t="str">
        <x:f>IF(OR(R1625="unavailable",T1625="unavailable"),"不可评价",IF(OR(R1625="equivocal",T1625="equivocal"),"疑似",IF(AND(R1625="positive",T1625="positive"),"a",IF(T1625="positive","b",IF(R1625="positive","c","d")))))</x:f>
        <x:v>d</x:v>
      </x:c>
      <x:c r="V1625" s="12"/>
      <x:c r="W1625" s="12" t="str">
        <x:v>negative</x:v>
      </x:c>
      <x:c r="X1625" s="12"/>
      <x:c r="Y1625" s="12" t="str">
        <x:v>negative</x:v>
      </x:c>
      <x:c r="Z1625" s="12" t="str">
        <x:f>IF(OR(W1625="unavailable",Y1625="unavailable"),"不可评价",IF(OR(W1625="equivocal",Y1625="equivocal"),"疑似",IF(AND(W1625="positive",Y1625="positive"),"a",IF(Y1625="positive","b",IF(W1625="positive","c","d")))))</x:f>
        <x:v>d</x:v>
      </x:c>
      <x:c r="AA1625" s="12" t="str">
        <x:f>IF(OR(M1625="unavailable",O1625="unavailable"),"不可评价",IF(AND(OR(M1625="positive",M1625="equivocal"),OR(O1625="positive",O1625="equivocal")),"a",IF(OR(O1625="positive",O1625="equivocal"),"b",IF(OR(M1625="positive",M1625="equivocal"),"c","d"))))</x:f>
        <x:v>a</x:v>
      </x:c>
      <x:c r="AB1625" s="12" t="str">
        <x:f>IF(OR(M1625="unavailable",O1625="unavailable"),"不可评价",IF(AND(M1625="positive",O1625="positive"),"a",IF(O1625="positive","b",IF(M1625="positive","c","d"))))</x:f>
        <x:v>a</x:v>
      </x:c>
      <x:c r="AC1625" s="12" t="str">
        <x:f>IF(OR(R1625="unavailable",T1625="unavailable"),"不可评价",IF(AND(OR(R1625="positive",R1625="equivocal"),OR(T1625="positive",T1625="equivocal")),"a",IF(OR(T1625="positive",T1625="equivocal"),"b",IF(OR(R1625="positive",R1625="equivocal"),"c","d"))))</x:f>
        <x:v>d</x:v>
      </x:c>
      <x:c r="AD1625" s="12" t="str">
        <x:f>IF(OR(R1625="unavailable",T1625="unavailable"),"不可评价",IF(AND(R1625="positive",T1625="positive"),"a",IF(T1625="positive","b",IF(R1625="positive","c","d"))))</x:f>
        <x:v>d</x:v>
      </x:c>
      <x:c r="AE1625" s="12" t="str">
        <x:f>IF(OR(W1625="unavailable",Y1625="unavailable"),"不可评价",IF(AND(OR(W1625="positive",W1625="equivocal"),OR(Y1625="positive",Y1625="equivocal")),"a",IF(OR(Y1625="positive",Y1625="equivocal"),"b",IF(OR(W1625="positive",W1625="equivocal"),"c","d"))))</x:f>
        <x:v>d</x:v>
      </x:c>
      <x:c r="AF1625" s="12" t="str">
        <x:f>IF(OR(W1625="unavailable",Y1625="unavailable"),"不可评价",IF(AND(W1625="positive",Y1625="positive"),"a",IF(Y1625="positive","b",IF(W1625="positive","c","d"))))</x:f>
        <x:v>d</x:v>
      </x:c>
    </x:row>
    <x:row r="1626" ht="24" customHeight="1">
      <x:c r="A1626" s="12" t="str">
        <x:v>15297</x:v>
      </x:c>
      <x:c r="B1626" s="12" t="str">
        <x:v>17929</x:v>
      </x:c>
      <x:c r="C1626" s="21" t="n">
        <x:v>35012.571608796294</x:v>
      </x:c>
      <x:c r="D1626" s="12" t="n">
        <x:v>66</x:v>
      </x:c>
      <x:c r="E1626" s="12" t="n">
        <x:v>0</x:v>
      </x:c>
      <x:c r="F1626" s="12" t="str">
        <x:v>未记录</x:v>
      </x:c>
      <x:c r="G1626" s="12" t="n">
        <x:v>1</x:v>
      </x:c>
      <x:c r="H1626" s="12" t="str">
        <x:v>{'NDT': 100.0, 'IRBBB': 100.0, 'SR': 0.0}</x:v>
      </x:c>
      <x:c r="I1626" s="12" t="str">
        <x:v>[('NSR', 100.0), ('NST', 100.0), ('AB', 100.0)]</x:v>
      </x:c>
      <x:c r="J1626" s="12" t="str">
        <x:v>ptbxl_database.csv；ecg_id=15297；scp_codes</x:v>
      </x:c>
      <x:c r="K1626" s="12" t="str">
        <x:v>12sl_statements.csv；ecg_id=15297；statements_ext_snomed</x:v>
      </x:c>
      <x:c r="L1626" s="12"/>
      <x:c r="M1626" s="12" t="str">
        <x:v>negative</x:v>
      </x:c>
      <x:c r="N1626" s="12"/>
      <x:c r="O1626" s="12" t="str">
        <x:v>negative</x:v>
      </x:c>
      <x:c r="P1626" s="12" t="str">
        <x:f>IF(OR(M1626="unavailable",O1626="unavailable"),"不可评价",IF(OR(M1626="equivocal",O1626="equivocal"),"疑似",IF(AND(M1626="positive",O1626="positive"),"a",IF(O1626="positive","b",IF(M1626="positive","c","d")))))</x:f>
        <x:v>d</x:v>
      </x:c>
      <x:c r="Q1626" s="12"/>
      <x:c r="R1626" s="12" t="str">
        <x:v>negative</x:v>
      </x:c>
      <x:c r="S1626" s="12"/>
      <x:c r="T1626" s="12" t="str">
        <x:v>negative</x:v>
      </x:c>
      <x:c r="U1626" s="12" t="str">
        <x:f>IF(OR(R1626="unavailable",T1626="unavailable"),"不可评价",IF(OR(R1626="equivocal",T1626="equivocal"),"疑似",IF(AND(R1626="positive",T1626="positive"),"a",IF(T1626="positive","b",IF(R1626="positive","c","d")))))</x:f>
        <x:v>d</x:v>
      </x:c>
      <x:c r="V1626" s="12"/>
      <x:c r="W1626" s="12" t="str">
        <x:v>negative</x:v>
      </x:c>
      <x:c r="X1626" s="12"/>
      <x:c r="Y1626" s="12" t="str">
        <x:v>negative</x:v>
      </x:c>
      <x:c r="Z1626" s="12" t="str">
        <x:f>IF(OR(W1626="unavailable",Y1626="unavailable"),"不可评价",IF(OR(W1626="equivocal",Y1626="equivocal"),"疑似",IF(AND(W1626="positive",Y1626="positive"),"a",IF(Y1626="positive","b",IF(W1626="positive","c","d")))))</x:f>
        <x:v>d</x:v>
      </x:c>
      <x:c r="AA1626" s="12" t="str">
        <x:f>IF(OR(M1626="unavailable",O1626="unavailable"),"不可评价",IF(AND(OR(M1626="positive",M1626="equivocal"),OR(O1626="positive",O1626="equivocal")),"a",IF(OR(O1626="positive",O1626="equivocal"),"b",IF(OR(M1626="positive",M1626="equivocal"),"c","d"))))</x:f>
        <x:v>d</x:v>
      </x:c>
      <x:c r="AB1626" s="12" t="str">
        <x:f>IF(OR(M1626="unavailable",O1626="unavailable"),"不可评价",IF(AND(M1626="positive",O1626="positive"),"a",IF(O1626="positive","b",IF(M1626="positive","c","d"))))</x:f>
        <x:v>d</x:v>
      </x:c>
      <x:c r="AC1626" s="12" t="str">
        <x:f>IF(OR(R1626="unavailable",T1626="unavailable"),"不可评价",IF(AND(OR(R1626="positive",R1626="equivocal"),OR(T1626="positive",T1626="equivocal")),"a",IF(OR(T1626="positive",T1626="equivocal"),"b",IF(OR(R1626="positive",R1626="equivocal"),"c","d"))))</x:f>
        <x:v>d</x:v>
      </x:c>
      <x:c r="AD1626" s="12" t="str">
        <x:f>IF(OR(R1626="unavailable",T1626="unavailable"),"不可评价",IF(AND(R1626="positive",T1626="positive"),"a",IF(T1626="positive","b",IF(R1626="positive","c","d"))))</x:f>
        <x:v>d</x:v>
      </x:c>
      <x:c r="AE1626" s="12" t="str">
        <x:f>IF(OR(W1626="unavailable",Y1626="unavailable"),"不可评价",IF(AND(OR(W1626="positive",W1626="equivocal"),OR(Y1626="positive",Y1626="equivocal")),"a",IF(OR(Y1626="positive",Y1626="equivocal"),"b",IF(OR(W1626="positive",W1626="equivocal"),"c","d"))))</x:f>
        <x:v>d</x:v>
      </x:c>
      <x:c r="AF1626" s="12" t="str">
        <x:f>IF(OR(W1626="unavailable",Y1626="unavailable"),"不可评价",IF(AND(W1626="positive",Y1626="positive"),"a",IF(Y1626="positive","b",IF(W1626="positive","c","d"))))</x:f>
        <x:v>d</x:v>
      </x:c>
    </x:row>
    <x:row r="1627" ht="24" customHeight="1">
      <x:c r="A1627" s="12" t="str">
        <x:v>15377</x:v>
      </x:c>
      <x:c r="B1627" s="12" t="str">
        <x:v>16237</x:v>
      </x:c>
      <x:c r="C1627" s="21" t="n">
        <x:v>35028.42931712963</x:v>
      </x:c>
      <x:c r="D1627" s="12" t="n">
        <x:v>47</x:v>
      </x:c>
      <x:c r="E1627" s="12" t="n">
        <x:v>0</x:v>
      </x:c>
      <x:c r="F1627" s="12" t="str">
        <x:v>存在</x:v>
      </x:c>
      <x:c r="G1627" s="12" t="n">
        <x:v>1</x:v>
      </x:c>
      <x:c r="H1627" s="12" t="str">
        <x:v>{'NORM': 100.0, 'SR': 0.0}</x:v>
      </x:c>
      <x:c r="I1627" s="12" t="str">
        <x:v>[('SBRAD', 100.0), ('ABR', 100.0)]</x:v>
      </x:c>
      <x:c r="J1627" s="12" t="str">
        <x:v>ptbxl_database.csv；ecg_id=15377；scp_codes</x:v>
      </x:c>
      <x:c r="K1627" s="12" t="str">
        <x:v>12sl_statements.csv；ecg_id=15377；statements_ext_snomed</x:v>
      </x:c>
      <x:c r="L1627" s="12"/>
      <x:c r="M1627" s="12" t="str">
        <x:v>negative</x:v>
      </x:c>
      <x:c r="N1627" s="12"/>
      <x:c r="O1627" s="12" t="str">
        <x:v>negative</x:v>
      </x:c>
      <x:c r="P1627" s="12" t="str">
        <x:f>IF(OR(M1627="unavailable",O1627="unavailable"),"不可评价",IF(OR(M1627="equivocal",O1627="equivocal"),"疑似",IF(AND(M1627="positive",O1627="positive"),"a",IF(O1627="positive","b",IF(M1627="positive","c","d")))))</x:f>
        <x:v>d</x:v>
      </x:c>
      <x:c r="Q1627" s="12"/>
      <x:c r="R1627" s="12" t="str">
        <x:v>negative</x:v>
      </x:c>
      <x:c r="S1627" s="12"/>
      <x:c r="T1627" s="12" t="str">
        <x:v>negative</x:v>
      </x:c>
      <x:c r="U1627" s="12" t="str">
        <x:f>IF(OR(R1627="unavailable",T1627="unavailable"),"不可评价",IF(OR(R1627="equivocal",T1627="equivocal"),"疑似",IF(AND(R1627="positive",T1627="positive"),"a",IF(T1627="positive","b",IF(R1627="positive","c","d")))))</x:f>
        <x:v>d</x:v>
      </x:c>
      <x:c r="V1627" s="12"/>
      <x:c r="W1627" s="12" t="str">
        <x:v>negative</x:v>
      </x:c>
      <x:c r="X1627" s="12"/>
      <x:c r="Y1627" s="12" t="str">
        <x:v>negative</x:v>
      </x:c>
      <x:c r="Z1627" s="12" t="str">
        <x:f>IF(OR(W1627="unavailable",Y1627="unavailable"),"不可评价",IF(OR(W1627="equivocal",Y1627="equivocal"),"疑似",IF(AND(W1627="positive",Y1627="positive"),"a",IF(Y1627="positive","b",IF(W1627="positive","c","d")))))</x:f>
        <x:v>d</x:v>
      </x:c>
      <x:c r="AA1627" s="12" t="str">
        <x:f>IF(OR(M1627="unavailable",O1627="unavailable"),"不可评价",IF(AND(OR(M1627="positive",M1627="equivocal"),OR(O1627="positive",O1627="equivocal")),"a",IF(OR(O1627="positive",O1627="equivocal"),"b",IF(OR(M1627="positive",M1627="equivocal"),"c","d"))))</x:f>
        <x:v>d</x:v>
      </x:c>
      <x:c r="AB1627" s="12" t="str">
        <x:f>IF(OR(M1627="unavailable",O1627="unavailable"),"不可评价",IF(AND(M1627="positive",O1627="positive"),"a",IF(O1627="positive","b",IF(M1627="positive","c","d"))))</x:f>
        <x:v>d</x:v>
      </x:c>
      <x:c r="AC1627" s="12" t="str">
        <x:f>IF(OR(R1627="unavailable",T1627="unavailable"),"不可评价",IF(AND(OR(R1627="positive",R1627="equivocal"),OR(T1627="positive",T1627="equivocal")),"a",IF(OR(T1627="positive",T1627="equivocal"),"b",IF(OR(R1627="positive",R1627="equivocal"),"c","d"))))</x:f>
        <x:v>d</x:v>
      </x:c>
      <x:c r="AD1627" s="12" t="str">
        <x:f>IF(OR(R1627="unavailable",T1627="unavailable"),"不可评价",IF(AND(R1627="positive",T1627="positive"),"a",IF(T1627="positive","b",IF(R1627="positive","c","d"))))</x:f>
        <x:v>d</x:v>
      </x:c>
      <x:c r="AE1627" s="12" t="str">
        <x:f>IF(OR(W1627="unavailable",Y1627="unavailable"),"不可评价",IF(AND(OR(W1627="positive",W1627="equivocal"),OR(Y1627="positive",Y1627="equivocal")),"a",IF(OR(Y1627="positive",Y1627="equivocal"),"b",IF(OR(W1627="positive",W1627="equivocal"),"c","d"))))</x:f>
        <x:v>d</x:v>
      </x:c>
      <x:c r="AF1627" s="12" t="str">
        <x:f>IF(OR(W1627="unavailable",Y1627="unavailable"),"不可评价",IF(AND(W1627="positive",Y1627="positive"),"a",IF(Y1627="positive","b",IF(W1627="positive","c","d"))))</x:f>
        <x:v>d</x:v>
      </x:c>
    </x:row>
    <x:row r="1628" ht="24" customHeight="1">
      <x:c r="A1628" s="12" t="str">
        <x:v>15384</x:v>
      </x:c>
      <x:c r="B1628" s="12" t="str">
        <x:v>11556</x:v>
      </x:c>
      <x:c r="C1628" s="21" t="n">
        <x:v>35030.65321759259</x:v>
      </x:c>
      <x:c r="D1628" s="12" t="n">
        <x:v>43</x:v>
      </x:c>
      <x:c r="E1628" s="12" t="n">
        <x:v>1</x:v>
      </x:c>
      <x:c r="F1628" s="12" t="str">
        <x:v>未记录</x:v>
      </x:c>
      <x:c r="G1628" s="12" t="n">
        <x:v>1</x:v>
      </x:c>
      <x:c r="H1628" s="12" t="str">
        <x:v>{'LVH': 50.0, 'ISCIN': 100.0, 'ISCLA': 100.0, 'STACH': 0.0}</x:v>
      </x:c>
      <x:c r="I1628" s="12" t="str">
        <x:v>[('STACH', 100.0), ('AMI;AU', 50.0), ('ST&amp;', 100.0), ('ILT', 100.0), ('AB', 100.0)]</x:v>
      </x:c>
      <x:c r="J1628" s="12" t="str">
        <x:v>ptbxl_database.csv；ecg_id=15384；scp_codes</x:v>
      </x:c>
      <x:c r="K1628" s="12" t="str">
        <x:v>12sl_statements.csv；ecg_id=15384；statements_ext_snomed</x:v>
      </x:c>
      <x:c r="L1628" s="12"/>
      <x:c r="M1628" s="12" t="str">
        <x:v>negative</x:v>
      </x:c>
      <x:c r="N1628" s="12"/>
      <x:c r="O1628" s="12" t="str">
        <x:v>negative</x:v>
      </x:c>
      <x:c r="P1628" s="12" t="str">
        <x:f>IF(OR(M1628="unavailable",O1628="unavailable"),"不可评价",IF(OR(M1628="equivocal",O1628="equivocal"),"疑似",IF(AND(M1628="positive",O1628="positive"),"a",IF(O1628="positive","b",IF(M1628="positive","c","d")))))</x:f>
        <x:v>d</x:v>
      </x:c>
      <x:c r="Q1628" s="12"/>
      <x:c r="R1628" s="12" t="str">
        <x:v>negative</x:v>
      </x:c>
      <x:c r="S1628" s="12"/>
      <x:c r="T1628" s="12" t="str">
        <x:v>negative</x:v>
      </x:c>
      <x:c r="U1628" s="12" t="str">
        <x:f>IF(OR(R1628="unavailable",T1628="unavailable"),"不可评价",IF(OR(R1628="equivocal",T1628="equivocal"),"疑似",IF(AND(R1628="positive",T1628="positive"),"a",IF(T1628="positive","b",IF(R1628="positive","c","d")))))</x:f>
        <x:v>d</x:v>
      </x:c>
      <x:c r="V1628" s="12"/>
      <x:c r="W1628" s="12" t="str">
        <x:v>negative</x:v>
      </x:c>
      <x:c r="X1628" s="12"/>
      <x:c r="Y1628" s="12" t="str">
        <x:v>negative</x:v>
      </x:c>
      <x:c r="Z1628" s="12" t="str">
        <x:f>IF(OR(W1628="unavailable",Y1628="unavailable"),"不可评价",IF(OR(W1628="equivocal",Y1628="equivocal"),"疑似",IF(AND(W1628="positive",Y1628="positive"),"a",IF(Y1628="positive","b",IF(W1628="positive","c","d")))))</x:f>
        <x:v>d</x:v>
      </x:c>
      <x:c r="AA1628" s="12" t="str">
        <x:f>IF(OR(M1628="unavailable",O1628="unavailable"),"不可评价",IF(AND(OR(M1628="positive",M1628="equivocal"),OR(O1628="positive",O1628="equivocal")),"a",IF(OR(O1628="positive",O1628="equivocal"),"b",IF(OR(M1628="positive",M1628="equivocal"),"c","d"))))</x:f>
        <x:v>d</x:v>
      </x:c>
      <x:c r="AB1628" s="12" t="str">
        <x:f>IF(OR(M1628="unavailable",O1628="unavailable"),"不可评价",IF(AND(M1628="positive",O1628="positive"),"a",IF(O1628="positive","b",IF(M1628="positive","c","d"))))</x:f>
        <x:v>d</x:v>
      </x:c>
      <x:c r="AC1628" s="12" t="str">
        <x:f>IF(OR(R1628="unavailable",T1628="unavailable"),"不可评价",IF(AND(OR(R1628="positive",R1628="equivocal"),OR(T1628="positive",T1628="equivocal")),"a",IF(OR(T1628="positive",T1628="equivocal"),"b",IF(OR(R1628="positive",R1628="equivocal"),"c","d"))))</x:f>
        <x:v>d</x:v>
      </x:c>
      <x:c r="AD1628" s="12" t="str">
        <x:f>IF(OR(R1628="unavailable",T1628="unavailable"),"不可评价",IF(AND(R1628="positive",T1628="positive"),"a",IF(T1628="positive","b",IF(R1628="positive","c","d"))))</x:f>
        <x:v>d</x:v>
      </x:c>
      <x:c r="AE1628" s="12" t="str">
        <x:f>IF(OR(W1628="unavailable",Y1628="unavailable"),"不可评价",IF(AND(OR(W1628="positive",W1628="equivocal"),OR(Y1628="positive",Y1628="equivocal")),"a",IF(OR(Y1628="positive",Y1628="equivocal"),"b",IF(OR(W1628="positive",W1628="equivocal"),"c","d"))))</x:f>
        <x:v>d</x:v>
      </x:c>
      <x:c r="AF1628" s="12" t="str">
        <x:f>IF(OR(W1628="unavailable",Y1628="unavailable"),"不可评价",IF(AND(W1628="positive",Y1628="positive"),"a",IF(Y1628="positive","b",IF(W1628="positive","c","d"))))</x:f>
        <x:v>d</x:v>
      </x:c>
    </x:row>
    <x:row r="1629" ht="24" customHeight="1">
      <x:c r="A1629" s="12" t="str">
        <x:v>15391</x:v>
      </x:c>
      <x:c r="B1629" s="12" t="str">
        <x:v>13671</x:v>
      </x:c>
      <x:c r="C1629" s="21" t="n">
        <x:v>35031.59344907408</x:v>
      </x:c>
      <x:c r="D1629" s="12" t="n">
        <x:v>51</x:v>
      </x:c>
      <x:c r="E1629" s="12" t="n">
        <x:v>0</x:v>
      </x:c>
      <x:c r="F1629" s="12" t="str">
        <x:v>存在</x:v>
      </x:c>
      <x:c r="G1629" s="12" t="n">
        <x:v>0</x:v>
      </x:c>
      <x:c r="H1629" s="12" t="str">
        <x:v>{'NORM': 100.0, 'SR': 0.0}</x:v>
      </x:c>
      <x:c r="I1629" s="12" t="str">
        <x:v>[('NSR', 100.0), ('NML', 100.0)]</x:v>
      </x:c>
      <x:c r="J1629" s="12" t="str">
        <x:v>ptbxl_database.csv；ecg_id=15391；scp_codes</x:v>
      </x:c>
      <x:c r="K1629" s="12" t="str">
        <x:v>12sl_statements.csv；ecg_id=15391；statements_ext_snomed</x:v>
      </x:c>
      <x:c r="L1629" s="12"/>
      <x:c r="M1629" s="12" t="str">
        <x:v>negative</x:v>
      </x:c>
      <x:c r="N1629" s="12"/>
      <x:c r="O1629" s="12" t="str">
        <x:v>negative</x:v>
      </x:c>
      <x:c r="P1629" s="12" t="str">
        <x:f>IF(OR(M1629="unavailable",O1629="unavailable"),"不可评价",IF(OR(M1629="equivocal",O1629="equivocal"),"疑似",IF(AND(M1629="positive",O1629="positive"),"a",IF(O1629="positive","b",IF(M1629="positive","c","d")))))</x:f>
        <x:v>d</x:v>
      </x:c>
      <x:c r="Q1629" s="12"/>
      <x:c r="R1629" s="12" t="str">
        <x:v>negative</x:v>
      </x:c>
      <x:c r="S1629" s="12"/>
      <x:c r="T1629" s="12" t="str">
        <x:v>negative</x:v>
      </x:c>
      <x:c r="U1629" s="12" t="str">
        <x:f>IF(OR(R1629="unavailable",T1629="unavailable"),"不可评价",IF(OR(R1629="equivocal",T1629="equivocal"),"疑似",IF(AND(R1629="positive",T1629="positive"),"a",IF(T1629="positive","b",IF(R1629="positive","c","d")))))</x:f>
        <x:v>d</x:v>
      </x:c>
      <x:c r="V1629" s="12"/>
      <x:c r="W1629" s="12" t="str">
        <x:v>negative</x:v>
      </x:c>
      <x:c r="X1629" s="12"/>
      <x:c r="Y1629" s="12" t="str">
        <x:v>negative</x:v>
      </x:c>
      <x:c r="Z1629" s="12" t="str">
        <x:f>IF(OR(W1629="unavailable",Y1629="unavailable"),"不可评价",IF(OR(W1629="equivocal",Y1629="equivocal"),"疑似",IF(AND(W1629="positive",Y1629="positive"),"a",IF(Y1629="positive","b",IF(W1629="positive","c","d")))))</x:f>
        <x:v>d</x:v>
      </x:c>
      <x:c r="AA1629" s="12" t="str">
        <x:f>IF(OR(M1629="unavailable",O1629="unavailable"),"不可评价",IF(AND(OR(M1629="positive",M1629="equivocal"),OR(O1629="positive",O1629="equivocal")),"a",IF(OR(O1629="positive",O1629="equivocal"),"b",IF(OR(M1629="positive",M1629="equivocal"),"c","d"))))</x:f>
        <x:v>d</x:v>
      </x:c>
      <x:c r="AB1629" s="12" t="str">
        <x:f>IF(OR(M1629="unavailable",O1629="unavailable"),"不可评价",IF(AND(M1629="positive",O1629="positive"),"a",IF(O1629="positive","b",IF(M1629="positive","c","d"))))</x:f>
        <x:v>d</x:v>
      </x:c>
      <x:c r="AC1629" s="12" t="str">
        <x:f>IF(OR(R1629="unavailable",T1629="unavailable"),"不可评价",IF(AND(OR(R1629="positive",R1629="equivocal"),OR(T1629="positive",T1629="equivocal")),"a",IF(OR(T1629="positive",T1629="equivocal"),"b",IF(OR(R1629="positive",R1629="equivocal"),"c","d"))))</x:f>
        <x:v>d</x:v>
      </x:c>
      <x:c r="AD1629" s="12" t="str">
        <x:f>IF(OR(R1629="unavailable",T1629="unavailable"),"不可评价",IF(AND(R1629="positive",T1629="positive"),"a",IF(T1629="positive","b",IF(R1629="positive","c","d"))))</x:f>
        <x:v>d</x:v>
      </x:c>
      <x:c r="AE1629" s="12" t="str">
        <x:f>IF(OR(W1629="unavailable",Y1629="unavailable"),"不可评价",IF(AND(OR(W1629="positive",W1629="equivocal"),OR(Y1629="positive",Y1629="equivocal")),"a",IF(OR(Y1629="positive",Y1629="equivocal"),"b",IF(OR(W1629="positive",W1629="equivocal"),"c","d"))))</x:f>
        <x:v>d</x:v>
      </x:c>
      <x:c r="AF1629" s="12" t="str">
        <x:f>IF(OR(W1629="unavailable",Y1629="unavailable"),"不可评价",IF(AND(W1629="positive",Y1629="positive"),"a",IF(Y1629="positive","b",IF(W1629="positive","c","d"))))</x:f>
        <x:v>d</x:v>
      </x:c>
    </x:row>
    <x:row r="1630" ht="24" customHeight="1">
      <x:c r="A1630" s="12" t="str">
        <x:v>15400</x:v>
      </x:c>
      <x:c r="B1630" s="12" t="str">
        <x:v>12097</x:v>
      </x:c>
      <x:c r="C1630" s="21" t="n">
        <x:v>35033.68619212963</x:v>
      </x:c>
      <x:c r="D1630" s="12" t="n">
        <x:v>68</x:v>
      </x:c>
      <x:c r="E1630" s="12" t="n">
        <x:v>1</x:v>
      </x:c>
      <x:c r="F1630" s="12" t="str">
        <x:v>未记录</x:v>
      </x:c>
      <x:c r="G1630" s="12" t="n">
        <x:v>1</x:v>
      </x:c>
      <x:c r="H1630" s="12" t="str">
        <x:v>{'IMI': 15.0, 'ABQRS': 0.0, 'SR': 0.0}</x:v>
      </x:c>
      <x:c r="I1630" s="12" t="str">
        <x:v>[('NSR', 100.0), ('NML', 100.0)]</x:v>
      </x:c>
      <x:c r="J1630" s="12" t="str">
        <x:v>ptbxl_database.csv；ecg_id=15400；scp_codes</x:v>
      </x:c>
      <x:c r="K1630" s="12" t="str">
        <x:v>12sl_statements.csv；ecg_id=15400；statements_ext_snomed</x:v>
      </x:c>
      <x:c r="L1630" s="12"/>
      <x:c r="M1630" s="12" t="str">
        <x:v>negative</x:v>
      </x:c>
      <x:c r="N1630" s="12"/>
      <x:c r="O1630" s="12" t="str">
        <x:v>negative</x:v>
      </x:c>
      <x:c r="P1630" s="12" t="str">
        <x:f>IF(OR(M1630="unavailable",O1630="unavailable"),"不可评价",IF(OR(M1630="equivocal",O1630="equivocal"),"疑似",IF(AND(M1630="positive",O1630="positive"),"a",IF(O1630="positive","b",IF(M1630="positive","c","d")))))</x:f>
        <x:v>d</x:v>
      </x:c>
      <x:c r="Q1630" s="12"/>
      <x:c r="R1630" s="12" t="str">
        <x:v>negative</x:v>
      </x:c>
      <x:c r="S1630" s="12"/>
      <x:c r="T1630" s="12" t="str">
        <x:v>negative</x:v>
      </x:c>
      <x:c r="U1630" s="12" t="str">
        <x:f>IF(OR(R1630="unavailable",T1630="unavailable"),"不可评价",IF(OR(R1630="equivocal",T1630="equivocal"),"疑似",IF(AND(R1630="positive",T1630="positive"),"a",IF(T1630="positive","b",IF(R1630="positive","c","d")))))</x:f>
        <x:v>d</x:v>
      </x:c>
      <x:c r="V1630" s="12"/>
      <x:c r="W1630" s="12" t="str">
        <x:v>negative</x:v>
      </x:c>
      <x:c r="X1630" s="12"/>
      <x:c r="Y1630" s="12" t="str">
        <x:v>negative</x:v>
      </x:c>
      <x:c r="Z1630" s="12" t="str">
        <x:f>IF(OR(W1630="unavailable",Y1630="unavailable"),"不可评价",IF(OR(W1630="equivocal",Y1630="equivocal"),"疑似",IF(AND(W1630="positive",Y1630="positive"),"a",IF(Y1630="positive","b",IF(W1630="positive","c","d")))))</x:f>
        <x:v>d</x:v>
      </x:c>
      <x:c r="AA1630" s="12" t="str">
        <x:f>IF(OR(M1630="unavailable",O1630="unavailable"),"不可评价",IF(AND(OR(M1630="positive",M1630="equivocal"),OR(O1630="positive",O1630="equivocal")),"a",IF(OR(O1630="positive",O1630="equivocal"),"b",IF(OR(M1630="positive",M1630="equivocal"),"c","d"))))</x:f>
        <x:v>d</x:v>
      </x:c>
      <x:c r="AB1630" s="12" t="str">
        <x:f>IF(OR(M1630="unavailable",O1630="unavailable"),"不可评价",IF(AND(M1630="positive",O1630="positive"),"a",IF(O1630="positive","b",IF(M1630="positive","c","d"))))</x:f>
        <x:v>d</x:v>
      </x:c>
      <x:c r="AC1630" s="12" t="str">
        <x:f>IF(OR(R1630="unavailable",T1630="unavailable"),"不可评价",IF(AND(OR(R1630="positive",R1630="equivocal"),OR(T1630="positive",T1630="equivocal")),"a",IF(OR(T1630="positive",T1630="equivocal"),"b",IF(OR(R1630="positive",R1630="equivocal"),"c","d"))))</x:f>
        <x:v>d</x:v>
      </x:c>
      <x:c r="AD1630" s="12" t="str">
        <x:f>IF(OR(R1630="unavailable",T1630="unavailable"),"不可评价",IF(AND(R1630="positive",T1630="positive"),"a",IF(T1630="positive","b",IF(R1630="positive","c","d"))))</x:f>
        <x:v>d</x:v>
      </x:c>
      <x:c r="AE1630" s="12" t="str">
        <x:f>IF(OR(W1630="unavailable",Y1630="unavailable"),"不可评价",IF(AND(OR(W1630="positive",W1630="equivocal"),OR(Y1630="positive",Y1630="equivocal")),"a",IF(OR(Y1630="positive",Y1630="equivocal"),"b",IF(OR(W1630="positive",W1630="equivocal"),"c","d"))))</x:f>
        <x:v>d</x:v>
      </x:c>
      <x:c r="AF1630" s="12" t="str">
        <x:f>IF(OR(W1630="unavailable",Y1630="unavailable"),"不可评价",IF(AND(W1630="positive",Y1630="positive"),"a",IF(Y1630="positive","b",IF(W1630="positive","c","d"))))</x:f>
        <x:v>d</x:v>
      </x:c>
    </x:row>
    <x:row r="1631" ht="24" customHeight="1">
      <x:c r="A1631" s="12" t="str">
        <x:v>15421</x:v>
      </x:c>
      <x:c r="B1631" s="12" t="str">
        <x:v>16734</x:v>
      </x:c>
      <x:c r="C1631" s="21" t="n">
        <x:v>35037.50987268519</x:v>
      </x:c>
      <x:c r="D1631" s="12" t="n">
        <x:v>84</x:v>
      </x:c>
      <x:c r="E1631" s="12" t="n">
        <x:v>0</x:v>
      </x:c>
      <x:c r="F1631" s="12" t="str">
        <x:v>存在</x:v>
      </x:c>
      <x:c r="G1631" s="12" t="n">
        <x:v>1</x:v>
      </x:c>
      <x:c r="H1631" s="12" t="str">
        <x:v>{'IMI': 100.0, 'LAFB': 100.0, 'ABQRS': 0.0, 'SR': 0.0}</x:v>
      </x:c>
      <x:c r="I1631" s="12" t="str">
        <x:v>[('JUNCT-R', 100.0), ('LAD3', 100.0), ('IMI;AU', 100.0), ('AB', 100.0)]</x:v>
      </x:c>
      <x:c r="J1631" s="12" t="str">
        <x:v>ptbxl_database.csv；ecg_id=15421；scp_codes</x:v>
      </x:c>
      <x:c r="K1631" s="12" t="str">
        <x:v>12sl_statements.csv；ecg_id=15421；statements_ext_snomed</x:v>
      </x:c>
      <x:c r="L1631" s="12"/>
      <x:c r="M1631" s="12" t="str">
        <x:v>negative</x:v>
      </x:c>
      <x:c r="N1631" s="12"/>
      <x:c r="O1631" s="12" t="str">
        <x:v>negative</x:v>
      </x:c>
      <x:c r="P1631" s="12" t="str">
        <x:f>IF(OR(M1631="unavailable",O1631="unavailable"),"不可评价",IF(OR(M1631="equivocal",O1631="equivocal"),"疑似",IF(AND(M1631="positive",O1631="positive"),"a",IF(O1631="positive","b",IF(M1631="positive","c","d")))))</x:f>
        <x:v>d</x:v>
      </x:c>
      <x:c r="Q1631" s="12"/>
      <x:c r="R1631" s="12" t="str">
        <x:v>negative</x:v>
      </x:c>
      <x:c r="S1631" s="12"/>
      <x:c r="T1631" s="12" t="str">
        <x:v>negative</x:v>
      </x:c>
      <x:c r="U1631" s="12" t="str">
        <x:f>IF(OR(R1631="unavailable",T1631="unavailable"),"不可评价",IF(OR(R1631="equivocal",T1631="equivocal"),"疑似",IF(AND(R1631="positive",T1631="positive"),"a",IF(T1631="positive","b",IF(R1631="positive","c","d")))))</x:f>
        <x:v>d</x:v>
      </x:c>
      <x:c r="V1631" s="12"/>
      <x:c r="W1631" s="12" t="str">
        <x:v>negative</x:v>
      </x:c>
      <x:c r="X1631" s="12"/>
      <x:c r="Y1631" s="12" t="str">
        <x:v>negative</x:v>
      </x:c>
      <x:c r="Z1631" s="12" t="str">
        <x:f>IF(OR(W1631="unavailable",Y1631="unavailable"),"不可评价",IF(OR(W1631="equivocal",Y1631="equivocal"),"疑似",IF(AND(W1631="positive",Y1631="positive"),"a",IF(Y1631="positive","b",IF(W1631="positive","c","d")))))</x:f>
        <x:v>d</x:v>
      </x:c>
      <x:c r="AA1631" s="12" t="str">
        <x:f>IF(OR(M1631="unavailable",O1631="unavailable"),"不可评价",IF(AND(OR(M1631="positive",M1631="equivocal"),OR(O1631="positive",O1631="equivocal")),"a",IF(OR(O1631="positive",O1631="equivocal"),"b",IF(OR(M1631="positive",M1631="equivocal"),"c","d"))))</x:f>
        <x:v>d</x:v>
      </x:c>
      <x:c r="AB1631" s="12" t="str">
        <x:f>IF(OR(M1631="unavailable",O1631="unavailable"),"不可评价",IF(AND(M1631="positive",O1631="positive"),"a",IF(O1631="positive","b",IF(M1631="positive","c","d"))))</x:f>
        <x:v>d</x:v>
      </x:c>
      <x:c r="AC1631" s="12" t="str">
        <x:f>IF(OR(R1631="unavailable",T1631="unavailable"),"不可评价",IF(AND(OR(R1631="positive",R1631="equivocal"),OR(T1631="positive",T1631="equivocal")),"a",IF(OR(T1631="positive",T1631="equivocal"),"b",IF(OR(R1631="positive",R1631="equivocal"),"c","d"))))</x:f>
        <x:v>d</x:v>
      </x:c>
      <x:c r="AD1631" s="12" t="str">
        <x:f>IF(OR(R1631="unavailable",T1631="unavailable"),"不可评价",IF(AND(R1631="positive",T1631="positive"),"a",IF(T1631="positive","b",IF(R1631="positive","c","d"))))</x:f>
        <x:v>d</x:v>
      </x:c>
      <x:c r="AE1631" s="12" t="str">
        <x:f>IF(OR(W1631="unavailable",Y1631="unavailable"),"不可评价",IF(AND(OR(W1631="positive",W1631="equivocal"),OR(Y1631="positive",Y1631="equivocal")),"a",IF(OR(Y1631="positive",Y1631="equivocal"),"b",IF(OR(W1631="positive",W1631="equivocal"),"c","d"))))</x:f>
        <x:v>d</x:v>
      </x:c>
      <x:c r="AF1631" s="12" t="str">
        <x:f>IF(OR(W1631="unavailable",Y1631="unavailable"),"不可评价",IF(AND(W1631="positive",Y1631="positive"),"a",IF(Y1631="positive","b",IF(W1631="positive","c","d"))))</x:f>
        <x:v>d</x:v>
      </x:c>
    </x:row>
    <x:row r="1632" ht="24" customHeight="1">
      <x:c r="A1632" s="12" t="str">
        <x:v>15438</x:v>
      </x:c>
      <x:c r="B1632" s="12" t="str">
        <x:v>14800</x:v>
      </x:c>
      <x:c r="C1632" s="21" t="n">
        <x:v>35039.6802662037</x:v>
      </x:c>
      <x:c r="D1632" s="12" t="n">
        <x:v>67</x:v>
      </x:c>
      <x:c r="E1632" s="12" t="n">
        <x:v>0</x:v>
      </x:c>
      <x:c r="F1632" s="12" t="str">
        <x:v>未记录</x:v>
      </x:c>
      <x:c r="G1632" s="12" t="n">
        <x:v>0</x:v>
      </x:c>
      <x:c r="H1632" s="12" t="str">
        <x:v>{'CLBBB': 100.0, 'SR': 0.0}</x:v>
      </x:c>
      <x:c r="I1632" s="12" t="str">
        <x:v>[('NSR', 100.0), ('LBBB', 100.0), ('AB', 100.0)]</x:v>
      </x:c>
      <x:c r="J1632" s="12" t="str">
        <x:v>ptbxl_database.csv；ecg_id=15438；scp_codes</x:v>
      </x:c>
      <x:c r="K1632" s="12" t="str">
        <x:v>12sl_statements.csv；ecg_id=15438；statements_ext_snomed</x:v>
      </x:c>
      <x:c r="L1632" s="12"/>
      <x:c r="M1632" s="12" t="str">
        <x:v>negative</x:v>
      </x:c>
      <x:c r="N1632" s="12"/>
      <x:c r="O1632" s="12" t="str">
        <x:v>negative</x:v>
      </x:c>
      <x:c r="P1632" s="12" t="str">
        <x:f>IF(OR(M1632="unavailable",O1632="unavailable"),"不可评价",IF(OR(M1632="equivocal",O1632="equivocal"),"疑似",IF(AND(M1632="positive",O1632="positive"),"a",IF(O1632="positive","b",IF(M1632="positive","c","d")))))</x:f>
        <x:v>d</x:v>
      </x:c>
      <x:c r="Q1632" s="12" t="n">
        <x:v>100</x:v>
      </x:c>
      <x:c r="R1632" s="12" t="str">
        <x:v>positive</x:v>
      </x:c>
      <x:c r="S1632" s="12" t="n">
        <x:v>100</x:v>
      </x:c>
      <x:c r="T1632" s="12" t="str">
        <x:v>positive</x:v>
      </x:c>
      <x:c r="U1632" s="12" t="str">
        <x:f>IF(OR(R1632="unavailable",T1632="unavailable"),"不可评价",IF(OR(R1632="equivocal",T1632="equivocal"),"疑似",IF(AND(R1632="positive",T1632="positive"),"a",IF(T1632="positive","b",IF(R1632="positive","c","d")))))</x:f>
        <x:v>a</x:v>
      </x:c>
      <x:c r="V1632" s="12"/>
      <x:c r="W1632" s="12" t="str">
        <x:v>negative</x:v>
      </x:c>
      <x:c r="X1632" s="12"/>
      <x:c r="Y1632" s="12" t="str">
        <x:v>negative</x:v>
      </x:c>
      <x:c r="Z1632" s="12" t="str">
        <x:f>IF(OR(W1632="unavailable",Y1632="unavailable"),"不可评价",IF(OR(W1632="equivocal",Y1632="equivocal"),"疑似",IF(AND(W1632="positive",Y1632="positive"),"a",IF(Y1632="positive","b",IF(W1632="positive","c","d")))))</x:f>
        <x:v>d</x:v>
      </x:c>
      <x:c r="AA1632" s="12" t="str">
        <x:f>IF(OR(M1632="unavailable",O1632="unavailable"),"不可评价",IF(AND(OR(M1632="positive",M1632="equivocal"),OR(O1632="positive",O1632="equivocal")),"a",IF(OR(O1632="positive",O1632="equivocal"),"b",IF(OR(M1632="positive",M1632="equivocal"),"c","d"))))</x:f>
        <x:v>d</x:v>
      </x:c>
      <x:c r="AB1632" s="12" t="str">
        <x:f>IF(OR(M1632="unavailable",O1632="unavailable"),"不可评价",IF(AND(M1632="positive",O1632="positive"),"a",IF(O1632="positive","b",IF(M1632="positive","c","d"))))</x:f>
        <x:v>d</x:v>
      </x:c>
      <x:c r="AC1632" s="12" t="str">
        <x:f>IF(OR(R1632="unavailable",T1632="unavailable"),"不可评价",IF(AND(OR(R1632="positive",R1632="equivocal"),OR(T1632="positive",T1632="equivocal")),"a",IF(OR(T1632="positive",T1632="equivocal"),"b",IF(OR(R1632="positive",R1632="equivocal"),"c","d"))))</x:f>
        <x:v>a</x:v>
      </x:c>
      <x:c r="AD1632" s="12" t="str">
        <x:f>IF(OR(R1632="unavailable",T1632="unavailable"),"不可评价",IF(AND(R1632="positive",T1632="positive"),"a",IF(T1632="positive","b",IF(R1632="positive","c","d"))))</x:f>
        <x:v>a</x:v>
      </x:c>
      <x:c r="AE1632" s="12" t="str">
        <x:f>IF(OR(W1632="unavailable",Y1632="unavailable"),"不可评价",IF(AND(OR(W1632="positive",W1632="equivocal"),OR(Y1632="positive",Y1632="equivocal")),"a",IF(OR(Y1632="positive",Y1632="equivocal"),"b",IF(OR(W1632="positive",W1632="equivocal"),"c","d"))))</x:f>
        <x:v>d</x:v>
      </x:c>
      <x:c r="AF1632" s="12" t="str">
        <x:f>IF(OR(W1632="unavailable",Y1632="unavailable"),"不可评价",IF(AND(W1632="positive",Y1632="positive"),"a",IF(Y1632="positive","b",IF(W1632="positive","c","d"))))</x:f>
        <x:v>d</x:v>
      </x:c>
    </x:row>
    <x:row r="1633" ht="24" customHeight="1">
      <x:c r="A1633" s="12" t="str">
        <x:v>15444</x:v>
      </x:c>
      <x:c r="B1633" s="12" t="str">
        <x:v>13898</x:v>
      </x:c>
      <x:c r="C1633" s="21" t="n">
        <x:v>35041.78349537037</x:v>
      </x:c>
      <x:c r="D1633" s="12" t="n">
        <x:v>84</x:v>
      </x:c>
      <x:c r="E1633" s="12" t="n">
        <x:v>0</x:v>
      </x:c>
      <x:c r="F1633" s="12" t="str">
        <x:v>未记录</x:v>
      </x:c>
      <x:c r="G1633" s="12" t="n">
        <x:v>1</x:v>
      </x:c>
      <x:c r="H1633" s="12" t="str">
        <x:v>{'PACE': 100.0}</x:v>
      </x:c>
      <x:c r="I1633" s="12" t="str">
        <x:v>[('ASVPR', 100.0), ('PAC', 100.0), ('$SABCOND', 100.0), ('AB', 100.0)]</x:v>
      </x:c>
      <x:c r="J1633" s="12" t="str">
        <x:v>ptbxl_database.csv；ecg_id=15444；scp_codes</x:v>
      </x:c>
      <x:c r="K1633" s="12" t="str">
        <x:v>12sl_statements.csv；ecg_id=15444；statements_ext_snomed</x:v>
      </x:c>
      <x:c r="L1633" s="12"/>
      <x:c r="M1633" s="12" t="str">
        <x:v>negative</x:v>
      </x:c>
      <x:c r="N1633" s="12"/>
      <x:c r="O1633" s="12" t="str">
        <x:v>negative</x:v>
      </x:c>
      <x:c r="P1633" s="12" t="str">
        <x:f>IF(OR(M1633="unavailable",O1633="unavailable"),"不可评价",IF(OR(M1633="equivocal",O1633="equivocal"),"疑似",IF(AND(M1633="positive",O1633="positive"),"a",IF(O1633="positive","b",IF(M1633="positive","c","d")))))</x:f>
        <x:v>d</x:v>
      </x:c>
      <x:c r="Q1633" s="12"/>
      <x:c r="R1633" s="12" t="str">
        <x:v>negative</x:v>
      </x:c>
      <x:c r="S1633" s="12"/>
      <x:c r="T1633" s="12" t="str">
        <x:v>negative</x:v>
      </x:c>
      <x:c r="U1633" s="12" t="str">
        <x:f>IF(OR(R1633="unavailable",T1633="unavailable"),"不可评价",IF(OR(R1633="equivocal",T1633="equivocal"),"疑似",IF(AND(R1633="positive",T1633="positive"),"a",IF(T1633="positive","b",IF(R1633="positive","c","d")))))</x:f>
        <x:v>d</x:v>
      </x:c>
      <x:c r="V1633" s="12"/>
      <x:c r="W1633" s="12" t="str">
        <x:v>negative</x:v>
      </x:c>
      <x:c r="X1633" s="12"/>
      <x:c r="Y1633" s="12" t="str">
        <x:v>negative</x:v>
      </x:c>
      <x:c r="Z1633" s="12" t="str">
        <x:f>IF(OR(W1633="unavailable",Y1633="unavailable"),"不可评价",IF(OR(W1633="equivocal",Y1633="equivocal"),"疑似",IF(AND(W1633="positive",Y1633="positive"),"a",IF(Y1633="positive","b",IF(W1633="positive","c","d")))))</x:f>
        <x:v>d</x:v>
      </x:c>
      <x:c r="AA1633" s="12" t="str">
        <x:f>IF(OR(M1633="unavailable",O1633="unavailable"),"不可评价",IF(AND(OR(M1633="positive",M1633="equivocal"),OR(O1633="positive",O1633="equivocal")),"a",IF(OR(O1633="positive",O1633="equivocal"),"b",IF(OR(M1633="positive",M1633="equivocal"),"c","d"))))</x:f>
        <x:v>d</x:v>
      </x:c>
      <x:c r="AB1633" s="12" t="str">
        <x:f>IF(OR(M1633="unavailable",O1633="unavailable"),"不可评价",IF(AND(M1633="positive",O1633="positive"),"a",IF(O1633="positive","b",IF(M1633="positive","c","d"))))</x:f>
        <x:v>d</x:v>
      </x:c>
      <x:c r="AC1633" s="12" t="str">
        <x:f>IF(OR(R1633="unavailable",T1633="unavailable"),"不可评价",IF(AND(OR(R1633="positive",R1633="equivocal"),OR(T1633="positive",T1633="equivocal")),"a",IF(OR(T1633="positive",T1633="equivocal"),"b",IF(OR(R1633="positive",R1633="equivocal"),"c","d"))))</x:f>
        <x:v>d</x:v>
      </x:c>
      <x:c r="AD1633" s="12" t="str">
        <x:f>IF(OR(R1633="unavailable",T1633="unavailable"),"不可评价",IF(AND(R1633="positive",T1633="positive"),"a",IF(T1633="positive","b",IF(R1633="positive","c","d"))))</x:f>
        <x:v>d</x:v>
      </x:c>
      <x:c r="AE1633" s="12" t="str">
        <x:f>IF(OR(W1633="unavailable",Y1633="unavailable"),"不可评价",IF(AND(OR(W1633="positive",W1633="equivocal"),OR(Y1633="positive",Y1633="equivocal")),"a",IF(OR(Y1633="positive",Y1633="equivocal"),"b",IF(OR(W1633="positive",W1633="equivocal"),"c","d"))))</x:f>
        <x:v>d</x:v>
      </x:c>
      <x:c r="AF1633" s="12" t="str">
        <x:f>IF(OR(W1633="unavailable",Y1633="unavailable"),"不可评价",IF(AND(W1633="positive",Y1633="positive"),"a",IF(Y1633="positive","b",IF(W1633="positive","c","d"))))</x:f>
        <x:v>d</x:v>
      </x:c>
    </x:row>
    <x:row r="1634" ht="24" customHeight="1">
      <x:c r="A1634" s="12" t="str">
        <x:v>15447</x:v>
      </x:c>
      <x:c r="B1634" s="12" t="str">
        <x:v>8521</x:v>
      </x:c>
      <x:c r="C1634" s="21" t="n">
        <x:v>35042.38172453704</x:v>
      </x:c>
      <x:c r="D1634" s="12" t="n">
        <x:v>71</x:v>
      </x:c>
      <x:c r="E1634" s="12" t="n">
        <x:v>1</x:v>
      </x:c>
      <x:c r="F1634" s="12" t="str">
        <x:v>存在</x:v>
      </x:c>
      <x:c r="G1634" s="12" t="n">
        <x:v>1</x:v>
      </x:c>
      <x:c r="H1634" s="12" t="str">
        <x:v>{'CLBBB': 100.0, 'PVC': 100.0, 'AFIB': 0.0}</x:v>
      </x:c>
      <x:c r="I1634" s="12" t="str">
        <x:v>[('AFIB', 100.0), ('ABER', 100.0), ('LBBB', 100.0), ('AB', 100.0)]</x:v>
      </x:c>
      <x:c r="J1634" s="12" t="str">
        <x:v>ptbxl_database.csv；ecg_id=15447；scp_codes</x:v>
      </x:c>
      <x:c r="K1634" s="12" t="str">
        <x:v>12sl_statements.csv；ecg_id=15447；statements_ext_snomed</x:v>
      </x:c>
      <x:c r="L1634" s="12" t="n">
        <x:v>0</x:v>
      </x:c>
      <x:c r="M1634" s="12" t="str">
        <x:v>positive</x:v>
      </x:c>
      <x:c r="N1634" s="12" t="n">
        <x:v>100</x:v>
      </x:c>
      <x:c r="O1634" s="12" t="str">
        <x:v>positive</x:v>
      </x:c>
      <x:c r="P1634" s="12" t="str">
        <x:f>IF(OR(M1634="unavailable",O1634="unavailable"),"不可评价",IF(OR(M1634="equivocal",O1634="equivocal"),"疑似",IF(AND(M1634="positive",O1634="positive"),"a",IF(O1634="positive","b",IF(M1634="positive","c","d")))))</x:f>
        <x:v>a</x:v>
      </x:c>
      <x:c r="Q1634" s="12" t="n">
        <x:v>100</x:v>
      </x:c>
      <x:c r="R1634" s="12" t="str">
        <x:v>positive</x:v>
      </x:c>
      <x:c r="S1634" s="12" t="n">
        <x:v>100</x:v>
      </x:c>
      <x:c r="T1634" s="12" t="str">
        <x:v>positive</x:v>
      </x:c>
      <x:c r="U1634" s="12" t="str">
        <x:f>IF(OR(R1634="unavailable",T1634="unavailable"),"不可评价",IF(OR(R1634="equivocal",T1634="equivocal"),"疑似",IF(AND(R1634="positive",T1634="positive"),"a",IF(T1634="positive","b",IF(R1634="positive","c","d")))))</x:f>
        <x:v>a</x:v>
      </x:c>
      <x:c r="V1634" s="12"/>
      <x:c r="W1634" s="12" t="str">
        <x:v>negative</x:v>
      </x:c>
      <x:c r="X1634" s="12"/>
      <x:c r="Y1634" s="12" t="str">
        <x:v>negative</x:v>
      </x:c>
      <x:c r="Z1634" s="12" t="str">
        <x:f>IF(OR(W1634="unavailable",Y1634="unavailable"),"不可评价",IF(OR(W1634="equivocal",Y1634="equivocal"),"疑似",IF(AND(W1634="positive",Y1634="positive"),"a",IF(Y1634="positive","b",IF(W1634="positive","c","d")))))</x:f>
        <x:v>d</x:v>
      </x:c>
      <x:c r="AA1634" s="12" t="str">
        <x:f>IF(OR(M1634="unavailable",O1634="unavailable"),"不可评价",IF(AND(OR(M1634="positive",M1634="equivocal"),OR(O1634="positive",O1634="equivocal")),"a",IF(OR(O1634="positive",O1634="equivocal"),"b",IF(OR(M1634="positive",M1634="equivocal"),"c","d"))))</x:f>
        <x:v>a</x:v>
      </x:c>
      <x:c r="AB1634" s="12" t="str">
        <x:f>IF(OR(M1634="unavailable",O1634="unavailable"),"不可评价",IF(AND(M1634="positive",O1634="positive"),"a",IF(O1634="positive","b",IF(M1634="positive","c","d"))))</x:f>
        <x:v>a</x:v>
      </x:c>
      <x:c r="AC1634" s="12" t="str">
        <x:f>IF(OR(R1634="unavailable",T1634="unavailable"),"不可评价",IF(AND(OR(R1634="positive",R1634="equivocal"),OR(T1634="positive",T1634="equivocal")),"a",IF(OR(T1634="positive",T1634="equivocal"),"b",IF(OR(R1634="positive",R1634="equivocal"),"c","d"))))</x:f>
        <x:v>a</x:v>
      </x:c>
      <x:c r="AD1634" s="12" t="str">
        <x:f>IF(OR(R1634="unavailable",T1634="unavailable"),"不可评价",IF(AND(R1634="positive",T1634="positive"),"a",IF(T1634="positive","b",IF(R1634="positive","c","d"))))</x:f>
        <x:v>a</x:v>
      </x:c>
      <x:c r="AE1634" s="12" t="str">
        <x:f>IF(OR(W1634="unavailable",Y1634="unavailable"),"不可评价",IF(AND(OR(W1634="positive",W1634="equivocal"),OR(Y1634="positive",Y1634="equivocal")),"a",IF(OR(Y1634="positive",Y1634="equivocal"),"b",IF(OR(W1634="positive",W1634="equivocal"),"c","d"))))</x:f>
        <x:v>d</x:v>
      </x:c>
      <x:c r="AF1634" s="12" t="str">
        <x:f>IF(OR(W1634="unavailable",Y1634="unavailable"),"不可评价",IF(AND(W1634="positive",Y1634="positive"),"a",IF(Y1634="positive","b",IF(W1634="positive","c","d"))))</x:f>
        <x:v>d</x:v>
      </x:c>
    </x:row>
    <x:row r="1635" ht="24" customHeight="1">
      <x:c r="A1635" s="12" t="str">
        <x:v>15461</x:v>
      </x:c>
      <x:c r="B1635" s="12" t="str">
        <x:v>8007</x:v>
      </x:c>
      <x:c r="C1635" s="21" t="n">
        <x:v>35045.705659722225</x:v>
      </x:c>
      <x:c r="D1635" s="12" t="n">
        <x:v>52</x:v>
      </x:c>
      <x:c r="E1635" s="12" t="n">
        <x:v>0</x:v>
      </x:c>
      <x:c r="F1635" s="12" t="str">
        <x:v>未记录</x:v>
      </x:c>
      <x:c r="G1635" s="12" t="n">
        <x:v>1</x:v>
      </x:c>
      <x:c r="H1635" s="12" t="str">
        <x:v>{'NORM': 100.0, 'SR': 0.0}</x:v>
      </x:c>
      <x:c r="I1635" s="12" t="str">
        <x:v>[('SBRAD', 100.0), ('BORDE', 100.0)]</x:v>
      </x:c>
      <x:c r="J1635" s="12" t="str">
        <x:v>ptbxl_database.csv；ecg_id=15461；scp_codes</x:v>
      </x:c>
      <x:c r="K1635" s="12" t="str">
        <x:v>12sl_statements.csv；ecg_id=15461；statements_ext_snomed</x:v>
      </x:c>
      <x:c r="L1635" s="12"/>
      <x:c r="M1635" s="12" t="str">
        <x:v>negative</x:v>
      </x:c>
      <x:c r="N1635" s="12"/>
      <x:c r="O1635" s="12" t="str">
        <x:v>negative</x:v>
      </x:c>
      <x:c r="P1635" s="12" t="str">
        <x:f>IF(OR(M1635="unavailable",O1635="unavailable"),"不可评价",IF(OR(M1635="equivocal",O1635="equivocal"),"疑似",IF(AND(M1635="positive",O1635="positive"),"a",IF(O1635="positive","b",IF(M1635="positive","c","d")))))</x:f>
        <x:v>d</x:v>
      </x:c>
      <x:c r="Q1635" s="12"/>
      <x:c r="R1635" s="12" t="str">
        <x:v>negative</x:v>
      </x:c>
      <x:c r="S1635" s="12"/>
      <x:c r="T1635" s="12" t="str">
        <x:v>negative</x:v>
      </x:c>
      <x:c r="U1635" s="12" t="str">
        <x:f>IF(OR(R1635="unavailable",T1635="unavailable"),"不可评价",IF(OR(R1635="equivocal",T1635="equivocal"),"疑似",IF(AND(R1635="positive",T1635="positive"),"a",IF(T1635="positive","b",IF(R1635="positive","c","d")))))</x:f>
        <x:v>d</x:v>
      </x:c>
      <x:c r="V1635" s="12"/>
      <x:c r="W1635" s="12" t="str">
        <x:v>negative</x:v>
      </x:c>
      <x:c r="X1635" s="12"/>
      <x:c r="Y1635" s="12" t="str">
        <x:v>negative</x:v>
      </x:c>
      <x:c r="Z1635" s="12" t="str">
        <x:f>IF(OR(W1635="unavailable",Y1635="unavailable"),"不可评价",IF(OR(W1635="equivocal",Y1635="equivocal"),"疑似",IF(AND(W1635="positive",Y1635="positive"),"a",IF(Y1635="positive","b",IF(W1635="positive","c","d")))))</x:f>
        <x:v>d</x:v>
      </x:c>
      <x:c r="AA1635" s="12" t="str">
        <x:f>IF(OR(M1635="unavailable",O1635="unavailable"),"不可评价",IF(AND(OR(M1635="positive",M1635="equivocal"),OR(O1635="positive",O1635="equivocal")),"a",IF(OR(O1635="positive",O1635="equivocal"),"b",IF(OR(M1635="positive",M1635="equivocal"),"c","d"))))</x:f>
        <x:v>d</x:v>
      </x:c>
      <x:c r="AB1635" s="12" t="str">
        <x:f>IF(OR(M1635="unavailable",O1635="unavailable"),"不可评价",IF(AND(M1635="positive",O1635="positive"),"a",IF(O1635="positive","b",IF(M1635="positive","c","d"))))</x:f>
        <x:v>d</x:v>
      </x:c>
      <x:c r="AC1635" s="12" t="str">
        <x:f>IF(OR(R1635="unavailable",T1635="unavailable"),"不可评价",IF(AND(OR(R1635="positive",R1635="equivocal"),OR(T1635="positive",T1635="equivocal")),"a",IF(OR(T1635="positive",T1635="equivocal"),"b",IF(OR(R1635="positive",R1635="equivocal"),"c","d"))))</x:f>
        <x:v>d</x:v>
      </x:c>
      <x:c r="AD1635" s="12" t="str">
        <x:f>IF(OR(R1635="unavailable",T1635="unavailable"),"不可评价",IF(AND(R1635="positive",T1635="positive"),"a",IF(T1635="positive","b",IF(R1635="positive","c","d"))))</x:f>
        <x:v>d</x:v>
      </x:c>
      <x:c r="AE1635" s="12" t="str">
        <x:f>IF(OR(W1635="unavailable",Y1635="unavailable"),"不可评价",IF(AND(OR(W1635="positive",W1635="equivocal"),OR(Y1635="positive",Y1635="equivocal")),"a",IF(OR(Y1635="positive",Y1635="equivocal"),"b",IF(OR(W1635="positive",W1635="equivocal"),"c","d"))))</x:f>
        <x:v>d</x:v>
      </x:c>
      <x:c r="AF1635" s="12" t="str">
        <x:f>IF(OR(W1635="unavailable",Y1635="unavailable"),"不可评价",IF(AND(W1635="positive",Y1635="positive"),"a",IF(Y1635="positive","b",IF(W1635="positive","c","d"))))</x:f>
        <x:v>d</x:v>
      </x:c>
    </x:row>
    <x:row r="1636" ht="24" customHeight="1">
      <x:c r="A1636" s="12" t="str">
        <x:v>15484</x:v>
      </x:c>
      <x:c r="B1636" s="12" t="str">
        <x:v>17430</x:v>
      </x:c>
      <x:c r="C1636" s="21" t="n">
        <x:v>35050.487905092596</x:v>
      </x:c>
      <x:c r="D1636" s="12" t="n">
        <x:v>20</x:v>
      </x:c>
      <x:c r="E1636" s="12" t="n">
        <x:v>1</x:v>
      </x:c>
      <x:c r="F1636" s="12" t="str">
        <x:v>存在</x:v>
      </x:c>
      <x:c r="G1636" s="12" t="n">
        <x:v>1</x:v>
      </x:c>
      <x:c r="H1636" s="12" t="str">
        <x:v>{'NORM': 100.0, 'ABQRS': 0.0, 'SARRH': 0.0}</x:v>
      </x:c>
      <x:c r="I1636" s="12" t="str">
        <x:v>[('SRTH', 100.0), ('MSAR', 100.0), ('RAD', 100.0), ('BORDE', 100.0)]</x:v>
      </x:c>
      <x:c r="J1636" s="12" t="str">
        <x:v>ptbxl_database.csv；ecg_id=15484；scp_codes</x:v>
      </x:c>
      <x:c r="K1636" s="12" t="str">
        <x:v>12sl_statements.csv；ecg_id=15484；statements_ext_snomed</x:v>
      </x:c>
      <x:c r="L1636" s="12"/>
      <x:c r="M1636" s="12" t="str">
        <x:v>negative</x:v>
      </x:c>
      <x:c r="N1636" s="12"/>
      <x:c r="O1636" s="12" t="str">
        <x:v>negative</x:v>
      </x:c>
      <x:c r="P1636" s="12" t="str">
        <x:f>IF(OR(M1636="unavailable",O1636="unavailable"),"不可评价",IF(OR(M1636="equivocal",O1636="equivocal"),"疑似",IF(AND(M1636="positive",O1636="positive"),"a",IF(O1636="positive","b",IF(M1636="positive","c","d")))))</x:f>
        <x:v>d</x:v>
      </x:c>
      <x:c r="Q1636" s="12"/>
      <x:c r="R1636" s="12" t="str">
        <x:v>negative</x:v>
      </x:c>
      <x:c r="S1636" s="12"/>
      <x:c r="T1636" s="12" t="str">
        <x:v>negative</x:v>
      </x:c>
      <x:c r="U1636" s="12" t="str">
        <x:f>IF(OR(R1636="unavailable",T1636="unavailable"),"不可评价",IF(OR(R1636="equivocal",T1636="equivocal"),"疑似",IF(AND(R1636="positive",T1636="positive"),"a",IF(T1636="positive","b",IF(R1636="positive","c","d")))))</x:f>
        <x:v>d</x:v>
      </x:c>
      <x:c r="V1636" s="12"/>
      <x:c r="W1636" s="12" t="str">
        <x:v>negative</x:v>
      </x:c>
      <x:c r="X1636" s="12"/>
      <x:c r="Y1636" s="12" t="str">
        <x:v>negative</x:v>
      </x:c>
      <x:c r="Z1636" s="12" t="str">
        <x:f>IF(OR(W1636="unavailable",Y1636="unavailable"),"不可评价",IF(OR(W1636="equivocal",Y1636="equivocal"),"疑似",IF(AND(W1636="positive",Y1636="positive"),"a",IF(Y1636="positive","b",IF(W1636="positive","c","d")))))</x:f>
        <x:v>d</x:v>
      </x:c>
      <x:c r="AA1636" s="12" t="str">
        <x:f>IF(OR(M1636="unavailable",O1636="unavailable"),"不可评价",IF(AND(OR(M1636="positive",M1636="equivocal"),OR(O1636="positive",O1636="equivocal")),"a",IF(OR(O1636="positive",O1636="equivocal"),"b",IF(OR(M1636="positive",M1636="equivocal"),"c","d"))))</x:f>
        <x:v>d</x:v>
      </x:c>
      <x:c r="AB1636" s="12" t="str">
        <x:f>IF(OR(M1636="unavailable",O1636="unavailable"),"不可评价",IF(AND(M1636="positive",O1636="positive"),"a",IF(O1636="positive","b",IF(M1636="positive","c","d"))))</x:f>
        <x:v>d</x:v>
      </x:c>
      <x:c r="AC1636" s="12" t="str">
        <x:f>IF(OR(R1636="unavailable",T1636="unavailable"),"不可评价",IF(AND(OR(R1636="positive",R1636="equivocal"),OR(T1636="positive",T1636="equivocal")),"a",IF(OR(T1636="positive",T1636="equivocal"),"b",IF(OR(R1636="positive",R1636="equivocal"),"c","d"))))</x:f>
        <x:v>d</x:v>
      </x:c>
      <x:c r="AD1636" s="12" t="str">
        <x:f>IF(OR(R1636="unavailable",T1636="unavailable"),"不可评价",IF(AND(R1636="positive",T1636="positive"),"a",IF(T1636="positive","b",IF(R1636="positive","c","d"))))</x:f>
        <x:v>d</x:v>
      </x:c>
      <x:c r="AE1636" s="12" t="str">
        <x:f>IF(OR(W1636="unavailable",Y1636="unavailable"),"不可评价",IF(AND(OR(W1636="positive",W1636="equivocal"),OR(Y1636="positive",Y1636="equivocal")),"a",IF(OR(Y1636="positive",Y1636="equivocal"),"b",IF(OR(W1636="positive",W1636="equivocal"),"c","d"))))</x:f>
        <x:v>d</x:v>
      </x:c>
      <x:c r="AF1636" s="12" t="str">
        <x:f>IF(OR(W1636="unavailable",Y1636="unavailable"),"不可评价",IF(AND(W1636="positive",Y1636="positive"),"a",IF(Y1636="positive","b",IF(W1636="positive","c","d"))))</x:f>
        <x:v>d</x:v>
      </x:c>
    </x:row>
    <x:row r="1637" ht="24" customHeight="1">
      <x:c r="A1637" s="12" t="str">
        <x:v>15487</x:v>
      </x:c>
      <x:c r="B1637" s="12" t="str">
        <x:v>8226</x:v>
      </x:c>
      <x:c r="C1637" s="21" t="n">
        <x:v>35051.475694444445</x:v>
      </x:c>
      <x:c r="D1637" s="12" t="n">
        <x:v>18</x:v>
      </x:c>
      <x:c r="E1637" s="12" t="n">
        <x:v>1</x:v>
      </x:c>
      <x:c r="F1637" s="12" t="str">
        <x:v>存在</x:v>
      </x:c>
      <x:c r="G1637" s="12" t="n">
        <x:v>1</x:v>
      </x:c>
      <x:c r="H1637" s="12" t="str">
        <x:v>{'NORM': 100.0, 'SR': 0.0}</x:v>
      </x:c>
      <x:c r="I1637" s="12" t="str">
        <x:v>[('SBRAD', 100.0), ('ABR', 100.0)]</x:v>
      </x:c>
      <x:c r="J1637" s="12" t="str">
        <x:v>ptbxl_database.csv；ecg_id=15487；scp_codes</x:v>
      </x:c>
      <x:c r="K1637" s="12" t="str">
        <x:v>12sl_statements.csv；ecg_id=15487；statements_ext_snomed</x:v>
      </x:c>
      <x:c r="L1637" s="12"/>
      <x:c r="M1637" s="12" t="str">
        <x:v>negative</x:v>
      </x:c>
      <x:c r="N1637" s="12"/>
      <x:c r="O1637" s="12" t="str">
        <x:v>negative</x:v>
      </x:c>
      <x:c r="P1637" s="12" t="str">
        <x:f>IF(OR(M1637="unavailable",O1637="unavailable"),"不可评价",IF(OR(M1637="equivocal",O1637="equivocal"),"疑似",IF(AND(M1637="positive",O1637="positive"),"a",IF(O1637="positive","b",IF(M1637="positive","c","d")))))</x:f>
        <x:v>d</x:v>
      </x:c>
      <x:c r="Q1637" s="12"/>
      <x:c r="R1637" s="12" t="str">
        <x:v>negative</x:v>
      </x:c>
      <x:c r="S1637" s="12"/>
      <x:c r="T1637" s="12" t="str">
        <x:v>negative</x:v>
      </x:c>
      <x:c r="U1637" s="12" t="str">
        <x:f>IF(OR(R1637="unavailable",T1637="unavailable"),"不可评价",IF(OR(R1637="equivocal",T1637="equivocal"),"疑似",IF(AND(R1637="positive",T1637="positive"),"a",IF(T1637="positive","b",IF(R1637="positive","c","d")))))</x:f>
        <x:v>d</x:v>
      </x:c>
      <x:c r="V1637" s="12"/>
      <x:c r="W1637" s="12" t="str">
        <x:v>negative</x:v>
      </x:c>
      <x:c r="X1637" s="12"/>
      <x:c r="Y1637" s="12" t="str">
        <x:v>negative</x:v>
      </x:c>
      <x:c r="Z1637" s="12" t="str">
        <x:f>IF(OR(W1637="unavailable",Y1637="unavailable"),"不可评价",IF(OR(W1637="equivocal",Y1637="equivocal"),"疑似",IF(AND(W1637="positive",Y1637="positive"),"a",IF(Y1637="positive","b",IF(W1637="positive","c","d")))))</x:f>
        <x:v>d</x:v>
      </x:c>
      <x:c r="AA1637" s="12" t="str">
        <x:f>IF(OR(M1637="unavailable",O1637="unavailable"),"不可评价",IF(AND(OR(M1637="positive",M1637="equivocal"),OR(O1637="positive",O1637="equivocal")),"a",IF(OR(O1637="positive",O1637="equivocal"),"b",IF(OR(M1637="positive",M1637="equivocal"),"c","d"))))</x:f>
        <x:v>d</x:v>
      </x:c>
      <x:c r="AB1637" s="12" t="str">
        <x:f>IF(OR(M1637="unavailable",O1637="unavailable"),"不可评价",IF(AND(M1637="positive",O1637="positive"),"a",IF(O1637="positive","b",IF(M1637="positive","c","d"))))</x:f>
        <x:v>d</x:v>
      </x:c>
      <x:c r="AC1637" s="12" t="str">
        <x:f>IF(OR(R1637="unavailable",T1637="unavailable"),"不可评价",IF(AND(OR(R1637="positive",R1637="equivocal"),OR(T1637="positive",T1637="equivocal")),"a",IF(OR(T1637="positive",T1637="equivocal"),"b",IF(OR(R1637="positive",R1637="equivocal"),"c","d"))))</x:f>
        <x:v>d</x:v>
      </x:c>
      <x:c r="AD1637" s="12" t="str">
        <x:f>IF(OR(R1637="unavailable",T1637="unavailable"),"不可评价",IF(AND(R1637="positive",T1637="positive"),"a",IF(T1637="positive","b",IF(R1637="positive","c","d"))))</x:f>
        <x:v>d</x:v>
      </x:c>
      <x:c r="AE1637" s="12" t="str">
        <x:f>IF(OR(W1637="unavailable",Y1637="unavailable"),"不可评价",IF(AND(OR(W1637="positive",W1637="equivocal"),OR(Y1637="positive",Y1637="equivocal")),"a",IF(OR(Y1637="positive",Y1637="equivocal"),"b",IF(OR(W1637="positive",W1637="equivocal"),"c","d"))))</x:f>
        <x:v>d</x:v>
      </x:c>
      <x:c r="AF1637" s="12" t="str">
        <x:f>IF(OR(W1637="unavailable",Y1637="unavailable"),"不可评价",IF(AND(W1637="positive",Y1637="positive"),"a",IF(Y1637="positive","b",IF(W1637="positive","c","d"))))</x:f>
        <x:v>d</x:v>
      </x:c>
    </x:row>
    <x:row r="1638" ht="39" customHeight="1">
      <x:c r="A1638" s="12" t="str">
        <x:v>15500</x:v>
      </x:c>
      <x:c r="B1638" s="12" t="str">
        <x:v>10486</x:v>
      </x:c>
      <x:c r="C1638" s="21" t="n">
        <x:v>35053.52790509259</x:v>
      </x:c>
      <x:c r="D1638" s="12" t="n">
        <x:v>83</x:v>
      </x:c>
      <x:c r="E1638" s="12" t="n">
        <x:v>1</x:v>
      </x:c>
      <x:c r="F1638" s="12" t="str">
        <x:v>存在</x:v>
      </x:c>
      <x:c r="G1638" s="12" t="n">
        <x:v>1</x:v>
      </x:c>
      <x:c r="H1638" s="12" t="str">
        <x:v>{'ASMI': 100.0, 'LVH': 80.0, 'ISC_': 50.0, 'ABQRS': 0.0, 'VCLVH': 0.0, 'SR': 0.0}</x:v>
      </x:c>
      <x:c r="I1638" s="12" t="str">
        <x:v>[('SRTH', 100.0), ('FAV', 100.0), ('ASMI;AU', 100.0), ('AB', 100.0)]</x:v>
      </x:c>
      <x:c r="J1638" s="12" t="str">
        <x:v>ptbxl_database.csv；ecg_id=15500；scp_codes</x:v>
      </x:c>
      <x:c r="K1638" s="12" t="str">
        <x:v>12sl_statements.csv；ecg_id=15500；statements_ext_snomed</x:v>
      </x:c>
      <x:c r="L1638" s="12"/>
      <x:c r="M1638" s="12" t="str">
        <x:v>negative</x:v>
      </x:c>
      <x:c r="N1638" s="12"/>
      <x:c r="O1638" s="12" t="str">
        <x:v>negative</x:v>
      </x:c>
      <x:c r="P1638" s="12" t="str">
        <x:f>IF(OR(M1638="unavailable",O1638="unavailable"),"不可评价",IF(OR(M1638="equivocal",O1638="equivocal"),"疑似",IF(AND(M1638="positive",O1638="positive"),"a",IF(O1638="positive","b",IF(M1638="positive","c","d")))))</x:f>
        <x:v>d</x:v>
      </x:c>
      <x:c r="Q1638" s="12"/>
      <x:c r="R1638" s="12" t="str">
        <x:v>negative</x:v>
      </x:c>
      <x:c r="S1638" s="12"/>
      <x:c r="T1638" s="12" t="str">
        <x:v>negative</x:v>
      </x:c>
      <x:c r="U1638" s="12" t="str">
        <x:f>IF(OR(R1638="unavailable",T1638="unavailable"),"不可评价",IF(OR(R1638="equivocal",T1638="equivocal"),"疑似",IF(AND(R1638="positive",T1638="positive"),"a",IF(T1638="positive","b",IF(R1638="positive","c","d")))))</x:f>
        <x:v>d</x:v>
      </x:c>
      <x:c r="V1638" s="12"/>
      <x:c r="W1638" s="12" t="str">
        <x:v>negative</x:v>
      </x:c>
      <x:c r="X1638" s="12"/>
      <x:c r="Y1638" s="12" t="str">
        <x:v>negative</x:v>
      </x:c>
      <x:c r="Z1638" s="12" t="str">
        <x:f>IF(OR(W1638="unavailable",Y1638="unavailable"),"不可评价",IF(OR(W1638="equivocal",Y1638="equivocal"),"疑似",IF(AND(W1638="positive",Y1638="positive"),"a",IF(Y1638="positive","b",IF(W1638="positive","c","d")))))</x:f>
        <x:v>d</x:v>
      </x:c>
      <x:c r="AA1638" s="12" t="str">
        <x:f>IF(OR(M1638="unavailable",O1638="unavailable"),"不可评价",IF(AND(OR(M1638="positive",M1638="equivocal"),OR(O1638="positive",O1638="equivocal")),"a",IF(OR(O1638="positive",O1638="equivocal"),"b",IF(OR(M1638="positive",M1638="equivocal"),"c","d"))))</x:f>
        <x:v>d</x:v>
      </x:c>
      <x:c r="AB1638" s="12" t="str">
        <x:f>IF(OR(M1638="unavailable",O1638="unavailable"),"不可评价",IF(AND(M1638="positive",O1638="positive"),"a",IF(O1638="positive","b",IF(M1638="positive","c","d"))))</x:f>
        <x:v>d</x:v>
      </x:c>
      <x:c r="AC1638" s="12" t="str">
        <x:f>IF(OR(R1638="unavailable",T1638="unavailable"),"不可评价",IF(AND(OR(R1638="positive",R1638="equivocal"),OR(T1638="positive",T1638="equivocal")),"a",IF(OR(T1638="positive",T1638="equivocal"),"b",IF(OR(R1638="positive",R1638="equivocal"),"c","d"))))</x:f>
        <x:v>d</x:v>
      </x:c>
      <x:c r="AD1638" s="12" t="str">
        <x:f>IF(OR(R1638="unavailable",T1638="unavailable"),"不可评价",IF(AND(R1638="positive",T1638="positive"),"a",IF(T1638="positive","b",IF(R1638="positive","c","d"))))</x:f>
        <x:v>d</x:v>
      </x:c>
      <x:c r="AE1638" s="12" t="str">
        <x:f>IF(OR(W1638="unavailable",Y1638="unavailable"),"不可评价",IF(AND(OR(W1638="positive",W1638="equivocal"),OR(Y1638="positive",Y1638="equivocal")),"a",IF(OR(Y1638="positive",Y1638="equivocal"),"b",IF(OR(W1638="positive",W1638="equivocal"),"c","d"))))</x:f>
        <x:v>d</x:v>
      </x:c>
      <x:c r="AF1638" s="12" t="str">
        <x:f>IF(OR(W1638="unavailable",Y1638="unavailable"),"不可评价",IF(AND(W1638="positive",Y1638="positive"),"a",IF(Y1638="positive","b",IF(W1638="positive","c","d"))))</x:f>
        <x:v>d</x:v>
      </x:c>
    </x:row>
    <x:row r="1639" ht="24" customHeight="1">
      <x:c r="A1639" s="12" t="str">
        <x:v>15507</x:v>
      </x:c>
      <x:c r="B1639" s="12" t="str">
        <x:v>8772</x:v>
      </x:c>
      <x:c r="C1639" s="21" t="n">
        <x:v>35055.345601851855</x:v>
      </x:c>
      <x:c r="D1639" s="12" t="n">
        <x:v>47</x:v>
      </x:c>
      <x:c r="E1639" s="12" t="n">
        <x:v>1</x:v>
      </x:c>
      <x:c r="F1639" s="12" t="str">
        <x:v>存在</x:v>
      </x:c>
      <x:c r="G1639" s="12" t="n">
        <x:v>1</x:v>
      </x:c>
      <x:c r="H1639" s="12" t="str">
        <x:v>{'NORM': 80.0, 'SARRH': 0.0}</x:v>
      </x:c>
      <x:c r="I1639" s="12" t="str">
        <x:v>[('NSR', 100.0), ('SAR', 100.0), ('NML', 100.0)]</x:v>
      </x:c>
      <x:c r="J1639" s="12" t="str">
        <x:v>ptbxl_database.csv；ecg_id=15507；scp_codes</x:v>
      </x:c>
      <x:c r="K1639" s="12" t="str">
        <x:v>12sl_statements.csv；ecg_id=15507；statements_ext_snomed</x:v>
      </x:c>
      <x:c r="L1639" s="12"/>
      <x:c r="M1639" s="12" t="str">
        <x:v>negative</x:v>
      </x:c>
      <x:c r="N1639" s="12"/>
      <x:c r="O1639" s="12" t="str">
        <x:v>negative</x:v>
      </x:c>
      <x:c r="P1639" s="12" t="str">
        <x:f>IF(OR(M1639="unavailable",O1639="unavailable"),"不可评价",IF(OR(M1639="equivocal",O1639="equivocal"),"疑似",IF(AND(M1639="positive",O1639="positive"),"a",IF(O1639="positive","b",IF(M1639="positive","c","d")))))</x:f>
        <x:v>d</x:v>
      </x:c>
      <x:c r="Q1639" s="12"/>
      <x:c r="R1639" s="12" t="str">
        <x:v>negative</x:v>
      </x:c>
      <x:c r="S1639" s="12"/>
      <x:c r="T1639" s="12" t="str">
        <x:v>negative</x:v>
      </x:c>
      <x:c r="U1639" s="12" t="str">
        <x:f>IF(OR(R1639="unavailable",T1639="unavailable"),"不可评价",IF(OR(R1639="equivocal",T1639="equivocal"),"疑似",IF(AND(R1639="positive",T1639="positive"),"a",IF(T1639="positive","b",IF(R1639="positive","c","d")))))</x:f>
        <x:v>d</x:v>
      </x:c>
      <x:c r="V1639" s="12"/>
      <x:c r="W1639" s="12" t="str">
        <x:v>negative</x:v>
      </x:c>
      <x:c r="X1639" s="12"/>
      <x:c r="Y1639" s="12" t="str">
        <x:v>negative</x:v>
      </x:c>
      <x:c r="Z1639" s="12" t="str">
        <x:f>IF(OR(W1639="unavailable",Y1639="unavailable"),"不可评价",IF(OR(W1639="equivocal",Y1639="equivocal"),"疑似",IF(AND(W1639="positive",Y1639="positive"),"a",IF(Y1639="positive","b",IF(W1639="positive","c","d")))))</x:f>
        <x:v>d</x:v>
      </x:c>
      <x:c r="AA1639" s="12" t="str">
        <x:f>IF(OR(M1639="unavailable",O1639="unavailable"),"不可评价",IF(AND(OR(M1639="positive",M1639="equivocal"),OR(O1639="positive",O1639="equivocal")),"a",IF(OR(O1639="positive",O1639="equivocal"),"b",IF(OR(M1639="positive",M1639="equivocal"),"c","d"))))</x:f>
        <x:v>d</x:v>
      </x:c>
      <x:c r="AB1639" s="12" t="str">
        <x:f>IF(OR(M1639="unavailable",O1639="unavailable"),"不可评价",IF(AND(M1639="positive",O1639="positive"),"a",IF(O1639="positive","b",IF(M1639="positive","c","d"))))</x:f>
        <x:v>d</x:v>
      </x:c>
      <x:c r="AC1639" s="12" t="str">
        <x:f>IF(OR(R1639="unavailable",T1639="unavailable"),"不可评价",IF(AND(OR(R1639="positive",R1639="equivocal"),OR(T1639="positive",T1639="equivocal")),"a",IF(OR(T1639="positive",T1639="equivocal"),"b",IF(OR(R1639="positive",R1639="equivocal"),"c","d"))))</x:f>
        <x:v>d</x:v>
      </x:c>
      <x:c r="AD1639" s="12" t="str">
        <x:f>IF(OR(R1639="unavailable",T1639="unavailable"),"不可评价",IF(AND(R1639="positive",T1639="positive"),"a",IF(T1639="positive","b",IF(R1639="positive","c","d"))))</x:f>
        <x:v>d</x:v>
      </x:c>
      <x:c r="AE1639" s="12" t="str">
        <x:f>IF(OR(W1639="unavailable",Y1639="unavailable"),"不可评价",IF(AND(OR(W1639="positive",W1639="equivocal"),OR(Y1639="positive",Y1639="equivocal")),"a",IF(OR(Y1639="positive",Y1639="equivocal"),"b",IF(OR(W1639="positive",W1639="equivocal"),"c","d"))))</x:f>
        <x:v>d</x:v>
      </x:c>
      <x:c r="AF1639" s="12" t="str">
        <x:f>IF(OR(W1639="unavailable",Y1639="unavailable"),"不可评价",IF(AND(W1639="positive",Y1639="positive"),"a",IF(Y1639="positive","b",IF(W1639="positive","c","d"))))</x:f>
        <x:v>d</x:v>
      </x:c>
    </x:row>
    <x:row r="1640" ht="24" customHeight="1">
      <x:c r="A1640" s="12" t="str">
        <x:v>15526</x:v>
      </x:c>
      <x:c r="B1640" s="12" t="str">
        <x:v>9501</x:v>
      </x:c>
      <x:c r="C1640" s="21" t="n">
        <x:v>35064.56753472222</x:v>
      </x:c>
      <x:c r="D1640" s="12" t="n">
        <x:v>77</x:v>
      </x:c>
      <x:c r="E1640" s="12" t="n">
        <x:v>1</x:v>
      </x:c>
      <x:c r="F1640" s="12" t="str">
        <x:v>未记录</x:v>
      </x:c>
      <x:c r="G1640" s="12" t="n">
        <x:v>1</x:v>
      </x:c>
      <x:c r="H1640" s="12" t="str">
        <x:v>{'CRBBB': 100.0}</x:v>
      </x:c>
      <x:c r="I1640" s="12" t="str">
        <x:v>[('SVT', 100.0), ('RBBB', 100.0), ('IMI;AU', 15.0), ('AB', 100.0)]</x:v>
      </x:c>
      <x:c r="J1640" s="12" t="str">
        <x:v>ptbxl_database.csv；ecg_id=15526；scp_codes</x:v>
      </x:c>
      <x:c r="K1640" s="12" t="str">
        <x:v>12sl_statements.csv；ecg_id=15526；statements_ext_snomed</x:v>
      </x:c>
      <x:c r="L1640" s="12"/>
      <x:c r="M1640" s="12" t="str">
        <x:v>negative</x:v>
      </x:c>
      <x:c r="N1640" s="12"/>
      <x:c r="O1640" s="12" t="str">
        <x:v>negative</x:v>
      </x:c>
      <x:c r="P1640" s="12" t="str">
        <x:f>IF(OR(M1640="unavailable",O1640="unavailable"),"不可评价",IF(OR(M1640="equivocal",O1640="equivocal"),"疑似",IF(AND(M1640="positive",O1640="positive"),"a",IF(O1640="positive","b",IF(M1640="positive","c","d")))))</x:f>
        <x:v>d</x:v>
      </x:c>
      <x:c r="Q1640" s="12"/>
      <x:c r="R1640" s="12" t="str">
        <x:v>negative</x:v>
      </x:c>
      <x:c r="S1640" s="12"/>
      <x:c r="T1640" s="12" t="str">
        <x:v>negative</x:v>
      </x:c>
      <x:c r="U1640" s="12" t="str">
        <x:f>IF(OR(R1640="unavailable",T1640="unavailable"),"不可评价",IF(OR(R1640="equivocal",T1640="equivocal"),"疑似",IF(AND(R1640="positive",T1640="positive"),"a",IF(T1640="positive","b",IF(R1640="positive","c","d")))))</x:f>
        <x:v>d</x:v>
      </x:c>
      <x:c r="V1640" s="12" t="n">
        <x:v>100</x:v>
      </x:c>
      <x:c r="W1640" s="12" t="str">
        <x:v>positive</x:v>
      </x:c>
      <x:c r="X1640" s="12" t="n">
        <x:v>100</x:v>
      </x:c>
      <x:c r="Y1640" s="12" t="str">
        <x:v>positive</x:v>
      </x:c>
      <x:c r="Z1640" s="12" t="str">
        <x:f>IF(OR(W1640="unavailable",Y1640="unavailable"),"不可评价",IF(OR(W1640="equivocal",Y1640="equivocal"),"疑似",IF(AND(W1640="positive",Y1640="positive"),"a",IF(Y1640="positive","b",IF(W1640="positive","c","d")))))</x:f>
        <x:v>a</x:v>
      </x:c>
      <x:c r="AA1640" s="12" t="str">
        <x:f>IF(OR(M1640="unavailable",O1640="unavailable"),"不可评价",IF(AND(OR(M1640="positive",M1640="equivocal"),OR(O1640="positive",O1640="equivocal")),"a",IF(OR(O1640="positive",O1640="equivocal"),"b",IF(OR(M1640="positive",M1640="equivocal"),"c","d"))))</x:f>
        <x:v>d</x:v>
      </x:c>
      <x:c r="AB1640" s="12" t="str">
        <x:f>IF(OR(M1640="unavailable",O1640="unavailable"),"不可评价",IF(AND(M1640="positive",O1640="positive"),"a",IF(O1640="positive","b",IF(M1640="positive","c","d"))))</x:f>
        <x:v>d</x:v>
      </x:c>
      <x:c r="AC1640" s="12" t="str">
        <x:f>IF(OR(R1640="unavailable",T1640="unavailable"),"不可评价",IF(AND(OR(R1640="positive",R1640="equivocal"),OR(T1640="positive",T1640="equivocal")),"a",IF(OR(T1640="positive",T1640="equivocal"),"b",IF(OR(R1640="positive",R1640="equivocal"),"c","d"))))</x:f>
        <x:v>d</x:v>
      </x:c>
      <x:c r="AD1640" s="12" t="str">
        <x:f>IF(OR(R1640="unavailable",T1640="unavailable"),"不可评价",IF(AND(R1640="positive",T1640="positive"),"a",IF(T1640="positive","b",IF(R1640="positive","c","d"))))</x:f>
        <x:v>d</x:v>
      </x:c>
      <x:c r="AE1640" s="12" t="str">
        <x:f>IF(OR(W1640="unavailable",Y1640="unavailable"),"不可评价",IF(AND(OR(W1640="positive",W1640="equivocal"),OR(Y1640="positive",Y1640="equivocal")),"a",IF(OR(Y1640="positive",Y1640="equivocal"),"b",IF(OR(W1640="positive",W1640="equivocal"),"c","d"))))</x:f>
        <x:v>a</x:v>
      </x:c>
      <x:c r="AF1640" s="12" t="str">
        <x:f>IF(OR(W1640="unavailable",Y1640="unavailable"),"不可评价",IF(AND(W1640="positive",Y1640="positive"),"a",IF(Y1640="positive","b",IF(W1640="positive","c","d"))))</x:f>
        <x:v>a</x:v>
      </x:c>
    </x:row>
    <x:row r="1641" ht="24" customHeight="1">
      <x:c r="A1641" s="12" t="str">
        <x:v>15532</x:v>
      </x:c>
      <x:c r="B1641" s="12" t="str">
        <x:v>9501</x:v>
      </x:c>
      <x:c r="C1641" s="21" t="n">
        <x:v>35067.40167824074</x:v>
      </x:c>
      <x:c r="D1641" s="12" t="n">
        <x:v>77</x:v>
      </x:c>
      <x:c r="E1641" s="12" t="n">
        <x:v>1</x:v>
      </x:c>
      <x:c r="F1641" s="12" t="str">
        <x:v>存在</x:v>
      </x:c>
      <x:c r="G1641" s="12" t="n">
        <x:v>0</x:v>
      </x:c>
      <x:c r="H1641" s="12" t="str">
        <x:v>{'CRBBB': 100.0, 'SR': 0.0}</x:v>
      </x:c>
      <x:c r="I1641" s="12" t="str">
        <x:v>[('NSR', 100.0), ('RBBB', 100.0), ('AB', 100.0)]</x:v>
      </x:c>
      <x:c r="J1641" s="12" t="str">
        <x:v>ptbxl_database.csv；ecg_id=15532；scp_codes</x:v>
      </x:c>
      <x:c r="K1641" s="12" t="str">
        <x:v>12sl_statements.csv；ecg_id=15532；statements_ext_snomed</x:v>
      </x:c>
      <x:c r="L1641" s="12"/>
      <x:c r="M1641" s="12" t="str">
        <x:v>negative</x:v>
      </x:c>
      <x:c r="N1641" s="12"/>
      <x:c r="O1641" s="12" t="str">
        <x:v>negative</x:v>
      </x:c>
      <x:c r="P1641" s="12" t="str">
        <x:f>IF(OR(M1641="unavailable",O1641="unavailable"),"不可评价",IF(OR(M1641="equivocal",O1641="equivocal"),"疑似",IF(AND(M1641="positive",O1641="positive"),"a",IF(O1641="positive","b",IF(M1641="positive","c","d")))))</x:f>
        <x:v>d</x:v>
      </x:c>
      <x:c r="Q1641" s="12"/>
      <x:c r="R1641" s="12" t="str">
        <x:v>negative</x:v>
      </x:c>
      <x:c r="S1641" s="12"/>
      <x:c r="T1641" s="12" t="str">
        <x:v>negative</x:v>
      </x:c>
      <x:c r="U1641" s="12" t="str">
        <x:f>IF(OR(R1641="unavailable",T1641="unavailable"),"不可评价",IF(OR(R1641="equivocal",T1641="equivocal"),"疑似",IF(AND(R1641="positive",T1641="positive"),"a",IF(T1641="positive","b",IF(R1641="positive","c","d")))))</x:f>
        <x:v>d</x:v>
      </x:c>
      <x:c r="V1641" s="12" t="n">
        <x:v>100</x:v>
      </x:c>
      <x:c r="W1641" s="12" t="str">
        <x:v>positive</x:v>
      </x:c>
      <x:c r="X1641" s="12" t="n">
        <x:v>100</x:v>
      </x:c>
      <x:c r="Y1641" s="12" t="str">
        <x:v>positive</x:v>
      </x:c>
      <x:c r="Z1641" s="12" t="str">
        <x:f>IF(OR(W1641="unavailable",Y1641="unavailable"),"不可评价",IF(OR(W1641="equivocal",Y1641="equivocal"),"疑似",IF(AND(W1641="positive",Y1641="positive"),"a",IF(Y1641="positive","b",IF(W1641="positive","c","d")))))</x:f>
        <x:v>a</x:v>
      </x:c>
      <x:c r="AA1641" s="12" t="str">
        <x:f>IF(OR(M1641="unavailable",O1641="unavailable"),"不可评价",IF(AND(OR(M1641="positive",M1641="equivocal"),OR(O1641="positive",O1641="equivocal")),"a",IF(OR(O1641="positive",O1641="equivocal"),"b",IF(OR(M1641="positive",M1641="equivocal"),"c","d"))))</x:f>
        <x:v>d</x:v>
      </x:c>
      <x:c r="AB1641" s="12" t="str">
        <x:f>IF(OR(M1641="unavailable",O1641="unavailable"),"不可评价",IF(AND(M1641="positive",O1641="positive"),"a",IF(O1641="positive","b",IF(M1641="positive","c","d"))))</x:f>
        <x:v>d</x:v>
      </x:c>
      <x:c r="AC1641" s="12" t="str">
        <x:f>IF(OR(R1641="unavailable",T1641="unavailable"),"不可评价",IF(AND(OR(R1641="positive",R1641="equivocal"),OR(T1641="positive",T1641="equivocal")),"a",IF(OR(T1641="positive",T1641="equivocal"),"b",IF(OR(R1641="positive",R1641="equivocal"),"c","d"))))</x:f>
        <x:v>d</x:v>
      </x:c>
      <x:c r="AD1641" s="12" t="str">
        <x:f>IF(OR(R1641="unavailable",T1641="unavailable"),"不可评价",IF(AND(R1641="positive",T1641="positive"),"a",IF(T1641="positive","b",IF(R1641="positive","c","d"))))</x:f>
        <x:v>d</x:v>
      </x:c>
      <x:c r="AE1641" s="12" t="str">
        <x:f>IF(OR(W1641="unavailable",Y1641="unavailable"),"不可评价",IF(AND(OR(W1641="positive",W1641="equivocal"),OR(Y1641="positive",Y1641="equivocal")),"a",IF(OR(Y1641="positive",Y1641="equivocal"),"b",IF(OR(W1641="positive",W1641="equivocal"),"c","d"))))</x:f>
        <x:v>a</x:v>
      </x:c>
      <x:c r="AF1641" s="12" t="str">
        <x:f>IF(OR(W1641="unavailable",Y1641="unavailable"),"不可评价",IF(AND(W1641="positive",Y1641="positive"),"a",IF(Y1641="positive","b",IF(W1641="positive","c","d"))))</x:f>
        <x:v>a</x:v>
      </x:c>
    </x:row>
    <x:row r="1642" ht="24" customHeight="1">
      <x:c r="A1642" s="12" t="str">
        <x:v>15548</x:v>
      </x:c>
      <x:c r="B1642" s="12" t="str">
        <x:v>18897</x:v>
      </x:c>
      <x:c r="C1642" s="21" t="n">
        <x:v>35069.64780092592</x:v>
      </x:c>
      <x:c r="D1642" s="12" t="n">
        <x:v>46</x:v>
      </x:c>
      <x:c r="E1642" s="12" t="n">
        <x:v>0</x:v>
      </x:c>
      <x:c r="F1642" s="12" t="str">
        <x:v>未记录</x:v>
      </x:c>
      <x:c r="G1642" s="12" t="n">
        <x:v>1</x:v>
      </x:c>
      <x:c r="H1642" s="12" t="str">
        <x:v>{'NORM': 100.0, 'SBRAD': 0.0}</x:v>
      </x:c>
      <x:c r="I1642" s="12" t="str">
        <x:v>[('SBRAD', 100.0), ('NT', 100.0), ('AB', 100.0)]</x:v>
      </x:c>
      <x:c r="J1642" s="12" t="str">
        <x:v>ptbxl_database.csv；ecg_id=15548；scp_codes</x:v>
      </x:c>
      <x:c r="K1642" s="12" t="str">
        <x:v>12sl_statements.csv；ecg_id=15548；statements_ext_snomed</x:v>
      </x:c>
      <x:c r="L1642" s="12"/>
      <x:c r="M1642" s="12" t="str">
        <x:v>negative</x:v>
      </x:c>
      <x:c r="N1642" s="12"/>
      <x:c r="O1642" s="12" t="str">
        <x:v>negative</x:v>
      </x:c>
      <x:c r="P1642" s="12" t="str">
        <x:f>IF(OR(M1642="unavailable",O1642="unavailable"),"不可评价",IF(OR(M1642="equivocal",O1642="equivocal"),"疑似",IF(AND(M1642="positive",O1642="positive"),"a",IF(O1642="positive","b",IF(M1642="positive","c","d")))))</x:f>
        <x:v>d</x:v>
      </x:c>
      <x:c r="Q1642" s="12"/>
      <x:c r="R1642" s="12" t="str">
        <x:v>negative</x:v>
      </x:c>
      <x:c r="S1642" s="12"/>
      <x:c r="T1642" s="12" t="str">
        <x:v>negative</x:v>
      </x:c>
      <x:c r="U1642" s="12" t="str">
        <x:f>IF(OR(R1642="unavailable",T1642="unavailable"),"不可评价",IF(OR(R1642="equivocal",T1642="equivocal"),"疑似",IF(AND(R1642="positive",T1642="positive"),"a",IF(T1642="positive","b",IF(R1642="positive","c","d")))))</x:f>
        <x:v>d</x:v>
      </x:c>
      <x:c r="V1642" s="12"/>
      <x:c r="W1642" s="12" t="str">
        <x:v>negative</x:v>
      </x:c>
      <x:c r="X1642" s="12"/>
      <x:c r="Y1642" s="12" t="str">
        <x:v>negative</x:v>
      </x:c>
      <x:c r="Z1642" s="12" t="str">
        <x:f>IF(OR(W1642="unavailable",Y1642="unavailable"),"不可评价",IF(OR(W1642="equivocal",Y1642="equivocal"),"疑似",IF(AND(W1642="positive",Y1642="positive"),"a",IF(Y1642="positive","b",IF(W1642="positive","c","d")))))</x:f>
        <x:v>d</x:v>
      </x:c>
      <x:c r="AA1642" s="12" t="str">
        <x:f>IF(OR(M1642="unavailable",O1642="unavailable"),"不可评价",IF(AND(OR(M1642="positive",M1642="equivocal"),OR(O1642="positive",O1642="equivocal")),"a",IF(OR(O1642="positive",O1642="equivocal"),"b",IF(OR(M1642="positive",M1642="equivocal"),"c","d"))))</x:f>
        <x:v>d</x:v>
      </x:c>
      <x:c r="AB1642" s="12" t="str">
        <x:f>IF(OR(M1642="unavailable",O1642="unavailable"),"不可评价",IF(AND(M1642="positive",O1642="positive"),"a",IF(O1642="positive","b",IF(M1642="positive","c","d"))))</x:f>
        <x:v>d</x:v>
      </x:c>
      <x:c r="AC1642" s="12" t="str">
        <x:f>IF(OR(R1642="unavailable",T1642="unavailable"),"不可评价",IF(AND(OR(R1642="positive",R1642="equivocal"),OR(T1642="positive",T1642="equivocal")),"a",IF(OR(T1642="positive",T1642="equivocal"),"b",IF(OR(R1642="positive",R1642="equivocal"),"c","d"))))</x:f>
        <x:v>d</x:v>
      </x:c>
      <x:c r="AD1642" s="12" t="str">
        <x:f>IF(OR(R1642="unavailable",T1642="unavailable"),"不可评价",IF(AND(R1642="positive",T1642="positive"),"a",IF(T1642="positive","b",IF(R1642="positive","c","d"))))</x:f>
        <x:v>d</x:v>
      </x:c>
      <x:c r="AE1642" s="12" t="str">
        <x:f>IF(OR(W1642="unavailable",Y1642="unavailable"),"不可评价",IF(AND(OR(W1642="positive",W1642="equivocal"),OR(Y1642="positive",Y1642="equivocal")),"a",IF(OR(Y1642="positive",Y1642="equivocal"),"b",IF(OR(W1642="positive",W1642="equivocal"),"c","d"))))</x:f>
        <x:v>d</x:v>
      </x:c>
      <x:c r="AF1642" s="12" t="str">
        <x:f>IF(OR(W1642="unavailable",Y1642="unavailable"),"不可评价",IF(AND(W1642="positive",Y1642="positive"),"a",IF(Y1642="positive","b",IF(W1642="positive","c","d"))))</x:f>
        <x:v>d</x:v>
      </x:c>
    </x:row>
    <x:row r="1643" ht="24" customHeight="1">
      <x:c r="A1643" s="12" t="str">
        <x:v>15549</x:v>
      </x:c>
      <x:c r="B1643" s="12" t="str">
        <x:v>17381</x:v>
      </x:c>
      <x:c r="C1643" s="21" t="n">
        <x:v>35070.42005787037</x:v>
      </x:c>
      <x:c r="D1643" s="12" t="n">
        <x:v>57</x:v>
      </x:c>
      <x:c r="E1643" s="12" t="n">
        <x:v>1</x:v>
      </x:c>
      <x:c r="F1643" s="12" t="str">
        <x:v>存在</x:v>
      </x:c>
      <x:c r="G1643" s="12" t="n">
        <x:v>0</x:v>
      </x:c>
      <x:c r="H1643" s="12" t="str">
        <x:v>{'IMI': 50.0, 'ABQRS': 0.0, 'SR': 0.0}</x:v>
      </x:c>
      <x:c r="I1643" s="12" t="str">
        <x:v>[('NSR', 100.0), ('NML', 100.0)]</x:v>
      </x:c>
      <x:c r="J1643" s="12" t="str">
        <x:v>ptbxl_database.csv；ecg_id=15549；scp_codes</x:v>
      </x:c>
      <x:c r="K1643" s="12" t="str">
        <x:v>12sl_statements.csv；ecg_id=15549；statements_ext_snomed</x:v>
      </x:c>
      <x:c r="L1643" s="12"/>
      <x:c r="M1643" s="12" t="str">
        <x:v>negative</x:v>
      </x:c>
      <x:c r="N1643" s="12"/>
      <x:c r="O1643" s="12" t="str">
        <x:v>negative</x:v>
      </x:c>
      <x:c r="P1643" s="12" t="str">
        <x:f>IF(OR(M1643="unavailable",O1643="unavailable"),"不可评价",IF(OR(M1643="equivocal",O1643="equivocal"),"疑似",IF(AND(M1643="positive",O1643="positive"),"a",IF(O1643="positive","b",IF(M1643="positive","c","d")))))</x:f>
        <x:v>d</x:v>
      </x:c>
      <x:c r="Q1643" s="12"/>
      <x:c r="R1643" s="12" t="str">
        <x:v>negative</x:v>
      </x:c>
      <x:c r="S1643" s="12"/>
      <x:c r="T1643" s="12" t="str">
        <x:v>negative</x:v>
      </x:c>
      <x:c r="U1643" s="12" t="str">
        <x:f>IF(OR(R1643="unavailable",T1643="unavailable"),"不可评价",IF(OR(R1643="equivocal",T1643="equivocal"),"疑似",IF(AND(R1643="positive",T1643="positive"),"a",IF(T1643="positive","b",IF(R1643="positive","c","d")))))</x:f>
        <x:v>d</x:v>
      </x:c>
      <x:c r="V1643" s="12"/>
      <x:c r="W1643" s="12" t="str">
        <x:v>negative</x:v>
      </x:c>
      <x:c r="X1643" s="12"/>
      <x:c r="Y1643" s="12" t="str">
        <x:v>negative</x:v>
      </x:c>
      <x:c r="Z1643" s="12" t="str">
        <x:f>IF(OR(W1643="unavailable",Y1643="unavailable"),"不可评价",IF(OR(W1643="equivocal",Y1643="equivocal"),"疑似",IF(AND(W1643="positive",Y1643="positive"),"a",IF(Y1643="positive","b",IF(W1643="positive","c","d")))))</x:f>
        <x:v>d</x:v>
      </x:c>
      <x:c r="AA1643" s="12" t="str">
        <x:f>IF(OR(M1643="unavailable",O1643="unavailable"),"不可评价",IF(AND(OR(M1643="positive",M1643="equivocal"),OR(O1643="positive",O1643="equivocal")),"a",IF(OR(O1643="positive",O1643="equivocal"),"b",IF(OR(M1643="positive",M1643="equivocal"),"c","d"))))</x:f>
        <x:v>d</x:v>
      </x:c>
      <x:c r="AB1643" s="12" t="str">
        <x:f>IF(OR(M1643="unavailable",O1643="unavailable"),"不可评价",IF(AND(M1643="positive",O1643="positive"),"a",IF(O1643="positive","b",IF(M1643="positive","c","d"))))</x:f>
        <x:v>d</x:v>
      </x:c>
      <x:c r="AC1643" s="12" t="str">
        <x:f>IF(OR(R1643="unavailable",T1643="unavailable"),"不可评价",IF(AND(OR(R1643="positive",R1643="equivocal"),OR(T1643="positive",T1643="equivocal")),"a",IF(OR(T1643="positive",T1643="equivocal"),"b",IF(OR(R1643="positive",R1643="equivocal"),"c","d"))))</x:f>
        <x:v>d</x:v>
      </x:c>
      <x:c r="AD1643" s="12" t="str">
        <x:f>IF(OR(R1643="unavailable",T1643="unavailable"),"不可评价",IF(AND(R1643="positive",T1643="positive"),"a",IF(T1643="positive","b",IF(R1643="positive","c","d"))))</x:f>
        <x:v>d</x:v>
      </x:c>
      <x:c r="AE1643" s="12" t="str">
        <x:f>IF(OR(W1643="unavailable",Y1643="unavailable"),"不可评价",IF(AND(OR(W1643="positive",W1643="equivocal"),OR(Y1643="positive",Y1643="equivocal")),"a",IF(OR(Y1643="positive",Y1643="equivocal"),"b",IF(OR(W1643="positive",W1643="equivocal"),"c","d"))))</x:f>
        <x:v>d</x:v>
      </x:c>
      <x:c r="AF1643" s="12" t="str">
        <x:f>IF(OR(W1643="unavailable",Y1643="unavailable"),"不可评价",IF(AND(W1643="positive",Y1643="positive"),"a",IF(Y1643="positive","b",IF(W1643="positive","c","d"))))</x:f>
        <x:v>d</x:v>
      </x:c>
    </x:row>
    <x:row r="1644" ht="24" customHeight="1">
      <x:c r="A1644" s="12" t="str">
        <x:v>15573</x:v>
      </x:c>
      <x:c r="B1644" s="12" t="str">
        <x:v>11439</x:v>
      </x:c>
      <x:c r="C1644" s="21" t="n">
        <x:v>35074.546585648146</x:v>
      </x:c>
      <x:c r="D1644" s="12" t="n">
        <x:v>84</x:v>
      </x:c>
      <x:c r="E1644" s="12" t="n">
        <x:v>0</x:v>
      </x:c>
      <x:c r="F1644" s="12" t="str">
        <x:v>未记录</x:v>
      </x:c>
      <x:c r="G1644" s="12" t="n">
        <x:v>0</x:v>
      </x:c>
      <x:c r="H1644" s="12" t="str">
        <x:v>{'IMI': 100.0, 'CRBBB': 100.0, 'SR': 0.0}</x:v>
      </x:c>
      <x:c r="I1644" s="12" t="str">
        <x:v>[('SBRAD', 100.0), ('LAD3', 100.0), ('RBBB', 100.0), ('IMI;AU', 100.0), ('AB', 100.0)]</x:v>
      </x:c>
      <x:c r="J1644" s="12" t="str">
        <x:v>ptbxl_database.csv；ecg_id=15573；scp_codes</x:v>
      </x:c>
      <x:c r="K1644" s="12" t="str">
        <x:v>12sl_statements.csv；ecg_id=15573；statements_ext_snomed</x:v>
      </x:c>
      <x:c r="L1644" s="12"/>
      <x:c r="M1644" s="12" t="str">
        <x:v>negative</x:v>
      </x:c>
      <x:c r="N1644" s="12"/>
      <x:c r="O1644" s="12" t="str">
        <x:v>negative</x:v>
      </x:c>
      <x:c r="P1644" s="12" t="str">
        <x:f>IF(OR(M1644="unavailable",O1644="unavailable"),"不可评价",IF(OR(M1644="equivocal",O1644="equivocal"),"疑似",IF(AND(M1644="positive",O1644="positive"),"a",IF(O1644="positive","b",IF(M1644="positive","c","d")))))</x:f>
        <x:v>d</x:v>
      </x:c>
      <x:c r="Q1644" s="12"/>
      <x:c r="R1644" s="12" t="str">
        <x:v>negative</x:v>
      </x:c>
      <x:c r="S1644" s="12"/>
      <x:c r="T1644" s="12" t="str">
        <x:v>negative</x:v>
      </x:c>
      <x:c r="U1644" s="12" t="str">
        <x:f>IF(OR(R1644="unavailable",T1644="unavailable"),"不可评价",IF(OR(R1644="equivocal",T1644="equivocal"),"疑似",IF(AND(R1644="positive",T1644="positive"),"a",IF(T1644="positive","b",IF(R1644="positive","c","d")))))</x:f>
        <x:v>d</x:v>
      </x:c>
      <x:c r="V1644" s="12" t="n">
        <x:v>100</x:v>
      </x:c>
      <x:c r="W1644" s="12" t="str">
        <x:v>positive</x:v>
      </x:c>
      <x:c r="X1644" s="12" t="n">
        <x:v>100</x:v>
      </x:c>
      <x:c r="Y1644" s="12" t="str">
        <x:v>positive</x:v>
      </x:c>
      <x:c r="Z1644" s="12" t="str">
        <x:f>IF(OR(W1644="unavailable",Y1644="unavailable"),"不可评价",IF(OR(W1644="equivocal",Y1644="equivocal"),"疑似",IF(AND(W1644="positive",Y1644="positive"),"a",IF(Y1644="positive","b",IF(W1644="positive","c","d")))))</x:f>
        <x:v>a</x:v>
      </x:c>
      <x:c r="AA1644" s="12" t="str">
        <x:f>IF(OR(M1644="unavailable",O1644="unavailable"),"不可评价",IF(AND(OR(M1644="positive",M1644="equivocal"),OR(O1644="positive",O1644="equivocal")),"a",IF(OR(O1644="positive",O1644="equivocal"),"b",IF(OR(M1644="positive",M1644="equivocal"),"c","d"))))</x:f>
        <x:v>d</x:v>
      </x:c>
      <x:c r="AB1644" s="12" t="str">
        <x:f>IF(OR(M1644="unavailable",O1644="unavailable"),"不可评价",IF(AND(M1644="positive",O1644="positive"),"a",IF(O1644="positive","b",IF(M1644="positive","c","d"))))</x:f>
        <x:v>d</x:v>
      </x:c>
      <x:c r="AC1644" s="12" t="str">
        <x:f>IF(OR(R1644="unavailable",T1644="unavailable"),"不可评价",IF(AND(OR(R1644="positive",R1644="equivocal"),OR(T1644="positive",T1644="equivocal")),"a",IF(OR(T1644="positive",T1644="equivocal"),"b",IF(OR(R1644="positive",R1644="equivocal"),"c","d"))))</x:f>
        <x:v>d</x:v>
      </x:c>
      <x:c r="AD1644" s="12" t="str">
        <x:f>IF(OR(R1644="unavailable",T1644="unavailable"),"不可评价",IF(AND(R1644="positive",T1644="positive"),"a",IF(T1644="positive","b",IF(R1644="positive","c","d"))))</x:f>
        <x:v>d</x:v>
      </x:c>
      <x:c r="AE1644" s="12" t="str">
        <x:f>IF(OR(W1644="unavailable",Y1644="unavailable"),"不可评价",IF(AND(OR(W1644="positive",W1644="equivocal"),OR(Y1644="positive",Y1644="equivocal")),"a",IF(OR(Y1644="positive",Y1644="equivocal"),"b",IF(OR(W1644="positive",W1644="equivocal"),"c","d"))))</x:f>
        <x:v>a</x:v>
      </x:c>
      <x:c r="AF1644" s="12" t="str">
        <x:f>IF(OR(W1644="unavailable",Y1644="unavailable"),"不可评价",IF(AND(W1644="positive",Y1644="positive"),"a",IF(Y1644="positive","b",IF(W1644="positive","c","d"))))</x:f>
        <x:v>a</x:v>
      </x:c>
    </x:row>
    <x:row r="1645" ht="24" customHeight="1">
      <x:c r="A1645" s="12" t="str">
        <x:v>15575</x:v>
      </x:c>
      <x:c r="B1645" s="12" t="str">
        <x:v>16635</x:v>
      </x:c>
      <x:c r="C1645" s="21" t="n">
        <x:v>35074.59363425926</x:v>
      </x:c>
      <x:c r="D1645" s="12" t="n">
        <x:v>50</x:v>
      </x:c>
      <x:c r="E1645" s="12" t="n">
        <x:v>0</x:v>
      </x:c>
      <x:c r="F1645" s="12" t="str">
        <x:v>未记录</x:v>
      </x:c>
      <x:c r="G1645" s="12" t="n">
        <x:v>1</x:v>
      </x:c>
      <x:c r="H1645" s="12" t="str">
        <x:v>{'NORM': 100.0, 'SR': 0.0}</x:v>
      </x:c>
      <x:c r="I1645" s="12" t="str">
        <x:v>[('NSR', 100.0), ('NML', 100.0)]</x:v>
      </x:c>
      <x:c r="J1645" s="12" t="str">
        <x:v>ptbxl_database.csv；ecg_id=15575；scp_codes</x:v>
      </x:c>
      <x:c r="K1645" s="12" t="str">
        <x:v>12sl_statements.csv；ecg_id=15575；statements_ext_snomed</x:v>
      </x:c>
      <x:c r="L1645" s="12"/>
      <x:c r="M1645" s="12" t="str">
        <x:v>negative</x:v>
      </x:c>
      <x:c r="N1645" s="12"/>
      <x:c r="O1645" s="12" t="str">
        <x:v>negative</x:v>
      </x:c>
      <x:c r="P1645" s="12" t="str">
        <x:f>IF(OR(M1645="unavailable",O1645="unavailable"),"不可评价",IF(OR(M1645="equivocal",O1645="equivocal"),"疑似",IF(AND(M1645="positive",O1645="positive"),"a",IF(O1645="positive","b",IF(M1645="positive","c","d")))))</x:f>
        <x:v>d</x:v>
      </x:c>
      <x:c r="Q1645" s="12"/>
      <x:c r="R1645" s="12" t="str">
        <x:v>negative</x:v>
      </x:c>
      <x:c r="S1645" s="12"/>
      <x:c r="T1645" s="12" t="str">
        <x:v>negative</x:v>
      </x:c>
      <x:c r="U1645" s="12" t="str">
        <x:f>IF(OR(R1645="unavailable",T1645="unavailable"),"不可评价",IF(OR(R1645="equivocal",T1645="equivocal"),"疑似",IF(AND(R1645="positive",T1645="positive"),"a",IF(T1645="positive","b",IF(R1645="positive","c","d")))))</x:f>
        <x:v>d</x:v>
      </x:c>
      <x:c r="V1645" s="12"/>
      <x:c r="W1645" s="12" t="str">
        <x:v>negative</x:v>
      </x:c>
      <x:c r="X1645" s="12"/>
      <x:c r="Y1645" s="12" t="str">
        <x:v>negative</x:v>
      </x:c>
      <x:c r="Z1645" s="12" t="str">
        <x:f>IF(OR(W1645="unavailable",Y1645="unavailable"),"不可评价",IF(OR(W1645="equivocal",Y1645="equivocal"),"疑似",IF(AND(W1645="positive",Y1645="positive"),"a",IF(Y1645="positive","b",IF(W1645="positive","c","d")))))</x:f>
        <x:v>d</x:v>
      </x:c>
      <x:c r="AA1645" s="12" t="str">
        <x:f>IF(OR(M1645="unavailable",O1645="unavailable"),"不可评价",IF(AND(OR(M1645="positive",M1645="equivocal"),OR(O1645="positive",O1645="equivocal")),"a",IF(OR(O1645="positive",O1645="equivocal"),"b",IF(OR(M1645="positive",M1645="equivocal"),"c","d"))))</x:f>
        <x:v>d</x:v>
      </x:c>
      <x:c r="AB1645" s="12" t="str">
        <x:f>IF(OR(M1645="unavailable",O1645="unavailable"),"不可评价",IF(AND(M1645="positive",O1645="positive"),"a",IF(O1645="positive","b",IF(M1645="positive","c","d"))))</x:f>
        <x:v>d</x:v>
      </x:c>
      <x:c r="AC1645" s="12" t="str">
        <x:f>IF(OR(R1645="unavailable",T1645="unavailable"),"不可评价",IF(AND(OR(R1645="positive",R1645="equivocal"),OR(T1645="positive",T1645="equivocal")),"a",IF(OR(T1645="positive",T1645="equivocal"),"b",IF(OR(R1645="positive",R1645="equivocal"),"c","d"))))</x:f>
        <x:v>d</x:v>
      </x:c>
      <x:c r="AD1645" s="12" t="str">
        <x:f>IF(OR(R1645="unavailable",T1645="unavailable"),"不可评价",IF(AND(R1645="positive",T1645="positive"),"a",IF(T1645="positive","b",IF(R1645="positive","c","d"))))</x:f>
        <x:v>d</x:v>
      </x:c>
      <x:c r="AE1645" s="12" t="str">
        <x:f>IF(OR(W1645="unavailable",Y1645="unavailable"),"不可评价",IF(AND(OR(W1645="positive",W1645="equivocal"),OR(Y1645="positive",Y1645="equivocal")),"a",IF(OR(Y1645="positive",Y1645="equivocal"),"b",IF(OR(W1645="positive",W1645="equivocal"),"c","d"))))</x:f>
        <x:v>d</x:v>
      </x:c>
      <x:c r="AF1645" s="12" t="str">
        <x:f>IF(OR(W1645="unavailable",Y1645="unavailable"),"不可评价",IF(AND(W1645="positive",Y1645="positive"),"a",IF(Y1645="positive","b",IF(W1645="positive","c","d"))))</x:f>
        <x:v>d</x:v>
      </x:c>
    </x:row>
    <x:row r="1646" ht="24" customHeight="1">
      <x:c r="A1646" s="12" t="str">
        <x:v>15588</x:v>
      </x:c>
      <x:c r="B1646" s="12" t="str">
        <x:v>21474</x:v>
      </x:c>
      <x:c r="C1646" s="21" t="n">
        <x:v>35077.46341435185</x:v>
      </x:c>
      <x:c r="D1646" s="12" t="n">
        <x:v>28</x:v>
      </x:c>
      <x:c r="E1646" s="12" t="n">
        <x:v>1</x:v>
      </x:c>
      <x:c r="F1646" s="12" t="str">
        <x:v>未记录</x:v>
      </x:c>
      <x:c r="G1646" s="12" t="n">
        <x:v>1</x:v>
      </x:c>
      <x:c r="H1646" s="12" t="str">
        <x:v>{'NORM': 100.0, 'PAC': 100.0, 'SR': 0.0}</x:v>
      </x:c>
      <x:c r="I1646" s="12" t="str">
        <x:v>[('SRTH', 100.0), ('PAC', 100.0), ('ABR', 100.0)]</x:v>
      </x:c>
      <x:c r="J1646" s="12" t="str">
        <x:v>ptbxl_database.csv；ecg_id=15588；scp_codes</x:v>
      </x:c>
      <x:c r="K1646" s="12" t="str">
        <x:v>12sl_statements.csv；ecg_id=15588；statements_ext_snomed</x:v>
      </x:c>
      <x:c r="L1646" s="12"/>
      <x:c r="M1646" s="12" t="str">
        <x:v>negative</x:v>
      </x:c>
      <x:c r="N1646" s="12"/>
      <x:c r="O1646" s="12" t="str">
        <x:v>negative</x:v>
      </x:c>
      <x:c r="P1646" s="12" t="str">
        <x:f>IF(OR(M1646="unavailable",O1646="unavailable"),"不可评价",IF(OR(M1646="equivocal",O1646="equivocal"),"疑似",IF(AND(M1646="positive",O1646="positive"),"a",IF(O1646="positive","b",IF(M1646="positive","c","d")))))</x:f>
        <x:v>d</x:v>
      </x:c>
      <x:c r="Q1646" s="12"/>
      <x:c r="R1646" s="12" t="str">
        <x:v>negative</x:v>
      </x:c>
      <x:c r="S1646" s="12"/>
      <x:c r="T1646" s="12" t="str">
        <x:v>negative</x:v>
      </x:c>
      <x:c r="U1646" s="12" t="str">
        <x:f>IF(OR(R1646="unavailable",T1646="unavailable"),"不可评价",IF(OR(R1646="equivocal",T1646="equivocal"),"疑似",IF(AND(R1646="positive",T1646="positive"),"a",IF(T1646="positive","b",IF(R1646="positive","c","d")))))</x:f>
        <x:v>d</x:v>
      </x:c>
      <x:c r="V1646" s="12"/>
      <x:c r="W1646" s="12" t="str">
        <x:v>negative</x:v>
      </x:c>
      <x:c r="X1646" s="12"/>
      <x:c r="Y1646" s="12" t="str">
        <x:v>negative</x:v>
      </x:c>
      <x:c r="Z1646" s="12" t="str">
        <x:f>IF(OR(W1646="unavailable",Y1646="unavailable"),"不可评价",IF(OR(W1646="equivocal",Y1646="equivocal"),"疑似",IF(AND(W1646="positive",Y1646="positive"),"a",IF(Y1646="positive","b",IF(W1646="positive","c","d")))))</x:f>
        <x:v>d</x:v>
      </x:c>
      <x:c r="AA1646" s="12" t="str">
        <x:f>IF(OR(M1646="unavailable",O1646="unavailable"),"不可评价",IF(AND(OR(M1646="positive",M1646="equivocal"),OR(O1646="positive",O1646="equivocal")),"a",IF(OR(O1646="positive",O1646="equivocal"),"b",IF(OR(M1646="positive",M1646="equivocal"),"c","d"))))</x:f>
        <x:v>d</x:v>
      </x:c>
      <x:c r="AB1646" s="12" t="str">
        <x:f>IF(OR(M1646="unavailable",O1646="unavailable"),"不可评价",IF(AND(M1646="positive",O1646="positive"),"a",IF(O1646="positive","b",IF(M1646="positive","c","d"))))</x:f>
        <x:v>d</x:v>
      </x:c>
      <x:c r="AC1646" s="12" t="str">
        <x:f>IF(OR(R1646="unavailable",T1646="unavailable"),"不可评价",IF(AND(OR(R1646="positive",R1646="equivocal"),OR(T1646="positive",T1646="equivocal")),"a",IF(OR(T1646="positive",T1646="equivocal"),"b",IF(OR(R1646="positive",R1646="equivocal"),"c","d"))))</x:f>
        <x:v>d</x:v>
      </x:c>
      <x:c r="AD1646" s="12" t="str">
        <x:f>IF(OR(R1646="unavailable",T1646="unavailable"),"不可评价",IF(AND(R1646="positive",T1646="positive"),"a",IF(T1646="positive","b",IF(R1646="positive","c","d"))))</x:f>
        <x:v>d</x:v>
      </x:c>
      <x:c r="AE1646" s="12" t="str">
        <x:f>IF(OR(W1646="unavailable",Y1646="unavailable"),"不可评价",IF(AND(OR(W1646="positive",W1646="equivocal"),OR(Y1646="positive",Y1646="equivocal")),"a",IF(OR(Y1646="positive",Y1646="equivocal"),"b",IF(OR(W1646="positive",W1646="equivocal"),"c","d"))))</x:f>
        <x:v>d</x:v>
      </x:c>
      <x:c r="AF1646" s="12" t="str">
        <x:f>IF(OR(W1646="unavailable",Y1646="unavailable"),"不可评价",IF(AND(W1646="positive",Y1646="positive"),"a",IF(Y1646="positive","b",IF(W1646="positive","c","d"))))</x:f>
        <x:v>d</x:v>
      </x:c>
    </x:row>
    <x:row r="1647" ht="24" customHeight="1">
      <x:c r="A1647" s="12" t="str">
        <x:v>15631</x:v>
      </x:c>
      <x:c r="B1647" s="12" t="str">
        <x:v>14931</x:v>
      </x:c>
      <x:c r="C1647" s="21" t="n">
        <x:v>35083.40511574074</x:v>
      </x:c>
      <x:c r="D1647" s="12" t="n">
        <x:v>73</x:v>
      </x:c>
      <x:c r="E1647" s="12" t="n">
        <x:v>1</x:v>
      </x:c>
      <x:c r="F1647" s="12" t="str">
        <x:v>存在</x:v>
      </x:c>
      <x:c r="G1647" s="12" t="n">
        <x:v>1</x:v>
      </x:c>
      <x:c r="H1647" s="12" t="str">
        <x:v>{'NDT': 100.0, 'SR': 0.0}</x:v>
      </x:c>
      <x:c r="I1647" s="12" t="str">
        <x:v>[('SRTH', 100.0), ('FAV', 100.0), ('ABR', 100.0)]</x:v>
      </x:c>
      <x:c r="J1647" s="12" t="str">
        <x:v>ptbxl_database.csv；ecg_id=15631；scp_codes</x:v>
      </x:c>
      <x:c r="K1647" s="12" t="str">
        <x:v>12sl_statements.csv；ecg_id=15631；statements_ext_snomed</x:v>
      </x:c>
      <x:c r="L1647" s="12"/>
      <x:c r="M1647" s="12" t="str">
        <x:v>negative</x:v>
      </x:c>
      <x:c r="N1647" s="12"/>
      <x:c r="O1647" s="12" t="str">
        <x:v>negative</x:v>
      </x:c>
      <x:c r="P1647" s="12" t="str">
        <x:f>IF(OR(M1647="unavailable",O1647="unavailable"),"不可评价",IF(OR(M1647="equivocal",O1647="equivocal"),"疑似",IF(AND(M1647="positive",O1647="positive"),"a",IF(O1647="positive","b",IF(M1647="positive","c","d")))))</x:f>
        <x:v>d</x:v>
      </x:c>
      <x:c r="Q1647" s="12"/>
      <x:c r="R1647" s="12" t="str">
        <x:v>negative</x:v>
      </x:c>
      <x:c r="S1647" s="12"/>
      <x:c r="T1647" s="12" t="str">
        <x:v>negative</x:v>
      </x:c>
      <x:c r="U1647" s="12" t="str">
        <x:f>IF(OR(R1647="unavailable",T1647="unavailable"),"不可评价",IF(OR(R1647="equivocal",T1647="equivocal"),"疑似",IF(AND(R1647="positive",T1647="positive"),"a",IF(T1647="positive","b",IF(R1647="positive","c","d")))))</x:f>
        <x:v>d</x:v>
      </x:c>
      <x:c r="V1647" s="12"/>
      <x:c r="W1647" s="12" t="str">
        <x:v>negative</x:v>
      </x:c>
      <x:c r="X1647" s="12"/>
      <x:c r="Y1647" s="12" t="str">
        <x:v>negative</x:v>
      </x:c>
      <x:c r="Z1647" s="12" t="str">
        <x:f>IF(OR(W1647="unavailable",Y1647="unavailable"),"不可评价",IF(OR(W1647="equivocal",Y1647="equivocal"),"疑似",IF(AND(W1647="positive",Y1647="positive"),"a",IF(Y1647="positive","b",IF(W1647="positive","c","d")))))</x:f>
        <x:v>d</x:v>
      </x:c>
      <x:c r="AA1647" s="12" t="str">
        <x:f>IF(OR(M1647="unavailable",O1647="unavailable"),"不可评价",IF(AND(OR(M1647="positive",M1647="equivocal"),OR(O1647="positive",O1647="equivocal")),"a",IF(OR(O1647="positive",O1647="equivocal"),"b",IF(OR(M1647="positive",M1647="equivocal"),"c","d"))))</x:f>
        <x:v>d</x:v>
      </x:c>
      <x:c r="AB1647" s="12" t="str">
        <x:f>IF(OR(M1647="unavailable",O1647="unavailable"),"不可评价",IF(AND(M1647="positive",O1647="positive"),"a",IF(O1647="positive","b",IF(M1647="positive","c","d"))))</x:f>
        <x:v>d</x:v>
      </x:c>
      <x:c r="AC1647" s="12" t="str">
        <x:f>IF(OR(R1647="unavailable",T1647="unavailable"),"不可评价",IF(AND(OR(R1647="positive",R1647="equivocal"),OR(T1647="positive",T1647="equivocal")),"a",IF(OR(T1647="positive",T1647="equivocal"),"b",IF(OR(R1647="positive",R1647="equivocal"),"c","d"))))</x:f>
        <x:v>d</x:v>
      </x:c>
      <x:c r="AD1647" s="12" t="str">
        <x:f>IF(OR(R1647="unavailable",T1647="unavailable"),"不可评价",IF(AND(R1647="positive",T1647="positive"),"a",IF(T1647="positive","b",IF(R1647="positive","c","d"))))</x:f>
        <x:v>d</x:v>
      </x:c>
      <x:c r="AE1647" s="12" t="str">
        <x:f>IF(OR(W1647="unavailable",Y1647="unavailable"),"不可评价",IF(AND(OR(W1647="positive",W1647="equivocal"),OR(Y1647="positive",Y1647="equivocal")),"a",IF(OR(Y1647="positive",Y1647="equivocal"),"b",IF(OR(W1647="positive",W1647="equivocal"),"c","d"))))</x:f>
        <x:v>d</x:v>
      </x:c>
      <x:c r="AF1647" s="12" t="str">
        <x:f>IF(OR(W1647="unavailable",Y1647="unavailable"),"不可评价",IF(AND(W1647="positive",Y1647="positive"),"a",IF(Y1647="positive","b",IF(W1647="positive","c","d"))))</x:f>
        <x:v>d</x:v>
      </x:c>
    </x:row>
    <x:row r="1648" ht="24" customHeight="1">
      <x:c r="A1648" s="12" t="str">
        <x:v>15638</x:v>
      </x:c>
      <x:c r="B1648" s="12" t="str">
        <x:v>15126</x:v>
      </x:c>
      <x:c r="C1648" s="21" t="n">
        <x:v>35085.31141203704</x:v>
      </x:c>
      <x:c r="D1648" s="12" t="n">
        <x:v>40</x:v>
      </x:c>
      <x:c r="E1648" s="12" t="n">
        <x:v>0</x:v>
      </x:c>
      <x:c r="F1648" s="12" t="str">
        <x:v>未记录</x:v>
      </x:c>
      <x:c r="G1648" s="12" t="n">
        <x:v>1</x:v>
      </x:c>
      <x:c r="H1648" s="12" t="str">
        <x:v>{'NORM': 100.0, 'SR': 0.0}</x:v>
      </x:c>
      <x:c r="I1648" s="12" t="str">
        <x:v>[('NSR', 100.0), ('NML', 100.0)]</x:v>
      </x:c>
      <x:c r="J1648" s="12" t="str">
        <x:v>ptbxl_database.csv；ecg_id=15638；scp_codes</x:v>
      </x:c>
      <x:c r="K1648" s="12" t="str">
        <x:v>12sl_statements.csv；ecg_id=15638；statements_ext_snomed</x:v>
      </x:c>
      <x:c r="L1648" s="12"/>
      <x:c r="M1648" s="12" t="str">
        <x:v>negative</x:v>
      </x:c>
      <x:c r="N1648" s="12"/>
      <x:c r="O1648" s="12" t="str">
        <x:v>negative</x:v>
      </x:c>
      <x:c r="P1648" s="12" t="str">
        <x:f>IF(OR(M1648="unavailable",O1648="unavailable"),"不可评价",IF(OR(M1648="equivocal",O1648="equivocal"),"疑似",IF(AND(M1648="positive",O1648="positive"),"a",IF(O1648="positive","b",IF(M1648="positive","c","d")))))</x:f>
        <x:v>d</x:v>
      </x:c>
      <x:c r="Q1648" s="12"/>
      <x:c r="R1648" s="12" t="str">
        <x:v>negative</x:v>
      </x:c>
      <x:c r="S1648" s="12"/>
      <x:c r="T1648" s="12" t="str">
        <x:v>negative</x:v>
      </x:c>
      <x:c r="U1648" s="12" t="str">
        <x:f>IF(OR(R1648="unavailable",T1648="unavailable"),"不可评价",IF(OR(R1648="equivocal",T1648="equivocal"),"疑似",IF(AND(R1648="positive",T1648="positive"),"a",IF(T1648="positive","b",IF(R1648="positive","c","d")))))</x:f>
        <x:v>d</x:v>
      </x:c>
      <x:c r="V1648" s="12"/>
      <x:c r="W1648" s="12" t="str">
        <x:v>negative</x:v>
      </x:c>
      <x:c r="X1648" s="12"/>
      <x:c r="Y1648" s="12" t="str">
        <x:v>negative</x:v>
      </x:c>
      <x:c r="Z1648" s="12" t="str">
        <x:f>IF(OR(W1648="unavailable",Y1648="unavailable"),"不可评价",IF(OR(W1648="equivocal",Y1648="equivocal"),"疑似",IF(AND(W1648="positive",Y1648="positive"),"a",IF(Y1648="positive","b",IF(W1648="positive","c","d")))))</x:f>
        <x:v>d</x:v>
      </x:c>
      <x:c r="AA1648" s="12" t="str">
        <x:f>IF(OR(M1648="unavailable",O1648="unavailable"),"不可评价",IF(AND(OR(M1648="positive",M1648="equivocal"),OR(O1648="positive",O1648="equivocal")),"a",IF(OR(O1648="positive",O1648="equivocal"),"b",IF(OR(M1648="positive",M1648="equivocal"),"c","d"))))</x:f>
        <x:v>d</x:v>
      </x:c>
      <x:c r="AB1648" s="12" t="str">
        <x:f>IF(OR(M1648="unavailable",O1648="unavailable"),"不可评价",IF(AND(M1648="positive",O1648="positive"),"a",IF(O1648="positive","b",IF(M1648="positive","c","d"))))</x:f>
        <x:v>d</x:v>
      </x:c>
      <x:c r="AC1648" s="12" t="str">
        <x:f>IF(OR(R1648="unavailable",T1648="unavailable"),"不可评价",IF(AND(OR(R1648="positive",R1648="equivocal"),OR(T1648="positive",T1648="equivocal")),"a",IF(OR(T1648="positive",T1648="equivocal"),"b",IF(OR(R1648="positive",R1648="equivocal"),"c","d"))))</x:f>
        <x:v>d</x:v>
      </x:c>
      <x:c r="AD1648" s="12" t="str">
        <x:f>IF(OR(R1648="unavailable",T1648="unavailable"),"不可评价",IF(AND(R1648="positive",T1648="positive"),"a",IF(T1648="positive","b",IF(R1648="positive","c","d"))))</x:f>
        <x:v>d</x:v>
      </x:c>
      <x:c r="AE1648" s="12" t="str">
        <x:f>IF(OR(W1648="unavailable",Y1648="unavailable"),"不可评价",IF(AND(OR(W1648="positive",W1648="equivocal"),OR(Y1648="positive",Y1648="equivocal")),"a",IF(OR(Y1648="positive",Y1648="equivocal"),"b",IF(OR(W1648="positive",W1648="equivocal"),"c","d"))))</x:f>
        <x:v>d</x:v>
      </x:c>
      <x:c r="AF1648" s="12" t="str">
        <x:f>IF(OR(W1648="unavailable",Y1648="unavailable"),"不可评价",IF(AND(W1648="positive",Y1648="positive"),"a",IF(Y1648="positive","b",IF(W1648="positive","c","d"))))</x:f>
        <x:v>d</x:v>
      </x:c>
    </x:row>
    <x:row r="1649" ht="39" customHeight="1">
      <x:c r="A1649" s="12" t="str">
        <x:v>15647</x:v>
      </x:c>
      <x:c r="B1649" s="12" t="str">
        <x:v>13008</x:v>
      </x:c>
      <x:c r="C1649" s="21" t="n">
        <x:v>35086.73212962963</x:v>
      </x:c>
      <x:c r="D1649" s="12" t="n">
        <x:v>88</x:v>
      </x:c>
      <x:c r="E1649" s="12" t="n">
        <x:v>0</x:v>
      </x:c>
      <x:c r="F1649" s="12" t="str">
        <x:v>未记录</x:v>
      </x:c>
      <x:c r="G1649" s="12" t="n">
        <x:v>0</x:v>
      </x:c>
      <x:c r="H1649" s="12" t="str">
        <x:v>{'ILMI': 100.0, 'ASMI': 100.0, 'ABQRS': 0.0, 'STACH': 0.0}</x:v>
      </x:c>
      <x:c r="I1649" s="12" t="str">
        <x:v>[('STACH', 100.0), ('IRBBB', 100.0), ('IMI;AU', 50.0), ('ALMI;AU', 100.0), ('AB', 100.0)]</x:v>
      </x:c>
      <x:c r="J1649" s="12" t="str">
        <x:v>ptbxl_database.csv；ecg_id=15647；scp_codes</x:v>
      </x:c>
      <x:c r="K1649" s="12" t="str">
        <x:v>12sl_statements.csv；ecg_id=15647；statements_ext_snomed</x:v>
      </x:c>
      <x:c r="L1649" s="12"/>
      <x:c r="M1649" s="12" t="str">
        <x:v>negative</x:v>
      </x:c>
      <x:c r="N1649" s="12"/>
      <x:c r="O1649" s="12" t="str">
        <x:v>negative</x:v>
      </x:c>
      <x:c r="P1649" s="12" t="str">
        <x:f>IF(OR(M1649="unavailable",O1649="unavailable"),"不可评价",IF(OR(M1649="equivocal",O1649="equivocal"),"疑似",IF(AND(M1649="positive",O1649="positive"),"a",IF(O1649="positive","b",IF(M1649="positive","c","d")))))</x:f>
        <x:v>d</x:v>
      </x:c>
      <x:c r="Q1649" s="12"/>
      <x:c r="R1649" s="12" t="str">
        <x:v>negative</x:v>
      </x:c>
      <x:c r="S1649" s="12"/>
      <x:c r="T1649" s="12" t="str">
        <x:v>negative</x:v>
      </x:c>
      <x:c r="U1649" s="12" t="str">
        <x:f>IF(OR(R1649="unavailable",T1649="unavailable"),"不可评价",IF(OR(R1649="equivocal",T1649="equivocal"),"疑似",IF(AND(R1649="positive",T1649="positive"),"a",IF(T1649="positive","b",IF(R1649="positive","c","d")))))</x:f>
        <x:v>d</x:v>
      </x:c>
      <x:c r="V1649" s="12"/>
      <x:c r="W1649" s="12" t="str">
        <x:v>negative</x:v>
      </x:c>
      <x:c r="X1649" s="12"/>
      <x:c r="Y1649" s="12" t="str">
        <x:v>negative</x:v>
      </x:c>
      <x:c r="Z1649" s="12" t="str">
        <x:f>IF(OR(W1649="unavailable",Y1649="unavailable"),"不可评价",IF(OR(W1649="equivocal",Y1649="equivocal"),"疑似",IF(AND(W1649="positive",Y1649="positive"),"a",IF(Y1649="positive","b",IF(W1649="positive","c","d")))))</x:f>
        <x:v>d</x:v>
      </x:c>
      <x:c r="AA1649" s="12" t="str">
        <x:f>IF(OR(M1649="unavailable",O1649="unavailable"),"不可评价",IF(AND(OR(M1649="positive",M1649="equivocal"),OR(O1649="positive",O1649="equivocal")),"a",IF(OR(O1649="positive",O1649="equivocal"),"b",IF(OR(M1649="positive",M1649="equivocal"),"c","d"))))</x:f>
        <x:v>d</x:v>
      </x:c>
      <x:c r="AB1649" s="12" t="str">
        <x:f>IF(OR(M1649="unavailable",O1649="unavailable"),"不可评价",IF(AND(M1649="positive",O1649="positive"),"a",IF(O1649="positive","b",IF(M1649="positive","c","d"))))</x:f>
        <x:v>d</x:v>
      </x:c>
      <x:c r="AC1649" s="12" t="str">
        <x:f>IF(OR(R1649="unavailable",T1649="unavailable"),"不可评价",IF(AND(OR(R1649="positive",R1649="equivocal"),OR(T1649="positive",T1649="equivocal")),"a",IF(OR(T1649="positive",T1649="equivocal"),"b",IF(OR(R1649="positive",R1649="equivocal"),"c","d"))))</x:f>
        <x:v>d</x:v>
      </x:c>
      <x:c r="AD1649" s="12" t="str">
        <x:f>IF(OR(R1649="unavailable",T1649="unavailable"),"不可评价",IF(AND(R1649="positive",T1649="positive"),"a",IF(T1649="positive","b",IF(R1649="positive","c","d"))))</x:f>
        <x:v>d</x:v>
      </x:c>
      <x:c r="AE1649" s="12" t="str">
        <x:f>IF(OR(W1649="unavailable",Y1649="unavailable"),"不可评价",IF(AND(OR(W1649="positive",W1649="equivocal"),OR(Y1649="positive",Y1649="equivocal")),"a",IF(OR(Y1649="positive",Y1649="equivocal"),"b",IF(OR(W1649="positive",W1649="equivocal"),"c","d"))))</x:f>
        <x:v>d</x:v>
      </x:c>
      <x:c r="AF1649" s="12" t="str">
        <x:f>IF(OR(W1649="unavailable",Y1649="unavailable"),"不可评价",IF(AND(W1649="positive",Y1649="positive"),"a",IF(Y1649="positive","b",IF(W1649="positive","c","d"))))</x:f>
        <x:v>d</x:v>
      </x:c>
    </x:row>
    <x:row r="1650" ht="24" customHeight="1">
      <x:c r="A1650" s="12" t="str">
        <x:v>15652</x:v>
      </x:c>
      <x:c r="B1650" s="12" t="str">
        <x:v>4427</x:v>
      </x:c>
      <x:c r="C1650" s="21" t="n">
        <x:v>35087.44857638889</x:v>
      </x:c>
      <x:c r="D1650" s="12" t="n">
        <x:v>62</x:v>
      </x:c>
      <x:c r="E1650" s="12" t="n">
        <x:v>0</x:v>
      </x:c>
      <x:c r="F1650" s="12" t="str">
        <x:v>未记录</x:v>
      </x:c>
      <x:c r="G1650" s="12" t="n">
        <x:v>1</x:v>
      </x:c>
      <x:c r="H1650" s="12" t="str">
        <x:v>{'NORM': 80.0, 'LVOLT': 0.0, 'PVC': 0.0, 'SR': 0.0}</x:v>
      </x:c>
      <x:c r="I1650" s="12" t="str">
        <x:v>[('SRTH', 100.0), ('PVC', 100.0), ('ABR', 100.0)]</x:v>
      </x:c>
      <x:c r="J1650" s="12" t="str">
        <x:v>ptbxl_database.csv；ecg_id=15652；scp_codes</x:v>
      </x:c>
      <x:c r="K1650" s="12" t="str">
        <x:v>12sl_statements.csv；ecg_id=15652；statements_ext_snomed</x:v>
      </x:c>
      <x:c r="L1650" s="12"/>
      <x:c r="M1650" s="12" t="str">
        <x:v>negative</x:v>
      </x:c>
      <x:c r="N1650" s="12"/>
      <x:c r="O1650" s="12" t="str">
        <x:v>negative</x:v>
      </x:c>
      <x:c r="P1650" s="12" t="str">
        <x:f>IF(OR(M1650="unavailable",O1650="unavailable"),"不可评价",IF(OR(M1650="equivocal",O1650="equivocal"),"疑似",IF(AND(M1650="positive",O1650="positive"),"a",IF(O1650="positive","b",IF(M1650="positive","c","d")))))</x:f>
        <x:v>d</x:v>
      </x:c>
      <x:c r="Q1650" s="12"/>
      <x:c r="R1650" s="12" t="str">
        <x:v>negative</x:v>
      </x:c>
      <x:c r="S1650" s="12"/>
      <x:c r="T1650" s="12" t="str">
        <x:v>negative</x:v>
      </x:c>
      <x:c r="U1650" s="12" t="str">
        <x:f>IF(OR(R1650="unavailable",T1650="unavailable"),"不可评价",IF(OR(R1650="equivocal",T1650="equivocal"),"疑似",IF(AND(R1650="positive",T1650="positive"),"a",IF(T1650="positive","b",IF(R1650="positive","c","d")))))</x:f>
        <x:v>d</x:v>
      </x:c>
      <x:c r="V1650" s="12"/>
      <x:c r="W1650" s="12" t="str">
        <x:v>negative</x:v>
      </x:c>
      <x:c r="X1650" s="12"/>
      <x:c r="Y1650" s="12" t="str">
        <x:v>negative</x:v>
      </x:c>
      <x:c r="Z1650" s="12" t="str">
        <x:f>IF(OR(W1650="unavailable",Y1650="unavailable"),"不可评价",IF(OR(W1650="equivocal",Y1650="equivocal"),"疑似",IF(AND(W1650="positive",Y1650="positive"),"a",IF(Y1650="positive","b",IF(W1650="positive","c","d")))))</x:f>
        <x:v>d</x:v>
      </x:c>
      <x:c r="AA1650" s="12" t="str">
        <x:f>IF(OR(M1650="unavailable",O1650="unavailable"),"不可评价",IF(AND(OR(M1650="positive",M1650="equivocal"),OR(O1650="positive",O1650="equivocal")),"a",IF(OR(O1650="positive",O1650="equivocal"),"b",IF(OR(M1650="positive",M1650="equivocal"),"c","d"))))</x:f>
        <x:v>d</x:v>
      </x:c>
      <x:c r="AB1650" s="12" t="str">
        <x:f>IF(OR(M1650="unavailable",O1650="unavailable"),"不可评价",IF(AND(M1650="positive",O1650="positive"),"a",IF(O1650="positive","b",IF(M1650="positive","c","d"))))</x:f>
        <x:v>d</x:v>
      </x:c>
      <x:c r="AC1650" s="12" t="str">
        <x:f>IF(OR(R1650="unavailable",T1650="unavailable"),"不可评价",IF(AND(OR(R1650="positive",R1650="equivocal"),OR(T1650="positive",T1650="equivocal")),"a",IF(OR(T1650="positive",T1650="equivocal"),"b",IF(OR(R1650="positive",R1650="equivocal"),"c","d"))))</x:f>
        <x:v>d</x:v>
      </x:c>
      <x:c r="AD1650" s="12" t="str">
        <x:f>IF(OR(R1650="unavailable",T1650="unavailable"),"不可评价",IF(AND(R1650="positive",T1650="positive"),"a",IF(T1650="positive","b",IF(R1650="positive","c","d"))))</x:f>
        <x:v>d</x:v>
      </x:c>
      <x:c r="AE1650" s="12" t="str">
        <x:f>IF(OR(W1650="unavailable",Y1650="unavailable"),"不可评价",IF(AND(OR(W1650="positive",W1650="equivocal"),OR(Y1650="positive",Y1650="equivocal")),"a",IF(OR(Y1650="positive",Y1650="equivocal"),"b",IF(OR(W1650="positive",W1650="equivocal"),"c","d"))))</x:f>
        <x:v>d</x:v>
      </x:c>
      <x:c r="AF1650" s="12" t="str">
        <x:f>IF(OR(W1650="unavailable",Y1650="unavailable"),"不可评价",IF(AND(W1650="positive",Y1650="positive"),"a",IF(Y1650="positive","b",IF(W1650="positive","c","d"))))</x:f>
        <x:v>d</x:v>
      </x:c>
    </x:row>
    <x:row r="1651" ht="24" customHeight="1">
      <x:c r="A1651" s="12" t="str">
        <x:v>15674</x:v>
      </x:c>
      <x:c r="B1651" s="12" t="str">
        <x:v>3316</x:v>
      </x:c>
      <x:c r="C1651" s="21" t="n">
        <x:v>35090.70658564815</x:v>
      </x:c>
      <x:c r="D1651" s="12" t="n">
        <x:v>76</x:v>
      </x:c>
      <x:c r="E1651" s="12" t="n">
        <x:v>1</x:v>
      </x:c>
      <x:c r="F1651" s="12" t="str">
        <x:v>未记录</x:v>
      </x:c>
      <x:c r="G1651" s="12" t="n">
        <x:v>1</x:v>
      </x:c>
      <x:c r="H1651" s="12" t="str">
        <x:v>{'NORM': 100.0, 'SR': 0.0}</x:v>
      </x:c>
      <x:c r="I1651" s="12" t="str">
        <x:v>[('NSR', 100.0), ('NML', 100.0)]</x:v>
      </x:c>
      <x:c r="J1651" s="12" t="str">
        <x:v>ptbxl_database.csv；ecg_id=15674；scp_codes</x:v>
      </x:c>
      <x:c r="K1651" s="12" t="str">
        <x:v>12sl_statements.csv；ecg_id=15674；statements_ext_snomed</x:v>
      </x:c>
      <x:c r="L1651" s="12"/>
      <x:c r="M1651" s="12" t="str">
        <x:v>negative</x:v>
      </x:c>
      <x:c r="N1651" s="12"/>
      <x:c r="O1651" s="12" t="str">
        <x:v>negative</x:v>
      </x:c>
      <x:c r="P1651" s="12" t="str">
        <x:f>IF(OR(M1651="unavailable",O1651="unavailable"),"不可评价",IF(OR(M1651="equivocal",O1651="equivocal"),"疑似",IF(AND(M1651="positive",O1651="positive"),"a",IF(O1651="positive","b",IF(M1651="positive","c","d")))))</x:f>
        <x:v>d</x:v>
      </x:c>
      <x:c r="Q1651" s="12"/>
      <x:c r="R1651" s="12" t="str">
        <x:v>negative</x:v>
      </x:c>
      <x:c r="S1651" s="12"/>
      <x:c r="T1651" s="12" t="str">
        <x:v>negative</x:v>
      </x:c>
      <x:c r="U1651" s="12" t="str">
        <x:f>IF(OR(R1651="unavailable",T1651="unavailable"),"不可评价",IF(OR(R1651="equivocal",T1651="equivocal"),"疑似",IF(AND(R1651="positive",T1651="positive"),"a",IF(T1651="positive","b",IF(R1651="positive","c","d")))))</x:f>
        <x:v>d</x:v>
      </x:c>
      <x:c r="V1651" s="12"/>
      <x:c r="W1651" s="12" t="str">
        <x:v>negative</x:v>
      </x:c>
      <x:c r="X1651" s="12"/>
      <x:c r="Y1651" s="12" t="str">
        <x:v>negative</x:v>
      </x:c>
      <x:c r="Z1651" s="12" t="str">
        <x:f>IF(OR(W1651="unavailable",Y1651="unavailable"),"不可评价",IF(OR(W1651="equivocal",Y1651="equivocal"),"疑似",IF(AND(W1651="positive",Y1651="positive"),"a",IF(Y1651="positive","b",IF(W1651="positive","c","d")))))</x:f>
        <x:v>d</x:v>
      </x:c>
      <x:c r="AA1651" s="12" t="str">
        <x:f>IF(OR(M1651="unavailable",O1651="unavailable"),"不可评价",IF(AND(OR(M1651="positive",M1651="equivocal"),OR(O1651="positive",O1651="equivocal")),"a",IF(OR(O1651="positive",O1651="equivocal"),"b",IF(OR(M1651="positive",M1651="equivocal"),"c","d"))))</x:f>
        <x:v>d</x:v>
      </x:c>
      <x:c r="AB1651" s="12" t="str">
        <x:f>IF(OR(M1651="unavailable",O1651="unavailable"),"不可评价",IF(AND(M1651="positive",O1651="positive"),"a",IF(O1651="positive","b",IF(M1651="positive","c","d"))))</x:f>
        <x:v>d</x:v>
      </x:c>
      <x:c r="AC1651" s="12" t="str">
        <x:f>IF(OR(R1651="unavailable",T1651="unavailable"),"不可评价",IF(AND(OR(R1651="positive",R1651="equivocal"),OR(T1651="positive",T1651="equivocal")),"a",IF(OR(T1651="positive",T1651="equivocal"),"b",IF(OR(R1651="positive",R1651="equivocal"),"c","d"))))</x:f>
        <x:v>d</x:v>
      </x:c>
      <x:c r="AD1651" s="12" t="str">
        <x:f>IF(OR(R1651="unavailable",T1651="unavailable"),"不可评价",IF(AND(R1651="positive",T1651="positive"),"a",IF(T1651="positive","b",IF(R1651="positive","c","d"))))</x:f>
        <x:v>d</x:v>
      </x:c>
      <x:c r="AE1651" s="12" t="str">
        <x:f>IF(OR(W1651="unavailable",Y1651="unavailable"),"不可评价",IF(AND(OR(W1651="positive",W1651="equivocal"),OR(Y1651="positive",Y1651="equivocal")),"a",IF(OR(Y1651="positive",Y1651="equivocal"),"b",IF(OR(W1651="positive",W1651="equivocal"),"c","d"))))</x:f>
        <x:v>d</x:v>
      </x:c>
      <x:c r="AF1651" s="12" t="str">
        <x:f>IF(OR(W1651="unavailable",Y1651="unavailable"),"不可评价",IF(AND(W1651="positive",Y1651="positive"),"a",IF(Y1651="positive","b",IF(W1651="positive","c","d"))))</x:f>
        <x:v>d</x:v>
      </x:c>
    </x:row>
    <x:row r="1652" ht="24" customHeight="1">
      <x:c r="A1652" s="12" t="str">
        <x:v>15677</x:v>
      </x:c>
      <x:c r="B1652" s="12" t="str">
        <x:v>13240</x:v>
      </x:c>
      <x:c r="C1652" s="21" t="n">
        <x:v>35091.49548611111</x:v>
      </x:c>
      <x:c r="D1652" s="12" t="n">
        <x:v>18</x:v>
      </x:c>
      <x:c r="E1652" s="12" t="n">
        <x:v>0</x:v>
      </x:c>
      <x:c r="F1652" s="12" t="str">
        <x:v>未记录</x:v>
      </x:c>
      <x:c r="G1652" s="12" t="n">
        <x:v>1</x:v>
      </x:c>
      <x:c r="H1652" s="12" t="str">
        <x:v>{'NORM': 80.0, 'SARRH': 0.0}</x:v>
      </x:c>
      <x:c r="I1652" s="12" t="str">
        <x:v>[('NSR', 100.0), ('SAR', 100.0), ('NML', 100.0)]</x:v>
      </x:c>
      <x:c r="J1652" s="12" t="str">
        <x:v>ptbxl_database.csv；ecg_id=15677；scp_codes</x:v>
      </x:c>
      <x:c r="K1652" s="12" t="str">
        <x:v>12sl_statements.csv；ecg_id=15677；statements_ext_snomed</x:v>
      </x:c>
      <x:c r="L1652" s="12"/>
      <x:c r="M1652" s="12" t="str">
        <x:v>negative</x:v>
      </x:c>
      <x:c r="N1652" s="12"/>
      <x:c r="O1652" s="12" t="str">
        <x:v>negative</x:v>
      </x:c>
      <x:c r="P1652" s="12" t="str">
        <x:f>IF(OR(M1652="unavailable",O1652="unavailable"),"不可评价",IF(OR(M1652="equivocal",O1652="equivocal"),"疑似",IF(AND(M1652="positive",O1652="positive"),"a",IF(O1652="positive","b",IF(M1652="positive","c","d")))))</x:f>
        <x:v>d</x:v>
      </x:c>
      <x:c r="Q1652" s="12"/>
      <x:c r="R1652" s="12" t="str">
        <x:v>negative</x:v>
      </x:c>
      <x:c r="S1652" s="12"/>
      <x:c r="T1652" s="12" t="str">
        <x:v>negative</x:v>
      </x:c>
      <x:c r="U1652" s="12" t="str">
        <x:f>IF(OR(R1652="unavailable",T1652="unavailable"),"不可评价",IF(OR(R1652="equivocal",T1652="equivocal"),"疑似",IF(AND(R1652="positive",T1652="positive"),"a",IF(T1652="positive","b",IF(R1652="positive","c","d")))))</x:f>
        <x:v>d</x:v>
      </x:c>
      <x:c r="V1652" s="12"/>
      <x:c r="W1652" s="12" t="str">
        <x:v>negative</x:v>
      </x:c>
      <x:c r="X1652" s="12"/>
      <x:c r="Y1652" s="12" t="str">
        <x:v>negative</x:v>
      </x:c>
      <x:c r="Z1652" s="12" t="str">
        <x:f>IF(OR(W1652="unavailable",Y1652="unavailable"),"不可评价",IF(OR(W1652="equivocal",Y1652="equivocal"),"疑似",IF(AND(W1652="positive",Y1652="positive"),"a",IF(Y1652="positive","b",IF(W1652="positive","c","d")))))</x:f>
        <x:v>d</x:v>
      </x:c>
      <x:c r="AA1652" s="12" t="str">
        <x:f>IF(OR(M1652="unavailable",O1652="unavailable"),"不可评价",IF(AND(OR(M1652="positive",M1652="equivocal"),OR(O1652="positive",O1652="equivocal")),"a",IF(OR(O1652="positive",O1652="equivocal"),"b",IF(OR(M1652="positive",M1652="equivocal"),"c","d"))))</x:f>
        <x:v>d</x:v>
      </x:c>
      <x:c r="AB1652" s="12" t="str">
        <x:f>IF(OR(M1652="unavailable",O1652="unavailable"),"不可评价",IF(AND(M1652="positive",O1652="positive"),"a",IF(O1652="positive","b",IF(M1652="positive","c","d"))))</x:f>
        <x:v>d</x:v>
      </x:c>
      <x:c r="AC1652" s="12" t="str">
        <x:f>IF(OR(R1652="unavailable",T1652="unavailable"),"不可评价",IF(AND(OR(R1652="positive",R1652="equivocal"),OR(T1652="positive",T1652="equivocal")),"a",IF(OR(T1652="positive",T1652="equivocal"),"b",IF(OR(R1652="positive",R1652="equivocal"),"c","d"))))</x:f>
        <x:v>d</x:v>
      </x:c>
      <x:c r="AD1652" s="12" t="str">
        <x:f>IF(OR(R1652="unavailable",T1652="unavailable"),"不可评价",IF(AND(R1652="positive",T1652="positive"),"a",IF(T1652="positive","b",IF(R1652="positive","c","d"))))</x:f>
        <x:v>d</x:v>
      </x:c>
      <x:c r="AE1652" s="12" t="str">
        <x:f>IF(OR(W1652="unavailable",Y1652="unavailable"),"不可评价",IF(AND(OR(W1652="positive",W1652="equivocal"),OR(Y1652="positive",Y1652="equivocal")),"a",IF(OR(Y1652="positive",Y1652="equivocal"),"b",IF(OR(W1652="positive",W1652="equivocal"),"c","d"))))</x:f>
        <x:v>d</x:v>
      </x:c>
      <x:c r="AF1652" s="12" t="str">
        <x:f>IF(OR(W1652="unavailable",Y1652="unavailable"),"不可评价",IF(AND(W1652="positive",Y1652="positive"),"a",IF(Y1652="positive","b",IF(W1652="positive","c","d"))))</x:f>
        <x:v>d</x:v>
      </x:c>
    </x:row>
    <x:row r="1653" ht="24" customHeight="1">
      <x:c r="A1653" s="12" t="str">
        <x:v>15689</x:v>
      </x:c>
      <x:c r="B1653" s="12" t="str">
        <x:v>3779</x:v>
      </x:c>
      <x:c r="C1653" s="21" t="n">
        <x:v>35092.53457175926</x:v>
      </x:c>
      <x:c r="D1653" s="12" t="n">
        <x:v>66</x:v>
      </x:c>
      <x:c r="E1653" s="12" t="n">
        <x:v>0</x:v>
      </x:c>
      <x:c r="F1653" s="12" t="str">
        <x:v>未记录</x:v>
      </x:c>
      <x:c r="G1653" s="12" t="n">
        <x:v>1</x:v>
      </x:c>
      <x:c r="H1653" s="12" t="str">
        <x:v>{'NORM': 50.0, 'IVCD': 100.0}</x:v>
      </x:c>
      <x:c r="I1653" s="12" t="str">
        <x:v>[('MSBRAD', 100.0), ('WPW', 100.0), ('AB', 100.0)]</x:v>
      </x:c>
      <x:c r="J1653" s="12" t="str">
        <x:v>ptbxl_database.csv；ecg_id=15689；scp_codes</x:v>
      </x:c>
      <x:c r="K1653" s="12" t="str">
        <x:v>12sl_statements.csv；ecg_id=15689；statements_ext_snomed</x:v>
      </x:c>
      <x:c r="L1653" s="12"/>
      <x:c r="M1653" s="12" t="str">
        <x:v>negative</x:v>
      </x:c>
      <x:c r="N1653" s="12"/>
      <x:c r="O1653" s="12" t="str">
        <x:v>negative</x:v>
      </x:c>
      <x:c r="P1653" s="12" t="str">
        <x:f>IF(OR(M1653="unavailable",O1653="unavailable"),"不可评价",IF(OR(M1653="equivocal",O1653="equivocal"),"疑似",IF(AND(M1653="positive",O1653="positive"),"a",IF(O1653="positive","b",IF(M1653="positive","c","d")))))</x:f>
        <x:v>d</x:v>
      </x:c>
      <x:c r="Q1653" s="12"/>
      <x:c r="R1653" s="12" t="str">
        <x:v>negative</x:v>
      </x:c>
      <x:c r="S1653" s="12"/>
      <x:c r="T1653" s="12" t="str">
        <x:v>negative</x:v>
      </x:c>
      <x:c r="U1653" s="12" t="str">
        <x:f>IF(OR(R1653="unavailable",T1653="unavailable"),"不可评价",IF(OR(R1653="equivocal",T1653="equivocal"),"疑似",IF(AND(R1653="positive",T1653="positive"),"a",IF(T1653="positive","b",IF(R1653="positive","c","d")))))</x:f>
        <x:v>d</x:v>
      </x:c>
      <x:c r="V1653" s="12"/>
      <x:c r="W1653" s="12" t="str">
        <x:v>negative</x:v>
      </x:c>
      <x:c r="X1653" s="12"/>
      <x:c r="Y1653" s="12" t="str">
        <x:v>negative</x:v>
      </x:c>
      <x:c r="Z1653" s="12" t="str">
        <x:f>IF(OR(W1653="unavailable",Y1653="unavailable"),"不可评价",IF(OR(W1653="equivocal",Y1653="equivocal"),"疑似",IF(AND(W1653="positive",Y1653="positive"),"a",IF(Y1653="positive","b",IF(W1653="positive","c","d")))))</x:f>
        <x:v>d</x:v>
      </x:c>
      <x:c r="AA1653" s="12" t="str">
        <x:f>IF(OR(M1653="unavailable",O1653="unavailable"),"不可评价",IF(AND(OR(M1653="positive",M1653="equivocal"),OR(O1653="positive",O1653="equivocal")),"a",IF(OR(O1653="positive",O1653="equivocal"),"b",IF(OR(M1653="positive",M1653="equivocal"),"c","d"))))</x:f>
        <x:v>d</x:v>
      </x:c>
      <x:c r="AB1653" s="12" t="str">
        <x:f>IF(OR(M1653="unavailable",O1653="unavailable"),"不可评价",IF(AND(M1653="positive",O1653="positive"),"a",IF(O1653="positive","b",IF(M1653="positive","c","d"))))</x:f>
        <x:v>d</x:v>
      </x:c>
      <x:c r="AC1653" s="12" t="str">
        <x:f>IF(OR(R1653="unavailable",T1653="unavailable"),"不可评价",IF(AND(OR(R1653="positive",R1653="equivocal"),OR(T1653="positive",T1653="equivocal")),"a",IF(OR(T1653="positive",T1653="equivocal"),"b",IF(OR(R1653="positive",R1653="equivocal"),"c","d"))))</x:f>
        <x:v>d</x:v>
      </x:c>
      <x:c r="AD1653" s="12" t="str">
        <x:f>IF(OR(R1653="unavailable",T1653="unavailable"),"不可评价",IF(AND(R1653="positive",T1653="positive"),"a",IF(T1653="positive","b",IF(R1653="positive","c","d"))))</x:f>
        <x:v>d</x:v>
      </x:c>
      <x:c r="AE1653" s="12" t="str">
        <x:f>IF(OR(W1653="unavailable",Y1653="unavailable"),"不可评价",IF(AND(OR(W1653="positive",W1653="equivocal"),OR(Y1653="positive",Y1653="equivocal")),"a",IF(OR(Y1653="positive",Y1653="equivocal"),"b",IF(OR(W1653="positive",W1653="equivocal"),"c","d"))))</x:f>
        <x:v>d</x:v>
      </x:c>
      <x:c r="AF1653" s="12" t="str">
        <x:f>IF(OR(W1653="unavailable",Y1653="unavailable"),"不可评价",IF(AND(W1653="positive",Y1653="positive"),"a",IF(Y1653="positive","b",IF(W1653="positive","c","d"))))</x:f>
        <x:v>d</x:v>
      </x:c>
    </x:row>
    <x:row r="1654" ht="24" customHeight="1">
      <x:c r="A1654" s="12" t="str">
        <x:v>15715</x:v>
      </x:c>
      <x:c r="B1654" s="12" t="str">
        <x:v>21508</x:v>
      </x:c>
      <x:c r="C1654" s="21" t="n">
        <x:v>35099.39702546296</x:v>
      </x:c>
      <x:c r="D1654" s="12" t="n">
        <x:v>45</x:v>
      </x:c>
      <x:c r="E1654" s="12" t="n">
        <x:v>0</x:v>
      </x:c>
      <x:c r="F1654" s="12" t="str">
        <x:v>未记录</x:v>
      </x:c>
      <x:c r="G1654" s="12" t="n">
        <x:v>1</x:v>
      </x:c>
      <x:c r="H1654" s="12" t="str">
        <x:v>{'NORM': 80.0, 'SR': 0.0}</x:v>
      </x:c>
      <x:c r="I1654" s="12" t="str">
        <x:v>[('NSR', 100.0), ('NML', 100.0)]</x:v>
      </x:c>
      <x:c r="J1654" s="12" t="str">
        <x:v>ptbxl_database.csv；ecg_id=15715；scp_codes</x:v>
      </x:c>
      <x:c r="K1654" s="12" t="str">
        <x:v>12sl_statements.csv；ecg_id=15715；statements_ext_snomed</x:v>
      </x:c>
      <x:c r="L1654" s="12"/>
      <x:c r="M1654" s="12" t="str">
        <x:v>negative</x:v>
      </x:c>
      <x:c r="N1654" s="12"/>
      <x:c r="O1654" s="12" t="str">
        <x:v>negative</x:v>
      </x:c>
      <x:c r="P1654" s="12" t="str">
        <x:f>IF(OR(M1654="unavailable",O1654="unavailable"),"不可评价",IF(OR(M1654="equivocal",O1654="equivocal"),"疑似",IF(AND(M1654="positive",O1654="positive"),"a",IF(O1654="positive","b",IF(M1654="positive","c","d")))))</x:f>
        <x:v>d</x:v>
      </x:c>
      <x:c r="Q1654" s="12"/>
      <x:c r="R1654" s="12" t="str">
        <x:v>negative</x:v>
      </x:c>
      <x:c r="S1654" s="12"/>
      <x:c r="T1654" s="12" t="str">
        <x:v>negative</x:v>
      </x:c>
      <x:c r="U1654" s="12" t="str">
        <x:f>IF(OR(R1654="unavailable",T1654="unavailable"),"不可评价",IF(OR(R1654="equivocal",T1654="equivocal"),"疑似",IF(AND(R1654="positive",T1654="positive"),"a",IF(T1654="positive","b",IF(R1654="positive","c","d")))))</x:f>
        <x:v>d</x:v>
      </x:c>
      <x:c r="V1654" s="12"/>
      <x:c r="W1654" s="12" t="str">
        <x:v>negative</x:v>
      </x:c>
      <x:c r="X1654" s="12"/>
      <x:c r="Y1654" s="12" t="str">
        <x:v>negative</x:v>
      </x:c>
      <x:c r="Z1654" s="12" t="str">
        <x:f>IF(OR(W1654="unavailable",Y1654="unavailable"),"不可评价",IF(OR(W1654="equivocal",Y1654="equivocal"),"疑似",IF(AND(W1654="positive",Y1654="positive"),"a",IF(Y1654="positive","b",IF(W1654="positive","c","d")))))</x:f>
        <x:v>d</x:v>
      </x:c>
      <x:c r="AA1654" s="12" t="str">
        <x:f>IF(OR(M1654="unavailable",O1654="unavailable"),"不可评价",IF(AND(OR(M1654="positive",M1654="equivocal"),OR(O1654="positive",O1654="equivocal")),"a",IF(OR(O1654="positive",O1654="equivocal"),"b",IF(OR(M1654="positive",M1654="equivocal"),"c","d"))))</x:f>
        <x:v>d</x:v>
      </x:c>
      <x:c r="AB1654" s="12" t="str">
        <x:f>IF(OR(M1654="unavailable",O1654="unavailable"),"不可评价",IF(AND(M1654="positive",O1654="positive"),"a",IF(O1654="positive","b",IF(M1654="positive","c","d"))))</x:f>
        <x:v>d</x:v>
      </x:c>
      <x:c r="AC1654" s="12" t="str">
        <x:f>IF(OR(R1654="unavailable",T1654="unavailable"),"不可评价",IF(AND(OR(R1654="positive",R1654="equivocal"),OR(T1654="positive",T1654="equivocal")),"a",IF(OR(T1654="positive",T1654="equivocal"),"b",IF(OR(R1654="positive",R1654="equivocal"),"c","d"))))</x:f>
        <x:v>d</x:v>
      </x:c>
      <x:c r="AD1654" s="12" t="str">
        <x:f>IF(OR(R1654="unavailable",T1654="unavailable"),"不可评价",IF(AND(R1654="positive",T1654="positive"),"a",IF(T1654="positive","b",IF(R1654="positive","c","d"))))</x:f>
        <x:v>d</x:v>
      </x:c>
      <x:c r="AE1654" s="12" t="str">
        <x:f>IF(OR(W1654="unavailable",Y1654="unavailable"),"不可评价",IF(AND(OR(W1654="positive",W1654="equivocal"),OR(Y1654="positive",Y1654="equivocal")),"a",IF(OR(Y1654="positive",Y1654="equivocal"),"b",IF(OR(W1654="positive",W1654="equivocal"),"c","d"))))</x:f>
        <x:v>d</x:v>
      </x:c>
      <x:c r="AF1654" s="12" t="str">
        <x:f>IF(OR(W1654="unavailable",Y1654="unavailable"),"不可评价",IF(AND(W1654="positive",Y1654="positive"),"a",IF(Y1654="positive","b",IF(W1654="positive","c","d"))))</x:f>
        <x:v>d</x:v>
      </x:c>
    </x:row>
    <x:row r="1655" ht="24" customHeight="1">
      <x:c r="A1655" s="12" t="str">
        <x:v>15723</x:v>
      </x:c>
      <x:c r="B1655" s="12" t="str">
        <x:v>17691</x:v>
      </x:c>
      <x:c r="C1655" s="21" t="n">
        <x:v>35100.55032407407</x:v>
      </x:c>
      <x:c r="D1655" s="12" t="n">
        <x:v>72</x:v>
      </x:c>
      <x:c r="E1655" s="12" t="n">
        <x:v>0</x:v>
      </x:c>
      <x:c r="F1655" s="12" t="str">
        <x:v>存在</x:v>
      </x:c>
      <x:c r="G1655" s="12" t="n">
        <x:v>0</x:v>
      </x:c>
      <x:c r="H1655" s="12" t="str">
        <x:v>{'NORM': 100.0, 'SR': 0.0}</x:v>
      </x:c>
      <x:c r="I1655" s="12" t="str">
        <x:v>[('SBRAD', 100.0), ('ABR', 100.0)]</x:v>
      </x:c>
      <x:c r="J1655" s="12" t="str">
        <x:v>ptbxl_database.csv；ecg_id=15723；scp_codes</x:v>
      </x:c>
      <x:c r="K1655" s="12" t="str">
        <x:v>12sl_statements.csv；ecg_id=15723；statements_ext_snomed</x:v>
      </x:c>
      <x:c r="L1655" s="12"/>
      <x:c r="M1655" s="12" t="str">
        <x:v>negative</x:v>
      </x:c>
      <x:c r="N1655" s="12"/>
      <x:c r="O1655" s="12" t="str">
        <x:v>negative</x:v>
      </x:c>
      <x:c r="P1655" s="12" t="str">
        <x:f>IF(OR(M1655="unavailable",O1655="unavailable"),"不可评价",IF(OR(M1655="equivocal",O1655="equivocal"),"疑似",IF(AND(M1655="positive",O1655="positive"),"a",IF(O1655="positive","b",IF(M1655="positive","c","d")))))</x:f>
        <x:v>d</x:v>
      </x:c>
      <x:c r="Q1655" s="12"/>
      <x:c r="R1655" s="12" t="str">
        <x:v>negative</x:v>
      </x:c>
      <x:c r="S1655" s="12"/>
      <x:c r="T1655" s="12" t="str">
        <x:v>negative</x:v>
      </x:c>
      <x:c r="U1655" s="12" t="str">
        <x:f>IF(OR(R1655="unavailable",T1655="unavailable"),"不可评价",IF(OR(R1655="equivocal",T1655="equivocal"),"疑似",IF(AND(R1655="positive",T1655="positive"),"a",IF(T1655="positive","b",IF(R1655="positive","c","d")))))</x:f>
        <x:v>d</x:v>
      </x:c>
      <x:c r="V1655" s="12"/>
      <x:c r="W1655" s="12" t="str">
        <x:v>negative</x:v>
      </x:c>
      <x:c r="X1655" s="12"/>
      <x:c r="Y1655" s="12" t="str">
        <x:v>negative</x:v>
      </x:c>
      <x:c r="Z1655" s="12" t="str">
        <x:f>IF(OR(W1655="unavailable",Y1655="unavailable"),"不可评价",IF(OR(W1655="equivocal",Y1655="equivocal"),"疑似",IF(AND(W1655="positive",Y1655="positive"),"a",IF(Y1655="positive","b",IF(W1655="positive","c","d")))))</x:f>
        <x:v>d</x:v>
      </x:c>
      <x:c r="AA1655" s="12" t="str">
        <x:f>IF(OR(M1655="unavailable",O1655="unavailable"),"不可评价",IF(AND(OR(M1655="positive",M1655="equivocal"),OR(O1655="positive",O1655="equivocal")),"a",IF(OR(O1655="positive",O1655="equivocal"),"b",IF(OR(M1655="positive",M1655="equivocal"),"c","d"))))</x:f>
        <x:v>d</x:v>
      </x:c>
      <x:c r="AB1655" s="12" t="str">
        <x:f>IF(OR(M1655="unavailable",O1655="unavailable"),"不可评价",IF(AND(M1655="positive",O1655="positive"),"a",IF(O1655="positive","b",IF(M1655="positive","c","d"))))</x:f>
        <x:v>d</x:v>
      </x:c>
      <x:c r="AC1655" s="12" t="str">
        <x:f>IF(OR(R1655="unavailable",T1655="unavailable"),"不可评价",IF(AND(OR(R1655="positive",R1655="equivocal"),OR(T1655="positive",T1655="equivocal")),"a",IF(OR(T1655="positive",T1655="equivocal"),"b",IF(OR(R1655="positive",R1655="equivocal"),"c","d"))))</x:f>
        <x:v>d</x:v>
      </x:c>
      <x:c r="AD1655" s="12" t="str">
        <x:f>IF(OR(R1655="unavailable",T1655="unavailable"),"不可评价",IF(AND(R1655="positive",T1655="positive"),"a",IF(T1655="positive","b",IF(R1655="positive","c","d"))))</x:f>
        <x:v>d</x:v>
      </x:c>
      <x:c r="AE1655" s="12" t="str">
        <x:f>IF(OR(W1655="unavailable",Y1655="unavailable"),"不可评价",IF(AND(OR(W1655="positive",W1655="equivocal"),OR(Y1655="positive",Y1655="equivocal")),"a",IF(OR(Y1655="positive",Y1655="equivocal"),"b",IF(OR(W1655="positive",W1655="equivocal"),"c","d"))))</x:f>
        <x:v>d</x:v>
      </x:c>
      <x:c r="AF1655" s="12" t="str">
        <x:f>IF(OR(W1655="unavailable",Y1655="unavailable"),"不可评价",IF(AND(W1655="positive",Y1655="positive"),"a",IF(Y1655="positive","b",IF(W1655="positive","c","d"))))</x:f>
        <x:v>d</x:v>
      </x:c>
    </x:row>
    <x:row r="1656" ht="24" customHeight="1">
      <x:c r="A1656" s="12" t="str">
        <x:v>15729</x:v>
      </x:c>
      <x:c r="B1656" s="12" t="str">
        <x:v>5955</x:v>
      </x:c>
      <x:c r="C1656" s="21" t="n">
        <x:v>35102.50981481482</x:v>
      </x:c>
      <x:c r="D1656" s="12" t="n">
        <x:v>57</x:v>
      </x:c>
      <x:c r="E1656" s="12" t="n">
        <x:v>1</x:v>
      </x:c>
      <x:c r="F1656" s="12" t="str">
        <x:v>未记录</x:v>
      </x:c>
      <x:c r="G1656" s="12" t="n">
        <x:v>1</x:v>
      </x:c>
      <x:c r="H1656" s="12" t="str">
        <x:v>{'NDT': 100.0, 'SR': 0.0}</x:v>
      </x:c>
      <x:c r="I1656" s="12" t="str">
        <x:v>[('SRTH', 100.0), ('FAV', 100.0), ('NSTT', 100.0), ('AB', 100.0)]</x:v>
      </x:c>
      <x:c r="J1656" s="12" t="str">
        <x:v>ptbxl_database.csv；ecg_id=15729；scp_codes</x:v>
      </x:c>
      <x:c r="K1656" s="12" t="str">
        <x:v>12sl_statements.csv；ecg_id=15729；statements_ext_snomed</x:v>
      </x:c>
      <x:c r="L1656" s="12"/>
      <x:c r="M1656" s="12" t="str">
        <x:v>negative</x:v>
      </x:c>
      <x:c r="N1656" s="12"/>
      <x:c r="O1656" s="12" t="str">
        <x:v>negative</x:v>
      </x:c>
      <x:c r="P1656" s="12" t="str">
        <x:f>IF(OR(M1656="unavailable",O1656="unavailable"),"不可评价",IF(OR(M1656="equivocal",O1656="equivocal"),"疑似",IF(AND(M1656="positive",O1656="positive"),"a",IF(O1656="positive","b",IF(M1656="positive","c","d")))))</x:f>
        <x:v>d</x:v>
      </x:c>
      <x:c r="Q1656" s="12"/>
      <x:c r="R1656" s="12" t="str">
        <x:v>negative</x:v>
      </x:c>
      <x:c r="S1656" s="12"/>
      <x:c r="T1656" s="12" t="str">
        <x:v>negative</x:v>
      </x:c>
      <x:c r="U1656" s="12" t="str">
        <x:f>IF(OR(R1656="unavailable",T1656="unavailable"),"不可评价",IF(OR(R1656="equivocal",T1656="equivocal"),"疑似",IF(AND(R1656="positive",T1656="positive"),"a",IF(T1656="positive","b",IF(R1656="positive","c","d")))))</x:f>
        <x:v>d</x:v>
      </x:c>
      <x:c r="V1656" s="12"/>
      <x:c r="W1656" s="12" t="str">
        <x:v>negative</x:v>
      </x:c>
      <x:c r="X1656" s="12"/>
      <x:c r="Y1656" s="12" t="str">
        <x:v>negative</x:v>
      </x:c>
      <x:c r="Z1656" s="12" t="str">
        <x:f>IF(OR(W1656="unavailable",Y1656="unavailable"),"不可评价",IF(OR(W1656="equivocal",Y1656="equivocal"),"疑似",IF(AND(W1656="positive",Y1656="positive"),"a",IF(Y1656="positive","b",IF(W1656="positive","c","d")))))</x:f>
        <x:v>d</x:v>
      </x:c>
      <x:c r="AA1656" s="12" t="str">
        <x:f>IF(OR(M1656="unavailable",O1656="unavailable"),"不可评价",IF(AND(OR(M1656="positive",M1656="equivocal"),OR(O1656="positive",O1656="equivocal")),"a",IF(OR(O1656="positive",O1656="equivocal"),"b",IF(OR(M1656="positive",M1656="equivocal"),"c","d"))))</x:f>
        <x:v>d</x:v>
      </x:c>
      <x:c r="AB1656" s="12" t="str">
        <x:f>IF(OR(M1656="unavailable",O1656="unavailable"),"不可评价",IF(AND(M1656="positive",O1656="positive"),"a",IF(O1656="positive","b",IF(M1656="positive","c","d"))))</x:f>
        <x:v>d</x:v>
      </x:c>
      <x:c r="AC1656" s="12" t="str">
        <x:f>IF(OR(R1656="unavailable",T1656="unavailable"),"不可评价",IF(AND(OR(R1656="positive",R1656="equivocal"),OR(T1656="positive",T1656="equivocal")),"a",IF(OR(T1656="positive",T1656="equivocal"),"b",IF(OR(R1656="positive",R1656="equivocal"),"c","d"))))</x:f>
        <x:v>d</x:v>
      </x:c>
      <x:c r="AD1656" s="12" t="str">
        <x:f>IF(OR(R1656="unavailable",T1656="unavailable"),"不可评价",IF(AND(R1656="positive",T1656="positive"),"a",IF(T1656="positive","b",IF(R1656="positive","c","d"))))</x:f>
        <x:v>d</x:v>
      </x:c>
      <x:c r="AE1656" s="12" t="str">
        <x:f>IF(OR(W1656="unavailable",Y1656="unavailable"),"不可评价",IF(AND(OR(W1656="positive",W1656="equivocal"),OR(Y1656="positive",Y1656="equivocal")),"a",IF(OR(Y1656="positive",Y1656="equivocal"),"b",IF(OR(W1656="positive",W1656="equivocal"),"c","d"))))</x:f>
        <x:v>d</x:v>
      </x:c>
      <x:c r="AF1656" s="12" t="str">
        <x:f>IF(OR(W1656="unavailable",Y1656="unavailable"),"不可评价",IF(AND(W1656="positive",Y1656="positive"),"a",IF(Y1656="positive","b",IF(W1656="positive","c","d"))))</x:f>
        <x:v>d</x:v>
      </x:c>
    </x:row>
    <x:row r="1657" ht="24" customHeight="1">
      <x:c r="A1657" s="12" t="str">
        <x:v>15732</x:v>
      </x:c>
      <x:c r="B1657" s="12" t="str">
        <x:v>14612</x:v>
      </x:c>
      <x:c r="C1657" s="21" t="n">
        <x:v>35104.36226851852</x:v>
      </x:c>
      <x:c r="D1657" s="12" t="n">
        <x:v>47</x:v>
      </x:c>
      <x:c r="E1657" s="12" t="n">
        <x:v>0</x:v>
      </x:c>
      <x:c r="F1657" s="12" t="str">
        <x:v>存在</x:v>
      </x:c>
      <x:c r="G1657" s="12" t="n">
        <x:v>1</x:v>
      </x:c>
      <x:c r="H1657" s="12" t="str">
        <x:v>{'NORM': 100.0, 'SR': 0.0}</x:v>
      </x:c>
      <x:c r="I1657" s="12" t="str">
        <x:v>[('NSR', 100.0), ('NML', 100.0)]</x:v>
      </x:c>
      <x:c r="J1657" s="12" t="str">
        <x:v>ptbxl_database.csv；ecg_id=15732；scp_codes</x:v>
      </x:c>
      <x:c r="K1657" s="12" t="str">
        <x:v>12sl_statements.csv；ecg_id=15732；statements_ext_snomed</x:v>
      </x:c>
      <x:c r="L1657" s="12"/>
      <x:c r="M1657" s="12" t="str">
        <x:v>negative</x:v>
      </x:c>
      <x:c r="N1657" s="12"/>
      <x:c r="O1657" s="12" t="str">
        <x:v>negative</x:v>
      </x:c>
      <x:c r="P1657" s="12" t="str">
        <x:f>IF(OR(M1657="unavailable",O1657="unavailable"),"不可评价",IF(OR(M1657="equivocal",O1657="equivocal"),"疑似",IF(AND(M1657="positive",O1657="positive"),"a",IF(O1657="positive","b",IF(M1657="positive","c","d")))))</x:f>
        <x:v>d</x:v>
      </x:c>
      <x:c r="Q1657" s="12"/>
      <x:c r="R1657" s="12" t="str">
        <x:v>negative</x:v>
      </x:c>
      <x:c r="S1657" s="12"/>
      <x:c r="T1657" s="12" t="str">
        <x:v>negative</x:v>
      </x:c>
      <x:c r="U1657" s="12" t="str">
        <x:f>IF(OR(R1657="unavailable",T1657="unavailable"),"不可评价",IF(OR(R1657="equivocal",T1657="equivocal"),"疑似",IF(AND(R1657="positive",T1657="positive"),"a",IF(T1657="positive","b",IF(R1657="positive","c","d")))))</x:f>
        <x:v>d</x:v>
      </x:c>
      <x:c r="V1657" s="12"/>
      <x:c r="W1657" s="12" t="str">
        <x:v>negative</x:v>
      </x:c>
      <x:c r="X1657" s="12"/>
      <x:c r="Y1657" s="12" t="str">
        <x:v>negative</x:v>
      </x:c>
      <x:c r="Z1657" s="12" t="str">
        <x:f>IF(OR(W1657="unavailable",Y1657="unavailable"),"不可评价",IF(OR(W1657="equivocal",Y1657="equivocal"),"疑似",IF(AND(W1657="positive",Y1657="positive"),"a",IF(Y1657="positive","b",IF(W1657="positive","c","d")))))</x:f>
        <x:v>d</x:v>
      </x:c>
      <x:c r="AA1657" s="12" t="str">
        <x:f>IF(OR(M1657="unavailable",O1657="unavailable"),"不可评价",IF(AND(OR(M1657="positive",M1657="equivocal"),OR(O1657="positive",O1657="equivocal")),"a",IF(OR(O1657="positive",O1657="equivocal"),"b",IF(OR(M1657="positive",M1657="equivocal"),"c","d"))))</x:f>
        <x:v>d</x:v>
      </x:c>
      <x:c r="AB1657" s="12" t="str">
        <x:f>IF(OR(M1657="unavailable",O1657="unavailable"),"不可评价",IF(AND(M1657="positive",O1657="positive"),"a",IF(O1657="positive","b",IF(M1657="positive","c","d"))))</x:f>
        <x:v>d</x:v>
      </x:c>
      <x:c r="AC1657" s="12" t="str">
        <x:f>IF(OR(R1657="unavailable",T1657="unavailable"),"不可评价",IF(AND(OR(R1657="positive",R1657="equivocal"),OR(T1657="positive",T1657="equivocal")),"a",IF(OR(T1657="positive",T1657="equivocal"),"b",IF(OR(R1657="positive",R1657="equivocal"),"c","d"))))</x:f>
        <x:v>d</x:v>
      </x:c>
      <x:c r="AD1657" s="12" t="str">
        <x:f>IF(OR(R1657="unavailable",T1657="unavailable"),"不可评价",IF(AND(R1657="positive",T1657="positive"),"a",IF(T1657="positive","b",IF(R1657="positive","c","d"))))</x:f>
        <x:v>d</x:v>
      </x:c>
      <x:c r="AE1657" s="12" t="str">
        <x:f>IF(OR(W1657="unavailable",Y1657="unavailable"),"不可评价",IF(AND(OR(W1657="positive",W1657="equivocal"),OR(Y1657="positive",Y1657="equivocal")),"a",IF(OR(Y1657="positive",Y1657="equivocal"),"b",IF(OR(W1657="positive",W1657="equivocal"),"c","d"))))</x:f>
        <x:v>d</x:v>
      </x:c>
      <x:c r="AF1657" s="12" t="str">
        <x:f>IF(OR(W1657="unavailable",Y1657="unavailable"),"不可评价",IF(AND(W1657="positive",Y1657="positive"),"a",IF(Y1657="positive","b",IF(W1657="positive","c","d"))))</x:f>
        <x:v>d</x:v>
      </x:c>
    </x:row>
    <x:row r="1658" ht="24" customHeight="1">
      <x:c r="A1658" s="12" t="str">
        <x:v>15737</x:v>
      </x:c>
      <x:c r="B1658" s="12" t="str">
        <x:v>7963</x:v>
      </x:c>
      <x:c r="C1658" s="21" t="n">
        <x:v>35107.622094907405</x:v>
      </x:c>
      <x:c r="D1658" s="12" t="n">
        <x:v>63</x:v>
      </x:c>
      <x:c r="E1658" s="12" t="n">
        <x:v>0</x:v>
      </x:c>
      <x:c r="F1658" s="12" t="str">
        <x:v>未记录</x:v>
      </x:c>
      <x:c r="G1658" s="12" t="n">
        <x:v>1</x:v>
      </x:c>
      <x:c r="H1658" s="12" t="str">
        <x:v>{'NORM': 100.0, 'SR': 0.0}</x:v>
      </x:c>
      <x:c r="I1658" s="12" t="str">
        <x:v>[('NSR', 100.0), ('NML', 100.0)]</x:v>
      </x:c>
      <x:c r="J1658" s="12" t="str">
        <x:v>ptbxl_database.csv；ecg_id=15737；scp_codes</x:v>
      </x:c>
      <x:c r="K1658" s="12" t="str">
        <x:v>12sl_statements.csv；ecg_id=15737；statements_ext_snomed</x:v>
      </x:c>
      <x:c r="L1658" s="12"/>
      <x:c r="M1658" s="12" t="str">
        <x:v>negative</x:v>
      </x:c>
      <x:c r="N1658" s="12"/>
      <x:c r="O1658" s="12" t="str">
        <x:v>negative</x:v>
      </x:c>
      <x:c r="P1658" s="12" t="str">
        <x:f>IF(OR(M1658="unavailable",O1658="unavailable"),"不可评价",IF(OR(M1658="equivocal",O1658="equivocal"),"疑似",IF(AND(M1658="positive",O1658="positive"),"a",IF(O1658="positive","b",IF(M1658="positive","c","d")))))</x:f>
        <x:v>d</x:v>
      </x:c>
      <x:c r="Q1658" s="12"/>
      <x:c r="R1658" s="12" t="str">
        <x:v>negative</x:v>
      </x:c>
      <x:c r="S1658" s="12"/>
      <x:c r="T1658" s="12" t="str">
        <x:v>negative</x:v>
      </x:c>
      <x:c r="U1658" s="12" t="str">
        <x:f>IF(OR(R1658="unavailable",T1658="unavailable"),"不可评价",IF(OR(R1658="equivocal",T1658="equivocal"),"疑似",IF(AND(R1658="positive",T1658="positive"),"a",IF(T1658="positive","b",IF(R1658="positive","c","d")))))</x:f>
        <x:v>d</x:v>
      </x:c>
      <x:c r="V1658" s="12"/>
      <x:c r="W1658" s="12" t="str">
        <x:v>negative</x:v>
      </x:c>
      <x:c r="X1658" s="12"/>
      <x:c r="Y1658" s="12" t="str">
        <x:v>negative</x:v>
      </x:c>
      <x:c r="Z1658" s="12" t="str">
        <x:f>IF(OR(W1658="unavailable",Y1658="unavailable"),"不可评价",IF(OR(W1658="equivocal",Y1658="equivocal"),"疑似",IF(AND(W1658="positive",Y1658="positive"),"a",IF(Y1658="positive","b",IF(W1658="positive","c","d")))))</x:f>
        <x:v>d</x:v>
      </x:c>
      <x:c r="AA1658" s="12" t="str">
        <x:f>IF(OR(M1658="unavailable",O1658="unavailable"),"不可评价",IF(AND(OR(M1658="positive",M1658="equivocal"),OR(O1658="positive",O1658="equivocal")),"a",IF(OR(O1658="positive",O1658="equivocal"),"b",IF(OR(M1658="positive",M1658="equivocal"),"c","d"))))</x:f>
        <x:v>d</x:v>
      </x:c>
      <x:c r="AB1658" s="12" t="str">
        <x:f>IF(OR(M1658="unavailable",O1658="unavailable"),"不可评价",IF(AND(M1658="positive",O1658="positive"),"a",IF(O1658="positive","b",IF(M1658="positive","c","d"))))</x:f>
        <x:v>d</x:v>
      </x:c>
      <x:c r="AC1658" s="12" t="str">
        <x:f>IF(OR(R1658="unavailable",T1658="unavailable"),"不可评价",IF(AND(OR(R1658="positive",R1658="equivocal"),OR(T1658="positive",T1658="equivocal")),"a",IF(OR(T1658="positive",T1658="equivocal"),"b",IF(OR(R1658="positive",R1658="equivocal"),"c","d"))))</x:f>
        <x:v>d</x:v>
      </x:c>
      <x:c r="AD1658" s="12" t="str">
        <x:f>IF(OR(R1658="unavailable",T1658="unavailable"),"不可评价",IF(AND(R1658="positive",T1658="positive"),"a",IF(T1658="positive","b",IF(R1658="positive","c","d"))))</x:f>
        <x:v>d</x:v>
      </x:c>
      <x:c r="AE1658" s="12" t="str">
        <x:f>IF(OR(W1658="unavailable",Y1658="unavailable"),"不可评价",IF(AND(OR(W1658="positive",W1658="equivocal"),OR(Y1658="positive",Y1658="equivocal")),"a",IF(OR(Y1658="positive",Y1658="equivocal"),"b",IF(OR(W1658="positive",W1658="equivocal"),"c","d"))))</x:f>
        <x:v>d</x:v>
      </x:c>
      <x:c r="AF1658" s="12" t="str">
        <x:f>IF(OR(W1658="unavailable",Y1658="unavailable"),"不可评价",IF(AND(W1658="positive",Y1658="positive"),"a",IF(Y1658="positive","b",IF(W1658="positive","c","d"))))</x:f>
        <x:v>d</x:v>
      </x:c>
    </x:row>
    <x:row r="1659" ht="24" customHeight="1">
      <x:c r="A1659" s="12" t="str">
        <x:v>15744</x:v>
      </x:c>
      <x:c r="B1659" s="12" t="str">
        <x:v>936</x:v>
      </x:c>
      <x:c r="C1659" s="21" t="n">
        <x:v>35118.71600694444</x:v>
      </x:c>
      <x:c r="D1659" s="12" t="n">
        <x:v>61</x:v>
      </x:c>
      <x:c r="E1659" s="12" t="n">
        <x:v>1</x:v>
      </x:c>
      <x:c r="F1659" s="12" t="str">
        <x:v>未记录</x:v>
      </x:c>
      <x:c r="G1659" s="12" t="n">
        <x:v>1</x:v>
      </x:c>
      <x:c r="H1659" s="12" t="str">
        <x:v>{'NDT': 100.0, 'LOWT': 0.0, 'SR': 0.0}</x:v>
      </x:c>
      <x:c r="I1659" s="12" t="str">
        <x:v>[('NSR', 100.0), ('NT', 100.0), ('AB', 100.0)]</x:v>
      </x:c>
      <x:c r="J1659" s="12" t="str">
        <x:v>ptbxl_database.csv；ecg_id=15744；scp_codes</x:v>
      </x:c>
      <x:c r="K1659" s="12" t="str">
        <x:v>12sl_statements.csv；ecg_id=15744；statements_ext_snomed</x:v>
      </x:c>
      <x:c r="L1659" s="12"/>
      <x:c r="M1659" s="12" t="str">
        <x:v>negative</x:v>
      </x:c>
      <x:c r="N1659" s="12"/>
      <x:c r="O1659" s="12" t="str">
        <x:v>negative</x:v>
      </x:c>
      <x:c r="P1659" s="12" t="str">
        <x:f>IF(OR(M1659="unavailable",O1659="unavailable"),"不可评价",IF(OR(M1659="equivocal",O1659="equivocal"),"疑似",IF(AND(M1659="positive",O1659="positive"),"a",IF(O1659="positive","b",IF(M1659="positive","c","d")))))</x:f>
        <x:v>d</x:v>
      </x:c>
      <x:c r="Q1659" s="12"/>
      <x:c r="R1659" s="12" t="str">
        <x:v>negative</x:v>
      </x:c>
      <x:c r="S1659" s="12"/>
      <x:c r="T1659" s="12" t="str">
        <x:v>negative</x:v>
      </x:c>
      <x:c r="U1659" s="12" t="str">
        <x:f>IF(OR(R1659="unavailable",T1659="unavailable"),"不可评价",IF(OR(R1659="equivocal",T1659="equivocal"),"疑似",IF(AND(R1659="positive",T1659="positive"),"a",IF(T1659="positive","b",IF(R1659="positive","c","d")))))</x:f>
        <x:v>d</x:v>
      </x:c>
      <x:c r="V1659" s="12"/>
      <x:c r="W1659" s="12" t="str">
        <x:v>negative</x:v>
      </x:c>
      <x:c r="X1659" s="12"/>
      <x:c r="Y1659" s="12" t="str">
        <x:v>negative</x:v>
      </x:c>
      <x:c r="Z1659" s="12" t="str">
        <x:f>IF(OR(W1659="unavailable",Y1659="unavailable"),"不可评价",IF(OR(W1659="equivocal",Y1659="equivocal"),"疑似",IF(AND(W1659="positive",Y1659="positive"),"a",IF(Y1659="positive","b",IF(W1659="positive","c","d")))))</x:f>
        <x:v>d</x:v>
      </x:c>
      <x:c r="AA1659" s="12" t="str">
        <x:f>IF(OR(M1659="unavailable",O1659="unavailable"),"不可评价",IF(AND(OR(M1659="positive",M1659="equivocal"),OR(O1659="positive",O1659="equivocal")),"a",IF(OR(O1659="positive",O1659="equivocal"),"b",IF(OR(M1659="positive",M1659="equivocal"),"c","d"))))</x:f>
        <x:v>d</x:v>
      </x:c>
      <x:c r="AB1659" s="12" t="str">
        <x:f>IF(OR(M1659="unavailable",O1659="unavailable"),"不可评价",IF(AND(M1659="positive",O1659="positive"),"a",IF(O1659="positive","b",IF(M1659="positive","c","d"))))</x:f>
        <x:v>d</x:v>
      </x:c>
      <x:c r="AC1659" s="12" t="str">
        <x:f>IF(OR(R1659="unavailable",T1659="unavailable"),"不可评价",IF(AND(OR(R1659="positive",R1659="equivocal"),OR(T1659="positive",T1659="equivocal")),"a",IF(OR(T1659="positive",T1659="equivocal"),"b",IF(OR(R1659="positive",R1659="equivocal"),"c","d"))))</x:f>
        <x:v>d</x:v>
      </x:c>
      <x:c r="AD1659" s="12" t="str">
        <x:f>IF(OR(R1659="unavailable",T1659="unavailable"),"不可评价",IF(AND(R1659="positive",T1659="positive"),"a",IF(T1659="positive","b",IF(R1659="positive","c","d"))))</x:f>
        <x:v>d</x:v>
      </x:c>
      <x:c r="AE1659" s="12" t="str">
        <x:f>IF(OR(W1659="unavailable",Y1659="unavailable"),"不可评价",IF(AND(OR(W1659="positive",W1659="equivocal"),OR(Y1659="positive",Y1659="equivocal")),"a",IF(OR(Y1659="positive",Y1659="equivocal"),"b",IF(OR(W1659="positive",W1659="equivocal"),"c","d"))))</x:f>
        <x:v>d</x:v>
      </x:c>
      <x:c r="AF1659" s="12" t="str">
        <x:f>IF(OR(W1659="unavailable",Y1659="unavailable"),"不可评价",IF(AND(W1659="positive",Y1659="positive"),"a",IF(Y1659="positive","b",IF(W1659="positive","c","d"))))</x:f>
        <x:v>d</x:v>
      </x:c>
    </x:row>
    <x:row r="1660" ht="24" customHeight="1">
      <x:c r="A1660" s="12" t="str">
        <x:v>15757</x:v>
      </x:c>
      <x:c r="B1660" s="12" t="str">
        <x:v>4724</x:v>
      </x:c>
      <x:c r="C1660" s="21" t="n">
        <x:v>35119.828680555554</x:v>
      </x:c>
      <x:c r="D1660" s="12" t="n">
        <x:v>81</x:v>
      </x:c>
      <x:c r="E1660" s="12" t="n">
        <x:v>1</x:v>
      </x:c>
      <x:c r="F1660" s="12" t="str">
        <x:v>未记录</x:v>
      </x:c>
      <x:c r="G1660" s="12" t="n">
        <x:v>1</x:v>
      </x:c>
      <x:c r="H1660" s="12" t="str">
        <x:v>{'NDT': 100.0, 'PAC': 0.0, 'SR': 0.0}</x:v>
      </x:c>
      <x:c r="I1660" s="12" t="str">
        <x:v>[('SRTH', 100.0), ('PAC', 100.0), ('LAD3', 100.0), ('NSTT', 100.0), ('AB', 100.0)]</x:v>
      </x:c>
      <x:c r="J1660" s="12" t="str">
        <x:v>ptbxl_database.csv；ecg_id=15757；scp_codes</x:v>
      </x:c>
      <x:c r="K1660" s="12" t="str">
        <x:v>12sl_statements.csv；ecg_id=15757；statements_ext_snomed</x:v>
      </x:c>
      <x:c r="L1660" s="12"/>
      <x:c r="M1660" s="12" t="str">
        <x:v>negative</x:v>
      </x:c>
      <x:c r="N1660" s="12"/>
      <x:c r="O1660" s="12" t="str">
        <x:v>negative</x:v>
      </x:c>
      <x:c r="P1660" s="12" t="str">
        <x:f>IF(OR(M1660="unavailable",O1660="unavailable"),"不可评价",IF(OR(M1660="equivocal",O1660="equivocal"),"疑似",IF(AND(M1660="positive",O1660="positive"),"a",IF(O1660="positive","b",IF(M1660="positive","c","d")))))</x:f>
        <x:v>d</x:v>
      </x:c>
      <x:c r="Q1660" s="12"/>
      <x:c r="R1660" s="12" t="str">
        <x:v>negative</x:v>
      </x:c>
      <x:c r="S1660" s="12"/>
      <x:c r="T1660" s="12" t="str">
        <x:v>negative</x:v>
      </x:c>
      <x:c r="U1660" s="12" t="str">
        <x:f>IF(OR(R1660="unavailable",T1660="unavailable"),"不可评价",IF(OR(R1660="equivocal",T1660="equivocal"),"疑似",IF(AND(R1660="positive",T1660="positive"),"a",IF(T1660="positive","b",IF(R1660="positive","c","d")))))</x:f>
        <x:v>d</x:v>
      </x:c>
      <x:c r="V1660" s="12"/>
      <x:c r="W1660" s="12" t="str">
        <x:v>negative</x:v>
      </x:c>
      <x:c r="X1660" s="12"/>
      <x:c r="Y1660" s="12" t="str">
        <x:v>negative</x:v>
      </x:c>
      <x:c r="Z1660" s="12" t="str">
        <x:f>IF(OR(W1660="unavailable",Y1660="unavailable"),"不可评价",IF(OR(W1660="equivocal",Y1660="equivocal"),"疑似",IF(AND(W1660="positive",Y1660="positive"),"a",IF(Y1660="positive","b",IF(W1660="positive","c","d")))))</x:f>
        <x:v>d</x:v>
      </x:c>
      <x:c r="AA1660" s="12" t="str">
        <x:f>IF(OR(M1660="unavailable",O1660="unavailable"),"不可评价",IF(AND(OR(M1660="positive",M1660="equivocal"),OR(O1660="positive",O1660="equivocal")),"a",IF(OR(O1660="positive",O1660="equivocal"),"b",IF(OR(M1660="positive",M1660="equivocal"),"c","d"))))</x:f>
        <x:v>d</x:v>
      </x:c>
      <x:c r="AB1660" s="12" t="str">
        <x:f>IF(OR(M1660="unavailable",O1660="unavailable"),"不可评价",IF(AND(M1660="positive",O1660="positive"),"a",IF(O1660="positive","b",IF(M1660="positive","c","d"))))</x:f>
        <x:v>d</x:v>
      </x:c>
      <x:c r="AC1660" s="12" t="str">
        <x:f>IF(OR(R1660="unavailable",T1660="unavailable"),"不可评价",IF(AND(OR(R1660="positive",R1660="equivocal"),OR(T1660="positive",T1660="equivocal")),"a",IF(OR(T1660="positive",T1660="equivocal"),"b",IF(OR(R1660="positive",R1660="equivocal"),"c","d"))))</x:f>
        <x:v>d</x:v>
      </x:c>
      <x:c r="AD1660" s="12" t="str">
        <x:f>IF(OR(R1660="unavailable",T1660="unavailable"),"不可评价",IF(AND(R1660="positive",T1660="positive"),"a",IF(T1660="positive","b",IF(R1660="positive","c","d"))))</x:f>
        <x:v>d</x:v>
      </x:c>
      <x:c r="AE1660" s="12" t="str">
        <x:f>IF(OR(W1660="unavailable",Y1660="unavailable"),"不可评价",IF(AND(OR(W1660="positive",W1660="equivocal"),OR(Y1660="positive",Y1660="equivocal")),"a",IF(OR(Y1660="positive",Y1660="equivocal"),"b",IF(OR(W1660="positive",W1660="equivocal"),"c","d"))))</x:f>
        <x:v>d</x:v>
      </x:c>
      <x:c r="AF1660" s="12" t="str">
        <x:f>IF(OR(W1660="unavailable",Y1660="unavailable"),"不可评价",IF(AND(W1660="positive",Y1660="positive"),"a",IF(Y1660="positive","b",IF(W1660="positive","c","d"))))</x:f>
        <x:v>d</x:v>
      </x:c>
    </x:row>
    <x:row r="1661" ht="39" customHeight="1">
      <x:c r="A1661" s="12" t="str">
        <x:v>15787</x:v>
      </x:c>
      <x:c r="B1661" s="12" t="str">
        <x:v>10684</x:v>
      </x:c>
      <x:c r="C1661" s="21" t="n">
        <x:v>35124.22914351852</x:v>
      </x:c>
      <x:c r="D1661" s="12" t="n">
        <x:v>71</x:v>
      </x:c>
      <x:c r="E1661" s="12" t="n">
        <x:v>1</x:v>
      </x:c>
      <x:c r="F1661" s="12" t="str">
        <x:v>未记录</x:v>
      </x:c>
      <x:c r="G1661" s="12" t="n">
        <x:v>1</x:v>
      </x:c>
      <x:c r="H1661" s="12" t="str">
        <x:v>{'LVH': 100.0, 'ISC_': 100.0, 'SR': 0.0}</x:v>
      </x:c>
      <x:c r="I1661" s="12" t="str">
        <x:v>[('SRTH', 100.0), ('FAV', 100.0), ('LVH2', 100.0), ('2ST', 100.0), ('ASBINJ', 100.0), ('AB', 100.0)]</x:v>
      </x:c>
      <x:c r="J1661" s="12" t="str">
        <x:v>ptbxl_database.csv；ecg_id=15787；scp_codes</x:v>
      </x:c>
      <x:c r="K1661" s="12" t="str">
        <x:v>12sl_statements.csv；ecg_id=15787；statements_ext_snomed</x:v>
      </x:c>
      <x:c r="L1661" s="12"/>
      <x:c r="M1661" s="12" t="str">
        <x:v>negative</x:v>
      </x:c>
      <x:c r="N1661" s="12"/>
      <x:c r="O1661" s="12" t="str">
        <x:v>negative</x:v>
      </x:c>
      <x:c r="P1661" s="12" t="str">
        <x:f>IF(OR(M1661="unavailable",O1661="unavailable"),"不可评价",IF(OR(M1661="equivocal",O1661="equivocal"),"疑似",IF(AND(M1661="positive",O1661="positive"),"a",IF(O1661="positive","b",IF(M1661="positive","c","d")))))</x:f>
        <x:v>d</x:v>
      </x:c>
      <x:c r="Q1661" s="12"/>
      <x:c r="R1661" s="12" t="str">
        <x:v>negative</x:v>
      </x:c>
      <x:c r="S1661" s="12"/>
      <x:c r="T1661" s="12" t="str">
        <x:v>negative</x:v>
      </x:c>
      <x:c r="U1661" s="12" t="str">
        <x:f>IF(OR(R1661="unavailable",T1661="unavailable"),"不可评价",IF(OR(R1661="equivocal",T1661="equivocal"),"疑似",IF(AND(R1661="positive",T1661="positive"),"a",IF(T1661="positive","b",IF(R1661="positive","c","d")))))</x:f>
        <x:v>d</x:v>
      </x:c>
      <x:c r="V1661" s="12"/>
      <x:c r="W1661" s="12" t="str">
        <x:v>negative</x:v>
      </x:c>
      <x:c r="X1661" s="12"/>
      <x:c r="Y1661" s="12" t="str">
        <x:v>negative</x:v>
      </x:c>
      <x:c r="Z1661" s="12" t="str">
        <x:f>IF(OR(W1661="unavailable",Y1661="unavailable"),"不可评价",IF(OR(W1661="equivocal",Y1661="equivocal"),"疑似",IF(AND(W1661="positive",Y1661="positive"),"a",IF(Y1661="positive","b",IF(W1661="positive","c","d")))))</x:f>
        <x:v>d</x:v>
      </x:c>
      <x:c r="AA1661" s="12" t="str">
        <x:f>IF(OR(M1661="unavailable",O1661="unavailable"),"不可评价",IF(AND(OR(M1661="positive",M1661="equivocal"),OR(O1661="positive",O1661="equivocal")),"a",IF(OR(O1661="positive",O1661="equivocal"),"b",IF(OR(M1661="positive",M1661="equivocal"),"c","d"))))</x:f>
        <x:v>d</x:v>
      </x:c>
      <x:c r="AB1661" s="12" t="str">
        <x:f>IF(OR(M1661="unavailable",O1661="unavailable"),"不可评价",IF(AND(M1661="positive",O1661="positive"),"a",IF(O1661="positive","b",IF(M1661="positive","c","d"))))</x:f>
        <x:v>d</x:v>
      </x:c>
      <x:c r="AC1661" s="12" t="str">
        <x:f>IF(OR(R1661="unavailable",T1661="unavailable"),"不可评价",IF(AND(OR(R1661="positive",R1661="equivocal"),OR(T1661="positive",T1661="equivocal")),"a",IF(OR(T1661="positive",T1661="equivocal"),"b",IF(OR(R1661="positive",R1661="equivocal"),"c","d"))))</x:f>
        <x:v>d</x:v>
      </x:c>
      <x:c r="AD1661" s="12" t="str">
        <x:f>IF(OR(R1661="unavailable",T1661="unavailable"),"不可评价",IF(AND(R1661="positive",T1661="positive"),"a",IF(T1661="positive","b",IF(R1661="positive","c","d"))))</x:f>
        <x:v>d</x:v>
      </x:c>
      <x:c r="AE1661" s="12" t="str">
        <x:f>IF(OR(W1661="unavailable",Y1661="unavailable"),"不可评价",IF(AND(OR(W1661="positive",W1661="equivocal"),OR(Y1661="positive",Y1661="equivocal")),"a",IF(OR(Y1661="positive",Y1661="equivocal"),"b",IF(OR(W1661="positive",W1661="equivocal"),"c","d"))))</x:f>
        <x:v>d</x:v>
      </x:c>
      <x:c r="AF1661" s="12" t="str">
        <x:f>IF(OR(W1661="unavailable",Y1661="unavailable"),"不可评价",IF(AND(W1661="positive",Y1661="positive"),"a",IF(Y1661="positive","b",IF(W1661="positive","c","d"))))</x:f>
        <x:v>d</x:v>
      </x:c>
    </x:row>
    <x:row r="1662" ht="24" customHeight="1">
      <x:c r="A1662" s="12" t="str">
        <x:v>15795</x:v>
      </x:c>
      <x:c r="B1662" s="12" t="str">
        <x:v>20267</x:v>
      </x:c>
      <x:c r="C1662" s="21" t="n">
        <x:v>35126.46424768519</x:v>
      </x:c>
      <x:c r="D1662" s="12" t="n">
        <x:v>51</x:v>
      </x:c>
      <x:c r="E1662" s="12" t="n">
        <x:v>1</x:v>
      </x:c>
      <x:c r="F1662" s="12" t="str">
        <x:v>未记录</x:v>
      </x:c>
      <x:c r="G1662" s="12" t="n">
        <x:v>1</x:v>
      </x:c>
      <x:c r="H1662" s="12" t="str">
        <x:v>{'NDT': 100.0, 'SR': 0.0}</x:v>
      </x:c>
      <x:c r="I1662" s="12" t="str">
        <x:v>[('NSR', 100.0), ('NML', 100.0)]</x:v>
      </x:c>
      <x:c r="J1662" s="12" t="str">
        <x:v>ptbxl_database.csv；ecg_id=15795；scp_codes</x:v>
      </x:c>
      <x:c r="K1662" s="12" t="str">
        <x:v>12sl_statements.csv；ecg_id=15795；statements_ext_snomed</x:v>
      </x:c>
      <x:c r="L1662" s="12"/>
      <x:c r="M1662" s="12" t="str">
        <x:v>negative</x:v>
      </x:c>
      <x:c r="N1662" s="12"/>
      <x:c r="O1662" s="12" t="str">
        <x:v>negative</x:v>
      </x:c>
      <x:c r="P1662" s="12" t="str">
        <x:f>IF(OR(M1662="unavailable",O1662="unavailable"),"不可评价",IF(OR(M1662="equivocal",O1662="equivocal"),"疑似",IF(AND(M1662="positive",O1662="positive"),"a",IF(O1662="positive","b",IF(M1662="positive","c","d")))))</x:f>
        <x:v>d</x:v>
      </x:c>
      <x:c r="Q1662" s="12"/>
      <x:c r="R1662" s="12" t="str">
        <x:v>negative</x:v>
      </x:c>
      <x:c r="S1662" s="12"/>
      <x:c r="T1662" s="12" t="str">
        <x:v>negative</x:v>
      </x:c>
      <x:c r="U1662" s="12" t="str">
        <x:f>IF(OR(R1662="unavailable",T1662="unavailable"),"不可评价",IF(OR(R1662="equivocal",T1662="equivocal"),"疑似",IF(AND(R1662="positive",T1662="positive"),"a",IF(T1662="positive","b",IF(R1662="positive","c","d")))))</x:f>
        <x:v>d</x:v>
      </x:c>
      <x:c r="V1662" s="12"/>
      <x:c r="W1662" s="12" t="str">
        <x:v>negative</x:v>
      </x:c>
      <x:c r="X1662" s="12"/>
      <x:c r="Y1662" s="12" t="str">
        <x:v>negative</x:v>
      </x:c>
      <x:c r="Z1662" s="12" t="str">
        <x:f>IF(OR(W1662="unavailable",Y1662="unavailable"),"不可评价",IF(OR(W1662="equivocal",Y1662="equivocal"),"疑似",IF(AND(W1662="positive",Y1662="positive"),"a",IF(Y1662="positive","b",IF(W1662="positive","c","d")))))</x:f>
        <x:v>d</x:v>
      </x:c>
      <x:c r="AA1662" s="12" t="str">
        <x:f>IF(OR(M1662="unavailable",O1662="unavailable"),"不可评价",IF(AND(OR(M1662="positive",M1662="equivocal"),OR(O1662="positive",O1662="equivocal")),"a",IF(OR(O1662="positive",O1662="equivocal"),"b",IF(OR(M1662="positive",M1662="equivocal"),"c","d"))))</x:f>
        <x:v>d</x:v>
      </x:c>
      <x:c r="AB1662" s="12" t="str">
        <x:f>IF(OR(M1662="unavailable",O1662="unavailable"),"不可评价",IF(AND(M1662="positive",O1662="positive"),"a",IF(O1662="positive","b",IF(M1662="positive","c","d"))))</x:f>
        <x:v>d</x:v>
      </x:c>
      <x:c r="AC1662" s="12" t="str">
        <x:f>IF(OR(R1662="unavailable",T1662="unavailable"),"不可评价",IF(AND(OR(R1662="positive",R1662="equivocal"),OR(T1662="positive",T1662="equivocal")),"a",IF(OR(T1662="positive",T1662="equivocal"),"b",IF(OR(R1662="positive",R1662="equivocal"),"c","d"))))</x:f>
        <x:v>d</x:v>
      </x:c>
      <x:c r="AD1662" s="12" t="str">
        <x:f>IF(OR(R1662="unavailable",T1662="unavailable"),"不可评价",IF(AND(R1662="positive",T1662="positive"),"a",IF(T1662="positive","b",IF(R1662="positive","c","d"))))</x:f>
        <x:v>d</x:v>
      </x:c>
      <x:c r="AE1662" s="12" t="str">
        <x:f>IF(OR(W1662="unavailable",Y1662="unavailable"),"不可评价",IF(AND(OR(W1662="positive",W1662="equivocal"),OR(Y1662="positive",Y1662="equivocal")),"a",IF(OR(Y1662="positive",Y1662="equivocal"),"b",IF(OR(W1662="positive",W1662="equivocal"),"c","d"))))</x:f>
        <x:v>d</x:v>
      </x:c>
      <x:c r="AF1662" s="12" t="str">
        <x:f>IF(OR(W1662="unavailable",Y1662="unavailable"),"不可评价",IF(AND(W1662="positive",Y1662="positive"),"a",IF(Y1662="positive","b",IF(W1662="positive","c","d"))))</x:f>
        <x:v>d</x:v>
      </x:c>
    </x:row>
    <x:row r="1663" ht="24" customHeight="1">
      <x:c r="A1663" s="12" t="str">
        <x:v>15796</x:v>
      </x:c>
      <x:c r="B1663" s="12" t="str">
        <x:v>10943</x:v>
      </x:c>
      <x:c r="C1663" s="21" t="n">
        <x:v>35126.52248842592</x:v>
      </x:c>
      <x:c r="D1663" s="12" t="n">
        <x:v>45</x:v>
      </x:c>
      <x:c r="E1663" s="12" t="n">
        <x:v>1</x:v>
      </x:c>
      <x:c r="F1663" s="12" t="str">
        <x:v>存在</x:v>
      </x:c>
      <x:c r="G1663" s="12" t="n">
        <x:v>1</x:v>
      </x:c>
      <x:c r="H1663" s="12" t="str">
        <x:v>{'NORM': 100.0, 'AFIB': 0.0}</x:v>
      </x:c>
      <x:c r="I1663" s="12" t="str">
        <x:v>[('NSR', 100.0), ('NST', 100.0), ('AB', 100.0)]</x:v>
      </x:c>
      <x:c r="J1663" s="12" t="str">
        <x:v>ptbxl_database.csv；ecg_id=15796；scp_codes</x:v>
      </x:c>
      <x:c r="K1663" s="12" t="str">
        <x:v>12sl_statements.csv；ecg_id=15796；statements_ext_snomed</x:v>
      </x:c>
      <x:c r="L1663" s="12" t="n">
        <x:v>0</x:v>
      </x:c>
      <x:c r="M1663" s="12" t="str">
        <x:v>positive</x:v>
      </x:c>
      <x:c r="N1663" s="12"/>
      <x:c r="O1663" s="12" t="str">
        <x:v>negative</x:v>
      </x:c>
      <x:c r="P1663" s="12" t="str">
        <x:f>IF(OR(M1663="unavailable",O1663="unavailable"),"不可评价",IF(OR(M1663="equivocal",O1663="equivocal"),"疑似",IF(AND(M1663="positive",O1663="positive"),"a",IF(O1663="positive","b",IF(M1663="positive","c","d")))))</x:f>
        <x:v>c</x:v>
      </x:c>
      <x:c r="Q1663" s="12"/>
      <x:c r="R1663" s="12" t="str">
        <x:v>negative</x:v>
      </x:c>
      <x:c r="S1663" s="12"/>
      <x:c r="T1663" s="12" t="str">
        <x:v>negative</x:v>
      </x:c>
      <x:c r="U1663" s="12" t="str">
        <x:f>IF(OR(R1663="unavailable",T1663="unavailable"),"不可评价",IF(OR(R1663="equivocal",T1663="equivocal"),"疑似",IF(AND(R1663="positive",T1663="positive"),"a",IF(T1663="positive","b",IF(R1663="positive","c","d")))))</x:f>
        <x:v>d</x:v>
      </x:c>
      <x:c r="V1663" s="12"/>
      <x:c r="W1663" s="12" t="str">
        <x:v>negative</x:v>
      </x:c>
      <x:c r="X1663" s="12"/>
      <x:c r="Y1663" s="12" t="str">
        <x:v>negative</x:v>
      </x:c>
      <x:c r="Z1663" s="12" t="str">
        <x:f>IF(OR(W1663="unavailable",Y1663="unavailable"),"不可评价",IF(OR(W1663="equivocal",Y1663="equivocal"),"疑似",IF(AND(W1663="positive",Y1663="positive"),"a",IF(Y1663="positive","b",IF(W1663="positive","c","d")))))</x:f>
        <x:v>d</x:v>
      </x:c>
      <x:c r="AA1663" s="12" t="str">
        <x:f>IF(OR(M1663="unavailable",O1663="unavailable"),"不可评价",IF(AND(OR(M1663="positive",M1663="equivocal"),OR(O1663="positive",O1663="equivocal")),"a",IF(OR(O1663="positive",O1663="equivocal"),"b",IF(OR(M1663="positive",M1663="equivocal"),"c","d"))))</x:f>
        <x:v>c</x:v>
      </x:c>
      <x:c r="AB1663" s="12" t="str">
        <x:f>IF(OR(M1663="unavailable",O1663="unavailable"),"不可评价",IF(AND(M1663="positive",O1663="positive"),"a",IF(O1663="positive","b",IF(M1663="positive","c","d"))))</x:f>
        <x:v>c</x:v>
      </x:c>
      <x:c r="AC1663" s="12" t="str">
        <x:f>IF(OR(R1663="unavailable",T1663="unavailable"),"不可评价",IF(AND(OR(R1663="positive",R1663="equivocal"),OR(T1663="positive",T1663="equivocal")),"a",IF(OR(T1663="positive",T1663="equivocal"),"b",IF(OR(R1663="positive",R1663="equivocal"),"c","d"))))</x:f>
        <x:v>d</x:v>
      </x:c>
      <x:c r="AD1663" s="12" t="str">
        <x:f>IF(OR(R1663="unavailable",T1663="unavailable"),"不可评价",IF(AND(R1663="positive",T1663="positive"),"a",IF(T1663="positive","b",IF(R1663="positive","c","d"))))</x:f>
        <x:v>d</x:v>
      </x:c>
      <x:c r="AE1663" s="12" t="str">
        <x:f>IF(OR(W1663="unavailable",Y1663="unavailable"),"不可评价",IF(AND(OR(W1663="positive",W1663="equivocal"),OR(Y1663="positive",Y1663="equivocal")),"a",IF(OR(Y1663="positive",Y1663="equivocal"),"b",IF(OR(W1663="positive",W1663="equivocal"),"c","d"))))</x:f>
        <x:v>d</x:v>
      </x:c>
      <x:c r="AF1663" s="12" t="str">
        <x:f>IF(OR(W1663="unavailable",Y1663="unavailable"),"不可评价",IF(AND(W1663="positive",Y1663="positive"),"a",IF(Y1663="positive","b",IF(W1663="positive","c","d"))))</x:f>
        <x:v>d</x:v>
      </x:c>
    </x:row>
    <x:row r="1664" ht="39" customHeight="1">
      <x:c r="A1664" s="12" t="str">
        <x:v>15797</x:v>
      </x:c>
      <x:c r="B1664" s="12" t="str">
        <x:v>8281</x:v>
      </x:c>
      <x:c r="C1664" s="21" t="n">
        <x:v>35126.568078703705</x:v>
      </x:c>
      <x:c r="D1664" s="12" t="n">
        <x:v>77</x:v>
      </x:c>
      <x:c r="E1664" s="12" t="n">
        <x:v>0</x:v>
      </x:c>
      <x:c r="F1664" s="12" t="str">
        <x:v>存在</x:v>
      </x:c>
      <x:c r="G1664" s="12" t="n">
        <x:v>1</x:v>
      </x:c>
      <x:c r="H1664" s="12" t="str">
        <x:v>{'LVH': 100.0, 'ISC_': 100.0, 'PVC': 100.0, 'SR': 0.0}</x:v>
      </x:c>
      <x:c r="I1664" s="12" t="str">
        <x:v>[('QCERR', 100.0), ('SRTH', 100.0), ('FAV', 100.0), ('PVC', 100.0), ('LVH2', 100.0), ('2ST', 100.0), ('AB', 100.0)]</x:v>
      </x:c>
      <x:c r="J1664" s="12" t="str">
        <x:v>ptbxl_database.csv；ecg_id=15797；scp_codes</x:v>
      </x:c>
      <x:c r="K1664" s="12" t="str">
        <x:v>12sl_statements.csv；ecg_id=15797；statements_ext_snomed</x:v>
      </x:c>
      <x:c r="L1664" s="12"/>
      <x:c r="M1664" s="12" t="str">
        <x:v>negative</x:v>
      </x:c>
      <x:c r="N1664" s="12"/>
      <x:c r="O1664" s="12" t="str">
        <x:v>negative</x:v>
      </x:c>
      <x:c r="P1664" s="12" t="str">
        <x:f>IF(OR(M1664="unavailable",O1664="unavailable"),"不可评价",IF(OR(M1664="equivocal",O1664="equivocal"),"疑似",IF(AND(M1664="positive",O1664="positive"),"a",IF(O1664="positive","b",IF(M1664="positive","c","d")))))</x:f>
        <x:v>d</x:v>
      </x:c>
      <x:c r="Q1664" s="12"/>
      <x:c r="R1664" s="12" t="str">
        <x:v>negative</x:v>
      </x:c>
      <x:c r="S1664" s="12"/>
      <x:c r="T1664" s="12" t="str">
        <x:v>negative</x:v>
      </x:c>
      <x:c r="U1664" s="12" t="str">
        <x:f>IF(OR(R1664="unavailable",T1664="unavailable"),"不可评价",IF(OR(R1664="equivocal",T1664="equivocal"),"疑似",IF(AND(R1664="positive",T1664="positive"),"a",IF(T1664="positive","b",IF(R1664="positive","c","d")))))</x:f>
        <x:v>d</x:v>
      </x:c>
      <x:c r="V1664" s="12"/>
      <x:c r="W1664" s="12" t="str">
        <x:v>negative</x:v>
      </x:c>
      <x:c r="X1664" s="12"/>
      <x:c r="Y1664" s="12" t="str">
        <x:v>negative</x:v>
      </x:c>
      <x:c r="Z1664" s="12" t="str">
        <x:f>IF(OR(W1664="unavailable",Y1664="unavailable"),"不可评价",IF(OR(W1664="equivocal",Y1664="equivocal"),"疑似",IF(AND(W1664="positive",Y1664="positive"),"a",IF(Y1664="positive","b",IF(W1664="positive","c","d")))))</x:f>
        <x:v>d</x:v>
      </x:c>
      <x:c r="AA1664" s="12" t="str">
        <x:f>IF(OR(M1664="unavailable",O1664="unavailable"),"不可评价",IF(AND(OR(M1664="positive",M1664="equivocal"),OR(O1664="positive",O1664="equivocal")),"a",IF(OR(O1664="positive",O1664="equivocal"),"b",IF(OR(M1664="positive",M1664="equivocal"),"c","d"))))</x:f>
        <x:v>d</x:v>
      </x:c>
      <x:c r="AB1664" s="12" t="str">
        <x:f>IF(OR(M1664="unavailable",O1664="unavailable"),"不可评价",IF(AND(M1664="positive",O1664="positive"),"a",IF(O1664="positive","b",IF(M1664="positive","c","d"))))</x:f>
        <x:v>d</x:v>
      </x:c>
      <x:c r="AC1664" s="12" t="str">
        <x:f>IF(OR(R1664="unavailable",T1664="unavailable"),"不可评价",IF(AND(OR(R1664="positive",R1664="equivocal"),OR(T1664="positive",T1664="equivocal")),"a",IF(OR(T1664="positive",T1664="equivocal"),"b",IF(OR(R1664="positive",R1664="equivocal"),"c","d"))))</x:f>
        <x:v>d</x:v>
      </x:c>
      <x:c r="AD1664" s="12" t="str">
        <x:f>IF(OR(R1664="unavailable",T1664="unavailable"),"不可评价",IF(AND(R1664="positive",T1664="positive"),"a",IF(T1664="positive","b",IF(R1664="positive","c","d"))))</x:f>
        <x:v>d</x:v>
      </x:c>
      <x:c r="AE1664" s="12" t="str">
        <x:f>IF(OR(W1664="unavailable",Y1664="unavailable"),"不可评价",IF(AND(OR(W1664="positive",W1664="equivocal"),OR(Y1664="positive",Y1664="equivocal")),"a",IF(OR(Y1664="positive",Y1664="equivocal"),"b",IF(OR(W1664="positive",W1664="equivocal"),"c","d"))))</x:f>
        <x:v>d</x:v>
      </x:c>
      <x:c r="AF1664" s="12" t="str">
        <x:f>IF(OR(W1664="unavailable",Y1664="unavailable"),"不可评价",IF(AND(W1664="positive",Y1664="positive"),"a",IF(Y1664="positive","b",IF(W1664="positive","c","d"))))</x:f>
        <x:v>d</x:v>
      </x:c>
    </x:row>
    <x:row r="1665" ht="24" customHeight="1">
      <x:c r="A1665" s="12" t="str">
        <x:v>15798</x:v>
      </x:c>
      <x:c r="B1665" s="12" t="str">
        <x:v>11257</x:v>
      </x:c>
      <x:c r="C1665" s="21" t="n">
        <x:v>35126.64467592593</x:v>
      </x:c>
      <x:c r="D1665" s="12" t="n">
        <x:v>89</x:v>
      </x:c>
      <x:c r="E1665" s="12" t="n">
        <x:v>0</x:v>
      </x:c>
      <x:c r="F1665" s="12" t="str">
        <x:v>未记录</x:v>
      </x:c>
      <x:c r="G1665" s="12" t="n">
        <x:v>1</x:v>
      </x:c>
      <x:c r="H1665" s="12" t="str">
        <x:v>{'CLBBB': 100.0, 'SR': 0.0}</x:v>
      </x:c>
      <x:c r="I1665" s="12" t="str">
        <x:v>[('NSR', 100.0), ('LBBB', 100.0), ('AB', 100.0)]</x:v>
      </x:c>
      <x:c r="J1665" s="12" t="str">
        <x:v>ptbxl_database.csv；ecg_id=15798；scp_codes</x:v>
      </x:c>
      <x:c r="K1665" s="12" t="str">
        <x:v>12sl_statements.csv；ecg_id=15798；statements_ext_snomed</x:v>
      </x:c>
      <x:c r="L1665" s="12"/>
      <x:c r="M1665" s="12" t="str">
        <x:v>negative</x:v>
      </x:c>
      <x:c r="N1665" s="12"/>
      <x:c r="O1665" s="12" t="str">
        <x:v>negative</x:v>
      </x:c>
      <x:c r="P1665" s="12" t="str">
        <x:f>IF(OR(M1665="unavailable",O1665="unavailable"),"不可评价",IF(OR(M1665="equivocal",O1665="equivocal"),"疑似",IF(AND(M1665="positive",O1665="positive"),"a",IF(O1665="positive","b",IF(M1665="positive","c","d")))))</x:f>
        <x:v>d</x:v>
      </x:c>
      <x:c r="Q1665" s="12" t="n">
        <x:v>100</x:v>
      </x:c>
      <x:c r="R1665" s="12" t="str">
        <x:v>positive</x:v>
      </x:c>
      <x:c r="S1665" s="12" t="n">
        <x:v>100</x:v>
      </x:c>
      <x:c r="T1665" s="12" t="str">
        <x:v>positive</x:v>
      </x:c>
      <x:c r="U1665" s="12" t="str">
        <x:f>IF(OR(R1665="unavailable",T1665="unavailable"),"不可评价",IF(OR(R1665="equivocal",T1665="equivocal"),"疑似",IF(AND(R1665="positive",T1665="positive"),"a",IF(T1665="positive","b",IF(R1665="positive","c","d")))))</x:f>
        <x:v>a</x:v>
      </x:c>
      <x:c r="V1665" s="12"/>
      <x:c r="W1665" s="12" t="str">
        <x:v>negative</x:v>
      </x:c>
      <x:c r="X1665" s="12"/>
      <x:c r="Y1665" s="12" t="str">
        <x:v>negative</x:v>
      </x:c>
      <x:c r="Z1665" s="12" t="str">
        <x:f>IF(OR(W1665="unavailable",Y1665="unavailable"),"不可评价",IF(OR(W1665="equivocal",Y1665="equivocal"),"疑似",IF(AND(W1665="positive",Y1665="positive"),"a",IF(Y1665="positive","b",IF(W1665="positive","c","d")))))</x:f>
        <x:v>d</x:v>
      </x:c>
      <x:c r="AA1665" s="12" t="str">
        <x:f>IF(OR(M1665="unavailable",O1665="unavailable"),"不可评价",IF(AND(OR(M1665="positive",M1665="equivocal"),OR(O1665="positive",O1665="equivocal")),"a",IF(OR(O1665="positive",O1665="equivocal"),"b",IF(OR(M1665="positive",M1665="equivocal"),"c","d"))))</x:f>
        <x:v>d</x:v>
      </x:c>
      <x:c r="AB1665" s="12" t="str">
        <x:f>IF(OR(M1665="unavailable",O1665="unavailable"),"不可评价",IF(AND(M1665="positive",O1665="positive"),"a",IF(O1665="positive","b",IF(M1665="positive","c","d"))))</x:f>
        <x:v>d</x:v>
      </x:c>
      <x:c r="AC1665" s="12" t="str">
        <x:f>IF(OR(R1665="unavailable",T1665="unavailable"),"不可评价",IF(AND(OR(R1665="positive",R1665="equivocal"),OR(T1665="positive",T1665="equivocal")),"a",IF(OR(T1665="positive",T1665="equivocal"),"b",IF(OR(R1665="positive",R1665="equivocal"),"c","d"))))</x:f>
        <x:v>a</x:v>
      </x:c>
      <x:c r="AD1665" s="12" t="str">
        <x:f>IF(OR(R1665="unavailable",T1665="unavailable"),"不可评价",IF(AND(R1665="positive",T1665="positive"),"a",IF(T1665="positive","b",IF(R1665="positive","c","d"))))</x:f>
        <x:v>a</x:v>
      </x:c>
      <x:c r="AE1665" s="12" t="str">
        <x:f>IF(OR(W1665="unavailable",Y1665="unavailable"),"不可评价",IF(AND(OR(W1665="positive",W1665="equivocal"),OR(Y1665="positive",Y1665="equivocal")),"a",IF(OR(Y1665="positive",Y1665="equivocal"),"b",IF(OR(W1665="positive",W1665="equivocal"),"c","d"))))</x:f>
        <x:v>d</x:v>
      </x:c>
      <x:c r="AF1665" s="12" t="str">
        <x:f>IF(OR(W1665="unavailable",Y1665="unavailable"),"不可评价",IF(AND(W1665="positive",Y1665="positive"),"a",IF(Y1665="positive","b",IF(W1665="positive","c","d"))))</x:f>
        <x:v>d</x:v>
      </x:c>
    </x:row>
    <x:row r="1666" ht="24" customHeight="1">
      <x:c r="A1666" s="12" t="str">
        <x:v>15800</x:v>
      </x:c>
      <x:c r="B1666" s="12" t="str">
        <x:v>8134</x:v>
      </x:c>
      <x:c r="C1666" s="21" t="n">
        <x:v>35127.274201388886</x:v>
      </x:c>
      <x:c r="D1666" s="12" t="n">
        <x:v>83</x:v>
      </x:c>
      <x:c r="E1666" s="12" t="n">
        <x:v>1</x:v>
      </x:c>
      <x:c r="F1666" s="12" t="str">
        <x:v>存在</x:v>
      </x:c>
      <x:c r="G1666" s="12" t="n">
        <x:v>1</x:v>
      </x:c>
      <x:c r="H1666" s="12" t="str">
        <x:v>{'NST_': 100.0, 'PVC': 100.0, 'AFIB': 0.0}</x:v>
      </x:c>
      <x:c r="I1666" s="12" t="str">
        <x:v>[('AFIB', 100.0), ('VPCX', 100.0), ('ST&amp;', 100.0), ('IT', 100.0), ('AB', 100.0)]</x:v>
      </x:c>
      <x:c r="J1666" s="12" t="str">
        <x:v>ptbxl_database.csv；ecg_id=15800；scp_codes</x:v>
      </x:c>
      <x:c r="K1666" s="12" t="str">
        <x:v>12sl_statements.csv；ecg_id=15800；statements_ext_snomed</x:v>
      </x:c>
      <x:c r="L1666" s="12" t="n">
        <x:v>0</x:v>
      </x:c>
      <x:c r="M1666" s="12" t="str">
        <x:v>positive</x:v>
      </x:c>
      <x:c r="N1666" s="12" t="n">
        <x:v>100</x:v>
      </x:c>
      <x:c r="O1666" s="12" t="str">
        <x:v>positive</x:v>
      </x:c>
      <x:c r="P1666" s="12" t="str">
        <x:f>IF(OR(M1666="unavailable",O1666="unavailable"),"不可评价",IF(OR(M1666="equivocal",O1666="equivocal"),"疑似",IF(AND(M1666="positive",O1666="positive"),"a",IF(O1666="positive","b",IF(M1666="positive","c","d")))))</x:f>
        <x:v>a</x:v>
      </x:c>
      <x:c r="Q1666" s="12"/>
      <x:c r="R1666" s="12" t="str">
        <x:v>negative</x:v>
      </x:c>
      <x:c r="S1666" s="12"/>
      <x:c r="T1666" s="12" t="str">
        <x:v>negative</x:v>
      </x:c>
      <x:c r="U1666" s="12" t="str">
        <x:f>IF(OR(R1666="unavailable",T1666="unavailable"),"不可评价",IF(OR(R1666="equivocal",T1666="equivocal"),"疑似",IF(AND(R1666="positive",T1666="positive"),"a",IF(T1666="positive","b",IF(R1666="positive","c","d")))))</x:f>
        <x:v>d</x:v>
      </x:c>
      <x:c r="V1666" s="12"/>
      <x:c r="W1666" s="12" t="str">
        <x:v>negative</x:v>
      </x:c>
      <x:c r="X1666" s="12"/>
      <x:c r="Y1666" s="12" t="str">
        <x:v>negative</x:v>
      </x:c>
      <x:c r="Z1666" s="12" t="str">
        <x:f>IF(OR(W1666="unavailable",Y1666="unavailable"),"不可评价",IF(OR(W1666="equivocal",Y1666="equivocal"),"疑似",IF(AND(W1666="positive",Y1666="positive"),"a",IF(Y1666="positive","b",IF(W1666="positive","c","d")))))</x:f>
        <x:v>d</x:v>
      </x:c>
      <x:c r="AA1666" s="12" t="str">
        <x:f>IF(OR(M1666="unavailable",O1666="unavailable"),"不可评价",IF(AND(OR(M1666="positive",M1666="equivocal"),OR(O1666="positive",O1666="equivocal")),"a",IF(OR(O1666="positive",O1666="equivocal"),"b",IF(OR(M1666="positive",M1666="equivocal"),"c","d"))))</x:f>
        <x:v>a</x:v>
      </x:c>
      <x:c r="AB1666" s="12" t="str">
        <x:f>IF(OR(M1666="unavailable",O1666="unavailable"),"不可评价",IF(AND(M1666="positive",O1666="positive"),"a",IF(O1666="positive","b",IF(M1666="positive","c","d"))))</x:f>
        <x:v>a</x:v>
      </x:c>
      <x:c r="AC1666" s="12" t="str">
        <x:f>IF(OR(R1666="unavailable",T1666="unavailable"),"不可评价",IF(AND(OR(R1666="positive",R1666="equivocal"),OR(T1666="positive",T1666="equivocal")),"a",IF(OR(T1666="positive",T1666="equivocal"),"b",IF(OR(R1666="positive",R1666="equivocal"),"c","d"))))</x:f>
        <x:v>d</x:v>
      </x:c>
      <x:c r="AD1666" s="12" t="str">
        <x:f>IF(OR(R1666="unavailable",T1666="unavailable"),"不可评价",IF(AND(R1666="positive",T1666="positive"),"a",IF(T1666="positive","b",IF(R1666="positive","c","d"))))</x:f>
        <x:v>d</x:v>
      </x:c>
      <x:c r="AE1666" s="12" t="str">
        <x:f>IF(OR(W1666="unavailable",Y1666="unavailable"),"不可评价",IF(AND(OR(W1666="positive",W1666="equivocal"),OR(Y1666="positive",Y1666="equivocal")),"a",IF(OR(Y1666="positive",Y1666="equivocal"),"b",IF(OR(W1666="positive",W1666="equivocal"),"c","d"))))</x:f>
        <x:v>d</x:v>
      </x:c>
      <x:c r="AF1666" s="12" t="str">
        <x:f>IF(OR(W1666="unavailable",Y1666="unavailable"),"不可评价",IF(AND(W1666="positive",Y1666="positive"),"a",IF(Y1666="positive","b",IF(W1666="positive","c","d"))))</x:f>
        <x:v>d</x:v>
      </x:c>
    </x:row>
    <x:row r="1667" ht="24" customHeight="1">
      <x:c r="A1667" s="12" t="str">
        <x:v>15803</x:v>
      </x:c>
      <x:c r="B1667" s="12" t="str">
        <x:v>15587</x:v>
      </x:c>
      <x:c r="C1667" s="21" t="n">
        <x:v>35127.36017361111</x:v>
      </x:c>
      <x:c r="D1667" s="12" t="n">
        <x:v>68</x:v>
      </x:c>
      <x:c r="E1667" s="12" t="n">
        <x:v>1</x:v>
      </x:c>
      <x:c r="F1667" s="12" t="str">
        <x:v>未记录</x:v>
      </x:c>
      <x:c r="G1667" s="12" t="n">
        <x:v>1</x:v>
      </x:c>
      <x:c r="H1667" s="12" t="str">
        <x:v>{'NORM': 100.0, 'SR': 0.0}</x:v>
      </x:c>
      <x:c r="I1667" s="12" t="str">
        <x:v>[('NSR', 100.0), ('NML', 100.0)]</x:v>
      </x:c>
      <x:c r="J1667" s="12" t="str">
        <x:v>ptbxl_database.csv；ecg_id=15803；scp_codes</x:v>
      </x:c>
      <x:c r="K1667" s="12" t="str">
        <x:v>12sl_statements.csv；ecg_id=15803；statements_ext_snomed</x:v>
      </x:c>
      <x:c r="L1667" s="12"/>
      <x:c r="M1667" s="12" t="str">
        <x:v>negative</x:v>
      </x:c>
      <x:c r="N1667" s="12"/>
      <x:c r="O1667" s="12" t="str">
        <x:v>negative</x:v>
      </x:c>
      <x:c r="P1667" s="12" t="str">
        <x:f>IF(OR(M1667="unavailable",O1667="unavailable"),"不可评价",IF(OR(M1667="equivocal",O1667="equivocal"),"疑似",IF(AND(M1667="positive",O1667="positive"),"a",IF(O1667="positive","b",IF(M1667="positive","c","d")))))</x:f>
        <x:v>d</x:v>
      </x:c>
      <x:c r="Q1667" s="12"/>
      <x:c r="R1667" s="12" t="str">
        <x:v>negative</x:v>
      </x:c>
      <x:c r="S1667" s="12"/>
      <x:c r="T1667" s="12" t="str">
        <x:v>negative</x:v>
      </x:c>
      <x:c r="U1667" s="12" t="str">
        <x:f>IF(OR(R1667="unavailable",T1667="unavailable"),"不可评价",IF(OR(R1667="equivocal",T1667="equivocal"),"疑似",IF(AND(R1667="positive",T1667="positive"),"a",IF(T1667="positive","b",IF(R1667="positive","c","d")))))</x:f>
        <x:v>d</x:v>
      </x:c>
      <x:c r="V1667" s="12"/>
      <x:c r="W1667" s="12" t="str">
        <x:v>negative</x:v>
      </x:c>
      <x:c r="X1667" s="12"/>
      <x:c r="Y1667" s="12" t="str">
        <x:v>negative</x:v>
      </x:c>
      <x:c r="Z1667" s="12" t="str">
        <x:f>IF(OR(W1667="unavailable",Y1667="unavailable"),"不可评价",IF(OR(W1667="equivocal",Y1667="equivocal"),"疑似",IF(AND(W1667="positive",Y1667="positive"),"a",IF(Y1667="positive","b",IF(W1667="positive","c","d")))))</x:f>
        <x:v>d</x:v>
      </x:c>
      <x:c r="AA1667" s="12" t="str">
        <x:f>IF(OR(M1667="unavailable",O1667="unavailable"),"不可评价",IF(AND(OR(M1667="positive",M1667="equivocal"),OR(O1667="positive",O1667="equivocal")),"a",IF(OR(O1667="positive",O1667="equivocal"),"b",IF(OR(M1667="positive",M1667="equivocal"),"c","d"))))</x:f>
        <x:v>d</x:v>
      </x:c>
      <x:c r="AB1667" s="12" t="str">
        <x:f>IF(OR(M1667="unavailable",O1667="unavailable"),"不可评价",IF(AND(M1667="positive",O1667="positive"),"a",IF(O1667="positive","b",IF(M1667="positive","c","d"))))</x:f>
        <x:v>d</x:v>
      </x:c>
      <x:c r="AC1667" s="12" t="str">
        <x:f>IF(OR(R1667="unavailable",T1667="unavailable"),"不可评价",IF(AND(OR(R1667="positive",R1667="equivocal"),OR(T1667="positive",T1667="equivocal")),"a",IF(OR(T1667="positive",T1667="equivocal"),"b",IF(OR(R1667="positive",R1667="equivocal"),"c","d"))))</x:f>
        <x:v>d</x:v>
      </x:c>
      <x:c r="AD1667" s="12" t="str">
        <x:f>IF(OR(R1667="unavailable",T1667="unavailable"),"不可评价",IF(AND(R1667="positive",T1667="positive"),"a",IF(T1667="positive","b",IF(R1667="positive","c","d"))))</x:f>
        <x:v>d</x:v>
      </x:c>
      <x:c r="AE1667" s="12" t="str">
        <x:f>IF(OR(W1667="unavailable",Y1667="unavailable"),"不可评价",IF(AND(OR(W1667="positive",W1667="equivocal"),OR(Y1667="positive",Y1667="equivocal")),"a",IF(OR(Y1667="positive",Y1667="equivocal"),"b",IF(OR(W1667="positive",W1667="equivocal"),"c","d"))))</x:f>
        <x:v>d</x:v>
      </x:c>
      <x:c r="AF1667" s="12" t="str">
        <x:f>IF(OR(W1667="unavailable",Y1667="unavailable"),"不可评价",IF(AND(W1667="positive",Y1667="positive"),"a",IF(Y1667="positive","b",IF(W1667="positive","c","d"))))</x:f>
        <x:v>d</x:v>
      </x:c>
    </x:row>
    <x:row r="1668" ht="24" customHeight="1">
      <x:c r="A1668" s="12" t="str">
        <x:v>15809</x:v>
      </x:c>
      <x:c r="B1668" s="12" t="str">
        <x:v>20021</x:v>
      </x:c>
      <x:c r="C1668" s="21" t="n">
        <x:v>35128.406226851854</x:v>
      </x:c>
      <x:c r="D1668" s="12" t="n">
        <x:v>68</x:v>
      </x:c>
      <x:c r="E1668" s="12" t="n">
        <x:v>0</x:v>
      </x:c>
      <x:c r="F1668" s="12" t="str">
        <x:v>未记录</x:v>
      </x:c>
      <x:c r="G1668" s="12" t="n">
        <x:v>1</x:v>
      </x:c>
      <x:c r="H1668" s="12" t="str">
        <x:v>{'IMI': 15.0, 'LVH': 50.0, 'NST_': 100.0, 'AFIB': 0.0}</x:v>
      </x:c>
      <x:c r="I1668" s="12" t="str">
        <x:v>[('AFIB', 100.0), ('CJP', 100.0), ('IMI;AU', 50.0), ('AB', 100.0)]</x:v>
      </x:c>
      <x:c r="J1668" s="12" t="str">
        <x:v>ptbxl_database.csv；ecg_id=15809；scp_codes</x:v>
      </x:c>
      <x:c r="K1668" s="12" t="str">
        <x:v>12sl_statements.csv；ecg_id=15809；statements_ext_snomed</x:v>
      </x:c>
      <x:c r="L1668" s="12" t="n">
        <x:v>0</x:v>
      </x:c>
      <x:c r="M1668" s="12" t="str">
        <x:v>positive</x:v>
      </x:c>
      <x:c r="N1668" s="12" t="n">
        <x:v>100</x:v>
      </x:c>
      <x:c r="O1668" s="12" t="str">
        <x:v>positive</x:v>
      </x:c>
      <x:c r="P1668" s="12" t="str">
        <x:f>IF(OR(M1668="unavailable",O1668="unavailable"),"不可评价",IF(OR(M1668="equivocal",O1668="equivocal"),"疑似",IF(AND(M1668="positive",O1668="positive"),"a",IF(O1668="positive","b",IF(M1668="positive","c","d")))))</x:f>
        <x:v>a</x:v>
      </x:c>
      <x:c r="Q1668" s="12"/>
      <x:c r="R1668" s="12" t="str">
        <x:v>negative</x:v>
      </x:c>
      <x:c r="S1668" s="12"/>
      <x:c r="T1668" s="12" t="str">
        <x:v>negative</x:v>
      </x:c>
      <x:c r="U1668" s="12" t="str">
        <x:f>IF(OR(R1668="unavailable",T1668="unavailable"),"不可评价",IF(OR(R1668="equivocal",T1668="equivocal"),"疑似",IF(AND(R1668="positive",T1668="positive"),"a",IF(T1668="positive","b",IF(R1668="positive","c","d")))))</x:f>
        <x:v>d</x:v>
      </x:c>
      <x:c r="V1668" s="12"/>
      <x:c r="W1668" s="12" t="str">
        <x:v>negative</x:v>
      </x:c>
      <x:c r="X1668" s="12"/>
      <x:c r="Y1668" s="12" t="str">
        <x:v>negative</x:v>
      </x:c>
      <x:c r="Z1668" s="12" t="str">
        <x:f>IF(OR(W1668="unavailable",Y1668="unavailable"),"不可评价",IF(OR(W1668="equivocal",Y1668="equivocal"),"疑似",IF(AND(W1668="positive",Y1668="positive"),"a",IF(Y1668="positive","b",IF(W1668="positive","c","d")))))</x:f>
        <x:v>d</x:v>
      </x:c>
      <x:c r="AA1668" s="12" t="str">
        <x:f>IF(OR(M1668="unavailable",O1668="unavailable"),"不可评价",IF(AND(OR(M1668="positive",M1668="equivocal"),OR(O1668="positive",O1668="equivocal")),"a",IF(OR(O1668="positive",O1668="equivocal"),"b",IF(OR(M1668="positive",M1668="equivocal"),"c","d"))))</x:f>
        <x:v>a</x:v>
      </x:c>
      <x:c r="AB1668" s="12" t="str">
        <x:f>IF(OR(M1668="unavailable",O1668="unavailable"),"不可评价",IF(AND(M1668="positive",O1668="positive"),"a",IF(O1668="positive","b",IF(M1668="positive","c","d"))))</x:f>
        <x:v>a</x:v>
      </x:c>
      <x:c r="AC1668" s="12" t="str">
        <x:f>IF(OR(R1668="unavailable",T1668="unavailable"),"不可评价",IF(AND(OR(R1668="positive",R1668="equivocal"),OR(T1668="positive",T1668="equivocal")),"a",IF(OR(T1668="positive",T1668="equivocal"),"b",IF(OR(R1668="positive",R1668="equivocal"),"c","d"))))</x:f>
        <x:v>d</x:v>
      </x:c>
      <x:c r="AD1668" s="12" t="str">
        <x:f>IF(OR(R1668="unavailable",T1668="unavailable"),"不可评价",IF(AND(R1668="positive",T1668="positive"),"a",IF(T1668="positive","b",IF(R1668="positive","c","d"))))</x:f>
        <x:v>d</x:v>
      </x:c>
      <x:c r="AE1668" s="12" t="str">
        <x:f>IF(OR(W1668="unavailable",Y1668="unavailable"),"不可评价",IF(AND(OR(W1668="positive",W1668="equivocal"),OR(Y1668="positive",Y1668="equivocal")),"a",IF(OR(Y1668="positive",Y1668="equivocal"),"b",IF(OR(W1668="positive",W1668="equivocal"),"c","d"))))</x:f>
        <x:v>d</x:v>
      </x:c>
      <x:c r="AF1668" s="12" t="str">
        <x:f>IF(OR(W1668="unavailable",Y1668="unavailable"),"不可评价",IF(AND(W1668="positive",Y1668="positive"),"a",IF(Y1668="positive","b",IF(W1668="positive","c","d"))))</x:f>
        <x:v>d</x:v>
      </x:c>
    </x:row>
    <x:row r="1669" ht="24" customHeight="1">
      <x:c r="A1669" s="12" t="str">
        <x:v>15810</x:v>
      </x:c>
      <x:c r="B1669" s="12" t="str">
        <x:v>13471</x:v>
      </x:c>
      <x:c r="C1669" s="21" t="n">
        <x:v>35128.57971064815</x:v>
      </x:c>
      <x:c r="D1669" s="12" t="n">
        <x:v>45</x:v>
      </x:c>
      <x:c r="E1669" s="12" t="n">
        <x:v>0</x:v>
      </x:c>
      <x:c r="F1669" s="12" t="str">
        <x:v>未记录</x:v>
      </x:c>
      <x:c r="G1669" s="12" t="n">
        <x:v>1</x:v>
      </x:c>
      <x:c r="H1669" s="12" t="str">
        <x:v>{'LMI': 50.0, 'LAFB': 100.0, 'SR': 0.0}</x:v>
      </x:c>
      <x:c r="I1669" s="12" t="str">
        <x:v>[('NSR', 100.0), ('LAD3', 100.0), ('IVCB', 100.0), ('AB', 100.0)]</x:v>
      </x:c>
      <x:c r="J1669" s="12" t="str">
        <x:v>ptbxl_database.csv；ecg_id=15810；scp_codes</x:v>
      </x:c>
      <x:c r="K1669" s="12" t="str">
        <x:v>12sl_statements.csv；ecg_id=15810；statements_ext_snomed</x:v>
      </x:c>
      <x:c r="L1669" s="12"/>
      <x:c r="M1669" s="12" t="str">
        <x:v>negative</x:v>
      </x:c>
      <x:c r="N1669" s="12"/>
      <x:c r="O1669" s="12" t="str">
        <x:v>negative</x:v>
      </x:c>
      <x:c r="P1669" s="12" t="str">
        <x:f>IF(OR(M1669="unavailable",O1669="unavailable"),"不可评价",IF(OR(M1669="equivocal",O1669="equivocal"),"疑似",IF(AND(M1669="positive",O1669="positive"),"a",IF(O1669="positive","b",IF(M1669="positive","c","d")))))</x:f>
        <x:v>d</x:v>
      </x:c>
      <x:c r="Q1669" s="12"/>
      <x:c r="R1669" s="12" t="str">
        <x:v>negative</x:v>
      </x:c>
      <x:c r="S1669" s="12"/>
      <x:c r="T1669" s="12" t="str">
        <x:v>negative</x:v>
      </x:c>
      <x:c r="U1669" s="12" t="str">
        <x:f>IF(OR(R1669="unavailable",T1669="unavailable"),"不可评价",IF(OR(R1669="equivocal",T1669="equivocal"),"疑似",IF(AND(R1669="positive",T1669="positive"),"a",IF(T1669="positive","b",IF(R1669="positive","c","d")))))</x:f>
        <x:v>d</x:v>
      </x:c>
      <x:c r="V1669" s="12"/>
      <x:c r="W1669" s="12" t="str">
        <x:v>negative</x:v>
      </x:c>
      <x:c r="X1669" s="12"/>
      <x:c r="Y1669" s="12" t="str">
        <x:v>negative</x:v>
      </x:c>
      <x:c r="Z1669" s="12" t="str">
        <x:f>IF(OR(W1669="unavailable",Y1669="unavailable"),"不可评价",IF(OR(W1669="equivocal",Y1669="equivocal"),"疑似",IF(AND(W1669="positive",Y1669="positive"),"a",IF(Y1669="positive","b",IF(W1669="positive","c","d")))))</x:f>
        <x:v>d</x:v>
      </x:c>
      <x:c r="AA1669" s="12" t="str">
        <x:f>IF(OR(M1669="unavailable",O1669="unavailable"),"不可评价",IF(AND(OR(M1669="positive",M1669="equivocal"),OR(O1669="positive",O1669="equivocal")),"a",IF(OR(O1669="positive",O1669="equivocal"),"b",IF(OR(M1669="positive",M1669="equivocal"),"c","d"))))</x:f>
        <x:v>d</x:v>
      </x:c>
      <x:c r="AB1669" s="12" t="str">
        <x:f>IF(OR(M1669="unavailable",O1669="unavailable"),"不可评价",IF(AND(M1669="positive",O1669="positive"),"a",IF(O1669="positive","b",IF(M1669="positive","c","d"))))</x:f>
        <x:v>d</x:v>
      </x:c>
      <x:c r="AC1669" s="12" t="str">
        <x:f>IF(OR(R1669="unavailable",T1669="unavailable"),"不可评价",IF(AND(OR(R1669="positive",R1669="equivocal"),OR(T1669="positive",T1669="equivocal")),"a",IF(OR(T1669="positive",T1669="equivocal"),"b",IF(OR(R1669="positive",R1669="equivocal"),"c","d"))))</x:f>
        <x:v>d</x:v>
      </x:c>
      <x:c r="AD1669" s="12" t="str">
        <x:f>IF(OR(R1669="unavailable",T1669="unavailable"),"不可评价",IF(AND(R1669="positive",T1669="positive"),"a",IF(T1669="positive","b",IF(R1669="positive","c","d"))))</x:f>
        <x:v>d</x:v>
      </x:c>
      <x:c r="AE1669" s="12" t="str">
        <x:f>IF(OR(W1669="unavailable",Y1669="unavailable"),"不可评价",IF(AND(OR(W1669="positive",W1669="equivocal"),OR(Y1669="positive",Y1669="equivocal")),"a",IF(OR(Y1669="positive",Y1669="equivocal"),"b",IF(OR(W1669="positive",W1669="equivocal"),"c","d"))))</x:f>
        <x:v>d</x:v>
      </x:c>
      <x:c r="AF1669" s="12" t="str">
        <x:f>IF(OR(W1669="unavailable",Y1669="unavailable"),"不可评价",IF(AND(W1669="positive",Y1669="positive"),"a",IF(Y1669="positive","b",IF(W1669="positive","c","d"))))</x:f>
        <x:v>d</x:v>
      </x:c>
    </x:row>
    <x:row r="1670" ht="24" customHeight="1">
      <x:c r="A1670" s="12" t="str">
        <x:v>15817</x:v>
      </x:c>
      <x:c r="B1670" s="12" t="str">
        <x:v>21386</x:v>
      </x:c>
      <x:c r="C1670" s="21" t="n">
        <x:v>35131.35391203704</x:v>
      </x:c>
      <x:c r="D1670" s="12" t="n">
        <x:v>58</x:v>
      </x:c>
      <x:c r="E1670" s="12" t="n">
        <x:v>1</x:v>
      </x:c>
      <x:c r="F1670" s="12" t="str">
        <x:v>存在</x:v>
      </x:c>
      <x:c r="G1670" s="12" t="n">
        <x:v>0</x:v>
      </x:c>
      <x:c r="H1670" s="12" t="str">
        <x:v>{'LAFB': 100.0, 'ABQRS': 0.0, 'SR': 0.0}</x:v>
      </x:c>
      <x:c r="I1670" s="12" t="str">
        <x:v>[('NSR', 100.0), ('AFB', 100.0), ('AB', 100.0)]</x:v>
      </x:c>
      <x:c r="J1670" s="12" t="str">
        <x:v>ptbxl_database.csv；ecg_id=15817；scp_codes</x:v>
      </x:c>
      <x:c r="K1670" s="12" t="str">
        <x:v>12sl_statements.csv；ecg_id=15817；statements_ext_snomed</x:v>
      </x:c>
      <x:c r="L1670" s="12"/>
      <x:c r="M1670" s="12" t="str">
        <x:v>negative</x:v>
      </x:c>
      <x:c r="N1670" s="12"/>
      <x:c r="O1670" s="12" t="str">
        <x:v>negative</x:v>
      </x:c>
      <x:c r="P1670" s="12" t="str">
        <x:f>IF(OR(M1670="unavailable",O1670="unavailable"),"不可评价",IF(OR(M1670="equivocal",O1670="equivocal"),"疑似",IF(AND(M1670="positive",O1670="positive"),"a",IF(O1670="positive","b",IF(M1670="positive","c","d")))))</x:f>
        <x:v>d</x:v>
      </x:c>
      <x:c r="Q1670" s="12"/>
      <x:c r="R1670" s="12" t="str">
        <x:v>negative</x:v>
      </x:c>
      <x:c r="S1670" s="12"/>
      <x:c r="T1670" s="12" t="str">
        <x:v>negative</x:v>
      </x:c>
      <x:c r="U1670" s="12" t="str">
        <x:f>IF(OR(R1670="unavailable",T1670="unavailable"),"不可评价",IF(OR(R1670="equivocal",T1670="equivocal"),"疑似",IF(AND(R1670="positive",T1670="positive"),"a",IF(T1670="positive","b",IF(R1670="positive","c","d")))))</x:f>
        <x:v>d</x:v>
      </x:c>
      <x:c r="V1670" s="12"/>
      <x:c r="W1670" s="12" t="str">
        <x:v>negative</x:v>
      </x:c>
      <x:c r="X1670" s="12"/>
      <x:c r="Y1670" s="12" t="str">
        <x:v>negative</x:v>
      </x:c>
      <x:c r="Z1670" s="12" t="str">
        <x:f>IF(OR(W1670="unavailable",Y1670="unavailable"),"不可评价",IF(OR(W1670="equivocal",Y1670="equivocal"),"疑似",IF(AND(W1670="positive",Y1670="positive"),"a",IF(Y1670="positive","b",IF(W1670="positive","c","d")))))</x:f>
        <x:v>d</x:v>
      </x:c>
      <x:c r="AA1670" s="12" t="str">
        <x:f>IF(OR(M1670="unavailable",O1670="unavailable"),"不可评价",IF(AND(OR(M1670="positive",M1670="equivocal"),OR(O1670="positive",O1670="equivocal")),"a",IF(OR(O1670="positive",O1670="equivocal"),"b",IF(OR(M1670="positive",M1670="equivocal"),"c","d"))))</x:f>
        <x:v>d</x:v>
      </x:c>
      <x:c r="AB1670" s="12" t="str">
        <x:f>IF(OR(M1670="unavailable",O1670="unavailable"),"不可评价",IF(AND(M1670="positive",O1670="positive"),"a",IF(O1670="positive","b",IF(M1670="positive","c","d"))))</x:f>
        <x:v>d</x:v>
      </x:c>
      <x:c r="AC1670" s="12" t="str">
        <x:f>IF(OR(R1670="unavailable",T1670="unavailable"),"不可评价",IF(AND(OR(R1670="positive",R1670="equivocal"),OR(T1670="positive",T1670="equivocal")),"a",IF(OR(T1670="positive",T1670="equivocal"),"b",IF(OR(R1670="positive",R1670="equivocal"),"c","d"))))</x:f>
        <x:v>d</x:v>
      </x:c>
      <x:c r="AD1670" s="12" t="str">
        <x:f>IF(OR(R1670="unavailable",T1670="unavailable"),"不可评价",IF(AND(R1670="positive",T1670="positive"),"a",IF(T1670="positive","b",IF(R1670="positive","c","d"))))</x:f>
        <x:v>d</x:v>
      </x:c>
      <x:c r="AE1670" s="12" t="str">
        <x:f>IF(OR(W1670="unavailable",Y1670="unavailable"),"不可评价",IF(AND(OR(W1670="positive",W1670="equivocal"),OR(Y1670="positive",Y1670="equivocal")),"a",IF(OR(Y1670="positive",Y1670="equivocal"),"b",IF(OR(W1670="positive",W1670="equivocal"),"c","d"))))</x:f>
        <x:v>d</x:v>
      </x:c>
      <x:c r="AF1670" s="12" t="str">
        <x:f>IF(OR(W1670="unavailable",Y1670="unavailable"),"不可评价",IF(AND(W1670="positive",Y1670="positive"),"a",IF(Y1670="positive","b",IF(W1670="positive","c","d"))))</x:f>
        <x:v>d</x:v>
      </x:c>
    </x:row>
    <x:row r="1671" ht="24" customHeight="1">
      <x:c r="A1671" s="12" t="str">
        <x:v>15821</x:v>
      </x:c>
      <x:c r="B1671" s="12" t="str">
        <x:v>11562</x:v>
      </x:c>
      <x:c r="C1671" s="21" t="n">
        <x:v>35132.820069444446</x:v>
      </x:c>
      <x:c r="D1671" s="12" t="n">
        <x:v>74</x:v>
      </x:c>
      <x:c r="E1671" s="12" t="n">
        <x:v>1</x:v>
      </x:c>
      <x:c r="F1671" s="12" t="str">
        <x:v>存在</x:v>
      </x:c>
      <x:c r="G1671" s="12" t="n">
        <x:v>1</x:v>
      </x:c>
      <x:c r="H1671" s="12" t="str">
        <x:v>{'NORM': 100.0, 'SR': 0.0}</x:v>
      </x:c>
      <x:c r="I1671" s="12" t="str">
        <x:v>[('NSR', 100.0), ('NML', 100.0)]</x:v>
      </x:c>
      <x:c r="J1671" s="12" t="str">
        <x:v>ptbxl_database.csv；ecg_id=15821；scp_codes</x:v>
      </x:c>
      <x:c r="K1671" s="12" t="str">
        <x:v>12sl_statements.csv；ecg_id=15821；statements_ext_snomed</x:v>
      </x:c>
      <x:c r="L1671" s="12"/>
      <x:c r="M1671" s="12" t="str">
        <x:v>negative</x:v>
      </x:c>
      <x:c r="N1671" s="12"/>
      <x:c r="O1671" s="12" t="str">
        <x:v>negative</x:v>
      </x:c>
      <x:c r="P1671" s="12" t="str">
        <x:f>IF(OR(M1671="unavailable",O1671="unavailable"),"不可评价",IF(OR(M1671="equivocal",O1671="equivocal"),"疑似",IF(AND(M1671="positive",O1671="positive"),"a",IF(O1671="positive","b",IF(M1671="positive","c","d")))))</x:f>
        <x:v>d</x:v>
      </x:c>
      <x:c r="Q1671" s="12"/>
      <x:c r="R1671" s="12" t="str">
        <x:v>negative</x:v>
      </x:c>
      <x:c r="S1671" s="12"/>
      <x:c r="T1671" s="12" t="str">
        <x:v>negative</x:v>
      </x:c>
      <x:c r="U1671" s="12" t="str">
        <x:f>IF(OR(R1671="unavailable",T1671="unavailable"),"不可评价",IF(OR(R1671="equivocal",T1671="equivocal"),"疑似",IF(AND(R1671="positive",T1671="positive"),"a",IF(T1671="positive","b",IF(R1671="positive","c","d")))))</x:f>
        <x:v>d</x:v>
      </x:c>
      <x:c r="V1671" s="12"/>
      <x:c r="W1671" s="12" t="str">
        <x:v>negative</x:v>
      </x:c>
      <x:c r="X1671" s="12"/>
      <x:c r="Y1671" s="12" t="str">
        <x:v>negative</x:v>
      </x:c>
      <x:c r="Z1671" s="12" t="str">
        <x:f>IF(OR(W1671="unavailable",Y1671="unavailable"),"不可评价",IF(OR(W1671="equivocal",Y1671="equivocal"),"疑似",IF(AND(W1671="positive",Y1671="positive"),"a",IF(Y1671="positive","b",IF(W1671="positive","c","d")))))</x:f>
        <x:v>d</x:v>
      </x:c>
      <x:c r="AA1671" s="12" t="str">
        <x:f>IF(OR(M1671="unavailable",O1671="unavailable"),"不可评价",IF(AND(OR(M1671="positive",M1671="equivocal"),OR(O1671="positive",O1671="equivocal")),"a",IF(OR(O1671="positive",O1671="equivocal"),"b",IF(OR(M1671="positive",M1671="equivocal"),"c","d"))))</x:f>
        <x:v>d</x:v>
      </x:c>
      <x:c r="AB1671" s="12" t="str">
        <x:f>IF(OR(M1671="unavailable",O1671="unavailable"),"不可评价",IF(AND(M1671="positive",O1671="positive"),"a",IF(O1671="positive","b",IF(M1671="positive","c","d"))))</x:f>
        <x:v>d</x:v>
      </x:c>
      <x:c r="AC1671" s="12" t="str">
        <x:f>IF(OR(R1671="unavailable",T1671="unavailable"),"不可评价",IF(AND(OR(R1671="positive",R1671="equivocal"),OR(T1671="positive",T1671="equivocal")),"a",IF(OR(T1671="positive",T1671="equivocal"),"b",IF(OR(R1671="positive",R1671="equivocal"),"c","d"))))</x:f>
        <x:v>d</x:v>
      </x:c>
      <x:c r="AD1671" s="12" t="str">
        <x:f>IF(OR(R1671="unavailable",T1671="unavailable"),"不可评价",IF(AND(R1671="positive",T1671="positive"),"a",IF(T1671="positive","b",IF(R1671="positive","c","d"))))</x:f>
        <x:v>d</x:v>
      </x:c>
      <x:c r="AE1671" s="12" t="str">
        <x:f>IF(OR(W1671="unavailable",Y1671="unavailable"),"不可评价",IF(AND(OR(W1671="positive",W1671="equivocal"),OR(Y1671="positive",Y1671="equivocal")),"a",IF(OR(Y1671="positive",Y1671="equivocal"),"b",IF(OR(W1671="positive",W1671="equivocal"),"c","d"))))</x:f>
        <x:v>d</x:v>
      </x:c>
      <x:c r="AF1671" s="12" t="str">
        <x:f>IF(OR(W1671="unavailable",Y1671="unavailable"),"不可评价",IF(AND(W1671="positive",Y1671="positive"),"a",IF(Y1671="positive","b",IF(W1671="positive","c","d"))))</x:f>
        <x:v>d</x:v>
      </x:c>
    </x:row>
    <x:row r="1672" ht="24" customHeight="1">
      <x:c r="A1672" s="12" t="str">
        <x:v>15834</x:v>
      </x:c>
      <x:c r="B1672" s="12" t="str">
        <x:v>8905</x:v>
      </x:c>
      <x:c r="C1672" s="21" t="n">
        <x:v>35135.35428240741</x:v>
      </x:c>
      <x:c r="D1672" s="12" t="n">
        <x:v>82</x:v>
      </x:c>
      <x:c r="E1672" s="12" t="n">
        <x:v>1</x:v>
      </x:c>
      <x:c r="F1672" s="12" t="str">
        <x:v>未记录</x:v>
      </x:c>
      <x:c r="G1672" s="12" t="n">
        <x:v>1</x:v>
      </x:c>
      <x:c r="H1672" s="12" t="str">
        <x:v>{'AFIB': 100.0}</x:v>
      </x:c>
      <x:c r="I1672" s="12" t="str">
        <x:v>[('SRTH', 100.0), ('PAC', 100.0), ('ABR', 100.0)]</x:v>
      </x:c>
      <x:c r="J1672" s="12" t="str">
        <x:v>ptbxl_database.csv；ecg_id=15834；scp_codes</x:v>
      </x:c>
      <x:c r="K1672" s="12" t="str">
        <x:v>12sl_statements.csv；ecg_id=15834；statements_ext_snomed</x:v>
      </x:c>
      <x:c r="L1672" s="12" t="n">
        <x:v>100</x:v>
      </x:c>
      <x:c r="M1672" s="12" t="str">
        <x:v>positive</x:v>
      </x:c>
      <x:c r="N1672" s="12"/>
      <x:c r="O1672" s="12" t="str">
        <x:v>negative</x:v>
      </x:c>
      <x:c r="P1672" s="12" t="str">
        <x:f>IF(OR(M1672="unavailable",O1672="unavailable"),"不可评价",IF(OR(M1672="equivocal",O1672="equivocal"),"疑似",IF(AND(M1672="positive",O1672="positive"),"a",IF(O1672="positive","b",IF(M1672="positive","c","d")))))</x:f>
        <x:v>c</x:v>
      </x:c>
      <x:c r="Q1672" s="12"/>
      <x:c r="R1672" s="12" t="str">
        <x:v>negative</x:v>
      </x:c>
      <x:c r="S1672" s="12"/>
      <x:c r="T1672" s="12" t="str">
        <x:v>negative</x:v>
      </x:c>
      <x:c r="U1672" s="12" t="str">
        <x:f>IF(OR(R1672="unavailable",T1672="unavailable"),"不可评价",IF(OR(R1672="equivocal",T1672="equivocal"),"疑似",IF(AND(R1672="positive",T1672="positive"),"a",IF(T1672="positive","b",IF(R1672="positive","c","d")))))</x:f>
        <x:v>d</x:v>
      </x:c>
      <x:c r="V1672" s="12"/>
      <x:c r="W1672" s="12" t="str">
        <x:v>negative</x:v>
      </x:c>
      <x:c r="X1672" s="12"/>
      <x:c r="Y1672" s="12" t="str">
        <x:v>negative</x:v>
      </x:c>
      <x:c r="Z1672" s="12" t="str">
        <x:f>IF(OR(W1672="unavailable",Y1672="unavailable"),"不可评价",IF(OR(W1672="equivocal",Y1672="equivocal"),"疑似",IF(AND(W1672="positive",Y1672="positive"),"a",IF(Y1672="positive","b",IF(W1672="positive","c","d")))))</x:f>
        <x:v>d</x:v>
      </x:c>
      <x:c r="AA1672" s="12" t="str">
        <x:f>IF(OR(M1672="unavailable",O1672="unavailable"),"不可评价",IF(AND(OR(M1672="positive",M1672="equivocal"),OR(O1672="positive",O1672="equivocal")),"a",IF(OR(O1672="positive",O1672="equivocal"),"b",IF(OR(M1672="positive",M1672="equivocal"),"c","d"))))</x:f>
        <x:v>c</x:v>
      </x:c>
      <x:c r="AB1672" s="12" t="str">
        <x:f>IF(OR(M1672="unavailable",O1672="unavailable"),"不可评价",IF(AND(M1672="positive",O1672="positive"),"a",IF(O1672="positive","b",IF(M1672="positive","c","d"))))</x:f>
        <x:v>c</x:v>
      </x:c>
      <x:c r="AC1672" s="12" t="str">
        <x:f>IF(OR(R1672="unavailable",T1672="unavailable"),"不可评价",IF(AND(OR(R1672="positive",R1672="equivocal"),OR(T1672="positive",T1672="equivocal")),"a",IF(OR(T1672="positive",T1672="equivocal"),"b",IF(OR(R1672="positive",R1672="equivocal"),"c","d"))))</x:f>
        <x:v>d</x:v>
      </x:c>
      <x:c r="AD1672" s="12" t="str">
        <x:f>IF(OR(R1672="unavailable",T1672="unavailable"),"不可评价",IF(AND(R1672="positive",T1672="positive"),"a",IF(T1672="positive","b",IF(R1672="positive","c","d"))))</x:f>
        <x:v>d</x:v>
      </x:c>
      <x:c r="AE1672" s="12" t="str">
        <x:f>IF(OR(W1672="unavailable",Y1672="unavailable"),"不可评价",IF(AND(OR(W1672="positive",W1672="equivocal"),OR(Y1672="positive",Y1672="equivocal")),"a",IF(OR(Y1672="positive",Y1672="equivocal"),"b",IF(OR(W1672="positive",W1672="equivocal"),"c","d"))))</x:f>
        <x:v>d</x:v>
      </x:c>
      <x:c r="AF1672" s="12" t="str">
        <x:f>IF(OR(W1672="unavailable",Y1672="unavailable"),"不可评价",IF(AND(W1672="positive",Y1672="positive"),"a",IF(Y1672="positive","b",IF(W1672="positive","c","d"))))</x:f>
        <x:v>d</x:v>
      </x:c>
    </x:row>
    <x:row r="1673" ht="24" customHeight="1">
      <x:c r="A1673" s="12" t="str">
        <x:v>15841</x:v>
      </x:c>
      <x:c r="B1673" s="12" t="str">
        <x:v>15056</x:v>
      </x:c>
      <x:c r="C1673" s="21" t="n">
        <x:v>35136.52578703704</x:v>
      </x:c>
      <x:c r="D1673" s="12" t="n">
        <x:v>81</x:v>
      </x:c>
      <x:c r="E1673" s="12" t="n">
        <x:v>0</x:v>
      </x:c>
      <x:c r="F1673" s="12" t="str">
        <x:v>未记录</x:v>
      </x:c>
      <x:c r="G1673" s="12" t="n">
        <x:v>1</x:v>
      </x:c>
      <x:c r="H1673" s="12" t="str">
        <x:v>{'PACE': 100.0}</x:v>
      </x:c>
      <x:c r="I1673" s="12" t="str">
        <x:v>[('VPR', 100.0), ('AB', 100.0)]</x:v>
      </x:c>
      <x:c r="J1673" s="12" t="str">
        <x:v>ptbxl_database.csv；ecg_id=15841；scp_codes</x:v>
      </x:c>
      <x:c r="K1673" s="12" t="str">
        <x:v>12sl_statements.csv；ecg_id=15841；statements_ext_snomed</x:v>
      </x:c>
      <x:c r="L1673" s="12"/>
      <x:c r="M1673" s="12" t="str">
        <x:v>negative</x:v>
      </x:c>
      <x:c r="N1673" s="12"/>
      <x:c r="O1673" s="12" t="str">
        <x:v>negative</x:v>
      </x:c>
      <x:c r="P1673" s="12" t="str">
        <x:f>IF(OR(M1673="unavailable",O1673="unavailable"),"不可评价",IF(OR(M1673="equivocal",O1673="equivocal"),"疑似",IF(AND(M1673="positive",O1673="positive"),"a",IF(O1673="positive","b",IF(M1673="positive","c","d")))))</x:f>
        <x:v>d</x:v>
      </x:c>
      <x:c r="Q1673" s="12"/>
      <x:c r="R1673" s="12" t="str">
        <x:v>negative</x:v>
      </x:c>
      <x:c r="S1673" s="12"/>
      <x:c r="T1673" s="12" t="str">
        <x:v>negative</x:v>
      </x:c>
      <x:c r="U1673" s="12" t="str">
        <x:f>IF(OR(R1673="unavailable",T1673="unavailable"),"不可评价",IF(OR(R1673="equivocal",T1673="equivocal"),"疑似",IF(AND(R1673="positive",T1673="positive"),"a",IF(T1673="positive","b",IF(R1673="positive","c","d")))))</x:f>
        <x:v>d</x:v>
      </x:c>
      <x:c r="V1673" s="12"/>
      <x:c r="W1673" s="12" t="str">
        <x:v>negative</x:v>
      </x:c>
      <x:c r="X1673" s="12"/>
      <x:c r="Y1673" s="12" t="str">
        <x:v>negative</x:v>
      </x:c>
      <x:c r="Z1673" s="12" t="str">
        <x:f>IF(OR(W1673="unavailable",Y1673="unavailable"),"不可评价",IF(OR(W1673="equivocal",Y1673="equivocal"),"疑似",IF(AND(W1673="positive",Y1673="positive"),"a",IF(Y1673="positive","b",IF(W1673="positive","c","d")))))</x:f>
        <x:v>d</x:v>
      </x:c>
      <x:c r="AA1673" s="12" t="str">
        <x:f>IF(OR(M1673="unavailable",O1673="unavailable"),"不可评价",IF(AND(OR(M1673="positive",M1673="equivocal"),OR(O1673="positive",O1673="equivocal")),"a",IF(OR(O1673="positive",O1673="equivocal"),"b",IF(OR(M1673="positive",M1673="equivocal"),"c","d"))))</x:f>
        <x:v>d</x:v>
      </x:c>
      <x:c r="AB1673" s="12" t="str">
        <x:f>IF(OR(M1673="unavailable",O1673="unavailable"),"不可评价",IF(AND(M1673="positive",O1673="positive"),"a",IF(O1673="positive","b",IF(M1673="positive","c","d"))))</x:f>
        <x:v>d</x:v>
      </x:c>
      <x:c r="AC1673" s="12" t="str">
        <x:f>IF(OR(R1673="unavailable",T1673="unavailable"),"不可评价",IF(AND(OR(R1673="positive",R1673="equivocal"),OR(T1673="positive",T1673="equivocal")),"a",IF(OR(T1673="positive",T1673="equivocal"),"b",IF(OR(R1673="positive",R1673="equivocal"),"c","d"))))</x:f>
        <x:v>d</x:v>
      </x:c>
      <x:c r="AD1673" s="12" t="str">
        <x:f>IF(OR(R1673="unavailable",T1673="unavailable"),"不可评价",IF(AND(R1673="positive",T1673="positive"),"a",IF(T1673="positive","b",IF(R1673="positive","c","d"))))</x:f>
        <x:v>d</x:v>
      </x:c>
      <x:c r="AE1673" s="12" t="str">
        <x:f>IF(OR(W1673="unavailable",Y1673="unavailable"),"不可评价",IF(AND(OR(W1673="positive",W1673="equivocal"),OR(Y1673="positive",Y1673="equivocal")),"a",IF(OR(Y1673="positive",Y1673="equivocal"),"b",IF(OR(W1673="positive",W1673="equivocal"),"c","d"))))</x:f>
        <x:v>d</x:v>
      </x:c>
      <x:c r="AF1673" s="12" t="str">
        <x:f>IF(OR(W1673="unavailable",Y1673="unavailable"),"不可评价",IF(AND(W1673="positive",Y1673="positive"),"a",IF(Y1673="positive","b",IF(W1673="positive","c","d"))))</x:f>
        <x:v>d</x:v>
      </x:c>
    </x:row>
    <x:row r="1674" ht="24" customHeight="1">
      <x:c r="A1674" s="12" t="str">
        <x:v>15852</x:v>
      </x:c>
      <x:c r="B1674" s="12" t="str">
        <x:v>8151</x:v>
      </x:c>
      <x:c r="C1674" s="21" t="n">
        <x:v>35140.28461805556</x:v>
      </x:c>
      <x:c r="D1674" s="12" t="n">
        <x:v>80</x:v>
      </x:c>
      <x:c r="E1674" s="12" t="n">
        <x:v>1</x:v>
      </x:c>
      <x:c r="F1674" s="12" t="str">
        <x:v>存在</x:v>
      </x:c>
      <x:c r="G1674" s="12" t="n">
        <x:v>1</x:v>
      </x:c>
      <x:c r="H1674" s="12" t="str">
        <x:v>{'ASMI': 100.0, 'LAFB': 100.0, 'AFIB': 0.0}</x:v>
      </x:c>
      <x:c r="I1674" s="12" t="str">
        <x:v>[('AFIB', 100.0), ('LAD3', 100.0), ('ASMI;AU', 100.0), ('AB', 100.0)]</x:v>
      </x:c>
      <x:c r="J1674" s="12" t="str">
        <x:v>ptbxl_database.csv；ecg_id=15852；scp_codes</x:v>
      </x:c>
      <x:c r="K1674" s="12" t="str">
        <x:v>12sl_statements.csv；ecg_id=15852；statements_ext_snomed</x:v>
      </x:c>
      <x:c r="L1674" s="12" t="n">
        <x:v>0</x:v>
      </x:c>
      <x:c r="M1674" s="12" t="str">
        <x:v>positive</x:v>
      </x:c>
      <x:c r="N1674" s="12" t="n">
        <x:v>100</x:v>
      </x:c>
      <x:c r="O1674" s="12" t="str">
        <x:v>positive</x:v>
      </x:c>
      <x:c r="P1674" s="12" t="str">
        <x:f>IF(OR(M1674="unavailable",O1674="unavailable"),"不可评价",IF(OR(M1674="equivocal",O1674="equivocal"),"疑似",IF(AND(M1674="positive",O1674="positive"),"a",IF(O1674="positive","b",IF(M1674="positive","c","d")))))</x:f>
        <x:v>a</x:v>
      </x:c>
      <x:c r="Q1674" s="12"/>
      <x:c r="R1674" s="12" t="str">
        <x:v>negative</x:v>
      </x:c>
      <x:c r="S1674" s="12"/>
      <x:c r="T1674" s="12" t="str">
        <x:v>negative</x:v>
      </x:c>
      <x:c r="U1674" s="12" t="str">
        <x:f>IF(OR(R1674="unavailable",T1674="unavailable"),"不可评价",IF(OR(R1674="equivocal",T1674="equivocal"),"疑似",IF(AND(R1674="positive",T1674="positive"),"a",IF(T1674="positive","b",IF(R1674="positive","c","d")))))</x:f>
        <x:v>d</x:v>
      </x:c>
      <x:c r="V1674" s="12"/>
      <x:c r="W1674" s="12" t="str">
        <x:v>negative</x:v>
      </x:c>
      <x:c r="X1674" s="12"/>
      <x:c r="Y1674" s="12" t="str">
        <x:v>negative</x:v>
      </x:c>
      <x:c r="Z1674" s="12" t="str">
        <x:f>IF(OR(W1674="unavailable",Y1674="unavailable"),"不可评价",IF(OR(W1674="equivocal",Y1674="equivocal"),"疑似",IF(AND(W1674="positive",Y1674="positive"),"a",IF(Y1674="positive","b",IF(W1674="positive","c","d")))))</x:f>
        <x:v>d</x:v>
      </x:c>
      <x:c r="AA1674" s="12" t="str">
        <x:f>IF(OR(M1674="unavailable",O1674="unavailable"),"不可评价",IF(AND(OR(M1674="positive",M1674="equivocal"),OR(O1674="positive",O1674="equivocal")),"a",IF(OR(O1674="positive",O1674="equivocal"),"b",IF(OR(M1674="positive",M1674="equivocal"),"c","d"))))</x:f>
        <x:v>a</x:v>
      </x:c>
      <x:c r="AB1674" s="12" t="str">
        <x:f>IF(OR(M1674="unavailable",O1674="unavailable"),"不可评价",IF(AND(M1674="positive",O1674="positive"),"a",IF(O1674="positive","b",IF(M1674="positive","c","d"))))</x:f>
        <x:v>a</x:v>
      </x:c>
      <x:c r="AC1674" s="12" t="str">
        <x:f>IF(OR(R1674="unavailable",T1674="unavailable"),"不可评价",IF(AND(OR(R1674="positive",R1674="equivocal"),OR(T1674="positive",T1674="equivocal")),"a",IF(OR(T1674="positive",T1674="equivocal"),"b",IF(OR(R1674="positive",R1674="equivocal"),"c","d"))))</x:f>
        <x:v>d</x:v>
      </x:c>
      <x:c r="AD1674" s="12" t="str">
        <x:f>IF(OR(R1674="unavailable",T1674="unavailable"),"不可评价",IF(AND(R1674="positive",T1674="positive"),"a",IF(T1674="positive","b",IF(R1674="positive","c","d"))))</x:f>
        <x:v>d</x:v>
      </x:c>
      <x:c r="AE1674" s="12" t="str">
        <x:f>IF(OR(W1674="unavailable",Y1674="unavailable"),"不可评价",IF(AND(OR(W1674="positive",W1674="equivocal"),OR(Y1674="positive",Y1674="equivocal")),"a",IF(OR(Y1674="positive",Y1674="equivocal"),"b",IF(OR(W1674="positive",W1674="equivocal"),"c","d"))))</x:f>
        <x:v>d</x:v>
      </x:c>
      <x:c r="AF1674" s="12" t="str">
        <x:f>IF(OR(W1674="unavailable",Y1674="unavailable"),"不可评价",IF(AND(W1674="positive",Y1674="positive"),"a",IF(Y1674="positive","b",IF(W1674="positive","c","d"))))</x:f>
        <x:v>d</x:v>
      </x:c>
    </x:row>
    <x:row r="1675" ht="24" customHeight="1">
      <x:c r="A1675" s="12" t="str">
        <x:v>15857</x:v>
      </x:c>
      <x:c r="B1675" s="12" t="str">
        <x:v>19454</x:v>
      </x:c>
      <x:c r="C1675" s="21" t="n">
        <x:v>35140.58326388889</x:v>
      </x:c>
      <x:c r="D1675" s="12" t="n">
        <x:v>300</x:v>
      </x:c>
      <x:c r="E1675" s="12" t="n">
        <x:v>1</x:v>
      </x:c>
      <x:c r="F1675" s="12" t="str">
        <x:v>存在</x:v>
      </x:c>
      <x:c r="G1675" s="12" t="n">
        <x:v>1</x:v>
      </x:c>
      <x:c r="H1675" s="12" t="str">
        <x:v>{'PACE': 100.0}</x:v>
      </x:c>
      <x:c r="I1675" s="12" t="str">
        <x:v>[('SRTH', 100.0), ('CHB', 100.0), ('VPR', 100.0), ('AB', 100.0)]</x:v>
      </x:c>
      <x:c r="J1675" s="12" t="str">
        <x:v>ptbxl_database.csv；ecg_id=15857；scp_codes</x:v>
      </x:c>
      <x:c r="K1675" s="12" t="str">
        <x:v>12sl_statements.csv；ecg_id=15857；statements_ext_snomed</x:v>
      </x:c>
      <x:c r="L1675" s="12"/>
      <x:c r="M1675" s="12" t="str">
        <x:v>negative</x:v>
      </x:c>
      <x:c r="N1675" s="12"/>
      <x:c r="O1675" s="12" t="str">
        <x:v>negative</x:v>
      </x:c>
      <x:c r="P1675" s="12" t="str">
        <x:f>IF(OR(M1675="unavailable",O1675="unavailable"),"不可评价",IF(OR(M1675="equivocal",O1675="equivocal"),"疑似",IF(AND(M1675="positive",O1675="positive"),"a",IF(O1675="positive","b",IF(M1675="positive","c","d")))))</x:f>
        <x:v>d</x:v>
      </x:c>
      <x:c r="Q1675" s="12"/>
      <x:c r="R1675" s="12" t="str">
        <x:v>negative</x:v>
      </x:c>
      <x:c r="S1675" s="12"/>
      <x:c r="T1675" s="12" t="str">
        <x:v>negative</x:v>
      </x:c>
      <x:c r="U1675" s="12" t="str">
        <x:f>IF(OR(R1675="unavailable",T1675="unavailable"),"不可评价",IF(OR(R1675="equivocal",T1675="equivocal"),"疑似",IF(AND(R1675="positive",T1675="positive"),"a",IF(T1675="positive","b",IF(R1675="positive","c","d")))))</x:f>
        <x:v>d</x:v>
      </x:c>
      <x:c r="V1675" s="12"/>
      <x:c r="W1675" s="12" t="str">
        <x:v>negative</x:v>
      </x:c>
      <x:c r="X1675" s="12"/>
      <x:c r="Y1675" s="12" t="str">
        <x:v>negative</x:v>
      </x:c>
      <x:c r="Z1675" s="12" t="str">
        <x:f>IF(OR(W1675="unavailable",Y1675="unavailable"),"不可评价",IF(OR(W1675="equivocal",Y1675="equivocal"),"疑似",IF(AND(W1675="positive",Y1675="positive"),"a",IF(Y1675="positive","b",IF(W1675="positive","c","d")))))</x:f>
        <x:v>d</x:v>
      </x:c>
      <x:c r="AA1675" s="12" t="str">
        <x:f>IF(OR(M1675="unavailable",O1675="unavailable"),"不可评价",IF(AND(OR(M1675="positive",M1675="equivocal"),OR(O1675="positive",O1675="equivocal")),"a",IF(OR(O1675="positive",O1675="equivocal"),"b",IF(OR(M1675="positive",M1675="equivocal"),"c","d"))))</x:f>
        <x:v>d</x:v>
      </x:c>
      <x:c r="AB1675" s="12" t="str">
        <x:f>IF(OR(M1675="unavailable",O1675="unavailable"),"不可评价",IF(AND(M1675="positive",O1675="positive"),"a",IF(O1675="positive","b",IF(M1675="positive","c","d"))))</x:f>
        <x:v>d</x:v>
      </x:c>
      <x:c r="AC1675" s="12" t="str">
        <x:f>IF(OR(R1675="unavailable",T1675="unavailable"),"不可评价",IF(AND(OR(R1675="positive",R1675="equivocal"),OR(T1675="positive",T1675="equivocal")),"a",IF(OR(T1675="positive",T1675="equivocal"),"b",IF(OR(R1675="positive",R1675="equivocal"),"c","d"))))</x:f>
        <x:v>d</x:v>
      </x:c>
      <x:c r="AD1675" s="12" t="str">
        <x:f>IF(OR(R1675="unavailable",T1675="unavailable"),"不可评价",IF(AND(R1675="positive",T1675="positive"),"a",IF(T1675="positive","b",IF(R1675="positive","c","d"))))</x:f>
        <x:v>d</x:v>
      </x:c>
      <x:c r="AE1675" s="12" t="str">
        <x:f>IF(OR(W1675="unavailable",Y1675="unavailable"),"不可评价",IF(AND(OR(W1675="positive",W1675="equivocal"),OR(Y1675="positive",Y1675="equivocal")),"a",IF(OR(Y1675="positive",Y1675="equivocal"),"b",IF(OR(W1675="positive",W1675="equivocal"),"c","d"))))</x:f>
        <x:v>d</x:v>
      </x:c>
      <x:c r="AF1675" s="12" t="str">
        <x:f>IF(OR(W1675="unavailable",Y1675="unavailable"),"不可评价",IF(AND(W1675="positive",Y1675="positive"),"a",IF(Y1675="positive","b",IF(W1675="positive","c","d"))))</x:f>
        <x:v>d</x:v>
      </x:c>
    </x:row>
    <x:row r="1676" ht="24" customHeight="1">
      <x:c r="A1676" s="12" t="str">
        <x:v>15858</x:v>
      </x:c>
      <x:c r="B1676" s="12" t="str">
        <x:v>15057</x:v>
      </x:c>
      <x:c r="C1676" s="21" t="n">
        <x:v>35140.63238425926</x:v>
      </x:c>
      <x:c r="D1676" s="12" t="n">
        <x:v>59</x:v>
      </x:c>
      <x:c r="E1676" s="12" t="n">
        <x:v>1</x:v>
      </x:c>
      <x:c r="F1676" s="12" t="str">
        <x:v>未记录</x:v>
      </x:c>
      <x:c r="G1676" s="12" t="n">
        <x:v>1</x:v>
      </x:c>
      <x:c r="H1676" s="12" t="str">
        <x:v>{'ISCAS': 100.0, 'ISCIL': 100.0, 'SR': 0.0}</x:v>
      </x:c>
      <x:c r="I1676" s="12" t="str">
        <x:v>[('NSR', 100.0), ('LMI;AU', 50.0), ('IMI;AU', 50.0), ('AB', 100.0)]</x:v>
      </x:c>
      <x:c r="J1676" s="12" t="str">
        <x:v>ptbxl_database.csv；ecg_id=15858；scp_codes</x:v>
      </x:c>
      <x:c r="K1676" s="12" t="str">
        <x:v>12sl_statements.csv；ecg_id=15858；statements_ext_snomed</x:v>
      </x:c>
      <x:c r="L1676" s="12"/>
      <x:c r="M1676" s="12" t="str">
        <x:v>negative</x:v>
      </x:c>
      <x:c r="N1676" s="12"/>
      <x:c r="O1676" s="12" t="str">
        <x:v>negative</x:v>
      </x:c>
      <x:c r="P1676" s="12" t="str">
        <x:f>IF(OR(M1676="unavailable",O1676="unavailable"),"不可评价",IF(OR(M1676="equivocal",O1676="equivocal"),"疑似",IF(AND(M1676="positive",O1676="positive"),"a",IF(O1676="positive","b",IF(M1676="positive","c","d")))))</x:f>
        <x:v>d</x:v>
      </x:c>
      <x:c r="Q1676" s="12"/>
      <x:c r="R1676" s="12" t="str">
        <x:v>negative</x:v>
      </x:c>
      <x:c r="S1676" s="12"/>
      <x:c r="T1676" s="12" t="str">
        <x:v>negative</x:v>
      </x:c>
      <x:c r="U1676" s="12" t="str">
        <x:f>IF(OR(R1676="unavailable",T1676="unavailable"),"不可评价",IF(OR(R1676="equivocal",T1676="equivocal"),"疑似",IF(AND(R1676="positive",T1676="positive"),"a",IF(T1676="positive","b",IF(R1676="positive","c","d")))))</x:f>
        <x:v>d</x:v>
      </x:c>
      <x:c r="V1676" s="12"/>
      <x:c r="W1676" s="12" t="str">
        <x:v>negative</x:v>
      </x:c>
      <x:c r="X1676" s="12"/>
      <x:c r="Y1676" s="12" t="str">
        <x:v>negative</x:v>
      </x:c>
      <x:c r="Z1676" s="12" t="str">
        <x:f>IF(OR(W1676="unavailable",Y1676="unavailable"),"不可评价",IF(OR(W1676="equivocal",Y1676="equivocal"),"疑似",IF(AND(W1676="positive",Y1676="positive"),"a",IF(Y1676="positive","b",IF(W1676="positive","c","d")))))</x:f>
        <x:v>d</x:v>
      </x:c>
      <x:c r="AA1676" s="12" t="str">
        <x:f>IF(OR(M1676="unavailable",O1676="unavailable"),"不可评价",IF(AND(OR(M1676="positive",M1676="equivocal"),OR(O1676="positive",O1676="equivocal")),"a",IF(OR(O1676="positive",O1676="equivocal"),"b",IF(OR(M1676="positive",M1676="equivocal"),"c","d"))))</x:f>
        <x:v>d</x:v>
      </x:c>
      <x:c r="AB1676" s="12" t="str">
        <x:f>IF(OR(M1676="unavailable",O1676="unavailable"),"不可评价",IF(AND(M1676="positive",O1676="positive"),"a",IF(O1676="positive","b",IF(M1676="positive","c","d"))))</x:f>
        <x:v>d</x:v>
      </x:c>
      <x:c r="AC1676" s="12" t="str">
        <x:f>IF(OR(R1676="unavailable",T1676="unavailable"),"不可评价",IF(AND(OR(R1676="positive",R1676="equivocal"),OR(T1676="positive",T1676="equivocal")),"a",IF(OR(T1676="positive",T1676="equivocal"),"b",IF(OR(R1676="positive",R1676="equivocal"),"c","d"))))</x:f>
        <x:v>d</x:v>
      </x:c>
      <x:c r="AD1676" s="12" t="str">
        <x:f>IF(OR(R1676="unavailable",T1676="unavailable"),"不可评价",IF(AND(R1676="positive",T1676="positive"),"a",IF(T1676="positive","b",IF(R1676="positive","c","d"))))</x:f>
        <x:v>d</x:v>
      </x:c>
      <x:c r="AE1676" s="12" t="str">
        <x:f>IF(OR(W1676="unavailable",Y1676="unavailable"),"不可评价",IF(AND(OR(W1676="positive",W1676="equivocal"),OR(Y1676="positive",Y1676="equivocal")),"a",IF(OR(Y1676="positive",Y1676="equivocal"),"b",IF(OR(W1676="positive",W1676="equivocal"),"c","d"))))</x:f>
        <x:v>d</x:v>
      </x:c>
      <x:c r="AF1676" s="12" t="str">
        <x:f>IF(OR(W1676="unavailable",Y1676="unavailable"),"不可评价",IF(AND(W1676="positive",Y1676="positive"),"a",IF(Y1676="positive","b",IF(W1676="positive","c","d"))))</x:f>
        <x:v>d</x:v>
      </x:c>
    </x:row>
    <x:row r="1677" ht="24" customHeight="1">
      <x:c r="A1677" s="12" t="str">
        <x:v>15863</x:v>
      </x:c>
      <x:c r="B1677" s="12" t="str">
        <x:v>17025</x:v>
      </x:c>
      <x:c r="C1677" s="21" t="n">
        <x:v>35141.399826388886</x:v>
      </x:c>
      <x:c r="D1677" s="12" t="n">
        <x:v>68</x:v>
      </x:c>
      <x:c r="E1677" s="12" t="n">
        <x:v>0</x:v>
      </x:c>
      <x:c r="F1677" s="12" t="str">
        <x:v>未记录</x:v>
      </x:c>
      <x:c r="G1677" s="12" t="n">
        <x:v>1</x:v>
      </x:c>
      <x:c r="H1677" s="12" t="str">
        <x:v>{'LVH': 100.0, 'ISC_': 100.0, 'SR': 0.0}</x:v>
      </x:c>
      <x:c r="I1677" s="12" t="str">
        <x:v>[('NSR', 100.0), ('ST&amp;', 100.0), ('LT', 100.0), ('AB', 100.0)]</x:v>
      </x:c>
      <x:c r="J1677" s="12" t="str">
        <x:v>ptbxl_database.csv；ecg_id=15863；scp_codes</x:v>
      </x:c>
      <x:c r="K1677" s="12" t="str">
        <x:v>12sl_statements.csv；ecg_id=15863；statements_ext_snomed</x:v>
      </x:c>
      <x:c r="L1677" s="12"/>
      <x:c r="M1677" s="12" t="str">
        <x:v>negative</x:v>
      </x:c>
      <x:c r="N1677" s="12"/>
      <x:c r="O1677" s="12" t="str">
        <x:v>negative</x:v>
      </x:c>
      <x:c r="P1677" s="12" t="str">
        <x:f>IF(OR(M1677="unavailable",O1677="unavailable"),"不可评价",IF(OR(M1677="equivocal",O1677="equivocal"),"疑似",IF(AND(M1677="positive",O1677="positive"),"a",IF(O1677="positive","b",IF(M1677="positive","c","d")))))</x:f>
        <x:v>d</x:v>
      </x:c>
      <x:c r="Q1677" s="12"/>
      <x:c r="R1677" s="12" t="str">
        <x:v>negative</x:v>
      </x:c>
      <x:c r="S1677" s="12"/>
      <x:c r="T1677" s="12" t="str">
        <x:v>negative</x:v>
      </x:c>
      <x:c r="U1677" s="12" t="str">
        <x:f>IF(OR(R1677="unavailable",T1677="unavailable"),"不可评价",IF(OR(R1677="equivocal",T1677="equivocal"),"疑似",IF(AND(R1677="positive",T1677="positive"),"a",IF(T1677="positive","b",IF(R1677="positive","c","d")))))</x:f>
        <x:v>d</x:v>
      </x:c>
      <x:c r="V1677" s="12"/>
      <x:c r="W1677" s="12" t="str">
        <x:v>negative</x:v>
      </x:c>
      <x:c r="X1677" s="12"/>
      <x:c r="Y1677" s="12" t="str">
        <x:v>negative</x:v>
      </x:c>
      <x:c r="Z1677" s="12" t="str">
        <x:f>IF(OR(W1677="unavailable",Y1677="unavailable"),"不可评价",IF(OR(W1677="equivocal",Y1677="equivocal"),"疑似",IF(AND(W1677="positive",Y1677="positive"),"a",IF(Y1677="positive","b",IF(W1677="positive","c","d")))))</x:f>
        <x:v>d</x:v>
      </x:c>
      <x:c r="AA1677" s="12" t="str">
        <x:f>IF(OR(M1677="unavailable",O1677="unavailable"),"不可评价",IF(AND(OR(M1677="positive",M1677="equivocal"),OR(O1677="positive",O1677="equivocal")),"a",IF(OR(O1677="positive",O1677="equivocal"),"b",IF(OR(M1677="positive",M1677="equivocal"),"c","d"))))</x:f>
        <x:v>d</x:v>
      </x:c>
      <x:c r="AB1677" s="12" t="str">
        <x:f>IF(OR(M1677="unavailable",O1677="unavailable"),"不可评价",IF(AND(M1677="positive",O1677="positive"),"a",IF(O1677="positive","b",IF(M1677="positive","c","d"))))</x:f>
        <x:v>d</x:v>
      </x:c>
      <x:c r="AC1677" s="12" t="str">
        <x:f>IF(OR(R1677="unavailable",T1677="unavailable"),"不可评价",IF(AND(OR(R1677="positive",R1677="equivocal"),OR(T1677="positive",T1677="equivocal")),"a",IF(OR(T1677="positive",T1677="equivocal"),"b",IF(OR(R1677="positive",R1677="equivocal"),"c","d"))))</x:f>
        <x:v>d</x:v>
      </x:c>
      <x:c r="AD1677" s="12" t="str">
        <x:f>IF(OR(R1677="unavailable",T1677="unavailable"),"不可评价",IF(AND(R1677="positive",T1677="positive"),"a",IF(T1677="positive","b",IF(R1677="positive","c","d"))))</x:f>
        <x:v>d</x:v>
      </x:c>
      <x:c r="AE1677" s="12" t="str">
        <x:f>IF(OR(W1677="unavailable",Y1677="unavailable"),"不可评价",IF(AND(OR(W1677="positive",W1677="equivocal"),OR(Y1677="positive",Y1677="equivocal")),"a",IF(OR(Y1677="positive",Y1677="equivocal"),"b",IF(OR(W1677="positive",W1677="equivocal"),"c","d"))))</x:f>
        <x:v>d</x:v>
      </x:c>
      <x:c r="AF1677" s="12" t="str">
        <x:f>IF(OR(W1677="unavailable",Y1677="unavailable"),"不可评价",IF(AND(W1677="positive",Y1677="positive"),"a",IF(Y1677="positive","b",IF(W1677="positive","c","d"))))</x:f>
        <x:v>d</x:v>
      </x:c>
    </x:row>
    <x:row r="1678" ht="24" customHeight="1">
      <x:c r="A1678" s="12" t="str">
        <x:v>15864</x:v>
      </x:c>
      <x:c r="B1678" s="12" t="str">
        <x:v>13372</x:v>
      </x:c>
      <x:c r="C1678" s="21" t="n">
        <x:v>35141.45143518518</x:v>
      </x:c>
      <x:c r="D1678" s="12" t="n">
        <x:v>43</x:v>
      </x:c>
      <x:c r="E1678" s="12" t="n">
        <x:v>1</x:v>
      </x:c>
      <x:c r="F1678" s="12" t="str">
        <x:v>未记录</x:v>
      </x:c>
      <x:c r="G1678" s="12" t="n">
        <x:v>1</x:v>
      </x:c>
      <x:c r="H1678" s="12" t="str">
        <x:v>{'NDT': 100.0, 'SR': 0.0}</x:v>
      </x:c>
      <x:c r="I1678" s="12" t="str">
        <x:v>[('NSR', 100.0), ('NML', 100.0)]</x:v>
      </x:c>
      <x:c r="J1678" s="12" t="str">
        <x:v>ptbxl_database.csv；ecg_id=15864；scp_codes</x:v>
      </x:c>
      <x:c r="K1678" s="12" t="str">
        <x:v>12sl_statements.csv；ecg_id=15864；statements_ext_snomed</x:v>
      </x:c>
      <x:c r="L1678" s="12"/>
      <x:c r="M1678" s="12" t="str">
        <x:v>negative</x:v>
      </x:c>
      <x:c r="N1678" s="12"/>
      <x:c r="O1678" s="12" t="str">
        <x:v>negative</x:v>
      </x:c>
      <x:c r="P1678" s="12" t="str">
        <x:f>IF(OR(M1678="unavailable",O1678="unavailable"),"不可评价",IF(OR(M1678="equivocal",O1678="equivocal"),"疑似",IF(AND(M1678="positive",O1678="positive"),"a",IF(O1678="positive","b",IF(M1678="positive","c","d")))))</x:f>
        <x:v>d</x:v>
      </x:c>
      <x:c r="Q1678" s="12"/>
      <x:c r="R1678" s="12" t="str">
        <x:v>negative</x:v>
      </x:c>
      <x:c r="S1678" s="12"/>
      <x:c r="T1678" s="12" t="str">
        <x:v>negative</x:v>
      </x:c>
      <x:c r="U1678" s="12" t="str">
        <x:f>IF(OR(R1678="unavailable",T1678="unavailable"),"不可评价",IF(OR(R1678="equivocal",T1678="equivocal"),"疑似",IF(AND(R1678="positive",T1678="positive"),"a",IF(T1678="positive","b",IF(R1678="positive","c","d")))))</x:f>
        <x:v>d</x:v>
      </x:c>
      <x:c r="V1678" s="12"/>
      <x:c r="W1678" s="12" t="str">
        <x:v>negative</x:v>
      </x:c>
      <x:c r="X1678" s="12"/>
      <x:c r="Y1678" s="12" t="str">
        <x:v>negative</x:v>
      </x:c>
      <x:c r="Z1678" s="12" t="str">
        <x:f>IF(OR(W1678="unavailable",Y1678="unavailable"),"不可评价",IF(OR(W1678="equivocal",Y1678="equivocal"),"疑似",IF(AND(W1678="positive",Y1678="positive"),"a",IF(Y1678="positive","b",IF(W1678="positive","c","d")))))</x:f>
        <x:v>d</x:v>
      </x:c>
      <x:c r="AA1678" s="12" t="str">
        <x:f>IF(OR(M1678="unavailable",O1678="unavailable"),"不可评价",IF(AND(OR(M1678="positive",M1678="equivocal"),OR(O1678="positive",O1678="equivocal")),"a",IF(OR(O1678="positive",O1678="equivocal"),"b",IF(OR(M1678="positive",M1678="equivocal"),"c","d"))))</x:f>
        <x:v>d</x:v>
      </x:c>
      <x:c r="AB1678" s="12" t="str">
        <x:f>IF(OR(M1678="unavailable",O1678="unavailable"),"不可评价",IF(AND(M1678="positive",O1678="positive"),"a",IF(O1678="positive","b",IF(M1678="positive","c","d"))))</x:f>
        <x:v>d</x:v>
      </x:c>
      <x:c r="AC1678" s="12" t="str">
        <x:f>IF(OR(R1678="unavailable",T1678="unavailable"),"不可评价",IF(AND(OR(R1678="positive",R1678="equivocal"),OR(T1678="positive",T1678="equivocal")),"a",IF(OR(T1678="positive",T1678="equivocal"),"b",IF(OR(R1678="positive",R1678="equivocal"),"c","d"))))</x:f>
        <x:v>d</x:v>
      </x:c>
      <x:c r="AD1678" s="12" t="str">
        <x:f>IF(OR(R1678="unavailable",T1678="unavailable"),"不可评价",IF(AND(R1678="positive",T1678="positive"),"a",IF(T1678="positive","b",IF(R1678="positive","c","d"))))</x:f>
        <x:v>d</x:v>
      </x:c>
      <x:c r="AE1678" s="12" t="str">
        <x:f>IF(OR(W1678="unavailable",Y1678="unavailable"),"不可评价",IF(AND(OR(W1678="positive",W1678="equivocal"),OR(Y1678="positive",Y1678="equivocal")),"a",IF(OR(Y1678="positive",Y1678="equivocal"),"b",IF(OR(W1678="positive",W1678="equivocal"),"c","d"))))</x:f>
        <x:v>d</x:v>
      </x:c>
      <x:c r="AF1678" s="12" t="str">
        <x:f>IF(OR(W1678="unavailable",Y1678="unavailable"),"不可评价",IF(AND(W1678="positive",Y1678="positive"),"a",IF(Y1678="positive","b",IF(W1678="positive","c","d"))))</x:f>
        <x:v>d</x:v>
      </x:c>
    </x:row>
    <x:row r="1679" ht="24" customHeight="1">
      <x:c r="A1679" s="12" t="str">
        <x:v>15865</x:v>
      </x:c>
      <x:c r="B1679" s="12" t="str">
        <x:v>16937</x:v>
      </x:c>
      <x:c r="C1679" s="21" t="n">
        <x:v>35141.4597337963</x:v>
      </x:c>
      <x:c r="D1679" s="12" t="n">
        <x:v>52</x:v>
      </x:c>
      <x:c r="E1679" s="12" t="n">
        <x:v>0</x:v>
      </x:c>
      <x:c r="F1679" s="12" t="str">
        <x:v>未记录</x:v>
      </x:c>
      <x:c r="G1679" s="12" t="n">
        <x:v>1</x:v>
      </x:c>
      <x:c r="H1679" s="12" t="str">
        <x:v>{'AMI': 100.0, 'SR': 0.0}</x:v>
      </x:c>
      <x:c r="I1679" s="12" t="str">
        <x:v>[('NSR', 100.0), ('SMI;AU', 100.0), ('AB', 100.0)]</x:v>
      </x:c>
      <x:c r="J1679" s="12" t="str">
        <x:v>ptbxl_database.csv；ecg_id=15865；scp_codes</x:v>
      </x:c>
      <x:c r="K1679" s="12" t="str">
        <x:v>12sl_statements.csv；ecg_id=15865；statements_ext_snomed</x:v>
      </x:c>
      <x:c r="L1679" s="12"/>
      <x:c r="M1679" s="12" t="str">
        <x:v>negative</x:v>
      </x:c>
      <x:c r="N1679" s="12"/>
      <x:c r="O1679" s="12" t="str">
        <x:v>negative</x:v>
      </x:c>
      <x:c r="P1679" s="12" t="str">
        <x:f>IF(OR(M1679="unavailable",O1679="unavailable"),"不可评价",IF(OR(M1679="equivocal",O1679="equivocal"),"疑似",IF(AND(M1679="positive",O1679="positive"),"a",IF(O1679="positive","b",IF(M1679="positive","c","d")))))</x:f>
        <x:v>d</x:v>
      </x:c>
      <x:c r="Q1679" s="12"/>
      <x:c r="R1679" s="12" t="str">
        <x:v>negative</x:v>
      </x:c>
      <x:c r="S1679" s="12"/>
      <x:c r="T1679" s="12" t="str">
        <x:v>negative</x:v>
      </x:c>
      <x:c r="U1679" s="12" t="str">
        <x:f>IF(OR(R1679="unavailable",T1679="unavailable"),"不可评价",IF(OR(R1679="equivocal",T1679="equivocal"),"疑似",IF(AND(R1679="positive",T1679="positive"),"a",IF(T1679="positive","b",IF(R1679="positive","c","d")))))</x:f>
        <x:v>d</x:v>
      </x:c>
      <x:c r="V1679" s="12"/>
      <x:c r="W1679" s="12" t="str">
        <x:v>negative</x:v>
      </x:c>
      <x:c r="X1679" s="12"/>
      <x:c r="Y1679" s="12" t="str">
        <x:v>negative</x:v>
      </x:c>
      <x:c r="Z1679" s="12" t="str">
        <x:f>IF(OR(W1679="unavailable",Y1679="unavailable"),"不可评价",IF(OR(W1679="equivocal",Y1679="equivocal"),"疑似",IF(AND(W1679="positive",Y1679="positive"),"a",IF(Y1679="positive","b",IF(W1679="positive","c","d")))))</x:f>
        <x:v>d</x:v>
      </x:c>
      <x:c r="AA1679" s="12" t="str">
        <x:f>IF(OR(M1679="unavailable",O1679="unavailable"),"不可评价",IF(AND(OR(M1679="positive",M1679="equivocal"),OR(O1679="positive",O1679="equivocal")),"a",IF(OR(O1679="positive",O1679="equivocal"),"b",IF(OR(M1679="positive",M1679="equivocal"),"c","d"))))</x:f>
        <x:v>d</x:v>
      </x:c>
      <x:c r="AB1679" s="12" t="str">
        <x:f>IF(OR(M1679="unavailable",O1679="unavailable"),"不可评价",IF(AND(M1679="positive",O1679="positive"),"a",IF(O1679="positive","b",IF(M1679="positive","c","d"))))</x:f>
        <x:v>d</x:v>
      </x:c>
      <x:c r="AC1679" s="12" t="str">
        <x:f>IF(OR(R1679="unavailable",T1679="unavailable"),"不可评价",IF(AND(OR(R1679="positive",R1679="equivocal"),OR(T1679="positive",T1679="equivocal")),"a",IF(OR(T1679="positive",T1679="equivocal"),"b",IF(OR(R1679="positive",R1679="equivocal"),"c","d"))))</x:f>
        <x:v>d</x:v>
      </x:c>
      <x:c r="AD1679" s="12" t="str">
        <x:f>IF(OR(R1679="unavailable",T1679="unavailable"),"不可评价",IF(AND(R1679="positive",T1679="positive"),"a",IF(T1679="positive","b",IF(R1679="positive","c","d"))))</x:f>
        <x:v>d</x:v>
      </x:c>
      <x:c r="AE1679" s="12" t="str">
        <x:f>IF(OR(W1679="unavailable",Y1679="unavailable"),"不可评价",IF(AND(OR(W1679="positive",W1679="equivocal"),OR(Y1679="positive",Y1679="equivocal")),"a",IF(OR(Y1679="positive",Y1679="equivocal"),"b",IF(OR(W1679="positive",W1679="equivocal"),"c","d"))))</x:f>
        <x:v>d</x:v>
      </x:c>
      <x:c r="AF1679" s="12" t="str">
        <x:f>IF(OR(W1679="unavailable",Y1679="unavailable"),"不可评价",IF(AND(W1679="positive",Y1679="positive"),"a",IF(Y1679="positive","b",IF(W1679="positive","c","d"))))</x:f>
        <x:v>d</x:v>
      </x:c>
    </x:row>
    <x:row r="1680" ht="24" customHeight="1">
      <x:c r="A1680" s="12" t="str">
        <x:v>15871</x:v>
      </x:c>
      <x:c r="B1680" s="12" t="str">
        <x:v>16938</x:v>
      </x:c>
      <x:c r="C1680" s="21" t="n">
        <x:v>35142.493738425925</x:v>
      </x:c>
      <x:c r="D1680" s="12" t="n">
        <x:v>79</x:v>
      </x:c>
      <x:c r="E1680" s="12" t="n">
        <x:v>0</x:v>
      </x:c>
      <x:c r="F1680" s="12" t="str">
        <x:v>未记录</x:v>
      </x:c>
      <x:c r="G1680" s="12" t="n">
        <x:v>1</x:v>
      </x:c>
      <x:c r="H1680" s="12" t="str">
        <x:v>{'AMI': 50.0, 'INJAS': 100.0, 'LVH': 100.0, 'ISC_': 100.0}</x:v>
      </x:c>
      <x:c r="I1680" s="12" t="str">
        <x:v>[('SBRAD', 100.0), ('AIOHAI', 100.0), ('STEMI', 100.0), ('AB', 100.0)]</x:v>
      </x:c>
      <x:c r="J1680" s="12" t="str">
        <x:v>ptbxl_database.csv；ecg_id=15871；scp_codes</x:v>
      </x:c>
      <x:c r="K1680" s="12" t="str">
        <x:v>12sl_statements.csv；ecg_id=15871；statements_ext_snomed</x:v>
      </x:c>
      <x:c r="L1680" s="12"/>
      <x:c r="M1680" s="12" t="str">
        <x:v>negative</x:v>
      </x:c>
      <x:c r="N1680" s="12"/>
      <x:c r="O1680" s="12" t="str">
        <x:v>negative</x:v>
      </x:c>
      <x:c r="P1680" s="12" t="str">
        <x:f>IF(OR(M1680="unavailable",O1680="unavailable"),"不可评价",IF(OR(M1680="equivocal",O1680="equivocal"),"疑似",IF(AND(M1680="positive",O1680="positive"),"a",IF(O1680="positive","b",IF(M1680="positive","c","d")))))</x:f>
        <x:v>d</x:v>
      </x:c>
      <x:c r="Q1680" s="12"/>
      <x:c r="R1680" s="12" t="str">
        <x:v>negative</x:v>
      </x:c>
      <x:c r="S1680" s="12"/>
      <x:c r="T1680" s="12" t="str">
        <x:v>negative</x:v>
      </x:c>
      <x:c r="U1680" s="12" t="str">
        <x:f>IF(OR(R1680="unavailable",T1680="unavailable"),"不可评价",IF(OR(R1680="equivocal",T1680="equivocal"),"疑似",IF(AND(R1680="positive",T1680="positive"),"a",IF(T1680="positive","b",IF(R1680="positive","c","d")))))</x:f>
        <x:v>d</x:v>
      </x:c>
      <x:c r="V1680" s="12"/>
      <x:c r="W1680" s="12" t="str">
        <x:v>negative</x:v>
      </x:c>
      <x:c r="X1680" s="12"/>
      <x:c r="Y1680" s="12" t="str">
        <x:v>negative</x:v>
      </x:c>
      <x:c r="Z1680" s="12" t="str">
        <x:f>IF(OR(W1680="unavailable",Y1680="unavailable"),"不可评价",IF(OR(W1680="equivocal",Y1680="equivocal"),"疑似",IF(AND(W1680="positive",Y1680="positive"),"a",IF(Y1680="positive","b",IF(W1680="positive","c","d")))))</x:f>
        <x:v>d</x:v>
      </x:c>
      <x:c r="AA1680" s="12" t="str">
        <x:f>IF(OR(M1680="unavailable",O1680="unavailable"),"不可评价",IF(AND(OR(M1680="positive",M1680="equivocal"),OR(O1680="positive",O1680="equivocal")),"a",IF(OR(O1680="positive",O1680="equivocal"),"b",IF(OR(M1680="positive",M1680="equivocal"),"c","d"))))</x:f>
        <x:v>d</x:v>
      </x:c>
      <x:c r="AB1680" s="12" t="str">
        <x:f>IF(OR(M1680="unavailable",O1680="unavailable"),"不可评价",IF(AND(M1680="positive",O1680="positive"),"a",IF(O1680="positive","b",IF(M1680="positive","c","d"))))</x:f>
        <x:v>d</x:v>
      </x:c>
      <x:c r="AC1680" s="12" t="str">
        <x:f>IF(OR(R1680="unavailable",T1680="unavailable"),"不可评价",IF(AND(OR(R1680="positive",R1680="equivocal"),OR(T1680="positive",T1680="equivocal")),"a",IF(OR(T1680="positive",T1680="equivocal"),"b",IF(OR(R1680="positive",R1680="equivocal"),"c","d"))))</x:f>
        <x:v>d</x:v>
      </x:c>
      <x:c r="AD1680" s="12" t="str">
        <x:f>IF(OR(R1680="unavailable",T1680="unavailable"),"不可评价",IF(AND(R1680="positive",T1680="positive"),"a",IF(T1680="positive","b",IF(R1680="positive","c","d"))))</x:f>
        <x:v>d</x:v>
      </x:c>
      <x:c r="AE1680" s="12" t="str">
        <x:f>IF(OR(W1680="unavailable",Y1680="unavailable"),"不可评价",IF(AND(OR(W1680="positive",W1680="equivocal"),OR(Y1680="positive",Y1680="equivocal")),"a",IF(OR(Y1680="positive",Y1680="equivocal"),"b",IF(OR(W1680="positive",W1680="equivocal"),"c","d"))))</x:f>
        <x:v>d</x:v>
      </x:c>
      <x:c r="AF1680" s="12" t="str">
        <x:f>IF(OR(W1680="unavailable",Y1680="unavailable"),"不可评价",IF(AND(W1680="positive",Y1680="positive"),"a",IF(Y1680="positive","b",IF(W1680="positive","c","d"))))</x:f>
        <x:v>d</x:v>
      </x:c>
    </x:row>
    <x:row r="1681" ht="24" customHeight="1">
      <x:c r="A1681" s="12" t="str">
        <x:v>15874</x:v>
      </x:c>
      <x:c r="B1681" s="12" t="str">
        <x:v>2947</x:v>
      </x:c>
      <x:c r="C1681" s="21" t="n">
        <x:v>35146.31862268518</x:v>
      </x:c>
      <x:c r="D1681" s="12" t="n">
        <x:v>42</x:v>
      </x:c>
      <x:c r="E1681" s="12" t="n">
        <x:v>0</x:v>
      </x:c>
      <x:c r="F1681" s="12" t="str">
        <x:v>未记录</x:v>
      </x:c>
      <x:c r="G1681" s="12" t="n">
        <x:v>1</x:v>
      </x:c>
      <x:c r="H1681" s="12" t="str">
        <x:v>{'NDT': 100.0, 'NT_': 0.0, 'SR': 0.0}</x:v>
      </x:c>
      <x:c r="I1681" s="12" t="str">
        <x:v>[('NSR', 100.0), ('NT', 100.0), ('LNGQT', 100.0), ('AB', 100.0)]</x:v>
      </x:c>
      <x:c r="J1681" s="12" t="str">
        <x:v>ptbxl_database.csv；ecg_id=15874；scp_codes</x:v>
      </x:c>
      <x:c r="K1681" s="12" t="str">
        <x:v>12sl_statements.csv；ecg_id=15874；statements_ext_snomed</x:v>
      </x:c>
      <x:c r="L1681" s="12"/>
      <x:c r="M1681" s="12" t="str">
        <x:v>negative</x:v>
      </x:c>
      <x:c r="N1681" s="12"/>
      <x:c r="O1681" s="12" t="str">
        <x:v>negative</x:v>
      </x:c>
      <x:c r="P1681" s="12" t="str">
        <x:f>IF(OR(M1681="unavailable",O1681="unavailable"),"不可评价",IF(OR(M1681="equivocal",O1681="equivocal"),"疑似",IF(AND(M1681="positive",O1681="positive"),"a",IF(O1681="positive","b",IF(M1681="positive","c","d")))))</x:f>
        <x:v>d</x:v>
      </x:c>
      <x:c r="Q1681" s="12"/>
      <x:c r="R1681" s="12" t="str">
        <x:v>negative</x:v>
      </x:c>
      <x:c r="S1681" s="12"/>
      <x:c r="T1681" s="12" t="str">
        <x:v>negative</x:v>
      </x:c>
      <x:c r="U1681" s="12" t="str">
        <x:f>IF(OR(R1681="unavailable",T1681="unavailable"),"不可评价",IF(OR(R1681="equivocal",T1681="equivocal"),"疑似",IF(AND(R1681="positive",T1681="positive"),"a",IF(T1681="positive","b",IF(R1681="positive","c","d")))))</x:f>
        <x:v>d</x:v>
      </x:c>
      <x:c r="V1681" s="12"/>
      <x:c r="W1681" s="12" t="str">
        <x:v>negative</x:v>
      </x:c>
      <x:c r="X1681" s="12"/>
      <x:c r="Y1681" s="12" t="str">
        <x:v>negative</x:v>
      </x:c>
      <x:c r="Z1681" s="12" t="str">
        <x:f>IF(OR(W1681="unavailable",Y1681="unavailable"),"不可评价",IF(OR(W1681="equivocal",Y1681="equivocal"),"疑似",IF(AND(W1681="positive",Y1681="positive"),"a",IF(Y1681="positive","b",IF(W1681="positive","c","d")))))</x:f>
        <x:v>d</x:v>
      </x:c>
      <x:c r="AA1681" s="12" t="str">
        <x:f>IF(OR(M1681="unavailable",O1681="unavailable"),"不可评价",IF(AND(OR(M1681="positive",M1681="equivocal"),OR(O1681="positive",O1681="equivocal")),"a",IF(OR(O1681="positive",O1681="equivocal"),"b",IF(OR(M1681="positive",M1681="equivocal"),"c","d"))))</x:f>
        <x:v>d</x:v>
      </x:c>
      <x:c r="AB1681" s="12" t="str">
        <x:f>IF(OR(M1681="unavailable",O1681="unavailable"),"不可评价",IF(AND(M1681="positive",O1681="positive"),"a",IF(O1681="positive","b",IF(M1681="positive","c","d"))))</x:f>
        <x:v>d</x:v>
      </x:c>
      <x:c r="AC1681" s="12" t="str">
        <x:f>IF(OR(R1681="unavailable",T1681="unavailable"),"不可评价",IF(AND(OR(R1681="positive",R1681="equivocal"),OR(T1681="positive",T1681="equivocal")),"a",IF(OR(T1681="positive",T1681="equivocal"),"b",IF(OR(R1681="positive",R1681="equivocal"),"c","d"))))</x:f>
        <x:v>d</x:v>
      </x:c>
      <x:c r="AD1681" s="12" t="str">
        <x:f>IF(OR(R1681="unavailable",T1681="unavailable"),"不可评价",IF(AND(R1681="positive",T1681="positive"),"a",IF(T1681="positive","b",IF(R1681="positive","c","d"))))</x:f>
        <x:v>d</x:v>
      </x:c>
      <x:c r="AE1681" s="12" t="str">
        <x:f>IF(OR(W1681="unavailable",Y1681="unavailable"),"不可评价",IF(AND(OR(W1681="positive",W1681="equivocal"),OR(Y1681="positive",Y1681="equivocal")),"a",IF(OR(Y1681="positive",Y1681="equivocal"),"b",IF(OR(W1681="positive",W1681="equivocal"),"c","d"))))</x:f>
        <x:v>d</x:v>
      </x:c>
      <x:c r="AF1681" s="12" t="str">
        <x:f>IF(OR(W1681="unavailable",Y1681="unavailable"),"不可评价",IF(AND(W1681="positive",Y1681="positive"),"a",IF(Y1681="positive","b",IF(W1681="positive","c","d"))))</x:f>
        <x:v>d</x:v>
      </x:c>
    </x:row>
    <x:row r="1682" ht="24" customHeight="1">
      <x:c r="A1682" s="12" t="str">
        <x:v>15897</x:v>
      </x:c>
      <x:c r="B1682" s="12" t="str">
        <x:v>17622</x:v>
      </x:c>
      <x:c r="C1682" s="21" t="n">
        <x:v>35155.54615740741</x:v>
      </x:c>
      <x:c r="D1682" s="12" t="n">
        <x:v>63</x:v>
      </x:c>
      <x:c r="E1682" s="12" t="n">
        <x:v>1</x:v>
      </x:c>
      <x:c r="F1682" s="12" t="str">
        <x:v>未记录</x:v>
      </x:c>
      <x:c r="G1682" s="12" t="n">
        <x:v>1</x:v>
      </x:c>
      <x:c r="H1682" s="12" t="str">
        <x:v>{'NORM': 100.0, 'PVC': 100.0}</x:v>
      </x:c>
      <x:c r="I1682" s="12" t="str">
        <x:v>[('SRTH', 100.0), ('PVC', 100.0), ('ABR', 100.0)]</x:v>
      </x:c>
      <x:c r="J1682" s="12" t="str">
        <x:v>ptbxl_database.csv；ecg_id=15897；scp_codes</x:v>
      </x:c>
      <x:c r="K1682" s="12" t="str">
        <x:v>12sl_statements.csv；ecg_id=15897；statements_ext_snomed</x:v>
      </x:c>
      <x:c r="L1682" s="12"/>
      <x:c r="M1682" s="12" t="str">
        <x:v>negative</x:v>
      </x:c>
      <x:c r="N1682" s="12"/>
      <x:c r="O1682" s="12" t="str">
        <x:v>negative</x:v>
      </x:c>
      <x:c r="P1682" s="12" t="str">
        <x:f>IF(OR(M1682="unavailable",O1682="unavailable"),"不可评价",IF(OR(M1682="equivocal",O1682="equivocal"),"疑似",IF(AND(M1682="positive",O1682="positive"),"a",IF(O1682="positive","b",IF(M1682="positive","c","d")))))</x:f>
        <x:v>d</x:v>
      </x:c>
      <x:c r="Q1682" s="12"/>
      <x:c r="R1682" s="12" t="str">
        <x:v>negative</x:v>
      </x:c>
      <x:c r="S1682" s="12"/>
      <x:c r="T1682" s="12" t="str">
        <x:v>negative</x:v>
      </x:c>
      <x:c r="U1682" s="12" t="str">
        <x:f>IF(OR(R1682="unavailable",T1682="unavailable"),"不可评价",IF(OR(R1682="equivocal",T1682="equivocal"),"疑似",IF(AND(R1682="positive",T1682="positive"),"a",IF(T1682="positive","b",IF(R1682="positive","c","d")))))</x:f>
        <x:v>d</x:v>
      </x:c>
      <x:c r="V1682" s="12"/>
      <x:c r="W1682" s="12" t="str">
        <x:v>negative</x:v>
      </x:c>
      <x:c r="X1682" s="12"/>
      <x:c r="Y1682" s="12" t="str">
        <x:v>negative</x:v>
      </x:c>
      <x:c r="Z1682" s="12" t="str">
        <x:f>IF(OR(W1682="unavailable",Y1682="unavailable"),"不可评价",IF(OR(W1682="equivocal",Y1682="equivocal"),"疑似",IF(AND(W1682="positive",Y1682="positive"),"a",IF(Y1682="positive","b",IF(W1682="positive","c","d")))))</x:f>
        <x:v>d</x:v>
      </x:c>
      <x:c r="AA1682" s="12" t="str">
        <x:f>IF(OR(M1682="unavailable",O1682="unavailable"),"不可评价",IF(AND(OR(M1682="positive",M1682="equivocal"),OR(O1682="positive",O1682="equivocal")),"a",IF(OR(O1682="positive",O1682="equivocal"),"b",IF(OR(M1682="positive",M1682="equivocal"),"c","d"))))</x:f>
        <x:v>d</x:v>
      </x:c>
      <x:c r="AB1682" s="12" t="str">
        <x:f>IF(OR(M1682="unavailable",O1682="unavailable"),"不可评价",IF(AND(M1682="positive",O1682="positive"),"a",IF(O1682="positive","b",IF(M1682="positive","c","d"))))</x:f>
        <x:v>d</x:v>
      </x:c>
      <x:c r="AC1682" s="12" t="str">
        <x:f>IF(OR(R1682="unavailable",T1682="unavailable"),"不可评价",IF(AND(OR(R1682="positive",R1682="equivocal"),OR(T1682="positive",T1682="equivocal")),"a",IF(OR(T1682="positive",T1682="equivocal"),"b",IF(OR(R1682="positive",R1682="equivocal"),"c","d"))))</x:f>
        <x:v>d</x:v>
      </x:c>
      <x:c r="AD1682" s="12" t="str">
        <x:f>IF(OR(R1682="unavailable",T1682="unavailable"),"不可评价",IF(AND(R1682="positive",T1682="positive"),"a",IF(T1682="positive","b",IF(R1682="positive","c","d"))))</x:f>
        <x:v>d</x:v>
      </x:c>
      <x:c r="AE1682" s="12" t="str">
        <x:f>IF(OR(W1682="unavailable",Y1682="unavailable"),"不可评价",IF(AND(OR(W1682="positive",W1682="equivocal"),OR(Y1682="positive",Y1682="equivocal")),"a",IF(OR(Y1682="positive",Y1682="equivocal"),"b",IF(OR(W1682="positive",W1682="equivocal"),"c","d"))))</x:f>
        <x:v>d</x:v>
      </x:c>
      <x:c r="AF1682" s="12" t="str">
        <x:f>IF(OR(W1682="unavailable",Y1682="unavailable"),"不可评价",IF(AND(W1682="positive",Y1682="positive"),"a",IF(Y1682="positive","b",IF(W1682="positive","c","d"))))</x:f>
        <x:v>d</x:v>
      </x:c>
    </x:row>
    <x:row r="1683" ht="24" customHeight="1">
      <x:c r="A1683" s="12" t="str">
        <x:v>15898</x:v>
      </x:c>
      <x:c r="B1683" s="12" t="str">
        <x:v>20598</x:v>
      </x:c>
      <x:c r="C1683" s="21" t="n">
        <x:v>35155.67513888889</x:v>
      </x:c>
      <x:c r="D1683" s="12" t="n">
        <x:v>61</x:v>
      </x:c>
      <x:c r="E1683" s="12" t="n">
        <x:v>0</x:v>
      </x:c>
      <x:c r="F1683" s="12" t="str">
        <x:v>未记录</x:v>
      </x:c>
      <x:c r="G1683" s="12" t="n">
        <x:v>1</x:v>
      </x:c>
      <x:c r="H1683" s="12" t="str">
        <x:v>{'NORM': 100.0, 'SR': 0.0}</x:v>
      </x:c>
      <x:c r="I1683" s="12" t="str">
        <x:v>[('NSR', 100.0), ('NML', 100.0)]</x:v>
      </x:c>
      <x:c r="J1683" s="12" t="str">
        <x:v>ptbxl_database.csv；ecg_id=15898；scp_codes</x:v>
      </x:c>
      <x:c r="K1683" s="12" t="str">
        <x:v>12sl_statements.csv；ecg_id=15898；statements_ext_snomed</x:v>
      </x:c>
      <x:c r="L1683" s="12"/>
      <x:c r="M1683" s="12" t="str">
        <x:v>negative</x:v>
      </x:c>
      <x:c r="N1683" s="12"/>
      <x:c r="O1683" s="12" t="str">
        <x:v>negative</x:v>
      </x:c>
      <x:c r="P1683" s="12" t="str">
        <x:f>IF(OR(M1683="unavailable",O1683="unavailable"),"不可评价",IF(OR(M1683="equivocal",O1683="equivocal"),"疑似",IF(AND(M1683="positive",O1683="positive"),"a",IF(O1683="positive","b",IF(M1683="positive","c","d")))))</x:f>
        <x:v>d</x:v>
      </x:c>
      <x:c r="Q1683" s="12"/>
      <x:c r="R1683" s="12" t="str">
        <x:v>negative</x:v>
      </x:c>
      <x:c r="S1683" s="12"/>
      <x:c r="T1683" s="12" t="str">
        <x:v>negative</x:v>
      </x:c>
      <x:c r="U1683" s="12" t="str">
        <x:f>IF(OR(R1683="unavailable",T1683="unavailable"),"不可评价",IF(OR(R1683="equivocal",T1683="equivocal"),"疑似",IF(AND(R1683="positive",T1683="positive"),"a",IF(T1683="positive","b",IF(R1683="positive","c","d")))))</x:f>
        <x:v>d</x:v>
      </x:c>
      <x:c r="V1683" s="12"/>
      <x:c r="W1683" s="12" t="str">
        <x:v>negative</x:v>
      </x:c>
      <x:c r="X1683" s="12"/>
      <x:c r="Y1683" s="12" t="str">
        <x:v>negative</x:v>
      </x:c>
      <x:c r="Z1683" s="12" t="str">
        <x:f>IF(OR(W1683="unavailable",Y1683="unavailable"),"不可评价",IF(OR(W1683="equivocal",Y1683="equivocal"),"疑似",IF(AND(W1683="positive",Y1683="positive"),"a",IF(Y1683="positive","b",IF(W1683="positive","c","d")))))</x:f>
        <x:v>d</x:v>
      </x:c>
      <x:c r="AA1683" s="12" t="str">
        <x:f>IF(OR(M1683="unavailable",O1683="unavailable"),"不可评价",IF(AND(OR(M1683="positive",M1683="equivocal"),OR(O1683="positive",O1683="equivocal")),"a",IF(OR(O1683="positive",O1683="equivocal"),"b",IF(OR(M1683="positive",M1683="equivocal"),"c","d"))))</x:f>
        <x:v>d</x:v>
      </x:c>
      <x:c r="AB1683" s="12" t="str">
        <x:f>IF(OR(M1683="unavailable",O1683="unavailable"),"不可评价",IF(AND(M1683="positive",O1683="positive"),"a",IF(O1683="positive","b",IF(M1683="positive","c","d"))))</x:f>
        <x:v>d</x:v>
      </x:c>
      <x:c r="AC1683" s="12" t="str">
        <x:f>IF(OR(R1683="unavailable",T1683="unavailable"),"不可评价",IF(AND(OR(R1683="positive",R1683="equivocal"),OR(T1683="positive",T1683="equivocal")),"a",IF(OR(T1683="positive",T1683="equivocal"),"b",IF(OR(R1683="positive",R1683="equivocal"),"c","d"))))</x:f>
        <x:v>d</x:v>
      </x:c>
      <x:c r="AD1683" s="12" t="str">
        <x:f>IF(OR(R1683="unavailable",T1683="unavailable"),"不可评价",IF(AND(R1683="positive",T1683="positive"),"a",IF(T1683="positive","b",IF(R1683="positive","c","d"))))</x:f>
        <x:v>d</x:v>
      </x:c>
      <x:c r="AE1683" s="12" t="str">
        <x:f>IF(OR(W1683="unavailable",Y1683="unavailable"),"不可评价",IF(AND(OR(W1683="positive",W1683="equivocal"),OR(Y1683="positive",Y1683="equivocal")),"a",IF(OR(Y1683="positive",Y1683="equivocal"),"b",IF(OR(W1683="positive",W1683="equivocal"),"c","d"))))</x:f>
        <x:v>d</x:v>
      </x:c>
      <x:c r="AF1683" s="12" t="str">
        <x:f>IF(OR(W1683="unavailable",Y1683="unavailable"),"不可评价",IF(AND(W1683="positive",Y1683="positive"),"a",IF(Y1683="positive","b",IF(W1683="positive","c","d"))))</x:f>
        <x:v>d</x:v>
      </x:c>
    </x:row>
    <x:row r="1684" ht="24" customHeight="1">
      <x:c r="A1684" s="12" t="str">
        <x:v>15899</x:v>
      </x:c>
      <x:c r="B1684" s="12" t="str">
        <x:v>10512</x:v>
      </x:c>
      <x:c r="C1684" s="21" t="n">
        <x:v>35156.5337037037</x:v>
      </x:c>
      <x:c r="D1684" s="12" t="n">
        <x:v>51</x:v>
      </x:c>
      <x:c r="E1684" s="12" t="n">
        <x:v>1</x:v>
      </x:c>
      <x:c r="F1684" s="12" t="str">
        <x:v>存在</x:v>
      </x:c>
      <x:c r="G1684" s="12" t="n">
        <x:v>1</x:v>
      </x:c>
      <x:c r="H1684" s="12" t="str">
        <x:v>{'IRBBB': 100.0, 'SR': 0.0}</x:v>
      </x:c>
      <x:c r="I1684" s="12" t="str">
        <x:v>[('SBRAD', 100.0), ('BORDE', 100.0)]</x:v>
      </x:c>
      <x:c r="J1684" s="12" t="str">
        <x:v>ptbxl_database.csv；ecg_id=15899；scp_codes</x:v>
      </x:c>
      <x:c r="K1684" s="12" t="str">
        <x:v>12sl_statements.csv；ecg_id=15899；statements_ext_snomed</x:v>
      </x:c>
      <x:c r="L1684" s="12"/>
      <x:c r="M1684" s="12" t="str">
        <x:v>negative</x:v>
      </x:c>
      <x:c r="N1684" s="12"/>
      <x:c r="O1684" s="12" t="str">
        <x:v>negative</x:v>
      </x:c>
      <x:c r="P1684" s="12" t="str">
        <x:f>IF(OR(M1684="unavailable",O1684="unavailable"),"不可评价",IF(OR(M1684="equivocal",O1684="equivocal"),"疑似",IF(AND(M1684="positive",O1684="positive"),"a",IF(O1684="positive","b",IF(M1684="positive","c","d")))))</x:f>
        <x:v>d</x:v>
      </x:c>
      <x:c r="Q1684" s="12"/>
      <x:c r="R1684" s="12" t="str">
        <x:v>negative</x:v>
      </x:c>
      <x:c r="S1684" s="12"/>
      <x:c r="T1684" s="12" t="str">
        <x:v>negative</x:v>
      </x:c>
      <x:c r="U1684" s="12" t="str">
        <x:f>IF(OR(R1684="unavailable",T1684="unavailable"),"不可评价",IF(OR(R1684="equivocal",T1684="equivocal"),"疑似",IF(AND(R1684="positive",T1684="positive"),"a",IF(T1684="positive","b",IF(R1684="positive","c","d")))))</x:f>
        <x:v>d</x:v>
      </x:c>
      <x:c r="V1684" s="12"/>
      <x:c r="W1684" s="12" t="str">
        <x:v>negative</x:v>
      </x:c>
      <x:c r="X1684" s="12"/>
      <x:c r="Y1684" s="12" t="str">
        <x:v>negative</x:v>
      </x:c>
      <x:c r="Z1684" s="12" t="str">
        <x:f>IF(OR(W1684="unavailable",Y1684="unavailable"),"不可评价",IF(OR(W1684="equivocal",Y1684="equivocal"),"疑似",IF(AND(W1684="positive",Y1684="positive"),"a",IF(Y1684="positive","b",IF(W1684="positive","c","d")))))</x:f>
        <x:v>d</x:v>
      </x:c>
      <x:c r="AA1684" s="12" t="str">
        <x:f>IF(OR(M1684="unavailable",O1684="unavailable"),"不可评价",IF(AND(OR(M1684="positive",M1684="equivocal"),OR(O1684="positive",O1684="equivocal")),"a",IF(OR(O1684="positive",O1684="equivocal"),"b",IF(OR(M1684="positive",M1684="equivocal"),"c","d"))))</x:f>
        <x:v>d</x:v>
      </x:c>
      <x:c r="AB1684" s="12" t="str">
        <x:f>IF(OR(M1684="unavailable",O1684="unavailable"),"不可评价",IF(AND(M1684="positive",O1684="positive"),"a",IF(O1684="positive","b",IF(M1684="positive","c","d"))))</x:f>
        <x:v>d</x:v>
      </x:c>
      <x:c r="AC1684" s="12" t="str">
        <x:f>IF(OR(R1684="unavailable",T1684="unavailable"),"不可评价",IF(AND(OR(R1684="positive",R1684="equivocal"),OR(T1684="positive",T1684="equivocal")),"a",IF(OR(T1684="positive",T1684="equivocal"),"b",IF(OR(R1684="positive",R1684="equivocal"),"c","d"))))</x:f>
        <x:v>d</x:v>
      </x:c>
      <x:c r="AD1684" s="12" t="str">
        <x:f>IF(OR(R1684="unavailable",T1684="unavailable"),"不可评价",IF(AND(R1684="positive",T1684="positive"),"a",IF(T1684="positive","b",IF(R1684="positive","c","d"))))</x:f>
        <x:v>d</x:v>
      </x:c>
      <x:c r="AE1684" s="12" t="str">
        <x:f>IF(OR(W1684="unavailable",Y1684="unavailable"),"不可评价",IF(AND(OR(W1684="positive",W1684="equivocal"),OR(Y1684="positive",Y1684="equivocal")),"a",IF(OR(Y1684="positive",Y1684="equivocal"),"b",IF(OR(W1684="positive",W1684="equivocal"),"c","d"))))</x:f>
        <x:v>d</x:v>
      </x:c>
      <x:c r="AF1684" s="12" t="str">
        <x:f>IF(OR(W1684="unavailable",Y1684="unavailable"),"不可评价",IF(AND(W1684="positive",Y1684="positive"),"a",IF(Y1684="positive","b",IF(W1684="positive","c","d"))))</x:f>
        <x:v>d</x:v>
      </x:c>
    </x:row>
    <x:row r="1685" ht="24" customHeight="1">
      <x:c r="A1685" s="12" t="str">
        <x:v>15900</x:v>
      </x:c>
      <x:c r="B1685" s="12" t="str">
        <x:v>17622</x:v>
      </x:c>
      <x:c r="C1685" s="21" t="n">
        <x:v>35156.74896990741</x:v>
      </x:c>
      <x:c r="D1685" s="12" t="n">
        <x:v>63</x:v>
      </x:c>
      <x:c r="E1685" s="12" t="n">
        <x:v>1</x:v>
      </x:c>
      <x:c r="F1685" s="12" t="str">
        <x:v>未记录</x:v>
      </x:c>
      <x:c r="G1685" s="12" t="n">
        <x:v>0</x:v>
      </x:c>
      <x:c r="H1685" s="12" t="str">
        <x:v>{'NORM': 100.0, 'SR': 0.0}</x:v>
      </x:c>
      <x:c r="I1685" s="12" t="str">
        <x:v>[('NSR', 100.0), ('NML', 100.0)]</x:v>
      </x:c>
      <x:c r="J1685" s="12" t="str">
        <x:v>ptbxl_database.csv；ecg_id=15900；scp_codes</x:v>
      </x:c>
      <x:c r="K1685" s="12" t="str">
        <x:v>12sl_statements.csv；ecg_id=15900；statements_ext_snomed</x:v>
      </x:c>
      <x:c r="L1685" s="12"/>
      <x:c r="M1685" s="12" t="str">
        <x:v>negative</x:v>
      </x:c>
      <x:c r="N1685" s="12"/>
      <x:c r="O1685" s="12" t="str">
        <x:v>negative</x:v>
      </x:c>
      <x:c r="P1685" s="12" t="str">
        <x:f>IF(OR(M1685="unavailable",O1685="unavailable"),"不可评价",IF(OR(M1685="equivocal",O1685="equivocal"),"疑似",IF(AND(M1685="positive",O1685="positive"),"a",IF(O1685="positive","b",IF(M1685="positive","c","d")))))</x:f>
        <x:v>d</x:v>
      </x:c>
      <x:c r="Q1685" s="12"/>
      <x:c r="R1685" s="12" t="str">
        <x:v>negative</x:v>
      </x:c>
      <x:c r="S1685" s="12"/>
      <x:c r="T1685" s="12" t="str">
        <x:v>negative</x:v>
      </x:c>
      <x:c r="U1685" s="12" t="str">
        <x:f>IF(OR(R1685="unavailable",T1685="unavailable"),"不可评价",IF(OR(R1685="equivocal",T1685="equivocal"),"疑似",IF(AND(R1685="positive",T1685="positive"),"a",IF(T1685="positive","b",IF(R1685="positive","c","d")))))</x:f>
        <x:v>d</x:v>
      </x:c>
      <x:c r="V1685" s="12"/>
      <x:c r="W1685" s="12" t="str">
        <x:v>negative</x:v>
      </x:c>
      <x:c r="X1685" s="12"/>
      <x:c r="Y1685" s="12" t="str">
        <x:v>negative</x:v>
      </x:c>
      <x:c r="Z1685" s="12" t="str">
        <x:f>IF(OR(W1685="unavailable",Y1685="unavailable"),"不可评价",IF(OR(W1685="equivocal",Y1685="equivocal"),"疑似",IF(AND(W1685="positive",Y1685="positive"),"a",IF(Y1685="positive","b",IF(W1685="positive","c","d")))))</x:f>
        <x:v>d</x:v>
      </x:c>
      <x:c r="AA1685" s="12" t="str">
        <x:f>IF(OR(M1685="unavailable",O1685="unavailable"),"不可评价",IF(AND(OR(M1685="positive",M1685="equivocal"),OR(O1685="positive",O1685="equivocal")),"a",IF(OR(O1685="positive",O1685="equivocal"),"b",IF(OR(M1685="positive",M1685="equivocal"),"c","d"))))</x:f>
        <x:v>d</x:v>
      </x:c>
      <x:c r="AB1685" s="12" t="str">
        <x:f>IF(OR(M1685="unavailable",O1685="unavailable"),"不可评价",IF(AND(M1685="positive",O1685="positive"),"a",IF(O1685="positive","b",IF(M1685="positive","c","d"))))</x:f>
        <x:v>d</x:v>
      </x:c>
      <x:c r="AC1685" s="12" t="str">
        <x:f>IF(OR(R1685="unavailable",T1685="unavailable"),"不可评价",IF(AND(OR(R1685="positive",R1685="equivocal"),OR(T1685="positive",T1685="equivocal")),"a",IF(OR(T1685="positive",T1685="equivocal"),"b",IF(OR(R1685="positive",R1685="equivocal"),"c","d"))))</x:f>
        <x:v>d</x:v>
      </x:c>
      <x:c r="AD1685" s="12" t="str">
        <x:f>IF(OR(R1685="unavailable",T1685="unavailable"),"不可评价",IF(AND(R1685="positive",T1685="positive"),"a",IF(T1685="positive","b",IF(R1685="positive","c","d"))))</x:f>
        <x:v>d</x:v>
      </x:c>
      <x:c r="AE1685" s="12" t="str">
        <x:f>IF(OR(W1685="unavailable",Y1685="unavailable"),"不可评价",IF(AND(OR(W1685="positive",W1685="equivocal"),OR(Y1685="positive",Y1685="equivocal")),"a",IF(OR(Y1685="positive",Y1685="equivocal"),"b",IF(OR(W1685="positive",W1685="equivocal"),"c","d"))))</x:f>
        <x:v>d</x:v>
      </x:c>
      <x:c r="AF1685" s="12" t="str">
        <x:f>IF(OR(W1685="unavailable",Y1685="unavailable"),"不可评价",IF(AND(W1685="positive",Y1685="positive"),"a",IF(Y1685="positive","b",IF(W1685="positive","c","d"))))</x:f>
        <x:v>d</x:v>
      </x:c>
    </x:row>
    <x:row r="1686" ht="24" customHeight="1">
      <x:c r="A1686" s="12" t="str">
        <x:v>15901</x:v>
      </x:c>
      <x:c r="B1686" s="12" t="str">
        <x:v>5689</x:v>
      </x:c>
      <x:c r="C1686" s="21" t="n">
        <x:v>35162.449282407404</x:v>
      </x:c>
      <x:c r="D1686" s="12" t="n">
        <x:v>63</x:v>
      </x:c>
      <x:c r="E1686" s="12" t="n">
        <x:v>0</x:v>
      </x:c>
      <x:c r="F1686" s="12" t="str">
        <x:v>未记录</x:v>
      </x:c>
      <x:c r="G1686" s="12" t="n">
        <x:v>1</x:v>
      </x:c>
      <x:c r="H1686" s="12" t="str">
        <x:v>{'NORM': 80.0, 'LPR': 0.0, 'SR': 0.0}</x:v>
      </x:c>
      <x:c r="I1686" s="12" t="str">
        <x:v>[('SBRAD', 100.0), ('FAV', 100.0), ('ABR', 100.0)]</x:v>
      </x:c>
      <x:c r="J1686" s="12" t="str">
        <x:v>ptbxl_database.csv；ecg_id=15901；scp_codes</x:v>
      </x:c>
      <x:c r="K1686" s="12" t="str">
        <x:v>12sl_statements.csv；ecg_id=15901；statements_ext_snomed</x:v>
      </x:c>
      <x:c r="L1686" s="12"/>
      <x:c r="M1686" s="12" t="str">
        <x:v>negative</x:v>
      </x:c>
      <x:c r="N1686" s="12"/>
      <x:c r="O1686" s="12" t="str">
        <x:v>negative</x:v>
      </x:c>
      <x:c r="P1686" s="12" t="str">
        <x:f>IF(OR(M1686="unavailable",O1686="unavailable"),"不可评价",IF(OR(M1686="equivocal",O1686="equivocal"),"疑似",IF(AND(M1686="positive",O1686="positive"),"a",IF(O1686="positive","b",IF(M1686="positive","c","d")))))</x:f>
        <x:v>d</x:v>
      </x:c>
      <x:c r="Q1686" s="12"/>
      <x:c r="R1686" s="12" t="str">
        <x:v>negative</x:v>
      </x:c>
      <x:c r="S1686" s="12"/>
      <x:c r="T1686" s="12" t="str">
        <x:v>negative</x:v>
      </x:c>
      <x:c r="U1686" s="12" t="str">
        <x:f>IF(OR(R1686="unavailable",T1686="unavailable"),"不可评价",IF(OR(R1686="equivocal",T1686="equivocal"),"疑似",IF(AND(R1686="positive",T1686="positive"),"a",IF(T1686="positive","b",IF(R1686="positive","c","d")))))</x:f>
        <x:v>d</x:v>
      </x:c>
      <x:c r="V1686" s="12"/>
      <x:c r="W1686" s="12" t="str">
        <x:v>negative</x:v>
      </x:c>
      <x:c r="X1686" s="12"/>
      <x:c r="Y1686" s="12" t="str">
        <x:v>negative</x:v>
      </x:c>
      <x:c r="Z1686" s="12" t="str">
        <x:f>IF(OR(W1686="unavailable",Y1686="unavailable"),"不可评价",IF(OR(W1686="equivocal",Y1686="equivocal"),"疑似",IF(AND(W1686="positive",Y1686="positive"),"a",IF(Y1686="positive","b",IF(W1686="positive","c","d")))))</x:f>
        <x:v>d</x:v>
      </x:c>
      <x:c r="AA1686" s="12" t="str">
        <x:f>IF(OR(M1686="unavailable",O1686="unavailable"),"不可评价",IF(AND(OR(M1686="positive",M1686="equivocal"),OR(O1686="positive",O1686="equivocal")),"a",IF(OR(O1686="positive",O1686="equivocal"),"b",IF(OR(M1686="positive",M1686="equivocal"),"c","d"))))</x:f>
        <x:v>d</x:v>
      </x:c>
      <x:c r="AB1686" s="12" t="str">
        <x:f>IF(OR(M1686="unavailable",O1686="unavailable"),"不可评价",IF(AND(M1686="positive",O1686="positive"),"a",IF(O1686="positive","b",IF(M1686="positive","c","d"))))</x:f>
        <x:v>d</x:v>
      </x:c>
      <x:c r="AC1686" s="12" t="str">
        <x:f>IF(OR(R1686="unavailable",T1686="unavailable"),"不可评价",IF(AND(OR(R1686="positive",R1686="equivocal"),OR(T1686="positive",T1686="equivocal")),"a",IF(OR(T1686="positive",T1686="equivocal"),"b",IF(OR(R1686="positive",R1686="equivocal"),"c","d"))))</x:f>
        <x:v>d</x:v>
      </x:c>
      <x:c r="AD1686" s="12" t="str">
        <x:f>IF(OR(R1686="unavailable",T1686="unavailable"),"不可评价",IF(AND(R1686="positive",T1686="positive"),"a",IF(T1686="positive","b",IF(R1686="positive","c","d"))))</x:f>
        <x:v>d</x:v>
      </x:c>
      <x:c r="AE1686" s="12" t="str">
        <x:f>IF(OR(W1686="unavailable",Y1686="unavailable"),"不可评价",IF(AND(OR(W1686="positive",W1686="equivocal"),OR(Y1686="positive",Y1686="equivocal")),"a",IF(OR(Y1686="positive",Y1686="equivocal"),"b",IF(OR(W1686="positive",W1686="equivocal"),"c","d"))))</x:f>
        <x:v>d</x:v>
      </x:c>
      <x:c r="AF1686" s="12" t="str">
        <x:f>IF(OR(W1686="unavailable",Y1686="unavailable"),"不可评价",IF(AND(W1686="positive",Y1686="positive"),"a",IF(Y1686="positive","b",IF(W1686="positive","c","d"))))</x:f>
        <x:v>d</x:v>
      </x:c>
    </x:row>
    <x:row r="1687" ht="24" customHeight="1">
      <x:c r="A1687" s="12" t="str">
        <x:v>15924</x:v>
      </x:c>
      <x:c r="B1687" s="12" t="str">
        <x:v>5596</x:v>
      </x:c>
      <x:c r="C1687" s="21" t="n">
        <x:v>35166.70178240741</x:v>
      </x:c>
      <x:c r="D1687" s="12" t="n">
        <x:v>63</x:v>
      </x:c>
      <x:c r="E1687" s="12" t="n">
        <x:v>1</x:v>
      </x:c>
      <x:c r="F1687" s="12" t="str">
        <x:v>未记录</x:v>
      </x:c>
      <x:c r="G1687" s="12" t="n">
        <x:v>1</x:v>
      </x:c>
      <x:c r="H1687" s="12" t="str">
        <x:v>{'ILMI': 50.0, 'SR': 0.0}</x:v>
      </x:c>
      <x:c r="I1687" s="12" t="str">
        <x:v>[('NSR', 100.0), ('IMI;AU', 15.0), ('AB', 100.0)]</x:v>
      </x:c>
      <x:c r="J1687" s="12" t="str">
        <x:v>ptbxl_database.csv；ecg_id=15924；scp_codes</x:v>
      </x:c>
      <x:c r="K1687" s="12" t="str">
        <x:v>12sl_statements.csv；ecg_id=15924；statements_ext_snomed</x:v>
      </x:c>
      <x:c r="L1687" s="12"/>
      <x:c r="M1687" s="12" t="str">
        <x:v>negative</x:v>
      </x:c>
      <x:c r="N1687" s="12"/>
      <x:c r="O1687" s="12" t="str">
        <x:v>negative</x:v>
      </x:c>
      <x:c r="P1687" s="12" t="str">
        <x:f>IF(OR(M1687="unavailable",O1687="unavailable"),"不可评价",IF(OR(M1687="equivocal",O1687="equivocal"),"疑似",IF(AND(M1687="positive",O1687="positive"),"a",IF(O1687="positive","b",IF(M1687="positive","c","d")))))</x:f>
        <x:v>d</x:v>
      </x:c>
      <x:c r="Q1687" s="12"/>
      <x:c r="R1687" s="12" t="str">
        <x:v>negative</x:v>
      </x:c>
      <x:c r="S1687" s="12"/>
      <x:c r="T1687" s="12" t="str">
        <x:v>negative</x:v>
      </x:c>
      <x:c r="U1687" s="12" t="str">
        <x:f>IF(OR(R1687="unavailable",T1687="unavailable"),"不可评价",IF(OR(R1687="equivocal",T1687="equivocal"),"疑似",IF(AND(R1687="positive",T1687="positive"),"a",IF(T1687="positive","b",IF(R1687="positive","c","d")))))</x:f>
        <x:v>d</x:v>
      </x:c>
      <x:c r="V1687" s="12"/>
      <x:c r="W1687" s="12" t="str">
        <x:v>negative</x:v>
      </x:c>
      <x:c r="X1687" s="12"/>
      <x:c r="Y1687" s="12" t="str">
        <x:v>negative</x:v>
      </x:c>
      <x:c r="Z1687" s="12" t="str">
        <x:f>IF(OR(W1687="unavailable",Y1687="unavailable"),"不可评价",IF(OR(W1687="equivocal",Y1687="equivocal"),"疑似",IF(AND(W1687="positive",Y1687="positive"),"a",IF(Y1687="positive","b",IF(W1687="positive","c","d")))))</x:f>
        <x:v>d</x:v>
      </x:c>
      <x:c r="AA1687" s="12" t="str">
        <x:f>IF(OR(M1687="unavailable",O1687="unavailable"),"不可评价",IF(AND(OR(M1687="positive",M1687="equivocal"),OR(O1687="positive",O1687="equivocal")),"a",IF(OR(O1687="positive",O1687="equivocal"),"b",IF(OR(M1687="positive",M1687="equivocal"),"c","d"))))</x:f>
        <x:v>d</x:v>
      </x:c>
      <x:c r="AB1687" s="12" t="str">
        <x:f>IF(OR(M1687="unavailable",O1687="unavailable"),"不可评价",IF(AND(M1687="positive",O1687="positive"),"a",IF(O1687="positive","b",IF(M1687="positive","c","d"))))</x:f>
        <x:v>d</x:v>
      </x:c>
      <x:c r="AC1687" s="12" t="str">
        <x:f>IF(OR(R1687="unavailable",T1687="unavailable"),"不可评价",IF(AND(OR(R1687="positive",R1687="equivocal"),OR(T1687="positive",T1687="equivocal")),"a",IF(OR(T1687="positive",T1687="equivocal"),"b",IF(OR(R1687="positive",R1687="equivocal"),"c","d"))))</x:f>
        <x:v>d</x:v>
      </x:c>
      <x:c r="AD1687" s="12" t="str">
        <x:f>IF(OR(R1687="unavailable",T1687="unavailable"),"不可评价",IF(AND(R1687="positive",T1687="positive"),"a",IF(T1687="positive","b",IF(R1687="positive","c","d"))))</x:f>
        <x:v>d</x:v>
      </x:c>
      <x:c r="AE1687" s="12" t="str">
        <x:f>IF(OR(W1687="unavailable",Y1687="unavailable"),"不可评价",IF(AND(OR(W1687="positive",W1687="equivocal"),OR(Y1687="positive",Y1687="equivocal")),"a",IF(OR(Y1687="positive",Y1687="equivocal"),"b",IF(OR(W1687="positive",W1687="equivocal"),"c","d"))))</x:f>
        <x:v>d</x:v>
      </x:c>
      <x:c r="AF1687" s="12" t="str">
        <x:f>IF(OR(W1687="unavailable",Y1687="unavailable"),"不可评价",IF(AND(W1687="positive",Y1687="positive"),"a",IF(Y1687="positive","b",IF(W1687="positive","c","d"))))</x:f>
        <x:v>d</x:v>
      </x:c>
    </x:row>
    <x:row r="1688" ht="24" customHeight="1">
      <x:c r="A1688" s="12" t="str">
        <x:v>15926</x:v>
      </x:c>
      <x:c r="B1688" s="12" t="str">
        <x:v>4051</x:v>
      </x:c>
      <x:c r="C1688" s="21" t="n">
        <x:v>35167.4675</x:v>
      </x:c>
      <x:c r="D1688" s="12" t="n">
        <x:v>84</x:v>
      </x:c>
      <x:c r="E1688" s="12" t="n">
        <x:v>1</x:v>
      </x:c>
      <x:c r="F1688" s="12" t="str">
        <x:v>未记录</x:v>
      </x:c>
      <x:c r="G1688" s="12" t="n">
        <x:v>1</x:v>
      </x:c>
      <x:c r="H1688" s="12" t="str">
        <x:v>{'NDT': 100.0, 'LOWT': 0.0, 'SR': 0.0}</x:v>
      </x:c>
      <x:c r="I1688" s="12" t="str">
        <x:v>[('SBRAD', 100.0), ('NT', 100.0), ('AB', 100.0)]</x:v>
      </x:c>
      <x:c r="J1688" s="12" t="str">
        <x:v>ptbxl_database.csv；ecg_id=15926；scp_codes</x:v>
      </x:c>
      <x:c r="K1688" s="12" t="str">
        <x:v>12sl_statements.csv；ecg_id=15926；statements_ext_snomed</x:v>
      </x:c>
      <x:c r="L1688" s="12"/>
      <x:c r="M1688" s="12" t="str">
        <x:v>negative</x:v>
      </x:c>
      <x:c r="N1688" s="12"/>
      <x:c r="O1688" s="12" t="str">
        <x:v>negative</x:v>
      </x:c>
      <x:c r="P1688" s="12" t="str">
        <x:f>IF(OR(M1688="unavailable",O1688="unavailable"),"不可评价",IF(OR(M1688="equivocal",O1688="equivocal"),"疑似",IF(AND(M1688="positive",O1688="positive"),"a",IF(O1688="positive","b",IF(M1688="positive","c","d")))))</x:f>
        <x:v>d</x:v>
      </x:c>
      <x:c r="Q1688" s="12"/>
      <x:c r="R1688" s="12" t="str">
        <x:v>negative</x:v>
      </x:c>
      <x:c r="S1688" s="12"/>
      <x:c r="T1688" s="12" t="str">
        <x:v>negative</x:v>
      </x:c>
      <x:c r="U1688" s="12" t="str">
        <x:f>IF(OR(R1688="unavailable",T1688="unavailable"),"不可评价",IF(OR(R1688="equivocal",T1688="equivocal"),"疑似",IF(AND(R1688="positive",T1688="positive"),"a",IF(T1688="positive","b",IF(R1688="positive","c","d")))))</x:f>
        <x:v>d</x:v>
      </x:c>
      <x:c r="V1688" s="12"/>
      <x:c r="W1688" s="12" t="str">
        <x:v>negative</x:v>
      </x:c>
      <x:c r="X1688" s="12"/>
      <x:c r="Y1688" s="12" t="str">
        <x:v>negative</x:v>
      </x:c>
      <x:c r="Z1688" s="12" t="str">
        <x:f>IF(OR(W1688="unavailable",Y1688="unavailable"),"不可评价",IF(OR(W1688="equivocal",Y1688="equivocal"),"疑似",IF(AND(W1688="positive",Y1688="positive"),"a",IF(Y1688="positive","b",IF(W1688="positive","c","d")))))</x:f>
        <x:v>d</x:v>
      </x:c>
      <x:c r="AA1688" s="12" t="str">
        <x:f>IF(OR(M1688="unavailable",O1688="unavailable"),"不可评价",IF(AND(OR(M1688="positive",M1688="equivocal"),OR(O1688="positive",O1688="equivocal")),"a",IF(OR(O1688="positive",O1688="equivocal"),"b",IF(OR(M1688="positive",M1688="equivocal"),"c","d"))))</x:f>
        <x:v>d</x:v>
      </x:c>
      <x:c r="AB1688" s="12" t="str">
        <x:f>IF(OR(M1688="unavailable",O1688="unavailable"),"不可评价",IF(AND(M1688="positive",O1688="positive"),"a",IF(O1688="positive","b",IF(M1688="positive","c","d"))))</x:f>
        <x:v>d</x:v>
      </x:c>
      <x:c r="AC1688" s="12" t="str">
        <x:f>IF(OR(R1688="unavailable",T1688="unavailable"),"不可评价",IF(AND(OR(R1688="positive",R1688="equivocal"),OR(T1688="positive",T1688="equivocal")),"a",IF(OR(T1688="positive",T1688="equivocal"),"b",IF(OR(R1688="positive",R1688="equivocal"),"c","d"))))</x:f>
        <x:v>d</x:v>
      </x:c>
      <x:c r="AD1688" s="12" t="str">
        <x:f>IF(OR(R1688="unavailable",T1688="unavailable"),"不可评价",IF(AND(R1688="positive",T1688="positive"),"a",IF(T1688="positive","b",IF(R1688="positive","c","d"))))</x:f>
        <x:v>d</x:v>
      </x:c>
      <x:c r="AE1688" s="12" t="str">
        <x:f>IF(OR(W1688="unavailable",Y1688="unavailable"),"不可评价",IF(AND(OR(W1688="positive",W1688="equivocal"),OR(Y1688="positive",Y1688="equivocal")),"a",IF(OR(Y1688="positive",Y1688="equivocal"),"b",IF(OR(W1688="positive",W1688="equivocal"),"c","d"))))</x:f>
        <x:v>d</x:v>
      </x:c>
      <x:c r="AF1688" s="12" t="str">
        <x:f>IF(OR(W1688="unavailable",Y1688="unavailable"),"不可评价",IF(AND(W1688="positive",Y1688="positive"),"a",IF(Y1688="positive","b",IF(W1688="positive","c","d"))))</x:f>
        <x:v>d</x:v>
      </x:c>
    </x:row>
    <x:row r="1689" ht="24" customHeight="1">
      <x:c r="A1689" s="12" t="str">
        <x:v>15930</x:v>
      </x:c>
      <x:c r="B1689" s="12" t="str">
        <x:v>2147</x:v>
      </x:c>
      <x:c r="C1689" s="21" t="n">
        <x:v>35167.53865740741</x:v>
      </x:c>
      <x:c r="D1689" s="12" t="n">
        <x:v>42</x:v>
      </x:c>
      <x:c r="E1689" s="12" t="n">
        <x:v>1</x:v>
      </x:c>
      <x:c r="F1689" s="12" t="str">
        <x:v>未记录</x:v>
      </x:c>
      <x:c r="G1689" s="12" t="n">
        <x:v>1</x:v>
      </x:c>
      <x:c r="H1689" s="12" t="str">
        <x:v>{'NORM': 100.0, 'SR': 0.0}</x:v>
      </x:c>
      <x:c r="I1689" s="12" t="str">
        <x:v>[('NSR', 100.0), ('NML', 100.0)]</x:v>
      </x:c>
      <x:c r="J1689" s="12" t="str">
        <x:v>ptbxl_database.csv；ecg_id=15930；scp_codes</x:v>
      </x:c>
      <x:c r="K1689" s="12" t="str">
        <x:v>12sl_statements.csv；ecg_id=15930；statements_ext_snomed</x:v>
      </x:c>
      <x:c r="L1689" s="12"/>
      <x:c r="M1689" s="12" t="str">
        <x:v>negative</x:v>
      </x:c>
      <x:c r="N1689" s="12"/>
      <x:c r="O1689" s="12" t="str">
        <x:v>negative</x:v>
      </x:c>
      <x:c r="P1689" s="12" t="str">
        <x:f>IF(OR(M1689="unavailable",O1689="unavailable"),"不可评价",IF(OR(M1689="equivocal",O1689="equivocal"),"疑似",IF(AND(M1689="positive",O1689="positive"),"a",IF(O1689="positive","b",IF(M1689="positive","c","d")))))</x:f>
        <x:v>d</x:v>
      </x:c>
      <x:c r="Q1689" s="12"/>
      <x:c r="R1689" s="12" t="str">
        <x:v>negative</x:v>
      </x:c>
      <x:c r="S1689" s="12"/>
      <x:c r="T1689" s="12" t="str">
        <x:v>negative</x:v>
      </x:c>
      <x:c r="U1689" s="12" t="str">
        <x:f>IF(OR(R1689="unavailable",T1689="unavailable"),"不可评价",IF(OR(R1689="equivocal",T1689="equivocal"),"疑似",IF(AND(R1689="positive",T1689="positive"),"a",IF(T1689="positive","b",IF(R1689="positive","c","d")))))</x:f>
        <x:v>d</x:v>
      </x:c>
      <x:c r="V1689" s="12"/>
      <x:c r="W1689" s="12" t="str">
        <x:v>negative</x:v>
      </x:c>
      <x:c r="X1689" s="12"/>
      <x:c r="Y1689" s="12" t="str">
        <x:v>negative</x:v>
      </x:c>
      <x:c r="Z1689" s="12" t="str">
        <x:f>IF(OR(W1689="unavailable",Y1689="unavailable"),"不可评价",IF(OR(W1689="equivocal",Y1689="equivocal"),"疑似",IF(AND(W1689="positive",Y1689="positive"),"a",IF(Y1689="positive","b",IF(W1689="positive","c","d")))))</x:f>
        <x:v>d</x:v>
      </x:c>
      <x:c r="AA1689" s="12" t="str">
        <x:f>IF(OR(M1689="unavailable",O1689="unavailable"),"不可评价",IF(AND(OR(M1689="positive",M1689="equivocal"),OR(O1689="positive",O1689="equivocal")),"a",IF(OR(O1689="positive",O1689="equivocal"),"b",IF(OR(M1689="positive",M1689="equivocal"),"c","d"))))</x:f>
        <x:v>d</x:v>
      </x:c>
      <x:c r="AB1689" s="12" t="str">
        <x:f>IF(OR(M1689="unavailable",O1689="unavailable"),"不可评价",IF(AND(M1689="positive",O1689="positive"),"a",IF(O1689="positive","b",IF(M1689="positive","c","d"))))</x:f>
        <x:v>d</x:v>
      </x:c>
      <x:c r="AC1689" s="12" t="str">
        <x:f>IF(OR(R1689="unavailable",T1689="unavailable"),"不可评价",IF(AND(OR(R1689="positive",R1689="equivocal"),OR(T1689="positive",T1689="equivocal")),"a",IF(OR(T1689="positive",T1689="equivocal"),"b",IF(OR(R1689="positive",R1689="equivocal"),"c","d"))))</x:f>
        <x:v>d</x:v>
      </x:c>
      <x:c r="AD1689" s="12" t="str">
        <x:f>IF(OR(R1689="unavailable",T1689="unavailable"),"不可评价",IF(AND(R1689="positive",T1689="positive"),"a",IF(T1689="positive","b",IF(R1689="positive","c","d"))))</x:f>
        <x:v>d</x:v>
      </x:c>
      <x:c r="AE1689" s="12" t="str">
        <x:f>IF(OR(W1689="unavailable",Y1689="unavailable"),"不可评价",IF(AND(OR(W1689="positive",W1689="equivocal"),OR(Y1689="positive",Y1689="equivocal")),"a",IF(OR(Y1689="positive",Y1689="equivocal"),"b",IF(OR(W1689="positive",W1689="equivocal"),"c","d"))))</x:f>
        <x:v>d</x:v>
      </x:c>
      <x:c r="AF1689" s="12" t="str">
        <x:f>IF(OR(W1689="unavailable",Y1689="unavailable"),"不可评价",IF(AND(W1689="positive",Y1689="positive"),"a",IF(Y1689="positive","b",IF(W1689="positive","c","d"))))</x:f>
        <x:v>d</x:v>
      </x:c>
    </x:row>
    <x:row r="1690" ht="24" customHeight="1">
      <x:c r="A1690" s="12" t="str">
        <x:v>15948</x:v>
      </x:c>
      <x:c r="B1690" s="12" t="str">
        <x:v>20398</x:v>
      </x:c>
      <x:c r="C1690" s="21" t="n">
        <x:v>35169.48369212963</x:v>
      </x:c>
      <x:c r="D1690" s="12" t="n">
        <x:v>49</x:v>
      </x:c>
      <x:c r="E1690" s="12" t="n">
        <x:v>0</x:v>
      </x:c>
      <x:c r="F1690" s="12" t="str">
        <x:v>存在</x:v>
      </x:c>
      <x:c r="G1690" s="12" t="n">
        <x:v>1</x:v>
      </x:c>
      <x:c r="H1690" s="12" t="str">
        <x:v>{'NORM': 100.0, 'SR': 0.0}</x:v>
      </x:c>
      <x:c r="I1690" s="12" t="str">
        <x:v>[('SBRAD', 100.0), ('ABR', 100.0)]</x:v>
      </x:c>
      <x:c r="J1690" s="12" t="str">
        <x:v>ptbxl_database.csv；ecg_id=15948；scp_codes</x:v>
      </x:c>
      <x:c r="K1690" s="12" t="str">
        <x:v>12sl_statements.csv；ecg_id=15948；statements_ext_snomed</x:v>
      </x:c>
      <x:c r="L1690" s="12"/>
      <x:c r="M1690" s="12" t="str">
        <x:v>negative</x:v>
      </x:c>
      <x:c r="N1690" s="12"/>
      <x:c r="O1690" s="12" t="str">
        <x:v>negative</x:v>
      </x:c>
      <x:c r="P1690" s="12" t="str">
        <x:f>IF(OR(M1690="unavailable",O1690="unavailable"),"不可评价",IF(OR(M1690="equivocal",O1690="equivocal"),"疑似",IF(AND(M1690="positive",O1690="positive"),"a",IF(O1690="positive","b",IF(M1690="positive","c","d")))))</x:f>
        <x:v>d</x:v>
      </x:c>
      <x:c r="Q1690" s="12"/>
      <x:c r="R1690" s="12" t="str">
        <x:v>negative</x:v>
      </x:c>
      <x:c r="S1690" s="12"/>
      <x:c r="T1690" s="12" t="str">
        <x:v>negative</x:v>
      </x:c>
      <x:c r="U1690" s="12" t="str">
        <x:f>IF(OR(R1690="unavailable",T1690="unavailable"),"不可评价",IF(OR(R1690="equivocal",T1690="equivocal"),"疑似",IF(AND(R1690="positive",T1690="positive"),"a",IF(T1690="positive","b",IF(R1690="positive","c","d")))))</x:f>
        <x:v>d</x:v>
      </x:c>
      <x:c r="V1690" s="12"/>
      <x:c r="W1690" s="12" t="str">
        <x:v>negative</x:v>
      </x:c>
      <x:c r="X1690" s="12"/>
      <x:c r="Y1690" s="12" t="str">
        <x:v>negative</x:v>
      </x:c>
      <x:c r="Z1690" s="12" t="str">
        <x:f>IF(OR(W1690="unavailable",Y1690="unavailable"),"不可评价",IF(OR(W1690="equivocal",Y1690="equivocal"),"疑似",IF(AND(W1690="positive",Y1690="positive"),"a",IF(Y1690="positive","b",IF(W1690="positive","c","d")))))</x:f>
        <x:v>d</x:v>
      </x:c>
      <x:c r="AA1690" s="12" t="str">
        <x:f>IF(OR(M1690="unavailable",O1690="unavailable"),"不可评价",IF(AND(OR(M1690="positive",M1690="equivocal"),OR(O1690="positive",O1690="equivocal")),"a",IF(OR(O1690="positive",O1690="equivocal"),"b",IF(OR(M1690="positive",M1690="equivocal"),"c","d"))))</x:f>
        <x:v>d</x:v>
      </x:c>
      <x:c r="AB1690" s="12" t="str">
        <x:f>IF(OR(M1690="unavailable",O1690="unavailable"),"不可评价",IF(AND(M1690="positive",O1690="positive"),"a",IF(O1690="positive","b",IF(M1690="positive","c","d"))))</x:f>
        <x:v>d</x:v>
      </x:c>
      <x:c r="AC1690" s="12" t="str">
        <x:f>IF(OR(R1690="unavailable",T1690="unavailable"),"不可评价",IF(AND(OR(R1690="positive",R1690="equivocal"),OR(T1690="positive",T1690="equivocal")),"a",IF(OR(T1690="positive",T1690="equivocal"),"b",IF(OR(R1690="positive",R1690="equivocal"),"c","d"))))</x:f>
        <x:v>d</x:v>
      </x:c>
      <x:c r="AD1690" s="12" t="str">
        <x:f>IF(OR(R1690="unavailable",T1690="unavailable"),"不可评价",IF(AND(R1690="positive",T1690="positive"),"a",IF(T1690="positive","b",IF(R1690="positive","c","d"))))</x:f>
        <x:v>d</x:v>
      </x:c>
      <x:c r="AE1690" s="12" t="str">
        <x:f>IF(OR(W1690="unavailable",Y1690="unavailable"),"不可评价",IF(AND(OR(W1690="positive",W1690="equivocal"),OR(Y1690="positive",Y1690="equivocal")),"a",IF(OR(Y1690="positive",Y1690="equivocal"),"b",IF(OR(W1690="positive",W1690="equivocal"),"c","d"))))</x:f>
        <x:v>d</x:v>
      </x:c>
      <x:c r="AF1690" s="12" t="str">
        <x:f>IF(OR(W1690="unavailable",Y1690="unavailable"),"不可评价",IF(AND(W1690="positive",Y1690="positive"),"a",IF(Y1690="positive","b",IF(W1690="positive","c","d"))))</x:f>
        <x:v>d</x:v>
      </x:c>
    </x:row>
    <x:row r="1691" ht="24" customHeight="1">
      <x:c r="A1691" s="12" t="str">
        <x:v>15950</x:v>
      </x:c>
      <x:c r="B1691" s="12" t="str">
        <x:v>7728</x:v>
      </x:c>
      <x:c r="C1691" s="21" t="n">
        <x:v>35169.57449074074</x:v>
      </x:c>
      <x:c r="D1691" s="12" t="n">
        <x:v>64</x:v>
      </x:c>
      <x:c r="E1691" s="12" t="n">
        <x:v>1</x:v>
      </x:c>
      <x:c r="F1691" s="12" t="str">
        <x:v>未记录</x:v>
      </x:c>
      <x:c r="G1691" s="12" t="n">
        <x:v>1</x:v>
      </x:c>
      <x:c r="H1691" s="12" t="str">
        <x:v>{'AMI': 15.0, 'QWAVE': 0.0, 'SR': 0.0}</x:v>
      </x:c>
      <x:c r="I1691" s="12" t="str">
        <x:v>[('NSR', 100.0), ('NML', 100.0)]</x:v>
      </x:c>
      <x:c r="J1691" s="12" t="str">
        <x:v>ptbxl_database.csv；ecg_id=15950；scp_codes</x:v>
      </x:c>
      <x:c r="K1691" s="12" t="str">
        <x:v>12sl_statements.csv；ecg_id=15950；statements_ext_snomed</x:v>
      </x:c>
      <x:c r="L1691" s="12"/>
      <x:c r="M1691" s="12" t="str">
        <x:v>negative</x:v>
      </x:c>
      <x:c r="N1691" s="12"/>
      <x:c r="O1691" s="12" t="str">
        <x:v>negative</x:v>
      </x:c>
      <x:c r="P1691" s="12" t="str">
        <x:f>IF(OR(M1691="unavailable",O1691="unavailable"),"不可评价",IF(OR(M1691="equivocal",O1691="equivocal"),"疑似",IF(AND(M1691="positive",O1691="positive"),"a",IF(O1691="positive","b",IF(M1691="positive","c","d")))))</x:f>
        <x:v>d</x:v>
      </x:c>
      <x:c r="Q1691" s="12"/>
      <x:c r="R1691" s="12" t="str">
        <x:v>negative</x:v>
      </x:c>
      <x:c r="S1691" s="12"/>
      <x:c r="T1691" s="12" t="str">
        <x:v>negative</x:v>
      </x:c>
      <x:c r="U1691" s="12" t="str">
        <x:f>IF(OR(R1691="unavailable",T1691="unavailable"),"不可评价",IF(OR(R1691="equivocal",T1691="equivocal"),"疑似",IF(AND(R1691="positive",T1691="positive"),"a",IF(T1691="positive","b",IF(R1691="positive","c","d")))))</x:f>
        <x:v>d</x:v>
      </x:c>
      <x:c r="V1691" s="12"/>
      <x:c r="W1691" s="12" t="str">
        <x:v>negative</x:v>
      </x:c>
      <x:c r="X1691" s="12"/>
      <x:c r="Y1691" s="12" t="str">
        <x:v>negative</x:v>
      </x:c>
      <x:c r="Z1691" s="12" t="str">
        <x:f>IF(OR(W1691="unavailable",Y1691="unavailable"),"不可评价",IF(OR(W1691="equivocal",Y1691="equivocal"),"疑似",IF(AND(W1691="positive",Y1691="positive"),"a",IF(Y1691="positive","b",IF(W1691="positive","c","d")))))</x:f>
        <x:v>d</x:v>
      </x:c>
      <x:c r="AA1691" s="12" t="str">
        <x:f>IF(OR(M1691="unavailable",O1691="unavailable"),"不可评价",IF(AND(OR(M1691="positive",M1691="equivocal"),OR(O1691="positive",O1691="equivocal")),"a",IF(OR(O1691="positive",O1691="equivocal"),"b",IF(OR(M1691="positive",M1691="equivocal"),"c","d"))))</x:f>
        <x:v>d</x:v>
      </x:c>
      <x:c r="AB1691" s="12" t="str">
        <x:f>IF(OR(M1691="unavailable",O1691="unavailable"),"不可评价",IF(AND(M1691="positive",O1691="positive"),"a",IF(O1691="positive","b",IF(M1691="positive","c","d"))))</x:f>
        <x:v>d</x:v>
      </x:c>
      <x:c r="AC1691" s="12" t="str">
        <x:f>IF(OR(R1691="unavailable",T1691="unavailable"),"不可评价",IF(AND(OR(R1691="positive",R1691="equivocal"),OR(T1691="positive",T1691="equivocal")),"a",IF(OR(T1691="positive",T1691="equivocal"),"b",IF(OR(R1691="positive",R1691="equivocal"),"c","d"))))</x:f>
        <x:v>d</x:v>
      </x:c>
      <x:c r="AD1691" s="12" t="str">
        <x:f>IF(OR(R1691="unavailable",T1691="unavailable"),"不可评价",IF(AND(R1691="positive",T1691="positive"),"a",IF(T1691="positive","b",IF(R1691="positive","c","d"))))</x:f>
        <x:v>d</x:v>
      </x:c>
      <x:c r="AE1691" s="12" t="str">
        <x:f>IF(OR(W1691="unavailable",Y1691="unavailable"),"不可评价",IF(AND(OR(W1691="positive",W1691="equivocal"),OR(Y1691="positive",Y1691="equivocal")),"a",IF(OR(Y1691="positive",Y1691="equivocal"),"b",IF(OR(W1691="positive",W1691="equivocal"),"c","d"))))</x:f>
        <x:v>d</x:v>
      </x:c>
      <x:c r="AF1691" s="12" t="str">
        <x:f>IF(OR(W1691="unavailable",Y1691="unavailable"),"不可评价",IF(AND(W1691="positive",Y1691="positive"),"a",IF(Y1691="positive","b",IF(W1691="positive","c","d"))))</x:f>
        <x:v>d</x:v>
      </x:c>
    </x:row>
    <x:row r="1692" ht="24" customHeight="1">
      <x:c r="A1692" s="12" t="str">
        <x:v>15954</x:v>
      </x:c>
      <x:c r="B1692" s="12" t="str">
        <x:v>3541</x:v>
      </x:c>
      <x:c r="C1692" s="21" t="n">
        <x:v>35170.44244212963</x:v>
      </x:c>
      <x:c r="D1692" s="12" t="n">
        <x:v>75</x:v>
      </x:c>
      <x:c r="E1692" s="12" t="n">
        <x:v>0</x:v>
      </x:c>
      <x:c r="F1692" s="12" t="str">
        <x:v>存在</x:v>
      </x:c>
      <x:c r="G1692" s="12" t="n">
        <x:v>1</x:v>
      </x:c>
      <x:c r="H1692" s="12" t="str">
        <x:v>{'IRBBB': 100.0, 'RVH': 50.0, 'PVC': 0.0, 'SR': 0.0}</x:v>
      </x:c>
      <x:c r="I1692" s="12" t="str">
        <x:v>[('SRTH', 100.0), ('PVC', 100.0), ('LAD3', 100.0), ('RBBB', 100.0), ('AB', 100.0)]</x:v>
      </x:c>
      <x:c r="J1692" s="12" t="str">
        <x:v>ptbxl_database.csv；ecg_id=15954；scp_codes</x:v>
      </x:c>
      <x:c r="K1692" s="12" t="str">
        <x:v>12sl_statements.csv；ecg_id=15954；statements_ext_snomed</x:v>
      </x:c>
      <x:c r="L1692" s="12"/>
      <x:c r="M1692" s="12" t="str">
        <x:v>negative</x:v>
      </x:c>
      <x:c r="N1692" s="12"/>
      <x:c r="O1692" s="12" t="str">
        <x:v>negative</x:v>
      </x:c>
      <x:c r="P1692" s="12" t="str">
        <x:f>IF(OR(M1692="unavailable",O1692="unavailable"),"不可评价",IF(OR(M1692="equivocal",O1692="equivocal"),"疑似",IF(AND(M1692="positive",O1692="positive"),"a",IF(O1692="positive","b",IF(M1692="positive","c","d")))))</x:f>
        <x:v>d</x:v>
      </x:c>
      <x:c r="Q1692" s="12"/>
      <x:c r="R1692" s="12" t="str">
        <x:v>negative</x:v>
      </x:c>
      <x:c r="S1692" s="12"/>
      <x:c r="T1692" s="12" t="str">
        <x:v>negative</x:v>
      </x:c>
      <x:c r="U1692" s="12" t="str">
        <x:f>IF(OR(R1692="unavailable",T1692="unavailable"),"不可评价",IF(OR(R1692="equivocal",T1692="equivocal"),"疑似",IF(AND(R1692="positive",T1692="positive"),"a",IF(T1692="positive","b",IF(R1692="positive","c","d")))))</x:f>
        <x:v>d</x:v>
      </x:c>
      <x:c r="V1692" s="12"/>
      <x:c r="W1692" s="12" t="str">
        <x:v>negative</x:v>
      </x:c>
      <x:c r="X1692" s="12" t="n">
        <x:v>100</x:v>
      </x:c>
      <x:c r="Y1692" s="12" t="str">
        <x:v>positive</x:v>
      </x:c>
      <x:c r="Z1692" s="12" t="str">
        <x:f>IF(OR(W1692="unavailable",Y1692="unavailable"),"不可评价",IF(OR(W1692="equivocal",Y1692="equivocal"),"疑似",IF(AND(W1692="positive",Y1692="positive"),"a",IF(Y1692="positive","b",IF(W1692="positive","c","d")))))</x:f>
        <x:v>b</x:v>
      </x:c>
      <x:c r="AA1692" s="12" t="str">
        <x:f>IF(OR(M1692="unavailable",O1692="unavailable"),"不可评价",IF(AND(OR(M1692="positive",M1692="equivocal"),OR(O1692="positive",O1692="equivocal")),"a",IF(OR(O1692="positive",O1692="equivocal"),"b",IF(OR(M1692="positive",M1692="equivocal"),"c","d"))))</x:f>
        <x:v>d</x:v>
      </x:c>
      <x:c r="AB1692" s="12" t="str">
        <x:f>IF(OR(M1692="unavailable",O1692="unavailable"),"不可评价",IF(AND(M1692="positive",O1692="positive"),"a",IF(O1692="positive","b",IF(M1692="positive","c","d"))))</x:f>
        <x:v>d</x:v>
      </x:c>
      <x:c r="AC1692" s="12" t="str">
        <x:f>IF(OR(R1692="unavailable",T1692="unavailable"),"不可评价",IF(AND(OR(R1692="positive",R1692="equivocal"),OR(T1692="positive",T1692="equivocal")),"a",IF(OR(T1692="positive",T1692="equivocal"),"b",IF(OR(R1692="positive",R1692="equivocal"),"c","d"))))</x:f>
        <x:v>d</x:v>
      </x:c>
      <x:c r="AD1692" s="12" t="str">
        <x:f>IF(OR(R1692="unavailable",T1692="unavailable"),"不可评价",IF(AND(R1692="positive",T1692="positive"),"a",IF(T1692="positive","b",IF(R1692="positive","c","d"))))</x:f>
        <x:v>d</x:v>
      </x:c>
      <x:c r="AE1692" s="12" t="str">
        <x:f>IF(OR(W1692="unavailable",Y1692="unavailable"),"不可评价",IF(AND(OR(W1692="positive",W1692="equivocal"),OR(Y1692="positive",Y1692="equivocal")),"a",IF(OR(Y1692="positive",Y1692="equivocal"),"b",IF(OR(W1692="positive",W1692="equivocal"),"c","d"))))</x:f>
        <x:v>b</x:v>
      </x:c>
      <x:c r="AF1692" s="12" t="str">
        <x:f>IF(OR(W1692="unavailable",Y1692="unavailable"),"不可评价",IF(AND(W1692="positive",Y1692="positive"),"a",IF(Y1692="positive","b",IF(W1692="positive","c","d"))))</x:f>
        <x:v>b</x:v>
      </x:c>
    </x:row>
    <x:row r="1693" ht="39" customHeight="1">
      <x:c r="A1693" s="12" t="str">
        <x:v>15958</x:v>
      </x:c>
      <x:c r="B1693" s="12" t="str">
        <x:v>16462</x:v>
      </x:c>
      <x:c r="C1693" s="21" t="n">
        <x:v>35170.69429398148</x:v>
      </x:c>
      <x:c r="D1693" s="12" t="n">
        <x:v>82</x:v>
      </x:c>
      <x:c r="E1693" s="12" t="n">
        <x:v>0</x:v>
      </x:c>
      <x:c r="F1693" s="12" t="str">
        <x:v>未记录</x:v>
      </x:c>
      <x:c r="G1693" s="12" t="n">
        <x:v>1</x:v>
      </x:c>
      <x:c r="H1693" s="12" t="str">
        <x:v>{'ILMI': 15.0, 'ASMI': 15.0, 'CLBBB': 100.0, 'PVC': 100.0, 'QWAVE': 0.0, 'AFIB': 0.0}</x:v>
      </x:c>
      <x:c r="I1693" s="12" t="str">
        <x:v>[('AFIB', 100.0), ('ABER', 100.0), ('LAD3', 100.0), ('LBBB', 100.0), ('AB', 100.0)]</x:v>
      </x:c>
      <x:c r="J1693" s="12" t="str">
        <x:v>ptbxl_database.csv；ecg_id=15958；scp_codes</x:v>
      </x:c>
      <x:c r="K1693" s="12" t="str">
        <x:v>12sl_statements.csv；ecg_id=15958；statements_ext_snomed</x:v>
      </x:c>
      <x:c r="L1693" s="12" t="n">
        <x:v>0</x:v>
      </x:c>
      <x:c r="M1693" s="12" t="str">
        <x:v>positive</x:v>
      </x:c>
      <x:c r="N1693" s="12" t="n">
        <x:v>100</x:v>
      </x:c>
      <x:c r="O1693" s="12" t="str">
        <x:v>positive</x:v>
      </x:c>
      <x:c r="P1693" s="12" t="str">
        <x:f>IF(OR(M1693="unavailable",O1693="unavailable"),"不可评价",IF(OR(M1693="equivocal",O1693="equivocal"),"疑似",IF(AND(M1693="positive",O1693="positive"),"a",IF(O1693="positive","b",IF(M1693="positive","c","d")))))</x:f>
        <x:v>a</x:v>
      </x:c>
      <x:c r="Q1693" s="12" t="n">
        <x:v>100</x:v>
      </x:c>
      <x:c r="R1693" s="12" t="str">
        <x:v>positive</x:v>
      </x:c>
      <x:c r="S1693" s="12" t="n">
        <x:v>100</x:v>
      </x:c>
      <x:c r="T1693" s="12" t="str">
        <x:v>positive</x:v>
      </x:c>
      <x:c r="U1693" s="12" t="str">
        <x:f>IF(OR(R1693="unavailable",T1693="unavailable"),"不可评价",IF(OR(R1693="equivocal",T1693="equivocal"),"疑似",IF(AND(R1693="positive",T1693="positive"),"a",IF(T1693="positive","b",IF(R1693="positive","c","d")))))</x:f>
        <x:v>a</x:v>
      </x:c>
      <x:c r="V1693" s="12"/>
      <x:c r="W1693" s="12" t="str">
        <x:v>negative</x:v>
      </x:c>
      <x:c r="X1693" s="12"/>
      <x:c r="Y1693" s="12" t="str">
        <x:v>negative</x:v>
      </x:c>
      <x:c r="Z1693" s="12" t="str">
        <x:f>IF(OR(W1693="unavailable",Y1693="unavailable"),"不可评价",IF(OR(W1693="equivocal",Y1693="equivocal"),"疑似",IF(AND(W1693="positive",Y1693="positive"),"a",IF(Y1693="positive","b",IF(W1693="positive","c","d")))))</x:f>
        <x:v>d</x:v>
      </x:c>
      <x:c r="AA1693" s="12" t="str">
        <x:f>IF(OR(M1693="unavailable",O1693="unavailable"),"不可评价",IF(AND(OR(M1693="positive",M1693="equivocal"),OR(O1693="positive",O1693="equivocal")),"a",IF(OR(O1693="positive",O1693="equivocal"),"b",IF(OR(M1693="positive",M1693="equivocal"),"c","d"))))</x:f>
        <x:v>a</x:v>
      </x:c>
      <x:c r="AB1693" s="12" t="str">
        <x:f>IF(OR(M1693="unavailable",O1693="unavailable"),"不可评价",IF(AND(M1693="positive",O1693="positive"),"a",IF(O1693="positive","b",IF(M1693="positive","c","d"))))</x:f>
        <x:v>a</x:v>
      </x:c>
      <x:c r="AC1693" s="12" t="str">
        <x:f>IF(OR(R1693="unavailable",T1693="unavailable"),"不可评价",IF(AND(OR(R1693="positive",R1693="equivocal"),OR(T1693="positive",T1693="equivocal")),"a",IF(OR(T1693="positive",T1693="equivocal"),"b",IF(OR(R1693="positive",R1693="equivocal"),"c","d"))))</x:f>
        <x:v>a</x:v>
      </x:c>
      <x:c r="AD1693" s="12" t="str">
        <x:f>IF(OR(R1693="unavailable",T1693="unavailable"),"不可评价",IF(AND(R1693="positive",T1693="positive"),"a",IF(T1693="positive","b",IF(R1693="positive","c","d"))))</x:f>
        <x:v>a</x:v>
      </x:c>
      <x:c r="AE1693" s="12" t="str">
        <x:f>IF(OR(W1693="unavailable",Y1693="unavailable"),"不可评价",IF(AND(OR(W1693="positive",W1693="equivocal"),OR(Y1693="positive",Y1693="equivocal")),"a",IF(OR(Y1693="positive",Y1693="equivocal"),"b",IF(OR(W1693="positive",W1693="equivocal"),"c","d"))))</x:f>
        <x:v>d</x:v>
      </x:c>
      <x:c r="AF1693" s="12" t="str">
        <x:f>IF(OR(W1693="unavailable",Y1693="unavailable"),"不可评价",IF(AND(W1693="positive",Y1693="positive"),"a",IF(Y1693="positive","b",IF(W1693="positive","c","d"))))</x:f>
        <x:v>d</x:v>
      </x:c>
    </x:row>
    <x:row r="1694" ht="24" customHeight="1">
      <x:c r="A1694" s="12" t="str">
        <x:v>15959</x:v>
      </x:c>
      <x:c r="B1694" s="12" t="str">
        <x:v>17622</x:v>
      </x:c>
      <x:c r="C1694" s="21" t="n">
        <x:v>35170.771516203706</x:v>
      </x:c>
      <x:c r="D1694" s="12" t="n">
        <x:v>63</x:v>
      </x:c>
      <x:c r="E1694" s="12" t="n">
        <x:v>1</x:v>
      </x:c>
      <x:c r="F1694" s="12" t="str">
        <x:v>未记录</x:v>
      </x:c>
      <x:c r="G1694" s="12" t="n">
        <x:v>0</x:v>
      </x:c>
      <x:c r="H1694" s="12" t="str">
        <x:v>{'NORM': 100.0, 'SR': 0.0}</x:v>
      </x:c>
      <x:c r="I1694" s="12" t="str">
        <x:v>[('NSR', 100.0), ('NML', 100.0)]</x:v>
      </x:c>
      <x:c r="J1694" s="12" t="str">
        <x:v>ptbxl_database.csv；ecg_id=15959；scp_codes</x:v>
      </x:c>
      <x:c r="K1694" s="12" t="str">
        <x:v>12sl_statements.csv；ecg_id=15959；statements_ext_snomed</x:v>
      </x:c>
      <x:c r="L1694" s="12"/>
      <x:c r="M1694" s="12" t="str">
        <x:v>negative</x:v>
      </x:c>
      <x:c r="N1694" s="12"/>
      <x:c r="O1694" s="12" t="str">
        <x:v>negative</x:v>
      </x:c>
      <x:c r="P1694" s="12" t="str">
        <x:f>IF(OR(M1694="unavailable",O1694="unavailable"),"不可评价",IF(OR(M1694="equivocal",O1694="equivocal"),"疑似",IF(AND(M1694="positive",O1694="positive"),"a",IF(O1694="positive","b",IF(M1694="positive","c","d")))))</x:f>
        <x:v>d</x:v>
      </x:c>
      <x:c r="Q1694" s="12"/>
      <x:c r="R1694" s="12" t="str">
        <x:v>negative</x:v>
      </x:c>
      <x:c r="S1694" s="12"/>
      <x:c r="T1694" s="12" t="str">
        <x:v>negative</x:v>
      </x:c>
      <x:c r="U1694" s="12" t="str">
        <x:f>IF(OR(R1694="unavailable",T1694="unavailable"),"不可评价",IF(OR(R1694="equivocal",T1694="equivocal"),"疑似",IF(AND(R1694="positive",T1694="positive"),"a",IF(T1694="positive","b",IF(R1694="positive","c","d")))))</x:f>
        <x:v>d</x:v>
      </x:c>
      <x:c r="V1694" s="12"/>
      <x:c r="W1694" s="12" t="str">
        <x:v>negative</x:v>
      </x:c>
      <x:c r="X1694" s="12"/>
      <x:c r="Y1694" s="12" t="str">
        <x:v>negative</x:v>
      </x:c>
      <x:c r="Z1694" s="12" t="str">
        <x:f>IF(OR(W1694="unavailable",Y1694="unavailable"),"不可评价",IF(OR(W1694="equivocal",Y1694="equivocal"),"疑似",IF(AND(W1694="positive",Y1694="positive"),"a",IF(Y1694="positive","b",IF(W1694="positive","c","d")))))</x:f>
        <x:v>d</x:v>
      </x:c>
      <x:c r="AA1694" s="12" t="str">
        <x:f>IF(OR(M1694="unavailable",O1694="unavailable"),"不可评价",IF(AND(OR(M1694="positive",M1694="equivocal"),OR(O1694="positive",O1694="equivocal")),"a",IF(OR(O1694="positive",O1694="equivocal"),"b",IF(OR(M1694="positive",M1694="equivocal"),"c","d"))))</x:f>
        <x:v>d</x:v>
      </x:c>
      <x:c r="AB1694" s="12" t="str">
        <x:f>IF(OR(M1694="unavailable",O1694="unavailable"),"不可评价",IF(AND(M1694="positive",O1694="positive"),"a",IF(O1694="positive","b",IF(M1694="positive","c","d"))))</x:f>
        <x:v>d</x:v>
      </x:c>
      <x:c r="AC1694" s="12" t="str">
        <x:f>IF(OR(R1694="unavailable",T1694="unavailable"),"不可评价",IF(AND(OR(R1694="positive",R1694="equivocal"),OR(T1694="positive",T1694="equivocal")),"a",IF(OR(T1694="positive",T1694="equivocal"),"b",IF(OR(R1694="positive",R1694="equivocal"),"c","d"))))</x:f>
        <x:v>d</x:v>
      </x:c>
      <x:c r="AD1694" s="12" t="str">
        <x:f>IF(OR(R1694="unavailable",T1694="unavailable"),"不可评价",IF(AND(R1694="positive",T1694="positive"),"a",IF(T1694="positive","b",IF(R1694="positive","c","d"))))</x:f>
        <x:v>d</x:v>
      </x:c>
      <x:c r="AE1694" s="12" t="str">
        <x:f>IF(OR(W1694="unavailable",Y1694="unavailable"),"不可评价",IF(AND(OR(W1694="positive",W1694="equivocal"),OR(Y1694="positive",Y1694="equivocal")),"a",IF(OR(Y1694="positive",Y1694="equivocal"),"b",IF(OR(W1694="positive",W1694="equivocal"),"c","d"))))</x:f>
        <x:v>d</x:v>
      </x:c>
      <x:c r="AF1694" s="12" t="str">
        <x:f>IF(OR(W1694="unavailable",Y1694="unavailable"),"不可评价",IF(AND(W1694="positive",Y1694="positive"),"a",IF(Y1694="positive","b",IF(W1694="positive","c","d"))))</x:f>
        <x:v>d</x:v>
      </x:c>
    </x:row>
    <x:row r="1695" ht="24" customHeight="1">
      <x:c r="A1695" s="12" t="str">
        <x:v>15988</x:v>
      </x:c>
      <x:c r="B1695" s="12" t="str">
        <x:v>1270</x:v>
      </x:c>
      <x:c r="C1695" s="21" t="n">
        <x:v>35177.490891203706</x:v>
      </x:c>
      <x:c r="D1695" s="12" t="n">
        <x:v>71</x:v>
      </x:c>
      <x:c r="E1695" s="12" t="n">
        <x:v>1</x:v>
      </x:c>
      <x:c r="F1695" s="12" t="str">
        <x:v>未记录</x:v>
      </x:c>
      <x:c r="G1695" s="12" t="n">
        <x:v>1</x:v>
      </x:c>
      <x:c r="H1695" s="12" t="str">
        <x:v>{'NORM': 100.0, 'SR': 0.0}</x:v>
      </x:c>
      <x:c r="I1695" s="12" t="str">
        <x:v>[('NSR', 100.0), ('NML', 100.0)]</x:v>
      </x:c>
      <x:c r="J1695" s="12" t="str">
        <x:v>ptbxl_database.csv；ecg_id=15988；scp_codes</x:v>
      </x:c>
      <x:c r="K1695" s="12" t="str">
        <x:v>12sl_statements.csv；ecg_id=15988；statements_ext_snomed</x:v>
      </x:c>
      <x:c r="L1695" s="12"/>
      <x:c r="M1695" s="12" t="str">
        <x:v>negative</x:v>
      </x:c>
      <x:c r="N1695" s="12"/>
      <x:c r="O1695" s="12" t="str">
        <x:v>negative</x:v>
      </x:c>
      <x:c r="P1695" s="12" t="str">
        <x:f>IF(OR(M1695="unavailable",O1695="unavailable"),"不可评价",IF(OR(M1695="equivocal",O1695="equivocal"),"疑似",IF(AND(M1695="positive",O1695="positive"),"a",IF(O1695="positive","b",IF(M1695="positive","c","d")))))</x:f>
        <x:v>d</x:v>
      </x:c>
      <x:c r="Q1695" s="12"/>
      <x:c r="R1695" s="12" t="str">
        <x:v>negative</x:v>
      </x:c>
      <x:c r="S1695" s="12"/>
      <x:c r="T1695" s="12" t="str">
        <x:v>negative</x:v>
      </x:c>
      <x:c r="U1695" s="12" t="str">
        <x:f>IF(OR(R1695="unavailable",T1695="unavailable"),"不可评价",IF(OR(R1695="equivocal",T1695="equivocal"),"疑似",IF(AND(R1695="positive",T1695="positive"),"a",IF(T1695="positive","b",IF(R1695="positive","c","d")))))</x:f>
        <x:v>d</x:v>
      </x:c>
      <x:c r="V1695" s="12"/>
      <x:c r="W1695" s="12" t="str">
        <x:v>negative</x:v>
      </x:c>
      <x:c r="X1695" s="12"/>
      <x:c r="Y1695" s="12" t="str">
        <x:v>negative</x:v>
      </x:c>
      <x:c r="Z1695" s="12" t="str">
        <x:f>IF(OR(W1695="unavailable",Y1695="unavailable"),"不可评价",IF(OR(W1695="equivocal",Y1695="equivocal"),"疑似",IF(AND(W1695="positive",Y1695="positive"),"a",IF(Y1695="positive","b",IF(W1695="positive","c","d")))))</x:f>
        <x:v>d</x:v>
      </x:c>
      <x:c r="AA1695" s="12" t="str">
        <x:f>IF(OR(M1695="unavailable",O1695="unavailable"),"不可评价",IF(AND(OR(M1695="positive",M1695="equivocal"),OR(O1695="positive",O1695="equivocal")),"a",IF(OR(O1695="positive",O1695="equivocal"),"b",IF(OR(M1695="positive",M1695="equivocal"),"c","d"))))</x:f>
        <x:v>d</x:v>
      </x:c>
      <x:c r="AB1695" s="12" t="str">
        <x:f>IF(OR(M1695="unavailable",O1695="unavailable"),"不可评价",IF(AND(M1695="positive",O1695="positive"),"a",IF(O1695="positive","b",IF(M1695="positive","c","d"))))</x:f>
        <x:v>d</x:v>
      </x:c>
      <x:c r="AC1695" s="12" t="str">
        <x:f>IF(OR(R1695="unavailable",T1695="unavailable"),"不可评价",IF(AND(OR(R1695="positive",R1695="equivocal"),OR(T1695="positive",T1695="equivocal")),"a",IF(OR(T1695="positive",T1695="equivocal"),"b",IF(OR(R1695="positive",R1695="equivocal"),"c","d"))))</x:f>
        <x:v>d</x:v>
      </x:c>
      <x:c r="AD1695" s="12" t="str">
        <x:f>IF(OR(R1695="unavailable",T1695="unavailable"),"不可评价",IF(AND(R1695="positive",T1695="positive"),"a",IF(T1695="positive","b",IF(R1695="positive","c","d"))))</x:f>
        <x:v>d</x:v>
      </x:c>
      <x:c r="AE1695" s="12" t="str">
        <x:f>IF(OR(W1695="unavailable",Y1695="unavailable"),"不可评价",IF(AND(OR(W1695="positive",W1695="equivocal"),OR(Y1695="positive",Y1695="equivocal")),"a",IF(OR(Y1695="positive",Y1695="equivocal"),"b",IF(OR(W1695="positive",W1695="equivocal"),"c","d"))))</x:f>
        <x:v>d</x:v>
      </x:c>
      <x:c r="AF1695" s="12" t="str">
        <x:f>IF(OR(W1695="unavailable",Y1695="unavailable"),"不可评价",IF(AND(W1695="positive",Y1695="positive"),"a",IF(Y1695="positive","b",IF(W1695="positive","c","d"))))</x:f>
        <x:v>d</x:v>
      </x:c>
    </x:row>
    <x:row r="1696" ht="24" customHeight="1">
      <x:c r="A1696" s="12" t="str">
        <x:v>16003</x:v>
      </x:c>
      <x:c r="B1696" s="12" t="str">
        <x:v>20598</x:v>
      </x:c>
      <x:c r="C1696" s="21" t="n">
        <x:v>35180.3891087963</x:v>
      </x:c>
      <x:c r="D1696" s="12" t="n">
        <x:v>61</x:v>
      </x:c>
      <x:c r="E1696" s="12" t="n">
        <x:v>0</x:v>
      </x:c>
      <x:c r="F1696" s="12" t="str">
        <x:v>未记录</x:v>
      </x:c>
      <x:c r="G1696" s="12" t="n">
        <x:v>0</x:v>
      </x:c>
      <x:c r="H1696" s="12" t="str">
        <x:v>{'NORM': 100.0, 'TAB_': 0.0, 'SR': 0.0}</x:v>
      </x:c>
      <x:c r="I1696" s="12" t="str">
        <x:v>[('NSR', 100.0), ('NML', 100.0)]</x:v>
      </x:c>
      <x:c r="J1696" s="12" t="str">
        <x:v>ptbxl_database.csv；ecg_id=16003；scp_codes</x:v>
      </x:c>
      <x:c r="K1696" s="12" t="str">
        <x:v>12sl_statements.csv；ecg_id=16003；statements_ext_snomed</x:v>
      </x:c>
      <x:c r="L1696" s="12"/>
      <x:c r="M1696" s="12" t="str">
        <x:v>negative</x:v>
      </x:c>
      <x:c r="N1696" s="12"/>
      <x:c r="O1696" s="12" t="str">
        <x:v>negative</x:v>
      </x:c>
      <x:c r="P1696" s="12" t="str">
        <x:f>IF(OR(M1696="unavailable",O1696="unavailable"),"不可评价",IF(OR(M1696="equivocal",O1696="equivocal"),"疑似",IF(AND(M1696="positive",O1696="positive"),"a",IF(O1696="positive","b",IF(M1696="positive","c","d")))))</x:f>
        <x:v>d</x:v>
      </x:c>
      <x:c r="Q1696" s="12"/>
      <x:c r="R1696" s="12" t="str">
        <x:v>negative</x:v>
      </x:c>
      <x:c r="S1696" s="12"/>
      <x:c r="T1696" s="12" t="str">
        <x:v>negative</x:v>
      </x:c>
      <x:c r="U1696" s="12" t="str">
        <x:f>IF(OR(R1696="unavailable",T1696="unavailable"),"不可评价",IF(OR(R1696="equivocal",T1696="equivocal"),"疑似",IF(AND(R1696="positive",T1696="positive"),"a",IF(T1696="positive","b",IF(R1696="positive","c","d")))))</x:f>
        <x:v>d</x:v>
      </x:c>
      <x:c r="V1696" s="12"/>
      <x:c r="W1696" s="12" t="str">
        <x:v>negative</x:v>
      </x:c>
      <x:c r="X1696" s="12"/>
      <x:c r="Y1696" s="12" t="str">
        <x:v>negative</x:v>
      </x:c>
      <x:c r="Z1696" s="12" t="str">
        <x:f>IF(OR(W1696="unavailable",Y1696="unavailable"),"不可评价",IF(OR(W1696="equivocal",Y1696="equivocal"),"疑似",IF(AND(W1696="positive",Y1696="positive"),"a",IF(Y1696="positive","b",IF(W1696="positive","c","d")))))</x:f>
        <x:v>d</x:v>
      </x:c>
      <x:c r="AA1696" s="12" t="str">
        <x:f>IF(OR(M1696="unavailable",O1696="unavailable"),"不可评价",IF(AND(OR(M1696="positive",M1696="equivocal"),OR(O1696="positive",O1696="equivocal")),"a",IF(OR(O1696="positive",O1696="equivocal"),"b",IF(OR(M1696="positive",M1696="equivocal"),"c","d"))))</x:f>
        <x:v>d</x:v>
      </x:c>
      <x:c r="AB1696" s="12" t="str">
        <x:f>IF(OR(M1696="unavailable",O1696="unavailable"),"不可评价",IF(AND(M1696="positive",O1696="positive"),"a",IF(O1696="positive","b",IF(M1696="positive","c","d"))))</x:f>
        <x:v>d</x:v>
      </x:c>
      <x:c r="AC1696" s="12" t="str">
        <x:f>IF(OR(R1696="unavailable",T1696="unavailable"),"不可评价",IF(AND(OR(R1696="positive",R1696="equivocal"),OR(T1696="positive",T1696="equivocal")),"a",IF(OR(T1696="positive",T1696="equivocal"),"b",IF(OR(R1696="positive",R1696="equivocal"),"c","d"))))</x:f>
        <x:v>d</x:v>
      </x:c>
      <x:c r="AD1696" s="12" t="str">
        <x:f>IF(OR(R1696="unavailable",T1696="unavailable"),"不可评价",IF(AND(R1696="positive",T1696="positive"),"a",IF(T1696="positive","b",IF(R1696="positive","c","d"))))</x:f>
        <x:v>d</x:v>
      </x:c>
      <x:c r="AE1696" s="12" t="str">
        <x:f>IF(OR(W1696="unavailable",Y1696="unavailable"),"不可评价",IF(AND(OR(W1696="positive",W1696="equivocal"),OR(Y1696="positive",Y1696="equivocal")),"a",IF(OR(Y1696="positive",Y1696="equivocal"),"b",IF(OR(W1696="positive",W1696="equivocal"),"c","d"))))</x:f>
        <x:v>d</x:v>
      </x:c>
      <x:c r="AF1696" s="12" t="str">
        <x:f>IF(OR(W1696="unavailable",Y1696="unavailable"),"不可评价",IF(AND(W1696="positive",Y1696="positive"),"a",IF(Y1696="positive","b",IF(W1696="positive","c","d"))))</x:f>
        <x:v>d</x:v>
      </x:c>
    </x:row>
    <x:row r="1697" ht="39" customHeight="1">
      <x:c r="A1697" s="12" t="str">
        <x:v>16010</x:v>
      </x:c>
      <x:c r="B1697" s="12" t="str">
        <x:v>7591</x:v>
      </x:c>
      <x:c r="C1697" s="21" t="n">
        <x:v>35181.38247685185</x:v>
      </x:c>
      <x:c r="D1697" s="12" t="n">
        <x:v>50</x:v>
      </x:c>
      <x:c r="E1697" s="12" t="n">
        <x:v>0</x:v>
      </x:c>
      <x:c r="F1697" s="12" t="str">
        <x:v>未记录</x:v>
      </x:c>
      <x:c r="G1697" s="12" t="n">
        <x:v>1</x:v>
      </x:c>
      <x:c r="H1697" s="12" t="str">
        <x:v>{'IMI': 100.0, 'ISCAS': 100.0, 'ISCAL': 100.0, 'QWAVE': 0.0, 'INVT': 0.0, 'STD_': 0.0, 'SR': 0.0}</x:v>
      </x:c>
      <x:c r="I1697" s="12" t="str">
        <x:v>[('SBRAD', 100.0), ('IMI;AU', 50.0), ('ST&amp;', 100.0), ('LT', 100.0), ('AB', 100.0)]</x:v>
      </x:c>
      <x:c r="J1697" s="12" t="str">
        <x:v>ptbxl_database.csv；ecg_id=16010；scp_codes</x:v>
      </x:c>
      <x:c r="K1697" s="12" t="str">
        <x:v>12sl_statements.csv；ecg_id=16010；statements_ext_snomed</x:v>
      </x:c>
      <x:c r="L1697" s="12"/>
      <x:c r="M1697" s="12" t="str">
        <x:v>negative</x:v>
      </x:c>
      <x:c r="N1697" s="12"/>
      <x:c r="O1697" s="12" t="str">
        <x:v>negative</x:v>
      </x:c>
      <x:c r="P1697" s="12" t="str">
        <x:f>IF(OR(M1697="unavailable",O1697="unavailable"),"不可评价",IF(OR(M1697="equivocal",O1697="equivocal"),"疑似",IF(AND(M1697="positive",O1697="positive"),"a",IF(O1697="positive","b",IF(M1697="positive","c","d")))))</x:f>
        <x:v>d</x:v>
      </x:c>
      <x:c r="Q1697" s="12"/>
      <x:c r="R1697" s="12" t="str">
        <x:v>negative</x:v>
      </x:c>
      <x:c r="S1697" s="12"/>
      <x:c r="T1697" s="12" t="str">
        <x:v>negative</x:v>
      </x:c>
      <x:c r="U1697" s="12" t="str">
        <x:f>IF(OR(R1697="unavailable",T1697="unavailable"),"不可评价",IF(OR(R1697="equivocal",T1697="equivocal"),"疑似",IF(AND(R1697="positive",T1697="positive"),"a",IF(T1697="positive","b",IF(R1697="positive","c","d")))))</x:f>
        <x:v>d</x:v>
      </x:c>
      <x:c r="V1697" s="12"/>
      <x:c r="W1697" s="12" t="str">
        <x:v>negative</x:v>
      </x:c>
      <x:c r="X1697" s="12"/>
      <x:c r="Y1697" s="12" t="str">
        <x:v>negative</x:v>
      </x:c>
      <x:c r="Z1697" s="12" t="str">
        <x:f>IF(OR(W1697="unavailable",Y1697="unavailable"),"不可评价",IF(OR(W1697="equivocal",Y1697="equivocal"),"疑似",IF(AND(W1697="positive",Y1697="positive"),"a",IF(Y1697="positive","b",IF(W1697="positive","c","d")))))</x:f>
        <x:v>d</x:v>
      </x:c>
      <x:c r="AA1697" s="12" t="str">
        <x:f>IF(OR(M1697="unavailable",O1697="unavailable"),"不可评价",IF(AND(OR(M1697="positive",M1697="equivocal"),OR(O1697="positive",O1697="equivocal")),"a",IF(OR(O1697="positive",O1697="equivocal"),"b",IF(OR(M1697="positive",M1697="equivocal"),"c","d"))))</x:f>
        <x:v>d</x:v>
      </x:c>
      <x:c r="AB1697" s="12" t="str">
        <x:f>IF(OR(M1697="unavailable",O1697="unavailable"),"不可评价",IF(AND(M1697="positive",O1697="positive"),"a",IF(O1697="positive","b",IF(M1697="positive","c","d"))))</x:f>
        <x:v>d</x:v>
      </x:c>
      <x:c r="AC1697" s="12" t="str">
        <x:f>IF(OR(R1697="unavailable",T1697="unavailable"),"不可评价",IF(AND(OR(R1697="positive",R1697="equivocal"),OR(T1697="positive",T1697="equivocal")),"a",IF(OR(T1697="positive",T1697="equivocal"),"b",IF(OR(R1697="positive",R1697="equivocal"),"c","d"))))</x:f>
        <x:v>d</x:v>
      </x:c>
      <x:c r="AD1697" s="12" t="str">
        <x:f>IF(OR(R1697="unavailable",T1697="unavailable"),"不可评价",IF(AND(R1697="positive",T1697="positive"),"a",IF(T1697="positive","b",IF(R1697="positive","c","d"))))</x:f>
        <x:v>d</x:v>
      </x:c>
      <x:c r="AE1697" s="12" t="str">
        <x:f>IF(OR(W1697="unavailable",Y1697="unavailable"),"不可评价",IF(AND(OR(W1697="positive",W1697="equivocal"),OR(Y1697="positive",Y1697="equivocal")),"a",IF(OR(Y1697="positive",Y1697="equivocal"),"b",IF(OR(W1697="positive",W1697="equivocal"),"c","d"))))</x:f>
        <x:v>d</x:v>
      </x:c>
      <x:c r="AF1697" s="12" t="str">
        <x:f>IF(OR(W1697="unavailable",Y1697="unavailable"),"不可评价",IF(AND(W1697="positive",Y1697="positive"),"a",IF(Y1697="positive","b",IF(W1697="positive","c","d"))))</x:f>
        <x:v>d</x:v>
      </x:c>
    </x:row>
    <x:row r="1698" ht="24" customHeight="1">
      <x:c r="A1698" s="12" t="str">
        <x:v>16024</x:v>
      </x:c>
      <x:c r="B1698" s="12" t="str">
        <x:v>2127</x:v>
      </x:c>
      <x:c r="C1698" s="21" t="n">
        <x:v>35182.303935185184</x:v>
      </x:c>
      <x:c r="D1698" s="12" t="n">
        <x:v>78</x:v>
      </x:c>
      <x:c r="E1698" s="12" t="n">
        <x:v>1</x:v>
      </x:c>
      <x:c r="F1698" s="12" t="str">
        <x:v>未记录</x:v>
      </x:c>
      <x:c r="G1698" s="12" t="n">
        <x:v>1</x:v>
      </x:c>
      <x:c r="H1698" s="12" t="str">
        <x:v>{'NORM': 100.0, 'SR': 0.0}</x:v>
      </x:c>
      <x:c r="I1698" s="12" t="str">
        <x:v>[('SBRAD', 100.0), ('ABR', 100.0)]</x:v>
      </x:c>
      <x:c r="J1698" s="12" t="str">
        <x:v>ptbxl_database.csv；ecg_id=16024；scp_codes</x:v>
      </x:c>
      <x:c r="K1698" s="12" t="str">
        <x:v>12sl_statements.csv；ecg_id=16024；statements_ext_snomed</x:v>
      </x:c>
      <x:c r="L1698" s="12"/>
      <x:c r="M1698" s="12" t="str">
        <x:v>negative</x:v>
      </x:c>
      <x:c r="N1698" s="12"/>
      <x:c r="O1698" s="12" t="str">
        <x:v>negative</x:v>
      </x:c>
      <x:c r="P1698" s="12" t="str">
        <x:f>IF(OR(M1698="unavailable",O1698="unavailable"),"不可评价",IF(OR(M1698="equivocal",O1698="equivocal"),"疑似",IF(AND(M1698="positive",O1698="positive"),"a",IF(O1698="positive","b",IF(M1698="positive","c","d")))))</x:f>
        <x:v>d</x:v>
      </x:c>
      <x:c r="Q1698" s="12"/>
      <x:c r="R1698" s="12" t="str">
        <x:v>negative</x:v>
      </x:c>
      <x:c r="S1698" s="12"/>
      <x:c r="T1698" s="12" t="str">
        <x:v>negative</x:v>
      </x:c>
      <x:c r="U1698" s="12" t="str">
        <x:f>IF(OR(R1698="unavailable",T1698="unavailable"),"不可评价",IF(OR(R1698="equivocal",T1698="equivocal"),"疑似",IF(AND(R1698="positive",T1698="positive"),"a",IF(T1698="positive","b",IF(R1698="positive","c","d")))))</x:f>
        <x:v>d</x:v>
      </x:c>
      <x:c r="V1698" s="12"/>
      <x:c r="W1698" s="12" t="str">
        <x:v>negative</x:v>
      </x:c>
      <x:c r="X1698" s="12"/>
      <x:c r="Y1698" s="12" t="str">
        <x:v>negative</x:v>
      </x:c>
      <x:c r="Z1698" s="12" t="str">
        <x:f>IF(OR(W1698="unavailable",Y1698="unavailable"),"不可评价",IF(OR(W1698="equivocal",Y1698="equivocal"),"疑似",IF(AND(W1698="positive",Y1698="positive"),"a",IF(Y1698="positive","b",IF(W1698="positive","c","d")))))</x:f>
        <x:v>d</x:v>
      </x:c>
      <x:c r="AA1698" s="12" t="str">
        <x:f>IF(OR(M1698="unavailable",O1698="unavailable"),"不可评价",IF(AND(OR(M1698="positive",M1698="equivocal"),OR(O1698="positive",O1698="equivocal")),"a",IF(OR(O1698="positive",O1698="equivocal"),"b",IF(OR(M1698="positive",M1698="equivocal"),"c","d"))))</x:f>
        <x:v>d</x:v>
      </x:c>
      <x:c r="AB1698" s="12" t="str">
        <x:f>IF(OR(M1698="unavailable",O1698="unavailable"),"不可评价",IF(AND(M1698="positive",O1698="positive"),"a",IF(O1698="positive","b",IF(M1698="positive","c","d"))))</x:f>
        <x:v>d</x:v>
      </x:c>
      <x:c r="AC1698" s="12" t="str">
        <x:f>IF(OR(R1698="unavailable",T1698="unavailable"),"不可评价",IF(AND(OR(R1698="positive",R1698="equivocal"),OR(T1698="positive",T1698="equivocal")),"a",IF(OR(T1698="positive",T1698="equivocal"),"b",IF(OR(R1698="positive",R1698="equivocal"),"c","d"))))</x:f>
        <x:v>d</x:v>
      </x:c>
      <x:c r="AD1698" s="12" t="str">
        <x:f>IF(OR(R1698="unavailable",T1698="unavailable"),"不可评价",IF(AND(R1698="positive",T1698="positive"),"a",IF(T1698="positive","b",IF(R1698="positive","c","d"))))</x:f>
        <x:v>d</x:v>
      </x:c>
      <x:c r="AE1698" s="12" t="str">
        <x:f>IF(OR(W1698="unavailable",Y1698="unavailable"),"不可评价",IF(AND(OR(W1698="positive",W1698="equivocal"),OR(Y1698="positive",Y1698="equivocal")),"a",IF(OR(Y1698="positive",Y1698="equivocal"),"b",IF(OR(W1698="positive",W1698="equivocal"),"c","d"))))</x:f>
        <x:v>d</x:v>
      </x:c>
      <x:c r="AF1698" s="12" t="str">
        <x:f>IF(OR(W1698="unavailable",Y1698="unavailable"),"不可评价",IF(AND(W1698="positive",Y1698="positive"),"a",IF(Y1698="positive","b",IF(W1698="positive","c","d"))))</x:f>
        <x:v>d</x:v>
      </x:c>
    </x:row>
    <x:row r="1699" ht="24" customHeight="1">
      <x:c r="A1699" s="12" t="str">
        <x:v>16035</x:v>
      </x:c>
      <x:c r="B1699" s="12" t="str">
        <x:v>6419</x:v>
      </x:c>
      <x:c r="C1699" s="21" t="n">
        <x:v>35183.50201388889</x:v>
      </x:c>
      <x:c r="D1699" s="12" t="n">
        <x:v>51</x:v>
      </x:c>
      <x:c r="E1699" s="12" t="n">
        <x:v>0</x:v>
      </x:c>
      <x:c r="F1699" s="12" t="str">
        <x:v>存在</x:v>
      </x:c>
      <x:c r="G1699" s="12" t="n">
        <x:v>1</x:v>
      </x:c>
      <x:c r="H1699" s="12" t="str">
        <x:v>{'NORM': 80.0, 'IRBBB': 100.0, 'SR': 0.0}</x:v>
      </x:c>
      <x:c r="I1699" s="12" t="str">
        <x:v>[('NSR', 100.0), ('JSTN', 100.0), ('BORDE', 100.0)]</x:v>
      </x:c>
      <x:c r="J1699" s="12" t="str">
        <x:v>ptbxl_database.csv；ecg_id=16035；scp_codes</x:v>
      </x:c>
      <x:c r="K1699" s="12" t="str">
        <x:v>12sl_statements.csv；ecg_id=16035；statements_ext_snomed</x:v>
      </x:c>
      <x:c r="L1699" s="12"/>
      <x:c r="M1699" s="12" t="str">
        <x:v>negative</x:v>
      </x:c>
      <x:c r="N1699" s="12"/>
      <x:c r="O1699" s="12" t="str">
        <x:v>negative</x:v>
      </x:c>
      <x:c r="P1699" s="12" t="str">
        <x:f>IF(OR(M1699="unavailable",O1699="unavailable"),"不可评价",IF(OR(M1699="equivocal",O1699="equivocal"),"疑似",IF(AND(M1699="positive",O1699="positive"),"a",IF(O1699="positive","b",IF(M1699="positive","c","d")))))</x:f>
        <x:v>d</x:v>
      </x:c>
      <x:c r="Q1699" s="12"/>
      <x:c r="R1699" s="12" t="str">
        <x:v>negative</x:v>
      </x:c>
      <x:c r="S1699" s="12"/>
      <x:c r="T1699" s="12" t="str">
        <x:v>negative</x:v>
      </x:c>
      <x:c r="U1699" s="12" t="str">
        <x:f>IF(OR(R1699="unavailable",T1699="unavailable"),"不可评价",IF(OR(R1699="equivocal",T1699="equivocal"),"疑似",IF(AND(R1699="positive",T1699="positive"),"a",IF(T1699="positive","b",IF(R1699="positive","c","d")))))</x:f>
        <x:v>d</x:v>
      </x:c>
      <x:c r="V1699" s="12"/>
      <x:c r="W1699" s="12" t="str">
        <x:v>negative</x:v>
      </x:c>
      <x:c r="X1699" s="12"/>
      <x:c r="Y1699" s="12" t="str">
        <x:v>negative</x:v>
      </x:c>
      <x:c r="Z1699" s="12" t="str">
        <x:f>IF(OR(W1699="unavailable",Y1699="unavailable"),"不可评价",IF(OR(W1699="equivocal",Y1699="equivocal"),"疑似",IF(AND(W1699="positive",Y1699="positive"),"a",IF(Y1699="positive","b",IF(W1699="positive","c","d")))))</x:f>
        <x:v>d</x:v>
      </x:c>
      <x:c r="AA1699" s="12" t="str">
        <x:f>IF(OR(M1699="unavailable",O1699="unavailable"),"不可评价",IF(AND(OR(M1699="positive",M1699="equivocal"),OR(O1699="positive",O1699="equivocal")),"a",IF(OR(O1699="positive",O1699="equivocal"),"b",IF(OR(M1699="positive",M1699="equivocal"),"c","d"))))</x:f>
        <x:v>d</x:v>
      </x:c>
      <x:c r="AB1699" s="12" t="str">
        <x:f>IF(OR(M1699="unavailable",O1699="unavailable"),"不可评价",IF(AND(M1699="positive",O1699="positive"),"a",IF(O1699="positive","b",IF(M1699="positive","c","d"))))</x:f>
        <x:v>d</x:v>
      </x:c>
      <x:c r="AC1699" s="12" t="str">
        <x:f>IF(OR(R1699="unavailable",T1699="unavailable"),"不可评价",IF(AND(OR(R1699="positive",R1699="equivocal"),OR(T1699="positive",T1699="equivocal")),"a",IF(OR(T1699="positive",T1699="equivocal"),"b",IF(OR(R1699="positive",R1699="equivocal"),"c","d"))))</x:f>
        <x:v>d</x:v>
      </x:c>
      <x:c r="AD1699" s="12" t="str">
        <x:f>IF(OR(R1699="unavailable",T1699="unavailable"),"不可评价",IF(AND(R1699="positive",T1699="positive"),"a",IF(T1699="positive","b",IF(R1699="positive","c","d"))))</x:f>
        <x:v>d</x:v>
      </x:c>
      <x:c r="AE1699" s="12" t="str">
        <x:f>IF(OR(W1699="unavailable",Y1699="unavailable"),"不可评价",IF(AND(OR(W1699="positive",W1699="equivocal"),OR(Y1699="positive",Y1699="equivocal")),"a",IF(OR(Y1699="positive",Y1699="equivocal"),"b",IF(OR(W1699="positive",W1699="equivocal"),"c","d"))))</x:f>
        <x:v>d</x:v>
      </x:c>
      <x:c r="AF1699" s="12" t="str">
        <x:f>IF(OR(W1699="unavailable",Y1699="unavailable"),"不可评价",IF(AND(W1699="positive",Y1699="positive"),"a",IF(Y1699="positive","b",IF(W1699="positive","c","d"))))</x:f>
        <x:v>d</x:v>
      </x:c>
    </x:row>
    <x:row r="1700" ht="39" customHeight="1">
      <x:c r="A1700" s="12" t="str">
        <x:v>16038</x:v>
      </x:c>
      <x:c r="B1700" s="12" t="str">
        <x:v>14193</x:v>
      </x:c>
      <x:c r="C1700" s="21" t="n">
        <x:v>35183.584328703706</x:v>
      </x:c>
      <x:c r="D1700" s="12" t="n">
        <x:v>72</x:v>
      </x:c>
      <x:c r="E1700" s="12" t="n">
        <x:v>0</x:v>
      </x:c>
      <x:c r="F1700" s="12" t="str">
        <x:v>未记录</x:v>
      </x:c>
      <x:c r="G1700" s="12" t="n">
        <x:v>1</x:v>
      </x:c>
      <x:c r="H1700" s="12" t="str">
        <x:v>{'IMI': 100.0, 'AMI': 100.0, 'ILBBB': 100.0, 'LVH': 100.0, 'ISC_': 100.0, 'STACH': 0.0}</x:v>
      </x:c>
      <x:c r="I1700" s="12" t="str">
        <x:v>[('STACH', 100.0), ('PAC', 100.0), ('LAE', 50.0), ('LVH2', 100.0), ('2ST', 100.0), ('IMI;AU', 100.0), ('AB', 100.0)]</x:v>
      </x:c>
      <x:c r="J1700" s="12" t="str">
        <x:v>ptbxl_database.csv；ecg_id=16038；scp_codes</x:v>
      </x:c>
      <x:c r="K1700" s="12" t="str">
        <x:v>12sl_statements.csv；ecg_id=16038；statements_ext_snomed</x:v>
      </x:c>
      <x:c r="L1700" s="12"/>
      <x:c r="M1700" s="12" t="str">
        <x:v>negative</x:v>
      </x:c>
      <x:c r="N1700" s="12"/>
      <x:c r="O1700" s="12" t="str">
        <x:v>negative</x:v>
      </x:c>
      <x:c r="P1700" s="12" t="str">
        <x:f>IF(OR(M1700="unavailable",O1700="unavailable"),"不可评价",IF(OR(M1700="equivocal",O1700="equivocal"),"疑似",IF(AND(M1700="positive",O1700="positive"),"a",IF(O1700="positive","b",IF(M1700="positive","c","d")))))</x:f>
        <x:v>d</x:v>
      </x:c>
      <x:c r="Q1700" s="12"/>
      <x:c r="R1700" s="12" t="str">
        <x:v>negative</x:v>
      </x:c>
      <x:c r="S1700" s="12"/>
      <x:c r="T1700" s="12" t="str">
        <x:v>negative</x:v>
      </x:c>
      <x:c r="U1700" s="12" t="str">
        <x:f>IF(OR(R1700="unavailable",T1700="unavailable"),"不可评价",IF(OR(R1700="equivocal",T1700="equivocal"),"疑似",IF(AND(R1700="positive",T1700="positive"),"a",IF(T1700="positive","b",IF(R1700="positive","c","d")))))</x:f>
        <x:v>d</x:v>
      </x:c>
      <x:c r="V1700" s="12"/>
      <x:c r="W1700" s="12" t="str">
        <x:v>negative</x:v>
      </x:c>
      <x:c r="X1700" s="12"/>
      <x:c r="Y1700" s="12" t="str">
        <x:v>negative</x:v>
      </x:c>
      <x:c r="Z1700" s="12" t="str">
        <x:f>IF(OR(W1700="unavailable",Y1700="unavailable"),"不可评价",IF(OR(W1700="equivocal",Y1700="equivocal"),"疑似",IF(AND(W1700="positive",Y1700="positive"),"a",IF(Y1700="positive","b",IF(W1700="positive","c","d")))))</x:f>
        <x:v>d</x:v>
      </x:c>
      <x:c r="AA1700" s="12" t="str">
        <x:f>IF(OR(M1700="unavailable",O1700="unavailable"),"不可评价",IF(AND(OR(M1700="positive",M1700="equivocal"),OR(O1700="positive",O1700="equivocal")),"a",IF(OR(O1700="positive",O1700="equivocal"),"b",IF(OR(M1700="positive",M1700="equivocal"),"c","d"))))</x:f>
        <x:v>d</x:v>
      </x:c>
      <x:c r="AB1700" s="12" t="str">
        <x:f>IF(OR(M1700="unavailable",O1700="unavailable"),"不可评价",IF(AND(M1700="positive",O1700="positive"),"a",IF(O1700="positive","b",IF(M1700="positive","c","d"))))</x:f>
        <x:v>d</x:v>
      </x:c>
      <x:c r="AC1700" s="12" t="str">
        <x:f>IF(OR(R1700="unavailable",T1700="unavailable"),"不可评价",IF(AND(OR(R1700="positive",R1700="equivocal"),OR(T1700="positive",T1700="equivocal")),"a",IF(OR(T1700="positive",T1700="equivocal"),"b",IF(OR(R1700="positive",R1700="equivocal"),"c","d"))))</x:f>
        <x:v>d</x:v>
      </x:c>
      <x:c r="AD1700" s="12" t="str">
        <x:f>IF(OR(R1700="unavailable",T1700="unavailable"),"不可评价",IF(AND(R1700="positive",T1700="positive"),"a",IF(T1700="positive","b",IF(R1700="positive","c","d"))))</x:f>
        <x:v>d</x:v>
      </x:c>
      <x:c r="AE1700" s="12" t="str">
        <x:f>IF(OR(W1700="unavailable",Y1700="unavailable"),"不可评价",IF(AND(OR(W1700="positive",W1700="equivocal"),OR(Y1700="positive",Y1700="equivocal")),"a",IF(OR(Y1700="positive",Y1700="equivocal"),"b",IF(OR(W1700="positive",W1700="equivocal"),"c","d"))))</x:f>
        <x:v>d</x:v>
      </x:c>
      <x:c r="AF1700" s="12" t="str">
        <x:f>IF(OR(W1700="unavailable",Y1700="unavailable"),"不可评价",IF(AND(W1700="positive",Y1700="positive"),"a",IF(Y1700="positive","b",IF(W1700="positive","c","d"))))</x:f>
        <x:v>d</x:v>
      </x:c>
    </x:row>
    <x:row r="1701" ht="24" customHeight="1">
      <x:c r="A1701" s="12" t="str">
        <x:v>16045</x:v>
      </x:c>
      <x:c r="B1701" s="12" t="str">
        <x:v>2059</x:v>
      </x:c>
      <x:c r="C1701" s="21" t="n">
        <x:v>35184.79398148148</x:v>
      </x:c>
      <x:c r="D1701" s="12" t="n">
        <x:v>61</x:v>
      </x:c>
      <x:c r="E1701" s="12" t="n">
        <x:v>0</x:v>
      </x:c>
      <x:c r="F1701" s="12" t="str">
        <x:v>未记录</x:v>
      </x:c>
      <x:c r="G1701" s="12" t="n">
        <x:v>1</x:v>
      </x:c>
      <x:c r="H1701" s="12" t="str">
        <x:v>{'LVH': 80.0, 'VCLVH': 0.0, 'SR': 0.0}</x:v>
      </x:c>
      <x:c r="I1701" s="12" t="str">
        <x:v>[('NSR', 100.0), ('NML', 100.0)]</x:v>
      </x:c>
      <x:c r="J1701" s="12" t="str">
        <x:v>ptbxl_database.csv；ecg_id=16045；scp_codes</x:v>
      </x:c>
      <x:c r="K1701" s="12" t="str">
        <x:v>12sl_statements.csv；ecg_id=16045；statements_ext_snomed</x:v>
      </x:c>
      <x:c r="L1701" s="12"/>
      <x:c r="M1701" s="12" t="str">
        <x:v>negative</x:v>
      </x:c>
      <x:c r="N1701" s="12"/>
      <x:c r="O1701" s="12" t="str">
        <x:v>negative</x:v>
      </x:c>
      <x:c r="P1701" s="12" t="str">
        <x:f>IF(OR(M1701="unavailable",O1701="unavailable"),"不可评价",IF(OR(M1701="equivocal",O1701="equivocal"),"疑似",IF(AND(M1701="positive",O1701="positive"),"a",IF(O1701="positive","b",IF(M1701="positive","c","d")))))</x:f>
        <x:v>d</x:v>
      </x:c>
      <x:c r="Q1701" s="12"/>
      <x:c r="R1701" s="12" t="str">
        <x:v>negative</x:v>
      </x:c>
      <x:c r="S1701" s="12"/>
      <x:c r="T1701" s="12" t="str">
        <x:v>negative</x:v>
      </x:c>
      <x:c r="U1701" s="12" t="str">
        <x:f>IF(OR(R1701="unavailable",T1701="unavailable"),"不可评价",IF(OR(R1701="equivocal",T1701="equivocal"),"疑似",IF(AND(R1701="positive",T1701="positive"),"a",IF(T1701="positive","b",IF(R1701="positive","c","d")))))</x:f>
        <x:v>d</x:v>
      </x:c>
      <x:c r="V1701" s="12"/>
      <x:c r="W1701" s="12" t="str">
        <x:v>negative</x:v>
      </x:c>
      <x:c r="X1701" s="12"/>
      <x:c r="Y1701" s="12" t="str">
        <x:v>negative</x:v>
      </x:c>
      <x:c r="Z1701" s="12" t="str">
        <x:f>IF(OR(W1701="unavailable",Y1701="unavailable"),"不可评价",IF(OR(W1701="equivocal",Y1701="equivocal"),"疑似",IF(AND(W1701="positive",Y1701="positive"),"a",IF(Y1701="positive","b",IF(W1701="positive","c","d")))))</x:f>
        <x:v>d</x:v>
      </x:c>
      <x:c r="AA1701" s="12" t="str">
        <x:f>IF(OR(M1701="unavailable",O1701="unavailable"),"不可评价",IF(AND(OR(M1701="positive",M1701="equivocal"),OR(O1701="positive",O1701="equivocal")),"a",IF(OR(O1701="positive",O1701="equivocal"),"b",IF(OR(M1701="positive",M1701="equivocal"),"c","d"))))</x:f>
        <x:v>d</x:v>
      </x:c>
      <x:c r="AB1701" s="12" t="str">
        <x:f>IF(OR(M1701="unavailable",O1701="unavailable"),"不可评价",IF(AND(M1701="positive",O1701="positive"),"a",IF(O1701="positive","b",IF(M1701="positive","c","d"))))</x:f>
        <x:v>d</x:v>
      </x:c>
      <x:c r="AC1701" s="12" t="str">
        <x:f>IF(OR(R1701="unavailable",T1701="unavailable"),"不可评价",IF(AND(OR(R1701="positive",R1701="equivocal"),OR(T1701="positive",T1701="equivocal")),"a",IF(OR(T1701="positive",T1701="equivocal"),"b",IF(OR(R1701="positive",R1701="equivocal"),"c","d"))))</x:f>
        <x:v>d</x:v>
      </x:c>
      <x:c r="AD1701" s="12" t="str">
        <x:f>IF(OR(R1701="unavailable",T1701="unavailable"),"不可评价",IF(AND(R1701="positive",T1701="positive"),"a",IF(T1701="positive","b",IF(R1701="positive","c","d"))))</x:f>
        <x:v>d</x:v>
      </x:c>
      <x:c r="AE1701" s="12" t="str">
        <x:f>IF(OR(W1701="unavailable",Y1701="unavailable"),"不可评价",IF(AND(OR(W1701="positive",W1701="equivocal"),OR(Y1701="positive",Y1701="equivocal")),"a",IF(OR(Y1701="positive",Y1701="equivocal"),"b",IF(OR(W1701="positive",W1701="equivocal"),"c","d"))))</x:f>
        <x:v>d</x:v>
      </x:c>
      <x:c r="AF1701" s="12" t="str">
        <x:f>IF(OR(W1701="unavailable",Y1701="unavailable"),"不可评价",IF(AND(W1701="positive",Y1701="positive"),"a",IF(Y1701="positive","b",IF(W1701="positive","c","d"))))</x:f>
        <x:v>d</x:v>
      </x:c>
    </x:row>
    <x:row r="1702" ht="39" customHeight="1">
      <x:c r="A1702" s="12" t="str">
        <x:v>16046</x:v>
      </x:c>
      <x:c r="B1702" s="12" t="str">
        <x:v>14193</x:v>
      </x:c>
      <x:c r="C1702" s="21" t="n">
        <x:v>35185.37478009259</x:v>
      </x:c>
      <x:c r="D1702" s="12" t="n">
        <x:v>72</x:v>
      </x:c>
      <x:c r="E1702" s="12" t="n">
        <x:v>0</x:v>
      </x:c>
      <x:c r="F1702" s="12" t="str">
        <x:v>未记录</x:v>
      </x:c>
      <x:c r="G1702" s="12" t="n">
        <x:v>0</x:v>
      </x:c>
      <x:c r="H1702" s="12" t="str">
        <x:v>{'CLBBB': 100.0, 'STACH': 0.0}</x:v>
      </x:c>
      <x:c r="I1702" s="12" t="str">
        <x:v>[('STACH', 100.0), ('PVC', 100.0), ('LAE', 50.0), ('LVH2', 100.0), ('QRSW-2ST', 100.0), ('SMI;AU', 15.0), ('IMI;AU', 100.0), ('AB', 100.0)]</x:v>
      </x:c>
      <x:c r="J1702" s="12" t="str">
        <x:v>ptbxl_database.csv；ecg_id=16046；scp_codes</x:v>
      </x:c>
      <x:c r="K1702" s="12" t="str">
        <x:v>12sl_statements.csv；ecg_id=16046；statements_ext_snomed</x:v>
      </x:c>
      <x:c r="L1702" s="12"/>
      <x:c r="M1702" s="12" t="str">
        <x:v>negative</x:v>
      </x:c>
      <x:c r="N1702" s="12"/>
      <x:c r="O1702" s="12" t="str">
        <x:v>negative</x:v>
      </x:c>
      <x:c r="P1702" s="12" t="str">
        <x:f>IF(OR(M1702="unavailable",O1702="unavailable"),"不可评价",IF(OR(M1702="equivocal",O1702="equivocal"),"疑似",IF(AND(M1702="positive",O1702="positive"),"a",IF(O1702="positive","b",IF(M1702="positive","c","d")))))</x:f>
        <x:v>d</x:v>
      </x:c>
      <x:c r="Q1702" s="12" t="n">
        <x:v>100</x:v>
      </x:c>
      <x:c r="R1702" s="12" t="str">
        <x:v>positive</x:v>
      </x:c>
      <x:c r="S1702" s="12"/>
      <x:c r="T1702" s="12" t="str">
        <x:v>negative</x:v>
      </x:c>
      <x:c r="U1702" s="12" t="str">
        <x:f>IF(OR(R1702="unavailable",T1702="unavailable"),"不可评价",IF(OR(R1702="equivocal",T1702="equivocal"),"疑似",IF(AND(R1702="positive",T1702="positive"),"a",IF(T1702="positive","b",IF(R1702="positive","c","d")))))</x:f>
        <x:v>c</x:v>
      </x:c>
      <x:c r="V1702" s="12"/>
      <x:c r="W1702" s="12" t="str">
        <x:v>negative</x:v>
      </x:c>
      <x:c r="X1702" s="12"/>
      <x:c r="Y1702" s="12" t="str">
        <x:v>negative</x:v>
      </x:c>
      <x:c r="Z1702" s="12" t="str">
        <x:f>IF(OR(W1702="unavailable",Y1702="unavailable"),"不可评价",IF(OR(W1702="equivocal",Y1702="equivocal"),"疑似",IF(AND(W1702="positive",Y1702="positive"),"a",IF(Y1702="positive","b",IF(W1702="positive","c","d")))))</x:f>
        <x:v>d</x:v>
      </x:c>
      <x:c r="AA1702" s="12" t="str">
        <x:f>IF(OR(M1702="unavailable",O1702="unavailable"),"不可评价",IF(AND(OR(M1702="positive",M1702="equivocal"),OR(O1702="positive",O1702="equivocal")),"a",IF(OR(O1702="positive",O1702="equivocal"),"b",IF(OR(M1702="positive",M1702="equivocal"),"c","d"))))</x:f>
        <x:v>d</x:v>
      </x:c>
      <x:c r="AB1702" s="12" t="str">
        <x:f>IF(OR(M1702="unavailable",O1702="unavailable"),"不可评价",IF(AND(M1702="positive",O1702="positive"),"a",IF(O1702="positive","b",IF(M1702="positive","c","d"))))</x:f>
        <x:v>d</x:v>
      </x:c>
      <x:c r="AC1702" s="12" t="str">
        <x:f>IF(OR(R1702="unavailable",T1702="unavailable"),"不可评价",IF(AND(OR(R1702="positive",R1702="equivocal"),OR(T1702="positive",T1702="equivocal")),"a",IF(OR(T1702="positive",T1702="equivocal"),"b",IF(OR(R1702="positive",R1702="equivocal"),"c","d"))))</x:f>
        <x:v>c</x:v>
      </x:c>
      <x:c r="AD1702" s="12" t="str">
        <x:f>IF(OR(R1702="unavailable",T1702="unavailable"),"不可评价",IF(AND(R1702="positive",T1702="positive"),"a",IF(T1702="positive","b",IF(R1702="positive","c","d"))))</x:f>
        <x:v>c</x:v>
      </x:c>
      <x:c r="AE1702" s="12" t="str">
        <x:f>IF(OR(W1702="unavailable",Y1702="unavailable"),"不可评价",IF(AND(OR(W1702="positive",W1702="equivocal"),OR(Y1702="positive",Y1702="equivocal")),"a",IF(OR(Y1702="positive",Y1702="equivocal"),"b",IF(OR(W1702="positive",W1702="equivocal"),"c","d"))))</x:f>
        <x:v>d</x:v>
      </x:c>
      <x:c r="AF1702" s="12" t="str">
        <x:f>IF(OR(W1702="unavailable",Y1702="unavailable"),"不可评价",IF(AND(W1702="positive",Y1702="positive"),"a",IF(Y1702="positive","b",IF(W1702="positive","c","d"))))</x:f>
        <x:v>d</x:v>
      </x:c>
    </x:row>
    <x:row r="1703" ht="39" customHeight="1">
      <x:c r="A1703" s="12" t="str">
        <x:v>16061</x:v>
      </x:c>
      <x:c r="B1703" s="12" t="str">
        <x:v>4352</x:v>
      </x:c>
      <x:c r="C1703" s="21" t="n">
        <x:v>35188.52914351852</x:v>
      </x:c>
      <x:c r="D1703" s="12" t="n">
        <x:v>72</x:v>
      </x:c>
      <x:c r="E1703" s="12" t="n">
        <x:v>0</x:v>
      </x:c>
      <x:c r="F1703" s="12" t="str">
        <x:v>未记录</x:v>
      </x:c>
      <x:c r="G1703" s="12" t="n">
        <x:v>1</x:v>
      </x:c>
      <x:c r="H1703" s="12" t="str">
        <x:v>{'IMI': 100.0, 'LVH': 100.0, 'ISC_': 100.0, 'LAO/LAE': 100.0, 'INVT': 0.0, 'STD_': 0.0, 'SR': 0.0}</x:v>
      </x:c>
      <x:c r="I1703" s="12" t="str">
        <x:v>[('NSR', 100.0), ('LVH2', 100.0), ('2ST', 100.0), ('IMI;AU', 100.0), ('AB', 100.0)]</x:v>
      </x:c>
      <x:c r="J1703" s="12" t="str">
        <x:v>ptbxl_database.csv；ecg_id=16061；scp_codes</x:v>
      </x:c>
      <x:c r="K1703" s="12" t="str">
        <x:v>12sl_statements.csv；ecg_id=16061；statements_ext_snomed</x:v>
      </x:c>
      <x:c r="L1703" s="12"/>
      <x:c r="M1703" s="12" t="str">
        <x:v>negative</x:v>
      </x:c>
      <x:c r="N1703" s="12"/>
      <x:c r="O1703" s="12" t="str">
        <x:v>negative</x:v>
      </x:c>
      <x:c r="P1703" s="12" t="str">
        <x:f>IF(OR(M1703="unavailable",O1703="unavailable"),"不可评价",IF(OR(M1703="equivocal",O1703="equivocal"),"疑似",IF(AND(M1703="positive",O1703="positive"),"a",IF(O1703="positive","b",IF(M1703="positive","c","d")))))</x:f>
        <x:v>d</x:v>
      </x:c>
      <x:c r="Q1703" s="12"/>
      <x:c r="R1703" s="12" t="str">
        <x:v>negative</x:v>
      </x:c>
      <x:c r="S1703" s="12"/>
      <x:c r="T1703" s="12" t="str">
        <x:v>negative</x:v>
      </x:c>
      <x:c r="U1703" s="12" t="str">
        <x:f>IF(OR(R1703="unavailable",T1703="unavailable"),"不可评价",IF(OR(R1703="equivocal",T1703="equivocal"),"疑似",IF(AND(R1703="positive",T1703="positive"),"a",IF(T1703="positive","b",IF(R1703="positive","c","d")))))</x:f>
        <x:v>d</x:v>
      </x:c>
      <x:c r="V1703" s="12"/>
      <x:c r="W1703" s="12" t="str">
        <x:v>negative</x:v>
      </x:c>
      <x:c r="X1703" s="12"/>
      <x:c r="Y1703" s="12" t="str">
        <x:v>negative</x:v>
      </x:c>
      <x:c r="Z1703" s="12" t="str">
        <x:f>IF(OR(W1703="unavailable",Y1703="unavailable"),"不可评价",IF(OR(W1703="equivocal",Y1703="equivocal"),"疑似",IF(AND(W1703="positive",Y1703="positive"),"a",IF(Y1703="positive","b",IF(W1703="positive","c","d")))))</x:f>
        <x:v>d</x:v>
      </x:c>
      <x:c r="AA1703" s="12" t="str">
        <x:f>IF(OR(M1703="unavailable",O1703="unavailable"),"不可评价",IF(AND(OR(M1703="positive",M1703="equivocal"),OR(O1703="positive",O1703="equivocal")),"a",IF(OR(O1703="positive",O1703="equivocal"),"b",IF(OR(M1703="positive",M1703="equivocal"),"c","d"))))</x:f>
        <x:v>d</x:v>
      </x:c>
      <x:c r="AB1703" s="12" t="str">
        <x:f>IF(OR(M1703="unavailable",O1703="unavailable"),"不可评价",IF(AND(M1703="positive",O1703="positive"),"a",IF(O1703="positive","b",IF(M1703="positive","c","d"))))</x:f>
        <x:v>d</x:v>
      </x:c>
      <x:c r="AC1703" s="12" t="str">
        <x:f>IF(OR(R1703="unavailable",T1703="unavailable"),"不可评价",IF(AND(OR(R1703="positive",R1703="equivocal"),OR(T1703="positive",T1703="equivocal")),"a",IF(OR(T1703="positive",T1703="equivocal"),"b",IF(OR(R1703="positive",R1703="equivocal"),"c","d"))))</x:f>
        <x:v>d</x:v>
      </x:c>
      <x:c r="AD1703" s="12" t="str">
        <x:f>IF(OR(R1703="unavailable",T1703="unavailable"),"不可评价",IF(AND(R1703="positive",T1703="positive"),"a",IF(T1703="positive","b",IF(R1703="positive","c","d"))))</x:f>
        <x:v>d</x:v>
      </x:c>
      <x:c r="AE1703" s="12" t="str">
        <x:f>IF(OR(W1703="unavailable",Y1703="unavailable"),"不可评价",IF(AND(OR(W1703="positive",W1703="equivocal"),OR(Y1703="positive",Y1703="equivocal")),"a",IF(OR(Y1703="positive",Y1703="equivocal"),"b",IF(OR(W1703="positive",W1703="equivocal"),"c","d"))))</x:f>
        <x:v>d</x:v>
      </x:c>
      <x:c r="AF1703" s="12" t="str">
        <x:f>IF(OR(W1703="unavailable",Y1703="unavailable"),"不可评价",IF(AND(W1703="positive",Y1703="positive"),"a",IF(Y1703="positive","b",IF(W1703="positive","c","d"))))</x:f>
        <x:v>d</x:v>
      </x:c>
    </x:row>
    <x:row r="1704" ht="24" customHeight="1">
      <x:c r="A1704" s="12" t="str">
        <x:v>16076</x:v>
      </x:c>
      <x:c r="B1704" s="12" t="str">
        <x:v>4808</x:v>
      </x:c>
      <x:c r="C1704" s="21" t="n">
        <x:v>35190.38104166667</x:v>
      </x:c>
      <x:c r="D1704" s="12" t="n">
        <x:v>81</x:v>
      </x:c>
      <x:c r="E1704" s="12" t="n">
        <x:v>0</x:v>
      </x:c>
      <x:c r="F1704" s="12" t="str">
        <x:v>未记录</x:v>
      </x:c>
      <x:c r="G1704" s="12" t="n">
        <x:v>1</x:v>
      </x:c>
      <x:c r="H1704" s="12" t="str">
        <x:v>{'PACE': 100.0}</x:v>
      </x:c>
      <x:c r="I1704" s="12" t="str">
        <x:v>[('VPR', 100.0), ('SVCX', 100.0), ('AB', 100.0)]</x:v>
      </x:c>
      <x:c r="J1704" s="12" t="str">
        <x:v>ptbxl_database.csv；ecg_id=16076；scp_codes</x:v>
      </x:c>
      <x:c r="K1704" s="12" t="str">
        <x:v>12sl_statements.csv；ecg_id=16076；statements_ext_snomed</x:v>
      </x:c>
      <x:c r="L1704" s="12"/>
      <x:c r="M1704" s="12" t="str">
        <x:v>negative</x:v>
      </x:c>
      <x:c r="N1704" s="12"/>
      <x:c r="O1704" s="12" t="str">
        <x:v>negative</x:v>
      </x:c>
      <x:c r="P1704" s="12" t="str">
        <x:f>IF(OR(M1704="unavailable",O1704="unavailable"),"不可评价",IF(OR(M1704="equivocal",O1704="equivocal"),"疑似",IF(AND(M1704="positive",O1704="positive"),"a",IF(O1704="positive","b",IF(M1704="positive","c","d")))))</x:f>
        <x:v>d</x:v>
      </x:c>
      <x:c r="Q1704" s="12"/>
      <x:c r="R1704" s="12" t="str">
        <x:v>negative</x:v>
      </x:c>
      <x:c r="S1704" s="12"/>
      <x:c r="T1704" s="12" t="str">
        <x:v>negative</x:v>
      </x:c>
      <x:c r="U1704" s="12" t="str">
        <x:f>IF(OR(R1704="unavailable",T1704="unavailable"),"不可评价",IF(OR(R1704="equivocal",T1704="equivocal"),"疑似",IF(AND(R1704="positive",T1704="positive"),"a",IF(T1704="positive","b",IF(R1704="positive","c","d")))))</x:f>
        <x:v>d</x:v>
      </x:c>
      <x:c r="V1704" s="12"/>
      <x:c r="W1704" s="12" t="str">
        <x:v>negative</x:v>
      </x:c>
      <x:c r="X1704" s="12"/>
      <x:c r="Y1704" s="12" t="str">
        <x:v>negative</x:v>
      </x:c>
      <x:c r="Z1704" s="12" t="str">
        <x:f>IF(OR(W1704="unavailable",Y1704="unavailable"),"不可评价",IF(OR(W1704="equivocal",Y1704="equivocal"),"疑似",IF(AND(W1704="positive",Y1704="positive"),"a",IF(Y1704="positive","b",IF(W1704="positive","c","d")))))</x:f>
        <x:v>d</x:v>
      </x:c>
      <x:c r="AA1704" s="12" t="str">
        <x:f>IF(OR(M1704="unavailable",O1704="unavailable"),"不可评价",IF(AND(OR(M1704="positive",M1704="equivocal"),OR(O1704="positive",O1704="equivocal")),"a",IF(OR(O1704="positive",O1704="equivocal"),"b",IF(OR(M1704="positive",M1704="equivocal"),"c","d"))))</x:f>
        <x:v>d</x:v>
      </x:c>
      <x:c r="AB1704" s="12" t="str">
        <x:f>IF(OR(M1704="unavailable",O1704="unavailable"),"不可评价",IF(AND(M1704="positive",O1704="positive"),"a",IF(O1704="positive","b",IF(M1704="positive","c","d"))))</x:f>
        <x:v>d</x:v>
      </x:c>
      <x:c r="AC1704" s="12" t="str">
        <x:f>IF(OR(R1704="unavailable",T1704="unavailable"),"不可评价",IF(AND(OR(R1704="positive",R1704="equivocal"),OR(T1704="positive",T1704="equivocal")),"a",IF(OR(T1704="positive",T1704="equivocal"),"b",IF(OR(R1704="positive",R1704="equivocal"),"c","d"))))</x:f>
        <x:v>d</x:v>
      </x:c>
      <x:c r="AD1704" s="12" t="str">
        <x:f>IF(OR(R1704="unavailable",T1704="unavailable"),"不可评价",IF(AND(R1704="positive",T1704="positive"),"a",IF(T1704="positive","b",IF(R1704="positive","c","d"))))</x:f>
        <x:v>d</x:v>
      </x:c>
      <x:c r="AE1704" s="12" t="str">
        <x:f>IF(OR(W1704="unavailable",Y1704="unavailable"),"不可评价",IF(AND(OR(W1704="positive",W1704="equivocal"),OR(Y1704="positive",Y1704="equivocal")),"a",IF(OR(Y1704="positive",Y1704="equivocal"),"b",IF(OR(W1704="positive",W1704="equivocal"),"c","d"))))</x:f>
        <x:v>d</x:v>
      </x:c>
      <x:c r="AF1704" s="12" t="str">
        <x:f>IF(OR(W1704="unavailable",Y1704="unavailable"),"不可评价",IF(AND(W1704="positive",Y1704="positive"),"a",IF(Y1704="positive","b",IF(W1704="positive","c","d"))))</x:f>
        <x:v>d</x:v>
      </x:c>
    </x:row>
    <x:row r="1705" ht="39" customHeight="1">
      <x:c r="A1705" s="12" t="str">
        <x:v>16077</x:v>
      </x:c>
      <x:c r="B1705" s="12" t="str">
        <x:v>3538</x:v>
      </x:c>
      <x:c r="C1705" s="21" t="n">
        <x:v>35190.38186342592</x:v>
      </x:c>
      <x:c r="D1705" s="12" t="n">
        <x:v>76</x:v>
      </x:c>
      <x:c r="E1705" s="12" t="n">
        <x:v>1</x:v>
      </x:c>
      <x:c r="F1705" s="12" t="str">
        <x:v>未记录</x:v>
      </x:c>
      <x:c r="G1705" s="12" t="n">
        <x:v>1</x:v>
      </x:c>
      <x:c r="H1705" s="12" t="str">
        <x:v>{'ASMI': 100.0, 'LMI': 100.0, 'LAFB': 100.0, '1AVB': 100.0, 'PVC': 100.0, 'LPR': 0.0}</x:v>
      </x:c>
      <x:c r="I1705" s="12" t="str">
        <x:v>[('UR', 100.0), ('LAD3', 100.0), ('IVCB', 100.0), ('LVH2', 100.0), ('2ST', 100.0), ('LMI;AU', 100.0), ('AB', 100.0)]</x:v>
      </x:c>
      <x:c r="J1705" s="12" t="str">
        <x:v>ptbxl_database.csv；ecg_id=16077；scp_codes</x:v>
      </x:c>
      <x:c r="K1705" s="12" t="str">
        <x:v>12sl_statements.csv；ecg_id=16077；statements_ext_snomed</x:v>
      </x:c>
      <x:c r="L1705" s="12"/>
      <x:c r="M1705" s="12" t="str">
        <x:v>negative</x:v>
      </x:c>
      <x:c r="N1705" s="12"/>
      <x:c r="O1705" s="12" t="str">
        <x:v>negative</x:v>
      </x:c>
      <x:c r="P1705" s="12" t="str">
        <x:f>IF(OR(M1705="unavailable",O1705="unavailable"),"不可评价",IF(OR(M1705="equivocal",O1705="equivocal"),"疑似",IF(AND(M1705="positive",O1705="positive"),"a",IF(O1705="positive","b",IF(M1705="positive","c","d")))))</x:f>
        <x:v>d</x:v>
      </x:c>
      <x:c r="Q1705" s="12"/>
      <x:c r="R1705" s="12" t="str">
        <x:v>negative</x:v>
      </x:c>
      <x:c r="S1705" s="12"/>
      <x:c r="T1705" s="12" t="str">
        <x:v>negative</x:v>
      </x:c>
      <x:c r="U1705" s="12" t="str">
        <x:f>IF(OR(R1705="unavailable",T1705="unavailable"),"不可评价",IF(OR(R1705="equivocal",T1705="equivocal"),"疑似",IF(AND(R1705="positive",T1705="positive"),"a",IF(T1705="positive","b",IF(R1705="positive","c","d")))))</x:f>
        <x:v>d</x:v>
      </x:c>
      <x:c r="V1705" s="12"/>
      <x:c r="W1705" s="12" t="str">
        <x:v>negative</x:v>
      </x:c>
      <x:c r="X1705" s="12"/>
      <x:c r="Y1705" s="12" t="str">
        <x:v>negative</x:v>
      </x:c>
      <x:c r="Z1705" s="12" t="str">
        <x:f>IF(OR(W1705="unavailable",Y1705="unavailable"),"不可评价",IF(OR(W1705="equivocal",Y1705="equivocal"),"疑似",IF(AND(W1705="positive",Y1705="positive"),"a",IF(Y1705="positive","b",IF(W1705="positive","c","d")))))</x:f>
        <x:v>d</x:v>
      </x:c>
      <x:c r="AA1705" s="12" t="str">
        <x:f>IF(OR(M1705="unavailable",O1705="unavailable"),"不可评价",IF(AND(OR(M1705="positive",M1705="equivocal"),OR(O1705="positive",O1705="equivocal")),"a",IF(OR(O1705="positive",O1705="equivocal"),"b",IF(OR(M1705="positive",M1705="equivocal"),"c","d"))))</x:f>
        <x:v>d</x:v>
      </x:c>
      <x:c r="AB1705" s="12" t="str">
        <x:f>IF(OR(M1705="unavailable",O1705="unavailable"),"不可评价",IF(AND(M1705="positive",O1705="positive"),"a",IF(O1705="positive","b",IF(M1705="positive","c","d"))))</x:f>
        <x:v>d</x:v>
      </x:c>
      <x:c r="AC1705" s="12" t="str">
        <x:f>IF(OR(R1705="unavailable",T1705="unavailable"),"不可评价",IF(AND(OR(R1705="positive",R1705="equivocal"),OR(T1705="positive",T1705="equivocal")),"a",IF(OR(T1705="positive",T1705="equivocal"),"b",IF(OR(R1705="positive",R1705="equivocal"),"c","d"))))</x:f>
        <x:v>d</x:v>
      </x:c>
      <x:c r="AD1705" s="12" t="str">
        <x:f>IF(OR(R1705="unavailable",T1705="unavailable"),"不可评价",IF(AND(R1705="positive",T1705="positive"),"a",IF(T1705="positive","b",IF(R1705="positive","c","d"))))</x:f>
        <x:v>d</x:v>
      </x:c>
      <x:c r="AE1705" s="12" t="str">
        <x:f>IF(OR(W1705="unavailable",Y1705="unavailable"),"不可评价",IF(AND(OR(W1705="positive",W1705="equivocal"),OR(Y1705="positive",Y1705="equivocal")),"a",IF(OR(Y1705="positive",Y1705="equivocal"),"b",IF(OR(W1705="positive",W1705="equivocal"),"c","d"))))</x:f>
        <x:v>d</x:v>
      </x:c>
      <x:c r="AF1705" s="12" t="str">
        <x:f>IF(OR(W1705="unavailable",Y1705="unavailable"),"不可评价",IF(AND(W1705="positive",Y1705="positive"),"a",IF(Y1705="positive","b",IF(W1705="positive","c","d"))))</x:f>
        <x:v>d</x:v>
      </x:c>
    </x:row>
    <x:row r="1706" ht="24" customHeight="1">
      <x:c r="A1706" s="12" t="str">
        <x:v>16100</x:v>
      </x:c>
      <x:c r="B1706" s="12" t="str">
        <x:v>10455</x:v>
      </x:c>
      <x:c r="C1706" s="21" t="n">
        <x:v>35193.654027777775</x:v>
      </x:c>
      <x:c r="D1706" s="12" t="n">
        <x:v>67</x:v>
      </x:c>
      <x:c r="E1706" s="12" t="n">
        <x:v>1</x:v>
      </x:c>
      <x:c r="F1706" s="12" t="str">
        <x:v>未记录</x:v>
      </x:c>
      <x:c r="G1706" s="12" t="n">
        <x:v>1</x:v>
      </x:c>
      <x:c r="H1706" s="12" t="str">
        <x:v>{'CLBBB': 100.0, 'SR': 0.0}</x:v>
      </x:c>
      <x:c r="I1706" s="12" t="str">
        <x:v>[('NSR', 100.0), ('LBBB', 100.0), ('AB', 100.0)]</x:v>
      </x:c>
      <x:c r="J1706" s="12" t="str">
        <x:v>ptbxl_database.csv；ecg_id=16100；scp_codes</x:v>
      </x:c>
      <x:c r="K1706" s="12" t="str">
        <x:v>12sl_statements.csv；ecg_id=16100；statements_ext_snomed</x:v>
      </x:c>
      <x:c r="L1706" s="12"/>
      <x:c r="M1706" s="12" t="str">
        <x:v>negative</x:v>
      </x:c>
      <x:c r="N1706" s="12"/>
      <x:c r="O1706" s="12" t="str">
        <x:v>negative</x:v>
      </x:c>
      <x:c r="P1706" s="12" t="str">
        <x:f>IF(OR(M1706="unavailable",O1706="unavailable"),"不可评价",IF(OR(M1706="equivocal",O1706="equivocal"),"疑似",IF(AND(M1706="positive",O1706="positive"),"a",IF(O1706="positive","b",IF(M1706="positive","c","d")))))</x:f>
        <x:v>d</x:v>
      </x:c>
      <x:c r="Q1706" s="12" t="n">
        <x:v>100</x:v>
      </x:c>
      <x:c r="R1706" s="12" t="str">
        <x:v>positive</x:v>
      </x:c>
      <x:c r="S1706" s="12" t="n">
        <x:v>100</x:v>
      </x:c>
      <x:c r="T1706" s="12" t="str">
        <x:v>positive</x:v>
      </x:c>
      <x:c r="U1706" s="12" t="str">
        <x:f>IF(OR(R1706="unavailable",T1706="unavailable"),"不可评价",IF(OR(R1706="equivocal",T1706="equivocal"),"疑似",IF(AND(R1706="positive",T1706="positive"),"a",IF(T1706="positive","b",IF(R1706="positive","c","d")))))</x:f>
        <x:v>a</x:v>
      </x:c>
      <x:c r="V1706" s="12"/>
      <x:c r="W1706" s="12" t="str">
        <x:v>negative</x:v>
      </x:c>
      <x:c r="X1706" s="12"/>
      <x:c r="Y1706" s="12" t="str">
        <x:v>negative</x:v>
      </x:c>
      <x:c r="Z1706" s="12" t="str">
        <x:f>IF(OR(W1706="unavailable",Y1706="unavailable"),"不可评价",IF(OR(W1706="equivocal",Y1706="equivocal"),"疑似",IF(AND(W1706="positive",Y1706="positive"),"a",IF(Y1706="positive","b",IF(W1706="positive","c","d")))))</x:f>
        <x:v>d</x:v>
      </x:c>
      <x:c r="AA1706" s="12" t="str">
        <x:f>IF(OR(M1706="unavailable",O1706="unavailable"),"不可评价",IF(AND(OR(M1706="positive",M1706="equivocal"),OR(O1706="positive",O1706="equivocal")),"a",IF(OR(O1706="positive",O1706="equivocal"),"b",IF(OR(M1706="positive",M1706="equivocal"),"c","d"))))</x:f>
        <x:v>d</x:v>
      </x:c>
      <x:c r="AB1706" s="12" t="str">
        <x:f>IF(OR(M1706="unavailable",O1706="unavailable"),"不可评价",IF(AND(M1706="positive",O1706="positive"),"a",IF(O1706="positive","b",IF(M1706="positive","c","d"))))</x:f>
        <x:v>d</x:v>
      </x:c>
      <x:c r="AC1706" s="12" t="str">
        <x:f>IF(OR(R1706="unavailable",T1706="unavailable"),"不可评价",IF(AND(OR(R1706="positive",R1706="equivocal"),OR(T1706="positive",T1706="equivocal")),"a",IF(OR(T1706="positive",T1706="equivocal"),"b",IF(OR(R1706="positive",R1706="equivocal"),"c","d"))))</x:f>
        <x:v>a</x:v>
      </x:c>
      <x:c r="AD1706" s="12" t="str">
        <x:f>IF(OR(R1706="unavailable",T1706="unavailable"),"不可评价",IF(AND(R1706="positive",T1706="positive"),"a",IF(T1706="positive","b",IF(R1706="positive","c","d"))))</x:f>
        <x:v>a</x:v>
      </x:c>
      <x:c r="AE1706" s="12" t="str">
        <x:f>IF(OR(W1706="unavailable",Y1706="unavailable"),"不可评价",IF(AND(OR(W1706="positive",W1706="equivocal"),OR(Y1706="positive",Y1706="equivocal")),"a",IF(OR(Y1706="positive",Y1706="equivocal"),"b",IF(OR(W1706="positive",W1706="equivocal"),"c","d"))))</x:f>
        <x:v>d</x:v>
      </x:c>
      <x:c r="AF1706" s="12" t="str">
        <x:f>IF(OR(W1706="unavailable",Y1706="unavailable"),"不可评价",IF(AND(W1706="positive",Y1706="positive"),"a",IF(Y1706="positive","b",IF(W1706="positive","c","d"))))</x:f>
        <x:v>d</x:v>
      </x:c>
    </x:row>
    <x:row r="1707" ht="24" customHeight="1">
      <x:c r="A1707" s="12" t="str">
        <x:v>16101</x:v>
      </x:c>
      <x:c r="B1707" s="12" t="str">
        <x:v>9777</x:v>
      </x:c>
      <x:c r="C1707" s="21" t="n">
        <x:v>35193.740115740744</x:v>
      </x:c>
      <x:c r="D1707" s="12" t="n">
        <x:v>68</x:v>
      </x:c>
      <x:c r="E1707" s="12" t="n">
        <x:v>1</x:v>
      </x:c>
      <x:c r="F1707" s="12" t="str">
        <x:v>未记录</x:v>
      </x:c>
      <x:c r="G1707" s="12" t="n">
        <x:v>1</x:v>
      </x:c>
      <x:c r="H1707" s="12" t="str">
        <x:v>{'EL': 100.0, 'SR': 0.0}</x:v>
      </x:c>
      <x:c r="I1707" s="12" t="str">
        <x:v>[('NSR', 100.0), ('NSTT', 100.0), ('LNGQT', 100.0), ('AB', 100.0)]</x:v>
      </x:c>
      <x:c r="J1707" s="12" t="str">
        <x:v>ptbxl_database.csv；ecg_id=16101；scp_codes</x:v>
      </x:c>
      <x:c r="K1707" s="12" t="str">
        <x:v>12sl_statements.csv；ecg_id=16101；statements_ext_snomed</x:v>
      </x:c>
      <x:c r="L1707" s="12"/>
      <x:c r="M1707" s="12" t="str">
        <x:v>negative</x:v>
      </x:c>
      <x:c r="N1707" s="12"/>
      <x:c r="O1707" s="12" t="str">
        <x:v>negative</x:v>
      </x:c>
      <x:c r="P1707" s="12" t="str">
        <x:f>IF(OR(M1707="unavailable",O1707="unavailable"),"不可评价",IF(OR(M1707="equivocal",O1707="equivocal"),"疑似",IF(AND(M1707="positive",O1707="positive"),"a",IF(O1707="positive","b",IF(M1707="positive","c","d")))))</x:f>
        <x:v>d</x:v>
      </x:c>
      <x:c r="Q1707" s="12"/>
      <x:c r="R1707" s="12" t="str">
        <x:v>negative</x:v>
      </x:c>
      <x:c r="S1707" s="12"/>
      <x:c r="T1707" s="12" t="str">
        <x:v>negative</x:v>
      </x:c>
      <x:c r="U1707" s="12" t="str">
        <x:f>IF(OR(R1707="unavailable",T1707="unavailable"),"不可评价",IF(OR(R1707="equivocal",T1707="equivocal"),"疑似",IF(AND(R1707="positive",T1707="positive"),"a",IF(T1707="positive","b",IF(R1707="positive","c","d")))))</x:f>
        <x:v>d</x:v>
      </x:c>
      <x:c r="V1707" s="12"/>
      <x:c r="W1707" s="12" t="str">
        <x:v>negative</x:v>
      </x:c>
      <x:c r="X1707" s="12"/>
      <x:c r="Y1707" s="12" t="str">
        <x:v>negative</x:v>
      </x:c>
      <x:c r="Z1707" s="12" t="str">
        <x:f>IF(OR(W1707="unavailable",Y1707="unavailable"),"不可评价",IF(OR(W1707="equivocal",Y1707="equivocal"),"疑似",IF(AND(W1707="positive",Y1707="positive"),"a",IF(Y1707="positive","b",IF(W1707="positive","c","d")))))</x:f>
        <x:v>d</x:v>
      </x:c>
      <x:c r="AA1707" s="12" t="str">
        <x:f>IF(OR(M1707="unavailable",O1707="unavailable"),"不可评价",IF(AND(OR(M1707="positive",M1707="equivocal"),OR(O1707="positive",O1707="equivocal")),"a",IF(OR(O1707="positive",O1707="equivocal"),"b",IF(OR(M1707="positive",M1707="equivocal"),"c","d"))))</x:f>
        <x:v>d</x:v>
      </x:c>
      <x:c r="AB1707" s="12" t="str">
        <x:f>IF(OR(M1707="unavailable",O1707="unavailable"),"不可评价",IF(AND(M1707="positive",O1707="positive"),"a",IF(O1707="positive","b",IF(M1707="positive","c","d"))))</x:f>
        <x:v>d</x:v>
      </x:c>
      <x:c r="AC1707" s="12" t="str">
        <x:f>IF(OR(R1707="unavailable",T1707="unavailable"),"不可评价",IF(AND(OR(R1707="positive",R1707="equivocal"),OR(T1707="positive",T1707="equivocal")),"a",IF(OR(T1707="positive",T1707="equivocal"),"b",IF(OR(R1707="positive",R1707="equivocal"),"c","d"))))</x:f>
        <x:v>d</x:v>
      </x:c>
      <x:c r="AD1707" s="12" t="str">
        <x:f>IF(OR(R1707="unavailable",T1707="unavailable"),"不可评价",IF(AND(R1707="positive",T1707="positive"),"a",IF(T1707="positive","b",IF(R1707="positive","c","d"))))</x:f>
        <x:v>d</x:v>
      </x:c>
      <x:c r="AE1707" s="12" t="str">
        <x:f>IF(OR(W1707="unavailable",Y1707="unavailable"),"不可评价",IF(AND(OR(W1707="positive",W1707="equivocal"),OR(Y1707="positive",Y1707="equivocal")),"a",IF(OR(Y1707="positive",Y1707="equivocal"),"b",IF(OR(W1707="positive",W1707="equivocal"),"c","d"))))</x:f>
        <x:v>d</x:v>
      </x:c>
      <x:c r="AF1707" s="12" t="str">
        <x:f>IF(OR(W1707="unavailable",Y1707="unavailable"),"不可评价",IF(AND(W1707="positive",Y1707="positive"),"a",IF(Y1707="positive","b",IF(W1707="positive","c","d"))))</x:f>
        <x:v>d</x:v>
      </x:c>
    </x:row>
    <x:row r="1708" ht="24" customHeight="1">
      <x:c r="A1708" s="12" t="str">
        <x:v>16119</x:v>
      </x:c>
      <x:c r="B1708" s="12" t="str">
        <x:v>14053</x:v>
      </x:c>
      <x:c r="C1708" s="21" t="n">
        <x:v>35208.943344907406</x:v>
      </x:c>
      <x:c r="D1708" s="12" t="n">
        <x:v>73</x:v>
      </x:c>
      <x:c r="E1708" s="12" t="n">
        <x:v>0</x:v>
      </x:c>
      <x:c r="F1708" s="12" t="str">
        <x:v>未记录</x:v>
      </x:c>
      <x:c r="G1708" s="12" t="n">
        <x:v>1</x:v>
      </x:c>
      <x:c r="H1708" s="12" t="str">
        <x:v>{'NDT': 100.0, 'SR': 0.0}</x:v>
      </x:c>
      <x:c r="I1708" s="12" t="str">
        <x:v>[('NSR', 100.0), ('NT', 100.0), ('LNGQT', 100.0), ('AB', 100.0)]</x:v>
      </x:c>
      <x:c r="J1708" s="12" t="str">
        <x:v>ptbxl_database.csv；ecg_id=16119；scp_codes</x:v>
      </x:c>
      <x:c r="K1708" s="12" t="str">
        <x:v>12sl_statements.csv；ecg_id=16119；statements_ext_snomed</x:v>
      </x:c>
      <x:c r="L1708" s="12"/>
      <x:c r="M1708" s="12" t="str">
        <x:v>negative</x:v>
      </x:c>
      <x:c r="N1708" s="12"/>
      <x:c r="O1708" s="12" t="str">
        <x:v>negative</x:v>
      </x:c>
      <x:c r="P1708" s="12" t="str">
        <x:f>IF(OR(M1708="unavailable",O1708="unavailable"),"不可评价",IF(OR(M1708="equivocal",O1708="equivocal"),"疑似",IF(AND(M1708="positive",O1708="positive"),"a",IF(O1708="positive","b",IF(M1708="positive","c","d")))))</x:f>
        <x:v>d</x:v>
      </x:c>
      <x:c r="Q1708" s="12"/>
      <x:c r="R1708" s="12" t="str">
        <x:v>negative</x:v>
      </x:c>
      <x:c r="S1708" s="12"/>
      <x:c r="T1708" s="12" t="str">
        <x:v>negative</x:v>
      </x:c>
      <x:c r="U1708" s="12" t="str">
        <x:f>IF(OR(R1708="unavailable",T1708="unavailable"),"不可评价",IF(OR(R1708="equivocal",T1708="equivocal"),"疑似",IF(AND(R1708="positive",T1708="positive"),"a",IF(T1708="positive","b",IF(R1708="positive","c","d")))))</x:f>
        <x:v>d</x:v>
      </x:c>
      <x:c r="V1708" s="12"/>
      <x:c r="W1708" s="12" t="str">
        <x:v>negative</x:v>
      </x:c>
      <x:c r="X1708" s="12"/>
      <x:c r="Y1708" s="12" t="str">
        <x:v>negative</x:v>
      </x:c>
      <x:c r="Z1708" s="12" t="str">
        <x:f>IF(OR(W1708="unavailable",Y1708="unavailable"),"不可评价",IF(OR(W1708="equivocal",Y1708="equivocal"),"疑似",IF(AND(W1708="positive",Y1708="positive"),"a",IF(Y1708="positive","b",IF(W1708="positive","c","d")))))</x:f>
        <x:v>d</x:v>
      </x:c>
      <x:c r="AA1708" s="12" t="str">
        <x:f>IF(OR(M1708="unavailable",O1708="unavailable"),"不可评价",IF(AND(OR(M1708="positive",M1708="equivocal"),OR(O1708="positive",O1708="equivocal")),"a",IF(OR(O1708="positive",O1708="equivocal"),"b",IF(OR(M1708="positive",M1708="equivocal"),"c","d"))))</x:f>
        <x:v>d</x:v>
      </x:c>
      <x:c r="AB1708" s="12" t="str">
        <x:f>IF(OR(M1708="unavailable",O1708="unavailable"),"不可评价",IF(AND(M1708="positive",O1708="positive"),"a",IF(O1708="positive","b",IF(M1708="positive","c","d"))))</x:f>
        <x:v>d</x:v>
      </x:c>
      <x:c r="AC1708" s="12" t="str">
        <x:f>IF(OR(R1708="unavailable",T1708="unavailable"),"不可评价",IF(AND(OR(R1708="positive",R1708="equivocal"),OR(T1708="positive",T1708="equivocal")),"a",IF(OR(T1708="positive",T1708="equivocal"),"b",IF(OR(R1708="positive",R1708="equivocal"),"c","d"))))</x:f>
        <x:v>d</x:v>
      </x:c>
      <x:c r="AD1708" s="12" t="str">
        <x:f>IF(OR(R1708="unavailable",T1708="unavailable"),"不可评价",IF(AND(R1708="positive",T1708="positive"),"a",IF(T1708="positive","b",IF(R1708="positive","c","d"))))</x:f>
        <x:v>d</x:v>
      </x:c>
      <x:c r="AE1708" s="12" t="str">
        <x:f>IF(OR(W1708="unavailable",Y1708="unavailable"),"不可评价",IF(AND(OR(W1708="positive",W1708="equivocal"),OR(Y1708="positive",Y1708="equivocal")),"a",IF(OR(Y1708="positive",Y1708="equivocal"),"b",IF(OR(W1708="positive",W1708="equivocal"),"c","d"))))</x:f>
        <x:v>d</x:v>
      </x:c>
      <x:c r="AF1708" s="12" t="str">
        <x:f>IF(OR(W1708="unavailable",Y1708="unavailable"),"不可评价",IF(AND(W1708="positive",Y1708="positive"),"a",IF(Y1708="positive","b",IF(W1708="positive","c","d"))))</x:f>
        <x:v>d</x:v>
      </x:c>
    </x:row>
    <x:row r="1709" ht="39" customHeight="1">
      <x:c r="A1709" s="12" t="str">
        <x:v>16127</x:v>
      </x:c>
      <x:c r="B1709" s="12" t="str">
        <x:v>20886</x:v>
      </x:c>
      <x:c r="C1709" s="21" t="n">
        <x:v>35212.537199074075</x:v>
      </x:c>
      <x:c r="D1709" s="12" t="n">
        <x:v>63</x:v>
      </x:c>
      <x:c r="E1709" s="12" t="n">
        <x:v>1</x:v>
      </x:c>
      <x:c r="F1709" s="12" t="str">
        <x:v>未记录</x:v>
      </x:c>
      <x:c r="G1709" s="12" t="n">
        <x:v>1</x:v>
      </x:c>
      <x:c r="H1709" s="12" t="str">
        <x:v>{'ALMI': 50.0, 'IVCD': 100.0, 'QWAVE': 0.0, 'SR': 0.0}</x:v>
      </x:c>
      <x:c r="I1709" s="12" t="str">
        <x:v>[('NSR', 100.0), ('LVH2', 100.0), ('QRSW-2ST', 100.0), ('SMI;AU', 15.0), ('AB', 100.0)]</x:v>
      </x:c>
      <x:c r="J1709" s="12" t="str">
        <x:v>ptbxl_database.csv；ecg_id=16127；scp_codes</x:v>
      </x:c>
      <x:c r="K1709" s="12" t="str">
        <x:v>12sl_statements.csv；ecg_id=16127；statements_ext_snomed</x:v>
      </x:c>
      <x:c r="L1709" s="12"/>
      <x:c r="M1709" s="12" t="str">
        <x:v>negative</x:v>
      </x:c>
      <x:c r="N1709" s="12"/>
      <x:c r="O1709" s="12" t="str">
        <x:v>negative</x:v>
      </x:c>
      <x:c r="P1709" s="12" t="str">
        <x:f>IF(OR(M1709="unavailable",O1709="unavailable"),"不可评价",IF(OR(M1709="equivocal",O1709="equivocal"),"疑似",IF(AND(M1709="positive",O1709="positive"),"a",IF(O1709="positive","b",IF(M1709="positive","c","d")))))</x:f>
        <x:v>d</x:v>
      </x:c>
      <x:c r="Q1709" s="12"/>
      <x:c r="R1709" s="12" t="str">
        <x:v>negative</x:v>
      </x:c>
      <x:c r="S1709" s="12"/>
      <x:c r="T1709" s="12" t="str">
        <x:v>negative</x:v>
      </x:c>
      <x:c r="U1709" s="12" t="str">
        <x:f>IF(OR(R1709="unavailable",T1709="unavailable"),"不可评价",IF(OR(R1709="equivocal",T1709="equivocal"),"疑似",IF(AND(R1709="positive",T1709="positive"),"a",IF(T1709="positive","b",IF(R1709="positive","c","d")))))</x:f>
        <x:v>d</x:v>
      </x:c>
      <x:c r="V1709" s="12"/>
      <x:c r="W1709" s="12" t="str">
        <x:v>negative</x:v>
      </x:c>
      <x:c r="X1709" s="12"/>
      <x:c r="Y1709" s="12" t="str">
        <x:v>negative</x:v>
      </x:c>
      <x:c r="Z1709" s="12" t="str">
        <x:f>IF(OR(W1709="unavailable",Y1709="unavailable"),"不可评价",IF(OR(W1709="equivocal",Y1709="equivocal"),"疑似",IF(AND(W1709="positive",Y1709="positive"),"a",IF(Y1709="positive","b",IF(W1709="positive","c","d")))))</x:f>
        <x:v>d</x:v>
      </x:c>
      <x:c r="AA1709" s="12" t="str">
        <x:f>IF(OR(M1709="unavailable",O1709="unavailable"),"不可评价",IF(AND(OR(M1709="positive",M1709="equivocal"),OR(O1709="positive",O1709="equivocal")),"a",IF(OR(O1709="positive",O1709="equivocal"),"b",IF(OR(M1709="positive",M1709="equivocal"),"c","d"))))</x:f>
        <x:v>d</x:v>
      </x:c>
      <x:c r="AB1709" s="12" t="str">
        <x:f>IF(OR(M1709="unavailable",O1709="unavailable"),"不可评价",IF(AND(M1709="positive",O1709="positive"),"a",IF(O1709="positive","b",IF(M1709="positive","c","d"))))</x:f>
        <x:v>d</x:v>
      </x:c>
      <x:c r="AC1709" s="12" t="str">
        <x:f>IF(OR(R1709="unavailable",T1709="unavailable"),"不可评价",IF(AND(OR(R1709="positive",R1709="equivocal"),OR(T1709="positive",T1709="equivocal")),"a",IF(OR(T1709="positive",T1709="equivocal"),"b",IF(OR(R1709="positive",R1709="equivocal"),"c","d"))))</x:f>
        <x:v>d</x:v>
      </x:c>
      <x:c r="AD1709" s="12" t="str">
        <x:f>IF(OR(R1709="unavailable",T1709="unavailable"),"不可评价",IF(AND(R1709="positive",T1709="positive"),"a",IF(T1709="positive","b",IF(R1709="positive","c","d"))))</x:f>
        <x:v>d</x:v>
      </x:c>
      <x:c r="AE1709" s="12" t="str">
        <x:f>IF(OR(W1709="unavailable",Y1709="unavailable"),"不可评价",IF(AND(OR(W1709="positive",W1709="equivocal"),OR(Y1709="positive",Y1709="equivocal")),"a",IF(OR(Y1709="positive",Y1709="equivocal"),"b",IF(OR(W1709="positive",W1709="equivocal"),"c","d"))))</x:f>
        <x:v>d</x:v>
      </x:c>
      <x:c r="AF1709" s="12" t="str">
        <x:f>IF(OR(W1709="unavailable",Y1709="unavailable"),"不可评价",IF(AND(W1709="positive",Y1709="positive"),"a",IF(Y1709="positive","b",IF(W1709="positive","c","d"))))</x:f>
        <x:v>d</x:v>
      </x:c>
    </x:row>
    <x:row r="1710" ht="24" customHeight="1">
      <x:c r="A1710" s="12" t="str">
        <x:v>16129</x:v>
      </x:c>
      <x:c r="B1710" s="12" t="str">
        <x:v>16745</x:v>
      </x:c>
      <x:c r="C1710" s="21" t="n">
        <x:v>35213.44212962963</x:v>
      </x:c>
      <x:c r="D1710" s="12" t="n">
        <x:v>38</x:v>
      </x:c>
      <x:c r="E1710" s="12" t="n">
        <x:v>0</x:v>
      </x:c>
      <x:c r="F1710" s="12" t="str">
        <x:v>存在</x:v>
      </x:c>
      <x:c r="G1710" s="12" t="n">
        <x:v>1</x:v>
      </x:c>
      <x:c r="H1710" s="12" t="str">
        <x:v>{'NORM': 100.0, 'SR': 0.0}</x:v>
      </x:c>
      <x:c r="I1710" s="12" t="str">
        <x:v>[('NSR', 100.0), ('NML', 100.0)]</x:v>
      </x:c>
      <x:c r="J1710" s="12" t="str">
        <x:v>ptbxl_database.csv；ecg_id=16129；scp_codes</x:v>
      </x:c>
      <x:c r="K1710" s="12" t="str">
        <x:v>12sl_statements.csv；ecg_id=16129；statements_ext_snomed</x:v>
      </x:c>
      <x:c r="L1710" s="12"/>
      <x:c r="M1710" s="12" t="str">
        <x:v>negative</x:v>
      </x:c>
      <x:c r="N1710" s="12"/>
      <x:c r="O1710" s="12" t="str">
        <x:v>negative</x:v>
      </x:c>
      <x:c r="P1710" s="12" t="str">
        <x:f>IF(OR(M1710="unavailable",O1710="unavailable"),"不可评价",IF(OR(M1710="equivocal",O1710="equivocal"),"疑似",IF(AND(M1710="positive",O1710="positive"),"a",IF(O1710="positive","b",IF(M1710="positive","c","d")))))</x:f>
        <x:v>d</x:v>
      </x:c>
      <x:c r="Q1710" s="12"/>
      <x:c r="R1710" s="12" t="str">
        <x:v>negative</x:v>
      </x:c>
      <x:c r="S1710" s="12"/>
      <x:c r="T1710" s="12" t="str">
        <x:v>negative</x:v>
      </x:c>
      <x:c r="U1710" s="12" t="str">
        <x:f>IF(OR(R1710="unavailable",T1710="unavailable"),"不可评价",IF(OR(R1710="equivocal",T1710="equivocal"),"疑似",IF(AND(R1710="positive",T1710="positive"),"a",IF(T1710="positive","b",IF(R1710="positive","c","d")))))</x:f>
        <x:v>d</x:v>
      </x:c>
      <x:c r="V1710" s="12"/>
      <x:c r="W1710" s="12" t="str">
        <x:v>negative</x:v>
      </x:c>
      <x:c r="X1710" s="12"/>
      <x:c r="Y1710" s="12" t="str">
        <x:v>negative</x:v>
      </x:c>
      <x:c r="Z1710" s="12" t="str">
        <x:f>IF(OR(W1710="unavailable",Y1710="unavailable"),"不可评价",IF(OR(W1710="equivocal",Y1710="equivocal"),"疑似",IF(AND(W1710="positive",Y1710="positive"),"a",IF(Y1710="positive","b",IF(W1710="positive","c","d")))))</x:f>
        <x:v>d</x:v>
      </x:c>
      <x:c r="AA1710" s="12" t="str">
        <x:f>IF(OR(M1710="unavailable",O1710="unavailable"),"不可评价",IF(AND(OR(M1710="positive",M1710="equivocal"),OR(O1710="positive",O1710="equivocal")),"a",IF(OR(O1710="positive",O1710="equivocal"),"b",IF(OR(M1710="positive",M1710="equivocal"),"c","d"))))</x:f>
        <x:v>d</x:v>
      </x:c>
      <x:c r="AB1710" s="12" t="str">
        <x:f>IF(OR(M1710="unavailable",O1710="unavailable"),"不可评价",IF(AND(M1710="positive",O1710="positive"),"a",IF(O1710="positive","b",IF(M1710="positive","c","d"))))</x:f>
        <x:v>d</x:v>
      </x:c>
      <x:c r="AC1710" s="12" t="str">
        <x:f>IF(OR(R1710="unavailable",T1710="unavailable"),"不可评价",IF(AND(OR(R1710="positive",R1710="equivocal"),OR(T1710="positive",T1710="equivocal")),"a",IF(OR(T1710="positive",T1710="equivocal"),"b",IF(OR(R1710="positive",R1710="equivocal"),"c","d"))))</x:f>
        <x:v>d</x:v>
      </x:c>
      <x:c r="AD1710" s="12" t="str">
        <x:f>IF(OR(R1710="unavailable",T1710="unavailable"),"不可评价",IF(AND(R1710="positive",T1710="positive"),"a",IF(T1710="positive","b",IF(R1710="positive","c","d"))))</x:f>
        <x:v>d</x:v>
      </x:c>
      <x:c r="AE1710" s="12" t="str">
        <x:f>IF(OR(W1710="unavailable",Y1710="unavailable"),"不可评价",IF(AND(OR(W1710="positive",W1710="equivocal"),OR(Y1710="positive",Y1710="equivocal")),"a",IF(OR(Y1710="positive",Y1710="equivocal"),"b",IF(OR(W1710="positive",W1710="equivocal"),"c","d"))))</x:f>
        <x:v>d</x:v>
      </x:c>
      <x:c r="AF1710" s="12" t="str">
        <x:f>IF(OR(W1710="unavailable",Y1710="unavailable"),"不可评价",IF(AND(W1710="positive",Y1710="positive"),"a",IF(Y1710="positive","b",IF(W1710="positive","c","d"))))</x:f>
        <x:v>d</x:v>
      </x:c>
    </x:row>
    <x:row r="1711" ht="24" customHeight="1">
      <x:c r="A1711" s="12" t="str">
        <x:v>16132</x:v>
      </x:c>
      <x:c r="B1711" s="12" t="str">
        <x:v>11847</x:v>
      </x:c>
      <x:c r="C1711" s="21" t="n">
        <x:v>35214.60076388889</x:v>
      </x:c>
      <x:c r="D1711" s="12" t="n">
        <x:v>82</x:v>
      </x:c>
      <x:c r="E1711" s="12" t="n">
        <x:v>0</x:v>
      </x:c>
      <x:c r="F1711" s="12" t="str">
        <x:v>存在</x:v>
      </x:c>
      <x:c r="G1711" s="12" t="n">
        <x:v>1</x:v>
      </x:c>
      <x:c r="H1711" s="12" t="str">
        <x:v>{'ISCAL': 50.0, 'ISCIN': 50.0, 'ABQRS': 0.0, 'AFIB': 0.0}</x:v>
      </x:c>
      <x:c r="I1711" s="12" t="str">
        <x:v>[('AFIB', 100.0), ('IMI;AU', 100.0), ('ST&amp;', 100.0), ('LT', 100.0), ('AB', 100.0)]</x:v>
      </x:c>
      <x:c r="J1711" s="12" t="str">
        <x:v>ptbxl_database.csv；ecg_id=16132；scp_codes</x:v>
      </x:c>
      <x:c r="K1711" s="12" t="str">
        <x:v>12sl_statements.csv；ecg_id=16132；statements_ext_snomed</x:v>
      </x:c>
      <x:c r="L1711" s="12" t="n">
        <x:v>0</x:v>
      </x:c>
      <x:c r="M1711" s="12" t="str">
        <x:v>positive</x:v>
      </x:c>
      <x:c r="N1711" s="12" t="n">
        <x:v>100</x:v>
      </x:c>
      <x:c r="O1711" s="12" t="str">
        <x:v>positive</x:v>
      </x:c>
      <x:c r="P1711" s="12" t="str">
        <x:f>IF(OR(M1711="unavailable",O1711="unavailable"),"不可评价",IF(OR(M1711="equivocal",O1711="equivocal"),"疑似",IF(AND(M1711="positive",O1711="positive"),"a",IF(O1711="positive","b",IF(M1711="positive","c","d")))))</x:f>
        <x:v>a</x:v>
      </x:c>
      <x:c r="Q1711" s="12"/>
      <x:c r="R1711" s="12" t="str">
        <x:v>negative</x:v>
      </x:c>
      <x:c r="S1711" s="12"/>
      <x:c r="T1711" s="12" t="str">
        <x:v>negative</x:v>
      </x:c>
      <x:c r="U1711" s="12" t="str">
        <x:f>IF(OR(R1711="unavailable",T1711="unavailable"),"不可评价",IF(OR(R1711="equivocal",T1711="equivocal"),"疑似",IF(AND(R1711="positive",T1711="positive"),"a",IF(T1711="positive","b",IF(R1711="positive","c","d")))))</x:f>
        <x:v>d</x:v>
      </x:c>
      <x:c r="V1711" s="12"/>
      <x:c r="W1711" s="12" t="str">
        <x:v>negative</x:v>
      </x:c>
      <x:c r="X1711" s="12"/>
      <x:c r="Y1711" s="12" t="str">
        <x:v>negative</x:v>
      </x:c>
      <x:c r="Z1711" s="12" t="str">
        <x:f>IF(OR(W1711="unavailable",Y1711="unavailable"),"不可评价",IF(OR(W1711="equivocal",Y1711="equivocal"),"疑似",IF(AND(W1711="positive",Y1711="positive"),"a",IF(Y1711="positive","b",IF(W1711="positive","c","d")))))</x:f>
        <x:v>d</x:v>
      </x:c>
      <x:c r="AA1711" s="12" t="str">
        <x:f>IF(OR(M1711="unavailable",O1711="unavailable"),"不可评价",IF(AND(OR(M1711="positive",M1711="equivocal"),OR(O1711="positive",O1711="equivocal")),"a",IF(OR(O1711="positive",O1711="equivocal"),"b",IF(OR(M1711="positive",M1711="equivocal"),"c","d"))))</x:f>
        <x:v>a</x:v>
      </x:c>
      <x:c r="AB1711" s="12" t="str">
        <x:f>IF(OR(M1711="unavailable",O1711="unavailable"),"不可评价",IF(AND(M1711="positive",O1711="positive"),"a",IF(O1711="positive","b",IF(M1711="positive","c","d"))))</x:f>
        <x:v>a</x:v>
      </x:c>
      <x:c r="AC1711" s="12" t="str">
        <x:f>IF(OR(R1711="unavailable",T1711="unavailable"),"不可评价",IF(AND(OR(R1711="positive",R1711="equivocal"),OR(T1711="positive",T1711="equivocal")),"a",IF(OR(T1711="positive",T1711="equivocal"),"b",IF(OR(R1711="positive",R1711="equivocal"),"c","d"))))</x:f>
        <x:v>d</x:v>
      </x:c>
      <x:c r="AD1711" s="12" t="str">
        <x:f>IF(OR(R1711="unavailable",T1711="unavailable"),"不可评价",IF(AND(R1711="positive",T1711="positive"),"a",IF(T1711="positive","b",IF(R1711="positive","c","d"))))</x:f>
        <x:v>d</x:v>
      </x:c>
      <x:c r="AE1711" s="12" t="str">
        <x:f>IF(OR(W1711="unavailable",Y1711="unavailable"),"不可评价",IF(AND(OR(W1711="positive",W1711="equivocal"),OR(Y1711="positive",Y1711="equivocal")),"a",IF(OR(Y1711="positive",Y1711="equivocal"),"b",IF(OR(W1711="positive",W1711="equivocal"),"c","d"))))</x:f>
        <x:v>d</x:v>
      </x:c>
      <x:c r="AF1711" s="12" t="str">
        <x:f>IF(OR(W1711="unavailable",Y1711="unavailable"),"不可评价",IF(AND(W1711="positive",Y1711="positive"),"a",IF(Y1711="positive","b",IF(W1711="positive","c","d"))))</x:f>
        <x:v>d</x:v>
      </x:c>
    </x:row>
    <x:row r="1712" ht="24" customHeight="1">
      <x:c r="A1712" s="12" t="str">
        <x:v>16135</x:v>
      </x:c>
      <x:c r="B1712" s="12" t="str">
        <x:v>12422</x:v>
      </x:c>
      <x:c r="C1712" s="21" t="n">
        <x:v>35215.65454861111</x:v>
      </x:c>
      <x:c r="D1712" s="12" t="n">
        <x:v>57</x:v>
      </x:c>
      <x:c r="E1712" s="12" t="n">
        <x:v>0</x:v>
      </x:c>
      <x:c r="F1712" s="12" t="str">
        <x:v>存在</x:v>
      </x:c>
      <x:c r="G1712" s="12" t="n">
        <x:v>0</x:v>
      </x:c>
      <x:c r="H1712" s="12" t="str">
        <x:v>{'IMI': 50.0, 'ABQRS': 0.0, 'SR': 0.0}</x:v>
      </x:c>
      <x:c r="I1712" s="12" t="str">
        <x:v>[('NSR', 100.0), ('NML', 100.0)]</x:v>
      </x:c>
      <x:c r="J1712" s="12" t="str">
        <x:v>ptbxl_database.csv；ecg_id=16135；scp_codes</x:v>
      </x:c>
      <x:c r="K1712" s="12" t="str">
        <x:v>12sl_statements.csv；ecg_id=16135；statements_ext_snomed</x:v>
      </x:c>
      <x:c r="L1712" s="12"/>
      <x:c r="M1712" s="12" t="str">
        <x:v>negative</x:v>
      </x:c>
      <x:c r="N1712" s="12"/>
      <x:c r="O1712" s="12" t="str">
        <x:v>negative</x:v>
      </x:c>
      <x:c r="P1712" s="12" t="str">
        <x:f>IF(OR(M1712="unavailable",O1712="unavailable"),"不可评价",IF(OR(M1712="equivocal",O1712="equivocal"),"疑似",IF(AND(M1712="positive",O1712="positive"),"a",IF(O1712="positive","b",IF(M1712="positive","c","d")))))</x:f>
        <x:v>d</x:v>
      </x:c>
      <x:c r="Q1712" s="12"/>
      <x:c r="R1712" s="12" t="str">
        <x:v>negative</x:v>
      </x:c>
      <x:c r="S1712" s="12"/>
      <x:c r="T1712" s="12" t="str">
        <x:v>negative</x:v>
      </x:c>
      <x:c r="U1712" s="12" t="str">
        <x:f>IF(OR(R1712="unavailable",T1712="unavailable"),"不可评价",IF(OR(R1712="equivocal",T1712="equivocal"),"疑似",IF(AND(R1712="positive",T1712="positive"),"a",IF(T1712="positive","b",IF(R1712="positive","c","d")))))</x:f>
        <x:v>d</x:v>
      </x:c>
      <x:c r="V1712" s="12"/>
      <x:c r="W1712" s="12" t="str">
        <x:v>negative</x:v>
      </x:c>
      <x:c r="X1712" s="12"/>
      <x:c r="Y1712" s="12" t="str">
        <x:v>negative</x:v>
      </x:c>
      <x:c r="Z1712" s="12" t="str">
        <x:f>IF(OR(W1712="unavailable",Y1712="unavailable"),"不可评价",IF(OR(W1712="equivocal",Y1712="equivocal"),"疑似",IF(AND(W1712="positive",Y1712="positive"),"a",IF(Y1712="positive","b",IF(W1712="positive","c","d")))))</x:f>
        <x:v>d</x:v>
      </x:c>
      <x:c r="AA1712" s="12" t="str">
        <x:f>IF(OR(M1712="unavailable",O1712="unavailable"),"不可评价",IF(AND(OR(M1712="positive",M1712="equivocal"),OR(O1712="positive",O1712="equivocal")),"a",IF(OR(O1712="positive",O1712="equivocal"),"b",IF(OR(M1712="positive",M1712="equivocal"),"c","d"))))</x:f>
        <x:v>d</x:v>
      </x:c>
      <x:c r="AB1712" s="12" t="str">
        <x:f>IF(OR(M1712="unavailable",O1712="unavailable"),"不可评价",IF(AND(M1712="positive",O1712="positive"),"a",IF(O1712="positive","b",IF(M1712="positive","c","d"))))</x:f>
        <x:v>d</x:v>
      </x:c>
      <x:c r="AC1712" s="12" t="str">
        <x:f>IF(OR(R1712="unavailable",T1712="unavailable"),"不可评价",IF(AND(OR(R1712="positive",R1712="equivocal"),OR(T1712="positive",T1712="equivocal")),"a",IF(OR(T1712="positive",T1712="equivocal"),"b",IF(OR(R1712="positive",R1712="equivocal"),"c","d"))))</x:f>
        <x:v>d</x:v>
      </x:c>
      <x:c r="AD1712" s="12" t="str">
        <x:f>IF(OR(R1712="unavailable",T1712="unavailable"),"不可评价",IF(AND(R1712="positive",T1712="positive"),"a",IF(T1712="positive","b",IF(R1712="positive","c","d"))))</x:f>
        <x:v>d</x:v>
      </x:c>
      <x:c r="AE1712" s="12" t="str">
        <x:f>IF(OR(W1712="unavailable",Y1712="unavailable"),"不可评价",IF(AND(OR(W1712="positive",W1712="equivocal"),OR(Y1712="positive",Y1712="equivocal")),"a",IF(OR(Y1712="positive",Y1712="equivocal"),"b",IF(OR(W1712="positive",W1712="equivocal"),"c","d"))))</x:f>
        <x:v>d</x:v>
      </x:c>
      <x:c r="AF1712" s="12" t="str">
        <x:f>IF(OR(W1712="unavailable",Y1712="unavailable"),"不可评价",IF(AND(W1712="positive",Y1712="positive"),"a",IF(Y1712="positive","b",IF(W1712="positive","c","d"))))</x:f>
        <x:v>d</x:v>
      </x:c>
    </x:row>
    <x:row r="1713" ht="24" customHeight="1">
      <x:c r="A1713" s="12" t="str">
        <x:v>16144</x:v>
      </x:c>
      <x:c r="B1713" s="12" t="str">
        <x:v>21339</x:v>
      </x:c>
      <x:c r="C1713" s="21" t="n">
        <x:v>35218.51991898148</x:v>
      </x:c>
      <x:c r="D1713" s="12" t="n">
        <x:v>43</x:v>
      </x:c>
      <x:c r="E1713" s="12" t="n">
        <x:v>0</x:v>
      </x:c>
      <x:c r="F1713" s="12" t="str">
        <x:v>存在</x:v>
      </x:c>
      <x:c r="G1713" s="12" t="n">
        <x:v>1</x:v>
      </x:c>
      <x:c r="H1713" s="12" t="str">
        <x:v>{'NORM': 100.0, 'SR': 0.0}</x:v>
      </x:c>
      <x:c r="I1713" s="12" t="str">
        <x:v>[('NSR', 100.0), ('NML', 100.0)]</x:v>
      </x:c>
      <x:c r="J1713" s="12" t="str">
        <x:v>ptbxl_database.csv；ecg_id=16144；scp_codes</x:v>
      </x:c>
      <x:c r="K1713" s="12" t="str">
        <x:v>12sl_statements.csv；ecg_id=16144；statements_ext_snomed</x:v>
      </x:c>
      <x:c r="L1713" s="12"/>
      <x:c r="M1713" s="12" t="str">
        <x:v>negative</x:v>
      </x:c>
      <x:c r="N1713" s="12"/>
      <x:c r="O1713" s="12" t="str">
        <x:v>negative</x:v>
      </x:c>
      <x:c r="P1713" s="12" t="str">
        <x:f>IF(OR(M1713="unavailable",O1713="unavailable"),"不可评价",IF(OR(M1713="equivocal",O1713="equivocal"),"疑似",IF(AND(M1713="positive",O1713="positive"),"a",IF(O1713="positive","b",IF(M1713="positive","c","d")))))</x:f>
        <x:v>d</x:v>
      </x:c>
      <x:c r="Q1713" s="12"/>
      <x:c r="R1713" s="12" t="str">
        <x:v>negative</x:v>
      </x:c>
      <x:c r="S1713" s="12"/>
      <x:c r="T1713" s="12" t="str">
        <x:v>negative</x:v>
      </x:c>
      <x:c r="U1713" s="12" t="str">
        <x:f>IF(OR(R1713="unavailable",T1713="unavailable"),"不可评价",IF(OR(R1713="equivocal",T1713="equivocal"),"疑似",IF(AND(R1713="positive",T1713="positive"),"a",IF(T1713="positive","b",IF(R1713="positive","c","d")))))</x:f>
        <x:v>d</x:v>
      </x:c>
      <x:c r="V1713" s="12"/>
      <x:c r="W1713" s="12" t="str">
        <x:v>negative</x:v>
      </x:c>
      <x:c r="X1713" s="12"/>
      <x:c r="Y1713" s="12" t="str">
        <x:v>negative</x:v>
      </x:c>
      <x:c r="Z1713" s="12" t="str">
        <x:f>IF(OR(W1713="unavailable",Y1713="unavailable"),"不可评价",IF(OR(W1713="equivocal",Y1713="equivocal"),"疑似",IF(AND(W1713="positive",Y1713="positive"),"a",IF(Y1713="positive","b",IF(W1713="positive","c","d")))))</x:f>
        <x:v>d</x:v>
      </x:c>
      <x:c r="AA1713" s="12" t="str">
        <x:f>IF(OR(M1713="unavailable",O1713="unavailable"),"不可评价",IF(AND(OR(M1713="positive",M1713="equivocal"),OR(O1713="positive",O1713="equivocal")),"a",IF(OR(O1713="positive",O1713="equivocal"),"b",IF(OR(M1713="positive",M1713="equivocal"),"c","d"))))</x:f>
        <x:v>d</x:v>
      </x:c>
      <x:c r="AB1713" s="12" t="str">
        <x:f>IF(OR(M1713="unavailable",O1713="unavailable"),"不可评价",IF(AND(M1713="positive",O1713="positive"),"a",IF(O1713="positive","b",IF(M1713="positive","c","d"))))</x:f>
        <x:v>d</x:v>
      </x:c>
      <x:c r="AC1713" s="12" t="str">
        <x:f>IF(OR(R1713="unavailable",T1713="unavailable"),"不可评价",IF(AND(OR(R1713="positive",R1713="equivocal"),OR(T1713="positive",T1713="equivocal")),"a",IF(OR(T1713="positive",T1713="equivocal"),"b",IF(OR(R1713="positive",R1713="equivocal"),"c","d"))))</x:f>
        <x:v>d</x:v>
      </x:c>
      <x:c r="AD1713" s="12" t="str">
        <x:f>IF(OR(R1713="unavailable",T1713="unavailable"),"不可评价",IF(AND(R1713="positive",T1713="positive"),"a",IF(T1713="positive","b",IF(R1713="positive","c","d"))))</x:f>
        <x:v>d</x:v>
      </x:c>
      <x:c r="AE1713" s="12" t="str">
        <x:f>IF(OR(W1713="unavailable",Y1713="unavailable"),"不可评价",IF(AND(OR(W1713="positive",W1713="equivocal"),OR(Y1713="positive",Y1713="equivocal")),"a",IF(OR(Y1713="positive",Y1713="equivocal"),"b",IF(OR(W1713="positive",W1713="equivocal"),"c","d"))))</x:f>
        <x:v>d</x:v>
      </x:c>
      <x:c r="AF1713" s="12" t="str">
        <x:f>IF(OR(W1713="unavailable",Y1713="unavailable"),"不可评价",IF(AND(W1713="positive",Y1713="positive"),"a",IF(Y1713="positive","b",IF(W1713="positive","c","d"))))</x:f>
        <x:v>d</x:v>
      </x:c>
    </x:row>
    <x:row r="1714" ht="24" customHeight="1">
      <x:c r="A1714" s="12" t="str">
        <x:v>16147</x:v>
      </x:c>
      <x:c r="B1714" s="12" t="str">
        <x:v>11794</x:v>
      </x:c>
      <x:c r="C1714" s="21" t="n">
        <x:v>35220.37771990741</x:v>
      </x:c>
      <x:c r="D1714" s="12" t="n">
        <x:v>72</x:v>
      </x:c>
      <x:c r="E1714" s="12" t="n">
        <x:v>0</x:v>
      </x:c>
      <x:c r="F1714" s="12" t="str">
        <x:v>未记录</x:v>
      </x:c>
      <x:c r="G1714" s="12" t="n">
        <x:v>1</x:v>
      </x:c>
      <x:c r="H1714" s="12" t="str">
        <x:v>{'NORM': 100.0, 'SR': 0.0}</x:v>
      </x:c>
      <x:c r="I1714" s="12" t="str">
        <x:v>[('NSR', 100.0), ('NST', 100.0), ('AB', 100.0)]</x:v>
      </x:c>
      <x:c r="J1714" s="12" t="str">
        <x:v>ptbxl_database.csv；ecg_id=16147；scp_codes</x:v>
      </x:c>
      <x:c r="K1714" s="12" t="str">
        <x:v>12sl_statements.csv；ecg_id=16147；statements_ext_snomed</x:v>
      </x:c>
      <x:c r="L1714" s="12"/>
      <x:c r="M1714" s="12" t="str">
        <x:v>negative</x:v>
      </x:c>
      <x:c r="N1714" s="12"/>
      <x:c r="O1714" s="12" t="str">
        <x:v>negative</x:v>
      </x:c>
      <x:c r="P1714" s="12" t="str">
        <x:f>IF(OR(M1714="unavailable",O1714="unavailable"),"不可评价",IF(OR(M1714="equivocal",O1714="equivocal"),"疑似",IF(AND(M1714="positive",O1714="positive"),"a",IF(O1714="positive","b",IF(M1714="positive","c","d")))))</x:f>
        <x:v>d</x:v>
      </x:c>
      <x:c r="Q1714" s="12"/>
      <x:c r="R1714" s="12" t="str">
        <x:v>negative</x:v>
      </x:c>
      <x:c r="S1714" s="12"/>
      <x:c r="T1714" s="12" t="str">
        <x:v>negative</x:v>
      </x:c>
      <x:c r="U1714" s="12" t="str">
        <x:f>IF(OR(R1714="unavailable",T1714="unavailable"),"不可评价",IF(OR(R1714="equivocal",T1714="equivocal"),"疑似",IF(AND(R1714="positive",T1714="positive"),"a",IF(T1714="positive","b",IF(R1714="positive","c","d")))))</x:f>
        <x:v>d</x:v>
      </x:c>
      <x:c r="V1714" s="12"/>
      <x:c r="W1714" s="12" t="str">
        <x:v>negative</x:v>
      </x:c>
      <x:c r="X1714" s="12"/>
      <x:c r="Y1714" s="12" t="str">
        <x:v>negative</x:v>
      </x:c>
      <x:c r="Z1714" s="12" t="str">
        <x:f>IF(OR(W1714="unavailable",Y1714="unavailable"),"不可评价",IF(OR(W1714="equivocal",Y1714="equivocal"),"疑似",IF(AND(W1714="positive",Y1714="positive"),"a",IF(Y1714="positive","b",IF(W1714="positive","c","d")))))</x:f>
        <x:v>d</x:v>
      </x:c>
      <x:c r="AA1714" s="12" t="str">
        <x:f>IF(OR(M1714="unavailable",O1714="unavailable"),"不可评价",IF(AND(OR(M1714="positive",M1714="equivocal"),OR(O1714="positive",O1714="equivocal")),"a",IF(OR(O1714="positive",O1714="equivocal"),"b",IF(OR(M1714="positive",M1714="equivocal"),"c","d"))))</x:f>
        <x:v>d</x:v>
      </x:c>
      <x:c r="AB1714" s="12" t="str">
        <x:f>IF(OR(M1714="unavailable",O1714="unavailable"),"不可评价",IF(AND(M1714="positive",O1714="positive"),"a",IF(O1714="positive","b",IF(M1714="positive","c","d"))))</x:f>
        <x:v>d</x:v>
      </x:c>
      <x:c r="AC1714" s="12" t="str">
        <x:f>IF(OR(R1714="unavailable",T1714="unavailable"),"不可评价",IF(AND(OR(R1714="positive",R1714="equivocal"),OR(T1714="positive",T1714="equivocal")),"a",IF(OR(T1714="positive",T1714="equivocal"),"b",IF(OR(R1714="positive",R1714="equivocal"),"c","d"))))</x:f>
        <x:v>d</x:v>
      </x:c>
      <x:c r="AD1714" s="12" t="str">
        <x:f>IF(OR(R1714="unavailable",T1714="unavailable"),"不可评价",IF(AND(R1714="positive",T1714="positive"),"a",IF(T1714="positive","b",IF(R1714="positive","c","d"))))</x:f>
        <x:v>d</x:v>
      </x:c>
      <x:c r="AE1714" s="12" t="str">
        <x:f>IF(OR(W1714="unavailable",Y1714="unavailable"),"不可评价",IF(AND(OR(W1714="positive",W1714="equivocal"),OR(Y1714="positive",Y1714="equivocal")),"a",IF(OR(Y1714="positive",Y1714="equivocal"),"b",IF(OR(W1714="positive",W1714="equivocal"),"c","d"))))</x:f>
        <x:v>d</x:v>
      </x:c>
      <x:c r="AF1714" s="12" t="str">
        <x:f>IF(OR(W1714="unavailable",Y1714="unavailable"),"不可评价",IF(AND(W1714="positive",Y1714="positive"),"a",IF(Y1714="positive","b",IF(W1714="positive","c","d"))))</x:f>
        <x:v>d</x:v>
      </x:c>
    </x:row>
    <x:row r="1715" ht="24" customHeight="1">
      <x:c r="A1715" s="12" t="str">
        <x:v>16149</x:v>
      </x:c>
      <x:c r="B1715" s="12" t="str">
        <x:v>15487</x:v>
      </x:c>
      <x:c r="C1715" s="21" t="n">
        <x:v>35222.55846064815</x:v>
      </x:c>
      <x:c r="D1715" s="12" t="n">
        <x:v>72</x:v>
      </x:c>
      <x:c r="E1715" s="12" t="n">
        <x:v>0</x:v>
      </x:c>
      <x:c r="F1715" s="12" t="str">
        <x:v>存在</x:v>
      </x:c>
      <x:c r="G1715" s="12" t="n">
        <x:v>1</x:v>
      </x:c>
      <x:c r="H1715" s="12" t="str">
        <x:v>{'NORM': 100.0, 'SR': 0.0}</x:v>
      </x:c>
      <x:c r="I1715" s="12" t="str">
        <x:v>[('NSR', 100.0), ('NML', 100.0)]</x:v>
      </x:c>
      <x:c r="J1715" s="12" t="str">
        <x:v>ptbxl_database.csv；ecg_id=16149；scp_codes</x:v>
      </x:c>
      <x:c r="K1715" s="12" t="str">
        <x:v>12sl_statements.csv；ecg_id=16149；statements_ext_snomed</x:v>
      </x:c>
      <x:c r="L1715" s="12"/>
      <x:c r="M1715" s="12" t="str">
        <x:v>negative</x:v>
      </x:c>
      <x:c r="N1715" s="12"/>
      <x:c r="O1715" s="12" t="str">
        <x:v>negative</x:v>
      </x:c>
      <x:c r="P1715" s="12" t="str">
        <x:f>IF(OR(M1715="unavailable",O1715="unavailable"),"不可评价",IF(OR(M1715="equivocal",O1715="equivocal"),"疑似",IF(AND(M1715="positive",O1715="positive"),"a",IF(O1715="positive","b",IF(M1715="positive","c","d")))))</x:f>
        <x:v>d</x:v>
      </x:c>
      <x:c r="Q1715" s="12"/>
      <x:c r="R1715" s="12" t="str">
        <x:v>negative</x:v>
      </x:c>
      <x:c r="S1715" s="12"/>
      <x:c r="T1715" s="12" t="str">
        <x:v>negative</x:v>
      </x:c>
      <x:c r="U1715" s="12" t="str">
        <x:f>IF(OR(R1715="unavailable",T1715="unavailable"),"不可评价",IF(OR(R1715="equivocal",T1715="equivocal"),"疑似",IF(AND(R1715="positive",T1715="positive"),"a",IF(T1715="positive","b",IF(R1715="positive","c","d")))))</x:f>
        <x:v>d</x:v>
      </x:c>
      <x:c r="V1715" s="12"/>
      <x:c r="W1715" s="12" t="str">
        <x:v>negative</x:v>
      </x:c>
      <x:c r="X1715" s="12"/>
      <x:c r="Y1715" s="12" t="str">
        <x:v>negative</x:v>
      </x:c>
      <x:c r="Z1715" s="12" t="str">
        <x:f>IF(OR(W1715="unavailable",Y1715="unavailable"),"不可评价",IF(OR(W1715="equivocal",Y1715="equivocal"),"疑似",IF(AND(W1715="positive",Y1715="positive"),"a",IF(Y1715="positive","b",IF(W1715="positive","c","d")))))</x:f>
        <x:v>d</x:v>
      </x:c>
      <x:c r="AA1715" s="12" t="str">
        <x:f>IF(OR(M1715="unavailable",O1715="unavailable"),"不可评价",IF(AND(OR(M1715="positive",M1715="equivocal"),OR(O1715="positive",O1715="equivocal")),"a",IF(OR(O1715="positive",O1715="equivocal"),"b",IF(OR(M1715="positive",M1715="equivocal"),"c","d"))))</x:f>
        <x:v>d</x:v>
      </x:c>
      <x:c r="AB1715" s="12" t="str">
        <x:f>IF(OR(M1715="unavailable",O1715="unavailable"),"不可评价",IF(AND(M1715="positive",O1715="positive"),"a",IF(O1715="positive","b",IF(M1715="positive","c","d"))))</x:f>
        <x:v>d</x:v>
      </x:c>
      <x:c r="AC1715" s="12" t="str">
        <x:f>IF(OR(R1715="unavailable",T1715="unavailable"),"不可评价",IF(AND(OR(R1715="positive",R1715="equivocal"),OR(T1715="positive",T1715="equivocal")),"a",IF(OR(T1715="positive",T1715="equivocal"),"b",IF(OR(R1715="positive",R1715="equivocal"),"c","d"))))</x:f>
        <x:v>d</x:v>
      </x:c>
      <x:c r="AD1715" s="12" t="str">
        <x:f>IF(OR(R1715="unavailable",T1715="unavailable"),"不可评价",IF(AND(R1715="positive",T1715="positive"),"a",IF(T1715="positive","b",IF(R1715="positive","c","d"))))</x:f>
        <x:v>d</x:v>
      </x:c>
      <x:c r="AE1715" s="12" t="str">
        <x:f>IF(OR(W1715="unavailable",Y1715="unavailable"),"不可评价",IF(AND(OR(W1715="positive",W1715="equivocal"),OR(Y1715="positive",Y1715="equivocal")),"a",IF(OR(Y1715="positive",Y1715="equivocal"),"b",IF(OR(W1715="positive",W1715="equivocal"),"c","d"))))</x:f>
        <x:v>d</x:v>
      </x:c>
      <x:c r="AF1715" s="12" t="str">
        <x:f>IF(OR(W1715="unavailable",Y1715="unavailable"),"不可评价",IF(AND(W1715="positive",Y1715="positive"),"a",IF(Y1715="positive","b",IF(W1715="positive","c","d"))))</x:f>
        <x:v>d</x:v>
      </x:c>
    </x:row>
    <x:row r="1716" ht="24" customHeight="1">
      <x:c r="A1716" s="12" t="str">
        <x:v>16150</x:v>
      </x:c>
      <x:c r="B1716" s="12" t="str">
        <x:v>19415</x:v>
      </x:c>
      <x:c r="C1716" s="21" t="n">
        <x:v>35222.62516203704</x:v>
      </x:c>
      <x:c r="D1716" s="12" t="n">
        <x:v>70</x:v>
      </x:c>
      <x:c r="E1716" s="12" t="n">
        <x:v>1</x:v>
      </x:c>
      <x:c r="F1716" s="12" t="str">
        <x:v>未记录</x:v>
      </x:c>
      <x:c r="G1716" s="12" t="n">
        <x:v>1</x:v>
      </x:c>
      <x:c r="H1716" s="12" t="str">
        <x:v>{'NORM': 100.0, 'SR': 0.0}</x:v>
      </x:c>
      <x:c r="I1716" s="12" t="str">
        <x:v>[('NSR', 100.0), ('NML', 100.0)]</x:v>
      </x:c>
      <x:c r="J1716" s="12" t="str">
        <x:v>ptbxl_database.csv；ecg_id=16150；scp_codes</x:v>
      </x:c>
      <x:c r="K1716" s="12" t="str">
        <x:v>12sl_statements.csv；ecg_id=16150；statements_ext_snomed</x:v>
      </x:c>
      <x:c r="L1716" s="12"/>
      <x:c r="M1716" s="12" t="str">
        <x:v>negative</x:v>
      </x:c>
      <x:c r="N1716" s="12"/>
      <x:c r="O1716" s="12" t="str">
        <x:v>negative</x:v>
      </x:c>
      <x:c r="P1716" s="12" t="str">
        <x:f>IF(OR(M1716="unavailable",O1716="unavailable"),"不可评价",IF(OR(M1716="equivocal",O1716="equivocal"),"疑似",IF(AND(M1716="positive",O1716="positive"),"a",IF(O1716="positive","b",IF(M1716="positive","c","d")))))</x:f>
        <x:v>d</x:v>
      </x:c>
      <x:c r="Q1716" s="12"/>
      <x:c r="R1716" s="12" t="str">
        <x:v>negative</x:v>
      </x:c>
      <x:c r="S1716" s="12"/>
      <x:c r="T1716" s="12" t="str">
        <x:v>negative</x:v>
      </x:c>
      <x:c r="U1716" s="12" t="str">
        <x:f>IF(OR(R1716="unavailable",T1716="unavailable"),"不可评价",IF(OR(R1716="equivocal",T1716="equivocal"),"疑似",IF(AND(R1716="positive",T1716="positive"),"a",IF(T1716="positive","b",IF(R1716="positive","c","d")))))</x:f>
        <x:v>d</x:v>
      </x:c>
      <x:c r="V1716" s="12"/>
      <x:c r="W1716" s="12" t="str">
        <x:v>negative</x:v>
      </x:c>
      <x:c r="X1716" s="12"/>
      <x:c r="Y1716" s="12" t="str">
        <x:v>negative</x:v>
      </x:c>
      <x:c r="Z1716" s="12" t="str">
        <x:f>IF(OR(W1716="unavailable",Y1716="unavailable"),"不可评价",IF(OR(W1716="equivocal",Y1716="equivocal"),"疑似",IF(AND(W1716="positive",Y1716="positive"),"a",IF(Y1716="positive","b",IF(W1716="positive","c","d")))))</x:f>
        <x:v>d</x:v>
      </x:c>
      <x:c r="AA1716" s="12" t="str">
        <x:f>IF(OR(M1716="unavailable",O1716="unavailable"),"不可评价",IF(AND(OR(M1716="positive",M1716="equivocal"),OR(O1716="positive",O1716="equivocal")),"a",IF(OR(O1716="positive",O1716="equivocal"),"b",IF(OR(M1716="positive",M1716="equivocal"),"c","d"))))</x:f>
        <x:v>d</x:v>
      </x:c>
      <x:c r="AB1716" s="12" t="str">
        <x:f>IF(OR(M1716="unavailable",O1716="unavailable"),"不可评价",IF(AND(M1716="positive",O1716="positive"),"a",IF(O1716="positive","b",IF(M1716="positive","c","d"))))</x:f>
        <x:v>d</x:v>
      </x:c>
      <x:c r="AC1716" s="12" t="str">
        <x:f>IF(OR(R1716="unavailable",T1716="unavailable"),"不可评价",IF(AND(OR(R1716="positive",R1716="equivocal"),OR(T1716="positive",T1716="equivocal")),"a",IF(OR(T1716="positive",T1716="equivocal"),"b",IF(OR(R1716="positive",R1716="equivocal"),"c","d"))))</x:f>
        <x:v>d</x:v>
      </x:c>
      <x:c r="AD1716" s="12" t="str">
        <x:f>IF(OR(R1716="unavailable",T1716="unavailable"),"不可评价",IF(AND(R1716="positive",T1716="positive"),"a",IF(T1716="positive","b",IF(R1716="positive","c","d"))))</x:f>
        <x:v>d</x:v>
      </x:c>
      <x:c r="AE1716" s="12" t="str">
        <x:f>IF(OR(W1716="unavailable",Y1716="unavailable"),"不可评价",IF(AND(OR(W1716="positive",W1716="equivocal"),OR(Y1716="positive",Y1716="equivocal")),"a",IF(OR(Y1716="positive",Y1716="equivocal"),"b",IF(OR(W1716="positive",W1716="equivocal"),"c","d"))))</x:f>
        <x:v>d</x:v>
      </x:c>
      <x:c r="AF1716" s="12" t="str">
        <x:f>IF(OR(W1716="unavailable",Y1716="unavailable"),"不可评价",IF(AND(W1716="positive",Y1716="positive"),"a",IF(Y1716="positive","b",IF(W1716="positive","c","d"))))</x:f>
        <x:v>d</x:v>
      </x:c>
    </x:row>
    <x:row r="1717" ht="24" customHeight="1">
      <x:c r="A1717" s="12" t="str">
        <x:v>16152</x:v>
      </x:c>
      <x:c r="B1717" s="12" t="str">
        <x:v>11815</x:v>
      </x:c>
      <x:c r="C1717" s="21" t="n">
        <x:v>35223.58012731482</x:v>
      </x:c>
      <x:c r="D1717" s="12" t="n">
        <x:v>49</x:v>
      </x:c>
      <x:c r="E1717" s="12" t="n">
        <x:v>0</x:v>
      </x:c>
      <x:c r="F1717" s="12" t="str">
        <x:v>未记录</x:v>
      </x:c>
      <x:c r="G1717" s="12" t="n">
        <x:v>1</x:v>
      </x:c>
      <x:c r="H1717" s="12" t="str">
        <x:v>{'ILMI': 100.0, 'ABQRS': 0.0, 'SR': 0.0}</x:v>
      </x:c>
      <x:c r="I1717" s="12" t="str">
        <x:v>[('NSR', 100.0), ('RBBB', 100.0), ('IMI;AU', 100.0), ('LT', 100.0), ('AB', 100.0)]</x:v>
      </x:c>
      <x:c r="J1717" s="12" t="str">
        <x:v>ptbxl_database.csv；ecg_id=16152；scp_codes</x:v>
      </x:c>
      <x:c r="K1717" s="12" t="str">
        <x:v>12sl_statements.csv；ecg_id=16152；statements_ext_snomed</x:v>
      </x:c>
      <x:c r="L1717" s="12"/>
      <x:c r="M1717" s="12" t="str">
        <x:v>negative</x:v>
      </x:c>
      <x:c r="N1717" s="12"/>
      <x:c r="O1717" s="12" t="str">
        <x:v>negative</x:v>
      </x:c>
      <x:c r="P1717" s="12" t="str">
        <x:f>IF(OR(M1717="unavailable",O1717="unavailable"),"不可评价",IF(OR(M1717="equivocal",O1717="equivocal"),"疑似",IF(AND(M1717="positive",O1717="positive"),"a",IF(O1717="positive","b",IF(M1717="positive","c","d")))))</x:f>
        <x:v>d</x:v>
      </x:c>
      <x:c r="Q1717" s="12"/>
      <x:c r="R1717" s="12" t="str">
        <x:v>negative</x:v>
      </x:c>
      <x:c r="S1717" s="12"/>
      <x:c r="T1717" s="12" t="str">
        <x:v>negative</x:v>
      </x:c>
      <x:c r="U1717" s="12" t="str">
        <x:f>IF(OR(R1717="unavailable",T1717="unavailable"),"不可评价",IF(OR(R1717="equivocal",T1717="equivocal"),"疑似",IF(AND(R1717="positive",T1717="positive"),"a",IF(T1717="positive","b",IF(R1717="positive","c","d")))))</x:f>
        <x:v>d</x:v>
      </x:c>
      <x:c r="V1717" s="12"/>
      <x:c r="W1717" s="12" t="str">
        <x:v>negative</x:v>
      </x:c>
      <x:c r="X1717" s="12" t="n">
        <x:v>100</x:v>
      </x:c>
      <x:c r="Y1717" s="12" t="str">
        <x:v>positive</x:v>
      </x:c>
      <x:c r="Z1717" s="12" t="str">
        <x:f>IF(OR(W1717="unavailable",Y1717="unavailable"),"不可评价",IF(OR(W1717="equivocal",Y1717="equivocal"),"疑似",IF(AND(W1717="positive",Y1717="positive"),"a",IF(Y1717="positive","b",IF(W1717="positive","c","d")))))</x:f>
        <x:v>b</x:v>
      </x:c>
      <x:c r="AA1717" s="12" t="str">
        <x:f>IF(OR(M1717="unavailable",O1717="unavailable"),"不可评价",IF(AND(OR(M1717="positive",M1717="equivocal"),OR(O1717="positive",O1717="equivocal")),"a",IF(OR(O1717="positive",O1717="equivocal"),"b",IF(OR(M1717="positive",M1717="equivocal"),"c","d"))))</x:f>
        <x:v>d</x:v>
      </x:c>
      <x:c r="AB1717" s="12" t="str">
        <x:f>IF(OR(M1717="unavailable",O1717="unavailable"),"不可评价",IF(AND(M1717="positive",O1717="positive"),"a",IF(O1717="positive","b",IF(M1717="positive","c","d"))))</x:f>
        <x:v>d</x:v>
      </x:c>
      <x:c r="AC1717" s="12" t="str">
        <x:f>IF(OR(R1717="unavailable",T1717="unavailable"),"不可评价",IF(AND(OR(R1717="positive",R1717="equivocal"),OR(T1717="positive",T1717="equivocal")),"a",IF(OR(T1717="positive",T1717="equivocal"),"b",IF(OR(R1717="positive",R1717="equivocal"),"c","d"))))</x:f>
        <x:v>d</x:v>
      </x:c>
      <x:c r="AD1717" s="12" t="str">
        <x:f>IF(OR(R1717="unavailable",T1717="unavailable"),"不可评价",IF(AND(R1717="positive",T1717="positive"),"a",IF(T1717="positive","b",IF(R1717="positive","c","d"))))</x:f>
        <x:v>d</x:v>
      </x:c>
      <x:c r="AE1717" s="12" t="str">
        <x:f>IF(OR(W1717="unavailable",Y1717="unavailable"),"不可评价",IF(AND(OR(W1717="positive",W1717="equivocal"),OR(Y1717="positive",Y1717="equivocal")),"a",IF(OR(Y1717="positive",Y1717="equivocal"),"b",IF(OR(W1717="positive",W1717="equivocal"),"c","d"))))</x:f>
        <x:v>b</x:v>
      </x:c>
      <x:c r="AF1717" s="12" t="str">
        <x:f>IF(OR(W1717="unavailable",Y1717="unavailable"),"不可评价",IF(AND(W1717="positive",Y1717="positive"),"a",IF(Y1717="positive","b",IF(W1717="positive","c","d"))))</x:f>
        <x:v>b</x:v>
      </x:c>
    </x:row>
    <x:row r="1718" ht="39" customHeight="1">
      <x:c r="A1718" s="12" t="str">
        <x:v>16168</x:v>
      </x:c>
      <x:c r="B1718" s="12" t="str">
        <x:v>11815</x:v>
      </x:c>
      <x:c r="C1718" s="21" t="n">
        <x:v>35230.41761574074</x:v>
      </x:c>
      <x:c r="D1718" s="12" t="n">
        <x:v>49</x:v>
      </x:c>
      <x:c r="E1718" s="12" t="n">
        <x:v>0</x:v>
      </x:c>
      <x:c r="F1718" s="12" t="str">
        <x:v>未记录</x:v>
      </x:c>
      <x:c r="G1718" s="12" t="n">
        <x:v>0</x:v>
      </x:c>
      <x:c r="H1718" s="12" t="str">
        <x:v>{'ILMI': 50.0, 'LPFB': 100.0, 'ABQRS': 0.0, 'SR': 0.0}</x:v>
      </x:c>
      <x:c r="I1718" s="12" t="str">
        <x:v>[('SBRAD', 100.0), ('LAD3', 100.0), ('IPMI;AU', 100.0), ('ST&amp;', 100.0), ('LT', 100.0), ('AB', 100.0)]</x:v>
      </x:c>
      <x:c r="J1718" s="12" t="str">
        <x:v>ptbxl_database.csv；ecg_id=16168；scp_codes</x:v>
      </x:c>
      <x:c r="K1718" s="12" t="str">
        <x:v>12sl_statements.csv；ecg_id=16168；statements_ext_snomed</x:v>
      </x:c>
      <x:c r="L1718" s="12"/>
      <x:c r="M1718" s="12" t="str">
        <x:v>negative</x:v>
      </x:c>
      <x:c r="N1718" s="12"/>
      <x:c r="O1718" s="12" t="str">
        <x:v>negative</x:v>
      </x:c>
      <x:c r="P1718" s="12" t="str">
        <x:f>IF(OR(M1718="unavailable",O1718="unavailable"),"不可评价",IF(OR(M1718="equivocal",O1718="equivocal"),"疑似",IF(AND(M1718="positive",O1718="positive"),"a",IF(O1718="positive","b",IF(M1718="positive","c","d")))))</x:f>
        <x:v>d</x:v>
      </x:c>
      <x:c r="Q1718" s="12"/>
      <x:c r="R1718" s="12" t="str">
        <x:v>negative</x:v>
      </x:c>
      <x:c r="S1718" s="12"/>
      <x:c r="T1718" s="12" t="str">
        <x:v>negative</x:v>
      </x:c>
      <x:c r="U1718" s="12" t="str">
        <x:f>IF(OR(R1718="unavailable",T1718="unavailable"),"不可评价",IF(OR(R1718="equivocal",T1718="equivocal"),"疑似",IF(AND(R1718="positive",T1718="positive"),"a",IF(T1718="positive","b",IF(R1718="positive","c","d")))))</x:f>
        <x:v>d</x:v>
      </x:c>
      <x:c r="V1718" s="12"/>
      <x:c r="W1718" s="12" t="str">
        <x:v>negative</x:v>
      </x:c>
      <x:c r="X1718" s="12"/>
      <x:c r="Y1718" s="12" t="str">
        <x:v>negative</x:v>
      </x:c>
      <x:c r="Z1718" s="12" t="str">
        <x:f>IF(OR(W1718="unavailable",Y1718="unavailable"),"不可评价",IF(OR(W1718="equivocal",Y1718="equivocal"),"疑似",IF(AND(W1718="positive",Y1718="positive"),"a",IF(Y1718="positive","b",IF(W1718="positive","c","d")))))</x:f>
        <x:v>d</x:v>
      </x:c>
      <x:c r="AA1718" s="12" t="str">
        <x:f>IF(OR(M1718="unavailable",O1718="unavailable"),"不可评价",IF(AND(OR(M1718="positive",M1718="equivocal"),OR(O1718="positive",O1718="equivocal")),"a",IF(OR(O1718="positive",O1718="equivocal"),"b",IF(OR(M1718="positive",M1718="equivocal"),"c","d"))))</x:f>
        <x:v>d</x:v>
      </x:c>
      <x:c r="AB1718" s="12" t="str">
        <x:f>IF(OR(M1718="unavailable",O1718="unavailable"),"不可评价",IF(AND(M1718="positive",O1718="positive"),"a",IF(O1718="positive","b",IF(M1718="positive","c","d"))))</x:f>
        <x:v>d</x:v>
      </x:c>
      <x:c r="AC1718" s="12" t="str">
        <x:f>IF(OR(R1718="unavailable",T1718="unavailable"),"不可评价",IF(AND(OR(R1718="positive",R1718="equivocal"),OR(T1718="positive",T1718="equivocal")),"a",IF(OR(T1718="positive",T1718="equivocal"),"b",IF(OR(R1718="positive",R1718="equivocal"),"c","d"))))</x:f>
        <x:v>d</x:v>
      </x:c>
      <x:c r="AD1718" s="12" t="str">
        <x:f>IF(OR(R1718="unavailable",T1718="unavailable"),"不可评价",IF(AND(R1718="positive",T1718="positive"),"a",IF(T1718="positive","b",IF(R1718="positive","c","d"))))</x:f>
        <x:v>d</x:v>
      </x:c>
      <x:c r="AE1718" s="12" t="str">
        <x:f>IF(OR(W1718="unavailable",Y1718="unavailable"),"不可评价",IF(AND(OR(W1718="positive",W1718="equivocal"),OR(Y1718="positive",Y1718="equivocal")),"a",IF(OR(Y1718="positive",Y1718="equivocal"),"b",IF(OR(W1718="positive",W1718="equivocal"),"c","d"))))</x:f>
        <x:v>d</x:v>
      </x:c>
      <x:c r="AF1718" s="12" t="str">
        <x:f>IF(OR(W1718="unavailable",Y1718="unavailable"),"不可评价",IF(AND(W1718="positive",Y1718="positive"),"a",IF(Y1718="positive","b",IF(W1718="positive","c","d"))))</x:f>
        <x:v>d</x:v>
      </x:c>
    </x:row>
    <x:row r="1719" ht="24" customHeight="1">
      <x:c r="A1719" s="12" t="str">
        <x:v>16182</x:v>
      </x:c>
      <x:c r="B1719" s="12" t="str">
        <x:v>13652</x:v>
      </x:c>
      <x:c r="C1719" s="21" t="n">
        <x:v>35237.373819444445</x:v>
      </x:c>
      <x:c r="D1719" s="12" t="n">
        <x:v>68</x:v>
      </x:c>
      <x:c r="E1719" s="12" t="n">
        <x:v>1</x:v>
      </x:c>
      <x:c r="F1719" s="12" t="str">
        <x:v>未记录</x:v>
      </x:c>
      <x:c r="G1719" s="12" t="n">
        <x:v>1</x:v>
      </x:c>
      <x:c r="H1719" s="12" t="str">
        <x:v>{'LVH': 50.0, 'SR': 0.0}</x:v>
      </x:c>
      <x:c r="I1719" s="12" t="str">
        <x:v>[('NSR', 100.0), ('BAE', 100.0), ('LVH2', 100.0), ('ISBINJ', 100.0), ('AB', 100.0)]</x:v>
      </x:c>
      <x:c r="J1719" s="12" t="str">
        <x:v>ptbxl_database.csv；ecg_id=16182；scp_codes</x:v>
      </x:c>
      <x:c r="K1719" s="12" t="str">
        <x:v>12sl_statements.csv；ecg_id=16182；statements_ext_snomed</x:v>
      </x:c>
      <x:c r="L1719" s="12"/>
      <x:c r="M1719" s="12" t="str">
        <x:v>negative</x:v>
      </x:c>
      <x:c r="N1719" s="12"/>
      <x:c r="O1719" s="12" t="str">
        <x:v>negative</x:v>
      </x:c>
      <x:c r="P1719" s="12" t="str">
        <x:f>IF(OR(M1719="unavailable",O1719="unavailable"),"不可评价",IF(OR(M1719="equivocal",O1719="equivocal"),"疑似",IF(AND(M1719="positive",O1719="positive"),"a",IF(O1719="positive","b",IF(M1719="positive","c","d")))))</x:f>
        <x:v>d</x:v>
      </x:c>
      <x:c r="Q1719" s="12"/>
      <x:c r="R1719" s="12" t="str">
        <x:v>negative</x:v>
      </x:c>
      <x:c r="S1719" s="12"/>
      <x:c r="T1719" s="12" t="str">
        <x:v>negative</x:v>
      </x:c>
      <x:c r="U1719" s="12" t="str">
        <x:f>IF(OR(R1719="unavailable",T1719="unavailable"),"不可评价",IF(OR(R1719="equivocal",T1719="equivocal"),"疑似",IF(AND(R1719="positive",T1719="positive"),"a",IF(T1719="positive","b",IF(R1719="positive","c","d")))))</x:f>
        <x:v>d</x:v>
      </x:c>
      <x:c r="V1719" s="12"/>
      <x:c r="W1719" s="12" t="str">
        <x:v>negative</x:v>
      </x:c>
      <x:c r="X1719" s="12"/>
      <x:c r="Y1719" s="12" t="str">
        <x:v>negative</x:v>
      </x:c>
      <x:c r="Z1719" s="12" t="str">
        <x:f>IF(OR(W1719="unavailable",Y1719="unavailable"),"不可评价",IF(OR(W1719="equivocal",Y1719="equivocal"),"疑似",IF(AND(W1719="positive",Y1719="positive"),"a",IF(Y1719="positive","b",IF(W1719="positive","c","d")))))</x:f>
        <x:v>d</x:v>
      </x:c>
      <x:c r="AA1719" s="12" t="str">
        <x:f>IF(OR(M1719="unavailable",O1719="unavailable"),"不可评价",IF(AND(OR(M1719="positive",M1719="equivocal"),OR(O1719="positive",O1719="equivocal")),"a",IF(OR(O1719="positive",O1719="equivocal"),"b",IF(OR(M1719="positive",M1719="equivocal"),"c","d"))))</x:f>
        <x:v>d</x:v>
      </x:c>
      <x:c r="AB1719" s="12" t="str">
        <x:f>IF(OR(M1719="unavailable",O1719="unavailable"),"不可评价",IF(AND(M1719="positive",O1719="positive"),"a",IF(O1719="positive","b",IF(M1719="positive","c","d"))))</x:f>
        <x:v>d</x:v>
      </x:c>
      <x:c r="AC1719" s="12" t="str">
        <x:f>IF(OR(R1719="unavailable",T1719="unavailable"),"不可评价",IF(AND(OR(R1719="positive",R1719="equivocal"),OR(T1719="positive",T1719="equivocal")),"a",IF(OR(T1719="positive",T1719="equivocal"),"b",IF(OR(R1719="positive",R1719="equivocal"),"c","d"))))</x:f>
        <x:v>d</x:v>
      </x:c>
      <x:c r="AD1719" s="12" t="str">
        <x:f>IF(OR(R1719="unavailable",T1719="unavailable"),"不可评价",IF(AND(R1719="positive",T1719="positive"),"a",IF(T1719="positive","b",IF(R1719="positive","c","d"))))</x:f>
        <x:v>d</x:v>
      </x:c>
      <x:c r="AE1719" s="12" t="str">
        <x:f>IF(OR(W1719="unavailable",Y1719="unavailable"),"不可评价",IF(AND(OR(W1719="positive",W1719="equivocal"),OR(Y1719="positive",Y1719="equivocal")),"a",IF(OR(Y1719="positive",Y1719="equivocal"),"b",IF(OR(W1719="positive",W1719="equivocal"),"c","d"))))</x:f>
        <x:v>d</x:v>
      </x:c>
      <x:c r="AF1719" s="12" t="str">
        <x:f>IF(OR(W1719="unavailable",Y1719="unavailable"),"不可评价",IF(AND(W1719="positive",Y1719="positive"),"a",IF(Y1719="positive","b",IF(W1719="positive","c","d"))))</x:f>
        <x:v>d</x:v>
      </x:c>
    </x:row>
    <x:row r="1720" ht="24" customHeight="1">
      <x:c r="A1720" s="12" t="str">
        <x:v>16187</x:v>
      </x:c>
      <x:c r="B1720" s="12" t="str">
        <x:v>14199</x:v>
      </x:c>
      <x:c r="C1720" s="21" t="n">
        <x:v>35238.46288194445</x:v>
      </x:c>
      <x:c r="D1720" s="12" t="n">
        <x:v>46</x:v>
      </x:c>
      <x:c r="E1720" s="12" t="n">
        <x:v>1</x:v>
      </x:c>
      <x:c r="F1720" s="12" t="str">
        <x:v>未记录</x:v>
      </x:c>
      <x:c r="G1720" s="12" t="n">
        <x:v>0</x:v>
      </x:c>
      <x:c r="H1720" s="12" t="str">
        <x:v>{'NORM': 100.0, 'SR': 0.0}</x:v>
      </x:c>
      <x:c r="I1720" s="12" t="str">
        <x:v>[('NSR', 100.0), ('NML', 100.0)]</x:v>
      </x:c>
      <x:c r="J1720" s="12" t="str">
        <x:v>ptbxl_database.csv；ecg_id=16187；scp_codes</x:v>
      </x:c>
      <x:c r="K1720" s="12" t="str">
        <x:v>12sl_statements.csv；ecg_id=16187；statements_ext_snomed</x:v>
      </x:c>
      <x:c r="L1720" s="12"/>
      <x:c r="M1720" s="12" t="str">
        <x:v>negative</x:v>
      </x:c>
      <x:c r="N1720" s="12"/>
      <x:c r="O1720" s="12" t="str">
        <x:v>negative</x:v>
      </x:c>
      <x:c r="P1720" s="12" t="str">
        <x:f>IF(OR(M1720="unavailable",O1720="unavailable"),"不可评价",IF(OR(M1720="equivocal",O1720="equivocal"),"疑似",IF(AND(M1720="positive",O1720="positive"),"a",IF(O1720="positive","b",IF(M1720="positive","c","d")))))</x:f>
        <x:v>d</x:v>
      </x:c>
      <x:c r="Q1720" s="12"/>
      <x:c r="R1720" s="12" t="str">
        <x:v>negative</x:v>
      </x:c>
      <x:c r="S1720" s="12"/>
      <x:c r="T1720" s="12" t="str">
        <x:v>negative</x:v>
      </x:c>
      <x:c r="U1720" s="12" t="str">
        <x:f>IF(OR(R1720="unavailable",T1720="unavailable"),"不可评价",IF(OR(R1720="equivocal",T1720="equivocal"),"疑似",IF(AND(R1720="positive",T1720="positive"),"a",IF(T1720="positive","b",IF(R1720="positive","c","d")))))</x:f>
        <x:v>d</x:v>
      </x:c>
      <x:c r="V1720" s="12"/>
      <x:c r="W1720" s="12" t="str">
        <x:v>negative</x:v>
      </x:c>
      <x:c r="X1720" s="12"/>
      <x:c r="Y1720" s="12" t="str">
        <x:v>negative</x:v>
      </x:c>
      <x:c r="Z1720" s="12" t="str">
        <x:f>IF(OR(W1720="unavailable",Y1720="unavailable"),"不可评价",IF(OR(W1720="equivocal",Y1720="equivocal"),"疑似",IF(AND(W1720="positive",Y1720="positive"),"a",IF(Y1720="positive","b",IF(W1720="positive","c","d")))))</x:f>
        <x:v>d</x:v>
      </x:c>
      <x:c r="AA1720" s="12" t="str">
        <x:f>IF(OR(M1720="unavailable",O1720="unavailable"),"不可评价",IF(AND(OR(M1720="positive",M1720="equivocal"),OR(O1720="positive",O1720="equivocal")),"a",IF(OR(O1720="positive",O1720="equivocal"),"b",IF(OR(M1720="positive",M1720="equivocal"),"c","d"))))</x:f>
        <x:v>d</x:v>
      </x:c>
      <x:c r="AB1720" s="12" t="str">
        <x:f>IF(OR(M1720="unavailable",O1720="unavailable"),"不可评价",IF(AND(M1720="positive",O1720="positive"),"a",IF(O1720="positive","b",IF(M1720="positive","c","d"))))</x:f>
        <x:v>d</x:v>
      </x:c>
      <x:c r="AC1720" s="12" t="str">
        <x:f>IF(OR(R1720="unavailable",T1720="unavailable"),"不可评价",IF(AND(OR(R1720="positive",R1720="equivocal"),OR(T1720="positive",T1720="equivocal")),"a",IF(OR(T1720="positive",T1720="equivocal"),"b",IF(OR(R1720="positive",R1720="equivocal"),"c","d"))))</x:f>
        <x:v>d</x:v>
      </x:c>
      <x:c r="AD1720" s="12" t="str">
        <x:f>IF(OR(R1720="unavailable",T1720="unavailable"),"不可评价",IF(AND(R1720="positive",T1720="positive"),"a",IF(T1720="positive","b",IF(R1720="positive","c","d"))))</x:f>
        <x:v>d</x:v>
      </x:c>
      <x:c r="AE1720" s="12" t="str">
        <x:f>IF(OR(W1720="unavailable",Y1720="unavailable"),"不可评价",IF(AND(OR(W1720="positive",W1720="equivocal"),OR(Y1720="positive",Y1720="equivocal")),"a",IF(OR(Y1720="positive",Y1720="equivocal"),"b",IF(OR(W1720="positive",W1720="equivocal"),"c","d"))))</x:f>
        <x:v>d</x:v>
      </x:c>
      <x:c r="AF1720" s="12" t="str">
        <x:f>IF(OR(W1720="unavailable",Y1720="unavailable"),"不可评价",IF(AND(W1720="positive",Y1720="positive"),"a",IF(Y1720="positive","b",IF(W1720="positive","c","d"))))</x:f>
        <x:v>d</x:v>
      </x:c>
    </x:row>
    <x:row r="1721" ht="24" customHeight="1">
      <x:c r="A1721" s="12" t="str">
        <x:v>16193</x:v>
      </x:c>
      <x:c r="B1721" s="12" t="str">
        <x:v>8479</x:v>
      </x:c>
      <x:c r="C1721" s="21" t="n">
        <x:v>35239.43976851852</x:v>
      </x:c>
      <x:c r="D1721" s="12" t="n">
        <x:v>43</x:v>
      </x:c>
      <x:c r="E1721" s="12" t="n">
        <x:v>1</x:v>
      </x:c>
      <x:c r="F1721" s="12" t="str">
        <x:v>存在</x:v>
      </x:c>
      <x:c r="G1721" s="12" t="n">
        <x:v>1</x:v>
      </x:c>
      <x:c r="H1721" s="12" t="str">
        <x:v>{'NORM': 100.0, 'ABQRS': 0.0, 'SR': 0.0}</x:v>
      </x:c>
      <x:c r="I1721" s="12" t="str">
        <x:v>[('NSR', 100.0), ('NML', 100.0)]</x:v>
      </x:c>
      <x:c r="J1721" s="12" t="str">
        <x:v>ptbxl_database.csv；ecg_id=16193；scp_codes</x:v>
      </x:c>
      <x:c r="K1721" s="12" t="str">
        <x:v>12sl_statements.csv；ecg_id=16193；statements_ext_snomed</x:v>
      </x:c>
      <x:c r="L1721" s="12"/>
      <x:c r="M1721" s="12" t="str">
        <x:v>negative</x:v>
      </x:c>
      <x:c r="N1721" s="12"/>
      <x:c r="O1721" s="12" t="str">
        <x:v>negative</x:v>
      </x:c>
      <x:c r="P1721" s="12" t="str">
        <x:f>IF(OR(M1721="unavailable",O1721="unavailable"),"不可评价",IF(OR(M1721="equivocal",O1721="equivocal"),"疑似",IF(AND(M1721="positive",O1721="positive"),"a",IF(O1721="positive","b",IF(M1721="positive","c","d")))))</x:f>
        <x:v>d</x:v>
      </x:c>
      <x:c r="Q1721" s="12"/>
      <x:c r="R1721" s="12" t="str">
        <x:v>negative</x:v>
      </x:c>
      <x:c r="S1721" s="12"/>
      <x:c r="T1721" s="12" t="str">
        <x:v>negative</x:v>
      </x:c>
      <x:c r="U1721" s="12" t="str">
        <x:f>IF(OR(R1721="unavailable",T1721="unavailable"),"不可评价",IF(OR(R1721="equivocal",T1721="equivocal"),"疑似",IF(AND(R1721="positive",T1721="positive"),"a",IF(T1721="positive","b",IF(R1721="positive","c","d")))))</x:f>
        <x:v>d</x:v>
      </x:c>
      <x:c r="V1721" s="12"/>
      <x:c r="W1721" s="12" t="str">
        <x:v>negative</x:v>
      </x:c>
      <x:c r="X1721" s="12"/>
      <x:c r="Y1721" s="12" t="str">
        <x:v>negative</x:v>
      </x:c>
      <x:c r="Z1721" s="12" t="str">
        <x:f>IF(OR(W1721="unavailable",Y1721="unavailable"),"不可评价",IF(OR(W1721="equivocal",Y1721="equivocal"),"疑似",IF(AND(W1721="positive",Y1721="positive"),"a",IF(Y1721="positive","b",IF(W1721="positive","c","d")))))</x:f>
        <x:v>d</x:v>
      </x:c>
      <x:c r="AA1721" s="12" t="str">
        <x:f>IF(OR(M1721="unavailable",O1721="unavailable"),"不可评价",IF(AND(OR(M1721="positive",M1721="equivocal"),OR(O1721="positive",O1721="equivocal")),"a",IF(OR(O1721="positive",O1721="equivocal"),"b",IF(OR(M1721="positive",M1721="equivocal"),"c","d"))))</x:f>
        <x:v>d</x:v>
      </x:c>
      <x:c r="AB1721" s="12" t="str">
        <x:f>IF(OR(M1721="unavailable",O1721="unavailable"),"不可评价",IF(AND(M1721="positive",O1721="positive"),"a",IF(O1721="positive","b",IF(M1721="positive","c","d"))))</x:f>
        <x:v>d</x:v>
      </x:c>
      <x:c r="AC1721" s="12" t="str">
        <x:f>IF(OR(R1721="unavailable",T1721="unavailable"),"不可评价",IF(AND(OR(R1721="positive",R1721="equivocal"),OR(T1721="positive",T1721="equivocal")),"a",IF(OR(T1721="positive",T1721="equivocal"),"b",IF(OR(R1721="positive",R1721="equivocal"),"c","d"))))</x:f>
        <x:v>d</x:v>
      </x:c>
      <x:c r="AD1721" s="12" t="str">
        <x:f>IF(OR(R1721="unavailable",T1721="unavailable"),"不可评价",IF(AND(R1721="positive",T1721="positive"),"a",IF(T1721="positive","b",IF(R1721="positive","c","d"))))</x:f>
        <x:v>d</x:v>
      </x:c>
      <x:c r="AE1721" s="12" t="str">
        <x:f>IF(OR(W1721="unavailable",Y1721="unavailable"),"不可评价",IF(AND(OR(W1721="positive",W1721="equivocal"),OR(Y1721="positive",Y1721="equivocal")),"a",IF(OR(Y1721="positive",Y1721="equivocal"),"b",IF(OR(W1721="positive",W1721="equivocal"),"c","d"))))</x:f>
        <x:v>d</x:v>
      </x:c>
      <x:c r="AF1721" s="12" t="str">
        <x:f>IF(OR(W1721="unavailable",Y1721="unavailable"),"不可评价",IF(AND(W1721="positive",Y1721="positive"),"a",IF(Y1721="positive","b",IF(W1721="positive","c","d"))))</x:f>
        <x:v>d</x:v>
      </x:c>
    </x:row>
    <x:row r="1722" ht="24" customHeight="1">
      <x:c r="A1722" s="12" t="str">
        <x:v>16205</x:v>
      </x:c>
      <x:c r="B1722" s="12" t="str">
        <x:v>5432</x:v>
      </x:c>
      <x:c r="C1722" s="21" t="n">
        <x:v>35240.40466435185</x:v>
      </x:c>
      <x:c r="D1722" s="12" t="n">
        <x:v>64</x:v>
      </x:c>
      <x:c r="E1722" s="12" t="n">
        <x:v>0</x:v>
      </x:c>
      <x:c r="F1722" s="12" t="str">
        <x:v>未记录</x:v>
      </x:c>
      <x:c r="G1722" s="12" t="n">
        <x:v>1</x:v>
      </x:c>
      <x:c r="H1722" s="12" t="str">
        <x:v>{'NORM': 80.0, 'IRBBB': 100.0, 'SR': 0.0}</x:v>
      </x:c>
      <x:c r="I1722" s="12" t="str">
        <x:v>[('SBRAD', 100.0), ('ABR', 100.0)]</x:v>
      </x:c>
      <x:c r="J1722" s="12" t="str">
        <x:v>ptbxl_database.csv；ecg_id=16205；scp_codes</x:v>
      </x:c>
      <x:c r="K1722" s="12" t="str">
        <x:v>12sl_statements.csv；ecg_id=16205；statements_ext_snomed</x:v>
      </x:c>
      <x:c r="L1722" s="12"/>
      <x:c r="M1722" s="12" t="str">
        <x:v>negative</x:v>
      </x:c>
      <x:c r="N1722" s="12"/>
      <x:c r="O1722" s="12" t="str">
        <x:v>negative</x:v>
      </x:c>
      <x:c r="P1722" s="12" t="str">
        <x:f>IF(OR(M1722="unavailable",O1722="unavailable"),"不可评价",IF(OR(M1722="equivocal",O1722="equivocal"),"疑似",IF(AND(M1722="positive",O1722="positive"),"a",IF(O1722="positive","b",IF(M1722="positive","c","d")))))</x:f>
        <x:v>d</x:v>
      </x:c>
      <x:c r="Q1722" s="12"/>
      <x:c r="R1722" s="12" t="str">
        <x:v>negative</x:v>
      </x:c>
      <x:c r="S1722" s="12"/>
      <x:c r="T1722" s="12" t="str">
        <x:v>negative</x:v>
      </x:c>
      <x:c r="U1722" s="12" t="str">
        <x:f>IF(OR(R1722="unavailable",T1722="unavailable"),"不可评价",IF(OR(R1722="equivocal",T1722="equivocal"),"疑似",IF(AND(R1722="positive",T1722="positive"),"a",IF(T1722="positive","b",IF(R1722="positive","c","d")))))</x:f>
        <x:v>d</x:v>
      </x:c>
      <x:c r="V1722" s="12"/>
      <x:c r="W1722" s="12" t="str">
        <x:v>negative</x:v>
      </x:c>
      <x:c r="X1722" s="12"/>
      <x:c r="Y1722" s="12" t="str">
        <x:v>negative</x:v>
      </x:c>
      <x:c r="Z1722" s="12" t="str">
        <x:f>IF(OR(W1722="unavailable",Y1722="unavailable"),"不可评价",IF(OR(W1722="equivocal",Y1722="equivocal"),"疑似",IF(AND(W1722="positive",Y1722="positive"),"a",IF(Y1722="positive","b",IF(W1722="positive","c","d")))))</x:f>
        <x:v>d</x:v>
      </x:c>
      <x:c r="AA1722" s="12" t="str">
        <x:f>IF(OR(M1722="unavailable",O1722="unavailable"),"不可评价",IF(AND(OR(M1722="positive",M1722="equivocal"),OR(O1722="positive",O1722="equivocal")),"a",IF(OR(O1722="positive",O1722="equivocal"),"b",IF(OR(M1722="positive",M1722="equivocal"),"c","d"))))</x:f>
        <x:v>d</x:v>
      </x:c>
      <x:c r="AB1722" s="12" t="str">
        <x:f>IF(OR(M1722="unavailable",O1722="unavailable"),"不可评价",IF(AND(M1722="positive",O1722="positive"),"a",IF(O1722="positive","b",IF(M1722="positive","c","d"))))</x:f>
        <x:v>d</x:v>
      </x:c>
      <x:c r="AC1722" s="12" t="str">
        <x:f>IF(OR(R1722="unavailable",T1722="unavailable"),"不可评价",IF(AND(OR(R1722="positive",R1722="equivocal"),OR(T1722="positive",T1722="equivocal")),"a",IF(OR(T1722="positive",T1722="equivocal"),"b",IF(OR(R1722="positive",R1722="equivocal"),"c","d"))))</x:f>
        <x:v>d</x:v>
      </x:c>
      <x:c r="AD1722" s="12" t="str">
        <x:f>IF(OR(R1722="unavailable",T1722="unavailable"),"不可评价",IF(AND(R1722="positive",T1722="positive"),"a",IF(T1722="positive","b",IF(R1722="positive","c","d"))))</x:f>
        <x:v>d</x:v>
      </x:c>
      <x:c r="AE1722" s="12" t="str">
        <x:f>IF(OR(W1722="unavailable",Y1722="unavailable"),"不可评价",IF(AND(OR(W1722="positive",W1722="equivocal"),OR(Y1722="positive",Y1722="equivocal")),"a",IF(OR(Y1722="positive",Y1722="equivocal"),"b",IF(OR(W1722="positive",W1722="equivocal"),"c","d"))))</x:f>
        <x:v>d</x:v>
      </x:c>
      <x:c r="AF1722" s="12" t="str">
        <x:f>IF(OR(W1722="unavailable",Y1722="unavailable"),"不可评价",IF(AND(W1722="positive",Y1722="positive"),"a",IF(Y1722="positive","b",IF(W1722="positive","c","d"))))</x:f>
        <x:v>d</x:v>
      </x:c>
    </x:row>
    <x:row r="1723" ht="24" customHeight="1">
      <x:c r="A1723" s="12" t="str">
        <x:v>16214</x:v>
      </x:c>
      <x:c r="B1723" s="12" t="str">
        <x:v>2958</x:v>
      </x:c>
      <x:c r="C1723" s="21" t="n">
        <x:v>35241.38586805556</x:v>
      </x:c>
      <x:c r="D1723" s="12" t="n">
        <x:v>61</x:v>
      </x:c>
      <x:c r="E1723" s="12" t="n">
        <x:v>1</x:v>
      </x:c>
      <x:c r="F1723" s="12" t="str">
        <x:v>未记录</x:v>
      </x:c>
      <x:c r="G1723" s="12" t="n">
        <x:v>1</x:v>
      </x:c>
      <x:c r="H1723" s="12" t="str">
        <x:v>{'NDT': 100.0, 'LVH': 15.0, 'LOWT': 0.0, 'STD_': 0.0, 'SR': 0.0}</x:v>
      </x:c>
      <x:c r="I1723" s="12" t="str">
        <x:v>[('NSR', 100.0), ('NT', 100.0), ('LNGQT', 100.0), ('AB', 100.0)]</x:v>
      </x:c>
      <x:c r="J1723" s="12" t="str">
        <x:v>ptbxl_database.csv；ecg_id=16214；scp_codes</x:v>
      </x:c>
      <x:c r="K1723" s="12" t="str">
        <x:v>12sl_statements.csv；ecg_id=16214；statements_ext_snomed</x:v>
      </x:c>
      <x:c r="L1723" s="12"/>
      <x:c r="M1723" s="12" t="str">
        <x:v>negative</x:v>
      </x:c>
      <x:c r="N1723" s="12"/>
      <x:c r="O1723" s="12" t="str">
        <x:v>negative</x:v>
      </x:c>
      <x:c r="P1723" s="12" t="str">
        <x:f>IF(OR(M1723="unavailable",O1723="unavailable"),"不可评价",IF(OR(M1723="equivocal",O1723="equivocal"),"疑似",IF(AND(M1723="positive",O1723="positive"),"a",IF(O1723="positive","b",IF(M1723="positive","c","d")))))</x:f>
        <x:v>d</x:v>
      </x:c>
      <x:c r="Q1723" s="12"/>
      <x:c r="R1723" s="12" t="str">
        <x:v>negative</x:v>
      </x:c>
      <x:c r="S1723" s="12"/>
      <x:c r="T1723" s="12" t="str">
        <x:v>negative</x:v>
      </x:c>
      <x:c r="U1723" s="12" t="str">
        <x:f>IF(OR(R1723="unavailable",T1723="unavailable"),"不可评价",IF(OR(R1723="equivocal",T1723="equivocal"),"疑似",IF(AND(R1723="positive",T1723="positive"),"a",IF(T1723="positive","b",IF(R1723="positive","c","d")))))</x:f>
        <x:v>d</x:v>
      </x:c>
      <x:c r="V1723" s="12"/>
      <x:c r="W1723" s="12" t="str">
        <x:v>negative</x:v>
      </x:c>
      <x:c r="X1723" s="12"/>
      <x:c r="Y1723" s="12" t="str">
        <x:v>negative</x:v>
      </x:c>
      <x:c r="Z1723" s="12" t="str">
        <x:f>IF(OR(W1723="unavailable",Y1723="unavailable"),"不可评价",IF(OR(W1723="equivocal",Y1723="equivocal"),"疑似",IF(AND(W1723="positive",Y1723="positive"),"a",IF(Y1723="positive","b",IF(W1723="positive","c","d")))))</x:f>
        <x:v>d</x:v>
      </x:c>
      <x:c r="AA1723" s="12" t="str">
        <x:f>IF(OR(M1723="unavailable",O1723="unavailable"),"不可评价",IF(AND(OR(M1723="positive",M1723="equivocal"),OR(O1723="positive",O1723="equivocal")),"a",IF(OR(O1723="positive",O1723="equivocal"),"b",IF(OR(M1723="positive",M1723="equivocal"),"c","d"))))</x:f>
        <x:v>d</x:v>
      </x:c>
      <x:c r="AB1723" s="12" t="str">
        <x:f>IF(OR(M1723="unavailable",O1723="unavailable"),"不可评价",IF(AND(M1723="positive",O1723="positive"),"a",IF(O1723="positive","b",IF(M1723="positive","c","d"))))</x:f>
        <x:v>d</x:v>
      </x:c>
      <x:c r="AC1723" s="12" t="str">
        <x:f>IF(OR(R1723="unavailable",T1723="unavailable"),"不可评价",IF(AND(OR(R1723="positive",R1723="equivocal"),OR(T1723="positive",T1723="equivocal")),"a",IF(OR(T1723="positive",T1723="equivocal"),"b",IF(OR(R1723="positive",R1723="equivocal"),"c","d"))))</x:f>
        <x:v>d</x:v>
      </x:c>
      <x:c r="AD1723" s="12" t="str">
        <x:f>IF(OR(R1723="unavailable",T1723="unavailable"),"不可评价",IF(AND(R1723="positive",T1723="positive"),"a",IF(T1723="positive","b",IF(R1723="positive","c","d"))))</x:f>
        <x:v>d</x:v>
      </x:c>
      <x:c r="AE1723" s="12" t="str">
        <x:f>IF(OR(W1723="unavailable",Y1723="unavailable"),"不可评价",IF(AND(OR(W1723="positive",W1723="equivocal"),OR(Y1723="positive",Y1723="equivocal")),"a",IF(OR(Y1723="positive",Y1723="equivocal"),"b",IF(OR(W1723="positive",W1723="equivocal"),"c","d"))))</x:f>
        <x:v>d</x:v>
      </x:c>
      <x:c r="AF1723" s="12" t="str">
        <x:f>IF(OR(W1723="unavailable",Y1723="unavailable"),"不可评价",IF(AND(W1723="positive",Y1723="positive"),"a",IF(Y1723="positive","b",IF(W1723="positive","c","d"))))</x:f>
        <x:v>d</x:v>
      </x:c>
    </x:row>
    <x:row r="1724" ht="24" customHeight="1">
      <x:c r="A1724" s="12" t="str">
        <x:v>16224</x:v>
      </x:c>
      <x:c r="B1724" s="12" t="str">
        <x:v>10958</x:v>
      </x:c>
      <x:c r="C1724" s="21" t="n">
        <x:v>35243.46759259259</x:v>
      </x:c>
      <x:c r="D1724" s="12" t="n">
        <x:v>69</x:v>
      </x:c>
      <x:c r="E1724" s="12" t="n">
        <x:v>1</x:v>
      </x:c>
      <x:c r="F1724" s="12" t="str">
        <x:v>存在</x:v>
      </x:c>
      <x:c r="G1724" s="12" t="n">
        <x:v>1</x:v>
      </x:c>
      <x:c r="H1724" s="12" t="str">
        <x:v>{'ISCAL': 100.0, 'LVH': 50.0, 'SR': 0.0}</x:v>
      </x:c>
      <x:c r="I1724" s="12" t="str">
        <x:v>[('SBRAD', 100.0), ('LVH2', 100.0), ('2ST', 100.0), ('AB', 100.0)]</x:v>
      </x:c>
      <x:c r="J1724" s="12" t="str">
        <x:v>ptbxl_database.csv；ecg_id=16224；scp_codes</x:v>
      </x:c>
      <x:c r="K1724" s="12" t="str">
        <x:v>12sl_statements.csv；ecg_id=16224；statements_ext_snomed</x:v>
      </x:c>
      <x:c r="L1724" s="12"/>
      <x:c r="M1724" s="12" t="str">
        <x:v>negative</x:v>
      </x:c>
      <x:c r="N1724" s="12"/>
      <x:c r="O1724" s="12" t="str">
        <x:v>negative</x:v>
      </x:c>
      <x:c r="P1724" s="12" t="str">
        <x:f>IF(OR(M1724="unavailable",O1724="unavailable"),"不可评价",IF(OR(M1724="equivocal",O1724="equivocal"),"疑似",IF(AND(M1724="positive",O1724="positive"),"a",IF(O1724="positive","b",IF(M1724="positive","c","d")))))</x:f>
        <x:v>d</x:v>
      </x:c>
      <x:c r="Q1724" s="12"/>
      <x:c r="R1724" s="12" t="str">
        <x:v>negative</x:v>
      </x:c>
      <x:c r="S1724" s="12"/>
      <x:c r="T1724" s="12" t="str">
        <x:v>negative</x:v>
      </x:c>
      <x:c r="U1724" s="12" t="str">
        <x:f>IF(OR(R1724="unavailable",T1724="unavailable"),"不可评价",IF(OR(R1724="equivocal",T1724="equivocal"),"疑似",IF(AND(R1724="positive",T1724="positive"),"a",IF(T1724="positive","b",IF(R1724="positive","c","d")))))</x:f>
        <x:v>d</x:v>
      </x:c>
      <x:c r="V1724" s="12"/>
      <x:c r="W1724" s="12" t="str">
        <x:v>negative</x:v>
      </x:c>
      <x:c r="X1724" s="12"/>
      <x:c r="Y1724" s="12" t="str">
        <x:v>negative</x:v>
      </x:c>
      <x:c r="Z1724" s="12" t="str">
        <x:f>IF(OR(W1724="unavailable",Y1724="unavailable"),"不可评价",IF(OR(W1724="equivocal",Y1724="equivocal"),"疑似",IF(AND(W1724="positive",Y1724="positive"),"a",IF(Y1724="positive","b",IF(W1724="positive","c","d")))))</x:f>
        <x:v>d</x:v>
      </x:c>
      <x:c r="AA1724" s="12" t="str">
        <x:f>IF(OR(M1724="unavailable",O1724="unavailable"),"不可评价",IF(AND(OR(M1724="positive",M1724="equivocal"),OR(O1724="positive",O1724="equivocal")),"a",IF(OR(O1724="positive",O1724="equivocal"),"b",IF(OR(M1724="positive",M1724="equivocal"),"c","d"))))</x:f>
        <x:v>d</x:v>
      </x:c>
      <x:c r="AB1724" s="12" t="str">
        <x:f>IF(OR(M1724="unavailable",O1724="unavailable"),"不可评价",IF(AND(M1724="positive",O1724="positive"),"a",IF(O1724="positive","b",IF(M1724="positive","c","d"))))</x:f>
        <x:v>d</x:v>
      </x:c>
      <x:c r="AC1724" s="12" t="str">
        <x:f>IF(OR(R1724="unavailable",T1724="unavailable"),"不可评价",IF(AND(OR(R1724="positive",R1724="equivocal"),OR(T1724="positive",T1724="equivocal")),"a",IF(OR(T1724="positive",T1724="equivocal"),"b",IF(OR(R1724="positive",R1724="equivocal"),"c","d"))))</x:f>
        <x:v>d</x:v>
      </x:c>
      <x:c r="AD1724" s="12" t="str">
        <x:f>IF(OR(R1724="unavailable",T1724="unavailable"),"不可评价",IF(AND(R1724="positive",T1724="positive"),"a",IF(T1724="positive","b",IF(R1724="positive","c","d"))))</x:f>
        <x:v>d</x:v>
      </x:c>
      <x:c r="AE1724" s="12" t="str">
        <x:f>IF(OR(W1724="unavailable",Y1724="unavailable"),"不可评价",IF(AND(OR(W1724="positive",W1724="equivocal"),OR(Y1724="positive",Y1724="equivocal")),"a",IF(OR(Y1724="positive",Y1724="equivocal"),"b",IF(OR(W1724="positive",W1724="equivocal"),"c","d"))))</x:f>
        <x:v>d</x:v>
      </x:c>
      <x:c r="AF1724" s="12" t="str">
        <x:f>IF(OR(W1724="unavailable",Y1724="unavailable"),"不可评价",IF(AND(W1724="positive",Y1724="positive"),"a",IF(Y1724="positive","b",IF(W1724="positive","c","d"))))</x:f>
        <x:v>d</x:v>
      </x:c>
    </x:row>
    <x:row r="1725" ht="24" customHeight="1">
      <x:c r="A1725" s="12" t="str">
        <x:v>16225</x:v>
      </x:c>
      <x:c r="B1725" s="12" t="str">
        <x:v>12511</x:v>
      </x:c>
      <x:c r="C1725" s="21" t="n">
        <x:v>35243.572592592594</x:v>
      </x:c>
      <x:c r="D1725" s="12" t="n">
        <x:v>66</x:v>
      </x:c>
      <x:c r="E1725" s="12" t="n">
        <x:v>1</x:v>
      </x:c>
      <x:c r="F1725" s="12" t="str">
        <x:v>未记录</x:v>
      </x:c>
      <x:c r="G1725" s="12" t="n">
        <x:v>1</x:v>
      </x:c>
      <x:c r="H1725" s="12" t="str">
        <x:v>{'IMI': 50.0, 'ASMI': 50.0, 'ABQRS': 0.0, 'SR': 0.0}</x:v>
      </x:c>
      <x:c r="I1725" s="12" t="str">
        <x:v>[('NSR', 100.0), ('IMI;AU', 100.0), ('AMI;AU', 50.0), ('AB', 100.0)]</x:v>
      </x:c>
      <x:c r="J1725" s="12" t="str">
        <x:v>ptbxl_database.csv；ecg_id=16225；scp_codes</x:v>
      </x:c>
      <x:c r="K1725" s="12" t="str">
        <x:v>12sl_statements.csv；ecg_id=16225；statements_ext_snomed</x:v>
      </x:c>
      <x:c r="L1725" s="12"/>
      <x:c r="M1725" s="12" t="str">
        <x:v>negative</x:v>
      </x:c>
      <x:c r="N1725" s="12"/>
      <x:c r="O1725" s="12" t="str">
        <x:v>negative</x:v>
      </x:c>
      <x:c r="P1725" s="12" t="str">
        <x:f>IF(OR(M1725="unavailable",O1725="unavailable"),"不可评价",IF(OR(M1725="equivocal",O1725="equivocal"),"疑似",IF(AND(M1725="positive",O1725="positive"),"a",IF(O1725="positive","b",IF(M1725="positive","c","d")))))</x:f>
        <x:v>d</x:v>
      </x:c>
      <x:c r="Q1725" s="12"/>
      <x:c r="R1725" s="12" t="str">
        <x:v>negative</x:v>
      </x:c>
      <x:c r="S1725" s="12"/>
      <x:c r="T1725" s="12" t="str">
        <x:v>negative</x:v>
      </x:c>
      <x:c r="U1725" s="12" t="str">
        <x:f>IF(OR(R1725="unavailable",T1725="unavailable"),"不可评价",IF(OR(R1725="equivocal",T1725="equivocal"),"疑似",IF(AND(R1725="positive",T1725="positive"),"a",IF(T1725="positive","b",IF(R1725="positive","c","d")))))</x:f>
        <x:v>d</x:v>
      </x:c>
      <x:c r="V1725" s="12"/>
      <x:c r="W1725" s="12" t="str">
        <x:v>negative</x:v>
      </x:c>
      <x:c r="X1725" s="12"/>
      <x:c r="Y1725" s="12" t="str">
        <x:v>negative</x:v>
      </x:c>
      <x:c r="Z1725" s="12" t="str">
        <x:f>IF(OR(W1725="unavailable",Y1725="unavailable"),"不可评价",IF(OR(W1725="equivocal",Y1725="equivocal"),"疑似",IF(AND(W1725="positive",Y1725="positive"),"a",IF(Y1725="positive","b",IF(W1725="positive","c","d")))))</x:f>
        <x:v>d</x:v>
      </x:c>
      <x:c r="AA1725" s="12" t="str">
        <x:f>IF(OR(M1725="unavailable",O1725="unavailable"),"不可评价",IF(AND(OR(M1725="positive",M1725="equivocal"),OR(O1725="positive",O1725="equivocal")),"a",IF(OR(O1725="positive",O1725="equivocal"),"b",IF(OR(M1725="positive",M1725="equivocal"),"c","d"))))</x:f>
        <x:v>d</x:v>
      </x:c>
      <x:c r="AB1725" s="12" t="str">
        <x:f>IF(OR(M1725="unavailable",O1725="unavailable"),"不可评价",IF(AND(M1725="positive",O1725="positive"),"a",IF(O1725="positive","b",IF(M1725="positive","c","d"))))</x:f>
        <x:v>d</x:v>
      </x:c>
      <x:c r="AC1725" s="12" t="str">
        <x:f>IF(OR(R1725="unavailable",T1725="unavailable"),"不可评价",IF(AND(OR(R1725="positive",R1725="equivocal"),OR(T1725="positive",T1725="equivocal")),"a",IF(OR(T1725="positive",T1725="equivocal"),"b",IF(OR(R1725="positive",R1725="equivocal"),"c","d"))))</x:f>
        <x:v>d</x:v>
      </x:c>
      <x:c r="AD1725" s="12" t="str">
        <x:f>IF(OR(R1725="unavailable",T1725="unavailable"),"不可评价",IF(AND(R1725="positive",T1725="positive"),"a",IF(T1725="positive","b",IF(R1725="positive","c","d"))))</x:f>
        <x:v>d</x:v>
      </x:c>
      <x:c r="AE1725" s="12" t="str">
        <x:f>IF(OR(W1725="unavailable",Y1725="unavailable"),"不可评价",IF(AND(OR(W1725="positive",W1725="equivocal"),OR(Y1725="positive",Y1725="equivocal")),"a",IF(OR(Y1725="positive",Y1725="equivocal"),"b",IF(OR(W1725="positive",W1725="equivocal"),"c","d"))))</x:f>
        <x:v>d</x:v>
      </x:c>
      <x:c r="AF1725" s="12" t="str">
        <x:f>IF(OR(W1725="unavailable",Y1725="unavailable"),"不可评价",IF(AND(W1725="positive",Y1725="positive"),"a",IF(Y1725="positive","b",IF(W1725="positive","c","d"))))</x:f>
        <x:v>d</x:v>
      </x:c>
    </x:row>
    <x:row r="1726" ht="24" customHeight="1">
      <x:c r="A1726" s="12" t="str">
        <x:v>16233</x:v>
      </x:c>
      <x:c r="B1726" s="12" t="str">
        <x:v>5558</x:v>
      </x:c>
      <x:c r="C1726" s="21" t="n">
        <x:v>35244.55951388889</x:v>
      </x:c>
      <x:c r="D1726" s="12" t="n">
        <x:v>24</x:v>
      </x:c>
      <x:c r="E1726" s="12" t="n">
        <x:v>1</x:v>
      </x:c>
      <x:c r="F1726" s="12" t="str">
        <x:v>未记录</x:v>
      </x:c>
      <x:c r="G1726" s="12" t="n">
        <x:v>1</x:v>
      </x:c>
      <x:c r="H1726" s="12" t="str">
        <x:v>{'NORM': 100.0, 'SARRH': 0.0}</x:v>
      </x:c>
      <x:c r="I1726" s="12" t="str">
        <x:v>[('SBRAD', 100.0), ('SAR', 100.0), ('BORDE', 100.0)]</x:v>
      </x:c>
      <x:c r="J1726" s="12" t="str">
        <x:v>ptbxl_database.csv；ecg_id=16233；scp_codes</x:v>
      </x:c>
      <x:c r="K1726" s="12" t="str">
        <x:v>12sl_statements.csv；ecg_id=16233；statements_ext_snomed</x:v>
      </x:c>
      <x:c r="L1726" s="12"/>
      <x:c r="M1726" s="12" t="str">
        <x:v>negative</x:v>
      </x:c>
      <x:c r="N1726" s="12"/>
      <x:c r="O1726" s="12" t="str">
        <x:v>negative</x:v>
      </x:c>
      <x:c r="P1726" s="12" t="str">
        <x:f>IF(OR(M1726="unavailable",O1726="unavailable"),"不可评价",IF(OR(M1726="equivocal",O1726="equivocal"),"疑似",IF(AND(M1726="positive",O1726="positive"),"a",IF(O1726="positive","b",IF(M1726="positive","c","d")))))</x:f>
        <x:v>d</x:v>
      </x:c>
      <x:c r="Q1726" s="12"/>
      <x:c r="R1726" s="12" t="str">
        <x:v>negative</x:v>
      </x:c>
      <x:c r="S1726" s="12"/>
      <x:c r="T1726" s="12" t="str">
        <x:v>negative</x:v>
      </x:c>
      <x:c r="U1726" s="12" t="str">
        <x:f>IF(OR(R1726="unavailable",T1726="unavailable"),"不可评价",IF(OR(R1726="equivocal",T1726="equivocal"),"疑似",IF(AND(R1726="positive",T1726="positive"),"a",IF(T1726="positive","b",IF(R1726="positive","c","d")))))</x:f>
        <x:v>d</x:v>
      </x:c>
      <x:c r="V1726" s="12"/>
      <x:c r="W1726" s="12" t="str">
        <x:v>negative</x:v>
      </x:c>
      <x:c r="X1726" s="12"/>
      <x:c r="Y1726" s="12" t="str">
        <x:v>negative</x:v>
      </x:c>
      <x:c r="Z1726" s="12" t="str">
        <x:f>IF(OR(W1726="unavailable",Y1726="unavailable"),"不可评价",IF(OR(W1726="equivocal",Y1726="equivocal"),"疑似",IF(AND(W1726="positive",Y1726="positive"),"a",IF(Y1726="positive","b",IF(W1726="positive","c","d")))))</x:f>
        <x:v>d</x:v>
      </x:c>
      <x:c r="AA1726" s="12" t="str">
        <x:f>IF(OR(M1726="unavailable",O1726="unavailable"),"不可评价",IF(AND(OR(M1726="positive",M1726="equivocal"),OR(O1726="positive",O1726="equivocal")),"a",IF(OR(O1726="positive",O1726="equivocal"),"b",IF(OR(M1726="positive",M1726="equivocal"),"c","d"))))</x:f>
        <x:v>d</x:v>
      </x:c>
      <x:c r="AB1726" s="12" t="str">
        <x:f>IF(OR(M1726="unavailable",O1726="unavailable"),"不可评价",IF(AND(M1726="positive",O1726="positive"),"a",IF(O1726="positive","b",IF(M1726="positive","c","d"))))</x:f>
        <x:v>d</x:v>
      </x:c>
      <x:c r="AC1726" s="12" t="str">
        <x:f>IF(OR(R1726="unavailable",T1726="unavailable"),"不可评价",IF(AND(OR(R1726="positive",R1726="equivocal"),OR(T1726="positive",T1726="equivocal")),"a",IF(OR(T1726="positive",T1726="equivocal"),"b",IF(OR(R1726="positive",R1726="equivocal"),"c","d"))))</x:f>
        <x:v>d</x:v>
      </x:c>
      <x:c r="AD1726" s="12" t="str">
        <x:f>IF(OR(R1726="unavailable",T1726="unavailable"),"不可评价",IF(AND(R1726="positive",T1726="positive"),"a",IF(T1726="positive","b",IF(R1726="positive","c","d"))))</x:f>
        <x:v>d</x:v>
      </x:c>
      <x:c r="AE1726" s="12" t="str">
        <x:f>IF(OR(W1726="unavailable",Y1726="unavailable"),"不可评价",IF(AND(OR(W1726="positive",W1726="equivocal"),OR(Y1726="positive",Y1726="equivocal")),"a",IF(OR(Y1726="positive",Y1726="equivocal"),"b",IF(OR(W1726="positive",W1726="equivocal"),"c","d"))))</x:f>
        <x:v>d</x:v>
      </x:c>
      <x:c r="AF1726" s="12" t="str">
        <x:f>IF(OR(W1726="unavailable",Y1726="unavailable"),"不可评价",IF(AND(W1726="positive",Y1726="positive"),"a",IF(Y1726="positive","b",IF(W1726="positive","c","d"))))</x:f>
        <x:v>d</x:v>
      </x:c>
    </x:row>
    <x:row r="1727" ht="24" customHeight="1">
      <x:c r="A1727" s="12" t="str">
        <x:v>16239</x:v>
      </x:c>
      <x:c r="B1727" s="12" t="str">
        <x:v>904</x:v>
      </x:c>
      <x:c r="C1727" s="21" t="n">
        <x:v>35244.796064814815</x:v>
      </x:c>
      <x:c r="D1727" s="12" t="n">
        <x:v>79</x:v>
      </x:c>
      <x:c r="E1727" s="12" t="n">
        <x:v>0</x:v>
      </x:c>
      <x:c r="F1727" s="12" t="str">
        <x:v>存在</x:v>
      </x:c>
      <x:c r="G1727" s="12" t="n">
        <x:v>1</x:v>
      </x:c>
      <x:c r="H1727" s="12" t="str">
        <x:v>{'NST_': 100.0}</x:v>
      </x:c>
      <x:c r="I1727" s="12" t="str">
        <x:v>[('AFIB', 100.0), ('ABER', 100.0), ('NT', 100.0), ('LNGQT', 100.0), ('AB', 100.0)]</x:v>
      </x:c>
      <x:c r="J1727" s="12" t="str">
        <x:v>ptbxl_database.csv；ecg_id=16239；scp_codes</x:v>
      </x:c>
      <x:c r="K1727" s="12" t="str">
        <x:v>12sl_statements.csv；ecg_id=16239；statements_ext_snomed</x:v>
      </x:c>
      <x:c r="L1727" s="12"/>
      <x:c r="M1727" s="12" t="str">
        <x:v>negative</x:v>
      </x:c>
      <x:c r="N1727" s="12" t="n">
        <x:v>100</x:v>
      </x:c>
      <x:c r="O1727" s="12" t="str">
        <x:v>positive</x:v>
      </x:c>
      <x:c r="P1727" s="12" t="str">
        <x:f>IF(OR(M1727="unavailable",O1727="unavailable"),"不可评价",IF(OR(M1727="equivocal",O1727="equivocal"),"疑似",IF(AND(M1727="positive",O1727="positive"),"a",IF(O1727="positive","b",IF(M1727="positive","c","d")))))</x:f>
        <x:v>b</x:v>
      </x:c>
      <x:c r="Q1727" s="12"/>
      <x:c r="R1727" s="12" t="str">
        <x:v>negative</x:v>
      </x:c>
      <x:c r="S1727" s="12"/>
      <x:c r="T1727" s="12" t="str">
        <x:v>negative</x:v>
      </x:c>
      <x:c r="U1727" s="12" t="str">
        <x:f>IF(OR(R1727="unavailable",T1727="unavailable"),"不可评价",IF(OR(R1727="equivocal",T1727="equivocal"),"疑似",IF(AND(R1727="positive",T1727="positive"),"a",IF(T1727="positive","b",IF(R1727="positive","c","d")))))</x:f>
        <x:v>d</x:v>
      </x:c>
      <x:c r="V1727" s="12"/>
      <x:c r="W1727" s="12" t="str">
        <x:v>negative</x:v>
      </x:c>
      <x:c r="X1727" s="12"/>
      <x:c r="Y1727" s="12" t="str">
        <x:v>negative</x:v>
      </x:c>
      <x:c r="Z1727" s="12" t="str">
        <x:f>IF(OR(W1727="unavailable",Y1727="unavailable"),"不可评价",IF(OR(W1727="equivocal",Y1727="equivocal"),"疑似",IF(AND(W1727="positive",Y1727="positive"),"a",IF(Y1727="positive","b",IF(W1727="positive","c","d")))))</x:f>
        <x:v>d</x:v>
      </x:c>
      <x:c r="AA1727" s="12" t="str">
        <x:f>IF(OR(M1727="unavailable",O1727="unavailable"),"不可评价",IF(AND(OR(M1727="positive",M1727="equivocal"),OR(O1727="positive",O1727="equivocal")),"a",IF(OR(O1727="positive",O1727="equivocal"),"b",IF(OR(M1727="positive",M1727="equivocal"),"c","d"))))</x:f>
        <x:v>b</x:v>
      </x:c>
      <x:c r="AB1727" s="12" t="str">
        <x:f>IF(OR(M1727="unavailable",O1727="unavailable"),"不可评价",IF(AND(M1727="positive",O1727="positive"),"a",IF(O1727="positive","b",IF(M1727="positive","c","d"))))</x:f>
        <x:v>b</x:v>
      </x:c>
      <x:c r="AC1727" s="12" t="str">
        <x:f>IF(OR(R1727="unavailable",T1727="unavailable"),"不可评价",IF(AND(OR(R1727="positive",R1727="equivocal"),OR(T1727="positive",T1727="equivocal")),"a",IF(OR(T1727="positive",T1727="equivocal"),"b",IF(OR(R1727="positive",R1727="equivocal"),"c","d"))))</x:f>
        <x:v>d</x:v>
      </x:c>
      <x:c r="AD1727" s="12" t="str">
        <x:f>IF(OR(R1727="unavailable",T1727="unavailable"),"不可评价",IF(AND(R1727="positive",T1727="positive"),"a",IF(T1727="positive","b",IF(R1727="positive","c","d"))))</x:f>
        <x:v>d</x:v>
      </x:c>
      <x:c r="AE1727" s="12" t="str">
        <x:f>IF(OR(W1727="unavailable",Y1727="unavailable"),"不可评价",IF(AND(OR(W1727="positive",W1727="equivocal"),OR(Y1727="positive",Y1727="equivocal")),"a",IF(OR(Y1727="positive",Y1727="equivocal"),"b",IF(OR(W1727="positive",W1727="equivocal"),"c","d"))))</x:f>
        <x:v>d</x:v>
      </x:c>
      <x:c r="AF1727" s="12" t="str">
        <x:f>IF(OR(W1727="unavailable",Y1727="unavailable"),"不可评价",IF(AND(W1727="positive",Y1727="positive"),"a",IF(Y1727="positive","b",IF(W1727="positive","c","d"))))</x:f>
        <x:v>d</x:v>
      </x:c>
    </x:row>
    <x:row r="1728" ht="24" customHeight="1">
      <x:c r="A1728" s="12" t="str">
        <x:v>16260</x:v>
      </x:c>
      <x:c r="B1728" s="12" t="str">
        <x:v>3908</x:v>
      </x:c>
      <x:c r="C1728" s="21" t="n">
        <x:v>35246.693090277775</x:v>
      </x:c>
      <x:c r="D1728" s="12" t="n">
        <x:v>89</x:v>
      </x:c>
      <x:c r="E1728" s="12" t="n">
        <x:v>1</x:v>
      </x:c>
      <x:c r="F1728" s="12" t="str">
        <x:v>未记录</x:v>
      </x:c>
      <x:c r="G1728" s="12" t="n">
        <x:v>1</x:v>
      </x:c>
      <x:c r="H1728" s="12" t="str">
        <x:v>{'ILBBB': 100.0, 'NST_': 0.0, 'PVC': 0.0, 'SR': 0.0}</x:v>
      </x:c>
      <x:c r="I1728" s="12" t="str">
        <x:v>[('SRTH', 100.0), ('PVC', 100.0), ('IVCB', 100.0), ('ILT', 100.0), ('AB', 100.0)]</x:v>
      </x:c>
      <x:c r="J1728" s="12" t="str">
        <x:v>ptbxl_database.csv；ecg_id=16260；scp_codes</x:v>
      </x:c>
      <x:c r="K1728" s="12" t="str">
        <x:v>12sl_statements.csv；ecg_id=16260；statements_ext_snomed</x:v>
      </x:c>
      <x:c r="L1728" s="12"/>
      <x:c r="M1728" s="12" t="str">
        <x:v>negative</x:v>
      </x:c>
      <x:c r="N1728" s="12"/>
      <x:c r="O1728" s="12" t="str">
        <x:v>negative</x:v>
      </x:c>
      <x:c r="P1728" s="12" t="str">
        <x:f>IF(OR(M1728="unavailable",O1728="unavailable"),"不可评价",IF(OR(M1728="equivocal",O1728="equivocal"),"疑似",IF(AND(M1728="positive",O1728="positive"),"a",IF(O1728="positive","b",IF(M1728="positive","c","d")))))</x:f>
        <x:v>d</x:v>
      </x:c>
      <x:c r="Q1728" s="12"/>
      <x:c r="R1728" s="12" t="str">
        <x:v>negative</x:v>
      </x:c>
      <x:c r="S1728" s="12"/>
      <x:c r="T1728" s="12" t="str">
        <x:v>negative</x:v>
      </x:c>
      <x:c r="U1728" s="12" t="str">
        <x:f>IF(OR(R1728="unavailable",T1728="unavailable"),"不可评价",IF(OR(R1728="equivocal",T1728="equivocal"),"疑似",IF(AND(R1728="positive",T1728="positive"),"a",IF(T1728="positive","b",IF(R1728="positive","c","d")))))</x:f>
        <x:v>d</x:v>
      </x:c>
      <x:c r="V1728" s="12"/>
      <x:c r="W1728" s="12" t="str">
        <x:v>negative</x:v>
      </x:c>
      <x:c r="X1728" s="12"/>
      <x:c r="Y1728" s="12" t="str">
        <x:v>negative</x:v>
      </x:c>
      <x:c r="Z1728" s="12" t="str">
        <x:f>IF(OR(W1728="unavailable",Y1728="unavailable"),"不可评价",IF(OR(W1728="equivocal",Y1728="equivocal"),"疑似",IF(AND(W1728="positive",Y1728="positive"),"a",IF(Y1728="positive","b",IF(W1728="positive","c","d")))))</x:f>
        <x:v>d</x:v>
      </x:c>
      <x:c r="AA1728" s="12" t="str">
        <x:f>IF(OR(M1728="unavailable",O1728="unavailable"),"不可评价",IF(AND(OR(M1728="positive",M1728="equivocal"),OR(O1728="positive",O1728="equivocal")),"a",IF(OR(O1728="positive",O1728="equivocal"),"b",IF(OR(M1728="positive",M1728="equivocal"),"c","d"))))</x:f>
        <x:v>d</x:v>
      </x:c>
      <x:c r="AB1728" s="12" t="str">
        <x:f>IF(OR(M1728="unavailable",O1728="unavailable"),"不可评价",IF(AND(M1728="positive",O1728="positive"),"a",IF(O1728="positive","b",IF(M1728="positive","c","d"))))</x:f>
        <x:v>d</x:v>
      </x:c>
      <x:c r="AC1728" s="12" t="str">
        <x:f>IF(OR(R1728="unavailable",T1728="unavailable"),"不可评价",IF(AND(OR(R1728="positive",R1728="equivocal"),OR(T1728="positive",T1728="equivocal")),"a",IF(OR(T1728="positive",T1728="equivocal"),"b",IF(OR(R1728="positive",R1728="equivocal"),"c","d"))))</x:f>
        <x:v>d</x:v>
      </x:c>
      <x:c r="AD1728" s="12" t="str">
        <x:f>IF(OR(R1728="unavailable",T1728="unavailable"),"不可评价",IF(AND(R1728="positive",T1728="positive"),"a",IF(T1728="positive","b",IF(R1728="positive","c","d"))))</x:f>
        <x:v>d</x:v>
      </x:c>
      <x:c r="AE1728" s="12" t="str">
        <x:f>IF(OR(W1728="unavailable",Y1728="unavailable"),"不可评价",IF(AND(OR(W1728="positive",W1728="equivocal"),OR(Y1728="positive",Y1728="equivocal")),"a",IF(OR(Y1728="positive",Y1728="equivocal"),"b",IF(OR(W1728="positive",W1728="equivocal"),"c","d"))))</x:f>
        <x:v>d</x:v>
      </x:c>
      <x:c r="AF1728" s="12" t="str">
        <x:f>IF(OR(W1728="unavailable",Y1728="unavailable"),"不可评价",IF(AND(W1728="positive",Y1728="positive"),"a",IF(Y1728="positive","b",IF(W1728="positive","c","d"))))</x:f>
        <x:v>d</x:v>
      </x:c>
    </x:row>
    <x:row r="1729" ht="24" customHeight="1">
      <x:c r="A1729" s="12" t="str">
        <x:v>16261</x:v>
      </x:c>
      <x:c r="B1729" s="12" t="str">
        <x:v>4442</x:v>
      </x:c>
      <x:c r="C1729" s="21" t="n">
        <x:v>35246.73636574074</x:v>
      </x:c>
      <x:c r="D1729" s="12" t="n">
        <x:v>72</x:v>
      </x:c>
      <x:c r="E1729" s="12" t="n">
        <x:v>0</x:v>
      </x:c>
      <x:c r="F1729" s="12" t="str">
        <x:v>未记录</x:v>
      </x:c>
      <x:c r="G1729" s="12" t="n">
        <x:v>1</x:v>
      </x:c>
      <x:c r="H1729" s="12" t="str">
        <x:v>{'NORM': 100.0, 'SR': 0.0}</x:v>
      </x:c>
      <x:c r="I1729" s="12" t="str">
        <x:v>[('NSR', 100.0), ('NML', 100.0)]</x:v>
      </x:c>
      <x:c r="J1729" s="12" t="str">
        <x:v>ptbxl_database.csv；ecg_id=16261；scp_codes</x:v>
      </x:c>
      <x:c r="K1729" s="12" t="str">
        <x:v>12sl_statements.csv；ecg_id=16261；statements_ext_snomed</x:v>
      </x:c>
      <x:c r="L1729" s="12"/>
      <x:c r="M1729" s="12" t="str">
        <x:v>negative</x:v>
      </x:c>
      <x:c r="N1729" s="12"/>
      <x:c r="O1729" s="12" t="str">
        <x:v>negative</x:v>
      </x:c>
      <x:c r="P1729" s="12" t="str">
        <x:f>IF(OR(M1729="unavailable",O1729="unavailable"),"不可评价",IF(OR(M1729="equivocal",O1729="equivocal"),"疑似",IF(AND(M1729="positive",O1729="positive"),"a",IF(O1729="positive","b",IF(M1729="positive","c","d")))))</x:f>
        <x:v>d</x:v>
      </x:c>
      <x:c r="Q1729" s="12"/>
      <x:c r="R1729" s="12" t="str">
        <x:v>negative</x:v>
      </x:c>
      <x:c r="S1729" s="12"/>
      <x:c r="T1729" s="12" t="str">
        <x:v>negative</x:v>
      </x:c>
      <x:c r="U1729" s="12" t="str">
        <x:f>IF(OR(R1729="unavailable",T1729="unavailable"),"不可评价",IF(OR(R1729="equivocal",T1729="equivocal"),"疑似",IF(AND(R1729="positive",T1729="positive"),"a",IF(T1729="positive","b",IF(R1729="positive","c","d")))))</x:f>
        <x:v>d</x:v>
      </x:c>
      <x:c r="V1729" s="12"/>
      <x:c r="W1729" s="12" t="str">
        <x:v>negative</x:v>
      </x:c>
      <x:c r="X1729" s="12"/>
      <x:c r="Y1729" s="12" t="str">
        <x:v>negative</x:v>
      </x:c>
      <x:c r="Z1729" s="12" t="str">
        <x:f>IF(OR(W1729="unavailable",Y1729="unavailable"),"不可评价",IF(OR(W1729="equivocal",Y1729="equivocal"),"疑似",IF(AND(W1729="positive",Y1729="positive"),"a",IF(Y1729="positive","b",IF(W1729="positive","c","d")))))</x:f>
        <x:v>d</x:v>
      </x:c>
      <x:c r="AA1729" s="12" t="str">
        <x:f>IF(OR(M1729="unavailable",O1729="unavailable"),"不可评价",IF(AND(OR(M1729="positive",M1729="equivocal"),OR(O1729="positive",O1729="equivocal")),"a",IF(OR(O1729="positive",O1729="equivocal"),"b",IF(OR(M1729="positive",M1729="equivocal"),"c","d"))))</x:f>
        <x:v>d</x:v>
      </x:c>
      <x:c r="AB1729" s="12" t="str">
        <x:f>IF(OR(M1729="unavailable",O1729="unavailable"),"不可评价",IF(AND(M1729="positive",O1729="positive"),"a",IF(O1729="positive","b",IF(M1729="positive","c","d"))))</x:f>
        <x:v>d</x:v>
      </x:c>
      <x:c r="AC1729" s="12" t="str">
        <x:f>IF(OR(R1729="unavailable",T1729="unavailable"),"不可评价",IF(AND(OR(R1729="positive",R1729="equivocal"),OR(T1729="positive",T1729="equivocal")),"a",IF(OR(T1729="positive",T1729="equivocal"),"b",IF(OR(R1729="positive",R1729="equivocal"),"c","d"))))</x:f>
        <x:v>d</x:v>
      </x:c>
      <x:c r="AD1729" s="12" t="str">
        <x:f>IF(OR(R1729="unavailable",T1729="unavailable"),"不可评价",IF(AND(R1729="positive",T1729="positive"),"a",IF(T1729="positive","b",IF(R1729="positive","c","d"))))</x:f>
        <x:v>d</x:v>
      </x:c>
      <x:c r="AE1729" s="12" t="str">
        <x:f>IF(OR(W1729="unavailable",Y1729="unavailable"),"不可评价",IF(AND(OR(W1729="positive",W1729="equivocal"),OR(Y1729="positive",Y1729="equivocal")),"a",IF(OR(Y1729="positive",Y1729="equivocal"),"b",IF(OR(W1729="positive",W1729="equivocal"),"c","d"))))</x:f>
        <x:v>d</x:v>
      </x:c>
      <x:c r="AF1729" s="12" t="str">
        <x:f>IF(OR(W1729="unavailable",Y1729="unavailable"),"不可评价",IF(AND(W1729="positive",Y1729="positive"),"a",IF(Y1729="positive","b",IF(W1729="positive","c","d"))))</x:f>
        <x:v>d</x:v>
      </x:c>
    </x:row>
    <x:row r="1730" ht="24" customHeight="1">
      <x:c r="A1730" s="12" t="str">
        <x:v>16264</x:v>
      </x:c>
      <x:c r="B1730" s="12" t="str">
        <x:v>19831</x:v>
      </x:c>
      <x:c r="C1730" s="21" t="n">
        <x:v>35247.486354166664</x:v>
      </x:c>
      <x:c r="D1730" s="12" t="n">
        <x:v>52</x:v>
      </x:c>
      <x:c r="E1730" s="12" t="n">
        <x:v>0</x:v>
      </x:c>
      <x:c r="F1730" s="12" t="str">
        <x:v>存在</x:v>
      </x:c>
      <x:c r="G1730" s="12" t="n">
        <x:v>0</x:v>
      </x:c>
      <x:c r="H1730" s="12" t="str">
        <x:v>{'NORM': 80.0, 'SR': 0.0}</x:v>
      </x:c>
      <x:c r="I1730" s="12" t="str">
        <x:v>[('NSR', 100.0), ('NML', 100.0)]</x:v>
      </x:c>
      <x:c r="J1730" s="12" t="str">
        <x:v>ptbxl_database.csv；ecg_id=16264；scp_codes</x:v>
      </x:c>
      <x:c r="K1730" s="12" t="str">
        <x:v>12sl_statements.csv；ecg_id=16264；statements_ext_snomed</x:v>
      </x:c>
      <x:c r="L1730" s="12"/>
      <x:c r="M1730" s="12" t="str">
        <x:v>negative</x:v>
      </x:c>
      <x:c r="N1730" s="12"/>
      <x:c r="O1730" s="12" t="str">
        <x:v>negative</x:v>
      </x:c>
      <x:c r="P1730" s="12" t="str">
        <x:f>IF(OR(M1730="unavailable",O1730="unavailable"),"不可评价",IF(OR(M1730="equivocal",O1730="equivocal"),"疑似",IF(AND(M1730="positive",O1730="positive"),"a",IF(O1730="positive","b",IF(M1730="positive","c","d")))))</x:f>
        <x:v>d</x:v>
      </x:c>
      <x:c r="Q1730" s="12"/>
      <x:c r="R1730" s="12" t="str">
        <x:v>negative</x:v>
      </x:c>
      <x:c r="S1730" s="12"/>
      <x:c r="T1730" s="12" t="str">
        <x:v>negative</x:v>
      </x:c>
      <x:c r="U1730" s="12" t="str">
        <x:f>IF(OR(R1730="unavailable",T1730="unavailable"),"不可评价",IF(OR(R1730="equivocal",T1730="equivocal"),"疑似",IF(AND(R1730="positive",T1730="positive"),"a",IF(T1730="positive","b",IF(R1730="positive","c","d")))))</x:f>
        <x:v>d</x:v>
      </x:c>
      <x:c r="V1730" s="12"/>
      <x:c r="W1730" s="12" t="str">
        <x:v>negative</x:v>
      </x:c>
      <x:c r="X1730" s="12"/>
      <x:c r="Y1730" s="12" t="str">
        <x:v>negative</x:v>
      </x:c>
      <x:c r="Z1730" s="12" t="str">
        <x:f>IF(OR(W1730="unavailable",Y1730="unavailable"),"不可评价",IF(OR(W1730="equivocal",Y1730="equivocal"),"疑似",IF(AND(W1730="positive",Y1730="positive"),"a",IF(Y1730="positive","b",IF(W1730="positive","c","d")))))</x:f>
        <x:v>d</x:v>
      </x:c>
      <x:c r="AA1730" s="12" t="str">
        <x:f>IF(OR(M1730="unavailable",O1730="unavailable"),"不可评价",IF(AND(OR(M1730="positive",M1730="equivocal"),OR(O1730="positive",O1730="equivocal")),"a",IF(OR(O1730="positive",O1730="equivocal"),"b",IF(OR(M1730="positive",M1730="equivocal"),"c","d"))))</x:f>
        <x:v>d</x:v>
      </x:c>
      <x:c r="AB1730" s="12" t="str">
        <x:f>IF(OR(M1730="unavailable",O1730="unavailable"),"不可评价",IF(AND(M1730="positive",O1730="positive"),"a",IF(O1730="positive","b",IF(M1730="positive","c","d"))))</x:f>
        <x:v>d</x:v>
      </x:c>
      <x:c r="AC1730" s="12" t="str">
        <x:f>IF(OR(R1730="unavailable",T1730="unavailable"),"不可评价",IF(AND(OR(R1730="positive",R1730="equivocal"),OR(T1730="positive",T1730="equivocal")),"a",IF(OR(T1730="positive",T1730="equivocal"),"b",IF(OR(R1730="positive",R1730="equivocal"),"c","d"))))</x:f>
        <x:v>d</x:v>
      </x:c>
      <x:c r="AD1730" s="12" t="str">
        <x:f>IF(OR(R1730="unavailable",T1730="unavailable"),"不可评价",IF(AND(R1730="positive",T1730="positive"),"a",IF(T1730="positive","b",IF(R1730="positive","c","d"))))</x:f>
        <x:v>d</x:v>
      </x:c>
      <x:c r="AE1730" s="12" t="str">
        <x:f>IF(OR(W1730="unavailable",Y1730="unavailable"),"不可评价",IF(AND(OR(W1730="positive",W1730="equivocal"),OR(Y1730="positive",Y1730="equivocal")),"a",IF(OR(Y1730="positive",Y1730="equivocal"),"b",IF(OR(W1730="positive",W1730="equivocal"),"c","d"))))</x:f>
        <x:v>d</x:v>
      </x:c>
      <x:c r="AF1730" s="12" t="str">
        <x:f>IF(OR(W1730="unavailable",Y1730="unavailable"),"不可评价",IF(AND(W1730="positive",Y1730="positive"),"a",IF(Y1730="positive","b",IF(W1730="positive","c","d"))))</x:f>
        <x:v>d</x:v>
      </x:c>
    </x:row>
    <x:row r="1731" ht="39" customHeight="1">
      <x:c r="A1731" s="12" t="str">
        <x:v>16272</x:v>
      </x:c>
      <x:c r="B1731" s="12" t="str">
        <x:v>7833</x:v>
      </x:c>
      <x:c r="C1731" s="21" t="n">
        <x:v>35248.29337962963</x:v>
      </x:c>
      <x:c r="D1731" s="12" t="n">
        <x:v>82</x:v>
      </x:c>
      <x:c r="E1731" s="12" t="n">
        <x:v>0</x:v>
      </x:c>
      <x:c r="F1731" s="12" t="str">
        <x:v>未记录</x:v>
      </x:c>
      <x:c r="G1731" s="12" t="n">
        <x:v>1</x:v>
      </x:c>
      <x:c r="H1731" s="12" t="str">
        <x:v>{'ASMI': 100.0, 'LAFB': 100.0, 'ISCAL': 100.0, 'PAC': 0.0, 'SR': 0.0}</x:v>
      </x:c>
      <x:c r="I1731" s="12" t="str">
        <x:v>[('SRTH', 100.0), ('MSAR', 100.0), ('LAD3', 100.0), ('LVH2', 100.0), ('QRSW-2ST', 100.0), ('AB', 100.0)]</x:v>
      </x:c>
      <x:c r="J1731" s="12" t="str">
        <x:v>ptbxl_database.csv；ecg_id=16272；scp_codes</x:v>
      </x:c>
      <x:c r="K1731" s="12" t="str">
        <x:v>12sl_statements.csv；ecg_id=16272；statements_ext_snomed</x:v>
      </x:c>
      <x:c r="L1731" s="12"/>
      <x:c r="M1731" s="12" t="str">
        <x:v>negative</x:v>
      </x:c>
      <x:c r="N1731" s="12"/>
      <x:c r="O1731" s="12" t="str">
        <x:v>negative</x:v>
      </x:c>
      <x:c r="P1731" s="12" t="str">
        <x:f>IF(OR(M1731="unavailable",O1731="unavailable"),"不可评价",IF(OR(M1731="equivocal",O1731="equivocal"),"疑似",IF(AND(M1731="positive",O1731="positive"),"a",IF(O1731="positive","b",IF(M1731="positive","c","d")))))</x:f>
        <x:v>d</x:v>
      </x:c>
      <x:c r="Q1731" s="12"/>
      <x:c r="R1731" s="12" t="str">
        <x:v>negative</x:v>
      </x:c>
      <x:c r="S1731" s="12"/>
      <x:c r="T1731" s="12" t="str">
        <x:v>negative</x:v>
      </x:c>
      <x:c r="U1731" s="12" t="str">
        <x:f>IF(OR(R1731="unavailable",T1731="unavailable"),"不可评价",IF(OR(R1731="equivocal",T1731="equivocal"),"疑似",IF(AND(R1731="positive",T1731="positive"),"a",IF(T1731="positive","b",IF(R1731="positive","c","d")))))</x:f>
        <x:v>d</x:v>
      </x:c>
      <x:c r="V1731" s="12"/>
      <x:c r="W1731" s="12" t="str">
        <x:v>negative</x:v>
      </x:c>
      <x:c r="X1731" s="12"/>
      <x:c r="Y1731" s="12" t="str">
        <x:v>negative</x:v>
      </x:c>
      <x:c r="Z1731" s="12" t="str">
        <x:f>IF(OR(W1731="unavailable",Y1731="unavailable"),"不可评价",IF(OR(W1731="equivocal",Y1731="equivocal"),"疑似",IF(AND(W1731="positive",Y1731="positive"),"a",IF(Y1731="positive","b",IF(W1731="positive","c","d")))))</x:f>
        <x:v>d</x:v>
      </x:c>
      <x:c r="AA1731" s="12" t="str">
        <x:f>IF(OR(M1731="unavailable",O1731="unavailable"),"不可评价",IF(AND(OR(M1731="positive",M1731="equivocal"),OR(O1731="positive",O1731="equivocal")),"a",IF(OR(O1731="positive",O1731="equivocal"),"b",IF(OR(M1731="positive",M1731="equivocal"),"c","d"))))</x:f>
        <x:v>d</x:v>
      </x:c>
      <x:c r="AB1731" s="12" t="str">
        <x:f>IF(OR(M1731="unavailable",O1731="unavailable"),"不可评价",IF(AND(M1731="positive",O1731="positive"),"a",IF(O1731="positive","b",IF(M1731="positive","c","d"))))</x:f>
        <x:v>d</x:v>
      </x:c>
      <x:c r="AC1731" s="12" t="str">
        <x:f>IF(OR(R1731="unavailable",T1731="unavailable"),"不可评价",IF(AND(OR(R1731="positive",R1731="equivocal"),OR(T1731="positive",T1731="equivocal")),"a",IF(OR(T1731="positive",T1731="equivocal"),"b",IF(OR(R1731="positive",R1731="equivocal"),"c","d"))))</x:f>
        <x:v>d</x:v>
      </x:c>
      <x:c r="AD1731" s="12" t="str">
        <x:f>IF(OR(R1731="unavailable",T1731="unavailable"),"不可评价",IF(AND(R1731="positive",T1731="positive"),"a",IF(T1731="positive","b",IF(R1731="positive","c","d"))))</x:f>
        <x:v>d</x:v>
      </x:c>
      <x:c r="AE1731" s="12" t="str">
        <x:f>IF(OR(W1731="unavailable",Y1731="unavailable"),"不可评价",IF(AND(OR(W1731="positive",W1731="equivocal"),OR(Y1731="positive",Y1731="equivocal")),"a",IF(OR(Y1731="positive",Y1731="equivocal"),"b",IF(OR(W1731="positive",W1731="equivocal"),"c","d"))))</x:f>
        <x:v>d</x:v>
      </x:c>
      <x:c r="AF1731" s="12" t="str">
        <x:f>IF(OR(W1731="unavailable",Y1731="unavailable"),"不可评价",IF(AND(W1731="positive",Y1731="positive"),"a",IF(Y1731="positive","b",IF(W1731="positive","c","d"))))</x:f>
        <x:v>d</x:v>
      </x:c>
    </x:row>
    <x:row r="1732" ht="24" customHeight="1">
      <x:c r="A1732" s="12" t="str">
        <x:v>16288</x:v>
      </x:c>
      <x:c r="B1732" s="12" t="str">
        <x:v>17220</x:v>
      </x:c>
      <x:c r="C1732" s="21" t="n">
        <x:v>35250.700150462966</x:v>
      </x:c>
      <x:c r="D1732" s="12" t="n">
        <x:v>76</x:v>
      </x:c>
      <x:c r="E1732" s="12" t="n">
        <x:v>0</x:v>
      </x:c>
      <x:c r="F1732" s="12" t="str">
        <x:v>存在</x:v>
      </x:c>
      <x:c r="G1732" s="12" t="n">
        <x:v>1</x:v>
      </x:c>
      <x:c r="H1732" s="12" t="str">
        <x:v>{'NORM': 100.0, 'SR': 0.0}</x:v>
      </x:c>
      <x:c r="I1732" s="12" t="str">
        <x:v>[('SBRAD', 100.0), ('ABR', 100.0)]</x:v>
      </x:c>
      <x:c r="J1732" s="12" t="str">
        <x:v>ptbxl_database.csv；ecg_id=16288；scp_codes</x:v>
      </x:c>
      <x:c r="K1732" s="12" t="str">
        <x:v>12sl_statements.csv；ecg_id=16288；statements_ext_snomed</x:v>
      </x:c>
      <x:c r="L1732" s="12"/>
      <x:c r="M1732" s="12" t="str">
        <x:v>negative</x:v>
      </x:c>
      <x:c r="N1732" s="12"/>
      <x:c r="O1732" s="12" t="str">
        <x:v>negative</x:v>
      </x:c>
      <x:c r="P1732" s="12" t="str">
        <x:f>IF(OR(M1732="unavailable",O1732="unavailable"),"不可评价",IF(OR(M1732="equivocal",O1732="equivocal"),"疑似",IF(AND(M1732="positive",O1732="positive"),"a",IF(O1732="positive","b",IF(M1732="positive","c","d")))))</x:f>
        <x:v>d</x:v>
      </x:c>
      <x:c r="Q1732" s="12"/>
      <x:c r="R1732" s="12" t="str">
        <x:v>negative</x:v>
      </x:c>
      <x:c r="S1732" s="12"/>
      <x:c r="T1732" s="12" t="str">
        <x:v>negative</x:v>
      </x:c>
      <x:c r="U1732" s="12" t="str">
        <x:f>IF(OR(R1732="unavailable",T1732="unavailable"),"不可评价",IF(OR(R1732="equivocal",T1732="equivocal"),"疑似",IF(AND(R1732="positive",T1732="positive"),"a",IF(T1732="positive","b",IF(R1732="positive","c","d")))))</x:f>
        <x:v>d</x:v>
      </x:c>
      <x:c r="V1732" s="12"/>
      <x:c r="W1732" s="12" t="str">
        <x:v>negative</x:v>
      </x:c>
      <x:c r="X1732" s="12"/>
      <x:c r="Y1732" s="12" t="str">
        <x:v>negative</x:v>
      </x:c>
      <x:c r="Z1732" s="12" t="str">
        <x:f>IF(OR(W1732="unavailable",Y1732="unavailable"),"不可评价",IF(OR(W1732="equivocal",Y1732="equivocal"),"疑似",IF(AND(W1732="positive",Y1732="positive"),"a",IF(Y1732="positive","b",IF(W1732="positive","c","d")))))</x:f>
        <x:v>d</x:v>
      </x:c>
      <x:c r="AA1732" s="12" t="str">
        <x:f>IF(OR(M1732="unavailable",O1732="unavailable"),"不可评价",IF(AND(OR(M1732="positive",M1732="equivocal"),OR(O1732="positive",O1732="equivocal")),"a",IF(OR(O1732="positive",O1732="equivocal"),"b",IF(OR(M1732="positive",M1732="equivocal"),"c","d"))))</x:f>
        <x:v>d</x:v>
      </x:c>
      <x:c r="AB1732" s="12" t="str">
        <x:f>IF(OR(M1732="unavailable",O1732="unavailable"),"不可评价",IF(AND(M1732="positive",O1732="positive"),"a",IF(O1732="positive","b",IF(M1732="positive","c","d"))))</x:f>
        <x:v>d</x:v>
      </x:c>
      <x:c r="AC1732" s="12" t="str">
        <x:f>IF(OR(R1732="unavailable",T1732="unavailable"),"不可评价",IF(AND(OR(R1732="positive",R1732="equivocal"),OR(T1732="positive",T1732="equivocal")),"a",IF(OR(T1732="positive",T1732="equivocal"),"b",IF(OR(R1732="positive",R1732="equivocal"),"c","d"))))</x:f>
        <x:v>d</x:v>
      </x:c>
      <x:c r="AD1732" s="12" t="str">
        <x:f>IF(OR(R1732="unavailable",T1732="unavailable"),"不可评价",IF(AND(R1732="positive",T1732="positive"),"a",IF(T1732="positive","b",IF(R1732="positive","c","d"))))</x:f>
        <x:v>d</x:v>
      </x:c>
      <x:c r="AE1732" s="12" t="str">
        <x:f>IF(OR(W1732="unavailable",Y1732="unavailable"),"不可评价",IF(AND(OR(W1732="positive",W1732="equivocal"),OR(Y1732="positive",Y1732="equivocal")),"a",IF(OR(Y1732="positive",Y1732="equivocal"),"b",IF(OR(W1732="positive",W1732="equivocal"),"c","d"))))</x:f>
        <x:v>d</x:v>
      </x:c>
      <x:c r="AF1732" s="12" t="str">
        <x:f>IF(OR(W1732="unavailable",Y1732="unavailable"),"不可评价",IF(AND(W1732="positive",Y1732="positive"),"a",IF(Y1732="positive","b",IF(W1732="positive","c","d"))))</x:f>
        <x:v>d</x:v>
      </x:c>
    </x:row>
    <x:row r="1733" ht="24" customHeight="1">
      <x:c r="A1733" s="12" t="str">
        <x:v>16340</x:v>
      </x:c>
      <x:c r="B1733" s="12" t="str">
        <x:v>18494</x:v>
      </x:c>
      <x:c r="C1733" s="21" t="n">
        <x:v>35256.374236111114</x:v>
      </x:c>
      <x:c r="D1733" s="12" t="n">
        <x:v>60</x:v>
      </x:c>
      <x:c r="E1733" s="12" t="n">
        <x:v>0</x:v>
      </x:c>
      <x:c r="F1733" s="12" t="str">
        <x:v>未记录</x:v>
      </x:c>
      <x:c r="G1733" s="12" t="n">
        <x:v>1</x:v>
      </x:c>
      <x:c r="H1733" s="12" t="str">
        <x:v>{'ILMI': 100.0, 'PVC': 100.0, 'ABQRS': 0.0, 'SR': 0.0}</x:v>
      </x:c>
      <x:c r="I1733" s="12" t="str">
        <x:v>[('SRTH', 100.0), ('PVC', 100.0), ('LAD3', 100.0), ('IMI;AU', 100.0), ('AB', 100.0)]</x:v>
      </x:c>
      <x:c r="J1733" s="12" t="str">
        <x:v>ptbxl_database.csv；ecg_id=16340；scp_codes</x:v>
      </x:c>
      <x:c r="K1733" s="12" t="str">
        <x:v>12sl_statements.csv；ecg_id=16340；statements_ext_snomed</x:v>
      </x:c>
      <x:c r="L1733" s="12"/>
      <x:c r="M1733" s="12" t="str">
        <x:v>negative</x:v>
      </x:c>
      <x:c r="N1733" s="12"/>
      <x:c r="O1733" s="12" t="str">
        <x:v>negative</x:v>
      </x:c>
      <x:c r="P1733" s="12" t="str">
        <x:f>IF(OR(M1733="unavailable",O1733="unavailable"),"不可评价",IF(OR(M1733="equivocal",O1733="equivocal"),"疑似",IF(AND(M1733="positive",O1733="positive"),"a",IF(O1733="positive","b",IF(M1733="positive","c","d")))))</x:f>
        <x:v>d</x:v>
      </x:c>
      <x:c r="Q1733" s="12"/>
      <x:c r="R1733" s="12" t="str">
        <x:v>negative</x:v>
      </x:c>
      <x:c r="S1733" s="12"/>
      <x:c r="T1733" s="12" t="str">
        <x:v>negative</x:v>
      </x:c>
      <x:c r="U1733" s="12" t="str">
        <x:f>IF(OR(R1733="unavailable",T1733="unavailable"),"不可评价",IF(OR(R1733="equivocal",T1733="equivocal"),"疑似",IF(AND(R1733="positive",T1733="positive"),"a",IF(T1733="positive","b",IF(R1733="positive","c","d")))))</x:f>
        <x:v>d</x:v>
      </x:c>
      <x:c r="V1733" s="12"/>
      <x:c r="W1733" s="12" t="str">
        <x:v>negative</x:v>
      </x:c>
      <x:c r="X1733" s="12"/>
      <x:c r="Y1733" s="12" t="str">
        <x:v>negative</x:v>
      </x:c>
      <x:c r="Z1733" s="12" t="str">
        <x:f>IF(OR(W1733="unavailable",Y1733="unavailable"),"不可评价",IF(OR(W1733="equivocal",Y1733="equivocal"),"疑似",IF(AND(W1733="positive",Y1733="positive"),"a",IF(Y1733="positive","b",IF(W1733="positive","c","d")))))</x:f>
        <x:v>d</x:v>
      </x:c>
      <x:c r="AA1733" s="12" t="str">
        <x:f>IF(OR(M1733="unavailable",O1733="unavailable"),"不可评价",IF(AND(OR(M1733="positive",M1733="equivocal"),OR(O1733="positive",O1733="equivocal")),"a",IF(OR(O1733="positive",O1733="equivocal"),"b",IF(OR(M1733="positive",M1733="equivocal"),"c","d"))))</x:f>
        <x:v>d</x:v>
      </x:c>
      <x:c r="AB1733" s="12" t="str">
        <x:f>IF(OR(M1733="unavailable",O1733="unavailable"),"不可评价",IF(AND(M1733="positive",O1733="positive"),"a",IF(O1733="positive","b",IF(M1733="positive","c","d"))))</x:f>
        <x:v>d</x:v>
      </x:c>
      <x:c r="AC1733" s="12" t="str">
        <x:f>IF(OR(R1733="unavailable",T1733="unavailable"),"不可评价",IF(AND(OR(R1733="positive",R1733="equivocal"),OR(T1733="positive",T1733="equivocal")),"a",IF(OR(T1733="positive",T1733="equivocal"),"b",IF(OR(R1733="positive",R1733="equivocal"),"c","d"))))</x:f>
        <x:v>d</x:v>
      </x:c>
      <x:c r="AD1733" s="12" t="str">
        <x:f>IF(OR(R1733="unavailable",T1733="unavailable"),"不可评价",IF(AND(R1733="positive",T1733="positive"),"a",IF(T1733="positive","b",IF(R1733="positive","c","d"))))</x:f>
        <x:v>d</x:v>
      </x:c>
      <x:c r="AE1733" s="12" t="str">
        <x:f>IF(OR(W1733="unavailable",Y1733="unavailable"),"不可评价",IF(AND(OR(W1733="positive",W1733="equivocal"),OR(Y1733="positive",Y1733="equivocal")),"a",IF(OR(Y1733="positive",Y1733="equivocal"),"b",IF(OR(W1733="positive",W1733="equivocal"),"c","d"))))</x:f>
        <x:v>d</x:v>
      </x:c>
      <x:c r="AF1733" s="12" t="str">
        <x:f>IF(OR(W1733="unavailable",Y1733="unavailable"),"不可评价",IF(AND(W1733="positive",Y1733="positive"),"a",IF(Y1733="positive","b",IF(W1733="positive","c","d"))))</x:f>
        <x:v>d</x:v>
      </x:c>
    </x:row>
    <x:row r="1734" ht="24" customHeight="1">
      <x:c r="A1734" s="12" t="str">
        <x:v>16355</x:v>
      </x:c>
      <x:c r="B1734" s="12" t="str">
        <x:v>9239</x:v>
      </x:c>
      <x:c r="C1734" s="21" t="n">
        <x:v>35258.55730324074</x:v>
      </x:c>
      <x:c r="D1734" s="12" t="n">
        <x:v>41</x:v>
      </x:c>
      <x:c r="E1734" s="12" t="n">
        <x:v>0</x:v>
      </x:c>
      <x:c r="F1734" s="12" t="str">
        <x:v>未记录</x:v>
      </x:c>
      <x:c r="G1734" s="12" t="n">
        <x:v>1</x:v>
      </x:c>
      <x:c r="H1734" s="12" t="str">
        <x:v>{'NORM': 100.0, 'SR': 0.0}</x:v>
      </x:c>
      <x:c r="I1734" s="12" t="str">
        <x:v>[('SBRAD', 100.0), ('ABR', 100.0)]</x:v>
      </x:c>
      <x:c r="J1734" s="12" t="str">
        <x:v>ptbxl_database.csv；ecg_id=16355；scp_codes</x:v>
      </x:c>
      <x:c r="K1734" s="12" t="str">
        <x:v>12sl_statements.csv；ecg_id=16355；statements_ext_snomed</x:v>
      </x:c>
      <x:c r="L1734" s="12"/>
      <x:c r="M1734" s="12" t="str">
        <x:v>negative</x:v>
      </x:c>
      <x:c r="N1734" s="12"/>
      <x:c r="O1734" s="12" t="str">
        <x:v>negative</x:v>
      </x:c>
      <x:c r="P1734" s="12" t="str">
        <x:f>IF(OR(M1734="unavailable",O1734="unavailable"),"不可评价",IF(OR(M1734="equivocal",O1734="equivocal"),"疑似",IF(AND(M1734="positive",O1734="positive"),"a",IF(O1734="positive","b",IF(M1734="positive","c","d")))))</x:f>
        <x:v>d</x:v>
      </x:c>
      <x:c r="Q1734" s="12"/>
      <x:c r="R1734" s="12" t="str">
        <x:v>negative</x:v>
      </x:c>
      <x:c r="S1734" s="12"/>
      <x:c r="T1734" s="12" t="str">
        <x:v>negative</x:v>
      </x:c>
      <x:c r="U1734" s="12" t="str">
        <x:f>IF(OR(R1734="unavailable",T1734="unavailable"),"不可评价",IF(OR(R1734="equivocal",T1734="equivocal"),"疑似",IF(AND(R1734="positive",T1734="positive"),"a",IF(T1734="positive","b",IF(R1734="positive","c","d")))))</x:f>
        <x:v>d</x:v>
      </x:c>
      <x:c r="V1734" s="12"/>
      <x:c r="W1734" s="12" t="str">
        <x:v>negative</x:v>
      </x:c>
      <x:c r="X1734" s="12"/>
      <x:c r="Y1734" s="12" t="str">
        <x:v>negative</x:v>
      </x:c>
      <x:c r="Z1734" s="12" t="str">
        <x:f>IF(OR(W1734="unavailable",Y1734="unavailable"),"不可评价",IF(OR(W1734="equivocal",Y1734="equivocal"),"疑似",IF(AND(W1734="positive",Y1734="positive"),"a",IF(Y1734="positive","b",IF(W1734="positive","c","d")))))</x:f>
        <x:v>d</x:v>
      </x:c>
      <x:c r="AA1734" s="12" t="str">
        <x:f>IF(OR(M1734="unavailable",O1734="unavailable"),"不可评价",IF(AND(OR(M1734="positive",M1734="equivocal"),OR(O1734="positive",O1734="equivocal")),"a",IF(OR(O1734="positive",O1734="equivocal"),"b",IF(OR(M1734="positive",M1734="equivocal"),"c","d"))))</x:f>
        <x:v>d</x:v>
      </x:c>
      <x:c r="AB1734" s="12" t="str">
        <x:f>IF(OR(M1734="unavailable",O1734="unavailable"),"不可评价",IF(AND(M1734="positive",O1734="positive"),"a",IF(O1734="positive","b",IF(M1734="positive","c","d"))))</x:f>
        <x:v>d</x:v>
      </x:c>
      <x:c r="AC1734" s="12" t="str">
        <x:f>IF(OR(R1734="unavailable",T1734="unavailable"),"不可评价",IF(AND(OR(R1734="positive",R1734="equivocal"),OR(T1734="positive",T1734="equivocal")),"a",IF(OR(T1734="positive",T1734="equivocal"),"b",IF(OR(R1734="positive",R1734="equivocal"),"c","d"))))</x:f>
        <x:v>d</x:v>
      </x:c>
      <x:c r="AD1734" s="12" t="str">
        <x:f>IF(OR(R1734="unavailable",T1734="unavailable"),"不可评价",IF(AND(R1734="positive",T1734="positive"),"a",IF(T1734="positive","b",IF(R1734="positive","c","d"))))</x:f>
        <x:v>d</x:v>
      </x:c>
      <x:c r="AE1734" s="12" t="str">
        <x:f>IF(OR(W1734="unavailable",Y1734="unavailable"),"不可评价",IF(AND(OR(W1734="positive",W1734="equivocal"),OR(Y1734="positive",Y1734="equivocal")),"a",IF(OR(Y1734="positive",Y1734="equivocal"),"b",IF(OR(W1734="positive",W1734="equivocal"),"c","d"))))</x:f>
        <x:v>d</x:v>
      </x:c>
      <x:c r="AF1734" s="12" t="str">
        <x:f>IF(OR(W1734="unavailable",Y1734="unavailable"),"不可评价",IF(AND(W1734="positive",Y1734="positive"),"a",IF(Y1734="positive","b",IF(W1734="positive","c","d"))))</x:f>
        <x:v>d</x:v>
      </x:c>
    </x:row>
    <x:row r="1735" ht="39" customHeight="1">
      <x:c r="A1735" s="12" t="str">
        <x:v>16357</x:v>
      </x:c>
      <x:c r="B1735" s="12" t="str">
        <x:v>6802</x:v>
      </x:c>
      <x:c r="C1735" s="21" t="n">
        <x:v>35258.581979166665</x:v>
      </x:c>
      <x:c r="D1735" s="12" t="n">
        <x:v>83</x:v>
      </x:c>
      <x:c r="E1735" s="12" t="n">
        <x:v>1</x:v>
      </x:c>
      <x:c r="F1735" s="12" t="str">
        <x:v>未记录</x:v>
      </x:c>
      <x:c r="G1735" s="12" t="n">
        <x:v>1</x:v>
      </x:c>
      <x:c r="H1735" s="12" t="str">
        <x:v>{'IMI': 100.0, 'ASMI': 100.0, 'LVH': 100.0, 'ISC_': 100.0, 'IVCD': 100.0, 'NST_': 0.0, 'AFIB': 0.0}</x:v>
      </x:c>
      <x:c r="I1735" s="12" t="str">
        <x:v>[('AFIB', 100.0), ('CJP', 100.0), ('ABER', 100.0), ('LVH2', 100.0), ('2ST', 100.0), ('IMI;AU', 100.0), ('ASMI;AU', 100.0), ('AB', 100.0)]</x:v>
      </x:c>
      <x:c r="J1735" s="12" t="str">
        <x:v>ptbxl_database.csv；ecg_id=16357；scp_codes</x:v>
      </x:c>
      <x:c r="K1735" s="12" t="str">
        <x:v>12sl_statements.csv；ecg_id=16357；statements_ext_snomed</x:v>
      </x:c>
      <x:c r="L1735" s="12" t="n">
        <x:v>0</x:v>
      </x:c>
      <x:c r="M1735" s="12" t="str">
        <x:v>positive</x:v>
      </x:c>
      <x:c r="N1735" s="12" t="n">
        <x:v>100</x:v>
      </x:c>
      <x:c r="O1735" s="12" t="str">
        <x:v>positive</x:v>
      </x:c>
      <x:c r="P1735" s="12" t="str">
        <x:f>IF(OR(M1735="unavailable",O1735="unavailable"),"不可评价",IF(OR(M1735="equivocal",O1735="equivocal"),"疑似",IF(AND(M1735="positive",O1735="positive"),"a",IF(O1735="positive","b",IF(M1735="positive","c","d")))))</x:f>
        <x:v>a</x:v>
      </x:c>
      <x:c r="Q1735" s="12"/>
      <x:c r="R1735" s="12" t="str">
        <x:v>negative</x:v>
      </x:c>
      <x:c r="S1735" s="12"/>
      <x:c r="T1735" s="12" t="str">
        <x:v>negative</x:v>
      </x:c>
      <x:c r="U1735" s="12" t="str">
        <x:f>IF(OR(R1735="unavailable",T1735="unavailable"),"不可评价",IF(OR(R1735="equivocal",T1735="equivocal"),"疑似",IF(AND(R1735="positive",T1735="positive"),"a",IF(T1735="positive","b",IF(R1735="positive","c","d")))))</x:f>
        <x:v>d</x:v>
      </x:c>
      <x:c r="V1735" s="12"/>
      <x:c r="W1735" s="12" t="str">
        <x:v>negative</x:v>
      </x:c>
      <x:c r="X1735" s="12"/>
      <x:c r="Y1735" s="12" t="str">
        <x:v>negative</x:v>
      </x:c>
      <x:c r="Z1735" s="12" t="str">
        <x:f>IF(OR(W1735="unavailable",Y1735="unavailable"),"不可评价",IF(OR(W1735="equivocal",Y1735="equivocal"),"疑似",IF(AND(W1735="positive",Y1735="positive"),"a",IF(Y1735="positive","b",IF(W1735="positive","c","d")))))</x:f>
        <x:v>d</x:v>
      </x:c>
      <x:c r="AA1735" s="12" t="str">
        <x:f>IF(OR(M1735="unavailable",O1735="unavailable"),"不可评价",IF(AND(OR(M1735="positive",M1735="equivocal"),OR(O1735="positive",O1735="equivocal")),"a",IF(OR(O1735="positive",O1735="equivocal"),"b",IF(OR(M1735="positive",M1735="equivocal"),"c","d"))))</x:f>
        <x:v>a</x:v>
      </x:c>
      <x:c r="AB1735" s="12" t="str">
        <x:f>IF(OR(M1735="unavailable",O1735="unavailable"),"不可评价",IF(AND(M1735="positive",O1735="positive"),"a",IF(O1735="positive","b",IF(M1735="positive","c","d"))))</x:f>
        <x:v>a</x:v>
      </x:c>
      <x:c r="AC1735" s="12" t="str">
        <x:f>IF(OR(R1735="unavailable",T1735="unavailable"),"不可评价",IF(AND(OR(R1735="positive",R1735="equivocal"),OR(T1735="positive",T1735="equivocal")),"a",IF(OR(T1735="positive",T1735="equivocal"),"b",IF(OR(R1735="positive",R1735="equivocal"),"c","d"))))</x:f>
        <x:v>d</x:v>
      </x:c>
      <x:c r="AD1735" s="12" t="str">
        <x:f>IF(OR(R1735="unavailable",T1735="unavailable"),"不可评价",IF(AND(R1735="positive",T1735="positive"),"a",IF(T1735="positive","b",IF(R1735="positive","c","d"))))</x:f>
        <x:v>d</x:v>
      </x:c>
      <x:c r="AE1735" s="12" t="str">
        <x:f>IF(OR(W1735="unavailable",Y1735="unavailable"),"不可评价",IF(AND(OR(W1735="positive",W1735="equivocal"),OR(Y1735="positive",Y1735="equivocal")),"a",IF(OR(Y1735="positive",Y1735="equivocal"),"b",IF(OR(W1735="positive",W1735="equivocal"),"c","d"))))</x:f>
        <x:v>d</x:v>
      </x:c>
      <x:c r="AF1735" s="12" t="str">
        <x:f>IF(OR(W1735="unavailable",Y1735="unavailable"),"不可评价",IF(AND(W1735="positive",Y1735="positive"),"a",IF(Y1735="positive","b",IF(W1735="positive","c","d"))))</x:f>
        <x:v>d</x:v>
      </x:c>
    </x:row>
    <x:row r="1736" ht="24" customHeight="1">
      <x:c r="A1736" s="12" t="str">
        <x:v>16407</x:v>
      </x:c>
      <x:c r="B1736" s="12" t="str">
        <x:v>3049</x:v>
      </x:c>
      <x:c r="C1736" s="21" t="n">
        <x:v>35262.49202546296</x:v>
      </x:c>
      <x:c r="D1736" s="12" t="n">
        <x:v>34</x:v>
      </x:c>
      <x:c r="E1736" s="12" t="n">
        <x:v>0</x:v>
      </x:c>
      <x:c r="F1736" s="12" t="str">
        <x:v>未记录</x:v>
      </x:c>
      <x:c r="G1736" s="12" t="n">
        <x:v>1</x:v>
      </x:c>
      <x:c r="H1736" s="12" t="str">
        <x:v>{'NORM': 100.0, 'SR': 0.0}</x:v>
      </x:c>
      <x:c r="I1736" s="12" t="str">
        <x:v>[('NSR', 100.0), ('NML', 100.0)]</x:v>
      </x:c>
      <x:c r="J1736" s="12" t="str">
        <x:v>ptbxl_database.csv；ecg_id=16407；scp_codes</x:v>
      </x:c>
      <x:c r="K1736" s="12" t="str">
        <x:v>12sl_statements.csv；ecg_id=16407；statements_ext_snomed</x:v>
      </x:c>
      <x:c r="L1736" s="12"/>
      <x:c r="M1736" s="12" t="str">
        <x:v>negative</x:v>
      </x:c>
      <x:c r="N1736" s="12"/>
      <x:c r="O1736" s="12" t="str">
        <x:v>negative</x:v>
      </x:c>
      <x:c r="P1736" s="12" t="str">
        <x:f>IF(OR(M1736="unavailable",O1736="unavailable"),"不可评价",IF(OR(M1736="equivocal",O1736="equivocal"),"疑似",IF(AND(M1736="positive",O1736="positive"),"a",IF(O1736="positive","b",IF(M1736="positive","c","d")))))</x:f>
        <x:v>d</x:v>
      </x:c>
      <x:c r="Q1736" s="12"/>
      <x:c r="R1736" s="12" t="str">
        <x:v>negative</x:v>
      </x:c>
      <x:c r="S1736" s="12"/>
      <x:c r="T1736" s="12" t="str">
        <x:v>negative</x:v>
      </x:c>
      <x:c r="U1736" s="12" t="str">
        <x:f>IF(OR(R1736="unavailable",T1736="unavailable"),"不可评价",IF(OR(R1736="equivocal",T1736="equivocal"),"疑似",IF(AND(R1736="positive",T1736="positive"),"a",IF(T1736="positive","b",IF(R1736="positive","c","d")))))</x:f>
        <x:v>d</x:v>
      </x:c>
      <x:c r="V1736" s="12"/>
      <x:c r="W1736" s="12" t="str">
        <x:v>negative</x:v>
      </x:c>
      <x:c r="X1736" s="12"/>
      <x:c r="Y1736" s="12" t="str">
        <x:v>negative</x:v>
      </x:c>
      <x:c r="Z1736" s="12" t="str">
        <x:f>IF(OR(W1736="unavailable",Y1736="unavailable"),"不可评价",IF(OR(W1736="equivocal",Y1736="equivocal"),"疑似",IF(AND(W1736="positive",Y1736="positive"),"a",IF(Y1736="positive","b",IF(W1736="positive","c","d")))))</x:f>
        <x:v>d</x:v>
      </x:c>
      <x:c r="AA1736" s="12" t="str">
        <x:f>IF(OR(M1736="unavailable",O1736="unavailable"),"不可评价",IF(AND(OR(M1736="positive",M1736="equivocal"),OR(O1736="positive",O1736="equivocal")),"a",IF(OR(O1736="positive",O1736="equivocal"),"b",IF(OR(M1736="positive",M1736="equivocal"),"c","d"))))</x:f>
        <x:v>d</x:v>
      </x:c>
      <x:c r="AB1736" s="12" t="str">
        <x:f>IF(OR(M1736="unavailable",O1736="unavailable"),"不可评价",IF(AND(M1736="positive",O1736="positive"),"a",IF(O1736="positive","b",IF(M1736="positive","c","d"))))</x:f>
        <x:v>d</x:v>
      </x:c>
      <x:c r="AC1736" s="12" t="str">
        <x:f>IF(OR(R1736="unavailable",T1736="unavailable"),"不可评价",IF(AND(OR(R1736="positive",R1736="equivocal"),OR(T1736="positive",T1736="equivocal")),"a",IF(OR(T1736="positive",T1736="equivocal"),"b",IF(OR(R1736="positive",R1736="equivocal"),"c","d"))))</x:f>
        <x:v>d</x:v>
      </x:c>
      <x:c r="AD1736" s="12" t="str">
        <x:f>IF(OR(R1736="unavailable",T1736="unavailable"),"不可评价",IF(AND(R1736="positive",T1736="positive"),"a",IF(T1736="positive","b",IF(R1736="positive","c","d"))))</x:f>
        <x:v>d</x:v>
      </x:c>
      <x:c r="AE1736" s="12" t="str">
        <x:f>IF(OR(W1736="unavailable",Y1736="unavailable"),"不可评价",IF(AND(OR(W1736="positive",W1736="equivocal"),OR(Y1736="positive",Y1736="equivocal")),"a",IF(OR(Y1736="positive",Y1736="equivocal"),"b",IF(OR(W1736="positive",W1736="equivocal"),"c","d"))))</x:f>
        <x:v>d</x:v>
      </x:c>
      <x:c r="AF1736" s="12" t="str">
        <x:f>IF(OR(W1736="unavailable",Y1736="unavailable"),"不可评价",IF(AND(W1736="positive",Y1736="positive"),"a",IF(Y1736="positive","b",IF(W1736="positive","c","d"))))</x:f>
        <x:v>d</x:v>
      </x:c>
    </x:row>
    <x:row r="1737" ht="24" customHeight="1">
      <x:c r="A1737" s="12" t="str">
        <x:v>16425</x:v>
      </x:c>
      <x:c r="B1737" s="12" t="str">
        <x:v>14449</x:v>
      </x:c>
      <x:c r="C1737" s="21" t="n">
        <x:v>35264.5333912037</x:v>
      </x:c>
      <x:c r="D1737" s="12" t="n">
        <x:v>75</x:v>
      </x:c>
      <x:c r="E1737" s="12" t="n">
        <x:v>1</x:v>
      </x:c>
      <x:c r="F1737" s="12" t="str">
        <x:v>未记录</x:v>
      </x:c>
      <x:c r="G1737" s="12" t="n">
        <x:v>1</x:v>
      </x:c>
      <x:c r="H1737" s="12" t="str">
        <x:v>{'NORM': 100.0, 'SR': 0.0, 'TRIGU': 0.0}</x:v>
      </x:c>
      <x:c r="I1737" s="12" t="str">
        <x:v>[('SRTH', 100.0), ('PAC', 100.0), ('ABR', 100.0)]</x:v>
      </x:c>
      <x:c r="J1737" s="12" t="str">
        <x:v>ptbxl_database.csv；ecg_id=16425；scp_codes</x:v>
      </x:c>
      <x:c r="K1737" s="12" t="str">
        <x:v>12sl_statements.csv；ecg_id=16425；statements_ext_snomed</x:v>
      </x:c>
      <x:c r="L1737" s="12"/>
      <x:c r="M1737" s="12" t="str">
        <x:v>negative</x:v>
      </x:c>
      <x:c r="N1737" s="12"/>
      <x:c r="O1737" s="12" t="str">
        <x:v>negative</x:v>
      </x:c>
      <x:c r="P1737" s="12" t="str">
        <x:f>IF(OR(M1737="unavailable",O1737="unavailable"),"不可评价",IF(OR(M1737="equivocal",O1737="equivocal"),"疑似",IF(AND(M1737="positive",O1737="positive"),"a",IF(O1737="positive","b",IF(M1737="positive","c","d")))))</x:f>
        <x:v>d</x:v>
      </x:c>
      <x:c r="Q1737" s="12"/>
      <x:c r="R1737" s="12" t="str">
        <x:v>negative</x:v>
      </x:c>
      <x:c r="S1737" s="12"/>
      <x:c r="T1737" s="12" t="str">
        <x:v>negative</x:v>
      </x:c>
      <x:c r="U1737" s="12" t="str">
        <x:f>IF(OR(R1737="unavailable",T1737="unavailable"),"不可评价",IF(OR(R1737="equivocal",T1737="equivocal"),"疑似",IF(AND(R1737="positive",T1737="positive"),"a",IF(T1737="positive","b",IF(R1737="positive","c","d")))))</x:f>
        <x:v>d</x:v>
      </x:c>
      <x:c r="V1737" s="12"/>
      <x:c r="W1737" s="12" t="str">
        <x:v>negative</x:v>
      </x:c>
      <x:c r="X1737" s="12"/>
      <x:c r="Y1737" s="12" t="str">
        <x:v>negative</x:v>
      </x:c>
      <x:c r="Z1737" s="12" t="str">
        <x:f>IF(OR(W1737="unavailable",Y1737="unavailable"),"不可评价",IF(OR(W1737="equivocal",Y1737="equivocal"),"疑似",IF(AND(W1737="positive",Y1737="positive"),"a",IF(Y1737="positive","b",IF(W1737="positive","c","d")))))</x:f>
        <x:v>d</x:v>
      </x:c>
      <x:c r="AA1737" s="12" t="str">
        <x:f>IF(OR(M1737="unavailable",O1737="unavailable"),"不可评价",IF(AND(OR(M1737="positive",M1737="equivocal"),OR(O1737="positive",O1737="equivocal")),"a",IF(OR(O1737="positive",O1737="equivocal"),"b",IF(OR(M1737="positive",M1737="equivocal"),"c","d"))))</x:f>
        <x:v>d</x:v>
      </x:c>
      <x:c r="AB1737" s="12" t="str">
        <x:f>IF(OR(M1737="unavailable",O1737="unavailable"),"不可评价",IF(AND(M1737="positive",O1737="positive"),"a",IF(O1737="positive","b",IF(M1737="positive","c","d"))))</x:f>
        <x:v>d</x:v>
      </x:c>
      <x:c r="AC1737" s="12" t="str">
        <x:f>IF(OR(R1737="unavailable",T1737="unavailable"),"不可评价",IF(AND(OR(R1737="positive",R1737="equivocal"),OR(T1737="positive",T1737="equivocal")),"a",IF(OR(T1737="positive",T1737="equivocal"),"b",IF(OR(R1737="positive",R1737="equivocal"),"c","d"))))</x:f>
        <x:v>d</x:v>
      </x:c>
      <x:c r="AD1737" s="12" t="str">
        <x:f>IF(OR(R1737="unavailable",T1737="unavailable"),"不可评价",IF(AND(R1737="positive",T1737="positive"),"a",IF(T1737="positive","b",IF(R1737="positive","c","d"))))</x:f>
        <x:v>d</x:v>
      </x:c>
      <x:c r="AE1737" s="12" t="str">
        <x:f>IF(OR(W1737="unavailable",Y1737="unavailable"),"不可评价",IF(AND(OR(W1737="positive",W1737="equivocal"),OR(Y1737="positive",Y1737="equivocal")),"a",IF(OR(Y1737="positive",Y1737="equivocal"),"b",IF(OR(W1737="positive",W1737="equivocal"),"c","d"))))</x:f>
        <x:v>d</x:v>
      </x:c>
      <x:c r="AF1737" s="12" t="str">
        <x:f>IF(OR(W1737="unavailable",Y1737="unavailable"),"不可评价",IF(AND(W1737="positive",Y1737="positive"),"a",IF(Y1737="positive","b",IF(W1737="positive","c","d"))))</x:f>
        <x:v>d</x:v>
      </x:c>
    </x:row>
    <x:row r="1738" ht="24" customHeight="1">
      <x:c r="A1738" s="12" t="str">
        <x:v>16427</x:v>
      </x:c>
      <x:c r="B1738" s="12" t="str">
        <x:v>3973</x:v>
      </x:c>
      <x:c r="C1738" s="21" t="n">
        <x:v>35264.65081018519</x:v>
      </x:c>
      <x:c r="D1738" s="12" t="n">
        <x:v>72</x:v>
      </x:c>
      <x:c r="E1738" s="12" t="n">
        <x:v>0</x:v>
      </x:c>
      <x:c r="F1738" s="12" t="str">
        <x:v>未记录</x:v>
      </x:c>
      <x:c r="G1738" s="12" t="n">
        <x:v>1</x:v>
      </x:c>
      <x:c r="H1738" s="12" t="str">
        <x:v>{'AMI': 100.0, '1AVB': 100.0, 'LPR': 0.0, 'SR': 0.0}</x:v>
      </x:c>
      <x:c r="I1738" s="12" t="str">
        <x:v>[('SRTH', 100.0), ('FAV', 100.0), ('ABR', 100.0)]</x:v>
      </x:c>
      <x:c r="J1738" s="12" t="str">
        <x:v>ptbxl_database.csv；ecg_id=16427；scp_codes</x:v>
      </x:c>
      <x:c r="K1738" s="12" t="str">
        <x:v>12sl_statements.csv；ecg_id=16427；statements_ext_snomed</x:v>
      </x:c>
      <x:c r="L1738" s="12"/>
      <x:c r="M1738" s="12" t="str">
        <x:v>negative</x:v>
      </x:c>
      <x:c r="N1738" s="12"/>
      <x:c r="O1738" s="12" t="str">
        <x:v>negative</x:v>
      </x:c>
      <x:c r="P1738" s="12" t="str">
        <x:f>IF(OR(M1738="unavailable",O1738="unavailable"),"不可评价",IF(OR(M1738="equivocal",O1738="equivocal"),"疑似",IF(AND(M1738="positive",O1738="positive"),"a",IF(O1738="positive","b",IF(M1738="positive","c","d")))))</x:f>
        <x:v>d</x:v>
      </x:c>
      <x:c r="Q1738" s="12"/>
      <x:c r="R1738" s="12" t="str">
        <x:v>negative</x:v>
      </x:c>
      <x:c r="S1738" s="12"/>
      <x:c r="T1738" s="12" t="str">
        <x:v>negative</x:v>
      </x:c>
      <x:c r="U1738" s="12" t="str">
        <x:f>IF(OR(R1738="unavailable",T1738="unavailable"),"不可评价",IF(OR(R1738="equivocal",T1738="equivocal"),"疑似",IF(AND(R1738="positive",T1738="positive"),"a",IF(T1738="positive","b",IF(R1738="positive","c","d")))))</x:f>
        <x:v>d</x:v>
      </x:c>
      <x:c r="V1738" s="12"/>
      <x:c r="W1738" s="12" t="str">
        <x:v>negative</x:v>
      </x:c>
      <x:c r="X1738" s="12"/>
      <x:c r="Y1738" s="12" t="str">
        <x:v>negative</x:v>
      </x:c>
      <x:c r="Z1738" s="12" t="str">
        <x:f>IF(OR(W1738="unavailable",Y1738="unavailable"),"不可评价",IF(OR(W1738="equivocal",Y1738="equivocal"),"疑似",IF(AND(W1738="positive",Y1738="positive"),"a",IF(Y1738="positive","b",IF(W1738="positive","c","d")))))</x:f>
        <x:v>d</x:v>
      </x:c>
      <x:c r="AA1738" s="12" t="str">
        <x:f>IF(OR(M1738="unavailable",O1738="unavailable"),"不可评价",IF(AND(OR(M1738="positive",M1738="equivocal"),OR(O1738="positive",O1738="equivocal")),"a",IF(OR(O1738="positive",O1738="equivocal"),"b",IF(OR(M1738="positive",M1738="equivocal"),"c","d"))))</x:f>
        <x:v>d</x:v>
      </x:c>
      <x:c r="AB1738" s="12" t="str">
        <x:f>IF(OR(M1738="unavailable",O1738="unavailable"),"不可评价",IF(AND(M1738="positive",O1738="positive"),"a",IF(O1738="positive","b",IF(M1738="positive","c","d"))))</x:f>
        <x:v>d</x:v>
      </x:c>
      <x:c r="AC1738" s="12" t="str">
        <x:f>IF(OR(R1738="unavailable",T1738="unavailable"),"不可评价",IF(AND(OR(R1738="positive",R1738="equivocal"),OR(T1738="positive",T1738="equivocal")),"a",IF(OR(T1738="positive",T1738="equivocal"),"b",IF(OR(R1738="positive",R1738="equivocal"),"c","d"))))</x:f>
        <x:v>d</x:v>
      </x:c>
      <x:c r="AD1738" s="12" t="str">
        <x:f>IF(OR(R1738="unavailable",T1738="unavailable"),"不可评价",IF(AND(R1738="positive",T1738="positive"),"a",IF(T1738="positive","b",IF(R1738="positive","c","d"))))</x:f>
        <x:v>d</x:v>
      </x:c>
      <x:c r="AE1738" s="12" t="str">
        <x:f>IF(OR(W1738="unavailable",Y1738="unavailable"),"不可评价",IF(AND(OR(W1738="positive",W1738="equivocal"),OR(Y1738="positive",Y1738="equivocal")),"a",IF(OR(Y1738="positive",Y1738="equivocal"),"b",IF(OR(W1738="positive",W1738="equivocal"),"c","d"))))</x:f>
        <x:v>d</x:v>
      </x:c>
      <x:c r="AF1738" s="12" t="str">
        <x:f>IF(OR(W1738="unavailable",Y1738="unavailable"),"不可评价",IF(AND(W1738="positive",Y1738="positive"),"a",IF(Y1738="positive","b",IF(W1738="positive","c","d"))))</x:f>
        <x:v>d</x:v>
      </x:c>
    </x:row>
    <x:row r="1739" ht="24" customHeight="1">
      <x:c r="A1739" s="12" t="str">
        <x:v>16463</x:v>
      </x:c>
      <x:c r="B1739" s="12" t="str">
        <x:v>6727</x:v>
      </x:c>
      <x:c r="C1739" s="21" t="n">
        <x:v>35267.553194444445</x:v>
      </x:c>
      <x:c r="D1739" s="12" t="n">
        <x:v>67</x:v>
      </x:c>
      <x:c r="E1739" s="12" t="n">
        <x:v>1</x:v>
      </x:c>
      <x:c r="F1739" s="12" t="str">
        <x:v>未记录</x:v>
      </x:c>
      <x:c r="G1739" s="12" t="n">
        <x:v>1</x:v>
      </x:c>
      <x:c r="H1739" s="12" t="str">
        <x:v>{'INJAS': 100.0, 'INJAL': 100.0, 'SR': 0.0}</x:v>
      </x:c>
      <x:c r="I1739" s="12" t="str">
        <x:v>[('NSR', 100.0), ('ST&amp;', 100.0), ('ALT', 100.0), ('AB', 100.0)]</x:v>
      </x:c>
      <x:c r="J1739" s="12" t="str">
        <x:v>ptbxl_database.csv；ecg_id=16463；scp_codes</x:v>
      </x:c>
      <x:c r="K1739" s="12" t="str">
        <x:v>12sl_statements.csv；ecg_id=16463；statements_ext_snomed</x:v>
      </x:c>
      <x:c r="L1739" s="12"/>
      <x:c r="M1739" s="12" t="str">
        <x:v>negative</x:v>
      </x:c>
      <x:c r="N1739" s="12"/>
      <x:c r="O1739" s="12" t="str">
        <x:v>negative</x:v>
      </x:c>
      <x:c r="P1739" s="12" t="str">
        <x:f>IF(OR(M1739="unavailable",O1739="unavailable"),"不可评价",IF(OR(M1739="equivocal",O1739="equivocal"),"疑似",IF(AND(M1739="positive",O1739="positive"),"a",IF(O1739="positive","b",IF(M1739="positive","c","d")))))</x:f>
        <x:v>d</x:v>
      </x:c>
      <x:c r="Q1739" s="12"/>
      <x:c r="R1739" s="12" t="str">
        <x:v>negative</x:v>
      </x:c>
      <x:c r="S1739" s="12"/>
      <x:c r="T1739" s="12" t="str">
        <x:v>negative</x:v>
      </x:c>
      <x:c r="U1739" s="12" t="str">
        <x:f>IF(OR(R1739="unavailable",T1739="unavailable"),"不可评价",IF(OR(R1739="equivocal",T1739="equivocal"),"疑似",IF(AND(R1739="positive",T1739="positive"),"a",IF(T1739="positive","b",IF(R1739="positive","c","d")))))</x:f>
        <x:v>d</x:v>
      </x:c>
      <x:c r="V1739" s="12"/>
      <x:c r="W1739" s="12" t="str">
        <x:v>negative</x:v>
      </x:c>
      <x:c r="X1739" s="12"/>
      <x:c r="Y1739" s="12" t="str">
        <x:v>negative</x:v>
      </x:c>
      <x:c r="Z1739" s="12" t="str">
        <x:f>IF(OR(W1739="unavailable",Y1739="unavailable"),"不可评价",IF(OR(W1739="equivocal",Y1739="equivocal"),"疑似",IF(AND(W1739="positive",Y1739="positive"),"a",IF(Y1739="positive","b",IF(W1739="positive","c","d")))))</x:f>
        <x:v>d</x:v>
      </x:c>
      <x:c r="AA1739" s="12" t="str">
        <x:f>IF(OR(M1739="unavailable",O1739="unavailable"),"不可评价",IF(AND(OR(M1739="positive",M1739="equivocal"),OR(O1739="positive",O1739="equivocal")),"a",IF(OR(O1739="positive",O1739="equivocal"),"b",IF(OR(M1739="positive",M1739="equivocal"),"c","d"))))</x:f>
        <x:v>d</x:v>
      </x:c>
      <x:c r="AB1739" s="12" t="str">
        <x:f>IF(OR(M1739="unavailable",O1739="unavailable"),"不可评价",IF(AND(M1739="positive",O1739="positive"),"a",IF(O1739="positive","b",IF(M1739="positive","c","d"))))</x:f>
        <x:v>d</x:v>
      </x:c>
      <x:c r="AC1739" s="12" t="str">
        <x:f>IF(OR(R1739="unavailable",T1739="unavailable"),"不可评价",IF(AND(OR(R1739="positive",R1739="equivocal"),OR(T1739="positive",T1739="equivocal")),"a",IF(OR(T1739="positive",T1739="equivocal"),"b",IF(OR(R1739="positive",R1739="equivocal"),"c","d"))))</x:f>
        <x:v>d</x:v>
      </x:c>
      <x:c r="AD1739" s="12" t="str">
        <x:f>IF(OR(R1739="unavailable",T1739="unavailable"),"不可评价",IF(AND(R1739="positive",T1739="positive"),"a",IF(T1739="positive","b",IF(R1739="positive","c","d"))))</x:f>
        <x:v>d</x:v>
      </x:c>
      <x:c r="AE1739" s="12" t="str">
        <x:f>IF(OR(W1739="unavailable",Y1739="unavailable"),"不可评价",IF(AND(OR(W1739="positive",W1739="equivocal"),OR(Y1739="positive",Y1739="equivocal")),"a",IF(OR(Y1739="positive",Y1739="equivocal"),"b",IF(OR(W1739="positive",W1739="equivocal"),"c","d"))))</x:f>
        <x:v>d</x:v>
      </x:c>
      <x:c r="AF1739" s="12" t="str">
        <x:f>IF(OR(W1739="unavailable",Y1739="unavailable"),"不可评价",IF(AND(W1739="positive",Y1739="positive"),"a",IF(Y1739="positive","b",IF(W1739="positive","c","d"))))</x:f>
        <x:v>d</x:v>
      </x:c>
    </x:row>
    <x:row r="1740" ht="39" customHeight="1">
      <x:c r="A1740" s="12" t="str">
        <x:v>16465</x:v>
      </x:c>
      <x:c r="B1740" s="12" t="str">
        <x:v>5703</x:v>
      </x:c>
      <x:c r="C1740" s="21" t="n">
        <x:v>35267.65550925926</x:v>
      </x:c>
      <x:c r="D1740" s="12" t="n">
        <x:v>77</x:v>
      </x:c>
      <x:c r="E1740" s="12" t="n">
        <x:v>0</x:v>
      </x:c>
      <x:c r="F1740" s="12" t="str">
        <x:v>未记录</x:v>
      </x:c>
      <x:c r="G1740" s="12" t="n">
        <x:v>1</x:v>
      </x:c>
      <x:c r="H1740" s="12" t="str">
        <x:v>{'ASMI': 100.0, 'IMI': 15.0, 'LAFB': 100.0, 'QWAVE': 0.0, 'STD_': 0.0, 'SR': 0.0}</x:v>
      </x:c>
      <x:c r="I1740" s="12" t="str">
        <x:v>[('NSR', 100.0), ('LAD3', 100.0), ('ASMI;AU', 15.0), ('AB', 100.0)]</x:v>
      </x:c>
      <x:c r="J1740" s="12" t="str">
        <x:v>ptbxl_database.csv；ecg_id=16465；scp_codes</x:v>
      </x:c>
      <x:c r="K1740" s="12" t="str">
        <x:v>12sl_statements.csv；ecg_id=16465；statements_ext_snomed</x:v>
      </x:c>
      <x:c r="L1740" s="12"/>
      <x:c r="M1740" s="12" t="str">
        <x:v>negative</x:v>
      </x:c>
      <x:c r="N1740" s="12"/>
      <x:c r="O1740" s="12" t="str">
        <x:v>negative</x:v>
      </x:c>
      <x:c r="P1740" s="12" t="str">
        <x:f>IF(OR(M1740="unavailable",O1740="unavailable"),"不可评价",IF(OR(M1740="equivocal",O1740="equivocal"),"疑似",IF(AND(M1740="positive",O1740="positive"),"a",IF(O1740="positive","b",IF(M1740="positive","c","d")))))</x:f>
        <x:v>d</x:v>
      </x:c>
      <x:c r="Q1740" s="12"/>
      <x:c r="R1740" s="12" t="str">
        <x:v>negative</x:v>
      </x:c>
      <x:c r="S1740" s="12"/>
      <x:c r="T1740" s="12" t="str">
        <x:v>negative</x:v>
      </x:c>
      <x:c r="U1740" s="12" t="str">
        <x:f>IF(OR(R1740="unavailable",T1740="unavailable"),"不可评价",IF(OR(R1740="equivocal",T1740="equivocal"),"疑似",IF(AND(R1740="positive",T1740="positive"),"a",IF(T1740="positive","b",IF(R1740="positive","c","d")))))</x:f>
        <x:v>d</x:v>
      </x:c>
      <x:c r="V1740" s="12"/>
      <x:c r="W1740" s="12" t="str">
        <x:v>negative</x:v>
      </x:c>
      <x:c r="X1740" s="12"/>
      <x:c r="Y1740" s="12" t="str">
        <x:v>negative</x:v>
      </x:c>
      <x:c r="Z1740" s="12" t="str">
        <x:f>IF(OR(W1740="unavailable",Y1740="unavailable"),"不可评价",IF(OR(W1740="equivocal",Y1740="equivocal"),"疑似",IF(AND(W1740="positive",Y1740="positive"),"a",IF(Y1740="positive","b",IF(W1740="positive","c","d")))))</x:f>
        <x:v>d</x:v>
      </x:c>
      <x:c r="AA1740" s="12" t="str">
        <x:f>IF(OR(M1740="unavailable",O1740="unavailable"),"不可评价",IF(AND(OR(M1740="positive",M1740="equivocal"),OR(O1740="positive",O1740="equivocal")),"a",IF(OR(O1740="positive",O1740="equivocal"),"b",IF(OR(M1740="positive",M1740="equivocal"),"c","d"))))</x:f>
        <x:v>d</x:v>
      </x:c>
      <x:c r="AB1740" s="12" t="str">
        <x:f>IF(OR(M1740="unavailable",O1740="unavailable"),"不可评价",IF(AND(M1740="positive",O1740="positive"),"a",IF(O1740="positive","b",IF(M1740="positive","c","d"))))</x:f>
        <x:v>d</x:v>
      </x:c>
      <x:c r="AC1740" s="12" t="str">
        <x:f>IF(OR(R1740="unavailable",T1740="unavailable"),"不可评价",IF(AND(OR(R1740="positive",R1740="equivocal"),OR(T1740="positive",T1740="equivocal")),"a",IF(OR(T1740="positive",T1740="equivocal"),"b",IF(OR(R1740="positive",R1740="equivocal"),"c","d"))))</x:f>
        <x:v>d</x:v>
      </x:c>
      <x:c r="AD1740" s="12" t="str">
        <x:f>IF(OR(R1740="unavailable",T1740="unavailable"),"不可评价",IF(AND(R1740="positive",T1740="positive"),"a",IF(T1740="positive","b",IF(R1740="positive","c","d"))))</x:f>
        <x:v>d</x:v>
      </x:c>
      <x:c r="AE1740" s="12" t="str">
        <x:f>IF(OR(W1740="unavailable",Y1740="unavailable"),"不可评价",IF(AND(OR(W1740="positive",W1740="equivocal"),OR(Y1740="positive",Y1740="equivocal")),"a",IF(OR(Y1740="positive",Y1740="equivocal"),"b",IF(OR(W1740="positive",W1740="equivocal"),"c","d"))))</x:f>
        <x:v>d</x:v>
      </x:c>
      <x:c r="AF1740" s="12" t="str">
        <x:f>IF(OR(W1740="unavailable",Y1740="unavailable"),"不可评价",IF(AND(W1740="positive",Y1740="positive"),"a",IF(Y1740="positive","b",IF(W1740="positive","c","d"))))</x:f>
        <x:v>d</x:v>
      </x:c>
    </x:row>
    <x:row r="1741" ht="24" customHeight="1">
      <x:c r="A1741" s="12" t="str">
        <x:v>16468</x:v>
      </x:c>
      <x:c r="B1741" s="12" t="str">
        <x:v>14449</x:v>
      </x:c>
      <x:c r="C1741" s="21" t="n">
        <x:v>35268.33634259259</x:v>
      </x:c>
      <x:c r="D1741" s="12" t="n">
        <x:v>75</x:v>
      </x:c>
      <x:c r="E1741" s="12" t="n">
        <x:v>1</x:v>
      </x:c>
      <x:c r="F1741" s="12" t="str">
        <x:v>未记录</x:v>
      </x:c>
      <x:c r="G1741" s="12" t="n">
        <x:v>0</x:v>
      </x:c>
      <x:c r="H1741" s="12" t="str">
        <x:v>{'NORM': 80.0, 'SARRH': 0.0}</x:v>
      </x:c>
      <x:c r="I1741" s="12" t="str">
        <x:v>[('NSR', 100.0), ('SAR', 100.0), ('BORDE', 100.0)]</x:v>
      </x:c>
      <x:c r="J1741" s="12" t="str">
        <x:v>ptbxl_database.csv；ecg_id=16468；scp_codes</x:v>
      </x:c>
      <x:c r="K1741" s="12" t="str">
        <x:v>12sl_statements.csv；ecg_id=16468；statements_ext_snomed</x:v>
      </x:c>
      <x:c r="L1741" s="12"/>
      <x:c r="M1741" s="12" t="str">
        <x:v>negative</x:v>
      </x:c>
      <x:c r="N1741" s="12"/>
      <x:c r="O1741" s="12" t="str">
        <x:v>negative</x:v>
      </x:c>
      <x:c r="P1741" s="12" t="str">
        <x:f>IF(OR(M1741="unavailable",O1741="unavailable"),"不可评价",IF(OR(M1741="equivocal",O1741="equivocal"),"疑似",IF(AND(M1741="positive",O1741="positive"),"a",IF(O1741="positive","b",IF(M1741="positive","c","d")))))</x:f>
        <x:v>d</x:v>
      </x:c>
      <x:c r="Q1741" s="12"/>
      <x:c r="R1741" s="12" t="str">
        <x:v>negative</x:v>
      </x:c>
      <x:c r="S1741" s="12"/>
      <x:c r="T1741" s="12" t="str">
        <x:v>negative</x:v>
      </x:c>
      <x:c r="U1741" s="12" t="str">
        <x:f>IF(OR(R1741="unavailable",T1741="unavailable"),"不可评价",IF(OR(R1741="equivocal",T1741="equivocal"),"疑似",IF(AND(R1741="positive",T1741="positive"),"a",IF(T1741="positive","b",IF(R1741="positive","c","d")))))</x:f>
        <x:v>d</x:v>
      </x:c>
      <x:c r="V1741" s="12"/>
      <x:c r="W1741" s="12" t="str">
        <x:v>negative</x:v>
      </x:c>
      <x:c r="X1741" s="12"/>
      <x:c r="Y1741" s="12" t="str">
        <x:v>negative</x:v>
      </x:c>
      <x:c r="Z1741" s="12" t="str">
        <x:f>IF(OR(W1741="unavailable",Y1741="unavailable"),"不可评价",IF(OR(W1741="equivocal",Y1741="equivocal"),"疑似",IF(AND(W1741="positive",Y1741="positive"),"a",IF(Y1741="positive","b",IF(W1741="positive","c","d")))))</x:f>
        <x:v>d</x:v>
      </x:c>
      <x:c r="AA1741" s="12" t="str">
        <x:f>IF(OR(M1741="unavailable",O1741="unavailable"),"不可评价",IF(AND(OR(M1741="positive",M1741="equivocal"),OR(O1741="positive",O1741="equivocal")),"a",IF(OR(O1741="positive",O1741="equivocal"),"b",IF(OR(M1741="positive",M1741="equivocal"),"c","d"))))</x:f>
        <x:v>d</x:v>
      </x:c>
      <x:c r="AB1741" s="12" t="str">
        <x:f>IF(OR(M1741="unavailable",O1741="unavailable"),"不可评价",IF(AND(M1741="positive",O1741="positive"),"a",IF(O1741="positive","b",IF(M1741="positive","c","d"))))</x:f>
        <x:v>d</x:v>
      </x:c>
      <x:c r="AC1741" s="12" t="str">
        <x:f>IF(OR(R1741="unavailable",T1741="unavailable"),"不可评价",IF(AND(OR(R1741="positive",R1741="equivocal"),OR(T1741="positive",T1741="equivocal")),"a",IF(OR(T1741="positive",T1741="equivocal"),"b",IF(OR(R1741="positive",R1741="equivocal"),"c","d"))))</x:f>
        <x:v>d</x:v>
      </x:c>
      <x:c r="AD1741" s="12" t="str">
        <x:f>IF(OR(R1741="unavailable",T1741="unavailable"),"不可评价",IF(AND(R1741="positive",T1741="positive"),"a",IF(T1741="positive","b",IF(R1741="positive","c","d"))))</x:f>
        <x:v>d</x:v>
      </x:c>
      <x:c r="AE1741" s="12" t="str">
        <x:f>IF(OR(W1741="unavailable",Y1741="unavailable"),"不可评价",IF(AND(OR(W1741="positive",W1741="equivocal"),OR(Y1741="positive",Y1741="equivocal")),"a",IF(OR(Y1741="positive",Y1741="equivocal"),"b",IF(OR(W1741="positive",W1741="equivocal"),"c","d"))))</x:f>
        <x:v>d</x:v>
      </x:c>
      <x:c r="AF1741" s="12" t="str">
        <x:f>IF(OR(W1741="unavailable",Y1741="unavailable"),"不可评价",IF(AND(W1741="positive",Y1741="positive"),"a",IF(Y1741="positive","b",IF(W1741="positive","c","d"))))</x:f>
        <x:v>d</x:v>
      </x:c>
    </x:row>
    <x:row r="1742" ht="24" customHeight="1">
      <x:c r="A1742" s="12" t="str">
        <x:v>16469</x:v>
      </x:c>
      <x:c r="B1742" s="12" t="str">
        <x:v>14183</x:v>
      </x:c>
      <x:c r="C1742" s="21" t="n">
        <x:v>35268.43607638889</x:v>
      </x:c>
      <x:c r="D1742" s="12" t="n">
        <x:v>43</x:v>
      </x:c>
      <x:c r="E1742" s="12" t="n">
        <x:v>0</x:v>
      </x:c>
      <x:c r="F1742" s="12" t="str">
        <x:v>未记录</x:v>
      </x:c>
      <x:c r="G1742" s="12" t="n">
        <x:v>1</x:v>
      </x:c>
      <x:c r="H1742" s="12" t="str">
        <x:v>{'NORM': 80.0, 'STACH': 0.0}</x:v>
      </x:c>
      <x:c r="I1742" s="12" t="str">
        <x:v>[('STACH', 100.0), ('IMI;AU', 50.0), ('AB', 100.0)]</x:v>
      </x:c>
      <x:c r="J1742" s="12" t="str">
        <x:v>ptbxl_database.csv；ecg_id=16469；scp_codes</x:v>
      </x:c>
      <x:c r="K1742" s="12" t="str">
        <x:v>12sl_statements.csv；ecg_id=16469；statements_ext_snomed</x:v>
      </x:c>
      <x:c r="L1742" s="12"/>
      <x:c r="M1742" s="12" t="str">
        <x:v>negative</x:v>
      </x:c>
      <x:c r="N1742" s="12"/>
      <x:c r="O1742" s="12" t="str">
        <x:v>negative</x:v>
      </x:c>
      <x:c r="P1742" s="12" t="str">
        <x:f>IF(OR(M1742="unavailable",O1742="unavailable"),"不可评价",IF(OR(M1742="equivocal",O1742="equivocal"),"疑似",IF(AND(M1742="positive",O1742="positive"),"a",IF(O1742="positive","b",IF(M1742="positive","c","d")))))</x:f>
        <x:v>d</x:v>
      </x:c>
      <x:c r="Q1742" s="12"/>
      <x:c r="R1742" s="12" t="str">
        <x:v>negative</x:v>
      </x:c>
      <x:c r="S1742" s="12"/>
      <x:c r="T1742" s="12" t="str">
        <x:v>negative</x:v>
      </x:c>
      <x:c r="U1742" s="12" t="str">
        <x:f>IF(OR(R1742="unavailable",T1742="unavailable"),"不可评价",IF(OR(R1742="equivocal",T1742="equivocal"),"疑似",IF(AND(R1742="positive",T1742="positive"),"a",IF(T1742="positive","b",IF(R1742="positive","c","d")))))</x:f>
        <x:v>d</x:v>
      </x:c>
      <x:c r="V1742" s="12"/>
      <x:c r="W1742" s="12" t="str">
        <x:v>negative</x:v>
      </x:c>
      <x:c r="X1742" s="12"/>
      <x:c r="Y1742" s="12" t="str">
        <x:v>negative</x:v>
      </x:c>
      <x:c r="Z1742" s="12" t="str">
        <x:f>IF(OR(W1742="unavailable",Y1742="unavailable"),"不可评价",IF(OR(W1742="equivocal",Y1742="equivocal"),"疑似",IF(AND(W1742="positive",Y1742="positive"),"a",IF(Y1742="positive","b",IF(W1742="positive","c","d")))))</x:f>
        <x:v>d</x:v>
      </x:c>
      <x:c r="AA1742" s="12" t="str">
        <x:f>IF(OR(M1742="unavailable",O1742="unavailable"),"不可评价",IF(AND(OR(M1742="positive",M1742="equivocal"),OR(O1742="positive",O1742="equivocal")),"a",IF(OR(O1742="positive",O1742="equivocal"),"b",IF(OR(M1742="positive",M1742="equivocal"),"c","d"))))</x:f>
        <x:v>d</x:v>
      </x:c>
      <x:c r="AB1742" s="12" t="str">
        <x:f>IF(OR(M1742="unavailable",O1742="unavailable"),"不可评价",IF(AND(M1742="positive",O1742="positive"),"a",IF(O1742="positive","b",IF(M1742="positive","c","d"))))</x:f>
        <x:v>d</x:v>
      </x:c>
      <x:c r="AC1742" s="12" t="str">
        <x:f>IF(OR(R1742="unavailable",T1742="unavailable"),"不可评价",IF(AND(OR(R1742="positive",R1742="equivocal"),OR(T1742="positive",T1742="equivocal")),"a",IF(OR(T1742="positive",T1742="equivocal"),"b",IF(OR(R1742="positive",R1742="equivocal"),"c","d"))))</x:f>
        <x:v>d</x:v>
      </x:c>
      <x:c r="AD1742" s="12" t="str">
        <x:f>IF(OR(R1742="unavailable",T1742="unavailable"),"不可评价",IF(AND(R1742="positive",T1742="positive"),"a",IF(T1742="positive","b",IF(R1742="positive","c","d"))))</x:f>
        <x:v>d</x:v>
      </x:c>
      <x:c r="AE1742" s="12" t="str">
        <x:f>IF(OR(W1742="unavailable",Y1742="unavailable"),"不可评价",IF(AND(OR(W1742="positive",W1742="equivocal"),OR(Y1742="positive",Y1742="equivocal")),"a",IF(OR(Y1742="positive",Y1742="equivocal"),"b",IF(OR(W1742="positive",W1742="equivocal"),"c","d"))))</x:f>
        <x:v>d</x:v>
      </x:c>
      <x:c r="AF1742" s="12" t="str">
        <x:f>IF(OR(W1742="unavailable",Y1742="unavailable"),"不可评价",IF(AND(W1742="positive",Y1742="positive"),"a",IF(Y1742="positive","b",IF(W1742="positive","c","d"))))</x:f>
        <x:v>d</x:v>
      </x:c>
    </x:row>
    <x:row r="1743" ht="24" customHeight="1">
      <x:c r="A1743" s="12" t="str">
        <x:v>16499</x:v>
      </x:c>
      <x:c r="B1743" s="12" t="str">
        <x:v>11291</x:v>
      </x:c>
      <x:c r="C1743" s="21" t="n">
        <x:v>35272.46716435185</x:v>
      </x:c>
      <x:c r="D1743" s="12" t="n">
        <x:v>38</x:v>
      </x:c>
      <x:c r="E1743" s="12" t="n">
        <x:v>0</x:v>
      </x:c>
      <x:c r="F1743" s="12" t="str">
        <x:v>未记录</x:v>
      </x:c>
      <x:c r="G1743" s="12" t="n">
        <x:v>1</x:v>
      </x:c>
      <x:c r="H1743" s="12" t="str">
        <x:v>{'NORM': 100.0, 'SR': 0.0}</x:v>
      </x:c>
      <x:c r="I1743" s="12" t="str">
        <x:v>[('NSR', 100.0), ('NML', 100.0)]</x:v>
      </x:c>
      <x:c r="J1743" s="12" t="str">
        <x:v>ptbxl_database.csv；ecg_id=16499；scp_codes</x:v>
      </x:c>
      <x:c r="K1743" s="12" t="str">
        <x:v>12sl_statements.csv；ecg_id=16499；statements_ext_snomed</x:v>
      </x:c>
      <x:c r="L1743" s="12"/>
      <x:c r="M1743" s="12" t="str">
        <x:v>negative</x:v>
      </x:c>
      <x:c r="N1743" s="12"/>
      <x:c r="O1743" s="12" t="str">
        <x:v>negative</x:v>
      </x:c>
      <x:c r="P1743" s="12" t="str">
        <x:f>IF(OR(M1743="unavailable",O1743="unavailable"),"不可评价",IF(OR(M1743="equivocal",O1743="equivocal"),"疑似",IF(AND(M1743="positive",O1743="positive"),"a",IF(O1743="positive","b",IF(M1743="positive","c","d")))))</x:f>
        <x:v>d</x:v>
      </x:c>
      <x:c r="Q1743" s="12"/>
      <x:c r="R1743" s="12" t="str">
        <x:v>negative</x:v>
      </x:c>
      <x:c r="S1743" s="12"/>
      <x:c r="T1743" s="12" t="str">
        <x:v>negative</x:v>
      </x:c>
      <x:c r="U1743" s="12" t="str">
        <x:f>IF(OR(R1743="unavailable",T1743="unavailable"),"不可评价",IF(OR(R1743="equivocal",T1743="equivocal"),"疑似",IF(AND(R1743="positive",T1743="positive"),"a",IF(T1743="positive","b",IF(R1743="positive","c","d")))))</x:f>
        <x:v>d</x:v>
      </x:c>
      <x:c r="V1743" s="12"/>
      <x:c r="W1743" s="12" t="str">
        <x:v>negative</x:v>
      </x:c>
      <x:c r="X1743" s="12"/>
      <x:c r="Y1743" s="12" t="str">
        <x:v>negative</x:v>
      </x:c>
      <x:c r="Z1743" s="12" t="str">
        <x:f>IF(OR(W1743="unavailable",Y1743="unavailable"),"不可评价",IF(OR(W1743="equivocal",Y1743="equivocal"),"疑似",IF(AND(W1743="positive",Y1743="positive"),"a",IF(Y1743="positive","b",IF(W1743="positive","c","d")))))</x:f>
        <x:v>d</x:v>
      </x:c>
      <x:c r="AA1743" s="12" t="str">
        <x:f>IF(OR(M1743="unavailable",O1743="unavailable"),"不可评价",IF(AND(OR(M1743="positive",M1743="equivocal"),OR(O1743="positive",O1743="equivocal")),"a",IF(OR(O1743="positive",O1743="equivocal"),"b",IF(OR(M1743="positive",M1743="equivocal"),"c","d"))))</x:f>
        <x:v>d</x:v>
      </x:c>
      <x:c r="AB1743" s="12" t="str">
        <x:f>IF(OR(M1743="unavailable",O1743="unavailable"),"不可评价",IF(AND(M1743="positive",O1743="positive"),"a",IF(O1743="positive","b",IF(M1743="positive","c","d"))))</x:f>
        <x:v>d</x:v>
      </x:c>
      <x:c r="AC1743" s="12" t="str">
        <x:f>IF(OR(R1743="unavailable",T1743="unavailable"),"不可评价",IF(AND(OR(R1743="positive",R1743="equivocal"),OR(T1743="positive",T1743="equivocal")),"a",IF(OR(T1743="positive",T1743="equivocal"),"b",IF(OR(R1743="positive",R1743="equivocal"),"c","d"))))</x:f>
        <x:v>d</x:v>
      </x:c>
      <x:c r="AD1743" s="12" t="str">
        <x:f>IF(OR(R1743="unavailable",T1743="unavailable"),"不可评价",IF(AND(R1743="positive",T1743="positive"),"a",IF(T1743="positive","b",IF(R1743="positive","c","d"))))</x:f>
        <x:v>d</x:v>
      </x:c>
      <x:c r="AE1743" s="12" t="str">
        <x:f>IF(OR(W1743="unavailable",Y1743="unavailable"),"不可评价",IF(AND(OR(W1743="positive",W1743="equivocal"),OR(Y1743="positive",Y1743="equivocal")),"a",IF(OR(Y1743="positive",Y1743="equivocal"),"b",IF(OR(W1743="positive",W1743="equivocal"),"c","d"))))</x:f>
        <x:v>d</x:v>
      </x:c>
      <x:c r="AF1743" s="12" t="str">
        <x:f>IF(OR(W1743="unavailable",Y1743="unavailable"),"不可评价",IF(AND(W1743="positive",Y1743="positive"),"a",IF(Y1743="positive","b",IF(W1743="positive","c","d"))))</x:f>
        <x:v>d</x:v>
      </x:c>
    </x:row>
    <x:row r="1744" ht="24" customHeight="1">
      <x:c r="A1744" s="12" t="str">
        <x:v>16511</x:v>
      </x:c>
      <x:c r="B1744" s="12" t="str">
        <x:v>2047</x:v>
      </x:c>
      <x:c r="C1744" s="21" t="n">
        <x:v>35273.36755787037</x:v>
      </x:c>
      <x:c r="D1744" s="12" t="n">
        <x:v>71</x:v>
      </x:c>
      <x:c r="E1744" s="12" t="n">
        <x:v>1</x:v>
      </x:c>
      <x:c r="F1744" s="12" t="str">
        <x:v>未记录</x:v>
      </x:c>
      <x:c r="G1744" s="12" t="n">
        <x:v>1</x:v>
      </x:c>
      <x:c r="H1744" s="12" t="str">
        <x:v>{'NDT': 100.0, 'STD_': 0.0, 'SR': 0.0}</x:v>
      </x:c>
      <x:c r="I1744" s="12" t="str">
        <x:v>[('NSR', 100.0), ('NSTT', 100.0), ('LNGQT', 100.0), ('AB', 100.0)]</x:v>
      </x:c>
      <x:c r="J1744" s="12" t="str">
        <x:v>ptbxl_database.csv；ecg_id=16511；scp_codes</x:v>
      </x:c>
      <x:c r="K1744" s="12" t="str">
        <x:v>12sl_statements.csv；ecg_id=16511；statements_ext_snomed</x:v>
      </x:c>
      <x:c r="L1744" s="12"/>
      <x:c r="M1744" s="12" t="str">
        <x:v>negative</x:v>
      </x:c>
      <x:c r="N1744" s="12"/>
      <x:c r="O1744" s="12" t="str">
        <x:v>negative</x:v>
      </x:c>
      <x:c r="P1744" s="12" t="str">
        <x:f>IF(OR(M1744="unavailable",O1744="unavailable"),"不可评价",IF(OR(M1744="equivocal",O1744="equivocal"),"疑似",IF(AND(M1744="positive",O1744="positive"),"a",IF(O1744="positive","b",IF(M1744="positive","c","d")))))</x:f>
        <x:v>d</x:v>
      </x:c>
      <x:c r="Q1744" s="12"/>
      <x:c r="R1744" s="12" t="str">
        <x:v>negative</x:v>
      </x:c>
      <x:c r="S1744" s="12"/>
      <x:c r="T1744" s="12" t="str">
        <x:v>negative</x:v>
      </x:c>
      <x:c r="U1744" s="12" t="str">
        <x:f>IF(OR(R1744="unavailable",T1744="unavailable"),"不可评价",IF(OR(R1744="equivocal",T1744="equivocal"),"疑似",IF(AND(R1744="positive",T1744="positive"),"a",IF(T1744="positive","b",IF(R1744="positive","c","d")))))</x:f>
        <x:v>d</x:v>
      </x:c>
      <x:c r="V1744" s="12"/>
      <x:c r="W1744" s="12" t="str">
        <x:v>negative</x:v>
      </x:c>
      <x:c r="X1744" s="12"/>
      <x:c r="Y1744" s="12" t="str">
        <x:v>negative</x:v>
      </x:c>
      <x:c r="Z1744" s="12" t="str">
        <x:f>IF(OR(W1744="unavailable",Y1744="unavailable"),"不可评价",IF(OR(W1744="equivocal",Y1744="equivocal"),"疑似",IF(AND(W1744="positive",Y1744="positive"),"a",IF(Y1744="positive","b",IF(W1744="positive","c","d")))))</x:f>
        <x:v>d</x:v>
      </x:c>
      <x:c r="AA1744" s="12" t="str">
        <x:f>IF(OR(M1744="unavailable",O1744="unavailable"),"不可评价",IF(AND(OR(M1744="positive",M1744="equivocal"),OR(O1744="positive",O1744="equivocal")),"a",IF(OR(O1744="positive",O1744="equivocal"),"b",IF(OR(M1744="positive",M1744="equivocal"),"c","d"))))</x:f>
        <x:v>d</x:v>
      </x:c>
      <x:c r="AB1744" s="12" t="str">
        <x:f>IF(OR(M1744="unavailable",O1744="unavailable"),"不可评价",IF(AND(M1744="positive",O1744="positive"),"a",IF(O1744="positive","b",IF(M1744="positive","c","d"))))</x:f>
        <x:v>d</x:v>
      </x:c>
      <x:c r="AC1744" s="12" t="str">
        <x:f>IF(OR(R1744="unavailable",T1744="unavailable"),"不可评价",IF(AND(OR(R1744="positive",R1744="equivocal"),OR(T1744="positive",T1744="equivocal")),"a",IF(OR(T1744="positive",T1744="equivocal"),"b",IF(OR(R1744="positive",R1744="equivocal"),"c","d"))))</x:f>
        <x:v>d</x:v>
      </x:c>
      <x:c r="AD1744" s="12" t="str">
        <x:f>IF(OR(R1744="unavailable",T1744="unavailable"),"不可评价",IF(AND(R1744="positive",T1744="positive"),"a",IF(T1744="positive","b",IF(R1744="positive","c","d"))))</x:f>
        <x:v>d</x:v>
      </x:c>
      <x:c r="AE1744" s="12" t="str">
        <x:f>IF(OR(W1744="unavailable",Y1744="unavailable"),"不可评价",IF(AND(OR(W1744="positive",W1744="equivocal"),OR(Y1744="positive",Y1744="equivocal")),"a",IF(OR(Y1744="positive",Y1744="equivocal"),"b",IF(OR(W1744="positive",W1744="equivocal"),"c","d"))))</x:f>
        <x:v>d</x:v>
      </x:c>
      <x:c r="AF1744" s="12" t="str">
        <x:f>IF(OR(W1744="unavailable",Y1744="unavailable"),"不可评价",IF(AND(W1744="positive",Y1744="positive"),"a",IF(Y1744="positive","b",IF(W1744="positive","c","d"))))</x:f>
        <x:v>d</x:v>
      </x:c>
    </x:row>
    <x:row r="1745" ht="24" customHeight="1">
      <x:c r="A1745" s="12" t="str">
        <x:v>16526</x:v>
      </x:c>
      <x:c r="B1745" s="12" t="str">
        <x:v>4621</x:v>
      </x:c>
      <x:c r="C1745" s="21" t="n">
        <x:v>35273.7918287037</x:v>
      </x:c>
      <x:c r="D1745" s="12" t="n">
        <x:v>70</x:v>
      </x:c>
      <x:c r="E1745" s="12" t="n">
        <x:v>1</x:v>
      </x:c>
      <x:c r="F1745" s="12" t="str">
        <x:v>未记录</x:v>
      </x:c>
      <x:c r="G1745" s="12" t="n">
        <x:v>1</x:v>
      </x:c>
      <x:c r="H1745" s="12" t="str">
        <x:v>{'IRBBB': 100.0, 'VCLVH': 0.0, 'SR': 0.0}</x:v>
      </x:c>
      <x:c r="I1745" s="12" t="str">
        <x:v>[('NSR', 100.0), ('BORDE', 100.0)]</x:v>
      </x:c>
      <x:c r="J1745" s="12" t="str">
        <x:v>ptbxl_database.csv；ecg_id=16526；scp_codes</x:v>
      </x:c>
      <x:c r="K1745" s="12" t="str">
        <x:v>12sl_statements.csv；ecg_id=16526；statements_ext_snomed</x:v>
      </x:c>
      <x:c r="L1745" s="12"/>
      <x:c r="M1745" s="12" t="str">
        <x:v>negative</x:v>
      </x:c>
      <x:c r="N1745" s="12"/>
      <x:c r="O1745" s="12" t="str">
        <x:v>negative</x:v>
      </x:c>
      <x:c r="P1745" s="12" t="str">
        <x:f>IF(OR(M1745="unavailable",O1745="unavailable"),"不可评价",IF(OR(M1745="equivocal",O1745="equivocal"),"疑似",IF(AND(M1745="positive",O1745="positive"),"a",IF(O1745="positive","b",IF(M1745="positive","c","d")))))</x:f>
        <x:v>d</x:v>
      </x:c>
      <x:c r="Q1745" s="12"/>
      <x:c r="R1745" s="12" t="str">
        <x:v>negative</x:v>
      </x:c>
      <x:c r="S1745" s="12"/>
      <x:c r="T1745" s="12" t="str">
        <x:v>negative</x:v>
      </x:c>
      <x:c r="U1745" s="12" t="str">
        <x:f>IF(OR(R1745="unavailable",T1745="unavailable"),"不可评价",IF(OR(R1745="equivocal",T1745="equivocal"),"疑似",IF(AND(R1745="positive",T1745="positive"),"a",IF(T1745="positive","b",IF(R1745="positive","c","d")))))</x:f>
        <x:v>d</x:v>
      </x:c>
      <x:c r="V1745" s="12"/>
      <x:c r="W1745" s="12" t="str">
        <x:v>negative</x:v>
      </x:c>
      <x:c r="X1745" s="12"/>
      <x:c r="Y1745" s="12" t="str">
        <x:v>negative</x:v>
      </x:c>
      <x:c r="Z1745" s="12" t="str">
        <x:f>IF(OR(W1745="unavailable",Y1745="unavailable"),"不可评价",IF(OR(W1745="equivocal",Y1745="equivocal"),"疑似",IF(AND(W1745="positive",Y1745="positive"),"a",IF(Y1745="positive","b",IF(W1745="positive","c","d")))))</x:f>
        <x:v>d</x:v>
      </x:c>
      <x:c r="AA1745" s="12" t="str">
        <x:f>IF(OR(M1745="unavailable",O1745="unavailable"),"不可评价",IF(AND(OR(M1745="positive",M1745="equivocal"),OR(O1745="positive",O1745="equivocal")),"a",IF(OR(O1745="positive",O1745="equivocal"),"b",IF(OR(M1745="positive",M1745="equivocal"),"c","d"))))</x:f>
        <x:v>d</x:v>
      </x:c>
      <x:c r="AB1745" s="12" t="str">
        <x:f>IF(OR(M1745="unavailable",O1745="unavailable"),"不可评价",IF(AND(M1745="positive",O1745="positive"),"a",IF(O1745="positive","b",IF(M1745="positive","c","d"))))</x:f>
        <x:v>d</x:v>
      </x:c>
      <x:c r="AC1745" s="12" t="str">
        <x:f>IF(OR(R1745="unavailable",T1745="unavailable"),"不可评价",IF(AND(OR(R1745="positive",R1745="equivocal"),OR(T1745="positive",T1745="equivocal")),"a",IF(OR(T1745="positive",T1745="equivocal"),"b",IF(OR(R1745="positive",R1745="equivocal"),"c","d"))))</x:f>
        <x:v>d</x:v>
      </x:c>
      <x:c r="AD1745" s="12" t="str">
        <x:f>IF(OR(R1745="unavailable",T1745="unavailable"),"不可评价",IF(AND(R1745="positive",T1745="positive"),"a",IF(T1745="positive","b",IF(R1745="positive","c","d"))))</x:f>
        <x:v>d</x:v>
      </x:c>
      <x:c r="AE1745" s="12" t="str">
        <x:f>IF(OR(W1745="unavailable",Y1745="unavailable"),"不可评价",IF(AND(OR(W1745="positive",W1745="equivocal"),OR(Y1745="positive",Y1745="equivocal")),"a",IF(OR(Y1745="positive",Y1745="equivocal"),"b",IF(OR(W1745="positive",W1745="equivocal"),"c","d"))))</x:f>
        <x:v>d</x:v>
      </x:c>
      <x:c r="AF1745" s="12" t="str">
        <x:f>IF(OR(W1745="unavailable",Y1745="unavailable"),"不可评价",IF(AND(W1745="positive",Y1745="positive"),"a",IF(Y1745="positive","b",IF(W1745="positive","c","d"))))</x:f>
        <x:v>d</x:v>
      </x:c>
    </x:row>
    <x:row r="1746" ht="24" customHeight="1">
      <x:c r="A1746" s="12" t="str">
        <x:v>16529</x:v>
      </x:c>
      <x:c r="B1746" s="12" t="str">
        <x:v>4699</x:v>
      </x:c>
      <x:c r="C1746" s="21" t="n">
        <x:v>35274.55086805556</x:v>
      </x:c>
      <x:c r="D1746" s="12" t="n">
        <x:v>59</x:v>
      </x:c>
      <x:c r="E1746" s="12" t="n">
        <x:v>0</x:v>
      </x:c>
      <x:c r="F1746" s="12" t="str">
        <x:v>未记录</x:v>
      </x:c>
      <x:c r="G1746" s="12" t="n">
        <x:v>1</x:v>
      </x:c>
      <x:c r="H1746" s="12" t="str">
        <x:v>{'LAFB': 100.0, 'SR': 0.0}</x:v>
      </x:c>
      <x:c r="I1746" s="12" t="str">
        <x:v>[('NSR', 100.0), ('LAD3', 100.0), ('AB', 100.0)]</x:v>
      </x:c>
      <x:c r="J1746" s="12" t="str">
        <x:v>ptbxl_database.csv；ecg_id=16529；scp_codes</x:v>
      </x:c>
      <x:c r="K1746" s="12" t="str">
        <x:v>12sl_statements.csv；ecg_id=16529；statements_ext_snomed</x:v>
      </x:c>
      <x:c r="L1746" s="12"/>
      <x:c r="M1746" s="12" t="str">
        <x:v>negative</x:v>
      </x:c>
      <x:c r="N1746" s="12"/>
      <x:c r="O1746" s="12" t="str">
        <x:v>negative</x:v>
      </x:c>
      <x:c r="P1746" s="12" t="str">
        <x:f>IF(OR(M1746="unavailable",O1746="unavailable"),"不可评价",IF(OR(M1746="equivocal",O1746="equivocal"),"疑似",IF(AND(M1746="positive",O1746="positive"),"a",IF(O1746="positive","b",IF(M1746="positive","c","d")))))</x:f>
        <x:v>d</x:v>
      </x:c>
      <x:c r="Q1746" s="12"/>
      <x:c r="R1746" s="12" t="str">
        <x:v>negative</x:v>
      </x:c>
      <x:c r="S1746" s="12"/>
      <x:c r="T1746" s="12" t="str">
        <x:v>negative</x:v>
      </x:c>
      <x:c r="U1746" s="12" t="str">
        <x:f>IF(OR(R1746="unavailable",T1746="unavailable"),"不可评价",IF(OR(R1746="equivocal",T1746="equivocal"),"疑似",IF(AND(R1746="positive",T1746="positive"),"a",IF(T1746="positive","b",IF(R1746="positive","c","d")))))</x:f>
        <x:v>d</x:v>
      </x:c>
      <x:c r="V1746" s="12"/>
      <x:c r="W1746" s="12" t="str">
        <x:v>negative</x:v>
      </x:c>
      <x:c r="X1746" s="12"/>
      <x:c r="Y1746" s="12" t="str">
        <x:v>negative</x:v>
      </x:c>
      <x:c r="Z1746" s="12" t="str">
        <x:f>IF(OR(W1746="unavailable",Y1746="unavailable"),"不可评价",IF(OR(W1746="equivocal",Y1746="equivocal"),"疑似",IF(AND(W1746="positive",Y1746="positive"),"a",IF(Y1746="positive","b",IF(W1746="positive","c","d")))))</x:f>
        <x:v>d</x:v>
      </x:c>
      <x:c r="AA1746" s="12" t="str">
        <x:f>IF(OR(M1746="unavailable",O1746="unavailable"),"不可评价",IF(AND(OR(M1746="positive",M1746="equivocal"),OR(O1746="positive",O1746="equivocal")),"a",IF(OR(O1746="positive",O1746="equivocal"),"b",IF(OR(M1746="positive",M1746="equivocal"),"c","d"))))</x:f>
        <x:v>d</x:v>
      </x:c>
      <x:c r="AB1746" s="12" t="str">
        <x:f>IF(OR(M1746="unavailable",O1746="unavailable"),"不可评价",IF(AND(M1746="positive",O1746="positive"),"a",IF(O1746="positive","b",IF(M1746="positive","c","d"))))</x:f>
        <x:v>d</x:v>
      </x:c>
      <x:c r="AC1746" s="12" t="str">
        <x:f>IF(OR(R1746="unavailable",T1746="unavailable"),"不可评价",IF(AND(OR(R1746="positive",R1746="equivocal"),OR(T1746="positive",T1746="equivocal")),"a",IF(OR(T1746="positive",T1746="equivocal"),"b",IF(OR(R1746="positive",R1746="equivocal"),"c","d"))))</x:f>
        <x:v>d</x:v>
      </x:c>
      <x:c r="AD1746" s="12" t="str">
        <x:f>IF(OR(R1746="unavailable",T1746="unavailable"),"不可评价",IF(AND(R1746="positive",T1746="positive"),"a",IF(T1746="positive","b",IF(R1746="positive","c","d"))))</x:f>
        <x:v>d</x:v>
      </x:c>
      <x:c r="AE1746" s="12" t="str">
        <x:f>IF(OR(W1746="unavailable",Y1746="unavailable"),"不可评价",IF(AND(OR(W1746="positive",W1746="equivocal"),OR(Y1746="positive",Y1746="equivocal")),"a",IF(OR(Y1746="positive",Y1746="equivocal"),"b",IF(OR(W1746="positive",W1746="equivocal"),"c","d"))))</x:f>
        <x:v>d</x:v>
      </x:c>
      <x:c r="AF1746" s="12" t="str">
        <x:f>IF(OR(W1746="unavailable",Y1746="unavailable"),"不可评价",IF(AND(W1746="positive",Y1746="positive"),"a",IF(Y1746="positive","b",IF(W1746="positive","c","d"))))</x:f>
        <x:v>d</x:v>
      </x:c>
    </x:row>
    <x:row r="1747" ht="24" customHeight="1">
      <x:c r="A1747" s="12" t="str">
        <x:v>16532</x:v>
      </x:c>
      <x:c r="B1747" s="12" t="str">
        <x:v>19983</x:v>
      </x:c>
      <x:c r="C1747" s="21" t="n">
        <x:v>35274.63763888889</x:v>
      </x:c>
      <x:c r="D1747" s="12" t="n">
        <x:v>80</x:v>
      </x:c>
      <x:c r="E1747" s="12" t="n">
        <x:v>1</x:v>
      </x:c>
      <x:c r="F1747" s="12" t="str">
        <x:v>存在</x:v>
      </x:c>
      <x:c r="G1747" s="12" t="n">
        <x:v>1</x:v>
      </x:c>
      <x:c r="H1747" s="12" t="str">
        <x:v>{'LMI': 15.0, 'IMI': 15.0, 'ABQRS': 0.0, 'SR': 0.0}</x:v>
      </x:c>
      <x:c r="I1747" s="12" t="str">
        <x:v>[('NSR', 100.0), ('NML', 100.0)]</x:v>
      </x:c>
      <x:c r="J1747" s="12" t="str">
        <x:v>ptbxl_database.csv；ecg_id=16532；scp_codes</x:v>
      </x:c>
      <x:c r="K1747" s="12" t="str">
        <x:v>12sl_statements.csv；ecg_id=16532；statements_ext_snomed</x:v>
      </x:c>
      <x:c r="L1747" s="12"/>
      <x:c r="M1747" s="12" t="str">
        <x:v>negative</x:v>
      </x:c>
      <x:c r="N1747" s="12"/>
      <x:c r="O1747" s="12" t="str">
        <x:v>negative</x:v>
      </x:c>
      <x:c r="P1747" s="12" t="str">
        <x:f>IF(OR(M1747="unavailable",O1747="unavailable"),"不可评价",IF(OR(M1747="equivocal",O1747="equivocal"),"疑似",IF(AND(M1747="positive",O1747="positive"),"a",IF(O1747="positive","b",IF(M1747="positive","c","d")))))</x:f>
        <x:v>d</x:v>
      </x:c>
      <x:c r="Q1747" s="12"/>
      <x:c r="R1747" s="12" t="str">
        <x:v>negative</x:v>
      </x:c>
      <x:c r="S1747" s="12"/>
      <x:c r="T1747" s="12" t="str">
        <x:v>negative</x:v>
      </x:c>
      <x:c r="U1747" s="12" t="str">
        <x:f>IF(OR(R1747="unavailable",T1747="unavailable"),"不可评价",IF(OR(R1747="equivocal",T1747="equivocal"),"疑似",IF(AND(R1747="positive",T1747="positive"),"a",IF(T1747="positive","b",IF(R1747="positive","c","d")))))</x:f>
        <x:v>d</x:v>
      </x:c>
      <x:c r="V1747" s="12"/>
      <x:c r="W1747" s="12" t="str">
        <x:v>negative</x:v>
      </x:c>
      <x:c r="X1747" s="12"/>
      <x:c r="Y1747" s="12" t="str">
        <x:v>negative</x:v>
      </x:c>
      <x:c r="Z1747" s="12" t="str">
        <x:f>IF(OR(W1747="unavailable",Y1747="unavailable"),"不可评价",IF(OR(W1747="equivocal",Y1747="equivocal"),"疑似",IF(AND(W1747="positive",Y1747="positive"),"a",IF(Y1747="positive","b",IF(W1747="positive","c","d")))))</x:f>
        <x:v>d</x:v>
      </x:c>
      <x:c r="AA1747" s="12" t="str">
        <x:f>IF(OR(M1747="unavailable",O1747="unavailable"),"不可评价",IF(AND(OR(M1747="positive",M1747="equivocal"),OR(O1747="positive",O1747="equivocal")),"a",IF(OR(O1747="positive",O1747="equivocal"),"b",IF(OR(M1747="positive",M1747="equivocal"),"c","d"))))</x:f>
        <x:v>d</x:v>
      </x:c>
      <x:c r="AB1747" s="12" t="str">
        <x:f>IF(OR(M1747="unavailable",O1747="unavailable"),"不可评价",IF(AND(M1747="positive",O1747="positive"),"a",IF(O1747="positive","b",IF(M1747="positive","c","d"))))</x:f>
        <x:v>d</x:v>
      </x:c>
      <x:c r="AC1747" s="12" t="str">
        <x:f>IF(OR(R1747="unavailable",T1747="unavailable"),"不可评价",IF(AND(OR(R1747="positive",R1747="equivocal"),OR(T1747="positive",T1747="equivocal")),"a",IF(OR(T1747="positive",T1747="equivocal"),"b",IF(OR(R1747="positive",R1747="equivocal"),"c","d"))))</x:f>
        <x:v>d</x:v>
      </x:c>
      <x:c r="AD1747" s="12" t="str">
        <x:f>IF(OR(R1747="unavailable",T1747="unavailable"),"不可评价",IF(AND(R1747="positive",T1747="positive"),"a",IF(T1747="positive","b",IF(R1747="positive","c","d"))))</x:f>
        <x:v>d</x:v>
      </x:c>
      <x:c r="AE1747" s="12" t="str">
        <x:f>IF(OR(W1747="unavailable",Y1747="unavailable"),"不可评价",IF(AND(OR(W1747="positive",W1747="equivocal"),OR(Y1747="positive",Y1747="equivocal")),"a",IF(OR(Y1747="positive",Y1747="equivocal"),"b",IF(OR(W1747="positive",W1747="equivocal"),"c","d"))))</x:f>
        <x:v>d</x:v>
      </x:c>
      <x:c r="AF1747" s="12" t="str">
        <x:f>IF(OR(W1747="unavailable",Y1747="unavailable"),"不可评价",IF(AND(W1747="positive",Y1747="positive"),"a",IF(Y1747="positive","b",IF(W1747="positive","c","d"))))</x:f>
        <x:v>d</x:v>
      </x:c>
    </x:row>
    <x:row r="1748" ht="24" customHeight="1">
      <x:c r="A1748" s="12" t="str">
        <x:v>16534</x:v>
      </x:c>
      <x:c r="B1748" s="12" t="str">
        <x:v>7742</x:v>
      </x:c>
      <x:c r="C1748" s="21" t="n">
        <x:v>35274.697534722225</x:v>
      </x:c>
      <x:c r="D1748" s="12" t="n">
        <x:v>55</x:v>
      </x:c>
      <x:c r="E1748" s="12" t="n">
        <x:v>1</x:v>
      </x:c>
      <x:c r="F1748" s="12" t="str">
        <x:v>未记录</x:v>
      </x:c>
      <x:c r="G1748" s="12" t="n">
        <x:v>1</x:v>
      </x:c>
      <x:c r="H1748" s="12" t="str">
        <x:v>{'NORM': 100.0}</x:v>
      </x:c>
      <x:c r="I1748" s="12" t="str">
        <x:v>[('SBRAD', 100.0), ('ABR', 100.0)]</x:v>
      </x:c>
      <x:c r="J1748" s="12" t="str">
        <x:v>ptbxl_database.csv；ecg_id=16534；scp_codes</x:v>
      </x:c>
      <x:c r="K1748" s="12" t="str">
        <x:v>12sl_statements.csv；ecg_id=16534；statements_ext_snomed</x:v>
      </x:c>
      <x:c r="L1748" s="12"/>
      <x:c r="M1748" s="12" t="str">
        <x:v>negative</x:v>
      </x:c>
      <x:c r="N1748" s="12"/>
      <x:c r="O1748" s="12" t="str">
        <x:v>negative</x:v>
      </x:c>
      <x:c r="P1748" s="12" t="str">
        <x:f>IF(OR(M1748="unavailable",O1748="unavailable"),"不可评价",IF(OR(M1748="equivocal",O1748="equivocal"),"疑似",IF(AND(M1748="positive",O1748="positive"),"a",IF(O1748="positive","b",IF(M1748="positive","c","d")))))</x:f>
        <x:v>d</x:v>
      </x:c>
      <x:c r="Q1748" s="12"/>
      <x:c r="R1748" s="12" t="str">
        <x:v>negative</x:v>
      </x:c>
      <x:c r="S1748" s="12"/>
      <x:c r="T1748" s="12" t="str">
        <x:v>negative</x:v>
      </x:c>
      <x:c r="U1748" s="12" t="str">
        <x:f>IF(OR(R1748="unavailable",T1748="unavailable"),"不可评价",IF(OR(R1748="equivocal",T1748="equivocal"),"疑似",IF(AND(R1748="positive",T1748="positive"),"a",IF(T1748="positive","b",IF(R1748="positive","c","d")))))</x:f>
        <x:v>d</x:v>
      </x:c>
      <x:c r="V1748" s="12"/>
      <x:c r="W1748" s="12" t="str">
        <x:v>negative</x:v>
      </x:c>
      <x:c r="X1748" s="12"/>
      <x:c r="Y1748" s="12" t="str">
        <x:v>negative</x:v>
      </x:c>
      <x:c r="Z1748" s="12" t="str">
        <x:f>IF(OR(W1748="unavailable",Y1748="unavailable"),"不可评价",IF(OR(W1748="equivocal",Y1748="equivocal"),"疑似",IF(AND(W1748="positive",Y1748="positive"),"a",IF(Y1748="positive","b",IF(W1748="positive","c","d")))))</x:f>
        <x:v>d</x:v>
      </x:c>
      <x:c r="AA1748" s="12" t="str">
        <x:f>IF(OR(M1748="unavailable",O1748="unavailable"),"不可评价",IF(AND(OR(M1748="positive",M1748="equivocal"),OR(O1748="positive",O1748="equivocal")),"a",IF(OR(O1748="positive",O1748="equivocal"),"b",IF(OR(M1748="positive",M1748="equivocal"),"c","d"))))</x:f>
        <x:v>d</x:v>
      </x:c>
      <x:c r="AB1748" s="12" t="str">
        <x:f>IF(OR(M1748="unavailable",O1748="unavailable"),"不可评价",IF(AND(M1748="positive",O1748="positive"),"a",IF(O1748="positive","b",IF(M1748="positive","c","d"))))</x:f>
        <x:v>d</x:v>
      </x:c>
      <x:c r="AC1748" s="12" t="str">
        <x:f>IF(OR(R1748="unavailable",T1748="unavailable"),"不可评价",IF(AND(OR(R1748="positive",R1748="equivocal"),OR(T1748="positive",T1748="equivocal")),"a",IF(OR(T1748="positive",T1748="equivocal"),"b",IF(OR(R1748="positive",R1748="equivocal"),"c","d"))))</x:f>
        <x:v>d</x:v>
      </x:c>
      <x:c r="AD1748" s="12" t="str">
        <x:f>IF(OR(R1748="unavailable",T1748="unavailable"),"不可评价",IF(AND(R1748="positive",T1748="positive"),"a",IF(T1748="positive","b",IF(R1748="positive","c","d"))))</x:f>
        <x:v>d</x:v>
      </x:c>
      <x:c r="AE1748" s="12" t="str">
        <x:f>IF(OR(W1748="unavailable",Y1748="unavailable"),"不可评价",IF(AND(OR(W1748="positive",W1748="equivocal"),OR(Y1748="positive",Y1748="equivocal")),"a",IF(OR(Y1748="positive",Y1748="equivocal"),"b",IF(OR(W1748="positive",W1748="equivocal"),"c","d"))))</x:f>
        <x:v>d</x:v>
      </x:c>
      <x:c r="AF1748" s="12" t="str">
        <x:f>IF(OR(W1748="unavailable",Y1748="unavailable"),"不可评价",IF(AND(W1748="positive",Y1748="positive"),"a",IF(Y1748="positive","b",IF(W1748="positive","c","d"))))</x:f>
        <x:v>d</x:v>
      </x:c>
    </x:row>
    <x:row r="1749" ht="24" customHeight="1">
      <x:c r="A1749" s="12" t="str">
        <x:v>16535</x:v>
      </x:c>
      <x:c r="B1749" s="12" t="str">
        <x:v>11584</x:v>
      </x:c>
      <x:c r="C1749" s="21" t="n">
        <x:v>35274.79534722222</x:v>
      </x:c>
      <x:c r="D1749" s="12" t="n">
        <x:v>78</x:v>
      </x:c>
      <x:c r="E1749" s="12" t="n">
        <x:v>1</x:v>
      </x:c>
      <x:c r="F1749" s="12" t="str">
        <x:v>未记录</x:v>
      </x:c>
      <x:c r="G1749" s="12" t="n">
        <x:v>1</x:v>
      </x:c>
      <x:c r="H1749" s="12" t="str">
        <x:v>{'ISCAS': 100.0, 'AFIB': 0.0}</x:v>
      </x:c>
      <x:c r="I1749" s="12" t="str">
        <x:v>[('AFIB', 100.0), ('RVR', 100.0), ('STDEP2', 100.0), ('NT', 100.0), ('AB', 100.0)]</x:v>
      </x:c>
      <x:c r="J1749" s="12" t="str">
        <x:v>ptbxl_database.csv；ecg_id=16535；scp_codes</x:v>
      </x:c>
      <x:c r="K1749" s="12" t="str">
        <x:v>12sl_statements.csv；ecg_id=16535；statements_ext_snomed</x:v>
      </x:c>
      <x:c r="L1749" s="12" t="n">
        <x:v>0</x:v>
      </x:c>
      <x:c r="M1749" s="12" t="str">
        <x:v>positive</x:v>
      </x:c>
      <x:c r="N1749" s="12" t="n">
        <x:v>100</x:v>
      </x:c>
      <x:c r="O1749" s="12" t="str">
        <x:v>positive</x:v>
      </x:c>
      <x:c r="P1749" s="12" t="str">
        <x:f>IF(OR(M1749="unavailable",O1749="unavailable"),"不可评价",IF(OR(M1749="equivocal",O1749="equivocal"),"疑似",IF(AND(M1749="positive",O1749="positive"),"a",IF(O1749="positive","b",IF(M1749="positive","c","d")))))</x:f>
        <x:v>a</x:v>
      </x:c>
      <x:c r="Q1749" s="12"/>
      <x:c r="R1749" s="12" t="str">
        <x:v>negative</x:v>
      </x:c>
      <x:c r="S1749" s="12"/>
      <x:c r="T1749" s="12" t="str">
        <x:v>negative</x:v>
      </x:c>
      <x:c r="U1749" s="12" t="str">
        <x:f>IF(OR(R1749="unavailable",T1749="unavailable"),"不可评价",IF(OR(R1749="equivocal",T1749="equivocal"),"疑似",IF(AND(R1749="positive",T1749="positive"),"a",IF(T1749="positive","b",IF(R1749="positive","c","d")))))</x:f>
        <x:v>d</x:v>
      </x:c>
      <x:c r="V1749" s="12"/>
      <x:c r="W1749" s="12" t="str">
        <x:v>negative</x:v>
      </x:c>
      <x:c r="X1749" s="12"/>
      <x:c r="Y1749" s="12" t="str">
        <x:v>negative</x:v>
      </x:c>
      <x:c r="Z1749" s="12" t="str">
        <x:f>IF(OR(W1749="unavailable",Y1749="unavailable"),"不可评价",IF(OR(W1749="equivocal",Y1749="equivocal"),"疑似",IF(AND(W1749="positive",Y1749="positive"),"a",IF(Y1749="positive","b",IF(W1749="positive","c","d")))))</x:f>
        <x:v>d</x:v>
      </x:c>
      <x:c r="AA1749" s="12" t="str">
        <x:f>IF(OR(M1749="unavailable",O1749="unavailable"),"不可评价",IF(AND(OR(M1749="positive",M1749="equivocal"),OR(O1749="positive",O1749="equivocal")),"a",IF(OR(O1749="positive",O1749="equivocal"),"b",IF(OR(M1749="positive",M1749="equivocal"),"c","d"))))</x:f>
        <x:v>a</x:v>
      </x:c>
      <x:c r="AB1749" s="12" t="str">
        <x:f>IF(OR(M1749="unavailable",O1749="unavailable"),"不可评价",IF(AND(M1749="positive",O1749="positive"),"a",IF(O1749="positive","b",IF(M1749="positive","c","d"))))</x:f>
        <x:v>a</x:v>
      </x:c>
      <x:c r="AC1749" s="12" t="str">
        <x:f>IF(OR(R1749="unavailable",T1749="unavailable"),"不可评价",IF(AND(OR(R1749="positive",R1749="equivocal"),OR(T1749="positive",T1749="equivocal")),"a",IF(OR(T1749="positive",T1749="equivocal"),"b",IF(OR(R1749="positive",R1749="equivocal"),"c","d"))))</x:f>
        <x:v>d</x:v>
      </x:c>
      <x:c r="AD1749" s="12" t="str">
        <x:f>IF(OR(R1749="unavailable",T1749="unavailable"),"不可评价",IF(AND(R1749="positive",T1749="positive"),"a",IF(T1749="positive","b",IF(R1749="positive","c","d"))))</x:f>
        <x:v>d</x:v>
      </x:c>
      <x:c r="AE1749" s="12" t="str">
        <x:f>IF(OR(W1749="unavailable",Y1749="unavailable"),"不可评价",IF(AND(OR(W1749="positive",W1749="equivocal"),OR(Y1749="positive",Y1749="equivocal")),"a",IF(OR(Y1749="positive",Y1749="equivocal"),"b",IF(OR(W1749="positive",W1749="equivocal"),"c","d"))))</x:f>
        <x:v>d</x:v>
      </x:c>
      <x:c r="AF1749" s="12" t="str">
        <x:f>IF(OR(W1749="unavailable",Y1749="unavailable"),"不可评价",IF(AND(W1749="positive",Y1749="positive"),"a",IF(Y1749="positive","b",IF(W1749="positive","c","d"))))</x:f>
        <x:v>d</x:v>
      </x:c>
    </x:row>
    <x:row r="1750" ht="24" customHeight="1">
      <x:c r="A1750" s="12" t="str">
        <x:v>16537</x:v>
      </x:c>
      <x:c r="B1750" s="12" t="str">
        <x:v>1509</x:v>
      </x:c>
      <x:c r="C1750" s="21" t="n">
        <x:v>35275.46796296296</x:v>
      </x:c>
      <x:c r="D1750" s="12" t="n">
        <x:v>44</x:v>
      </x:c>
      <x:c r="E1750" s="12" t="n">
        <x:v>1</x:v>
      </x:c>
      <x:c r="F1750" s="12" t="str">
        <x:v>存在</x:v>
      </x:c>
      <x:c r="G1750" s="12" t="n">
        <x:v>1</x:v>
      </x:c>
      <x:c r="H1750" s="12" t="str">
        <x:v>{'NORM': 100.0, 'SR': 0.0}</x:v>
      </x:c>
      <x:c r="I1750" s="12" t="str">
        <x:v>[('NSR', 100.0), ('NML', 100.0)]</x:v>
      </x:c>
      <x:c r="J1750" s="12" t="str">
        <x:v>ptbxl_database.csv；ecg_id=16537；scp_codes</x:v>
      </x:c>
      <x:c r="K1750" s="12" t="str">
        <x:v>12sl_statements.csv；ecg_id=16537；statements_ext_snomed</x:v>
      </x:c>
      <x:c r="L1750" s="12"/>
      <x:c r="M1750" s="12" t="str">
        <x:v>negative</x:v>
      </x:c>
      <x:c r="N1750" s="12"/>
      <x:c r="O1750" s="12" t="str">
        <x:v>negative</x:v>
      </x:c>
      <x:c r="P1750" s="12" t="str">
        <x:f>IF(OR(M1750="unavailable",O1750="unavailable"),"不可评价",IF(OR(M1750="equivocal",O1750="equivocal"),"疑似",IF(AND(M1750="positive",O1750="positive"),"a",IF(O1750="positive","b",IF(M1750="positive","c","d")))))</x:f>
        <x:v>d</x:v>
      </x:c>
      <x:c r="Q1750" s="12"/>
      <x:c r="R1750" s="12" t="str">
        <x:v>negative</x:v>
      </x:c>
      <x:c r="S1750" s="12"/>
      <x:c r="T1750" s="12" t="str">
        <x:v>negative</x:v>
      </x:c>
      <x:c r="U1750" s="12" t="str">
        <x:f>IF(OR(R1750="unavailable",T1750="unavailable"),"不可评价",IF(OR(R1750="equivocal",T1750="equivocal"),"疑似",IF(AND(R1750="positive",T1750="positive"),"a",IF(T1750="positive","b",IF(R1750="positive","c","d")))))</x:f>
        <x:v>d</x:v>
      </x:c>
      <x:c r="V1750" s="12"/>
      <x:c r="W1750" s="12" t="str">
        <x:v>negative</x:v>
      </x:c>
      <x:c r="X1750" s="12"/>
      <x:c r="Y1750" s="12" t="str">
        <x:v>negative</x:v>
      </x:c>
      <x:c r="Z1750" s="12" t="str">
        <x:f>IF(OR(W1750="unavailable",Y1750="unavailable"),"不可评价",IF(OR(W1750="equivocal",Y1750="equivocal"),"疑似",IF(AND(W1750="positive",Y1750="positive"),"a",IF(Y1750="positive","b",IF(W1750="positive","c","d")))))</x:f>
        <x:v>d</x:v>
      </x:c>
      <x:c r="AA1750" s="12" t="str">
        <x:f>IF(OR(M1750="unavailable",O1750="unavailable"),"不可评价",IF(AND(OR(M1750="positive",M1750="equivocal"),OR(O1750="positive",O1750="equivocal")),"a",IF(OR(O1750="positive",O1750="equivocal"),"b",IF(OR(M1750="positive",M1750="equivocal"),"c","d"))))</x:f>
        <x:v>d</x:v>
      </x:c>
      <x:c r="AB1750" s="12" t="str">
        <x:f>IF(OR(M1750="unavailable",O1750="unavailable"),"不可评价",IF(AND(M1750="positive",O1750="positive"),"a",IF(O1750="positive","b",IF(M1750="positive","c","d"))))</x:f>
        <x:v>d</x:v>
      </x:c>
      <x:c r="AC1750" s="12" t="str">
        <x:f>IF(OR(R1750="unavailable",T1750="unavailable"),"不可评价",IF(AND(OR(R1750="positive",R1750="equivocal"),OR(T1750="positive",T1750="equivocal")),"a",IF(OR(T1750="positive",T1750="equivocal"),"b",IF(OR(R1750="positive",R1750="equivocal"),"c","d"))))</x:f>
        <x:v>d</x:v>
      </x:c>
      <x:c r="AD1750" s="12" t="str">
        <x:f>IF(OR(R1750="unavailable",T1750="unavailable"),"不可评价",IF(AND(R1750="positive",T1750="positive"),"a",IF(T1750="positive","b",IF(R1750="positive","c","d"))))</x:f>
        <x:v>d</x:v>
      </x:c>
      <x:c r="AE1750" s="12" t="str">
        <x:f>IF(OR(W1750="unavailable",Y1750="unavailable"),"不可评价",IF(AND(OR(W1750="positive",W1750="equivocal"),OR(Y1750="positive",Y1750="equivocal")),"a",IF(OR(Y1750="positive",Y1750="equivocal"),"b",IF(OR(W1750="positive",W1750="equivocal"),"c","d"))))</x:f>
        <x:v>d</x:v>
      </x:c>
      <x:c r="AF1750" s="12" t="str">
        <x:f>IF(OR(W1750="unavailable",Y1750="unavailable"),"不可评价",IF(AND(W1750="positive",Y1750="positive"),"a",IF(Y1750="positive","b",IF(W1750="positive","c","d"))))</x:f>
        <x:v>d</x:v>
      </x:c>
    </x:row>
    <x:row r="1751" ht="24" customHeight="1">
      <x:c r="A1751" s="12" t="str">
        <x:v>16542</x:v>
      </x:c>
      <x:c r="B1751" s="12" t="str">
        <x:v>20890</x:v>
      </x:c>
      <x:c r="C1751" s="21" t="n">
        <x:v>35275.81087962963</x:v>
      </x:c>
      <x:c r="D1751" s="12" t="n">
        <x:v>65</x:v>
      </x:c>
      <x:c r="E1751" s="12" t="n">
        <x:v>1</x:v>
      </x:c>
      <x:c r="F1751" s="12" t="str">
        <x:v>未记录</x:v>
      </x:c>
      <x:c r="G1751" s="12" t="n">
        <x:v>1</x:v>
      </x:c>
      <x:c r="H1751" s="12" t="str">
        <x:v>{'NORM': 100.0, 'SR': 0.0}</x:v>
      </x:c>
      <x:c r="I1751" s="12" t="str">
        <x:v>[('NSR', 100.0), ('NST', 100.0), ('AB', 100.0)]</x:v>
      </x:c>
      <x:c r="J1751" s="12" t="str">
        <x:v>ptbxl_database.csv；ecg_id=16542；scp_codes</x:v>
      </x:c>
      <x:c r="K1751" s="12" t="str">
        <x:v>12sl_statements.csv；ecg_id=16542；statements_ext_snomed</x:v>
      </x:c>
      <x:c r="L1751" s="12"/>
      <x:c r="M1751" s="12" t="str">
        <x:v>negative</x:v>
      </x:c>
      <x:c r="N1751" s="12"/>
      <x:c r="O1751" s="12" t="str">
        <x:v>negative</x:v>
      </x:c>
      <x:c r="P1751" s="12" t="str">
        <x:f>IF(OR(M1751="unavailable",O1751="unavailable"),"不可评价",IF(OR(M1751="equivocal",O1751="equivocal"),"疑似",IF(AND(M1751="positive",O1751="positive"),"a",IF(O1751="positive","b",IF(M1751="positive","c","d")))))</x:f>
        <x:v>d</x:v>
      </x:c>
      <x:c r="Q1751" s="12"/>
      <x:c r="R1751" s="12" t="str">
        <x:v>negative</x:v>
      </x:c>
      <x:c r="S1751" s="12"/>
      <x:c r="T1751" s="12" t="str">
        <x:v>negative</x:v>
      </x:c>
      <x:c r="U1751" s="12" t="str">
        <x:f>IF(OR(R1751="unavailable",T1751="unavailable"),"不可评价",IF(OR(R1751="equivocal",T1751="equivocal"),"疑似",IF(AND(R1751="positive",T1751="positive"),"a",IF(T1751="positive","b",IF(R1751="positive","c","d")))))</x:f>
        <x:v>d</x:v>
      </x:c>
      <x:c r="V1751" s="12"/>
      <x:c r="W1751" s="12" t="str">
        <x:v>negative</x:v>
      </x:c>
      <x:c r="X1751" s="12"/>
      <x:c r="Y1751" s="12" t="str">
        <x:v>negative</x:v>
      </x:c>
      <x:c r="Z1751" s="12" t="str">
        <x:f>IF(OR(W1751="unavailable",Y1751="unavailable"),"不可评价",IF(OR(W1751="equivocal",Y1751="equivocal"),"疑似",IF(AND(W1751="positive",Y1751="positive"),"a",IF(Y1751="positive","b",IF(W1751="positive","c","d")))))</x:f>
        <x:v>d</x:v>
      </x:c>
      <x:c r="AA1751" s="12" t="str">
        <x:f>IF(OR(M1751="unavailable",O1751="unavailable"),"不可评价",IF(AND(OR(M1751="positive",M1751="equivocal"),OR(O1751="positive",O1751="equivocal")),"a",IF(OR(O1751="positive",O1751="equivocal"),"b",IF(OR(M1751="positive",M1751="equivocal"),"c","d"))))</x:f>
        <x:v>d</x:v>
      </x:c>
      <x:c r="AB1751" s="12" t="str">
        <x:f>IF(OR(M1751="unavailable",O1751="unavailable"),"不可评价",IF(AND(M1751="positive",O1751="positive"),"a",IF(O1751="positive","b",IF(M1751="positive","c","d"))))</x:f>
        <x:v>d</x:v>
      </x:c>
      <x:c r="AC1751" s="12" t="str">
        <x:f>IF(OR(R1751="unavailable",T1751="unavailable"),"不可评价",IF(AND(OR(R1751="positive",R1751="equivocal"),OR(T1751="positive",T1751="equivocal")),"a",IF(OR(T1751="positive",T1751="equivocal"),"b",IF(OR(R1751="positive",R1751="equivocal"),"c","d"))))</x:f>
        <x:v>d</x:v>
      </x:c>
      <x:c r="AD1751" s="12" t="str">
        <x:f>IF(OR(R1751="unavailable",T1751="unavailable"),"不可评价",IF(AND(R1751="positive",T1751="positive"),"a",IF(T1751="positive","b",IF(R1751="positive","c","d"))))</x:f>
        <x:v>d</x:v>
      </x:c>
      <x:c r="AE1751" s="12" t="str">
        <x:f>IF(OR(W1751="unavailable",Y1751="unavailable"),"不可评价",IF(AND(OR(W1751="positive",W1751="equivocal"),OR(Y1751="positive",Y1751="equivocal")),"a",IF(OR(Y1751="positive",Y1751="equivocal"),"b",IF(OR(W1751="positive",W1751="equivocal"),"c","d"))))</x:f>
        <x:v>d</x:v>
      </x:c>
      <x:c r="AF1751" s="12" t="str">
        <x:f>IF(OR(W1751="unavailable",Y1751="unavailable"),"不可评价",IF(AND(W1751="positive",Y1751="positive"),"a",IF(Y1751="positive","b",IF(W1751="positive","c","d"))))</x:f>
        <x:v>d</x:v>
      </x:c>
    </x:row>
    <x:row r="1752" ht="24" customHeight="1">
      <x:c r="A1752" s="12" t="str">
        <x:v>16543</x:v>
      </x:c>
      <x:c r="B1752" s="12" t="str">
        <x:v>10790</x:v>
      </x:c>
      <x:c r="C1752" s="21" t="n">
        <x:v>35276.13118055555</x:v>
      </x:c>
      <x:c r="D1752" s="12" t="n">
        <x:v>70</x:v>
      </x:c>
      <x:c r="E1752" s="12" t="n">
        <x:v>0</x:v>
      </x:c>
      <x:c r="F1752" s="12" t="str">
        <x:v>存在</x:v>
      </x:c>
      <x:c r="G1752" s="12" t="n">
        <x:v>1</x:v>
      </x:c>
      <x:c r="H1752" s="12" t="str">
        <x:v>{'IMI': 50.0, 'ABQRS': 0.0, 'SR': 0.0}</x:v>
      </x:c>
      <x:c r="I1752" s="12" t="str">
        <x:v>[('EABRAD', 100.0), ('IMI;AU', 100.0), ('AB', 100.0)]</x:v>
      </x:c>
      <x:c r="J1752" s="12" t="str">
        <x:v>ptbxl_database.csv；ecg_id=16543；scp_codes</x:v>
      </x:c>
      <x:c r="K1752" s="12" t="str">
        <x:v>12sl_statements.csv；ecg_id=16543；statements_ext_snomed</x:v>
      </x:c>
      <x:c r="L1752" s="12"/>
      <x:c r="M1752" s="12" t="str">
        <x:v>negative</x:v>
      </x:c>
      <x:c r="N1752" s="12"/>
      <x:c r="O1752" s="12" t="str">
        <x:v>negative</x:v>
      </x:c>
      <x:c r="P1752" s="12" t="str">
        <x:f>IF(OR(M1752="unavailable",O1752="unavailable"),"不可评价",IF(OR(M1752="equivocal",O1752="equivocal"),"疑似",IF(AND(M1752="positive",O1752="positive"),"a",IF(O1752="positive","b",IF(M1752="positive","c","d")))))</x:f>
        <x:v>d</x:v>
      </x:c>
      <x:c r="Q1752" s="12"/>
      <x:c r="R1752" s="12" t="str">
        <x:v>negative</x:v>
      </x:c>
      <x:c r="S1752" s="12"/>
      <x:c r="T1752" s="12" t="str">
        <x:v>negative</x:v>
      </x:c>
      <x:c r="U1752" s="12" t="str">
        <x:f>IF(OR(R1752="unavailable",T1752="unavailable"),"不可评价",IF(OR(R1752="equivocal",T1752="equivocal"),"疑似",IF(AND(R1752="positive",T1752="positive"),"a",IF(T1752="positive","b",IF(R1752="positive","c","d")))))</x:f>
        <x:v>d</x:v>
      </x:c>
      <x:c r="V1752" s="12"/>
      <x:c r="W1752" s="12" t="str">
        <x:v>negative</x:v>
      </x:c>
      <x:c r="X1752" s="12"/>
      <x:c r="Y1752" s="12" t="str">
        <x:v>negative</x:v>
      </x:c>
      <x:c r="Z1752" s="12" t="str">
        <x:f>IF(OR(W1752="unavailable",Y1752="unavailable"),"不可评价",IF(OR(W1752="equivocal",Y1752="equivocal"),"疑似",IF(AND(W1752="positive",Y1752="positive"),"a",IF(Y1752="positive","b",IF(W1752="positive","c","d")))))</x:f>
        <x:v>d</x:v>
      </x:c>
      <x:c r="AA1752" s="12" t="str">
        <x:f>IF(OR(M1752="unavailable",O1752="unavailable"),"不可评价",IF(AND(OR(M1752="positive",M1752="equivocal"),OR(O1752="positive",O1752="equivocal")),"a",IF(OR(O1752="positive",O1752="equivocal"),"b",IF(OR(M1752="positive",M1752="equivocal"),"c","d"))))</x:f>
        <x:v>d</x:v>
      </x:c>
      <x:c r="AB1752" s="12" t="str">
        <x:f>IF(OR(M1752="unavailable",O1752="unavailable"),"不可评价",IF(AND(M1752="positive",O1752="positive"),"a",IF(O1752="positive","b",IF(M1752="positive","c","d"))))</x:f>
        <x:v>d</x:v>
      </x:c>
      <x:c r="AC1752" s="12" t="str">
        <x:f>IF(OR(R1752="unavailable",T1752="unavailable"),"不可评价",IF(AND(OR(R1752="positive",R1752="equivocal"),OR(T1752="positive",T1752="equivocal")),"a",IF(OR(T1752="positive",T1752="equivocal"),"b",IF(OR(R1752="positive",R1752="equivocal"),"c","d"))))</x:f>
        <x:v>d</x:v>
      </x:c>
      <x:c r="AD1752" s="12" t="str">
        <x:f>IF(OR(R1752="unavailable",T1752="unavailable"),"不可评价",IF(AND(R1752="positive",T1752="positive"),"a",IF(T1752="positive","b",IF(R1752="positive","c","d"))))</x:f>
        <x:v>d</x:v>
      </x:c>
      <x:c r="AE1752" s="12" t="str">
        <x:f>IF(OR(W1752="unavailable",Y1752="unavailable"),"不可评价",IF(AND(OR(W1752="positive",W1752="equivocal"),OR(Y1752="positive",Y1752="equivocal")),"a",IF(OR(Y1752="positive",Y1752="equivocal"),"b",IF(OR(W1752="positive",W1752="equivocal"),"c","d"))))</x:f>
        <x:v>d</x:v>
      </x:c>
      <x:c r="AF1752" s="12" t="str">
        <x:f>IF(OR(W1752="unavailable",Y1752="unavailable"),"不可评价",IF(AND(W1752="positive",Y1752="positive"),"a",IF(Y1752="positive","b",IF(W1752="positive","c","d"))))</x:f>
        <x:v>d</x:v>
      </x:c>
    </x:row>
    <x:row r="1753" ht="24" customHeight="1">
      <x:c r="A1753" s="12" t="str">
        <x:v>16563</x:v>
      </x:c>
      <x:c r="B1753" s="12" t="str">
        <x:v>6092</x:v>
      </x:c>
      <x:c r="C1753" s="21" t="n">
        <x:v>35279.3894212963</x:v>
      </x:c>
      <x:c r="D1753" s="12" t="n">
        <x:v>64</x:v>
      </x:c>
      <x:c r="E1753" s="12" t="n">
        <x:v>1</x:v>
      </x:c>
      <x:c r="F1753" s="12" t="str">
        <x:v>存在</x:v>
      </x:c>
      <x:c r="G1753" s="12" t="n">
        <x:v>1</x:v>
      </x:c>
      <x:c r="H1753" s="12" t="str">
        <x:v>{'NORM': 100.0, 'SR': 0.0}</x:v>
      </x:c>
      <x:c r="I1753" s="12" t="str">
        <x:v>[('SBRAD', 100.0), ('SAR', 100.0), ('ABR', 100.0)]</x:v>
      </x:c>
      <x:c r="J1753" s="12" t="str">
        <x:v>ptbxl_database.csv；ecg_id=16563；scp_codes</x:v>
      </x:c>
      <x:c r="K1753" s="12" t="str">
        <x:v>12sl_statements.csv；ecg_id=16563；statements_ext_snomed</x:v>
      </x:c>
      <x:c r="L1753" s="12"/>
      <x:c r="M1753" s="12" t="str">
        <x:v>negative</x:v>
      </x:c>
      <x:c r="N1753" s="12"/>
      <x:c r="O1753" s="12" t="str">
        <x:v>negative</x:v>
      </x:c>
      <x:c r="P1753" s="12" t="str">
        <x:f>IF(OR(M1753="unavailable",O1753="unavailable"),"不可评价",IF(OR(M1753="equivocal",O1753="equivocal"),"疑似",IF(AND(M1753="positive",O1753="positive"),"a",IF(O1753="positive","b",IF(M1753="positive","c","d")))))</x:f>
        <x:v>d</x:v>
      </x:c>
      <x:c r="Q1753" s="12"/>
      <x:c r="R1753" s="12" t="str">
        <x:v>negative</x:v>
      </x:c>
      <x:c r="S1753" s="12"/>
      <x:c r="T1753" s="12" t="str">
        <x:v>negative</x:v>
      </x:c>
      <x:c r="U1753" s="12" t="str">
        <x:f>IF(OR(R1753="unavailable",T1753="unavailable"),"不可评价",IF(OR(R1753="equivocal",T1753="equivocal"),"疑似",IF(AND(R1753="positive",T1753="positive"),"a",IF(T1753="positive","b",IF(R1753="positive","c","d")))))</x:f>
        <x:v>d</x:v>
      </x:c>
      <x:c r="V1753" s="12"/>
      <x:c r="W1753" s="12" t="str">
        <x:v>negative</x:v>
      </x:c>
      <x:c r="X1753" s="12"/>
      <x:c r="Y1753" s="12" t="str">
        <x:v>negative</x:v>
      </x:c>
      <x:c r="Z1753" s="12" t="str">
        <x:f>IF(OR(W1753="unavailable",Y1753="unavailable"),"不可评价",IF(OR(W1753="equivocal",Y1753="equivocal"),"疑似",IF(AND(W1753="positive",Y1753="positive"),"a",IF(Y1753="positive","b",IF(W1753="positive","c","d")))))</x:f>
        <x:v>d</x:v>
      </x:c>
      <x:c r="AA1753" s="12" t="str">
        <x:f>IF(OR(M1753="unavailable",O1753="unavailable"),"不可评价",IF(AND(OR(M1753="positive",M1753="equivocal"),OR(O1753="positive",O1753="equivocal")),"a",IF(OR(O1753="positive",O1753="equivocal"),"b",IF(OR(M1753="positive",M1753="equivocal"),"c","d"))))</x:f>
        <x:v>d</x:v>
      </x:c>
      <x:c r="AB1753" s="12" t="str">
        <x:f>IF(OR(M1753="unavailable",O1753="unavailable"),"不可评价",IF(AND(M1753="positive",O1753="positive"),"a",IF(O1753="positive","b",IF(M1753="positive","c","d"))))</x:f>
        <x:v>d</x:v>
      </x:c>
      <x:c r="AC1753" s="12" t="str">
        <x:f>IF(OR(R1753="unavailable",T1753="unavailable"),"不可评价",IF(AND(OR(R1753="positive",R1753="equivocal"),OR(T1753="positive",T1753="equivocal")),"a",IF(OR(T1753="positive",T1753="equivocal"),"b",IF(OR(R1753="positive",R1753="equivocal"),"c","d"))))</x:f>
        <x:v>d</x:v>
      </x:c>
      <x:c r="AD1753" s="12" t="str">
        <x:f>IF(OR(R1753="unavailable",T1753="unavailable"),"不可评价",IF(AND(R1753="positive",T1753="positive"),"a",IF(T1753="positive","b",IF(R1753="positive","c","d"))))</x:f>
        <x:v>d</x:v>
      </x:c>
      <x:c r="AE1753" s="12" t="str">
        <x:f>IF(OR(W1753="unavailable",Y1753="unavailable"),"不可评价",IF(AND(OR(W1753="positive",W1753="equivocal"),OR(Y1753="positive",Y1753="equivocal")),"a",IF(OR(Y1753="positive",Y1753="equivocal"),"b",IF(OR(W1753="positive",W1753="equivocal"),"c","d"))))</x:f>
        <x:v>d</x:v>
      </x:c>
      <x:c r="AF1753" s="12" t="str">
        <x:f>IF(OR(W1753="unavailable",Y1753="unavailable"),"不可评价",IF(AND(W1753="positive",Y1753="positive"),"a",IF(Y1753="positive","b",IF(W1753="positive","c","d"))))</x:f>
        <x:v>d</x:v>
      </x:c>
    </x:row>
    <x:row r="1754" ht="24" customHeight="1">
      <x:c r="A1754" s="12" t="str">
        <x:v>16564</x:v>
      </x:c>
      <x:c r="B1754" s="12" t="str">
        <x:v>4297</x:v>
      </x:c>
      <x:c r="C1754" s="21" t="n">
        <x:v>35279.39957175926</x:v>
      </x:c>
      <x:c r="D1754" s="12" t="n">
        <x:v>74</x:v>
      </x:c>
      <x:c r="E1754" s="12" t="n">
        <x:v>1</x:v>
      </x:c>
      <x:c r="F1754" s="12" t="str">
        <x:v>存在</x:v>
      </x:c>
      <x:c r="G1754" s="12" t="n">
        <x:v>1</x:v>
      </x:c>
      <x:c r="H1754" s="12" t="str">
        <x:v>{'IMI': 50.0, 'LPR': 0.0, 'SR': 0.0}</x:v>
      </x:c>
      <x:c r="I1754" s="12" t="str">
        <x:v>[('SRTH', 100.0), ('FAV', 100.0), ('IMI;AU', 15.0), ('AB', 100.0)]</x:v>
      </x:c>
      <x:c r="J1754" s="12" t="str">
        <x:v>ptbxl_database.csv；ecg_id=16564；scp_codes</x:v>
      </x:c>
      <x:c r="K1754" s="12" t="str">
        <x:v>12sl_statements.csv；ecg_id=16564；statements_ext_snomed</x:v>
      </x:c>
      <x:c r="L1754" s="12"/>
      <x:c r="M1754" s="12" t="str">
        <x:v>negative</x:v>
      </x:c>
      <x:c r="N1754" s="12"/>
      <x:c r="O1754" s="12" t="str">
        <x:v>negative</x:v>
      </x:c>
      <x:c r="P1754" s="12" t="str">
        <x:f>IF(OR(M1754="unavailable",O1754="unavailable"),"不可评价",IF(OR(M1754="equivocal",O1754="equivocal"),"疑似",IF(AND(M1754="positive",O1754="positive"),"a",IF(O1754="positive","b",IF(M1754="positive","c","d")))))</x:f>
        <x:v>d</x:v>
      </x:c>
      <x:c r="Q1754" s="12"/>
      <x:c r="R1754" s="12" t="str">
        <x:v>negative</x:v>
      </x:c>
      <x:c r="S1754" s="12"/>
      <x:c r="T1754" s="12" t="str">
        <x:v>negative</x:v>
      </x:c>
      <x:c r="U1754" s="12" t="str">
        <x:f>IF(OR(R1754="unavailable",T1754="unavailable"),"不可评价",IF(OR(R1754="equivocal",T1754="equivocal"),"疑似",IF(AND(R1754="positive",T1754="positive"),"a",IF(T1754="positive","b",IF(R1754="positive","c","d")))))</x:f>
        <x:v>d</x:v>
      </x:c>
      <x:c r="V1754" s="12"/>
      <x:c r="W1754" s="12" t="str">
        <x:v>negative</x:v>
      </x:c>
      <x:c r="X1754" s="12"/>
      <x:c r="Y1754" s="12" t="str">
        <x:v>negative</x:v>
      </x:c>
      <x:c r="Z1754" s="12" t="str">
        <x:f>IF(OR(W1754="unavailable",Y1754="unavailable"),"不可评价",IF(OR(W1754="equivocal",Y1754="equivocal"),"疑似",IF(AND(W1754="positive",Y1754="positive"),"a",IF(Y1754="positive","b",IF(W1754="positive","c","d")))))</x:f>
        <x:v>d</x:v>
      </x:c>
      <x:c r="AA1754" s="12" t="str">
        <x:f>IF(OR(M1754="unavailable",O1754="unavailable"),"不可评价",IF(AND(OR(M1754="positive",M1754="equivocal"),OR(O1754="positive",O1754="equivocal")),"a",IF(OR(O1754="positive",O1754="equivocal"),"b",IF(OR(M1754="positive",M1754="equivocal"),"c","d"))))</x:f>
        <x:v>d</x:v>
      </x:c>
      <x:c r="AB1754" s="12" t="str">
        <x:f>IF(OR(M1754="unavailable",O1754="unavailable"),"不可评价",IF(AND(M1754="positive",O1754="positive"),"a",IF(O1754="positive","b",IF(M1754="positive","c","d"))))</x:f>
        <x:v>d</x:v>
      </x:c>
      <x:c r="AC1754" s="12" t="str">
        <x:f>IF(OR(R1754="unavailable",T1754="unavailable"),"不可评价",IF(AND(OR(R1754="positive",R1754="equivocal"),OR(T1754="positive",T1754="equivocal")),"a",IF(OR(T1754="positive",T1754="equivocal"),"b",IF(OR(R1754="positive",R1754="equivocal"),"c","d"))))</x:f>
        <x:v>d</x:v>
      </x:c>
      <x:c r="AD1754" s="12" t="str">
        <x:f>IF(OR(R1754="unavailable",T1754="unavailable"),"不可评价",IF(AND(R1754="positive",T1754="positive"),"a",IF(T1754="positive","b",IF(R1754="positive","c","d"))))</x:f>
        <x:v>d</x:v>
      </x:c>
      <x:c r="AE1754" s="12" t="str">
        <x:f>IF(OR(W1754="unavailable",Y1754="unavailable"),"不可评价",IF(AND(OR(W1754="positive",W1754="equivocal"),OR(Y1754="positive",Y1754="equivocal")),"a",IF(OR(Y1754="positive",Y1754="equivocal"),"b",IF(OR(W1754="positive",W1754="equivocal"),"c","d"))))</x:f>
        <x:v>d</x:v>
      </x:c>
      <x:c r="AF1754" s="12" t="str">
        <x:f>IF(OR(W1754="unavailable",Y1754="unavailable"),"不可评价",IF(AND(W1754="positive",Y1754="positive"),"a",IF(Y1754="positive","b",IF(W1754="positive","c","d"))))</x:f>
        <x:v>d</x:v>
      </x:c>
    </x:row>
    <x:row r="1755" ht="39" customHeight="1">
      <x:c r="A1755" s="12" t="str">
        <x:v>16566</x:v>
      </x:c>
      <x:c r="B1755" s="12" t="str">
        <x:v>11424</x:v>
      </x:c>
      <x:c r="C1755" s="21" t="n">
        <x:v>35279.40615740741</x:v>
      </x:c>
      <x:c r="D1755" s="12" t="n">
        <x:v>87</x:v>
      </x:c>
      <x:c r="E1755" s="12" t="n">
        <x:v>1</x:v>
      </x:c>
      <x:c r="F1755" s="12" t="str">
        <x:v>未记录</x:v>
      </x:c>
      <x:c r="G1755" s="12" t="n">
        <x:v>1</x:v>
      </x:c>
      <x:c r="H1755" s="12" t="str">
        <x:v>{'ASMI': 100.0, 'INJAL': 100.0, 'AFIB': 0.0}</x:v>
      </x:c>
      <x:c r="I1755" s="12" t="str">
        <x:v>[('AFIB', 100.0), ('RVR', 100.0), ('LAD3', 100.0), ('SMI;AU', 100.0), ('MSTDIL', 100.0), ('AB', 100.0)]</x:v>
      </x:c>
      <x:c r="J1755" s="12" t="str">
        <x:v>ptbxl_database.csv；ecg_id=16566；scp_codes</x:v>
      </x:c>
      <x:c r="K1755" s="12" t="str">
        <x:v>12sl_statements.csv；ecg_id=16566；statements_ext_snomed</x:v>
      </x:c>
      <x:c r="L1755" s="12" t="n">
        <x:v>0</x:v>
      </x:c>
      <x:c r="M1755" s="12" t="str">
        <x:v>positive</x:v>
      </x:c>
      <x:c r="N1755" s="12" t="n">
        <x:v>100</x:v>
      </x:c>
      <x:c r="O1755" s="12" t="str">
        <x:v>positive</x:v>
      </x:c>
      <x:c r="P1755" s="12" t="str">
        <x:f>IF(OR(M1755="unavailable",O1755="unavailable"),"不可评价",IF(OR(M1755="equivocal",O1755="equivocal"),"疑似",IF(AND(M1755="positive",O1755="positive"),"a",IF(O1755="positive","b",IF(M1755="positive","c","d")))))</x:f>
        <x:v>a</x:v>
      </x:c>
      <x:c r="Q1755" s="12"/>
      <x:c r="R1755" s="12" t="str">
        <x:v>negative</x:v>
      </x:c>
      <x:c r="S1755" s="12"/>
      <x:c r="T1755" s="12" t="str">
        <x:v>negative</x:v>
      </x:c>
      <x:c r="U1755" s="12" t="str">
        <x:f>IF(OR(R1755="unavailable",T1755="unavailable"),"不可评价",IF(OR(R1755="equivocal",T1755="equivocal"),"疑似",IF(AND(R1755="positive",T1755="positive"),"a",IF(T1755="positive","b",IF(R1755="positive","c","d")))))</x:f>
        <x:v>d</x:v>
      </x:c>
      <x:c r="V1755" s="12"/>
      <x:c r="W1755" s="12" t="str">
        <x:v>negative</x:v>
      </x:c>
      <x:c r="X1755" s="12"/>
      <x:c r="Y1755" s="12" t="str">
        <x:v>negative</x:v>
      </x:c>
      <x:c r="Z1755" s="12" t="str">
        <x:f>IF(OR(W1755="unavailable",Y1755="unavailable"),"不可评价",IF(OR(W1755="equivocal",Y1755="equivocal"),"疑似",IF(AND(W1755="positive",Y1755="positive"),"a",IF(Y1755="positive","b",IF(W1755="positive","c","d")))))</x:f>
        <x:v>d</x:v>
      </x:c>
      <x:c r="AA1755" s="12" t="str">
        <x:f>IF(OR(M1755="unavailable",O1755="unavailable"),"不可评价",IF(AND(OR(M1755="positive",M1755="equivocal"),OR(O1755="positive",O1755="equivocal")),"a",IF(OR(O1755="positive",O1755="equivocal"),"b",IF(OR(M1755="positive",M1755="equivocal"),"c","d"))))</x:f>
        <x:v>a</x:v>
      </x:c>
      <x:c r="AB1755" s="12" t="str">
        <x:f>IF(OR(M1755="unavailable",O1755="unavailable"),"不可评价",IF(AND(M1755="positive",O1755="positive"),"a",IF(O1755="positive","b",IF(M1755="positive","c","d"))))</x:f>
        <x:v>a</x:v>
      </x:c>
      <x:c r="AC1755" s="12" t="str">
        <x:f>IF(OR(R1755="unavailable",T1755="unavailable"),"不可评价",IF(AND(OR(R1755="positive",R1755="equivocal"),OR(T1755="positive",T1755="equivocal")),"a",IF(OR(T1755="positive",T1755="equivocal"),"b",IF(OR(R1755="positive",R1755="equivocal"),"c","d"))))</x:f>
        <x:v>d</x:v>
      </x:c>
      <x:c r="AD1755" s="12" t="str">
        <x:f>IF(OR(R1755="unavailable",T1755="unavailable"),"不可评价",IF(AND(R1755="positive",T1755="positive"),"a",IF(T1755="positive","b",IF(R1755="positive","c","d"))))</x:f>
        <x:v>d</x:v>
      </x:c>
      <x:c r="AE1755" s="12" t="str">
        <x:f>IF(OR(W1755="unavailable",Y1755="unavailable"),"不可评价",IF(AND(OR(W1755="positive",W1755="equivocal"),OR(Y1755="positive",Y1755="equivocal")),"a",IF(OR(Y1755="positive",Y1755="equivocal"),"b",IF(OR(W1755="positive",W1755="equivocal"),"c","d"))))</x:f>
        <x:v>d</x:v>
      </x:c>
      <x:c r="AF1755" s="12" t="str">
        <x:f>IF(OR(W1755="unavailable",Y1755="unavailable"),"不可评价",IF(AND(W1755="positive",Y1755="positive"),"a",IF(Y1755="positive","b",IF(W1755="positive","c","d"))))</x:f>
        <x:v>d</x:v>
      </x:c>
    </x:row>
    <x:row r="1756" ht="24" customHeight="1">
      <x:c r="A1756" s="12" t="str">
        <x:v>16572</x:v>
      </x:c>
      <x:c r="B1756" s="12" t="str">
        <x:v>3787</x:v>
      </x:c>
      <x:c r="C1756" s="21" t="n">
        <x:v>35279.573287037034</x:v>
      </x:c>
      <x:c r="D1756" s="12" t="n">
        <x:v>33</x:v>
      </x:c>
      <x:c r="E1756" s="12" t="n">
        <x:v>1</x:v>
      </x:c>
      <x:c r="F1756" s="12" t="str">
        <x:v>未记录</x:v>
      </x:c>
      <x:c r="G1756" s="12" t="n">
        <x:v>1</x:v>
      </x:c>
      <x:c r="H1756" s="12" t="str">
        <x:v>{'NORM': 80.0, 'STD_': 0.0, 'SR': 0.0}</x:v>
      </x:c>
      <x:c r="I1756" s="12" t="str">
        <x:v>[('NSR', 100.0), ('NST', 100.0), ('AB', 100.0)]</x:v>
      </x:c>
      <x:c r="J1756" s="12" t="str">
        <x:v>ptbxl_database.csv；ecg_id=16572；scp_codes</x:v>
      </x:c>
      <x:c r="K1756" s="12" t="str">
        <x:v>12sl_statements.csv；ecg_id=16572；statements_ext_snomed</x:v>
      </x:c>
      <x:c r="L1756" s="12"/>
      <x:c r="M1756" s="12" t="str">
        <x:v>negative</x:v>
      </x:c>
      <x:c r="N1756" s="12"/>
      <x:c r="O1756" s="12" t="str">
        <x:v>negative</x:v>
      </x:c>
      <x:c r="P1756" s="12" t="str">
        <x:f>IF(OR(M1756="unavailable",O1756="unavailable"),"不可评价",IF(OR(M1756="equivocal",O1756="equivocal"),"疑似",IF(AND(M1756="positive",O1756="positive"),"a",IF(O1756="positive","b",IF(M1756="positive","c","d")))))</x:f>
        <x:v>d</x:v>
      </x:c>
      <x:c r="Q1756" s="12"/>
      <x:c r="R1756" s="12" t="str">
        <x:v>negative</x:v>
      </x:c>
      <x:c r="S1756" s="12"/>
      <x:c r="T1756" s="12" t="str">
        <x:v>negative</x:v>
      </x:c>
      <x:c r="U1756" s="12" t="str">
        <x:f>IF(OR(R1756="unavailable",T1756="unavailable"),"不可评价",IF(OR(R1756="equivocal",T1756="equivocal"),"疑似",IF(AND(R1756="positive",T1756="positive"),"a",IF(T1756="positive","b",IF(R1756="positive","c","d")))))</x:f>
        <x:v>d</x:v>
      </x:c>
      <x:c r="V1756" s="12"/>
      <x:c r="W1756" s="12" t="str">
        <x:v>negative</x:v>
      </x:c>
      <x:c r="X1756" s="12"/>
      <x:c r="Y1756" s="12" t="str">
        <x:v>negative</x:v>
      </x:c>
      <x:c r="Z1756" s="12" t="str">
        <x:f>IF(OR(W1756="unavailable",Y1756="unavailable"),"不可评价",IF(OR(W1756="equivocal",Y1756="equivocal"),"疑似",IF(AND(W1756="positive",Y1756="positive"),"a",IF(Y1756="positive","b",IF(W1756="positive","c","d")))))</x:f>
        <x:v>d</x:v>
      </x:c>
      <x:c r="AA1756" s="12" t="str">
        <x:f>IF(OR(M1756="unavailable",O1756="unavailable"),"不可评价",IF(AND(OR(M1756="positive",M1756="equivocal"),OR(O1756="positive",O1756="equivocal")),"a",IF(OR(O1756="positive",O1756="equivocal"),"b",IF(OR(M1756="positive",M1756="equivocal"),"c","d"))))</x:f>
        <x:v>d</x:v>
      </x:c>
      <x:c r="AB1756" s="12" t="str">
        <x:f>IF(OR(M1756="unavailable",O1756="unavailable"),"不可评价",IF(AND(M1756="positive",O1756="positive"),"a",IF(O1756="positive","b",IF(M1756="positive","c","d"))))</x:f>
        <x:v>d</x:v>
      </x:c>
      <x:c r="AC1756" s="12" t="str">
        <x:f>IF(OR(R1756="unavailable",T1756="unavailable"),"不可评价",IF(AND(OR(R1756="positive",R1756="equivocal"),OR(T1756="positive",T1756="equivocal")),"a",IF(OR(T1756="positive",T1756="equivocal"),"b",IF(OR(R1756="positive",R1756="equivocal"),"c","d"))))</x:f>
        <x:v>d</x:v>
      </x:c>
      <x:c r="AD1756" s="12" t="str">
        <x:f>IF(OR(R1756="unavailable",T1756="unavailable"),"不可评价",IF(AND(R1756="positive",T1756="positive"),"a",IF(T1756="positive","b",IF(R1756="positive","c","d"))))</x:f>
        <x:v>d</x:v>
      </x:c>
      <x:c r="AE1756" s="12" t="str">
        <x:f>IF(OR(W1756="unavailable",Y1756="unavailable"),"不可评价",IF(AND(OR(W1756="positive",W1756="equivocal"),OR(Y1756="positive",Y1756="equivocal")),"a",IF(OR(Y1756="positive",Y1756="equivocal"),"b",IF(OR(W1756="positive",W1756="equivocal"),"c","d"))))</x:f>
        <x:v>d</x:v>
      </x:c>
      <x:c r="AF1756" s="12" t="str">
        <x:f>IF(OR(W1756="unavailable",Y1756="unavailable"),"不可评价",IF(AND(W1756="positive",Y1756="positive"),"a",IF(Y1756="positive","b",IF(W1756="positive","c","d"))))</x:f>
        <x:v>d</x:v>
      </x:c>
    </x:row>
    <x:row r="1757" ht="24" customHeight="1">
      <x:c r="A1757" s="12" t="str">
        <x:v>16591</x:v>
      </x:c>
      <x:c r="B1757" s="12" t="str">
        <x:v>1404</x:v>
      </x:c>
      <x:c r="C1757" s="21" t="n">
        <x:v>35281.590729166666</x:v>
      </x:c>
      <x:c r="D1757" s="12" t="n">
        <x:v>74</x:v>
      </x:c>
      <x:c r="E1757" s="12" t="n">
        <x:v>1</x:v>
      </x:c>
      <x:c r="F1757" s="12" t="str">
        <x:v>未记录</x:v>
      </x:c>
      <x:c r="G1757" s="12" t="n">
        <x:v>1</x:v>
      </x:c>
      <x:c r="H1757" s="12" t="str">
        <x:v>{'ISC_': 100.0, 'DIG': 100.0, 'INVT': 0.0, 'STD_': 0.0, 'AFIB': 0.0}</x:v>
      </x:c>
      <x:c r="I1757" s="12" t="str">
        <x:v>[('FLUT', 100.0), ('VAVB', 100.0), ('ST&amp;', 100.0), ('LT', 100.0), ('AB', 100.0)]</x:v>
      </x:c>
      <x:c r="J1757" s="12" t="str">
        <x:v>ptbxl_database.csv；ecg_id=16591；scp_codes</x:v>
      </x:c>
      <x:c r="K1757" s="12" t="str">
        <x:v>12sl_statements.csv；ecg_id=16591；statements_ext_snomed</x:v>
      </x:c>
      <x:c r="L1757" s="12" t="n">
        <x:v>0</x:v>
      </x:c>
      <x:c r="M1757" s="12" t="str">
        <x:v>positive</x:v>
      </x:c>
      <x:c r="N1757" s="12"/>
      <x:c r="O1757" s="12" t="str">
        <x:v>negative</x:v>
      </x:c>
      <x:c r="P1757" s="12" t="str">
        <x:f>IF(OR(M1757="unavailable",O1757="unavailable"),"不可评价",IF(OR(M1757="equivocal",O1757="equivocal"),"疑似",IF(AND(M1757="positive",O1757="positive"),"a",IF(O1757="positive","b",IF(M1757="positive","c","d")))))</x:f>
        <x:v>c</x:v>
      </x:c>
      <x:c r="Q1757" s="12"/>
      <x:c r="R1757" s="12" t="str">
        <x:v>negative</x:v>
      </x:c>
      <x:c r="S1757" s="12"/>
      <x:c r="T1757" s="12" t="str">
        <x:v>negative</x:v>
      </x:c>
      <x:c r="U1757" s="12" t="str">
        <x:f>IF(OR(R1757="unavailable",T1757="unavailable"),"不可评价",IF(OR(R1757="equivocal",T1757="equivocal"),"疑似",IF(AND(R1757="positive",T1757="positive"),"a",IF(T1757="positive","b",IF(R1757="positive","c","d")))))</x:f>
        <x:v>d</x:v>
      </x:c>
      <x:c r="V1757" s="12"/>
      <x:c r="W1757" s="12" t="str">
        <x:v>negative</x:v>
      </x:c>
      <x:c r="X1757" s="12"/>
      <x:c r="Y1757" s="12" t="str">
        <x:v>negative</x:v>
      </x:c>
      <x:c r="Z1757" s="12" t="str">
        <x:f>IF(OR(W1757="unavailable",Y1757="unavailable"),"不可评价",IF(OR(W1757="equivocal",Y1757="equivocal"),"疑似",IF(AND(W1757="positive",Y1757="positive"),"a",IF(Y1757="positive","b",IF(W1757="positive","c","d")))))</x:f>
        <x:v>d</x:v>
      </x:c>
      <x:c r="AA1757" s="12" t="str">
        <x:f>IF(OR(M1757="unavailable",O1757="unavailable"),"不可评价",IF(AND(OR(M1757="positive",M1757="equivocal"),OR(O1757="positive",O1757="equivocal")),"a",IF(OR(O1757="positive",O1757="equivocal"),"b",IF(OR(M1757="positive",M1757="equivocal"),"c","d"))))</x:f>
        <x:v>c</x:v>
      </x:c>
      <x:c r="AB1757" s="12" t="str">
        <x:f>IF(OR(M1757="unavailable",O1757="unavailable"),"不可评价",IF(AND(M1757="positive",O1757="positive"),"a",IF(O1757="positive","b",IF(M1757="positive","c","d"))))</x:f>
        <x:v>c</x:v>
      </x:c>
      <x:c r="AC1757" s="12" t="str">
        <x:f>IF(OR(R1757="unavailable",T1757="unavailable"),"不可评价",IF(AND(OR(R1757="positive",R1757="equivocal"),OR(T1757="positive",T1757="equivocal")),"a",IF(OR(T1757="positive",T1757="equivocal"),"b",IF(OR(R1757="positive",R1757="equivocal"),"c","d"))))</x:f>
        <x:v>d</x:v>
      </x:c>
      <x:c r="AD1757" s="12" t="str">
        <x:f>IF(OR(R1757="unavailable",T1757="unavailable"),"不可评价",IF(AND(R1757="positive",T1757="positive"),"a",IF(T1757="positive","b",IF(R1757="positive","c","d"))))</x:f>
        <x:v>d</x:v>
      </x:c>
      <x:c r="AE1757" s="12" t="str">
        <x:f>IF(OR(W1757="unavailable",Y1757="unavailable"),"不可评价",IF(AND(OR(W1757="positive",W1757="equivocal"),OR(Y1757="positive",Y1757="equivocal")),"a",IF(OR(Y1757="positive",Y1757="equivocal"),"b",IF(OR(W1757="positive",W1757="equivocal"),"c","d"))))</x:f>
        <x:v>d</x:v>
      </x:c>
      <x:c r="AF1757" s="12" t="str">
        <x:f>IF(OR(W1757="unavailable",Y1757="unavailable"),"不可评价",IF(AND(W1757="positive",Y1757="positive"),"a",IF(Y1757="positive","b",IF(W1757="positive","c","d"))))</x:f>
        <x:v>d</x:v>
      </x:c>
    </x:row>
    <x:row r="1758" ht="24" customHeight="1">
      <x:c r="A1758" s="12" t="str">
        <x:v>16596</x:v>
      </x:c>
      <x:c r="B1758" s="12" t="str">
        <x:v>21315</x:v>
      </x:c>
      <x:c r="C1758" s="21" t="n">
        <x:v>35282.420949074076</x:v>
      </x:c>
      <x:c r="D1758" s="12" t="n">
        <x:v>56</x:v>
      </x:c>
      <x:c r="E1758" s="12" t="n">
        <x:v>0</x:v>
      </x:c>
      <x:c r="F1758" s="12" t="str">
        <x:v>存在</x:v>
      </x:c>
      <x:c r="G1758" s="12" t="n">
        <x:v>1</x:v>
      </x:c>
      <x:c r="H1758" s="12" t="str">
        <x:v>{'NORM': 80.0, 'VCLVH': 0.0, 'SR': 0.0}</x:v>
      </x:c>
      <x:c r="I1758" s="12" t="str">
        <x:v>[('NSR', 100.0), ('BORDE', 100.0)]</x:v>
      </x:c>
      <x:c r="J1758" s="12" t="str">
        <x:v>ptbxl_database.csv；ecg_id=16596；scp_codes</x:v>
      </x:c>
      <x:c r="K1758" s="12" t="str">
        <x:v>12sl_statements.csv；ecg_id=16596；statements_ext_snomed</x:v>
      </x:c>
      <x:c r="L1758" s="12"/>
      <x:c r="M1758" s="12" t="str">
        <x:v>negative</x:v>
      </x:c>
      <x:c r="N1758" s="12"/>
      <x:c r="O1758" s="12" t="str">
        <x:v>negative</x:v>
      </x:c>
      <x:c r="P1758" s="12" t="str">
        <x:f>IF(OR(M1758="unavailable",O1758="unavailable"),"不可评价",IF(OR(M1758="equivocal",O1758="equivocal"),"疑似",IF(AND(M1758="positive",O1758="positive"),"a",IF(O1758="positive","b",IF(M1758="positive","c","d")))))</x:f>
        <x:v>d</x:v>
      </x:c>
      <x:c r="Q1758" s="12"/>
      <x:c r="R1758" s="12" t="str">
        <x:v>negative</x:v>
      </x:c>
      <x:c r="S1758" s="12"/>
      <x:c r="T1758" s="12" t="str">
        <x:v>negative</x:v>
      </x:c>
      <x:c r="U1758" s="12" t="str">
        <x:f>IF(OR(R1758="unavailable",T1758="unavailable"),"不可评价",IF(OR(R1758="equivocal",T1758="equivocal"),"疑似",IF(AND(R1758="positive",T1758="positive"),"a",IF(T1758="positive","b",IF(R1758="positive","c","d")))))</x:f>
        <x:v>d</x:v>
      </x:c>
      <x:c r="V1758" s="12"/>
      <x:c r="W1758" s="12" t="str">
        <x:v>negative</x:v>
      </x:c>
      <x:c r="X1758" s="12"/>
      <x:c r="Y1758" s="12" t="str">
        <x:v>negative</x:v>
      </x:c>
      <x:c r="Z1758" s="12" t="str">
        <x:f>IF(OR(W1758="unavailable",Y1758="unavailable"),"不可评价",IF(OR(W1758="equivocal",Y1758="equivocal"),"疑似",IF(AND(W1758="positive",Y1758="positive"),"a",IF(Y1758="positive","b",IF(W1758="positive","c","d")))))</x:f>
        <x:v>d</x:v>
      </x:c>
      <x:c r="AA1758" s="12" t="str">
        <x:f>IF(OR(M1758="unavailable",O1758="unavailable"),"不可评价",IF(AND(OR(M1758="positive",M1758="equivocal"),OR(O1758="positive",O1758="equivocal")),"a",IF(OR(O1758="positive",O1758="equivocal"),"b",IF(OR(M1758="positive",M1758="equivocal"),"c","d"))))</x:f>
        <x:v>d</x:v>
      </x:c>
      <x:c r="AB1758" s="12" t="str">
        <x:f>IF(OR(M1758="unavailable",O1758="unavailable"),"不可评价",IF(AND(M1758="positive",O1758="positive"),"a",IF(O1758="positive","b",IF(M1758="positive","c","d"))))</x:f>
        <x:v>d</x:v>
      </x:c>
      <x:c r="AC1758" s="12" t="str">
        <x:f>IF(OR(R1758="unavailable",T1758="unavailable"),"不可评价",IF(AND(OR(R1758="positive",R1758="equivocal"),OR(T1758="positive",T1758="equivocal")),"a",IF(OR(T1758="positive",T1758="equivocal"),"b",IF(OR(R1758="positive",R1758="equivocal"),"c","d"))))</x:f>
        <x:v>d</x:v>
      </x:c>
      <x:c r="AD1758" s="12" t="str">
        <x:f>IF(OR(R1758="unavailable",T1758="unavailable"),"不可评价",IF(AND(R1758="positive",T1758="positive"),"a",IF(T1758="positive","b",IF(R1758="positive","c","d"))))</x:f>
        <x:v>d</x:v>
      </x:c>
      <x:c r="AE1758" s="12" t="str">
        <x:f>IF(OR(W1758="unavailable",Y1758="unavailable"),"不可评价",IF(AND(OR(W1758="positive",W1758="equivocal"),OR(Y1758="positive",Y1758="equivocal")),"a",IF(OR(Y1758="positive",Y1758="equivocal"),"b",IF(OR(W1758="positive",W1758="equivocal"),"c","d"))))</x:f>
        <x:v>d</x:v>
      </x:c>
      <x:c r="AF1758" s="12" t="str">
        <x:f>IF(OR(W1758="unavailable",Y1758="unavailable"),"不可评价",IF(AND(W1758="positive",Y1758="positive"),"a",IF(Y1758="positive","b",IF(W1758="positive","c","d"))))</x:f>
        <x:v>d</x:v>
      </x:c>
    </x:row>
    <x:row r="1759" ht="24" customHeight="1">
      <x:c r="A1759" s="12" t="str">
        <x:v>16602</x:v>
      </x:c>
      <x:c r="B1759" s="12" t="str">
        <x:v>7037</x:v>
      </x:c>
      <x:c r="C1759" s="21" t="n">
        <x:v>35283.3518287037</x:v>
      </x:c>
      <x:c r="D1759" s="12" t="n">
        <x:v>61</x:v>
      </x:c>
      <x:c r="E1759" s="12" t="n">
        <x:v>0</x:v>
      </x:c>
      <x:c r="F1759" s="12" t="str">
        <x:v>未记录</x:v>
      </x:c>
      <x:c r="G1759" s="12" t="n">
        <x:v>1</x:v>
      </x:c>
      <x:c r="H1759" s="12" t="str">
        <x:v>{'NDT': 100.0, 'IVCD': 100.0, 'LOWT': 0.0, 'SARRH': 0.0}</x:v>
      </x:c>
      <x:c r="I1759" s="12" t="str">
        <x:v>[('NSR', 100.0), ('SAR', 100.0), ('NT', 100.0), ('AB', 100.0)]</x:v>
      </x:c>
      <x:c r="J1759" s="12" t="str">
        <x:v>ptbxl_database.csv；ecg_id=16602；scp_codes</x:v>
      </x:c>
      <x:c r="K1759" s="12" t="str">
        <x:v>12sl_statements.csv；ecg_id=16602；statements_ext_snomed</x:v>
      </x:c>
      <x:c r="L1759" s="12"/>
      <x:c r="M1759" s="12" t="str">
        <x:v>negative</x:v>
      </x:c>
      <x:c r="N1759" s="12"/>
      <x:c r="O1759" s="12" t="str">
        <x:v>negative</x:v>
      </x:c>
      <x:c r="P1759" s="12" t="str">
        <x:f>IF(OR(M1759="unavailable",O1759="unavailable"),"不可评价",IF(OR(M1759="equivocal",O1759="equivocal"),"疑似",IF(AND(M1759="positive",O1759="positive"),"a",IF(O1759="positive","b",IF(M1759="positive","c","d")))))</x:f>
        <x:v>d</x:v>
      </x:c>
      <x:c r="Q1759" s="12"/>
      <x:c r="R1759" s="12" t="str">
        <x:v>negative</x:v>
      </x:c>
      <x:c r="S1759" s="12"/>
      <x:c r="T1759" s="12" t="str">
        <x:v>negative</x:v>
      </x:c>
      <x:c r="U1759" s="12" t="str">
        <x:f>IF(OR(R1759="unavailable",T1759="unavailable"),"不可评价",IF(OR(R1759="equivocal",T1759="equivocal"),"疑似",IF(AND(R1759="positive",T1759="positive"),"a",IF(T1759="positive","b",IF(R1759="positive","c","d")))))</x:f>
        <x:v>d</x:v>
      </x:c>
      <x:c r="V1759" s="12"/>
      <x:c r="W1759" s="12" t="str">
        <x:v>negative</x:v>
      </x:c>
      <x:c r="X1759" s="12"/>
      <x:c r="Y1759" s="12" t="str">
        <x:v>negative</x:v>
      </x:c>
      <x:c r="Z1759" s="12" t="str">
        <x:f>IF(OR(W1759="unavailable",Y1759="unavailable"),"不可评价",IF(OR(W1759="equivocal",Y1759="equivocal"),"疑似",IF(AND(W1759="positive",Y1759="positive"),"a",IF(Y1759="positive","b",IF(W1759="positive","c","d")))))</x:f>
        <x:v>d</x:v>
      </x:c>
      <x:c r="AA1759" s="12" t="str">
        <x:f>IF(OR(M1759="unavailable",O1759="unavailable"),"不可评价",IF(AND(OR(M1759="positive",M1759="equivocal"),OR(O1759="positive",O1759="equivocal")),"a",IF(OR(O1759="positive",O1759="equivocal"),"b",IF(OR(M1759="positive",M1759="equivocal"),"c","d"))))</x:f>
        <x:v>d</x:v>
      </x:c>
      <x:c r="AB1759" s="12" t="str">
        <x:f>IF(OR(M1759="unavailable",O1759="unavailable"),"不可评价",IF(AND(M1759="positive",O1759="positive"),"a",IF(O1759="positive","b",IF(M1759="positive","c","d"))))</x:f>
        <x:v>d</x:v>
      </x:c>
      <x:c r="AC1759" s="12" t="str">
        <x:f>IF(OR(R1759="unavailable",T1759="unavailable"),"不可评价",IF(AND(OR(R1759="positive",R1759="equivocal"),OR(T1759="positive",T1759="equivocal")),"a",IF(OR(T1759="positive",T1759="equivocal"),"b",IF(OR(R1759="positive",R1759="equivocal"),"c","d"))))</x:f>
        <x:v>d</x:v>
      </x:c>
      <x:c r="AD1759" s="12" t="str">
        <x:f>IF(OR(R1759="unavailable",T1759="unavailable"),"不可评价",IF(AND(R1759="positive",T1759="positive"),"a",IF(T1759="positive","b",IF(R1759="positive","c","d"))))</x:f>
        <x:v>d</x:v>
      </x:c>
      <x:c r="AE1759" s="12" t="str">
        <x:f>IF(OR(W1759="unavailable",Y1759="unavailable"),"不可评价",IF(AND(OR(W1759="positive",W1759="equivocal"),OR(Y1759="positive",Y1759="equivocal")),"a",IF(OR(Y1759="positive",Y1759="equivocal"),"b",IF(OR(W1759="positive",W1759="equivocal"),"c","d"))))</x:f>
        <x:v>d</x:v>
      </x:c>
      <x:c r="AF1759" s="12" t="str">
        <x:f>IF(OR(W1759="unavailable",Y1759="unavailable"),"不可评价",IF(AND(W1759="positive",Y1759="positive"),"a",IF(Y1759="positive","b",IF(W1759="positive","c","d"))))</x:f>
        <x:v>d</x:v>
      </x:c>
    </x:row>
    <x:row r="1760" ht="24" customHeight="1">
      <x:c r="A1760" s="12" t="str">
        <x:v>16603</x:v>
      </x:c>
      <x:c r="B1760" s="12" t="str">
        <x:v>4964</x:v>
      </x:c>
      <x:c r="C1760" s="21" t="n">
        <x:v>35283.40163194444</x:v>
      </x:c>
      <x:c r="D1760" s="12" t="n">
        <x:v>22</x:v>
      </x:c>
      <x:c r="E1760" s="12" t="n">
        <x:v>1</x:v>
      </x:c>
      <x:c r="F1760" s="12" t="str">
        <x:v>未记录</x:v>
      </x:c>
      <x:c r="G1760" s="12" t="n">
        <x:v>1</x:v>
      </x:c>
      <x:c r="H1760" s="12" t="str">
        <x:v>{'NORM': 80.0, 'STACH': 0.0}</x:v>
      </x:c>
      <x:c r="I1760" s="12" t="str">
        <x:v>[('STACH', 100.0), ('ABR', 100.0)]</x:v>
      </x:c>
      <x:c r="J1760" s="12" t="str">
        <x:v>ptbxl_database.csv；ecg_id=16603；scp_codes</x:v>
      </x:c>
      <x:c r="K1760" s="12" t="str">
        <x:v>12sl_statements.csv；ecg_id=16603；statements_ext_snomed</x:v>
      </x:c>
      <x:c r="L1760" s="12"/>
      <x:c r="M1760" s="12" t="str">
        <x:v>negative</x:v>
      </x:c>
      <x:c r="N1760" s="12"/>
      <x:c r="O1760" s="12" t="str">
        <x:v>negative</x:v>
      </x:c>
      <x:c r="P1760" s="12" t="str">
        <x:f>IF(OR(M1760="unavailable",O1760="unavailable"),"不可评价",IF(OR(M1760="equivocal",O1760="equivocal"),"疑似",IF(AND(M1760="positive",O1760="positive"),"a",IF(O1760="positive","b",IF(M1760="positive","c","d")))))</x:f>
        <x:v>d</x:v>
      </x:c>
      <x:c r="Q1760" s="12"/>
      <x:c r="R1760" s="12" t="str">
        <x:v>negative</x:v>
      </x:c>
      <x:c r="S1760" s="12"/>
      <x:c r="T1760" s="12" t="str">
        <x:v>negative</x:v>
      </x:c>
      <x:c r="U1760" s="12" t="str">
        <x:f>IF(OR(R1760="unavailable",T1760="unavailable"),"不可评价",IF(OR(R1760="equivocal",T1760="equivocal"),"疑似",IF(AND(R1760="positive",T1760="positive"),"a",IF(T1760="positive","b",IF(R1760="positive","c","d")))))</x:f>
        <x:v>d</x:v>
      </x:c>
      <x:c r="V1760" s="12"/>
      <x:c r="W1760" s="12" t="str">
        <x:v>negative</x:v>
      </x:c>
      <x:c r="X1760" s="12"/>
      <x:c r="Y1760" s="12" t="str">
        <x:v>negative</x:v>
      </x:c>
      <x:c r="Z1760" s="12" t="str">
        <x:f>IF(OR(W1760="unavailable",Y1760="unavailable"),"不可评价",IF(OR(W1760="equivocal",Y1760="equivocal"),"疑似",IF(AND(W1760="positive",Y1760="positive"),"a",IF(Y1760="positive","b",IF(W1760="positive","c","d")))))</x:f>
        <x:v>d</x:v>
      </x:c>
      <x:c r="AA1760" s="12" t="str">
        <x:f>IF(OR(M1760="unavailable",O1760="unavailable"),"不可评价",IF(AND(OR(M1760="positive",M1760="equivocal"),OR(O1760="positive",O1760="equivocal")),"a",IF(OR(O1760="positive",O1760="equivocal"),"b",IF(OR(M1760="positive",M1760="equivocal"),"c","d"))))</x:f>
        <x:v>d</x:v>
      </x:c>
      <x:c r="AB1760" s="12" t="str">
        <x:f>IF(OR(M1760="unavailable",O1760="unavailable"),"不可评价",IF(AND(M1760="positive",O1760="positive"),"a",IF(O1760="positive","b",IF(M1760="positive","c","d"))))</x:f>
        <x:v>d</x:v>
      </x:c>
      <x:c r="AC1760" s="12" t="str">
        <x:f>IF(OR(R1760="unavailable",T1760="unavailable"),"不可评价",IF(AND(OR(R1760="positive",R1760="equivocal"),OR(T1760="positive",T1760="equivocal")),"a",IF(OR(T1760="positive",T1760="equivocal"),"b",IF(OR(R1760="positive",R1760="equivocal"),"c","d"))))</x:f>
        <x:v>d</x:v>
      </x:c>
      <x:c r="AD1760" s="12" t="str">
        <x:f>IF(OR(R1760="unavailable",T1760="unavailable"),"不可评价",IF(AND(R1760="positive",T1760="positive"),"a",IF(T1760="positive","b",IF(R1760="positive","c","d"))))</x:f>
        <x:v>d</x:v>
      </x:c>
      <x:c r="AE1760" s="12" t="str">
        <x:f>IF(OR(W1760="unavailable",Y1760="unavailable"),"不可评价",IF(AND(OR(W1760="positive",W1760="equivocal"),OR(Y1760="positive",Y1760="equivocal")),"a",IF(OR(Y1760="positive",Y1760="equivocal"),"b",IF(OR(W1760="positive",W1760="equivocal"),"c","d"))))</x:f>
        <x:v>d</x:v>
      </x:c>
      <x:c r="AF1760" s="12" t="str">
        <x:f>IF(OR(W1760="unavailable",Y1760="unavailable"),"不可评价",IF(AND(W1760="positive",Y1760="positive"),"a",IF(Y1760="positive","b",IF(W1760="positive","c","d"))))</x:f>
        <x:v>d</x:v>
      </x:c>
    </x:row>
    <x:row r="1761" ht="24" customHeight="1">
      <x:c r="A1761" s="12" t="str">
        <x:v>16605</x:v>
      </x:c>
      <x:c r="B1761" s="12" t="str">
        <x:v>2751</x:v>
      </x:c>
      <x:c r="C1761" s="21" t="n">
        <x:v>35283.4821875</x:v>
      </x:c>
      <x:c r="D1761" s="12" t="n">
        <x:v>87</x:v>
      </x:c>
      <x:c r="E1761" s="12" t="n">
        <x:v>1</x:v>
      </x:c>
      <x:c r="F1761" s="12" t="str">
        <x:v>未记录</x:v>
      </x:c>
      <x:c r="G1761" s="12" t="n">
        <x:v>1</x:v>
      </x:c>
      <x:c r="H1761" s="12" t="str">
        <x:v>{'PACE': 100.0}</x:v>
      </x:c>
      <x:c r="I1761" s="12" t="str">
        <x:v>[('VPR', 100.0), ('AB', 100.0)]</x:v>
      </x:c>
      <x:c r="J1761" s="12" t="str">
        <x:v>ptbxl_database.csv；ecg_id=16605；scp_codes</x:v>
      </x:c>
      <x:c r="K1761" s="12" t="str">
        <x:v>12sl_statements.csv；ecg_id=16605；statements_ext_snomed</x:v>
      </x:c>
      <x:c r="L1761" s="12"/>
      <x:c r="M1761" s="12" t="str">
        <x:v>negative</x:v>
      </x:c>
      <x:c r="N1761" s="12"/>
      <x:c r="O1761" s="12" t="str">
        <x:v>negative</x:v>
      </x:c>
      <x:c r="P1761" s="12" t="str">
        <x:f>IF(OR(M1761="unavailable",O1761="unavailable"),"不可评价",IF(OR(M1761="equivocal",O1761="equivocal"),"疑似",IF(AND(M1761="positive",O1761="positive"),"a",IF(O1761="positive","b",IF(M1761="positive","c","d")))))</x:f>
        <x:v>d</x:v>
      </x:c>
      <x:c r="Q1761" s="12"/>
      <x:c r="R1761" s="12" t="str">
        <x:v>negative</x:v>
      </x:c>
      <x:c r="S1761" s="12"/>
      <x:c r="T1761" s="12" t="str">
        <x:v>negative</x:v>
      </x:c>
      <x:c r="U1761" s="12" t="str">
        <x:f>IF(OR(R1761="unavailable",T1761="unavailable"),"不可评价",IF(OR(R1761="equivocal",T1761="equivocal"),"疑似",IF(AND(R1761="positive",T1761="positive"),"a",IF(T1761="positive","b",IF(R1761="positive","c","d")))))</x:f>
        <x:v>d</x:v>
      </x:c>
      <x:c r="V1761" s="12"/>
      <x:c r="W1761" s="12" t="str">
        <x:v>negative</x:v>
      </x:c>
      <x:c r="X1761" s="12"/>
      <x:c r="Y1761" s="12" t="str">
        <x:v>negative</x:v>
      </x:c>
      <x:c r="Z1761" s="12" t="str">
        <x:f>IF(OR(W1761="unavailable",Y1761="unavailable"),"不可评价",IF(OR(W1761="equivocal",Y1761="equivocal"),"疑似",IF(AND(W1761="positive",Y1761="positive"),"a",IF(Y1761="positive","b",IF(W1761="positive","c","d")))))</x:f>
        <x:v>d</x:v>
      </x:c>
      <x:c r="AA1761" s="12" t="str">
        <x:f>IF(OR(M1761="unavailable",O1761="unavailable"),"不可评价",IF(AND(OR(M1761="positive",M1761="equivocal"),OR(O1761="positive",O1761="equivocal")),"a",IF(OR(O1761="positive",O1761="equivocal"),"b",IF(OR(M1761="positive",M1761="equivocal"),"c","d"))))</x:f>
        <x:v>d</x:v>
      </x:c>
      <x:c r="AB1761" s="12" t="str">
        <x:f>IF(OR(M1761="unavailable",O1761="unavailable"),"不可评价",IF(AND(M1761="positive",O1761="positive"),"a",IF(O1761="positive","b",IF(M1761="positive","c","d"))))</x:f>
        <x:v>d</x:v>
      </x:c>
      <x:c r="AC1761" s="12" t="str">
        <x:f>IF(OR(R1761="unavailable",T1761="unavailable"),"不可评价",IF(AND(OR(R1761="positive",R1761="equivocal"),OR(T1761="positive",T1761="equivocal")),"a",IF(OR(T1761="positive",T1761="equivocal"),"b",IF(OR(R1761="positive",R1761="equivocal"),"c","d"))))</x:f>
        <x:v>d</x:v>
      </x:c>
      <x:c r="AD1761" s="12" t="str">
        <x:f>IF(OR(R1761="unavailable",T1761="unavailable"),"不可评价",IF(AND(R1761="positive",T1761="positive"),"a",IF(T1761="positive","b",IF(R1761="positive","c","d"))))</x:f>
        <x:v>d</x:v>
      </x:c>
      <x:c r="AE1761" s="12" t="str">
        <x:f>IF(OR(W1761="unavailable",Y1761="unavailable"),"不可评价",IF(AND(OR(W1761="positive",W1761="equivocal"),OR(Y1761="positive",Y1761="equivocal")),"a",IF(OR(Y1761="positive",Y1761="equivocal"),"b",IF(OR(W1761="positive",W1761="equivocal"),"c","d"))))</x:f>
        <x:v>d</x:v>
      </x:c>
      <x:c r="AF1761" s="12" t="str">
        <x:f>IF(OR(W1761="unavailable",Y1761="unavailable"),"不可评价",IF(AND(W1761="positive",Y1761="positive"),"a",IF(Y1761="positive","b",IF(W1761="positive","c","d"))))</x:f>
        <x:v>d</x:v>
      </x:c>
    </x:row>
    <x:row r="1762" ht="39" customHeight="1">
      <x:c r="A1762" s="12" t="str">
        <x:v>16609</x:v>
      </x:c>
      <x:c r="B1762" s="12" t="str">
        <x:v>2737</x:v>
      </x:c>
      <x:c r="C1762" s="21" t="n">
        <x:v>35283.52141203704</x:v>
      </x:c>
      <x:c r="D1762" s="12" t="n">
        <x:v>82</x:v>
      </x:c>
      <x:c r="E1762" s="12" t="n">
        <x:v>1</x:v>
      </x:c>
      <x:c r="F1762" s="12" t="str">
        <x:v>未记录</x:v>
      </x:c>
      <x:c r="G1762" s="12" t="n">
        <x:v>1</x:v>
      </x:c>
      <x:c r="H1762" s="12" t="str">
        <x:v>{'ILMI': 15.0, 'LVH': 50.0, 'ISC_': 100.0, 'VCLVH': 0.0, 'LOWT': 0.0, 'STD_': 0.0, 'SR': 0.0}</x:v>
      </x:c>
      <x:c r="I1762" s="12" t="str">
        <x:v>[('NSR', 100.0), ('LVH2', 100.0), ('2ST', 100.0), ('IMI;AU', 100.0), ('AB', 100.0)]</x:v>
      </x:c>
      <x:c r="J1762" s="12" t="str">
        <x:v>ptbxl_database.csv；ecg_id=16609；scp_codes</x:v>
      </x:c>
      <x:c r="K1762" s="12" t="str">
        <x:v>12sl_statements.csv；ecg_id=16609；statements_ext_snomed</x:v>
      </x:c>
      <x:c r="L1762" s="12"/>
      <x:c r="M1762" s="12" t="str">
        <x:v>negative</x:v>
      </x:c>
      <x:c r="N1762" s="12"/>
      <x:c r="O1762" s="12" t="str">
        <x:v>negative</x:v>
      </x:c>
      <x:c r="P1762" s="12" t="str">
        <x:f>IF(OR(M1762="unavailable",O1762="unavailable"),"不可评价",IF(OR(M1762="equivocal",O1762="equivocal"),"疑似",IF(AND(M1762="positive",O1762="positive"),"a",IF(O1762="positive","b",IF(M1762="positive","c","d")))))</x:f>
        <x:v>d</x:v>
      </x:c>
      <x:c r="Q1762" s="12"/>
      <x:c r="R1762" s="12" t="str">
        <x:v>negative</x:v>
      </x:c>
      <x:c r="S1762" s="12"/>
      <x:c r="T1762" s="12" t="str">
        <x:v>negative</x:v>
      </x:c>
      <x:c r="U1762" s="12" t="str">
        <x:f>IF(OR(R1762="unavailable",T1762="unavailable"),"不可评价",IF(OR(R1762="equivocal",T1762="equivocal"),"疑似",IF(AND(R1762="positive",T1762="positive"),"a",IF(T1762="positive","b",IF(R1762="positive","c","d")))))</x:f>
        <x:v>d</x:v>
      </x:c>
      <x:c r="V1762" s="12"/>
      <x:c r="W1762" s="12" t="str">
        <x:v>negative</x:v>
      </x:c>
      <x:c r="X1762" s="12"/>
      <x:c r="Y1762" s="12" t="str">
        <x:v>negative</x:v>
      </x:c>
      <x:c r="Z1762" s="12" t="str">
        <x:f>IF(OR(W1762="unavailable",Y1762="unavailable"),"不可评价",IF(OR(W1762="equivocal",Y1762="equivocal"),"疑似",IF(AND(W1762="positive",Y1762="positive"),"a",IF(Y1762="positive","b",IF(W1762="positive","c","d")))))</x:f>
        <x:v>d</x:v>
      </x:c>
      <x:c r="AA1762" s="12" t="str">
        <x:f>IF(OR(M1762="unavailable",O1762="unavailable"),"不可评价",IF(AND(OR(M1762="positive",M1762="equivocal"),OR(O1762="positive",O1762="equivocal")),"a",IF(OR(O1762="positive",O1762="equivocal"),"b",IF(OR(M1762="positive",M1762="equivocal"),"c","d"))))</x:f>
        <x:v>d</x:v>
      </x:c>
      <x:c r="AB1762" s="12" t="str">
        <x:f>IF(OR(M1762="unavailable",O1762="unavailable"),"不可评价",IF(AND(M1762="positive",O1762="positive"),"a",IF(O1762="positive","b",IF(M1762="positive","c","d"))))</x:f>
        <x:v>d</x:v>
      </x:c>
      <x:c r="AC1762" s="12" t="str">
        <x:f>IF(OR(R1762="unavailable",T1762="unavailable"),"不可评价",IF(AND(OR(R1762="positive",R1762="equivocal"),OR(T1762="positive",T1762="equivocal")),"a",IF(OR(T1762="positive",T1762="equivocal"),"b",IF(OR(R1762="positive",R1762="equivocal"),"c","d"))))</x:f>
        <x:v>d</x:v>
      </x:c>
      <x:c r="AD1762" s="12" t="str">
        <x:f>IF(OR(R1762="unavailable",T1762="unavailable"),"不可评价",IF(AND(R1762="positive",T1762="positive"),"a",IF(T1762="positive","b",IF(R1762="positive","c","d"))))</x:f>
        <x:v>d</x:v>
      </x:c>
      <x:c r="AE1762" s="12" t="str">
        <x:f>IF(OR(W1762="unavailable",Y1762="unavailable"),"不可评价",IF(AND(OR(W1762="positive",W1762="equivocal"),OR(Y1762="positive",Y1762="equivocal")),"a",IF(OR(Y1762="positive",Y1762="equivocal"),"b",IF(OR(W1762="positive",W1762="equivocal"),"c","d"))))</x:f>
        <x:v>d</x:v>
      </x:c>
      <x:c r="AF1762" s="12" t="str">
        <x:f>IF(OR(W1762="unavailable",Y1762="unavailable"),"不可评价",IF(AND(W1762="positive",Y1762="positive"),"a",IF(Y1762="positive","b",IF(W1762="positive","c","d"))))</x:f>
        <x:v>d</x:v>
      </x:c>
    </x:row>
    <x:row r="1763" ht="24" customHeight="1">
      <x:c r="A1763" s="12" t="str">
        <x:v>16637</x:v>
      </x:c>
      <x:c r="B1763" s="12" t="str">
        <x:v>1579</x:v>
      </x:c>
      <x:c r="C1763" s="21" t="n">
        <x:v>35286.66064814815</x:v>
      </x:c>
      <x:c r="D1763" s="12" t="n">
        <x:v>59</x:v>
      </x:c>
      <x:c r="E1763" s="12" t="n">
        <x:v>1</x:v>
      </x:c>
      <x:c r="F1763" s="12" t="str">
        <x:v>存在</x:v>
      </x:c>
      <x:c r="G1763" s="12" t="n">
        <x:v>1</x:v>
      </x:c>
      <x:c r="H1763" s="12" t="str">
        <x:v>{'NORM': 100.0}</x:v>
      </x:c>
      <x:c r="I1763" s="12" t="str">
        <x:v>[('SBRAD', 100.0), ('ABR', 100.0)]</x:v>
      </x:c>
      <x:c r="J1763" s="12" t="str">
        <x:v>ptbxl_database.csv；ecg_id=16637；scp_codes</x:v>
      </x:c>
      <x:c r="K1763" s="12" t="str">
        <x:v>12sl_statements.csv；ecg_id=16637；statements_ext_snomed</x:v>
      </x:c>
      <x:c r="L1763" s="12"/>
      <x:c r="M1763" s="12" t="str">
        <x:v>negative</x:v>
      </x:c>
      <x:c r="N1763" s="12"/>
      <x:c r="O1763" s="12" t="str">
        <x:v>negative</x:v>
      </x:c>
      <x:c r="P1763" s="12" t="str">
        <x:f>IF(OR(M1763="unavailable",O1763="unavailable"),"不可评价",IF(OR(M1763="equivocal",O1763="equivocal"),"疑似",IF(AND(M1763="positive",O1763="positive"),"a",IF(O1763="positive","b",IF(M1763="positive","c","d")))))</x:f>
        <x:v>d</x:v>
      </x:c>
      <x:c r="Q1763" s="12"/>
      <x:c r="R1763" s="12" t="str">
        <x:v>negative</x:v>
      </x:c>
      <x:c r="S1763" s="12"/>
      <x:c r="T1763" s="12" t="str">
        <x:v>negative</x:v>
      </x:c>
      <x:c r="U1763" s="12" t="str">
        <x:f>IF(OR(R1763="unavailable",T1763="unavailable"),"不可评价",IF(OR(R1763="equivocal",T1763="equivocal"),"疑似",IF(AND(R1763="positive",T1763="positive"),"a",IF(T1763="positive","b",IF(R1763="positive","c","d")))))</x:f>
        <x:v>d</x:v>
      </x:c>
      <x:c r="V1763" s="12"/>
      <x:c r="W1763" s="12" t="str">
        <x:v>negative</x:v>
      </x:c>
      <x:c r="X1763" s="12"/>
      <x:c r="Y1763" s="12" t="str">
        <x:v>negative</x:v>
      </x:c>
      <x:c r="Z1763" s="12" t="str">
        <x:f>IF(OR(W1763="unavailable",Y1763="unavailable"),"不可评价",IF(OR(W1763="equivocal",Y1763="equivocal"),"疑似",IF(AND(W1763="positive",Y1763="positive"),"a",IF(Y1763="positive","b",IF(W1763="positive","c","d")))))</x:f>
        <x:v>d</x:v>
      </x:c>
      <x:c r="AA1763" s="12" t="str">
        <x:f>IF(OR(M1763="unavailable",O1763="unavailable"),"不可评价",IF(AND(OR(M1763="positive",M1763="equivocal"),OR(O1763="positive",O1763="equivocal")),"a",IF(OR(O1763="positive",O1763="equivocal"),"b",IF(OR(M1763="positive",M1763="equivocal"),"c","d"))))</x:f>
        <x:v>d</x:v>
      </x:c>
      <x:c r="AB1763" s="12" t="str">
        <x:f>IF(OR(M1763="unavailable",O1763="unavailable"),"不可评价",IF(AND(M1763="positive",O1763="positive"),"a",IF(O1763="positive","b",IF(M1763="positive","c","d"))))</x:f>
        <x:v>d</x:v>
      </x:c>
      <x:c r="AC1763" s="12" t="str">
        <x:f>IF(OR(R1763="unavailable",T1763="unavailable"),"不可评价",IF(AND(OR(R1763="positive",R1763="equivocal"),OR(T1763="positive",T1763="equivocal")),"a",IF(OR(T1763="positive",T1763="equivocal"),"b",IF(OR(R1763="positive",R1763="equivocal"),"c","d"))))</x:f>
        <x:v>d</x:v>
      </x:c>
      <x:c r="AD1763" s="12" t="str">
        <x:f>IF(OR(R1763="unavailable",T1763="unavailable"),"不可评价",IF(AND(R1763="positive",T1763="positive"),"a",IF(T1763="positive","b",IF(R1763="positive","c","d"))))</x:f>
        <x:v>d</x:v>
      </x:c>
      <x:c r="AE1763" s="12" t="str">
        <x:f>IF(OR(W1763="unavailable",Y1763="unavailable"),"不可评价",IF(AND(OR(W1763="positive",W1763="equivocal"),OR(Y1763="positive",Y1763="equivocal")),"a",IF(OR(Y1763="positive",Y1763="equivocal"),"b",IF(OR(W1763="positive",W1763="equivocal"),"c","d"))))</x:f>
        <x:v>d</x:v>
      </x:c>
      <x:c r="AF1763" s="12" t="str">
        <x:f>IF(OR(W1763="unavailable",Y1763="unavailable"),"不可评价",IF(AND(W1763="positive",Y1763="positive"),"a",IF(Y1763="positive","b",IF(W1763="positive","c","d"))))</x:f>
        <x:v>d</x:v>
      </x:c>
    </x:row>
    <x:row r="1764" ht="24" customHeight="1">
      <x:c r="A1764" s="12" t="str">
        <x:v>16647</x:v>
      </x:c>
      <x:c r="B1764" s="12" t="str">
        <x:v>9381</x:v>
      </x:c>
      <x:c r="C1764" s="21" t="n">
        <x:v>35288.45513888889</x:v>
      </x:c>
      <x:c r="D1764" s="12" t="n">
        <x:v>37</x:v>
      </x:c>
      <x:c r="E1764" s="12" t="n">
        <x:v>0</x:v>
      </x:c>
      <x:c r="F1764" s="12" t="str">
        <x:v>存在</x:v>
      </x:c>
      <x:c r="G1764" s="12" t="n">
        <x:v>1</x:v>
      </x:c>
      <x:c r="H1764" s="12" t="str">
        <x:v>{'NORM': 80.0, 'SR': 0.0}</x:v>
      </x:c>
      <x:c r="I1764" s="12" t="str">
        <x:v>[('ACCEL', 100.0), ('JUNCT-R', 100.0), ('AB', 100.0)]</x:v>
      </x:c>
      <x:c r="J1764" s="12" t="str">
        <x:v>ptbxl_database.csv；ecg_id=16647；scp_codes</x:v>
      </x:c>
      <x:c r="K1764" s="12" t="str">
        <x:v>12sl_statements.csv；ecg_id=16647；statements_ext_snomed</x:v>
      </x:c>
      <x:c r="L1764" s="12"/>
      <x:c r="M1764" s="12" t="str">
        <x:v>negative</x:v>
      </x:c>
      <x:c r="N1764" s="12"/>
      <x:c r="O1764" s="12" t="str">
        <x:v>negative</x:v>
      </x:c>
      <x:c r="P1764" s="12" t="str">
        <x:f>IF(OR(M1764="unavailable",O1764="unavailable"),"不可评价",IF(OR(M1764="equivocal",O1764="equivocal"),"疑似",IF(AND(M1764="positive",O1764="positive"),"a",IF(O1764="positive","b",IF(M1764="positive","c","d")))))</x:f>
        <x:v>d</x:v>
      </x:c>
      <x:c r="Q1764" s="12"/>
      <x:c r="R1764" s="12" t="str">
        <x:v>negative</x:v>
      </x:c>
      <x:c r="S1764" s="12"/>
      <x:c r="T1764" s="12" t="str">
        <x:v>negative</x:v>
      </x:c>
      <x:c r="U1764" s="12" t="str">
        <x:f>IF(OR(R1764="unavailable",T1764="unavailable"),"不可评价",IF(OR(R1764="equivocal",T1764="equivocal"),"疑似",IF(AND(R1764="positive",T1764="positive"),"a",IF(T1764="positive","b",IF(R1764="positive","c","d")))))</x:f>
        <x:v>d</x:v>
      </x:c>
      <x:c r="V1764" s="12"/>
      <x:c r="W1764" s="12" t="str">
        <x:v>negative</x:v>
      </x:c>
      <x:c r="X1764" s="12"/>
      <x:c r="Y1764" s="12" t="str">
        <x:v>negative</x:v>
      </x:c>
      <x:c r="Z1764" s="12" t="str">
        <x:f>IF(OR(W1764="unavailable",Y1764="unavailable"),"不可评价",IF(OR(W1764="equivocal",Y1764="equivocal"),"疑似",IF(AND(W1764="positive",Y1764="positive"),"a",IF(Y1764="positive","b",IF(W1764="positive","c","d")))))</x:f>
        <x:v>d</x:v>
      </x:c>
      <x:c r="AA1764" s="12" t="str">
        <x:f>IF(OR(M1764="unavailable",O1764="unavailable"),"不可评价",IF(AND(OR(M1764="positive",M1764="equivocal"),OR(O1764="positive",O1764="equivocal")),"a",IF(OR(O1764="positive",O1764="equivocal"),"b",IF(OR(M1764="positive",M1764="equivocal"),"c","d"))))</x:f>
        <x:v>d</x:v>
      </x:c>
      <x:c r="AB1764" s="12" t="str">
        <x:f>IF(OR(M1764="unavailable",O1764="unavailable"),"不可评价",IF(AND(M1764="positive",O1764="positive"),"a",IF(O1764="positive","b",IF(M1764="positive","c","d"))))</x:f>
        <x:v>d</x:v>
      </x:c>
      <x:c r="AC1764" s="12" t="str">
        <x:f>IF(OR(R1764="unavailable",T1764="unavailable"),"不可评价",IF(AND(OR(R1764="positive",R1764="equivocal"),OR(T1764="positive",T1764="equivocal")),"a",IF(OR(T1764="positive",T1764="equivocal"),"b",IF(OR(R1764="positive",R1764="equivocal"),"c","d"))))</x:f>
        <x:v>d</x:v>
      </x:c>
      <x:c r="AD1764" s="12" t="str">
        <x:f>IF(OR(R1764="unavailable",T1764="unavailable"),"不可评价",IF(AND(R1764="positive",T1764="positive"),"a",IF(T1764="positive","b",IF(R1764="positive","c","d"))))</x:f>
        <x:v>d</x:v>
      </x:c>
      <x:c r="AE1764" s="12" t="str">
        <x:f>IF(OR(W1764="unavailable",Y1764="unavailable"),"不可评价",IF(AND(OR(W1764="positive",W1764="equivocal"),OR(Y1764="positive",Y1764="equivocal")),"a",IF(OR(Y1764="positive",Y1764="equivocal"),"b",IF(OR(W1764="positive",W1764="equivocal"),"c","d"))))</x:f>
        <x:v>d</x:v>
      </x:c>
      <x:c r="AF1764" s="12" t="str">
        <x:f>IF(OR(W1764="unavailable",Y1764="unavailable"),"不可评价",IF(AND(W1764="positive",Y1764="positive"),"a",IF(Y1764="positive","b",IF(W1764="positive","c","d"))))</x:f>
        <x:v>d</x:v>
      </x:c>
    </x:row>
    <x:row r="1765" ht="24" customHeight="1">
      <x:c r="A1765" s="12" t="str">
        <x:v>16651</x:v>
      </x:c>
      <x:c r="B1765" s="12" t="str">
        <x:v>1358</x:v>
      </x:c>
      <x:c r="C1765" s="21" t="n">
        <x:v>35288.61440972222</x:v>
      </x:c>
      <x:c r="D1765" s="12" t="n">
        <x:v>52</x:v>
      </x:c>
      <x:c r="E1765" s="12" t="n">
        <x:v>0</x:v>
      </x:c>
      <x:c r="F1765" s="12" t="str">
        <x:v>未记录</x:v>
      </x:c>
      <x:c r="G1765" s="12" t="n">
        <x:v>1</x:v>
      </x:c>
      <x:c r="H1765" s="12" t="str">
        <x:v>{'NORM': 100.0, 'SR': 0.0}</x:v>
      </x:c>
      <x:c r="I1765" s="12" t="str">
        <x:v>[('NSR', 100.0), ('NML', 100.0)]</x:v>
      </x:c>
      <x:c r="J1765" s="12" t="str">
        <x:v>ptbxl_database.csv；ecg_id=16651；scp_codes</x:v>
      </x:c>
      <x:c r="K1765" s="12" t="str">
        <x:v>12sl_statements.csv；ecg_id=16651；statements_ext_snomed</x:v>
      </x:c>
      <x:c r="L1765" s="12"/>
      <x:c r="M1765" s="12" t="str">
        <x:v>negative</x:v>
      </x:c>
      <x:c r="N1765" s="12"/>
      <x:c r="O1765" s="12" t="str">
        <x:v>negative</x:v>
      </x:c>
      <x:c r="P1765" s="12" t="str">
        <x:f>IF(OR(M1765="unavailable",O1765="unavailable"),"不可评价",IF(OR(M1765="equivocal",O1765="equivocal"),"疑似",IF(AND(M1765="positive",O1765="positive"),"a",IF(O1765="positive","b",IF(M1765="positive","c","d")))))</x:f>
        <x:v>d</x:v>
      </x:c>
      <x:c r="Q1765" s="12"/>
      <x:c r="R1765" s="12" t="str">
        <x:v>negative</x:v>
      </x:c>
      <x:c r="S1765" s="12"/>
      <x:c r="T1765" s="12" t="str">
        <x:v>negative</x:v>
      </x:c>
      <x:c r="U1765" s="12" t="str">
        <x:f>IF(OR(R1765="unavailable",T1765="unavailable"),"不可评价",IF(OR(R1765="equivocal",T1765="equivocal"),"疑似",IF(AND(R1765="positive",T1765="positive"),"a",IF(T1765="positive","b",IF(R1765="positive","c","d")))))</x:f>
        <x:v>d</x:v>
      </x:c>
      <x:c r="V1765" s="12"/>
      <x:c r="W1765" s="12" t="str">
        <x:v>negative</x:v>
      </x:c>
      <x:c r="X1765" s="12"/>
      <x:c r="Y1765" s="12" t="str">
        <x:v>negative</x:v>
      </x:c>
      <x:c r="Z1765" s="12" t="str">
        <x:f>IF(OR(W1765="unavailable",Y1765="unavailable"),"不可评价",IF(OR(W1765="equivocal",Y1765="equivocal"),"疑似",IF(AND(W1765="positive",Y1765="positive"),"a",IF(Y1765="positive","b",IF(W1765="positive","c","d")))))</x:f>
        <x:v>d</x:v>
      </x:c>
      <x:c r="AA1765" s="12" t="str">
        <x:f>IF(OR(M1765="unavailable",O1765="unavailable"),"不可评价",IF(AND(OR(M1765="positive",M1765="equivocal"),OR(O1765="positive",O1765="equivocal")),"a",IF(OR(O1765="positive",O1765="equivocal"),"b",IF(OR(M1765="positive",M1765="equivocal"),"c","d"))))</x:f>
        <x:v>d</x:v>
      </x:c>
      <x:c r="AB1765" s="12" t="str">
        <x:f>IF(OR(M1765="unavailable",O1765="unavailable"),"不可评价",IF(AND(M1765="positive",O1765="positive"),"a",IF(O1765="positive","b",IF(M1765="positive","c","d"))))</x:f>
        <x:v>d</x:v>
      </x:c>
      <x:c r="AC1765" s="12" t="str">
        <x:f>IF(OR(R1765="unavailable",T1765="unavailable"),"不可评价",IF(AND(OR(R1765="positive",R1765="equivocal"),OR(T1765="positive",T1765="equivocal")),"a",IF(OR(T1765="positive",T1765="equivocal"),"b",IF(OR(R1765="positive",R1765="equivocal"),"c","d"))))</x:f>
        <x:v>d</x:v>
      </x:c>
      <x:c r="AD1765" s="12" t="str">
        <x:f>IF(OR(R1765="unavailable",T1765="unavailable"),"不可评价",IF(AND(R1765="positive",T1765="positive"),"a",IF(T1765="positive","b",IF(R1765="positive","c","d"))))</x:f>
        <x:v>d</x:v>
      </x:c>
      <x:c r="AE1765" s="12" t="str">
        <x:f>IF(OR(W1765="unavailable",Y1765="unavailable"),"不可评价",IF(AND(OR(W1765="positive",W1765="equivocal"),OR(Y1765="positive",Y1765="equivocal")),"a",IF(OR(Y1765="positive",Y1765="equivocal"),"b",IF(OR(W1765="positive",W1765="equivocal"),"c","d"))))</x:f>
        <x:v>d</x:v>
      </x:c>
      <x:c r="AF1765" s="12" t="str">
        <x:f>IF(OR(W1765="unavailable",Y1765="unavailable"),"不可评价",IF(AND(W1765="positive",Y1765="positive"),"a",IF(Y1765="positive","b",IF(W1765="positive","c","d"))))</x:f>
        <x:v>d</x:v>
      </x:c>
    </x:row>
    <x:row r="1766" ht="24" customHeight="1">
      <x:c r="A1766" s="12" t="str">
        <x:v>16658</x:v>
      </x:c>
      <x:c r="B1766" s="12" t="str">
        <x:v>11584</x:v>
      </x:c>
      <x:c r="C1766" s="21" t="n">
        <x:v>35290.50743055555</x:v>
      </x:c>
      <x:c r="D1766" s="12" t="n">
        <x:v>78</x:v>
      </x:c>
      <x:c r="E1766" s="12" t="n">
        <x:v>1</x:v>
      </x:c>
      <x:c r="F1766" s="12" t="str">
        <x:v>未记录</x:v>
      </x:c>
      <x:c r="G1766" s="12" t="n">
        <x:v>0</x:v>
      </x:c>
      <x:c r="H1766" s="12" t="str">
        <x:v>{'ISCAS': 100.0, 'SR': 0.0}</x:v>
      </x:c>
      <x:c r="I1766" s="12" t="str">
        <x:v>[('NSR', 100.0), ('ST&amp;', 100.0), ('AT', 100.0), ('AB', 100.0)]</x:v>
      </x:c>
      <x:c r="J1766" s="12" t="str">
        <x:v>ptbxl_database.csv；ecg_id=16658；scp_codes</x:v>
      </x:c>
      <x:c r="K1766" s="12" t="str">
        <x:v>12sl_statements.csv；ecg_id=16658；statements_ext_snomed</x:v>
      </x:c>
      <x:c r="L1766" s="12"/>
      <x:c r="M1766" s="12" t="str">
        <x:v>negative</x:v>
      </x:c>
      <x:c r="N1766" s="12"/>
      <x:c r="O1766" s="12" t="str">
        <x:v>negative</x:v>
      </x:c>
      <x:c r="P1766" s="12" t="str">
        <x:f>IF(OR(M1766="unavailable",O1766="unavailable"),"不可评价",IF(OR(M1766="equivocal",O1766="equivocal"),"疑似",IF(AND(M1766="positive",O1766="positive"),"a",IF(O1766="positive","b",IF(M1766="positive","c","d")))))</x:f>
        <x:v>d</x:v>
      </x:c>
      <x:c r="Q1766" s="12"/>
      <x:c r="R1766" s="12" t="str">
        <x:v>negative</x:v>
      </x:c>
      <x:c r="S1766" s="12"/>
      <x:c r="T1766" s="12" t="str">
        <x:v>negative</x:v>
      </x:c>
      <x:c r="U1766" s="12" t="str">
        <x:f>IF(OR(R1766="unavailable",T1766="unavailable"),"不可评价",IF(OR(R1766="equivocal",T1766="equivocal"),"疑似",IF(AND(R1766="positive",T1766="positive"),"a",IF(T1766="positive","b",IF(R1766="positive","c","d")))))</x:f>
        <x:v>d</x:v>
      </x:c>
      <x:c r="V1766" s="12"/>
      <x:c r="W1766" s="12" t="str">
        <x:v>negative</x:v>
      </x:c>
      <x:c r="X1766" s="12"/>
      <x:c r="Y1766" s="12" t="str">
        <x:v>negative</x:v>
      </x:c>
      <x:c r="Z1766" s="12" t="str">
        <x:f>IF(OR(W1766="unavailable",Y1766="unavailable"),"不可评价",IF(OR(W1766="equivocal",Y1766="equivocal"),"疑似",IF(AND(W1766="positive",Y1766="positive"),"a",IF(Y1766="positive","b",IF(W1766="positive","c","d")))))</x:f>
        <x:v>d</x:v>
      </x:c>
      <x:c r="AA1766" s="12" t="str">
        <x:f>IF(OR(M1766="unavailable",O1766="unavailable"),"不可评价",IF(AND(OR(M1766="positive",M1766="equivocal"),OR(O1766="positive",O1766="equivocal")),"a",IF(OR(O1766="positive",O1766="equivocal"),"b",IF(OR(M1766="positive",M1766="equivocal"),"c","d"))))</x:f>
        <x:v>d</x:v>
      </x:c>
      <x:c r="AB1766" s="12" t="str">
        <x:f>IF(OR(M1766="unavailable",O1766="unavailable"),"不可评价",IF(AND(M1766="positive",O1766="positive"),"a",IF(O1766="positive","b",IF(M1766="positive","c","d"))))</x:f>
        <x:v>d</x:v>
      </x:c>
      <x:c r="AC1766" s="12" t="str">
        <x:f>IF(OR(R1766="unavailable",T1766="unavailable"),"不可评价",IF(AND(OR(R1766="positive",R1766="equivocal"),OR(T1766="positive",T1766="equivocal")),"a",IF(OR(T1766="positive",T1766="equivocal"),"b",IF(OR(R1766="positive",R1766="equivocal"),"c","d"))))</x:f>
        <x:v>d</x:v>
      </x:c>
      <x:c r="AD1766" s="12" t="str">
        <x:f>IF(OR(R1766="unavailable",T1766="unavailable"),"不可评价",IF(AND(R1766="positive",T1766="positive"),"a",IF(T1766="positive","b",IF(R1766="positive","c","d"))))</x:f>
        <x:v>d</x:v>
      </x:c>
      <x:c r="AE1766" s="12" t="str">
        <x:f>IF(OR(W1766="unavailable",Y1766="unavailable"),"不可评价",IF(AND(OR(W1766="positive",W1766="equivocal"),OR(Y1766="positive",Y1766="equivocal")),"a",IF(OR(Y1766="positive",Y1766="equivocal"),"b",IF(OR(W1766="positive",W1766="equivocal"),"c","d"))))</x:f>
        <x:v>d</x:v>
      </x:c>
      <x:c r="AF1766" s="12" t="str">
        <x:f>IF(OR(W1766="unavailable",Y1766="unavailable"),"不可评价",IF(AND(W1766="positive",Y1766="positive"),"a",IF(Y1766="positive","b",IF(W1766="positive","c","d"))))</x:f>
        <x:v>d</x:v>
      </x:c>
    </x:row>
    <x:row r="1767" ht="24" customHeight="1">
      <x:c r="A1767" s="12" t="str">
        <x:v>16674</x:v>
      </x:c>
      <x:c r="B1767" s="12" t="str">
        <x:v>13554</x:v>
      </x:c>
      <x:c r="C1767" s="21" t="n">
        <x:v>35293.65153935185</x:v>
      </x:c>
      <x:c r="D1767" s="12" t="n">
        <x:v>58</x:v>
      </x:c>
      <x:c r="E1767" s="12" t="n">
        <x:v>1</x:v>
      </x:c>
      <x:c r="F1767" s="12" t="str">
        <x:v>未记录</x:v>
      </x:c>
      <x:c r="G1767" s="12" t="n">
        <x:v>1</x:v>
      </x:c>
      <x:c r="H1767" s="12" t="str">
        <x:v>{'LAFB': 100.0, 'SR': 0.0}</x:v>
      </x:c>
      <x:c r="I1767" s="12" t="str">
        <x:v>[('NSR', 100.0), ('LAD3', 100.0), ('AB', 100.0)]</x:v>
      </x:c>
      <x:c r="J1767" s="12" t="str">
        <x:v>ptbxl_database.csv；ecg_id=16674；scp_codes</x:v>
      </x:c>
      <x:c r="K1767" s="12" t="str">
        <x:v>12sl_statements.csv；ecg_id=16674；statements_ext_snomed</x:v>
      </x:c>
      <x:c r="L1767" s="12"/>
      <x:c r="M1767" s="12" t="str">
        <x:v>negative</x:v>
      </x:c>
      <x:c r="N1767" s="12"/>
      <x:c r="O1767" s="12" t="str">
        <x:v>negative</x:v>
      </x:c>
      <x:c r="P1767" s="12" t="str">
        <x:f>IF(OR(M1767="unavailable",O1767="unavailable"),"不可评价",IF(OR(M1767="equivocal",O1767="equivocal"),"疑似",IF(AND(M1767="positive",O1767="positive"),"a",IF(O1767="positive","b",IF(M1767="positive","c","d")))))</x:f>
        <x:v>d</x:v>
      </x:c>
      <x:c r="Q1767" s="12"/>
      <x:c r="R1767" s="12" t="str">
        <x:v>negative</x:v>
      </x:c>
      <x:c r="S1767" s="12"/>
      <x:c r="T1767" s="12" t="str">
        <x:v>negative</x:v>
      </x:c>
      <x:c r="U1767" s="12" t="str">
        <x:f>IF(OR(R1767="unavailable",T1767="unavailable"),"不可评价",IF(OR(R1767="equivocal",T1767="equivocal"),"疑似",IF(AND(R1767="positive",T1767="positive"),"a",IF(T1767="positive","b",IF(R1767="positive","c","d")))))</x:f>
        <x:v>d</x:v>
      </x:c>
      <x:c r="V1767" s="12"/>
      <x:c r="W1767" s="12" t="str">
        <x:v>negative</x:v>
      </x:c>
      <x:c r="X1767" s="12"/>
      <x:c r="Y1767" s="12" t="str">
        <x:v>negative</x:v>
      </x:c>
      <x:c r="Z1767" s="12" t="str">
        <x:f>IF(OR(W1767="unavailable",Y1767="unavailable"),"不可评价",IF(OR(W1767="equivocal",Y1767="equivocal"),"疑似",IF(AND(W1767="positive",Y1767="positive"),"a",IF(Y1767="positive","b",IF(W1767="positive","c","d")))))</x:f>
        <x:v>d</x:v>
      </x:c>
      <x:c r="AA1767" s="12" t="str">
        <x:f>IF(OR(M1767="unavailable",O1767="unavailable"),"不可评价",IF(AND(OR(M1767="positive",M1767="equivocal"),OR(O1767="positive",O1767="equivocal")),"a",IF(OR(O1767="positive",O1767="equivocal"),"b",IF(OR(M1767="positive",M1767="equivocal"),"c","d"))))</x:f>
        <x:v>d</x:v>
      </x:c>
      <x:c r="AB1767" s="12" t="str">
        <x:f>IF(OR(M1767="unavailable",O1767="unavailable"),"不可评价",IF(AND(M1767="positive",O1767="positive"),"a",IF(O1767="positive","b",IF(M1767="positive","c","d"))))</x:f>
        <x:v>d</x:v>
      </x:c>
      <x:c r="AC1767" s="12" t="str">
        <x:f>IF(OR(R1767="unavailable",T1767="unavailable"),"不可评价",IF(AND(OR(R1767="positive",R1767="equivocal"),OR(T1767="positive",T1767="equivocal")),"a",IF(OR(T1767="positive",T1767="equivocal"),"b",IF(OR(R1767="positive",R1767="equivocal"),"c","d"))))</x:f>
        <x:v>d</x:v>
      </x:c>
      <x:c r="AD1767" s="12" t="str">
        <x:f>IF(OR(R1767="unavailable",T1767="unavailable"),"不可评价",IF(AND(R1767="positive",T1767="positive"),"a",IF(T1767="positive","b",IF(R1767="positive","c","d"))))</x:f>
        <x:v>d</x:v>
      </x:c>
      <x:c r="AE1767" s="12" t="str">
        <x:f>IF(OR(W1767="unavailable",Y1767="unavailable"),"不可评价",IF(AND(OR(W1767="positive",W1767="equivocal"),OR(Y1767="positive",Y1767="equivocal")),"a",IF(OR(Y1767="positive",Y1767="equivocal"),"b",IF(OR(W1767="positive",W1767="equivocal"),"c","d"))))</x:f>
        <x:v>d</x:v>
      </x:c>
      <x:c r="AF1767" s="12" t="str">
        <x:f>IF(OR(W1767="unavailable",Y1767="unavailable"),"不可评价",IF(AND(W1767="positive",Y1767="positive"),"a",IF(Y1767="positive","b",IF(W1767="positive","c","d"))))</x:f>
        <x:v>d</x:v>
      </x:c>
    </x:row>
    <x:row r="1768" ht="24" customHeight="1">
      <x:c r="A1768" s="12" t="str">
        <x:v>16692</x:v>
      </x:c>
      <x:c r="B1768" s="12" t="str">
        <x:v>19028</x:v>
      </x:c>
      <x:c r="C1768" s="21" t="n">
        <x:v>35298.6174537037</x:v>
      </x:c>
      <x:c r="D1768" s="12" t="n">
        <x:v>63</x:v>
      </x:c>
      <x:c r="E1768" s="12" t="n">
        <x:v>0</x:v>
      </x:c>
      <x:c r="F1768" s="12" t="str">
        <x:v>未记录</x:v>
      </x:c>
      <x:c r="G1768" s="12" t="n">
        <x:v>1</x:v>
      </x:c>
      <x:c r="H1768" s="12" t="str">
        <x:v>{'IMI': 100.0, 'ABQRS': 0.0, 'SR': 0.0}</x:v>
      </x:c>
      <x:c r="I1768" s="12" t="str">
        <x:v>[('NSR', 100.0), ('IMI;AU', 15.0), ('AB', 100.0)]</x:v>
      </x:c>
      <x:c r="J1768" s="12" t="str">
        <x:v>ptbxl_database.csv；ecg_id=16692；scp_codes</x:v>
      </x:c>
      <x:c r="K1768" s="12" t="str">
        <x:v>12sl_statements.csv；ecg_id=16692；statements_ext_snomed</x:v>
      </x:c>
      <x:c r="L1768" s="12"/>
      <x:c r="M1768" s="12" t="str">
        <x:v>negative</x:v>
      </x:c>
      <x:c r="N1768" s="12"/>
      <x:c r="O1768" s="12" t="str">
        <x:v>negative</x:v>
      </x:c>
      <x:c r="P1768" s="12" t="str">
        <x:f>IF(OR(M1768="unavailable",O1768="unavailable"),"不可评价",IF(OR(M1768="equivocal",O1768="equivocal"),"疑似",IF(AND(M1768="positive",O1768="positive"),"a",IF(O1768="positive","b",IF(M1768="positive","c","d")))))</x:f>
        <x:v>d</x:v>
      </x:c>
      <x:c r="Q1768" s="12"/>
      <x:c r="R1768" s="12" t="str">
        <x:v>negative</x:v>
      </x:c>
      <x:c r="S1768" s="12"/>
      <x:c r="T1768" s="12" t="str">
        <x:v>negative</x:v>
      </x:c>
      <x:c r="U1768" s="12" t="str">
        <x:f>IF(OR(R1768="unavailable",T1768="unavailable"),"不可评价",IF(OR(R1768="equivocal",T1768="equivocal"),"疑似",IF(AND(R1768="positive",T1768="positive"),"a",IF(T1768="positive","b",IF(R1768="positive","c","d")))))</x:f>
        <x:v>d</x:v>
      </x:c>
      <x:c r="V1768" s="12"/>
      <x:c r="W1768" s="12" t="str">
        <x:v>negative</x:v>
      </x:c>
      <x:c r="X1768" s="12"/>
      <x:c r="Y1768" s="12" t="str">
        <x:v>negative</x:v>
      </x:c>
      <x:c r="Z1768" s="12" t="str">
        <x:f>IF(OR(W1768="unavailable",Y1768="unavailable"),"不可评价",IF(OR(W1768="equivocal",Y1768="equivocal"),"疑似",IF(AND(W1768="positive",Y1768="positive"),"a",IF(Y1768="positive","b",IF(W1768="positive","c","d")))))</x:f>
        <x:v>d</x:v>
      </x:c>
      <x:c r="AA1768" s="12" t="str">
        <x:f>IF(OR(M1768="unavailable",O1768="unavailable"),"不可评价",IF(AND(OR(M1768="positive",M1768="equivocal"),OR(O1768="positive",O1768="equivocal")),"a",IF(OR(O1768="positive",O1768="equivocal"),"b",IF(OR(M1768="positive",M1768="equivocal"),"c","d"))))</x:f>
        <x:v>d</x:v>
      </x:c>
      <x:c r="AB1768" s="12" t="str">
        <x:f>IF(OR(M1768="unavailable",O1768="unavailable"),"不可评价",IF(AND(M1768="positive",O1768="positive"),"a",IF(O1768="positive","b",IF(M1768="positive","c","d"))))</x:f>
        <x:v>d</x:v>
      </x:c>
      <x:c r="AC1768" s="12" t="str">
        <x:f>IF(OR(R1768="unavailable",T1768="unavailable"),"不可评价",IF(AND(OR(R1768="positive",R1768="equivocal"),OR(T1768="positive",T1768="equivocal")),"a",IF(OR(T1768="positive",T1768="equivocal"),"b",IF(OR(R1768="positive",R1768="equivocal"),"c","d"))))</x:f>
        <x:v>d</x:v>
      </x:c>
      <x:c r="AD1768" s="12" t="str">
        <x:f>IF(OR(R1768="unavailable",T1768="unavailable"),"不可评价",IF(AND(R1768="positive",T1768="positive"),"a",IF(T1768="positive","b",IF(R1768="positive","c","d"))))</x:f>
        <x:v>d</x:v>
      </x:c>
      <x:c r="AE1768" s="12" t="str">
        <x:f>IF(OR(W1768="unavailable",Y1768="unavailable"),"不可评价",IF(AND(OR(W1768="positive",W1768="equivocal"),OR(Y1768="positive",Y1768="equivocal")),"a",IF(OR(Y1768="positive",Y1768="equivocal"),"b",IF(OR(W1768="positive",W1768="equivocal"),"c","d"))))</x:f>
        <x:v>d</x:v>
      </x:c>
      <x:c r="AF1768" s="12" t="str">
        <x:f>IF(OR(W1768="unavailable",Y1768="unavailable"),"不可评价",IF(AND(W1768="positive",Y1768="positive"),"a",IF(Y1768="positive","b",IF(W1768="positive","c","d"))))</x:f>
        <x:v>d</x:v>
      </x:c>
    </x:row>
    <x:row r="1769" ht="24" customHeight="1">
      <x:c r="A1769" s="12" t="str">
        <x:v>16700</x:v>
      </x:c>
      <x:c r="B1769" s="12" t="str">
        <x:v>8313</x:v>
      </x:c>
      <x:c r="C1769" s="21" t="n">
        <x:v>35299.59162037037</x:v>
      </x:c>
      <x:c r="D1769" s="12" t="n">
        <x:v>72</x:v>
      </x:c>
      <x:c r="E1769" s="12" t="n">
        <x:v>0</x:v>
      </x:c>
      <x:c r="F1769" s="12" t="str">
        <x:v>未记录</x:v>
      </x:c>
      <x:c r="G1769" s="12" t="n">
        <x:v>1</x:v>
      </x:c>
      <x:c r="H1769" s="12" t="str">
        <x:v>{'CRBBB': 100.0, 'LAFB': 100.0, '1AVB': 100.0, 'SR': 0.0}</x:v>
      </x:c>
      <x:c r="I1769" s="12" t="str">
        <x:v>[('NSR', 100.0), ('LAD3', 100.0), ('RBBB', 100.0), ('IMI;AU', 100.0), ('AB', 100.0)]</x:v>
      </x:c>
      <x:c r="J1769" s="12" t="str">
        <x:v>ptbxl_database.csv；ecg_id=16700；scp_codes</x:v>
      </x:c>
      <x:c r="K1769" s="12" t="str">
        <x:v>12sl_statements.csv；ecg_id=16700；statements_ext_snomed</x:v>
      </x:c>
      <x:c r="L1769" s="12"/>
      <x:c r="M1769" s="12" t="str">
        <x:v>negative</x:v>
      </x:c>
      <x:c r="N1769" s="12"/>
      <x:c r="O1769" s="12" t="str">
        <x:v>negative</x:v>
      </x:c>
      <x:c r="P1769" s="12" t="str">
        <x:f>IF(OR(M1769="unavailable",O1769="unavailable"),"不可评价",IF(OR(M1769="equivocal",O1769="equivocal"),"疑似",IF(AND(M1769="positive",O1769="positive"),"a",IF(O1769="positive","b",IF(M1769="positive","c","d")))))</x:f>
        <x:v>d</x:v>
      </x:c>
      <x:c r="Q1769" s="12"/>
      <x:c r="R1769" s="12" t="str">
        <x:v>negative</x:v>
      </x:c>
      <x:c r="S1769" s="12"/>
      <x:c r="T1769" s="12" t="str">
        <x:v>negative</x:v>
      </x:c>
      <x:c r="U1769" s="12" t="str">
        <x:f>IF(OR(R1769="unavailable",T1769="unavailable"),"不可评价",IF(OR(R1769="equivocal",T1769="equivocal"),"疑似",IF(AND(R1769="positive",T1769="positive"),"a",IF(T1769="positive","b",IF(R1769="positive","c","d")))))</x:f>
        <x:v>d</x:v>
      </x:c>
      <x:c r="V1769" s="12" t="n">
        <x:v>100</x:v>
      </x:c>
      <x:c r="W1769" s="12" t="str">
        <x:v>positive</x:v>
      </x:c>
      <x:c r="X1769" s="12" t="n">
        <x:v>100</x:v>
      </x:c>
      <x:c r="Y1769" s="12" t="str">
        <x:v>positive</x:v>
      </x:c>
      <x:c r="Z1769" s="12" t="str">
        <x:f>IF(OR(W1769="unavailable",Y1769="unavailable"),"不可评价",IF(OR(W1769="equivocal",Y1769="equivocal"),"疑似",IF(AND(W1769="positive",Y1769="positive"),"a",IF(Y1769="positive","b",IF(W1769="positive","c","d")))))</x:f>
        <x:v>a</x:v>
      </x:c>
      <x:c r="AA1769" s="12" t="str">
        <x:f>IF(OR(M1769="unavailable",O1769="unavailable"),"不可评价",IF(AND(OR(M1769="positive",M1769="equivocal"),OR(O1769="positive",O1769="equivocal")),"a",IF(OR(O1769="positive",O1769="equivocal"),"b",IF(OR(M1769="positive",M1769="equivocal"),"c","d"))))</x:f>
        <x:v>d</x:v>
      </x:c>
      <x:c r="AB1769" s="12" t="str">
        <x:f>IF(OR(M1769="unavailable",O1769="unavailable"),"不可评价",IF(AND(M1769="positive",O1769="positive"),"a",IF(O1769="positive","b",IF(M1769="positive","c","d"))))</x:f>
        <x:v>d</x:v>
      </x:c>
      <x:c r="AC1769" s="12" t="str">
        <x:f>IF(OR(R1769="unavailable",T1769="unavailable"),"不可评价",IF(AND(OR(R1769="positive",R1769="equivocal"),OR(T1769="positive",T1769="equivocal")),"a",IF(OR(T1769="positive",T1769="equivocal"),"b",IF(OR(R1769="positive",R1769="equivocal"),"c","d"))))</x:f>
        <x:v>d</x:v>
      </x:c>
      <x:c r="AD1769" s="12" t="str">
        <x:f>IF(OR(R1769="unavailable",T1769="unavailable"),"不可评价",IF(AND(R1769="positive",T1769="positive"),"a",IF(T1769="positive","b",IF(R1769="positive","c","d"))))</x:f>
        <x:v>d</x:v>
      </x:c>
      <x:c r="AE1769" s="12" t="str">
        <x:f>IF(OR(W1769="unavailable",Y1769="unavailable"),"不可评价",IF(AND(OR(W1769="positive",W1769="equivocal"),OR(Y1769="positive",Y1769="equivocal")),"a",IF(OR(Y1769="positive",Y1769="equivocal"),"b",IF(OR(W1769="positive",W1769="equivocal"),"c","d"))))</x:f>
        <x:v>a</x:v>
      </x:c>
      <x:c r="AF1769" s="12" t="str">
        <x:f>IF(OR(W1769="unavailable",Y1769="unavailable"),"不可评价",IF(AND(W1769="positive",Y1769="positive"),"a",IF(Y1769="positive","b",IF(W1769="positive","c","d"))))</x:f>
        <x:v>a</x:v>
      </x:c>
    </x:row>
    <x:row r="1770" ht="24" customHeight="1">
      <x:c r="A1770" s="12" t="str">
        <x:v>16707</x:v>
      </x:c>
      <x:c r="B1770" s="12" t="str">
        <x:v>14010</x:v>
      </x:c>
      <x:c r="C1770" s="21" t="n">
        <x:v>35301.20724537037</x:v>
      </x:c>
      <x:c r="D1770" s="12" t="n">
        <x:v>28</x:v>
      </x:c>
      <x:c r="E1770" s="12" t="n">
        <x:v>1</x:v>
      </x:c>
      <x:c r="F1770" s="12" t="str">
        <x:v>存在</x:v>
      </x:c>
      <x:c r="G1770" s="12" t="n">
        <x:v>1</x:v>
      </x:c>
      <x:c r="H1770" s="12" t="str">
        <x:v>{'NST_': 100.0, 'SARRH': 0.0}</x:v>
      </x:c>
      <x:c r="I1770" s="12" t="str">
        <x:v>[('SRTH', 100.0), ('MSAR', 100.0), ('QRST', 100.0), ('AB', 100.0)]</x:v>
      </x:c>
      <x:c r="J1770" s="12" t="str">
        <x:v>ptbxl_database.csv；ecg_id=16707；scp_codes</x:v>
      </x:c>
      <x:c r="K1770" s="12" t="str">
        <x:v>12sl_statements.csv；ecg_id=16707；statements_ext_snomed</x:v>
      </x:c>
      <x:c r="L1770" s="12"/>
      <x:c r="M1770" s="12" t="str">
        <x:v>negative</x:v>
      </x:c>
      <x:c r="N1770" s="12"/>
      <x:c r="O1770" s="12" t="str">
        <x:v>negative</x:v>
      </x:c>
      <x:c r="P1770" s="12" t="str">
        <x:f>IF(OR(M1770="unavailable",O1770="unavailable"),"不可评价",IF(OR(M1770="equivocal",O1770="equivocal"),"疑似",IF(AND(M1770="positive",O1770="positive"),"a",IF(O1770="positive","b",IF(M1770="positive","c","d")))))</x:f>
        <x:v>d</x:v>
      </x:c>
      <x:c r="Q1770" s="12"/>
      <x:c r="R1770" s="12" t="str">
        <x:v>negative</x:v>
      </x:c>
      <x:c r="S1770" s="12"/>
      <x:c r="T1770" s="12" t="str">
        <x:v>negative</x:v>
      </x:c>
      <x:c r="U1770" s="12" t="str">
        <x:f>IF(OR(R1770="unavailable",T1770="unavailable"),"不可评价",IF(OR(R1770="equivocal",T1770="equivocal"),"疑似",IF(AND(R1770="positive",T1770="positive"),"a",IF(T1770="positive","b",IF(R1770="positive","c","d")))))</x:f>
        <x:v>d</x:v>
      </x:c>
      <x:c r="V1770" s="12"/>
      <x:c r="W1770" s="12" t="str">
        <x:v>negative</x:v>
      </x:c>
      <x:c r="X1770" s="12"/>
      <x:c r="Y1770" s="12" t="str">
        <x:v>negative</x:v>
      </x:c>
      <x:c r="Z1770" s="12" t="str">
        <x:f>IF(OR(W1770="unavailable",Y1770="unavailable"),"不可评价",IF(OR(W1770="equivocal",Y1770="equivocal"),"疑似",IF(AND(W1770="positive",Y1770="positive"),"a",IF(Y1770="positive","b",IF(W1770="positive","c","d")))))</x:f>
        <x:v>d</x:v>
      </x:c>
      <x:c r="AA1770" s="12" t="str">
        <x:f>IF(OR(M1770="unavailable",O1770="unavailable"),"不可评价",IF(AND(OR(M1770="positive",M1770="equivocal"),OR(O1770="positive",O1770="equivocal")),"a",IF(OR(O1770="positive",O1770="equivocal"),"b",IF(OR(M1770="positive",M1770="equivocal"),"c","d"))))</x:f>
        <x:v>d</x:v>
      </x:c>
      <x:c r="AB1770" s="12" t="str">
        <x:f>IF(OR(M1770="unavailable",O1770="unavailable"),"不可评价",IF(AND(M1770="positive",O1770="positive"),"a",IF(O1770="positive","b",IF(M1770="positive","c","d"))))</x:f>
        <x:v>d</x:v>
      </x:c>
      <x:c r="AC1770" s="12" t="str">
        <x:f>IF(OR(R1770="unavailable",T1770="unavailable"),"不可评价",IF(AND(OR(R1770="positive",R1770="equivocal"),OR(T1770="positive",T1770="equivocal")),"a",IF(OR(T1770="positive",T1770="equivocal"),"b",IF(OR(R1770="positive",R1770="equivocal"),"c","d"))))</x:f>
        <x:v>d</x:v>
      </x:c>
      <x:c r="AD1770" s="12" t="str">
        <x:f>IF(OR(R1770="unavailable",T1770="unavailable"),"不可评价",IF(AND(R1770="positive",T1770="positive"),"a",IF(T1770="positive","b",IF(R1770="positive","c","d"))))</x:f>
        <x:v>d</x:v>
      </x:c>
      <x:c r="AE1770" s="12" t="str">
        <x:f>IF(OR(W1770="unavailable",Y1770="unavailable"),"不可评价",IF(AND(OR(W1770="positive",W1770="equivocal"),OR(Y1770="positive",Y1770="equivocal")),"a",IF(OR(Y1770="positive",Y1770="equivocal"),"b",IF(OR(W1770="positive",W1770="equivocal"),"c","d"))))</x:f>
        <x:v>d</x:v>
      </x:c>
      <x:c r="AF1770" s="12" t="str">
        <x:f>IF(OR(W1770="unavailable",Y1770="unavailable"),"不可评价",IF(AND(W1770="positive",Y1770="positive"),"a",IF(Y1770="positive","b",IF(W1770="positive","c","d"))))</x:f>
        <x:v>d</x:v>
      </x:c>
    </x:row>
    <x:row r="1771" ht="24" customHeight="1">
      <x:c r="A1771" s="12" t="str">
        <x:v>16712</x:v>
      </x:c>
      <x:c r="B1771" s="12" t="str">
        <x:v>18256</x:v>
      </x:c>
      <x:c r="C1771" s="21" t="n">
        <x:v>35301.73131944444</x:v>
      </x:c>
      <x:c r="D1771" s="12" t="n">
        <x:v>48</x:v>
      </x:c>
      <x:c r="E1771" s="12" t="n">
        <x:v>1</x:v>
      </x:c>
      <x:c r="F1771" s="12" t="str">
        <x:v>未记录</x:v>
      </x:c>
      <x:c r="G1771" s="12" t="n">
        <x:v>1</x:v>
      </x:c>
      <x:c r="H1771" s="12" t="str">
        <x:v>{'IMI': 15.0, 'ABQRS': 0.0, 'SR': 0.0}</x:v>
      </x:c>
      <x:c r="I1771" s="12" t="str">
        <x:v>[('NSR', 100.0), ('NML', 100.0)]</x:v>
      </x:c>
      <x:c r="J1771" s="12" t="str">
        <x:v>ptbxl_database.csv；ecg_id=16712；scp_codes</x:v>
      </x:c>
      <x:c r="K1771" s="12" t="str">
        <x:v>12sl_statements.csv；ecg_id=16712；statements_ext_snomed</x:v>
      </x:c>
      <x:c r="L1771" s="12"/>
      <x:c r="M1771" s="12" t="str">
        <x:v>negative</x:v>
      </x:c>
      <x:c r="N1771" s="12"/>
      <x:c r="O1771" s="12" t="str">
        <x:v>negative</x:v>
      </x:c>
      <x:c r="P1771" s="12" t="str">
        <x:f>IF(OR(M1771="unavailable",O1771="unavailable"),"不可评价",IF(OR(M1771="equivocal",O1771="equivocal"),"疑似",IF(AND(M1771="positive",O1771="positive"),"a",IF(O1771="positive","b",IF(M1771="positive","c","d")))))</x:f>
        <x:v>d</x:v>
      </x:c>
      <x:c r="Q1771" s="12"/>
      <x:c r="R1771" s="12" t="str">
        <x:v>negative</x:v>
      </x:c>
      <x:c r="S1771" s="12"/>
      <x:c r="T1771" s="12" t="str">
        <x:v>negative</x:v>
      </x:c>
      <x:c r="U1771" s="12" t="str">
        <x:f>IF(OR(R1771="unavailable",T1771="unavailable"),"不可评价",IF(OR(R1771="equivocal",T1771="equivocal"),"疑似",IF(AND(R1771="positive",T1771="positive"),"a",IF(T1771="positive","b",IF(R1771="positive","c","d")))))</x:f>
        <x:v>d</x:v>
      </x:c>
      <x:c r="V1771" s="12"/>
      <x:c r="W1771" s="12" t="str">
        <x:v>negative</x:v>
      </x:c>
      <x:c r="X1771" s="12"/>
      <x:c r="Y1771" s="12" t="str">
        <x:v>negative</x:v>
      </x:c>
      <x:c r="Z1771" s="12" t="str">
        <x:f>IF(OR(W1771="unavailable",Y1771="unavailable"),"不可评价",IF(OR(W1771="equivocal",Y1771="equivocal"),"疑似",IF(AND(W1771="positive",Y1771="positive"),"a",IF(Y1771="positive","b",IF(W1771="positive","c","d")))))</x:f>
        <x:v>d</x:v>
      </x:c>
      <x:c r="AA1771" s="12" t="str">
        <x:f>IF(OR(M1771="unavailable",O1771="unavailable"),"不可评价",IF(AND(OR(M1771="positive",M1771="equivocal"),OR(O1771="positive",O1771="equivocal")),"a",IF(OR(O1771="positive",O1771="equivocal"),"b",IF(OR(M1771="positive",M1771="equivocal"),"c","d"))))</x:f>
        <x:v>d</x:v>
      </x:c>
      <x:c r="AB1771" s="12" t="str">
        <x:f>IF(OR(M1771="unavailable",O1771="unavailable"),"不可评价",IF(AND(M1771="positive",O1771="positive"),"a",IF(O1771="positive","b",IF(M1771="positive","c","d"))))</x:f>
        <x:v>d</x:v>
      </x:c>
      <x:c r="AC1771" s="12" t="str">
        <x:f>IF(OR(R1771="unavailable",T1771="unavailable"),"不可评价",IF(AND(OR(R1771="positive",R1771="equivocal"),OR(T1771="positive",T1771="equivocal")),"a",IF(OR(T1771="positive",T1771="equivocal"),"b",IF(OR(R1771="positive",R1771="equivocal"),"c","d"))))</x:f>
        <x:v>d</x:v>
      </x:c>
      <x:c r="AD1771" s="12" t="str">
        <x:f>IF(OR(R1771="unavailable",T1771="unavailable"),"不可评价",IF(AND(R1771="positive",T1771="positive"),"a",IF(T1771="positive","b",IF(R1771="positive","c","d"))))</x:f>
        <x:v>d</x:v>
      </x:c>
      <x:c r="AE1771" s="12" t="str">
        <x:f>IF(OR(W1771="unavailable",Y1771="unavailable"),"不可评价",IF(AND(OR(W1771="positive",W1771="equivocal"),OR(Y1771="positive",Y1771="equivocal")),"a",IF(OR(Y1771="positive",Y1771="equivocal"),"b",IF(OR(W1771="positive",W1771="equivocal"),"c","d"))))</x:f>
        <x:v>d</x:v>
      </x:c>
      <x:c r="AF1771" s="12" t="str">
        <x:f>IF(OR(W1771="unavailable",Y1771="unavailable"),"不可评价",IF(AND(W1771="positive",Y1771="positive"),"a",IF(Y1771="positive","b",IF(W1771="positive","c","d"))))</x:f>
        <x:v>d</x:v>
      </x:c>
    </x:row>
    <x:row r="1772" ht="24" customHeight="1">
      <x:c r="A1772" s="12" t="str">
        <x:v>16735</x:v>
      </x:c>
      <x:c r="B1772" s="12" t="str">
        <x:v>15951</x:v>
      </x:c>
      <x:c r="C1772" s="21" t="n">
        <x:v>35306.59211805555</x:v>
      </x:c>
      <x:c r="D1772" s="12" t="n">
        <x:v>68</x:v>
      </x:c>
      <x:c r="E1772" s="12" t="n">
        <x:v>0</x:v>
      </x:c>
      <x:c r="F1772" s="12" t="str">
        <x:v>存在</x:v>
      </x:c>
      <x:c r="G1772" s="12" t="n">
        <x:v>1</x:v>
      </x:c>
      <x:c r="H1772" s="12" t="str">
        <x:v>{'NDT': 100.0, 'IVCD': 100.0, 'ABQRS': 0.0, 'SBRAD': 0.0}</x:v>
      </x:c>
      <x:c r="I1772" s="12" t="str">
        <x:v>[('SBRAD', 100.0), ('IVCD', 100.0), ('NSTT', 100.0), ('AB', 100.0)]</x:v>
      </x:c>
      <x:c r="J1772" s="12" t="str">
        <x:v>ptbxl_database.csv；ecg_id=16735；scp_codes</x:v>
      </x:c>
      <x:c r="K1772" s="12" t="str">
        <x:v>12sl_statements.csv；ecg_id=16735；statements_ext_snomed</x:v>
      </x:c>
      <x:c r="L1772" s="12"/>
      <x:c r="M1772" s="12" t="str">
        <x:v>negative</x:v>
      </x:c>
      <x:c r="N1772" s="12"/>
      <x:c r="O1772" s="12" t="str">
        <x:v>negative</x:v>
      </x:c>
      <x:c r="P1772" s="12" t="str">
        <x:f>IF(OR(M1772="unavailable",O1772="unavailable"),"不可评价",IF(OR(M1772="equivocal",O1772="equivocal"),"疑似",IF(AND(M1772="positive",O1772="positive"),"a",IF(O1772="positive","b",IF(M1772="positive","c","d")))))</x:f>
        <x:v>d</x:v>
      </x:c>
      <x:c r="Q1772" s="12"/>
      <x:c r="R1772" s="12" t="str">
        <x:v>negative</x:v>
      </x:c>
      <x:c r="S1772" s="12"/>
      <x:c r="T1772" s="12" t="str">
        <x:v>negative</x:v>
      </x:c>
      <x:c r="U1772" s="12" t="str">
        <x:f>IF(OR(R1772="unavailable",T1772="unavailable"),"不可评价",IF(OR(R1772="equivocal",T1772="equivocal"),"疑似",IF(AND(R1772="positive",T1772="positive"),"a",IF(T1772="positive","b",IF(R1772="positive","c","d")))))</x:f>
        <x:v>d</x:v>
      </x:c>
      <x:c r="V1772" s="12"/>
      <x:c r="W1772" s="12" t="str">
        <x:v>negative</x:v>
      </x:c>
      <x:c r="X1772" s="12"/>
      <x:c r="Y1772" s="12" t="str">
        <x:v>negative</x:v>
      </x:c>
      <x:c r="Z1772" s="12" t="str">
        <x:f>IF(OR(W1772="unavailable",Y1772="unavailable"),"不可评价",IF(OR(W1772="equivocal",Y1772="equivocal"),"疑似",IF(AND(W1772="positive",Y1772="positive"),"a",IF(Y1772="positive","b",IF(W1772="positive","c","d")))))</x:f>
        <x:v>d</x:v>
      </x:c>
      <x:c r="AA1772" s="12" t="str">
        <x:f>IF(OR(M1772="unavailable",O1772="unavailable"),"不可评价",IF(AND(OR(M1772="positive",M1772="equivocal"),OR(O1772="positive",O1772="equivocal")),"a",IF(OR(O1772="positive",O1772="equivocal"),"b",IF(OR(M1772="positive",M1772="equivocal"),"c","d"))))</x:f>
        <x:v>d</x:v>
      </x:c>
      <x:c r="AB1772" s="12" t="str">
        <x:f>IF(OR(M1772="unavailable",O1772="unavailable"),"不可评价",IF(AND(M1772="positive",O1772="positive"),"a",IF(O1772="positive","b",IF(M1772="positive","c","d"))))</x:f>
        <x:v>d</x:v>
      </x:c>
      <x:c r="AC1772" s="12" t="str">
        <x:f>IF(OR(R1772="unavailable",T1772="unavailable"),"不可评价",IF(AND(OR(R1772="positive",R1772="equivocal"),OR(T1772="positive",T1772="equivocal")),"a",IF(OR(T1772="positive",T1772="equivocal"),"b",IF(OR(R1772="positive",R1772="equivocal"),"c","d"))))</x:f>
        <x:v>d</x:v>
      </x:c>
      <x:c r="AD1772" s="12" t="str">
        <x:f>IF(OR(R1772="unavailable",T1772="unavailable"),"不可评价",IF(AND(R1772="positive",T1772="positive"),"a",IF(T1772="positive","b",IF(R1772="positive","c","d"))))</x:f>
        <x:v>d</x:v>
      </x:c>
      <x:c r="AE1772" s="12" t="str">
        <x:f>IF(OR(W1772="unavailable",Y1772="unavailable"),"不可评价",IF(AND(OR(W1772="positive",W1772="equivocal"),OR(Y1772="positive",Y1772="equivocal")),"a",IF(OR(Y1772="positive",Y1772="equivocal"),"b",IF(OR(W1772="positive",W1772="equivocal"),"c","d"))))</x:f>
        <x:v>d</x:v>
      </x:c>
      <x:c r="AF1772" s="12" t="str">
        <x:f>IF(OR(W1772="unavailable",Y1772="unavailable"),"不可评价",IF(AND(W1772="positive",Y1772="positive"),"a",IF(Y1772="positive","b",IF(W1772="positive","c","d"))))</x:f>
        <x:v>d</x:v>
      </x:c>
    </x:row>
    <x:row r="1773" ht="39" customHeight="1">
      <x:c r="A1773" s="12" t="str">
        <x:v>16748</x:v>
      </x:c>
      <x:c r="B1773" s="12" t="str">
        <x:v>8313</x:v>
      </x:c>
      <x:c r="C1773" s="21" t="n">
        <x:v>35309.45767361111</x:v>
      </x:c>
      <x:c r="D1773" s="12" t="n">
        <x:v>72</x:v>
      </x:c>
      <x:c r="E1773" s="12" t="n">
        <x:v>0</x:v>
      </x:c>
      <x:c r="F1773" s="12" t="str">
        <x:v>未记录</x:v>
      </x:c>
      <x:c r="G1773" s="12" t="n">
        <x:v>0</x:v>
      </x:c>
      <x:c r="H1773" s="12" t="str">
        <x:v>{'RVH': 50.0, 'CRBBB': 100.0, 'LAFB': 100.0, '1AVB': 100.0, 'PVC': 100.0, 'SR': 0.0}</x:v>
      </x:c>
      <x:c r="I1773" s="12" t="str">
        <x:v>[('SRTH', 100.0), ('PVC', 100.0), ('LAD3', 100.0), ('RBBB', 100.0), ('IMI;AU', 100.0), ('LT', 100.0), ('AB', 100.0)]</x:v>
      </x:c>
      <x:c r="J1773" s="12" t="str">
        <x:v>ptbxl_database.csv；ecg_id=16748；scp_codes</x:v>
      </x:c>
      <x:c r="K1773" s="12" t="str">
        <x:v>12sl_statements.csv；ecg_id=16748；statements_ext_snomed</x:v>
      </x:c>
      <x:c r="L1773" s="12"/>
      <x:c r="M1773" s="12" t="str">
        <x:v>negative</x:v>
      </x:c>
      <x:c r="N1773" s="12"/>
      <x:c r="O1773" s="12" t="str">
        <x:v>negative</x:v>
      </x:c>
      <x:c r="P1773" s="12" t="str">
        <x:f>IF(OR(M1773="unavailable",O1773="unavailable"),"不可评价",IF(OR(M1773="equivocal",O1773="equivocal"),"疑似",IF(AND(M1773="positive",O1773="positive"),"a",IF(O1773="positive","b",IF(M1773="positive","c","d")))))</x:f>
        <x:v>d</x:v>
      </x:c>
      <x:c r="Q1773" s="12"/>
      <x:c r="R1773" s="12" t="str">
        <x:v>negative</x:v>
      </x:c>
      <x:c r="S1773" s="12"/>
      <x:c r="T1773" s="12" t="str">
        <x:v>negative</x:v>
      </x:c>
      <x:c r="U1773" s="12" t="str">
        <x:f>IF(OR(R1773="unavailable",T1773="unavailable"),"不可评价",IF(OR(R1773="equivocal",T1773="equivocal"),"疑似",IF(AND(R1773="positive",T1773="positive"),"a",IF(T1773="positive","b",IF(R1773="positive","c","d")))))</x:f>
        <x:v>d</x:v>
      </x:c>
      <x:c r="V1773" s="12" t="n">
        <x:v>100</x:v>
      </x:c>
      <x:c r="W1773" s="12" t="str">
        <x:v>positive</x:v>
      </x:c>
      <x:c r="X1773" s="12" t="n">
        <x:v>100</x:v>
      </x:c>
      <x:c r="Y1773" s="12" t="str">
        <x:v>positive</x:v>
      </x:c>
      <x:c r="Z1773" s="12" t="str">
        <x:f>IF(OR(W1773="unavailable",Y1773="unavailable"),"不可评价",IF(OR(W1773="equivocal",Y1773="equivocal"),"疑似",IF(AND(W1773="positive",Y1773="positive"),"a",IF(Y1773="positive","b",IF(W1773="positive","c","d")))))</x:f>
        <x:v>a</x:v>
      </x:c>
      <x:c r="AA1773" s="12" t="str">
        <x:f>IF(OR(M1773="unavailable",O1773="unavailable"),"不可评价",IF(AND(OR(M1773="positive",M1773="equivocal"),OR(O1773="positive",O1773="equivocal")),"a",IF(OR(O1773="positive",O1773="equivocal"),"b",IF(OR(M1773="positive",M1773="equivocal"),"c","d"))))</x:f>
        <x:v>d</x:v>
      </x:c>
      <x:c r="AB1773" s="12" t="str">
        <x:f>IF(OR(M1773="unavailable",O1773="unavailable"),"不可评价",IF(AND(M1773="positive",O1773="positive"),"a",IF(O1773="positive","b",IF(M1773="positive","c","d"))))</x:f>
        <x:v>d</x:v>
      </x:c>
      <x:c r="AC1773" s="12" t="str">
        <x:f>IF(OR(R1773="unavailable",T1773="unavailable"),"不可评价",IF(AND(OR(R1773="positive",R1773="equivocal"),OR(T1773="positive",T1773="equivocal")),"a",IF(OR(T1773="positive",T1773="equivocal"),"b",IF(OR(R1773="positive",R1773="equivocal"),"c","d"))))</x:f>
        <x:v>d</x:v>
      </x:c>
      <x:c r="AD1773" s="12" t="str">
        <x:f>IF(OR(R1773="unavailable",T1773="unavailable"),"不可评价",IF(AND(R1773="positive",T1773="positive"),"a",IF(T1773="positive","b",IF(R1773="positive","c","d"))))</x:f>
        <x:v>d</x:v>
      </x:c>
      <x:c r="AE1773" s="12" t="str">
        <x:f>IF(OR(W1773="unavailable",Y1773="unavailable"),"不可评价",IF(AND(OR(W1773="positive",W1773="equivocal"),OR(Y1773="positive",Y1773="equivocal")),"a",IF(OR(Y1773="positive",Y1773="equivocal"),"b",IF(OR(W1773="positive",W1773="equivocal"),"c","d"))))</x:f>
        <x:v>a</x:v>
      </x:c>
      <x:c r="AF1773" s="12" t="str">
        <x:f>IF(OR(W1773="unavailable",Y1773="unavailable"),"不可评价",IF(AND(W1773="positive",Y1773="positive"),"a",IF(Y1773="positive","b",IF(W1773="positive","c","d"))))</x:f>
        <x:v>a</x:v>
      </x:c>
    </x:row>
    <x:row r="1774" ht="24" customHeight="1">
      <x:c r="A1774" s="12" t="str">
        <x:v>16750</x:v>
      </x:c>
      <x:c r="B1774" s="12" t="str">
        <x:v>18192</x:v>
      </x:c>
      <x:c r="C1774" s="21" t="n">
        <x:v>35309.79315972222</x:v>
      </x:c>
      <x:c r="D1774" s="12" t="n">
        <x:v>87</x:v>
      </x:c>
      <x:c r="E1774" s="12" t="n">
        <x:v>1</x:v>
      </x:c>
      <x:c r="F1774" s="12" t="str">
        <x:v>未记录</x:v>
      </x:c>
      <x:c r="G1774" s="12" t="n">
        <x:v>1</x:v>
      </x:c>
      <x:c r="H1774" s="12" t="str">
        <x:v>{'DIG': 100.0, 'AFIB': 0.0}</x:v>
      </x:c>
      <x:c r="I1774" s="12" t="str">
        <x:v>[('AFIB', 100.0), ('RVR', 100.0), ('NSTT', 100.0), ('AB', 100.0)]</x:v>
      </x:c>
      <x:c r="J1774" s="12" t="str">
        <x:v>ptbxl_database.csv；ecg_id=16750；scp_codes</x:v>
      </x:c>
      <x:c r="K1774" s="12" t="str">
        <x:v>12sl_statements.csv；ecg_id=16750；statements_ext_snomed</x:v>
      </x:c>
      <x:c r="L1774" s="12" t="n">
        <x:v>0</x:v>
      </x:c>
      <x:c r="M1774" s="12" t="str">
        <x:v>positive</x:v>
      </x:c>
      <x:c r="N1774" s="12" t="n">
        <x:v>100</x:v>
      </x:c>
      <x:c r="O1774" s="12" t="str">
        <x:v>positive</x:v>
      </x:c>
      <x:c r="P1774" s="12" t="str">
        <x:f>IF(OR(M1774="unavailable",O1774="unavailable"),"不可评价",IF(OR(M1774="equivocal",O1774="equivocal"),"疑似",IF(AND(M1774="positive",O1774="positive"),"a",IF(O1774="positive","b",IF(M1774="positive","c","d")))))</x:f>
        <x:v>a</x:v>
      </x:c>
      <x:c r="Q1774" s="12"/>
      <x:c r="R1774" s="12" t="str">
        <x:v>negative</x:v>
      </x:c>
      <x:c r="S1774" s="12"/>
      <x:c r="T1774" s="12" t="str">
        <x:v>negative</x:v>
      </x:c>
      <x:c r="U1774" s="12" t="str">
        <x:f>IF(OR(R1774="unavailable",T1774="unavailable"),"不可评价",IF(OR(R1774="equivocal",T1774="equivocal"),"疑似",IF(AND(R1774="positive",T1774="positive"),"a",IF(T1774="positive","b",IF(R1774="positive","c","d")))))</x:f>
        <x:v>d</x:v>
      </x:c>
      <x:c r="V1774" s="12"/>
      <x:c r="W1774" s="12" t="str">
        <x:v>negative</x:v>
      </x:c>
      <x:c r="X1774" s="12"/>
      <x:c r="Y1774" s="12" t="str">
        <x:v>negative</x:v>
      </x:c>
      <x:c r="Z1774" s="12" t="str">
        <x:f>IF(OR(W1774="unavailable",Y1774="unavailable"),"不可评价",IF(OR(W1774="equivocal",Y1774="equivocal"),"疑似",IF(AND(W1774="positive",Y1774="positive"),"a",IF(Y1774="positive","b",IF(W1774="positive","c","d")))))</x:f>
        <x:v>d</x:v>
      </x:c>
      <x:c r="AA1774" s="12" t="str">
        <x:f>IF(OR(M1774="unavailable",O1774="unavailable"),"不可评价",IF(AND(OR(M1774="positive",M1774="equivocal"),OR(O1774="positive",O1774="equivocal")),"a",IF(OR(O1774="positive",O1774="equivocal"),"b",IF(OR(M1774="positive",M1774="equivocal"),"c","d"))))</x:f>
        <x:v>a</x:v>
      </x:c>
      <x:c r="AB1774" s="12" t="str">
        <x:f>IF(OR(M1774="unavailable",O1774="unavailable"),"不可评价",IF(AND(M1774="positive",O1774="positive"),"a",IF(O1774="positive","b",IF(M1774="positive","c","d"))))</x:f>
        <x:v>a</x:v>
      </x:c>
      <x:c r="AC1774" s="12" t="str">
        <x:f>IF(OR(R1774="unavailable",T1774="unavailable"),"不可评价",IF(AND(OR(R1774="positive",R1774="equivocal"),OR(T1774="positive",T1774="equivocal")),"a",IF(OR(T1774="positive",T1774="equivocal"),"b",IF(OR(R1774="positive",R1774="equivocal"),"c","d"))))</x:f>
        <x:v>d</x:v>
      </x:c>
      <x:c r="AD1774" s="12" t="str">
        <x:f>IF(OR(R1774="unavailable",T1774="unavailable"),"不可评价",IF(AND(R1774="positive",T1774="positive"),"a",IF(T1774="positive","b",IF(R1774="positive","c","d"))))</x:f>
        <x:v>d</x:v>
      </x:c>
      <x:c r="AE1774" s="12" t="str">
        <x:f>IF(OR(W1774="unavailable",Y1774="unavailable"),"不可评价",IF(AND(OR(W1774="positive",W1774="equivocal"),OR(Y1774="positive",Y1774="equivocal")),"a",IF(OR(Y1774="positive",Y1774="equivocal"),"b",IF(OR(W1774="positive",W1774="equivocal"),"c","d"))))</x:f>
        <x:v>d</x:v>
      </x:c>
      <x:c r="AF1774" s="12" t="str">
        <x:f>IF(OR(W1774="unavailable",Y1774="unavailable"),"不可评价",IF(AND(W1774="positive",Y1774="positive"),"a",IF(Y1774="positive","b",IF(W1774="positive","c","d"))))</x:f>
        <x:v>d</x:v>
      </x:c>
    </x:row>
    <x:row r="1775" ht="24" customHeight="1">
      <x:c r="A1775" s="12" t="str">
        <x:v>16780</x:v>
      </x:c>
      <x:c r="B1775" s="12" t="str">
        <x:v>1726</x:v>
      </x:c>
      <x:c r="C1775" s="21" t="n">
        <x:v>35313.38936342593</x:v>
      </x:c>
      <x:c r="D1775" s="12" t="n">
        <x:v>23</x:v>
      </x:c>
      <x:c r="E1775" s="12" t="n">
        <x:v>0</x:v>
      </x:c>
      <x:c r="F1775" s="12" t="str">
        <x:v>未记录</x:v>
      </x:c>
      <x:c r="G1775" s="12" t="n">
        <x:v>1</x:v>
      </x:c>
      <x:c r="H1775" s="12" t="str">
        <x:v>{'NORM': 100.0, 'SR': 0.0}</x:v>
      </x:c>
      <x:c r="I1775" s="12" t="str">
        <x:v>[('NSR', 100.0), ('NML', 100.0)]</x:v>
      </x:c>
      <x:c r="J1775" s="12" t="str">
        <x:v>ptbxl_database.csv；ecg_id=16780；scp_codes</x:v>
      </x:c>
      <x:c r="K1775" s="12" t="str">
        <x:v>12sl_statements.csv；ecg_id=16780；statements_ext_snomed</x:v>
      </x:c>
      <x:c r="L1775" s="12"/>
      <x:c r="M1775" s="12" t="str">
        <x:v>negative</x:v>
      </x:c>
      <x:c r="N1775" s="12"/>
      <x:c r="O1775" s="12" t="str">
        <x:v>negative</x:v>
      </x:c>
      <x:c r="P1775" s="12" t="str">
        <x:f>IF(OR(M1775="unavailable",O1775="unavailable"),"不可评价",IF(OR(M1775="equivocal",O1775="equivocal"),"疑似",IF(AND(M1775="positive",O1775="positive"),"a",IF(O1775="positive","b",IF(M1775="positive","c","d")))))</x:f>
        <x:v>d</x:v>
      </x:c>
      <x:c r="Q1775" s="12"/>
      <x:c r="R1775" s="12" t="str">
        <x:v>negative</x:v>
      </x:c>
      <x:c r="S1775" s="12"/>
      <x:c r="T1775" s="12" t="str">
        <x:v>negative</x:v>
      </x:c>
      <x:c r="U1775" s="12" t="str">
        <x:f>IF(OR(R1775="unavailable",T1775="unavailable"),"不可评价",IF(OR(R1775="equivocal",T1775="equivocal"),"疑似",IF(AND(R1775="positive",T1775="positive"),"a",IF(T1775="positive","b",IF(R1775="positive","c","d")))))</x:f>
        <x:v>d</x:v>
      </x:c>
      <x:c r="V1775" s="12"/>
      <x:c r="W1775" s="12" t="str">
        <x:v>negative</x:v>
      </x:c>
      <x:c r="X1775" s="12"/>
      <x:c r="Y1775" s="12" t="str">
        <x:v>negative</x:v>
      </x:c>
      <x:c r="Z1775" s="12" t="str">
        <x:f>IF(OR(W1775="unavailable",Y1775="unavailable"),"不可评价",IF(OR(W1775="equivocal",Y1775="equivocal"),"疑似",IF(AND(W1775="positive",Y1775="positive"),"a",IF(Y1775="positive","b",IF(W1775="positive","c","d")))))</x:f>
        <x:v>d</x:v>
      </x:c>
      <x:c r="AA1775" s="12" t="str">
        <x:f>IF(OR(M1775="unavailable",O1775="unavailable"),"不可评价",IF(AND(OR(M1775="positive",M1775="equivocal"),OR(O1775="positive",O1775="equivocal")),"a",IF(OR(O1775="positive",O1775="equivocal"),"b",IF(OR(M1775="positive",M1775="equivocal"),"c","d"))))</x:f>
        <x:v>d</x:v>
      </x:c>
      <x:c r="AB1775" s="12" t="str">
        <x:f>IF(OR(M1775="unavailable",O1775="unavailable"),"不可评价",IF(AND(M1775="positive",O1775="positive"),"a",IF(O1775="positive","b",IF(M1775="positive","c","d"))))</x:f>
        <x:v>d</x:v>
      </x:c>
      <x:c r="AC1775" s="12" t="str">
        <x:f>IF(OR(R1775="unavailable",T1775="unavailable"),"不可评价",IF(AND(OR(R1775="positive",R1775="equivocal"),OR(T1775="positive",T1775="equivocal")),"a",IF(OR(T1775="positive",T1775="equivocal"),"b",IF(OR(R1775="positive",R1775="equivocal"),"c","d"))))</x:f>
        <x:v>d</x:v>
      </x:c>
      <x:c r="AD1775" s="12" t="str">
        <x:f>IF(OR(R1775="unavailable",T1775="unavailable"),"不可评价",IF(AND(R1775="positive",T1775="positive"),"a",IF(T1775="positive","b",IF(R1775="positive","c","d"))))</x:f>
        <x:v>d</x:v>
      </x:c>
      <x:c r="AE1775" s="12" t="str">
        <x:f>IF(OR(W1775="unavailable",Y1775="unavailable"),"不可评价",IF(AND(OR(W1775="positive",W1775="equivocal"),OR(Y1775="positive",Y1775="equivocal")),"a",IF(OR(Y1775="positive",Y1775="equivocal"),"b",IF(OR(W1775="positive",W1775="equivocal"),"c","d"))))</x:f>
        <x:v>d</x:v>
      </x:c>
      <x:c r="AF1775" s="12" t="str">
        <x:f>IF(OR(W1775="unavailable",Y1775="unavailable"),"不可评价",IF(AND(W1775="positive",Y1775="positive"),"a",IF(Y1775="positive","b",IF(W1775="positive","c","d"))))</x:f>
        <x:v>d</x:v>
      </x:c>
    </x:row>
    <x:row r="1776" ht="39" customHeight="1">
      <x:c r="A1776" s="12" t="str">
        <x:v>16782</x:v>
      </x:c>
      <x:c r="B1776" s="12" t="str">
        <x:v>445</x:v>
      </x:c>
      <x:c r="C1776" s="21" t="n">
        <x:v>35313.653657407405</x:v>
      </x:c>
      <x:c r="D1776" s="12" t="n">
        <x:v>82</x:v>
      </x:c>
      <x:c r="E1776" s="12" t="n">
        <x:v>0</x:v>
      </x:c>
      <x:c r="F1776" s="12" t="str">
        <x:v>存在</x:v>
      </x:c>
      <x:c r="G1776" s="12" t="n">
        <x:v>1</x:v>
      </x:c>
      <x:c r="H1776" s="12" t="str">
        <x:v>{'INJAL': 100.0, 'PVC': 100.0, 'LOWT': 0.0, 'INVT': 0.0, 'STD_': 0.0, 'AFIB': 0.0}</x:v>
      </x:c>
      <x:c r="I1776" s="12" t="str">
        <x:v>[('AFIB', 100.0), ('ABER', 100.0), ('LSBINJ', 100.0), ('AB', 100.0)]</x:v>
      </x:c>
      <x:c r="J1776" s="12" t="str">
        <x:v>ptbxl_database.csv；ecg_id=16782；scp_codes</x:v>
      </x:c>
      <x:c r="K1776" s="12" t="str">
        <x:v>12sl_statements.csv；ecg_id=16782；statements_ext_snomed</x:v>
      </x:c>
      <x:c r="L1776" s="12" t="n">
        <x:v>0</x:v>
      </x:c>
      <x:c r="M1776" s="12" t="str">
        <x:v>positive</x:v>
      </x:c>
      <x:c r="N1776" s="12" t="n">
        <x:v>100</x:v>
      </x:c>
      <x:c r="O1776" s="12" t="str">
        <x:v>positive</x:v>
      </x:c>
      <x:c r="P1776" s="12" t="str">
        <x:f>IF(OR(M1776="unavailable",O1776="unavailable"),"不可评价",IF(OR(M1776="equivocal",O1776="equivocal"),"疑似",IF(AND(M1776="positive",O1776="positive"),"a",IF(O1776="positive","b",IF(M1776="positive","c","d")))))</x:f>
        <x:v>a</x:v>
      </x:c>
      <x:c r="Q1776" s="12"/>
      <x:c r="R1776" s="12" t="str">
        <x:v>negative</x:v>
      </x:c>
      <x:c r="S1776" s="12"/>
      <x:c r="T1776" s="12" t="str">
        <x:v>negative</x:v>
      </x:c>
      <x:c r="U1776" s="12" t="str">
        <x:f>IF(OR(R1776="unavailable",T1776="unavailable"),"不可评价",IF(OR(R1776="equivocal",T1776="equivocal"),"疑似",IF(AND(R1776="positive",T1776="positive"),"a",IF(T1776="positive","b",IF(R1776="positive","c","d")))))</x:f>
        <x:v>d</x:v>
      </x:c>
      <x:c r="V1776" s="12"/>
      <x:c r="W1776" s="12" t="str">
        <x:v>negative</x:v>
      </x:c>
      <x:c r="X1776" s="12"/>
      <x:c r="Y1776" s="12" t="str">
        <x:v>negative</x:v>
      </x:c>
      <x:c r="Z1776" s="12" t="str">
        <x:f>IF(OR(W1776="unavailable",Y1776="unavailable"),"不可评价",IF(OR(W1776="equivocal",Y1776="equivocal"),"疑似",IF(AND(W1776="positive",Y1776="positive"),"a",IF(Y1776="positive","b",IF(W1776="positive","c","d")))))</x:f>
        <x:v>d</x:v>
      </x:c>
      <x:c r="AA1776" s="12" t="str">
        <x:f>IF(OR(M1776="unavailable",O1776="unavailable"),"不可评价",IF(AND(OR(M1776="positive",M1776="equivocal"),OR(O1776="positive",O1776="equivocal")),"a",IF(OR(O1776="positive",O1776="equivocal"),"b",IF(OR(M1776="positive",M1776="equivocal"),"c","d"))))</x:f>
        <x:v>a</x:v>
      </x:c>
      <x:c r="AB1776" s="12" t="str">
        <x:f>IF(OR(M1776="unavailable",O1776="unavailable"),"不可评价",IF(AND(M1776="positive",O1776="positive"),"a",IF(O1776="positive","b",IF(M1776="positive","c","d"))))</x:f>
        <x:v>a</x:v>
      </x:c>
      <x:c r="AC1776" s="12" t="str">
        <x:f>IF(OR(R1776="unavailable",T1776="unavailable"),"不可评价",IF(AND(OR(R1776="positive",R1776="equivocal"),OR(T1776="positive",T1776="equivocal")),"a",IF(OR(T1776="positive",T1776="equivocal"),"b",IF(OR(R1776="positive",R1776="equivocal"),"c","d"))))</x:f>
        <x:v>d</x:v>
      </x:c>
      <x:c r="AD1776" s="12" t="str">
        <x:f>IF(OR(R1776="unavailable",T1776="unavailable"),"不可评价",IF(AND(R1776="positive",T1776="positive"),"a",IF(T1776="positive","b",IF(R1776="positive","c","d"))))</x:f>
        <x:v>d</x:v>
      </x:c>
      <x:c r="AE1776" s="12" t="str">
        <x:f>IF(OR(W1776="unavailable",Y1776="unavailable"),"不可评价",IF(AND(OR(W1776="positive",W1776="equivocal"),OR(Y1776="positive",Y1776="equivocal")),"a",IF(OR(Y1776="positive",Y1776="equivocal"),"b",IF(OR(W1776="positive",W1776="equivocal"),"c","d"))))</x:f>
        <x:v>d</x:v>
      </x:c>
      <x:c r="AF1776" s="12" t="str">
        <x:f>IF(OR(W1776="unavailable",Y1776="unavailable"),"不可评价",IF(AND(W1776="positive",Y1776="positive"),"a",IF(Y1776="positive","b",IF(W1776="positive","c","d"))))</x:f>
        <x:v>d</x:v>
      </x:c>
    </x:row>
    <x:row r="1777" ht="39" customHeight="1">
      <x:c r="A1777" s="12" t="str">
        <x:v>16783</x:v>
      </x:c>
      <x:c r="B1777" s="12" t="str">
        <x:v>1865</x:v>
      </x:c>
      <x:c r="C1777" s="21" t="n">
        <x:v>35313.794490740744</x:v>
      </x:c>
      <x:c r="D1777" s="12" t="n">
        <x:v>73</x:v>
      </x:c>
      <x:c r="E1777" s="12" t="n">
        <x:v>1</x:v>
      </x:c>
      <x:c r="F1777" s="12" t="str">
        <x:v>未记录</x:v>
      </x:c>
      <x:c r="G1777" s="12" t="n">
        <x:v>1</x:v>
      </x:c>
      <x:c r="H1777" s="12" t="str">
        <x:v>{'NST_': 100.0, 'LVH': 50.0, 'LAO/LAE': 100.0, 'PAC': 0.0, 'VCLVH': 0.0, 'STD_': 0.0, 'SR': 0.0}</x:v>
      </x:c>
      <x:c r="I1777" s="12" t="str">
        <x:v>[('SRTH', 100.0), ('PAC', 100.0), ('LVH2', 100.0), ('2ST', 100.0), ('AB', 100.0)]</x:v>
      </x:c>
      <x:c r="J1777" s="12" t="str">
        <x:v>ptbxl_database.csv；ecg_id=16783；scp_codes</x:v>
      </x:c>
      <x:c r="K1777" s="12" t="str">
        <x:v>12sl_statements.csv；ecg_id=16783；statements_ext_snomed</x:v>
      </x:c>
      <x:c r="L1777" s="12"/>
      <x:c r="M1777" s="12" t="str">
        <x:v>negative</x:v>
      </x:c>
      <x:c r="N1777" s="12"/>
      <x:c r="O1777" s="12" t="str">
        <x:v>negative</x:v>
      </x:c>
      <x:c r="P1777" s="12" t="str">
        <x:f>IF(OR(M1777="unavailable",O1777="unavailable"),"不可评价",IF(OR(M1777="equivocal",O1777="equivocal"),"疑似",IF(AND(M1777="positive",O1777="positive"),"a",IF(O1777="positive","b",IF(M1777="positive","c","d")))))</x:f>
        <x:v>d</x:v>
      </x:c>
      <x:c r="Q1777" s="12"/>
      <x:c r="R1777" s="12" t="str">
        <x:v>negative</x:v>
      </x:c>
      <x:c r="S1777" s="12"/>
      <x:c r="T1777" s="12" t="str">
        <x:v>negative</x:v>
      </x:c>
      <x:c r="U1777" s="12" t="str">
        <x:f>IF(OR(R1777="unavailable",T1777="unavailable"),"不可评价",IF(OR(R1777="equivocal",T1777="equivocal"),"疑似",IF(AND(R1777="positive",T1777="positive"),"a",IF(T1777="positive","b",IF(R1777="positive","c","d")))))</x:f>
        <x:v>d</x:v>
      </x:c>
      <x:c r="V1777" s="12"/>
      <x:c r="W1777" s="12" t="str">
        <x:v>negative</x:v>
      </x:c>
      <x:c r="X1777" s="12"/>
      <x:c r="Y1777" s="12" t="str">
        <x:v>negative</x:v>
      </x:c>
      <x:c r="Z1777" s="12" t="str">
        <x:f>IF(OR(W1777="unavailable",Y1777="unavailable"),"不可评价",IF(OR(W1777="equivocal",Y1777="equivocal"),"疑似",IF(AND(W1777="positive",Y1777="positive"),"a",IF(Y1777="positive","b",IF(W1777="positive","c","d")))))</x:f>
        <x:v>d</x:v>
      </x:c>
      <x:c r="AA1777" s="12" t="str">
        <x:f>IF(OR(M1777="unavailable",O1777="unavailable"),"不可评价",IF(AND(OR(M1777="positive",M1777="equivocal"),OR(O1777="positive",O1777="equivocal")),"a",IF(OR(O1777="positive",O1777="equivocal"),"b",IF(OR(M1777="positive",M1777="equivocal"),"c","d"))))</x:f>
        <x:v>d</x:v>
      </x:c>
      <x:c r="AB1777" s="12" t="str">
        <x:f>IF(OR(M1777="unavailable",O1777="unavailable"),"不可评价",IF(AND(M1777="positive",O1777="positive"),"a",IF(O1777="positive","b",IF(M1777="positive","c","d"))))</x:f>
        <x:v>d</x:v>
      </x:c>
      <x:c r="AC1777" s="12" t="str">
        <x:f>IF(OR(R1777="unavailable",T1777="unavailable"),"不可评价",IF(AND(OR(R1777="positive",R1777="equivocal"),OR(T1777="positive",T1777="equivocal")),"a",IF(OR(T1777="positive",T1777="equivocal"),"b",IF(OR(R1777="positive",R1777="equivocal"),"c","d"))))</x:f>
        <x:v>d</x:v>
      </x:c>
      <x:c r="AD1777" s="12" t="str">
        <x:f>IF(OR(R1777="unavailable",T1777="unavailable"),"不可评价",IF(AND(R1777="positive",T1777="positive"),"a",IF(T1777="positive","b",IF(R1777="positive","c","d"))))</x:f>
        <x:v>d</x:v>
      </x:c>
      <x:c r="AE1777" s="12" t="str">
        <x:f>IF(OR(W1777="unavailable",Y1777="unavailable"),"不可评价",IF(AND(OR(W1777="positive",W1777="equivocal"),OR(Y1777="positive",Y1777="equivocal")),"a",IF(OR(Y1777="positive",Y1777="equivocal"),"b",IF(OR(W1777="positive",W1777="equivocal"),"c","d"))))</x:f>
        <x:v>d</x:v>
      </x:c>
      <x:c r="AF1777" s="12" t="str">
        <x:f>IF(OR(W1777="unavailable",Y1777="unavailable"),"不可评价",IF(AND(W1777="positive",Y1777="positive"),"a",IF(Y1777="positive","b",IF(W1777="positive","c","d"))))</x:f>
        <x:v>d</x:v>
      </x:c>
    </x:row>
    <x:row r="1778" ht="24" customHeight="1">
      <x:c r="A1778" s="12" t="str">
        <x:v>16792</x:v>
      </x:c>
      <x:c r="B1778" s="12" t="str">
        <x:v>4871</x:v>
      </x:c>
      <x:c r="C1778" s="21" t="n">
        <x:v>35315.439421296294</x:v>
      </x:c>
      <x:c r="D1778" s="12" t="n">
        <x:v>63</x:v>
      </x:c>
      <x:c r="E1778" s="12" t="n">
        <x:v>0</x:v>
      </x:c>
      <x:c r="F1778" s="12" t="str">
        <x:v>未记录</x:v>
      </x:c>
      <x:c r="G1778" s="12" t="n">
        <x:v>1</x:v>
      </x:c>
      <x:c r="H1778" s="12" t="str">
        <x:v>{'NORM': 100.0, 'SR': 0.0}</x:v>
      </x:c>
      <x:c r="I1778" s="12" t="str">
        <x:v>[('NSR', 100.0), ('SAR', 100.0), ('NML', 100.0)]</x:v>
      </x:c>
      <x:c r="J1778" s="12" t="str">
        <x:v>ptbxl_database.csv；ecg_id=16792；scp_codes</x:v>
      </x:c>
      <x:c r="K1778" s="12" t="str">
        <x:v>12sl_statements.csv；ecg_id=16792；statements_ext_snomed</x:v>
      </x:c>
      <x:c r="L1778" s="12"/>
      <x:c r="M1778" s="12" t="str">
        <x:v>negative</x:v>
      </x:c>
      <x:c r="N1778" s="12"/>
      <x:c r="O1778" s="12" t="str">
        <x:v>negative</x:v>
      </x:c>
      <x:c r="P1778" s="12" t="str">
        <x:f>IF(OR(M1778="unavailable",O1778="unavailable"),"不可评价",IF(OR(M1778="equivocal",O1778="equivocal"),"疑似",IF(AND(M1778="positive",O1778="positive"),"a",IF(O1778="positive","b",IF(M1778="positive","c","d")))))</x:f>
        <x:v>d</x:v>
      </x:c>
      <x:c r="Q1778" s="12"/>
      <x:c r="R1778" s="12" t="str">
        <x:v>negative</x:v>
      </x:c>
      <x:c r="S1778" s="12"/>
      <x:c r="T1778" s="12" t="str">
        <x:v>negative</x:v>
      </x:c>
      <x:c r="U1778" s="12" t="str">
        <x:f>IF(OR(R1778="unavailable",T1778="unavailable"),"不可评价",IF(OR(R1778="equivocal",T1778="equivocal"),"疑似",IF(AND(R1778="positive",T1778="positive"),"a",IF(T1778="positive","b",IF(R1778="positive","c","d")))))</x:f>
        <x:v>d</x:v>
      </x:c>
      <x:c r="V1778" s="12"/>
      <x:c r="W1778" s="12" t="str">
        <x:v>negative</x:v>
      </x:c>
      <x:c r="X1778" s="12"/>
      <x:c r="Y1778" s="12" t="str">
        <x:v>negative</x:v>
      </x:c>
      <x:c r="Z1778" s="12" t="str">
        <x:f>IF(OR(W1778="unavailable",Y1778="unavailable"),"不可评价",IF(OR(W1778="equivocal",Y1778="equivocal"),"疑似",IF(AND(W1778="positive",Y1778="positive"),"a",IF(Y1778="positive","b",IF(W1778="positive","c","d")))))</x:f>
        <x:v>d</x:v>
      </x:c>
      <x:c r="AA1778" s="12" t="str">
        <x:f>IF(OR(M1778="unavailable",O1778="unavailable"),"不可评价",IF(AND(OR(M1778="positive",M1778="equivocal"),OR(O1778="positive",O1778="equivocal")),"a",IF(OR(O1778="positive",O1778="equivocal"),"b",IF(OR(M1778="positive",M1778="equivocal"),"c","d"))))</x:f>
        <x:v>d</x:v>
      </x:c>
      <x:c r="AB1778" s="12" t="str">
        <x:f>IF(OR(M1778="unavailable",O1778="unavailable"),"不可评价",IF(AND(M1778="positive",O1778="positive"),"a",IF(O1778="positive","b",IF(M1778="positive","c","d"))))</x:f>
        <x:v>d</x:v>
      </x:c>
      <x:c r="AC1778" s="12" t="str">
        <x:f>IF(OR(R1778="unavailable",T1778="unavailable"),"不可评价",IF(AND(OR(R1778="positive",R1778="equivocal"),OR(T1778="positive",T1778="equivocal")),"a",IF(OR(T1778="positive",T1778="equivocal"),"b",IF(OR(R1778="positive",R1778="equivocal"),"c","d"))))</x:f>
        <x:v>d</x:v>
      </x:c>
      <x:c r="AD1778" s="12" t="str">
        <x:f>IF(OR(R1778="unavailable",T1778="unavailable"),"不可评价",IF(AND(R1778="positive",T1778="positive"),"a",IF(T1778="positive","b",IF(R1778="positive","c","d"))))</x:f>
        <x:v>d</x:v>
      </x:c>
      <x:c r="AE1778" s="12" t="str">
        <x:f>IF(OR(W1778="unavailable",Y1778="unavailable"),"不可评价",IF(AND(OR(W1778="positive",W1778="equivocal"),OR(Y1778="positive",Y1778="equivocal")),"a",IF(OR(Y1778="positive",Y1778="equivocal"),"b",IF(OR(W1778="positive",W1778="equivocal"),"c","d"))))</x:f>
        <x:v>d</x:v>
      </x:c>
      <x:c r="AF1778" s="12" t="str">
        <x:f>IF(OR(W1778="unavailable",Y1778="unavailable"),"不可评价",IF(AND(W1778="positive",Y1778="positive"),"a",IF(Y1778="positive","b",IF(W1778="positive","c","d"))))</x:f>
        <x:v>d</x:v>
      </x:c>
    </x:row>
    <x:row r="1779" ht="24" customHeight="1">
      <x:c r="A1779" s="12" t="str">
        <x:v>16803</x:v>
      </x:c>
      <x:c r="B1779" s="12" t="str">
        <x:v>4615</x:v>
      </x:c>
      <x:c r="C1779" s="21" t="n">
        <x:v>35315.76185185185</x:v>
      </x:c>
      <x:c r="D1779" s="12" t="n">
        <x:v>72</x:v>
      </x:c>
      <x:c r="E1779" s="12" t="n">
        <x:v>1</x:v>
      </x:c>
      <x:c r="F1779" s="12" t="str">
        <x:v>存在</x:v>
      </x:c>
      <x:c r="G1779" s="12" t="n">
        <x:v>1</x:v>
      </x:c>
      <x:c r="H1779" s="12" t="str">
        <x:v>{'NORM': 100.0, 'SR': 0.0}</x:v>
      </x:c>
      <x:c r="I1779" s="12" t="str">
        <x:v>[('NSR', 100.0), ('NML', 100.0)]</x:v>
      </x:c>
      <x:c r="J1779" s="12" t="str">
        <x:v>ptbxl_database.csv；ecg_id=16803；scp_codes</x:v>
      </x:c>
      <x:c r="K1779" s="12" t="str">
        <x:v>12sl_statements.csv；ecg_id=16803；statements_ext_snomed</x:v>
      </x:c>
      <x:c r="L1779" s="12"/>
      <x:c r="M1779" s="12" t="str">
        <x:v>negative</x:v>
      </x:c>
      <x:c r="N1779" s="12"/>
      <x:c r="O1779" s="12" t="str">
        <x:v>negative</x:v>
      </x:c>
      <x:c r="P1779" s="12" t="str">
        <x:f>IF(OR(M1779="unavailable",O1779="unavailable"),"不可评价",IF(OR(M1779="equivocal",O1779="equivocal"),"疑似",IF(AND(M1779="positive",O1779="positive"),"a",IF(O1779="positive","b",IF(M1779="positive","c","d")))))</x:f>
        <x:v>d</x:v>
      </x:c>
      <x:c r="Q1779" s="12"/>
      <x:c r="R1779" s="12" t="str">
        <x:v>negative</x:v>
      </x:c>
      <x:c r="S1779" s="12"/>
      <x:c r="T1779" s="12" t="str">
        <x:v>negative</x:v>
      </x:c>
      <x:c r="U1779" s="12" t="str">
        <x:f>IF(OR(R1779="unavailable",T1779="unavailable"),"不可评价",IF(OR(R1779="equivocal",T1779="equivocal"),"疑似",IF(AND(R1779="positive",T1779="positive"),"a",IF(T1779="positive","b",IF(R1779="positive","c","d")))))</x:f>
        <x:v>d</x:v>
      </x:c>
      <x:c r="V1779" s="12"/>
      <x:c r="W1779" s="12" t="str">
        <x:v>negative</x:v>
      </x:c>
      <x:c r="X1779" s="12"/>
      <x:c r="Y1779" s="12" t="str">
        <x:v>negative</x:v>
      </x:c>
      <x:c r="Z1779" s="12" t="str">
        <x:f>IF(OR(W1779="unavailable",Y1779="unavailable"),"不可评价",IF(OR(W1779="equivocal",Y1779="equivocal"),"疑似",IF(AND(W1779="positive",Y1779="positive"),"a",IF(Y1779="positive","b",IF(W1779="positive","c","d")))))</x:f>
        <x:v>d</x:v>
      </x:c>
      <x:c r="AA1779" s="12" t="str">
        <x:f>IF(OR(M1779="unavailable",O1779="unavailable"),"不可评价",IF(AND(OR(M1779="positive",M1779="equivocal"),OR(O1779="positive",O1779="equivocal")),"a",IF(OR(O1779="positive",O1779="equivocal"),"b",IF(OR(M1779="positive",M1779="equivocal"),"c","d"))))</x:f>
        <x:v>d</x:v>
      </x:c>
      <x:c r="AB1779" s="12" t="str">
        <x:f>IF(OR(M1779="unavailable",O1779="unavailable"),"不可评价",IF(AND(M1779="positive",O1779="positive"),"a",IF(O1779="positive","b",IF(M1779="positive","c","d"))))</x:f>
        <x:v>d</x:v>
      </x:c>
      <x:c r="AC1779" s="12" t="str">
        <x:f>IF(OR(R1779="unavailable",T1779="unavailable"),"不可评价",IF(AND(OR(R1779="positive",R1779="equivocal"),OR(T1779="positive",T1779="equivocal")),"a",IF(OR(T1779="positive",T1779="equivocal"),"b",IF(OR(R1779="positive",R1779="equivocal"),"c","d"))))</x:f>
        <x:v>d</x:v>
      </x:c>
      <x:c r="AD1779" s="12" t="str">
        <x:f>IF(OR(R1779="unavailable",T1779="unavailable"),"不可评价",IF(AND(R1779="positive",T1779="positive"),"a",IF(T1779="positive","b",IF(R1779="positive","c","d"))))</x:f>
        <x:v>d</x:v>
      </x:c>
      <x:c r="AE1779" s="12" t="str">
        <x:f>IF(OR(W1779="unavailable",Y1779="unavailable"),"不可评价",IF(AND(OR(W1779="positive",W1779="equivocal"),OR(Y1779="positive",Y1779="equivocal")),"a",IF(OR(Y1779="positive",Y1779="equivocal"),"b",IF(OR(W1779="positive",W1779="equivocal"),"c","d"))))</x:f>
        <x:v>d</x:v>
      </x:c>
      <x:c r="AF1779" s="12" t="str">
        <x:f>IF(OR(W1779="unavailable",Y1779="unavailable"),"不可评价",IF(AND(W1779="positive",Y1779="positive"),"a",IF(Y1779="positive","b",IF(W1779="positive","c","d"))))</x:f>
        <x:v>d</x:v>
      </x:c>
    </x:row>
    <x:row r="1780" ht="24" customHeight="1">
      <x:c r="A1780" s="12" t="str">
        <x:v>16807</x:v>
      </x:c>
      <x:c r="B1780" s="12" t="str">
        <x:v>5674</x:v>
      </x:c>
      <x:c r="C1780" s="21" t="n">
        <x:v>35316.51369212963</x:v>
      </x:c>
      <x:c r="D1780" s="12" t="n">
        <x:v>89</x:v>
      </x:c>
      <x:c r="E1780" s="12" t="n">
        <x:v>1</x:v>
      </x:c>
      <x:c r="F1780" s="12" t="str">
        <x:v>未记录</x:v>
      </x:c>
      <x:c r="G1780" s="12" t="n">
        <x:v>1</x:v>
      </x:c>
      <x:c r="H1780" s="12" t="str">
        <x:v>{'ASMI': 50.0, 'ISCAL': 100.0, 'LOWT': 0.0, 'STD_': 0.0, 'SR': 0.0}</x:v>
      </x:c>
      <x:c r="I1780" s="12" t="str">
        <x:v>[('NSR', 100.0), ('SMI;AU', 100.0), ('ST&amp;', 100.0), ('LT', 100.0), ('AB', 100.0)]</x:v>
      </x:c>
      <x:c r="J1780" s="12" t="str">
        <x:v>ptbxl_database.csv；ecg_id=16807；scp_codes</x:v>
      </x:c>
      <x:c r="K1780" s="12" t="str">
        <x:v>12sl_statements.csv；ecg_id=16807；statements_ext_snomed</x:v>
      </x:c>
      <x:c r="L1780" s="12"/>
      <x:c r="M1780" s="12" t="str">
        <x:v>negative</x:v>
      </x:c>
      <x:c r="N1780" s="12"/>
      <x:c r="O1780" s="12" t="str">
        <x:v>negative</x:v>
      </x:c>
      <x:c r="P1780" s="12" t="str">
        <x:f>IF(OR(M1780="unavailable",O1780="unavailable"),"不可评价",IF(OR(M1780="equivocal",O1780="equivocal"),"疑似",IF(AND(M1780="positive",O1780="positive"),"a",IF(O1780="positive","b",IF(M1780="positive","c","d")))))</x:f>
        <x:v>d</x:v>
      </x:c>
      <x:c r="Q1780" s="12"/>
      <x:c r="R1780" s="12" t="str">
        <x:v>negative</x:v>
      </x:c>
      <x:c r="S1780" s="12"/>
      <x:c r="T1780" s="12" t="str">
        <x:v>negative</x:v>
      </x:c>
      <x:c r="U1780" s="12" t="str">
        <x:f>IF(OR(R1780="unavailable",T1780="unavailable"),"不可评价",IF(OR(R1780="equivocal",T1780="equivocal"),"疑似",IF(AND(R1780="positive",T1780="positive"),"a",IF(T1780="positive","b",IF(R1780="positive","c","d")))))</x:f>
        <x:v>d</x:v>
      </x:c>
      <x:c r="V1780" s="12"/>
      <x:c r="W1780" s="12" t="str">
        <x:v>negative</x:v>
      </x:c>
      <x:c r="X1780" s="12"/>
      <x:c r="Y1780" s="12" t="str">
        <x:v>negative</x:v>
      </x:c>
      <x:c r="Z1780" s="12" t="str">
        <x:f>IF(OR(W1780="unavailable",Y1780="unavailable"),"不可评价",IF(OR(W1780="equivocal",Y1780="equivocal"),"疑似",IF(AND(W1780="positive",Y1780="positive"),"a",IF(Y1780="positive","b",IF(W1780="positive","c","d")))))</x:f>
        <x:v>d</x:v>
      </x:c>
      <x:c r="AA1780" s="12" t="str">
        <x:f>IF(OR(M1780="unavailable",O1780="unavailable"),"不可评价",IF(AND(OR(M1780="positive",M1780="equivocal"),OR(O1780="positive",O1780="equivocal")),"a",IF(OR(O1780="positive",O1780="equivocal"),"b",IF(OR(M1780="positive",M1780="equivocal"),"c","d"))))</x:f>
        <x:v>d</x:v>
      </x:c>
      <x:c r="AB1780" s="12" t="str">
        <x:f>IF(OR(M1780="unavailable",O1780="unavailable"),"不可评价",IF(AND(M1780="positive",O1780="positive"),"a",IF(O1780="positive","b",IF(M1780="positive","c","d"))))</x:f>
        <x:v>d</x:v>
      </x:c>
      <x:c r="AC1780" s="12" t="str">
        <x:f>IF(OR(R1780="unavailable",T1780="unavailable"),"不可评价",IF(AND(OR(R1780="positive",R1780="equivocal"),OR(T1780="positive",T1780="equivocal")),"a",IF(OR(T1780="positive",T1780="equivocal"),"b",IF(OR(R1780="positive",R1780="equivocal"),"c","d"))))</x:f>
        <x:v>d</x:v>
      </x:c>
      <x:c r="AD1780" s="12" t="str">
        <x:f>IF(OR(R1780="unavailable",T1780="unavailable"),"不可评价",IF(AND(R1780="positive",T1780="positive"),"a",IF(T1780="positive","b",IF(R1780="positive","c","d"))))</x:f>
        <x:v>d</x:v>
      </x:c>
      <x:c r="AE1780" s="12" t="str">
        <x:f>IF(OR(W1780="unavailable",Y1780="unavailable"),"不可评价",IF(AND(OR(W1780="positive",W1780="equivocal"),OR(Y1780="positive",Y1780="equivocal")),"a",IF(OR(Y1780="positive",Y1780="equivocal"),"b",IF(OR(W1780="positive",W1780="equivocal"),"c","d"))))</x:f>
        <x:v>d</x:v>
      </x:c>
      <x:c r="AF1780" s="12" t="str">
        <x:f>IF(OR(W1780="unavailable",Y1780="unavailable"),"不可评价",IF(AND(W1780="positive",Y1780="positive"),"a",IF(Y1780="positive","b",IF(W1780="positive","c","d"))))</x:f>
        <x:v>d</x:v>
      </x:c>
    </x:row>
    <x:row r="1781" ht="24" customHeight="1">
      <x:c r="A1781" s="12" t="str">
        <x:v>16815</x:v>
      </x:c>
      <x:c r="B1781" s="12" t="str">
        <x:v>848</x:v>
      </x:c>
      <x:c r="C1781" s="21" t="n">
        <x:v>35317.57140046296</x:v>
      </x:c>
      <x:c r="D1781" s="12" t="n">
        <x:v>36</x:v>
      </x:c>
      <x:c r="E1781" s="12" t="n">
        <x:v>1</x:v>
      </x:c>
      <x:c r="F1781" s="12" t="str">
        <x:v>未记录</x:v>
      </x:c>
      <x:c r="G1781" s="12" t="n">
        <x:v>1</x:v>
      </x:c>
      <x:c r="H1781" s="12" t="str">
        <x:v>{'NORM': 100.0, 'SARRH': 0.0}</x:v>
      </x:c>
      <x:c r="I1781" s="12" t="str">
        <x:v>[('SRTH', 100.0), ('MSAR', 100.0), ('ABR', 100.0)]</x:v>
      </x:c>
      <x:c r="J1781" s="12" t="str">
        <x:v>ptbxl_database.csv；ecg_id=16815；scp_codes</x:v>
      </x:c>
      <x:c r="K1781" s="12" t="str">
        <x:v>12sl_statements.csv；ecg_id=16815；statements_ext_snomed</x:v>
      </x:c>
      <x:c r="L1781" s="12"/>
      <x:c r="M1781" s="12" t="str">
        <x:v>negative</x:v>
      </x:c>
      <x:c r="N1781" s="12"/>
      <x:c r="O1781" s="12" t="str">
        <x:v>negative</x:v>
      </x:c>
      <x:c r="P1781" s="12" t="str">
        <x:f>IF(OR(M1781="unavailable",O1781="unavailable"),"不可评价",IF(OR(M1781="equivocal",O1781="equivocal"),"疑似",IF(AND(M1781="positive",O1781="positive"),"a",IF(O1781="positive","b",IF(M1781="positive","c","d")))))</x:f>
        <x:v>d</x:v>
      </x:c>
      <x:c r="Q1781" s="12"/>
      <x:c r="R1781" s="12" t="str">
        <x:v>negative</x:v>
      </x:c>
      <x:c r="S1781" s="12"/>
      <x:c r="T1781" s="12" t="str">
        <x:v>negative</x:v>
      </x:c>
      <x:c r="U1781" s="12" t="str">
        <x:f>IF(OR(R1781="unavailable",T1781="unavailable"),"不可评价",IF(OR(R1781="equivocal",T1781="equivocal"),"疑似",IF(AND(R1781="positive",T1781="positive"),"a",IF(T1781="positive","b",IF(R1781="positive","c","d")))))</x:f>
        <x:v>d</x:v>
      </x:c>
      <x:c r="V1781" s="12"/>
      <x:c r="W1781" s="12" t="str">
        <x:v>negative</x:v>
      </x:c>
      <x:c r="X1781" s="12"/>
      <x:c r="Y1781" s="12" t="str">
        <x:v>negative</x:v>
      </x:c>
      <x:c r="Z1781" s="12" t="str">
        <x:f>IF(OR(W1781="unavailable",Y1781="unavailable"),"不可评价",IF(OR(W1781="equivocal",Y1781="equivocal"),"疑似",IF(AND(W1781="positive",Y1781="positive"),"a",IF(Y1781="positive","b",IF(W1781="positive","c","d")))))</x:f>
        <x:v>d</x:v>
      </x:c>
      <x:c r="AA1781" s="12" t="str">
        <x:f>IF(OR(M1781="unavailable",O1781="unavailable"),"不可评价",IF(AND(OR(M1781="positive",M1781="equivocal"),OR(O1781="positive",O1781="equivocal")),"a",IF(OR(O1781="positive",O1781="equivocal"),"b",IF(OR(M1781="positive",M1781="equivocal"),"c","d"))))</x:f>
        <x:v>d</x:v>
      </x:c>
      <x:c r="AB1781" s="12" t="str">
        <x:f>IF(OR(M1781="unavailable",O1781="unavailable"),"不可评价",IF(AND(M1781="positive",O1781="positive"),"a",IF(O1781="positive","b",IF(M1781="positive","c","d"))))</x:f>
        <x:v>d</x:v>
      </x:c>
      <x:c r="AC1781" s="12" t="str">
        <x:f>IF(OR(R1781="unavailable",T1781="unavailable"),"不可评价",IF(AND(OR(R1781="positive",R1781="equivocal"),OR(T1781="positive",T1781="equivocal")),"a",IF(OR(T1781="positive",T1781="equivocal"),"b",IF(OR(R1781="positive",R1781="equivocal"),"c","d"))))</x:f>
        <x:v>d</x:v>
      </x:c>
      <x:c r="AD1781" s="12" t="str">
        <x:f>IF(OR(R1781="unavailable",T1781="unavailable"),"不可评价",IF(AND(R1781="positive",T1781="positive"),"a",IF(T1781="positive","b",IF(R1781="positive","c","d"))))</x:f>
        <x:v>d</x:v>
      </x:c>
      <x:c r="AE1781" s="12" t="str">
        <x:f>IF(OR(W1781="unavailable",Y1781="unavailable"),"不可评价",IF(AND(OR(W1781="positive",W1781="equivocal"),OR(Y1781="positive",Y1781="equivocal")),"a",IF(OR(Y1781="positive",Y1781="equivocal"),"b",IF(OR(W1781="positive",W1781="equivocal"),"c","d"))))</x:f>
        <x:v>d</x:v>
      </x:c>
      <x:c r="AF1781" s="12" t="str">
        <x:f>IF(OR(W1781="unavailable",Y1781="unavailable"),"不可评价",IF(AND(W1781="positive",Y1781="positive"),"a",IF(Y1781="positive","b",IF(W1781="positive","c","d"))))</x:f>
        <x:v>d</x:v>
      </x:c>
    </x:row>
    <x:row r="1782" ht="24" customHeight="1">
      <x:c r="A1782" s="12" t="str">
        <x:v>16817</x:v>
      </x:c>
      <x:c r="B1782" s="12" t="str">
        <x:v>3850</x:v>
      </x:c>
      <x:c r="C1782" s="21" t="n">
        <x:v>35317.60695601852</x:v>
      </x:c>
      <x:c r="D1782" s="12" t="n">
        <x:v>27</x:v>
      </x:c>
      <x:c r="E1782" s="12" t="n">
        <x:v>0</x:v>
      </x:c>
      <x:c r="F1782" s="12" t="str">
        <x:v>未记录</x:v>
      </x:c>
      <x:c r="G1782" s="12" t="n">
        <x:v>1</x:v>
      </x:c>
      <x:c r="H1782" s="12" t="str">
        <x:v>{'NORM': 100.0, 'SR': 0.0}</x:v>
      </x:c>
      <x:c r="I1782" s="12" t="str">
        <x:v>[('NSR', 100.0), ('SERYR1', 100.0), ('AB', 100.0)]</x:v>
      </x:c>
      <x:c r="J1782" s="12" t="str">
        <x:v>ptbxl_database.csv；ecg_id=16817；scp_codes</x:v>
      </x:c>
      <x:c r="K1782" s="12" t="str">
        <x:v>12sl_statements.csv；ecg_id=16817；statements_ext_snomed</x:v>
      </x:c>
      <x:c r="L1782" s="12"/>
      <x:c r="M1782" s="12" t="str">
        <x:v>negative</x:v>
      </x:c>
      <x:c r="N1782" s="12"/>
      <x:c r="O1782" s="12" t="str">
        <x:v>negative</x:v>
      </x:c>
      <x:c r="P1782" s="12" t="str">
        <x:f>IF(OR(M1782="unavailable",O1782="unavailable"),"不可评价",IF(OR(M1782="equivocal",O1782="equivocal"),"疑似",IF(AND(M1782="positive",O1782="positive"),"a",IF(O1782="positive","b",IF(M1782="positive","c","d")))))</x:f>
        <x:v>d</x:v>
      </x:c>
      <x:c r="Q1782" s="12"/>
      <x:c r="R1782" s="12" t="str">
        <x:v>negative</x:v>
      </x:c>
      <x:c r="S1782" s="12"/>
      <x:c r="T1782" s="12" t="str">
        <x:v>negative</x:v>
      </x:c>
      <x:c r="U1782" s="12" t="str">
        <x:f>IF(OR(R1782="unavailable",T1782="unavailable"),"不可评价",IF(OR(R1782="equivocal",T1782="equivocal"),"疑似",IF(AND(R1782="positive",T1782="positive"),"a",IF(T1782="positive","b",IF(R1782="positive","c","d")))))</x:f>
        <x:v>d</x:v>
      </x:c>
      <x:c r="V1782" s="12"/>
      <x:c r="W1782" s="12" t="str">
        <x:v>negative</x:v>
      </x:c>
      <x:c r="X1782" s="12"/>
      <x:c r="Y1782" s="12" t="str">
        <x:v>negative</x:v>
      </x:c>
      <x:c r="Z1782" s="12" t="str">
        <x:f>IF(OR(W1782="unavailable",Y1782="unavailable"),"不可评价",IF(OR(W1782="equivocal",Y1782="equivocal"),"疑似",IF(AND(W1782="positive",Y1782="positive"),"a",IF(Y1782="positive","b",IF(W1782="positive","c","d")))))</x:f>
        <x:v>d</x:v>
      </x:c>
      <x:c r="AA1782" s="12" t="str">
        <x:f>IF(OR(M1782="unavailable",O1782="unavailable"),"不可评价",IF(AND(OR(M1782="positive",M1782="equivocal"),OR(O1782="positive",O1782="equivocal")),"a",IF(OR(O1782="positive",O1782="equivocal"),"b",IF(OR(M1782="positive",M1782="equivocal"),"c","d"))))</x:f>
        <x:v>d</x:v>
      </x:c>
      <x:c r="AB1782" s="12" t="str">
        <x:f>IF(OR(M1782="unavailable",O1782="unavailable"),"不可评价",IF(AND(M1782="positive",O1782="positive"),"a",IF(O1782="positive","b",IF(M1782="positive","c","d"))))</x:f>
        <x:v>d</x:v>
      </x:c>
      <x:c r="AC1782" s="12" t="str">
        <x:f>IF(OR(R1782="unavailable",T1782="unavailable"),"不可评价",IF(AND(OR(R1782="positive",R1782="equivocal"),OR(T1782="positive",T1782="equivocal")),"a",IF(OR(T1782="positive",T1782="equivocal"),"b",IF(OR(R1782="positive",R1782="equivocal"),"c","d"))))</x:f>
        <x:v>d</x:v>
      </x:c>
      <x:c r="AD1782" s="12" t="str">
        <x:f>IF(OR(R1782="unavailable",T1782="unavailable"),"不可评价",IF(AND(R1782="positive",T1782="positive"),"a",IF(T1782="positive","b",IF(R1782="positive","c","d"))))</x:f>
        <x:v>d</x:v>
      </x:c>
      <x:c r="AE1782" s="12" t="str">
        <x:f>IF(OR(W1782="unavailable",Y1782="unavailable"),"不可评价",IF(AND(OR(W1782="positive",W1782="equivocal"),OR(Y1782="positive",Y1782="equivocal")),"a",IF(OR(Y1782="positive",Y1782="equivocal"),"b",IF(OR(W1782="positive",W1782="equivocal"),"c","d"))))</x:f>
        <x:v>d</x:v>
      </x:c>
      <x:c r="AF1782" s="12" t="str">
        <x:f>IF(OR(W1782="unavailable",Y1782="unavailable"),"不可评价",IF(AND(W1782="positive",Y1782="positive"),"a",IF(Y1782="positive","b",IF(W1782="positive","c","d"))))</x:f>
        <x:v>d</x:v>
      </x:c>
    </x:row>
    <x:row r="1783" ht="24" customHeight="1">
      <x:c r="A1783" s="12" t="str">
        <x:v>16834</x:v>
      </x:c>
      <x:c r="B1783" s="12" t="str">
        <x:v>18192</x:v>
      </x:c>
      <x:c r="C1783" s="21" t="n">
        <x:v>35319.315405092595</x:v>
      </x:c>
      <x:c r="D1783" s="12" t="n">
        <x:v>87</x:v>
      </x:c>
      <x:c r="E1783" s="12" t="n">
        <x:v>1</x:v>
      </x:c>
      <x:c r="F1783" s="12" t="str">
        <x:v>存在</x:v>
      </x:c>
      <x:c r="G1783" s="12" t="n">
        <x:v>0</x:v>
      </x:c>
      <x:c r="H1783" s="12" t="str">
        <x:v>{'AFIB': 100.0}</x:v>
      </x:c>
      <x:c r="I1783" s="12" t="str">
        <x:v>[('AFIB', 100.0), ('RVR', 100.0), ('NST', 100.0), ('QRST', 100.0), ('AB', 100.0)]</x:v>
      </x:c>
      <x:c r="J1783" s="12" t="str">
        <x:v>ptbxl_database.csv；ecg_id=16834；scp_codes</x:v>
      </x:c>
      <x:c r="K1783" s="12" t="str">
        <x:v>12sl_statements.csv；ecg_id=16834；statements_ext_snomed</x:v>
      </x:c>
      <x:c r="L1783" s="12" t="n">
        <x:v>100</x:v>
      </x:c>
      <x:c r="M1783" s="12" t="str">
        <x:v>positive</x:v>
      </x:c>
      <x:c r="N1783" s="12" t="n">
        <x:v>100</x:v>
      </x:c>
      <x:c r="O1783" s="12" t="str">
        <x:v>positive</x:v>
      </x:c>
      <x:c r="P1783" s="12" t="str">
        <x:f>IF(OR(M1783="unavailable",O1783="unavailable"),"不可评价",IF(OR(M1783="equivocal",O1783="equivocal"),"疑似",IF(AND(M1783="positive",O1783="positive"),"a",IF(O1783="positive","b",IF(M1783="positive","c","d")))))</x:f>
        <x:v>a</x:v>
      </x:c>
      <x:c r="Q1783" s="12"/>
      <x:c r="R1783" s="12" t="str">
        <x:v>negative</x:v>
      </x:c>
      <x:c r="S1783" s="12"/>
      <x:c r="T1783" s="12" t="str">
        <x:v>negative</x:v>
      </x:c>
      <x:c r="U1783" s="12" t="str">
        <x:f>IF(OR(R1783="unavailable",T1783="unavailable"),"不可评价",IF(OR(R1783="equivocal",T1783="equivocal"),"疑似",IF(AND(R1783="positive",T1783="positive"),"a",IF(T1783="positive","b",IF(R1783="positive","c","d")))))</x:f>
        <x:v>d</x:v>
      </x:c>
      <x:c r="V1783" s="12"/>
      <x:c r="W1783" s="12" t="str">
        <x:v>negative</x:v>
      </x:c>
      <x:c r="X1783" s="12"/>
      <x:c r="Y1783" s="12" t="str">
        <x:v>negative</x:v>
      </x:c>
      <x:c r="Z1783" s="12" t="str">
        <x:f>IF(OR(W1783="unavailable",Y1783="unavailable"),"不可评价",IF(OR(W1783="equivocal",Y1783="equivocal"),"疑似",IF(AND(W1783="positive",Y1783="positive"),"a",IF(Y1783="positive","b",IF(W1783="positive","c","d")))))</x:f>
        <x:v>d</x:v>
      </x:c>
      <x:c r="AA1783" s="12" t="str">
        <x:f>IF(OR(M1783="unavailable",O1783="unavailable"),"不可评价",IF(AND(OR(M1783="positive",M1783="equivocal"),OR(O1783="positive",O1783="equivocal")),"a",IF(OR(O1783="positive",O1783="equivocal"),"b",IF(OR(M1783="positive",M1783="equivocal"),"c","d"))))</x:f>
        <x:v>a</x:v>
      </x:c>
      <x:c r="AB1783" s="12" t="str">
        <x:f>IF(OR(M1783="unavailable",O1783="unavailable"),"不可评价",IF(AND(M1783="positive",O1783="positive"),"a",IF(O1783="positive","b",IF(M1783="positive","c","d"))))</x:f>
        <x:v>a</x:v>
      </x:c>
      <x:c r="AC1783" s="12" t="str">
        <x:f>IF(OR(R1783="unavailable",T1783="unavailable"),"不可评价",IF(AND(OR(R1783="positive",R1783="equivocal"),OR(T1783="positive",T1783="equivocal")),"a",IF(OR(T1783="positive",T1783="equivocal"),"b",IF(OR(R1783="positive",R1783="equivocal"),"c","d"))))</x:f>
        <x:v>d</x:v>
      </x:c>
      <x:c r="AD1783" s="12" t="str">
        <x:f>IF(OR(R1783="unavailable",T1783="unavailable"),"不可评价",IF(AND(R1783="positive",T1783="positive"),"a",IF(T1783="positive","b",IF(R1783="positive","c","d"))))</x:f>
        <x:v>d</x:v>
      </x:c>
      <x:c r="AE1783" s="12" t="str">
        <x:f>IF(OR(W1783="unavailable",Y1783="unavailable"),"不可评价",IF(AND(OR(W1783="positive",W1783="equivocal"),OR(Y1783="positive",Y1783="equivocal")),"a",IF(OR(Y1783="positive",Y1783="equivocal"),"b",IF(OR(W1783="positive",W1783="equivocal"),"c","d"))))</x:f>
        <x:v>d</x:v>
      </x:c>
      <x:c r="AF1783" s="12" t="str">
        <x:f>IF(OR(W1783="unavailable",Y1783="unavailable"),"不可评价",IF(AND(W1783="positive",Y1783="positive"),"a",IF(Y1783="positive","b",IF(W1783="positive","c","d"))))</x:f>
        <x:v>d</x:v>
      </x:c>
    </x:row>
    <x:row r="1784" ht="39" customHeight="1">
      <x:c r="A1784" s="12" t="str">
        <x:v>16861</x:v>
      </x:c>
      <x:c r="B1784" s="12" t="str">
        <x:v>5308</x:v>
      </x:c>
      <x:c r="C1784" s="21" t="n">
        <x:v>35322.74592592593</x:v>
      </x:c>
      <x:c r="D1784" s="12" t="n">
        <x:v>76</x:v>
      </x:c>
      <x:c r="E1784" s="12" t="n">
        <x:v>1</x:v>
      </x:c>
      <x:c r="F1784" s="12" t="str">
        <x:v>未记录</x:v>
      </x:c>
      <x:c r="G1784" s="12" t="n">
        <x:v>1</x:v>
      </x:c>
      <x:c r="H1784" s="12" t="str">
        <x:v>{'ASMI': 15.0, 'IMI': 15.0, 'IRBBB': 100.0, 'LAFB': 100.0}</x:v>
      </x:c>
      <x:c r="I1784" s="12" t="str">
        <x:v>[('NSR', 100.0), ('RBBB', 100.0), ('AFB', 100.0), ('BIFB', 100.0), ('LT', 100.0), ('AB', 100.0)]</x:v>
      </x:c>
      <x:c r="J1784" s="12" t="str">
        <x:v>ptbxl_database.csv；ecg_id=16861；scp_codes</x:v>
      </x:c>
      <x:c r="K1784" s="12" t="str">
        <x:v>12sl_statements.csv；ecg_id=16861；statements_ext_snomed</x:v>
      </x:c>
      <x:c r="L1784" s="12"/>
      <x:c r="M1784" s="12" t="str">
        <x:v>negative</x:v>
      </x:c>
      <x:c r="N1784" s="12"/>
      <x:c r="O1784" s="12" t="str">
        <x:v>negative</x:v>
      </x:c>
      <x:c r="P1784" s="12" t="str">
        <x:f>IF(OR(M1784="unavailable",O1784="unavailable"),"不可评价",IF(OR(M1784="equivocal",O1784="equivocal"),"疑似",IF(AND(M1784="positive",O1784="positive"),"a",IF(O1784="positive","b",IF(M1784="positive","c","d")))))</x:f>
        <x:v>d</x:v>
      </x:c>
      <x:c r="Q1784" s="12"/>
      <x:c r="R1784" s="12" t="str">
        <x:v>negative</x:v>
      </x:c>
      <x:c r="S1784" s="12"/>
      <x:c r="T1784" s="12" t="str">
        <x:v>negative</x:v>
      </x:c>
      <x:c r="U1784" s="12" t="str">
        <x:f>IF(OR(R1784="unavailable",T1784="unavailable"),"不可评价",IF(OR(R1784="equivocal",T1784="equivocal"),"疑似",IF(AND(R1784="positive",T1784="positive"),"a",IF(T1784="positive","b",IF(R1784="positive","c","d")))))</x:f>
        <x:v>d</x:v>
      </x:c>
      <x:c r="V1784" s="12"/>
      <x:c r="W1784" s="12" t="str">
        <x:v>negative</x:v>
      </x:c>
      <x:c r="X1784" s="12" t="n">
        <x:v>100</x:v>
      </x:c>
      <x:c r="Y1784" s="12" t="str">
        <x:v>positive</x:v>
      </x:c>
      <x:c r="Z1784" s="12" t="str">
        <x:f>IF(OR(W1784="unavailable",Y1784="unavailable"),"不可评价",IF(OR(W1784="equivocal",Y1784="equivocal"),"疑似",IF(AND(W1784="positive",Y1784="positive"),"a",IF(Y1784="positive","b",IF(W1784="positive","c","d")))))</x:f>
        <x:v>b</x:v>
      </x:c>
      <x:c r="AA1784" s="12" t="str">
        <x:f>IF(OR(M1784="unavailable",O1784="unavailable"),"不可评价",IF(AND(OR(M1784="positive",M1784="equivocal"),OR(O1784="positive",O1784="equivocal")),"a",IF(OR(O1784="positive",O1784="equivocal"),"b",IF(OR(M1784="positive",M1784="equivocal"),"c","d"))))</x:f>
        <x:v>d</x:v>
      </x:c>
      <x:c r="AB1784" s="12" t="str">
        <x:f>IF(OR(M1784="unavailable",O1784="unavailable"),"不可评价",IF(AND(M1784="positive",O1784="positive"),"a",IF(O1784="positive","b",IF(M1784="positive","c","d"))))</x:f>
        <x:v>d</x:v>
      </x:c>
      <x:c r="AC1784" s="12" t="str">
        <x:f>IF(OR(R1784="unavailable",T1784="unavailable"),"不可评价",IF(AND(OR(R1784="positive",R1784="equivocal"),OR(T1784="positive",T1784="equivocal")),"a",IF(OR(T1784="positive",T1784="equivocal"),"b",IF(OR(R1784="positive",R1784="equivocal"),"c","d"))))</x:f>
        <x:v>d</x:v>
      </x:c>
      <x:c r="AD1784" s="12" t="str">
        <x:f>IF(OR(R1784="unavailable",T1784="unavailable"),"不可评价",IF(AND(R1784="positive",T1784="positive"),"a",IF(T1784="positive","b",IF(R1784="positive","c","d"))))</x:f>
        <x:v>d</x:v>
      </x:c>
      <x:c r="AE1784" s="12" t="str">
        <x:f>IF(OR(W1784="unavailable",Y1784="unavailable"),"不可评价",IF(AND(OR(W1784="positive",W1784="equivocal"),OR(Y1784="positive",Y1784="equivocal")),"a",IF(OR(Y1784="positive",Y1784="equivocal"),"b",IF(OR(W1784="positive",W1784="equivocal"),"c","d"))))</x:f>
        <x:v>b</x:v>
      </x:c>
      <x:c r="AF1784" s="12" t="str">
        <x:f>IF(OR(W1784="unavailable",Y1784="unavailable"),"不可评价",IF(AND(W1784="positive",Y1784="positive"),"a",IF(Y1784="positive","b",IF(W1784="positive","c","d"))))</x:f>
        <x:v>b</x:v>
      </x:c>
    </x:row>
    <x:row r="1785" ht="24" customHeight="1">
      <x:c r="A1785" s="12" t="str">
        <x:v>16865</x:v>
      </x:c>
      <x:c r="B1785" s="12" t="str">
        <x:v>4129</x:v>
      </x:c>
      <x:c r="C1785" s="21" t="n">
        <x:v>35324.38606481482</x:v>
      </x:c>
      <x:c r="D1785" s="12" t="n">
        <x:v>42</x:v>
      </x:c>
      <x:c r="E1785" s="12" t="n">
        <x:v>0</x:v>
      </x:c>
      <x:c r="F1785" s="12" t="str">
        <x:v>存在</x:v>
      </x:c>
      <x:c r="G1785" s="12" t="n">
        <x:v>1</x:v>
      </x:c>
      <x:c r="H1785" s="12" t="str">
        <x:v>{'NORM': 100.0, 'SR': 0.0}</x:v>
      </x:c>
      <x:c r="I1785" s="12" t="str">
        <x:v>[('EABRAD', 100.0), ('AB', 100.0)]</x:v>
      </x:c>
      <x:c r="J1785" s="12" t="str">
        <x:v>ptbxl_database.csv；ecg_id=16865；scp_codes</x:v>
      </x:c>
      <x:c r="K1785" s="12" t="str">
        <x:v>12sl_statements.csv；ecg_id=16865；statements_ext_snomed</x:v>
      </x:c>
      <x:c r="L1785" s="12"/>
      <x:c r="M1785" s="12" t="str">
        <x:v>negative</x:v>
      </x:c>
      <x:c r="N1785" s="12"/>
      <x:c r="O1785" s="12" t="str">
        <x:v>negative</x:v>
      </x:c>
      <x:c r="P1785" s="12" t="str">
        <x:f>IF(OR(M1785="unavailable",O1785="unavailable"),"不可评价",IF(OR(M1785="equivocal",O1785="equivocal"),"疑似",IF(AND(M1785="positive",O1785="positive"),"a",IF(O1785="positive","b",IF(M1785="positive","c","d")))))</x:f>
        <x:v>d</x:v>
      </x:c>
      <x:c r="Q1785" s="12"/>
      <x:c r="R1785" s="12" t="str">
        <x:v>negative</x:v>
      </x:c>
      <x:c r="S1785" s="12"/>
      <x:c r="T1785" s="12" t="str">
        <x:v>negative</x:v>
      </x:c>
      <x:c r="U1785" s="12" t="str">
        <x:f>IF(OR(R1785="unavailable",T1785="unavailable"),"不可评价",IF(OR(R1785="equivocal",T1785="equivocal"),"疑似",IF(AND(R1785="positive",T1785="positive"),"a",IF(T1785="positive","b",IF(R1785="positive","c","d")))))</x:f>
        <x:v>d</x:v>
      </x:c>
      <x:c r="V1785" s="12"/>
      <x:c r="W1785" s="12" t="str">
        <x:v>negative</x:v>
      </x:c>
      <x:c r="X1785" s="12"/>
      <x:c r="Y1785" s="12" t="str">
        <x:v>negative</x:v>
      </x:c>
      <x:c r="Z1785" s="12" t="str">
        <x:f>IF(OR(W1785="unavailable",Y1785="unavailable"),"不可评价",IF(OR(W1785="equivocal",Y1785="equivocal"),"疑似",IF(AND(W1785="positive",Y1785="positive"),"a",IF(Y1785="positive","b",IF(W1785="positive","c","d")))))</x:f>
        <x:v>d</x:v>
      </x:c>
      <x:c r="AA1785" s="12" t="str">
        <x:f>IF(OR(M1785="unavailable",O1785="unavailable"),"不可评价",IF(AND(OR(M1785="positive",M1785="equivocal"),OR(O1785="positive",O1785="equivocal")),"a",IF(OR(O1785="positive",O1785="equivocal"),"b",IF(OR(M1785="positive",M1785="equivocal"),"c","d"))))</x:f>
        <x:v>d</x:v>
      </x:c>
      <x:c r="AB1785" s="12" t="str">
        <x:f>IF(OR(M1785="unavailable",O1785="unavailable"),"不可评价",IF(AND(M1785="positive",O1785="positive"),"a",IF(O1785="positive","b",IF(M1785="positive","c","d"))))</x:f>
        <x:v>d</x:v>
      </x:c>
      <x:c r="AC1785" s="12" t="str">
        <x:f>IF(OR(R1785="unavailable",T1785="unavailable"),"不可评价",IF(AND(OR(R1785="positive",R1785="equivocal"),OR(T1785="positive",T1785="equivocal")),"a",IF(OR(T1785="positive",T1785="equivocal"),"b",IF(OR(R1785="positive",R1785="equivocal"),"c","d"))))</x:f>
        <x:v>d</x:v>
      </x:c>
      <x:c r="AD1785" s="12" t="str">
        <x:f>IF(OR(R1785="unavailable",T1785="unavailable"),"不可评价",IF(AND(R1785="positive",T1785="positive"),"a",IF(T1785="positive","b",IF(R1785="positive","c","d"))))</x:f>
        <x:v>d</x:v>
      </x:c>
      <x:c r="AE1785" s="12" t="str">
        <x:f>IF(OR(W1785="unavailable",Y1785="unavailable"),"不可评价",IF(AND(OR(W1785="positive",W1785="equivocal"),OR(Y1785="positive",Y1785="equivocal")),"a",IF(OR(Y1785="positive",Y1785="equivocal"),"b",IF(OR(W1785="positive",W1785="equivocal"),"c","d"))))</x:f>
        <x:v>d</x:v>
      </x:c>
      <x:c r="AF1785" s="12" t="str">
        <x:f>IF(OR(W1785="unavailable",Y1785="unavailable"),"不可评价",IF(AND(W1785="positive",Y1785="positive"),"a",IF(Y1785="positive","b",IF(W1785="positive","c","d"))))</x:f>
        <x:v>d</x:v>
      </x:c>
    </x:row>
    <x:row r="1786" ht="24" customHeight="1">
      <x:c r="A1786" s="12" t="str">
        <x:v>16871</x:v>
      </x:c>
      <x:c r="B1786" s="12" t="str">
        <x:v>9056</x:v>
      </x:c>
      <x:c r="C1786" s="21" t="n">
        <x:v>35325.49356481482</x:v>
      </x:c>
      <x:c r="D1786" s="12" t="n">
        <x:v>63</x:v>
      </x:c>
      <x:c r="E1786" s="12" t="n">
        <x:v>1</x:v>
      </x:c>
      <x:c r="F1786" s="12" t="str">
        <x:v>未记录</x:v>
      </x:c>
      <x:c r="G1786" s="12" t="n">
        <x:v>1</x:v>
      </x:c>
      <x:c r="H1786" s="12" t="str">
        <x:v>{'NDT': 100.0, 'SR': 0.0}</x:v>
      </x:c>
      <x:c r="I1786" s="12" t="str">
        <x:v>[('SRTH', 100.0), ('PAC', 100.0), ('ABR', 100.0)]</x:v>
      </x:c>
      <x:c r="J1786" s="12" t="str">
        <x:v>ptbxl_database.csv；ecg_id=16871；scp_codes</x:v>
      </x:c>
      <x:c r="K1786" s="12" t="str">
        <x:v>12sl_statements.csv；ecg_id=16871；statements_ext_snomed</x:v>
      </x:c>
      <x:c r="L1786" s="12"/>
      <x:c r="M1786" s="12" t="str">
        <x:v>negative</x:v>
      </x:c>
      <x:c r="N1786" s="12"/>
      <x:c r="O1786" s="12" t="str">
        <x:v>negative</x:v>
      </x:c>
      <x:c r="P1786" s="12" t="str">
        <x:f>IF(OR(M1786="unavailable",O1786="unavailable"),"不可评价",IF(OR(M1786="equivocal",O1786="equivocal"),"疑似",IF(AND(M1786="positive",O1786="positive"),"a",IF(O1786="positive","b",IF(M1786="positive","c","d")))))</x:f>
        <x:v>d</x:v>
      </x:c>
      <x:c r="Q1786" s="12"/>
      <x:c r="R1786" s="12" t="str">
        <x:v>negative</x:v>
      </x:c>
      <x:c r="S1786" s="12"/>
      <x:c r="T1786" s="12" t="str">
        <x:v>negative</x:v>
      </x:c>
      <x:c r="U1786" s="12" t="str">
        <x:f>IF(OR(R1786="unavailable",T1786="unavailable"),"不可评价",IF(OR(R1786="equivocal",T1786="equivocal"),"疑似",IF(AND(R1786="positive",T1786="positive"),"a",IF(T1786="positive","b",IF(R1786="positive","c","d")))))</x:f>
        <x:v>d</x:v>
      </x:c>
      <x:c r="V1786" s="12"/>
      <x:c r="W1786" s="12" t="str">
        <x:v>negative</x:v>
      </x:c>
      <x:c r="X1786" s="12"/>
      <x:c r="Y1786" s="12" t="str">
        <x:v>negative</x:v>
      </x:c>
      <x:c r="Z1786" s="12" t="str">
        <x:f>IF(OR(W1786="unavailable",Y1786="unavailable"),"不可评价",IF(OR(W1786="equivocal",Y1786="equivocal"),"疑似",IF(AND(W1786="positive",Y1786="positive"),"a",IF(Y1786="positive","b",IF(W1786="positive","c","d")))))</x:f>
        <x:v>d</x:v>
      </x:c>
      <x:c r="AA1786" s="12" t="str">
        <x:f>IF(OR(M1786="unavailable",O1786="unavailable"),"不可评价",IF(AND(OR(M1786="positive",M1786="equivocal"),OR(O1786="positive",O1786="equivocal")),"a",IF(OR(O1786="positive",O1786="equivocal"),"b",IF(OR(M1786="positive",M1786="equivocal"),"c","d"))))</x:f>
        <x:v>d</x:v>
      </x:c>
      <x:c r="AB1786" s="12" t="str">
        <x:f>IF(OR(M1786="unavailable",O1786="unavailable"),"不可评价",IF(AND(M1786="positive",O1786="positive"),"a",IF(O1786="positive","b",IF(M1786="positive","c","d"))))</x:f>
        <x:v>d</x:v>
      </x:c>
      <x:c r="AC1786" s="12" t="str">
        <x:f>IF(OR(R1786="unavailable",T1786="unavailable"),"不可评价",IF(AND(OR(R1786="positive",R1786="equivocal"),OR(T1786="positive",T1786="equivocal")),"a",IF(OR(T1786="positive",T1786="equivocal"),"b",IF(OR(R1786="positive",R1786="equivocal"),"c","d"))))</x:f>
        <x:v>d</x:v>
      </x:c>
      <x:c r="AD1786" s="12" t="str">
        <x:f>IF(OR(R1786="unavailable",T1786="unavailable"),"不可评价",IF(AND(R1786="positive",T1786="positive"),"a",IF(T1786="positive","b",IF(R1786="positive","c","d"))))</x:f>
        <x:v>d</x:v>
      </x:c>
      <x:c r="AE1786" s="12" t="str">
        <x:f>IF(OR(W1786="unavailable",Y1786="unavailable"),"不可评价",IF(AND(OR(W1786="positive",W1786="equivocal"),OR(Y1786="positive",Y1786="equivocal")),"a",IF(OR(Y1786="positive",Y1786="equivocal"),"b",IF(OR(W1786="positive",W1786="equivocal"),"c","d"))))</x:f>
        <x:v>d</x:v>
      </x:c>
      <x:c r="AF1786" s="12" t="str">
        <x:f>IF(OR(W1786="unavailable",Y1786="unavailable"),"不可评价",IF(AND(W1786="positive",Y1786="positive"),"a",IF(Y1786="positive","b",IF(W1786="positive","c","d"))))</x:f>
        <x:v>d</x:v>
      </x:c>
    </x:row>
    <x:row r="1787" ht="39" customHeight="1">
      <x:c r="A1787" s="12" t="str">
        <x:v>16876</x:v>
      </x:c>
      <x:c r="B1787" s="12" t="str">
        <x:v>10046</x:v>
      </x:c>
      <x:c r="C1787" s="21" t="n">
        <x:v>35325.599803240744</x:v>
      </x:c>
      <x:c r="D1787" s="12" t="n">
        <x:v>41</x:v>
      </x:c>
      <x:c r="E1787" s="12" t="n">
        <x:v>0</x:v>
      </x:c>
      <x:c r="F1787" s="12" t="str">
        <x:v>未记录</x:v>
      </x:c>
      <x:c r="G1787" s="12" t="n">
        <x:v>1</x:v>
      </x:c>
      <x:c r="H1787" s="12" t="str">
        <x:v>{'LVH': 100.0, 'ISC_': 100.0, 'VCLVH': 0.0, 'AFIB': 0.0}</x:v>
      </x:c>
      <x:c r="I1787" s="12" t="str">
        <x:v>[('AFIB', 100.0), ('RVR', 100.0), ('ABER', 100.0), ('ST&amp;', 100.0), ('ILT', 100.0), ('AB', 100.0)]</x:v>
      </x:c>
      <x:c r="J1787" s="12" t="str">
        <x:v>ptbxl_database.csv；ecg_id=16876；scp_codes</x:v>
      </x:c>
      <x:c r="K1787" s="12" t="str">
        <x:v>12sl_statements.csv；ecg_id=16876；statements_ext_snomed</x:v>
      </x:c>
      <x:c r="L1787" s="12" t="n">
        <x:v>0</x:v>
      </x:c>
      <x:c r="M1787" s="12" t="str">
        <x:v>positive</x:v>
      </x:c>
      <x:c r="N1787" s="12" t="n">
        <x:v>100</x:v>
      </x:c>
      <x:c r="O1787" s="12" t="str">
        <x:v>positive</x:v>
      </x:c>
      <x:c r="P1787" s="12" t="str">
        <x:f>IF(OR(M1787="unavailable",O1787="unavailable"),"不可评价",IF(OR(M1787="equivocal",O1787="equivocal"),"疑似",IF(AND(M1787="positive",O1787="positive"),"a",IF(O1787="positive","b",IF(M1787="positive","c","d")))))</x:f>
        <x:v>a</x:v>
      </x:c>
      <x:c r="Q1787" s="12"/>
      <x:c r="R1787" s="12" t="str">
        <x:v>negative</x:v>
      </x:c>
      <x:c r="S1787" s="12"/>
      <x:c r="T1787" s="12" t="str">
        <x:v>negative</x:v>
      </x:c>
      <x:c r="U1787" s="12" t="str">
        <x:f>IF(OR(R1787="unavailable",T1787="unavailable"),"不可评价",IF(OR(R1787="equivocal",T1787="equivocal"),"疑似",IF(AND(R1787="positive",T1787="positive"),"a",IF(T1787="positive","b",IF(R1787="positive","c","d")))))</x:f>
        <x:v>d</x:v>
      </x:c>
      <x:c r="V1787" s="12"/>
      <x:c r="W1787" s="12" t="str">
        <x:v>negative</x:v>
      </x:c>
      <x:c r="X1787" s="12"/>
      <x:c r="Y1787" s="12" t="str">
        <x:v>negative</x:v>
      </x:c>
      <x:c r="Z1787" s="12" t="str">
        <x:f>IF(OR(W1787="unavailable",Y1787="unavailable"),"不可评价",IF(OR(W1787="equivocal",Y1787="equivocal"),"疑似",IF(AND(W1787="positive",Y1787="positive"),"a",IF(Y1787="positive","b",IF(W1787="positive","c","d")))))</x:f>
        <x:v>d</x:v>
      </x:c>
      <x:c r="AA1787" s="12" t="str">
        <x:f>IF(OR(M1787="unavailable",O1787="unavailable"),"不可评价",IF(AND(OR(M1787="positive",M1787="equivocal"),OR(O1787="positive",O1787="equivocal")),"a",IF(OR(O1787="positive",O1787="equivocal"),"b",IF(OR(M1787="positive",M1787="equivocal"),"c","d"))))</x:f>
        <x:v>a</x:v>
      </x:c>
      <x:c r="AB1787" s="12" t="str">
        <x:f>IF(OR(M1787="unavailable",O1787="unavailable"),"不可评价",IF(AND(M1787="positive",O1787="positive"),"a",IF(O1787="positive","b",IF(M1787="positive","c","d"))))</x:f>
        <x:v>a</x:v>
      </x:c>
      <x:c r="AC1787" s="12" t="str">
        <x:f>IF(OR(R1787="unavailable",T1787="unavailable"),"不可评价",IF(AND(OR(R1787="positive",R1787="equivocal"),OR(T1787="positive",T1787="equivocal")),"a",IF(OR(T1787="positive",T1787="equivocal"),"b",IF(OR(R1787="positive",R1787="equivocal"),"c","d"))))</x:f>
        <x:v>d</x:v>
      </x:c>
      <x:c r="AD1787" s="12" t="str">
        <x:f>IF(OR(R1787="unavailable",T1787="unavailable"),"不可评价",IF(AND(R1787="positive",T1787="positive"),"a",IF(T1787="positive","b",IF(R1787="positive","c","d"))))</x:f>
        <x:v>d</x:v>
      </x:c>
      <x:c r="AE1787" s="12" t="str">
        <x:f>IF(OR(W1787="unavailable",Y1787="unavailable"),"不可评价",IF(AND(OR(W1787="positive",W1787="equivocal"),OR(Y1787="positive",Y1787="equivocal")),"a",IF(OR(Y1787="positive",Y1787="equivocal"),"b",IF(OR(W1787="positive",W1787="equivocal"),"c","d"))))</x:f>
        <x:v>d</x:v>
      </x:c>
      <x:c r="AF1787" s="12" t="str">
        <x:f>IF(OR(W1787="unavailable",Y1787="unavailable"),"不可评价",IF(AND(W1787="positive",Y1787="positive"),"a",IF(Y1787="positive","b",IF(W1787="positive","c","d"))))</x:f>
        <x:v>d</x:v>
      </x:c>
    </x:row>
    <x:row r="1788" ht="24" customHeight="1">
      <x:c r="A1788" s="12" t="str">
        <x:v>16883</x:v>
      </x:c>
      <x:c r="B1788" s="12" t="str">
        <x:v>17664</x:v>
      </x:c>
      <x:c r="C1788" s="21" t="n">
        <x:v>35326.79787037037</x:v>
      </x:c>
      <x:c r="D1788" s="12" t="n">
        <x:v>71</x:v>
      </x:c>
      <x:c r="E1788" s="12" t="n">
        <x:v>0</x:v>
      </x:c>
      <x:c r="F1788" s="12" t="str">
        <x:v>未记录</x:v>
      </x:c>
      <x:c r="G1788" s="12" t="n">
        <x:v>1</x:v>
      </x:c>
      <x:c r="H1788" s="12" t="str">
        <x:v>{'CLBBB': 100.0, 'SR': 0.0}</x:v>
      </x:c>
      <x:c r="I1788" s="12" t="str">
        <x:v>[('NSR', 100.0), ('LBBB', 100.0), ('AB', 100.0)]</x:v>
      </x:c>
      <x:c r="J1788" s="12" t="str">
        <x:v>ptbxl_database.csv；ecg_id=16883；scp_codes</x:v>
      </x:c>
      <x:c r="K1788" s="12" t="str">
        <x:v>12sl_statements.csv；ecg_id=16883；statements_ext_snomed</x:v>
      </x:c>
      <x:c r="L1788" s="12"/>
      <x:c r="M1788" s="12" t="str">
        <x:v>negative</x:v>
      </x:c>
      <x:c r="N1788" s="12"/>
      <x:c r="O1788" s="12" t="str">
        <x:v>negative</x:v>
      </x:c>
      <x:c r="P1788" s="12" t="str">
        <x:f>IF(OR(M1788="unavailable",O1788="unavailable"),"不可评价",IF(OR(M1788="equivocal",O1788="equivocal"),"疑似",IF(AND(M1788="positive",O1788="positive"),"a",IF(O1788="positive","b",IF(M1788="positive","c","d")))))</x:f>
        <x:v>d</x:v>
      </x:c>
      <x:c r="Q1788" s="12" t="n">
        <x:v>100</x:v>
      </x:c>
      <x:c r="R1788" s="12" t="str">
        <x:v>positive</x:v>
      </x:c>
      <x:c r="S1788" s="12" t="n">
        <x:v>100</x:v>
      </x:c>
      <x:c r="T1788" s="12" t="str">
        <x:v>positive</x:v>
      </x:c>
      <x:c r="U1788" s="12" t="str">
        <x:f>IF(OR(R1788="unavailable",T1788="unavailable"),"不可评价",IF(OR(R1788="equivocal",T1788="equivocal"),"疑似",IF(AND(R1788="positive",T1788="positive"),"a",IF(T1788="positive","b",IF(R1788="positive","c","d")))))</x:f>
        <x:v>a</x:v>
      </x:c>
      <x:c r="V1788" s="12"/>
      <x:c r="W1788" s="12" t="str">
        <x:v>negative</x:v>
      </x:c>
      <x:c r="X1788" s="12"/>
      <x:c r="Y1788" s="12" t="str">
        <x:v>negative</x:v>
      </x:c>
      <x:c r="Z1788" s="12" t="str">
        <x:f>IF(OR(W1788="unavailable",Y1788="unavailable"),"不可评价",IF(OR(W1788="equivocal",Y1788="equivocal"),"疑似",IF(AND(W1788="positive",Y1788="positive"),"a",IF(Y1788="positive","b",IF(W1788="positive","c","d")))))</x:f>
        <x:v>d</x:v>
      </x:c>
      <x:c r="AA1788" s="12" t="str">
        <x:f>IF(OR(M1788="unavailable",O1788="unavailable"),"不可评价",IF(AND(OR(M1788="positive",M1788="equivocal"),OR(O1788="positive",O1788="equivocal")),"a",IF(OR(O1788="positive",O1788="equivocal"),"b",IF(OR(M1788="positive",M1788="equivocal"),"c","d"))))</x:f>
        <x:v>d</x:v>
      </x:c>
      <x:c r="AB1788" s="12" t="str">
        <x:f>IF(OR(M1788="unavailable",O1788="unavailable"),"不可评价",IF(AND(M1788="positive",O1788="positive"),"a",IF(O1788="positive","b",IF(M1788="positive","c","d"))))</x:f>
        <x:v>d</x:v>
      </x:c>
      <x:c r="AC1788" s="12" t="str">
        <x:f>IF(OR(R1788="unavailable",T1788="unavailable"),"不可评价",IF(AND(OR(R1788="positive",R1788="equivocal"),OR(T1788="positive",T1788="equivocal")),"a",IF(OR(T1788="positive",T1788="equivocal"),"b",IF(OR(R1788="positive",R1788="equivocal"),"c","d"))))</x:f>
        <x:v>a</x:v>
      </x:c>
      <x:c r="AD1788" s="12" t="str">
        <x:f>IF(OR(R1788="unavailable",T1788="unavailable"),"不可评价",IF(AND(R1788="positive",T1788="positive"),"a",IF(T1788="positive","b",IF(R1788="positive","c","d"))))</x:f>
        <x:v>a</x:v>
      </x:c>
      <x:c r="AE1788" s="12" t="str">
        <x:f>IF(OR(W1788="unavailable",Y1788="unavailable"),"不可评价",IF(AND(OR(W1788="positive",W1788="equivocal"),OR(Y1788="positive",Y1788="equivocal")),"a",IF(OR(Y1788="positive",Y1788="equivocal"),"b",IF(OR(W1788="positive",W1788="equivocal"),"c","d"))))</x:f>
        <x:v>d</x:v>
      </x:c>
      <x:c r="AF1788" s="12" t="str">
        <x:f>IF(OR(W1788="unavailable",Y1788="unavailable"),"不可评价",IF(AND(W1788="positive",Y1788="positive"),"a",IF(Y1788="positive","b",IF(W1788="positive","c","d"))))</x:f>
        <x:v>d</x:v>
      </x:c>
    </x:row>
    <x:row r="1789" ht="24" customHeight="1">
      <x:c r="A1789" s="12" t="str">
        <x:v>16898</x:v>
      </x:c>
      <x:c r="B1789" s="12" t="str">
        <x:v>12973</x:v>
      </x:c>
      <x:c r="C1789" s="21" t="n">
        <x:v>35330.65016203704</x:v>
      </x:c>
      <x:c r="D1789" s="12" t="n">
        <x:v>77</x:v>
      </x:c>
      <x:c r="E1789" s="12" t="n">
        <x:v>0</x:v>
      </x:c>
      <x:c r="F1789" s="12" t="str">
        <x:v>未记录</x:v>
      </x:c>
      <x:c r="G1789" s="12" t="n">
        <x:v>1</x:v>
      </x:c>
      <x:c r="H1789" s="12" t="str">
        <x:v>{'IMI': 100.0, '1AVB': 100.0, 'ABQRS': 0.0}</x:v>
      </x:c>
      <x:c r="I1789" s="12" t="str">
        <x:v>[('SRTH', 100.0), ('MSAR', 100.0), ('FAV', 100.0), ('ABR', 100.0)]</x:v>
      </x:c>
      <x:c r="J1789" s="12" t="str">
        <x:v>ptbxl_database.csv；ecg_id=16898；scp_codes</x:v>
      </x:c>
      <x:c r="K1789" s="12" t="str">
        <x:v>12sl_statements.csv；ecg_id=16898；statements_ext_snomed</x:v>
      </x:c>
      <x:c r="L1789" s="12"/>
      <x:c r="M1789" s="12" t="str">
        <x:v>negative</x:v>
      </x:c>
      <x:c r="N1789" s="12"/>
      <x:c r="O1789" s="12" t="str">
        <x:v>negative</x:v>
      </x:c>
      <x:c r="P1789" s="12" t="str">
        <x:f>IF(OR(M1789="unavailable",O1789="unavailable"),"不可评价",IF(OR(M1789="equivocal",O1789="equivocal"),"疑似",IF(AND(M1789="positive",O1789="positive"),"a",IF(O1789="positive","b",IF(M1789="positive","c","d")))))</x:f>
        <x:v>d</x:v>
      </x:c>
      <x:c r="Q1789" s="12"/>
      <x:c r="R1789" s="12" t="str">
        <x:v>negative</x:v>
      </x:c>
      <x:c r="S1789" s="12"/>
      <x:c r="T1789" s="12" t="str">
        <x:v>negative</x:v>
      </x:c>
      <x:c r="U1789" s="12" t="str">
        <x:f>IF(OR(R1789="unavailable",T1789="unavailable"),"不可评价",IF(OR(R1789="equivocal",T1789="equivocal"),"疑似",IF(AND(R1789="positive",T1789="positive"),"a",IF(T1789="positive","b",IF(R1789="positive","c","d")))))</x:f>
        <x:v>d</x:v>
      </x:c>
      <x:c r="V1789" s="12"/>
      <x:c r="W1789" s="12" t="str">
        <x:v>negative</x:v>
      </x:c>
      <x:c r="X1789" s="12"/>
      <x:c r="Y1789" s="12" t="str">
        <x:v>negative</x:v>
      </x:c>
      <x:c r="Z1789" s="12" t="str">
        <x:f>IF(OR(W1789="unavailable",Y1789="unavailable"),"不可评价",IF(OR(W1789="equivocal",Y1789="equivocal"),"疑似",IF(AND(W1789="positive",Y1789="positive"),"a",IF(Y1789="positive","b",IF(W1789="positive","c","d")))))</x:f>
        <x:v>d</x:v>
      </x:c>
      <x:c r="AA1789" s="12" t="str">
        <x:f>IF(OR(M1789="unavailable",O1789="unavailable"),"不可评价",IF(AND(OR(M1789="positive",M1789="equivocal"),OR(O1789="positive",O1789="equivocal")),"a",IF(OR(O1789="positive",O1789="equivocal"),"b",IF(OR(M1789="positive",M1789="equivocal"),"c","d"))))</x:f>
        <x:v>d</x:v>
      </x:c>
      <x:c r="AB1789" s="12" t="str">
        <x:f>IF(OR(M1789="unavailable",O1789="unavailable"),"不可评价",IF(AND(M1789="positive",O1789="positive"),"a",IF(O1789="positive","b",IF(M1789="positive","c","d"))))</x:f>
        <x:v>d</x:v>
      </x:c>
      <x:c r="AC1789" s="12" t="str">
        <x:f>IF(OR(R1789="unavailable",T1789="unavailable"),"不可评价",IF(AND(OR(R1789="positive",R1789="equivocal"),OR(T1789="positive",T1789="equivocal")),"a",IF(OR(T1789="positive",T1789="equivocal"),"b",IF(OR(R1789="positive",R1789="equivocal"),"c","d"))))</x:f>
        <x:v>d</x:v>
      </x:c>
      <x:c r="AD1789" s="12" t="str">
        <x:f>IF(OR(R1789="unavailable",T1789="unavailable"),"不可评价",IF(AND(R1789="positive",T1789="positive"),"a",IF(T1789="positive","b",IF(R1789="positive","c","d"))))</x:f>
        <x:v>d</x:v>
      </x:c>
      <x:c r="AE1789" s="12" t="str">
        <x:f>IF(OR(W1789="unavailable",Y1789="unavailable"),"不可评价",IF(AND(OR(W1789="positive",W1789="equivocal"),OR(Y1789="positive",Y1789="equivocal")),"a",IF(OR(Y1789="positive",Y1789="equivocal"),"b",IF(OR(W1789="positive",W1789="equivocal"),"c","d"))))</x:f>
        <x:v>d</x:v>
      </x:c>
      <x:c r="AF1789" s="12" t="str">
        <x:f>IF(OR(W1789="unavailable",Y1789="unavailable"),"不可评价",IF(AND(W1789="positive",Y1789="positive"),"a",IF(Y1789="positive","b",IF(W1789="positive","c","d"))))</x:f>
        <x:v>d</x:v>
      </x:c>
    </x:row>
    <x:row r="1790" ht="39" customHeight="1">
      <x:c r="A1790" s="12" t="str">
        <x:v>16905</x:v>
      </x:c>
      <x:c r="B1790" s="12" t="str">
        <x:v>445</x:v>
      </x:c>
      <x:c r="C1790" s="21" t="n">
        <x:v>35331.53060185185</x:v>
      </x:c>
      <x:c r="D1790" s="12" t="n">
        <x:v>82</x:v>
      </x:c>
      <x:c r="E1790" s="12" t="n">
        <x:v>0</x:v>
      </x:c>
      <x:c r="F1790" s="12" t="str">
        <x:v>未记录</x:v>
      </x:c>
      <x:c r="G1790" s="12" t="n">
        <x:v>0</x:v>
      </x:c>
      <x:c r="H1790" s="12" t="str">
        <x:v>{'AMI': 15.0, 'IMI': 15.0, 'INJLA': 100.0, 'LOWT': 0.0, 'STD_': 0.0, 'AFIB': 0.0}</x:v>
      </x:c>
      <x:c r="I1790" s="12" t="str">
        <x:v>[('AFIB', 100.0), ('IVCD', 100.0), ('STDEP2', 100.0), ('NT', 100.0), ('AB', 100.0)]</x:v>
      </x:c>
      <x:c r="J1790" s="12" t="str">
        <x:v>ptbxl_database.csv；ecg_id=16905；scp_codes</x:v>
      </x:c>
      <x:c r="K1790" s="12" t="str">
        <x:v>12sl_statements.csv；ecg_id=16905；statements_ext_snomed</x:v>
      </x:c>
      <x:c r="L1790" s="12" t="n">
        <x:v>0</x:v>
      </x:c>
      <x:c r="M1790" s="12" t="str">
        <x:v>positive</x:v>
      </x:c>
      <x:c r="N1790" s="12" t="n">
        <x:v>100</x:v>
      </x:c>
      <x:c r="O1790" s="12" t="str">
        <x:v>positive</x:v>
      </x:c>
      <x:c r="P1790" s="12" t="str">
        <x:f>IF(OR(M1790="unavailable",O1790="unavailable"),"不可评价",IF(OR(M1790="equivocal",O1790="equivocal"),"疑似",IF(AND(M1790="positive",O1790="positive"),"a",IF(O1790="positive","b",IF(M1790="positive","c","d")))))</x:f>
        <x:v>a</x:v>
      </x:c>
      <x:c r="Q1790" s="12"/>
      <x:c r="R1790" s="12" t="str">
        <x:v>negative</x:v>
      </x:c>
      <x:c r="S1790" s="12"/>
      <x:c r="T1790" s="12" t="str">
        <x:v>negative</x:v>
      </x:c>
      <x:c r="U1790" s="12" t="str">
        <x:f>IF(OR(R1790="unavailable",T1790="unavailable"),"不可评价",IF(OR(R1790="equivocal",T1790="equivocal"),"疑似",IF(AND(R1790="positive",T1790="positive"),"a",IF(T1790="positive","b",IF(R1790="positive","c","d")))))</x:f>
        <x:v>d</x:v>
      </x:c>
      <x:c r="V1790" s="12"/>
      <x:c r="W1790" s="12" t="str">
        <x:v>negative</x:v>
      </x:c>
      <x:c r="X1790" s="12"/>
      <x:c r="Y1790" s="12" t="str">
        <x:v>negative</x:v>
      </x:c>
      <x:c r="Z1790" s="12" t="str">
        <x:f>IF(OR(W1790="unavailable",Y1790="unavailable"),"不可评价",IF(OR(W1790="equivocal",Y1790="equivocal"),"疑似",IF(AND(W1790="positive",Y1790="positive"),"a",IF(Y1790="positive","b",IF(W1790="positive","c","d")))))</x:f>
        <x:v>d</x:v>
      </x:c>
      <x:c r="AA1790" s="12" t="str">
        <x:f>IF(OR(M1790="unavailable",O1790="unavailable"),"不可评价",IF(AND(OR(M1790="positive",M1790="equivocal"),OR(O1790="positive",O1790="equivocal")),"a",IF(OR(O1790="positive",O1790="equivocal"),"b",IF(OR(M1790="positive",M1790="equivocal"),"c","d"))))</x:f>
        <x:v>a</x:v>
      </x:c>
      <x:c r="AB1790" s="12" t="str">
        <x:f>IF(OR(M1790="unavailable",O1790="unavailable"),"不可评价",IF(AND(M1790="positive",O1790="positive"),"a",IF(O1790="positive","b",IF(M1790="positive","c","d"))))</x:f>
        <x:v>a</x:v>
      </x:c>
      <x:c r="AC1790" s="12" t="str">
        <x:f>IF(OR(R1790="unavailable",T1790="unavailable"),"不可评价",IF(AND(OR(R1790="positive",R1790="equivocal"),OR(T1790="positive",T1790="equivocal")),"a",IF(OR(T1790="positive",T1790="equivocal"),"b",IF(OR(R1790="positive",R1790="equivocal"),"c","d"))))</x:f>
        <x:v>d</x:v>
      </x:c>
      <x:c r="AD1790" s="12" t="str">
        <x:f>IF(OR(R1790="unavailable",T1790="unavailable"),"不可评价",IF(AND(R1790="positive",T1790="positive"),"a",IF(T1790="positive","b",IF(R1790="positive","c","d"))))</x:f>
        <x:v>d</x:v>
      </x:c>
      <x:c r="AE1790" s="12" t="str">
        <x:f>IF(OR(W1790="unavailable",Y1790="unavailable"),"不可评价",IF(AND(OR(W1790="positive",W1790="equivocal"),OR(Y1790="positive",Y1790="equivocal")),"a",IF(OR(Y1790="positive",Y1790="equivocal"),"b",IF(OR(W1790="positive",W1790="equivocal"),"c","d"))))</x:f>
        <x:v>d</x:v>
      </x:c>
      <x:c r="AF1790" s="12" t="str">
        <x:f>IF(OR(W1790="unavailable",Y1790="unavailable"),"不可评价",IF(AND(W1790="positive",Y1790="positive"),"a",IF(Y1790="positive","b",IF(W1790="positive","c","d"))))</x:f>
        <x:v>d</x:v>
      </x:c>
    </x:row>
    <x:row r="1791" ht="24" customHeight="1">
      <x:c r="A1791" s="12" t="str">
        <x:v>16908</x:v>
      </x:c>
      <x:c r="B1791" s="12" t="str">
        <x:v>1332</x:v>
      </x:c>
      <x:c r="C1791" s="21" t="n">
        <x:v>35331.71607638889</x:v>
      </x:c>
      <x:c r="D1791" s="12" t="n">
        <x:v>82</x:v>
      </x:c>
      <x:c r="E1791" s="12" t="n">
        <x:v>1</x:v>
      </x:c>
      <x:c r="F1791" s="12" t="str">
        <x:v>未记录</x:v>
      </x:c>
      <x:c r="G1791" s="12" t="n">
        <x:v>1</x:v>
      </x:c>
      <x:c r="H1791" s="12" t="str">
        <x:v>{'NST_': 100.0, 'LOWT': 0.0, 'STD_': 0.0, 'SR': 0.0}</x:v>
      </x:c>
      <x:c r="I1791" s="12" t="str">
        <x:v>[('SBRAD', 100.0), ('NSTT', 100.0), ('AB', 100.0)]</x:v>
      </x:c>
      <x:c r="J1791" s="12" t="str">
        <x:v>ptbxl_database.csv；ecg_id=16908；scp_codes</x:v>
      </x:c>
      <x:c r="K1791" s="12" t="str">
        <x:v>12sl_statements.csv；ecg_id=16908；statements_ext_snomed</x:v>
      </x:c>
      <x:c r="L1791" s="12"/>
      <x:c r="M1791" s="12" t="str">
        <x:v>negative</x:v>
      </x:c>
      <x:c r="N1791" s="12"/>
      <x:c r="O1791" s="12" t="str">
        <x:v>negative</x:v>
      </x:c>
      <x:c r="P1791" s="12" t="str">
        <x:f>IF(OR(M1791="unavailable",O1791="unavailable"),"不可评价",IF(OR(M1791="equivocal",O1791="equivocal"),"疑似",IF(AND(M1791="positive",O1791="positive"),"a",IF(O1791="positive","b",IF(M1791="positive","c","d")))))</x:f>
        <x:v>d</x:v>
      </x:c>
      <x:c r="Q1791" s="12"/>
      <x:c r="R1791" s="12" t="str">
        <x:v>negative</x:v>
      </x:c>
      <x:c r="S1791" s="12"/>
      <x:c r="T1791" s="12" t="str">
        <x:v>negative</x:v>
      </x:c>
      <x:c r="U1791" s="12" t="str">
        <x:f>IF(OR(R1791="unavailable",T1791="unavailable"),"不可评价",IF(OR(R1791="equivocal",T1791="equivocal"),"疑似",IF(AND(R1791="positive",T1791="positive"),"a",IF(T1791="positive","b",IF(R1791="positive","c","d")))))</x:f>
        <x:v>d</x:v>
      </x:c>
      <x:c r="V1791" s="12"/>
      <x:c r="W1791" s="12" t="str">
        <x:v>negative</x:v>
      </x:c>
      <x:c r="X1791" s="12"/>
      <x:c r="Y1791" s="12" t="str">
        <x:v>negative</x:v>
      </x:c>
      <x:c r="Z1791" s="12" t="str">
        <x:f>IF(OR(W1791="unavailable",Y1791="unavailable"),"不可评价",IF(OR(W1791="equivocal",Y1791="equivocal"),"疑似",IF(AND(W1791="positive",Y1791="positive"),"a",IF(Y1791="positive","b",IF(W1791="positive","c","d")))))</x:f>
        <x:v>d</x:v>
      </x:c>
      <x:c r="AA1791" s="12" t="str">
        <x:f>IF(OR(M1791="unavailable",O1791="unavailable"),"不可评价",IF(AND(OR(M1791="positive",M1791="equivocal"),OR(O1791="positive",O1791="equivocal")),"a",IF(OR(O1791="positive",O1791="equivocal"),"b",IF(OR(M1791="positive",M1791="equivocal"),"c","d"))))</x:f>
        <x:v>d</x:v>
      </x:c>
      <x:c r="AB1791" s="12" t="str">
        <x:f>IF(OR(M1791="unavailable",O1791="unavailable"),"不可评价",IF(AND(M1791="positive",O1791="positive"),"a",IF(O1791="positive","b",IF(M1791="positive","c","d"))))</x:f>
        <x:v>d</x:v>
      </x:c>
      <x:c r="AC1791" s="12" t="str">
        <x:f>IF(OR(R1791="unavailable",T1791="unavailable"),"不可评价",IF(AND(OR(R1791="positive",R1791="equivocal"),OR(T1791="positive",T1791="equivocal")),"a",IF(OR(T1791="positive",T1791="equivocal"),"b",IF(OR(R1791="positive",R1791="equivocal"),"c","d"))))</x:f>
        <x:v>d</x:v>
      </x:c>
      <x:c r="AD1791" s="12" t="str">
        <x:f>IF(OR(R1791="unavailable",T1791="unavailable"),"不可评价",IF(AND(R1791="positive",T1791="positive"),"a",IF(T1791="positive","b",IF(R1791="positive","c","d"))))</x:f>
        <x:v>d</x:v>
      </x:c>
      <x:c r="AE1791" s="12" t="str">
        <x:f>IF(OR(W1791="unavailable",Y1791="unavailable"),"不可评价",IF(AND(OR(W1791="positive",W1791="equivocal"),OR(Y1791="positive",Y1791="equivocal")),"a",IF(OR(Y1791="positive",Y1791="equivocal"),"b",IF(OR(W1791="positive",W1791="equivocal"),"c","d"))))</x:f>
        <x:v>d</x:v>
      </x:c>
      <x:c r="AF1791" s="12" t="str">
        <x:f>IF(OR(W1791="unavailable",Y1791="unavailable"),"不可评价",IF(AND(W1791="positive",Y1791="positive"),"a",IF(Y1791="positive","b",IF(W1791="positive","c","d"))))</x:f>
        <x:v>d</x:v>
      </x:c>
    </x:row>
    <x:row r="1792" ht="24" customHeight="1">
      <x:c r="A1792" s="12" t="str">
        <x:v>16915</x:v>
      </x:c>
      <x:c r="B1792" s="12" t="str">
        <x:v>21354</x:v>
      </x:c>
      <x:c r="C1792" s="21" t="n">
        <x:v>35332.700694444444</x:v>
      </x:c>
      <x:c r="D1792" s="12" t="n">
        <x:v>65</x:v>
      </x:c>
      <x:c r="E1792" s="12" t="n">
        <x:v>1</x:v>
      </x:c>
      <x:c r="F1792" s="12" t="str">
        <x:v>未记录</x:v>
      </x:c>
      <x:c r="G1792" s="12" t="n">
        <x:v>1</x:v>
      </x:c>
      <x:c r="H1792" s="12" t="str">
        <x:v>{'ISCIN': 100.0, 'SR': 0.0}</x:v>
      </x:c>
      <x:c r="I1792" s="12" t="str">
        <x:v>[('NSR', 100.0), ('NST', 100.0), ('AB', 100.0)]</x:v>
      </x:c>
      <x:c r="J1792" s="12" t="str">
        <x:v>ptbxl_database.csv；ecg_id=16915；scp_codes</x:v>
      </x:c>
      <x:c r="K1792" s="12" t="str">
        <x:v>12sl_statements.csv；ecg_id=16915；statements_ext_snomed</x:v>
      </x:c>
      <x:c r="L1792" s="12"/>
      <x:c r="M1792" s="12" t="str">
        <x:v>negative</x:v>
      </x:c>
      <x:c r="N1792" s="12"/>
      <x:c r="O1792" s="12" t="str">
        <x:v>negative</x:v>
      </x:c>
      <x:c r="P1792" s="12" t="str">
        <x:f>IF(OR(M1792="unavailable",O1792="unavailable"),"不可评价",IF(OR(M1792="equivocal",O1792="equivocal"),"疑似",IF(AND(M1792="positive",O1792="positive"),"a",IF(O1792="positive","b",IF(M1792="positive","c","d")))))</x:f>
        <x:v>d</x:v>
      </x:c>
      <x:c r="Q1792" s="12"/>
      <x:c r="R1792" s="12" t="str">
        <x:v>negative</x:v>
      </x:c>
      <x:c r="S1792" s="12"/>
      <x:c r="T1792" s="12" t="str">
        <x:v>negative</x:v>
      </x:c>
      <x:c r="U1792" s="12" t="str">
        <x:f>IF(OR(R1792="unavailable",T1792="unavailable"),"不可评价",IF(OR(R1792="equivocal",T1792="equivocal"),"疑似",IF(AND(R1792="positive",T1792="positive"),"a",IF(T1792="positive","b",IF(R1792="positive","c","d")))))</x:f>
        <x:v>d</x:v>
      </x:c>
      <x:c r="V1792" s="12"/>
      <x:c r="W1792" s="12" t="str">
        <x:v>negative</x:v>
      </x:c>
      <x:c r="X1792" s="12"/>
      <x:c r="Y1792" s="12" t="str">
        <x:v>negative</x:v>
      </x:c>
      <x:c r="Z1792" s="12" t="str">
        <x:f>IF(OR(W1792="unavailable",Y1792="unavailable"),"不可评价",IF(OR(W1792="equivocal",Y1792="equivocal"),"疑似",IF(AND(W1792="positive",Y1792="positive"),"a",IF(Y1792="positive","b",IF(W1792="positive","c","d")))))</x:f>
        <x:v>d</x:v>
      </x:c>
      <x:c r="AA1792" s="12" t="str">
        <x:f>IF(OR(M1792="unavailable",O1792="unavailable"),"不可评价",IF(AND(OR(M1792="positive",M1792="equivocal"),OR(O1792="positive",O1792="equivocal")),"a",IF(OR(O1792="positive",O1792="equivocal"),"b",IF(OR(M1792="positive",M1792="equivocal"),"c","d"))))</x:f>
        <x:v>d</x:v>
      </x:c>
      <x:c r="AB1792" s="12" t="str">
        <x:f>IF(OR(M1792="unavailable",O1792="unavailable"),"不可评价",IF(AND(M1792="positive",O1792="positive"),"a",IF(O1792="positive","b",IF(M1792="positive","c","d"))))</x:f>
        <x:v>d</x:v>
      </x:c>
      <x:c r="AC1792" s="12" t="str">
        <x:f>IF(OR(R1792="unavailable",T1792="unavailable"),"不可评价",IF(AND(OR(R1792="positive",R1792="equivocal"),OR(T1792="positive",T1792="equivocal")),"a",IF(OR(T1792="positive",T1792="equivocal"),"b",IF(OR(R1792="positive",R1792="equivocal"),"c","d"))))</x:f>
        <x:v>d</x:v>
      </x:c>
      <x:c r="AD1792" s="12" t="str">
        <x:f>IF(OR(R1792="unavailable",T1792="unavailable"),"不可评价",IF(AND(R1792="positive",T1792="positive"),"a",IF(T1792="positive","b",IF(R1792="positive","c","d"))))</x:f>
        <x:v>d</x:v>
      </x:c>
      <x:c r="AE1792" s="12" t="str">
        <x:f>IF(OR(W1792="unavailable",Y1792="unavailable"),"不可评价",IF(AND(OR(W1792="positive",W1792="equivocal"),OR(Y1792="positive",Y1792="equivocal")),"a",IF(OR(Y1792="positive",Y1792="equivocal"),"b",IF(OR(W1792="positive",W1792="equivocal"),"c","d"))))</x:f>
        <x:v>d</x:v>
      </x:c>
      <x:c r="AF1792" s="12" t="str">
        <x:f>IF(OR(W1792="unavailable",Y1792="unavailable"),"不可评价",IF(AND(W1792="positive",Y1792="positive"),"a",IF(Y1792="positive","b",IF(W1792="positive","c","d"))))</x:f>
        <x:v>d</x:v>
      </x:c>
    </x:row>
    <x:row r="1793" ht="24" customHeight="1">
      <x:c r="A1793" s="12" t="str">
        <x:v>16920</x:v>
      </x:c>
      <x:c r="B1793" s="12" t="str">
        <x:v>8013</x:v>
      </x:c>
      <x:c r="C1793" s="21" t="n">
        <x:v>35333.61746527778</x:v>
      </x:c>
      <x:c r="D1793" s="12" t="n">
        <x:v>75</x:v>
      </x:c>
      <x:c r="E1793" s="12" t="n">
        <x:v>0</x:v>
      </x:c>
      <x:c r="F1793" s="12" t="str">
        <x:v>存在</x:v>
      </x:c>
      <x:c r="G1793" s="12" t="n">
        <x:v>1</x:v>
      </x:c>
      <x:c r="H1793" s="12" t="str">
        <x:v>{'CLBBB': 100.0, 'STACH': 0.0}</x:v>
      </x:c>
      <x:c r="I1793" s="12" t="str">
        <x:v>[('STACH', 100.0), ('PVC', 100.0), ('LAD3', 100.0), ('LBBB', 100.0), ('AB', 100.0)]</x:v>
      </x:c>
      <x:c r="J1793" s="12" t="str">
        <x:v>ptbxl_database.csv；ecg_id=16920；scp_codes</x:v>
      </x:c>
      <x:c r="K1793" s="12" t="str">
        <x:v>12sl_statements.csv；ecg_id=16920；statements_ext_snomed</x:v>
      </x:c>
      <x:c r="L1793" s="12"/>
      <x:c r="M1793" s="12" t="str">
        <x:v>negative</x:v>
      </x:c>
      <x:c r="N1793" s="12"/>
      <x:c r="O1793" s="12" t="str">
        <x:v>negative</x:v>
      </x:c>
      <x:c r="P1793" s="12" t="str">
        <x:f>IF(OR(M1793="unavailable",O1793="unavailable"),"不可评价",IF(OR(M1793="equivocal",O1793="equivocal"),"疑似",IF(AND(M1793="positive",O1793="positive"),"a",IF(O1793="positive","b",IF(M1793="positive","c","d")))))</x:f>
        <x:v>d</x:v>
      </x:c>
      <x:c r="Q1793" s="12" t="n">
        <x:v>100</x:v>
      </x:c>
      <x:c r="R1793" s="12" t="str">
        <x:v>positive</x:v>
      </x:c>
      <x:c r="S1793" s="12" t="n">
        <x:v>100</x:v>
      </x:c>
      <x:c r="T1793" s="12" t="str">
        <x:v>positive</x:v>
      </x:c>
      <x:c r="U1793" s="12" t="str">
        <x:f>IF(OR(R1793="unavailable",T1793="unavailable"),"不可评价",IF(OR(R1793="equivocal",T1793="equivocal"),"疑似",IF(AND(R1793="positive",T1793="positive"),"a",IF(T1793="positive","b",IF(R1793="positive","c","d")))))</x:f>
        <x:v>a</x:v>
      </x:c>
      <x:c r="V1793" s="12"/>
      <x:c r="W1793" s="12" t="str">
        <x:v>negative</x:v>
      </x:c>
      <x:c r="X1793" s="12"/>
      <x:c r="Y1793" s="12" t="str">
        <x:v>negative</x:v>
      </x:c>
      <x:c r="Z1793" s="12" t="str">
        <x:f>IF(OR(W1793="unavailable",Y1793="unavailable"),"不可评价",IF(OR(W1793="equivocal",Y1793="equivocal"),"疑似",IF(AND(W1793="positive",Y1793="positive"),"a",IF(Y1793="positive","b",IF(W1793="positive","c","d")))))</x:f>
        <x:v>d</x:v>
      </x:c>
      <x:c r="AA1793" s="12" t="str">
        <x:f>IF(OR(M1793="unavailable",O1793="unavailable"),"不可评价",IF(AND(OR(M1793="positive",M1793="equivocal"),OR(O1793="positive",O1793="equivocal")),"a",IF(OR(O1793="positive",O1793="equivocal"),"b",IF(OR(M1793="positive",M1793="equivocal"),"c","d"))))</x:f>
        <x:v>d</x:v>
      </x:c>
      <x:c r="AB1793" s="12" t="str">
        <x:f>IF(OR(M1793="unavailable",O1793="unavailable"),"不可评价",IF(AND(M1793="positive",O1793="positive"),"a",IF(O1793="positive","b",IF(M1793="positive","c","d"))))</x:f>
        <x:v>d</x:v>
      </x:c>
      <x:c r="AC1793" s="12" t="str">
        <x:f>IF(OR(R1793="unavailable",T1793="unavailable"),"不可评价",IF(AND(OR(R1793="positive",R1793="equivocal"),OR(T1793="positive",T1793="equivocal")),"a",IF(OR(T1793="positive",T1793="equivocal"),"b",IF(OR(R1793="positive",R1793="equivocal"),"c","d"))))</x:f>
        <x:v>a</x:v>
      </x:c>
      <x:c r="AD1793" s="12" t="str">
        <x:f>IF(OR(R1793="unavailable",T1793="unavailable"),"不可评价",IF(AND(R1793="positive",T1793="positive"),"a",IF(T1793="positive","b",IF(R1793="positive","c","d"))))</x:f>
        <x:v>a</x:v>
      </x:c>
      <x:c r="AE1793" s="12" t="str">
        <x:f>IF(OR(W1793="unavailable",Y1793="unavailable"),"不可评价",IF(AND(OR(W1793="positive",W1793="equivocal"),OR(Y1793="positive",Y1793="equivocal")),"a",IF(OR(Y1793="positive",Y1793="equivocal"),"b",IF(OR(W1793="positive",W1793="equivocal"),"c","d"))))</x:f>
        <x:v>d</x:v>
      </x:c>
      <x:c r="AF1793" s="12" t="str">
        <x:f>IF(OR(W1793="unavailable",Y1793="unavailable"),"不可评价",IF(AND(W1793="positive",Y1793="positive"),"a",IF(Y1793="positive","b",IF(W1793="positive","c","d"))))</x:f>
        <x:v>d</x:v>
      </x:c>
    </x:row>
    <x:row r="1794" ht="24" customHeight="1">
      <x:c r="A1794" s="12" t="str">
        <x:v>16944</x:v>
      </x:c>
      <x:c r="B1794" s="12" t="str">
        <x:v>3504</x:v>
      </x:c>
      <x:c r="C1794" s="21" t="n">
        <x:v>35336.34519675926</x:v>
      </x:c>
      <x:c r="D1794" s="12" t="n">
        <x:v>75</x:v>
      </x:c>
      <x:c r="E1794" s="12" t="n">
        <x:v>1</x:v>
      </x:c>
      <x:c r="F1794" s="12" t="str">
        <x:v>未记录</x:v>
      </x:c>
      <x:c r="G1794" s="12" t="n">
        <x:v>1</x:v>
      </x:c>
      <x:c r="H1794" s="12" t="str">
        <x:v>{'LVH': 35.0, 'STD_': 0.0, 'VCLVH': 0.0, 'SR': 0.0}</x:v>
      </x:c>
      <x:c r="I1794" s="12" t="str">
        <x:v>[('NSR', 100.0), ('LVH2', 100.0), ('2ST', 100.0), ('AB', 100.0)]</x:v>
      </x:c>
      <x:c r="J1794" s="12" t="str">
        <x:v>ptbxl_database.csv；ecg_id=16944；scp_codes</x:v>
      </x:c>
      <x:c r="K1794" s="12" t="str">
        <x:v>12sl_statements.csv；ecg_id=16944；statements_ext_snomed</x:v>
      </x:c>
      <x:c r="L1794" s="12"/>
      <x:c r="M1794" s="12" t="str">
        <x:v>negative</x:v>
      </x:c>
      <x:c r="N1794" s="12"/>
      <x:c r="O1794" s="12" t="str">
        <x:v>negative</x:v>
      </x:c>
      <x:c r="P1794" s="12" t="str">
        <x:f>IF(OR(M1794="unavailable",O1794="unavailable"),"不可评价",IF(OR(M1794="equivocal",O1794="equivocal"),"疑似",IF(AND(M1794="positive",O1794="positive"),"a",IF(O1794="positive","b",IF(M1794="positive","c","d")))))</x:f>
        <x:v>d</x:v>
      </x:c>
      <x:c r="Q1794" s="12"/>
      <x:c r="R1794" s="12" t="str">
        <x:v>negative</x:v>
      </x:c>
      <x:c r="S1794" s="12"/>
      <x:c r="T1794" s="12" t="str">
        <x:v>negative</x:v>
      </x:c>
      <x:c r="U1794" s="12" t="str">
        <x:f>IF(OR(R1794="unavailable",T1794="unavailable"),"不可评价",IF(OR(R1794="equivocal",T1794="equivocal"),"疑似",IF(AND(R1794="positive",T1794="positive"),"a",IF(T1794="positive","b",IF(R1794="positive","c","d")))))</x:f>
        <x:v>d</x:v>
      </x:c>
      <x:c r="V1794" s="12"/>
      <x:c r="W1794" s="12" t="str">
        <x:v>negative</x:v>
      </x:c>
      <x:c r="X1794" s="12"/>
      <x:c r="Y1794" s="12" t="str">
        <x:v>negative</x:v>
      </x:c>
      <x:c r="Z1794" s="12" t="str">
        <x:f>IF(OR(W1794="unavailable",Y1794="unavailable"),"不可评价",IF(OR(W1794="equivocal",Y1794="equivocal"),"疑似",IF(AND(W1794="positive",Y1794="positive"),"a",IF(Y1794="positive","b",IF(W1794="positive","c","d")))))</x:f>
        <x:v>d</x:v>
      </x:c>
      <x:c r="AA1794" s="12" t="str">
        <x:f>IF(OR(M1794="unavailable",O1794="unavailable"),"不可评价",IF(AND(OR(M1794="positive",M1794="equivocal"),OR(O1794="positive",O1794="equivocal")),"a",IF(OR(O1794="positive",O1794="equivocal"),"b",IF(OR(M1794="positive",M1794="equivocal"),"c","d"))))</x:f>
        <x:v>d</x:v>
      </x:c>
      <x:c r="AB1794" s="12" t="str">
        <x:f>IF(OR(M1794="unavailable",O1794="unavailable"),"不可评价",IF(AND(M1794="positive",O1794="positive"),"a",IF(O1794="positive","b",IF(M1794="positive","c","d"))))</x:f>
        <x:v>d</x:v>
      </x:c>
      <x:c r="AC1794" s="12" t="str">
        <x:f>IF(OR(R1794="unavailable",T1794="unavailable"),"不可评价",IF(AND(OR(R1794="positive",R1794="equivocal"),OR(T1794="positive",T1794="equivocal")),"a",IF(OR(T1794="positive",T1794="equivocal"),"b",IF(OR(R1794="positive",R1794="equivocal"),"c","d"))))</x:f>
        <x:v>d</x:v>
      </x:c>
      <x:c r="AD1794" s="12" t="str">
        <x:f>IF(OR(R1794="unavailable",T1794="unavailable"),"不可评价",IF(AND(R1794="positive",T1794="positive"),"a",IF(T1794="positive","b",IF(R1794="positive","c","d"))))</x:f>
        <x:v>d</x:v>
      </x:c>
      <x:c r="AE1794" s="12" t="str">
        <x:f>IF(OR(W1794="unavailable",Y1794="unavailable"),"不可评价",IF(AND(OR(W1794="positive",W1794="equivocal"),OR(Y1794="positive",Y1794="equivocal")),"a",IF(OR(Y1794="positive",Y1794="equivocal"),"b",IF(OR(W1794="positive",W1794="equivocal"),"c","d"))))</x:f>
        <x:v>d</x:v>
      </x:c>
      <x:c r="AF1794" s="12" t="str">
        <x:f>IF(OR(W1794="unavailable",Y1794="unavailable"),"不可评价",IF(AND(W1794="positive",Y1794="positive"),"a",IF(Y1794="positive","b",IF(W1794="positive","c","d"))))</x:f>
        <x:v>d</x:v>
      </x:c>
    </x:row>
    <x:row r="1795" ht="24" customHeight="1">
      <x:c r="A1795" s="12" t="str">
        <x:v>16952</x:v>
      </x:c>
      <x:c r="B1795" s="12" t="str">
        <x:v>1862</x:v>
      </x:c>
      <x:c r="C1795" s="21" t="n">
        <x:v>35336.56298611111</x:v>
      </x:c>
      <x:c r="D1795" s="12" t="n">
        <x:v>82</x:v>
      </x:c>
      <x:c r="E1795" s="12" t="n">
        <x:v>1</x:v>
      </x:c>
      <x:c r="F1795" s="12" t="str">
        <x:v>未记录</x:v>
      </x:c>
      <x:c r="G1795" s="12" t="n">
        <x:v>1</x:v>
      </x:c>
      <x:c r="H1795" s="12" t="str">
        <x:v>{'IMI': 15.0, 'ASMI': 80.0, 'SR': 0.0}</x:v>
      </x:c>
      <x:c r="I1795" s="12" t="str">
        <x:v>[('NSR', 100.0), ('SMI;AU', 100.0), ('IMI;AU', 100.0), ('AB', 100.0)]</x:v>
      </x:c>
      <x:c r="J1795" s="12" t="str">
        <x:v>ptbxl_database.csv；ecg_id=16952；scp_codes</x:v>
      </x:c>
      <x:c r="K1795" s="12" t="str">
        <x:v>12sl_statements.csv；ecg_id=16952；statements_ext_snomed</x:v>
      </x:c>
      <x:c r="L1795" s="12"/>
      <x:c r="M1795" s="12" t="str">
        <x:v>negative</x:v>
      </x:c>
      <x:c r="N1795" s="12"/>
      <x:c r="O1795" s="12" t="str">
        <x:v>negative</x:v>
      </x:c>
      <x:c r="P1795" s="12" t="str">
        <x:f>IF(OR(M1795="unavailable",O1795="unavailable"),"不可评价",IF(OR(M1795="equivocal",O1795="equivocal"),"疑似",IF(AND(M1795="positive",O1795="positive"),"a",IF(O1795="positive","b",IF(M1795="positive","c","d")))))</x:f>
        <x:v>d</x:v>
      </x:c>
      <x:c r="Q1795" s="12"/>
      <x:c r="R1795" s="12" t="str">
        <x:v>negative</x:v>
      </x:c>
      <x:c r="S1795" s="12"/>
      <x:c r="T1795" s="12" t="str">
        <x:v>negative</x:v>
      </x:c>
      <x:c r="U1795" s="12" t="str">
        <x:f>IF(OR(R1795="unavailable",T1795="unavailable"),"不可评价",IF(OR(R1795="equivocal",T1795="equivocal"),"疑似",IF(AND(R1795="positive",T1795="positive"),"a",IF(T1795="positive","b",IF(R1795="positive","c","d")))))</x:f>
        <x:v>d</x:v>
      </x:c>
      <x:c r="V1795" s="12"/>
      <x:c r="W1795" s="12" t="str">
        <x:v>negative</x:v>
      </x:c>
      <x:c r="X1795" s="12"/>
      <x:c r="Y1795" s="12" t="str">
        <x:v>negative</x:v>
      </x:c>
      <x:c r="Z1795" s="12" t="str">
        <x:f>IF(OR(W1795="unavailable",Y1795="unavailable"),"不可评价",IF(OR(W1795="equivocal",Y1795="equivocal"),"疑似",IF(AND(W1795="positive",Y1795="positive"),"a",IF(Y1795="positive","b",IF(W1795="positive","c","d")))))</x:f>
        <x:v>d</x:v>
      </x:c>
      <x:c r="AA1795" s="12" t="str">
        <x:f>IF(OR(M1795="unavailable",O1795="unavailable"),"不可评价",IF(AND(OR(M1795="positive",M1795="equivocal"),OR(O1795="positive",O1795="equivocal")),"a",IF(OR(O1795="positive",O1795="equivocal"),"b",IF(OR(M1795="positive",M1795="equivocal"),"c","d"))))</x:f>
        <x:v>d</x:v>
      </x:c>
      <x:c r="AB1795" s="12" t="str">
        <x:f>IF(OR(M1795="unavailable",O1795="unavailable"),"不可评价",IF(AND(M1795="positive",O1795="positive"),"a",IF(O1795="positive","b",IF(M1795="positive","c","d"))))</x:f>
        <x:v>d</x:v>
      </x:c>
      <x:c r="AC1795" s="12" t="str">
        <x:f>IF(OR(R1795="unavailable",T1795="unavailable"),"不可评价",IF(AND(OR(R1795="positive",R1795="equivocal"),OR(T1795="positive",T1795="equivocal")),"a",IF(OR(T1795="positive",T1795="equivocal"),"b",IF(OR(R1795="positive",R1795="equivocal"),"c","d"))))</x:f>
        <x:v>d</x:v>
      </x:c>
      <x:c r="AD1795" s="12" t="str">
        <x:f>IF(OR(R1795="unavailable",T1795="unavailable"),"不可评价",IF(AND(R1795="positive",T1795="positive"),"a",IF(T1795="positive","b",IF(R1795="positive","c","d"))))</x:f>
        <x:v>d</x:v>
      </x:c>
      <x:c r="AE1795" s="12" t="str">
        <x:f>IF(OR(W1795="unavailable",Y1795="unavailable"),"不可评价",IF(AND(OR(W1795="positive",W1795="equivocal"),OR(Y1795="positive",Y1795="equivocal")),"a",IF(OR(Y1795="positive",Y1795="equivocal"),"b",IF(OR(W1795="positive",W1795="equivocal"),"c","d"))))</x:f>
        <x:v>d</x:v>
      </x:c>
      <x:c r="AF1795" s="12" t="str">
        <x:f>IF(OR(W1795="unavailable",Y1795="unavailable"),"不可评价",IF(AND(W1795="positive",Y1795="positive"),"a",IF(Y1795="positive","b",IF(W1795="positive","c","d"))))</x:f>
        <x:v>d</x:v>
      </x:c>
    </x:row>
    <x:row r="1796" ht="24" customHeight="1">
      <x:c r="A1796" s="12" t="str">
        <x:v>16955</x:v>
      </x:c>
      <x:c r="B1796" s="12" t="str">
        <x:v>20368</x:v>
      </x:c>
      <x:c r="C1796" s="21" t="n">
        <x:v>35336.72130787037</x:v>
      </x:c>
      <x:c r="D1796" s="12" t="n">
        <x:v>76</x:v>
      </x:c>
      <x:c r="E1796" s="12" t="n">
        <x:v>0</x:v>
      </x:c>
      <x:c r="F1796" s="12" t="str">
        <x:v>未记录</x:v>
      </x:c>
      <x:c r="G1796" s="12" t="n">
        <x:v>1</x:v>
      </x:c>
      <x:c r="H1796" s="12" t="str">
        <x:v>{'NORM': 100.0, 'SR': 0.0}</x:v>
      </x:c>
      <x:c r="I1796" s="12" t="str">
        <x:v>[('NSR', 100.0), ('NML', 100.0)]</x:v>
      </x:c>
      <x:c r="J1796" s="12" t="str">
        <x:v>ptbxl_database.csv；ecg_id=16955；scp_codes</x:v>
      </x:c>
      <x:c r="K1796" s="12" t="str">
        <x:v>12sl_statements.csv；ecg_id=16955；statements_ext_snomed</x:v>
      </x:c>
      <x:c r="L1796" s="12"/>
      <x:c r="M1796" s="12" t="str">
        <x:v>negative</x:v>
      </x:c>
      <x:c r="N1796" s="12"/>
      <x:c r="O1796" s="12" t="str">
        <x:v>negative</x:v>
      </x:c>
      <x:c r="P1796" s="12" t="str">
        <x:f>IF(OR(M1796="unavailable",O1796="unavailable"),"不可评价",IF(OR(M1796="equivocal",O1796="equivocal"),"疑似",IF(AND(M1796="positive",O1796="positive"),"a",IF(O1796="positive","b",IF(M1796="positive","c","d")))))</x:f>
        <x:v>d</x:v>
      </x:c>
      <x:c r="Q1796" s="12"/>
      <x:c r="R1796" s="12" t="str">
        <x:v>negative</x:v>
      </x:c>
      <x:c r="S1796" s="12"/>
      <x:c r="T1796" s="12" t="str">
        <x:v>negative</x:v>
      </x:c>
      <x:c r="U1796" s="12" t="str">
        <x:f>IF(OR(R1796="unavailable",T1796="unavailable"),"不可评价",IF(OR(R1796="equivocal",T1796="equivocal"),"疑似",IF(AND(R1796="positive",T1796="positive"),"a",IF(T1796="positive","b",IF(R1796="positive","c","d")))))</x:f>
        <x:v>d</x:v>
      </x:c>
      <x:c r="V1796" s="12"/>
      <x:c r="W1796" s="12" t="str">
        <x:v>negative</x:v>
      </x:c>
      <x:c r="X1796" s="12"/>
      <x:c r="Y1796" s="12" t="str">
        <x:v>negative</x:v>
      </x:c>
      <x:c r="Z1796" s="12" t="str">
        <x:f>IF(OR(W1796="unavailable",Y1796="unavailable"),"不可评价",IF(OR(W1796="equivocal",Y1796="equivocal"),"疑似",IF(AND(W1796="positive",Y1796="positive"),"a",IF(Y1796="positive","b",IF(W1796="positive","c","d")))))</x:f>
        <x:v>d</x:v>
      </x:c>
      <x:c r="AA1796" s="12" t="str">
        <x:f>IF(OR(M1796="unavailable",O1796="unavailable"),"不可评价",IF(AND(OR(M1796="positive",M1796="equivocal"),OR(O1796="positive",O1796="equivocal")),"a",IF(OR(O1796="positive",O1796="equivocal"),"b",IF(OR(M1796="positive",M1796="equivocal"),"c","d"))))</x:f>
        <x:v>d</x:v>
      </x:c>
      <x:c r="AB1796" s="12" t="str">
        <x:f>IF(OR(M1796="unavailable",O1796="unavailable"),"不可评价",IF(AND(M1796="positive",O1796="positive"),"a",IF(O1796="positive","b",IF(M1796="positive","c","d"))))</x:f>
        <x:v>d</x:v>
      </x:c>
      <x:c r="AC1796" s="12" t="str">
        <x:f>IF(OR(R1796="unavailable",T1796="unavailable"),"不可评价",IF(AND(OR(R1796="positive",R1796="equivocal"),OR(T1796="positive",T1796="equivocal")),"a",IF(OR(T1796="positive",T1796="equivocal"),"b",IF(OR(R1796="positive",R1796="equivocal"),"c","d"))))</x:f>
        <x:v>d</x:v>
      </x:c>
      <x:c r="AD1796" s="12" t="str">
        <x:f>IF(OR(R1796="unavailable",T1796="unavailable"),"不可评价",IF(AND(R1796="positive",T1796="positive"),"a",IF(T1796="positive","b",IF(R1796="positive","c","d"))))</x:f>
        <x:v>d</x:v>
      </x:c>
      <x:c r="AE1796" s="12" t="str">
        <x:f>IF(OR(W1796="unavailable",Y1796="unavailable"),"不可评价",IF(AND(OR(W1796="positive",W1796="equivocal"),OR(Y1796="positive",Y1796="equivocal")),"a",IF(OR(Y1796="positive",Y1796="equivocal"),"b",IF(OR(W1796="positive",W1796="equivocal"),"c","d"))))</x:f>
        <x:v>d</x:v>
      </x:c>
      <x:c r="AF1796" s="12" t="str">
        <x:f>IF(OR(W1796="unavailable",Y1796="unavailable"),"不可评价",IF(AND(W1796="positive",Y1796="positive"),"a",IF(Y1796="positive","b",IF(W1796="positive","c","d"))))</x:f>
        <x:v>d</x:v>
      </x:c>
    </x:row>
    <x:row r="1797" ht="24" customHeight="1">
      <x:c r="A1797" s="12" t="str">
        <x:v>16993</x:v>
      </x:c>
      <x:c r="B1797" s="12" t="str">
        <x:v>1083</x:v>
      </x:c>
      <x:c r="C1797" s="21" t="n">
        <x:v>35339.65416666667</x:v>
      </x:c>
      <x:c r="D1797" s="12" t="n">
        <x:v>38</x:v>
      </x:c>
      <x:c r="E1797" s="12" t="n">
        <x:v>0</x:v>
      </x:c>
      <x:c r="F1797" s="12" t="str">
        <x:v>未记录</x:v>
      </x:c>
      <x:c r="G1797" s="12" t="n">
        <x:v>1</x:v>
      </x:c>
      <x:c r="H1797" s="12" t="str">
        <x:v>{'NORM': 100.0}</x:v>
      </x:c>
      <x:c r="I1797" s="12" t="str">
        <x:v>[('SBRAD', 100.0), ('IMI;AU', 15.0), ('AB', 100.0)]</x:v>
      </x:c>
      <x:c r="J1797" s="12" t="str">
        <x:v>ptbxl_database.csv；ecg_id=16993；scp_codes</x:v>
      </x:c>
      <x:c r="K1797" s="12" t="str">
        <x:v>12sl_statements.csv；ecg_id=16993；statements_ext_snomed</x:v>
      </x:c>
      <x:c r="L1797" s="12"/>
      <x:c r="M1797" s="12" t="str">
        <x:v>negative</x:v>
      </x:c>
      <x:c r="N1797" s="12"/>
      <x:c r="O1797" s="12" t="str">
        <x:v>negative</x:v>
      </x:c>
      <x:c r="P1797" s="12" t="str">
        <x:f>IF(OR(M1797="unavailable",O1797="unavailable"),"不可评价",IF(OR(M1797="equivocal",O1797="equivocal"),"疑似",IF(AND(M1797="positive",O1797="positive"),"a",IF(O1797="positive","b",IF(M1797="positive","c","d")))))</x:f>
        <x:v>d</x:v>
      </x:c>
      <x:c r="Q1797" s="12"/>
      <x:c r="R1797" s="12" t="str">
        <x:v>negative</x:v>
      </x:c>
      <x:c r="S1797" s="12"/>
      <x:c r="T1797" s="12" t="str">
        <x:v>negative</x:v>
      </x:c>
      <x:c r="U1797" s="12" t="str">
        <x:f>IF(OR(R1797="unavailable",T1797="unavailable"),"不可评价",IF(OR(R1797="equivocal",T1797="equivocal"),"疑似",IF(AND(R1797="positive",T1797="positive"),"a",IF(T1797="positive","b",IF(R1797="positive","c","d")))))</x:f>
        <x:v>d</x:v>
      </x:c>
      <x:c r="V1797" s="12"/>
      <x:c r="W1797" s="12" t="str">
        <x:v>negative</x:v>
      </x:c>
      <x:c r="X1797" s="12"/>
      <x:c r="Y1797" s="12" t="str">
        <x:v>negative</x:v>
      </x:c>
      <x:c r="Z1797" s="12" t="str">
        <x:f>IF(OR(W1797="unavailable",Y1797="unavailable"),"不可评价",IF(OR(W1797="equivocal",Y1797="equivocal"),"疑似",IF(AND(W1797="positive",Y1797="positive"),"a",IF(Y1797="positive","b",IF(W1797="positive","c","d")))))</x:f>
        <x:v>d</x:v>
      </x:c>
      <x:c r="AA1797" s="12" t="str">
        <x:f>IF(OR(M1797="unavailable",O1797="unavailable"),"不可评价",IF(AND(OR(M1797="positive",M1797="equivocal"),OR(O1797="positive",O1797="equivocal")),"a",IF(OR(O1797="positive",O1797="equivocal"),"b",IF(OR(M1797="positive",M1797="equivocal"),"c","d"))))</x:f>
        <x:v>d</x:v>
      </x:c>
      <x:c r="AB1797" s="12" t="str">
        <x:f>IF(OR(M1797="unavailable",O1797="unavailable"),"不可评价",IF(AND(M1797="positive",O1797="positive"),"a",IF(O1797="positive","b",IF(M1797="positive","c","d"))))</x:f>
        <x:v>d</x:v>
      </x:c>
      <x:c r="AC1797" s="12" t="str">
        <x:f>IF(OR(R1797="unavailable",T1797="unavailable"),"不可评价",IF(AND(OR(R1797="positive",R1797="equivocal"),OR(T1797="positive",T1797="equivocal")),"a",IF(OR(T1797="positive",T1797="equivocal"),"b",IF(OR(R1797="positive",R1797="equivocal"),"c","d"))))</x:f>
        <x:v>d</x:v>
      </x:c>
      <x:c r="AD1797" s="12" t="str">
        <x:f>IF(OR(R1797="unavailable",T1797="unavailable"),"不可评价",IF(AND(R1797="positive",T1797="positive"),"a",IF(T1797="positive","b",IF(R1797="positive","c","d"))))</x:f>
        <x:v>d</x:v>
      </x:c>
      <x:c r="AE1797" s="12" t="str">
        <x:f>IF(OR(W1797="unavailable",Y1797="unavailable"),"不可评价",IF(AND(OR(W1797="positive",W1797="equivocal"),OR(Y1797="positive",Y1797="equivocal")),"a",IF(OR(Y1797="positive",Y1797="equivocal"),"b",IF(OR(W1797="positive",W1797="equivocal"),"c","d"))))</x:f>
        <x:v>d</x:v>
      </x:c>
      <x:c r="AF1797" s="12" t="str">
        <x:f>IF(OR(W1797="unavailable",Y1797="unavailable"),"不可评价",IF(AND(W1797="positive",Y1797="positive"),"a",IF(Y1797="positive","b",IF(W1797="positive","c","d"))))</x:f>
        <x:v>d</x:v>
      </x:c>
    </x:row>
    <x:row r="1798" ht="24" customHeight="1">
      <x:c r="A1798" s="12" t="str">
        <x:v>16994</x:v>
      </x:c>
      <x:c r="B1798" s="12" t="str">
        <x:v>1825</x:v>
      </x:c>
      <x:c r="C1798" s="21" t="n">
        <x:v>35340.289768518516</x:v>
      </x:c>
      <x:c r="D1798" s="12" t="n">
        <x:v>40</x:v>
      </x:c>
      <x:c r="E1798" s="12" t="n">
        <x:v>1</x:v>
      </x:c>
      <x:c r="F1798" s="12" t="str">
        <x:v>存在</x:v>
      </x:c>
      <x:c r="G1798" s="12" t="n">
        <x:v>1</x:v>
      </x:c>
      <x:c r="H1798" s="12" t="str">
        <x:v>{'NORM': 80.0, 'PVC': 0.0, 'SARRH': 0.0}</x:v>
      </x:c>
      <x:c r="I1798" s="12" t="str">
        <x:v>[('SRTH', 100.0), ('PVC', 100.0), ('ABR', 100.0)]</x:v>
      </x:c>
      <x:c r="J1798" s="12" t="str">
        <x:v>ptbxl_database.csv；ecg_id=16994；scp_codes</x:v>
      </x:c>
      <x:c r="K1798" s="12" t="str">
        <x:v>12sl_statements.csv；ecg_id=16994；statements_ext_snomed</x:v>
      </x:c>
      <x:c r="L1798" s="12"/>
      <x:c r="M1798" s="12" t="str">
        <x:v>negative</x:v>
      </x:c>
      <x:c r="N1798" s="12"/>
      <x:c r="O1798" s="12" t="str">
        <x:v>negative</x:v>
      </x:c>
      <x:c r="P1798" s="12" t="str">
        <x:f>IF(OR(M1798="unavailable",O1798="unavailable"),"不可评价",IF(OR(M1798="equivocal",O1798="equivocal"),"疑似",IF(AND(M1798="positive",O1798="positive"),"a",IF(O1798="positive","b",IF(M1798="positive","c","d")))))</x:f>
        <x:v>d</x:v>
      </x:c>
      <x:c r="Q1798" s="12"/>
      <x:c r="R1798" s="12" t="str">
        <x:v>negative</x:v>
      </x:c>
      <x:c r="S1798" s="12"/>
      <x:c r="T1798" s="12" t="str">
        <x:v>negative</x:v>
      </x:c>
      <x:c r="U1798" s="12" t="str">
        <x:f>IF(OR(R1798="unavailable",T1798="unavailable"),"不可评价",IF(OR(R1798="equivocal",T1798="equivocal"),"疑似",IF(AND(R1798="positive",T1798="positive"),"a",IF(T1798="positive","b",IF(R1798="positive","c","d")))))</x:f>
        <x:v>d</x:v>
      </x:c>
      <x:c r="V1798" s="12"/>
      <x:c r="W1798" s="12" t="str">
        <x:v>negative</x:v>
      </x:c>
      <x:c r="X1798" s="12"/>
      <x:c r="Y1798" s="12" t="str">
        <x:v>negative</x:v>
      </x:c>
      <x:c r="Z1798" s="12" t="str">
        <x:f>IF(OR(W1798="unavailable",Y1798="unavailable"),"不可评价",IF(OR(W1798="equivocal",Y1798="equivocal"),"疑似",IF(AND(W1798="positive",Y1798="positive"),"a",IF(Y1798="positive","b",IF(W1798="positive","c","d")))))</x:f>
        <x:v>d</x:v>
      </x:c>
      <x:c r="AA1798" s="12" t="str">
        <x:f>IF(OR(M1798="unavailable",O1798="unavailable"),"不可评价",IF(AND(OR(M1798="positive",M1798="equivocal"),OR(O1798="positive",O1798="equivocal")),"a",IF(OR(O1798="positive",O1798="equivocal"),"b",IF(OR(M1798="positive",M1798="equivocal"),"c","d"))))</x:f>
        <x:v>d</x:v>
      </x:c>
      <x:c r="AB1798" s="12" t="str">
        <x:f>IF(OR(M1798="unavailable",O1798="unavailable"),"不可评价",IF(AND(M1798="positive",O1798="positive"),"a",IF(O1798="positive","b",IF(M1798="positive","c","d"))))</x:f>
        <x:v>d</x:v>
      </x:c>
      <x:c r="AC1798" s="12" t="str">
        <x:f>IF(OR(R1798="unavailable",T1798="unavailable"),"不可评价",IF(AND(OR(R1798="positive",R1798="equivocal"),OR(T1798="positive",T1798="equivocal")),"a",IF(OR(T1798="positive",T1798="equivocal"),"b",IF(OR(R1798="positive",R1798="equivocal"),"c","d"))))</x:f>
        <x:v>d</x:v>
      </x:c>
      <x:c r="AD1798" s="12" t="str">
        <x:f>IF(OR(R1798="unavailable",T1798="unavailable"),"不可评价",IF(AND(R1798="positive",T1798="positive"),"a",IF(T1798="positive","b",IF(R1798="positive","c","d"))))</x:f>
        <x:v>d</x:v>
      </x:c>
      <x:c r="AE1798" s="12" t="str">
        <x:f>IF(OR(W1798="unavailable",Y1798="unavailable"),"不可评价",IF(AND(OR(W1798="positive",W1798="equivocal"),OR(Y1798="positive",Y1798="equivocal")),"a",IF(OR(Y1798="positive",Y1798="equivocal"),"b",IF(OR(W1798="positive",W1798="equivocal"),"c","d"))))</x:f>
        <x:v>d</x:v>
      </x:c>
      <x:c r="AF1798" s="12" t="str">
        <x:f>IF(OR(W1798="unavailable",Y1798="unavailable"),"不可评价",IF(AND(W1798="positive",Y1798="positive"),"a",IF(Y1798="positive","b",IF(W1798="positive","c","d"))))</x:f>
        <x:v>d</x:v>
      </x:c>
    </x:row>
    <x:row r="1799" ht="24" customHeight="1">
      <x:c r="A1799" s="12" t="str">
        <x:v>17000</x:v>
      </x:c>
      <x:c r="B1799" s="12" t="str">
        <x:v>13997</x:v>
      </x:c>
      <x:c r="C1799" s="21" t="n">
        <x:v>35341.417962962965</x:v>
      </x:c>
      <x:c r="D1799" s="12" t="n">
        <x:v>55</x:v>
      </x:c>
      <x:c r="E1799" s="12" t="n">
        <x:v>0</x:v>
      </x:c>
      <x:c r="F1799" s="12" t="str">
        <x:v>未记录</x:v>
      </x:c>
      <x:c r="G1799" s="12" t="n">
        <x:v>1</x:v>
      </x:c>
      <x:c r="H1799" s="12" t="str">
        <x:v>{'ASMI': 100.0, 'LAFB': 100.0, 'ABQRS': 0.0, 'AFIB': 0.0}</x:v>
      </x:c>
      <x:c r="I1799" s="12" t="str">
        <x:v>[('AFIB', 100.0), ('LAD3', 100.0), ('SMI;AU', 100.0), ('AB', 100.0)]</x:v>
      </x:c>
      <x:c r="J1799" s="12" t="str">
        <x:v>ptbxl_database.csv；ecg_id=17000；scp_codes</x:v>
      </x:c>
      <x:c r="K1799" s="12" t="str">
        <x:v>12sl_statements.csv；ecg_id=17000；statements_ext_snomed</x:v>
      </x:c>
      <x:c r="L1799" s="12" t="n">
        <x:v>0</x:v>
      </x:c>
      <x:c r="M1799" s="12" t="str">
        <x:v>positive</x:v>
      </x:c>
      <x:c r="N1799" s="12" t="n">
        <x:v>100</x:v>
      </x:c>
      <x:c r="O1799" s="12" t="str">
        <x:v>positive</x:v>
      </x:c>
      <x:c r="P1799" s="12" t="str">
        <x:f>IF(OR(M1799="unavailable",O1799="unavailable"),"不可评价",IF(OR(M1799="equivocal",O1799="equivocal"),"疑似",IF(AND(M1799="positive",O1799="positive"),"a",IF(O1799="positive","b",IF(M1799="positive","c","d")))))</x:f>
        <x:v>a</x:v>
      </x:c>
      <x:c r="Q1799" s="12"/>
      <x:c r="R1799" s="12" t="str">
        <x:v>negative</x:v>
      </x:c>
      <x:c r="S1799" s="12"/>
      <x:c r="T1799" s="12" t="str">
        <x:v>negative</x:v>
      </x:c>
      <x:c r="U1799" s="12" t="str">
        <x:f>IF(OR(R1799="unavailable",T1799="unavailable"),"不可评价",IF(OR(R1799="equivocal",T1799="equivocal"),"疑似",IF(AND(R1799="positive",T1799="positive"),"a",IF(T1799="positive","b",IF(R1799="positive","c","d")))))</x:f>
        <x:v>d</x:v>
      </x:c>
      <x:c r="V1799" s="12"/>
      <x:c r="W1799" s="12" t="str">
        <x:v>negative</x:v>
      </x:c>
      <x:c r="X1799" s="12"/>
      <x:c r="Y1799" s="12" t="str">
        <x:v>negative</x:v>
      </x:c>
      <x:c r="Z1799" s="12" t="str">
        <x:f>IF(OR(W1799="unavailable",Y1799="unavailable"),"不可评价",IF(OR(W1799="equivocal",Y1799="equivocal"),"疑似",IF(AND(W1799="positive",Y1799="positive"),"a",IF(Y1799="positive","b",IF(W1799="positive","c","d")))))</x:f>
        <x:v>d</x:v>
      </x:c>
      <x:c r="AA1799" s="12" t="str">
        <x:f>IF(OR(M1799="unavailable",O1799="unavailable"),"不可评价",IF(AND(OR(M1799="positive",M1799="equivocal"),OR(O1799="positive",O1799="equivocal")),"a",IF(OR(O1799="positive",O1799="equivocal"),"b",IF(OR(M1799="positive",M1799="equivocal"),"c","d"))))</x:f>
        <x:v>a</x:v>
      </x:c>
      <x:c r="AB1799" s="12" t="str">
        <x:f>IF(OR(M1799="unavailable",O1799="unavailable"),"不可评价",IF(AND(M1799="positive",O1799="positive"),"a",IF(O1799="positive","b",IF(M1799="positive","c","d"))))</x:f>
        <x:v>a</x:v>
      </x:c>
      <x:c r="AC1799" s="12" t="str">
        <x:f>IF(OR(R1799="unavailable",T1799="unavailable"),"不可评价",IF(AND(OR(R1799="positive",R1799="equivocal"),OR(T1799="positive",T1799="equivocal")),"a",IF(OR(T1799="positive",T1799="equivocal"),"b",IF(OR(R1799="positive",R1799="equivocal"),"c","d"))))</x:f>
        <x:v>d</x:v>
      </x:c>
      <x:c r="AD1799" s="12" t="str">
        <x:f>IF(OR(R1799="unavailable",T1799="unavailable"),"不可评价",IF(AND(R1799="positive",T1799="positive"),"a",IF(T1799="positive","b",IF(R1799="positive","c","d"))))</x:f>
        <x:v>d</x:v>
      </x:c>
      <x:c r="AE1799" s="12" t="str">
        <x:f>IF(OR(W1799="unavailable",Y1799="unavailable"),"不可评价",IF(AND(OR(W1799="positive",W1799="equivocal"),OR(Y1799="positive",Y1799="equivocal")),"a",IF(OR(Y1799="positive",Y1799="equivocal"),"b",IF(OR(W1799="positive",W1799="equivocal"),"c","d"))))</x:f>
        <x:v>d</x:v>
      </x:c>
      <x:c r="AF1799" s="12" t="str">
        <x:f>IF(OR(W1799="unavailable",Y1799="unavailable"),"不可评价",IF(AND(W1799="positive",Y1799="positive"),"a",IF(Y1799="positive","b",IF(W1799="positive","c","d"))))</x:f>
        <x:v>d</x:v>
      </x:c>
    </x:row>
    <x:row r="1800" ht="24" customHeight="1">
      <x:c r="A1800" s="12" t="str">
        <x:v>17007</x:v>
      </x:c>
      <x:c r="B1800" s="12" t="str">
        <x:v>13997</x:v>
      </x:c>
      <x:c r="C1800" s="21" t="n">
        <x:v>35341.59857638889</x:v>
      </x:c>
      <x:c r="D1800" s="12" t="n">
        <x:v>55</x:v>
      </x:c>
      <x:c r="E1800" s="12" t="n">
        <x:v>0</x:v>
      </x:c>
      <x:c r="F1800" s="12" t="str">
        <x:v>存在</x:v>
      </x:c>
      <x:c r="G1800" s="12" t="n">
        <x:v>0</x:v>
      </x:c>
      <x:c r="H1800" s="12" t="str">
        <x:v>{'ASMI': 100.0, 'LAFB': 100.0, 'ABQRS': 0.0, 'AFIB': 0.0}</x:v>
      </x:c>
      <x:c r="I1800" s="12" t="str">
        <x:v>[('AFIB', 100.0), ('LAD3', 100.0), ('SMI;AU', 100.0), ('AB', 100.0)]</x:v>
      </x:c>
      <x:c r="J1800" s="12" t="str">
        <x:v>ptbxl_database.csv；ecg_id=17007；scp_codes</x:v>
      </x:c>
      <x:c r="K1800" s="12" t="str">
        <x:v>12sl_statements.csv；ecg_id=17007；statements_ext_snomed</x:v>
      </x:c>
      <x:c r="L1800" s="12" t="n">
        <x:v>0</x:v>
      </x:c>
      <x:c r="M1800" s="12" t="str">
        <x:v>positive</x:v>
      </x:c>
      <x:c r="N1800" s="12" t="n">
        <x:v>100</x:v>
      </x:c>
      <x:c r="O1800" s="12" t="str">
        <x:v>positive</x:v>
      </x:c>
      <x:c r="P1800" s="12" t="str">
        <x:f>IF(OR(M1800="unavailable",O1800="unavailable"),"不可评价",IF(OR(M1800="equivocal",O1800="equivocal"),"疑似",IF(AND(M1800="positive",O1800="positive"),"a",IF(O1800="positive","b",IF(M1800="positive","c","d")))))</x:f>
        <x:v>a</x:v>
      </x:c>
      <x:c r="Q1800" s="12"/>
      <x:c r="R1800" s="12" t="str">
        <x:v>negative</x:v>
      </x:c>
      <x:c r="S1800" s="12"/>
      <x:c r="T1800" s="12" t="str">
        <x:v>negative</x:v>
      </x:c>
      <x:c r="U1800" s="12" t="str">
        <x:f>IF(OR(R1800="unavailable",T1800="unavailable"),"不可评价",IF(OR(R1800="equivocal",T1800="equivocal"),"疑似",IF(AND(R1800="positive",T1800="positive"),"a",IF(T1800="positive","b",IF(R1800="positive","c","d")))))</x:f>
        <x:v>d</x:v>
      </x:c>
      <x:c r="V1800" s="12"/>
      <x:c r="W1800" s="12" t="str">
        <x:v>negative</x:v>
      </x:c>
      <x:c r="X1800" s="12"/>
      <x:c r="Y1800" s="12" t="str">
        <x:v>negative</x:v>
      </x:c>
      <x:c r="Z1800" s="12" t="str">
        <x:f>IF(OR(W1800="unavailable",Y1800="unavailable"),"不可评价",IF(OR(W1800="equivocal",Y1800="equivocal"),"疑似",IF(AND(W1800="positive",Y1800="positive"),"a",IF(Y1800="positive","b",IF(W1800="positive","c","d")))))</x:f>
        <x:v>d</x:v>
      </x:c>
      <x:c r="AA1800" s="12" t="str">
        <x:f>IF(OR(M1800="unavailable",O1800="unavailable"),"不可评价",IF(AND(OR(M1800="positive",M1800="equivocal"),OR(O1800="positive",O1800="equivocal")),"a",IF(OR(O1800="positive",O1800="equivocal"),"b",IF(OR(M1800="positive",M1800="equivocal"),"c","d"))))</x:f>
        <x:v>a</x:v>
      </x:c>
      <x:c r="AB1800" s="12" t="str">
        <x:f>IF(OR(M1800="unavailable",O1800="unavailable"),"不可评价",IF(AND(M1800="positive",O1800="positive"),"a",IF(O1800="positive","b",IF(M1800="positive","c","d"))))</x:f>
        <x:v>a</x:v>
      </x:c>
      <x:c r="AC1800" s="12" t="str">
        <x:f>IF(OR(R1800="unavailable",T1800="unavailable"),"不可评价",IF(AND(OR(R1800="positive",R1800="equivocal"),OR(T1800="positive",T1800="equivocal")),"a",IF(OR(T1800="positive",T1800="equivocal"),"b",IF(OR(R1800="positive",R1800="equivocal"),"c","d"))))</x:f>
        <x:v>d</x:v>
      </x:c>
      <x:c r="AD1800" s="12" t="str">
        <x:f>IF(OR(R1800="unavailable",T1800="unavailable"),"不可评价",IF(AND(R1800="positive",T1800="positive"),"a",IF(T1800="positive","b",IF(R1800="positive","c","d"))))</x:f>
        <x:v>d</x:v>
      </x:c>
      <x:c r="AE1800" s="12" t="str">
        <x:f>IF(OR(W1800="unavailable",Y1800="unavailable"),"不可评价",IF(AND(OR(W1800="positive",W1800="equivocal"),OR(Y1800="positive",Y1800="equivocal")),"a",IF(OR(Y1800="positive",Y1800="equivocal"),"b",IF(OR(W1800="positive",W1800="equivocal"),"c","d"))))</x:f>
        <x:v>d</x:v>
      </x:c>
      <x:c r="AF1800" s="12" t="str">
        <x:f>IF(OR(W1800="unavailable",Y1800="unavailable"),"不可评价",IF(AND(W1800="positive",Y1800="positive"),"a",IF(Y1800="positive","b",IF(W1800="positive","c","d"))))</x:f>
        <x:v>d</x:v>
      </x:c>
    </x:row>
    <x:row r="1801" ht="24" customHeight="1">
      <x:c r="A1801" s="12" t="str">
        <x:v>17021</x:v>
      </x:c>
      <x:c r="B1801" s="12" t="str">
        <x:v>21723</x:v>
      </x:c>
      <x:c r="C1801" s="21" t="n">
        <x:v>35343.72833333333</x:v>
      </x:c>
      <x:c r="D1801" s="12" t="n">
        <x:v>57</x:v>
      </x:c>
      <x:c r="E1801" s="12" t="n">
        <x:v>1</x:v>
      </x:c>
      <x:c r="F1801" s="12" t="str">
        <x:v>未记录</x:v>
      </x:c>
      <x:c r="G1801" s="12" t="n">
        <x:v>1</x:v>
      </x:c>
      <x:c r="H1801" s="12" t="str">
        <x:v>{'NORM': 50.0, 'PVC': 100.0, 'ABQRS': 0.0, 'SR': 0.0}</x:v>
      </x:c>
      <x:c r="I1801" s="12" t="str">
        <x:v>[('SRTH', 100.0), ('SAR', 100.0), ('PVC', 100.0), ('ABR', 100.0)]</x:v>
      </x:c>
      <x:c r="J1801" s="12" t="str">
        <x:v>ptbxl_database.csv；ecg_id=17021；scp_codes</x:v>
      </x:c>
      <x:c r="K1801" s="12" t="str">
        <x:v>12sl_statements.csv；ecg_id=17021；statements_ext_snomed</x:v>
      </x:c>
      <x:c r="L1801" s="12"/>
      <x:c r="M1801" s="12" t="str">
        <x:v>negative</x:v>
      </x:c>
      <x:c r="N1801" s="12"/>
      <x:c r="O1801" s="12" t="str">
        <x:v>negative</x:v>
      </x:c>
      <x:c r="P1801" s="12" t="str">
        <x:f>IF(OR(M1801="unavailable",O1801="unavailable"),"不可评价",IF(OR(M1801="equivocal",O1801="equivocal"),"疑似",IF(AND(M1801="positive",O1801="positive"),"a",IF(O1801="positive","b",IF(M1801="positive","c","d")))))</x:f>
        <x:v>d</x:v>
      </x:c>
      <x:c r="Q1801" s="12"/>
      <x:c r="R1801" s="12" t="str">
        <x:v>negative</x:v>
      </x:c>
      <x:c r="S1801" s="12"/>
      <x:c r="T1801" s="12" t="str">
        <x:v>negative</x:v>
      </x:c>
      <x:c r="U1801" s="12" t="str">
        <x:f>IF(OR(R1801="unavailable",T1801="unavailable"),"不可评价",IF(OR(R1801="equivocal",T1801="equivocal"),"疑似",IF(AND(R1801="positive",T1801="positive"),"a",IF(T1801="positive","b",IF(R1801="positive","c","d")))))</x:f>
        <x:v>d</x:v>
      </x:c>
      <x:c r="V1801" s="12"/>
      <x:c r="W1801" s="12" t="str">
        <x:v>negative</x:v>
      </x:c>
      <x:c r="X1801" s="12"/>
      <x:c r="Y1801" s="12" t="str">
        <x:v>negative</x:v>
      </x:c>
      <x:c r="Z1801" s="12" t="str">
        <x:f>IF(OR(W1801="unavailable",Y1801="unavailable"),"不可评价",IF(OR(W1801="equivocal",Y1801="equivocal"),"疑似",IF(AND(W1801="positive",Y1801="positive"),"a",IF(Y1801="positive","b",IF(W1801="positive","c","d")))))</x:f>
        <x:v>d</x:v>
      </x:c>
      <x:c r="AA1801" s="12" t="str">
        <x:f>IF(OR(M1801="unavailable",O1801="unavailable"),"不可评价",IF(AND(OR(M1801="positive",M1801="equivocal"),OR(O1801="positive",O1801="equivocal")),"a",IF(OR(O1801="positive",O1801="equivocal"),"b",IF(OR(M1801="positive",M1801="equivocal"),"c","d"))))</x:f>
        <x:v>d</x:v>
      </x:c>
      <x:c r="AB1801" s="12" t="str">
        <x:f>IF(OR(M1801="unavailable",O1801="unavailable"),"不可评价",IF(AND(M1801="positive",O1801="positive"),"a",IF(O1801="positive","b",IF(M1801="positive","c","d"))))</x:f>
        <x:v>d</x:v>
      </x:c>
      <x:c r="AC1801" s="12" t="str">
        <x:f>IF(OR(R1801="unavailable",T1801="unavailable"),"不可评价",IF(AND(OR(R1801="positive",R1801="equivocal"),OR(T1801="positive",T1801="equivocal")),"a",IF(OR(T1801="positive",T1801="equivocal"),"b",IF(OR(R1801="positive",R1801="equivocal"),"c","d"))))</x:f>
        <x:v>d</x:v>
      </x:c>
      <x:c r="AD1801" s="12" t="str">
        <x:f>IF(OR(R1801="unavailable",T1801="unavailable"),"不可评价",IF(AND(R1801="positive",T1801="positive"),"a",IF(T1801="positive","b",IF(R1801="positive","c","d"))))</x:f>
        <x:v>d</x:v>
      </x:c>
      <x:c r="AE1801" s="12" t="str">
        <x:f>IF(OR(W1801="unavailable",Y1801="unavailable"),"不可评价",IF(AND(OR(W1801="positive",W1801="equivocal"),OR(Y1801="positive",Y1801="equivocal")),"a",IF(OR(Y1801="positive",Y1801="equivocal"),"b",IF(OR(W1801="positive",W1801="equivocal"),"c","d"))))</x:f>
        <x:v>d</x:v>
      </x:c>
      <x:c r="AF1801" s="12" t="str">
        <x:f>IF(OR(W1801="unavailable",Y1801="unavailable"),"不可评价",IF(AND(W1801="positive",Y1801="positive"),"a",IF(Y1801="positive","b",IF(W1801="positive","c","d"))))</x:f>
        <x:v>d</x:v>
      </x:c>
    </x:row>
    <x:row r="1802" ht="24" customHeight="1">
      <x:c r="A1802" s="12" t="str">
        <x:v>17083</x:v>
      </x:c>
      <x:c r="B1802" s="12" t="str">
        <x:v>11842</x:v>
      </x:c>
      <x:c r="C1802" s="21" t="n">
        <x:v>35355.62513888889</x:v>
      </x:c>
      <x:c r="D1802" s="12" t="n">
        <x:v>73</x:v>
      </x:c>
      <x:c r="E1802" s="12" t="n">
        <x:v>1</x:v>
      </x:c>
      <x:c r="F1802" s="12" t="str">
        <x:v>未记录</x:v>
      </x:c>
      <x:c r="G1802" s="12" t="n">
        <x:v>1</x:v>
      </x:c>
      <x:c r="H1802" s="12" t="str">
        <x:v>{'IMI': 50.0}</x:v>
      </x:c>
      <x:c r="I1802" s="12" t="str">
        <x:v>[('SBRAD', 100.0), ('LVH2', 100.0), ('2ST', 100.0), ('AB', 100.0)]</x:v>
      </x:c>
      <x:c r="J1802" s="12" t="str">
        <x:v>ptbxl_database.csv；ecg_id=17083；scp_codes</x:v>
      </x:c>
      <x:c r="K1802" s="12" t="str">
        <x:v>12sl_statements.csv；ecg_id=17083；statements_ext_snomed</x:v>
      </x:c>
      <x:c r="L1802" s="12"/>
      <x:c r="M1802" s="12" t="str">
        <x:v>negative</x:v>
      </x:c>
      <x:c r="N1802" s="12"/>
      <x:c r="O1802" s="12" t="str">
        <x:v>negative</x:v>
      </x:c>
      <x:c r="P1802" s="12" t="str">
        <x:f>IF(OR(M1802="unavailable",O1802="unavailable"),"不可评价",IF(OR(M1802="equivocal",O1802="equivocal"),"疑似",IF(AND(M1802="positive",O1802="positive"),"a",IF(O1802="positive","b",IF(M1802="positive","c","d")))))</x:f>
        <x:v>d</x:v>
      </x:c>
      <x:c r="Q1802" s="12"/>
      <x:c r="R1802" s="12" t="str">
        <x:v>negative</x:v>
      </x:c>
      <x:c r="S1802" s="12"/>
      <x:c r="T1802" s="12" t="str">
        <x:v>negative</x:v>
      </x:c>
      <x:c r="U1802" s="12" t="str">
        <x:f>IF(OR(R1802="unavailable",T1802="unavailable"),"不可评价",IF(OR(R1802="equivocal",T1802="equivocal"),"疑似",IF(AND(R1802="positive",T1802="positive"),"a",IF(T1802="positive","b",IF(R1802="positive","c","d")))))</x:f>
        <x:v>d</x:v>
      </x:c>
      <x:c r="V1802" s="12"/>
      <x:c r="W1802" s="12" t="str">
        <x:v>negative</x:v>
      </x:c>
      <x:c r="X1802" s="12"/>
      <x:c r="Y1802" s="12" t="str">
        <x:v>negative</x:v>
      </x:c>
      <x:c r="Z1802" s="12" t="str">
        <x:f>IF(OR(W1802="unavailable",Y1802="unavailable"),"不可评价",IF(OR(W1802="equivocal",Y1802="equivocal"),"疑似",IF(AND(W1802="positive",Y1802="positive"),"a",IF(Y1802="positive","b",IF(W1802="positive","c","d")))))</x:f>
        <x:v>d</x:v>
      </x:c>
      <x:c r="AA1802" s="12" t="str">
        <x:f>IF(OR(M1802="unavailable",O1802="unavailable"),"不可评价",IF(AND(OR(M1802="positive",M1802="equivocal"),OR(O1802="positive",O1802="equivocal")),"a",IF(OR(O1802="positive",O1802="equivocal"),"b",IF(OR(M1802="positive",M1802="equivocal"),"c","d"))))</x:f>
        <x:v>d</x:v>
      </x:c>
      <x:c r="AB1802" s="12" t="str">
        <x:f>IF(OR(M1802="unavailable",O1802="unavailable"),"不可评价",IF(AND(M1802="positive",O1802="positive"),"a",IF(O1802="positive","b",IF(M1802="positive","c","d"))))</x:f>
        <x:v>d</x:v>
      </x:c>
      <x:c r="AC1802" s="12" t="str">
        <x:f>IF(OR(R1802="unavailable",T1802="unavailable"),"不可评价",IF(AND(OR(R1802="positive",R1802="equivocal"),OR(T1802="positive",T1802="equivocal")),"a",IF(OR(T1802="positive",T1802="equivocal"),"b",IF(OR(R1802="positive",R1802="equivocal"),"c","d"))))</x:f>
        <x:v>d</x:v>
      </x:c>
      <x:c r="AD1802" s="12" t="str">
        <x:f>IF(OR(R1802="unavailable",T1802="unavailable"),"不可评价",IF(AND(R1802="positive",T1802="positive"),"a",IF(T1802="positive","b",IF(R1802="positive","c","d"))))</x:f>
        <x:v>d</x:v>
      </x:c>
      <x:c r="AE1802" s="12" t="str">
        <x:f>IF(OR(W1802="unavailable",Y1802="unavailable"),"不可评价",IF(AND(OR(W1802="positive",W1802="equivocal"),OR(Y1802="positive",Y1802="equivocal")),"a",IF(OR(Y1802="positive",Y1802="equivocal"),"b",IF(OR(W1802="positive",W1802="equivocal"),"c","d"))))</x:f>
        <x:v>d</x:v>
      </x:c>
      <x:c r="AF1802" s="12" t="str">
        <x:f>IF(OR(W1802="unavailable",Y1802="unavailable"),"不可评价",IF(AND(W1802="positive",Y1802="positive"),"a",IF(Y1802="positive","b",IF(W1802="positive","c","d"))))</x:f>
        <x:v>d</x:v>
      </x:c>
    </x:row>
    <x:row r="1803" ht="24" customHeight="1">
      <x:c r="A1803" s="12" t="str">
        <x:v>17084</x:v>
      </x:c>
      <x:c r="B1803" s="12" t="str">
        <x:v>21723</x:v>
      </x:c>
      <x:c r="C1803" s="21" t="n">
        <x:v>35355.7234375</x:v>
      </x:c>
      <x:c r="D1803" s="12" t="n">
        <x:v>57</x:v>
      </x:c>
      <x:c r="E1803" s="12" t="n">
        <x:v>1</x:v>
      </x:c>
      <x:c r="F1803" s="12" t="str">
        <x:v>未记录</x:v>
      </x:c>
      <x:c r="G1803" s="12" t="n">
        <x:v>0</x:v>
      </x:c>
      <x:c r="H1803" s="12" t="str">
        <x:v>{'IVCD': 100.0, 'SR': 0.0}</x:v>
      </x:c>
      <x:c r="I1803" s="12" t="str">
        <x:v>[('NSR', 100.0), ('SAR', 100.0), ('NML', 100.0)]</x:v>
      </x:c>
      <x:c r="J1803" s="12" t="str">
        <x:v>ptbxl_database.csv；ecg_id=17084；scp_codes</x:v>
      </x:c>
      <x:c r="K1803" s="12" t="str">
        <x:v>12sl_statements.csv；ecg_id=17084；statements_ext_snomed</x:v>
      </x:c>
      <x:c r="L1803" s="12"/>
      <x:c r="M1803" s="12" t="str">
        <x:v>negative</x:v>
      </x:c>
      <x:c r="N1803" s="12"/>
      <x:c r="O1803" s="12" t="str">
        <x:v>negative</x:v>
      </x:c>
      <x:c r="P1803" s="12" t="str">
        <x:f>IF(OR(M1803="unavailable",O1803="unavailable"),"不可评价",IF(OR(M1803="equivocal",O1803="equivocal"),"疑似",IF(AND(M1803="positive",O1803="positive"),"a",IF(O1803="positive","b",IF(M1803="positive","c","d")))))</x:f>
        <x:v>d</x:v>
      </x:c>
      <x:c r="Q1803" s="12"/>
      <x:c r="R1803" s="12" t="str">
        <x:v>negative</x:v>
      </x:c>
      <x:c r="S1803" s="12"/>
      <x:c r="T1803" s="12" t="str">
        <x:v>negative</x:v>
      </x:c>
      <x:c r="U1803" s="12" t="str">
        <x:f>IF(OR(R1803="unavailable",T1803="unavailable"),"不可评价",IF(OR(R1803="equivocal",T1803="equivocal"),"疑似",IF(AND(R1803="positive",T1803="positive"),"a",IF(T1803="positive","b",IF(R1803="positive","c","d")))))</x:f>
        <x:v>d</x:v>
      </x:c>
      <x:c r="V1803" s="12"/>
      <x:c r="W1803" s="12" t="str">
        <x:v>negative</x:v>
      </x:c>
      <x:c r="X1803" s="12"/>
      <x:c r="Y1803" s="12" t="str">
        <x:v>negative</x:v>
      </x:c>
      <x:c r="Z1803" s="12" t="str">
        <x:f>IF(OR(W1803="unavailable",Y1803="unavailable"),"不可评价",IF(OR(W1803="equivocal",Y1803="equivocal"),"疑似",IF(AND(W1803="positive",Y1803="positive"),"a",IF(Y1803="positive","b",IF(W1803="positive","c","d")))))</x:f>
        <x:v>d</x:v>
      </x:c>
      <x:c r="AA1803" s="12" t="str">
        <x:f>IF(OR(M1803="unavailable",O1803="unavailable"),"不可评价",IF(AND(OR(M1803="positive",M1803="equivocal"),OR(O1803="positive",O1803="equivocal")),"a",IF(OR(O1803="positive",O1803="equivocal"),"b",IF(OR(M1803="positive",M1803="equivocal"),"c","d"))))</x:f>
        <x:v>d</x:v>
      </x:c>
      <x:c r="AB1803" s="12" t="str">
        <x:f>IF(OR(M1803="unavailable",O1803="unavailable"),"不可评价",IF(AND(M1803="positive",O1803="positive"),"a",IF(O1803="positive","b",IF(M1803="positive","c","d"))))</x:f>
        <x:v>d</x:v>
      </x:c>
      <x:c r="AC1803" s="12" t="str">
        <x:f>IF(OR(R1803="unavailable",T1803="unavailable"),"不可评价",IF(AND(OR(R1803="positive",R1803="equivocal"),OR(T1803="positive",T1803="equivocal")),"a",IF(OR(T1803="positive",T1803="equivocal"),"b",IF(OR(R1803="positive",R1803="equivocal"),"c","d"))))</x:f>
        <x:v>d</x:v>
      </x:c>
      <x:c r="AD1803" s="12" t="str">
        <x:f>IF(OR(R1803="unavailable",T1803="unavailable"),"不可评价",IF(AND(R1803="positive",T1803="positive"),"a",IF(T1803="positive","b",IF(R1803="positive","c","d"))))</x:f>
        <x:v>d</x:v>
      </x:c>
      <x:c r="AE1803" s="12" t="str">
        <x:f>IF(OR(W1803="unavailable",Y1803="unavailable"),"不可评价",IF(AND(OR(W1803="positive",W1803="equivocal"),OR(Y1803="positive",Y1803="equivocal")),"a",IF(OR(Y1803="positive",Y1803="equivocal"),"b",IF(OR(W1803="positive",W1803="equivocal"),"c","d"))))</x:f>
        <x:v>d</x:v>
      </x:c>
      <x:c r="AF1803" s="12" t="str">
        <x:f>IF(OR(W1803="unavailable",Y1803="unavailable"),"不可评价",IF(AND(W1803="positive",Y1803="positive"),"a",IF(Y1803="positive","b",IF(W1803="positive","c","d"))))</x:f>
        <x:v>d</x:v>
      </x:c>
    </x:row>
    <x:row r="1804" ht="24" customHeight="1">
      <x:c r="A1804" s="12" t="str">
        <x:v>17091</x:v>
      </x:c>
      <x:c r="B1804" s="12" t="str">
        <x:v>11842</x:v>
      </x:c>
      <x:c r="C1804" s="21" t="n">
        <x:v>35356.978368055556</x:v>
      </x:c>
      <x:c r="D1804" s="12" t="n">
        <x:v>73</x:v>
      </x:c>
      <x:c r="E1804" s="12" t="n">
        <x:v>1</x:v>
      </x:c>
      <x:c r="F1804" s="12" t="str">
        <x:v>未记录</x:v>
      </x:c>
      <x:c r="G1804" s="12" t="n">
        <x:v>0</x:v>
      </x:c>
      <x:c r="H1804" s="12" t="str">
        <x:v>{'IMI': 50.0}</x:v>
      </x:c>
      <x:c r="I1804" s="12" t="str">
        <x:v>[('JUNBRAD', 100.0), ('IMI;AU', 100.0), ('AMI;AU', 15.0), ('AB', 100.0)]</x:v>
      </x:c>
      <x:c r="J1804" s="12" t="str">
        <x:v>ptbxl_database.csv；ecg_id=17091；scp_codes</x:v>
      </x:c>
      <x:c r="K1804" s="12" t="str">
        <x:v>12sl_statements.csv；ecg_id=17091；statements_ext_snomed</x:v>
      </x:c>
      <x:c r="L1804" s="12"/>
      <x:c r="M1804" s="12" t="str">
        <x:v>negative</x:v>
      </x:c>
      <x:c r="N1804" s="12"/>
      <x:c r="O1804" s="12" t="str">
        <x:v>negative</x:v>
      </x:c>
      <x:c r="P1804" s="12" t="str">
        <x:f>IF(OR(M1804="unavailable",O1804="unavailable"),"不可评价",IF(OR(M1804="equivocal",O1804="equivocal"),"疑似",IF(AND(M1804="positive",O1804="positive"),"a",IF(O1804="positive","b",IF(M1804="positive","c","d")))))</x:f>
        <x:v>d</x:v>
      </x:c>
      <x:c r="Q1804" s="12"/>
      <x:c r="R1804" s="12" t="str">
        <x:v>negative</x:v>
      </x:c>
      <x:c r="S1804" s="12"/>
      <x:c r="T1804" s="12" t="str">
        <x:v>negative</x:v>
      </x:c>
      <x:c r="U1804" s="12" t="str">
        <x:f>IF(OR(R1804="unavailable",T1804="unavailable"),"不可评价",IF(OR(R1804="equivocal",T1804="equivocal"),"疑似",IF(AND(R1804="positive",T1804="positive"),"a",IF(T1804="positive","b",IF(R1804="positive","c","d")))))</x:f>
        <x:v>d</x:v>
      </x:c>
      <x:c r="V1804" s="12"/>
      <x:c r="W1804" s="12" t="str">
        <x:v>negative</x:v>
      </x:c>
      <x:c r="X1804" s="12"/>
      <x:c r="Y1804" s="12" t="str">
        <x:v>negative</x:v>
      </x:c>
      <x:c r="Z1804" s="12" t="str">
        <x:f>IF(OR(W1804="unavailable",Y1804="unavailable"),"不可评价",IF(OR(W1804="equivocal",Y1804="equivocal"),"疑似",IF(AND(W1804="positive",Y1804="positive"),"a",IF(Y1804="positive","b",IF(W1804="positive","c","d")))))</x:f>
        <x:v>d</x:v>
      </x:c>
      <x:c r="AA1804" s="12" t="str">
        <x:f>IF(OR(M1804="unavailable",O1804="unavailable"),"不可评价",IF(AND(OR(M1804="positive",M1804="equivocal"),OR(O1804="positive",O1804="equivocal")),"a",IF(OR(O1804="positive",O1804="equivocal"),"b",IF(OR(M1804="positive",M1804="equivocal"),"c","d"))))</x:f>
        <x:v>d</x:v>
      </x:c>
      <x:c r="AB1804" s="12" t="str">
        <x:f>IF(OR(M1804="unavailable",O1804="unavailable"),"不可评价",IF(AND(M1804="positive",O1804="positive"),"a",IF(O1804="positive","b",IF(M1804="positive","c","d"))))</x:f>
        <x:v>d</x:v>
      </x:c>
      <x:c r="AC1804" s="12" t="str">
        <x:f>IF(OR(R1804="unavailable",T1804="unavailable"),"不可评价",IF(AND(OR(R1804="positive",R1804="equivocal"),OR(T1804="positive",T1804="equivocal")),"a",IF(OR(T1804="positive",T1804="equivocal"),"b",IF(OR(R1804="positive",R1804="equivocal"),"c","d"))))</x:f>
        <x:v>d</x:v>
      </x:c>
      <x:c r="AD1804" s="12" t="str">
        <x:f>IF(OR(R1804="unavailable",T1804="unavailable"),"不可评价",IF(AND(R1804="positive",T1804="positive"),"a",IF(T1804="positive","b",IF(R1804="positive","c","d"))))</x:f>
        <x:v>d</x:v>
      </x:c>
      <x:c r="AE1804" s="12" t="str">
        <x:f>IF(OR(W1804="unavailable",Y1804="unavailable"),"不可评价",IF(AND(OR(W1804="positive",W1804="equivocal"),OR(Y1804="positive",Y1804="equivocal")),"a",IF(OR(Y1804="positive",Y1804="equivocal"),"b",IF(OR(W1804="positive",W1804="equivocal"),"c","d"))))</x:f>
        <x:v>d</x:v>
      </x:c>
      <x:c r="AF1804" s="12" t="str">
        <x:f>IF(OR(W1804="unavailable",Y1804="unavailable"),"不可评价",IF(AND(W1804="positive",Y1804="positive"),"a",IF(Y1804="positive","b",IF(W1804="positive","c","d"))))</x:f>
        <x:v>d</x:v>
      </x:c>
    </x:row>
    <x:row r="1805" ht="24" customHeight="1">
      <x:c r="A1805" s="12" t="str">
        <x:v>17140</x:v>
      </x:c>
      <x:c r="B1805" s="12" t="str">
        <x:v>15392</x:v>
      </x:c>
      <x:c r="C1805" s="21" t="n">
        <x:v>35368.23685185185</x:v>
      </x:c>
      <x:c r="D1805" s="12" t="n">
        <x:v>61</x:v>
      </x:c>
      <x:c r="E1805" s="12" t="n">
        <x:v>0</x:v>
      </x:c>
      <x:c r="F1805" s="12" t="str">
        <x:v>未记录</x:v>
      </x:c>
      <x:c r="G1805" s="12" t="n">
        <x:v>1</x:v>
      </x:c>
      <x:c r="H1805" s="12" t="str">
        <x:v>{'NDT': 100.0, 'SR': 0.0}</x:v>
      </x:c>
      <x:c r="I1805" s="12" t="str">
        <x:v>[('NSR', 100.0), ('NT', 100.0), ('AB', 100.0)]</x:v>
      </x:c>
      <x:c r="J1805" s="12" t="str">
        <x:v>ptbxl_database.csv；ecg_id=17140；scp_codes</x:v>
      </x:c>
      <x:c r="K1805" s="12" t="str">
        <x:v>12sl_statements.csv；ecg_id=17140；statements_ext_snomed</x:v>
      </x:c>
      <x:c r="L1805" s="12"/>
      <x:c r="M1805" s="12" t="str">
        <x:v>negative</x:v>
      </x:c>
      <x:c r="N1805" s="12"/>
      <x:c r="O1805" s="12" t="str">
        <x:v>negative</x:v>
      </x:c>
      <x:c r="P1805" s="12" t="str">
        <x:f>IF(OR(M1805="unavailable",O1805="unavailable"),"不可评价",IF(OR(M1805="equivocal",O1805="equivocal"),"疑似",IF(AND(M1805="positive",O1805="positive"),"a",IF(O1805="positive","b",IF(M1805="positive","c","d")))))</x:f>
        <x:v>d</x:v>
      </x:c>
      <x:c r="Q1805" s="12"/>
      <x:c r="R1805" s="12" t="str">
        <x:v>negative</x:v>
      </x:c>
      <x:c r="S1805" s="12"/>
      <x:c r="T1805" s="12" t="str">
        <x:v>negative</x:v>
      </x:c>
      <x:c r="U1805" s="12" t="str">
        <x:f>IF(OR(R1805="unavailable",T1805="unavailable"),"不可评价",IF(OR(R1805="equivocal",T1805="equivocal"),"疑似",IF(AND(R1805="positive",T1805="positive"),"a",IF(T1805="positive","b",IF(R1805="positive","c","d")))))</x:f>
        <x:v>d</x:v>
      </x:c>
      <x:c r="V1805" s="12"/>
      <x:c r="W1805" s="12" t="str">
        <x:v>negative</x:v>
      </x:c>
      <x:c r="X1805" s="12"/>
      <x:c r="Y1805" s="12" t="str">
        <x:v>negative</x:v>
      </x:c>
      <x:c r="Z1805" s="12" t="str">
        <x:f>IF(OR(W1805="unavailable",Y1805="unavailable"),"不可评价",IF(OR(W1805="equivocal",Y1805="equivocal"),"疑似",IF(AND(W1805="positive",Y1805="positive"),"a",IF(Y1805="positive","b",IF(W1805="positive","c","d")))))</x:f>
        <x:v>d</x:v>
      </x:c>
      <x:c r="AA1805" s="12" t="str">
        <x:f>IF(OR(M1805="unavailable",O1805="unavailable"),"不可评价",IF(AND(OR(M1805="positive",M1805="equivocal"),OR(O1805="positive",O1805="equivocal")),"a",IF(OR(O1805="positive",O1805="equivocal"),"b",IF(OR(M1805="positive",M1805="equivocal"),"c","d"))))</x:f>
        <x:v>d</x:v>
      </x:c>
      <x:c r="AB1805" s="12" t="str">
        <x:f>IF(OR(M1805="unavailable",O1805="unavailable"),"不可评价",IF(AND(M1805="positive",O1805="positive"),"a",IF(O1805="positive","b",IF(M1805="positive","c","d"))))</x:f>
        <x:v>d</x:v>
      </x:c>
      <x:c r="AC1805" s="12" t="str">
        <x:f>IF(OR(R1805="unavailable",T1805="unavailable"),"不可评价",IF(AND(OR(R1805="positive",R1805="equivocal"),OR(T1805="positive",T1805="equivocal")),"a",IF(OR(T1805="positive",T1805="equivocal"),"b",IF(OR(R1805="positive",R1805="equivocal"),"c","d"))))</x:f>
        <x:v>d</x:v>
      </x:c>
      <x:c r="AD1805" s="12" t="str">
        <x:f>IF(OR(R1805="unavailable",T1805="unavailable"),"不可评价",IF(AND(R1805="positive",T1805="positive"),"a",IF(T1805="positive","b",IF(R1805="positive","c","d"))))</x:f>
        <x:v>d</x:v>
      </x:c>
      <x:c r="AE1805" s="12" t="str">
        <x:f>IF(OR(W1805="unavailable",Y1805="unavailable"),"不可评价",IF(AND(OR(W1805="positive",W1805="equivocal"),OR(Y1805="positive",Y1805="equivocal")),"a",IF(OR(Y1805="positive",Y1805="equivocal"),"b",IF(OR(W1805="positive",W1805="equivocal"),"c","d"))))</x:f>
        <x:v>d</x:v>
      </x:c>
      <x:c r="AF1805" s="12" t="str">
        <x:f>IF(OR(W1805="unavailable",Y1805="unavailable"),"不可评价",IF(AND(W1805="positive",Y1805="positive"),"a",IF(Y1805="positive","b",IF(W1805="positive","c","d"))))</x:f>
        <x:v>d</x:v>
      </x:c>
    </x:row>
    <x:row r="1806" ht="24" customHeight="1">
      <x:c r="A1806" s="12" t="str">
        <x:v>17169</x:v>
      </x:c>
      <x:c r="B1806" s="12" t="str">
        <x:v>14432</x:v>
      </x:c>
      <x:c r="C1806" s="21" t="n">
        <x:v>35374.35011574074</x:v>
      </x:c>
      <x:c r="D1806" s="12" t="n">
        <x:v>52</x:v>
      </x:c>
      <x:c r="E1806" s="12" t="n">
        <x:v>0</x:v>
      </x:c>
      <x:c r="F1806" s="12" t="str">
        <x:v>未记录</x:v>
      </x:c>
      <x:c r="G1806" s="12" t="n">
        <x:v>1</x:v>
      </x:c>
      <x:c r="H1806" s="12" t="str">
        <x:v>{'NORM': 100.0, 'IVCD': 100.0, 'SR': 0.0}</x:v>
      </x:c>
      <x:c r="I1806" s="12" t="str">
        <x:v>[('SBRAD', 100.0), ('ABR', 100.0)]</x:v>
      </x:c>
      <x:c r="J1806" s="12" t="str">
        <x:v>ptbxl_database.csv；ecg_id=17169；scp_codes</x:v>
      </x:c>
      <x:c r="K1806" s="12" t="str">
        <x:v>12sl_statements.csv；ecg_id=17169；statements_ext_snomed</x:v>
      </x:c>
      <x:c r="L1806" s="12"/>
      <x:c r="M1806" s="12" t="str">
        <x:v>negative</x:v>
      </x:c>
      <x:c r="N1806" s="12"/>
      <x:c r="O1806" s="12" t="str">
        <x:v>negative</x:v>
      </x:c>
      <x:c r="P1806" s="12" t="str">
        <x:f>IF(OR(M1806="unavailable",O1806="unavailable"),"不可评价",IF(OR(M1806="equivocal",O1806="equivocal"),"疑似",IF(AND(M1806="positive",O1806="positive"),"a",IF(O1806="positive","b",IF(M1806="positive","c","d")))))</x:f>
        <x:v>d</x:v>
      </x:c>
      <x:c r="Q1806" s="12"/>
      <x:c r="R1806" s="12" t="str">
        <x:v>negative</x:v>
      </x:c>
      <x:c r="S1806" s="12"/>
      <x:c r="T1806" s="12" t="str">
        <x:v>negative</x:v>
      </x:c>
      <x:c r="U1806" s="12" t="str">
        <x:f>IF(OR(R1806="unavailable",T1806="unavailable"),"不可评价",IF(OR(R1806="equivocal",T1806="equivocal"),"疑似",IF(AND(R1806="positive",T1806="positive"),"a",IF(T1806="positive","b",IF(R1806="positive","c","d")))))</x:f>
        <x:v>d</x:v>
      </x:c>
      <x:c r="V1806" s="12"/>
      <x:c r="W1806" s="12" t="str">
        <x:v>negative</x:v>
      </x:c>
      <x:c r="X1806" s="12"/>
      <x:c r="Y1806" s="12" t="str">
        <x:v>negative</x:v>
      </x:c>
      <x:c r="Z1806" s="12" t="str">
        <x:f>IF(OR(W1806="unavailable",Y1806="unavailable"),"不可评价",IF(OR(W1806="equivocal",Y1806="equivocal"),"疑似",IF(AND(W1806="positive",Y1806="positive"),"a",IF(Y1806="positive","b",IF(W1806="positive","c","d")))))</x:f>
        <x:v>d</x:v>
      </x:c>
      <x:c r="AA1806" s="12" t="str">
        <x:f>IF(OR(M1806="unavailable",O1806="unavailable"),"不可评价",IF(AND(OR(M1806="positive",M1806="equivocal"),OR(O1806="positive",O1806="equivocal")),"a",IF(OR(O1806="positive",O1806="equivocal"),"b",IF(OR(M1806="positive",M1806="equivocal"),"c","d"))))</x:f>
        <x:v>d</x:v>
      </x:c>
      <x:c r="AB1806" s="12" t="str">
        <x:f>IF(OR(M1806="unavailable",O1806="unavailable"),"不可评价",IF(AND(M1806="positive",O1806="positive"),"a",IF(O1806="positive","b",IF(M1806="positive","c","d"))))</x:f>
        <x:v>d</x:v>
      </x:c>
      <x:c r="AC1806" s="12" t="str">
        <x:f>IF(OR(R1806="unavailable",T1806="unavailable"),"不可评价",IF(AND(OR(R1806="positive",R1806="equivocal"),OR(T1806="positive",T1806="equivocal")),"a",IF(OR(T1806="positive",T1806="equivocal"),"b",IF(OR(R1806="positive",R1806="equivocal"),"c","d"))))</x:f>
        <x:v>d</x:v>
      </x:c>
      <x:c r="AD1806" s="12" t="str">
        <x:f>IF(OR(R1806="unavailable",T1806="unavailable"),"不可评价",IF(AND(R1806="positive",T1806="positive"),"a",IF(T1806="positive","b",IF(R1806="positive","c","d"))))</x:f>
        <x:v>d</x:v>
      </x:c>
      <x:c r="AE1806" s="12" t="str">
        <x:f>IF(OR(W1806="unavailable",Y1806="unavailable"),"不可评价",IF(AND(OR(W1806="positive",W1806="equivocal"),OR(Y1806="positive",Y1806="equivocal")),"a",IF(OR(Y1806="positive",Y1806="equivocal"),"b",IF(OR(W1806="positive",W1806="equivocal"),"c","d"))))</x:f>
        <x:v>d</x:v>
      </x:c>
      <x:c r="AF1806" s="12" t="str">
        <x:f>IF(OR(W1806="unavailable",Y1806="unavailable"),"不可评价",IF(AND(W1806="positive",Y1806="positive"),"a",IF(Y1806="positive","b",IF(W1806="positive","c","d"))))</x:f>
        <x:v>d</x:v>
      </x:c>
    </x:row>
    <x:row r="1807" ht="24" customHeight="1">
      <x:c r="A1807" s="12" t="str">
        <x:v>17176</x:v>
      </x:c>
      <x:c r="B1807" s="12" t="str">
        <x:v>17697</x:v>
      </x:c>
      <x:c r="C1807" s="21" t="n">
        <x:v>35375.436006944445</x:v>
      </x:c>
      <x:c r="D1807" s="12" t="n">
        <x:v>54</x:v>
      </x:c>
      <x:c r="E1807" s="12" t="n">
        <x:v>0</x:v>
      </x:c>
      <x:c r="F1807" s="12" t="str">
        <x:v>未记录</x:v>
      </x:c>
      <x:c r="G1807" s="12" t="n">
        <x:v>1</x:v>
      </x:c>
      <x:c r="H1807" s="12" t="str">
        <x:v>{'NORM': 50.0, 'SR': 0.0}</x:v>
      </x:c>
      <x:c r="I1807" s="12" t="str">
        <x:v>[('NSR', 100.0), ('NML', 100.0)]</x:v>
      </x:c>
      <x:c r="J1807" s="12" t="str">
        <x:v>ptbxl_database.csv；ecg_id=17176；scp_codes</x:v>
      </x:c>
      <x:c r="K1807" s="12" t="str">
        <x:v>12sl_statements.csv；ecg_id=17176；statements_ext_snomed</x:v>
      </x:c>
      <x:c r="L1807" s="12"/>
      <x:c r="M1807" s="12" t="str">
        <x:v>negative</x:v>
      </x:c>
      <x:c r="N1807" s="12"/>
      <x:c r="O1807" s="12" t="str">
        <x:v>negative</x:v>
      </x:c>
      <x:c r="P1807" s="12" t="str">
        <x:f>IF(OR(M1807="unavailable",O1807="unavailable"),"不可评价",IF(OR(M1807="equivocal",O1807="equivocal"),"疑似",IF(AND(M1807="positive",O1807="positive"),"a",IF(O1807="positive","b",IF(M1807="positive","c","d")))))</x:f>
        <x:v>d</x:v>
      </x:c>
      <x:c r="Q1807" s="12"/>
      <x:c r="R1807" s="12" t="str">
        <x:v>negative</x:v>
      </x:c>
      <x:c r="S1807" s="12"/>
      <x:c r="T1807" s="12" t="str">
        <x:v>negative</x:v>
      </x:c>
      <x:c r="U1807" s="12" t="str">
        <x:f>IF(OR(R1807="unavailable",T1807="unavailable"),"不可评价",IF(OR(R1807="equivocal",T1807="equivocal"),"疑似",IF(AND(R1807="positive",T1807="positive"),"a",IF(T1807="positive","b",IF(R1807="positive","c","d")))))</x:f>
        <x:v>d</x:v>
      </x:c>
      <x:c r="V1807" s="12"/>
      <x:c r="W1807" s="12" t="str">
        <x:v>negative</x:v>
      </x:c>
      <x:c r="X1807" s="12"/>
      <x:c r="Y1807" s="12" t="str">
        <x:v>negative</x:v>
      </x:c>
      <x:c r="Z1807" s="12" t="str">
        <x:f>IF(OR(W1807="unavailable",Y1807="unavailable"),"不可评价",IF(OR(W1807="equivocal",Y1807="equivocal"),"疑似",IF(AND(W1807="positive",Y1807="positive"),"a",IF(Y1807="positive","b",IF(W1807="positive","c","d")))))</x:f>
        <x:v>d</x:v>
      </x:c>
      <x:c r="AA1807" s="12" t="str">
        <x:f>IF(OR(M1807="unavailable",O1807="unavailable"),"不可评价",IF(AND(OR(M1807="positive",M1807="equivocal"),OR(O1807="positive",O1807="equivocal")),"a",IF(OR(O1807="positive",O1807="equivocal"),"b",IF(OR(M1807="positive",M1807="equivocal"),"c","d"))))</x:f>
        <x:v>d</x:v>
      </x:c>
      <x:c r="AB1807" s="12" t="str">
        <x:f>IF(OR(M1807="unavailable",O1807="unavailable"),"不可评价",IF(AND(M1807="positive",O1807="positive"),"a",IF(O1807="positive","b",IF(M1807="positive","c","d"))))</x:f>
        <x:v>d</x:v>
      </x:c>
      <x:c r="AC1807" s="12" t="str">
        <x:f>IF(OR(R1807="unavailable",T1807="unavailable"),"不可评价",IF(AND(OR(R1807="positive",R1807="equivocal"),OR(T1807="positive",T1807="equivocal")),"a",IF(OR(T1807="positive",T1807="equivocal"),"b",IF(OR(R1807="positive",R1807="equivocal"),"c","d"))))</x:f>
        <x:v>d</x:v>
      </x:c>
      <x:c r="AD1807" s="12" t="str">
        <x:f>IF(OR(R1807="unavailable",T1807="unavailable"),"不可评价",IF(AND(R1807="positive",T1807="positive"),"a",IF(T1807="positive","b",IF(R1807="positive","c","d"))))</x:f>
        <x:v>d</x:v>
      </x:c>
      <x:c r="AE1807" s="12" t="str">
        <x:f>IF(OR(W1807="unavailable",Y1807="unavailable"),"不可评价",IF(AND(OR(W1807="positive",W1807="equivocal"),OR(Y1807="positive",Y1807="equivocal")),"a",IF(OR(Y1807="positive",Y1807="equivocal"),"b",IF(OR(W1807="positive",W1807="equivocal"),"c","d"))))</x:f>
        <x:v>d</x:v>
      </x:c>
      <x:c r="AF1807" s="12" t="str">
        <x:f>IF(OR(W1807="unavailable",Y1807="unavailable"),"不可评价",IF(AND(W1807="positive",Y1807="positive"),"a",IF(Y1807="positive","b",IF(W1807="positive","c","d"))))</x:f>
        <x:v>d</x:v>
      </x:c>
    </x:row>
    <x:row r="1808" ht="24" customHeight="1">
      <x:c r="A1808" s="12" t="str">
        <x:v>17192</x:v>
      </x:c>
      <x:c r="B1808" s="12" t="str">
        <x:v>9381</x:v>
      </x:c>
      <x:c r="C1808" s="21" t="n">
        <x:v>35377.46130787037</x:v>
      </x:c>
      <x:c r="D1808" s="12" t="n">
        <x:v>37</x:v>
      </x:c>
      <x:c r="E1808" s="12" t="n">
        <x:v>0</x:v>
      </x:c>
      <x:c r="F1808" s="12" t="str">
        <x:v>未记录</x:v>
      </x:c>
      <x:c r="G1808" s="12" t="n">
        <x:v>0</x:v>
      </x:c>
      <x:c r="H1808" s="12" t="str">
        <x:v>{'NORM': 50.0, 'LAFB': 100.0, 'STACH': 0.0}</x:v>
      </x:c>
      <x:c r="I1808" s="12" t="str">
        <x:v>[('STACH', 100.0), ('LAD3', 100.0), ('IMI;AU', 50.0), ('AB', 100.0)]</x:v>
      </x:c>
      <x:c r="J1808" s="12" t="str">
        <x:v>ptbxl_database.csv；ecg_id=17192；scp_codes</x:v>
      </x:c>
      <x:c r="K1808" s="12" t="str">
        <x:v>12sl_statements.csv；ecg_id=17192；statements_ext_snomed</x:v>
      </x:c>
      <x:c r="L1808" s="12"/>
      <x:c r="M1808" s="12" t="str">
        <x:v>negative</x:v>
      </x:c>
      <x:c r="N1808" s="12"/>
      <x:c r="O1808" s="12" t="str">
        <x:v>negative</x:v>
      </x:c>
      <x:c r="P1808" s="12" t="str">
        <x:f>IF(OR(M1808="unavailable",O1808="unavailable"),"不可评价",IF(OR(M1808="equivocal",O1808="equivocal"),"疑似",IF(AND(M1808="positive",O1808="positive"),"a",IF(O1808="positive","b",IF(M1808="positive","c","d")))))</x:f>
        <x:v>d</x:v>
      </x:c>
      <x:c r="Q1808" s="12"/>
      <x:c r="R1808" s="12" t="str">
        <x:v>negative</x:v>
      </x:c>
      <x:c r="S1808" s="12"/>
      <x:c r="T1808" s="12" t="str">
        <x:v>negative</x:v>
      </x:c>
      <x:c r="U1808" s="12" t="str">
        <x:f>IF(OR(R1808="unavailable",T1808="unavailable"),"不可评价",IF(OR(R1808="equivocal",T1808="equivocal"),"疑似",IF(AND(R1808="positive",T1808="positive"),"a",IF(T1808="positive","b",IF(R1808="positive","c","d")))))</x:f>
        <x:v>d</x:v>
      </x:c>
      <x:c r="V1808" s="12"/>
      <x:c r="W1808" s="12" t="str">
        <x:v>negative</x:v>
      </x:c>
      <x:c r="X1808" s="12"/>
      <x:c r="Y1808" s="12" t="str">
        <x:v>negative</x:v>
      </x:c>
      <x:c r="Z1808" s="12" t="str">
        <x:f>IF(OR(W1808="unavailable",Y1808="unavailable"),"不可评价",IF(OR(W1808="equivocal",Y1808="equivocal"),"疑似",IF(AND(W1808="positive",Y1808="positive"),"a",IF(Y1808="positive","b",IF(W1808="positive","c","d")))))</x:f>
        <x:v>d</x:v>
      </x:c>
      <x:c r="AA1808" s="12" t="str">
        <x:f>IF(OR(M1808="unavailable",O1808="unavailable"),"不可评价",IF(AND(OR(M1808="positive",M1808="equivocal"),OR(O1808="positive",O1808="equivocal")),"a",IF(OR(O1808="positive",O1808="equivocal"),"b",IF(OR(M1808="positive",M1808="equivocal"),"c","d"))))</x:f>
        <x:v>d</x:v>
      </x:c>
      <x:c r="AB1808" s="12" t="str">
        <x:f>IF(OR(M1808="unavailable",O1808="unavailable"),"不可评价",IF(AND(M1808="positive",O1808="positive"),"a",IF(O1808="positive","b",IF(M1808="positive","c","d"))))</x:f>
        <x:v>d</x:v>
      </x:c>
      <x:c r="AC1808" s="12" t="str">
        <x:f>IF(OR(R1808="unavailable",T1808="unavailable"),"不可评价",IF(AND(OR(R1808="positive",R1808="equivocal"),OR(T1808="positive",T1808="equivocal")),"a",IF(OR(T1808="positive",T1808="equivocal"),"b",IF(OR(R1808="positive",R1808="equivocal"),"c","d"))))</x:f>
        <x:v>d</x:v>
      </x:c>
      <x:c r="AD1808" s="12" t="str">
        <x:f>IF(OR(R1808="unavailable",T1808="unavailable"),"不可评价",IF(AND(R1808="positive",T1808="positive"),"a",IF(T1808="positive","b",IF(R1808="positive","c","d"))))</x:f>
        <x:v>d</x:v>
      </x:c>
      <x:c r="AE1808" s="12" t="str">
        <x:f>IF(OR(W1808="unavailable",Y1808="unavailable"),"不可评价",IF(AND(OR(W1808="positive",W1808="equivocal"),OR(Y1808="positive",Y1808="equivocal")),"a",IF(OR(Y1808="positive",Y1808="equivocal"),"b",IF(OR(W1808="positive",W1808="equivocal"),"c","d"))))</x:f>
        <x:v>d</x:v>
      </x:c>
      <x:c r="AF1808" s="12" t="str">
        <x:f>IF(OR(W1808="unavailable",Y1808="unavailable"),"不可评价",IF(AND(W1808="positive",Y1808="positive"),"a",IF(Y1808="positive","b",IF(W1808="positive","c","d"))))</x:f>
        <x:v>d</x:v>
      </x:c>
    </x:row>
    <x:row r="1809" ht="24" customHeight="1">
      <x:c r="A1809" s="12" t="str">
        <x:v>17193</x:v>
      </x:c>
      <x:c r="B1809" s="12" t="str">
        <x:v>16365</x:v>
      </x:c>
      <x:c r="C1809" s="21" t="n">
        <x:v>35377.49203703704</x:v>
      </x:c>
      <x:c r="D1809" s="12" t="n">
        <x:v>57</x:v>
      </x:c>
      <x:c r="E1809" s="12" t="n">
        <x:v>0</x:v>
      </x:c>
      <x:c r="F1809" s="12" t="str">
        <x:v>存在</x:v>
      </x:c>
      <x:c r="G1809" s="12" t="n">
        <x:v>1</x:v>
      </x:c>
      <x:c r="H1809" s="12" t="str">
        <x:v>{'NORM': 80.0, 'SR': 0.0}</x:v>
      </x:c>
      <x:c r="I1809" s="12" t="str">
        <x:v>[('NSR', 100.0), ('RAD', 100.0), ('BORDE', 100.0)]</x:v>
      </x:c>
      <x:c r="J1809" s="12" t="str">
        <x:v>ptbxl_database.csv；ecg_id=17193；scp_codes</x:v>
      </x:c>
      <x:c r="K1809" s="12" t="str">
        <x:v>12sl_statements.csv；ecg_id=17193；statements_ext_snomed</x:v>
      </x:c>
      <x:c r="L1809" s="12"/>
      <x:c r="M1809" s="12" t="str">
        <x:v>negative</x:v>
      </x:c>
      <x:c r="N1809" s="12"/>
      <x:c r="O1809" s="12" t="str">
        <x:v>negative</x:v>
      </x:c>
      <x:c r="P1809" s="12" t="str">
        <x:f>IF(OR(M1809="unavailable",O1809="unavailable"),"不可评价",IF(OR(M1809="equivocal",O1809="equivocal"),"疑似",IF(AND(M1809="positive",O1809="positive"),"a",IF(O1809="positive","b",IF(M1809="positive","c","d")))))</x:f>
        <x:v>d</x:v>
      </x:c>
      <x:c r="Q1809" s="12"/>
      <x:c r="R1809" s="12" t="str">
        <x:v>negative</x:v>
      </x:c>
      <x:c r="S1809" s="12"/>
      <x:c r="T1809" s="12" t="str">
        <x:v>negative</x:v>
      </x:c>
      <x:c r="U1809" s="12" t="str">
        <x:f>IF(OR(R1809="unavailable",T1809="unavailable"),"不可评价",IF(OR(R1809="equivocal",T1809="equivocal"),"疑似",IF(AND(R1809="positive",T1809="positive"),"a",IF(T1809="positive","b",IF(R1809="positive","c","d")))))</x:f>
        <x:v>d</x:v>
      </x:c>
      <x:c r="V1809" s="12"/>
      <x:c r="W1809" s="12" t="str">
        <x:v>negative</x:v>
      </x:c>
      <x:c r="X1809" s="12"/>
      <x:c r="Y1809" s="12" t="str">
        <x:v>negative</x:v>
      </x:c>
      <x:c r="Z1809" s="12" t="str">
        <x:f>IF(OR(W1809="unavailable",Y1809="unavailable"),"不可评价",IF(OR(W1809="equivocal",Y1809="equivocal"),"疑似",IF(AND(W1809="positive",Y1809="positive"),"a",IF(Y1809="positive","b",IF(W1809="positive","c","d")))))</x:f>
        <x:v>d</x:v>
      </x:c>
      <x:c r="AA1809" s="12" t="str">
        <x:f>IF(OR(M1809="unavailable",O1809="unavailable"),"不可评价",IF(AND(OR(M1809="positive",M1809="equivocal"),OR(O1809="positive",O1809="equivocal")),"a",IF(OR(O1809="positive",O1809="equivocal"),"b",IF(OR(M1809="positive",M1809="equivocal"),"c","d"))))</x:f>
        <x:v>d</x:v>
      </x:c>
      <x:c r="AB1809" s="12" t="str">
        <x:f>IF(OR(M1809="unavailable",O1809="unavailable"),"不可评价",IF(AND(M1809="positive",O1809="positive"),"a",IF(O1809="positive","b",IF(M1809="positive","c","d"))))</x:f>
        <x:v>d</x:v>
      </x:c>
      <x:c r="AC1809" s="12" t="str">
        <x:f>IF(OR(R1809="unavailable",T1809="unavailable"),"不可评价",IF(AND(OR(R1809="positive",R1809="equivocal"),OR(T1809="positive",T1809="equivocal")),"a",IF(OR(T1809="positive",T1809="equivocal"),"b",IF(OR(R1809="positive",R1809="equivocal"),"c","d"))))</x:f>
        <x:v>d</x:v>
      </x:c>
      <x:c r="AD1809" s="12" t="str">
        <x:f>IF(OR(R1809="unavailable",T1809="unavailable"),"不可评价",IF(AND(R1809="positive",T1809="positive"),"a",IF(T1809="positive","b",IF(R1809="positive","c","d"))))</x:f>
        <x:v>d</x:v>
      </x:c>
      <x:c r="AE1809" s="12" t="str">
        <x:f>IF(OR(W1809="unavailable",Y1809="unavailable"),"不可评价",IF(AND(OR(W1809="positive",W1809="equivocal"),OR(Y1809="positive",Y1809="equivocal")),"a",IF(OR(Y1809="positive",Y1809="equivocal"),"b",IF(OR(W1809="positive",W1809="equivocal"),"c","d"))))</x:f>
        <x:v>d</x:v>
      </x:c>
      <x:c r="AF1809" s="12" t="str">
        <x:f>IF(OR(W1809="unavailable",Y1809="unavailable"),"不可评价",IF(AND(W1809="positive",Y1809="positive"),"a",IF(Y1809="positive","b",IF(W1809="positive","c","d"))))</x:f>
        <x:v>d</x:v>
      </x:c>
    </x:row>
    <x:row r="1810" ht="24" customHeight="1">
      <x:c r="A1810" s="12" t="str">
        <x:v>17202</x:v>
      </x:c>
      <x:c r="B1810" s="12" t="str">
        <x:v>17083</x:v>
      </x:c>
      <x:c r="C1810" s="21" t="n">
        <x:v>35378.372766203705</x:v>
      </x:c>
      <x:c r="D1810" s="12" t="n">
        <x:v>52</x:v>
      </x:c>
      <x:c r="E1810" s="12" t="n">
        <x:v>1</x:v>
      </x:c>
      <x:c r="F1810" s="12" t="str">
        <x:v>未记录</x:v>
      </x:c>
      <x:c r="G1810" s="12" t="n">
        <x:v>1</x:v>
      </x:c>
      <x:c r="H1810" s="12" t="str">
        <x:v>{'IRBBB': 100.0, 'PVC': 100.0, 'SR': 0.0}</x:v>
      </x:c>
      <x:c r="I1810" s="12" t="str">
        <x:v>[('SBRAD', 100.0), ('PVC', 100.0), ('ABR', 100.0)]</x:v>
      </x:c>
      <x:c r="J1810" s="12" t="str">
        <x:v>ptbxl_database.csv；ecg_id=17202；scp_codes</x:v>
      </x:c>
      <x:c r="K1810" s="12" t="str">
        <x:v>12sl_statements.csv；ecg_id=17202；statements_ext_snomed</x:v>
      </x:c>
      <x:c r="L1810" s="12"/>
      <x:c r="M1810" s="12" t="str">
        <x:v>negative</x:v>
      </x:c>
      <x:c r="N1810" s="12"/>
      <x:c r="O1810" s="12" t="str">
        <x:v>negative</x:v>
      </x:c>
      <x:c r="P1810" s="12" t="str">
        <x:f>IF(OR(M1810="unavailable",O1810="unavailable"),"不可评价",IF(OR(M1810="equivocal",O1810="equivocal"),"疑似",IF(AND(M1810="positive",O1810="positive"),"a",IF(O1810="positive","b",IF(M1810="positive","c","d")))))</x:f>
        <x:v>d</x:v>
      </x:c>
      <x:c r="Q1810" s="12"/>
      <x:c r="R1810" s="12" t="str">
        <x:v>negative</x:v>
      </x:c>
      <x:c r="S1810" s="12"/>
      <x:c r="T1810" s="12" t="str">
        <x:v>negative</x:v>
      </x:c>
      <x:c r="U1810" s="12" t="str">
        <x:f>IF(OR(R1810="unavailable",T1810="unavailable"),"不可评价",IF(OR(R1810="equivocal",T1810="equivocal"),"疑似",IF(AND(R1810="positive",T1810="positive"),"a",IF(T1810="positive","b",IF(R1810="positive","c","d")))))</x:f>
        <x:v>d</x:v>
      </x:c>
      <x:c r="V1810" s="12"/>
      <x:c r="W1810" s="12" t="str">
        <x:v>negative</x:v>
      </x:c>
      <x:c r="X1810" s="12"/>
      <x:c r="Y1810" s="12" t="str">
        <x:v>negative</x:v>
      </x:c>
      <x:c r="Z1810" s="12" t="str">
        <x:f>IF(OR(W1810="unavailable",Y1810="unavailable"),"不可评价",IF(OR(W1810="equivocal",Y1810="equivocal"),"疑似",IF(AND(W1810="positive",Y1810="positive"),"a",IF(Y1810="positive","b",IF(W1810="positive","c","d")))))</x:f>
        <x:v>d</x:v>
      </x:c>
      <x:c r="AA1810" s="12" t="str">
        <x:f>IF(OR(M1810="unavailable",O1810="unavailable"),"不可评价",IF(AND(OR(M1810="positive",M1810="equivocal"),OR(O1810="positive",O1810="equivocal")),"a",IF(OR(O1810="positive",O1810="equivocal"),"b",IF(OR(M1810="positive",M1810="equivocal"),"c","d"))))</x:f>
        <x:v>d</x:v>
      </x:c>
      <x:c r="AB1810" s="12" t="str">
        <x:f>IF(OR(M1810="unavailable",O1810="unavailable"),"不可评价",IF(AND(M1810="positive",O1810="positive"),"a",IF(O1810="positive","b",IF(M1810="positive","c","d"))))</x:f>
        <x:v>d</x:v>
      </x:c>
      <x:c r="AC1810" s="12" t="str">
        <x:f>IF(OR(R1810="unavailable",T1810="unavailable"),"不可评价",IF(AND(OR(R1810="positive",R1810="equivocal"),OR(T1810="positive",T1810="equivocal")),"a",IF(OR(T1810="positive",T1810="equivocal"),"b",IF(OR(R1810="positive",R1810="equivocal"),"c","d"))))</x:f>
        <x:v>d</x:v>
      </x:c>
      <x:c r="AD1810" s="12" t="str">
        <x:f>IF(OR(R1810="unavailable",T1810="unavailable"),"不可评价",IF(AND(R1810="positive",T1810="positive"),"a",IF(T1810="positive","b",IF(R1810="positive","c","d"))))</x:f>
        <x:v>d</x:v>
      </x:c>
      <x:c r="AE1810" s="12" t="str">
        <x:f>IF(OR(W1810="unavailable",Y1810="unavailable"),"不可评价",IF(AND(OR(W1810="positive",W1810="equivocal"),OR(Y1810="positive",Y1810="equivocal")),"a",IF(OR(Y1810="positive",Y1810="equivocal"),"b",IF(OR(W1810="positive",W1810="equivocal"),"c","d"))))</x:f>
        <x:v>d</x:v>
      </x:c>
      <x:c r="AF1810" s="12" t="str">
        <x:f>IF(OR(W1810="unavailable",Y1810="unavailable"),"不可评价",IF(AND(W1810="positive",Y1810="positive"),"a",IF(Y1810="positive","b",IF(W1810="positive","c","d"))))</x:f>
        <x:v>d</x:v>
      </x:c>
    </x:row>
    <x:row r="1811" ht="24" customHeight="1">
      <x:c r="A1811" s="12" t="str">
        <x:v>17214</x:v>
      </x:c>
      <x:c r="B1811" s="12" t="str">
        <x:v>11570</x:v>
      </x:c>
      <x:c r="C1811" s="21" t="n">
        <x:v>35381.93680555555</x:v>
      </x:c>
      <x:c r="D1811" s="12" t="n">
        <x:v>48</x:v>
      </x:c>
      <x:c r="E1811" s="12" t="n">
        <x:v>1</x:v>
      </x:c>
      <x:c r="F1811" s="12" t="str">
        <x:v>未记录</x:v>
      </x:c>
      <x:c r="G1811" s="12" t="n">
        <x:v>1</x:v>
      </x:c>
      <x:c r="H1811" s="12" t="str">
        <x:v>{'NORM': 50.0, 'SVARR': 0.0}</x:v>
      </x:c>
      <x:c r="I1811" s="12" t="str">
        <x:v>[('ACCEL', 100.0), ('JUNCT-R', 100.0), ('AB', 100.0)]</x:v>
      </x:c>
      <x:c r="J1811" s="12" t="str">
        <x:v>ptbxl_database.csv；ecg_id=17214；scp_codes</x:v>
      </x:c>
      <x:c r="K1811" s="12" t="str">
        <x:v>12sl_statements.csv；ecg_id=17214；statements_ext_snomed</x:v>
      </x:c>
      <x:c r="L1811" s="12"/>
      <x:c r="M1811" s="12" t="str">
        <x:v>negative</x:v>
      </x:c>
      <x:c r="N1811" s="12"/>
      <x:c r="O1811" s="12" t="str">
        <x:v>negative</x:v>
      </x:c>
      <x:c r="P1811" s="12" t="str">
        <x:f>IF(OR(M1811="unavailable",O1811="unavailable"),"不可评价",IF(OR(M1811="equivocal",O1811="equivocal"),"疑似",IF(AND(M1811="positive",O1811="positive"),"a",IF(O1811="positive","b",IF(M1811="positive","c","d")))))</x:f>
        <x:v>d</x:v>
      </x:c>
      <x:c r="Q1811" s="12"/>
      <x:c r="R1811" s="12" t="str">
        <x:v>negative</x:v>
      </x:c>
      <x:c r="S1811" s="12"/>
      <x:c r="T1811" s="12" t="str">
        <x:v>negative</x:v>
      </x:c>
      <x:c r="U1811" s="12" t="str">
        <x:f>IF(OR(R1811="unavailable",T1811="unavailable"),"不可评价",IF(OR(R1811="equivocal",T1811="equivocal"),"疑似",IF(AND(R1811="positive",T1811="positive"),"a",IF(T1811="positive","b",IF(R1811="positive","c","d")))))</x:f>
        <x:v>d</x:v>
      </x:c>
      <x:c r="V1811" s="12"/>
      <x:c r="W1811" s="12" t="str">
        <x:v>negative</x:v>
      </x:c>
      <x:c r="X1811" s="12"/>
      <x:c r="Y1811" s="12" t="str">
        <x:v>negative</x:v>
      </x:c>
      <x:c r="Z1811" s="12" t="str">
        <x:f>IF(OR(W1811="unavailable",Y1811="unavailable"),"不可评价",IF(OR(W1811="equivocal",Y1811="equivocal"),"疑似",IF(AND(W1811="positive",Y1811="positive"),"a",IF(Y1811="positive","b",IF(W1811="positive","c","d")))))</x:f>
        <x:v>d</x:v>
      </x:c>
      <x:c r="AA1811" s="12" t="str">
        <x:f>IF(OR(M1811="unavailable",O1811="unavailable"),"不可评价",IF(AND(OR(M1811="positive",M1811="equivocal"),OR(O1811="positive",O1811="equivocal")),"a",IF(OR(O1811="positive",O1811="equivocal"),"b",IF(OR(M1811="positive",M1811="equivocal"),"c","d"))))</x:f>
        <x:v>d</x:v>
      </x:c>
      <x:c r="AB1811" s="12" t="str">
        <x:f>IF(OR(M1811="unavailable",O1811="unavailable"),"不可评价",IF(AND(M1811="positive",O1811="positive"),"a",IF(O1811="positive","b",IF(M1811="positive","c","d"))))</x:f>
        <x:v>d</x:v>
      </x:c>
      <x:c r="AC1811" s="12" t="str">
        <x:f>IF(OR(R1811="unavailable",T1811="unavailable"),"不可评价",IF(AND(OR(R1811="positive",R1811="equivocal"),OR(T1811="positive",T1811="equivocal")),"a",IF(OR(T1811="positive",T1811="equivocal"),"b",IF(OR(R1811="positive",R1811="equivocal"),"c","d"))))</x:f>
        <x:v>d</x:v>
      </x:c>
      <x:c r="AD1811" s="12" t="str">
        <x:f>IF(OR(R1811="unavailable",T1811="unavailable"),"不可评价",IF(AND(R1811="positive",T1811="positive"),"a",IF(T1811="positive","b",IF(R1811="positive","c","d"))))</x:f>
        <x:v>d</x:v>
      </x:c>
      <x:c r="AE1811" s="12" t="str">
        <x:f>IF(OR(W1811="unavailable",Y1811="unavailable"),"不可评价",IF(AND(OR(W1811="positive",W1811="equivocal"),OR(Y1811="positive",Y1811="equivocal")),"a",IF(OR(Y1811="positive",Y1811="equivocal"),"b",IF(OR(W1811="positive",W1811="equivocal"),"c","d"))))</x:f>
        <x:v>d</x:v>
      </x:c>
      <x:c r="AF1811" s="12" t="str">
        <x:f>IF(OR(W1811="unavailable",Y1811="unavailable"),"不可评价",IF(AND(W1811="positive",Y1811="positive"),"a",IF(Y1811="positive","b",IF(W1811="positive","c","d"))))</x:f>
        <x:v>d</x:v>
      </x:c>
    </x:row>
    <x:row r="1812" ht="24" customHeight="1">
      <x:c r="A1812" s="12" t="str">
        <x:v>17226</x:v>
      </x:c>
      <x:c r="B1812" s="12" t="str">
        <x:v>11709</x:v>
      </x:c>
      <x:c r="C1812" s="21" t="n">
        <x:v>35383.72053240741</x:v>
      </x:c>
      <x:c r="D1812" s="12" t="n">
        <x:v>73</x:v>
      </x:c>
      <x:c r="E1812" s="12" t="n">
        <x:v>1</x:v>
      </x:c>
      <x:c r="F1812" s="12" t="str">
        <x:v>未记录</x:v>
      </x:c>
      <x:c r="G1812" s="12" t="n">
        <x:v>1</x:v>
      </x:c>
      <x:c r="H1812" s="12" t="str">
        <x:v>{'LVH': 15.0, 'SR': 0.0}</x:v>
      </x:c>
      <x:c r="I1812" s="12" t="str">
        <x:v>[('NSR', 100.0), ('NSTT', 100.0), ('AB', 100.0)]</x:v>
      </x:c>
      <x:c r="J1812" s="12" t="str">
        <x:v>ptbxl_database.csv；ecg_id=17226；scp_codes</x:v>
      </x:c>
      <x:c r="K1812" s="12" t="str">
        <x:v>12sl_statements.csv；ecg_id=17226；statements_ext_snomed</x:v>
      </x:c>
      <x:c r="L1812" s="12"/>
      <x:c r="M1812" s="12" t="str">
        <x:v>negative</x:v>
      </x:c>
      <x:c r="N1812" s="12"/>
      <x:c r="O1812" s="12" t="str">
        <x:v>negative</x:v>
      </x:c>
      <x:c r="P1812" s="12" t="str">
        <x:f>IF(OR(M1812="unavailable",O1812="unavailable"),"不可评价",IF(OR(M1812="equivocal",O1812="equivocal"),"疑似",IF(AND(M1812="positive",O1812="positive"),"a",IF(O1812="positive","b",IF(M1812="positive","c","d")))))</x:f>
        <x:v>d</x:v>
      </x:c>
      <x:c r="Q1812" s="12"/>
      <x:c r="R1812" s="12" t="str">
        <x:v>negative</x:v>
      </x:c>
      <x:c r="S1812" s="12"/>
      <x:c r="T1812" s="12" t="str">
        <x:v>negative</x:v>
      </x:c>
      <x:c r="U1812" s="12" t="str">
        <x:f>IF(OR(R1812="unavailable",T1812="unavailable"),"不可评价",IF(OR(R1812="equivocal",T1812="equivocal"),"疑似",IF(AND(R1812="positive",T1812="positive"),"a",IF(T1812="positive","b",IF(R1812="positive","c","d")))))</x:f>
        <x:v>d</x:v>
      </x:c>
      <x:c r="V1812" s="12"/>
      <x:c r="W1812" s="12" t="str">
        <x:v>negative</x:v>
      </x:c>
      <x:c r="X1812" s="12"/>
      <x:c r="Y1812" s="12" t="str">
        <x:v>negative</x:v>
      </x:c>
      <x:c r="Z1812" s="12" t="str">
        <x:f>IF(OR(W1812="unavailable",Y1812="unavailable"),"不可评价",IF(OR(W1812="equivocal",Y1812="equivocal"),"疑似",IF(AND(W1812="positive",Y1812="positive"),"a",IF(Y1812="positive","b",IF(W1812="positive","c","d")))))</x:f>
        <x:v>d</x:v>
      </x:c>
      <x:c r="AA1812" s="12" t="str">
        <x:f>IF(OR(M1812="unavailable",O1812="unavailable"),"不可评价",IF(AND(OR(M1812="positive",M1812="equivocal"),OR(O1812="positive",O1812="equivocal")),"a",IF(OR(O1812="positive",O1812="equivocal"),"b",IF(OR(M1812="positive",M1812="equivocal"),"c","d"))))</x:f>
        <x:v>d</x:v>
      </x:c>
      <x:c r="AB1812" s="12" t="str">
        <x:f>IF(OR(M1812="unavailable",O1812="unavailable"),"不可评价",IF(AND(M1812="positive",O1812="positive"),"a",IF(O1812="positive","b",IF(M1812="positive","c","d"))))</x:f>
        <x:v>d</x:v>
      </x:c>
      <x:c r="AC1812" s="12" t="str">
        <x:f>IF(OR(R1812="unavailable",T1812="unavailable"),"不可评价",IF(AND(OR(R1812="positive",R1812="equivocal"),OR(T1812="positive",T1812="equivocal")),"a",IF(OR(T1812="positive",T1812="equivocal"),"b",IF(OR(R1812="positive",R1812="equivocal"),"c","d"))))</x:f>
        <x:v>d</x:v>
      </x:c>
      <x:c r="AD1812" s="12" t="str">
        <x:f>IF(OR(R1812="unavailable",T1812="unavailable"),"不可评价",IF(AND(R1812="positive",T1812="positive"),"a",IF(T1812="positive","b",IF(R1812="positive","c","d"))))</x:f>
        <x:v>d</x:v>
      </x:c>
      <x:c r="AE1812" s="12" t="str">
        <x:f>IF(OR(W1812="unavailable",Y1812="unavailable"),"不可评价",IF(AND(OR(W1812="positive",W1812="equivocal"),OR(Y1812="positive",Y1812="equivocal")),"a",IF(OR(Y1812="positive",Y1812="equivocal"),"b",IF(OR(W1812="positive",W1812="equivocal"),"c","d"))))</x:f>
        <x:v>d</x:v>
      </x:c>
      <x:c r="AF1812" s="12" t="str">
        <x:f>IF(OR(W1812="unavailable",Y1812="unavailable"),"不可评价",IF(AND(W1812="positive",Y1812="positive"),"a",IF(Y1812="positive","b",IF(W1812="positive","c","d"))))</x:f>
        <x:v>d</x:v>
      </x:c>
    </x:row>
    <x:row r="1813" ht="24" customHeight="1">
      <x:c r="A1813" s="12" t="str">
        <x:v>17244</x:v>
      </x:c>
      <x:c r="B1813" s="12" t="str">
        <x:v>11634</x:v>
      </x:c>
      <x:c r="C1813" s="21" t="n">
        <x:v>35390.603854166664</x:v>
      </x:c>
      <x:c r="D1813" s="12" t="n">
        <x:v>83</x:v>
      </x:c>
      <x:c r="E1813" s="12" t="n">
        <x:v>1</x:v>
      </x:c>
      <x:c r="F1813" s="12" t="str">
        <x:v>存在</x:v>
      </x:c>
      <x:c r="G1813" s="12" t="n">
        <x:v>1</x:v>
      </x:c>
      <x:c r="H1813" s="12" t="str">
        <x:v>{'LAFB': 100.0, 'SR': 0.0}</x:v>
      </x:c>
      <x:c r="I1813" s="12" t="str">
        <x:v>[('NSR', 100.0), ('LAD3', 100.0), ('NSTT', 100.0), ('AB', 100.0)]</x:v>
      </x:c>
      <x:c r="J1813" s="12" t="str">
        <x:v>ptbxl_database.csv；ecg_id=17244；scp_codes</x:v>
      </x:c>
      <x:c r="K1813" s="12" t="str">
        <x:v>12sl_statements.csv；ecg_id=17244；statements_ext_snomed</x:v>
      </x:c>
      <x:c r="L1813" s="12"/>
      <x:c r="M1813" s="12" t="str">
        <x:v>negative</x:v>
      </x:c>
      <x:c r="N1813" s="12"/>
      <x:c r="O1813" s="12" t="str">
        <x:v>negative</x:v>
      </x:c>
      <x:c r="P1813" s="12" t="str">
        <x:f>IF(OR(M1813="unavailable",O1813="unavailable"),"不可评价",IF(OR(M1813="equivocal",O1813="equivocal"),"疑似",IF(AND(M1813="positive",O1813="positive"),"a",IF(O1813="positive","b",IF(M1813="positive","c","d")))))</x:f>
        <x:v>d</x:v>
      </x:c>
      <x:c r="Q1813" s="12"/>
      <x:c r="R1813" s="12" t="str">
        <x:v>negative</x:v>
      </x:c>
      <x:c r="S1813" s="12"/>
      <x:c r="T1813" s="12" t="str">
        <x:v>negative</x:v>
      </x:c>
      <x:c r="U1813" s="12" t="str">
        <x:f>IF(OR(R1813="unavailable",T1813="unavailable"),"不可评价",IF(OR(R1813="equivocal",T1813="equivocal"),"疑似",IF(AND(R1813="positive",T1813="positive"),"a",IF(T1813="positive","b",IF(R1813="positive","c","d")))))</x:f>
        <x:v>d</x:v>
      </x:c>
      <x:c r="V1813" s="12"/>
      <x:c r="W1813" s="12" t="str">
        <x:v>negative</x:v>
      </x:c>
      <x:c r="X1813" s="12"/>
      <x:c r="Y1813" s="12" t="str">
        <x:v>negative</x:v>
      </x:c>
      <x:c r="Z1813" s="12" t="str">
        <x:f>IF(OR(W1813="unavailable",Y1813="unavailable"),"不可评价",IF(OR(W1813="equivocal",Y1813="equivocal"),"疑似",IF(AND(W1813="positive",Y1813="positive"),"a",IF(Y1813="positive","b",IF(W1813="positive","c","d")))))</x:f>
        <x:v>d</x:v>
      </x:c>
      <x:c r="AA1813" s="12" t="str">
        <x:f>IF(OR(M1813="unavailable",O1813="unavailable"),"不可评价",IF(AND(OR(M1813="positive",M1813="equivocal"),OR(O1813="positive",O1813="equivocal")),"a",IF(OR(O1813="positive",O1813="equivocal"),"b",IF(OR(M1813="positive",M1813="equivocal"),"c","d"))))</x:f>
        <x:v>d</x:v>
      </x:c>
      <x:c r="AB1813" s="12" t="str">
        <x:f>IF(OR(M1813="unavailable",O1813="unavailable"),"不可评价",IF(AND(M1813="positive",O1813="positive"),"a",IF(O1813="positive","b",IF(M1813="positive","c","d"))))</x:f>
        <x:v>d</x:v>
      </x:c>
      <x:c r="AC1813" s="12" t="str">
        <x:f>IF(OR(R1813="unavailable",T1813="unavailable"),"不可评价",IF(AND(OR(R1813="positive",R1813="equivocal"),OR(T1813="positive",T1813="equivocal")),"a",IF(OR(T1813="positive",T1813="equivocal"),"b",IF(OR(R1813="positive",R1813="equivocal"),"c","d"))))</x:f>
        <x:v>d</x:v>
      </x:c>
      <x:c r="AD1813" s="12" t="str">
        <x:f>IF(OR(R1813="unavailable",T1813="unavailable"),"不可评价",IF(AND(R1813="positive",T1813="positive"),"a",IF(T1813="positive","b",IF(R1813="positive","c","d"))))</x:f>
        <x:v>d</x:v>
      </x:c>
      <x:c r="AE1813" s="12" t="str">
        <x:f>IF(OR(W1813="unavailable",Y1813="unavailable"),"不可评价",IF(AND(OR(W1813="positive",W1813="equivocal"),OR(Y1813="positive",Y1813="equivocal")),"a",IF(OR(Y1813="positive",Y1813="equivocal"),"b",IF(OR(W1813="positive",W1813="equivocal"),"c","d"))))</x:f>
        <x:v>d</x:v>
      </x:c>
      <x:c r="AF1813" s="12" t="str">
        <x:f>IF(OR(W1813="unavailable",Y1813="unavailable"),"不可评价",IF(AND(W1813="positive",Y1813="positive"),"a",IF(Y1813="positive","b",IF(W1813="positive","c","d"))))</x:f>
        <x:v>d</x:v>
      </x:c>
    </x:row>
    <x:row r="1814" ht="24" customHeight="1">
      <x:c r="A1814" s="12" t="str">
        <x:v>17247</x:v>
      </x:c>
      <x:c r="B1814" s="12" t="str">
        <x:v>13219</x:v>
      </x:c>
      <x:c r="C1814" s="21" t="n">
        <x:v>35390.72005787037</x:v>
      </x:c>
      <x:c r="D1814" s="12" t="n">
        <x:v>63</x:v>
      </x:c>
      <x:c r="E1814" s="12" t="n">
        <x:v>1</x:v>
      </x:c>
      <x:c r="F1814" s="12" t="str">
        <x:v>存在</x:v>
      </x:c>
      <x:c r="G1814" s="12" t="n">
        <x:v>1</x:v>
      </x:c>
      <x:c r="H1814" s="12" t="str">
        <x:v>{'LAFB': 100.0, 'SR': 0.0}</x:v>
      </x:c>
      <x:c r="I1814" s="12" t="str">
        <x:v>[('NSR', 100.0), ('LAD3', 100.0), ('AB', 100.0)]</x:v>
      </x:c>
      <x:c r="J1814" s="12" t="str">
        <x:v>ptbxl_database.csv；ecg_id=17247；scp_codes</x:v>
      </x:c>
      <x:c r="K1814" s="12" t="str">
        <x:v>12sl_statements.csv；ecg_id=17247；statements_ext_snomed</x:v>
      </x:c>
      <x:c r="L1814" s="12"/>
      <x:c r="M1814" s="12" t="str">
        <x:v>negative</x:v>
      </x:c>
      <x:c r="N1814" s="12"/>
      <x:c r="O1814" s="12" t="str">
        <x:v>negative</x:v>
      </x:c>
      <x:c r="P1814" s="12" t="str">
        <x:f>IF(OR(M1814="unavailable",O1814="unavailable"),"不可评价",IF(OR(M1814="equivocal",O1814="equivocal"),"疑似",IF(AND(M1814="positive",O1814="positive"),"a",IF(O1814="positive","b",IF(M1814="positive","c","d")))))</x:f>
        <x:v>d</x:v>
      </x:c>
      <x:c r="Q1814" s="12"/>
      <x:c r="R1814" s="12" t="str">
        <x:v>negative</x:v>
      </x:c>
      <x:c r="S1814" s="12"/>
      <x:c r="T1814" s="12" t="str">
        <x:v>negative</x:v>
      </x:c>
      <x:c r="U1814" s="12" t="str">
        <x:f>IF(OR(R1814="unavailable",T1814="unavailable"),"不可评价",IF(OR(R1814="equivocal",T1814="equivocal"),"疑似",IF(AND(R1814="positive",T1814="positive"),"a",IF(T1814="positive","b",IF(R1814="positive","c","d")))))</x:f>
        <x:v>d</x:v>
      </x:c>
      <x:c r="V1814" s="12"/>
      <x:c r="W1814" s="12" t="str">
        <x:v>negative</x:v>
      </x:c>
      <x:c r="X1814" s="12"/>
      <x:c r="Y1814" s="12" t="str">
        <x:v>negative</x:v>
      </x:c>
      <x:c r="Z1814" s="12" t="str">
        <x:f>IF(OR(W1814="unavailable",Y1814="unavailable"),"不可评价",IF(OR(W1814="equivocal",Y1814="equivocal"),"疑似",IF(AND(W1814="positive",Y1814="positive"),"a",IF(Y1814="positive","b",IF(W1814="positive","c","d")))))</x:f>
        <x:v>d</x:v>
      </x:c>
      <x:c r="AA1814" s="12" t="str">
        <x:f>IF(OR(M1814="unavailable",O1814="unavailable"),"不可评价",IF(AND(OR(M1814="positive",M1814="equivocal"),OR(O1814="positive",O1814="equivocal")),"a",IF(OR(O1814="positive",O1814="equivocal"),"b",IF(OR(M1814="positive",M1814="equivocal"),"c","d"))))</x:f>
        <x:v>d</x:v>
      </x:c>
      <x:c r="AB1814" s="12" t="str">
        <x:f>IF(OR(M1814="unavailable",O1814="unavailable"),"不可评价",IF(AND(M1814="positive",O1814="positive"),"a",IF(O1814="positive","b",IF(M1814="positive","c","d"))))</x:f>
        <x:v>d</x:v>
      </x:c>
      <x:c r="AC1814" s="12" t="str">
        <x:f>IF(OR(R1814="unavailable",T1814="unavailable"),"不可评价",IF(AND(OR(R1814="positive",R1814="equivocal"),OR(T1814="positive",T1814="equivocal")),"a",IF(OR(T1814="positive",T1814="equivocal"),"b",IF(OR(R1814="positive",R1814="equivocal"),"c","d"))))</x:f>
        <x:v>d</x:v>
      </x:c>
      <x:c r="AD1814" s="12" t="str">
        <x:f>IF(OR(R1814="unavailable",T1814="unavailable"),"不可评价",IF(AND(R1814="positive",T1814="positive"),"a",IF(T1814="positive","b",IF(R1814="positive","c","d"))))</x:f>
        <x:v>d</x:v>
      </x:c>
      <x:c r="AE1814" s="12" t="str">
        <x:f>IF(OR(W1814="unavailable",Y1814="unavailable"),"不可评价",IF(AND(OR(W1814="positive",W1814="equivocal"),OR(Y1814="positive",Y1814="equivocal")),"a",IF(OR(Y1814="positive",Y1814="equivocal"),"b",IF(OR(W1814="positive",W1814="equivocal"),"c","d"))))</x:f>
        <x:v>d</x:v>
      </x:c>
      <x:c r="AF1814" s="12" t="str">
        <x:f>IF(OR(W1814="unavailable",Y1814="unavailable"),"不可评价",IF(AND(W1814="positive",Y1814="positive"),"a",IF(Y1814="positive","b",IF(W1814="positive","c","d"))))</x:f>
        <x:v>d</x:v>
      </x:c>
    </x:row>
    <x:row r="1815" ht="24" customHeight="1">
      <x:c r="A1815" s="12" t="str">
        <x:v>17252</x:v>
      </x:c>
      <x:c r="B1815" s="12" t="str">
        <x:v>18008</x:v>
      </x:c>
      <x:c r="C1815" s="21" t="n">
        <x:v>35391.54361111111</x:v>
      </x:c>
      <x:c r="D1815" s="12" t="n">
        <x:v>32</x:v>
      </x:c>
      <x:c r="E1815" s="12" t="n">
        <x:v>1</x:v>
      </x:c>
      <x:c r="F1815" s="12" t="str">
        <x:v>未记录</x:v>
      </x:c>
      <x:c r="G1815" s="12" t="n">
        <x:v>1</x:v>
      </x:c>
      <x:c r="H1815" s="12" t="str">
        <x:v>{'NDT': 100.0, 'SR': 0.0}</x:v>
      </x:c>
      <x:c r="I1815" s="12" t="str">
        <x:v>[('NSR', 100.0), ('NML', 100.0)]</x:v>
      </x:c>
      <x:c r="J1815" s="12" t="str">
        <x:v>ptbxl_database.csv；ecg_id=17252；scp_codes</x:v>
      </x:c>
      <x:c r="K1815" s="12" t="str">
        <x:v>12sl_statements.csv；ecg_id=17252；statements_ext_snomed</x:v>
      </x:c>
      <x:c r="L1815" s="12"/>
      <x:c r="M1815" s="12" t="str">
        <x:v>negative</x:v>
      </x:c>
      <x:c r="N1815" s="12"/>
      <x:c r="O1815" s="12" t="str">
        <x:v>negative</x:v>
      </x:c>
      <x:c r="P1815" s="12" t="str">
        <x:f>IF(OR(M1815="unavailable",O1815="unavailable"),"不可评价",IF(OR(M1815="equivocal",O1815="equivocal"),"疑似",IF(AND(M1815="positive",O1815="positive"),"a",IF(O1815="positive","b",IF(M1815="positive","c","d")))))</x:f>
        <x:v>d</x:v>
      </x:c>
      <x:c r="Q1815" s="12"/>
      <x:c r="R1815" s="12" t="str">
        <x:v>negative</x:v>
      </x:c>
      <x:c r="S1815" s="12"/>
      <x:c r="T1815" s="12" t="str">
        <x:v>negative</x:v>
      </x:c>
      <x:c r="U1815" s="12" t="str">
        <x:f>IF(OR(R1815="unavailable",T1815="unavailable"),"不可评价",IF(OR(R1815="equivocal",T1815="equivocal"),"疑似",IF(AND(R1815="positive",T1815="positive"),"a",IF(T1815="positive","b",IF(R1815="positive","c","d")))))</x:f>
        <x:v>d</x:v>
      </x:c>
      <x:c r="V1815" s="12"/>
      <x:c r="W1815" s="12" t="str">
        <x:v>negative</x:v>
      </x:c>
      <x:c r="X1815" s="12"/>
      <x:c r="Y1815" s="12" t="str">
        <x:v>negative</x:v>
      </x:c>
      <x:c r="Z1815" s="12" t="str">
        <x:f>IF(OR(W1815="unavailable",Y1815="unavailable"),"不可评价",IF(OR(W1815="equivocal",Y1815="equivocal"),"疑似",IF(AND(W1815="positive",Y1815="positive"),"a",IF(Y1815="positive","b",IF(W1815="positive","c","d")))))</x:f>
        <x:v>d</x:v>
      </x:c>
      <x:c r="AA1815" s="12" t="str">
        <x:f>IF(OR(M1815="unavailable",O1815="unavailable"),"不可评价",IF(AND(OR(M1815="positive",M1815="equivocal"),OR(O1815="positive",O1815="equivocal")),"a",IF(OR(O1815="positive",O1815="equivocal"),"b",IF(OR(M1815="positive",M1815="equivocal"),"c","d"))))</x:f>
        <x:v>d</x:v>
      </x:c>
      <x:c r="AB1815" s="12" t="str">
        <x:f>IF(OR(M1815="unavailable",O1815="unavailable"),"不可评价",IF(AND(M1815="positive",O1815="positive"),"a",IF(O1815="positive","b",IF(M1815="positive","c","d"))))</x:f>
        <x:v>d</x:v>
      </x:c>
      <x:c r="AC1815" s="12" t="str">
        <x:f>IF(OR(R1815="unavailable",T1815="unavailable"),"不可评价",IF(AND(OR(R1815="positive",R1815="equivocal"),OR(T1815="positive",T1815="equivocal")),"a",IF(OR(T1815="positive",T1815="equivocal"),"b",IF(OR(R1815="positive",R1815="equivocal"),"c","d"))))</x:f>
        <x:v>d</x:v>
      </x:c>
      <x:c r="AD1815" s="12" t="str">
        <x:f>IF(OR(R1815="unavailable",T1815="unavailable"),"不可评价",IF(AND(R1815="positive",T1815="positive"),"a",IF(T1815="positive","b",IF(R1815="positive","c","d"))))</x:f>
        <x:v>d</x:v>
      </x:c>
      <x:c r="AE1815" s="12" t="str">
        <x:f>IF(OR(W1815="unavailable",Y1815="unavailable"),"不可评价",IF(AND(OR(W1815="positive",W1815="equivocal"),OR(Y1815="positive",Y1815="equivocal")),"a",IF(OR(Y1815="positive",Y1815="equivocal"),"b",IF(OR(W1815="positive",W1815="equivocal"),"c","d"))))</x:f>
        <x:v>d</x:v>
      </x:c>
      <x:c r="AF1815" s="12" t="str">
        <x:f>IF(OR(W1815="unavailable",Y1815="unavailable"),"不可评价",IF(AND(W1815="positive",Y1815="positive"),"a",IF(Y1815="positive","b",IF(W1815="positive","c","d"))))</x:f>
        <x:v>d</x:v>
      </x:c>
    </x:row>
    <x:row r="1816" ht="24" customHeight="1">
      <x:c r="A1816" s="12" t="str">
        <x:v>17259</x:v>
      </x:c>
      <x:c r="B1816" s="12" t="str">
        <x:v>11539</x:v>
      </x:c>
      <x:c r="C1816" s="21" t="n">
        <x:v>35392.762395833335</x:v>
      </x:c>
      <x:c r="D1816" s="12" t="n">
        <x:v>87</x:v>
      </x:c>
      <x:c r="E1816" s="12" t="n">
        <x:v>1</x:v>
      </x:c>
      <x:c r="F1816" s="12" t="str">
        <x:v>未记录</x:v>
      </x:c>
      <x:c r="G1816" s="12" t="n">
        <x:v>1</x:v>
      </x:c>
      <x:c r="H1816" s="12" t="str">
        <x:v>{'NDT': 100.0, 'SBRAD': 0.0}</x:v>
      </x:c>
      <x:c r="I1816" s="12" t="str">
        <x:v>[('SBRAD', 100.0), ('ABR', 100.0)]</x:v>
      </x:c>
      <x:c r="J1816" s="12" t="str">
        <x:v>ptbxl_database.csv；ecg_id=17259；scp_codes</x:v>
      </x:c>
      <x:c r="K1816" s="12" t="str">
        <x:v>12sl_statements.csv；ecg_id=17259；statements_ext_snomed</x:v>
      </x:c>
      <x:c r="L1816" s="12"/>
      <x:c r="M1816" s="12" t="str">
        <x:v>negative</x:v>
      </x:c>
      <x:c r="N1816" s="12"/>
      <x:c r="O1816" s="12" t="str">
        <x:v>negative</x:v>
      </x:c>
      <x:c r="P1816" s="12" t="str">
        <x:f>IF(OR(M1816="unavailable",O1816="unavailable"),"不可评价",IF(OR(M1816="equivocal",O1816="equivocal"),"疑似",IF(AND(M1816="positive",O1816="positive"),"a",IF(O1816="positive","b",IF(M1816="positive","c","d")))))</x:f>
        <x:v>d</x:v>
      </x:c>
      <x:c r="Q1816" s="12"/>
      <x:c r="R1816" s="12" t="str">
        <x:v>negative</x:v>
      </x:c>
      <x:c r="S1816" s="12"/>
      <x:c r="T1816" s="12" t="str">
        <x:v>negative</x:v>
      </x:c>
      <x:c r="U1816" s="12" t="str">
        <x:f>IF(OR(R1816="unavailable",T1816="unavailable"),"不可评价",IF(OR(R1816="equivocal",T1816="equivocal"),"疑似",IF(AND(R1816="positive",T1816="positive"),"a",IF(T1816="positive","b",IF(R1816="positive","c","d")))))</x:f>
        <x:v>d</x:v>
      </x:c>
      <x:c r="V1816" s="12"/>
      <x:c r="W1816" s="12" t="str">
        <x:v>negative</x:v>
      </x:c>
      <x:c r="X1816" s="12"/>
      <x:c r="Y1816" s="12" t="str">
        <x:v>negative</x:v>
      </x:c>
      <x:c r="Z1816" s="12" t="str">
        <x:f>IF(OR(W1816="unavailable",Y1816="unavailable"),"不可评价",IF(OR(W1816="equivocal",Y1816="equivocal"),"疑似",IF(AND(W1816="positive",Y1816="positive"),"a",IF(Y1816="positive","b",IF(W1816="positive","c","d")))))</x:f>
        <x:v>d</x:v>
      </x:c>
      <x:c r="AA1816" s="12" t="str">
        <x:f>IF(OR(M1816="unavailable",O1816="unavailable"),"不可评价",IF(AND(OR(M1816="positive",M1816="equivocal"),OR(O1816="positive",O1816="equivocal")),"a",IF(OR(O1816="positive",O1816="equivocal"),"b",IF(OR(M1816="positive",M1816="equivocal"),"c","d"))))</x:f>
        <x:v>d</x:v>
      </x:c>
      <x:c r="AB1816" s="12" t="str">
        <x:f>IF(OR(M1816="unavailable",O1816="unavailable"),"不可评价",IF(AND(M1816="positive",O1816="positive"),"a",IF(O1816="positive","b",IF(M1816="positive","c","d"))))</x:f>
        <x:v>d</x:v>
      </x:c>
      <x:c r="AC1816" s="12" t="str">
        <x:f>IF(OR(R1816="unavailable",T1816="unavailable"),"不可评价",IF(AND(OR(R1816="positive",R1816="equivocal"),OR(T1816="positive",T1816="equivocal")),"a",IF(OR(T1816="positive",T1816="equivocal"),"b",IF(OR(R1816="positive",R1816="equivocal"),"c","d"))))</x:f>
        <x:v>d</x:v>
      </x:c>
      <x:c r="AD1816" s="12" t="str">
        <x:f>IF(OR(R1816="unavailable",T1816="unavailable"),"不可评价",IF(AND(R1816="positive",T1816="positive"),"a",IF(T1816="positive","b",IF(R1816="positive","c","d"))))</x:f>
        <x:v>d</x:v>
      </x:c>
      <x:c r="AE1816" s="12" t="str">
        <x:f>IF(OR(W1816="unavailable",Y1816="unavailable"),"不可评价",IF(AND(OR(W1816="positive",W1816="equivocal"),OR(Y1816="positive",Y1816="equivocal")),"a",IF(OR(Y1816="positive",Y1816="equivocal"),"b",IF(OR(W1816="positive",W1816="equivocal"),"c","d"))))</x:f>
        <x:v>d</x:v>
      </x:c>
      <x:c r="AF1816" s="12" t="str">
        <x:f>IF(OR(W1816="unavailable",Y1816="unavailable"),"不可评价",IF(AND(W1816="positive",Y1816="positive"),"a",IF(Y1816="positive","b",IF(W1816="positive","c","d"))))</x:f>
        <x:v>d</x:v>
      </x:c>
    </x:row>
    <x:row r="1817" ht="39" customHeight="1">
      <x:c r="A1817" s="12" t="str">
        <x:v>17286</x:v>
      </x:c>
      <x:c r="B1817" s="12" t="str">
        <x:v>21088</x:v>
      </x:c>
      <x:c r="C1817" s="21" t="n">
        <x:v>35399.503587962965</x:v>
      </x:c>
      <x:c r="D1817" s="12" t="n">
        <x:v>67</x:v>
      </x:c>
      <x:c r="E1817" s="12" t="n">
        <x:v>1</x:v>
      </x:c>
      <x:c r="F1817" s="12" t="str">
        <x:v>未记录</x:v>
      </x:c>
      <x:c r="G1817" s="12" t="n">
        <x:v>1</x:v>
      </x:c>
      <x:c r="H1817" s="12" t="str">
        <x:v>{'ASMI': 100.0, 'LVH': 100.0, 'ISC_': 100.0, 'ABQRS': 0.0, 'SR': 0.0}</x:v>
      </x:c>
      <x:c r="I1817" s="12" t="str">
        <x:v>[('SBRAD', 100.0), ('LAE', 50.0), ('SMI;AU', 100.0), ('ST&amp;', 100.0), ('LT', 100.0), ('AB', 100.0)]</x:v>
      </x:c>
      <x:c r="J1817" s="12" t="str">
        <x:v>ptbxl_database.csv；ecg_id=17286；scp_codes</x:v>
      </x:c>
      <x:c r="K1817" s="12" t="str">
        <x:v>12sl_statements.csv；ecg_id=17286；statements_ext_snomed</x:v>
      </x:c>
      <x:c r="L1817" s="12"/>
      <x:c r="M1817" s="12" t="str">
        <x:v>negative</x:v>
      </x:c>
      <x:c r="N1817" s="12"/>
      <x:c r="O1817" s="12" t="str">
        <x:v>negative</x:v>
      </x:c>
      <x:c r="P1817" s="12" t="str">
        <x:f>IF(OR(M1817="unavailable",O1817="unavailable"),"不可评价",IF(OR(M1817="equivocal",O1817="equivocal"),"疑似",IF(AND(M1817="positive",O1817="positive"),"a",IF(O1817="positive","b",IF(M1817="positive","c","d")))))</x:f>
        <x:v>d</x:v>
      </x:c>
      <x:c r="Q1817" s="12"/>
      <x:c r="R1817" s="12" t="str">
        <x:v>negative</x:v>
      </x:c>
      <x:c r="S1817" s="12"/>
      <x:c r="T1817" s="12" t="str">
        <x:v>negative</x:v>
      </x:c>
      <x:c r="U1817" s="12" t="str">
        <x:f>IF(OR(R1817="unavailable",T1817="unavailable"),"不可评价",IF(OR(R1817="equivocal",T1817="equivocal"),"疑似",IF(AND(R1817="positive",T1817="positive"),"a",IF(T1817="positive","b",IF(R1817="positive","c","d")))))</x:f>
        <x:v>d</x:v>
      </x:c>
      <x:c r="V1817" s="12"/>
      <x:c r="W1817" s="12" t="str">
        <x:v>negative</x:v>
      </x:c>
      <x:c r="X1817" s="12"/>
      <x:c r="Y1817" s="12" t="str">
        <x:v>negative</x:v>
      </x:c>
      <x:c r="Z1817" s="12" t="str">
        <x:f>IF(OR(W1817="unavailable",Y1817="unavailable"),"不可评价",IF(OR(W1817="equivocal",Y1817="equivocal"),"疑似",IF(AND(W1817="positive",Y1817="positive"),"a",IF(Y1817="positive","b",IF(W1817="positive","c","d")))))</x:f>
        <x:v>d</x:v>
      </x:c>
      <x:c r="AA1817" s="12" t="str">
        <x:f>IF(OR(M1817="unavailable",O1817="unavailable"),"不可评价",IF(AND(OR(M1817="positive",M1817="equivocal"),OR(O1817="positive",O1817="equivocal")),"a",IF(OR(O1817="positive",O1817="equivocal"),"b",IF(OR(M1817="positive",M1817="equivocal"),"c","d"))))</x:f>
        <x:v>d</x:v>
      </x:c>
      <x:c r="AB1817" s="12" t="str">
        <x:f>IF(OR(M1817="unavailable",O1817="unavailable"),"不可评价",IF(AND(M1817="positive",O1817="positive"),"a",IF(O1817="positive","b",IF(M1817="positive","c","d"))))</x:f>
        <x:v>d</x:v>
      </x:c>
      <x:c r="AC1817" s="12" t="str">
        <x:f>IF(OR(R1817="unavailable",T1817="unavailable"),"不可评价",IF(AND(OR(R1817="positive",R1817="equivocal"),OR(T1817="positive",T1817="equivocal")),"a",IF(OR(T1817="positive",T1817="equivocal"),"b",IF(OR(R1817="positive",R1817="equivocal"),"c","d"))))</x:f>
        <x:v>d</x:v>
      </x:c>
      <x:c r="AD1817" s="12" t="str">
        <x:f>IF(OR(R1817="unavailable",T1817="unavailable"),"不可评价",IF(AND(R1817="positive",T1817="positive"),"a",IF(T1817="positive","b",IF(R1817="positive","c","d"))))</x:f>
        <x:v>d</x:v>
      </x:c>
      <x:c r="AE1817" s="12" t="str">
        <x:f>IF(OR(W1817="unavailable",Y1817="unavailable"),"不可评价",IF(AND(OR(W1817="positive",W1817="equivocal"),OR(Y1817="positive",Y1817="equivocal")),"a",IF(OR(Y1817="positive",Y1817="equivocal"),"b",IF(OR(W1817="positive",W1817="equivocal"),"c","d"))))</x:f>
        <x:v>d</x:v>
      </x:c>
      <x:c r="AF1817" s="12" t="str">
        <x:f>IF(OR(W1817="unavailable",Y1817="unavailable"),"不可评价",IF(AND(W1817="positive",Y1817="positive"),"a",IF(Y1817="positive","b",IF(W1817="positive","c","d"))))</x:f>
        <x:v>d</x:v>
      </x:c>
    </x:row>
    <x:row r="1818" ht="24" customHeight="1">
      <x:c r="A1818" s="12" t="str">
        <x:v>17290</x:v>
      </x:c>
      <x:c r="B1818" s="12" t="str">
        <x:v>16522</x:v>
      </x:c>
      <x:c r="C1818" s="21" t="n">
        <x:v>35399.637662037036</x:v>
      </x:c>
      <x:c r="D1818" s="12" t="n">
        <x:v>37</x:v>
      </x:c>
      <x:c r="E1818" s="12" t="n">
        <x:v>1</x:v>
      </x:c>
      <x:c r="F1818" s="12" t="str">
        <x:v>存在</x:v>
      </x:c>
      <x:c r="G1818" s="12" t="n">
        <x:v>1</x:v>
      </x:c>
      <x:c r="H1818" s="12" t="str">
        <x:v>{'NORM': 100.0, 'SR': 0.0}</x:v>
      </x:c>
      <x:c r="I1818" s="12" t="str">
        <x:v>[('NSR', 100.0), ('NML', 100.0)]</x:v>
      </x:c>
      <x:c r="J1818" s="12" t="str">
        <x:v>ptbxl_database.csv；ecg_id=17290；scp_codes</x:v>
      </x:c>
      <x:c r="K1818" s="12" t="str">
        <x:v>12sl_statements.csv；ecg_id=17290；statements_ext_snomed</x:v>
      </x:c>
      <x:c r="L1818" s="12"/>
      <x:c r="M1818" s="12" t="str">
        <x:v>negative</x:v>
      </x:c>
      <x:c r="N1818" s="12"/>
      <x:c r="O1818" s="12" t="str">
        <x:v>negative</x:v>
      </x:c>
      <x:c r="P1818" s="12" t="str">
        <x:f>IF(OR(M1818="unavailable",O1818="unavailable"),"不可评价",IF(OR(M1818="equivocal",O1818="equivocal"),"疑似",IF(AND(M1818="positive",O1818="positive"),"a",IF(O1818="positive","b",IF(M1818="positive","c","d")))))</x:f>
        <x:v>d</x:v>
      </x:c>
      <x:c r="Q1818" s="12"/>
      <x:c r="R1818" s="12" t="str">
        <x:v>negative</x:v>
      </x:c>
      <x:c r="S1818" s="12"/>
      <x:c r="T1818" s="12" t="str">
        <x:v>negative</x:v>
      </x:c>
      <x:c r="U1818" s="12" t="str">
        <x:f>IF(OR(R1818="unavailable",T1818="unavailable"),"不可评价",IF(OR(R1818="equivocal",T1818="equivocal"),"疑似",IF(AND(R1818="positive",T1818="positive"),"a",IF(T1818="positive","b",IF(R1818="positive","c","d")))))</x:f>
        <x:v>d</x:v>
      </x:c>
      <x:c r="V1818" s="12"/>
      <x:c r="W1818" s="12" t="str">
        <x:v>negative</x:v>
      </x:c>
      <x:c r="X1818" s="12"/>
      <x:c r="Y1818" s="12" t="str">
        <x:v>negative</x:v>
      </x:c>
      <x:c r="Z1818" s="12" t="str">
        <x:f>IF(OR(W1818="unavailable",Y1818="unavailable"),"不可评价",IF(OR(W1818="equivocal",Y1818="equivocal"),"疑似",IF(AND(W1818="positive",Y1818="positive"),"a",IF(Y1818="positive","b",IF(W1818="positive","c","d")))))</x:f>
        <x:v>d</x:v>
      </x:c>
      <x:c r="AA1818" s="12" t="str">
        <x:f>IF(OR(M1818="unavailable",O1818="unavailable"),"不可评价",IF(AND(OR(M1818="positive",M1818="equivocal"),OR(O1818="positive",O1818="equivocal")),"a",IF(OR(O1818="positive",O1818="equivocal"),"b",IF(OR(M1818="positive",M1818="equivocal"),"c","d"))))</x:f>
        <x:v>d</x:v>
      </x:c>
      <x:c r="AB1818" s="12" t="str">
        <x:f>IF(OR(M1818="unavailable",O1818="unavailable"),"不可评价",IF(AND(M1818="positive",O1818="positive"),"a",IF(O1818="positive","b",IF(M1818="positive","c","d"))))</x:f>
        <x:v>d</x:v>
      </x:c>
      <x:c r="AC1818" s="12" t="str">
        <x:f>IF(OR(R1818="unavailable",T1818="unavailable"),"不可评价",IF(AND(OR(R1818="positive",R1818="equivocal"),OR(T1818="positive",T1818="equivocal")),"a",IF(OR(T1818="positive",T1818="equivocal"),"b",IF(OR(R1818="positive",R1818="equivocal"),"c","d"))))</x:f>
        <x:v>d</x:v>
      </x:c>
      <x:c r="AD1818" s="12" t="str">
        <x:f>IF(OR(R1818="unavailable",T1818="unavailable"),"不可评价",IF(AND(R1818="positive",T1818="positive"),"a",IF(T1818="positive","b",IF(R1818="positive","c","d"))))</x:f>
        <x:v>d</x:v>
      </x:c>
      <x:c r="AE1818" s="12" t="str">
        <x:f>IF(OR(W1818="unavailable",Y1818="unavailable"),"不可评价",IF(AND(OR(W1818="positive",W1818="equivocal"),OR(Y1818="positive",Y1818="equivocal")),"a",IF(OR(Y1818="positive",Y1818="equivocal"),"b",IF(OR(W1818="positive",W1818="equivocal"),"c","d"))))</x:f>
        <x:v>d</x:v>
      </x:c>
      <x:c r="AF1818" s="12" t="str">
        <x:f>IF(OR(W1818="unavailable",Y1818="unavailable"),"不可评价",IF(AND(W1818="positive",Y1818="positive"),"a",IF(Y1818="positive","b",IF(W1818="positive","c","d"))))</x:f>
        <x:v>d</x:v>
      </x:c>
    </x:row>
    <x:row r="1819" ht="24" customHeight="1">
      <x:c r="A1819" s="12" t="str">
        <x:v>17297</x:v>
      </x:c>
      <x:c r="B1819" s="12" t="str">
        <x:v>13134</x:v>
      </x:c>
      <x:c r="C1819" s="21" t="n">
        <x:v>35402.49752314815</x:v>
      </x:c>
      <x:c r="D1819" s="12" t="n">
        <x:v>81</x:v>
      </x:c>
      <x:c r="E1819" s="12" t="n">
        <x:v>0</x:v>
      </x:c>
      <x:c r="F1819" s="12" t="str">
        <x:v>未记录</x:v>
      </x:c>
      <x:c r="G1819" s="12" t="n">
        <x:v>1</x:v>
      </x:c>
      <x:c r="H1819" s="12" t="str">
        <x:v>{'LAFB': 100.0}</x:v>
      </x:c>
      <x:c r="I1819" s="12" t="str">
        <x:v>[('FLUT', 100.0), ('VAVB', 100.0), ('LAD3', 100.0), ('AB', 100.0)]</x:v>
      </x:c>
      <x:c r="J1819" s="12" t="str">
        <x:v>ptbxl_database.csv；ecg_id=17297；scp_codes</x:v>
      </x:c>
      <x:c r="K1819" s="12" t="str">
        <x:v>12sl_statements.csv；ecg_id=17297；statements_ext_snomed</x:v>
      </x:c>
      <x:c r="L1819" s="12"/>
      <x:c r="M1819" s="12" t="str">
        <x:v>negative</x:v>
      </x:c>
      <x:c r="N1819" s="12"/>
      <x:c r="O1819" s="12" t="str">
        <x:v>negative</x:v>
      </x:c>
      <x:c r="P1819" s="12" t="str">
        <x:f>IF(OR(M1819="unavailable",O1819="unavailable"),"不可评价",IF(OR(M1819="equivocal",O1819="equivocal"),"疑似",IF(AND(M1819="positive",O1819="positive"),"a",IF(O1819="positive","b",IF(M1819="positive","c","d")))))</x:f>
        <x:v>d</x:v>
      </x:c>
      <x:c r="Q1819" s="12"/>
      <x:c r="R1819" s="12" t="str">
        <x:v>negative</x:v>
      </x:c>
      <x:c r="S1819" s="12"/>
      <x:c r="T1819" s="12" t="str">
        <x:v>negative</x:v>
      </x:c>
      <x:c r="U1819" s="12" t="str">
        <x:f>IF(OR(R1819="unavailable",T1819="unavailable"),"不可评价",IF(OR(R1819="equivocal",T1819="equivocal"),"疑似",IF(AND(R1819="positive",T1819="positive"),"a",IF(T1819="positive","b",IF(R1819="positive","c","d")))))</x:f>
        <x:v>d</x:v>
      </x:c>
      <x:c r="V1819" s="12"/>
      <x:c r="W1819" s="12" t="str">
        <x:v>negative</x:v>
      </x:c>
      <x:c r="X1819" s="12"/>
      <x:c r="Y1819" s="12" t="str">
        <x:v>negative</x:v>
      </x:c>
      <x:c r="Z1819" s="12" t="str">
        <x:f>IF(OR(W1819="unavailable",Y1819="unavailable"),"不可评价",IF(OR(W1819="equivocal",Y1819="equivocal"),"疑似",IF(AND(W1819="positive",Y1819="positive"),"a",IF(Y1819="positive","b",IF(W1819="positive","c","d")))))</x:f>
        <x:v>d</x:v>
      </x:c>
      <x:c r="AA1819" s="12" t="str">
        <x:f>IF(OR(M1819="unavailable",O1819="unavailable"),"不可评价",IF(AND(OR(M1819="positive",M1819="equivocal"),OR(O1819="positive",O1819="equivocal")),"a",IF(OR(O1819="positive",O1819="equivocal"),"b",IF(OR(M1819="positive",M1819="equivocal"),"c","d"))))</x:f>
        <x:v>d</x:v>
      </x:c>
      <x:c r="AB1819" s="12" t="str">
        <x:f>IF(OR(M1819="unavailable",O1819="unavailable"),"不可评价",IF(AND(M1819="positive",O1819="positive"),"a",IF(O1819="positive","b",IF(M1819="positive","c","d"))))</x:f>
        <x:v>d</x:v>
      </x:c>
      <x:c r="AC1819" s="12" t="str">
        <x:f>IF(OR(R1819="unavailable",T1819="unavailable"),"不可评价",IF(AND(OR(R1819="positive",R1819="equivocal"),OR(T1819="positive",T1819="equivocal")),"a",IF(OR(T1819="positive",T1819="equivocal"),"b",IF(OR(R1819="positive",R1819="equivocal"),"c","d"))))</x:f>
        <x:v>d</x:v>
      </x:c>
      <x:c r="AD1819" s="12" t="str">
        <x:f>IF(OR(R1819="unavailable",T1819="unavailable"),"不可评价",IF(AND(R1819="positive",T1819="positive"),"a",IF(T1819="positive","b",IF(R1819="positive","c","d"))))</x:f>
        <x:v>d</x:v>
      </x:c>
      <x:c r="AE1819" s="12" t="str">
        <x:f>IF(OR(W1819="unavailable",Y1819="unavailable"),"不可评价",IF(AND(OR(W1819="positive",W1819="equivocal"),OR(Y1819="positive",Y1819="equivocal")),"a",IF(OR(Y1819="positive",Y1819="equivocal"),"b",IF(OR(W1819="positive",W1819="equivocal"),"c","d"))))</x:f>
        <x:v>d</x:v>
      </x:c>
      <x:c r="AF1819" s="12" t="str">
        <x:f>IF(OR(W1819="unavailable",Y1819="unavailable"),"不可评价",IF(AND(W1819="positive",Y1819="positive"),"a",IF(Y1819="positive","b",IF(W1819="positive","c","d"))))</x:f>
        <x:v>d</x:v>
      </x:c>
    </x:row>
    <x:row r="1820" ht="24" customHeight="1">
      <x:c r="A1820" s="12" t="str">
        <x:v>17298</x:v>
      </x:c>
      <x:c r="B1820" s="12" t="str">
        <x:v>11584</x:v>
      </x:c>
      <x:c r="C1820" s="21" t="n">
        <x:v>35402.70175925926</x:v>
      </x:c>
      <x:c r="D1820" s="12" t="n">
        <x:v>78</x:v>
      </x:c>
      <x:c r="E1820" s="12" t="n">
        <x:v>1</x:v>
      </x:c>
      <x:c r="F1820" s="12" t="str">
        <x:v>存在</x:v>
      </x:c>
      <x:c r="G1820" s="12" t="n">
        <x:v>0</x:v>
      </x:c>
      <x:c r="H1820" s="12" t="str">
        <x:v>{'LVH': 50.0, 'LNGQT': 100.0, 'SBRAD': 0.0}</x:v>
      </x:c>
      <x:c r="I1820" s="12" t="str">
        <x:v>[('NSR', 100.0), ('NSTT', 100.0), ('LNGQT', 100.0), ('AB', 100.0)]</x:v>
      </x:c>
      <x:c r="J1820" s="12" t="str">
        <x:v>ptbxl_database.csv；ecg_id=17298；scp_codes</x:v>
      </x:c>
      <x:c r="K1820" s="12" t="str">
        <x:v>12sl_statements.csv；ecg_id=17298；statements_ext_snomed</x:v>
      </x:c>
      <x:c r="L1820" s="12"/>
      <x:c r="M1820" s="12" t="str">
        <x:v>negative</x:v>
      </x:c>
      <x:c r="N1820" s="12"/>
      <x:c r="O1820" s="12" t="str">
        <x:v>negative</x:v>
      </x:c>
      <x:c r="P1820" s="12" t="str">
        <x:f>IF(OR(M1820="unavailable",O1820="unavailable"),"不可评价",IF(OR(M1820="equivocal",O1820="equivocal"),"疑似",IF(AND(M1820="positive",O1820="positive"),"a",IF(O1820="positive","b",IF(M1820="positive","c","d")))))</x:f>
        <x:v>d</x:v>
      </x:c>
      <x:c r="Q1820" s="12"/>
      <x:c r="R1820" s="12" t="str">
        <x:v>negative</x:v>
      </x:c>
      <x:c r="S1820" s="12"/>
      <x:c r="T1820" s="12" t="str">
        <x:v>negative</x:v>
      </x:c>
      <x:c r="U1820" s="12" t="str">
        <x:f>IF(OR(R1820="unavailable",T1820="unavailable"),"不可评价",IF(OR(R1820="equivocal",T1820="equivocal"),"疑似",IF(AND(R1820="positive",T1820="positive"),"a",IF(T1820="positive","b",IF(R1820="positive","c","d")))))</x:f>
        <x:v>d</x:v>
      </x:c>
      <x:c r="V1820" s="12"/>
      <x:c r="W1820" s="12" t="str">
        <x:v>negative</x:v>
      </x:c>
      <x:c r="X1820" s="12"/>
      <x:c r="Y1820" s="12" t="str">
        <x:v>negative</x:v>
      </x:c>
      <x:c r="Z1820" s="12" t="str">
        <x:f>IF(OR(W1820="unavailable",Y1820="unavailable"),"不可评价",IF(OR(W1820="equivocal",Y1820="equivocal"),"疑似",IF(AND(W1820="positive",Y1820="positive"),"a",IF(Y1820="positive","b",IF(W1820="positive","c","d")))))</x:f>
        <x:v>d</x:v>
      </x:c>
      <x:c r="AA1820" s="12" t="str">
        <x:f>IF(OR(M1820="unavailable",O1820="unavailable"),"不可评价",IF(AND(OR(M1820="positive",M1820="equivocal"),OR(O1820="positive",O1820="equivocal")),"a",IF(OR(O1820="positive",O1820="equivocal"),"b",IF(OR(M1820="positive",M1820="equivocal"),"c","d"))))</x:f>
        <x:v>d</x:v>
      </x:c>
      <x:c r="AB1820" s="12" t="str">
        <x:f>IF(OR(M1820="unavailable",O1820="unavailable"),"不可评价",IF(AND(M1820="positive",O1820="positive"),"a",IF(O1820="positive","b",IF(M1820="positive","c","d"))))</x:f>
        <x:v>d</x:v>
      </x:c>
      <x:c r="AC1820" s="12" t="str">
        <x:f>IF(OR(R1820="unavailable",T1820="unavailable"),"不可评价",IF(AND(OR(R1820="positive",R1820="equivocal"),OR(T1820="positive",T1820="equivocal")),"a",IF(OR(T1820="positive",T1820="equivocal"),"b",IF(OR(R1820="positive",R1820="equivocal"),"c","d"))))</x:f>
        <x:v>d</x:v>
      </x:c>
      <x:c r="AD1820" s="12" t="str">
        <x:f>IF(OR(R1820="unavailable",T1820="unavailable"),"不可评价",IF(AND(R1820="positive",T1820="positive"),"a",IF(T1820="positive","b",IF(R1820="positive","c","d"))))</x:f>
        <x:v>d</x:v>
      </x:c>
      <x:c r="AE1820" s="12" t="str">
        <x:f>IF(OR(W1820="unavailable",Y1820="unavailable"),"不可评价",IF(AND(OR(W1820="positive",W1820="equivocal"),OR(Y1820="positive",Y1820="equivocal")),"a",IF(OR(Y1820="positive",Y1820="equivocal"),"b",IF(OR(W1820="positive",W1820="equivocal"),"c","d"))))</x:f>
        <x:v>d</x:v>
      </x:c>
      <x:c r="AF1820" s="12" t="str">
        <x:f>IF(OR(W1820="unavailable",Y1820="unavailable"),"不可评价",IF(AND(W1820="positive",Y1820="positive"),"a",IF(Y1820="positive","b",IF(W1820="positive","c","d"))))</x:f>
        <x:v>d</x:v>
      </x:c>
    </x:row>
    <x:row r="1821" ht="24" customHeight="1">
      <x:c r="A1821" s="12" t="str">
        <x:v>17309</x:v>
      </x:c>
      <x:c r="B1821" s="12" t="str">
        <x:v>14640</x:v>
      </x:c>
      <x:c r="C1821" s="21" t="n">
        <x:v>35405.394780092596</x:v>
      </x:c>
      <x:c r="D1821" s="12" t="n">
        <x:v>60</x:v>
      </x:c>
      <x:c r="E1821" s="12" t="n">
        <x:v>0</x:v>
      </x:c>
      <x:c r="F1821" s="12" t="str">
        <x:v>存在</x:v>
      </x:c>
      <x:c r="G1821" s="12" t="n">
        <x:v>1</x:v>
      </x:c>
      <x:c r="H1821" s="12" t="str">
        <x:v>{'LVH': 100.0, 'ISC_': 100.0, 'AFIB': 0.0}</x:v>
      </x:c>
      <x:c r="I1821" s="12" t="str">
        <x:v>[('AFIB', 100.0), ('ST&amp;', 100.0), ('ILT', 100.0), ('LNGQT', 100.0), ('AB', 100.0)]</x:v>
      </x:c>
      <x:c r="J1821" s="12" t="str">
        <x:v>ptbxl_database.csv；ecg_id=17309；scp_codes</x:v>
      </x:c>
      <x:c r="K1821" s="12" t="str">
        <x:v>12sl_statements.csv；ecg_id=17309；statements_ext_snomed</x:v>
      </x:c>
      <x:c r="L1821" s="12" t="n">
        <x:v>0</x:v>
      </x:c>
      <x:c r="M1821" s="12" t="str">
        <x:v>positive</x:v>
      </x:c>
      <x:c r="N1821" s="12" t="n">
        <x:v>100</x:v>
      </x:c>
      <x:c r="O1821" s="12" t="str">
        <x:v>positive</x:v>
      </x:c>
      <x:c r="P1821" s="12" t="str">
        <x:f>IF(OR(M1821="unavailable",O1821="unavailable"),"不可评价",IF(OR(M1821="equivocal",O1821="equivocal"),"疑似",IF(AND(M1821="positive",O1821="positive"),"a",IF(O1821="positive","b",IF(M1821="positive","c","d")))))</x:f>
        <x:v>a</x:v>
      </x:c>
      <x:c r="Q1821" s="12"/>
      <x:c r="R1821" s="12" t="str">
        <x:v>negative</x:v>
      </x:c>
      <x:c r="S1821" s="12"/>
      <x:c r="T1821" s="12" t="str">
        <x:v>negative</x:v>
      </x:c>
      <x:c r="U1821" s="12" t="str">
        <x:f>IF(OR(R1821="unavailable",T1821="unavailable"),"不可评价",IF(OR(R1821="equivocal",T1821="equivocal"),"疑似",IF(AND(R1821="positive",T1821="positive"),"a",IF(T1821="positive","b",IF(R1821="positive","c","d")))))</x:f>
        <x:v>d</x:v>
      </x:c>
      <x:c r="V1821" s="12"/>
      <x:c r="W1821" s="12" t="str">
        <x:v>negative</x:v>
      </x:c>
      <x:c r="X1821" s="12"/>
      <x:c r="Y1821" s="12" t="str">
        <x:v>negative</x:v>
      </x:c>
      <x:c r="Z1821" s="12" t="str">
        <x:f>IF(OR(W1821="unavailable",Y1821="unavailable"),"不可评价",IF(OR(W1821="equivocal",Y1821="equivocal"),"疑似",IF(AND(W1821="positive",Y1821="positive"),"a",IF(Y1821="positive","b",IF(W1821="positive","c","d")))))</x:f>
        <x:v>d</x:v>
      </x:c>
      <x:c r="AA1821" s="12" t="str">
        <x:f>IF(OR(M1821="unavailable",O1821="unavailable"),"不可评价",IF(AND(OR(M1821="positive",M1821="equivocal"),OR(O1821="positive",O1821="equivocal")),"a",IF(OR(O1821="positive",O1821="equivocal"),"b",IF(OR(M1821="positive",M1821="equivocal"),"c","d"))))</x:f>
        <x:v>a</x:v>
      </x:c>
      <x:c r="AB1821" s="12" t="str">
        <x:f>IF(OR(M1821="unavailable",O1821="unavailable"),"不可评价",IF(AND(M1821="positive",O1821="positive"),"a",IF(O1821="positive","b",IF(M1821="positive","c","d"))))</x:f>
        <x:v>a</x:v>
      </x:c>
      <x:c r="AC1821" s="12" t="str">
        <x:f>IF(OR(R1821="unavailable",T1821="unavailable"),"不可评价",IF(AND(OR(R1821="positive",R1821="equivocal"),OR(T1821="positive",T1821="equivocal")),"a",IF(OR(T1821="positive",T1821="equivocal"),"b",IF(OR(R1821="positive",R1821="equivocal"),"c","d"))))</x:f>
        <x:v>d</x:v>
      </x:c>
      <x:c r="AD1821" s="12" t="str">
        <x:f>IF(OR(R1821="unavailable",T1821="unavailable"),"不可评价",IF(AND(R1821="positive",T1821="positive"),"a",IF(T1821="positive","b",IF(R1821="positive","c","d"))))</x:f>
        <x:v>d</x:v>
      </x:c>
      <x:c r="AE1821" s="12" t="str">
        <x:f>IF(OR(W1821="unavailable",Y1821="unavailable"),"不可评价",IF(AND(OR(W1821="positive",W1821="equivocal"),OR(Y1821="positive",Y1821="equivocal")),"a",IF(OR(Y1821="positive",Y1821="equivocal"),"b",IF(OR(W1821="positive",W1821="equivocal"),"c","d"))))</x:f>
        <x:v>d</x:v>
      </x:c>
      <x:c r="AF1821" s="12" t="str">
        <x:f>IF(OR(W1821="unavailable",Y1821="unavailable"),"不可评价",IF(AND(W1821="positive",Y1821="positive"),"a",IF(Y1821="positive","b",IF(W1821="positive","c","d"))))</x:f>
        <x:v>d</x:v>
      </x:c>
    </x:row>
    <x:row r="1822" ht="39" customHeight="1">
      <x:c r="A1822" s="12" t="str">
        <x:v>17316</x:v>
      </x:c>
      <x:c r="B1822" s="12" t="str">
        <x:v>11937</x:v>
      </x:c>
      <x:c r="C1822" s="21" t="n">
        <x:v>35405.64574074074</x:v>
      </x:c>
      <x:c r="D1822" s="12" t="n">
        <x:v>86</x:v>
      </x:c>
      <x:c r="E1822" s="12" t="n">
        <x:v>0</x:v>
      </x:c>
      <x:c r="F1822" s="12" t="str">
        <x:v>未记录</x:v>
      </x:c>
      <x:c r="G1822" s="12" t="n">
        <x:v>1</x:v>
      </x:c>
      <x:c r="H1822" s="12" t="str">
        <x:v>{'ISCAL': 100.0, 'SARRH': 0.0}</x:v>
      </x:c>
      <x:c r="I1822" s="12" t="str">
        <x:v>[('SRTH', 100.0), ('PAC', 100.0), ('LVH2', 100.0), ('2ST', 100.0), ('LNGQT', 100.0), ('AB', 100.0)]</x:v>
      </x:c>
      <x:c r="J1822" s="12" t="str">
        <x:v>ptbxl_database.csv；ecg_id=17316；scp_codes</x:v>
      </x:c>
      <x:c r="K1822" s="12" t="str">
        <x:v>12sl_statements.csv；ecg_id=17316；statements_ext_snomed</x:v>
      </x:c>
      <x:c r="L1822" s="12"/>
      <x:c r="M1822" s="12" t="str">
        <x:v>negative</x:v>
      </x:c>
      <x:c r="N1822" s="12"/>
      <x:c r="O1822" s="12" t="str">
        <x:v>negative</x:v>
      </x:c>
      <x:c r="P1822" s="12" t="str">
        <x:f>IF(OR(M1822="unavailable",O1822="unavailable"),"不可评价",IF(OR(M1822="equivocal",O1822="equivocal"),"疑似",IF(AND(M1822="positive",O1822="positive"),"a",IF(O1822="positive","b",IF(M1822="positive","c","d")))))</x:f>
        <x:v>d</x:v>
      </x:c>
      <x:c r="Q1822" s="12"/>
      <x:c r="R1822" s="12" t="str">
        <x:v>negative</x:v>
      </x:c>
      <x:c r="S1822" s="12"/>
      <x:c r="T1822" s="12" t="str">
        <x:v>negative</x:v>
      </x:c>
      <x:c r="U1822" s="12" t="str">
        <x:f>IF(OR(R1822="unavailable",T1822="unavailable"),"不可评价",IF(OR(R1822="equivocal",T1822="equivocal"),"疑似",IF(AND(R1822="positive",T1822="positive"),"a",IF(T1822="positive","b",IF(R1822="positive","c","d")))))</x:f>
        <x:v>d</x:v>
      </x:c>
      <x:c r="V1822" s="12"/>
      <x:c r="W1822" s="12" t="str">
        <x:v>negative</x:v>
      </x:c>
      <x:c r="X1822" s="12"/>
      <x:c r="Y1822" s="12" t="str">
        <x:v>negative</x:v>
      </x:c>
      <x:c r="Z1822" s="12" t="str">
        <x:f>IF(OR(W1822="unavailable",Y1822="unavailable"),"不可评价",IF(OR(W1822="equivocal",Y1822="equivocal"),"疑似",IF(AND(W1822="positive",Y1822="positive"),"a",IF(Y1822="positive","b",IF(W1822="positive","c","d")))))</x:f>
        <x:v>d</x:v>
      </x:c>
      <x:c r="AA1822" s="12" t="str">
        <x:f>IF(OR(M1822="unavailable",O1822="unavailable"),"不可评价",IF(AND(OR(M1822="positive",M1822="equivocal"),OR(O1822="positive",O1822="equivocal")),"a",IF(OR(O1822="positive",O1822="equivocal"),"b",IF(OR(M1822="positive",M1822="equivocal"),"c","d"))))</x:f>
        <x:v>d</x:v>
      </x:c>
      <x:c r="AB1822" s="12" t="str">
        <x:f>IF(OR(M1822="unavailable",O1822="unavailable"),"不可评价",IF(AND(M1822="positive",O1822="positive"),"a",IF(O1822="positive","b",IF(M1822="positive","c","d"))))</x:f>
        <x:v>d</x:v>
      </x:c>
      <x:c r="AC1822" s="12" t="str">
        <x:f>IF(OR(R1822="unavailable",T1822="unavailable"),"不可评价",IF(AND(OR(R1822="positive",R1822="equivocal"),OR(T1822="positive",T1822="equivocal")),"a",IF(OR(T1822="positive",T1822="equivocal"),"b",IF(OR(R1822="positive",R1822="equivocal"),"c","d"))))</x:f>
        <x:v>d</x:v>
      </x:c>
      <x:c r="AD1822" s="12" t="str">
        <x:f>IF(OR(R1822="unavailable",T1822="unavailable"),"不可评价",IF(AND(R1822="positive",T1822="positive"),"a",IF(T1822="positive","b",IF(R1822="positive","c","d"))))</x:f>
        <x:v>d</x:v>
      </x:c>
      <x:c r="AE1822" s="12" t="str">
        <x:f>IF(OR(W1822="unavailable",Y1822="unavailable"),"不可评价",IF(AND(OR(W1822="positive",W1822="equivocal"),OR(Y1822="positive",Y1822="equivocal")),"a",IF(OR(Y1822="positive",Y1822="equivocal"),"b",IF(OR(W1822="positive",W1822="equivocal"),"c","d"))))</x:f>
        <x:v>d</x:v>
      </x:c>
      <x:c r="AF1822" s="12" t="str">
        <x:f>IF(OR(W1822="unavailable",Y1822="unavailable"),"不可评价",IF(AND(W1822="positive",Y1822="positive"),"a",IF(Y1822="positive","b",IF(W1822="positive","c","d"))))</x:f>
        <x:v>d</x:v>
      </x:c>
    </x:row>
    <x:row r="1823" ht="24" customHeight="1">
      <x:c r="A1823" s="12" t="str">
        <x:v>17323</x:v>
      </x:c>
      <x:c r="B1823" s="12" t="str">
        <x:v>9935</x:v>
      </x:c>
      <x:c r="C1823" s="21" t="n">
        <x:v>35406.64020833333</x:v>
      </x:c>
      <x:c r="D1823" s="12" t="n">
        <x:v>71</x:v>
      </x:c>
      <x:c r="E1823" s="12" t="n">
        <x:v>1</x:v>
      </x:c>
      <x:c r="F1823" s="12" t="str">
        <x:v>未记录</x:v>
      </x:c>
      <x:c r="G1823" s="12" t="n">
        <x:v>1</x:v>
      </x:c>
      <x:c r="H1823" s="12" t="str">
        <x:v>{'ISCAL': 100.0, 'SR': 0.0}</x:v>
      </x:c>
      <x:c r="I1823" s="12" t="str">
        <x:v>[('SBRAD', 100.0), ('NSTT', 100.0), ('AB', 100.0)]</x:v>
      </x:c>
      <x:c r="J1823" s="12" t="str">
        <x:v>ptbxl_database.csv；ecg_id=17323；scp_codes</x:v>
      </x:c>
      <x:c r="K1823" s="12" t="str">
        <x:v>12sl_statements.csv；ecg_id=17323；statements_ext_snomed</x:v>
      </x:c>
      <x:c r="L1823" s="12"/>
      <x:c r="M1823" s="12" t="str">
        <x:v>negative</x:v>
      </x:c>
      <x:c r="N1823" s="12"/>
      <x:c r="O1823" s="12" t="str">
        <x:v>negative</x:v>
      </x:c>
      <x:c r="P1823" s="12" t="str">
        <x:f>IF(OR(M1823="unavailable",O1823="unavailable"),"不可评价",IF(OR(M1823="equivocal",O1823="equivocal"),"疑似",IF(AND(M1823="positive",O1823="positive"),"a",IF(O1823="positive","b",IF(M1823="positive","c","d")))))</x:f>
        <x:v>d</x:v>
      </x:c>
      <x:c r="Q1823" s="12"/>
      <x:c r="R1823" s="12" t="str">
        <x:v>negative</x:v>
      </x:c>
      <x:c r="S1823" s="12"/>
      <x:c r="T1823" s="12" t="str">
        <x:v>negative</x:v>
      </x:c>
      <x:c r="U1823" s="12" t="str">
        <x:f>IF(OR(R1823="unavailable",T1823="unavailable"),"不可评价",IF(OR(R1823="equivocal",T1823="equivocal"),"疑似",IF(AND(R1823="positive",T1823="positive"),"a",IF(T1823="positive","b",IF(R1823="positive","c","d")))))</x:f>
        <x:v>d</x:v>
      </x:c>
      <x:c r="V1823" s="12"/>
      <x:c r="W1823" s="12" t="str">
        <x:v>negative</x:v>
      </x:c>
      <x:c r="X1823" s="12"/>
      <x:c r="Y1823" s="12" t="str">
        <x:v>negative</x:v>
      </x:c>
      <x:c r="Z1823" s="12" t="str">
        <x:f>IF(OR(W1823="unavailable",Y1823="unavailable"),"不可评价",IF(OR(W1823="equivocal",Y1823="equivocal"),"疑似",IF(AND(W1823="positive",Y1823="positive"),"a",IF(Y1823="positive","b",IF(W1823="positive","c","d")))))</x:f>
        <x:v>d</x:v>
      </x:c>
      <x:c r="AA1823" s="12" t="str">
        <x:f>IF(OR(M1823="unavailable",O1823="unavailable"),"不可评价",IF(AND(OR(M1823="positive",M1823="equivocal"),OR(O1823="positive",O1823="equivocal")),"a",IF(OR(O1823="positive",O1823="equivocal"),"b",IF(OR(M1823="positive",M1823="equivocal"),"c","d"))))</x:f>
        <x:v>d</x:v>
      </x:c>
      <x:c r="AB1823" s="12" t="str">
        <x:f>IF(OR(M1823="unavailable",O1823="unavailable"),"不可评价",IF(AND(M1823="positive",O1823="positive"),"a",IF(O1823="positive","b",IF(M1823="positive","c","d"))))</x:f>
        <x:v>d</x:v>
      </x:c>
      <x:c r="AC1823" s="12" t="str">
        <x:f>IF(OR(R1823="unavailable",T1823="unavailable"),"不可评价",IF(AND(OR(R1823="positive",R1823="equivocal"),OR(T1823="positive",T1823="equivocal")),"a",IF(OR(T1823="positive",T1823="equivocal"),"b",IF(OR(R1823="positive",R1823="equivocal"),"c","d"))))</x:f>
        <x:v>d</x:v>
      </x:c>
      <x:c r="AD1823" s="12" t="str">
        <x:f>IF(OR(R1823="unavailable",T1823="unavailable"),"不可评价",IF(AND(R1823="positive",T1823="positive"),"a",IF(T1823="positive","b",IF(R1823="positive","c","d"))))</x:f>
        <x:v>d</x:v>
      </x:c>
      <x:c r="AE1823" s="12" t="str">
        <x:f>IF(OR(W1823="unavailable",Y1823="unavailable"),"不可评价",IF(AND(OR(W1823="positive",W1823="equivocal"),OR(Y1823="positive",Y1823="equivocal")),"a",IF(OR(Y1823="positive",Y1823="equivocal"),"b",IF(OR(W1823="positive",W1823="equivocal"),"c","d"))))</x:f>
        <x:v>d</x:v>
      </x:c>
      <x:c r="AF1823" s="12" t="str">
        <x:f>IF(OR(W1823="unavailable",Y1823="unavailable"),"不可评价",IF(AND(W1823="positive",Y1823="positive"),"a",IF(Y1823="positive","b",IF(W1823="positive","c","d"))))</x:f>
        <x:v>d</x:v>
      </x:c>
    </x:row>
    <x:row r="1824" ht="24" customHeight="1">
      <x:c r="A1824" s="12" t="str">
        <x:v>17325</x:v>
      </x:c>
      <x:c r="B1824" s="12" t="str">
        <x:v>16295</x:v>
      </x:c>
      <x:c r="C1824" s="21" t="n">
        <x:v>35406.76142361111</x:v>
      </x:c>
      <x:c r="D1824" s="12" t="n">
        <x:v>69</x:v>
      </x:c>
      <x:c r="E1824" s="12" t="n">
        <x:v>0</x:v>
      </x:c>
      <x:c r="F1824" s="12" t="str">
        <x:v>未记录</x:v>
      </x:c>
      <x:c r="G1824" s="12" t="n">
        <x:v>1</x:v>
      </x:c>
      <x:c r="H1824" s="12" t="str">
        <x:v>{'LVH': 50.0}</x:v>
      </x:c>
      <x:c r="I1824" s="12" t="str">
        <x:v>[('FLUT', 100.0), ('W4T1', 100.0), ('AB', 100.0)]</x:v>
      </x:c>
      <x:c r="J1824" s="12" t="str">
        <x:v>ptbxl_database.csv；ecg_id=17325；scp_codes</x:v>
      </x:c>
      <x:c r="K1824" s="12" t="str">
        <x:v>12sl_statements.csv；ecg_id=17325；statements_ext_snomed</x:v>
      </x:c>
      <x:c r="L1824" s="12"/>
      <x:c r="M1824" s="12" t="str">
        <x:v>negative</x:v>
      </x:c>
      <x:c r="N1824" s="12"/>
      <x:c r="O1824" s="12" t="str">
        <x:v>negative</x:v>
      </x:c>
      <x:c r="P1824" s="12" t="str">
        <x:f>IF(OR(M1824="unavailable",O1824="unavailable"),"不可评价",IF(OR(M1824="equivocal",O1824="equivocal"),"疑似",IF(AND(M1824="positive",O1824="positive"),"a",IF(O1824="positive","b",IF(M1824="positive","c","d")))))</x:f>
        <x:v>d</x:v>
      </x:c>
      <x:c r="Q1824" s="12"/>
      <x:c r="R1824" s="12" t="str">
        <x:v>negative</x:v>
      </x:c>
      <x:c r="S1824" s="12"/>
      <x:c r="T1824" s="12" t="str">
        <x:v>negative</x:v>
      </x:c>
      <x:c r="U1824" s="12" t="str">
        <x:f>IF(OR(R1824="unavailable",T1824="unavailable"),"不可评价",IF(OR(R1824="equivocal",T1824="equivocal"),"疑似",IF(AND(R1824="positive",T1824="positive"),"a",IF(T1824="positive","b",IF(R1824="positive","c","d")))))</x:f>
        <x:v>d</x:v>
      </x:c>
      <x:c r="V1824" s="12"/>
      <x:c r="W1824" s="12" t="str">
        <x:v>negative</x:v>
      </x:c>
      <x:c r="X1824" s="12"/>
      <x:c r="Y1824" s="12" t="str">
        <x:v>negative</x:v>
      </x:c>
      <x:c r="Z1824" s="12" t="str">
        <x:f>IF(OR(W1824="unavailable",Y1824="unavailable"),"不可评价",IF(OR(W1824="equivocal",Y1824="equivocal"),"疑似",IF(AND(W1824="positive",Y1824="positive"),"a",IF(Y1824="positive","b",IF(W1824="positive","c","d")))))</x:f>
        <x:v>d</x:v>
      </x:c>
      <x:c r="AA1824" s="12" t="str">
        <x:f>IF(OR(M1824="unavailable",O1824="unavailable"),"不可评价",IF(AND(OR(M1824="positive",M1824="equivocal"),OR(O1824="positive",O1824="equivocal")),"a",IF(OR(O1824="positive",O1824="equivocal"),"b",IF(OR(M1824="positive",M1824="equivocal"),"c","d"))))</x:f>
        <x:v>d</x:v>
      </x:c>
      <x:c r="AB1824" s="12" t="str">
        <x:f>IF(OR(M1824="unavailable",O1824="unavailable"),"不可评价",IF(AND(M1824="positive",O1824="positive"),"a",IF(O1824="positive","b",IF(M1824="positive","c","d"))))</x:f>
        <x:v>d</x:v>
      </x:c>
      <x:c r="AC1824" s="12" t="str">
        <x:f>IF(OR(R1824="unavailable",T1824="unavailable"),"不可评价",IF(AND(OR(R1824="positive",R1824="equivocal"),OR(T1824="positive",T1824="equivocal")),"a",IF(OR(T1824="positive",T1824="equivocal"),"b",IF(OR(R1824="positive",R1824="equivocal"),"c","d"))))</x:f>
        <x:v>d</x:v>
      </x:c>
      <x:c r="AD1824" s="12" t="str">
        <x:f>IF(OR(R1824="unavailable",T1824="unavailable"),"不可评价",IF(AND(R1824="positive",T1824="positive"),"a",IF(T1824="positive","b",IF(R1824="positive","c","d"))))</x:f>
        <x:v>d</x:v>
      </x:c>
      <x:c r="AE1824" s="12" t="str">
        <x:f>IF(OR(W1824="unavailable",Y1824="unavailable"),"不可评价",IF(AND(OR(W1824="positive",W1824="equivocal"),OR(Y1824="positive",Y1824="equivocal")),"a",IF(OR(Y1824="positive",Y1824="equivocal"),"b",IF(OR(W1824="positive",W1824="equivocal"),"c","d"))))</x:f>
        <x:v>d</x:v>
      </x:c>
      <x:c r="AF1824" s="12" t="str">
        <x:f>IF(OR(W1824="unavailable",Y1824="unavailable"),"不可评价",IF(AND(W1824="positive",Y1824="positive"),"a",IF(Y1824="positive","b",IF(W1824="positive","c","d"))))</x:f>
        <x:v>d</x:v>
      </x:c>
    </x:row>
    <x:row r="1825" ht="24" customHeight="1">
      <x:c r="A1825" s="12" t="str">
        <x:v>17358</x:v>
      </x:c>
      <x:c r="B1825" s="12" t="str">
        <x:v>20584</x:v>
      </x:c>
      <x:c r="C1825" s="21" t="n">
        <x:v>35416.49613425926</x:v>
      </x:c>
      <x:c r="D1825" s="12" t="n">
        <x:v>50</x:v>
      </x:c>
      <x:c r="E1825" s="12" t="n">
        <x:v>0</x:v>
      </x:c>
      <x:c r="F1825" s="12" t="str">
        <x:v>未记录</x:v>
      </x:c>
      <x:c r="G1825" s="12" t="n">
        <x:v>0</x:v>
      </x:c>
      <x:c r="H1825" s="12" t="str">
        <x:v>{'NORM': 100.0, 'SR': 0.0}</x:v>
      </x:c>
      <x:c r="I1825" s="12" t="str">
        <x:v>[('SBRAD', 100.0), ('ABR', 100.0)]</x:v>
      </x:c>
      <x:c r="J1825" s="12" t="str">
        <x:v>ptbxl_database.csv；ecg_id=17358；scp_codes</x:v>
      </x:c>
      <x:c r="K1825" s="12" t="str">
        <x:v>12sl_statements.csv；ecg_id=17358；statements_ext_snomed</x:v>
      </x:c>
      <x:c r="L1825" s="12"/>
      <x:c r="M1825" s="12" t="str">
        <x:v>negative</x:v>
      </x:c>
      <x:c r="N1825" s="12"/>
      <x:c r="O1825" s="12" t="str">
        <x:v>negative</x:v>
      </x:c>
      <x:c r="P1825" s="12" t="str">
        <x:f>IF(OR(M1825="unavailable",O1825="unavailable"),"不可评价",IF(OR(M1825="equivocal",O1825="equivocal"),"疑似",IF(AND(M1825="positive",O1825="positive"),"a",IF(O1825="positive","b",IF(M1825="positive","c","d")))))</x:f>
        <x:v>d</x:v>
      </x:c>
      <x:c r="Q1825" s="12"/>
      <x:c r="R1825" s="12" t="str">
        <x:v>negative</x:v>
      </x:c>
      <x:c r="S1825" s="12"/>
      <x:c r="T1825" s="12" t="str">
        <x:v>negative</x:v>
      </x:c>
      <x:c r="U1825" s="12" t="str">
        <x:f>IF(OR(R1825="unavailable",T1825="unavailable"),"不可评价",IF(OR(R1825="equivocal",T1825="equivocal"),"疑似",IF(AND(R1825="positive",T1825="positive"),"a",IF(T1825="positive","b",IF(R1825="positive","c","d")))))</x:f>
        <x:v>d</x:v>
      </x:c>
      <x:c r="V1825" s="12"/>
      <x:c r="W1825" s="12" t="str">
        <x:v>negative</x:v>
      </x:c>
      <x:c r="X1825" s="12"/>
      <x:c r="Y1825" s="12" t="str">
        <x:v>negative</x:v>
      </x:c>
      <x:c r="Z1825" s="12" t="str">
        <x:f>IF(OR(W1825="unavailable",Y1825="unavailable"),"不可评价",IF(OR(W1825="equivocal",Y1825="equivocal"),"疑似",IF(AND(W1825="positive",Y1825="positive"),"a",IF(Y1825="positive","b",IF(W1825="positive","c","d")))))</x:f>
        <x:v>d</x:v>
      </x:c>
      <x:c r="AA1825" s="12" t="str">
        <x:f>IF(OR(M1825="unavailable",O1825="unavailable"),"不可评价",IF(AND(OR(M1825="positive",M1825="equivocal"),OR(O1825="positive",O1825="equivocal")),"a",IF(OR(O1825="positive",O1825="equivocal"),"b",IF(OR(M1825="positive",M1825="equivocal"),"c","d"))))</x:f>
        <x:v>d</x:v>
      </x:c>
      <x:c r="AB1825" s="12" t="str">
        <x:f>IF(OR(M1825="unavailable",O1825="unavailable"),"不可评价",IF(AND(M1825="positive",O1825="positive"),"a",IF(O1825="positive","b",IF(M1825="positive","c","d"))))</x:f>
        <x:v>d</x:v>
      </x:c>
      <x:c r="AC1825" s="12" t="str">
        <x:f>IF(OR(R1825="unavailable",T1825="unavailable"),"不可评价",IF(AND(OR(R1825="positive",R1825="equivocal"),OR(T1825="positive",T1825="equivocal")),"a",IF(OR(T1825="positive",T1825="equivocal"),"b",IF(OR(R1825="positive",R1825="equivocal"),"c","d"))))</x:f>
        <x:v>d</x:v>
      </x:c>
      <x:c r="AD1825" s="12" t="str">
        <x:f>IF(OR(R1825="unavailable",T1825="unavailable"),"不可评价",IF(AND(R1825="positive",T1825="positive"),"a",IF(T1825="positive","b",IF(R1825="positive","c","d"))))</x:f>
        <x:v>d</x:v>
      </x:c>
      <x:c r="AE1825" s="12" t="str">
        <x:f>IF(OR(W1825="unavailable",Y1825="unavailable"),"不可评价",IF(AND(OR(W1825="positive",W1825="equivocal"),OR(Y1825="positive",Y1825="equivocal")),"a",IF(OR(Y1825="positive",Y1825="equivocal"),"b",IF(OR(W1825="positive",W1825="equivocal"),"c","d"))))</x:f>
        <x:v>d</x:v>
      </x:c>
      <x:c r="AF1825" s="12" t="str">
        <x:f>IF(OR(W1825="unavailable",Y1825="unavailable"),"不可评价",IF(AND(W1825="positive",Y1825="positive"),"a",IF(Y1825="positive","b",IF(W1825="positive","c","d"))))</x:f>
        <x:v>d</x:v>
      </x:c>
    </x:row>
    <x:row r="1826" ht="24" customHeight="1">
      <x:c r="A1826" s="12" t="str">
        <x:v>17370</x:v>
      </x:c>
      <x:c r="B1826" s="12" t="str">
        <x:v>12914</x:v>
      </x:c>
      <x:c r="C1826" s="21" t="n">
        <x:v>35417.72392361111</x:v>
      </x:c>
      <x:c r="D1826" s="12" t="n">
        <x:v>45</x:v>
      </x:c>
      <x:c r="E1826" s="12" t="n">
        <x:v>0</x:v>
      </x:c>
      <x:c r="F1826" s="12" t="str">
        <x:v>存在</x:v>
      </x:c>
      <x:c r="G1826" s="12" t="n">
        <x:v>1</x:v>
      </x:c>
      <x:c r="H1826" s="12" t="str">
        <x:v>{'NORM': 80.0, 'STACH': 0.0}</x:v>
      </x:c>
      <x:c r="I1826" s="12" t="str">
        <x:v>[('STACH', 100.0), ('ABR', 100.0)]</x:v>
      </x:c>
      <x:c r="J1826" s="12" t="str">
        <x:v>ptbxl_database.csv；ecg_id=17370；scp_codes</x:v>
      </x:c>
      <x:c r="K1826" s="12" t="str">
        <x:v>12sl_statements.csv；ecg_id=17370；statements_ext_snomed</x:v>
      </x:c>
      <x:c r="L1826" s="12"/>
      <x:c r="M1826" s="12" t="str">
        <x:v>negative</x:v>
      </x:c>
      <x:c r="N1826" s="12"/>
      <x:c r="O1826" s="12" t="str">
        <x:v>negative</x:v>
      </x:c>
      <x:c r="P1826" s="12" t="str">
        <x:f>IF(OR(M1826="unavailable",O1826="unavailable"),"不可评价",IF(OR(M1826="equivocal",O1826="equivocal"),"疑似",IF(AND(M1826="positive",O1826="positive"),"a",IF(O1826="positive","b",IF(M1826="positive","c","d")))))</x:f>
        <x:v>d</x:v>
      </x:c>
      <x:c r="Q1826" s="12"/>
      <x:c r="R1826" s="12" t="str">
        <x:v>negative</x:v>
      </x:c>
      <x:c r="S1826" s="12"/>
      <x:c r="T1826" s="12" t="str">
        <x:v>negative</x:v>
      </x:c>
      <x:c r="U1826" s="12" t="str">
        <x:f>IF(OR(R1826="unavailable",T1826="unavailable"),"不可评价",IF(OR(R1826="equivocal",T1826="equivocal"),"疑似",IF(AND(R1826="positive",T1826="positive"),"a",IF(T1826="positive","b",IF(R1826="positive","c","d")))))</x:f>
        <x:v>d</x:v>
      </x:c>
      <x:c r="V1826" s="12"/>
      <x:c r="W1826" s="12" t="str">
        <x:v>negative</x:v>
      </x:c>
      <x:c r="X1826" s="12"/>
      <x:c r="Y1826" s="12" t="str">
        <x:v>negative</x:v>
      </x:c>
      <x:c r="Z1826" s="12" t="str">
        <x:f>IF(OR(W1826="unavailable",Y1826="unavailable"),"不可评价",IF(OR(W1826="equivocal",Y1826="equivocal"),"疑似",IF(AND(W1826="positive",Y1826="positive"),"a",IF(Y1826="positive","b",IF(W1826="positive","c","d")))))</x:f>
        <x:v>d</x:v>
      </x:c>
      <x:c r="AA1826" s="12" t="str">
        <x:f>IF(OR(M1826="unavailable",O1826="unavailable"),"不可评价",IF(AND(OR(M1826="positive",M1826="equivocal"),OR(O1826="positive",O1826="equivocal")),"a",IF(OR(O1826="positive",O1826="equivocal"),"b",IF(OR(M1826="positive",M1826="equivocal"),"c","d"))))</x:f>
        <x:v>d</x:v>
      </x:c>
      <x:c r="AB1826" s="12" t="str">
        <x:f>IF(OR(M1826="unavailable",O1826="unavailable"),"不可评价",IF(AND(M1826="positive",O1826="positive"),"a",IF(O1826="positive","b",IF(M1826="positive","c","d"))))</x:f>
        <x:v>d</x:v>
      </x:c>
      <x:c r="AC1826" s="12" t="str">
        <x:f>IF(OR(R1826="unavailable",T1826="unavailable"),"不可评价",IF(AND(OR(R1826="positive",R1826="equivocal"),OR(T1826="positive",T1826="equivocal")),"a",IF(OR(T1826="positive",T1826="equivocal"),"b",IF(OR(R1826="positive",R1826="equivocal"),"c","d"))))</x:f>
        <x:v>d</x:v>
      </x:c>
      <x:c r="AD1826" s="12" t="str">
        <x:f>IF(OR(R1826="unavailable",T1826="unavailable"),"不可评价",IF(AND(R1826="positive",T1826="positive"),"a",IF(T1826="positive","b",IF(R1826="positive","c","d"))))</x:f>
        <x:v>d</x:v>
      </x:c>
      <x:c r="AE1826" s="12" t="str">
        <x:f>IF(OR(W1826="unavailable",Y1826="unavailable"),"不可评价",IF(AND(OR(W1826="positive",W1826="equivocal"),OR(Y1826="positive",Y1826="equivocal")),"a",IF(OR(Y1826="positive",Y1826="equivocal"),"b",IF(OR(W1826="positive",W1826="equivocal"),"c","d"))))</x:f>
        <x:v>d</x:v>
      </x:c>
      <x:c r="AF1826" s="12" t="str">
        <x:f>IF(OR(W1826="unavailable",Y1826="unavailable"),"不可评价",IF(AND(W1826="positive",Y1826="positive"),"a",IF(Y1826="positive","b",IF(W1826="positive","c","d"))))</x:f>
        <x:v>d</x:v>
      </x:c>
    </x:row>
    <x:row r="1827" ht="24" customHeight="1">
      <x:c r="A1827" s="12" t="str">
        <x:v>17371</x:v>
      </x:c>
      <x:c r="B1827" s="12" t="str">
        <x:v>21241</x:v>
      </x:c>
      <x:c r="C1827" s="21" t="n">
        <x:v>35417.760462962964</x:v>
      </x:c>
      <x:c r="D1827" s="12" t="n">
        <x:v>84</x:v>
      </x:c>
      <x:c r="E1827" s="12" t="n">
        <x:v>1</x:v>
      </x:c>
      <x:c r="F1827" s="12" t="str">
        <x:v>存在</x:v>
      </x:c>
      <x:c r="G1827" s="12" t="n">
        <x:v>1</x:v>
      </x:c>
      <x:c r="H1827" s="12" t="str">
        <x:v>{'IVCD': 100.0, 'SR': 0.0}</x:v>
      </x:c>
      <x:c r="I1827" s="12" t="str">
        <x:v>[('NSR', 100.0), ('AMI;AU', 15.0), ('AB', 100.0)]</x:v>
      </x:c>
      <x:c r="J1827" s="12" t="str">
        <x:v>ptbxl_database.csv；ecg_id=17371；scp_codes</x:v>
      </x:c>
      <x:c r="K1827" s="12" t="str">
        <x:v>12sl_statements.csv；ecg_id=17371；statements_ext_snomed</x:v>
      </x:c>
      <x:c r="L1827" s="12"/>
      <x:c r="M1827" s="12" t="str">
        <x:v>negative</x:v>
      </x:c>
      <x:c r="N1827" s="12"/>
      <x:c r="O1827" s="12" t="str">
        <x:v>negative</x:v>
      </x:c>
      <x:c r="P1827" s="12" t="str">
        <x:f>IF(OR(M1827="unavailable",O1827="unavailable"),"不可评价",IF(OR(M1827="equivocal",O1827="equivocal"),"疑似",IF(AND(M1827="positive",O1827="positive"),"a",IF(O1827="positive","b",IF(M1827="positive","c","d")))))</x:f>
        <x:v>d</x:v>
      </x:c>
      <x:c r="Q1827" s="12"/>
      <x:c r="R1827" s="12" t="str">
        <x:v>negative</x:v>
      </x:c>
      <x:c r="S1827" s="12"/>
      <x:c r="T1827" s="12" t="str">
        <x:v>negative</x:v>
      </x:c>
      <x:c r="U1827" s="12" t="str">
        <x:f>IF(OR(R1827="unavailable",T1827="unavailable"),"不可评价",IF(OR(R1827="equivocal",T1827="equivocal"),"疑似",IF(AND(R1827="positive",T1827="positive"),"a",IF(T1827="positive","b",IF(R1827="positive","c","d")))))</x:f>
        <x:v>d</x:v>
      </x:c>
      <x:c r="V1827" s="12"/>
      <x:c r="W1827" s="12" t="str">
        <x:v>negative</x:v>
      </x:c>
      <x:c r="X1827" s="12"/>
      <x:c r="Y1827" s="12" t="str">
        <x:v>negative</x:v>
      </x:c>
      <x:c r="Z1827" s="12" t="str">
        <x:f>IF(OR(W1827="unavailable",Y1827="unavailable"),"不可评价",IF(OR(W1827="equivocal",Y1827="equivocal"),"疑似",IF(AND(W1827="positive",Y1827="positive"),"a",IF(Y1827="positive","b",IF(W1827="positive","c","d")))))</x:f>
        <x:v>d</x:v>
      </x:c>
      <x:c r="AA1827" s="12" t="str">
        <x:f>IF(OR(M1827="unavailable",O1827="unavailable"),"不可评价",IF(AND(OR(M1827="positive",M1827="equivocal"),OR(O1827="positive",O1827="equivocal")),"a",IF(OR(O1827="positive",O1827="equivocal"),"b",IF(OR(M1827="positive",M1827="equivocal"),"c","d"))))</x:f>
        <x:v>d</x:v>
      </x:c>
      <x:c r="AB1827" s="12" t="str">
        <x:f>IF(OR(M1827="unavailable",O1827="unavailable"),"不可评价",IF(AND(M1827="positive",O1827="positive"),"a",IF(O1827="positive","b",IF(M1827="positive","c","d"))))</x:f>
        <x:v>d</x:v>
      </x:c>
      <x:c r="AC1827" s="12" t="str">
        <x:f>IF(OR(R1827="unavailable",T1827="unavailable"),"不可评价",IF(AND(OR(R1827="positive",R1827="equivocal"),OR(T1827="positive",T1827="equivocal")),"a",IF(OR(T1827="positive",T1827="equivocal"),"b",IF(OR(R1827="positive",R1827="equivocal"),"c","d"))))</x:f>
        <x:v>d</x:v>
      </x:c>
      <x:c r="AD1827" s="12" t="str">
        <x:f>IF(OR(R1827="unavailable",T1827="unavailable"),"不可评价",IF(AND(R1827="positive",T1827="positive"),"a",IF(T1827="positive","b",IF(R1827="positive","c","d"))))</x:f>
        <x:v>d</x:v>
      </x:c>
      <x:c r="AE1827" s="12" t="str">
        <x:f>IF(OR(W1827="unavailable",Y1827="unavailable"),"不可评价",IF(AND(OR(W1827="positive",W1827="equivocal"),OR(Y1827="positive",Y1827="equivocal")),"a",IF(OR(Y1827="positive",Y1827="equivocal"),"b",IF(OR(W1827="positive",W1827="equivocal"),"c","d"))))</x:f>
        <x:v>d</x:v>
      </x:c>
      <x:c r="AF1827" s="12" t="str">
        <x:f>IF(OR(W1827="unavailable",Y1827="unavailable"),"不可评价",IF(AND(W1827="positive",Y1827="positive"),"a",IF(Y1827="positive","b",IF(W1827="positive","c","d"))))</x:f>
        <x:v>d</x:v>
      </x:c>
    </x:row>
    <x:row r="1828" ht="24" customHeight="1">
      <x:c r="A1828" s="12" t="str">
        <x:v>17386</x:v>
      </x:c>
      <x:c r="B1828" s="12" t="str">
        <x:v>13134</x:v>
      </x:c>
      <x:c r="C1828" s="21" t="n">
        <x:v>35423.94116898148</x:v>
      </x:c>
      <x:c r="D1828" s="12" t="n">
        <x:v>81</x:v>
      </x:c>
      <x:c r="E1828" s="12" t="n">
        <x:v>0</x:v>
      </x:c>
      <x:c r="F1828" s="12" t="str">
        <x:v>存在</x:v>
      </x:c>
      <x:c r="G1828" s="12" t="n">
        <x:v>0</x:v>
      </x:c>
      <x:c r="H1828" s="12" t="str">
        <x:v>{'AFIB': 100.0}</x:v>
      </x:c>
      <x:c r="I1828" s="12" t="str">
        <x:v>[('UR', 100.0), ('ABR', 100.0)]</x:v>
      </x:c>
      <x:c r="J1828" s="12" t="str">
        <x:v>ptbxl_database.csv；ecg_id=17386；scp_codes</x:v>
      </x:c>
      <x:c r="K1828" s="12" t="str">
        <x:v>12sl_statements.csv；ecg_id=17386；statements_ext_snomed</x:v>
      </x:c>
      <x:c r="L1828" s="12" t="n">
        <x:v>100</x:v>
      </x:c>
      <x:c r="M1828" s="12" t="str">
        <x:v>positive</x:v>
      </x:c>
      <x:c r="N1828" s="12"/>
      <x:c r="O1828" s="12" t="str">
        <x:v>negative</x:v>
      </x:c>
      <x:c r="P1828" s="12" t="str">
        <x:f>IF(OR(M1828="unavailable",O1828="unavailable"),"不可评价",IF(OR(M1828="equivocal",O1828="equivocal"),"疑似",IF(AND(M1828="positive",O1828="positive"),"a",IF(O1828="positive","b",IF(M1828="positive","c","d")))))</x:f>
        <x:v>c</x:v>
      </x:c>
      <x:c r="Q1828" s="12"/>
      <x:c r="R1828" s="12" t="str">
        <x:v>negative</x:v>
      </x:c>
      <x:c r="S1828" s="12"/>
      <x:c r="T1828" s="12" t="str">
        <x:v>negative</x:v>
      </x:c>
      <x:c r="U1828" s="12" t="str">
        <x:f>IF(OR(R1828="unavailable",T1828="unavailable"),"不可评价",IF(OR(R1828="equivocal",T1828="equivocal"),"疑似",IF(AND(R1828="positive",T1828="positive"),"a",IF(T1828="positive","b",IF(R1828="positive","c","d")))))</x:f>
        <x:v>d</x:v>
      </x:c>
      <x:c r="V1828" s="12"/>
      <x:c r="W1828" s="12" t="str">
        <x:v>negative</x:v>
      </x:c>
      <x:c r="X1828" s="12"/>
      <x:c r="Y1828" s="12" t="str">
        <x:v>negative</x:v>
      </x:c>
      <x:c r="Z1828" s="12" t="str">
        <x:f>IF(OR(W1828="unavailable",Y1828="unavailable"),"不可评价",IF(OR(W1828="equivocal",Y1828="equivocal"),"疑似",IF(AND(W1828="positive",Y1828="positive"),"a",IF(Y1828="positive","b",IF(W1828="positive","c","d")))))</x:f>
        <x:v>d</x:v>
      </x:c>
      <x:c r="AA1828" s="12" t="str">
        <x:f>IF(OR(M1828="unavailable",O1828="unavailable"),"不可评价",IF(AND(OR(M1828="positive",M1828="equivocal"),OR(O1828="positive",O1828="equivocal")),"a",IF(OR(O1828="positive",O1828="equivocal"),"b",IF(OR(M1828="positive",M1828="equivocal"),"c","d"))))</x:f>
        <x:v>c</x:v>
      </x:c>
      <x:c r="AB1828" s="12" t="str">
        <x:f>IF(OR(M1828="unavailable",O1828="unavailable"),"不可评价",IF(AND(M1828="positive",O1828="positive"),"a",IF(O1828="positive","b",IF(M1828="positive","c","d"))))</x:f>
        <x:v>c</x:v>
      </x:c>
      <x:c r="AC1828" s="12" t="str">
        <x:f>IF(OR(R1828="unavailable",T1828="unavailable"),"不可评价",IF(AND(OR(R1828="positive",R1828="equivocal"),OR(T1828="positive",T1828="equivocal")),"a",IF(OR(T1828="positive",T1828="equivocal"),"b",IF(OR(R1828="positive",R1828="equivocal"),"c","d"))))</x:f>
        <x:v>d</x:v>
      </x:c>
      <x:c r="AD1828" s="12" t="str">
        <x:f>IF(OR(R1828="unavailable",T1828="unavailable"),"不可评价",IF(AND(R1828="positive",T1828="positive"),"a",IF(T1828="positive","b",IF(R1828="positive","c","d"))))</x:f>
        <x:v>d</x:v>
      </x:c>
      <x:c r="AE1828" s="12" t="str">
        <x:f>IF(OR(W1828="unavailable",Y1828="unavailable"),"不可评价",IF(AND(OR(W1828="positive",W1828="equivocal"),OR(Y1828="positive",Y1828="equivocal")),"a",IF(OR(Y1828="positive",Y1828="equivocal"),"b",IF(OR(W1828="positive",W1828="equivocal"),"c","d"))))</x:f>
        <x:v>d</x:v>
      </x:c>
      <x:c r="AF1828" s="12" t="str">
        <x:f>IF(OR(W1828="unavailable",Y1828="unavailable"),"不可评价",IF(AND(W1828="positive",Y1828="positive"),"a",IF(Y1828="positive","b",IF(W1828="positive","c","d"))))</x:f>
        <x:v>d</x:v>
      </x:c>
    </x:row>
    <x:row r="1829" ht="24" customHeight="1">
      <x:c r="A1829" s="12" t="str">
        <x:v>17401</x:v>
      </x:c>
      <x:c r="B1829" s="12" t="str">
        <x:v>18530</x:v>
      </x:c>
      <x:c r="C1829" s="21" t="n">
        <x:v>35428.69378472222</x:v>
      </x:c>
      <x:c r="D1829" s="12" t="n">
        <x:v>84</x:v>
      </x:c>
      <x:c r="E1829" s="12" t="n">
        <x:v>1</x:v>
      </x:c>
      <x:c r="F1829" s="12" t="str">
        <x:v>未记录</x:v>
      </x:c>
      <x:c r="G1829" s="12" t="n">
        <x:v>1</x:v>
      </x:c>
      <x:c r="H1829" s="12" t="str">
        <x:v>{'IMI': 50.0, '1AVB': 100.0, 'SR': 0.0}</x:v>
      </x:c>
      <x:c r="I1829" s="12" t="str">
        <x:v>[('SRTH', 100.0), ('MSAR', 100.0), ('LOWV', 100.0), ('BORDE', 100.0)]</x:v>
      </x:c>
      <x:c r="J1829" s="12" t="str">
        <x:v>ptbxl_database.csv；ecg_id=17401；scp_codes</x:v>
      </x:c>
      <x:c r="K1829" s="12" t="str">
        <x:v>12sl_statements.csv；ecg_id=17401；statements_ext_snomed</x:v>
      </x:c>
      <x:c r="L1829" s="12"/>
      <x:c r="M1829" s="12" t="str">
        <x:v>negative</x:v>
      </x:c>
      <x:c r="N1829" s="12"/>
      <x:c r="O1829" s="12" t="str">
        <x:v>negative</x:v>
      </x:c>
      <x:c r="P1829" s="12" t="str">
        <x:f>IF(OR(M1829="unavailable",O1829="unavailable"),"不可评价",IF(OR(M1829="equivocal",O1829="equivocal"),"疑似",IF(AND(M1829="positive",O1829="positive"),"a",IF(O1829="positive","b",IF(M1829="positive","c","d")))))</x:f>
        <x:v>d</x:v>
      </x:c>
      <x:c r="Q1829" s="12"/>
      <x:c r="R1829" s="12" t="str">
        <x:v>negative</x:v>
      </x:c>
      <x:c r="S1829" s="12"/>
      <x:c r="T1829" s="12" t="str">
        <x:v>negative</x:v>
      </x:c>
      <x:c r="U1829" s="12" t="str">
        <x:f>IF(OR(R1829="unavailable",T1829="unavailable"),"不可评价",IF(OR(R1829="equivocal",T1829="equivocal"),"疑似",IF(AND(R1829="positive",T1829="positive"),"a",IF(T1829="positive","b",IF(R1829="positive","c","d")))))</x:f>
        <x:v>d</x:v>
      </x:c>
      <x:c r="V1829" s="12"/>
      <x:c r="W1829" s="12" t="str">
        <x:v>negative</x:v>
      </x:c>
      <x:c r="X1829" s="12"/>
      <x:c r="Y1829" s="12" t="str">
        <x:v>negative</x:v>
      </x:c>
      <x:c r="Z1829" s="12" t="str">
        <x:f>IF(OR(W1829="unavailable",Y1829="unavailable"),"不可评价",IF(OR(W1829="equivocal",Y1829="equivocal"),"疑似",IF(AND(W1829="positive",Y1829="positive"),"a",IF(Y1829="positive","b",IF(W1829="positive","c","d")))))</x:f>
        <x:v>d</x:v>
      </x:c>
      <x:c r="AA1829" s="12" t="str">
        <x:f>IF(OR(M1829="unavailable",O1829="unavailable"),"不可评价",IF(AND(OR(M1829="positive",M1829="equivocal"),OR(O1829="positive",O1829="equivocal")),"a",IF(OR(O1829="positive",O1829="equivocal"),"b",IF(OR(M1829="positive",M1829="equivocal"),"c","d"))))</x:f>
        <x:v>d</x:v>
      </x:c>
      <x:c r="AB1829" s="12" t="str">
        <x:f>IF(OR(M1829="unavailable",O1829="unavailable"),"不可评价",IF(AND(M1829="positive",O1829="positive"),"a",IF(O1829="positive","b",IF(M1829="positive","c","d"))))</x:f>
        <x:v>d</x:v>
      </x:c>
      <x:c r="AC1829" s="12" t="str">
        <x:f>IF(OR(R1829="unavailable",T1829="unavailable"),"不可评价",IF(AND(OR(R1829="positive",R1829="equivocal"),OR(T1829="positive",T1829="equivocal")),"a",IF(OR(T1829="positive",T1829="equivocal"),"b",IF(OR(R1829="positive",R1829="equivocal"),"c","d"))))</x:f>
        <x:v>d</x:v>
      </x:c>
      <x:c r="AD1829" s="12" t="str">
        <x:f>IF(OR(R1829="unavailable",T1829="unavailable"),"不可评价",IF(AND(R1829="positive",T1829="positive"),"a",IF(T1829="positive","b",IF(R1829="positive","c","d"))))</x:f>
        <x:v>d</x:v>
      </x:c>
      <x:c r="AE1829" s="12" t="str">
        <x:f>IF(OR(W1829="unavailable",Y1829="unavailable"),"不可评价",IF(AND(OR(W1829="positive",W1829="equivocal"),OR(Y1829="positive",Y1829="equivocal")),"a",IF(OR(Y1829="positive",Y1829="equivocal"),"b",IF(OR(W1829="positive",W1829="equivocal"),"c","d"))))</x:f>
        <x:v>d</x:v>
      </x:c>
      <x:c r="AF1829" s="12" t="str">
        <x:f>IF(OR(W1829="unavailable",Y1829="unavailable"),"不可评价",IF(AND(W1829="positive",Y1829="positive"),"a",IF(Y1829="positive","b",IF(W1829="positive","c","d"))))</x:f>
        <x:v>d</x:v>
      </x:c>
    </x:row>
    <x:row r="1830" ht="39" customHeight="1">
      <x:c r="A1830" s="12" t="str">
        <x:v>17403</x:v>
      </x:c>
      <x:c r="B1830" s="12" t="str">
        <x:v>18530</x:v>
      </x:c>
      <x:c r="C1830" s="21" t="n">
        <x:v>35429.35041666667</x:v>
      </x:c>
      <x:c r="D1830" s="12" t="n">
        <x:v>84</x:v>
      </x:c>
      <x:c r="E1830" s="12" t="n">
        <x:v>1</x:v>
      </x:c>
      <x:c r="F1830" s="12" t="str">
        <x:v>存在</x:v>
      </x:c>
      <x:c r="G1830" s="12" t="n">
        <x:v>0</x:v>
      </x:c>
      <x:c r="H1830" s="12" t="str">
        <x:v>{'ASMI': 100.0, 'IMI': 50.0, 'STACH': 0.0}</x:v>
      </x:c>
      <x:c r="I1830" s="12" t="str">
        <x:v>[('ACCEL', 100.0), ('JUNCT-R', 100.0), ('IMI;AU', 15.0), ('ASMI;AU', 100.0), ('LNGQT', 100.0), ('AB', 100.0)]</x:v>
      </x:c>
      <x:c r="J1830" s="12" t="str">
        <x:v>ptbxl_database.csv；ecg_id=17403；scp_codes</x:v>
      </x:c>
      <x:c r="K1830" s="12" t="str">
        <x:v>12sl_statements.csv；ecg_id=17403；statements_ext_snomed</x:v>
      </x:c>
      <x:c r="L1830" s="12"/>
      <x:c r="M1830" s="12" t="str">
        <x:v>negative</x:v>
      </x:c>
      <x:c r="N1830" s="12"/>
      <x:c r="O1830" s="12" t="str">
        <x:v>negative</x:v>
      </x:c>
      <x:c r="P1830" s="12" t="str">
        <x:f>IF(OR(M1830="unavailable",O1830="unavailable"),"不可评价",IF(OR(M1830="equivocal",O1830="equivocal"),"疑似",IF(AND(M1830="positive",O1830="positive"),"a",IF(O1830="positive","b",IF(M1830="positive","c","d")))))</x:f>
        <x:v>d</x:v>
      </x:c>
      <x:c r="Q1830" s="12"/>
      <x:c r="R1830" s="12" t="str">
        <x:v>negative</x:v>
      </x:c>
      <x:c r="S1830" s="12"/>
      <x:c r="T1830" s="12" t="str">
        <x:v>negative</x:v>
      </x:c>
      <x:c r="U1830" s="12" t="str">
        <x:f>IF(OR(R1830="unavailable",T1830="unavailable"),"不可评价",IF(OR(R1830="equivocal",T1830="equivocal"),"疑似",IF(AND(R1830="positive",T1830="positive"),"a",IF(T1830="positive","b",IF(R1830="positive","c","d")))))</x:f>
        <x:v>d</x:v>
      </x:c>
      <x:c r="V1830" s="12"/>
      <x:c r="W1830" s="12" t="str">
        <x:v>negative</x:v>
      </x:c>
      <x:c r="X1830" s="12"/>
      <x:c r="Y1830" s="12" t="str">
        <x:v>negative</x:v>
      </x:c>
      <x:c r="Z1830" s="12" t="str">
        <x:f>IF(OR(W1830="unavailable",Y1830="unavailable"),"不可评价",IF(OR(W1830="equivocal",Y1830="equivocal"),"疑似",IF(AND(W1830="positive",Y1830="positive"),"a",IF(Y1830="positive","b",IF(W1830="positive","c","d")))))</x:f>
        <x:v>d</x:v>
      </x:c>
      <x:c r="AA1830" s="12" t="str">
        <x:f>IF(OR(M1830="unavailable",O1830="unavailable"),"不可评价",IF(AND(OR(M1830="positive",M1830="equivocal"),OR(O1830="positive",O1830="equivocal")),"a",IF(OR(O1830="positive",O1830="equivocal"),"b",IF(OR(M1830="positive",M1830="equivocal"),"c","d"))))</x:f>
        <x:v>d</x:v>
      </x:c>
      <x:c r="AB1830" s="12" t="str">
        <x:f>IF(OR(M1830="unavailable",O1830="unavailable"),"不可评价",IF(AND(M1830="positive",O1830="positive"),"a",IF(O1830="positive","b",IF(M1830="positive","c","d"))))</x:f>
        <x:v>d</x:v>
      </x:c>
      <x:c r="AC1830" s="12" t="str">
        <x:f>IF(OR(R1830="unavailable",T1830="unavailable"),"不可评价",IF(AND(OR(R1830="positive",R1830="equivocal"),OR(T1830="positive",T1830="equivocal")),"a",IF(OR(T1830="positive",T1830="equivocal"),"b",IF(OR(R1830="positive",R1830="equivocal"),"c","d"))))</x:f>
        <x:v>d</x:v>
      </x:c>
      <x:c r="AD1830" s="12" t="str">
        <x:f>IF(OR(R1830="unavailable",T1830="unavailable"),"不可评价",IF(AND(R1830="positive",T1830="positive"),"a",IF(T1830="positive","b",IF(R1830="positive","c","d"))))</x:f>
        <x:v>d</x:v>
      </x:c>
      <x:c r="AE1830" s="12" t="str">
        <x:f>IF(OR(W1830="unavailable",Y1830="unavailable"),"不可评价",IF(AND(OR(W1830="positive",W1830="equivocal"),OR(Y1830="positive",Y1830="equivocal")),"a",IF(OR(Y1830="positive",Y1830="equivocal"),"b",IF(OR(W1830="positive",W1830="equivocal"),"c","d"))))</x:f>
        <x:v>d</x:v>
      </x:c>
      <x:c r="AF1830" s="12" t="str">
        <x:f>IF(OR(W1830="unavailable",Y1830="unavailable"),"不可评价",IF(AND(W1830="positive",Y1830="positive"),"a",IF(Y1830="positive","b",IF(W1830="positive","c","d"))))</x:f>
        <x:v>d</x:v>
      </x:c>
    </x:row>
    <x:row r="1831" ht="24" customHeight="1">
      <x:c r="A1831" s="12" t="str">
        <x:v>17404</x:v>
      </x:c>
      <x:c r="B1831" s="12" t="str">
        <x:v>20116</x:v>
      </x:c>
      <x:c r="C1831" s="21" t="n">
        <x:v>35429.47508101852</x:v>
      </x:c>
      <x:c r="D1831" s="12" t="n">
        <x:v>70</x:v>
      </x:c>
      <x:c r="E1831" s="12" t="n">
        <x:v>0</x:v>
      </x:c>
      <x:c r="F1831" s="12" t="str">
        <x:v>未记录</x:v>
      </x:c>
      <x:c r="G1831" s="12" t="n">
        <x:v>1</x:v>
      </x:c>
      <x:c r="H1831" s="12" t="str">
        <x:v>{'IMI': 100.0, 'ANEUR': 50.0, 'SR': 0.0}</x:v>
      </x:c>
      <x:c r="I1831" s="12" t="str">
        <x:v>[('NSR', 100.0), ('IMI;AC', 100.0), ('STEMI', 100.0), ('CRVI', 100.0), ('AB', 100.0)]</x:v>
      </x:c>
      <x:c r="J1831" s="12" t="str">
        <x:v>ptbxl_database.csv；ecg_id=17404；scp_codes</x:v>
      </x:c>
      <x:c r="K1831" s="12" t="str">
        <x:v>12sl_statements.csv；ecg_id=17404；statements_ext_snomed</x:v>
      </x:c>
      <x:c r="L1831" s="12"/>
      <x:c r="M1831" s="12" t="str">
        <x:v>negative</x:v>
      </x:c>
      <x:c r="N1831" s="12"/>
      <x:c r="O1831" s="12" t="str">
        <x:v>negative</x:v>
      </x:c>
      <x:c r="P1831" s="12" t="str">
        <x:f>IF(OR(M1831="unavailable",O1831="unavailable"),"不可评价",IF(OR(M1831="equivocal",O1831="equivocal"),"疑似",IF(AND(M1831="positive",O1831="positive"),"a",IF(O1831="positive","b",IF(M1831="positive","c","d")))))</x:f>
        <x:v>d</x:v>
      </x:c>
      <x:c r="Q1831" s="12"/>
      <x:c r="R1831" s="12" t="str">
        <x:v>negative</x:v>
      </x:c>
      <x:c r="S1831" s="12"/>
      <x:c r="T1831" s="12" t="str">
        <x:v>negative</x:v>
      </x:c>
      <x:c r="U1831" s="12" t="str">
        <x:f>IF(OR(R1831="unavailable",T1831="unavailable"),"不可评价",IF(OR(R1831="equivocal",T1831="equivocal"),"疑似",IF(AND(R1831="positive",T1831="positive"),"a",IF(T1831="positive","b",IF(R1831="positive","c","d")))))</x:f>
        <x:v>d</x:v>
      </x:c>
      <x:c r="V1831" s="12"/>
      <x:c r="W1831" s="12" t="str">
        <x:v>negative</x:v>
      </x:c>
      <x:c r="X1831" s="12"/>
      <x:c r="Y1831" s="12" t="str">
        <x:v>negative</x:v>
      </x:c>
      <x:c r="Z1831" s="12" t="str">
        <x:f>IF(OR(W1831="unavailable",Y1831="unavailable"),"不可评价",IF(OR(W1831="equivocal",Y1831="equivocal"),"疑似",IF(AND(W1831="positive",Y1831="positive"),"a",IF(Y1831="positive","b",IF(W1831="positive","c","d")))))</x:f>
        <x:v>d</x:v>
      </x:c>
      <x:c r="AA1831" s="12" t="str">
        <x:f>IF(OR(M1831="unavailable",O1831="unavailable"),"不可评价",IF(AND(OR(M1831="positive",M1831="equivocal"),OR(O1831="positive",O1831="equivocal")),"a",IF(OR(O1831="positive",O1831="equivocal"),"b",IF(OR(M1831="positive",M1831="equivocal"),"c","d"))))</x:f>
        <x:v>d</x:v>
      </x:c>
      <x:c r="AB1831" s="12" t="str">
        <x:f>IF(OR(M1831="unavailable",O1831="unavailable"),"不可评价",IF(AND(M1831="positive",O1831="positive"),"a",IF(O1831="positive","b",IF(M1831="positive","c","d"))))</x:f>
        <x:v>d</x:v>
      </x:c>
      <x:c r="AC1831" s="12" t="str">
        <x:f>IF(OR(R1831="unavailable",T1831="unavailable"),"不可评价",IF(AND(OR(R1831="positive",R1831="equivocal"),OR(T1831="positive",T1831="equivocal")),"a",IF(OR(T1831="positive",T1831="equivocal"),"b",IF(OR(R1831="positive",R1831="equivocal"),"c","d"))))</x:f>
        <x:v>d</x:v>
      </x:c>
      <x:c r="AD1831" s="12" t="str">
        <x:f>IF(OR(R1831="unavailable",T1831="unavailable"),"不可评价",IF(AND(R1831="positive",T1831="positive"),"a",IF(T1831="positive","b",IF(R1831="positive","c","d"))))</x:f>
        <x:v>d</x:v>
      </x:c>
      <x:c r="AE1831" s="12" t="str">
        <x:f>IF(OR(W1831="unavailable",Y1831="unavailable"),"不可评价",IF(AND(OR(W1831="positive",W1831="equivocal"),OR(Y1831="positive",Y1831="equivocal")),"a",IF(OR(Y1831="positive",Y1831="equivocal"),"b",IF(OR(W1831="positive",W1831="equivocal"),"c","d"))))</x:f>
        <x:v>d</x:v>
      </x:c>
      <x:c r="AF1831" s="12" t="str">
        <x:f>IF(OR(W1831="unavailable",Y1831="unavailable"),"不可评价",IF(AND(W1831="positive",Y1831="positive"),"a",IF(Y1831="positive","b",IF(W1831="positive","c","d"))))</x:f>
        <x:v>d</x:v>
      </x:c>
    </x:row>
    <x:row r="1832" ht="24" customHeight="1">
      <x:c r="A1832" s="12" t="str">
        <x:v>17419</x:v>
      </x:c>
      <x:c r="B1832" s="12" t="str">
        <x:v>15374</x:v>
      </x:c>
      <x:c r="C1832" s="21" t="n">
        <x:v>35433.36478009259</x:v>
      </x:c>
      <x:c r="D1832" s="12" t="n">
        <x:v>42</x:v>
      </x:c>
      <x:c r="E1832" s="12" t="n">
        <x:v>1</x:v>
      </x:c>
      <x:c r="F1832" s="12" t="str">
        <x:v>未记录</x:v>
      </x:c>
      <x:c r="G1832" s="12" t="n">
        <x:v>1</x:v>
      </x:c>
      <x:c r="H1832" s="12" t="str">
        <x:v>{'AMI': 100.0, 'ABQRS': 0.0, 'SR': 0.0}</x:v>
      </x:c>
      <x:c r="I1832" s="12" t="str">
        <x:v>[('NSR', 100.0), ('SMI;AU', 100.0), ('AB', 100.0)]</x:v>
      </x:c>
      <x:c r="J1832" s="12" t="str">
        <x:v>ptbxl_database.csv；ecg_id=17419；scp_codes</x:v>
      </x:c>
      <x:c r="K1832" s="12" t="str">
        <x:v>12sl_statements.csv；ecg_id=17419；statements_ext_snomed</x:v>
      </x:c>
      <x:c r="L1832" s="12"/>
      <x:c r="M1832" s="12" t="str">
        <x:v>negative</x:v>
      </x:c>
      <x:c r="N1832" s="12"/>
      <x:c r="O1832" s="12" t="str">
        <x:v>negative</x:v>
      </x:c>
      <x:c r="P1832" s="12" t="str">
        <x:f>IF(OR(M1832="unavailable",O1832="unavailable"),"不可评价",IF(OR(M1832="equivocal",O1832="equivocal"),"疑似",IF(AND(M1832="positive",O1832="positive"),"a",IF(O1832="positive","b",IF(M1832="positive","c","d")))))</x:f>
        <x:v>d</x:v>
      </x:c>
      <x:c r="Q1832" s="12"/>
      <x:c r="R1832" s="12" t="str">
        <x:v>negative</x:v>
      </x:c>
      <x:c r="S1832" s="12"/>
      <x:c r="T1832" s="12" t="str">
        <x:v>negative</x:v>
      </x:c>
      <x:c r="U1832" s="12" t="str">
        <x:f>IF(OR(R1832="unavailable",T1832="unavailable"),"不可评价",IF(OR(R1832="equivocal",T1832="equivocal"),"疑似",IF(AND(R1832="positive",T1832="positive"),"a",IF(T1832="positive","b",IF(R1832="positive","c","d")))))</x:f>
        <x:v>d</x:v>
      </x:c>
      <x:c r="V1832" s="12"/>
      <x:c r="W1832" s="12" t="str">
        <x:v>negative</x:v>
      </x:c>
      <x:c r="X1832" s="12"/>
      <x:c r="Y1832" s="12" t="str">
        <x:v>negative</x:v>
      </x:c>
      <x:c r="Z1832" s="12" t="str">
        <x:f>IF(OR(W1832="unavailable",Y1832="unavailable"),"不可评价",IF(OR(W1832="equivocal",Y1832="equivocal"),"疑似",IF(AND(W1832="positive",Y1832="positive"),"a",IF(Y1832="positive","b",IF(W1832="positive","c","d")))))</x:f>
        <x:v>d</x:v>
      </x:c>
      <x:c r="AA1832" s="12" t="str">
        <x:f>IF(OR(M1832="unavailable",O1832="unavailable"),"不可评价",IF(AND(OR(M1832="positive",M1832="equivocal"),OR(O1832="positive",O1832="equivocal")),"a",IF(OR(O1832="positive",O1832="equivocal"),"b",IF(OR(M1832="positive",M1832="equivocal"),"c","d"))))</x:f>
        <x:v>d</x:v>
      </x:c>
      <x:c r="AB1832" s="12" t="str">
        <x:f>IF(OR(M1832="unavailable",O1832="unavailable"),"不可评价",IF(AND(M1832="positive",O1832="positive"),"a",IF(O1832="positive","b",IF(M1832="positive","c","d"))))</x:f>
        <x:v>d</x:v>
      </x:c>
      <x:c r="AC1832" s="12" t="str">
        <x:f>IF(OR(R1832="unavailable",T1832="unavailable"),"不可评价",IF(AND(OR(R1832="positive",R1832="equivocal"),OR(T1832="positive",T1832="equivocal")),"a",IF(OR(T1832="positive",T1832="equivocal"),"b",IF(OR(R1832="positive",R1832="equivocal"),"c","d"))))</x:f>
        <x:v>d</x:v>
      </x:c>
      <x:c r="AD1832" s="12" t="str">
        <x:f>IF(OR(R1832="unavailable",T1832="unavailable"),"不可评价",IF(AND(R1832="positive",T1832="positive"),"a",IF(T1832="positive","b",IF(R1832="positive","c","d"))))</x:f>
        <x:v>d</x:v>
      </x:c>
      <x:c r="AE1832" s="12" t="str">
        <x:f>IF(OR(W1832="unavailable",Y1832="unavailable"),"不可评价",IF(AND(OR(W1832="positive",W1832="equivocal"),OR(Y1832="positive",Y1832="equivocal")),"a",IF(OR(Y1832="positive",Y1832="equivocal"),"b",IF(OR(W1832="positive",W1832="equivocal"),"c","d"))))</x:f>
        <x:v>d</x:v>
      </x:c>
      <x:c r="AF1832" s="12" t="str">
        <x:f>IF(OR(W1832="unavailable",Y1832="unavailable"),"不可评价",IF(AND(W1832="positive",Y1832="positive"),"a",IF(Y1832="positive","b",IF(W1832="positive","c","d"))))</x:f>
        <x:v>d</x:v>
      </x:c>
    </x:row>
    <x:row r="1833" ht="24" customHeight="1">
      <x:c r="A1833" s="12" t="str">
        <x:v>17420</x:v>
      </x:c>
      <x:c r="B1833" s="12" t="str">
        <x:v>16325</x:v>
      </x:c>
      <x:c r="C1833" s="21" t="n">
        <x:v>35433.50915509259</x:v>
      </x:c>
      <x:c r="D1833" s="12" t="n">
        <x:v>56</x:v>
      </x:c>
      <x:c r="E1833" s="12" t="n">
        <x:v>1</x:v>
      </x:c>
      <x:c r="F1833" s="12" t="str">
        <x:v>存在</x:v>
      </x:c>
      <x:c r="G1833" s="12" t="n">
        <x:v>1</x:v>
      </x:c>
      <x:c r="H1833" s="12" t="str">
        <x:v>{'IMI': 50.0, 'ABQRS': 0.0, 'SR': 0.0}</x:v>
      </x:c>
      <x:c r="I1833" s="12" t="str">
        <x:v>[('NSR', 100.0), ('NML', 100.0)]</x:v>
      </x:c>
      <x:c r="J1833" s="12" t="str">
        <x:v>ptbxl_database.csv；ecg_id=17420；scp_codes</x:v>
      </x:c>
      <x:c r="K1833" s="12" t="str">
        <x:v>12sl_statements.csv；ecg_id=17420；statements_ext_snomed</x:v>
      </x:c>
      <x:c r="L1833" s="12"/>
      <x:c r="M1833" s="12" t="str">
        <x:v>negative</x:v>
      </x:c>
      <x:c r="N1833" s="12"/>
      <x:c r="O1833" s="12" t="str">
        <x:v>negative</x:v>
      </x:c>
      <x:c r="P1833" s="12" t="str">
        <x:f>IF(OR(M1833="unavailable",O1833="unavailable"),"不可评价",IF(OR(M1833="equivocal",O1833="equivocal"),"疑似",IF(AND(M1833="positive",O1833="positive"),"a",IF(O1833="positive","b",IF(M1833="positive","c","d")))))</x:f>
        <x:v>d</x:v>
      </x:c>
      <x:c r="Q1833" s="12"/>
      <x:c r="R1833" s="12" t="str">
        <x:v>negative</x:v>
      </x:c>
      <x:c r="S1833" s="12"/>
      <x:c r="T1833" s="12" t="str">
        <x:v>negative</x:v>
      </x:c>
      <x:c r="U1833" s="12" t="str">
        <x:f>IF(OR(R1833="unavailable",T1833="unavailable"),"不可评价",IF(OR(R1833="equivocal",T1833="equivocal"),"疑似",IF(AND(R1833="positive",T1833="positive"),"a",IF(T1833="positive","b",IF(R1833="positive","c","d")))))</x:f>
        <x:v>d</x:v>
      </x:c>
      <x:c r="V1833" s="12"/>
      <x:c r="W1833" s="12" t="str">
        <x:v>negative</x:v>
      </x:c>
      <x:c r="X1833" s="12"/>
      <x:c r="Y1833" s="12" t="str">
        <x:v>negative</x:v>
      </x:c>
      <x:c r="Z1833" s="12" t="str">
        <x:f>IF(OR(W1833="unavailable",Y1833="unavailable"),"不可评价",IF(OR(W1833="equivocal",Y1833="equivocal"),"疑似",IF(AND(W1833="positive",Y1833="positive"),"a",IF(Y1833="positive","b",IF(W1833="positive","c","d")))))</x:f>
        <x:v>d</x:v>
      </x:c>
      <x:c r="AA1833" s="12" t="str">
        <x:f>IF(OR(M1833="unavailable",O1833="unavailable"),"不可评价",IF(AND(OR(M1833="positive",M1833="equivocal"),OR(O1833="positive",O1833="equivocal")),"a",IF(OR(O1833="positive",O1833="equivocal"),"b",IF(OR(M1833="positive",M1833="equivocal"),"c","d"))))</x:f>
        <x:v>d</x:v>
      </x:c>
      <x:c r="AB1833" s="12" t="str">
        <x:f>IF(OR(M1833="unavailable",O1833="unavailable"),"不可评价",IF(AND(M1833="positive",O1833="positive"),"a",IF(O1833="positive","b",IF(M1833="positive","c","d"))))</x:f>
        <x:v>d</x:v>
      </x:c>
      <x:c r="AC1833" s="12" t="str">
        <x:f>IF(OR(R1833="unavailable",T1833="unavailable"),"不可评价",IF(AND(OR(R1833="positive",R1833="equivocal"),OR(T1833="positive",T1833="equivocal")),"a",IF(OR(T1833="positive",T1833="equivocal"),"b",IF(OR(R1833="positive",R1833="equivocal"),"c","d"))))</x:f>
        <x:v>d</x:v>
      </x:c>
      <x:c r="AD1833" s="12" t="str">
        <x:f>IF(OR(R1833="unavailable",T1833="unavailable"),"不可评价",IF(AND(R1833="positive",T1833="positive"),"a",IF(T1833="positive","b",IF(R1833="positive","c","d"))))</x:f>
        <x:v>d</x:v>
      </x:c>
      <x:c r="AE1833" s="12" t="str">
        <x:f>IF(OR(W1833="unavailable",Y1833="unavailable"),"不可评价",IF(AND(OR(W1833="positive",W1833="equivocal"),OR(Y1833="positive",Y1833="equivocal")),"a",IF(OR(Y1833="positive",Y1833="equivocal"),"b",IF(OR(W1833="positive",W1833="equivocal"),"c","d"))))</x:f>
        <x:v>d</x:v>
      </x:c>
      <x:c r="AF1833" s="12" t="str">
        <x:f>IF(OR(W1833="unavailable",Y1833="unavailable"),"不可评价",IF(AND(W1833="positive",Y1833="positive"),"a",IF(Y1833="positive","b",IF(W1833="positive","c","d"))))</x:f>
        <x:v>d</x:v>
      </x:c>
    </x:row>
    <x:row r="1834" ht="24" customHeight="1">
      <x:c r="A1834" s="12" t="str">
        <x:v>17430</x:v>
      </x:c>
      <x:c r="B1834" s="12" t="str">
        <x:v>20116</x:v>
      </x:c>
      <x:c r="C1834" s="21" t="n">
        <x:v>35435.509467592594</x:v>
      </x:c>
      <x:c r="D1834" s="12" t="n">
        <x:v>70</x:v>
      </x:c>
      <x:c r="E1834" s="12" t="n">
        <x:v>0</x:v>
      </x:c>
      <x:c r="F1834" s="12" t="str">
        <x:v>未记录</x:v>
      </x:c>
      <x:c r="G1834" s="12" t="n">
        <x:v>0</x:v>
      </x:c>
      <x:c r="H1834" s="12" t="str">
        <x:v>{'IMI': 100.0, 'ABQRS': 0.0, 'SR': 0.0}</x:v>
      </x:c>
      <x:c r="I1834" s="12" t="str">
        <x:v>[('NSR', 100.0), ('IMI;AU', 50.0), ('AB', 100.0)]</x:v>
      </x:c>
      <x:c r="J1834" s="12" t="str">
        <x:v>ptbxl_database.csv；ecg_id=17430；scp_codes</x:v>
      </x:c>
      <x:c r="K1834" s="12" t="str">
        <x:v>12sl_statements.csv；ecg_id=17430；statements_ext_snomed</x:v>
      </x:c>
      <x:c r="L1834" s="12"/>
      <x:c r="M1834" s="12" t="str">
        <x:v>negative</x:v>
      </x:c>
      <x:c r="N1834" s="12"/>
      <x:c r="O1834" s="12" t="str">
        <x:v>negative</x:v>
      </x:c>
      <x:c r="P1834" s="12" t="str">
        <x:f>IF(OR(M1834="unavailable",O1834="unavailable"),"不可评价",IF(OR(M1834="equivocal",O1834="equivocal"),"疑似",IF(AND(M1834="positive",O1834="positive"),"a",IF(O1834="positive","b",IF(M1834="positive","c","d")))))</x:f>
        <x:v>d</x:v>
      </x:c>
      <x:c r="Q1834" s="12"/>
      <x:c r="R1834" s="12" t="str">
        <x:v>negative</x:v>
      </x:c>
      <x:c r="S1834" s="12"/>
      <x:c r="T1834" s="12" t="str">
        <x:v>negative</x:v>
      </x:c>
      <x:c r="U1834" s="12" t="str">
        <x:f>IF(OR(R1834="unavailable",T1834="unavailable"),"不可评价",IF(OR(R1834="equivocal",T1834="equivocal"),"疑似",IF(AND(R1834="positive",T1834="positive"),"a",IF(T1834="positive","b",IF(R1834="positive","c","d")))))</x:f>
        <x:v>d</x:v>
      </x:c>
      <x:c r="V1834" s="12"/>
      <x:c r="W1834" s="12" t="str">
        <x:v>negative</x:v>
      </x:c>
      <x:c r="X1834" s="12"/>
      <x:c r="Y1834" s="12" t="str">
        <x:v>negative</x:v>
      </x:c>
      <x:c r="Z1834" s="12" t="str">
        <x:f>IF(OR(W1834="unavailable",Y1834="unavailable"),"不可评价",IF(OR(W1834="equivocal",Y1834="equivocal"),"疑似",IF(AND(W1834="positive",Y1834="positive"),"a",IF(Y1834="positive","b",IF(W1834="positive","c","d")))))</x:f>
        <x:v>d</x:v>
      </x:c>
      <x:c r="AA1834" s="12" t="str">
        <x:f>IF(OR(M1834="unavailable",O1834="unavailable"),"不可评价",IF(AND(OR(M1834="positive",M1834="equivocal"),OR(O1834="positive",O1834="equivocal")),"a",IF(OR(O1834="positive",O1834="equivocal"),"b",IF(OR(M1834="positive",M1834="equivocal"),"c","d"))))</x:f>
        <x:v>d</x:v>
      </x:c>
      <x:c r="AB1834" s="12" t="str">
        <x:f>IF(OR(M1834="unavailable",O1834="unavailable"),"不可评价",IF(AND(M1834="positive",O1834="positive"),"a",IF(O1834="positive","b",IF(M1834="positive","c","d"))))</x:f>
        <x:v>d</x:v>
      </x:c>
      <x:c r="AC1834" s="12" t="str">
        <x:f>IF(OR(R1834="unavailable",T1834="unavailable"),"不可评价",IF(AND(OR(R1834="positive",R1834="equivocal"),OR(T1834="positive",T1834="equivocal")),"a",IF(OR(T1834="positive",T1834="equivocal"),"b",IF(OR(R1834="positive",R1834="equivocal"),"c","d"))))</x:f>
        <x:v>d</x:v>
      </x:c>
      <x:c r="AD1834" s="12" t="str">
        <x:f>IF(OR(R1834="unavailable",T1834="unavailable"),"不可评价",IF(AND(R1834="positive",T1834="positive"),"a",IF(T1834="positive","b",IF(R1834="positive","c","d"))))</x:f>
        <x:v>d</x:v>
      </x:c>
      <x:c r="AE1834" s="12" t="str">
        <x:f>IF(OR(W1834="unavailable",Y1834="unavailable"),"不可评价",IF(AND(OR(W1834="positive",W1834="equivocal"),OR(Y1834="positive",Y1834="equivocal")),"a",IF(OR(Y1834="positive",Y1834="equivocal"),"b",IF(OR(W1834="positive",W1834="equivocal"),"c","d"))))</x:f>
        <x:v>d</x:v>
      </x:c>
      <x:c r="AF1834" s="12" t="str">
        <x:f>IF(OR(W1834="unavailable",Y1834="unavailable"),"不可评价",IF(AND(W1834="positive",Y1834="positive"),"a",IF(Y1834="positive","b",IF(W1834="positive","c","d"))))</x:f>
        <x:v>d</x:v>
      </x:c>
    </x:row>
    <x:row r="1835" ht="24" customHeight="1">
      <x:c r="A1835" s="12" t="str">
        <x:v>17431</x:v>
      </x:c>
      <x:c r="B1835" s="12" t="str">
        <x:v>18530</x:v>
      </x:c>
      <x:c r="C1835" s="21" t="n">
        <x:v>35435.647627314815</x:v>
      </x:c>
      <x:c r="D1835" s="12" t="n">
        <x:v>84</x:v>
      </x:c>
      <x:c r="E1835" s="12" t="n">
        <x:v>1</x:v>
      </x:c>
      <x:c r="F1835" s="12" t="str">
        <x:v>未记录</x:v>
      </x:c>
      <x:c r="G1835" s="12" t="n">
        <x:v>0</x:v>
      </x:c>
      <x:c r="H1835" s="12" t="str">
        <x:v>{'ILMI': 100.0, 'ASMI': 100.0, '1AVB': 100.0, 'SR': 0.0}</x:v>
      </x:c>
      <x:c r="I1835" s="12" t="str">
        <x:v>[('NSR', 100.0), ('LOWV', 100.0), ('IMI;AU', 100.0), ('AB', 100.0)]</x:v>
      </x:c>
      <x:c r="J1835" s="12" t="str">
        <x:v>ptbxl_database.csv；ecg_id=17431；scp_codes</x:v>
      </x:c>
      <x:c r="K1835" s="12" t="str">
        <x:v>12sl_statements.csv；ecg_id=17431；statements_ext_snomed</x:v>
      </x:c>
      <x:c r="L1835" s="12"/>
      <x:c r="M1835" s="12" t="str">
        <x:v>negative</x:v>
      </x:c>
      <x:c r="N1835" s="12"/>
      <x:c r="O1835" s="12" t="str">
        <x:v>negative</x:v>
      </x:c>
      <x:c r="P1835" s="12" t="str">
        <x:f>IF(OR(M1835="unavailable",O1835="unavailable"),"不可评价",IF(OR(M1835="equivocal",O1835="equivocal"),"疑似",IF(AND(M1835="positive",O1835="positive"),"a",IF(O1835="positive","b",IF(M1835="positive","c","d")))))</x:f>
        <x:v>d</x:v>
      </x:c>
      <x:c r="Q1835" s="12"/>
      <x:c r="R1835" s="12" t="str">
        <x:v>negative</x:v>
      </x:c>
      <x:c r="S1835" s="12"/>
      <x:c r="T1835" s="12" t="str">
        <x:v>negative</x:v>
      </x:c>
      <x:c r="U1835" s="12" t="str">
        <x:f>IF(OR(R1835="unavailable",T1835="unavailable"),"不可评价",IF(OR(R1835="equivocal",T1835="equivocal"),"疑似",IF(AND(R1835="positive",T1835="positive"),"a",IF(T1835="positive","b",IF(R1835="positive","c","d")))))</x:f>
        <x:v>d</x:v>
      </x:c>
      <x:c r="V1835" s="12"/>
      <x:c r="W1835" s="12" t="str">
        <x:v>negative</x:v>
      </x:c>
      <x:c r="X1835" s="12"/>
      <x:c r="Y1835" s="12" t="str">
        <x:v>negative</x:v>
      </x:c>
      <x:c r="Z1835" s="12" t="str">
        <x:f>IF(OR(W1835="unavailable",Y1835="unavailable"),"不可评价",IF(OR(W1835="equivocal",Y1835="equivocal"),"疑似",IF(AND(W1835="positive",Y1835="positive"),"a",IF(Y1835="positive","b",IF(W1835="positive","c","d")))))</x:f>
        <x:v>d</x:v>
      </x:c>
      <x:c r="AA1835" s="12" t="str">
        <x:f>IF(OR(M1835="unavailable",O1835="unavailable"),"不可评价",IF(AND(OR(M1835="positive",M1835="equivocal"),OR(O1835="positive",O1835="equivocal")),"a",IF(OR(O1835="positive",O1835="equivocal"),"b",IF(OR(M1835="positive",M1835="equivocal"),"c","d"))))</x:f>
        <x:v>d</x:v>
      </x:c>
      <x:c r="AB1835" s="12" t="str">
        <x:f>IF(OR(M1835="unavailable",O1835="unavailable"),"不可评价",IF(AND(M1835="positive",O1835="positive"),"a",IF(O1835="positive","b",IF(M1835="positive","c","d"))))</x:f>
        <x:v>d</x:v>
      </x:c>
      <x:c r="AC1835" s="12" t="str">
        <x:f>IF(OR(R1835="unavailable",T1835="unavailable"),"不可评价",IF(AND(OR(R1835="positive",R1835="equivocal"),OR(T1835="positive",T1835="equivocal")),"a",IF(OR(T1835="positive",T1835="equivocal"),"b",IF(OR(R1835="positive",R1835="equivocal"),"c","d"))))</x:f>
        <x:v>d</x:v>
      </x:c>
      <x:c r="AD1835" s="12" t="str">
        <x:f>IF(OR(R1835="unavailable",T1835="unavailable"),"不可评价",IF(AND(R1835="positive",T1835="positive"),"a",IF(T1835="positive","b",IF(R1835="positive","c","d"))))</x:f>
        <x:v>d</x:v>
      </x:c>
      <x:c r="AE1835" s="12" t="str">
        <x:f>IF(OR(W1835="unavailable",Y1835="unavailable"),"不可评价",IF(AND(OR(W1835="positive",W1835="equivocal"),OR(Y1835="positive",Y1835="equivocal")),"a",IF(OR(Y1835="positive",Y1835="equivocal"),"b",IF(OR(W1835="positive",W1835="equivocal"),"c","d"))))</x:f>
        <x:v>d</x:v>
      </x:c>
      <x:c r="AF1835" s="12" t="str">
        <x:f>IF(OR(W1835="unavailable",Y1835="unavailable"),"不可评价",IF(AND(W1835="positive",Y1835="positive"),"a",IF(Y1835="positive","b",IF(W1835="positive","c","d"))))</x:f>
        <x:v>d</x:v>
      </x:c>
    </x:row>
    <x:row r="1836" ht="24" customHeight="1">
      <x:c r="A1836" s="12" t="str">
        <x:v>17455</x:v>
      </x:c>
      <x:c r="B1836" s="12" t="str">
        <x:v>13050</x:v>
      </x:c>
      <x:c r="C1836" s="21" t="n">
        <x:v>35438.54319444444</x:v>
      </x:c>
      <x:c r="D1836" s="12" t="n">
        <x:v>36</x:v>
      </x:c>
      <x:c r="E1836" s="12" t="n">
        <x:v>1</x:v>
      </x:c>
      <x:c r="F1836" s="12" t="str">
        <x:v>存在</x:v>
      </x:c>
      <x:c r="G1836" s="12" t="n">
        <x:v>1</x:v>
      </x:c>
      <x:c r="H1836" s="12" t="str">
        <x:v>{'NORM': 100.0, 'SR': 0.0}</x:v>
      </x:c>
      <x:c r="I1836" s="12" t="str">
        <x:v>[('NSR', 100.0), ('NML', 100.0)]</x:v>
      </x:c>
      <x:c r="J1836" s="12" t="str">
        <x:v>ptbxl_database.csv；ecg_id=17455；scp_codes</x:v>
      </x:c>
      <x:c r="K1836" s="12" t="str">
        <x:v>12sl_statements.csv；ecg_id=17455；statements_ext_snomed</x:v>
      </x:c>
      <x:c r="L1836" s="12"/>
      <x:c r="M1836" s="12" t="str">
        <x:v>negative</x:v>
      </x:c>
      <x:c r="N1836" s="12"/>
      <x:c r="O1836" s="12" t="str">
        <x:v>negative</x:v>
      </x:c>
      <x:c r="P1836" s="12" t="str">
        <x:f>IF(OR(M1836="unavailable",O1836="unavailable"),"不可评价",IF(OR(M1836="equivocal",O1836="equivocal"),"疑似",IF(AND(M1836="positive",O1836="positive"),"a",IF(O1836="positive","b",IF(M1836="positive","c","d")))))</x:f>
        <x:v>d</x:v>
      </x:c>
      <x:c r="Q1836" s="12"/>
      <x:c r="R1836" s="12" t="str">
        <x:v>negative</x:v>
      </x:c>
      <x:c r="S1836" s="12"/>
      <x:c r="T1836" s="12" t="str">
        <x:v>negative</x:v>
      </x:c>
      <x:c r="U1836" s="12" t="str">
        <x:f>IF(OR(R1836="unavailable",T1836="unavailable"),"不可评价",IF(OR(R1836="equivocal",T1836="equivocal"),"疑似",IF(AND(R1836="positive",T1836="positive"),"a",IF(T1836="positive","b",IF(R1836="positive","c","d")))))</x:f>
        <x:v>d</x:v>
      </x:c>
      <x:c r="V1836" s="12"/>
      <x:c r="W1836" s="12" t="str">
        <x:v>negative</x:v>
      </x:c>
      <x:c r="X1836" s="12"/>
      <x:c r="Y1836" s="12" t="str">
        <x:v>negative</x:v>
      </x:c>
      <x:c r="Z1836" s="12" t="str">
        <x:f>IF(OR(W1836="unavailable",Y1836="unavailable"),"不可评价",IF(OR(W1836="equivocal",Y1836="equivocal"),"疑似",IF(AND(W1836="positive",Y1836="positive"),"a",IF(Y1836="positive","b",IF(W1836="positive","c","d")))))</x:f>
        <x:v>d</x:v>
      </x:c>
      <x:c r="AA1836" s="12" t="str">
        <x:f>IF(OR(M1836="unavailable",O1836="unavailable"),"不可评价",IF(AND(OR(M1836="positive",M1836="equivocal"),OR(O1836="positive",O1836="equivocal")),"a",IF(OR(O1836="positive",O1836="equivocal"),"b",IF(OR(M1836="positive",M1836="equivocal"),"c","d"))))</x:f>
        <x:v>d</x:v>
      </x:c>
      <x:c r="AB1836" s="12" t="str">
        <x:f>IF(OR(M1836="unavailable",O1836="unavailable"),"不可评价",IF(AND(M1836="positive",O1836="positive"),"a",IF(O1836="positive","b",IF(M1836="positive","c","d"))))</x:f>
        <x:v>d</x:v>
      </x:c>
      <x:c r="AC1836" s="12" t="str">
        <x:f>IF(OR(R1836="unavailable",T1836="unavailable"),"不可评价",IF(AND(OR(R1836="positive",R1836="equivocal"),OR(T1836="positive",T1836="equivocal")),"a",IF(OR(T1836="positive",T1836="equivocal"),"b",IF(OR(R1836="positive",R1836="equivocal"),"c","d"))))</x:f>
        <x:v>d</x:v>
      </x:c>
      <x:c r="AD1836" s="12" t="str">
        <x:f>IF(OR(R1836="unavailable",T1836="unavailable"),"不可评价",IF(AND(R1836="positive",T1836="positive"),"a",IF(T1836="positive","b",IF(R1836="positive","c","d"))))</x:f>
        <x:v>d</x:v>
      </x:c>
      <x:c r="AE1836" s="12" t="str">
        <x:f>IF(OR(W1836="unavailable",Y1836="unavailable"),"不可评价",IF(AND(OR(W1836="positive",W1836="equivocal"),OR(Y1836="positive",Y1836="equivocal")),"a",IF(OR(Y1836="positive",Y1836="equivocal"),"b",IF(OR(W1836="positive",W1836="equivocal"),"c","d"))))</x:f>
        <x:v>d</x:v>
      </x:c>
      <x:c r="AF1836" s="12" t="str">
        <x:f>IF(OR(W1836="unavailable",Y1836="unavailable"),"不可评价",IF(AND(W1836="positive",Y1836="positive"),"a",IF(Y1836="positive","b",IF(W1836="positive","c","d"))))</x:f>
        <x:v>d</x:v>
      </x:c>
    </x:row>
    <x:row r="1837" ht="24" customHeight="1">
      <x:c r="A1837" s="12" t="str">
        <x:v>17482</x:v>
      </x:c>
      <x:c r="B1837" s="12" t="str">
        <x:v>8023</x:v>
      </x:c>
      <x:c r="C1837" s="21" t="n">
        <x:v>35444.67424768519</x:v>
      </x:c>
      <x:c r="D1837" s="12" t="n">
        <x:v>54</x:v>
      </x:c>
      <x:c r="E1837" s="12" t="n">
        <x:v>0</x:v>
      </x:c>
      <x:c r="F1837" s="12" t="str">
        <x:v>未记录</x:v>
      </x:c>
      <x:c r="G1837" s="12" t="n">
        <x:v>0</x:v>
      </x:c>
      <x:c r="H1837" s="12" t="str">
        <x:v>{'IMI': 50.0, 'IVCD': 100.0, 'ABQRS': 0.0, 'SR': 0.0}</x:v>
      </x:c>
      <x:c r="I1837" s="12" t="str">
        <x:v>[('NSR', 100.0), ('IMI;AU', 100.0), ('AB', 100.0)]</x:v>
      </x:c>
      <x:c r="J1837" s="12" t="str">
        <x:v>ptbxl_database.csv；ecg_id=17482；scp_codes</x:v>
      </x:c>
      <x:c r="K1837" s="12" t="str">
        <x:v>12sl_statements.csv；ecg_id=17482；statements_ext_snomed</x:v>
      </x:c>
      <x:c r="L1837" s="12"/>
      <x:c r="M1837" s="12" t="str">
        <x:v>negative</x:v>
      </x:c>
      <x:c r="N1837" s="12"/>
      <x:c r="O1837" s="12" t="str">
        <x:v>negative</x:v>
      </x:c>
      <x:c r="P1837" s="12" t="str">
        <x:f>IF(OR(M1837="unavailable",O1837="unavailable"),"不可评价",IF(OR(M1837="equivocal",O1837="equivocal"),"疑似",IF(AND(M1837="positive",O1837="positive"),"a",IF(O1837="positive","b",IF(M1837="positive","c","d")))))</x:f>
        <x:v>d</x:v>
      </x:c>
      <x:c r="Q1837" s="12"/>
      <x:c r="R1837" s="12" t="str">
        <x:v>negative</x:v>
      </x:c>
      <x:c r="S1837" s="12"/>
      <x:c r="T1837" s="12" t="str">
        <x:v>negative</x:v>
      </x:c>
      <x:c r="U1837" s="12" t="str">
        <x:f>IF(OR(R1837="unavailable",T1837="unavailable"),"不可评价",IF(OR(R1837="equivocal",T1837="equivocal"),"疑似",IF(AND(R1837="positive",T1837="positive"),"a",IF(T1837="positive","b",IF(R1837="positive","c","d")))))</x:f>
        <x:v>d</x:v>
      </x:c>
      <x:c r="V1837" s="12"/>
      <x:c r="W1837" s="12" t="str">
        <x:v>negative</x:v>
      </x:c>
      <x:c r="X1837" s="12"/>
      <x:c r="Y1837" s="12" t="str">
        <x:v>negative</x:v>
      </x:c>
      <x:c r="Z1837" s="12" t="str">
        <x:f>IF(OR(W1837="unavailable",Y1837="unavailable"),"不可评价",IF(OR(W1837="equivocal",Y1837="equivocal"),"疑似",IF(AND(W1837="positive",Y1837="positive"),"a",IF(Y1837="positive","b",IF(W1837="positive","c","d")))))</x:f>
        <x:v>d</x:v>
      </x:c>
      <x:c r="AA1837" s="12" t="str">
        <x:f>IF(OR(M1837="unavailable",O1837="unavailable"),"不可评价",IF(AND(OR(M1837="positive",M1837="equivocal"),OR(O1837="positive",O1837="equivocal")),"a",IF(OR(O1837="positive",O1837="equivocal"),"b",IF(OR(M1837="positive",M1837="equivocal"),"c","d"))))</x:f>
        <x:v>d</x:v>
      </x:c>
      <x:c r="AB1837" s="12" t="str">
        <x:f>IF(OR(M1837="unavailable",O1837="unavailable"),"不可评价",IF(AND(M1837="positive",O1837="positive"),"a",IF(O1837="positive","b",IF(M1837="positive","c","d"))))</x:f>
        <x:v>d</x:v>
      </x:c>
      <x:c r="AC1837" s="12" t="str">
        <x:f>IF(OR(R1837="unavailable",T1837="unavailable"),"不可评价",IF(AND(OR(R1837="positive",R1837="equivocal"),OR(T1837="positive",T1837="equivocal")),"a",IF(OR(T1837="positive",T1837="equivocal"),"b",IF(OR(R1837="positive",R1837="equivocal"),"c","d"))))</x:f>
        <x:v>d</x:v>
      </x:c>
      <x:c r="AD1837" s="12" t="str">
        <x:f>IF(OR(R1837="unavailable",T1837="unavailable"),"不可评价",IF(AND(R1837="positive",T1837="positive"),"a",IF(T1837="positive","b",IF(R1837="positive","c","d"))))</x:f>
        <x:v>d</x:v>
      </x:c>
      <x:c r="AE1837" s="12" t="str">
        <x:f>IF(OR(W1837="unavailable",Y1837="unavailable"),"不可评价",IF(AND(OR(W1837="positive",W1837="equivocal"),OR(Y1837="positive",Y1837="equivocal")),"a",IF(OR(Y1837="positive",Y1837="equivocal"),"b",IF(OR(W1837="positive",W1837="equivocal"),"c","d"))))</x:f>
        <x:v>d</x:v>
      </x:c>
      <x:c r="AF1837" s="12" t="str">
        <x:f>IF(OR(W1837="unavailable",Y1837="unavailable"),"不可评价",IF(AND(W1837="positive",Y1837="positive"),"a",IF(Y1837="positive","b",IF(W1837="positive","c","d"))))</x:f>
        <x:v>d</x:v>
      </x:c>
    </x:row>
    <x:row r="1838" ht="24" customHeight="1">
      <x:c r="A1838" s="12" t="str">
        <x:v>17511</x:v>
      </x:c>
      <x:c r="B1838" s="12" t="str">
        <x:v>5591</x:v>
      </x:c>
      <x:c r="C1838" s="21" t="n">
        <x:v>35452.54875</x:v>
      </x:c>
      <x:c r="D1838" s="12" t="n">
        <x:v>61</x:v>
      </x:c>
      <x:c r="E1838" s="12" t="n">
        <x:v>1</x:v>
      </x:c>
      <x:c r="F1838" s="12" t="str">
        <x:v>未记录</x:v>
      </x:c>
      <x:c r="G1838" s="12" t="n">
        <x:v>1</x:v>
      </x:c>
      <x:c r="H1838" s="12" t="str">
        <x:v>{'NORM': 100.0, 'SR': 0.0}</x:v>
      </x:c>
      <x:c r="I1838" s="12" t="str">
        <x:v>[('NSR', 100.0), ('NML', 100.0)]</x:v>
      </x:c>
      <x:c r="J1838" s="12" t="str">
        <x:v>ptbxl_database.csv；ecg_id=17511；scp_codes</x:v>
      </x:c>
      <x:c r="K1838" s="12" t="str">
        <x:v>12sl_statements.csv；ecg_id=17511；statements_ext_snomed</x:v>
      </x:c>
      <x:c r="L1838" s="12"/>
      <x:c r="M1838" s="12" t="str">
        <x:v>negative</x:v>
      </x:c>
      <x:c r="N1838" s="12"/>
      <x:c r="O1838" s="12" t="str">
        <x:v>negative</x:v>
      </x:c>
      <x:c r="P1838" s="12" t="str">
        <x:f>IF(OR(M1838="unavailable",O1838="unavailable"),"不可评价",IF(OR(M1838="equivocal",O1838="equivocal"),"疑似",IF(AND(M1838="positive",O1838="positive"),"a",IF(O1838="positive","b",IF(M1838="positive","c","d")))))</x:f>
        <x:v>d</x:v>
      </x:c>
      <x:c r="Q1838" s="12"/>
      <x:c r="R1838" s="12" t="str">
        <x:v>negative</x:v>
      </x:c>
      <x:c r="S1838" s="12"/>
      <x:c r="T1838" s="12" t="str">
        <x:v>negative</x:v>
      </x:c>
      <x:c r="U1838" s="12" t="str">
        <x:f>IF(OR(R1838="unavailable",T1838="unavailable"),"不可评价",IF(OR(R1838="equivocal",T1838="equivocal"),"疑似",IF(AND(R1838="positive",T1838="positive"),"a",IF(T1838="positive","b",IF(R1838="positive","c","d")))))</x:f>
        <x:v>d</x:v>
      </x:c>
      <x:c r="V1838" s="12"/>
      <x:c r="W1838" s="12" t="str">
        <x:v>negative</x:v>
      </x:c>
      <x:c r="X1838" s="12"/>
      <x:c r="Y1838" s="12" t="str">
        <x:v>negative</x:v>
      </x:c>
      <x:c r="Z1838" s="12" t="str">
        <x:f>IF(OR(W1838="unavailable",Y1838="unavailable"),"不可评价",IF(OR(W1838="equivocal",Y1838="equivocal"),"疑似",IF(AND(W1838="positive",Y1838="positive"),"a",IF(Y1838="positive","b",IF(W1838="positive","c","d")))))</x:f>
        <x:v>d</x:v>
      </x:c>
      <x:c r="AA1838" s="12" t="str">
        <x:f>IF(OR(M1838="unavailable",O1838="unavailable"),"不可评价",IF(AND(OR(M1838="positive",M1838="equivocal"),OR(O1838="positive",O1838="equivocal")),"a",IF(OR(O1838="positive",O1838="equivocal"),"b",IF(OR(M1838="positive",M1838="equivocal"),"c","d"))))</x:f>
        <x:v>d</x:v>
      </x:c>
      <x:c r="AB1838" s="12" t="str">
        <x:f>IF(OR(M1838="unavailable",O1838="unavailable"),"不可评价",IF(AND(M1838="positive",O1838="positive"),"a",IF(O1838="positive","b",IF(M1838="positive","c","d"))))</x:f>
        <x:v>d</x:v>
      </x:c>
      <x:c r="AC1838" s="12" t="str">
        <x:f>IF(OR(R1838="unavailable",T1838="unavailable"),"不可评价",IF(AND(OR(R1838="positive",R1838="equivocal"),OR(T1838="positive",T1838="equivocal")),"a",IF(OR(T1838="positive",T1838="equivocal"),"b",IF(OR(R1838="positive",R1838="equivocal"),"c","d"))))</x:f>
        <x:v>d</x:v>
      </x:c>
      <x:c r="AD1838" s="12" t="str">
        <x:f>IF(OR(R1838="unavailable",T1838="unavailable"),"不可评价",IF(AND(R1838="positive",T1838="positive"),"a",IF(T1838="positive","b",IF(R1838="positive","c","d"))))</x:f>
        <x:v>d</x:v>
      </x:c>
      <x:c r="AE1838" s="12" t="str">
        <x:f>IF(OR(W1838="unavailable",Y1838="unavailable"),"不可评价",IF(AND(OR(W1838="positive",W1838="equivocal"),OR(Y1838="positive",Y1838="equivocal")),"a",IF(OR(Y1838="positive",Y1838="equivocal"),"b",IF(OR(W1838="positive",W1838="equivocal"),"c","d"))))</x:f>
        <x:v>d</x:v>
      </x:c>
      <x:c r="AF1838" s="12" t="str">
        <x:f>IF(OR(W1838="unavailable",Y1838="unavailable"),"不可评价",IF(AND(W1838="positive",Y1838="positive"),"a",IF(Y1838="positive","b",IF(W1838="positive","c","d"))))</x:f>
        <x:v>d</x:v>
      </x:c>
    </x:row>
    <x:row r="1839" ht="24" customHeight="1">
      <x:c r="A1839" s="12" t="str">
        <x:v>17525</x:v>
      </x:c>
      <x:c r="B1839" s="12" t="str">
        <x:v>1459</x:v>
      </x:c>
      <x:c r="C1839" s="21" t="n">
        <x:v>35455.467685185184</x:v>
      </x:c>
      <x:c r="D1839" s="12" t="n">
        <x:v>61</x:v>
      </x:c>
      <x:c r="E1839" s="12" t="n">
        <x:v>0</x:v>
      </x:c>
      <x:c r="F1839" s="12" t="str">
        <x:v>未记录</x:v>
      </x:c>
      <x:c r="G1839" s="12" t="n">
        <x:v>1</x:v>
      </x:c>
      <x:c r="H1839" s="12" t="str">
        <x:v>{'NORM': 100.0, 'SR': 0.0}</x:v>
      </x:c>
      <x:c r="I1839" s="12" t="str">
        <x:v>[('NSR', 100.0), ('NML', 100.0)]</x:v>
      </x:c>
      <x:c r="J1839" s="12" t="str">
        <x:v>ptbxl_database.csv；ecg_id=17525；scp_codes</x:v>
      </x:c>
      <x:c r="K1839" s="12" t="str">
        <x:v>12sl_statements.csv；ecg_id=17525；statements_ext_snomed</x:v>
      </x:c>
      <x:c r="L1839" s="12"/>
      <x:c r="M1839" s="12" t="str">
        <x:v>negative</x:v>
      </x:c>
      <x:c r="N1839" s="12"/>
      <x:c r="O1839" s="12" t="str">
        <x:v>negative</x:v>
      </x:c>
      <x:c r="P1839" s="12" t="str">
        <x:f>IF(OR(M1839="unavailable",O1839="unavailable"),"不可评价",IF(OR(M1839="equivocal",O1839="equivocal"),"疑似",IF(AND(M1839="positive",O1839="positive"),"a",IF(O1839="positive","b",IF(M1839="positive","c","d")))))</x:f>
        <x:v>d</x:v>
      </x:c>
      <x:c r="Q1839" s="12"/>
      <x:c r="R1839" s="12" t="str">
        <x:v>negative</x:v>
      </x:c>
      <x:c r="S1839" s="12"/>
      <x:c r="T1839" s="12" t="str">
        <x:v>negative</x:v>
      </x:c>
      <x:c r="U1839" s="12" t="str">
        <x:f>IF(OR(R1839="unavailable",T1839="unavailable"),"不可评价",IF(OR(R1839="equivocal",T1839="equivocal"),"疑似",IF(AND(R1839="positive",T1839="positive"),"a",IF(T1839="positive","b",IF(R1839="positive","c","d")))))</x:f>
        <x:v>d</x:v>
      </x:c>
      <x:c r="V1839" s="12"/>
      <x:c r="W1839" s="12" t="str">
        <x:v>negative</x:v>
      </x:c>
      <x:c r="X1839" s="12"/>
      <x:c r="Y1839" s="12" t="str">
        <x:v>negative</x:v>
      </x:c>
      <x:c r="Z1839" s="12" t="str">
        <x:f>IF(OR(W1839="unavailable",Y1839="unavailable"),"不可评价",IF(OR(W1839="equivocal",Y1839="equivocal"),"疑似",IF(AND(W1839="positive",Y1839="positive"),"a",IF(Y1839="positive","b",IF(W1839="positive","c","d")))))</x:f>
        <x:v>d</x:v>
      </x:c>
      <x:c r="AA1839" s="12" t="str">
        <x:f>IF(OR(M1839="unavailable",O1839="unavailable"),"不可评价",IF(AND(OR(M1839="positive",M1839="equivocal"),OR(O1839="positive",O1839="equivocal")),"a",IF(OR(O1839="positive",O1839="equivocal"),"b",IF(OR(M1839="positive",M1839="equivocal"),"c","d"))))</x:f>
        <x:v>d</x:v>
      </x:c>
      <x:c r="AB1839" s="12" t="str">
        <x:f>IF(OR(M1839="unavailable",O1839="unavailable"),"不可评价",IF(AND(M1839="positive",O1839="positive"),"a",IF(O1839="positive","b",IF(M1839="positive","c","d"))))</x:f>
        <x:v>d</x:v>
      </x:c>
      <x:c r="AC1839" s="12" t="str">
        <x:f>IF(OR(R1839="unavailable",T1839="unavailable"),"不可评价",IF(AND(OR(R1839="positive",R1839="equivocal"),OR(T1839="positive",T1839="equivocal")),"a",IF(OR(T1839="positive",T1839="equivocal"),"b",IF(OR(R1839="positive",R1839="equivocal"),"c","d"))))</x:f>
        <x:v>d</x:v>
      </x:c>
      <x:c r="AD1839" s="12" t="str">
        <x:f>IF(OR(R1839="unavailable",T1839="unavailable"),"不可评价",IF(AND(R1839="positive",T1839="positive"),"a",IF(T1839="positive","b",IF(R1839="positive","c","d"))))</x:f>
        <x:v>d</x:v>
      </x:c>
      <x:c r="AE1839" s="12" t="str">
        <x:f>IF(OR(W1839="unavailable",Y1839="unavailable"),"不可评价",IF(AND(OR(W1839="positive",W1839="equivocal"),OR(Y1839="positive",Y1839="equivocal")),"a",IF(OR(Y1839="positive",Y1839="equivocal"),"b",IF(OR(W1839="positive",W1839="equivocal"),"c","d"))))</x:f>
        <x:v>d</x:v>
      </x:c>
      <x:c r="AF1839" s="12" t="str">
        <x:f>IF(OR(W1839="unavailable",Y1839="unavailable"),"不可评价",IF(AND(W1839="positive",Y1839="positive"),"a",IF(Y1839="positive","b",IF(W1839="positive","c","d"))))</x:f>
        <x:v>d</x:v>
      </x:c>
    </x:row>
    <x:row r="1840" ht="24" customHeight="1">
      <x:c r="A1840" s="12" t="str">
        <x:v>17536</x:v>
      </x:c>
      <x:c r="B1840" s="12" t="str">
        <x:v>7430</x:v>
      </x:c>
      <x:c r="C1840" s="21" t="n">
        <x:v>35456.47056712963</x:v>
      </x:c>
      <x:c r="D1840" s="12" t="n">
        <x:v>69</x:v>
      </x:c>
      <x:c r="E1840" s="12" t="n">
        <x:v>1</x:v>
      </x:c>
      <x:c r="F1840" s="12" t="str">
        <x:v>未记录</x:v>
      </x:c>
      <x:c r="G1840" s="12" t="n">
        <x:v>1</x:v>
      </x:c>
      <x:c r="H1840" s="12" t="str">
        <x:v>{'NDT': 100.0, 'PAC': 0.0, 'LOWT': 0.0, 'STD_': 0.0, 'SR': 0.0}</x:v>
      </x:c>
      <x:c r="I1840" s="12" t="str">
        <x:v>[('SRTH', 100.0), ('PSVC', 100.0), ('NSTT', 100.0), ('AB', 100.0)]</x:v>
      </x:c>
      <x:c r="J1840" s="12" t="str">
        <x:v>ptbxl_database.csv；ecg_id=17536；scp_codes</x:v>
      </x:c>
      <x:c r="K1840" s="12" t="str">
        <x:v>12sl_statements.csv；ecg_id=17536；statements_ext_snomed</x:v>
      </x:c>
      <x:c r="L1840" s="12"/>
      <x:c r="M1840" s="12" t="str">
        <x:v>negative</x:v>
      </x:c>
      <x:c r="N1840" s="12"/>
      <x:c r="O1840" s="12" t="str">
        <x:v>negative</x:v>
      </x:c>
      <x:c r="P1840" s="12" t="str">
        <x:f>IF(OR(M1840="unavailable",O1840="unavailable"),"不可评价",IF(OR(M1840="equivocal",O1840="equivocal"),"疑似",IF(AND(M1840="positive",O1840="positive"),"a",IF(O1840="positive","b",IF(M1840="positive","c","d")))))</x:f>
        <x:v>d</x:v>
      </x:c>
      <x:c r="Q1840" s="12"/>
      <x:c r="R1840" s="12" t="str">
        <x:v>negative</x:v>
      </x:c>
      <x:c r="S1840" s="12"/>
      <x:c r="T1840" s="12" t="str">
        <x:v>negative</x:v>
      </x:c>
      <x:c r="U1840" s="12" t="str">
        <x:f>IF(OR(R1840="unavailable",T1840="unavailable"),"不可评价",IF(OR(R1840="equivocal",T1840="equivocal"),"疑似",IF(AND(R1840="positive",T1840="positive"),"a",IF(T1840="positive","b",IF(R1840="positive","c","d")))))</x:f>
        <x:v>d</x:v>
      </x:c>
      <x:c r="V1840" s="12"/>
      <x:c r="W1840" s="12" t="str">
        <x:v>negative</x:v>
      </x:c>
      <x:c r="X1840" s="12"/>
      <x:c r="Y1840" s="12" t="str">
        <x:v>negative</x:v>
      </x:c>
      <x:c r="Z1840" s="12" t="str">
        <x:f>IF(OR(W1840="unavailable",Y1840="unavailable"),"不可评价",IF(OR(W1840="equivocal",Y1840="equivocal"),"疑似",IF(AND(W1840="positive",Y1840="positive"),"a",IF(Y1840="positive","b",IF(W1840="positive","c","d")))))</x:f>
        <x:v>d</x:v>
      </x:c>
      <x:c r="AA1840" s="12" t="str">
        <x:f>IF(OR(M1840="unavailable",O1840="unavailable"),"不可评价",IF(AND(OR(M1840="positive",M1840="equivocal"),OR(O1840="positive",O1840="equivocal")),"a",IF(OR(O1840="positive",O1840="equivocal"),"b",IF(OR(M1840="positive",M1840="equivocal"),"c","d"))))</x:f>
        <x:v>d</x:v>
      </x:c>
      <x:c r="AB1840" s="12" t="str">
        <x:f>IF(OR(M1840="unavailable",O1840="unavailable"),"不可评价",IF(AND(M1840="positive",O1840="positive"),"a",IF(O1840="positive","b",IF(M1840="positive","c","d"))))</x:f>
        <x:v>d</x:v>
      </x:c>
      <x:c r="AC1840" s="12" t="str">
        <x:f>IF(OR(R1840="unavailable",T1840="unavailable"),"不可评价",IF(AND(OR(R1840="positive",R1840="equivocal"),OR(T1840="positive",T1840="equivocal")),"a",IF(OR(T1840="positive",T1840="equivocal"),"b",IF(OR(R1840="positive",R1840="equivocal"),"c","d"))))</x:f>
        <x:v>d</x:v>
      </x:c>
      <x:c r="AD1840" s="12" t="str">
        <x:f>IF(OR(R1840="unavailable",T1840="unavailable"),"不可评价",IF(AND(R1840="positive",T1840="positive"),"a",IF(T1840="positive","b",IF(R1840="positive","c","d"))))</x:f>
        <x:v>d</x:v>
      </x:c>
      <x:c r="AE1840" s="12" t="str">
        <x:f>IF(OR(W1840="unavailable",Y1840="unavailable"),"不可评价",IF(AND(OR(W1840="positive",W1840="equivocal"),OR(Y1840="positive",Y1840="equivocal")),"a",IF(OR(Y1840="positive",Y1840="equivocal"),"b",IF(OR(W1840="positive",W1840="equivocal"),"c","d"))))</x:f>
        <x:v>d</x:v>
      </x:c>
      <x:c r="AF1840" s="12" t="str">
        <x:f>IF(OR(W1840="unavailable",Y1840="unavailable"),"不可评价",IF(AND(W1840="positive",Y1840="positive"),"a",IF(Y1840="positive","b",IF(W1840="positive","c","d"))))</x:f>
        <x:v>d</x:v>
      </x:c>
    </x:row>
    <x:row r="1841" ht="39" customHeight="1">
      <x:c r="A1841" s="12" t="str">
        <x:v>17539</x:v>
      </x:c>
      <x:c r="B1841" s="12" t="str">
        <x:v>10836</x:v>
      </x:c>
      <x:c r="C1841" s="21" t="n">
        <x:v>35456.73946759259</x:v>
      </x:c>
      <x:c r="D1841" s="12" t="n">
        <x:v>84</x:v>
      </x:c>
      <x:c r="E1841" s="12" t="n">
        <x:v>0</x:v>
      </x:c>
      <x:c r="F1841" s="12" t="str">
        <x:v>存在</x:v>
      </x:c>
      <x:c r="G1841" s="12" t="n">
        <x:v>0</x:v>
      </x:c>
      <x:c r="H1841" s="12" t="str">
        <x:v>{'ILBBB': 100.0, 'LAFB': 100.0, 'AFIB': 0.0}</x:v>
      </x:c>
      <x:c r="I1841" s="12" t="str">
        <x:v>[('AFIB', 100.0), ('RVR', 100.0), ('LAD3', 100.0), ('ILBBB', 100.0), ('NSTT', 100.0), ('AB', 100.0)]</x:v>
      </x:c>
      <x:c r="J1841" s="12" t="str">
        <x:v>ptbxl_database.csv；ecg_id=17539；scp_codes</x:v>
      </x:c>
      <x:c r="K1841" s="12" t="str">
        <x:v>12sl_statements.csv；ecg_id=17539；statements_ext_snomed</x:v>
      </x:c>
      <x:c r="L1841" s="12" t="n">
        <x:v>0</x:v>
      </x:c>
      <x:c r="M1841" s="12" t="str">
        <x:v>positive</x:v>
      </x:c>
      <x:c r="N1841" s="12" t="n">
        <x:v>100</x:v>
      </x:c>
      <x:c r="O1841" s="12" t="str">
        <x:v>positive</x:v>
      </x:c>
      <x:c r="P1841" s="12" t="str">
        <x:f>IF(OR(M1841="unavailable",O1841="unavailable"),"不可评价",IF(OR(M1841="equivocal",O1841="equivocal"),"疑似",IF(AND(M1841="positive",O1841="positive"),"a",IF(O1841="positive","b",IF(M1841="positive","c","d")))))</x:f>
        <x:v>a</x:v>
      </x:c>
      <x:c r="Q1841" s="12"/>
      <x:c r="R1841" s="12" t="str">
        <x:v>negative</x:v>
      </x:c>
      <x:c r="S1841" s="12"/>
      <x:c r="T1841" s="12" t="str">
        <x:v>negative</x:v>
      </x:c>
      <x:c r="U1841" s="12" t="str">
        <x:f>IF(OR(R1841="unavailable",T1841="unavailable"),"不可评价",IF(OR(R1841="equivocal",T1841="equivocal"),"疑似",IF(AND(R1841="positive",T1841="positive"),"a",IF(T1841="positive","b",IF(R1841="positive","c","d")))))</x:f>
        <x:v>d</x:v>
      </x:c>
      <x:c r="V1841" s="12"/>
      <x:c r="W1841" s="12" t="str">
        <x:v>negative</x:v>
      </x:c>
      <x:c r="X1841" s="12"/>
      <x:c r="Y1841" s="12" t="str">
        <x:v>negative</x:v>
      </x:c>
      <x:c r="Z1841" s="12" t="str">
        <x:f>IF(OR(W1841="unavailable",Y1841="unavailable"),"不可评价",IF(OR(W1841="equivocal",Y1841="equivocal"),"疑似",IF(AND(W1841="positive",Y1841="positive"),"a",IF(Y1841="positive","b",IF(W1841="positive","c","d")))))</x:f>
        <x:v>d</x:v>
      </x:c>
      <x:c r="AA1841" s="12" t="str">
        <x:f>IF(OR(M1841="unavailable",O1841="unavailable"),"不可评价",IF(AND(OR(M1841="positive",M1841="equivocal"),OR(O1841="positive",O1841="equivocal")),"a",IF(OR(O1841="positive",O1841="equivocal"),"b",IF(OR(M1841="positive",M1841="equivocal"),"c","d"))))</x:f>
        <x:v>a</x:v>
      </x:c>
      <x:c r="AB1841" s="12" t="str">
        <x:f>IF(OR(M1841="unavailable",O1841="unavailable"),"不可评价",IF(AND(M1841="positive",O1841="positive"),"a",IF(O1841="positive","b",IF(M1841="positive","c","d"))))</x:f>
        <x:v>a</x:v>
      </x:c>
      <x:c r="AC1841" s="12" t="str">
        <x:f>IF(OR(R1841="unavailable",T1841="unavailable"),"不可评价",IF(AND(OR(R1841="positive",R1841="equivocal"),OR(T1841="positive",T1841="equivocal")),"a",IF(OR(T1841="positive",T1841="equivocal"),"b",IF(OR(R1841="positive",R1841="equivocal"),"c","d"))))</x:f>
        <x:v>d</x:v>
      </x:c>
      <x:c r="AD1841" s="12" t="str">
        <x:f>IF(OR(R1841="unavailable",T1841="unavailable"),"不可评价",IF(AND(R1841="positive",T1841="positive"),"a",IF(T1841="positive","b",IF(R1841="positive","c","d"))))</x:f>
        <x:v>d</x:v>
      </x:c>
      <x:c r="AE1841" s="12" t="str">
        <x:f>IF(OR(W1841="unavailable",Y1841="unavailable"),"不可评价",IF(AND(OR(W1841="positive",W1841="equivocal"),OR(Y1841="positive",Y1841="equivocal")),"a",IF(OR(Y1841="positive",Y1841="equivocal"),"b",IF(OR(W1841="positive",W1841="equivocal"),"c","d"))))</x:f>
        <x:v>d</x:v>
      </x:c>
      <x:c r="AF1841" s="12" t="str">
        <x:f>IF(OR(W1841="unavailable",Y1841="unavailable"),"不可评价",IF(AND(W1841="positive",Y1841="positive"),"a",IF(Y1841="positive","b",IF(W1841="positive","c","d"))))</x:f>
        <x:v>d</x:v>
      </x:c>
    </x:row>
    <x:row r="1842" ht="24" customHeight="1">
      <x:c r="A1842" s="12" t="str">
        <x:v>17547</x:v>
      </x:c>
      <x:c r="B1842" s="12" t="str">
        <x:v>6228</x:v>
      </x:c>
      <x:c r="C1842" s="21" t="n">
        <x:v>35457.44892361111</x:v>
      </x:c>
      <x:c r="D1842" s="12" t="n">
        <x:v>43</x:v>
      </x:c>
      <x:c r="E1842" s="12" t="n">
        <x:v>0</x:v>
      </x:c>
      <x:c r="F1842" s="12" t="str">
        <x:v>未记录</x:v>
      </x:c>
      <x:c r="G1842" s="12" t="n">
        <x:v>1</x:v>
      </x:c>
      <x:c r="H1842" s="12" t="str">
        <x:v>{'NORM': 100.0, 'SR': 0.0}</x:v>
      </x:c>
      <x:c r="I1842" s="12" t="str">
        <x:v>[('NSR', 100.0), ('NML', 100.0)]</x:v>
      </x:c>
      <x:c r="J1842" s="12" t="str">
        <x:v>ptbxl_database.csv；ecg_id=17547；scp_codes</x:v>
      </x:c>
      <x:c r="K1842" s="12" t="str">
        <x:v>12sl_statements.csv；ecg_id=17547；statements_ext_snomed</x:v>
      </x:c>
      <x:c r="L1842" s="12"/>
      <x:c r="M1842" s="12" t="str">
        <x:v>negative</x:v>
      </x:c>
      <x:c r="N1842" s="12"/>
      <x:c r="O1842" s="12" t="str">
        <x:v>negative</x:v>
      </x:c>
      <x:c r="P1842" s="12" t="str">
        <x:f>IF(OR(M1842="unavailable",O1842="unavailable"),"不可评价",IF(OR(M1842="equivocal",O1842="equivocal"),"疑似",IF(AND(M1842="positive",O1842="positive"),"a",IF(O1842="positive","b",IF(M1842="positive","c","d")))))</x:f>
        <x:v>d</x:v>
      </x:c>
      <x:c r="Q1842" s="12"/>
      <x:c r="R1842" s="12" t="str">
        <x:v>negative</x:v>
      </x:c>
      <x:c r="S1842" s="12"/>
      <x:c r="T1842" s="12" t="str">
        <x:v>negative</x:v>
      </x:c>
      <x:c r="U1842" s="12" t="str">
        <x:f>IF(OR(R1842="unavailable",T1842="unavailable"),"不可评价",IF(OR(R1842="equivocal",T1842="equivocal"),"疑似",IF(AND(R1842="positive",T1842="positive"),"a",IF(T1842="positive","b",IF(R1842="positive","c","d")))))</x:f>
        <x:v>d</x:v>
      </x:c>
      <x:c r="V1842" s="12"/>
      <x:c r="W1842" s="12" t="str">
        <x:v>negative</x:v>
      </x:c>
      <x:c r="X1842" s="12"/>
      <x:c r="Y1842" s="12" t="str">
        <x:v>negative</x:v>
      </x:c>
      <x:c r="Z1842" s="12" t="str">
        <x:f>IF(OR(W1842="unavailable",Y1842="unavailable"),"不可评价",IF(OR(W1842="equivocal",Y1842="equivocal"),"疑似",IF(AND(W1842="positive",Y1842="positive"),"a",IF(Y1842="positive","b",IF(W1842="positive","c","d")))))</x:f>
        <x:v>d</x:v>
      </x:c>
      <x:c r="AA1842" s="12" t="str">
        <x:f>IF(OR(M1842="unavailable",O1842="unavailable"),"不可评价",IF(AND(OR(M1842="positive",M1842="equivocal"),OR(O1842="positive",O1842="equivocal")),"a",IF(OR(O1842="positive",O1842="equivocal"),"b",IF(OR(M1842="positive",M1842="equivocal"),"c","d"))))</x:f>
        <x:v>d</x:v>
      </x:c>
      <x:c r="AB1842" s="12" t="str">
        <x:f>IF(OR(M1842="unavailable",O1842="unavailable"),"不可评价",IF(AND(M1842="positive",O1842="positive"),"a",IF(O1842="positive","b",IF(M1842="positive","c","d"))))</x:f>
        <x:v>d</x:v>
      </x:c>
      <x:c r="AC1842" s="12" t="str">
        <x:f>IF(OR(R1842="unavailable",T1842="unavailable"),"不可评价",IF(AND(OR(R1842="positive",R1842="equivocal"),OR(T1842="positive",T1842="equivocal")),"a",IF(OR(T1842="positive",T1842="equivocal"),"b",IF(OR(R1842="positive",R1842="equivocal"),"c","d"))))</x:f>
        <x:v>d</x:v>
      </x:c>
      <x:c r="AD1842" s="12" t="str">
        <x:f>IF(OR(R1842="unavailable",T1842="unavailable"),"不可评价",IF(AND(R1842="positive",T1842="positive"),"a",IF(T1842="positive","b",IF(R1842="positive","c","d"))))</x:f>
        <x:v>d</x:v>
      </x:c>
      <x:c r="AE1842" s="12" t="str">
        <x:f>IF(OR(W1842="unavailable",Y1842="unavailable"),"不可评价",IF(AND(OR(W1842="positive",W1842="equivocal"),OR(Y1842="positive",Y1842="equivocal")),"a",IF(OR(Y1842="positive",Y1842="equivocal"),"b",IF(OR(W1842="positive",W1842="equivocal"),"c","d"))))</x:f>
        <x:v>d</x:v>
      </x:c>
      <x:c r="AF1842" s="12" t="str">
        <x:f>IF(OR(W1842="unavailable",Y1842="unavailable"),"不可评价",IF(AND(W1842="positive",Y1842="positive"),"a",IF(Y1842="positive","b",IF(W1842="positive","c","d"))))</x:f>
        <x:v>d</x:v>
      </x:c>
    </x:row>
    <x:row r="1843" ht="24" customHeight="1">
      <x:c r="A1843" s="12" t="str">
        <x:v>17575</x:v>
      </x:c>
      <x:c r="B1843" s="12" t="str">
        <x:v>10617</x:v>
      </x:c>
      <x:c r="C1843" s="21" t="n">
        <x:v>35461.45822916667</x:v>
      </x:c>
      <x:c r="D1843" s="12" t="n">
        <x:v>53</x:v>
      </x:c>
      <x:c r="E1843" s="12" t="n">
        <x:v>0</x:v>
      </x:c>
      <x:c r="F1843" s="12" t="str">
        <x:v>存在</x:v>
      </x:c>
      <x:c r="G1843" s="12" t="n">
        <x:v>1</x:v>
      </x:c>
      <x:c r="H1843" s="12" t="str">
        <x:v>{'AMI': 15.0, 'SR': 0.0}</x:v>
      </x:c>
      <x:c r="I1843" s="12" t="str">
        <x:v>[('NSR', 100.0), ('NML', 100.0)]</x:v>
      </x:c>
      <x:c r="J1843" s="12" t="str">
        <x:v>ptbxl_database.csv；ecg_id=17575；scp_codes</x:v>
      </x:c>
      <x:c r="K1843" s="12" t="str">
        <x:v>12sl_statements.csv；ecg_id=17575；statements_ext_snomed</x:v>
      </x:c>
      <x:c r="L1843" s="12"/>
      <x:c r="M1843" s="12" t="str">
        <x:v>negative</x:v>
      </x:c>
      <x:c r="N1843" s="12"/>
      <x:c r="O1843" s="12" t="str">
        <x:v>negative</x:v>
      </x:c>
      <x:c r="P1843" s="12" t="str">
        <x:f>IF(OR(M1843="unavailable",O1843="unavailable"),"不可评价",IF(OR(M1843="equivocal",O1843="equivocal"),"疑似",IF(AND(M1843="positive",O1843="positive"),"a",IF(O1843="positive","b",IF(M1843="positive","c","d")))))</x:f>
        <x:v>d</x:v>
      </x:c>
      <x:c r="Q1843" s="12"/>
      <x:c r="R1843" s="12" t="str">
        <x:v>negative</x:v>
      </x:c>
      <x:c r="S1843" s="12"/>
      <x:c r="T1843" s="12" t="str">
        <x:v>negative</x:v>
      </x:c>
      <x:c r="U1843" s="12" t="str">
        <x:f>IF(OR(R1843="unavailable",T1843="unavailable"),"不可评价",IF(OR(R1843="equivocal",T1843="equivocal"),"疑似",IF(AND(R1843="positive",T1843="positive"),"a",IF(T1843="positive","b",IF(R1843="positive","c","d")))))</x:f>
        <x:v>d</x:v>
      </x:c>
      <x:c r="V1843" s="12"/>
      <x:c r="W1843" s="12" t="str">
        <x:v>negative</x:v>
      </x:c>
      <x:c r="X1843" s="12"/>
      <x:c r="Y1843" s="12" t="str">
        <x:v>negative</x:v>
      </x:c>
      <x:c r="Z1843" s="12" t="str">
        <x:f>IF(OR(W1843="unavailable",Y1843="unavailable"),"不可评价",IF(OR(W1843="equivocal",Y1843="equivocal"),"疑似",IF(AND(W1843="positive",Y1843="positive"),"a",IF(Y1843="positive","b",IF(W1843="positive","c","d")))))</x:f>
        <x:v>d</x:v>
      </x:c>
      <x:c r="AA1843" s="12" t="str">
        <x:f>IF(OR(M1843="unavailable",O1843="unavailable"),"不可评价",IF(AND(OR(M1843="positive",M1843="equivocal"),OR(O1843="positive",O1843="equivocal")),"a",IF(OR(O1843="positive",O1843="equivocal"),"b",IF(OR(M1843="positive",M1843="equivocal"),"c","d"))))</x:f>
        <x:v>d</x:v>
      </x:c>
      <x:c r="AB1843" s="12" t="str">
        <x:f>IF(OR(M1843="unavailable",O1843="unavailable"),"不可评价",IF(AND(M1843="positive",O1843="positive"),"a",IF(O1843="positive","b",IF(M1843="positive","c","d"))))</x:f>
        <x:v>d</x:v>
      </x:c>
      <x:c r="AC1843" s="12" t="str">
        <x:f>IF(OR(R1843="unavailable",T1843="unavailable"),"不可评价",IF(AND(OR(R1843="positive",R1843="equivocal"),OR(T1843="positive",T1843="equivocal")),"a",IF(OR(T1843="positive",T1843="equivocal"),"b",IF(OR(R1843="positive",R1843="equivocal"),"c","d"))))</x:f>
        <x:v>d</x:v>
      </x:c>
      <x:c r="AD1843" s="12" t="str">
        <x:f>IF(OR(R1843="unavailable",T1843="unavailable"),"不可评价",IF(AND(R1843="positive",T1843="positive"),"a",IF(T1843="positive","b",IF(R1843="positive","c","d"))))</x:f>
        <x:v>d</x:v>
      </x:c>
      <x:c r="AE1843" s="12" t="str">
        <x:f>IF(OR(W1843="unavailable",Y1843="unavailable"),"不可评价",IF(AND(OR(W1843="positive",W1843="equivocal"),OR(Y1843="positive",Y1843="equivocal")),"a",IF(OR(Y1843="positive",Y1843="equivocal"),"b",IF(OR(W1843="positive",W1843="equivocal"),"c","d"))))</x:f>
        <x:v>d</x:v>
      </x:c>
      <x:c r="AF1843" s="12" t="str">
        <x:f>IF(OR(W1843="unavailable",Y1843="unavailable"),"不可评价",IF(AND(W1843="positive",Y1843="positive"),"a",IF(Y1843="positive","b",IF(W1843="positive","c","d"))))</x:f>
        <x:v>d</x:v>
      </x:c>
    </x:row>
    <x:row r="1844" ht="24" customHeight="1">
      <x:c r="A1844" s="12" t="str">
        <x:v>17577</x:v>
      </x:c>
      <x:c r="B1844" s="12" t="str">
        <x:v>15871</x:v>
      </x:c>
      <x:c r="C1844" s="21" t="n">
        <x:v>35461.50289351852</x:v>
      </x:c>
      <x:c r="D1844" s="12" t="n">
        <x:v>37</x:v>
      </x:c>
      <x:c r="E1844" s="12" t="n">
        <x:v>0</x:v>
      </x:c>
      <x:c r="F1844" s="12" t="str">
        <x:v>未记录</x:v>
      </x:c>
      <x:c r="G1844" s="12" t="n">
        <x:v>1</x:v>
      </x:c>
      <x:c r="H1844" s="12" t="str">
        <x:v>{'NORM': 100.0, 'SR': 0.0}</x:v>
      </x:c>
      <x:c r="I1844" s="12" t="str">
        <x:v>[('NSR', 100.0), ('NML', 100.0)]</x:v>
      </x:c>
      <x:c r="J1844" s="12" t="str">
        <x:v>ptbxl_database.csv；ecg_id=17577；scp_codes</x:v>
      </x:c>
      <x:c r="K1844" s="12" t="str">
        <x:v>12sl_statements.csv；ecg_id=17577；statements_ext_snomed</x:v>
      </x:c>
      <x:c r="L1844" s="12"/>
      <x:c r="M1844" s="12" t="str">
        <x:v>negative</x:v>
      </x:c>
      <x:c r="N1844" s="12"/>
      <x:c r="O1844" s="12" t="str">
        <x:v>negative</x:v>
      </x:c>
      <x:c r="P1844" s="12" t="str">
        <x:f>IF(OR(M1844="unavailable",O1844="unavailable"),"不可评价",IF(OR(M1844="equivocal",O1844="equivocal"),"疑似",IF(AND(M1844="positive",O1844="positive"),"a",IF(O1844="positive","b",IF(M1844="positive","c","d")))))</x:f>
        <x:v>d</x:v>
      </x:c>
      <x:c r="Q1844" s="12"/>
      <x:c r="R1844" s="12" t="str">
        <x:v>negative</x:v>
      </x:c>
      <x:c r="S1844" s="12"/>
      <x:c r="T1844" s="12" t="str">
        <x:v>negative</x:v>
      </x:c>
      <x:c r="U1844" s="12" t="str">
        <x:f>IF(OR(R1844="unavailable",T1844="unavailable"),"不可评价",IF(OR(R1844="equivocal",T1844="equivocal"),"疑似",IF(AND(R1844="positive",T1844="positive"),"a",IF(T1844="positive","b",IF(R1844="positive","c","d")))))</x:f>
        <x:v>d</x:v>
      </x:c>
      <x:c r="V1844" s="12"/>
      <x:c r="W1844" s="12" t="str">
        <x:v>negative</x:v>
      </x:c>
      <x:c r="X1844" s="12"/>
      <x:c r="Y1844" s="12" t="str">
        <x:v>negative</x:v>
      </x:c>
      <x:c r="Z1844" s="12" t="str">
        <x:f>IF(OR(W1844="unavailable",Y1844="unavailable"),"不可评价",IF(OR(W1844="equivocal",Y1844="equivocal"),"疑似",IF(AND(W1844="positive",Y1844="positive"),"a",IF(Y1844="positive","b",IF(W1844="positive","c","d")))))</x:f>
        <x:v>d</x:v>
      </x:c>
      <x:c r="AA1844" s="12" t="str">
        <x:f>IF(OR(M1844="unavailable",O1844="unavailable"),"不可评价",IF(AND(OR(M1844="positive",M1844="equivocal"),OR(O1844="positive",O1844="equivocal")),"a",IF(OR(O1844="positive",O1844="equivocal"),"b",IF(OR(M1844="positive",M1844="equivocal"),"c","d"))))</x:f>
        <x:v>d</x:v>
      </x:c>
      <x:c r="AB1844" s="12" t="str">
        <x:f>IF(OR(M1844="unavailable",O1844="unavailable"),"不可评价",IF(AND(M1844="positive",O1844="positive"),"a",IF(O1844="positive","b",IF(M1844="positive","c","d"))))</x:f>
        <x:v>d</x:v>
      </x:c>
      <x:c r="AC1844" s="12" t="str">
        <x:f>IF(OR(R1844="unavailable",T1844="unavailable"),"不可评价",IF(AND(OR(R1844="positive",R1844="equivocal"),OR(T1844="positive",T1844="equivocal")),"a",IF(OR(T1844="positive",T1844="equivocal"),"b",IF(OR(R1844="positive",R1844="equivocal"),"c","d"))))</x:f>
        <x:v>d</x:v>
      </x:c>
      <x:c r="AD1844" s="12" t="str">
        <x:f>IF(OR(R1844="unavailable",T1844="unavailable"),"不可评价",IF(AND(R1844="positive",T1844="positive"),"a",IF(T1844="positive","b",IF(R1844="positive","c","d"))))</x:f>
        <x:v>d</x:v>
      </x:c>
      <x:c r="AE1844" s="12" t="str">
        <x:f>IF(OR(W1844="unavailable",Y1844="unavailable"),"不可评价",IF(AND(OR(W1844="positive",W1844="equivocal"),OR(Y1844="positive",Y1844="equivocal")),"a",IF(OR(Y1844="positive",Y1844="equivocal"),"b",IF(OR(W1844="positive",W1844="equivocal"),"c","d"))))</x:f>
        <x:v>d</x:v>
      </x:c>
      <x:c r="AF1844" s="12" t="str">
        <x:f>IF(OR(W1844="unavailable",Y1844="unavailable"),"不可评价",IF(AND(W1844="positive",Y1844="positive"),"a",IF(Y1844="positive","b",IF(W1844="positive","c","d"))))</x:f>
        <x:v>d</x:v>
      </x:c>
    </x:row>
    <x:row r="1845" ht="24" customHeight="1">
      <x:c r="A1845" s="12" t="str">
        <x:v>17590</x:v>
      </x:c>
      <x:c r="B1845" s="12" t="str">
        <x:v>10342</x:v>
      </x:c>
      <x:c r="C1845" s="21" t="n">
        <x:v>35462.53770833334</x:v>
      </x:c>
      <x:c r="D1845" s="12" t="n">
        <x:v>63</x:v>
      </x:c>
      <x:c r="E1845" s="12" t="n">
        <x:v>0</x:v>
      </x:c>
      <x:c r="F1845" s="12" t="str">
        <x:v>存在</x:v>
      </x:c>
      <x:c r="G1845" s="12" t="n">
        <x:v>1</x:v>
      </x:c>
      <x:c r="H1845" s="12" t="str">
        <x:v>{'ISCIL': 100.0, 'SR': 0.0}</x:v>
      </x:c>
      <x:c r="I1845" s="12" t="str">
        <x:v>[('NSR', 100.0), ('NSTT', 100.0), ('AB', 100.0)]</x:v>
      </x:c>
      <x:c r="J1845" s="12" t="str">
        <x:v>ptbxl_database.csv；ecg_id=17590；scp_codes</x:v>
      </x:c>
      <x:c r="K1845" s="12" t="str">
        <x:v>12sl_statements.csv；ecg_id=17590；statements_ext_snomed</x:v>
      </x:c>
      <x:c r="L1845" s="12"/>
      <x:c r="M1845" s="12" t="str">
        <x:v>negative</x:v>
      </x:c>
      <x:c r="N1845" s="12"/>
      <x:c r="O1845" s="12" t="str">
        <x:v>negative</x:v>
      </x:c>
      <x:c r="P1845" s="12" t="str">
        <x:f>IF(OR(M1845="unavailable",O1845="unavailable"),"不可评价",IF(OR(M1845="equivocal",O1845="equivocal"),"疑似",IF(AND(M1845="positive",O1845="positive"),"a",IF(O1845="positive","b",IF(M1845="positive","c","d")))))</x:f>
        <x:v>d</x:v>
      </x:c>
      <x:c r="Q1845" s="12"/>
      <x:c r="R1845" s="12" t="str">
        <x:v>negative</x:v>
      </x:c>
      <x:c r="S1845" s="12"/>
      <x:c r="T1845" s="12" t="str">
        <x:v>negative</x:v>
      </x:c>
      <x:c r="U1845" s="12" t="str">
        <x:f>IF(OR(R1845="unavailable",T1845="unavailable"),"不可评价",IF(OR(R1845="equivocal",T1845="equivocal"),"疑似",IF(AND(R1845="positive",T1845="positive"),"a",IF(T1845="positive","b",IF(R1845="positive","c","d")))))</x:f>
        <x:v>d</x:v>
      </x:c>
      <x:c r="V1845" s="12"/>
      <x:c r="W1845" s="12" t="str">
        <x:v>negative</x:v>
      </x:c>
      <x:c r="X1845" s="12"/>
      <x:c r="Y1845" s="12" t="str">
        <x:v>negative</x:v>
      </x:c>
      <x:c r="Z1845" s="12" t="str">
        <x:f>IF(OR(W1845="unavailable",Y1845="unavailable"),"不可评价",IF(OR(W1845="equivocal",Y1845="equivocal"),"疑似",IF(AND(W1845="positive",Y1845="positive"),"a",IF(Y1845="positive","b",IF(W1845="positive","c","d")))))</x:f>
        <x:v>d</x:v>
      </x:c>
      <x:c r="AA1845" s="12" t="str">
        <x:f>IF(OR(M1845="unavailable",O1845="unavailable"),"不可评价",IF(AND(OR(M1845="positive",M1845="equivocal"),OR(O1845="positive",O1845="equivocal")),"a",IF(OR(O1845="positive",O1845="equivocal"),"b",IF(OR(M1845="positive",M1845="equivocal"),"c","d"))))</x:f>
        <x:v>d</x:v>
      </x:c>
      <x:c r="AB1845" s="12" t="str">
        <x:f>IF(OR(M1845="unavailable",O1845="unavailable"),"不可评价",IF(AND(M1845="positive",O1845="positive"),"a",IF(O1845="positive","b",IF(M1845="positive","c","d"))))</x:f>
        <x:v>d</x:v>
      </x:c>
      <x:c r="AC1845" s="12" t="str">
        <x:f>IF(OR(R1845="unavailable",T1845="unavailable"),"不可评价",IF(AND(OR(R1845="positive",R1845="equivocal"),OR(T1845="positive",T1845="equivocal")),"a",IF(OR(T1845="positive",T1845="equivocal"),"b",IF(OR(R1845="positive",R1845="equivocal"),"c","d"))))</x:f>
        <x:v>d</x:v>
      </x:c>
      <x:c r="AD1845" s="12" t="str">
        <x:f>IF(OR(R1845="unavailable",T1845="unavailable"),"不可评价",IF(AND(R1845="positive",T1845="positive"),"a",IF(T1845="positive","b",IF(R1845="positive","c","d"))))</x:f>
        <x:v>d</x:v>
      </x:c>
      <x:c r="AE1845" s="12" t="str">
        <x:f>IF(OR(W1845="unavailable",Y1845="unavailable"),"不可评价",IF(AND(OR(W1845="positive",W1845="equivocal"),OR(Y1845="positive",Y1845="equivocal")),"a",IF(OR(Y1845="positive",Y1845="equivocal"),"b",IF(OR(W1845="positive",W1845="equivocal"),"c","d"))))</x:f>
        <x:v>d</x:v>
      </x:c>
      <x:c r="AF1845" s="12" t="str">
        <x:f>IF(OR(W1845="unavailable",Y1845="unavailable"),"不可评价",IF(AND(W1845="positive",Y1845="positive"),"a",IF(Y1845="positive","b",IF(W1845="positive","c","d"))))</x:f>
        <x:v>d</x:v>
      </x:c>
    </x:row>
    <x:row r="1846" ht="24" customHeight="1">
      <x:c r="A1846" s="12" t="str">
        <x:v>17592</x:v>
      </x:c>
      <x:c r="B1846" s="12" t="str">
        <x:v>17895</x:v>
      </x:c>
      <x:c r="C1846" s="21" t="n">
        <x:v>35463.41116898148</x:v>
      </x:c>
      <x:c r="D1846" s="12" t="n">
        <x:v>18</x:v>
      </x:c>
      <x:c r="E1846" s="12" t="n">
        <x:v>1</x:v>
      </x:c>
      <x:c r="F1846" s="12" t="str">
        <x:v>未记录</x:v>
      </x:c>
      <x:c r="G1846" s="12" t="n">
        <x:v>1</x:v>
      </x:c>
      <x:c r="H1846" s="12" t="str">
        <x:v>{'NORM': 100.0, 'SR': 0.0}</x:v>
      </x:c>
      <x:c r="I1846" s="12" t="str">
        <x:v>[('NSR', 100.0), ('SAR', 100.0), ('NML', 100.0)]</x:v>
      </x:c>
      <x:c r="J1846" s="12" t="str">
        <x:v>ptbxl_database.csv；ecg_id=17592；scp_codes</x:v>
      </x:c>
      <x:c r="K1846" s="12" t="str">
        <x:v>12sl_statements.csv；ecg_id=17592；statements_ext_snomed</x:v>
      </x:c>
      <x:c r="L1846" s="12"/>
      <x:c r="M1846" s="12" t="str">
        <x:v>negative</x:v>
      </x:c>
      <x:c r="N1846" s="12"/>
      <x:c r="O1846" s="12" t="str">
        <x:v>negative</x:v>
      </x:c>
      <x:c r="P1846" s="12" t="str">
        <x:f>IF(OR(M1846="unavailable",O1846="unavailable"),"不可评价",IF(OR(M1846="equivocal",O1846="equivocal"),"疑似",IF(AND(M1846="positive",O1846="positive"),"a",IF(O1846="positive","b",IF(M1846="positive","c","d")))))</x:f>
        <x:v>d</x:v>
      </x:c>
      <x:c r="Q1846" s="12"/>
      <x:c r="R1846" s="12" t="str">
        <x:v>negative</x:v>
      </x:c>
      <x:c r="S1846" s="12"/>
      <x:c r="T1846" s="12" t="str">
        <x:v>negative</x:v>
      </x:c>
      <x:c r="U1846" s="12" t="str">
        <x:f>IF(OR(R1846="unavailable",T1846="unavailable"),"不可评价",IF(OR(R1846="equivocal",T1846="equivocal"),"疑似",IF(AND(R1846="positive",T1846="positive"),"a",IF(T1846="positive","b",IF(R1846="positive","c","d")))))</x:f>
        <x:v>d</x:v>
      </x:c>
      <x:c r="V1846" s="12"/>
      <x:c r="W1846" s="12" t="str">
        <x:v>negative</x:v>
      </x:c>
      <x:c r="X1846" s="12"/>
      <x:c r="Y1846" s="12" t="str">
        <x:v>negative</x:v>
      </x:c>
      <x:c r="Z1846" s="12" t="str">
        <x:f>IF(OR(W1846="unavailable",Y1846="unavailable"),"不可评价",IF(OR(W1846="equivocal",Y1846="equivocal"),"疑似",IF(AND(W1846="positive",Y1846="positive"),"a",IF(Y1846="positive","b",IF(W1846="positive","c","d")))))</x:f>
        <x:v>d</x:v>
      </x:c>
      <x:c r="AA1846" s="12" t="str">
        <x:f>IF(OR(M1846="unavailable",O1846="unavailable"),"不可评价",IF(AND(OR(M1846="positive",M1846="equivocal"),OR(O1846="positive",O1846="equivocal")),"a",IF(OR(O1846="positive",O1846="equivocal"),"b",IF(OR(M1846="positive",M1846="equivocal"),"c","d"))))</x:f>
        <x:v>d</x:v>
      </x:c>
      <x:c r="AB1846" s="12" t="str">
        <x:f>IF(OR(M1846="unavailable",O1846="unavailable"),"不可评价",IF(AND(M1846="positive",O1846="positive"),"a",IF(O1846="positive","b",IF(M1846="positive","c","d"))))</x:f>
        <x:v>d</x:v>
      </x:c>
      <x:c r="AC1846" s="12" t="str">
        <x:f>IF(OR(R1846="unavailable",T1846="unavailable"),"不可评价",IF(AND(OR(R1846="positive",R1846="equivocal"),OR(T1846="positive",T1846="equivocal")),"a",IF(OR(T1846="positive",T1846="equivocal"),"b",IF(OR(R1846="positive",R1846="equivocal"),"c","d"))))</x:f>
        <x:v>d</x:v>
      </x:c>
      <x:c r="AD1846" s="12" t="str">
        <x:f>IF(OR(R1846="unavailable",T1846="unavailable"),"不可评价",IF(AND(R1846="positive",T1846="positive"),"a",IF(T1846="positive","b",IF(R1846="positive","c","d"))))</x:f>
        <x:v>d</x:v>
      </x:c>
      <x:c r="AE1846" s="12" t="str">
        <x:f>IF(OR(W1846="unavailable",Y1846="unavailable"),"不可评价",IF(AND(OR(W1846="positive",W1846="equivocal"),OR(Y1846="positive",Y1846="equivocal")),"a",IF(OR(Y1846="positive",Y1846="equivocal"),"b",IF(OR(W1846="positive",W1846="equivocal"),"c","d"))))</x:f>
        <x:v>d</x:v>
      </x:c>
      <x:c r="AF1846" s="12" t="str">
        <x:f>IF(OR(W1846="unavailable",Y1846="unavailable"),"不可评价",IF(AND(W1846="positive",Y1846="positive"),"a",IF(Y1846="positive","b",IF(W1846="positive","c","d"))))</x:f>
        <x:v>d</x:v>
      </x:c>
    </x:row>
    <x:row r="1847" ht="24" customHeight="1">
      <x:c r="A1847" s="12" t="str">
        <x:v>17593</x:v>
      </x:c>
      <x:c r="B1847" s="12" t="str">
        <x:v>16394</x:v>
      </x:c>
      <x:c r="C1847" s="21" t="n">
        <x:v>35463.46287037037</x:v>
      </x:c>
      <x:c r="D1847" s="12" t="n">
        <x:v>18</x:v>
      </x:c>
      <x:c r="E1847" s="12" t="n">
        <x:v>1</x:v>
      </x:c>
      <x:c r="F1847" s="12" t="str">
        <x:v>未记录</x:v>
      </x:c>
      <x:c r="G1847" s="12" t="n">
        <x:v>1</x:v>
      </x:c>
      <x:c r="H1847" s="12" t="str">
        <x:v>{'NORM': 100.0, 'SR': 0.0}</x:v>
      </x:c>
      <x:c r="I1847" s="12" t="str">
        <x:v>[('NSR', 100.0), ('SAR', 100.0), ('NML', 100.0)]</x:v>
      </x:c>
      <x:c r="J1847" s="12" t="str">
        <x:v>ptbxl_database.csv；ecg_id=17593；scp_codes</x:v>
      </x:c>
      <x:c r="K1847" s="12" t="str">
        <x:v>12sl_statements.csv；ecg_id=17593；statements_ext_snomed</x:v>
      </x:c>
      <x:c r="L1847" s="12"/>
      <x:c r="M1847" s="12" t="str">
        <x:v>negative</x:v>
      </x:c>
      <x:c r="N1847" s="12"/>
      <x:c r="O1847" s="12" t="str">
        <x:v>negative</x:v>
      </x:c>
      <x:c r="P1847" s="12" t="str">
        <x:f>IF(OR(M1847="unavailable",O1847="unavailable"),"不可评价",IF(OR(M1847="equivocal",O1847="equivocal"),"疑似",IF(AND(M1847="positive",O1847="positive"),"a",IF(O1847="positive","b",IF(M1847="positive","c","d")))))</x:f>
        <x:v>d</x:v>
      </x:c>
      <x:c r="Q1847" s="12"/>
      <x:c r="R1847" s="12" t="str">
        <x:v>negative</x:v>
      </x:c>
      <x:c r="S1847" s="12"/>
      <x:c r="T1847" s="12" t="str">
        <x:v>negative</x:v>
      </x:c>
      <x:c r="U1847" s="12" t="str">
        <x:f>IF(OR(R1847="unavailable",T1847="unavailable"),"不可评价",IF(OR(R1847="equivocal",T1847="equivocal"),"疑似",IF(AND(R1847="positive",T1847="positive"),"a",IF(T1847="positive","b",IF(R1847="positive","c","d")))))</x:f>
        <x:v>d</x:v>
      </x:c>
      <x:c r="V1847" s="12"/>
      <x:c r="W1847" s="12" t="str">
        <x:v>negative</x:v>
      </x:c>
      <x:c r="X1847" s="12"/>
      <x:c r="Y1847" s="12" t="str">
        <x:v>negative</x:v>
      </x:c>
      <x:c r="Z1847" s="12" t="str">
        <x:f>IF(OR(W1847="unavailable",Y1847="unavailable"),"不可评价",IF(OR(W1847="equivocal",Y1847="equivocal"),"疑似",IF(AND(W1847="positive",Y1847="positive"),"a",IF(Y1847="positive","b",IF(W1847="positive","c","d")))))</x:f>
        <x:v>d</x:v>
      </x:c>
      <x:c r="AA1847" s="12" t="str">
        <x:f>IF(OR(M1847="unavailable",O1847="unavailable"),"不可评价",IF(AND(OR(M1847="positive",M1847="equivocal"),OR(O1847="positive",O1847="equivocal")),"a",IF(OR(O1847="positive",O1847="equivocal"),"b",IF(OR(M1847="positive",M1847="equivocal"),"c","d"))))</x:f>
        <x:v>d</x:v>
      </x:c>
      <x:c r="AB1847" s="12" t="str">
        <x:f>IF(OR(M1847="unavailable",O1847="unavailable"),"不可评价",IF(AND(M1847="positive",O1847="positive"),"a",IF(O1847="positive","b",IF(M1847="positive","c","d"))))</x:f>
        <x:v>d</x:v>
      </x:c>
      <x:c r="AC1847" s="12" t="str">
        <x:f>IF(OR(R1847="unavailable",T1847="unavailable"),"不可评价",IF(AND(OR(R1847="positive",R1847="equivocal"),OR(T1847="positive",T1847="equivocal")),"a",IF(OR(T1847="positive",T1847="equivocal"),"b",IF(OR(R1847="positive",R1847="equivocal"),"c","d"))))</x:f>
        <x:v>d</x:v>
      </x:c>
      <x:c r="AD1847" s="12" t="str">
        <x:f>IF(OR(R1847="unavailable",T1847="unavailable"),"不可评价",IF(AND(R1847="positive",T1847="positive"),"a",IF(T1847="positive","b",IF(R1847="positive","c","d"))))</x:f>
        <x:v>d</x:v>
      </x:c>
      <x:c r="AE1847" s="12" t="str">
        <x:f>IF(OR(W1847="unavailable",Y1847="unavailable"),"不可评价",IF(AND(OR(W1847="positive",W1847="equivocal"),OR(Y1847="positive",Y1847="equivocal")),"a",IF(OR(Y1847="positive",Y1847="equivocal"),"b",IF(OR(W1847="positive",W1847="equivocal"),"c","d"))))</x:f>
        <x:v>d</x:v>
      </x:c>
      <x:c r="AF1847" s="12" t="str">
        <x:f>IF(OR(W1847="unavailable",Y1847="unavailable"),"不可评价",IF(AND(W1847="positive",Y1847="positive"),"a",IF(Y1847="positive","b",IF(W1847="positive","c","d"))))</x:f>
        <x:v>d</x:v>
      </x:c>
    </x:row>
    <x:row r="1848" ht="24" customHeight="1">
      <x:c r="A1848" s="12" t="str">
        <x:v>17608</x:v>
      </x:c>
      <x:c r="B1848" s="12" t="str">
        <x:v>14651</x:v>
      </x:c>
      <x:c r="C1848" s="21" t="n">
        <x:v>35467.553391203706</x:v>
      </x:c>
      <x:c r="D1848" s="12" t="n">
        <x:v>38</x:v>
      </x:c>
      <x:c r="E1848" s="12" t="n">
        <x:v>1</x:v>
      </x:c>
      <x:c r="F1848" s="12" t="str">
        <x:v>存在</x:v>
      </x:c>
      <x:c r="G1848" s="12" t="n">
        <x:v>1</x:v>
      </x:c>
      <x:c r="H1848" s="12" t="str">
        <x:v>{'NORM': 80.0, 'SARRH': 0.0}</x:v>
      </x:c>
      <x:c r="I1848" s="12" t="str">
        <x:v>[('SRTH', 100.0), ('MSAR', 100.0), ('ABR', 100.0)]</x:v>
      </x:c>
      <x:c r="J1848" s="12" t="str">
        <x:v>ptbxl_database.csv；ecg_id=17608；scp_codes</x:v>
      </x:c>
      <x:c r="K1848" s="12" t="str">
        <x:v>12sl_statements.csv；ecg_id=17608；statements_ext_snomed</x:v>
      </x:c>
      <x:c r="L1848" s="12"/>
      <x:c r="M1848" s="12" t="str">
        <x:v>negative</x:v>
      </x:c>
      <x:c r="N1848" s="12"/>
      <x:c r="O1848" s="12" t="str">
        <x:v>negative</x:v>
      </x:c>
      <x:c r="P1848" s="12" t="str">
        <x:f>IF(OR(M1848="unavailable",O1848="unavailable"),"不可评价",IF(OR(M1848="equivocal",O1848="equivocal"),"疑似",IF(AND(M1848="positive",O1848="positive"),"a",IF(O1848="positive","b",IF(M1848="positive","c","d")))))</x:f>
        <x:v>d</x:v>
      </x:c>
      <x:c r="Q1848" s="12"/>
      <x:c r="R1848" s="12" t="str">
        <x:v>negative</x:v>
      </x:c>
      <x:c r="S1848" s="12"/>
      <x:c r="T1848" s="12" t="str">
        <x:v>negative</x:v>
      </x:c>
      <x:c r="U1848" s="12" t="str">
        <x:f>IF(OR(R1848="unavailable",T1848="unavailable"),"不可评价",IF(OR(R1848="equivocal",T1848="equivocal"),"疑似",IF(AND(R1848="positive",T1848="positive"),"a",IF(T1848="positive","b",IF(R1848="positive","c","d")))))</x:f>
        <x:v>d</x:v>
      </x:c>
      <x:c r="V1848" s="12"/>
      <x:c r="W1848" s="12" t="str">
        <x:v>negative</x:v>
      </x:c>
      <x:c r="X1848" s="12"/>
      <x:c r="Y1848" s="12" t="str">
        <x:v>negative</x:v>
      </x:c>
      <x:c r="Z1848" s="12" t="str">
        <x:f>IF(OR(W1848="unavailable",Y1848="unavailable"),"不可评价",IF(OR(W1848="equivocal",Y1848="equivocal"),"疑似",IF(AND(W1848="positive",Y1848="positive"),"a",IF(Y1848="positive","b",IF(W1848="positive","c","d")))))</x:f>
        <x:v>d</x:v>
      </x:c>
      <x:c r="AA1848" s="12" t="str">
        <x:f>IF(OR(M1848="unavailable",O1848="unavailable"),"不可评价",IF(AND(OR(M1848="positive",M1848="equivocal"),OR(O1848="positive",O1848="equivocal")),"a",IF(OR(O1848="positive",O1848="equivocal"),"b",IF(OR(M1848="positive",M1848="equivocal"),"c","d"))))</x:f>
        <x:v>d</x:v>
      </x:c>
      <x:c r="AB1848" s="12" t="str">
        <x:f>IF(OR(M1848="unavailable",O1848="unavailable"),"不可评价",IF(AND(M1848="positive",O1848="positive"),"a",IF(O1848="positive","b",IF(M1848="positive","c","d"))))</x:f>
        <x:v>d</x:v>
      </x:c>
      <x:c r="AC1848" s="12" t="str">
        <x:f>IF(OR(R1848="unavailable",T1848="unavailable"),"不可评价",IF(AND(OR(R1848="positive",R1848="equivocal"),OR(T1848="positive",T1848="equivocal")),"a",IF(OR(T1848="positive",T1848="equivocal"),"b",IF(OR(R1848="positive",R1848="equivocal"),"c","d"))))</x:f>
        <x:v>d</x:v>
      </x:c>
      <x:c r="AD1848" s="12" t="str">
        <x:f>IF(OR(R1848="unavailable",T1848="unavailable"),"不可评价",IF(AND(R1848="positive",T1848="positive"),"a",IF(T1848="positive","b",IF(R1848="positive","c","d"))))</x:f>
        <x:v>d</x:v>
      </x:c>
      <x:c r="AE1848" s="12" t="str">
        <x:f>IF(OR(W1848="unavailable",Y1848="unavailable"),"不可评价",IF(AND(OR(W1848="positive",W1848="equivocal"),OR(Y1848="positive",Y1848="equivocal")),"a",IF(OR(Y1848="positive",Y1848="equivocal"),"b",IF(OR(W1848="positive",W1848="equivocal"),"c","d"))))</x:f>
        <x:v>d</x:v>
      </x:c>
      <x:c r="AF1848" s="12" t="str">
        <x:f>IF(OR(W1848="unavailable",Y1848="unavailable"),"不可评价",IF(AND(W1848="positive",Y1848="positive"),"a",IF(Y1848="positive","b",IF(W1848="positive","c","d"))))</x:f>
        <x:v>d</x:v>
      </x:c>
    </x:row>
    <x:row r="1849" ht="24" customHeight="1">
      <x:c r="A1849" s="12" t="str">
        <x:v>17617</x:v>
      </x:c>
      <x:c r="B1849" s="12" t="str">
        <x:v>3703</x:v>
      </x:c>
      <x:c r="C1849" s="21" t="n">
        <x:v>35469.513553240744</x:v>
      </x:c>
      <x:c r="D1849" s="12" t="n">
        <x:v>65</x:v>
      </x:c>
      <x:c r="E1849" s="12" t="n">
        <x:v>1</x:v>
      </x:c>
      <x:c r="F1849" s="12" t="str">
        <x:v>未记录</x:v>
      </x:c>
      <x:c r="G1849" s="12" t="n">
        <x:v>1</x:v>
      </x:c>
      <x:c r="H1849" s="12" t="str">
        <x:v>{'LAFB': 100.0, 'SR': 0.0}</x:v>
      </x:c>
      <x:c r="I1849" s="12" t="str">
        <x:v>[('NSR', 100.0), ('NML', 100.0)]</x:v>
      </x:c>
      <x:c r="J1849" s="12" t="str">
        <x:v>ptbxl_database.csv；ecg_id=17617；scp_codes</x:v>
      </x:c>
      <x:c r="K1849" s="12" t="str">
        <x:v>12sl_statements.csv；ecg_id=17617；statements_ext_snomed</x:v>
      </x:c>
      <x:c r="L1849" s="12"/>
      <x:c r="M1849" s="12" t="str">
        <x:v>negative</x:v>
      </x:c>
      <x:c r="N1849" s="12"/>
      <x:c r="O1849" s="12" t="str">
        <x:v>negative</x:v>
      </x:c>
      <x:c r="P1849" s="12" t="str">
        <x:f>IF(OR(M1849="unavailable",O1849="unavailable"),"不可评价",IF(OR(M1849="equivocal",O1849="equivocal"),"疑似",IF(AND(M1849="positive",O1849="positive"),"a",IF(O1849="positive","b",IF(M1849="positive","c","d")))))</x:f>
        <x:v>d</x:v>
      </x:c>
      <x:c r="Q1849" s="12"/>
      <x:c r="R1849" s="12" t="str">
        <x:v>negative</x:v>
      </x:c>
      <x:c r="S1849" s="12"/>
      <x:c r="T1849" s="12" t="str">
        <x:v>negative</x:v>
      </x:c>
      <x:c r="U1849" s="12" t="str">
        <x:f>IF(OR(R1849="unavailable",T1849="unavailable"),"不可评价",IF(OR(R1849="equivocal",T1849="equivocal"),"疑似",IF(AND(R1849="positive",T1849="positive"),"a",IF(T1849="positive","b",IF(R1849="positive","c","d")))))</x:f>
        <x:v>d</x:v>
      </x:c>
      <x:c r="V1849" s="12"/>
      <x:c r="W1849" s="12" t="str">
        <x:v>negative</x:v>
      </x:c>
      <x:c r="X1849" s="12"/>
      <x:c r="Y1849" s="12" t="str">
        <x:v>negative</x:v>
      </x:c>
      <x:c r="Z1849" s="12" t="str">
        <x:f>IF(OR(W1849="unavailable",Y1849="unavailable"),"不可评价",IF(OR(W1849="equivocal",Y1849="equivocal"),"疑似",IF(AND(W1849="positive",Y1849="positive"),"a",IF(Y1849="positive","b",IF(W1849="positive","c","d")))))</x:f>
        <x:v>d</x:v>
      </x:c>
      <x:c r="AA1849" s="12" t="str">
        <x:f>IF(OR(M1849="unavailable",O1849="unavailable"),"不可评价",IF(AND(OR(M1849="positive",M1849="equivocal"),OR(O1849="positive",O1849="equivocal")),"a",IF(OR(O1849="positive",O1849="equivocal"),"b",IF(OR(M1849="positive",M1849="equivocal"),"c","d"))))</x:f>
        <x:v>d</x:v>
      </x:c>
      <x:c r="AB1849" s="12" t="str">
        <x:f>IF(OR(M1849="unavailable",O1849="unavailable"),"不可评价",IF(AND(M1849="positive",O1849="positive"),"a",IF(O1849="positive","b",IF(M1849="positive","c","d"))))</x:f>
        <x:v>d</x:v>
      </x:c>
      <x:c r="AC1849" s="12" t="str">
        <x:f>IF(OR(R1849="unavailable",T1849="unavailable"),"不可评价",IF(AND(OR(R1849="positive",R1849="equivocal"),OR(T1849="positive",T1849="equivocal")),"a",IF(OR(T1849="positive",T1849="equivocal"),"b",IF(OR(R1849="positive",R1849="equivocal"),"c","d"))))</x:f>
        <x:v>d</x:v>
      </x:c>
      <x:c r="AD1849" s="12" t="str">
        <x:f>IF(OR(R1849="unavailable",T1849="unavailable"),"不可评价",IF(AND(R1849="positive",T1849="positive"),"a",IF(T1849="positive","b",IF(R1849="positive","c","d"))))</x:f>
        <x:v>d</x:v>
      </x:c>
      <x:c r="AE1849" s="12" t="str">
        <x:f>IF(OR(W1849="unavailable",Y1849="unavailable"),"不可评价",IF(AND(OR(W1849="positive",W1849="equivocal"),OR(Y1849="positive",Y1849="equivocal")),"a",IF(OR(Y1849="positive",Y1849="equivocal"),"b",IF(OR(W1849="positive",W1849="equivocal"),"c","d"))))</x:f>
        <x:v>d</x:v>
      </x:c>
      <x:c r="AF1849" s="12" t="str">
        <x:f>IF(OR(W1849="unavailable",Y1849="unavailable"),"不可评价",IF(AND(W1849="positive",Y1849="positive"),"a",IF(Y1849="positive","b",IF(W1849="positive","c","d"))))</x:f>
        <x:v>d</x:v>
      </x:c>
    </x:row>
    <x:row r="1850" ht="24" customHeight="1">
      <x:c r="A1850" s="12" t="str">
        <x:v>17621</x:v>
      </x:c>
      <x:c r="B1850" s="12" t="str">
        <x:v>10058</x:v>
      </x:c>
      <x:c r="C1850" s="21" t="n">
        <x:v>35470.698067129626</x:v>
      </x:c>
      <x:c r="D1850" s="12" t="n">
        <x:v>54</x:v>
      </x:c>
      <x:c r="E1850" s="12" t="n">
        <x:v>1</x:v>
      </x:c>
      <x:c r="F1850" s="12" t="str">
        <x:v>未记录</x:v>
      </x:c>
      <x:c r="G1850" s="12" t="n">
        <x:v>1</x:v>
      </x:c>
      <x:c r="H1850" s="12" t="str">
        <x:v>{'NORM': 100.0}</x:v>
      </x:c>
      <x:c r="I1850" s="12" t="str">
        <x:v>[('SBRAD', 100.0), ('PSVC', 100.0), ('ABR', 100.0)]</x:v>
      </x:c>
      <x:c r="J1850" s="12" t="str">
        <x:v>ptbxl_database.csv；ecg_id=17621；scp_codes</x:v>
      </x:c>
      <x:c r="K1850" s="12" t="str">
        <x:v>12sl_statements.csv；ecg_id=17621；statements_ext_snomed</x:v>
      </x:c>
      <x:c r="L1850" s="12"/>
      <x:c r="M1850" s="12" t="str">
        <x:v>negative</x:v>
      </x:c>
      <x:c r="N1850" s="12"/>
      <x:c r="O1850" s="12" t="str">
        <x:v>negative</x:v>
      </x:c>
      <x:c r="P1850" s="12" t="str">
        <x:f>IF(OR(M1850="unavailable",O1850="unavailable"),"不可评价",IF(OR(M1850="equivocal",O1850="equivocal"),"疑似",IF(AND(M1850="positive",O1850="positive"),"a",IF(O1850="positive","b",IF(M1850="positive","c","d")))))</x:f>
        <x:v>d</x:v>
      </x:c>
      <x:c r="Q1850" s="12"/>
      <x:c r="R1850" s="12" t="str">
        <x:v>negative</x:v>
      </x:c>
      <x:c r="S1850" s="12"/>
      <x:c r="T1850" s="12" t="str">
        <x:v>negative</x:v>
      </x:c>
      <x:c r="U1850" s="12" t="str">
        <x:f>IF(OR(R1850="unavailable",T1850="unavailable"),"不可评价",IF(OR(R1850="equivocal",T1850="equivocal"),"疑似",IF(AND(R1850="positive",T1850="positive"),"a",IF(T1850="positive","b",IF(R1850="positive","c","d")))))</x:f>
        <x:v>d</x:v>
      </x:c>
      <x:c r="V1850" s="12"/>
      <x:c r="W1850" s="12" t="str">
        <x:v>negative</x:v>
      </x:c>
      <x:c r="X1850" s="12"/>
      <x:c r="Y1850" s="12" t="str">
        <x:v>negative</x:v>
      </x:c>
      <x:c r="Z1850" s="12" t="str">
        <x:f>IF(OR(W1850="unavailable",Y1850="unavailable"),"不可评价",IF(OR(W1850="equivocal",Y1850="equivocal"),"疑似",IF(AND(W1850="positive",Y1850="positive"),"a",IF(Y1850="positive","b",IF(W1850="positive","c","d")))))</x:f>
        <x:v>d</x:v>
      </x:c>
      <x:c r="AA1850" s="12" t="str">
        <x:f>IF(OR(M1850="unavailable",O1850="unavailable"),"不可评价",IF(AND(OR(M1850="positive",M1850="equivocal"),OR(O1850="positive",O1850="equivocal")),"a",IF(OR(O1850="positive",O1850="equivocal"),"b",IF(OR(M1850="positive",M1850="equivocal"),"c","d"))))</x:f>
        <x:v>d</x:v>
      </x:c>
      <x:c r="AB1850" s="12" t="str">
        <x:f>IF(OR(M1850="unavailable",O1850="unavailable"),"不可评价",IF(AND(M1850="positive",O1850="positive"),"a",IF(O1850="positive","b",IF(M1850="positive","c","d"))))</x:f>
        <x:v>d</x:v>
      </x:c>
      <x:c r="AC1850" s="12" t="str">
        <x:f>IF(OR(R1850="unavailable",T1850="unavailable"),"不可评价",IF(AND(OR(R1850="positive",R1850="equivocal"),OR(T1850="positive",T1850="equivocal")),"a",IF(OR(T1850="positive",T1850="equivocal"),"b",IF(OR(R1850="positive",R1850="equivocal"),"c","d"))))</x:f>
        <x:v>d</x:v>
      </x:c>
      <x:c r="AD1850" s="12" t="str">
        <x:f>IF(OR(R1850="unavailable",T1850="unavailable"),"不可评价",IF(AND(R1850="positive",T1850="positive"),"a",IF(T1850="positive","b",IF(R1850="positive","c","d"))))</x:f>
        <x:v>d</x:v>
      </x:c>
      <x:c r="AE1850" s="12" t="str">
        <x:f>IF(OR(W1850="unavailable",Y1850="unavailable"),"不可评价",IF(AND(OR(W1850="positive",W1850="equivocal"),OR(Y1850="positive",Y1850="equivocal")),"a",IF(OR(Y1850="positive",Y1850="equivocal"),"b",IF(OR(W1850="positive",W1850="equivocal"),"c","d"))))</x:f>
        <x:v>d</x:v>
      </x:c>
      <x:c r="AF1850" s="12" t="str">
        <x:f>IF(OR(W1850="unavailable",Y1850="unavailable"),"不可评价",IF(AND(W1850="positive",Y1850="positive"),"a",IF(Y1850="positive","b",IF(W1850="positive","c","d"))))</x:f>
        <x:v>d</x:v>
      </x:c>
    </x:row>
    <x:row r="1851" ht="24" customHeight="1">
      <x:c r="A1851" s="12" t="str">
        <x:v>17623</x:v>
      </x:c>
      <x:c r="B1851" s="12" t="str">
        <x:v>10058</x:v>
      </x:c>
      <x:c r="C1851" s="21" t="n">
        <x:v>35472.446805555555</x:v>
      </x:c>
      <x:c r="D1851" s="12" t="n">
        <x:v>54</x:v>
      </x:c>
      <x:c r="E1851" s="12" t="n">
        <x:v>1</x:v>
      </x:c>
      <x:c r="F1851" s="12" t="str">
        <x:v>未记录</x:v>
      </x:c>
      <x:c r="G1851" s="12" t="n">
        <x:v>0</x:v>
      </x:c>
      <x:c r="H1851" s="12" t="str">
        <x:v>{'NORM': 100.0, 'SVARR': 0.0}</x:v>
      </x:c>
      <x:c r="I1851" s="12" t="str">
        <x:v>[('EAR', 100.0), ('AB', 100.0)]</x:v>
      </x:c>
      <x:c r="J1851" s="12" t="str">
        <x:v>ptbxl_database.csv；ecg_id=17623；scp_codes</x:v>
      </x:c>
      <x:c r="K1851" s="12" t="str">
        <x:v>12sl_statements.csv；ecg_id=17623；statements_ext_snomed</x:v>
      </x:c>
      <x:c r="L1851" s="12"/>
      <x:c r="M1851" s="12" t="str">
        <x:v>negative</x:v>
      </x:c>
      <x:c r="N1851" s="12"/>
      <x:c r="O1851" s="12" t="str">
        <x:v>negative</x:v>
      </x:c>
      <x:c r="P1851" s="12" t="str">
        <x:f>IF(OR(M1851="unavailable",O1851="unavailable"),"不可评价",IF(OR(M1851="equivocal",O1851="equivocal"),"疑似",IF(AND(M1851="positive",O1851="positive"),"a",IF(O1851="positive","b",IF(M1851="positive","c","d")))))</x:f>
        <x:v>d</x:v>
      </x:c>
      <x:c r="Q1851" s="12"/>
      <x:c r="R1851" s="12" t="str">
        <x:v>negative</x:v>
      </x:c>
      <x:c r="S1851" s="12"/>
      <x:c r="T1851" s="12" t="str">
        <x:v>negative</x:v>
      </x:c>
      <x:c r="U1851" s="12" t="str">
        <x:f>IF(OR(R1851="unavailable",T1851="unavailable"),"不可评价",IF(OR(R1851="equivocal",T1851="equivocal"),"疑似",IF(AND(R1851="positive",T1851="positive"),"a",IF(T1851="positive","b",IF(R1851="positive","c","d")))))</x:f>
        <x:v>d</x:v>
      </x:c>
      <x:c r="V1851" s="12"/>
      <x:c r="W1851" s="12" t="str">
        <x:v>negative</x:v>
      </x:c>
      <x:c r="X1851" s="12"/>
      <x:c r="Y1851" s="12" t="str">
        <x:v>negative</x:v>
      </x:c>
      <x:c r="Z1851" s="12" t="str">
        <x:f>IF(OR(W1851="unavailable",Y1851="unavailable"),"不可评价",IF(OR(W1851="equivocal",Y1851="equivocal"),"疑似",IF(AND(W1851="positive",Y1851="positive"),"a",IF(Y1851="positive","b",IF(W1851="positive","c","d")))))</x:f>
        <x:v>d</x:v>
      </x:c>
      <x:c r="AA1851" s="12" t="str">
        <x:f>IF(OR(M1851="unavailable",O1851="unavailable"),"不可评价",IF(AND(OR(M1851="positive",M1851="equivocal"),OR(O1851="positive",O1851="equivocal")),"a",IF(OR(O1851="positive",O1851="equivocal"),"b",IF(OR(M1851="positive",M1851="equivocal"),"c","d"))))</x:f>
        <x:v>d</x:v>
      </x:c>
      <x:c r="AB1851" s="12" t="str">
        <x:f>IF(OR(M1851="unavailable",O1851="unavailable"),"不可评价",IF(AND(M1851="positive",O1851="positive"),"a",IF(O1851="positive","b",IF(M1851="positive","c","d"))))</x:f>
        <x:v>d</x:v>
      </x:c>
      <x:c r="AC1851" s="12" t="str">
        <x:f>IF(OR(R1851="unavailable",T1851="unavailable"),"不可评价",IF(AND(OR(R1851="positive",R1851="equivocal"),OR(T1851="positive",T1851="equivocal")),"a",IF(OR(T1851="positive",T1851="equivocal"),"b",IF(OR(R1851="positive",R1851="equivocal"),"c","d"))))</x:f>
        <x:v>d</x:v>
      </x:c>
      <x:c r="AD1851" s="12" t="str">
        <x:f>IF(OR(R1851="unavailable",T1851="unavailable"),"不可评价",IF(AND(R1851="positive",T1851="positive"),"a",IF(T1851="positive","b",IF(R1851="positive","c","d"))))</x:f>
        <x:v>d</x:v>
      </x:c>
      <x:c r="AE1851" s="12" t="str">
        <x:f>IF(OR(W1851="unavailable",Y1851="unavailable"),"不可评价",IF(AND(OR(W1851="positive",W1851="equivocal"),OR(Y1851="positive",Y1851="equivocal")),"a",IF(OR(Y1851="positive",Y1851="equivocal"),"b",IF(OR(W1851="positive",W1851="equivocal"),"c","d"))))</x:f>
        <x:v>d</x:v>
      </x:c>
      <x:c r="AF1851" s="12" t="str">
        <x:f>IF(OR(W1851="unavailable",Y1851="unavailable"),"不可评价",IF(AND(W1851="positive",Y1851="positive"),"a",IF(Y1851="positive","b",IF(W1851="positive","c","d"))))</x:f>
        <x:v>d</x:v>
      </x:c>
    </x:row>
    <x:row r="1852" ht="39" customHeight="1">
      <x:c r="A1852" s="12" t="str">
        <x:v>17638</x:v>
      </x:c>
      <x:c r="B1852" s="12" t="str">
        <x:v>1164</x:v>
      </x:c>
      <x:c r="C1852" s="21" t="n">
        <x:v>35483.31255787037</x:v>
      </x:c>
      <x:c r="D1852" s="12" t="n">
        <x:v>75</x:v>
      </x:c>
      <x:c r="E1852" s="12" t="n">
        <x:v>0</x:v>
      </x:c>
      <x:c r="F1852" s="12" t="str">
        <x:v>存在</x:v>
      </x:c>
      <x:c r="G1852" s="12" t="n">
        <x:v>1</x:v>
      </x:c>
      <x:c r="H1852" s="12" t="str">
        <x:v>{'LAFB': 100.0, 'LAO/LAE': 50.0, 'LVH': 50.0, 'SEHYP': 50.0, 'VCLVH': 0.0, 'QWAVE': 0.0, 'SR': 0.0}</x:v>
      </x:c>
      <x:c r="I1852" s="12" t="str">
        <x:v>[('QCERR', 100.0), ('NSR', 100.0), ('LAD3', 100.0), ('LVH2', 100.0), ('LMI;AU', 100.0), ('AB', 100.0)]</x:v>
      </x:c>
      <x:c r="J1852" s="12" t="str">
        <x:v>ptbxl_database.csv；ecg_id=17638；scp_codes</x:v>
      </x:c>
      <x:c r="K1852" s="12" t="str">
        <x:v>12sl_statements.csv；ecg_id=17638；statements_ext_snomed</x:v>
      </x:c>
      <x:c r="L1852" s="12"/>
      <x:c r="M1852" s="12" t="str">
        <x:v>negative</x:v>
      </x:c>
      <x:c r="N1852" s="12"/>
      <x:c r="O1852" s="12" t="str">
        <x:v>negative</x:v>
      </x:c>
      <x:c r="P1852" s="12" t="str">
        <x:f>IF(OR(M1852="unavailable",O1852="unavailable"),"不可评价",IF(OR(M1852="equivocal",O1852="equivocal"),"疑似",IF(AND(M1852="positive",O1852="positive"),"a",IF(O1852="positive","b",IF(M1852="positive","c","d")))))</x:f>
        <x:v>d</x:v>
      </x:c>
      <x:c r="Q1852" s="12"/>
      <x:c r="R1852" s="12" t="str">
        <x:v>negative</x:v>
      </x:c>
      <x:c r="S1852" s="12"/>
      <x:c r="T1852" s="12" t="str">
        <x:v>negative</x:v>
      </x:c>
      <x:c r="U1852" s="12" t="str">
        <x:f>IF(OR(R1852="unavailable",T1852="unavailable"),"不可评价",IF(OR(R1852="equivocal",T1852="equivocal"),"疑似",IF(AND(R1852="positive",T1852="positive"),"a",IF(T1852="positive","b",IF(R1852="positive","c","d")))))</x:f>
        <x:v>d</x:v>
      </x:c>
      <x:c r="V1852" s="12"/>
      <x:c r="W1852" s="12" t="str">
        <x:v>negative</x:v>
      </x:c>
      <x:c r="X1852" s="12"/>
      <x:c r="Y1852" s="12" t="str">
        <x:v>negative</x:v>
      </x:c>
      <x:c r="Z1852" s="12" t="str">
        <x:f>IF(OR(W1852="unavailable",Y1852="unavailable"),"不可评价",IF(OR(W1852="equivocal",Y1852="equivocal"),"疑似",IF(AND(W1852="positive",Y1852="positive"),"a",IF(Y1852="positive","b",IF(W1852="positive","c","d")))))</x:f>
        <x:v>d</x:v>
      </x:c>
      <x:c r="AA1852" s="12" t="str">
        <x:f>IF(OR(M1852="unavailable",O1852="unavailable"),"不可评价",IF(AND(OR(M1852="positive",M1852="equivocal"),OR(O1852="positive",O1852="equivocal")),"a",IF(OR(O1852="positive",O1852="equivocal"),"b",IF(OR(M1852="positive",M1852="equivocal"),"c","d"))))</x:f>
        <x:v>d</x:v>
      </x:c>
      <x:c r="AB1852" s="12" t="str">
        <x:f>IF(OR(M1852="unavailable",O1852="unavailable"),"不可评价",IF(AND(M1852="positive",O1852="positive"),"a",IF(O1852="positive","b",IF(M1852="positive","c","d"))))</x:f>
        <x:v>d</x:v>
      </x:c>
      <x:c r="AC1852" s="12" t="str">
        <x:f>IF(OR(R1852="unavailable",T1852="unavailable"),"不可评价",IF(AND(OR(R1852="positive",R1852="equivocal"),OR(T1852="positive",T1852="equivocal")),"a",IF(OR(T1852="positive",T1852="equivocal"),"b",IF(OR(R1852="positive",R1852="equivocal"),"c","d"))))</x:f>
        <x:v>d</x:v>
      </x:c>
      <x:c r="AD1852" s="12" t="str">
        <x:f>IF(OR(R1852="unavailable",T1852="unavailable"),"不可评价",IF(AND(R1852="positive",T1852="positive"),"a",IF(T1852="positive","b",IF(R1852="positive","c","d"))))</x:f>
        <x:v>d</x:v>
      </x:c>
      <x:c r="AE1852" s="12" t="str">
        <x:f>IF(OR(W1852="unavailable",Y1852="unavailable"),"不可评价",IF(AND(OR(W1852="positive",W1852="equivocal"),OR(Y1852="positive",Y1852="equivocal")),"a",IF(OR(Y1852="positive",Y1852="equivocal"),"b",IF(OR(W1852="positive",W1852="equivocal"),"c","d"))))</x:f>
        <x:v>d</x:v>
      </x:c>
      <x:c r="AF1852" s="12" t="str">
        <x:f>IF(OR(W1852="unavailable",Y1852="unavailable"),"不可评价",IF(AND(W1852="positive",Y1852="positive"),"a",IF(Y1852="positive","b",IF(W1852="positive","c","d"))))</x:f>
        <x:v>d</x:v>
      </x:c>
    </x:row>
    <x:row r="1853" ht="24" customHeight="1">
      <x:c r="A1853" s="12" t="str">
        <x:v>17641</x:v>
      </x:c>
      <x:c r="B1853" s="12" t="str">
        <x:v>17431</x:v>
      </x:c>
      <x:c r="C1853" s="21" t="n">
        <x:v>35483.52486111111</x:v>
      </x:c>
      <x:c r="D1853" s="12" t="n">
        <x:v>46</x:v>
      </x:c>
      <x:c r="E1853" s="12" t="n">
        <x:v>0</x:v>
      </x:c>
      <x:c r="F1853" s="12" t="str">
        <x:v>未记录</x:v>
      </x:c>
      <x:c r="G1853" s="12" t="n">
        <x:v>1</x:v>
      </x:c>
      <x:c r="H1853" s="12" t="str">
        <x:v>{'NORM': 100.0, 'SR': 0.0}</x:v>
      </x:c>
      <x:c r="I1853" s="12" t="str">
        <x:v>[('NSR', 100.0), ('NML', 100.0)]</x:v>
      </x:c>
      <x:c r="J1853" s="12" t="str">
        <x:v>ptbxl_database.csv；ecg_id=17641；scp_codes</x:v>
      </x:c>
      <x:c r="K1853" s="12" t="str">
        <x:v>12sl_statements.csv；ecg_id=17641；statements_ext_snomed</x:v>
      </x:c>
      <x:c r="L1853" s="12"/>
      <x:c r="M1853" s="12" t="str">
        <x:v>negative</x:v>
      </x:c>
      <x:c r="N1853" s="12"/>
      <x:c r="O1853" s="12" t="str">
        <x:v>negative</x:v>
      </x:c>
      <x:c r="P1853" s="12" t="str">
        <x:f>IF(OR(M1853="unavailable",O1853="unavailable"),"不可评价",IF(OR(M1853="equivocal",O1853="equivocal"),"疑似",IF(AND(M1853="positive",O1853="positive"),"a",IF(O1853="positive","b",IF(M1853="positive","c","d")))))</x:f>
        <x:v>d</x:v>
      </x:c>
      <x:c r="Q1853" s="12"/>
      <x:c r="R1853" s="12" t="str">
        <x:v>negative</x:v>
      </x:c>
      <x:c r="S1853" s="12"/>
      <x:c r="T1853" s="12" t="str">
        <x:v>negative</x:v>
      </x:c>
      <x:c r="U1853" s="12" t="str">
        <x:f>IF(OR(R1853="unavailable",T1853="unavailable"),"不可评价",IF(OR(R1853="equivocal",T1853="equivocal"),"疑似",IF(AND(R1853="positive",T1853="positive"),"a",IF(T1853="positive","b",IF(R1853="positive","c","d")))))</x:f>
        <x:v>d</x:v>
      </x:c>
      <x:c r="V1853" s="12"/>
      <x:c r="W1853" s="12" t="str">
        <x:v>negative</x:v>
      </x:c>
      <x:c r="X1853" s="12"/>
      <x:c r="Y1853" s="12" t="str">
        <x:v>negative</x:v>
      </x:c>
      <x:c r="Z1853" s="12" t="str">
        <x:f>IF(OR(W1853="unavailable",Y1853="unavailable"),"不可评价",IF(OR(W1853="equivocal",Y1853="equivocal"),"疑似",IF(AND(W1853="positive",Y1853="positive"),"a",IF(Y1853="positive","b",IF(W1853="positive","c","d")))))</x:f>
        <x:v>d</x:v>
      </x:c>
      <x:c r="AA1853" s="12" t="str">
        <x:f>IF(OR(M1853="unavailable",O1853="unavailable"),"不可评价",IF(AND(OR(M1853="positive",M1853="equivocal"),OR(O1853="positive",O1853="equivocal")),"a",IF(OR(O1853="positive",O1853="equivocal"),"b",IF(OR(M1853="positive",M1853="equivocal"),"c","d"))))</x:f>
        <x:v>d</x:v>
      </x:c>
      <x:c r="AB1853" s="12" t="str">
        <x:f>IF(OR(M1853="unavailable",O1853="unavailable"),"不可评价",IF(AND(M1853="positive",O1853="positive"),"a",IF(O1853="positive","b",IF(M1853="positive","c","d"))))</x:f>
        <x:v>d</x:v>
      </x:c>
      <x:c r="AC1853" s="12" t="str">
        <x:f>IF(OR(R1853="unavailable",T1853="unavailable"),"不可评价",IF(AND(OR(R1853="positive",R1853="equivocal"),OR(T1853="positive",T1853="equivocal")),"a",IF(OR(T1853="positive",T1853="equivocal"),"b",IF(OR(R1853="positive",R1853="equivocal"),"c","d"))))</x:f>
        <x:v>d</x:v>
      </x:c>
      <x:c r="AD1853" s="12" t="str">
        <x:f>IF(OR(R1853="unavailable",T1853="unavailable"),"不可评价",IF(AND(R1853="positive",T1853="positive"),"a",IF(T1853="positive","b",IF(R1853="positive","c","d"))))</x:f>
        <x:v>d</x:v>
      </x:c>
      <x:c r="AE1853" s="12" t="str">
        <x:f>IF(OR(W1853="unavailable",Y1853="unavailable"),"不可评价",IF(AND(OR(W1853="positive",W1853="equivocal"),OR(Y1853="positive",Y1853="equivocal")),"a",IF(OR(Y1853="positive",Y1853="equivocal"),"b",IF(OR(W1853="positive",W1853="equivocal"),"c","d"))))</x:f>
        <x:v>d</x:v>
      </x:c>
      <x:c r="AF1853" s="12" t="str">
        <x:f>IF(OR(W1853="unavailable",Y1853="unavailable"),"不可评价",IF(AND(W1853="positive",Y1853="positive"),"a",IF(Y1853="positive","b",IF(W1853="positive","c","d"))))</x:f>
        <x:v>d</x:v>
      </x:c>
    </x:row>
    <x:row r="1854" ht="24" customHeight="1">
      <x:c r="A1854" s="12" t="str">
        <x:v>17648</x:v>
      </x:c>
      <x:c r="B1854" s="12" t="str">
        <x:v>7507</x:v>
      </x:c>
      <x:c r="C1854" s="21" t="n">
        <x:v>35484.98898148148</x:v>
      </x:c>
      <x:c r="D1854" s="12" t="n">
        <x:v>58</x:v>
      </x:c>
      <x:c r="E1854" s="12" t="n">
        <x:v>1</x:v>
      </x:c>
      <x:c r="F1854" s="12" t="str">
        <x:v>未记录</x:v>
      </x:c>
      <x:c r="G1854" s="12" t="n">
        <x:v>1</x:v>
      </x:c>
      <x:c r="H1854" s="12" t="str">
        <x:v>{'EL': 80.0, 'SR': 0.0}</x:v>
      </x:c>
      <x:c r="I1854" s="12" t="str">
        <x:v>[('NSR', 100.0), ('SAR', 100.0), ('NML', 100.0)]</x:v>
      </x:c>
      <x:c r="J1854" s="12" t="str">
        <x:v>ptbxl_database.csv；ecg_id=17648；scp_codes</x:v>
      </x:c>
      <x:c r="K1854" s="12" t="str">
        <x:v>12sl_statements.csv；ecg_id=17648；statements_ext_snomed</x:v>
      </x:c>
      <x:c r="L1854" s="12"/>
      <x:c r="M1854" s="12" t="str">
        <x:v>negative</x:v>
      </x:c>
      <x:c r="N1854" s="12"/>
      <x:c r="O1854" s="12" t="str">
        <x:v>negative</x:v>
      </x:c>
      <x:c r="P1854" s="12" t="str">
        <x:f>IF(OR(M1854="unavailable",O1854="unavailable"),"不可评价",IF(OR(M1854="equivocal",O1854="equivocal"),"疑似",IF(AND(M1854="positive",O1854="positive"),"a",IF(O1854="positive","b",IF(M1854="positive","c","d")))))</x:f>
        <x:v>d</x:v>
      </x:c>
      <x:c r="Q1854" s="12"/>
      <x:c r="R1854" s="12" t="str">
        <x:v>negative</x:v>
      </x:c>
      <x:c r="S1854" s="12"/>
      <x:c r="T1854" s="12" t="str">
        <x:v>negative</x:v>
      </x:c>
      <x:c r="U1854" s="12" t="str">
        <x:f>IF(OR(R1854="unavailable",T1854="unavailable"),"不可评价",IF(OR(R1854="equivocal",T1854="equivocal"),"疑似",IF(AND(R1854="positive",T1854="positive"),"a",IF(T1854="positive","b",IF(R1854="positive","c","d")))))</x:f>
        <x:v>d</x:v>
      </x:c>
      <x:c r="V1854" s="12"/>
      <x:c r="W1854" s="12" t="str">
        <x:v>negative</x:v>
      </x:c>
      <x:c r="X1854" s="12"/>
      <x:c r="Y1854" s="12" t="str">
        <x:v>negative</x:v>
      </x:c>
      <x:c r="Z1854" s="12" t="str">
        <x:f>IF(OR(W1854="unavailable",Y1854="unavailable"),"不可评价",IF(OR(W1854="equivocal",Y1854="equivocal"),"疑似",IF(AND(W1854="positive",Y1854="positive"),"a",IF(Y1854="positive","b",IF(W1854="positive","c","d")))))</x:f>
        <x:v>d</x:v>
      </x:c>
      <x:c r="AA1854" s="12" t="str">
        <x:f>IF(OR(M1854="unavailable",O1854="unavailable"),"不可评价",IF(AND(OR(M1854="positive",M1854="equivocal"),OR(O1854="positive",O1854="equivocal")),"a",IF(OR(O1854="positive",O1854="equivocal"),"b",IF(OR(M1854="positive",M1854="equivocal"),"c","d"))))</x:f>
        <x:v>d</x:v>
      </x:c>
      <x:c r="AB1854" s="12" t="str">
        <x:f>IF(OR(M1854="unavailable",O1854="unavailable"),"不可评价",IF(AND(M1854="positive",O1854="positive"),"a",IF(O1854="positive","b",IF(M1854="positive","c","d"))))</x:f>
        <x:v>d</x:v>
      </x:c>
      <x:c r="AC1854" s="12" t="str">
        <x:f>IF(OR(R1854="unavailable",T1854="unavailable"),"不可评价",IF(AND(OR(R1854="positive",R1854="equivocal"),OR(T1854="positive",T1854="equivocal")),"a",IF(OR(T1854="positive",T1854="equivocal"),"b",IF(OR(R1854="positive",R1854="equivocal"),"c","d"))))</x:f>
        <x:v>d</x:v>
      </x:c>
      <x:c r="AD1854" s="12" t="str">
        <x:f>IF(OR(R1854="unavailable",T1854="unavailable"),"不可评价",IF(AND(R1854="positive",T1854="positive"),"a",IF(T1854="positive","b",IF(R1854="positive","c","d"))))</x:f>
        <x:v>d</x:v>
      </x:c>
      <x:c r="AE1854" s="12" t="str">
        <x:f>IF(OR(W1854="unavailable",Y1854="unavailable"),"不可评价",IF(AND(OR(W1854="positive",W1854="equivocal"),OR(Y1854="positive",Y1854="equivocal")),"a",IF(OR(Y1854="positive",Y1854="equivocal"),"b",IF(OR(W1854="positive",W1854="equivocal"),"c","d"))))</x:f>
        <x:v>d</x:v>
      </x:c>
      <x:c r="AF1854" s="12" t="str">
        <x:f>IF(OR(W1854="unavailable",Y1854="unavailable"),"不可评价",IF(AND(W1854="positive",Y1854="positive"),"a",IF(Y1854="positive","b",IF(W1854="positive","c","d"))))</x:f>
        <x:v>d</x:v>
      </x:c>
    </x:row>
    <x:row r="1855" ht="24" customHeight="1">
      <x:c r="A1855" s="12" t="str">
        <x:v>17655</x:v>
      </x:c>
      <x:c r="B1855" s="12" t="str">
        <x:v>4503</x:v>
      </x:c>
      <x:c r="C1855" s="21" t="n">
        <x:v>35486.58195601852</x:v>
      </x:c>
      <x:c r="D1855" s="12" t="n">
        <x:v>58</x:v>
      </x:c>
      <x:c r="E1855" s="12" t="n">
        <x:v>0</x:v>
      </x:c>
      <x:c r="F1855" s="12" t="str">
        <x:v>未记录</x:v>
      </x:c>
      <x:c r="G1855" s="12" t="n">
        <x:v>1</x:v>
      </x:c>
      <x:c r="H1855" s="12" t="str">
        <x:v>{'NDT': 100.0, 'LOWT': 0.0, 'SR': 0.0}</x:v>
      </x:c>
      <x:c r="I1855" s="12" t="str">
        <x:v>[('NSR', 100.0), ('NSTT', 100.0), ('AB', 100.0)]</x:v>
      </x:c>
      <x:c r="J1855" s="12" t="str">
        <x:v>ptbxl_database.csv；ecg_id=17655；scp_codes</x:v>
      </x:c>
      <x:c r="K1855" s="12" t="str">
        <x:v>12sl_statements.csv；ecg_id=17655；statements_ext_snomed</x:v>
      </x:c>
      <x:c r="L1855" s="12"/>
      <x:c r="M1855" s="12" t="str">
        <x:v>negative</x:v>
      </x:c>
      <x:c r="N1855" s="12"/>
      <x:c r="O1855" s="12" t="str">
        <x:v>negative</x:v>
      </x:c>
      <x:c r="P1855" s="12" t="str">
        <x:f>IF(OR(M1855="unavailable",O1855="unavailable"),"不可评价",IF(OR(M1855="equivocal",O1855="equivocal"),"疑似",IF(AND(M1855="positive",O1855="positive"),"a",IF(O1855="positive","b",IF(M1855="positive","c","d")))))</x:f>
        <x:v>d</x:v>
      </x:c>
      <x:c r="Q1855" s="12"/>
      <x:c r="R1855" s="12" t="str">
        <x:v>negative</x:v>
      </x:c>
      <x:c r="S1855" s="12"/>
      <x:c r="T1855" s="12" t="str">
        <x:v>negative</x:v>
      </x:c>
      <x:c r="U1855" s="12" t="str">
        <x:f>IF(OR(R1855="unavailable",T1855="unavailable"),"不可评价",IF(OR(R1855="equivocal",T1855="equivocal"),"疑似",IF(AND(R1855="positive",T1855="positive"),"a",IF(T1855="positive","b",IF(R1855="positive","c","d")))))</x:f>
        <x:v>d</x:v>
      </x:c>
      <x:c r="V1855" s="12"/>
      <x:c r="W1855" s="12" t="str">
        <x:v>negative</x:v>
      </x:c>
      <x:c r="X1855" s="12"/>
      <x:c r="Y1855" s="12" t="str">
        <x:v>negative</x:v>
      </x:c>
      <x:c r="Z1855" s="12" t="str">
        <x:f>IF(OR(W1855="unavailable",Y1855="unavailable"),"不可评价",IF(OR(W1855="equivocal",Y1855="equivocal"),"疑似",IF(AND(W1855="positive",Y1855="positive"),"a",IF(Y1855="positive","b",IF(W1855="positive","c","d")))))</x:f>
        <x:v>d</x:v>
      </x:c>
      <x:c r="AA1855" s="12" t="str">
        <x:f>IF(OR(M1855="unavailable",O1855="unavailable"),"不可评价",IF(AND(OR(M1855="positive",M1855="equivocal"),OR(O1855="positive",O1855="equivocal")),"a",IF(OR(O1855="positive",O1855="equivocal"),"b",IF(OR(M1855="positive",M1855="equivocal"),"c","d"))))</x:f>
        <x:v>d</x:v>
      </x:c>
      <x:c r="AB1855" s="12" t="str">
        <x:f>IF(OR(M1855="unavailable",O1855="unavailable"),"不可评价",IF(AND(M1855="positive",O1855="positive"),"a",IF(O1855="positive","b",IF(M1855="positive","c","d"))))</x:f>
        <x:v>d</x:v>
      </x:c>
      <x:c r="AC1855" s="12" t="str">
        <x:f>IF(OR(R1855="unavailable",T1855="unavailable"),"不可评价",IF(AND(OR(R1855="positive",R1855="equivocal"),OR(T1855="positive",T1855="equivocal")),"a",IF(OR(T1855="positive",T1855="equivocal"),"b",IF(OR(R1855="positive",R1855="equivocal"),"c","d"))))</x:f>
        <x:v>d</x:v>
      </x:c>
      <x:c r="AD1855" s="12" t="str">
        <x:f>IF(OR(R1855="unavailable",T1855="unavailable"),"不可评价",IF(AND(R1855="positive",T1855="positive"),"a",IF(T1855="positive","b",IF(R1855="positive","c","d"))))</x:f>
        <x:v>d</x:v>
      </x:c>
      <x:c r="AE1855" s="12" t="str">
        <x:f>IF(OR(W1855="unavailable",Y1855="unavailable"),"不可评价",IF(AND(OR(W1855="positive",W1855="equivocal"),OR(Y1855="positive",Y1855="equivocal")),"a",IF(OR(Y1855="positive",Y1855="equivocal"),"b",IF(OR(W1855="positive",W1855="equivocal"),"c","d"))))</x:f>
        <x:v>d</x:v>
      </x:c>
      <x:c r="AF1855" s="12" t="str">
        <x:f>IF(OR(W1855="unavailable",Y1855="unavailable"),"不可评价",IF(AND(W1855="positive",Y1855="positive"),"a",IF(Y1855="positive","b",IF(W1855="positive","c","d"))))</x:f>
        <x:v>d</x:v>
      </x:c>
    </x:row>
    <x:row r="1856" ht="24" customHeight="1">
      <x:c r="A1856" s="12" t="str">
        <x:v>17658</x:v>
      </x:c>
      <x:c r="B1856" s="12" t="str">
        <x:v>6065</x:v>
      </x:c>
      <x:c r="C1856" s="21" t="n">
        <x:v>35486.689108796294</x:v>
      </x:c>
      <x:c r="D1856" s="12" t="n">
        <x:v>80</x:v>
      </x:c>
      <x:c r="E1856" s="12" t="n">
        <x:v>1</x:v>
      </x:c>
      <x:c r="F1856" s="12" t="str">
        <x:v>未记录</x:v>
      </x:c>
      <x:c r="G1856" s="12" t="n">
        <x:v>1</x:v>
      </x:c>
      <x:c r="H1856" s="12" t="str">
        <x:v>{'ASMI': 100.0, 'LMI': 50.0, 'ISCIN': 100.0, 'STD_': 0.0, 'AFIB': 0.0}</x:v>
      </x:c>
      <x:c r="I1856" s="12" t="str">
        <x:v>[('AFIB', 100.0), ('AMI;AU', 50.0), ('AB', 100.0)]</x:v>
      </x:c>
      <x:c r="J1856" s="12" t="str">
        <x:v>ptbxl_database.csv；ecg_id=17658；scp_codes</x:v>
      </x:c>
      <x:c r="K1856" s="12" t="str">
        <x:v>12sl_statements.csv；ecg_id=17658；statements_ext_snomed</x:v>
      </x:c>
      <x:c r="L1856" s="12" t="n">
        <x:v>0</x:v>
      </x:c>
      <x:c r="M1856" s="12" t="str">
        <x:v>positive</x:v>
      </x:c>
      <x:c r="N1856" s="12" t="n">
        <x:v>100</x:v>
      </x:c>
      <x:c r="O1856" s="12" t="str">
        <x:v>positive</x:v>
      </x:c>
      <x:c r="P1856" s="12" t="str">
        <x:f>IF(OR(M1856="unavailable",O1856="unavailable"),"不可评价",IF(OR(M1856="equivocal",O1856="equivocal"),"疑似",IF(AND(M1856="positive",O1856="positive"),"a",IF(O1856="positive","b",IF(M1856="positive","c","d")))))</x:f>
        <x:v>a</x:v>
      </x:c>
      <x:c r="Q1856" s="12"/>
      <x:c r="R1856" s="12" t="str">
        <x:v>negative</x:v>
      </x:c>
      <x:c r="S1856" s="12"/>
      <x:c r="T1856" s="12" t="str">
        <x:v>negative</x:v>
      </x:c>
      <x:c r="U1856" s="12" t="str">
        <x:f>IF(OR(R1856="unavailable",T1856="unavailable"),"不可评价",IF(OR(R1856="equivocal",T1856="equivocal"),"疑似",IF(AND(R1856="positive",T1856="positive"),"a",IF(T1856="positive","b",IF(R1856="positive","c","d")))))</x:f>
        <x:v>d</x:v>
      </x:c>
      <x:c r="V1856" s="12"/>
      <x:c r="W1856" s="12" t="str">
        <x:v>negative</x:v>
      </x:c>
      <x:c r="X1856" s="12"/>
      <x:c r="Y1856" s="12" t="str">
        <x:v>negative</x:v>
      </x:c>
      <x:c r="Z1856" s="12" t="str">
        <x:f>IF(OR(W1856="unavailable",Y1856="unavailable"),"不可评价",IF(OR(W1856="equivocal",Y1856="equivocal"),"疑似",IF(AND(W1856="positive",Y1856="positive"),"a",IF(Y1856="positive","b",IF(W1856="positive","c","d")))))</x:f>
        <x:v>d</x:v>
      </x:c>
      <x:c r="AA1856" s="12" t="str">
        <x:f>IF(OR(M1856="unavailable",O1856="unavailable"),"不可评价",IF(AND(OR(M1856="positive",M1856="equivocal"),OR(O1856="positive",O1856="equivocal")),"a",IF(OR(O1856="positive",O1856="equivocal"),"b",IF(OR(M1856="positive",M1856="equivocal"),"c","d"))))</x:f>
        <x:v>a</x:v>
      </x:c>
      <x:c r="AB1856" s="12" t="str">
        <x:f>IF(OR(M1856="unavailable",O1856="unavailable"),"不可评价",IF(AND(M1856="positive",O1856="positive"),"a",IF(O1856="positive","b",IF(M1856="positive","c","d"))))</x:f>
        <x:v>a</x:v>
      </x:c>
      <x:c r="AC1856" s="12" t="str">
        <x:f>IF(OR(R1856="unavailable",T1856="unavailable"),"不可评价",IF(AND(OR(R1856="positive",R1856="equivocal"),OR(T1856="positive",T1856="equivocal")),"a",IF(OR(T1856="positive",T1856="equivocal"),"b",IF(OR(R1856="positive",R1856="equivocal"),"c","d"))))</x:f>
        <x:v>d</x:v>
      </x:c>
      <x:c r="AD1856" s="12" t="str">
        <x:f>IF(OR(R1856="unavailable",T1856="unavailable"),"不可评价",IF(AND(R1856="positive",T1856="positive"),"a",IF(T1856="positive","b",IF(R1856="positive","c","d"))))</x:f>
        <x:v>d</x:v>
      </x:c>
      <x:c r="AE1856" s="12" t="str">
        <x:f>IF(OR(W1856="unavailable",Y1856="unavailable"),"不可评价",IF(AND(OR(W1856="positive",W1856="equivocal"),OR(Y1856="positive",Y1856="equivocal")),"a",IF(OR(Y1856="positive",Y1856="equivocal"),"b",IF(OR(W1856="positive",W1856="equivocal"),"c","d"))))</x:f>
        <x:v>d</x:v>
      </x:c>
      <x:c r="AF1856" s="12" t="str">
        <x:f>IF(OR(W1856="unavailable",Y1856="unavailable"),"不可评价",IF(AND(W1856="positive",Y1856="positive"),"a",IF(Y1856="positive","b",IF(W1856="positive","c","d"))))</x:f>
        <x:v>d</x:v>
      </x:c>
    </x:row>
    <x:row r="1857" ht="24" customHeight="1">
      <x:c r="A1857" s="12" t="str">
        <x:v>17661</x:v>
      </x:c>
      <x:c r="B1857" s="12" t="str">
        <x:v>3730</x:v>
      </x:c>
      <x:c r="C1857" s="21" t="n">
        <x:v>35486.707233796296</x:v>
      </x:c>
      <x:c r="D1857" s="12" t="n">
        <x:v>19</x:v>
      </x:c>
      <x:c r="E1857" s="12" t="n">
        <x:v>0</x:v>
      </x:c>
      <x:c r="F1857" s="12" t="str">
        <x:v>未记录</x:v>
      </x:c>
      <x:c r="G1857" s="12" t="n">
        <x:v>1</x:v>
      </x:c>
      <x:c r="H1857" s="12" t="str">
        <x:v>{'NORM': 100.0, 'SR': 0.0}</x:v>
      </x:c>
      <x:c r="I1857" s="12" t="str">
        <x:v>[('NSR', 100.0), ('NML', 100.0)]</x:v>
      </x:c>
      <x:c r="J1857" s="12" t="str">
        <x:v>ptbxl_database.csv；ecg_id=17661；scp_codes</x:v>
      </x:c>
      <x:c r="K1857" s="12" t="str">
        <x:v>12sl_statements.csv；ecg_id=17661；statements_ext_snomed</x:v>
      </x:c>
      <x:c r="L1857" s="12"/>
      <x:c r="M1857" s="12" t="str">
        <x:v>negative</x:v>
      </x:c>
      <x:c r="N1857" s="12"/>
      <x:c r="O1857" s="12" t="str">
        <x:v>negative</x:v>
      </x:c>
      <x:c r="P1857" s="12" t="str">
        <x:f>IF(OR(M1857="unavailable",O1857="unavailable"),"不可评价",IF(OR(M1857="equivocal",O1857="equivocal"),"疑似",IF(AND(M1857="positive",O1857="positive"),"a",IF(O1857="positive","b",IF(M1857="positive","c","d")))))</x:f>
        <x:v>d</x:v>
      </x:c>
      <x:c r="Q1857" s="12"/>
      <x:c r="R1857" s="12" t="str">
        <x:v>negative</x:v>
      </x:c>
      <x:c r="S1857" s="12"/>
      <x:c r="T1857" s="12" t="str">
        <x:v>negative</x:v>
      </x:c>
      <x:c r="U1857" s="12" t="str">
        <x:f>IF(OR(R1857="unavailable",T1857="unavailable"),"不可评价",IF(OR(R1857="equivocal",T1857="equivocal"),"疑似",IF(AND(R1857="positive",T1857="positive"),"a",IF(T1857="positive","b",IF(R1857="positive","c","d")))))</x:f>
        <x:v>d</x:v>
      </x:c>
      <x:c r="V1857" s="12"/>
      <x:c r="W1857" s="12" t="str">
        <x:v>negative</x:v>
      </x:c>
      <x:c r="X1857" s="12"/>
      <x:c r="Y1857" s="12" t="str">
        <x:v>negative</x:v>
      </x:c>
      <x:c r="Z1857" s="12" t="str">
        <x:f>IF(OR(W1857="unavailable",Y1857="unavailable"),"不可评价",IF(OR(W1857="equivocal",Y1857="equivocal"),"疑似",IF(AND(W1857="positive",Y1857="positive"),"a",IF(Y1857="positive","b",IF(W1857="positive","c","d")))))</x:f>
        <x:v>d</x:v>
      </x:c>
      <x:c r="AA1857" s="12" t="str">
        <x:f>IF(OR(M1857="unavailable",O1857="unavailable"),"不可评价",IF(AND(OR(M1857="positive",M1857="equivocal"),OR(O1857="positive",O1857="equivocal")),"a",IF(OR(O1857="positive",O1857="equivocal"),"b",IF(OR(M1857="positive",M1857="equivocal"),"c","d"))))</x:f>
        <x:v>d</x:v>
      </x:c>
      <x:c r="AB1857" s="12" t="str">
        <x:f>IF(OR(M1857="unavailable",O1857="unavailable"),"不可评价",IF(AND(M1857="positive",O1857="positive"),"a",IF(O1857="positive","b",IF(M1857="positive","c","d"))))</x:f>
        <x:v>d</x:v>
      </x:c>
      <x:c r="AC1857" s="12" t="str">
        <x:f>IF(OR(R1857="unavailable",T1857="unavailable"),"不可评价",IF(AND(OR(R1857="positive",R1857="equivocal"),OR(T1857="positive",T1857="equivocal")),"a",IF(OR(T1857="positive",T1857="equivocal"),"b",IF(OR(R1857="positive",R1857="equivocal"),"c","d"))))</x:f>
        <x:v>d</x:v>
      </x:c>
      <x:c r="AD1857" s="12" t="str">
        <x:f>IF(OR(R1857="unavailable",T1857="unavailable"),"不可评价",IF(AND(R1857="positive",T1857="positive"),"a",IF(T1857="positive","b",IF(R1857="positive","c","d"))))</x:f>
        <x:v>d</x:v>
      </x:c>
      <x:c r="AE1857" s="12" t="str">
        <x:f>IF(OR(W1857="unavailable",Y1857="unavailable"),"不可评价",IF(AND(OR(W1857="positive",W1857="equivocal"),OR(Y1857="positive",Y1857="equivocal")),"a",IF(OR(Y1857="positive",Y1857="equivocal"),"b",IF(OR(W1857="positive",W1857="equivocal"),"c","d"))))</x:f>
        <x:v>d</x:v>
      </x:c>
      <x:c r="AF1857" s="12" t="str">
        <x:f>IF(OR(W1857="unavailable",Y1857="unavailable"),"不可评价",IF(AND(W1857="positive",Y1857="positive"),"a",IF(Y1857="positive","b",IF(W1857="positive","c","d"))))</x:f>
        <x:v>d</x:v>
      </x:c>
    </x:row>
    <x:row r="1858" ht="24" customHeight="1">
      <x:c r="A1858" s="12" t="str">
        <x:v>17676</x:v>
      </x:c>
      <x:c r="B1858" s="12" t="str">
        <x:v>11784</x:v>
      </x:c>
      <x:c r="C1858" s="21" t="n">
        <x:v>35493.41590277778</x:v>
      </x:c>
      <x:c r="D1858" s="12" t="n">
        <x:v>31</x:v>
      </x:c>
      <x:c r="E1858" s="12" t="n">
        <x:v>0</x:v>
      </x:c>
      <x:c r="F1858" s="12" t="str">
        <x:v>存在</x:v>
      </x:c>
      <x:c r="G1858" s="12" t="n">
        <x:v>1</x:v>
      </x:c>
      <x:c r="H1858" s="12" t="str">
        <x:v>{'NORM': 100.0, 'SR': 0.0}</x:v>
      </x:c>
      <x:c r="I1858" s="12" t="str">
        <x:v>[('SBRAD', 100.0), ('FAV', 100.0), ('ABR', 100.0)]</x:v>
      </x:c>
      <x:c r="J1858" s="12" t="str">
        <x:v>ptbxl_database.csv；ecg_id=17676；scp_codes</x:v>
      </x:c>
      <x:c r="K1858" s="12" t="str">
        <x:v>12sl_statements.csv；ecg_id=17676；statements_ext_snomed</x:v>
      </x:c>
      <x:c r="L1858" s="12"/>
      <x:c r="M1858" s="12" t="str">
        <x:v>negative</x:v>
      </x:c>
      <x:c r="N1858" s="12"/>
      <x:c r="O1858" s="12" t="str">
        <x:v>negative</x:v>
      </x:c>
      <x:c r="P1858" s="12" t="str">
        <x:f>IF(OR(M1858="unavailable",O1858="unavailable"),"不可评价",IF(OR(M1858="equivocal",O1858="equivocal"),"疑似",IF(AND(M1858="positive",O1858="positive"),"a",IF(O1858="positive","b",IF(M1858="positive","c","d")))))</x:f>
        <x:v>d</x:v>
      </x:c>
      <x:c r="Q1858" s="12"/>
      <x:c r="R1858" s="12" t="str">
        <x:v>negative</x:v>
      </x:c>
      <x:c r="S1858" s="12"/>
      <x:c r="T1858" s="12" t="str">
        <x:v>negative</x:v>
      </x:c>
      <x:c r="U1858" s="12" t="str">
        <x:f>IF(OR(R1858="unavailable",T1858="unavailable"),"不可评价",IF(OR(R1858="equivocal",T1858="equivocal"),"疑似",IF(AND(R1858="positive",T1858="positive"),"a",IF(T1858="positive","b",IF(R1858="positive","c","d")))))</x:f>
        <x:v>d</x:v>
      </x:c>
      <x:c r="V1858" s="12"/>
      <x:c r="W1858" s="12" t="str">
        <x:v>negative</x:v>
      </x:c>
      <x:c r="X1858" s="12"/>
      <x:c r="Y1858" s="12" t="str">
        <x:v>negative</x:v>
      </x:c>
      <x:c r="Z1858" s="12" t="str">
        <x:f>IF(OR(W1858="unavailable",Y1858="unavailable"),"不可评价",IF(OR(W1858="equivocal",Y1858="equivocal"),"疑似",IF(AND(W1858="positive",Y1858="positive"),"a",IF(Y1858="positive","b",IF(W1858="positive","c","d")))))</x:f>
        <x:v>d</x:v>
      </x:c>
      <x:c r="AA1858" s="12" t="str">
        <x:f>IF(OR(M1858="unavailable",O1858="unavailable"),"不可评价",IF(AND(OR(M1858="positive",M1858="equivocal"),OR(O1858="positive",O1858="equivocal")),"a",IF(OR(O1858="positive",O1858="equivocal"),"b",IF(OR(M1858="positive",M1858="equivocal"),"c","d"))))</x:f>
        <x:v>d</x:v>
      </x:c>
      <x:c r="AB1858" s="12" t="str">
        <x:f>IF(OR(M1858="unavailable",O1858="unavailable"),"不可评价",IF(AND(M1858="positive",O1858="positive"),"a",IF(O1858="positive","b",IF(M1858="positive","c","d"))))</x:f>
        <x:v>d</x:v>
      </x:c>
      <x:c r="AC1858" s="12" t="str">
        <x:f>IF(OR(R1858="unavailable",T1858="unavailable"),"不可评价",IF(AND(OR(R1858="positive",R1858="equivocal"),OR(T1858="positive",T1858="equivocal")),"a",IF(OR(T1858="positive",T1858="equivocal"),"b",IF(OR(R1858="positive",R1858="equivocal"),"c","d"))))</x:f>
        <x:v>d</x:v>
      </x:c>
      <x:c r="AD1858" s="12" t="str">
        <x:f>IF(OR(R1858="unavailable",T1858="unavailable"),"不可评价",IF(AND(R1858="positive",T1858="positive"),"a",IF(T1858="positive","b",IF(R1858="positive","c","d"))))</x:f>
        <x:v>d</x:v>
      </x:c>
      <x:c r="AE1858" s="12" t="str">
        <x:f>IF(OR(W1858="unavailable",Y1858="unavailable"),"不可评价",IF(AND(OR(W1858="positive",W1858="equivocal"),OR(Y1858="positive",Y1858="equivocal")),"a",IF(OR(Y1858="positive",Y1858="equivocal"),"b",IF(OR(W1858="positive",W1858="equivocal"),"c","d"))))</x:f>
        <x:v>d</x:v>
      </x:c>
      <x:c r="AF1858" s="12" t="str">
        <x:f>IF(OR(W1858="unavailable",Y1858="unavailable"),"不可评价",IF(AND(W1858="positive",Y1858="positive"),"a",IF(Y1858="positive","b",IF(W1858="positive","c","d"))))</x:f>
        <x:v>d</x:v>
      </x:c>
    </x:row>
    <x:row r="1859" ht="24" customHeight="1">
      <x:c r="A1859" s="12" t="str">
        <x:v>17689</x:v>
      </x:c>
      <x:c r="B1859" s="12" t="str">
        <x:v>19523</x:v>
      </x:c>
      <x:c r="C1859" s="21" t="n">
        <x:v>35506.51505787037</x:v>
      </x:c>
      <x:c r="D1859" s="12" t="n">
        <x:v>48</x:v>
      </x:c>
      <x:c r="E1859" s="12" t="n">
        <x:v>1</x:v>
      </x:c>
      <x:c r="F1859" s="12" t="str">
        <x:v>未记录</x:v>
      </x:c>
      <x:c r="G1859" s="12" t="n">
        <x:v>1</x:v>
      </x:c>
      <x:c r="H1859" s="12" t="str">
        <x:v>{'NORM': 100.0, 'IRBBB': 100.0, 'SR': 0.0}</x:v>
      </x:c>
      <x:c r="I1859" s="12" t="str">
        <x:v>[('NSR', 100.0), ('IRBBB', 100.0), ('AMI;AU', 15.0), ('AB', 100.0)]</x:v>
      </x:c>
      <x:c r="J1859" s="12" t="str">
        <x:v>ptbxl_database.csv；ecg_id=17689；scp_codes</x:v>
      </x:c>
      <x:c r="K1859" s="12" t="str">
        <x:v>12sl_statements.csv；ecg_id=17689；statements_ext_snomed</x:v>
      </x:c>
      <x:c r="L1859" s="12"/>
      <x:c r="M1859" s="12" t="str">
        <x:v>negative</x:v>
      </x:c>
      <x:c r="N1859" s="12"/>
      <x:c r="O1859" s="12" t="str">
        <x:v>negative</x:v>
      </x:c>
      <x:c r="P1859" s="12" t="str">
        <x:f>IF(OR(M1859="unavailable",O1859="unavailable"),"不可评价",IF(OR(M1859="equivocal",O1859="equivocal"),"疑似",IF(AND(M1859="positive",O1859="positive"),"a",IF(O1859="positive","b",IF(M1859="positive","c","d")))))</x:f>
        <x:v>d</x:v>
      </x:c>
      <x:c r="Q1859" s="12"/>
      <x:c r="R1859" s="12" t="str">
        <x:v>negative</x:v>
      </x:c>
      <x:c r="S1859" s="12"/>
      <x:c r="T1859" s="12" t="str">
        <x:v>negative</x:v>
      </x:c>
      <x:c r="U1859" s="12" t="str">
        <x:f>IF(OR(R1859="unavailable",T1859="unavailable"),"不可评价",IF(OR(R1859="equivocal",T1859="equivocal"),"疑似",IF(AND(R1859="positive",T1859="positive"),"a",IF(T1859="positive","b",IF(R1859="positive","c","d")))))</x:f>
        <x:v>d</x:v>
      </x:c>
      <x:c r="V1859" s="12"/>
      <x:c r="W1859" s="12" t="str">
        <x:v>negative</x:v>
      </x:c>
      <x:c r="X1859" s="12"/>
      <x:c r="Y1859" s="12" t="str">
        <x:v>negative</x:v>
      </x:c>
      <x:c r="Z1859" s="12" t="str">
        <x:f>IF(OR(W1859="unavailable",Y1859="unavailable"),"不可评价",IF(OR(W1859="equivocal",Y1859="equivocal"),"疑似",IF(AND(W1859="positive",Y1859="positive"),"a",IF(Y1859="positive","b",IF(W1859="positive","c","d")))))</x:f>
        <x:v>d</x:v>
      </x:c>
      <x:c r="AA1859" s="12" t="str">
        <x:f>IF(OR(M1859="unavailable",O1859="unavailable"),"不可评价",IF(AND(OR(M1859="positive",M1859="equivocal"),OR(O1859="positive",O1859="equivocal")),"a",IF(OR(O1859="positive",O1859="equivocal"),"b",IF(OR(M1859="positive",M1859="equivocal"),"c","d"))))</x:f>
        <x:v>d</x:v>
      </x:c>
      <x:c r="AB1859" s="12" t="str">
        <x:f>IF(OR(M1859="unavailable",O1859="unavailable"),"不可评价",IF(AND(M1859="positive",O1859="positive"),"a",IF(O1859="positive","b",IF(M1859="positive","c","d"))))</x:f>
        <x:v>d</x:v>
      </x:c>
      <x:c r="AC1859" s="12" t="str">
        <x:f>IF(OR(R1859="unavailable",T1859="unavailable"),"不可评价",IF(AND(OR(R1859="positive",R1859="equivocal"),OR(T1859="positive",T1859="equivocal")),"a",IF(OR(T1859="positive",T1859="equivocal"),"b",IF(OR(R1859="positive",R1859="equivocal"),"c","d"))))</x:f>
        <x:v>d</x:v>
      </x:c>
      <x:c r="AD1859" s="12" t="str">
        <x:f>IF(OR(R1859="unavailable",T1859="unavailable"),"不可评价",IF(AND(R1859="positive",T1859="positive"),"a",IF(T1859="positive","b",IF(R1859="positive","c","d"))))</x:f>
        <x:v>d</x:v>
      </x:c>
      <x:c r="AE1859" s="12" t="str">
        <x:f>IF(OR(W1859="unavailable",Y1859="unavailable"),"不可评价",IF(AND(OR(W1859="positive",W1859="equivocal"),OR(Y1859="positive",Y1859="equivocal")),"a",IF(OR(Y1859="positive",Y1859="equivocal"),"b",IF(OR(W1859="positive",W1859="equivocal"),"c","d"))))</x:f>
        <x:v>d</x:v>
      </x:c>
      <x:c r="AF1859" s="12" t="str">
        <x:f>IF(OR(W1859="unavailable",Y1859="unavailable"),"不可评价",IF(AND(W1859="positive",Y1859="positive"),"a",IF(Y1859="positive","b",IF(W1859="positive","c","d"))))</x:f>
        <x:v>d</x:v>
      </x:c>
    </x:row>
    <x:row r="1860" ht="24" customHeight="1">
      <x:c r="A1860" s="12" t="str">
        <x:v>17690</x:v>
      </x:c>
      <x:c r="B1860" s="12" t="str">
        <x:v>12182</x:v>
      </x:c>
      <x:c r="C1860" s="21" t="n">
        <x:v>35506.535266203704</x:v>
      </x:c>
      <x:c r="D1860" s="12" t="n">
        <x:v>79</x:v>
      </x:c>
      <x:c r="E1860" s="12" t="n">
        <x:v>1</x:v>
      </x:c>
      <x:c r="F1860" s="12" t="str">
        <x:v>未记录</x:v>
      </x:c>
      <x:c r="G1860" s="12" t="n">
        <x:v>1</x:v>
      </x:c>
      <x:c r="H1860" s="12" t="str">
        <x:v>{'CLBBB': 100.0, 'LVH': 100.0, 'ISC_': 100.0, 'SR': 0.0}</x:v>
      </x:c>
      <x:c r="I1860" s="12" t="str">
        <x:v>[('NSR', 100.0), ('LBBB', 100.0), ('AB', 100.0)]</x:v>
      </x:c>
      <x:c r="J1860" s="12" t="str">
        <x:v>ptbxl_database.csv；ecg_id=17690；scp_codes</x:v>
      </x:c>
      <x:c r="K1860" s="12" t="str">
        <x:v>12sl_statements.csv；ecg_id=17690；statements_ext_snomed</x:v>
      </x:c>
      <x:c r="L1860" s="12"/>
      <x:c r="M1860" s="12" t="str">
        <x:v>negative</x:v>
      </x:c>
      <x:c r="N1860" s="12"/>
      <x:c r="O1860" s="12" t="str">
        <x:v>negative</x:v>
      </x:c>
      <x:c r="P1860" s="12" t="str">
        <x:f>IF(OR(M1860="unavailable",O1860="unavailable"),"不可评价",IF(OR(M1860="equivocal",O1860="equivocal"),"疑似",IF(AND(M1860="positive",O1860="positive"),"a",IF(O1860="positive","b",IF(M1860="positive","c","d")))))</x:f>
        <x:v>d</x:v>
      </x:c>
      <x:c r="Q1860" s="12" t="n">
        <x:v>100</x:v>
      </x:c>
      <x:c r="R1860" s="12" t="str">
        <x:v>positive</x:v>
      </x:c>
      <x:c r="S1860" s="12" t="n">
        <x:v>100</x:v>
      </x:c>
      <x:c r="T1860" s="12" t="str">
        <x:v>positive</x:v>
      </x:c>
      <x:c r="U1860" s="12" t="str">
        <x:f>IF(OR(R1860="unavailable",T1860="unavailable"),"不可评价",IF(OR(R1860="equivocal",T1860="equivocal"),"疑似",IF(AND(R1860="positive",T1860="positive"),"a",IF(T1860="positive","b",IF(R1860="positive","c","d")))))</x:f>
        <x:v>a</x:v>
      </x:c>
      <x:c r="V1860" s="12"/>
      <x:c r="W1860" s="12" t="str">
        <x:v>negative</x:v>
      </x:c>
      <x:c r="X1860" s="12"/>
      <x:c r="Y1860" s="12" t="str">
        <x:v>negative</x:v>
      </x:c>
      <x:c r="Z1860" s="12" t="str">
        <x:f>IF(OR(W1860="unavailable",Y1860="unavailable"),"不可评价",IF(OR(W1860="equivocal",Y1860="equivocal"),"疑似",IF(AND(W1860="positive",Y1860="positive"),"a",IF(Y1860="positive","b",IF(W1860="positive","c","d")))))</x:f>
        <x:v>d</x:v>
      </x:c>
      <x:c r="AA1860" s="12" t="str">
        <x:f>IF(OR(M1860="unavailable",O1860="unavailable"),"不可评价",IF(AND(OR(M1860="positive",M1860="equivocal"),OR(O1860="positive",O1860="equivocal")),"a",IF(OR(O1860="positive",O1860="equivocal"),"b",IF(OR(M1860="positive",M1860="equivocal"),"c","d"))))</x:f>
        <x:v>d</x:v>
      </x:c>
      <x:c r="AB1860" s="12" t="str">
        <x:f>IF(OR(M1860="unavailable",O1860="unavailable"),"不可评价",IF(AND(M1860="positive",O1860="positive"),"a",IF(O1860="positive","b",IF(M1860="positive","c","d"))))</x:f>
        <x:v>d</x:v>
      </x:c>
      <x:c r="AC1860" s="12" t="str">
        <x:f>IF(OR(R1860="unavailable",T1860="unavailable"),"不可评价",IF(AND(OR(R1860="positive",R1860="equivocal"),OR(T1860="positive",T1860="equivocal")),"a",IF(OR(T1860="positive",T1860="equivocal"),"b",IF(OR(R1860="positive",R1860="equivocal"),"c","d"))))</x:f>
        <x:v>a</x:v>
      </x:c>
      <x:c r="AD1860" s="12" t="str">
        <x:f>IF(OR(R1860="unavailable",T1860="unavailable"),"不可评价",IF(AND(R1860="positive",T1860="positive"),"a",IF(T1860="positive","b",IF(R1860="positive","c","d"))))</x:f>
        <x:v>a</x:v>
      </x:c>
      <x:c r="AE1860" s="12" t="str">
        <x:f>IF(OR(W1860="unavailable",Y1860="unavailable"),"不可评价",IF(AND(OR(W1860="positive",W1860="equivocal"),OR(Y1860="positive",Y1860="equivocal")),"a",IF(OR(Y1860="positive",Y1860="equivocal"),"b",IF(OR(W1860="positive",W1860="equivocal"),"c","d"))))</x:f>
        <x:v>d</x:v>
      </x:c>
      <x:c r="AF1860" s="12" t="str">
        <x:f>IF(OR(W1860="unavailable",Y1860="unavailable"),"不可评价",IF(AND(W1860="positive",Y1860="positive"),"a",IF(Y1860="positive","b",IF(W1860="positive","c","d"))))</x:f>
        <x:v>d</x:v>
      </x:c>
    </x:row>
    <x:row r="1861" ht="24" customHeight="1">
      <x:c r="A1861" s="12" t="str">
        <x:v>17700</x:v>
      </x:c>
      <x:c r="B1861" s="12" t="str">
        <x:v>19059</x:v>
      </x:c>
      <x:c r="C1861" s="21" t="n">
        <x:v>35511.560844907406</x:v>
      </x:c>
      <x:c r="D1861" s="12" t="n">
        <x:v>73</x:v>
      </x:c>
      <x:c r="E1861" s="12" t="n">
        <x:v>1</x:v>
      </x:c>
      <x:c r="F1861" s="12" t="str">
        <x:v>未记录</x:v>
      </x:c>
      <x:c r="G1861" s="12" t="n">
        <x:v>1</x:v>
      </x:c>
      <x:c r="H1861" s="12" t="str">
        <x:v>{'1AVB': 50.0, 'IVCD': 50.0, 'SR': 0.0}</x:v>
      </x:c>
      <x:c r="I1861" s="12" t="str">
        <x:v>[('SRTH', 100.0), ('FAV', 100.0), ('NST', 100.0), ('AB', 100.0)]</x:v>
      </x:c>
      <x:c r="J1861" s="12" t="str">
        <x:v>ptbxl_database.csv；ecg_id=17700；scp_codes</x:v>
      </x:c>
      <x:c r="K1861" s="12" t="str">
        <x:v>12sl_statements.csv；ecg_id=17700；statements_ext_snomed</x:v>
      </x:c>
      <x:c r="L1861" s="12"/>
      <x:c r="M1861" s="12" t="str">
        <x:v>negative</x:v>
      </x:c>
      <x:c r="N1861" s="12"/>
      <x:c r="O1861" s="12" t="str">
        <x:v>negative</x:v>
      </x:c>
      <x:c r="P1861" s="12" t="str">
        <x:f>IF(OR(M1861="unavailable",O1861="unavailable"),"不可评价",IF(OR(M1861="equivocal",O1861="equivocal"),"疑似",IF(AND(M1861="positive",O1861="positive"),"a",IF(O1861="positive","b",IF(M1861="positive","c","d")))))</x:f>
        <x:v>d</x:v>
      </x:c>
      <x:c r="Q1861" s="12"/>
      <x:c r="R1861" s="12" t="str">
        <x:v>negative</x:v>
      </x:c>
      <x:c r="S1861" s="12"/>
      <x:c r="T1861" s="12" t="str">
        <x:v>negative</x:v>
      </x:c>
      <x:c r="U1861" s="12" t="str">
        <x:f>IF(OR(R1861="unavailable",T1861="unavailable"),"不可评价",IF(OR(R1861="equivocal",T1861="equivocal"),"疑似",IF(AND(R1861="positive",T1861="positive"),"a",IF(T1861="positive","b",IF(R1861="positive","c","d")))))</x:f>
        <x:v>d</x:v>
      </x:c>
      <x:c r="V1861" s="12"/>
      <x:c r="W1861" s="12" t="str">
        <x:v>negative</x:v>
      </x:c>
      <x:c r="X1861" s="12"/>
      <x:c r="Y1861" s="12" t="str">
        <x:v>negative</x:v>
      </x:c>
      <x:c r="Z1861" s="12" t="str">
        <x:f>IF(OR(W1861="unavailable",Y1861="unavailable"),"不可评价",IF(OR(W1861="equivocal",Y1861="equivocal"),"疑似",IF(AND(W1861="positive",Y1861="positive"),"a",IF(Y1861="positive","b",IF(W1861="positive","c","d")))))</x:f>
        <x:v>d</x:v>
      </x:c>
      <x:c r="AA1861" s="12" t="str">
        <x:f>IF(OR(M1861="unavailable",O1861="unavailable"),"不可评价",IF(AND(OR(M1861="positive",M1861="equivocal"),OR(O1861="positive",O1861="equivocal")),"a",IF(OR(O1861="positive",O1861="equivocal"),"b",IF(OR(M1861="positive",M1861="equivocal"),"c","d"))))</x:f>
        <x:v>d</x:v>
      </x:c>
      <x:c r="AB1861" s="12" t="str">
        <x:f>IF(OR(M1861="unavailable",O1861="unavailable"),"不可评价",IF(AND(M1861="positive",O1861="positive"),"a",IF(O1861="positive","b",IF(M1861="positive","c","d"))))</x:f>
        <x:v>d</x:v>
      </x:c>
      <x:c r="AC1861" s="12" t="str">
        <x:f>IF(OR(R1861="unavailable",T1861="unavailable"),"不可评价",IF(AND(OR(R1861="positive",R1861="equivocal"),OR(T1861="positive",T1861="equivocal")),"a",IF(OR(T1861="positive",T1861="equivocal"),"b",IF(OR(R1861="positive",R1861="equivocal"),"c","d"))))</x:f>
        <x:v>d</x:v>
      </x:c>
      <x:c r="AD1861" s="12" t="str">
        <x:f>IF(OR(R1861="unavailable",T1861="unavailable"),"不可评价",IF(AND(R1861="positive",T1861="positive"),"a",IF(T1861="positive","b",IF(R1861="positive","c","d"))))</x:f>
        <x:v>d</x:v>
      </x:c>
      <x:c r="AE1861" s="12" t="str">
        <x:f>IF(OR(W1861="unavailable",Y1861="unavailable"),"不可评价",IF(AND(OR(W1861="positive",W1861="equivocal"),OR(Y1861="positive",Y1861="equivocal")),"a",IF(OR(Y1861="positive",Y1861="equivocal"),"b",IF(OR(W1861="positive",W1861="equivocal"),"c","d"))))</x:f>
        <x:v>d</x:v>
      </x:c>
      <x:c r="AF1861" s="12" t="str">
        <x:f>IF(OR(W1861="unavailable",Y1861="unavailable"),"不可评价",IF(AND(W1861="positive",Y1861="positive"),"a",IF(Y1861="positive","b",IF(W1861="positive","c","d"))))</x:f>
        <x:v>d</x:v>
      </x:c>
    </x:row>
    <x:row r="1862" ht="24" customHeight="1">
      <x:c r="A1862" s="12" t="str">
        <x:v>17701</x:v>
      </x:c>
      <x:c r="B1862" s="12" t="str">
        <x:v>10947</x:v>
      </x:c>
      <x:c r="C1862" s="21" t="n">
        <x:v>35511.664305555554</x:v>
      </x:c>
      <x:c r="D1862" s="12" t="n">
        <x:v>60</x:v>
      </x:c>
      <x:c r="E1862" s="12" t="n">
        <x:v>0</x:v>
      </x:c>
      <x:c r="F1862" s="12" t="str">
        <x:v>未记录</x:v>
      </x:c>
      <x:c r="G1862" s="12" t="n">
        <x:v>1</x:v>
      </x:c>
      <x:c r="H1862" s="12" t="str">
        <x:v>{'LVH': 15.0, 'VCLVH': 0.0, 'SR': 0.0}</x:v>
      </x:c>
      <x:c r="I1862" s="12" t="str">
        <x:v>[('NSR', 100.0), ('BORDE', 100.0)]</x:v>
      </x:c>
      <x:c r="J1862" s="12" t="str">
        <x:v>ptbxl_database.csv；ecg_id=17701；scp_codes</x:v>
      </x:c>
      <x:c r="K1862" s="12" t="str">
        <x:v>12sl_statements.csv；ecg_id=17701；statements_ext_snomed</x:v>
      </x:c>
      <x:c r="L1862" s="12"/>
      <x:c r="M1862" s="12" t="str">
        <x:v>negative</x:v>
      </x:c>
      <x:c r="N1862" s="12"/>
      <x:c r="O1862" s="12" t="str">
        <x:v>negative</x:v>
      </x:c>
      <x:c r="P1862" s="12" t="str">
        <x:f>IF(OR(M1862="unavailable",O1862="unavailable"),"不可评价",IF(OR(M1862="equivocal",O1862="equivocal"),"疑似",IF(AND(M1862="positive",O1862="positive"),"a",IF(O1862="positive","b",IF(M1862="positive","c","d")))))</x:f>
        <x:v>d</x:v>
      </x:c>
      <x:c r="Q1862" s="12"/>
      <x:c r="R1862" s="12" t="str">
        <x:v>negative</x:v>
      </x:c>
      <x:c r="S1862" s="12"/>
      <x:c r="T1862" s="12" t="str">
        <x:v>negative</x:v>
      </x:c>
      <x:c r="U1862" s="12" t="str">
        <x:f>IF(OR(R1862="unavailable",T1862="unavailable"),"不可评价",IF(OR(R1862="equivocal",T1862="equivocal"),"疑似",IF(AND(R1862="positive",T1862="positive"),"a",IF(T1862="positive","b",IF(R1862="positive","c","d")))))</x:f>
        <x:v>d</x:v>
      </x:c>
      <x:c r="V1862" s="12"/>
      <x:c r="W1862" s="12" t="str">
        <x:v>negative</x:v>
      </x:c>
      <x:c r="X1862" s="12"/>
      <x:c r="Y1862" s="12" t="str">
        <x:v>negative</x:v>
      </x:c>
      <x:c r="Z1862" s="12" t="str">
        <x:f>IF(OR(W1862="unavailable",Y1862="unavailable"),"不可评价",IF(OR(W1862="equivocal",Y1862="equivocal"),"疑似",IF(AND(W1862="positive",Y1862="positive"),"a",IF(Y1862="positive","b",IF(W1862="positive","c","d")))))</x:f>
        <x:v>d</x:v>
      </x:c>
      <x:c r="AA1862" s="12" t="str">
        <x:f>IF(OR(M1862="unavailable",O1862="unavailable"),"不可评价",IF(AND(OR(M1862="positive",M1862="equivocal"),OR(O1862="positive",O1862="equivocal")),"a",IF(OR(O1862="positive",O1862="equivocal"),"b",IF(OR(M1862="positive",M1862="equivocal"),"c","d"))))</x:f>
        <x:v>d</x:v>
      </x:c>
      <x:c r="AB1862" s="12" t="str">
        <x:f>IF(OR(M1862="unavailable",O1862="unavailable"),"不可评价",IF(AND(M1862="positive",O1862="positive"),"a",IF(O1862="positive","b",IF(M1862="positive","c","d"))))</x:f>
        <x:v>d</x:v>
      </x:c>
      <x:c r="AC1862" s="12" t="str">
        <x:f>IF(OR(R1862="unavailable",T1862="unavailable"),"不可评价",IF(AND(OR(R1862="positive",R1862="equivocal"),OR(T1862="positive",T1862="equivocal")),"a",IF(OR(T1862="positive",T1862="equivocal"),"b",IF(OR(R1862="positive",R1862="equivocal"),"c","d"))))</x:f>
        <x:v>d</x:v>
      </x:c>
      <x:c r="AD1862" s="12" t="str">
        <x:f>IF(OR(R1862="unavailable",T1862="unavailable"),"不可评价",IF(AND(R1862="positive",T1862="positive"),"a",IF(T1862="positive","b",IF(R1862="positive","c","d"))))</x:f>
        <x:v>d</x:v>
      </x:c>
      <x:c r="AE1862" s="12" t="str">
        <x:f>IF(OR(W1862="unavailable",Y1862="unavailable"),"不可评价",IF(AND(OR(W1862="positive",W1862="equivocal"),OR(Y1862="positive",Y1862="equivocal")),"a",IF(OR(Y1862="positive",Y1862="equivocal"),"b",IF(OR(W1862="positive",W1862="equivocal"),"c","d"))))</x:f>
        <x:v>d</x:v>
      </x:c>
      <x:c r="AF1862" s="12" t="str">
        <x:f>IF(OR(W1862="unavailable",Y1862="unavailable"),"不可评价",IF(AND(W1862="positive",Y1862="positive"),"a",IF(Y1862="positive","b",IF(W1862="positive","c","d"))))</x:f>
        <x:v>d</x:v>
      </x:c>
    </x:row>
    <x:row r="1863" ht="24" customHeight="1">
      <x:c r="A1863" s="12" t="str">
        <x:v>17711</x:v>
      </x:c>
      <x:c r="B1863" s="12" t="str">
        <x:v>14072</x:v>
      </x:c>
      <x:c r="C1863" s="21" t="n">
        <x:v>35517.59960648148</x:v>
      </x:c>
      <x:c r="D1863" s="12" t="n">
        <x:v>42</x:v>
      </x:c>
      <x:c r="E1863" s="12" t="n">
        <x:v>1</x:v>
      </x:c>
      <x:c r="F1863" s="12" t="str">
        <x:v>未记录</x:v>
      </x:c>
      <x:c r="G1863" s="12" t="n">
        <x:v>1</x:v>
      </x:c>
      <x:c r="H1863" s="12" t="str">
        <x:v>{'NORM': 100.0, 'ABQRS': 0.0, 'SR': 0.0}</x:v>
      </x:c>
      <x:c r="I1863" s="12" t="str">
        <x:v>[('NSR', 100.0), ('NML', 100.0)]</x:v>
      </x:c>
      <x:c r="J1863" s="12" t="str">
        <x:v>ptbxl_database.csv；ecg_id=17711；scp_codes</x:v>
      </x:c>
      <x:c r="K1863" s="12" t="str">
        <x:v>12sl_statements.csv；ecg_id=17711；statements_ext_snomed</x:v>
      </x:c>
      <x:c r="L1863" s="12"/>
      <x:c r="M1863" s="12" t="str">
        <x:v>negative</x:v>
      </x:c>
      <x:c r="N1863" s="12"/>
      <x:c r="O1863" s="12" t="str">
        <x:v>negative</x:v>
      </x:c>
      <x:c r="P1863" s="12" t="str">
        <x:f>IF(OR(M1863="unavailable",O1863="unavailable"),"不可评价",IF(OR(M1863="equivocal",O1863="equivocal"),"疑似",IF(AND(M1863="positive",O1863="positive"),"a",IF(O1863="positive","b",IF(M1863="positive","c","d")))))</x:f>
        <x:v>d</x:v>
      </x:c>
      <x:c r="Q1863" s="12"/>
      <x:c r="R1863" s="12" t="str">
        <x:v>negative</x:v>
      </x:c>
      <x:c r="S1863" s="12"/>
      <x:c r="T1863" s="12" t="str">
        <x:v>negative</x:v>
      </x:c>
      <x:c r="U1863" s="12" t="str">
        <x:f>IF(OR(R1863="unavailable",T1863="unavailable"),"不可评价",IF(OR(R1863="equivocal",T1863="equivocal"),"疑似",IF(AND(R1863="positive",T1863="positive"),"a",IF(T1863="positive","b",IF(R1863="positive","c","d")))))</x:f>
        <x:v>d</x:v>
      </x:c>
      <x:c r="V1863" s="12"/>
      <x:c r="W1863" s="12" t="str">
        <x:v>negative</x:v>
      </x:c>
      <x:c r="X1863" s="12"/>
      <x:c r="Y1863" s="12" t="str">
        <x:v>negative</x:v>
      </x:c>
      <x:c r="Z1863" s="12" t="str">
        <x:f>IF(OR(W1863="unavailable",Y1863="unavailable"),"不可评价",IF(OR(W1863="equivocal",Y1863="equivocal"),"疑似",IF(AND(W1863="positive",Y1863="positive"),"a",IF(Y1863="positive","b",IF(W1863="positive","c","d")))))</x:f>
        <x:v>d</x:v>
      </x:c>
      <x:c r="AA1863" s="12" t="str">
        <x:f>IF(OR(M1863="unavailable",O1863="unavailable"),"不可评价",IF(AND(OR(M1863="positive",M1863="equivocal"),OR(O1863="positive",O1863="equivocal")),"a",IF(OR(O1863="positive",O1863="equivocal"),"b",IF(OR(M1863="positive",M1863="equivocal"),"c","d"))))</x:f>
        <x:v>d</x:v>
      </x:c>
      <x:c r="AB1863" s="12" t="str">
        <x:f>IF(OR(M1863="unavailable",O1863="unavailable"),"不可评价",IF(AND(M1863="positive",O1863="positive"),"a",IF(O1863="positive","b",IF(M1863="positive","c","d"))))</x:f>
        <x:v>d</x:v>
      </x:c>
      <x:c r="AC1863" s="12" t="str">
        <x:f>IF(OR(R1863="unavailable",T1863="unavailable"),"不可评价",IF(AND(OR(R1863="positive",R1863="equivocal"),OR(T1863="positive",T1863="equivocal")),"a",IF(OR(T1863="positive",T1863="equivocal"),"b",IF(OR(R1863="positive",R1863="equivocal"),"c","d"))))</x:f>
        <x:v>d</x:v>
      </x:c>
      <x:c r="AD1863" s="12" t="str">
        <x:f>IF(OR(R1863="unavailable",T1863="unavailable"),"不可评价",IF(AND(R1863="positive",T1863="positive"),"a",IF(T1863="positive","b",IF(R1863="positive","c","d"))))</x:f>
        <x:v>d</x:v>
      </x:c>
      <x:c r="AE1863" s="12" t="str">
        <x:f>IF(OR(W1863="unavailable",Y1863="unavailable"),"不可评价",IF(AND(OR(W1863="positive",W1863="equivocal"),OR(Y1863="positive",Y1863="equivocal")),"a",IF(OR(Y1863="positive",Y1863="equivocal"),"b",IF(OR(W1863="positive",W1863="equivocal"),"c","d"))))</x:f>
        <x:v>d</x:v>
      </x:c>
      <x:c r="AF1863" s="12" t="str">
        <x:f>IF(OR(W1863="unavailable",Y1863="unavailable"),"不可评价",IF(AND(W1863="positive",Y1863="positive"),"a",IF(Y1863="positive","b",IF(W1863="positive","c","d"))))</x:f>
        <x:v>d</x:v>
      </x:c>
    </x:row>
    <x:row r="1864" ht="39" customHeight="1">
      <x:c r="A1864" s="12" t="str">
        <x:v>17719</x:v>
      </x:c>
      <x:c r="B1864" s="12" t="str">
        <x:v>2349</x:v>
      </x:c>
      <x:c r="C1864" s="21" t="n">
        <x:v>35527.645104166666</x:v>
      </x:c>
      <x:c r="D1864" s="12" t="n">
        <x:v>86</x:v>
      </x:c>
      <x:c r="E1864" s="12" t="n">
        <x:v>1</x:v>
      </x:c>
      <x:c r="F1864" s="12" t="str">
        <x:v>未记录</x:v>
      </x:c>
      <x:c r="G1864" s="12" t="n">
        <x:v>1</x:v>
      </x:c>
      <x:c r="H1864" s="12" t="str">
        <x:v>{'IPLMI': 50.0, 'ASMI': 15.0, 'CLBBB': 100.0, '1AVB': 100.0, 'PVC': 100.0, 'SR': 0.0}</x:v>
      </x:c>
      <x:c r="I1864" s="12" t="str">
        <x:v>[('SRTH', 100.0), ('FAV', 100.0), ('PVC', 100.0), ('LAD3', 100.0), ('LBBB', 100.0), ('AB', 100.0)]</x:v>
      </x:c>
      <x:c r="J1864" s="12" t="str">
        <x:v>ptbxl_database.csv；ecg_id=17719；scp_codes</x:v>
      </x:c>
      <x:c r="K1864" s="12" t="str">
        <x:v>12sl_statements.csv；ecg_id=17719；statements_ext_snomed</x:v>
      </x:c>
      <x:c r="L1864" s="12"/>
      <x:c r="M1864" s="12" t="str">
        <x:v>negative</x:v>
      </x:c>
      <x:c r="N1864" s="12"/>
      <x:c r="O1864" s="12" t="str">
        <x:v>negative</x:v>
      </x:c>
      <x:c r="P1864" s="12" t="str">
        <x:f>IF(OR(M1864="unavailable",O1864="unavailable"),"不可评价",IF(OR(M1864="equivocal",O1864="equivocal"),"疑似",IF(AND(M1864="positive",O1864="positive"),"a",IF(O1864="positive","b",IF(M1864="positive","c","d")))))</x:f>
        <x:v>d</x:v>
      </x:c>
      <x:c r="Q1864" s="12" t="n">
        <x:v>100</x:v>
      </x:c>
      <x:c r="R1864" s="12" t="str">
        <x:v>positive</x:v>
      </x:c>
      <x:c r="S1864" s="12" t="n">
        <x:v>100</x:v>
      </x:c>
      <x:c r="T1864" s="12" t="str">
        <x:v>positive</x:v>
      </x:c>
      <x:c r="U1864" s="12" t="str">
        <x:f>IF(OR(R1864="unavailable",T1864="unavailable"),"不可评价",IF(OR(R1864="equivocal",T1864="equivocal"),"疑似",IF(AND(R1864="positive",T1864="positive"),"a",IF(T1864="positive","b",IF(R1864="positive","c","d")))))</x:f>
        <x:v>a</x:v>
      </x:c>
      <x:c r="V1864" s="12"/>
      <x:c r="W1864" s="12" t="str">
        <x:v>negative</x:v>
      </x:c>
      <x:c r="X1864" s="12"/>
      <x:c r="Y1864" s="12" t="str">
        <x:v>negative</x:v>
      </x:c>
      <x:c r="Z1864" s="12" t="str">
        <x:f>IF(OR(W1864="unavailable",Y1864="unavailable"),"不可评价",IF(OR(W1864="equivocal",Y1864="equivocal"),"疑似",IF(AND(W1864="positive",Y1864="positive"),"a",IF(Y1864="positive","b",IF(W1864="positive","c","d")))))</x:f>
        <x:v>d</x:v>
      </x:c>
      <x:c r="AA1864" s="12" t="str">
        <x:f>IF(OR(M1864="unavailable",O1864="unavailable"),"不可评价",IF(AND(OR(M1864="positive",M1864="equivocal"),OR(O1864="positive",O1864="equivocal")),"a",IF(OR(O1864="positive",O1864="equivocal"),"b",IF(OR(M1864="positive",M1864="equivocal"),"c","d"))))</x:f>
        <x:v>d</x:v>
      </x:c>
      <x:c r="AB1864" s="12" t="str">
        <x:f>IF(OR(M1864="unavailable",O1864="unavailable"),"不可评价",IF(AND(M1864="positive",O1864="positive"),"a",IF(O1864="positive","b",IF(M1864="positive","c","d"))))</x:f>
        <x:v>d</x:v>
      </x:c>
      <x:c r="AC1864" s="12" t="str">
        <x:f>IF(OR(R1864="unavailable",T1864="unavailable"),"不可评价",IF(AND(OR(R1864="positive",R1864="equivocal"),OR(T1864="positive",T1864="equivocal")),"a",IF(OR(T1864="positive",T1864="equivocal"),"b",IF(OR(R1864="positive",R1864="equivocal"),"c","d"))))</x:f>
        <x:v>a</x:v>
      </x:c>
      <x:c r="AD1864" s="12" t="str">
        <x:f>IF(OR(R1864="unavailable",T1864="unavailable"),"不可评价",IF(AND(R1864="positive",T1864="positive"),"a",IF(T1864="positive","b",IF(R1864="positive","c","d"))))</x:f>
        <x:v>a</x:v>
      </x:c>
      <x:c r="AE1864" s="12" t="str">
        <x:f>IF(OR(W1864="unavailable",Y1864="unavailable"),"不可评价",IF(AND(OR(W1864="positive",W1864="equivocal"),OR(Y1864="positive",Y1864="equivocal")),"a",IF(OR(Y1864="positive",Y1864="equivocal"),"b",IF(OR(W1864="positive",W1864="equivocal"),"c","d"))))</x:f>
        <x:v>d</x:v>
      </x:c>
      <x:c r="AF1864" s="12" t="str">
        <x:f>IF(OR(W1864="unavailable",Y1864="unavailable"),"不可评价",IF(AND(W1864="positive",Y1864="positive"),"a",IF(Y1864="positive","b",IF(W1864="positive","c","d"))))</x:f>
        <x:v>d</x:v>
      </x:c>
    </x:row>
    <x:row r="1865" ht="24" customHeight="1">
      <x:c r="A1865" s="12" t="str">
        <x:v>17731</x:v>
      </x:c>
      <x:c r="B1865" s="12" t="str">
        <x:v>1892</x:v>
      </x:c>
      <x:c r="C1865" s="21" t="n">
        <x:v>35532.365115740744</x:v>
      </x:c>
      <x:c r="D1865" s="12" t="n">
        <x:v>59</x:v>
      </x:c>
      <x:c r="E1865" s="12" t="n">
        <x:v>0</x:v>
      </x:c>
      <x:c r="F1865" s="12" t="str">
        <x:v>未记录</x:v>
      </x:c>
      <x:c r="G1865" s="12" t="n">
        <x:v>1</x:v>
      </x:c>
      <x:c r="H1865" s="12" t="str">
        <x:v>{'NORM': 100.0, 'SR': 0.0}</x:v>
      </x:c>
      <x:c r="I1865" s="12" t="str">
        <x:v>[('NSR', 100.0), ('NML', 100.0)]</x:v>
      </x:c>
      <x:c r="J1865" s="12" t="str">
        <x:v>ptbxl_database.csv；ecg_id=17731；scp_codes</x:v>
      </x:c>
      <x:c r="K1865" s="12" t="str">
        <x:v>12sl_statements.csv；ecg_id=17731；statements_ext_snomed</x:v>
      </x:c>
      <x:c r="L1865" s="12"/>
      <x:c r="M1865" s="12" t="str">
        <x:v>negative</x:v>
      </x:c>
      <x:c r="N1865" s="12"/>
      <x:c r="O1865" s="12" t="str">
        <x:v>negative</x:v>
      </x:c>
      <x:c r="P1865" s="12" t="str">
        <x:f>IF(OR(M1865="unavailable",O1865="unavailable"),"不可评价",IF(OR(M1865="equivocal",O1865="equivocal"),"疑似",IF(AND(M1865="positive",O1865="positive"),"a",IF(O1865="positive","b",IF(M1865="positive","c","d")))))</x:f>
        <x:v>d</x:v>
      </x:c>
      <x:c r="Q1865" s="12"/>
      <x:c r="R1865" s="12" t="str">
        <x:v>negative</x:v>
      </x:c>
      <x:c r="S1865" s="12"/>
      <x:c r="T1865" s="12" t="str">
        <x:v>negative</x:v>
      </x:c>
      <x:c r="U1865" s="12" t="str">
        <x:f>IF(OR(R1865="unavailable",T1865="unavailable"),"不可评价",IF(OR(R1865="equivocal",T1865="equivocal"),"疑似",IF(AND(R1865="positive",T1865="positive"),"a",IF(T1865="positive","b",IF(R1865="positive","c","d")))))</x:f>
        <x:v>d</x:v>
      </x:c>
      <x:c r="V1865" s="12"/>
      <x:c r="W1865" s="12" t="str">
        <x:v>negative</x:v>
      </x:c>
      <x:c r="X1865" s="12"/>
      <x:c r="Y1865" s="12" t="str">
        <x:v>negative</x:v>
      </x:c>
      <x:c r="Z1865" s="12" t="str">
        <x:f>IF(OR(W1865="unavailable",Y1865="unavailable"),"不可评价",IF(OR(W1865="equivocal",Y1865="equivocal"),"疑似",IF(AND(W1865="positive",Y1865="positive"),"a",IF(Y1865="positive","b",IF(W1865="positive","c","d")))))</x:f>
        <x:v>d</x:v>
      </x:c>
      <x:c r="AA1865" s="12" t="str">
        <x:f>IF(OR(M1865="unavailable",O1865="unavailable"),"不可评价",IF(AND(OR(M1865="positive",M1865="equivocal"),OR(O1865="positive",O1865="equivocal")),"a",IF(OR(O1865="positive",O1865="equivocal"),"b",IF(OR(M1865="positive",M1865="equivocal"),"c","d"))))</x:f>
        <x:v>d</x:v>
      </x:c>
      <x:c r="AB1865" s="12" t="str">
        <x:f>IF(OR(M1865="unavailable",O1865="unavailable"),"不可评价",IF(AND(M1865="positive",O1865="positive"),"a",IF(O1865="positive","b",IF(M1865="positive","c","d"))))</x:f>
        <x:v>d</x:v>
      </x:c>
      <x:c r="AC1865" s="12" t="str">
        <x:f>IF(OR(R1865="unavailable",T1865="unavailable"),"不可评价",IF(AND(OR(R1865="positive",R1865="equivocal"),OR(T1865="positive",T1865="equivocal")),"a",IF(OR(T1865="positive",T1865="equivocal"),"b",IF(OR(R1865="positive",R1865="equivocal"),"c","d"))))</x:f>
        <x:v>d</x:v>
      </x:c>
      <x:c r="AD1865" s="12" t="str">
        <x:f>IF(OR(R1865="unavailable",T1865="unavailable"),"不可评价",IF(AND(R1865="positive",T1865="positive"),"a",IF(T1865="positive","b",IF(R1865="positive","c","d"))))</x:f>
        <x:v>d</x:v>
      </x:c>
      <x:c r="AE1865" s="12" t="str">
        <x:f>IF(OR(W1865="unavailable",Y1865="unavailable"),"不可评价",IF(AND(OR(W1865="positive",W1865="equivocal"),OR(Y1865="positive",Y1865="equivocal")),"a",IF(OR(Y1865="positive",Y1865="equivocal"),"b",IF(OR(W1865="positive",W1865="equivocal"),"c","d"))))</x:f>
        <x:v>d</x:v>
      </x:c>
      <x:c r="AF1865" s="12" t="str">
        <x:f>IF(OR(W1865="unavailable",Y1865="unavailable"),"不可评价",IF(AND(W1865="positive",Y1865="positive"),"a",IF(Y1865="positive","b",IF(W1865="positive","c","d"))))</x:f>
        <x:v>d</x:v>
      </x:c>
    </x:row>
    <x:row r="1866" ht="24" customHeight="1">
      <x:c r="A1866" s="12" t="str">
        <x:v>17737</x:v>
      </x:c>
      <x:c r="B1866" s="12" t="str">
        <x:v>14405</x:v>
      </x:c>
      <x:c r="C1866" s="21" t="n">
        <x:v>35532.676828703705</x:v>
      </x:c>
      <x:c r="D1866" s="12" t="n">
        <x:v>64</x:v>
      </x:c>
      <x:c r="E1866" s="12" t="n">
        <x:v>0</x:v>
      </x:c>
      <x:c r="F1866" s="12" t="str">
        <x:v>存在</x:v>
      </x:c>
      <x:c r="G1866" s="12" t="n">
        <x:v>1</x:v>
      </x:c>
      <x:c r="H1866" s="12" t="str">
        <x:v>{'NORM': 100.0, 'SR': 0.0}</x:v>
      </x:c>
      <x:c r="I1866" s="12" t="str">
        <x:v>[('NSR', 100.0), ('NML', 100.0)]</x:v>
      </x:c>
      <x:c r="J1866" s="12" t="str">
        <x:v>ptbxl_database.csv；ecg_id=17737；scp_codes</x:v>
      </x:c>
      <x:c r="K1866" s="12" t="str">
        <x:v>12sl_statements.csv；ecg_id=17737；statements_ext_snomed</x:v>
      </x:c>
      <x:c r="L1866" s="12"/>
      <x:c r="M1866" s="12" t="str">
        <x:v>negative</x:v>
      </x:c>
      <x:c r="N1866" s="12"/>
      <x:c r="O1866" s="12" t="str">
        <x:v>negative</x:v>
      </x:c>
      <x:c r="P1866" s="12" t="str">
        <x:f>IF(OR(M1866="unavailable",O1866="unavailable"),"不可评价",IF(OR(M1866="equivocal",O1866="equivocal"),"疑似",IF(AND(M1866="positive",O1866="positive"),"a",IF(O1866="positive","b",IF(M1866="positive","c","d")))))</x:f>
        <x:v>d</x:v>
      </x:c>
      <x:c r="Q1866" s="12"/>
      <x:c r="R1866" s="12" t="str">
        <x:v>negative</x:v>
      </x:c>
      <x:c r="S1866" s="12"/>
      <x:c r="T1866" s="12" t="str">
        <x:v>negative</x:v>
      </x:c>
      <x:c r="U1866" s="12" t="str">
        <x:f>IF(OR(R1866="unavailable",T1866="unavailable"),"不可评价",IF(OR(R1866="equivocal",T1866="equivocal"),"疑似",IF(AND(R1866="positive",T1866="positive"),"a",IF(T1866="positive","b",IF(R1866="positive","c","d")))))</x:f>
        <x:v>d</x:v>
      </x:c>
      <x:c r="V1866" s="12"/>
      <x:c r="W1866" s="12" t="str">
        <x:v>negative</x:v>
      </x:c>
      <x:c r="X1866" s="12"/>
      <x:c r="Y1866" s="12" t="str">
        <x:v>negative</x:v>
      </x:c>
      <x:c r="Z1866" s="12" t="str">
        <x:f>IF(OR(W1866="unavailable",Y1866="unavailable"),"不可评价",IF(OR(W1866="equivocal",Y1866="equivocal"),"疑似",IF(AND(W1866="positive",Y1866="positive"),"a",IF(Y1866="positive","b",IF(W1866="positive","c","d")))))</x:f>
        <x:v>d</x:v>
      </x:c>
      <x:c r="AA1866" s="12" t="str">
        <x:f>IF(OR(M1866="unavailable",O1866="unavailable"),"不可评价",IF(AND(OR(M1866="positive",M1866="equivocal"),OR(O1866="positive",O1866="equivocal")),"a",IF(OR(O1866="positive",O1866="equivocal"),"b",IF(OR(M1866="positive",M1866="equivocal"),"c","d"))))</x:f>
        <x:v>d</x:v>
      </x:c>
      <x:c r="AB1866" s="12" t="str">
        <x:f>IF(OR(M1866="unavailable",O1866="unavailable"),"不可评价",IF(AND(M1866="positive",O1866="positive"),"a",IF(O1866="positive","b",IF(M1866="positive","c","d"))))</x:f>
        <x:v>d</x:v>
      </x:c>
      <x:c r="AC1866" s="12" t="str">
        <x:f>IF(OR(R1866="unavailable",T1866="unavailable"),"不可评价",IF(AND(OR(R1866="positive",R1866="equivocal"),OR(T1866="positive",T1866="equivocal")),"a",IF(OR(T1866="positive",T1866="equivocal"),"b",IF(OR(R1866="positive",R1866="equivocal"),"c","d"))))</x:f>
        <x:v>d</x:v>
      </x:c>
      <x:c r="AD1866" s="12" t="str">
        <x:f>IF(OR(R1866="unavailable",T1866="unavailable"),"不可评价",IF(AND(R1866="positive",T1866="positive"),"a",IF(T1866="positive","b",IF(R1866="positive","c","d"))))</x:f>
        <x:v>d</x:v>
      </x:c>
      <x:c r="AE1866" s="12" t="str">
        <x:f>IF(OR(W1866="unavailable",Y1866="unavailable"),"不可评价",IF(AND(OR(W1866="positive",W1866="equivocal"),OR(Y1866="positive",Y1866="equivocal")),"a",IF(OR(Y1866="positive",Y1866="equivocal"),"b",IF(OR(W1866="positive",W1866="equivocal"),"c","d"))))</x:f>
        <x:v>d</x:v>
      </x:c>
      <x:c r="AF1866" s="12" t="str">
        <x:f>IF(OR(W1866="unavailable",Y1866="unavailable"),"不可评价",IF(AND(W1866="positive",Y1866="positive"),"a",IF(Y1866="positive","b",IF(W1866="positive","c","d"))))</x:f>
        <x:v>d</x:v>
      </x:c>
    </x:row>
    <x:row r="1867" ht="24" customHeight="1">
      <x:c r="A1867" s="12" t="str">
        <x:v>17739</x:v>
      </x:c>
      <x:c r="B1867" s="12" t="str">
        <x:v>6670</x:v>
      </x:c>
      <x:c r="C1867" s="21" t="n">
        <x:v>35533.49092592593</x:v>
      </x:c>
      <x:c r="D1867" s="12" t="n">
        <x:v>62</x:v>
      </x:c>
      <x:c r="E1867" s="12" t="n">
        <x:v>1</x:v>
      </x:c>
      <x:c r="F1867" s="12" t="str">
        <x:v>未记录</x:v>
      </x:c>
      <x:c r="G1867" s="12" t="n">
        <x:v>1</x:v>
      </x:c>
      <x:c r="H1867" s="12" t="str">
        <x:v>{'NORM': 80.0, 'SBRAD': 0.0}</x:v>
      </x:c>
      <x:c r="I1867" s="12" t="str">
        <x:v>[('MSBRAD', 100.0), ('AB', 100.0)]</x:v>
      </x:c>
      <x:c r="J1867" s="12" t="str">
        <x:v>ptbxl_database.csv；ecg_id=17739；scp_codes</x:v>
      </x:c>
      <x:c r="K1867" s="12" t="str">
        <x:v>12sl_statements.csv；ecg_id=17739；statements_ext_snomed</x:v>
      </x:c>
      <x:c r="L1867" s="12"/>
      <x:c r="M1867" s="12" t="str">
        <x:v>negative</x:v>
      </x:c>
      <x:c r="N1867" s="12"/>
      <x:c r="O1867" s="12" t="str">
        <x:v>negative</x:v>
      </x:c>
      <x:c r="P1867" s="12" t="str">
        <x:f>IF(OR(M1867="unavailable",O1867="unavailable"),"不可评价",IF(OR(M1867="equivocal",O1867="equivocal"),"疑似",IF(AND(M1867="positive",O1867="positive"),"a",IF(O1867="positive","b",IF(M1867="positive","c","d")))))</x:f>
        <x:v>d</x:v>
      </x:c>
      <x:c r="Q1867" s="12"/>
      <x:c r="R1867" s="12" t="str">
        <x:v>negative</x:v>
      </x:c>
      <x:c r="S1867" s="12"/>
      <x:c r="T1867" s="12" t="str">
        <x:v>negative</x:v>
      </x:c>
      <x:c r="U1867" s="12" t="str">
        <x:f>IF(OR(R1867="unavailable",T1867="unavailable"),"不可评价",IF(OR(R1867="equivocal",T1867="equivocal"),"疑似",IF(AND(R1867="positive",T1867="positive"),"a",IF(T1867="positive","b",IF(R1867="positive","c","d")))))</x:f>
        <x:v>d</x:v>
      </x:c>
      <x:c r="V1867" s="12"/>
      <x:c r="W1867" s="12" t="str">
        <x:v>negative</x:v>
      </x:c>
      <x:c r="X1867" s="12"/>
      <x:c r="Y1867" s="12" t="str">
        <x:v>negative</x:v>
      </x:c>
      <x:c r="Z1867" s="12" t="str">
        <x:f>IF(OR(W1867="unavailable",Y1867="unavailable"),"不可评价",IF(OR(W1867="equivocal",Y1867="equivocal"),"疑似",IF(AND(W1867="positive",Y1867="positive"),"a",IF(Y1867="positive","b",IF(W1867="positive","c","d")))))</x:f>
        <x:v>d</x:v>
      </x:c>
      <x:c r="AA1867" s="12" t="str">
        <x:f>IF(OR(M1867="unavailable",O1867="unavailable"),"不可评价",IF(AND(OR(M1867="positive",M1867="equivocal"),OR(O1867="positive",O1867="equivocal")),"a",IF(OR(O1867="positive",O1867="equivocal"),"b",IF(OR(M1867="positive",M1867="equivocal"),"c","d"))))</x:f>
        <x:v>d</x:v>
      </x:c>
      <x:c r="AB1867" s="12" t="str">
        <x:f>IF(OR(M1867="unavailable",O1867="unavailable"),"不可评价",IF(AND(M1867="positive",O1867="positive"),"a",IF(O1867="positive","b",IF(M1867="positive","c","d"))))</x:f>
        <x:v>d</x:v>
      </x:c>
      <x:c r="AC1867" s="12" t="str">
        <x:f>IF(OR(R1867="unavailable",T1867="unavailable"),"不可评价",IF(AND(OR(R1867="positive",R1867="equivocal"),OR(T1867="positive",T1867="equivocal")),"a",IF(OR(T1867="positive",T1867="equivocal"),"b",IF(OR(R1867="positive",R1867="equivocal"),"c","d"))))</x:f>
        <x:v>d</x:v>
      </x:c>
      <x:c r="AD1867" s="12" t="str">
        <x:f>IF(OR(R1867="unavailable",T1867="unavailable"),"不可评价",IF(AND(R1867="positive",T1867="positive"),"a",IF(T1867="positive","b",IF(R1867="positive","c","d"))))</x:f>
        <x:v>d</x:v>
      </x:c>
      <x:c r="AE1867" s="12" t="str">
        <x:f>IF(OR(W1867="unavailable",Y1867="unavailable"),"不可评价",IF(AND(OR(W1867="positive",W1867="equivocal"),OR(Y1867="positive",Y1867="equivocal")),"a",IF(OR(Y1867="positive",Y1867="equivocal"),"b",IF(OR(W1867="positive",W1867="equivocal"),"c","d"))))</x:f>
        <x:v>d</x:v>
      </x:c>
      <x:c r="AF1867" s="12" t="str">
        <x:f>IF(OR(W1867="unavailable",Y1867="unavailable"),"不可评价",IF(AND(W1867="positive",Y1867="positive"),"a",IF(Y1867="positive","b",IF(W1867="positive","c","d"))))</x:f>
        <x:v>d</x:v>
      </x:c>
    </x:row>
    <x:row r="1868" ht="24" customHeight="1">
      <x:c r="A1868" s="12" t="str">
        <x:v>17744</x:v>
      </x:c>
      <x:c r="B1868" s="12" t="str">
        <x:v>1471</x:v>
      </x:c>
      <x:c r="C1868" s="21" t="n">
        <x:v>35534.37421296296</x:v>
      </x:c>
      <x:c r="D1868" s="12" t="n">
        <x:v>71</x:v>
      </x:c>
      <x:c r="E1868" s="12" t="n">
        <x:v>0</x:v>
      </x:c>
      <x:c r="F1868" s="12" t="str">
        <x:v>未记录</x:v>
      </x:c>
      <x:c r="G1868" s="12" t="n">
        <x:v>1</x:v>
      </x:c>
      <x:c r="H1868" s="12" t="str">
        <x:v>{'IMI': 100.0, 'ASMI': 100.0, 'NT_': 0.0, 'QWAVE': 0.0, 'SR': 0.0}</x:v>
      </x:c>
      <x:c r="I1868" s="12" t="str">
        <x:v>[('SBRAD', 100.0), ('IMI;AU', 100.0), ('ASMI;AU', 100.0), ('AB', 100.0)]</x:v>
      </x:c>
      <x:c r="J1868" s="12" t="str">
        <x:v>ptbxl_database.csv；ecg_id=17744；scp_codes</x:v>
      </x:c>
      <x:c r="K1868" s="12" t="str">
        <x:v>12sl_statements.csv；ecg_id=17744；statements_ext_snomed</x:v>
      </x:c>
      <x:c r="L1868" s="12"/>
      <x:c r="M1868" s="12" t="str">
        <x:v>negative</x:v>
      </x:c>
      <x:c r="N1868" s="12"/>
      <x:c r="O1868" s="12" t="str">
        <x:v>negative</x:v>
      </x:c>
      <x:c r="P1868" s="12" t="str">
        <x:f>IF(OR(M1868="unavailable",O1868="unavailable"),"不可评价",IF(OR(M1868="equivocal",O1868="equivocal"),"疑似",IF(AND(M1868="positive",O1868="positive"),"a",IF(O1868="positive","b",IF(M1868="positive","c","d")))))</x:f>
        <x:v>d</x:v>
      </x:c>
      <x:c r="Q1868" s="12"/>
      <x:c r="R1868" s="12" t="str">
        <x:v>negative</x:v>
      </x:c>
      <x:c r="S1868" s="12"/>
      <x:c r="T1868" s="12" t="str">
        <x:v>negative</x:v>
      </x:c>
      <x:c r="U1868" s="12" t="str">
        <x:f>IF(OR(R1868="unavailable",T1868="unavailable"),"不可评价",IF(OR(R1868="equivocal",T1868="equivocal"),"疑似",IF(AND(R1868="positive",T1868="positive"),"a",IF(T1868="positive","b",IF(R1868="positive","c","d")))))</x:f>
        <x:v>d</x:v>
      </x:c>
      <x:c r="V1868" s="12"/>
      <x:c r="W1868" s="12" t="str">
        <x:v>negative</x:v>
      </x:c>
      <x:c r="X1868" s="12"/>
      <x:c r="Y1868" s="12" t="str">
        <x:v>negative</x:v>
      </x:c>
      <x:c r="Z1868" s="12" t="str">
        <x:f>IF(OR(W1868="unavailable",Y1868="unavailable"),"不可评价",IF(OR(W1868="equivocal",Y1868="equivocal"),"疑似",IF(AND(W1868="positive",Y1868="positive"),"a",IF(Y1868="positive","b",IF(W1868="positive","c","d")))))</x:f>
        <x:v>d</x:v>
      </x:c>
      <x:c r="AA1868" s="12" t="str">
        <x:f>IF(OR(M1868="unavailable",O1868="unavailable"),"不可评价",IF(AND(OR(M1868="positive",M1868="equivocal"),OR(O1868="positive",O1868="equivocal")),"a",IF(OR(O1868="positive",O1868="equivocal"),"b",IF(OR(M1868="positive",M1868="equivocal"),"c","d"))))</x:f>
        <x:v>d</x:v>
      </x:c>
      <x:c r="AB1868" s="12" t="str">
        <x:f>IF(OR(M1868="unavailable",O1868="unavailable"),"不可评价",IF(AND(M1868="positive",O1868="positive"),"a",IF(O1868="positive","b",IF(M1868="positive","c","d"))))</x:f>
        <x:v>d</x:v>
      </x:c>
      <x:c r="AC1868" s="12" t="str">
        <x:f>IF(OR(R1868="unavailable",T1868="unavailable"),"不可评价",IF(AND(OR(R1868="positive",R1868="equivocal"),OR(T1868="positive",T1868="equivocal")),"a",IF(OR(T1868="positive",T1868="equivocal"),"b",IF(OR(R1868="positive",R1868="equivocal"),"c","d"))))</x:f>
        <x:v>d</x:v>
      </x:c>
      <x:c r="AD1868" s="12" t="str">
        <x:f>IF(OR(R1868="unavailable",T1868="unavailable"),"不可评价",IF(AND(R1868="positive",T1868="positive"),"a",IF(T1868="positive","b",IF(R1868="positive","c","d"))))</x:f>
        <x:v>d</x:v>
      </x:c>
      <x:c r="AE1868" s="12" t="str">
        <x:f>IF(OR(W1868="unavailable",Y1868="unavailable"),"不可评价",IF(AND(OR(W1868="positive",W1868="equivocal"),OR(Y1868="positive",Y1868="equivocal")),"a",IF(OR(Y1868="positive",Y1868="equivocal"),"b",IF(OR(W1868="positive",W1868="equivocal"),"c","d"))))</x:f>
        <x:v>d</x:v>
      </x:c>
      <x:c r="AF1868" s="12" t="str">
        <x:f>IF(OR(W1868="unavailable",Y1868="unavailable"),"不可评价",IF(AND(W1868="positive",Y1868="positive"),"a",IF(Y1868="positive","b",IF(W1868="positive","c","d"))))</x:f>
        <x:v>d</x:v>
      </x:c>
    </x:row>
    <x:row r="1869" ht="24" customHeight="1">
      <x:c r="A1869" s="12" t="str">
        <x:v>17748</x:v>
      </x:c>
      <x:c r="B1869" s="12" t="str">
        <x:v>712</x:v>
      </x:c>
      <x:c r="C1869" s="21" t="n">
        <x:v>35534.46015046296</x:v>
      </x:c>
      <x:c r="D1869" s="12" t="n">
        <x:v>80</x:v>
      </x:c>
      <x:c r="E1869" s="12" t="n">
        <x:v>0</x:v>
      </x:c>
      <x:c r="F1869" s="12" t="str">
        <x:v>未记录</x:v>
      </x:c>
      <x:c r="G1869" s="12" t="n">
        <x:v>1</x:v>
      </x:c>
      <x:c r="H1869" s="12" t="str">
        <x:v>{'NORM': 80.0, 'PAC': 0.0, 'SR': 0.0}</x:v>
      </x:c>
      <x:c r="I1869" s="12" t="str">
        <x:v>[('SRTH', 100.0), ('PSVC', 100.0), ('ABR', 100.0)]</x:v>
      </x:c>
      <x:c r="J1869" s="12" t="str">
        <x:v>ptbxl_database.csv；ecg_id=17748；scp_codes</x:v>
      </x:c>
      <x:c r="K1869" s="12" t="str">
        <x:v>12sl_statements.csv；ecg_id=17748；statements_ext_snomed</x:v>
      </x:c>
      <x:c r="L1869" s="12"/>
      <x:c r="M1869" s="12" t="str">
        <x:v>negative</x:v>
      </x:c>
      <x:c r="N1869" s="12"/>
      <x:c r="O1869" s="12" t="str">
        <x:v>negative</x:v>
      </x:c>
      <x:c r="P1869" s="12" t="str">
        <x:f>IF(OR(M1869="unavailable",O1869="unavailable"),"不可评价",IF(OR(M1869="equivocal",O1869="equivocal"),"疑似",IF(AND(M1869="positive",O1869="positive"),"a",IF(O1869="positive","b",IF(M1869="positive","c","d")))))</x:f>
        <x:v>d</x:v>
      </x:c>
      <x:c r="Q1869" s="12"/>
      <x:c r="R1869" s="12" t="str">
        <x:v>negative</x:v>
      </x:c>
      <x:c r="S1869" s="12"/>
      <x:c r="T1869" s="12" t="str">
        <x:v>negative</x:v>
      </x:c>
      <x:c r="U1869" s="12" t="str">
        <x:f>IF(OR(R1869="unavailable",T1869="unavailable"),"不可评价",IF(OR(R1869="equivocal",T1869="equivocal"),"疑似",IF(AND(R1869="positive",T1869="positive"),"a",IF(T1869="positive","b",IF(R1869="positive","c","d")))))</x:f>
        <x:v>d</x:v>
      </x:c>
      <x:c r="V1869" s="12"/>
      <x:c r="W1869" s="12" t="str">
        <x:v>negative</x:v>
      </x:c>
      <x:c r="X1869" s="12"/>
      <x:c r="Y1869" s="12" t="str">
        <x:v>negative</x:v>
      </x:c>
      <x:c r="Z1869" s="12" t="str">
        <x:f>IF(OR(W1869="unavailable",Y1869="unavailable"),"不可评价",IF(OR(W1869="equivocal",Y1869="equivocal"),"疑似",IF(AND(W1869="positive",Y1869="positive"),"a",IF(Y1869="positive","b",IF(W1869="positive","c","d")))))</x:f>
        <x:v>d</x:v>
      </x:c>
      <x:c r="AA1869" s="12" t="str">
        <x:f>IF(OR(M1869="unavailable",O1869="unavailable"),"不可评价",IF(AND(OR(M1869="positive",M1869="equivocal"),OR(O1869="positive",O1869="equivocal")),"a",IF(OR(O1869="positive",O1869="equivocal"),"b",IF(OR(M1869="positive",M1869="equivocal"),"c","d"))))</x:f>
        <x:v>d</x:v>
      </x:c>
      <x:c r="AB1869" s="12" t="str">
        <x:f>IF(OR(M1869="unavailable",O1869="unavailable"),"不可评价",IF(AND(M1869="positive",O1869="positive"),"a",IF(O1869="positive","b",IF(M1869="positive","c","d"))))</x:f>
        <x:v>d</x:v>
      </x:c>
      <x:c r="AC1869" s="12" t="str">
        <x:f>IF(OR(R1869="unavailable",T1869="unavailable"),"不可评价",IF(AND(OR(R1869="positive",R1869="equivocal"),OR(T1869="positive",T1869="equivocal")),"a",IF(OR(T1869="positive",T1869="equivocal"),"b",IF(OR(R1869="positive",R1869="equivocal"),"c","d"))))</x:f>
        <x:v>d</x:v>
      </x:c>
      <x:c r="AD1869" s="12" t="str">
        <x:f>IF(OR(R1869="unavailable",T1869="unavailable"),"不可评价",IF(AND(R1869="positive",T1869="positive"),"a",IF(T1869="positive","b",IF(R1869="positive","c","d"))))</x:f>
        <x:v>d</x:v>
      </x:c>
      <x:c r="AE1869" s="12" t="str">
        <x:f>IF(OR(W1869="unavailable",Y1869="unavailable"),"不可评价",IF(AND(OR(W1869="positive",W1869="equivocal"),OR(Y1869="positive",Y1869="equivocal")),"a",IF(OR(Y1869="positive",Y1869="equivocal"),"b",IF(OR(W1869="positive",W1869="equivocal"),"c","d"))))</x:f>
        <x:v>d</x:v>
      </x:c>
      <x:c r="AF1869" s="12" t="str">
        <x:f>IF(OR(W1869="unavailable",Y1869="unavailable"),"不可评价",IF(AND(W1869="positive",Y1869="positive"),"a",IF(Y1869="positive","b",IF(W1869="positive","c","d"))))</x:f>
        <x:v>d</x:v>
      </x:c>
    </x:row>
    <x:row r="1870" ht="24" customHeight="1">
      <x:c r="A1870" s="12" t="str">
        <x:v>17749</x:v>
      </x:c>
      <x:c r="B1870" s="12" t="str">
        <x:v>20398</x:v>
      </x:c>
      <x:c r="C1870" s="21" t="n">
        <x:v>35534.51835648148</x:v>
      </x:c>
      <x:c r="D1870" s="12" t="n">
        <x:v>50</x:v>
      </x:c>
      <x:c r="E1870" s="12" t="n">
        <x:v>0</x:v>
      </x:c>
      <x:c r="F1870" s="12" t="str">
        <x:v>存在</x:v>
      </x:c>
      <x:c r="G1870" s="12" t="n">
        <x:v>0</x:v>
      </x:c>
      <x:c r="H1870" s="12" t="str">
        <x:v>{'NORM': 100.0, 'SR': 0.0}</x:v>
      </x:c>
      <x:c r="I1870" s="12" t="str">
        <x:v>[('SBRAD', 100.0), ('ABR', 100.0)]</x:v>
      </x:c>
      <x:c r="J1870" s="12" t="str">
        <x:v>ptbxl_database.csv；ecg_id=17749；scp_codes</x:v>
      </x:c>
      <x:c r="K1870" s="12" t="str">
        <x:v>12sl_statements.csv；ecg_id=17749；statements_ext_snomed</x:v>
      </x:c>
      <x:c r="L1870" s="12"/>
      <x:c r="M1870" s="12" t="str">
        <x:v>negative</x:v>
      </x:c>
      <x:c r="N1870" s="12"/>
      <x:c r="O1870" s="12" t="str">
        <x:v>negative</x:v>
      </x:c>
      <x:c r="P1870" s="12" t="str">
        <x:f>IF(OR(M1870="unavailable",O1870="unavailable"),"不可评价",IF(OR(M1870="equivocal",O1870="equivocal"),"疑似",IF(AND(M1870="positive",O1870="positive"),"a",IF(O1870="positive","b",IF(M1870="positive","c","d")))))</x:f>
        <x:v>d</x:v>
      </x:c>
      <x:c r="Q1870" s="12"/>
      <x:c r="R1870" s="12" t="str">
        <x:v>negative</x:v>
      </x:c>
      <x:c r="S1870" s="12"/>
      <x:c r="T1870" s="12" t="str">
        <x:v>negative</x:v>
      </x:c>
      <x:c r="U1870" s="12" t="str">
        <x:f>IF(OR(R1870="unavailable",T1870="unavailable"),"不可评价",IF(OR(R1870="equivocal",T1870="equivocal"),"疑似",IF(AND(R1870="positive",T1870="positive"),"a",IF(T1870="positive","b",IF(R1870="positive","c","d")))))</x:f>
        <x:v>d</x:v>
      </x:c>
      <x:c r="V1870" s="12"/>
      <x:c r="W1870" s="12" t="str">
        <x:v>negative</x:v>
      </x:c>
      <x:c r="X1870" s="12"/>
      <x:c r="Y1870" s="12" t="str">
        <x:v>negative</x:v>
      </x:c>
      <x:c r="Z1870" s="12" t="str">
        <x:f>IF(OR(W1870="unavailable",Y1870="unavailable"),"不可评价",IF(OR(W1870="equivocal",Y1870="equivocal"),"疑似",IF(AND(W1870="positive",Y1870="positive"),"a",IF(Y1870="positive","b",IF(W1870="positive","c","d")))))</x:f>
        <x:v>d</x:v>
      </x:c>
      <x:c r="AA1870" s="12" t="str">
        <x:f>IF(OR(M1870="unavailable",O1870="unavailable"),"不可评价",IF(AND(OR(M1870="positive",M1870="equivocal"),OR(O1870="positive",O1870="equivocal")),"a",IF(OR(O1870="positive",O1870="equivocal"),"b",IF(OR(M1870="positive",M1870="equivocal"),"c","d"))))</x:f>
        <x:v>d</x:v>
      </x:c>
      <x:c r="AB1870" s="12" t="str">
        <x:f>IF(OR(M1870="unavailable",O1870="unavailable"),"不可评价",IF(AND(M1870="positive",O1870="positive"),"a",IF(O1870="positive","b",IF(M1870="positive","c","d"))))</x:f>
        <x:v>d</x:v>
      </x:c>
      <x:c r="AC1870" s="12" t="str">
        <x:f>IF(OR(R1870="unavailable",T1870="unavailable"),"不可评价",IF(AND(OR(R1870="positive",R1870="equivocal"),OR(T1870="positive",T1870="equivocal")),"a",IF(OR(T1870="positive",T1870="equivocal"),"b",IF(OR(R1870="positive",R1870="equivocal"),"c","d"))))</x:f>
        <x:v>d</x:v>
      </x:c>
      <x:c r="AD1870" s="12" t="str">
        <x:f>IF(OR(R1870="unavailable",T1870="unavailable"),"不可评价",IF(AND(R1870="positive",T1870="positive"),"a",IF(T1870="positive","b",IF(R1870="positive","c","d"))))</x:f>
        <x:v>d</x:v>
      </x:c>
      <x:c r="AE1870" s="12" t="str">
        <x:f>IF(OR(W1870="unavailable",Y1870="unavailable"),"不可评价",IF(AND(OR(W1870="positive",W1870="equivocal"),OR(Y1870="positive",Y1870="equivocal")),"a",IF(OR(Y1870="positive",Y1870="equivocal"),"b",IF(OR(W1870="positive",W1870="equivocal"),"c","d"))))</x:f>
        <x:v>d</x:v>
      </x:c>
      <x:c r="AF1870" s="12" t="str">
        <x:f>IF(OR(W1870="unavailable",Y1870="unavailable"),"不可评价",IF(AND(W1870="positive",Y1870="positive"),"a",IF(Y1870="positive","b",IF(W1870="positive","c","d"))))</x:f>
        <x:v>d</x:v>
      </x:c>
    </x:row>
    <x:row r="1871" ht="24" customHeight="1">
      <x:c r="A1871" s="12" t="str">
        <x:v>17780</x:v>
      </x:c>
      <x:c r="B1871" s="12" t="str">
        <x:v>923</x:v>
      </x:c>
      <x:c r="C1871" s="21" t="n">
        <x:v>35543.47204861111</x:v>
      </x:c>
      <x:c r="D1871" s="12" t="n">
        <x:v>65</x:v>
      </x:c>
      <x:c r="E1871" s="12" t="n">
        <x:v>0</x:v>
      </x:c>
      <x:c r="F1871" s="12" t="str">
        <x:v>未记录</x:v>
      </x:c>
      <x:c r="G1871" s="12" t="n">
        <x:v>1</x:v>
      </x:c>
      <x:c r="H1871" s="12" t="str">
        <x:v>{'NORM': 100.0, 'SR': 0.0}</x:v>
      </x:c>
      <x:c r="I1871" s="12" t="str">
        <x:v>[('NSR', 100.0), ('NST', 100.0), ('AB', 100.0)]</x:v>
      </x:c>
      <x:c r="J1871" s="12" t="str">
        <x:v>ptbxl_database.csv；ecg_id=17780；scp_codes</x:v>
      </x:c>
      <x:c r="K1871" s="12" t="str">
        <x:v>12sl_statements.csv；ecg_id=17780；statements_ext_snomed</x:v>
      </x:c>
      <x:c r="L1871" s="12"/>
      <x:c r="M1871" s="12" t="str">
        <x:v>negative</x:v>
      </x:c>
      <x:c r="N1871" s="12"/>
      <x:c r="O1871" s="12" t="str">
        <x:v>negative</x:v>
      </x:c>
      <x:c r="P1871" s="12" t="str">
        <x:f>IF(OR(M1871="unavailable",O1871="unavailable"),"不可评价",IF(OR(M1871="equivocal",O1871="equivocal"),"疑似",IF(AND(M1871="positive",O1871="positive"),"a",IF(O1871="positive","b",IF(M1871="positive","c","d")))))</x:f>
        <x:v>d</x:v>
      </x:c>
      <x:c r="Q1871" s="12"/>
      <x:c r="R1871" s="12" t="str">
        <x:v>negative</x:v>
      </x:c>
      <x:c r="S1871" s="12"/>
      <x:c r="T1871" s="12" t="str">
        <x:v>negative</x:v>
      </x:c>
      <x:c r="U1871" s="12" t="str">
        <x:f>IF(OR(R1871="unavailable",T1871="unavailable"),"不可评价",IF(OR(R1871="equivocal",T1871="equivocal"),"疑似",IF(AND(R1871="positive",T1871="positive"),"a",IF(T1871="positive","b",IF(R1871="positive","c","d")))))</x:f>
        <x:v>d</x:v>
      </x:c>
      <x:c r="V1871" s="12"/>
      <x:c r="W1871" s="12" t="str">
        <x:v>negative</x:v>
      </x:c>
      <x:c r="X1871" s="12"/>
      <x:c r="Y1871" s="12" t="str">
        <x:v>negative</x:v>
      </x:c>
      <x:c r="Z1871" s="12" t="str">
        <x:f>IF(OR(W1871="unavailable",Y1871="unavailable"),"不可评价",IF(OR(W1871="equivocal",Y1871="equivocal"),"疑似",IF(AND(W1871="positive",Y1871="positive"),"a",IF(Y1871="positive","b",IF(W1871="positive","c","d")))))</x:f>
        <x:v>d</x:v>
      </x:c>
      <x:c r="AA1871" s="12" t="str">
        <x:f>IF(OR(M1871="unavailable",O1871="unavailable"),"不可评价",IF(AND(OR(M1871="positive",M1871="equivocal"),OR(O1871="positive",O1871="equivocal")),"a",IF(OR(O1871="positive",O1871="equivocal"),"b",IF(OR(M1871="positive",M1871="equivocal"),"c","d"))))</x:f>
        <x:v>d</x:v>
      </x:c>
      <x:c r="AB1871" s="12" t="str">
        <x:f>IF(OR(M1871="unavailable",O1871="unavailable"),"不可评价",IF(AND(M1871="positive",O1871="positive"),"a",IF(O1871="positive","b",IF(M1871="positive","c","d"))))</x:f>
        <x:v>d</x:v>
      </x:c>
      <x:c r="AC1871" s="12" t="str">
        <x:f>IF(OR(R1871="unavailable",T1871="unavailable"),"不可评价",IF(AND(OR(R1871="positive",R1871="equivocal"),OR(T1871="positive",T1871="equivocal")),"a",IF(OR(T1871="positive",T1871="equivocal"),"b",IF(OR(R1871="positive",R1871="equivocal"),"c","d"))))</x:f>
        <x:v>d</x:v>
      </x:c>
      <x:c r="AD1871" s="12" t="str">
        <x:f>IF(OR(R1871="unavailable",T1871="unavailable"),"不可评价",IF(AND(R1871="positive",T1871="positive"),"a",IF(T1871="positive","b",IF(R1871="positive","c","d"))))</x:f>
        <x:v>d</x:v>
      </x:c>
      <x:c r="AE1871" s="12" t="str">
        <x:f>IF(OR(W1871="unavailable",Y1871="unavailable"),"不可评价",IF(AND(OR(W1871="positive",W1871="equivocal"),OR(Y1871="positive",Y1871="equivocal")),"a",IF(OR(Y1871="positive",Y1871="equivocal"),"b",IF(OR(W1871="positive",W1871="equivocal"),"c","d"))))</x:f>
        <x:v>d</x:v>
      </x:c>
      <x:c r="AF1871" s="12" t="str">
        <x:f>IF(OR(W1871="unavailable",Y1871="unavailable"),"不可评价",IF(AND(W1871="positive",Y1871="positive"),"a",IF(Y1871="positive","b",IF(W1871="positive","c","d"))))</x:f>
        <x:v>d</x:v>
      </x:c>
    </x:row>
    <x:row r="1872" ht="24" customHeight="1">
      <x:c r="A1872" s="12" t="str">
        <x:v>17805</x:v>
      </x:c>
      <x:c r="B1872" s="12" t="str">
        <x:v>4183</x:v>
      </x:c>
      <x:c r="C1872" s="21" t="n">
        <x:v>35548.47006944445</x:v>
      </x:c>
      <x:c r="D1872" s="12" t="n">
        <x:v>43</x:v>
      </x:c>
      <x:c r="E1872" s="12" t="n">
        <x:v>0</x:v>
      </x:c>
      <x:c r="F1872" s="12" t="str">
        <x:v>存在</x:v>
      </x:c>
      <x:c r="G1872" s="12" t="n">
        <x:v>1</x:v>
      </x:c>
      <x:c r="H1872" s="12" t="str">
        <x:v>{'NORM': 80.0, 'HVOLT': 0.0, 'SR': 0.0}</x:v>
      </x:c>
      <x:c r="I1872" s="12" t="str">
        <x:v>[('NSR', 100.0), ('BORDE', 100.0)]</x:v>
      </x:c>
      <x:c r="J1872" s="12" t="str">
        <x:v>ptbxl_database.csv；ecg_id=17805；scp_codes</x:v>
      </x:c>
      <x:c r="K1872" s="12" t="str">
        <x:v>12sl_statements.csv；ecg_id=17805；statements_ext_snomed</x:v>
      </x:c>
      <x:c r="L1872" s="12"/>
      <x:c r="M1872" s="12" t="str">
        <x:v>negative</x:v>
      </x:c>
      <x:c r="N1872" s="12"/>
      <x:c r="O1872" s="12" t="str">
        <x:v>negative</x:v>
      </x:c>
      <x:c r="P1872" s="12" t="str">
        <x:f>IF(OR(M1872="unavailable",O1872="unavailable"),"不可评价",IF(OR(M1872="equivocal",O1872="equivocal"),"疑似",IF(AND(M1872="positive",O1872="positive"),"a",IF(O1872="positive","b",IF(M1872="positive","c","d")))))</x:f>
        <x:v>d</x:v>
      </x:c>
      <x:c r="Q1872" s="12"/>
      <x:c r="R1872" s="12" t="str">
        <x:v>negative</x:v>
      </x:c>
      <x:c r="S1872" s="12"/>
      <x:c r="T1872" s="12" t="str">
        <x:v>negative</x:v>
      </x:c>
      <x:c r="U1872" s="12" t="str">
        <x:f>IF(OR(R1872="unavailable",T1872="unavailable"),"不可评价",IF(OR(R1872="equivocal",T1872="equivocal"),"疑似",IF(AND(R1872="positive",T1872="positive"),"a",IF(T1872="positive","b",IF(R1872="positive","c","d")))))</x:f>
        <x:v>d</x:v>
      </x:c>
      <x:c r="V1872" s="12"/>
      <x:c r="W1872" s="12" t="str">
        <x:v>negative</x:v>
      </x:c>
      <x:c r="X1872" s="12"/>
      <x:c r="Y1872" s="12" t="str">
        <x:v>negative</x:v>
      </x:c>
      <x:c r="Z1872" s="12" t="str">
        <x:f>IF(OR(W1872="unavailable",Y1872="unavailable"),"不可评价",IF(OR(W1872="equivocal",Y1872="equivocal"),"疑似",IF(AND(W1872="positive",Y1872="positive"),"a",IF(Y1872="positive","b",IF(W1872="positive","c","d")))))</x:f>
        <x:v>d</x:v>
      </x:c>
      <x:c r="AA1872" s="12" t="str">
        <x:f>IF(OR(M1872="unavailable",O1872="unavailable"),"不可评价",IF(AND(OR(M1872="positive",M1872="equivocal"),OR(O1872="positive",O1872="equivocal")),"a",IF(OR(O1872="positive",O1872="equivocal"),"b",IF(OR(M1872="positive",M1872="equivocal"),"c","d"))))</x:f>
        <x:v>d</x:v>
      </x:c>
      <x:c r="AB1872" s="12" t="str">
        <x:f>IF(OR(M1872="unavailable",O1872="unavailable"),"不可评价",IF(AND(M1872="positive",O1872="positive"),"a",IF(O1872="positive","b",IF(M1872="positive","c","d"))))</x:f>
        <x:v>d</x:v>
      </x:c>
      <x:c r="AC1872" s="12" t="str">
        <x:f>IF(OR(R1872="unavailable",T1872="unavailable"),"不可评价",IF(AND(OR(R1872="positive",R1872="equivocal"),OR(T1872="positive",T1872="equivocal")),"a",IF(OR(T1872="positive",T1872="equivocal"),"b",IF(OR(R1872="positive",R1872="equivocal"),"c","d"))))</x:f>
        <x:v>d</x:v>
      </x:c>
      <x:c r="AD1872" s="12" t="str">
        <x:f>IF(OR(R1872="unavailable",T1872="unavailable"),"不可评价",IF(AND(R1872="positive",T1872="positive"),"a",IF(T1872="positive","b",IF(R1872="positive","c","d"))))</x:f>
        <x:v>d</x:v>
      </x:c>
      <x:c r="AE1872" s="12" t="str">
        <x:f>IF(OR(W1872="unavailable",Y1872="unavailable"),"不可评价",IF(AND(OR(W1872="positive",W1872="equivocal"),OR(Y1872="positive",Y1872="equivocal")),"a",IF(OR(Y1872="positive",Y1872="equivocal"),"b",IF(OR(W1872="positive",W1872="equivocal"),"c","d"))))</x:f>
        <x:v>d</x:v>
      </x:c>
      <x:c r="AF1872" s="12" t="str">
        <x:f>IF(OR(W1872="unavailable",Y1872="unavailable"),"不可评价",IF(AND(W1872="positive",Y1872="positive"),"a",IF(Y1872="positive","b",IF(W1872="positive","c","d"))))</x:f>
        <x:v>d</x:v>
      </x:c>
    </x:row>
    <x:row r="1873" ht="24" customHeight="1">
      <x:c r="A1873" s="12" t="str">
        <x:v>17808</x:v>
      </x:c>
      <x:c r="B1873" s="12" t="str">
        <x:v>3690</x:v>
      </x:c>
      <x:c r="C1873" s="21" t="n">
        <x:v>35548.742268518516</x:v>
      </x:c>
      <x:c r="D1873" s="12" t="n">
        <x:v>75</x:v>
      </x:c>
      <x:c r="E1873" s="12" t="n">
        <x:v>0</x:v>
      </x:c>
      <x:c r="F1873" s="12" t="str">
        <x:v>未记录</x:v>
      </x:c>
      <x:c r="G1873" s="12" t="n">
        <x:v>1</x:v>
      </x:c>
      <x:c r="H1873" s="12" t="str">
        <x:v>{'IMI': 35.0, 'QWAVE': 0.0, 'SR': 0.0}</x:v>
      </x:c>
      <x:c r="I1873" s="12" t="str">
        <x:v>[('NSR', 100.0), ('NML', 100.0)]</x:v>
      </x:c>
      <x:c r="J1873" s="12" t="str">
        <x:v>ptbxl_database.csv；ecg_id=17808；scp_codes</x:v>
      </x:c>
      <x:c r="K1873" s="12" t="str">
        <x:v>12sl_statements.csv；ecg_id=17808；statements_ext_snomed</x:v>
      </x:c>
      <x:c r="L1873" s="12"/>
      <x:c r="M1873" s="12" t="str">
        <x:v>negative</x:v>
      </x:c>
      <x:c r="N1873" s="12"/>
      <x:c r="O1873" s="12" t="str">
        <x:v>negative</x:v>
      </x:c>
      <x:c r="P1873" s="12" t="str">
        <x:f>IF(OR(M1873="unavailable",O1873="unavailable"),"不可评价",IF(OR(M1873="equivocal",O1873="equivocal"),"疑似",IF(AND(M1873="positive",O1873="positive"),"a",IF(O1873="positive","b",IF(M1873="positive","c","d")))))</x:f>
        <x:v>d</x:v>
      </x:c>
      <x:c r="Q1873" s="12"/>
      <x:c r="R1873" s="12" t="str">
        <x:v>negative</x:v>
      </x:c>
      <x:c r="S1873" s="12"/>
      <x:c r="T1873" s="12" t="str">
        <x:v>negative</x:v>
      </x:c>
      <x:c r="U1873" s="12" t="str">
        <x:f>IF(OR(R1873="unavailable",T1873="unavailable"),"不可评价",IF(OR(R1873="equivocal",T1873="equivocal"),"疑似",IF(AND(R1873="positive",T1873="positive"),"a",IF(T1873="positive","b",IF(R1873="positive","c","d")))))</x:f>
        <x:v>d</x:v>
      </x:c>
      <x:c r="V1873" s="12"/>
      <x:c r="W1873" s="12" t="str">
        <x:v>negative</x:v>
      </x:c>
      <x:c r="X1873" s="12"/>
      <x:c r="Y1873" s="12" t="str">
        <x:v>negative</x:v>
      </x:c>
      <x:c r="Z1873" s="12" t="str">
        <x:f>IF(OR(W1873="unavailable",Y1873="unavailable"),"不可评价",IF(OR(W1873="equivocal",Y1873="equivocal"),"疑似",IF(AND(W1873="positive",Y1873="positive"),"a",IF(Y1873="positive","b",IF(W1873="positive","c","d")))))</x:f>
        <x:v>d</x:v>
      </x:c>
      <x:c r="AA1873" s="12" t="str">
        <x:f>IF(OR(M1873="unavailable",O1873="unavailable"),"不可评价",IF(AND(OR(M1873="positive",M1873="equivocal"),OR(O1873="positive",O1873="equivocal")),"a",IF(OR(O1873="positive",O1873="equivocal"),"b",IF(OR(M1873="positive",M1873="equivocal"),"c","d"))))</x:f>
        <x:v>d</x:v>
      </x:c>
      <x:c r="AB1873" s="12" t="str">
        <x:f>IF(OR(M1873="unavailable",O1873="unavailable"),"不可评价",IF(AND(M1873="positive",O1873="positive"),"a",IF(O1873="positive","b",IF(M1873="positive","c","d"))))</x:f>
        <x:v>d</x:v>
      </x:c>
      <x:c r="AC1873" s="12" t="str">
        <x:f>IF(OR(R1873="unavailable",T1873="unavailable"),"不可评价",IF(AND(OR(R1873="positive",R1873="equivocal"),OR(T1873="positive",T1873="equivocal")),"a",IF(OR(T1873="positive",T1873="equivocal"),"b",IF(OR(R1873="positive",R1873="equivocal"),"c","d"))))</x:f>
        <x:v>d</x:v>
      </x:c>
      <x:c r="AD1873" s="12" t="str">
        <x:f>IF(OR(R1873="unavailable",T1873="unavailable"),"不可评价",IF(AND(R1873="positive",T1873="positive"),"a",IF(T1873="positive","b",IF(R1873="positive","c","d"))))</x:f>
        <x:v>d</x:v>
      </x:c>
      <x:c r="AE1873" s="12" t="str">
        <x:f>IF(OR(W1873="unavailable",Y1873="unavailable"),"不可评价",IF(AND(OR(W1873="positive",W1873="equivocal"),OR(Y1873="positive",Y1873="equivocal")),"a",IF(OR(Y1873="positive",Y1873="equivocal"),"b",IF(OR(W1873="positive",W1873="equivocal"),"c","d"))))</x:f>
        <x:v>d</x:v>
      </x:c>
      <x:c r="AF1873" s="12" t="str">
        <x:f>IF(OR(W1873="unavailable",Y1873="unavailable"),"不可评价",IF(AND(W1873="positive",Y1873="positive"),"a",IF(Y1873="positive","b",IF(W1873="positive","c","d"))))</x:f>
        <x:v>d</x:v>
      </x:c>
    </x:row>
    <x:row r="1874" ht="24" customHeight="1">
      <x:c r="A1874" s="12" t="str">
        <x:v>17818</x:v>
      </x:c>
      <x:c r="B1874" s="12" t="str">
        <x:v>7839</x:v>
      </x:c>
      <x:c r="C1874" s="21" t="n">
        <x:v>35549.70649305556</x:v>
      </x:c>
      <x:c r="D1874" s="12" t="n">
        <x:v>57</x:v>
      </x:c>
      <x:c r="E1874" s="12" t="n">
        <x:v>0</x:v>
      </x:c>
      <x:c r="F1874" s="12" t="str">
        <x:v>未记录</x:v>
      </x:c>
      <x:c r="G1874" s="12" t="n">
        <x:v>1</x:v>
      </x:c>
      <x:c r="H1874" s="12" t="str">
        <x:v>{'NDT': 100.0, 'NT_': 0.0, 'SR': 0.0}</x:v>
      </x:c>
      <x:c r="I1874" s="12" t="str">
        <x:v>[('NSR', 100.0), ('NT', 100.0), ('AB', 100.0)]</x:v>
      </x:c>
      <x:c r="J1874" s="12" t="str">
        <x:v>ptbxl_database.csv；ecg_id=17818；scp_codes</x:v>
      </x:c>
      <x:c r="K1874" s="12" t="str">
        <x:v>12sl_statements.csv；ecg_id=17818；statements_ext_snomed</x:v>
      </x:c>
      <x:c r="L1874" s="12"/>
      <x:c r="M1874" s="12" t="str">
        <x:v>negative</x:v>
      </x:c>
      <x:c r="N1874" s="12"/>
      <x:c r="O1874" s="12" t="str">
        <x:v>negative</x:v>
      </x:c>
      <x:c r="P1874" s="12" t="str">
        <x:f>IF(OR(M1874="unavailable",O1874="unavailable"),"不可评价",IF(OR(M1874="equivocal",O1874="equivocal"),"疑似",IF(AND(M1874="positive",O1874="positive"),"a",IF(O1874="positive","b",IF(M1874="positive","c","d")))))</x:f>
        <x:v>d</x:v>
      </x:c>
      <x:c r="Q1874" s="12"/>
      <x:c r="R1874" s="12" t="str">
        <x:v>negative</x:v>
      </x:c>
      <x:c r="S1874" s="12"/>
      <x:c r="T1874" s="12" t="str">
        <x:v>negative</x:v>
      </x:c>
      <x:c r="U1874" s="12" t="str">
        <x:f>IF(OR(R1874="unavailable",T1874="unavailable"),"不可评价",IF(OR(R1874="equivocal",T1874="equivocal"),"疑似",IF(AND(R1874="positive",T1874="positive"),"a",IF(T1874="positive","b",IF(R1874="positive","c","d")))))</x:f>
        <x:v>d</x:v>
      </x:c>
      <x:c r="V1874" s="12"/>
      <x:c r="W1874" s="12" t="str">
        <x:v>negative</x:v>
      </x:c>
      <x:c r="X1874" s="12"/>
      <x:c r="Y1874" s="12" t="str">
        <x:v>negative</x:v>
      </x:c>
      <x:c r="Z1874" s="12" t="str">
        <x:f>IF(OR(W1874="unavailable",Y1874="unavailable"),"不可评价",IF(OR(W1874="equivocal",Y1874="equivocal"),"疑似",IF(AND(W1874="positive",Y1874="positive"),"a",IF(Y1874="positive","b",IF(W1874="positive","c","d")))))</x:f>
        <x:v>d</x:v>
      </x:c>
      <x:c r="AA1874" s="12" t="str">
        <x:f>IF(OR(M1874="unavailable",O1874="unavailable"),"不可评价",IF(AND(OR(M1874="positive",M1874="equivocal"),OR(O1874="positive",O1874="equivocal")),"a",IF(OR(O1874="positive",O1874="equivocal"),"b",IF(OR(M1874="positive",M1874="equivocal"),"c","d"))))</x:f>
        <x:v>d</x:v>
      </x:c>
      <x:c r="AB1874" s="12" t="str">
        <x:f>IF(OR(M1874="unavailable",O1874="unavailable"),"不可评价",IF(AND(M1874="positive",O1874="positive"),"a",IF(O1874="positive","b",IF(M1874="positive","c","d"))))</x:f>
        <x:v>d</x:v>
      </x:c>
      <x:c r="AC1874" s="12" t="str">
        <x:f>IF(OR(R1874="unavailable",T1874="unavailable"),"不可评价",IF(AND(OR(R1874="positive",R1874="equivocal"),OR(T1874="positive",T1874="equivocal")),"a",IF(OR(T1874="positive",T1874="equivocal"),"b",IF(OR(R1874="positive",R1874="equivocal"),"c","d"))))</x:f>
        <x:v>d</x:v>
      </x:c>
      <x:c r="AD1874" s="12" t="str">
        <x:f>IF(OR(R1874="unavailable",T1874="unavailable"),"不可评价",IF(AND(R1874="positive",T1874="positive"),"a",IF(T1874="positive","b",IF(R1874="positive","c","d"))))</x:f>
        <x:v>d</x:v>
      </x:c>
      <x:c r="AE1874" s="12" t="str">
        <x:f>IF(OR(W1874="unavailable",Y1874="unavailable"),"不可评价",IF(AND(OR(W1874="positive",W1874="equivocal"),OR(Y1874="positive",Y1874="equivocal")),"a",IF(OR(Y1874="positive",Y1874="equivocal"),"b",IF(OR(W1874="positive",W1874="equivocal"),"c","d"))))</x:f>
        <x:v>d</x:v>
      </x:c>
      <x:c r="AF1874" s="12" t="str">
        <x:f>IF(OR(W1874="unavailable",Y1874="unavailable"),"不可评价",IF(AND(W1874="positive",Y1874="positive"),"a",IF(Y1874="positive","b",IF(W1874="positive","c","d"))))</x:f>
        <x:v>d</x:v>
      </x:c>
    </x:row>
    <x:row r="1875" ht="24" customHeight="1">
      <x:c r="A1875" s="12" t="str">
        <x:v>17827</x:v>
      </x:c>
      <x:c r="B1875" s="12" t="str">
        <x:v>7136</x:v>
      </x:c>
      <x:c r="C1875" s="21" t="n">
        <x:v>35553.323483796295</x:v>
      </x:c>
      <x:c r="D1875" s="12" t="n">
        <x:v>81</x:v>
      </x:c>
      <x:c r="E1875" s="12" t="n">
        <x:v>1</x:v>
      </x:c>
      <x:c r="F1875" s="12" t="str">
        <x:v>未记录</x:v>
      </x:c>
      <x:c r="G1875" s="12" t="n">
        <x:v>1</x:v>
      </x:c>
      <x:c r="H1875" s="12" t="str">
        <x:v>{'NORM': 100.0, 'PAC': 0.0, 'STD_': 0.0, 'SR': 0.0}</x:v>
      </x:c>
      <x:c r="I1875" s="12" t="str">
        <x:v>[('SRTH', 100.0), ('PAC', 100.0), ('NST', 100.0), ('AB', 100.0)]</x:v>
      </x:c>
      <x:c r="J1875" s="12" t="str">
        <x:v>ptbxl_database.csv；ecg_id=17827；scp_codes</x:v>
      </x:c>
      <x:c r="K1875" s="12" t="str">
        <x:v>12sl_statements.csv；ecg_id=17827；statements_ext_snomed</x:v>
      </x:c>
      <x:c r="L1875" s="12"/>
      <x:c r="M1875" s="12" t="str">
        <x:v>negative</x:v>
      </x:c>
      <x:c r="N1875" s="12"/>
      <x:c r="O1875" s="12" t="str">
        <x:v>negative</x:v>
      </x:c>
      <x:c r="P1875" s="12" t="str">
        <x:f>IF(OR(M1875="unavailable",O1875="unavailable"),"不可评价",IF(OR(M1875="equivocal",O1875="equivocal"),"疑似",IF(AND(M1875="positive",O1875="positive"),"a",IF(O1875="positive","b",IF(M1875="positive","c","d")))))</x:f>
        <x:v>d</x:v>
      </x:c>
      <x:c r="Q1875" s="12"/>
      <x:c r="R1875" s="12" t="str">
        <x:v>negative</x:v>
      </x:c>
      <x:c r="S1875" s="12"/>
      <x:c r="T1875" s="12" t="str">
        <x:v>negative</x:v>
      </x:c>
      <x:c r="U1875" s="12" t="str">
        <x:f>IF(OR(R1875="unavailable",T1875="unavailable"),"不可评价",IF(OR(R1875="equivocal",T1875="equivocal"),"疑似",IF(AND(R1875="positive",T1875="positive"),"a",IF(T1875="positive","b",IF(R1875="positive","c","d")))))</x:f>
        <x:v>d</x:v>
      </x:c>
      <x:c r="V1875" s="12"/>
      <x:c r="W1875" s="12" t="str">
        <x:v>negative</x:v>
      </x:c>
      <x:c r="X1875" s="12"/>
      <x:c r="Y1875" s="12" t="str">
        <x:v>negative</x:v>
      </x:c>
      <x:c r="Z1875" s="12" t="str">
        <x:f>IF(OR(W1875="unavailable",Y1875="unavailable"),"不可评价",IF(OR(W1875="equivocal",Y1875="equivocal"),"疑似",IF(AND(W1875="positive",Y1875="positive"),"a",IF(Y1875="positive","b",IF(W1875="positive","c","d")))))</x:f>
        <x:v>d</x:v>
      </x:c>
      <x:c r="AA1875" s="12" t="str">
        <x:f>IF(OR(M1875="unavailable",O1875="unavailable"),"不可评价",IF(AND(OR(M1875="positive",M1875="equivocal"),OR(O1875="positive",O1875="equivocal")),"a",IF(OR(O1875="positive",O1875="equivocal"),"b",IF(OR(M1875="positive",M1875="equivocal"),"c","d"))))</x:f>
        <x:v>d</x:v>
      </x:c>
      <x:c r="AB1875" s="12" t="str">
        <x:f>IF(OR(M1875="unavailable",O1875="unavailable"),"不可评价",IF(AND(M1875="positive",O1875="positive"),"a",IF(O1875="positive","b",IF(M1875="positive","c","d"))))</x:f>
        <x:v>d</x:v>
      </x:c>
      <x:c r="AC1875" s="12" t="str">
        <x:f>IF(OR(R1875="unavailable",T1875="unavailable"),"不可评价",IF(AND(OR(R1875="positive",R1875="equivocal"),OR(T1875="positive",T1875="equivocal")),"a",IF(OR(T1875="positive",T1875="equivocal"),"b",IF(OR(R1875="positive",R1875="equivocal"),"c","d"))))</x:f>
        <x:v>d</x:v>
      </x:c>
      <x:c r="AD1875" s="12" t="str">
        <x:f>IF(OR(R1875="unavailable",T1875="unavailable"),"不可评价",IF(AND(R1875="positive",T1875="positive"),"a",IF(T1875="positive","b",IF(R1875="positive","c","d"))))</x:f>
        <x:v>d</x:v>
      </x:c>
      <x:c r="AE1875" s="12" t="str">
        <x:f>IF(OR(W1875="unavailable",Y1875="unavailable"),"不可评价",IF(AND(OR(W1875="positive",W1875="equivocal"),OR(Y1875="positive",Y1875="equivocal")),"a",IF(OR(Y1875="positive",Y1875="equivocal"),"b",IF(OR(W1875="positive",W1875="equivocal"),"c","d"))))</x:f>
        <x:v>d</x:v>
      </x:c>
      <x:c r="AF1875" s="12" t="str">
        <x:f>IF(OR(W1875="unavailable",Y1875="unavailable"),"不可评价",IF(AND(W1875="positive",Y1875="positive"),"a",IF(Y1875="positive","b",IF(W1875="positive","c","d"))))</x:f>
        <x:v>d</x:v>
      </x:c>
    </x:row>
    <x:row r="1876" ht="24" customHeight="1">
      <x:c r="A1876" s="12" t="str">
        <x:v>17839</x:v>
      </x:c>
      <x:c r="B1876" s="12" t="str">
        <x:v>7047</x:v>
      </x:c>
      <x:c r="C1876" s="21" t="n">
        <x:v>35553.88178240741</x:v>
      </x:c>
      <x:c r="D1876" s="12" t="n">
        <x:v>72</x:v>
      </x:c>
      <x:c r="E1876" s="12" t="n">
        <x:v>1</x:v>
      </x:c>
      <x:c r="F1876" s="12" t="str">
        <x:v>未记录</x:v>
      </x:c>
      <x:c r="G1876" s="12" t="n">
        <x:v>1</x:v>
      </x:c>
      <x:c r="H1876" s="12" t="str">
        <x:v>{'NDT': 100.0, 'NT_': 0.0, 'SR': 0.0}</x:v>
      </x:c>
      <x:c r="I1876" s="12" t="str">
        <x:v>[('NSR', 100.0), ('NT', 100.0), ('LNGQT', 100.0), ('AB', 100.0)]</x:v>
      </x:c>
      <x:c r="J1876" s="12" t="str">
        <x:v>ptbxl_database.csv；ecg_id=17839；scp_codes</x:v>
      </x:c>
      <x:c r="K1876" s="12" t="str">
        <x:v>12sl_statements.csv；ecg_id=17839；statements_ext_snomed</x:v>
      </x:c>
      <x:c r="L1876" s="12"/>
      <x:c r="M1876" s="12" t="str">
        <x:v>negative</x:v>
      </x:c>
      <x:c r="N1876" s="12"/>
      <x:c r="O1876" s="12" t="str">
        <x:v>negative</x:v>
      </x:c>
      <x:c r="P1876" s="12" t="str">
        <x:f>IF(OR(M1876="unavailable",O1876="unavailable"),"不可评价",IF(OR(M1876="equivocal",O1876="equivocal"),"疑似",IF(AND(M1876="positive",O1876="positive"),"a",IF(O1876="positive","b",IF(M1876="positive","c","d")))))</x:f>
        <x:v>d</x:v>
      </x:c>
      <x:c r="Q1876" s="12"/>
      <x:c r="R1876" s="12" t="str">
        <x:v>negative</x:v>
      </x:c>
      <x:c r="S1876" s="12"/>
      <x:c r="T1876" s="12" t="str">
        <x:v>negative</x:v>
      </x:c>
      <x:c r="U1876" s="12" t="str">
        <x:f>IF(OR(R1876="unavailable",T1876="unavailable"),"不可评价",IF(OR(R1876="equivocal",T1876="equivocal"),"疑似",IF(AND(R1876="positive",T1876="positive"),"a",IF(T1876="positive","b",IF(R1876="positive","c","d")))))</x:f>
        <x:v>d</x:v>
      </x:c>
      <x:c r="V1876" s="12"/>
      <x:c r="W1876" s="12" t="str">
        <x:v>negative</x:v>
      </x:c>
      <x:c r="X1876" s="12"/>
      <x:c r="Y1876" s="12" t="str">
        <x:v>negative</x:v>
      </x:c>
      <x:c r="Z1876" s="12" t="str">
        <x:f>IF(OR(W1876="unavailable",Y1876="unavailable"),"不可评价",IF(OR(W1876="equivocal",Y1876="equivocal"),"疑似",IF(AND(W1876="positive",Y1876="positive"),"a",IF(Y1876="positive","b",IF(W1876="positive","c","d")))))</x:f>
        <x:v>d</x:v>
      </x:c>
      <x:c r="AA1876" s="12" t="str">
        <x:f>IF(OR(M1876="unavailable",O1876="unavailable"),"不可评价",IF(AND(OR(M1876="positive",M1876="equivocal"),OR(O1876="positive",O1876="equivocal")),"a",IF(OR(O1876="positive",O1876="equivocal"),"b",IF(OR(M1876="positive",M1876="equivocal"),"c","d"))))</x:f>
        <x:v>d</x:v>
      </x:c>
      <x:c r="AB1876" s="12" t="str">
        <x:f>IF(OR(M1876="unavailable",O1876="unavailable"),"不可评价",IF(AND(M1876="positive",O1876="positive"),"a",IF(O1876="positive","b",IF(M1876="positive","c","d"))))</x:f>
        <x:v>d</x:v>
      </x:c>
      <x:c r="AC1876" s="12" t="str">
        <x:f>IF(OR(R1876="unavailable",T1876="unavailable"),"不可评价",IF(AND(OR(R1876="positive",R1876="equivocal"),OR(T1876="positive",T1876="equivocal")),"a",IF(OR(T1876="positive",T1876="equivocal"),"b",IF(OR(R1876="positive",R1876="equivocal"),"c","d"))))</x:f>
        <x:v>d</x:v>
      </x:c>
      <x:c r="AD1876" s="12" t="str">
        <x:f>IF(OR(R1876="unavailable",T1876="unavailable"),"不可评价",IF(AND(R1876="positive",T1876="positive"),"a",IF(T1876="positive","b",IF(R1876="positive","c","d"))))</x:f>
        <x:v>d</x:v>
      </x:c>
      <x:c r="AE1876" s="12" t="str">
        <x:f>IF(OR(W1876="unavailable",Y1876="unavailable"),"不可评价",IF(AND(OR(W1876="positive",W1876="equivocal"),OR(Y1876="positive",Y1876="equivocal")),"a",IF(OR(Y1876="positive",Y1876="equivocal"),"b",IF(OR(W1876="positive",W1876="equivocal"),"c","d"))))</x:f>
        <x:v>d</x:v>
      </x:c>
      <x:c r="AF1876" s="12" t="str">
        <x:f>IF(OR(W1876="unavailable",Y1876="unavailable"),"不可评价",IF(AND(W1876="positive",Y1876="positive"),"a",IF(Y1876="positive","b",IF(W1876="positive","c","d"))))</x:f>
        <x:v>d</x:v>
      </x:c>
    </x:row>
    <x:row r="1877" ht="39" customHeight="1">
      <x:c r="A1877" s="12" t="str">
        <x:v>17860</x:v>
      </x:c>
      <x:c r="B1877" s="12" t="str">
        <x:v>2596</x:v>
      </x:c>
      <x:c r="C1877" s="21" t="n">
        <x:v>35555.52768518519</x:v>
      </x:c>
      <x:c r="D1877" s="12" t="n">
        <x:v>24</x:v>
      </x:c>
      <x:c r="E1877" s="12" t="n">
        <x:v>1</x:v>
      </x:c>
      <x:c r="F1877" s="12" t="str">
        <x:v>未记录</x:v>
      </x:c>
      <x:c r="G1877" s="12" t="n">
        <x:v>1</x:v>
      </x:c>
      <x:c r="H1877" s="12" t="str">
        <x:v>{'LPFB': 100.0, 'NST_': 0.0, 'SARRH': 0.0}</x:v>
      </x:c>
      <x:c r="I1877" s="12" t="str">
        <x:v>[('SBRAD', 100.0), ('MSAR', 100.0), ('FAV', 100.0), ('RAE', 100.0), ('RAD4', 100.0), ('PULD', 100.0), ('NT', 100.0), ('AB', 100.0)]</x:v>
      </x:c>
      <x:c r="J1877" s="12" t="str">
        <x:v>ptbxl_database.csv；ecg_id=17860；scp_codes</x:v>
      </x:c>
      <x:c r="K1877" s="12" t="str">
        <x:v>12sl_statements.csv；ecg_id=17860；statements_ext_snomed</x:v>
      </x:c>
      <x:c r="L1877" s="12"/>
      <x:c r="M1877" s="12" t="str">
        <x:v>negative</x:v>
      </x:c>
      <x:c r="N1877" s="12"/>
      <x:c r="O1877" s="12" t="str">
        <x:v>negative</x:v>
      </x:c>
      <x:c r="P1877" s="12" t="str">
        <x:f>IF(OR(M1877="unavailable",O1877="unavailable"),"不可评价",IF(OR(M1877="equivocal",O1877="equivocal"),"疑似",IF(AND(M1877="positive",O1877="positive"),"a",IF(O1877="positive","b",IF(M1877="positive","c","d")))))</x:f>
        <x:v>d</x:v>
      </x:c>
      <x:c r="Q1877" s="12"/>
      <x:c r="R1877" s="12" t="str">
        <x:v>negative</x:v>
      </x:c>
      <x:c r="S1877" s="12"/>
      <x:c r="T1877" s="12" t="str">
        <x:v>negative</x:v>
      </x:c>
      <x:c r="U1877" s="12" t="str">
        <x:f>IF(OR(R1877="unavailable",T1877="unavailable"),"不可评价",IF(OR(R1877="equivocal",T1877="equivocal"),"疑似",IF(AND(R1877="positive",T1877="positive"),"a",IF(T1877="positive","b",IF(R1877="positive","c","d")))))</x:f>
        <x:v>d</x:v>
      </x:c>
      <x:c r="V1877" s="12"/>
      <x:c r="W1877" s="12" t="str">
        <x:v>negative</x:v>
      </x:c>
      <x:c r="X1877" s="12"/>
      <x:c r="Y1877" s="12" t="str">
        <x:v>negative</x:v>
      </x:c>
      <x:c r="Z1877" s="12" t="str">
        <x:f>IF(OR(W1877="unavailable",Y1877="unavailable"),"不可评价",IF(OR(W1877="equivocal",Y1877="equivocal"),"疑似",IF(AND(W1877="positive",Y1877="positive"),"a",IF(Y1877="positive","b",IF(W1877="positive","c","d")))))</x:f>
        <x:v>d</x:v>
      </x:c>
      <x:c r="AA1877" s="12" t="str">
        <x:f>IF(OR(M1877="unavailable",O1877="unavailable"),"不可评价",IF(AND(OR(M1877="positive",M1877="equivocal"),OR(O1877="positive",O1877="equivocal")),"a",IF(OR(O1877="positive",O1877="equivocal"),"b",IF(OR(M1877="positive",M1877="equivocal"),"c","d"))))</x:f>
        <x:v>d</x:v>
      </x:c>
      <x:c r="AB1877" s="12" t="str">
        <x:f>IF(OR(M1877="unavailable",O1877="unavailable"),"不可评价",IF(AND(M1877="positive",O1877="positive"),"a",IF(O1877="positive","b",IF(M1877="positive","c","d"))))</x:f>
        <x:v>d</x:v>
      </x:c>
      <x:c r="AC1877" s="12" t="str">
        <x:f>IF(OR(R1877="unavailable",T1877="unavailable"),"不可评价",IF(AND(OR(R1877="positive",R1877="equivocal"),OR(T1877="positive",T1877="equivocal")),"a",IF(OR(T1877="positive",T1877="equivocal"),"b",IF(OR(R1877="positive",R1877="equivocal"),"c","d"))))</x:f>
        <x:v>d</x:v>
      </x:c>
      <x:c r="AD1877" s="12" t="str">
        <x:f>IF(OR(R1877="unavailable",T1877="unavailable"),"不可评价",IF(AND(R1877="positive",T1877="positive"),"a",IF(T1877="positive","b",IF(R1877="positive","c","d"))))</x:f>
        <x:v>d</x:v>
      </x:c>
      <x:c r="AE1877" s="12" t="str">
        <x:f>IF(OR(W1877="unavailable",Y1877="unavailable"),"不可评价",IF(AND(OR(W1877="positive",W1877="equivocal"),OR(Y1877="positive",Y1877="equivocal")),"a",IF(OR(Y1877="positive",Y1877="equivocal"),"b",IF(OR(W1877="positive",W1877="equivocal"),"c","d"))))</x:f>
        <x:v>d</x:v>
      </x:c>
      <x:c r="AF1877" s="12" t="str">
        <x:f>IF(OR(W1877="unavailable",Y1877="unavailable"),"不可评价",IF(AND(W1877="positive",Y1877="positive"),"a",IF(Y1877="positive","b",IF(W1877="positive","c","d"))))</x:f>
        <x:v>d</x:v>
      </x:c>
    </x:row>
    <x:row r="1878" ht="24" customHeight="1">
      <x:c r="A1878" s="12" t="str">
        <x:v>17865</x:v>
      </x:c>
      <x:c r="B1878" s="12" t="str">
        <x:v>1048</x:v>
      </x:c>
      <x:c r="C1878" s="21" t="n">
        <x:v>35555.67287037037</x:v>
      </x:c>
      <x:c r="D1878" s="12" t="n">
        <x:v>41</x:v>
      </x:c>
      <x:c r="E1878" s="12" t="n">
        <x:v>0</x:v>
      </x:c>
      <x:c r="F1878" s="12" t="str">
        <x:v>未记录</x:v>
      </x:c>
      <x:c r="G1878" s="12" t="n">
        <x:v>1</x:v>
      </x:c>
      <x:c r="H1878" s="12" t="str">
        <x:v>{'NORM': 100.0, 'SR': 0.0}</x:v>
      </x:c>
      <x:c r="I1878" s="12" t="str">
        <x:v>[('SRTH', 100.0), ('FAV', 100.0), ('ABR', 100.0)]</x:v>
      </x:c>
      <x:c r="J1878" s="12" t="str">
        <x:v>ptbxl_database.csv；ecg_id=17865；scp_codes</x:v>
      </x:c>
      <x:c r="K1878" s="12" t="str">
        <x:v>12sl_statements.csv；ecg_id=17865；statements_ext_snomed</x:v>
      </x:c>
      <x:c r="L1878" s="12"/>
      <x:c r="M1878" s="12" t="str">
        <x:v>negative</x:v>
      </x:c>
      <x:c r="N1878" s="12"/>
      <x:c r="O1878" s="12" t="str">
        <x:v>negative</x:v>
      </x:c>
      <x:c r="P1878" s="12" t="str">
        <x:f>IF(OR(M1878="unavailable",O1878="unavailable"),"不可评价",IF(OR(M1878="equivocal",O1878="equivocal"),"疑似",IF(AND(M1878="positive",O1878="positive"),"a",IF(O1878="positive","b",IF(M1878="positive","c","d")))))</x:f>
        <x:v>d</x:v>
      </x:c>
      <x:c r="Q1878" s="12"/>
      <x:c r="R1878" s="12" t="str">
        <x:v>negative</x:v>
      </x:c>
      <x:c r="S1878" s="12"/>
      <x:c r="T1878" s="12" t="str">
        <x:v>negative</x:v>
      </x:c>
      <x:c r="U1878" s="12" t="str">
        <x:f>IF(OR(R1878="unavailable",T1878="unavailable"),"不可评价",IF(OR(R1878="equivocal",T1878="equivocal"),"疑似",IF(AND(R1878="positive",T1878="positive"),"a",IF(T1878="positive","b",IF(R1878="positive","c","d")))))</x:f>
        <x:v>d</x:v>
      </x:c>
      <x:c r="V1878" s="12"/>
      <x:c r="W1878" s="12" t="str">
        <x:v>negative</x:v>
      </x:c>
      <x:c r="X1878" s="12"/>
      <x:c r="Y1878" s="12" t="str">
        <x:v>negative</x:v>
      </x:c>
      <x:c r="Z1878" s="12" t="str">
        <x:f>IF(OR(W1878="unavailable",Y1878="unavailable"),"不可评价",IF(OR(W1878="equivocal",Y1878="equivocal"),"疑似",IF(AND(W1878="positive",Y1878="positive"),"a",IF(Y1878="positive","b",IF(W1878="positive","c","d")))))</x:f>
        <x:v>d</x:v>
      </x:c>
      <x:c r="AA1878" s="12" t="str">
        <x:f>IF(OR(M1878="unavailable",O1878="unavailable"),"不可评价",IF(AND(OR(M1878="positive",M1878="equivocal"),OR(O1878="positive",O1878="equivocal")),"a",IF(OR(O1878="positive",O1878="equivocal"),"b",IF(OR(M1878="positive",M1878="equivocal"),"c","d"))))</x:f>
        <x:v>d</x:v>
      </x:c>
      <x:c r="AB1878" s="12" t="str">
        <x:f>IF(OR(M1878="unavailable",O1878="unavailable"),"不可评价",IF(AND(M1878="positive",O1878="positive"),"a",IF(O1878="positive","b",IF(M1878="positive","c","d"))))</x:f>
        <x:v>d</x:v>
      </x:c>
      <x:c r="AC1878" s="12" t="str">
        <x:f>IF(OR(R1878="unavailable",T1878="unavailable"),"不可评价",IF(AND(OR(R1878="positive",R1878="equivocal"),OR(T1878="positive",T1878="equivocal")),"a",IF(OR(T1878="positive",T1878="equivocal"),"b",IF(OR(R1878="positive",R1878="equivocal"),"c","d"))))</x:f>
        <x:v>d</x:v>
      </x:c>
      <x:c r="AD1878" s="12" t="str">
        <x:f>IF(OR(R1878="unavailable",T1878="unavailable"),"不可评价",IF(AND(R1878="positive",T1878="positive"),"a",IF(T1878="positive","b",IF(R1878="positive","c","d"))))</x:f>
        <x:v>d</x:v>
      </x:c>
      <x:c r="AE1878" s="12" t="str">
        <x:f>IF(OR(W1878="unavailable",Y1878="unavailable"),"不可评价",IF(AND(OR(W1878="positive",W1878="equivocal"),OR(Y1878="positive",Y1878="equivocal")),"a",IF(OR(Y1878="positive",Y1878="equivocal"),"b",IF(OR(W1878="positive",W1878="equivocal"),"c","d"))))</x:f>
        <x:v>d</x:v>
      </x:c>
      <x:c r="AF1878" s="12" t="str">
        <x:f>IF(OR(W1878="unavailable",Y1878="unavailable"),"不可评价",IF(AND(W1878="positive",Y1878="positive"),"a",IF(Y1878="positive","b",IF(W1878="positive","c","d"))))</x:f>
        <x:v>d</x:v>
      </x:c>
    </x:row>
    <x:row r="1879" ht="39" customHeight="1">
      <x:c r="A1879" s="12" t="str">
        <x:v>17866</x:v>
      </x:c>
      <x:c r="B1879" s="12" t="str">
        <x:v>584</x:v>
      </x:c>
      <x:c r="C1879" s="21" t="n">
        <x:v>35555.713541666664</x:v>
      </x:c>
      <x:c r="D1879" s="12" t="n">
        <x:v>67</x:v>
      </x:c>
      <x:c r="E1879" s="12" t="n">
        <x:v>1</x:v>
      </x:c>
      <x:c r="F1879" s="12" t="str">
        <x:v>未记录</x:v>
      </x:c>
      <x:c r="G1879" s="12" t="n">
        <x:v>1</x:v>
      </x:c>
      <x:c r="H1879" s="12" t="str">
        <x:v>{'ALMI': 15.0, 'LVH': 80.0, 'VCLVH': 0.0, 'LOWT': 0.0, 'STD_': 0.0, 'STACH': 0.0}</x:v>
      </x:c>
      <x:c r="I1879" s="12" t="str">
        <x:v>[('STACH', 100.0), ('LAD3', 100.0), ('SMI;AU', 100.0), ('AB', 100.0)]</x:v>
      </x:c>
      <x:c r="J1879" s="12" t="str">
        <x:v>ptbxl_database.csv；ecg_id=17866；scp_codes</x:v>
      </x:c>
      <x:c r="K1879" s="12" t="str">
        <x:v>12sl_statements.csv；ecg_id=17866；statements_ext_snomed</x:v>
      </x:c>
      <x:c r="L1879" s="12"/>
      <x:c r="M1879" s="12" t="str">
        <x:v>negative</x:v>
      </x:c>
      <x:c r="N1879" s="12"/>
      <x:c r="O1879" s="12" t="str">
        <x:v>negative</x:v>
      </x:c>
      <x:c r="P1879" s="12" t="str">
        <x:f>IF(OR(M1879="unavailable",O1879="unavailable"),"不可评价",IF(OR(M1879="equivocal",O1879="equivocal"),"疑似",IF(AND(M1879="positive",O1879="positive"),"a",IF(O1879="positive","b",IF(M1879="positive","c","d")))))</x:f>
        <x:v>d</x:v>
      </x:c>
      <x:c r="Q1879" s="12"/>
      <x:c r="R1879" s="12" t="str">
        <x:v>negative</x:v>
      </x:c>
      <x:c r="S1879" s="12"/>
      <x:c r="T1879" s="12" t="str">
        <x:v>negative</x:v>
      </x:c>
      <x:c r="U1879" s="12" t="str">
        <x:f>IF(OR(R1879="unavailable",T1879="unavailable"),"不可评价",IF(OR(R1879="equivocal",T1879="equivocal"),"疑似",IF(AND(R1879="positive",T1879="positive"),"a",IF(T1879="positive","b",IF(R1879="positive","c","d")))))</x:f>
        <x:v>d</x:v>
      </x:c>
      <x:c r="V1879" s="12"/>
      <x:c r="W1879" s="12" t="str">
        <x:v>negative</x:v>
      </x:c>
      <x:c r="X1879" s="12"/>
      <x:c r="Y1879" s="12" t="str">
        <x:v>negative</x:v>
      </x:c>
      <x:c r="Z1879" s="12" t="str">
        <x:f>IF(OR(W1879="unavailable",Y1879="unavailable"),"不可评价",IF(OR(W1879="equivocal",Y1879="equivocal"),"疑似",IF(AND(W1879="positive",Y1879="positive"),"a",IF(Y1879="positive","b",IF(W1879="positive","c","d")))))</x:f>
        <x:v>d</x:v>
      </x:c>
      <x:c r="AA1879" s="12" t="str">
        <x:f>IF(OR(M1879="unavailable",O1879="unavailable"),"不可评价",IF(AND(OR(M1879="positive",M1879="equivocal"),OR(O1879="positive",O1879="equivocal")),"a",IF(OR(O1879="positive",O1879="equivocal"),"b",IF(OR(M1879="positive",M1879="equivocal"),"c","d"))))</x:f>
        <x:v>d</x:v>
      </x:c>
      <x:c r="AB1879" s="12" t="str">
        <x:f>IF(OR(M1879="unavailable",O1879="unavailable"),"不可评价",IF(AND(M1879="positive",O1879="positive"),"a",IF(O1879="positive","b",IF(M1879="positive","c","d"))))</x:f>
        <x:v>d</x:v>
      </x:c>
      <x:c r="AC1879" s="12" t="str">
        <x:f>IF(OR(R1879="unavailable",T1879="unavailable"),"不可评价",IF(AND(OR(R1879="positive",R1879="equivocal"),OR(T1879="positive",T1879="equivocal")),"a",IF(OR(T1879="positive",T1879="equivocal"),"b",IF(OR(R1879="positive",R1879="equivocal"),"c","d"))))</x:f>
        <x:v>d</x:v>
      </x:c>
      <x:c r="AD1879" s="12" t="str">
        <x:f>IF(OR(R1879="unavailable",T1879="unavailable"),"不可评价",IF(AND(R1879="positive",T1879="positive"),"a",IF(T1879="positive","b",IF(R1879="positive","c","d"))))</x:f>
        <x:v>d</x:v>
      </x:c>
      <x:c r="AE1879" s="12" t="str">
        <x:f>IF(OR(W1879="unavailable",Y1879="unavailable"),"不可评价",IF(AND(OR(W1879="positive",W1879="equivocal"),OR(Y1879="positive",Y1879="equivocal")),"a",IF(OR(Y1879="positive",Y1879="equivocal"),"b",IF(OR(W1879="positive",W1879="equivocal"),"c","d"))))</x:f>
        <x:v>d</x:v>
      </x:c>
      <x:c r="AF1879" s="12" t="str">
        <x:f>IF(OR(W1879="unavailable",Y1879="unavailable"),"不可评价",IF(AND(W1879="positive",Y1879="positive"),"a",IF(Y1879="positive","b",IF(W1879="positive","c","d"))))</x:f>
        <x:v>d</x:v>
      </x:c>
    </x:row>
    <x:row r="1880" ht="24" customHeight="1">
      <x:c r="A1880" s="12" t="str">
        <x:v>17868</x:v>
      </x:c>
      <x:c r="B1880" s="12" t="str">
        <x:v>584</x:v>
      </x:c>
      <x:c r="C1880" s="21" t="n">
        <x:v>35556.25035879629</x:v>
      </x:c>
      <x:c r="D1880" s="12" t="n">
        <x:v>67</x:v>
      </x:c>
      <x:c r="E1880" s="12" t="n">
        <x:v>1</x:v>
      </x:c>
      <x:c r="F1880" s="12" t="str">
        <x:v>未记录</x:v>
      </x:c>
      <x:c r="G1880" s="12" t="n">
        <x:v>0</x:v>
      </x:c>
      <x:c r="H1880" s="12" t="str">
        <x:v>{'ALMI': 15.0, 'LVH': 50.0, 'SR': 0.0}</x:v>
      </x:c>
      <x:c r="I1880" s="12" t="str">
        <x:v>[('NSR', 100.0), ('AMI;AU', 15.0), ('AB', 100.0)]</x:v>
      </x:c>
      <x:c r="J1880" s="12" t="str">
        <x:v>ptbxl_database.csv；ecg_id=17868；scp_codes</x:v>
      </x:c>
      <x:c r="K1880" s="12" t="str">
        <x:v>12sl_statements.csv；ecg_id=17868；statements_ext_snomed</x:v>
      </x:c>
      <x:c r="L1880" s="12"/>
      <x:c r="M1880" s="12" t="str">
        <x:v>negative</x:v>
      </x:c>
      <x:c r="N1880" s="12"/>
      <x:c r="O1880" s="12" t="str">
        <x:v>negative</x:v>
      </x:c>
      <x:c r="P1880" s="12" t="str">
        <x:f>IF(OR(M1880="unavailable",O1880="unavailable"),"不可评价",IF(OR(M1880="equivocal",O1880="equivocal"),"疑似",IF(AND(M1880="positive",O1880="positive"),"a",IF(O1880="positive","b",IF(M1880="positive","c","d")))))</x:f>
        <x:v>d</x:v>
      </x:c>
      <x:c r="Q1880" s="12"/>
      <x:c r="R1880" s="12" t="str">
        <x:v>negative</x:v>
      </x:c>
      <x:c r="S1880" s="12"/>
      <x:c r="T1880" s="12" t="str">
        <x:v>negative</x:v>
      </x:c>
      <x:c r="U1880" s="12" t="str">
        <x:f>IF(OR(R1880="unavailable",T1880="unavailable"),"不可评价",IF(OR(R1880="equivocal",T1880="equivocal"),"疑似",IF(AND(R1880="positive",T1880="positive"),"a",IF(T1880="positive","b",IF(R1880="positive","c","d")))))</x:f>
        <x:v>d</x:v>
      </x:c>
      <x:c r="V1880" s="12"/>
      <x:c r="W1880" s="12" t="str">
        <x:v>negative</x:v>
      </x:c>
      <x:c r="X1880" s="12"/>
      <x:c r="Y1880" s="12" t="str">
        <x:v>negative</x:v>
      </x:c>
      <x:c r="Z1880" s="12" t="str">
        <x:f>IF(OR(W1880="unavailable",Y1880="unavailable"),"不可评价",IF(OR(W1880="equivocal",Y1880="equivocal"),"疑似",IF(AND(W1880="positive",Y1880="positive"),"a",IF(Y1880="positive","b",IF(W1880="positive","c","d")))))</x:f>
        <x:v>d</x:v>
      </x:c>
      <x:c r="AA1880" s="12" t="str">
        <x:f>IF(OR(M1880="unavailable",O1880="unavailable"),"不可评价",IF(AND(OR(M1880="positive",M1880="equivocal"),OR(O1880="positive",O1880="equivocal")),"a",IF(OR(O1880="positive",O1880="equivocal"),"b",IF(OR(M1880="positive",M1880="equivocal"),"c","d"))))</x:f>
        <x:v>d</x:v>
      </x:c>
      <x:c r="AB1880" s="12" t="str">
        <x:f>IF(OR(M1880="unavailable",O1880="unavailable"),"不可评价",IF(AND(M1880="positive",O1880="positive"),"a",IF(O1880="positive","b",IF(M1880="positive","c","d"))))</x:f>
        <x:v>d</x:v>
      </x:c>
      <x:c r="AC1880" s="12" t="str">
        <x:f>IF(OR(R1880="unavailable",T1880="unavailable"),"不可评价",IF(AND(OR(R1880="positive",R1880="equivocal"),OR(T1880="positive",T1880="equivocal")),"a",IF(OR(T1880="positive",T1880="equivocal"),"b",IF(OR(R1880="positive",R1880="equivocal"),"c","d"))))</x:f>
        <x:v>d</x:v>
      </x:c>
      <x:c r="AD1880" s="12" t="str">
        <x:f>IF(OR(R1880="unavailable",T1880="unavailable"),"不可评价",IF(AND(R1880="positive",T1880="positive"),"a",IF(T1880="positive","b",IF(R1880="positive","c","d"))))</x:f>
        <x:v>d</x:v>
      </x:c>
      <x:c r="AE1880" s="12" t="str">
        <x:f>IF(OR(W1880="unavailable",Y1880="unavailable"),"不可评价",IF(AND(OR(W1880="positive",W1880="equivocal"),OR(Y1880="positive",Y1880="equivocal")),"a",IF(OR(Y1880="positive",Y1880="equivocal"),"b",IF(OR(W1880="positive",W1880="equivocal"),"c","d"))))</x:f>
        <x:v>d</x:v>
      </x:c>
      <x:c r="AF1880" s="12" t="str">
        <x:f>IF(OR(W1880="unavailable",Y1880="unavailable"),"不可评价",IF(AND(W1880="positive",Y1880="positive"),"a",IF(Y1880="positive","b",IF(W1880="positive","c","d"))))</x:f>
        <x:v>d</x:v>
      </x:c>
    </x:row>
    <x:row r="1881" ht="24" customHeight="1">
      <x:c r="A1881" s="12" t="str">
        <x:v>17870</x:v>
      </x:c>
      <x:c r="B1881" s="12" t="str">
        <x:v>1907</x:v>
      </x:c>
      <x:c r="C1881" s="21" t="n">
        <x:v>35556.38135416667</x:v>
      </x:c>
      <x:c r="D1881" s="12" t="n">
        <x:v>80</x:v>
      </x:c>
      <x:c r="E1881" s="12" t="n">
        <x:v>1</x:v>
      </x:c>
      <x:c r="F1881" s="12" t="str">
        <x:v>未记录</x:v>
      </x:c>
      <x:c r="G1881" s="12" t="n">
        <x:v>1</x:v>
      </x:c>
      <x:c r="H1881" s="12" t="str">
        <x:v>{'LAFB': 100.0, 'NDT': 100.0, 'PRC(S)': 0.0, 'NT_': 0.0, 'SR': 0.0}</x:v>
      </x:c>
      <x:c r="I1881" s="12" t="str">
        <x:v>[('SRTH', 100.0), ('MSAR', 100.0), ('LAD3', 100.0), ('AB', 100.0)]</x:v>
      </x:c>
      <x:c r="J1881" s="12" t="str">
        <x:v>ptbxl_database.csv；ecg_id=17870；scp_codes</x:v>
      </x:c>
      <x:c r="K1881" s="12" t="str">
        <x:v>12sl_statements.csv；ecg_id=17870；statements_ext_snomed</x:v>
      </x:c>
      <x:c r="L1881" s="12"/>
      <x:c r="M1881" s="12" t="str">
        <x:v>negative</x:v>
      </x:c>
      <x:c r="N1881" s="12"/>
      <x:c r="O1881" s="12" t="str">
        <x:v>negative</x:v>
      </x:c>
      <x:c r="P1881" s="12" t="str">
        <x:f>IF(OR(M1881="unavailable",O1881="unavailable"),"不可评价",IF(OR(M1881="equivocal",O1881="equivocal"),"疑似",IF(AND(M1881="positive",O1881="positive"),"a",IF(O1881="positive","b",IF(M1881="positive","c","d")))))</x:f>
        <x:v>d</x:v>
      </x:c>
      <x:c r="Q1881" s="12"/>
      <x:c r="R1881" s="12" t="str">
        <x:v>negative</x:v>
      </x:c>
      <x:c r="S1881" s="12"/>
      <x:c r="T1881" s="12" t="str">
        <x:v>negative</x:v>
      </x:c>
      <x:c r="U1881" s="12" t="str">
        <x:f>IF(OR(R1881="unavailable",T1881="unavailable"),"不可评价",IF(OR(R1881="equivocal",T1881="equivocal"),"疑似",IF(AND(R1881="positive",T1881="positive"),"a",IF(T1881="positive","b",IF(R1881="positive","c","d")))))</x:f>
        <x:v>d</x:v>
      </x:c>
      <x:c r="V1881" s="12"/>
      <x:c r="W1881" s="12" t="str">
        <x:v>negative</x:v>
      </x:c>
      <x:c r="X1881" s="12"/>
      <x:c r="Y1881" s="12" t="str">
        <x:v>negative</x:v>
      </x:c>
      <x:c r="Z1881" s="12" t="str">
        <x:f>IF(OR(W1881="unavailable",Y1881="unavailable"),"不可评价",IF(OR(W1881="equivocal",Y1881="equivocal"),"疑似",IF(AND(W1881="positive",Y1881="positive"),"a",IF(Y1881="positive","b",IF(W1881="positive","c","d")))))</x:f>
        <x:v>d</x:v>
      </x:c>
      <x:c r="AA1881" s="12" t="str">
        <x:f>IF(OR(M1881="unavailable",O1881="unavailable"),"不可评价",IF(AND(OR(M1881="positive",M1881="equivocal"),OR(O1881="positive",O1881="equivocal")),"a",IF(OR(O1881="positive",O1881="equivocal"),"b",IF(OR(M1881="positive",M1881="equivocal"),"c","d"))))</x:f>
        <x:v>d</x:v>
      </x:c>
      <x:c r="AB1881" s="12" t="str">
        <x:f>IF(OR(M1881="unavailable",O1881="unavailable"),"不可评价",IF(AND(M1881="positive",O1881="positive"),"a",IF(O1881="positive","b",IF(M1881="positive","c","d"))))</x:f>
        <x:v>d</x:v>
      </x:c>
      <x:c r="AC1881" s="12" t="str">
        <x:f>IF(OR(R1881="unavailable",T1881="unavailable"),"不可评价",IF(AND(OR(R1881="positive",R1881="equivocal"),OR(T1881="positive",T1881="equivocal")),"a",IF(OR(T1881="positive",T1881="equivocal"),"b",IF(OR(R1881="positive",R1881="equivocal"),"c","d"))))</x:f>
        <x:v>d</x:v>
      </x:c>
      <x:c r="AD1881" s="12" t="str">
        <x:f>IF(OR(R1881="unavailable",T1881="unavailable"),"不可评价",IF(AND(R1881="positive",T1881="positive"),"a",IF(T1881="positive","b",IF(R1881="positive","c","d"))))</x:f>
        <x:v>d</x:v>
      </x:c>
      <x:c r="AE1881" s="12" t="str">
        <x:f>IF(OR(W1881="unavailable",Y1881="unavailable"),"不可评价",IF(AND(OR(W1881="positive",W1881="equivocal"),OR(Y1881="positive",Y1881="equivocal")),"a",IF(OR(Y1881="positive",Y1881="equivocal"),"b",IF(OR(W1881="positive",W1881="equivocal"),"c","d"))))</x:f>
        <x:v>d</x:v>
      </x:c>
      <x:c r="AF1881" s="12" t="str">
        <x:f>IF(OR(W1881="unavailable",Y1881="unavailable"),"不可评价",IF(AND(W1881="positive",Y1881="positive"),"a",IF(Y1881="positive","b",IF(W1881="positive","c","d"))))</x:f>
        <x:v>d</x:v>
      </x:c>
    </x:row>
    <x:row r="1882" ht="24" customHeight="1">
      <x:c r="A1882" s="12" t="str">
        <x:v>17885</x:v>
      </x:c>
      <x:c r="B1882" s="12" t="str">
        <x:v>14460</x:v>
      </x:c>
      <x:c r="C1882" s="21" t="n">
        <x:v>35561.44443287037</x:v>
      </x:c>
      <x:c r="D1882" s="12" t="n">
        <x:v>27</x:v>
      </x:c>
      <x:c r="E1882" s="12" t="n">
        <x:v>0</x:v>
      </x:c>
      <x:c r="F1882" s="12" t="str">
        <x:v>未记录</x:v>
      </x:c>
      <x:c r="G1882" s="12" t="n">
        <x:v>1</x:v>
      </x:c>
      <x:c r="H1882" s="12" t="str">
        <x:v>{'WPW': 100.0, 'SR': 0.0}</x:v>
      </x:c>
      <x:c r="I1882" s="12" t="str">
        <x:v>[('SRTH', 100.0), ('PVC', 100.0), ('JST', 100.0), ('AB', 100.0)]</x:v>
      </x:c>
      <x:c r="J1882" s="12" t="str">
        <x:v>ptbxl_database.csv；ecg_id=17885；scp_codes</x:v>
      </x:c>
      <x:c r="K1882" s="12" t="str">
        <x:v>12sl_statements.csv；ecg_id=17885；statements_ext_snomed</x:v>
      </x:c>
      <x:c r="L1882" s="12"/>
      <x:c r="M1882" s="12" t="str">
        <x:v>negative</x:v>
      </x:c>
      <x:c r="N1882" s="12"/>
      <x:c r="O1882" s="12" t="str">
        <x:v>negative</x:v>
      </x:c>
      <x:c r="P1882" s="12" t="str">
        <x:f>IF(OR(M1882="unavailable",O1882="unavailable"),"不可评价",IF(OR(M1882="equivocal",O1882="equivocal"),"疑似",IF(AND(M1882="positive",O1882="positive"),"a",IF(O1882="positive","b",IF(M1882="positive","c","d")))))</x:f>
        <x:v>d</x:v>
      </x:c>
      <x:c r="Q1882" s="12"/>
      <x:c r="R1882" s="12" t="str">
        <x:v>negative</x:v>
      </x:c>
      <x:c r="S1882" s="12"/>
      <x:c r="T1882" s="12" t="str">
        <x:v>negative</x:v>
      </x:c>
      <x:c r="U1882" s="12" t="str">
        <x:f>IF(OR(R1882="unavailable",T1882="unavailable"),"不可评价",IF(OR(R1882="equivocal",T1882="equivocal"),"疑似",IF(AND(R1882="positive",T1882="positive"),"a",IF(T1882="positive","b",IF(R1882="positive","c","d")))))</x:f>
        <x:v>d</x:v>
      </x:c>
      <x:c r="V1882" s="12"/>
      <x:c r="W1882" s="12" t="str">
        <x:v>negative</x:v>
      </x:c>
      <x:c r="X1882" s="12"/>
      <x:c r="Y1882" s="12" t="str">
        <x:v>negative</x:v>
      </x:c>
      <x:c r="Z1882" s="12" t="str">
        <x:f>IF(OR(W1882="unavailable",Y1882="unavailable"),"不可评价",IF(OR(W1882="equivocal",Y1882="equivocal"),"疑似",IF(AND(W1882="positive",Y1882="positive"),"a",IF(Y1882="positive","b",IF(W1882="positive","c","d")))))</x:f>
        <x:v>d</x:v>
      </x:c>
      <x:c r="AA1882" s="12" t="str">
        <x:f>IF(OR(M1882="unavailable",O1882="unavailable"),"不可评价",IF(AND(OR(M1882="positive",M1882="equivocal"),OR(O1882="positive",O1882="equivocal")),"a",IF(OR(O1882="positive",O1882="equivocal"),"b",IF(OR(M1882="positive",M1882="equivocal"),"c","d"))))</x:f>
        <x:v>d</x:v>
      </x:c>
      <x:c r="AB1882" s="12" t="str">
        <x:f>IF(OR(M1882="unavailable",O1882="unavailable"),"不可评价",IF(AND(M1882="positive",O1882="positive"),"a",IF(O1882="positive","b",IF(M1882="positive","c","d"))))</x:f>
        <x:v>d</x:v>
      </x:c>
      <x:c r="AC1882" s="12" t="str">
        <x:f>IF(OR(R1882="unavailable",T1882="unavailable"),"不可评价",IF(AND(OR(R1882="positive",R1882="equivocal"),OR(T1882="positive",T1882="equivocal")),"a",IF(OR(T1882="positive",T1882="equivocal"),"b",IF(OR(R1882="positive",R1882="equivocal"),"c","d"))))</x:f>
        <x:v>d</x:v>
      </x:c>
      <x:c r="AD1882" s="12" t="str">
        <x:f>IF(OR(R1882="unavailable",T1882="unavailable"),"不可评价",IF(AND(R1882="positive",T1882="positive"),"a",IF(T1882="positive","b",IF(R1882="positive","c","d"))))</x:f>
        <x:v>d</x:v>
      </x:c>
      <x:c r="AE1882" s="12" t="str">
        <x:f>IF(OR(W1882="unavailable",Y1882="unavailable"),"不可评价",IF(AND(OR(W1882="positive",W1882="equivocal"),OR(Y1882="positive",Y1882="equivocal")),"a",IF(OR(Y1882="positive",Y1882="equivocal"),"b",IF(OR(W1882="positive",W1882="equivocal"),"c","d"))))</x:f>
        <x:v>d</x:v>
      </x:c>
      <x:c r="AF1882" s="12" t="str">
        <x:f>IF(OR(W1882="unavailable",Y1882="unavailable"),"不可评价",IF(AND(W1882="positive",Y1882="positive"),"a",IF(Y1882="positive","b",IF(W1882="positive","c","d"))))</x:f>
        <x:v>d</x:v>
      </x:c>
    </x:row>
    <x:row r="1883" ht="24" customHeight="1">
      <x:c r="A1883" s="12" t="str">
        <x:v>17888</x:v>
      </x:c>
      <x:c r="B1883" s="12" t="str">
        <x:v>9937</x:v>
      </x:c>
      <x:c r="C1883" s="21" t="n">
        <x:v>35563.68667824074</x:v>
      </x:c>
      <x:c r="D1883" s="12" t="n">
        <x:v>68</x:v>
      </x:c>
      <x:c r="E1883" s="12" t="n">
        <x:v>1</x:v>
      </x:c>
      <x:c r="F1883" s="12" t="str">
        <x:v>未记录</x:v>
      </x:c>
      <x:c r="G1883" s="12" t="n">
        <x:v>1</x:v>
      </x:c>
      <x:c r="H1883" s="12" t="str">
        <x:v>{'NORM': 100.0, 'IVCD': 100.0, 'SR': 0.0}</x:v>
      </x:c>
      <x:c r="I1883" s="12" t="str">
        <x:v>[('NSR', 100.0), ('NML', 100.0)]</x:v>
      </x:c>
      <x:c r="J1883" s="12" t="str">
        <x:v>ptbxl_database.csv；ecg_id=17888；scp_codes</x:v>
      </x:c>
      <x:c r="K1883" s="12" t="str">
        <x:v>12sl_statements.csv；ecg_id=17888；statements_ext_snomed</x:v>
      </x:c>
      <x:c r="L1883" s="12"/>
      <x:c r="M1883" s="12" t="str">
        <x:v>negative</x:v>
      </x:c>
      <x:c r="N1883" s="12"/>
      <x:c r="O1883" s="12" t="str">
        <x:v>negative</x:v>
      </x:c>
      <x:c r="P1883" s="12" t="str">
        <x:f>IF(OR(M1883="unavailable",O1883="unavailable"),"不可评价",IF(OR(M1883="equivocal",O1883="equivocal"),"疑似",IF(AND(M1883="positive",O1883="positive"),"a",IF(O1883="positive","b",IF(M1883="positive","c","d")))))</x:f>
        <x:v>d</x:v>
      </x:c>
      <x:c r="Q1883" s="12"/>
      <x:c r="R1883" s="12" t="str">
        <x:v>negative</x:v>
      </x:c>
      <x:c r="S1883" s="12"/>
      <x:c r="T1883" s="12" t="str">
        <x:v>negative</x:v>
      </x:c>
      <x:c r="U1883" s="12" t="str">
        <x:f>IF(OR(R1883="unavailable",T1883="unavailable"),"不可评价",IF(OR(R1883="equivocal",T1883="equivocal"),"疑似",IF(AND(R1883="positive",T1883="positive"),"a",IF(T1883="positive","b",IF(R1883="positive","c","d")))))</x:f>
        <x:v>d</x:v>
      </x:c>
      <x:c r="V1883" s="12"/>
      <x:c r="W1883" s="12" t="str">
        <x:v>negative</x:v>
      </x:c>
      <x:c r="X1883" s="12"/>
      <x:c r="Y1883" s="12" t="str">
        <x:v>negative</x:v>
      </x:c>
      <x:c r="Z1883" s="12" t="str">
        <x:f>IF(OR(W1883="unavailable",Y1883="unavailable"),"不可评价",IF(OR(W1883="equivocal",Y1883="equivocal"),"疑似",IF(AND(W1883="positive",Y1883="positive"),"a",IF(Y1883="positive","b",IF(W1883="positive","c","d")))))</x:f>
        <x:v>d</x:v>
      </x:c>
      <x:c r="AA1883" s="12" t="str">
        <x:f>IF(OR(M1883="unavailable",O1883="unavailable"),"不可评价",IF(AND(OR(M1883="positive",M1883="equivocal"),OR(O1883="positive",O1883="equivocal")),"a",IF(OR(O1883="positive",O1883="equivocal"),"b",IF(OR(M1883="positive",M1883="equivocal"),"c","d"))))</x:f>
        <x:v>d</x:v>
      </x:c>
      <x:c r="AB1883" s="12" t="str">
        <x:f>IF(OR(M1883="unavailable",O1883="unavailable"),"不可评价",IF(AND(M1883="positive",O1883="positive"),"a",IF(O1883="positive","b",IF(M1883="positive","c","d"))))</x:f>
        <x:v>d</x:v>
      </x:c>
      <x:c r="AC1883" s="12" t="str">
        <x:f>IF(OR(R1883="unavailable",T1883="unavailable"),"不可评价",IF(AND(OR(R1883="positive",R1883="equivocal"),OR(T1883="positive",T1883="equivocal")),"a",IF(OR(T1883="positive",T1883="equivocal"),"b",IF(OR(R1883="positive",R1883="equivocal"),"c","d"))))</x:f>
        <x:v>d</x:v>
      </x:c>
      <x:c r="AD1883" s="12" t="str">
        <x:f>IF(OR(R1883="unavailable",T1883="unavailable"),"不可评价",IF(AND(R1883="positive",T1883="positive"),"a",IF(T1883="positive","b",IF(R1883="positive","c","d"))))</x:f>
        <x:v>d</x:v>
      </x:c>
      <x:c r="AE1883" s="12" t="str">
        <x:f>IF(OR(W1883="unavailable",Y1883="unavailable"),"不可评价",IF(AND(OR(W1883="positive",W1883="equivocal"),OR(Y1883="positive",Y1883="equivocal")),"a",IF(OR(Y1883="positive",Y1883="equivocal"),"b",IF(OR(W1883="positive",W1883="equivocal"),"c","d"))))</x:f>
        <x:v>d</x:v>
      </x:c>
      <x:c r="AF1883" s="12" t="str">
        <x:f>IF(OR(W1883="unavailable",Y1883="unavailable"),"不可评价",IF(AND(W1883="positive",Y1883="positive"),"a",IF(Y1883="positive","b",IF(W1883="positive","c","d"))))</x:f>
        <x:v>d</x:v>
      </x:c>
    </x:row>
    <x:row r="1884" ht="24" customHeight="1">
      <x:c r="A1884" s="12" t="str">
        <x:v>17891</x:v>
      </x:c>
      <x:c r="B1884" s="12" t="str">
        <x:v>12507</x:v>
      </x:c>
      <x:c r="C1884" s="21" t="n">
        <x:v>35568.37981481481</x:v>
      </x:c>
      <x:c r="D1884" s="12" t="n">
        <x:v>35</x:v>
      </x:c>
      <x:c r="E1884" s="12" t="n">
        <x:v>0</x:v>
      </x:c>
      <x:c r="F1884" s="12" t="str">
        <x:v>未记录</x:v>
      </x:c>
      <x:c r="G1884" s="12" t="n">
        <x:v>1</x:v>
      </x:c>
      <x:c r="H1884" s="12" t="str">
        <x:v>{'NORM': 100.0, 'SR': 0.0}</x:v>
      </x:c>
      <x:c r="I1884" s="12" t="str">
        <x:v>[('SBRAD', 100.0), ('ABR', 100.0)]</x:v>
      </x:c>
      <x:c r="J1884" s="12" t="str">
        <x:v>ptbxl_database.csv；ecg_id=17891；scp_codes</x:v>
      </x:c>
      <x:c r="K1884" s="12" t="str">
        <x:v>12sl_statements.csv；ecg_id=17891；statements_ext_snomed</x:v>
      </x:c>
      <x:c r="L1884" s="12"/>
      <x:c r="M1884" s="12" t="str">
        <x:v>negative</x:v>
      </x:c>
      <x:c r="N1884" s="12"/>
      <x:c r="O1884" s="12" t="str">
        <x:v>negative</x:v>
      </x:c>
      <x:c r="P1884" s="12" t="str">
        <x:f>IF(OR(M1884="unavailable",O1884="unavailable"),"不可评价",IF(OR(M1884="equivocal",O1884="equivocal"),"疑似",IF(AND(M1884="positive",O1884="positive"),"a",IF(O1884="positive","b",IF(M1884="positive","c","d")))))</x:f>
        <x:v>d</x:v>
      </x:c>
      <x:c r="Q1884" s="12"/>
      <x:c r="R1884" s="12" t="str">
        <x:v>negative</x:v>
      </x:c>
      <x:c r="S1884" s="12"/>
      <x:c r="T1884" s="12" t="str">
        <x:v>negative</x:v>
      </x:c>
      <x:c r="U1884" s="12" t="str">
        <x:f>IF(OR(R1884="unavailable",T1884="unavailable"),"不可评价",IF(OR(R1884="equivocal",T1884="equivocal"),"疑似",IF(AND(R1884="positive",T1884="positive"),"a",IF(T1884="positive","b",IF(R1884="positive","c","d")))))</x:f>
        <x:v>d</x:v>
      </x:c>
      <x:c r="V1884" s="12"/>
      <x:c r="W1884" s="12" t="str">
        <x:v>negative</x:v>
      </x:c>
      <x:c r="X1884" s="12"/>
      <x:c r="Y1884" s="12" t="str">
        <x:v>negative</x:v>
      </x:c>
      <x:c r="Z1884" s="12" t="str">
        <x:f>IF(OR(W1884="unavailable",Y1884="unavailable"),"不可评价",IF(OR(W1884="equivocal",Y1884="equivocal"),"疑似",IF(AND(W1884="positive",Y1884="positive"),"a",IF(Y1884="positive","b",IF(W1884="positive","c","d")))))</x:f>
        <x:v>d</x:v>
      </x:c>
      <x:c r="AA1884" s="12" t="str">
        <x:f>IF(OR(M1884="unavailable",O1884="unavailable"),"不可评价",IF(AND(OR(M1884="positive",M1884="equivocal"),OR(O1884="positive",O1884="equivocal")),"a",IF(OR(O1884="positive",O1884="equivocal"),"b",IF(OR(M1884="positive",M1884="equivocal"),"c","d"))))</x:f>
        <x:v>d</x:v>
      </x:c>
      <x:c r="AB1884" s="12" t="str">
        <x:f>IF(OR(M1884="unavailable",O1884="unavailable"),"不可评价",IF(AND(M1884="positive",O1884="positive"),"a",IF(O1884="positive","b",IF(M1884="positive","c","d"))))</x:f>
        <x:v>d</x:v>
      </x:c>
      <x:c r="AC1884" s="12" t="str">
        <x:f>IF(OR(R1884="unavailable",T1884="unavailable"),"不可评价",IF(AND(OR(R1884="positive",R1884="equivocal"),OR(T1884="positive",T1884="equivocal")),"a",IF(OR(T1884="positive",T1884="equivocal"),"b",IF(OR(R1884="positive",R1884="equivocal"),"c","d"))))</x:f>
        <x:v>d</x:v>
      </x:c>
      <x:c r="AD1884" s="12" t="str">
        <x:f>IF(OR(R1884="unavailable",T1884="unavailable"),"不可评价",IF(AND(R1884="positive",T1884="positive"),"a",IF(T1884="positive","b",IF(R1884="positive","c","d"))))</x:f>
        <x:v>d</x:v>
      </x:c>
      <x:c r="AE1884" s="12" t="str">
        <x:f>IF(OR(W1884="unavailable",Y1884="unavailable"),"不可评价",IF(AND(OR(W1884="positive",W1884="equivocal"),OR(Y1884="positive",Y1884="equivocal")),"a",IF(OR(Y1884="positive",Y1884="equivocal"),"b",IF(OR(W1884="positive",W1884="equivocal"),"c","d"))))</x:f>
        <x:v>d</x:v>
      </x:c>
      <x:c r="AF1884" s="12" t="str">
        <x:f>IF(OR(W1884="unavailable",Y1884="unavailable"),"不可评价",IF(AND(W1884="positive",Y1884="positive"),"a",IF(Y1884="positive","b",IF(W1884="positive","c","d"))))</x:f>
        <x:v>d</x:v>
      </x:c>
    </x:row>
    <x:row r="1885" ht="39" customHeight="1">
      <x:c r="A1885" s="12" t="str">
        <x:v>17904</x:v>
      </x:c>
      <x:c r="B1885" s="12" t="str">
        <x:v>12192</x:v>
      </x:c>
      <x:c r="C1885" s="21" t="n">
        <x:v>35579.559166666666</x:v>
      </x:c>
      <x:c r="D1885" s="12" t="n">
        <x:v>85</x:v>
      </x:c>
      <x:c r="E1885" s="12" t="n">
        <x:v>1</x:v>
      </x:c>
      <x:c r="F1885" s="12" t="str">
        <x:v>未记录</x:v>
      </x:c>
      <x:c r="G1885" s="12" t="n">
        <x:v>1</x:v>
      </x:c>
      <x:c r="H1885" s="12" t="str">
        <x:v>{'IMI': 15.0, 'INJAS': 100.0, 'INJAL': 100.0, 'PVC': 100.0, 'ABQRS': 0.0, 'SR': 0.0}</x:v>
      </x:c>
      <x:c r="I1885" s="12" t="str">
        <x:v>[('SRTH', 100.0), ('PVC', 100.0), ('IMI;AU', 15.0), ('ST&amp;', 100.0), ('MALT', 100.0), ('LNGQT', 100.0), ('AB', 100.0)]</x:v>
      </x:c>
      <x:c r="J1885" s="12" t="str">
        <x:v>ptbxl_database.csv；ecg_id=17904；scp_codes</x:v>
      </x:c>
      <x:c r="K1885" s="12" t="str">
        <x:v>12sl_statements.csv；ecg_id=17904；statements_ext_snomed</x:v>
      </x:c>
      <x:c r="L1885" s="12"/>
      <x:c r="M1885" s="12" t="str">
        <x:v>negative</x:v>
      </x:c>
      <x:c r="N1885" s="12"/>
      <x:c r="O1885" s="12" t="str">
        <x:v>negative</x:v>
      </x:c>
      <x:c r="P1885" s="12" t="str">
        <x:f>IF(OR(M1885="unavailable",O1885="unavailable"),"不可评价",IF(OR(M1885="equivocal",O1885="equivocal"),"疑似",IF(AND(M1885="positive",O1885="positive"),"a",IF(O1885="positive","b",IF(M1885="positive","c","d")))))</x:f>
        <x:v>d</x:v>
      </x:c>
      <x:c r="Q1885" s="12"/>
      <x:c r="R1885" s="12" t="str">
        <x:v>negative</x:v>
      </x:c>
      <x:c r="S1885" s="12"/>
      <x:c r="T1885" s="12" t="str">
        <x:v>negative</x:v>
      </x:c>
      <x:c r="U1885" s="12" t="str">
        <x:f>IF(OR(R1885="unavailable",T1885="unavailable"),"不可评价",IF(OR(R1885="equivocal",T1885="equivocal"),"疑似",IF(AND(R1885="positive",T1885="positive"),"a",IF(T1885="positive","b",IF(R1885="positive","c","d")))))</x:f>
        <x:v>d</x:v>
      </x:c>
      <x:c r="V1885" s="12"/>
      <x:c r="W1885" s="12" t="str">
        <x:v>negative</x:v>
      </x:c>
      <x:c r="X1885" s="12"/>
      <x:c r="Y1885" s="12" t="str">
        <x:v>negative</x:v>
      </x:c>
      <x:c r="Z1885" s="12" t="str">
        <x:f>IF(OR(W1885="unavailable",Y1885="unavailable"),"不可评价",IF(OR(W1885="equivocal",Y1885="equivocal"),"疑似",IF(AND(W1885="positive",Y1885="positive"),"a",IF(Y1885="positive","b",IF(W1885="positive","c","d")))))</x:f>
        <x:v>d</x:v>
      </x:c>
      <x:c r="AA1885" s="12" t="str">
        <x:f>IF(OR(M1885="unavailable",O1885="unavailable"),"不可评价",IF(AND(OR(M1885="positive",M1885="equivocal"),OR(O1885="positive",O1885="equivocal")),"a",IF(OR(O1885="positive",O1885="equivocal"),"b",IF(OR(M1885="positive",M1885="equivocal"),"c","d"))))</x:f>
        <x:v>d</x:v>
      </x:c>
      <x:c r="AB1885" s="12" t="str">
        <x:f>IF(OR(M1885="unavailable",O1885="unavailable"),"不可评价",IF(AND(M1885="positive",O1885="positive"),"a",IF(O1885="positive","b",IF(M1885="positive","c","d"))))</x:f>
        <x:v>d</x:v>
      </x:c>
      <x:c r="AC1885" s="12" t="str">
        <x:f>IF(OR(R1885="unavailable",T1885="unavailable"),"不可评价",IF(AND(OR(R1885="positive",R1885="equivocal"),OR(T1885="positive",T1885="equivocal")),"a",IF(OR(T1885="positive",T1885="equivocal"),"b",IF(OR(R1885="positive",R1885="equivocal"),"c","d"))))</x:f>
        <x:v>d</x:v>
      </x:c>
      <x:c r="AD1885" s="12" t="str">
        <x:f>IF(OR(R1885="unavailable",T1885="unavailable"),"不可评价",IF(AND(R1885="positive",T1885="positive"),"a",IF(T1885="positive","b",IF(R1885="positive","c","d"))))</x:f>
        <x:v>d</x:v>
      </x:c>
      <x:c r="AE1885" s="12" t="str">
        <x:f>IF(OR(W1885="unavailable",Y1885="unavailable"),"不可评价",IF(AND(OR(W1885="positive",W1885="equivocal"),OR(Y1885="positive",Y1885="equivocal")),"a",IF(OR(Y1885="positive",Y1885="equivocal"),"b",IF(OR(W1885="positive",W1885="equivocal"),"c","d"))))</x:f>
        <x:v>d</x:v>
      </x:c>
      <x:c r="AF1885" s="12" t="str">
        <x:f>IF(OR(W1885="unavailable",Y1885="unavailable"),"不可评价",IF(AND(W1885="positive",Y1885="positive"),"a",IF(Y1885="positive","b",IF(W1885="positive","c","d"))))</x:f>
        <x:v>d</x:v>
      </x:c>
    </x:row>
    <x:row r="1886" ht="24" customHeight="1">
      <x:c r="A1886" s="12" t="str">
        <x:v>17906</x:v>
      </x:c>
      <x:c r="B1886" s="12" t="str">
        <x:v>16492</x:v>
      </x:c>
      <x:c r="C1886" s="21" t="n">
        <x:v>35581.693090277775</x:v>
      </x:c>
      <x:c r="D1886" s="12" t="n">
        <x:v>65</x:v>
      </x:c>
      <x:c r="E1886" s="12" t="n">
        <x:v>1</x:v>
      </x:c>
      <x:c r="F1886" s="12" t="str">
        <x:v>未记录</x:v>
      </x:c>
      <x:c r="G1886" s="12" t="n">
        <x:v>1</x:v>
      </x:c>
      <x:c r="H1886" s="12" t="str">
        <x:v>{'CLBBB': 100.0, 'SR': 0.0}</x:v>
      </x:c>
      <x:c r="I1886" s="12" t="str">
        <x:v>[('NSR', 100.0), ('LAD3', 100.0), ('LBBB', 100.0), ('AB', 100.0)]</x:v>
      </x:c>
      <x:c r="J1886" s="12" t="str">
        <x:v>ptbxl_database.csv；ecg_id=17906；scp_codes</x:v>
      </x:c>
      <x:c r="K1886" s="12" t="str">
        <x:v>12sl_statements.csv；ecg_id=17906；statements_ext_snomed</x:v>
      </x:c>
      <x:c r="L1886" s="12"/>
      <x:c r="M1886" s="12" t="str">
        <x:v>negative</x:v>
      </x:c>
      <x:c r="N1886" s="12"/>
      <x:c r="O1886" s="12" t="str">
        <x:v>negative</x:v>
      </x:c>
      <x:c r="P1886" s="12" t="str">
        <x:f>IF(OR(M1886="unavailable",O1886="unavailable"),"不可评价",IF(OR(M1886="equivocal",O1886="equivocal"),"疑似",IF(AND(M1886="positive",O1886="positive"),"a",IF(O1886="positive","b",IF(M1886="positive","c","d")))))</x:f>
        <x:v>d</x:v>
      </x:c>
      <x:c r="Q1886" s="12" t="n">
        <x:v>100</x:v>
      </x:c>
      <x:c r="R1886" s="12" t="str">
        <x:v>positive</x:v>
      </x:c>
      <x:c r="S1886" s="12" t="n">
        <x:v>100</x:v>
      </x:c>
      <x:c r="T1886" s="12" t="str">
        <x:v>positive</x:v>
      </x:c>
      <x:c r="U1886" s="12" t="str">
        <x:f>IF(OR(R1886="unavailable",T1886="unavailable"),"不可评价",IF(OR(R1886="equivocal",T1886="equivocal"),"疑似",IF(AND(R1886="positive",T1886="positive"),"a",IF(T1886="positive","b",IF(R1886="positive","c","d")))))</x:f>
        <x:v>a</x:v>
      </x:c>
      <x:c r="V1886" s="12"/>
      <x:c r="W1886" s="12" t="str">
        <x:v>negative</x:v>
      </x:c>
      <x:c r="X1886" s="12"/>
      <x:c r="Y1886" s="12" t="str">
        <x:v>negative</x:v>
      </x:c>
      <x:c r="Z1886" s="12" t="str">
        <x:f>IF(OR(W1886="unavailable",Y1886="unavailable"),"不可评价",IF(OR(W1886="equivocal",Y1886="equivocal"),"疑似",IF(AND(W1886="positive",Y1886="positive"),"a",IF(Y1886="positive","b",IF(W1886="positive","c","d")))))</x:f>
        <x:v>d</x:v>
      </x:c>
      <x:c r="AA1886" s="12" t="str">
        <x:f>IF(OR(M1886="unavailable",O1886="unavailable"),"不可评价",IF(AND(OR(M1886="positive",M1886="equivocal"),OR(O1886="positive",O1886="equivocal")),"a",IF(OR(O1886="positive",O1886="equivocal"),"b",IF(OR(M1886="positive",M1886="equivocal"),"c","d"))))</x:f>
        <x:v>d</x:v>
      </x:c>
      <x:c r="AB1886" s="12" t="str">
        <x:f>IF(OR(M1886="unavailable",O1886="unavailable"),"不可评价",IF(AND(M1886="positive",O1886="positive"),"a",IF(O1886="positive","b",IF(M1886="positive","c","d"))))</x:f>
        <x:v>d</x:v>
      </x:c>
      <x:c r="AC1886" s="12" t="str">
        <x:f>IF(OR(R1886="unavailable",T1886="unavailable"),"不可评价",IF(AND(OR(R1886="positive",R1886="equivocal"),OR(T1886="positive",T1886="equivocal")),"a",IF(OR(T1886="positive",T1886="equivocal"),"b",IF(OR(R1886="positive",R1886="equivocal"),"c","d"))))</x:f>
        <x:v>a</x:v>
      </x:c>
      <x:c r="AD1886" s="12" t="str">
        <x:f>IF(OR(R1886="unavailable",T1886="unavailable"),"不可评价",IF(AND(R1886="positive",T1886="positive"),"a",IF(T1886="positive","b",IF(R1886="positive","c","d"))))</x:f>
        <x:v>a</x:v>
      </x:c>
      <x:c r="AE1886" s="12" t="str">
        <x:f>IF(OR(W1886="unavailable",Y1886="unavailable"),"不可评价",IF(AND(OR(W1886="positive",W1886="equivocal"),OR(Y1886="positive",Y1886="equivocal")),"a",IF(OR(Y1886="positive",Y1886="equivocal"),"b",IF(OR(W1886="positive",W1886="equivocal"),"c","d"))))</x:f>
        <x:v>d</x:v>
      </x:c>
      <x:c r="AF1886" s="12" t="str">
        <x:f>IF(OR(W1886="unavailable",Y1886="unavailable"),"不可评价",IF(AND(W1886="positive",Y1886="positive"),"a",IF(Y1886="positive","b",IF(W1886="positive","c","d"))))</x:f>
        <x:v>d</x:v>
      </x:c>
    </x:row>
    <x:row r="1887" ht="24" customHeight="1">
      <x:c r="A1887" s="12" t="str">
        <x:v>17909</x:v>
      </x:c>
      <x:c r="B1887" s="12" t="str">
        <x:v>14957</x:v>
      </x:c>
      <x:c r="C1887" s="21" t="n">
        <x:v>35581.76369212963</x:v>
      </x:c>
      <x:c r="D1887" s="12" t="n">
        <x:v>65</x:v>
      </x:c>
      <x:c r="E1887" s="12" t="n">
        <x:v>1</x:v>
      </x:c>
      <x:c r="F1887" s="12" t="str">
        <x:v>存在</x:v>
      </x:c>
      <x:c r="G1887" s="12" t="n">
        <x:v>1</x:v>
      </x:c>
      <x:c r="H1887" s="12" t="str">
        <x:v>{'IRBBB': 100.0, 'SR': 0.0}</x:v>
      </x:c>
      <x:c r="I1887" s="12" t="str">
        <x:v>[('SBRAD', 100.0), ('NST', 100.0), ('AB', 100.0)]</x:v>
      </x:c>
      <x:c r="J1887" s="12" t="str">
        <x:v>ptbxl_database.csv；ecg_id=17909；scp_codes</x:v>
      </x:c>
      <x:c r="K1887" s="12" t="str">
        <x:v>12sl_statements.csv；ecg_id=17909；statements_ext_snomed</x:v>
      </x:c>
      <x:c r="L1887" s="12"/>
      <x:c r="M1887" s="12" t="str">
        <x:v>negative</x:v>
      </x:c>
      <x:c r="N1887" s="12"/>
      <x:c r="O1887" s="12" t="str">
        <x:v>negative</x:v>
      </x:c>
      <x:c r="P1887" s="12" t="str">
        <x:f>IF(OR(M1887="unavailable",O1887="unavailable"),"不可评价",IF(OR(M1887="equivocal",O1887="equivocal"),"疑似",IF(AND(M1887="positive",O1887="positive"),"a",IF(O1887="positive","b",IF(M1887="positive","c","d")))))</x:f>
        <x:v>d</x:v>
      </x:c>
      <x:c r="Q1887" s="12"/>
      <x:c r="R1887" s="12" t="str">
        <x:v>negative</x:v>
      </x:c>
      <x:c r="S1887" s="12"/>
      <x:c r="T1887" s="12" t="str">
        <x:v>negative</x:v>
      </x:c>
      <x:c r="U1887" s="12" t="str">
        <x:f>IF(OR(R1887="unavailable",T1887="unavailable"),"不可评价",IF(OR(R1887="equivocal",T1887="equivocal"),"疑似",IF(AND(R1887="positive",T1887="positive"),"a",IF(T1887="positive","b",IF(R1887="positive","c","d")))))</x:f>
        <x:v>d</x:v>
      </x:c>
      <x:c r="V1887" s="12"/>
      <x:c r="W1887" s="12" t="str">
        <x:v>negative</x:v>
      </x:c>
      <x:c r="X1887" s="12"/>
      <x:c r="Y1887" s="12" t="str">
        <x:v>negative</x:v>
      </x:c>
      <x:c r="Z1887" s="12" t="str">
        <x:f>IF(OR(W1887="unavailable",Y1887="unavailable"),"不可评价",IF(OR(W1887="equivocal",Y1887="equivocal"),"疑似",IF(AND(W1887="positive",Y1887="positive"),"a",IF(Y1887="positive","b",IF(W1887="positive","c","d")))))</x:f>
        <x:v>d</x:v>
      </x:c>
      <x:c r="AA1887" s="12" t="str">
        <x:f>IF(OR(M1887="unavailable",O1887="unavailable"),"不可评价",IF(AND(OR(M1887="positive",M1887="equivocal"),OR(O1887="positive",O1887="equivocal")),"a",IF(OR(O1887="positive",O1887="equivocal"),"b",IF(OR(M1887="positive",M1887="equivocal"),"c","d"))))</x:f>
        <x:v>d</x:v>
      </x:c>
      <x:c r="AB1887" s="12" t="str">
        <x:f>IF(OR(M1887="unavailable",O1887="unavailable"),"不可评价",IF(AND(M1887="positive",O1887="positive"),"a",IF(O1887="positive","b",IF(M1887="positive","c","d"))))</x:f>
        <x:v>d</x:v>
      </x:c>
      <x:c r="AC1887" s="12" t="str">
        <x:f>IF(OR(R1887="unavailable",T1887="unavailable"),"不可评价",IF(AND(OR(R1887="positive",R1887="equivocal"),OR(T1887="positive",T1887="equivocal")),"a",IF(OR(T1887="positive",T1887="equivocal"),"b",IF(OR(R1887="positive",R1887="equivocal"),"c","d"))))</x:f>
        <x:v>d</x:v>
      </x:c>
      <x:c r="AD1887" s="12" t="str">
        <x:f>IF(OR(R1887="unavailable",T1887="unavailable"),"不可评价",IF(AND(R1887="positive",T1887="positive"),"a",IF(T1887="positive","b",IF(R1887="positive","c","d"))))</x:f>
        <x:v>d</x:v>
      </x:c>
      <x:c r="AE1887" s="12" t="str">
        <x:f>IF(OR(W1887="unavailable",Y1887="unavailable"),"不可评价",IF(AND(OR(W1887="positive",W1887="equivocal"),OR(Y1887="positive",Y1887="equivocal")),"a",IF(OR(Y1887="positive",Y1887="equivocal"),"b",IF(OR(W1887="positive",W1887="equivocal"),"c","d"))))</x:f>
        <x:v>d</x:v>
      </x:c>
      <x:c r="AF1887" s="12" t="str">
        <x:f>IF(OR(W1887="unavailable",Y1887="unavailable"),"不可评价",IF(AND(W1887="positive",Y1887="positive"),"a",IF(Y1887="positive","b",IF(W1887="positive","c","d"))))</x:f>
        <x:v>d</x:v>
      </x:c>
    </x:row>
    <x:row r="1888" ht="24" customHeight="1">
      <x:c r="A1888" s="12" t="str">
        <x:v>17910</x:v>
      </x:c>
      <x:c r="B1888" s="12" t="str">
        <x:v>9579</x:v>
      </x:c>
      <x:c r="C1888" s="21" t="n">
        <x:v>35581.792916666665</x:v>
      </x:c>
      <x:c r="D1888" s="12" t="n">
        <x:v>61</x:v>
      </x:c>
      <x:c r="E1888" s="12" t="n">
        <x:v>0</x:v>
      </x:c>
      <x:c r="F1888" s="12" t="str">
        <x:v>未记录</x:v>
      </x:c>
      <x:c r="G1888" s="12" t="n">
        <x:v>1</x:v>
      </x:c>
      <x:c r="H1888" s="12" t="str">
        <x:v>{'IMI': 15.0, 'ABQRS': 0.0, 'SR': 0.0}</x:v>
      </x:c>
      <x:c r="I1888" s="12" t="str">
        <x:v>[('NSR', 100.0), ('NML', 100.0)]</x:v>
      </x:c>
      <x:c r="J1888" s="12" t="str">
        <x:v>ptbxl_database.csv；ecg_id=17910；scp_codes</x:v>
      </x:c>
      <x:c r="K1888" s="12" t="str">
        <x:v>12sl_statements.csv；ecg_id=17910；statements_ext_snomed</x:v>
      </x:c>
      <x:c r="L1888" s="12"/>
      <x:c r="M1888" s="12" t="str">
        <x:v>negative</x:v>
      </x:c>
      <x:c r="N1888" s="12"/>
      <x:c r="O1888" s="12" t="str">
        <x:v>negative</x:v>
      </x:c>
      <x:c r="P1888" s="12" t="str">
        <x:f>IF(OR(M1888="unavailable",O1888="unavailable"),"不可评价",IF(OR(M1888="equivocal",O1888="equivocal"),"疑似",IF(AND(M1888="positive",O1888="positive"),"a",IF(O1888="positive","b",IF(M1888="positive","c","d")))))</x:f>
        <x:v>d</x:v>
      </x:c>
      <x:c r="Q1888" s="12"/>
      <x:c r="R1888" s="12" t="str">
        <x:v>negative</x:v>
      </x:c>
      <x:c r="S1888" s="12"/>
      <x:c r="T1888" s="12" t="str">
        <x:v>negative</x:v>
      </x:c>
      <x:c r="U1888" s="12" t="str">
        <x:f>IF(OR(R1888="unavailable",T1888="unavailable"),"不可评价",IF(OR(R1888="equivocal",T1888="equivocal"),"疑似",IF(AND(R1888="positive",T1888="positive"),"a",IF(T1888="positive","b",IF(R1888="positive","c","d")))))</x:f>
        <x:v>d</x:v>
      </x:c>
      <x:c r="V1888" s="12"/>
      <x:c r="W1888" s="12" t="str">
        <x:v>negative</x:v>
      </x:c>
      <x:c r="X1888" s="12"/>
      <x:c r="Y1888" s="12" t="str">
        <x:v>negative</x:v>
      </x:c>
      <x:c r="Z1888" s="12" t="str">
        <x:f>IF(OR(W1888="unavailable",Y1888="unavailable"),"不可评价",IF(OR(W1888="equivocal",Y1888="equivocal"),"疑似",IF(AND(W1888="positive",Y1888="positive"),"a",IF(Y1888="positive","b",IF(W1888="positive","c","d")))))</x:f>
        <x:v>d</x:v>
      </x:c>
      <x:c r="AA1888" s="12" t="str">
        <x:f>IF(OR(M1888="unavailable",O1888="unavailable"),"不可评价",IF(AND(OR(M1888="positive",M1888="equivocal"),OR(O1888="positive",O1888="equivocal")),"a",IF(OR(O1888="positive",O1888="equivocal"),"b",IF(OR(M1888="positive",M1888="equivocal"),"c","d"))))</x:f>
        <x:v>d</x:v>
      </x:c>
      <x:c r="AB1888" s="12" t="str">
        <x:f>IF(OR(M1888="unavailable",O1888="unavailable"),"不可评价",IF(AND(M1888="positive",O1888="positive"),"a",IF(O1888="positive","b",IF(M1888="positive","c","d"))))</x:f>
        <x:v>d</x:v>
      </x:c>
      <x:c r="AC1888" s="12" t="str">
        <x:f>IF(OR(R1888="unavailable",T1888="unavailable"),"不可评价",IF(AND(OR(R1888="positive",R1888="equivocal"),OR(T1888="positive",T1888="equivocal")),"a",IF(OR(T1888="positive",T1888="equivocal"),"b",IF(OR(R1888="positive",R1888="equivocal"),"c","d"))))</x:f>
        <x:v>d</x:v>
      </x:c>
      <x:c r="AD1888" s="12" t="str">
        <x:f>IF(OR(R1888="unavailable",T1888="unavailable"),"不可评价",IF(AND(R1888="positive",T1888="positive"),"a",IF(T1888="positive","b",IF(R1888="positive","c","d"))))</x:f>
        <x:v>d</x:v>
      </x:c>
      <x:c r="AE1888" s="12" t="str">
        <x:f>IF(OR(W1888="unavailable",Y1888="unavailable"),"不可评价",IF(AND(OR(W1888="positive",W1888="equivocal"),OR(Y1888="positive",Y1888="equivocal")),"a",IF(OR(Y1888="positive",Y1888="equivocal"),"b",IF(OR(W1888="positive",W1888="equivocal"),"c","d"))))</x:f>
        <x:v>d</x:v>
      </x:c>
      <x:c r="AF1888" s="12" t="str">
        <x:f>IF(OR(W1888="unavailable",Y1888="unavailable"),"不可评价",IF(AND(W1888="positive",Y1888="positive"),"a",IF(Y1888="positive","b",IF(W1888="positive","c","d"))))</x:f>
        <x:v>d</x:v>
      </x:c>
    </x:row>
    <x:row r="1889" ht="24" customHeight="1">
      <x:c r="A1889" s="12" t="str">
        <x:v>17918</x:v>
      </x:c>
      <x:c r="B1889" s="12" t="str">
        <x:v>15619</x:v>
      </x:c>
      <x:c r="C1889" s="21" t="n">
        <x:v>35585.33987268519</x:v>
      </x:c>
      <x:c r="D1889" s="12" t="n">
        <x:v>45</x:v>
      </x:c>
      <x:c r="E1889" s="12" t="n">
        <x:v>0</x:v>
      </x:c>
      <x:c r="F1889" s="12" t="str">
        <x:v>未记录</x:v>
      </x:c>
      <x:c r="G1889" s="12" t="n">
        <x:v>1</x:v>
      </x:c>
      <x:c r="H1889" s="12" t="str">
        <x:v>{'NORM': 100.0, 'SR': 0.0}</x:v>
      </x:c>
      <x:c r="I1889" s="12" t="str">
        <x:v>[('SBRAD', 100.0), ('ABR', 100.0)]</x:v>
      </x:c>
      <x:c r="J1889" s="12" t="str">
        <x:v>ptbxl_database.csv；ecg_id=17918；scp_codes</x:v>
      </x:c>
      <x:c r="K1889" s="12" t="str">
        <x:v>12sl_statements.csv；ecg_id=17918；statements_ext_snomed</x:v>
      </x:c>
      <x:c r="L1889" s="12"/>
      <x:c r="M1889" s="12" t="str">
        <x:v>negative</x:v>
      </x:c>
      <x:c r="N1889" s="12"/>
      <x:c r="O1889" s="12" t="str">
        <x:v>negative</x:v>
      </x:c>
      <x:c r="P1889" s="12" t="str">
        <x:f>IF(OR(M1889="unavailable",O1889="unavailable"),"不可评价",IF(OR(M1889="equivocal",O1889="equivocal"),"疑似",IF(AND(M1889="positive",O1889="positive"),"a",IF(O1889="positive","b",IF(M1889="positive","c","d")))))</x:f>
        <x:v>d</x:v>
      </x:c>
      <x:c r="Q1889" s="12"/>
      <x:c r="R1889" s="12" t="str">
        <x:v>negative</x:v>
      </x:c>
      <x:c r="S1889" s="12"/>
      <x:c r="T1889" s="12" t="str">
        <x:v>negative</x:v>
      </x:c>
      <x:c r="U1889" s="12" t="str">
        <x:f>IF(OR(R1889="unavailable",T1889="unavailable"),"不可评价",IF(OR(R1889="equivocal",T1889="equivocal"),"疑似",IF(AND(R1889="positive",T1889="positive"),"a",IF(T1889="positive","b",IF(R1889="positive","c","d")))))</x:f>
        <x:v>d</x:v>
      </x:c>
      <x:c r="V1889" s="12"/>
      <x:c r="W1889" s="12" t="str">
        <x:v>negative</x:v>
      </x:c>
      <x:c r="X1889" s="12"/>
      <x:c r="Y1889" s="12" t="str">
        <x:v>negative</x:v>
      </x:c>
      <x:c r="Z1889" s="12" t="str">
        <x:f>IF(OR(W1889="unavailable",Y1889="unavailable"),"不可评价",IF(OR(W1889="equivocal",Y1889="equivocal"),"疑似",IF(AND(W1889="positive",Y1889="positive"),"a",IF(Y1889="positive","b",IF(W1889="positive","c","d")))))</x:f>
        <x:v>d</x:v>
      </x:c>
      <x:c r="AA1889" s="12" t="str">
        <x:f>IF(OR(M1889="unavailable",O1889="unavailable"),"不可评价",IF(AND(OR(M1889="positive",M1889="equivocal"),OR(O1889="positive",O1889="equivocal")),"a",IF(OR(O1889="positive",O1889="equivocal"),"b",IF(OR(M1889="positive",M1889="equivocal"),"c","d"))))</x:f>
        <x:v>d</x:v>
      </x:c>
      <x:c r="AB1889" s="12" t="str">
        <x:f>IF(OR(M1889="unavailable",O1889="unavailable"),"不可评价",IF(AND(M1889="positive",O1889="positive"),"a",IF(O1889="positive","b",IF(M1889="positive","c","d"))))</x:f>
        <x:v>d</x:v>
      </x:c>
      <x:c r="AC1889" s="12" t="str">
        <x:f>IF(OR(R1889="unavailable",T1889="unavailable"),"不可评价",IF(AND(OR(R1889="positive",R1889="equivocal"),OR(T1889="positive",T1889="equivocal")),"a",IF(OR(T1889="positive",T1889="equivocal"),"b",IF(OR(R1889="positive",R1889="equivocal"),"c","d"))))</x:f>
        <x:v>d</x:v>
      </x:c>
      <x:c r="AD1889" s="12" t="str">
        <x:f>IF(OR(R1889="unavailable",T1889="unavailable"),"不可评价",IF(AND(R1889="positive",T1889="positive"),"a",IF(T1889="positive","b",IF(R1889="positive","c","d"))))</x:f>
        <x:v>d</x:v>
      </x:c>
      <x:c r="AE1889" s="12" t="str">
        <x:f>IF(OR(W1889="unavailable",Y1889="unavailable"),"不可评价",IF(AND(OR(W1889="positive",W1889="equivocal"),OR(Y1889="positive",Y1889="equivocal")),"a",IF(OR(Y1889="positive",Y1889="equivocal"),"b",IF(OR(W1889="positive",W1889="equivocal"),"c","d"))))</x:f>
        <x:v>d</x:v>
      </x:c>
      <x:c r="AF1889" s="12" t="str">
        <x:f>IF(OR(W1889="unavailable",Y1889="unavailable"),"不可评价",IF(AND(W1889="positive",Y1889="positive"),"a",IF(Y1889="positive","b",IF(W1889="positive","c","d"))))</x:f>
        <x:v>d</x:v>
      </x:c>
    </x:row>
    <x:row r="1890" ht="24" customHeight="1">
      <x:c r="A1890" s="12" t="str">
        <x:v>17919</x:v>
      </x:c>
      <x:c r="B1890" s="12" t="str">
        <x:v>11785</x:v>
      </x:c>
      <x:c r="C1890" s="21" t="n">
        <x:v>35585.45355324074</x:v>
      </x:c>
      <x:c r="D1890" s="12" t="n">
        <x:v>62</x:v>
      </x:c>
      <x:c r="E1890" s="12" t="n">
        <x:v>1</x:v>
      </x:c>
      <x:c r="F1890" s="12" t="str">
        <x:v>未记录</x:v>
      </x:c>
      <x:c r="G1890" s="12" t="n">
        <x:v>1</x:v>
      </x:c>
      <x:c r="H1890" s="12" t="str">
        <x:v>{'NORM': 100.0, 'SR': 0.0}</x:v>
      </x:c>
      <x:c r="I1890" s="12" t="str">
        <x:v>[('NSR', 100.0), ('NT', 100.0), ('AB', 100.0)]</x:v>
      </x:c>
      <x:c r="J1890" s="12" t="str">
        <x:v>ptbxl_database.csv；ecg_id=17919；scp_codes</x:v>
      </x:c>
      <x:c r="K1890" s="12" t="str">
        <x:v>12sl_statements.csv；ecg_id=17919；statements_ext_snomed</x:v>
      </x:c>
      <x:c r="L1890" s="12"/>
      <x:c r="M1890" s="12" t="str">
        <x:v>negative</x:v>
      </x:c>
      <x:c r="N1890" s="12"/>
      <x:c r="O1890" s="12" t="str">
        <x:v>negative</x:v>
      </x:c>
      <x:c r="P1890" s="12" t="str">
        <x:f>IF(OR(M1890="unavailable",O1890="unavailable"),"不可评价",IF(OR(M1890="equivocal",O1890="equivocal"),"疑似",IF(AND(M1890="positive",O1890="positive"),"a",IF(O1890="positive","b",IF(M1890="positive","c","d")))))</x:f>
        <x:v>d</x:v>
      </x:c>
      <x:c r="Q1890" s="12"/>
      <x:c r="R1890" s="12" t="str">
        <x:v>negative</x:v>
      </x:c>
      <x:c r="S1890" s="12"/>
      <x:c r="T1890" s="12" t="str">
        <x:v>negative</x:v>
      </x:c>
      <x:c r="U1890" s="12" t="str">
        <x:f>IF(OR(R1890="unavailable",T1890="unavailable"),"不可评价",IF(OR(R1890="equivocal",T1890="equivocal"),"疑似",IF(AND(R1890="positive",T1890="positive"),"a",IF(T1890="positive","b",IF(R1890="positive","c","d")))))</x:f>
        <x:v>d</x:v>
      </x:c>
      <x:c r="V1890" s="12"/>
      <x:c r="W1890" s="12" t="str">
        <x:v>negative</x:v>
      </x:c>
      <x:c r="X1890" s="12"/>
      <x:c r="Y1890" s="12" t="str">
        <x:v>negative</x:v>
      </x:c>
      <x:c r="Z1890" s="12" t="str">
        <x:f>IF(OR(W1890="unavailable",Y1890="unavailable"),"不可评价",IF(OR(W1890="equivocal",Y1890="equivocal"),"疑似",IF(AND(W1890="positive",Y1890="positive"),"a",IF(Y1890="positive","b",IF(W1890="positive","c","d")))))</x:f>
        <x:v>d</x:v>
      </x:c>
      <x:c r="AA1890" s="12" t="str">
        <x:f>IF(OR(M1890="unavailable",O1890="unavailable"),"不可评价",IF(AND(OR(M1890="positive",M1890="equivocal"),OR(O1890="positive",O1890="equivocal")),"a",IF(OR(O1890="positive",O1890="equivocal"),"b",IF(OR(M1890="positive",M1890="equivocal"),"c","d"))))</x:f>
        <x:v>d</x:v>
      </x:c>
      <x:c r="AB1890" s="12" t="str">
        <x:f>IF(OR(M1890="unavailable",O1890="unavailable"),"不可评价",IF(AND(M1890="positive",O1890="positive"),"a",IF(O1890="positive","b",IF(M1890="positive","c","d"))))</x:f>
        <x:v>d</x:v>
      </x:c>
      <x:c r="AC1890" s="12" t="str">
        <x:f>IF(OR(R1890="unavailable",T1890="unavailable"),"不可评价",IF(AND(OR(R1890="positive",R1890="equivocal"),OR(T1890="positive",T1890="equivocal")),"a",IF(OR(T1890="positive",T1890="equivocal"),"b",IF(OR(R1890="positive",R1890="equivocal"),"c","d"))))</x:f>
        <x:v>d</x:v>
      </x:c>
      <x:c r="AD1890" s="12" t="str">
        <x:f>IF(OR(R1890="unavailable",T1890="unavailable"),"不可评价",IF(AND(R1890="positive",T1890="positive"),"a",IF(T1890="positive","b",IF(R1890="positive","c","d"))))</x:f>
        <x:v>d</x:v>
      </x:c>
      <x:c r="AE1890" s="12" t="str">
        <x:f>IF(OR(W1890="unavailable",Y1890="unavailable"),"不可评价",IF(AND(OR(W1890="positive",W1890="equivocal"),OR(Y1890="positive",Y1890="equivocal")),"a",IF(OR(Y1890="positive",Y1890="equivocal"),"b",IF(OR(W1890="positive",W1890="equivocal"),"c","d"))))</x:f>
        <x:v>d</x:v>
      </x:c>
      <x:c r="AF1890" s="12" t="str">
        <x:f>IF(OR(W1890="unavailable",Y1890="unavailable"),"不可评价",IF(AND(W1890="positive",Y1890="positive"),"a",IF(Y1890="positive","b",IF(W1890="positive","c","d"))))</x:f>
        <x:v>d</x:v>
      </x:c>
    </x:row>
    <x:row r="1891" ht="39" customHeight="1">
      <x:c r="A1891" s="12" t="str">
        <x:v>17920</x:v>
      </x:c>
      <x:c r="B1891" s="12" t="str">
        <x:v>11439</x:v>
      </x:c>
      <x:c r="C1891" s="21" t="n">
        <x:v>35586.25881944445</x:v>
      </x:c>
      <x:c r="D1891" s="12" t="n">
        <x:v>85</x:v>
      </x:c>
      <x:c r="E1891" s="12" t="n">
        <x:v>0</x:v>
      </x:c>
      <x:c r="F1891" s="12" t="str">
        <x:v>未记录</x:v>
      </x:c>
      <x:c r="G1891" s="12" t="n">
        <x:v>0</x:v>
      </x:c>
      <x:c r="H1891" s="12" t="str">
        <x:v>{'CRBBB': 100.0, 'LAFB': 100.0, 'SR': 0.0}</x:v>
      </x:c>
      <x:c r="I1891" s="12" t="str">
        <x:v>[('SRTH', 100.0), ('MSAR', 100.0), ('PSVC', 100.0), ('VESC', 100.0), ('RBBB', 100.0), ('AFB', 100.0), ('BIFB', 100.0), ('AB', 100.0)]</x:v>
      </x:c>
      <x:c r="J1891" s="12" t="str">
        <x:v>ptbxl_database.csv；ecg_id=17920；scp_codes</x:v>
      </x:c>
      <x:c r="K1891" s="12" t="str">
        <x:v>12sl_statements.csv；ecg_id=17920；statements_ext_snomed</x:v>
      </x:c>
      <x:c r="L1891" s="12"/>
      <x:c r="M1891" s="12" t="str">
        <x:v>negative</x:v>
      </x:c>
      <x:c r="N1891" s="12"/>
      <x:c r="O1891" s="12" t="str">
        <x:v>negative</x:v>
      </x:c>
      <x:c r="P1891" s="12" t="str">
        <x:f>IF(OR(M1891="unavailable",O1891="unavailable"),"不可评价",IF(OR(M1891="equivocal",O1891="equivocal"),"疑似",IF(AND(M1891="positive",O1891="positive"),"a",IF(O1891="positive","b",IF(M1891="positive","c","d")))))</x:f>
        <x:v>d</x:v>
      </x:c>
      <x:c r="Q1891" s="12"/>
      <x:c r="R1891" s="12" t="str">
        <x:v>negative</x:v>
      </x:c>
      <x:c r="S1891" s="12"/>
      <x:c r="T1891" s="12" t="str">
        <x:v>negative</x:v>
      </x:c>
      <x:c r="U1891" s="12" t="str">
        <x:f>IF(OR(R1891="unavailable",T1891="unavailable"),"不可评价",IF(OR(R1891="equivocal",T1891="equivocal"),"疑似",IF(AND(R1891="positive",T1891="positive"),"a",IF(T1891="positive","b",IF(R1891="positive","c","d")))))</x:f>
        <x:v>d</x:v>
      </x:c>
      <x:c r="V1891" s="12" t="n">
        <x:v>100</x:v>
      </x:c>
      <x:c r="W1891" s="12" t="str">
        <x:v>positive</x:v>
      </x:c>
      <x:c r="X1891" s="12" t="n">
        <x:v>100</x:v>
      </x:c>
      <x:c r="Y1891" s="12" t="str">
        <x:v>positive</x:v>
      </x:c>
      <x:c r="Z1891" s="12" t="str">
        <x:f>IF(OR(W1891="unavailable",Y1891="unavailable"),"不可评价",IF(OR(W1891="equivocal",Y1891="equivocal"),"疑似",IF(AND(W1891="positive",Y1891="positive"),"a",IF(Y1891="positive","b",IF(W1891="positive","c","d")))))</x:f>
        <x:v>a</x:v>
      </x:c>
      <x:c r="AA1891" s="12" t="str">
        <x:f>IF(OR(M1891="unavailable",O1891="unavailable"),"不可评价",IF(AND(OR(M1891="positive",M1891="equivocal"),OR(O1891="positive",O1891="equivocal")),"a",IF(OR(O1891="positive",O1891="equivocal"),"b",IF(OR(M1891="positive",M1891="equivocal"),"c","d"))))</x:f>
        <x:v>d</x:v>
      </x:c>
      <x:c r="AB1891" s="12" t="str">
        <x:f>IF(OR(M1891="unavailable",O1891="unavailable"),"不可评价",IF(AND(M1891="positive",O1891="positive"),"a",IF(O1891="positive","b",IF(M1891="positive","c","d"))))</x:f>
        <x:v>d</x:v>
      </x:c>
      <x:c r="AC1891" s="12" t="str">
        <x:f>IF(OR(R1891="unavailable",T1891="unavailable"),"不可评价",IF(AND(OR(R1891="positive",R1891="equivocal"),OR(T1891="positive",T1891="equivocal")),"a",IF(OR(T1891="positive",T1891="equivocal"),"b",IF(OR(R1891="positive",R1891="equivocal"),"c","d"))))</x:f>
        <x:v>d</x:v>
      </x:c>
      <x:c r="AD1891" s="12" t="str">
        <x:f>IF(OR(R1891="unavailable",T1891="unavailable"),"不可评价",IF(AND(R1891="positive",T1891="positive"),"a",IF(T1891="positive","b",IF(R1891="positive","c","d"))))</x:f>
        <x:v>d</x:v>
      </x:c>
      <x:c r="AE1891" s="12" t="str">
        <x:f>IF(OR(W1891="unavailable",Y1891="unavailable"),"不可评价",IF(AND(OR(W1891="positive",W1891="equivocal"),OR(Y1891="positive",Y1891="equivocal")),"a",IF(OR(Y1891="positive",Y1891="equivocal"),"b",IF(OR(W1891="positive",W1891="equivocal"),"c","d"))))</x:f>
        <x:v>a</x:v>
      </x:c>
      <x:c r="AF1891" s="12" t="str">
        <x:f>IF(OR(W1891="unavailable",Y1891="unavailable"),"不可评价",IF(AND(W1891="positive",Y1891="positive"),"a",IF(Y1891="positive","b",IF(W1891="positive","c","d"))))</x:f>
        <x:v>a</x:v>
      </x:c>
    </x:row>
    <x:row r="1892" ht="24" customHeight="1">
      <x:c r="A1892" s="12" t="str">
        <x:v>17921</x:v>
      </x:c>
      <x:c r="B1892" s="12" t="str">
        <x:v>18112</x:v>
      </x:c>
      <x:c r="C1892" s="21" t="n">
        <x:v>35586.85103009259</x:v>
      </x:c>
      <x:c r="D1892" s="12" t="n">
        <x:v>83</x:v>
      </x:c>
      <x:c r="E1892" s="12" t="n">
        <x:v>1</x:v>
      </x:c>
      <x:c r="F1892" s="12" t="str">
        <x:v>未记录</x:v>
      </x:c>
      <x:c r="G1892" s="12" t="n">
        <x:v>1</x:v>
      </x:c>
      <x:c r="H1892" s="12" t="str">
        <x:v>{'NORM': 80.0, 'STACH': 0.0}</x:v>
      </x:c>
      <x:c r="I1892" s="12" t="str">
        <x:v>[('STACH', 100.0), ('ABR', 100.0)]</x:v>
      </x:c>
      <x:c r="J1892" s="12" t="str">
        <x:v>ptbxl_database.csv；ecg_id=17921；scp_codes</x:v>
      </x:c>
      <x:c r="K1892" s="12" t="str">
        <x:v>12sl_statements.csv；ecg_id=17921；statements_ext_snomed</x:v>
      </x:c>
      <x:c r="L1892" s="12"/>
      <x:c r="M1892" s="12" t="str">
        <x:v>negative</x:v>
      </x:c>
      <x:c r="N1892" s="12"/>
      <x:c r="O1892" s="12" t="str">
        <x:v>negative</x:v>
      </x:c>
      <x:c r="P1892" s="12" t="str">
        <x:f>IF(OR(M1892="unavailable",O1892="unavailable"),"不可评价",IF(OR(M1892="equivocal",O1892="equivocal"),"疑似",IF(AND(M1892="positive",O1892="positive"),"a",IF(O1892="positive","b",IF(M1892="positive","c","d")))))</x:f>
        <x:v>d</x:v>
      </x:c>
      <x:c r="Q1892" s="12"/>
      <x:c r="R1892" s="12" t="str">
        <x:v>negative</x:v>
      </x:c>
      <x:c r="S1892" s="12"/>
      <x:c r="T1892" s="12" t="str">
        <x:v>negative</x:v>
      </x:c>
      <x:c r="U1892" s="12" t="str">
        <x:f>IF(OR(R1892="unavailable",T1892="unavailable"),"不可评价",IF(OR(R1892="equivocal",T1892="equivocal"),"疑似",IF(AND(R1892="positive",T1892="positive"),"a",IF(T1892="positive","b",IF(R1892="positive","c","d")))))</x:f>
        <x:v>d</x:v>
      </x:c>
      <x:c r="V1892" s="12"/>
      <x:c r="W1892" s="12" t="str">
        <x:v>negative</x:v>
      </x:c>
      <x:c r="X1892" s="12"/>
      <x:c r="Y1892" s="12" t="str">
        <x:v>negative</x:v>
      </x:c>
      <x:c r="Z1892" s="12" t="str">
        <x:f>IF(OR(W1892="unavailable",Y1892="unavailable"),"不可评价",IF(OR(W1892="equivocal",Y1892="equivocal"),"疑似",IF(AND(W1892="positive",Y1892="positive"),"a",IF(Y1892="positive","b",IF(W1892="positive","c","d")))))</x:f>
        <x:v>d</x:v>
      </x:c>
      <x:c r="AA1892" s="12" t="str">
        <x:f>IF(OR(M1892="unavailable",O1892="unavailable"),"不可评价",IF(AND(OR(M1892="positive",M1892="equivocal"),OR(O1892="positive",O1892="equivocal")),"a",IF(OR(O1892="positive",O1892="equivocal"),"b",IF(OR(M1892="positive",M1892="equivocal"),"c","d"))))</x:f>
        <x:v>d</x:v>
      </x:c>
      <x:c r="AB1892" s="12" t="str">
        <x:f>IF(OR(M1892="unavailable",O1892="unavailable"),"不可评价",IF(AND(M1892="positive",O1892="positive"),"a",IF(O1892="positive","b",IF(M1892="positive","c","d"))))</x:f>
        <x:v>d</x:v>
      </x:c>
      <x:c r="AC1892" s="12" t="str">
        <x:f>IF(OR(R1892="unavailable",T1892="unavailable"),"不可评价",IF(AND(OR(R1892="positive",R1892="equivocal"),OR(T1892="positive",T1892="equivocal")),"a",IF(OR(T1892="positive",T1892="equivocal"),"b",IF(OR(R1892="positive",R1892="equivocal"),"c","d"))))</x:f>
        <x:v>d</x:v>
      </x:c>
      <x:c r="AD1892" s="12" t="str">
        <x:f>IF(OR(R1892="unavailable",T1892="unavailable"),"不可评价",IF(AND(R1892="positive",T1892="positive"),"a",IF(T1892="positive","b",IF(R1892="positive","c","d"))))</x:f>
        <x:v>d</x:v>
      </x:c>
      <x:c r="AE1892" s="12" t="str">
        <x:f>IF(OR(W1892="unavailable",Y1892="unavailable"),"不可评价",IF(AND(OR(W1892="positive",W1892="equivocal"),OR(Y1892="positive",Y1892="equivocal")),"a",IF(OR(Y1892="positive",Y1892="equivocal"),"b",IF(OR(W1892="positive",W1892="equivocal"),"c","d"))))</x:f>
        <x:v>d</x:v>
      </x:c>
      <x:c r="AF1892" s="12" t="str">
        <x:f>IF(OR(W1892="unavailable",Y1892="unavailable"),"不可评价",IF(AND(W1892="positive",Y1892="positive"),"a",IF(Y1892="positive","b",IF(W1892="positive","c","d"))))</x:f>
        <x:v>d</x:v>
      </x:c>
    </x:row>
    <x:row r="1893" ht="24" customHeight="1">
      <x:c r="A1893" s="12" t="str">
        <x:v>17935</x:v>
      </x:c>
      <x:c r="B1893" s="12" t="str">
        <x:v>14195</x:v>
      </x:c>
      <x:c r="C1893" s="21" t="n">
        <x:v>35595.469560185185</x:v>
      </x:c>
      <x:c r="D1893" s="12" t="n">
        <x:v>65</x:v>
      </x:c>
      <x:c r="E1893" s="12" t="n">
        <x:v>0</x:v>
      </x:c>
      <x:c r="F1893" s="12" t="str">
        <x:v>未记录</x:v>
      </x:c>
      <x:c r="G1893" s="12" t="n">
        <x:v>1</x:v>
      </x:c>
      <x:c r="H1893" s="12" t="str">
        <x:v>{'NORM': 100.0, 'SR': 0.0}</x:v>
      </x:c>
      <x:c r="I1893" s="12" t="str">
        <x:v>[('NSR', 100.0), ('LNGQT', 100.0), ('AB', 100.0)]</x:v>
      </x:c>
      <x:c r="J1893" s="12" t="str">
        <x:v>ptbxl_database.csv；ecg_id=17935；scp_codes</x:v>
      </x:c>
      <x:c r="K1893" s="12" t="str">
        <x:v>12sl_statements.csv；ecg_id=17935；statements_ext_snomed</x:v>
      </x:c>
      <x:c r="L1893" s="12"/>
      <x:c r="M1893" s="12" t="str">
        <x:v>negative</x:v>
      </x:c>
      <x:c r="N1893" s="12"/>
      <x:c r="O1893" s="12" t="str">
        <x:v>negative</x:v>
      </x:c>
      <x:c r="P1893" s="12" t="str">
        <x:f>IF(OR(M1893="unavailable",O1893="unavailable"),"不可评价",IF(OR(M1893="equivocal",O1893="equivocal"),"疑似",IF(AND(M1893="positive",O1893="positive"),"a",IF(O1893="positive","b",IF(M1893="positive","c","d")))))</x:f>
        <x:v>d</x:v>
      </x:c>
      <x:c r="Q1893" s="12"/>
      <x:c r="R1893" s="12" t="str">
        <x:v>negative</x:v>
      </x:c>
      <x:c r="S1893" s="12"/>
      <x:c r="T1893" s="12" t="str">
        <x:v>negative</x:v>
      </x:c>
      <x:c r="U1893" s="12" t="str">
        <x:f>IF(OR(R1893="unavailable",T1893="unavailable"),"不可评价",IF(OR(R1893="equivocal",T1893="equivocal"),"疑似",IF(AND(R1893="positive",T1893="positive"),"a",IF(T1893="positive","b",IF(R1893="positive","c","d")))))</x:f>
        <x:v>d</x:v>
      </x:c>
      <x:c r="V1893" s="12"/>
      <x:c r="W1893" s="12" t="str">
        <x:v>negative</x:v>
      </x:c>
      <x:c r="X1893" s="12"/>
      <x:c r="Y1893" s="12" t="str">
        <x:v>negative</x:v>
      </x:c>
      <x:c r="Z1893" s="12" t="str">
        <x:f>IF(OR(W1893="unavailable",Y1893="unavailable"),"不可评价",IF(OR(W1893="equivocal",Y1893="equivocal"),"疑似",IF(AND(W1893="positive",Y1893="positive"),"a",IF(Y1893="positive","b",IF(W1893="positive","c","d")))))</x:f>
        <x:v>d</x:v>
      </x:c>
      <x:c r="AA1893" s="12" t="str">
        <x:f>IF(OR(M1893="unavailable",O1893="unavailable"),"不可评价",IF(AND(OR(M1893="positive",M1893="equivocal"),OR(O1893="positive",O1893="equivocal")),"a",IF(OR(O1893="positive",O1893="equivocal"),"b",IF(OR(M1893="positive",M1893="equivocal"),"c","d"))))</x:f>
        <x:v>d</x:v>
      </x:c>
      <x:c r="AB1893" s="12" t="str">
        <x:f>IF(OR(M1893="unavailable",O1893="unavailable"),"不可评价",IF(AND(M1893="positive",O1893="positive"),"a",IF(O1893="positive","b",IF(M1893="positive","c","d"))))</x:f>
        <x:v>d</x:v>
      </x:c>
      <x:c r="AC1893" s="12" t="str">
        <x:f>IF(OR(R1893="unavailable",T1893="unavailable"),"不可评价",IF(AND(OR(R1893="positive",R1893="equivocal"),OR(T1893="positive",T1893="equivocal")),"a",IF(OR(T1893="positive",T1893="equivocal"),"b",IF(OR(R1893="positive",R1893="equivocal"),"c","d"))))</x:f>
        <x:v>d</x:v>
      </x:c>
      <x:c r="AD1893" s="12" t="str">
        <x:f>IF(OR(R1893="unavailable",T1893="unavailable"),"不可评价",IF(AND(R1893="positive",T1893="positive"),"a",IF(T1893="positive","b",IF(R1893="positive","c","d"))))</x:f>
        <x:v>d</x:v>
      </x:c>
      <x:c r="AE1893" s="12" t="str">
        <x:f>IF(OR(W1893="unavailable",Y1893="unavailable"),"不可评价",IF(AND(OR(W1893="positive",W1893="equivocal"),OR(Y1893="positive",Y1893="equivocal")),"a",IF(OR(Y1893="positive",Y1893="equivocal"),"b",IF(OR(W1893="positive",W1893="equivocal"),"c","d"))))</x:f>
        <x:v>d</x:v>
      </x:c>
      <x:c r="AF1893" s="12" t="str">
        <x:f>IF(OR(W1893="unavailable",Y1893="unavailable"),"不可评价",IF(AND(W1893="positive",Y1893="positive"),"a",IF(Y1893="positive","b",IF(W1893="positive","c","d"))))</x:f>
        <x:v>d</x:v>
      </x:c>
    </x:row>
    <x:row r="1894" ht="24" customHeight="1">
      <x:c r="A1894" s="12" t="str">
        <x:v>17936</x:v>
      </x:c>
      <x:c r="B1894" s="12" t="str">
        <x:v>18652</x:v>
      </x:c>
      <x:c r="C1894" s="21" t="n">
        <x:v>35595.50158564815</x:v>
      </x:c>
      <x:c r="D1894" s="12" t="n">
        <x:v>30</x:v>
      </x:c>
      <x:c r="E1894" s="12" t="n">
        <x:v>0</x:v>
      </x:c>
      <x:c r="F1894" s="12" t="str">
        <x:v>存在</x:v>
      </x:c>
      <x:c r="G1894" s="12" t="n">
        <x:v>1</x:v>
      </x:c>
      <x:c r="H1894" s="12" t="str">
        <x:v>{'IRBBB': 100.0, 'SR': 0.0}</x:v>
      </x:c>
      <x:c r="I1894" s="12" t="str">
        <x:v>[('NSR', 100.0), ('NML', 100.0)]</x:v>
      </x:c>
      <x:c r="J1894" s="12" t="str">
        <x:v>ptbxl_database.csv；ecg_id=17936；scp_codes</x:v>
      </x:c>
      <x:c r="K1894" s="12" t="str">
        <x:v>12sl_statements.csv；ecg_id=17936；statements_ext_snomed</x:v>
      </x:c>
      <x:c r="L1894" s="12"/>
      <x:c r="M1894" s="12" t="str">
        <x:v>negative</x:v>
      </x:c>
      <x:c r="N1894" s="12"/>
      <x:c r="O1894" s="12" t="str">
        <x:v>negative</x:v>
      </x:c>
      <x:c r="P1894" s="12" t="str">
        <x:f>IF(OR(M1894="unavailable",O1894="unavailable"),"不可评价",IF(OR(M1894="equivocal",O1894="equivocal"),"疑似",IF(AND(M1894="positive",O1894="positive"),"a",IF(O1894="positive","b",IF(M1894="positive","c","d")))))</x:f>
        <x:v>d</x:v>
      </x:c>
      <x:c r="Q1894" s="12"/>
      <x:c r="R1894" s="12" t="str">
        <x:v>negative</x:v>
      </x:c>
      <x:c r="S1894" s="12"/>
      <x:c r="T1894" s="12" t="str">
        <x:v>negative</x:v>
      </x:c>
      <x:c r="U1894" s="12" t="str">
        <x:f>IF(OR(R1894="unavailable",T1894="unavailable"),"不可评价",IF(OR(R1894="equivocal",T1894="equivocal"),"疑似",IF(AND(R1894="positive",T1894="positive"),"a",IF(T1894="positive","b",IF(R1894="positive","c","d")))))</x:f>
        <x:v>d</x:v>
      </x:c>
      <x:c r="V1894" s="12"/>
      <x:c r="W1894" s="12" t="str">
        <x:v>negative</x:v>
      </x:c>
      <x:c r="X1894" s="12"/>
      <x:c r="Y1894" s="12" t="str">
        <x:v>negative</x:v>
      </x:c>
      <x:c r="Z1894" s="12" t="str">
        <x:f>IF(OR(W1894="unavailable",Y1894="unavailable"),"不可评价",IF(OR(W1894="equivocal",Y1894="equivocal"),"疑似",IF(AND(W1894="positive",Y1894="positive"),"a",IF(Y1894="positive","b",IF(W1894="positive","c","d")))))</x:f>
        <x:v>d</x:v>
      </x:c>
      <x:c r="AA1894" s="12" t="str">
        <x:f>IF(OR(M1894="unavailable",O1894="unavailable"),"不可评价",IF(AND(OR(M1894="positive",M1894="equivocal"),OR(O1894="positive",O1894="equivocal")),"a",IF(OR(O1894="positive",O1894="equivocal"),"b",IF(OR(M1894="positive",M1894="equivocal"),"c","d"))))</x:f>
        <x:v>d</x:v>
      </x:c>
      <x:c r="AB1894" s="12" t="str">
        <x:f>IF(OR(M1894="unavailable",O1894="unavailable"),"不可评价",IF(AND(M1894="positive",O1894="positive"),"a",IF(O1894="positive","b",IF(M1894="positive","c","d"))))</x:f>
        <x:v>d</x:v>
      </x:c>
      <x:c r="AC1894" s="12" t="str">
        <x:f>IF(OR(R1894="unavailable",T1894="unavailable"),"不可评价",IF(AND(OR(R1894="positive",R1894="equivocal"),OR(T1894="positive",T1894="equivocal")),"a",IF(OR(T1894="positive",T1894="equivocal"),"b",IF(OR(R1894="positive",R1894="equivocal"),"c","d"))))</x:f>
        <x:v>d</x:v>
      </x:c>
      <x:c r="AD1894" s="12" t="str">
        <x:f>IF(OR(R1894="unavailable",T1894="unavailable"),"不可评价",IF(AND(R1894="positive",T1894="positive"),"a",IF(T1894="positive","b",IF(R1894="positive","c","d"))))</x:f>
        <x:v>d</x:v>
      </x:c>
      <x:c r="AE1894" s="12" t="str">
        <x:f>IF(OR(W1894="unavailable",Y1894="unavailable"),"不可评价",IF(AND(OR(W1894="positive",W1894="equivocal"),OR(Y1894="positive",Y1894="equivocal")),"a",IF(OR(Y1894="positive",Y1894="equivocal"),"b",IF(OR(W1894="positive",W1894="equivocal"),"c","d"))))</x:f>
        <x:v>d</x:v>
      </x:c>
      <x:c r="AF1894" s="12" t="str">
        <x:f>IF(OR(W1894="unavailable",Y1894="unavailable"),"不可评价",IF(AND(W1894="positive",Y1894="positive"),"a",IF(Y1894="positive","b",IF(W1894="positive","c","d"))))</x:f>
        <x:v>d</x:v>
      </x:c>
    </x:row>
    <x:row r="1895" ht="24" customHeight="1">
      <x:c r="A1895" s="12" t="str">
        <x:v>17937</x:v>
      </x:c>
      <x:c r="B1895" s="12" t="str">
        <x:v>19059</x:v>
      </x:c>
      <x:c r="C1895" s="21" t="n">
        <x:v>35595.55778935185</x:v>
      </x:c>
      <x:c r="D1895" s="12" t="n">
        <x:v>73</x:v>
      </x:c>
      <x:c r="E1895" s="12" t="n">
        <x:v>1</x:v>
      </x:c>
      <x:c r="F1895" s="12" t="str">
        <x:v>未记录</x:v>
      </x:c>
      <x:c r="G1895" s="12" t="n">
        <x:v>0</x:v>
      </x:c>
      <x:c r="H1895" s="12" t="str">
        <x:v>{'1AVB': 100.0, 'LAO/LAE': 100.0, 'SR': 0.0}</x:v>
      </x:c>
      <x:c r="I1895" s="12" t="str">
        <x:v>[('NSR', 100.0), ('LAE', 50.0), ('BORDE', 100.0)]</x:v>
      </x:c>
      <x:c r="J1895" s="12" t="str">
        <x:v>ptbxl_database.csv；ecg_id=17937；scp_codes</x:v>
      </x:c>
      <x:c r="K1895" s="12" t="str">
        <x:v>12sl_statements.csv；ecg_id=17937；statements_ext_snomed</x:v>
      </x:c>
      <x:c r="L1895" s="12"/>
      <x:c r="M1895" s="12" t="str">
        <x:v>negative</x:v>
      </x:c>
      <x:c r="N1895" s="12"/>
      <x:c r="O1895" s="12" t="str">
        <x:v>negative</x:v>
      </x:c>
      <x:c r="P1895" s="12" t="str">
        <x:f>IF(OR(M1895="unavailable",O1895="unavailable"),"不可评价",IF(OR(M1895="equivocal",O1895="equivocal"),"疑似",IF(AND(M1895="positive",O1895="positive"),"a",IF(O1895="positive","b",IF(M1895="positive","c","d")))))</x:f>
        <x:v>d</x:v>
      </x:c>
      <x:c r="Q1895" s="12"/>
      <x:c r="R1895" s="12" t="str">
        <x:v>negative</x:v>
      </x:c>
      <x:c r="S1895" s="12"/>
      <x:c r="T1895" s="12" t="str">
        <x:v>negative</x:v>
      </x:c>
      <x:c r="U1895" s="12" t="str">
        <x:f>IF(OR(R1895="unavailable",T1895="unavailable"),"不可评价",IF(OR(R1895="equivocal",T1895="equivocal"),"疑似",IF(AND(R1895="positive",T1895="positive"),"a",IF(T1895="positive","b",IF(R1895="positive","c","d")))))</x:f>
        <x:v>d</x:v>
      </x:c>
      <x:c r="V1895" s="12"/>
      <x:c r="W1895" s="12" t="str">
        <x:v>negative</x:v>
      </x:c>
      <x:c r="X1895" s="12"/>
      <x:c r="Y1895" s="12" t="str">
        <x:v>negative</x:v>
      </x:c>
      <x:c r="Z1895" s="12" t="str">
        <x:f>IF(OR(W1895="unavailable",Y1895="unavailable"),"不可评价",IF(OR(W1895="equivocal",Y1895="equivocal"),"疑似",IF(AND(W1895="positive",Y1895="positive"),"a",IF(Y1895="positive","b",IF(W1895="positive","c","d")))))</x:f>
        <x:v>d</x:v>
      </x:c>
      <x:c r="AA1895" s="12" t="str">
        <x:f>IF(OR(M1895="unavailable",O1895="unavailable"),"不可评价",IF(AND(OR(M1895="positive",M1895="equivocal"),OR(O1895="positive",O1895="equivocal")),"a",IF(OR(O1895="positive",O1895="equivocal"),"b",IF(OR(M1895="positive",M1895="equivocal"),"c","d"))))</x:f>
        <x:v>d</x:v>
      </x:c>
      <x:c r="AB1895" s="12" t="str">
        <x:f>IF(OR(M1895="unavailable",O1895="unavailable"),"不可评价",IF(AND(M1895="positive",O1895="positive"),"a",IF(O1895="positive","b",IF(M1895="positive","c","d"))))</x:f>
        <x:v>d</x:v>
      </x:c>
      <x:c r="AC1895" s="12" t="str">
        <x:f>IF(OR(R1895="unavailable",T1895="unavailable"),"不可评价",IF(AND(OR(R1895="positive",R1895="equivocal"),OR(T1895="positive",T1895="equivocal")),"a",IF(OR(T1895="positive",T1895="equivocal"),"b",IF(OR(R1895="positive",R1895="equivocal"),"c","d"))))</x:f>
        <x:v>d</x:v>
      </x:c>
      <x:c r="AD1895" s="12" t="str">
        <x:f>IF(OR(R1895="unavailable",T1895="unavailable"),"不可评价",IF(AND(R1895="positive",T1895="positive"),"a",IF(T1895="positive","b",IF(R1895="positive","c","d"))))</x:f>
        <x:v>d</x:v>
      </x:c>
      <x:c r="AE1895" s="12" t="str">
        <x:f>IF(OR(W1895="unavailable",Y1895="unavailable"),"不可评价",IF(AND(OR(W1895="positive",W1895="equivocal"),OR(Y1895="positive",Y1895="equivocal")),"a",IF(OR(Y1895="positive",Y1895="equivocal"),"b",IF(OR(W1895="positive",W1895="equivocal"),"c","d"))))</x:f>
        <x:v>d</x:v>
      </x:c>
      <x:c r="AF1895" s="12" t="str">
        <x:f>IF(OR(W1895="unavailable",Y1895="unavailable"),"不可评价",IF(AND(W1895="positive",Y1895="positive"),"a",IF(Y1895="positive","b",IF(W1895="positive","c","d"))))</x:f>
        <x:v>d</x:v>
      </x:c>
    </x:row>
    <x:row r="1896" ht="24" customHeight="1">
      <x:c r="A1896" s="12" t="str">
        <x:v>17951</x:v>
      </x:c>
      <x:c r="B1896" s="12" t="str">
        <x:v>16102</x:v>
      </x:c>
      <x:c r="C1896" s="21" t="n">
        <x:v>35603.27548611111</x:v>
      </x:c>
      <x:c r="D1896" s="12" t="n">
        <x:v>52</x:v>
      </x:c>
      <x:c r="E1896" s="12" t="n">
        <x:v>1</x:v>
      </x:c>
      <x:c r="F1896" s="12" t="str">
        <x:v>存在</x:v>
      </x:c>
      <x:c r="G1896" s="12" t="n">
        <x:v>1</x:v>
      </x:c>
      <x:c r="H1896" s="12" t="str">
        <x:v>{'AMI': 100.0, 'ABQRS': 0.0, 'SR': 0.0}</x:v>
      </x:c>
      <x:c r="I1896" s="12" t="str">
        <x:v>[('NSR', 100.0), ('SMI;AU', 100.0), ('AB', 100.0)]</x:v>
      </x:c>
      <x:c r="J1896" s="12" t="str">
        <x:v>ptbxl_database.csv；ecg_id=17951；scp_codes</x:v>
      </x:c>
      <x:c r="K1896" s="12" t="str">
        <x:v>12sl_statements.csv；ecg_id=17951；statements_ext_snomed</x:v>
      </x:c>
      <x:c r="L1896" s="12"/>
      <x:c r="M1896" s="12" t="str">
        <x:v>negative</x:v>
      </x:c>
      <x:c r="N1896" s="12"/>
      <x:c r="O1896" s="12" t="str">
        <x:v>negative</x:v>
      </x:c>
      <x:c r="P1896" s="12" t="str">
        <x:f>IF(OR(M1896="unavailable",O1896="unavailable"),"不可评价",IF(OR(M1896="equivocal",O1896="equivocal"),"疑似",IF(AND(M1896="positive",O1896="positive"),"a",IF(O1896="positive","b",IF(M1896="positive","c","d")))))</x:f>
        <x:v>d</x:v>
      </x:c>
      <x:c r="Q1896" s="12"/>
      <x:c r="R1896" s="12" t="str">
        <x:v>negative</x:v>
      </x:c>
      <x:c r="S1896" s="12"/>
      <x:c r="T1896" s="12" t="str">
        <x:v>negative</x:v>
      </x:c>
      <x:c r="U1896" s="12" t="str">
        <x:f>IF(OR(R1896="unavailable",T1896="unavailable"),"不可评价",IF(OR(R1896="equivocal",T1896="equivocal"),"疑似",IF(AND(R1896="positive",T1896="positive"),"a",IF(T1896="positive","b",IF(R1896="positive","c","d")))))</x:f>
        <x:v>d</x:v>
      </x:c>
      <x:c r="V1896" s="12"/>
      <x:c r="W1896" s="12" t="str">
        <x:v>negative</x:v>
      </x:c>
      <x:c r="X1896" s="12"/>
      <x:c r="Y1896" s="12" t="str">
        <x:v>negative</x:v>
      </x:c>
      <x:c r="Z1896" s="12" t="str">
        <x:f>IF(OR(W1896="unavailable",Y1896="unavailable"),"不可评价",IF(OR(W1896="equivocal",Y1896="equivocal"),"疑似",IF(AND(W1896="positive",Y1896="positive"),"a",IF(Y1896="positive","b",IF(W1896="positive","c","d")))))</x:f>
        <x:v>d</x:v>
      </x:c>
      <x:c r="AA1896" s="12" t="str">
        <x:f>IF(OR(M1896="unavailable",O1896="unavailable"),"不可评价",IF(AND(OR(M1896="positive",M1896="equivocal"),OR(O1896="positive",O1896="equivocal")),"a",IF(OR(O1896="positive",O1896="equivocal"),"b",IF(OR(M1896="positive",M1896="equivocal"),"c","d"))))</x:f>
        <x:v>d</x:v>
      </x:c>
      <x:c r="AB1896" s="12" t="str">
        <x:f>IF(OR(M1896="unavailable",O1896="unavailable"),"不可评价",IF(AND(M1896="positive",O1896="positive"),"a",IF(O1896="positive","b",IF(M1896="positive","c","d"))))</x:f>
        <x:v>d</x:v>
      </x:c>
      <x:c r="AC1896" s="12" t="str">
        <x:f>IF(OR(R1896="unavailable",T1896="unavailable"),"不可评价",IF(AND(OR(R1896="positive",R1896="equivocal"),OR(T1896="positive",T1896="equivocal")),"a",IF(OR(T1896="positive",T1896="equivocal"),"b",IF(OR(R1896="positive",R1896="equivocal"),"c","d"))))</x:f>
        <x:v>d</x:v>
      </x:c>
      <x:c r="AD1896" s="12" t="str">
        <x:f>IF(OR(R1896="unavailable",T1896="unavailable"),"不可评价",IF(AND(R1896="positive",T1896="positive"),"a",IF(T1896="positive","b",IF(R1896="positive","c","d"))))</x:f>
        <x:v>d</x:v>
      </x:c>
      <x:c r="AE1896" s="12" t="str">
        <x:f>IF(OR(W1896="unavailable",Y1896="unavailable"),"不可评价",IF(AND(OR(W1896="positive",W1896="equivocal"),OR(Y1896="positive",Y1896="equivocal")),"a",IF(OR(Y1896="positive",Y1896="equivocal"),"b",IF(OR(W1896="positive",W1896="equivocal"),"c","d"))))</x:f>
        <x:v>d</x:v>
      </x:c>
      <x:c r="AF1896" s="12" t="str">
        <x:f>IF(OR(W1896="unavailable",Y1896="unavailable"),"不可评价",IF(AND(W1896="positive",Y1896="positive"),"a",IF(Y1896="positive","b",IF(W1896="positive","c","d"))))</x:f>
        <x:v>d</x:v>
      </x:c>
    </x:row>
    <x:row r="1897" ht="39" customHeight="1">
      <x:c r="A1897" s="12" t="str">
        <x:v>17959</x:v>
      </x:c>
      <x:c r="B1897" s="12" t="str">
        <x:v>1494</x:v>
      </x:c>
      <x:c r="C1897" s="21" t="n">
        <x:v>35604.4525</x:v>
      </x:c>
      <x:c r="D1897" s="12" t="n">
        <x:v>69</x:v>
      </x:c>
      <x:c r="E1897" s="12" t="n">
        <x:v>1</x:v>
      </x:c>
      <x:c r="F1897" s="12" t="str">
        <x:v>未记录</x:v>
      </x:c>
      <x:c r="G1897" s="12" t="n">
        <x:v>1</x:v>
      </x:c>
      <x:c r="H1897" s="12" t="str">
        <x:v>{'ISCAS': 100.0, 'INVT': 0.0, 'STD_': 0.0, 'SARRH': 0.0}</x:v>
      </x:c>
      <x:c r="I1897" s="12" t="str">
        <x:v>[('SBRAD', 100.0), ('PAC', 100.0), ('$SABCOND', 100.0), ('ST&amp;', 100.0), ('ALT', 100.0), ('AB', 100.0)]</x:v>
      </x:c>
      <x:c r="J1897" s="12" t="str">
        <x:v>ptbxl_database.csv；ecg_id=17959；scp_codes</x:v>
      </x:c>
      <x:c r="K1897" s="12" t="str">
        <x:v>12sl_statements.csv；ecg_id=17959；statements_ext_snomed</x:v>
      </x:c>
      <x:c r="L1897" s="12"/>
      <x:c r="M1897" s="12" t="str">
        <x:v>negative</x:v>
      </x:c>
      <x:c r="N1897" s="12"/>
      <x:c r="O1897" s="12" t="str">
        <x:v>negative</x:v>
      </x:c>
      <x:c r="P1897" s="12" t="str">
        <x:f>IF(OR(M1897="unavailable",O1897="unavailable"),"不可评价",IF(OR(M1897="equivocal",O1897="equivocal"),"疑似",IF(AND(M1897="positive",O1897="positive"),"a",IF(O1897="positive","b",IF(M1897="positive","c","d")))))</x:f>
        <x:v>d</x:v>
      </x:c>
      <x:c r="Q1897" s="12"/>
      <x:c r="R1897" s="12" t="str">
        <x:v>negative</x:v>
      </x:c>
      <x:c r="S1897" s="12"/>
      <x:c r="T1897" s="12" t="str">
        <x:v>negative</x:v>
      </x:c>
      <x:c r="U1897" s="12" t="str">
        <x:f>IF(OR(R1897="unavailable",T1897="unavailable"),"不可评价",IF(OR(R1897="equivocal",T1897="equivocal"),"疑似",IF(AND(R1897="positive",T1897="positive"),"a",IF(T1897="positive","b",IF(R1897="positive","c","d")))))</x:f>
        <x:v>d</x:v>
      </x:c>
      <x:c r="V1897" s="12"/>
      <x:c r="W1897" s="12" t="str">
        <x:v>negative</x:v>
      </x:c>
      <x:c r="X1897" s="12"/>
      <x:c r="Y1897" s="12" t="str">
        <x:v>negative</x:v>
      </x:c>
      <x:c r="Z1897" s="12" t="str">
        <x:f>IF(OR(W1897="unavailable",Y1897="unavailable"),"不可评价",IF(OR(W1897="equivocal",Y1897="equivocal"),"疑似",IF(AND(W1897="positive",Y1897="positive"),"a",IF(Y1897="positive","b",IF(W1897="positive","c","d")))))</x:f>
        <x:v>d</x:v>
      </x:c>
      <x:c r="AA1897" s="12" t="str">
        <x:f>IF(OR(M1897="unavailable",O1897="unavailable"),"不可评价",IF(AND(OR(M1897="positive",M1897="equivocal"),OR(O1897="positive",O1897="equivocal")),"a",IF(OR(O1897="positive",O1897="equivocal"),"b",IF(OR(M1897="positive",M1897="equivocal"),"c","d"))))</x:f>
        <x:v>d</x:v>
      </x:c>
      <x:c r="AB1897" s="12" t="str">
        <x:f>IF(OR(M1897="unavailable",O1897="unavailable"),"不可评价",IF(AND(M1897="positive",O1897="positive"),"a",IF(O1897="positive","b",IF(M1897="positive","c","d"))))</x:f>
        <x:v>d</x:v>
      </x:c>
      <x:c r="AC1897" s="12" t="str">
        <x:f>IF(OR(R1897="unavailable",T1897="unavailable"),"不可评价",IF(AND(OR(R1897="positive",R1897="equivocal"),OR(T1897="positive",T1897="equivocal")),"a",IF(OR(T1897="positive",T1897="equivocal"),"b",IF(OR(R1897="positive",R1897="equivocal"),"c","d"))))</x:f>
        <x:v>d</x:v>
      </x:c>
      <x:c r="AD1897" s="12" t="str">
        <x:f>IF(OR(R1897="unavailable",T1897="unavailable"),"不可评价",IF(AND(R1897="positive",T1897="positive"),"a",IF(T1897="positive","b",IF(R1897="positive","c","d"))))</x:f>
        <x:v>d</x:v>
      </x:c>
      <x:c r="AE1897" s="12" t="str">
        <x:f>IF(OR(W1897="unavailable",Y1897="unavailable"),"不可评价",IF(AND(OR(W1897="positive",W1897="equivocal"),OR(Y1897="positive",Y1897="equivocal")),"a",IF(OR(Y1897="positive",Y1897="equivocal"),"b",IF(OR(W1897="positive",W1897="equivocal"),"c","d"))))</x:f>
        <x:v>d</x:v>
      </x:c>
      <x:c r="AF1897" s="12" t="str">
        <x:f>IF(OR(W1897="unavailable",Y1897="unavailable"),"不可评价",IF(AND(W1897="positive",Y1897="positive"),"a",IF(Y1897="positive","b",IF(W1897="positive","c","d"))))</x:f>
        <x:v>d</x:v>
      </x:c>
    </x:row>
    <x:row r="1898" ht="24" customHeight="1">
      <x:c r="A1898" s="12" t="str">
        <x:v>17970</x:v>
      </x:c>
      <x:c r="B1898" s="12" t="str">
        <x:v>5237</x:v>
      </x:c>
      <x:c r="C1898" s="21" t="n">
        <x:v>35605.51693287037</x:v>
      </x:c>
      <x:c r="D1898" s="12" t="n">
        <x:v>46</x:v>
      </x:c>
      <x:c r="E1898" s="12" t="n">
        <x:v>1</x:v>
      </x:c>
      <x:c r="F1898" s="12" t="str">
        <x:v>未记录</x:v>
      </x:c>
      <x:c r="G1898" s="12" t="n">
        <x:v>1</x:v>
      </x:c>
      <x:c r="H1898" s="12" t="str">
        <x:v>{'NORM': 100.0, 'SR': 0.0}</x:v>
      </x:c>
      <x:c r="I1898" s="12" t="str">
        <x:v>[('NSR', 100.0), ('NML', 100.0)]</x:v>
      </x:c>
      <x:c r="J1898" s="12" t="str">
        <x:v>ptbxl_database.csv；ecg_id=17970；scp_codes</x:v>
      </x:c>
      <x:c r="K1898" s="12" t="str">
        <x:v>12sl_statements.csv；ecg_id=17970；statements_ext_snomed</x:v>
      </x:c>
      <x:c r="L1898" s="12"/>
      <x:c r="M1898" s="12" t="str">
        <x:v>negative</x:v>
      </x:c>
      <x:c r="N1898" s="12"/>
      <x:c r="O1898" s="12" t="str">
        <x:v>negative</x:v>
      </x:c>
      <x:c r="P1898" s="12" t="str">
        <x:f>IF(OR(M1898="unavailable",O1898="unavailable"),"不可评价",IF(OR(M1898="equivocal",O1898="equivocal"),"疑似",IF(AND(M1898="positive",O1898="positive"),"a",IF(O1898="positive","b",IF(M1898="positive","c","d")))))</x:f>
        <x:v>d</x:v>
      </x:c>
      <x:c r="Q1898" s="12"/>
      <x:c r="R1898" s="12" t="str">
        <x:v>negative</x:v>
      </x:c>
      <x:c r="S1898" s="12"/>
      <x:c r="T1898" s="12" t="str">
        <x:v>negative</x:v>
      </x:c>
      <x:c r="U1898" s="12" t="str">
        <x:f>IF(OR(R1898="unavailable",T1898="unavailable"),"不可评价",IF(OR(R1898="equivocal",T1898="equivocal"),"疑似",IF(AND(R1898="positive",T1898="positive"),"a",IF(T1898="positive","b",IF(R1898="positive","c","d")))))</x:f>
        <x:v>d</x:v>
      </x:c>
      <x:c r="V1898" s="12"/>
      <x:c r="W1898" s="12" t="str">
        <x:v>negative</x:v>
      </x:c>
      <x:c r="X1898" s="12"/>
      <x:c r="Y1898" s="12" t="str">
        <x:v>negative</x:v>
      </x:c>
      <x:c r="Z1898" s="12" t="str">
        <x:f>IF(OR(W1898="unavailable",Y1898="unavailable"),"不可评价",IF(OR(W1898="equivocal",Y1898="equivocal"),"疑似",IF(AND(W1898="positive",Y1898="positive"),"a",IF(Y1898="positive","b",IF(W1898="positive","c","d")))))</x:f>
        <x:v>d</x:v>
      </x:c>
      <x:c r="AA1898" s="12" t="str">
        <x:f>IF(OR(M1898="unavailable",O1898="unavailable"),"不可评价",IF(AND(OR(M1898="positive",M1898="equivocal"),OR(O1898="positive",O1898="equivocal")),"a",IF(OR(O1898="positive",O1898="equivocal"),"b",IF(OR(M1898="positive",M1898="equivocal"),"c","d"))))</x:f>
        <x:v>d</x:v>
      </x:c>
      <x:c r="AB1898" s="12" t="str">
        <x:f>IF(OR(M1898="unavailable",O1898="unavailable"),"不可评价",IF(AND(M1898="positive",O1898="positive"),"a",IF(O1898="positive","b",IF(M1898="positive","c","d"))))</x:f>
        <x:v>d</x:v>
      </x:c>
      <x:c r="AC1898" s="12" t="str">
        <x:f>IF(OR(R1898="unavailable",T1898="unavailable"),"不可评价",IF(AND(OR(R1898="positive",R1898="equivocal"),OR(T1898="positive",T1898="equivocal")),"a",IF(OR(T1898="positive",T1898="equivocal"),"b",IF(OR(R1898="positive",R1898="equivocal"),"c","d"))))</x:f>
        <x:v>d</x:v>
      </x:c>
      <x:c r="AD1898" s="12" t="str">
        <x:f>IF(OR(R1898="unavailable",T1898="unavailable"),"不可评价",IF(AND(R1898="positive",T1898="positive"),"a",IF(T1898="positive","b",IF(R1898="positive","c","d"))))</x:f>
        <x:v>d</x:v>
      </x:c>
      <x:c r="AE1898" s="12" t="str">
        <x:f>IF(OR(W1898="unavailable",Y1898="unavailable"),"不可评价",IF(AND(OR(W1898="positive",W1898="equivocal"),OR(Y1898="positive",Y1898="equivocal")),"a",IF(OR(Y1898="positive",Y1898="equivocal"),"b",IF(OR(W1898="positive",W1898="equivocal"),"c","d"))))</x:f>
        <x:v>d</x:v>
      </x:c>
      <x:c r="AF1898" s="12" t="str">
        <x:f>IF(OR(W1898="unavailable",Y1898="unavailable"),"不可评价",IF(AND(W1898="positive",Y1898="positive"),"a",IF(Y1898="positive","b",IF(W1898="positive","c","d"))))</x:f>
        <x:v>d</x:v>
      </x:c>
    </x:row>
    <x:row r="1899" ht="24" customHeight="1">
      <x:c r="A1899" s="12" t="str">
        <x:v>17983</x:v>
      </x:c>
      <x:c r="B1899" s="12" t="str">
        <x:v>7533</x:v>
      </x:c>
      <x:c r="C1899" s="21" t="n">
        <x:v>35606.59998842593</x:v>
      </x:c>
      <x:c r="D1899" s="12" t="n">
        <x:v>83</x:v>
      </x:c>
      <x:c r="E1899" s="12" t="n">
        <x:v>0</x:v>
      </x:c>
      <x:c r="F1899" s="12" t="str">
        <x:v>未记录</x:v>
      </x:c>
      <x:c r="G1899" s="12" t="n">
        <x:v>1</x:v>
      </x:c>
      <x:c r="H1899" s="12" t="str">
        <x:v>{'ISCAN': 100.0, 'PAC': 0.0, 'STD_': 0.0, 'SR': 0.0}</x:v>
      </x:c>
      <x:c r="I1899" s="12" t="str">
        <x:v>[('SBRAD', 100.0), ('PAC', 100.0), ('LOWV', 100.0), ('QRST', 100.0), ('AB', 100.0)]</x:v>
      </x:c>
      <x:c r="J1899" s="12" t="str">
        <x:v>ptbxl_database.csv；ecg_id=17983；scp_codes</x:v>
      </x:c>
      <x:c r="K1899" s="12" t="str">
        <x:v>12sl_statements.csv；ecg_id=17983；statements_ext_snomed</x:v>
      </x:c>
      <x:c r="L1899" s="12"/>
      <x:c r="M1899" s="12" t="str">
        <x:v>negative</x:v>
      </x:c>
      <x:c r="N1899" s="12"/>
      <x:c r="O1899" s="12" t="str">
        <x:v>negative</x:v>
      </x:c>
      <x:c r="P1899" s="12" t="str">
        <x:f>IF(OR(M1899="unavailable",O1899="unavailable"),"不可评价",IF(OR(M1899="equivocal",O1899="equivocal"),"疑似",IF(AND(M1899="positive",O1899="positive"),"a",IF(O1899="positive","b",IF(M1899="positive","c","d")))))</x:f>
        <x:v>d</x:v>
      </x:c>
      <x:c r="Q1899" s="12"/>
      <x:c r="R1899" s="12" t="str">
        <x:v>negative</x:v>
      </x:c>
      <x:c r="S1899" s="12"/>
      <x:c r="T1899" s="12" t="str">
        <x:v>negative</x:v>
      </x:c>
      <x:c r="U1899" s="12" t="str">
        <x:f>IF(OR(R1899="unavailable",T1899="unavailable"),"不可评价",IF(OR(R1899="equivocal",T1899="equivocal"),"疑似",IF(AND(R1899="positive",T1899="positive"),"a",IF(T1899="positive","b",IF(R1899="positive","c","d")))))</x:f>
        <x:v>d</x:v>
      </x:c>
      <x:c r="V1899" s="12"/>
      <x:c r="W1899" s="12" t="str">
        <x:v>negative</x:v>
      </x:c>
      <x:c r="X1899" s="12"/>
      <x:c r="Y1899" s="12" t="str">
        <x:v>negative</x:v>
      </x:c>
      <x:c r="Z1899" s="12" t="str">
        <x:f>IF(OR(W1899="unavailable",Y1899="unavailable"),"不可评价",IF(OR(W1899="equivocal",Y1899="equivocal"),"疑似",IF(AND(W1899="positive",Y1899="positive"),"a",IF(Y1899="positive","b",IF(W1899="positive","c","d")))))</x:f>
        <x:v>d</x:v>
      </x:c>
      <x:c r="AA1899" s="12" t="str">
        <x:f>IF(OR(M1899="unavailable",O1899="unavailable"),"不可评价",IF(AND(OR(M1899="positive",M1899="equivocal"),OR(O1899="positive",O1899="equivocal")),"a",IF(OR(O1899="positive",O1899="equivocal"),"b",IF(OR(M1899="positive",M1899="equivocal"),"c","d"))))</x:f>
        <x:v>d</x:v>
      </x:c>
      <x:c r="AB1899" s="12" t="str">
        <x:f>IF(OR(M1899="unavailable",O1899="unavailable"),"不可评价",IF(AND(M1899="positive",O1899="positive"),"a",IF(O1899="positive","b",IF(M1899="positive","c","d"))))</x:f>
        <x:v>d</x:v>
      </x:c>
      <x:c r="AC1899" s="12" t="str">
        <x:f>IF(OR(R1899="unavailable",T1899="unavailable"),"不可评价",IF(AND(OR(R1899="positive",R1899="equivocal"),OR(T1899="positive",T1899="equivocal")),"a",IF(OR(T1899="positive",T1899="equivocal"),"b",IF(OR(R1899="positive",R1899="equivocal"),"c","d"))))</x:f>
        <x:v>d</x:v>
      </x:c>
      <x:c r="AD1899" s="12" t="str">
        <x:f>IF(OR(R1899="unavailable",T1899="unavailable"),"不可评价",IF(AND(R1899="positive",T1899="positive"),"a",IF(T1899="positive","b",IF(R1899="positive","c","d"))))</x:f>
        <x:v>d</x:v>
      </x:c>
      <x:c r="AE1899" s="12" t="str">
        <x:f>IF(OR(W1899="unavailable",Y1899="unavailable"),"不可评价",IF(AND(OR(W1899="positive",W1899="equivocal"),OR(Y1899="positive",Y1899="equivocal")),"a",IF(OR(Y1899="positive",Y1899="equivocal"),"b",IF(OR(W1899="positive",W1899="equivocal"),"c","d"))))</x:f>
        <x:v>d</x:v>
      </x:c>
      <x:c r="AF1899" s="12" t="str">
        <x:f>IF(OR(W1899="unavailable",Y1899="unavailable"),"不可评价",IF(AND(W1899="positive",Y1899="positive"),"a",IF(Y1899="positive","b",IF(W1899="positive","c","d"))))</x:f>
        <x:v>d</x:v>
      </x:c>
    </x:row>
    <x:row r="1900" ht="39" customHeight="1">
      <x:c r="A1900" s="12" t="str">
        <x:v>17995</x:v>
      </x:c>
      <x:c r="B1900" s="12" t="str">
        <x:v>2987</x:v>
      </x:c>
      <x:c r="C1900" s="21" t="n">
        <x:v>35609.373078703706</x:v>
      </x:c>
      <x:c r="D1900" s="12" t="n">
        <x:v>84</x:v>
      </x:c>
      <x:c r="E1900" s="12" t="n">
        <x:v>1</x:v>
      </x:c>
      <x:c r="F1900" s="12" t="str">
        <x:v>未记录</x:v>
      </x:c>
      <x:c r="G1900" s="12" t="n">
        <x:v>1</x:v>
      </x:c>
      <x:c r="H1900" s="12" t="str">
        <x:v>{'NDT': 100.0, 'LAO/LAE': 100.0, '1AVB': 100.0, 'PAC': 0.0, 'LPR': 0.0, 'SR': 0.0}</x:v>
      </x:c>
      <x:c r="I1900" s="12" t="str">
        <x:v>[('SRTH', 100.0), ('PAC', 100.0), ('NSTT', 100.0), ('AB', 100.0)]</x:v>
      </x:c>
      <x:c r="J1900" s="12" t="str">
        <x:v>ptbxl_database.csv；ecg_id=17995；scp_codes</x:v>
      </x:c>
      <x:c r="K1900" s="12" t="str">
        <x:v>12sl_statements.csv；ecg_id=17995；statements_ext_snomed</x:v>
      </x:c>
      <x:c r="L1900" s="12"/>
      <x:c r="M1900" s="12" t="str">
        <x:v>negative</x:v>
      </x:c>
      <x:c r="N1900" s="12"/>
      <x:c r="O1900" s="12" t="str">
        <x:v>negative</x:v>
      </x:c>
      <x:c r="P1900" s="12" t="str">
        <x:f>IF(OR(M1900="unavailable",O1900="unavailable"),"不可评价",IF(OR(M1900="equivocal",O1900="equivocal"),"疑似",IF(AND(M1900="positive",O1900="positive"),"a",IF(O1900="positive","b",IF(M1900="positive","c","d")))))</x:f>
        <x:v>d</x:v>
      </x:c>
      <x:c r="Q1900" s="12"/>
      <x:c r="R1900" s="12" t="str">
        <x:v>negative</x:v>
      </x:c>
      <x:c r="S1900" s="12"/>
      <x:c r="T1900" s="12" t="str">
        <x:v>negative</x:v>
      </x:c>
      <x:c r="U1900" s="12" t="str">
        <x:f>IF(OR(R1900="unavailable",T1900="unavailable"),"不可评价",IF(OR(R1900="equivocal",T1900="equivocal"),"疑似",IF(AND(R1900="positive",T1900="positive"),"a",IF(T1900="positive","b",IF(R1900="positive","c","d")))))</x:f>
        <x:v>d</x:v>
      </x:c>
      <x:c r="V1900" s="12"/>
      <x:c r="W1900" s="12" t="str">
        <x:v>negative</x:v>
      </x:c>
      <x:c r="X1900" s="12"/>
      <x:c r="Y1900" s="12" t="str">
        <x:v>negative</x:v>
      </x:c>
      <x:c r="Z1900" s="12" t="str">
        <x:f>IF(OR(W1900="unavailable",Y1900="unavailable"),"不可评价",IF(OR(W1900="equivocal",Y1900="equivocal"),"疑似",IF(AND(W1900="positive",Y1900="positive"),"a",IF(Y1900="positive","b",IF(W1900="positive","c","d")))))</x:f>
        <x:v>d</x:v>
      </x:c>
      <x:c r="AA1900" s="12" t="str">
        <x:f>IF(OR(M1900="unavailable",O1900="unavailable"),"不可评价",IF(AND(OR(M1900="positive",M1900="equivocal"),OR(O1900="positive",O1900="equivocal")),"a",IF(OR(O1900="positive",O1900="equivocal"),"b",IF(OR(M1900="positive",M1900="equivocal"),"c","d"))))</x:f>
        <x:v>d</x:v>
      </x:c>
      <x:c r="AB1900" s="12" t="str">
        <x:f>IF(OR(M1900="unavailable",O1900="unavailable"),"不可评价",IF(AND(M1900="positive",O1900="positive"),"a",IF(O1900="positive","b",IF(M1900="positive","c","d"))))</x:f>
        <x:v>d</x:v>
      </x:c>
      <x:c r="AC1900" s="12" t="str">
        <x:f>IF(OR(R1900="unavailable",T1900="unavailable"),"不可评价",IF(AND(OR(R1900="positive",R1900="equivocal"),OR(T1900="positive",T1900="equivocal")),"a",IF(OR(T1900="positive",T1900="equivocal"),"b",IF(OR(R1900="positive",R1900="equivocal"),"c","d"))))</x:f>
        <x:v>d</x:v>
      </x:c>
      <x:c r="AD1900" s="12" t="str">
        <x:f>IF(OR(R1900="unavailable",T1900="unavailable"),"不可评价",IF(AND(R1900="positive",T1900="positive"),"a",IF(T1900="positive","b",IF(R1900="positive","c","d"))))</x:f>
        <x:v>d</x:v>
      </x:c>
      <x:c r="AE1900" s="12" t="str">
        <x:f>IF(OR(W1900="unavailable",Y1900="unavailable"),"不可评价",IF(AND(OR(W1900="positive",W1900="equivocal"),OR(Y1900="positive",Y1900="equivocal")),"a",IF(OR(Y1900="positive",Y1900="equivocal"),"b",IF(OR(W1900="positive",W1900="equivocal"),"c","d"))))</x:f>
        <x:v>d</x:v>
      </x:c>
      <x:c r="AF1900" s="12" t="str">
        <x:f>IF(OR(W1900="unavailable",Y1900="unavailable"),"不可评价",IF(AND(W1900="positive",Y1900="positive"),"a",IF(Y1900="positive","b",IF(W1900="positive","c","d"))))</x:f>
        <x:v>d</x:v>
      </x:c>
    </x:row>
    <x:row r="1901" ht="24" customHeight="1">
      <x:c r="A1901" s="12" t="str">
        <x:v>17996</x:v>
      </x:c>
      <x:c r="B1901" s="12" t="str">
        <x:v>5007</x:v>
      </x:c>
      <x:c r="C1901" s="21" t="n">
        <x:v>35609.406909722224</x:v>
      </x:c>
      <x:c r="D1901" s="12" t="n">
        <x:v>43</x:v>
      </x:c>
      <x:c r="E1901" s="12" t="n">
        <x:v>1</x:v>
      </x:c>
      <x:c r="F1901" s="12" t="str">
        <x:v>未记录</x:v>
      </x:c>
      <x:c r="G1901" s="12" t="n">
        <x:v>1</x:v>
      </x:c>
      <x:c r="H1901" s="12" t="str">
        <x:v>{'NORM': 100.0, 'SARRH': 0.0}</x:v>
      </x:c>
      <x:c r="I1901" s="12" t="str">
        <x:v>[('SRTH', 100.0), ('PAC', 100.0), ('ABR', 100.0)]</x:v>
      </x:c>
      <x:c r="J1901" s="12" t="str">
        <x:v>ptbxl_database.csv；ecg_id=17996；scp_codes</x:v>
      </x:c>
      <x:c r="K1901" s="12" t="str">
        <x:v>12sl_statements.csv；ecg_id=17996；statements_ext_snomed</x:v>
      </x:c>
      <x:c r="L1901" s="12"/>
      <x:c r="M1901" s="12" t="str">
        <x:v>negative</x:v>
      </x:c>
      <x:c r="N1901" s="12"/>
      <x:c r="O1901" s="12" t="str">
        <x:v>negative</x:v>
      </x:c>
      <x:c r="P1901" s="12" t="str">
        <x:f>IF(OR(M1901="unavailable",O1901="unavailable"),"不可评价",IF(OR(M1901="equivocal",O1901="equivocal"),"疑似",IF(AND(M1901="positive",O1901="positive"),"a",IF(O1901="positive","b",IF(M1901="positive","c","d")))))</x:f>
        <x:v>d</x:v>
      </x:c>
      <x:c r="Q1901" s="12"/>
      <x:c r="R1901" s="12" t="str">
        <x:v>negative</x:v>
      </x:c>
      <x:c r="S1901" s="12"/>
      <x:c r="T1901" s="12" t="str">
        <x:v>negative</x:v>
      </x:c>
      <x:c r="U1901" s="12" t="str">
        <x:f>IF(OR(R1901="unavailable",T1901="unavailable"),"不可评价",IF(OR(R1901="equivocal",T1901="equivocal"),"疑似",IF(AND(R1901="positive",T1901="positive"),"a",IF(T1901="positive","b",IF(R1901="positive","c","d")))))</x:f>
        <x:v>d</x:v>
      </x:c>
      <x:c r="V1901" s="12"/>
      <x:c r="W1901" s="12" t="str">
        <x:v>negative</x:v>
      </x:c>
      <x:c r="X1901" s="12"/>
      <x:c r="Y1901" s="12" t="str">
        <x:v>negative</x:v>
      </x:c>
      <x:c r="Z1901" s="12" t="str">
        <x:f>IF(OR(W1901="unavailable",Y1901="unavailable"),"不可评价",IF(OR(W1901="equivocal",Y1901="equivocal"),"疑似",IF(AND(W1901="positive",Y1901="positive"),"a",IF(Y1901="positive","b",IF(W1901="positive","c","d")))))</x:f>
        <x:v>d</x:v>
      </x:c>
      <x:c r="AA1901" s="12" t="str">
        <x:f>IF(OR(M1901="unavailable",O1901="unavailable"),"不可评价",IF(AND(OR(M1901="positive",M1901="equivocal"),OR(O1901="positive",O1901="equivocal")),"a",IF(OR(O1901="positive",O1901="equivocal"),"b",IF(OR(M1901="positive",M1901="equivocal"),"c","d"))))</x:f>
        <x:v>d</x:v>
      </x:c>
      <x:c r="AB1901" s="12" t="str">
        <x:f>IF(OR(M1901="unavailable",O1901="unavailable"),"不可评价",IF(AND(M1901="positive",O1901="positive"),"a",IF(O1901="positive","b",IF(M1901="positive","c","d"))))</x:f>
        <x:v>d</x:v>
      </x:c>
      <x:c r="AC1901" s="12" t="str">
        <x:f>IF(OR(R1901="unavailable",T1901="unavailable"),"不可评价",IF(AND(OR(R1901="positive",R1901="equivocal"),OR(T1901="positive",T1901="equivocal")),"a",IF(OR(T1901="positive",T1901="equivocal"),"b",IF(OR(R1901="positive",R1901="equivocal"),"c","d"))))</x:f>
        <x:v>d</x:v>
      </x:c>
      <x:c r="AD1901" s="12" t="str">
        <x:f>IF(OR(R1901="unavailable",T1901="unavailable"),"不可评价",IF(AND(R1901="positive",T1901="positive"),"a",IF(T1901="positive","b",IF(R1901="positive","c","d"))))</x:f>
        <x:v>d</x:v>
      </x:c>
      <x:c r="AE1901" s="12" t="str">
        <x:f>IF(OR(W1901="unavailable",Y1901="unavailable"),"不可评价",IF(AND(OR(W1901="positive",W1901="equivocal"),OR(Y1901="positive",Y1901="equivocal")),"a",IF(OR(Y1901="positive",Y1901="equivocal"),"b",IF(OR(W1901="positive",W1901="equivocal"),"c","d"))))</x:f>
        <x:v>d</x:v>
      </x:c>
      <x:c r="AF1901" s="12" t="str">
        <x:f>IF(OR(W1901="unavailable",Y1901="unavailable"),"不可评价",IF(AND(W1901="positive",Y1901="positive"),"a",IF(Y1901="positive","b",IF(W1901="positive","c","d"))))</x:f>
        <x:v>d</x:v>
      </x:c>
    </x:row>
    <x:row r="1902" ht="24" customHeight="1">
      <x:c r="A1902" s="12" t="str">
        <x:v>18017</x:v>
      </x:c>
      <x:c r="B1902" s="12" t="str">
        <x:v>584</x:v>
      </x:c>
      <x:c r="C1902" s="21" t="n">
        <x:v>35610.74857638889</x:v>
      </x:c>
      <x:c r="D1902" s="12" t="n">
        <x:v>67</x:v>
      </x:c>
      <x:c r="E1902" s="12" t="n">
        <x:v>1</x:v>
      </x:c>
      <x:c r="F1902" s="12" t="str">
        <x:v>未记录</x:v>
      </x:c>
      <x:c r="G1902" s="12" t="n">
        <x:v>0</x:v>
      </x:c>
      <x:c r="H1902" s="12" t="str">
        <x:v>{'LVH': 35.0, 'NT_': 0.0, 'VCLVH': 0.0, 'SR': 0.0}</x:v>
      </x:c>
      <x:c r="I1902" s="12" t="str">
        <x:v>[('NSR', 100.0), ('LAD3', 100.0), ('SMI;AU', 100.0), ('AB', 100.0)]</x:v>
      </x:c>
      <x:c r="J1902" s="12" t="str">
        <x:v>ptbxl_database.csv；ecg_id=18017；scp_codes</x:v>
      </x:c>
      <x:c r="K1902" s="12" t="str">
        <x:v>12sl_statements.csv；ecg_id=18017；statements_ext_snomed</x:v>
      </x:c>
      <x:c r="L1902" s="12"/>
      <x:c r="M1902" s="12" t="str">
        <x:v>negative</x:v>
      </x:c>
      <x:c r="N1902" s="12"/>
      <x:c r="O1902" s="12" t="str">
        <x:v>negative</x:v>
      </x:c>
      <x:c r="P1902" s="12" t="str">
        <x:f>IF(OR(M1902="unavailable",O1902="unavailable"),"不可评价",IF(OR(M1902="equivocal",O1902="equivocal"),"疑似",IF(AND(M1902="positive",O1902="positive"),"a",IF(O1902="positive","b",IF(M1902="positive","c","d")))))</x:f>
        <x:v>d</x:v>
      </x:c>
      <x:c r="Q1902" s="12"/>
      <x:c r="R1902" s="12" t="str">
        <x:v>negative</x:v>
      </x:c>
      <x:c r="S1902" s="12"/>
      <x:c r="T1902" s="12" t="str">
        <x:v>negative</x:v>
      </x:c>
      <x:c r="U1902" s="12" t="str">
        <x:f>IF(OR(R1902="unavailable",T1902="unavailable"),"不可评价",IF(OR(R1902="equivocal",T1902="equivocal"),"疑似",IF(AND(R1902="positive",T1902="positive"),"a",IF(T1902="positive","b",IF(R1902="positive","c","d")))))</x:f>
        <x:v>d</x:v>
      </x:c>
      <x:c r="V1902" s="12"/>
      <x:c r="W1902" s="12" t="str">
        <x:v>negative</x:v>
      </x:c>
      <x:c r="X1902" s="12"/>
      <x:c r="Y1902" s="12" t="str">
        <x:v>negative</x:v>
      </x:c>
      <x:c r="Z1902" s="12" t="str">
        <x:f>IF(OR(W1902="unavailable",Y1902="unavailable"),"不可评价",IF(OR(W1902="equivocal",Y1902="equivocal"),"疑似",IF(AND(W1902="positive",Y1902="positive"),"a",IF(Y1902="positive","b",IF(W1902="positive","c","d")))))</x:f>
        <x:v>d</x:v>
      </x:c>
      <x:c r="AA1902" s="12" t="str">
        <x:f>IF(OR(M1902="unavailable",O1902="unavailable"),"不可评价",IF(AND(OR(M1902="positive",M1902="equivocal"),OR(O1902="positive",O1902="equivocal")),"a",IF(OR(O1902="positive",O1902="equivocal"),"b",IF(OR(M1902="positive",M1902="equivocal"),"c","d"))))</x:f>
        <x:v>d</x:v>
      </x:c>
      <x:c r="AB1902" s="12" t="str">
        <x:f>IF(OR(M1902="unavailable",O1902="unavailable"),"不可评价",IF(AND(M1902="positive",O1902="positive"),"a",IF(O1902="positive","b",IF(M1902="positive","c","d"))))</x:f>
        <x:v>d</x:v>
      </x:c>
      <x:c r="AC1902" s="12" t="str">
        <x:f>IF(OR(R1902="unavailable",T1902="unavailable"),"不可评价",IF(AND(OR(R1902="positive",R1902="equivocal"),OR(T1902="positive",T1902="equivocal")),"a",IF(OR(T1902="positive",T1902="equivocal"),"b",IF(OR(R1902="positive",R1902="equivocal"),"c","d"))))</x:f>
        <x:v>d</x:v>
      </x:c>
      <x:c r="AD1902" s="12" t="str">
        <x:f>IF(OR(R1902="unavailable",T1902="unavailable"),"不可评价",IF(AND(R1902="positive",T1902="positive"),"a",IF(T1902="positive","b",IF(R1902="positive","c","d"))))</x:f>
        <x:v>d</x:v>
      </x:c>
      <x:c r="AE1902" s="12" t="str">
        <x:f>IF(OR(W1902="unavailable",Y1902="unavailable"),"不可评价",IF(AND(OR(W1902="positive",W1902="equivocal"),OR(Y1902="positive",Y1902="equivocal")),"a",IF(OR(Y1902="positive",Y1902="equivocal"),"b",IF(OR(W1902="positive",W1902="equivocal"),"c","d"))))</x:f>
        <x:v>d</x:v>
      </x:c>
      <x:c r="AF1902" s="12" t="str">
        <x:f>IF(OR(W1902="unavailable",Y1902="unavailable"),"不可评价",IF(AND(W1902="positive",Y1902="positive"),"a",IF(Y1902="positive","b",IF(W1902="positive","c","d"))))</x:f>
        <x:v>d</x:v>
      </x:c>
    </x:row>
    <x:row r="1903" ht="24" customHeight="1">
      <x:c r="A1903" s="12" t="str">
        <x:v>18019</x:v>
      </x:c>
      <x:c r="B1903" s="12" t="str">
        <x:v>18110</x:v>
      </x:c>
      <x:c r="C1903" s="21" t="n">
        <x:v>35611.360555555555</x:v>
      </x:c>
      <x:c r="D1903" s="12" t="n">
        <x:v>57</x:v>
      </x:c>
      <x:c r="E1903" s="12" t="n">
        <x:v>0</x:v>
      </x:c>
      <x:c r="F1903" s="12" t="str">
        <x:v>未记录</x:v>
      </x:c>
      <x:c r="G1903" s="12" t="n">
        <x:v>1</x:v>
      </x:c>
      <x:c r="H1903" s="12" t="str">
        <x:v>{'ASMI': 100.0, 'ISCAL': 100.0, 'QWAVE': 0.0, 'SR': 0.0}</x:v>
      </x:c>
      <x:c r="I1903" s="12" t="str">
        <x:v>[('NSR', 100.0), ('ASMI;AU', 100.0), ('LT', 100.0), ('AB', 100.0)]</x:v>
      </x:c>
      <x:c r="J1903" s="12" t="str">
        <x:v>ptbxl_database.csv；ecg_id=18019；scp_codes</x:v>
      </x:c>
      <x:c r="K1903" s="12" t="str">
        <x:v>12sl_statements.csv；ecg_id=18019；statements_ext_snomed</x:v>
      </x:c>
      <x:c r="L1903" s="12"/>
      <x:c r="M1903" s="12" t="str">
        <x:v>negative</x:v>
      </x:c>
      <x:c r="N1903" s="12"/>
      <x:c r="O1903" s="12" t="str">
        <x:v>negative</x:v>
      </x:c>
      <x:c r="P1903" s="12" t="str">
        <x:f>IF(OR(M1903="unavailable",O1903="unavailable"),"不可评价",IF(OR(M1903="equivocal",O1903="equivocal"),"疑似",IF(AND(M1903="positive",O1903="positive"),"a",IF(O1903="positive","b",IF(M1903="positive","c","d")))))</x:f>
        <x:v>d</x:v>
      </x:c>
      <x:c r="Q1903" s="12"/>
      <x:c r="R1903" s="12" t="str">
        <x:v>negative</x:v>
      </x:c>
      <x:c r="S1903" s="12"/>
      <x:c r="T1903" s="12" t="str">
        <x:v>negative</x:v>
      </x:c>
      <x:c r="U1903" s="12" t="str">
        <x:f>IF(OR(R1903="unavailable",T1903="unavailable"),"不可评价",IF(OR(R1903="equivocal",T1903="equivocal"),"疑似",IF(AND(R1903="positive",T1903="positive"),"a",IF(T1903="positive","b",IF(R1903="positive","c","d")))))</x:f>
        <x:v>d</x:v>
      </x:c>
      <x:c r="V1903" s="12"/>
      <x:c r="W1903" s="12" t="str">
        <x:v>negative</x:v>
      </x:c>
      <x:c r="X1903" s="12"/>
      <x:c r="Y1903" s="12" t="str">
        <x:v>negative</x:v>
      </x:c>
      <x:c r="Z1903" s="12" t="str">
        <x:f>IF(OR(W1903="unavailable",Y1903="unavailable"),"不可评价",IF(OR(W1903="equivocal",Y1903="equivocal"),"疑似",IF(AND(W1903="positive",Y1903="positive"),"a",IF(Y1903="positive","b",IF(W1903="positive","c","d")))))</x:f>
        <x:v>d</x:v>
      </x:c>
      <x:c r="AA1903" s="12" t="str">
        <x:f>IF(OR(M1903="unavailable",O1903="unavailable"),"不可评价",IF(AND(OR(M1903="positive",M1903="equivocal"),OR(O1903="positive",O1903="equivocal")),"a",IF(OR(O1903="positive",O1903="equivocal"),"b",IF(OR(M1903="positive",M1903="equivocal"),"c","d"))))</x:f>
        <x:v>d</x:v>
      </x:c>
      <x:c r="AB1903" s="12" t="str">
        <x:f>IF(OR(M1903="unavailable",O1903="unavailable"),"不可评价",IF(AND(M1903="positive",O1903="positive"),"a",IF(O1903="positive","b",IF(M1903="positive","c","d"))))</x:f>
        <x:v>d</x:v>
      </x:c>
      <x:c r="AC1903" s="12" t="str">
        <x:f>IF(OR(R1903="unavailable",T1903="unavailable"),"不可评价",IF(AND(OR(R1903="positive",R1903="equivocal"),OR(T1903="positive",T1903="equivocal")),"a",IF(OR(T1903="positive",T1903="equivocal"),"b",IF(OR(R1903="positive",R1903="equivocal"),"c","d"))))</x:f>
        <x:v>d</x:v>
      </x:c>
      <x:c r="AD1903" s="12" t="str">
        <x:f>IF(OR(R1903="unavailable",T1903="unavailable"),"不可评价",IF(AND(R1903="positive",T1903="positive"),"a",IF(T1903="positive","b",IF(R1903="positive","c","d"))))</x:f>
        <x:v>d</x:v>
      </x:c>
      <x:c r="AE1903" s="12" t="str">
        <x:f>IF(OR(W1903="unavailable",Y1903="unavailable"),"不可评价",IF(AND(OR(W1903="positive",W1903="equivocal"),OR(Y1903="positive",Y1903="equivocal")),"a",IF(OR(Y1903="positive",Y1903="equivocal"),"b",IF(OR(W1903="positive",W1903="equivocal"),"c","d"))))</x:f>
        <x:v>d</x:v>
      </x:c>
      <x:c r="AF1903" s="12" t="str">
        <x:f>IF(OR(W1903="unavailable",Y1903="unavailable"),"不可评价",IF(AND(W1903="positive",Y1903="positive"),"a",IF(Y1903="positive","b",IF(W1903="positive","c","d"))))</x:f>
        <x:v>d</x:v>
      </x:c>
    </x:row>
    <x:row r="1904" ht="24" customHeight="1">
      <x:c r="A1904" s="12" t="str">
        <x:v>18055</x:v>
      </x:c>
      <x:c r="B1904" s="12" t="str">
        <x:v>10146</x:v>
      </x:c>
      <x:c r="C1904" s="21" t="n">
        <x:v>35615.756736111114</x:v>
      </x:c>
      <x:c r="D1904" s="12" t="n">
        <x:v>56</x:v>
      </x:c>
      <x:c r="E1904" s="12" t="n">
        <x:v>0</x:v>
      </x:c>
      <x:c r="F1904" s="12" t="str">
        <x:v>未记录</x:v>
      </x:c>
      <x:c r="G1904" s="12" t="n">
        <x:v>1</x:v>
      </x:c>
      <x:c r="H1904" s="12" t="str">
        <x:v>{'NORM': 100.0, 'SR': 0.0}</x:v>
      </x:c>
      <x:c r="I1904" s="12" t="str">
        <x:v>[('NSR', 100.0), ('NML', 100.0)]</x:v>
      </x:c>
      <x:c r="J1904" s="12" t="str">
        <x:v>ptbxl_database.csv；ecg_id=18055；scp_codes</x:v>
      </x:c>
      <x:c r="K1904" s="12" t="str">
        <x:v>12sl_statements.csv；ecg_id=18055；statements_ext_snomed</x:v>
      </x:c>
      <x:c r="L1904" s="12"/>
      <x:c r="M1904" s="12" t="str">
        <x:v>negative</x:v>
      </x:c>
      <x:c r="N1904" s="12"/>
      <x:c r="O1904" s="12" t="str">
        <x:v>negative</x:v>
      </x:c>
      <x:c r="P1904" s="12" t="str">
        <x:f>IF(OR(M1904="unavailable",O1904="unavailable"),"不可评价",IF(OR(M1904="equivocal",O1904="equivocal"),"疑似",IF(AND(M1904="positive",O1904="positive"),"a",IF(O1904="positive","b",IF(M1904="positive","c","d")))))</x:f>
        <x:v>d</x:v>
      </x:c>
      <x:c r="Q1904" s="12"/>
      <x:c r="R1904" s="12" t="str">
        <x:v>negative</x:v>
      </x:c>
      <x:c r="S1904" s="12"/>
      <x:c r="T1904" s="12" t="str">
        <x:v>negative</x:v>
      </x:c>
      <x:c r="U1904" s="12" t="str">
        <x:f>IF(OR(R1904="unavailable",T1904="unavailable"),"不可评价",IF(OR(R1904="equivocal",T1904="equivocal"),"疑似",IF(AND(R1904="positive",T1904="positive"),"a",IF(T1904="positive","b",IF(R1904="positive","c","d")))))</x:f>
        <x:v>d</x:v>
      </x:c>
      <x:c r="V1904" s="12"/>
      <x:c r="W1904" s="12" t="str">
        <x:v>negative</x:v>
      </x:c>
      <x:c r="X1904" s="12"/>
      <x:c r="Y1904" s="12" t="str">
        <x:v>negative</x:v>
      </x:c>
      <x:c r="Z1904" s="12" t="str">
        <x:f>IF(OR(W1904="unavailable",Y1904="unavailable"),"不可评价",IF(OR(W1904="equivocal",Y1904="equivocal"),"疑似",IF(AND(W1904="positive",Y1904="positive"),"a",IF(Y1904="positive","b",IF(W1904="positive","c","d")))))</x:f>
        <x:v>d</x:v>
      </x:c>
      <x:c r="AA1904" s="12" t="str">
        <x:f>IF(OR(M1904="unavailable",O1904="unavailable"),"不可评价",IF(AND(OR(M1904="positive",M1904="equivocal"),OR(O1904="positive",O1904="equivocal")),"a",IF(OR(O1904="positive",O1904="equivocal"),"b",IF(OR(M1904="positive",M1904="equivocal"),"c","d"))))</x:f>
        <x:v>d</x:v>
      </x:c>
      <x:c r="AB1904" s="12" t="str">
        <x:f>IF(OR(M1904="unavailable",O1904="unavailable"),"不可评价",IF(AND(M1904="positive",O1904="positive"),"a",IF(O1904="positive","b",IF(M1904="positive","c","d"))))</x:f>
        <x:v>d</x:v>
      </x:c>
      <x:c r="AC1904" s="12" t="str">
        <x:f>IF(OR(R1904="unavailable",T1904="unavailable"),"不可评价",IF(AND(OR(R1904="positive",R1904="equivocal"),OR(T1904="positive",T1904="equivocal")),"a",IF(OR(T1904="positive",T1904="equivocal"),"b",IF(OR(R1904="positive",R1904="equivocal"),"c","d"))))</x:f>
        <x:v>d</x:v>
      </x:c>
      <x:c r="AD1904" s="12" t="str">
        <x:f>IF(OR(R1904="unavailable",T1904="unavailable"),"不可评价",IF(AND(R1904="positive",T1904="positive"),"a",IF(T1904="positive","b",IF(R1904="positive","c","d"))))</x:f>
        <x:v>d</x:v>
      </x:c>
      <x:c r="AE1904" s="12" t="str">
        <x:f>IF(OR(W1904="unavailable",Y1904="unavailable"),"不可评价",IF(AND(OR(W1904="positive",W1904="equivocal"),OR(Y1904="positive",Y1904="equivocal")),"a",IF(OR(Y1904="positive",Y1904="equivocal"),"b",IF(OR(W1904="positive",W1904="equivocal"),"c","d"))))</x:f>
        <x:v>d</x:v>
      </x:c>
      <x:c r="AF1904" s="12" t="str">
        <x:f>IF(OR(W1904="unavailable",Y1904="unavailable"),"不可评价",IF(AND(W1904="positive",Y1904="positive"),"a",IF(Y1904="positive","b",IF(W1904="positive","c","d"))))</x:f>
        <x:v>d</x:v>
      </x:c>
    </x:row>
    <x:row r="1905" ht="24" customHeight="1">
      <x:c r="A1905" s="12" t="str">
        <x:v>18056</x:v>
      </x:c>
      <x:c r="B1905" s="12" t="str">
        <x:v>16813</x:v>
      </x:c>
      <x:c r="C1905" s="21" t="n">
        <x:v>35615.83939814815</x:v>
      </x:c>
      <x:c r="D1905" s="12" t="n">
        <x:v>68</x:v>
      </x:c>
      <x:c r="E1905" s="12" t="n">
        <x:v>1</x:v>
      </x:c>
      <x:c r="F1905" s="12" t="str">
        <x:v>未记录</x:v>
      </x:c>
      <x:c r="G1905" s="12" t="n">
        <x:v>1</x:v>
      </x:c>
      <x:c r="H1905" s="12" t="str">
        <x:v>{'IMI': 50.0, 'ABQRS': 0.0, 'SR': 0.0}</x:v>
      </x:c>
      <x:c r="I1905" s="12" t="str">
        <x:v>[('NSR', 100.0), ('IMI;AU', 50.0), ('AB', 100.0)]</x:v>
      </x:c>
      <x:c r="J1905" s="12" t="str">
        <x:v>ptbxl_database.csv；ecg_id=18056；scp_codes</x:v>
      </x:c>
      <x:c r="K1905" s="12" t="str">
        <x:v>12sl_statements.csv；ecg_id=18056；statements_ext_snomed</x:v>
      </x:c>
      <x:c r="L1905" s="12"/>
      <x:c r="M1905" s="12" t="str">
        <x:v>negative</x:v>
      </x:c>
      <x:c r="N1905" s="12"/>
      <x:c r="O1905" s="12" t="str">
        <x:v>negative</x:v>
      </x:c>
      <x:c r="P1905" s="12" t="str">
        <x:f>IF(OR(M1905="unavailable",O1905="unavailable"),"不可评价",IF(OR(M1905="equivocal",O1905="equivocal"),"疑似",IF(AND(M1905="positive",O1905="positive"),"a",IF(O1905="positive","b",IF(M1905="positive","c","d")))))</x:f>
        <x:v>d</x:v>
      </x:c>
      <x:c r="Q1905" s="12"/>
      <x:c r="R1905" s="12" t="str">
        <x:v>negative</x:v>
      </x:c>
      <x:c r="S1905" s="12"/>
      <x:c r="T1905" s="12" t="str">
        <x:v>negative</x:v>
      </x:c>
      <x:c r="U1905" s="12" t="str">
        <x:f>IF(OR(R1905="unavailable",T1905="unavailable"),"不可评价",IF(OR(R1905="equivocal",T1905="equivocal"),"疑似",IF(AND(R1905="positive",T1905="positive"),"a",IF(T1905="positive","b",IF(R1905="positive","c","d")))))</x:f>
        <x:v>d</x:v>
      </x:c>
      <x:c r="V1905" s="12"/>
      <x:c r="W1905" s="12" t="str">
        <x:v>negative</x:v>
      </x:c>
      <x:c r="X1905" s="12"/>
      <x:c r="Y1905" s="12" t="str">
        <x:v>negative</x:v>
      </x:c>
      <x:c r="Z1905" s="12" t="str">
        <x:f>IF(OR(W1905="unavailable",Y1905="unavailable"),"不可评价",IF(OR(W1905="equivocal",Y1905="equivocal"),"疑似",IF(AND(W1905="positive",Y1905="positive"),"a",IF(Y1905="positive","b",IF(W1905="positive","c","d")))))</x:f>
        <x:v>d</x:v>
      </x:c>
      <x:c r="AA1905" s="12" t="str">
        <x:f>IF(OR(M1905="unavailable",O1905="unavailable"),"不可评价",IF(AND(OR(M1905="positive",M1905="equivocal"),OR(O1905="positive",O1905="equivocal")),"a",IF(OR(O1905="positive",O1905="equivocal"),"b",IF(OR(M1905="positive",M1905="equivocal"),"c","d"))))</x:f>
        <x:v>d</x:v>
      </x:c>
      <x:c r="AB1905" s="12" t="str">
        <x:f>IF(OR(M1905="unavailable",O1905="unavailable"),"不可评价",IF(AND(M1905="positive",O1905="positive"),"a",IF(O1905="positive","b",IF(M1905="positive","c","d"))))</x:f>
        <x:v>d</x:v>
      </x:c>
      <x:c r="AC1905" s="12" t="str">
        <x:f>IF(OR(R1905="unavailable",T1905="unavailable"),"不可评价",IF(AND(OR(R1905="positive",R1905="equivocal"),OR(T1905="positive",T1905="equivocal")),"a",IF(OR(T1905="positive",T1905="equivocal"),"b",IF(OR(R1905="positive",R1905="equivocal"),"c","d"))))</x:f>
        <x:v>d</x:v>
      </x:c>
      <x:c r="AD1905" s="12" t="str">
        <x:f>IF(OR(R1905="unavailable",T1905="unavailable"),"不可评价",IF(AND(R1905="positive",T1905="positive"),"a",IF(T1905="positive","b",IF(R1905="positive","c","d"))))</x:f>
        <x:v>d</x:v>
      </x:c>
      <x:c r="AE1905" s="12" t="str">
        <x:f>IF(OR(W1905="unavailable",Y1905="unavailable"),"不可评价",IF(AND(OR(W1905="positive",W1905="equivocal"),OR(Y1905="positive",Y1905="equivocal")),"a",IF(OR(Y1905="positive",Y1905="equivocal"),"b",IF(OR(W1905="positive",W1905="equivocal"),"c","d"))))</x:f>
        <x:v>d</x:v>
      </x:c>
      <x:c r="AF1905" s="12" t="str">
        <x:f>IF(OR(W1905="unavailable",Y1905="unavailable"),"不可评价",IF(AND(W1905="positive",Y1905="positive"),"a",IF(Y1905="positive","b",IF(W1905="positive","c","d"))))</x:f>
        <x:v>d</x:v>
      </x:c>
    </x:row>
    <x:row r="1906" ht="24" customHeight="1">
      <x:c r="A1906" s="12" t="str">
        <x:v>18057</x:v>
      </x:c>
      <x:c r="B1906" s="12" t="str">
        <x:v>18110</x:v>
      </x:c>
      <x:c r="C1906" s="21" t="n">
        <x:v>35616.50440972222</x:v>
      </x:c>
      <x:c r="D1906" s="12" t="n">
        <x:v>57</x:v>
      </x:c>
      <x:c r="E1906" s="12" t="n">
        <x:v>0</x:v>
      </x:c>
      <x:c r="F1906" s="12" t="str">
        <x:v>未记录</x:v>
      </x:c>
      <x:c r="G1906" s="12" t="n">
        <x:v>0</x:v>
      </x:c>
      <x:c r="H1906" s="12" t="str">
        <x:v>{'ASMI': 100.0, 'ISCAN': 100.0, 'SR': 0.0}</x:v>
      </x:c>
      <x:c r="I1906" s="12" t="str">
        <x:v>[('NSR', 100.0), ('ASMI;AU', 100.0), ('LT', 100.0), ('AB', 100.0)]</x:v>
      </x:c>
      <x:c r="J1906" s="12" t="str">
        <x:v>ptbxl_database.csv；ecg_id=18057；scp_codes</x:v>
      </x:c>
      <x:c r="K1906" s="12" t="str">
        <x:v>12sl_statements.csv；ecg_id=18057；statements_ext_snomed</x:v>
      </x:c>
      <x:c r="L1906" s="12"/>
      <x:c r="M1906" s="12" t="str">
        <x:v>negative</x:v>
      </x:c>
      <x:c r="N1906" s="12"/>
      <x:c r="O1906" s="12" t="str">
        <x:v>negative</x:v>
      </x:c>
      <x:c r="P1906" s="12" t="str">
        <x:f>IF(OR(M1906="unavailable",O1906="unavailable"),"不可评价",IF(OR(M1906="equivocal",O1906="equivocal"),"疑似",IF(AND(M1906="positive",O1906="positive"),"a",IF(O1906="positive","b",IF(M1906="positive","c","d")))))</x:f>
        <x:v>d</x:v>
      </x:c>
      <x:c r="Q1906" s="12"/>
      <x:c r="R1906" s="12" t="str">
        <x:v>negative</x:v>
      </x:c>
      <x:c r="S1906" s="12"/>
      <x:c r="T1906" s="12" t="str">
        <x:v>negative</x:v>
      </x:c>
      <x:c r="U1906" s="12" t="str">
        <x:f>IF(OR(R1906="unavailable",T1906="unavailable"),"不可评价",IF(OR(R1906="equivocal",T1906="equivocal"),"疑似",IF(AND(R1906="positive",T1906="positive"),"a",IF(T1906="positive","b",IF(R1906="positive","c","d")))))</x:f>
        <x:v>d</x:v>
      </x:c>
      <x:c r="V1906" s="12"/>
      <x:c r="W1906" s="12" t="str">
        <x:v>negative</x:v>
      </x:c>
      <x:c r="X1906" s="12"/>
      <x:c r="Y1906" s="12" t="str">
        <x:v>negative</x:v>
      </x:c>
      <x:c r="Z1906" s="12" t="str">
        <x:f>IF(OR(W1906="unavailable",Y1906="unavailable"),"不可评价",IF(OR(W1906="equivocal",Y1906="equivocal"),"疑似",IF(AND(W1906="positive",Y1906="positive"),"a",IF(Y1906="positive","b",IF(W1906="positive","c","d")))))</x:f>
        <x:v>d</x:v>
      </x:c>
      <x:c r="AA1906" s="12" t="str">
        <x:f>IF(OR(M1906="unavailable",O1906="unavailable"),"不可评价",IF(AND(OR(M1906="positive",M1906="equivocal"),OR(O1906="positive",O1906="equivocal")),"a",IF(OR(O1906="positive",O1906="equivocal"),"b",IF(OR(M1906="positive",M1906="equivocal"),"c","d"))))</x:f>
        <x:v>d</x:v>
      </x:c>
      <x:c r="AB1906" s="12" t="str">
        <x:f>IF(OR(M1906="unavailable",O1906="unavailable"),"不可评价",IF(AND(M1906="positive",O1906="positive"),"a",IF(O1906="positive","b",IF(M1906="positive","c","d"))))</x:f>
        <x:v>d</x:v>
      </x:c>
      <x:c r="AC1906" s="12" t="str">
        <x:f>IF(OR(R1906="unavailable",T1906="unavailable"),"不可评价",IF(AND(OR(R1906="positive",R1906="equivocal"),OR(T1906="positive",T1906="equivocal")),"a",IF(OR(T1906="positive",T1906="equivocal"),"b",IF(OR(R1906="positive",R1906="equivocal"),"c","d"))))</x:f>
        <x:v>d</x:v>
      </x:c>
      <x:c r="AD1906" s="12" t="str">
        <x:f>IF(OR(R1906="unavailable",T1906="unavailable"),"不可评价",IF(AND(R1906="positive",T1906="positive"),"a",IF(T1906="positive","b",IF(R1906="positive","c","d"))))</x:f>
        <x:v>d</x:v>
      </x:c>
      <x:c r="AE1906" s="12" t="str">
        <x:f>IF(OR(W1906="unavailable",Y1906="unavailable"),"不可评价",IF(AND(OR(W1906="positive",W1906="equivocal"),OR(Y1906="positive",Y1906="equivocal")),"a",IF(OR(Y1906="positive",Y1906="equivocal"),"b",IF(OR(W1906="positive",W1906="equivocal"),"c","d"))))</x:f>
        <x:v>d</x:v>
      </x:c>
      <x:c r="AF1906" s="12" t="str">
        <x:f>IF(OR(W1906="unavailable",Y1906="unavailable"),"不可评价",IF(AND(W1906="positive",Y1906="positive"),"a",IF(Y1906="positive","b",IF(W1906="positive","c","d"))))</x:f>
        <x:v>d</x:v>
      </x:c>
    </x:row>
    <x:row r="1907" ht="24" customHeight="1">
      <x:c r="A1907" s="12" t="str">
        <x:v>18068</x:v>
      </x:c>
      <x:c r="B1907" s="12" t="str">
        <x:v>3971</x:v>
      </x:c>
      <x:c r="C1907" s="21" t="n">
        <x:v>35617.51673611111</x:v>
      </x:c>
      <x:c r="D1907" s="12" t="n">
        <x:v>77</x:v>
      </x:c>
      <x:c r="E1907" s="12" t="n">
        <x:v>0</x:v>
      </x:c>
      <x:c r="F1907" s="12" t="str">
        <x:v>未记录</x:v>
      </x:c>
      <x:c r="G1907" s="12" t="n">
        <x:v>1</x:v>
      </x:c>
      <x:c r="H1907" s="12" t="str">
        <x:v>{'NORM': 100.0, 'SR': 0.0}</x:v>
      </x:c>
      <x:c r="I1907" s="12" t="str">
        <x:v>[('NSR', 100.0), ('NML', 100.0)]</x:v>
      </x:c>
      <x:c r="J1907" s="12" t="str">
        <x:v>ptbxl_database.csv；ecg_id=18068；scp_codes</x:v>
      </x:c>
      <x:c r="K1907" s="12" t="str">
        <x:v>12sl_statements.csv；ecg_id=18068；statements_ext_snomed</x:v>
      </x:c>
      <x:c r="L1907" s="12"/>
      <x:c r="M1907" s="12" t="str">
        <x:v>negative</x:v>
      </x:c>
      <x:c r="N1907" s="12"/>
      <x:c r="O1907" s="12" t="str">
        <x:v>negative</x:v>
      </x:c>
      <x:c r="P1907" s="12" t="str">
        <x:f>IF(OR(M1907="unavailable",O1907="unavailable"),"不可评价",IF(OR(M1907="equivocal",O1907="equivocal"),"疑似",IF(AND(M1907="positive",O1907="positive"),"a",IF(O1907="positive","b",IF(M1907="positive","c","d")))))</x:f>
        <x:v>d</x:v>
      </x:c>
      <x:c r="Q1907" s="12"/>
      <x:c r="R1907" s="12" t="str">
        <x:v>negative</x:v>
      </x:c>
      <x:c r="S1907" s="12"/>
      <x:c r="T1907" s="12" t="str">
        <x:v>negative</x:v>
      </x:c>
      <x:c r="U1907" s="12" t="str">
        <x:f>IF(OR(R1907="unavailable",T1907="unavailable"),"不可评价",IF(OR(R1907="equivocal",T1907="equivocal"),"疑似",IF(AND(R1907="positive",T1907="positive"),"a",IF(T1907="positive","b",IF(R1907="positive","c","d")))))</x:f>
        <x:v>d</x:v>
      </x:c>
      <x:c r="V1907" s="12"/>
      <x:c r="W1907" s="12" t="str">
        <x:v>negative</x:v>
      </x:c>
      <x:c r="X1907" s="12"/>
      <x:c r="Y1907" s="12" t="str">
        <x:v>negative</x:v>
      </x:c>
      <x:c r="Z1907" s="12" t="str">
        <x:f>IF(OR(W1907="unavailable",Y1907="unavailable"),"不可评价",IF(OR(W1907="equivocal",Y1907="equivocal"),"疑似",IF(AND(W1907="positive",Y1907="positive"),"a",IF(Y1907="positive","b",IF(W1907="positive","c","d")))))</x:f>
        <x:v>d</x:v>
      </x:c>
      <x:c r="AA1907" s="12" t="str">
        <x:f>IF(OR(M1907="unavailable",O1907="unavailable"),"不可评价",IF(AND(OR(M1907="positive",M1907="equivocal"),OR(O1907="positive",O1907="equivocal")),"a",IF(OR(O1907="positive",O1907="equivocal"),"b",IF(OR(M1907="positive",M1907="equivocal"),"c","d"))))</x:f>
        <x:v>d</x:v>
      </x:c>
      <x:c r="AB1907" s="12" t="str">
        <x:f>IF(OR(M1907="unavailable",O1907="unavailable"),"不可评价",IF(AND(M1907="positive",O1907="positive"),"a",IF(O1907="positive","b",IF(M1907="positive","c","d"))))</x:f>
        <x:v>d</x:v>
      </x:c>
      <x:c r="AC1907" s="12" t="str">
        <x:f>IF(OR(R1907="unavailable",T1907="unavailable"),"不可评价",IF(AND(OR(R1907="positive",R1907="equivocal"),OR(T1907="positive",T1907="equivocal")),"a",IF(OR(T1907="positive",T1907="equivocal"),"b",IF(OR(R1907="positive",R1907="equivocal"),"c","d"))))</x:f>
        <x:v>d</x:v>
      </x:c>
      <x:c r="AD1907" s="12" t="str">
        <x:f>IF(OR(R1907="unavailable",T1907="unavailable"),"不可评价",IF(AND(R1907="positive",T1907="positive"),"a",IF(T1907="positive","b",IF(R1907="positive","c","d"))))</x:f>
        <x:v>d</x:v>
      </x:c>
      <x:c r="AE1907" s="12" t="str">
        <x:f>IF(OR(W1907="unavailable",Y1907="unavailable"),"不可评价",IF(AND(OR(W1907="positive",W1907="equivocal"),OR(Y1907="positive",Y1907="equivocal")),"a",IF(OR(Y1907="positive",Y1907="equivocal"),"b",IF(OR(W1907="positive",W1907="equivocal"),"c","d"))))</x:f>
        <x:v>d</x:v>
      </x:c>
      <x:c r="AF1907" s="12" t="str">
        <x:f>IF(OR(W1907="unavailable",Y1907="unavailable"),"不可评价",IF(AND(W1907="positive",Y1907="positive"),"a",IF(Y1907="positive","b",IF(W1907="positive","c","d"))))</x:f>
        <x:v>d</x:v>
      </x:c>
    </x:row>
    <x:row r="1908" ht="24" customHeight="1">
      <x:c r="A1908" s="12" t="str">
        <x:v>18111</x:v>
      </x:c>
      <x:c r="B1908" s="12" t="str">
        <x:v>727</x:v>
      </x:c>
      <x:c r="C1908" s="21" t="n">
        <x:v>35624.5730787037</x:v>
      </x:c>
      <x:c r="D1908" s="12" t="n">
        <x:v>75</x:v>
      </x:c>
      <x:c r="E1908" s="12" t="n">
        <x:v>0</x:v>
      </x:c>
      <x:c r="F1908" s="12" t="str">
        <x:v>未记录</x:v>
      </x:c>
      <x:c r="G1908" s="12" t="n">
        <x:v>1</x:v>
      </x:c>
      <x:c r="H1908" s="12" t="str">
        <x:v>{'NORM': 100.0, 'SR': 0.0}</x:v>
      </x:c>
      <x:c r="I1908" s="12" t="str">
        <x:v>[('SBRAD', 100.0), ('ABR', 100.0)]</x:v>
      </x:c>
      <x:c r="J1908" s="12" t="str">
        <x:v>ptbxl_database.csv；ecg_id=18111；scp_codes</x:v>
      </x:c>
      <x:c r="K1908" s="12" t="str">
        <x:v>12sl_statements.csv；ecg_id=18111；statements_ext_snomed</x:v>
      </x:c>
      <x:c r="L1908" s="12"/>
      <x:c r="M1908" s="12" t="str">
        <x:v>negative</x:v>
      </x:c>
      <x:c r="N1908" s="12"/>
      <x:c r="O1908" s="12" t="str">
        <x:v>negative</x:v>
      </x:c>
      <x:c r="P1908" s="12" t="str">
        <x:f>IF(OR(M1908="unavailable",O1908="unavailable"),"不可评价",IF(OR(M1908="equivocal",O1908="equivocal"),"疑似",IF(AND(M1908="positive",O1908="positive"),"a",IF(O1908="positive","b",IF(M1908="positive","c","d")))))</x:f>
        <x:v>d</x:v>
      </x:c>
      <x:c r="Q1908" s="12"/>
      <x:c r="R1908" s="12" t="str">
        <x:v>negative</x:v>
      </x:c>
      <x:c r="S1908" s="12"/>
      <x:c r="T1908" s="12" t="str">
        <x:v>negative</x:v>
      </x:c>
      <x:c r="U1908" s="12" t="str">
        <x:f>IF(OR(R1908="unavailable",T1908="unavailable"),"不可评价",IF(OR(R1908="equivocal",T1908="equivocal"),"疑似",IF(AND(R1908="positive",T1908="positive"),"a",IF(T1908="positive","b",IF(R1908="positive","c","d")))))</x:f>
        <x:v>d</x:v>
      </x:c>
      <x:c r="V1908" s="12"/>
      <x:c r="W1908" s="12" t="str">
        <x:v>negative</x:v>
      </x:c>
      <x:c r="X1908" s="12"/>
      <x:c r="Y1908" s="12" t="str">
        <x:v>negative</x:v>
      </x:c>
      <x:c r="Z1908" s="12" t="str">
        <x:f>IF(OR(W1908="unavailable",Y1908="unavailable"),"不可评价",IF(OR(W1908="equivocal",Y1908="equivocal"),"疑似",IF(AND(W1908="positive",Y1908="positive"),"a",IF(Y1908="positive","b",IF(W1908="positive","c","d")))))</x:f>
        <x:v>d</x:v>
      </x:c>
      <x:c r="AA1908" s="12" t="str">
        <x:f>IF(OR(M1908="unavailable",O1908="unavailable"),"不可评价",IF(AND(OR(M1908="positive",M1908="equivocal"),OR(O1908="positive",O1908="equivocal")),"a",IF(OR(O1908="positive",O1908="equivocal"),"b",IF(OR(M1908="positive",M1908="equivocal"),"c","d"))))</x:f>
        <x:v>d</x:v>
      </x:c>
      <x:c r="AB1908" s="12" t="str">
        <x:f>IF(OR(M1908="unavailable",O1908="unavailable"),"不可评价",IF(AND(M1908="positive",O1908="positive"),"a",IF(O1908="positive","b",IF(M1908="positive","c","d"))))</x:f>
        <x:v>d</x:v>
      </x:c>
      <x:c r="AC1908" s="12" t="str">
        <x:f>IF(OR(R1908="unavailable",T1908="unavailable"),"不可评价",IF(AND(OR(R1908="positive",R1908="equivocal"),OR(T1908="positive",T1908="equivocal")),"a",IF(OR(T1908="positive",T1908="equivocal"),"b",IF(OR(R1908="positive",R1908="equivocal"),"c","d"))))</x:f>
        <x:v>d</x:v>
      </x:c>
      <x:c r="AD1908" s="12" t="str">
        <x:f>IF(OR(R1908="unavailable",T1908="unavailable"),"不可评价",IF(AND(R1908="positive",T1908="positive"),"a",IF(T1908="positive","b",IF(R1908="positive","c","d"))))</x:f>
        <x:v>d</x:v>
      </x:c>
      <x:c r="AE1908" s="12" t="str">
        <x:f>IF(OR(W1908="unavailable",Y1908="unavailable"),"不可评价",IF(AND(OR(W1908="positive",W1908="equivocal"),OR(Y1908="positive",Y1908="equivocal")),"a",IF(OR(Y1908="positive",Y1908="equivocal"),"b",IF(OR(W1908="positive",W1908="equivocal"),"c","d"))))</x:f>
        <x:v>d</x:v>
      </x:c>
      <x:c r="AF1908" s="12" t="str">
        <x:f>IF(OR(W1908="unavailable",Y1908="unavailable"),"不可评价",IF(AND(W1908="positive",Y1908="positive"),"a",IF(Y1908="positive","b",IF(W1908="positive","c","d"))))</x:f>
        <x:v>d</x:v>
      </x:c>
    </x:row>
    <x:row r="1909" ht="24" customHeight="1">
      <x:c r="A1909" s="12" t="str">
        <x:v>18121</x:v>
      </x:c>
      <x:c r="B1909" s="12" t="str">
        <x:v>326</x:v>
      </x:c>
      <x:c r="C1909" s="21" t="n">
        <x:v>35625.37957175926</x:v>
      </x:c>
      <x:c r="D1909" s="12" t="n">
        <x:v>59</x:v>
      </x:c>
      <x:c r="E1909" s="12" t="n">
        <x:v>1</x:v>
      </x:c>
      <x:c r="F1909" s="12" t="str">
        <x:v>未记录</x:v>
      </x:c>
      <x:c r="G1909" s="12" t="n">
        <x:v>1</x:v>
      </x:c>
      <x:c r="H1909" s="12" t="str">
        <x:v>{'IRBBB': 80.0, 'STD_': 0.0, 'SR': 0.0}</x:v>
      </x:c>
      <x:c r="I1909" s="12" t="str">
        <x:v>[('NSR', 100.0), ('SAR', 100.0), ('IRBBB', 100.0), ('NST', 100.0), ('AB', 100.0)]</x:v>
      </x:c>
      <x:c r="J1909" s="12" t="str">
        <x:v>ptbxl_database.csv；ecg_id=18121；scp_codes</x:v>
      </x:c>
      <x:c r="K1909" s="12" t="str">
        <x:v>12sl_statements.csv；ecg_id=18121；statements_ext_snomed</x:v>
      </x:c>
      <x:c r="L1909" s="12"/>
      <x:c r="M1909" s="12" t="str">
        <x:v>negative</x:v>
      </x:c>
      <x:c r="N1909" s="12"/>
      <x:c r="O1909" s="12" t="str">
        <x:v>negative</x:v>
      </x:c>
      <x:c r="P1909" s="12" t="str">
        <x:f>IF(OR(M1909="unavailable",O1909="unavailable"),"不可评价",IF(OR(M1909="equivocal",O1909="equivocal"),"疑似",IF(AND(M1909="positive",O1909="positive"),"a",IF(O1909="positive","b",IF(M1909="positive","c","d")))))</x:f>
        <x:v>d</x:v>
      </x:c>
      <x:c r="Q1909" s="12"/>
      <x:c r="R1909" s="12" t="str">
        <x:v>negative</x:v>
      </x:c>
      <x:c r="S1909" s="12"/>
      <x:c r="T1909" s="12" t="str">
        <x:v>negative</x:v>
      </x:c>
      <x:c r="U1909" s="12" t="str">
        <x:f>IF(OR(R1909="unavailable",T1909="unavailable"),"不可评价",IF(OR(R1909="equivocal",T1909="equivocal"),"疑似",IF(AND(R1909="positive",T1909="positive"),"a",IF(T1909="positive","b",IF(R1909="positive","c","d")))))</x:f>
        <x:v>d</x:v>
      </x:c>
      <x:c r="V1909" s="12"/>
      <x:c r="W1909" s="12" t="str">
        <x:v>negative</x:v>
      </x:c>
      <x:c r="X1909" s="12"/>
      <x:c r="Y1909" s="12" t="str">
        <x:v>negative</x:v>
      </x:c>
      <x:c r="Z1909" s="12" t="str">
        <x:f>IF(OR(W1909="unavailable",Y1909="unavailable"),"不可评价",IF(OR(W1909="equivocal",Y1909="equivocal"),"疑似",IF(AND(W1909="positive",Y1909="positive"),"a",IF(Y1909="positive","b",IF(W1909="positive","c","d")))))</x:f>
        <x:v>d</x:v>
      </x:c>
      <x:c r="AA1909" s="12" t="str">
        <x:f>IF(OR(M1909="unavailable",O1909="unavailable"),"不可评价",IF(AND(OR(M1909="positive",M1909="equivocal"),OR(O1909="positive",O1909="equivocal")),"a",IF(OR(O1909="positive",O1909="equivocal"),"b",IF(OR(M1909="positive",M1909="equivocal"),"c","d"))))</x:f>
        <x:v>d</x:v>
      </x:c>
      <x:c r="AB1909" s="12" t="str">
        <x:f>IF(OR(M1909="unavailable",O1909="unavailable"),"不可评价",IF(AND(M1909="positive",O1909="positive"),"a",IF(O1909="positive","b",IF(M1909="positive","c","d"))))</x:f>
        <x:v>d</x:v>
      </x:c>
      <x:c r="AC1909" s="12" t="str">
        <x:f>IF(OR(R1909="unavailable",T1909="unavailable"),"不可评价",IF(AND(OR(R1909="positive",R1909="equivocal"),OR(T1909="positive",T1909="equivocal")),"a",IF(OR(T1909="positive",T1909="equivocal"),"b",IF(OR(R1909="positive",R1909="equivocal"),"c","d"))))</x:f>
        <x:v>d</x:v>
      </x:c>
      <x:c r="AD1909" s="12" t="str">
        <x:f>IF(OR(R1909="unavailable",T1909="unavailable"),"不可评价",IF(AND(R1909="positive",T1909="positive"),"a",IF(T1909="positive","b",IF(R1909="positive","c","d"))))</x:f>
        <x:v>d</x:v>
      </x:c>
      <x:c r="AE1909" s="12" t="str">
        <x:f>IF(OR(W1909="unavailable",Y1909="unavailable"),"不可评价",IF(AND(OR(W1909="positive",W1909="equivocal"),OR(Y1909="positive",Y1909="equivocal")),"a",IF(OR(Y1909="positive",Y1909="equivocal"),"b",IF(OR(W1909="positive",W1909="equivocal"),"c","d"))))</x:f>
        <x:v>d</x:v>
      </x:c>
      <x:c r="AF1909" s="12" t="str">
        <x:f>IF(OR(W1909="unavailable",Y1909="unavailable"),"不可评价",IF(AND(W1909="positive",Y1909="positive"),"a",IF(Y1909="positive","b",IF(W1909="positive","c","d"))))</x:f>
        <x:v>d</x:v>
      </x:c>
    </x:row>
    <x:row r="1910" ht="39" customHeight="1">
      <x:c r="A1910" s="12" t="str">
        <x:v>18131</x:v>
      </x:c>
      <x:c r="B1910" s="12" t="str">
        <x:v>10158</x:v>
      </x:c>
      <x:c r="C1910" s="21" t="n">
        <x:v>35626.543761574074</x:v>
      </x:c>
      <x:c r="D1910" s="12" t="n">
        <x:v>89</x:v>
      </x:c>
      <x:c r="E1910" s="12" t="n">
        <x:v>1</x:v>
      </x:c>
      <x:c r="F1910" s="12" t="str">
        <x:v>未记录</x:v>
      </x:c>
      <x:c r="G1910" s="12" t="n">
        <x:v>1</x:v>
      </x:c>
      <x:c r="H1910" s="12" t="str">
        <x:v>{'ASMI': 15.0, 'IMI': 15.0, 'CRBBB': 100.0, 'SR': 0.0}</x:v>
      </x:c>
      <x:c r="I1910" s="12" t="str">
        <x:v>[('ARM', 100.0), ('NSR', 100.0), ('SAR', 100.0), ('RBBB', 100.0), ('IMI;AU', 15.0), ('LT', 100.0), ('AB', 100.0)]</x:v>
      </x:c>
      <x:c r="J1910" s="12" t="str">
        <x:v>ptbxl_database.csv；ecg_id=18131；scp_codes</x:v>
      </x:c>
      <x:c r="K1910" s="12" t="str">
        <x:v>12sl_statements.csv；ecg_id=18131；statements_ext_snomed</x:v>
      </x:c>
      <x:c r="L1910" s="12"/>
      <x:c r="M1910" s="12" t="str">
        <x:v>negative</x:v>
      </x:c>
      <x:c r="N1910" s="12"/>
      <x:c r="O1910" s="12" t="str">
        <x:v>negative</x:v>
      </x:c>
      <x:c r="P1910" s="12" t="str">
        <x:f>IF(OR(M1910="unavailable",O1910="unavailable"),"不可评价",IF(OR(M1910="equivocal",O1910="equivocal"),"疑似",IF(AND(M1910="positive",O1910="positive"),"a",IF(O1910="positive","b",IF(M1910="positive","c","d")))))</x:f>
        <x:v>d</x:v>
      </x:c>
      <x:c r="Q1910" s="12"/>
      <x:c r="R1910" s="12" t="str">
        <x:v>negative</x:v>
      </x:c>
      <x:c r="S1910" s="12"/>
      <x:c r="T1910" s="12" t="str">
        <x:v>negative</x:v>
      </x:c>
      <x:c r="U1910" s="12" t="str">
        <x:f>IF(OR(R1910="unavailable",T1910="unavailable"),"不可评价",IF(OR(R1910="equivocal",T1910="equivocal"),"疑似",IF(AND(R1910="positive",T1910="positive"),"a",IF(T1910="positive","b",IF(R1910="positive","c","d")))))</x:f>
        <x:v>d</x:v>
      </x:c>
      <x:c r="V1910" s="12" t="n">
        <x:v>100</x:v>
      </x:c>
      <x:c r="W1910" s="12" t="str">
        <x:v>positive</x:v>
      </x:c>
      <x:c r="X1910" s="12" t="n">
        <x:v>100</x:v>
      </x:c>
      <x:c r="Y1910" s="12" t="str">
        <x:v>positive</x:v>
      </x:c>
      <x:c r="Z1910" s="12" t="str">
        <x:f>IF(OR(W1910="unavailable",Y1910="unavailable"),"不可评价",IF(OR(W1910="equivocal",Y1910="equivocal"),"疑似",IF(AND(W1910="positive",Y1910="positive"),"a",IF(Y1910="positive","b",IF(W1910="positive","c","d")))))</x:f>
        <x:v>a</x:v>
      </x:c>
      <x:c r="AA1910" s="12" t="str">
        <x:f>IF(OR(M1910="unavailable",O1910="unavailable"),"不可评价",IF(AND(OR(M1910="positive",M1910="equivocal"),OR(O1910="positive",O1910="equivocal")),"a",IF(OR(O1910="positive",O1910="equivocal"),"b",IF(OR(M1910="positive",M1910="equivocal"),"c","d"))))</x:f>
        <x:v>d</x:v>
      </x:c>
      <x:c r="AB1910" s="12" t="str">
        <x:f>IF(OR(M1910="unavailable",O1910="unavailable"),"不可评价",IF(AND(M1910="positive",O1910="positive"),"a",IF(O1910="positive","b",IF(M1910="positive","c","d"))))</x:f>
        <x:v>d</x:v>
      </x:c>
      <x:c r="AC1910" s="12" t="str">
        <x:f>IF(OR(R1910="unavailable",T1910="unavailable"),"不可评价",IF(AND(OR(R1910="positive",R1910="equivocal"),OR(T1910="positive",T1910="equivocal")),"a",IF(OR(T1910="positive",T1910="equivocal"),"b",IF(OR(R1910="positive",R1910="equivocal"),"c","d"))))</x:f>
        <x:v>d</x:v>
      </x:c>
      <x:c r="AD1910" s="12" t="str">
        <x:f>IF(OR(R1910="unavailable",T1910="unavailable"),"不可评价",IF(AND(R1910="positive",T1910="positive"),"a",IF(T1910="positive","b",IF(R1910="positive","c","d"))))</x:f>
        <x:v>d</x:v>
      </x:c>
      <x:c r="AE1910" s="12" t="str">
        <x:f>IF(OR(W1910="unavailable",Y1910="unavailable"),"不可评价",IF(AND(OR(W1910="positive",W1910="equivocal"),OR(Y1910="positive",Y1910="equivocal")),"a",IF(OR(Y1910="positive",Y1910="equivocal"),"b",IF(OR(W1910="positive",W1910="equivocal"),"c","d"))))</x:f>
        <x:v>a</x:v>
      </x:c>
      <x:c r="AF1910" s="12" t="str">
        <x:f>IF(OR(W1910="unavailable",Y1910="unavailable"),"不可评价",IF(AND(W1910="positive",Y1910="positive"),"a",IF(Y1910="positive","b",IF(W1910="positive","c","d"))))</x:f>
        <x:v>a</x:v>
      </x:c>
    </x:row>
    <x:row r="1911" ht="24" customHeight="1">
      <x:c r="A1911" s="12" t="str">
        <x:v>18132</x:v>
      </x:c>
      <x:c r="B1911" s="12" t="str">
        <x:v>2940</x:v>
      </x:c>
      <x:c r="C1911" s="21" t="n">
        <x:v>35626.59952546296</x:v>
      </x:c>
      <x:c r="D1911" s="12" t="n">
        <x:v>75</x:v>
      </x:c>
      <x:c r="E1911" s="12" t="n">
        <x:v>1</x:v>
      </x:c>
      <x:c r="F1911" s="12" t="str">
        <x:v>未记录</x:v>
      </x:c>
      <x:c r="G1911" s="12" t="n">
        <x:v>1</x:v>
      </x:c>
      <x:c r="H1911" s="12" t="str">
        <x:v>{'NORM': 100.0, 'QWAVE': 0.0, 'SR': 0.0}</x:v>
      </x:c>
      <x:c r="I1911" s="12" t="str">
        <x:v>[('SRTH', 100.0), ('SPR', 100.0), ('ABR', 100.0)]</x:v>
      </x:c>
      <x:c r="J1911" s="12" t="str">
        <x:v>ptbxl_database.csv；ecg_id=18132；scp_codes</x:v>
      </x:c>
      <x:c r="K1911" s="12" t="str">
        <x:v>12sl_statements.csv；ecg_id=18132；statements_ext_snomed</x:v>
      </x:c>
      <x:c r="L1911" s="12"/>
      <x:c r="M1911" s="12" t="str">
        <x:v>negative</x:v>
      </x:c>
      <x:c r="N1911" s="12"/>
      <x:c r="O1911" s="12" t="str">
        <x:v>negative</x:v>
      </x:c>
      <x:c r="P1911" s="12" t="str">
        <x:f>IF(OR(M1911="unavailable",O1911="unavailable"),"不可评价",IF(OR(M1911="equivocal",O1911="equivocal"),"疑似",IF(AND(M1911="positive",O1911="positive"),"a",IF(O1911="positive","b",IF(M1911="positive","c","d")))))</x:f>
        <x:v>d</x:v>
      </x:c>
      <x:c r="Q1911" s="12"/>
      <x:c r="R1911" s="12" t="str">
        <x:v>negative</x:v>
      </x:c>
      <x:c r="S1911" s="12"/>
      <x:c r="T1911" s="12" t="str">
        <x:v>negative</x:v>
      </x:c>
      <x:c r="U1911" s="12" t="str">
        <x:f>IF(OR(R1911="unavailable",T1911="unavailable"),"不可评价",IF(OR(R1911="equivocal",T1911="equivocal"),"疑似",IF(AND(R1911="positive",T1911="positive"),"a",IF(T1911="positive","b",IF(R1911="positive","c","d")))))</x:f>
        <x:v>d</x:v>
      </x:c>
      <x:c r="V1911" s="12"/>
      <x:c r="W1911" s="12" t="str">
        <x:v>negative</x:v>
      </x:c>
      <x:c r="X1911" s="12"/>
      <x:c r="Y1911" s="12" t="str">
        <x:v>negative</x:v>
      </x:c>
      <x:c r="Z1911" s="12" t="str">
        <x:f>IF(OR(W1911="unavailable",Y1911="unavailable"),"不可评价",IF(OR(W1911="equivocal",Y1911="equivocal"),"疑似",IF(AND(W1911="positive",Y1911="positive"),"a",IF(Y1911="positive","b",IF(W1911="positive","c","d")))))</x:f>
        <x:v>d</x:v>
      </x:c>
      <x:c r="AA1911" s="12" t="str">
        <x:f>IF(OR(M1911="unavailable",O1911="unavailable"),"不可评价",IF(AND(OR(M1911="positive",M1911="equivocal"),OR(O1911="positive",O1911="equivocal")),"a",IF(OR(O1911="positive",O1911="equivocal"),"b",IF(OR(M1911="positive",M1911="equivocal"),"c","d"))))</x:f>
        <x:v>d</x:v>
      </x:c>
      <x:c r="AB1911" s="12" t="str">
        <x:f>IF(OR(M1911="unavailable",O1911="unavailable"),"不可评价",IF(AND(M1911="positive",O1911="positive"),"a",IF(O1911="positive","b",IF(M1911="positive","c","d"))))</x:f>
        <x:v>d</x:v>
      </x:c>
      <x:c r="AC1911" s="12" t="str">
        <x:f>IF(OR(R1911="unavailable",T1911="unavailable"),"不可评价",IF(AND(OR(R1911="positive",R1911="equivocal"),OR(T1911="positive",T1911="equivocal")),"a",IF(OR(T1911="positive",T1911="equivocal"),"b",IF(OR(R1911="positive",R1911="equivocal"),"c","d"))))</x:f>
        <x:v>d</x:v>
      </x:c>
      <x:c r="AD1911" s="12" t="str">
        <x:f>IF(OR(R1911="unavailable",T1911="unavailable"),"不可评价",IF(AND(R1911="positive",T1911="positive"),"a",IF(T1911="positive","b",IF(R1911="positive","c","d"))))</x:f>
        <x:v>d</x:v>
      </x:c>
      <x:c r="AE1911" s="12" t="str">
        <x:f>IF(OR(W1911="unavailable",Y1911="unavailable"),"不可评价",IF(AND(OR(W1911="positive",W1911="equivocal"),OR(Y1911="positive",Y1911="equivocal")),"a",IF(OR(Y1911="positive",Y1911="equivocal"),"b",IF(OR(W1911="positive",W1911="equivocal"),"c","d"))))</x:f>
        <x:v>d</x:v>
      </x:c>
      <x:c r="AF1911" s="12" t="str">
        <x:f>IF(OR(W1911="unavailable",Y1911="unavailable"),"不可评价",IF(AND(W1911="positive",Y1911="positive"),"a",IF(Y1911="positive","b",IF(W1911="positive","c","d"))))</x:f>
        <x:v>d</x:v>
      </x:c>
    </x:row>
    <x:row r="1912" ht="24" customHeight="1">
      <x:c r="A1912" s="12" t="str">
        <x:v>18134</x:v>
      </x:c>
      <x:c r="B1912" s="12" t="str">
        <x:v>3537</x:v>
      </x:c>
      <x:c r="C1912" s="21" t="n">
        <x:v>35626.68543981481</x:v>
      </x:c>
      <x:c r="D1912" s="12" t="n">
        <x:v>79</x:v>
      </x:c>
      <x:c r="E1912" s="12" t="n">
        <x:v>1</x:v>
      </x:c>
      <x:c r="F1912" s="12" t="str">
        <x:v>未记录</x:v>
      </x:c>
      <x:c r="G1912" s="12" t="n">
        <x:v>1</x:v>
      </x:c>
      <x:c r="H1912" s="12" t="str">
        <x:v>{'NORM': 100.0, 'SR': 0.0}</x:v>
      </x:c>
      <x:c r="I1912" s="12" t="str">
        <x:v>[('NSR', 100.0), ('NML', 100.0)]</x:v>
      </x:c>
      <x:c r="J1912" s="12" t="str">
        <x:v>ptbxl_database.csv；ecg_id=18134；scp_codes</x:v>
      </x:c>
      <x:c r="K1912" s="12" t="str">
        <x:v>12sl_statements.csv；ecg_id=18134；statements_ext_snomed</x:v>
      </x:c>
      <x:c r="L1912" s="12"/>
      <x:c r="M1912" s="12" t="str">
        <x:v>negative</x:v>
      </x:c>
      <x:c r="N1912" s="12"/>
      <x:c r="O1912" s="12" t="str">
        <x:v>negative</x:v>
      </x:c>
      <x:c r="P1912" s="12" t="str">
        <x:f>IF(OR(M1912="unavailable",O1912="unavailable"),"不可评价",IF(OR(M1912="equivocal",O1912="equivocal"),"疑似",IF(AND(M1912="positive",O1912="positive"),"a",IF(O1912="positive","b",IF(M1912="positive","c","d")))))</x:f>
        <x:v>d</x:v>
      </x:c>
      <x:c r="Q1912" s="12"/>
      <x:c r="R1912" s="12" t="str">
        <x:v>negative</x:v>
      </x:c>
      <x:c r="S1912" s="12"/>
      <x:c r="T1912" s="12" t="str">
        <x:v>negative</x:v>
      </x:c>
      <x:c r="U1912" s="12" t="str">
        <x:f>IF(OR(R1912="unavailable",T1912="unavailable"),"不可评价",IF(OR(R1912="equivocal",T1912="equivocal"),"疑似",IF(AND(R1912="positive",T1912="positive"),"a",IF(T1912="positive","b",IF(R1912="positive","c","d")))))</x:f>
        <x:v>d</x:v>
      </x:c>
      <x:c r="V1912" s="12"/>
      <x:c r="W1912" s="12" t="str">
        <x:v>negative</x:v>
      </x:c>
      <x:c r="X1912" s="12"/>
      <x:c r="Y1912" s="12" t="str">
        <x:v>negative</x:v>
      </x:c>
      <x:c r="Z1912" s="12" t="str">
        <x:f>IF(OR(W1912="unavailable",Y1912="unavailable"),"不可评价",IF(OR(W1912="equivocal",Y1912="equivocal"),"疑似",IF(AND(W1912="positive",Y1912="positive"),"a",IF(Y1912="positive","b",IF(W1912="positive","c","d")))))</x:f>
        <x:v>d</x:v>
      </x:c>
      <x:c r="AA1912" s="12" t="str">
        <x:f>IF(OR(M1912="unavailable",O1912="unavailable"),"不可评价",IF(AND(OR(M1912="positive",M1912="equivocal"),OR(O1912="positive",O1912="equivocal")),"a",IF(OR(O1912="positive",O1912="equivocal"),"b",IF(OR(M1912="positive",M1912="equivocal"),"c","d"))))</x:f>
        <x:v>d</x:v>
      </x:c>
      <x:c r="AB1912" s="12" t="str">
        <x:f>IF(OR(M1912="unavailable",O1912="unavailable"),"不可评价",IF(AND(M1912="positive",O1912="positive"),"a",IF(O1912="positive","b",IF(M1912="positive","c","d"))))</x:f>
        <x:v>d</x:v>
      </x:c>
      <x:c r="AC1912" s="12" t="str">
        <x:f>IF(OR(R1912="unavailable",T1912="unavailable"),"不可评价",IF(AND(OR(R1912="positive",R1912="equivocal"),OR(T1912="positive",T1912="equivocal")),"a",IF(OR(T1912="positive",T1912="equivocal"),"b",IF(OR(R1912="positive",R1912="equivocal"),"c","d"))))</x:f>
        <x:v>d</x:v>
      </x:c>
      <x:c r="AD1912" s="12" t="str">
        <x:f>IF(OR(R1912="unavailable",T1912="unavailable"),"不可评价",IF(AND(R1912="positive",T1912="positive"),"a",IF(T1912="positive","b",IF(R1912="positive","c","d"))))</x:f>
        <x:v>d</x:v>
      </x:c>
      <x:c r="AE1912" s="12" t="str">
        <x:f>IF(OR(W1912="unavailable",Y1912="unavailable"),"不可评价",IF(AND(OR(W1912="positive",W1912="equivocal"),OR(Y1912="positive",Y1912="equivocal")),"a",IF(OR(Y1912="positive",Y1912="equivocal"),"b",IF(OR(W1912="positive",W1912="equivocal"),"c","d"))))</x:f>
        <x:v>d</x:v>
      </x:c>
      <x:c r="AF1912" s="12" t="str">
        <x:f>IF(OR(W1912="unavailable",Y1912="unavailable"),"不可评价",IF(AND(W1912="positive",Y1912="positive"),"a",IF(Y1912="positive","b",IF(W1912="positive","c","d"))))</x:f>
        <x:v>d</x:v>
      </x:c>
    </x:row>
    <x:row r="1913" ht="24" customHeight="1">
      <x:c r="A1913" s="12" t="str">
        <x:v>18140</x:v>
      </x:c>
      <x:c r="B1913" s="12" t="str">
        <x:v>326</x:v>
      </x:c>
      <x:c r="C1913" s="21" t="n">
        <x:v>35627.422476851854</x:v>
      </x:c>
      <x:c r="D1913" s="12" t="n">
        <x:v>59</x:v>
      </x:c>
      <x:c r="E1913" s="12" t="n">
        <x:v>1</x:v>
      </x:c>
      <x:c r="F1913" s="12" t="str">
        <x:v>未记录</x:v>
      </x:c>
      <x:c r="G1913" s="12" t="n">
        <x:v>0</x:v>
      </x:c>
      <x:c r="H1913" s="12" t="str">
        <x:v>{'LAFB': 100.0, 'NST_': 100.0, 'STD_': 0.0, 'LOWT': 0.0, 'SR': 0.0}</x:v>
      </x:c>
      <x:c r="I1913" s="12" t="str">
        <x:v>[('NSR', 100.0), ('LAD3', 100.0), ('IMI;AU', 100.0), ('AB', 100.0)]</x:v>
      </x:c>
      <x:c r="J1913" s="12" t="str">
        <x:v>ptbxl_database.csv；ecg_id=18140；scp_codes</x:v>
      </x:c>
      <x:c r="K1913" s="12" t="str">
        <x:v>12sl_statements.csv；ecg_id=18140；statements_ext_snomed</x:v>
      </x:c>
      <x:c r="L1913" s="12"/>
      <x:c r="M1913" s="12" t="str">
        <x:v>negative</x:v>
      </x:c>
      <x:c r="N1913" s="12"/>
      <x:c r="O1913" s="12" t="str">
        <x:v>negative</x:v>
      </x:c>
      <x:c r="P1913" s="12" t="str">
        <x:f>IF(OR(M1913="unavailable",O1913="unavailable"),"不可评价",IF(OR(M1913="equivocal",O1913="equivocal"),"疑似",IF(AND(M1913="positive",O1913="positive"),"a",IF(O1913="positive","b",IF(M1913="positive","c","d")))))</x:f>
        <x:v>d</x:v>
      </x:c>
      <x:c r="Q1913" s="12"/>
      <x:c r="R1913" s="12" t="str">
        <x:v>negative</x:v>
      </x:c>
      <x:c r="S1913" s="12"/>
      <x:c r="T1913" s="12" t="str">
        <x:v>negative</x:v>
      </x:c>
      <x:c r="U1913" s="12" t="str">
        <x:f>IF(OR(R1913="unavailable",T1913="unavailable"),"不可评价",IF(OR(R1913="equivocal",T1913="equivocal"),"疑似",IF(AND(R1913="positive",T1913="positive"),"a",IF(T1913="positive","b",IF(R1913="positive","c","d")))))</x:f>
        <x:v>d</x:v>
      </x:c>
      <x:c r="V1913" s="12"/>
      <x:c r="W1913" s="12" t="str">
        <x:v>negative</x:v>
      </x:c>
      <x:c r="X1913" s="12"/>
      <x:c r="Y1913" s="12" t="str">
        <x:v>negative</x:v>
      </x:c>
      <x:c r="Z1913" s="12" t="str">
        <x:f>IF(OR(W1913="unavailable",Y1913="unavailable"),"不可评价",IF(OR(W1913="equivocal",Y1913="equivocal"),"疑似",IF(AND(W1913="positive",Y1913="positive"),"a",IF(Y1913="positive","b",IF(W1913="positive","c","d")))))</x:f>
        <x:v>d</x:v>
      </x:c>
      <x:c r="AA1913" s="12" t="str">
        <x:f>IF(OR(M1913="unavailable",O1913="unavailable"),"不可评价",IF(AND(OR(M1913="positive",M1913="equivocal"),OR(O1913="positive",O1913="equivocal")),"a",IF(OR(O1913="positive",O1913="equivocal"),"b",IF(OR(M1913="positive",M1913="equivocal"),"c","d"))))</x:f>
        <x:v>d</x:v>
      </x:c>
      <x:c r="AB1913" s="12" t="str">
        <x:f>IF(OR(M1913="unavailable",O1913="unavailable"),"不可评价",IF(AND(M1913="positive",O1913="positive"),"a",IF(O1913="positive","b",IF(M1913="positive","c","d"))))</x:f>
        <x:v>d</x:v>
      </x:c>
      <x:c r="AC1913" s="12" t="str">
        <x:f>IF(OR(R1913="unavailable",T1913="unavailable"),"不可评价",IF(AND(OR(R1913="positive",R1913="equivocal"),OR(T1913="positive",T1913="equivocal")),"a",IF(OR(T1913="positive",T1913="equivocal"),"b",IF(OR(R1913="positive",R1913="equivocal"),"c","d"))))</x:f>
        <x:v>d</x:v>
      </x:c>
      <x:c r="AD1913" s="12" t="str">
        <x:f>IF(OR(R1913="unavailable",T1913="unavailable"),"不可评价",IF(AND(R1913="positive",T1913="positive"),"a",IF(T1913="positive","b",IF(R1913="positive","c","d"))))</x:f>
        <x:v>d</x:v>
      </x:c>
      <x:c r="AE1913" s="12" t="str">
        <x:f>IF(OR(W1913="unavailable",Y1913="unavailable"),"不可评价",IF(AND(OR(W1913="positive",W1913="equivocal"),OR(Y1913="positive",Y1913="equivocal")),"a",IF(OR(Y1913="positive",Y1913="equivocal"),"b",IF(OR(W1913="positive",W1913="equivocal"),"c","d"))))</x:f>
        <x:v>d</x:v>
      </x:c>
      <x:c r="AF1913" s="12" t="str">
        <x:f>IF(OR(W1913="unavailable",Y1913="unavailable"),"不可评价",IF(AND(W1913="positive",Y1913="positive"),"a",IF(Y1913="positive","b",IF(W1913="positive","c","d"))))</x:f>
        <x:v>d</x:v>
      </x:c>
    </x:row>
    <x:row r="1914" ht="24" customHeight="1">
      <x:c r="A1914" s="12" t="str">
        <x:v>18162</x:v>
      </x:c>
      <x:c r="B1914" s="12" t="str">
        <x:v>18477</x:v>
      </x:c>
      <x:c r="C1914" s="21" t="n">
        <x:v>35629.46549768518</x:v>
      </x:c>
      <x:c r="D1914" s="12" t="n">
        <x:v>66</x:v>
      </x:c>
      <x:c r="E1914" s="12" t="n">
        <x:v>1</x:v>
      </x:c>
      <x:c r="F1914" s="12" t="str">
        <x:v>未记录</x:v>
      </x:c>
      <x:c r="G1914" s="12" t="n">
        <x:v>1</x:v>
      </x:c>
      <x:c r="H1914" s="12" t="str">
        <x:v>{'LVH': 50.0, 'ISC_': 100.0, 'ABQRS': 0.0, 'VCLVH': 0.0, 'SR': 0.0}</x:v>
      </x:c>
      <x:c r="I1914" s="12" t="str">
        <x:v>[('NSR', 100.0), ('NSTT', 100.0), ('AB', 100.0)]</x:v>
      </x:c>
      <x:c r="J1914" s="12" t="str">
        <x:v>ptbxl_database.csv；ecg_id=18162；scp_codes</x:v>
      </x:c>
      <x:c r="K1914" s="12" t="str">
        <x:v>12sl_statements.csv；ecg_id=18162；statements_ext_snomed</x:v>
      </x:c>
      <x:c r="L1914" s="12"/>
      <x:c r="M1914" s="12" t="str">
        <x:v>negative</x:v>
      </x:c>
      <x:c r="N1914" s="12"/>
      <x:c r="O1914" s="12" t="str">
        <x:v>negative</x:v>
      </x:c>
      <x:c r="P1914" s="12" t="str">
        <x:f>IF(OR(M1914="unavailable",O1914="unavailable"),"不可评价",IF(OR(M1914="equivocal",O1914="equivocal"),"疑似",IF(AND(M1914="positive",O1914="positive"),"a",IF(O1914="positive","b",IF(M1914="positive","c","d")))))</x:f>
        <x:v>d</x:v>
      </x:c>
      <x:c r="Q1914" s="12"/>
      <x:c r="R1914" s="12" t="str">
        <x:v>negative</x:v>
      </x:c>
      <x:c r="S1914" s="12"/>
      <x:c r="T1914" s="12" t="str">
        <x:v>negative</x:v>
      </x:c>
      <x:c r="U1914" s="12" t="str">
        <x:f>IF(OR(R1914="unavailable",T1914="unavailable"),"不可评价",IF(OR(R1914="equivocal",T1914="equivocal"),"疑似",IF(AND(R1914="positive",T1914="positive"),"a",IF(T1914="positive","b",IF(R1914="positive","c","d")))))</x:f>
        <x:v>d</x:v>
      </x:c>
      <x:c r="V1914" s="12"/>
      <x:c r="W1914" s="12" t="str">
        <x:v>negative</x:v>
      </x:c>
      <x:c r="X1914" s="12"/>
      <x:c r="Y1914" s="12" t="str">
        <x:v>negative</x:v>
      </x:c>
      <x:c r="Z1914" s="12" t="str">
        <x:f>IF(OR(W1914="unavailable",Y1914="unavailable"),"不可评价",IF(OR(W1914="equivocal",Y1914="equivocal"),"疑似",IF(AND(W1914="positive",Y1914="positive"),"a",IF(Y1914="positive","b",IF(W1914="positive","c","d")))))</x:f>
        <x:v>d</x:v>
      </x:c>
      <x:c r="AA1914" s="12" t="str">
        <x:f>IF(OR(M1914="unavailable",O1914="unavailable"),"不可评价",IF(AND(OR(M1914="positive",M1914="equivocal"),OR(O1914="positive",O1914="equivocal")),"a",IF(OR(O1914="positive",O1914="equivocal"),"b",IF(OR(M1914="positive",M1914="equivocal"),"c","d"))))</x:f>
        <x:v>d</x:v>
      </x:c>
      <x:c r="AB1914" s="12" t="str">
        <x:f>IF(OR(M1914="unavailable",O1914="unavailable"),"不可评价",IF(AND(M1914="positive",O1914="positive"),"a",IF(O1914="positive","b",IF(M1914="positive","c","d"))))</x:f>
        <x:v>d</x:v>
      </x:c>
      <x:c r="AC1914" s="12" t="str">
        <x:f>IF(OR(R1914="unavailable",T1914="unavailable"),"不可评价",IF(AND(OR(R1914="positive",R1914="equivocal"),OR(T1914="positive",T1914="equivocal")),"a",IF(OR(T1914="positive",T1914="equivocal"),"b",IF(OR(R1914="positive",R1914="equivocal"),"c","d"))))</x:f>
        <x:v>d</x:v>
      </x:c>
      <x:c r="AD1914" s="12" t="str">
        <x:f>IF(OR(R1914="unavailable",T1914="unavailable"),"不可评价",IF(AND(R1914="positive",T1914="positive"),"a",IF(T1914="positive","b",IF(R1914="positive","c","d"))))</x:f>
        <x:v>d</x:v>
      </x:c>
      <x:c r="AE1914" s="12" t="str">
        <x:f>IF(OR(W1914="unavailable",Y1914="unavailable"),"不可评价",IF(AND(OR(W1914="positive",W1914="equivocal"),OR(Y1914="positive",Y1914="equivocal")),"a",IF(OR(Y1914="positive",Y1914="equivocal"),"b",IF(OR(W1914="positive",W1914="equivocal"),"c","d"))))</x:f>
        <x:v>d</x:v>
      </x:c>
      <x:c r="AF1914" s="12" t="str">
        <x:f>IF(OR(W1914="unavailable",Y1914="unavailable"),"不可评价",IF(AND(W1914="positive",Y1914="positive"),"a",IF(Y1914="positive","b",IF(W1914="positive","c","d"))))</x:f>
        <x:v>d</x:v>
      </x:c>
    </x:row>
    <x:row r="1915" ht="24" customHeight="1">
      <x:c r="A1915" s="12" t="str">
        <x:v>18172</x:v>
      </x:c>
      <x:c r="B1915" s="12" t="str">
        <x:v>7679</x:v>
      </x:c>
      <x:c r="C1915" s="21" t="n">
        <x:v>35630.538298611114</x:v>
      </x:c>
      <x:c r="D1915" s="12" t="n">
        <x:v>44</x:v>
      </x:c>
      <x:c r="E1915" s="12" t="n">
        <x:v>1</x:v>
      </x:c>
      <x:c r="F1915" s="12" t="str">
        <x:v>存在</x:v>
      </x:c>
      <x:c r="G1915" s="12" t="n">
        <x:v>1</x:v>
      </x:c>
      <x:c r="H1915" s="12" t="str">
        <x:v>{'NORM': 100.0, 'SR': 0.0}</x:v>
      </x:c>
      <x:c r="I1915" s="12" t="str">
        <x:v>[('NSR', 100.0), ('NML', 100.0)]</x:v>
      </x:c>
      <x:c r="J1915" s="12" t="str">
        <x:v>ptbxl_database.csv；ecg_id=18172；scp_codes</x:v>
      </x:c>
      <x:c r="K1915" s="12" t="str">
        <x:v>12sl_statements.csv；ecg_id=18172；statements_ext_snomed</x:v>
      </x:c>
      <x:c r="L1915" s="12"/>
      <x:c r="M1915" s="12" t="str">
        <x:v>negative</x:v>
      </x:c>
      <x:c r="N1915" s="12"/>
      <x:c r="O1915" s="12" t="str">
        <x:v>negative</x:v>
      </x:c>
      <x:c r="P1915" s="12" t="str">
        <x:f>IF(OR(M1915="unavailable",O1915="unavailable"),"不可评价",IF(OR(M1915="equivocal",O1915="equivocal"),"疑似",IF(AND(M1915="positive",O1915="positive"),"a",IF(O1915="positive","b",IF(M1915="positive","c","d")))))</x:f>
        <x:v>d</x:v>
      </x:c>
      <x:c r="Q1915" s="12"/>
      <x:c r="R1915" s="12" t="str">
        <x:v>negative</x:v>
      </x:c>
      <x:c r="S1915" s="12"/>
      <x:c r="T1915" s="12" t="str">
        <x:v>negative</x:v>
      </x:c>
      <x:c r="U1915" s="12" t="str">
        <x:f>IF(OR(R1915="unavailable",T1915="unavailable"),"不可评价",IF(OR(R1915="equivocal",T1915="equivocal"),"疑似",IF(AND(R1915="positive",T1915="positive"),"a",IF(T1915="positive","b",IF(R1915="positive","c","d")))))</x:f>
        <x:v>d</x:v>
      </x:c>
      <x:c r="V1915" s="12"/>
      <x:c r="W1915" s="12" t="str">
        <x:v>negative</x:v>
      </x:c>
      <x:c r="X1915" s="12"/>
      <x:c r="Y1915" s="12" t="str">
        <x:v>negative</x:v>
      </x:c>
      <x:c r="Z1915" s="12" t="str">
        <x:f>IF(OR(W1915="unavailable",Y1915="unavailable"),"不可评价",IF(OR(W1915="equivocal",Y1915="equivocal"),"疑似",IF(AND(W1915="positive",Y1915="positive"),"a",IF(Y1915="positive","b",IF(W1915="positive","c","d")))))</x:f>
        <x:v>d</x:v>
      </x:c>
      <x:c r="AA1915" s="12" t="str">
        <x:f>IF(OR(M1915="unavailable",O1915="unavailable"),"不可评价",IF(AND(OR(M1915="positive",M1915="equivocal"),OR(O1915="positive",O1915="equivocal")),"a",IF(OR(O1915="positive",O1915="equivocal"),"b",IF(OR(M1915="positive",M1915="equivocal"),"c","d"))))</x:f>
        <x:v>d</x:v>
      </x:c>
      <x:c r="AB1915" s="12" t="str">
        <x:f>IF(OR(M1915="unavailable",O1915="unavailable"),"不可评价",IF(AND(M1915="positive",O1915="positive"),"a",IF(O1915="positive","b",IF(M1915="positive","c","d"))))</x:f>
        <x:v>d</x:v>
      </x:c>
      <x:c r="AC1915" s="12" t="str">
        <x:f>IF(OR(R1915="unavailable",T1915="unavailable"),"不可评价",IF(AND(OR(R1915="positive",R1915="equivocal"),OR(T1915="positive",T1915="equivocal")),"a",IF(OR(T1915="positive",T1915="equivocal"),"b",IF(OR(R1915="positive",R1915="equivocal"),"c","d"))))</x:f>
        <x:v>d</x:v>
      </x:c>
      <x:c r="AD1915" s="12" t="str">
        <x:f>IF(OR(R1915="unavailable",T1915="unavailable"),"不可评价",IF(AND(R1915="positive",T1915="positive"),"a",IF(T1915="positive","b",IF(R1915="positive","c","d"))))</x:f>
        <x:v>d</x:v>
      </x:c>
      <x:c r="AE1915" s="12" t="str">
        <x:f>IF(OR(W1915="unavailable",Y1915="unavailable"),"不可评价",IF(AND(OR(W1915="positive",W1915="equivocal"),OR(Y1915="positive",Y1915="equivocal")),"a",IF(OR(Y1915="positive",Y1915="equivocal"),"b",IF(OR(W1915="positive",W1915="equivocal"),"c","d"))))</x:f>
        <x:v>d</x:v>
      </x:c>
      <x:c r="AF1915" s="12" t="str">
        <x:f>IF(OR(W1915="unavailable",Y1915="unavailable"),"不可评价",IF(AND(W1915="positive",Y1915="positive"),"a",IF(Y1915="positive","b",IF(W1915="positive","c","d"))))</x:f>
        <x:v>d</x:v>
      </x:c>
    </x:row>
    <x:row r="1916" ht="24" customHeight="1">
      <x:c r="A1916" s="12" t="str">
        <x:v>18175</x:v>
      </x:c>
      <x:c r="B1916" s="12" t="str">
        <x:v>1750</x:v>
      </x:c>
      <x:c r="C1916" s="21" t="n">
        <x:v>35630.656689814816</x:v>
      </x:c>
      <x:c r="D1916" s="12" t="n">
        <x:v>55</x:v>
      </x:c>
      <x:c r="E1916" s="12" t="n">
        <x:v>1</x:v>
      </x:c>
      <x:c r="F1916" s="12" t="str">
        <x:v>未记录</x:v>
      </x:c>
      <x:c r="G1916" s="12" t="n">
        <x:v>1</x:v>
      </x:c>
      <x:c r="H1916" s="12" t="str">
        <x:v>{'NORM': 100.0, 'SR': 0.0}</x:v>
      </x:c>
      <x:c r="I1916" s="12" t="str">
        <x:v>[('NSR', 100.0), ('NML', 100.0)]</x:v>
      </x:c>
      <x:c r="J1916" s="12" t="str">
        <x:v>ptbxl_database.csv；ecg_id=18175；scp_codes</x:v>
      </x:c>
      <x:c r="K1916" s="12" t="str">
        <x:v>12sl_statements.csv；ecg_id=18175；statements_ext_snomed</x:v>
      </x:c>
      <x:c r="L1916" s="12"/>
      <x:c r="M1916" s="12" t="str">
        <x:v>negative</x:v>
      </x:c>
      <x:c r="N1916" s="12"/>
      <x:c r="O1916" s="12" t="str">
        <x:v>negative</x:v>
      </x:c>
      <x:c r="P1916" s="12" t="str">
        <x:f>IF(OR(M1916="unavailable",O1916="unavailable"),"不可评价",IF(OR(M1916="equivocal",O1916="equivocal"),"疑似",IF(AND(M1916="positive",O1916="positive"),"a",IF(O1916="positive","b",IF(M1916="positive","c","d")))))</x:f>
        <x:v>d</x:v>
      </x:c>
      <x:c r="Q1916" s="12"/>
      <x:c r="R1916" s="12" t="str">
        <x:v>negative</x:v>
      </x:c>
      <x:c r="S1916" s="12"/>
      <x:c r="T1916" s="12" t="str">
        <x:v>negative</x:v>
      </x:c>
      <x:c r="U1916" s="12" t="str">
        <x:f>IF(OR(R1916="unavailable",T1916="unavailable"),"不可评价",IF(OR(R1916="equivocal",T1916="equivocal"),"疑似",IF(AND(R1916="positive",T1916="positive"),"a",IF(T1916="positive","b",IF(R1916="positive","c","d")))))</x:f>
        <x:v>d</x:v>
      </x:c>
      <x:c r="V1916" s="12"/>
      <x:c r="W1916" s="12" t="str">
        <x:v>negative</x:v>
      </x:c>
      <x:c r="X1916" s="12"/>
      <x:c r="Y1916" s="12" t="str">
        <x:v>negative</x:v>
      </x:c>
      <x:c r="Z1916" s="12" t="str">
        <x:f>IF(OR(W1916="unavailable",Y1916="unavailable"),"不可评价",IF(OR(W1916="equivocal",Y1916="equivocal"),"疑似",IF(AND(W1916="positive",Y1916="positive"),"a",IF(Y1916="positive","b",IF(W1916="positive","c","d")))))</x:f>
        <x:v>d</x:v>
      </x:c>
      <x:c r="AA1916" s="12" t="str">
        <x:f>IF(OR(M1916="unavailable",O1916="unavailable"),"不可评价",IF(AND(OR(M1916="positive",M1916="equivocal"),OR(O1916="positive",O1916="equivocal")),"a",IF(OR(O1916="positive",O1916="equivocal"),"b",IF(OR(M1916="positive",M1916="equivocal"),"c","d"))))</x:f>
        <x:v>d</x:v>
      </x:c>
      <x:c r="AB1916" s="12" t="str">
        <x:f>IF(OR(M1916="unavailable",O1916="unavailable"),"不可评价",IF(AND(M1916="positive",O1916="positive"),"a",IF(O1916="positive","b",IF(M1916="positive","c","d"))))</x:f>
        <x:v>d</x:v>
      </x:c>
      <x:c r="AC1916" s="12" t="str">
        <x:f>IF(OR(R1916="unavailable",T1916="unavailable"),"不可评价",IF(AND(OR(R1916="positive",R1916="equivocal"),OR(T1916="positive",T1916="equivocal")),"a",IF(OR(T1916="positive",T1916="equivocal"),"b",IF(OR(R1916="positive",R1916="equivocal"),"c","d"))))</x:f>
        <x:v>d</x:v>
      </x:c>
      <x:c r="AD1916" s="12" t="str">
        <x:f>IF(OR(R1916="unavailable",T1916="unavailable"),"不可评价",IF(AND(R1916="positive",T1916="positive"),"a",IF(T1916="positive","b",IF(R1916="positive","c","d"))))</x:f>
        <x:v>d</x:v>
      </x:c>
      <x:c r="AE1916" s="12" t="str">
        <x:f>IF(OR(W1916="unavailable",Y1916="unavailable"),"不可评价",IF(AND(OR(W1916="positive",W1916="equivocal"),OR(Y1916="positive",Y1916="equivocal")),"a",IF(OR(Y1916="positive",Y1916="equivocal"),"b",IF(OR(W1916="positive",W1916="equivocal"),"c","d"))))</x:f>
        <x:v>d</x:v>
      </x:c>
      <x:c r="AF1916" s="12" t="str">
        <x:f>IF(OR(W1916="unavailable",Y1916="unavailable"),"不可评价",IF(AND(W1916="positive",Y1916="positive"),"a",IF(Y1916="positive","b",IF(W1916="positive","c","d"))))</x:f>
        <x:v>d</x:v>
      </x:c>
    </x:row>
    <x:row r="1917" ht="24" customHeight="1">
      <x:c r="A1917" s="12" t="str">
        <x:v>18200</x:v>
      </x:c>
      <x:c r="B1917" s="12" t="str">
        <x:v>6369</x:v>
      </x:c>
      <x:c r="C1917" s="21" t="n">
        <x:v>35632.974340277775</x:v>
      </x:c>
      <x:c r="D1917" s="12" t="n">
        <x:v>41</x:v>
      </x:c>
      <x:c r="E1917" s="12" t="n">
        <x:v>1</x:v>
      </x:c>
      <x:c r="F1917" s="12" t="str">
        <x:v>未记录</x:v>
      </x:c>
      <x:c r="G1917" s="12" t="n">
        <x:v>1</x:v>
      </x:c>
      <x:c r="H1917" s="12" t="str">
        <x:v>{'NORM': 100.0, 'SR': 0.0}</x:v>
      </x:c>
      <x:c r="I1917" s="12" t="str">
        <x:v>[('SBRAD', 100.0), ('ABR', 100.0)]</x:v>
      </x:c>
      <x:c r="J1917" s="12" t="str">
        <x:v>ptbxl_database.csv；ecg_id=18200；scp_codes</x:v>
      </x:c>
      <x:c r="K1917" s="12" t="str">
        <x:v>12sl_statements.csv；ecg_id=18200；statements_ext_snomed</x:v>
      </x:c>
      <x:c r="L1917" s="12"/>
      <x:c r="M1917" s="12" t="str">
        <x:v>negative</x:v>
      </x:c>
      <x:c r="N1917" s="12"/>
      <x:c r="O1917" s="12" t="str">
        <x:v>negative</x:v>
      </x:c>
      <x:c r="P1917" s="12" t="str">
        <x:f>IF(OR(M1917="unavailable",O1917="unavailable"),"不可评价",IF(OR(M1917="equivocal",O1917="equivocal"),"疑似",IF(AND(M1917="positive",O1917="positive"),"a",IF(O1917="positive","b",IF(M1917="positive","c","d")))))</x:f>
        <x:v>d</x:v>
      </x:c>
      <x:c r="Q1917" s="12"/>
      <x:c r="R1917" s="12" t="str">
        <x:v>negative</x:v>
      </x:c>
      <x:c r="S1917" s="12"/>
      <x:c r="T1917" s="12" t="str">
        <x:v>negative</x:v>
      </x:c>
      <x:c r="U1917" s="12" t="str">
        <x:f>IF(OR(R1917="unavailable",T1917="unavailable"),"不可评价",IF(OR(R1917="equivocal",T1917="equivocal"),"疑似",IF(AND(R1917="positive",T1917="positive"),"a",IF(T1917="positive","b",IF(R1917="positive","c","d")))))</x:f>
        <x:v>d</x:v>
      </x:c>
      <x:c r="V1917" s="12"/>
      <x:c r="W1917" s="12" t="str">
        <x:v>negative</x:v>
      </x:c>
      <x:c r="X1917" s="12"/>
      <x:c r="Y1917" s="12" t="str">
        <x:v>negative</x:v>
      </x:c>
      <x:c r="Z1917" s="12" t="str">
        <x:f>IF(OR(W1917="unavailable",Y1917="unavailable"),"不可评价",IF(OR(W1917="equivocal",Y1917="equivocal"),"疑似",IF(AND(W1917="positive",Y1917="positive"),"a",IF(Y1917="positive","b",IF(W1917="positive","c","d")))))</x:f>
        <x:v>d</x:v>
      </x:c>
      <x:c r="AA1917" s="12" t="str">
        <x:f>IF(OR(M1917="unavailable",O1917="unavailable"),"不可评价",IF(AND(OR(M1917="positive",M1917="equivocal"),OR(O1917="positive",O1917="equivocal")),"a",IF(OR(O1917="positive",O1917="equivocal"),"b",IF(OR(M1917="positive",M1917="equivocal"),"c","d"))))</x:f>
        <x:v>d</x:v>
      </x:c>
      <x:c r="AB1917" s="12" t="str">
        <x:f>IF(OR(M1917="unavailable",O1917="unavailable"),"不可评价",IF(AND(M1917="positive",O1917="positive"),"a",IF(O1917="positive","b",IF(M1917="positive","c","d"))))</x:f>
        <x:v>d</x:v>
      </x:c>
      <x:c r="AC1917" s="12" t="str">
        <x:f>IF(OR(R1917="unavailable",T1917="unavailable"),"不可评价",IF(AND(OR(R1917="positive",R1917="equivocal"),OR(T1917="positive",T1917="equivocal")),"a",IF(OR(T1917="positive",T1917="equivocal"),"b",IF(OR(R1917="positive",R1917="equivocal"),"c","d"))))</x:f>
        <x:v>d</x:v>
      </x:c>
      <x:c r="AD1917" s="12" t="str">
        <x:f>IF(OR(R1917="unavailable",T1917="unavailable"),"不可评价",IF(AND(R1917="positive",T1917="positive"),"a",IF(T1917="positive","b",IF(R1917="positive","c","d"))))</x:f>
        <x:v>d</x:v>
      </x:c>
      <x:c r="AE1917" s="12" t="str">
        <x:f>IF(OR(W1917="unavailable",Y1917="unavailable"),"不可评价",IF(AND(OR(W1917="positive",W1917="equivocal"),OR(Y1917="positive",Y1917="equivocal")),"a",IF(OR(Y1917="positive",Y1917="equivocal"),"b",IF(OR(W1917="positive",W1917="equivocal"),"c","d"))))</x:f>
        <x:v>d</x:v>
      </x:c>
      <x:c r="AF1917" s="12" t="str">
        <x:f>IF(OR(W1917="unavailable",Y1917="unavailable"),"不可评价",IF(AND(W1917="positive",Y1917="positive"),"a",IF(Y1917="positive","b",IF(W1917="positive","c","d"))))</x:f>
        <x:v>d</x:v>
      </x:c>
    </x:row>
    <x:row r="1918" ht="24" customHeight="1">
      <x:c r="A1918" s="12" t="str">
        <x:v>18202</x:v>
      </x:c>
      <x:c r="B1918" s="12" t="str">
        <x:v>9497</x:v>
      </x:c>
      <x:c r="C1918" s="21" t="n">
        <x:v>35633.365891203706</x:v>
      </x:c>
      <x:c r="D1918" s="12" t="n">
        <x:v>59</x:v>
      </x:c>
      <x:c r="E1918" s="12" t="n">
        <x:v>1</x:v>
      </x:c>
      <x:c r="F1918" s="12" t="str">
        <x:v>未记录</x:v>
      </x:c>
      <x:c r="G1918" s="12" t="n">
        <x:v>1</x:v>
      </x:c>
      <x:c r="H1918" s="12" t="str">
        <x:v>{'LAFB': 100.0, 'ABQRS': 0.0, 'SR': 0.0}</x:v>
      </x:c>
      <x:c r="I1918" s="12" t="str">
        <x:v>[('NSR', 100.0), ('LAD3', 100.0), ('AB', 100.0)]</x:v>
      </x:c>
      <x:c r="J1918" s="12" t="str">
        <x:v>ptbxl_database.csv；ecg_id=18202；scp_codes</x:v>
      </x:c>
      <x:c r="K1918" s="12" t="str">
        <x:v>12sl_statements.csv；ecg_id=18202；statements_ext_snomed</x:v>
      </x:c>
      <x:c r="L1918" s="12"/>
      <x:c r="M1918" s="12" t="str">
        <x:v>negative</x:v>
      </x:c>
      <x:c r="N1918" s="12"/>
      <x:c r="O1918" s="12" t="str">
        <x:v>negative</x:v>
      </x:c>
      <x:c r="P1918" s="12" t="str">
        <x:f>IF(OR(M1918="unavailable",O1918="unavailable"),"不可评价",IF(OR(M1918="equivocal",O1918="equivocal"),"疑似",IF(AND(M1918="positive",O1918="positive"),"a",IF(O1918="positive","b",IF(M1918="positive","c","d")))))</x:f>
        <x:v>d</x:v>
      </x:c>
      <x:c r="Q1918" s="12"/>
      <x:c r="R1918" s="12" t="str">
        <x:v>negative</x:v>
      </x:c>
      <x:c r="S1918" s="12"/>
      <x:c r="T1918" s="12" t="str">
        <x:v>negative</x:v>
      </x:c>
      <x:c r="U1918" s="12" t="str">
        <x:f>IF(OR(R1918="unavailable",T1918="unavailable"),"不可评价",IF(OR(R1918="equivocal",T1918="equivocal"),"疑似",IF(AND(R1918="positive",T1918="positive"),"a",IF(T1918="positive","b",IF(R1918="positive","c","d")))))</x:f>
        <x:v>d</x:v>
      </x:c>
      <x:c r="V1918" s="12"/>
      <x:c r="W1918" s="12" t="str">
        <x:v>negative</x:v>
      </x:c>
      <x:c r="X1918" s="12"/>
      <x:c r="Y1918" s="12" t="str">
        <x:v>negative</x:v>
      </x:c>
      <x:c r="Z1918" s="12" t="str">
        <x:f>IF(OR(W1918="unavailable",Y1918="unavailable"),"不可评价",IF(OR(W1918="equivocal",Y1918="equivocal"),"疑似",IF(AND(W1918="positive",Y1918="positive"),"a",IF(Y1918="positive","b",IF(W1918="positive","c","d")))))</x:f>
        <x:v>d</x:v>
      </x:c>
      <x:c r="AA1918" s="12" t="str">
        <x:f>IF(OR(M1918="unavailable",O1918="unavailable"),"不可评价",IF(AND(OR(M1918="positive",M1918="equivocal"),OR(O1918="positive",O1918="equivocal")),"a",IF(OR(O1918="positive",O1918="equivocal"),"b",IF(OR(M1918="positive",M1918="equivocal"),"c","d"))))</x:f>
        <x:v>d</x:v>
      </x:c>
      <x:c r="AB1918" s="12" t="str">
        <x:f>IF(OR(M1918="unavailable",O1918="unavailable"),"不可评价",IF(AND(M1918="positive",O1918="positive"),"a",IF(O1918="positive","b",IF(M1918="positive","c","d"))))</x:f>
        <x:v>d</x:v>
      </x:c>
      <x:c r="AC1918" s="12" t="str">
        <x:f>IF(OR(R1918="unavailable",T1918="unavailable"),"不可评价",IF(AND(OR(R1918="positive",R1918="equivocal"),OR(T1918="positive",T1918="equivocal")),"a",IF(OR(T1918="positive",T1918="equivocal"),"b",IF(OR(R1918="positive",R1918="equivocal"),"c","d"))))</x:f>
        <x:v>d</x:v>
      </x:c>
      <x:c r="AD1918" s="12" t="str">
        <x:f>IF(OR(R1918="unavailable",T1918="unavailable"),"不可评价",IF(AND(R1918="positive",T1918="positive"),"a",IF(T1918="positive","b",IF(R1918="positive","c","d"))))</x:f>
        <x:v>d</x:v>
      </x:c>
      <x:c r="AE1918" s="12" t="str">
        <x:f>IF(OR(W1918="unavailable",Y1918="unavailable"),"不可评价",IF(AND(OR(W1918="positive",W1918="equivocal"),OR(Y1918="positive",Y1918="equivocal")),"a",IF(OR(Y1918="positive",Y1918="equivocal"),"b",IF(OR(W1918="positive",W1918="equivocal"),"c","d"))))</x:f>
        <x:v>d</x:v>
      </x:c>
      <x:c r="AF1918" s="12" t="str">
        <x:f>IF(OR(W1918="unavailable",Y1918="unavailable"),"不可评价",IF(AND(W1918="positive",Y1918="positive"),"a",IF(Y1918="positive","b",IF(W1918="positive","c","d"))))</x:f>
        <x:v>d</x:v>
      </x:c>
    </x:row>
    <x:row r="1919" ht="24" customHeight="1">
      <x:c r="A1919" s="12" t="str">
        <x:v>18232</x:v>
      </x:c>
      <x:c r="B1919" s="12" t="str">
        <x:v>2754</x:v>
      </x:c>
      <x:c r="C1919" s="21" t="n">
        <x:v>35637.354537037034</x:v>
      </x:c>
      <x:c r="D1919" s="12" t="n">
        <x:v>49</x:v>
      </x:c>
      <x:c r="E1919" s="12" t="n">
        <x:v>1</x:v>
      </x:c>
      <x:c r="F1919" s="12" t="str">
        <x:v>未记录</x:v>
      </x:c>
      <x:c r="G1919" s="12" t="n">
        <x:v>1</x:v>
      </x:c>
      <x:c r="H1919" s="12" t="str">
        <x:v>{'NORM': 100.0, 'SR': 0.0}</x:v>
      </x:c>
      <x:c r="I1919" s="12" t="str">
        <x:v>[('NSR', 100.0), ('NML', 100.0)]</x:v>
      </x:c>
      <x:c r="J1919" s="12" t="str">
        <x:v>ptbxl_database.csv；ecg_id=18232；scp_codes</x:v>
      </x:c>
      <x:c r="K1919" s="12" t="str">
        <x:v>12sl_statements.csv；ecg_id=18232；statements_ext_snomed</x:v>
      </x:c>
      <x:c r="L1919" s="12"/>
      <x:c r="M1919" s="12" t="str">
        <x:v>negative</x:v>
      </x:c>
      <x:c r="N1919" s="12"/>
      <x:c r="O1919" s="12" t="str">
        <x:v>negative</x:v>
      </x:c>
      <x:c r="P1919" s="12" t="str">
        <x:f>IF(OR(M1919="unavailable",O1919="unavailable"),"不可评价",IF(OR(M1919="equivocal",O1919="equivocal"),"疑似",IF(AND(M1919="positive",O1919="positive"),"a",IF(O1919="positive","b",IF(M1919="positive","c","d")))))</x:f>
        <x:v>d</x:v>
      </x:c>
      <x:c r="Q1919" s="12"/>
      <x:c r="R1919" s="12" t="str">
        <x:v>negative</x:v>
      </x:c>
      <x:c r="S1919" s="12"/>
      <x:c r="T1919" s="12" t="str">
        <x:v>negative</x:v>
      </x:c>
      <x:c r="U1919" s="12" t="str">
        <x:f>IF(OR(R1919="unavailable",T1919="unavailable"),"不可评价",IF(OR(R1919="equivocal",T1919="equivocal"),"疑似",IF(AND(R1919="positive",T1919="positive"),"a",IF(T1919="positive","b",IF(R1919="positive","c","d")))))</x:f>
        <x:v>d</x:v>
      </x:c>
      <x:c r="V1919" s="12"/>
      <x:c r="W1919" s="12" t="str">
        <x:v>negative</x:v>
      </x:c>
      <x:c r="X1919" s="12"/>
      <x:c r="Y1919" s="12" t="str">
        <x:v>negative</x:v>
      </x:c>
      <x:c r="Z1919" s="12" t="str">
        <x:f>IF(OR(W1919="unavailable",Y1919="unavailable"),"不可评价",IF(OR(W1919="equivocal",Y1919="equivocal"),"疑似",IF(AND(W1919="positive",Y1919="positive"),"a",IF(Y1919="positive","b",IF(W1919="positive","c","d")))))</x:f>
        <x:v>d</x:v>
      </x:c>
      <x:c r="AA1919" s="12" t="str">
        <x:f>IF(OR(M1919="unavailable",O1919="unavailable"),"不可评价",IF(AND(OR(M1919="positive",M1919="equivocal"),OR(O1919="positive",O1919="equivocal")),"a",IF(OR(O1919="positive",O1919="equivocal"),"b",IF(OR(M1919="positive",M1919="equivocal"),"c","d"))))</x:f>
        <x:v>d</x:v>
      </x:c>
      <x:c r="AB1919" s="12" t="str">
        <x:f>IF(OR(M1919="unavailable",O1919="unavailable"),"不可评价",IF(AND(M1919="positive",O1919="positive"),"a",IF(O1919="positive","b",IF(M1919="positive","c","d"))))</x:f>
        <x:v>d</x:v>
      </x:c>
      <x:c r="AC1919" s="12" t="str">
        <x:f>IF(OR(R1919="unavailable",T1919="unavailable"),"不可评价",IF(AND(OR(R1919="positive",R1919="equivocal"),OR(T1919="positive",T1919="equivocal")),"a",IF(OR(T1919="positive",T1919="equivocal"),"b",IF(OR(R1919="positive",R1919="equivocal"),"c","d"))))</x:f>
        <x:v>d</x:v>
      </x:c>
      <x:c r="AD1919" s="12" t="str">
        <x:f>IF(OR(R1919="unavailable",T1919="unavailable"),"不可评价",IF(AND(R1919="positive",T1919="positive"),"a",IF(T1919="positive","b",IF(R1919="positive","c","d"))))</x:f>
        <x:v>d</x:v>
      </x:c>
      <x:c r="AE1919" s="12" t="str">
        <x:f>IF(OR(W1919="unavailable",Y1919="unavailable"),"不可评价",IF(AND(OR(W1919="positive",W1919="equivocal"),OR(Y1919="positive",Y1919="equivocal")),"a",IF(OR(Y1919="positive",Y1919="equivocal"),"b",IF(OR(W1919="positive",W1919="equivocal"),"c","d"))))</x:f>
        <x:v>d</x:v>
      </x:c>
      <x:c r="AF1919" s="12" t="str">
        <x:f>IF(OR(W1919="unavailable",Y1919="unavailable"),"不可评价",IF(AND(W1919="positive",Y1919="positive"),"a",IF(Y1919="positive","b",IF(W1919="positive","c","d"))))</x:f>
        <x:v>d</x:v>
      </x:c>
    </x:row>
    <x:row r="1920" ht="39" customHeight="1">
      <x:c r="A1920" s="12" t="str">
        <x:v>18234</x:v>
      </x:c>
      <x:c r="B1920" s="12" t="str">
        <x:v>1142</x:v>
      </x:c>
      <x:c r="C1920" s="21" t="n">
        <x:v>35637.485034722224</x:v>
      </x:c>
      <x:c r="D1920" s="12" t="n">
        <x:v>61</x:v>
      </x:c>
      <x:c r="E1920" s="12" t="n">
        <x:v>1</x:v>
      </x:c>
      <x:c r="F1920" s="12" t="str">
        <x:v>未记录</x:v>
      </x:c>
      <x:c r="G1920" s="12" t="n">
        <x:v>1</x:v>
      </x:c>
      <x:c r="H1920" s="12" t="str">
        <x:v>{'LVH': 100.0, 'NDT': 100.0, 'STD_': 0.0, 'SR': 0.0}</x:v>
      </x:c>
      <x:c r="I1920" s="12" t="str">
        <x:v>[('SRTH', 100.0), ('PAC', 100.0), ('$SABCOND', 100.0), ('IMI;AU', 50.0), ('AB', 100.0)]</x:v>
      </x:c>
      <x:c r="J1920" s="12" t="str">
        <x:v>ptbxl_database.csv；ecg_id=18234；scp_codes</x:v>
      </x:c>
      <x:c r="K1920" s="12" t="str">
        <x:v>12sl_statements.csv；ecg_id=18234；statements_ext_snomed</x:v>
      </x:c>
      <x:c r="L1920" s="12"/>
      <x:c r="M1920" s="12" t="str">
        <x:v>negative</x:v>
      </x:c>
      <x:c r="N1920" s="12"/>
      <x:c r="O1920" s="12" t="str">
        <x:v>negative</x:v>
      </x:c>
      <x:c r="P1920" s="12" t="str">
        <x:f>IF(OR(M1920="unavailable",O1920="unavailable"),"不可评价",IF(OR(M1920="equivocal",O1920="equivocal"),"疑似",IF(AND(M1920="positive",O1920="positive"),"a",IF(O1920="positive","b",IF(M1920="positive","c","d")))))</x:f>
        <x:v>d</x:v>
      </x:c>
      <x:c r="Q1920" s="12"/>
      <x:c r="R1920" s="12" t="str">
        <x:v>negative</x:v>
      </x:c>
      <x:c r="S1920" s="12"/>
      <x:c r="T1920" s="12" t="str">
        <x:v>negative</x:v>
      </x:c>
      <x:c r="U1920" s="12" t="str">
        <x:f>IF(OR(R1920="unavailable",T1920="unavailable"),"不可评价",IF(OR(R1920="equivocal",T1920="equivocal"),"疑似",IF(AND(R1920="positive",T1920="positive"),"a",IF(T1920="positive","b",IF(R1920="positive","c","d")))))</x:f>
        <x:v>d</x:v>
      </x:c>
      <x:c r="V1920" s="12"/>
      <x:c r="W1920" s="12" t="str">
        <x:v>negative</x:v>
      </x:c>
      <x:c r="X1920" s="12"/>
      <x:c r="Y1920" s="12" t="str">
        <x:v>negative</x:v>
      </x:c>
      <x:c r="Z1920" s="12" t="str">
        <x:f>IF(OR(W1920="unavailable",Y1920="unavailable"),"不可评价",IF(OR(W1920="equivocal",Y1920="equivocal"),"疑似",IF(AND(W1920="positive",Y1920="positive"),"a",IF(Y1920="positive","b",IF(W1920="positive","c","d")))))</x:f>
        <x:v>d</x:v>
      </x:c>
      <x:c r="AA1920" s="12" t="str">
        <x:f>IF(OR(M1920="unavailable",O1920="unavailable"),"不可评价",IF(AND(OR(M1920="positive",M1920="equivocal"),OR(O1920="positive",O1920="equivocal")),"a",IF(OR(O1920="positive",O1920="equivocal"),"b",IF(OR(M1920="positive",M1920="equivocal"),"c","d"))))</x:f>
        <x:v>d</x:v>
      </x:c>
      <x:c r="AB1920" s="12" t="str">
        <x:f>IF(OR(M1920="unavailable",O1920="unavailable"),"不可评价",IF(AND(M1920="positive",O1920="positive"),"a",IF(O1920="positive","b",IF(M1920="positive","c","d"))))</x:f>
        <x:v>d</x:v>
      </x:c>
      <x:c r="AC1920" s="12" t="str">
        <x:f>IF(OR(R1920="unavailable",T1920="unavailable"),"不可评价",IF(AND(OR(R1920="positive",R1920="equivocal"),OR(T1920="positive",T1920="equivocal")),"a",IF(OR(T1920="positive",T1920="equivocal"),"b",IF(OR(R1920="positive",R1920="equivocal"),"c","d"))))</x:f>
        <x:v>d</x:v>
      </x:c>
      <x:c r="AD1920" s="12" t="str">
        <x:f>IF(OR(R1920="unavailable",T1920="unavailable"),"不可评价",IF(AND(R1920="positive",T1920="positive"),"a",IF(T1920="positive","b",IF(R1920="positive","c","d"))))</x:f>
        <x:v>d</x:v>
      </x:c>
      <x:c r="AE1920" s="12" t="str">
        <x:f>IF(OR(W1920="unavailable",Y1920="unavailable"),"不可评价",IF(AND(OR(W1920="positive",W1920="equivocal"),OR(Y1920="positive",Y1920="equivocal")),"a",IF(OR(Y1920="positive",Y1920="equivocal"),"b",IF(OR(W1920="positive",W1920="equivocal"),"c","d"))))</x:f>
        <x:v>d</x:v>
      </x:c>
      <x:c r="AF1920" s="12" t="str">
        <x:f>IF(OR(W1920="unavailable",Y1920="unavailable"),"不可评价",IF(AND(W1920="positive",Y1920="positive"),"a",IF(Y1920="positive","b",IF(W1920="positive","c","d"))))</x:f>
        <x:v>d</x:v>
      </x:c>
    </x:row>
    <x:row r="1921" ht="24" customHeight="1">
      <x:c r="A1921" s="12" t="str">
        <x:v>18240</x:v>
      </x:c>
      <x:c r="B1921" s="12" t="str">
        <x:v>5566</x:v>
      </x:c>
      <x:c r="C1921" s="21" t="n">
        <x:v>35637.646261574075</x:v>
      </x:c>
      <x:c r="D1921" s="12" t="n">
        <x:v>52</x:v>
      </x:c>
      <x:c r="E1921" s="12" t="n">
        <x:v>1</x:v>
      </x:c>
      <x:c r="F1921" s="12" t="str">
        <x:v>未记录</x:v>
      </x:c>
      <x:c r="G1921" s="12" t="n">
        <x:v>1</x:v>
      </x:c>
      <x:c r="H1921" s="12" t="str">
        <x:v>{'LAFB': 100.0, 'SR': 0.0}</x:v>
      </x:c>
      <x:c r="I1921" s="12" t="str">
        <x:v>[('NSR', 100.0), ('SMI;AU', 100.0), ('AB', 100.0)]</x:v>
      </x:c>
      <x:c r="J1921" s="12" t="str">
        <x:v>ptbxl_database.csv；ecg_id=18240；scp_codes</x:v>
      </x:c>
      <x:c r="K1921" s="12" t="str">
        <x:v>12sl_statements.csv；ecg_id=18240；statements_ext_snomed</x:v>
      </x:c>
      <x:c r="L1921" s="12"/>
      <x:c r="M1921" s="12" t="str">
        <x:v>negative</x:v>
      </x:c>
      <x:c r="N1921" s="12"/>
      <x:c r="O1921" s="12" t="str">
        <x:v>negative</x:v>
      </x:c>
      <x:c r="P1921" s="12" t="str">
        <x:f>IF(OR(M1921="unavailable",O1921="unavailable"),"不可评价",IF(OR(M1921="equivocal",O1921="equivocal"),"疑似",IF(AND(M1921="positive",O1921="positive"),"a",IF(O1921="positive","b",IF(M1921="positive","c","d")))))</x:f>
        <x:v>d</x:v>
      </x:c>
      <x:c r="Q1921" s="12"/>
      <x:c r="R1921" s="12" t="str">
        <x:v>negative</x:v>
      </x:c>
      <x:c r="S1921" s="12"/>
      <x:c r="T1921" s="12" t="str">
        <x:v>negative</x:v>
      </x:c>
      <x:c r="U1921" s="12" t="str">
        <x:f>IF(OR(R1921="unavailable",T1921="unavailable"),"不可评价",IF(OR(R1921="equivocal",T1921="equivocal"),"疑似",IF(AND(R1921="positive",T1921="positive"),"a",IF(T1921="positive","b",IF(R1921="positive","c","d")))))</x:f>
        <x:v>d</x:v>
      </x:c>
      <x:c r="V1921" s="12"/>
      <x:c r="W1921" s="12" t="str">
        <x:v>negative</x:v>
      </x:c>
      <x:c r="X1921" s="12"/>
      <x:c r="Y1921" s="12" t="str">
        <x:v>negative</x:v>
      </x:c>
      <x:c r="Z1921" s="12" t="str">
        <x:f>IF(OR(W1921="unavailable",Y1921="unavailable"),"不可评价",IF(OR(W1921="equivocal",Y1921="equivocal"),"疑似",IF(AND(W1921="positive",Y1921="positive"),"a",IF(Y1921="positive","b",IF(W1921="positive","c","d")))))</x:f>
        <x:v>d</x:v>
      </x:c>
      <x:c r="AA1921" s="12" t="str">
        <x:f>IF(OR(M1921="unavailable",O1921="unavailable"),"不可评价",IF(AND(OR(M1921="positive",M1921="equivocal"),OR(O1921="positive",O1921="equivocal")),"a",IF(OR(O1921="positive",O1921="equivocal"),"b",IF(OR(M1921="positive",M1921="equivocal"),"c","d"))))</x:f>
        <x:v>d</x:v>
      </x:c>
      <x:c r="AB1921" s="12" t="str">
        <x:f>IF(OR(M1921="unavailable",O1921="unavailable"),"不可评价",IF(AND(M1921="positive",O1921="positive"),"a",IF(O1921="positive","b",IF(M1921="positive","c","d"))))</x:f>
        <x:v>d</x:v>
      </x:c>
      <x:c r="AC1921" s="12" t="str">
        <x:f>IF(OR(R1921="unavailable",T1921="unavailable"),"不可评价",IF(AND(OR(R1921="positive",R1921="equivocal"),OR(T1921="positive",T1921="equivocal")),"a",IF(OR(T1921="positive",T1921="equivocal"),"b",IF(OR(R1921="positive",R1921="equivocal"),"c","d"))))</x:f>
        <x:v>d</x:v>
      </x:c>
      <x:c r="AD1921" s="12" t="str">
        <x:f>IF(OR(R1921="unavailable",T1921="unavailable"),"不可评价",IF(AND(R1921="positive",T1921="positive"),"a",IF(T1921="positive","b",IF(R1921="positive","c","d"))))</x:f>
        <x:v>d</x:v>
      </x:c>
      <x:c r="AE1921" s="12" t="str">
        <x:f>IF(OR(W1921="unavailable",Y1921="unavailable"),"不可评价",IF(AND(OR(W1921="positive",W1921="equivocal"),OR(Y1921="positive",Y1921="equivocal")),"a",IF(OR(Y1921="positive",Y1921="equivocal"),"b",IF(OR(W1921="positive",W1921="equivocal"),"c","d"))))</x:f>
        <x:v>d</x:v>
      </x:c>
      <x:c r="AF1921" s="12" t="str">
        <x:f>IF(OR(W1921="unavailable",Y1921="unavailable"),"不可评价",IF(AND(W1921="positive",Y1921="positive"),"a",IF(Y1921="positive","b",IF(W1921="positive","c","d"))))</x:f>
        <x:v>d</x:v>
      </x:c>
    </x:row>
    <x:row r="1922" ht="24" customHeight="1">
      <x:c r="A1922" s="12" t="str">
        <x:v>18256</x:v>
      </x:c>
      <x:c r="B1922" s="12" t="str">
        <x:v>442</x:v>
      </x:c>
      <x:c r="C1922" s="21" t="n">
        <x:v>35638.62075231481</x:v>
      </x:c>
      <x:c r="D1922" s="12" t="n">
        <x:v>68</x:v>
      </x:c>
      <x:c r="E1922" s="12" t="n">
        <x:v>0</x:v>
      </x:c>
      <x:c r="F1922" s="12" t="str">
        <x:v>未记录</x:v>
      </x:c>
      <x:c r="G1922" s="12" t="n">
        <x:v>1</x:v>
      </x:c>
      <x:c r="H1922" s="12" t="str">
        <x:v>{'IMI': 100.0, 'NST_': 0.0, 'AFIB': 0.0}</x:v>
      </x:c>
      <x:c r="I1922" s="12" t="str">
        <x:v>[('AFIB', 100.0), ('RVR', 100.0), ('ABER', 100.0), ('IMI;AU', 50.0), ('AB', 100.0)]</x:v>
      </x:c>
      <x:c r="J1922" s="12" t="str">
        <x:v>ptbxl_database.csv；ecg_id=18256；scp_codes</x:v>
      </x:c>
      <x:c r="K1922" s="12" t="str">
        <x:v>12sl_statements.csv；ecg_id=18256；statements_ext_snomed</x:v>
      </x:c>
      <x:c r="L1922" s="12" t="n">
        <x:v>0</x:v>
      </x:c>
      <x:c r="M1922" s="12" t="str">
        <x:v>positive</x:v>
      </x:c>
      <x:c r="N1922" s="12" t="n">
        <x:v>100</x:v>
      </x:c>
      <x:c r="O1922" s="12" t="str">
        <x:v>positive</x:v>
      </x:c>
      <x:c r="P1922" s="12" t="str">
        <x:f>IF(OR(M1922="unavailable",O1922="unavailable"),"不可评价",IF(OR(M1922="equivocal",O1922="equivocal"),"疑似",IF(AND(M1922="positive",O1922="positive"),"a",IF(O1922="positive","b",IF(M1922="positive","c","d")))))</x:f>
        <x:v>a</x:v>
      </x:c>
      <x:c r="Q1922" s="12"/>
      <x:c r="R1922" s="12" t="str">
        <x:v>negative</x:v>
      </x:c>
      <x:c r="S1922" s="12"/>
      <x:c r="T1922" s="12" t="str">
        <x:v>negative</x:v>
      </x:c>
      <x:c r="U1922" s="12" t="str">
        <x:f>IF(OR(R1922="unavailable",T1922="unavailable"),"不可评价",IF(OR(R1922="equivocal",T1922="equivocal"),"疑似",IF(AND(R1922="positive",T1922="positive"),"a",IF(T1922="positive","b",IF(R1922="positive","c","d")))))</x:f>
        <x:v>d</x:v>
      </x:c>
      <x:c r="V1922" s="12"/>
      <x:c r="W1922" s="12" t="str">
        <x:v>negative</x:v>
      </x:c>
      <x:c r="X1922" s="12"/>
      <x:c r="Y1922" s="12" t="str">
        <x:v>negative</x:v>
      </x:c>
      <x:c r="Z1922" s="12" t="str">
        <x:f>IF(OR(W1922="unavailable",Y1922="unavailable"),"不可评价",IF(OR(W1922="equivocal",Y1922="equivocal"),"疑似",IF(AND(W1922="positive",Y1922="positive"),"a",IF(Y1922="positive","b",IF(W1922="positive","c","d")))))</x:f>
        <x:v>d</x:v>
      </x:c>
      <x:c r="AA1922" s="12" t="str">
        <x:f>IF(OR(M1922="unavailable",O1922="unavailable"),"不可评价",IF(AND(OR(M1922="positive",M1922="equivocal"),OR(O1922="positive",O1922="equivocal")),"a",IF(OR(O1922="positive",O1922="equivocal"),"b",IF(OR(M1922="positive",M1922="equivocal"),"c","d"))))</x:f>
        <x:v>a</x:v>
      </x:c>
      <x:c r="AB1922" s="12" t="str">
        <x:f>IF(OR(M1922="unavailable",O1922="unavailable"),"不可评价",IF(AND(M1922="positive",O1922="positive"),"a",IF(O1922="positive","b",IF(M1922="positive","c","d"))))</x:f>
        <x:v>a</x:v>
      </x:c>
      <x:c r="AC1922" s="12" t="str">
        <x:f>IF(OR(R1922="unavailable",T1922="unavailable"),"不可评价",IF(AND(OR(R1922="positive",R1922="equivocal"),OR(T1922="positive",T1922="equivocal")),"a",IF(OR(T1922="positive",T1922="equivocal"),"b",IF(OR(R1922="positive",R1922="equivocal"),"c","d"))))</x:f>
        <x:v>d</x:v>
      </x:c>
      <x:c r="AD1922" s="12" t="str">
        <x:f>IF(OR(R1922="unavailable",T1922="unavailable"),"不可评价",IF(AND(R1922="positive",T1922="positive"),"a",IF(T1922="positive","b",IF(R1922="positive","c","d"))))</x:f>
        <x:v>d</x:v>
      </x:c>
      <x:c r="AE1922" s="12" t="str">
        <x:f>IF(OR(W1922="unavailable",Y1922="unavailable"),"不可评价",IF(AND(OR(W1922="positive",W1922="equivocal"),OR(Y1922="positive",Y1922="equivocal")),"a",IF(OR(Y1922="positive",Y1922="equivocal"),"b",IF(OR(W1922="positive",W1922="equivocal"),"c","d"))))</x:f>
        <x:v>d</x:v>
      </x:c>
      <x:c r="AF1922" s="12" t="str">
        <x:f>IF(OR(W1922="unavailable",Y1922="unavailable"),"不可评价",IF(AND(W1922="positive",Y1922="positive"),"a",IF(Y1922="positive","b",IF(W1922="positive","c","d"))))</x:f>
        <x:v>d</x:v>
      </x:c>
    </x:row>
    <x:row r="1923" ht="24" customHeight="1">
      <x:c r="A1923" s="12" t="str">
        <x:v>18266</x:v>
      </x:c>
      <x:c r="B1923" s="12" t="str">
        <x:v>442</x:v>
      </x:c>
      <x:c r="C1923" s="21" t="n">
        <x:v>35639.56486111111</x:v>
      </x:c>
      <x:c r="D1923" s="12" t="n">
        <x:v>68</x:v>
      </x:c>
      <x:c r="E1923" s="12" t="n">
        <x:v>0</x:v>
      </x:c>
      <x:c r="F1923" s="12" t="str">
        <x:v>未记录</x:v>
      </x:c>
      <x:c r="G1923" s="12" t="n">
        <x:v>0</x:v>
      </x:c>
      <x:c r="H1923" s="12" t="str">
        <x:v>{'NORM': 100.0, 'NST_': 0.0, 'QWAVE': 0.0, 'SR': 0.0}</x:v>
      </x:c>
      <x:c r="I1923" s="12" t="str">
        <x:v>[('NSR', 100.0), ('NML', 100.0)]</x:v>
      </x:c>
      <x:c r="J1923" s="12" t="str">
        <x:v>ptbxl_database.csv；ecg_id=18266；scp_codes</x:v>
      </x:c>
      <x:c r="K1923" s="12" t="str">
        <x:v>12sl_statements.csv；ecg_id=18266；statements_ext_snomed</x:v>
      </x:c>
      <x:c r="L1923" s="12"/>
      <x:c r="M1923" s="12" t="str">
        <x:v>negative</x:v>
      </x:c>
      <x:c r="N1923" s="12"/>
      <x:c r="O1923" s="12" t="str">
        <x:v>negative</x:v>
      </x:c>
      <x:c r="P1923" s="12" t="str">
        <x:f>IF(OR(M1923="unavailable",O1923="unavailable"),"不可评价",IF(OR(M1923="equivocal",O1923="equivocal"),"疑似",IF(AND(M1923="positive",O1923="positive"),"a",IF(O1923="positive","b",IF(M1923="positive","c","d")))))</x:f>
        <x:v>d</x:v>
      </x:c>
      <x:c r="Q1923" s="12"/>
      <x:c r="R1923" s="12" t="str">
        <x:v>negative</x:v>
      </x:c>
      <x:c r="S1923" s="12"/>
      <x:c r="T1923" s="12" t="str">
        <x:v>negative</x:v>
      </x:c>
      <x:c r="U1923" s="12" t="str">
        <x:f>IF(OR(R1923="unavailable",T1923="unavailable"),"不可评价",IF(OR(R1923="equivocal",T1923="equivocal"),"疑似",IF(AND(R1923="positive",T1923="positive"),"a",IF(T1923="positive","b",IF(R1923="positive","c","d")))))</x:f>
        <x:v>d</x:v>
      </x:c>
      <x:c r="V1923" s="12"/>
      <x:c r="W1923" s="12" t="str">
        <x:v>negative</x:v>
      </x:c>
      <x:c r="X1923" s="12"/>
      <x:c r="Y1923" s="12" t="str">
        <x:v>negative</x:v>
      </x:c>
      <x:c r="Z1923" s="12" t="str">
        <x:f>IF(OR(W1923="unavailable",Y1923="unavailable"),"不可评价",IF(OR(W1923="equivocal",Y1923="equivocal"),"疑似",IF(AND(W1923="positive",Y1923="positive"),"a",IF(Y1923="positive","b",IF(W1923="positive","c","d")))))</x:f>
        <x:v>d</x:v>
      </x:c>
      <x:c r="AA1923" s="12" t="str">
        <x:f>IF(OR(M1923="unavailable",O1923="unavailable"),"不可评价",IF(AND(OR(M1923="positive",M1923="equivocal"),OR(O1923="positive",O1923="equivocal")),"a",IF(OR(O1923="positive",O1923="equivocal"),"b",IF(OR(M1923="positive",M1923="equivocal"),"c","d"))))</x:f>
        <x:v>d</x:v>
      </x:c>
      <x:c r="AB1923" s="12" t="str">
        <x:f>IF(OR(M1923="unavailable",O1923="unavailable"),"不可评价",IF(AND(M1923="positive",O1923="positive"),"a",IF(O1923="positive","b",IF(M1923="positive","c","d"))))</x:f>
        <x:v>d</x:v>
      </x:c>
      <x:c r="AC1923" s="12" t="str">
        <x:f>IF(OR(R1923="unavailable",T1923="unavailable"),"不可评价",IF(AND(OR(R1923="positive",R1923="equivocal"),OR(T1923="positive",T1923="equivocal")),"a",IF(OR(T1923="positive",T1923="equivocal"),"b",IF(OR(R1923="positive",R1923="equivocal"),"c","d"))))</x:f>
        <x:v>d</x:v>
      </x:c>
      <x:c r="AD1923" s="12" t="str">
        <x:f>IF(OR(R1923="unavailable",T1923="unavailable"),"不可评价",IF(AND(R1923="positive",T1923="positive"),"a",IF(T1923="positive","b",IF(R1923="positive","c","d"))))</x:f>
        <x:v>d</x:v>
      </x:c>
      <x:c r="AE1923" s="12" t="str">
        <x:f>IF(OR(W1923="unavailable",Y1923="unavailable"),"不可评价",IF(AND(OR(W1923="positive",W1923="equivocal"),OR(Y1923="positive",Y1923="equivocal")),"a",IF(OR(Y1923="positive",Y1923="equivocal"),"b",IF(OR(W1923="positive",W1923="equivocal"),"c","d"))))</x:f>
        <x:v>d</x:v>
      </x:c>
      <x:c r="AF1923" s="12" t="str">
        <x:f>IF(OR(W1923="unavailable",Y1923="unavailable"),"不可评价",IF(AND(W1923="positive",Y1923="positive"),"a",IF(Y1923="positive","b",IF(W1923="positive","c","d"))))</x:f>
        <x:v>d</x:v>
      </x:c>
    </x:row>
    <x:row r="1924" ht="24" customHeight="1">
      <x:c r="A1924" s="12" t="str">
        <x:v>18295</x:v>
      </x:c>
      <x:c r="B1924" s="12" t="str">
        <x:v>19830</x:v>
      </x:c>
      <x:c r="C1924" s="21" t="n">
        <x:v>35642.3275</x:v>
      </x:c>
      <x:c r="D1924" s="12" t="n">
        <x:v>62</x:v>
      </x:c>
      <x:c r="E1924" s="12" t="n">
        <x:v>1</x:v>
      </x:c>
      <x:c r="F1924" s="12" t="str">
        <x:v>未记录</x:v>
      </x:c>
      <x:c r="G1924" s="12" t="n">
        <x:v>1</x:v>
      </x:c>
      <x:c r="H1924" s="12" t="str">
        <x:v>{'ASMI': 100.0, 'LAFB': 100.0, 'ABQRS': 0.0, 'STACH': 0.0}</x:v>
      </x:c>
      <x:c r="I1924" s="12" t="str">
        <x:v>[('STACH', 100.0), ('LAD3', 100.0), ('AMI;AU', 15.0), ('AB', 100.0)]</x:v>
      </x:c>
      <x:c r="J1924" s="12" t="str">
        <x:v>ptbxl_database.csv；ecg_id=18295；scp_codes</x:v>
      </x:c>
      <x:c r="K1924" s="12" t="str">
        <x:v>12sl_statements.csv；ecg_id=18295；statements_ext_snomed</x:v>
      </x:c>
      <x:c r="L1924" s="12"/>
      <x:c r="M1924" s="12" t="str">
        <x:v>negative</x:v>
      </x:c>
      <x:c r="N1924" s="12"/>
      <x:c r="O1924" s="12" t="str">
        <x:v>negative</x:v>
      </x:c>
      <x:c r="P1924" s="12" t="str">
        <x:f>IF(OR(M1924="unavailable",O1924="unavailable"),"不可评价",IF(OR(M1924="equivocal",O1924="equivocal"),"疑似",IF(AND(M1924="positive",O1924="positive"),"a",IF(O1924="positive","b",IF(M1924="positive","c","d")))))</x:f>
        <x:v>d</x:v>
      </x:c>
      <x:c r="Q1924" s="12"/>
      <x:c r="R1924" s="12" t="str">
        <x:v>negative</x:v>
      </x:c>
      <x:c r="S1924" s="12"/>
      <x:c r="T1924" s="12" t="str">
        <x:v>negative</x:v>
      </x:c>
      <x:c r="U1924" s="12" t="str">
        <x:f>IF(OR(R1924="unavailable",T1924="unavailable"),"不可评价",IF(OR(R1924="equivocal",T1924="equivocal"),"疑似",IF(AND(R1924="positive",T1924="positive"),"a",IF(T1924="positive","b",IF(R1924="positive","c","d")))))</x:f>
        <x:v>d</x:v>
      </x:c>
      <x:c r="V1924" s="12"/>
      <x:c r="W1924" s="12" t="str">
        <x:v>negative</x:v>
      </x:c>
      <x:c r="X1924" s="12"/>
      <x:c r="Y1924" s="12" t="str">
        <x:v>negative</x:v>
      </x:c>
      <x:c r="Z1924" s="12" t="str">
        <x:f>IF(OR(W1924="unavailable",Y1924="unavailable"),"不可评价",IF(OR(W1924="equivocal",Y1924="equivocal"),"疑似",IF(AND(W1924="positive",Y1924="positive"),"a",IF(Y1924="positive","b",IF(W1924="positive","c","d")))))</x:f>
        <x:v>d</x:v>
      </x:c>
      <x:c r="AA1924" s="12" t="str">
        <x:f>IF(OR(M1924="unavailable",O1924="unavailable"),"不可评价",IF(AND(OR(M1924="positive",M1924="equivocal"),OR(O1924="positive",O1924="equivocal")),"a",IF(OR(O1924="positive",O1924="equivocal"),"b",IF(OR(M1924="positive",M1924="equivocal"),"c","d"))))</x:f>
        <x:v>d</x:v>
      </x:c>
      <x:c r="AB1924" s="12" t="str">
        <x:f>IF(OR(M1924="unavailable",O1924="unavailable"),"不可评价",IF(AND(M1924="positive",O1924="positive"),"a",IF(O1924="positive","b",IF(M1924="positive","c","d"))))</x:f>
        <x:v>d</x:v>
      </x:c>
      <x:c r="AC1924" s="12" t="str">
        <x:f>IF(OR(R1924="unavailable",T1924="unavailable"),"不可评价",IF(AND(OR(R1924="positive",R1924="equivocal"),OR(T1924="positive",T1924="equivocal")),"a",IF(OR(T1924="positive",T1924="equivocal"),"b",IF(OR(R1924="positive",R1924="equivocal"),"c","d"))))</x:f>
        <x:v>d</x:v>
      </x:c>
      <x:c r="AD1924" s="12" t="str">
        <x:f>IF(OR(R1924="unavailable",T1924="unavailable"),"不可评价",IF(AND(R1924="positive",T1924="positive"),"a",IF(T1924="positive","b",IF(R1924="positive","c","d"))))</x:f>
        <x:v>d</x:v>
      </x:c>
      <x:c r="AE1924" s="12" t="str">
        <x:f>IF(OR(W1924="unavailable",Y1924="unavailable"),"不可评价",IF(AND(OR(W1924="positive",W1924="equivocal"),OR(Y1924="positive",Y1924="equivocal")),"a",IF(OR(Y1924="positive",Y1924="equivocal"),"b",IF(OR(W1924="positive",W1924="equivocal"),"c","d"))))</x:f>
        <x:v>d</x:v>
      </x:c>
      <x:c r="AF1924" s="12" t="str">
        <x:f>IF(OR(W1924="unavailable",Y1924="unavailable"),"不可评价",IF(AND(W1924="positive",Y1924="positive"),"a",IF(Y1924="positive","b",IF(W1924="positive","c","d"))))</x:f>
        <x:v>d</x:v>
      </x:c>
    </x:row>
    <x:row r="1925" ht="24" customHeight="1">
      <x:c r="A1925" s="12" t="str">
        <x:v>18296</x:v>
      </x:c>
      <x:c r="B1925" s="12" t="str">
        <x:v>5117</x:v>
      </x:c>
      <x:c r="C1925" s="21" t="n">
        <x:v>35642.48081018519</x:v>
      </x:c>
      <x:c r="D1925" s="12" t="n">
        <x:v>61</x:v>
      </x:c>
      <x:c r="E1925" s="12" t="n">
        <x:v>1</x:v>
      </x:c>
      <x:c r="F1925" s="12" t="str">
        <x:v>未记录</x:v>
      </x:c>
      <x:c r="G1925" s="12" t="n">
        <x:v>1</x:v>
      </x:c>
      <x:c r="H1925" s="12" t="str">
        <x:v>{'ISC_': 100.0, 'SR': 0.0}</x:v>
      </x:c>
      <x:c r="I1925" s="12" t="str">
        <x:v>[('NSR', 100.0), ('ST&amp;', 100.0), ('IT', 100.0), ('AB', 100.0)]</x:v>
      </x:c>
      <x:c r="J1925" s="12" t="str">
        <x:v>ptbxl_database.csv；ecg_id=18296；scp_codes</x:v>
      </x:c>
      <x:c r="K1925" s="12" t="str">
        <x:v>12sl_statements.csv；ecg_id=18296；statements_ext_snomed</x:v>
      </x:c>
      <x:c r="L1925" s="12"/>
      <x:c r="M1925" s="12" t="str">
        <x:v>negative</x:v>
      </x:c>
      <x:c r="N1925" s="12"/>
      <x:c r="O1925" s="12" t="str">
        <x:v>negative</x:v>
      </x:c>
      <x:c r="P1925" s="12" t="str">
        <x:f>IF(OR(M1925="unavailable",O1925="unavailable"),"不可评价",IF(OR(M1925="equivocal",O1925="equivocal"),"疑似",IF(AND(M1925="positive",O1925="positive"),"a",IF(O1925="positive","b",IF(M1925="positive","c","d")))))</x:f>
        <x:v>d</x:v>
      </x:c>
      <x:c r="Q1925" s="12"/>
      <x:c r="R1925" s="12" t="str">
        <x:v>negative</x:v>
      </x:c>
      <x:c r="S1925" s="12"/>
      <x:c r="T1925" s="12" t="str">
        <x:v>negative</x:v>
      </x:c>
      <x:c r="U1925" s="12" t="str">
        <x:f>IF(OR(R1925="unavailable",T1925="unavailable"),"不可评价",IF(OR(R1925="equivocal",T1925="equivocal"),"疑似",IF(AND(R1925="positive",T1925="positive"),"a",IF(T1925="positive","b",IF(R1925="positive","c","d")))))</x:f>
        <x:v>d</x:v>
      </x:c>
      <x:c r="V1925" s="12"/>
      <x:c r="W1925" s="12" t="str">
        <x:v>negative</x:v>
      </x:c>
      <x:c r="X1925" s="12"/>
      <x:c r="Y1925" s="12" t="str">
        <x:v>negative</x:v>
      </x:c>
      <x:c r="Z1925" s="12" t="str">
        <x:f>IF(OR(W1925="unavailable",Y1925="unavailable"),"不可评价",IF(OR(W1925="equivocal",Y1925="equivocal"),"疑似",IF(AND(W1925="positive",Y1925="positive"),"a",IF(Y1925="positive","b",IF(W1925="positive","c","d")))))</x:f>
        <x:v>d</x:v>
      </x:c>
      <x:c r="AA1925" s="12" t="str">
        <x:f>IF(OR(M1925="unavailable",O1925="unavailable"),"不可评价",IF(AND(OR(M1925="positive",M1925="equivocal"),OR(O1925="positive",O1925="equivocal")),"a",IF(OR(O1925="positive",O1925="equivocal"),"b",IF(OR(M1925="positive",M1925="equivocal"),"c","d"))))</x:f>
        <x:v>d</x:v>
      </x:c>
      <x:c r="AB1925" s="12" t="str">
        <x:f>IF(OR(M1925="unavailable",O1925="unavailable"),"不可评价",IF(AND(M1925="positive",O1925="positive"),"a",IF(O1925="positive","b",IF(M1925="positive","c","d"))))</x:f>
        <x:v>d</x:v>
      </x:c>
      <x:c r="AC1925" s="12" t="str">
        <x:f>IF(OR(R1925="unavailable",T1925="unavailable"),"不可评价",IF(AND(OR(R1925="positive",R1925="equivocal"),OR(T1925="positive",T1925="equivocal")),"a",IF(OR(T1925="positive",T1925="equivocal"),"b",IF(OR(R1925="positive",R1925="equivocal"),"c","d"))))</x:f>
        <x:v>d</x:v>
      </x:c>
      <x:c r="AD1925" s="12" t="str">
        <x:f>IF(OR(R1925="unavailable",T1925="unavailable"),"不可评价",IF(AND(R1925="positive",T1925="positive"),"a",IF(T1925="positive","b",IF(R1925="positive","c","d"))))</x:f>
        <x:v>d</x:v>
      </x:c>
      <x:c r="AE1925" s="12" t="str">
        <x:f>IF(OR(W1925="unavailable",Y1925="unavailable"),"不可评价",IF(AND(OR(W1925="positive",W1925="equivocal"),OR(Y1925="positive",Y1925="equivocal")),"a",IF(OR(Y1925="positive",Y1925="equivocal"),"b",IF(OR(W1925="positive",W1925="equivocal"),"c","d"))))</x:f>
        <x:v>d</x:v>
      </x:c>
      <x:c r="AF1925" s="12" t="str">
        <x:f>IF(OR(W1925="unavailable",Y1925="unavailable"),"不可评价",IF(AND(W1925="positive",Y1925="positive"),"a",IF(Y1925="positive","b",IF(W1925="positive","c","d"))))</x:f>
        <x:v>d</x:v>
      </x:c>
    </x:row>
    <x:row r="1926" ht="39" customHeight="1">
      <x:c r="A1926" s="12" t="str">
        <x:v>18363</x:v>
      </x:c>
      <x:c r="B1926" s="12" t="str">
        <x:v>17537</x:v>
      </x:c>
      <x:c r="C1926" s="21" t="n">
        <x:v>35650.59222222222</x:v>
      </x:c>
      <x:c r="D1926" s="12" t="n">
        <x:v>78</x:v>
      </x:c>
      <x:c r="E1926" s="12" t="n">
        <x:v>0</x:v>
      </x:c>
      <x:c r="F1926" s="12" t="str">
        <x:v>未记录</x:v>
      </x:c>
      <x:c r="G1926" s="12" t="n">
        <x:v>1</x:v>
      </x:c>
      <x:c r="H1926" s="12" t="str">
        <x:v>{'IMI': 100.0, 'LNGQT': 100.0, 'ABQRS': 0.0, 'SR': 0.0}</x:v>
      </x:c>
      <x:c r="I1926" s="12" t="str">
        <x:v>[('NSR', 100.0), ('SAR', 100.0), ('IMI;AU', 100.0), ('AMI;AU', 15.0), ('LNGQT', 100.0), ('AB', 100.0)]</x:v>
      </x:c>
      <x:c r="J1926" s="12" t="str">
        <x:v>ptbxl_database.csv；ecg_id=18363；scp_codes</x:v>
      </x:c>
      <x:c r="K1926" s="12" t="str">
        <x:v>12sl_statements.csv；ecg_id=18363；statements_ext_snomed</x:v>
      </x:c>
      <x:c r="L1926" s="12"/>
      <x:c r="M1926" s="12" t="str">
        <x:v>negative</x:v>
      </x:c>
      <x:c r="N1926" s="12"/>
      <x:c r="O1926" s="12" t="str">
        <x:v>negative</x:v>
      </x:c>
      <x:c r="P1926" s="12" t="str">
        <x:f>IF(OR(M1926="unavailable",O1926="unavailable"),"不可评价",IF(OR(M1926="equivocal",O1926="equivocal"),"疑似",IF(AND(M1926="positive",O1926="positive"),"a",IF(O1926="positive","b",IF(M1926="positive","c","d")))))</x:f>
        <x:v>d</x:v>
      </x:c>
      <x:c r="Q1926" s="12"/>
      <x:c r="R1926" s="12" t="str">
        <x:v>negative</x:v>
      </x:c>
      <x:c r="S1926" s="12"/>
      <x:c r="T1926" s="12" t="str">
        <x:v>negative</x:v>
      </x:c>
      <x:c r="U1926" s="12" t="str">
        <x:f>IF(OR(R1926="unavailable",T1926="unavailable"),"不可评价",IF(OR(R1926="equivocal",T1926="equivocal"),"疑似",IF(AND(R1926="positive",T1926="positive"),"a",IF(T1926="positive","b",IF(R1926="positive","c","d")))))</x:f>
        <x:v>d</x:v>
      </x:c>
      <x:c r="V1926" s="12"/>
      <x:c r="W1926" s="12" t="str">
        <x:v>negative</x:v>
      </x:c>
      <x:c r="X1926" s="12"/>
      <x:c r="Y1926" s="12" t="str">
        <x:v>negative</x:v>
      </x:c>
      <x:c r="Z1926" s="12" t="str">
        <x:f>IF(OR(W1926="unavailable",Y1926="unavailable"),"不可评价",IF(OR(W1926="equivocal",Y1926="equivocal"),"疑似",IF(AND(W1926="positive",Y1926="positive"),"a",IF(Y1926="positive","b",IF(W1926="positive","c","d")))))</x:f>
        <x:v>d</x:v>
      </x:c>
      <x:c r="AA1926" s="12" t="str">
        <x:f>IF(OR(M1926="unavailable",O1926="unavailable"),"不可评价",IF(AND(OR(M1926="positive",M1926="equivocal"),OR(O1926="positive",O1926="equivocal")),"a",IF(OR(O1926="positive",O1926="equivocal"),"b",IF(OR(M1926="positive",M1926="equivocal"),"c","d"))))</x:f>
        <x:v>d</x:v>
      </x:c>
      <x:c r="AB1926" s="12" t="str">
        <x:f>IF(OR(M1926="unavailable",O1926="unavailable"),"不可评价",IF(AND(M1926="positive",O1926="positive"),"a",IF(O1926="positive","b",IF(M1926="positive","c","d"))))</x:f>
        <x:v>d</x:v>
      </x:c>
      <x:c r="AC1926" s="12" t="str">
        <x:f>IF(OR(R1926="unavailable",T1926="unavailable"),"不可评价",IF(AND(OR(R1926="positive",R1926="equivocal"),OR(T1926="positive",T1926="equivocal")),"a",IF(OR(T1926="positive",T1926="equivocal"),"b",IF(OR(R1926="positive",R1926="equivocal"),"c","d"))))</x:f>
        <x:v>d</x:v>
      </x:c>
      <x:c r="AD1926" s="12" t="str">
        <x:f>IF(OR(R1926="unavailable",T1926="unavailable"),"不可评价",IF(AND(R1926="positive",T1926="positive"),"a",IF(T1926="positive","b",IF(R1926="positive","c","d"))))</x:f>
        <x:v>d</x:v>
      </x:c>
      <x:c r="AE1926" s="12" t="str">
        <x:f>IF(OR(W1926="unavailable",Y1926="unavailable"),"不可评价",IF(AND(OR(W1926="positive",W1926="equivocal"),OR(Y1926="positive",Y1926="equivocal")),"a",IF(OR(Y1926="positive",Y1926="equivocal"),"b",IF(OR(W1926="positive",W1926="equivocal"),"c","d"))))</x:f>
        <x:v>d</x:v>
      </x:c>
      <x:c r="AF1926" s="12" t="str">
        <x:f>IF(OR(W1926="unavailable",Y1926="unavailable"),"不可评价",IF(AND(W1926="positive",Y1926="positive"),"a",IF(Y1926="positive","b",IF(W1926="positive","c","d"))))</x:f>
        <x:v>d</x:v>
      </x:c>
    </x:row>
    <x:row r="1927" ht="24" customHeight="1">
      <x:c r="A1927" s="12" t="str">
        <x:v>18364</x:v>
      </x:c>
      <x:c r="B1927" s="12" t="str">
        <x:v>18137</x:v>
      </x:c>
      <x:c r="C1927" s="21" t="n">
        <x:v>35650.59979166667</x:v>
      </x:c>
      <x:c r="D1927" s="12" t="n">
        <x:v>67</x:v>
      </x:c>
      <x:c r="E1927" s="12" t="n">
        <x:v>0</x:v>
      </x:c>
      <x:c r="F1927" s="12" t="str">
        <x:v>未记录</x:v>
      </x:c>
      <x:c r="G1927" s="12" t="n">
        <x:v>1</x:v>
      </x:c>
      <x:c r="H1927" s="12" t="str">
        <x:v>{'IMI': 50.0, 'ASMI': 50.0, 'PVC': 100.0, 'ABQRS': 0.0, 'AFIB': 0.0}</x:v>
      </x:c>
      <x:c r="I1927" s="12" t="str">
        <x:v>[('EAR', 100.0), ('PVC', 100.0), ('IMI;AU', 100.0), ('ASMI;AU', 100.0), ('AB', 100.0)]</x:v>
      </x:c>
      <x:c r="J1927" s="12" t="str">
        <x:v>ptbxl_database.csv；ecg_id=18364；scp_codes</x:v>
      </x:c>
      <x:c r="K1927" s="12" t="str">
        <x:v>12sl_statements.csv；ecg_id=18364；statements_ext_snomed</x:v>
      </x:c>
      <x:c r="L1927" s="12" t="n">
        <x:v>0</x:v>
      </x:c>
      <x:c r="M1927" s="12" t="str">
        <x:v>positive</x:v>
      </x:c>
      <x:c r="N1927" s="12"/>
      <x:c r="O1927" s="12" t="str">
        <x:v>negative</x:v>
      </x:c>
      <x:c r="P1927" s="12" t="str">
        <x:f>IF(OR(M1927="unavailable",O1927="unavailable"),"不可评价",IF(OR(M1927="equivocal",O1927="equivocal"),"疑似",IF(AND(M1927="positive",O1927="positive"),"a",IF(O1927="positive","b",IF(M1927="positive","c","d")))))</x:f>
        <x:v>c</x:v>
      </x:c>
      <x:c r="Q1927" s="12"/>
      <x:c r="R1927" s="12" t="str">
        <x:v>negative</x:v>
      </x:c>
      <x:c r="S1927" s="12"/>
      <x:c r="T1927" s="12" t="str">
        <x:v>negative</x:v>
      </x:c>
      <x:c r="U1927" s="12" t="str">
        <x:f>IF(OR(R1927="unavailable",T1927="unavailable"),"不可评价",IF(OR(R1927="equivocal",T1927="equivocal"),"疑似",IF(AND(R1927="positive",T1927="positive"),"a",IF(T1927="positive","b",IF(R1927="positive","c","d")))))</x:f>
        <x:v>d</x:v>
      </x:c>
      <x:c r="V1927" s="12"/>
      <x:c r="W1927" s="12" t="str">
        <x:v>negative</x:v>
      </x:c>
      <x:c r="X1927" s="12"/>
      <x:c r="Y1927" s="12" t="str">
        <x:v>negative</x:v>
      </x:c>
      <x:c r="Z1927" s="12" t="str">
        <x:f>IF(OR(W1927="unavailable",Y1927="unavailable"),"不可评价",IF(OR(W1927="equivocal",Y1927="equivocal"),"疑似",IF(AND(W1927="positive",Y1927="positive"),"a",IF(Y1927="positive","b",IF(W1927="positive","c","d")))))</x:f>
        <x:v>d</x:v>
      </x:c>
      <x:c r="AA1927" s="12" t="str">
        <x:f>IF(OR(M1927="unavailable",O1927="unavailable"),"不可评价",IF(AND(OR(M1927="positive",M1927="equivocal"),OR(O1927="positive",O1927="equivocal")),"a",IF(OR(O1927="positive",O1927="equivocal"),"b",IF(OR(M1927="positive",M1927="equivocal"),"c","d"))))</x:f>
        <x:v>c</x:v>
      </x:c>
      <x:c r="AB1927" s="12" t="str">
        <x:f>IF(OR(M1927="unavailable",O1927="unavailable"),"不可评价",IF(AND(M1927="positive",O1927="positive"),"a",IF(O1927="positive","b",IF(M1927="positive","c","d"))))</x:f>
        <x:v>c</x:v>
      </x:c>
      <x:c r="AC1927" s="12" t="str">
        <x:f>IF(OR(R1927="unavailable",T1927="unavailable"),"不可评价",IF(AND(OR(R1927="positive",R1927="equivocal"),OR(T1927="positive",T1927="equivocal")),"a",IF(OR(T1927="positive",T1927="equivocal"),"b",IF(OR(R1927="positive",R1927="equivocal"),"c","d"))))</x:f>
        <x:v>d</x:v>
      </x:c>
      <x:c r="AD1927" s="12" t="str">
        <x:f>IF(OR(R1927="unavailable",T1927="unavailable"),"不可评价",IF(AND(R1927="positive",T1927="positive"),"a",IF(T1927="positive","b",IF(R1927="positive","c","d"))))</x:f>
        <x:v>d</x:v>
      </x:c>
      <x:c r="AE1927" s="12" t="str">
        <x:f>IF(OR(W1927="unavailable",Y1927="unavailable"),"不可评价",IF(AND(OR(W1927="positive",W1927="equivocal"),OR(Y1927="positive",Y1927="equivocal")),"a",IF(OR(Y1927="positive",Y1927="equivocal"),"b",IF(OR(W1927="positive",W1927="equivocal"),"c","d"))))</x:f>
        <x:v>d</x:v>
      </x:c>
      <x:c r="AF1927" s="12" t="str">
        <x:f>IF(OR(W1927="unavailable",Y1927="unavailable"),"不可评价",IF(AND(W1927="positive",Y1927="positive"),"a",IF(Y1927="positive","b",IF(W1927="positive","c","d"))))</x:f>
        <x:v>d</x:v>
      </x:c>
    </x:row>
    <x:row r="1928" ht="24" customHeight="1">
      <x:c r="A1928" s="12" t="str">
        <x:v>18365</x:v>
      </x:c>
      <x:c r="B1928" s="12" t="str">
        <x:v>17156</x:v>
      </x:c>
      <x:c r="C1928" s="21" t="n">
        <x:v>35650.718506944446</x:v>
      </x:c>
      <x:c r="D1928" s="12" t="n">
        <x:v>64</x:v>
      </x:c>
      <x:c r="E1928" s="12" t="n">
        <x:v>0</x:v>
      </x:c>
      <x:c r="F1928" s="12" t="str">
        <x:v>存在</x:v>
      </x:c>
      <x:c r="G1928" s="12" t="n">
        <x:v>1</x:v>
      </x:c>
      <x:c r="H1928" s="12" t="str">
        <x:v>{'NORM': 100.0, 'ABQRS': 0.0, 'SR': 0.0}</x:v>
      </x:c>
      <x:c r="I1928" s="12" t="str">
        <x:v>[('NSR', 100.0), ('NML', 100.0)]</x:v>
      </x:c>
      <x:c r="J1928" s="12" t="str">
        <x:v>ptbxl_database.csv；ecg_id=18365；scp_codes</x:v>
      </x:c>
      <x:c r="K1928" s="12" t="str">
        <x:v>12sl_statements.csv；ecg_id=18365；statements_ext_snomed</x:v>
      </x:c>
      <x:c r="L1928" s="12"/>
      <x:c r="M1928" s="12" t="str">
        <x:v>negative</x:v>
      </x:c>
      <x:c r="N1928" s="12"/>
      <x:c r="O1928" s="12" t="str">
        <x:v>negative</x:v>
      </x:c>
      <x:c r="P1928" s="12" t="str">
        <x:f>IF(OR(M1928="unavailable",O1928="unavailable"),"不可评价",IF(OR(M1928="equivocal",O1928="equivocal"),"疑似",IF(AND(M1928="positive",O1928="positive"),"a",IF(O1928="positive","b",IF(M1928="positive","c","d")))))</x:f>
        <x:v>d</x:v>
      </x:c>
      <x:c r="Q1928" s="12"/>
      <x:c r="R1928" s="12" t="str">
        <x:v>negative</x:v>
      </x:c>
      <x:c r="S1928" s="12"/>
      <x:c r="T1928" s="12" t="str">
        <x:v>negative</x:v>
      </x:c>
      <x:c r="U1928" s="12" t="str">
        <x:f>IF(OR(R1928="unavailable",T1928="unavailable"),"不可评价",IF(OR(R1928="equivocal",T1928="equivocal"),"疑似",IF(AND(R1928="positive",T1928="positive"),"a",IF(T1928="positive","b",IF(R1928="positive","c","d")))))</x:f>
        <x:v>d</x:v>
      </x:c>
      <x:c r="V1928" s="12"/>
      <x:c r="W1928" s="12" t="str">
        <x:v>negative</x:v>
      </x:c>
      <x:c r="X1928" s="12"/>
      <x:c r="Y1928" s="12" t="str">
        <x:v>negative</x:v>
      </x:c>
      <x:c r="Z1928" s="12" t="str">
        <x:f>IF(OR(W1928="unavailable",Y1928="unavailable"),"不可评价",IF(OR(W1928="equivocal",Y1928="equivocal"),"疑似",IF(AND(W1928="positive",Y1928="positive"),"a",IF(Y1928="positive","b",IF(W1928="positive","c","d")))))</x:f>
        <x:v>d</x:v>
      </x:c>
      <x:c r="AA1928" s="12" t="str">
        <x:f>IF(OR(M1928="unavailable",O1928="unavailable"),"不可评价",IF(AND(OR(M1928="positive",M1928="equivocal"),OR(O1928="positive",O1928="equivocal")),"a",IF(OR(O1928="positive",O1928="equivocal"),"b",IF(OR(M1928="positive",M1928="equivocal"),"c","d"))))</x:f>
        <x:v>d</x:v>
      </x:c>
      <x:c r="AB1928" s="12" t="str">
        <x:f>IF(OR(M1928="unavailable",O1928="unavailable"),"不可评价",IF(AND(M1928="positive",O1928="positive"),"a",IF(O1928="positive","b",IF(M1928="positive","c","d"))))</x:f>
        <x:v>d</x:v>
      </x:c>
      <x:c r="AC1928" s="12" t="str">
        <x:f>IF(OR(R1928="unavailable",T1928="unavailable"),"不可评价",IF(AND(OR(R1928="positive",R1928="equivocal"),OR(T1928="positive",T1928="equivocal")),"a",IF(OR(T1928="positive",T1928="equivocal"),"b",IF(OR(R1928="positive",R1928="equivocal"),"c","d"))))</x:f>
        <x:v>d</x:v>
      </x:c>
      <x:c r="AD1928" s="12" t="str">
        <x:f>IF(OR(R1928="unavailable",T1928="unavailable"),"不可评价",IF(AND(R1928="positive",T1928="positive"),"a",IF(T1928="positive","b",IF(R1928="positive","c","d"))))</x:f>
        <x:v>d</x:v>
      </x:c>
      <x:c r="AE1928" s="12" t="str">
        <x:f>IF(OR(W1928="unavailable",Y1928="unavailable"),"不可评价",IF(AND(OR(W1928="positive",W1928="equivocal"),OR(Y1928="positive",Y1928="equivocal")),"a",IF(OR(Y1928="positive",Y1928="equivocal"),"b",IF(OR(W1928="positive",W1928="equivocal"),"c","d"))))</x:f>
        <x:v>d</x:v>
      </x:c>
      <x:c r="AF1928" s="12" t="str">
        <x:f>IF(OR(W1928="unavailable",Y1928="unavailable"),"不可评价",IF(AND(W1928="positive",Y1928="positive"),"a",IF(Y1928="positive","b",IF(W1928="positive","c","d"))))</x:f>
        <x:v>d</x:v>
      </x:c>
    </x:row>
    <x:row r="1929" ht="24" customHeight="1">
      <x:c r="A1929" s="12" t="str">
        <x:v>18367</x:v>
      </x:c>
      <x:c r="B1929" s="12" t="str">
        <x:v>5134</x:v>
      </x:c>
      <x:c r="C1929" s="21" t="n">
        <x:v>35651.44945601852</x:v>
      </x:c>
      <x:c r="D1929" s="12" t="n">
        <x:v>61</x:v>
      </x:c>
      <x:c r="E1929" s="12" t="n">
        <x:v>0</x:v>
      </x:c>
      <x:c r="F1929" s="12" t="str">
        <x:v>未记录</x:v>
      </x:c>
      <x:c r="G1929" s="12" t="n">
        <x:v>1</x:v>
      </x:c>
      <x:c r="H1929" s="12" t="str">
        <x:v>{'NORM': 100.0, 'SR': 0.0}</x:v>
      </x:c>
      <x:c r="I1929" s="12" t="str">
        <x:v>[('NSR', 100.0), ('BORDE', 100.0)]</x:v>
      </x:c>
      <x:c r="J1929" s="12" t="str">
        <x:v>ptbxl_database.csv；ecg_id=18367；scp_codes</x:v>
      </x:c>
      <x:c r="K1929" s="12" t="str">
        <x:v>12sl_statements.csv；ecg_id=18367；statements_ext_snomed</x:v>
      </x:c>
      <x:c r="L1929" s="12"/>
      <x:c r="M1929" s="12" t="str">
        <x:v>negative</x:v>
      </x:c>
      <x:c r="N1929" s="12"/>
      <x:c r="O1929" s="12" t="str">
        <x:v>negative</x:v>
      </x:c>
      <x:c r="P1929" s="12" t="str">
        <x:f>IF(OR(M1929="unavailable",O1929="unavailable"),"不可评价",IF(OR(M1929="equivocal",O1929="equivocal"),"疑似",IF(AND(M1929="positive",O1929="positive"),"a",IF(O1929="positive","b",IF(M1929="positive","c","d")))))</x:f>
        <x:v>d</x:v>
      </x:c>
      <x:c r="Q1929" s="12"/>
      <x:c r="R1929" s="12" t="str">
        <x:v>negative</x:v>
      </x:c>
      <x:c r="S1929" s="12"/>
      <x:c r="T1929" s="12" t="str">
        <x:v>negative</x:v>
      </x:c>
      <x:c r="U1929" s="12" t="str">
        <x:f>IF(OR(R1929="unavailable",T1929="unavailable"),"不可评价",IF(OR(R1929="equivocal",T1929="equivocal"),"疑似",IF(AND(R1929="positive",T1929="positive"),"a",IF(T1929="positive","b",IF(R1929="positive","c","d")))))</x:f>
        <x:v>d</x:v>
      </x:c>
      <x:c r="V1929" s="12"/>
      <x:c r="W1929" s="12" t="str">
        <x:v>negative</x:v>
      </x:c>
      <x:c r="X1929" s="12"/>
      <x:c r="Y1929" s="12" t="str">
        <x:v>negative</x:v>
      </x:c>
      <x:c r="Z1929" s="12" t="str">
        <x:f>IF(OR(W1929="unavailable",Y1929="unavailable"),"不可评价",IF(OR(W1929="equivocal",Y1929="equivocal"),"疑似",IF(AND(W1929="positive",Y1929="positive"),"a",IF(Y1929="positive","b",IF(W1929="positive","c","d")))))</x:f>
        <x:v>d</x:v>
      </x:c>
      <x:c r="AA1929" s="12" t="str">
        <x:f>IF(OR(M1929="unavailable",O1929="unavailable"),"不可评价",IF(AND(OR(M1929="positive",M1929="equivocal"),OR(O1929="positive",O1929="equivocal")),"a",IF(OR(O1929="positive",O1929="equivocal"),"b",IF(OR(M1929="positive",M1929="equivocal"),"c","d"))))</x:f>
        <x:v>d</x:v>
      </x:c>
      <x:c r="AB1929" s="12" t="str">
        <x:f>IF(OR(M1929="unavailable",O1929="unavailable"),"不可评价",IF(AND(M1929="positive",O1929="positive"),"a",IF(O1929="positive","b",IF(M1929="positive","c","d"))))</x:f>
        <x:v>d</x:v>
      </x:c>
      <x:c r="AC1929" s="12" t="str">
        <x:f>IF(OR(R1929="unavailable",T1929="unavailable"),"不可评价",IF(AND(OR(R1929="positive",R1929="equivocal"),OR(T1929="positive",T1929="equivocal")),"a",IF(OR(T1929="positive",T1929="equivocal"),"b",IF(OR(R1929="positive",R1929="equivocal"),"c","d"))))</x:f>
        <x:v>d</x:v>
      </x:c>
      <x:c r="AD1929" s="12" t="str">
        <x:f>IF(OR(R1929="unavailable",T1929="unavailable"),"不可评价",IF(AND(R1929="positive",T1929="positive"),"a",IF(T1929="positive","b",IF(R1929="positive","c","d"))))</x:f>
        <x:v>d</x:v>
      </x:c>
      <x:c r="AE1929" s="12" t="str">
        <x:f>IF(OR(W1929="unavailable",Y1929="unavailable"),"不可评价",IF(AND(OR(W1929="positive",W1929="equivocal"),OR(Y1929="positive",Y1929="equivocal")),"a",IF(OR(Y1929="positive",Y1929="equivocal"),"b",IF(OR(W1929="positive",W1929="equivocal"),"c","d"))))</x:f>
        <x:v>d</x:v>
      </x:c>
      <x:c r="AF1929" s="12" t="str">
        <x:f>IF(OR(W1929="unavailable",Y1929="unavailable"),"不可评价",IF(AND(W1929="positive",Y1929="positive"),"a",IF(Y1929="positive","b",IF(W1929="positive","c","d"))))</x:f>
        <x:v>d</x:v>
      </x:c>
    </x:row>
    <x:row r="1930" ht="24" customHeight="1">
      <x:c r="A1930" s="12" t="str">
        <x:v>18392</x:v>
      </x:c>
      <x:c r="B1930" s="12" t="str">
        <x:v>2244</x:v>
      </x:c>
      <x:c r="C1930" s="21" t="n">
        <x:v>35653.524560185186</x:v>
      </x:c>
      <x:c r="D1930" s="12" t="n">
        <x:v>38</x:v>
      </x:c>
      <x:c r="E1930" s="12" t="n">
        <x:v>1</x:v>
      </x:c>
      <x:c r="F1930" s="12" t="str">
        <x:v>存在</x:v>
      </x:c>
      <x:c r="G1930" s="12" t="n">
        <x:v>1</x:v>
      </x:c>
      <x:c r="H1930" s="12" t="str">
        <x:v>{'NORM': 100.0, 'SR': 0.0}</x:v>
      </x:c>
      <x:c r="I1930" s="12" t="str">
        <x:v>[('NSR', 100.0), ('NML', 100.0)]</x:v>
      </x:c>
      <x:c r="J1930" s="12" t="str">
        <x:v>ptbxl_database.csv；ecg_id=18392；scp_codes</x:v>
      </x:c>
      <x:c r="K1930" s="12" t="str">
        <x:v>12sl_statements.csv；ecg_id=18392；statements_ext_snomed</x:v>
      </x:c>
      <x:c r="L1930" s="12"/>
      <x:c r="M1930" s="12" t="str">
        <x:v>negative</x:v>
      </x:c>
      <x:c r="N1930" s="12"/>
      <x:c r="O1930" s="12" t="str">
        <x:v>negative</x:v>
      </x:c>
      <x:c r="P1930" s="12" t="str">
        <x:f>IF(OR(M1930="unavailable",O1930="unavailable"),"不可评价",IF(OR(M1930="equivocal",O1930="equivocal"),"疑似",IF(AND(M1930="positive",O1930="positive"),"a",IF(O1930="positive","b",IF(M1930="positive","c","d")))))</x:f>
        <x:v>d</x:v>
      </x:c>
      <x:c r="Q1930" s="12"/>
      <x:c r="R1930" s="12" t="str">
        <x:v>negative</x:v>
      </x:c>
      <x:c r="S1930" s="12"/>
      <x:c r="T1930" s="12" t="str">
        <x:v>negative</x:v>
      </x:c>
      <x:c r="U1930" s="12" t="str">
        <x:f>IF(OR(R1930="unavailable",T1930="unavailable"),"不可评价",IF(OR(R1930="equivocal",T1930="equivocal"),"疑似",IF(AND(R1930="positive",T1930="positive"),"a",IF(T1930="positive","b",IF(R1930="positive","c","d")))))</x:f>
        <x:v>d</x:v>
      </x:c>
      <x:c r="V1930" s="12"/>
      <x:c r="W1930" s="12" t="str">
        <x:v>negative</x:v>
      </x:c>
      <x:c r="X1930" s="12"/>
      <x:c r="Y1930" s="12" t="str">
        <x:v>negative</x:v>
      </x:c>
      <x:c r="Z1930" s="12" t="str">
        <x:f>IF(OR(W1930="unavailable",Y1930="unavailable"),"不可评价",IF(OR(W1930="equivocal",Y1930="equivocal"),"疑似",IF(AND(W1930="positive",Y1930="positive"),"a",IF(Y1930="positive","b",IF(W1930="positive","c","d")))))</x:f>
        <x:v>d</x:v>
      </x:c>
      <x:c r="AA1930" s="12" t="str">
        <x:f>IF(OR(M1930="unavailable",O1930="unavailable"),"不可评价",IF(AND(OR(M1930="positive",M1930="equivocal"),OR(O1930="positive",O1930="equivocal")),"a",IF(OR(O1930="positive",O1930="equivocal"),"b",IF(OR(M1930="positive",M1930="equivocal"),"c","d"))))</x:f>
        <x:v>d</x:v>
      </x:c>
      <x:c r="AB1930" s="12" t="str">
        <x:f>IF(OR(M1930="unavailable",O1930="unavailable"),"不可评价",IF(AND(M1930="positive",O1930="positive"),"a",IF(O1930="positive","b",IF(M1930="positive","c","d"))))</x:f>
        <x:v>d</x:v>
      </x:c>
      <x:c r="AC1930" s="12" t="str">
        <x:f>IF(OR(R1930="unavailable",T1930="unavailable"),"不可评价",IF(AND(OR(R1930="positive",R1930="equivocal"),OR(T1930="positive",T1930="equivocal")),"a",IF(OR(T1930="positive",T1930="equivocal"),"b",IF(OR(R1930="positive",R1930="equivocal"),"c","d"))))</x:f>
        <x:v>d</x:v>
      </x:c>
      <x:c r="AD1930" s="12" t="str">
        <x:f>IF(OR(R1930="unavailable",T1930="unavailable"),"不可评价",IF(AND(R1930="positive",T1930="positive"),"a",IF(T1930="positive","b",IF(R1930="positive","c","d"))))</x:f>
        <x:v>d</x:v>
      </x:c>
      <x:c r="AE1930" s="12" t="str">
        <x:f>IF(OR(W1930="unavailable",Y1930="unavailable"),"不可评价",IF(AND(OR(W1930="positive",W1930="equivocal"),OR(Y1930="positive",Y1930="equivocal")),"a",IF(OR(Y1930="positive",Y1930="equivocal"),"b",IF(OR(W1930="positive",W1930="equivocal"),"c","d"))))</x:f>
        <x:v>d</x:v>
      </x:c>
      <x:c r="AF1930" s="12" t="str">
        <x:f>IF(OR(W1930="unavailable",Y1930="unavailable"),"不可评价",IF(AND(W1930="positive",Y1930="positive"),"a",IF(Y1930="positive","b",IF(W1930="positive","c","d"))))</x:f>
        <x:v>d</x:v>
      </x:c>
    </x:row>
    <x:row r="1931" ht="24" customHeight="1">
      <x:c r="A1931" s="12" t="str">
        <x:v>18416</x:v>
      </x:c>
      <x:c r="B1931" s="12" t="str">
        <x:v>8068</x:v>
      </x:c>
      <x:c r="C1931" s="21" t="n">
        <x:v>35656.64653935185</x:v>
      </x:c>
      <x:c r="D1931" s="12" t="n">
        <x:v>68</x:v>
      </x:c>
      <x:c r="E1931" s="12" t="n">
        <x:v>1</x:v>
      </x:c>
      <x:c r="F1931" s="12" t="str">
        <x:v>未记录</x:v>
      </x:c>
      <x:c r="G1931" s="12" t="n">
        <x:v>1</x:v>
      </x:c>
      <x:c r="H1931" s="12" t="str">
        <x:v>{'NORM': 80.0, 'SR': 0.0}</x:v>
      </x:c>
      <x:c r="I1931" s="12" t="str">
        <x:v>[('NSR', 100.0), ('IMI;AU', 100.0), ('AB', 100.0)]</x:v>
      </x:c>
      <x:c r="J1931" s="12" t="str">
        <x:v>ptbxl_database.csv；ecg_id=18416；scp_codes</x:v>
      </x:c>
      <x:c r="K1931" s="12" t="str">
        <x:v>12sl_statements.csv；ecg_id=18416；statements_ext_snomed</x:v>
      </x:c>
      <x:c r="L1931" s="12"/>
      <x:c r="M1931" s="12" t="str">
        <x:v>negative</x:v>
      </x:c>
      <x:c r="N1931" s="12"/>
      <x:c r="O1931" s="12" t="str">
        <x:v>negative</x:v>
      </x:c>
      <x:c r="P1931" s="12" t="str">
        <x:f>IF(OR(M1931="unavailable",O1931="unavailable"),"不可评价",IF(OR(M1931="equivocal",O1931="equivocal"),"疑似",IF(AND(M1931="positive",O1931="positive"),"a",IF(O1931="positive","b",IF(M1931="positive","c","d")))))</x:f>
        <x:v>d</x:v>
      </x:c>
      <x:c r="Q1931" s="12"/>
      <x:c r="R1931" s="12" t="str">
        <x:v>negative</x:v>
      </x:c>
      <x:c r="S1931" s="12"/>
      <x:c r="T1931" s="12" t="str">
        <x:v>negative</x:v>
      </x:c>
      <x:c r="U1931" s="12" t="str">
        <x:f>IF(OR(R1931="unavailable",T1931="unavailable"),"不可评价",IF(OR(R1931="equivocal",T1931="equivocal"),"疑似",IF(AND(R1931="positive",T1931="positive"),"a",IF(T1931="positive","b",IF(R1931="positive","c","d")))))</x:f>
        <x:v>d</x:v>
      </x:c>
      <x:c r="V1931" s="12"/>
      <x:c r="W1931" s="12" t="str">
        <x:v>negative</x:v>
      </x:c>
      <x:c r="X1931" s="12"/>
      <x:c r="Y1931" s="12" t="str">
        <x:v>negative</x:v>
      </x:c>
      <x:c r="Z1931" s="12" t="str">
        <x:f>IF(OR(W1931="unavailable",Y1931="unavailable"),"不可评价",IF(OR(W1931="equivocal",Y1931="equivocal"),"疑似",IF(AND(W1931="positive",Y1931="positive"),"a",IF(Y1931="positive","b",IF(W1931="positive","c","d")))))</x:f>
        <x:v>d</x:v>
      </x:c>
      <x:c r="AA1931" s="12" t="str">
        <x:f>IF(OR(M1931="unavailable",O1931="unavailable"),"不可评价",IF(AND(OR(M1931="positive",M1931="equivocal"),OR(O1931="positive",O1931="equivocal")),"a",IF(OR(O1931="positive",O1931="equivocal"),"b",IF(OR(M1931="positive",M1931="equivocal"),"c","d"))))</x:f>
        <x:v>d</x:v>
      </x:c>
      <x:c r="AB1931" s="12" t="str">
        <x:f>IF(OR(M1931="unavailable",O1931="unavailable"),"不可评价",IF(AND(M1931="positive",O1931="positive"),"a",IF(O1931="positive","b",IF(M1931="positive","c","d"))))</x:f>
        <x:v>d</x:v>
      </x:c>
      <x:c r="AC1931" s="12" t="str">
        <x:f>IF(OR(R1931="unavailable",T1931="unavailable"),"不可评价",IF(AND(OR(R1931="positive",R1931="equivocal"),OR(T1931="positive",T1931="equivocal")),"a",IF(OR(T1931="positive",T1931="equivocal"),"b",IF(OR(R1931="positive",R1931="equivocal"),"c","d"))))</x:f>
        <x:v>d</x:v>
      </x:c>
      <x:c r="AD1931" s="12" t="str">
        <x:f>IF(OR(R1931="unavailable",T1931="unavailable"),"不可评价",IF(AND(R1931="positive",T1931="positive"),"a",IF(T1931="positive","b",IF(R1931="positive","c","d"))))</x:f>
        <x:v>d</x:v>
      </x:c>
      <x:c r="AE1931" s="12" t="str">
        <x:f>IF(OR(W1931="unavailable",Y1931="unavailable"),"不可评价",IF(AND(OR(W1931="positive",W1931="equivocal"),OR(Y1931="positive",Y1931="equivocal")),"a",IF(OR(Y1931="positive",Y1931="equivocal"),"b",IF(OR(W1931="positive",W1931="equivocal"),"c","d"))))</x:f>
        <x:v>d</x:v>
      </x:c>
      <x:c r="AF1931" s="12" t="str">
        <x:f>IF(OR(W1931="unavailable",Y1931="unavailable"),"不可评价",IF(AND(W1931="positive",Y1931="positive"),"a",IF(Y1931="positive","b",IF(W1931="positive","c","d"))))</x:f>
        <x:v>d</x:v>
      </x:c>
    </x:row>
    <x:row r="1932" ht="39" customHeight="1">
      <x:c r="A1932" s="12" t="str">
        <x:v>18421</x:v>
      </x:c>
      <x:c r="B1932" s="12" t="str">
        <x:v>18137</x:v>
      </x:c>
      <x:c r="C1932" s="21" t="n">
        <x:v>35657.564155092594</x:v>
      </x:c>
      <x:c r="D1932" s="12" t="n">
        <x:v>67</x:v>
      </x:c>
      <x:c r="E1932" s="12" t="n">
        <x:v>0</x:v>
      </x:c>
      <x:c r="F1932" s="12" t="str">
        <x:v>存在</x:v>
      </x:c>
      <x:c r="G1932" s="12" t="n">
        <x:v>0</x:v>
      </x:c>
      <x:c r="H1932" s="12" t="str">
        <x:v>{'AMI': 100.0, 'IMI': 50.0, '1AVB': 100.0, 'PVC': 100.0, 'ABQRS': 0.0, 'SARRH': 0.0}</x:v>
      </x:c>
      <x:c r="I1932" s="12" t="str">
        <x:v>[('SRTH', 100.0), ('PVC', 100.0), ('SMI;AU', 100.0), ('AB', 100.0)]</x:v>
      </x:c>
      <x:c r="J1932" s="12" t="str">
        <x:v>ptbxl_database.csv；ecg_id=18421；scp_codes</x:v>
      </x:c>
      <x:c r="K1932" s="12" t="str">
        <x:v>12sl_statements.csv；ecg_id=18421；statements_ext_snomed</x:v>
      </x:c>
      <x:c r="L1932" s="12"/>
      <x:c r="M1932" s="12" t="str">
        <x:v>negative</x:v>
      </x:c>
      <x:c r="N1932" s="12"/>
      <x:c r="O1932" s="12" t="str">
        <x:v>negative</x:v>
      </x:c>
      <x:c r="P1932" s="12" t="str">
        <x:f>IF(OR(M1932="unavailable",O1932="unavailable"),"不可评价",IF(OR(M1932="equivocal",O1932="equivocal"),"疑似",IF(AND(M1932="positive",O1932="positive"),"a",IF(O1932="positive","b",IF(M1932="positive","c","d")))))</x:f>
        <x:v>d</x:v>
      </x:c>
      <x:c r="Q1932" s="12"/>
      <x:c r="R1932" s="12" t="str">
        <x:v>negative</x:v>
      </x:c>
      <x:c r="S1932" s="12"/>
      <x:c r="T1932" s="12" t="str">
        <x:v>negative</x:v>
      </x:c>
      <x:c r="U1932" s="12" t="str">
        <x:f>IF(OR(R1932="unavailable",T1932="unavailable"),"不可评价",IF(OR(R1932="equivocal",T1932="equivocal"),"疑似",IF(AND(R1932="positive",T1932="positive"),"a",IF(T1932="positive","b",IF(R1932="positive","c","d")))))</x:f>
        <x:v>d</x:v>
      </x:c>
      <x:c r="V1932" s="12"/>
      <x:c r="W1932" s="12" t="str">
        <x:v>negative</x:v>
      </x:c>
      <x:c r="X1932" s="12"/>
      <x:c r="Y1932" s="12" t="str">
        <x:v>negative</x:v>
      </x:c>
      <x:c r="Z1932" s="12" t="str">
        <x:f>IF(OR(W1932="unavailable",Y1932="unavailable"),"不可评价",IF(OR(W1932="equivocal",Y1932="equivocal"),"疑似",IF(AND(W1932="positive",Y1932="positive"),"a",IF(Y1932="positive","b",IF(W1932="positive","c","d")))))</x:f>
        <x:v>d</x:v>
      </x:c>
      <x:c r="AA1932" s="12" t="str">
        <x:f>IF(OR(M1932="unavailable",O1932="unavailable"),"不可评价",IF(AND(OR(M1932="positive",M1932="equivocal"),OR(O1932="positive",O1932="equivocal")),"a",IF(OR(O1932="positive",O1932="equivocal"),"b",IF(OR(M1932="positive",M1932="equivocal"),"c","d"))))</x:f>
        <x:v>d</x:v>
      </x:c>
      <x:c r="AB1932" s="12" t="str">
        <x:f>IF(OR(M1932="unavailable",O1932="unavailable"),"不可评价",IF(AND(M1932="positive",O1932="positive"),"a",IF(O1932="positive","b",IF(M1932="positive","c","d"))))</x:f>
        <x:v>d</x:v>
      </x:c>
      <x:c r="AC1932" s="12" t="str">
        <x:f>IF(OR(R1932="unavailable",T1932="unavailable"),"不可评价",IF(AND(OR(R1932="positive",R1932="equivocal"),OR(T1932="positive",T1932="equivocal")),"a",IF(OR(T1932="positive",T1932="equivocal"),"b",IF(OR(R1932="positive",R1932="equivocal"),"c","d"))))</x:f>
        <x:v>d</x:v>
      </x:c>
      <x:c r="AD1932" s="12" t="str">
        <x:f>IF(OR(R1932="unavailable",T1932="unavailable"),"不可评价",IF(AND(R1932="positive",T1932="positive"),"a",IF(T1932="positive","b",IF(R1932="positive","c","d"))))</x:f>
        <x:v>d</x:v>
      </x:c>
      <x:c r="AE1932" s="12" t="str">
        <x:f>IF(OR(W1932="unavailable",Y1932="unavailable"),"不可评价",IF(AND(OR(W1932="positive",W1932="equivocal"),OR(Y1932="positive",Y1932="equivocal")),"a",IF(OR(Y1932="positive",Y1932="equivocal"),"b",IF(OR(W1932="positive",W1932="equivocal"),"c","d"))))</x:f>
        <x:v>d</x:v>
      </x:c>
      <x:c r="AF1932" s="12" t="str">
        <x:f>IF(OR(W1932="unavailable",Y1932="unavailable"),"不可评价",IF(AND(W1932="positive",Y1932="positive"),"a",IF(Y1932="positive","b",IF(W1932="positive","c","d"))))</x:f>
        <x:v>d</x:v>
      </x:c>
    </x:row>
    <x:row r="1933" ht="24" customHeight="1">
      <x:c r="A1933" s="12" t="str">
        <x:v>18422</x:v>
      </x:c>
      <x:c r="B1933" s="12" t="str">
        <x:v>14163</x:v>
      </x:c>
      <x:c r="C1933" s="21" t="n">
        <x:v>35658.28486111111</x:v>
      </x:c>
      <x:c r="D1933" s="12" t="n">
        <x:v>81</x:v>
      </x:c>
      <x:c r="E1933" s="12" t="n">
        <x:v>0</x:v>
      </x:c>
      <x:c r="F1933" s="12" t="str">
        <x:v>存在</x:v>
      </x:c>
      <x:c r="G1933" s="12" t="n">
        <x:v>1</x:v>
      </x:c>
      <x:c r="H1933" s="12" t="str">
        <x:v>{'ISCAL': 100.0, 'ABQRS': 0.0, 'SR': 0.0}</x:v>
      </x:c>
      <x:c r="I1933" s="12" t="str">
        <x:v>[('SRTH', 100.0), ('FAV', 100.0), ('ST&amp;', 100.0), ('LT', 100.0), ('AB', 100.0)]</x:v>
      </x:c>
      <x:c r="J1933" s="12" t="str">
        <x:v>ptbxl_database.csv；ecg_id=18422；scp_codes</x:v>
      </x:c>
      <x:c r="K1933" s="12" t="str">
        <x:v>12sl_statements.csv；ecg_id=18422；statements_ext_snomed</x:v>
      </x:c>
      <x:c r="L1933" s="12"/>
      <x:c r="M1933" s="12" t="str">
        <x:v>negative</x:v>
      </x:c>
      <x:c r="N1933" s="12"/>
      <x:c r="O1933" s="12" t="str">
        <x:v>negative</x:v>
      </x:c>
      <x:c r="P1933" s="12" t="str">
        <x:f>IF(OR(M1933="unavailable",O1933="unavailable"),"不可评价",IF(OR(M1933="equivocal",O1933="equivocal"),"疑似",IF(AND(M1933="positive",O1933="positive"),"a",IF(O1933="positive","b",IF(M1933="positive","c","d")))))</x:f>
        <x:v>d</x:v>
      </x:c>
      <x:c r="Q1933" s="12"/>
      <x:c r="R1933" s="12" t="str">
        <x:v>negative</x:v>
      </x:c>
      <x:c r="S1933" s="12"/>
      <x:c r="T1933" s="12" t="str">
        <x:v>negative</x:v>
      </x:c>
      <x:c r="U1933" s="12" t="str">
        <x:f>IF(OR(R1933="unavailable",T1933="unavailable"),"不可评价",IF(OR(R1933="equivocal",T1933="equivocal"),"疑似",IF(AND(R1933="positive",T1933="positive"),"a",IF(T1933="positive","b",IF(R1933="positive","c","d")))))</x:f>
        <x:v>d</x:v>
      </x:c>
      <x:c r="V1933" s="12"/>
      <x:c r="W1933" s="12" t="str">
        <x:v>negative</x:v>
      </x:c>
      <x:c r="X1933" s="12"/>
      <x:c r="Y1933" s="12" t="str">
        <x:v>negative</x:v>
      </x:c>
      <x:c r="Z1933" s="12" t="str">
        <x:f>IF(OR(W1933="unavailable",Y1933="unavailable"),"不可评价",IF(OR(W1933="equivocal",Y1933="equivocal"),"疑似",IF(AND(W1933="positive",Y1933="positive"),"a",IF(Y1933="positive","b",IF(W1933="positive","c","d")))))</x:f>
        <x:v>d</x:v>
      </x:c>
      <x:c r="AA1933" s="12" t="str">
        <x:f>IF(OR(M1933="unavailable",O1933="unavailable"),"不可评价",IF(AND(OR(M1933="positive",M1933="equivocal"),OR(O1933="positive",O1933="equivocal")),"a",IF(OR(O1933="positive",O1933="equivocal"),"b",IF(OR(M1933="positive",M1933="equivocal"),"c","d"))))</x:f>
        <x:v>d</x:v>
      </x:c>
      <x:c r="AB1933" s="12" t="str">
        <x:f>IF(OR(M1933="unavailable",O1933="unavailable"),"不可评价",IF(AND(M1933="positive",O1933="positive"),"a",IF(O1933="positive","b",IF(M1933="positive","c","d"))))</x:f>
        <x:v>d</x:v>
      </x:c>
      <x:c r="AC1933" s="12" t="str">
        <x:f>IF(OR(R1933="unavailable",T1933="unavailable"),"不可评价",IF(AND(OR(R1933="positive",R1933="equivocal"),OR(T1933="positive",T1933="equivocal")),"a",IF(OR(T1933="positive",T1933="equivocal"),"b",IF(OR(R1933="positive",R1933="equivocal"),"c","d"))))</x:f>
        <x:v>d</x:v>
      </x:c>
      <x:c r="AD1933" s="12" t="str">
        <x:f>IF(OR(R1933="unavailable",T1933="unavailable"),"不可评价",IF(AND(R1933="positive",T1933="positive"),"a",IF(T1933="positive","b",IF(R1933="positive","c","d"))))</x:f>
        <x:v>d</x:v>
      </x:c>
      <x:c r="AE1933" s="12" t="str">
        <x:f>IF(OR(W1933="unavailable",Y1933="unavailable"),"不可评价",IF(AND(OR(W1933="positive",W1933="equivocal"),OR(Y1933="positive",Y1933="equivocal")),"a",IF(OR(Y1933="positive",Y1933="equivocal"),"b",IF(OR(W1933="positive",W1933="equivocal"),"c","d"))))</x:f>
        <x:v>d</x:v>
      </x:c>
      <x:c r="AF1933" s="12" t="str">
        <x:f>IF(OR(W1933="unavailable",Y1933="unavailable"),"不可评价",IF(AND(W1933="positive",Y1933="positive"),"a",IF(Y1933="positive","b",IF(W1933="positive","c","d"))))</x:f>
        <x:v>d</x:v>
      </x:c>
    </x:row>
    <x:row r="1934" ht="24" customHeight="1">
      <x:c r="A1934" s="12" t="str">
        <x:v>18425</x:v>
      </x:c>
      <x:c r="B1934" s="12" t="str">
        <x:v>17790</x:v>
      </x:c>
      <x:c r="C1934" s="21" t="n">
        <x:v>35658.64329861111</x:v>
      </x:c>
      <x:c r="D1934" s="12" t="n">
        <x:v>84</x:v>
      </x:c>
      <x:c r="E1934" s="12" t="n">
        <x:v>1</x:v>
      </x:c>
      <x:c r="F1934" s="12" t="str">
        <x:v>未记录</x:v>
      </x:c>
      <x:c r="G1934" s="12" t="n">
        <x:v>1</x:v>
      </x:c>
      <x:c r="H1934" s="12" t="str">
        <x:v>{'NST_': 100.0, 'SR': 0.0}</x:v>
      </x:c>
      <x:c r="I1934" s="12" t="str">
        <x:v>[('NSR', 100.0), ('NT', 100.0), ('AB', 100.0)]</x:v>
      </x:c>
      <x:c r="J1934" s="12" t="str">
        <x:v>ptbxl_database.csv；ecg_id=18425；scp_codes</x:v>
      </x:c>
      <x:c r="K1934" s="12" t="str">
        <x:v>12sl_statements.csv；ecg_id=18425；statements_ext_snomed</x:v>
      </x:c>
      <x:c r="L1934" s="12"/>
      <x:c r="M1934" s="12" t="str">
        <x:v>negative</x:v>
      </x:c>
      <x:c r="N1934" s="12"/>
      <x:c r="O1934" s="12" t="str">
        <x:v>negative</x:v>
      </x:c>
      <x:c r="P1934" s="12" t="str">
        <x:f>IF(OR(M1934="unavailable",O1934="unavailable"),"不可评价",IF(OR(M1934="equivocal",O1934="equivocal"),"疑似",IF(AND(M1934="positive",O1934="positive"),"a",IF(O1934="positive","b",IF(M1934="positive","c","d")))))</x:f>
        <x:v>d</x:v>
      </x:c>
      <x:c r="Q1934" s="12"/>
      <x:c r="R1934" s="12" t="str">
        <x:v>negative</x:v>
      </x:c>
      <x:c r="S1934" s="12"/>
      <x:c r="T1934" s="12" t="str">
        <x:v>negative</x:v>
      </x:c>
      <x:c r="U1934" s="12" t="str">
        <x:f>IF(OR(R1934="unavailable",T1934="unavailable"),"不可评价",IF(OR(R1934="equivocal",T1934="equivocal"),"疑似",IF(AND(R1934="positive",T1934="positive"),"a",IF(T1934="positive","b",IF(R1934="positive","c","d")))))</x:f>
        <x:v>d</x:v>
      </x:c>
      <x:c r="V1934" s="12"/>
      <x:c r="W1934" s="12" t="str">
        <x:v>negative</x:v>
      </x:c>
      <x:c r="X1934" s="12"/>
      <x:c r="Y1934" s="12" t="str">
        <x:v>negative</x:v>
      </x:c>
      <x:c r="Z1934" s="12" t="str">
        <x:f>IF(OR(W1934="unavailable",Y1934="unavailable"),"不可评价",IF(OR(W1934="equivocal",Y1934="equivocal"),"疑似",IF(AND(W1934="positive",Y1934="positive"),"a",IF(Y1934="positive","b",IF(W1934="positive","c","d")))))</x:f>
        <x:v>d</x:v>
      </x:c>
      <x:c r="AA1934" s="12" t="str">
        <x:f>IF(OR(M1934="unavailable",O1934="unavailable"),"不可评价",IF(AND(OR(M1934="positive",M1934="equivocal"),OR(O1934="positive",O1934="equivocal")),"a",IF(OR(O1934="positive",O1934="equivocal"),"b",IF(OR(M1934="positive",M1934="equivocal"),"c","d"))))</x:f>
        <x:v>d</x:v>
      </x:c>
      <x:c r="AB1934" s="12" t="str">
        <x:f>IF(OR(M1934="unavailable",O1934="unavailable"),"不可评价",IF(AND(M1934="positive",O1934="positive"),"a",IF(O1934="positive","b",IF(M1934="positive","c","d"))))</x:f>
        <x:v>d</x:v>
      </x:c>
      <x:c r="AC1934" s="12" t="str">
        <x:f>IF(OR(R1934="unavailable",T1934="unavailable"),"不可评价",IF(AND(OR(R1934="positive",R1934="equivocal"),OR(T1934="positive",T1934="equivocal")),"a",IF(OR(T1934="positive",T1934="equivocal"),"b",IF(OR(R1934="positive",R1934="equivocal"),"c","d"))))</x:f>
        <x:v>d</x:v>
      </x:c>
      <x:c r="AD1934" s="12" t="str">
        <x:f>IF(OR(R1934="unavailable",T1934="unavailable"),"不可评价",IF(AND(R1934="positive",T1934="positive"),"a",IF(T1934="positive","b",IF(R1934="positive","c","d"))))</x:f>
        <x:v>d</x:v>
      </x:c>
      <x:c r="AE1934" s="12" t="str">
        <x:f>IF(OR(W1934="unavailable",Y1934="unavailable"),"不可评价",IF(AND(OR(W1934="positive",W1934="equivocal"),OR(Y1934="positive",Y1934="equivocal")),"a",IF(OR(Y1934="positive",Y1934="equivocal"),"b",IF(OR(W1934="positive",W1934="equivocal"),"c","d"))))</x:f>
        <x:v>d</x:v>
      </x:c>
      <x:c r="AF1934" s="12" t="str">
        <x:f>IF(OR(W1934="unavailable",Y1934="unavailable"),"不可评价",IF(AND(W1934="positive",Y1934="positive"),"a",IF(Y1934="positive","b",IF(W1934="positive","c","d"))))</x:f>
        <x:v>d</x:v>
      </x:c>
    </x:row>
    <x:row r="1935" ht="39" customHeight="1">
      <x:c r="A1935" s="12" t="str">
        <x:v>18432</x:v>
      </x:c>
      <x:c r="B1935" s="12" t="str">
        <x:v>16372</x:v>
      </x:c>
      <x:c r="C1935" s="21" t="n">
        <x:v>35660.72667824074</x:v>
      </x:c>
      <x:c r="D1935" s="12" t="n">
        <x:v>76</x:v>
      </x:c>
      <x:c r="E1935" s="12" t="n">
        <x:v>0</x:v>
      </x:c>
      <x:c r="F1935" s="12" t="str">
        <x:v>存在</x:v>
      </x:c>
      <x:c r="G1935" s="12" t="n">
        <x:v>1</x:v>
      </x:c>
      <x:c r="H1935" s="12" t="str">
        <x:v>{'ASMI': 50.0, 'LVH': 50.0, 'ISC_': 100.0, 'IVCD': 100.0, 'ABQRS': 0.0, 'SR': 0.0}</x:v>
      </x:c>
      <x:c r="I1935" s="12" t="str">
        <x:v>[('SRTH', 100.0), ('PAC', 100.0), ('NSTT', 100.0), ('LNGQT', 100.0), ('AB', 100.0)]</x:v>
      </x:c>
      <x:c r="J1935" s="12" t="str">
        <x:v>ptbxl_database.csv；ecg_id=18432；scp_codes</x:v>
      </x:c>
      <x:c r="K1935" s="12" t="str">
        <x:v>12sl_statements.csv；ecg_id=18432；statements_ext_snomed</x:v>
      </x:c>
      <x:c r="L1935" s="12"/>
      <x:c r="M1935" s="12" t="str">
        <x:v>negative</x:v>
      </x:c>
      <x:c r="N1935" s="12"/>
      <x:c r="O1935" s="12" t="str">
        <x:v>negative</x:v>
      </x:c>
      <x:c r="P1935" s="12" t="str">
        <x:f>IF(OR(M1935="unavailable",O1935="unavailable"),"不可评价",IF(OR(M1935="equivocal",O1935="equivocal"),"疑似",IF(AND(M1935="positive",O1935="positive"),"a",IF(O1935="positive","b",IF(M1935="positive","c","d")))))</x:f>
        <x:v>d</x:v>
      </x:c>
      <x:c r="Q1935" s="12"/>
      <x:c r="R1935" s="12" t="str">
        <x:v>negative</x:v>
      </x:c>
      <x:c r="S1935" s="12"/>
      <x:c r="T1935" s="12" t="str">
        <x:v>negative</x:v>
      </x:c>
      <x:c r="U1935" s="12" t="str">
        <x:f>IF(OR(R1935="unavailable",T1935="unavailable"),"不可评价",IF(OR(R1935="equivocal",T1935="equivocal"),"疑似",IF(AND(R1935="positive",T1935="positive"),"a",IF(T1935="positive","b",IF(R1935="positive","c","d")))))</x:f>
        <x:v>d</x:v>
      </x:c>
      <x:c r="V1935" s="12"/>
      <x:c r="W1935" s="12" t="str">
        <x:v>negative</x:v>
      </x:c>
      <x:c r="X1935" s="12"/>
      <x:c r="Y1935" s="12" t="str">
        <x:v>negative</x:v>
      </x:c>
      <x:c r="Z1935" s="12" t="str">
        <x:f>IF(OR(W1935="unavailable",Y1935="unavailable"),"不可评价",IF(OR(W1935="equivocal",Y1935="equivocal"),"疑似",IF(AND(W1935="positive",Y1935="positive"),"a",IF(Y1935="positive","b",IF(W1935="positive","c","d")))))</x:f>
        <x:v>d</x:v>
      </x:c>
      <x:c r="AA1935" s="12" t="str">
        <x:f>IF(OR(M1935="unavailable",O1935="unavailable"),"不可评价",IF(AND(OR(M1935="positive",M1935="equivocal"),OR(O1935="positive",O1935="equivocal")),"a",IF(OR(O1935="positive",O1935="equivocal"),"b",IF(OR(M1935="positive",M1935="equivocal"),"c","d"))))</x:f>
        <x:v>d</x:v>
      </x:c>
      <x:c r="AB1935" s="12" t="str">
        <x:f>IF(OR(M1935="unavailable",O1935="unavailable"),"不可评价",IF(AND(M1935="positive",O1935="positive"),"a",IF(O1935="positive","b",IF(M1935="positive","c","d"))))</x:f>
        <x:v>d</x:v>
      </x:c>
      <x:c r="AC1935" s="12" t="str">
        <x:f>IF(OR(R1935="unavailable",T1935="unavailable"),"不可评价",IF(AND(OR(R1935="positive",R1935="equivocal"),OR(T1935="positive",T1935="equivocal")),"a",IF(OR(T1935="positive",T1935="equivocal"),"b",IF(OR(R1935="positive",R1935="equivocal"),"c","d"))))</x:f>
        <x:v>d</x:v>
      </x:c>
      <x:c r="AD1935" s="12" t="str">
        <x:f>IF(OR(R1935="unavailable",T1935="unavailable"),"不可评价",IF(AND(R1935="positive",T1935="positive"),"a",IF(T1935="positive","b",IF(R1935="positive","c","d"))))</x:f>
        <x:v>d</x:v>
      </x:c>
      <x:c r="AE1935" s="12" t="str">
        <x:f>IF(OR(W1935="unavailable",Y1935="unavailable"),"不可评价",IF(AND(OR(W1935="positive",W1935="equivocal"),OR(Y1935="positive",Y1935="equivocal")),"a",IF(OR(Y1935="positive",Y1935="equivocal"),"b",IF(OR(W1935="positive",W1935="equivocal"),"c","d"))))</x:f>
        <x:v>d</x:v>
      </x:c>
      <x:c r="AF1935" s="12" t="str">
        <x:f>IF(OR(W1935="unavailable",Y1935="unavailable"),"不可评价",IF(AND(W1935="positive",Y1935="positive"),"a",IF(Y1935="positive","b",IF(W1935="positive","c","d"))))</x:f>
        <x:v>d</x:v>
      </x:c>
    </x:row>
    <x:row r="1936" ht="24" customHeight="1">
      <x:c r="A1936" s="12" t="str">
        <x:v>18464</x:v>
      </x:c>
      <x:c r="B1936" s="12" t="str">
        <x:v>8024</x:v>
      </x:c>
      <x:c r="C1936" s="21" t="n">
        <x:v>35669.55642361111</x:v>
      </x:c>
      <x:c r="D1936" s="12" t="n">
        <x:v>35</x:v>
      </x:c>
      <x:c r="E1936" s="12" t="n">
        <x:v>1</x:v>
      </x:c>
      <x:c r="F1936" s="12" t="str">
        <x:v>存在</x:v>
      </x:c>
      <x:c r="G1936" s="12" t="n">
        <x:v>0</x:v>
      </x:c>
      <x:c r="H1936" s="12" t="str">
        <x:v>{'NDT': 100.0, 'SR': 0.0}</x:v>
      </x:c>
      <x:c r="I1936" s="12" t="str">
        <x:v>[('NSR', 100.0), ('NML', 100.0)]</x:v>
      </x:c>
      <x:c r="J1936" s="12" t="str">
        <x:v>ptbxl_database.csv；ecg_id=18464；scp_codes</x:v>
      </x:c>
      <x:c r="K1936" s="12" t="str">
        <x:v>12sl_statements.csv；ecg_id=18464；statements_ext_snomed</x:v>
      </x:c>
      <x:c r="L1936" s="12"/>
      <x:c r="M1936" s="12" t="str">
        <x:v>negative</x:v>
      </x:c>
      <x:c r="N1936" s="12"/>
      <x:c r="O1936" s="12" t="str">
        <x:v>negative</x:v>
      </x:c>
      <x:c r="P1936" s="12" t="str">
        <x:f>IF(OR(M1936="unavailable",O1936="unavailable"),"不可评价",IF(OR(M1936="equivocal",O1936="equivocal"),"疑似",IF(AND(M1936="positive",O1936="positive"),"a",IF(O1936="positive","b",IF(M1936="positive","c","d")))))</x:f>
        <x:v>d</x:v>
      </x:c>
      <x:c r="Q1936" s="12"/>
      <x:c r="R1936" s="12" t="str">
        <x:v>negative</x:v>
      </x:c>
      <x:c r="S1936" s="12"/>
      <x:c r="T1936" s="12" t="str">
        <x:v>negative</x:v>
      </x:c>
      <x:c r="U1936" s="12" t="str">
        <x:f>IF(OR(R1936="unavailable",T1936="unavailable"),"不可评价",IF(OR(R1936="equivocal",T1936="equivocal"),"疑似",IF(AND(R1936="positive",T1936="positive"),"a",IF(T1936="positive","b",IF(R1936="positive","c","d")))))</x:f>
        <x:v>d</x:v>
      </x:c>
      <x:c r="V1936" s="12"/>
      <x:c r="W1936" s="12" t="str">
        <x:v>negative</x:v>
      </x:c>
      <x:c r="X1936" s="12"/>
      <x:c r="Y1936" s="12" t="str">
        <x:v>negative</x:v>
      </x:c>
      <x:c r="Z1936" s="12" t="str">
        <x:f>IF(OR(W1936="unavailable",Y1936="unavailable"),"不可评价",IF(OR(W1936="equivocal",Y1936="equivocal"),"疑似",IF(AND(W1936="positive",Y1936="positive"),"a",IF(Y1936="positive","b",IF(W1936="positive","c","d")))))</x:f>
        <x:v>d</x:v>
      </x:c>
      <x:c r="AA1936" s="12" t="str">
        <x:f>IF(OR(M1936="unavailable",O1936="unavailable"),"不可评价",IF(AND(OR(M1936="positive",M1936="equivocal"),OR(O1936="positive",O1936="equivocal")),"a",IF(OR(O1936="positive",O1936="equivocal"),"b",IF(OR(M1936="positive",M1936="equivocal"),"c","d"))))</x:f>
        <x:v>d</x:v>
      </x:c>
      <x:c r="AB1936" s="12" t="str">
        <x:f>IF(OR(M1936="unavailable",O1936="unavailable"),"不可评价",IF(AND(M1936="positive",O1936="positive"),"a",IF(O1936="positive","b",IF(M1936="positive","c","d"))))</x:f>
        <x:v>d</x:v>
      </x:c>
      <x:c r="AC1936" s="12" t="str">
        <x:f>IF(OR(R1936="unavailable",T1936="unavailable"),"不可评价",IF(AND(OR(R1936="positive",R1936="equivocal"),OR(T1936="positive",T1936="equivocal")),"a",IF(OR(T1936="positive",T1936="equivocal"),"b",IF(OR(R1936="positive",R1936="equivocal"),"c","d"))))</x:f>
        <x:v>d</x:v>
      </x:c>
      <x:c r="AD1936" s="12" t="str">
        <x:f>IF(OR(R1936="unavailable",T1936="unavailable"),"不可评价",IF(AND(R1936="positive",T1936="positive"),"a",IF(T1936="positive","b",IF(R1936="positive","c","d"))))</x:f>
        <x:v>d</x:v>
      </x:c>
      <x:c r="AE1936" s="12" t="str">
        <x:f>IF(OR(W1936="unavailable",Y1936="unavailable"),"不可评价",IF(AND(OR(W1936="positive",W1936="equivocal"),OR(Y1936="positive",Y1936="equivocal")),"a",IF(OR(Y1936="positive",Y1936="equivocal"),"b",IF(OR(W1936="positive",W1936="equivocal"),"c","d"))))</x:f>
        <x:v>d</x:v>
      </x:c>
      <x:c r="AF1936" s="12" t="str">
        <x:f>IF(OR(W1936="unavailable",Y1936="unavailable"),"不可评价",IF(AND(W1936="positive",Y1936="positive"),"a",IF(Y1936="positive","b",IF(W1936="positive","c","d"))))</x:f>
        <x:v>d</x:v>
      </x:c>
    </x:row>
    <x:row r="1937" ht="24" customHeight="1">
      <x:c r="A1937" s="12" t="str">
        <x:v>18473</x:v>
      </x:c>
      <x:c r="B1937" s="12" t="str">
        <x:v>11894</x:v>
      </x:c>
      <x:c r="C1937" s="21" t="n">
        <x:v>35671.68357638889</x:v>
      </x:c>
      <x:c r="D1937" s="12" t="n">
        <x:v>56</x:v>
      </x:c>
      <x:c r="E1937" s="12" t="n">
        <x:v>1</x:v>
      </x:c>
      <x:c r="F1937" s="12" t="str">
        <x:v>未记录</x:v>
      </x:c>
      <x:c r="G1937" s="12" t="n">
        <x:v>1</x:v>
      </x:c>
      <x:c r="H1937" s="12" t="str">
        <x:v>{'NORM': 100.0, 'LVOLT': 0.0, 'SR': 0.0}</x:v>
      </x:c>
      <x:c r="I1937" s="12" t="str">
        <x:v>[('SBRAD', 100.0), ('ABR', 100.0)]</x:v>
      </x:c>
      <x:c r="J1937" s="12" t="str">
        <x:v>ptbxl_database.csv；ecg_id=18473；scp_codes</x:v>
      </x:c>
      <x:c r="K1937" s="12" t="str">
        <x:v>12sl_statements.csv；ecg_id=18473；statements_ext_snomed</x:v>
      </x:c>
      <x:c r="L1937" s="12"/>
      <x:c r="M1937" s="12" t="str">
        <x:v>negative</x:v>
      </x:c>
      <x:c r="N1937" s="12"/>
      <x:c r="O1937" s="12" t="str">
        <x:v>negative</x:v>
      </x:c>
      <x:c r="P1937" s="12" t="str">
        <x:f>IF(OR(M1937="unavailable",O1937="unavailable"),"不可评价",IF(OR(M1937="equivocal",O1937="equivocal"),"疑似",IF(AND(M1937="positive",O1937="positive"),"a",IF(O1937="positive","b",IF(M1937="positive","c","d")))))</x:f>
        <x:v>d</x:v>
      </x:c>
      <x:c r="Q1937" s="12"/>
      <x:c r="R1937" s="12" t="str">
        <x:v>negative</x:v>
      </x:c>
      <x:c r="S1937" s="12"/>
      <x:c r="T1937" s="12" t="str">
        <x:v>negative</x:v>
      </x:c>
      <x:c r="U1937" s="12" t="str">
        <x:f>IF(OR(R1937="unavailable",T1937="unavailable"),"不可评价",IF(OR(R1937="equivocal",T1937="equivocal"),"疑似",IF(AND(R1937="positive",T1937="positive"),"a",IF(T1937="positive","b",IF(R1937="positive","c","d")))))</x:f>
        <x:v>d</x:v>
      </x:c>
      <x:c r="V1937" s="12"/>
      <x:c r="W1937" s="12" t="str">
        <x:v>negative</x:v>
      </x:c>
      <x:c r="X1937" s="12"/>
      <x:c r="Y1937" s="12" t="str">
        <x:v>negative</x:v>
      </x:c>
      <x:c r="Z1937" s="12" t="str">
        <x:f>IF(OR(W1937="unavailable",Y1937="unavailable"),"不可评价",IF(OR(W1937="equivocal",Y1937="equivocal"),"疑似",IF(AND(W1937="positive",Y1937="positive"),"a",IF(Y1937="positive","b",IF(W1937="positive","c","d")))))</x:f>
        <x:v>d</x:v>
      </x:c>
      <x:c r="AA1937" s="12" t="str">
        <x:f>IF(OR(M1937="unavailable",O1937="unavailable"),"不可评价",IF(AND(OR(M1937="positive",M1937="equivocal"),OR(O1937="positive",O1937="equivocal")),"a",IF(OR(O1937="positive",O1937="equivocal"),"b",IF(OR(M1937="positive",M1937="equivocal"),"c","d"))))</x:f>
        <x:v>d</x:v>
      </x:c>
      <x:c r="AB1937" s="12" t="str">
        <x:f>IF(OR(M1937="unavailable",O1937="unavailable"),"不可评价",IF(AND(M1937="positive",O1937="positive"),"a",IF(O1937="positive","b",IF(M1937="positive","c","d"))))</x:f>
        <x:v>d</x:v>
      </x:c>
      <x:c r="AC1937" s="12" t="str">
        <x:f>IF(OR(R1937="unavailable",T1937="unavailable"),"不可评价",IF(AND(OR(R1937="positive",R1937="equivocal"),OR(T1937="positive",T1937="equivocal")),"a",IF(OR(T1937="positive",T1937="equivocal"),"b",IF(OR(R1937="positive",R1937="equivocal"),"c","d"))))</x:f>
        <x:v>d</x:v>
      </x:c>
      <x:c r="AD1937" s="12" t="str">
        <x:f>IF(OR(R1937="unavailable",T1937="unavailable"),"不可评价",IF(AND(R1937="positive",T1937="positive"),"a",IF(T1937="positive","b",IF(R1937="positive","c","d"))))</x:f>
        <x:v>d</x:v>
      </x:c>
      <x:c r="AE1937" s="12" t="str">
        <x:f>IF(OR(W1937="unavailable",Y1937="unavailable"),"不可评价",IF(AND(OR(W1937="positive",W1937="equivocal"),OR(Y1937="positive",Y1937="equivocal")),"a",IF(OR(Y1937="positive",Y1937="equivocal"),"b",IF(OR(W1937="positive",W1937="equivocal"),"c","d"))))</x:f>
        <x:v>d</x:v>
      </x:c>
      <x:c r="AF1937" s="12" t="str">
        <x:f>IF(OR(W1937="unavailable",Y1937="unavailable"),"不可评价",IF(AND(W1937="positive",Y1937="positive"),"a",IF(Y1937="positive","b",IF(W1937="positive","c","d"))))</x:f>
        <x:v>d</x:v>
      </x:c>
    </x:row>
    <x:row r="1938" ht="24" customHeight="1">
      <x:c r="A1938" s="12" t="str">
        <x:v>18490</x:v>
      </x:c>
      <x:c r="B1938" s="12" t="str">
        <x:v>12580</x:v>
      </x:c>
      <x:c r="C1938" s="21" t="n">
        <x:v>35678.55939814815</x:v>
      </x:c>
      <x:c r="D1938" s="12" t="n">
        <x:v>55</x:v>
      </x:c>
      <x:c r="E1938" s="12" t="n">
        <x:v>1</x:v>
      </x:c>
      <x:c r="F1938" s="12" t="str">
        <x:v>未记录</x:v>
      </x:c>
      <x:c r="G1938" s="12" t="n">
        <x:v>1</x:v>
      </x:c>
      <x:c r="H1938" s="12" t="str">
        <x:v>{'IMI': 15.0, 'ABQRS': 0.0, 'SR': 0.0}</x:v>
      </x:c>
      <x:c r="I1938" s="12" t="str">
        <x:v>[('NSR', 100.0), ('IMI;AU', 50.0), ('AB', 100.0)]</x:v>
      </x:c>
      <x:c r="J1938" s="12" t="str">
        <x:v>ptbxl_database.csv；ecg_id=18490；scp_codes</x:v>
      </x:c>
      <x:c r="K1938" s="12" t="str">
        <x:v>12sl_statements.csv；ecg_id=18490；statements_ext_snomed</x:v>
      </x:c>
      <x:c r="L1938" s="12"/>
      <x:c r="M1938" s="12" t="str">
        <x:v>negative</x:v>
      </x:c>
      <x:c r="N1938" s="12"/>
      <x:c r="O1938" s="12" t="str">
        <x:v>negative</x:v>
      </x:c>
      <x:c r="P1938" s="12" t="str">
        <x:f>IF(OR(M1938="unavailable",O1938="unavailable"),"不可评价",IF(OR(M1938="equivocal",O1938="equivocal"),"疑似",IF(AND(M1938="positive",O1938="positive"),"a",IF(O1938="positive","b",IF(M1938="positive","c","d")))))</x:f>
        <x:v>d</x:v>
      </x:c>
      <x:c r="Q1938" s="12"/>
      <x:c r="R1938" s="12" t="str">
        <x:v>negative</x:v>
      </x:c>
      <x:c r="S1938" s="12"/>
      <x:c r="T1938" s="12" t="str">
        <x:v>negative</x:v>
      </x:c>
      <x:c r="U1938" s="12" t="str">
        <x:f>IF(OR(R1938="unavailable",T1938="unavailable"),"不可评价",IF(OR(R1938="equivocal",T1938="equivocal"),"疑似",IF(AND(R1938="positive",T1938="positive"),"a",IF(T1938="positive","b",IF(R1938="positive","c","d")))))</x:f>
        <x:v>d</x:v>
      </x:c>
      <x:c r="V1938" s="12"/>
      <x:c r="W1938" s="12" t="str">
        <x:v>negative</x:v>
      </x:c>
      <x:c r="X1938" s="12"/>
      <x:c r="Y1938" s="12" t="str">
        <x:v>negative</x:v>
      </x:c>
      <x:c r="Z1938" s="12" t="str">
        <x:f>IF(OR(W1938="unavailable",Y1938="unavailable"),"不可评价",IF(OR(W1938="equivocal",Y1938="equivocal"),"疑似",IF(AND(W1938="positive",Y1938="positive"),"a",IF(Y1938="positive","b",IF(W1938="positive","c","d")))))</x:f>
        <x:v>d</x:v>
      </x:c>
      <x:c r="AA1938" s="12" t="str">
        <x:f>IF(OR(M1938="unavailable",O1938="unavailable"),"不可评价",IF(AND(OR(M1938="positive",M1938="equivocal"),OR(O1938="positive",O1938="equivocal")),"a",IF(OR(O1938="positive",O1938="equivocal"),"b",IF(OR(M1938="positive",M1938="equivocal"),"c","d"))))</x:f>
        <x:v>d</x:v>
      </x:c>
      <x:c r="AB1938" s="12" t="str">
        <x:f>IF(OR(M1938="unavailable",O1938="unavailable"),"不可评价",IF(AND(M1938="positive",O1938="positive"),"a",IF(O1938="positive","b",IF(M1938="positive","c","d"))))</x:f>
        <x:v>d</x:v>
      </x:c>
      <x:c r="AC1938" s="12" t="str">
        <x:f>IF(OR(R1938="unavailable",T1938="unavailable"),"不可评价",IF(AND(OR(R1938="positive",R1938="equivocal"),OR(T1938="positive",T1938="equivocal")),"a",IF(OR(T1938="positive",T1938="equivocal"),"b",IF(OR(R1938="positive",R1938="equivocal"),"c","d"))))</x:f>
        <x:v>d</x:v>
      </x:c>
      <x:c r="AD1938" s="12" t="str">
        <x:f>IF(OR(R1938="unavailable",T1938="unavailable"),"不可评价",IF(AND(R1938="positive",T1938="positive"),"a",IF(T1938="positive","b",IF(R1938="positive","c","d"))))</x:f>
        <x:v>d</x:v>
      </x:c>
      <x:c r="AE1938" s="12" t="str">
        <x:f>IF(OR(W1938="unavailable",Y1938="unavailable"),"不可评价",IF(AND(OR(W1938="positive",W1938="equivocal"),OR(Y1938="positive",Y1938="equivocal")),"a",IF(OR(Y1938="positive",Y1938="equivocal"),"b",IF(OR(W1938="positive",W1938="equivocal"),"c","d"))))</x:f>
        <x:v>d</x:v>
      </x:c>
      <x:c r="AF1938" s="12" t="str">
        <x:f>IF(OR(W1938="unavailable",Y1938="unavailable"),"不可评价",IF(AND(W1938="positive",Y1938="positive"),"a",IF(Y1938="positive","b",IF(W1938="positive","c","d"))))</x:f>
        <x:v>d</x:v>
      </x:c>
    </x:row>
    <x:row r="1939" ht="24" customHeight="1">
      <x:c r="A1939" s="12" t="str">
        <x:v>18499</x:v>
      </x:c>
      <x:c r="B1939" s="12" t="str">
        <x:v>9407</x:v>
      </x:c>
      <x:c r="C1939" s="21" t="n">
        <x:v>35679.50240740741</x:v>
      </x:c>
      <x:c r="D1939" s="12" t="n">
        <x:v>81</x:v>
      </x:c>
      <x:c r="E1939" s="12" t="n">
        <x:v>0</x:v>
      </x:c>
      <x:c r="F1939" s="12" t="str">
        <x:v>未记录</x:v>
      </x:c>
      <x:c r="G1939" s="12" t="n">
        <x:v>1</x:v>
      </x:c>
      <x:c r="H1939" s="12" t="str">
        <x:v>{'CLBBB': 100.0, 'SR': 0.0}</x:v>
      </x:c>
      <x:c r="I1939" s="12" t="str">
        <x:v>[('NSR', 100.0), ('LBBB', 100.0), ('AB', 100.0)]</x:v>
      </x:c>
      <x:c r="J1939" s="12" t="str">
        <x:v>ptbxl_database.csv；ecg_id=18499；scp_codes</x:v>
      </x:c>
      <x:c r="K1939" s="12" t="str">
        <x:v>12sl_statements.csv；ecg_id=18499；statements_ext_snomed</x:v>
      </x:c>
      <x:c r="L1939" s="12"/>
      <x:c r="M1939" s="12" t="str">
        <x:v>negative</x:v>
      </x:c>
      <x:c r="N1939" s="12"/>
      <x:c r="O1939" s="12" t="str">
        <x:v>negative</x:v>
      </x:c>
      <x:c r="P1939" s="12" t="str">
        <x:f>IF(OR(M1939="unavailable",O1939="unavailable"),"不可评价",IF(OR(M1939="equivocal",O1939="equivocal"),"疑似",IF(AND(M1939="positive",O1939="positive"),"a",IF(O1939="positive","b",IF(M1939="positive","c","d")))))</x:f>
        <x:v>d</x:v>
      </x:c>
      <x:c r="Q1939" s="12" t="n">
        <x:v>100</x:v>
      </x:c>
      <x:c r="R1939" s="12" t="str">
        <x:v>positive</x:v>
      </x:c>
      <x:c r="S1939" s="12" t="n">
        <x:v>100</x:v>
      </x:c>
      <x:c r="T1939" s="12" t="str">
        <x:v>positive</x:v>
      </x:c>
      <x:c r="U1939" s="12" t="str">
        <x:f>IF(OR(R1939="unavailable",T1939="unavailable"),"不可评价",IF(OR(R1939="equivocal",T1939="equivocal"),"疑似",IF(AND(R1939="positive",T1939="positive"),"a",IF(T1939="positive","b",IF(R1939="positive","c","d")))))</x:f>
        <x:v>a</x:v>
      </x:c>
      <x:c r="V1939" s="12"/>
      <x:c r="W1939" s="12" t="str">
        <x:v>negative</x:v>
      </x:c>
      <x:c r="X1939" s="12"/>
      <x:c r="Y1939" s="12" t="str">
        <x:v>negative</x:v>
      </x:c>
      <x:c r="Z1939" s="12" t="str">
        <x:f>IF(OR(W1939="unavailable",Y1939="unavailable"),"不可评价",IF(OR(W1939="equivocal",Y1939="equivocal"),"疑似",IF(AND(W1939="positive",Y1939="positive"),"a",IF(Y1939="positive","b",IF(W1939="positive","c","d")))))</x:f>
        <x:v>d</x:v>
      </x:c>
      <x:c r="AA1939" s="12" t="str">
        <x:f>IF(OR(M1939="unavailable",O1939="unavailable"),"不可评价",IF(AND(OR(M1939="positive",M1939="equivocal"),OR(O1939="positive",O1939="equivocal")),"a",IF(OR(O1939="positive",O1939="equivocal"),"b",IF(OR(M1939="positive",M1939="equivocal"),"c","d"))))</x:f>
        <x:v>d</x:v>
      </x:c>
      <x:c r="AB1939" s="12" t="str">
        <x:f>IF(OR(M1939="unavailable",O1939="unavailable"),"不可评价",IF(AND(M1939="positive",O1939="positive"),"a",IF(O1939="positive","b",IF(M1939="positive","c","d"))))</x:f>
        <x:v>d</x:v>
      </x:c>
      <x:c r="AC1939" s="12" t="str">
        <x:f>IF(OR(R1939="unavailable",T1939="unavailable"),"不可评价",IF(AND(OR(R1939="positive",R1939="equivocal"),OR(T1939="positive",T1939="equivocal")),"a",IF(OR(T1939="positive",T1939="equivocal"),"b",IF(OR(R1939="positive",R1939="equivocal"),"c","d"))))</x:f>
        <x:v>a</x:v>
      </x:c>
      <x:c r="AD1939" s="12" t="str">
        <x:f>IF(OR(R1939="unavailable",T1939="unavailable"),"不可评价",IF(AND(R1939="positive",T1939="positive"),"a",IF(T1939="positive","b",IF(R1939="positive","c","d"))))</x:f>
        <x:v>a</x:v>
      </x:c>
      <x:c r="AE1939" s="12" t="str">
        <x:f>IF(OR(W1939="unavailable",Y1939="unavailable"),"不可评价",IF(AND(OR(W1939="positive",W1939="equivocal"),OR(Y1939="positive",Y1939="equivocal")),"a",IF(OR(Y1939="positive",Y1939="equivocal"),"b",IF(OR(W1939="positive",W1939="equivocal"),"c","d"))))</x:f>
        <x:v>d</x:v>
      </x:c>
      <x:c r="AF1939" s="12" t="str">
        <x:f>IF(OR(W1939="unavailable",Y1939="unavailable"),"不可评价",IF(AND(W1939="positive",Y1939="positive"),"a",IF(Y1939="positive","b",IF(W1939="positive","c","d"))))</x:f>
        <x:v>d</x:v>
      </x:c>
    </x:row>
    <x:row r="1940" ht="24" customHeight="1">
      <x:c r="A1940" s="12" t="str">
        <x:v>18501</x:v>
      </x:c>
      <x:c r="B1940" s="12" t="str">
        <x:v>15991</x:v>
      </x:c>
      <x:c r="C1940" s="21" t="n">
        <x:v>35679.77795138889</x:v>
      </x:c>
      <x:c r="D1940" s="12" t="n">
        <x:v>52</x:v>
      </x:c>
      <x:c r="E1940" s="12" t="n">
        <x:v>0</x:v>
      </x:c>
      <x:c r="F1940" s="12" t="str">
        <x:v>存在</x:v>
      </x:c>
      <x:c r="G1940" s="12" t="n">
        <x:v>1</x:v>
      </x:c>
      <x:c r="H1940" s="12" t="str">
        <x:v>{'NORM': 100.0, 'SR': 0.0}</x:v>
      </x:c>
      <x:c r="I1940" s="12" t="str">
        <x:v>[('NSR', 100.0), ('NML', 100.0)]</x:v>
      </x:c>
      <x:c r="J1940" s="12" t="str">
        <x:v>ptbxl_database.csv；ecg_id=18501；scp_codes</x:v>
      </x:c>
      <x:c r="K1940" s="12" t="str">
        <x:v>12sl_statements.csv；ecg_id=18501；statements_ext_snomed</x:v>
      </x:c>
      <x:c r="L1940" s="12"/>
      <x:c r="M1940" s="12" t="str">
        <x:v>negative</x:v>
      </x:c>
      <x:c r="N1940" s="12"/>
      <x:c r="O1940" s="12" t="str">
        <x:v>negative</x:v>
      </x:c>
      <x:c r="P1940" s="12" t="str">
        <x:f>IF(OR(M1940="unavailable",O1940="unavailable"),"不可评价",IF(OR(M1940="equivocal",O1940="equivocal"),"疑似",IF(AND(M1940="positive",O1940="positive"),"a",IF(O1940="positive","b",IF(M1940="positive","c","d")))))</x:f>
        <x:v>d</x:v>
      </x:c>
      <x:c r="Q1940" s="12"/>
      <x:c r="R1940" s="12" t="str">
        <x:v>negative</x:v>
      </x:c>
      <x:c r="S1940" s="12"/>
      <x:c r="T1940" s="12" t="str">
        <x:v>negative</x:v>
      </x:c>
      <x:c r="U1940" s="12" t="str">
        <x:f>IF(OR(R1940="unavailable",T1940="unavailable"),"不可评价",IF(OR(R1940="equivocal",T1940="equivocal"),"疑似",IF(AND(R1940="positive",T1940="positive"),"a",IF(T1940="positive","b",IF(R1940="positive","c","d")))))</x:f>
        <x:v>d</x:v>
      </x:c>
      <x:c r="V1940" s="12"/>
      <x:c r="W1940" s="12" t="str">
        <x:v>negative</x:v>
      </x:c>
      <x:c r="X1940" s="12"/>
      <x:c r="Y1940" s="12" t="str">
        <x:v>negative</x:v>
      </x:c>
      <x:c r="Z1940" s="12" t="str">
        <x:f>IF(OR(W1940="unavailable",Y1940="unavailable"),"不可评价",IF(OR(W1940="equivocal",Y1940="equivocal"),"疑似",IF(AND(W1940="positive",Y1940="positive"),"a",IF(Y1940="positive","b",IF(W1940="positive","c","d")))))</x:f>
        <x:v>d</x:v>
      </x:c>
      <x:c r="AA1940" s="12" t="str">
        <x:f>IF(OR(M1940="unavailable",O1940="unavailable"),"不可评价",IF(AND(OR(M1940="positive",M1940="equivocal"),OR(O1940="positive",O1940="equivocal")),"a",IF(OR(O1940="positive",O1940="equivocal"),"b",IF(OR(M1940="positive",M1940="equivocal"),"c","d"))))</x:f>
        <x:v>d</x:v>
      </x:c>
      <x:c r="AB1940" s="12" t="str">
        <x:f>IF(OR(M1940="unavailable",O1940="unavailable"),"不可评价",IF(AND(M1940="positive",O1940="positive"),"a",IF(O1940="positive","b",IF(M1940="positive","c","d"))))</x:f>
        <x:v>d</x:v>
      </x:c>
      <x:c r="AC1940" s="12" t="str">
        <x:f>IF(OR(R1940="unavailable",T1940="unavailable"),"不可评价",IF(AND(OR(R1940="positive",R1940="equivocal"),OR(T1940="positive",T1940="equivocal")),"a",IF(OR(T1940="positive",T1940="equivocal"),"b",IF(OR(R1940="positive",R1940="equivocal"),"c","d"))))</x:f>
        <x:v>d</x:v>
      </x:c>
      <x:c r="AD1940" s="12" t="str">
        <x:f>IF(OR(R1940="unavailable",T1940="unavailable"),"不可评价",IF(AND(R1940="positive",T1940="positive"),"a",IF(T1940="positive","b",IF(R1940="positive","c","d"))))</x:f>
        <x:v>d</x:v>
      </x:c>
      <x:c r="AE1940" s="12" t="str">
        <x:f>IF(OR(W1940="unavailable",Y1940="unavailable"),"不可评价",IF(AND(OR(W1940="positive",W1940="equivocal"),OR(Y1940="positive",Y1940="equivocal")),"a",IF(OR(Y1940="positive",Y1940="equivocal"),"b",IF(OR(W1940="positive",W1940="equivocal"),"c","d"))))</x:f>
        <x:v>d</x:v>
      </x:c>
      <x:c r="AF1940" s="12" t="str">
        <x:f>IF(OR(W1940="unavailable",Y1940="unavailable"),"不可评价",IF(AND(W1940="positive",Y1940="positive"),"a",IF(Y1940="positive","b",IF(W1940="positive","c","d"))))</x:f>
        <x:v>d</x:v>
      </x:c>
    </x:row>
    <x:row r="1941" ht="39" customHeight="1">
      <x:c r="A1941" s="12" t="str">
        <x:v>18506</x:v>
      </x:c>
      <x:c r="B1941" s="12" t="str">
        <x:v>20964</x:v>
      </x:c>
      <x:c r="C1941" s="21" t="n">
        <x:v>35682.70333333333</x:v>
      </x:c>
      <x:c r="D1941" s="12" t="n">
        <x:v>70</x:v>
      </x:c>
      <x:c r="E1941" s="12" t="n">
        <x:v>0</x:v>
      </x:c>
      <x:c r="F1941" s="12" t="str">
        <x:v>未记录</x:v>
      </x:c>
      <x:c r="G1941" s="12" t="n">
        <x:v>1</x:v>
      </x:c>
      <x:c r="H1941" s="12" t="str">
        <x:v>{'IMI': 100.0, 'INJAS': 100.0, 'SR': 0.0}</x:v>
      </x:c>
      <x:c r="I1941" s="12" t="str">
        <x:v>[('NSR', 100.0), ('LAD3', 100.0), ('IMI;AU', 100.0), ('ASMI;AU', 100.0), ('ST&amp;', 100.0), ('LT', 100.0), ('AB', 100.0)]</x:v>
      </x:c>
      <x:c r="J1941" s="12" t="str">
        <x:v>ptbxl_database.csv；ecg_id=18506；scp_codes</x:v>
      </x:c>
      <x:c r="K1941" s="12" t="str">
        <x:v>12sl_statements.csv；ecg_id=18506；statements_ext_snomed</x:v>
      </x:c>
      <x:c r="L1941" s="12"/>
      <x:c r="M1941" s="12" t="str">
        <x:v>negative</x:v>
      </x:c>
      <x:c r="N1941" s="12"/>
      <x:c r="O1941" s="12" t="str">
        <x:v>negative</x:v>
      </x:c>
      <x:c r="P1941" s="12" t="str">
        <x:f>IF(OR(M1941="unavailable",O1941="unavailable"),"不可评价",IF(OR(M1941="equivocal",O1941="equivocal"),"疑似",IF(AND(M1941="positive",O1941="positive"),"a",IF(O1941="positive","b",IF(M1941="positive","c","d")))))</x:f>
        <x:v>d</x:v>
      </x:c>
      <x:c r="Q1941" s="12"/>
      <x:c r="R1941" s="12" t="str">
        <x:v>negative</x:v>
      </x:c>
      <x:c r="S1941" s="12"/>
      <x:c r="T1941" s="12" t="str">
        <x:v>negative</x:v>
      </x:c>
      <x:c r="U1941" s="12" t="str">
        <x:f>IF(OR(R1941="unavailable",T1941="unavailable"),"不可评价",IF(OR(R1941="equivocal",T1941="equivocal"),"疑似",IF(AND(R1941="positive",T1941="positive"),"a",IF(T1941="positive","b",IF(R1941="positive","c","d")))))</x:f>
        <x:v>d</x:v>
      </x:c>
      <x:c r="V1941" s="12"/>
      <x:c r="W1941" s="12" t="str">
        <x:v>negative</x:v>
      </x:c>
      <x:c r="X1941" s="12"/>
      <x:c r="Y1941" s="12" t="str">
        <x:v>negative</x:v>
      </x:c>
      <x:c r="Z1941" s="12" t="str">
        <x:f>IF(OR(W1941="unavailable",Y1941="unavailable"),"不可评价",IF(OR(W1941="equivocal",Y1941="equivocal"),"疑似",IF(AND(W1941="positive",Y1941="positive"),"a",IF(Y1941="positive","b",IF(W1941="positive","c","d")))))</x:f>
        <x:v>d</x:v>
      </x:c>
      <x:c r="AA1941" s="12" t="str">
        <x:f>IF(OR(M1941="unavailable",O1941="unavailable"),"不可评价",IF(AND(OR(M1941="positive",M1941="equivocal"),OR(O1941="positive",O1941="equivocal")),"a",IF(OR(O1941="positive",O1941="equivocal"),"b",IF(OR(M1941="positive",M1941="equivocal"),"c","d"))))</x:f>
        <x:v>d</x:v>
      </x:c>
      <x:c r="AB1941" s="12" t="str">
        <x:f>IF(OR(M1941="unavailable",O1941="unavailable"),"不可评价",IF(AND(M1941="positive",O1941="positive"),"a",IF(O1941="positive","b",IF(M1941="positive","c","d"))))</x:f>
        <x:v>d</x:v>
      </x:c>
      <x:c r="AC1941" s="12" t="str">
        <x:f>IF(OR(R1941="unavailable",T1941="unavailable"),"不可评价",IF(AND(OR(R1941="positive",R1941="equivocal"),OR(T1941="positive",T1941="equivocal")),"a",IF(OR(T1941="positive",T1941="equivocal"),"b",IF(OR(R1941="positive",R1941="equivocal"),"c","d"))))</x:f>
        <x:v>d</x:v>
      </x:c>
      <x:c r="AD1941" s="12" t="str">
        <x:f>IF(OR(R1941="unavailable",T1941="unavailable"),"不可评价",IF(AND(R1941="positive",T1941="positive"),"a",IF(T1941="positive","b",IF(R1941="positive","c","d"))))</x:f>
        <x:v>d</x:v>
      </x:c>
      <x:c r="AE1941" s="12" t="str">
        <x:f>IF(OR(W1941="unavailable",Y1941="unavailable"),"不可评价",IF(AND(OR(W1941="positive",W1941="equivocal"),OR(Y1941="positive",Y1941="equivocal")),"a",IF(OR(Y1941="positive",Y1941="equivocal"),"b",IF(OR(W1941="positive",W1941="equivocal"),"c","d"))))</x:f>
        <x:v>d</x:v>
      </x:c>
      <x:c r="AF1941" s="12" t="str">
        <x:f>IF(OR(W1941="unavailable",Y1941="unavailable"),"不可评价",IF(AND(W1941="positive",Y1941="positive"),"a",IF(Y1941="positive","b",IF(W1941="positive","c","d"))))</x:f>
        <x:v>d</x:v>
      </x:c>
    </x:row>
    <x:row r="1942" ht="24" customHeight="1">
      <x:c r="A1942" s="12" t="str">
        <x:v>18519</x:v>
      </x:c>
      <x:c r="B1942" s="12" t="str">
        <x:v>18505</x:v>
      </x:c>
      <x:c r="C1942" s="21" t="n">
        <x:v>35684.597349537034</x:v>
      </x:c>
      <x:c r="D1942" s="12" t="n">
        <x:v>75</x:v>
      </x:c>
      <x:c r="E1942" s="12" t="n">
        <x:v>1</x:v>
      </x:c>
      <x:c r="F1942" s="12" t="str">
        <x:v>未记录</x:v>
      </x:c>
      <x:c r="G1942" s="12" t="n">
        <x:v>1</x:v>
      </x:c>
      <x:c r="H1942" s="12" t="str">
        <x:v>{'NORM': 80.0, 'SR': 0.0}</x:v>
      </x:c>
      <x:c r="I1942" s="12" t="str">
        <x:v>[('NSR', 100.0), ('BORDE', 100.0)]</x:v>
      </x:c>
      <x:c r="J1942" s="12" t="str">
        <x:v>ptbxl_database.csv；ecg_id=18519；scp_codes</x:v>
      </x:c>
      <x:c r="K1942" s="12" t="str">
        <x:v>12sl_statements.csv；ecg_id=18519；statements_ext_snomed</x:v>
      </x:c>
      <x:c r="L1942" s="12"/>
      <x:c r="M1942" s="12" t="str">
        <x:v>negative</x:v>
      </x:c>
      <x:c r="N1942" s="12"/>
      <x:c r="O1942" s="12" t="str">
        <x:v>negative</x:v>
      </x:c>
      <x:c r="P1942" s="12" t="str">
        <x:f>IF(OR(M1942="unavailable",O1942="unavailable"),"不可评价",IF(OR(M1942="equivocal",O1942="equivocal"),"疑似",IF(AND(M1942="positive",O1942="positive"),"a",IF(O1942="positive","b",IF(M1942="positive","c","d")))))</x:f>
        <x:v>d</x:v>
      </x:c>
      <x:c r="Q1942" s="12"/>
      <x:c r="R1942" s="12" t="str">
        <x:v>negative</x:v>
      </x:c>
      <x:c r="S1942" s="12"/>
      <x:c r="T1942" s="12" t="str">
        <x:v>negative</x:v>
      </x:c>
      <x:c r="U1942" s="12" t="str">
        <x:f>IF(OR(R1942="unavailable",T1942="unavailable"),"不可评价",IF(OR(R1942="equivocal",T1942="equivocal"),"疑似",IF(AND(R1942="positive",T1942="positive"),"a",IF(T1942="positive","b",IF(R1942="positive","c","d")))))</x:f>
        <x:v>d</x:v>
      </x:c>
      <x:c r="V1942" s="12"/>
      <x:c r="W1942" s="12" t="str">
        <x:v>negative</x:v>
      </x:c>
      <x:c r="X1942" s="12"/>
      <x:c r="Y1942" s="12" t="str">
        <x:v>negative</x:v>
      </x:c>
      <x:c r="Z1942" s="12" t="str">
        <x:f>IF(OR(W1942="unavailable",Y1942="unavailable"),"不可评价",IF(OR(W1942="equivocal",Y1942="equivocal"),"疑似",IF(AND(W1942="positive",Y1942="positive"),"a",IF(Y1942="positive","b",IF(W1942="positive","c","d")))))</x:f>
        <x:v>d</x:v>
      </x:c>
      <x:c r="AA1942" s="12" t="str">
        <x:f>IF(OR(M1942="unavailable",O1942="unavailable"),"不可评价",IF(AND(OR(M1942="positive",M1942="equivocal"),OR(O1942="positive",O1942="equivocal")),"a",IF(OR(O1942="positive",O1942="equivocal"),"b",IF(OR(M1942="positive",M1942="equivocal"),"c","d"))))</x:f>
        <x:v>d</x:v>
      </x:c>
      <x:c r="AB1942" s="12" t="str">
        <x:f>IF(OR(M1942="unavailable",O1942="unavailable"),"不可评价",IF(AND(M1942="positive",O1942="positive"),"a",IF(O1942="positive","b",IF(M1942="positive","c","d"))))</x:f>
        <x:v>d</x:v>
      </x:c>
      <x:c r="AC1942" s="12" t="str">
        <x:f>IF(OR(R1942="unavailable",T1942="unavailable"),"不可评价",IF(AND(OR(R1942="positive",R1942="equivocal"),OR(T1942="positive",T1942="equivocal")),"a",IF(OR(T1942="positive",T1942="equivocal"),"b",IF(OR(R1942="positive",R1942="equivocal"),"c","d"))))</x:f>
        <x:v>d</x:v>
      </x:c>
      <x:c r="AD1942" s="12" t="str">
        <x:f>IF(OR(R1942="unavailable",T1942="unavailable"),"不可评价",IF(AND(R1942="positive",T1942="positive"),"a",IF(T1942="positive","b",IF(R1942="positive","c","d"))))</x:f>
        <x:v>d</x:v>
      </x:c>
      <x:c r="AE1942" s="12" t="str">
        <x:f>IF(OR(W1942="unavailable",Y1942="unavailable"),"不可评价",IF(AND(OR(W1942="positive",W1942="equivocal"),OR(Y1942="positive",Y1942="equivocal")),"a",IF(OR(Y1942="positive",Y1942="equivocal"),"b",IF(OR(W1942="positive",W1942="equivocal"),"c","d"))))</x:f>
        <x:v>d</x:v>
      </x:c>
      <x:c r="AF1942" s="12" t="str">
        <x:f>IF(OR(W1942="unavailable",Y1942="unavailable"),"不可评价",IF(AND(W1942="positive",Y1942="positive"),"a",IF(Y1942="positive","b",IF(W1942="positive","c","d"))))</x:f>
        <x:v>d</x:v>
      </x:c>
    </x:row>
    <x:row r="1943" ht="24" customHeight="1">
      <x:c r="A1943" s="12" t="str">
        <x:v>18520</x:v>
      </x:c>
      <x:c r="B1943" s="12" t="str">
        <x:v>13186</x:v>
      </x:c>
      <x:c r="C1943" s="21" t="n">
        <x:v>35684.684907407405</x:v>
      </x:c>
      <x:c r="D1943" s="12" t="n">
        <x:v>52</x:v>
      </x:c>
      <x:c r="E1943" s="12" t="n">
        <x:v>1</x:v>
      </x:c>
      <x:c r="F1943" s="12" t="str">
        <x:v>未记录</x:v>
      </x:c>
      <x:c r="G1943" s="12" t="n">
        <x:v>1</x:v>
      </x:c>
      <x:c r="H1943" s="12" t="str">
        <x:v>{'ASMI': 100.0, 'IMI': 15.0, 'IVCD': 100.0, 'LNGQT': 100.0, 'SR': 0.0}</x:v>
      </x:c>
      <x:c r="I1943" s="12" t="str">
        <x:v>[('SRTH', 100.0), ('FAV', 100.0), ('ST&amp;', 100.0), ('ILT', 100.0), ('AB', 100.0)]</x:v>
      </x:c>
      <x:c r="J1943" s="12" t="str">
        <x:v>ptbxl_database.csv；ecg_id=18520；scp_codes</x:v>
      </x:c>
      <x:c r="K1943" s="12" t="str">
        <x:v>12sl_statements.csv；ecg_id=18520；statements_ext_snomed</x:v>
      </x:c>
      <x:c r="L1943" s="12"/>
      <x:c r="M1943" s="12" t="str">
        <x:v>negative</x:v>
      </x:c>
      <x:c r="N1943" s="12"/>
      <x:c r="O1943" s="12" t="str">
        <x:v>negative</x:v>
      </x:c>
      <x:c r="P1943" s="12" t="str">
        <x:f>IF(OR(M1943="unavailable",O1943="unavailable"),"不可评价",IF(OR(M1943="equivocal",O1943="equivocal"),"疑似",IF(AND(M1943="positive",O1943="positive"),"a",IF(O1943="positive","b",IF(M1943="positive","c","d")))))</x:f>
        <x:v>d</x:v>
      </x:c>
      <x:c r="Q1943" s="12"/>
      <x:c r="R1943" s="12" t="str">
        <x:v>negative</x:v>
      </x:c>
      <x:c r="S1943" s="12"/>
      <x:c r="T1943" s="12" t="str">
        <x:v>negative</x:v>
      </x:c>
      <x:c r="U1943" s="12" t="str">
        <x:f>IF(OR(R1943="unavailable",T1943="unavailable"),"不可评价",IF(OR(R1943="equivocal",T1943="equivocal"),"疑似",IF(AND(R1943="positive",T1943="positive"),"a",IF(T1943="positive","b",IF(R1943="positive","c","d")))))</x:f>
        <x:v>d</x:v>
      </x:c>
      <x:c r="V1943" s="12"/>
      <x:c r="W1943" s="12" t="str">
        <x:v>negative</x:v>
      </x:c>
      <x:c r="X1943" s="12"/>
      <x:c r="Y1943" s="12" t="str">
        <x:v>negative</x:v>
      </x:c>
      <x:c r="Z1943" s="12" t="str">
        <x:f>IF(OR(W1943="unavailable",Y1943="unavailable"),"不可评价",IF(OR(W1943="equivocal",Y1943="equivocal"),"疑似",IF(AND(W1943="positive",Y1943="positive"),"a",IF(Y1943="positive","b",IF(W1943="positive","c","d")))))</x:f>
        <x:v>d</x:v>
      </x:c>
      <x:c r="AA1943" s="12" t="str">
        <x:f>IF(OR(M1943="unavailable",O1943="unavailable"),"不可评价",IF(AND(OR(M1943="positive",M1943="equivocal"),OR(O1943="positive",O1943="equivocal")),"a",IF(OR(O1943="positive",O1943="equivocal"),"b",IF(OR(M1943="positive",M1943="equivocal"),"c","d"))))</x:f>
        <x:v>d</x:v>
      </x:c>
      <x:c r="AB1943" s="12" t="str">
        <x:f>IF(OR(M1943="unavailable",O1943="unavailable"),"不可评价",IF(AND(M1943="positive",O1943="positive"),"a",IF(O1943="positive","b",IF(M1943="positive","c","d"))))</x:f>
        <x:v>d</x:v>
      </x:c>
      <x:c r="AC1943" s="12" t="str">
        <x:f>IF(OR(R1943="unavailable",T1943="unavailable"),"不可评价",IF(AND(OR(R1943="positive",R1943="equivocal"),OR(T1943="positive",T1943="equivocal")),"a",IF(OR(T1943="positive",T1943="equivocal"),"b",IF(OR(R1943="positive",R1943="equivocal"),"c","d"))))</x:f>
        <x:v>d</x:v>
      </x:c>
      <x:c r="AD1943" s="12" t="str">
        <x:f>IF(OR(R1943="unavailable",T1943="unavailable"),"不可评价",IF(AND(R1943="positive",T1943="positive"),"a",IF(T1943="positive","b",IF(R1943="positive","c","d"))))</x:f>
        <x:v>d</x:v>
      </x:c>
      <x:c r="AE1943" s="12" t="str">
        <x:f>IF(OR(W1943="unavailable",Y1943="unavailable"),"不可评价",IF(AND(OR(W1943="positive",W1943="equivocal"),OR(Y1943="positive",Y1943="equivocal")),"a",IF(OR(Y1943="positive",Y1943="equivocal"),"b",IF(OR(W1943="positive",W1943="equivocal"),"c","d"))))</x:f>
        <x:v>d</x:v>
      </x:c>
      <x:c r="AF1943" s="12" t="str">
        <x:f>IF(OR(W1943="unavailable",Y1943="unavailable"),"不可评价",IF(AND(W1943="positive",Y1943="positive"),"a",IF(Y1943="positive","b",IF(W1943="positive","c","d"))))</x:f>
        <x:v>d</x:v>
      </x:c>
    </x:row>
    <x:row r="1944" ht="24" customHeight="1">
      <x:c r="A1944" s="12" t="str">
        <x:v>18548</x:v>
      </x:c>
      <x:c r="B1944" s="12" t="str">
        <x:v>9407</x:v>
      </x:c>
      <x:c r="C1944" s="21" t="n">
        <x:v>35688.46942129629</x:v>
      </x:c>
      <x:c r="D1944" s="12" t="n">
        <x:v>81</x:v>
      </x:c>
      <x:c r="E1944" s="12" t="n">
        <x:v>0</x:v>
      </x:c>
      <x:c r="F1944" s="12" t="str">
        <x:v>未记录</x:v>
      </x:c>
      <x:c r="G1944" s="12" t="n">
        <x:v>0</x:v>
      </x:c>
      <x:c r="H1944" s="12" t="str">
        <x:v>{'CLBBB': 100.0, '1AVB': 100.0, 'STACH': 0.0}</x:v>
      </x:c>
      <x:c r="I1944" s="12" t="str">
        <x:v>[('STACH', 100.0), ('LBBB', 100.0), ('AB', 100.0)]</x:v>
      </x:c>
      <x:c r="J1944" s="12" t="str">
        <x:v>ptbxl_database.csv；ecg_id=18548；scp_codes</x:v>
      </x:c>
      <x:c r="K1944" s="12" t="str">
        <x:v>12sl_statements.csv；ecg_id=18548；statements_ext_snomed</x:v>
      </x:c>
      <x:c r="L1944" s="12"/>
      <x:c r="M1944" s="12" t="str">
        <x:v>negative</x:v>
      </x:c>
      <x:c r="N1944" s="12"/>
      <x:c r="O1944" s="12" t="str">
        <x:v>negative</x:v>
      </x:c>
      <x:c r="P1944" s="12" t="str">
        <x:f>IF(OR(M1944="unavailable",O1944="unavailable"),"不可评价",IF(OR(M1944="equivocal",O1944="equivocal"),"疑似",IF(AND(M1944="positive",O1944="positive"),"a",IF(O1944="positive","b",IF(M1944="positive","c","d")))))</x:f>
        <x:v>d</x:v>
      </x:c>
      <x:c r="Q1944" s="12" t="n">
        <x:v>100</x:v>
      </x:c>
      <x:c r="R1944" s="12" t="str">
        <x:v>positive</x:v>
      </x:c>
      <x:c r="S1944" s="12" t="n">
        <x:v>100</x:v>
      </x:c>
      <x:c r="T1944" s="12" t="str">
        <x:v>positive</x:v>
      </x:c>
      <x:c r="U1944" s="12" t="str">
        <x:f>IF(OR(R1944="unavailable",T1944="unavailable"),"不可评价",IF(OR(R1944="equivocal",T1944="equivocal"),"疑似",IF(AND(R1944="positive",T1944="positive"),"a",IF(T1944="positive","b",IF(R1944="positive","c","d")))))</x:f>
        <x:v>a</x:v>
      </x:c>
      <x:c r="V1944" s="12"/>
      <x:c r="W1944" s="12" t="str">
        <x:v>negative</x:v>
      </x:c>
      <x:c r="X1944" s="12"/>
      <x:c r="Y1944" s="12" t="str">
        <x:v>negative</x:v>
      </x:c>
      <x:c r="Z1944" s="12" t="str">
        <x:f>IF(OR(W1944="unavailable",Y1944="unavailable"),"不可评价",IF(OR(W1944="equivocal",Y1944="equivocal"),"疑似",IF(AND(W1944="positive",Y1944="positive"),"a",IF(Y1944="positive","b",IF(W1944="positive","c","d")))))</x:f>
        <x:v>d</x:v>
      </x:c>
      <x:c r="AA1944" s="12" t="str">
        <x:f>IF(OR(M1944="unavailable",O1944="unavailable"),"不可评价",IF(AND(OR(M1944="positive",M1944="equivocal"),OR(O1944="positive",O1944="equivocal")),"a",IF(OR(O1944="positive",O1944="equivocal"),"b",IF(OR(M1944="positive",M1944="equivocal"),"c","d"))))</x:f>
        <x:v>d</x:v>
      </x:c>
      <x:c r="AB1944" s="12" t="str">
        <x:f>IF(OR(M1944="unavailable",O1944="unavailable"),"不可评价",IF(AND(M1944="positive",O1944="positive"),"a",IF(O1944="positive","b",IF(M1944="positive","c","d"))))</x:f>
        <x:v>d</x:v>
      </x:c>
      <x:c r="AC1944" s="12" t="str">
        <x:f>IF(OR(R1944="unavailable",T1944="unavailable"),"不可评价",IF(AND(OR(R1944="positive",R1944="equivocal"),OR(T1944="positive",T1944="equivocal")),"a",IF(OR(T1944="positive",T1944="equivocal"),"b",IF(OR(R1944="positive",R1944="equivocal"),"c","d"))))</x:f>
        <x:v>a</x:v>
      </x:c>
      <x:c r="AD1944" s="12" t="str">
        <x:f>IF(OR(R1944="unavailable",T1944="unavailable"),"不可评价",IF(AND(R1944="positive",T1944="positive"),"a",IF(T1944="positive","b",IF(R1944="positive","c","d"))))</x:f>
        <x:v>a</x:v>
      </x:c>
      <x:c r="AE1944" s="12" t="str">
        <x:f>IF(OR(W1944="unavailable",Y1944="unavailable"),"不可评价",IF(AND(OR(W1944="positive",W1944="equivocal"),OR(Y1944="positive",Y1944="equivocal")),"a",IF(OR(Y1944="positive",Y1944="equivocal"),"b",IF(OR(W1944="positive",W1944="equivocal"),"c","d"))))</x:f>
        <x:v>d</x:v>
      </x:c>
      <x:c r="AF1944" s="12" t="str">
        <x:f>IF(OR(W1944="unavailable",Y1944="unavailable"),"不可评价",IF(AND(W1944="positive",Y1944="positive"),"a",IF(Y1944="positive","b",IF(W1944="positive","c","d"))))</x:f>
        <x:v>d</x:v>
      </x:c>
    </x:row>
    <x:row r="1945" ht="39" customHeight="1">
      <x:c r="A1945" s="12" t="str">
        <x:v>18592</x:v>
      </x:c>
      <x:c r="B1945" s="12" t="str">
        <x:v>16374</x:v>
      </x:c>
      <x:c r="C1945" s="21" t="n">
        <x:v>35697.62868055556</x:v>
      </x:c>
      <x:c r="D1945" s="12" t="n">
        <x:v>87</x:v>
      </x:c>
      <x:c r="E1945" s="12" t="n">
        <x:v>1</x:v>
      </x:c>
      <x:c r="F1945" s="12" t="str">
        <x:v>未记录</x:v>
      </x:c>
      <x:c r="G1945" s="12" t="n">
        <x:v>1</x:v>
      </x:c>
      <x:c r="H1945" s="12" t="str">
        <x:v>{'ASMI': 100.0, 'IMI': 100.0, 'PVC': 100.0, 'ABQRS': 0.0, 'AFIB': 0.0}</x:v>
      </x:c>
      <x:c r="I1945" s="12" t="str">
        <x:v>[('FLUT', 100.0), ('VAVB', 100.0), ('ABER', 100.0), ('IMI;AU', 100.0), ('ASMI;AU', 100.0), ('AB', 100.0)]</x:v>
      </x:c>
      <x:c r="J1945" s="12" t="str">
        <x:v>ptbxl_database.csv；ecg_id=18592；scp_codes</x:v>
      </x:c>
      <x:c r="K1945" s="12" t="str">
        <x:v>12sl_statements.csv；ecg_id=18592；statements_ext_snomed</x:v>
      </x:c>
      <x:c r="L1945" s="12" t="n">
        <x:v>0</x:v>
      </x:c>
      <x:c r="M1945" s="12" t="str">
        <x:v>positive</x:v>
      </x:c>
      <x:c r="N1945" s="12"/>
      <x:c r="O1945" s="12" t="str">
        <x:v>negative</x:v>
      </x:c>
      <x:c r="P1945" s="12" t="str">
        <x:f>IF(OR(M1945="unavailable",O1945="unavailable"),"不可评价",IF(OR(M1945="equivocal",O1945="equivocal"),"疑似",IF(AND(M1945="positive",O1945="positive"),"a",IF(O1945="positive","b",IF(M1945="positive","c","d")))))</x:f>
        <x:v>c</x:v>
      </x:c>
      <x:c r="Q1945" s="12"/>
      <x:c r="R1945" s="12" t="str">
        <x:v>negative</x:v>
      </x:c>
      <x:c r="S1945" s="12"/>
      <x:c r="T1945" s="12" t="str">
        <x:v>negative</x:v>
      </x:c>
      <x:c r="U1945" s="12" t="str">
        <x:f>IF(OR(R1945="unavailable",T1945="unavailable"),"不可评价",IF(OR(R1945="equivocal",T1945="equivocal"),"疑似",IF(AND(R1945="positive",T1945="positive"),"a",IF(T1945="positive","b",IF(R1945="positive","c","d")))))</x:f>
        <x:v>d</x:v>
      </x:c>
      <x:c r="V1945" s="12"/>
      <x:c r="W1945" s="12" t="str">
        <x:v>negative</x:v>
      </x:c>
      <x:c r="X1945" s="12"/>
      <x:c r="Y1945" s="12" t="str">
        <x:v>negative</x:v>
      </x:c>
      <x:c r="Z1945" s="12" t="str">
        <x:f>IF(OR(W1945="unavailable",Y1945="unavailable"),"不可评价",IF(OR(W1945="equivocal",Y1945="equivocal"),"疑似",IF(AND(W1945="positive",Y1945="positive"),"a",IF(Y1945="positive","b",IF(W1945="positive","c","d")))))</x:f>
        <x:v>d</x:v>
      </x:c>
      <x:c r="AA1945" s="12" t="str">
        <x:f>IF(OR(M1945="unavailable",O1945="unavailable"),"不可评价",IF(AND(OR(M1945="positive",M1945="equivocal"),OR(O1945="positive",O1945="equivocal")),"a",IF(OR(O1945="positive",O1945="equivocal"),"b",IF(OR(M1945="positive",M1945="equivocal"),"c","d"))))</x:f>
        <x:v>c</x:v>
      </x:c>
      <x:c r="AB1945" s="12" t="str">
        <x:f>IF(OR(M1945="unavailable",O1945="unavailable"),"不可评价",IF(AND(M1945="positive",O1945="positive"),"a",IF(O1945="positive","b",IF(M1945="positive","c","d"))))</x:f>
        <x:v>c</x:v>
      </x:c>
      <x:c r="AC1945" s="12" t="str">
        <x:f>IF(OR(R1945="unavailable",T1945="unavailable"),"不可评价",IF(AND(OR(R1945="positive",R1945="equivocal"),OR(T1945="positive",T1945="equivocal")),"a",IF(OR(T1945="positive",T1945="equivocal"),"b",IF(OR(R1945="positive",R1945="equivocal"),"c","d"))))</x:f>
        <x:v>d</x:v>
      </x:c>
      <x:c r="AD1945" s="12" t="str">
        <x:f>IF(OR(R1945="unavailable",T1945="unavailable"),"不可评价",IF(AND(R1945="positive",T1945="positive"),"a",IF(T1945="positive","b",IF(R1945="positive","c","d"))))</x:f>
        <x:v>d</x:v>
      </x:c>
      <x:c r="AE1945" s="12" t="str">
        <x:f>IF(OR(W1945="unavailable",Y1945="unavailable"),"不可评价",IF(AND(OR(W1945="positive",W1945="equivocal"),OR(Y1945="positive",Y1945="equivocal")),"a",IF(OR(Y1945="positive",Y1945="equivocal"),"b",IF(OR(W1945="positive",W1945="equivocal"),"c","d"))))</x:f>
        <x:v>d</x:v>
      </x:c>
      <x:c r="AF1945" s="12" t="str">
        <x:f>IF(OR(W1945="unavailable",Y1945="unavailable"),"不可评价",IF(AND(W1945="positive",Y1945="positive"),"a",IF(Y1945="positive","b",IF(W1945="positive","c","d"))))</x:f>
        <x:v>d</x:v>
      </x:c>
    </x:row>
    <x:row r="1946" ht="24" customHeight="1">
      <x:c r="A1946" s="12" t="str">
        <x:v>18612</x:v>
      </x:c>
      <x:c r="B1946" s="12" t="str">
        <x:v>20214</x:v>
      </x:c>
      <x:c r="C1946" s="21" t="n">
        <x:v>35701.48667824074</x:v>
      </x:c>
      <x:c r="D1946" s="12" t="n">
        <x:v>50</x:v>
      </x:c>
      <x:c r="E1946" s="12" t="n">
        <x:v>0</x:v>
      </x:c>
      <x:c r="F1946" s="12" t="str">
        <x:v>未记录</x:v>
      </x:c>
      <x:c r="G1946" s="12" t="n">
        <x:v>1</x:v>
      </x:c>
      <x:c r="H1946" s="12" t="str">
        <x:v>{'NORM': 100.0, 'SR': 0.0}</x:v>
      </x:c>
      <x:c r="I1946" s="12" t="str">
        <x:v>[('NSR', 100.0), ('NML', 100.0)]</x:v>
      </x:c>
      <x:c r="J1946" s="12" t="str">
        <x:v>ptbxl_database.csv；ecg_id=18612；scp_codes</x:v>
      </x:c>
      <x:c r="K1946" s="12" t="str">
        <x:v>12sl_statements.csv；ecg_id=18612；statements_ext_snomed</x:v>
      </x:c>
      <x:c r="L1946" s="12"/>
      <x:c r="M1946" s="12" t="str">
        <x:v>negative</x:v>
      </x:c>
      <x:c r="N1946" s="12"/>
      <x:c r="O1946" s="12" t="str">
        <x:v>negative</x:v>
      </x:c>
      <x:c r="P1946" s="12" t="str">
        <x:f>IF(OR(M1946="unavailable",O1946="unavailable"),"不可评价",IF(OR(M1946="equivocal",O1946="equivocal"),"疑似",IF(AND(M1946="positive",O1946="positive"),"a",IF(O1946="positive","b",IF(M1946="positive","c","d")))))</x:f>
        <x:v>d</x:v>
      </x:c>
      <x:c r="Q1946" s="12"/>
      <x:c r="R1946" s="12" t="str">
        <x:v>negative</x:v>
      </x:c>
      <x:c r="S1946" s="12"/>
      <x:c r="T1946" s="12" t="str">
        <x:v>negative</x:v>
      </x:c>
      <x:c r="U1946" s="12" t="str">
        <x:f>IF(OR(R1946="unavailable",T1946="unavailable"),"不可评价",IF(OR(R1946="equivocal",T1946="equivocal"),"疑似",IF(AND(R1946="positive",T1946="positive"),"a",IF(T1946="positive","b",IF(R1946="positive","c","d")))))</x:f>
        <x:v>d</x:v>
      </x:c>
      <x:c r="V1946" s="12"/>
      <x:c r="W1946" s="12" t="str">
        <x:v>negative</x:v>
      </x:c>
      <x:c r="X1946" s="12"/>
      <x:c r="Y1946" s="12" t="str">
        <x:v>negative</x:v>
      </x:c>
      <x:c r="Z1946" s="12" t="str">
        <x:f>IF(OR(W1946="unavailable",Y1946="unavailable"),"不可评价",IF(OR(W1946="equivocal",Y1946="equivocal"),"疑似",IF(AND(W1946="positive",Y1946="positive"),"a",IF(Y1946="positive","b",IF(W1946="positive","c","d")))))</x:f>
        <x:v>d</x:v>
      </x:c>
      <x:c r="AA1946" s="12" t="str">
        <x:f>IF(OR(M1946="unavailable",O1946="unavailable"),"不可评价",IF(AND(OR(M1946="positive",M1946="equivocal"),OR(O1946="positive",O1946="equivocal")),"a",IF(OR(O1946="positive",O1946="equivocal"),"b",IF(OR(M1946="positive",M1946="equivocal"),"c","d"))))</x:f>
        <x:v>d</x:v>
      </x:c>
      <x:c r="AB1946" s="12" t="str">
        <x:f>IF(OR(M1946="unavailable",O1946="unavailable"),"不可评价",IF(AND(M1946="positive",O1946="positive"),"a",IF(O1946="positive","b",IF(M1946="positive","c","d"))))</x:f>
        <x:v>d</x:v>
      </x:c>
      <x:c r="AC1946" s="12" t="str">
        <x:f>IF(OR(R1946="unavailable",T1946="unavailable"),"不可评价",IF(AND(OR(R1946="positive",R1946="equivocal"),OR(T1946="positive",T1946="equivocal")),"a",IF(OR(T1946="positive",T1946="equivocal"),"b",IF(OR(R1946="positive",R1946="equivocal"),"c","d"))))</x:f>
        <x:v>d</x:v>
      </x:c>
      <x:c r="AD1946" s="12" t="str">
        <x:f>IF(OR(R1946="unavailable",T1946="unavailable"),"不可评价",IF(AND(R1946="positive",T1946="positive"),"a",IF(T1946="positive","b",IF(R1946="positive","c","d"))))</x:f>
        <x:v>d</x:v>
      </x:c>
      <x:c r="AE1946" s="12" t="str">
        <x:f>IF(OR(W1946="unavailable",Y1946="unavailable"),"不可评价",IF(AND(OR(W1946="positive",W1946="equivocal"),OR(Y1946="positive",Y1946="equivocal")),"a",IF(OR(Y1946="positive",Y1946="equivocal"),"b",IF(OR(W1946="positive",W1946="equivocal"),"c","d"))))</x:f>
        <x:v>d</x:v>
      </x:c>
      <x:c r="AF1946" s="12" t="str">
        <x:f>IF(OR(W1946="unavailable",Y1946="unavailable"),"不可评价",IF(AND(W1946="positive",Y1946="positive"),"a",IF(Y1946="positive","b",IF(W1946="positive","c","d"))))</x:f>
        <x:v>d</x:v>
      </x:c>
    </x:row>
    <x:row r="1947" ht="24" customHeight="1">
      <x:c r="A1947" s="12" t="str">
        <x:v>18620</x:v>
      </x:c>
      <x:c r="B1947" s="12" t="str">
        <x:v>9353</x:v>
      </x:c>
      <x:c r="C1947" s="21" t="n">
        <x:v>35701.67019675926</x:v>
      </x:c>
      <x:c r="D1947" s="12" t="n">
        <x:v>55</x:v>
      </x:c>
      <x:c r="E1947" s="12" t="n">
        <x:v>0</x:v>
      </x:c>
      <x:c r="F1947" s="12" t="str">
        <x:v>未记录</x:v>
      </x:c>
      <x:c r="G1947" s="12" t="n">
        <x:v>1</x:v>
      </x:c>
      <x:c r="H1947" s="12" t="str">
        <x:v>{'NORM': 80.0, 'SR': 0.0}</x:v>
      </x:c>
      <x:c r="I1947" s="12" t="str">
        <x:v>[('NSR', 100.0), ('NML', 100.0)]</x:v>
      </x:c>
      <x:c r="J1947" s="12" t="str">
        <x:v>ptbxl_database.csv；ecg_id=18620；scp_codes</x:v>
      </x:c>
      <x:c r="K1947" s="12" t="str">
        <x:v>12sl_statements.csv；ecg_id=18620；statements_ext_snomed</x:v>
      </x:c>
      <x:c r="L1947" s="12"/>
      <x:c r="M1947" s="12" t="str">
        <x:v>negative</x:v>
      </x:c>
      <x:c r="N1947" s="12"/>
      <x:c r="O1947" s="12" t="str">
        <x:v>negative</x:v>
      </x:c>
      <x:c r="P1947" s="12" t="str">
        <x:f>IF(OR(M1947="unavailable",O1947="unavailable"),"不可评价",IF(OR(M1947="equivocal",O1947="equivocal"),"疑似",IF(AND(M1947="positive",O1947="positive"),"a",IF(O1947="positive","b",IF(M1947="positive","c","d")))))</x:f>
        <x:v>d</x:v>
      </x:c>
      <x:c r="Q1947" s="12"/>
      <x:c r="R1947" s="12" t="str">
        <x:v>negative</x:v>
      </x:c>
      <x:c r="S1947" s="12"/>
      <x:c r="T1947" s="12" t="str">
        <x:v>negative</x:v>
      </x:c>
      <x:c r="U1947" s="12" t="str">
        <x:f>IF(OR(R1947="unavailable",T1947="unavailable"),"不可评价",IF(OR(R1947="equivocal",T1947="equivocal"),"疑似",IF(AND(R1947="positive",T1947="positive"),"a",IF(T1947="positive","b",IF(R1947="positive","c","d")))))</x:f>
        <x:v>d</x:v>
      </x:c>
      <x:c r="V1947" s="12"/>
      <x:c r="W1947" s="12" t="str">
        <x:v>negative</x:v>
      </x:c>
      <x:c r="X1947" s="12"/>
      <x:c r="Y1947" s="12" t="str">
        <x:v>negative</x:v>
      </x:c>
      <x:c r="Z1947" s="12" t="str">
        <x:f>IF(OR(W1947="unavailable",Y1947="unavailable"),"不可评价",IF(OR(W1947="equivocal",Y1947="equivocal"),"疑似",IF(AND(W1947="positive",Y1947="positive"),"a",IF(Y1947="positive","b",IF(W1947="positive","c","d")))))</x:f>
        <x:v>d</x:v>
      </x:c>
      <x:c r="AA1947" s="12" t="str">
        <x:f>IF(OR(M1947="unavailable",O1947="unavailable"),"不可评价",IF(AND(OR(M1947="positive",M1947="equivocal"),OR(O1947="positive",O1947="equivocal")),"a",IF(OR(O1947="positive",O1947="equivocal"),"b",IF(OR(M1947="positive",M1947="equivocal"),"c","d"))))</x:f>
        <x:v>d</x:v>
      </x:c>
      <x:c r="AB1947" s="12" t="str">
        <x:f>IF(OR(M1947="unavailable",O1947="unavailable"),"不可评价",IF(AND(M1947="positive",O1947="positive"),"a",IF(O1947="positive","b",IF(M1947="positive","c","d"))))</x:f>
        <x:v>d</x:v>
      </x:c>
      <x:c r="AC1947" s="12" t="str">
        <x:f>IF(OR(R1947="unavailable",T1947="unavailable"),"不可评价",IF(AND(OR(R1947="positive",R1947="equivocal"),OR(T1947="positive",T1947="equivocal")),"a",IF(OR(T1947="positive",T1947="equivocal"),"b",IF(OR(R1947="positive",R1947="equivocal"),"c","d"))))</x:f>
        <x:v>d</x:v>
      </x:c>
      <x:c r="AD1947" s="12" t="str">
        <x:f>IF(OR(R1947="unavailable",T1947="unavailable"),"不可评价",IF(AND(R1947="positive",T1947="positive"),"a",IF(T1947="positive","b",IF(R1947="positive","c","d"))))</x:f>
        <x:v>d</x:v>
      </x:c>
      <x:c r="AE1947" s="12" t="str">
        <x:f>IF(OR(W1947="unavailable",Y1947="unavailable"),"不可评价",IF(AND(OR(W1947="positive",W1947="equivocal"),OR(Y1947="positive",Y1947="equivocal")),"a",IF(OR(Y1947="positive",Y1947="equivocal"),"b",IF(OR(W1947="positive",W1947="equivocal"),"c","d"))))</x:f>
        <x:v>d</x:v>
      </x:c>
      <x:c r="AF1947" s="12" t="str">
        <x:f>IF(OR(W1947="unavailable",Y1947="unavailable"),"不可评价",IF(AND(W1947="positive",Y1947="positive"),"a",IF(Y1947="positive","b",IF(W1947="positive","c","d"))))</x:f>
        <x:v>d</x:v>
      </x:c>
    </x:row>
    <x:row r="1948" ht="24" customHeight="1">
      <x:c r="A1948" s="12" t="str">
        <x:v>18638</x:v>
      </x:c>
      <x:c r="B1948" s="12" t="str">
        <x:v>1003</x:v>
      </x:c>
      <x:c r="C1948" s="21" t="n">
        <x:v>35703.65415509259</x:v>
      </x:c>
      <x:c r="D1948" s="12" t="n">
        <x:v>77</x:v>
      </x:c>
      <x:c r="E1948" s="12" t="n">
        <x:v>0</x:v>
      </x:c>
      <x:c r="F1948" s="12" t="str">
        <x:v>未记录</x:v>
      </x:c>
      <x:c r="G1948" s="12" t="n">
        <x:v>1</x:v>
      </x:c>
      <x:c r="H1948" s="12" t="str">
        <x:v>{'IRBBB': 100.0, '1AVB': 100.0, 'SR': 0.0}</x:v>
      </x:c>
      <x:c r="I1948" s="12" t="str">
        <x:v>[('SRTH', 100.0), ('FAV', 100.0), ('RBBB', 100.0), ('AB', 100.0)]</x:v>
      </x:c>
      <x:c r="J1948" s="12" t="str">
        <x:v>ptbxl_database.csv；ecg_id=18638；scp_codes</x:v>
      </x:c>
      <x:c r="K1948" s="12" t="str">
        <x:v>12sl_statements.csv；ecg_id=18638；statements_ext_snomed</x:v>
      </x:c>
      <x:c r="L1948" s="12"/>
      <x:c r="M1948" s="12" t="str">
        <x:v>negative</x:v>
      </x:c>
      <x:c r="N1948" s="12"/>
      <x:c r="O1948" s="12" t="str">
        <x:v>negative</x:v>
      </x:c>
      <x:c r="P1948" s="12" t="str">
        <x:f>IF(OR(M1948="unavailable",O1948="unavailable"),"不可评价",IF(OR(M1948="equivocal",O1948="equivocal"),"疑似",IF(AND(M1948="positive",O1948="positive"),"a",IF(O1948="positive","b",IF(M1948="positive","c","d")))))</x:f>
        <x:v>d</x:v>
      </x:c>
      <x:c r="Q1948" s="12"/>
      <x:c r="R1948" s="12" t="str">
        <x:v>negative</x:v>
      </x:c>
      <x:c r="S1948" s="12"/>
      <x:c r="T1948" s="12" t="str">
        <x:v>negative</x:v>
      </x:c>
      <x:c r="U1948" s="12" t="str">
        <x:f>IF(OR(R1948="unavailable",T1948="unavailable"),"不可评价",IF(OR(R1948="equivocal",T1948="equivocal"),"疑似",IF(AND(R1948="positive",T1948="positive"),"a",IF(T1948="positive","b",IF(R1948="positive","c","d")))))</x:f>
        <x:v>d</x:v>
      </x:c>
      <x:c r="V1948" s="12"/>
      <x:c r="W1948" s="12" t="str">
        <x:v>negative</x:v>
      </x:c>
      <x:c r="X1948" s="12" t="n">
        <x:v>100</x:v>
      </x:c>
      <x:c r="Y1948" s="12" t="str">
        <x:v>positive</x:v>
      </x:c>
      <x:c r="Z1948" s="12" t="str">
        <x:f>IF(OR(W1948="unavailable",Y1948="unavailable"),"不可评价",IF(OR(W1948="equivocal",Y1948="equivocal"),"疑似",IF(AND(W1948="positive",Y1948="positive"),"a",IF(Y1948="positive","b",IF(W1948="positive","c","d")))))</x:f>
        <x:v>b</x:v>
      </x:c>
      <x:c r="AA1948" s="12" t="str">
        <x:f>IF(OR(M1948="unavailable",O1948="unavailable"),"不可评价",IF(AND(OR(M1948="positive",M1948="equivocal"),OR(O1948="positive",O1948="equivocal")),"a",IF(OR(O1948="positive",O1948="equivocal"),"b",IF(OR(M1948="positive",M1948="equivocal"),"c","d"))))</x:f>
        <x:v>d</x:v>
      </x:c>
      <x:c r="AB1948" s="12" t="str">
        <x:f>IF(OR(M1948="unavailable",O1948="unavailable"),"不可评价",IF(AND(M1948="positive",O1948="positive"),"a",IF(O1948="positive","b",IF(M1948="positive","c","d"))))</x:f>
        <x:v>d</x:v>
      </x:c>
      <x:c r="AC1948" s="12" t="str">
        <x:f>IF(OR(R1948="unavailable",T1948="unavailable"),"不可评价",IF(AND(OR(R1948="positive",R1948="equivocal"),OR(T1948="positive",T1948="equivocal")),"a",IF(OR(T1948="positive",T1948="equivocal"),"b",IF(OR(R1948="positive",R1948="equivocal"),"c","d"))))</x:f>
        <x:v>d</x:v>
      </x:c>
      <x:c r="AD1948" s="12" t="str">
        <x:f>IF(OR(R1948="unavailable",T1948="unavailable"),"不可评价",IF(AND(R1948="positive",T1948="positive"),"a",IF(T1948="positive","b",IF(R1948="positive","c","d"))))</x:f>
        <x:v>d</x:v>
      </x:c>
      <x:c r="AE1948" s="12" t="str">
        <x:f>IF(OR(W1948="unavailable",Y1948="unavailable"),"不可评价",IF(AND(OR(W1948="positive",W1948="equivocal"),OR(Y1948="positive",Y1948="equivocal")),"a",IF(OR(Y1948="positive",Y1948="equivocal"),"b",IF(OR(W1948="positive",W1948="equivocal"),"c","d"))))</x:f>
        <x:v>b</x:v>
      </x:c>
      <x:c r="AF1948" s="12" t="str">
        <x:f>IF(OR(W1948="unavailable",Y1948="unavailable"),"不可评价",IF(AND(W1948="positive",Y1948="positive"),"a",IF(Y1948="positive","b",IF(W1948="positive","c","d"))))</x:f>
        <x:v>b</x:v>
      </x:c>
    </x:row>
    <x:row r="1949" ht="24" customHeight="1">
      <x:c r="A1949" s="12" t="str">
        <x:v>18639</x:v>
      </x:c>
      <x:c r="B1949" s="12" t="str">
        <x:v>4502</x:v>
      </x:c>
      <x:c r="C1949" s="21" t="n">
        <x:v>35703.66627314815</x:v>
      </x:c>
      <x:c r="D1949" s="12" t="n">
        <x:v>74</x:v>
      </x:c>
      <x:c r="E1949" s="12" t="n">
        <x:v>1</x:v>
      </x:c>
      <x:c r="F1949" s="12" t="str">
        <x:v>未记录</x:v>
      </x:c>
      <x:c r="G1949" s="12" t="n">
        <x:v>1</x:v>
      </x:c>
      <x:c r="H1949" s="12" t="str">
        <x:v>{'NORM': 100.0, 'SR': 0.0}</x:v>
      </x:c>
      <x:c r="I1949" s="12" t="str">
        <x:v>[('SBRAD', 100.0), ('ABR', 100.0)]</x:v>
      </x:c>
      <x:c r="J1949" s="12" t="str">
        <x:v>ptbxl_database.csv；ecg_id=18639；scp_codes</x:v>
      </x:c>
      <x:c r="K1949" s="12" t="str">
        <x:v>12sl_statements.csv；ecg_id=18639；statements_ext_snomed</x:v>
      </x:c>
      <x:c r="L1949" s="12"/>
      <x:c r="M1949" s="12" t="str">
        <x:v>negative</x:v>
      </x:c>
      <x:c r="N1949" s="12"/>
      <x:c r="O1949" s="12" t="str">
        <x:v>negative</x:v>
      </x:c>
      <x:c r="P1949" s="12" t="str">
        <x:f>IF(OR(M1949="unavailable",O1949="unavailable"),"不可评价",IF(OR(M1949="equivocal",O1949="equivocal"),"疑似",IF(AND(M1949="positive",O1949="positive"),"a",IF(O1949="positive","b",IF(M1949="positive","c","d")))))</x:f>
        <x:v>d</x:v>
      </x:c>
      <x:c r="Q1949" s="12"/>
      <x:c r="R1949" s="12" t="str">
        <x:v>negative</x:v>
      </x:c>
      <x:c r="S1949" s="12"/>
      <x:c r="T1949" s="12" t="str">
        <x:v>negative</x:v>
      </x:c>
      <x:c r="U1949" s="12" t="str">
        <x:f>IF(OR(R1949="unavailable",T1949="unavailable"),"不可评价",IF(OR(R1949="equivocal",T1949="equivocal"),"疑似",IF(AND(R1949="positive",T1949="positive"),"a",IF(T1949="positive","b",IF(R1949="positive","c","d")))))</x:f>
        <x:v>d</x:v>
      </x:c>
      <x:c r="V1949" s="12"/>
      <x:c r="W1949" s="12" t="str">
        <x:v>negative</x:v>
      </x:c>
      <x:c r="X1949" s="12"/>
      <x:c r="Y1949" s="12" t="str">
        <x:v>negative</x:v>
      </x:c>
      <x:c r="Z1949" s="12" t="str">
        <x:f>IF(OR(W1949="unavailable",Y1949="unavailable"),"不可评价",IF(OR(W1949="equivocal",Y1949="equivocal"),"疑似",IF(AND(W1949="positive",Y1949="positive"),"a",IF(Y1949="positive","b",IF(W1949="positive","c","d")))))</x:f>
        <x:v>d</x:v>
      </x:c>
      <x:c r="AA1949" s="12" t="str">
        <x:f>IF(OR(M1949="unavailable",O1949="unavailable"),"不可评价",IF(AND(OR(M1949="positive",M1949="equivocal"),OR(O1949="positive",O1949="equivocal")),"a",IF(OR(O1949="positive",O1949="equivocal"),"b",IF(OR(M1949="positive",M1949="equivocal"),"c","d"))))</x:f>
        <x:v>d</x:v>
      </x:c>
      <x:c r="AB1949" s="12" t="str">
        <x:f>IF(OR(M1949="unavailable",O1949="unavailable"),"不可评价",IF(AND(M1949="positive",O1949="positive"),"a",IF(O1949="positive","b",IF(M1949="positive","c","d"))))</x:f>
        <x:v>d</x:v>
      </x:c>
      <x:c r="AC1949" s="12" t="str">
        <x:f>IF(OR(R1949="unavailable",T1949="unavailable"),"不可评价",IF(AND(OR(R1949="positive",R1949="equivocal"),OR(T1949="positive",T1949="equivocal")),"a",IF(OR(T1949="positive",T1949="equivocal"),"b",IF(OR(R1949="positive",R1949="equivocal"),"c","d"))))</x:f>
        <x:v>d</x:v>
      </x:c>
      <x:c r="AD1949" s="12" t="str">
        <x:f>IF(OR(R1949="unavailable",T1949="unavailable"),"不可评价",IF(AND(R1949="positive",T1949="positive"),"a",IF(T1949="positive","b",IF(R1949="positive","c","d"))))</x:f>
        <x:v>d</x:v>
      </x:c>
      <x:c r="AE1949" s="12" t="str">
        <x:f>IF(OR(W1949="unavailable",Y1949="unavailable"),"不可评价",IF(AND(OR(W1949="positive",W1949="equivocal"),OR(Y1949="positive",Y1949="equivocal")),"a",IF(OR(Y1949="positive",Y1949="equivocal"),"b",IF(OR(W1949="positive",W1949="equivocal"),"c","d"))))</x:f>
        <x:v>d</x:v>
      </x:c>
      <x:c r="AF1949" s="12" t="str">
        <x:f>IF(OR(W1949="unavailable",Y1949="unavailable"),"不可评价",IF(AND(W1949="positive",Y1949="positive"),"a",IF(Y1949="positive","b",IF(W1949="positive","c","d"))))</x:f>
        <x:v>d</x:v>
      </x:c>
    </x:row>
    <x:row r="1950" ht="24" customHeight="1">
      <x:c r="A1950" s="12" t="str">
        <x:v>18644</x:v>
      </x:c>
      <x:c r="B1950" s="12" t="str">
        <x:v>3866</x:v>
      </x:c>
      <x:c r="C1950" s="21" t="n">
        <x:v>35704.362175925926</x:v>
      </x:c>
      <x:c r="D1950" s="12" t="n">
        <x:v>88</x:v>
      </x:c>
      <x:c r="E1950" s="12" t="n">
        <x:v>0</x:v>
      </x:c>
      <x:c r="F1950" s="12" t="str">
        <x:v>存在</x:v>
      </x:c>
      <x:c r="G1950" s="12" t="n">
        <x:v>1</x:v>
      </x:c>
      <x:c r="H1950" s="12" t="str">
        <x:v>{'ASMI': 100.0, 'LVH': 35.0, 'NT_': 0.0, 'PVC': 0.0, 'STACH': 0.0}</x:v>
      </x:c>
      <x:c r="I1950" s="12" t="str">
        <x:v>[('STACH', 100.0), ('PVC', 100.0), ('LAE', 50.0), ('AMI;AU', 50.0), ('AB', 100.0)]</x:v>
      </x:c>
      <x:c r="J1950" s="12" t="str">
        <x:v>ptbxl_database.csv；ecg_id=18644；scp_codes</x:v>
      </x:c>
      <x:c r="K1950" s="12" t="str">
        <x:v>12sl_statements.csv；ecg_id=18644；statements_ext_snomed</x:v>
      </x:c>
      <x:c r="L1950" s="12"/>
      <x:c r="M1950" s="12" t="str">
        <x:v>negative</x:v>
      </x:c>
      <x:c r="N1950" s="12"/>
      <x:c r="O1950" s="12" t="str">
        <x:v>negative</x:v>
      </x:c>
      <x:c r="P1950" s="12" t="str">
        <x:f>IF(OR(M1950="unavailable",O1950="unavailable"),"不可评价",IF(OR(M1950="equivocal",O1950="equivocal"),"疑似",IF(AND(M1950="positive",O1950="positive"),"a",IF(O1950="positive","b",IF(M1950="positive","c","d")))))</x:f>
        <x:v>d</x:v>
      </x:c>
      <x:c r="Q1950" s="12"/>
      <x:c r="R1950" s="12" t="str">
        <x:v>negative</x:v>
      </x:c>
      <x:c r="S1950" s="12"/>
      <x:c r="T1950" s="12" t="str">
        <x:v>negative</x:v>
      </x:c>
      <x:c r="U1950" s="12" t="str">
        <x:f>IF(OR(R1950="unavailable",T1950="unavailable"),"不可评价",IF(OR(R1950="equivocal",T1950="equivocal"),"疑似",IF(AND(R1950="positive",T1950="positive"),"a",IF(T1950="positive","b",IF(R1950="positive","c","d")))))</x:f>
        <x:v>d</x:v>
      </x:c>
      <x:c r="V1950" s="12"/>
      <x:c r="W1950" s="12" t="str">
        <x:v>negative</x:v>
      </x:c>
      <x:c r="X1950" s="12"/>
      <x:c r="Y1950" s="12" t="str">
        <x:v>negative</x:v>
      </x:c>
      <x:c r="Z1950" s="12" t="str">
        <x:f>IF(OR(W1950="unavailable",Y1950="unavailable"),"不可评价",IF(OR(W1950="equivocal",Y1950="equivocal"),"疑似",IF(AND(W1950="positive",Y1950="positive"),"a",IF(Y1950="positive","b",IF(W1950="positive","c","d")))))</x:f>
        <x:v>d</x:v>
      </x:c>
      <x:c r="AA1950" s="12" t="str">
        <x:f>IF(OR(M1950="unavailable",O1950="unavailable"),"不可评价",IF(AND(OR(M1950="positive",M1950="equivocal"),OR(O1950="positive",O1950="equivocal")),"a",IF(OR(O1950="positive",O1950="equivocal"),"b",IF(OR(M1950="positive",M1950="equivocal"),"c","d"))))</x:f>
        <x:v>d</x:v>
      </x:c>
      <x:c r="AB1950" s="12" t="str">
        <x:f>IF(OR(M1950="unavailable",O1950="unavailable"),"不可评价",IF(AND(M1950="positive",O1950="positive"),"a",IF(O1950="positive","b",IF(M1950="positive","c","d"))))</x:f>
        <x:v>d</x:v>
      </x:c>
      <x:c r="AC1950" s="12" t="str">
        <x:f>IF(OR(R1950="unavailable",T1950="unavailable"),"不可评价",IF(AND(OR(R1950="positive",R1950="equivocal"),OR(T1950="positive",T1950="equivocal")),"a",IF(OR(T1950="positive",T1950="equivocal"),"b",IF(OR(R1950="positive",R1950="equivocal"),"c","d"))))</x:f>
        <x:v>d</x:v>
      </x:c>
      <x:c r="AD1950" s="12" t="str">
        <x:f>IF(OR(R1950="unavailable",T1950="unavailable"),"不可评价",IF(AND(R1950="positive",T1950="positive"),"a",IF(T1950="positive","b",IF(R1950="positive","c","d"))))</x:f>
        <x:v>d</x:v>
      </x:c>
      <x:c r="AE1950" s="12" t="str">
        <x:f>IF(OR(W1950="unavailable",Y1950="unavailable"),"不可评价",IF(AND(OR(W1950="positive",W1950="equivocal"),OR(Y1950="positive",Y1950="equivocal")),"a",IF(OR(Y1950="positive",Y1950="equivocal"),"b",IF(OR(W1950="positive",W1950="equivocal"),"c","d"))))</x:f>
        <x:v>d</x:v>
      </x:c>
      <x:c r="AF1950" s="12" t="str">
        <x:f>IF(OR(W1950="unavailable",Y1950="unavailable"),"不可评价",IF(AND(W1950="positive",Y1950="positive"),"a",IF(Y1950="positive","b",IF(W1950="positive","c","d"))))</x:f>
        <x:v>d</x:v>
      </x:c>
    </x:row>
    <x:row r="1951" ht="24" customHeight="1">
      <x:c r="A1951" s="12" t="str">
        <x:v>18656</x:v>
      </x:c>
      <x:c r="B1951" s="12" t="str">
        <x:v>19685</x:v>
      </x:c>
      <x:c r="C1951" s="21" t="n">
        <x:v>35705.692245370374</x:v>
      </x:c>
      <x:c r="D1951" s="12" t="n">
        <x:v>65</x:v>
      </x:c>
      <x:c r="E1951" s="12" t="n">
        <x:v>1</x:v>
      </x:c>
      <x:c r="F1951" s="12" t="str">
        <x:v>未记录</x:v>
      </x:c>
      <x:c r="G1951" s="12" t="n">
        <x:v>1</x:v>
      </x:c>
      <x:c r="H1951" s="12" t="str">
        <x:v>{'NORM': 100.0, 'SR': 0.0}</x:v>
      </x:c>
      <x:c r="I1951" s="12" t="str">
        <x:v>[('NSR', 100.0), ('NML', 100.0)]</x:v>
      </x:c>
      <x:c r="J1951" s="12" t="str">
        <x:v>ptbxl_database.csv；ecg_id=18656；scp_codes</x:v>
      </x:c>
      <x:c r="K1951" s="12" t="str">
        <x:v>12sl_statements.csv；ecg_id=18656；statements_ext_snomed</x:v>
      </x:c>
      <x:c r="L1951" s="12"/>
      <x:c r="M1951" s="12" t="str">
        <x:v>negative</x:v>
      </x:c>
      <x:c r="N1951" s="12"/>
      <x:c r="O1951" s="12" t="str">
        <x:v>negative</x:v>
      </x:c>
      <x:c r="P1951" s="12" t="str">
        <x:f>IF(OR(M1951="unavailable",O1951="unavailable"),"不可评价",IF(OR(M1951="equivocal",O1951="equivocal"),"疑似",IF(AND(M1951="positive",O1951="positive"),"a",IF(O1951="positive","b",IF(M1951="positive","c","d")))))</x:f>
        <x:v>d</x:v>
      </x:c>
      <x:c r="Q1951" s="12"/>
      <x:c r="R1951" s="12" t="str">
        <x:v>negative</x:v>
      </x:c>
      <x:c r="S1951" s="12"/>
      <x:c r="T1951" s="12" t="str">
        <x:v>negative</x:v>
      </x:c>
      <x:c r="U1951" s="12" t="str">
        <x:f>IF(OR(R1951="unavailable",T1951="unavailable"),"不可评价",IF(OR(R1951="equivocal",T1951="equivocal"),"疑似",IF(AND(R1951="positive",T1951="positive"),"a",IF(T1951="positive","b",IF(R1951="positive","c","d")))))</x:f>
        <x:v>d</x:v>
      </x:c>
      <x:c r="V1951" s="12"/>
      <x:c r="W1951" s="12" t="str">
        <x:v>negative</x:v>
      </x:c>
      <x:c r="X1951" s="12"/>
      <x:c r="Y1951" s="12" t="str">
        <x:v>negative</x:v>
      </x:c>
      <x:c r="Z1951" s="12" t="str">
        <x:f>IF(OR(W1951="unavailable",Y1951="unavailable"),"不可评价",IF(OR(W1951="equivocal",Y1951="equivocal"),"疑似",IF(AND(W1951="positive",Y1951="positive"),"a",IF(Y1951="positive","b",IF(W1951="positive","c","d")))))</x:f>
        <x:v>d</x:v>
      </x:c>
      <x:c r="AA1951" s="12" t="str">
        <x:f>IF(OR(M1951="unavailable",O1951="unavailable"),"不可评价",IF(AND(OR(M1951="positive",M1951="equivocal"),OR(O1951="positive",O1951="equivocal")),"a",IF(OR(O1951="positive",O1951="equivocal"),"b",IF(OR(M1951="positive",M1951="equivocal"),"c","d"))))</x:f>
        <x:v>d</x:v>
      </x:c>
      <x:c r="AB1951" s="12" t="str">
        <x:f>IF(OR(M1951="unavailable",O1951="unavailable"),"不可评价",IF(AND(M1951="positive",O1951="positive"),"a",IF(O1951="positive","b",IF(M1951="positive","c","d"))))</x:f>
        <x:v>d</x:v>
      </x:c>
      <x:c r="AC1951" s="12" t="str">
        <x:f>IF(OR(R1951="unavailable",T1951="unavailable"),"不可评价",IF(AND(OR(R1951="positive",R1951="equivocal"),OR(T1951="positive",T1951="equivocal")),"a",IF(OR(T1951="positive",T1951="equivocal"),"b",IF(OR(R1951="positive",R1951="equivocal"),"c","d"))))</x:f>
        <x:v>d</x:v>
      </x:c>
      <x:c r="AD1951" s="12" t="str">
        <x:f>IF(OR(R1951="unavailable",T1951="unavailable"),"不可评价",IF(AND(R1951="positive",T1951="positive"),"a",IF(T1951="positive","b",IF(R1951="positive","c","d"))))</x:f>
        <x:v>d</x:v>
      </x:c>
      <x:c r="AE1951" s="12" t="str">
        <x:f>IF(OR(W1951="unavailable",Y1951="unavailable"),"不可评价",IF(AND(OR(W1951="positive",W1951="equivocal"),OR(Y1951="positive",Y1951="equivocal")),"a",IF(OR(Y1951="positive",Y1951="equivocal"),"b",IF(OR(W1951="positive",W1951="equivocal"),"c","d"))))</x:f>
        <x:v>d</x:v>
      </x:c>
      <x:c r="AF1951" s="12" t="str">
        <x:f>IF(OR(W1951="unavailable",Y1951="unavailable"),"不可评价",IF(AND(W1951="positive",Y1951="positive"),"a",IF(Y1951="positive","b",IF(W1951="positive","c","d"))))</x:f>
        <x:v>d</x:v>
      </x:c>
    </x:row>
    <x:row r="1952" ht="24" customHeight="1">
      <x:c r="A1952" s="12" t="str">
        <x:v>18661</x:v>
      </x:c>
      <x:c r="B1952" s="12" t="str">
        <x:v>10954</x:v>
      </x:c>
      <x:c r="C1952" s="21" t="n">
        <x:v>35706.65269675926</x:v>
      </x:c>
      <x:c r="D1952" s="12" t="n">
        <x:v>75</x:v>
      </x:c>
      <x:c r="E1952" s="12" t="n">
        <x:v>0</x:v>
      </x:c>
      <x:c r="F1952" s="12" t="str">
        <x:v>未记录</x:v>
      </x:c>
      <x:c r="G1952" s="12" t="n">
        <x:v>1</x:v>
      </x:c>
      <x:c r="H1952" s="12" t="str">
        <x:v>{'NORM': 100.0, 'SR': 0.0}</x:v>
      </x:c>
      <x:c r="I1952" s="12" t="str">
        <x:v>[('NSR', 100.0), ('NML', 100.0)]</x:v>
      </x:c>
      <x:c r="J1952" s="12" t="str">
        <x:v>ptbxl_database.csv；ecg_id=18661；scp_codes</x:v>
      </x:c>
      <x:c r="K1952" s="12" t="str">
        <x:v>12sl_statements.csv；ecg_id=18661；statements_ext_snomed</x:v>
      </x:c>
      <x:c r="L1952" s="12"/>
      <x:c r="M1952" s="12" t="str">
        <x:v>negative</x:v>
      </x:c>
      <x:c r="N1952" s="12"/>
      <x:c r="O1952" s="12" t="str">
        <x:v>negative</x:v>
      </x:c>
      <x:c r="P1952" s="12" t="str">
        <x:f>IF(OR(M1952="unavailable",O1952="unavailable"),"不可评价",IF(OR(M1952="equivocal",O1952="equivocal"),"疑似",IF(AND(M1952="positive",O1952="positive"),"a",IF(O1952="positive","b",IF(M1952="positive","c","d")))))</x:f>
        <x:v>d</x:v>
      </x:c>
      <x:c r="Q1952" s="12"/>
      <x:c r="R1952" s="12" t="str">
        <x:v>negative</x:v>
      </x:c>
      <x:c r="S1952" s="12"/>
      <x:c r="T1952" s="12" t="str">
        <x:v>negative</x:v>
      </x:c>
      <x:c r="U1952" s="12" t="str">
        <x:f>IF(OR(R1952="unavailable",T1952="unavailable"),"不可评价",IF(OR(R1952="equivocal",T1952="equivocal"),"疑似",IF(AND(R1952="positive",T1952="positive"),"a",IF(T1952="positive","b",IF(R1952="positive","c","d")))))</x:f>
        <x:v>d</x:v>
      </x:c>
      <x:c r="V1952" s="12"/>
      <x:c r="W1952" s="12" t="str">
        <x:v>negative</x:v>
      </x:c>
      <x:c r="X1952" s="12"/>
      <x:c r="Y1952" s="12" t="str">
        <x:v>negative</x:v>
      </x:c>
      <x:c r="Z1952" s="12" t="str">
        <x:f>IF(OR(W1952="unavailable",Y1952="unavailable"),"不可评价",IF(OR(W1952="equivocal",Y1952="equivocal"),"疑似",IF(AND(W1952="positive",Y1952="positive"),"a",IF(Y1952="positive","b",IF(W1952="positive","c","d")))))</x:f>
        <x:v>d</x:v>
      </x:c>
      <x:c r="AA1952" s="12" t="str">
        <x:f>IF(OR(M1952="unavailable",O1952="unavailable"),"不可评价",IF(AND(OR(M1952="positive",M1952="equivocal"),OR(O1952="positive",O1952="equivocal")),"a",IF(OR(O1952="positive",O1952="equivocal"),"b",IF(OR(M1952="positive",M1952="equivocal"),"c","d"))))</x:f>
        <x:v>d</x:v>
      </x:c>
      <x:c r="AB1952" s="12" t="str">
        <x:f>IF(OR(M1952="unavailable",O1952="unavailable"),"不可评价",IF(AND(M1952="positive",O1952="positive"),"a",IF(O1952="positive","b",IF(M1952="positive","c","d"))))</x:f>
        <x:v>d</x:v>
      </x:c>
      <x:c r="AC1952" s="12" t="str">
        <x:f>IF(OR(R1952="unavailable",T1952="unavailable"),"不可评价",IF(AND(OR(R1952="positive",R1952="equivocal"),OR(T1952="positive",T1952="equivocal")),"a",IF(OR(T1952="positive",T1952="equivocal"),"b",IF(OR(R1952="positive",R1952="equivocal"),"c","d"))))</x:f>
        <x:v>d</x:v>
      </x:c>
      <x:c r="AD1952" s="12" t="str">
        <x:f>IF(OR(R1952="unavailable",T1952="unavailable"),"不可评价",IF(AND(R1952="positive",T1952="positive"),"a",IF(T1952="positive","b",IF(R1952="positive","c","d"))))</x:f>
        <x:v>d</x:v>
      </x:c>
      <x:c r="AE1952" s="12" t="str">
        <x:f>IF(OR(W1952="unavailable",Y1952="unavailable"),"不可评价",IF(AND(OR(W1952="positive",W1952="equivocal"),OR(Y1952="positive",Y1952="equivocal")),"a",IF(OR(Y1952="positive",Y1952="equivocal"),"b",IF(OR(W1952="positive",W1952="equivocal"),"c","d"))))</x:f>
        <x:v>d</x:v>
      </x:c>
      <x:c r="AF1952" s="12" t="str">
        <x:f>IF(OR(W1952="unavailable",Y1952="unavailable"),"不可评价",IF(AND(W1952="positive",Y1952="positive"),"a",IF(Y1952="positive","b",IF(W1952="positive","c","d"))))</x:f>
        <x:v>d</x:v>
      </x:c>
    </x:row>
    <x:row r="1953" ht="24" customHeight="1">
      <x:c r="A1953" s="12" t="str">
        <x:v>18671</x:v>
      </x:c>
      <x:c r="B1953" s="12" t="str">
        <x:v>9441</x:v>
      </x:c>
      <x:c r="C1953" s="21" t="n">
        <x:v>35708.51157407407</x:v>
      </x:c>
      <x:c r="D1953" s="12" t="n">
        <x:v>87</x:v>
      </x:c>
      <x:c r="E1953" s="12" t="n">
        <x:v>1</x:v>
      </x:c>
      <x:c r="F1953" s="12" t="str">
        <x:v>未记录</x:v>
      </x:c>
      <x:c r="G1953" s="12" t="n">
        <x:v>1</x:v>
      </x:c>
      <x:c r="H1953" s="12" t="str">
        <x:v>{'CRBBB': 100.0, 'LPFB': 100.0, 'ABQRS': 0.0, 'AFIB': 0.0}</x:v>
      </x:c>
      <x:c r="I1953" s="12" t="str">
        <x:v>[('AFIB', 100.0), ('RBBB', 100.0), ('SSBINJ', 100.0), ('AB', 100.0)]</x:v>
      </x:c>
      <x:c r="J1953" s="12" t="str">
        <x:v>ptbxl_database.csv；ecg_id=18671；scp_codes</x:v>
      </x:c>
      <x:c r="K1953" s="12" t="str">
        <x:v>12sl_statements.csv；ecg_id=18671；statements_ext_snomed</x:v>
      </x:c>
      <x:c r="L1953" s="12" t="n">
        <x:v>0</x:v>
      </x:c>
      <x:c r="M1953" s="12" t="str">
        <x:v>positive</x:v>
      </x:c>
      <x:c r="N1953" s="12" t="n">
        <x:v>100</x:v>
      </x:c>
      <x:c r="O1953" s="12" t="str">
        <x:v>positive</x:v>
      </x:c>
      <x:c r="P1953" s="12" t="str">
        <x:f>IF(OR(M1953="unavailable",O1953="unavailable"),"不可评价",IF(OR(M1953="equivocal",O1953="equivocal"),"疑似",IF(AND(M1953="positive",O1953="positive"),"a",IF(O1953="positive","b",IF(M1953="positive","c","d")))))</x:f>
        <x:v>a</x:v>
      </x:c>
      <x:c r="Q1953" s="12"/>
      <x:c r="R1953" s="12" t="str">
        <x:v>negative</x:v>
      </x:c>
      <x:c r="S1953" s="12"/>
      <x:c r="T1953" s="12" t="str">
        <x:v>negative</x:v>
      </x:c>
      <x:c r="U1953" s="12" t="str">
        <x:f>IF(OR(R1953="unavailable",T1953="unavailable"),"不可评价",IF(OR(R1953="equivocal",T1953="equivocal"),"疑似",IF(AND(R1953="positive",T1953="positive"),"a",IF(T1953="positive","b",IF(R1953="positive","c","d")))))</x:f>
        <x:v>d</x:v>
      </x:c>
      <x:c r="V1953" s="12" t="n">
        <x:v>100</x:v>
      </x:c>
      <x:c r="W1953" s="12" t="str">
        <x:v>positive</x:v>
      </x:c>
      <x:c r="X1953" s="12" t="n">
        <x:v>100</x:v>
      </x:c>
      <x:c r="Y1953" s="12" t="str">
        <x:v>positive</x:v>
      </x:c>
      <x:c r="Z1953" s="12" t="str">
        <x:f>IF(OR(W1953="unavailable",Y1953="unavailable"),"不可评价",IF(OR(W1953="equivocal",Y1953="equivocal"),"疑似",IF(AND(W1953="positive",Y1953="positive"),"a",IF(Y1953="positive","b",IF(W1953="positive","c","d")))))</x:f>
        <x:v>a</x:v>
      </x:c>
      <x:c r="AA1953" s="12" t="str">
        <x:f>IF(OR(M1953="unavailable",O1953="unavailable"),"不可评价",IF(AND(OR(M1953="positive",M1953="equivocal"),OR(O1953="positive",O1953="equivocal")),"a",IF(OR(O1953="positive",O1953="equivocal"),"b",IF(OR(M1953="positive",M1953="equivocal"),"c","d"))))</x:f>
        <x:v>a</x:v>
      </x:c>
      <x:c r="AB1953" s="12" t="str">
        <x:f>IF(OR(M1953="unavailable",O1953="unavailable"),"不可评价",IF(AND(M1953="positive",O1953="positive"),"a",IF(O1953="positive","b",IF(M1953="positive","c","d"))))</x:f>
        <x:v>a</x:v>
      </x:c>
      <x:c r="AC1953" s="12" t="str">
        <x:f>IF(OR(R1953="unavailable",T1953="unavailable"),"不可评价",IF(AND(OR(R1953="positive",R1953="equivocal"),OR(T1953="positive",T1953="equivocal")),"a",IF(OR(T1953="positive",T1953="equivocal"),"b",IF(OR(R1953="positive",R1953="equivocal"),"c","d"))))</x:f>
        <x:v>d</x:v>
      </x:c>
      <x:c r="AD1953" s="12" t="str">
        <x:f>IF(OR(R1953="unavailable",T1953="unavailable"),"不可评价",IF(AND(R1953="positive",T1953="positive"),"a",IF(T1953="positive","b",IF(R1953="positive","c","d"))))</x:f>
        <x:v>d</x:v>
      </x:c>
      <x:c r="AE1953" s="12" t="str">
        <x:f>IF(OR(W1953="unavailable",Y1953="unavailable"),"不可评价",IF(AND(OR(W1953="positive",W1953="equivocal"),OR(Y1953="positive",Y1953="equivocal")),"a",IF(OR(Y1953="positive",Y1953="equivocal"),"b",IF(OR(W1953="positive",W1953="equivocal"),"c","d"))))</x:f>
        <x:v>a</x:v>
      </x:c>
      <x:c r="AF1953" s="12" t="str">
        <x:f>IF(OR(W1953="unavailable",Y1953="unavailable"),"不可评价",IF(AND(W1953="positive",Y1953="positive"),"a",IF(Y1953="positive","b",IF(W1953="positive","c","d"))))</x:f>
        <x:v>a</x:v>
      </x:c>
    </x:row>
    <x:row r="1954" ht="24" customHeight="1">
      <x:c r="A1954" s="12" t="str">
        <x:v>18673</x:v>
      </x:c>
      <x:c r="B1954" s="12" t="str">
        <x:v>4066</x:v>
      </x:c>
      <x:c r="C1954" s="21" t="n">
        <x:v>35708.88043981481</x:v>
      </x:c>
      <x:c r="D1954" s="12" t="n">
        <x:v>76</x:v>
      </x:c>
      <x:c r="E1954" s="12" t="n">
        <x:v>0</x:v>
      </x:c>
      <x:c r="F1954" s="12" t="str">
        <x:v>未记录</x:v>
      </x:c>
      <x:c r="G1954" s="12" t="n">
        <x:v>1</x:v>
      </x:c>
      <x:c r="H1954" s="12" t="str">
        <x:v>{'NORM': 100.0, 'SR': 0.0}</x:v>
      </x:c>
      <x:c r="I1954" s="12" t="str">
        <x:v>[('NSR', 100.0), ('BORDE', 100.0)]</x:v>
      </x:c>
      <x:c r="J1954" s="12" t="str">
        <x:v>ptbxl_database.csv；ecg_id=18673；scp_codes</x:v>
      </x:c>
      <x:c r="K1954" s="12" t="str">
        <x:v>12sl_statements.csv；ecg_id=18673；statements_ext_snomed</x:v>
      </x:c>
      <x:c r="L1954" s="12"/>
      <x:c r="M1954" s="12" t="str">
        <x:v>negative</x:v>
      </x:c>
      <x:c r="N1954" s="12"/>
      <x:c r="O1954" s="12" t="str">
        <x:v>negative</x:v>
      </x:c>
      <x:c r="P1954" s="12" t="str">
        <x:f>IF(OR(M1954="unavailable",O1954="unavailable"),"不可评价",IF(OR(M1954="equivocal",O1954="equivocal"),"疑似",IF(AND(M1954="positive",O1954="positive"),"a",IF(O1954="positive","b",IF(M1954="positive","c","d")))))</x:f>
        <x:v>d</x:v>
      </x:c>
      <x:c r="Q1954" s="12"/>
      <x:c r="R1954" s="12" t="str">
        <x:v>negative</x:v>
      </x:c>
      <x:c r="S1954" s="12"/>
      <x:c r="T1954" s="12" t="str">
        <x:v>negative</x:v>
      </x:c>
      <x:c r="U1954" s="12" t="str">
        <x:f>IF(OR(R1954="unavailable",T1954="unavailable"),"不可评价",IF(OR(R1954="equivocal",T1954="equivocal"),"疑似",IF(AND(R1954="positive",T1954="positive"),"a",IF(T1954="positive","b",IF(R1954="positive","c","d")))))</x:f>
        <x:v>d</x:v>
      </x:c>
      <x:c r="V1954" s="12"/>
      <x:c r="W1954" s="12" t="str">
        <x:v>negative</x:v>
      </x:c>
      <x:c r="X1954" s="12"/>
      <x:c r="Y1954" s="12" t="str">
        <x:v>negative</x:v>
      </x:c>
      <x:c r="Z1954" s="12" t="str">
        <x:f>IF(OR(W1954="unavailable",Y1954="unavailable"),"不可评价",IF(OR(W1954="equivocal",Y1954="equivocal"),"疑似",IF(AND(W1954="positive",Y1954="positive"),"a",IF(Y1954="positive","b",IF(W1954="positive","c","d")))))</x:f>
        <x:v>d</x:v>
      </x:c>
      <x:c r="AA1954" s="12" t="str">
        <x:f>IF(OR(M1954="unavailable",O1954="unavailable"),"不可评价",IF(AND(OR(M1954="positive",M1954="equivocal"),OR(O1954="positive",O1954="equivocal")),"a",IF(OR(O1954="positive",O1954="equivocal"),"b",IF(OR(M1954="positive",M1954="equivocal"),"c","d"))))</x:f>
        <x:v>d</x:v>
      </x:c>
      <x:c r="AB1954" s="12" t="str">
        <x:f>IF(OR(M1954="unavailable",O1954="unavailable"),"不可评价",IF(AND(M1954="positive",O1954="positive"),"a",IF(O1954="positive","b",IF(M1954="positive","c","d"))))</x:f>
        <x:v>d</x:v>
      </x:c>
      <x:c r="AC1954" s="12" t="str">
        <x:f>IF(OR(R1954="unavailable",T1954="unavailable"),"不可评价",IF(AND(OR(R1954="positive",R1954="equivocal"),OR(T1954="positive",T1954="equivocal")),"a",IF(OR(T1954="positive",T1954="equivocal"),"b",IF(OR(R1954="positive",R1954="equivocal"),"c","d"))))</x:f>
        <x:v>d</x:v>
      </x:c>
      <x:c r="AD1954" s="12" t="str">
        <x:f>IF(OR(R1954="unavailable",T1954="unavailable"),"不可评价",IF(AND(R1954="positive",T1954="positive"),"a",IF(T1954="positive","b",IF(R1954="positive","c","d"))))</x:f>
        <x:v>d</x:v>
      </x:c>
      <x:c r="AE1954" s="12" t="str">
        <x:f>IF(OR(W1954="unavailable",Y1954="unavailable"),"不可评价",IF(AND(OR(W1954="positive",W1954="equivocal"),OR(Y1954="positive",Y1954="equivocal")),"a",IF(OR(Y1954="positive",Y1954="equivocal"),"b",IF(OR(W1954="positive",W1954="equivocal"),"c","d"))))</x:f>
        <x:v>d</x:v>
      </x:c>
      <x:c r="AF1954" s="12" t="str">
        <x:f>IF(OR(W1954="unavailable",Y1954="unavailable"),"不可评价",IF(AND(W1954="positive",Y1954="positive"),"a",IF(Y1954="positive","b",IF(W1954="positive","c","d"))))</x:f>
        <x:v>d</x:v>
      </x:c>
    </x:row>
    <x:row r="1955" ht="24" customHeight="1">
      <x:c r="A1955" s="12" t="str">
        <x:v>18676</x:v>
      </x:c>
      <x:c r="B1955" s="12" t="str">
        <x:v>14696</x:v>
      </x:c>
      <x:c r="C1955" s="21" t="n">
        <x:v>35710.41578703704</x:v>
      </x:c>
      <x:c r="D1955" s="12" t="n">
        <x:v>82</x:v>
      </x:c>
      <x:c r="E1955" s="12" t="n">
        <x:v>1</x:v>
      </x:c>
      <x:c r="F1955" s="12" t="str">
        <x:v>未记录</x:v>
      </x:c>
      <x:c r="G1955" s="12" t="n">
        <x:v>1</x:v>
      </x:c>
      <x:c r="H1955" s="12" t="str">
        <x:v>{'LVH': 100.0, 'ISC_': 50.0, 'SR': 0.0}</x:v>
      </x:c>
      <x:c r="I1955" s="12" t="str">
        <x:v>[('NSR', 100.0), ('NSTT', 100.0), ('LNGQT', 100.0), ('AB', 100.0)]</x:v>
      </x:c>
      <x:c r="J1955" s="12" t="str">
        <x:v>ptbxl_database.csv；ecg_id=18676；scp_codes</x:v>
      </x:c>
      <x:c r="K1955" s="12" t="str">
        <x:v>12sl_statements.csv；ecg_id=18676；statements_ext_snomed</x:v>
      </x:c>
      <x:c r="L1955" s="12"/>
      <x:c r="M1955" s="12" t="str">
        <x:v>negative</x:v>
      </x:c>
      <x:c r="N1955" s="12"/>
      <x:c r="O1955" s="12" t="str">
        <x:v>negative</x:v>
      </x:c>
      <x:c r="P1955" s="12" t="str">
        <x:f>IF(OR(M1955="unavailable",O1955="unavailable"),"不可评价",IF(OR(M1955="equivocal",O1955="equivocal"),"疑似",IF(AND(M1955="positive",O1955="positive"),"a",IF(O1955="positive","b",IF(M1955="positive","c","d")))))</x:f>
        <x:v>d</x:v>
      </x:c>
      <x:c r="Q1955" s="12"/>
      <x:c r="R1955" s="12" t="str">
        <x:v>negative</x:v>
      </x:c>
      <x:c r="S1955" s="12"/>
      <x:c r="T1955" s="12" t="str">
        <x:v>negative</x:v>
      </x:c>
      <x:c r="U1955" s="12" t="str">
        <x:f>IF(OR(R1955="unavailable",T1955="unavailable"),"不可评价",IF(OR(R1955="equivocal",T1955="equivocal"),"疑似",IF(AND(R1955="positive",T1955="positive"),"a",IF(T1955="positive","b",IF(R1955="positive","c","d")))))</x:f>
        <x:v>d</x:v>
      </x:c>
      <x:c r="V1955" s="12"/>
      <x:c r="W1955" s="12" t="str">
        <x:v>negative</x:v>
      </x:c>
      <x:c r="X1955" s="12"/>
      <x:c r="Y1955" s="12" t="str">
        <x:v>negative</x:v>
      </x:c>
      <x:c r="Z1955" s="12" t="str">
        <x:f>IF(OR(W1955="unavailable",Y1955="unavailable"),"不可评价",IF(OR(W1955="equivocal",Y1955="equivocal"),"疑似",IF(AND(W1955="positive",Y1955="positive"),"a",IF(Y1955="positive","b",IF(W1955="positive","c","d")))))</x:f>
        <x:v>d</x:v>
      </x:c>
      <x:c r="AA1955" s="12" t="str">
        <x:f>IF(OR(M1955="unavailable",O1955="unavailable"),"不可评价",IF(AND(OR(M1955="positive",M1955="equivocal"),OR(O1955="positive",O1955="equivocal")),"a",IF(OR(O1955="positive",O1955="equivocal"),"b",IF(OR(M1955="positive",M1955="equivocal"),"c","d"))))</x:f>
        <x:v>d</x:v>
      </x:c>
      <x:c r="AB1955" s="12" t="str">
        <x:f>IF(OR(M1955="unavailable",O1955="unavailable"),"不可评价",IF(AND(M1955="positive",O1955="positive"),"a",IF(O1955="positive","b",IF(M1955="positive","c","d"))))</x:f>
        <x:v>d</x:v>
      </x:c>
      <x:c r="AC1955" s="12" t="str">
        <x:f>IF(OR(R1955="unavailable",T1955="unavailable"),"不可评价",IF(AND(OR(R1955="positive",R1955="equivocal"),OR(T1955="positive",T1955="equivocal")),"a",IF(OR(T1955="positive",T1955="equivocal"),"b",IF(OR(R1955="positive",R1955="equivocal"),"c","d"))))</x:f>
        <x:v>d</x:v>
      </x:c>
      <x:c r="AD1955" s="12" t="str">
        <x:f>IF(OR(R1955="unavailable",T1955="unavailable"),"不可评价",IF(AND(R1955="positive",T1955="positive"),"a",IF(T1955="positive","b",IF(R1955="positive","c","d"))))</x:f>
        <x:v>d</x:v>
      </x:c>
      <x:c r="AE1955" s="12" t="str">
        <x:f>IF(OR(W1955="unavailable",Y1955="unavailable"),"不可评价",IF(AND(OR(W1955="positive",W1955="equivocal"),OR(Y1955="positive",Y1955="equivocal")),"a",IF(OR(Y1955="positive",Y1955="equivocal"),"b",IF(OR(W1955="positive",W1955="equivocal"),"c","d"))))</x:f>
        <x:v>d</x:v>
      </x:c>
      <x:c r="AF1955" s="12" t="str">
        <x:f>IF(OR(W1955="unavailable",Y1955="unavailable"),"不可评价",IF(AND(W1955="positive",Y1955="positive"),"a",IF(Y1955="positive","b",IF(W1955="positive","c","d"))))</x:f>
        <x:v>d</x:v>
      </x:c>
    </x:row>
    <x:row r="1956" ht="24" customHeight="1">
      <x:c r="A1956" s="12" t="str">
        <x:v>18708</x:v>
      </x:c>
      <x:c r="B1956" s="12" t="str">
        <x:v>10458</x:v>
      </x:c>
      <x:c r="C1956" s="21" t="n">
        <x:v>35715.74832175926</x:v>
      </x:c>
      <x:c r="D1956" s="12" t="n">
        <x:v>68</x:v>
      </x:c>
      <x:c r="E1956" s="12" t="n">
        <x:v>1</x:v>
      </x:c>
      <x:c r="F1956" s="12" t="str">
        <x:v>存在</x:v>
      </x:c>
      <x:c r="G1956" s="12" t="n">
        <x:v>1</x:v>
      </x:c>
      <x:c r="H1956" s="12" t="str">
        <x:v>{'ISCAL': 50.0, 'SR': 0.0}</x:v>
      </x:c>
      <x:c r="I1956" s="12" t="str">
        <x:v>[('NSR', 100.0), ('NSTT', 100.0), ('AB', 100.0)]</x:v>
      </x:c>
      <x:c r="J1956" s="12" t="str">
        <x:v>ptbxl_database.csv；ecg_id=18708；scp_codes</x:v>
      </x:c>
      <x:c r="K1956" s="12" t="str">
        <x:v>12sl_statements.csv；ecg_id=18708；statements_ext_snomed</x:v>
      </x:c>
      <x:c r="L1956" s="12"/>
      <x:c r="M1956" s="12" t="str">
        <x:v>negative</x:v>
      </x:c>
      <x:c r="N1956" s="12"/>
      <x:c r="O1956" s="12" t="str">
        <x:v>negative</x:v>
      </x:c>
      <x:c r="P1956" s="12" t="str">
        <x:f>IF(OR(M1956="unavailable",O1956="unavailable"),"不可评价",IF(OR(M1956="equivocal",O1956="equivocal"),"疑似",IF(AND(M1956="positive",O1956="positive"),"a",IF(O1956="positive","b",IF(M1956="positive","c","d")))))</x:f>
        <x:v>d</x:v>
      </x:c>
      <x:c r="Q1956" s="12"/>
      <x:c r="R1956" s="12" t="str">
        <x:v>negative</x:v>
      </x:c>
      <x:c r="S1956" s="12"/>
      <x:c r="T1956" s="12" t="str">
        <x:v>negative</x:v>
      </x:c>
      <x:c r="U1956" s="12" t="str">
        <x:f>IF(OR(R1956="unavailable",T1956="unavailable"),"不可评价",IF(OR(R1956="equivocal",T1956="equivocal"),"疑似",IF(AND(R1956="positive",T1956="positive"),"a",IF(T1956="positive","b",IF(R1956="positive","c","d")))))</x:f>
        <x:v>d</x:v>
      </x:c>
      <x:c r="V1956" s="12"/>
      <x:c r="W1956" s="12" t="str">
        <x:v>negative</x:v>
      </x:c>
      <x:c r="X1956" s="12"/>
      <x:c r="Y1956" s="12" t="str">
        <x:v>negative</x:v>
      </x:c>
      <x:c r="Z1956" s="12" t="str">
        <x:f>IF(OR(W1956="unavailable",Y1956="unavailable"),"不可评价",IF(OR(W1956="equivocal",Y1956="equivocal"),"疑似",IF(AND(W1956="positive",Y1956="positive"),"a",IF(Y1956="positive","b",IF(W1956="positive","c","d")))))</x:f>
        <x:v>d</x:v>
      </x:c>
      <x:c r="AA1956" s="12" t="str">
        <x:f>IF(OR(M1956="unavailable",O1956="unavailable"),"不可评价",IF(AND(OR(M1956="positive",M1956="equivocal"),OR(O1956="positive",O1956="equivocal")),"a",IF(OR(O1956="positive",O1956="equivocal"),"b",IF(OR(M1956="positive",M1956="equivocal"),"c","d"))))</x:f>
        <x:v>d</x:v>
      </x:c>
      <x:c r="AB1956" s="12" t="str">
        <x:f>IF(OR(M1956="unavailable",O1956="unavailable"),"不可评价",IF(AND(M1956="positive",O1956="positive"),"a",IF(O1956="positive","b",IF(M1956="positive","c","d"))))</x:f>
        <x:v>d</x:v>
      </x:c>
      <x:c r="AC1956" s="12" t="str">
        <x:f>IF(OR(R1956="unavailable",T1956="unavailable"),"不可评价",IF(AND(OR(R1956="positive",R1956="equivocal"),OR(T1956="positive",T1956="equivocal")),"a",IF(OR(T1956="positive",T1956="equivocal"),"b",IF(OR(R1956="positive",R1956="equivocal"),"c","d"))))</x:f>
        <x:v>d</x:v>
      </x:c>
      <x:c r="AD1956" s="12" t="str">
        <x:f>IF(OR(R1956="unavailable",T1956="unavailable"),"不可评价",IF(AND(R1956="positive",T1956="positive"),"a",IF(T1956="positive","b",IF(R1956="positive","c","d"))))</x:f>
        <x:v>d</x:v>
      </x:c>
      <x:c r="AE1956" s="12" t="str">
        <x:f>IF(OR(W1956="unavailable",Y1956="unavailable"),"不可评价",IF(AND(OR(W1956="positive",W1956="equivocal"),OR(Y1956="positive",Y1956="equivocal")),"a",IF(OR(Y1956="positive",Y1956="equivocal"),"b",IF(OR(W1956="positive",W1956="equivocal"),"c","d"))))</x:f>
        <x:v>d</x:v>
      </x:c>
      <x:c r="AF1956" s="12" t="str">
        <x:f>IF(OR(W1956="unavailable",Y1956="unavailable"),"不可评价",IF(AND(W1956="positive",Y1956="positive"),"a",IF(Y1956="positive","b",IF(W1956="positive","c","d"))))</x:f>
        <x:v>d</x:v>
      </x:c>
    </x:row>
    <x:row r="1957" ht="39" customHeight="1">
      <x:c r="A1957" s="12" t="str">
        <x:v>18710</x:v>
      </x:c>
      <x:c r="B1957" s="12" t="str">
        <x:v>9871</x:v>
      </x:c>
      <x:c r="C1957" s="21" t="n">
        <x:v>35716.67390046296</x:v>
      </x:c>
      <x:c r="D1957" s="12" t="n">
        <x:v>70</x:v>
      </x:c>
      <x:c r="E1957" s="12" t="n">
        <x:v>0</x:v>
      </x:c>
      <x:c r="F1957" s="12" t="str">
        <x:v>未记录</x:v>
      </x:c>
      <x:c r="G1957" s="12" t="n">
        <x:v>1</x:v>
      </x:c>
      <x:c r="H1957" s="12" t="str">
        <x:v>{'ASMI': 100.0, 'ILMI': 15.0, 'LAFB': 100.0, 'ABQRS': 0.0, 'AFIB': 0.0}</x:v>
      </x:c>
      <x:c r="I1957" s="12" t="str">
        <x:v>[('AFIB', 100.0), ('LAD3', 100.0), ('LOWV', 100.0), ('SMI;AU', 100.0), ('AB', 100.0)]</x:v>
      </x:c>
      <x:c r="J1957" s="12" t="str">
        <x:v>ptbxl_database.csv；ecg_id=18710；scp_codes</x:v>
      </x:c>
      <x:c r="K1957" s="12" t="str">
        <x:v>12sl_statements.csv；ecg_id=18710；statements_ext_snomed</x:v>
      </x:c>
      <x:c r="L1957" s="12" t="n">
        <x:v>0</x:v>
      </x:c>
      <x:c r="M1957" s="12" t="str">
        <x:v>positive</x:v>
      </x:c>
      <x:c r="N1957" s="12" t="n">
        <x:v>100</x:v>
      </x:c>
      <x:c r="O1957" s="12" t="str">
        <x:v>positive</x:v>
      </x:c>
      <x:c r="P1957" s="12" t="str">
        <x:f>IF(OR(M1957="unavailable",O1957="unavailable"),"不可评价",IF(OR(M1957="equivocal",O1957="equivocal"),"疑似",IF(AND(M1957="positive",O1957="positive"),"a",IF(O1957="positive","b",IF(M1957="positive","c","d")))))</x:f>
        <x:v>a</x:v>
      </x:c>
      <x:c r="Q1957" s="12"/>
      <x:c r="R1957" s="12" t="str">
        <x:v>negative</x:v>
      </x:c>
      <x:c r="S1957" s="12"/>
      <x:c r="T1957" s="12" t="str">
        <x:v>negative</x:v>
      </x:c>
      <x:c r="U1957" s="12" t="str">
        <x:f>IF(OR(R1957="unavailable",T1957="unavailable"),"不可评价",IF(OR(R1957="equivocal",T1957="equivocal"),"疑似",IF(AND(R1957="positive",T1957="positive"),"a",IF(T1957="positive","b",IF(R1957="positive","c","d")))))</x:f>
        <x:v>d</x:v>
      </x:c>
      <x:c r="V1957" s="12"/>
      <x:c r="W1957" s="12" t="str">
        <x:v>negative</x:v>
      </x:c>
      <x:c r="X1957" s="12"/>
      <x:c r="Y1957" s="12" t="str">
        <x:v>negative</x:v>
      </x:c>
      <x:c r="Z1957" s="12" t="str">
        <x:f>IF(OR(W1957="unavailable",Y1957="unavailable"),"不可评价",IF(OR(W1957="equivocal",Y1957="equivocal"),"疑似",IF(AND(W1957="positive",Y1957="positive"),"a",IF(Y1957="positive","b",IF(W1957="positive","c","d")))))</x:f>
        <x:v>d</x:v>
      </x:c>
      <x:c r="AA1957" s="12" t="str">
        <x:f>IF(OR(M1957="unavailable",O1957="unavailable"),"不可评价",IF(AND(OR(M1957="positive",M1957="equivocal"),OR(O1957="positive",O1957="equivocal")),"a",IF(OR(O1957="positive",O1957="equivocal"),"b",IF(OR(M1957="positive",M1957="equivocal"),"c","d"))))</x:f>
        <x:v>a</x:v>
      </x:c>
      <x:c r="AB1957" s="12" t="str">
        <x:f>IF(OR(M1957="unavailable",O1957="unavailable"),"不可评价",IF(AND(M1957="positive",O1957="positive"),"a",IF(O1957="positive","b",IF(M1957="positive","c","d"))))</x:f>
        <x:v>a</x:v>
      </x:c>
      <x:c r="AC1957" s="12" t="str">
        <x:f>IF(OR(R1957="unavailable",T1957="unavailable"),"不可评价",IF(AND(OR(R1957="positive",R1957="equivocal"),OR(T1957="positive",T1957="equivocal")),"a",IF(OR(T1957="positive",T1957="equivocal"),"b",IF(OR(R1957="positive",R1957="equivocal"),"c","d"))))</x:f>
        <x:v>d</x:v>
      </x:c>
      <x:c r="AD1957" s="12" t="str">
        <x:f>IF(OR(R1957="unavailable",T1957="unavailable"),"不可评价",IF(AND(R1957="positive",T1957="positive"),"a",IF(T1957="positive","b",IF(R1957="positive","c","d"))))</x:f>
        <x:v>d</x:v>
      </x:c>
      <x:c r="AE1957" s="12" t="str">
        <x:f>IF(OR(W1957="unavailable",Y1957="unavailable"),"不可评价",IF(AND(OR(W1957="positive",W1957="equivocal"),OR(Y1957="positive",Y1957="equivocal")),"a",IF(OR(Y1957="positive",Y1957="equivocal"),"b",IF(OR(W1957="positive",W1957="equivocal"),"c","d"))))</x:f>
        <x:v>d</x:v>
      </x:c>
      <x:c r="AF1957" s="12" t="str">
        <x:f>IF(OR(W1957="unavailable",Y1957="unavailable"),"不可评价",IF(AND(W1957="positive",Y1957="positive"),"a",IF(Y1957="positive","b",IF(W1957="positive","c","d"))))</x:f>
        <x:v>d</x:v>
      </x:c>
    </x:row>
    <x:row r="1958" ht="24" customHeight="1">
      <x:c r="A1958" s="12" t="str">
        <x:v>18712</x:v>
      </x:c>
      <x:c r="B1958" s="12" t="str">
        <x:v>9636</x:v>
      </x:c>
      <x:c r="C1958" s="21" t="n">
        <x:v>35718.34392361111</x:v>
      </x:c>
      <x:c r="D1958" s="12" t="n">
        <x:v>63</x:v>
      </x:c>
      <x:c r="E1958" s="12" t="n">
        <x:v>0</x:v>
      </x:c>
      <x:c r="F1958" s="12" t="str">
        <x:v>存在</x:v>
      </x:c>
      <x:c r="G1958" s="12" t="n">
        <x:v>1</x:v>
      </x:c>
      <x:c r="H1958" s="12" t="str">
        <x:v>{'ASMI': 100.0, 'LVH': 50.0, 'ISC_': 100.0, 'ABQRS': 0.0, 'SR': 0.0}</x:v>
      </x:c>
      <x:c r="I1958" s="12" t="str">
        <x:v>[('NSR', 100.0), ('SMI;AU', 100.0), ('ST&amp;', 100.0), ('ILT', 100.0), ('AB', 100.0)]</x:v>
      </x:c>
      <x:c r="J1958" s="12" t="str">
        <x:v>ptbxl_database.csv；ecg_id=18712；scp_codes</x:v>
      </x:c>
      <x:c r="K1958" s="12" t="str">
        <x:v>12sl_statements.csv；ecg_id=18712；statements_ext_snomed</x:v>
      </x:c>
      <x:c r="L1958" s="12"/>
      <x:c r="M1958" s="12" t="str">
        <x:v>negative</x:v>
      </x:c>
      <x:c r="N1958" s="12"/>
      <x:c r="O1958" s="12" t="str">
        <x:v>negative</x:v>
      </x:c>
      <x:c r="P1958" s="12" t="str">
        <x:f>IF(OR(M1958="unavailable",O1958="unavailable"),"不可评价",IF(OR(M1958="equivocal",O1958="equivocal"),"疑似",IF(AND(M1958="positive",O1958="positive"),"a",IF(O1958="positive","b",IF(M1958="positive","c","d")))))</x:f>
        <x:v>d</x:v>
      </x:c>
      <x:c r="Q1958" s="12"/>
      <x:c r="R1958" s="12" t="str">
        <x:v>negative</x:v>
      </x:c>
      <x:c r="S1958" s="12"/>
      <x:c r="T1958" s="12" t="str">
        <x:v>negative</x:v>
      </x:c>
      <x:c r="U1958" s="12" t="str">
        <x:f>IF(OR(R1958="unavailable",T1958="unavailable"),"不可评价",IF(OR(R1958="equivocal",T1958="equivocal"),"疑似",IF(AND(R1958="positive",T1958="positive"),"a",IF(T1958="positive","b",IF(R1958="positive","c","d")))))</x:f>
        <x:v>d</x:v>
      </x:c>
      <x:c r="V1958" s="12"/>
      <x:c r="W1958" s="12" t="str">
        <x:v>negative</x:v>
      </x:c>
      <x:c r="X1958" s="12"/>
      <x:c r="Y1958" s="12" t="str">
        <x:v>negative</x:v>
      </x:c>
      <x:c r="Z1958" s="12" t="str">
        <x:f>IF(OR(W1958="unavailable",Y1958="unavailable"),"不可评价",IF(OR(W1958="equivocal",Y1958="equivocal"),"疑似",IF(AND(W1958="positive",Y1958="positive"),"a",IF(Y1958="positive","b",IF(W1958="positive","c","d")))))</x:f>
        <x:v>d</x:v>
      </x:c>
      <x:c r="AA1958" s="12" t="str">
        <x:f>IF(OR(M1958="unavailable",O1958="unavailable"),"不可评价",IF(AND(OR(M1958="positive",M1958="equivocal"),OR(O1958="positive",O1958="equivocal")),"a",IF(OR(O1958="positive",O1958="equivocal"),"b",IF(OR(M1958="positive",M1958="equivocal"),"c","d"))))</x:f>
        <x:v>d</x:v>
      </x:c>
      <x:c r="AB1958" s="12" t="str">
        <x:f>IF(OR(M1958="unavailable",O1958="unavailable"),"不可评价",IF(AND(M1958="positive",O1958="positive"),"a",IF(O1958="positive","b",IF(M1958="positive","c","d"))))</x:f>
        <x:v>d</x:v>
      </x:c>
      <x:c r="AC1958" s="12" t="str">
        <x:f>IF(OR(R1958="unavailable",T1958="unavailable"),"不可评价",IF(AND(OR(R1958="positive",R1958="equivocal"),OR(T1958="positive",T1958="equivocal")),"a",IF(OR(T1958="positive",T1958="equivocal"),"b",IF(OR(R1958="positive",R1958="equivocal"),"c","d"))))</x:f>
        <x:v>d</x:v>
      </x:c>
      <x:c r="AD1958" s="12" t="str">
        <x:f>IF(OR(R1958="unavailable",T1958="unavailable"),"不可评价",IF(AND(R1958="positive",T1958="positive"),"a",IF(T1958="positive","b",IF(R1958="positive","c","d"))))</x:f>
        <x:v>d</x:v>
      </x:c>
      <x:c r="AE1958" s="12" t="str">
        <x:f>IF(OR(W1958="unavailable",Y1958="unavailable"),"不可评价",IF(AND(OR(W1958="positive",W1958="equivocal"),OR(Y1958="positive",Y1958="equivocal")),"a",IF(OR(Y1958="positive",Y1958="equivocal"),"b",IF(OR(W1958="positive",W1958="equivocal"),"c","d"))))</x:f>
        <x:v>d</x:v>
      </x:c>
      <x:c r="AF1958" s="12" t="str">
        <x:f>IF(OR(W1958="unavailable",Y1958="unavailable"),"不可评价",IF(AND(W1958="positive",Y1958="positive"),"a",IF(Y1958="positive","b",IF(W1958="positive","c","d"))))</x:f>
        <x:v>d</x:v>
      </x:c>
    </x:row>
    <x:row r="1959" ht="24" customHeight="1">
      <x:c r="A1959" s="12" t="str">
        <x:v>18737</x:v>
      </x:c>
      <x:c r="B1959" s="12" t="str">
        <x:v>9425</x:v>
      </x:c>
      <x:c r="C1959" s="21" t="n">
        <x:v>35723.38408564815</x:v>
      </x:c>
      <x:c r="D1959" s="12" t="n">
        <x:v>79</x:v>
      </x:c>
      <x:c r="E1959" s="12" t="n">
        <x:v>1</x:v>
      </x:c>
      <x:c r="F1959" s="12" t="str">
        <x:v>未记录</x:v>
      </x:c>
      <x:c r="G1959" s="12" t="n">
        <x:v>1</x:v>
      </x:c>
      <x:c r="H1959" s="12" t="str">
        <x:v>{'IMI': 100.0, 'ABQRS': 0.0, 'SR': 0.0}</x:v>
      </x:c>
      <x:c r="I1959" s="12" t="str">
        <x:v>[('NSR', 100.0), ('IMI;AU', 100.0), ('AB', 100.0)]</x:v>
      </x:c>
      <x:c r="J1959" s="12" t="str">
        <x:v>ptbxl_database.csv；ecg_id=18737；scp_codes</x:v>
      </x:c>
      <x:c r="K1959" s="12" t="str">
        <x:v>12sl_statements.csv；ecg_id=18737；statements_ext_snomed</x:v>
      </x:c>
      <x:c r="L1959" s="12"/>
      <x:c r="M1959" s="12" t="str">
        <x:v>negative</x:v>
      </x:c>
      <x:c r="N1959" s="12"/>
      <x:c r="O1959" s="12" t="str">
        <x:v>negative</x:v>
      </x:c>
      <x:c r="P1959" s="12" t="str">
        <x:f>IF(OR(M1959="unavailable",O1959="unavailable"),"不可评价",IF(OR(M1959="equivocal",O1959="equivocal"),"疑似",IF(AND(M1959="positive",O1959="positive"),"a",IF(O1959="positive","b",IF(M1959="positive","c","d")))))</x:f>
        <x:v>d</x:v>
      </x:c>
      <x:c r="Q1959" s="12"/>
      <x:c r="R1959" s="12" t="str">
        <x:v>negative</x:v>
      </x:c>
      <x:c r="S1959" s="12"/>
      <x:c r="T1959" s="12" t="str">
        <x:v>negative</x:v>
      </x:c>
      <x:c r="U1959" s="12" t="str">
        <x:f>IF(OR(R1959="unavailable",T1959="unavailable"),"不可评价",IF(OR(R1959="equivocal",T1959="equivocal"),"疑似",IF(AND(R1959="positive",T1959="positive"),"a",IF(T1959="positive","b",IF(R1959="positive","c","d")))))</x:f>
        <x:v>d</x:v>
      </x:c>
      <x:c r="V1959" s="12"/>
      <x:c r="W1959" s="12" t="str">
        <x:v>negative</x:v>
      </x:c>
      <x:c r="X1959" s="12"/>
      <x:c r="Y1959" s="12" t="str">
        <x:v>negative</x:v>
      </x:c>
      <x:c r="Z1959" s="12" t="str">
        <x:f>IF(OR(W1959="unavailable",Y1959="unavailable"),"不可评价",IF(OR(W1959="equivocal",Y1959="equivocal"),"疑似",IF(AND(W1959="positive",Y1959="positive"),"a",IF(Y1959="positive","b",IF(W1959="positive","c","d")))))</x:f>
        <x:v>d</x:v>
      </x:c>
      <x:c r="AA1959" s="12" t="str">
        <x:f>IF(OR(M1959="unavailable",O1959="unavailable"),"不可评价",IF(AND(OR(M1959="positive",M1959="equivocal"),OR(O1959="positive",O1959="equivocal")),"a",IF(OR(O1959="positive",O1959="equivocal"),"b",IF(OR(M1959="positive",M1959="equivocal"),"c","d"))))</x:f>
        <x:v>d</x:v>
      </x:c>
      <x:c r="AB1959" s="12" t="str">
        <x:f>IF(OR(M1959="unavailable",O1959="unavailable"),"不可评价",IF(AND(M1959="positive",O1959="positive"),"a",IF(O1959="positive","b",IF(M1959="positive","c","d"))))</x:f>
        <x:v>d</x:v>
      </x:c>
      <x:c r="AC1959" s="12" t="str">
        <x:f>IF(OR(R1959="unavailable",T1959="unavailable"),"不可评价",IF(AND(OR(R1959="positive",R1959="equivocal"),OR(T1959="positive",T1959="equivocal")),"a",IF(OR(T1959="positive",T1959="equivocal"),"b",IF(OR(R1959="positive",R1959="equivocal"),"c","d"))))</x:f>
        <x:v>d</x:v>
      </x:c>
      <x:c r="AD1959" s="12" t="str">
        <x:f>IF(OR(R1959="unavailable",T1959="unavailable"),"不可评价",IF(AND(R1959="positive",T1959="positive"),"a",IF(T1959="positive","b",IF(R1959="positive","c","d"))))</x:f>
        <x:v>d</x:v>
      </x:c>
      <x:c r="AE1959" s="12" t="str">
        <x:f>IF(OR(W1959="unavailable",Y1959="unavailable"),"不可评价",IF(AND(OR(W1959="positive",W1959="equivocal"),OR(Y1959="positive",Y1959="equivocal")),"a",IF(OR(Y1959="positive",Y1959="equivocal"),"b",IF(OR(W1959="positive",W1959="equivocal"),"c","d"))))</x:f>
        <x:v>d</x:v>
      </x:c>
      <x:c r="AF1959" s="12" t="str">
        <x:f>IF(OR(W1959="unavailable",Y1959="unavailable"),"不可评价",IF(AND(W1959="positive",Y1959="positive"),"a",IF(Y1959="positive","b",IF(W1959="positive","c","d"))))</x:f>
        <x:v>d</x:v>
      </x:c>
    </x:row>
    <x:row r="1960" ht="39" customHeight="1">
      <x:c r="A1960" s="12" t="str">
        <x:v>18739</x:v>
      </x:c>
      <x:c r="B1960" s="12" t="str">
        <x:v>20835</x:v>
      </x:c>
      <x:c r="C1960" s="21" t="n">
        <x:v>35723.76665509259</x:v>
      </x:c>
      <x:c r="D1960" s="12" t="n">
        <x:v>82</x:v>
      </x:c>
      <x:c r="E1960" s="12" t="n">
        <x:v>1</x:v>
      </x:c>
      <x:c r="F1960" s="12" t="str">
        <x:v>未记录</x:v>
      </x:c>
      <x:c r="G1960" s="12" t="n">
        <x:v>1</x:v>
      </x:c>
      <x:c r="H1960" s="12" t="str">
        <x:v>{'IMI': 100.0, 'ASMI': 100.0, 'ABQRS': 0.0, 'AFIB': 0.0}</x:v>
      </x:c>
      <x:c r="I1960" s="12" t="str">
        <x:v>[('FLUT', 100.0), ('VAVB', 100.0), ('ABER', 100.0), ('LAD3', 100.0), ('LVH2', 100.0), ('2ST', 100.0), ('AB', 100.0)]</x:v>
      </x:c>
      <x:c r="J1960" s="12" t="str">
        <x:v>ptbxl_database.csv；ecg_id=18739；scp_codes</x:v>
      </x:c>
      <x:c r="K1960" s="12" t="str">
        <x:v>12sl_statements.csv；ecg_id=18739；statements_ext_snomed</x:v>
      </x:c>
      <x:c r="L1960" s="12" t="n">
        <x:v>0</x:v>
      </x:c>
      <x:c r="M1960" s="12" t="str">
        <x:v>positive</x:v>
      </x:c>
      <x:c r="N1960" s="12"/>
      <x:c r="O1960" s="12" t="str">
        <x:v>negative</x:v>
      </x:c>
      <x:c r="P1960" s="12" t="str">
        <x:f>IF(OR(M1960="unavailable",O1960="unavailable"),"不可评价",IF(OR(M1960="equivocal",O1960="equivocal"),"疑似",IF(AND(M1960="positive",O1960="positive"),"a",IF(O1960="positive","b",IF(M1960="positive","c","d")))))</x:f>
        <x:v>c</x:v>
      </x:c>
      <x:c r="Q1960" s="12"/>
      <x:c r="R1960" s="12" t="str">
        <x:v>negative</x:v>
      </x:c>
      <x:c r="S1960" s="12"/>
      <x:c r="T1960" s="12" t="str">
        <x:v>negative</x:v>
      </x:c>
      <x:c r="U1960" s="12" t="str">
        <x:f>IF(OR(R1960="unavailable",T1960="unavailable"),"不可评价",IF(OR(R1960="equivocal",T1960="equivocal"),"疑似",IF(AND(R1960="positive",T1960="positive"),"a",IF(T1960="positive","b",IF(R1960="positive","c","d")))))</x:f>
        <x:v>d</x:v>
      </x:c>
      <x:c r="V1960" s="12"/>
      <x:c r="W1960" s="12" t="str">
        <x:v>negative</x:v>
      </x:c>
      <x:c r="X1960" s="12"/>
      <x:c r="Y1960" s="12" t="str">
        <x:v>negative</x:v>
      </x:c>
      <x:c r="Z1960" s="12" t="str">
        <x:f>IF(OR(W1960="unavailable",Y1960="unavailable"),"不可评价",IF(OR(W1960="equivocal",Y1960="equivocal"),"疑似",IF(AND(W1960="positive",Y1960="positive"),"a",IF(Y1960="positive","b",IF(W1960="positive","c","d")))))</x:f>
        <x:v>d</x:v>
      </x:c>
      <x:c r="AA1960" s="12" t="str">
        <x:f>IF(OR(M1960="unavailable",O1960="unavailable"),"不可评价",IF(AND(OR(M1960="positive",M1960="equivocal"),OR(O1960="positive",O1960="equivocal")),"a",IF(OR(O1960="positive",O1960="equivocal"),"b",IF(OR(M1960="positive",M1960="equivocal"),"c","d"))))</x:f>
        <x:v>c</x:v>
      </x:c>
      <x:c r="AB1960" s="12" t="str">
        <x:f>IF(OR(M1960="unavailable",O1960="unavailable"),"不可评价",IF(AND(M1960="positive",O1960="positive"),"a",IF(O1960="positive","b",IF(M1960="positive","c","d"))))</x:f>
        <x:v>c</x:v>
      </x:c>
      <x:c r="AC1960" s="12" t="str">
        <x:f>IF(OR(R1960="unavailable",T1960="unavailable"),"不可评价",IF(AND(OR(R1960="positive",R1960="equivocal"),OR(T1960="positive",T1960="equivocal")),"a",IF(OR(T1960="positive",T1960="equivocal"),"b",IF(OR(R1960="positive",R1960="equivocal"),"c","d"))))</x:f>
        <x:v>d</x:v>
      </x:c>
      <x:c r="AD1960" s="12" t="str">
        <x:f>IF(OR(R1960="unavailable",T1960="unavailable"),"不可评价",IF(AND(R1960="positive",T1960="positive"),"a",IF(T1960="positive","b",IF(R1960="positive","c","d"))))</x:f>
        <x:v>d</x:v>
      </x:c>
      <x:c r="AE1960" s="12" t="str">
        <x:f>IF(OR(W1960="unavailable",Y1960="unavailable"),"不可评价",IF(AND(OR(W1960="positive",W1960="equivocal"),OR(Y1960="positive",Y1960="equivocal")),"a",IF(OR(Y1960="positive",Y1960="equivocal"),"b",IF(OR(W1960="positive",W1960="equivocal"),"c","d"))))</x:f>
        <x:v>d</x:v>
      </x:c>
      <x:c r="AF1960" s="12" t="str">
        <x:f>IF(OR(W1960="unavailable",Y1960="unavailable"),"不可评价",IF(AND(W1960="positive",Y1960="positive"),"a",IF(Y1960="positive","b",IF(W1960="positive","c","d"))))</x:f>
        <x:v>d</x:v>
      </x:c>
    </x:row>
    <x:row r="1961" ht="24" customHeight="1">
      <x:c r="A1961" s="12" t="str">
        <x:v>18740</x:v>
      </x:c>
      <x:c r="B1961" s="12" t="str">
        <x:v>18520</x:v>
      </x:c>
      <x:c r="C1961" s="21" t="n">
        <x:v>35724.49964120371</x:v>
      </x:c>
      <x:c r="D1961" s="12" t="n">
        <x:v>45</x:v>
      </x:c>
      <x:c r="E1961" s="12" t="n">
        <x:v>1</x:v>
      </x:c>
      <x:c r="F1961" s="12" t="str">
        <x:v>存在</x:v>
      </x:c>
      <x:c r="G1961" s="12" t="n">
        <x:v>1</x:v>
      </x:c>
      <x:c r="H1961" s="12" t="str">
        <x:v>{'ALMI': 50.0, 'ASMI': 50.0, 'ABQRS': 0.0, 'SR': 0.0}</x:v>
      </x:c>
      <x:c r="I1961" s="12" t="str">
        <x:v>[('NSR', 100.0), ('SMI;AU', 100.0), ('AB', 100.0)]</x:v>
      </x:c>
      <x:c r="J1961" s="12" t="str">
        <x:v>ptbxl_database.csv；ecg_id=18740；scp_codes</x:v>
      </x:c>
      <x:c r="K1961" s="12" t="str">
        <x:v>12sl_statements.csv；ecg_id=18740；statements_ext_snomed</x:v>
      </x:c>
      <x:c r="L1961" s="12"/>
      <x:c r="M1961" s="12" t="str">
        <x:v>negative</x:v>
      </x:c>
      <x:c r="N1961" s="12"/>
      <x:c r="O1961" s="12" t="str">
        <x:v>negative</x:v>
      </x:c>
      <x:c r="P1961" s="12" t="str">
        <x:f>IF(OR(M1961="unavailable",O1961="unavailable"),"不可评价",IF(OR(M1961="equivocal",O1961="equivocal"),"疑似",IF(AND(M1961="positive",O1961="positive"),"a",IF(O1961="positive","b",IF(M1961="positive","c","d")))))</x:f>
        <x:v>d</x:v>
      </x:c>
      <x:c r="Q1961" s="12"/>
      <x:c r="R1961" s="12" t="str">
        <x:v>negative</x:v>
      </x:c>
      <x:c r="S1961" s="12"/>
      <x:c r="T1961" s="12" t="str">
        <x:v>negative</x:v>
      </x:c>
      <x:c r="U1961" s="12" t="str">
        <x:f>IF(OR(R1961="unavailable",T1961="unavailable"),"不可评价",IF(OR(R1961="equivocal",T1961="equivocal"),"疑似",IF(AND(R1961="positive",T1961="positive"),"a",IF(T1961="positive","b",IF(R1961="positive","c","d")))))</x:f>
        <x:v>d</x:v>
      </x:c>
      <x:c r="V1961" s="12"/>
      <x:c r="W1961" s="12" t="str">
        <x:v>negative</x:v>
      </x:c>
      <x:c r="X1961" s="12"/>
      <x:c r="Y1961" s="12" t="str">
        <x:v>negative</x:v>
      </x:c>
      <x:c r="Z1961" s="12" t="str">
        <x:f>IF(OR(W1961="unavailable",Y1961="unavailable"),"不可评价",IF(OR(W1961="equivocal",Y1961="equivocal"),"疑似",IF(AND(W1961="positive",Y1961="positive"),"a",IF(Y1961="positive","b",IF(W1961="positive","c","d")))))</x:f>
        <x:v>d</x:v>
      </x:c>
      <x:c r="AA1961" s="12" t="str">
        <x:f>IF(OR(M1961="unavailable",O1961="unavailable"),"不可评价",IF(AND(OR(M1961="positive",M1961="equivocal"),OR(O1961="positive",O1961="equivocal")),"a",IF(OR(O1961="positive",O1961="equivocal"),"b",IF(OR(M1961="positive",M1961="equivocal"),"c","d"))))</x:f>
        <x:v>d</x:v>
      </x:c>
      <x:c r="AB1961" s="12" t="str">
        <x:f>IF(OR(M1961="unavailable",O1961="unavailable"),"不可评价",IF(AND(M1961="positive",O1961="positive"),"a",IF(O1961="positive","b",IF(M1961="positive","c","d"))))</x:f>
        <x:v>d</x:v>
      </x:c>
      <x:c r="AC1961" s="12" t="str">
        <x:f>IF(OR(R1961="unavailable",T1961="unavailable"),"不可评价",IF(AND(OR(R1961="positive",R1961="equivocal"),OR(T1961="positive",T1961="equivocal")),"a",IF(OR(T1961="positive",T1961="equivocal"),"b",IF(OR(R1961="positive",R1961="equivocal"),"c","d"))))</x:f>
        <x:v>d</x:v>
      </x:c>
      <x:c r="AD1961" s="12" t="str">
        <x:f>IF(OR(R1961="unavailable",T1961="unavailable"),"不可评价",IF(AND(R1961="positive",T1961="positive"),"a",IF(T1961="positive","b",IF(R1961="positive","c","d"))))</x:f>
        <x:v>d</x:v>
      </x:c>
      <x:c r="AE1961" s="12" t="str">
        <x:f>IF(OR(W1961="unavailable",Y1961="unavailable"),"不可评价",IF(AND(OR(W1961="positive",W1961="equivocal"),OR(Y1961="positive",Y1961="equivocal")),"a",IF(OR(Y1961="positive",Y1961="equivocal"),"b",IF(OR(W1961="positive",W1961="equivocal"),"c","d"))))</x:f>
        <x:v>d</x:v>
      </x:c>
      <x:c r="AF1961" s="12" t="str">
        <x:f>IF(OR(W1961="unavailable",Y1961="unavailable"),"不可评价",IF(AND(W1961="positive",Y1961="positive"),"a",IF(Y1961="positive","b",IF(W1961="positive","c","d"))))</x:f>
        <x:v>d</x:v>
      </x:c>
    </x:row>
    <x:row r="1962" ht="24" customHeight="1">
      <x:c r="A1962" s="12" t="str">
        <x:v>18742</x:v>
      </x:c>
      <x:c r="B1962" s="12" t="str">
        <x:v>21508</x:v>
      </x:c>
      <x:c r="C1962" s="21" t="n">
        <x:v>35725.3624537037</x:v>
      </x:c>
      <x:c r="D1962" s="12" t="n">
        <x:v>47</x:v>
      </x:c>
      <x:c r="E1962" s="12" t="n">
        <x:v>0</x:v>
      </x:c>
      <x:c r="F1962" s="12" t="str">
        <x:v>存在</x:v>
      </x:c>
      <x:c r="G1962" s="12" t="n">
        <x:v>0</x:v>
      </x:c>
      <x:c r="H1962" s="12" t="str">
        <x:v>{'NORM': 80.0, 'SR': 0.0}</x:v>
      </x:c>
      <x:c r="I1962" s="12" t="str">
        <x:v>[('SBRAD', 100.0), ('ABR', 100.0)]</x:v>
      </x:c>
      <x:c r="J1962" s="12" t="str">
        <x:v>ptbxl_database.csv；ecg_id=18742；scp_codes</x:v>
      </x:c>
      <x:c r="K1962" s="12" t="str">
        <x:v>12sl_statements.csv；ecg_id=18742；statements_ext_snomed</x:v>
      </x:c>
      <x:c r="L1962" s="12"/>
      <x:c r="M1962" s="12" t="str">
        <x:v>negative</x:v>
      </x:c>
      <x:c r="N1962" s="12"/>
      <x:c r="O1962" s="12" t="str">
        <x:v>negative</x:v>
      </x:c>
      <x:c r="P1962" s="12" t="str">
        <x:f>IF(OR(M1962="unavailable",O1962="unavailable"),"不可评价",IF(OR(M1962="equivocal",O1962="equivocal"),"疑似",IF(AND(M1962="positive",O1962="positive"),"a",IF(O1962="positive","b",IF(M1962="positive","c","d")))))</x:f>
        <x:v>d</x:v>
      </x:c>
      <x:c r="Q1962" s="12"/>
      <x:c r="R1962" s="12" t="str">
        <x:v>negative</x:v>
      </x:c>
      <x:c r="S1962" s="12"/>
      <x:c r="T1962" s="12" t="str">
        <x:v>negative</x:v>
      </x:c>
      <x:c r="U1962" s="12" t="str">
        <x:f>IF(OR(R1962="unavailable",T1962="unavailable"),"不可评价",IF(OR(R1962="equivocal",T1962="equivocal"),"疑似",IF(AND(R1962="positive",T1962="positive"),"a",IF(T1962="positive","b",IF(R1962="positive","c","d")))))</x:f>
        <x:v>d</x:v>
      </x:c>
      <x:c r="V1962" s="12"/>
      <x:c r="W1962" s="12" t="str">
        <x:v>negative</x:v>
      </x:c>
      <x:c r="X1962" s="12"/>
      <x:c r="Y1962" s="12" t="str">
        <x:v>negative</x:v>
      </x:c>
      <x:c r="Z1962" s="12" t="str">
        <x:f>IF(OR(W1962="unavailable",Y1962="unavailable"),"不可评价",IF(OR(W1962="equivocal",Y1962="equivocal"),"疑似",IF(AND(W1962="positive",Y1962="positive"),"a",IF(Y1962="positive","b",IF(W1962="positive","c","d")))))</x:f>
        <x:v>d</x:v>
      </x:c>
      <x:c r="AA1962" s="12" t="str">
        <x:f>IF(OR(M1962="unavailable",O1962="unavailable"),"不可评价",IF(AND(OR(M1962="positive",M1962="equivocal"),OR(O1962="positive",O1962="equivocal")),"a",IF(OR(O1962="positive",O1962="equivocal"),"b",IF(OR(M1962="positive",M1962="equivocal"),"c","d"))))</x:f>
        <x:v>d</x:v>
      </x:c>
      <x:c r="AB1962" s="12" t="str">
        <x:f>IF(OR(M1962="unavailable",O1962="unavailable"),"不可评价",IF(AND(M1962="positive",O1962="positive"),"a",IF(O1962="positive","b",IF(M1962="positive","c","d"))))</x:f>
        <x:v>d</x:v>
      </x:c>
      <x:c r="AC1962" s="12" t="str">
        <x:f>IF(OR(R1962="unavailable",T1962="unavailable"),"不可评价",IF(AND(OR(R1962="positive",R1962="equivocal"),OR(T1962="positive",T1962="equivocal")),"a",IF(OR(T1962="positive",T1962="equivocal"),"b",IF(OR(R1962="positive",R1962="equivocal"),"c","d"))))</x:f>
        <x:v>d</x:v>
      </x:c>
      <x:c r="AD1962" s="12" t="str">
        <x:f>IF(OR(R1962="unavailable",T1962="unavailable"),"不可评价",IF(AND(R1962="positive",T1962="positive"),"a",IF(T1962="positive","b",IF(R1962="positive","c","d"))))</x:f>
        <x:v>d</x:v>
      </x:c>
      <x:c r="AE1962" s="12" t="str">
        <x:f>IF(OR(W1962="unavailable",Y1962="unavailable"),"不可评价",IF(AND(OR(W1962="positive",W1962="equivocal"),OR(Y1962="positive",Y1962="equivocal")),"a",IF(OR(Y1962="positive",Y1962="equivocal"),"b",IF(OR(W1962="positive",W1962="equivocal"),"c","d"))))</x:f>
        <x:v>d</x:v>
      </x:c>
      <x:c r="AF1962" s="12" t="str">
        <x:f>IF(OR(W1962="unavailable",Y1962="unavailable"),"不可评价",IF(AND(W1962="positive",Y1962="positive"),"a",IF(Y1962="positive","b",IF(W1962="positive","c","d"))))</x:f>
        <x:v>d</x:v>
      </x:c>
    </x:row>
    <x:row r="1963" ht="39" customHeight="1">
      <x:c r="A1963" s="12" t="str">
        <x:v>18752</x:v>
      </x:c>
      <x:c r="B1963" s="12" t="str">
        <x:v>9871</x:v>
      </x:c>
      <x:c r="C1963" s="21" t="n">
        <x:v>35727.4531712963</x:v>
      </x:c>
      <x:c r="D1963" s="12" t="n">
        <x:v>70</x:v>
      </x:c>
      <x:c r="E1963" s="12" t="n">
        <x:v>0</x:v>
      </x:c>
      <x:c r="F1963" s="12" t="str">
        <x:v>未记录</x:v>
      </x:c>
      <x:c r="G1963" s="12" t="n">
        <x:v>0</x:v>
      </x:c>
      <x:c r="H1963" s="12" t="str">
        <x:v>{'ASMI': 100.0, 'LAFB': 100.0, 'ISCAL': 100.0, 'ABQRS': 0.0, 'AFIB': 0.0}</x:v>
      </x:c>
      <x:c r="I1963" s="12" t="str">
        <x:v>[('AFIB', 100.0), ('LAD3', 100.0), ('IMI;AU', 100.0), ('AMI;AU', 100.0), ('ST&amp;', 100.0), ('LT', 100.0), ('AB', 100.0)]</x:v>
      </x:c>
      <x:c r="J1963" s="12" t="str">
        <x:v>ptbxl_database.csv；ecg_id=18752；scp_codes</x:v>
      </x:c>
      <x:c r="K1963" s="12" t="str">
        <x:v>12sl_statements.csv；ecg_id=18752；statements_ext_snomed</x:v>
      </x:c>
      <x:c r="L1963" s="12" t="n">
        <x:v>0</x:v>
      </x:c>
      <x:c r="M1963" s="12" t="str">
        <x:v>positive</x:v>
      </x:c>
      <x:c r="N1963" s="12" t="n">
        <x:v>100</x:v>
      </x:c>
      <x:c r="O1963" s="12" t="str">
        <x:v>positive</x:v>
      </x:c>
      <x:c r="P1963" s="12" t="str">
        <x:f>IF(OR(M1963="unavailable",O1963="unavailable"),"不可评价",IF(OR(M1963="equivocal",O1963="equivocal"),"疑似",IF(AND(M1963="positive",O1963="positive"),"a",IF(O1963="positive","b",IF(M1963="positive","c","d")))))</x:f>
        <x:v>a</x:v>
      </x:c>
      <x:c r="Q1963" s="12"/>
      <x:c r="R1963" s="12" t="str">
        <x:v>negative</x:v>
      </x:c>
      <x:c r="S1963" s="12"/>
      <x:c r="T1963" s="12" t="str">
        <x:v>negative</x:v>
      </x:c>
      <x:c r="U1963" s="12" t="str">
        <x:f>IF(OR(R1963="unavailable",T1963="unavailable"),"不可评价",IF(OR(R1963="equivocal",T1963="equivocal"),"疑似",IF(AND(R1963="positive",T1963="positive"),"a",IF(T1963="positive","b",IF(R1963="positive","c","d")))))</x:f>
        <x:v>d</x:v>
      </x:c>
      <x:c r="V1963" s="12"/>
      <x:c r="W1963" s="12" t="str">
        <x:v>negative</x:v>
      </x:c>
      <x:c r="X1963" s="12"/>
      <x:c r="Y1963" s="12" t="str">
        <x:v>negative</x:v>
      </x:c>
      <x:c r="Z1963" s="12" t="str">
        <x:f>IF(OR(W1963="unavailable",Y1963="unavailable"),"不可评价",IF(OR(W1963="equivocal",Y1963="equivocal"),"疑似",IF(AND(W1963="positive",Y1963="positive"),"a",IF(Y1963="positive","b",IF(W1963="positive","c","d")))))</x:f>
        <x:v>d</x:v>
      </x:c>
      <x:c r="AA1963" s="12" t="str">
        <x:f>IF(OR(M1963="unavailable",O1963="unavailable"),"不可评价",IF(AND(OR(M1963="positive",M1963="equivocal"),OR(O1963="positive",O1963="equivocal")),"a",IF(OR(O1963="positive",O1963="equivocal"),"b",IF(OR(M1963="positive",M1963="equivocal"),"c","d"))))</x:f>
        <x:v>a</x:v>
      </x:c>
      <x:c r="AB1963" s="12" t="str">
        <x:f>IF(OR(M1963="unavailable",O1963="unavailable"),"不可评价",IF(AND(M1963="positive",O1963="positive"),"a",IF(O1963="positive","b",IF(M1963="positive","c","d"))))</x:f>
        <x:v>a</x:v>
      </x:c>
      <x:c r="AC1963" s="12" t="str">
        <x:f>IF(OR(R1963="unavailable",T1963="unavailable"),"不可评价",IF(AND(OR(R1963="positive",R1963="equivocal"),OR(T1963="positive",T1963="equivocal")),"a",IF(OR(T1963="positive",T1963="equivocal"),"b",IF(OR(R1963="positive",R1963="equivocal"),"c","d"))))</x:f>
        <x:v>d</x:v>
      </x:c>
      <x:c r="AD1963" s="12" t="str">
        <x:f>IF(OR(R1963="unavailable",T1963="unavailable"),"不可评价",IF(AND(R1963="positive",T1963="positive"),"a",IF(T1963="positive","b",IF(R1963="positive","c","d"))))</x:f>
        <x:v>d</x:v>
      </x:c>
      <x:c r="AE1963" s="12" t="str">
        <x:f>IF(OR(W1963="unavailable",Y1963="unavailable"),"不可评价",IF(AND(OR(W1963="positive",W1963="equivocal"),OR(Y1963="positive",Y1963="equivocal")),"a",IF(OR(Y1963="positive",Y1963="equivocal"),"b",IF(OR(W1963="positive",W1963="equivocal"),"c","d"))))</x:f>
        <x:v>d</x:v>
      </x:c>
      <x:c r="AF1963" s="12" t="str">
        <x:f>IF(OR(W1963="unavailable",Y1963="unavailable"),"不可评价",IF(AND(W1963="positive",Y1963="positive"),"a",IF(Y1963="positive","b",IF(W1963="positive","c","d"))))</x:f>
        <x:v>d</x:v>
      </x:c>
    </x:row>
    <x:row r="1964" ht="39" customHeight="1">
      <x:c r="A1964" s="12" t="str">
        <x:v>18756</x:v>
      </x:c>
      <x:c r="B1964" s="12" t="str">
        <x:v>13186</x:v>
      </x:c>
      <x:c r="C1964" s="21" t="n">
        <x:v>35727.69534722222</x:v>
      </x:c>
      <x:c r="D1964" s="12" t="n">
        <x:v>52</x:v>
      </x:c>
      <x:c r="E1964" s="12" t="n">
        <x:v>1</x:v>
      </x:c>
      <x:c r="F1964" s="12" t="str">
        <x:v>未记录</x:v>
      </x:c>
      <x:c r="G1964" s="12" t="n">
        <x:v>0</x:v>
      </x:c>
      <x:c r="H1964" s="12" t="str">
        <x:v>{'IMI': 50.0, 'ASMI': 50.0, 'ISCAL': 50.0, 'ABQRS': 0.0, 'AFIB': 0.0}</x:v>
      </x:c>
      <x:c r="I1964" s="12" t="str">
        <x:v>[('AFIB', 100.0), ('RVR', 100.0), ('LAD3', 100.0), ('LOWV', 100.0), ('AMI;AU', 15.0), ('AB', 100.0)]</x:v>
      </x:c>
      <x:c r="J1964" s="12" t="str">
        <x:v>ptbxl_database.csv；ecg_id=18756；scp_codes</x:v>
      </x:c>
      <x:c r="K1964" s="12" t="str">
        <x:v>12sl_statements.csv；ecg_id=18756；statements_ext_snomed</x:v>
      </x:c>
      <x:c r="L1964" s="12" t="n">
        <x:v>0</x:v>
      </x:c>
      <x:c r="M1964" s="12" t="str">
        <x:v>positive</x:v>
      </x:c>
      <x:c r="N1964" s="12" t="n">
        <x:v>100</x:v>
      </x:c>
      <x:c r="O1964" s="12" t="str">
        <x:v>positive</x:v>
      </x:c>
      <x:c r="P1964" s="12" t="str">
        <x:f>IF(OR(M1964="unavailable",O1964="unavailable"),"不可评价",IF(OR(M1964="equivocal",O1964="equivocal"),"疑似",IF(AND(M1964="positive",O1964="positive"),"a",IF(O1964="positive","b",IF(M1964="positive","c","d")))))</x:f>
        <x:v>a</x:v>
      </x:c>
      <x:c r="Q1964" s="12"/>
      <x:c r="R1964" s="12" t="str">
        <x:v>negative</x:v>
      </x:c>
      <x:c r="S1964" s="12"/>
      <x:c r="T1964" s="12" t="str">
        <x:v>negative</x:v>
      </x:c>
      <x:c r="U1964" s="12" t="str">
        <x:f>IF(OR(R1964="unavailable",T1964="unavailable"),"不可评价",IF(OR(R1964="equivocal",T1964="equivocal"),"疑似",IF(AND(R1964="positive",T1964="positive"),"a",IF(T1964="positive","b",IF(R1964="positive","c","d")))))</x:f>
        <x:v>d</x:v>
      </x:c>
      <x:c r="V1964" s="12"/>
      <x:c r="W1964" s="12" t="str">
        <x:v>negative</x:v>
      </x:c>
      <x:c r="X1964" s="12"/>
      <x:c r="Y1964" s="12" t="str">
        <x:v>negative</x:v>
      </x:c>
      <x:c r="Z1964" s="12" t="str">
        <x:f>IF(OR(W1964="unavailable",Y1964="unavailable"),"不可评价",IF(OR(W1964="equivocal",Y1964="equivocal"),"疑似",IF(AND(W1964="positive",Y1964="positive"),"a",IF(Y1964="positive","b",IF(W1964="positive","c","d")))))</x:f>
        <x:v>d</x:v>
      </x:c>
      <x:c r="AA1964" s="12" t="str">
        <x:f>IF(OR(M1964="unavailable",O1964="unavailable"),"不可评价",IF(AND(OR(M1964="positive",M1964="equivocal"),OR(O1964="positive",O1964="equivocal")),"a",IF(OR(O1964="positive",O1964="equivocal"),"b",IF(OR(M1964="positive",M1964="equivocal"),"c","d"))))</x:f>
        <x:v>a</x:v>
      </x:c>
      <x:c r="AB1964" s="12" t="str">
        <x:f>IF(OR(M1964="unavailable",O1964="unavailable"),"不可评价",IF(AND(M1964="positive",O1964="positive"),"a",IF(O1964="positive","b",IF(M1964="positive","c","d"))))</x:f>
        <x:v>a</x:v>
      </x:c>
      <x:c r="AC1964" s="12" t="str">
        <x:f>IF(OR(R1964="unavailable",T1964="unavailable"),"不可评价",IF(AND(OR(R1964="positive",R1964="equivocal"),OR(T1964="positive",T1964="equivocal")),"a",IF(OR(T1964="positive",T1964="equivocal"),"b",IF(OR(R1964="positive",R1964="equivocal"),"c","d"))))</x:f>
        <x:v>d</x:v>
      </x:c>
      <x:c r="AD1964" s="12" t="str">
        <x:f>IF(OR(R1964="unavailable",T1964="unavailable"),"不可评价",IF(AND(R1964="positive",T1964="positive"),"a",IF(T1964="positive","b",IF(R1964="positive","c","d"))))</x:f>
        <x:v>d</x:v>
      </x:c>
      <x:c r="AE1964" s="12" t="str">
        <x:f>IF(OR(W1964="unavailable",Y1964="unavailable"),"不可评价",IF(AND(OR(W1964="positive",W1964="equivocal"),OR(Y1964="positive",Y1964="equivocal")),"a",IF(OR(Y1964="positive",Y1964="equivocal"),"b",IF(OR(W1964="positive",W1964="equivocal"),"c","d"))))</x:f>
        <x:v>d</x:v>
      </x:c>
      <x:c r="AF1964" s="12" t="str">
        <x:f>IF(OR(W1964="unavailable",Y1964="unavailable"),"不可评价",IF(AND(W1964="positive",Y1964="positive"),"a",IF(Y1964="positive","b",IF(W1964="positive","c","d"))))</x:f>
        <x:v>d</x:v>
      </x:c>
    </x:row>
    <x:row r="1965" ht="24" customHeight="1">
      <x:c r="A1965" s="12" t="str">
        <x:v>18758</x:v>
      </x:c>
      <x:c r="B1965" s="12" t="str">
        <x:v>9579</x:v>
      </x:c>
      <x:c r="C1965" s="21" t="n">
        <x:v>35727.72293981481</x:v>
      </x:c>
      <x:c r="D1965" s="12" t="n">
        <x:v>61</x:v>
      </x:c>
      <x:c r="E1965" s="12" t="n">
        <x:v>0</x:v>
      </x:c>
      <x:c r="F1965" s="12" t="str">
        <x:v>存在</x:v>
      </x:c>
      <x:c r="G1965" s="12" t="n">
        <x:v>0</x:v>
      </x:c>
      <x:c r="H1965" s="12" t="str">
        <x:v>{'IMI': 35.0, 'ABQRS': 0.0, 'SR': 0.0}</x:v>
      </x:c>
      <x:c r="I1965" s="12" t="str">
        <x:v>[('NSR', 100.0), ('NML', 100.0)]</x:v>
      </x:c>
      <x:c r="J1965" s="12" t="str">
        <x:v>ptbxl_database.csv；ecg_id=18758；scp_codes</x:v>
      </x:c>
      <x:c r="K1965" s="12" t="str">
        <x:v>12sl_statements.csv；ecg_id=18758；statements_ext_snomed</x:v>
      </x:c>
      <x:c r="L1965" s="12"/>
      <x:c r="M1965" s="12" t="str">
        <x:v>negative</x:v>
      </x:c>
      <x:c r="N1965" s="12"/>
      <x:c r="O1965" s="12" t="str">
        <x:v>negative</x:v>
      </x:c>
      <x:c r="P1965" s="12" t="str">
        <x:f>IF(OR(M1965="unavailable",O1965="unavailable"),"不可评价",IF(OR(M1965="equivocal",O1965="equivocal"),"疑似",IF(AND(M1965="positive",O1965="positive"),"a",IF(O1965="positive","b",IF(M1965="positive","c","d")))))</x:f>
        <x:v>d</x:v>
      </x:c>
      <x:c r="Q1965" s="12"/>
      <x:c r="R1965" s="12" t="str">
        <x:v>negative</x:v>
      </x:c>
      <x:c r="S1965" s="12"/>
      <x:c r="T1965" s="12" t="str">
        <x:v>negative</x:v>
      </x:c>
      <x:c r="U1965" s="12" t="str">
        <x:f>IF(OR(R1965="unavailable",T1965="unavailable"),"不可评价",IF(OR(R1965="equivocal",T1965="equivocal"),"疑似",IF(AND(R1965="positive",T1965="positive"),"a",IF(T1965="positive","b",IF(R1965="positive","c","d")))))</x:f>
        <x:v>d</x:v>
      </x:c>
      <x:c r="V1965" s="12"/>
      <x:c r="W1965" s="12" t="str">
        <x:v>negative</x:v>
      </x:c>
      <x:c r="X1965" s="12"/>
      <x:c r="Y1965" s="12" t="str">
        <x:v>negative</x:v>
      </x:c>
      <x:c r="Z1965" s="12" t="str">
        <x:f>IF(OR(W1965="unavailable",Y1965="unavailable"),"不可评价",IF(OR(W1965="equivocal",Y1965="equivocal"),"疑似",IF(AND(W1965="positive",Y1965="positive"),"a",IF(Y1965="positive","b",IF(W1965="positive","c","d")))))</x:f>
        <x:v>d</x:v>
      </x:c>
      <x:c r="AA1965" s="12" t="str">
        <x:f>IF(OR(M1965="unavailable",O1965="unavailable"),"不可评价",IF(AND(OR(M1965="positive",M1965="equivocal"),OR(O1965="positive",O1965="equivocal")),"a",IF(OR(O1965="positive",O1965="equivocal"),"b",IF(OR(M1965="positive",M1965="equivocal"),"c","d"))))</x:f>
        <x:v>d</x:v>
      </x:c>
      <x:c r="AB1965" s="12" t="str">
        <x:f>IF(OR(M1965="unavailable",O1965="unavailable"),"不可评价",IF(AND(M1965="positive",O1965="positive"),"a",IF(O1965="positive","b",IF(M1965="positive","c","d"))))</x:f>
        <x:v>d</x:v>
      </x:c>
      <x:c r="AC1965" s="12" t="str">
        <x:f>IF(OR(R1965="unavailable",T1965="unavailable"),"不可评价",IF(AND(OR(R1965="positive",R1965="equivocal"),OR(T1965="positive",T1965="equivocal")),"a",IF(OR(T1965="positive",T1965="equivocal"),"b",IF(OR(R1965="positive",R1965="equivocal"),"c","d"))))</x:f>
        <x:v>d</x:v>
      </x:c>
      <x:c r="AD1965" s="12" t="str">
        <x:f>IF(OR(R1965="unavailable",T1965="unavailable"),"不可评价",IF(AND(R1965="positive",T1965="positive"),"a",IF(T1965="positive","b",IF(R1965="positive","c","d"))))</x:f>
        <x:v>d</x:v>
      </x:c>
      <x:c r="AE1965" s="12" t="str">
        <x:f>IF(OR(W1965="unavailable",Y1965="unavailable"),"不可评价",IF(AND(OR(W1965="positive",W1965="equivocal"),OR(Y1965="positive",Y1965="equivocal")),"a",IF(OR(Y1965="positive",Y1965="equivocal"),"b",IF(OR(W1965="positive",W1965="equivocal"),"c","d"))))</x:f>
        <x:v>d</x:v>
      </x:c>
      <x:c r="AF1965" s="12" t="str">
        <x:f>IF(OR(W1965="unavailable",Y1965="unavailable"),"不可评价",IF(AND(W1965="positive",Y1965="positive"),"a",IF(Y1965="positive","b",IF(W1965="positive","c","d"))))</x:f>
        <x:v>d</x:v>
      </x:c>
    </x:row>
    <x:row r="1966" ht="24" customHeight="1">
      <x:c r="A1966" s="12" t="str">
        <x:v>18761</x:v>
      </x:c>
      <x:c r="B1966" s="12" t="str">
        <x:v>18837</x:v>
      </x:c>
      <x:c r="C1966" s="21" t="n">
        <x:v>35728.58574074074</x:v>
      </x:c>
      <x:c r="D1966" s="12" t="n">
        <x:v>68</x:v>
      </x:c>
      <x:c r="E1966" s="12" t="n">
        <x:v>0</x:v>
      </x:c>
      <x:c r="F1966" s="12" t="str">
        <x:v>存在</x:v>
      </x:c>
      <x:c r="G1966" s="12" t="n">
        <x:v>1</x:v>
      </x:c>
      <x:c r="H1966" s="12" t="str">
        <x:v>{'NORM': 100.0, 'SR': 0.0}</x:v>
      </x:c>
      <x:c r="I1966" s="12" t="str">
        <x:v>[('NSR', 100.0), ('NML', 100.0)]</x:v>
      </x:c>
      <x:c r="J1966" s="12" t="str">
        <x:v>ptbxl_database.csv；ecg_id=18761；scp_codes</x:v>
      </x:c>
      <x:c r="K1966" s="12" t="str">
        <x:v>12sl_statements.csv；ecg_id=18761；statements_ext_snomed</x:v>
      </x:c>
      <x:c r="L1966" s="12"/>
      <x:c r="M1966" s="12" t="str">
        <x:v>negative</x:v>
      </x:c>
      <x:c r="N1966" s="12"/>
      <x:c r="O1966" s="12" t="str">
        <x:v>negative</x:v>
      </x:c>
      <x:c r="P1966" s="12" t="str">
        <x:f>IF(OR(M1966="unavailable",O1966="unavailable"),"不可评价",IF(OR(M1966="equivocal",O1966="equivocal"),"疑似",IF(AND(M1966="positive",O1966="positive"),"a",IF(O1966="positive","b",IF(M1966="positive","c","d")))))</x:f>
        <x:v>d</x:v>
      </x:c>
      <x:c r="Q1966" s="12"/>
      <x:c r="R1966" s="12" t="str">
        <x:v>negative</x:v>
      </x:c>
      <x:c r="S1966" s="12"/>
      <x:c r="T1966" s="12" t="str">
        <x:v>negative</x:v>
      </x:c>
      <x:c r="U1966" s="12" t="str">
        <x:f>IF(OR(R1966="unavailable",T1966="unavailable"),"不可评价",IF(OR(R1966="equivocal",T1966="equivocal"),"疑似",IF(AND(R1966="positive",T1966="positive"),"a",IF(T1966="positive","b",IF(R1966="positive","c","d")))))</x:f>
        <x:v>d</x:v>
      </x:c>
      <x:c r="V1966" s="12"/>
      <x:c r="W1966" s="12" t="str">
        <x:v>negative</x:v>
      </x:c>
      <x:c r="X1966" s="12"/>
      <x:c r="Y1966" s="12" t="str">
        <x:v>negative</x:v>
      </x:c>
      <x:c r="Z1966" s="12" t="str">
        <x:f>IF(OR(W1966="unavailable",Y1966="unavailable"),"不可评价",IF(OR(W1966="equivocal",Y1966="equivocal"),"疑似",IF(AND(W1966="positive",Y1966="positive"),"a",IF(Y1966="positive","b",IF(W1966="positive","c","d")))))</x:f>
        <x:v>d</x:v>
      </x:c>
      <x:c r="AA1966" s="12" t="str">
        <x:f>IF(OR(M1966="unavailable",O1966="unavailable"),"不可评价",IF(AND(OR(M1966="positive",M1966="equivocal"),OR(O1966="positive",O1966="equivocal")),"a",IF(OR(O1966="positive",O1966="equivocal"),"b",IF(OR(M1966="positive",M1966="equivocal"),"c","d"))))</x:f>
        <x:v>d</x:v>
      </x:c>
      <x:c r="AB1966" s="12" t="str">
        <x:f>IF(OR(M1966="unavailable",O1966="unavailable"),"不可评价",IF(AND(M1966="positive",O1966="positive"),"a",IF(O1966="positive","b",IF(M1966="positive","c","d"))))</x:f>
        <x:v>d</x:v>
      </x:c>
      <x:c r="AC1966" s="12" t="str">
        <x:f>IF(OR(R1966="unavailable",T1966="unavailable"),"不可评价",IF(AND(OR(R1966="positive",R1966="equivocal"),OR(T1966="positive",T1966="equivocal")),"a",IF(OR(T1966="positive",T1966="equivocal"),"b",IF(OR(R1966="positive",R1966="equivocal"),"c","d"))))</x:f>
        <x:v>d</x:v>
      </x:c>
      <x:c r="AD1966" s="12" t="str">
        <x:f>IF(OR(R1966="unavailable",T1966="unavailable"),"不可评价",IF(AND(R1966="positive",T1966="positive"),"a",IF(T1966="positive","b",IF(R1966="positive","c","d"))))</x:f>
        <x:v>d</x:v>
      </x:c>
      <x:c r="AE1966" s="12" t="str">
        <x:f>IF(OR(W1966="unavailable",Y1966="unavailable"),"不可评价",IF(AND(OR(W1966="positive",W1966="equivocal"),OR(Y1966="positive",Y1966="equivocal")),"a",IF(OR(Y1966="positive",Y1966="equivocal"),"b",IF(OR(W1966="positive",W1966="equivocal"),"c","d"))))</x:f>
        <x:v>d</x:v>
      </x:c>
      <x:c r="AF1966" s="12" t="str">
        <x:f>IF(OR(W1966="unavailable",Y1966="unavailable"),"不可评价",IF(AND(W1966="positive",Y1966="positive"),"a",IF(Y1966="positive","b",IF(W1966="positive","c","d"))))</x:f>
        <x:v>d</x:v>
      </x:c>
    </x:row>
    <x:row r="1967" ht="24" customHeight="1">
      <x:c r="A1967" s="12" t="str">
        <x:v>18762</x:v>
      </x:c>
      <x:c r="B1967" s="12" t="str">
        <x:v>16354</x:v>
      </x:c>
      <x:c r="C1967" s="21" t="n">
        <x:v>35728.60046296296</x:v>
      </x:c>
      <x:c r="D1967" s="12" t="n">
        <x:v>66</x:v>
      </x:c>
      <x:c r="E1967" s="12" t="n">
        <x:v>0</x:v>
      </x:c>
      <x:c r="F1967" s="12" t="str">
        <x:v>未记录</x:v>
      </x:c>
      <x:c r="G1967" s="12" t="n">
        <x:v>1</x:v>
      </x:c>
      <x:c r="H1967" s="12" t="str">
        <x:v>{'IMI': 50.0, 'ABQRS': 0.0, 'AFIB': 0.0}</x:v>
      </x:c>
      <x:c r="I1967" s="12" t="str">
        <x:v>[('AFIB', 100.0), ('RVR', 100.0), ('AB', 100.0)]</x:v>
      </x:c>
      <x:c r="J1967" s="12" t="str">
        <x:v>ptbxl_database.csv；ecg_id=18762；scp_codes</x:v>
      </x:c>
      <x:c r="K1967" s="12" t="str">
        <x:v>12sl_statements.csv；ecg_id=18762；statements_ext_snomed</x:v>
      </x:c>
      <x:c r="L1967" s="12" t="n">
        <x:v>0</x:v>
      </x:c>
      <x:c r="M1967" s="12" t="str">
        <x:v>positive</x:v>
      </x:c>
      <x:c r="N1967" s="12" t="n">
        <x:v>100</x:v>
      </x:c>
      <x:c r="O1967" s="12" t="str">
        <x:v>positive</x:v>
      </x:c>
      <x:c r="P1967" s="12" t="str">
        <x:f>IF(OR(M1967="unavailable",O1967="unavailable"),"不可评价",IF(OR(M1967="equivocal",O1967="equivocal"),"疑似",IF(AND(M1967="positive",O1967="positive"),"a",IF(O1967="positive","b",IF(M1967="positive","c","d")))))</x:f>
        <x:v>a</x:v>
      </x:c>
      <x:c r="Q1967" s="12"/>
      <x:c r="R1967" s="12" t="str">
        <x:v>negative</x:v>
      </x:c>
      <x:c r="S1967" s="12"/>
      <x:c r="T1967" s="12" t="str">
        <x:v>negative</x:v>
      </x:c>
      <x:c r="U1967" s="12" t="str">
        <x:f>IF(OR(R1967="unavailable",T1967="unavailable"),"不可评价",IF(OR(R1967="equivocal",T1967="equivocal"),"疑似",IF(AND(R1967="positive",T1967="positive"),"a",IF(T1967="positive","b",IF(R1967="positive","c","d")))))</x:f>
        <x:v>d</x:v>
      </x:c>
      <x:c r="V1967" s="12"/>
      <x:c r="W1967" s="12" t="str">
        <x:v>negative</x:v>
      </x:c>
      <x:c r="X1967" s="12"/>
      <x:c r="Y1967" s="12" t="str">
        <x:v>negative</x:v>
      </x:c>
      <x:c r="Z1967" s="12" t="str">
        <x:f>IF(OR(W1967="unavailable",Y1967="unavailable"),"不可评价",IF(OR(W1967="equivocal",Y1967="equivocal"),"疑似",IF(AND(W1967="positive",Y1967="positive"),"a",IF(Y1967="positive","b",IF(W1967="positive","c","d")))))</x:f>
        <x:v>d</x:v>
      </x:c>
      <x:c r="AA1967" s="12" t="str">
        <x:f>IF(OR(M1967="unavailable",O1967="unavailable"),"不可评价",IF(AND(OR(M1967="positive",M1967="equivocal"),OR(O1967="positive",O1967="equivocal")),"a",IF(OR(O1967="positive",O1967="equivocal"),"b",IF(OR(M1967="positive",M1967="equivocal"),"c","d"))))</x:f>
        <x:v>a</x:v>
      </x:c>
      <x:c r="AB1967" s="12" t="str">
        <x:f>IF(OR(M1967="unavailable",O1967="unavailable"),"不可评价",IF(AND(M1967="positive",O1967="positive"),"a",IF(O1967="positive","b",IF(M1967="positive","c","d"))))</x:f>
        <x:v>a</x:v>
      </x:c>
      <x:c r="AC1967" s="12" t="str">
        <x:f>IF(OR(R1967="unavailable",T1967="unavailable"),"不可评价",IF(AND(OR(R1967="positive",R1967="equivocal"),OR(T1967="positive",T1967="equivocal")),"a",IF(OR(T1967="positive",T1967="equivocal"),"b",IF(OR(R1967="positive",R1967="equivocal"),"c","d"))))</x:f>
        <x:v>d</x:v>
      </x:c>
      <x:c r="AD1967" s="12" t="str">
        <x:f>IF(OR(R1967="unavailable",T1967="unavailable"),"不可评价",IF(AND(R1967="positive",T1967="positive"),"a",IF(T1967="positive","b",IF(R1967="positive","c","d"))))</x:f>
        <x:v>d</x:v>
      </x:c>
      <x:c r="AE1967" s="12" t="str">
        <x:f>IF(OR(W1967="unavailable",Y1967="unavailable"),"不可评价",IF(AND(OR(W1967="positive",W1967="equivocal"),OR(Y1967="positive",Y1967="equivocal")),"a",IF(OR(Y1967="positive",Y1967="equivocal"),"b",IF(OR(W1967="positive",W1967="equivocal"),"c","d"))))</x:f>
        <x:v>d</x:v>
      </x:c>
      <x:c r="AF1967" s="12" t="str">
        <x:f>IF(OR(W1967="unavailable",Y1967="unavailable"),"不可评价",IF(AND(W1967="positive",Y1967="positive"),"a",IF(Y1967="positive","b",IF(W1967="positive","c","d"))))</x:f>
        <x:v>d</x:v>
      </x:c>
    </x:row>
    <x:row r="1968" ht="24" customHeight="1">
      <x:c r="A1968" s="12" t="str">
        <x:v>18775</x:v>
      </x:c>
      <x:c r="B1968" s="12" t="str">
        <x:v>14195</x:v>
      </x:c>
      <x:c r="C1968" s="21" t="n">
        <x:v>35729.80829861111</x:v>
      </x:c>
      <x:c r="D1968" s="12" t="n">
        <x:v>65</x:v>
      </x:c>
      <x:c r="E1968" s="12" t="n">
        <x:v>0</x:v>
      </x:c>
      <x:c r="F1968" s="12" t="str">
        <x:v>未记录</x:v>
      </x:c>
      <x:c r="G1968" s="12" t="n">
        <x:v>0</x:v>
      </x:c>
      <x:c r="H1968" s="12" t="str">
        <x:v>{'AMI': 35.0, 'IVCD': 100.0, 'SR': 0.0}</x:v>
      </x:c>
      <x:c r="I1968" s="12" t="str">
        <x:v>[('NSR', 100.0), ('LOWV', 100.0), ('BORDE', 100.0)]</x:v>
      </x:c>
      <x:c r="J1968" s="12" t="str">
        <x:v>ptbxl_database.csv；ecg_id=18775；scp_codes</x:v>
      </x:c>
      <x:c r="K1968" s="12" t="str">
        <x:v>12sl_statements.csv；ecg_id=18775；statements_ext_snomed</x:v>
      </x:c>
      <x:c r="L1968" s="12"/>
      <x:c r="M1968" s="12" t="str">
        <x:v>negative</x:v>
      </x:c>
      <x:c r="N1968" s="12"/>
      <x:c r="O1968" s="12" t="str">
        <x:v>negative</x:v>
      </x:c>
      <x:c r="P1968" s="12" t="str">
        <x:f>IF(OR(M1968="unavailable",O1968="unavailable"),"不可评价",IF(OR(M1968="equivocal",O1968="equivocal"),"疑似",IF(AND(M1968="positive",O1968="positive"),"a",IF(O1968="positive","b",IF(M1968="positive","c","d")))))</x:f>
        <x:v>d</x:v>
      </x:c>
      <x:c r="Q1968" s="12"/>
      <x:c r="R1968" s="12" t="str">
        <x:v>negative</x:v>
      </x:c>
      <x:c r="S1968" s="12"/>
      <x:c r="T1968" s="12" t="str">
        <x:v>negative</x:v>
      </x:c>
      <x:c r="U1968" s="12" t="str">
        <x:f>IF(OR(R1968="unavailable",T1968="unavailable"),"不可评价",IF(OR(R1968="equivocal",T1968="equivocal"),"疑似",IF(AND(R1968="positive",T1968="positive"),"a",IF(T1968="positive","b",IF(R1968="positive","c","d")))))</x:f>
        <x:v>d</x:v>
      </x:c>
      <x:c r="V1968" s="12"/>
      <x:c r="W1968" s="12" t="str">
        <x:v>negative</x:v>
      </x:c>
      <x:c r="X1968" s="12"/>
      <x:c r="Y1968" s="12" t="str">
        <x:v>negative</x:v>
      </x:c>
      <x:c r="Z1968" s="12" t="str">
        <x:f>IF(OR(W1968="unavailable",Y1968="unavailable"),"不可评价",IF(OR(W1968="equivocal",Y1968="equivocal"),"疑似",IF(AND(W1968="positive",Y1968="positive"),"a",IF(Y1968="positive","b",IF(W1968="positive","c","d")))))</x:f>
        <x:v>d</x:v>
      </x:c>
      <x:c r="AA1968" s="12" t="str">
        <x:f>IF(OR(M1968="unavailable",O1968="unavailable"),"不可评价",IF(AND(OR(M1968="positive",M1968="equivocal"),OR(O1968="positive",O1968="equivocal")),"a",IF(OR(O1968="positive",O1968="equivocal"),"b",IF(OR(M1968="positive",M1968="equivocal"),"c","d"))))</x:f>
        <x:v>d</x:v>
      </x:c>
      <x:c r="AB1968" s="12" t="str">
        <x:f>IF(OR(M1968="unavailable",O1968="unavailable"),"不可评价",IF(AND(M1968="positive",O1968="positive"),"a",IF(O1968="positive","b",IF(M1968="positive","c","d"))))</x:f>
        <x:v>d</x:v>
      </x:c>
      <x:c r="AC1968" s="12" t="str">
        <x:f>IF(OR(R1968="unavailable",T1968="unavailable"),"不可评价",IF(AND(OR(R1968="positive",R1968="equivocal"),OR(T1968="positive",T1968="equivocal")),"a",IF(OR(T1968="positive",T1968="equivocal"),"b",IF(OR(R1968="positive",R1968="equivocal"),"c","d"))))</x:f>
        <x:v>d</x:v>
      </x:c>
      <x:c r="AD1968" s="12" t="str">
        <x:f>IF(OR(R1968="unavailable",T1968="unavailable"),"不可评价",IF(AND(R1968="positive",T1968="positive"),"a",IF(T1968="positive","b",IF(R1968="positive","c","d"))))</x:f>
        <x:v>d</x:v>
      </x:c>
      <x:c r="AE1968" s="12" t="str">
        <x:f>IF(OR(W1968="unavailable",Y1968="unavailable"),"不可评价",IF(AND(OR(W1968="positive",W1968="equivocal"),OR(Y1968="positive",Y1968="equivocal")),"a",IF(OR(Y1968="positive",Y1968="equivocal"),"b",IF(OR(W1968="positive",W1968="equivocal"),"c","d"))))</x:f>
        <x:v>d</x:v>
      </x:c>
      <x:c r="AF1968" s="12" t="str">
        <x:f>IF(OR(W1968="unavailable",Y1968="unavailable"),"不可评价",IF(AND(W1968="positive",Y1968="positive"),"a",IF(Y1968="positive","b",IF(W1968="positive","c","d"))))</x:f>
        <x:v>d</x:v>
      </x:c>
    </x:row>
    <x:row r="1969" ht="24" customHeight="1">
      <x:c r="A1969" s="12" t="str">
        <x:v>18777</x:v>
      </x:c>
      <x:c r="B1969" s="12" t="str">
        <x:v>9407</x:v>
      </x:c>
      <x:c r="C1969" s="21" t="n">
        <x:v>35730.924375</x:v>
      </x:c>
      <x:c r="D1969" s="12" t="n">
        <x:v>81</x:v>
      </x:c>
      <x:c r="E1969" s="12" t="n">
        <x:v>0</x:v>
      </x:c>
      <x:c r="F1969" s="12" t="str">
        <x:v>存在</x:v>
      </x:c>
      <x:c r="G1969" s="12" t="n">
        <x:v>0</x:v>
      </x:c>
      <x:c r="H1969" s="12" t="str">
        <x:v>{'CLBBB': 100.0, 'AFIB': 0.0}</x:v>
      </x:c>
      <x:c r="I1969" s="12" t="str">
        <x:v>[('STACH', 100.0), ('$SFUS', 100.0), ('LBBB', 100.0), ('AB', 100.0)]</x:v>
      </x:c>
      <x:c r="J1969" s="12" t="str">
        <x:v>ptbxl_database.csv；ecg_id=18777；scp_codes</x:v>
      </x:c>
      <x:c r="K1969" s="12" t="str">
        <x:v>12sl_statements.csv；ecg_id=18777；statements_ext_snomed</x:v>
      </x:c>
      <x:c r="L1969" s="12" t="n">
        <x:v>0</x:v>
      </x:c>
      <x:c r="M1969" s="12" t="str">
        <x:v>positive</x:v>
      </x:c>
      <x:c r="N1969" s="12"/>
      <x:c r="O1969" s="12" t="str">
        <x:v>negative</x:v>
      </x:c>
      <x:c r="P1969" s="12" t="str">
        <x:f>IF(OR(M1969="unavailable",O1969="unavailable"),"不可评价",IF(OR(M1969="equivocal",O1969="equivocal"),"疑似",IF(AND(M1969="positive",O1969="positive"),"a",IF(O1969="positive","b",IF(M1969="positive","c","d")))))</x:f>
        <x:v>c</x:v>
      </x:c>
      <x:c r="Q1969" s="12" t="n">
        <x:v>100</x:v>
      </x:c>
      <x:c r="R1969" s="12" t="str">
        <x:v>positive</x:v>
      </x:c>
      <x:c r="S1969" s="12" t="n">
        <x:v>100</x:v>
      </x:c>
      <x:c r="T1969" s="12" t="str">
        <x:v>positive</x:v>
      </x:c>
      <x:c r="U1969" s="12" t="str">
        <x:f>IF(OR(R1969="unavailable",T1969="unavailable"),"不可评价",IF(OR(R1969="equivocal",T1969="equivocal"),"疑似",IF(AND(R1969="positive",T1969="positive"),"a",IF(T1969="positive","b",IF(R1969="positive","c","d")))))</x:f>
        <x:v>a</x:v>
      </x:c>
      <x:c r="V1969" s="12"/>
      <x:c r="W1969" s="12" t="str">
        <x:v>negative</x:v>
      </x:c>
      <x:c r="X1969" s="12"/>
      <x:c r="Y1969" s="12" t="str">
        <x:v>negative</x:v>
      </x:c>
      <x:c r="Z1969" s="12" t="str">
        <x:f>IF(OR(W1969="unavailable",Y1969="unavailable"),"不可评价",IF(OR(W1969="equivocal",Y1969="equivocal"),"疑似",IF(AND(W1969="positive",Y1969="positive"),"a",IF(Y1969="positive","b",IF(W1969="positive","c","d")))))</x:f>
        <x:v>d</x:v>
      </x:c>
      <x:c r="AA1969" s="12" t="str">
        <x:f>IF(OR(M1969="unavailable",O1969="unavailable"),"不可评价",IF(AND(OR(M1969="positive",M1969="equivocal"),OR(O1969="positive",O1969="equivocal")),"a",IF(OR(O1969="positive",O1969="equivocal"),"b",IF(OR(M1969="positive",M1969="equivocal"),"c","d"))))</x:f>
        <x:v>c</x:v>
      </x:c>
      <x:c r="AB1969" s="12" t="str">
        <x:f>IF(OR(M1969="unavailable",O1969="unavailable"),"不可评价",IF(AND(M1969="positive",O1969="positive"),"a",IF(O1969="positive","b",IF(M1969="positive","c","d"))))</x:f>
        <x:v>c</x:v>
      </x:c>
      <x:c r="AC1969" s="12" t="str">
        <x:f>IF(OR(R1969="unavailable",T1969="unavailable"),"不可评价",IF(AND(OR(R1969="positive",R1969="equivocal"),OR(T1969="positive",T1969="equivocal")),"a",IF(OR(T1969="positive",T1969="equivocal"),"b",IF(OR(R1969="positive",R1969="equivocal"),"c","d"))))</x:f>
        <x:v>a</x:v>
      </x:c>
      <x:c r="AD1969" s="12" t="str">
        <x:f>IF(OR(R1969="unavailable",T1969="unavailable"),"不可评价",IF(AND(R1969="positive",T1969="positive"),"a",IF(T1969="positive","b",IF(R1969="positive","c","d"))))</x:f>
        <x:v>a</x:v>
      </x:c>
      <x:c r="AE1969" s="12" t="str">
        <x:f>IF(OR(W1969="unavailable",Y1969="unavailable"),"不可评价",IF(AND(OR(W1969="positive",W1969="equivocal"),OR(Y1969="positive",Y1969="equivocal")),"a",IF(OR(Y1969="positive",Y1969="equivocal"),"b",IF(OR(W1969="positive",W1969="equivocal"),"c","d"))))</x:f>
        <x:v>d</x:v>
      </x:c>
      <x:c r="AF1969" s="12" t="str">
        <x:f>IF(OR(W1969="unavailable",Y1969="unavailable"),"不可评价",IF(AND(W1969="positive",Y1969="positive"),"a",IF(Y1969="positive","b",IF(W1969="positive","c","d"))))</x:f>
        <x:v>d</x:v>
      </x:c>
    </x:row>
    <x:row r="1970" ht="24" customHeight="1">
      <x:c r="A1970" s="12" t="str">
        <x:v>18797</x:v>
      </x:c>
      <x:c r="B1970" s="12" t="str">
        <x:v>8559</x:v>
      </x:c>
      <x:c r="C1970" s="21" t="n">
        <x:v>35734.53638888889</x:v>
      </x:c>
      <x:c r="D1970" s="12" t="n">
        <x:v>57</x:v>
      </x:c>
      <x:c r="E1970" s="12" t="n">
        <x:v>0</x:v>
      </x:c>
      <x:c r="F1970" s="12" t="str">
        <x:v>未记录</x:v>
      </x:c>
      <x:c r="G1970" s="12" t="n">
        <x:v>1</x:v>
      </x:c>
      <x:c r="H1970" s="12" t="str">
        <x:v>{'ILMI': 15.0, 'IRBBB': 100.0, 'LAFB': 100.0}</x:v>
      </x:c>
      <x:c r="I1970" s="12" t="str">
        <x:v>[('SRTH', 100.0), ('PAC', 100.0), ('NT', 100.0), ('AB', 100.0)]</x:v>
      </x:c>
      <x:c r="J1970" s="12" t="str">
        <x:v>ptbxl_database.csv；ecg_id=18797；scp_codes</x:v>
      </x:c>
      <x:c r="K1970" s="12" t="str">
        <x:v>12sl_statements.csv；ecg_id=18797；statements_ext_snomed</x:v>
      </x:c>
      <x:c r="L1970" s="12"/>
      <x:c r="M1970" s="12" t="str">
        <x:v>negative</x:v>
      </x:c>
      <x:c r="N1970" s="12"/>
      <x:c r="O1970" s="12" t="str">
        <x:v>negative</x:v>
      </x:c>
      <x:c r="P1970" s="12" t="str">
        <x:f>IF(OR(M1970="unavailable",O1970="unavailable"),"不可评价",IF(OR(M1970="equivocal",O1970="equivocal"),"疑似",IF(AND(M1970="positive",O1970="positive"),"a",IF(O1970="positive","b",IF(M1970="positive","c","d")))))</x:f>
        <x:v>d</x:v>
      </x:c>
      <x:c r="Q1970" s="12"/>
      <x:c r="R1970" s="12" t="str">
        <x:v>negative</x:v>
      </x:c>
      <x:c r="S1970" s="12"/>
      <x:c r="T1970" s="12" t="str">
        <x:v>negative</x:v>
      </x:c>
      <x:c r="U1970" s="12" t="str">
        <x:f>IF(OR(R1970="unavailable",T1970="unavailable"),"不可评价",IF(OR(R1970="equivocal",T1970="equivocal"),"疑似",IF(AND(R1970="positive",T1970="positive"),"a",IF(T1970="positive","b",IF(R1970="positive","c","d")))))</x:f>
        <x:v>d</x:v>
      </x:c>
      <x:c r="V1970" s="12"/>
      <x:c r="W1970" s="12" t="str">
        <x:v>negative</x:v>
      </x:c>
      <x:c r="X1970" s="12"/>
      <x:c r="Y1970" s="12" t="str">
        <x:v>negative</x:v>
      </x:c>
      <x:c r="Z1970" s="12" t="str">
        <x:f>IF(OR(W1970="unavailable",Y1970="unavailable"),"不可评价",IF(OR(W1970="equivocal",Y1970="equivocal"),"疑似",IF(AND(W1970="positive",Y1970="positive"),"a",IF(Y1970="positive","b",IF(W1970="positive","c","d")))))</x:f>
        <x:v>d</x:v>
      </x:c>
      <x:c r="AA1970" s="12" t="str">
        <x:f>IF(OR(M1970="unavailable",O1970="unavailable"),"不可评价",IF(AND(OR(M1970="positive",M1970="equivocal"),OR(O1970="positive",O1970="equivocal")),"a",IF(OR(O1970="positive",O1970="equivocal"),"b",IF(OR(M1970="positive",M1970="equivocal"),"c","d"))))</x:f>
        <x:v>d</x:v>
      </x:c>
      <x:c r="AB1970" s="12" t="str">
        <x:f>IF(OR(M1970="unavailable",O1970="unavailable"),"不可评价",IF(AND(M1970="positive",O1970="positive"),"a",IF(O1970="positive","b",IF(M1970="positive","c","d"))))</x:f>
        <x:v>d</x:v>
      </x:c>
      <x:c r="AC1970" s="12" t="str">
        <x:f>IF(OR(R1970="unavailable",T1970="unavailable"),"不可评价",IF(AND(OR(R1970="positive",R1970="equivocal"),OR(T1970="positive",T1970="equivocal")),"a",IF(OR(T1970="positive",T1970="equivocal"),"b",IF(OR(R1970="positive",R1970="equivocal"),"c","d"))))</x:f>
        <x:v>d</x:v>
      </x:c>
      <x:c r="AD1970" s="12" t="str">
        <x:f>IF(OR(R1970="unavailable",T1970="unavailable"),"不可评价",IF(AND(R1970="positive",T1970="positive"),"a",IF(T1970="positive","b",IF(R1970="positive","c","d"))))</x:f>
        <x:v>d</x:v>
      </x:c>
      <x:c r="AE1970" s="12" t="str">
        <x:f>IF(OR(W1970="unavailable",Y1970="unavailable"),"不可评价",IF(AND(OR(W1970="positive",W1970="equivocal"),OR(Y1970="positive",Y1970="equivocal")),"a",IF(OR(Y1970="positive",Y1970="equivocal"),"b",IF(OR(W1970="positive",W1970="equivocal"),"c","d"))))</x:f>
        <x:v>d</x:v>
      </x:c>
      <x:c r="AF1970" s="12" t="str">
        <x:f>IF(OR(W1970="unavailable",Y1970="unavailable"),"不可评价",IF(AND(W1970="positive",Y1970="positive"),"a",IF(Y1970="positive","b",IF(W1970="positive","c","d"))))</x:f>
        <x:v>d</x:v>
      </x:c>
    </x:row>
    <x:row r="1971" ht="24" customHeight="1">
      <x:c r="A1971" s="12" t="str">
        <x:v>18802</x:v>
      </x:c>
      <x:c r="B1971" s="12" t="str">
        <x:v>19829</x:v>
      </x:c>
      <x:c r="C1971" s="21" t="n">
        <x:v>35735.62122685185</x:v>
      </x:c>
      <x:c r="D1971" s="12" t="n">
        <x:v>67</x:v>
      </x:c>
      <x:c r="E1971" s="12" t="n">
        <x:v>1</x:v>
      </x:c>
      <x:c r="F1971" s="12" t="str">
        <x:v>未记录</x:v>
      </x:c>
      <x:c r="G1971" s="12" t="n">
        <x:v>1</x:v>
      </x:c>
      <x:c r="H1971" s="12" t="str">
        <x:v>{'NORM': 100.0, 'SR': 0.0}</x:v>
      </x:c>
      <x:c r="I1971" s="12" t="str">
        <x:v>[('SBRAD', 100.0), ('AMI;AU', 50.0), ('AB', 100.0)]</x:v>
      </x:c>
      <x:c r="J1971" s="12" t="str">
        <x:v>ptbxl_database.csv；ecg_id=18802；scp_codes</x:v>
      </x:c>
      <x:c r="K1971" s="12" t="str">
        <x:v>12sl_statements.csv；ecg_id=18802；statements_ext_snomed</x:v>
      </x:c>
      <x:c r="L1971" s="12"/>
      <x:c r="M1971" s="12" t="str">
        <x:v>negative</x:v>
      </x:c>
      <x:c r="N1971" s="12"/>
      <x:c r="O1971" s="12" t="str">
        <x:v>negative</x:v>
      </x:c>
      <x:c r="P1971" s="12" t="str">
        <x:f>IF(OR(M1971="unavailable",O1971="unavailable"),"不可评价",IF(OR(M1971="equivocal",O1971="equivocal"),"疑似",IF(AND(M1971="positive",O1971="positive"),"a",IF(O1971="positive","b",IF(M1971="positive","c","d")))))</x:f>
        <x:v>d</x:v>
      </x:c>
      <x:c r="Q1971" s="12"/>
      <x:c r="R1971" s="12" t="str">
        <x:v>negative</x:v>
      </x:c>
      <x:c r="S1971" s="12"/>
      <x:c r="T1971" s="12" t="str">
        <x:v>negative</x:v>
      </x:c>
      <x:c r="U1971" s="12" t="str">
        <x:f>IF(OR(R1971="unavailable",T1971="unavailable"),"不可评价",IF(OR(R1971="equivocal",T1971="equivocal"),"疑似",IF(AND(R1971="positive",T1971="positive"),"a",IF(T1971="positive","b",IF(R1971="positive","c","d")))))</x:f>
        <x:v>d</x:v>
      </x:c>
      <x:c r="V1971" s="12"/>
      <x:c r="W1971" s="12" t="str">
        <x:v>negative</x:v>
      </x:c>
      <x:c r="X1971" s="12"/>
      <x:c r="Y1971" s="12" t="str">
        <x:v>negative</x:v>
      </x:c>
      <x:c r="Z1971" s="12" t="str">
        <x:f>IF(OR(W1971="unavailable",Y1971="unavailable"),"不可评价",IF(OR(W1971="equivocal",Y1971="equivocal"),"疑似",IF(AND(W1971="positive",Y1971="positive"),"a",IF(Y1971="positive","b",IF(W1971="positive","c","d")))))</x:f>
        <x:v>d</x:v>
      </x:c>
      <x:c r="AA1971" s="12" t="str">
        <x:f>IF(OR(M1971="unavailable",O1971="unavailable"),"不可评价",IF(AND(OR(M1971="positive",M1971="equivocal"),OR(O1971="positive",O1971="equivocal")),"a",IF(OR(O1971="positive",O1971="equivocal"),"b",IF(OR(M1971="positive",M1971="equivocal"),"c","d"))))</x:f>
        <x:v>d</x:v>
      </x:c>
      <x:c r="AB1971" s="12" t="str">
        <x:f>IF(OR(M1971="unavailable",O1971="unavailable"),"不可评价",IF(AND(M1971="positive",O1971="positive"),"a",IF(O1971="positive","b",IF(M1971="positive","c","d"))))</x:f>
        <x:v>d</x:v>
      </x:c>
      <x:c r="AC1971" s="12" t="str">
        <x:f>IF(OR(R1971="unavailable",T1971="unavailable"),"不可评价",IF(AND(OR(R1971="positive",R1971="equivocal"),OR(T1971="positive",T1971="equivocal")),"a",IF(OR(T1971="positive",T1971="equivocal"),"b",IF(OR(R1971="positive",R1971="equivocal"),"c","d"))))</x:f>
        <x:v>d</x:v>
      </x:c>
      <x:c r="AD1971" s="12" t="str">
        <x:f>IF(OR(R1971="unavailable",T1971="unavailable"),"不可评价",IF(AND(R1971="positive",T1971="positive"),"a",IF(T1971="positive","b",IF(R1971="positive","c","d"))))</x:f>
        <x:v>d</x:v>
      </x:c>
      <x:c r="AE1971" s="12" t="str">
        <x:f>IF(OR(W1971="unavailable",Y1971="unavailable"),"不可评价",IF(AND(OR(W1971="positive",W1971="equivocal"),OR(Y1971="positive",Y1971="equivocal")),"a",IF(OR(Y1971="positive",Y1971="equivocal"),"b",IF(OR(W1971="positive",W1971="equivocal"),"c","d"))))</x:f>
        <x:v>d</x:v>
      </x:c>
      <x:c r="AF1971" s="12" t="str">
        <x:f>IF(OR(W1971="unavailable",Y1971="unavailable"),"不可评价",IF(AND(W1971="positive",Y1971="positive"),"a",IF(Y1971="positive","b",IF(W1971="positive","c","d"))))</x:f>
        <x:v>d</x:v>
      </x:c>
    </x:row>
    <x:row r="1972" ht="24" customHeight="1">
      <x:c r="A1972" s="12" t="str">
        <x:v>18808</x:v>
      </x:c>
      <x:c r="B1972" s="12" t="str">
        <x:v>9376</x:v>
      </x:c>
      <x:c r="C1972" s="21" t="n">
        <x:v>35736.50084490741</x:v>
      </x:c>
      <x:c r="D1972" s="12" t="n">
        <x:v>72</x:v>
      </x:c>
      <x:c r="E1972" s="12" t="n">
        <x:v>1</x:v>
      </x:c>
      <x:c r="F1972" s="12" t="str">
        <x:v>未记录</x:v>
      </x:c>
      <x:c r="G1972" s="12" t="n">
        <x:v>1</x:v>
      </x:c>
      <x:c r="H1972" s="12" t="str">
        <x:v>{'NDT': 100.0, 'SR': 0.0}</x:v>
      </x:c>
      <x:c r="I1972" s="12" t="str">
        <x:v>[('NSR', 100.0), ('SAR', 100.0), ('NML', 100.0)]</x:v>
      </x:c>
      <x:c r="J1972" s="12" t="str">
        <x:v>ptbxl_database.csv；ecg_id=18808；scp_codes</x:v>
      </x:c>
      <x:c r="K1972" s="12" t="str">
        <x:v>12sl_statements.csv；ecg_id=18808；statements_ext_snomed</x:v>
      </x:c>
      <x:c r="L1972" s="12"/>
      <x:c r="M1972" s="12" t="str">
        <x:v>negative</x:v>
      </x:c>
      <x:c r="N1972" s="12"/>
      <x:c r="O1972" s="12" t="str">
        <x:v>negative</x:v>
      </x:c>
      <x:c r="P1972" s="12" t="str">
        <x:f>IF(OR(M1972="unavailable",O1972="unavailable"),"不可评价",IF(OR(M1972="equivocal",O1972="equivocal"),"疑似",IF(AND(M1972="positive",O1972="positive"),"a",IF(O1972="positive","b",IF(M1972="positive","c","d")))))</x:f>
        <x:v>d</x:v>
      </x:c>
      <x:c r="Q1972" s="12"/>
      <x:c r="R1972" s="12" t="str">
        <x:v>negative</x:v>
      </x:c>
      <x:c r="S1972" s="12"/>
      <x:c r="T1972" s="12" t="str">
        <x:v>negative</x:v>
      </x:c>
      <x:c r="U1972" s="12" t="str">
        <x:f>IF(OR(R1972="unavailable",T1972="unavailable"),"不可评价",IF(OR(R1972="equivocal",T1972="equivocal"),"疑似",IF(AND(R1972="positive",T1972="positive"),"a",IF(T1972="positive","b",IF(R1972="positive","c","d")))))</x:f>
        <x:v>d</x:v>
      </x:c>
      <x:c r="V1972" s="12"/>
      <x:c r="W1972" s="12" t="str">
        <x:v>negative</x:v>
      </x:c>
      <x:c r="X1972" s="12"/>
      <x:c r="Y1972" s="12" t="str">
        <x:v>negative</x:v>
      </x:c>
      <x:c r="Z1972" s="12" t="str">
        <x:f>IF(OR(W1972="unavailable",Y1972="unavailable"),"不可评价",IF(OR(W1972="equivocal",Y1972="equivocal"),"疑似",IF(AND(W1972="positive",Y1972="positive"),"a",IF(Y1972="positive","b",IF(W1972="positive","c","d")))))</x:f>
        <x:v>d</x:v>
      </x:c>
      <x:c r="AA1972" s="12" t="str">
        <x:f>IF(OR(M1972="unavailable",O1972="unavailable"),"不可评价",IF(AND(OR(M1972="positive",M1972="equivocal"),OR(O1972="positive",O1972="equivocal")),"a",IF(OR(O1972="positive",O1972="equivocal"),"b",IF(OR(M1972="positive",M1972="equivocal"),"c","d"))))</x:f>
        <x:v>d</x:v>
      </x:c>
      <x:c r="AB1972" s="12" t="str">
        <x:f>IF(OR(M1972="unavailable",O1972="unavailable"),"不可评价",IF(AND(M1972="positive",O1972="positive"),"a",IF(O1972="positive","b",IF(M1972="positive","c","d"))))</x:f>
        <x:v>d</x:v>
      </x:c>
      <x:c r="AC1972" s="12" t="str">
        <x:f>IF(OR(R1972="unavailable",T1972="unavailable"),"不可评价",IF(AND(OR(R1972="positive",R1972="equivocal"),OR(T1972="positive",T1972="equivocal")),"a",IF(OR(T1972="positive",T1972="equivocal"),"b",IF(OR(R1972="positive",R1972="equivocal"),"c","d"))))</x:f>
        <x:v>d</x:v>
      </x:c>
      <x:c r="AD1972" s="12" t="str">
        <x:f>IF(OR(R1972="unavailable",T1972="unavailable"),"不可评价",IF(AND(R1972="positive",T1972="positive"),"a",IF(T1972="positive","b",IF(R1972="positive","c","d"))))</x:f>
        <x:v>d</x:v>
      </x:c>
      <x:c r="AE1972" s="12" t="str">
        <x:f>IF(OR(W1972="unavailable",Y1972="unavailable"),"不可评价",IF(AND(OR(W1972="positive",W1972="equivocal"),OR(Y1972="positive",Y1972="equivocal")),"a",IF(OR(Y1972="positive",Y1972="equivocal"),"b",IF(OR(W1972="positive",W1972="equivocal"),"c","d"))))</x:f>
        <x:v>d</x:v>
      </x:c>
      <x:c r="AF1972" s="12" t="str">
        <x:f>IF(OR(W1972="unavailable",Y1972="unavailable"),"不可评价",IF(AND(W1972="positive",Y1972="positive"),"a",IF(Y1972="positive","b",IF(W1972="positive","c","d"))))</x:f>
        <x:v>d</x:v>
      </x:c>
    </x:row>
    <x:row r="1973" ht="24" customHeight="1">
      <x:c r="A1973" s="12" t="str">
        <x:v>18831</x:v>
      </x:c>
      <x:c r="B1973" s="12" t="str">
        <x:v>15274</x:v>
      </x:c>
      <x:c r="C1973" s="21" t="n">
        <x:v>35740.709502314814</x:v>
      </x:c>
      <x:c r="D1973" s="12" t="n">
        <x:v>58</x:v>
      </x:c>
      <x:c r="E1973" s="12" t="n">
        <x:v>1</x:v>
      </x:c>
      <x:c r="F1973" s="12" t="str">
        <x:v>存在</x:v>
      </x:c>
      <x:c r="G1973" s="12" t="n">
        <x:v>1</x:v>
      </x:c>
      <x:c r="H1973" s="12" t="str">
        <x:v>{'ILBBB': 100.0, 'SR': 0.0}</x:v>
      </x:c>
      <x:c r="I1973" s="12" t="str">
        <x:v>[('NSR', 100.0), ('NML', 100.0)]</x:v>
      </x:c>
      <x:c r="J1973" s="12" t="str">
        <x:v>ptbxl_database.csv；ecg_id=18831；scp_codes</x:v>
      </x:c>
      <x:c r="K1973" s="12" t="str">
        <x:v>12sl_statements.csv；ecg_id=18831；statements_ext_snomed</x:v>
      </x:c>
      <x:c r="L1973" s="12"/>
      <x:c r="M1973" s="12" t="str">
        <x:v>negative</x:v>
      </x:c>
      <x:c r="N1973" s="12"/>
      <x:c r="O1973" s="12" t="str">
        <x:v>negative</x:v>
      </x:c>
      <x:c r="P1973" s="12" t="str">
        <x:f>IF(OR(M1973="unavailable",O1973="unavailable"),"不可评价",IF(OR(M1973="equivocal",O1973="equivocal"),"疑似",IF(AND(M1973="positive",O1973="positive"),"a",IF(O1973="positive","b",IF(M1973="positive","c","d")))))</x:f>
        <x:v>d</x:v>
      </x:c>
      <x:c r="Q1973" s="12"/>
      <x:c r="R1973" s="12" t="str">
        <x:v>negative</x:v>
      </x:c>
      <x:c r="S1973" s="12"/>
      <x:c r="T1973" s="12" t="str">
        <x:v>negative</x:v>
      </x:c>
      <x:c r="U1973" s="12" t="str">
        <x:f>IF(OR(R1973="unavailable",T1973="unavailable"),"不可评价",IF(OR(R1973="equivocal",T1973="equivocal"),"疑似",IF(AND(R1973="positive",T1973="positive"),"a",IF(T1973="positive","b",IF(R1973="positive","c","d")))))</x:f>
        <x:v>d</x:v>
      </x:c>
      <x:c r="V1973" s="12"/>
      <x:c r="W1973" s="12" t="str">
        <x:v>negative</x:v>
      </x:c>
      <x:c r="X1973" s="12"/>
      <x:c r="Y1973" s="12" t="str">
        <x:v>negative</x:v>
      </x:c>
      <x:c r="Z1973" s="12" t="str">
        <x:f>IF(OR(W1973="unavailable",Y1973="unavailable"),"不可评价",IF(OR(W1973="equivocal",Y1973="equivocal"),"疑似",IF(AND(W1973="positive",Y1973="positive"),"a",IF(Y1973="positive","b",IF(W1973="positive","c","d")))))</x:f>
        <x:v>d</x:v>
      </x:c>
      <x:c r="AA1973" s="12" t="str">
        <x:f>IF(OR(M1973="unavailable",O1973="unavailable"),"不可评价",IF(AND(OR(M1973="positive",M1973="equivocal"),OR(O1973="positive",O1973="equivocal")),"a",IF(OR(O1973="positive",O1973="equivocal"),"b",IF(OR(M1973="positive",M1973="equivocal"),"c","d"))))</x:f>
        <x:v>d</x:v>
      </x:c>
      <x:c r="AB1973" s="12" t="str">
        <x:f>IF(OR(M1973="unavailable",O1973="unavailable"),"不可评价",IF(AND(M1973="positive",O1973="positive"),"a",IF(O1973="positive","b",IF(M1973="positive","c","d"))))</x:f>
        <x:v>d</x:v>
      </x:c>
      <x:c r="AC1973" s="12" t="str">
        <x:f>IF(OR(R1973="unavailable",T1973="unavailable"),"不可评价",IF(AND(OR(R1973="positive",R1973="equivocal"),OR(T1973="positive",T1973="equivocal")),"a",IF(OR(T1973="positive",T1973="equivocal"),"b",IF(OR(R1973="positive",R1973="equivocal"),"c","d"))))</x:f>
        <x:v>d</x:v>
      </x:c>
      <x:c r="AD1973" s="12" t="str">
        <x:f>IF(OR(R1973="unavailable",T1973="unavailable"),"不可评价",IF(AND(R1973="positive",T1973="positive"),"a",IF(T1973="positive","b",IF(R1973="positive","c","d"))))</x:f>
        <x:v>d</x:v>
      </x:c>
      <x:c r="AE1973" s="12" t="str">
        <x:f>IF(OR(W1973="unavailable",Y1973="unavailable"),"不可评价",IF(AND(OR(W1973="positive",W1973="equivocal"),OR(Y1973="positive",Y1973="equivocal")),"a",IF(OR(Y1973="positive",Y1973="equivocal"),"b",IF(OR(W1973="positive",W1973="equivocal"),"c","d"))))</x:f>
        <x:v>d</x:v>
      </x:c>
      <x:c r="AF1973" s="12" t="str">
        <x:f>IF(OR(W1973="unavailable",Y1973="unavailable"),"不可评价",IF(AND(W1973="positive",Y1973="positive"),"a",IF(Y1973="positive","b",IF(W1973="positive","c","d"))))</x:f>
        <x:v>d</x:v>
      </x:c>
    </x:row>
    <x:row r="1974" ht="24" customHeight="1">
      <x:c r="A1974" s="12" t="str">
        <x:v>18847</x:v>
      </x:c>
      <x:c r="B1974" s="12" t="str">
        <x:v>9604</x:v>
      </x:c>
      <x:c r="C1974" s="21" t="n">
        <x:v>35744.40509259259</x:v>
      </x:c>
      <x:c r="D1974" s="12" t="n">
        <x:v>27</x:v>
      </x:c>
      <x:c r="E1974" s="12" t="n">
        <x:v>1</x:v>
      </x:c>
      <x:c r="F1974" s="12" t="str">
        <x:v>未记录</x:v>
      </x:c>
      <x:c r="G1974" s="12" t="n">
        <x:v>1</x:v>
      </x:c>
      <x:c r="H1974" s="12" t="str">
        <x:v>{'NORM': 100.0, 'SR': 0.0}</x:v>
      </x:c>
      <x:c r="I1974" s="12" t="str">
        <x:v>[('NSR', 100.0), ('SAR', 100.0), ('NML', 100.0)]</x:v>
      </x:c>
      <x:c r="J1974" s="12" t="str">
        <x:v>ptbxl_database.csv；ecg_id=18847；scp_codes</x:v>
      </x:c>
      <x:c r="K1974" s="12" t="str">
        <x:v>12sl_statements.csv；ecg_id=18847；statements_ext_snomed</x:v>
      </x:c>
      <x:c r="L1974" s="12"/>
      <x:c r="M1974" s="12" t="str">
        <x:v>negative</x:v>
      </x:c>
      <x:c r="N1974" s="12"/>
      <x:c r="O1974" s="12" t="str">
        <x:v>negative</x:v>
      </x:c>
      <x:c r="P1974" s="12" t="str">
        <x:f>IF(OR(M1974="unavailable",O1974="unavailable"),"不可评价",IF(OR(M1974="equivocal",O1974="equivocal"),"疑似",IF(AND(M1974="positive",O1974="positive"),"a",IF(O1974="positive","b",IF(M1974="positive","c","d")))))</x:f>
        <x:v>d</x:v>
      </x:c>
      <x:c r="Q1974" s="12"/>
      <x:c r="R1974" s="12" t="str">
        <x:v>negative</x:v>
      </x:c>
      <x:c r="S1974" s="12"/>
      <x:c r="T1974" s="12" t="str">
        <x:v>negative</x:v>
      </x:c>
      <x:c r="U1974" s="12" t="str">
        <x:f>IF(OR(R1974="unavailable",T1974="unavailable"),"不可评价",IF(OR(R1974="equivocal",T1974="equivocal"),"疑似",IF(AND(R1974="positive",T1974="positive"),"a",IF(T1974="positive","b",IF(R1974="positive","c","d")))))</x:f>
        <x:v>d</x:v>
      </x:c>
      <x:c r="V1974" s="12"/>
      <x:c r="W1974" s="12" t="str">
        <x:v>negative</x:v>
      </x:c>
      <x:c r="X1974" s="12"/>
      <x:c r="Y1974" s="12" t="str">
        <x:v>negative</x:v>
      </x:c>
      <x:c r="Z1974" s="12" t="str">
        <x:f>IF(OR(W1974="unavailable",Y1974="unavailable"),"不可评价",IF(OR(W1974="equivocal",Y1974="equivocal"),"疑似",IF(AND(W1974="positive",Y1974="positive"),"a",IF(Y1974="positive","b",IF(W1974="positive","c","d")))))</x:f>
        <x:v>d</x:v>
      </x:c>
      <x:c r="AA1974" s="12" t="str">
        <x:f>IF(OR(M1974="unavailable",O1974="unavailable"),"不可评价",IF(AND(OR(M1974="positive",M1974="equivocal"),OR(O1974="positive",O1974="equivocal")),"a",IF(OR(O1974="positive",O1974="equivocal"),"b",IF(OR(M1974="positive",M1974="equivocal"),"c","d"))))</x:f>
        <x:v>d</x:v>
      </x:c>
      <x:c r="AB1974" s="12" t="str">
        <x:f>IF(OR(M1974="unavailable",O1974="unavailable"),"不可评价",IF(AND(M1974="positive",O1974="positive"),"a",IF(O1974="positive","b",IF(M1974="positive","c","d"))))</x:f>
        <x:v>d</x:v>
      </x:c>
      <x:c r="AC1974" s="12" t="str">
        <x:f>IF(OR(R1974="unavailable",T1974="unavailable"),"不可评价",IF(AND(OR(R1974="positive",R1974="equivocal"),OR(T1974="positive",T1974="equivocal")),"a",IF(OR(T1974="positive",T1974="equivocal"),"b",IF(OR(R1974="positive",R1974="equivocal"),"c","d"))))</x:f>
        <x:v>d</x:v>
      </x:c>
      <x:c r="AD1974" s="12" t="str">
        <x:f>IF(OR(R1974="unavailable",T1974="unavailable"),"不可评价",IF(AND(R1974="positive",T1974="positive"),"a",IF(T1974="positive","b",IF(R1974="positive","c","d"))))</x:f>
        <x:v>d</x:v>
      </x:c>
      <x:c r="AE1974" s="12" t="str">
        <x:f>IF(OR(W1974="unavailable",Y1974="unavailable"),"不可评价",IF(AND(OR(W1974="positive",W1974="equivocal"),OR(Y1974="positive",Y1974="equivocal")),"a",IF(OR(Y1974="positive",Y1974="equivocal"),"b",IF(OR(W1974="positive",W1974="equivocal"),"c","d"))))</x:f>
        <x:v>d</x:v>
      </x:c>
      <x:c r="AF1974" s="12" t="str">
        <x:f>IF(OR(W1974="unavailable",Y1974="unavailable"),"不可评价",IF(AND(W1974="positive",Y1974="positive"),"a",IF(Y1974="positive","b",IF(W1974="positive","c","d"))))</x:f>
        <x:v>d</x:v>
      </x:c>
    </x:row>
    <x:row r="1975" ht="24" customHeight="1">
      <x:c r="A1975" s="12" t="str">
        <x:v>18859</x:v>
      </x:c>
      <x:c r="B1975" s="12" t="str">
        <x:v>20974</x:v>
      </x:c>
      <x:c r="C1975" s="21" t="n">
        <x:v>35748.57105324074</x:v>
      </x:c>
      <x:c r="D1975" s="12" t="n">
        <x:v>82</x:v>
      </x:c>
      <x:c r="E1975" s="12" t="n">
        <x:v>0</x:v>
      </x:c>
      <x:c r="F1975" s="12" t="str">
        <x:v>未记录</x:v>
      </x:c>
      <x:c r="G1975" s="12" t="n">
        <x:v>1</x:v>
      </x:c>
      <x:c r="H1975" s="12" t="str">
        <x:v>{'IMI': 50.0, 'LAFB': 100.0, 'NDT': 100.0, 'SR': 0.0}</x:v>
      </x:c>
      <x:c r="I1975" s="12" t="str">
        <x:v>[('SRTH', 100.0), ('PVC', 100.0), ('AFB', 100.0), ('IMI;AU', 100.0), ('AB', 100.0)]</x:v>
      </x:c>
      <x:c r="J1975" s="12" t="str">
        <x:v>ptbxl_database.csv；ecg_id=18859；scp_codes</x:v>
      </x:c>
      <x:c r="K1975" s="12" t="str">
        <x:v>12sl_statements.csv；ecg_id=18859；statements_ext_snomed</x:v>
      </x:c>
      <x:c r="L1975" s="12"/>
      <x:c r="M1975" s="12" t="str">
        <x:v>negative</x:v>
      </x:c>
      <x:c r="N1975" s="12"/>
      <x:c r="O1975" s="12" t="str">
        <x:v>negative</x:v>
      </x:c>
      <x:c r="P1975" s="12" t="str">
        <x:f>IF(OR(M1975="unavailable",O1975="unavailable"),"不可评价",IF(OR(M1975="equivocal",O1975="equivocal"),"疑似",IF(AND(M1975="positive",O1975="positive"),"a",IF(O1975="positive","b",IF(M1975="positive","c","d")))))</x:f>
        <x:v>d</x:v>
      </x:c>
      <x:c r="Q1975" s="12"/>
      <x:c r="R1975" s="12" t="str">
        <x:v>negative</x:v>
      </x:c>
      <x:c r="S1975" s="12"/>
      <x:c r="T1975" s="12" t="str">
        <x:v>negative</x:v>
      </x:c>
      <x:c r="U1975" s="12" t="str">
        <x:f>IF(OR(R1975="unavailable",T1975="unavailable"),"不可评价",IF(OR(R1975="equivocal",T1975="equivocal"),"疑似",IF(AND(R1975="positive",T1975="positive"),"a",IF(T1975="positive","b",IF(R1975="positive","c","d")))))</x:f>
        <x:v>d</x:v>
      </x:c>
      <x:c r="V1975" s="12"/>
      <x:c r="W1975" s="12" t="str">
        <x:v>negative</x:v>
      </x:c>
      <x:c r="X1975" s="12"/>
      <x:c r="Y1975" s="12" t="str">
        <x:v>negative</x:v>
      </x:c>
      <x:c r="Z1975" s="12" t="str">
        <x:f>IF(OR(W1975="unavailable",Y1975="unavailable"),"不可评价",IF(OR(W1975="equivocal",Y1975="equivocal"),"疑似",IF(AND(W1975="positive",Y1975="positive"),"a",IF(Y1975="positive","b",IF(W1975="positive","c","d")))))</x:f>
        <x:v>d</x:v>
      </x:c>
      <x:c r="AA1975" s="12" t="str">
        <x:f>IF(OR(M1975="unavailable",O1975="unavailable"),"不可评价",IF(AND(OR(M1975="positive",M1975="equivocal"),OR(O1975="positive",O1975="equivocal")),"a",IF(OR(O1975="positive",O1975="equivocal"),"b",IF(OR(M1975="positive",M1975="equivocal"),"c","d"))))</x:f>
        <x:v>d</x:v>
      </x:c>
      <x:c r="AB1975" s="12" t="str">
        <x:f>IF(OR(M1975="unavailable",O1975="unavailable"),"不可评价",IF(AND(M1975="positive",O1975="positive"),"a",IF(O1975="positive","b",IF(M1975="positive","c","d"))))</x:f>
        <x:v>d</x:v>
      </x:c>
      <x:c r="AC1975" s="12" t="str">
        <x:f>IF(OR(R1975="unavailable",T1975="unavailable"),"不可评价",IF(AND(OR(R1975="positive",R1975="equivocal"),OR(T1975="positive",T1975="equivocal")),"a",IF(OR(T1975="positive",T1975="equivocal"),"b",IF(OR(R1975="positive",R1975="equivocal"),"c","d"))))</x:f>
        <x:v>d</x:v>
      </x:c>
      <x:c r="AD1975" s="12" t="str">
        <x:f>IF(OR(R1975="unavailable",T1975="unavailable"),"不可评价",IF(AND(R1975="positive",T1975="positive"),"a",IF(T1975="positive","b",IF(R1975="positive","c","d"))))</x:f>
        <x:v>d</x:v>
      </x:c>
      <x:c r="AE1975" s="12" t="str">
        <x:f>IF(OR(W1975="unavailable",Y1975="unavailable"),"不可评价",IF(AND(OR(W1975="positive",W1975="equivocal"),OR(Y1975="positive",Y1975="equivocal")),"a",IF(OR(Y1975="positive",Y1975="equivocal"),"b",IF(OR(W1975="positive",W1975="equivocal"),"c","d"))))</x:f>
        <x:v>d</x:v>
      </x:c>
      <x:c r="AF1975" s="12" t="str">
        <x:f>IF(OR(W1975="unavailable",Y1975="unavailable"),"不可评价",IF(AND(W1975="positive",Y1975="positive"),"a",IF(Y1975="positive","b",IF(W1975="positive","c","d"))))</x:f>
        <x:v>d</x:v>
      </x:c>
    </x:row>
    <x:row r="1976" ht="24" customHeight="1">
      <x:c r="A1976" s="12" t="str">
        <x:v>18882</x:v>
      </x:c>
      <x:c r="B1976" s="12" t="str">
        <x:v>17292</x:v>
      </x:c>
      <x:c r="C1976" s="21" t="n">
        <x:v>35753.59850694444</x:v>
      </x:c>
      <x:c r="D1976" s="12" t="n">
        <x:v>52</x:v>
      </x:c>
      <x:c r="E1976" s="12" t="n">
        <x:v>0</x:v>
      </x:c>
      <x:c r="F1976" s="12" t="str">
        <x:v>未记录</x:v>
      </x:c>
      <x:c r="G1976" s="12" t="n">
        <x:v>1</x:v>
      </x:c>
      <x:c r="H1976" s="12" t="str">
        <x:v>{'NORM': 100.0, 'SR': 0.0}</x:v>
      </x:c>
      <x:c r="I1976" s="12" t="str">
        <x:v>[('SBRAD', 100.0), ('ABR', 100.0)]</x:v>
      </x:c>
      <x:c r="J1976" s="12" t="str">
        <x:v>ptbxl_database.csv；ecg_id=18882；scp_codes</x:v>
      </x:c>
      <x:c r="K1976" s="12" t="str">
        <x:v>12sl_statements.csv；ecg_id=18882；statements_ext_snomed</x:v>
      </x:c>
      <x:c r="L1976" s="12"/>
      <x:c r="M1976" s="12" t="str">
        <x:v>negative</x:v>
      </x:c>
      <x:c r="N1976" s="12"/>
      <x:c r="O1976" s="12" t="str">
        <x:v>negative</x:v>
      </x:c>
      <x:c r="P1976" s="12" t="str">
        <x:f>IF(OR(M1976="unavailable",O1976="unavailable"),"不可评价",IF(OR(M1976="equivocal",O1976="equivocal"),"疑似",IF(AND(M1976="positive",O1976="positive"),"a",IF(O1976="positive","b",IF(M1976="positive","c","d")))))</x:f>
        <x:v>d</x:v>
      </x:c>
      <x:c r="Q1976" s="12"/>
      <x:c r="R1976" s="12" t="str">
        <x:v>negative</x:v>
      </x:c>
      <x:c r="S1976" s="12"/>
      <x:c r="T1976" s="12" t="str">
        <x:v>negative</x:v>
      </x:c>
      <x:c r="U1976" s="12" t="str">
        <x:f>IF(OR(R1976="unavailable",T1976="unavailable"),"不可评价",IF(OR(R1976="equivocal",T1976="equivocal"),"疑似",IF(AND(R1976="positive",T1976="positive"),"a",IF(T1976="positive","b",IF(R1976="positive","c","d")))))</x:f>
        <x:v>d</x:v>
      </x:c>
      <x:c r="V1976" s="12"/>
      <x:c r="W1976" s="12" t="str">
        <x:v>negative</x:v>
      </x:c>
      <x:c r="X1976" s="12"/>
      <x:c r="Y1976" s="12" t="str">
        <x:v>negative</x:v>
      </x:c>
      <x:c r="Z1976" s="12" t="str">
        <x:f>IF(OR(W1976="unavailable",Y1976="unavailable"),"不可评价",IF(OR(W1976="equivocal",Y1976="equivocal"),"疑似",IF(AND(W1976="positive",Y1976="positive"),"a",IF(Y1976="positive","b",IF(W1976="positive","c","d")))))</x:f>
        <x:v>d</x:v>
      </x:c>
      <x:c r="AA1976" s="12" t="str">
        <x:f>IF(OR(M1976="unavailable",O1976="unavailable"),"不可评价",IF(AND(OR(M1976="positive",M1976="equivocal"),OR(O1976="positive",O1976="equivocal")),"a",IF(OR(O1976="positive",O1976="equivocal"),"b",IF(OR(M1976="positive",M1976="equivocal"),"c","d"))))</x:f>
        <x:v>d</x:v>
      </x:c>
      <x:c r="AB1976" s="12" t="str">
        <x:f>IF(OR(M1976="unavailable",O1976="unavailable"),"不可评价",IF(AND(M1976="positive",O1976="positive"),"a",IF(O1976="positive","b",IF(M1976="positive","c","d"))))</x:f>
        <x:v>d</x:v>
      </x:c>
      <x:c r="AC1976" s="12" t="str">
        <x:f>IF(OR(R1976="unavailable",T1976="unavailable"),"不可评价",IF(AND(OR(R1976="positive",R1976="equivocal"),OR(T1976="positive",T1976="equivocal")),"a",IF(OR(T1976="positive",T1976="equivocal"),"b",IF(OR(R1976="positive",R1976="equivocal"),"c","d"))))</x:f>
        <x:v>d</x:v>
      </x:c>
      <x:c r="AD1976" s="12" t="str">
        <x:f>IF(OR(R1976="unavailable",T1976="unavailable"),"不可评价",IF(AND(R1976="positive",T1976="positive"),"a",IF(T1976="positive","b",IF(R1976="positive","c","d"))))</x:f>
        <x:v>d</x:v>
      </x:c>
      <x:c r="AE1976" s="12" t="str">
        <x:f>IF(OR(W1976="unavailable",Y1976="unavailable"),"不可评价",IF(AND(OR(W1976="positive",W1976="equivocal"),OR(Y1976="positive",Y1976="equivocal")),"a",IF(OR(Y1976="positive",Y1976="equivocal"),"b",IF(OR(W1976="positive",W1976="equivocal"),"c","d"))))</x:f>
        <x:v>d</x:v>
      </x:c>
      <x:c r="AF1976" s="12" t="str">
        <x:f>IF(OR(W1976="unavailable",Y1976="unavailable"),"不可评价",IF(AND(W1976="positive",Y1976="positive"),"a",IF(Y1976="positive","b",IF(W1976="positive","c","d"))))</x:f>
        <x:v>d</x:v>
      </x:c>
    </x:row>
    <x:row r="1977" ht="24" customHeight="1">
      <x:c r="A1977" s="12" t="str">
        <x:v>18888</x:v>
      </x:c>
      <x:c r="B1977" s="12" t="str">
        <x:v>17639</x:v>
      </x:c>
      <x:c r="C1977" s="21" t="n">
        <x:v>35757.03905092592</x:v>
      </x:c>
      <x:c r="D1977" s="12" t="n">
        <x:v>75</x:v>
      </x:c>
      <x:c r="E1977" s="12" t="n">
        <x:v>1</x:v>
      </x:c>
      <x:c r="F1977" s="12" t="str">
        <x:v>未记录</x:v>
      </x:c>
      <x:c r="G1977" s="12" t="n">
        <x:v>1</x:v>
      </x:c>
      <x:c r="H1977" s="12" t="str">
        <x:v>{'NORM': 100.0, 'STACH': 0.0}</x:v>
      </x:c>
      <x:c r="I1977" s="12" t="str">
        <x:v>[('STACH', 100.0), ('ABR', 100.0)]</x:v>
      </x:c>
      <x:c r="J1977" s="12" t="str">
        <x:v>ptbxl_database.csv；ecg_id=18888；scp_codes</x:v>
      </x:c>
      <x:c r="K1977" s="12" t="str">
        <x:v>12sl_statements.csv；ecg_id=18888；statements_ext_snomed</x:v>
      </x:c>
      <x:c r="L1977" s="12"/>
      <x:c r="M1977" s="12" t="str">
        <x:v>negative</x:v>
      </x:c>
      <x:c r="N1977" s="12"/>
      <x:c r="O1977" s="12" t="str">
        <x:v>negative</x:v>
      </x:c>
      <x:c r="P1977" s="12" t="str">
        <x:f>IF(OR(M1977="unavailable",O1977="unavailable"),"不可评价",IF(OR(M1977="equivocal",O1977="equivocal"),"疑似",IF(AND(M1977="positive",O1977="positive"),"a",IF(O1977="positive","b",IF(M1977="positive","c","d")))))</x:f>
        <x:v>d</x:v>
      </x:c>
      <x:c r="Q1977" s="12"/>
      <x:c r="R1977" s="12" t="str">
        <x:v>negative</x:v>
      </x:c>
      <x:c r="S1977" s="12"/>
      <x:c r="T1977" s="12" t="str">
        <x:v>negative</x:v>
      </x:c>
      <x:c r="U1977" s="12" t="str">
        <x:f>IF(OR(R1977="unavailable",T1977="unavailable"),"不可评价",IF(OR(R1977="equivocal",T1977="equivocal"),"疑似",IF(AND(R1977="positive",T1977="positive"),"a",IF(T1977="positive","b",IF(R1977="positive","c","d")))))</x:f>
        <x:v>d</x:v>
      </x:c>
      <x:c r="V1977" s="12"/>
      <x:c r="W1977" s="12" t="str">
        <x:v>negative</x:v>
      </x:c>
      <x:c r="X1977" s="12"/>
      <x:c r="Y1977" s="12" t="str">
        <x:v>negative</x:v>
      </x:c>
      <x:c r="Z1977" s="12" t="str">
        <x:f>IF(OR(W1977="unavailable",Y1977="unavailable"),"不可评价",IF(OR(W1977="equivocal",Y1977="equivocal"),"疑似",IF(AND(W1977="positive",Y1977="positive"),"a",IF(Y1977="positive","b",IF(W1977="positive","c","d")))))</x:f>
        <x:v>d</x:v>
      </x:c>
      <x:c r="AA1977" s="12" t="str">
        <x:f>IF(OR(M1977="unavailable",O1977="unavailable"),"不可评价",IF(AND(OR(M1977="positive",M1977="equivocal"),OR(O1977="positive",O1977="equivocal")),"a",IF(OR(O1977="positive",O1977="equivocal"),"b",IF(OR(M1977="positive",M1977="equivocal"),"c","d"))))</x:f>
        <x:v>d</x:v>
      </x:c>
      <x:c r="AB1977" s="12" t="str">
        <x:f>IF(OR(M1977="unavailable",O1977="unavailable"),"不可评价",IF(AND(M1977="positive",O1977="positive"),"a",IF(O1977="positive","b",IF(M1977="positive","c","d"))))</x:f>
        <x:v>d</x:v>
      </x:c>
      <x:c r="AC1977" s="12" t="str">
        <x:f>IF(OR(R1977="unavailable",T1977="unavailable"),"不可评价",IF(AND(OR(R1977="positive",R1977="equivocal"),OR(T1977="positive",T1977="equivocal")),"a",IF(OR(T1977="positive",T1977="equivocal"),"b",IF(OR(R1977="positive",R1977="equivocal"),"c","d"))))</x:f>
        <x:v>d</x:v>
      </x:c>
      <x:c r="AD1977" s="12" t="str">
        <x:f>IF(OR(R1977="unavailable",T1977="unavailable"),"不可评价",IF(AND(R1977="positive",T1977="positive"),"a",IF(T1977="positive","b",IF(R1977="positive","c","d"))))</x:f>
        <x:v>d</x:v>
      </x:c>
      <x:c r="AE1977" s="12" t="str">
        <x:f>IF(OR(W1977="unavailable",Y1977="unavailable"),"不可评价",IF(AND(OR(W1977="positive",W1977="equivocal"),OR(Y1977="positive",Y1977="equivocal")),"a",IF(OR(Y1977="positive",Y1977="equivocal"),"b",IF(OR(W1977="positive",W1977="equivocal"),"c","d"))))</x:f>
        <x:v>d</x:v>
      </x:c>
      <x:c r="AF1977" s="12" t="str">
        <x:f>IF(OR(W1977="unavailable",Y1977="unavailable"),"不可评价",IF(AND(W1977="positive",Y1977="positive"),"a",IF(Y1977="positive","b",IF(W1977="positive","c","d"))))</x:f>
        <x:v>d</x:v>
      </x:c>
    </x:row>
    <x:row r="1978" ht="24" customHeight="1">
      <x:c r="A1978" s="12" t="str">
        <x:v>18891</x:v>
      </x:c>
      <x:c r="B1978" s="12" t="str">
        <x:v>13884</x:v>
      </x:c>
      <x:c r="C1978" s="21" t="n">
        <x:v>35757.5659375</x:v>
      </x:c>
      <x:c r="D1978" s="12" t="n">
        <x:v>54</x:v>
      </x:c>
      <x:c r="E1978" s="12" t="n">
        <x:v>0</x:v>
      </x:c>
      <x:c r="F1978" s="12" t="str">
        <x:v>未记录</x:v>
      </x:c>
      <x:c r="G1978" s="12" t="n">
        <x:v>1</x:v>
      </x:c>
      <x:c r="H1978" s="12" t="str">
        <x:v>{'LAFB': 100.0, 'SR': 0.0}</x:v>
      </x:c>
      <x:c r="I1978" s="12" t="str">
        <x:v>[('NSR', 100.0), ('BORDE', 100.0)]</x:v>
      </x:c>
      <x:c r="J1978" s="12" t="str">
        <x:v>ptbxl_database.csv；ecg_id=18891；scp_codes</x:v>
      </x:c>
      <x:c r="K1978" s="12" t="str">
        <x:v>12sl_statements.csv；ecg_id=18891；statements_ext_snomed</x:v>
      </x:c>
      <x:c r="L1978" s="12"/>
      <x:c r="M1978" s="12" t="str">
        <x:v>negative</x:v>
      </x:c>
      <x:c r="N1978" s="12"/>
      <x:c r="O1978" s="12" t="str">
        <x:v>negative</x:v>
      </x:c>
      <x:c r="P1978" s="12" t="str">
        <x:f>IF(OR(M1978="unavailable",O1978="unavailable"),"不可评价",IF(OR(M1978="equivocal",O1978="equivocal"),"疑似",IF(AND(M1978="positive",O1978="positive"),"a",IF(O1978="positive","b",IF(M1978="positive","c","d")))))</x:f>
        <x:v>d</x:v>
      </x:c>
      <x:c r="Q1978" s="12"/>
      <x:c r="R1978" s="12" t="str">
        <x:v>negative</x:v>
      </x:c>
      <x:c r="S1978" s="12"/>
      <x:c r="T1978" s="12" t="str">
        <x:v>negative</x:v>
      </x:c>
      <x:c r="U1978" s="12" t="str">
        <x:f>IF(OR(R1978="unavailable",T1978="unavailable"),"不可评价",IF(OR(R1978="equivocal",T1978="equivocal"),"疑似",IF(AND(R1978="positive",T1978="positive"),"a",IF(T1978="positive","b",IF(R1978="positive","c","d")))))</x:f>
        <x:v>d</x:v>
      </x:c>
      <x:c r="V1978" s="12"/>
      <x:c r="W1978" s="12" t="str">
        <x:v>negative</x:v>
      </x:c>
      <x:c r="X1978" s="12"/>
      <x:c r="Y1978" s="12" t="str">
        <x:v>negative</x:v>
      </x:c>
      <x:c r="Z1978" s="12" t="str">
        <x:f>IF(OR(W1978="unavailable",Y1978="unavailable"),"不可评价",IF(OR(W1978="equivocal",Y1978="equivocal"),"疑似",IF(AND(W1978="positive",Y1978="positive"),"a",IF(Y1978="positive","b",IF(W1978="positive","c","d")))))</x:f>
        <x:v>d</x:v>
      </x:c>
      <x:c r="AA1978" s="12" t="str">
        <x:f>IF(OR(M1978="unavailable",O1978="unavailable"),"不可评价",IF(AND(OR(M1978="positive",M1978="equivocal"),OR(O1978="positive",O1978="equivocal")),"a",IF(OR(O1978="positive",O1978="equivocal"),"b",IF(OR(M1978="positive",M1978="equivocal"),"c","d"))))</x:f>
        <x:v>d</x:v>
      </x:c>
      <x:c r="AB1978" s="12" t="str">
        <x:f>IF(OR(M1978="unavailable",O1978="unavailable"),"不可评价",IF(AND(M1978="positive",O1978="positive"),"a",IF(O1978="positive","b",IF(M1978="positive","c","d"))))</x:f>
        <x:v>d</x:v>
      </x:c>
      <x:c r="AC1978" s="12" t="str">
        <x:f>IF(OR(R1978="unavailable",T1978="unavailable"),"不可评价",IF(AND(OR(R1978="positive",R1978="equivocal"),OR(T1978="positive",T1978="equivocal")),"a",IF(OR(T1978="positive",T1978="equivocal"),"b",IF(OR(R1978="positive",R1978="equivocal"),"c","d"))))</x:f>
        <x:v>d</x:v>
      </x:c>
      <x:c r="AD1978" s="12" t="str">
        <x:f>IF(OR(R1978="unavailable",T1978="unavailable"),"不可评价",IF(AND(R1978="positive",T1978="positive"),"a",IF(T1978="positive","b",IF(R1978="positive","c","d"))))</x:f>
        <x:v>d</x:v>
      </x:c>
      <x:c r="AE1978" s="12" t="str">
        <x:f>IF(OR(W1978="unavailable",Y1978="unavailable"),"不可评价",IF(AND(OR(W1978="positive",W1978="equivocal"),OR(Y1978="positive",Y1978="equivocal")),"a",IF(OR(Y1978="positive",Y1978="equivocal"),"b",IF(OR(W1978="positive",W1978="equivocal"),"c","d"))))</x:f>
        <x:v>d</x:v>
      </x:c>
      <x:c r="AF1978" s="12" t="str">
        <x:f>IF(OR(W1978="unavailable",Y1978="unavailable"),"不可评价",IF(AND(W1978="positive",Y1978="positive"),"a",IF(Y1978="positive","b",IF(W1978="positive","c","d"))))</x:f>
        <x:v>d</x:v>
      </x:c>
    </x:row>
    <x:row r="1979" ht="24" customHeight="1">
      <x:c r="A1979" s="12" t="str">
        <x:v>18914</x:v>
      </x:c>
      <x:c r="B1979" s="12" t="str">
        <x:v>18837</x:v>
      </x:c>
      <x:c r="C1979" s="21" t="n">
        <x:v>35763.64878472222</x:v>
      </x:c>
      <x:c r="D1979" s="12" t="n">
        <x:v>68</x:v>
      </x:c>
      <x:c r="E1979" s="12" t="n">
        <x:v>0</x:v>
      </x:c>
      <x:c r="F1979" s="12" t="str">
        <x:v>未记录</x:v>
      </x:c>
      <x:c r="G1979" s="12" t="n">
        <x:v>0</x:v>
      </x:c>
      <x:c r="H1979" s="12" t="str">
        <x:v>{'IRBBB': 100.0, 'STACH': 0.0}</x:v>
      </x:c>
      <x:c r="I1979" s="12" t="str">
        <x:v>[('STACH', 100.0), ('ABR', 100.0)]</x:v>
      </x:c>
      <x:c r="J1979" s="12" t="str">
        <x:v>ptbxl_database.csv；ecg_id=18914；scp_codes</x:v>
      </x:c>
      <x:c r="K1979" s="12" t="str">
        <x:v>12sl_statements.csv；ecg_id=18914；statements_ext_snomed</x:v>
      </x:c>
      <x:c r="L1979" s="12"/>
      <x:c r="M1979" s="12" t="str">
        <x:v>negative</x:v>
      </x:c>
      <x:c r="N1979" s="12"/>
      <x:c r="O1979" s="12" t="str">
        <x:v>negative</x:v>
      </x:c>
      <x:c r="P1979" s="12" t="str">
        <x:f>IF(OR(M1979="unavailable",O1979="unavailable"),"不可评价",IF(OR(M1979="equivocal",O1979="equivocal"),"疑似",IF(AND(M1979="positive",O1979="positive"),"a",IF(O1979="positive","b",IF(M1979="positive","c","d")))))</x:f>
        <x:v>d</x:v>
      </x:c>
      <x:c r="Q1979" s="12"/>
      <x:c r="R1979" s="12" t="str">
        <x:v>negative</x:v>
      </x:c>
      <x:c r="S1979" s="12"/>
      <x:c r="T1979" s="12" t="str">
        <x:v>negative</x:v>
      </x:c>
      <x:c r="U1979" s="12" t="str">
        <x:f>IF(OR(R1979="unavailable",T1979="unavailable"),"不可评价",IF(OR(R1979="equivocal",T1979="equivocal"),"疑似",IF(AND(R1979="positive",T1979="positive"),"a",IF(T1979="positive","b",IF(R1979="positive","c","d")))))</x:f>
        <x:v>d</x:v>
      </x:c>
      <x:c r="V1979" s="12"/>
      <x:c r="W1979" s="12" t="str">
        <x:v>negative</x:v>
      </x:c>
      <x:c r="X1979" s="12"/>
      <x:c r="Y1979" s="12" t="str">
        <x:v>negative</x:v>
      </x:c>
      <x:c r="Z1979" s="12" t="str">
        <x:f>IF(OR(W1979="unavailable",Y1979="unavailable"),"不可评价",IF(OR(W1979="equivocal",Y1979="equivocal"),"疑似",IF(AND(W1979="positive",Y1979="positive"),"a",IF(Y1979="positive","b",IF(W1979="positive","c","d")))))</x:f>
        <x:v>d</x:v>
      </x:c>
      <x:c r="AA1979" s="12" t="str">
        <x:f>IF(OR(M1979="unavailable",O1979="unavailable"),"不可评价",IF(AND(OR(M1979="positive",M1979="equivocal"),OR(O1979="positive",O1979="equivocal")),"a",IF(OR(O1979="positive",O1979="equivocal"),"b",IF(OR(M1979="positive",M1979="equivocal"),"c","d"))))</x:f>
        <x:v>d</x:v>
      </x:c>
      <x:c r="AB1979" s="12" t="str">
        <x:f>IF(OR(M1979="unavailable",O1979="unavailable"),"不可评价",IF(AND(M1979="positive",O1979="positive"),"a",IF(O1979="positive","b",IF(M1979="positive","c","d"))))</x:f>
        <x:v>d</x:v>
      </x:c>
      <x:c r="AC1979" s="12" t="str">
        <x:f>IF(OR(R1979="unavailable",T1979="unavailable"),"不可评价",IF(AND(OR(R1979="positive",R1979="equivocal"),OR(T1979="positive",T1979="equivocal")),"a",IF(OR(T1979="positive",T1979="equivocal"),"b",IF(OR(R1979="positive",R1979="equivocal"),"c","d"))))</x:f>
        <x:v>d</x:v>
      </x:c>
      <x:c r="AD1979" s="12" t="str">
        <x:f>IF(OR(R1979="unavailable",T1979="unavailable"),"不可评价",IF(AND(R1979="positive",T1979="positive"),"a",IF(T1979="positive","b",IF(R1979="positive","c","d"))))</x:f>
        <x:v>d</x:v>
      </x:c>
      <x:c r="AE1979" s="12" t="str">
        <x:f>IF(OR(W1979="unavailable",Y1979="unavailable"),"不可评价",IF(AND(OR(W1979="positive",W1979="equivocal"),OR(Y1979="positive",Y1979="equivocal")),"a",IF(OR(Y1979="positive",Y1979="equivocal"),"b",IF(OR(W1979="positive",W1979="equivocal"),"c","d"))))</x:f>
        <x:v>d</x:v>
      </x:c>
      <x:c r="AF1979" s="12" t="str">
        <x:f>IF(OR(W1979="unavailable",Y1979="unavailable"),"不可评价",IF(AND(W1979="positive",Y1979="positive"),"a",IF(Y1979="positive","b",IF(W1979="positive","c","d"))))</x:f>
        <x:v>d</x:v>
      </x:c>
    </x:row>
    <x:row r="1980" ht="24" customHeight="1">
      <x:c r="A1980" s="12" t="str">
        <x:v>18916</x:v>
      </x:c>
      <x:c r="B1980" s="12" t="str">
        <x:v>14800</x:v>
      </x:c>
      <x:c r="C1980" s="21" t="n">
        <x:v>35764.357766203706</x:v>
      </x:c>
      <x:c r="D1980" s="12" t="n">
        <x:v>69</x:v>
      </x:c>
      <x:c r="E1980" s="12" t="n">
        <x:v>0</x:v>
      </x:c>
      <x:c r="F1980" s="12" t="str">
        <x:v>未记录</x:v>
      </x:c>
      <x:c r="G1980" s="12" t="n">
        <x:v>0</x:v>
      </x:c>
      <x:c r="H1980" s="12" t="str">
        <x:v>{'CLBBB': 100.0, 'SR': 0.0}</x:v>
      </x:c>
      <x:c r="I1980" s="12" t="str">
        <x:v>[('NSR', 100.0), ('LBBB', 100.0), ('AB', 100.0)]</x:v>
      </x:c>
      <x:c r="J1980" s="12" t="str">
        <x:v>ptbxl_database.csv；ecg_id=18916；scp_codes</x:v>
      </x:c>
      <x:c r="K1980" s="12" t="str">
        <x:v>12sl_statements.csv；ecg_id=18916；statements_ext_snomed</x:v>
      </x:c>
      <x:c r="L1980" s="12"/>
      <x:c r="M1980" s="12" t="str">
        <x:v>negative</x:v>
      </x:c>
      <x:c r="N1980" s="12"/>
      <x:c r="O1980" s="12" t="str">
        <x:v>negative</x:v>
      </x:c>
      <x:c r="P1980" s="12" t="str">
        <x:f>IF(OR(M1980="unavailable",O1980="unavailable"),"不可评价",IF(OR(M1980="equivocal",O1980="equivocal"),"疑似",IF(AND(M1980="positive",O1980="positive"),"a",IF(O1980="positive","b",IF(M1980="positive","c","d")))))</x:f>
        <x:v>d</x:v>
      </x:c>
      <x:c r="Q1980" s="12" t="n">
        <x:v>100</x:v>
      </x:c>
      <x:c r="R1980" s="12" t="str">
        <x:v>positive</x:v>
      </x:c>
      <x:c r="S1980" s="12" t="n">
        <x:v>100</x:v>
      </x:c>
      <x:c r="T1980" s="12" t="str">
        <x:v>positive</x:v>
      </x:c>
      <x:c r="U1980" s="12" t="str">
        <x:f>IF(OR(R1980="unavailable",T1980="unavailable"),"不可评价",IF(OR(R1980="equivocal",T1980="equivocal"),"疑似",IF(AND(R1980="positive",T1980="positive"),"a",IF(T1980="positive","b",IF(R1980="positive","c","d")))))</x:f>
        <x:v>a</x:v>
      </x:c>
      <x:c r="V1980" s="12"/>
      <x:c r="W1980" s="12" t="str">
        <x:v>negative</x:v>
      </x:c>
      <x:c r="X1980" s="12"/>
      <x:c r="Y1980" s="12" t="str">
        <x:v>negative</x:v>
      </x:c>
      <x:c r="Z1980" s="12" t="str">
        <x:f>IF(OR(W1980="unavailable",Y1980="unavailable"),"不可评价",IF(OR(W1980="equivocal",Y1980="equivocal"),"疑似",IF(AND(W1980="positive",Y1980="positive"),"a",IF(Y1980="positive","b",IF(W1980="positive","c","d")))))</x:f>
        <x:v>d</x:v>
      </x:c>
      <x:c r="AA1980" s="12" t="str">
        <x:f>IF(OR(M1980="unavailable",O1980="unavailable"),"不可评价",IF(AND(OR(M1980="positive",M1980="equivocal"),OR(O1980="positive",O1980="equivocal")),"a",IF(OR(O1980="positive",O1980="equivocal"),"b",IF(OR(M1980="positive",M1980="equivocal"),"c","d"))))</x:f>
        <x:v>d</x:v>
      </x:c>
      <x:c r="AB1980" s="12" t="str">
        <x:f>IF(OR(M1980="unavailable",O1980="unavailable"),"不可评价",IF(AND(M1980="positive",O1980="positive"),"a",IF(O1980="positive","b",IF(M1980="positive","c","d"))))</x:f>
        <x:v>d</x:v>
      </x:c>
      <x:c r="AC1980" s="12" t="str">
        <x:f>IF(OR(R1980="unavailable",T1980="unavailable"),"不可评价",IF(AND(OR(R1980="positive",R1980="equivocal"),OR(T1980="positive",T1980="equivocal")),"a",IF(OR(T1980="positive",T1980="equivocal"),"b",IF(OR(R1980="positive",R1980="equivocal"),"c","d"))))</x:f>
        <x:v>a</x:v>
      </x:c>
      <x:c r="AD1980" s="12" t="str">
        <x:f>IF(OR(R1980="unavailable",T1980="unavailable"),"不可评价",IF(AND(R1980="positive",T1980="positive"),"a",IF(T1980="positive","b",IF(R1980="positive","c","d"))))</x:f>
        <x:v>a</x:v>
      </x:c>
      <x:c r="AE1980" s="12" t="str">
        <x:f>IF(OR(W1980="unavailable",Y1980="unavailable"),"不可评价",IF(AND(OR(W1980="positive",W1980="equivocal"),OR(Y1980="positive",Y1980="equivocal")),"a",IF(OR(Y1980="positive",Y1980="equivocal"),"b",IF(OR(W1980="positive",W1980="equivocal"),"c","d"))))</x:f>
        <x:v>d</x:v>
      </x:c>
      <x:c r="AF1980" s="12" t="str">
        <x:f>IF(OR(W1980="unavailable",Y1980="unavailable"),"不可评价",IF(AND(W1980="positive",Y1980="positive"),"a",IF(Y1980="positive","b",IF(W1980="positive","c","d"))))</x:f>
        <x:v>d</x:v>
      </x:c>
    </x:row>
    <x:row r="1981" ht="24" customHeight="1">
      <x:c r="A1981" s="12" t="str">
        <x:v>18937</x:v>
      </x:c>
      <x:c r="B1981" s="12" t="str">
        <x:v>20755</x:v>
      </x:c>
      <x:c r="C1981" s="21" t="n">
        <x:v>35769.50059027778</x:v>
      </x:c>
      <x:c r="D1981" s="12" t="n">
        <x:v>67</x:v>
      </x:c>
      <x:c r="E1981" s="12" t="n">
        <x:v>0</x:v>
      </x:c>
      <x:c r="F1981" s="12" t="str">
        <x:v>存在</x:v>
      </x:c>
      <x:c r="G1981" s="12" t="n">
        <x:v>1</x:v>
      </x:c>
      <x:c r="H1981" s="12" t="str">
        <x:v>{'NDT': 100.0, 'SR': 0.0}</x:v>
      </x:c>
      <x:c r="I1981" s="12" t="str">
        <x:v>[('NSR', 100.0), ('NML', 100.0)]</x:v>
      </x:c>
      <x:c r="J1981" s="12" t="str">
        <x:v>ptbxl_database.csv；ecg_id=18937；scp_codes</x:v>
      </x:c>
      <x:c r="K1981" s="12" t="str">
        <x:v>12sl_statements.csv；ecg_id=18937；statements_ext_snomed</x:v>
      </x:c>
      <x:c r="L1981" s="12"/>
      <x:c r="M1981" s="12" t="str">
        <x:v>negative</x:v>
      </x:c>
      <x:c r="N1981" s="12"/>
      <x:c r="O1981" s="12" t="str">
        <x:v>negative</x:v>
      </x:c>
      <x:c r="P1981" s="12" t="str">
        <x:f>IF(OR(M1981="unavailable",O1981="unavailable"),"不可评价",IF(OR(M1981="equivocal",O1981="equivocal"),"疑似",IF(AND(M1981="positive",O1981="positive"),"a",IF(O1981="positive","b",IF(M1981="positive","c","d")))))</x:f>
        <x:v>d</x:v>
      </x:c>
      <x:c r="Q1981" s="12"/>
      <x:c r="R1981" s="12" t="str">
        <x:v>negative</x:v>
      </x:c>
      <x:c r="S1981" s="12"/>
      <x:c r="T1981" s="12" t="str">
        <x:v>negative</x:v>
      </x:c>
      <x:c r="U1981" s="12" t="str">
        <x:f>IF(OR(R1981="unavailable",T1981="unavailable"),"不可评价",IF(OR(R1981="equivocal",T1981="equivocal"),"疑似",IF(AND(R1981="positive",T1981="positive"),"a",IF(T1981="positive","b",IF(R1981="positive","c","d")))))</x:f>
        <x:v>d</x:v>
      </x:c>
      <x:c r="V1981" s="12"/>
      <x:c r="W1981" s="12" t="str">
        <x:v>negative</x:v>
      </x:c>
      <x:c r="X1981" s="12"/>
      <x:c r="Y1981" s="12" t="str">
        <x:v>negative</x:v>
      </x:c>
      <x:c r="Z1981" s="12" t="str">
        <x:f>IF(OR(W1981="unavailable",Y1981="unavailable"),"不可评价",IF(OR(W1981="equivocal",Y1981="equivocal"),"疑似",IF(AND(W1981="positive",Y1981="positive"),"a",IF(Y1981="positive","b",IF(W1981="positive","c","d")))))</x:f>
        <x:v>d</x:v>
      </x:c>
      <x:c r="AA1981" s="12" t="str">
        <x:f>IF(OR(M1981="unavailable",O1981="unavailable"),"不可评价",IF(AND(OR(M1981="positive",M1981="equivocal"),OR(O1981="positive",O1981="equivocal")),"a",IF(OR(O1981="positive",O1981="equivocal"),"b",IF(OR(M1981="positive",M1981="equivocal"),"c","d"))))</x:f>
        <x:v>d</x:v>
      </x:c>
      <x:c r="AB1981" s="12" t="str">
        <x:f>IF(OR(M1981="unavailable",O1981="unavailable"),"不可评价",IF(AND(M1981="positive",O1981="positive"),"a",IF(O1981="positive","b",IF(M1981="positive","c","d"))))</x:f>
        <x:v>d</x:v>
      </x:c>
      <x:c r="AC1981" s="12" t="str">
        <x:f>IF(OR(R1981="unavailable",T1981="unavailable"),"不可评价",IF(AND(OR(R1981="positive",R1981="equivocal"),OR(T1981="positive",T1981="equivocal")),"a",IF(OR(T1981="positive",T1981="equivocal"),"b",IF(OR(R1981="positive",R1981="equivocal"),"c","d"))))</x:f>
        <x:v>d</x:v>
      </x:c>
      <x:c r="AD1981" s="12" t="str">
        <x:f>IF(OR(R1981="unavailable",T1981="unavailable"),"不可评价",IF(AND(R1981="positive",T1981="positive"),"a",IF(T1981="positive","b",IF(R1981="positive","c","d"))))</x:f>
        <x:v>d</x:v>
      </x:c>
      <x:c r="AE1981" s="12" t="str">
        <x:f>IF(OR(W1981="unavailable",Y1981="unavailable"),"不可评价",IF(AND(OR(W1981="positive",W1981="equivocal"),OR(Y1981="positive",Y1981="equivocal")),"a",IF(OR(Y1981="positive",Y1981="equivocal"),"b",IF(OR(W1981="positive",W1981="equivocal"),"c","d"))))</x:f>
        <x:v>d</x:v>
      </x:c>
      <x:c r="AF1981" s="12" t="str">
        <x:f>IF(OR(W1981="unavailable",Y1981="unavailable"),"不可评价",IF(AND(W1981="positive",Y1981="positive"),"a",IF(Y1981="positive","b",IF(W1981="positive","c","d"))))</x:f>
        <x:v>d</x:v>
      </x:c>
    </x:row>
    <x:row r="1982" ht="24" customHeight="1">
      <x:c r="A1982" s="12" t="str">
        <x:v>18974</x:v>
      </x:c>
      <x:c r="B1982" s="12" t="str">
        <x:v>20916</x:v>
      </x:c>
      <x:c r="C1982" s="21" t="n">
        <x:v>35776.590844907405</x:v>
      </x:c>
      <x:c r="D1982" s="12" t="n">
        <x:v>57</x:v>
      </x:c>
      <x:c r="E1982" s="12" t="n">
        <x:v>0</x:v>
      </x:c>
      <x:c r="F1982" s="12" t="str">
        <x:v>未记录</x:v>
      </x:c>
      <x:c r="G1982" s="12" t="n">
        <x:v>1</x:v>
      </x:c>
      <x:c r="H1982" s="12" t="str">
        <x:v>{'IVCD': 100.0, 'SR': 0.0}</x:v>
      </x:c>
      <x:c r="I1982" s="12" t="str">
        <x:v>[('NSR', 100.0), ('BORDE', 100.0)]</x:v>
      </x:c>
      <x:c r="J1982" s="12" t="str">
        <x:v>ptbxl_database.csv；ecg_id=18974；scp_codes</x:v>
      </x:c>
      <x:c r="K1982" s="12" t="str">
        <x:v>12sl_statements.csv；ecg_id=18974；statements_ext_snomed</x:v>
      </x:c>
      <x:c r="L1982" s="12"/>
      <x:c r="M1982" s="12" t="str">
        <x:v>negative</x:v>
      </x:c>
      <x:c r="N1982" s="12"/>
      <x:c r="O1982" s="12" t="str">
        <x:v>negative</x:v>
      </x:c>
      <x:c r="P1982" s="12" t="str">
        <x:f>IF(OR(M1982="unavailable",O1982="unavailable"),"不可评价",IF(OR(M1982="equivocal",O1982="equivocal"),"疑似",IF(AND(M1982="positive",O1982="positive"),"a",IF(O1982="positive","b",IF(M1982="positive","c","d")))))</x:f>
        <x:v>d</x:v>
      </x:c>
      <x:c r="Q1982" s="12"/>
      <x:c r="R1982" s="12" t="str">
        <x:v>negative</x:v>
      </x:c>
      <x:c r="S1982" s="12"/>
      <x:c r="T1982" s="12" t="str">
        <x:v>negative</x:v>
      </x:c>
      <x:c r="U1982" s="12" t="str">
        <x:f>IF(OR(R1982="unavailable",T1982="unavailable"),"不可评价",IF(OR(R1982="equivocal",T1982="equivocal"),"疑似",IF(AND(R1982="positive",T1982="positive"),"a",IF(T1982="positive","b",IF(R1982="positive","c","d")))))</x:f>
        <x:v>d</x:v>
      </x:c>
      <x:c r="V1982" s="12"/>
      <x:c r="W1982" s="12" t="str">
        <x:v>negative</x:v>
      </x:c>
      <x:c r="X1982" s="12"/>
      <x:c r="Y1982" s="12" t="str">
        <x:v>negative</x:v>
      </x:c>
      <x:c r="Z1982" s="12" t="str">
        <x:f>IF(OR(W1982="unavailable",Y1982="unavailable"),"不可评价",IF(OR(W1982="equivocal",Y1982="equivocal"),"疑似",IF(AND(W1982="positive",Y1982="positive"),"a",IF(Y1982="positive","b",IF(W1982="positive","c","d")))))</x:f>
        <x:v>d</x:v>
      </x:c>
      <x:c r="AA1982" s="12" t="str">
        <x:f>IF(OR(M1982="unavailable",O1982="unavailable"),"不可评价",IF(AND(OR(M1982="positive",M1982="equivocal"),OR(O1982="positive",O1982="equivocal")),"a",IF(OR(O1982="positive",O1982="equivocal"),"b",IF(OR(M1982="positive",M1982="equivocal"),"c","d"))))</x:f>
        <x:v>d</x:v>
      </x:c>
      <x:c r="AB1982" s="12" t="str">
        <x:f>IF(OR(M1982="unavailable",O1982="unavailable"),"不可评价",IF(AND(M1982="positive",O1982="positive"),"a",IF(O1982="positive","b",IF(M1982="positive","c","d"))))</x:f>
        <x:v>d</x:v>
      </x:c>
      <x:c r="AC1982" s="12" t="str">
        <x:f>IF(OR(R1982="unavailable",T1982="unavailable"),"不可评价",IF(AND(OR(R1982="positive",R1982="equivocal"),OR(T1982="positive",T1982="equivocal")),"a",IF(OR(T1982="positive",T1982="equivocal"),"b",IF(OR(R1982="positive",R1982="equivocal"),"c","d"))))</x:f>
        <x:v>d</x:v>
      </x:c>
      <x:c r="AD1982" s="12" t="str">
        <x:f>IF(OR(R1982="unavailable",T1982="unavailable"),"不可评价",IF(AND(R1982="positive",T1982="positive"),"a",IF(T1982="positive","b",IF(R1982="positive","c","d"))))</x:f>
        <x:v>d</x:v>
      </x:c>
      <x:c r="AE1982" s="12" t="str">
        <x:f>IF(OR(W1982="unavailable",Y1982="unavailable"),"不可评价",IF(AND(OR(W1982="positive",W1982="equivocal"),OR(Y1982="positive",Y1982="equivocal")),"a",IF(OR(Y1982="positive",Y1982="equivocal"),"b",IF(OR(W1982="positive",W1982="equivocal"),"c","d"))))</x:f>
        <x:v>d</x:v>
      </x:c>
      <x:c r="AF1982" s="12" t="str">
        <x:f>IF(OR(W1982="unavailable",Y1982="unavailable"),"不可评价",IF(AND(W1982="positive",Y1982="positive"),"a",IF(Y1982="positive","b",IF(W1982="positive","c","d"))))</x:f>
        <x:v>d</x:v>
      </x:c>
    </x:row>
    <x:row r="1983" ht="24" customHeight="1">
      <x:c r="A1983" s="12" t="str">
        <x:v>18982</x:v>
      </x:c>
      <x:c r="B1983" s="12" t="str">
        <x:v>18837</x:v>
      </x:c>
      <x:c r="C1983" s="21" t="n">
        <x:v>35778.40090277778</x:v>
      </x:c>
      <x:c r="D1983" s="12" t="n">
        <x:v>68</x:v>
      </x:c>
      <x:c r="E1983" s="12" t="n">
        <x:v>0</x:v>
      </x:c>
      <x:c r="F1983" s="12" t="str">
        <x:v>未记录</x:v>
      </x:c>
      <x:c r="G1983" s="12" t="n">
        <x:v>0</x:v>
      </x:c>
      <x:c r="H1983" s="12" t="str">
        <x:v>{'NORM': 100.0, 'SR': 0.0}</x:v>
      </x:c>
      <x:c r="I1983" s="12" t="str">
        <x:v>[('NSR', 100.0), ('NML', 100.0)]</x:v>
      </x:c>
      <x:c r="J1983" s="12" t="str">
        <x:v>ptbxl_database.csv；ecg_id=18982；scp_codes</x:v>
      </x:c>
      <x:c r="K1983" s="12" t="str">
        <x:v>12sl_statements.csv；ecg_id=18982；statements_ext_snomed</x:v>
      </x:c>
      <x:c r="L1983" s="12"/>
      <x:c r="M1983" s="12" t="str">
        <x:v>negative</x:v>
      </x:c>
      <x:c r="N1983" s="12"/>
      <x:c r="O1983" s="12" t="str">
        <x:v>negative</x:v>
      </x:c>
      <x:c r="P1983" s="12" t="str">
        <x:f>IF(OR(M1983="unavailable",O1983="unavailable"),"不可评价",IF(OR(M1983="equivocal",O1983="equivocal"),"疑似",IF(AND(M1983="positive",O1983="positive"),"a",IF(O1983="positive","b",IF(M1983="positive","c","d")))))</x:f>
        <x:v>d</x:v>
      </x:c>
      <x:c r="Q1983" s="12"/>
      <x:c r="R1983" s="12" t="str">
        <x:v>negative</x:v>
      </x:c>
      <x:c r="S1983" s="12"/>
      <x:c r="T1983" s="12" t="str">
        <x:v>negative</x:v>
      </x:c>
      <x:c r="U1983" s="12" t="str">
        <x:f>IF(OR(R1983="unavailable",T1983="unavailable"),"不可评价",IF(OR(R1983="equivocal",T1983="equivocal"),"疑似",IF(AND(R1983="positive",T1983="positive"),"a",IF(T1983="positive","b",IF(R1983="positive","c","d")))))</x:f>
        <x:v>d</x:v>
      </x:c>
      <x:c r="V1983" s="12"/>
      <x:c r="W1983" s="12" t="str">
        <x:v>negative</x:v>
      </x:c>
      <x:c r="X1983" s="12"/>
      <x:c r="Y1983" s="12" t="str">
        <x:v>negative</x:v>
      </x:c>
      <x:c r="Z1983" s="12" t="str">
        <x:f>IF(OR(W1983="unavailable",Y1983="unavailable"),"不可评价",IF(OR(W1983="equivocal",Y1983="equivocal"),"疑似",IF(AND(W1983="positive",Y1983="positive"),"a",IF(Y1983="positive","b",IF(W1983="positive","c","d")))))</x:f>
        <x:v>d</x:v>
      </x:c>
      <x:c r="AA1983" s="12" t="str">
        <x:f>IF(OR(M1983="unavailable",O1983="unavailable"),"不可评价",IF(AND(OR(M1983="positive",M1983="equivocal"),OR(O1983="positive",O1983="equivocal")),"a",IF(OR(O1983="positive",O1983="equivocal"),"b",IF(OR(M1983="positive",M1983="equivocal"),"c","d"))))</x:f>
        <x:v>d</x:v>
      </x:c>
      <x:c r="AB1983" s="12" t="str">
        <x:f>IF(OR(M1983="unavailable",O1983="unavailable"),"不可评价",IF(AND(M1983="positive",O1983="positive"),"a",IF(O1983="positive","b",IF(M1983="positive","c","d"))))</x:f>
        <x:v>d</x:v>
      </x:c>
      <x:c r="AC1983" s="12" t="str">
        <x:f>IF(OR(R1983="unavailable",T1983="unavailable"),"不可评价",IF(AND(OR(R1983="positive",R1983="equivocal"),OR(T1983="positive",T1983="equivocal")),"a",IF(OR(T1983="positive",T1983="equivocal"),"b",IF(OR(R1983="positive",R1983="equivocal"),"c","d"))))</x:f>
        <x:v>d</x:v>
      </x:c>
      <x:c r="AD1983" s="12" t="str">
        <x:f>IF(OR(R1983="unavailable",T1983="unavailable"),"不可评价",IF(AND(R1983="positive",T1983="positive"),"a",IF(T1983="positive","b",IF(R1983="positive","c","d"))))</x:f>
        <x:v>d</x:v>
      </x:c>
      <x:c r="AE1983" s="12" t="str">
        <x:f>IF(OR(W1983="unavailable",Y1983="unavailable"),"不可评价",IF(AND(OR(W1983="positive",W1983="equivocal"),OR(Y1983="positive",Y1983="equivocal")),"a",IF(OR(Y1983="positive",Y1983="equivocal"),"b",IF(OR(W1983="positive",W1983="equivocal"),"c","d"))))</x:f>
        <x:v>d</x:v>
      </x:c>
      <x:c r="AF1983" s="12" t="str">
        <x:f>IF(OR(W1983="unavailable",Y1983="unavailable"),"不可评价",IF(AND(W1983="positive",Y1983="positive"),"a",IF(Y1983="positive","b",IF(W1983="positive","c","d"))))</x:f>
        <x:v>d</x:v>
      </x:c>
    </x:row>
    <x:row r="1984" ht="24" customHeight="1">
      <x:c r="A1984" s="12" t="str">
        <x:v>19017</x:v>
      </x:c>
      <x:c r="B1984" s="12" t="str">
        <x:v>17941</x:v>
      </x:c>
      <x:c r="C1984" s="21" t="n">
        <x:v>35790.355462962965</x:v>
      </x:c>
      <x:c r="D1984" s="12" t="n">
        <x:v>63</x:v>
      </x:c>
      <x:c r="E1984" s="12" t="n">
        <x:v>1</x:v>
      </x:c>
      <x:c r="F1984" s="12" t="str">
        <x:v>未记录</x:v>
      </x:c>
      <x:c r="G1984" s="12" t="n">
        <x:v>1</x:v>
      </x:c>
      <x:c r="H1984" s="12" t="str">
        <x:v>{'IMI': 15.0, 'ABQRS': 0.0, 'SR': 0.0}</x:v>
      </x:c>
      <x:c r="I1984" s="12" t="str">
        <x:v>[('NSR', 100.0), ('NML', 100.0)]</x:v>
      </x:c>
      <x:c r="J1984" s="12" t="str">
        <x:v>ptbxl_database.csv；ecg_id=19017；scp_codes</x:v>
      </x:c>
      <x:c r="K1984" s="12" t="str">
        <x:v>12sl_statements.csv；ecg_id=19017；statements_ext_snomed</x:v>
      </x:c>
      <x:c r="L1984" s="12"/>
      <x:c r="M1984" s="12" t="str">
        <x:v>negative</x:v>
      </x:c>
      <x:c r="N1984" s="12"/>
      <x:c r="O1984" s="12" t="str">
        <x:v>negative</x:v>
      </x:c>
      <x:c r="P1984" s="12" t="str">
        <x:f>IF(OR(M1984="unavailable",O1984="unavailable"),"不可评价",IF(OR(M1984="equivocal",O1984="equivocal"),"疑似",IF(AND(M1984="positive",O1984="positive"),"a",IF(O1984="positive","b",IF(M1984="positive","c","d")))))</x:f>
        <x:v>d</x:v>
      </x:c>
      <x:c r="Q1984" s="12"/>
      <x:c r="R1984" s="12" t="str">
        <x:v>negative</x:v>
      </x:c>
      <x:c r="S1984" s="12"/>
      <x:c r="T1984" s="12" t="str">
        <x:v>negative</x:v>
      </x:c>
      <x:c r="U1984" s="12" t="str">
        <x:f>IF(OR(R1984="unavailable",T1984="unavailable"),"不可评价",IF(OR(R1984="equivocal",T1984="equivocal"),"疑似",IF(AND(R1984="positive",T1984="positive"),"a",IF(T1984="positive","b",IF(R1984="positive","c","d")))))</x:f>
        <x:v>d</x:v>
      </x:c>
      <x:c r="V1984" s="12"/>
      <x:c r="W1984" s="12" t="str">
        <x:v>negative</x:v>
      </x:c>
      <x:c r="X1984" s="12"/>
      <x:c r="Y1984" s="12" t="str">
        <x:v>negative</x:v>
      </x:c>
      <x:c r="Z1984" s="12" t="str">
        <x:f>IF(OR(W1984="unavailable",Y1984="unavailable"),"不可评价",IF(OR(W1984="equivocal",Y1984="equivocal"),"疑似",IF(AND(W1984="positive",Y1984="positive"),"a",IF(Y1984="positive","b",IF(W1984="positive","c","d")))))</x:f>
        <x:v>d</x:v>
      </x:c>
      <x:c r="AA1984" s="12" t="str">
        <x:f>IF(OR(M1984="unavailable",O1984="unavailable"),"不可评价",IF(AND(OR(M1984="positive",M1984="equivocal"),OR(O1984="positive",O1984="equivocal")),"a",IF(OR(O1984="positive",O1984="equivocal"),"b",IF(OR(M1984="positive",M1984="equivocal"),"c","d"))))</x:f>
        <x:v>d</x:v>
      </x:c>
      <x:c r="AB1984" s="12" t="str">
        <x:f>IF(OR(M1984="unavailable",O1984="unavailable"),"不可评价",IF(AND(M1984="positive",O1984="positive"),"a",IF(O1984="positive","b",IF(M1984="positive","c","d"))))</x:f>
        <x:v>d</x:v>
      </x:c>
      <x:c r="AC1984" s="12" t="str">
        <x:f>IF(OR(R1984="unavailable",T1984="unavailable"),"不可评价",IF(AND(OR(R1984="positive",R1984="equivocal"),OR(T1984="positive",T1984="equivocal")),"a",IF(OR(T1984="positive",T1984="equivocal"),"b",IF(OR(R1984="positive",R1984="equivocal"),"c","d"))))</x:f>
        <x:v>d</x:v>
      </x:c>
      <x:c r="AD1984" s="12" t="str">
        <x:f>IF(OR(R1984="unavailable",T1984="unavailable"),"不可评价",IF(AND(R1984="positive",T1984="positive"),"a",IF(T1984="positive","b",IF(R1984="positive","c","d"))))</x:f>
        <x:v>d</x:v>
      </x:c>
      <x:c r="AE1984" s="12" t="str">
        <x:f>IF(OR(W1984="unavailable",Y1984="unavailable"),"不可评价",IF(AND(OR(W1984="positive",W1984="equivocal"),OR(Y1984="positive",Y1984="equivocal")),"a",IF(OR(Y1984="positive",Y1984="equivocal"),"b",IF(OR(W1984="positive",W1984="equivocal"),"c","d"))))</x:f>
        <x:v>d</x:v>
      </x:c>
      <x:c r="AF1984" s="12" t="str">
        <x:f>IF(OR(W1984="unavailable",Y1984="unavailable"),"不可评价",IF(AND(W1984="positive",Y1984="positive"),"a",IF(Y1984="positive","b",IF(W1984="positive","c","d"))))</x:f>
        <x:v>d</x:v>
      </x:c>
    </x:row>
    <x:row r="1985" ht="24" customHeight="1">
      <x:c r="A1985" s="12" t="str">
        <x:v>19042</x:v>
      </x:c>
      <x:c r="B1985" s="12" t="str">
        <x:v>11107</x:v>
      </x:c>
      <x:c r="C1985" s="21" t="n">
        <x:v>35798.455625</x:v>
      </x:c>
      <x:c r="D1985" s="12" t="n">
        <x:v>74</x:v>
      </x:c>
      <x:c r="E1985" s="12" t="n">
        <x:v>1</x:v>
      </x:c>
      <x:c r="F1985" s="12" t="str">
        <x:v>未记录</x:v>
      </x:c>
      <x:c r="G1985" s="12" t="n">
        <x:v>1</x:v>
      </x:c>
      <x:c r="H1985" s="12" t="str">
        <x:v>{'NORM': 100.0, 'SR': 0.0}</x:v>
      </x:c>
      <x:c r="I1985" s="12" t="str">
        <x:v>[('NSR', 100.0), ('NML', 100.0)]</x:v>
      </x:c>
      <x:c r="J1985" s="12" t="str">
        <x:v>ptbxl_database.csv；ecg_id=19042；scp_codes</x:v>
      </x:c>
      <x:c r="K1985" s="12" t="str">
        <x:v>12sl_statements.csv；ecg_id=19042；statements_ext_snomed</x:v>
      </x:c>
      <x:c r="L1985" s="12"/>
      <x:c r="M1985" s="12" t="str">
        <x:v>negative</x:v>
      </x:c>
      <x:c r="N1985" s="12"/>
      <x:c r="O1985" s="12" t="str">
        <x:v>negative</x:v>
      </x:c>
      <x:c r="P1985" s="12" t="str">
        <x:f>IF(OR(M1985="unavailable",O1985="unavailable"),"不可评价",IF(OR(M1985="equivocal",O1985="equivocal"),"疑似",IF(AND(M1985="positive",O1985="positive"),"a",IF(O1985="positive","b",IF(M1985="positive","c","d")))))</x:f>
        <x:v>d</x:v>
      </x:c>
      <x:c r="Q1985" s="12"/>
      <x:c r="R1985" s="12" t="str">
        <x:v>negative</x:v>
      </x:c>
      <x:c r="S1985" s="12"/>
      <x:c r="T1985" s="12" t="str">
        <x:v>negative</x:v>
      </x:c>
      <x:c r="U1985" s="12" t="str">
        <x:f>IF(OR(R1985="unavailable",T1985="unavailable"),"不可评价",IF(OR(R1985="equivocal",T1985="equivocal"),"疑似",IF(AND(R1985="positive",T1985="positive"),"a",IF(T1985="positive","b",IF(R1985="positive","c","d")))))</x:f>
        <x:v>d</x:v>
      </x:c>
      <x:c r="V1985" s="12"/>
      <x:c r="W1985" s="12" t="str">
        <x:v>negative</x:v>
      </x:c>
      <x:c r="X1985" s="12"/>
      <x:c r="Y1985" s="12" t="str">
        <x:v>negative</x:v>
      </x:c>
      <x:c r="Z1985" s="12" t="str">
        <x:f>IF(OR(W1985="unavailable",Y1985="unavailable"),"不可评价",IF(OR(W1985="equivocal",Y1985="equivocal"),"疑似",IF(AND(W1985="positive",Y1985="positive"),"a",IF(Y1985="positive","b",IF(W1985="positive","c","d")))))</x:f>
        <x:v>d</x:v>
      </x:c>
      <x:c r="AA1985" s="12" t="str">
        <x:f>IF(OR(M1985="unavailable",O1985="unavailable"),"不可评价",IF(AND(OR(M1985="positive",M1985="equivocal"),OR(O1985="positive",O1985="equivocal")),"a",IF(OR(O1985="positive",O1985="equivocal"),"b",IF(OR(M1985="positive",M1985="equivocal"),"c","d"))))</x:f>
        <x:v>d</x:v>
      </x:c>
      <x:c r="AB1985" s="12" t="str">
        <x:f>IF(OR(M1985="unavailable",O1985="unavailable"),"不可评价",IF(AND(M1985="positive",O1985="positive"),"a",IF(O1985="positive","b",IF(M1985="positive","c","d"))))</x:f>
        <x:v>d</x:v>
      </x:c>
      <x:c r="AC1985" s="12" t="str">
        <x:f>IF(OR(R1985="unavailable",T1985="unavailable"),"不可评价",IF(AND(OR(R1985="positive",R1985="equivocal"),OR(T1985="positive",T1985="equivocal")),"a",IF(OR(T1985="positive",T1985="equivocal"),"b",IF(OR(R1985="positive",R1985="equivocal"),"c","d"))))</x:f>
        <x:v>d</x:v>
      </x:c>
      <x:c r="AD1985" s="12" t="str">
        <x:f>IF(OR(R1985="unavailable",T1985="unavailable"),"不可评价",IF(AND(R1985="positive",T1985="positive"),"a",IF(T1985="positive","b",IF(R1985="positive","c","d"))))</x:f>
        <x:v>d</x:v>
      </x:c>
      <x:c r="AE1985" s="12" t="str">
        <x:f>IF(OR(W1985="unavailable",Y1985="unavailable"),"不可评价",IF(AND(OR(W1985="positive",W1985="equivocal"),OR(Y1985="positive",Y1985="equivocal")),"a",IF(OR(Y1985="positive",Y1985="equivocal"),"b",IF(OR(W1985="positive",W1985="equivocal"),"c","d"))))</x:f>
        <x:v>d</x:v>
      </x:c>
      <x:c r="AF1985" s="12" t="str">
        <x:f>IF(OR(W1985="unavailable",Y1985="unavailable"),"不可评价",IF(AND(W1985="positive",Y1985="positive"),"a",IF(Y1985="positive","b",IF(W1985="positive","c","d"))))</x:f>
        <x:v>d</x:v>
      </x:c>
    </x:row>
    <x:row r="1986" ht="24" customHeight="1">
      <x:c r="A1986" s="12" t="str">
        <x:v>19053</x:v>
      </x:c>
      <x:c r="B1986" s="12" t="str">
        <x:v>14659</x:v>
      </x:c>
      <x:c r="C1986" s="21" t="n">
        <x:v>35800.556284722225</x:v>
      </x:c>
      <x:c r="D1986" s="12" t="n">
        <x:v>56</x:v>
      </x:c>
      <x:c r="E1986" s="12" t="n">
        <x:v>0</x:v>
      </x:c>
      <x:c r="F1986" s="12" t="str">
        <x:v>未记录</x:v>
      </x:c>
      <x:c r="G1986" s="12" t="n">
        <x:v>0</x:v>
      </x:c>
      <x:c r="H1986" s="12" t="str">
        <x:v>{'IMI': 15.0, 'ABQRS': 0.0, 'SR': 0.0}</x:v>
      </x:c>
      <x:c r="I1986" s="12" t="str">
        <x:v>[('NSR', 100.0), ('NML', 100.0)]</x:v>
      </x:c>
      <x:c r="J1986" s="12" t="str">
        <x:v>ptbxl_database.csv；ecg_id=19053；scp_codes</x:v>
      </x:c>
      <x:c r="K1986" s="12" t="str">
        <x:v>12sl_statements.csv；ecg_id=19053；statements_ext_snomed</x:v>
      </x:c>
      <x:c r="L1986" s="12"/>
      <x:c r="M1986" s="12" t="str">
        <x:v>negative</x:v>
      </x:c>
      <x:c r="N1986" s="12"/>
      <x:c r="O1986" s="12" t="str">
        <x:v>negative</x:v>
      </x:c>
      <x:c r="P1986" s="12" t="str">
        <x:f>IF(OR(M1986="unavailable",O1986="unavailable"),"不可评价",IF(OR(M1986="equivocal",O1986="equivocal"),"疑似",IF(AND(M1986="positive",O1986="positive"),"a",IF(O1986="positive","b",IF(M1986="positive","c","d")))))</x:f>
        <x:v>d</x:v>
      </x:c>
      <x:c r="Q1986" s="12"/>
      <x:c r="R1986" s="12" t="str">
        <x:v>negative</x:v>
      </x:c>
      <x:c r="S1986" s="12"/>
      <x:c r="T1986" s="12" t="str">
        <x:v>negative</x:v>
      </x:c>
      <x:c r="U1986" s="12" t="str">
        <x:f>IF(OR(R1986="unavailable",T1986="unavailable"),"不可评价",IF(OR(R1986="equivocal",T1986="equivocal"),"疑似",IF(AND(R1986="positive",T1986="positive"),"a",IF(T1986="positive","b",IF(R1986="positive","c","d")))))</x:f>
        <x:v>d</x:v>
      </x:c>
      <x:c r="V1986" s="12"/>
      <x:c r="W1986" s="12" t="str">
        <x:v>negative</x:v>
      </x:c>
      <x:c r="X1986" s="12"/>
      <x:c r="Y1986" s="12" t="str">
        <x:v>negative</x:v>
      </x:c>
      <x:c r="Z1986" s="12" t="str">
        <x:f>IF(OR(W1986="unavailable",Y1986="unavailable"),"不可评价",IF(OR(W1986="equivocal",Y1986="equivocal"),"疑似",IF(AND(W1986="positive",Y1986="positive"),"a",IF(Y1986="positive","b",IF(W1986="positive","c","d")))))</x:f>
        <x:v>d</x:v>
      </x:c>
      <x:c r="AA1986" s="12" t="str">
        <x:f>IF(OR(M1986="unavailable",O1986="unavailable"),"不可评价",IF(AND(OR(M1986="positive",M1986="equivocal"),OR(O1986="positive",O1986="equivocal")),"a",IF(OR(O1986="positive",O1986="equivocal"),"b",IF(OR(M1986="positive",M1986="equivocal"),"c","d"))))</x:f>
        <x:v>d</x:v>
      </x:c>
      <x:c r="AB1986" s="12" t="str">
        <x:f>IF(OR(M1986="unavailable",O1986="unavailable"),"不可评价",IF(AND(M1986="positive",O1986="positive"),"a",IF(O1986="positive","b",IF(M1986="positive","c","d"))))</x:f>
        <x:v>d</x:v>
      </x:c>
      <x:c r="AC1986" s="12" t="str">
        <x:f>IF(OR(R1986="unavailable",T1986="unavailable"),"不可评价",IF(AND(OR(R1986="positive",R1986="equivocal"),OR(T1986="positive",T1986="equivocal")),"a",IF(OR(T1986="positive",T1986="equivocal"),"b",IF(OR(R1986="positive",R1986="equivocal"),"c","d"))))</x:f>
        <x:v>d</x:v>
      </x:c>
      <x:c r="AD1986" s="12" t="str">
        <x:f>IF(OR(R1986="unavailable",T1986="unavailable"),"不可评价",IF(AND(R1986="positive",T1986="positive"),"a",IF(T1986="positive","b",IF(R1986="positive","c","d"))))</x:f>
        <x:v>d</x:v>
      </x:c>
      <x:c r="AE1986" s="12" t="str">
        <x:f>IF(OR(W1986="unavailable",Y1986="unavailable"),"不可评价",IF(AND(OR(W1986="positive",W1986="equivocal"),OR(Y1986="positive",Y1986="equivocal")),"a",IF(OR(Y1986="positive",Y1986="equivocal"),"b",IF(OR(W1986="positive",W1986="equivocal"),"c","d"))))</x:f>
        <x:v>d</x:v>
      </x:c>
      <x:c r="AF1986" s="12" t="str">
        <x:f>IF(OR(W1986="unavailable",Y1986="unavailable"),"不可评价",IF(AND(W1986="positive",Y1986="positive"),"a",IF(Y1986="positive","b",IF(W1986="positive","c","d"))))</x:f>
        <x:v>d</x:v>
      </x:c>
    </x:row>
    <x:row r="1987" ht="24" customHeight="1">
      <x:c r="A1987" s="12" t="str">
        <x:v>19054</x:v>
      </x:c>
      <x:c r="B1987" s="12" t="str">
        <x:v>16647</x:v>
      </x:c>
      <x:c r="C1987" s="21" t="n">
        <x:v>35800.724178240744</x:v>
      </x:c>
      <x:c r="D1987" s="12" t="n">
        <x:v>300</x:v>
      </x:c>
      <x:c r="E1987" s="12" t="n">
        <x:v>0</x:v>
      </x:c>
      <x:c r="F1987" s="12" t="str">
        <x:v>存在</x:v>
      </x:c>
      <x:c r="G1987" s="12" t="n">
        <x:v>1</x:v>
      </x:c>
      <x:c r="H1987" s="12" t="str">
        <x:v>{'ILMI': 100.0, 'ABQRS': 0.0, 'SR': 0.0}</x:v>
      </x:c>
      <x:c r="I1987" s="12" t="str">
        <x:v>[('FLUT', 100.0), ('W4T1', 100.0), ('NSTT', 100.0), ('AB', 100.0)]</x:v>
      </x:c>
      <x:c r="J1987" s="12" t="str">
        <x:v>ptbxl_database.csv；ecg_id=19054；scp_codes</x:v>
      </x:c>
      <x:c r="K1987" s="12" t="str">
        <x:v>12sl_statements.csv；ecg_id=19054；statements_ext_snomed</x:v>
      </x:c>
      <x:c r="L1987" s="12"/>
      <x:c r="M1987" s="12" t="str">
        <x:v>negative</x:v>
      </x:c>
      <x:c r="N1987" s="12"/>
      <x:c r="O1987" s="12" t="str">
        <x:v>negative</x:v>
      </x:c>
      <x:c r="P1987" s="12" t="str">
        <x:f>IF(OR(M1987="unavailable",O1987="unavailable"),"不可评价",IF(OR(M1987="equivocal",O1987="equivocal"),"疑似",IF(AND(M1987="positive",O1987="positive"),"a",IF(O1987="positive","b",IF(M1987="positive","c","d")))))</x:f>
        <x:v>d</x:v>
      </x:c>
      <x:c r="Q1987" s="12"/>
      <x:c r="R1987" s="12" t="str">
        <x:v>negative</x:v>
      </x:c>
      <x:c r="S1987" s="12"/>
      <x:c r="T1987" s="12" t="str">
        <x:v>negative</x:v>
      </x:c>
      <x:c r="U1987" s="12" t="str">
        <x:f>IF(OR(R1987="unavailable",T1987="unavailable"),"不可评价",IF(OR(R1987="equivocal",T1987="equivocal"),"疑似",IF(AND(R1987="positive",T1987="positive"),"a",IF(T1987="positive","b",IF(R1987="positive","c","d")))))</x:f>
        <x:v>d</x:v>
      </x:c>
      <x:c r="V1987" s="12"/>
      <x:c r="W1987" s="12" t="str">
        <x:v>negative</x:v>
      </x:c>
      <x:c r="X1987" s="12"/>
      <x:c r="Y1987" s="12" t="str">
        <x:v>negative</x:v>
      </x:c>
      <x:c r="Z1987" s="12" t="str">
        <x:f>IF(OR(W1987="unavailable",Y1987="unavailable"),"不可评价",IF(OR(W1987="equivocal",Y1987="equivocal"),"疑似",IF(AND(W1987="positive",Y1987="positive"),"a",IF(Y1987="positive","b",IF(W1987="positive","c","d")))))</x:f>
        <x:v>d</x:v>
      </x:c>
      <x:c r="AA1987" s="12" t="str">
        <x:f>IF(OR(M1987="unavailable",O1987="unavailable"),"不可评价",IF(AND(OR(M1987="positive",M1987="equivocal"),OR(O1987="positive",O1987="equivocal")),"a",IF(OR(O1987="positive",O1987="equivocal"),"b",IF(OR(M1987="positive",M1987="equivocal"),"c","d"))))</x:f>
        <x:v>d</x:v>
      </x:c>
      <x:c r="AB1987" s="12" t="str">
        <x:f>IF(OR(M1987="unavailable",O1987="unavailable"),"不可评价",IF(AND(M1987="positive",O1987="positive"),"a",IF(O1987="positive","b",IF(M1987="positive","c","d"))))</x:f>
        <x:v>d</x:v>
      </x:c>
      <x:c r="AC1987" s="12" t="str">
        <x:f>IF(OR(R1987="unavailable",T1987="unavailable"),"不可评价",IF(AND(OR(R1987="positive",R1987="equivocal"),OR(T1987="positive",T1987="equivocal")),"a",IF(OR(T1987="positive",T1987="equivocal"),"b",IF(OR(R1987="positive",R1987="equivocal"),"c","d"))))</x:f>
        <x:v>d</x:v>
      </x:c>
      <x:c r="AD1987" s="12" t="str">
        <x:f>IF(OR(R1987="unavailable",T1987="unavailable"),"不可评价",IF(AND(R1987="positive",T1987="positive"),"a",IF(T1987="positive","b",IF(R1987="positive","c","d"))))</x:f>
        <x:v>d</x:v>
      </x:c>
      <x:c r="AE1987" s="12" t="str">
        <x:f>IF(OR(W1987="unavailable",Y1987="unavailable"),"不可评价",IF(AND(OR(W1987="positive",W1987="equivocal"),OR(Y1987="positive",Y1987="equivocal")),"a",IF(OR(Y1987="positive",Y1987="equivocal"),"b",IF(OR(W1987="positive",W1987="equivocal"),"c","d"))))</x:f>
        <x:v>d</x:v>
      </x:c>
      <x:c r="AF1987" s="12" t="str">
        <x:f>IF(OR(W1987="unavailable",Y1987="unavailable"),"不可评价",IF(AND(W1987="positive",Y1987="positive"),"a",IF(Y1987="positive","b",IF(W1987="positive","c","d"))))</x:f>
        <x:v>d</x:v>
      </x:c>
    </x:row>
    <x:row r="1988" ht="39" customHeight="1">
      <x:c r="A1988" s="12" t="str">
        <x:v>19067</x:v>
      </x:c>
      <x:c r="B1988" s="12" t="str">
        <x:v>9451</x:v>
      </x:c>
      <x:c r="C1988" s="21" t="n">
        <x:v>35804.333344907405</x:v>
      </x:c>
      <x:c r="D1988" s="12" t="n">
        <x:v>59</x:v>
      </x:c>
      <x:c r="E1988" s="12" t="n">
        <x:v>0</x:v>
      </x:c>
      <x:c r="F1988" s="12" t="str">
        <x:v>未记录</x:v>
      </x:c>
      <x:c r="G1988" s="12" t="n">
        <x:v>1</x:v>
      </x:c>
      <x:c r="H1988" s="12" t="str">
        <x:v>{'ASMI': 100.0, 'ALMI': 100.0, 'ABQRS': 0.0, 'SR': 0.0}</x:v>
      </x:c>
      <x:c r="I1988" s="12" t="str">
        <x:v>[('NSR', 100.0), ('LAD3', 100.0), ('LOWV', 100.0), ('ASMI;AC', 100.0), ('LINJ', 100.0), ('STEMI', 100.0), ('AB', 100.0)]</x:v>
      </x:c>
      <x:c r="J1988" s="12" t="str">
        <x:v>ptbxl_database.csv；ecg_id=19067；scp_codes</x:v>
      </x:c>
      <x:c r="K1988" s="12" t="str">
        <x:v>12sl_statements.csv；ecg_id=19067；statements_ext_snomed</x:v>
      </x:c>
      <x:c r="L1988" s="12"/>
      <x:c r="M1988" s="12" t="str">
        <x:v>negative</x:v>
      </x:c>
      <x:c r="N1988" s="12"/>
      <x:c r="O1988" s="12" t="str">
        <x:v>negative</x:v>
      </x:c>
      <x:c r="P1988" s="12" t="str">
        <x:f>IF(OR(M1988="unavailable",O1988="unavailable"),"不可评价",IF(OR(M1988="equivocal",O1988="equivocal"),"疑似",IF(AND(M1988="positive",O1988="positive"),"a",IF(O1988="positive","b",IF(M1988="positive","c","d")))))</x:f>
        <x:v>d</x:v>
      </x:c>
      <x:c r="Q1988" s="12"/>
      <x:c r="R1988" s="12" t="str">
        <x:v>negative</x:v>
      </x:c>
      <x:c r="S1988" s="12"/>
      <x:c r="T1988" s="12" t="str">
        <x:v>negative</x:v>
      </x:c>
      <x:c r="U1988" s="12" t="str">
        <x:f>IF(OR(R1988="unavailable",T1988="unavailable"),"不可评价",IF(OR(R1988="equivocal",T1988="equivocal"),"疑似",IF(AND(R1988="positive",T1988="positive"),"a",IF(T1988="positive","b",IF(R1988="positive","c","d")))))</x:f>
        <x:v>d</x:v>
      </x:c>
      <x:c r="V1988" s="12"/>
      <x:c r="W1988" s="12" t="str">
        <x:v>negative</x:v>
      </x:c>
      <x:c r="X1988" s="12"/>
      <x:c r="Y1988" s="12" t="str">
        <x:v>negative</x:v>
      </x:c>
      <x:c r="Z1988" s="12" t="str">
        <x:f>IF(OR(W1988="unavailable",Y1988="unavailable"),"不可评价",IF(OR(W1988="equivocal",Y1988="equivocal"),"疑似",IF(AND(W1988="positive",Y1988="positive"),"a",IF(Y1988="positive","b",IF(W1988="positive","c","d")))))</x:f>
        <x:v>d</x:v>
      </x:c>
      <x:c r="AA1988" s="12" t="str">
        <x:f>IF(OR(M1988="unavailable",O1988="unavailable"),"不可评价",IF(AND(OR(M1988="positive",M1988="equivocal"),OR(O1988="positive",O1988="equivocal")),"a",IF(OR(O1988="positive",O1988="equivocal"),"b",IF(OR(M1988="positive",M1988="equivocal"),"c","d"))))</x:f>
        <x:v>d</x:v>
      </x:c>
      <x:c r="AB1988" s="12" t="str">
        <x:f>IF(OR(M1988="unavailable",O1988="unavailable"),"不可评价",IF(AND(M1988="positive",O1988="positive"),"a",IF(O1988="positive","b",IF(M1988="positive","c","d"))))</x:f>
        <x:v>d</x:v>
      </x:c>
      <x:c r="AC1988" s="12" t="str">
        <x:f>IF(OR(R1988="unavailable",T1988="unavailable"),"不可评价",IF(AND(OR(R1988="positive",R1988="equivocal"),OR(T1988="positive",T1988="equivocal")),"a",IF(OR(T1988="positive",T1988="equivocal"),"b",IF(OR(R1988="positive",R1988="equivocal"),"c","d"))))</x:f>
        <x:v>d</x:v>
      </x:c>
      <x:c r="AD1988" s="12" t="str">
        <x:f>IF(OR(R1988="unavailable",T1988="unavailable"),"不可评价",IF(AND(R1988="positive",T1988="positive"),"a",IF(T1988="positive","b",IF(R1988="positive","c","d"))))</x:f>
        <x:v>d</x:v>
      </x:c>
      <x:c r="AE1988" s="12" t="str">
        <x:f>IF(OR(W1988="unavailable",Y1988="unavailable"),"不可评价",IF(AND(OR(W1988="positive",W1988="equivocal"),OR(Y1988="positive",Y1988="equivocal")),"a",IF(OR(Y1988="positive",Y1988="equivocal"),"b",IF(OR(W1988="positive",W1988="equivocal"),"c","d"))))</x:f>
        <x:v>d</x:v>
      </x:c>
      <x:c r="AF1988" s="12" t="str">
        <x:f>IF(OR(W1988="unavailable",Y1988="unavailable"),"不可评价",IF(AND(W1988="positive",Y1988="positive"),"a",IF(Y1988="positive","b",IF(W1988="positive","c","d"))))</x:f>
        <x:v>d</x:v>
      </x:c>
    </x:row>
    <x:row r="1989" ht="24" customHeight="1">
      <x:c r="A1989" s="12" t="str">
        <x:v>19074</x:v>
      </x:c>
      <x:c r="B1989" s="12" t="str">
        <x:v>11323</x:v>
      </x:c>
      <x:c r="C1989" s="21" t="n">
        <x:v>35804.7121875</x:v>
      </x:c>
      <x:c r="D1989" s="12" t="n">
        <x:v>69</x:v>
      </x:c>
      <x:c r="E1989" s="12" t="n">
        <x:v>0</x:v>
      </x:c>
      <x:c r="F1989" s="12" t="str">
        <x:v>未记录</x:v>
      </x:c>
      <x:c r="G1989" s="12" t="n">
        <x:v>1</x:v>
      </x:c>
      <x:c r="H1989" s="12" t="str">
        <x:v>{'AMI': 15.0, 'LAFB': 100.0, 'ABQRS': 0.0, 'SR': 0.0}</x:v>
      </x:c>
      <x:c r="I1989" s="12" t="str">
        <x:v>[('SBRAD', 100.0), ('ABR', 100.0)]</x:v>
      </x:c>
      <x:c r="J1989" s="12" t="str">
        <x:v>ptbxl_database.csv；ecg_id=19074；scp_codes</x:v>
      </x:c>
      <x:c r="K1989" s="12" t="str">
        <x:v>12sl_statements.csv；ecg_id=19074；statements_ext_snomed</x:v>
      </x:c>
      <x:c r="L1989" s="12"/>
      <x:c r="M1989" s="12" t="str">
        <x:v>negative</x:v>
      </x:c>
      <x:c r="N1989" s="12"/>
      <x:c r="O1989" s="12" t="str">
        <x:v>negative</x:v>
      </x:c>
      <x:c r="P1989" s="12" t="str">
        <x:f>IF(OR(M1989="unavailable",O1989="unavailable"),"不可评价",IF(OR(M1989="equivocal",O1989="equivocal"),"疑似",IF(AND(M1989="positive",O1989="positive"),"a",IF(O1989="positive","b",IF(M1989="positive","c","d")))))</x:f>
        <x:v>d</x:v>
      </x:c>
      <x:c r="Q1989" s="12"/>
      <x:c r="R1989" s="12" t="str">
        <x:v>negative</x:v>
      </x:c>
      <x:c r="S1989" s="12"/>
      <x:c r="T1989" s="12" t="str">
        <x:v>negative</x:v>
      </x:c>
      <x:c r="U1989" s="12" t="str">
        <x:f>IF(OR(R1989="unavailable",T1989="unavailable"),"不可评价",IF(OR(R1989="equivocal",T1989="equivocal"),"疑似",IF(AND(R1989="positive",T1989="positive"),"a",IF(T1989="positive","b",IF(R1989="positive","c","d")))))</x:f>
        <x:v>d</x:v>
      </x:c>
      <x:c r="V1989" s="12"/>
      <x:c r="W1989" s="12" t="str">
        <x:v>negative</x:v>
      </x:c>
      <x:c r="X1989" s="12"/>
      <x:c r="Y1989" s="12" t="str">
        <x:v>negative</x:v>
      </x:c>
      <x:c r="Z1989" s="12" t="str">
        <x:f>IF(OR(W1989="unavailable",Y1989="unavailable"),"不可评价",IF(OR(W1989="equivocal",Y1989="equivocal"),"疑似",IF(AND(W1989="positive",Y1989="positive"),"a",IF(Y1989="positive","b",IF(W1989="positive","c","d")))))</x:f>
        <x:v>d</x:v>
      </x:c>
      <x:c r="AA1989" s="12" t="str">
        <x:f>IF(OR(M1989="unavailable",O1989="unavailable"),"不可评价",IF(AND(OR(M1989="positive",M1989="equivocal"),OR(O1989="positive",O1989="equivocal")),"a",IF(OR(O1989="positive",O1989="equivocal"),"b",IF(OR(M1989="positive",M1989="equivocal"),"c","d"))))</x:f>
        <x:v>d</x:v>
      </x:c>
      <x:c r="AB1989" s="12" t="str">
        <x:f>IF(OR(M1989="unavailable",O1989="unavailable"),"不可评价",IF(AND(M1989="positive",O1989="positive"),"a",IF(O1989="positive","b",IF(M1989="positive","c","d"))))</x:f>
        <x:v>d</x:v>
      </x:c>
      <x:c r="AC1989" s="12" t="str">
        <x:f>IF(OR(R1989="unavailable",T1989="unavailable"),"不可评价",IF(AND(OR(R1989="positive",R1989="equivocal"),OR(T1989="positive",T1989="equivocal")),"a",IF(OR(T1989="positive",T1989="equivocal"),"b",IF(OR(R1989="positive",R1989="equivocal"),"c","d"))))</x:f>
        <x:v>d</x:v>
      </x:c>
      <x:c r="AD1989" s="12" t="str">
        <x:f>IF(OR(R1989="unavailable",T1989="unavailable"),"不可评价",IF(AND(R1989="positive",T1989="positive"),"a",IF(T1989="positive","b",IF(R1989="positive","c","d"))))</x:f>
        <x:v>d</x:v>
      </x:c>
      <x:c r="AE1989" s="12" t="str">
        <x:f>IF(OR(W1989="unavailable",Y1989="unavailable"),"不可评价",IF(AND(OR(W1989="positive",W1989="equivocal"),OR(Y1989="positive",Y1989="equivocal")),"a",IF(OR(Y1989="positive",Y1989="equivocal"),"b",IF(OR(W1989="positive",W1989="equivocal"),"c","d"))))</x:f>
        <x:v>d</x:v>
      </x:c>
      <x:c r="AF1989" s="12" t="str">
        <x:f>IF(OR(W1989="unavailable",Y1989="unavailable"),"不可评价",IF(AND(W1989="positive",Y1989="positive"),"a",IF(Y1989="positive","b",IF(W1989="positive","c","d"))))</x:f>
        <x:v>d</x:v>
      </x:c>
    </x:row>
    <x:row r="1990" ht="24" customHeight="1">
      <x:c r="A1990" s="12" t="str">
        <x:v>19077</x:v>
      </x:c>
      <x:c r="B1990" s="12" t="str">
        <x:v>13689</x:v>
      </x:c>
      <x:c r="C1990" s="21" t="n">
        <x:v>35805.4934375</x:v>
      </x:c>
      <x:c r="D1990" s="12" t="n">
        <x:v>18</x:v>
      </x:c>
      <x:c r="E1990" s="12" t="n">
        <x:v>1</x:v>
      </x:c>
      <x:c r="F1990" s="12" t="str">
        <x:v>未记录</x:v>
      </x:c>
      <x:c r="G1990" s="12" t="n">
        <x:v>1</x:v>
      </x:c>
      <x:c r="H1990" s="12" t="str">
        <x:v>{'NORM': 100.0, 'SR': 0.0}</x:v>
      </x:c>
      <x:c r="I1990" s="12" t="str">
        <x:v>[('NSR', 100.0), ('SAR', 100.0), ('NML', 100.0)]</x:v>
      </x:c>
      <x:c r="J1990" s="12" t="str">
        <x:v>ptbxl_database.csv；ecg_id=19077；scp_codes</x:v>
      </x:c>
      <x:c r="K1990" s="12" t="str">
        <x:v>12sl_statements.csv；ecg_id=19077；statements_ext_snomed</x:v>
      </x:c>
      <x:c r="L1990" s="12"/>
      <x:c r="M1990" s="12" t="str">
        <x:v>negative</x:v>
      </x:c>
      <x:c r="N1990" s="12"/>
      <x:c r="O1990" s="12" t="str">
        <x:v>negative</x:v>
      </x:c>
      <x:c r="P1990" s="12" t="str">
        <x:f>IF(OR(M1990="unavailable",O1990="unavailable"),"不可评价",IF(OR(M1990="equivocal",O1990="equivocal"),"疑似",IF(AND(M1990="positive",O1990="positive"),"a",IF(O1990="positive","b",IF(M1990="positive","c","d")))))</x:f>
        <x:v>d</x:v>
      </x:c>
      <x:c r="Q1990" s="12"/>
      <x:c r="R1990" s="12" t="str">
        <x:v>negative</x:v>
      </x:c>
      <x:c r="S1990" s="12"/>
      <x:c r="T1990" s="12" t="str">
        <x:v>negative</x:v>
      </x:c>
      <x:c r="U1990" s="12" t="str">
        <x:f>IF(OR(R1990="unavailable",T1990="unavailable"),"不可评价",IF(OR(R1990="equivocal",T1990="equivocal"),"疑似",IF(AND(R1990="positive",T1990="positive"),"a",IF(T1990="positive","b",IF(R1990="positive","c","d")))))</x:f>
        <x:v>d</x:v>
      </x:c>
      <x:c r="V1990" s="12"/>
      <x:c r="W1990" s="12" t="str">
        <x:v>negative</x:v>
      </x:c>
      <x:c r="X1990" s="12"/>
      <x:c r="Y1990" s="12" t="str">
        <x:v>negative</x:v>
      </x:c>
      <x:c r="Z1990" s="12" t="str">
        <x:f>IF(OR(W1990="unavailable",Y1990="unavailable"),"不可评价",IF(OR(W1990="equivocal",Y1990="equivocal"),"疑似",IF(AND(W1990="positive",Y1990="positive"),"a",IF(Y1990="positive","b",IF(W1990="positive","c","d")))))</x:f>
        <x:v>d</x:v>
      </x:c>
      <x:c r="AA1990" s="12" t="str">
        <x:f>IF(OR(M1990="unavailable",O1990="unavailable"),"不可评价",IF(AND(OR(M1990="positive",M1990="equivocal"),OR(O1990="positive",O1990="equivocal")),"a",IF(OR(O1990="positive",O1990="equivocal"),"b",IF(OR(M1990="positive",M1990="equivocal"),"c","d"))))</x:f>
        <x:v>d</x:v>
      </x:c>
      <x:c r="AB1990" s="12" t="str">
        <x:f>IF(OR(M1990="unavailable",O1990="unavailable"),"不可评价",IF(AND(M1990="positive",O1990="positive"),"a",IF(O1990="positive","b",IF(M1990="positive","c","d"))))</x:f>
        <x:v>d</x:v>
      </x:c>
      <x:c r="AC1990" s="12" t="str">
        <x:f>IF(OR(R1990="unavailable",T1990="unavailable"),"不可评价",IF(AND(OR(R1990="positive",R1990="equivocal"),OR(T1990="positive",T1990="equivocal")),"a",IF(OR(T1990="positive",T1990="equivocal"),"b",IF(OR(R1990="positive",R1990="equivocal"),"c","d"))))</x:f>
        <x:v>d</x:v>
      </x:c>
      <x:c r="AD1990" s="12" t="str">
        <x:f>IF(OR(R1990="unavailable",T1990="unavailable"),"不可评价",IF(AND(R1990="positive",T1990="positive"),"a",IF(T1990="positive","b",IF(R1990="positive","c","d"))))</x:f>
        <x:v>d</x:v>
      </x:c>
      <x:c r="AE1990" s="12" t="str">
        <x:f>IF(OR(W1990="unavailable",Y1990="unavailable"),"不可评价",IF(AND(OR(W1990="positive",W1990="equivocal"),OR(Y1990="positive",Y1990="equivocal")),"a",IF(OR(Y1990="positive",Y1990="equivocal"),"b",IF(OR(W1990="positive",W1990="equivocal"),"c","d"))))</x:f>
        <x:v>d</x:v>
      </x:c>
      <x:c r="AF1990" s="12" t="str">
        <x:f>IF(OR(W1990="unavailable",Y1990="unavailable"),"不可评价",IF(AND(W1990="positive",Y1990="positive"),"a",IF(Y1990="positive","b",IF(W1990="positive","c","d"))))</x:f>
        <x:v>d</x:v>
      </x:c>
    </x:row>
    <x:row r="1991" ht="39" customHeight="1">
      <x:c r="A1991" s="12" t="str">
        <x:v>19097</x:v>
      </x:c>
      <x:c r="B1991" s="12" t="str">
        <x:v>11424</x:v>
      </x:c>
      <x:c r="C1991" s="21" t="n">
        <x:v>35809.61225694444</x:v>
      </x:c>
      <x:c r="D1991" s="12" t="n">
        <x:v>88</x:v>
      </x:c>
      <x:c r="E1991" s="12" t="n">
        <x:v>1</x:v>
      </x:c>
      <x:c r="F1991" s="12" t="str">
        <x:v>未记录</x:v>
      </x:c>
      <x:c r="G1991" s="12" t="n">
        <x:v>0</x:v>
      </x:c>
      <x:c r="H1991" s="12" t="str">
        <x:v>{'ASMI': 100.0, 'ISCAL': 100.0, 'ABQRS': 0.0, 'AFIB': 0.0}</x:v>
      </x:c>
      <x:c r="I1991" s="12" t="str">
        <x:v>[('AFIB', 100.0), ('RVR', 100.0), ('AMI;AU', 50.0), ('ST&amp;', 100.0), ('ILT', 100.0), ('AB', 100.0)]</x:v>
      </x:c>
      <x:c r="J1991" s="12" t="str">
        <x:v>ptbxl_database.csv；ecg_id=19097；scp_codes</x:v>
      </x:c>
      <x:c r="K1991" s="12" t="str">
        <x:v>12sl_statements.csv；ecg_id=19097；statements_ext_snomed</x:v>
      </x:c>
      <x:c r="L1991" s="12" t="n">
        <x:v>0</x:v>
      </x:c>
      <x:c r="M1991" s="12" t="str">
        <x:v>positive</x:v>
      </x:c>
      <x:c r="N1991" s="12" t="n">
        <x:v>100</x:v>
      </x:c>
      <x:c r="O1991" s="12" t="str">
        <x:v>positive</x:v>
      </x:c>
      <x:c r="P1991" s="12" t="str">
        <x:f>IF(OR(M1991="unavailable",O1991="unavailable"),"不可评价",IF(OR(M1991="equivocal",O1991="equivocal"),"疑似",IF(AND(M1991="positive",O1991="positive"),"a",IF(O1991="positive","b",IF(M1991="positive","c","d")))))</x:f>
        <x:v>a</x:v>
      </x:c>
      <x:c r="Q1991" s="12"/>
      <x:c r="R1991" s="12" t="str">
        <x:v>negative</x:v>
      </x:c>
      <x:c r="S1991" s="12"/>
      <x:c r="T1991" s="12" t="str">
        <x:v>negative</x:v>
      </x:c>
      <x:c r="U1991" s="12" t="str">
        <x:f>IF(OR(R1991="unavailable",T1991="unavailable"),"不可评价",IF(OR(R1991="equivocal",T1991="equivocal"),"疑似",IF(AND(R1991="positive",T1991="positive"),"a",IF(T1991="positive","b",IF(R1991="positive","c","d")))))</x:f>
        <x:v>d</x:v>
      </x:c>
      <x:c r="V1991" s="12"/>
      <x:c r="W1991" s="12" t="str">
        <x:v>negative</x:v>
      </x:c>
      <x:c r="X1991" s="12"/>
      <x:c r="Y1991" s="12" t="str">
        <x:v>negative</x:v>
      </x:c>
      <x:c r="Z1991" s="12" t="str">
        <x:f>IF(OR(W1991="unavailable",Y1991="unavailable"),"不可评价",IF(OR(W1991="equivocal",Y1991="equivocal"),"疑似",IF(AND(W1991="positive",Y1991="positive"),"a",IF(Y1991="positive","b",IF(W1991="positive","c","d")))))</x:f>
        <x:v>d</x:v>
      </x:c>
      <x:c r="AA1991" s="12" t="str">
        <x:f>IF(OR(M1991="unavailable",O1991="unavailable"),"不可评价",IF(AND(OR(M1991="positive",M1991="equivocal"),OR(O1991="positive",O1991="equivocal")),"a",IF(OR(O1991="positive",O1991="equivocal"),"b",IF(OR(M1991="positive",M1991="equivocal"),"c","d"))))</x:f>
        <x:v>a</x:v>
      </x:c>
      <x:c r="AB1991" s="12" t="str">
        <x:f>IF(OR(M1991="unavailable",O1991="unavailable"),"不可评价",IF(AND(M1991="positive",O1991="positive"),"a",IF(O1991="positive","b",IF(M1991="positive","c","d"))))</x:f>
        <x:v>a</x:v>
      </x:c>
      <x:c r="AC1991" s="12" t="str">
        <x:f>IF(OR(R1991="unavailable",T1991="unavailable"),"不可评价",IF(AND(OR(R1991="positive",R1991="equivocal"),OR(T1991="positive",T1991="equivocal")),"a",IF(OR(T1991="positive",T1991="equivocal"),"b",IF(OR(R1991="positive",R1991="equivocal"),"c","d"))))</x:f>
        <x:v>d</x:v>
      </x:c>
      <x:c r="AD1991" s="12" t="str">
        <x:f>IF(OR(R1991="unavailable",T1991="unavailable"),"不可评价",IF(AND(R1991="positive",T1991="positive"),"a",IF(T1991="positive","b",IF(R1991="positive","c","d"))))</x:f>
        <x:v>d</x:v>
      </x:c>
      <x:c r="AE1991" s="12" t="str">
        <x:f>IF(OR(W1991="unavailable",Y1991="unavailable"),"不可评价",IF(AND(OR(W1991="positive",W1991="equivocal"),OR(Y1991="positive",Y1991="equivocal")),"a",IF(OR(Y1991="positive",Y1991="equivocal"),"b",IF(OR(W1991="positive",W1991="equivocal"),"c","d"))))</x:f>
        <x:v>d</x:v>
      </x:c>
      <x:c r="AF1991" s="12" t="str">
        <x:f>IF(OR(W1991="unavailable",Y1991="unavailable"),"不可评价",IF(AND(W1991="positive",Y1991="positive"),"a",IF(Y1991="positive","b",IF(W1991="positive","c","d"))))</x:f>
        <x:v>d</x:v>
      </x:c>
    </x:row>
    <x:row r="1992" ht="24" customHeight="1">
      <x:c r="A1992" s="12" t="str">
        <x:v>19104</x:v>
      </x:c>
      <x:c r="B1992" s="12" t="str">
        <x:v>9042</x:v>
      </x:c>
      <x:c r="C1992" s="21" t="n">
        <x:v>35810.50103009259</x:v>
      </x:c>
      <x:c r="D1992" s="12" t="n">
        <x:v>70</x:v>
      </x:c>
      <x:c r="E1992" s="12" t="n">
        <x:v>1</x:v>
      </x:c>
      <x:c r="F1992" s="12" t="str">
        <x:v>存在</x:v>
      </x:c>
      <x:c r="G1992" s="12" t="n">
        <x:v>1</x:v>
      </x:c>
      <x:c r="H1992" s="12" t="str">
        <x:v>{'ASMI': 15.0, 'AFIB': 0.0}</x:v>
      </x:c>
      <x:c r="I1992" s="12" t="str">
        <x:v>[('AFIB', 100.0), ('RVR', 100.0), ('AMI;AU', 15.0), ('AB', 100.0)]</x:v>
      </x:c>
      <x:c r="J1992" s="12" t="str">
        <x:v>ptbxl_database.csv；ecg_id=19104；scp_codes</x:v>
      </x:c>
      <x:c r="K1992" s="12" t="str">
        <x:v>12sl_statements.csv；ecg_id=19104；statements_ext_snomed</x:v>
      </x:c>
      <x:c r="L1992" s="12" t="n">
        <x:v>0</x:v>
      </x:c>
      <x:c r="M1992" s="12" t="str">
        <x:v>positive</x:v>
      </x:c>
      <x:c r="N1992" s="12" t="n">
        <x:v>100</x:v>
      </x:c>
      <x:c r="O1992" s="12" t="str">
        <x:v>positive</x:v>
      </x:c>
      <x:c r="P1992" s="12" t="str">
        <x:f>IF(OR(M1992="unavailable",O1992="unavailable"),"不可评价",IF(OR(M1992="equivocal",O1992="equivocal"),"疑似",IF(AND(M1992="positive",O1992="positive"),"a",IF(O1992="positive","b",IF(M1992="positive","c","d")))))</x:f>
        <x:v>a</x:v>
      </x:c>
      <x:c r="Q1992" s="12"/>
      <x:c r="R1992" s="12" t="str">
        <x:v>negative</x:v>
      </x:c>
      <x:c r="S1992" s="12"/>
      <x:c r="T1992" s="12" t="str">
        <x:v>negative</x:v>
      </x:c>
      <x:c r="U1992" s="12" t="str">
        <x:f>IF(OR(R1992="unavailable",T1992="unavailable"),"不可评价",IF(OR(R1992="equivocal",T1992="equivocal"),"疑似",IF(AND(R1992="positive",T1992="positive"),"a",IF(T1992="positive","b",IF(R1992="positive","c","d")))))</x:f>
        <x:v>d</x:v>
      </x:c>
      <x:c r="V1992" s="12"/>
      <x:c r="W1992" s="12" t="str">
        <x:v>negative</x:v>
      </x:c>
      <x:c r="X1992" s="12"/>
      <x:c r="Y1992" s="12" t="str">
        <x:v>negative</x:v>
      </x:c>
      <x:c r="Z1992" s="12" t="str">
        <x:f>IF(OR(W1992="unavailable",Y1992="unavailable"),"不可评价",IF(OR(W1992="equivocal",Y1992="equivocal"),"疑似",IF(AND(W1992="positive",Y1992="positive"),"a",IF(Y1992="positive","b",IF(W1992="positive","c","d")))))</x:f>
        <x:v>d</x:v>
      </x:c>
      <x:c r="AA1992" s="12" t="str">
        <x:f>IF(OR(M1992="unavailable",O1992="unavailable"),"不可评价",IF(AND(OR(M1992="positive",M1992="equivocal"),OR(O1992="positive",O1992="equivocal")),"a",IF(OR(O1992="positive",O1992="equivocal"),"b",IF(OR(M1992="positive",M1992="equivocal"),"c","d"))))</x:f>
        <x:v>a</x:v>
      </x:c>
      <x:c r="AB1992" s="12" t="str">
        <x:f>IF(OR(M1992="unavailable",O1992="unavailable"),"不可评价",IF(AND(M1992="positive",O1992="positive"),"a",IF(O1992="positive","b",IF(M1992="positive","c","d"))))</x:f>
        <x:v>a</x:v>
      </x:c>
      <x:c r="AC1992" s="12" t="str">
        <x:f>IF(OR(R1992="unavailable",T1992="unavailable"),"不可评价",IF(AND(OR(R1992="positive",R1992="equivocal"),OR(T1992="positive",T1992="equivocal")),"a",IF(OR(T1992="positive",T1992="equivocal"),"b",IF(OR(R1992="positive",R1992="equivocal"),"c","d"))))</x:f>
        <x:v>d</x:v>
      </x:c>
      <x:c r="AD1992" s="12" t="str">
        <x:f>IF(OR(R1992="unavailable",T1992="unavailable"),"不可评价",IF(AND(R1992="positive",T1992="positive"),"a",IF(T1992="positive","b",IF(R1992="positive","c","d"))))</x:f>
        <x:v>d</x:v>
      </x:c>
      <x:c r="AE1992" s="12" t="str">
        <x:f>IF(OR(W1992="unavailable",Y1992="unavailable"),"不可评价",IF(AND(OR(W1992="positive",W1992="equivocal"),OR(Y1992="positive",Y1992="equivocal")),"a",IF(OR(Y1992="positive",Y1992="equivocal"),"b",IF(OR(W1992="positive",W1992="equivocal"),"c","d"))))</x:f>
        <x:v>d</x:v>
      </x:c>
      <x:c r="AF1992" s="12" t="str">
        <x:f>IF(OR(W1992="unavailable",Y1992="unavailable"),"不可评价",IF(AND(W1992="positive",Y1992="positive"),"a",IF(Y1992="positive","b",IF(W1992="positive","c","d"))))</x:f>
        <x:v>d</x:v>
      </x:c>
    </x:row>
    <x:row r="1993" ht="24" customHeight="1">
      <x:c r="A1993" s="12" t="str">
        <x:v>19134</x:v>
      </x:c>
      <x:c r="B1993" s="12" t="str">
        <x:v>17641</x:v>
      </x:c>
      <x:c r="C1993" s="21" t="n">
        <x:v>35818.72765046296</x:v>
      </x:c>
      <x:c r="D1993" s="12" t="n">
        <x:v>73</x:v>
      </x:c>
      <x:c r="E1993" s="12" t="n">
        <x:v>0</x:v>
      </x:c>
      <x:c r="F1993" s="12" t="str">
        <x:v>存在</x:v>
      </x:c>
      <x:c r="G1993" s="12" t="n">
        <x:v>1</x:v>
      </x:c>
      <x:c r="H1993" s="12" t="str">
        <x:v>{'CRBBB': 100.0, '1AVB': 100.0, 'SVARR': 0.0}</x:v>
      </x:c>
      <x:c r="I1993" s="12" t="str">
        <x:v>[('NSR', 100.0), ('RBBB', 100.0), ('AB', 100.0)]</x:v>
      </x:c>
      <x:c r="J1993" s="12" t="str">
        <x:v>ptbxl_database.csv；ecg_id=19134；scp_codes</x:v>
      </x:c>
      <x:c r="K1993" s="12" t="str">
        <x:v>12sl_statements.csv；ecg_id=19134；statements_ext_snomed</x:v>
      </x:c>
      <x:c r="L1993" s="12"/>
      <x:c r="M1993" s="12" t="str">
        <x:v>negative</x:v>
      </x:c>
      <x:c r="N1993" s="12"/>
      <x:c r="O1993" s="12" t="str">
        <x:v>negative</x:v>
      </x:c>
      <x:c r="P1993" s="12" t="str">
        <x:f>IF(OR(M1993="unavailable",O1993="unavailable"),"不可评价",IF(OR(M1993="equivocal",O1993="equivocal"),"疑似",IF(AND(M1993="positive",O1993="positive"),"a",IF(O1993="positive","b",IF(M1993="positive","c","d")))))</x:f>
        <x:v>d</x:v>
      </x:c>
      <x:c r="Q1993" s="12"/>
      <x:c r="R1993" s="12" t="str">
        <x:v>negative</x:v>
      </x:c>
      <x:c r="S1993" s="12"/>
      <x:c r="T1993" s="12" t="str">
        <x:v>negative</x:v>
      </x:c>
      <x:c r="U1993" s="12" t="str">
        <x:f>IF(OR(R1993="unavailable",T1993="unavailable"),"不可评价",IF(OR(R1993="equivocal",T1993="equivocal"),"疑似",IF(AND(R1993="positive",T1993="positive"),"a",IF(T1993="positive","b",IF(R1993="positive","c","d")))))</x:f>
        <x:v>d</x:v>
      </x:c>
      <x:c r="V1993" s="12" t="n">
        <x:v>100</x:v>
      </x:c>
      <x:c r="W1993" s="12" t="str">
        <x:v>positive</x:v>
      </x:c>
      <x:c r="X1993" s="12" t="n">
        <x:v>100</x:v>
      </x:c>
      <x:c r="Y1993" s="12" t="str">
        <x:v>positive</x:v>
      </x:c>
      <x:c r="Z1993" s="12" t="str">
        <x:f>IF(OR(W1993="unavailable",Y1993="unavailable"),"不可评价",IF(OR(W1993="equivocal",Y1993="equivocal"),"疑似",IF(AND(W1993="positive",Y1993="positive"),"a",IF(Y1993="positive","b",IF(W1993="positive","c","d")))))</x:f>
        <x:v>a</x:v>
      </x:c>
      <x:c r="AA1993" s="12" t="str">
        <x:f>IF(OR(M1993="unavailable",O1993="unavailable"),"不可评价",IF(AND(OR(M1993="positive",M1993="equivocal"),OR(O1993="positive",O1993="equivocal")),"a",IF(OR(O1993="positive",O1993="equivocal"),"b",IF(OR(M1993="positive",M1993="equivocal"),"c","d"))))</x:f>
        <x:v>d</x:v>
      </x:c>
      <x:c r="AB1993" s="12" t="str">
        <x:f>IF(OR(M1993="unavailable",O1993="unavailable"),"不可评价",IF(AND(M1993="positive",O1993="positive"),"a",IF(O1993="positive","b",IF(M1993="positive","c","d"))))</x:f>
        <x:v>d</x:v>
      </x:c>
      <x:c r="AC1993" s="12" t="str">
        <x:f>IF(OR(R1993="unavailable",T1993="unavailable"),"不可评价",IF(AND(OR(R1993="positive",R1993="equivocal"),OR(T1993="positive",T1993="equivocal")),"a",IF(OR(T1993="positive",T1993="equivocal"),"b",IF(OR(R1993="positive",R1993="equivocal"),"c","d"))))</x:f>
        <x:v>d</x:v>
      </x:c>
      <x:c r="AD1993" s="12" t="str">
        <x:f>IF(OR(R1993="unavailable",T1993="unavailable"),"不可评价",IF(AND(R1993="positive",T1993="positive"),"a",IF(T1993="positive","b",IF(R1993="positive","c","d"))))</x:f>
        <x:v>d</x:v>
      </x:c>
      <x:c r="AE1993" s="12" t="str">
        <x:f>IF(OR(W1993="unavailable",Y1993="unavailable"),"不可评价",IF(AND(OR(W1993="positive",W1993="equivocal"),OR(Y1993="positive",Y1993="equivocal")),"a",IF(OR(Y1993="positive",Y1993="equivocal"),"b",IF(OR(W1993="positive",W1993="equivocal"),"c","d"))))</x:f>
        <x:v>a</x:v>
      </x:c>
      <x:c r="AF1993" s="12" t="str">
        <x:f>IF(OR(W1993="unavailable",Y1993="unavailable"),"不可评价",IF(AND(W1993="positive",Y1993="positive"),"a",IF(Y1993="positive","b",IF(W1993="positive","c","d"))))</x:f>
        <x:v>a</x:v>
      </x:c>
    </x:row>
    <x:row r="1994" ht="24" customHeight="1">
      <x:c r="A1994" s="12" t="str">
        <x:v>19147</x:v>
      </x:c>
      <x:c r="B1994" s="12" t="str">
        <x:v>21451</x:v>
      </x:c>
      <x:c r="C1994" s="21" t="n">
        <x:v>35820.560208333336</x:v>
      </x:c>
      <x:c r="D1994" s="12" t="n">
        <x:v>18</x:v>
      </x:c>
      <x:c r="E1994" s="12" t="n">
        <x:v>1</x:v>
      </x:c>
      <x:c r="F1994" s="12" t="str">
        <x:v>未记录</x:v>
      </x:c>
      <x:c r="G1994" s="12" t="n">
        <x:v>1</x:v>
      </x:c>
      <x:c r="H1994" s="12" t="str">
        <x:v>{'WPW': 100.0, 'ABQRS': 0.0, 'SR': 0.0}</x:v>
      </x:c>
      <x:c r="I1994" s="12" t="str">
        <x:v>[('NSR', 100.0), ('SAR', 100.0), ('SMI;AU', 100.0), ('AB', 100.0)]</x:v>
      </x:c>
      <x:c r="J1994" s="12" t="str">
        <x:v>ptbxl_database.csv；ecg_id=19147；scp_codes</x:v>
      </x:c>
      <x:c r="K1994" s="12" t="str">
        <x:v>12sl_statements.csv；ecg_id=19147；statements_ext_snomed</x:v>
      </x:c>
      <x:c r="L1994" s="12"/>
      <x:c r="M1994" s="12" t="str">
        <x:v>negative</x:v>
      </x:c>
      <x:c r="N1994" s="12"/>
      <x:c r="O1994" s="12" t="str">
        <x:v>negative</x:v>
      </x:c>
      <x:c r="P1994" s="12" t="str">
        <x:f>IF(OR(M1994="unavailable",O1994="unavailable"),"不可评价",IF(OR(M1994="equivocal",O1994="equivocal"),"疑似",IF(AND(M1994="positive",O1994="positive"),"a",IF(O1994="positive","b",IF(M1994="positive","c","d")))))</x:f>
        <x:v>d</x:v>
      </x:c>
      <x:c r="Q1994" s="12"/>
      <x:c r="R1994" s="12" t="str">
        <x:v>negative</x:v>
      </x:c>
      <x:c r="S1994" s="12"/>
      <x:c r="T1994" s="12" t="str">
        <x:v>negative</x:v>
      </x:c>
      <x:c r="U1994" s="12" t="str">
        <x:f>IF(OR(R1994="unavailable",T1994="unavailable"),"不可评价",IF(OR(R1994="equivocal",T1994="equivocal"),"疑似",IF(AND(R1994="positive",T1994="positive"),"a",IF(T1994="positive","b",IF(R1994="positive","c","d")))))</x:f>
        <x:v>d</x:v>
      </x:c>
      <x:c r="V1994" s="12"/>
      <x:c r="W1994" s="12" t="str">
        <x:v>negative</x:v>
      </x:c>
      <x:c r="X1994" s="12"/>
      <x:c r="Y1994" s="12" t="str">
        <x:v>negative</x:v>
      </x:c>
      <x:c r="Z1994" s="12" t="str">
        <x:f>IF(OR(W1994="unavailable",Y1994="unavailable"),"不可评价",IF(OR(W1994="equivocal",Y1994="equivocal"),"疑似",IF(AND(W1994="positive",Y1994="positive"),"a",IF(Y1994="positive","b",IF(W1994="positive","c","d")))))</x:f>
        <x:v>d</x:v>
      </x:c>
      <x:c r="AA1994" s="12" t="str">
        <x:f>IF(OR(M1994="unavailable",O1994="unavailable"),"不可评价",IF(AND(OR(M1994="positive",M1994="equivocal"),OR(O1994="positive",O1994="equivocal")),"a",IF(OR(O1994="positive",O1994="equivocal"),"b",IF(OR(M1994="positive",M1994="equivocal"),"c","d"))))</x:f>
        <x:v>d</x:v>
      </x:c>
      <x:c r="AB1994" s="12" t="str">
        <x:f>IF(OR(M1994="unavailable",O1994="unavailable"),"不可评价",IF(AND(M1994="positive",O1994="positive"),"a",IF(O1994="positive","b",IF(M1994="positive","c","d"))))</x:f>
        <x:v>d</x:v>
      </x:c>
      <x:c r="AC1994" s="12" t="str">
        <x:f>IF(OR(R1994="unavailable",T1994="unavailable"),"不可评价",IF(AND(OR(R1994="positive",R1994="equivocal"),OR(T1994="positive",T1994="equivocal")),"a",IF(OR(T1994="positive",T1994="equivocal"),"b",IF(OR(R1994="positive",R1994="equivocal"),"c","d"))))</x:f>
        <x:v>d</x:v>
      </x:c>
      <x:c r="AD1994" s="12" t="str">
        <x:f>IF(OR(R1994="unavailable",T1994="unavailable"),"不可评价",IF(AND(R1994="positive",T1994="positive"),"a",IF(T1994="positive","b",IF(R1994="positive","c","d"))))</x:f>
        <x:v>d</x:v>
      </x:c>
      <x:c r="AE1994" s="12" t="str">
        <x:f>IF(OR(W1994="unavailable",Y1994="unavailable"),"不可评价",IF(AND(OR(W1994="positive",W1994="equivocal"),OR(Y1994="positive",Y1994="equivocal")),"a",IF(OR(Y1994="positive",Y1994="equivocal"),"b",IF(OR(W1994="positive",W1994="equivocal"),"c","d"))))</x:f>
        <x:v>d</x:v>
      </x:c>
      <x:c r="AF1994" s="12" t="str">
        <x:f>IF(OR(W1994="unavailable",Y1994="unavailable"),"不可评价",IF(AND(W1994="positive",Y1994="positive"),"a",IF(Y1994="positive","b",IF(W1994="positive","c","d"))))</x:f>
        <x:v>d</x:v>
      </x:c>
    </x:row>
    <x:row r="1995" ht="24" customHeight="1">
      <x:c r="A1995" s="12" t="str">
        <x:v>19164</x:v>
      </x:c>
      <x:c r="B1995" s="12" t="str">
        <x:v>19343</x:v>
      </x:c>
      <x:c r="C1995" s="21" t="n">
        <x:v>35825.53792824074</x:v>
      </x:c>
      <x:c r="D1995" s="12" t="n">
        <x:v>89</x:v>
      </x:c>
      <x:c r="E1995" s="12" t="n">
        <x:v>1</x:v>
      </x:c>
      <x:c r="F1995" s="12" t="str">
        <x:v>未记录</x:v>
      </x:c>
      <x:c r="G1995" s="12" t="n">
        <x:v>1</x:v>
      </x:c>
      <x:c r="H1995" s="12" t="str">
        <x:v>{'ISCIL': 100.0, '2AVB': 100.0, 'AFIB': 0.0}</x:v>
      </x:c>
      <x:c r="I1995" s="12" t="str">
        <x:v>[('SRTH', 100.0), ('MBZI', 100.0), ('IMI;AU', 50.0), ('AB', 100.0)]</x:v>
      </x:c>
      <x:c r="J1995" s="12" t="str">
        <x:v>ptbxl_database.csv；ecg_id=19164；scp_codes</x:v>
      </x:c>
      <x:c r="K1995" s="12" t="str">
        <x:v>12sl_statements.csv；ecg_id=19164；statements_ext_snomed</x:v>
      </x:c>
      <x:c r="L1995" s="12" t="n">
        <x:v>0</x:v>
      </x:c>
      <x:c r="M1995" s="12" t="str">
        <x:v>positive</x:v>
      </x:c>
      <x:c r="N1995" s="12"/>
      <x:c r="O1995" s="12" t="str">
        <x:v>negative</x:v>
      </x:c>
      <x:c r="P1995" s="12" t="str">
        <x:f>IF(OR(M1995="unavailable",O1995="unavailable"),"不可评价",IF(OR(M1995="equivocal",O1995="equivocal"),"疑似",IF(AND(M1995="positive",O1995="positive"),"a",IF(O1995="positive","b",IF(M1995="positive","c","d")))))</x:f>
        <x:v>c</x:v>
      </x:c>
      <x:c r="Q1995" s="12"/>
      <x:c r="R1995" s="12" t="str">
        <x:v>negative</x:v>
      </x:c>
      <x:c r="S1995" s="12"/>
      <x:c r="T1995" s="12" t="str">
        <x:v>negative</x:v>
      </x:c>
      <x:c r="U1995" s="12" t="str">
        <x:f>IF(OR(R1995="unavailable",T1995="unavailable"),"不可评价",IF(OR(R1995="equivocal",T1995="equivocal"),"疑似",IF(AND(R1995="positive",T1995="positive"),"a",IF(T1995="positive","b",IF(R1995="positive","c","d")))))</x:f>
        <x:v>d</x:v>
      </x:c>
      <x:c r="V1995" s="12"/>
      <x:c r="W1995" s="12" t="str">
        <x:v>negative</x:v>
      </x:c>
      <x:c r="X1995" s="12"/>
      <x:c r="Y1995" s="12" t="str">
        <x:v>negative</x:v>
      </x:c>
      <x:c r="Z1995" s="12" t="str">
        <x:f>IF(OR(W1995="unavailable",Y1995="unavailable"),"不可评价",IF(OR(W1995="equivocal",Y1995="equivocal"),"疑似",IF(AND(W1995="positive",Y1995="positive"),"a",IF(Y1995="positive","b",IF(W1995="positive","c","d")))))</x:f>
        <x:v>d</x:v>
      </x:c>
      <x:c r="AA1995" s="12" t="str">
        <x:f>IF(OR(M1995="unavailable",O1995="unavailable"),"不可评价",IF(AND(OR(M1995="positive",M1995="equivocal"),OR(O1995="positive",O1995="equivocal")),"a",IF(OR(O1995="positive",O1995="equivocal"),"b",IF(OR(M1995="positive",M1995="equivocal"),"c","d"))))</x:f>
        <x:v>c</x:v>
      </x:c>
      <x:c r="AB1995" s="12" t="str">
        <x:f>IF(OR(M1995="unavailable",O1995="unavailable"),"不可评价",IF(AND(M1995="positive",O1995="positive"),"a",IF(O1995="positive","b",IF(M1995="positive","c","d"))))</x:f>
        <x:v>c</x:v>
      </x:c>
      <x:c r="AC1995" s="12" t="str">
        <x:f>IF(OR(R1995="unavailable",T1995="unavailable"),"不可评价",IF(AND(OR(R1995="positive",R1995="equivocal"),OR(T1995="positive",T1995="equivocal")),"a",IF(OR(T1995="positive",T1995="equivocal"),"b",IF(OR(R1995="positive",R1995="equivocal"),"c","d"))))</x:f>
        <x:v>d</x:v>
      </x:c>
      <x:c r="AD1995" s="12" t="str">
        <x:f>IF(OR(R1995="unavailable",T1995="unavailable"),"不可评价",IF(AND(R1995="positive",T1995="positive"),"a",IF(T1995="positive","b",IF(R1995="positive","c","d"))))</x:f>
        <x:v>d</x:v>
      </x:c>
      <x:c r="AE1995" s="12" t="str">
        <x:f>IF(OR(W1995="unavailable",Y1995="unavailable"),"不可评价",IF(AND(OR(W1995="positive",W1995="equivocal"),OR(Y1995="positive",Y1995="equivocal")),"a",IF(OR(Y1995="positive",Y1995="equivocal"),"b",IF(OR(W1995="positive",W1995="equivocal"),"c","d"))))</x:f>
        <x:v>d</x:v>
      </x:c>
      <x:c r="AF1995" s="12" t="str">
        <x:f>IF(OR(W1995="unavailable",Y1995="unavailable"),"不可评价",IF(AND(W1995="positive",Y1995="positive"),"a",IF(Y1995="positive","b",IF(W1995="positive","c","d"))))</x:f>
        <x:v>d</x:v>
      </x:c>
    </x:row>
    <x:row r="1996" ht="24" customHeight="1">
      <x:c r="A1996" s="12" t="str">
        <x:v>19187</x:v>
      </x:c>
      <x:c r="B1996" s="12" t="str">
        <x:v>14213</x:v>
      </x:c>
      <x:c r="C1996" s="21" t="n">
        <x:v>35832.42178240741</x:v>
      </x:c>
      <x:c r="D1996" s="12" t="n">
        <x:v>64</x:v>
      </x:c>
      <x:c r="E1996" s="12" t="n">
        <x:v>0</x:v>
      </x:c>
      <x:c r="F1996" s="12" t="str">
        <x:v>未记录</x:v>
      </x:c>
      <x:c r="G1996" s="12" t="n">
        <x:v>1</x:v>
      </x:c>
      <x:c r="H1996" s="12" t="str">
        <x:v>{'IMI': 35.0, 'ABQRS': 0.0, 'SR': 0.0}</x:v>
      </x:c>
      <x:c r="I1996" s="12" t="str">
        <x:v>[('SBRAD', 100.0), ('FAV', 100.0), ('ABR', 100.0)]</x:v>
      </x:c>
      <x:c r="J1996" s="12" t="str">
        <x:v>ptbxl_database.csv；ecg_id=19187；scp_codes</x:v>
      </x:c>
      <x:c r="K1996" s="12" t="str">
        <x:v>12sl_statements.csv；ecg_id=19187；statements_ext_snomed</x:v>
      </x:c>
      <x:c r="L1996" s="12"/>
      <x:c r="M1996" s="12" t="str">
        <x:v>negative</x:v>
      </x:c>
      <x:c r="N1996" s="12"/>
      <x:c r="O1996" s="12" t="str">
        <x:v>negative</x:v>
      </x:c>
      <x:c r="P1996" s="12" t="str">
        <x:f>IF(OR(M1996="unavailable",O1996="unavailable"),"不可评价",IF(OR(M1996="equivocal",O1996="equivocal"),"疑似",IF(AND(M1996="positive",O1996="positive"),"a",IF(O1996="positive","b",IF(M1996="positive","c","d")))))</x:f>
        <x:v>d</x:v>
      </x:c>
      <x:c r="Q1996" s="12"/>
      <x:c r="R1996" s="12" t="str">
        <x:v>negative</x:v>
      </x:c>
      <x:c r="S1996" s="12"/>
      <x:c r="T1996" s="12" t="str">
        <x:v>negative</x:v>
      </x:c>
      <x:c r="U1996" s="12" t="str">
        <x:f>IF(OR(R1996="unavailable",T1996="unavailable"),"不可评价",IF(OR(R1996="equivocal",T1996="equivocal"),"疑似",IF(AND(R1996="positive",T1996="positive"),"a",IF(T1996="positive","b",IF(R1996="positive","c","d")))))</x:f>
        <x:v>d</x:v>
      </x:c>
      <x:c r="V1996" s="12"/>
      <x:c r="W1996" s="12" t="str">
        <x:v>negative</x:v>
      </x:c>
      <x:c r="X1996" s="12"/>
      <x:c r="Y1996" s="12" t="str">
        <x:v>negative</x:v>
      </x:c>
      <x:c r="Z1996" s="12" t="str">
        <x:f>IF(OR(W1996="unavailable",Y1996="unavailable"),"不可评价",IF(OR(W1996="equivocal",Y1996="equivocal"),"疑似",IF(AND(W1996="positive",Y1996="positive"),"a",IF(Y1996="positive","b",IF(W1996="positive","c","d")))))</x:f>
        <x:v>d</x:v>
      </x:c>
      <x:c r="AA1996" s="12" t="str">
        <x:f>IF(OR(M1996="unavailable",O1996="unavailable"),"不可评价",IF(AND(OR(M1996="positive",M1996="equivocal"),OR(O1996="positive",O1996="equivocal")),"a",IF(OR(O1996="positive",O1996="equivocal"),"b",IF(OR(M1996="positive",M1996="equivocal"),"c","d"))))</x:f>
        <x:v>d</x:v>
      </x:c>
      <x:c r="AB1996" s="12" t="str">
        <x:f>IF(OR(M1996="unavailable",O1996="unavailable"),"不可评价",IF(AND(M1996="positive",O1996="positive"),"a",IF(O1996="positive","b",IF(M1996="positive","c","d"))))</x:f>
        <x:v>d</x:v>
      </x:c>
      <x:c r="AC1996" s="12" t="str">
        <x:f>IF(OR(R1996="unavailable",T1996="unavailable"),"不可评价",IF(AND(OR(R1996="positive",R1996="equivocal"),OR(T1996="positive",T1996="equivocal")),"a",IF(OR(T1996="positive",T1996="equivocal"),"b",IF(OR(R1996="positive",R1996="equivocal"),"c","d"))))</x:f>
        <x:v>d</x:v>
      </x:c>
      <x:c r="AD1996" s="12" t="str">
        <x:f>IF(OR(R1996="unavailable",T1996="unavailable"),"不可评价",IF(AND(R1996="positive",T1996="positive"),"a",IF(T1996="positive","b",IF(R1996="positive","c","d"))))</x:f>
        <x:v>d</x:v>
      </x:c>
      <x:c r="AE1996" s="12" t="str">
        <x:f>IF(OR(W1996="unavailable",Y1996="unavailable"),"不可评价",IF(AND(OR(W1996="positive",W1996="equivocal"),OR(Y1996="positive",Y1996="equivocal")),"a",IF(OR(Y1996="positive",Y1996="equivocal"),"b",IF(OR(W1996="positive",W1996="equivocal"),"c","d"))))</x:f>
        <x:v>d</x:v>
      </x:c>
      <x:c r="AF1996" s="12" t="str">
        <x:f>IF(OR(W1996="unavailable",Y1996="unavailable"),"不可评价",IF(AND(W1996="positive",Y1996="positive"),"a",IF(Y1996="positive","b",IF(W1996="positive","c","d"))))</x:f>
        <x:v>d</x:v>
      </x:c>
    </x:row>
    <x:row r="1997" ht="24" customHeight="1">
      <x:c r="A1997" s="12" t="str">
        <x:v>19208</x:v>
      </x:c>
      <x:c r="B1997" s="12" t="str">
        <x:v>13306</x:v>
      </x:c>
      <x:c r="C1997" s="21" t="n">
        <x:v>35869.31650462963</x:v>
      </x:c>
      <x:c r="D1997" s="12" t="n">
        <x:v>64</x:v>
      </x:c>
      <x:c r="E1997" s="12" t="n">
        <x:v>1</x:v>
      </x:c>
      <x:c r="F1997" s="12" t="str">
        <x:v>存在</x:v>
      </x:c>
      <x:c r="G1997" s="12" t="n">
        <x:v>1</x:v>
      </x:c>
      <x:c r="H1997" s="12" t="str">
        <x:v>{'NORM': 100.0, 'SR': 0.0}</x:v>
      </x:c>
      <x:c r="I1997" s="12" t="str">
        <x:v>[('NSR', 100.0), ('NML', 100.0)]</x:v>
      </x:c>
      <x:c r="J1997" s="12" t="str">
        <x:v>ptbxl_database.csv；ecg_id=19208；scp_codes</x:v>
      </x:c>
      <x:c r="K1997" s="12" t="str">
        <x:v>12sl_statements.csv；ecg_id=19208；statements_ext_snomed</x:v>
      </x:c>
      <x:c r="L1997" s="12"/>
      <x:c r="M1997" s="12" t="str">
        <x:v>negative</x:v>
      </x:c>
      <x:c r="N1997" s="12"/>
      <x:c r="O1997" s="12" t="str">
        <x:v>negative</x:v>
      </x:c>
      <x:c r="P1997" s="12" t="str">
        <x:f>IF(OR(M1997="unavailable",O1997="unavailable"),"不可评价",IF(OR(M1997="equivocal",O1997="equivocal"),"疑似",IF(AND(M1997="positive",O1997="positive"),"a",IF(O1997="positive","b",IF(M1997="positive","c","d")))))</x:f>
        <x:v>d</x:v>
      </x:c>
      <x:c r="Q1997" s="12"/>
      <x:c r="R1997" s="12" t="str">
        <x:v>negative</x:v>
      </x:c>
      <x:c r="S1997" s="12"/>
      <x:c r="T1997" s="12" t="str">
        <x:v>negative</x:v>
      </x:c>
      <x:c r="U1997" s="12" t="str">
        <x:f>IF(OR(R1997="unavailable",T1997="unavailable"),"不可评价",IF(OR(R1997="equivocal",T1997="equivocal"),"疑似",IF(AND(R1997="positive",T1997="positive"),"a",IF(T1997="positive","b",IF(R1997="positive","c","d")))))</x:f>
        <x:v>d</x:v>
      </x:c>
      <x:c r="V1997" s="12"/>
      <x:c r="W1997" s="12" t="str">
        <x:v>negative</x:v>
      </x:c>
      <x:c r="X1997" s="12"/>
      <x:c r="Y1997" s="12" t="str">
        <x:v>negative</x:v>
      </x:c>
      <x:c r="Z1997" s="12" t="str">
        <x:f>IF(OR(W1997="unavailable",Y1997="unavailable"),"不可评价",IF(OR(W1997="equivocal",Y1997="equivocal"),"疑似",IF(AND(W1997="positive",Y1997="positive"),"a",IF(Y1997="positive","b",IF(W1997="positive","c","d")))))</x:f>
        <x:v>d</x:v>
      </x:c>
      <x:c r="AA1997" s="12" t="str">
        <x:f>IF(OR(M1997="unavailable",O1997="unavailable"),"不可评价",IF(AND(OR(M1997="positive",M1997="equivocal"),OR(O1997="positive",O1997="equivocal")),"a",IF(OR(O1997="positive",O1997="equivocal"),"b",IF(OR(M1997="positive",M1997="equivocal"),"c","d"))))</x:f>
        <x:v>d</x:v>
      </x:c>
      <x:c r="AB1997" s="12" t="str">
        <x:f>IF(OR(M1997="unavailable",O1997="unavailable"),"不可评价",IF(AND(M1997="positive",O1997="positive"),"a",IF(O1997="positive","b",IF(M1997="positive","c","d"))))</x:f>
        <x:v>d</x:v>
      </x:c>
      <x:c r="AC1997" s="12" t="str">
        <x:f>IF(OR(R1997="unavailable",T1997="unavailable"),"不可评价",IF(AND(OR(R1997="positive",R1997="equivocal"),OR(T1997="positive",T1997="equivocal")),"a",IF(OR(T1997="positive",T1997="equivocal"),"b",IF(OR(R1997="positive",R1997="equivocal"),"c","d"))))</x:f>
        <x:v>d</x:v>
      </x:c>
      <x:c r="AD1997" s="12" t="str">
        <x:f>IF(OR(R1997="unavailable",T1997="unavailable"),"不可评价",IF(AND(R1997="positive",T1997="positive"),"a",IF(T1997="positive","b",IF(R1997="positive","c","d"))))</x:f>
        <x:v>d</x:v>
      </x:c>
      <x:c r="AE1997" s="12" t="str">
        <x:f>IF(OR(W1997="unavailable",Y1997="unavailable"),"不可评价",IF(AND(OR(W1997="positive",W1997="equivocal"),OR(Y1997="positive",Y1997="equivocal")),"a",IF(OR(Y1997="positive",Y1997="equivocal"),"b",IF(OR(W1997="positive",W1997="equivocal"),"c","d"))))</x:f>
        <x:v>d</x:v>
      </x:c>
      <x:c r="AF1997" s="12" t="str">
        <x:f>IF(OR(W1997="unavailable",Y1997="unavailable"),"不可评价",IF(AND(W1997="positive",Y1997="positive"),"a",IF(Y1997="positive","b",IF(W1997="positive","c","d"))))</x:f>
        <x:v>d</x:v>
      </x:c>
    </x:row>
    <x:row r="1998" ht="24" customHeight="1">
      <x:c r="A1998" s="12" t="str">
        <x:v>19209</x:v>
      </x:c>
      <x:c r="B1998" s="12" t="str">
        <x:v>16280</x:v>
      </x:c>
      <x:c r="C1998" s="21" t="n">
        <x:v>35870.54990740741</x:v>
      </x:c>
      <x:c r="D1998" s="12" t="n">
        <x:v>57</x:v>
      </x:c>
      <x:c r="E1998" s="12" t="n">
        <x:v>1</x:v>
      </x:c>
      <x:c r="F1998" s="12" t="str">
        <x:v>未记录</x:v>
      </x:c>
      <x:c r="G1998" s="12" t="n">
        <x:v>1</x:v>
      </x:c>
      <x:c r="H1998" s="12" t="str">
        <x:v>{'NDT': 100.0, 'SR': 0.0}</x:v>
      </x:c>
      <x:c r="I1998" s="12" t="str">
        <x:v>[('NSR', 100.0), ('NML', 100.0)]</x:v>
      </x:c>
      <x:c r="J1998" s="12" t="str">
        <x:v>ptbxl_database.csv；ecg_id=19209；scp_codes</x:v>
      </x:c>
      <x:c r="K1998" s="12" t="str">
        <x:v>12sl_statements.csv；ecg_id=19209；statements_ext_snomed</x:v>
      </x:c>
      <x:c r="L1998" s="12"/>
      <x:c r="M1998" s="12" t="str">
        <x:v>negative</x:v>
      </x:c>
      <x:c r="N1998" s="12"/>
      <x:c r="O1998" s="12" t="str">
        <x:v>negative</x:v>
      </x:c>
      <x:c r="P1998" s="12" t="str">
        <x:f>IF(OR(M1998="unavailable",O1998="unavailable"),"不可评价",IF(OR(M1998="equivocal",O1998="equivocal"),"疑似",IF(AND(M1998="positive",O1998="positive"),"a",IF(O1998="positive","b",IF(M1998="positive","c","d")))))</x:f>
        <x:v>d</x:v>
      </x:c>
      <x:c r="Q1998" s="12"/>
      <x:c r="R1998" s="12" t="str">
        <x:v>negative</x:v>
      </x:c>
      <x:c r="S1998" s="12"/>
      <x:c r="T1998" s="12" t="str">
        <x:v>negative</x:v>
      </x:c>
      <x:c r="U1998" s="12" t="str">
        <x:f>IF(OR(R1998="unavailable",T1998="unavailable"),"不可评价",IF(OR(R1998="equivocal",T1998="equivocal"),"疑似",IF(AND(R1998="positive",T1998="positive"),"a",IF(T1998="positive","b",IF(R1998="positive","c","d")))))</x:f>
        <x:v>d</x:v>
      </x:c>
      <x:c r="V1998" s="12"/>
      <x:c r="W1998" s="12" t="str">
        <x:v>negative</x:v>
      </x:c>
      <x:c r="X1998" s="12"/>
      <x:c r="Y1998" s="12" t="str">
        <x:v>negative</x:v>
      </x:c>
      <x:c r="Z1998" s="12" t="str">
        <x:f>IF(OR(W1998="unavailable",Y1998="unavailable"),"不可评价",IF(OR(W1998="equivocal",Y1998="equivocal"),"疑似",IF(AND(W1998="positive",Y1998="positive"),"a",IF(Y1998="positive","b",IF(W1998="positive","c","d")))))</x:f>
        <x:v>d</x:v>
      </x:c>
      <x:c r="AA1998" s="12" t="str">
        <x:f>IF(OR(M1998="unavailable",O1998="unavailable"),"不可评价",IF(AND(OR(M1998="positive",M1998="equivocal"),OR(O1998="positive",O1998="equivocal")),"a",IF(OR(O1998="positive",O1998="equivocal"),"b",IF(OR(M1998="positive",M1998="equivocal"),"c","d"))))</x:f>
        <x:v>d</x:v>
      </x:c>
      <x:c r="AB1998" s="12" t="str">
        <x:f>IF(OR(M1998="unavailable",O1998="unavailable"),"不可评价",IF(AND(M1998="positive",O1998="positive"),"a",IF(O1998="positive","b",IF(M1998="positive","c","d"))))</x:f>
        <x:v>d</x:v>
      </x:c>
      <x:c r="AC1998" s="12" t="str">
        <x:f>IF(OR(R1998="unavailable",T1998="unavailable"),"不可评价",IF(AND(OR(R1998="positive",R1998="equivocal"),OR(T1998="positive",T1998="equivocal")),"a",IF(OR(T1998="positive",T1998="equivocal"),"b",IF(OR(R1998="positive",R1998="equivocal"),"c","d"))))</x:f>
        <x:v>d</x:v>
      </x:c>
      <x:c r="AD1998" s="12" t="str">
        <x:f>IF(OR(R1998="unavailable",T1998="unavailable"),"不可评价",IF(AND(R1998="positive",T1998="positive"),"a",IF(T1998="positive","b",IF(R1998="positive","c","d"))))</x:f>
        <x:v>d</x:v>
      </x:c>
      <x:c r="AE1998" s="12" t="str">
        <x:f>IF(OR(W1998="unavailable",Y1998="unavailable"),"不可评价",IF(AND(OR(W1998="positive",W1998="equivocal"),OR(Y1998="positive",Y1998="equivocal")),"a",IF(OR(Y1998="positive",Y1998="equivocal"),"b",IF(OR(W1998="positive",W1998="equivocal"),"c","d"))))</x:f>
        <x:v>d</x:v>
      </x:c>
      <x:c r="AF1998" s="12" t="str">
        <x:f>IF(OR(W1998="unavailable",Y1998="unavailable"),"不可评价",IF(AND(W1998="positive",Y1998="positive"),"a",IF(Y1998="positive","b",IF(W1998="positive","c","d"))))</x:f>
        <x:v>d</x:v>
      </x:c>
    </x:row>
    <x:row r="1999" ht="24" customHeight="1">
      <x:c r="A1999" s="12" t="str">
        <x:v>19213</x:v>
      </x:c>
      <x:c r="B1999" s="12" t="str">
        <x:v>9842</x:v>
      </x:c>
      <x:c r="C1999" s="21" t="n">
        <x:v>35882.30925925926</x:v>
      </x:c>
      <x:c r="D1999" s="12" t="n">
        <x:v>46</x:v>
      </x:c>
      <x:c r="E1999" s="12" t="n">
        <x:v>0</x:v>
      </x:c>
      <x:c r="F1999" s="12" t="str">
        <x:v>存在</x:v>
      </x:c>
      <x:c r="G1999" s="12" t="n">
        <x:v>0</x:v>
      </x:c>
      <x:c r="H1999" s="12" t="str">
        <x:v>{'NORM': 80.0, 'SR': 0.0}</x:v>
      </x:c>
      <x:c r="I1999" s="12" t="str">
        <x:v>[('NSR', 100.0), ('NML', 100.0)]</x:v>
      </x:c>
      <x:c r="J1999" s="12" t="str">
        <x:v>ptbxl_database.csv；ecg_id=19213；scp_codes</x:v>
      </x:c>
      <x:c r="K1999" s="12" t="str">
        <x:v>12sl_statements.csv；ecg_id=19213；statements_ext_snomed</x:v>
      </x:c>
      <x:c r="L1999" s="12"/>
      <x:c r="M1999" s="12" t="str">
        <x:v>negative</x:v>
      </x:c>
      <x:c r="N1999" s="12"/>
      <x:c r="O1999" s="12" t="str">
        <x:v>negative</x:v>
      </x:c>
      <x:c r="P1999" s="12" t="str">
        <x:f>IF(OR(M1999="unavailable",O1999="unavailable"),"不可评价",IF(OR(M1999="equivocal",O1999="equivocal"),"疑似",IF(AND(M1999="positive",O1999="positive"),"a",IF(O1999="positive","b",IF(M1999="positive","c","d")))))</x:f>
        <x:v>d</x:v>
      </x:c>
      <x:c r="Q1999" s="12"/>
      <x:c r="R1999" s="12" t="str">
        <x:v>negative</x:v>
      </x:c>
      <x:c r="S1999" s="12"/>
      <x:c r="T1999" s="12" t="str">
        <x:v>negative</x:v>
      </x:c>
      <x:c r="U1999" s="12" t="str">
        <x:f>IF(OR(R1999="unavailable",T1999="unavailable"),"不可评价",IF(OR(R1999="equivocal",T1999="equivocal"),"疑似",IF(AND(R1999="positive",T1999="positive"),"a",IF(T1999="positive","b",IF(R1999="positive","c","d")))))</x:f>
        <x:v>d</x:v>
      </x:c>
      <x:c r="V1999" s="12"/>
      <x:c r="W1999" s="12" t="str">
        <x:v>negative</x:v>
      </x:c>
      <x:c r="X1999" s="12"/>
      <x:c r="Y1999" s="12" t="str">
        <x:v>negative</x:v>
      </x:c>
      <x:c r="Z1999" s="12" t="str">
        <x:f>IF(OR(W1999="unavailable",Y1999="unavailable"),"不可评价",IF(OR(W1999="equivocal",Y1999="equivocal"),"疑似",IF(AND(W1999="positive",Y1999="positive"),"a",IF(Y1999="positive","b",IF(W1999="positive","c","d")))))</x:f>
        <x:v>d</x:v>
      </x:c>
      <x:c r="AA1999" s="12" t="str">
        <x:f>IF(OR(M1999="unavailable",O1999="unavailable"),"不可评价",IF(AND(OR(M1999="positive",M1999="equivocal"),OR(O1999="positive",O1999="equivocal")),"a",IF(OR(O1999="positive",O1999="equivocal"),"b",IF(OR(M1999="positive",M1999="equivocal"),"c","d"))))</x:f>
        <x:v>d</x:v>
      </x:c>
      <x:c r="AB1999" s="12" t="str">
        <x:f>IF(OR(M1999="unavailable",O1999="unavailable"),"不可评价",IF(AND(M1999="positive",O1999="positive"),"a",IF(O1999="positive","b",IF(M1999="positive","c","d"))))</x:f>
        <x:v>d</x:v>
      </x:c>
      <x:c r="AC1999" s="12" t="str">
        <x:f>IF(OR(R1999="unavailable",T1999="unavailable"),"不可评价",IF(AND(OR(R1999="positive",R1999="equivocal"),OR(T1999="positive",T1999="equivocal")),"a",IF(OR(T1999="positive",T1999="equivocal"),"b",IF(OR(R1999="positive",R1999="equivocal"),"c","d"))))</x:f>
        <x:v>d</x:v>
      </x:c>
      <x:c r="AD1999" s="12" t="str">
        <x:f>IF(OR(R1999="unavailable",T1999="unavailable"),"不可评价",IF(AND(R1999="positive",T1999="positive"),"a",IF(T1999="positive","b",IF(R1999="positive","c","d"))))</x:f>
        <x:v>d</x:v>
      </x:c>
      <x:c r="AE1999" s="12" t="str">
        <x:f>IF(OR(W1999="unavailable",Y1999="unavailable"),"不可评价",IF(AND(OR(W1999="positive",W1999="equivocal"),OR(Y1999="positive",Y1999="equivocal")),"a",IF(OR(Y1999="positive",Y1999="equivocal"),"b",IF(OR(W1999="positive",W1999="equivocal"),"c","d"))))</x:f>
        <x:v>d</x:v>
      </x:c>
      <x:c r="AF1999" s="12" t="str">
        <x:f>IF(OR(W1999="unavailable",Y1999="unavailable"),"不可评价",IF(AND(W1999="positive",Y1999="positive"),"a",IF(Y1999="positive","b",IF(W1999="positive","c","d"))))</x:f>
        <x:v>d</x:v>
      </x:c>
    </x:row>
    <x:row r="2000" ht="24" customHeight="1">
      <x:c r="A2000" s="12" t="str">
        <x:v>19217</x:v>
      </x:c>
      <x:c r="B2000" s="12" t="str">
        <x:v>18359</x:v>
      </x:c>
      <x:c r="C2000" s="21" t="n">
        <x:v>35885.61896990741</x:v>
      </x:c>
      <x:c r="D2000" s="12" t="n">
        <x:v>48</x:v>
      </x:c>
      <x:c r="E2000" s="12" t="n">
        <x:v>0</x:v>
      </x:c>
      <x:c r="F2000" s="12" t="str">
        <x:v>未记录</x:v>
      </x:c>
      <x:c r="G2000" s="12" t="n">
        <x:v>1</x:v>
      </x:c>
      <x:c r="H2000" s="12" t="str">
        <x:v>{'NORM': 100.0, 'SBRAD': 0.0}</x:v>
      </x:c>
      <x:c r="I2000" s="12" t="str">
        <x:v>[('SBRAD', 100.0), ('FAV', 100.0), ('ABR', 100.0)]</x:v>
      </x:c>
      <x:c r="J2000" s="12" t="str">
        <x:v>ptbxl_database.csv；ecg_id=19217；scp_codes</x:v>
      </x:c>
      <x:c r="K2000" s="12" t="str">
        <x:v>12sl_statements.csv；ecg_id=19217；statements_ext_snomed</x:v>
      </x:c>
      <x:c r="L2000" s="12"/>
      <x:c r="M2000" s="12" t="str">
        <x:v>negative</x:v>
      </x:c>
      <x:c r="N2000" s="12"/>
      <x:c r="O2000" s="12" t="str">
        <x:v>negative</x:v>
      </x:c>
      <x:c r="P2000" s="12" t="str">
        <x:f>IF(OR(M2000="unavailable",O2000="unavailable"),"不可评价",IF(OR(M2000="equivocal",O2000="equivocal"),"疑似",IF(AND(M2000="positive",O2000="positive"),"a",IF(O2000="positive","b",IF(M2000="positive","c","d")))))</x:f>
        <x:v>d</x:v>
      </x:c>
      <x:c r="Q2000" s="12"/>
      <x:c r="R2000" s="12" t="str">
        <x:v>negative</x:v>
      </x:c>
      <x:c r="S2000" s="12"/>
      <x:c r="T2000" s="12" t="str">
        <x:v>negative</x:v>
      </x:c>
      <x:c r="U2000" s="12" t="str">
        <x:f>IF(OR(R2000="unavailable",T2000="unavailable"),"不可评价",IF(OR(R2000="equivocal",T2000="equivocal"),"疑似",IF(AND(R2000="positive",T2000="positive"),"a",IF(T2000="positive","b",IF(R2000="positive","c","d")))))</x:f>
        <x:v>d</x:v>
      </x:c>
      <x:c r="V2000" s="12"/>
      <x:c r="W2000" s="12" t="str">
        <x:v>negative</x:v>
      </x:c>
      <x:c r="X2000" s="12"/>
      <x:c r="Y2000" s="12" t="str">
        <x:v>negative</x:v>
      </x:c>
      <x:c r="Z2000" s="12" t="str">
        <x:f>IF(OR(W2000="unavailable",Y2000="unavailable"),"不可评价",IF(OR(W2000="equivocal",Y2000="equivocal"),"疑似",IF(AND(W2000="positive",Y2000="positive"),"a",IF(Y2000="positive","b",IF(W2000="positive","c","d")))))</x:f>
        <x:v>d</x:v>
      </x:c>
      <x:c r="AA2000" s="12" t="str">
        <x:f>IF(OR(M2000="unavailable",O2000="unavailable"),"不可评价",IF(AND(OR(M2000="positive",M2000="equivocal"),OR(O2000="positive",O2000="equivocal")),"a",IF(OR(O2000="positive",O2000="equivocal"),"b",IF(OR(M2000="positive",M2000="equivocal"),"c","d"))))</x:f>
        <x:v>d</x:v>
      </x:c>
      <x:c r="AB2000" s="12" t="str">
        <x:f>IF(OR(M2000="unavailable",O2000="unavailable"),"不可评价",IF(AND(M2000="positive",O2000="positive"),"a",IF(O2000="positive","b",IF(M2000="positive","c","d"))))</x:f>
        <x:v>d</x:v>
      </x:c>
      <x:c r="AC2000" s="12" t="str">
        <x:f>IF(OR(R2000="unavailable",T2000="unavailable"),"不可评价",IF(AND(OR(R2000="positive",R2000="equivocal"),OR(T2000="positive",T2000="equivocal")),"a",IF(OR(T2000="positive",T2000="equivocal"),"b",IF(OR(R2000="positive",R2000="equivocal"),"c","d"))))</x:f>
        <x:v>d</x:v>
      </x:c>
      <x:c r="AD2000" s="12" t="str">
        <x:f>IF(OR(R2000="unavailable",T2000="unavailable"),"不可评价",IF(AND(R2000="positive",T2000="positive"),"a",IF(T2000="positive","b",IF(R2000="positive","c","d"))))</x:f>
        <x:v>d</x:v>
      </x:c>
      <x:c r="AE2000" s="12" t="str">
        <x:f>IF(OR(W2000="unavailable",Y2000="unavailable"),"不可评价",IF(AND(OR(W2000="positive",W2000="equivocal"),OR(Y2000="positive",Y2000="equivocal")),"a",IF(OR(Y2000="positive",Y2000="equivocal"),"b",IF(OR(W2000="positive",W2000="equivocal"),"c","d"))))</x:f>
        <x:v>d</x:v>
      </x:c>
      <x:c r="AF2000" s="12" t="str">
        <x:f>IF(OR(W2000="unavailable",Y2000="unavailable"),"不可评价",IF(AND(W2000="positive",Y2000="positive"),"a",IF(Y2000="positive","b",IF(W2000="positive","c","d"))))</x:f>
        <x:v>d</x:v>
      </x:c>
    </x:row>
    <x:row r="2001" ht="24" customHeight="1">
      <x:c r="A2001" s="12" t="str">
        <x:v>19226</x:v>
      </x:c>
      <x:c r="B2001" s="12" t="str">
        <x:v>16006</x:v>
      </x:c>
      <x:c r="C2001" s="21" t="n">
        <x:v>35898.38261574074</x:v>
      </x:c>
      <x:c r="D2001" s="12" t="n">
        <x:v>33</x:v>
      </x:c>
      <x:c r="E2001" s="12" t="n">
        <x:v>1</x:v>
      </x:c>
      <x:c r="F2001" s="12" t="str">
        <x:v>存在</x:v>
      </x:c>
      <x:c r="G2001" s="12" t="n">
        <x:v>1</x:v>
      </x:c>
      <x:c r="H2001" s="12" t="str">
        <x:v>{'NDT': 100.0, 'SR': 0.0}</x:v>
      </x:c>
      <x:c r="I2001" s="12" t="str">
        <x:v>[('NSR', 100.0), ('SAR', 100.0), ('NSTT', 100.0), ('AB', 100.0)]</x:v>
      </x:c>
      <x:c r="J2001" s="12" t="str">
        <x:v>ptbxl_database.csv；ecg_id=19226；scp_codes</x:v>
      </x:c>
      <x:c r="K2001" s="12" t="str">
        <x:v>12sl_statements.csv；ecg_id=19226；statements_ext_snomed</x:v>
      </x:c>
      <x:c r="L2001" s="12"/>
      <x:c r="M2001" s="12" t="str">
        <x:v>negative</x:v>
      </x:c>
      <x:c r="N2001" s="12"/>
      <x:c r="O2001" s="12" t="str">
        <x:v>negative</x:v>
      </x:c>
      <x:c r="P2001" s="12" t="str">
        <x:f>IF(OR(M2001="unavailable",O2001="unavailable"),"不可评价",IF(OR(M2001="equivocal",O2001="equivocal"),"疑似",IF(AND(M2001="positive",O2001="positive"),"a",IF(O2001="positive","b",IF(M2001="positive","c","d")))))</x:f>
        <x:v>d</x:v>
      </x:c>
      <x:c r="Q2001" s="12"/>
      <x:c r="R2001" s="12" t="str">
        <x:v>negative</x:v>
      </x:c>
      <x:c r="S2001" s="12"/>
      <x:c r="T2001" s="12" t="str">
        <x:v>negative</x:v>
      </x:c>
      <x:c r="U2001" s="12" t="str">
        <x:f>IF(OR(R2001="unavailable",T2001="unavailable"),"不可评价",IF(OR(R2001="equivocal",T2001="equivocal"),"疑似",IF(AND(R2001="positive",T2001="positive"),"a",IF(T2001="positive","b",IF(R2001="positive","c","d")))))</x:f>
        <x:v>d</x:v>
      </x:c>
      <x:c r="V2001" s="12"/>
      <x:c r="W2001" s="12" t="str">
        <x:v>negative</x:v>
      </x:c>
      <x:c r="X2001" s="12"/>
      <x:c r="Y2001" s="12" t="str">
        <x:v>negative</x:v>
      </x:c>
      <x:c r="Z2001" s="12" t="str">
        <x:f>IF(OR(W2001="unavailable",Y2001="unavailable"),"不可评价",IF(OR(W2001="equivocal",Y2001="equivocal"),"疑似",IF(AND(W2001="positive",Y2001="positive"),"a",IF(Y2001="positive","b",IF(W2001="positive","c","d")))))</x:f>
        <x:v>d</x:v>
      </x:c>
      <x:c r="AA2001" s="12" t="str">
        <x:f>IF(OR(M2001="unavailable",O2001="unavailable"),"不可评价",IF(AND(OR(M2001="positive",M2001="equivocal"),OR(O2001="positive",O2001="equivocal")),"a",IF(OR(O2001="positive",O2001="equivocal"),"b",IF(OR(M2001="positive",M2001="equivocal"),"c","d"))))</x:f>
        <x:v>d</x:v>
      </x:c>
      <x:c r="AB2001" s="12" t="str">
        <x:f>IF(OR(M2001="unavailable",O2001="unavailable"),"不可评价",IF(AND(M2001="positive",O2001="positive"),"a",IF(O2001="positive","b",IF(M2001="positive","c","d"))))</x:f>
        <x:v>d</x:v>
      </x:c>
      <x:c r="AC2001" s="12" t="str">
        <x:f>IF(OR(R2001="unavailable",T2001="unavailable"),"不可评价",IF(AND(OR(R2001="positive",R2001="equivocal"),OR(T2001="positive",T2001="equivocal")),"a",IF(OR(T2001="positive",T2001="equivocal"),"b",IF(OR(R2001="positive",R2001="equivocal"),"c","d"))))</x:f>
        <x:v>d</x:v>
      </x:c>
      <x:c r="AD2001" s="12" t="str">
        <x:f>IF(OR(R2001="unavailable",T2001="unavailable"),"不可评价",IF(AND(R2001="positive",T2001="positive"),"a",IF(T2001="positive","b",IF(R2001="positive","c","d"))))</x:f>
        <x:v>d</x:v>
      </x:c>
      <x:c r="AE2001" s="12" t="str">
        <x:f>IF(OR(W2001="unavailable",Y2001="unavailable"),"不可评价",IF(AND(OR(W2001="positive",W2001="equivocal"),OR(Y2001="positive",Y2001="equivocal")),"a",IF(OR(Y2001="positive",Y2001="equivocal"),"b",IF(OR(W2001="positive",W2001="equivocal"),"c","d"))))</x:f>
        <x:v>d</x:v>
      </x:c>
      <x:c r="AF2001" s="12" t="str">
        <x:f>IF(OR(W2001="unavailable",Y2001="unavailable"),"不可评价",IF(AND(W2001="positive",Y2001="positive"),"a",IF(Y2001="positive","b",IF(W2001="positive","c","d"))))</x:f>
        <x:v>d</x:v>
      </x:c>
    </x:row>
    <x:row r="2002" ht="24" customHeight="1">
      <x:c r="A2002" s="12" t="str">
        <x:v>19231</x:v>
      </x:c>
      <x:c r="B2002" s="12" t="str">
        <x:v>16102</x:v>
      </x:c>
      <x:c r="C2002" s="21" t="n">
        <x:v>35905.3146412037</x:v>
      </x:c>
      <x:c r="D2002" s="12" t="n">
        <x:v>53</x:v>
      </x:c>
      <x:c r="E2002" s="12" t="n">
        <x:v>1</x:v>
      </x:c>
      <x:c r="F2002" s="12" t="str">
        <x:v>存在</x:v>
      </x:c>
      <x:c r="G2002" s="12" t="n">
        <x:v>0</x:v>
      </x:c>
      <x:c r="H2002" s="12" t="str">
        <x:v>{'NORM': 50.0, 'ABQRS': 0.0, 'SR': 0.0}</x:v>
      </x:c>
      <x:c r="I2002" s="12" t="str">
        <x:v>[('NSR', 100.0), ('NML', 100.0)]</x:v>
      </x:c>
      <x:c r="J2002" s="12" t="str">
        <x:v>ptbxl_database.csv；ecg_id=19231；scp_codes</x:v>
      </x:c>
      <x:c r="K2002" s="12" t="str">
        <x:v>12sl_statements.csv；ecg_id=19231；statements_ext_snomed</x:v>
      </x:c>
      <x:c r="L2002" s="12"/>
      <x:c r="M2002" s="12" t="str">
        <x:v>negative</x:v>
      </x:c>
      <x:c r="N2002" s="12"/>
      <x:c r="O2002" s="12" t="str">
        <x:v>negative</x:v>
      </x:c>
      <x:c r="P2002" s="12" t="str">
        <x:f>IF(OR(M2002="unavailable",O2002="unavailable"),"不可评价",IF(OR(M2002="equivocal",O2002="equivocal"),"疑似",IF(AND(M2002="positive",O2002="positive"),"a",IF(O2002="positive","b",IF(M2002="positive","c","d")))))</x:f>
        <x:v>d</x:v>
      </x:c>
      <x:c r="Q2002" s="12"/>
      <x:c r="R2002" s="12" t="str">
        <x:v>negative</x:v>
      </x:c>
      <x:c r="S2002" s="12"/>
      <x:c r="T2002" s="12" t="str">
        <x:v>negative</x:v>
      </x:c>
      <x:c r="U2002" s="12" t="str">
        <x:f>IF(OR(R2002="unavailable",T2002="unavailable"),"不可评价",IF(OR(R2002="equivocal",T2002="equivocal"),"疑似",IF(AND(R2002="positive",T2002="positive"),"a",IF(T2002="positive","b",IF(R2002="positive","c","d")))))</x:f>
        <x:v>d</x:v>
      </x:c>
      <x:c r="V2002" s="12"/>
      <x:c r="W2002" s="12" t="str">
        <x:v>negative</x:v>
      </x:c>
      <x:c r="X2002" s="12"/>
      <x:c r="Y2002" s="12" t="str">
        <x:v>negative</x:v>
      </x:c>
      <x:c r="Z2002" s="12" t="str">
        <x:f>IF(OR(W2002="unavailable",Y2002="unavailable"),"不可评价",IF(OR(W2002="equivocal",Y2002="equivocal"),"疑似",IF(AND(W2002="positive",Y2002="positive"),"a",IF(Y2002="positive","b",IF(W2002="positive","c","d")))))</x:f>
        <x:v>d</x:v>
      </x:c>
      <x:c r="AA2002" s="12" t="str">
        <x:f>IF(OR(M2002="unavailable",O2002="unavailable"),"不可评价",IF(AND(OR(M2002="positive",M2002="equivocal"),OR(O2002="positive",O2002="equivocal")),"a",IF(OR(O2002="positive",O2002="equivocal"),"b",IF(OR(M2002="positive",M2002="equivocal"),"c","d"))))</x:f>
        <x:v>d</x:v>
      </x:c>
      <x:c r="AB2002" s="12" t="str">
        <x:f>IF(OR(M2002="unavailable",O2002="unavailable"),"不可评价",IF(AND(M2002="positive",O2002="positive"),"a",IF(O2002="positive","b",IF(M2002="positive","c","d"))))</x:f>
        <x:v>d</x:v>
      </x:c>
      <x:c r="AC2002" s="12" t="str">
        <x:f>IF(OR(R2002="unavailable",T2002="unavailable"),"不可评价",IF(AND(OR(R2002="positive",R2002="equivocal"),OR(T2002="positive",T2002="equivocal")),"a",IF(OR(T2002="positive",T2002="equivocal"),"b",IF(OR(R2002="positive",R2002="equivocal"),"c","d"))))</x:f>
        <x:v>d</x:v>
      </x:c>
      <x:c r="AD2002" s="12" t="str">
        <x:f>IF(OR(R2002="unavailable",T2002="unavailable"),"不可评价",IF(AND(R2002="positive",T2002="positive"),"a",IF(T2002="positive","b",IF(R2002="positive","c","d"))))</x:f>
        <x:v>d</x:v>
      </x:c>
      <x:c r="AE2002" s="12" t="str">
        <x:f>IF(OR(W2002="unavailable",Y2002="unavailable"),"不可评价",IF(AND(OR(W2002="positive",W2002="equivocal"),OR(Y2002="positive",Y2002="equivocal")),"a",IF(OR(Y2002="positive",Y2002="equivocal"),"b",IF(OR(W2002="positive",W2002="equivocal"),"c","d"))))</x:f>
        <x:v>d</x:v>
      </x:c>
      <x:c r="AF2002" s="12" t="str">
        <x:f>IF(OR(W2002="unavailable",Y2002="unavailable"),"不可评价",IF(AND(W2002="positive",Y2002="positive"),"a",IF(Y2002="positive","b",IF(W2002="positive","c","d"))))</x:f>
        <x:v>d</x:v>
      </x:c>
    </x:row>
    <x:row r="2003" ht="24" customHeight="1">
      <x:c r="A2003" s="12" t="str">
        <x:v>19250</x:v>
      </x:c>
      <x:c r="B2003" s="12" t="str">
        <x:v>18503</x:v>
      </x:c>
      <x:c r="C2003" s="21" t="n">
        <x:v>35925.430185185185</x:v>
      </x:c>
      <x:c r="D2003" s="12" t="n">
        <x:v>56</x:v>
      </x:c>
      <x:c r="E2003" s="12" t="n">
        <x:v>0</x:v>
      </x:c>
      <x:c r="F2003" s="12" t="str">
        <x:v>未记录</x:v>
      </x:c>
      <x:c r="G2003" s="12" t="n">
        <x:v>1</x:v>
      </x:c>
      <x:c r="H2003" s="12" t="str">
        <x:v>{'NST_': 100.0, 'SR': 0.0}</x:v>
      </x:c>
      <x:c r="I2003" s="12" t="str">
        <x:v>[('NSR', 100.0), ('NML', 100.0)]</x:v>
      </x:c>
      <x:c r="J2003" s="12" t="str">
        <x:v>ptbxl_database.csv；ecg_id=19250；scp_codes</x:v>
      </x:c>
      <x:c r="K2003" s="12" t="str">
        <x:v>12sl_statements.csv；ecg_id=19250；statements_ext_snomed</x:v>
      </x:c>
      <x:c r="L2003" s="12"/>
      <x:c r="M2003" s="12" t="str">
        <x:v>negative</x:v>
      </x:c>
      <x:c r="N2003" s="12"/>
      <x:c r="O2003" s="12" t="str">
        <x:v>negative</x:v>
      </x:c>
      <x:c r="P2003" s="12" t="str">
        <x:f>IF(OR(M2003="unavailable",O2003="unavailable"),"不可评价",IF(OR(M2003="equivocal",O2003="equivocal"),"疑似",IF(AND(M2003="positive",O2003="positive"),"a",IF(O2003="positive","b",IF(M2003="positive","c","d")))))</x:f>
        <x:v>d</x:v>
      </x:c>
      <x:c r="Q2003" s="12"/>
      <x:c r="R2003" s="12" t="str">
        <x:v>negative</x:v>
      </x:c>
      <x:c r="S2003" s="12"/>
      <x:c r="T2003" s="12" t="str">
        <x:v>negative</x:v>
      </x:c>
      <x:c r="U2003" s="12" t="str">
        <x:f>IF(OR(R2003="unavailable",T2003="unavailable"),"不可评价",IF(OR(R2003="equivocal",T2003="equivocal"),"疑似",IF(AND(R2003="positive",T2003="positive"),"a",IF(T2003="positive","b",IF(R2003="positive","c","d")))))</x:f>
        <x:v>d</x:v>
      </x:c>
      <x:c r="V2003" s="12"/>
      <x:c r="W2003" s="12" t="str">
        <x:v>negative</x:v>
      </x:c>
      <x:c r="X2003" s="12"/>
      <x:c r="Y2003" s="12" t="str">
        <x:v>negative</x:v>
      </x:c>
      <x:c r="Z2003" s="12" t="str">
        <x:f>IF(OR(W2003="unavailable",Y2003="unavailable"),"不可评价",IF(OR(W2003="equivocal",Y2003="equivocal"),"疑似",IF(AND(W2003="positive",Y2003="positive"),"a",IF(Y2003="positive","b",IF(W2003="positive","c","d")))))</x:f>
        <x:v>d</x:v>
      </x:c>
      <x:c r="AA2003" s="12" t="str">
        <x:f>IF(OR(M2003="unavailable",O2003="unavailable"),"不可评价",IF(AND(OR(M2003="positive",M2003="equivocal"),OR(O2003="positive",O2003="equivocal")),"a",IF(OR(O2003="positive",O2003="equivocal"),"b",IF(OR(M2003="positive",M2003="equivocal"),"c","d"))))</x:f>
        <x:v>d</x:v>
      </x:c>
      <x:c r="AB2003" s="12" t="str">
        <x:f>IF(OR(M2003="unavailable",O2003="unavailable"),"不可评价",IF(AND(M2003="positive",O2003="positive"),"a",IF(O2003="positive","b",IF(M2003="positive","c","d"))))</x:f>
        <x:v>d</x:v>
      </x:c>
      <x:c r="AC2003" s="12" t="str">
        <x:f>IF(OR(R2003="unavailable",T2003="unavailable"),"不可评价",IF(AND(OR(R2003="positive",R2003="equivocal"),OR(T2003="positive",T2003="equivocal")),"a",IF(OR(T2003="positive",T2003="equivocal"),"b",IF(OR(R2003="positive",R2003="equivocal"),"c","d"))))</x:f>
        <x:v>d</x:v>
      </x:c>
      <x:c r="AD2003" s="12" t="str">
        <x:f>IF(OR(R2003="unavailable",T2003="unavailable"),"不可评价",IF(AND(R2003="positive",T2003="positive"),"a",IF(T2003="positive","b",IF(R2003="positive","c","d"))))</x:f>
        <x:v>d</x:v>
      </x:c>
      <x:c r="AE2003" s="12" t="str">
        <x:f>IF(OR(W2003="unavailable",Y2003="unavailable"),"不可评价",IF(AND(OR(W2003="positive",W2003="equivocal"),OR(Y2003="positive",Y2003="equivocal")),"a",IF(OR(Y2003="positive",Y2003="equivocal"),"b",IF(OR(W2003="positive",W2003="equivocal"),"c","d"))))</x:f>
        <x:v>d</x:v>
      </x:c>
      <x:c r="AF2003" s="12" t="str">
        <x:f>IF(OR(W2003="unavailable",Y2003="unavailable"),"不可评价",IF(AND(W2003="positive",Y2003="positive"),"a",IF(Y2003="positive","b",IF(W2003="positive","c","d"))))</x:f>
        <x:v>d</x:v>
      </x:c>
    </x:row>
    <x:row r="2004" ht="24" customHeight="1">
      <x:c r="A2004" s="12" t="str">
        <x:v>19251</x:v>
      </x:c>
      <x:c r="B2004" s="12" t="str">
        <x:v>21738</x:v>
      </x:c>
      <x:c r="C2004" s="21" t="n">
        <x:v>35925.71771990741</x:v>
      </x:c>
      <x:c r="D2004" s="12" t="n">
        <x:v>55</x:v>
      </x:c>
      <x:c r="E2004" s="12" t="n">
        <x:v>1</x:v>
      </x:c>
      <x:c r="F2004" s="12" t="str">
        <x:v>未记录</x:v>
      </x:c>
      <x:c r="G2004" s="12" t="n">
        <x:v>1</x:v>
      </x:c>
      <x:c r="H2004" s="12" t="str">
        <x:v>{'NDT': 100.0, 'SR': 0.0}</x:v>
      </x:c>
      <x:c r="I2004" s="12" t="str">
        <x:v>[('NSR', 100.0), ('NST', 100.0), ('AB', 100.0)]</x:v>
      </x:c>
      <x:c r="J2004" s="12" t="str">
        <x:v>ptbxl_database.csv；ecg_id=19251；scp_codes</x:v>
      </x:c>
      <x:c r="K2004" s="12" t="str">
        <x:v>12sl_statements.csv；ecg_id=19251；statements_ext_snomed</x:v>
      </x:c>
      <x:c r="L2004" s="12"/>
      <x:c r="M2004" s="12" t="str">
        <x:v>negative</x:v>
      </x:c>
      <x:c r="N2004" s="12"/>
      <x:c r="O2004" s="12" t="str">
        <x:v>negative</x:v>
      </x:c>
      <x:c r="P2004" s="12" t="str">
        <x:f>IF(OR(M2004="unavailable",O2004="unavailable"),"不可评价",IF(OR(M2004="equivocal",O2004="equivocal"),"疑似",IF(AND(M2004="positive",O2004="positive"),"a",IF(O2004="positive","b",IF(M2004="positive","c","d")))))</x:f>
        <x:v>d</x:v>
      </x:c>
      <x:c r="Q2004" s="12"/>
      <x:c r="R2004" s="12" t="str">
        <x:v>negative</x:v>
      </x:c>
      <x:c r="S2004" s="12"/>
      <x:c r="T2004" s="12" t="str">
        <x:v>negative</x:v>
      </x:c>
      <x:c r="U2004" s="12" t="str">
        <x:f>IF(OR(R2004="unavailable",T2004="unavailable"),"不可评价",IF(OR(R2004="equivocal",T2004="equivocal"),"疑似",IF(AND(R2004="positive",T2004="positive"),"a",IF(T2004="positive","b",IF(R2004="positive","c","d")))))</x:f>
        <x:v>d</x:v>
      </x:c>
      <x:c r="V2004" s="12"/>
      <x:c r="W2004" s="12" t="str">
        <x:v>negative</x:v>
      </x:c>
      <x:c r="X2004" s="12"/>
      <x:c r="Y2004" s="12" t="str">
        <x:v>negative</x:v>
      </x:c>
      <x:c r="Z2004" s="12" t="str">
        <x:f>IF(OR(W2004="unavailable",Y2004="unavailable"),"不可评价",IF(OR(W2004="equivocal",Y2004="equivocal"),"疑似",IF(AND(W2004="positive",Y2004="positive"),"a",IF(Y2004="positive","b",IF(W2004="positive","c","d")))))</x:f>
        <x:v>d</x:v>
      </x:c>
      <x:c r="AA2004" s="12" t="str">
        <x:f>IF(OR(M2004="unavailable",O2004="unavailable"),"不可评价",IF(AND(OR(M2004="positive",M2004="equivocal"),OR(O2004="positive",O2004="equivocal")),"a",IF(OR(O2004="positive",O2004="equivocal"),"b",IF(OR(M2004="positive",M2004="equivocal"),"c","d"))))</x:f>
        <x:v>d</x:v>
      </x:c>
      <x:c r="AB2004" s="12" t="str">
        <x:f>IF(OR(M2004="unavailable",O2004="unavailable"),"不可评价",IF(AND(M2004="positive",O2004="positive"),"a",IF(O2004="positive","b",IF(M2004="positive","c","d"))))</x:f>
        <x:v>d</x:v>
      </x:c>
      <x:c r="AC2004" s="12" t="str">
        <x:f>IF(OR(R2004="unavailable",T2004="unavailable"),"不可评价",IF(AND(OR(R2004="positive",R2004="equivocal"),OR(T2004="positive",T2004="equivocal")),"a",IF(OR(T2004="positive",T2004="equivocal"),"b",IF(OR(R2004="positive",R2004="equivocal"),"c","d"))))</x:f>
        <x:v>d</x:v>
      </x:c>
      <x:c r="AD2004" s="12" t="str">
        <x:f>IF(OR(R2004="unavailable",T2004="unavailable"),"不可评价",IF(AND(R2004="positive",T2004="positive"),"a",IF(T2004="positive","b",IF(R2004="positive","c","d"))))</x:f>
        <x:v>d</x:v>
      </x:c>
      <x:c r="AE2004" s="12" t="str">
        <x:f>IF(OR(W2004="unavailable",Y2004="unavailable"),"不可评价",IF(AND(OR(W2004="positive",W2004="equivocal"),OR(Y2004="positive",Y2004="equivocal")),"a",IF(OR(Y2004="positive",Y2004="equivocal"),"b",IF(OR(W2004="positive",W2004="equivocal"),"c","d"))))</x:f>
        <x:v>d</x:v>
      </x:c>
      <x:c r="AF2004" s="12" t="str">
        <x:f>IF(OR(W2004="unavailable",Y2004="unavailable"),"不可评价",IF(AND(W2004="positive",Y2004="positive"),"a",IF(Y2004="positive","b",IF(W2004="positive","c","d"))))</x:f>
        <x:v>d</x:v>
      </x:c>
    </x:row>
    <x:row r="2005" ht="24" customHeight="1">
      <x:c r="A2005" s="12" t="str">
        <x:v>19254</x:v>
      </x:c>
      <x:c r="B2005" s="12" t="str">
        <x:v>18503</x:v>
      </x:c>
      <x:c r="C2005" s="21" t="n">
        <x:v>35928.506319444445</x:v>
      </x:c>
      <x:c r="D2005" s="12" t="n">
        <x:v>56</x:v>
      </x:c>
      <x:c r="E2005" s="12" t="n">
        <x:v>0</x:v>
      </x:c>
      <x:c r="F2005" s="12" t="str">
        <x:v>未记录</x:v>
      </x:c>
      <x:c r="G2005" s="12" t="n">
        <x:v>0</x:v>
      </x:c>
      <x:c r="H2005" s="12" t="str">
        <x:v>{'NORM': 100.0, 'SBRAD': 0.0}</x:v>
      </x:c>
      <x:c r="I2005" s="12" t="str">
        <x:v>[('SBRAD', 100.0), ('ABR', 100.0)]</x:v>
      </x:c>
      <x:c r="J2005" s="12" t="str">
        <x:v>ptbxl_database.csv；ecg_id=19254；scp_codes</x:v>
      </x:c>
      <x:c r="K2005" s="12" t="str">
        <x:v>12sl_statements.csv；ecg_id=19254；statements_ext_snomed</x:v>
      </x:c>
      <x:c r="L2005" s="12"/>
      <x:c r="M2005" s="12" t="str">
        <x:v>negative</x:v>
      </x:c>
      <x:c r="N2005" s="12"/>
      <x:c r="O2005" s="12" t="str">
        <x:v>negative</x:v>
      </x:c>
      <x:c r="P2005" s="12" t="str">
        <x:f>IF(OR(M2005="unavailable",O2005="unavailable"),"不可评价",IF(OR(M2005="equivocal",O2005="equivocal"),"疑似",IF(AND(M2005="positive",O2005="positive"),"a",IF(O2005="positive","b",IF(M2005="positive","c","d")))))</x:f>
        <x:v>d</x:v>
      </x:c>
      <x:c r="Q2005" s="12"/>
      <x:c r="R2005" s="12" t="str">
        <x:v>negative</x:v>
      </x:c>
      <x:c r="S2005" s="12"/>
      <x:c r="T2005" s="12" t="str">
        <x:v>negative</x:v>
      </x:c>
      <x:c r="U2005" s="12" t="str">
        <x:f>IF(OR(R2005="unavailable",T2005="unavailable"),"不可评价",IF(OR(R2005="equivocal",T2005="equivocal"),"疑似",IF(AND(R2005="positive",T2005="positive"),"a",IF(T2005="positive","b",IF(R2005="positive","c","d")))))</x:f>
        <x:v>d</x:v>
      </x:c>
      <x:c r="V2005" s="12"/>
      <x:c r="W2005" s="12" t="str">
        <x:v>negative</x:v>
      </x:c>
      <x:c r="X2005" s="12"/>
      <x:c r="Y2005" s="12" t="str">
        <x:v>negative</x:v>
      </x:c>
      <x:c r="Z2005" s="12" t="str">
        <x:f>IF(OR(W2005="unavailable",Y2005="unavailable"),"不可评价",IF(OR(W2005="equivocal",Y2005="equivocal"),"疑似",IF(AND(W2005="positive",Y2005="positive"),"a",IF(Y2005="positive","b",IF(W2005="positive","c","d")))))</x:f>
        <x:v>d</x:v>
      </x:c>
      <x:c r="AA2005" s="12" t="str">
        <x:f>IF(OR(M2005="unavailable",O2005="unavailable"),"不可评价",IF(AND(OR(M2005="positive",M2005="equivocal"),OR(O2005="positive",O2005="equivocal")),"a",IF(OR(O2005="positive",O2005="equivocal"),"b",IF(OR(M2005="positive",M2005="equivocal"),"c","d"))))</x:f>
        <x:v>d</x:v>
      </x:c>
      <x:c r="AB2005" s="12" t="str">
        <x:f>IF(OR(M2005="unavailable",O2005="unavailable"),"不可评价",IF(AND(M2005="positive",O2005="positive"),"a",IF(O2005="positive","b",IF(M2005="positive","c","d"))))</x:f>
        <x:v>d</x:v>
      </x:c>
      <x:c r="AC2005" s="12" t="str">
        <x:f>IF(OR(R2005="unavailable",T2005="unavailable"),"不可评价",IF(AND(OR(R2005="positive",R2005="equivocal"),OR(T2005="positive",T2005="equivocal")),"a",IF(OR(T2005="positive",T2005="equivocal"),"b",IF(OR(R2005="positive",R2005="equivocal"),"c","d"))))</x:f>
        <x:v>d</x:v>
      </x:c>
      <x:c r="AD2005" s="12" t="str">
        <x:f>IF(OR(R2005="unavailable",T2005="unavailable"),"不可评价",IF(AND(R2005="positive",T2005="positive"),"a",IF(T2005="positive","b",IF(R2005="positive","c","d"))))</x:f>
        <x:v>d</x:v>
      </x:c>
      <x:c r="AE2005" s="12" t="str">
        <x:f>IF(OR(W2005="unavailable",Y2005="unavailable"),"不可评价",IF(AND(OR(W2005="positive",W2005="equivocal"),OR(Y2005="positive",Y2005="equivocal")),"a",IF(OR(Y2005="positive",Y2005="equivocal"),"b",IF(OR(W2005="positive",W2005="equivocal"),"c","d"))))</x:f>
        <x:v>d</x:v>
      </x:c>
      <x:c r="AF2005" s="12" t="str">
        <x:f>IF(OR(W2005="unavailable",Y2005="unavailable"),"不可评价",IF(AND(W2005="positive",Y2005="positive"),"a",IF(Y2005="positive","b",IF(W2005="positive","c","d"))))</x:f>
        <x:v>d</x:v>
      </x:c>
    </x:row>
    <x:row r="2006" ht="24" customHeight="1">
      <x:c r="A2006" s="12" t="str">
        <x:v>19256</x:v>
      </x:c>
      <x:c r="B2006" s="12" t="str">
        <x:v>14328</x:v>
      </x:c>
      <x:c r="C2006" s="21" t="n">
        <x:v>35929.36</x:v>
      </x:c>
      <x:c r="D2006" s="12" t="n">
        <x:v>65</x:v>
      </x:c>
      <x:c r="E2006" s="12" t="n">
        <x:v>1</x:v>
      </x:c>
      <x:c r="F2006" s="12" t="str">
        <x:v>未记录</x:v>
      </x:c>
      <x:c r="G2006" s="12" t="n">
        <x:v>1</x:v>
      </x:c>
      <x:c r="H2006" s="12" t="str">
        <x:v>{'NORM': 50.0, 'SBRAD': 0.0}</x:v>
      </x:c>
      <x:c r="I2006" s="12" t="str">
        <x:v>[('SBRAD', 100.0), ('NST', 100.0), ('AB', 100.0)]</x:v>
      </x:c>
      <x:c r="J2006" s="12" t="str">
        <x:v>ptbxl_database.csv；ecg_id=19256；scp_codes</x:v>
      </x:c>
      <x:c r="K2006" s="12" t="str">
        <x:v>12sl_statements.csv；ecg_id=19256；statements_ext_snomed</x:v>
      </x:c>
      <x:c r="L2006" s="12"/>
      <x:c r="M2006" s="12" t="str">
        <x:v>negative</x:v>
      </x:c>
      <x:c r="N2006" s="12"/>
      <x:c r="O2006" s="12" t="str">
        <x:v>negative</x:v>
      </x:c>
      <x:c r="P2006" s="12" t="str">
        <x:f>IF(OR(M2006="unavailable",O2006="unavailable"),"不可评价",IF(OR(M2006="equivocal",O2006="equivocal"),"疑似",IF(AND(M2006="positive",O2006="positive"),"a",IF(O2006="positive","b",IF(M2006="positive","c","d")))))</x:f>
        <x:v>d</x:v>
      </x:c>
      <x:c r="Q2006" s="12"/>
      <x:c r="R2006" s="12" t="str">
        <x:v>negative</x:v>
      </x:c>
      <x:c r="S2006" s="12"/>
      <x:c r="T2006" s="12" t="str">
        <x:v>negative</x:v>
      </x:c>
      <x:c r="U2006" s="12" t="str">
        <x:f>IF(OR(R2006="unavailable",T2006="unavailable"),"不可评价",IF(OR(R2006="equivocal",T2006="equivocal"),"疑似",IF(AND(R2006="positive",T2006="positive"),"a",IF(T2006="positive","b",IF(R2006="positive","c","d")))))</x:f>
        <x:v>d</x:v>
      </x:c>
      <x:c r="V2006" s="12"/>
      <x:c r="W2006" s="12" t="str">
        <x:v>negative</x:v>
      </x:c>
      <x:c r="X2006" s="12"/>
      <x:c r="Y2006" s="12" t="str">
        <x:v>negative</x:v>
      </x:c>
      <x:c r="Z2006" s="12" t="str">
        <x:f>IF(OR(W2006="unavailable",Y2006="unavailable"),"不可评价",IF(OR(W2006="equivocal",Y2006="equivocal"),"疑似",IF(AND(W2006="positive",Y2006="positive"),"a",IF(Y2006="positive","b",IF(W2006="positive","c","d")))))</x:f>
        <x:v>d</x:v>
      </x:c>
      <x:c r="AA2006" s="12" t="str">
        <x:f>IF(OR(M2006="unavailable",O2006="unavailable"),"不可评价",IF(AND(OR(M2006="positive",M2006="equivocal"),OR(O2006="positive",O2006="equivocal")),"a",IF(OR(O2006="positive",O2006="equivocal"),"b",IF(OR(M2006="positive",M2006="equivocal"),"c","d"))))</x:f>
        <x:v>d</x:v>
      </x:c>
      <x:c r="AB2006" s="12" t="str">
        <x:f>IF(OR(M2006="unavailable",O2006="unavailable"),"不可评价",IF(AND(M2006="positive",O2006="positive"),"a",IF(O2006="positive","b",IF(M2006="positive","c","d"))))</x:f>
        <x:v>d</x:v>
      </x:c>
      <x:c r="AC2006" s="12" t="str">
        <x:f>IF(OR(R2006="unavailable",T2006="unavailable"),"不可评价",IF(AND(OR(R2006="positive",R2006="equivocal"),OR(T2006="positive",T2006="equivocal")),"a",IF(OR(T2006="positive",T2006="equivocal"),"b",IF(OR(R2006="positive",R2006="equivocal"),"c","d"))))</x:f>
        <x:v>d</x:v>
      </x:c>
      <x:c r="AD2006" s="12" t="str">
        <x:f>IF(OR(R2006="unavailable",T2006="unavailable"),"不可评价",IF(AND(R2006="positive",T2006="positive"),"a",IF(T2006="positive","b",IF(R2006="positive","c","d"))))</x:f>
        <x:v>d</x:v>
      </x:c>
      <x:c r="AE2006" s="12" t="str">
        <x:f>IF(OR(W2006="unavailable",Y2006="unavailable"),"不可评价",IF(AND(OR(W2006="positive",W2006="equivocal"),OR(Y2006="positive",Y2006="equivocal")),"a",IF(OR(Y2006="positive",Y2006="equivocal"),"b",IF(OR(W2006="positive",W2006="equivocal"),"c","d"))))</x:f>
        <x:v>d</x:v>
      </x:c>
      <x:c r="AF2006" s="12" t="str">
        <x:f>IF(OR(W2006="unavailable",Y2006="unavailable"),"不可评价",IF(AND(W2006="positive",Y2006="positive"),"a",IF(Y2006="positive","b",IF(W2006="positive","c","d"))))</x:f>
        <x:v>d</x:v>
      </x:c>
    </x:row>
    <x:row r="2007" ht="24" customHeight="1">
      <x:c r="A2007" s="12" t="str">
        <x:v>19267</x:v>
      </x:c>
      <x:c r="B2007" s="12" t="str">
        <x:v>10837</x:v>
      </x:c>
      <x:c r="C2007" s="21" t="n">
        <x:v>35940.46728009259</x:v>
      </x:c>
      <x:c r="D2007" s="12" t="n">
        <x:v>67</x:v>
      </x:c>
      <x:c r="E2007" s="12" t="n">
        <x:v>0</x:v>
      </x:c>
      <x:c r="F2007" s="12" t="str">
        <x:v>存在</x:v>
      </x:c>
      <x:c r="G2007" s="12" t="n">
        <x:v>1</x:v>
      </x:c>
      <x:c r="H2007" s="12" t="str">
        <x:v>{'IRBBB': 100.0, 'LVH': 50.0, 'ISC_': 100.0, 'ABQRS': 0.0, 'SR': 0.0}</x:v>
      </x:c>
      <x:c r="I2007" s="12" t="str">
        <x:v>[('SBRAD', 100.0), ('IRBBB', 100.0), ('NT', 100.0), ('AB', 100.0)]</x:v>
      </x:c>
      <x:c r="J2007" s="12" t="str">
        <x:v>ptbxl_database.csv；ecg_id=19267；scp_codes</x:v>
      </x:c>
      <x:c r="K2007" s="12" t="str">
        <x:v>12sl_statements.csv；ecg_id=19267；statements_ext_snomed</x:v>
      </x:c>
      <x:c r="L2007" s="12"/>
      <x:c r="M2007" s="12" t="str">
        <x:v>negative</x:v>
      </x:c>
      <x:c r="N2007" s="12"/>
      <x:c r="O2007" s="12" t="str">
        <x:v>negative</x:v>
      </x:c>
      <x:c r="P2007" s="12" t="str">
        <x:f>IF(OR(M2007="unavailable",O2007="unavailable"),"不可评价",IF(OR(M2007="equivocal",O2007="equivocal"),"疑似",IF(AND(M2007="positive",O2007="positive"),"a",IF(O2007="positive","b",IF(M2007="positive","c","d")))))</x:f>
        <x:v>d</x:v>
      </x:c>
      <x:c r="Q2007" s="12"/>
      <x:c r="R2007" s="12" t="str">
        <x:v>negative</x:v>
      </x:c>
      <x:c r="S2007" s="12"/>
      <x:c r="T2007" s="12" t="str">
        <x:v>negative</x:v>
      </x:c>
      <x:c r="U2007" s="12" t="str">
        <x:f>IF(OR(R2007="unavailable",T2007="unavailable"),"不可评价",IF(OR(R2007="equivocal",T2007="equivocal"),"疑似",IF(AND(R2007="positive",T2007="positive"),"a",IF(T2007="positive","b",IF(R2007="positive","c","d")))))</x:f>
        <x:v>d</x:v>
      </x:c>
      <x:c r="V2007" s="12"/>
      <x:c r="W2007" s="12" t="str">
        <x:v>negative</x:v>
      </x:c>
      <x:c r="X2007" s="12"/>
      <x:c r="Y2007" s="12" t="str">
        <x:v>negative</x:v>
      </x:c>
      <x:c r="Z2007" s="12" t="str">
        <x:f>IF(OR(W2007="unavailable",Y2007="unavailable"),"不可评价",IF(OR(W2007="equivocal",Y2007="equivocal"),"疑似",IF(AND(W2007="positive",Y2007="positive"),"a",IF(Y2007="positive","b",IF(W2007="positive","c","d")))))</x:f>
        <x:v>d</x:v>
      </x:c>
      <x:c r="AA2007" s="12" t="str">
        <x:f>IF(OR(M2007="unavailable",O2007="unavailable"),"不可评价",IF(AND(OR(M2007="positive",M2007="equivocal"),OR(O2007="positive",O2007="equivocal")),"a",IF(OR(O2007="positive",O2007="equivocal"),"b",IF(OR(M2007="positive",M2007="equivocal"),"c","d"))))</x:f>
        <x:v>d</x:v>
      </x:c>
      <x:c r="AB2007" s="12" t="str">
        <x:f>IF(OR(M2007="unavailable",O2007="unavailable"),"不可评价",IF(AND(M2007="positive",O2007="positive"),"a",IF(O2007="positive","b",IF(M2007="positive","c","d"))))</x:f>
        <x:v>d</x:v>
      </x:c>
      <x:c r="AC2007" s="12" t="str">
        <x:f>IF(OR(R2007="unavailable",T2007="unavailable"),"不可评价",IF(AND(OR(R2007="positive",R2007="equivocal"),OR(T2007="positive",T2007="equivocal")),"a",IF(OR(T2007="positive",T2007="equivocal"),"b",IF(OR(R2007="positive",R2007="equivocal"),"c","d"))))</x:f>
        <x:v>d</x:v>
      </x:c>
      <x:c r="AD2007" s="12" t="str">
        <x:f>IF(OR(R2007="unavailable",T2007="unavailable"),"不可评价",IF(AND(R2007="positive",T2007="positive"),"a",IF(T2007="positive","b",IF(R2007="positive","c","d"))))</x:f>
        <x:v>d</x:v>
      </x:c>
      <x:c r="AE2007" s="12" t="str">
        <x:f>IF(OR(W2007="unavailable",Y2007="unavailable"),"不可评价",IF(AND(OR(W2007="positive",W2007="equivocal"),OR(Y2007="positive",Y2007="equivocal")),"a",IF(OR(Y2007="positive",Y2007="equivocal"),"b",IF(OR(W2007="positive",W2007="equivocal"),"c","d"))))</x:f>
        <x:v>d</x:v>
      </x:c>
      <x:c r="AF2007" s="12" t="str">
        <x:f>IF(OR(W2007="unavailable",Y2007="unavailable"),"不可评价",IF(AND(W2007="positive",Y2007="positive"),"a",IF(Y2007="positive","b",IF(W2007="positive","c","d"))))</x:f>
        <x:v>d</x:v>
      </x:c>
    </x:row>
    <x:row r="2008" ht="24" customHeight="1">
      <x:c r="A2008" s="12" t="str">
        <x:v>19268</x:v>
      </x:c>
      <x:c r="B2008" s="12" t="str">
        <x:v>15666</x:v>
      </x:c>
      <x:c r="C2008" s="21" t="n">
        <x:v>35940.65269675926</x:v>
      </x:c>
      <x:c r="D2008" s="12" t="n">
        <x:v>83</x:v>
      </x:c>
      <x:c r="E2008" s="12" t="n">
        <x:v>1</x:v>
      </x:c>
      <x:c r="F2008" s="12" t="str">
        <x:v>未记录</x:v>
      </x:c>
      <x:c r="G2008" s="12" t="n">
        <x:v>1</x:v>
      </x:c>
      <x:c r="H2008" s="12" t="str">
        <x:v>{'ISCIL': 100.0, 'SVARR': 0.0}</x:v>
      </x:c>
      <x:c r="I2008" s="12" t="str">
        <x:v>[('NSR', 100.0), ('NT', 100.0), ('LNGQT', 100.0), ('AB', 100.0)]</x:v>
      </x:c>
      <x:c r="J2008" s="12" t="str">
        <x:v>ptbxl_database.csv；ecg_id=19268；scp_codes</x:v>
      </x:c>
      <x:c r="K2008" s="12" t="str">
        <x:v>12sl_statements.csv；ecg_id=19268；statements_ext_snomed</x:v>
      </x:c>
      <x:c r="L2008" s="12"/>
      <x:c r="M2008" s="12" t="str">
        <x:v>negative</x:v>
      </x:c>
      <x:c r="N2008" s="12"/>
      <x:c r="O2008" s="12" t="str">
        <x:v>negative</x:v>
      </x:c>
      <x:c r="P2008" s="12" t="str">
        <x:f>IF(OR(M2008="unavailable",O2008="unavailable"),"不可评价",IF(OR(M2008="equivocal",O2008="equivocal"),"疑似",IF(AND(M2008="positive",O2008="positive"),"a",IF(O2008="positive","b",IF(M2008="positive","c","d")))))</x:f>
        <x:v>d</x:v>
      </x:c>
      <x:c r="Q2008" s="12"/>
      <x:c r="R2008" s="12" t="str">
        <x:v>negative</x:v>
      </x:c>
      <x:c r="S2008" s="12"/>
      <x:c r="T2008" s="12" t="str">
        <x:v>negative</x:v>
      </x:c>
      <x:c r="U2008" s="12" t="str">
        <x:f>IF(OR(R2008="unavailable",T2008="unavailable"),"不可评价",IF(OR(R2008="equivocal",T2008="equivocal"),"疑似",IF(AND(R2008="positive",T2008="positive"),"a",IF(T2008="positive","b",IF(R2008="positive","c","d")))))</x:f>
        <x:v>d</x:v>
      </x:c>
      <x:c r="V2008" s="12"/>
      <x:c r="W2008" s="12" t="str">
        <x:v>negative</x:v>
      </x:c>
      <x:c r="X2008" s="12"/>
      <x:c r="Y2008" s="12" t="str">
        <x:v>negative</x:v>
      </x:c>
      <x:c r="Z2008" s="12" t="str">
        <x:f>IF(OR(W2008="unavailable",Y2008="unavailable"),"不可评价",IF(OR(W2008="equivocal",Y2008="equivocal"),"疑似",IF(AND(W2008="positive",Y2008="positive"),"a",IF(Y2008="positive","b",IF(W2008="positive","c","d")))))</x:f>
        <x:v>d</x:v>
      </x:c>
      <x:c r="AA2008" s="12" t="str">
        <x:f>IF(OR(M2008="unavailable",O2008="unavailable"),"不可评价",IF(AND(OR(M2008="positive",M2008="equivocal"),OR(O2008="positive",O2008="equivocal")),"a",IF(OR(O2008="positive",O2008="equivocal"),"b",IF(OR(M2008="positive",M2008="equivocal"),"c","d"))))</x:f>
        <x:v>d</x:v>
      </x:c>
      <x:c r="AB2008" s="12" t="str">
        <x:f>IF(OR(M2008="unavailable",O2008="unavailable"),"不可评价",IF(AND(M2008="positive",O2008="positive"),"a",IF(O2008="positive","b",IF(M2008="positive","c","d"))))</x:f>
        <x:v>d</x:v>
      </x:c>
      <x:c r="AC2008" s="12" t="str">
        <x:f>IF(OR(R2008="unavailable",T2008="unavailable"),"不可评价",IF(AND(OR(R2008="positive",R2008="equivocal"),OR(T2008="positive",T2008="equivocal")),"a",IF(OR(T2008="positive",T2008="equivocal"),"b",IF(OR(R2008="positive",R2008="equivocal"),"c","d"))))</x:f>
        <x:v>d</x:v>
      </x:c>
      <x:c r="AD2008" s="12" t="str">
        <x:f>IF(OR(R2008="unavailable",T2008="unavailable"),"不可评价",IF(AND(R2008="positive",T2008="positive"),"a",IF(T2008="positive","b",IF(R2008="positive","c","d"))))</x:f>
        <x:v>d</x:v>
      </x:c>
      <x:c r="AE2008" s="12" t="str">
        <x:f>IF(OR(W2008="unavailable",Y2008="unavailable"),"不可评价",IF(AND(OR(W2008="positive",W2008="equivocal"),OR(Y2008="positive",Y2008="equivocal")),"a",IF(OR(Y2008="positive",Y2008="equivocal"),"b",IF(OR(W2008="positive",W2008="equivocal"),"c","d"))))</x:f>
        <x:v>d</x:v>
      </x:c>
      <x:c r="AF2008" s="12" t="str">
        <x:f>IF(OR(W2008="unavailable",Y2008="unavailable"),"不可评价",IF(AND(W2008="positive",Y2008="positive"),"a",IF(Y2008="positive","b",IF(W2008="positive","c","d"))))</x:f>
        <x:v>d</x:v>
      </x:c>
    </x:row>
    <x:row r="2009" ht="24" customHeight="1">
      <x:c r="A2009" s="12" t="str">
        <x:v>19271</x:v>
      </x:c>
      <x:c r="B2009" s="12" t="str">
        <x:v>16237</x:v>
      </x:c>
      <x:c r="C2009" s="21" t="n">
        <x:v>35942.41390046296</x:v>
      </x:c>
      <x:c r="D2009" s="12" t="n">
        <x:v>50</x:v>
      </x:c>
      <x:c r="E2009" s="12" t="n">
        <x:v>0</x:v>
      </x:c>
      <x:c r="F2009" s="12" t="str">
        <x:v>存在</x:v>
      </x:c>
      <x:c r="G2009" s="12" t="n">
        <x:v>0</x:v>
      </x:c>
      <x:c r="H2009" s="12" t="str">
        <x:v>{'NORM': 100.0, 'SR': 0.0}</x:v>
      </x:c>
      <x:c r="I2009" s="12" t="str">
        <x:v>[('NSR', 100.0), ('NML', 100.0)]</x:v>
      </x:c>
      <x:c r="J2009" s="12" t="str">
        <x:v>ptbxl_database.csv；ecg_id=19271；scp_codes</x:v>
      </x:c>
      <x:c r="K2009" s="12" t="str">
        <x:v>12sl_statements.csv；ecg_id=19271；statements_ext_snomed</x:v>
      </x:c>
      <x:c r="L2009" s="12"/>
      <x:c r="M2009" s="12" t="str">
        <x:v>negative</x:v>
      </x:c>
      <x:c r="N2009" s="12"/>
      <x:c r="O2009" s="12" t="str">
        <x:v>negative</x:v>
      </x:c>
      <x:c r="P2009" s="12" t="str">
        <x:f>IF(OR(M2009="unavailable",O2009="unavailable"),"不可评价",IF(OR(M2009="equivocal",O2009="equivocal"),"疑似",IF(AND(M2009="positive",O2009="positive"),"a",IF(O2009="positive","b",IF(M2009="positive","c","d")))))</x:f>
        <x:v>d</x:v>
      </x:c>
      <x:c r="Q2009" s="12"/>
      <x:c r="R2009" s="12" t="str">
        <x:v>negative</x:v>
      </x:c>
      <x:c r="S2009" s="12"/>
      <x:c r="T2009" s="12" t="str">
        <x:v>negative</x:v>
      </x:c>
      <x:c r="U2009" s="12" t="str">
        <x:f>IF(OR(R2009="unavailable",T2009="unavailable"),"不可评价",IF(OR(R2009="equivocal",T2009="equivocal"),"疑似",IF(AND(R2009="positive",T2009="positive"),"a",IF(T2009="positive","b",IF(R2009="positive","c","d")))))</x:f>
        <x:v>d</x:v>
      </x:c>
      <x:c r="V2009" s="12"/>
      <x:c r="W2009" s="12" t="str">
        <x:v>negative</x:v>
      </x:c>
      <x:c r="X2009" s="12"/>
      <x:c r="Y2009" s="12" t="str">
        <x:v>negative</x:v>
      </x:c>
      <x:c r="Z2009" s="12" t="str">
        <x:f>IF(OR(W2009="unavailable",Y2009="unavailable"),"不可评价",IF(OR(W2009="equivocal",Y2009="equivocal"),"疑似",IF(AND(W2009="positive",Y2009="positive"),"a",IF(Y2009="positive","b",IF(W2009="positive","c","d")))))</x:f>
        <x:v>d</x:v>
      </x:c>
      <x:c r="AA2009" s="12" t="str">
        <x:f>IF(OR(M2009="unavailable",O2009="unavailable"),"不可评价",IF(AND(OR(M2009="positive",M2009="equivocal"),OR(O2009="positive",O2009="equivocal")),"a",IF(OR(O2009="positive",O2009="equivocal"),"b",IF(OR(M2009="positive",M2009="equivocal"),"c","d"))))</x:f>
        <x:v>d</x:v>
      </x:c>
      <x:c r="AB2009" s="12" t="str">
        <x:f>IF(OR(M2009="unavailable",O2009="unavailable"),"不可评价",IF(AND(M2009="positive",O2009="positive"),"a",IF(O2009="positive","b",IF(M2009="positive","c","d"))))</x:f>
        <x:v>d</x:v>
      </x:c>
      <x:c r="AC2009" s="12" t="str">
        <x:f>IF(OR(R2009="unavailable",T2009="unavailable"),"不可评价",IF(AND(OR(R2009="positive",R2009="equivocal"),OR(T2009="positive",T2009="equivocal")),"a",IF(OR(T2009="positive",T2009="equivocal"),"b",IF(OR(R2009="positive",R2009="equivocal"),"c","d"))))</x:f>
        <x:v>d</x:v>
      </x:c>
      <x:c r="AD2009" s="12" t="str">
        <x:f>IF(OR(R2009="unavailable",T2009="unavailable"),"不可评价",IF(AND(R2009="positive",T2009="positive"),"a",IF(T2009="positive","b",IF(R2009="positive","c","d"))))</x:f>
        <x:v>d</x:v>
      </x:c>
      <x:c r="AE2009" s="12" t="str">
        <x:f>IF(OR(W2009="unavailable",Y2009="unavailable"),"不可评价",IF(AND(OR(W2009="positive",W2009="equivocal"),OR(Y2009="positive",Y2009="equivocal")),"a",IF(OR(Y2009="positive",Y2009="equivocal"),"b",IF(OR(W2009="positive",W2009="equivocal"),"c","d"))))</x:f>
        <x:v>d</x:v>
      </x:c>
      <x:c r="AF2009" s="12" t="str">
        <x:f>IF(OR(W2009="unavailable",Y2009="unavailable"),"不可评价",IF(AND(W2009="positive",Y2009="positive"),"a",IF(Y2009="positive","b",IF(W2009="positive","c","d"))))</x:f>
        <x:v>d</x:v>
      </x:c>
    </x:row>
    <x:row r="2010" ht="24" customHeight="1">
      <x:c r="A2010" s="12" t="str">
        <x:v>19286</x:v>
      </x:c>
      <x:c r="B2010" s="12" t="str">
        <x:v>16861</x:v>
      </x:c>
      <x:c r="C2010" s="21" t="n">
        <x:v>35947.834178240744</x:v>
      </x:c>
      <x:c r="D2010" s="12" t="n">
        <x:v>53</x:v>
      </x:c>
      <x:c r="E2010" s="12" t="n">
        <x:v>0</x:v>
      </x:c>
      <x:c r="F2010" s="12" t="str">
        <x:v>未记录</x:v>
      </x:c>
      <x:c r="G2010" s="12" t="n">
        <x:v>1</x:v>
      </x:c>
      <x:c r="H2010" s="12" t="str">
        <x:v>{'NORM': 100.0, 'SR': 0.0}</x:v>
      </x:c>
      <x:c r="I2010" s="12" t="str">
        <x:v>[('NSR', 100.0), ('NML', 100.0)]</x:v>
      </x:c>
      <x:c r="J2010" s="12" t="str">
        <x:v>ptbxl_database.csv；ecg_id=19286；scp_codes</x:v>
      </x:c>
      <x:c r="K2010" s="12" t="str">
        <x:v>12sl_statements.csv；ecg_id=19286；statements_ext_snomed</x:v>
      </x:c>
      <x:c r="L2010" s="12"/>
      <x:c r="M2010" s="12" t="str">
        <x:v>negative</x:v>
      </x:c>
      <x:c r="N2010" s="12"/>
      <x:c r="O2010" s="12" t="str">
        <x:v>negative</x:v>
      </x:c>
      <x:c r="P2010" s="12" t="str">
        <x:f>IF(OR(M2010="unavailable",O2010="unavailable"),"不可评价",IF(OR(M2010="equivocal",O2010="equivocal"),"疑似",IF(AND(M2010="positive",O2010="positive"),"a",IF(O2010="positive","b",IF(M2010="positive","c","d")))))</x:f>
        <x:v>d</x:v>
      </x:c>
      <x:c r="Q2010" s="12"/>
      <x:c r="R2010" s="12" t="str">
        <x:v>negative</x:v>
      </x:c>
      <x:c r="S2010" s="12"/>
      <x:c r="T2010" s="12" t="str">
        <x:v>negative</x:v>
      </x:c>
      <x:c r="U2010" s="12" t="str">
        <x:f>IF(OR(R2010="unavailable",T2010="unavailable"),"不可评价",IF(OR(R2010="equivocal",T2010="equivocal"),"疑似",IF(AND(R2010="positive",T2010="positive"),"a",IF(T2010="positive","b",IF(R2010="positive","c","d")))))</x:f>
        <x:v>d</x:v>
      </x:c>
      <x:c r="V2010" s="12"/>
      <x:c r="W2010" s="12" t="str">
        <x:v>negative</x:v>
      </x:c>
      <x:c r="X2010" s="12"/>
      <x:c r="Y2010" s="12" t="str">
        <x:v>negative</x:v>
      </x:c>
      <x:c r="Z2010" s="12" t="str">
        <x:f>IF(OR(W2010="unavailable",Y2010="unavailable"),"不可评价",IF(OR(W2010="equivocal",Y2010="equivocal"),"疑似",IF(AND(W2010="positive",Y2010="positive"),"a",IF(Y2010="positive","b",IF(W2010="positive","c","d")))))</x:f>
        <x:v>d</x:v>
      </x:c>
      <x:c r="AA2010" s="12" t="str">
        <x:f>IF(OR(M2010="unavailable",O2010="unavailable"),"不可评价",IF(AND(OR(M2010="positive",M2010="equivocal"),OR(O2010="positive",O2010="equivocal")),"a",IF(OR(O2010="positive",O2010="equivocal"),"b",IF(OR(M2010="positive",M2010="equivocal"),"c","d"))))</x:f>
        <x:v>d</x:v>
      </x:c>
      <x:c r="AB2010" s="12" t="str">
        <x:f>IF(OR(M2010="unavailable",O2010="unavailable"),"不可评价",IF(AND(M2010="positive",O2010="positive"),"a",IF(O2010="positive","b",IF(M2010="positive","c","d"))))</x:f>
        <x:v>d</x:v>
      </x:c>
      <x:c r="AC2010" s="12" t="str">
        <x:f>IF(OR(R2010="unavailable",T2010="unavailable"),"不可评价",IF(AND(OR(R2010="positive",R2010="equivocal"),OR(T2010="positive",T2010="equivocal")),"a",IF(OR(T2010="positive",T2010="equivocal"),"b",IF(OR(R2010="positive",R2010="equivocal"),"c","d"))))</x:f>
        <x:v>d</x:v>
      </x:c>
      <x:c r="AD2010" s="12" t="str">
        <x:f>IF(OR(R2010="unavailable",T2010="unavailable"),"不可评价",IF(AND(R2010="positive",T2010="positive"),"a",IF(T2010="positive","b",IF(R2010="positive","c","d"))))</x:f>
        <x:v>d</x:v>
      </x:c>
      <x:c r="AE2010" s="12" t="str">
        <x:f>IF(OR(W2010="unavailable",Y2010="unavailable"),"不可评价",IF(AND(OR(W2010="positive",W2010="equivocal"),OR(Y2010="positive",Y2010="equivocal")),"a",IF(OR(Y2010="positive",Y2010="equivocal"),"b",IF(OR(W2010="positive",W2010="equivocal"),"c","d"))))</x:f>
        <x:v>d</x:v>
      </x:c>
      <x:c r="AF2010" s="12" t="str">
        <x:f>IF(OR(W2010="unavailable",Y2010="unavailable"),"不可评价",IF(AND(W2010="positive",Y2010="positive"),"a",IF(Y2010="positive","b",IF(W2010="positive","c","d"))))</x:f>
        <x:v>d</x:v>
      </x:c>
    </x:row>
    <x:row r="2011" ht="24" customHeight="1">
      <x:c r="A2011" s="12" t="str">
        <x:v>19287</x:v>
      </x:c>
      <x:c r="B2011" s="12" t="str">
        <x:v>12507</x:v>
      </x:c>
      <x:c r="C2011" s="21" t="n">
        <x:v>35948.47835648148</x:v>
      </x:c>
      <x:c r="D2011" s="12" t="n">
        <x:v>36</x:v>
      </x:c>
      <x:c r="E2011" s="12" t="n">
        <x:v>0</x:v>
      </x:c>
      <x:c r="F2011" s="12" t="str">
        <x:v>存在</x:v>
      </x:c>
      <x:c r="G2011" s="12" t="n">
        <x:v>0</x:v>
      </x:c>
      <x:c r="H2011" s="12" t="str">
        <x:v>{'NORM': 100.0, 'SR': 0.0}</x:v>
      </x:c>
      <x:c r="I2011" s="12" t="str">
        <x:v>[('SBRAD', 100.0), ('ABR', 100.0)]</x:v>
      </x:c>
      <x:c r="J2011" s="12" t="str">
        <x:v>ptbxl_database.csv；ecg_id=19287；scp_codes</x:v>
      </x:c>
      <x:c r="K2011" s="12" t="str">
        <x:v>12sl_statements.csv；ecg_id=19287；statements_ext_snomed</x:v>
      </x:c>
      <x:c r="L2011" s="12"/>
      <x:c r="M2011" s="12" t="str">
        <x:v>negative</x:v>
      </x:c>
      <x:c r="N2011" s="12"/>
      <x:c r="O2011" s="12" t="str">
        <x:v>negative</x:v>
      </x:c>
      <x:c r="P2011" s="12" t="str">
        <x:f>IF(OR(M2011="unavailable",O2011="unavailable"),"不可评价",IF(OR(M2011="equivocal",O2011="equivocal"),"疑似",IF(AND(M2011="positive",O2011="positive"),"a",IF(O2011="positive","b",IF(M2011="positive","c","d")))))</x:f>
        <x:v>d</x:v>
      </x:c>
      <x:c r="Q2011" s="12"/>
      <x:c r="R2011" s="12" t="str">
        <x:v>negative</x:v>
      </x:c>
      <x:c r="S2011" s="12"/>
      <x:c r="T2011" s="12" t="str">
        <x:v>negative</x:v>
      </x:c>
      <x:c r="U2011" s="12" t="str">
        <x:f>IF(OR(R2011="unavailable",T2011="unavailable"),"不可评价",IF(OR(R2011="equivocal",T2011="equivocal"),"疑似",IF(AND(R2011="positive",T2011="positive"),"a",IF(T2011="positive","b",IF(R2011="positive","c","d")))))</x:f>
        <x:v>d</x:v>
      </x:c>
      <x:c r="V2011" s="12"/>
      <x:c r="W2011" s="12" t="str">
        <x:v>negative</x:v>
      </x:c>
      <x:c r="X2011" s="12"/>
      <x:c r="Y2011" s="12" t="str">
        <x:v>negative</x:v>
      </x:c>
      <x:c r="Z2011" s="12" t="str">
        <x:f>IF(OR(W2011="unavailable",Y2011="unavailable"),"不可评价",IF(OR(W2011="equivocal",Y2011="equivocal"),"疑似",IF(AND(W2011="positive",Y2011="positive"),"a",IF(Y2011="positive","b",IF(W2011="positive","c","d")))))</x:f>
        <x:v>d</x:v>
      </x:c>
      <x:c r="AA2011" s="12" t="str">
        <x:f>IF(OR(M2011="unavailable",O2011="unavailable"),"不可评价",IF(AND(OR(M2011="positive",M2011="equivocal"),OR(O2011="positive",O2011="equivocal")),"a",IF(OR(O2011="positive",O2011="equivocal"),"b",IF(OR(M2011="positive",M2011="equivocal"),"c","d"))))</x:f>
        <x:v>d</x:v>
      </x:c>
      <x:c r="AB2011" s="12" t="str">
        <x:f>IF(OR(M2011="unavailable",O2011="unavailable"),"不可评价",IF(AND(M2011="positive",O2011="positive"),"a",IF(O2011="positive","b",IF(M2011="positive","c","d"))))</x:f>
        <x:v>d</x:v>
      </x:c>
      <x:c r="AC2011" s="12" t="str">
        <x:f>IF(OR(R2011="unavailable",T2011="unavailable"),"不可评价",IF(AND(OR(R2011="positive",R2011="equivocal"),OR(T2011="positive",T2011="equivocal")),"a",IF(OR(T2011="positive",T2011="equivocal"),"b",IF(OR(R2011="positive",R2011="equivocal"),"c","d"))))</x:f>
        <x:v>d</x:v>
      </x:c>
      <x:c r="AD2011" s="12" t="str">
        <x:f>IF(OR(R2011="unavailable",T2011="unavailable"),"不可评价",IF(AND(R2011="positive",T2011="positive"),"a",IF(T2011="positive","b",IF(R2011="positive","c","d"))))</x:f>
        <x:v>d</x:v>
      </x:c>
      <x:c r="AE2011" s="12" t="str">
        <x:f>IF(OR(W2011="unavailable",Y2011="unavailable"),"不可评价",IF(AND(OR(W2011="positive",W2011="equivocal"),OR(Y2011="positive",Y2011="equivocal")),"a",IF(OR(Y2011="positive",Y2011="equivocal"),"b",IF(OR(W2011="positive",W2011="equivocal"),"c","d"))))</x:f>
        <x:v>d</x:v>
      </x:c>
      <x:c r="AF2011" s="12" t="str">
        <x:f>IF(OR(W2011="unavailable",Y2011="unavailable"),"不可评价",IF(AND(W2011="positive",Y2011="positive"),"a",IF(Y2011="positive","b",IF(W2011="positive","c","d"))))</x:f>
        <x:v>d</x:v>
      </x:c>
    </x:row>
    <x:row r="2012" ht="24" customHeight="1">
      <x:c r="A2012" s="12" t="str">
        <x:v>19291</x:v>
      </x:c>
      <x:c r="B2012" s="12" t="str">
        <x:v>14328</x:v>
      </x:c>
      <x:c r="C2012" s="21" t="n">
        <x:v>35952.3037962963</x:v>
      </x:c>
      <x:c r="D2012" s="12" t="n">
        <x:v>65</x:v>
      </x:c>
      <x:c r="E2012" s="12" t="n">
        <x:v>1</x:v>
      </x:c>
      <x:c r="F2012" s="12" t="str">
        <x:v>存在</x:v>
      </x:c>
      <x:c r="G2012" s="12" t="n">
        <x:v>0</x:v>
      </x:c>
      <x:c r="H2012" s="12" t="str">
        <x:v>{'NORM': 100.0, 'SR': 0.0}</x:v>
      </x:c>
      <x:c r="I2012" s="12" t="str">
        <x:v>[('NSR', 100.0), ('SAR', 100.0), ('NML', 100.0)]</x:v>
      </x:c>
      <x:c r="J2012" s="12" t="str">
        <x:v>ptbxl_database.csv；ecg_id=19291；scp_codes</x:v>
      </x:c>
      <x:c r="K2012" s="12" t="str">
        <x:v>12sl_statements.csv；ecg_id=19291；statements_ext_snomed</x:v>
      </x:c>
      <x:c r="L2012" s="12"/>
      <x:c r="M2012" s="12" t="str">
        <x:v>negative</x:v>
      </x:c>
      <x:c r="N2012" s="12"/>
      <x:c r="O2012" s="12" t="str">
        <x:v>negative</x:v>
      </x:c>
      <x:c r="P2012" s="12" t="str">
        <x:f>IF(OR(M2012="unavailable",O2012="unavailable"),"不可评价",IF(OR(M2012="equivocal",O2012="equivocal"),"疑似",IF(AND(M2012="positive",O2012="positive"),"a",IF(O2012="positive","b",IF(M2012="positive","c","d")))))</x:f>
        <x:v>d</x:v>
      </x:c>
      <x:c r="Q2012" s="12"/>
      <x:c r="R2012" s="12" t="str">
        <x:v>negative</x:v>
      </x:c>
      <x:c r="S2012" s="12"/>
      <x:c r="T2012" s="12" t="str">
        <x:v>negative</x:v>
      </x:c>
      <x:c r="U2012" s="12" t="str">
        <x:f>IF(OR(R2012="unavailable",T2012="unavailable"),"不可评价",IF(OR(R2012="equivocal",T2012="equivocal"),"疑似",IF(AND(R2012="positive",T2012="positive"),"a",IF(T2012="positive","b",IF(R2012="positive","c","d")))))</x:f>
        <x:v>d</x:v>
      </x:c>
      <x:c r="V2012" s="12"/>
      <x:c r="W2012" s="12" t="str">
        <x:v>negative</x:v>
      </x:c>
      <x:c r="X2012" s="12"/>
      <x:c r="Y2012" s="12" t="str">
        <x:v>negative</x:v>
      </x:c>
      <x:c r="Z2012" s="12" t="str">
        <x:f>IF(OR(W2012="unavailable",Y2012="unavailable"),"不可评价",IF(OR(W2012="equivocal",Y2012="equivocal"),"疑似",IF(AND(W2012="positive",Y2012="positive"),"a",IF(Y2012="positive","b",IF(W2012="positive","c","d")))))</x:f>
        <x:v>d</x:v>
      </x:c>
      <x:c r="AA2012" s="12" t="str">
        <x:f>IF(OR(M2012="unavailable",O2012="unavailable"),"不可评价",IF(AND(OR(M2012="positive",M2012="equivocal"),OR(O2012="positive",O2012="equivocal")),"a",IF(OR(O2012="positive",O2012="equivocal"),"b",IF(OR(M2012="positive",M2012="equivocal"),"c","d"))))</x:f>
        <x:v>d</x:v>
      </x:c>
      <x:c r="AB2012" s="12" t="str">
        <x:f>IF(OR(M2012="unavailable",O2012="unavailable"),"不可评价",IF(AND(M2012="positive",O2012="positive"),"a",IF(O2012="positive","b",IF(M2012="positive","c","d"))))</x:f>
        <x:v>d</x:v>
      </x:c>
      <x:c r="AC2012" s="12" t="str">
        <x:f>IF(OR(R2012="unavailable",T2012="unavailable"),"不可评价",IF(AND(OR(R2012="positive",R2012="equivocal"),OR(T2012="positive",T2012="equivocal")),"a",IF(OR(T2012="positive",T2012="equivocal"),"b",IF(OR(R2012="positive",R2012="equivocal"),"c","d"))))</x:f>
        <x:v>d</x:v>
      </x:c>
      <x:c r="AD2012" s="12" t="str">
        <x:f>IF(OR(R2012="unavailable",T2012="unavailable"),"不可评价",IF(AND(R2012="positive",T2012="positive"),"a",IF(T2012="positive","b",IF(R2012="positive","c","d"))))</x:f>
        <x:v>d</x:v>
      </x:c>
      <x:c r="AE2012" s="12" t="str">
        <x:f>IF(OR(W2012="unavailable",Y2012="unavailable"),"不可评价",IF(AND(OR(W2012="positive",W2012="equivocal"),OR(Y2012="positive",Y2012="equivocal")),"a",IF(OR(Y2012="positive",Y2012="equivocal"),"b",IF(OR(W2012="positive",W2012="equivocal"),"c","d"))))</x:f>
        <x:v>d</x:v>
      </x:c>
      <x:c r="AF2012" s="12" t="str">
        <x:f>IF(OR(W2012="unavailable",Y2012="unavailable"),"不可评价",IF(AND(W2012="positive",Y2012="positive"),"a",IF(Y2012="positive","b",IF(W2012="positive","c","d"))))</x:f>
        <x:v>d</x:v>
      </x:c>
    </x:row>
    <x:row r="2013" ht="24" customHeight="1">
      <x:c r="A2013" s="12" t="str">
        <x:v>19293</x:v>
      </x:c>
      <x:c r="B2013" s="12" t="str">
        <x:v>18850</x:v>
      </x:c>
      <x:c r="C2013" s="21" t="n">
        <x:v>35952.66863425926</x:v>
      </x:c>
      <x:c r="D2013" s="12" t="n">
        <x:v>57</x:v>
      </x:c>
      <x:c r="E2013" s="12" t="n">
        <x:v>0</x:v>
      </x:c>
      <x:c r="F2013" s="12" t="str">
        <x:v>未记录</x:v>
      </x:c>
      <x:c r="G2013" s="12" t="n">
        <x:v>1</x:v>
      </x:c>
      <x:c r="H2013" s="12" t="str">
        <x:v>{'NORM': 100.0, 'SR': 0.0}</x:v>
      </x:c>
      <x:c r="I2013" s="12" t="str">
        <x:v>[('NSR', 100.0), ('NML', 100.0)]</x:v>
      </x:c>
      <x:c r="J2013" s="12" t="str">
        <x:v>ptbxl_database.csv；ecg_id=19293；scp_codes</x:v>
      </x:c>
      <x:c r="K2013" s="12" t="str">
        <x:v>12sl_statements.csv；ecg_id=19293；statements_ext_snomed</x:v>
      </x:c>
      <x:c r="L2013" s="12"/>
      <x:c r="M2013" s="12" t="str">
        <x:v>negative</x:v>
      </x:c>
      <x:c r="N2013" s="12"/>
      <x:c r="O2013" s="12" t="str">
        <x:v>negative</x:v>
      </x:c>
      <x:c r="P2013" s="12" t="str">
        <x:f>IF(OR(M2013="unavailable",O2013="unavailable"),"不可评价",IF(OR(M2013="equivocal",O2013="equivocal"),"疑似",IF(AND(M2013="positive",O2013="positive"),"a",IF(O2013="positive","b",IF(M2013="positive","c","d")))))</x:f>
        <x:v>d</x:v>
      </x:c>
      <x:c r="Q2013" s="12"/>
      <x:c r="R2013" s="12" t="str">
        <x:v>negative</x:v>
      </x:c>
      <x:c r="S2013" s="12"/>
      <x:c r="T2013" s="12" t="str">
        <x:v>negative</x:v>
      </x:c>
      <x:c r="U2013" s="12" t="str">
        <x:f>IF(OR(R2013="unavailable",T2013="unavailable"),"不可评价",IF(OR(R2013="equivocal",T2013="equivocal"),"疑似",IF(AND(R2013="positive",T2013="positive"),"a",IF(T2013="positive","b",IF(R2013="positive","c","d")))))</x:f>
        <x:v>d</x:v>
      </x:c>
      <x:c r="V2013" s="12"/>
      <x:c r="W2013" s="12" t="str">
        <x:v>negative</x:v>
      </x:c>
      <x:c r="X2013" s="12"/>
      <x:c r="Y2013" s="12" t="str">
        <x:v>negative</x:v>
      </x:c>
      <x:c r="Z2013" s="12" t="str">
        <x:f>IF(OR(W2013="unavailable",Y2013="unavailable"),"不可评价",IF(OR(W2013="equivocal",Y2013="equivocal"),"疑似",IF(AND(W2013="positive",Y2013="positive"),"a",IF(Y2013="positive","b",IF(W2013="positive","c","d")))))</x:f>
        <x:v>d</x:v>
      </x:c>
      <x:c r="AA2013" s="12" t="str">
        <x:f>IF(OR(M2013="unavailable",O2013="unavailable"),"不可评价",IF(AND(OR(M2013="positive",M2013="equivocal"),OR(O2013="positive",O2013="equivocal")),"a",IF(OR(O2013="positive",O2013="equivocal"),"b",IF(OR(M2013="positive",M2013="equivocal"),"c","d"))))</x:f>
        <x:v>d</x:v>
      </x:c>
      <x:c r="AB2013" s="12" t="str">
        <x:f>IF(OR(M2013="unavailable",O2013="unavailable"),"不可评价",IF(AND(M2013="positive",O2013="positive"),"a",IF(O2013="positive","b",IF(M2013="positive","c","d"))))</x:f>
        <x:v>d</x:v>
      </x:c>
      <x:c r="AC2013" s="12" t="str">
        <x:f>IF(OR(R2013="unavailable",T2013="unavailable"),"不可评价",IF(AND(OR(R2013="positive",R2013="equivocal"),OR(T2013="positive",T2013="equivocal")),"a",IF(OR(T2013="positive",T2013="equivocal"),"b",IF(OR(R2013="positive",R2013="equivocal"),"c","d"))))</x:f>
        <x:v>d</x:v>
      </x:c>
      <x:c r="AD2013" s="12" t="str">
        <x:f>IF(OR(R2013="unavailable",T2013="unavailable"),"不可评价",IF(AND(R2013="positive",T2013="positive"),"a",IF(T2013="positive","b",IF(R2013="positive","c","d"))))</x:f>
        <x:v>d</x:v>
      </x:c>
      <x:c r="AE2013" s="12" t="str">
        <x:f>IF(OR(W2013="unavailable",Y2013="unavailable"),"不可评价",IF(AND(OR(W2013="positive",W2013="equivocal"),OR(Y2013="positive",Y2013="equivocal")),"a",IF(OR(Y2013="positive",Y2013="equivocal"),"b",IF(OR(W2013="positive",W2013="equivocal"),"c","d"))))</x:f>
        <x:v>d</x:v>
      </x:c>
      <x:c r="AF2013" s="12" t="str">
        <x:f>IF(OR(W2013="unavailable",Y2013="unavailable"),"不可评价",IF(AND(W2013="positive",Y2013="positive"),"a",IF(Y2013="positive","b",IF(W2013="positive","c","d"))))</x:f>
        <x:v>d</x:v>
      </x:c>
    </x:row>
    <x:row r="2014" ht="24" customHeight="1">
      <x:c r="A2014" s="12" t="str">
        <x:v>19305</x:v>
      </x:c>
      <x:c r="B2014" s="12" t="str">
        <x:v>15115</x:v>
      </x:c>
      <x:c r="C2014" s="21" t="n">
        <x:v>35957.604317129626</x:v>
      </x:c>
      <x:c r="D2014" s="12" t="n">
        <x:v>73</x:v>
      </x:c>
      <x:c r="E2014" s="12" t="n">
        <x:v>0</x:v>
      </x:c>
      <x:c r="F2014" s="12" t="str">
        <x:v>存在</x:v>
      </x:c>
      <x:c r="G2014" s="12" t="n">
        <x:v>1</x:v>
      </x:c>
      <x:c r="H2014" s="12" t="str">
        <x:v>{'LAFB': 100.0, 'AFIB': 0.0}</x:v>
      </x:c>
      <x:c r="I2014" s="12" t="str">
        <x:v>[('AFIB', 100.0), ('LBBB', 100.0), ('AB', 100.0)]</x:v>
      </x:c>
      <x:c r="J2014" s="12" t="str">
        <x:v>ptbxl_database.csv；ecg_id=19305；scp_codes</x:v>
      </x:c>
      <x:c r="K2014" s="12" t="str">
        <x:v>12sl_statements.csv；ecg_id=19305；statements_ext_snomed</x:v>
      </x:c>
      <x:c r="L2014" s="12" t="n">
        <x:v>0</x:v>
      </x:c>
      <x:c r="M2014" s="12" t="str">
        <x:v>positive</x:v>
      </x:c>
      <x:c r="N2014" s="12" t="n">
        <x:v>100</x:v>
      </x:c>
      <x:c r="O2014" s="12" t="str">
        <x:v>positive</x:v>
      </x:c>
      <x:c r="P2014" s="12" t="str">
        <x:f>IF(OR(M2014="unavailable",O2014="unavailable"),"不可评价",IF(OR(M2014="equivocal",O2014="equivocal"),"疑似",IF(AND(M2014="positive",O2014="positive"),"a",IF(O2014="positive","b",IF(M2014="positive","c","d")))))</x:f>
        <x:v>a</x:v>
      </x:c>
      <x:c r="Q2014" s="12"/>
      <x:c r="R2014" s="12" t="str">
        <x:v>negative</x:v>
      </x:c>
      <x:c r="S2014" s="12" t="n">
        <x:v>100</x:v>
      </x:c>
      <x:c r="T2014" s="12" t="str">
        <x:v>positive</x:v>
      </x:c>
      <x:c r="U2014" s="12" t="str">
        <x:f>IF(OR(R2014="unavailable",T2014="unavailable"),"不可评价",IF(OR(R2014="equivocal",T2014="equivocal"),"疑似",IF(AND(R2014="positive",T2014="positive"),"a",IF(T2014="positive","b",IF(R2014="positive","c","d")))))</x:f>
        <x:v>b</x:v>
      </x:c>
      <x:c r="V2014" s="12"/>
      <x:c r="W2014" s="12" t="str">
        <x:v>negative</x:v>
      </x:c>
      <x:c r="X2014" s="12"/>
      <x:c r="Y2014" s="12" t="str">
        <x:v>negative</x:v>
      </x:c>
      <x:c r="Z2014" s="12" t="str">
        <x:f>IF(OR(W2014="unavailable",Y2014="unavailable"),"不可评价",IF(OR(W2014="equivocal",Y2014="equivocal"),"疑似",IF(AND(W2014="positive",Y2014="positive"),"a",IF(Y2014="positive","b",IF(W2014="positive","c","d")))))</x:f>
        <x:v>d</x:v>
      </x:c>
      <x:c r="AA2014" s="12" t="str">
        <x:f>IF(OR(M2014="unavailable",O2014="unavailable"),"不可评价",IF(AND(OR(M2014="positive",M2014="equivocal"),OR(O2014="positive",O2014="equivocal")),"a",IF(OR(O2014="positive",O2014="equivocal"),"b",IF(OR(M2014="positive",M2014="equivocal"),"c","d"))))</x:f>
        <x:v>a</x:v>
      </x:c>
      <x:c r="AB2014" s="12" t="str">
        <x:f>IF(OR(M2014="unavailable",O2014="unavailable"),"不可评价",IF(AND(M2014="positive",O2014="positive"),"a",IF(O2014="positive","b",IF(M2014="positive","c","d"))))</x:f>
        <x:v>a</x:v>
      </x:c>
      <x:c r="AC2014" s="12" t="str">
        <x:f>IF(OR(R2014="unavailable",T2014="unavailable"),"不可评价",IF(AND(OR(R2014="positive",R2014="equivocal"),OR(T2014="positive",T2014="equivocal")),"a",IF(OR(T2014="positive",T2014="equivocal"),"b",IF(OR(R2014="positive",R2014="equivocal"),"c","d"))))</x:f>
        <x:v>b</x:v>
      </x:c>
      <x:c r="AD2014" s="12" t="str">
        <x:f>IF(OR(R2014="unavailable",T2014="unavailable"),"不可评价",IF(AND(R2014="positive",T2014="positive"),"a",IF(T2014="positive","b",IF(R2014="positive","c","d"))))</x:f>
        <x:v>b</x:v>
      </x:c>
      <x:c r="AE2014" s="12" t="str">
        <x:f>IF(OR(W2014="unavailable",Y2014="unavailable"),"不可评价",IF(AND(OR(W2014="positive",W2014="equivocal"),OR(Y2014="positive",Y2014="equivocal")),"a",IF(OR(Y2014="positive",Y2014="equivocal"),"b",IF(OR(W2014="positive",W2014="equivocal"),"c","d"))))</x:f>
        <x:v>d</x:v>
      </x:c>
      <x:c r="AF2014" s="12" t="str">
        <x:f>IF(OR(W2014="unavailable",Y2014="unavailable"),"不可评价",IF(AND(W2014="positive",Y2014="positive"),"a",IF(Y2014="positive","b",IF(W2014="positive","c","d"))))</x:f>
        <x:v>d</x:v>
      </x:c>
    </x:row>
    <x:row r="2015" ht="24" customHeight="1">
      <x:c r="A2015" s="12" t="str">
        <x:v>19314</x:v>
      </x:c>
      <x:c r="B2015" s="12" t="str">
        <x:v>19831</x:v>
      </x:c>
      <x:c r="C2015" s="21" t="n">
        <x:v>35963.572175925925</x:v>
      </x:c>
      <x:c r="D2015" s="12" t="n">
        <x:v>54</x:v>
      </x:c>
      <x:c r="E2015" s="12" t="n">
        <x:v>0</x:v>
      </x:c>
      <x:c r="F2015" s="12" t="str">
        <x:v>未记录</x:v>
      </x:c>
      <x:c r="G2015" s="12" t="n">
        <x:v>0</x:v>
      </x:c>
      <x:c r="H2015" s="12" t="str">
        <x:v>{'NORM': 80.0, 'SR': 0.0}</x:v>
      </x:c>
      <x:c r="I2015" s="12" t="str">
        <x:v>[('NSR', 100.0), ('NML', 100.0)]</x:v>
      </x:c>
      <x:c r="J2015" s="12" t="str">
        <x:v>ptbxl_database.csv；ecg_id=19314；scp_codes</x:v>
      </x:c>
      <x:c r="K2015" s="12" t="str">
        <x:v>12sl_statements.csv；ecg_id=19314；statements_ext_snomed</x:v>
      </x:c>
      <x:c r="L2015" s="12"/>
      <x:c r="M2015" s="12" t="str">
        <x:v>negative</x:v>
      </x:c>
      <x:c r="N2015" s="12"/>
      <x:c r="O2015" s="12" t="str">
        <x:v>negative</x:v>
      </x:c>
      <x:c r="P2015" s="12" t="str">
        <x:f>IF(OR(M2015="unavailable",O2015="unavailable"),"不可评价",IF(OR(M2015="equivocal",O2015="equivocal"),"疑似",IF(AND(M2015="positive",O2015="positive"),"a",IF(O2015="positive","b",IF(M2015="positive","c","d")))))</x:f>
        <x:v>d</x:v>
      </x:c>
      <x:c r="Q2015" s="12"/>
      <x:c r="R2015" s="12" t="str">
        <x:v>negative</x:v>
      </x:c>
      <x:c r="S2015" s="12"/>
      <x:c r="T2015" s="12" t="str">
        <x:v>negative</x:v>
      </x:c>
      <x:c r="U2015" s="12" t="str">
        <x:f>IF(OR(R2015="unavailable",T2015="unavailable"),"不可评价",IF(OR(R2015="equivocal",T2015="equivocal"),"疑似",IF(AND(R2015="positive",T2015="positive"),"a",IF(T2015="positive","b",IF(R2015="positive","c","d")))))</x:f>
        <x:v>d</x:v>
      </x:c>
      <x:c r="V2015" s="12"/>
      <x:c r="W2015" s="12" t="str">
        <x:v>negative</x:v>
      </x:c>
      <x:c r="X2015" s="12"/>
      <x:c r="Y2015" s="12" t="str">
        <x:v>negative</x:v>
      </x:c>
      <x:c r="Z2015" s="12" t="str">
        <x:f>IF(OR(W2015="unavailable",Y2015="unavailable"),"不可评价",IF(OR(W2015="equivocal",Y2015="equivocal"),"疑似",IF(AND(W2015="positive",Y2015="positive"),"a",IF(Y2015="positive","b",IF(W2015="positive","c","d")))))</x:f>
        <x:v>d</x:v>
      </x:c>
      <x:c r="AA2015" s="12" t="str">
        <x:f>IF(OR(M2015="unavailable",O2015="unavailable"),"不可评价",IF(AND(OR(M2015="positive",M2015="equivocal"),OR(O2015="positive",O2015="equivocal")),"a",IF(OR(O2015="positive",O2015="equivocal"),"b",IF(OR(M2015="positive",M2015="equivocal"),"c","d"))))</x:f>
        <x:v>d</x:v>
      </x:c>
      <x:c r="AB2015" s="12" t="str">
        <x:f>IF(OR(M2015="unavailable",O2015="unavailable"),"不可评价",IF(AND(M2015="positive",O2015="positive"),"a",IF(O2015="positive","b",IF(M2015="positive","c","d"))))</x:f>
        <x:v>d</x:v>
      </x:c>
      <x:c r="AC2015" s="12" t="str">
        <x:f>IF(OR(R2015="unavailable",T2015="unavailable"),"不可评价",IF(AND(OR(R2015="positive",R2015="equivocal"),OR(T2015="positive",T2015="equivocal")),"a",IF(OR(T2015="positive",T2015="equivocal"),"b",IF(OR(R2015="positive",R2015="equivocal"),"c","d"))))</x:f>
        <x:v>d</x:v>
      </x:c>
      <x:c r="AD2015" s="12" t="str">
        <x:f>IF(OR(R2015="unavailable",T2015="unavailable"),"不可评价",IF(AND(R2015="positive",T2015="positive"),"a",IF(T2015="positive","b",IF(R2015="positive","c","d"))))</x:f>
        <x:v>d</x:v>
      </x:c>
      <x:c r="AE2015" s="12" t="str">
        <x:f>IF(OR(W2015="unavailable",Y2015="unavailable"),"不可评价",IF(AND(OR(W2015="positive",W2015="equivocal"),OR(Y2015="positive",Y2015="equivocal")),"a",IF(OR(Y2015="positive",Y2015="equivocal"),"b",IF(OR(W2015="positive",W2015="equivocal"),"c","d"))))</x:f>
        <x:v>d</x:v>
      </x:c>
      <x:c r="AF2015" s="12" t="str">
        <x:f>IF(OR(W2015="unavailable",Y2015="unavailable"),"不可评价",IF(AND(W2015="positive",Y2015="positive"),"a",IF(Y2015="positive","b",IF(W2015="positive","c","d"))))</x:f>
        <x:v>d</x:v>
      </x:c>
    </x:row>
    <x:row r="2016" ht="24" customHeight="1">
      <x:c r="A2016" s="12" t="str">
        <x:v>19316</x:v>
      </x:c>
      <x:c r="B2016" s="12" t="str">
        <x:v>16839</x:v>
      </x:c>
      <x:c r="C2016" s="21" t="n">
        <x:v>35964.48511574074</x:v>
      </x:c>
      <x:c r="D2016" s="12" t="n">
        <x:v>60</x:v>
      </x:c>
      <x:c r="E2016" s="12" t="n">
        <x:v>0</x:v>
      </x:c>
      <x:c r="F2016" s="12" t="str">
        <x:v>未记录</x:v>
      </x:c>
      <x:c r="G2016" s="12" t="n">
        <x:v>1</x:v>
      </x:c>
      <x:c r="H2016" s="12" t="str">
        <x:v>{'IMI': 100.0, 'ABQRS': 0.0, 'STACH': 0.0}</x:v>
      </x:c>
      <x:c r="I2016" s="12" t="str">
        <x:v>[('STACH', 100.0), ('LAD3', 100.0), ('NT', 100.0), ('AB', 100.0)]</x:v>
      </x:c>
      <x:c r="J2016" s="12" t="str">
        <x:v>ptbxl_database.csv；ecg_id=19316；scp_codes</x:v>
      </x:c>
      <x:c r="K2016" s="12" t="str">
        <x:v>12sl_statements.csv；ecg_id=19316；statements_ext_snomed</x:v>
      </x:c>
      <x:c r="L2016" s="12"/>
      <x:c r="M2016" s="12" t="str">
        <x:v>negative</x:v>
      </x:c>
      <x:c r="N2016" s="12"/>
      <x:c r="O2016" s="12" t="str">
        <x:v>negative</x:v>
      </x:c>
      <x:c r="P2016" s="12" t="str">
        <x:f>IF(OR(M2016="unavailable",O2016="unavailable"),"不可评价",IF(OR(M2016="equivocal",O2016="equivocal"),"疑似",IF(AND(M2016="positive",O2016="positive"),"a",IF(O2016="positive","b",IF(M2016="positive","c","d")))))</x:f>
        <x:v>d</x:v>
      </x:c>
      <x:c r="Q2016" s="12"/>
      <x:c r="R2016" s="12" t="str">
        <x:v>negative</x:v>
      </x:c>
      <x:c r="S2016" s="12"/>
      <x:c r="T2016" s="12" t="str">
        <x:v>negative</x:v>
      </x:c>
      <x:c r="U2016" s="12" t="str">
        <x:f>IF(OR(R2016="unavailable",T2016="unavailable"),"不可评价",IF(OR(R2016="equivocal",T2016="equivocal"),"疑似",IF(AND(R2016="positive",T2016="positive"),"a",IF(T2016="positive","b",IF(R2016="positive","c","d")))))</x:f>
        <x:v>d</x:v>
      </x:c>
      <x:c r="V2016" s="12"/>
      <x:c r="W2016" s="12" t="str">
        <x:v>negative</x:v>
      </x:c>
      <x:c r="X2016" s="12"/>
      <x:c r="Y2016" s="12" t="str">
        <x:v>negative</x:v>
      </x:c>
      <x:c r="Z2016" s="12" t="str">
        <x:f>IF(OR(W2016="unavailable",Y2016="unavailable"),"不可评价",IF(OR(W2016="equivocal",Y2016="equivocal"),"疑似",IF(AND(W2016="positive",Y2016="positive"),"a",IF(Y2016="positive","b",IF(W2016="positive","c","d")))))</x:f>
        <x:v>d</x:v>
      </x:c>
      <x:c r="AA2016" s="12" t="str">
        <x:f>IF(OR(M2016="unavailable",O2016="unavailable"),"不可评价",IF(AND(OR(M2016="positive",M2016="equivocal"),OR(O2016="positive",O2016="equivocal")),"a",IF(OR(O2016="positive",O2016="equivocal"),"b",IF(OR(M2016="positive",M2016="equivocal"),"c","d"))))</x:f>
        <x:v>d</x:v>
      </x:c>
      <x:c r="AB2016" s="12" t="str">
        <x:f>IF(OR(M2016="unavailable",O2016="unavailable"),"不可评价",IF(AND(M2016="positive",O2016="positive"),"a",IF(O2016="positive","b",IF(M2016="positive","c","d"))))</x:f>
        <x:v>d</x:v>
      </x:c>
      <x:c r="AC2016" s="12" t="str">
        <x:f>IF(OR(R2016="unavailable",T2016="unavailable"),"不可评价",IF(AND(OR(R2016="positive",R2016="equivocal"),OR(T2016="positive",T2016="equivocal")),"a",IF(OR(T2016="positive",T2016="equivocal"),"b",IF(OR(R2016="positive",R2016="equivocal"),"c","d"))))</x:f>
        <x:v>d</x:v>
      </x:c>
      <x:c r="AD2016" s="12" t="str">
        <x:f>IF(OR(R2016="unavailable",T2016="unavailable"),"不可评价",IF(AND(R2016="positive",T2016="positive"),"a",IF(T2016="positive","b",IF(R2016="positive","c","d"))))</x:f>
        <x:v>d</x:v>
      </x:c>
      <x:c r="AE2016" s="12" t="str">
        <x:f>IF(OR(W2016="unavailable",Y2016="unavailable"),"不可评价",IF(AND(OR(W2016="positive",W2016="equivocal"),OR(Y2016="positive",Y2016="equivocal")),"a",IF(OR(Y2016="positive",Y2016="equivocal"),"b",IF(OR(W2016="positive",W2016="equivocal"),"c","d"))))</x:f>
        <x:v>d</x:v>
      </x:c>
      <x:c r="AF2016" s="12" t="str">
        <x:f>IF(OR(W2016="unavailable",Y2016="unavailable"),"不可评价",IF(AND(W2016="positive",Y2016="positive"),"a",IF(Y2016="positive","b",IF(W2016="positive","c","d"))))</x:f>
        <x:v>d</x:v>
      </x:c>
    </x:row>
    <x:row r="2017" ht="24" customHeight="1">
      <x:c r="A2017" s="12" t="str">
        <x:v>19324</x:v>
      </x:c>
      <x:c r="B2017" s="12" t="str">
        <x:v>9789</x:v>
      </x:c>
      <x:c r="C2017" s="21" t="n">
        <x:v>35968.49796296296</x:v>
      </x:c>
      <x:c r="D2017" s="12" t="n">
        <x:v>42</x:v>
      </x:c>
      <x:c r="E2017" s="12" t="n">
        <x:v>0</x:v>
      </x:c>
      <x:c r="F2017" s="12" t="str">
        <x:v>未记录</x:v>
      </x:c>
      <x:c r="G2017" s="12" t="n">
        <x:v>1</x:v>
      </x:c>
      <x:c r="H2017" s="12" t="str">
        <x:v>{'NORM': 100.0, 'SR': 0.0}</x:v>
      </x:c>
      <x:c r="I2017" s="12" t="str">
        <x:v>[('NSR', 100.0), ('NML', 100.0)]</x:v>
      </x:c>
      <x:c r="J2017" s="12" t="str">
        <x:v>ptbxl_database.csv；ecg_id=19324；scp_codes</x:v>
      </x:c>
      <x:c r="K2017" s="12" t="str">
        <x:v>12sl_statements.csv；ecg_id=19324；statements_ext_snomed</x:v>
      </x:c>
      <x:c r="L2017" s="12"/>
      <x:c r="M2017" s="12" t="str">
        <x:v>negative</x:v>
      </x:c>
      <x:c r="N2017" s="12"/>
      <x:c r="O2017" s="12" t="str">
        <x:v>negative</x:v>
      </x:c>
      <x:c r="P2017" s="12" t="str">
        <x:f>IF(OR(M2017="unavailable",O2017="unavailable"),"不可评价",IF(OR(M2017="equivocal",O2017="equivocal"),"疑似",IF(AND(M2017="positive",O2017="positive"),"a",IF(O2017="positive","b",IF(M2017="positive","c","d")))))</x:f>
        <x:v>d</x:v>
      </x:c>
      <x:c r="Q2017" s="12"/>
      <x:c r="R2017" s="12" t="str">
        <x:v>negative</x:v>
      </x:c>
      <x:c r="S2017" s="12"/>
      <x:c r="T2017" s="12" t="str">
        <x:v>negative</x:v>
      </x:c>
      <x:c r="U2017" s="12" t="str">
        <x:f>IF(OR(R2017="unavailable",T2017="unavailable"),"不可评价",IF(OR(R2017="equivocal",T2017="equivocal"),"疑似",IF(AND(R2017="positive",T2017="positive"),"a",IF(T2017="positive","b",IF(R2017="positive","c","d")))))</x:f>
        <x:v>d</x:v>
      </x:c>
      <x:c r="V2017" s="12"/>
      <x:c r="W2017" s="12" t="str">
        <x:v>negative</x:v>
      </x:c>
      <x:c r="X2017" s="12"/>
      <x:c r="Y2017" s="12" t="str">
        <x:v>negative</x:v>
      </x:c>
      <x:c r="Z2017" s="12" t="str">
        <x:f>IF(OR(W2017="unavailable",Y2017="unavailable"),"不可评价",IF(OR(W2017="equivocal",Y2017="equivocal"),"疑似",IF(AND(W2017="positive",Y2017="positive"),"a",IF(Y2017="positive","b",IF(W2017="positive","c","d")))))</x:f>
        <x:v>d</x:v>
      </x:c>
      <x:c r="AA2017" s="12" t="str">
        <x:f>IF(OR(M2017="unavailable",O2017="unavailable"),"不可评价",IF(AND(OR(M2017="positive",M2017="equivocal"),OR(O2017="positive",O2017="equivocal")),"a",IF(OR(O2017="positive",O2017="equivocal"),"b",IF(OR(M2017="positive",M2017="equivocal"),"c","d"))))</x:f>
        <x:v>d</x:v>
      </x:c>
      <x:c r="AB2017" s="12" t="str">
        <x:f>IF(OR(M2017="unavailable",O2017="unavailable"),"不可评价",IF(AND(M2017="positive",O2017="positive"),"a",IF(O2017="positive","b",IF(M2017="positive","c","d"))))</x:f>
        <x:v>d</x:v>
      </x:c>
      <x:c r="AC2017" s="12" t="str">
        <x:f>IF(OR(R2017="unavailable",T2017="unavailable"),"不可评价",IF(AND(OR(R2017="positive",R2017="equivocal"),OR(T2017="positive",T2017="equivocal")),"a",IF(OR(T2017="positive",T2017="equivocal"),"b",IF(OR(R2017="positive",R2017="equivocal"),"c","d"))))</x:f>
        <x:v>d</x:v>
      </x:c>
      <x:c r="AD2017" s="12" t="str">
        <x:f>IF(OR(R2017="unavailable",T2017="unavailable"),"不可评价",IF(AND(R2017="positive",T2017="positive"),"a",IF(T2017="positive","b",IF(R2017="positive","c","d"))))</x:f>
        <x:v>d</x:v>
      </x:c>
      <x:c r="AE2017" s="12" t="str">
        <x:f>IF(OR(W2017="unavailable",Y2017="unavailable"),"不可评价",IF(AND(OR(W2017="positive",W2017="equivocal"),OR(Y2017="positive",Y2017="equivocal")),"a",IF(OR(Y2017="positive",Y2017="equivocal"),"b",IF(OR(W2017="positive",W2017="equivocal"),"c","d"))))</x:f>
        <x:v>d</x:v>
      </x:c>
      <x:c r="AF2017" s="12" t="str">
        <x:f>IF(OR(W2017="unavailable",Y2017="unavailable"),"不可评价",IF(AND(W2017="positive",Y2017="positive"),"a",IF(Y2017="positive","b",IF(W2017="positive","c","d"))))</x:f>
        <x:v>d</x:v>
      </x:c>
    </x:row>
    <x:row r="2018" ht="24" customHeight="1">
      <x:c r="A2018" s="12" t="str">
        <x:v>19328</x:v>
      </x:c>
      <x:c r="B2018" s="12" t="str">
        <x:v>9875</x:v>
      </x:c>
      <x:c r="C2018" s="21" t="n">
        <x:v>35969.63810185185</x:v>
      </x:c>
      <x:c r="D2018" s="12" t="n">
        <x:v>67</x:v>
      </x:c>
      <x:c r="E2018" s="12" t="n">
        <x:v>0</x:v>
      </x:c>
      <x:c r="F2018" s="12" t="str">
        <x:v>未记录</x:v>
      </x:c>
      <x:c r="G2018" s="12" t="n">
        <x:v>1</x:v>
      </x:c>
      <x:c r="H2018" s="12" t="str">
        <x:v>{'ISCAL': 50.0, 'ISCIL': 50.0, 'AFIB': 0.0}</x:v>
      </x:c>
      <x:c r="I2018" s="12" t="str">
        <x:v>[('AFIB', 100.0), ('ABER', 100.0), ('NSTT', 100.0), ('LNGQT', 100.0), ('AB', 100.0)]</x:v>
      </x:c>
      <x:c r="J2018" s="12" t="str">
        <x:v>ptbxl_database.csv；ecg_id=19328；scp_codes</x:v>
      </x:c>
      <x:c r="K2018" s="12" t="str">
        <x:v>12sl_statements.csv；ecg_id=19328；statements_ext_snomed</x:v>
      </x:c>
      <x:c r="L2018" s="12" t="n">
        <x:v>0</x:v>
      </x:c>
      <x:c r="M2018" s="12" t="str">
        <x:v>positive</x:v>
      </x:c>
      <x:c r="N2018" s="12" t="n">
        <x:v>100</x:v>
      </x:c>
      <x:c r="O2018" s="12" t="str">
        <x:v>positive</x:v>
      </x:c>
      <x:c r="P2018" s="12" t="str">
        <x:f>IF(OR(M2018="unavailable",O2018="unavailable"),"不可评价",IF(OR(M2018="equivocal",O2018="equivocal"),"疑似",IF(AND(M2018="positive",O2018="positive"),"a",IF(O2018="positive","b",IF(M2018="positive","c","d")))))</x:f>
        <x:v>a</x:v>
      </x:c>
      <x:c r="Q2018" s="12"/>
      <x:c r="R2018" s="12" t="str">
        <x:v>negative</x:v>
      </x:c>
      <x:c r="S2018" s="12"/>
      <x:c r="T2018" s="12" t="str">
        <x:v>negative</x:v>
      </x:c>
      <x:c r="U2018" s="12" t="str">
        <x:f>IF(OR(R2018="unavailable",T2018="unavailable"),"不可评价",IF(OR(R2018="equivocal",T2018="equivocal"),"疑似",IF(AND(R2018="positive",T2018="positive"),"a",IF(T2018="positive","b",IF(R2018="positive","c","d")))))</x:f>
        <x:v>d</x:v>
      </x:c>
      <x:c r="V2018" s="12"/>
      <x:c r="W2018" s="12" t="str">
        <x:v>negative</x:v>
      </x:c>
      <x:c r="X2018" s="12"/>
      <x:c r="Y2018" s="12" t="str">
        <x:v>negative</x:v>
      </x:c>
      <x:c r="Z2018" s="12" t="str">
        <x:f>IF(OR(W2018="unavailable",Y2018="unavailable"),"不可评价",IF(OR(W2018="equivocal",Y2018="equivocal"),"疑似",IF(AND(W2018="positive",Y2018="positive"),"a",IF(Y2018="positive","b",IF(W2018="positive","c","d")))))</x:f>
        <x:v>d</x:v>
      </x:c>
      <x:c r="AA2018" s="12" t="str">
        <x:f>IF(OR(M2018="unavailable",O2018="unavailable"),"不可评价",IF(AND(OR(M2018="positive",M2018="equivocal"),OR(O2018="positive",O2018="equivocal")),"a",IF(OR(O2018="positive",O2018="equivocal"),"b",IF(OR(M2018="positive",M2018="equivocal"),"c","d"))))</x:f>
        <x:v>a</x:v>
      </x:c>
      <x:c r="AB2018" s="12" t="str">
        <x:f>IF(OR(M2018="unavailable",O2018="unavailable"),"不可评价",IF(AND(M2018="positive",O2018="positive"),"a",IF(O2018="positive","b",IF(M2018="positive","c","d"))))</x:f>
        <x:v>a</x:v>
      </x:c>
      <x:c r="AC2018" s="12" t="str">
        <x:f>IF(OR(R2018="unavailable",T2018="unavailable"),"不可评价",IF(AND(OR(R2018="positive",R2018="equivocal"),OR(T2018="positive",T2018="equivocal")),"a",IF(OR(T2018="positive",T2018="equivocal"),"b",IF(OR(R2018="positive",R2018="equivocal"),"c","d"))))</x:f>
        <x:v>d</x:v>
      </x:c>
      <x:c r="AD2018" s="12" t="str">
        <x:f>IF(OR(R2018="unavailable",T2018="unavailable"),"不可评价",IF(AND(R2018="positive",T2018="positive"),"a",IF(T2018="positive","b",IF(R2018="positive","c","d"))))</x:f>
        <x:v>d</x:v>
      </x:c>
      <x:c r="AE2018" s="12" t="str">
        <x:f>IF(OR(W2018="unavailable",Y2018="unavailable"),"不可评价",IF(AND(OR(W2018="positive",W2018="equivocal"),OR(Y2018="positive",Y2018="equivocal")),"a",IF(OR(Y2018="positive",Y2018="equivocal"),"b",IF(OR(W2018="positive",W2018="equivocal"),"c","d"))))</x:f>
        <x:v>d</x:v>
      </x:c>
      <x:c r="AF2018" s="12" t="str">
        <x:f>IF(OR(W2018="unavailable",Y2018="unavailable"),"不可评价",IF(AND(W2018="positive",Y2018="positive"),"a",IF(Y2018="positive","b",IF(W2018="positive","c","d"))))</x:f>
        <x:v>d</x:v>
      </x:c>
    </x:row>
    <x:row r="2019" ht="24" customHeight="1">
      <x:c r="A2019" s="12" t="str">
        <x:v>19330</x:v>
      </x:c>
      <x:c r="B2019" s="12" t="str">
        <x:v>18837</x:v>
      </x:c>
      <x:c r="C2019" s="21" t="n">
        <x:v>35971.54969907407</x:v>
      </x:c>
      <x:c r="D2019" s="12" t="n">
        <x:v>69</x:v>
      </x:c>
      <x:c r="E2019" s="12" t="n">
        <x:v>0</x:v>
      </x:c>
      <x:c r="F2019" s="12" t="str">
        <x:v>未记录</x:v>
      </x:c>
      <x:c r="G2019" s="12" t="n">
        <x:v>0</x:v>
      </x:c>
      <x:c r="H2019" s="12" t="str">
        <x:v>{'WPW': 100.0, 'SR': 0.0}</x:v>
      </x:c>
      <x:c r="I2019" s="12" t="str">
        <x:v>[('NSR', 100.0), ('NML', 100.0)]</x:v>
      </x:c>
      <x:c r="J2019" s="12" t="str">
        <x:v>ptbxl_database.csv；ecg_id=19330；scp_codes</x:v>
      </x:c>
      <x:c r="K2019" s="12" t="str">
        <x:v>12sl_statements.csv；ecg_id=19330；statements_ext_snomed</x:v>
      </x:c>
      <x:c r="L2019" s="12"/>
      <x:c r="M2019" s="12" t="str">
        <x:v>negative</x:v>
      </x:c>
      <x:c r="N2019" s="12"/>
      <x:c r="O2019" s="12" t="str">
        <x:v>negative</x:v>
      </x:c>
      <x:c r="P2019" s="12" t="str">
        <x:f>IF(OR(M2019="unavailable",O2019="unavailable"),"不可评价",IF(OR(M2019="equivocal",O2019="equivocal"),"疑似",IF(AND(M2019="positive",O2019="positive"),"a",IF(O2019="positive","b",IF(M2019="positive","c","d")))))</x:f>
        <x:v>d</x:v>
      </x:c>
      <x:c r="Q2019" s="12"/>
      <x:c r="R2019" s="12" t="str">
        <x:v>negative</x:v>
      </x:c>
      <x:c r="S2019" s="12"/>
      <x:c r="T2019" s="12" t="str">
        <x:v>negative</x:v>
      </x:c>
      <x:c r="U2019" s="12" t="str">
        <x:f>IF(OR(R2019="unavailable",T2019="unavailable"),"不可评价",IF(OR(R2019="equivocal",T2019="equivocal"),"疑似",IF(AND(R2019="positive",T2019="positive"),"a",IF(T2019="positive","b",IF(R2019="positive","c","d")))))</x:f>
        <x:v>d</x:v>
      </x:c>
      <x:c r="V2019" s="12"/>
      <x:c r="W2019" s="12" t="str">
        <x:v>negative</x:v>
      </x:c>
      <x:c r="X2019" s="12"/>
      <x:c r="Y2019" s="12" t="str">
        <x:v>negative</x:v>
      </x:c>
      <x:c r="Z2019" s="12" t="str">
        <x:f>IF(OR(W2019="unavailable",Y2019="unavailable"),"不可评价",IF(OR(W2019="equivocal",Y2019="equivocal"),"疑似",IF(AND(W2019="positive",Y2019="positive"),"a",IF(Y2019="positive","b",IF(W2019="positive","c","d")))))</x:f>
        <x:v>d</x:v>
      </x:c>
      <x:c r="AA2019" s="12" t="str">
        <x:f>IF(OR(M2019="unavailable",O2019="unavailable"),"不可评价",IF(AND(OR(M2019="positive",M2019="equivocal"),OR(O2019="positive",O2019="equivocal")),"a",IF(OR(O2019="positive",O2019="equivocal"),"b",IF(OR(M2019="positive",M2019="equivocal"),"c","d"))))</x:f>
        <x:v>d</x:v>
      </x:c>
      <x:c r="AB2019" s="12" t="str">
        <x:f>IF(OR(M2019="unavailable",O2019="unavailable"),"不可评价",IF(AND(M2019="positive",O2019="positive"),"a",IF(O2019="positive","b",IF(M2019="positive","c","d"))))</x:f>
        <x:v>d</x:v>
      </x:c>
      <x:c r="AC2019" s="12" t="str">
        <x:f>IF(OR(R2019="unavailable",T2019="unavailable"),"不可评价",IF(AND(OR(R2019="positive",R2019="equivocal"),OR(T2019="positive",T2019="equivocal")),"a",IF(OR(T2019="positive",T2019="equivocal"),"b",IF(OR(R2019="positive",R2019="equivocal"),"c","d"))))</x:f>
        <x:v>d</x:v>
      </x:c>
      <x:c r="AD2019" s="12" t="str">
        <x:f>IF(OR(R2019="unavailable",T2019="unavailable"),"不可评价",IF(AND(R2019="positive",T2019="positive"),"a",IF(T2019="positive","b",IF(R2019="positive","c","d"))))</x:f>
        <x:v>d</x:v>
      </x:c>
      <x:c r="AE2019" s="12" t="str">
        <x:f>IF(OR(W2019="unavailable",Y2019="unavailable"),"不可评价",IF(AND(OR(W2019="positive",W2019="equivocal"),OR(Y2019="positive",Y2019="equivocal")),"a",IF(OR(Y2019="positive",Y2019="equivocal"),"b",IF(OR(W2019="positive",W2019="equivocal"),"c","d"))))</x:f>
        <x:v>d</x:v>
      </x:c>
      <x:c r="AF2019" s="12" t="str">
        <x:f>IF(OR(W2019="unavailable",Y2019="unavailable"),"不可评价",IF(AND(W2019="positive",Y2019="positive"),"a",IF(Y2019="positive","b",IF(W2019="positive","c","d"))))</x:f>
        <x:v>d</x:v>
      </x:c>
    </x:row>
    <x:row r="2020" ht="24" customHeight="1">
      <x:c r="A2020" s="12" t="str">
        <x:v>19333</x:v>
      </x:c>
      <x:c r="B2020" s="12" t="str">
        <x:v>12442</x:v>
      </x:c>
      <x:c r="C2020" s="21" t="n">
        <x:v>35972.621203703704</x:v>
      </x:c>
      <x:c r="D2020" s="12" t="n">
        <x:v>66</x:v>
      </x:c>
      <x:c r="E2020" s="12" t="n">
        <x:v>1</x:v>
      </x:c>
      <x:c r="F2020" s="12" t="str">
        <x:v>存在</x:v>
      </x:c>
      <x:c r="G2020" s="12" t="n">
        <x:v>1</x:v>
      </x:c>
      <x:c r="H2020" s="12" t="str">
        <x:v>{'NORM': 80.0, 'SR': 0.0}</x:v>
      </x:c>
      <x:c r="I2020" s="12" t="str">
        <x:v>[('NSR', 100.0), ('NML', 100.0)]</x:v>
      </x:c>
      <x:c r="J2020" s="12" t="str">
        <x:v>ptbxl_database.csv；ecg_id=19333；scp_codes</x:v>
      </x:c>
      <x:c r="K2020" s="12" t="str">
        <x:v>12sl_statements.csv；ecg_id=19333；statements_ext_snomed</x:v>
      </x:c>
      <x:c r="L2020" s="12"/>
      <x:c r="M2020" s="12" t="str">
        <x:v>negative</x:v>
      </x:c>
      <x:c r="N2020" s="12"/>
      <x:c r="O2020" s="12" t="str">
        <x:v>negative</x:v>
      </x:c>
      <x:c r="P2020" s="12" t="str">
        <x:f>IF(OR(M2020="unavailable",O2020="unavailable"),"不可评价",IF(OR(M2020="equivocal",O2020="equivocal"),"疑似",IF(AND(M2020="positive",O2020="positive"),"a",IF(O2020="positive","b",IF(M2020="positive","c","d")))))</x:f>
        <x:v>d</x:v>
      </x:c>
      <x:c r="Q2020" s="12"/>
      <x:c r="R2020" s="12" t="str">
        <x:v>negative</x:v>
      </x:c>
      <x:c r="S2020" s="12"/>
      <x:c r="T2020" s="12" t="str">
        <x:v>negative</x:v>
      </x:c>
      <x:c r="U2020" s="12" t="str">
        <x:f>IF(OR(R2020="unavailable",T2020="unavailable"),"不可评价",IF(OR(R2020="equivocal",T2020="equivocal"),"疑似",IF(AND(R2020="positive",T2020="positive"),"a",IF(T2020="positive","b",IF(R2020="positive","c","d")))))</x:f>
        <x:v>d</x:v>
      </x:c>
      <x:c r="V2020" s="12"/>
      <x:c r="W2020" s="12" t="str">
        <x:v>negative</x:v>
      </x:c>
      <x:c r="X2020" s="12"/>
      <x:c r="Y2020" s="12" t="str">
        <x:v>negative</x:v>
      </x:c>
      <x:c r="Z2020" s="12" t="str">
        <x:f>IF(OR(W2020="unavailable",Y2020="unavailable"),"不可评价",IF(OR(W2020="equivocal",Y2020="equivocal"),"疑似",IF(AND(W2020="positive",Y2020="positive"),"a",IF(Y2020="positive","b",IF(W2020="positive","c","d")))))</x:f>
        <x:v>d</x:v>
      </x:c>
      <x:c r="AA2020" s="12" t="str">
        <x:f>IF(OR(M2020="unavailable",O2020="unavailable"),"不可评价",IF(AND(OR(M2020="positive",M2020="equivocal"),OR(O2020="positive",O2020="equivocal")),"a",IF(OR(O2020="positive",O2020="equivocal"),"b",IF(OR(M2020="positive",M2020="equivocal"),"c","d"))))</x:f>
        <x:v>d</x:v>
      </x:c>
      <x:c r="AB2020" s="12" t="str">
        <x:f>IF(OR(M2020="unavailable",O2020="unavailable"),"不可评价",IF(AND(M2020="positive",O2020="positive"),"a",IF(O2020="positive","b",IF(M2020="positive","c","d"))))</x:f>
        <x:v>d</x:v>
      </x:c>
      <x:c r="AC2020" s="12" t="str">
        <x:f>IF(OR(R2020="unavailable",T2020="unavailable"),"不可评价",IF(AND(OR(R2020="positive",R2020="equivocal"),OR(T2020="positive",T2020="equivocal")),"a",IF(OR(T2020="positive",T2020="equivocal"),"b",IF(OR(R2020="positive",R2020="equivocal"),"c","d"))))</x:f>
        <x:v>d</x:v>
      </x:c>
      <x:c r="AD2020" s="12" t="str">
        <x:f>IF(OR(R2020="unavailable",T2020="unavailable"),"不可评价",IF(AND(R2020="positive",T2020="positive"),"a",IF(T2020="positive","b",IF(R2020="positive","c","d"))))</x:f>
        <x:v>d</x:v>
      </x:c>
      <x:c r="AE2020" s="12" t="str">
        <x:f>IF(OR(W2020="unavailable",Y2020="unavailable"),"不可评价",IF(AND(OR(W2020="positive",W2020="equivocal"),OR(Y2020="positive",Y2020="equivocal")),"a",IF(OR(Y2020="positive",Y2020="equivocal"),"b",IF(OR(W2020="positive",W2020="equivocal"),"c","d"))))</x:f>
        <x:v>d</x:v>
      </x:c>
      <x:c r="AF2020" s="12" t="str">
        <x:f>IF(OR(W2020="unavailable",Y2020="unavailable"),"不可评价",IF(AND(W2020="positive",Y2020="positive"),"a",IF(Y2020="positive","b",IF(W2020="positive","c","d"))))</x:f>
        <x:v>d</x:v>
      </x:c>
    </x:row>
    <x:row r="2021" ht="24" customHeight="1">
      <x:c r="A2021" s="12" t="str">
        <x:v>19334</x:v>
      </x:c>
      <x:c r="B2021" s="12" t="str">
        <x:v>12971</x:v>
      </x:c>
      <x:c r="C2021" s="21" t="n">
        <x:v>35972.63783564815</x:v>
      </x:c>
      <x:c r="D2021" s="12" t="n">
        <x:v>74</x:v>
      </x:c>
      <x:c r="E2021" s="12" t="n">
        <x:v>0</x:v>
      </x:c>
      <x:c r="F2021" s="12" t="str">
        <x:v>未记录</x:v>
      </x:c>
      <x:c r="G2021" s="12" t="n">
        <x:v>1</x:v>
      </x:c>
      <x:c r="H2021" s="12" t="str">
        <x:v>{'IMI': 80.0, 'ABQRS': 0.0, 'SR': 0.0}</x:v>
      </x:c>
      <x:c r="I2021" s="12" t="str">
        <x:v>[('NSR', 100.0), ('NML', 100.0)]</x:v>
      </x:c>
      <x:c r="J2021" s="12" t="str">
        <x:v>ptbxl_database.csv；ecg_id=19334；scp_codes</x:v>
      </x:c>
      <x:c r="K2021" s="12" t="str">
        <x:v>12sl_statements.csv；ecg_id=19334；statements_ext_snomed</x:v>
      </x:c>
      <x:c r="L2021" s="12"/>
      <x:c r="M2021" s="12" t="str">
        <x:v>negative</x:v>
      </x:c>
      <x:c r="N2021" s="12"/>
      <x:c r="O2021" s="12" t="str">
        <x:v>negative</x:v>
      </x:c>
      <x:c r="P2021" s="12" t="str">
        <x:f>IF(OR(M2021="unavailable",O2021="unavailable"),"不可评价",IF(OR(M2021="equivocal",O2021="equivocal"),"疑似",IF(AND(M2021="positive",O2021="positive"),"a",IF(O2021="positive","b",IF(M2021="positive","c","d")))))</x:f>
        <x:v>d</x:v>
      </x:c>
      <x:c r="Q2021" s="12"/>
      <x:c r="R2021" s="12" t="str">
        <x:v>negative</x:v>
      </x:c>
      <x:c r="S2021" s="12"/>
      <x:c r="T2021" s="12" t="str">
        <x:v>negative</x:v>
      </x:c>
      <x:c r="U2021" s="12" t="str">
        <x:f>IF(OR(R2021="unavailable",T2021="unavailable"),"不可评价",IF(OR(R2021="equivocal",T2021="equivocal"),"疑似",IF(AND(R2021="positive",T2021="positive"),"a",IF(T2021="positive","b",IF(R2021="positive","c","d")))))</x:f>
        <x:v>d</x:v>
      </x:c>
      <x:c r="V2021" s="12"/>
      <x:c r="W2021" s="12" t="str">
        <x:v>negative</x:v>
      </x:c>
      <x:c r="X2021" s="12"/>
      <x:c r="Y2021" s="12" t="str">
        <x:v>negative</x:v>
      </x:c>
      <x:c r="Z2021" s="12" t="str">
        <x:f>IF(OR(W2021="unavailable",Y2021="unavailable"),"不可评价",IF(OR(W2021="equivocal",Y2021="equivocal"),"疑似",IF(AND(W2021="positive",Y2021="positive"),"a",IF(Y2021="positive","b",IF(W2021="positive","c","d")))))</x:f>
        <x:v>d</x:v>
      </x:c>
      <x:c r="AA2021" s="12" t="str">
        <x:f>IF(OR(M2021="unavailable",O2021="unavailable"),"不可评价",IF(AND(OR(M2021="positive",M2021="equivocal"),OR(O2021="positive",O2021="equivocal")),"a",IF(OR(O2021="positive",O2021="equivocal"),"b",IF(OR(M2021="positive",M2021="equivocal"),"c","d"))))</x:f>
        <x:v>d</x:v>
      </x:c>
      <x:c r="AB2021" s="12" t="str">
        <x:f>IF(OR(M2021="unavailable",O2021="unavailable"),"不可评价",IF(AND(M2021="positive",O2021="positive"),"a",IF(O2021="positive","b",IF(M2021="positive","c","d"))))</x:f>
        <x:v>d</x:v>
      </x:c>
      <x:c r="AC2021" s="12" t="str">
        <x:f>IF(OR(R2021="unavailable",T2021="unavailable"),"不可评价",IF(AND(OR(R2021="positive",R2021="equivocal"),OR(T2021="positive",T2021="equivocal")),"a",IF(OR(T2021="positive",T2021="equivocal"),"b",IF(OR(R2021="positive",R2021="equivocal"),"c","d"))))</x:f>
        <x:v>d</x:v>
      </x:c>
      <x:c r="AD2021" s="12" t="str">
        <x:f>IF(OR(R2021="unavailable",T2021="unavailable"),"不可评价",IF(AND(R2021="positive",T2021="positive"),"a",IF(T2021="positive","b",IF(R2021="positive","c","d"))))</x:f>
        <x:v>d</x:v>
      </x:c>
      <x:c r="AE2021" s="12" t="str">
        <x:f>IF(OR(W2021="unavailable",Y2021="unavailable"),"不可评价",IF(AND(OR(W2021="positive",W2021="equivocal"),OR(Y2021="positive",Y2021="equivocal")),"a",IF(OR(Y2021="positive",Y2021="equivocal"),"b",IF(OR(W2021="positive",W2021="equivocal"),"c","d"))))</x:f>
        <x:v>d</x:v>
      </x:c>
      <x:c r="AF2021" s="12" t="str">
        <x:f>IF(OR(W2021="unavailable",Y2021="unavailable"),"不可评价",IF(AND(W2021="positive",Y2021="positive"),"a",IF(Y2021="positive","b",IF(W2021="positive","c","d"))))</x:f>
        <x:v>d</x:v>
      </x:c>
    </x:row>
    <x:row r="2022" ht="24" customHeight="1">
      <x:c r="A2022" s="12" t="str">
        <x:v>19345</x:v>
      </x:c>
      <x:c r="B2022" s="12" t="str">
        <x:v>12182</x:v>
      </x:c>
      <x:c r="C2022" s="21" t="n">
        <x:v>35977.62364583334</x:v>
      </x:c>
      <x:c r="D2022" s="12" t="n">
        <x:v>80</x:v>
      </x:c>
      <x:c r="E2022" s="12" t="n">
        <x:v>1</x:v>
      </x:c>
      <x:c r="F2022" s="12" t="str">
        <x:v>存在</x:v>
      </x:c>
      <x:c r="G2022" s="12" t="n">
        <x:v>0</x:v>
      </x:c>
      <x:c r="H2022" s="12" t="str">
        <x:v>{'CLBBB': 100.0, 'SR': 0.0}</x:v>
      </x:c>
      <x:c r="I2022" s="12" t="str">
        <x:v>[('NSR', 100.0), ('LBBB', 100.0), ('AB', 100.0)]</x:v>
      </x:c>
      <x:c r="J2022" s="12" t="str">
        <x:v>ptbxl_database.csv；ecg_id=19345；scp_codes</x:v>
      </x:c>
      <x:c r="K2022" s="12" t="str">
        <x:v>12sl_statements.csv；ecg_id=19345；statements_ext_snomed</x:v>
      </x:c>
      <x:c r="L2022" s="12"/>
      <x:c r="M2022" s="12" t="str">
        <x:v>negative</x:v>
      </x:c>
      <x:c r="N2022" s="12"/>
      <x:c r="O2022" s="12" t="str">
        <x:v>negative</x:v>
      </x:c>
      <x:c r="P2022" s="12" t="str">
        <x:f>IF(OR(M2022="unavailable",O2022="unavailable"),"不可评价",IF(OR(M2022="equivocal",O2022="equivocal"),"疑似",IF(AND(M2022="positive",O2022="positive"),"a",IF(O2022="positive","b",IF(M2022="positive","c","d")))))</x:f>
        <x:v>d</x:v>
      </x:c>
      <x:c r="Q2022" s="12" t="n">
        <x:v>100</x:v>
      </x:c>
      <x:c r="R2022" s="12" t="str">
        <x:v>positive</x:v>
      </x:c>
      <x:c r="S2022" s="12" t="n">
        <x:v>100</x:v>
      </x:c>
      <x:c r="T2022" s="12" t="str">
        <x:v>positive</x:v>
      </x:c>
      <x:c r="U2022" s="12" t="str">
        <x:f>IF(OR(R2022="unavailable",T2022="unavailable"),"不可评价",IF(OR(R2022="equivocal",T2022="equivocal"),"疑似",IF(AND(R2022="positive",T2022="positive"),"a",IF(T2022="positive","b",IF(R2022="positive","c","d")))))</x:f>
        <x:v>a</x:v>
      </x:c>
      <x:c r="V2022" s="12"/>
      <x:c r="W2022" s="12" t="str">
        <x:v>negative</x:v>
      </x:c>
      <x:c r="X2022" s="12"/>
      <x:c r="Y2022" s="12" t="str">
        <x:v>negative</x:v>
      </x:c>
      <x:c r="Z2022" s="12" t="str">
        <x:f>IF(OR(W2022="unavailable",Y2022="unavailable"),"不可评价",IF(OR(W2022="equivocal",Y2022="equivocal"),"疑似",IF(AND(W2022="positive",Y2022="positive"),"a",IF(Y2022="positive","b",IF(W2022="positive","c","d")))))</x:f>
        <x:v>d</x:v>
      </x:c>
      <x:c r="AA2022" s="12" t="str">
        <x:f>IF(OR(M2022="unavailable",O2022="unavailable"),"不可评价",IF(AND(OR(M2022="positive",M2022="equivocal"),OR(O2022="positive",O2022="equivocal")),"a",IF(OR(O2022="positive",O2022="equivocal"),"b",IF(OR(M2022="positive",M2022="equivocal"),"c","d"))))</x:f>
        <x:v>d</x:v>
      </x:c>
      <x:c r="AB2022" s="12" t="str">
        <x:f>IF(OR(M2022="unavailable",O2022="unavailable"),"不可评价",IF(AND(M2022="positive",O2022="positive"),"a",IF(O2022="positive","b",IF(M2022="positive","c","d"))))</x:f>
        <x:v>d</x:v>
      </x:c>
      <x:c r="AC2022" s="12" t="str">
        <x:f>IF(OR(R2022="unavailable",T2022="unavailable"),"不可评价",IF(AND(OR(R2022="positive",R2022="equivocal"),OR(T2022="positive",T2022="equivocal")),"a",IF(OR(T2022="positive",T2022="equivocal"),"b",IF(OR(R2022="positive",R2022="equivocal"),"c","d"))))</x:f>
        <x:v>a</x:v>
      </x:c>
      <x:c r="AD2022" s="12" t="str">
        <x:f>IF(OR(R2022="unavailable",T2022="unavailable"),"不可评价",IF(AND(R2022="positive",T2022="positive"),"a",IF(T2022="positive","b",IF(R2022="positive","c","d"))))</x:f>
        <x:v>a</x:v>
      </x:c>
      <x:c r="AE2022" s="12" t="str">
        <x:f>IF(OR(W2022="unavailable",Y2022="unavailable"),"不可评价",IF(AND(OR(W2022="positive",W2022="equivocal"),OR(Y2022="positive",Y2022="equivocal")),"a",IF(OR(Y2022="positive",Y2022="equivocal"),"b",IF(OR(W2022="positive",W2022="equivocal"),"c","d"))))</x:f>
        <x:v>d</x:v>
      </x:c>
      <x:c r="AF2022" s="12" t="str">
        <x:f>IF(OR(W2022="unavailable",Y2022="unavailable"),"不可评价",IF(AND(W2022="positive",Y2022="positive"),"a",IF(Y2022="positive","b",IF(W2022="positive","c","d"))))</x:f>
        <x:v>d</x:v>
      </x:c>
    </x:row>
    <x:row r="2023" ht="24" customHeight="1">
      <x:c r="A2023" s="12" t="str">
        <x:v>19350</x:v>
      </x:c>
      <x:c r="B2023" s="12" t="str">
        <x:v>16369</x:v>
      </x:c>
      <x:c r="C2023" s="21" t="n">
        <x:v>35979.384780092594</x:v>
      </x:c>
      <x:c r="D2023" s="12" t="n">
        <x:v>68</x:v>
      </x:c>
      <x:c r="E2023" s="12" t="n">
        <x:v>1</x:v>
      </x:c>
      <x:c r="F2023" s="12" t="str">
        <x:v>未记录</x:v>
      </x:c>
      <x:c r="G2023" s="12" t="n">
        <x:v>1</x:v>
      </x:c>
      <x:c r="H2023" s="12" t="str">
        <x:v>{'NORM': 100.0, 'SR': 0.0}</x:v>
      </x:c>
      <x:c r="I2023" s="12" t="str">
        <x:v>[('NSR', 100.0), ('SAR', 100.0), ('NML', 100.0)]</x:v>
      </x:c>
      <x:c r="J2023" s="12" t="str">
        <x:v>ptbxl_database.csv；ecg_id=19350；scp_codes</x:v>
      </x:c>
      <x:c r="K2023" s="12" t="str">
        <x:v>12sl_statements.csv；ecg_id=19350；statements_ext_snomed</x:v>
      </x:c>
      <x:c r="L2023" s="12"/>
      <x:c r="M2023" s="12" t="str">
        <x:v>negative</x:v>
      </x:c>
      <x:c r="N2023" s="12"/>
      <x:c r="O2023" s="12" t="str">
        <x:v>negative</x:v>
      </x:c>
      <x:c r="P2023" s="12" t="str">
        <x:f>IF(OR(M2023="unavailable",O2023="unavailable"),"不可评价",IF(OR(M2023="equivocal",O2023="equivocal"),"疑似",IF(AND(M2023="positive",O2023="positive"),"a",IF(O2023="positive","b",IF(M2023="positive","c","d")))))</x:f>
        <x:v>d</x:v>
      </x:c>
      <x:c r="Q2023" s="12"/>
      <x:c r="R2023" s="12" t="str">
        <x:v>negative</x:v>
      </x:c>
      <x:c r="S2023" s="12"/>
      <x:c r="T2023" s="12" t="str">
        <x:v>negative</x:v>
      </x:c>
      <x:c r="U2023" s="12" t="str">
        <x:f>IF(OR(R2023="unavailable",T2023="unavailable"),"不可评价",IF(OR(R2023="equivocal",T2023="equivocal"),"疑似",IF(AND(R2023="positive",T2023="positive"),"a",IF(T2023="positive","b",IF(R2023="positive","c","d")))))</x:f>
        <x:v>d</x:v>
      </x:c>
      <x:c r="V2023" s="12"/>
      <x:c r="W2023" s="12" t="str">
        <x:v>negative</x:v>
      </x:c>
      <x:c r="X2023" s="12"/>
      <x:c r="Y2023" s="12" t="str">
        <x:v>negative</x:v>
      </x:c>
      <x:c r="Z2023" s="12" t="str">
        <x:f>IF(OR(W2023="unavailable",Y2023="unavailable"),"不可评价",IF(OR(W2023="equivocal",Y2023="equivocal"),"疑似",IF(AND(W2023="positive",Y2023="positive"),"a",IF(Y2023="positive","b",IF(W2023="positive","c","d")))))</x:f>
        <x:v>d</x:v>
      </x:c>
      <x:c r="AA2023" s="12" t="str">
        <x:f>IF(OR(M2023="unavailable",O2023="unavailable"),"不可评价",IF(AND(OR(M2023="positive",M2023="equivocal"),OR(O2023="positive",O2023="equivocal")),"a",IF(OR(O2023="positive",O2023="equivocal"),"b",IF(OR(M2023="positive",M2023="equivocal"),"c","d"))))</x:f>
        <x:v>d</x:v>
      </x:c>
      <x:c r="AB2023" s="12" t="str">
        <x:f>IF(OR(M2023="unavailable",O2023="unavailable"),"不可评价",IF(AND(M2023="positive",O2023="positive"),"a",IF(O2023="positive","b",IF(M2023="positive","c","d"))))</x:f>
        <x:v>d</x:v>
      </x:c>
      <x:c r="AC2023" s="12" t="str">
        <x:f>IF(OR(R2023="unavailable",T2023="unavailable"),"不可评价",IF(AND(OR(R2023="positive",R2023="equivocal"),OR(T2023="positive",T2023="equivocal")),"a",IF(OR(T2023="positive",T2023="equivocal"),"b",IF(OR(R2023="positive",R2023="equivocal"),"c","d"))))</x:f>
        <x:v>d</x:v>
      </x:c>
      <x:c r="AD2023" s="12" t="str">
        <x:f>IF(OR(R2023="unavailable",T2023="unavailable"),"不可评价",IF(AND(R2023="positive",T2023="positive"),"a",IF(T2023="positive","b",IF(R2023="positive","c","d"))))</x:f>
        <x:v>d</x:v>
      </x:c>
      <x:c r="AE2023" s="12" t="str">
        <x:f>IF(OR(W2023="unavailable",Y2023="unavailable"),"不可评价",IF(AND(OR(W2023="positive",W2023="equivocal"),OR(Y2023="positive",Y2023="equivocal")),"a",IF(OR(Y2023="positive",Y2023="equivocal"),"b",IF(OR(W2023="positive",W2023="equivocal"),"c","d"))))</x:f>
        <x:v>d</x:v>
      </x:c>
      <x:c r="AF2023" s="12" t="str">
        <x:f>IF(OR(W2023="unavailable",Y2023="unavailable"),"不可评价",IF(AND(W2023="positive",Y2023="positive"),"a",IF(Y2023="positive","b",IF(W2023="positive","c","d"))))</x:f>
        <x:v>d</x:v>
      </x:c>
    </x:row>
    <x:row r="2024" ht="39" customHeight="1">
      <x:c r="A2024" s="12" t="str">
        <x:v>19353</x:v>
      </x:c>
      <x:c r="B2024" s="12" t="str">
        <x:v>19389</x:v>
      </x:c>
      <x:c r="C2024" s="21" t="n">
        <x:v>35979.73107638889</x:v>
      </x:c>
      <x:c r="D2024" s="12" t="n">
        <x:v>87</x:v>
      </x:c>
      <x:c r="E2024" s="12" t="n">
        <x:v>0</x:v>
      </x:c>
      <x:c r="F2024" s="12" t="str">
        <x:v>未记录</x:v>
      </x:c>
      <x:c r="G2024" s="12" t="n">
        <x:v>1</x:v>
      </x:c>
      <x:c r="H2024" s="12" t="str">
        <x:v>{'IMI': 100.0, 'ASMI': 100.0, 'ABQRS': 0.0, 'SR': 0.0}</x:v>
      </x:c>
      <x:c r="I2024" s="12" t="str">
        <x:v>[('NSR', 100.0), ('IMI;AU', 100.0), ('ASMI;AU', 100.0), ('LSBINJ', 100.0), ('LNGQT', 100.0), ('AB', 100.0)]</x:v>
      </x:c>
      <x:c r="J2024" s="12" t="str">
        <x:v>ptbxl_database.csv；ecg_id=19353；scp_codes</x:v>
      </x:c>
      <x:c r="K2024" s="12" t="str">
        <x:v>12sl_statements.csv；ecg_id=19353；statements_ext_snomed</x:v>
      </x:c>
      <x:c r="L2024" s="12"/>
      <x:c r="M2024" s="12" t="str">
        <x:v>negative</x:v>
      </x:c>
      <x:c r="N2024" s="12"/>
      <x:c r="O2024" s="12" t="str">
        <x:v>negative</x:v>
      </x:c>
      <x:c r="P2024" s="12" t="str">
        <x:f>IF(OR(M2024="unavailable",O2024="unavailable"),"不可评价",IF(OR(M2024="equivocal",O2024="equivocal"),"疑似",IF(AND(M2024="positive",O2024="positive"),"a",IF(O2024="positive","b",IF(M2024="positive","c","d")))))</x:f>
        <x:v>d</x:v>
      </x:c>
      <x:c r="Q2024" s="12"/>
      <x:c r="R2024" s="12" t="str">
        <x:v>negative</x:v>
      </x:c>
      <x:c r="S2024" s="12"/>
      <x:c r="T2024" s="12" t="str">
        <x:v>negative</x:v>
      </x:c>
      <x:c r="U2024" s="12" t="str">
        <x:f>IF(OR(R2024="unavailable",T2024="unavailable"),"不可评价",IF(OR(R2024="equivocal",T2024="equivocal"),"疑似",IF(AND(R2024="positive",T2024="positive"),"a",IF(T2024="positive","b",IF(R2024="positive","c","d")))))</x:f>
        <x:v>d</x:v>
      </x:c>
      <x:c r="V2024" s="12"/>
      <x:c r="W2024" s="12" t="str">
        <x:v>negative</x:v>
      </x:c>
      <x:c r="X2024" s="12"/>
      <x:c r="Y2024" s="12" t="str">
        <x:v>negative</x:v>
      </x:c>
      <x:c r="Z2024" s="12" t="str">
        <x:f>IF(OR(W2024="unavailable",Y2024="unavailable"),"不可评价",IF(OR(W2024="equivocal",Y2024="equivocal"),"疑似",IF(AND(W2024="positive",Y2024="positive"),"a",IF(Y2024="positive","b",IF(W2024="positive","c","d")))))</x:f>
        <x:v>d</x:v>
      </x:c>
      <x:c r="AA2024" s="12" t="str">
        <x:f>IF(OR(M2024="unavailable",O2024="unavailable"),"不可评价",IF(AND(OR(M2024="positive",M2024="equivocal"),OR(O2024="positive",O2024="equivocal")),"a",IF(OR(O2024="positive",O2024="equivocal"),"b",IF(OR(M2024="positive",M2024="equivocal"),"c","d"))))</x:f>
        <x:v>d</x:v>
      </x:c>
      <x:c r="AB2024" s="12" t="str">
        <x:f>IF(OR(M2024="unavailable",O2024="unavailable"),"不可评价",IF(AND(M2024="positive",O2024="positive"),"a",IF(O2024="positive","b",IF(M2024="positive","c","d"))))</x:f>
        <x:v>d</x:v>
      </x:c>
      <x:c r="AC2024" s="12" t="str">
        <x:f>IF(OR(R2024="unavailable",T2024="unavailable"),"不可评价",IF(AND(OR(R2024="positive",R2024="equivocal"),OR(T2024="positive",T2024="equivocal")),"a",IF(OR(T2024="positive",T2024="equivocal"),"b",IF(OR(R2024="positive",R2024="equivocal"),"c","d"))))</x:f>
        <x:v>d</x:v>
      </x:c>
      <x:c r="AD2024" s="12" t="str">
        <x:f>IF(OR(R2024="unavailable",T2024="unavailable"),"不可评价",IF(AND(R2024="positive",T2024="positive"),"a",IF(T2024="positive","b",IF(R2024="positive","c","d"))))</x:f>
        <x:v>d</x:v>
      </x:c>
      <x:c r="AE2024" s="12" t="str">
        <x:f>IF(OR(W2024="unavailable",Y2024="unavailable"),"不可评价",IF(AND(OR(W2024="positive",W2024="equivocal"),OR(Y2024="positive",Y2024="equivocal")),"a",IF(OR(Y2024="positive",Y2024="equivocal"),"b",IF(OR(W2024="positive",W2024="equivocal"),"c","d"))))</x:f>
        <x:v>d</x:v>
      </x:c>
      <x:c r="AF2024" s="12" t="str">
        <x:f>IF(OR(W2024="unavailable",Y2024="unavailable"),"不可评价",IF(AND(W2024="positive",Y2024="positive"),"a",IF(Y2024="positive","b",IF(W2024="positive","c","d"))))</x:f>
        <x:v>d</x:v>
      </x:c>
    </x:row>
    <x:row r="2025" ht="39" customHeight="1">
      <x:c r="A2025" s="12" t="str">
        <x:v>19370</x:v>
      </x:c>
      <x:c r="B2025" s="12" t="str">
        <x:v>19389</x:v>
      </x:c>
      <x:c r="C2025" s="21" t="n">
        <x:v>35983.669444444444</x:v>
      </x:c>
      <x:c r="D2025" s="12" t="n">
        <x:v>87</x:v>
      </x:c>
      <x:c r="E2025" s="12" t="n">
        <x:v>0</x:v>
      </x:c>
      <x:c r="F2025" s="12" t="str">
        <x:v>未记录</x:v>
      </x:c>
      <x:c r="G2025" s="12" t="n">
        <x:v>0</x:v>
      </x:c>
      <x:c r="H2025" s="12" t="str">
        <x:v>{'ASMI': 50.0, 'IMI': 50.0, 'ABQRS': 0.0, 'AFIB': 0.0}</x:v>
      </x:c>
      <x:c r="I2025" s="12" t="str">
        <x:v>[('FLUT', 100.0), ('VAVB', 100.0), ('IMI;AU', 100.0), ('ASMI;AU', 15.0), ('LNGQT', 100.0), ('AB', 100.0)]</x:v>
      </x:c>
      <x:c r="J2025" s="12" t="str">
        <x:v>ptbxl_database.csv；ecg_id=19370；scp_codes</x:v>
      </x:c>
      <x:c r="K2025" s="12" t="str">
        <x:v>12sl_statements.csv；ecg_id=19370；statements_ext_snomed</x:v>
      </x:c>
      <x:c r="L2025" s="12" t="n">
        <x:v>0</x:v>
      </x:c>
      <x:c r="M2025" s="12" t="str">
        <x:v>positive</x:v>
      </x:c>
      <x:c r="N2025" s="12"/>
      <x:c r="O2025" s="12" t="str">
        <x:v>negative</x:v>
      </x:c>
      <x:c r="P2025" s="12" t="str">
        <x:f>IF(OR(M2025="unavailable",O2025="unavailable"),"不可评价",IF(OR(M2025="equivocal",O2025="equivocal"),"疑似",IF(AND(M2025="positive",O2025="positive"),"a",IF(O2025="positive","b",IF(M2025="positive","c","d")))))</x:f>
        <x:v>c</x:v>
      </x:c>
      <x:c r="Q2025" s="12"/>
      <x:c r="R2025" s="12" t="str">
        <x:v>negative</x:v>
      </x:c>
      <x:c r="S2025" s="12"/>
      <x:c r="T2025" s="12" t="str">
        <x:v>negative</x:v>
      </x:c>
      <x:c r="U2025" s="12" t="str">
        <x:f>IF(OR(R2025="unavailable",T2025="unavailable"),"不可评价",IF(OR(R2025="equivocal",T2025="equivocal"),"疑似",IF(AND(R2025="positive",T2025="positive"),"a",IF(T2025="positive","b",IF(R2025="positive","c","d")))))</x:f>
        <x:v>d</x:v>
      </x:c>
      <x:c r="V2025" s="12"/>
      <x:c r="W2025" s="12" t="str">
        <x:v>negative</x:v>
      </x:c>
      <x:c r="X2025" s="12"/>
      <x:c r="Y2025" s="12" t="str">
        <x:v>negative</x:v>
      </x:c>
      <x:c r="Z2025" s="12" t="str">
        <x:f>IF(OR(W2025="unavailable",Y2025="unavailable"),"不可评价",IF(OR(W2025="equivocal",Y2025="equivocal"),"疑似",IF(AND(W2025="positive",Y2025="positive"),"a",IF(Y2025="positive","b",IF(W2025="positive","c","d")))))</x:f>
        <x:v>d</x:v>
      </x:c>
      <x:c r="AA2025" s="12" t="str">
        <x:f>IF(OR(M2025="unavailable",O2025="unavailable"),"不可评价",IF(AND(OR(M2025="positive",M2025="equivocal"),OR(O2025="positive",O2025="equivocal")),"a",IF(OR(O2025="positive",O2025="equivocal"),"b",IF(OR(M2025="positive",M2025="equivocal"),"c","d"))))</x:f>
        <x:v>c</x:v>
      </x:c>
      <x:c r="AB2025" s="12" t="str">
        <x:f>IF(OR(M2025="unavailable",O2025="unavailable"),"不可评价",IF(AND(M2025="positive",O2025="positive"),"a",IF(O2025="positive","b",IF(M2025="positive","c","d"))))</x:f>
        <x:v>c</x:v>
      </x:c>
      <x:c r="AC2025" s="12" t="str">
        <x:f>IF(OR(R2025="unavailable",T2025="unavailable"),"不可评价",IF(AND(OR(R2025="positive",R2025="equivocal"),OR(T2025="positive",T2025="equivocal")),"a",IF(OR(T2025="positive",T2025="equivocal"),"b",IF(OR(R2025="positive",R2025="equivocal"),"c","d"))))</x:f>
        <x:v>d</x:v>
      </x:c>
      <x:c r="AD2025" s="12" t="str">
        <x:f>IF(OR(R2025="unavailable",T2025="unavailable"),"不可评价",IF(AND(R2025="positive",T2025="positive"),"a",IF(T2025="positive","b",IF(R2025="positive","c","d"))))</x:f>
        <x:v>d</x:v>
      </x:c>
      <x:c r="AE2025" s="12" t="str">
        <x:f>IF(OR(W2025="unavailable",Y2025="unavailable"),"不可评价",IF(AND(OR(W2025="positive",W2025="equivocal"),OR(Y2025="positive",Y2025="equivocal")),"a",IF(OR(Y2025="positive",Y2025="equivocal"),"b",IF(OR(W2025="positive",W2025="equivocal"),"c","d"))))</x:f>
        <x:v>d</x:v>
      </x:c>
      <x:c r="AF2025" s="12" t="str">
        <x:f>IF(OR(W2025="unavailable",Y2025="unavailable"),"不可评价",IF(AND(W2025="positive",Y2025="positive"),"a",IF(Y2025="positive","b",IF(W2025="positive","c","d"))))</x:f>
        <x:v>d</x:v>
      </x:c>
    </x:row>
    <x:row r="2026" ht="24" customHeight="1">
      <x:c r="A2026" s="12" t="str">
        <x:v>19376</x:v>
      </x:c>
      <x:c r="B2026" s="12" t="str">
        <x:v>12442</x:v>
      </x:c>
      <x:c r="C2026" s="21" t="n">
        <x:v>35985.63099537037</x:v>
      </x:c>
      <x:c r="D2026" s="12" t="n">
        <x:v>66</x:v>
      </x:c>
      <x:c r="E2026" s="12" t="n">
        <x:v>1</x:v>
      </x:c>
      <x:c r="F2026" s="12" t="str">
        <x:v>存在</x:v>
      </x:c>
      <x:c r="G2026" s="12" t="n">
        <x:v>0</x:v>
      </x:c>
      <x:c r="H2026" s="12" t="str">
        <x:v>{'NORM': 80.0, 'SR': 0.0}</x:v>
      </x:c>
      <x:c r="I2026" s="12" t="str">
        <x:v>[('NSR', 100.0), ('NML', 100.0)]</x:v>
      </x:c>
      <x:c r="J2026" s="12" t="str">
        <x:v>ptbxl_database.csv；ecg_id=19376；scp_codes</x:v>
      </x:c>
      <x:c r="K2026" s="12" t="str">
        <x:v>12sl_statements.csv；ecg_id=19376；statements_ext_snomed</x:v>
      </x:c>
      <x:c r="L2026" s="12"/>
      <x:c r="M2026" s="12" t="str">
        <x:v>negative</x:v>
      </x:c>
      <x:c r="N2026" s="12"/>
      <x:c r="O2026" s="12" t="str">
        <x:v>negative</x:v>
      </x:c>
      <x:c r="P2026" s="12" t="str">
        <x:f>IF(OR(M2026="unavailable",O2026="unavailable"),"不可评价",IF(OR(M2026="equivocal",O2026="equivocal"),"疑似",IF(AND(M2026="positive",O2026="positive"),"a",IF(O2026="positive","b",IF(M2026="positive","c","d")))))</x:f>
        <x:v>d</x:v>
      </x:c>
      <x:c r="Q2026" s="12"/>
      <x:c r="R2026" s="12" t="str">
        <x:v>negative</x:v>
      </x:c>
      <x:c r="S2026" s="12"/>
      <x:c r="T2026" s="12" t="str">
        <x:v>negative</x:v>
      </x:c>
      <x:c r="U2026" s="12" t="str">
        <x:f>IF(OR(R2026="unavailable",T2026="unavailable"),"不可评价",IF(OR(R2026="equivocal",T2026="equivocal"),"疑似",IF(AND(R2026="positive",T2026="positive"),"a",IF(T2026="positive","b",IF(R2026="positive","c","d")))))</x:f>
        <x:v>d</x:v>
      </x:c>
      <x:c r="V2026" s="12"/>
      <x:c r="W2026" s="12" t="str">
        <x:v>negative</x:v>
      </x:c>
      <x:c r="X2026" s="12"/>
      <x:c r="Y2026" s="12" t="str">
        <x:v>negative</x:v>
      </x:c>
      <x:c r="Z2026" s="12" t="str">
        <x:f>IF(OR(W2026="unavailable",Y2026="unavailable"),"不可评价",IF(OR(W2026="equivocal",Y2026="equivocal"),"疑似",IF(AND(W2026="positive",Y2026="positive"),"a",IF(Y2026="positive","b",IF(W2026="positive","c","d")))))</x:f>
        <x:v>d</x:v>
      </x:c>
      <x:c r="AA2026" s="12" t="str">
        <x:f>IF(OR(M2026="unavailable",O2026="unavailable"),"不可评价",IF(AND(OR(M2026="positive",M2026="equivocal"),OR(O2026="positive",O2026="equivocal")),"a",IF(OR(O2026="positive",O2026="equivocal"),"b",IF(OR(M2026="positive",M2026="equivocal"),"c","d"))))</x:f>
        <x:v>d</x:v>
      </x:c>
      <x:c r="AB2026" s="12" t="str">
        <x:f>IF(OR(M2026="unavailable",O2026="unavailable"),"不可评价",IF(AND(M2026="positive",O2026="positive"),"a",IF(O2026="positive","b",IF(M2026="positive","c","d"))))</x:f>
        <x:v>d</x:v>
      </x:c>
      <x:c r="AC2026" s="12" t="str">
        <x:f>IF(OR(R2026="unavailable",T2026="unavailable"),"不可评价",IF(AND(OR(R2026="positive",R2026="equivocal"),OR(T2026="positive",T2026="equivocal")),"a",IF(OR(T2026="positive",T2026="equivocal"),"b",IF(OR(R2026="positive",R2026="equivocal"),"c","d"))))</x:f>
        <x:v>d</x:v>
      </x:c>
      <x:c r="AD2026" s="12" t="str">
        <x:f>IF(OR(R2026="unavailable",T2026="unavailable"),"不可评价",IF(AND(R2026="positive",T2026="positive"),"a",IF(T2026="positive","b",IF(R2026="positive","c","d"))))</x:f>
        <x:v>d</x:v>
      </x:c>
      <x:c r="AE2026" s="12" t="str">
        <x:f>IF(OR(W2026="unavailable",Y2026="unavailable"),"不可评价",IF(AND(OR(W2026="positive",W2026="equivocal"),OR(Y2026="positive",Y2026="equivocal")),"a",IF(OR(Y2026="positive",Y2026="equivocal"),"b",IF(OR(W2026="positive",W2026="equivocal"),"c","d"))))</x:f>
        <x:v>d</x:v>
      </x:c>
      <x:c r="AF2026" s="12" t="str">
        <x:f>IF(OR(W2026="unavailable",Y2026="unavailable"),"不可评价",IF(AND(W2026="positive",Y2026="positive"),"a",IF(Y2026="positive","b",IF(W2026="positive","c","d"))))</x:f>
        <x:v>d</x:v>
      </x:c>
    </x:row>
    <x:row r="2027" ht="39" customHeight="1">
      <x:c r="A2027" s="12" t="str">
        <x:v>19388</x:v>
      </x:c>
      <x:c r="B2027" s="12" t="str">
        <x:v>11424</x:v>
      </x:c>
      <x:c r="C2027" s="21" t="n">
        <x:v>35990.63568287037</x:v>
      </x:c>
      <x:c r="D2027" s="12" t="n">
        <x:v>89</x:v>
      </x:c>
      <x:c r="E2027" s="12" t="n">
        <x:v>1</x:v>
      </x:c>
      <x:c r="F2027" s="12" t="str">
        <x:v>未记录</x:v>
      </x:c>
      <x:c r="G2027" s="12" t="n">
        <x:v>0</x:v>
      </x:c>
      <x:c r="H2027" s="12" t="str">
        <x:v>{'ASMI': 100.0, 'ISCAL': 100.0, 'ABQRS': 0.0, 'AFIB': 0.0}</x:v>
      </x:c>
      <x:c r="I2027" s="12" t="str">
        <x:v>[('AFIB', 100.0), ('AFB', 100.0), ('SMI;AU', 100.0), ('ST&amp;', 100.0), ('IT', 100.0), ('ST&amp;', 100.0), ('ALT', 100.0), ('AB', 100.0)]</x:v>
      </x:c>
      <x:c r="J2027" s="12" t="str">
        <x:v>ptbxl_database.csv；ecg_id=19388；scp_codes</x:v>
      </x:c>
      <x:c r="K2027" s="12" t="str">
        <x:v>12sl_statements.csv；ecg_id=19388；statements_ext_snomed</x:v>
      </x:c>
      <x:c r="L2027" s="12" t="n">
        <x:v>0</x:v>
      </x:c>
      <x:c r="M2027" s="12" t="str">
        <x:v>positive</x:v>
      </x:c>
      <x:c r="N2027" s="12" t="n">
        <x:v>100</x:v>
      </x:c>
      <x:c r="O2027" s="12" t="str">
        <x:v>positive</x:v>
      </x:c>
      <x:c r="P2027" s="12" t="str">
        <x:f>IF(OR(M2027="unavailable",O2027="unavailable"),"不可评价",IF(OR(M2027="equivocal",O2027="equivocal"),"疑似",IF(AND(M2027="positive",O2027="positive"),"a",IF(O2027="positive","b",IF(M2027="positive","c","d")))))</x:f>
        <x:v>a</x:v>
      </x:c>
      <x:c r="Q2027" s="12"/>
      <x:c r="R2027" s="12" t="str">
        <x:v>negative</x:v>
      </x:c>
      <x:c r="S2027" s="12"/>
      <x:c r="T2027" s="12" t="str">
        <x:v>negative</x:v>
      </x:c>
      <x:c r="U2027" s="12" t="str">
        <x:f>IF(OR(R2027="unavailable",T2027="unavailable"),"不可评价",IF(OR(R2027="equivocal",T2027="equivocal"),"疑似",IF(AND(R2027="positive",T2027="positive"),"a",IF(T2027="positive","b",IF(R2027="positive","c","d")))))</x:f>
        <x:v>d</x:v>
      </x:c>
      <x:c r="V2027" s="12"/>
      <x:c r="W2027" s="12" t="str">
        <x:v>negative</x:v>
      </x:c>
      <x:c r="X2027" s="12"/>
      <x:c r="Y2027" s="12" t="str">
        <x:v>negative</x:v>
      </x:c>
      <x:c r="Z2027" s="12" t="str">
        <x:f>IF(OR(W2027="unavailable",Y2027="unavailable"),"不可评价",IF(OR(W2027="equivocal",Y2027="equivocal"),"疑似",IF(AND(W2027="positive",Y2027="positive"),"a",IF(Y2027="positive","b",IF(W2027="positive","c","d")))))</x:f>
        <x:v>d</x:v>
      </x:c>
      <x:c r="AA2027" s="12" t="str">
        <x:f>IF(OR(M2027="unavailable",O2027="unavailable"),"不可评价",IF(AND(OR(M2027="positive",M2027="equivocal"),OR(O2027="positive",O2027="equivocal")),"a",IF(OR(O2027="positive",O2027="equivocal"),"b",IF(OR(M2027="positive",M2027="equivocal"),"c","d"))))</x:f>
        <x:v>a</x:v>
      </x:c>
      <x:c r="AB2027" s="12" t="str">
        <x:f>IF(OR(M2027="unavailable",O2027="unavailable"),"不可评价",IF(AND(M2027="positive",O2027="positive"),"a",IF(O2027="positive","b",IF(M2027="positive","c","d"))))</x:f>
        <x:v>a</x:v>
      </x:c>
      <x:c r="AC2027" s="12" t="str">
        <x:f>IF(OR(R2027="unavailable",T2027="unavailable"),"不可评价",IF(AND(OR(R2027="positive",R2027="equivocal"),OR(T2027="positive",T2027="equivocal")),"a",IF(OR(T2027="positive",T2027="equivocal"),"b",IF(OR(R2027="positive",R2027="equivocal"),"c","d"))))</x:f>
        <x:v>d</x:v>
      </x:c>
      <x:c r="AD2027" s="12" t="str">
        <x:f>IF(OR(R2027="unavailable",T2027="unavailable"),"不可评价",IF(AND(R2027="positive",T2027="positive"),"a",IF(T2027="positive","b",IF(R2027="positive","c","d"))))</x:f>
        <x:v>d</x:v>
      </x:c>
      <x:c r="AE2027" s="12" t="str">
        <x:f>IF(OR(W2027="unavailable",Y2027="unavailable"),"不可评价",IF(AND(OR(W2027="positive",W2027="equivocal"),OR(Y2027="positive",Y2027="equivocal")),"a",IF(OR(Y2027="positive",Y2027="equivocal"),"b",IF(OR(W2027="positive",W2027="equivocal"),"c","d"))))</x:f>
        <x:v>d</x:v>
      </x:c>
      <x:c r="AF2027" s="12" t="str">
        <x:f>IF(OR(W2027="unavailable",Y2027="unavailable"),"不可评价",IF(AND(W2027="positive",Y2027="positive"),"a",IF(Y2027="positive","b",IF(W2027="positive","c","d"))))</x:f>
        <x:v>d</x:v>
      </x:c>
    </x:row>
    <x:row r="2028" ht="39" customHeight="1">
      <x:c r="A2028" s="12" t="str">
        <x:v>19396</x:v>
      </x:c>
      <x:c r="B2028" s="12" t="str">
        <x:v>19389</x:v>
      </x:c>
      <x:c r="C2028" s="21" t="n">
        <x:v>35993.40164351852</x:v>
      </x:c>
      <x:c r="D2028" s="12" t="n">
        <x:v>87</x:v>
      </x:c>
      <x:c r="E2028" s="12" t="n">
        <x:v>0</x:v>
      </x:c>
      <x:c r="F2028" s="12" t="str">
        <x:v>未记录</x:v>
      </x:c>
      <x:c r="G2028" s="12" t="n">
        <x:v>0</x:v>
      </x:c>
      <x:c r="H2028" s="12" t="str">
        <x:v>{'IMI': 100.0, 'ASMI': 100.0, 'ABQRS': 0.0, 'AFIB': 0.0}</x:v>
      </x:c>
      <x:c r="I2028" s="12" t="str">
        <x:v>[('FLUT', 100.0), ('VAVB', 100.0), ('IMI;AU', 100.0), ('ASMI;AU', 100.0), ('AB', 100.0)]</x:v>
      </x:c>
      <x:c r="J2028" s="12" t="str">
        <x:v>ptbxl_database.csv；ecg_id=19396；scp_codes</x:v>
      </x:c>
      <x:c r="K2028" s="12" t="str">
        <x:v>12sl_statements.csv；ecg_id=19396；statements_ext_snomed</x:v>
      </x:c>
      <x:c r="L2028" s="12" t="n">
        <x:v>0</x:v>
      </x:c>
      <x:c r="M2028" s="12" t="str">
        <x:v>positive</x:v>
      </x:c>
      <x:c r="N2028" s="12"/>
      <x:c r="O2028" s="12" t="str">
        <x:v>negative</x:v>
      </x:c>
      <x:c r="P2028" s="12" t="str">
        <x:f>IF(OR(M2028="unavailable",O2028="unavailable"),"不可评价",IF(OR(M2028="equivocal",O2028="equivocal"),"疑似",IF(AND(M2028="positive",O2028="positive"),"a",IF(O2028="positive","b",IF(M2028="positive","c","d")))))</x:f>
        <x:v>c</x:v>
      </x:c>
      <x:c r="Q2028" s="12"/>
      <x:c r="R2028" s="12" t="str">
        <x:v>negative</x:v>
      </x:c>
      <x:c r="S2028" s="12"/>
      <x:c r="T2028" s="12" t="str">
        <x:v>negative</x:v>
      </x:c>
      <x:c r="U2028" s="12" t="str">
        <x:f>IF(OR(R2028="unavailable",T2028="unavailable"),"不可评价",IF(OR(R2028="equivocal",T2028="equivocal"),"疑似",IF(AND(R2028="positive",T2028="positive"),"a",IF(T2028="positive","b",IF(R2028="positive","c","d")))))</x:f>
        <x:v>d</x:v>
      </x:c>
      <x:c r="V2028" s="12"/>
      <x:c r="W2028" s="12" t="str">
        <x:v>negative</x:v>
      </x:c>
      <x:c r="X2028" s="12"/>
      <x:c r="Y2028" s="12" t="str">
        <x:v>negative</x:v>
      </x:c>
      <x:c r="Z2028" s="12" t="str">
        <x:f>IF(OR(W2028="unavailable",Y2028="unavailable"),"不可评价",IF(OR(W2028="equivocal",Y2028="equivocal"),"疑似",IF(AND(W2028="positive",Y2028="positive"),"a",IF(Y2028="positive","b",IF(W2028="positive","c","d")))))</x:f>
        <x:v>d</x:v>
      </x:c>
      <x:c r="AA2028" s="12" t="str">
        <x:f>IF(OR(M2028="unavailable",O2028="unavailable"),"不可评价",IF(AND(OR(M2028="positive",M2028="equivocal"),OR(O2028="positive",O2028="equivocal")),"a",IF(OR(O2028="positive",O2028="equivocal"),"b",IF(OR(M2028="positive",M2028="equivocal"),"c","d"))))</x:f>
        <x:v>c</x:v>
      </x:c>
      <x:c r="AB2028" s="12" t="str">
        <x:f>IF(OR(M2028="unavailable",O2028="unavailable"),"不可评价",IF(AND(M2028="positive",O2028="positive"),"a",IF(O2028="positive","b",IF(M2028="positive","c","d"))))</x:f>
        <x:v>c</x:v>
      </x:c>
      <x:c r="AC2028" s="12" t="str">
        <x:f>IF(OR(R2028="unavailable",T2028="unavailable"),"不可评价",IF(AND(OR(R2028="positive",R2028="equivocal"),OR(T2028="positive",T2028="equivocal")),"a",IF(OR(T2028="positive",T2028="equivocal"),"b",IF(OR(R2028="positive",R2028="equivocal"),"c","d"))))</x:f>
        <x:v>d</x:v>
      </x:c>
      <x:c r="AD2028" s="12" t="str">
        <x:f>IF(OR(R2028="unavailable",T2028="unavailable"),"不可评价",IF(AND(R2028="positive",T2028="positive"),"a",IF(T2028="positive","b",IF(R2028="positive","c","d"))))</x:f>
        <x:v>d</x:v>
      </x:c>
      <x:c r="AE2028" s="12" t="str">
        <x:f>IF(OR(W2028="unavailable",Y2028="unavailable"),"不可评价",IF(AND(OR(W2028="positive",W2028="equivocal"),OR(Y2028="positive",Y2028="equivocal")),"a",IF(OR(Y2028="positive",Y2028="equivocal"),"b",IF(OR(W2028="positive",W2028="equivocal"),"c","d"))))</x:f>
        <x:v>d</x:v>
      </x:c>
      <x:c r="AF2028" s="12" t="str">
        <x:f>IF(OR(W2028="unavailable",Y2028="unavailable"),"不可评价",IF(AND(W2028="positive",Y2028="positive"),"a",IF(Y2028="positive","b",IF(W2028="positive","c","d"))))</x:f>
        <x:v>d</x:v>
      </x:c>
    </x:row>
    <x:row r="2029" ht="24" customHeight="1">
      <x:c r="A2029" s="12" t="str">
        <x:v>19402</x:v>
      </x:c>
      <x:c r="B2029" s="12" t="str">
        <x:v>9579</x:v>
      </x:c>
      <x:c r="C2029" s="21" t="n">
        <x:v>35993.7090625</x:v>
      </x:c>
      <x:c r="D2029" s="12" t="n">
        <x:v>62</x:v>
      </x:c>
      <x:c r="E2029" s="12" t="n">
        <x:v>0</x:v>
      </x:c>
      <x:c r="F2029" s="12" t="str">
        <x:v>未记录</x:v>
      </x:c>
      <x:c r="G2029" s="12" t="n">
        <x:v>0</x:v>
      </x:c>
      <x:c r="H2029" s="12" t="str">
        <x:v>{'IMI': 100.0, 'ABQRS': 0.0, 'SR': 0.0}</x:v>
      </x:c>
      <x:c r="I2029" s="12" t="str">
        <x:v>[('NSR', 100.0), ('IMI;AU', 15.0), ('AB', 100.0)]</x:v>
      </x:c>
      <x:c r="J2029" s="12" t="str">
        <x:v>ptbxl_database.csv；ecg_id=19402；scp_codes</x:v>
      </x:c>
      <x:c r="K2029" s="12" t="str">
        <x:v>12sl_statements.csv；ecg_id=19402；statements_ext_snomed</x:v>
      </x:c>
      <x:c r="L2029" s="12"/>
      <x:c r="M2029" s="12" t="str">
        <x:v>negative</x:v>
      </x:c>
      <x:c r="N2029" s="12"/>
      <x:c r="O2029" s="12" t="str">
        <x:v>negative</x:v>
      </x:c>
      <x:c r="P2029" s="12" t="str">
        <x:f>IF(OR(M2029="unavailable",O2029="unavailable"),"不可评价",IF(OR(M2029="equivocal",O2029="equivocal"),"疑似",IF(AND(M2029="positive",O2029="positive"),"a",IF(O2029="positive","b",IF(M2029="positive","c","d")))))</x:f>
        <x:v>d</x:v>
      </x:c>
      <x:c r="Q2029" s="12"/>
      <x:c r="R2029" s="12" t="str">
        <x:v>negative</x:v>
      </x:c>
      <x:c r="S2029" s="12"/>
      <x:c r="T2029" s="12" t="str">
        <x:v>negative</x:v>
      </x:c>
      <x:c r="U2029" s="12" t="str">
        <x:f>IF(OR(R2029="unavailable",T2029="unavailable"),"不可评价",IF(OR(R2029="equivocal",T2029="equivocal"),"疑似",IF(AND(R2029="positive",T2029="positive"),"a",IF(T2029="positive","b",IF(R2029="positive","c","d")))))</x:f>
        <x:v>d</x:v>
      </x:c>
      <x:c r="V2029" s="12"/>
      <x:c r="W2029" s="12" t="str">
        <x:v>negative</x:v>
      </x:c>
      <x:c r="X2029" s="12"/>
      <x:c r="Y2029" s="12" t="str">
        <x:v>negative</x:v>
      </x:c>
      <x:c r="Z2029" s="12" t="str">
        <x:f>IF(OR(W2029="unavailable",Y2029="unavailable"),"不可评价",IF(OR(W2029="equivocal",Y2029="equivocal"),"疑似",IF(AND(W2029="positive",Y2029="positive"),"a",IF(Y2029="positive","b",IF(W2029="positive","c","d")))))</x:f>
        <x:v>d</x:v>
      </x:c>
      <x:c r="AA2029" s="12" t="str">
        <x:f>IF(OR(M2029="unavailable",O2029="unavailable"),"不可评价",IF(AND(OR(M2029="positive",M2029="equivocal"),OR(O2029="positive",O2029="equivocal")),"a",IF(OR(O2029="positive",O2029="equivocal"),"b",IF(OR(M2029="positive",M2029="equivocal"),"c","d"))))</x:f>
        <x:v>d</x:v>
      </x:c>
      <x:c r="AB2029" s="12" t="str">
        <x:f>IF(OR(M2029="unavailable",O2029="unavailable"),"不可评价",IF(AND(M2029="positive",O2029="positive"),"a",IF(O2029="positive","b",IF(M2029="positive","c","d"))))</x:f>
        <x:v>d</x:v>
      </x:c>
      <x:c r="AC2029" s="12" t="str">
        <x:f>IF(OR(R2029="unavailable",T2029="unavailable"),"不可评价",IF(AND(OR(R2029="positive",R2029="equivocal"),OR(T2029="positive",T2029="equivocal")),"a",IF(OR(T2029="positive",T2029="equivocal"),"b",IF(OR(R2029="positive",R2029="equivocal"),"c","d"))))</x:f>
        <x:v>d</x:v>
      </x:c>
      <x:c r="AD2029" s="12" t="str">
        <x:f>IF(OR(R2029="unavailable",T2029="unavailable"),"不可评价",IF(AND(R2029="positive",T2029="positive"),"a",IF(T2029="positive","b",IF(R2029="positive","c","d"))))</x:f>
        <x:v>d</x:v>
      </x:c>
      <x:c r="AE2029" s="12" t="str">
        <x:f>IF(OR(W2029="unavailable",Y2029="unavailable"),"不可评价",IF(AND(OR(W2029="positive",W2029="equivocal"),OR(Y2029="positive",Y2029="equivocal")),"a",IF(OR(Y2029="positive",Y2029="equivocal"),"b",IF(OR(W2029="positive",W2029="equivocal"),"c","d"))))</x:f>
        <x:v>d</x:v>
      </x:c>
      <x:c r="AF2029" s="12" t="str">
        <x:f>IF(OR(W2029="unavailable",Y2029="unavailable"),"不可评价",IF(AND(W2029="positive",Y2029="positive"),"a",IF(Y2029="positive","b",IF(W2029="positive","c","d"))))</x:f>
        <x:v>d</x:v>
      </x:c>
    </x:row>
    <x:row r="2030" ht="24" customHeight="1">
      <x:c r="A2030" s="12" t="str">
        <x:v>19408</x:v>
      </x:c>
      <x:c r="B2030" s="12" t="str">
        <x:v>18542</x:v>
      </x:c>
      <x:c r="C2030" s="21" t="n">
        <x:v>35994.607407407406</x:v>
      </x:c>
      <x:c r="D2030" s="12" t="n">
        <x:v>63</x:v>
      </x:c>
      <x:c r="E2030" s="12" t="n">
        <x:v>0</x:v>
      </x:c>
      <x:c r="F2030" s="12" t="str">
        <x:v>未记录</x:v>
      </x:c>
      <x:c r="G2030" s="12" t="n">
        <x:v>1</x:v>
      </x:c>
      <x:c r="H2030" s="12" t="str">
        <x:v>{'LAFB': 100.0, 'ISCAS': 50.0, 'SR': 0.0}</x:v>
      </x:c>
      <x:c r="I2030" s="12" t="str">
        <x:v>[('NSR', 100.0), ('LAD3', 100.0), ('ST&amp;', 100.0), ('ALT', 100.0), ('AB', 100.0)]</x:v>
      </x:c>
      <x:c r="J2030" s="12" t="str">
        <x:v>ptbxl_database.csv；ecg_id=19408；scp_codes</x:v>
      </x:c>
      <x:c r="K2030" s="12" t="str">
        <x:v>12sl_statements.csv；ecg_id=19408；statements_ext_snomed</x:v>
      </x:c>
      <x:c r="L2030" s="12"/>
      <x:c r="M2030" s="12" t="str">
        <x:v>negative</x:v>
      </x:c>
      <x:c r="N2030" s="12"/>
      <x:c r="O2030" s="12" t="str">
        <x:v>negative</x:v>
      </x:c>
      <x:c r="P2030" s="12" t="str">
        <x:f>IF(OR(M2030="unavailable",O2030="unavailable"),"不可评价",IF(OR(M2030="equivocal",O2030="equivocal"),"疑似",IF(AND(M2030="positive",O2030="positive"),"a",IF(O2030="positive","b",IF(M2030="positive","c","d")))))</x:f>
        <x:v>d</x:v>
      </x:c>
      <x:c r="Q2030" s="12"/>
      <x:c r="R2030" s="12" t="str">
        <x:v>negative</x:v>
      </x:c>
      <x:c r="S2030" s="12"/>
      <x:c r="T2030" s="12" t="str">
        <x:v>negative</x:v>
      </x:c>
      <x:c r="U2030" s="12" t="str">
        <x:f>IF(OR(R2030="unavailable",T2030="unavailable"),"不可评价",IF(OR(R2030="equivocal",T2030="equivocal"),"疑似",IF(AND(R2030="positive",T2030="positive"),"a",IF(T2030="positive","b",IF(R2030="positive","c","d")))))</x:f>
        <x:v>d</x:v>
      </x:c>
      <x:c r="V2030" s="12"/>
      <x:c r="W2030" s="12" t="str">
        <x:v>negative</x:v>
      </x:c>
      <x:c r="X2030" s="12"/>
      <x:c r="Y2030" s="12" t="str">
        <x:v>negative</x:v>
      </x:c>
      <x:c r="Z2030" s="12" t="str">
        <x:f>IF(OR(W2030="unavailable",Y2030="unavailable"),"不可评价",IF(OR(W2030="equivocal",Y2030="equivocal"),"疑似",IF(AND(W2030="positive",Y2030="positive"),"a",IF(Y2030="positive","b",IF(W2030="positive","c","d")))))</x:f>
        <x:v>d</x:v>
      </x:c>
      <x:c r="AA2030" s="12" t="str">
        <x:f>IF(OR(M2030="unavailable",O2030="unavailable"),"不可评价",IF(AND(OR(M2030="positive",M2030="equivocal"),OR(O2030="positive",O2030="equivocal")),"a",IF(OR(O2030="positive",O2030="equivocal"),"b",IF(OR(M2030="positive",M2030="equivocal"),"c","d"))))</x:f>
        <x:v>d</x:v>
      </x:c>
      <x:c r="AB2030" s="12" t="str">
        <x:f>IF(OR(M2030="unavailable",O2030="unavailable"),"不可评价",IF(AND(M2030="positive",O2030="positive"),"a",IF(O2030="positive","b",IF(M2030="positive","c","d"))))</x:f>
        <x:v>d</x:v>
      </x:c>
      <x:c r="AC2030" s="12" t="str">
        <x:f>IF(OR(R2030="unavailable",T2030="unavailable"),"不可评价",IF(AND(OR(R2030="positive",R2030="equivocal"),OR(T2030="positive",T2030="equivocal")),"a",IF(OR(T2030="positive",T2030="equivocal"),"b",IF(OR(R2030="positive",R2030="equivocal"),"c","d"))))</x:f>
        <x:v>d</x:v>
      </x:c>
      <x:c r="AD2030" s="12" t="str">
        <x:f>IF(OR(R2030="unavailable",T2030="unavailable"),"不可评价",IF(AND(R2030="positive",T2030="positive"),"a",IF(T2030="positive","b",IF(R2030="positive","c","d"))))</x:f>
        <x:v>d</x:v>
      </x:c>
      <x:c r="AE2030" s="12" t="str">
        <x:f>IF(OR(W2030="unavailable",Y2030="unavailable"),"不可评价",IF(AND(OR(W2030="positive",W2030="equivocal"),OR(Y2030="positive",Y2030="equivocal")),"a",IF(OR(Y2030="positive",Y2030="equivocal"),"b",IF(OR(W2030="positive",W2030="equivocal"),"c","d"))))</x:f>
        <x:v>d</x:v>
      </x:c>
      <x:c r="AF2030" s="12" t="str">
        <x:f>IF(OR(W2030="unavailable",Y2030="unavailable"),"不可评价",IF(AND(W2030="positive",Y2030="positive"),"a",IF(Y2030="positive","b",IF(W2030="positive","c","d"))))</x:f>
        <x:v>d</x:v>
      </x:c>
    </x:row>
    <x:row r="2031" ht="24" customHeight="1">
      <x:c r="A2031" s="12" t="str">
        <x:v>19409</x:v>
      </x:c>
      <x:c r="B2031" s="12" t="str">
        <x:v>12045</x:v>
      </x:c>
      <x:c r="C2031" s="21" t="n">
        <x:v>35994.71239583333</x:v>
      </x:c>
      <x:c r="D2031" s="12" t="n">
        <x:v>82</x:v>
      </x:c>
      <x:c r="E2031" s="12" t="n">
        <x:v>1</x:v>
      </x:c>
      <x:c r="F2031" s="12" t="str">
        <x:v>未记录</x:v>
      </x:c>
      <x:c r="G2031" s="12" t="n">
        <x:v>1</x:v>
      </x:c>
      <x:c r="H2031" s="12" t="str">
        <x:v>{'IMI': 100.0, 'PVC': 100.0, 'ABQRS': 0.0, 'SR': 0.0}</x:v>
      </x:c>
      <x:c r="I2031" s="12" t="str">
        <x:v>[('SRTH', 100.0), ('PVC', 100.0), ('IMI;AU', 100.0), ('AB', 100.0)]</x:v>
      </x:c>
      <x:c r="J2031" s="12" t="str">
        <x:v>ptbxl_database.csv；ecg_id=19409；scp_codes</x:v>
      </x:c>
      <x:c r="K2031" s="12" t="str">
        <x:v>12sl_statements.csv；ecg_id=19409；statements_ext_snomed</x:v>
      </x:c>
      <x:c r="L2031" s="12"/>
      <x:c r="M2031" s="12" t="str">
        <x:v>negative</x:v>
      </x:c>
      <x:c r="N2031" s="12"/>
      <x:c r="O2031" s="12" t="str">
        <x:v>negative</x:v>
      </x:c>
      <x:c r="P2031" s="12" t="str">
        <x:f>IF(OR(M2031="unavailable",O2031="unavailable"),"不可评价",IF(OR(M2031="equivocal",O2031="equivocal"),"疑似",IF(AND(M2031="positive",O2031="positive"),"a",IF(O2031="positive","b",IF(M2031="positive","c","d")))))</x:f>
        <x:v>d</x:v>
      </x:c>
      <x:c r="Q2031" s="12"/>
      <x:c r="R2031" s="12" t="str">
        <x:v>negative</x:v>
      </x:c>
      <x:c r="S2031" s="12"/>
      <x:c r="T2031" s="12" t="str">
        <x:v>negative</x:v>
      </x:c>
      <x:c r="U2031" s="12" t="str">
        <x:f>IF(OR(R2031="unavailable",T2031="unavailable"),"不可评价",IF(OR(R2031="equivocal",T2031="equivocal"),"疑似",IF(AND(R2031="positive",T2031="positive"),"a",IF(T2031="positive","b",IF(R2031="positive","c","d")))))</x:f>
        <x:v>d</x:v>
      </x:c>
      <x:c r="V2031" s="12"/>
      <x:c r="W2031" s="12" t="str">
        <x:v>negative</x:v>
      </x:c>
      <x:c r="X2031" s="12"/>
      <x:c r="Y2031" s="12" t="str">
        <x:v>negative</x:v>
      </x:c>
      <x:c r="Z2031" s="12" t="str">
        <x:f>IF(OR(W2031="unavailable",Y2031="unavailable"),"不可评价",IF(OR(W2031="equivocal",Y2031="equivocal"),"疑似",IF(AND(W2031="positive",Y2031="positive"),"a",IF(Y2031="positive","b",IF(W2031="positive","c","d")))))</x:f>
        <x:v>d</x:v>
      </x:c>
      <x:c r="AA2031" s="12" t="str">
        <x:f>IF(OR(M2031="unavailable",O2031="unavailable"),"不可评价",IF(AND(OR(M2031="positive",M2031="equivocal"),OR(O2031="positive",O2031="equivocal")),"a",IF(OR(O2031="positive",O2031="equivocal"),"b",IF(OR(M2031="positive",M2031="equivocal"),"c","d"))))</x:f>
        <x:v>d</x:v>
      </x:c>
      <x:c r="AB2031" s="12" t="str">
        <x:f>IF(OR(M2031="unavailable",O2031="unavailable"),"不可评价",IF(AND(M2031="positive",O2031="positive"),"a",IF(O2031="positive","b",IF(M2031="positive","c","d"))))</x:f>
        <x:v>d</x:v>
      </x:c>
      <x:c r="AC2031" s="12" t="str">
        <x:f>IF(OR(R2031="unavailable",T2031="unavailable"),"不可评价",IF(AND(OR(R2031="positive",R2031="equivocal"),OR(T2031="positive",T2031="equivocal")),"a",IF(OR(T2031="positive",T2031="equivocal"),"b",IF(OR(R2031="positive",R2031="equivocal"),"c","d"))))</x:f>
        <x:v>d</x:v>
      </x:c>
      <x:c r="AD2031" s="12" t="str">
        <x:f>IF(OR(R2031="unavailable",T2031="unavailable"),"不可评价",IF(AND(R2031="positive",T2031="positive"),"a",IF(T2031="positive","b",IF(R2031="positive","c","d"))))</x:f>
        <x:v>d</x:v>
      </x:c>
      <x:c r="AE2031" s="12" t="str">
        <x:f>IF(OR(W2031="unavailable",Y2031="unavailable"),"不可评价",IF(AND(OR(W2031="positive",W2031="equivocal"),OR(Y2031="positive",Y2031="equivocal")),"a",IF(OR(Y2031="positive",Y2031="equivocal"),"b",IF(OR(W2031="positive",W2031="equivocal"),"c","d"))))</x:f>
        <x:v>d</x:v>
      </x:c>
      <x:c r="AF2031" s="12" t="str">
        <x:f>IF(OR(W2031="unavailable",Y2031="unavailable"),"不可评价",IF(AND(W2031="positive",Y2031="positive"),"a",IF(Y2031="positive","b",IF(W2031="positive","c","d"))))</x:f>
        <x:v>d</x:v>
      </x:c>
    </x:row>
    <x:row r="2032" ht="24" customHeight="1">
      <x:c r="A2032" s="12" t="str">
        <x:v>19412</x:v>
      </x:c>
      <x:c r="B2032" s="12" t="str">
        <x:v>17414</x:v>
      </x:c>
      <x:c r="C2032" s="21" t="n">
        <x:v>35995.516180555554</x:v>
      </x:c>
      <x:c r="D2032" s="12" t="n">
        <x:v>50</x:v>
      </x:c>
      <x:c r="E2032" s="12" t="n">
        <x:v>1</x:v>
      </x:c>
      <x:c r="F2032" s="12" t="str">
        <x:v>未记录</x:v>
      </x:c>
      <x:c r="G2032" s="12" t="n">
        <x:v>1</x:v>
      </x:c>
      <x:c r="H2032" s="12" t="str">
        <x:v>{'NORM': 50.0, 'PVC': 100.0, 'ABQRS': 0.0, 'AFIB': 0.0}</x:v>
      </x:c>
      <x:c r="I2032" s="12" t="str">
        <x:v>[('SRTH', 100.0), ('PVC', 100.0), ('ABR', 100.0)]</x:v>
      </x:c>
      <x:c r="J2032" s="12" t="str">
        <x:v>ptbxl_database.csv；ecg_id=19412；scp_codes</x:v>
      </x:c>
      <x:c r="K2032" s="12" t="str">
        <x:v>12sl_statements.csv；ecg_id=19412；statements_ext_snomed</x:v>
      </x:c>
      <x:c r="L2032" s="12" t="n">
        <x:v>0</x:v>
      </x:c>
      <x:c r="M2032" s="12" t="str">
        <x:v>positive</x:v>
      </x:c>
      <x:c r="N2032" s="12"/>
      <x:c r="O2032" s="12" t="str">
        <x:v>negative</x:v>
      </x:c>
      <x:c r="P2032" s="12" t="str">
        <x:f>IF(OR(M2032="unavailable",O2032="unavailable"),"不可评价",IF(OR(M2032="equivocal",O2032="equivocal"),"疑似",IF(AND(M2032="positive",O2032="positive"),"a",IF(O2032="positive","b",IF(M2032="positive","c","d")))))</x:f>
        <x:v>c</x:v>
      </x:c>
      <x:c r="Q2032" s="12"/>
      <x:c r="R2032" s="12" t="str">
        <x:v>negative</x:v>
      </x:c>
      <x:c r="S2032" s="12"/>
      <x:c r="T2032" s="12" t="str">
        <x:v>negative</x:v>
      </x:c>
      <x:c r="U2032" s="12" t="str">
        <x:f>IF(OR(R2032="unavailable",T2032="unavailable"),"不可评价",IF(OR(R2032="equivocal",T2032="equivocal"),"疑似",IF(AND(R2032="positive",T2032="positive"),"a",IF(T2032="positive","b",IF(R2032="positive","c","d")))))</x:f>
        <x:v>d</x:v>
      </x:c>
      <x:c r="V2032" s="12"/>
      <x:c r="W2032" s="12" t="str">
        <x:v>negative</x:v>
      </x:c>
      <x:c r="X2032" s="12"/>
      <x:c r="Y2032" s="12" t="str">
        <x:v>negative</x:v>
      </x:c>
      <x:c r="Z2032" s="12" t="str">
        <x:f>IF(OR(W2032="unavailable",Y2032="unavailable"),"不可评价",IF(OR(W2032="equivocal",Y2032="equivocal"),"疑似",IF(AND(W2032="positive",Y2032="positive"),"a",IF(Y2032="positive","b",IF(W2032="positive","c","d")))))</x:f>
        <x:v>d</x:v>
      </x:c>
      <x:c r="AA2032" s="12" t="str">
        <x:f>IF(OR(M2032="unavailable",O2032="unavailable"),"不可评价",IF(AND(OR(M2032="positive",M2032="equivocal"),OR(O2032="positive",O2032="equivocal")),"a",IF(OR(O2032="positive",O2032="equivocal"),"b",IF(OR(M2032="positive",M2032="equivocal"),"c","d"))))</x:f>
        <x:v>c</x:v>
      </x:c>
      <x:c r="AB2032" s="12" t="str">
        <x:f>IF(OR(M2032="unavailable",O2032="unavailable"),"不可评价",IF(AND(M2032="positive",O2032="positive"),"a",IF(O2032="positive","b",IF(M2032="positive","c","d"))))</x:f>
        <x:v>c</x:v>
      </x:c>
      <x:c r="AC2032" s="12" t="str">
        <x:f>IF(OR(R2032="unavailable",T2032="unavailable"),"不可评价",IF(AND(OR(R2032="positive",R2032="equivocal"),OR(T2032="positive",T2032="equivocal")),"a",IF(OR(T2032="positive",T2032="equivocal"),"b",IF(OR(R2032="positive",R2032="equivocal"),"c","d"))))</x:f>
        <x:v>d</x:v>
      </x:c>
      <x:c r="AD2032" s="12" t="str">
        <x:f>IF(OR(R2032="unavailable",T2032="unavailable"),"不可评价",IF(AND(R2032="positive",T2032="positive"),"a",IF(T2032="positive","b",IF(R2032="positive","c","d"))))</x:f>
        <x:v>d</x:v>
      </x:c>
      <x:c r="AE2032" s="12" t="str">
        <x:f>IF(OR(W2032="unavailable",Y2032="unavailable"),"不可评价",IF(AND(OR(W2032="positive",W2032="equivocal"),OR(Y2032="positive",Y2032="equivocal")),"a",IF(OR(Y2032="positive",Y2032="equivocal"),"b",IF(OR(W2032="positive",W2032="equivocal"),"c","d"))))</x:f>
        <x:v>d</x:v>
      </x:c>
      <x:c r="AF2032" s="12" t="str">
        <x:f>IF(OR(W2032="unavailable",Y2032="unavailable"),"不可评价",IF(AND(W2032="positive",Y2032="positive"),"a",IF(Y2032="positive","b",IF(W2032="positive","c","d"))))</x:f>
        <x:v>d</x:v>
      </x:c>
    </x:row>
    <x:row r="2033" ht="24" customHeight="1">
      <x:c r="A2033" s="12" t="str">
        <x:v>19424</x:v>
      </x:c>
      <x:c r="B2033" s="12" t="str">
        <x:v>13052</x:v>
      </x:c>
      <x:c r="C2033" s="21" t="n">
        <x:v>35999.593148148146</x:v>
      </x:c>
      <x:c r="D2033" s="12" t="n">
        <x:v>38</x:v>
      </x:c>
      <x:c r="E2033" s="12" t="n">
        <x:v>1</x:v>
      </x:c>
      <x:c r="F2033" s="12" t="str">
        <x:v>未记录</x:v>
      </x:c>
      <x:c r="G2033" s="12" t="n">
        <x:v>1</x:v>
      </x:c>
      <x:c r="H2033" s="12" t="str">
        <x:v>{'NORM': 100.0, 'SBRAD': 0.0}</x:v>
      </x:c>
      <x:c r="I2033" s="12" t="str">
        <x:v>[('MSBRAD', 100.0), ('AB', 100.0)]</x:v>
      </x:c>
      <x:c r="J2033" s="12" t="str">
        <x:v>ptbxl_database.csv；ecg_id=19424；scp_codes</x:v>
      </x:c>
      <x:c r="K2033" s="12" t="str">
        <x:v>12sl_statements.csv；ecg_id=19424；statements_ext_snomed</x:v>
      </x:c>
      <x:c r="L2033" s="12"/>
      <x:c r="M2033" s="12" t="str">
        <x:v>negative</x:v>
      </x:c>
      <x:c r="N2033" s="12"/>
      <x:c r="O2033" s="12" t="str">
        <x:v>negative</x:v>
      </x:c>
      <x:c r="P2033" s="12" t="str">
        <x:f>IF(OR(M2033="unavailable",O2033="unavailable"),"不可评价",IF(OR(M2033="equivocal",O2033="equivocal"),"疑似",IF(AND(M2033="positive",O2033="positive"),"a",IF(O2033="positive","b",IF(M2033="positive","c","d")))))</x:f>
        <x:v>d</x:v>
      </x:c>
      <x:c r="Q2033" s="12"/>
      <x:c r="R2033" s="12" t="str">
        <x:v>negative</x:v>
      </x:c>
      <x:c r="S2033" s="12"/>
      <x:c r="T2033" s="12" t="str">
        <x:v>negative</x:v>
      </x:c>
      <x:c r="U2033" s="12" t="str">
        <x:f>IF(OR(R2033="unavailable",T2033="unavailable"),"不可评价",IF(OR(R2033="equivocal",T2033="equivocal"),"疑似",IF(AND(R2033="positive",T2033="positive"),"a",IF(T2033="positive","b",IF(R2033="positive","c","d")))))</x:f>
        <x:v>d</x:v>
      </x:c>
      <x:c r="V2033" s="12"/>
      <x:c r="W2033" s="12" t="str">
        <x:v>negative</x:v>
      </x:c>
      <x:c r="X2033" s="12"/>
      <x:c r="Y2033" s="12" t="str">
        <x:v>negative</x:v>
      </x:c>
      <x:c r="Z2033" s="12" t="str">
        <x:f>IF(OR(W2033="unavailable",Y2033="unavailable"),"不可评价",IF(OR(W2033="equivocal",Y2033="equivocal"),"疑似",IF(AND(W2033="positive",Y2033="positive"),"a",IF(Y2033="positive","b",IF(W2033="positive","c","d")))))</x:f>
        <x:v>d</x:v>
      </x:c>
      <x:c r="AA2033" s="12" t="str">
        <x:f>IF(OR(M2033="unavailable",O2033="unavailable"),"不可评价",IF(AND(OR(M2033="positive",M2033="equivocal"),OR(O2033="positive",O2033="equivocal")),"a",IF(OR(O2033="positive",O2033="equivocal"),"b",IF(OR(M2033="positive",M2033="equivocal"),"c","d"))))</x:f>
        <x:v>d</x:v>
      </x:c>
      <x:c r="AB2033" s="12" t="str">
        <x:f>IF(OR(M2033="unavailable",O2033="unavailable"),"不可评价",IF(AND(M2033="positive",O2033="positive"),"a",IF(O2033="positive","b",IF(M2033="positive","c","d"))))</x:f>
        <x:v>d</x:v>
      </x:c>
      <x:c r="AC2033" s="12" t="str">
        <x:f>IF(OR(R2033="unavailable",T2033="unavailable"),"不可评价",IF(AND(OR(R2033="positive",R2033="equivocal"),OR(T2033="positive",T2033="equivocal")),"a",IF(OR(T2033="positive",T2033="equivocal"),"b",IF(OR(R2033="positive",R2033="equivocal"),"c","d"))))</x:f>
        <x:v>d</x:v>
      </x:c>
      <x:c r="AD2033" s="12" t="str">
        <x:f>IF(OR(R2033="unavailable",T2033="unavailable"),"不可评价",IF(AND(R2033="positive",T2033="positive"),"a",IF(T2033="positive","b",IF(R2033="positive","c","d"))))</x:f>
        <x:v>d</x:v>
      </x:c>
      <x:c r="AE2033" s="12" t="str">
        <x:f>IF(OR(W2033="unavailable",Y2033="unavailable"),"不可评价",IF(AND(OR(W2033="positive",W2033="equivocal"),OR(Y2033="positive",Y2033="equivocal")),"a",IF(OR(Y2033="positive",Y2033="equivocal"),"b",IF(OR(W2033="positive",W2033="equivocal"),"c","d"))))</x:f>
        <x:v>d</x:v>
      </x:c>
      <x:c r="AF2033" s="12" t="str">
        <x:f>IF(OR(W2033="unavailable",Y2033="unavailable"),"不可评价",IF(AND(W2033="positive",Y2033="positive"),"a",IF(Y2033="positive","b",IF(W2033="positive","c","d"))))</x:f>
        <x:v>d</x:v>
      </x:c>
    </x:row>
    <x:row r="2034" ht="24" customHeight="1">
      <x:c r="A2034" s="12" t="str">
        <x:v>19427</x:v>
      </x:c>
      <x:c r="B2034" s="12" t="str">
        <x:v>21485</x:v>
      </x:c>
      <x:c r="C2034" s="21" t="n">
        <x:v>36001.2999537037</x:v>
      </x:c>
      <x:c r="D2034" s="12" t="n">
        <x:v>41</x:v>
      </x:c>
      <x:c r="E2034" s="12" t="n">
        <x:v>1</x:v>
      </x:c>
      <x:c r="F2034" s="12" t="str">
        <x:v>未记录</x:v>
      </x:c>
      <x:c r="G2034" s="12" t="n">
        <x:v>1</x:v>
      </x:c>
      <x:c r="H2034" s="12" t="str">
        <x:v>{'NDT': 100.0, 'SR': 0.0}</x:v>
      </x:c>
      <x:c r="I2034" s="12" t="str">
        <x:v>[('NSR', 100.0), ('SAR', 100.0), ('NSTT', 100.0), ('AB', 100.0)]</x:v>
      </x:c>
      <x:c r="J2034" s="12" t="str">
        <x:v>ptbxl_database.csv；ecg_id=19427；scp_codes</x:v>
      </x:c>
      <x:c r="K2034" s="12" t="str">
        <x:v>12sl_statements.csv；ecg_id=19427；statements_ext_snomed</x:v>
      </x:c>
      <x:c r="L2034" s="12"/>
      <x:c r="M2034" s="12" t="str">
        <x:v>negative</x:v>
      </x:c>
      <x:c r="N2034" s="12"/>
      <x:c r="O2034" s="12" t="str">
        <x:v>negative</x:v>
      </x:c>
      <x:c r="P2034" s="12" t="str">
        <x:f>IF(OR(M2034="unavailable",O2034="unavailable"),"不可评价",IF(OR(M2034="equivocal",O2034="equivocal"),"疑似",IF(AND(M2034="positive",O2034="positive"),"a",IF(O2034="positive","b",IF(M2034="positive","c","d")))))</x:f>
        <x:v>d</x:v>
      </x:c>
      <x:c r="Q2034" s="12"/>
      <x:c r="R2034" s="12" t="str">
        <x:v>negative</x:v>
      </x:c>
      <x:c r="S2034" s="12"/>
      <x:c r="T2034" s="12" t="str">
        <x:v>negative</x:v>
      </x:c>
      <x:c r="U2034" s="12" t="str">
        <x:f>IF(OR(R2034="unavailable",T2034="unavailable"),"不可评价",IF(OR(R2034="equivocal",T2034="equivocal"),"疑似",IF(AND(R2034="positive",T2034="positive"),"a",IF(T2034="positive","b",IF(R2034="positive","c","d")))))</x:f>
        <x:v>d</x:v>
      </x:c>
      <x:c r="V2034" s="12"/>
      <x:c r="W2034" s="12" t="str">
        <x:v>negative</x:v>
      </x:c>
      <x:c r="X2034" s="12"/>
      <x:c r="Y2034" s="12" t="str">
        <x:v>negative</x:v>
      </x:c>
      <x:c r="Z2034" s="12" t="str">
        <x:f>IF(OR(W2034="unavailable",Y2034="unavailable"),"不可评价",IF(OR(W2034="equivocal",Y2034="equivocal"),"疑似",IF(AND(W2034="positive",Y2034="positive"),"a",IF(Y2034="positive","b",IF(W2034="positive","c","d")))))</x:f>
        <x:v>d</x:v>
      </x:c>
      <x:c r="AA2034" s="12" t="str">
        <x:f>IF(OR(M2034="unavailable",O2034="unavailable"),"不可评价",IF(AND(OR(M2034="positive",M2034="equivocal"),OR(O2034="positive",O2034="equivocal")),"a",IF(OR(O2034="positive",O2034="equivocal"),"b",IF(OR(M2034="positive",M2034="equivocal"),"c","d"))))</x:f>
        <x:v>d</x:v>
      </x:c>
      <x:c r="AB2034" s="12" t="str">
        <x:f>IF(OR(M2034="unavailable",O2034="unavailable"),"不可评价",IF(AND(M2034="positive",O2034="positive"),"a",IF(O2034="positive","b",IF(M2034="positive","c","d"))))</x:f>
        <x:v>d</x:v>
      </x:c>
      <x:c r="AC2034" s="12" t="str">
        <x:f>IF(OR(R2034="unavailable",T2034="unavailable"),"不可评价",IF(AND(OR(R2034="positive",R2034="equivocal"),OR(T2034="positive",T2034="equivocal")),"a",IF(OR(T2034="positive",T2034="equivocal"),"b",IF(OR(R2034="positive",R2034="equivocal"),"c","d"))))</x:f>
        <x:v>d</x:v>
      </x:c>
      <x:c r="AD2034" s="12" t="str">
        <x:f>IF(OR(R2034="unavailable",T2034="unavailable"),"不可评价",IF(AND(R2034="positive",T2034="positive"),"a",IF(T2034="positive","b",IF(R2034="positive","c","d"))))</x:f>
        <x:v>d</x:v>
      </x:c>
      <x:c r="AE2034" s="12" t="str">
        <x:f>IF(OR(W2034="unavailable",Y2034="unavailable"),"不可评价",IF(AND(OR(W2034="positive",W2034="equivocal"),OR(Y2034="positive",Y2034="equivocal")),"a",IF(OR(Y2034="positive",Y2034="equivocal"),"b",IF(OR(W2034="positive",W2034="equivocal"),"c","d"))))</x:f>
        <x:v>d</x:v>
      </x:c>
      <x:c r="AF2034" s="12" t="str">
        <x:f>IF(OR(W2034="unavailable",Y2034="unavailable"),"不可评价",IF(AND(W2034="positive",Y2034="positive"),"a",IF(Y2034="positive","b",IF(W2034="positive","c","d"))))</x:f>
        <x:v>d</x:v>
      </x:c>
    </x:row>
    <x:row r="2035" ht="24" customHeight="1">
      <x:c r="A2035" s="12" t="str">
        <x:v>19432</x:v>
      </x:c>
      <x:c r="B2035" s="12" t="str">
        <x:v>12298</x:v>
      </x:c>
      <x:c r="C2035" s="21" t="n">
        <x:v>36002.34375</x:v>
      </x:c>
      <x:c r="D2035" s="12" t="n">
        <x:v>21</x:v>
      </x:c>
      <x:c r="E2035" s="12" t="n">
        <x:v>0</x:v>
      </x:c>
      <x:c r="F2035" s="12" t="str">
        <x:v>未记录</x:v>
      </x:c>
      <x:c r="G2035" s="12" t="n">
        <x:v>1</x:v>
      </x:c>
      <x:c r="H2035" s="12" t="str">
        <x:v>{'NORM': 100.0, 'SR': 0.0}</x:v>
      </x:c>
      <x:c r="I2035" s="12" t="str">
        <x:v>[('NSR', 100.0), ('BORDE', 100.0)]</x:v>
      </x:c>
      <x:c r="J2035" s="12" t="str">
        <x:v>ptbxl_database.csv；ecg_id=19432；scp_codes</x:v>
      </x:c>
      <x:c r="K2035" s="12" t="str">
        <x:v>12sl_statements.csv；ecg_id=19432；statements_ext_snomed</x:v>
      </x:c>
      <x:c r="L2035" s="12"/>
      <x:c r="M2035" s="12" t="str">
        <x:v>negative</x:v>
      </x:c>
      <x:c r="N2035" s="12"/>
      <x:c r="O2035" s="12" t="str">
        <x:v>negative</x:v>
      </x:c>
      <x:c r="P2035" s="12" t="str">
        <x:f>IF(OR(M2035="unavailable",O2035="unavailable"),"不可评价",IF(OR(M2035="equivocal",O2035="equivocal"),"疑似",IF(AND(M2035="positive",O2035="positive"),"a",IF(O2035="positive","b",IF(M2035="positive","c","d")))))</x:f>
        <x:v>d</x:v>
      </x:c>
      <x:c r="Q2035" s="12"/>
      <x:c r="R2035" s="12" t="str">
        <x:v>negative</x:v>
      </x:c>
      <x:c r="S2035" s="12"/>
      <x:c r="T2035" s="12" t="str">
        <x:v>negative</x:v>
      </x:c>
      <x:c r="U2035" s="12" t="str">
        <x:f>IF(OR(R2035="unavailable",T2035="unavailable"),"不可评价",IF(OR(R2035="equivocal",T2035="equivocal"),"疑似",IF(AND(R2035="positive",T2035="positive"),"a",IF(T2035="positive","b",IF(R2035="positive","c","d")))))</x:f>
        <x:v>d</x:v>
      </x:c>
      <x:c r="V2035" s="12"/>
      <x:c r="W2035" s="12" t="str">
        <x:v>negative</x:v>
      </x:c>
      <x:c r="X2035" s="12"/>
      <x:c r="Y2035" s="12" t="str">
        <x:v>negative</x:v>
      </x:c>
      <x:c r="Z2035" s="12" t="str">
        <x:f>IF(OR(W2035="unavailable",Y2035="unavailable"),"不可评价",IF(OR(W2035="equivocal",Y2035="equivocal"),"疑似",IF(AND(W2035="positive",Y2035="positive"),"a",IF(Y2035="positive","b",IF(W2035="positive","c","d")))))</x:f>
        <x:v>d</x:v>
      </x:c>
      <x:c r="AA2035" s="12" t="str">
        <x:f>IF(OR(M2035="unavailable",O2035="unavailable"),"不可评价",IF(AND(OR(M2035="positive",M2035="equivocal"),OR(O2035="positive",O2035="equivocal")),"a",IF(OR(O2035="positive",O2035="equivocal"),"b",IF(OR(M2035="positive",M2035="equivocal"),"c","d"))))</x:f>
        <x:v>d</x:v>
      </x:c>
      <x:c r="AB2035" s="12" t="str">
        <x:f>IF(OR(M2035="unavailable",O2035="unavailable"),"不可评价",IF(AND(M2035="positive",O2035="positive"),"a",IF(O2035="positive","b",IF(M2035="positive","c","d"))))</x:f>
        <x:v>d</x:v>
      </x:c>
      <x:c r="AC2035" s="12" t="str">
        <x:f>IF(OR(R2035="unavailable",T2035="unavailable"),"不可评价",IF(AND(OR(R2035="positive",R2035="equivocal"),OR(T2035="positive",T2035="equivocal")),"a",IF(OR(T2035="positive",T2035="equivocal"),"b",IF(OR(R2035="positive",R2035="equivocal"),"c","d"))))</x:f>
        <x:v>d</x:v>
      </x:c>
      <x:c r="AD2035" s="12" t="str">
        <x:f>IF(OR(R2035="unavailable",T2035="unavailable"),"不可评价",IF(AND(R2035="positive",T2035="positive"),"a",IF(T2035="positive","b",IF(R2035="positive","c","d"))))</x:f>
        <x:v>d</x:v>
      </x:c>
      <x:c r="AE2035" s="12" t="str">
        <x:f>IF(OR(W2035="unavailable",Y2035="unavailable"),"不可评价",IF(AND(OR(W2035="positive",W2035="equivocal"),OR(Y2035="positive",Y2035="equivocal")),"a",IF(OR(Y2035="positive",Y2035="equivocal"),"b",IF(OR(W2035="positive",W2035="equivocal"),"c","d"))))</x:f>
        <x:v>d</x:v>
      </x:c>
      <x:c r="AF2035" s="12" t="str">
        <x:f>IF(OR(W2035="unavailable",Y2035="unavailable"),"不可评价",IF(AND(W2035="positive",Y2035="positive"),"a",IF(Y2035="positive","b",IF(W2035="positive","c","d"))))</x:f>
        <x:v>d</x:v>
      </x:c>
    </x:row>
    <x:row r="2036" ht="24" customHeight="1">
      <x:c r="A2036" s="12" t="str">
        <x:v>19461</x:v>
      </x:c>
      <x:c r="B2036" s="12" t="str">
        <x:v>13032</x:v>
      </x:c>
      <x:c r="C2036" s="21" t="n">
        <x:v>36009.002222222225</x:v>
      </x:c>
      <x:c r="D2036" s="12" t="n">
        <x:v>42</x:v>
      </x:c>
      <x:c r="E2036" s="12" t="n">
        <x:v>1</x:v>
      </x:c>
      <x:c r="F2036" s="12" t="str">
        <x:v>未记录</x:v>
      </x:c>
      <x:c r="G2036" s="12" t="n">
        <x:v>1</x:v>
      </x:c>
      <x:c r="H2036" s="12" t="str">
        <x:v>{'NORM': 100.0, 'IVCD': 100.0, 'SR': 0.0}</x:v>
      </x:c>
      <x:c r="I2036" s="12" t="str">
        <x:v>[('NSR', 100.0), ('NML', 100.0)]</x:v>
      </x:c>
      <x:c r="J2036" s="12" t="str">
        <x:v>ptbxl_database.csv；ecg_id=19461；scp_codes</x:v>
      </x:c>
      <x:c r="K2036" s="12" t="str">
        <x:v>12sl_statements.csv；ecg_id=19461；statements_ext_snomed</x:v>
      </x:c>
      <x:c r="L2036" s="12"/>
      <x:c r="M2036" s="12" t="str">
        <x:v>negative</x:v>
      </x:c>
      <x:c r="N2036" s="12"/>
      <x:c r="O2036" s="12" t="str">
        <x:v>negative</x:v>
      </x:c>
      <x:c r="P2036" s="12" t="str">
        <x:f>IF(OR(M2036="unavailable",O2036="unavailable"),"不可评价",IF(OR(M2036="equivocal",O2036="equivocal"),"疑似",IF(AND(M2036="positive",O2036="positive"),"a",IF(O2036="positive","b",IF(M2036="positive","c","d")))))</x:f>
        <x:v>d</x:v>
      </x:c>
      <x:c r="Q2036" s="12"/>
      <x:c r="R2036" s="12" t="str">
        <x:v>negative</x:v>
      </x:c>
      <x:c r="S2036" s="12"/>
      <x:c r="T2036" s="12" t="str">
        <x:v>negative</x:v>
      </x:c>
      <x:c r="U2036" s="12" t="str">
        <x:f>IF(OR(R2036="unavailable",T2036="unavailable"),"不可评价",IF(OR(R2036="equivocal",T2036="equivocal"),"疑似",IF(AND(R2036="positive",T2036="positive"),"a",IF(T2036="positive","b",IF(R2036="positive","c","d")))))</x:f>
        <x:v>d</x:v>
      </x:c>
      <x:c r="V2036" s="12"/>
      <x:c r="W2036" s="12" t="str">
        <x:v>negative</x:v>
      </x:c>
      <x:c r="X2036" s="12"/>
      <x:c r="Y2036" s="12" t="str">
        <x:v>negative</x:v>
      </x:c>
      <x:c r="Z2036" s="12" t="str">
        <x:f>IF(OR(W2036="unavailable",Y2036="unavailable"),"不可评价",IF(OR(W2036="equivocal",Y2036="equivocal"),"疑似",IF(AND(W2036="positive",Y2036="positive"),"a",IF(Y2036="positive","b",IF(W2036="positive","c","d")))))</x:f>
        <x:v>d</x:v>
      </x:c>
      <x:c r="AA2036" s="12" t="str">
        <x:f>IF(OR(M2036="unavailable",O2036="unavailable"),"不可评价",IF(AND(OR(M2036="positive",M2036="equivocal"),OR(O2036="positive",O2036="equivocal")),"a",IF(OR(O2036="positive",O2036="equivocal"),"b",IF(OR(M2036="positive",M2036="equivocal"),"c","d"))))</x:f>
        <x:v>d</x:v>
      </x:c>
      <x:c r="AB2036" s="12" t="str">
        <x:f>IF(OR(M2036="unavailable",O2036="unavailable"),"不可评价",IF(AND(M2036="positive",O2036="positive"),"a",IF(O2036="positive","b",IF(M2036="positive","c","d"))))</x:f>
        <x:v>d</x:v>
      </x:c>
      <x:c r="AC2036" s="12" t="str">
        <x:f>IF(OR(R2036="unavailable",T2036="unavailable"),"不可评价",IF(AND(OR(R2036="positive",R2036="equivocal"),OR(T2036="positive",T2036="equivocal")),"a",IF(OR(T2036="positive",T2036="equivocal"),"b",IF(OR(R2036="positive",R2036="equivocal"),"c","d"))))</x:f>
        <x:v>d</x:v>
      </x:c>
      <x:c r="AD2036" s="12" t="str">
        <x:f>IF(OR(R2036="unavailable",T2036="unavailable"),"不可评价",IF(AND(R2036="positive",T2036="positive"),"a",IF(T2036="positive","b",IF(R2036="positive","c","d"))))</x:f>
        <x:v>d</x:v>
      </x:c>
      <x:c r="AE2036" s="12" t="str">
        <x:f>IF(OR(W2036="unavailable",Y2036="unavailable"),"不可评价",IF(AND(OR(W2036="positive",W2036="equivocal"),OR(Y2036="positive",Y2036="equivocal")),"a",IF(OR(Y2036="positive",Y2036="equivocal"),"b",IF(OR(W2036="positive",W2036="equivocal"),"c","d"))))</x:f>
        <x:v>d</x:v>
      </x:c>
      <x:c r="AF2036" s="12" t="str">
        <x:f>IF(OR(W2036="unavailable",Y2036="unavailable"),"不可评价",IF(AND(W2036="positive",Y2036="positive"),"a",IF(Y2036="positive","b",IF(W2036="positive","c","d"))))</x:f>
        <x:v>d</x:v>
      </x:c>
    </x:row>
    <x:row r="2037" ht="24" customHeight="1">
      <x:c r="A2037" s="12" t="str">
        <x:v>19466</x:v>
      </x:c>
      <x:c r="B2037" s="12" t="str">
        <x:v>20266</x:v>
      </x:c>
      <x:c r="C2037" s="21" t="n">
        <x:v>36009.42324074074</x:v>
      </x:c>
      <x:c r="D2037" s="12" t="n">
        <x:v>68</x:v>
      </x:c>
      <x:c r="E2037" s="12" t="n">
        <x:v>0</x:v>
      </x:c>
      <x:c r="F2037" s="12" t="str">
        <x:v>未记录</x:v>
      </x:c>
      <x:c r="G2037" s="12" t="n">
        <x:v>1</x:v>
      </x:c>
      <x:c r="H2037" s="12" t="str">
        <x:v>{'NORM': 100.0, 'SR': 0.0}</x:v>
      </x:c>
      <x:c r="I2037" s="12" t="str">
        <x:v>[('NSR', 100.0), ('NML', 100.0)]</x:v>
      </x:c>
      <x:c r="J2037" s="12" t="str">
        <x:v>ptbxl_database.csv；ecg_id=19466；scp_codes</x:v>
      </x:c>
      <x:c r="K2037" s="12" t="str">
        <x:v>12sl_statements.csv；ecg_id=19466；statements_ext_snomed</x:v>
      </x:c>
      <x:c r="L2037" s="12"/>
      <x:c r="M2037" s="12" t="str">
        <x:v>negative</x:v>
      </x:c>
      <x:c r="N2037" s="12"/>
      <x:c r="O2037" s="12" t="str">
        <x:v>negative</x:v>
      </x:c>
      <x:c r="P2037" s="12" t="str">
        <x:f>IF(OR(M2037="unavailable",O2037="unavailable"),"不可评价",IF(OR(M2037="equivocal",O2037="equivocal"),"疑似",IF(AND(M2037="positive",O2037="positive"),"a",IF(O2037="positive","b",IF(M2037="positive","c","d")))))</x:f>
        <x:v>d</x:v>
      </x:c>
      <x:c r="Q2037" s="12"/>
      <x:c r="R2037" s="12" t="str">
        <x:v>negative</x:v>
      </x:c>
      <x:c r="S2037" s="12"/>
      <x:c r="T2037" s="12" t="str">
        <x:v>negative</x:v>
      </x:c>
      <x:c r="U2037" s="12" t="str">
        <x:f>IF(OR(R2037="unavailable",T2037="unavailable"),"不可评价",IF(OR(R2037="equivocal",T2037="equivocal"),"疑似",IF(AND(R2037="positive",T2037="positive"),"a",IF(T2037="positive","b",IF(R2037="positive","c","d")))))</x:f>
        <x:v>d</x:v>
      </x:c>
      <x:c r="V2037" s="12"/>
      <x:c r="W2037" s="12" t="str">
        <x:v>negative</x:v>
      </x:c>
      <x:c r="X2037" s="12"/>
      <x:c r="Y2037" s="12" t="str">
        <x:v>negative</x:v>
      </x:c>
      <x:c r="Z2037" s="12" t="str">
        <x:f>IF(OR(W2037="unavailable",Y2037="unavailable"),"不可评价",IF(OR(W2037="equivocal",Y2037="equivocal"),"疑似",IF(AND(W2037="positive",Y2037="positive"),"a",IF(Y2037="positive","b",IF(W2037="positive","c","d")))))</x:f>
        <x:v>d</x:v>
      </x:c>
      <x:c r="AA2037" s="12" t="str">
        <x:f>IF(OR(M2037="unavailable",O2037="unavailable"),"不可评价",IF(AND(OR(M2037="positive",M2037="equivocal"),OR(O2037="positive",O2037="equivocal")),"a",IF(OR(O2037="positive",O2037="equivocal"),"b",IF(OR(M2037="positive",M2037="equivocal"),"c","d"))))</x:f>
        <x:v>d</x:v>
      </x:c>
      <x:c r="AB2037" s="12" t="str">
        <x:f>IF(OR(M2037="unavailable",O2037="unavailable"),"不可评价",IF(AND(M2037="positive",O2037="positive"),"a",IF(O2037="positive","b",IF(M2037="positive","c","d"))))</x:f>
        <x:v>d</x:v>
      </x:c>
      <x:c r="AC2037" s="12" t="str">
        <x:f>IF(OR(R2037="unavailable",T2037="unavailable"),"不可评价",IF(AND(OR(R2037="positive",R2037="equivocal"),OR(T2037="positive",T2037="equivocal")),"a",IF(OR(T2037="positive",T2037="equivocal"),"b",IF(OR(R2037="positive",R2037="equivocal"),"c","d"))))</x:f>
        <x:v>d</x:v>
      </x:c>
      <x:c r="AD2037" s="12" t="str">
        <x:f>IF(OR(R2037="unavailable",T2037="unavailable"),"不可评价",IF(AND(R2037="positive",T2037="positive"),"a",IF(T2037="positive","b",IF(R2037="positive","c","d"))))</x:f>
        <x:v>d</x:v>
      </x:c>
      <x:c r="AE2037" s="12" t="str">
        <x:f>IF(OR(W2037="unavailable",Y2037="unavailable"),"不可评价",IF(AND(OR(W2037="positive",W2037="equivocal"),OR(Y2037="positive",Y2037="equivocal")),"a",IF(OR(Y2037="positive",Y2037="equivocal"),"b",IF(OR(W2037="positive",W2037="equivocal"),"c","d"))))</x:f>
        <x:v>d</x:v>
      </x:c>
      <x:c r="AF2037" s="12" t="str">
        <x:f>IF(OR(W2037="unavailable",Y2037="unavailable"),"不可评价",IF(AND(W2037="positive",Y2037="positive"),"a",IF(Y2037="positive","b",IF(W2037="positive","c","d"))))</x:f>
        <x:v>d</x:v>
      </x:c>
    </x:row>
    <x:row r="2038" ht="39" customHeight="1">
      <x:c r="A2038" s="12" t="str">
        <x:v>19507</x:v>
      </x:c>
      <x:c r="B2038" s="12" t="str">
        <x:v>16049</x:v>
      </x:c>
      <x:c r="C2038" s="21" t="n">
        <x:v>36020.828252314815</x:v>
      </x:c>
      <x:c r="D2038" s="12" t="n">
        <x:v>88</x:v>
      </x:c>
      <x:c r="E2038" s="12" t="n">
        <x:v>1</x:v>
      </x:c>
      <x:c r="F2038" s="12" t="str">
        <x:v>存在</x:v>
      </x:c>
      <x:c r="G2038" s="12" t="n">
        <x:v>1</x:v>
      </x:c>
      <x:c r="H2038" s="12" t="str">
        <x:v>{'ASMI': 100.0, 'IMI': 100.0, 'ABQRS': 0.0, 'STACH': 0.0}</x:v>
      </x:c>
      <x:c r="I2038" s="12" t="str">
        <x:v>[('STACH', 100.0), ('LAD3', 100.0), ('LVH2', 100.0), ('2ST', 100.0), ('IMI;AU', 100.0), ('AB', 100.0)]</x:v>
      </x:c>
      <x:c r="J2038" s="12" t="str">
        <x:v>ptbxl_database.csv；ecg_id=19507；scp_codes</x:v>
      </x:c>
      <x:c r="K2038" s="12" t="str">
        <x:v>12sl_statements.csv；ecg_id=19507；statements_ext_snomed</x:v>
      </x:c>
      <x:c r="L2038" s="12"/>
      <x:c r="M2038" s="12" t="str">
        <x:v>negative</x:v>
      </x:c>
      <x:c r="N2038" s="12"/>
      <x:c r="O2038" s="12" t="str">
        <x:v>negative</x:v>
      </x:c>
      <x:c r="P2038" s="12" t="str">
        <x:f>IF(OR(M2038="unavailable",O2038="unavailable"),"不可评价",IF(OR(M2038="equivocal",O2038="equivocal"),"疑似",IF(AND(M2038="positive",O2038="positive"),"a",IF(O2038="positive","b",IF(M2038="positive","c","d")))))</x:f>
        <x:v>d</x:v>
      </x:c>
      <x:c r="Q2038" s="12"/>
      <x:c r="R2038" s="12" t="str">
        <x:v>negative</x:v>
      </x:c>
      <x:c r="S2038" s="12"/>
      <x:c r="T2038" s="12" t="str">
        <x:v>negative</x:v>
      </x:c>
      <x:c r="U2038" s="12" t="str">
        <x:f>IF(OR(R2038="unavailable",T2038="unavailable"),"不可评价",IF(OR(R2038="equivocal",T2038="equivocal"),"疑似",IF(AND(R2038="positive",T2038="positive"),"a",IF(T2038="positive","b",IF(R2038="positive","c","d")))))</x:f>
        <x:v>d</x:v>
      </x:c>
      <x:c r="V2038" s="12"/>
      <x:c r="W2038" s="12" t="str">
        <x:v>negative</x:v>
      </x:c>
      <x:c r="X2038" s="12"/>
      <x:c r="Y2038" s="12" t="str">
        <x:v>negative</x:v>
      </x:c>
      <x:c r="Z2038" s="12" t="str">
        <x:f>IF(OR(W2038="unavailable",Y2038="unavailable"),"不可评价",IF(OR(W2038="equivocal",Y2038="equivocal"),"疑似",IF(AND(W2038="positive",Y2038="positive"),"a",IF(Y2038="positive","b",IF(W2038="positive","c","d")))))</x:f>
        <x:v>d</x:v>
      </x:c>
      <x:c r="AA2038" s="12" t="str">
        <x:f>IF(OR(M2038="unavailable",O2038="unavailable"),"不可评价",IF(AND(OR(M2038="positive",M2038="equivocal"),OR(O2038="positive",O2038="equivocal")),"a",IF(OR(O2038="positive",O2038="equivocal"),"b",IF(OR(M2038="positive",M2038="equivocal"),"c","d"))))</x:f>
        <x:v>d</x:v>
      </x:c>
      <x:c r="AB2038" s="12" t="str">
        <x:f>IF(OR(M2038="unavailable",O2038="unavailable"),"不可评价",IF(AND(M2038="positive",O2038="positive"),"a",IF(O2038="positive","b",IF(M2038="positive","c","d"))))</x:f>
        <x:v>d</x:v>
      </x:c>
      <x:c r="AC2038" s="12" t="str">
        <x:f>IF(OR(R2038="unavailable",T2038="unavailable"),"不可评价",IF(AND(OR(R2038="positive",R2038="equivocal"),OR(T2038="positive",T2038="equivocal")),"a",IF(OR(T2038="positive",T2038="equivocal"),"b",IF(OR(R2038="positive",R2038="equivocal"),"c","d"))))</x:f>
        <x:v>d</x:v>
      </x:c>
      <x:c r="AD2038" s="12" t="str">
        <x:f>IF(OR(R2038="unavailable",T2038="unavailable"),"不可评价",IF(AND(R2038="positive",T2038="positive"),"a",IF(T2038="positive","b",IF(R2038="positive","c","d"))))</x:f>
        <x:v>d</x:v>
      </x:c>
      <x:c r="AE2038" s="12" t="str">
        <x:f>IF(OR(W2038="unavailable",Y2038="unavailable"),"不可评价",IF(AND(OR(W2038="positive",W2038="equivocal"),OR(Y2038="positive",Y2038="equivocal")),"a",IF(OR(Y2038="positive",Y2038="equivocal"),"b",IF(OR(W2038="positive",W2038="equivocal"),"c","d"))))</x:f>
        <x:v>d</x:v>
      </x:c>
      <x:c r="AF2038" s="12" t="str">
        <x:f>IF(OR(W2038="unavailable",Y2038="unavailable"),"不可评价",IF(AND(W2038="positive",Y2038="positive"),"a",IF(Y2038="positive","b",IF(W2038="positive","c","d"))))</x:f>
        <x:v>d</x:v>
      </x:c>
    </x:row>
    <x:row r="2039" ht="24" customHeight="1">
      <x:c r="A2039" s="12" t="str">
        <x:v>19517</x:v>
      </x:c>
      <x:c r="B2039" s="12" t="str">
        <x:v>20736</x:v>
      </x:c>
      <x:c r="C2039" s="21" t="n">
        <x:v>36023.41291666667</x:v>
      </x:c>
      <x:c r="D2039" s="12" t="n">
        <x:v>61</x:v>
      </x:c>
      <x:c r="E2039" s="12" t="n">
        <x:v>0</x:v>
      </x:c>
      <x:c r="F2039" s="12" t="str">
        <x:v>未记录</x:v>
      </x:c>
      <x:c r="G2039" s="12" t="n">
        <x:v>1</x:v>
      </x:c>
      <x:c r="H2039" s="12" t="str">
        <x:v>{'NDT': 100.0, 'SR': 0.0}</x:v>
      </x:c>
      <x:c r="I2039" s="12" t="str">
        <x:v>[('NSR', 100.0), ('IMI;AU', 50.0), ('AB', 100.0)]</x:v>
      </x:c>
      <x:c r="J2039" s="12" t="str">
        <x:v>ptbxl_database.csv；ecg_id=19517；scp_codes</x:v>
      </x:c>
      <x:c r="K2039" s="12" t="str">
        <x:v>12sl_statements.csv；ecg_id=19517；statements_ext_snomed</x:v>
      </x:c>
      <x:c r="L2039" s="12"/>
      <x:c r="M2039" s="12" t="str">
        <x:v>negative</x:v>
      </x:c>
      <x:c r="N2039" s="12"/>
      <x:c r="O2039" s="12" t="str">
        <x:v>negative</x:v>
      </x:c>
      <x:c r="P2039" s="12" t="str">
        <x:f>IF(OR(M2039="unavailable",O2039="unavailable"),"不可评价",IF(OR(M2039="equivocal",O2039="equivocal"),"疑似",IF(AND(M2039="positive",O2039="positive"),"a",IF(O2039="positive","b",IF(M2039="positive","c","d")))))</x:f>
        <x:v>d</x:v>
      </x:c>
      <x:c r="Q2039" s="12"/>
      <x:c r="R2039" s="12" t="str">
        <x:v>negative</x:v>
      </x:c>
      <x:c r="S2039" s="12"/>
      <x:c r="T2039" s="12" t="str">
        <x:v>negative</x:v>
      </x:c>
      <x:c r="U2039" s="12" t="str">
        <x:f>IF(OR(R2039="unavailable",T2039="unavailable"),"不可评价",IF(OR(R2039="equivocal",T2039="equivocal"),"疑似",IF(AND(R2039="positive",T2039="positive"),"a",IF(T2039="positive","b",IF(R2039="positive","c","d")))))</x:f>
        <x:v>d</x:v>
      </x:c>
      <x:c r="V2039" s="12"/>
      <x:c r="W2039" s="12" t="str">
        <x:v>negative</x:v>
      </x:c>
      <x:c r="X2039" s="12"/>
      <x:c r="Y2039" s="12" t="str">
        <x:v>negative</x:v>
      </x:c>
      <x:c r="Z2039" s="12" t="str">
        <x:f>IF(OR(W2039="unavailable",Y2039="unavailable"),"不可评价",IF(OR(W2039="equivocal",Y2039="equivocal"),"疑似",IF(AND(W2039="positive",Y2039="positive"),"a",IF(Y2039="positive","b",IF(W2039="positive","c","d")))))</x:f>
        <x:v>d</x:v>
      </x:c>
      <x:c r="AA2039" s="12" t="str">
        <x:f>IF(OR(M2039="unavailable",O2039="unavailable"),"不可评价",IF(AND(OR(M2039="positive",M2039="equivocal"),OR(O2039="positive",O2039="equivocal")),"a",IF(OR(O2039="positive",O2039="equivocal"),"b",IF(OR(M2039="positive",M2039="equivocal"),"c","d"))))</x:f>
        <x:v>d</x:v>
      </x:c>
      <x:c r="AB2039" s="12" t="str">
        <x:f>IF(OR(M2039="unavailable",O2039="unavailable"),"不可评价",IF(AND(M2039="positive",O2039="positive"),"a",IF(O2039="positive","b",IF(M2039="positive","c","d"))))</x:f>
        <x:v>d</x:v>
      </x:c>
      <x:c r="AC2039" s="12" t="str">
        <x:f>IF(OR(R2039="unavailable",T2039="unavailable"),"不可评价",IF(AND(OR(R2039="positive",R2039="equivocal"),OR(T2039="positive",T2039="equivocal")),"a",IF(OR(T2039="positive",T2039="equivocal"),"b",IF(OR(R2039="positive",R2039="equivocal"),"c","d"))))</x:f>
        <x:v>d</x:v>
      </x:c>
      <x:c r="AD2039" s="12" t="str">
        <x:f>IF(OR(R2039="unavailable",T2039="unavailable"),"不可评价",IF(AND(R2039="positive",T2039="positive"),"a",IF(T2039="positive","b",IF(R2039="positive","c","d"))))</x:f>
        <x:v>d</x:v>
      </x:c>
      <x:c r="AE2039" s="12" t="str">
        <x:f>IF(OR(W2039="unavailable",Y2039="unavailable"),"不可评价",IF(AND(OR(W2039="positive",W2039="equivocal"),OR(Y2039="positive",Y2039="equivocal")),"a",IF(OR(Y2039="positive",Y2039="equivocal"),"b",IF(OR(W2039="positive",W2039="equivocal"),"c","d"))))</x:f>
        <x:v>d</x:v>
      </x:c>
      <x:c r="AF2039" s="12" t="str">
        <x:f>IF(OR(W2039="unavailable",Y2039="unavailable"),"不可评价",IF(AND(W2039="positive",Y2039="positive"),"a",IF(Y2039="positive","b",IF(W2039="positive","c","d"))))</x:f>
        <x:v>d</x:v>
      </x:c>
    </x:row>
    <x:row r="2040" ht="24" customHeight="1">
      <x:c r="A2040" s="12" t="str">
        <x:v>19526</x:v>
      </x:c>
      <x:c r="B2040" s="12" t="str">
        <x:v>16510</x:v>
      </x:c>
      <x:c r="C2040" s="21" t="n">
        <x:v>36025.67255787037</x:v>
      </x:c>
      <x:c r="D2040" s="12" t="n">
        <x:v>83</x:v>
      </x:c>
      <x:c r="E2040" s="12" t="n">
        <x:v>1</x:v>
      </x:c>
      <x:c r="F2040" s="12" t="str">
        <x:v>未记录</x:v>
      </x:c>
      <x:c r="G2040" s="12" t="n">
        <x:v>1</x:v>
      </x:c>
      <x:c r="H2040" s="12" t="str">
        <x:v>{'ASMI': 15.0, 'LVH': 50.0, 'ISC_': 100.0, 'ABQRS': 0.0, 'SR': 0.0}</x:v>
      </x:c>
      <x:c r="I2040" s="12" t="str">
        <x:v>[('SBRAD', 100.0), ('ST&amp;', 100.0), ('LT', 100.0), ('AB', 100.0)]</x:v>
      </x:c>
      <x:c r="J2040" s="12" t="str">
        <x:v>ptbxl_database.csv；ecg_id=19526；scp_codes</x:v>
      </x:c>
      <x:c r="K2040" s="12" t="str">
        <x:v>12sl_statements.csv；ecg_id=19526；statements_ext_snomed</x:v>
      </x:c>
      <x:c r="L2040" s="12"/>
      <x:c r="M2040" s="12" t="str">
        <x:v>negative</x:v>
      </x:c>
      <x:c r="N2040" s="12"/>
      <x:c r="O2040" s="12" t="str">
        <x:v>negative</x:v>
      </x:c>
      <x:c r="P2040" s="12" t="str">
        <x:f>IF(OR(M2040="unavailable",O2040="unavailable"),"不可评价",IF(OR(M2040="equivocal",O2040="equivocal"),"疑似",IF(AND(M2040="positive",O2040="positive"),"a",IF(O2040="positive","b",IF(M2040="positive","c","d")))))</x:f>
        <x:v>d</x:v>
      </x:c>
      <x:c r="Q2040" s="12"/>
      <x:c r="R2040" s="12" t="str">
        <x:v>negative</x:v>
      </x:c>
      <x:c r="S2040" s="12"/>
      <x:c r="T2040" s="12" t="str">
        <x:v>negative</x:v>
      </x:c>
      <x:c r="U2040" s="12" t="str">
        <x:f>IF(OR(R2040="unavailable",T2040="unavailable"),"不可评价",IF(OR(R2040="equivocal",T2040="equivocal"),"疑似",IF(AND(R2040="positive",T2040="positive"),"a",IF(T2040="positive","b",IF(R2040="positive","c","d")))))</x:f>
        <x:v>d</x:v>
      </x:c>
      <x:c r="V2040" s="12"/>
      <x:c r="W2040" s="12" t="str">
        <x:v>negative</x:v>
      </x:c>
      <x:c r="X2040" s="12"/>
      <x:c r="Y2040" s="12" t="str">
        <x:v>negative</x:v>
      </x:c>
      <x:c r="Z2040" s="12" t="str">
        <x:f>IF(OR(W2040="unavailable",Y2040="unavailable"),"不可评价",IF(OR(W2040="equivocal",Y2040="equivocal"),"疑似",IF(AND(W2040="positive",Y2040="positive"),"a",IF(Y2040="positive","b",IF(W2040="positive","c","d")))))</x:f>
        <x:v>d</x:v>
      </x:c>
      <x:c r="AA2040" s="12" t="str">
        <x:f>IF(OR(M2040="unavailable",O2040="unavailable"),"不可评价",IF(AND(OR(M2040="positive",M2040="equivocal"),OR(O2040="positive",O2040="equivocal")),"a",IF(OR(O2040="positive",O2040="equivocal"),"b",IF(OR(M2040="positive",M2040="equivocal"),"c","d"))))</x:f>
        <x:v>d</x:v>
      </x:c>
      <x:c r="AB2040" s="12" t="str">
        <x:f>IF(OR(M2040="unavailable",O2040="unavailable"),"不可评价",IF(AND(M2040="positive",O2040="positive"),"a",IF(O2040="positive","b",IF(M2040="positive","c","d"))))</x:f>
        <x:v>d</x:v>
      </x:c>
      <x:c r="AC2040" s="12" t="str">
        <x:f>IF(OR(R2040="unavailable",T2040="unavailable"),"不可评价",IF(AND(OR(R2040="positive",R2040="equivocal"),OR(T2040="positive",T2040="equivocal")),"a",IF(OR(T2040="positive",T2040="equivocal"),"b",IF(OR(R2040="positive",R2040="equivocal"),"c","d"))))</x:f>
        <x:v>d</x:v>
      </x:c>
      <x:c r="AD2040" s="12" t="str">
        <x:f>IF(OR(R2040="unavailable",T2040="unavailable"),"不可评价",IF(AND(R2040="positive",T2040="positive"),"a",IF(T2040="positive","b",IF(R2040="positive","c","d"))))</x:f>
        <x:v>d</x:v>
      </x:c>
      <x:c r="AE2040" s="12" t="str">
        <x:f>IF(OR(W2040="unavailable",Y2040="unavailable"),"不可评价",IF(AND(OR(W2040="positive",W2040="equivocal"),OR(Y2040="positive",Y2040="equivocal")),"a",IF(OR(Y2040="positive",Y2040="equivocal"),"b",IF(OR(W2040="positive",W2040="equivocal"),"c","d"))))</x:f>
        <x:v>d</x:v>
      </x:c>
      <x:c r="AF2040" s="12" t="str">
        <x:f>IF(OR(W2040="unavailable",Y2040="unavailable"),"不可评价",IF(AND(W2040="positive",Y2040="positive"),"a",IF(Y2040="positive","b",IF(W2040="positive","c","d"))))</x:f>
        <x:v>d</x:v>
      </x:c>
    </x:row>
    <x:row r="2041" ht="24" customHeight="1">
      <x:c r="A2041" s="12" t="str">
        <x:v>19547</x:v>
      </x:c>
      <x:c r="B2041" s="12" t="str">
        <x:v>11785</x:v>
      </x:c>
      <x:c r="C2041" s="21" t="n">
        <x:v>36030.56774305556</x:v>
      </x:c>
      <x:c r="D2041" s="12" t="n">
        <x:v>63</x:v>
      </x:c>
      <x:c r="E2041" s="12" t="n">
        <x:v>1</x:v>
      </x:c>
      <x:c r="F2041" s="12" t="str">
        <x:v>未记录</x:v>
      </x:c>
      <x:c r="G2041" s="12" t="n">
        <x:v>0</x:v>
      </x:c>
      <x:c r="H2041" s="12" t="str">
        <x:v>{'NDT': 100.0, 'STACH': 0.0}</x:v>
      </x:c>
      <x:c r="I2041" s="12" t="str">
        <x:v>[('STACH', 100.0), ('NST', 100.0), ('AB', 100.0)]</x:v>
      </x:c>
      <x:c r="J2041" s="12" t="str">
        <x:v>ptbxl_database.csv；ecg_id=19547；scp_codes</x:v>
      </x:c>
      <x:c r="K2041" s="12" t="str">
        <x:v>12sl_statements.csv；ecg_id=19547；statements_ext_snomed</x:v>
      </x:c>
      <x:c r="L2041" s="12"/>
      <x:c r="M2041" s="12" t="str">
        <x:v>negative</x:v>
      </x:c>
      <x:c r="N2041" s="12"/>
      <x:c r="O2041" s="12" t="str">
        <x:v>negative</x:v>
      </x:c>
      <x:c r="P2041" s="12" t="str">
        <x:f>IF(OR(M2041="unavailable",O2041="unavailable"),"不可评价",IF(OR(M2041="equivocal",O2041="equivocal"),"疑似",IF(AND(M2041="positive",O2041="positive"),"a",IF(O2041="positive","b",IF(M2041="positive","c","d")))))</x:f>
        <x:v>d</x:v>
      </x:c>
      <x:c r="Q2041" s="12"/>
      <x:c r="R2041" s="12" t="str">
        <x:v>negative</x:v>
      </x:c>
      <x:c r="S2041" s="12"/>
      <x:c r="T2041" s="12" t="str">
        <x:v>negative</x:v>
      </x:c>
      <x:c r="U2041" s="12" t="str">
        <x:f>IF(OR(R2041="unavailable",T2041="unavailable"),"不可评价",IF(OR(R2041="equivocal",T2041="equivocal"),"疑似",IF(AND(R2041="positive",T2041="positive"),"a",IF(T2041="positive","b",IF(R2041="positive","c","d")))))</x:f>
        <x:v>d</x:v>
      </x:c>
      <x:c r="V2041" s="12"/>
      <x:c r="W2041" s="12" t="str">
        <x:v>negative</x:v>
      </x:c>
      <x:c r="X2041" s="12"/>
      <x:c r="Y2041" s="12" t="str">
        <x:v>negative</x:v>
      </x:c>
      <x:c r="Z2041" s="12" t="str">
        <x:f>IF(OR(W2041="unavailable",Y2041="unavailable"),"不可评价",IF(OR(W2041="equivocal",Y2041="equivocal"),"疑似",IF(AND(W2041="positive",Y2041="positive"),"a",IF(Y2041="positive","b",IF(W2041="positive","c","d")))))</x:f>
        <x:v>d</x:v>
      </x:c>
      <x:c r="AA2041" s="12" t="str">
        <x:f>IF(OR(M2041="unavailable",O2041="unavailable"),"不可评价",IF(AND(OR(M2041="positive",M2041="equivocal"),OR(O2041="positive",O2041="equivocal")),"a",IF(OR(O2041="positive",O2041="equivocal"),"b",IF(OR(M2041="positive",M2041="equivocal"),"c","d"))))</x:f>
        <x:v>d</x:v>
      </x:c>
      <x:c r="AB2041" s="12" t="str">
        <x:f>IF(OR(M2041="unavailable",O2041="unavailable"),"不可评价",IF(AND(M2041="positive",O2041="positive"),"a",IF(O2041="positive","b",IF(M2041="positive","c","d"))))</x:f>
        <x:v>d</x:v>
      </x:c>
      <x:c r="AC2041" s="12" t="str">
        <x:f>IF(OR(R2041="unavailable",T2041="unavailable"),"不可评价",IF(AND(OR(R2041="positive",R2041="equivocal"),OR(T2041="positive",T2041="equivocal")),"a",IF(OR(T2041="positive",T2041="equivocal"),"b",IF(OR(R2041="positive",R2041="equivocal"),"c","d"))))</x:f>
        <x:v>d</x:v>
      </x:c>
      <x:c r="AD2041" s="12" t="str">
        <x:f>IF(OR(R2041="unavailable",T2041="unavailable"),"不可评价",IF(AND(R2041="positive",T2041="positive"),"a",IF(T2041="positive","b",IF(R2041="positive","c","d"))))</x:f>
        <x:v>d</x:v>
      </x:c>
      <x:c r="AE2041" s="12" t="str">
        <x:f>IF(OR(W2041="unavailable",Y2041="unavailable"),"不可评价",IF(AND(OR(W2041="positive",W2041="equivocal"),OR(Y2041="positive",Y2041="equivocal")),"a",IF(OR(Y2041="positive",Y2041="equivocal"),"b",IF(OR(W2041="positive",W2041="equivocal"),"c","d"))))</x:f>
        <x:v>d</x:v>
      </x:c>
      <x:c r="AF2041" s="12" t="str">
        <x:f>IF(OR(W2041="unavailable",Y2041="unavailable"),"不可评价",IF(AND(W2041="positive",Y2041="positive"),"a",IF(Y2041="positive","b",IF(W2041="positive","c","d"))))</x:f>
        <x:v>d</x:v>
      </x:c>
    </x:row>
    <x:row r="2042" ht="39" customHeight="1">
      <x:c r="A2042" s="12" t="str">
        <x:v>19571</x:v>
      </x:c>
      <x:c r="B2042" s="12" t="str">
        <x:v>15609</x:v>
      </x:c>
      <x:c r="C2042" s="21" t="n">
        <x:v>36038.42104166667</x:v>
      </x:c>
      <x:c r="D2042" s="12" t="n">
        <x:v>63</x:v>
      </x:c>
      <x:c r="E2042" s="12" t="n">
        <x:v>0</x:v>
      </x:c>
      <x:c r="F2042" s="12" t="str">
        <x:v>未记录</x:v>
      </x:c>
      <x:c r="G2042" s="12" t="n">
        <x:v>1</x:v>
      </x:c>
      <x:c r="H2042" s="12" t="str">
        <x:v>{'IMI': 100.0, 'ASMI': 100.0, 'ABQRS': 0.0, 'AFIB': 0.0}</x:v>
      </x:c>
      <x:c r="I2042" s="12" t="str">
        <x:v>[('AFIB', 100.0), ('RAD5', 100.0), ('PULD', 100.0), ('SMI;AU', 100.0), ('IMI;AU', 100.0), ('AB', 100.0)]</x:v>
      </x:c>
      <x:c r="J2042" s="12" t="str">
        <x:v>ptbxl_database.csv；ecg_id=19571；scp_codes</x:v>
      </x:c>
      <x:c r="K2042" s="12" t="str">
        <x:v>12sl_statements.csv；ecg_id=19571；statements_ext_snomed</x:v>
      </x:c>
      <x:c r="L2042" s="12" t="n">
        <x:v>0</x:v>
      </x:c>
      <x:c r="M2042" s="12" t="str">
        <x:v>positive</x:v>
      </x:c>
      <x:c r="N2042" s="12" t="n">
        <x:v>100</x:v>
      </x:c>
      <x:c r="O2042" s="12" t="str">
        <x:v>positive</x:v>
      </x:c>
      <x:c r="P2042" s="12" t="str">
        <x:f>IF(OR(M2042="unavailable",O2042="unavailable"),"不可评价",IF(OR(M2042="equivocal",O2042="equivocal"),"疑似",IF(AND(M2042="positive",O2042="positive"),"a",IF(O2042="positive","b",IF(M2042="positive","c","d")))))</x:f>
        <x:v>a</x:v>
      </x:c>
      <x:c r="Q2042" s="12"/>
      <x:c r="R2042" s="12" t="str">
        <x:v>negative</x:v>
      </x:c>
      <x:c r="S2042" s="12"/>
      <x:c r="T2042" s="12" t="str">
        <x:v>negative</x:v>
      </x:c>
      <x:c r="U2042" s="12" t="str">
        <x:f>IF(OR(R2042="unavailable",T2042="unavailable"),"不可评价",IF(OR(R2042="equivocal",T2042="equivocal"),"疑似",IF(AND(R2042="positive",T2042="positive"),"a",IF(T2042="positive","b",IF(R2042="positive","c","d")))))</x:f>
        <x:v>d</x:v>
      </x:c>
      <x:c r="V2042" s="12"/>
      <x:c r="W2042" s="12" t="str">
        <x:v>negative</x:v>
      </x:c>
      <x:c r="X2042" s="12"/>
      <x:c r="Y2042" s="12" t="str">
        <x:v>negative</x:v>
      </x:c>
      <x:c r="Z2042" s="12" t="str">
        <x:f>IF(OR(W2042="unavailable",Y2042="unavailable"),"不可评价",IF(OR(W2042="equivocal",Y2042="equivocal"),"疑似",IF(AND(W2042="positive",Y2042="positive"),"a",IF(Y2042="positive","b",IF(W2042="positive","c","d")))))</x:f>
        <x:v>d</x:v>
      </x:c>
      <x:c r="AA2042" s="12" t="str">
        <x:f>IF(OR(M2042="unavailable",O2042="unavailable"),"不可评价",IF(AND(OR(M2042="positive",M2042="equivocal"),OR(O2042="positive",O2042="equivocal")),"a",IF(OR(O2042="positive",O2042="equivocal"),"b",IF(OR(M2042="positive",M2042="equivocal"),"c","d"))))</x:f>
        <x:v>a</x:v>
      </x:c>
      <x:c r="AB2042" s="12" t="str">
        <x:f>IF(OR(M2042="unavailable",O2042="unavailable"),"不可评价",IF(AND(M2042="positive",O2042="positive"),"a",IF(O2042="positive","b",IF(M2042="positive","c","d"))))</x:f>
        <x:v>a</x:v>
      </x:c>
      <x:c r="AC2042" s="12" t="str">
        <x:f>IF(OR(R2042="unavailable",T2042="unavailable"),"不可评价",IF(AND(OR(R2042="positive",R2042="equivocal"),OR(T2042="positive",T2042="equivocal")),"a",IF(OR(T2042="positive",T2042="equivocal"),"b",IF(OR(R2042="positive",R2042="equivocal"),"c","d"))))</x:f>
        <x:v>d</x:v>
      </x:c>
      <x:c r="AD2042" s="12" t="str">
        <x:f>IF(OR(R2042="unavailable",T2042="unavailable"),"不可评价",IF(AND(R2042="positive",T2042="positive"),"a",IF(T2042="positive","b",IF(R2042="positive","c","d"))))</x:f>
        <x:v>d</x:v>
      </x:c>
      <x:c r="AE2042" s="12" t="str">
        <x:f>IF(OR(W2042="unavailable",Y2042="unavailable"),"不可评价",IF(AND(OR(W2042="positive",W2042="equivocal"),OR(Y2042="positive",Y2042="equivocal")),"a",IF(OR(Y2042="positive",Y2042="equivocal"),"b",IF(OR(W2042="positive",W2042="equivocal"),"c","d"))))</x:f>
        <x:v>d</x:v>
      </x:c>
      <x:c r="AF2042" s="12" t="str">
        <x:f>IF(OR(W2042="unavailable",Y2042="unavailable"),"不可评价",IF(AND(W2042="positive",Y2042="positive"),"a",IF(Y2042="positive","b",IF(W2042="positive","c","d"))))</x:f>
        <x:v>d</x:v>
      </x:c>
    </x:row>
    <x:row r="2043" ht="24" customHeight="1">
      <x:c r="A2043" s="12" t="str">
        <x:v>19572</x:v>
      </x:c>
      <x:c r="B2043" s="12" t="str">
        <x:v>20035</x:v>
      </x:c>
      <x:c r="C2043" s="21" t="n">
        <x:v>36038.42155092592</x:v>
      </x:c>
      <x:c r="D2043" s="12" t="n">
        <x:v>51</x:v>
      </x:c>
      <x:c r="E2043" s="12" t="n">
        <x:v>0</x:v>
      </x:c>
      <x:c r="F2043" s="12" t="str">
        <x:v>未记录</x:v>
      </x:c>
      <x:c r="G2043" s="12" t="n">
        <x:v>1</x:v>
      </x:c>
      <x:c r="H2043" s="12" t="str">
        <x:v>{'IMI': 100.0, 'ABQRS': 0.0, 'SR': 0.0}</x:v>
      </x:c>
      <x:c r="I2043" s="12" t="str">
        <x:v>[('NSR', 100.0), ('IMI;AU', 100.0), ('AB', 100.0)]</x:v>
      </x:c>
      <x:c r="J2043" s="12" t="str">
        <x:v>ptbxl_database.csv；ecg_id=19572；scp_codes</x:v>
      </x:c>
      <x:c r="K2043" s="12" t="str">
        <x:v>12sl_statements.csv；ecg_id=19572；statements_ext_snomed</x:v>
      </x:c>
      <x:c r="L2043" s="12"/>
      <x:c r="M2043" s="12" t="str">
        <x:v>negative</x:v>
      </x:c>
      <x:c r="N2043" s="12"/>
      <x:c r="O2043" s="12" t="str">
        <x:v>negative</x:v>
      </x:c>
      <x:c r="P2043" s="12" t="str">
        <x:f>IF(OR(M2043="unavailable",O2043="unavailable"),"不可评价",IF(OR(M2043="equivocal",O2043="equivocal"),"疑似",IF(AND(M2043="positive",O2043="positive"),"a",IF(O2043="positive","b",IF(M2043="positive","c","d")))))</x:f>
        <x:v>d</x:v>
      </x:c>
      <x:c r="Q2043" s="12"/>
      <x:c r="R2043" s="12" t="str">
        <x:v>negative</x:v>
      </x:c>
      <x:c r="S2043" s="12"/>
      <x:c r="T2043" s="12" t="str">
        <x:v>negative</x:v>
      </x:c>
      <x:c r="U2043" s="12" t="str">
        <x:f>IF(OR(R2043="unavailable",T2043="unavailable"),"不可评价",IF(OR(R2043="equivocal",T2043="equivocal"),"疑似",IF(AND(R2043="positive",T2043="positive"),"a",IF(T2043="positive","b",IF(R2043="positive","c","d")))))</x:f>
        <x:v>d</x:v>
      </x:c>
      <x:c r="V2043" s="12"/>
      <x:c r="W2043" s="12" t="str">
        <x:v>negative</x:v>
      </x:c>
      <x:c r="X2043" s="12"/>
      <x:c r="Y2043" s="12" t="str">
        <x:v>negative</x:v>
      </x:c>
      <x:c r="Z2043" s="12" t="str">
        <x:f>IF(OR(W2043="unavailable",Y2043="unavailable"),"不可评价",IF(OR(W2043="equivocal",Y2043="equivocal"),"疑似",IF(AND(W2043="positive",Y2043="positive"),"a",IF(Y2043="positive","b",IF(W2043="positive","c","d")))))</x:f>
        <x:v>d</x:v>
      </x:c>
      <x:c r="AA2043" s="12" t="str">
        <x:f>IF(OR(M2043="unavailable",O2043="unavailable"),"不可评价",IF(AND(OR(M2043="positive",M2043="equivocal"),OR(O2043="positive",O2043="equivocal")),"a",IF(OR(O2043="positive",O2043="equivocal"),"b",IF(OR(M2043="positive",M2043="equivocal"),"c","d"))))</x:f>
        <x:v>d</x:v>
      </x:c>
      <x:c r="AB2043" s="12" t="str">
        <x:f>IF(OR(M2043="unavailable",O2043="unavailable"),"不可评价",IF(AND(M2043="positive",O2043="positive"),"a",IF(O2043="positive","b",IF(M2043="positive","c","d"))))</x:f>
        <x:v>d</x:v>
      </x:c>
      <x:c r="AC2043" s="12" t="str">
        <x:f>IF(OR(R2043="unavailable",T2043="unavailable"),"不可评价",IF(AND(OR(R2043="positive",R2043="equivocal"),OR(T2043="positive",T2043="equivocal")),"a",IF(OR(T2043="positive",T2043="equivocal"),"b",IF(OR(R2043="positive",R2043="equivocal"),"c","d"))))</x:f>
        <x:v>d</x:v>
      </x:c>
      <x:c r="AD2043" s="12" t="str">
        <x:f>IF(OR(R2043="unavailable",T2043="unavailable"),"不可评价",IF(AND(R2043="positive",T2043="positive"),"a",IF(T2043="positive","b",IF(R2043="positive","c","d"))))</x:f>
        <x:v>d</x:v>
      </x:c>
      <x:c r="AE2043" s="12" t="str">
        <x:f>IF(OR(W2043="unavailable",Y2043="unavailable"),"不可评价",IF(AND(OR(W2043="positive",W2043="equivocal"),OR(Y2043="positive",Y2043="equivocal")),"a",IF(OR(Y2043="positive",Y2043="equivocal"),"b",IF(OR(W2043="positive",W2043="equivocal"),"c","d"))))</x:f>
        <x:v>d</x:v>
      </x:c>
      <x:c r="AF2043" s="12" t="str">
        <x:f>IF(OR(W2043="unavailable",Y2043="unavailable"),"不可评价",IF(AND(W2043="positive",Y2043="positive"),"a",IF(Y2043="positive","b",IF(W2043="positive","c","d"))))</x:f>
        <x:v>d</x:v>
      </x:c>
    </x:row>
    <x:row r="2044" ht="24" customHeight="1">
      <x:c r="A2044" s="12" t="str">
        <x:v>19605</x:v>
      </x:c>
      <x:c r="B2044" s="12" t="str">
        <x:v>14515</x:v>
      </x:c>
      <x:c r="C2044" s="21" t="n">
        <x:v>36044.56958333333</x:v>
      </x:c>
      <x:c r="D2044" s="12" t="n">
        <x:v>72</x:v>
      </x:c>
      <x:c r="E2044" s="12" t="n">
        <x:v>0</x:v>
      </x:c>
      <x:c r="F2044" s="12" t="str">
        <x:v>存在</x:v>
      </x:c>
      <x:c r="G2044" s="12" t="n">
        <x:v>1</x:v>
      </x:c>
      <x:c r="H2044" s="12" t="str">
        <x:v>{'NORM': 100.0, 'SR': 0.0}</x:v>
      </x:c>
      <x:c r="I2044" s="12" t="str">
        <x:v>[('NSR', 100.0), ('NML', 100.0)]</x:v>
      </x:c>
      <x:c r="J2044" s="12" t="str">
        <x:v>ptbxl_database.csv；ecg_id=19605；scp_codes</x:v>
      </x:c>
      <x:c r="K2044" s="12" t="str">
        <x:v>12sl_statements.csv；ecg_id=19605；statements_ext_snomed</x:v>
      </x:c>
      <x:c r="L2044" s="12"/>
      <x:c r="M2044" s="12" t="str">
        <x:v>negative</x:v>
      </x:c>
      <x:c r="N2044" s="12"/>
      <x:c r="O2044" s="12" t="str">
        <x:v>negative</x:v>
      </x:c>
      <x:c r="P2044" s="12" t="str">
        <x:f>IF(OR(M2044="unavailable",O2044="unavailable"),"不可评价",IF(OR(M2044="equivocal",O2044="equivocal"),"疑似",IF(AND(M2044="positive",O2044="positive"),"a",IF(O2044="positive","b",IF(M2044="positive","c","d")))))</x:f>
        <x:v>d</x:v>
      </x:c>
      <x:c r="Q2044" s="12"/>
      <x:c r="R2044" s="12" t="str">
        <x:v>negative</x:v>
      </x:c>
      <x:c r="S2044" s="12"/>
      <x:c r="T2044" s="12" t="str">
        <x:v>negative</x:v>
      </x:c>
      <x:c r="U2044" s="12" t="str">
        <x:f>IF(OR(R2044="unavailable",T2044="unavailable"),"不可评价",IF(OR(R2044="equivocal",T2044="equivocal"),"疑似",IF(AND(R2044="positive",T2044="positive"),"a",IF(T2044="positive","b",IF(R2044="positive","c","d")))))</x:f>
        <x:v>d</x:v>
      </x:c>
      <x:c r="V2044" s="12"/>
      <x:c r="W2044" s="12" t="str">
        <x:v>negative</x:v>
      </x:c>
      <x:c r="X2044" s="12"/>
      <x:c r="Y2044" s="12" t="str">
        <x:v>negative</x:v>
      </x:c>
      <x:c r="Z2044" s="12" t="str">
        <x:f>IF(OR(W2044="unavailable",Y2044="unavailable"),"不可评价",IF(OR(W2044="equivocal",Y2044="equivocal"),"疑似",IF(AND(W2044="positive",Y2044="positive"),"a",IF(Y2044="positive","b",IF(W2044="positive","c","d")))))</x:f>
        <x:v>d</x:v>
      </x:c>
      <x:c r="AA2044" s="12" t="str">
        <x:f>IF(OR(M2044="unavailable",O2044="unavailable"),"不可评价",IF(AND(OR(M2044="positive",M2044="equivocal"),OR(O2044="positive",O2044="equivocal")),"a",IF(OR(O2044="positive",O2044="equivocal"),"b",IF(OR(M2044="positive",M2044="equivocal"),"c","d"))))</x:f>
        <x:v>d</x:v>
      </x:c>
      <x:c r="AB2044" s="12" t="str">
        <x:f>IF(OR(M2044="unavailable",O2044="unavailable"),"不可评价",IF(AND(M2044="positive",O2044="positive"),"a",IF(O2044="positive","b",IF(M2044="positive","c","d"))))</x:f>
        <x:v>d</x:v>
      </x:c>
      <x:c r="AC2044" s="12" t="str">
        <x:f>IF(OR(R2044="unavailable",T2044="unavailable"),"不可评价",IF(AND(OR(R2044="positive",R2044="equivocal"),OR(T2044="positive",T2044="equivocal")),"a",IF(OR(T2044="positive",T2044="equivocal"),"b",IF(OR(R2044="positive",R2044="equivocal"),"c","d"))))</x:f>
        <x:v>d</x:v>
      </x:c>
      <x:c r="AD2044" s="12" t="str">
        <x:f>IF(OR(R2044="unavailable",T2044="unavailable"),"不可评价",IF(AND(R2044="positive",T2044="positive"),"a",IF(T2044="positive","b",IF(R2044="positive","c","d"))))</x:f>
        <x:v>d</x:v>
      </x:c>
      <x:c r="AE2044" s="12" t="str">
        <x:f>IF(OR(W2044="unavailable",Y2044="unavailable"),"不可评价",IF(AND(OR(W2044="positive",W2044="equivocal"),OR(Y2044="positive",Y2044="equivocal")),"a",IF(OR(Y2044="positive",Y2044="equivocal"),"b",IF(OR(W2044="positive",W2044="equivocal"),"c","d"))))</x:f>
        <x:v>d</x:v>
      </x:c>
      <x:c r="AF2044" s="12" t="str">
        <x:f>IF(OR(W2044="unavailable",Y2044="unavailable"),"不可评价",IF(AND(W2044="positive",Y2044="positive"),"a",IF(Y2044="positive","b",IF(W2044="positive","c","d"))))</x:f>
        <x:v>d</x:v>
      </x:c>
    </x:row>
    <x:row r="2045" ht="24" customHeight="1">
      <x:c r="A2045" s="12" t="str">
        <x:v>19661</x:v>
      </x:c>
      <x:c r="B2045" s="12" t="str">
        <x:v>21236</x:v>
      </x:c>
      <x:c r="C2045" s="21" t="n">
        <x:v>36057.577581018515</x:v>
      </x:c>
      <x:c r="D2045" s="12" t="n">
        <x:v>58</x:v>
      </x:c>
      <x:c r="E2045" s="12" t="n">
        <x:v>0</x:v>
      </x:c>
      <x:c r="F2045" s="12" t="str">
        <x:v>未记录</x:v>
      </x:c>
      <x:c r="G2045" s="12" t="n">
        <x:v>1</x:v>
      </x:c>
      <x:c r="H2045" s="12" t="str">
        <x:v>{'IMI': 80.0, 'ABQRS': 0.0, 'SR': 0.0}</x:v>
      </x:c>
      <x:c r="I2045" s="12" t="str">
        <x:v>[('SBRAD', 100.0), ('ABR', 100.0)]</x:v>
      </x:c>
      <x:c r="J2045" s="12" t="str">
        <x:v>ptbxl_database.csv；ecg_id=19661；scp_codes</x:v>
      </x:c>
      <x:c r="K2045" s="12" t="str">
        <x:v>12sl_statements.csv；ecg_id=19661；statements_ext_snomed</x:v>
      </x:c>
      <x:c r="L2045" s="12"/>
      <x:c r="M2045" s="12" t="str">
        <x:v>negative</x:v>
      </x:c>
      <x:c r="N2045" s="12"/>
      <x:c r="O2045" s="12" t="str">
        <x:v>negative</x:v>
      </x:c>
      <x:c r="P2045" s="12" t="str">
        <x:f>IF(OR(M2045="unavailable",O2045="unavailable"),"不可评价",IF(OR(M2045="equivocal",O2045="equivocal"),"疑似",IF(AND(M2045="positive",O2045="positive"),"a",IF(O2045="positive","b",IF(M2045="positive","c","d")))))</x:f>
        <x:v>d</x:v>
      </x:c>
      <x:c r="Q2045" s="12"/>
      <x:c r="R2045" s="12" t="str">
        <x:v>negative</x:v>
      </x:c>
      <x:c r="S2045" s="12"/>
      <x:c r="T2045" s="12" t="str">
        <x:v>negative</x:v>
      </x:c>
      <x:c r="U2045" s="12" t="str">
        <x:f>IF(OR(R2045="unavailable",T2045="unavailable"),"不可评价",IF(OR(R2045="equivocal",T2045="equivocal"),"疑似",IF(AND(R2045="positive",T2045="positive"),"a",IF(T2045="positive","b",IF(R2045="positive","c","d")))))</x:f>
        <x:v>d</x:v>
      </x:c>
      <x:c r="V2045" s="12"/>
      <x:c r="W2045" s="12" t="str">
        <x:v>negative</x:v>
      </x:c>
      <x:c r="X2045" s="12"/>
      <x:c r="Y2045" s="12" t="str">
        <x:v>negative</x:v>
      </x:c>
      <x:c r="Z2045" s="12" t="str">
        <x:f>IF(OR(W2045="unavailable",Y2045="unavailable"),"不可评价",IF(OR(W2045="equivocal",Y2045="equivocal"),"疑似",IF(AND(W2045="positive",Y2045="positive"),"a",IF(Y2045="positive","b",IF(W2045="positive","c","d")))))</x:f>
        <x:v>d</x:v>
      </x:c>
      <x:c r="AA2045" s="12" t="str">
        <x:f>IF(OR(M2045="unavailable",O2045="unavailable"),"不可评价",IF(AND(OR(M2045="positive",M2045="equivocal"),OR(O2045="positive",O2045="equivocal")),"a",IF(OR(O2045="positive",O2045="equivocal"),"b",IF(OR(M2045="positive",M2045="equivocal"),"c","d"))))</x:f>
        <x:v>d</x:v>
      </x:c>
      <x:c r="AB2045" s="12" t="str">
        <x:f>IF(OR(M2045="unavailable",O2045="unavailable"),"不可评价",IF(AND(M2045="positive",O2045="positive"),"a",IF(O2045="positive","b",IF(M2045="positive","c","d"))))</x:f>
        <x:v>d</x:v>
      </x:c>
      <x:c r="AC2045" s="12" t="str">
        <x:f>IF(OR(R2045="unavailable",T2045="unavailable"),"不可评价",IF(AND(OR(R2045="positive",R2045="equivocal"),OR(T2045="positive",T2045="equivocal")),"a",IF(OR(T2045="positive",T2045="equivocal"),"b",IF(OR(R2045="positive",R2045="equivocal"),"c","d"))))</x:f>
        <x:v>d</x:v>
      </x:c>
      <x:c r="AD2045" s="12" t="str">
        <x:f>IF(OR(R2045="unavailable",T2045="unavailable"),"不可评价",IF(AND(R2045="positive",T2045="positive"),"a",IF(T2045="positive","b",IF(R2045="positive","c","d"))))</x:f>
        <x:v>d</x:v>
      </x:c>
      <x:c r="AE2045" s="12" t="str">
        <x:f>IF(OR(W2045="unavailable",Y2045="unavailable"),"不可评价",IF(AND(OR(W2045="positive",W2045="equivocal"),OR(Y2045="positive",Y2045="equivocal")),"a",IF(OR(Y2045="positive",Y2045="equivocal"),"b",IF(OR(W2045="positive",W2045="equivocal"),"c","d"))))</x:f>
        <x:v>d</x:v>
      </x:c>
      <x:c r="AF2045" s="12" t="str">
        <x:f>IF(OR(W2045="unavailable",Y2045="unavailable"),"不可评价",IF(AND(W2045="positive",Y2045="positive"),"a",IF(Y2045="positive","b",IF(W2045="positive","c","d"))))</x:f>
        <x:v>d</x:v>
      </x:c>
    </x:row>
    <x:row r="2046" ht="24" customHeight="1">
      <x:c r="A2046" s="12" t="str">
        <x:v>19664</x:v>
      </x:c>
      <x:c r="B2046" s="12" t="str">
        <x:v>18530</x:v>
      </x:c>
      <x:c r="C2046" s="21" t="n">
        <x:v>36057.66190972222</x:v>
      </x:c>
      <x:c r="D2046" s="12" t="n">
        <x:v>85</x:v>
      </x:c>
      <x:c r="E2046" s="12" t="n">
        <x:v>1</x:v>
      </x:c>
      <x:c r="F2046" s="12" t="str">
        <x:v>存在</x:v>
      </x:c>
      <x:c r="G2046" s="12" t="n">
        <x:v>0</x:v>
      </x:c>
      <x:c r="H2046" s="12" t="str">
        <x:v>{'1AVB': 100.0, 'LAO/LAE': 100.0, 'SR': 0.0}</x:v>
      </x:c>
      <x:c r="I2046" s="12" t="str">
        <x:v>[('SRTH', 100.0), ('FAV', 100.0), ('LOWV', 100.0), ('BORDE', 100.0)]</x:v>
      </x:c>
      <x:c r="J2046" s="12" t="str">
        <x:v>ptbxl_database.csv；ecg_id=19664；scp_codes</x:v>
      </x:c>
      <x:c r="K2046" s="12" t="str">
        <x:v>12sl_statements.csv；ecg_id=19664；statements_ext_snomed</x:v>
      </x:c>
      <x:c r="L2046" s="12"/>
      <x:c r="M2046" s="12" t="str">
        <x:v>negative</x:v>
      </x:c>
      <x:c r="N2046" s="12"/>
      <x:c r="O2046" s="12" t="str">
        <x:v>negative</x:v>
      </x:c>
      <x:c r="P2046" s="12" t="str">
        <x:f>IF(OR(M2046="unavailable",O2046="unavailable"),"不可评价",IF(OR(M2046="equivocal",O2046="equivocal"),"疑似",IF(AND(M2046="positive",O2046="positive"),"a",IF(O2046="positive","b",IF(M2046="positive","c","d")))))</x:f>
        <x:v>d</x:v>
      </x:c>
      <x:c r="Q2046" s="12"/>
      <x:c r="R2046" s="12" t="str">
        <x:v>negative</x:v>
      </x:c>
      <x:c r="S2046" s="12"/>
      <x:c r="T2046" s="12" t="str">
        <x:v>negative</x:v>
      </x:c>
      <x:c r="U2046" s="12" t="str">
        <x:f>IF(OR(R2046="unavailable",T2046="unavailable"),"不可评价",IF(OR(R2046="equivocal",T2046="equivocal"),"疑似",IF(AND(R2046="positive",T2046="positive"),"a",IF(T2046="positive","b",IF(R2046="positive","c","d")))))</x:f>
        <x:v>d</x:v>
      </x:c>
      <x:c r="V2046" s="12"/>
      <x:c r="W2046" s="12" t="str">
        <x:v>negative</x:v>
      </x:c>
      <x:c r="X2046" s="12"/>
      <x:c r="Y2046" s="12" t="str">
        <x:v>negative</x:v>
      </x:c>
      <x:c r="Z2046" s="12" t="str">
        <x:f>IF(OR(W2046="unavailable",Y2046="unavailable"),"不可评价",IF(OR(W2046="equivocal",Y2046="equivocal"),"疑似",IF(AND(W2046="positive",Y2046="positive"),"a",IF(Y2046="positive","b",IF(W2046="positive","c","d")))))</x:f>
        <x:v>d</x:v>
      </x:c>
      <x:c r="AA2046" s="12" t="str">
        <x:f>IF(OR(M2046="unavailable",O2046="unavailable"),"不可评价",IF(AND(OR(M2046="positive",M2046="equivocal"),OR(O2046="positive",O2046="equivocal")),"a",IF(OR(O2046="positive",O2046="equivocal"),"b",IF(OR(M2046="positive",M2046="equivocal"),"c","d"))))</x:f>
        <x:v>d</x:v>
      </x:c>
      <x:c r="AB2046" s="12" t="str">
        <x:f>IF(OR(M2046="unavailable",O2046="unavailable"),"不可评价",IF(AND(M2046="positive",O2046="positive"),"a",IF(O2046="positive","b",IF(M2046="positive","c","d"))))</x:f>
        <x:v>d</x:v>
      </x:c>
      <x:c r="AC2046" s="12" t="str">
        <x:f>IF(OR(R2046="unavailable",T2046="unavailable"),"不可评价",IF(AND(OR(R2046="positive",R2046="equivocal"),OR(T2046="positive",T2046="equivocal")),"a",IF(OR(T2046="positive",T2046="equivocal"),"b",IF(OR(R2046="positive",R2046="equivocal"),"c","d"))))</x:f>
        <x:v>d</x:v>
      </x:c>
      <x:c r="AD2046" s="12" t="str">
        <x:f>IF(OR(R2046="unavailable",T2046="unavailable"),"不可评价",IF(AND(R2046="positive",T2046="positive"),"a",IF(T2046="positive","b",IF(R2046="positive","c","d"))))</x:f>
        <x:v>d</x:v>
      </x:c>
      <x:c r="AE2046" s="12" t="str">
        <x:f>IF(OR(W2046="unavailable",Y2046="unavailable"),"不可评价",IF(AND(OR(W2046="positive",W2046="equivocal"),OR(Y2046="positive",Y2046="equivocal")),"a",IF(OR(Y2046="positive",Y2046="equivocal"),"b",IF(OR(W2046="positive",W2046="equivocal"),"c","d"))))</x:f>
        <x:v>d</x:v>
      </x:c>
      <x:c r="AF2046" s="12" t="str">
        <x:f>IF(OR(W2046="unavailable",Y2046="unavailable"),"不可评价",IF(AND(W2046="positive",Y2046="positive"),"a",IF(Y2046="positive","b",IF(W2046="positive","c","d"))))</x:f>
        <x:v>d</x:v>
      </x:c>
    </x:row>
    <x:row r="2047" ht="24" customHeight="1">
      <x:c r="A2047" s="12" t="str">
        <x:v>19669</x:v>
      </x:c>
      <x:c r="B2047" s="12" t="str">
        <x:v>17218</x:v>
      </x:c>
      <x:c r="C2047" s="21" t="n">
        <x:v>36058.66716435185</x:v>
      </x:c>
      <x:c r="D2047" s="12" t="n">
        <x:v>57</x:v>
      </x:c>
      <x:c r="E2047" s="12" t="n">
        <x:v>0</x:v>
      </x:c>
      <x:c r="F2047" s="12" t="str">
        <x:v>未记录</x:v>
      </x:c>
      <x:c r="G2047" s="12" t="n">
        <x:v>1</x:v>
      </x:c>
      <x:c r="H2047" s="12" t="str">
        <x:v>{'NORM': 50.0, 'SR': 0.0}</x:v>
      </x:c>
      <x:c r="I2047" s="12" t="str">
        <x:v>[('SRTH', 100.0), ('MSAR', 100.0), ('ABR', 100.0)]</x:v>
      </x:c>
      <x:c r="J2047" s="12" t="str">
        <x:v>ptbxl_database.csv；ecg_id=19669；scp_codes</x:v>
      </x:c>
      <x:c r="K2047" s="12" t="str">
        <x:v>12sl_statements.csv；ecg_id=19669；statements_ext_snomed</x:v>
      </x:c>
      <x:c r="L2047" s="12"/>
      <x:c r="M2047" s="12" t="str">
        <x:v>negative</x:v>
      </x:c>
      <x:c r="N2047" s="12"/>
      <x:c r="O2047" s="12" t="str">
        <x:v>negative</x:v>
      </x:c>
      <x:c r="P2047" s="12" t="str">
        <x:f>IF(OR(M2047="unavailable",O2047="unavailable"),"不可评价",IF(OR(M2047="equivocal",O2047="equivocal"),"疑似",IF(AND(M2047="positive",O2047="positive"),"a",IF(O2047="positive","b",IF(M2047="positive","c","d")))))</x:f>
        <x:v>d</x:v>
      </x:c>
      <x:c r="Q2047" s="12"/>
      <x:c r="R2047" s="12" t="str">
        <x:v>negative</x:v>
      </x:c>
      <x:c r="S2047" s="12"/>
      <x:c r="T2047" s="12" t="str">
        <x:v>negative</x:v>
      </x:c>
      <x:c r="U2047" s="12" t="str">
        <x:f>IF(OR(R2047="unavailable",T2047="unavailable"),"不可评价",IF(OR(R2047="equivocal",T2047="equivocal"),"疑似",IF(AND(R2047="positive",T2047="positive"),"a",IF(T2047="positive","b",IF(R2047="positive","c","d")))))</x:f>
        <x:v>d</x:v>
      </x:c>
      <x:c r="V2047" s="12"/>
      <x:c r="W2047" s="12" t="str">
        <x:v>negative</x:v>
      </x:c>
      <x:c r="X2047" s="12"/>
      <x:c r="Y2047" s="12" t="str">
        <x:v>negative</x:v>
      </x:c>
      <x:c r="Z2047" s="12" t="str">
        <x:f>IF(OR(W2047="unavailable",Y2047="unavailable"),"不可评价",IF(OR(W2047="equivocal",Y2047="equivocal"),"疑似",IF(AND(W2047="positive",Y2047="positive"),"a",IF(Y2047="positive","b",IF(W2047="positive","c","d")))))</x:f>
        <x:v>d</x:v>
      </x:c>
      <x:c r="AA2047" s="12" t="str">
        <x:f>IF(OR(M2047="unavailable",O2047="unavailable"),"不可评价",IF(AND(OR(M2047="positive",M2047="equivocal"),OR(O2047="positive",O2047="equivocal")),"a",IF(OR(O2047="positive",O2047="equivocal"),"b",IF(OR(M2047="positive",M2047="equivocal"),"c","d"))))</x:f>
        <x:v>d</x:v>
      </x:c>
      <x:c r="AB2047" s="12" t="str">
        <x:f>IF(OR(M2047="unavailable",O2047="unavailable"),"不可评价",IF(AND(M2047="positive",O2047="positive"),"a",IF(O2047="positive","b",IF(M2047="positive","c","d"))))</x:f>
        <x:v>d</x:v>
      </x:c>
      <x:c r="AC2047" s="12" t="str">
        <x:f>IF(OR(R2047="unavailable",T2047="unavailable"),"不可评价",IF(AND(OR(R2047="positive",R2047="equivocal"),OR(T2047="positive",T2047="equivocal")),"a",IF(OR(T2047="positive",T2047="equivocal"),"b",IF(OR(R2047="positive",R2047="equivocal"),"c","d"))))</x:f>
        <x:v>d</x:v>
      </x:c>
      <x:c r="AD2047" s="12" t="str">
        <x:f>IF(OR(R2047="unavailable",T2047="unavailable"),"不可评价",IF(AND(R2047="positive",T2047="positive"),"a",IF(T2047="positive","b",IF(R2047="positive","c","d"))))</x:f>
        <x:v>d</x:v>
      </x:c>
      <x:c r="AE2047" s="12" t="str">
        <x:f>IF(OR(W2047="unavailable",Y2047="unavailable"),"不可评价",IF(AND(OR(W2047="positive",W2047="equivocal"),OR(Y2047="positive",Y2047="equivocal")),"a",IF(OR(Y2047="positive",Y2047="equivocal"),"b",IF(OR(W2047="positive",W2047="equivocal"),"c","d"))))</x:f>
        <x:v>d</x:v>
      </x:c>
      <x:c r="AF2047" s="12" t="str">
        <x:f>IF(OR(W2047="unavailable",Y2047="unavailable"),"不可评价",IF(AND(W2047="positive",Y2047="positive"),"a",IF(Y2047="positive","b",IF(W2047="positive","c","d"))))</x:f>
        <x:v>d</x:v>
      </x:c>
    </x:row>
    <x:row r="2048" ht="24" customHeight="1">
      <x:c r="A2048" s="12" t="str">
        <x:v>19670</x:v>
      </x:c>
      <x:c r="B2048" s="12" t="str">
        <x:v>17427</x:v>
      </x:c>
      <x:c r="C2048" s="21" t="n">
        <x:v>36058.69415509259</x:v>
      </x:c>
      <x:c r="D2048" s="12" t="n">
        <x:v>71</x:v>
      </x:c>
      <x:c r="E2048" s="12" t="n">
        <x:v>1</x:v>
      </x:c>
      <x:c r="F2048" s="12" t="str">
        <x:v>未记录</x:v>
      </x:c>
      <x:c r="G2048" s="12" t="n">
        <x:v>1</x:v>
      </x:c>
      <x:c r="H2048" s="12" t="str">
        <x:v>{'NORM': 100.0, 'SR': 0.0}</x:v>
      </x:c>
      <x:c r="I2048" s="12" t="str">
        <x:v>[('NSR', 100.0), ('NML', 100.0)]</x:v>
      </x:c>
      <x:c r="J2048" s="12" t="str">
        <x:v>ptbxl_database.csv；ecg_id=19670；scp_codes</x:v>
      </x:c>
      <x:c r="K2048" s="12" t="str">
        <x:v>12sl_statements.csv；ecg_id=19670；statements_ext_snomed</x:v>
      </x:c>
      <x:c r="L2048" s="12"/>
      <x:c r="M2048" s="12" t="str">
        <x:v>negative</x:v>
      </x:c>
      <x:c r="N2048" s="12"/>
      <x:c r="O2048" s="12" t="str">
        <x:v>negative</x:v>
      </x:c>
      <x:c r="P2048" s="12" t="str">
        <x:f>IF(OR(M2048="unavailable",O2048="unavailable"),"不可评价",IF(OR(M2048="equivocal",O2048="equivocal"),"疑似",IF(AND(M2048="positive",O2048="positive"),"a",IF(O2048="positive","b",IF(M2048="positive","c","d")))))</x:f>
        <x:v>d</x:v>
      </x:c>
      <x:c r="Q2048" s="12"/>
      <x:c r="R2048" s="12" t="str">
        <x:v>negative</x:v>
      </x:c>
      <x:c r="S2048" s="12"/>
      <x:c r="T2048" s="12" t="str">
        <x:v>negative</x:v>
      </x:c>
      <x:c r="U2048" s="12" t="str">
        <x:f>IF(OR(R2048="unavailable",T2048="unavailable"),"不可评价",IF(OR(R2048="equivocal",T2048="equivocal"),"疑似",IF(AND(R2048="positive",T2048="positive"),"a",IF(T2048="positive","b",IF(R2048="positive","c","d")))))</x:f>
        <x:v>d</x:v>
      </x:c>
      <x:c r="V2048" s="12"/>
      <x:c r="W2048" s="12" t="str">
        <x:v>negative</x:v>
      </x:c>
      <x:c r="X2048" s="12"/>
      <x:c r="Y2048" s="12" t="str">
        <x:v>negative</x:v>
      </x:c>
      <x:c r="Z2048" s="12" t="str">
        <x:f>IF(OR(W2048="unavailable",Y2048="unavailable"),"不可评价",IF(OR(W2048="equivocal",Y2048="equivocal"),"疑似",IF(AND(W2048="positive",Y2048="positive"),"a",IF(Y2048="positive","b",IF(W2048="positive","c","d")))))</x:f>
        <x:v>d</x:v>
      </x:c>
      <x:c r="AA2048" s="12" t="str">
        <x:f>IF(OR(M2048="unavailable",O2048="unavailable"),"不可评价",IF(AND(OR(M2048="positive",M2048="equivocal"),OR(O2048="positive",O2048="equivocal")),"a",IF(OR(O2048="positive",O2048="equivocal"),"b",IF(OR(M2048="positive",M2048="equivocal"),"c","d"))))</x:f>
        <x:v>d</x:v>
      </x:c>
      <x:c r="AB2048" s="12" t="str">
        <x:f>IF(OR(M2048="unavailable",O2048="unavailable"),"不可评价",IF(AND(M2048="positive",O2048="positive"),"a",IF(O2048="positive","b",IF(M2048="positive","c","d"))))</x:f>
        <x:v>d</x:v>
      </x:c>
      <x:c r="AC2048" s="12" t="str">
        <x:f>IF(OR(R2048="unavailable",T2048="unavailable"),"不可评价",IF(AND(OR(R2048="positive",R2048="equivocal"),OR(T2048="positive",T2048="equivocal")),"a",IF(OR(T2048="positive",T2048="equivocal"),"b",IF(OR(R2048="positive",R2048="equivocal"),"c","d"))))</x:f>
        <x:v>d</x:v>
      </x:c>
      <x:c r="AD2048" s="12" t="str">
        <x:f>IF(OR(R2048="unavailable",T2048="unavailable"),"不可评价",IF(AND(R2048="positive",T2048="positive"),"a",IF(T2048="positive","b",IF(R2048="positive","c","d"))))</x:f>
        <x:v>d</x:v>
      </x:c>
      <x:c r="AE2048" s="12" t="str">
        <x:f>IF(OR(W2048="unavailable",Y2048="unavailable"),"不可评价",IF(AND(OR(W2048="positive",W2048="equivocal"),OR(Y2048="positive",Y2048="equivocal")),"a",IF(OR(Y2048="positive",Y2048="equivocal"),"b",IF(OR(W2048="positive",W2048="equivocal"),"c","d"))))</x:f>
        <x:v>d</x:v>
      </x:c>
      <x:c r="AF2048" s="12" t="str">
        <x:f>IF(OR(W2048="unavailable",Y2048="unavailable"),"不可评价",IF(AND(W2048="positive",Y2048="positive"),"a",IF(Y2048="positive","b",IF(W2048="positive","c","d"))))</x:f>
        <x:v>d</x:v>
      </x:c>
    </x:row>
    <x:row r="2049" ht="39" customHeight="1">
      <x:c r="A2049" s="12" t="str">
        <x:v>19686</x:v>
      </x:c>
      <x:c r="B2049" s="12" t="str">
        <x:v>14081</x:v>
      </x:c>
      <x:c r="C2049" s="21" t="n">
        <x:v>36063.274560185186</x:v>
      </x:c>
      <x:c r="D2049" s="12" t="n">
        <x:v>33</x:v>
      </x:c>
      <x:c r="E2049" s="12" t="n">
        <x:v>0</x:v>
      </x:c>
      <x:c r="F2049" s="12" t="str">
        <x:v>未记录</x:v>
      </x:c>
      <x:c r="G2049" s="12" t="n">
        <x:v>1</x:v>
      </x:c>
      <x:c r="H2049" s="12" t="str">
        <x:v>{'IPMI': 100.0, 'AMI': 35.0, 'LPFB': 100.0, 'RVH': 50.0, 'RAO/RAE': 100.0, 'ABQRS': 0.0, 'SR': 0.0}</x:v>
      </x:c>
      <x:c r="I2049" s="12" t="str">
        <x:v>[('NSR', 100.0), ('RAE', 100.0), ('RAD4', 100.0), ('PULD', 100.0), ('RVH', 100.0), ('2ST', 100.0), ('IMI;AU', 50.0), ('AB', 100.0)]</x:v>
      </x:c>
      <x:c r="J2049" s="12" t="str">
        <x:v>ptbxl_database.csv；ecg_id=19686；scp_codes</x:v>
      </x:c>
      <x:c r="K2049" s="12" t="str">
        <x:v>12sl_statements.csv；ecg_id=19686；statements_ext_snomed</x:v>
      </x:c>
      <x:c r="L2049" s="12"/>
      <x:c r="M2049" s="12" t="str">
        <x:v>negative</x:v>
      </x:c>
      <x:c r="N2049" s="12"/>
      <x:c r="O2049" s="12" t="str">
        <x:v>negative</x:v>
      </x:c>
      <x:c r="P2049" s="12" t="str">
        <x:f>IF(OR(M2049="unavailable",O2049="unavailable"),"不可评价",IF(OR(M2049="equivocal",O2049="equivocal"),"疑似",IF(AND(M2049="positive",O2049="positive"),"a",IF(O2049="positive","b",IF(M2049="positive","c","d")))))</x:f>
        <x:v>d</x:v>
      </x:c>
      <x:c r="Q2049" s="12"/>
      <x:c r="R2049" s="12" t="str">
        <x:v>negative</x:v>
      </x:c>
      <x:c r="S2049" s="12"/>
      <x:c r="T2049" s="12" t="str">
        <x:v>negative</x:v>
      </x:c>
      <x:c r="U2049" s="12" t="str">
        <x:f>IF(OR(R2049="unavailable",T2049="unavailable"),"不可评价",IF(OR(R2049="equivocal",T2049="equivocal"),"疑似",IF(AND(R2049="positive",T2049="positive"),"a",IF(T2049="positive","b",IF(R2049="positive","c","d")))))</x:f>
        <x:v>d</x:v>
      </x:c>
      <x:c r="V2049" s="12"/>
      <x:c r="W2049" s="12" t="str">
        <x:v>negative</x:v>
      </x:c>
      <x:c r="X2049" s="12"/>
      <x:c r="Y2049" s="12" t="str">
        <x:v>negative</x:v>
      </x:c>
      <x:c r="Z2049" s="12" t="str">
        <x:f>IF(OR(W2049="unavailable",Y2049="unavailable"),"不可评价",IF(OR(W2049="equivocal",Y2049="equivocal"),"疑似",IF(AND(W2049="positive",Y2049="positive"),"a",IF(Y2049="positive","b",IF(W2049="positive","c","d")))))</x:f>
        <x:v>d</x:v>
      </x:c>
      <x:c r="AA2049" s="12" t="str">
        <x:f>IF(OR(M2049="unavailable",O2049="unavailable"),"不可评价",IF(AND(OR(M2049="positive",M2049="equivocal"),OR(O2049="positive",O2049="equivocal")),"a",IF(OR(O2049="positive",O2049="equivocal"),"b",IF(OR(M2049="positive",M2049="equivocal"),"c","d"))))</x:f>
        <x:v>d</x:v>
      </x:c>
      <x:c r="AB2049" s="12" t="str">
        <x:f>IF(OR(M2049="unavailable",O2049="unavailable"),"不可评价",IF(AND(M2049="positive",O2049="positive"),"a",IF(O2049="positive","b",IF(M2049="positive","c","d"))))</x:f>
        <x:v>d</x:v>
      </x:c>
      <x:c r="AC2049" s="12" t="str">
        <x:f>IF(OR(R2049="unavailable",T2049="unavailable"),"不可评价",IF(AND(OR(R2049="positive",R2049="equivocal"),OR(T2049="positive",T2049="equivocal")),"a",IF(OR(T2049="positive",T2049="equivocal"),"b",IF(OR(R2049="positive",R2049="equivocal"),"c","d"))))</x:f>
        <x:v>d</x:v>
      </x:c>
      <x:c r="AD2049" s="12" t="str">
        <x:f>IF(OR(R2049="unavailable",T2049="unavailable"),"不可评价",IF(AND(R2049="positive",T2049="positive"),"a",IF(T2049="positive","b",IF(R2049="positive","c","d"))))</x:f>
        <x:v>d</x:v>
      </x:c>
      <x:c r="AE2049" s="12" t="str">
        <x:f>IF(OR(W2049="unavailable",Y2049="unavailable"),"不可评价",IF(AND(OR(W2049="positive",W2049="equivocal"),OR(Y2049="positive",Y2049="equivocal")),"a",IF(OR(Y2049="positive",Y2049="equivocal"),"b",IF(OR(W2049="positive",W2049="equivocal"),"c","d"))))</x:f>
        <x:v>d</x:v>
      </x:c>
      <x:c r="AF2049" s="12" t="str">
        <x:f>IF(OR(W2049="unavailable",Y2049="unavailable"),"不可评价",IF(AND(W2049="positive",Y2049="positive"),"a",IF(Y2049="positive","b",IF(W2049="positive","c","d"))))</x:f>
        <x:v>d</x:v>
      </x:c>
    </x:row>
    <x:row r="2050" ht="24" customHeight="1">
      <x:c r="A2050" s="12" t="str">
        <x:v>19695</x:v>
      </x:c>
      <x:c r="B2050" s="12" t="str">
        <x:v>14363</x:v>
      </x:c>
      <x:c r="C2050" s="21" t="n">
        <x:v>36064.51447916667</x:v>
      </x:c>
      <x:c r="D2050" s="12" t="n">
        <x:v>83</x:v>
      </x:c>
      <x:c r="E2050" s="12" t="n">
        <x:v>0</x:v>
      </x:c>
      <x:c r="F2050" s="12" t="str">
        <x:v>未记录</x:v>
      </x:c>
      <x:c r="G2050" s="12" t="n">
        <x:v>1</x:v>
      </x:c>
      <x:c r="H2050" s="12" t="str">
        <x:v>{'1AVB': 100.0, 'SR': 0.0}</x:v>
      </x:c>
      <x:c r="I2050" s="12" t="str">
        <x:v>[('SRTH', 100.0), ('FAV', 100.0), ('PAC', 100.0), ('ABR', 100.0)]</x:v>
      </x:c>
      <x:c r="J2050" s="12" t="str">
        <x:v>ptbxl_database.csv；ecg_id=19695；scp_codes</x:v>
      </x:c>
      <x:c r="K2050" s="12" t="str">
        <x:v>12sl_statements.csv；ecg_id=19695；statements_ext_snomed</x:v>
      </x:c>
      <x:c r="L2050" s="12"/>
      <x:c r="M2050" s="12" t="str">
        <x:v>negative</x:v>
      </x:c>
      <x:c r="N2050" s="12"/>
      <x:c r="O2050" s="12" t="str">
        <x:v>negative</x:v>
      </x:c>
      <x:c r="P2050" s="12" t="str">
        <x:f>IF(OR(M2050="unavailable",O2050="unavailable"),"不可评价",IF(OR(M2050="equivocal",O2050="equivocal"),"疑似",IF(AND(M2050="positive",O2050="positive"),"a",IF(O2050="positive","b",IF(M2050="positive","c","d")))))</x:f>
        <x:v>d</x:v>
      </x:c>
      <x:c r="Q2050" s="12"/>
      <x:c r="R2050" s="12" t="str">
        <x:v>negative</x:v>
      </x:c>
      <x:c r="S2050" s="12"/>
      <x:c r="T2050" s="12" t="str">
        <x:v>negative</x:v>
      </x:c>
      <x:c r="U2050" s="12" t="str">
        <x:f>IF(OR(R2050="unavailable",T2050="unavailable"),"不可评价",IF(OR(R2050="equivocal",T2050="equivocal"),"疑似",IF(AND(R2050="positive",T2050="positive"),"a",IF(T2050="positive","b",IF(R2050="positive","c","d")))))</x:f>
        <x:v>d</x:v>
      </x:c>
      <x:c r="V2050" s="12"/>
      <x:c r="W2050" s="12" t="str">
        <x:v>negative</x:v>
      </x:c>
      <x:c r="X2050" s="12"/>
      <x:c r="Y2050" s="12" t="str">
        <x:v>negative</x:v>
      </x:c>
      <x:c r="Z2050" s="12" t="str">
        <x:f>IF(OR(W2050="unavailable",Y2050="unavailable"),"不可评价",IF(OR(W2050="equivocal",Y2050="equivocal"),"疑似",IF(AND(W2050="positive",Y2050="positive"),"a",IF(Y2050="positive","b",IF(W2050="positive","c","d")))))</x:f>
        <x:v>d</x:v>
      </x:c>
      <x:c r="AA2050" s="12" t="str">
        <x:f>IF(OR(M2050="unavailable",O2050="unavailable"),"不可评价",IF(AND(OR(M2050="positive",M2050="equivocal"),OR(O2050="positive",O2050="equivocal")),"a",IF(OR(O2050="positive",O2050="equivocal"),"b",IF(OR(M2050="positive",M2050="equivocal"),"c","d"))))</x:f>
        <x:v>d</x:v>
      </x:c>
      <x:c r="AB2050" s="12" t="str">
        <x:f>IF(OR(M2050="unavailable",O2050="unavailable"),"不可评价",IF(AND(M2050="positive",O2050="positive"),"a",IF(O2050="positive","b",IF(M2050="positive","c","d"))))</x:f>
        <x:v>d</x:v>
      </x:c>
      <x:c r="AC2050" s="12" t="str">
        <x:f>IF(OR(R2050="unavailable",T2050="unavailable"),"不可评价",IF(AND(OR(R2050="positive",R2050="equivocal"),OR(T2050="positive",T2050="equivocal")),"a",IF(OR(T2050="positive",T2050="equivocal"),"b",IF(OR(R2050="positive",R2050="equivocal"),"c","d"))))</x:f>
        <x:v>d</x:v>
      </x:c>
      <x:c r="AD2050" s="12" t="str">
        <x:f>IF(OR(R2050="unavailable",T2050="unavailable"),"不可评价",IF(AND(R2050="positive",T2050="positive"),"a",IF(T2050="positive","b",IF(R2050="positive","c","d"))))</x:f>
        <x:v>d</x:v>
      </x:c>
      <x:c r="AE2050" s="12" t="str">
        <x:f>IF(OR(W2050="unavailable",Y2050="unavailable"),"不可评价",IF(AND(OR(W2050="positive",W2050="equivocal"),OR(Y2050="positive",Y2050="equivocal")),"a",IF(OR(Y2050="positive",Y2050="equivocal"),"b",IF(OR(W2050="positive",W2050="equivocal"),"c","d"))))</x:f>
        <x:v>d</x:v>
      </x:c>
      <x:c r="AF2050" s="12" t="str">
        <x:f>IF(OR(W2050="unavailable",Y2050="unavailable"),"不可评价",IF(AND(W2050="positive",Y2050="positive"),"a",IF(Y2050="positive","b",IF(W2050="positive","c","d"))))</x:f>
        <x:v>d</x:v>
      </x:c>
    </x:row>
    <x:row r="2051" ht="24" customHeight="1">
      <x:c r="A2051" s="12" t="str">
        <x:v>19701</x:v>
      </x:c>
      <x:c r="B2051" s="12" t="str">
        <x:v>19760</x:v>
      </x:c>
      <x:c r="C2051" s="21" t="n">
        <x:v>36065.59165509259</x:v>
      </x:c>
      <x:c r="D2051" s="12" t="n">
        <x:v>42</x:v>
      </x:c>
      <x:c r="E2051" s="12" t="n">
        <x:v>1</x:v>
      </x:c>
      <x:c r="F2051" s="12" t="str">
        <x:v>未记录</x:v>
      </x:c>
      <x:c r="G2051" s="12" t="n">
        <x:v>1</x:v>
      </x:c>
      <x:c r="H2051" s="12" t="str">
        <x:v>{'IRBBB': 100.0, 'ABQRS': 0.0, 'SR': 0.0}</x:v>
      </x:c>
      <x:c r="I2051" s="12" t="str">
        <x:v>[('NSR', 100.0), ('NML', 100.0)]</x:v>
      </x:c>
      <x:c r="J2051" s="12" t="str">
        <x:v>ptbxl_database.csv；ecg_id=19701；scp_codes</x:v>
      </x:c>
      <x:c r="K2051" s="12" t="str">
        <x:v>12sl_statements.csv；ecg_id=19701；statements_ext_snomed</x:v>
      </x:c>
      <x:c r="L2051" s="12"/>
      <x:c r="M2051" s="12" t="str">
        <x:v>negative</x:v>
      </x:c>
      <x:c r="N2051" s="12"/>
      <x:c r="O2051" s="12" t="str">
        <x:v>negative</x:v>
      </x:c>
      <x:c r="P2051" s="12" t="str">
        <x:f>IF(OR(M2051="unavailable",O2051="unavailable"),"不可评价",IF(OR(M2051="equivocal",O2051="equivocal"),"疑似",IF(AND(M2051="positive",O2051="positive"),"a",IF(O2051="positive","b",IF(M2051="positive","c","d")))))</x:f>
        <x:v>d</x:v>
      </x:c>
      <x:c r="Q2051" s="12"/>
      <x:c r="R2051" s="12" t="str">
        <x:v>negative</x:v>
      </x:c>
      <x:c r="S2051" s="12"/>
      <x:c r="T2051" s="12" t="str">
        <x:v>negative</x:v>
      </x:c>
      <x:c r="U2051" s="12" t="str">
        <x:f>IF(OR(R2051="unavailable",T2051="unavailable"),"不可评价",IF(OR(R2051="equivocal",T2051="equivocal"),"疑似",IF(AND(R2051="positive",T2051="positive"),"a",IF(T2051="positive","b",IF(R2051="positive","c","d")))))</x:f>
        <x:v>d</x:v>
      </x:c>
      <x:c r="V2051" s="12"/>
      <x:c r="W2051" s="12" t="str">
        <x:v>negative</x:v>
      </x:c>
      <x:c r="X2051" s="12"/>
      <x:c r="Y2051" s="12" t="str">
        <x:v>negative</x:v>
      </x:c>
      <x:c r="Z2051" s="12" t="str">
        <x:f>IF(OR(W2051="unavailable",Y2051="unavailable"),"不可评价",IF(OR(W2051="equivocal",Y2051="equivocal"),"疑似",IF(AND(W2051="positive",Y2051="positive"),"a",IF(Y2051="positive","b",IF(W2051="positive","c","d")))))</x:f>
        <x:v>d</x:v>
      </x:c>
      <x:c r="AA2051" s="12" t="str">
        <x:f>IF(OR(M2051="unavailable",O2051="unavailable"),"不可评价",IF(AND(OR(M2051="positive",M2051="equivocal"),OR(O2051="positive",O2051="equivocal")),"a",IF(OR(O2051="positive",O2051="equivocal"),"b",IF(OR(M2051="positive",M2051="equivocal"),"c","d"))))</x:f>
        <x:v>d</x:v>
      </x:c>
      <x:c r="AB2051" s="12" t="str">
        <x:f>IF(OR(M2051="unavailable",O2051="unavailable"),"不可评价",IF(AND(M2051="positive",O2051="positive"),"a",IF(O2051="positive","b",IF(M2051="positive","c","d"))))</x:f>
        <x:v>d</x:v>
      </x:c>
      <x:c r="AC2051" s="12" t="str">
        <x:f>IF(OR(R2051="unavailable",T2051="unavailable"),"不可评价",IF(AND(OR(R2051="positive",R2051="equivocal"),OR(T2051="positive",T2051="equivocal")),"a",IF(OR(T2051="positive",T2051="equivocal"),"b",IF(OR(R2051="positive",R2051="equivocal"),"c","d"))))</x:f>
        <x:v>d</x:v>
      </x:c>
      <x:c r="AD2051" s="12" t="str">
        <x:f>IF(OR(R2051="unavailable",T2051="unavailable"),"不可评价",IF(AND(R2051="positive",T2051="positive"),"a",IF(T2051="positive","b",IF(R2051="positive","c","d"))))</x:f>
        <x:v>d</x:v>
      </x:c>
      <x:c r="AE2051" s="12" t="str">
        <x:f>IF(OR(W2051="unavailable",Y2051="unavailable"),"不可评价",IF(AND(OR(W2051="positive",W2051="equivocal"),OR(Y2051="positive",Y2051="equivocal")),"a",IF(OR(Y2051="positive",Y2051="equivocal"),"b",IF(OR(W2051="positive",W2051="equivocal"),"c","d"))))</x:f>
        <x:v>d</x:v>
      </x:c>
      <x:c r="AF2051" s="12" t="str">
        <x:f>IF(OR(W2051="unavailable",Y2051="unavailable"),"不可评价",IF(AND(W2051="positive",Y2051="positive"),"a",IF(Y2051="positive","b",IF(W2051="positive","c","d"))))</x:f>
        <x:v>d</x:v>
      </x:c>
    </x:row>
    <x:row r="2052" ht="24" customHeight="1">
      <x:c r="A2052" s="12" t="str">
        <x:v>19703</x:v>
      </x:c>
      <x:c r="B2052" s="12" t="str">
        <x:v>17922</x:v>
      </x:c>
      <x:c r="C2052" s="21" t="n">
        <x:v>36065.79525462963</x:v>
      </x:c>
      <x:c r="D2052" s="12" t="n">
        <x:v>72</x:v>
      </x:c>
      <x:c r="E2052" s="12" t="n">
        <x:v>1</x:v>
      </x:c>
      <x:c r="F2052" s="12" t="str">
        <x:v>存在</x:v>
      </x:c>
      <x:c r="G2052" s="12" t="n">
        <x:v>1</x:v>
      </x:c>
      <x:c r="H2052" s="12" t="str">
        <x:v>{'NORM': 100.0, 'SR': 0.0}</x:v>
      </x:c>
      <x:c r="I2052" s="12" t="str">
        <x:v>[('NSR', 100.0), ('NML', 100.0)]</x:v>
      </x:c>
      <x:c r="J2052" s="12" t="str">
        <x:v>ptbxl_database.csv；ecg_id=19703；scp_codes</x:v>
      </x:c>
      <x:c r="K2052" s="12" t="str">
        <x:v>12sl_statements.csv；ecg_id=19703；statements_ext_snomed</x:v>
      </x:c>
      <x:c r="L2052" s="12"/>
      <x:c r="M2052" s="12" t="str">
        <x:v>negative</x:v>
      </x:c>
      <x:c r="N2052" s="12"/>
      <x:c r="O2052" s="12" t="str">
        <x:v>negative</x:v>
      </x:c>
      <x:c r="P2052" s="12" t="str">
        <x:f>IF(OR(M2052="unavailable",O2052="unavailable"),"不可评价",IF(OR(M2052="equivocal",O2052="equivocal"),"疑似",IF(AND(M2052="positive",O2052="positive"),"a",IF(O2052="positive","b",IF(M2052="positive","c","d")))))</x:f>
        <x:v>d</x:v>
      </x:c>
      <x:c r="Q2052" s="12"/>
      <x:c r="R2052" s="12" t="str">
        <x:v>negative</x:v>
      </x:c>
      <x:c r="S2052" s="12"/>
      <x:c r="T2052" s="12" t="str">
        <x:v>negative</x:v>
      </x:c>
      <x:c r="U2052" s="12" t="str">
        <x:f>IF(OR(R2052="unavailable",T2052="unavailable"),"不可评价",IF(OR(R2052="equivocal",T2052="equivocal"),"疑似",IF(AND(R2052="positive",T2052="positive"),"a",IF(T2052="positive","b",IF(R2052="positive","c","d")))))</x:f>
        <x:v>d</x:v>
      </x:c>
      <x:c r="V2052" s="12"/>
      <x:c r="W2052" s="12" t="str">
        <x:v>negative</x:v>
      </x:c>
      <x:c r="X2052" s="12"/>
      <x:c r="Y2052" s="12" t="str">
        <x:v>negative</x:v>
      </x:c>
      <x:c r="Z2052" s="12" t="str">
        <x:f>IF(OR(W2052="unavailable",Y2052="unavailable"),"不可评价",IF(OR(W2052="equivocal",Y2052="equivocal"),"疑似",IF(AND(W2052="positive",Y2052="positive"),"a",IF(Y2052="positive","b",IF(W2052="positive","c","d")))))</x:f>
        <x:v>d</x:v>
      </x:c>
      <x:c r="AA2052" s="12" t="str">
        <x:f>IF(OR(M2052="unavailable",O2052="unavailable"),"不可评价",IF(AND(OR(M2052="positive",M2052="equivocal"),OR(O2052="positive",O2052="equivocal")),"a",IF(OR(O2052="positive",O2052="equivocal"),"b",IF(OR(M2052="positive",M2052="equivocal"),"c","d"))))</x:f>
        <x:v>d</x:v>
      </x:c>
      <x:c r="AB2052" s="12" t="str">
        <x:f>IF(OR(M2052="unavailable",O2052="unavailable"),"不可评价",IF(AND(M2052="positive",O2052="positive"),"a",IF(O2052="positive","b",IF(M2052="positive","c","d"))))</x:f>
        <x:v>d</x:v>
      </x:c>
      <x:c r="AC2052" s="12" t="str">
        <x:f>IF(OR(R2052="unavailable",T2052="unavailable"),"不可评价",IF(AND(OR(R2052="positive",R2052="equivocal"),OR(T2052="positive",T2052="equivocal")),"a",IF(OR(T2052="positive",T2052="equivocal"),"b",IF(OR(R2052="positive",R2052="equivocal"),"c","d"))))</x:f>
        <x:v>d</x:v>
      </x:c>
      <x:c r="AD2052" s="12" t="str">
        <x:f>IF(OR(R2052="unavailable",T2052="unavailable"),"不可评价",IF(AND(R2052="positive",T2052="positive"),"a",IF(T2052="positive","b",IF(R2052="positive","c","d"))))</x:f>
        <x:v>d</x:v>
      </x:c>
      <x:c r="AE2052" s="12" t="str">
        <x:f>IF(OR(W2052="unavailable",Y2052="unavailable"),"不可评价",IF(AND(OR(W2052="positive",W2052="equivocal"),OR(Y2052="positive",Y2052="equivocal")),"a",IF(OR(Y2052="positive",Y2052="equivocal"),"b",IF(OR(W2052="positive",W2052="equivocal"),"c","d"))))</x:f>
        <x:v>d</x:v>
      </x:c>
      <x:c r="AF2052" s="12" t="str">
        <x:f>IF(OR(W2052="unavailable",Y2052="unavailable"),"不可评价",IF(AND(W2052="positive",Y2052="positive"),"a",IF(Y2052="positive","b",IF(W2052="positive","c","d"))))</x:f>
        <x:v>d</x:v>
      </x:c>
    </x:row>
    <x:row r="2053" ht="24" customHeight="1">
      <x:c r="A2053" s="12" t="str">
        <x:v>19723</x:v>
      </x:c>
      <x:c r="B2053" s="12" t="str">
        <x:v>17374</x:v>
      </x:c>
      <x:c r="C2053" s="21" t="n">
        <x:v>36070.78107638889</x:v>
      </x:c>
      <x:c r="D2053" s="12" t="n">
        <x:v>28</x:v>
      </x:c>
      <x:c r="E2053" s="12" t="n">
        <x:v>0</x:v>
      </x:c>
      <x:c r="F2053" s="12" t="str">
        <x:v>未记录</x:v>
      </x:c>
      <x:c r="G2053" s="12" t="n">
        <x:v>1</x:v>
      </x:c>
      <x:c r="H2053" s="12" t="str">
        <x:v>{'NORM': 100.0, 'SR': 0.0}</x:v>
      </x:c>
      <x:c r="I2053" s="12" t="str">
        <x:v>[('SBRAD', 100.0), ('SAR', 100.0), ('ABR', 100.0)]</x:v>
      </x:c>
      <x:c r="J2053" s="12" t="str">
        <x:v>ptbxl_database.csv；ecg_id=19723；scp_codes</x:v>
      </x:c>
      <x:c r="K2053" s="12" t="str">
        <x:v>12sl_statements.csv；ecg_id=19723；statements_ext_snomed</x:v>
      </x:c>
      <x:c r="L2053" s="12"/>
      <x:c r="M2053" s="12" t="str">
        <x:v>negative</x:v>
      </x:c>
      <x:c r="N2053" s="12"/>
      <x:c r="O2053" s="12" t="str">
        <x:v>negative</x:v>
      </x:c>
      <x:c r="P2053" s="12" t="str">
        <x:f>IF(OR(M2053="unavailable",O2053="unavailable"),"不可评价",IF(OR(M2053="equivocal",O2053="equivocal"),"疑似",IF(AND(M2053="positive",O2053="positive"),"a",IF(O2053="positive","b",IF(M2053="positive","c","d")))))</x:f>
        <x:v>d</x:v>
      </x:c>
      <x:c r="Q2053" s="12"/>
      <x:c r="R2053" s="12" t="str">
        <x:v>negative</x:v>
      </x:c>
      <x:c r="S2053" s="12"/>
      <x:c r="T2053" s="12" t="str">
        <x:v>negative</x:v>
      </x:c>
      <x:c r="U2053" s="12" t="str">
        <x:f>IF(OR(R2053="unavailable",T2053="unavailable"),"不可评价",IF(OR(R2053="equivocal",T2053="equivocal"),"疑似",IF(AND(R2053="positive",T2053="positive"),"a",IF(T2053="positive","b",IF(R2053="positive","c","d")))))</x:f>
        <x:v>d</x:v>
      </x:c>
      <x:c r="V2053" s="12"/>
      <x:c r="W2053" s="12" t="str">
        <x:v>negative</x:v>
      </x:c>
      <x:c r="X2053" s="12"/>
      <x:c r="Y2053" s="12" t="str">
        <x:v>negative</x:v>
      </x:c>
      <x:c r="Z2053" s="12" t="str">
        <x:f>IF(OR(W2053="unavailable",Y2053="unavailable"),"不可评价",IF(OR(W2053="equivocal",Y2053="equivocal"),"疑似",IF(AND(W2053="positive",Y2053="positive"),"a",IF(Y2053="positive","b",IF(W2053="positive","c","d")))))</x:f>
        <x:v>d</x:v>
      </x:c>
      <x:c r="AA2053" s="12" t="str">
        <x:f>IF(OR(M2053="unavailable",O2053="unavailable"),"不可评价",IF(AND(OR(M2053="positive",M2053="equivocal"),OR(O2053="positive",O2053="equivocal")),"a",IF(OR(O2053="positive",O2053="equivocal"),"b",IF(OR(M2053="positive",M2053="equivocal"),"c","d"))))</x:f>
        <x:v>d</x:v>
      </x:c>
      <x:c r="AB2053" s="12" t="str">
        <x:f>IF(OR(M2053="unavailable",O2053="unavailable"),"不可评价",IF(AND(M2053="positive",O2053="positive"),"a",IF(O2053="positive","b",IF(M2053="positive","c","d"))))</x:f>
        <x:v>d</x:v>
      </x:c>
      <x:c r="AC2053" s="12" t="str">
        <x:f>IF(OR(R2053="unavailable",T2053="unavailable"),"不可评价",IF(AND(OR(R2053="positive",R2053="equivocal"),OR(T2053="positive",T2053="equivocal")),"a",IF(OR(T2053="positive",T2053="equivocal"),"b",IF(OR(R2053="positive",R2053="equivocal"),"c","d"))))</x:f>
        <x:v>d</x:v>
      </x:c>
      <x:c r="AD2053" s="12" t="str">
        <x:f>IF(OR(R2053="unavailable",T2053="unavailable"),"不可评价",IF(AND(R2053="positive",T2053="positive"),"a",IF(T2053="positive","b",IF(R2053="positive","c","d"))))</x:f>
        <x:v>d</x:v>
      </x:c>
      <x:c r="AE2053" s="12" t="str">
        <x:f>IF(OR(W2053="unavailable",Y2053="unavailable"),"不可评价",IF(AND(OR(W2053="positive",W2053="equivocal"),OR(Y2053="positive",Y2053="equivocal")),"a",IF(OR(Y2053="positive",Y2053="equivocal"),"b",IF(OR(W2053="positive",W2053="equivocal"),"c","d"))))</x:f>
        <x:v>d</x:v>
      </x:c>
      <x:c r="AF2053" s="12" t="str">
        <x:f>IF(OR(W2053="unavailable",Y2053="unavailable"),"不可评价",IF(AND(W2053="positive",Y2053="positive"),"a",IF(Y2053="positive","b",IF(W2053="positive","c","d"))))</x:f>
        <x:v>d</x:v>
      </x:c>
    </x:row>
    <x:row r="2054" ht="39" customHeight="1">
      <x:c r="A2054" s="12" t="str">
        <x:v>19726</x:v>
      </x:c>
      <x:c r="B2054" s="12" t="str">
        <x:v>8761</x:v>
      </x:c>
      <x:c r="C2054" s="21" t="n">
        <x:v>36071.30453703704</x:v>
      </x:c>
      <x:c r="D2054" s="12" t="n">
        <x:v>67</x:v>
      </x:c>
      <x:c r="E2054" s="12" t="n">
        <x:v>0</x:v>
      </x:c>
      <x:c r="F2054" s="12" t="str">
        <x:v>存在</x:v>
      </x:c>
      <x:c r="G2054" s="12" t="n">
        <x:v>1</x:v>
      </x:c>
      <x:c r="H2054" s="12" t="str">
        <x:v>{'IMI': 100.0, 'ASMI': 100.0, 'LAFB': 100.0, 'ABQRS': 0.0, 'SR': 0.0}</x:v>
      </x:c>
      <x:c r="I2054" s="12" t="str">
        <x:v>[('NSR', 100.0), ('LAD3', 100.0), ('IMI;AU', 100.0), ('ASMI;AU', 100.0), ('ST&amp;', 100.0), ('LT', 100.0), ('AB', 100.0)]</x:v>
      </x:c>
      <x:c r="J2054" s="12" t="str">
        <x:v>ptbxl_database.csv；ecg_id=19726；scp_codes</x:v>
      </x:c>
      <x:c r="K2054" s="12" t="str">
        <x:v>12sl_statements.csv；ecg_id=19726；statements_ext_snomed</x:v>
      </x:c>
      <x:c r="L2054" s="12"/>
      <x:c r="M2054" s="12" t="str">
        <x:v>negative</x:v>
      </x:c>
      <x:c r="N2054" s="12"/>
      <x:c r="O2054" s="12" t="str">
        <x:v>negative</x:v>
      </x:c>
      <x:c r="P2054" s="12" t="str">
        <x:f>IF(OR(M2054="unavailable",O2054="unavailable"),"不可评价",IF(OR(M2054="equivocal",O2054="equivocal"),"疑似",IF(AND(M2054="positive",O2054="positive"),"a",IF(O2054="positive","b",IF(M2054="positive","c","d")))))</x:f>
        <x:v>d</x:v>
      </x:c>
      <x:c r="Q2054" s="12"/>
      <x:c r="R2054" s="12" t="str">
        <x:v>negative</x:v>
      </x:c>
      <x:c r="S2054" s="12"/>
      <x:c r="T2054" s="12" t="str">
        <x:v>negative</x:v>
      </x:c>
      <x:c r="U2054" s="12" t="str">
        <x:f>IF(OR(R2054="unavailable",T2054="unavailable"),"不可评价",IF(OR(R2054="equivocal",T2054="equivocal"),"疑似",IF(AND(R2054="positive",T2054="positive"),"a",IF(T2054="positive","b",IF(R2054="positive","c","d")))))</x:f>
        <x:v>d</x:v>
      </x:c>
      <x:c r="V2054" s="12"/>
      <x:c r="W2054" s="12" t="str">
        <x:v>negative</x:v>
      </x:c>
      <x:c r="X2054" s="12"/>
      <x:c r="Y2054" s="12" t="str">
        <x:v>negative</x:v>
      </x:c>
      <x:c r="Z2054" s="12" t="str">
        <x:f>IF(OR(W2054="unavailable",Y2054="unavailable"),"不可评价",IF(OR(W2054="equivocal",Y2054="equivocal"),"疑似",IF(AND(W2054="positive",Y2054="positive"),"a",IF(Y2054="positive","b",IF(W2054="positive","c","d")))))</x:f>
        <x:v>d</x:v>
      </x:c>
      <x:c r="AA2054" s="12" t="str">
        <x:f>IF(OR(M2054="unavailable",O2054="unavailable"),"不可评价",IF(AND(OR(M2054="positive",M2054="equivocal"),OR(O2054="positive",O2054="equivocal")),"a",IF(OR(O2054="positive",O2054="equivocal"),"b",IF(OR(M2054="positive",M2054="equivocal"),"c","d"))))</x:f>
        <x:v>d</x:v>
      </x:c>
      <x:c r="AB2054" s="12" t="str">
        <x:f>IF(OR(M2054="unavailable",O2054="unavailable"),"不可评价",IF(AND(M2054="positive",O2054="positive"),"a",IF(O2054="positive","b",IF(M2054="positive","c","d"))))</x:f>
        <x:v>d</x:v>
      </x:c>
      <x:c r="AC2054" s="12" t="str">
        <x:f>IF(OR(R2054="unavailable",T2054="unavailable"),"不可评价",IF(AND(OR(R2054="positive",R2054="equivocal"),OR(T2054="positive",T2054="equivocal")),"a",IF(OR(T2054="positive",T2054="equivocal"),"b",IF(OR(R2054="positive",R2054="equivocal"),"c","d"))))</x:f>
        <x:v>d</x:v>
      </x:c>
      <x:c r="AD2054" s="12" t="str">
        <x:f>IF(OR(R2054="unavailable",T2054="unavailable"),"不可评价",IF(AND(R2054="positive",T2054="positive"),"a",IF(T2054="positive","b",IF(R2054="positive","c","d"))))</x:f>
        <x:v>d</x:v>
      </x:c>
      <x:c r="AE2054" s="12" t="str">
        <x:f>IF(OR(W2054="unavailable",Y2054="unavailable"),"不可评价",IF(AND(OR(W2054="positive",W2054="equivocal"),OR(Y2054="positive",Y2054="equivocal")),"a",IF(OR(Y2054="positive",Y2054="equivocal"),"b",IF(OR(W2054="positive",W2054="equivocal"),"c","d"))))</x:f>
        <x:v>d</x:v>
      </x:c>
      <x:c r="AF2054" s="12" t="str">
        <x:f>IF(OR(W2054="unavailable",Y2054="unavailable"),"不可评价",IF(AND(W2054="positive",Y2054="positive"),"a",IF(Y2054="positive","b",IF(W2054="positive","c","d"))))</x:f>
        <x:v>d</x:v>
      </x:c>
    </x:row>
    <x:row r="2055" ht="24" customHeight="1">
      <x:c r="A2055" s="12" t="str">
        <x:v>19780</x:v>
      </x:c>
      <x:c r="B2055" s="12" t="str">
        <x:v>21793</x:v>
      </x:c>
      <x:c r="C2055" s="21" t="n">
        <x:v>36085.68945601852</x:v>
      </x:c>
      <x:c r="D2055" s="12" t="n">
        <x:v>77</x:v>
      </x:c>
      <x:c r="E2055" s="12" t="n">
        <x:v>1</x:v>
      </x:c>
      <x:c r="F2055" s="12" t="str">
        <x:v>未记录</x:v>
      </x:c>
      <x:c r="G2055" s="12" t="n">
        <x:v>1</x:v>
      </x:c>
      <x:c r="H2055" s="12" t="str">
        <x:v>{'LMI': 15.0, 'LAFB': 100.0, 'SR': 0.0}</x:v>
      </x:c>
      <x:c r="I2055" s="12" t="str">
        <x:v>[('NSR', 100.0), ('LVH2', 100.0), ('QRSW', 100.0), ('NST', 100.0), ('AB', 100.0)]</x:v>
      </x:c>
      <x:c r="J2055" s="12" t="str">
        <x:v>ptbxl_database.csv；ecg_id=19780；scp_codes</x:v>
      </x:c>
      <x:c r="K2055" s="12" t="str">
        <x:v>12sl_statements.csv；ecg_id=19780；statements_ext_snomed</x:v>
      </x:c>
      <x:c r="L2055" s="12"/>
      <x:c r="M2055" s="12" t="str">
        <x:v>negative</x:v>
      </x:c>
      <x:c r="N2055" s="12"/>
      <x:c r="O2055" s="12" t="str">
        <x:v>negative</x:v>
      </x:c>
      <x:c r="P2055" s="12" t="str">
        <x:f>IF(OR(M2055="unavailable",O2055="unavailable"),"不可评价",IF(OR(M2055="equivocal",O2055="equivocal"),"疑似",IF(AND(M2055="positive",O2055="positive"),"a",IF(O2055="positive","b",IF(M2055="positive","c","d")))))</x:f>
        <x:v>d</x:v>
      </x:c>
      <x:c r="Q2055" s="12"/>
      <x:c r="R2055" s="12" t="str">
        <x:v>negative</x:v>
      </x:c>
      <x:c r="S2055" s="12"/>
      <x:c r="T2055" s="12" t="str">
        <x:v>negative</x:v>
      </x:c>
      <x:c r="U2055" s="12" t="str">
        <x:f>IF(OR(R2055="unavailable",T2055="unavailable"),"不可评价",IF(OR(R2055="equivocal",T2055="equivocal"),"疑似",IF(AND(R2055="positive",T2055="positive"),"a",IF(T2055="positive","b",IF(R2055="positive","c","d")))))</x:f>
        <x:v>d</x:v>
      </x:c>
      <x:c r="V2055" s="12"/>
      <x:c r="W2055" s="12" t="str">
        <x:v>negative</x:v>
      </x:c>
      <x:c r="X2055" s="12"/>
      <x:c r="Y2055" s="12" t="str">
        <x:v>negative</x:v>
      </x:c>
      <x:c r="Z2055" s="12" t="str">
        <x:f>IF(OR(W2055="unavailable",Y2055="unavailable"),"不可评价",IF(OR(W2055="equivocal",Y2055="equivocal"),"疑似",IF(AND(W2055="positive",Y2055="positive"),"a",IF(Y2055="positive","b",IF(W2055="positive","c","d")))))</x:f>
        <x:v>d</x:v>
      </x:c>
      <x:c r="AA2055" s="12" t="str">
        <x:f>IF(OR(M2055="unavailable",O2055="unavailable"),"不可评价",IF(AND(OR(M2055="positive",M2055="equivocal"),OR(O2055="positive",O2055="equivocal")),"a",IF(OR(O2055="positive",O2055="equivocal"),"b",IF(OR(M2055="positive",M2055="equivocal"),"c","d"))))</x:f>
        <x:v>d</x:v>
      </x:c>
      <x:c r="AB2055" s="12" t="str">
        <x:f>IF(OR(M2055="unavailable",O2055="unavailable"),"不可评价",IF(AND(M2055="positive",O2055="positive"),"a",IF(O2055="positive","b",IF(M2055="positive","c","d"))))</x:f>
        <x:v>d</x:v>
      </x:c>
      <x:c r="AC2055" s="12" t="str">
        <x:f>IF(OR(R2055="unavailable",T2055="unavailable"),"不可评价",IF(AND(OR(R2055="positive",R2055="equivocal"),OR(T2055="positive",T2055="equivocal")),"a",IF(OR(T2055="positive",T2055="equivocal"),"b",IF(OR(R2055="positive",R2055="equivocal"),"c","d"))))</x:f>
        <x:v>d</x:v>
      </x:c>
      <x:c r="AD2055" s="12" t="str">
        <x:f>IF(OR(R2055="unavailable",T2055="unavailable"),"不可评价",IF(AND(R2055="positive",T2055="positive"),"a",IF(T2055="positive","b",IF(R2055="positive","c","d"))))</x:f>
        <x:v>d</x:v>
      </x:c>
      <x:c r="AE2055" s="12" t="str">
        <x:f>IF(OR(W2055="unavailable",Y2055="unavailable"),"不可评价",IF(AND(OR(W2055="positive",W2055="equivocal"),OR(Y2055="positive",Y2055="equivocal")),"a",IF(OR(Y2055="positive",Y2055="equivocal"),"b",IF(OR(W2055="positive",W2055="equivocal"),"c","d"))))</x:f>
        <x:v>d</x:v>
      </x:c>
      <x:c r="AF2055" s="12" t="str">
        <x:f>IF(OR(W2055="unavailable",Y2055="unavailable"),"不可评价",IF(AND(W2055="positive",Y2055="positive"),"a",IF(Y2055="positive","b",IF(W2055="positive","c","d"))))</x:f>
        <x:v>d</x:v>
      </x:c>
    </x:row>
    <x:row r="2056" ht="39" customHeight="1">
      <x:c r="A2056" s="12" t="str">
        <x:v>19848</x:v>
      </x:c>
      <x:c r="B2056" s="12" t="str">
        <x:v>20824</x:v>
      </x:c>
      <x:c r="C2056" s="21" t="n">
        <x:v>36101.016863425924</x:v>
      </x:c>
      <x:c r="D2056" s="12" t="n">
        <x:v>85</x:v>
      </x:c>
      <x:c r="E2056" s="12" t="n">
        <x:v>1</x:v>
      </x:c>
      <x:c r="F2056" s="12" t="str">
        <x:v>存在</x:v>
      </x:c>
      <x:c r="G2056" s="12" t="n">
        <x:v>1</x:v>
      </x:c>
      <x:c r="H2056" s="12" t="str">
        <x:v>{'ILMI': 15.0, '1AVB': 100.0, 'SR': 0.0}</x:v>
      </x:c>
      <x:c r="I2056" s="12" t="str">
        <x:v>[('SRTH', 100.0), ('FAV', 100.0), ('LAD3', 100.0), ('LOWV', 100.0), ('AMI;AU', 15.0), ('AB', 100.0)]</x:v>
      </x:c>
      <x:c r="J2056" s="12" t="str">
        <x:v>ptbxl_database.csv；ecg_id=19848；scp_codes</x:v>
      </x:c>
      <x:c r="K2056" s="12" t="str">
        <x:v>12sl_statements.csv；ecg_id=19848；statements_ext_snomed</x:v>
      </x:c>
      <x:c r="L2056" s="12"/>
      <x:c r="M2056" s="12" t="str">
        <x:v>negative</x:v>
      </x:c>
      <x:c r="N2056" s="12"/>
      <x:c r="O2056" s="12" t="str">
        <x:v>negative</x:v>
      </x:c>
      <x:c r="P2056" s="12" t="str">
        <x:f>IF(OR(M2056="unavailable",O2056="unavailable"),"不可评价",IF(OR(M2056="equivocal",O2056="equivocal"),"疑似",IF(AND(M2056="positive",O2056="positive"),"a",IF(O2056="positive","b",IF(M2056="positive","c","d")))))</x:f>
        <x:v>d</x:v>
      </x:c>
      <x:c r="Q2056" s="12"/>
      <x:c r="R2056" s="12" t="str">
        <x:v>negative</x:v>
      </x:c>
      <x:c r="S2056" s="12"/>
      <x:c r="T2056" s="12" t="str">
        <x:v>negative</x:v>
      </x:c>
      <x:c r="U2056" s="12" t="str">
        <x:f>IF(OR(R2056="unavailable",T2056="unavailable"),"不可评价",IF(OR(R2056="equivocal",T2056="equivocal"),"疑似",IF(AND(R2056="positive",T2056="positive"),"a",IF(T2056="positive","b",IF(R2056="positive","c","d")))))</x:f>
        <x:v>d</x:v>
      </x:c>
      <x:c r="V2056" s="12"/>
      <x:c r="W2056" s="12" t="str">
        <x:v>negative</x:v>
      </x:c>
      <x:c r="X2056" s="12"/>
      <x:c r="Y2056" s="12" t="str">
        <x:v>negative</x:v>
      </x:c>
      <x:c r="Z2056" s="12" t="str">
        <x:f>IF(OR(W2056="unavailable",Y2056="unavailable"),"不可评价",IF(OR(W2056="equivocal",Y2056="equivocal"),"疑似",IF(AND(W2056="positive",Y2056="positive"),"a",IF(Y2056="positive","b",IF(W2056="positive","c","d")))))</x:f>
        <x:v>d</x:v>
      </x:c>
      <x:c r="AA2056" s="12" t="str">
        <x:f>IF(OR(M2056="unavailable",O2056="unavailable"),"不可评价",IF(AND(OR(M2056="positive",M2056="equivocal"),OR(O2056="positive",O2056="equivocal")),"a",IF(OR(O2056="positive",O2056="equivocal"),"b",IF(OR(M2056="positive",M2056="equivocal"),"c","d"))))</x:f>
        <x:v>d</x:v>
      </x:c>
      <x:c r="AB2056" s="12" t="str">
        <x:f>IF(OR(M2056="unavailable",O2056="unavailable"),"不可评价",IF(AND(M2056="positive",O2056="positive"),"a",IF(O2056="positive","b",IF(M2056="positive","c","d"))))</x:f>
        <x:v>d</x:v>
      </x:c>
      <x:c r="AC2056" s="12" t="str">
        <x:f>IF(OR(R2056="unavailable",T2056="unavailable"),"不可评价",IF(AND(OR(R2056="positive",R2056="equivocal"),OR(T2056="positive",T2056="equivocal")),"a",IF(OR(T2056="positive",T2056="equivocal"),"b",IF(OR(R2056="positive",R2056="equivocal"),"c","d"))))</x:f>
        <x:v>d</x:v>
      </x:c>
      <x:c r="AD2056" s="12" t="str">
        <x:f>IF(OR(R2056="unavailable",T2056="unavailable"),"不可评价",IF(AND(R2056="positive",T2056="positive"),"a",IF(T2056="positive","b",IF(R2056="positive","c","d"))))</x:f>
        <x:v>d</x:v>
      </x:c>
      <x:c r="AE2056" s="12" t="str">
        <x:f>IF(OR(W2056="unavailable",Y2056="unavailable"),"不可评价",IF(AND(OR(W2056="positive",W2056="equivocal"),OR(Y2056="positive",Y2056="equivocal")),"a",IF(OR(Y2056="positive",Y2056="equivocal"),"b",IF(OR(W2056="positive",W2056="equivocal"),"c","d"))))</x:f>
        <x:v>d</x:v>
      </x:c>
      <x:c r="AF2056" s="12" t="str">
        <x:f>IF(OR(W2056="unavailable",Y2056="unavailable"),"不可评价",IF(AND(W2056="positive",Y2056="positive"),"a",IF(Y2056="positive","b",IF(W2056="positive","c","d"))))</x:f>
        <x:v>d</x:v>
      </x:c>
    </x:row>
    <x:row r="2057" ht="24" customHeight="1">
      <x:c r="A2057" s="12" t="str">
        <x:v>19853</x:v>
      </x:c>
      <x:c r="B2057" s="12" t="str">
        <x:v>17338</x:v>
      </x:c>
      <x:c r="C2057" s="21" t="n">
        <x:v>36101.61917824074</x:v>
      </x:c>
      <x:c r="D2057" s="12" t="n">
        <x:v>74</x:v>
      </x:c>
      <x:c r="E2057" s="12" t="n">
        <x:v>1</x:v>
      </x:c>
      <x:c r="F2057" s="12" t="str">
        <x:v>未记录</x:v>
      </x:c>
      <x:c r="G2057" s="12" t="n">
        <x:v>1</x:v>
      </x:c>
      <x:c r="H2057" s="12" t="str">
        <x:v>{'NORM': 100.0, 'SR': 0.0}</x:v>
      </x:c>
      <x:c r="I2057" s="12" t="str">
        <x:v>[('NSR', 100.0), ('NML', 100.0)]</x:v>
      </x:c>
      <x:c r="J2057" s="12" t="str">
        <x:v>ptbxl_database.csv；ecg_id=19853；scp_codes</x:v>
      </x:c>
      <x:c r="K2057" s="12" t="str">
        <x:v>12sl_statements.csv；ecg_id=19853；statements_ext_snomed</x:v>
      </x:c>
      <x:c r="L2057" s="12"/>
      <x:c r="M2057" s="12" t="str">
        <x:v>negative</x:v>
      </x:c>
      <x:c r="N2057" s="12"/>
      <x:c r="O2057" s="12" t="str">
        <x:v>negative</x:v>
      </x:c>
      <x:c r="P2057" s="12" t="str">
        <x:f>IF(OR(M2057="unavailable",O2057="unavailable"),"不可评价",IF(OR(M2057="equivocal",O2057="equivocal"),"疑似",IF(AND(M2057="positive",O2057="positive"),"a",IF(O2057="positive","b",IF(M2057="positive","c","d")))))</x:f>
        <x:v>d</x:v>
      </x:c>
      <x:c r="Q2057" s="12"/>
      <x:c r="R2057" s="12" t="str">
        <x:v>negative</x:v>
      </x:c>
      <x:c r="S2057" s="12"/>
      <x:c r="T2057" s="12" t="str">
        <x:v>negative</x:v>
      </x:c>
      <x:c r="U2057" s="12" t="str">
        <x:f>IF(OR(R2057="unavailable",T2057="unavailable"),"不可评价",IF(OR(R2057="equivocal",T2057="equivocal"),"疑似",IF(AND(R2057="positive",T2057="positive"),"a",IF(T2057="positive","b",IF(R2057="positive","c","d")))))</x:f>
        <x:v>d</x:v>
      </x:c>
      <x:c r="V2057" s="12"/>
      <x:c r="W2057" s="12" t="str">
        <x:v>negative</x:v>
      </x:c>
      <x:c r="X2057" s="12"/>
      <x:c r="Y2057" s="12" t="str">
        <x:v>negative</x:v>
      </x:c>
      <x:c r="Z2057" s="12" t="str">
        <x:f>IF(OR(W2057="unavailable",Y2057="unavailable"),"不可评价",IF(OR(W2057="equivocal",Y2057="equivocal"),"疑似",IF(AND(W2057="positive",Y2057="positive"),"a",IF(Y2057="positive","b",IF(W2057="positive","c","d")))))</x:f>
        <x:v>d</x:v>
      </x:c>
      <x:c r="AA2057" s="12" t="str">
        <x:f>IF(OR(M2057="unavailable",O2057="unavailable"),"不可评价",IF(AND(OR(M2057="positive",M2057="equivocal"),OR(O2057="positive",O2057="equivocal")),"a",IF(OR(O2057="positive",O2057="equivocal"),"b",IF(OR(M2057="positive",M2057="equivocal"),"c","d"))))</x:f>
        <x:v>d</x:v>
      </x:c>
      <x:c r="AB2057" s="12" t="str">
        <x:f>IF(OR(M2057="unavailable",O2057="unavailable"),"不可评价",IF(AND(M2057="positive",O2057="positive"),"a",IF(O2057="positive","b",IF(M2057="positive","c","d"))))</x:f>
        <x:v>d</x:v>
      </x:c>
      <x:c r="AC2057" s="12" t="str">
        <x:f>IF(OR(R2057="unavailable",T2057="unavailable"),"不可评价",IF(AND(OR(R2057="positive",R2057="equivocal"),OR(T2057="positive",T2057="equivocal")),"a",IF(OR(T2057="positive",T2057="equivocal"),"b",IF(OR(R2057="positive",R2057="equivocal"),"c","d"))))</x:f>
        <x:v>d</x:v>
      </x:c>
      <x:c r="AD2057" s="12" t="str">
        <x:f>IF(OR(R2057="unavailable",T2057="unavailable"),"不可评价",IF(AND(R2057="positive",T2057="positive"),"a",IF(T2057="positive","b",IF(R2057="positive","c","d"))))</x:f>
        <x:v>d</x:v>
      </x:c>
      <x:c r="AE2057" s="12" t="str">
        <x:f>IF(OR(W2057="unavailable",Y2057="unavailable"),"不可评价",IF(AND(OR(W2057="positive",W2057="equivocal"),OR(Y2057="positive",Y2057="equivocal")),"a",IF(OR(Y2057="positive",Y2057="equivocal"),"b",IF(OR(W2057="positive",W2057="equivocal"),"c","d"))))</x:f>
        <x:v>d</x:v>
      </x:c>
      <x:c r="AF2057" s="12" t="str">
        <x:f>IF(OR(W2057="unavailable",Y2057="unavailable"),"不可评价",IF(AND(W2057="positive",Y2057="positive"),"a",IF(Y2057="positive","b",IF(W2057="positive","c","d"))))</x:f>
        <x:v>d</x:v>
      </x:c>
    </x:row>
    <x:row r="2058" ht="24" customHeight="1">
      <x:c r="A2058" s="12" t="str">
        <x:v>19858</x:v>
      </x:c>
      <x:c r="B2058" s="12" t="str">
        <x:v>8166</x:v>
      </x:c>
      <x:c r="C2058" s="21" t="n">
        <x:v>36102.528020833335</x:v>
      </x:c>
      <x:c r="D2058" s="12" t="n">
        <x:v>84</x:v>
      </x:c>
      <x:c r="E2058" s="12" t="n">
        <x:v>1</x:v>
      </x:c>
      <x:c r="F2058" s="12" t="str">
        <x:v>未记录</x:v>
      </x:c>
      <x:c r="G2058" s="12" t="n">
        <x:v>1</x:v>
      </x:c>
      <x:c r="H2058" s="12" t="str">
        <x:v>{'CLBBB': 100.0, 'SR': 0.0}</x:v>
      </x:c>
      <x:c r="I2058" s="12" t="str">
        <x:v>[('NSR', 100.0), ('LAD3', 100.0), ('LBBB', 100.0), ('AB', 100.0)]</x:v>
      </x:c>
      <x:c r="J2058" s="12" t="str">
        <x:v>ptbxl_database.csv；ecg_id=19858；scp_codes</x:v>
      </x:c>
      <x:c r="K2058" s="12" t="str">
        <x:v>12sl_statements.csv；ecg_id=19858；statements_ext_snomed</x:v>
      </x:c>
      <x:c r="L2058" s="12"/>
      <x:c r="M2058" s="12" t="str">
        <x:v>negative</x:v>
      </x:c>
      <x:c r="N2058" s="12"/>
      <x:c r="O2058" s="12" t="str">
        <x:v>negative</x:v>
      </x:c>
      <x:c r="P2058" s="12" t="str">
        <x:f>IF(OR(M2058="unavailable",O2058="unavailable"),"不可评价",IF(OR(M2058="equivocal",O2058="equivocal"),"疑似",IF(AND(M2058="positive",O2058="positive"),"a",IF(O2058="positive","b",IF(M2058="positive","c","d")))))</x:f>
        <x:v>d</x:v>
      </x:c>
      <x:c r="Q2058" s="12" t="n">
        <x:v>100</x:v>
      </x:c>
      <x:c r="R2058" s="12" t="str">
        <x:v>positive</x:v>
      </x:c>
      <x:c r="S2058" s="12" t="n">
        <x:v>100</x:v>
      </x:c>
      <x:c r="T2058" s="12" t="str">
        <x:v>positive</x:v>
      </x:c>
      <x:c r="U2058" s="12" t="str">
        <x:f>IF(OR(R2058="unavailable",T2058="unavailable"),"不可评价",IF(OR(R2058="equivocal",T2058="equivocal"),"疑似",IF(AND(R2058="positive",T2058="positive"),"a",IF(T2058="positive","b",IF(R2058="positive","c","d")))))</x:f>
        <x:v>a</x:v>
      </x:c>
      <x:c r="V2058" s="12"/>
      <x:c r="W2058" s="12" t="str">
        <x:v>negative</x:v>
      </x:c>
      <x:c r="X2058" s="12"/>
      <x:c r="Y2058" s="12" t="str">
        <x:v>negative</x:v>
      </x:c>
      <x:c r="Z2058" s="12" t="str">
        <x:f>IF(OR(W2058="unavailable",Y2058="unavailable"),"不可评价",IF(OR(W2058="equivocal",Y2058="equivocal"),"疑似",IF(AND(W2058="positive",Y2058="positive"),"a",IF(Y2058="positive","b",IF(W2058="positive","c","d")))))</x:f>
        <x:v>d</x:v>
      </x:c>
      <x:c r="AA2058" s="12" t="str">
        <x:f>IF(OR(M2058="unavailable",O2058="unavailable"),"不可评价",IF(AND(OR(M2058="positive",M2058="equivocal"),OR(O2058="positive",O2058="equivocal")),"a",IF(OR(O2058="positive",O2058="equivocal"),"b",IF(OR(M2058="positive",M2058="equivocal"),"c","d"))))</x:f>
        <x:v>d</x:v>
      </x:c>
      <x:c r="AB2058" s="12" t="str">
        <x:f>IF(OR(M2058="unavailable",O2058="unavailable"),"不可评价",IF(AND(M2058="positive",O2058="positive"),"a",IF(O2058="positive","b",IF(M2058="positive","c","d"))))</x:f>
        <x:v>d</x:v>
      </x:c>
      <x:c r="AC2058" s="12" t="str">
        <x:f>IF(OR(R2058="unavailable",T2058="unavailable"),"不可评价",IF(AND(OR(R2058="positive",R2058="equivocal"),OR(T2058="positive",T2058="equivocal")),"a",IF(OR(T2058="positive",T2058="equivocal"),"b",IF(OR(R2058="positive",R2058="equivocal"),"c","d"))))</x:f>
        <x:v>a</x:v>
      </x:c>
      <x:c r="AD2058" s="12" t="str">
        <x:f>IF(OR(R2058="unavailable",T2058="unavailable"),"不可评价",IF(AND(R2058="positive",T2058="positive"),"a",IF(T2058="positive","b",IF(R2058="positive","c","d"))))</x:f>
        <x:v>a</x:v>
      </x:c>
      <x:c r="AE2058" s="12" t="str">
        <x:f>IF(OR(W2058="unavailable",Y2058="unavailable"),"不可评价",IF(AND(OR(W2058="positive",W2058="equivocal"),OR(Y2058="positive",Y2058="equivocal")),"a",IF(OR(Y2058="positive",Y2058="equivocal"),"b",IF(OR(W2058="positive",W2058="equivocal"),"c","d"))))</x:f>
        <x:v>d</x:v>
      </x:c>
      <x:c r="AF2058" s="12" t="str">
        <x:f>IF(OR(W2058="unavailable",Y2058="unavailable"),"不可评价",IF(AND(W2058="positive",Y2058="positive"),"a",IF(Y2058="positive","b",IF(W2058="positive","c","d"))))</x:f>
        <x:v>d</x:v>
      </x:c>
    </x:row>
    <x:row r="2059" ht="24" customHeight="1">
      <x:c r="A2059" s="12" t="str">
        <x:v>19867</x:v>
      </x:c>
      <x:c r="B2059" s="12" t="str">
        <x:v>20558</x:v>
      </x:c>
      <x:c r="C2059" s="21" t="n">
        <x:v>36105.45810185185</x:v>
      </x:c>
      <x:c r="D2059" s="12" t="n">
        <x:v>45</x:v>
      </x:c>
      <x:c r="E2059" s="12" t="n">
        <x:v>0</x:v>
      </x:c>
      <x:c r="F2059" s="12" t="str">
        <x:v>未记录</x:v>
      </x:c>
      <x:c r="G2059" s="12" t="n">
        <x:v>1</x:v>
      </x:c>
      <x:c r="H2059" s="12" t="str">
        <x:v>{'NORM': 100.0, 'SR': 0.0}</x:v>
      </x:c>
      <x:c r="I2059" s="12" t="str">
        <x:v>[('NSR', 100.0), ('NML', 100.0)]</x:v>
      </x:c>
      <x:c r="J2059" s="12" t="str">
        <x:v>ptbxl_database.csv；ecg_id=19867；scp_codes</x:v>
      </x:c>
      <x:c r="K2059" s="12" t="str">
        <x:v>12sl_statements.csv；ecg_id=19867；statements_ext_snomed</x:v>
      </x:c>
      <x:c r="L2059" s="12"/>
      <x:c r="M2059" s="12" t="str">
        <x:v>negative</x:v>
      </x:c>
      <x:c r="N2059" s="12"/>
      <x:c r="O2059" s="12" t="str">
        <x:v>negative</x:v>
      </x:c>
      <x:c r="P2059" s="12" t="str">
        <x:f>IF(OR(M2059="unavailable",O2059="unavailable"),"不可评价",IF(OR(M2059="equivocal",O2059="equivocal"),"疑似",IF(AND(M2059="positive",O2059="positive"),"a",IF(O2059="positive","b",IF(M2059="positive","c","d")))))</x:f>
        <x:v>d</x:v>
      </x:c>
      <x:c r="Q2059" s="12"/>
      <x:c r="R2059" s="12" t="str">
        <x:v>negative</x:v>
      </x:c>
      <x:c r="S2059" s="12"/>
      <x:c r="T2059" s="12" t="str">
        <x:v>negative</x:v>
      </x:c>
      <x:c r="U2059" s="12" t="str">
        <x:f>IF(OR(R2059="unavailable",T2059="unavailable"),"不可评价",IF(OR(R2059="equivocal",T2059="equivocal"),"疑似",IF(AND(R2059="positive",T2059="positive"),"a",IF(T2059="positive","b",IF(R2059="positive","c","d")))))</x:f>
        <x:v>d</x:v>
      </x:c>
      <x:c r="V2059" s="12"/>
      <x:c r="W2059" s="12" t="str">
        <x:v>negative</x:v>
      </x:c>
      <x:c r="X2059" s="12"/>
      <x:c r="Y2059" s="12" t="str">
        <x:v>negative</x:v>
      </x:c>
      <x:c r="Z2059" s="12" t="str">
        <x:f>IF(OR(W2059="unavailable",Y2059="unavailable"),"不可评价",IF(OR(W2059="equivocal",Y2059="equivocal"),"疑似",IF(AND(W2059="positive",Y2059="positive"),"a",IF(Y2059="positive","b",IF(W2059="positive","c","d")))))</x:f>
        <x:v>d</x:v>
      </x:c>
      <x:c r="AA2059" s="12" t="str">
        <x:f>IF(OR(M2059="unavailable",O2059="unavailable"),"不可评价",IF(AND(OR(M2059="positive",M2059="equivocal"),OR(O2059="positive",O2059="equivocal")),"a",IF(OR(O2059="positive",O2059="equivocal"),"b",IF(OR(M2059="positive",M2059="equivocal"),"c","d"))))</x:f>
        <x:v>d</x:v>
      </x:c>
      <x:c r="AB2059" s="12" t="str">
        <x:f>IF(OR(M2059="unavailable",O2059="unavailable"),"不可评价",IF(AND(M2059="positive",O2059="positive"),"a",IF(O2059="positive","b",IF(M2059="positive","c","d"))))</x:f>
        <x:v>d</x:v>
      </x:c>
      <x:c r="AC2059" s="12" t="str">
        <x:f>IF(OR(R2059="unavailable",T2059="unavailable"),"不可评价",IF(AND(OR(R2059="positive",R2059="equivocal"),OR(T2059="positive",T2059="equivocal")),"a",IF(OR(T2059="positive",T2059="equivocal"),"b",IF(OR(R2059="positive",R2059="equivocal"),"c","d"))))</x:f>
        <x:v>d</x:v>
      </x:c>
      <x:c r="AD2059" s="12" t="str">
        <x:f>IF(OR(R2059="unavailable",T2059="unavailable"),"不可评价",IF(AND(R2059="positive",T2059="positive"),"a",IF(T2059="positive","b",IF(R2059="positive","c","d"))))</x:f>
        <x:v>d</x:v>
      </x:c>
      <x:c r="AE2059" s="12" t="str">
        <x:f>IF(OR(W2059="unavailable",Y2059="unavailable"),"不可评价",IF(AND(OR(W2059="positive",W2059="equivocal"),OR(Y2059="positive",Y2059="equivocal")),"a",IF(OR(Y2059="positive",Y2059="equivocal"),"b",IF(OR(W2059="positive",W2059="equivocal"),"c","d"))))</x:f>
        <x:v>d</x:v>
      </x:c>
      <x:c r="AF2059" s="12" t="str">
        <x:f>IF(OR(W2059="unavailable",Y2059="unavailable"),"不可评价",IF(AND(W2059="positive",Y2059="positive"),"a",IF(Y2059="positive","b",IF(W2059="positive","c","d"))))</x:f>
        <x:v>d</x:v>
      </x:c>
    </x:row>
    <x:row r="2060" ht="39" customHeight="1">
      <x:c r="A2060" s="12" t="str">
        <x:v>19877</x:v>
      </x:c>
      <x:c r="B2060" s="12" t="str">
        <x:v>15609</x:v>
      </x:c>
      <x:c r="C2060" s="21" t="n">
        <x:v>36107.34001157407</x:v>
      </x:c>
      <x:c r="D2060" s="12" t="n">
        <x:v>64</x:v>
      </x:c>
      <x:c r="E2060" s="12" t="n">
        <x:v>0</x:v>
      </x:c>
      <x:c r="F2060" s="12" t="str">
        <x:v>存在</x:v>
      </x:c>
      <x:c r="G2060" s="12" t="n">
        <x:v>0</x:v>
      </x:c>
      <x:c r="H2060" s="12" t="str">
        <x:v>{'IMI': 100.0, 'ABQRS': 0.0, 'AFIB': 0.0}</x:v>
      </x:c>
      <x:c r="I2060" s="12" t="str">
        <x:v>[('AFIB', 100.0), ('RAD5', 100.0), ('PULD', 100.0), ('IVCD', 100.0), ('LNGQT', 100.0), ('AB', 100.0)]</x:v>
      </x:c>
      <x:c r="J2060" s="12" t="str">
        <x:v>ptbxl_database.csv；ecg_id=19877；scp_codes</x:v>
      </x:c>
      <x:c r="K2060" s="12" t="str">
        <x:v>12sl_statements.csv；ecg_id=19877；statements_ext_snomed</x:v>
      </x:c>
      <x:c r="L2060" s="12" t="n">
        <x:v>0</x:v>
      </x:c>
      <x:c r="M2060" s="12" t="str">
        <x:v>positive</x:v>
      </x:c>
      <x:c r="N2060" s="12" t="n">
        <x:v>100</x:v>
      </x:c>
      <x:c r="O2060" s="12" t="str">
        <x:v>positive</x:v>
      </x:c>
      <x:c r="P2060" s="12" t="str">
        <x:f>IF(OR(M2060="unavailable",O2060="unavailable"),"不可评价",IF(OR(M2060="equivocal",O2060="equivocal"),"疑似",IF(AND(M2060="positive",O2060="positive"),"a",IF(O2060="positive","b",IF(M2060="positive","c","d")))))</x:f>
        <x:v>a</x:v>
      </x:c>
      <x:c r="Q2060" s="12"/>
      <x:c r="R2060" s="12" t="str">
        <x:v>negative</x:v>
      </x:c>
      <x:c r="S2060" s="12"/>
      <x:c r="T2060" s="12" t="str">
        <x:v>negative</x:v>
      </x:c>
      <x:c r="U2060" s="12" t="str">
        <x:f>IF(OR(R2060="unavailable",T2060="unavailable"),"不可评价",IF(OR(R2060="equivocal",T2060="equivocal"),"疑似",IF(AND(R2060="positive",T2060="positive"),"a",IF(T2060="positive","b",IF(R2060="positive","c","d")))))</x:f>
        <x:v>d</x:v>
      </x:c>
      <x:c r="V2060" s="12"/>
      <x:c r="W2060" s="12" t="str">
        <x:v>negative</x:v>
      </x:c>
      <x:c r="X2060" s="12"/>
      <x:c r="Y2060" s="12" t="str">
        <x:v>negative</x:v>
      </x:c>
      <x:c r="Z2060" s="12" t="str">
        <x:f>IF(OR(W2060="unavailable",Y2060="unavailable"),"不可评价",IF(OR(W2060="equivocal",Y2060="equivocal"),"疑似",IF(AND(W2060="positive",Y2060="positive"),"a",IF(Y2060="positive","b",IF(W2060="positive","c","d")))))</x:f>
        <x:v>d</x:v>
      </x:c>
      <x:c r="AA2060" s="12" t="str">
        <x:f>IF(OR(M2060="unavailable",O2060="unavailable"),"不可评价",IF(AND(OR(M2060="positive",M2060="equivocal"),OR(O2060="positive",O2060="equivocal")),"a",IF(OR(O2060="positive",O2060="equivocal"),"b",IF(OR(M2060="positive",M2060="equivocal"),"c","d"))))</x:f>
        <x:v>a</x:v>
      </x:c>
      <x:c r="AB2060" s="12" t="str">
        <x:f>IF(OR(M2060="unavailable",O2060="unavailable"),"不可评价",IF(AND(M2060="positive",O2060="positive"),"a",IF(O2060="positive","b",IF(M2060="positive","c","d"))))</x:f>
        <x:v>a</x:v>
      </x:c>
      <x:c r="AC2060" s="12" t="str">
        <x:f>IF(OR(R2060="unavailable",T2060="unavailable"),"不可评价",IF(AND(OR(R2060="positive",R2060="equivocal"),OR(T2060="positive",T2060="equivocal")),"a",IF(OR(T2060="positive",T2060="equivocal"),"b",IF(OR(R2060="positive",R2060="equivocal"),"c","d"))))</x:f>
        <x:v>d</x:v>
      </x:c>
      <x:c r="AD2060" s="12" t="str">
        <x:f>IF(OR(R2060="unavailable",T2060="unavailable"),"不可评价",IF(AND(R2060="positive",T2060="positive"),"a",IF(T2060="positive","b",IF(R2060="positive","c","d"))))</x:f>
        <x:v>d</x:v>
      </x:c>
      <x:c r="AE2060" s="12" t="str">
        <x:f>IF(OR(W2060="unavailable",Y2060="unavailable"),"不可评价",IF(AND(OR(W2060="positive",W2060="equivocal"),OR(Y2060="positive",Y2060="equivocal")),"a",IF(OR(Y2060="positive",Y2060="equivocal"),"b",IF(OR(W2060="positive",W2060="equivocal"),"c","d"))))</x:f>
        <x:v>d</x:v>
      </x:c>
      <x:c r="AF2060" s="12" t="str">
        <x:f>IF(OR(W2060="unavailable",Y2060="unavailable"),"不可评价",IF(AND(W2060="positive",Y2060="positive"),"a",IF(Y2060="positive","b",IF(W2060="positive","c","d"))))</x:f>
        <x:v>d</x:v>
      </x:c>
    </x:row>
    <x:row r="2061" ht="24" customHeight="1">
      <x:c r="A2061" s="12" t="str">
        <x:v>19882</x:v>
      </x:c>
      <x:c r="B2061" s="12" t="str">
        <x:v>12815</x:v>
      </x:c>
      <x:c r="C2061" s="21" t="n">
        <x:v>36107.564479166664</x:v>
      </x:c>
      <x:c r="D2061" s="12" t="n">
        <x:v>56</x:v>
      </x:c>
      <x:c r="E2061" s="12" t="n">
        <x:v>0</x:v>
      </x:c>
      <x:c r="F2061" s="12" t="str">
        <x:v>未记录</x:v>
      </x:c>
      <x:c r="G2061" s="12" t="n">
        <x:v>1</x:v>
      </x:c>
      <x:c r="H2061" s="12" t="str">
        <x:v>{'LAFB': 100.0, 'SR': 0.0}</x:v>
      </x:c>
      <x:c r="I2061" s="12" t="str">
        <x:v>[('NSR', 100.0), ('IVCD', 100.0), ('BORDE', 100.0)]</x:v>
      </x:c>
      <x:c r="J2061" s="12" t="str">
        <x:v>ptbxl_database.csv；ecg_id=19882；scp_codes</x:v>
      </x:c>
      <x:c r="K2061" s="12" t="str">
        <x:v>12sl_statements.csv；ecg_id=19882；statements_ext_snomed</x:v>
      </x:c>
      <x:c r="L2061" s="12"/>
      <x:c r="M2061" s="12" t="str">
        <x:v>negative</x:v>
      </x:c>
      <x:c r="N2061" s="12"/>
      <x:c r="O2061" s="12" t="str">
        <x:v>negative</x:v>
      </x:c>
      <x:c r="P2061" s="12" t="str">
        <x:f>IF(OR(M2061="unavailable",O2061="unavailable"),"不可评价",IF(OR(M2061="equivocal",O2061="equivocal"),"疑似",IF(AND(M2061="positive",O2061="positive"),"a",IF(O2061="positive","b",IF(M2061="positive","c","d")))))</x:f>
        <x:v>d</x:v>
      </x:c>
      <x:c r="Q2061" s="12"/>
      <x:c r="R2061" s="12" t="str">
        <x:v>negative</x:v>
      </x:c>
      <x:c r="S2061" s="12"/>
      <x:c r="T2061" s="12" t="str">
        <x:v>negative</x:v>
      </x:c>
      <x:c r="U2061" s="12" t="str">
        <x:f>IF(OR(R2061="unavailable",T2061="unavailable"),"不可评价",IF(OR(R2061="equivocal",T2061="equivocal"),"疑似",IF(AND(R2061="positive",T2061="positive"),"a",IF(T2061="positive","b",IF(R2061="positive","c","d")))))</x:f>
        <x:v>d</x:v>
      </x:c>
      <x:c r="V2061" s="12"/>
      <x:c r="W2061" s="12" t="str">
        <x:v>negative</x:v>
      </x:c>
      <x:c r="X2061" s="12"/>
      <x:c r="Y2061" s="12" t="str">
        <x:v>negative</x:v>
      </x:c>
      <x:c r="Z2061" s="12" t="str">
        <x:f>IF(OR(W2061="unavailable",Y2061="unavailable"),"不可评价",IF(OR(W2061="equivocal",Y2061="equivocal"),"疑似",IF(AND(W2061="positive",Y2061="positive"),"a",IF(Y2061="positive","b",IF(W2061="positive","c","d")))))</x:f>
        <x:v>d</x:v>
      </x:c>
      <x:c r="AA2061" s="12" t="str">
        <x:f>IF(OR(M2061="unavailable",O2061="unavailable"),"不可评价",IF(AND(OR(M2061="positive",M2061="equivocal"),OR(O2061="positive",O2061="equivocal")),"a",IF(OR(O2061="positive",O2061="equivocal"),"b",IF(OR(M2061="positive",M2061="equivocal"),"c","d"))))</x:f>
        <x:v>d</x:v>
      </x:c>
      <x:c r="AB2061" s="12" t="str">
        <x:f>IF(OR(M2061="unavailable",O2061="unavailable"),"不可评价",IF(AND(M2061="positive",O2061="positive"),"a",IF(O2061="positive","b",IF(M2061="positive","c","d"))))</x:f>
        <x:v>d</x:v>
      </x:c>
      <x:c r="AC2061" s="12" t="str">
        <x:f>IF(OR(R2061="unavailable",T2061="unavailable"),"不可评价",IF(AND(OR(R2061="positive",R2061="equivocal"),OR(T2061="positive",T2061="equivocal")),"a",IF(OR(T2061="positive",T2061="equivocal"),"b",IF(OR(R2061="positive",R2061="equivocal"),"c","d"))))</x:f>
        <x:v>d</x:v>
      </x:c>
      <x:c r="AD2061" s="12" t="str">
        <x:f>IF(OR(R2061="unavailable",T2061="unavailable"),"不可评价",IF(AND(R2061="positive",T2061="positive"),"a",IF(T2061="positive","b",IF(R2061="positive","c","d"))))</x:f>
        <x:v>d</x:v>
      </x:c>
      <x:c r="AE2061" s="12" t="str">
        <x:f>IF(OR(W2061="unavailable",Y2061="unavailable"),"不可评价",IF(AND(OR(W2061="positive",W2061="equivocal"),OR(Y2061="positive",Y2061="equivocal")),"a",IF(OR(Y2061="positive",Y2061="equivocal"),"b",IF(OR(W2061="positive",W2061="equivocal"),"c","d"))))</x:f>
        <x:v>d</x:v>
      </x:c>
      <x:c r="AF2061" s="12" t="str">
        <x:f>IF(OR(W2061="unavailable",Y2061="unavailable"),"不可评价",IF(AND(W2061="positive",Y2061="positive"),"a",IF(Y2061="positive","b",IF(W2061="positive","c","d"))))</x:f>
        <x:v>d</x:v>
      </x:c>
    </x:row>
    <x:row r="2062" ht="24" customHeight="1">
      <x:c r="A2062" s="12" t="str">
        <x:v>19884</x:v>
      </x:c>
      <x:c r="B2062" s="12" t="str">
        <x:v>20999</x:v>
      </x:c>
      <x:c r="C2062" s="21" t="n">
        <x:v>36107.62758101852</x:v>
      </x:c>
      <x:c r="D2062" s="12" t="n">
        <x:v>63</x:v>
      </x:c>
      <x:c r="E2062" s="12" t="n">
        <x:v>0</x:v>
      </x:c>
      <x:c r="F2062" s="12" t="str">
        <x:v>未记录</x:v>
      </x:c>
      <x:c r="G2062" s="12" t="n">
        <x:v>1</x:v>
      </x:c>
      <x:c r="H2062" s="12" t="str">
        <x:v>{'NORM': 80.0, 'SR': 0.0}</x:v>
      </x:c>
      <x:c r="I2062" s="12" t="str">
        <x:v>[('SBRAD', 100.0), ('FAV', 100.0), ('IMI;AU', 15.0), ('AB', 100.0)]</x:v>
      </x:c>
      <x:c r="J2062" s="12" t="str">
        <x:v>ptbxl_database.csv；ecg_id=19884；scp_codes</x:v>
      </x:c>
      <x:c r="K2062" s="12" t="str">
        <x:v>12sl_statements.csv；ecg_id=19884；statements_ext_snomed</x:v>
      </x:c>
      <x:c r="L2062" s="12"/>
      <x:c r="M2062" s="12" t="str">
        <x:v>negative</x:v>
      </x:c>
      <x:c r="N2062" s="12"/>
      <x:c r="O2062" s="12" t="str">
        <x:v>negative</x:v>
      </x:c>
      <x:c r="P2062" s="12" t="str">
        <x:f>IF(OR(M2062="unavailable",O2062="unavailable"),"不可评价",IF(OR(M2062="equivocal",O2062="equivocal"),"疑似",IF(AND(M2062="positive",O2062="positive"),"a",IF(O2062="positive","b",IF(M2062="positive","c","d")))))</x:f>
        <x:v>d</x:v>
      </x:c>
      <x:c r="Q2062" s="12"/>
      <x:c r="R2062" s="12" t="str">
        <x:v>negative</x:v>
      </x:c>
      <x:c r="S2062" s="12"/>
      <x:c r="T2062" s="12" t="str">
        <x:v>negative</x:v>
      </x:c>
      <x:c r="U2062" s="12" t="str">
        <x:f>IF(OR(R2062="unavailable",T2062="unavailable"),"不可评价",IF(OR(R2062="equivocal",T2062="equivocal"),"疑似",IF(AND(R2062="positive",T2062="positive"),"a",IF(T2062="positive","b",IF(R2062="positive","c","d")))))</x:f>
        <x:v>d</x:v>
      </x:c>
      <x:c r="V2062" s="12"/>
      <x:c r="W2062" s="12" t="str">
        <x:v>negative</x:v>
      </x:c>
      <x:c r="X2062" s="12"/>
      <x:c r="Y2062" s="12" t="str">
        <x:v>negative</x:v>
      </x:c>
      <x:c r="Z2062" s="12" t="str">
        <x:f>IF(OR(W2062="unavailable",Y2062="unavailable"),"不可评价",IF(OR(W2062="equivocal",Y2062="equivocal"),"疑似",IF(AND(W2062="positive",Y2062="positive"),"a",IF(Y2062="positive","b",IF(W2062="positive","c","d")))))</x:f>
        <x:v>d</x:v>
      </x:c>
      <x:c r="AA2062" s="12" t="str">
        <x:f>IF(OR(M2062="unavailable",O2062="unavailable"),"不可评价",IF(AND(OR(M2062="positive",M2062="equivocal"),OR(O2062="positive",O2062="equivocal")),"a",IF(OR(O2062="positive",O2062="equivocal"),"b",IF(OR(M2062="positive",M2062="equivocal"),"c","d"))))</x:f>
        <x:v>d</x:v>
      </x:c>
      <x:c r="AB2062" s="12" t="str">
        <x:f>IF(OR(M2062="unavailable",O2062="unavailable"),"不可评价",IF(AND(M2062="positive",O2062="positive"),"a",IF(O2062="positive","b",IF(M2062="positive","c","d"))))</x:f>
        <x:v>d</x:v>
      </x:c>
      <x:c r="AC2062" s="12" t="str">
        <x:f>IF(OR(R2062="unavailable",T2062="unavailable"),"不可评价",IF(AND(OR(R2062="positive",R2062="equivocal"),OR(T2062="positive",T2062="equivocal")),"a",IF(OR(T2062="positive",T2062="equivocal"),"b",IF(OR(R2062="positive",R2062="equivocal"),"c","d"))))</x:f>
        <x:v>d</x:v>
      </x:c>
      <x:c r="AD2062" s="12" t="str">
        <x:f>IF(OR(R2062="unavailable",T2062="unavailable"),"不可评价",IF(AND(R2062="positive",T2062="positive"),"a",IF(T2062="positive","b",IF(R2062="positive","c","d"))))</x:f>
        <x:v>d</x:v>
      </x:c>
      <x:c r="AE2062" s="12" t="str">
        <x:f>IF(OR(W2062="unavailable",Y2062="unavailable"),"不可评价",IF(AND(OR(W2062="positive",W2062="equivocal"),OR(Y2062="positive",Y2062="equivocal")),"a",IF(OR(Y2062="positive",Y2062="equivocal"),"b",IF(OR(W2062="positive",W2062="equivocal"),"c","d"))))</x:f>
        <x:v>d</x:v>
      </x:c>
      <x:c r="AF2062" s="12" t="str">
        <x:f>IF(OR(W2062="unavailable",Y2062="unavailable"),"不可评价",IF(AND(W2062="positive",Y2062="positive"),"a",IF(Y2062="positive","b",IF(W2062="positive","c","d"))))</x:f>
        <x:v>d</x:v>
      </x:c>
    </x:row>
    <x:row r="2063" ht="24" customHeight="1">
      <x:c r="A2063" s="12" t="str">
        <x:v>19893</x:v>
      </x:c>
      <x:c r="B2063" s="12" t="str">
        <x:v>11891</x:v>
      </x:c>
      <x:c r="C2063" s="21" t="n">
        <x:v>36109.812256944446</x:v>
      </x:c>
      <x:c r="D2063" s="12" t="n">
        <x:v>79</x:v>
      </x:c>
      <x:c r="E2063" s="12" t="n">
        <x:v>1</x:v>
      </x:c>
      <x:c r="F2063" s="12" t="str">
        <x:v>存在</x:v>
      </x:c>
      <x:c r="G2063" s="12" t="n">
        <x:v>1</x:v>
      </x:c>
      <x:c r="H2063" s="12" t="str">
        <x:v>{'NORM': 100.0, 'SR': 0.0}</x:v>
      </x:c>
      <x:c r="I2063" s="12" t="str">
        <x:v>[('NSR', 100.0), ('NML', 100.0)]</x:v>
      </x:c>
      <x:c r="J2063" s="12" t="str">
        <x:v>ptbxl_database.csv；ecg_id=19893；scp_codes</x:v>
      </x:c>
      <x:c r="K2063" s="12" t="str">
        <x:v>12sl_statements.csv；ecg_id=19893；statements_ext_snomed</x:v>
      </x:c>
      <x:c r="L2063" s="12"/>
      <x:c r="M2063" s="12" t="str">
        <x:v>negative</x:v>
      </x:c>
      <x:c r="N2063" s="12"/>
      <x:c r="O2063" s="12" t="str">
        <x:v>negative</x:v>
      </x:c>
      <x:c r="P2063" s="12" t="str">
        <x:f>IF(OR(M2063="unavailable",O2063="unavailable"),"不可评价",IF(OR(M2063="equivocal",O2063="equivocal"),"疑似",IF(AND(M2063="positive",O2063="positive"),"a",IF(O2063="positive","b",IF(M2063="positive","c","d")))))</x:f>
        <x:v>d</x:v>
      </x:c>
      <x:c r="Q2063" s="12"/>
      <x:c r="R2063" s="12" t="str">
        <x:v>negative</x:v>
      </x:c>
      <x:c r="S2063" s="12"/>
      <x:c r="T2063" s="12" t="str">
        <x:v>negative</x:v>
      </x:c>
      <x:c r="U2063" s="12" t="str">
        <x:f>IF(OR(R2063="unavailable",T2063="unavailable"),"不可评价",IF(OR(R2063="equivocal",T2063="equivocal"),"疑似",IF(AND(R2063="positive",T2063="positive"),"a",IF(T2063="positive","b",IF(R2063="positive","c","d")))))</x:f>
        <x:v>d</x:v>
      </x:c>
      <x:c r="V2063" s="12"/>
      <x:c r="W2063" s="12" t="str">
        <x:v>negative</x:v>
      </x:c>
      <x:c r="X2063" s="12"/>
      <x:c r="Y2063" s="12" t="str">
        <x:v>negative</x:v>
      </x:c>
      <x:c r="Z2063" s="12" t="str">
        <x:f>IF(OR(W2063="unavailable",Y2063="unavailable"),"不可评价",IF(OR(W2063="equivocal",Y2063="equivocal"),"疑似",IF(AND(W2063="positive",Y2063="positive"),"a",IF(Y2063="positive","b",IF(W2063="positive","c","d")))))</x:f>
        <x:v>d</x:v>
      </x:c>
      <x:c r="AA2063" s="12" t="str">
        <x:f>IF(OR(M2063="unavailable",O2063="unavailable"),"不可评价",IF(AND(OR(M2063="positive",M2063="equivocal"),OR(O2063="positive",O2063="equivocal")),"a",IF(OR(O2063="positive",O2063="equivocal"),"b",IF(OR(M2063="positive",M2063="equivocal"),"c","d"))))</x:f>
        <x:v>d</x:v>
      </x:c>
      <x:c r="AB2063" s="12" t="str">
        <x:f>IF(OR(M2063="unavailable",O2063="unavailable"),"不可评价",IF(AND(M2063="positive",O2063="positive"),"a",IF(O2063="positive","b",IF(M2063="positive","c","d"))))</x:f>
        <x:v>d</x:v>
      </x:c>
      <x:c r="AC2063" s="12" t="str">
        <x:f>IF(OR(R2063="unavailable",T2063="unavailable"),"不可评价",IF(AND(OR(R2063="positive",R2063="equivocal"),OR(T2063="positive",T2063="equivocal")),"a",IF(OR(T2063="positive",T2063="equivocal"),"b",IF(OR(R2063="positive",R2063="equivocal"),"c","d"))))</x:f>
        <x:v>d</x:v>
      </x:c>
      <x:c r="AD2063" s="12" t="str">
        <x:f>IF(OR(R2063="unavailable",T2063="unavailable"),"不可评价",IF(AND(R2063="positive",T2063="positive"),"a",IF(T2063="positive","b",IF(R2063="positive","c","d"))))</x:f>
        <x:v>d</x:v>
      </x:c>
      <x:c r="AE2063" s="12" t="str">
        <x:f>IF(OR(W2063="unavailable",Y2063="unavailable"),"不可评价",IF(AND(OR(W2063="positive",W2063="equivocal"),OR(Y2063="positive",Y2063="equivocal")),"a",IF(OR(Y2063="positive",Y2063="equivocal"),"b",IF(OR(W2063="positive",W2063="equivocal"),"c","d"))))</x:f>
        <x:v>d</x:v>
      </x:c>
      <x:c r="AF2063" s="12" t="str">
        <x:f>IF(OR(W2063="unavailable",Y2063="unavailable"),"不可评价",IF(AND(W2063="positive",Y2063="positive"),"a",IF(Y2063="positive","b",IF(W2063="positive","c","d"))))</x:f>
        <x:v>d</x:v>
      </x:c>
    </x:row>
    <x:row r="2064" ht="39" customHeight="1">
      <x:c r="A2064" s="12" t="str">
        <x:v>19906</x:v>
      </x:c>
      <x:c r="B2064" s="12" t="str">
        <x:v>14689</x:v>
      </x:c>
      <x:c r="C2064" s="21" t="n">
        <x:v>36112.53795138889</x:v>
      </x:c>
      <x:c r="D2064" s="12" t="n">
        <x:v>85</x:v>
      </x:c>
      <x:c r="E2064" s="12" t="n">
        <x:v>0</x:v>
      </x:c>
      <x:c r="F2064" s="12" t="str">
        <x:v>未记录</x:v>
      </x:c>
      <x:c r="G2064" s="12" t="n">
        <x:v>1</x:v>
      </x:c>
      <x:c r="H2064" s="12" t="str">
        <x:v>{'ASMI': 15.0, 'CRBBB': 100.0, 'LAFB': 100.0, 'AFIB': 0.0}</x:v>
      </x:c>
      <x:c r="I2064" s="12" t="str">
        <x:v>[('MSBRAD', 100.0), ('AVDIS', 100.0), ('$SIVR', 100.0), ('PSVC', 100.0), ('LAD3', 100.0), ('RBBB', 100.0), ('AB', 100.0)]</x:v>
      </x:c>
      <x:c r="J2064" s="12" t="str">
        <x:v>ptbxl_database.csv；ecg_id=19906；scp_codes</x:v>
      </x:c>
      <x:c r="K2064" s="12" t="str">
        <x:v>12sl_statements.csv；ecg_id=19906；statements_ext_snomed</x:v>
      </x:c>
      <x:c r="L2064" s="12" t="n">
        <x:v>0</x:v>
      </x:c>
      <x:c r="M2064" s="12" t="str">
        <x:v>positive</x:v>
      </x:c>
      <x:c r="N2064" s="12"/>
      <x:c r="O2064" s="12" t="str">
        <x:v>negative</x:v>
      </x:c>
      <x:c r="P2064" s="12" t="str">
        <x:f>IF(OR(M2064="unavailable",O2064="unavailable"),"不可评价",IF(OR(M2064="equivocal",O2064="equivocal"),"疑似",IF(AND(M2064="positive",O2064="positive"),"a",IF(O2064="positive","b",IF(M2064="positive","c","d")))))</x:f>
        <x:v>c</x:v>
      </x:c>
      <x:c r="Q2064" s="12"/>
      <x:c r="R2064" s="12" t="str">
        <x:v>negative</x:v>
      </x:c>
      <x:c r="S2064" s="12"/>
      <x:c r="T2064" s="12" t="str">
        <x:v>negative</x:v>
      </x:c>
      <x:c r="U2064" s="12" t="str">
        <x:f>IF(OR(R2064="unavailable",T2064="unavailable"),"不可评价",IF(OR(R2064="equivocal",T2064="equivocal"),"疑似",IF(AND(R2064="positive",T2064="positive"),"a",IF(T2064="positive","b",IF(R2064="positive","c","d")))))</x:f>
        <x:v>d</x:v>
      </x:c>
      <x:c r="V2064" s="12" t="n">
        <x:v>100</x:v>
      </x:c>
      <x:c r="W2064" s="12" t="str">
        <x:v>positive</x:v>
      </x:c>
      <x:c r="X2064" s="12" t="n">
        <x:v>100</x:v>
      </x:c>
      <x:c r="Y2064" s="12" t="str">
        <x:v>positive</x:v>
      </x:c>
      <x:c r="Z2064" s="12" t="str">
        <x:f>IF(OR(W2064="unavailable",Y2064="unavailable"),"不可评价",IF(OR(W2064="equivocal",Y2064="equivocal"),"疑似",IF(AND(W2064="positive",Y2064="positive"),"a",IF(Y2064="positive","b",IF(W2064="positive","c","d")))))</x:f>
        <x:v>a</x:v>
      </x:c>
      <x:c r="AA2064" s="12" t="str">
        <x:f>IF(OR(M2064="unavailable",O2064="unavailable"),"不可评价",IF(AND(OR(M2064="positive",M2064="equivocal"),OR(O2064="positive",O2064="equivocal")),"a",IF(OR(O2064="positive",O2064="equivocal"),"b",IF(OR(M2064="positive",M2064="equivocal"),"c","d"))))</x:f>
        <x:v>c</x:v>
      </x:c>
      <x:c r="AB2064" s="12" t="str">
        <x:f>IF(OR(M2064="unavailable",O2064="unavailable"),"不可评价",IF(AND(M2064="positive",O2064="positive"),"a",IF(O2064="positive","b",IF(M2064="positive","c","d"))))</x:f>
        <x:v>c</x:v>
      </x:c>
      <x:c r="AC2064" s="12" t="str">
        <x:f>IF(OR(R2064="unavailable",T2064="unavailable"),"不可评价",IF(AND(OR(R2064="positive",R2064="equivocal"),OR(T2064="positive",T2064="equivocal")),"a",IF(OR(T2064="positive",T2064="equivocal"),"b",IF(OR(R2064="positive",R2064="equivocal"),"c","d"))))</x:f>
        <x:v>d</x:v>
      </x:c>
      <x:c r="AD2064" s="12" t="str">
        <x:f>IF(OR(R2064="unavailable",T2064="unavailable"),"不可评价",IF(AND(R2064="positive",T2064="positive"),"a",IF(T2064="positive","b",IF(R2064="positive","c","d"))))</x:f>
        <x:v>d</x:v>
      </x:c>
      <x:c r="AE2064" s="12" t="str">
        <x:f>IF(OR(W2064="unavailable",Y2064="unavailable"),"不可评价",IF(AND(OR(W2064="positive",W2064="equivocal"),OR(Y2064="positive",Y2064="equivocal")),"a",IF(OR(Y2064="positive",Y2064="equivocal"),"b",IF(OR(W2064="positive",W2064="equivocal"),"c","d"))))</x:f>
        <x:v>a</x:v>
      </x:c>
      <x:c r="AF2064" s="12" t="str">
        <x:f>IF(OR(W2064="unavailable",Y2064="unavailable"),"不可评价",IF(AND(W2064="positive",Y2064="positive"),"a",IF(Y2064="positive","b",IF(W2064="positive","c","d"))))</x:f>
        <x:v>a</x:v>
      </x:c>
    </x:row>
    <x:row r="2065" ht="24" customHeight="1">
      <x:c r="A2065" s="12" t="str">
        <x:v>19914</x:v>
      </x:c>
      <x:c r="B2065" s="12" t="str">
        <x:v>9938</x:v>
      </x:c>
      <x:c r="C2065" s="21" t="n">
        <x:v>36113.38521990741</x:v>
      </x:c>
      <x:c r="D2065" s="12" t="n">
        <x:v>78</x:v>
      </x:c>
      <x:c r="E2065" s="12" t="n">
        <x:v>1</x:v>
      </x:c>
      <x:c r="F2065" s="12" t="str">
        <x:v>存在</x:v>
      </x:c>
      <x:c r="G2065" s="12" t="n">
        <x:v>1</x:v>
      </x:c>
      <x:c r="H2065" s="12" t="str">
        <x:v>{'NDT': 100.0, 'SR': 0.0}</x:v>
      </x:c>
      <x:c r="I2065" s="12" t="str">
        <x:v>[('NSR', 100.0), ('NST', 100.0), ('AB', 100.0)]</x:v>
      </x:c>
      <x:c r="J2065" s="12" t="str">
        <x:v>ptbxl_database.csv；ecg_id=19914；scp_codes</x:v>
      </x:c>
      <x:c r="K2065" s="12" t="str">
        <x:v>12sl_statements.csv；ecg_id=19914；statements_ext_snomed</x:v>
      </x:c>
      <x:c r="L2065" s="12"/>
      <x:c r="M2065" s="12" t="str">
        <x:v>negative</x:v>
      </x:c>
      <x:c r="N2065" s="12"/>
      <x:c r="O2065" s="12" t="str">
        <x:v>negative</x:v>
      </x:c>
      <x:c r="P2065" s="12" t="str">
        <x:f>IF(OR(M2065="unavailable",O2065="unavailable"),"不可评价",IF(OR(M2065="equivocal",O2065="equivocal"),"疑似",IF(AND(M2065="positive",O2065="positive"),"a",IF(O2065="positive","b",IF(M2065="positive","c","d")))))</x:f>
        <x:v>d</x:v>
      </x:c>
      <x:c r="Q2065" s="12"/>
      <x:c r="R2065" s="12" t="str">
        <x:v>negative</x:v>
      </x:c>
      <x:c r="S2065" s="12"/>
      <x:c r="T2065" s="12" t="str">
        <x:v>negative</x:v>
      </x:c>
      <x:c r="U2065" s="12" t="str">
        <x:f>IF(OR(R2065="unavailable",T2065="unavailable"),"不可评价",IF(OR(R2065="equivocal",T2065="equivocal"),"疑似",IF(AND(R2065="positive",T2065="positive"),"a",IF(T2065="positive","b",IF(R2065="positive","c","d")))))</x:f>
        <x:v>d</x:v>
      </x:c>
      <x:c r="V2065" s="12"/>
      <x:c r="W2065" s="12" t="str">
        <x:v>negative</x:v>
      </x:c>
      <x:c r="X2065" s="12"/>
      <x:c r="Y2065" s="12" t="str">
        <x:v>negative</x:v>
      </x:c>
      <x:c r="Z2065" s="12" t="str">
        <x:f>IF(OR(W2065="unavailable",Y2065="unavailable"),"不可评价",IF(OR(W2065="equivocal",Y2065="equivocal"),"疑似",IF(AND(W2065="positive",Y2065="positive"),"a",IF(Y2065="positive","b",IF(W2065="positive","c","d")))))</x:f>
        <x:v>d</x:v>
      </x:c>
      <x:c r="AA2065" s="12" t="str">
        <x:f>IF(OR(M2065="unavailable",O2065="unavailable"),"不可评价",IF(AND(OR(M2065="positive",M2065="equivocal"),OR(O2065="positive",O2065="equivocal")),"a",IF(OR(O2065="positive",O2065="equivocal"),"b",IF(OR(M2065="positive",M2065="equivocal"),"c","d"))))</x:f>
        <x:v>d</x:v>
      </x:c>
      <x:c r="AB2065" s="12" t="str">
        <x:f>IF(OR(M2065="unavailable",O2065="unavailable"),"不可评价",IF(AND(M2065="positive",O2065="positive"),"a",IF(O2065="positive","b",IF(M2065="positive","c","d"))))</x:f>
        <x:v>d</x:v>
      </x:c>
      <x:c r="AC2065" s="12" t="str">
        <x:f>IF(OR(R2065="unavailable",T2065="unavailable"),"不可评价",IF(AND(OR(R2065="positive",R2065="equivocal"),OR(T2065="positive",T2065="equivocal")),"a",IF(OR(T2065="positive",T2065="equivocal"),"b",IF(OR(R2065="positive",R2065="equivocal"),"c","d"))))</x:f>
        <x:v>d</x:v>
      </x:c>
      <x:c r="AD2065" s="12" t="str">
        <x:f>IF(OR(R2065="unavailable",T2065="unavailable"),"不可评价",IF(AND(R2065="positive",T2065="positive"),"a",IF(T2065="positive","b",IF(R2065="positive","c","d"))))</x:f>
        <x:v>d</x:v>
      </x:c>
      <x:c r="AE2065" s="12" t="str">
        <x:f>IF(OR(W2065="unavailable",Y2065="unavailable"),"不可评价",IF(AND(OR(W2065="positive",W2065="equivocal"),OR(Y2065="positive",Y2065="equivocal")),"a",IF(OR(Y2065="positive",Y2065="equivocal"),"b",IF(OR(W2065="positive",W2065="equivocal"),"c","d"))))</x:f>
        <x:v>d</x:v>
      </x:c>
      <x:c r="AF2065" s="12" t="str">
        <x:f>IF(OR(W2065="unavailable",Y2065="unavailable"),"不可评价",IF(AND(W2065="positive",Y2065="positive"),"a",IF(Y2065="positive","b",IF(W2065="positive","c","d"))))</x:f>
        <x:v>d</x:v>
      </x:c>
    </x:row>
    <x:row r="2066" ht="24" customHeight="1">
      <x:c r="A2066" s="12" t="str">
        <x:v>19920</x:v>
      </x:c>
      <x:c r="B2066" s="12" t="str">
        <x:v>12346</x:v>
      </x:c>
      <x:c r="C2066" s="21" t="n">
        <x:v>36114.597025462965</x:v>
      </x:c>
      <x:c r="D2066" s="12" t="n">
        <x:v>44</x:v>
      </x:c>
      <x:c r="E2066" s="12" t="n">
        <x:v>1</x:v>
      </x:c>
      <x:c r="F2066" s="12" t="str">
        <x:v>未记录</x:v>
      </x:c>
      <x:c r="G2066" s="12" t="n">
        <x:v>1</x:v>
      </x:c>
      <x:c r="H2066" s="12" t="str">
        <x:v>{'WPW': 100.0, 'ABQRS': 0.0, 'SR': 0.0}</x:v>
      </x:c>
      <x:c r="I2066" s="12" t="str">
        <x:v>[('NSR', 100.0), ('WPW', 100.0), ('AB', 100.0)]</x:v>
      </x:c>
      <x:c r="J2066" s="12" t="str">
        <x:v>ptbxl_database.csv；ecg_id=19920；scp_codes</x:v>
      </x:c>
      <x:c r="K2066" s="12" t="str">
        <x:v>12sl_statements.csv；ecg_id=19920；statements_ext_snomed</x:v>
      </x:c>
      <x:c r="L2066" s="12"/>
      <x:c r="M2066" s="12" t="str">
        <x:v>negative</x:v>
      </x:c>
      <x:c r="N2066" s="12"/>
      <x:c r="O2066" s="12" t="str">
        <x:v>negative</x:v>
      </x:c>
      <x:c r="P2066" s="12" t="str">
        <x:f>IF(OR(M2066="unavailable",O2066="unavailable"),"不可评价",IF(OR(M2066="equivocal",O2066="equivocal"),"疑似",IF(AND(M2066="positive",O2066="positive"),"a",IF(O2066="positive","b",IF(M2066="positive","c","d")))))</x:f>
        <x:v>d</x:v>
      </x:c>
      <x:c r="Q2066" s="12"/>
      <x:c r="R2066" s="12" t="str">
        <x:v>negative</x:v>
      </x:c>
      <x:c r="S2066" s="12"/>
      <x:c r="T2066" s="12" t="str">
        <x:v>negative</x:v>
      </x:c>
      <x:c r="U2066" s="12" t="str">
        <x:f>IF(OR(R2066="unavailable",T2066="unavailable"),"不可评价",IF(OR(R2066="equivocal",T2066="equivocal"),"疑似",IF(AND(R2066="positive",T2066="positive"),"a",IF(T2066="positive","b",IF(R2066="positive","c","d")))))</x:f>
        <x:v>d</x:v>
      </x:c>
      <x:c r="V2066" s="12"/>
      <x:c r="W2066" s="12" t="str">
        <x:v>negative</x:v>
      </x:c>
      <x:c r="X2066" s="12"/>
      <x:c r="Y2066" s="12" t="str">
        <x:v>negative</x:v>
      </x:c>
      <x:c r="Z2066" s="12" t="str">
        <x:f>IF(OR(W2066="unavailable",Y2066="unavailable"),"不可评价",IF(OR(W2066="equivocal",Y2066="equivocal"),"疑似",IF(AND(W2066="positive",Y2066="positive"),"a",IF(Y2066="positive","b",IF(W2066="positive","c","d")))))</x:f>
        <x:v>d</x:v>
      </x:c>
      <x:c r="AA2066" s="12" t="str">
        <x:f>IF(OR(M2066="unavailable",O2066="unavailable"),"不可评价",IF(AND(OR(M2066="positive",M2066="equivocal"),OR(O2066="positive",O2066="equivocal")),"a",IF(OR(O2066="positive",O2066="equivocal"),"b",IF(OR(M2066="positive",M2066="equivocal"),"c","d"))))</x:f>
        <x:v>d</x:v>
      </x:c>
      <x:c r="AB2066" s="12" t="str">
        <x:f>IF(OR(M2066="unavailable",O2066="unavailable"),"不可评价",IF(AND(M2066="positive",O2066="positive"),"a",IF(O2066="positive","b",IF(M2066="positive","c","d"))))</x:f>
        <x:v>d</x:v>
      </x:c>
      <x:c r="AC2066" s="12" t="str">
        <x:f>IF(OR(R2066="unavailable",T2066="unavailable"),"不可评价",IF(AND(OR(R2066="positive",R2066="equivocal"),OR(T2066="positive",T2066="equivocal")),"a",IF(OR(T2066="positive",T2066="equivocal"),"b",IF(OR(R2066="positive",R2066="equivocal"),"c","d"))))</x:f>
        <x:v>d</x:v>
      </x:c>
      <x:c r="AD2066" s="12" t="str">
        <x:f>IF(OR(R2066="unavailable",T2066="unavailable"),"不可评价",IF(AND(R2066="positive",T2066="positive"),"a",IF(T2066="positive","b",IF(R2066="positive","c","d"))))</x:f>
        <x:v>d</x:v>
      </x:c>
      <x:c r="AE2066" s="12" t="str">
        <x:f>IF(OR(W2066="unavailable",Y2066="unavailable"),"不可评价",IF(AND(OR(W2066="positive",W2066="equivocal"),OR(Y2066="positive",Y2066="equivocal")),"a",IF(OR(Y2066="positive",Y2066="equivocal"),"b",IF(OR(W2066="positive",W2066="equivocal"),"c","d"))))</x:f>
        <x:v>d</x:v>
      </x:c>
      <x:c r="AF2066" s="12" t="str">
        <x:f>IF(OR(W2066="unavailable",Y2066="unavailable"),"不可评价",IF(AND(W2066="positive",Y2066="positive"),"a",IF(Y2066="positive","b",IF(W2066="positive","c","d"))))</x:f>
        <x:v>d</x:v>
      </x:c>
    </x:row>
    <x:row r="2067" ht="24" customHeight="1">
      <x:c r="A2067" s="12" t="str">
        <x:v>19924</x:v>
      </x:c>
      <x:c r="B2067" s="12" t="str">
        <x:v>18837</x:v>
      </x:c>
      <x:c r="C2067" s="21" t="n">
        <x:v>36115.42380787037</x:v>
      </x:c>
      <x:c r="D2067" s="12" t="n">
        <x:v>69</x:v>
      </x:c>
      <x:c r="E2067" s="12" t="n">
        <x:v>0</x:v>
      </x:c>
      <x:c r="F2067" s="12" t="str">
        <x:v>未记录</x:v>
      </x:c>
      <x:c r="G2067" s="12" t="n">
        <x:v>0</x:v>
      </x:c>
      <x:c r="H2067" s="12" t="str">
        <x:v>{'NORM': 100.0, 'SR': 0.0}</x:v>
      </x:c>
      <x:c r="I2067" s="12" t="str">
        <x:v>[('NSR', 100.0), ('NML', 100.0)]</x:v>
      </x:c>
      <x:c r="J2067" s="12" t="str">
        <x:v>ptbxl_database.csv；ecg_id=19924；scp_codes</x:v>
      </x:c>
      <x:c r="K2067" s="12" t="str">
        <x:v>12sl_statements.csv；ecg_id=19924；statements_ext_snomed</x:v>
      </x:c>
      <x:c r="L2067" s="12"/>
      <x:c r="M2067" s="12" t="str">
        <x:v>negative</x:v>
      </x:c>
      <x:c r="N2067" s="12"/>
      <x:c r="O2067" s="12" t="str">
        <x:v>negative</x:v>
      </x:c>
      <x:c r="P2067" s="12" t="str">
        <x:f>IF(OR(M2067="unavailable",O2067="unavailable"),"不可评价",IF(OR(M2067="equivocal",O2067="equivocal"),"疑似",IF(AND(M2067="positive",O2067="positive"),"a",IF(O2067="positive","b",IF(M2067="positive","c","d")))))</x:f>
        <x:v>d</x:v>
      </x:c>
      <x:c r="Q2067" s="12"/>
      <x:c r="R2067" s="12" t="str">
        <x:v>negative</x:v>
      </x:c>
      <x:c r="S2067" s="12"/>
      <x:c r="T2067" s="12" t="str">
        <x:v>negative</x:v>
      </x:c>
      <x:c r="U2067" s="12" t="str">
        <x:f>IF(OR(R2067="unavailable",T2067="unavailable"),"不可评价",IF(OR(R2067="equivocal",T2067="equivocal"),"疑似",IF(AND(R2067="positive",T2067="positive"),"a",IF(T2067="positive","b",IF(R2067="positive","c","d")))))</x:f>
        <x:v>d</x:v>
      </x:c>
      <x:c r="V2067" s="12"/>
      <x:c r="W2067" s="12" t="str">
        <x:v>negative</x:v>
      </x:c>
      <x:c r="X2067" s="12"/>
      <x:c r="Y2067" s="12" t="str">
        <x:v>negative</x:v>
      </x:c>
      <x:c r="Z2067" s="12" t="str">
        <x:f>IF(OR(W2067="unavailable",Y2067="unavailable"),"不可评价",IF(OR(W2067="equivocal",Y2067="equivocal"),"疑似",IF(AND(W2067="positive",Y2067="positive"),"a",IF(Y2067="positive","b",IF(W2067="positive","c","d")))))</x:f>
        <x:v>d</x:v>
      </x:c>
      <x:c r="AA2067" s="12" t="str">
        <x:f>IF(OR(M2067="unavailable",O2067="unavailable"),"不可评价",IF(AND(OR(M2067="positive",M2067="equivocal"),OR(O2067="positive",O2067="equivocal")),"a",IF(OR(O2067="positive",O2067="equivocal"),"b",IF(OR(M2067="positive",M2067="equivocal"),"c","d"))))</x:f>
        <x:v>d</x:v>
      </x:c>
      <x:c r="AB2067" s="12" t="str">
        <x:f>IF(OR(M2067="unavailable",O2067="unavailable"),"不可评价",IF(AND(M2067="positive",O2067="positive"),"a",IF(O2067="positive","b",IF(M2067="positive","c","d"))))</x:f>
        <x:v>d</x:v>
      </x:c>
      <x:c r="AC2067" s="12" t="str">
        <x:f>IF(OR(R2067="unavailable",T2067="unavailable"),"不可评价",IF(AND(OR(R2067="positive",R2067="equivocal"),OR(T2067="positive",T2067="equivocal")),"a",IF(OR(T2067="positive",T2067="equivocal"),"b",IF(OR(R2067="positive",R2067="equivocal"),"c","d"))))</x:f>
        <x:v>d</x:v>
      </x:c>
      <x:c r="AD2067" s="12" t="str">
        <x:f>IF(OR(R2067="unavailable",T2067="unavailable"),"不可评价",IF(AND(R2067="positive",T2067="positive"),"a",IF(T2067="positive","b",IF(R2067="positive","c","d"))))</x:f>
        <x:v>d</x:v>
      </x:c>
      <x:c r="AE2067" s="12" t="str">
        <x:f>IF(OR(W2067="unavailable",Y2067="unavailable"),"不可评价",IF(AND(OR(W2067="positive",W2067="equivocal"),OR(Y2067="positive",Y2067="equivocal")),"a",IF(OR(Y2067="positive",Y2067="equivocal"),"b",IF(OR(W2067="positive",W2067="equivocal"),"c","d"))))</x:f>
        <x:v>d</x:v>
      </x:c>
      <x:c r="AF2067" s="12" t="str">
        <x:f>IF(OR(W2067="unavailable",Y2067="unavailable"),"不可评价",IF(AND(W2067="positive",Y2067="positive"),"a",IF(Y2067="positive","b",IF(W2067="positive","c","d"))))</x:f>
        <x:v>d</x:v>
      </x:c>
    </x:row>
    <x:row r="2068" ht="24" customHeight="1">
      <x:c r="A2068" s="12" t="str">
        <x:v>19929</x:v>
      </x:c>
      <x:c r="B2068" s="12" t="str">
        <x:v>13751</x:v>
      </x:c>
      <x:c r="C2068" s="21" t="n">
        <x:v>36115.69106481481</x:v>
      </x:c>
      <x:c r="D2068" s="12" t="n">
        <x:v>65</x:v>
      </x:c>
      <x:c r="E2068" s="12" t="n">
        <x:v>1</x:v>
      </x:c>
      <x:c r="F2068" s="12" t="str">
        <x:v>未记录</x:v>
      </x:c>
      <x:c r="G2068" s="12" t="n">
        <x:v>1</x:v>
      </x:c>
      <x:c r="H2068" s="12" t="str">
        <x:v>{'NORM': 100.0, 'SR': 0.0}</x:v>
      </x:c>
      <x:c r="I2068" s="12" t="str">
        <x:v>[('NSR', 100.0), ('NML', 100.0)]</x:v>
      </x:c>
      <x:c r="J2068" s="12" t="str">
        <x:v>ptbxl_database.csv；ecg_id=19929；scp_codes</x:v>
      </x:c>
      <x:c r="K2068" s="12" t="str">
        <x:v>12sl_statements.csv；ecg_id=19929；statements_ext_snomed</x:v>
      </x:c>
      <x:c r="L2068" s="12"/>
      <x:c r="M2068" s="12" t="str">
        <x:v>negative</x:v>
      </x:c>
      <x:c r="N2068" s="12"/>
      <x:c r="O2068" s="12" t="str">
        <x:v>negative</x:v>
      </x:c>
      <x:c r="P2068" s="12" t="str">
        <x:f>IF(OR(M2068="unavailable",O2068="unavailable"),"不可评价",IF(OR(M2068="equivocal",O2068="equivocal"),"疑似",IF(AND(M2068="positive",O2068="positive"),"a",IF(O2068="positive","b",IF(M2068="positive","c","d")))))</x:f>
        <x:v>d</x:v>
      </x:c>
      <x:c r="Q2068" s="12"/>
      <x:c r="R2068" s="12" t="str">
        <x:v>negative</x:v>
      </x:c>
      <x:c r="S2068" s="12"/>
      <x:c r="T2068" s="12" t="str">
        <x:v>negative</x:v>
      </x:c>
      <x:c r="U2068" s="12" t="str">
        <x:f>IF(OR(R2068="unavailable",T2068="unavailable"),"不可评价",IF(OR(R2068="equivocal",T2068="equivocal"),"疑似",IF(AND(R2068="positive",T2068="positive"),"a",IF(T2068="positive","b",IF(R2068="positive","c","d")))))</x:f>
        <x:v>d</x:v>
      </x:c>
      <x:c r="V2068" s="12"/>
      <x:c r="W2068" s="12" t="str">
        <x:v>negative</x:v>
      </x:c>
      <x:c r="X2068" s="12"/>
      <x:c r="Y2068" s="12" t="str">
        <x:v>negative</x:v>
      </x:c>
      <x:c r="Z2068" s="12" t="str">
        <x:f>IF(OR(W2068="unavailable",Y2068="unavailable"),"不可评价",IF(OR(W2068="equivocal",Y2068="equivocal"),"疑似",IF(AND(W2068="positive",Y2068="positive"),"a",IF(Y2068="positive","b",IF(W2068="positive","c","d")))))</x:f>
        <x:v>d</x:v>
      </x:c>
      <x:c r="AA2068" s="12" t="str">
        <x:f>IF(OR(M2068="unavailable",O2068="unavailable"),"不可评价",IF(AND(OR(M2068="positive",M2068="equivocal"),OR(O2068="positive",O2068="equivocal")),"a",IF(OR(O2068="positive",O2068="equivocal"),"b",IF(OR(M2068="positive",M2068="equivocal"),"c","d"))))</x:f>
        <x:v>d</x:v>
      </x:c>
      <x:c r="AB2068" s="12" t="str">
        <x:f>IF(OR(M2068="unavailable",O2068="unavailable"),"不可评价",IF(AND(M2068="positive",O2068="positive"),"a",IF(O2068="positive","b",IF(M2068="positive","c","d"))))</x:f>
        <x:v>d</x:v>
      </x:c>
      <x:c r="AC2068" s="12" t="str">
        <x:f>IF(OR(R2068="unavailable",T2068="unavailable"),"不可评价",IF(AND(OR(R2068="positive",R2068="equivocal"),OR(T2068="positive",T2068="equivocal")),"a",IF(OR(T2068="positive",T2068="equivocal"),"b",IF(OR(R2068="positive",R2068="equivocal"),"c","d"))))</x:f>
        <x:v>d</x:v>
      </x:c>
      <x:c r="AD2068" s="12" t="str">
        <x:f>IF(OR(R2068="unavailable",T2068="unavailable"),"不可评价",IF(AND(R2068="positive",T2068="positive"),"a",IF(T2068="positive","b",IF(R2068="positive","c","d"))))</x:f>
        <x:v>d</x:v>
      </x:c>
      <x:c r="AE2068" s="12" t="str">
        <x:f>IF(OR(W2068="unavailable",Y2068="unavailable"),"不可评价",IF(AND(OR(W2068="positive",W2068="equivocal"),OR(Y2068="positive",Y2068="equivocal")),"a",IF(OR(Y2068="positive",Y2068="equivocal"),"b",IF(OR(W2068="positive",W2068="equivocal"),"c","d"))))</x:f>
        <x:v>d</x:v>
      </x:c>
      <x:c r="AF2068" s="12" t="str">
        <x:f>IF(OR(W2068="unavailable",Y2068="unavailable"),"不可评价",IF(AND(W2068="positive",Y2068="positive"),"a",IF(Y2068="positive","b",IF(W2068="positive","c","d"))))</x:f>
        <x:v>d</x:v>
      </x:c>
    </x:row>
    <x:row r="2069" ht="39" customHeight="1">
      <x:c r="A2069" s="12" t="str">
        <x:v>19935</x:v>
      </x:c>
      <x:c r="B2069" s="12" t="str">
        <x:v>8166</x:v>
      </x:c>
      <x:c r="C2069" s="21" t="n">
        <x:v>36118.5474537037</x:v>
      </x:c>
      <x:c r="D2069" s="12" t="n">
        <x:v>84</x:v>
      </x:c>
      <x:c r="E2069" s="12" t="n">
        <x:v>1</x:v>
      </x:c>
      <x:c r="F2069" s="12" t="str">
        <x:v>未记录</x:v>
      </x:c>
      <x:c r="G2069" s="12" t="n">
        <x:v>0</x:v>
      </x:c>
      <x:c r="H2069" s="12" t="str">
        <x:v>{'IMI': 100.0, 'ASMI': 100.0, 'ISCAL': 100.0, 'IVCD': 100.0, 'ABQRS': 0.0, 'SR': 0.0}</x:v>
      </x:c>
      <x:c r="I2069" s="12" t="str">
        <x:v>[('STACH', 100.0), ('LAD3', 100.0), ('LBBB', 100.0), ('AB', 100.0)]</x:v>
      </x:c>
      <x:c r="J2069" s="12" t="str">
        <x:v>ptbxl_database.csv；ecg_id=19935；scp_codes</x:v>
      </x:c>
      <x:c r="K2069" s="12" t="str">
        <x:v>12sl_statements.csv；ecg_id=19935；statements_ext_snomed</x:v>
      </x:c>
      <x:c r="L2069" s="12"/>
      <x:c r="M2069" s="12" t="str">
        <x:v>negative</x:v>
      </x:c>
      <x:c r="N2069" s="12"/>
      <x:c r="O2069" s="12" t="str">
        <x:v>negative</x:v>
      </x:c>
      <x:c r="P2069" s="12" t="str">
        <x:f>IF(OR(M2069="unavailable",O2069="unavailable"),"不可评价",IF(OR(M2069="equivocal",O2069="equivocal"),"疑似",IF(AND(M2069="positive",O2069="positive"),"a",IF(O2069="positive","b",IF(M2069="positive","c","d")))))</x:f>
        <x:v>d</x:v>
      </x:c>
      <x:c r="Q2069" s="12"/>
      <x:c r="R2069" s="12" t="str">
        <x:v>negative</x:v>
      </x:c>
      <x:c r="S2069" s="12" t="n">
        <x:v>100</x:v>
      </x:c>
      <x:c r="T2069" s="12" t="str">
        <x:v>positive</x:v>
      </x:c>
      <x:c r="U2069" s="12" t="str">
        <x:f>IF(OR(R2069="unavailable",T2069="unavailable"),"不可评价",IF(OR(R2069="equivocal",T2069="equivocal"),"疑似",IF(AND(R2069="positive",T2069="positive"),"a",IF(T2069="positive","b",IF(R2069="positive","c","d")))))</x:f>
        <x:v>b</x:v>
      </x:c>
      <x:c r="V2069" s="12"/>
      <x:c r="W2069" s="12" t="str">
        <x:v>negative</x:v>
      </x:c>
      <x:c r="X2069" s="12"/>
      <x:c r="Y2069" s="12" t="str">
        <x:v>negative</x:v>
      </x:c>
      <x:c r="Z2069" s="12" t="str">
        <x:f>IF(OR(W2069="unavailable",Y2069="unavailable"),"不可评价",IF(OR(W2069="equivocal",Y2069="equivocal"),"疑似",IF(AND(W2069="positive",Y2069="positive"),"a",IF(Y2069="positive","b",IF(W2069="positive","c","d")))))</x:f>
        <x:v>d</x:v>
      </x:c>
      <x:c r="AA2069" s="12" t="str">
        <x:f>IF(OR(M2069="unavailable",O2069="unavailable"),"不可评价",IF(AND(OR(M2069="positive",M2069="equivocal"),OR(O2069="positive",O2069="equivocal")),"a",IF(OR(O2069="positive",O2069="equivocal"),"b",IF(OR(M2069="positive",M2069="equivocal"),"c","d"))))</x:f>
        <x:v>d</x:v>
      </x:c>
      <x:c r="AB2069" s="12" t="str">
        <x:f>IF(OR(M2069="unavailable",O2069="unavailable"),"不可评价",IF(AND(M2069="positive",O2069="positive"),"a",IF(O2069="positive","b",IF(M2069="positive","c","d"))))</x:f>
        <x:v>d</x:v>
      </x:c>
      <x:c r="AC2069" s="12" t="str">
        <x:f>IF(OR(R2069="unavailable",T2069="unavailable"),"不可评价",IF(AND(OR(R2069="positive",R2069="equivocal"),OR(T2069="positive",T2069="equivocal")),"a",IF(OR(T2069="positive",T2069="equivocal"),"b",IF(OR(R2069="positive",R2069="equivocal"),"c","d"))))</x:f>
        <x:v>b</x:v>
      </x:c>
      <x:c r="AD2069" s="12" t="str">
        <x:f>IF(OR(R2069="unavailable",T2069="unavailable"),"不可评价",IF(AND(R2069="positive",T2069="positive"),"a",IF(T2069="positive","b",IF(R2069="positive","c","d"))))</x:f>
        <x:v>b</x:v>
      </x:c>
      <x:c r="AE2069" s="12" t="str">
        <x:f>IF(OR(W2069="unavailable",Y2069="unavailable"),"不可评价",IF(AND(OR(W2069="positive",W2069="equivocal"),OR(Y2069="positive",Y2069="equivocal")),"a",IF(OR(Y2069="positive",Y2069="equivocal"),"b",IF(OR(W2069="positive",W2069="equivocal"),"c","d"))))</x:f>
        <x:v>d</x:v>
      </x:c>
      <x:c r="AF2069" s="12" t="str">
        <x:f>IF(OR(W2069="unavailable",Y2069="unavailable"),"不可评价",IF(AND(W2069="positive",Y2069="positive"),"a",IF(Y2069="positive","b",IF(W2069="positive","c","d"))))</x:f>
        <x:v>d</x:v>
      </x:c>
    </x:row>
    <x:row r="2070" ht="24" customHeight="1">
      <x:c r="A2070" s="12" t="str">
        <x:v>19942</x:v>
      </x:c>
      <x:c r="B2070" s="12" t="str">
        <x:v>12442</x:v>
      </x:c>
      <x:c r="C2070" s="21" t="n">
        <x:v>36119.66159722222</x:v>
      </x:c>
      <x:c r="D2070" s="12" t="n">
        <x:v>66</x:v>
      </x:c>
      <x:c r="E2070" s="12" t="n">
        <x:v>1</x:v>
      </x:c>
      <x:c r="F2070" s="12" t="str">
        <x:v>未记录</x:v>
      </x:c>
      <x:c r="G2070" s="12" t="n">
        <x:v>0</x:v>
      </x:c>
      <x:c r="H2070" s="12" t="str">
        <x:v>{'NORM': 100.0, 'SR': 0.0}</x:v>
      </x:c>
      <x:c r="I2070" s="12" t="str">
        <x:v>[('SBRAD', 100.0), ('ABR', 100.0)]</x:v>
      </x:c>
      <x:c r="J2070" s="12" t="str">
        <x:v>ptbxl_database.csv；ecg_id=19942；scp_codes</x:v>
      </x:c>
      <x:c r="K2070" s="12" t="str">
        <x:v>12sl_statements.csv；ecg_id=19942；statements_ext_snomed</x:v>
      </x:c>
      <x:c r="L2070" s="12"/>
      <x:c r="M2070" s="12" t="str">
        <x:v>negative</x:v>
      </x:c>
      <x:c r="N2070" s="12"/>
      <x:c r="O2070" s="12" t="str">
        <x:v>negative</x:v>
      </x:c>
      <x:c r="P2070" s="12" t="str">
        <x:f>IF(OR(M2070="unavailable",O2070="unavailable"),"不可评价",IF(OR(M2070="equivocal",O2070="equivocal"),"疑似",IF(AND(M2070="positive",O2070="positive"),"a",IF(O2070="positive","b",IF(M2070="positive","c","d")))))</x:f>
        <x:v>d</x:v>
      </x:c>
      <x:c r="Q2070" s="12"/>
      <x:c r="R2070" s="12" t="str">
        <x:v>negative</x:v>
      </x:c>
      <x:c r="S2070" s="12"/>
      <x:c r="T2070" s="12" t="str">
        <x:v>negative</x:v>
      </x:c>
      <x:c r="U2070" s="12" t="str">
        <x:f>IF(OR(R2070="unavailable",T2070="unavailable"),"不可评价",IF(OR(R2070="equivocal",T2070="equivocal"),"疑似",IF(AND(R2070="positive",T2070="positive"),"a",IF(T2070="positive","b",IF(R2070="positive","c","d")))))</x:f>
        <x:v>d</x:v>
      </x:c>
      <x:c r="V2070" s="12"/>
      <x:c r="W2070" s="12" t="str">
        <x:v>negative</x:v>
      </x:c>
      <x:c r="X2070" s="12"/>
      <x:c r="Y2070" s="12" t="str">
        <x:v>negative</x:v>
      </x:c>
      <x:c r="Z2070" s="12" t="str">
        <x:f>IF(OR(W2070="unavailable",Y2070="unavailable"),"不可评价",IF(OR(W2070="equivocal",Y2070="equivocal"),"疑似",IF(AND(W2070="positive",Y2070="positive"),"a",IF(Y2070="positive","b",IF(W2070="positive","c","d")))))</x:f>
        <x:v>d</x:v>
      </x:c>
      <x:c r="AA2070" s="12" t="str">
        <x:f>IF(OR(M2070="unavailable",O2070="unavailable"),"不可评价",IF(AND(OR(M2070="positive",M2070="equivocal"),OR(O2070="positive",O2070="equivocal")),"a",IF(OR(O2070="positive",O2070="equivocal"),"b",IF(OR(M2070="positive",M2070="equivocal"),"c","d"))))</x:f>
        <x:v>d</x:v>
      </x:c>
      <x:c r="AB2070" s="12" t="str">
        <x:f>IF(OR(M2070="unavailable",O2070="unavailable"),"不可评价",IF(AND(M2070="positive",O2070="positive"),"a",IF(O2070="positive","b",IF(M2070="positive","c","d"))))</x:f>
        <x:v>d</x:v>
      </x:c>
      <x:c r="AC2070" s="12" t="str">
        <x:f>IF(OR(R2070="unavailable",T2070="unavailable"),"不可评价",IF(AND(OR(R2070="positive",R2070="equivocal"),OR(T2070="positive",T2070="equivocal")),"a",IF(OR(T2070="positive",T2070="equivocal"),"b",IF(OR(R2070="positive",R2070="equivocal"),"c","d"))))</x:f>
        <x:v>d</x:v>
      </x:c>
      <x:c r="AD2070" s="12" t="str">
        <x:f>IF(OR(R2070="unavailable",T2070="unavailable"),"不可评价",IF(AND(R2070="positive",T2070="positive"),"a",IF(T2070="positive","b",IF(R2070="positive","c","d"))))</x:f>
        <x:v>d</x:v>
      </x:c>
      <x:c r="AE2070" s="12" t="str">
        <x:f>IF(OR(W2070="unavailable",Y2070="unavailable"),"不可评价",IF(AND(OR(W2070="positive",W2070="equivocal"),OR(Y2070="positive",Y2070="equivocal")),"a",IF(OR(Y2070="positive",Y2070="equivocal"),"b",IF(OR(W2070="positive",W2070="equivocal"),"c","d"))))</x:f>
        <x:v>d</x:v>
      </x:c>
      <x:c r="AF2070" s="12" t="str">
        <x:f>IF(OR(W2070="unavailable",Y2070="unavailable"),"不可评价",IF(AND(W2070="positive",Y2070="positive"),"a",IF(Y2070="positive","b",IF(W2070="positive","c","d"))))</x:f>
        <x:v>d</x:v>
      </x:c>
    </x:row>
    <x:row r="2071" ht="24" customHeight="1">
      <x:c r="A2071" s="12" t="str">
        <x:v>19951</x:v>
      </x:c>
      <x:c r="B2071" s="12" t="str">
        <x:v>18335</x:v>
      </x:c>
      <x:c r="C2071" s="21" t="n">
        <x:v>36121.63721064815</x:v>
      </x:c>
      <x:c r="D2071" s="12" t="n">
        <x:v>60</x:v>
      </x:c>
      <x:c r="E2071" s="12" t="n">
        <x:v>1</x:v>
      </x:c>
      <x:c r="F2071" s="12" t="str">
        <x:v>存在</x:v>
      </x:c>
      <x:c r="G2071" s="12" t="n">
        <x:v>1</x:v>
      </x:c>
      <x:c r="H2071" s="12" t="str">
        <x:v>{'IRBBB': 100.0, 'SR': 0.0}</x:v>
      </x:c>
      <x:c r="I2071" s="12" t="str">
        <x:v>[('NSR', 100.0), ('NML', 100.0)]</x:v>
      </x:c>
      <x:c r="J2071" s="12" t="str">
        <x:v>ptbxl_database.csv；ecg_id=19951；scp_codes</x:v>
      </x:c>
      <x:c r="K2071" s="12" t="str">
        <x:v>12sl_statements.csv；ecg_id=19951；statements_ext_snomed</x:v>
      </x:c>
      <x:c r="L2071" s="12"/>
      <x:c r="M2071" s="12" t="str">
        <x:v>negative</x:v>
      </x:c>
      <x:c r="N2071" s="12"/>
      <x:c r="O2071" s="12" t="str">
        <x:v>negative</x:v>
      </x:c>
      <x:c r="P2071" s="12" t="str">
        <x:f>IF(OR(M2071="unavailable",O2071="unavailable"),"不可评价",IF(OR(M2071="equivocal",O2071="equivocal"),"疑似",IF(AND(M2071="positive",O2071="positive"),"a",IF(O2071="positive","b",IF(M2071="positive","c","d")))))</x:f>
        <x:v>d</x:v>
      </x:c>
      <x:c r="Q2071" s="12"/>
      <x:c r="R2071" s="12" t="str">
        <x:v>negative</x:v>
      </x:c>
      <x:c r="S2071" s="12"/>
      <x:c r="T2071" s="12" t="str">
        <x:v>negative</x:v>
      </x:c>
      <x:c r="U2071" s="12" t="str">
        <x:f>IF(OR(R2071="unavailable",T2071="unavailable"),"不可评价",IF(OR(R2071="equivocal",T2071="equivocal"),"疑似",IF(AND(R2071="positive",T2071="positive"),"a",IF(T2071="positive","b",IF(R2071="positive","c","d")))))</x:f>
        <x:v>d</x:v>
      </x:c>
      <x:c r="V2071" s="12"/>
      <x:c r="W2071" s="12" t="str">
        <x:v>negative</x:v>
      </x:c>
      <x:c r="X2071" s="12"/>
      <x:c r="Y2071" s="12" t="str">
        <x:v>negative</x:v>
      </x:c>
      <x:c r="Z2071" s="12" t="str">
        <x:f>IF(OR(W2071="unavailable",Y2071="unavailable"),"不可评价",IF(OR(W2071="equivocal",Y2071="equivocal"),"疑似",IF(AND(W2071="positive",Y2071="positive"),"a",IF(Y2071="positive","b",IF(W2071="positive","c","d")))))</x:f>
        <x:v>d</x:v>
      </x:c>
      <x:c r="AA2071" s="12" t="str">
        <x:f>IF(OR(M2071="unavailable",O2071="unavailable"),"不可评价",IF(AND(OR(M2071="positive",M2071="equivocal"),OR(O2071="positive",O2071="equivocal")),"a",IF(OR(O2071="positive",O2071="equivocal"),"b",IF(OR(M2071="positive",M2071="equivocal"),"c","d"))))</x:f>
        <x:v>d</x:v>
      </x:c>
      <x:c r="AB2071" s="12" t="str">
        <x:f>IF(OR(M2071="unavailable",O2071="unavailable"),"不可评价",IF(AND(M2071="positive",O2071="positive"),"a",IF(O2071="positive","b",IF(M2071="positive","c","d"))))</x:f>
        <x:v>d</x:v>
      </x:c>
      <x:c r="AC2071" s="12" t="str">
        <x:f>IF(OR(R2071="unavailable",T2071="unavailable"),"不可评价",IF(AND(OR(R2071="positive",R2071="equivocal"),OR(T2071="positive",T2071="equivocal")),"a",IF(OR(T2071="positive",T2071="equivocal"),"b",IF(OR(R2071="positive",R2071="equivocal"),"c","d"))))</x:f>
        <x:v>d</x:v>
      </x:c>
      <x:c r="AD2071" s="12" t="str">
        <x:f>IF(OR(R2071="unavailable",T2071="unavailable"),"不可评价",IF(AND(R2071="positive",T2071="positive"),"a",IF(T2071="positive","b",IF(R2071="positive","c","d"))))</x:f>
        <x:v>d</x:v>
      </x:c>
      <x:c r="AE2071" s="12" t="str">
        <x:f>IF(OR(W2071="unavailable",Y2071="unavailable"),"不可评价",IF(AND(OR(W2071="positive",W2071="equivocal"),OR(Y2071="positive",Y2071="equivocal")),"a",IF(OR(Y2071="positive",Y2071="equivocal"),"b",IF(OR(W2071="positive",W2071="equivocal"),"c","d"))))</x:f>
        <x:v>d</x:v>
      </x:c>
      <x:c r="AF2071" s="12" t="str">
        <x:f>IF(OR(W2071="unavailable",Y2071="unavailable"),"不可评价",IF(AND(W2071="positive",Y2071="positive"),"a",IF(Y2071="positive","b",IF(W2071="positive","c","d"))))</x:f>
        <x:v>d</x:v>
      </x:c>
    </x:row>
    <x:row r="2072" ht="24" customHeight="1">
      <x:c r="A2072" s="12" t="str">
        <x:v>19955</x:v>
      </x:c>
      <x:c r="B2072" s="12" t="str">
        <x:v>16874</x:v>
      </x:c>
      <x:c r="C2072" s="21" t="n">
        <x:v>36122.624340277776</x:v>
      </x:c>
      <x:c r="D2072" s="12" t="n">
        <x:v>69</x:v>
      </x:c>
      <x:c r="E2072" s="12" t="n">
        <x:v>0</x:v>
      </x:c>
      <x:c r="F2072" s="12" t="str">
        <x:v>未记录</x:v>
      </x:c>
      <x:c r="G2072" s="12" t="n">
        <x:v>1</x:v>
      </x:c>
      <x:c r="H2072" s="12" t="str">
        <x:v>{'NORM': 100.0, 'SARRH': 0.0}</x:v>
      </x:c>
      <x:c r="I2072" s="12" t="str">
        <x:v>[('SBRAD', 100.0), ('SAR', 100.0), ('ABR', 100.0)]</x:v>
      </x:c>
      <x:c r="J2072" s="12" t="str">
        <x:v>ptbxl_database.csv；ecg_id=19955；scp_codes</x:v>
      </x:c>
      <x:c r="K2072" s="12" t="str">
        <x:v>12sl_statements.csv；ecg_id=19955；statements_ext_snomed</x:v>
      </x:c>
      <x:c r="L2072" s="12"/>
      <x:c r="M2072" s="12" t="str">
        <x:v>negative</x:v>
      </x:c>
      <x:c r="N2072" s="12"/>
      <x:c r="O2072" s="12" t="str">
        <x:v>negative</x:v>
      </x:c>
      <x:c r="P2072" s="12" t="str">
        <x:f>IF(OR(M2072="unavailable",O2072="unavailable"),"不可评价",IF(OR(M2072="equivocal",O2072="equivocal"),"疑似",IF(AND(M2072="positive",O2072="positive"),"a",IF(O2072="positive","b",IF(M2072="positive","c","d")))))</x:f>
        <x:v>d</x:v>
      </x:c>
      <x:c r="Q2072" s="12"/>
      <x:c r="R2072" s="12" t="str">
        <x:v>negative</x:v>
      </x:c>
      <x:c r="S2072" s="12"/>
      <x:c r="T2072" s="12" t="str">
        <x:v>negative</x:v>
      </x:c>
      <x:c r="U2072" s="12" t="str">
        <x:f>IF(OR(R2072="unavailable",T2072="unavailable"),"不可评价",IF(OR(R2072="equivocal",T2072="equivocal"),"疑似",IF(AND(R2072="positive",T2072="positive"),"a",IF(T2072="positive","b",IF(R2072="positive","c","d")))))</x:f>
        <x:v>d</x:v>
      </x:c>
      <x:c r="V2072" s="12"/>
      <x:c r="W2072" s="12" t="str">
        <x:v>negative</x:v>
      </x:c>
      <x:c r="X2072" s="12"/>
      <x:c r="Y2072" s="12" t="str">
        <x:v>negative</x:v>
      </x:c>
      <x:c r="Z2072" s="12" t="str">
        <x:f>IF(OR(W2072="unavailable",Y2072="unavailable"),"不可评价",IF(OR(W2072="equivocal",Y2072="equivocal"),"疑似",IF(AND(W2072="positive",Y2072="positive"),"a",IF(Y2072="positive","b",IF(W2072="positive","c","d")))))</x:f>
        <x:v>d</x:v>
      </x:c>
      <x:c r="AA2072" s="12" t="str">
        <x:f>IF(OR(M2072="unavailable",O2072="unavailable"),"不可评价",IF(AND(OR(M2072="positive",M2072="equivocal"),OR(O2072="positive",O2072="equivocal")),"a",IF(OR(O2072="positive",O2072="equivocal"),"b",IF(OR(M2072="positive",M2072="equivocal"),"c","d"))))</x:f>
        <x:v>d</x:v>
      </x:c>
      <x:c r="AB2072" s="12" t="str">
        <x:f>IF(OR(M2072="unavailable",O2072="unavailable"),"不可评价",IF(AND(M2072="positive",O2072="positive"),"a",IF(O2072="positive","b",IF(M2072="positive","c","d"))))</x:f>
        <x:v>d</x:v>
      </x:c>
      <x:c r="AC2072" s="12" t="str">
        <x:f>IF(OR(R2072="unavailable",T2072="unavailable"),"不可评价",IF(AND(OR(R2072="positive",R2072="equivocal"),OR(T2072="positive",T2072="equivocal")),"a",IF(OR(T2072="positive",T2072="equivocal"),"b",IF(OR(R2072="positive",R2072="equivocal"),"c","d"))))</x:f>
        <x:v>d</x:v>
      </x:c>
      <x:c r="AD2072" s="12" t="str">
        <x:f>IF(OR(R2072="unavailable",T2072="unavailable"),"不可评价",IF(AND(R2072="positive",T2072="positive"),"a",IF(T2072="positive","b",IF(R2072="positive","c","d"))))</x:f>
        <x:v>d</x:v>
      </x:c>
      <x:c r="AE2072" s="12" t="str">
        <x:f>IF(OR(W2072="unavailable",Y2072="unavailable"),"不可评价",IF(AND(OR(W2072="positive",W2072="equivocal"),OR(Y2072="positive",Y2072="equivocal")),"a",IF(OR(Y2072="positive",Y2072="equivocal"),"b",IF(OR(W2072="positive",W2072="equivocal"),"c","d"))))</x:f>
        <x:v>d</x:v>
      </x:c>
      <x:c r="AF2072" s="12" t="str">
        <x:f>IF(OR(W2072="unavailable",Y2072="unavailable"),"不可评价",IF(AND(W2072="positive",Y2072="positive"),"a",IF(Y2072="positive","b",IF(W2072="positive","c","d"))))</x:f>
        <x:v>d</x:v>
      </x:c>
    </x:row>
    <x:row r="2073" ht="24" customHeight="1">
      <x:c r="A2073" s="12" t="str">
        <x:v>19956</x:v>
      </x:c>
      <x:c r="B2073" s="12" t="str">
        <x:v>9042</x:v>
      </x:c>
      <x:c r="C2073" s="21" t="n">
        <x:v>36122.652094907404</x:v>
      </x:c>
      <x:c r="D2073" s="12" t="n">
        <x:v>71</x:v>
      </x:c>
      <x:c r="E2073" s="12" t="n">
        <x:v>1</x:v>
      </x:c>
      <x:c r="F2073" s="12" t="str">
        <x:v>未记录</x:v>
      </x:c>
      <x:c r="G2073" s="12" t="n">
        <x:v>0</x:v>
      </x:c>
      <x:c r="H2073" s="12" t="str">
        <x:v>{'IMI': 100.0, 'AFIB': 100.0, 'ABQRS': 0.0}</x:v>
      </x:c>
      <x:c r="I2073" s="12" t="str">
        <x:v>[('AFIB', 100.0), ('IMI;AU', 100.0), ('AMI;AU', 15.0), ('AB', 100.0)]</x:v>
      </x:c>
      <x:c r="J2073" s="12" t="str">
        <x:v>ptbxl_database.csv；ecg_id=19956；scp_codes</x:v>
      </x:c>
      <x:c r="K2073" s="12" t="str">
        <x:v>12sl_statements.csv；ecg_id=19956；statements_ext_snomed</x:v>
      </x:c>
      <x:c r="L2073" s="12" t="n">
        <x:v>100</x:v>
      </x:c>
      <x:c r="M2073" s="12" t="str">
        <x:v>positive</x:v>
      </x:c>
      <x:c r="N2073" s="12" t="n">
        <x:v>100</x:v>
      </x:c>
      <x:c r="O2073" s="12" t="str">
        <x:v>positive</x:v>
      </x:c>
      <x:c r="P2073" s="12" t="str">
        <x:f>IF(OR(M2073="unavailable",O2073="unavailable"),"不可评价",IF(OR(M2073="equivocal",O2073="equivocal"),"疑似",IF(AND(M2073="positive",O2073="positive"),"a",IF(O2073="positive","b",IF(M2073="positive","c","d")))))</x:f>
        <x:v>a</x:v>
      </x:c>
      <x:c r="Q2073" s="12"/>
      <x:c r="R2073" s="12" t="str">
        <x:v>negative</x:v>
      </x:c>
      <x:c r="S2073" s="12"/>
      <x:c r="T2073" s="12" t="str">
        <x:v>negative</x:v>
      </x:c>
      <x:c r="U2073" s="12" t="str">
        <x:f>IF(OR(R2073="unavailable",T2073="unavailable"),"不可评价",IF(OR(R2073="equivocal",T2073="equivocal"),"疑似",IF(AND(R2073="positive",T2073="positive"),"a",IF(T2073="positive","b",IF(R2073="positive","c","d")))))</x:f>
        <x:v>d</x:v>
      </x:c>
      <x:c r="V2073" s="12"/>
      <x:c r="W2073" s="12" t="str">
        <x:v>negative</x:v>
      </x:c>
      <x:c r="X2073" s="12"/>
      <x:c r="Y2073" s="12" t="str">
        <x:v>negative</x:v>
      </x:c>
      <x:c r="Z2073" s="12" t="str">
        <x:f>IF(OR(W2073="unavailable",Y2073="unavailable"),"不可评价",IF(OR(W2073="equivocal",Y2073="equivocal"),"疑似",IF(AND(W2073="positive",Y2073="positive"),"a",IF(Y2073="positive","b",IF(W2073="positive","c","d")))))</x:f>
        <x:v>d</x:v>
      </x:c>
      <x:c r="AA2073" s="12" t="str">
        <x:f>IF(OR(M2073="unavailable",O2073="unavailable"),"不可评价",IF(AND(OR(M2073="positive",M2073="equivocal"),OR(O2073="positive",O2073="equivocal")),"a",IF(OR(O2073="positive",O2073="equivocal"),"b",IF(OR(M2073="positive",M2073="equivocal"),"c","d"))))</x:f>
        <x:v>a</x:v>
      </x:c>
      <x:c r="AB2073" s="12" t="str">
        <x:f>IF(OR(M2073="unavailable",O2073="unavailable"),"不可评价",IF(AND(M2073="positive",O2073="positive"),"a",IF(O2073="positive","b",IF(M2073="positive","c","d"))))</x:f>
        <x:v>a</x:v>
      </x:c>
      <x:c r="AC2073" s="12" t="str">
        <x:f>IF(OR(R2073="unavailable",T2073="unavailable"),"不可评价",IF(AND(OR(R2073="positive",R2073="equivocal"),OR(T2073="positive",T2073="equivocal")),"a",IF(OR(T2073="positive",T2073="equivocal"),"b",IF(OR(R2073="positive",R2073="equivocal"),"c","d"))))</x:f>
        <x:v>d</x:v>
      </x:c>
      <x:c r="AD2073" s="12" t="str">
        <x:f>IF(OR(R2073="unavailable",T2073="unavailable"),"不可评价",IF(AND(R2073="positive",T2073="positive"),"a",IF(T2073="positive","b",IF(R2073="positive","c","d"))))</x:f>
        <x:v>d</x:v>
      </x:c>
      <x:c r="AE2073" s="12" t="str">
        <x:f>IF(OR(W2073="unavailable",Y2073="unavailable"),"不可评价",IF(AND(OR(W2073="positive",W2073="equivocal"),OR(Y2073="positive",Y2073="equivocal")),"a",IF(OR(Y2073="positive",Y2073="equivocal"),"b",IF(OR(W2073="positive",W2073="equivocal"),"c","d"))))</x:f>
        <x:v>d</x:v>
      </x:c>
      <x:c r="AF2073" s="12" t="str">
        <x:f>IF(OR(W2073="unavailable",Y2073="unavailable"),"不可评价",IF(AND(W2073="positive",Y2073="positive"),"a",IF(Y2073="positive","b",IF(W2073="positive","c","d"))))</x:f>
        <x:v>d</x:v>
      </x:c>
    </x:row>
    <x:row r="2074" ht="24" customHeight="1">
      <x:c r="A2074" s="12" t="str">
        <x:v>19959</x:v>
      </x:c>
      <x:c r="B2074" s="12" t="str">
        <x:v>20695</x:v>
      </x:c>
      <x:c r="C2074" s="21" t="n">
        <x:v>36123.37189814815</x:v>
      </x:c>
      <x:c r="D2074" s="12" t="n">
        <x:v>50</x:v>
      </x:c>
      <x:c r="E2074" s="12" t="n">
        <x:v>0</x:v>
      </x:c>
      <x:c r="F2074" s="12" t="str">
        <x:v>存在</x:v>
      </x:c>
      <x:c r="G2074" s="12" t="n">
        <x:v>1</x:v>
      </x:c>
      <x:c r="H2074" s="12" t="str">
        <x:v>{'NORM': 100.0, 'SR': 0.0}</x:v>
      </x:c>
      <x:c r="I2074" s="12" t="str">
        <x:v>[('NSR', 100.0), ('NML', 100.0)]</x:v>
      </x:c>
      <x:c r="J2074" s="12" t="str">
        <x:v>ptbxl_database.csv；ecg_id=19959；scp_codes</x:v>
      </x:c>
      <x:c r="K2074" s="12" t="str">
        <x:v>12sl_statements.csv；ecg_id=19959；statements_ext_snomed</x:v>
      </x:c>
      <x:c r="L2074" s="12"/>
      <x:c r="M2074" s="12" t="str">
        <x:v>negative</x:v>
      </x:c>
      <x:c r="N2074" s="12"/>
      <x:c r="O2074" s="12" t="str">
        <x:v>negative</x:v>
      </x:c>
      <x:c r="P2074" s="12" t="str">
        <x:f>IF(OR(M2074="unavailable",O2074="unavailable"),"不可评价",IF(OR(M2074="equivocal",O2074="equivocal"),"疑似",IF(AND(M2074="positive",O2074="positive"),"a",IF(O2074="positive","b",IF(M2074="positive","c","d")))))</x:f>
        <x:v>d</x:v>
      </x:c>
      <x:c r="Q2074" s="12"/>
      <x:c r="R2074" s="12" t="str">
        <x:v>negative</x:v>
      </x:c>
      <x:c r="S2074" s="12"/>
      <x:c r="T2074" s="12" t="str">
        <x:v>negative</x:v>
      </x:c>
      <x:c r="U2074" s="12" t="str">
        <x:f>IF(OR(R2074="unavailable",T2074="unavailable"),"不可评价",IF(OR(R2074="equivocal",T2074="equivocal"),"疑似",IF(AND(R2074="positive",T2074="positive"),"a",IF(T2074="positive","b",IF(R2074="positive","c","d")))))</x:f>
        <x:v>d</x:v>
      </x:c>
      <x:c r="V2074" s="12"/>
      <x:c r="W2074" s="12" t="str">
        <x:v>negative</x:v>
      </x:c>
      <x:c r="X2074" s="12"/>
      <x:c r="Y2074" s="12" t="str">
        <x:v>negative</x:v>
      </x:c>
      <x:c r="Z2074" s="12" t="str">
        <x:f>IF(OR(W2074="unavailable",Y2074="unavailable"),"不可评价",IF(OR(W2074="equivocal",Y2074="equivocal"),"疑似",IF(AND(W2074="positive",Y2074="positive"),"a",IF(Y2074="positive","b",IF(W2074="positive","c","d")))))</x:f>
        <x:v>d</x:v>
      </x:c>
      <x:c r="AA2074" s="12" t="str">
        <x:f>IF(OR(M2074="unavailable",O2074="unavailable"),"不可评价",IF(AND(OR(M2074="positive",M2074="equivocal"),OR(O2074="positive",O2074="equivocal")),"a",IF(OR(O2074="positive",O2074="equivocal"),"b",IF(OR(M2074="positive",M2074="equivocal"),"c","d"))))</x:f>
        <x:v>d</x:v>
      </x:c>
      <x:c r="AB2074" s="12" t="str">
        <x:f>IF(OR(M2074="unavailable",O2074="unavailable"),"不可评价",IF(AND(M2074="positive",O2074="positive"),"a",IF(O2074="positive","b",IF(M2074="positive","c","d"))))</x:f>
        <x:v>d</x:v>
      </x:c>
      <x:c r="AC2074" s="12" t="str">
        <x:f>IF(OR(R2074="unavailable",T2074="unavailable"),"不可评价",IF(AND(OR(R2074="positive",R2074="equivocal"),OR(T2074="positive",T2074="equivocal")),"a",IF(OR(T2074="positive",T2074="equivocal"),"b",IF(OR(R2074="positive",R2074="equivocal"),"c","d"))))</x:f>
        <x:v>d</x:v>
      </x:c>
      <x:c r="AD2074" s="12" t="str">
        <x:f>IF(OR(R2074="unavailable",T2074="unavailable"),"不可评价",IF(AND(R2074="positive",T2074="positive"),"a",IF(T2074="positive","b",IF(R2074="positive","c","d"))))</x:f>
        <x:v>d</x:v>
      </x:c>
      <x:c r="AE2074" s="12" t="str">
        <x:f>IF(OR(W2074="unavailable",Y2074="unavailable"),"不可评价",IF(AND(OR(W2074="positive",W2074="equivocal"),OR(Y2074="positive",Y2074="equivocal")),"a",IF(OR(Y2074="positive",Y2074="equivocal"),"b",IF(OR(W2074="positive",W2074="equivocal"),"c","d"))))</x:f>
        <x:v>d</x:v>
      </x:c>
      <x:c r="AF2074" s="12" t="str">
        <x:f>IF(OR(W2074="unavailable",Y2074="unavailable"),"不可评价",IF(AND(W2074="positive",Y2074="positive"),"a",IF(Y2074="positive","b",IF(W2074="positive","c","d"))))</x:f>
        <x:v>d</x:v>
      </x:c>
    </x:row>
    <x:row r="2075" ht="24" customHeight="1">
      <x:c r="A2075" s="12" t="str">
        <x:v>19960</x:v>
      </x:c>
      <x:c r="B2075" s="12" t="str">
        <x:v>14170</x:v>
      </x:c>
      <x:c r="C2075" s="21" t="n">
        <x:v>36124.38984953704</x:v>
      </x:c>
      <x:c r="D2075" s="12" t="n">
        <x:v>35</x:v>
      </x:c>
      <x:c r="E2075" s="12" t="n">
        <x:v>1</x:v>
      </x:c>
      <x:c r="F2075" s="12" t="str">
        <x:v>未记录</x:v>
      </x:c>
      <x:c r="G2075" s="12" t="n">
        <x:v>1</x:v>
      </x:c>
      <x:c r="H2075" s="12" t="str">
        <x:v>{'NORM': 100.0, 'SARRH': 0.0}</x:v>
      </x:c>
      <x:c r="I2075" s="12" t="str">
        <x:v>[('SBRAD', 100.0), ('SAR', 100.0), ('ABR', 100.0)]</x:v>
      </x:c>
      <x:c r="J2075" s="12" t="str">
        <x:v>ptbxl_database.csv；ecg_id=19960；scp_codes</x:v>
      </x:c>
      <x:c r="K2075" s="12" t="str">
        <x:v>12sl_statements.csv；ecg_id=19960；statements_ext_snomed</x:v>
      </x:c>
      <x:c r="L2075" s="12"/>
      <x:c r="M2075" s="12" t="str">
        <x:v>negative</x:v>
      </x:c>
      <x:c r="N2075" s="12"/>
      <x:c r="O2075" s="12" t="str">
        <x:v>negative</x:v>
      </x:c>
      <x:c r="P2075" s="12" t="str">
        <x:f>IF(OR(M2075="unavailable",O2075="unavailable"),"不可评价",IF(OR(M2075="equivocal",O2075="equivocal"),"疑似",IF(AND(M2075="positive",O2075="positive"),"a",IF(O2075="positive","b",IF(M2075="positive","c","d")))))</x:f>
        <x:v>d</x:v>
      </x:c>
      <x:c r="Q2075" s="12"/>
      <x:c r="R2075" s="12" t="str">
        <x:v>negative</x:v>
      </x:c>
      <x:c r="S2075" s="12"/>
      <x:c r="T2075" s="12" t="str">
        <x:v>negative</x:v>
      </x:c>
      <x:c r="U2075" s="12" t="str">
        <x:f>IF(OR(R2075="unavailable",T2075="unavailable"),"不可评价",IF(OR(R2075="equivocal",T2075="equivocal"),"疑似",IF(AND(R2075="positive",T2075="positive"),"a",IF(T2075="positive","b",IF(R2075="positive","c","d")))))</x:f>
        <x:v>d</x:v>
      </x:c>
      <x:c r="V2075" s="12"/>
      <x:c r="W2075" s="12" t="str">
        <x:v>negative</x:v>
      </x:c>
      <x:c r="X2075" s="12"/>
      <x:c r="Y2075" s="12" t="str">
        <x:v>negative</x:v>
      </x:c>
      <x:c r="Z2075" s="12" t="str">
        <x:f>IF(OR(W2075="unavailable",Y2075="unavailable"),"不可评价",IF(OR(W2075="equivocal",Y2075="equivocal"),"疑似",IF(AND(W2075="positive",Y2075="positive"),"a",IF(Y2075="positive","b",IF(W2075="positive","c","d")))))</x:f>
        <x:v>d</x:v>
      </x:c>
      <x:c r="AA2075" s="12" t="str">
        <x:f>IF(OR(M2075="unavailable",O2075="unavailable"),"不可评价",IF(AND(OR(M2075="positive",M2075="equivocal"),OR(O2075="positive",O2075="equivocal")),"a",IF(OR(O2075="positive",O2075="equivocal"),"b",IF(OR(M2075="positive",M2075="equivocal"),"c","d"))))</x:f>
        <x:v>d</x:v>
      </x:c>
      <x:c r="AB2075" s="12" t="str">
        <x:f>IF(OR(M2075="unavailable",O2075="unavailable"),"不可评价",IF(AND(M2075="positive",O2075="positive"),"a",IF(O2075="positive","b",IF(M2075="positive","c","d"))))</x:f>
        <x:v>d</x:v>
      </x:c>
      <x:c r="AC2075" s="12" t="str">
        <x:f>IF(OR(R2075="unavailable",T2075="unavailable"),"不可评价",IF(AND(OR(R2075="positive",R2075="equivocal"),OR(T2075="positive",T2075="equivocal")),"a",IF(OR(T2075="positive",T2075="equivocal"),"b",IF(OR(R2075="positive",R2075="equivocal"),"c","d"))))</x:f>
        <x:v>d</x:v>
      </x:c>
      <x:c r="AD2075" s="12" t="str">
        <x:f>IF(OR(R2075="unavailable",T2075="unavailable"),"不可评价",IF(AND(R2075="positive",T2075="positive"),"a",IF(T2075="positive","b",IF(R2075="positive","c","d"))))</x:f>
        <x:v>d</x:v>
      </x:c>
      <x:c r="AE2075" s="12" t="str">
        <x:f>IF(OR(W2075="unavailable",Y2075="unavailable"),"不可评价",IF(AND(OR(W2075="positive",W2075="equivocal"),OR(Y2075="positive",Y2075="equivocal")),"a",IF(OR(Y2075="positive",Y2075="equivocal"),"b",IF(OR(W2075="positive",W2075="equivocal"),"c","d"))))</x:f>
        <x:v>d</x:v>
      </x:c>
      <x:c r="AF2075" s="12" t="str">
        <x:f>IF(OR(W2075="unavailable",Y2075="unavailable"),"不可评价",IF(AND(W2075="positive",Y2075="positive"),"a",IF(Y2075="positive","b",IF(W2075="positive","c","d"))))</x:f>
        <x:v>d</x:v>
      </x:c>
    </x:row>
    <x:row r="2076" ht="24" customHeight="1">
      <x:c r="A2076" s="12" t="str">
        <x:v>19981</x:v>
      </x:c>
      <x:c r="B2076" s="12" t="str">
        <x:v>18837</x:v>
      </x:c>
      <x:c r="C2076" s="21" t="n">
        <x:v>36129.3266087963</x:v>
      </x:c>
      <x:c r="D2076" s="12" t="n">
        <x:v>69</x:v>
      </x:c>
      <x:c r="E2076" s="12" t="n">
        <x:v>0</x:v>
      </x:c>
      <x:c r="F2076" s="12" t="str">
        <x:v>未记录</x:v>
      </x:c>
      <x:c r="G2076" s="12" t="n">
        <x:v>0</x:v>
      </x:c>
      <x:c r="H2076" s="12" t="str">
        <x:v>{'NORM': 100.0, 'SR': 0.0}</x:v>
      </x:c>
      <x:c r="I2076" s="12" t="str">
        <x:v>[('NSR', 100.0), ('NML', 100.0)]</x:v>
      </x:c>
      <x:c r="J2076" s="12" t="str">
        <x:v>ptbxl_database.csv；ecg_id=19981；scp_codes</x:v>
      </x:c>
      <x:c r="K2076" s="12" t="str">
        <x:v>12sl_statements.csv；ecg_id=19981；statements_ext_snomed</x:v>
      </x:c>
      <x:c r="L2076" s="12"/>
      <x:c r="M2076" s="12" t="str">
        <x:v>negative</x:v>
      </x:c>
      <x:c r="N2076" s="12"/>
      <x:c r="O2076" s="12" t="str">
        <x:v>negative</x:v>
      </x:c>
      <x:c r="P2076" s="12" t="str">
        <x:f>IF(OR(M2076="unavailable",O2076="unavailable"),"不可评价",IF(OR(M2076="equivocal",O2076="equivocal"),"疑似",IF(AND(M2076="positive",O2076="positive"),"a",IF(O2076="positive","b",IF(M2076="positive","c","d")))))</x:f>
        <x:v>d</x:v>
      </x:c>
      <x:c r="Q2076" s="12"/>
      <x:c r="R2076" s="12" t="str">
        <x:v>negative</x:v>
      </x:c>
      <x:c r="S2076" s="12"/>
      <x:c r="T2076" s="12" t="str">
        <x:v>negative</x:v>
      </x:c>
      <x:c r="U2076" s="12" t="str">
        <x:f>IF(OR(R2076="unavailable",T2076="unavailable"),"不可评价",IF(OR(R2076="equivocal",T2076="equivocal"),"疑似",IF(AND(R2076="positive",T2076="positive"),"a",IF(T2076="positive","b",IF(R2076="positive","c","d")))))</x:f>
        <x:v>d</x:v>
      </x:c>
      <x:c r="V2076" s="12"/>
      <x:c r="W2076" s="12" t="str">
        <x:v>negative</x:v>
      </x:c>
      <x:c r="X2076" s="12"/>
      <x:c r="Y2076" s="12" t="str">
        <x:v>negative</x:v>
      </x:c>
      <x:c r="Z2076" s="12" t="str">
        <x:f>IF(OR(W2076="unavailable",Y2076="unavailable"),"不可评价",IF(OR(W2076="equivocal",Y2076="equivocal"),"疑似",IF(AND(W2076="positive",Y2076="positive"),"a",IF(Y2076="positive","b",IF(W2076="positive","c","d")))))</x:f>
        <x:v>d</x:v>
      </x:c>
      <x:c r="AA2076" s="12" t="str">
        <x:f>IF(OR(M2076="unavailable",O2076="unavailable"),"不可评价",IF(AND(OR(M2076="positive",M2076="equivocal"),OR(O2076="positive",O2076="equivocal")),"a",IF(OR(O2076="positive",O2076="equivocal"),"b",IF(OR(M2076="positive",M2076="equivocal"),"c","d"))))</x:f>
        <x:v>d</x:v>
      </x:c>
      <x:c r="AB2076" s="12" t="str">
        <x:f>IF(OR(M2076="unavailable",O2076="unavailable"),"不可评价",IF(AND(M2076="positive",O2076="positive"),"a",IF(O2076="positive","b",IF(M2076="positive","c","d"))))</x:f>
        <x:v>d</x:v>
      </x:c>
      <x:c r="AC2076" s="12" t="str">
        <x:f>IF(OR(R2076="unavailable",T2076="unavailable"),"不可评价",IF(AND(OR(R2076="positive",R2076="equivocal"),OR(T2076="positive",T2076="equivocal")),"a",IF(OR(T2076="positive",T2076="equivocal"),"b",IF(OR(R2076="positive",R2076="equivocal"),"c","d"))))</x:f>
        <x:v>d</x:v>
      </x:c>
      <x:c r="AD2076" s="12" t="str">
        <x:f>IF(OR(R2076="unavailable",T2076="unavailable"),"不可评价",IF(AND(R2076="positive",T2076="positive"),"a",IF(T2076="positive","b",IF(R2076="positive","c","d"))))</x:f>
        <x:v>d</x:v>
      </x:c>
      <x:c r="AE2076" s="12" t="str">
        <x:f>IF(OR(W2076="unavailable",Y2076="unavailable"),"不可评价",IF(AND(OR(W2076="positive",W2076="equivocal"),OR(Y2076="positive",Y2076="equivocal")),"a",IF(OR(Y2076="positive",Y2076="equivocal"),"b",IF(OR(W2076="positive",W2076="equivocal"),"c","d"))))</x:f>
        <x:v>d</x:v>
      </x:c>
      <x:c r="AF2076" s="12" t="str">
        <x:f>IF(OR(W2076="unavailable",Y2076="unavailable"),"不可评价",IF(AND(W2076="positive",Y2076="positive"),"a",IF(Y2076="positive","b",IF(W2076="positive","c","d"))))</x:f>
        <x:v>d</x:v>
      </x:c>
    </x:row>
    <x:row r="2077" ht="24" customHeight="1">
      <x:c r="A2077" s="12" t="str">
        <x:v>19987</x:v>
      </x:c>
      <x:c r="B2077" s="12" t="str">
        <x:v>10531</x:v>
      </x:c>
      <x:c r="C2077" s="21" t="n">
        <x:v>36129.51708333333</x:v>
      </x:c>
      <x:c r="D2077" s="12" t="n">
        <x:v>56</x:v>
      </x:c>
      <x:c r="E2077" s="12" t="n">
        <x:v>0</x:v>
      </x:c>
      <x:c r="F2077" s="12" t="str">
        <x:v>未记录</x:v>
      </x:c>
      <x:c r="G2077" s="12" t="n">
        <x:v>1</x:v>
      </x:c>
      <x:c r="H2077" s="12" t="str">
        <x:v>{'NORM': 80.0, 'SARRH': 0.0}</x:v>
      </x:c>
      <x:c r="I2077" s="12" t="str">
        <x:v>[('NSR', 100.0), ('SAR', 100.0), ('NML', 100.0)]</x:v>
      </x:c>
      <x:c r="J2077" s="12" t="str">
        <x:v>ptbxl_database.csv；ecg_id=19987；scp_codes</x:v>
      </x:c>
      <x:c r="K2077" s="12" t="str">
        <x:v>12sl_statements.csv；ecg_id=19987；statements_ext_snomed</x:v>
      </x:c>
      <x:c r="L2077" s="12"/>
      <x:c r="M2077" s="12" t="str">
        <x:v>negative</x:v>
      </x:c>
      <x:c r="N2077" s="12"/>
      <x:c r="O2077" s="12" t="str">
        <x:v>negative</x:v>
      </x:c>
      <x:c r="P2077" s="12" t="str">
        <x:f>IF(OR(M2077="unavailable",O2077="unavailable"),"不可评价",IF(OR(M2077="equivocal",O2077="equivocal"),"疑似",IF(AND(M2077="positive",O2077="positive"),"a",IF(O2077="positive","b",IF(M2077="positive","c","d")))))</x:f>
        <x:v>d</x:v>
      </x:c>
      <x:c r="Q2077" s="12"/>
      <x:c r="R2077" s="12" t="str">
        <x:v>negative</x:v>
      </x:c>
      <x:c r="S2077" s="12"/>
      <x:c r="T2077" s="12" t="str">
        <x:v>negative</x:v>
      </x:c>
      <x:c r="U2077" s="12" t="str">
        <x:f>IF(OR(R2077="unavailable",T2077="unavailable"),"不可评价",IF(OR(R2077="equivocal",T2077="equivocal"),"疑似",IF(AND(R2077="positive",T2077="positive"),"a",IF(T2077="positive","b",IF(R2077="positive","c","d")))))</x:f>
        <x:v>d</x:v>
      </x:c>
      <x:c r="V2077" s="12"/>
      <x:c r="W2077" s="12" t="str">
        <x:v>negative</x:v>
      </x:c>
      <x:c r="X2077" s="12"/>
      <x:c r="Y2077" s="12" t="str">
        <x:v>negative</x:v>
      </x:c>
      <x:c r="Z2077" s="12" t="str">
        <x:f>IF(OR(W2077="unavailable",Y2077="unavailable"),"不可评价",IF(OR(W2077="equivocal",Y2077="equivocal"),"疑似",IF(AND(W2077="positive",Y2077="positive"),"a",IF(Y2077="positive","b",IF(W2077="positive","c","d")))))</x:f>
        <x:v>d</x:v>
      </x:c>
      <x:c r="AA2077" s="12" t="str">
        <x:f>IF(OR(M2077="unavailable",O2077="unavailable"),"不可评价",IF(AND(OR(M2077="positive",M2077="equivocal"),OR(O2077="positive",O2077="equivocal")),"a",IF(OR(O2077="positive",O2077="equivocal"),"b",IF(OR(M2077="positive",M2077="equivocal"),"c","d"))))</x:f>
        <x:v>d</x:v>
      </x:c>
      <x:c r="AB2077" s="12" t="str">
        <x:f>IF(OR(M2077="unavailable",O2077="unavailable"),"不可评价",IF(AND(M2077="positive",O2077="positive"),"a",IF(O2077="positive","b",IF(M2077="positive","c","d"))))</x:f>
        <x:v>d</x:v>
      </x:c>
      <x:c r="AC2077" s="12" t="str">
        <x:f>IF(OR(R2077="unavailable",T2077="unavailable"),"不可评价",IF(AND(OR(R2077="positive",R2077="equivocal"),OR(T2077="positive",T2077="equivocal")),"a",IF(OR(T2077="positive",T2077="equivocal"),"b",IF(OR(R2077="positive",R2077="equivocal"),"c","d"))))</x:f>
        <x:v>d</x:v>
      </x:c>
      <x:c r="AD2077" s="12" t="str">
        <x:f>IF(OR(R2077="unavailable",T2077="unavailable"),"不可评价",IF(AND(R2077="positive",T2077="positive"),"a",IF(T2077="positive","b",IF(R2077="positive","c","d"))))</x:f>
        <x:v>d</x:v>
      </x:c>
      <x:c r="AE2077" s="12" t="str">
        <x:f>IF(OR(W2077="unavailable",Y2077="unavailable"),"不可评价",IF(AND(OR(W2077="positive",W2077="equivocal"),OR(Y2077="positive",Y2077="equivocal")),"a",IF(OR(Y2077="positive",Y2077="equivocal"),"b",IF(OR(W2077="positive",W2077="equivocal"),"c","d"))))</x:f>
        <x:v>d</x:v>
      </x:c>
      <x:c r="AF2077" s="12" t="str">
        <x:f>IF(OR(W2077="unavailable",Y2077="unavailable"),"不可评价",IF(AND(W2077="positive",Y2077="positive"),"a",IF(Y2077="positive","b",IF(W2077="positive","c","d"))))</x:f>
        <x:v>d</x:v>
      </x:c>
    </x:row>
    <x:row r="2078" ht="24" customHeight="1">
      <x:c r="A2078" s="12" t="str">
        <x:v>19990</x:v>
      </x:c>
      <x:c r="B2078" s="12" t="str">
        <x:v>16366</x:v>
      </x:c>
      <x:c r="C2078" s="21" t="n">
        <x:v>36130.434537037036</x:v>
      </x:c>
      <x:c r="D2078" s="12" t="n">
        <x:v>80</x:v>
      </x:c>
      <x:c r="E2078" s="12" t="n">
        <x:v>1</x:v>
      </x:c>
      <x:c r="F2078" s="12" t="str">
        <x:v>存在</x:v>
      </x:c>
      <x:c r="G2078" s="12" t="n">
        <x:v>1</x:v>
      </x:c>
      <x:c r="H2078" s="12" t="str">
        <x:v>{'ISCIN': 50.0, 'AFIB': 0.0}</x:v>
      </x:c>
      <x:c r="I2078" s="12" t="str">
        <x:v>[('AFIB', 100.0), ('NST', 100.0), ('AB', 100.0)]</x:v>
      </x:c>
      <x:c r="J2078" s="12" t="str">
        <x:v>ptbxl_database.csv；ecg_id=19990；scp_codes</x:v>
      </x:c>
      <x:c r="K2078" s="12" t="str">
        <x:v>12sl_statements.csv；ecg_id=19990；statements_ext_snomed</x:v>
      </x:c>
      <x:c r="L2078" s="12" t="n">
        <x:v>0</x:v>
      </x:c>
      <x:c r="M2078" s="12" t="str">
        <x:v>positive</x:v>
      </x:c>
      <x:c r="N2078" s="12" t="n">
        <x:v>100</x:v>
      </x:c>
      <x:c r="O2078" s="12" t="str">
        <x:v>positive</x:v>
      </x:c>
      <x:c r="P2078" s="12" t="str">
        <x:f>IF(OR(M2078="unavailable",O2078="unavailable"),"不可评价",IF(OR(M2078="equivocal",O2078="equivocal"),"疑似",IF(AND(M2078="positive",O2078="positive"),"a",IF(O2078="positive","b",IF(M2078="positive","c","d")))))</x:f>
        <x:v>a</x:v>
      </x:c>
      <x:c r="Q2078" s="12"/>
      <x:c r="R2078" s="12" t="str">
        <x:v>negative</x:v>
      </x:c>
      <x:c r="S2078" s="12"/>
      <x:c r="T2078" s="12" t="str">
        <x:v>negative</x:v>
      </x:c>
      <x:c r="U2078" s="12" t="str">
        <x:f>IF(OR(R2078="unavailable",T2078="unavailable"),"不可评价",IF(OR(R2078="equivocal",T2078="equivocal"),"疑似",IF(AND(R2078="positive",T2078="positive"),"a",IF(T2078="positive","b",IF(R2078="positive","c","d")))))</x:f>
        <x:v>d</x:v>
      </x:c>
      <x:c r="V2078" s="12"/>
      <x:c r="W2078" s="12" t="str">
        <x:v>negative</x:v>
      </x:c>
      <x:c r="X2078" s="12"/>
      <x:c r="Y2078" s="12" t="str">
        <x:v>negative</x:v>
      </x:c>
      <x:c r="Z2078" s="12" t="str">
        <x:f>IF(OR(W2078="unavailable",Y2078="unavailable"),"不可评价",IF(OR(W2078="equivocal",Y2078="equivocal"),"疑似",IF(AND(W2078="positive",Y2078="positive"),"a",IF(Y2078="positive","b",IF(W2078="positive","c","d")))))</x:f>
        <x:v>d</x:v>
      </x:c>
      <x:c r="AA2078" s="12" t="str">
        <x:f>IF(OR(M2078="unavailable",O2078="unavailable"),"不可评价",IF(AND(OR(M2078="positive",M2078="equivocal"),OR(O2078="positive",O2078="equivocal")),"a",IF(OR(O2078="positive",O2078="equivocal"),"b",IF(OR(M2078="positive",M2078="equivocal"),"c","d"))))</x:f>
        <x:v>a</x:v>
      </x:c>
      <x:c r="AB2078" s="12" t="str">
        <x:f>IF(OR(M2078="unavailable",O2078="unavailable"),"不可评价",IF(AND(M2078="positive",O2078="positive"),"a",IF(O2078="positive","b",IF(M2078="positive","c","d"))))</x:f>
        <x:v>a</x:v>
      </x:c>
      <x:c r="AC2078" s="12" t="str">
        <x:f>IF(OR(R2078="unavailable",T2078="unavailable"),"不可评价",IF(AND(OR(R2078="positive",R2078="equivocal"),OR(T2078="positive",T2078="equivocal")),"a",IF(OR(T2078="positive",T2078="equivocal"),"b",IF(OR(R2078="positive",R2078="equivocal"),"c","d"))))</x:f>
        <x:v>d</x:v>
      </x:c>
      <x:c r="AD2078" s="12" t="str">
        <x:f>IF(OR(R2078="unavailable",T2078="unavailable"),"不可评价",IF(AND(R2078="positive",T2078="positive"),"a",IF(T2078="positive","b",IF(R2078="positive","c","d"))))</x:f>
        <x:v>d</x:v>
      </x:c>
      <x:c r="AE2078" s="12" t="str">
        <x:f>IF(OR(W2078="unavailable",Y2078="unavailable"),"不可评价",IF(AND(OR(W2078="positive",W2078="equivocal"),OR(Y2078="positive",Y2078="equivocal")),"a",IF(OR(Y2078="positive",Y2078="equivocal"),"b",IF(OR(W2078="positive",W2078="equivocal"),"c","d"))))</x:f>
        <x:v>d</x:v>
      </x:c>
      <x:c r="AF2078" s="12" t="str">
        <x:f>IF(OR(W2078="unavailable",Y2078="unavailable"),"不可评价",IF(AND(W2078="positive",Y2078="positive"),"a",IF(Y2078="positive","b",IF(W2078="positive","c","d"))))</x:f>
        <x:v>d</x:v>
      </x:c>
    </x:row>
    <x:row r="2079" ht="24" customHeight="1">
      <x:c r="A2079" s="12" t="str">
        <x:v>20023</x:v>
      </x:c>
      <x:c r="B2079" s="12" t="str">
        <x:v>13886</x:v>
      </x:c>
      <x:c r="C2079" s="21" t="n">
        <x:v>36136.68556712963</x:v>
      </x:c>
      <x:c r="D2079" s="12" t="n">
        <x:v>68</x:v>
      </x:c>
      <x:c r="E2079" s="12" t="n">
        <x:v>1</x:v>
      </x:c>
      <x:c r="F2079" s="12" t="str">
        <x:v>未记录</x:v>
      </x:c>
      <x:c r="G2079" s="12" t="n">
        <x:v>1</x:v>
      </x:c>
      <x:c r="H2079" s="12" t="str">
        <x:v>{'NORM': 100.0, 'SR': 0.0}</x:v>
      </x:c>
      <x:c r="I2079" s="12" t="str">
        <x:v>[('NSR', 100.0), ('NML', 100.0)]</x:v>
      </x:c>
      <x:c r="J2079" s="12" t="str">
        <x:v>ptbxl_database.csv；ecg_id=20023；scp_codes</x:v>
      </x:c>
      <x:c r="K2079" s="12" t="str">
        <x:v>12sl_statements.csv；ecg_id=20023；statements_ext_snomed</x:v>
      </x:c>
      <x:c r="L2079" s="12"/>
      <x:c r="M2079" s="12" t="str">
        <x:v>negative</x:v>
      </x:c>
      <x:c r="N2079" s="12"/>
      <x:c r="O2079" s="12" t="str">
        <x:v>negative</x:v>
      </x:c>
      <x:c r="P2079" s="12" t="str">
        <x:f>IF(OR(M2079="unavailable",O2079="unavailable"),"不可评价",IF(OR(M2079="equivocal",O2079="equivocal"),"疑似",IF(AND(M2079="positive",O2079="positive"),"a",IF(O2079="positive","b",IF(M2079="positive","c","d")))))</x:f>
        <x:v>d</x:v>
      </x:c>
      <x:c r="Q2079" s="12"/>
      <x:c r="R2079" s="12" t="str">
        <x:v>negative</x:v>
      </x:c>
      <x:c r="S2079" s="12"/>
      <x:c r="T2079" s="12" t="str">
        <x:v>negative</x:v>
      </x:c>
      <x:c r="U2079" s="12" t="str">
        <x:f>IF(OR(R2079="unavailable",T2079="unavailable"),"不可评价",IF(OR(R2079="equivocal",T2079="equivocal"),"疑似",IF(AND(R2079="positive",T2079="positive"),"a",IF(T2079="positive","b",IF(R2079="positive","c","d")))))</x:f>
        <x:v>d</x:v>
      </x:c>
      <x:c r="V2079" s="12"/>
      <x:c r="W2079" s="12" t="str">
        <x:v>negative</x:v>
      </x:c>
      <x:c r="X2079" s="12"/>
      <x:c r="Y2079" s="12" t="str">
        <x:v>negative</x:v>
      </x:c>
      <x:c r="Z2079" s="12" t="str">
        <x:f>IF(OR(W2079="unavailable",Y2079="unavailable"),"不可评价",IF(OR(W2079="equivocal",Y2079="equivocal"),"疑似",IF(AND(W2079="positive",Y2079="positive"),"a",IF(Y2079="positive","b",IF(W2079="positive","c","d")))))</x:f>
        <x:v>d</x:v>
      </x:c>
      <x:c r="AA2079" s="12" t="str">
        <x:f>IF(OR(M2079="unavailable",O2079="unavailable"),"不可评价",IF(AND(OR(M2079="positive",M2079="equivocal"),OR(O2079="positive",O2079="equivocal")),"a",IF(OR(O2079="positive",O2079="equivocal"),"b",IF(OR(M2079="positive",M2079="equivocal"),"c","d"))))</x:f>
        <x:v>d</x:v>
      </x:c>
      <x:c r="AB2079" s="12" t="str">
        <x:f>IF(OR(M2079="unavailable",O2079="unavailable"),"不可评价",IF(AND(M2079="positive",O2079="positive"),"a",IF(O2079="positive","b",IF(M2079="positive","c","d"))))</x:f>
        <x:v>d</x:v>
      </x:c>
      <x:c r="AC2079" s="12" t="str">
        <x:f>IF(OR(R2079="unavailable",T2079="unavailable"),"不可评价",IF(AND(OR(R2079="positive",R2079="equivocal"),OR(T2079="positive",T2079="equivocal")),"a",IF(OR(T2079="positive",T2079="equivocal"),"b",IF(OR(R2079="positive",R2079="equivocal"),"c","d"))))</x:f>
        <x:v>d</x:v>
      </x:c>
      <x:c r="AD2079" s="12" t="str">
        <x:f>IF(OR(R2079="unavailable",T2079="unavailable"),"不可评价",IF(AND(R2079="positive",T2079="positive"),"a",IF(T2079="positive","b",IF(R2079="positive","c","d"))))</x:f>
        <x:v>d</x:v>
      </x:c>
      <x:c r="AE2079" s="12" t="str">
        <x:f>IF(OR(W2079="unavailable",Y2079="unavailable"),"不可评价",IF(AND(OR(W2079="positive",W2079="equivocal"),OR(Y2079="positive",Y2079="equivocal")),"a",IF(OR(Y2079="positive",Y2079="equivocal"),"b",IF(OR(W2079="positive",W2079="equivocal"),"c","d"))))</x:f>
        <x:v>d</x:v>
      </x:c>
      <x:c r="AF2079" s="12" t="str">
        <x:f>IF(OR(W2079="unavailable",Y2079="unavailable"),"不可评价",IF(AND(W2079="positive",Y2079="positive"),"a",IF(Y2079="positive","b",IF(W2079="positive","c","d"))))</x:f>
        <x:v>d</x:v>
      </x:c>
    </x:row>
    <x:row r="2080" ht="24" customHeight="1">
      <x:c r="A2080" s="12" t="str">
        <x:v>20024</x:v>
      </x:c>
      <x:c r="B2080" s="12" t="str">
        <x:v>20736</x:v>
      </x:c>
      <x:c r="C2080" s="21" t="n">
        <x:v>36137.358773148146</x:v>
      </x:c>
      <x:c r="D2080" s="12" t="n">
        <x:v>62</x:v>
      </x:c>
      <x:c r="E2080" s="12" t="n">
        <x:v>0</x:v>
      </x:c>
      <x:c r="F2080" s="12" t="str">
        <x:v>存在</x:v>
      </x:c>
      <x:c r="G2080" s="12" t="n">
        <x:v>0</x:v>
      </x:c>
      <x:c r="H2080" s="12" t="str">
        <x:v>{'NDT': 100.0, 'SR': 0.0}</x:v>
      </x:c>
      <x:c r="I2080" s="12" t="str">
        <x:v>[('SBRAD', 100.0), ('IMI;AU', 15.0), ('AB', 100.0)]</x:v>
      </x:c>
      <x:c r="J2080" s="12" t="str">
        <x:v>ptbxl_database.csv；ecg_id=20024；scp_codes</x:v>
      </x:c>
      <x:c r="K2080" s="12" t="str">
        <x:v>12sl_statements.csv；ecg_id=20024；statements_ext_snomed</x:v>
      </x:c>
      <x:c r="L2080" s="12"/>
      <x:c r="M2080" s="12" t="str">
        <x:v>negative</x:v>
      </x:c>
      <x:c r="N2080" s="12"/>
      <x:c r="O2080" s="12" t="str">
        <x:v>negative</x:v>
      </x:c>
      <x:c r="P2080" s="12" t="str">
        <x:f>IF(OR(M2080="unavailable",O2080="unavailable"),"不可评价",IF(OR(M2080="equivocal",O2080="equivocal"),"疑似",IF(AND(M2080="positive",O2080="positive"),"a",IF(O2080="positive","b",IF(M2080="positive","c","d")))))</x:f>
        <x:v>d</x:v>
      </x:c>
      <x:c r="Q2080" s="12"/>
      <x:c r="R2080" s="12" t="str">
        <x:v>negative</x:v>
      </x:c>
      <x:c r="S2080" s="12"/>
      <x:c r="T2080" s="12" t="str">
        <x:v>negative</x:v>
      </x:c>
      <x:c r="U2080" s="12" t="str">
        <x:f>IF(OR(R2080="unavailable",T2080="unavailable"),"不可评价",IF(OR(R2080="equivocal",T2080="equivocal"),"疑似",IF(AND(R2080="positive",T2080="positive"),"a",IF(T2080="positive","b",IF(R2080="positive","c","d")))))</x:f>
        <x:v>d</x:v>
      </x:c>
      <x:c r="V2080" s="12"/>
      <x:c r="W2080" s="12" t="str">
        <x:v>negative</x:v>
      </x:c>
      <x:c r="X2080" s="12"/>
      <x:c r="Y2080" s="12" t="str">
        <x:v>negative</x:v>
      </x:c>
      <x:c r="Z2080" s="12" t="str">
        <x:f>IF(OR(W2080="unavailable",Y2080="unavailable"),"不可评价",IF(OR(W2080="equivocal",Y2080="equivocal"),"疑似",IF(AND(W2080="positive",Y2080="positive"),"a",IF(Y2080="positive","b",IF(W2080="positive","c","d")))))</x:f>
        <x:v>d</x:v>
      </x:c>
      <x:c r="AA2080" s="12" t="str">
        <x:f>IF(OR(M2080="unavailable",O2080="unavailable"),"不可评价",IF(AND(OR(M2080="positive",M2080="equivocal"),OR(O2080="positive",O2080="equivocal")),"a",IF(OR(O2080="positive",O2080="equivocal"),"b",IF(OR(M2080="positive",M2080="equivocal"),"c","d"))))</x:f>
        <x:v>d</x:v>
      </x:c>
      <x:c r="AB2080" s="12" t="str">
        <x:f>IF(OR(M2080="unavailable",O2080="unavailable"),"不可评价",IF(AND(M2080="positive",O2080="positive"),"a",IF(O2080="positive","b",IF(M2080="positive","c","d"))))</x:f>
        <x:v>d</x:v>
      </x:c>
      <x:c r="AC2080" s="12" t="str">
        <x:f>IF(OR(R2080="unavailable",T2080="unavailable"),"不可评价",IF(AND(OR(R2080="positive",R2080="equivocal"),OR(T2080="positive",T2080="equivocal")),"a",IF(OR(T2080="positive",T2080="equivocal"),"b",IF(OR(R2080="positive",R2080="equivocal"),"c","d"))))</x:f>
        <x:v>d</x:v>
      </x:c>
      <x:c r="AD2080" s="12" t="str">
        <x:f>IF(OR(R2080="unavailable",T2080="unavailable"),"不可评价",IF(AND(R2080="positive",T2080="positive"),"a",IF(T2080="positive","b",IF(R2080="positive","c","d"))))</x:f>
        <x:v>d</x:v>
      </x:c>
      <x:c r="AE2080" s="12" t="str">
        <x:f>IF(OR(W2080="unavailable",Y2080="unavailable"),"不可评价",IF(AND(OR(W2080="positive",W2080="equivocal"),OR(Y2080="positive",Y2080="equivocal")),"a",IF(OR(Y2080="positive",Y2080="equivocal"),"b",IF(OR(W2080="positive",W2080="equivocal"),"c","d"))))</x:f>
        <x:v>d</x:v>
      </x:c>
      <x:c r="AF2080" s="12" t="str">
        <x:f>IF(OR(W2080="unavailable",Y2080="unavailable"),"不可评价",IF(AND(W2080="positive",Y2080="positive"),"a",IF(Y2080="positive","b",IF(W2080="positive","c","d"))))</x:f>
        <x:v>d</x:v>
      </x:c>
    </x:row>
    <x:row r="2081" ht="24" customHeight="1">
      <x:c r="A2081" s="12" t="str">
        <x:v>20037</x:v>
      </x:c>
      <x:c r="B2081" s="12" t="str">
        <x:v>13306</x:v>
      </x:c>
      <x:c r="C2081" s="21" t="n">
        <x:v>36141.32082175926</x:v>
      </x:c>
      <x:c r="D2081" s="12" t="n">
        <x:v>65</x:v>
      </x:c>
      <x:c r="E2081" s="12" t="n">
        <x:v>1</x:v>
      </x:c>
      <x:c r="F2081" s="12" t="str">
        <x:v>未记录</x:v>
      </x:c>
      <x:c r="G2081" s="12" t="n">
        <x:v>0</x:v>
      </x:c>
      <x:c r="H2081" s="12" t="str">
        <x:v>{'NORM': 100.0, 'SR': 0.0}</x:v>
      </x:c>
      <x:c r="I2081" s="12" t="str">
        <x:v>[('NSR', 100.0), ('NML', 100.0)]</x:v>
      </x:c>
      <x:c r="J2081" s="12" t="str">
        <x:v>ptbxl_database.csv；ecg_id=20037；scp_codes</x:v>
      </x:c>
      <x:c r="K2081" s="12" t="str">
        <x:v>12sl_statements.csv；ecg_id=20037；statements_ext_snomed</x:v>
      </x:c>
      <x:c r="L2081" s="12"/>
      <x:c r="M2081" s="12" t="str">
        <x:v>negative</x:v>
      </x:c>
      <x:c r="N2081" s="12"/>
      <x:c r="O2081" s="12" t="str">
        <x:v>negative</x:v>
      </x:c>
      <x:c r="P2081" s="12" t="str">
        <x:f>IF(OR(M2081="unavailable",O2081="unavailable"),"不可评价",IF(OR(M2081="equivocal",O2081="equivocal"),"疑似",IF(AND(M2081="positive",O2081="positive"),"a",IF(O2081="positive","b",IF(M2081="positive","c","d")))))</x:f>
        <x:v>d</x:v>
      </x:c>
      <x:c r="Q2081" s="12"/>
      <x:c r="R2081" s="12" t="str">
        <x:v>negative</x:v>
      </x:c>
      <x:c r="S2081" s="12"/>
      <x:c r="T2081" s="12" t="str">
        <x:v>negative</x:v>
      </x:c>
      <x:c r="U2081" s="12" t="str">
        <x:f>IF(OR(R2081="unavailable",T2081="unavailable"),"不可评价",IF(OR(R2081="equivocal",T2081="equivocal"),"疑似",IF(AND(R2081="positive",T2081="positive"),"a",IF(T2081="positive","b",IF(R2081="positive","c","d")))))</x:f>
        <x:v>d</x:v>
      </x:c>
      <x:c r="V2081" s="12"/>
      <x:c r="W2081" s="12" t="str">
        <x:v>negative</x:v>
      </x:c>
      <x:c r="X2081" s="12"/>
      <x:c r="Y2081" s="12" t="str">
        <x:v>negative</x:v>
      </x:c>
      <x:c r="Z2081" s="12" t="str">
        <x:f>IF(OR(W2081="unavailable",Y2081="unavailable"),"不可评价",IF(OR(W2081="equivocal",Y2081="equivocal"),"疑似",IF(AND(W2081="positive",Y2081="positive"),"a",IF(Y2081="positive","b",IF(W2081="positive","c","d")))))</x:f>
        <x:v>d</x:v>
      </x:c>
      <x:c r="AA2081" s="12" t="str">
        <x:f>IF(OR(M2081="unavailable",O2081="unavailable"),"不可评价",IF(AND(OR(M2081="positive",M2081="equivocal"),OR(O2081="positive",O2081="equivocal")),"a",IF(OR(O2081="positive",O2081="equivocal"),"b",IF(OR(M2081="positive",M2081="equivocal"),"c","d"))))</x:f>
        <x:v>d</x:v>
      </x:c>
      <x:c r="AB2081" s="12" t="str">
        <x:f>IF(OR(M2081="unavailable",O2081="unavailable"),"不可评价",IF(AND(M2081="positive",O2081="positive"),"a",IF(O2081="positive","b",IF(M2081="positive","c","d"))))</x:f>
        <x:v>d</x:v>
      </x:c>
      <x:c r="AC2081" s="12" t="str">
        <x:f>IF(OR(R2081="unavailable",T2081="unavailable"),"不可评价",IF(AND(OR(R2081="positive",R2081="equivocal"),OR(T2081="positive",T2081="equivocal")),"a",IF(OR(T2081="positive",T2081="equivocal"),"b",IF(OR(R2081="positive",R2081="equivocal"),"c","d"))))</x:f>
        <x:v>d</x:v>
      </x:c>
      <x:c r="AD2081" s="12" t="str">
        <x:f>IF(OR(R2081="unavailable",T2081="unavailable"),"不可评价",IF(AND(R2081="positive",T2081="positive"),"a",IF(T2081="positive","b",IF(R2081="positive","c","d"))))</x:f>
        <x:v>d</x:v>
      </x:c>
      <x:c r="AE2081" s="12" t="str">
        <x:f>IF(OR(W2081="unavailable",Y2081="unavailable"),"不可评价",IF(AND(OR(W2081="positive",W2081="equivocal"),OR(Y2081="positive",Y2081="equivocal")),"a",IF(OR(Y2081="positive",Y2081="equivocal"),"b",IF(OR(W2081="positive",W2081="equivocal"),"c","d"))))</x:f>
        <x:v>d</x:v>
      </x:c>
      <x:c r="AF2081" s="12" t="str">
        <x:f>IF(OR(W2081="unavailable",Y2081="unavailable"),"不可评价",IF(AND(W2081="positive",Y2081="positive"),"a",IF(Y2081="positive","b",IF(W2081="positive","c","d"))))</x:f>
        <x:v>d</x:v>
      </x:c>
    </x:row>
    <x:row r="2082" ht="24" customHeight="1">
      <x:c r="A2082" s="12" t="str">
        <x:v>20049</x:v>
      </x:c>
      <x:c r="B2082" s="12" t="str">
        <x:v>21063</x:v>
      </x:c>
      <x:c r="C2082" s="21" t="n">
        <x:v>36143.48600694445</x:v>
      </x:c>
      <x:c r="D2082" s="12" t="n">
        <x:v>78</x:v>
      </x:c>
      <x:c r="E2082" s="12" t="n">
        <x:v>0</x:v>
      </x:c>
      <x:c r="F2082" s="12" t="str">
        <x:v>未记录</x:v>
      </x:c>
      <x:c r="G2082" s="12" t="n">
        <x:v>1</x:v>
      </x:c>
      <x:c r="H2082" s="12" t="str">
        <x:v>{'NDT': 100.0, 'SR': 0.0}</x:v>
      </x:c>
      <x:c r="I2082" s="12" t="str">
        <x:v>[('NSR', 100.0), ('NSTT', 100.0), ('AB', 100.0)]</x:v>
      </x:c>
      <x:c r="J2082" s="12" t="str">
        <x:v>ptbxl_database.csv；ecg_id=20049；scp_codes</x:v>
      </x:c>
      <x:c r="K2082" s="12" t="str">
        <x:v>12sl_statements.csv；ecg_id=20049；statements_ext_snomed</x:v>
      </x:c>
      <x:c r="L2082" s="12"/>
      <x:c r="M2082" s="12" t="str">
        <x:v>negative</x:v>
      </x:c>
      <x:c r="N2082" s="12"/>
      <x:c r="O2082" s="12" t="str">
        <x:v>negative</x:v>
      </x:c>
      <x:c r="P2082" s="12" t="str">
        <x:f>IF(OR(M2082="unavailable",O2082="unavailable"),"不可评价",IF(OR(M2082="equivocal",O2082="equivocal"),"疑似",IF(AND(M2082="positive",O2082="positive"),"a",IF(O2082="positive","b",IF(M2082="positive","c","d")))))</x:f>
        <x:v>d</x:v>
      </x:c>
      <x:c r="Q2082" s="12"/>
      <x:c r="R2082" s="12" t="str">
        <x:v>negative</x:v>
      </x:c>
      <x:c r="S2082" s="12"/>
      <x:c r="T2082" s="12" t="str">
        <x:v>negative</x:v>
      </x:c>
      <x:c r="U2082" s="12" t="str">
        <x:f>IF(OR(R2082="unavailable",T2082="unavailable"),"不可评价",IF(OR(R2082="equivocal",T2082="equivocal"),"疑似",IF(AND(R2082="positive",T2082="positive"),"a",IF(T2082="positive","b",IF(R2082="positive","c","d")))))</x:f>
        <x:v>d</x:v>
      </x:c>
      <x:c r="V2082" s="12"/>
      <x:c r="W2082" s="12" t="str">
        <x:v>negative</x:v>
      </x:c>
      <x:c r="X2082" s="12"/>
      <x:c r="Y2082" s="12" t="str">
        <x:v>negative</x:v>
      </x:c>
      <x:c r="Z2082" s="12" t="str">
        <x:f>IF(OR(W2082="unavailable",Y2082="unavailable"),"不可评价",IF(OR(W2082="equivocal",Y2082="equivocal"),"疑似",IF(AND(W2082="positive",Y2082="positive"),"a",IF(Y2082="positive","b",IF(W2082="positive","c","d")))))</x:f>
        <x:v>d</x:v>
      </x:c>
      <x:c r="AA2082" s="12" t="str">
        <x:f>IF(OR(M2082="unavailable",O2082="unavailable"),"不可评价",IF(AND(OR(M2082="positive",M2082="equivocal"),OR(O2082="positive",O2082="equivocal")),"a",IF(OR(O2082="positive",O2082="equivocal"),"b",IF(OR(M2082="positive",M2082="equivocal"),"c","d"))))</x:f>
        <x:v>d</x:v>
      </x:c>
      <x:c r="AB2082" s="12" t="str">
        <x:f>IF(OR(M2082="unavailable",O2082="unavailable"),"不可评价",IF(AND(M2082="positive",O2082="positive"),"a",IF(O2082="positive","b",IF(M2082="positive","c","d"))))</x:f>
        <x:v>d</x:v>
      </x:c>
      <x:c r="AC2082" s="12" t="str">
        <x:f>IF(OR(R2082="unavailable",T2082="unavailable"),"不可评价",IF(AND(OR(R2082="positive",R2082="equivocal"),OR(T2082="positive",T2082="equivocal")),"a",IF(OR(T2082="positive",T2082="equivocal"),"b",IF(OR(R2082="positive",R2082="equivocal"),"c","d"))))</x:f>
        <x:v>d</x:v>
      </x:c>
      <x:c r="AD2082" s="12" t="str">
        <x:f>IF(OR(R2082="unavailable",T2082="unavailable"),"不可评价",IF(AND(R2082="positive",T2082="positive"),"a",IF(T2082="positive","b",IF(R2082="positive","c","d"))))</x:f>
        <x:v>d</x:v>
      </x:c>
      <x:c r="AE2082" s="12" t="str">
        <x:f>IF(OR(W2082="unavailable",Y2082="unavailable"),"不可评价",IF(AND(OR(W2082="positive",W2082="equivocal"),OR(Y2082="positive",Y2082="equivocal")),"a",IF(OR(Y2082="positive",Y2082="equivocal"),"b",IF(OR(W2082="positive",W2082="equivocal"),"c","d"))))</x:f>
        <x:v>d</x:v>
      </x:c>
      <x:c r="AF2082" s="12" t="str">
        <x:f>IF(OR(W2082="unavailable",Y2082="unavailable"),"不可评价",IF(AND(W2082="positive",Y2082="positive"),"a",IF(Y2082="positive","b",IF(W2082="positive","c","d"))))</x:f>
        <x:v>d</x:v>
      </x:c>
    </x:row>
    <x:row r="2083" ht="24" customHeight="1">
      <x:c r="A2083" s="12" t="str">
        <x:v>20068</x:v>
      </x:c>
      <x:c r="B2083" s="12" t="str">
        <x:v>18081</x:v>
      </x:c>
      <x:c r="C2083" s="21" t="n">
        <x:v>36148.57695601852</x:v>
      </x:c>
      <x:c r="D2083" s="12" t="n">
        <x:v>67</x:v>
      </x:c>
      <x:c r="E2083" s="12" t="n">
        <x:v>0</x:v>
      </x:c>
      <x:c r="F2083" s="12" t="str">
        <x:v>未记录</x:v>
      </x:c>
      <x:c r="G2083" s="12" t="n">
        <x:v>1</x:v>
      </x:c>
      <x:c r="H2083" s="12" t="str">
        <x:v>{'ISCAL': 100.0, 'SR': 0.0}</x:v>
      </x:c>
      <x:c r="I2083" s="12" t="str">
        <x:v>[('SRTH', 100.0), ('PVC', 100.0), ('NSTT', 100.0), ('AB', 100.0)]</x:v>
      </x:c>
      <x:c r="J2083" s="12" t="str">
        <x:v>ptbxl_database.csv；ecg_id=20068；scp_codes</x:v>
      </x:c>
      <x:c r="K2083" s="12" t="str">
        <x:v>12sl_statements.csv；ecg_id=20068；statements_ext_snomed</x:v>
      </x:c>
      <x:c r="L2083" s="12"/>
      <x:c r="M2083" s="12" t="str">
        <x:v>negative</x:v>
      </x:c>
      <x:c r="N2083" s="12"/>
      <x:c r="O2083" s="12" t="str">
        <x:v>negative</x:v>
      </x:c>
      <x:c r="P2083" s="12" t="str">
        <x:f>IF(OR(M2083="unavailable",O2083="unavailable"),"不可评价",IF(OR(M2083="equivocal",O2083="equivocal"),"疑似",IF(AND(M2083="positive",O2083="positive"),"a",IF(O2083="positive","b",IF(M2083="positive","c","d")))))</x:f>
        <x:v>d</x:v>
      </x:c>
      <x:c r="Q2083" s="12"/>
      <x:c r="R2083" s="12" t="str">
        <x:v>negative</x:v>
      </x:c>
      <x:c r="S2083" s="12"/>
      <x:c r="T2083" s="12" t="str">
        <x:v>negative</x:v>
      </x:c>
      <x:c r="U2083" s="12" t="str">
        <x:f>IF(OR(R2083="unavailable",T2083="unavailable"),"不可评价",IF(OR(R2083="equivocal",T2083="equivocal"),"疑似",IF(AND(R2083="positive",T2083="positive"),"a",IF(T2083="positive","b",IF(R2083="positive","c","d")))))</x:f>
        <x:v>d</x:v>
      </x:c>
      <x:c r="V2083" s="12"/>
      <x:c r="W2083" s="12" t="str">
        <x:v>negative</x:v>
      </x:c>
      <x:c r="X2083" s="12"/>
      <x:c r="Y2083" s="12" t="str">
        <x:v>negative</x:v>
      </x:c>
      <x:c r="Z2083" s="12" t="str">
        <x:f>IF(OR(W2083="unavailable",Y2083="unavailable"),"不可评价",IF(OR(W2083="equivocal",Y2083="equivocal"),"疑似",IF(AND(W2083="positive",Y2083="positive"),"a",IF(Y2083="positive","b",IF(W2083="positive","c","d")))))</x:f>
        <x:v>d</x:v>
      </x:c>
      <x:c r="AA2083" s="12" t="str">
        <x:f>IF(OR(M2083="unavailable",O2083="unavailable"),"不可评价",IF(AND(OR(M2083="positive",M2083="equivocal"),OR(O2083="positive",O2083="equivocal")),"a",IF(OR(O2083="positive",O2083="equivocal"),"b",IF(OR(M2083="positive",M2083="equivocal"),"c","d"))))</x:f>
        <x:v>d</x:v>
      </x:c>
      <x:c r="AB2083" s="12" t="str">
        <x:f>IF(OR(M2083="unavailable",O2083="unavailable"),"不可评价",IF(AND(M2083="positive",O2083="positive"),"a",IF(O2083="positive","b",IF(M2083="positive","c","d"))))</x:f>
        <x:v>d</x:v>
      </x:c>
      <x:c r="AC2083" s="12" t="str">
        <x:f>IF(OR(R2083="unavailable",T2083="unavailable"),"不可评价",IF(AND(OR(R2083="positive",R2083="equivocal"),OR(T2083="positive",T2083="equivocal")),"a",IF(OR(T2083="positive",T2083="equivocal"),"b",IF(OR(R2083="positive",R2083="equivocal"),"c","d"))))</x:f>
        <x:v>d</x:v>
      </x:c>
      <x:c r="AD2083" s="12" t="str">
        <x:f>IF(OR(R2083="unavailable",T2083="unavailable"),"不可评价",IF(AND(R2083="positive",T2083="positive"),"a",IF(T2083="positive","b",IF(R2083="positive","c","d"))))</x:f>
        <x:v>d</x:v>
      </x:c>
      <x:c r="AE2083" s="12" t="str">
        <x:f>IF(OR(W2083="unavailable",Y2083="unavailable"),"不可评价",IF(AND(OR(W2083="positive",W2083="equivocal"),OR(Y2083="positive",Y2083="equivocal")),"a",IF(OR(Y2083="positive",Y2083="equivocal"),"b",IF(OR(W2083="positive",W2083="equivocal"),"c","d"))))</x:f>
        <x:v>d</x:v>
      </x:c>
      <x:c r="AF2083" s="12" t="str">
        <x:f>IF(OR(W2083="unavailable",Y2083="unavailable"),"不可评价",IF(AND(W2083="positive",Y2083="positive"),"a",IF(Y2083="positive","b",IF(W2083="positive","c","d"))))</x:f>
        <x:v>d</x:v>
      </x:c>
    </x:row>
    <x:row r="2084" ht="24" customHeight="1">
      <x:c r="A2084" s="12" t="str">
        <x:v>20079</x:v>
      </x:c>
      <x:c r="B2084" s="12" t="str">
        <x:v>19732</x:v>
      </x:c>
      <x:c r="C2084" s="21" t="n">
        <x:v>36150.531064814815</x:v>
      </x:c>
      <x:c r="D2084" s="12" t="n">
        <x:v>76</x:v>
      </x:c>
      <x:c r="E2084" s="12" t="n">
        <x:v>0</x:v>
      </x:c>
      <x:c r="F2084" s="12" t="str">
        <x:v>未记录</x:v>
      </x:c>
      <x:c r="G2084" s="12" t="n">
        <x:v>1</x:v>
      </x:c>
      <x:c r="H2084" s="12" t="str">
        <x:v>{'ILMI': 100.0, 'ASMI': 15.0, 'ABQRS': 0.0, 'SR': 0.0}</x:v>
      </x:c>
      <x:c r="I2084" s="12" t="str">
        <x:v>[('NSR', 100.0), ('IMI;AU', 100.0), ('ALMI;AU', 100.0), ('AB', 100.0)]</x:v>
      </x:c>
      <x:c r="J2084" s="12" t="str">
        <x:v>ptbxl_database.csv；ecg_id=20079；scp_codes</x:v>
      </x:c>
      <x:c r="K2084" s="12" t="str">
        <x:v>12sl_statements.csv；ecg_id=20079；statements_ext_snomed</x:v>
      </x:c>
      <x:c r="L2084" s="12"/>
      <x:c r="M2084" s="12" t="str">
        <x:v>negative</x:v>
      </x:c>
      <x:c r="N2084" s="12"/>
      <x:c r="O2084" s="12" t="str">
        <x:v>negative</x:v>
      </x:c>
      <x:c r="P2084" s="12" t="str">
        <x:f>IF(OR(M2084="unavailable",O2084="unavailable"),"不可评价",IF(OR(M2084="equivocal",O2084="equivocal"),"疑似",IF(AND(M2084="positive",O2084="positive"),"a",IF(O2084="positive","b",IF(M2084="positive","c","d")))))</x:f>
        <x:v>d</x:v>
      </x:c>
      <x:c r="Q2084" s="12"/>
      <x:c r="R2084" s="12" t="str">
        <x:v>negative</x:v>
      </x:c>
      <x:c r="S2084" s="12"/>
      <x:c r="T2084" s="12" t="str">
        <x:v>negative</x:v>
      </x:c>
      <x:c r="U2084" s="12" t="str">
        <x:f>IF(OR(R2084="unavailable",T2084="unavailable"),"不可评价",IF(OR(R2084="equivocal",T2084="equivocal"),"疑似",IF(AND(R2084="positive",T2084="positive"),"a",IF(T2084="positive","b",IF(R2084="positive","c","d")))))</x:f>
        <x:v>d</x:v>
      </x:c>
      <x:c r="V2084" s="12"/>
      <x:c r="W2084" s="12" t="str">
        <x:v>negative</x:v>
      </x:c>
      <x:c r="X2084" s="12"/>
      <x:c r="Y2084" s="12" t="str">
        <x:v>negative</x:v>
      </x:c>
      <x:c r="Z2084" s="12" t="str">
        <x:f>IF(OR(W2084="unavailable",Y2084="unavailable"),"不可评价",IF(OR(W2084="equivocal",Y2084="equivocal"),"疑似",IF(AND(W2084="positive",Y2084="positive"),"a",IF(Y2084="positive","b",IF(W2084="positive","c","d")))))</x:f>
        <x:v>d</x:v>
      </x:c>
      <x:c r="AA2084" s="12" t="str">
        <x:f>IF(OR(M2084="unavailable",O2084="unavailable"),"不可评价",IF(AND(OR(M2084="positive",M2084="equivocal"),OR(O2084="positive",O2084="equivocal")),"a",IF(OR(O2084="positive",O2084="equivocal"),"b",IF(OR(M2084="positive",M2084="equivocal"),"c","d"))))</x:f>
        <x:v>d</x:v>
      </x:c>
      <x:c r="AB2084" s="12" t="str">
        <x:f>IF(OR(M2084="unavailable",O2084="unavailable"),"不可评价",IF(AND(M2084="positive",O2084="positive"),"a",IF(O2084="positive","b",IF(M2084="positive","c","d"))))</x:f>
        <x:v>d</x:v>
      </x:c>
      <x:c r="AC2084" s="12" t="str">
        <x:f>IF(OR(R2084="unavailable",T2084="unavailable"),"不可评价",IF(AND(OR(R2084="positive",R2084="equivocal"),OR(T2084="positive",T2084="equivocal")),"a",IF(OR(T2084="positive",T2084="equivocal"),"b",IF(OR(R2084="positive",R2084="equivocal"),"c","d"))))</x:f>
        <x:v>d</x:v>
      </x:c>
      <x:c r="AD2084" s="12" t="str">
        <x:f>IF(OR(R2084="unavailable",T2084="unavailable"),"不可评价",IF(AND(R2084="positive",T2084="positive"),"a",IF(T2084="positive","b",IF(R2084="positive","c","d"))))</x:f>
        <x:v>d</x:v>
      </x:c>
      <x:c r="AE2084" s="12" t="str">
        <x:f>IF(OR(W2084="unavailable",Y2084="unavailable"),"不可评价",IF(AND(OR(W2084="positive",W2084="equivocal"),OR(Y2084="positive",Y2084="equivocal")),"a",IF(OR(Y2084="positive",Y2084="equivocal"),"b",IF(OR(W2084="positive",W2084="equivocal"),"c","d"))))</x:f>
        <x:v>d</x:v>
      </x:c>
      <x:c r="AF2084" s="12" t="str">
        <x:f>IF(OR(W2084="unavailable",Y2084="unavailable"),"不可评价",IF(AND(W2084="positive",Y2084="positive"),"a",IF(Y2084="positive","b",IF(W2084="positive","c","d"))))</x:f>
        <x:v>d</x:v>
      </x:c>
    </x:row>
    <x:row r="2085" ht="24" customHeight="1">
      <x:c r="A2085" s="12" t="str">
        <x:v>20084</x:v>
      </x:c>
      <x:c r="B2085" s="12" t="str">
        <x:v>21624</x:v>
      </x:c>
      <x:c r="C2085" s="21" t="n">
        <x:v>36152.45055555556</x:v>
      </x:c>
      <x:c r="D2085" s="12" t="n">
        <x:v>72</x:v>
      </x:c>
      <x:c r="E2085" s="12" t="n">
        <x:v>0</x:v>
      </x:c>
      <x:c r="F2085" s="12" t="str">
        <x:v>未记录</x:v>
      </x:c>
      <x:c r="G2085" s="12" t="n">
        <x:v>1</x:v>
      </x:c>
      <x:c r="H2085" s="12" t="str">
        <x:v>{'ISCAL': 100.0, 'ISCIN': 100.0, 'AFIB': 0.0}</x:v>
      </x:c>
      <x:c r="I2085" s="12" t="str">
        <x:v>[('AFIB', 100.0), ('RVR', 100.0), ('ST&amp;', 100.0), ('ILT', 100.0), ('AB', 100.0)]</x:v>
      </x:c>
      <x:c r="J2085" s="12" t="str">
        <x:v>ptbxl_database.csv；ecg_id=20084；scp_codes</x:v>
      </x:c>
      <x:c r="K2085" s="12" t="str">
        <x:v>12sl_statements.csv；ecg_id=20084；statements_ext_snomed</x:v>
      </x:c>
      <x:c r="L2085" s="12" t="n">
        <x:v>0</x:v>
      </x:c>
      <x:c r="M2085" s="12" t="str">
        <x:v>positive</x:v>
      </x:c>
      <x:c r="N2085" s="12" t="n">
        <x:v>100</x:v>
      </x:c>
      <x:c r="O2085" s="12" t="str">
        <x:v>positive</x:v>
      </x:c>
      <x:c r="P2085" s="12" t="str">
        <x:f>IF(OR(M2085="unavailable",O2085="unavailable"),"不可评价",IF(OR(M2085="equivocal",O2085="equivocal"),"疑似",IF(AND(M2085="positive",O2085="positive"),"a",IF(O2085="positive","b",IF(M2085="positive","c","d")))))</x:f>
        <x:v>a</x:v>
      </x:c>
      <x:c r="Q2085" s="12"/>
      <x:c r="R2085" s="12" t="str">
        <x:v>negative</x:v>
      </x:c>
      <x:c r="S2085" s="12"/>
      <x:c r="T2085" s="12" t="str">
        <x:v>negative</x:v>
      </x:c>
      <x:c r="U2085" s="12" t="str">
        <x:f>IF(OR(R2085="unavailable",T2085="unavailable"),"不可评价",IF(OR(R2085="equivocal",T2085="equivocal"),"疑似",IF(AND(R2085="positive",T2085="positive"),"a",IF(T2085="positive","b",IF(R2085="positive","c","d")))))</x:f>
        <x:v>d</x:v>
      </x:c>
      <x:c r="V2085" s="12"/>
      <x:c r="W2085" s="12" t="str">
        <x:v>negative</x:v>
      </x:c>
      <x:c r="X2085" s="12"/>
      <x:c r="Y2085" s="12" t="str">
        <x:v>negative</x:v>
      </x:c>
      <x:c r="Z2085" s="12" t="str">
        <x:f>IF(OR(W2085="unavailable",Y2085="unavailable"),"不可评价",IF(OR(W2085="equivocal",Y2085="equivocal"),"疑似",IF(AND(W2085="positive",Y2085="positive"),"a",IF(Y2085="positive","b",IF(W2085="positive","c","d")))))</x:f>
        <x:v>d</x:v>
      </x:c>
      <x:c r="AA2085" s="12" t="str">
        <x:f>IF(OR(M2085="unavailable",O2085="unavailable"),"不可评价",IF(AND(OR(M2085="positive",M2085="equivocal"),OR(O2085="positive",O2085="equivocal")),"a",IF(OR(O2085="positive",O2085="equivocal"),"b",IF(OR(M2085="positive",M2085="equivocal"),"c","d"))))</x:f>
        <x:v>a</x:v>
      </x:c>
      <x:c r="AB2085" s="12" t="str">
        <x:f>IF(OR(M2085="unavailable",O2085="unavailable"),"不可评价",IF(AND(M2085="positive",O2085="positive"),"a",IF(O2085="positive","b",IF(M2085="positive","c","d"))))</x:f>
        <x:v>a</x:v>
      </x:c>
      <x:c r="AC2085" s="12" t="str">
        <x:f>IF(OR(R2085="unavailable",T2085="unavailable"),"不可评价",IF(AND(OR(R2085="positive",R2085="equivocal"),OR(T2085="positive",T2085="equivocal")),"a",IF(OR(T2085="positive",T2085="equivocal"),"b",IF(OR(R2085="positive",R2085="equivocal"),"c","d"))))</x:f>
        <x:v>d</x:v>
      </x:c>
      <x:c r="AD2085" s="12" t="str">
        <x:f>IF(OR(R2085="unavailable",T2085="unavailable"),"不可评价",IF(AND(R2085="positive",T2085="positive"),"a",IF(T2085="positive","b",IF(R2085="positive","c","d"))))</x:f>
        <x:v>d</x:v>
      </x:c>
      <x:c r="AE2085" s="12" t="str">
        <x:f>IF(OR(W2085="unavailable",Y2085="unavailable"),"不可评价",IF(AND(OR(W2085="positive",W2085="equivocal"),OR(Y2085="positive",Y2085="equivocal")),"a",IF(OR(Y2085="positive",Y2085="equivocal"),"b",IF(OR(W2085="positive",W2085="equivocal"),"c","d"))))</x:f>
        <x:v>d</x:v>
      </x:c>
      <x:c r="AF2085" s="12" t="str">
        <x:f>IF(OR(W2085="unavailable",Y2085="unavailable"),"不可评价",IF(AND(W2085="positive",Y2085="positive"),"a",IF(Y2085="positive","b",IF(W2085="positive","c","d"))))</x:f>
        <x:v>d</x:v>
      </x:c>
    </x:row>
    <x:row r="2086" ht="24" customHeight="1">
      <x:c r="A2086" s="12" t="str">
        <x:v>20085</x:v>
      </x:c>
      <x:c r="B2086" s="12" t="str">
        <x:v>14180</x:v>
      </x:c>
      <x:c r="C2086" s="21" t="n">
        <x:v>36153.444236111114</x:v>
      </x:c>
      <x:c r="D2086" s="12" t="n">
        <x:v>74</x:v>
      </x:c>
      <x:c r="E2086" s="12" t="n">
        <x:v>1</x:v>
      </x:c>
      <x:c r="F2086" s="12" t="str">
        <x:v>存在</x:v>
      </x:c>
      <x:c r="G2086" s="12" t="n">
        <x:v>1</x:v>
      </x:c>
      <x:c r="H2086" s="12" t="str">
        <x:v>{'AFLT': 100.0, 'AFIB': 0.0}</x:v>
      </x:c>
      <x:c r="I2086" s="12" t="str">
        <x:v>[('FLUT', 100.0), ('VAVB', 100.0), ('AB', 100.0)]</x:v>
      </x:c>
      <x:c r="J2086" s="12" t="str">
        <x:v>ptbxl_database.csv；ecg_id=20085；scp_codes</x:v>
      </x:c>
      <x:c r="K2086" s="12" t="str">
        <x:v>12sl_statements.csv；ecg_id=20085；statements_ext_snomed</x:v>
      </x:c>
      <x:c r="L2086" s="12" t="n">
        <x:v>0</x:v>
      </x:c>
      <x:c r="M2086" s="12" t="str">
        <x:v>positive</x:v>
      </x:c>
      <x:c r="N2086" s="12"/>
      <x:c r="O2086" s="12" t="str">
        <x:v>negative</x:v>
      </x:c>
      <x:c r="P2086" s="12" t="str">
        <x:f>IF(OR(M2086="unavailable",O2086="unavailable"),"不可评价",IF(OR(M2086="equivocal",O2086="equivocal"),"疑似",IF(AND(M2086="positive",O2086="positive"),"a",IF(O2086="positive","b",IF(M2086="positive","c","d")))))</x:f>
        <x:v>c</x:v>
      </x:c>
      <x:c r="Q2086" s="12"/>
      <x:c r="R2086" s="12" t="str">
        <x:v>negative</x:v>
      </x:c>
      <x:c r="S2086" s="12"/>
      <x:c r="T2086" s="12" t="str">
        <x:v>negative</x:v>
      </x:c>
      <x:c r="U2086" s="12" t="str">
        <x:f>IF(OR(R2086="unavailable",T2086="unavailable"),"不可评价",IF(OR(R2086="equivocal",T2086="equivocal"),"疑似",IF(AND(R2086="positive",T2086="positive"),"a",IF(T2086="positive","b",IF(R2086="positive","c","d")))))</x:f>
        <x:v>d</x:v>
      </x:c>
      <x:c r="V2086" s="12"/>
      <x:c r="W2086" s="12" t="str">
        <x:v>negative</x:v>
      </x:c>
      <x:c r="X2086" s="12"/>
      <x:c r="Y2086" s="12" t="str">
        <x:v>negative</x:v>
      </x:c>
      <x:c r="Z2086" s="12" t="str">
        <x:f>IF(OR(W2086="unavailable",Y2086="unavailable"),"不可评价",IF(OR(W2086="equivocal",Y2086="equivocal"),"疑似",IF(AND(W2086="positive",Y2086="positive"),"a",IF(Y2086="positive","b",IF(W2086="positive","c","d")))))</x:f>
        <x:v>d</x:v>
      </x:c>
      <x:c r="AA2086" s="12" t="str">
        <x:f>IF(OR(M2086="unavailable",O2086="unavailable"),"不可评价",IF(AND(OR(M2086="positive",M2086="equivocal"),OR(O2086="positive",O2086="equivocal")),"a",IF(OR(O2086="positive",O2086="equivocal"),"b",IF(OR(M2086="positive",M2086="equivocal"),"c","d"))))</x:f>
        <x:v>c</x:v>
      </x:c>
      <x:c r="AB2086" s="12" t="str">
        <x:f>IF(OR(M2086="unavailable",O2086="unavailable"),"不可评价",IF(AND(M2086="positive",O2086="positive"),"a",IF(O2086="positive","b",IF(M2086="positive","c","d"))))</x:f>
        <x:v>c</x:v>
      </x:c>
      <x:c r="AC2086" s="12" t="str">
        <x:f>IF(OR(R2086="unavailable",T2086="unavailable"),"不可评价",IF(AND(OR(R2086="positive",R2086="equivocal"),OR(T2086="positive",T2086="equivocal")),"a",IF(OR(T2086="positive",T2086="equivocal"),"b",IF(OR(R2086="positive",R2086="equivocal"),"c","d"))))</x:f>
        <x:v>d</x:v>
      </x:c>
      <x:c r="AD2086" s="12" t="str">
        <x:f>IF(OR(R2086="unavailable",T2086="unavailable"),"不可评价",IF(AND(R2086="positive",T2086="positive"),"a",IF(T2086="positive","b",IF(R2086="positive","c","d"))))</x:f>
        <x:v>d</x:v>
      </x:c>
      <x:c r="AE2086" s="12" t="str">
        <x:f>IF(OR(W2086="unavailable",Y2086="unavailable"),"不可评价",IF(AND(OR(W2086="positive",W2086="equivocal"),OR(Y2086="positive",Y2086="equivocal")),"a",IF(OR(Y2086="positive",Y2086="equivocal"),"b",IF(OR(W2086="positive",W2086="equivocal"),"c","d"))))</x:f>
        <x:v>d</x:v>
      </x:c>
      <x:c r="AF2086" s="12" t="str">
        <x:f>IF(OR(W2086="unavailable",Y2086="unavailable"),"不可评价",IF(AND(W2086="positive",Y2086="positive"),"a",IF(Y2086="positive","b",IF(W2086="positive","c","d"))))</x:f>
        <x:v>d</x:v>
      </x:c>
    </x:row>
    <x:row r="2087" ht="24" customHeight="1">
      <x:c r="A2087" s="12" t="str">
        <x:v>20100</x:v>
      </x:c>
      <x:c r="B2087" s="12" t="str">
        <x:v>20027</x:v>
      </x:c>
      <x:c r="C2087" s="21" t="n">
        <x:v>36162.67270833333</x:v>
      </x:c>
      <x:c r="D2087" s="12" t="n">
        <x:v>57</x:v>
      </x:c>
      <x:c r="E2087" s="12" t="n">
        <x:v>1</x:v>
      </x:c>
      <x:c r="F2087" s="12" t="str">
        <x:v>未记录</x:v>
      </x:c>
      <x:c r="G2087" s="12" t="n">
        <x:v>1</x:v>
      </x:c>
      <x:c r="H2087" s="12" t="str">
        <x:v>{'CLBBB': 100.0, 'AFIB': 0.0}</x:v>
      </x:c>
      <x:c r="I2087" s="12" t="str">
        <x:v>[('AFIB', 100.0), ('LAD3', 100.0), ('LBBB', 100.0), ('AB', 100.0)]</x:v>
      </x:c>
      <x:c r="J2087" s="12" t="str">
        <x:v>ptbxl_database.csv；ecg_id=20100；scp_codes</x:v>
      </x:c>
      <x:c r="K2087" s="12" t="str">
        <x:v>12sl_statements.csv；ecg_id=20100；statements_ext_snomed</x:v>
      </x:c>
      <x:c r="L2087" s="12" t="n">
        <x:v>0</x:v>
      </x:c>
      <x:c r="M2087" s="12" t="str">
        <x:v>positive</x:v>
      </x:c>
      <x:c r="N2087" s="12" t="n">
        <x:v>100</x:v>
      </x:c>
      <x:c r="O2087" s="12" t="str">
        <x:v>positive</x:v>
      </x:c>
      <x:c r="P2087" s="12" t="str">
        <x:f>IF(OR(M2087="unavailable",O2087="unavailable"),"不可评价",IF(OR(M2087="equivocal",O2087="equivocal"),"疑似",IF(AND(M2087="positive",O2087="positive"),"a",IF(O2087="positive","b",IF(M2087="positive","c","d")))))</x:f>
        <x:v>a</x:v>
      </x:c>
      <x:c r="Q2087" s="12" t="n">
        <x:v>100</x:v>
      </x:c>
      <x:c r="R2087" s="12" t="str">
        <x:v>positive</x:v>
      </x:c>
      <x:c r="S2087" s="12" t="n">
        <x:v>100</x:v>
      </x:c>
      <x:c r="T2087" s="12" t="str">
        <x:v>positive</x:v>
      </x:c>
      <x:c r="U2087" s="12" t="str">
        <x:f>IF(OR(R2087="unavailable",T2087="unavailable"),"不可评价",IF(OR(R2087="equivocal",T2087="equivocal"),"疑似",IF(AND(R2087="positive",T2087="positive"),"a",IF(T2087="positive","b",IF(R2087="positive","c","d")))))</x:f>
        <x:v>a</x:v>
      </x:c>
      <x:c r="V2087" s="12"/>
      <x:c r="W2087" s="12" t="str">
        <x:v>negative</x:v>
      </x:c>
      <x:c r="X2087" s="12"/>
      <x:c r="Y2087" s="12" t="str">
        <x:v>negative</x:v>
      </x:c>
      <x:c r="Z2087" s="12" t="str">
        <x:f>IF(OR(W2087="unavailable",Y2087="unavailable"),"不可评价",IF(OR(W2087="equivocal",Y2087="equivocal"),"疑似",IF(AND(W2087="positive",Y2087="positive"),"a",IF(Y2087="positive","b",IF(W2087="positive","c","d")))))</x:f>
        <x:v>d</x:v>
      </x:c>
      <x:c r="AA2087" s="12" t="str">
        <x:f>IF(OR(M2087="unavailable",O2087="unavailable"),"不可评价",IF(AND(OR(M2087="positive",M2087="equivocal"),OR(O2087="positive",O2087="equivocal")),"a",IF(OR(O2087="positive",O2087="equivocal"),"b",IF(OR(M2087="positive",M2087="equivocal"),"c","d"))))</x:f>
        <x:v>a</x:v>
      </x:c>
      <x:c r="AB2087" s="12" t="str">
        <x:f>IF(OR(M2087="unavailable",O2087="unavailable"),"不可评价",IF(AND(M2087="positive",O2087="positive"),"a",IF(O2087="positive","b",IF(M2087="positive","c","d"))))</x:f>
        <x:v>a</x:v>
      </x:c>
      <x:c r="AC2087" s="12" t="str">
        <x:f>IF(OR(R2087="unavailable",T2087="unavailable"),"不可评价",IF(AND(OR(R2087="positive",R2087="equivocal"),OR(T2087="positive",T2087="equivocal")),"a",IF(OR(T2087="positive",T2087="equivocal"),"b",IF(OR(R2087="positive",R2087="equivocal"),"c","d"))))</x:f>
        <x:v>a</x:v>
      </x:c>
      <x:c r="AD2087" s="12" t="str">
        <x:f>IF(OR(R2087="unavailable",T2087="unavailable"),"不可评价",IF(AND(R2087="positive",T2087="positive"),"a",IF(T2087="positive","b",IF(R2087="positive","c","d"))))</x:f>
        <x:v>a</x:v>
      </x:c>
      <x:c r="AE2087" s="12" t="str">
        <x:f>IF(OR(W2087="unavailable",Y2087="unavailable"),"不可评价",IF(AND(OR(W2087="positive",W2087="equivocal"),OR(Y2087="positive",Y2087="equivocal")),"a",IF(OR(Y2087="positive",Y2087="equivocal"),"b",IF(OR(W2087="positive",W2087="equivocal"),"c","d"))))</x:f>
        <x:v>d</x:v>
      </x:c>
      <x:c r="AF2087" s="12" t="str">
        <x:f>IF(OR(W2087="unavailable",Y2087="unavailable"),"不可评价",IF(AND(W2087="positive",Y2087="positive"),"a",IF(Y2087="positive","b",IF(W2087="positive","c","d"))))</x:f>
        <x:v>d</x:v>
      </x:c>
    </x:row>
    <x:row r="2088" ht="24" customHeight="1">
      <x:c r="A2088" s="12" t="str">
        <x:v>20117</x:v>
      </x:c>
      <x:c r="B2088" s="12" t="str">
        <x:v>10217</x:v>
      </x:c>
      <x:c r="C2088" s="21" t="n">
        <x:v>36167.37091435185</x:v>
      </x:c>
      <x:c r="D2088" s="12" t="n">
        <x:v>73</x:v>
      </x:c>
      <x:c r="E2088" s="12" t="n">
        <x:v>1</x:v>
      </x:c>
      <x:c r="F2088" s="12" t="str">
        <x:v>未记录</x:v>
      </x:c>
      <x:c r="G2088" s="12" t="n">
        <x:v>1</x:v>
      </x:c>
      <x:c r="H2088" s="12" t="str">
        <x:v>{'NORM': 100.0, 'SR': 0.0}</x:v>
      </x:c>
      <x:c r="I2088" s="12" t="str">
        <x:v>[('NSR', 100.0), ('BORDE', 100.0)]</x:v>
      </x:c>
      <x:c r="J2088" s="12" t="str">
        <x:v>ptbxl_database.csv；ecg_id=20117；scp_codes</x:v>
      </x:c>
      <x:c r="K2088" s="12" t="str">
        <x:v>12sl_statements.csv；ecg_id=20117；statements_ext_snomed</x:v>
      </x:c>
      <x:c r="L2088" s="12"/>
      <x:c r="M2088" s="12" t="str">
        <x:v>negative</x:v>
      </x:c>
      <x:c r="N2088" s="12"/>
      <x:c r="O2088" s="12" t="str">
        <x:v>negative</x:v>
      </x:c>
      <x:c r="P2088" s="12" t="str">
        <x:f>IF(OR(M2088="unavailable",O2088="unavailable"),"不可评价",IF(OR(M2088="equivocal",O2088="equivocal"),"疑似",IF(AND(M2088="positive",O2088="positive"),"a",IF(O2088="positive","b",IF(M2088="positive","c","d")))))</x:f>
        <x:v>d</x:v>
      </x:c>
      <x:c r="Q2088" s="12"/>
      <x:c r="R2088" s="12" t="str">
        <x:v>negative</x:v>
      </x:c>
      <x:c r="S2088" s="12"/>
      <x:c r="T2088" s="12" t="str">
        <x:v>negative</x:v>
      </x:c>
      <x:c r="U2088" s="12" t="str">
        <x:f>IF(OR(R2088="unavailable",T2088="unavailable"),"不可评价",IF(OR(R2088="equivocal",T2088="equivocal"),"疑似",IF(AND(R2088="positive",T2088="positive"),"a",IF(T2088="positive","b",IF(R2088="positive","c","d")))))</x:f>
        <x:v>d</x:v>
      </x:c>
      <x:c r="V2088" s="12"/>
      <x:c r="W2088" s="12" t="str">
        <x:v>negative</x:v>
      </x:c>
      <x:c r="X2088" s="12"/>
      <x:c r="Y2088" s="12" t="str">
        <x:v>negative</x:v>
      </x:c>
      <x:c r="Z2088" s="12" t="str">
        <x:f>IF(OR(W2088="unavailable",Y2088="unavailable"),"不可评价",IF(OR(W2088="equivocal",Y2088="equivocal"),"疑似",IF(AND(W2088="positive",Y2088="positive"),"a",IF(Y2088="positive","b",IF(W2088="positive","c","d")))))</x:f>
        <x:v>d</x:v>
      </x:c>
      <x:c r="AA2088" s="12" t="str">
        <x:f>IF(OR(M2088="unavailable",O2088="unavailable"),"不可评价",IF(AND(OR(M2088="positive",M2088="equivocal"),OR(O2088="positive",O2088="equivocal")),"a",IF(OR(O2088="positive",O2088="equivocal"),"b",IF(OR(M2088="positive",M2088="equivocal"),"c","d"))))</x:f>
        <x:v>d</x:v>
      </x:c>
      <x:c r="AB2088" s="12" t="str">
        <x:f>IF(OR(M2088="unavailable",O2088="unavailable"),"不可评价",IF(AND(M2088="positive",O2088="positive"),"a",IF(O2088="positive","b",IF(M2088="positive","c","d"))))</x:f>
        <x:v>d</x:v>
      </x:c>
      <x:c r="AC2088" s="12" t="str">
        <x:f>IF(OR(R2088="unavailable",T2088="unavailable"),"不可评价",IF(AND(OR(R2088="positive",R2088="equivocal"),OR(T2088="positive",T2088="equivocal")),"a",IF(OR(T2088="positive",T2088="equivocal"),"b",IF(OR(R2088="positive",R2088="equivocal"),"c","d"))))</x:f>
        <x:v>d</x:v>
      </x:c>
      <x:c r="AD2088" s="12" t="str">
        <x:f>IF(OR(R2088="unavailable",T2088="unavailable"),"不可评价",IF(AND(R2088="positive",T2088="positive"),"a",IF(T2088="positive","b",IF(R2088="positive","c","d"))))</x:f>
        <x:v>d</x:v>
      </x:c>
      <x:c r="AE2088" s="12" t="str">
        <x:f>IF(OR(W2088="unavailable",Y2088="unavailable"),"不可评价",IF(AND(OR(W2088="positive",W2088="equivocal"),OR(Y2088="positive",Y2088="equivocal")),"a",IF(OR(Y2088="positive",Y2088="equivocal"),"b",IF(OR(W2088="positive",W2088="equivocal"),"c","d"))))</x:f>
        <x:v>d</x:v>
      </x:c>
      <x:c r="AF2088" s="12" t="str">
        <x:f>IF(OR(W2088="unavailable",Y2088="unavailable"),"不可评价",IF(AND(W2088="positive",Y2088="positive"),"a",IF(Y2088="positive","b",IF(W2088="positive","c","d"))))</x:f>
        <x:v>d</x:v>
      </x:c>
    </x:row>
    <x:row r="2089" ht="24" customHeight="1">
      <x:c r="A2089" s="12" t="str">
        <x:v>20120</x:v>
      </x:c>
      <x:c r="B2089" s="12" t="str">
        <x:v>20027</x:v>
      </x:c>
      <x:c r="C2089" s="21" t="n">
        <x:v>36167.467141203706</x:v>
      </x:c>
      <x:c r="D2089" s="12" t="n">
        <x:v>57</x:v>
      </x:c>
      <x:c r="E2089" s="12" t="n">
        <x:v>1</x:v>
      </x:c>
      <x:c r="F2089" s="12" t="str">
        <x:v>未记录</x:v>
      </x:c>
      <x:c r="G2089" s="12" t="n">
        <x:v>0</x:v>
      </x:c>
      <x:c r="H2089" s="12" t="str">
        <x:v>{'CLBBB': 100.0, 'SR': 0.0}</x:v>
      </x:c>
      <x:c r="I2089" s="12" t="str">
        <x:v>[('NSR', 100.0), ('LAE', 50.0), ('LAD3', 100.0), ('LBBB', 100.0), ('AB', 100.0)]</x:v>
      </x:c>
      <x:c r="J2089" s="12" t="str">
        <x:v>ptbxl_database.csv；ecg_id=20120；scp_codes</x:v>
      </x:c>
      <x:c r="K2089" s="12" t="str">
        <x:v>12sl_statements.csv；ecg_id=20120；statements_ext_snomed</x:v>
      </x:c>
      <x:c r="L2089" s="12"/>
      <x:c r="M2089" s="12" t="str">
        <x:v>negative</x:v>
      </x:c>
      <x:c r="N2089" s="12"/>
      <x:c r="O2089" s="12" t="str">
        <x:v>negative</x:v>
      </x:c>
      <x:c r="P2089" s="12" t="str">
        <x:f>IF(OR(M2089="unavailable",O2089="unavailable"),"不可评价",IF(OR(M2089="equivocal",O2089="equivocal"),"疑似",IF(AND(M2089="positive",O2089="positive"),"a",IF(O2089="positive","b",IF(M2089="positive","c","d")))))</x:f>
        <x:v>d</x:v>
      </x:c>
      <x:c r="Q2089" s="12" t="n">
        <x:v>100</x:v>
      </x:c>
      <x:c r="R2089" s="12" t="str">
        <x:v>positive</x:v>
      </x:c>
      <x:c r="S2089" s="12" t="n">
        <x:v>100</x:v>
      </x:c>
      <x:c r="T2089" s="12" t="str">
        <x:v>positive</x:v>
      </x:c>
      <x:c r="U2089" s="12" t="str">
        <x:f>IF(OR(R2089="unavailable",T2089="unavailable"),"不可评价",IF(OR(R2089="equivocal",T2089="equivocal"),"疑似",IF(AND(R2089="positive",T2089="positive"),"a",IF(T2089="positive","b",IF(R2089="positive","c","d")))))</x:f>
        <x:v>a</x:v>
      </x:c>
      <x:c r="V2089" s="12"/>
      <x:c r="W2089" s="12" t="str">
        <x:v>negative</x:v>
      </x:c>
      <x:c r="X2089" s="12"/>
      <x:c r="Y2089" s="12" t="str">
        <x:v>negative</x:v>
      </x:c>
      <x:c r="Z2089" s="12" t="str">
        <x:f>IF(OR(W2089="unavailable",Y2089="unavailable"),"不可评价",IF(OR(W2089="equivocal",Y2089="equivocal"),"疑似",IF(AND(W2089="positive",Y2089="positive"),"a",IF(Y2089="positive","b",IF(W2089="positive","c","d")))))</x:f>
        <x:v>d</x:v>
      </x:c>
      <x:c r="AA2089" s="12" t="str">
        <x:f>IF(OR(M2089="unavailable",O2089="unavailable"),"不可评价",IF(AND(OR(M2089="positive",M2089="equivocal"),OR(O2089="positive",O2089="equivocal")),"a",IF(OR(O2089="positive",O2089="equivocal"),"b",IF(OR(M2089="positive",M2089="equivocal"),"c","d"))))</x:f>
        <x:v>d</x:v>
      </x:c>
      <x:c r="AB2089" s="12" t="str">
        <x:f>IF(OR(M2089="unavailable",O2089="unavailable"),"不可评价",IF(AND(M2089="positive",O2089="positive"),"a",IF(O2089="positive","b",IF(M2089="positive","c","d"))))</x:f>
        <x:v>d</x:v>
      </x:c>
      <x:c r="AC2089" s="12" t="str">
        <x:f>IF(OR(R2089="unavailable",T2089="unavailable"),"不可评价",IF(AND(OR(R2089="positive",R2089="equivocal"),OR(T2089="positive",T2089="equivocal")),"a",IF(OR(T2089="positive",T2089="equivocal"),"b",IF(OR(R2089="positive",R2089="equivocal"),"c","d"))))</x:f>
        <x:v>a</x:v>
      </x:c>
      <x:c r="AD2089" s="12" t="str">
        <x:f>IF(OR(R2089="unavailable",T2089="unavailable"),"不可评价",IF(AND(R2089="positive",T2089="positive"),"a",IF(T2089="positive","b",IF(R2089="positive","c","d"))))</x:f>
        <x:v>a</x:v>
      </x:c>
      <x:c r="AE2089" s="12" t="str">
        <x:f>IF(OR(W2089="unavailable",Y2089="unavailable"),"不可评价",IF(AND(OR(W2089="positive",W2089="equivocal"),OR(Y2089="positive",Y2089="equivocal")),"a",IF(OR(Y2089="positive",Y2089="equivocal"),"b",IF(OR(W2089="positive",W2089="equivocal"),"c","d"))))</x:f>
        <x:v>d</x:v>
      </x:c>
      <x:c r="AF2089" s="12" t="str">
        <x:f>IF(OR(W2089="unavailable",Y2089="unavailable"),"不可评价",IF(AND(W2089="positive",Y2089="positive"),"a",IF(Y2089="positive","b",IF(W2089="positive","c","d"))))</x:f>
        <x:v>d</x:v>
      </x:c>
    </x:row>
    <x:row r="2090" ht="24" customHeight="1">
      <x:c r="A2090" s="12" t="str">
        <x:v>20127</x:v>
      </x:c>
      <x:c r="B2090" s="12" t="str">
        <x:v>18637</x:v>
      </x:c>
      <x:c r="C2090" s="21" t="n">
        <x:v>36168.517430555556</x:v>
      </x:c>
      <x:c r="D2090" s="12" t="n">
        <x:v>64</x:v>
      </x:c>
      <x:c r="E2090" s="12" t="n">
        <x:v>1</x:v>
      </x:c>
      <x:c r="F2090" s="12" t="str">
        <x:v>未记录</x:v>
      </x:c>
      <x:c r="G2090" s="12" t="n">
        <x:v>1</x:v>
      </x:c>
      <x:c r="H2090" s="12" t="str">
        <x:v>{'NORM': 80.0, 'SR': 0.0}</x:v>
      </x:c>
      <x:c r="I2090" s="12" t="str">
        <x:v>[('NSR', 100.0), ('NML', 100.0)]</x:v>
      </x:c>
      <x:c r="J2090" s="12" t="str">
        <x:v>ptbxl_database.csv；ecg_id=20127；scp_codes</x:v>
      </x:c>
      <x:c r="K2090" s="12" t="str">
        <x:v>12sl_statements.csv；ecg_id=20127；statements_ext_snomed</x:v>
      </x:c>
      <x:c r="L2090" s="12"/>
      <x:c r="M2090" s="12" t="str">
        <x:v>negative</x:v>
      </x:c>
      <x:c r="N2090" s="12"/>
      <x:c r="O2090" s="12" t="str">
        <x:v>negative</x:v>
      </x:c>
      <x:c r="P2090" s="12" t="str">
        <x:f>IF(OR(M2090="unavailable",O2090="unavailable"),"不可评价",IF(OR(M2090="equivocal",O2090="equivocal"),"疑似",IF(AND(M2090="positive",O2090="positive"),"a",IF(O2090="positive","b",IF(M2090="positive","c","d")))))</x:f>
        <x:v>d</x:v>
      </x:c>
      <x:c r="Q2090" s="12"/>
      <x:c r="R2090" s="12" t="str">
        <x:v>negative</x:v>
      </x:c>
      <x:c r="S2090" s="12"/>
      <x:c r="T2090" s="12" t="str">
        <x:v>negative</x:v>
      </x:c>
      <x:c r="U2090" s="12" t="str">
        <x:f>IF(OR(R2090="unavailable",T2090="unavailable"),"不可评价",IF(OR(R2090="equivocal",T2090="equivocal"),"疑似",IF(AND(R2090="positive",T2090="positive"),"a",IF(T2090="positive","b",IF(R2090="positive","c","d")))))</x:f>
        <x:v>d</x:v>
      </x:c>
      <x:c r="V2090" s="12"/>
      <x:c r="W2090" s="12" t="str">
        <x:v>negative</x:v>
      </x:c>
      <x:c r="X2090" s="12"/>
      <x:c r="Y2090" s="12" t="str">
        <x:v>negative</x:v>
      </x:c>
      <x:c r="Z2090" s="12" t="str">
        <x:f>IF(OR(W2090="unavailable",Y2090="unavailable"),"不可评价",IF(OR(W2090="equivocal",Y2090="equivocal"),"疑似",IF(AND(W2090="positive",Y2090="positive"),"a",IF(Y2090="positive","b",IF(W2090="positive","c","d")))))</x:f>
        <x:v>d</x:v>
      </x:c>
      <x:c r="AA2090" s="12" t="str">
        <x:f>IF(OR(M2090="unavailable",O2090="unavailable"),"不可评价",IF(AND(OR(M2090="positive",M2090="equivocal"),OR(O2090="positive",O2090="equivocal")),"a",IF(OR(O2090="positive",O2090="equivocal"),"b",IF(OR(M2090="positive",M2090="equivocal"),"c","d"))))</x:f>
        <x:v>d</x:v>
      </x:c>
      <x:c r="AB2090" s="12" t="str">
        <x:f>IF(OR(M2090="unavailable",O2090="unavailable"),"不可评价",IF(AND(M2090="positive",O2090="positive"),"a",IF(O2090="positive","b",IF(M2090="positive","c","d"))))</x:f>
        <x:v>d</x:v>
      </x:c>
      <x:c r="AC2090" s="12" t="str">
        <x:f>IF(OR(R2090="unavailable",T2090="unavailable"),"不可评价",IF(AND(OR(R2090="positive",R2090="equivocal"),OR(T2090="positive",T2090="equivocal")),"a",IF(OR(T2090="positive",T2090="equivocal"),"b",IF(OR(R2090="positive",R2090="equivocal"),"c","d"))))</x:f>
        <x:v>d</x:v>
      </x:c>
      <x:c r="AD2090" s="12" t="str">
        <x:f>IF(OR(R2090="unavailable",T2090="unavailable"),"不可评价",IF(AND(R2090="positive",T2090="positive"),"a",IF(T2090="positive","b",IF(R2090="positive","c","d"))))</x:f>
        <x:v>d</x:v>
      </x:c>
      <x:c r="AE2090" s="12" t="str">
        <x:f>IF(OR(W2090="unavailable",Y2090="unavailable"),"不可评价",IF(AND(OR(W2090="positive",W2090="equivocal"),OR(Y2090="positive",Y2090="equivocal")),"a",IF(OR(Y2090="positive",Y2090="equivocal"),"b",IF(OR(W2090="positive",W2090="equivocal"),"c","d"))))</x:f>
        <x:v>d</x:v>
      </x:c>
      <x:c r="AF2090" s="12" t="str">
        <x:f>IF(OR(W2090="unavailable",Y2090="unavailable"),"不可评价",IF(AND(W2090="positive",Y2090="positive"),"a",IF(Y2090="positive","b",IF(W2090="positive","c","d"))))</x:f>
        <x:v>d</x:v>
      </x:c>
    </x:row>
    <x:row r="2091" ht="24" customHeight="1">
      <x:c r="A2091" s="12" t="str">
        <x:v>20141</x:v>
      </x:c>
      <x:c r="B2091" s="12" t="str">
        <x:v>19955</x:v>
      </x:c>
      <x:c r="C2091" s="21" t="n">
        <x:v>36170.7518287037</x:v>
      </x:c>
      <x:c r="D2091" s="12" t="n">
        <x:v>300</x:v>
      </x:c>
      <x:c r="E2091" s="12" t="n">
        <x:v>0</x:v>
      </x:c>
      <x:c r="F2091" s="12" t="str">
        <x:v>未记录</x:v>
      </x:c>
      <x:c r="G2091" s="12" t="n">
        <x:v>1</x:v>
      </x:c>
      <x:c r="H2091" s="12" t="str">
        <x:v>{'LAFB': 100.0, 'SR': 0.0}</x:v>
      </x:c>
      <x:c r="I2091" s="12" t="str">
        <x:v>[('NSR', 100.0), ('PULD', 100.0), ('AFB', 100.0), ('NT', 100.0), ('AB', 100.0)]</x:v>
      </x:c>
      <x:c r="J2091" s="12" t="str">
        <x:v>ptbxl_database.csv；ecg_id=20141；scp_codes</x:v>
      </x:c>
      <x:c r="K2091" s="12" t="str">
        <x:v>12sl_statements.csv；ecg_id=20141；statements_ext_snomed</x:v>
      </x:c>
      <x:c r="L2091" s="12"/>
      <x:c r="M2091" s="12" t="str">
        <x:v>negative</x:v>
      </x:c>
      <x:c r="N2091" s="12"/>
      <x:c r="O2091" s="12" t="str">
        <x:v>negative</x:v>
      </x:c>
      <x:c r="P2091" s="12" t="str">
        <x:f>IF(OR(M2091="unavailable",O2091="unavailable"),"不可评价",IF(OR(M2091="equivocal",O2091="equivocal"),"疑似",IF(AND(M2091="positive",O2091="positive"),"a",IF(O2091="positive","b",IF(M2091="positive","c","d")))))</x:f>
        <x:v>d</x:v>
      </x:c>
      <x:c r="Q2091" s="12"/>
      <x:c r="R2091" s="12" t="str">
        <x:v>negative</x:v>
      </x:c>
      <x:c r="S2091" s="12"/>
      <x:c r="T2091" s="12" t="str">
        <x:v>negative</x:v>
      </x:c>
      <x:c r="U2091" s="12" t="str">
        <x:f>IF(OR(R2091="unavailable",T2091="unavailable"),"不可评价",IF(OR(R2091="equivocal",T2091="equivocal"),"疑似",IF(AND(R2091="positive",T2091="positive"),"a",IF(T2091="positive","b",IF(R2091="positive","c","d")))))</x:f>
        <x:v>d</x:v>
      </x:c>
      <x:c r="V2091" s="12"/>
      <x:c r="W2091" s="12" t="str">
        <x:v>negative</x:v>
      </x:c>
      <x:c r="X2091" s="12"/>
      <x:c r="Y2091" s="12" t="str">
        <x:v>negative</x:v>
      </x:c>
      <x:c r="Z2091" s="12" t="str">
        <x:f>IF(OR(W2091="unavailable",Y2091="unavailable"),"不可评价",IF(OR(W2091="equivocal",Y2091="equivocal"),"疑似",IF(AND(W2091="positive",Y2091="positive"),"a",IF(Y2091="positive","b",IF(W2091="positive","c","d")))))</x:f>
        <x:v>d</x:v>
      </x:c>
      <x:c r="AA2091" s="12" t="str">
        <x:f>IF(OR(M2091="unavailable",O2091="unavailable"),"不可评价",IF(AND(OR(M2091="positive",M2091="equivocal"),OR(O2091="positive",O2091="equivocal")),"a",IF(OR(O2091="positive",O2091="equivocal"),"b",IF(OR(M2091="positive",M2091="equivocal"),"c","d"))))</x:f>
        <x:v>d</x:v>
      </x:c>
      <x:c r="AB2091" s="12" t="str">
        <x:f>IF(OR(M2091="unavailable",O2091="unavailable"),"不可评价",IF(AND(M2091="positive",O2091="positive"),"a",IF(O2091="positive","b",IF(M2091="positive","c","d"))))</x:f>
        <x:v>d</x:v>
      </x:c>
      <x:c r="AC2091" s="12" t="str">
        <x:f>IF(OR(R2091="unavailable",T2091="unavailable"),"不可评价",IF(AND(OR(R2091="positive",R2091="equivocal"),OR(T2091="positive",T2091="equivocal")),"a",IF(OR(T2091="positive",T2091="equivocal"),"b",IF(OR(R2091="positive",R2091="equivocal"),"c","d"))))</x:f>
        <x:v>d</x:v>
      </x:c>
      <x:c r="AD2091" s="12" t="str">
        <x:f>IF(OR(R2091="unavailable",T2091="unavailable"),"不可评价",IF(AND(R2091="positive",T2091="positive"),"a",IF(T2091="positive","b",IF(R2091="positive","c","d"))))</x:f>
        <x:v>d</x:v>
      </x:c>
      <x:c r="AE2091" s="12" t="str">
        <x:f>IF(OR(W2091="unavailable",Y2091="unavailable"),"不可评价",IF(AND(OR(W2091="positive",W2091="equivocal"),OR(Y2091="positive",Y2091="equivocal")),"a",IF(OR(Y2091="positive",Y2091="equivocal"),"b",IF(OR(W2091="positive",W2091="equivocal"),"c","d"))))</x:f>
        <x:v>d</x:v>
      </x:c>
      <x:c r="AF2091" s="12" t="str">
        <x:f>IF(OR(W2091="unavailable",Y2091="unavailable"),"不可评价",IF(AND(W2091="positive",Y2091="positive"),"a",IF(Y2091="positive","b",IF(W2091="positive","c","d"))))</x:f>
        <x:v>d</x:v>
      </x:c>
    </x:row>
    <x:row r="2092" ht="24" customHeight="1">
      <x:c r="A2092" s="12" t="str">
        <x:v>20149</x:v>
      </x:c>
      <x:c r="B2092" s="12" t="str">
        <x:v>18033</x:v>
      </x:c>
      <x:c r="C2092" s="21" t="n">
        <x:v>36171.57649305555</x:v>
      </x:c>
      <x:c r="D2092" s="12" t="n">
        <x:v>19</x:v>
      </x:c>
      <x:c r="E2092" s="12" t="n">
        <x:v>0</x:v>
      </x:c>
      <x:c r="F2092" s="12" t="str">
        <x:v>未记录</x:v>
      </x:c>
      <x:c r="G2092" s="12" t="n">
        <x:v>1</x:v>
      </x:c>
      <x:c r="H2092" s="12" t="str">
        <x:v>{'NORM': 100.0, 'PAC': 100.0, 'SR': 0.0}</x:v>
      </x:c>
      <x:c r="I2092" s="12" t="str">
        <x:v>[('SRTH', 100.0), ('MSAR', 100.0), ('BORDE', 100.0)]</x:v>
      </x:c>
      <x:c r="J2092" s="12" t="str">
        <x:v>ptbxl_database.csv；ecg_id=20149；scp_codes</x:v>
      </x:c>
      <x:c r="K2092" s="12" t="str">
        <x:v>12sl_statements.csv；ecg_id=20149；statements_ext_snomed</x:v>
      </x:c>
      <x:c r="L2092" s="12"/>
      <x:c r="M2092" s="12" t="str">
        <x:v>negative</x:v>
      </x:c>
      <x:c r="N2092" s="12"/>
      <x:c r="O2092" s="12" t="str">
        <x:v>negative</x:v>
      </x:c>
      <x:c r="P2092" s="12" t="str">
        <x:f>IF(OR(M2092="unavailable",O2092="unavailable"),"不可评价",IF(OR(M2092="equivocal",O2092="equivocal"),"疑似",IF(AND(M2092="positive",O2092="positive"),"a",IF(O2092="positive","b",IF(M2092="positive","c","d")))))</x:f>
        <x:v>d</x:v>
      </x:c>
      <x:c r="Q2092" s="12"/>
      <x:c r="R2092" s="12" t="str">
        <x:v>negative</x:v>
      </x:c>
      <x:c r="S2092" s="12"/>
      <x:c r="T2092" s="12" t="str">
        <x:v>negative</x:v>
      </x:c>
      <x:c r="U2092" s="12" t="str">
        <x:f>IF(OR(R2092="unavailable",T2092="unavailable"),"不可评价",IF(OR(R2092="equivocal",T2092="equivocal"),"疑似",IF(AND(R2092="positive",T2092="positive"),"a",IF(T2092="positive","b",IF(R2092="positive","c","d")))))</x:f>
        <x:v>d</x:v>
      </x:c>
      <x:c r="V2092" s="12"/>
      <x:c r="W2092" s="12" t="str">
        <x:v>negative</x:v>
      </x:c>
      <x:c r="X2092" s="12"/>
      <x:c r="Y2092" s="12" t="str">
        <x:v>negative</x:v>
      </x:c>
      <x:c r="Z2092" s="12" t="str">
        <x:f>IF(OR(W2092="unavailable",Y2092="unavailable"),"不可评价",IF(OR(W2092="equivocal",Y2092="equivocal"),"疑似",IF(AND(W2092="positive",Y2092="positive"),"a",IF(Y2092="positive","b",IF(W2092="positive","c","d")))))</x:f>
        <x:v>d</x:v>
      </x:c>
      <x:c r="AA2092" s="12" t="str">
        <x:f>IF(OR(M2092="unavailable",O2092="unavailable"),"不可评价",IF(AND(OR(M2092="positive",M2092="equivocal"),OR(O2092="positive",O2092="equivocal")),"a",IF(OR(O2092="positive",O2092="equivocal"),"b",IF(OR(M2092="positive",M2092="equivocal"),"c","d"))))</x:f>
        <x:v>d</x:v>
      </x:c>
      <x:c r="AB2092" s="12" t="str">
        <x:f>IF(OR(M2092="unavailable",O2092="unavailable"),"不可评价",IF(AND(M2092="positive",O2092="positive"),"a",IF(O2092="positive","b",IF(M2092="positive","c","d"))))</x:f>
        <x:v>d</x:v>
      </x:c>
      <x:c r="AC2092" s="12" t="str">
        <x:f>IF(OR(R2092="unavailable",T2092="unavailable"),"不可评价",IF(AND(OR(R2092="positive",R2092="equivocal"),OR(T2092="positive",T2092="equivocal")),"a",IF(OR(T2092="positive",T2092="equivocal"),"b",IF(OR(R2092="positive",R2092="equivocal"),"c","d"))))</x:f>
        <x:v>d</x:v>
      </x:c>
      <x:c r="AD2092" s="12" t="str">
        <x:f>IF(OR(R2092="unavailable",T2092="unavailable"),"不可评价",IF(AND(R2092="positive",T2092="positive"),"a",IF(T2092="positive","b",IF(R2092="positive","c","d"))))</x:f>
        <x:v>d</x:v>
      </x:c>
      <x:c r="AE2092" s="12" t="str">
        <x:f>IF(OR(W2092="unavailable",Y2092="unavailable"),"不可评价",IF(AND(OR(W2092="positive",W2092="equivocal"),OR(Y2092="positive",Y2092="equivocal")),"a",IF(OR(Y2092="positive",Y2092="equivocal"),"b",IF(OR(W2092="positive",W2092="equivocal"),"c","d"))))</x:f>
        <x:v>d</x:v>
      </x:c>
      <x:c r="AF2092" s="12" t="str">
        <x:f>IF(OR(W2092="unavailable",Y2092="unavailable"),"不可评价",IF(AND(W2092="positive",Y2092="positive"),"a",IF(Y2092="positive","b",IF(W2092="positive","c","d"))))</x:f>
        <x:v>d</x:v>
      </x:c>
    </x:row>
    <x:row r="2093" ht="24" customHeight="1">
      <x:c r="A2093" s="12" t="str">
        <x:v>20152</x:v>
      </x:c>
      <x:c r="B2093" s="12" t="str">
        <x:v>18313</x:v>
      </x:c>
      <x:c r="C2093" s="21" t="n">
        <x:v>36172.905</x:v>
      </x:c>
      <x:c r="D2093" s="12" t="n">
        <x:v>74</x:v>
      </x:c>
      <x:c r="E2093" s="12" t="n">
        <x:v>1</x:v>
      </x:c>
      <x:c r="F2093" s="12" t="str">
        <x:v>存在</x:v>
      </x:c>
      <x:c r="G2093" s="12" t="n">
        <x:v>1</x:v>
      </x:c>
      <x:c r="H2093" s="12" t="str">
        <x:v>{'NDT': 100.0, 'ABQRS': 0.0, 'SR': 0.0}</x:v>
      </x:c>
      <x:c r="I2093" s="12" t="str">
        <x:v>[('NSR', 100.0), ('LOWV', 100.0), ('BORDE', 100.0)]</x:v>
      </x:c>
      <x:c r="J2093" s="12" t="str">
        <x:v>ptbxl_database.csv；ecg_id=20152；scp_codes</x:v>
      </x:c>
      <x:c r="K2093" s="12" t="str">
        <x:v>12sl_statements.csv；ecg_id=20152；statements_ext_snomed</x:v>
      </x:c>
      <x:c r="L2093" s="12"/>
      <x:c r="M2093" s="12" t="str">
        <x:v>negative</x:v>
      </x:c>
      <x:c r="N2093" s="12"/>
      <x:c r="O2093" s="12" t="str">
        <x:v>negative</x:v>
      </x:c>
      <x:c r="P2093" s="12" t="str">
        <x:f>IF(OR(M2093="unavailable",O2093="unavailable"),"不可评价",IF(OR(M2093="equivocal",O2093="equivocal"),"疑似",IF(AND(M2093="positive",O2093="positive"),"a",IF(O2093="positive","b",IF(M2093="positive","c","d")))))</x:f>
        <x:v>d</x:v>
      </x:c>
      <x:c r="Q2093" s="12"/>
      <x:c r="R2093" s="12" t="str">
        <x:v>negative</x:v>
      </x:c>
      <x:c r="S2093" s="12"/>
      <x:c r="T2093" s="12" t="str">
        <x:v>negative</x:v>
      </x:c>
      <x:c r="U2093" s="12" t="str">
        <x:f>IF(OR(R2093="unavailable",T2093="unavailable"),"不可评价",IF(OR(R2093="equivocal",T2093="equivocal"),"疑似",IF(AND(R2093="positive",T2093="positive"),"a",IF(T2093="positive","b",IF(R2093="positive","c","d")))))</x:f>
        <x:v>d</x:v>
      </x:c>
      <x:c r="V2093" s="12"/>
      <x:c r="W2093" s="12" t="str">
        <x:v>negative</x:v>
      </x:c>
      <x:c r="X2093" s="12"/>
      <x:c r="Y2093" s="12" t="str">
        <x:v>negative</x:v>
      </x:c>
      <x:c r="Z2093" s="12" t="str">
        <x:f>IF(OR(W2093="unavailable",Y2093="unavailable"),"不可评价",IF(OR(W2093="equivocal",Y2093="equivocal"),"疑似",IF(AND(W2093="positive",Y2093="positive"),"a",IF(Y2093="positive","b",IF(W2093="positive","c","d")))))</x:f>
        <x:v>d</x:v>
      </x:c>
      <x:c r="AA2093" s="12" t="str">
        <x:f>IF(OR(M2093="unavailable",O2093="unavailable"),"不可评价",IF(AND(OR(M2093="positive",M2093="equivocal"),OR(O2093="positive",O2093="equivocal")),"a",IF(OR(O2093="positive",O2093="equivocal"),"b",IF(OR(M2093="positive",M2093="equivocal"),"c","d"))))</x:f>
        <x:v>d</x:v>
      </x:c>
      <x:c r="AB2093" s="12" t="str">
        <x:f>IF(OR(M2093="unavailable",O2093="unavailable"),"不可评价",IF(AND(M2093="positive",O2093="positive"),"a",IF(O2093="positive","b",IF(M2093="positive","c","d"))))</x:f>
        <x:v>d</x:v>
      </x:c>
      <x:c r="AC2093" s="12" t="str">
        <x:f>IF(OR(R2093="unavailable",T2093="unavailable"),"不可评价",IF(AND(OR(R2093="positive",R2093="equivocal"),OR(T2093="positive",T2093="equivocal")),"a",IF(OR(T2093="positive",T2093="equivocal"),"b",IF(OR(R2093="positive",R2093="equivocal"),"c","d"))))</x:f>
        <x:v>d</x:v>
      </x:c>
      <x:c r="AD2093" s="12" t="str">
        <x:f>IF(OR(R2093="unavailable",T2093="unavailable"),"不可评价",IF(AND(R2093="positive",T2093="positive"),"a",IF(T2093="positive","b",IF(R2093="positive","c","d"))))</x:f>
        <x:v>d</x:v>
      </x:c>
      <x:c r="AE2093" s="12" t="str">
        <x:f>IF(OR(W2093="unavailable",Y2093="unavailable"),"不可评价",IF(AND(OR(W2093="positive",W2093="equivocal"),OR(Y2093="positive",Y2093="equivocal")),"a",IF(OR(Y2093="positive",Y2093="equivocal"),"b",IF(OR(W2093="positive",W2093="equivocal"),"c","d"))))</x:f>
        <x:v>d</x:v>
      </x:c>
      <x:c r="AF2093" s="12" t="str">
        <x:f>IF(OR(W2093="unavailable",Y2093="unavailable"),"不可评价",IF(AND(W2093="positive",Y2093="positive"),"a",IF(Y2093="positive","b",IF(W2093="positive","c","d"))))</x:f>
        <x:v>d</x:v>
      </x:c>
    </x:row>
    <x:row r="2094" ht="24" customHeight="1">
      <x:c r="A2094" s="12" t="str">
        <x:v>20198</x:v>
      </x:c>
      <x:c r="B2094" s="12" t="str">
        <x:v>20512</x:v>
      </x:c>
      <x:c r="C2094" s="21" t="n">
        <x:v>36184.582662037035</x:v>
      </x:c>
      <x:c r="D2094" s="12" t="n">
        <x:v>70</x:v>
      </x:c>
      <x:c r="E2094" s="12" t="n">
        <x:v>0</x:v>
      </x:c>
      <x:c r="F2094" s="12" t="str">
        <x:v>未记录</x:v>
      </x:c>
      <x:c r="G2094" s="12" t="n">
        <x:v>1</x:v>
      </x:c>
      <x:c r="H2094" s="12" t="str">
        <x:v>{'NORM': 100.0, 'SR': 0.0}</x:v>
      </x:c>
      <x:c r="I2094" s="12" t="str">
        <x:v>[('SBRAD', 100.0), ('FAV', 100.0), ('BORDE', 100.0)]</x:v>
      </x:c>
      <x:c r="J2094" s="12" t="str">
        <x:v>ptbxl_database.csv；ecg_id=20198；scp_codes</x:v>
      </x:c>
      <x:c r="K2094" s="12" t="str">
        <x:v>12sl_statements.csv；ecg_id=20198；statements_ext_snomed</x:v>
      </x:c>
      <x:c r="L2094" s="12"/>
      <x:c r="M2094" s="12" t="str">
        <x:v>negative</x:v>
      </x:c>
      <x:c r="N2094" s="12"/>
      <x:c r="O2094" s="12" t="str">
        <x:v>negative</x:v>
      </x:c>
      <x:c r="P2094" s="12" t="str">
        <x:f>IF(OR(M2094="unavailable",O2094="unavailable"),"不可评价",IF(OR(M2094="equivocal",O2094="equivocal"),"疑似",IF(AND(M2094="positive",O2094="positive"),"a",IF(O2094="positive","b",IF(M2094="positive","c","d")))))</x:f>
        <x:v>d</x:v>
      </x:c>
      <x:c r="Q2094" s="12"/>
      <x:c r="R2094" s="12" t="str">
        <x:v>negative</x:v>
      </x:c>
      <x:c r="S2094" s="12"/>
      <x:c r="T2094" s="12" t="str">
        <x:v>negative</x:v>
      </x:c>
      <x:c r="U2094" s="12" t="str">
        <x:f>IF(OR(R2094="unavailable",T2094="unavailable"),"不可评价",IF(OR(R2094="equivocal",T2094="equivocal"),"疑似",IF(AND(R2094="positive",T2094="positive"),"a",IF(T2094="positive","b",IF(R2094="positive","c","d")))))</x:f>
        <x:v>d</x:v>
      </x:c>
      <x:c r="V2094" s="12"/>
      <x:c r="W2094" s="12" t="str">
        <x:v>negative</x:v>
      </x:c>
      <x:c r="X2094" s="12"/>
      <x:c r="Y2094" s="12" t="str">
        <x:v>negative</x:v>
      </x:c>
      <x:c r="Z2094" s="12" t="str">
        <x:f>IF(OR(W2094="unavailable",Y2094="unavailable"),"不可评价",IF(OR(W2094="equivocal",Y2094="equivocal"),"疑似",IF(AND(W2094="positive",Y2094="positive"),"a",IF(Y2094="positive","b",IF(W2094="positive","c","d")))))</x:f>
        <x:v>d</x:v>
      </x:c>
      <x:c r="AA2094" s="12" t="str">
        <x:f>IF(OR(M2094="unavailable",O2094="unavailable"),"不可评价",IF(AND(OR(M2094="positive",M2094="equivocal"),OR(O2094="positive",O2094="equivocal")),"a",IF(OR(O2094="positive",O2094="equivocal"),"b",IF(OR(M2094="positive",M2094="equivocal"),"c","d"))))</x:f>
        <x:v>d</x:v>
      </x:c>
      <x:c r="AB2094" s="12" t="str">
        <x:f>IF(OR(M2094="unavailable",O2094="unavailable"),"不可评价",IF(AND(M2094="positive",O2094="positive"),"a",IF(O2094="positive","b",IF(M2094="positive","c","d"))))</x:f>
        <x:v>d</x:v>
      </x:c>
      <x:c r="AC2094" s="12" t="str">
        <x:f>IF(OR(R2094="unavailable",T2094="unavailable"),"不可评价",IF(AND(OR(R2094="positive",R2094="equivocal"),OR(T2094="positive",T2094="equivocal")),"a",IF(OR(T2094="positive",T2094="equivocal"),"b",IF(OR(R2094="positive",R2094="equivocal"),"c","d"))))</x:f>
        <x:v>d</x:v>
      </x:c>
      <x:c r="AD2094" s="12" t="str">
        <x:f>IF(OR(R2094="unavailable",T2094="unavailable"),"不可评价",IF(AND(R2094="positive",T2094="positive"),"a",IF(T2094="positive","b",IF(R2094="positive","c","d"))))</x:f>
        <x:v>d</x:v>
      </x:c>
      <x:c r="AE2094" s="12" t="str">
        <x:f>IF(OR(W2094="unavailable",Y2094="unavailable"),"不可评价",IF(AND(OR(W2094="positive",W2094="equivocal"),OR(Y2094="positive",Y2094="equivocal")),"a",IF(OR(Y2094="positive",Y2094="equivocal"),"b",IF(OR(W2094="positive",W2094="equivocal"),"c","d"))))</x:f>
        <x:v>d</x:v>
      </x:c>
      <x:c r="AF2094" s="12" t="str">
        <x:f>IF(OR(W2094="unavailable",Y2094="unavailable"),"不可评价",IF(AND(W2094="positive",Y2094="positive"),"a",IF(Y2094="positive","b",IF(W2094="positive","c","d"))))</x:f>
        <x:v>d</x:v>
      </x:c>
    </x:row>
    <x:row r="2095" ht="24" customHeight="1">
      <x:c r="A2095" s="12" t="str">
        <x:v>20211</x:v>
      </x:c>
      <x:c r="B2095" s="12" t="str">
        <x:v>13870</x:v>
      </x:c>
      <x:c r="C2095" s="21" t="n">
        <x:v>36189.31060185185</x:v>
      </x:c>
      <x:c r="D2095" s="12" t="n">
        <x:v>43</x:v>
      </x:c>
      <x:c r="E2095" s="12" t="n">
        <x:v>0</x:v>
      </x:c>
      <x:c r="F2095" s="12" t="str">
        <x:v>未记录</x:v>
      </x:c>
      <x:c r="G2095" s="12" t="n">
        <x:v>1</x:v>
      </x:c>
      <x:c r="H2095" s="12" t="str">
        <x:v>{'LVH': 100.0, 'VCLVH': 0.0, 'SR': 0.0}</x:v>
      </x:c>
      <x:c r="I2095" s="12" t="str">
        <x:v>[('NSR', 100.0), ('IMI;AU', 15.0), ('AB', 100.0)]</x:v>
      </x:c>
      <x:c r="J2095" s="12" t="str">
        <x:v>ptbxl_database.csv；ecg_id=20211；scp_codes</x:v>
      </x:c>
      <x:c r="K2095" s="12" t="str">
        <x:v>12sl_statements.csv；ecg_id=20211；statements_ext_snomed</x:v>
      </x:c>
      <x:c r="L2095" s="12"/>
      <x:c r="M2095" s="12" t="str">
        <x:v>negative</x:v>
      </x:c>
      <x:c r="N2095" s="12"/>
      <x:c r="O2095" s="12" t="str">
        <x:v>negative</x:v>
      </x:c>
      <x:c r="P2095" s="12" t="str">
        <x:f>IF(OR(M2095="unavailable",O2095="unavailable"),"不可评价",IF(OR(M2095="equivocal",O2095="equivocal"),"疑似",IF(AND(M2095="positive",O2095="positive"),"a",IF(O2095="positive","b",IF(M2095="positive","c","d")))))</x:f>
        <x:v>d</x:v>
      </x:c>
      <x:c r="Q2095" s="12"/>
      <x:c r="R2095" s="12" t="str">
        <x:v>negative</x:v>
      </x:c>
      <x:c r="S2095" s="12"/>
      <x:c r="T2095" s="12" t="str">
        <x:v>negative</x:v>
      </x:c>
      <x:c r="U2095" s="12" t="str">
        <x:f>IF(OR(R2095="unavailable",T2095="unavailable"),"不可评价",IF(OR(R2095="equivocal",T2095="equivocal"),"疑似",IF(AND(R2095="positive",T2095="positive"),"a",IF(T2095="positive","b",IF(R2095="positive","c","d")))))</x:f>
        <x:v>d</x:v>
      </x:c>
      <x:c r="V2095" s="12"/>
      <x:c r="W2095" s="12" t="str">
        <x:v>negative</x:v>
      </x:c>
      <x:c r="X2095" s="12"/>
      <x:c r="Y2095" s="12" t="str">
        <x:v>negative</x:v>
      </x:c>
      <x:c r="Z2095" s="12" t="str">
        <x:f>IF(OR(W2095="unavailable",Y2095="unavailable"),"不可评价",IF(OR(W2095="equivocal",Y2095="equivocal"),"疑似",IF(AND(W2095="positive",Y2095="positive"),"a",IF(Y2095="positive","b",IF(W2095="positive","c","d")))))</x:f>
        <x:v>d</x:v>
      </x:c>
      <x:c r="AA2095" s="12" t="str">
        <x:f>IF(OR(M2095="unavailable",O2095="unavailable"),"不可评价",IF(AND(OR(M2095="positive",M2095="equivocal"),OR(O2095="positive",O2095="equivocal")),"a",IF(OR(O2095="positive",O2095="equivocal"),"b",IF(OR(M2095="positive",M2095="equivocal"),"c","d"))))</x:f>
        <x:v>d</x:v>
      </x:c>
      <x:c r="AB2095" s="12" t="str">
        <x:f>IF(OR(M2095="unavailable",O2095="unavailable"),"不可评价",IF(AND(M2095="positive",O2095="positive"),"a",IF(O2095="positive","b",IF(M2095="positive","c","d"))))</x:f>
        <x:v>d</x:v>
      </x:c>
      <x:c r="AC2095" s="12" t="str">
        <x:f>IF(OR(R2095="unavailable",T2095="unavailable"),"不可评价",IF(AND(OR(R2095="positive",R2095="equivocal"),OR(T2095="positive",T2095="equivocal")),"a",IF(OR(T2095="positive",T2095="equivocal"),"b",IF(OR(R2095="positive",R2095="equivocal"),"c","d"))))</x:f>
        <x:v>d</x:v>
      </x:c>
      <x:c r="AD2095" s="12" t="str">
        <x:f>IF(OR(R2095="unavailable",T2095="unavailable"),"不可评价",IF(AND(R2095="positive",T2095="positive"),"a",IF(T2095="positive","b",IF(R2095="positive","c","d"))))</x:f>
        <x:v>d</x:v>
      </x:c>
      <x:c r="AE2095" s="12" t="str">
        <x:f>IF(OR(W2095="unavailable",Y2095="unavailable"),"不可评价",IF(AND(OR(W2095="positive",W2095="equivocal"),OR(Y2095="positive",Y2095="equivocal")),"a",IF(OR(Y2095="positive",Y2095="equivocal"),"b",IF(OR(W2095="positive",W2095="equivocal"),"c","d"))))</x:f>
        <x:v>d</x:v>
      </x:c>
      <x:c r="AF2095" s="12" t="str">
        <x:f>IF(OR(W2095="unavailable",Y2095="unavailable"),"不可评价",IF(AND(W2095="positive",Y2095="positive"),"a",IF(Y2095="positive","b",IF(W2095="positive","c","d"))))</x:f>
        <x:v>d</x:v>
      </x:c>
    </x:row>
    <x:row r="2096" ht="39" customHeight="1">
      <x:c r="A2096" s="12" t="str">
        <x:v>20214</x:v>
      </x:c>
      <x:c r="B2096" s="12" t="str">
        <x:v>19973</x:v>
      </x:c>
      <x:c r="C2096" s="21" t="n">
        <x:v>36189.43809027778</x:v>
      </x:c>
      <x:c r="D2096" s="12" t="n">
        <x:v>87</x:v>
      </x:c>
      <x:c r="E2096" s="12" t="n">
        <x:v>1</x:v>
      </x:c>
      <x:c r="F2096" s="12" t="str">
        <x:v>未记录</x:v>
      </x:c>
      <x:c r="G2096" s="12" t="n">
        <x:v>1</x:v>
      </x:c>
      <x:c r="H2096" s="12" t="str">
        <x:v>{'ASMI': 100.0, 'ILBBB': 100.0, 'LVH': 100.0, 'ISC_': 100.0, 'PVC': 100.0, 'ABQRS': 0.0, 'SR': 0.0}</x:v>
      </x:c>
      <x:c r="I2096" s="12" t="str">
        <x:v>[('SRTH', 100.0), ('$SFUS', 100.0), ('LVH2', 100.0), ('2ST', 100.0), ('AB', 100.0)]</x:v>
      </x:c>
      <x:c r="J2096" s="12" t="str">
        <x:v>ptbxl_database.csv；ecg_id=20214；scp_codes</x:v>
      </x:c>
      <x:c r="K2096" s="12" t="str">
        <x:v>12sl_statements.csv；ecg_id=20214；statements_ext_snomed</x:v>
      </x:c>
      <x:c r="L2096" s="12"/>
      <x:c r="M2096" s="12" t="str">
        <x:v>negative</x:v>
      </x:c>
      <x:c r="N2096" s="12"/>
      <x:c r="O2096" s="12" t="str">
        <x:v>negative</x:v>
      </x:c>
      <x:c r="P2096" s="12" t="str">
        <x:f>IF(OR(M2096="unavailable",O2096="unavailable"),"不可评价",IF(OR(M2096="equivocal",O2096="equivocal"),"疑似",IF(AND(M2096="positive",O2096="positive"),"a",IF(O2096="positive","b",IF(M2096="positive","c","d")))))</x:f>
        <x:v>d</x:v>
      </x:c>
      <x:c r="Q2096" s="12"/>
      <x:c r="R2096" s="12" t="str">
        <x:v>negative</x:v>
      </x:c>
      <x:c r="S2096" s="12"/>
      <x:c r="T2096" s="12" t="str">
        <x:v>negative</x:v>
      </x:c>
      <x:c r="U2096" s="12" t="str">
        <x:f>IF(OR(R2096="unavailable",T2096="unavailable"),"不可评价",IF(OR(R2096="equivocal",T2096="equivocal"),"疑似",IF(AND(R2096="positive",T2096="positive"),"a",IF(T2096="positive","b",IF(R2096="positive","c","d")))))</x:f>
        <x:v>d</x:v>
      </x:c>
      <x:c r="V2096" s="12"/>
      <x:c r="W2096" s="12" t="str">
        <x:v>negative</x:v>
      </x:c>
      <x:c r="X2096" s="12"/>
      <x:c r="Y2096" s="12" t="str">
        <x:v>negative</x:v>
      </x:c>
      <x:c r="Z2096" s="12" t="str">
        <x:f>IF(OR(W2096="unavailable",Y2096="unavailable"),"不可评价",IF(OR(W2096="equivocal",Y2096="equivocal"),"疑似",IF(AND(W2096="positive",Y2096="positive"),"a",IF(Y2096="positive","b",IF(W2096="positive","c","d")))))</x:f>
        <x:v>d</x:v>
      </x:c>
      <x:c r="AA2096" s="12" t="str">
        <x:f>IF(OR(M2096="unavailable",O2096="unavailable"),"不可评价",IF(AND(OR(M2096="positive",M2096="equivocal"),OR(O2096="positive",O2096="equivocal")),"a",IF(OR(O2096="positive",O2096="equivocal"),"b",IF(OR(M2096="positive",M2096="equivocal"),"c","d"))))</x:f>
        <x:v>d</x:v>
      </x:c>
      <x:c r="AB2096" s="12" t="str">
        <x:f>IF(OR(M2096="unavailable",O2096="unavailable"),"不可评价",IF(AND(M2096="positive",O2096="positive"),"a",IF(O2096="positive","b",IF(M2096="positive","c","d"))))</x:f>
        <x:v>d</x:v>
      </x:c>
      <x:c r="AC2096" s="12" t="str">
        <x:f>IF(OR(R2096="unavailable",T2096="unavailable"),"不可评价",IF(AND(OR(R2096="positive",R2096="equivocal"),OR(T2096="positive",T2096="equivocal")),"a",IF(OR(T2096="positive",T2096="equivocal"),"b",IF(OR(R2096="positive",R2096="equivocal"),"c","d"))))</x:f>
        <x:v>d</x:v>
      </x:c>
      <x:c r="AD2096" s="12" t="str">
        <x:f>IF(OR(R2096="unavailable",T2096="unavailable"),"不可评价",IF(AND(R2096="positive",T2096="positive"),"a",IF(T2096="positive","b",IF(R2096="positive","c","d"))))</x:f>
        <x:v>d</x:v>
      </x:c>
      <x:c r="AE2096" s="12" t="str">
        <x:f>IF(OR(W2096="unavailable",Y2096="unavailable"),"不可评价",IF(AND(OR(W2096="positive",W2096="equivocal"),OR(Y2096="positive",Y2096="equivocal")),"a",IF(OR(Y2096="positive",Y2096="equivocal"),"b",IF(OR(W2096="positive",W2096="equivocal"),"c","d"))))</x:f>
        <x:v>d</x:v>
      </x:c>
      <x:c r="AF2096" s="12" t="str">
        <x:f>IF(OR(W2096="unavailable",Y2096="unavailable"),"不可评价",IF(AND(W2096="positive",Y2096="positive"),"a",IF(Y2096="positive","b",IF(W2096="positive","c","d"))))</x:f>
        <x:v>d</x:v>
      </x:c>
    </x:row>
    <x:row r="2097" ht="24" customHeight="1">
      <x:c r="A2097" s="12" t="str">
        <x:v>20220</x:v>
      </x:c>
      <x:c r="B2097" s="12" t="str">
        <x:v>19905</x:v>
      </x:c>
      <x:c r="C2097" s="21" t="n">
        <x:v>36189.801840277774</x:v>
      </x:c>
      <x:c r="D2097" s="12" t="n">
        <x:v>70</x:v>
      </x:c>
      <x:c r="E2097" s="12" t="n">
        <x:v>1</x:v>
      </x:c>
      <x:c r="F2097" s="12" t="str">
        <x:v>未记录</x:v>
      </x:c>
      <x:c r="G2097" s="12" t="n">
        <x:v>1</x:v>
      </x:c>
      <x:c r="H2097" s="12" t="str">
        <x:v>{'NORM': 100.0, 'SR': 0.0}</x:v>
      </x:c>
      <x:c r="I2097" s="12" t="str">
        <x:v>[('SBRAD', 100.0), ('ABR', 100.0)]</x:v>
      </x:c>
      <x:c r="J2097" s="12" t="str">
        <x:v>ptbxl_database.csv；ecg_id=20220；scp_codes</x:v>
      </x:c>
      <x:c r="K2097" s="12" t="str">
        <x:v>12sl_statements.csv；ecg_id=20220；statements_ext_snomed</x:v>
      </x:c>
      <x:c r="L2097" s="12"/>
      <x:c r="M2097" s="12" t="str">
        <x:v>negative</x:v>
      </x:c>
      <x:c r="N2097" s="12"/>
      <x:c r="O2097" s="12" t="str">
        <x:v>negative</x:v>
      </x:c>
      <x:c r="P2097" s="12" t="str">
        <x:f>IF(OR(M2097="unavailable",O2097="unavailable"),"不可评价",IF(OR(M2097="equivocal",O2097="equivocal"),"疑似",IF(AND(M2097="positive",O2097="positive"),"a",IF(O2097="positive","b",IF(M2097="positive","c","d")))))</x:f>
        <x:v>d</x:v>
      </x:c>
      <x:c r="Q2097" s="12"/>
      <x:c r="R2097" s="12" t="str">
        <x:v>negative</x:v>
      </x:c>
      <x:c r="S2097" s="12"/>
      <x:c r="T2097" s="12" t="str">
        <x:v>negative</x:v>
      </x:c>
      <x:c r="U2097" s="12" t="str">
        <x:f>IF(OR(R2097="unavailable",T2097="unavailable"),"不可评价",IF(OR(R2097="equivocal",T2097="equivocal"),"疑似",IF(AND(R2097="positive",T2097="positive"),"a",IF(T2097="positive","b",IF(R2097="positive","c","d")))))</x:f>
        <x:v>d</x:v>
      </x:c>
      <x:c r="V2097" s="12"/>
      <x:c r="W2097" s="12" t="str">
        <x:v>negative</x:v>
      </x:c>
      <x:c r="X2097" s="12"/>
      <x:c r="Y2097" s="12" t="str">
        <x:v>negative</x:v>
      </x:c>
      <x:c r="Z2097" s="12" t="str">
        <x:f>IF(OR(W2097="unavailable",Y2097="unavailable"),"不可评价",IF(OR(W2097="equivocal",Y2097="equivocal"),"疑似",IF(AND(W2097="positive",Y2097="positive"),"a",IF(Y2097="positive","b",IF(W2097="positive","c","d")))))</x:f>
        <x:v>d</x:v>
      </x:c>
      <x:c r="AA2097" s="12" t="str">
        <x:f>IF(OR(M2097="unavailable",O2097="unavailable"),"不可评价",IF(AND(OR(M2097="positive",M2097="equivocal"),OR(O2097="positive",O2097="equivocal")),"a",IF(OR(O2097="positive",O2097="equivocal"),"b",IF(OR(M2097="positive",M2097="equivocal"),"c","d"))))</x:f>
        <x:v>d</x:v>
      </x:c>
      <x:c r="AB2097" s="12" t="str">
        <x:f>IF(OR(M2097="unavailable",O2097="unavailable"),"不可评价",IF(AND(M2097="positive",O2097="positive"),"a",IF(O2097="positive","b",IF(M2097="positive","c","d"))))</x:f>
        <x:v>d</x:v>
      </x:c>
      <x:c r="AC2097" s="12" t="str">
        <x:f>IF(OR(R2097="unavailable",T2097="unavailable"),"不可评价",IF(AND(OR(R2097="positive",R2097="equivocal"),OR(T2097="positive",T2097="equivocal")),"a",IF(OR(T2097="positive",T2097="equivocal"),"b",IF(OR(R2097="positive",R2097="equivocal"),"c","d"))))</x:f>
        <x:v>d</x:v>
      </x:c>
      <x:c r="AD2097" s="12" t="str">
        <x:f>IF(OR(R2097="unavailable",T2097="unavailable"),"不可评价",IF(AND(R2097="positive",T2097="positive"),"a",IF(T2097="positive","b",IF(R2097="positive","c","d"))))</x:f>
        <x:v>d</x:v>
      </x:c>
      <x:c r="AE2097" s="12" t="str">
        <x:f>IF(OR(W2097="unavailable",Y2097="unavailable"),"不可评价",IF(AND(OR(W2097="positive",W2097="equivocal"),OR(Y2097="positive",Y2097="equivocal")),"a",IF(OR(Y2097="positive",Y2097="equivocal"),"b",IF(OR(W2097="positive",W2097="equivocal"),"c","d"))))</x:f>
        <x:v>d</x:v>
      </x:c>
      <x:c r="AF2097" s="12" t="str">
        <x:f>IF(OR(W2097="unavailable",Y2097="unavailable"),"不可评价",IF(AND(W2097="positive",Y2097="positive"),"a",IF(Y2097="positive","b",IF(W2097="positive","c","d"))))</x:f>
        <x:v>d</x:v>
      </x:c>
    </x:row>
    <x:row r="2098" ht="39" customHeight="1">
      <x:c r="A2098" s="12" t="str">
        <x:v>20224</x:v>
      </x:c>
      <x:c r="B2098" s="12" t="str">
        <x:v>19973</x:v>
      </x:c>
      <x:c r="C2098" s="21" t="n">
        <x:v>36190.405497685184</x:v>
      </x:c>
      <x:c r="D2098" s="12" t="n">
        <x:v>87</x:v>
      </x:c>
      <x:c r="E2098" s="12" t="n">
        <x:v>1</x:v>
      </x:c>
      <x:c r="F2098" s="12" t="str">
        <x:v>未记录</x:v>
      </x:c>
      <x:c r="G2098" s="12" t="n">
        <x:v>0</x:v>
      </x:c>
      <x:c r="H2098" s="12" t="str">
        <x:v>{'CLBBB': 100.0, 'ASMI': 100.0, 'SR': 0.0}</x:v>
      </x:c>
      <x:c r="I2098" s="12" t="str">
        <x:v>[('SRTH', 100.0), ('PVC', 100.0), ('LVH2', 100.0), ('2ST', 100.0), ('IMI;AU', 100.0), ('AB', 100.0)]</x:v>
      </x:c>
      <x:c r="J2098" s="12" t="str">
        <x:v>ptbxl_database.csv；ecg_id=20224；scp_codes</x:v>
      </x:c>
      <x:c r="K2098" s="12" t="str">
        <x:v>12sl_statements.csv；ecg_id=20224；statements_ext_snomed</x:v>
      </x:c>
      <x:c r="L2098" s="12"/>
      <x:c r="M2098" s="12" t="str">
        <x:v>negative</x:v>
      </x:c>
      <x:c r="N2098" s="12"/>
      <x:c r="O2098" s="12" t="str">
        <x:v>negative</x:v>
      </x:c>
      <x:c r="P2098" s="12" t="str">
        <x:f>IF(OR(M2098="unavailable",O2098="unavailable"),"不可评价",IF(OR(M2098="equivocal",O2098="equivocal"),"疑似",IF(AND(M2098="positive",O2098="positive"),"a",IF(O2098="positive","b",IF(M2098="positive","c","d")))))</x:f>
        <x:v>d</x:v>
      </x:c>
      <x:c r="Q2098" s="12" t="n">
        <x:v>100</x:v>
      </x:c>
      <x:c r="R2098" s="12" t="str">
        <x:v>positive</x:v>
      </x:c>
      <x:c r="S2098" s="12"/>
      <x:c r="T2098" s="12" t="str">
        <x:v>negative</x:v>
      </x:c>
      <x:c r="U2098" s="12" t="str">
        <x:f>IF(OR(R2098="unavailable",T2098="unavailable"),"不可评价",IF(OR(R2098="equivocal",T2098="equivocal"),"疑似",IF(AND(R2098="positive",T2098="positive"),"a",IF(T2098="positive","b",IF(R2098="positive","c","d")))))</x:f>
        <x:v>c</x:v>
      </x:c>
      <x:c r="V2098" s="12"/>
      <x:c r="W2098" s="12" t="str">
        <x:v>negative</x:v>
      </x:c>
      <x:c r="X2098" s="12"/>
      <x:c r="Y2098" s="12" t="str">
        <x:v>negative</x:v>
      </x:c>
      <x:c r="Z2098" s="12" t="str">
        <x:f>IF(OR(W2098="unavailable",Y2098="unavailable"),"不可评价",IF(OR(W2098="equivocal",Y2098="equivocal"),"疑似",IF(AND(W2098="positive",Y2098="positive"),"a",IF(Y2098="positive","b",IF(W2098="positive","c","d")))))</x:f>
        <x:v>d</x:v>
      </x:c>
      <x:c r="AA2098" s="12" t="str">
        <x:f>IF(OR(M2098="unavailable",O2098="unavailable"),"不可评价",IF(AND(OR(M2098="positive",M2098="equivocal"),OR(O2098="positive",O2098="equivocal")),"a",IF(OR(O2098="positive",O2098="equivocal"),"b",IF(OR(M2098="positive",M2098="equivocal"),"c","d"))))</x:f>
        <x:v>d</x:v>
      </x:c>
      <x:c r="AB2098" s="12" t="str">
        <x:f>IF(OR(M2098="unavailable",O2098="unavailable"),"不可评价",IF(AND(M2098="positive",O2098="positive"),"a",IF(O2098="positive","b",IF(M2098="positive","c","d"))))</x:f>
        <x:v>d</x:v>
      </x:c>
      <x:c r="AC2098" s="12" t="str">
        <x:f>IF(OR(R2098="unavailable",T2098="unavailable"),"不可评价",IF(AND(OR(R2098="positive",R2098="equivocal"),OR(T2098="positive",T2098="equivocal")),"a",IF(OR(T2098="positive",T2098="equivocal"),"b",IF(OR(R2098="positive",R2098="equivocal"),"c","d"))))</x:f>
        <x:v>c</x:v>
      </x:c>
      <x:c r="AD2098" s="12" t="str">
        <x:f>IF(OR(R2098="unavailable",T2098="unavailable"),"不可评价",IF(AND(R2098="positive",T2098="positive"),"a",IF(T2098="positive","b",IF(R2098="positive","c","d"))))</x:f>
        <x:v>c</x:v>
      </x:c>
      <x:c r="AE2098" s="12" t="str">
        <x:f>IF(OR(W2098="unavailable",Y2098="unavailable"),"不可评价",IF(AND(OR(W2098="positive",W2098="equivocal"),OR(Y2098="positive",Y2098="equivocal")),"a",IF(OR(Y2098="positive",Y2098="equivocal"),"b",IF(OR(W2098="positive",W2098="equivocal"),"c","d"))))</x:f>
        <x:v>d</x:v>
      </x:c>
      <x:c r="AF2098" s="12" t="str">
        <x:f>IF(OR(W2098="unavailable",Y2098="unavailable"),"不可评价",IF(AND(W2098="positive",Y2098="positive"),"a",IF(Y2098="positive","b",IF(W2098="positive","c","d"))))</x:f>
        <x:v>d</x:v>
      </x:c>
    </x:row>
    <x:row r="2099" ht="24" customHeight="1">
      <x:c r="A2099" s="12" t="str">
        <x:v>20236</x:v>
      </x:c>
      <x:c r="B2099" s="12" t="str">
        <x:v>13308</x:v>
      </x:c>
      <x:c r="C2099" s="21" t="n">
        <x:v>36195.39733796296</x:v>
      </x:c>
      <x:c r="D2099" s="12" t="n">
        <x:v>65</x:v>
      </x:c>
      <x:c r="E2099" s="12" t="n">
        <x:v>0</x:v>
      </x:c>
      <x:c r="F2099" s="12" t="str">
        <x:v>未记录</x:v>
      </x:c>
      <x:c r="G2099" s="12" t="n">
        <x:v>1</x:v>
      </x:c>
      <x:c r="H2099" s="12" t="str">
        <x:v>{'LVH': 50.0, 'ISC_': 100.0, 'VCLVH': 0.0, 'SR': 0.0}</x:v>
      </x:c>
      <x:c r="I2099" s="12" t="str">
        <x:v>[('NSR', 100.0), ('LVH2', 100.0), ('2ST', 100.0), ('AB', 100.0)]</x:v>
      </x:c>
      <x:c r="J2099" s="12" t="str">
        <x:v>ptbxl_database.csv；ecg_id=20236；scp_codes</x:v>
      </x:c>
      <x:c r="K2099" s="12" t="str">
        <x:v>12sl_statements.csv；ecg_id=20236；statements_ext_snomed</x:v>
      </x:c>
      <x:c r="L2099" s="12"/>
      <x:c r="M2099" s="12" t="str">
        <x:v>negative</x:v>
      </x:c>
      <x:c r="N2099" s="12"/>
      <x:c r="O2099" s="12" t="str">
        <x:v>negative</x:v>
      </x:c>
      <x:c r="P2099" s="12" t="str">
        <x:f>IF(OR(M2099="unavailable",O2099="unavailable"),"不可评价",IF(OR(M2099="equivocal",O2099="equivocal"),"疑似",IF(AND(M2099="positive",O2099="positive"),"a",IF(O2099="positive","b",IF(M2099="positive","c","d")))))</x:f>
        <x:v>d</x:v>
      </x:c>
      <x:c r="Q2099" s="12"/>
      <x:c r="R2099" s="12" t="str">
        <x:v>negative</x:v>
      </x:c>
      <x:c r="S2099" s="12"/>
      <x:c r="T2099" s="12" t="str">
        <x:v>negative</x:v>
      </x:c>
      <x:c r="U2099" s="12" t="str">
        <x:f>IF(OR(R2099="unavailable",T2099="unavailable"),"不可评价",IF(OR(R2099="equivocal",T2099="equivocal"),"疑似",IF(AND(R2099="positive",T2099="positive"),"a",IF(T2099="positive","b",IF(R2099="positive","c","d")))))</x:f>
        <x:v>d</x:v>
      </x:c>
      <x:c r="V2099" s="12"/>
      <x:c r="W2099" s="12" t="str">
        <x:v>negative</x:v>
      </x:c>
      <x:c r="X2099" s="12"/>
      <x:c r="Y2099" s="12" t="str">
        <x:v>negative</x:v>
      </x:c>
      <x:c r="Z2099" s="12" t="str">
        <x:f>IF(OR(W2099="unavailable",Y2099="unavailable"),"不可评价",IF(OR(W2099="equivocal",Y2099="equivocal"),"疑似",IF(AND(W2099="positive",Y2099="positive"),"a",IF(Y2099="positive","b",IF(W2099="positive","c","d")))))</x:f>
        <x:v>d</x:v>
      </x:c>
      <x:c r="AA2099" s="12" t="str">
        <x:f>IF(OR(M2099="unavailable",O2099="unavailable"),"不可评价",IF(AND(OR(M2099="positive",M2099="equivocal"),OR(O2099="positive",O2099="equivocal")),"a",IF(OR(O2099="positive",O2099="equivocal"),"b",IF(OR(M2099="positive",M2099="equivocal"),"c","d"))))</x:f>
        <x:v>d</x:v>
      </x:c>
      <x:c r="AB2099" s="12" t="str">
        <x:f>IF(OR(M2099="unavailable",O2099="unavailable"),"不可评价",IF(AND(M2099="positive",O2099="positive"),"a",IF(O2099="positive","b",IF(M2099="positive","c","d"))))</x:f>
        <x:v>d</x:v>
      </x:c>
      <x:c r="AC2099" s="12" t="str">
        <x:f>IF(OR(R2099="unavailable",T2099="unavailable"),"不可评价",IF(AND(OR(R2099="positive",R2099="equivocal"),OR(T2099="positive",T2099="equivocal")),"a",IF(OR(T2099="positive",T2099="equivocal"),"b",IF(OR(R2099="positive",R2099="equivocal"),"c","d"))))</x:f>
        <x:v>d</x:v>
      </x:c>
      <x:c r="AD2099" s="12" t="str">
        <x:f>IF(OR(R2099="unavailable",T2099="unavailable"),"不可评价",IF(AND(R2099="positive",T2099="positive"),"a",IF(T2099="positive","b",IF(R2099="positive","c","d"))))</x:f>
        <x:v>d</x:v>
      </x:c>
      <x:c r="AE2099" s="12" t="str">
        <x:f>IF(OR(W2099="unavailable",Y2099="unavailable"),"不可评价",IF(AND(OR(W2099="positive",W2099="equivocal"),OR(Y2099="positive",Y2099="equivocal")),"a",IF(OR(Y2099="positive",Y2099="equivocal"),"b",IF(OR(W2099="positive",W2099="equivocal"),"c","d"))))</x:f>
        <x:v>d</x:v>
      </x:c>
      <x:c r="AF2099" s="12" t="str">
        <x:f>IF(OR(W2099="unavailable",Y2099="unavailable"),"不可评价",IF(AND(W2099="positive",Y2099="positive"),"a",IF(Y2099="positive","b",IF(W2099="positive","c","d"))))</x:f>
        <x:v>d</x:v>
      </x:c>
    </x:row>
    <x:row r="2100" ht="24" customHeight="1">
      <x:c r="A2100" s="12" t="str">
        <x:v>20240</x:v>
      </x:c>
      <x:c r="B2100" s="12" t="str">
        <x:v>17394</x:v>
      </x:c>
      <x:c r="C2100" s="21" t="n">
        <x:v>36195.61170138889</x:v>
      </x:c>
      <x:c r="D2100" s="12" t="n">
        <x:v>47</x:v>
      </x:c>
      <x:c r="E2100" s="12" t="n">
        <x:v>1</x:v>
      </x:c>
      <x:c r="F2100" s="12" t="str">
        <x:v>未记录</x:v>
      </x:c>
      <x:c r="G2100" s="12" t="n">
        <x:v>1</x:v>
      </x:c>
      <x:c r="H2100" s="12" t="str">
        <x:v>{'AMI': 50.0, 'ISCAN': 100.0, 'SR': 0.0}</x:v>
      </x:c>
      <x:c r="I2100" s="12" t="str">
        <x:v>[('NSR', 100.0), ('LAE', 50.0), ('QRST', 100.0), ('AB', 100.0)]</x:v>
      </x:c>
      <x:c r="J2100" s="12" t="str">
        <x:v>ptbxl_database.csv；ecg_id=20240；scp_codes</x:v>
      </x:c>
      <x:c r="K2100" s="12" t="str">
        <x:v>12sl_statements.csv；ecg_id=20240；statements_ext_snomed</x:v>
      </x:c>
      <x:c r="L2100" s="12"/>
      <x:c r="M2100" s="12" t="str">
        <x:v>negative</x:v>
      </x:c>
      <x:c r="N2100" s="12"/>
      <x:c r="O2100" s="12" t="str">
        <x:v>negative</x:v>
      </x:c>
      <x:c r="P2100" s="12" t="str">
        <x:f>IF(OR(M2100="unavailable",O2100="unavailable"),"不可评价",IF(OR(M2100="equivocal",O2100="equivocal"),"疑似",IF(AND(M2100="positive",O2100="positive"),"a",IF(O2100="positive","b",IF(M2100="positive","c","d")))))</x:f>
        <x:v>d</x:v>
      </x:c>
      <x:c r="Q2100" s="12"/>
      <x:c r="R2100" s="12" t="str">
        <x:v>negative</x:v>
      </x:c>
      <x:c r="S2100" s="12"/>
      <x:c r="T2100" s="12" t="str">
        <x:v>negative</x:v>
      </x:c>
      <x:c r="U2100" s="12" t="str">
        <x:f>IF(OR(R2100="unavailable",T2100="unavailable"),"不可评价",IF(OR(R2100="equivocal",T2100="equivocal"),"疑似",IF(AND(R2100="positive",T2100="positive"),"a",IF(T2100="positive","b",IF(R2100="positive","c","d")))))</x:f>
        <x:v>d</x:v>
      </x:c>
      <x:c r="V2100" s="12"/>
      <x:c r="W2100" s="12" t="str">
        <x:v>negative</x:v>
      </x:c>
      <x:c r="X2100" s="12"/>
      <x:c r="Y2100" s="12" t="str">
        <x:v>negative</x:v>
      </x:c>
      <x:c r="Z2100" s="12" t="str">
        <x:f>IF(OR(W2100="unavailable",Y2100="unavailable"),"不可评价",IF(OR(W2100="equivocal",Y2100="equivocal"),"疑似",IF(AND(W2100="positive",Y2100="positive"),"a",IF(Y2100="positive","b",IF(W2100="positive","c","d")))))</x:f>
        <x:v>d</x:v>
      </x:c>
      <x:c r="AA2100" s="12" t="str">
        <x:f>IF(OR(M2100="unavailable",O2100="unavailable"),"不可评价",IF(AND(OR(M2100="positive",M2100="equivocal"),OR(O2100="positive",O2100="equivocal")),"a",IF(OR(O2100="positive",O2100="equivocal"),"b",IF(OR(M2100="positive",M2100="equivocal"),"c","d"))))</x:f>
        <x:v>d</x:v>
      </x:c>
      <x:c r="AB2100" s="12" t="str">
        <x:f>IF(OR(M2100="unavailable",O2100="unavailable"),"不可评价",IF(AND(M2100="positive",O2100="positive"),"a",IF(O2100="positive","b",IF(M2100="positive","c","d"))))</x:f>
        <x:v>d</x:v>
      </x:c>
      <x:c r="AC2100" s="12" t="str">
        <x:f>IF(OR(R2100="unavailable",T2100="unavailable"),"不可评价",IF(AND(OR(R2100="positive",R2100="equivocal"),OR(T2100="positive",T2100="equivocal")),"a",IF(OR(T2100="positive",T2100="equivocal"),"b",IF(OR(R2100="positive",R2100="equivocal"),"c","d"))))</x:f>
        <x:v>d</x:v>
      </x:c>
      <x:c r="AD2100" s="12" t="str">
        <x:f>IF(OR(R2100="unavailable",T2100="unavailable"),"不可评价",IF(AND(R2100="positive",T2100="positive"),"a",IF(T2100="positive","b",IF(R2100="positive","c","d"))))</x:f>
        <x:v>d</x:v>
      </x:c>
      <x:c r="AE2100" s="12" t="str">
        <x:f>IF(OR(W2100="unavailable",Y2100="unavailable"),"不可评价",IF(AND(OR(W2100="positive",W2100="equivocal"),OR(Y2100="positive",Y2100="equivocal")),"a",IF(OR(Y2100="positive",Y2100="equivocal"),"b",IF(OR(W2100="positive",W2100="equivocal"),"c","d"))))</x:f>
        <x:v>d</x:v>
      </x:c>
      <x:c r="AF2100" s="12" t="str">
        <x:f>IF(OR(W2100="unavailable",Y2100="unavailable"),"不可评价",IF(AND(W2100="positive",Y2100="positive"),"a",IF(Y2100="positive","b",IF(W2100="positive","c","d"))))</x:f>
        <x:v>d</x:v>
      </x:c>
    </x:row>
    <x:row r="2101" ht="24" customHeight="1">
      <x:c r="A2101" s="12" t="str">
        <x:v>20241</x:v>
      </x:c>
      <x:c r="B2101" s="12" t="str">
        <x:v>19636</x:v>
      </x:c>
      <x:c r="C2101" s="21" t="n">
        <x:v>36198.52984953704</x:v>
      </x:c>
      <x:c r="D2101" s="12" t="n">
        <x:v>38</x:v>
      </x:c>
      <x:c r="E2101" s="12" t="n">
        <x:v>0</x:v>
      </x:c>
      <x:c r="F2101" s="12" t="str">
        <x:v>未记录</x:v>
      </x:c>
      <x:c r="G2101" s="12" t="n">
        <x:v>1</x:v>
      </x:c>
      <x:c r="H2101" s="12" t="str">
        <x:v>{'NORM': 100.0, 'SR': 0.0}</x:v>
      </x:c>
      <x:c r="I2101" s="12" t="str">
        <x:v>[('NSR', 100.0), ('NML', 100.0)]</x:v>
      </x:c>
      <x:c r="J2101" s="12" t="str">
        <x:v>ptbxl_database.csv；ecg_id=20241；scp_codes</x:v>
      </x:c>
      <x:c r="K2101" s="12" t="str">
        <x:v>12sl_statements.csv；ecg_id=20241；statements_ext_snomed</x:v>
      </x:c>
      <x:c r="L2101" s="12"/>
      <x:c r="M2101" s="12" t="str">
        <x:v>negative</x:v>
      </x:c>
      <x:c r="N2101" s="12"/>
      <x:c r="O2101" s="12" t="str">
        <x:v>negative</x:v>
      </x:c>
      <x:c r="P2101" s="12" t="str">
        <x:f>IF(OR(M2101="unavailable",O2101="unavailable"),"不可评价",IF(OR(M2101="equivocal",O2101="equivocal"),"疑似",IF(AND(M2101="positive",O2101="positive"),"a",IF(O2101="positive","b",IF(M2101="positive","c","d")))))</x:f>
        <x:v>d</x:v>
      </x:c>
      <x:c r="Q2101" s="12"/>
      <x:c r="R2101" s="12" t="str">
        <x:v>negative</x:v>
      </x:c>
      <x:c r="S2101" s="12"/>
      <x:c r="T2101" s="12" t="str">
        <x:v>negative</x:v>
      </x:c>
      <x:c r="U2101" s="12" t="str">
        <x:f>IF(OR(R2101="unavailable",T2101="unavailable"),"不可评价",IF(OR(R2101="equivocal",T2101="equivocal"),"疑似",IF(AND(R2101="positive",T2101="positive"),"a",IF(T2101="positive","b",IF(R2101="positive","c","d")))))</x:f>
        <x:v>d</x:v>
      </x:c>
      <x:c r="V2101" s="12"/>
      <x:c r="W2101" s="12" t="str">
        <x:v>negative</x:v>
      </x:c>
      <x:c r="X2101" s="12"/>
      <x:c r="Y2101" s="12" t="str">
        <x:v>negative</x:v>
      </x:c>
      <x:c r="Z2101" s="12" t="str">
        <x:f>IF(OR(W2101="unavailable",Y2101="unavailable"),"不可评价",IF(OR(W2101="equivocal",Y2101="equivocal"),"疑似",IF(AND(W2101="positive",Y2101="positive"),"a",IF(Y2101="positive","b",IF(W2101="positive","c","d")))))</x:f>
        <x:v>d</x:v>
      </x:c>
      <x:c r="AA2101" s="12" t="str">
        <x:f>IF(OR(M2101="unavailable",O2101="unavailable"),"不可评价",IF(AND(OR(M2101="positive",M2101="equivocal"),OR(O2101="positive",O2101="equivocal")),"a",IF(OR(O2101="positive",O2101="equivocal"),"b",IF(OR(M2101="positive",M2101="equivocal"),"c","d"))))</x:f>
        <x:v>d</x:v>
      </x:c>
      <x:c r="AB2101" s="12" t="str">
        <x:f>IF(OR(M2101="unavailable",O2101="unavailable"),"不可评价",IF(AND(M2101="positive",O2101="positive"),"a",IF(O2101="positive","b",IF(M2101="positive","c","d"))))</x:f>
        <x:v>d</x:v>
      </x:c>
      <x:c r="AC2101" s="12" t="str">
        <x:f>IF(OR(R2101="unavailable",T2101="unavailable"),"不可评价",IF(AND(OR(R2101="positive",R2101="equivocal"),OR(T2101="positive",T2101="equivocal")),"a",IF(OR(T2101="positive",T2101="equivocal"),"b",IF(OR(R2101="positive",R2101="equivocal"),"c","d"))))</x:f>
        <x:v>d</x:v>
      </x:c>
      <x:c r="AD2101" s="12" t="str">
        <x:f>IF(OR(R2101="unavailable",T2101="unavailable"),"不可评价",IF(AND(R2101="positive",T2101="positive"),"a",IF(T2101="positive","b",IF(R2101="positive","c","d"))))</x:f>
        <x:v>d</x:v>
      </x:c>
      <x:c r="AE2101" s="12" t="str">
        <x:f>IF(OR(W2101="unavailable",Y2101="unavailable"),"不可评价",IF(AND(OR(W2101="positive",W2101="equivocal"),OR(Y2101="positive",Y2101="equivocal")),"a",IF(OR(Y2101="positive",Y2101="equivocal"),"b",IF(OR(W2101="positive",W2101="equivocal"),"c","d"))))</x:f>
        <x:v>d</x:v>
      </x:c>
      <x:c r="AF2101" s="12" t="str">
        <x:f>IF(OR(W2101="unavailable",Y2101="unavailable"),"不可评价",IF(AND(W2101="positive",Y2101="positive"),"a",IF(Y2101="positive","b",IF(W2101="positive","c","d"))))</x:f>
        <x:v>d</x:v>
      </x:c>
    </x:row>
    <x:row r="2102" ht="24" customHeight="1">
      <x:c r="A2102" s="12" t="str">
        <x:v>20242</x:v>
      </x:c>
      <x:c r="B2102" s="12" t="str">
        <x:v>10497</x:v>
      </x:c>
      <x:c r="C2102" s="21" t="n">
        <x:v>36199.519108796296</x:v>
      </x:c>
      <x:c r="D2102" s="12" t="n">
        <x:v>78</x:v>
      </x:c>
      <x:c r="E2102" s="12" t="n">
        <x:v>0</x:v>
      </x:c>
      <x:c r="F2102" s="12" t="str">
        <x:v>未记录</x:v>
      </x:c>
      <x:c r="G2102" s="12" t="n">
        <x:v>1</x:v>
      </x:c>
      <x:c r="H2102" s="12" t="str">
        <x:v>{'LVH': 15.0, 'VCLVH': 0.0, 'SARRH': 0.0}</x:v>
      </x:c>
      <x:c r="I2102" s="12" t="str">
        <x:v>[('SRTH', 100.0), ('PAC', 100.0), ('BORDE', 100.0)]</x:v>
      </x:c>
      <x:c r="J2102" s="12" t="str">
        <x:v>ptbxl_database.csv；ecg_id=20242；scp_codes</x:v>
      </x:c>
      <x:c r="K2102" s="12" t="str">
        <x:v>12sl_statements.csv；ecg_id=20242；statements_ext_snomed</x:v>
      </x:c>
      <x:c r="L2102" s="12"/>
      <x:c r="M2102" s="12" t="str">
        <x:v>negative</x:v>
      </x:c>
      <x:c r="N2102" s="12"/>
      <x:c r="O2102" s="12" t="str">
        <x:v>negative</x:v>
      </x:c>
      <x:c r="P2102" s="12" t="str">
        <x:f>IF(OR(M2102="unavailable",O2102="unavailable"),"不可评价",IF(OR(M2102="equivocal",O2102="equivocal"),"疑似",IF(AND(M2102="positive",O2102="positive"),"a",IF(O2102="positive","b",IF(M2102="positive","c","d")))))</x:f>
        <x:v>d</x:v>
      </x:c>
      <x:c r="Q2102" s="12"/>
      <x:c r="R2102" s="12" t="str">
        <x:v>negative</x:v>
      </x:c>
      <x:c r="S2102" s="12"/>
      <x:c r="T2102" s="12" t="str">
        <x:v>negative</x:v>
      </x:c>
      <x:c r="U2102" s="12" t="str">
        <x:f>IF(OR(R2102="unavailable",T2102="unavailable"),"不可评价",IF(OR(R2102="equivocal",T2102="equivocal"),"疑似",IF(AND(R2102="positive",T2102="positive"),"a",IF(T2102="positive","b",IF(R2102="positive","c","d")))))</x:f>
        <x:v>d</x:v>
      </x:c>
      <x:c r="V2102" s="12"/>
      <x:c r="W2102" s="12" t="str">
        <x:v>negative</x:v>
      </x:c>
      <x:c r="X2102" s="12"/>
      <x:c r="Y2102" s="12" t="str">
        <x:v>negative</x:v>
      </x:c>
      <x:c r="Z2102" s="12" t="str">
        <x:f>IF(OR(W2102="unavailable",Y2102="unavailable"),"不可评价",IF(OR(W2102="equivocal",Y2102="equivocal"),"疑似",IF(AND(W2102="positive",Y2102="positive"),"a",IF(Y2102="positive","b",IF(W2102="positive","c","d")))))</x:f>
        <x:v>d</x:v>
      </x:c>
      <x:c r="AA2102" s="12" t="str">
        <x:f>IF(OR(M2102="unavailable",O2102="unavailable"),"不可评价",IF(AND(OR(M2102="positive",M2102="equivocal"),OR(O2102="positive",O2102="equivocal")),"a",IF(OR(O2102="positive",O2102="equivocal"),"b",IF(OR(M2102="positive",M2102="equivocal"),"c","d"))))</x:f>
        <x:v>d</x:v>
      </x:c>
      <x:c r="AB2102" s="12" t="str">
        <x:f>IF(OR(M2102="unavailable",O2102="unavailable"),"不可评价",IF(AND(M2102="positive",O2102="positive"),"a",IF(O2102="positive","b",IF(M2102="positive","c","d"))))</x:f>
        <x:v>d</x:v>
      </x:c>
      <x:c r="AC2102" s="12" t="str">
        <x:f>IF(OR(R2102="unavailable",T2102="unavailable"),"不可评价",IF(AND(OR(R2102="positive",R2102="equivocal"),OR(T2102="positive",T2102="equivocal")),"a",IF(OR(T2102="positive",T2102="equivocal"),"b",IF(OR(R2102="positive",R2102="equivocal"),"c","d"))))</x:f>
        <x:v>d</x:v>
      </x:c>
      <x:c r="AD2102" s="12" t="str">
        <x:f>IF(OR(R2102="unavailable",T2102="unavailable"),"不可评价",IF(AND(R2102="positive",T2102="positive"),"a",IF(T2102="positive","b",IF(R2102="positive","c","d"))))</x:f>
        <x:v>d</x:v>
      </x:c>
      <x:c r="AE2102" s="12" t="str">
        <x:f>IF(OR(W2102="unavailable",Y2102="unavailable"),"不可评价",IF(AND(OR(W2102="positive",W2102="equivocal"),OR(Y2102="positive",Y2102="equivocal")),"a",IF(OR(Y2102="positive",Y2102="equivocal"),"b",IF(OR(W2102="positive",W2102="equivocal"),"c","d"))))</x:f>
        <x:v>d</x:v>
      </x:c>
      <x:c r="AF2102" s="12" t="str">
        <x:f>IF(OR(W2102="unavailable",Y2102="unavailable"),"不可评价",IF(AND(W2102="positive",Y2102="positive"),"a",IF(Y2102="positive","b",IF(W2102="positive","c","d"))))</x:f>
        <x:v>d</x:v>
      </x:c>
    </x:row>
    <x:row r="2103" ht="24" customHeight="1">
      <x:c r="A2103" s="12" t="str">
        <x:v>20252</x:v>
      </x:c>
      <x:c r="B2103" s="12" t="str">
        <x:v>12203</x:v>
      </x:c>
      <x:c r="C2103" s="21" t="n">
        <x:v>36217.63150462963</x:v>
      </x:c>
      <x:c r="D2103" s="12" t="n">
        <x:v>84</x:v>
      </x:c>
      <x:c r="E2103" s="12" t="n">
        <x:v>1</x:v>
      </x:c>
      <x:c r="F2103" s="12" t="str">
        <x:v>存在</x:v>
      </x:c>
      <x:c r="G2103" s="12" t="n">
        <x:v>1</x:v>
      </x:c>
      <x:c r="H2103" s="12" t="str">
        <x:v>{'CRBBB': 100.0, 'ABQRS': 0.0, 'SR': 0.0}</x:v>
      </x:c>
      <x:c r="I2103" s="12" t="str">
        <x:v>[('NSR', 100.0), ('RBBB', 100.0), ('LMI;AU', 100.0), ('AB', 100.0)]</x:v>
      </x:c>
      <x:c r="J2103" s="12" t="str">
        <x:v>ptbxl_database.csv；ecg_id=20252；scp_codes</x:v>
      </x:c>
      <x:c r="K2103" s="12" t="str">
        <x:v>12sl_statements.csv；ecg_id=20252；statements_ext_snomed</x:v>
      </x:c>
      <x:c r="L2103" s="12"/>
      <x:c r="M2103" s="12" t="str">
        <x:v>negative</x:v>
      </x:c>
      <x:c r="N2103" s="12"/>
      <x:c r="O2103" s="12" t="str">
        <x:v>negative</x:v>
      </x:c>
      <x:c r="P2103" s="12" t="str">
        <x:f>IF(OR(M2103="unavailable",O2103="unavailable"),"不可评价",IF(OR(M2103="equivocal",O2103="equivocal"),"疑似",IF(AND(M2103="positive",O2103="positive"),"a",IF(O2103="positive","b",IF(M2103="positive","c","d")))))</x:f>
        <x:v>d</x:v>
      </x:c>
      <x:c r="Q2103" s="12"/>
      <x:c r="R2103" s="12" t="str">
        <x:v>negative</x:v>
      </x:c>
      <x:c r="S2103" s="12"/>
      <x:c r="T2103" s="12" t="str">
        <x:v>negative</x:v>
      </x:c>
      <x:c r="U2103" s="12" t="str">
        <x:f>IF(OR(R2103="unavailable",T2103="unavailable"),"不可评价",IF(OR(R2103="equivocal",T2103="equivocal"),"疑似",IF(AND(R2103="positive",T2103="positive"),"a",IF(T2103="positive","b",IF(R2103="positive","c","d")))))</x:f>
        <x:v>d</x:v>
      </x:c>
      <x:c r="V2103" s="12" t="n">
        <x:v>100</x:v>
      </x:c>
      <x:c r="W2103" s="12" t="str">
        <x:v>positive</x:v>
      </x:c>
      <x:c r="X2103" s="12" t="n">
        <x:v>100</x:v>
      </x:c>
      <x:c r="Y2103" s="12" t="str">
        <x:v>positive</x:v>
      </x:c>
      <x:c r="Z2103" s="12" t="str">
        <x:f>IF(OR(W2103="unavailable",Y2103="unavailable"),"不可评价",IF(OR(W2103="equivocal",Y2103="equivocal"),"疑似",IF(AND(W2103="positive",Y2103="positive"),"a",IF(Y2103="positive","b",IF(W2103="positive","c","d")))))</x:f>
        <x:v>a</x:v>
      </x:c>
      <x:c r="AA2103" s="12" t="str">
        <x:f>IF(OR(M2103="unavailable",O2103="unavailable"),"不可评价",IF(AND(OR(M2103="positive",M2103="equivocal"),OR(O2103="positive",O2103="equivocal")),"a",IF(OR(O2103="positive",O2103="equivocal"),"b",IF(OR(M2103="positive",M2103="equivocal"),"c","d"))))</x:f>
        <x:v>d</x:v>
      </x:c>
      <x:c r="AB2103" s="12" t="str">
        <x:f>IF(OR(M2103="unavailable",O2103="unavailable"),"不可评价",IF(AND(M2103="positive",O2103="positive"),"a",IF(O2103="positive","b",IF(M2103="positive","c","d"))))</x:f>
        <x:v>d</x:v>
      </x:c>
      <x:c r="AC2103" s="12" t="str">
        <x:f>IF(OR(R2103="unavailable",T2103="unavailable"),"不可评价",IF(AND(OR(R2103="positive",R2103="equivocal"),OR(T2103="positive",T2103="equivocal")),"a",IF(OR(T2103="positive",T2103="equivocal"),"b",IF(OR(R2103="positive",R2103="equivocal"),"c","d"))))</x:f>
        <x:v>d</x:v>
      </x:c>
      <x:c r="AD2103" s="12" t="str">
        <x:f>IF(OR(R2103="unavailable",T2103="unavailable"),"不可评价",IF(AND(R2103="positive",T2103="positive"),"a",IF(T2103="positive","b",IF(R2103="positive","c","d"))))</x:f>
        <x:v>d</x:v>
      </x:c>
      <x:c r="AE2103" s="12" t="str">
        <x:f>IF(OR(W2103="unavailable",Y2103="unavailable"),"不可评价",IF(AND(OR(W2103="positive",W2103="equivocal"),OR(Y2103="positive",Y2103="equivocal")),"a",IF(OR(Y2103="positive",Y2103="equivocal"),"b",IF(OR(W2103="positive",W2103="equivocal"),"c","d"))))</x:f>
        <x:v>a</x:v>
      </x:c>
      <x:c r="AF2103" s="12" t="str">
        <x:f>IF(OR(W2103="unavailable",Y2103="unavailable"),"不可评价",IF(AND(W2103="positive",Y2103="positive"),"a",IF(Y2103="positive","b",IF(W2103="positive","c","d"))))</x:f>
        <x:v>a</x:v>
      </x:c>
    </x:row>
    <x:row r="2104" ht="24" customHeight="1">
      <x:c r="A2104" s="12" t="str">
        <x:v>20280</x:v>
      </x:c>
      <x:c r="B2104" s="12" t="str">
        <x:v>10937</x:v>
      </x:c>
      <x:c r="C2104" s="21" t="n">
        <x:v>36310.59111111111</x:v>
      </x:c>
      <x:c r="D2104" s="12" t="n">
        <x:v>56</x:v>
      </x:c>
      <x:c r="E2104" s="12" t="n">
        <x:v>0</x:v>
      </x:c>
      <x:c r="F2104" s="12" t="str">
        <x:v>未记录</x:v>
      </x:c>
      <x:c r="G2104" s="12" t="n">
        <x:v>1</x:v>
      </x:c>
      <x:c r="H2104" s="12" t="str">
        <x:v>{'NORM': 100.0, 'SR': 0.0}</x:v>
      </x:c>
      <x:c r="I2104" s="12" t="str">
        <x:v>[('NSR', 100.0), ('NML', 100.0)]</x:v>
      </x:c>
      <x:c r="J2104" s="12" t="str">
        <x:v>ptbxl_database.csv；ecg_id=20280；scp_codes</x:v>
      </x:c>
      <x:c r="K2104" s="12" t="str">
        <x:v>12sl_statements.csv；ecg_id=20280；statements_ext_snomed</x:v>
      </x:c>
      <x:c r="L2104" s="12"/>
      <x:c r="M2104" s="12" t="str">
        <x:v>negative</x:v>
      </x:c>
      <x:c r="N2104" s="12"/>
      <x:c r="O2104" s="12" t="str">
        <x:v>negative</x:v>
      </x:c>
      <x:c r="P2104" s="12" t="str">
        <x:f>IF(OR(M2104="unavailable",O2104="unavailable"),"不可评价",IF(OR(M2104="equivocal",O2104="equivocal"),"疑似",IF(AND(M2104="positive",O2104="positive"),"a",IF(O2104="positive","b",IF(M2104="positive","c","d")))))</x:f>
        <x:v>d</x:v>
      </x:c>
      <x:c r="Q2104" s="12"/>
      <x:c r="R2104" s="12" t="str">
        <x:v>negative</x:v>
      </x:c>
      <x:c r="S2104" s="12"/>
      <x:c r="T2104" s="12" t="str">
        <x:v>negative</x:v>
      </x:c>
      <x:c r="U2104" s="12" t="str">
        <x:f>IF(OR(R2104="unavailable",T2104="unavailable"),"不可评价",IF(OR(R2104="equivocal",T2104="equivocal"),"疑似",IF(AND(R2104="positive",T2104="positive"),"a",IF(T2104="positive","b",IF(R2104="positive","c","d")))))</x:f>
        <x:v>d</x:v>
      </x:c>
      <x:c r="V2104" s="12"/>
      <x:c r="W2104" s="12" t="str">
        <x:v>negative</x:v>
      </x:c>
      <x:c r="X2104" s="12"/>
      <x:c r="Y2104" s="12" t="str">
        <x:v>negative</x:v>
      </x:c>
      <x:c r="Z2104" s="12" t="str">
        <x:f>IF(OR(W2104="unavailable",Y2104="unavailable"),"不可评价",IF(OR(W2104="equivocal",Y2104="equivocal"),"疑似",IF(AND(W2104="positive",Y2104="positive"),"a",IF(Y2104="positive","b",IF(W2104="positive","c","d")))))</x:f>
        <x:v>d</x:v>
      </x:c>
      <x:c r="AA2104" s="12" t="str">
        <x:f>IF(OR(M2104="unavailable",O2104="unavailable"),"不可评价",IF(AND(OR(M2104="positive",M2104="equivocal"),OR(O2104="positive",O2104="equivocal")),"a",IF(OR(O2104="positive",O2104="equivocal"),"b",IF(OR(M2104="positive",M2104="equivocal"),"c","d"))))</x:f>
        <x:v>d</x:v>
      </x:c>
      <x:c r="AB2104" s="12" t="str">
        <x:f>IF(OR(M2104="unavailable",O2104="unavailable"),"不可评价",IF(AND(M2104="positive",O2104="positive"),"a",IF(O2104="positive","b",IF(M2104="positive","c","d"))))</x:f>
        <x:v>d</x:v>
      </x:c>
      <x:c r="AC2104" s="12" t="str">
        <x:f>IF(OR(R2104="unavailable",T2104="unavailable"),"不可评价",IF(AND(OR(R2104="positive",R2104="equivocal"),OR(T2104="positive",T2104="equivocal")),"a",IF(OR(T2104="positive",T2104="equivocal"),"b",IF(OR(R2104="positive",R2104="equivocal"),"c","d"))))</x:f>
        <x:v>d</x:v>
      </x:c>
      <x:c r="AD2104" s="12" t="str">
        <x:f>IF(OR(R2104="unavailable",T2104="unavailable"),"不可评价",IF(AND(R2104="positive",T2104="positive"),"a",IF(T2104="positive","b",IF(R2104="positive","c","d"))))</x:f>
        <x:v>d</x:v>
      </x:c>
      <x:c r="AE2104" s="12" t="str">
        <x:f>IF(OR(W2104="unavailable",Y2104="unavailable"),"不可评价",IF(AND(OR(W2104="positive",W2104="equivocal"),OR(Y2104="positive",Y2104="equivocal")),"a",IF(OR(Y2104="positive",Y2104="equivocal"),"b",IF(OR(W2104="positive",W2104="equivocal"),"c","d"))))</x:f>
        <x:v>d</x:v>
      </x:c>
      <x:c r="AF2104" s="12" t="str">
        <x:f>IF(OR(W2104="unavailable",Y2104="unavailable"),"不可评价",IF(AND(W2104="positive",Y2104="positive"),"a",IF(Y2104="positive","b",IF(W2104="positive","c","d"))))</x:f>
        <x:v>d</x:v>
      </x:c>
    </x:row>
    <x:row r="2105" ht="24" customHeight="1">
      <x:c r="A2105" s="12" t="str">
        <x:v>20288</x:v>
      </x:c>
      <x:c r="B2105" s="12" t="str">
        <x:v>10264</x:v>
      </x:c>
      <x:c r="C2105" s="21" t="n">
        <x:v>36317.57472222222</x:v>
      </x:c>
      <x:c r="D2105" s="12" t="n">
        <x:v>79</x:v>
      </x:c>
      <x:c r="E2105" s="12" t="n">
        <x:v>1</x:v>
      </x:c>
      <x:c r="F2105" s="12" t="str">
        <x:v>未记录</x:v>
      </x:c>
      <x:c r="G2105" s="12" t="n">
        <x:v>1</x:v>
      </x:c>
      <x:c r="H2105" s="12" t="str">
        <x:v>{'IMI': 50.0, 'ABQRS': 0.0, 'SR': 0.0}</x:v>
      </x:c>
      <x:c r="I2105" s="12" t="str">
        <x:v>[('NSR', 100.0), ('LOWV', 100.0), ('IMI;AU', 100.0), ('AB', 100.0)]</x:v>
      </x:c>
      <x:c r="J2105" s="12" t="str">
        <x:v>ptbxl_database.csv；ecg_id=20288；scp_codes</x:v>
      </x:c>
      <x:c r="K2105" s="12" t="str">
        <x:v>12sl_statements.csv；ecg_id=20288；statements_ext_snomed</x:v>
      </x:c>
      <x:c r="L2105" s="12"/>
      <x:c r="M2105" s="12" t="str">
        <x:v>negative</x:v>
      </x:c>
      <x:c r="N2105" s="12"/>
      <x:c r="O2105" s="12" t="str">
        <x:v>negative</x:v>
      </x:c>
      <x:c r="P2105" s="12" t="str">
        <x:f>IF(OR(M2105="unavailable",O2105="unavailable"),"不可评价",IF(OR(M2105="equivocal",O2105="equivocal"),"疑似",IF(AND(M2105="positive",O2105="positive"),"a",IF(O2105="positive","b",IF(M2105="positive","c","d")))))</x:f>
        <x:v>d</x:v>
      </x:c>
      <x:c r="Q2105" s="12"/>
      <x:c r="R2105" s="12" t="str">
        <x:v>negative</x:v>
      </x:c>
      <x:c r="S2105" s="12"/>
      <x:c r="T2105" s="12" t="str">
        <x:v>negative</x:v>
      </x:c>
      <x:c r="U2105" s="12" t="str">
        <x:f>IF(OR(R2105="unavailable",T2105="unavailable"),"不可评价",IF(OR(R2105="equivocal",T2105="equivocal"),"疑似",IF(AND(R2105="positive",T2105="positive"),"a",IF(T2105="positive","b",IF(R2105="positive","c","d")))))</x:f>
        <x:v>d</x:v>
      </x:c>
      <x:c r="V2105" s="12"/>
      <x:c r="W2105" s="12" t="str">
        <x:v>negative</x:v>
      </x:c>
      <x:c r="X2105" s="12"/>
      <x:c r="Y2105" s="12" t="str">
        <x:v>negative</x:v>
      </x:c>
      <x:c r="Z2105" s="12" t="str">
        <x:f>IF(OR(W2105="unavailable",Y2105="unavailable"),"不可评价",IF(OR(W2105="equivocal",Y2105="equivocal"),"疑似",IF(AND(W2105="positive",Y2105="positive"),"a",IF(Y2105="positive","b",IF(W2105="positive","c","d")))))</x:f>
        <x:v>d</x:v>
      </x:c>
      <x:c r="AA2105" s="12" t="str">
        <x:f>IF(OR(M2105="unavailable",O2105="unavailable"),"不可评价",IF(AND(OR(M2105="positive",M2105="equivocal"),OR(O2105="positive",O2105="equivocal")),"a",IF(OR(O2105="positive",O2105="equivocal"),"b",IF(OR(M2105="positive",M2105="equivocal"),"c","d"))))</x:f>
        <x:v>d</x:v>
      </x:c>
      <x:c r="AB2105" s="12" t="str">
        <x:f>IF(OR(M2105="unavailable",O2105="unavailable"),"不可评价",IF(AND(M2105="positive",O2105="positive"),"a",IF(O2105="positive","b",IF(M2105="positive","c","d"))))</x:f>
        <x:v>d</x:v>
      </x:c>
      <x:c r="AC2105" s="12" t="str">
        <x:f>IF(OR(R2105="unavailable",T2105="unavailable"),"不可评价",IF(AND(OR(R2105="positive",R2105="equivocal"),OR(T2105="positive",T2105="equivocal")),"a",IF(OR(T2105="positive",T2105="equivocal"),"b",IF(OR(R2105="positive",R2105="equivocal"),"c","d"))))</x:f>
        <x:v>d</x:v>
      </x:c>
      <x:c r="AD2105" s="12" t="str">
        <x:f>IF(OR(R2105="unavailable",T2105="unavailable"),"不可评价",IF(AND(R2105="positive",T2105="positive"),"a",IF(T2105="positive","b",IF(R2105="positive","c","d"))))</x:f>
        <x:v>d</x:v>
      </x:c>
      <x:c r="AE2105" s="12" t="str">
        <x:f>IF(OR(W2105="unavailable",Y2105="unavailable"),"不可评价",IF(AND(OR(W2105="positive",W2105="equivocal"),OR(Y2105="positive",Y2105="equivocal")),"a",IF(OR(Y2105="positive",Y2105="equivocal"),"b",IF(OR(W2105="positive",W2105="equivocal"),"c","d"))))</x:f>
        <x:v>d</x:v>
      </x:c>
      <x:c r="AF2105" s="12" t="str">
        <x:f>IF(OR(W2105="unavailable",Y2105="unavailable"),"不可评价",IF(AND(W2105="positive",Y2105="positive"),"a",IF(Y2105="positive","b",IF(W2105="positive","c","d"))))</x:f>
        <x:v>d</x:v>
      </x:c>
    </x:row>
    <x:row r="2106" ht="24" customHeight="1">
      <x:c r="A2106" s="12" t="str">
        <x:v>20301</x:v>
      </x:c>
      <x:c r="B2106" s="12" t="str">
        <x:v>18629</x:v>
      </x:c>
      <x:c r="C2106" s="21" t="n">
        <x:v>36325.58883101852</x:v>
      </x:c>
      <x:c r="D2106" s="12" t="n">
        <x:v>76</x:v>
      </x:c>
      <x:c r="E2106" s="12" t="n">
        <x:v>0</x:v>
      </x:c>
      <x:c r="F2106" s="12" t="str">
        <x:v>存在</x:v>
      </x:c>
      <x:c r="G2106" s="12" t="n">
        <x:v>1</x:v>
      </x:c>
      <x:c r="H2106" s="12" t="str">
        <x:v>{'ASMI': 50.0, 'CRBBB': 100.0, 'LAFB': 100.0, 'ABQRS': 0.0, 'SR': 0.0}</x:v>
      </x:c>
      <x:c r="I2106" s="12" t="str">
        <x:v>[('NSR', 100.0), ('RBBB', 100.0), ('AFB', 100.0), ('BIFB', 100.0), ('AB', 100.0)]</x:v>
      </x:c>
      <x:c r="J2106" s="12" t="str">
        <x:v>ptbxl_database.csv；ecg_id=20301；scp_codes</x:v>
      </x:c>
      <x:c r="K2106" s="12" t="str">
        <x:v>12sl_statements.csv；ecg_id=20301；statements_ext_snomed</x:v>
      </x:c>
      <x:c r="L2106" s="12"/>
      <x:c r="M2106" s="12" t="str">
        <x:v>negative</x:v>
      </x:c>
      <x:c r="N2106" s="12"/>
      <x:c r="O2106" s="12" t="str">
        <x:v>negative</x:v>
      </x:c>
      <x:c r="P2106" s="12" t="str">
        <x:f>IF(OR(M2106="unavailable",O2106="unavailable"),"不可评价",IF(OR(M2106="equivocal",O2106="equivocal"),"疑似",IF(AND(M2106="positive",O2106="positive"),"a",IF(O2106="positive","b",IF(M2106="positive","c","d")))))</x:f>
        <x:v>d</x:v>
      </x:c>
      <x:c r="Q2106" s="12"/>
      <x:c r="R2106" s="12" t="str">
        <x:v>negative</x:v>
      </x:c>
      <x:c r="S2106" s="12"/>
      <x:c r="T2106" s="12" t="str">
        <x:v>negative</x:v>
      </x:c>
      <x:c r="U2106" s="12" t="str">
        <x:f>IF(OR(R2106="unavailable",T2106="unavailable"),"不可评价",IF(OR(R2106="equivocal",T2106="equivocal"),"疑似",IF(AND(R2106="positive",T2106="positive"),"a",IF(T2106="positive","b",IF(R2106="positive","c","d")))))</x:f>
        <x:v>d</x:v>
      </x:c>
      <x:c r="V2106" s="12" t="n">
        <x:v>100</x:v>
      </x:c>
      <x:c r="W2106" s="12" t="str">
        <x:v>positive</x:v>
      </x:c>
      <x:c r="X2106" s="12" t="n">
        <x:v>100</x:v>
      </x:c>
      <x:c r="Y2106" s="12" t="str">
        <x:v>positive</x:v>
      </x:c>
      <x:c r="Z2106" s="12" t="str">
        <x:f>IF(OR(W2106="unavailable",Y2106="unavailable"),"不可评价",IF(OR(W2106="equivocal",Y2106="equivocal"),"疑似",IF(AND(W2106="positive",Y2106="positive"),"a",IF(Y2106="positive","b",IF(W2106="positive","c","d")))))</x:f>
        <x:v>a</x:v>
      </x:c>
      <x:c r="AA2106" s="12" t="str">
        <x:f>IF(OR(M2106="unavailable",O2106="unavailable"),"不可评价",IF(AND(OR(M2106="positive",M2106="equivocal"),OR(O2106="positive",O2106="equivocal")),"a",IF(OR(O2106="positive",O2106="equivocal"),"b",IF(OR(M2106="positive",M2106="equivocal"),"c","d"))))</x:f>
        <x:v>d</x:v>
      </x:c>
      <x:c r="AB2106" s="12" t="str">
        <x:f>IF(OR(M2106="unavailable",O2106="unavailable"),"不可评价",IF(AND(M2106="positive",O2106="positive"),"a",IF(O2106="positive","b",IF(M2106="positive","c","d"))))</x:f>
        <x:v>d</x:v>
      </x:c>
      <x:c r="AC2106" s="12" t="str">
        <x:f>IF(OR(R2106="unavailable",T2106="unavailable"),"不可评价",IF(AND(OR(R2106="positive",R2106="equivocal"),OR(T2106="positive",T2106="equivocal")),"a",IF(OR(T2106="positive",T2106="equivocal"),"b",IF(OR(R2106="positive",R2106="equivocal"),"c","d"))))</x:f>
        <x:v>d</x:v>
      </x:c>
      <x:c r="AD2106" s="12" t="str">
        <x:f>IF(OR(R2106="unavailable",T2106="unavailable"),"不可评价",IF(AND(R2106="positive",T2106="positive"),"a",IF(T2106="positive","b",IF(R2106="positive","c","d"))))</x:f>
        <x:v>d</x:v>
      </x:c>
      <x:c r="AE2106" s="12" t="str">
        <x:f>IF(OR(W2106="unavailable",Y2106="unavailable"),"不可评价",IF(AND(OR(W2106="positive",W2106="equivocal"),OR(Y2106="positive",Y2106="equivocal")),"a",IF(OR(Y2106="positive",Y2106="equivocal"),"b",IF(OR(W2106="positive",W2106="equivocal"),"c","d"))))</x:f>
        <x:v>a</x:v>
      </x:c>
      <x:c r="AF2106" s="12" t="str">
        <x:f>IF(OR(W2106="unavailable",Y2106="unavailable"),"不可评价",IF(AND(W2106="positive",Y2106="positive"),"a",IF(Y2106="positive","b",IF(W2106="positive","c","d"))))</x:f>
        <x:v>a</x:v>
      </x:c>
    </x:row>
    <x:row r="2107" ht="39" customHeight="1">
      <x:c r="A2107" s="12" t="str">
        <x:v>20313</x:v>
      </x:c>
      <x:c r="B2107" s="12" t="str">
        <x:v>13920</x:v>
      </x:c>
      <x:c r="C2107" s="21" t="n">
        <x:v>36340.67390046296</x:v>
      </x:c>
      <x:c r="D2107" s="12" t="n">
        <x:v>71</x:v>
      </x:c>
      <x:c r="E2107" s="12" t="n">
        <x:v>1</x:v>
      </x:c>
      <x:c r="F2107" s="12" t="str">
        <x:v>存在</x:v>
      </x:c>
      <x:c r="G2107" s="12" t="n">
        <x:v>1</x:v>
      </x:c>
      <x:c r="H2107" s="12" t="str">
        <x:v>{'AMI': 15.0, 'INJAS': 100.0, 'INJAL': 100.0, 'LAFB': 100.0, 'ABQRS': 0.0, 'SR': 0.0}</x:v>
      </x:c>
      <x:c r="I2107" s="12" t="str">
        <x:v>[('NSR', 100.0), ('AFB', 100.0), ('LVH2', 100.0), ('2ST', 100.0), ('AMI;AU', 15.0), ('AB', 100.0)]</x:v>
      </x:c>
      <x:c r="J2107" s="12" t="str">
        <x:v>ptbxl_database.csv；ecg_id=20313；scp_codes</x:v>
      </x:c>
      <x:c r="K2107" s="12" t="str">
        <x:v>12sl_statements.csv；ecg_id=20313；statements_ext_snomed</x:v>
      </x:c>
      <x:c r="L2107" s="12"/>
      <x:c r="M2107" s="12" t="str">
        <x:v>negative</x:v>
      </x:c>
      <x:c r="N2107" s="12"/>
      <x:c r="O2107" s="12" t="str">
        <x:v>negative</x:v>
      </x:c>
      <x:c r="P2107" s="12" t="str">
        <x:f>IF(OR(M2107="unavailable",O2107="unavailable"),"不可评价",IF(OR(M2107="equivocal",O2107="equivocal"),"疑似",IF(AND(M2107="positive",O2107="positive"),"a",IF(O2107="positive","b",IF(M2107="positive","c","d")))))</x:f>
        <x:v>d</x:v>
      </x:c>
      <x:c r="Q2107" s="12"/>
      <x:c r="R2107" s="12" t="str">
        <x:v>negative</x:v>
      </x:c>
      <x:c r="S2107" s="12"/>
      <x:c r="T2107" s="12" t="str">
        <x:v>negative</x:v>
      </x:c>
      <x:c r="U2107" s="12" t="str">
        <x:f>IF(OR(R2107="unavailable",T2107="unavailable"),"不可评价",IF(OR(R2107="equivocal",T2107="equivocal"),"疑似",IF(AND(R2107="positive",T2107="positive"),"a",IF(T2107="positive","b",IF(R2107="positive","c","d")))))</x:f>
        <x:v>d</x:v>
      </x:c>
      <x:c r="V2107" s="12"/>
      <x:c r="W2107" s="12" t="str">
        <x:v>negative</x:v>
      </x:c>
      <x:c r="X2107" s="12"/>
      <x:c r="Y2107" s="12" t="str">
        <x:v>negative</x:v>
      </x:c>
      <x:c r="Z2107" s="12" t="str">
        <x:f>IF(OR(W2107="unavailable",Y2107="unavailable"),"不可评价",IF(OR(W2107="equivocal",Y2107="equivocal"),"疑似",IF(AND(W2107="positive",Y2107="positive"),"a",IF(Y2107="positive","b",IF(W2107="positive","c","d")))))</x:f>
        <x:v>d</x:v>
      </x:c>
      <x:c r="AA2107" s="12" t="str">
        <x:f>IF(OR(M2107="unavailable",O2107="unavailable"),"不可评价",IF(AND(OR(M2107="positive",M2107="equivocal"),OR(O2107="positive",O2107="equivocal")),"a",IF(OR(O2107="positive",O2107="equivocal"),"b",IF(OR(M2107="positive",M2107="equivocal"),"c","d"))))</x:f>
        <x:v>d</x:v>
      </x:c>
      <x:c r="AB2107" s="12" t="str">
        <x:f>IF(OR(M2107="unavailable",O2107="unavailable"),"不可评价",IF(AND(M2107="positive",O2107="positive"),"a",IF(O2107="positive","b",IF(M2107="positive","c","d"))))</x:f>
        <x:v>d</x:v>
      </x:c>
      <x:c r="AC2107" s="12" t="str">
        <x:f>IF(OR(R2107="unavailable",T2107="unavailable"),"不可评价",IF(AND(OR(R2107="positive",R2107="equivocal"),OR(T2107="positive",T2107="equivocal")),"a",IF(OR(T2107="positive",T2107="equivocal"),"b",IF(OR(R2107="positive",R2107="equivocal"),"c","d"))))</x:f>
        <x:v>d</x:v>
      </x:c>
      <x:c r="AD2107" s="12" t="str">
        <x:f>IF(OR(R2107="unavailable",T2107="unavailable"),"不可评价",IF(AND(R2107="positive",T2107="positive"),"a",IF(T2107="positive","b",IF(R2107="positive","c","d"))))</x:f>
        <x:v>d</x:v>
      </x:c>
      <x:c r="AE2107" s="12" t="str">
        <x:f>IF(OR(W2107="unavailable",Y2107="unavailable"),"不可评价",IF(AND(OR(W2107="positive",W2107="equivocal"),OR(Y2107="positive",Y2107="equivocal")),"a",IF(OR(Y2107="positive",Y2107="equivocal"),"b",IF(OR(W2107="positive",W2107="equivocal"),"c","d"))))</x:f>
        <x:v>d</x:v>
      </x:c>
      <x:c r="AF2107" s="12" t="str">
        <x:f>IF(OR(W2107="unavailable",Y2107="unavailable"),"不可评价",IF(AND(W2107="positive",Y2107="positive"),"a",IF(Y2107="positive","b",IF(W2107="positive","c","d"))))</x:f>
        <x:v>d</x:v>
      </x:c>
    </x:row>
    <x:row r="2108" ht="24" customHeight="1">
      <x:c r="A2108" s="12" t="str">
        <x:v>20317</x:v>
      </x:c>
      <x:c r="B2108" s="12" t="str">
        <x:v>13744</x:v>
      </x:c>
      <x:c r="C2108" s="21" t="n">
        <x:v>36343.538090277776</x:v>
      </x:c>
      <x:c r="D2108" s="12" t="n">
        <x:v>57</x:v>
      </x:c>
      <x:c r="E2108" s="12" t="n">
        <x:v>0</x:v>
      </x:c>
      <x:c r="F2108" s="12" t="str">
        <x:v>未记录</x:v>
      </x:c>
      <x:c r="G2108" s="12" t="n">
        <x:v>1</x:v>
      </x:c>
      <x:c r="H2108" s="12" t="str">
        <x:v>{'ALMI': 100.0, 'IMI': 100.0, 'ABQRS': 0.0, 'SR': 0.0}</x:v>
      </x:c>
      <x:c r="I2108" s="12" t="str">
        <x:v>[('NSR', 100.0), ('IMI;AU', 100.0), ('ALT', 100.0), ('AB', 100.0)]</x:v>
      </x:c>
      <x:c r="J2108" s="12" t="str">
        <x:v>ptbxl_database.csv；ecg_id=20317；scp_codes</x:v>
      </x:c>
      <x:c r="K2108" s="12" t="str">
        <x:v>12sl_statements.csv；ecg_id=20317；statements_ext_snomed</x:v>
      </x:c>
      <x:c r="L2108" s="12"/>
      <x:c r="M2108" s="12" t="str">
        <x:v>negative</x:v>
      </x:c>
      <x:c r="N2108" s="12"/>
      <x:c r="O2108" s="12" t="str">
        <x:v>negative</x:v>
      </x:c>
      <x:c r="P2108" s="12" t="str">
        <x:f>IF(OR(M2108="unavailable",O2108="unavailable"),"不可评价",IF(OR(M2108="equivocal",O2108="equivocal"),"疑似",IF(AND(M2108="positive",O2108="positive"),"a",IF(O2108="positive","b",IF(M2108="positive","c","d")))))</x:f>
        <x:v>d</x:v>
      </x:c>
      <x:c r="Q2108" s="12"/>
      <x:c r="R2108" s="12" t="str">
        <x:v>negative</x:v>
      </x:c>
      <x:c r="S2108" s="12"/>
      <x:c r="T2108" s="12" t="str">
        <x:v>negative</x:v>
      </x:c>
      <x:c r="U2108" s="12" t="str">
        <x:f>IF(OR(R2108="unavailable",T2108="unavailable"),"不可评价",IF(OR(R2108="equivocal",T2108="equivocal"),"疑似",IF(AND(R2108="positive",T2108="positive"),"a",IF(T2108="positive","b",IF(R2108="positive","c","d")))))</x:f>
        <x:v>d</x:v>
      </x:c>
      <x:c r="V2108" s="12"/>
      <x:c r="W2108" s="12" t="str">
        <x:v>negative</x:v>
      </x:c>
      <x:c r="X2108" s="12"/>
      <x:c r="Y2108" s="12" t="str">
        <x:v>negative</x:v>
      </x:c>
      <x:c r="Z2108" s="12" t="str">
        <x:f>IF(OR(W2108="unavailable",Y2108="unavailable"),"不可评价",IF(OR(W2108="equivocal",Y2108="equivocal"),"疑似",IF(AND(W2108="positive",Y2108="positive"),"a",IF(Y2108="positive","b",IF(W2108="positive","c","d")))))</x:f>
        <x:v>d</x:v>
      </x:c>
      <x:c r="AA2108" s="12" t="str">
        <x:f>IF(OR(M2108="unavailable",O2108="unavailable"),"不可评价",IF(AND(OR(M2108="positive",M2108="equivocal"),OR(O2108="positive",O2108="equivocal")),"a",IF(OR(O2108="positive",O2108="equivocal"),"b",IF(OR(M2108="positive",M2108="equivocal"),"c","d"))))</x:f>
        <x:v>d</x:v>
      </x:c>
      <x:c r="AB2108" s="12" t="str">
        <x:f>IF(OR(M2108="unavailable",O2108="unavailable"),"不可评价",IF(AND(M2108="positive",O2108="positive"),"a",IF(O2108="positive","b",IF(M2108="positive","c","d"))))</x:f>
        <x:v>d</x:v>
      </x:c>
      <x:c r="AC2108" s="12" t="str">
        <x:f>IF(OR(R2108="unavailable",T2108="unavailable"),"不可评价",IF(AND(OR(R2108="positive",R2108="equivocal"),OR(T2108="positive",T2108="equivocal")),"a",IF(OR(T2108="positive",T2108="equivocal"),"b",IF(OR(R2108="positive",R2108="equivocal"),"c","d"))))</x:f>
        <x:v>d</x:v>
      </x:c>
      <x:c r="AD2108" s="12" t="str">
        <x:f>IF(OR(R2108="unavailable",T2108="unavailable"),"不可评价",IF(AND(R2108="positive",T2108="positive"),"a",IF(T2108="positive","b",IF(R2108="positive","c","d"))))</x:f>
        <x:v>d</x:v>
      </x:c>
      <x:c r="AE2108" s="12" t="str">
        <x:f>IF(OR(W2108="unavailable",Y2108="unavailable"),"不可评价",IF(AND(OR(W2108="positive",W2108="equivocal"),OR(Y2108="positive",Y2108="equivocal")),"a",IF(OR(Y2108="positive",Y2108="equivocal"),"b",IF(OR(W2108="positive",W2108="equivocal"),"c","d"))))</x:f>
        <x:v>d</x:v>
      </x:c>
      <x:c r="AF2108" s="12" t="str">
        <x:f>IF(OR(W2108="unavailable",Y2108="unavailable"),"不可评价",IF(AND(W2108="positive",Y2108="positive"),"a",IF(Y2108="positive","b",IF(W2108="positive","c","d"))))</x:f>
        <x:v>d</x:v>
      </x:c>
    </x:row>
    <x:row r="2109" ht="39" customHeight="1">
      <x:c r="A2109" s="12" t="str">
        <x:v>20330</x:v>
      </x:c>
      <x:c r="B2109" s="12" t="str">
        <x:v>15609</x:v>
      </x:c>
      <x:c r="C2109" s="21" t="n">
        <x:v>36345.629594907405</x:v>
      </x:c>
      <x:c r="D2109" s="12" t="n">
        <x:v>64</x:v>
      </x:c>
      <x:c r="E2109" s="12" t="n">
        <x:v>0</x:v>
      </x:c>
      <x:c r="F2109" s="12" t="str">
        <x:v>存在</x:v>
      </x:c>
      <x:c r="G2109" s="12" t="n">
        <x:v>0</x:v>
      </x:c>
      <x:c r="H2109" s="12" t="str">
        <x:v>{'IMI': 100.0, 'ABQRS': 0.0, 'AFIB': 0.0}</x:v>
      </x:c>
      <x:c r="I2109" s="12" t="str">
        <x:v>[('AFIB', 100.0), ('RAD5', 100.0), ('PULD', 100.0), ('IRBBB', 100.0), ('RVH', 100.0), ('IMI;AU', 50.0), ('AB', 100.0)]</x:v>
      </x:c>
      <x:c r="J2109" s="12" t="str">
        <x:v>ptbxl_database.csv；ecg_id=20330；scp_codes</x:v>
      </x:c>
      <x:c r="K2109" s="12" t="str">
        <x:v>12sl_statements.csv；ecg_id=20330；statements_ext_snomed</x:v>
      </x:c>
      <x:c r="L2109" s="12" t="n">
        <x:v>0</x:v>
      </x:c>
      <x:c r="M2109" s="12" t="str">
        <x:v>positive</x:v>
      </x:c>
      <x:c r="N2109" s="12" t="n">
        <x:v>100</x:v>
      </x:c>
      <x:c r="O2109" s="12" t="str">
        <x:v>positive</x:v>
      </x:c>
      <x:c r="P2109" s="12" t="str">
        <x:f>IF(OR(M2109="unavailable",O2109="unavailable"),"不可评价",IF(OR(M2109="equivocal",O2109="equivocal"),"疑似",IF(AND(M2109="positive",O2109="positive"),"a",IF(O2109="positive","b",IF(M2109="positive","c","d")))))</x:f>
        <x:v>a</x:v>
      </x:c>
      <x:c r="Q2109" s="12"/>
      <x:c r="R2109" s="12" t="str">
        <x:v>negative</x:v>
      </x:c>
      <x:c r="S2109" s="12"/>
      <x:c r="T2109" s="12" t="str">
        <x:v>negative</x:v>
      </x:c>
      <x:c r="U2109" s="12" t="str">
        <x:f>IF(OR(R2109="unavailable",T2109="unavailable"),"不可评价",IF(OR(R2109="equivocal",T2109="equivocal"),"疑似",IF(AND(R2109="positive",T2109="positive"),"a",IF(T2109="positive","b",IF(R2109="positive","c","d")))))</x:f>
        <x:v>d</x:v>
      </x:c>
      <x:c r="V2109" s="12"/>
      <x:c r="W2109" s="12" t="str">
        <x:v>negative</x:v>
      </x:c>
      <x:c r="X2109" s="12"/>
      <x:c r="Y2109" s="12" t="str">
        <x:v>negative</x:v>
      </x:c>
      <x:c r="Z2109" s="12" t="str">
        <x:f>IF(OR(W2109="unavailable",Y2109="unavailable"),"不可评价",IF(OR(W2109="equivocal",Y2109="equivocal"),"疑似",IF(AND(W2109="positive",Y2109="positive"),"a",IF(Y2109="positive","b",IF(W2109="positive","c","d")))))</x:f>
        <x:v>d</x:v>
      </x:c>
      <x:c r="AA2109" s="12" t="str">
        <x:f>IF(OR(M2109="unavailable",O2109="unavailable"),"不可评价",IF(AND(OR(M2109="positive",M2109="equivocal"),OR(O2109="positive",O2109="equivocal")),"a",IF(OR(O2109="positive",O2109="equivocal"),"b",IF(OR(M2109="positive",M2109="equivocal"),"c","d"))))</x:f>
        <x:v>a</x:v>
      </x:c>
      <x:c r="AB2109" s="12" t="str">
        <x:f>IF(OR(M2109="unavailable",O2109="unavailable"),"不可评价",IF(AND(M2109="positive",O2109="positive"),"a",IF(O2109="positive","b",IF(M2109="positive","c","d"))))</x:f>
        <x:v>a</x:v>
      </x:c>
      <x:c r="AC2109" s="12" t="str">
        <x:f>IF(OR(R2109="unavailable",T2109="unavailable"),"不可评价",IF(AND(OR(R2109="positive",R2109="equivocal"),OR(T2109="positive",T2109="equivocal")),"a",IF(OR(T2109="positive",T2109="equivocal"),"b",IF(OR(R2109="positive",R2109="equivocal"),"c","d"))))</x:f>
        <x:v>d</x:v>
      </x:c>
      <x:c r="AD2109" s="12" t="str">
        <x:f>IF(OR(R2109="unavailable",T2109="unavailable"),"不可评价",IF(AND(R2109="positive",T2109="positive"),"a",IF(T2109="positive","b",IF(R2109="positive","c","d"))))</x:f>
        <x:v>d</x:v>
      </x:c>
      <x:c r="AE2109" s="12" t="str">
        <x:f>IF(OR(W2109="unavailable",Y2109="unavailable"),"不可评价",IF(AND(OR(W2109="positive",W2109="equivocal"),OR(Y2109="positive",Y2109="equivocal")),"a",IF(OR(Y2109="positive",Y2109="equivocal"),"b",IF(OR(W2109="positive",W2109="equivocal"),"c","d"))))</x:f>
        <x:v>d</x:v>
      </x:c>
      <x:c r="AF2109" s="12" t="str">
        <x:f>IF(OR(W2109="unavailable",Y2109="unavailable"),"不可评价",IF(AND(W2109="positive",Y2109="positive"),"a",IF(Y2109="positive","b",IF(W2109="positive","c","d"))))</x:f>
        <x:v>d</x:v>
      </x:c>
    </x:row>
    <x:row r="2110" ht="24" customHeight="1">
      <x:c r="A2110" s="12" t="str">
        <x:v>20356</x:v>
      </x:c>
      <x:c r="B2110" s="12" t="str">
        <x:v>21092</x:v>
      </x:c>
      <x:c r="C2110" s="21" t="n">
        <x:v>36356.72390046297</x:v>
      </x:c>
      <x:c r="D2110" s="12" t="n">
        <x:v>36</x:v>
      </x:c>
      <x:c r="E2110" s="12" t="n">
        <x:v>0</x:v>
      </x:c>
      <x:c r="F2110" s="12" t="str">
        <x:v>未记录</x:v>
      </x:c>
      <x:c r="G2110" s="12" t="n">
        <x:v>1</x:v>
      </x:c>
      <x:c r="H2110" s="12" t="str">
        <x:v>{'NORM': 100.0, 'SR': 0.0}</x:v>
      </x:c>
      <x:c r="I2110" s="12" t="str">
        <x:v>[('NSR', 100.0), ('NML', 100.0)]</x:v>
      </x:c>
      <x:c r="J2110" s="12" t="str">
        <x:v>ptbxl_database.csv；ecg_id=20356；scp_codes</x:v>
      </x:c>
      <x:c r="K2110" s="12" t="str">
        <x:v>12sl_statements.csv；ecg_id=20356；statements_ext_snomed</x:v>
      </x:c>
      <x:c r="L2110" s="12"/>
      <x:c r="M2110" s="12" t="str">
        <x:v>negative</x:v>
      </x:c>
      <x:c r="N2110" s="12"/>
      <x:c r="O2110" s="12" t="str">
        <x:v>negative</x:v>
      </x:c>
      <x:c r="P2110" s="12" t="str">
        <x:f>IF(OR(M2110="unavailable",O2110="unavailable"),"不可评价",IF(OR(M2110="equivocal",O2110="equivocal"),"疑似",IF(AND(M2110="positive",O2110="positive"),"a",IF(O2110="positive","b",IF(M2110="positive","c","d")))))</x:f>
        <x:v>d</x:v>
      </x:c>
      <x:c r="Q2110" s="12"/>
      <x:c r="R2110" s="12" t="str">
        <x:v>negative</x:v>
      </x:c>
      <x:c r="S2110" s="12"/>
      <x:c r="T2110" s="12" t="str">
        <x:v>negative</x:v>
      </x:c>
      <x:c r="U2110" s="12" t="str">
        <x:f>IF(OR(R2110="unavailable",T2110="unavailable"),"不可评价",IF(OR(R2110="equivocal",T2110="equivocal"),"疑似",IF(AND(R2110="positive",T2110="positive"),"a",IF(T2110="positive","b",IF(R2110="positive","c","d")))))</x:f>
        <x:v>d</x:v>
      </x:c>
      <x:c r="V2110" s="12"/>
      <x:c r="W2110" s="12" t="str">
        <x:v>negative</x:v>
      </x:c>
      <x:c r="X2110" s="12"/>
      <x:c r="Y2110" s="12" t="str">
        <x:v>negative</x:v>
      </x:c>
      <x:c r="Z2110" s="12" t="str">
        <x:f>IF(OR(W2110="unavailable",Y2110="unavailable"),"不可评价",IF(OR(W2110="equivocal",Y2110="equivocal"),"疑似",IF(AND(W2110="positive",Y2110="positive"),"a",IF(Y2110="positive","b",IF(W2110="positive","c","d")))))</x:f>
        <x:v>d</x:v>
      </x:c>
      <x:c r="AA2110" s="12" t="str">
        <x:f>IF(OR(M2110="unavailable",O2110="unavailable"),"不可评价",IF(AND(OR(M2110="positive",M2110="equivocal"),OR(O2110="positive",O2110="equivocal")),"a",IF(OR(O2110="positive",O2110="equivocal"),"b",IF(OR(M2110="positive",M2110="equivocal"),"c","d"))))</x:f>
        <x:v>d</x:v>
      </x:c>
      <x:c r="AB2110" s="12" t="str">
        <x:f>IF(OR(M2110="unavailable",O2110="unavailable"),"不可评价",IF(AND(M2110="positive",O2110="positive"),"a",IF(O2110="positive","b",IF(M2110="positive","c","d"))))</x:f>
        <x:v>d</x:v>
      </x:c>
      <x:c r="AC2110" s="12" t="str">
        <x:f>IF(OR(R2110="unavailable",T2110="unavailable"),"不可评价",IF(AND(OR(R2110="positive",R2110="equivocal"),OR(T2110="positive",T2110="equivocal")),"a",IF(OR(T2110="positive",T2110="equivocal"),"b",IF(OR(R2110="positive",R2110="equivocal"),"c","d"))))</x:f>
        <x:v>d</x:v>
      </x:c>
      <x:c r="AD2110" s="12" t="str">
        <x:f>IF(OR(R2110="unavailable",T2110="unavailable"),"不可评价",IF(AND(R2110="positive",T2110="positive"),"a",IF(T2110="positive","b",IF(R2110="positive","c","d"))))</x:f>
        <x:v>d</x:v>
      </x:c>
      <x:c r="AE2110" s="12" t="str">
        <x:f>IF(OR(W2110="unavailable",Y2110="unavailable"),"不可评价",IF(AND(OR(W2110="positive",W2110="equivocal"),OR(Y2110="positive",Y2110="equivocal")),"a",IF(OR(Y2110="positive",Y2110="equivocal"),"b",IF(OR(W2110="positive",W2110="equivocal"),"c","d"))))</x:f>
        <x:v>d</x:v>
      </x:c>
      <x:c r="AF2110" s="12" t="str">
        <x:f>IF(OR(W2110="unavailable",Y2110="unavailable"),"不可评价",IF(AND(W2110="positive",Y2110="positive"),"a",IF(Y2110="positive","b",IF(W2110="positive","c","d"))))</x:f>
        <x:v>d</x:v>
      </x:c>
    </x:row>
    <x:row r="2111" ht="24" customHeight="1">
      <x:c r="A2111" s="12" t="str">
        <x:v>20369</x:v>
      </x:c>
      <x:c r="B2111" s="12" t="str">
        <x:v>15739</x:v>
      </x:c>
      <x:c r="C2111" s="21" t="n">
        <x:v>36359.661527777775</x:v>
      </x:c>
      <x:c r="D2111" s="12" t="n">
        <x:v>43</x:v>
      </x:c>
      <x:c r="E2111" s="12" t="n">
        <x:v>0</x:v>
      </x:c>
      <x:c r="F2111" s="12" t="str">
        <x:v>未记录</x:v>
      </x:c>
      <x:c r="G2111" s="12" t="n">
        <x:v>1</x:v>
      </x:c>
      <x:c r="H2111" s="12" t="str">
        <x:v>{'LVH': 50.0, 'ABQRS': 0.0, 'SR': 0.0}</x:v>
      </x:c>
      <x:c r="I2111" s="12" t="str">
        <x:v>[('NSR', 100.0), ('BORDE', 100.0)]</x:v>
      </x:c>
      <x:c r="J2111" s="12" t="str">
        <x:v>ptbxl_database.csv；ecg_id=20369；scp_codes</x:v>
      </x:c>
      <x:c r="K2111" s="12" t="str">
        <x:v>12sl_statements.csv；ecg_id=20369；statements_ext_snomed</x:v>
      </x:c>
      <x:c r="L2111" s="12"/>
      <x:c r="M2111" s="12" t="str">
        <x:v>negative</x:v>
      </x:c>
      <x:c r="N2111" s="12"/>
      <x:c r="O2111" s="12" t="str">
        <x:v>negative</x:v>
      </x:c>
      <x:c r="P2111" s="12" t="str">
        <x:f>IF(OR(M2111="unavailable",O2111="unavailable"),"不可评价",IF(OR(M2111="equivocal",O2111="equivocal"),"疑似",IF(AND(M2111="positive",O2111="positive"),"a",IF(O2111="positive","b",IF(M2111="positive","c","d")))))</x:f>
        <x:v>d</x:v>
      </x:c>
      <x:c r="Q2111" s="12"/>
      <x:c r="R2111" s="12" t="str">
        <x:v>negative</x:v>
      </x:c>
      <x:c r="S2111" s="12"/>
      <x:c r="T2111" s="12" t="str">
        <x:v>negative</x:v>
      </x:c>
      <x:c r="U2111" s="12" t="str">
        <x:f>IF(OR(R2111="unavailable",T2111="unavailable"),"不可评价",IF(OR(R2111="equivocal",T2111="equivocal"),"疑似",IF(AND(R2111="positive",T2111="positive"),"a",IF(T2111="positive","b",IF(R2111="positive","c","d")))))</x:f>
        <x:v>d</x:v>
      </x:c>
      <x:c r="V2111" s="12"/>
      <x:c r="W2111" s="12" t="str">
        <x:v>negative</x:v>
      </x:c>
      <x:c r="X2111" s="12"/>
      <x:c r="Y2111" s="12" t="str">
        <x:v>negative</x:v>
      </x:c>
      <x:c r="Z2111" s="12" t="str">
        <x:f>IF(OR(W2111="unavailable",Y2111="unavailable"),"不可评价",IF(OR(W2111="equivocal",Y2111="equivocal"),"疑似",IF(AND(W2111="positive",Y2111="positive"),"a",IF(Y2111="positive","b",IF(W2111="positive","c","d")))))</x:f>
        <x:v>d</x:v>
      </x:c>
      <x:c r="AA2111" s="12" t="str">
        <x:f>IF(OR(M2111="unavailable",O2111="unavailable"),"不可评价",IF(AND(OR(M2111="positive",M2111="equivocal"),OR(O2111="positive",O2111="equivocal")),"a",IF(OR(O2111="positive",O2111="equivocal"),"b",IF(OR(M2111="positive",M2111="equivocal"),"c","d"))))</x:f>
        <x:v>d</x:v>
      </x:c>
      <x:c r="AB2111" s="12" t="str">
        <x:f>IF(OR(M2111="unavailable",O2111="unavailable"),"不可评价",IF(AND(M2111="positive",O2111="positive"),"a",IF(O2111="positive","b",IF(M2111="positive","c","d"))))</x:f>
        <x:v>d</x:v>
      </x:c>
      <x:c r="AC2111" s="12" t="str">
        <x:f>IF(OR(R2111="unavailable",T2111="unavailable"),"不可评价",IF(AND(OR(R2111="positive",R2111="equivocal"),OR(T2111="positive",T2111="equivocal")),"a",IF(OR(T2111="positive",T2111="equivocal"),"b",IF(OR(R2111="positive",R2111="equivocal"),"c","d"))))</x:f>
        <x:v>d</x:v>
      </x:c>
      <x:c r="AD2111" s="12" t="str">
        <x:f>IF(OR(R2111="unavailable",T2111="unavailable"),"不可评价",IF(AND(R2111="positive",T2111="positive"),"a",IF(T2111="positive","b",IF(R2111="positive","c","d"))))</x:f>
        <x:v>d</x:v>
      </x:c>
      <x:c r="AE2111" s="12" t="str">
        <x:f>IF(OR(W2111="unavailable",Y2111="unavailable"),"不可评价",IF(AND(OR(W2111="positive",W2111="equivocal"),OR(Y2111="positive",Y2111="equivocal")),"a",IF(OR(Y2111="positive",Y2111="equivocal"),"b",IF(OR(W2111="positive",W2111="equivocal"),"c","d"))))</x:f>
        <x:v>d</x:v>
      </x:c>
      <x:c r="AF2111" s="12" t="str">
        <x:f>IF(OR(W2111="unavailable",Y2111="unavailable"),"不可评价",IF(AND(W2111="positive",Y2111="positive"),"a",IF(Y2111="positive","b",IF(W2111="positive","c","d"))))</x:f>
        <x:v>d</x:v>
      </x:c>
    </x:row>
    <x:row r="2112" ht="24" customHeight="1">
      <x:c r="A2112" s="12" t="str">
        <x:v>20387</x:v>
      </x:c>
      <x:c r="B2112" s="12" t="str">
        <x:v>15739</x:v>
      </x:c>
      <x:c r="C2112" s="21" t="n">
        <x:v>36364.71928240741</x:v>
      </x:c>
      <x:c r="D2112" s="12" t="n">
        <x:v>43</x:v>
      </x:c>
      <x:c r="E2112" s="12" t="n">
        <x:v>0</x:v>
      </x:c>
      <x:c r="F2112" s="12" t="str">
        <x:v>未记录</x:v>
      </x:c>
      <x:c r="G2112" s="12" t="n">
        <x:v>0</x:v>
      </x:c>
      <x:c r="H2112" s="12" t="str">
        <x:v>{'NORM': 50.0, 'PVC': 100.0, 'ABQRS': 0.0, 'SR': 0.0}</x:v>
      </x:c>
      <x:c r="I2112" s="12" t="str">
        <x:v>[('SRTH', 100.0), ('SAR', 100.0), ('PVC', 100.0), ('ABR', 100.0)]</x:v>
      </x:c>
      <x:c r="J2112" s="12" t="str">
        <x:v>ptbxl_database.csv；ecg_id=20387；scp_codes</x:v>
      </x:c>
      <x:c r="K2112" s="12" t="str">
        <x:v>12sl_statements.csv；ecg_id=20387；statements_ext_snomed</x:v>
      </x:c>
      <x:c r="L2112" s="12"/>
      <x:c r="M2112" s="12" t="str">
        <x:v>negative</x:v>
      </x:c>
      <x:c r="N2112" s="12"/>
      <x:c r="O2112" s="12" t="str">
        <x:v>negative</x:v>
      </x:c>
      <x:c r="P2112" s="12" t="str">
        <x:f>IF(OR(M2112="unavailable",O2112="unavailable"),"不可评价",IF(OR(M2112="equivocal",O2112="equivocal"),"疑似",IF(AND(M2112="positive",O2112="positive"),"a",IF(O2112="positive","b",IF(M2112="positive","c","d")))))</x:f>
        <x:v>d</x:v>
      </x:c>
      <x:c r="Q2112" s="12"/>
      <x:c r="R2112" s="12" t="str">
        <x:v>negative</x:v>
      </x:c>
      <x:c r="S2112" s="12"/>
      <x:c r="T2112" s="12" t="str">
        <x:v>negative</x:v>
      </x:c>
      <x:c r="U2112" s="12" t="str">
        <x:f>IF(OR(R2112="unavailable",T2112="unavailable"),"不可评价",IF(OR(R2112="equivocal",T2112="equivocal"),"疑似",IF(AND(R2112="positive",T2112="positive"),"a",IF(T2112="positive","b",IF(R2112="positive","c","d")))))</x:f>
        <x:v>d</x:v>
      </x:c>
      <x:c r="V2112" s="12"/>
      <x:c r="W2112" s="12" t="str">
        <x:v>negative</x:v>
      </x:c>
      <x:c r="X2112" s="12"/>
      <x:c r="Y2112" s="12" t="str">
        <x:v>negative</x:v>
      </x:c>
      <x:c r="Z2112" s="12" t="str">
        <x:f>IF(OR(W2112="unavailable",Y2112="unavailable"),"不可评价",IF(OR(W2112="equivocal",Y2112="equivocal"),"疑似",IF(AND(W2112="positive",Y2112="positive"),"a",IF(Y2112="positive","b",IF(W2112="positive","c","d")))))</x:f>
        <x:v>d</x:v>
      </x:c>
      <x:c r="AA2112" s="12" t="str">
        <x:f>IF(OR(M2112="unavailable",O2112="unavailable"),"不可评价",IF(AND(OR(M2112="positive",M2112="equivocal"),OR(O2112="positive",O2112="equivocal")),"a",IF(OR(O2112="positive",O2112="equivocal"),"b",IF(OR(M2112="positive",M2112="equivocal"),"c","d"))))</x:f>
        <x:v>d</x:v>
      </x:c>
      <x:c r="AB2112" s="12" t="str">
        <x:f>IF(OR(M2112="unavailable",O2112="unavailable"),"不可评价",IF(AND(M2112="positive",O2112="positive"),"a",IF(O2112="positive","b",IF(M2112="positive","c","d"))))</x:f>
        <x:v>d</x:v>
      </x:c>
      <x:c r="AC2112" s="12" t="str">
        <x:f>IF(OR(R2112="unavailable",T2112="unavailable"),"不可评价",IF(AND(OR(R2112="positive",R2112="equivocal"),OR(T2112="positive",T2112="equivocal")),"a",IF(OR(T2112="positive",T2112="equivocal"),"b",IF(OR(R2112="positive",R2112="equivocal"),"c","d"))))</x:f>
        <x:v>d</x:v>
      </x:c>
      <x:c r="AD2112" s="12" t="str">
        <x:f>IF(OR(R2112="unavailable",T2112="unavailable"),"不可评价",IF(AND(R2112="positive",T2112="positive"),"a",IF(T2112="positive","b",IF(R2112="positive","c","d"))))</x:f>
        <x:v>d</x:v>
      </x:c>
      <x:c r="AE2112" s="12" t="str">
        <x:f>IF(OR(W2112="unavailable",Y2112="unavailable"),"不可评价",IF(AND(OR(W2112="positive",W2112="equivocal"),OR(Y2112="positive",Y2112="equivocal")),"a",IF(OR(Y2112="positive",Y2112="equivocal"),"b",IF(OR(W2112="positive",W2112="equivocal"),"c","d"))))</x:f>
        <x:v>d</x:v>
      </x:c>
      <x:c r="AF2112" s="12" t="str">
        <x:f>IF(OR(W2112="unavailable",Y2112="unavailable"),"不可评价",IF(AND(W2112="positive",Y2112="positive"),"a",IF(Y2112="positive","b",IF(W2112="positive","c","d"))))</x:f>
        <x:v>d</x:v>
      </x:c>
    </x:row>
    <x:row r="2113" ht="24" customHeight="1">
      <x:c r="A2113" s="12" t="str">
        <x:v>20401</x:v>
      </x:c>
      <x:c r="B2113" s="12" t="str">
        <x:v>17065</x:v>
      </x:c>
      <x:c r="C2113" s="21" t="n">
        <x:v>36366.70590277778</x:v>
      </x:c>
      <x:c r="D2113" s="12" t="n">
        <x:v>58</x:v>
      </x:c>
      <x:c r="E2113" s="12" t="n">
        <x:v>0</x:v>
      </x:c>
      <x:c r="F2113" s="12" t="str">
        <x:v>未记录</x:v>
      </x:c>
      <x:c r="G2113" s="12" t="n">
        <x:v>1</x:v>
      </x:c>
      <x:c r="H2113" s="12" t="str">
        <x:v>{'NORM': 100.0, 'SR': 0.0}</x:v>
      </x:c>
      <x:c r="I2113" s="12" t="str">
        <x:v>[('NSR', 100.0), ('NML', 100.0)]</x:v>
      </x:c>
      <x:c r="J2113" s="12" t="str">
        <x:v>ptbxl_database.csv；ecg_id=20401；scp_codes</x:v>
      </x:c>
      <x:c r="K2113" s="12" t="str">
        <x:v>12sl_statements.csv；ecg_id=20401；statements_ext_snomed</x:v>
      </x:c>
      <x:c r="L2113" s="12"/>
      <x:c r="M2113" s="12" t="str">
        <x:v>negative</x:v>
      </x:c>
      <x:c r="N2113" s="12"/>
      <x:c r="O2113" s="12" t="str">
        <x:v>negative</x:v>
      </x:c>
      <x:c r="P2113" s="12" t="str">
        <x:f>IF(OR(M2113="unavailable",O2113="unavailable"),"不可评价",IF(OR(M2113="equivocal",O2113="equivocal"),"疑似",IF(AND(M2113="positive",O2113="positive"),"a",IF(O2113="positive","b",IF(M2113="positive","c","d")))))</x:f>
        <x:v>d</x:v>
      </x:c>
      <x:c r="Q2113" s="12"/>
      <x:c r="R2113" s="12" t="str">
        <x:v>negative</x:v>
      </x:c>
      <x:c r="S2113" s="12"/>
      <x:c r="T2113" s="12" t="str">
        <x:v>negative</x:v>
      </x:c>
      <x:c r="U2113" s="12" t="str">
        <x:f>IF(OR(R2113="unavailable",T2113="unavailable"),"不可评价",IF(OR(R2113="equivocal",T2113="equivocal"),"疑似",IF(AND(R2113="positive",T2113="positive"),"a",IF(T2113="positive","b",IF(R2113="positive","c","d")))))</x:f>
        <x:v>d</x:v>
      </x:c>
      <x:c r="V2113" s="12"/>
      <x:c r="W2113" s="12" t="str">
        <x:v>negative</x:v>
      </x:c>
      <x:c r="X2113" s="12"/>
      <x:c r="Y2113" s="12" t="str">
        <x:v>negative</x:v>
      </x:c>
      <x:c r="Z2113" s="12" t="str">
        <x:f>IF(OR(W2113="unavailable",Y2113="unavailable"),"不可评价",IF(OR(W2113="equivocal",Y2113="equivocal"),"疑似",IF(AND(W2113="positive",Y2113="positive"),"a",IF(Y2113="positive","b",IF(W2113="positive","c","d")))))</x:f>
        <x:v>d</x:v>
      </x:c>
      <x:c r="AA2113" s="12" t="str">
        <x:f>IF(OR(M2113="unavailable",O2113="unavailable"),"不可评价",IF(AND(OR(M2113="positive",M2113="equivocal"),OR(O2113="positive",O2113="equivocal")),"a",IF(OR(O2113="positive",O2113="equivocal"),"b",IF(OR(M2113="positive",M2113="equivocal"),"c","d"))))</x:f>
        <x:v>d</x:v>
      </x:c>
      <x:c r="AB2113" s="12" t="str">
        <x:f>IF(OR(M2113="unavailable",O2113="unavailable"),"不可评价",IF(AND(M2113="positive",O2113="positive"),"a",IF(O2113="positive","b",IF(M2113="positive","c","d"))))</x:f>
        <x:v>d</x:v>
      </x:c>
      <x:c r="AC2113" s="12" t="str">
        <x:f>IF(OR(R2113="unavailable",T2113="unavailable"),"不可评价",IF(AND(OR(R2113="positive",R2113="equivocal"),OR(T2113="positive",T2113="equivocal")),"a",IF(OR(T2113="positive",T2113="equivocal"),"b",IF(OR(R2113="positive",R2113="equivocal"),"c","d"))))</x:f>
        <x:v>d</x:v>
      </x:c>
      <x:c r="AD2113" s="12" t="str">
        <x:f>IF(OR(R2113="unavailable",T2113="unavailable"),"不可评价",IF(AND(R2113="positive",T2113="positive"),"a",IF(T2113="positive","b",IF(R2113="positive","c","d"))))</x:f>
        <x:v>d</x:v>
      </x:c>
      <x:c r="AE2113" s="12" t="str">
        <x:f>IF(OR(W2113="unavailable",Y2113="unavailable"),"不可评价",IF(AND(OR(W2113="positive",W2113="equivocal"),OR(Y2113="positive",Y2113="equivocal")),"a",IF(OR(Y2113="positive",Y2113="equivocal"),"b",IF(OR(W2113="positive",W2113="equivocal"),"c","d"))))</x:f>
        <x:v>d</x:v>
      </x:c>
      <x:c r="AF2113" s="12" t="str">
        <x:f>IF(OR(W2113="unavailable",Y2113="unavailable"),"不可评价",IF(AND(W2113="positive",Y2113="positive"),"a",IF(Y2113="positive","b",IF(W2113="positive","c","d"))))</x:f>
        <x:v>d</x:v>
      </x:c>
    </x:row>
    <x:row r="2114" ht="24" customHeight="1">
      <x:c r="A2114" s="12" t="str">
        <x:v>20402</x:v>
      </x:c>
      <x:c r="B2114" s="12" t="str">
        <x:v>17065</x:v>
      </x:c>
      <x:c r="C2114" s="21" t="n">
        <x:v>36367.3765162037</x:v>
      </x:c>
      <x:c r="D2114" s="12" t="n">
        <x:v>58</x:v>
      </x:c>
      <x:c r="E2114" s="12" t="n">
        <x:v>0</x:v>
      </x:c>
      <x:c r="F2114" s="12" t="str">
        <x:v>未记录</x:v>
      </x:c>
      <x:c r="G2114" s="12" t="n">
        <x:v>0</x:v>
      </x:c>
      <x:c r="H2114" s="12" t="str">
        <x:v>{'NORM': 100.0, 'SR': 0.0}</x:v>
      </x:c>
      <x:c r="I2114" s="12" t="str">
        <x:v>[('NSR', 100.0), ('NML', 100.0)]</x:v>
      </x:c>
      <x:c r="J2114" s="12" t="str">
        <x:v>ptbxl_database.csv；ecg_id=20402；scp_codes</x:v>
      </x:c>
      <x:c r="K2114" s="12" t="str">
        <x:v>12sl_statements.csv；ecg_id=20402；statements_ext_snomed</x:v>
      </x:c>
      <x:c r="L2114" s="12"/>
      <x:c r="M2114" s="12" t="str">
        <x:v>negative</x:v>
      </x:c>
      <x:c r="N2114" s="12"/>
      <x:c r="O2114" s="12" t="str">
        <x:v>negative</x:v>
      </x:c>
      <x:c r="P2114" s="12" t="str">
        <x:f>IF(OR(M2114="unavailable",O2114="unavailable"),"不可评价",IF(OR(M2114="equivocal",O2114="equivocal"),"疑似",IF(AND(M2114="positive",O2114="positive"),"a",IF(O2114="positive","b",IF(M2114="positive","c","d")))))</x:f>
        <x:v>d</x:v>
      </x:c>
      <x:c r="Q2114" s="12"/>
      <x:c r="R2114" s="12" t="str">
        <x:v>negative</x:v>
      </x:c>
      <x:c r="S2114" s="12"/>
      <x:c r="T2114" s="12" t="str">
        <x:v>negative</x:v>
      </x:c>
      <x:c r="U2114" s="12" t="str">
        <x:f>IF(OR(R2114="unavailable",T2114="unavailable"),"不可评价",IF(OR(R2114="equivocal",T2114="equivocal"),"疑似",IF(AND(R2114="positive",T2114="positive"),"a",IF(T2114="positive","b",IF(R2114="positive","c","d")))))</x:f>
        <x:v>d</x:v>
      </x:c>
      <x:c r="V2114" s="12"/>
      <x:c r="W2114" s="12" t="str">
        <x:v>negative</x:v>
      </x:c>
      <x:c r="X2114" s="12"/>
      <x:c r="Y2114" s="12" t="str">
        <x:v>negative</x:v>
      </x:c>
      <x:c r="Z2114" s="12" t="str">
        <x:f>IF(OR(W2114="unavailable",Y2114="unavailable"),"不可评价",IF(OR(W2114="equivocal",Y2114="equivocal"),"疑似",IF(AND(W2114="positive",Y2114="positive"),"a",IF(Y2114="positive","b",IF(W2114="positive","c","d")))))</x:f>
        <x:v>d</x:v>
      </x:c>
      <x:c r="AA2114" s="12" t="str">
        <x:f>IF(OR(M2114="unavailable",O2114="unavailable"),"不可评价",IF(AND(OR(M2114="positive",M2114="equivocal"),OR(O2114="positive",O2114="equivocal")),"a",IF(OR(O2114="positive",O2114="equivocal"),"b",IF(OR(M2114="positive",M2114="equivocal"),"c","d"))))</x:f>
        <x:v>d</x:v>
      </x:c>
      <x:c r="AB2114" s="12" t="str">
        <x:f>IF(OR(M2114="unavailable",O2114="unavailable"),"不可评价",IF(AND(M2114="positive",O2114="positive"),"a",IF(O2114="positive","b",IF(M2114="positive","c","d"))))</x:f>
        <x:v>d</x:v>
      </x:c>
      <x:c r="AC2114" s="12" t="str">
        <x:f>IF(OR(R2114="unavailable",T2114="unavailable"),"不可评价",IF(AND(OR(R2114="positive",R2114="equivocal"),OR(T2114="positive",T2114="equivocal")),"a",IF(OR(T2114="positive",T2114="equivocal"),"b",IF(OR(R2114="positive",R2114="equivocal"),"c","d"))))</x:f>
        <x:v>d</x:v>
      </x:c>
      <x:c r="AD2114" s="12" t="str">
        <x:f>IF(OR(R2114="unavailable",T2114="unavailable"),"不可评价",IF(AND(R2114="positive",T2114="positive"),"a",IF(T2114="positive","b",IF(R2114="positive","c","d"))))</x:f>
        <x:v>d</x:v>
      </x:c>
      <x:c r="AE2114" s="12" t="str">
        <x:f>IF(OR(W2114="unavailable",Y2114="unavailable"),"不可评价",IF(AND(OR(W2114="positive",W2114="equivocal"),OR(Y2114="positive",Y2114="equivocal")),"a",IF(OR(Y2114="positive",Y2114="equivocal"),"b",IF(OR(W2114="positive",W2114="equivocal"),"c","d"))))</x:f>
        <x:v>d</x:v>
      </x:c>
      <x:c r="AF2114" s="12" t="str">
        <x:f>IF(OR(W2114="unavailable",Y2114="unavailable"),"不可评价",IF(AND(W2114="positive",Y2114="positive"),"a",IF(Y2114="positive","b",IF(W2114="positive","c","d"))))</x:f>
        <x:v>d</x:v>
      </x:c>
    </x:row>
    <x:row r="2115" ht="24" customHeight="1">
      <x:c r="A2115" s="12" t="str">
        <x:v>20406</x:v>
      </x:c>
      <x:c r="B2115" s="12" t="str">
        <x:v>17065</x:v>
      </x:c>
      <x:c r="C2115" s="21" t="n">
        <x:v>36368.39425925926</x:v>
      </x:c>
      <x:c r="D2115" s="12" t="n">
        <x:v>58</x:v>
      </x:c>
      <x:c r="E2115" s="12" t="n">
        <x:v>0</x:v>
      </x:c>
      <x:c r="F2115" s="12" t="str">
        <x:v>未记录</x:v>
      </x:c>
      <x:c r="G2115" s="12" t="n">
        <x:v>0</x:v>
      </x:c>
      <x:c r="H2115" s="12" t="str">
        <x:v>{'AFIB': 100.0}</x:v>
      </x:c>
      <x:c r="I2115" s="12" t="str">
        <x:v>[('AFIB', 100.0), ('AB', 100.0)]</x:v>
      </x:c>
      <x:c r="J2115" s="12" t="str">
        <x:v>ptbxl_database.csv；ecg_id=20406；scp_codes</x:v>
      </x:c>
      <x:c r="K2115" s="12" t="str">
        <x:v>12sl_statements.csv；ecg_id=20406；statements_ext_snomed</x:v>
      </x:c>
      <x:c r="L2115" s="12" t="n">
        <x:v>100</x:v>
      </x:c>
      <x:c r="M2115" s="12" t="str">
        <x:v>positive</x:v>
      </x:c>
      <x:c r="N2115" s="12" t="n">
        <x:v>100</x:v>
      </x:c>
      <x:c r="O2115" s="12" t="str">
        <x:v>positive</x:v>
      </x:c>
      <x:c r="P2115" s="12" t="str">
        <x:f>IF(OR(M2115="unavailable",O2115="unavailable"),"不可评价",IF(OR(M2115="equivocal",O2115="equivocal"),"疑似",IF(AND(M2115="positive",O2115="positive"),"a",IF(O2115="positive","b",IF(M2115="positive","c","d")))))</x:f>
        <x:v>a</x:v>
      </x:c>
      <x:c r="Q2115" s="12"/>
      <x:c r="R2115" s="12" t="str">
        <x:v>negative</x:v>
      </x:c>
      <x:c r="S2115" s="12"/>
      <x:c r="T2115" s="12" t="str">
        <x:v>negative</x:v>
      </x:c>
      <x:c r="U2115" s="12" t="str">
        <x:f>IF(OR(R2115="unavailable",T2115="unavailable"),"不可评价",IF(OR(R2115="equivocal",T2115="equivocal"),"疑似",IF(AND(R2115="positive",T2115="positive"),"a",IF(T2115="positive","b",IF(R2115="positive","c","d")))))</x:f>
        <x:v>d</x:v>
      </x:c>
      <x:c r="V2115" s="12"/>
      <x:c r="W2115" s="12" t="str">
        <x:v>negative</x:v>
      </x:c>
      <x:c r="X2115" s="12"/>
      <x:c r="Y2115" s="12" t="str">
        <x:v>negative</x:v>
      </x:c>
      <x:c r="Z2115" s="12" t="str">
        <x:f>IF(OR(W2115="unavailable",Y2115="unavailable"),"不可评价",IF(OR(W2115="equivocal",Y2115="equivocal"),"疑似",IF(AND(W2115="positive",Y2115="positive"),"a",IF(Y2115="positive","b",IF(W2115="positive","c","d")))))</x:f>
        <x:v>d</x:v>
      </x:c>
      <x:c r="AA2115" s="12" t="str">
        <x:f>IF(OR(M2115="unavailable",O2115="unavailable"),"不可评价",IF(AND(OR(M2115="positive",M2115="equivocal"),OR(O2115="positive",O2115="equivocal")),"a",IF(OR(O2115="positive",O2115="equivocal"),"b",IF(OR(M2115="positive",M2115="equivocal"),"c","d"))))</x:f>
        <x:v>a</x:v>
      </x:c>
      <x:c r="AB2115" s="12" t="str">
        <x:f>IF(OR(M2115="unavailable",O2115="unavailable"),"不可评价",IF(AND(M2115="positive",O2115="positive"),"a",IF(O2115="positive","b",IF(M2115="positive","c","d"))))</x:f>
        <x:v>a</x:v>
      </x:c>
      <x:c r="AC2115" s="12" t="str">
        <x:f>IF(OR(R2115="unavailable",T2115="unavailable"),"不可评价",IF(AND(OR(R2115="positive",R2115="equivocal"),OR(T2115="positive",T2115="equivocal")),"a",IF(OR(T2115="positive",T2115="equivocal"),"b",IF(OR(R2115="positive",R2115="equivocal"),"c","d"))))</x:f>
        <x:v>d</x:v>
      </x:c>
      <x:c r="AD2115" s="12" t="str">
        <x:f>IF(OR(R2115="unavailable",T2115="unavailable"),"不可评价",IF(AND(R2115="positive",T2115="positive"),"a",IF(T2115="positive","b",IF(R2115="positive","c","d"))))</x:f>
        <x:v>d</x:v>
      </x:c>
      <x:c r="AE2115" s="12" t="str">
        <x:f>IF(OR(W2115="unavailable",Y2115="unavailable"),"不可评价",IF(AND(OR(W2115="positive",W2115="equivocal"),OR(Y2115="positive",Y2115="equivocal")),"a",IF(OR(Y2115="positive",Y2115="equivocal"),"b",IF(OR(W2115="positive",W2115="equivocal"),"c","d"))))</x:f>
        <x:v>d</x:v>
      </x:c>
      <x:c r="AF2115" s="12" t="str">
        <x:f>IF(OR(W2115="unavailable",Y2115="unavailable"),"不可评价",IF(AND(W2115="positive",Y2115="positive"),"a",IF(Y2115="positive","b",IF(W2115="positive","c","d"))))</x:f>
        <x:v>d</x:v>
      </x:c>
    </x:row>
    <x:row r="2116" ht="39" customHeight="1">
      <x:c r="A2116" s="12" t="str">
        <x:v>20515</x:v>
      </x:c>
      <x:c r="B2116" s="12" t="str">
        <x:v>20774</x:v>
      </x:c>
      <x:c r="C2116" s="21" t="n">
        <x:v>36399.49982638889</x:v>
      </x:c>
      <x:c r="D2116" s="12" t="n">
        <x:v>89</x:v>
      </x:c>
      <x:c r="E2116" s="12" t="n">
        <x:v>1</x:v>
      </x:c>
      <x:c r="F2116" s="12" t="str">
        <x:v>未记录</x:v>
      </x:c>
      <x:c r="G2116" s="12" t="n">
        <x:v>1</x:v>
      </x:c>
      <x:c r="H2116" s="12" t="str">
        <x:v>{'INJAS': 100.0, 'INJIL': 100.0, '1AVB': 100.0, 'SARRH': 0.0}</x:v>
      </x:c>
      <x:c r="I2116" s="12" t="str">
        <x:v>[('NSR', 100.0), ('SAR', 100.0), ('SMI;AU', 100.0), ('IT', 100.0), ('ALT', 100.0), ('AB', 100.0)]</x:v>
      </x:c>
      <x:c r="J2116" s="12" t="str">
        <x:v>ptbxl_database.csv；ecg_id=20515；scp_codes</x:v>
      </x:c>
      <x:c r="K2116" s="12" t="str">
        <x:v>12sl_statements.csv；ecg_id=20515；statements_ext_snomed</x:v>
      </x:c>
      <x:c r="L2116" s="12"/>
      <x:c r="M2116" s="12" t="str">
        <x:v>negative</x:v>
      </x:c>
      <x:c r="N2116" s="12"/>
      <x:c r="O2116" s="12" t="str">
        <x:v>negative</x:v>
      </x:c>
      <x:c r="P2116" s="12" t="str">
        <x:f>IF(OR(M2116="unavailable",O2116="unavailable"),"不可评价",IF(OR(M2116="equivocal",O2116="equivocal"),"疑似",IF(AND(M2116="positive",O2116="positive"),"a",IF(O2116="positive","b",IF(M2116="positive","c","d")))))</x:f>
        <x:v>d</x:v>
      </x:c>
      <x:c r="Q2116" s="12"/>
      <x:c r="R2116" s="12" t="str">
        <x:v>negative</x:v>
      </x:c>
      <x:c r="S2116" s="12"/>
      <x:c r="T2116" s="12" t="str">
        <x:v>negative</x:v>
      </x:c>
      <x:c r="U2116" s="12" t="str">
        <x:f>IF(OR(R2116="unavailable",T2116="unavailable"),"不可评价",IF(OR(R2116="equivocal",T2116="equivocal"),"疑似",IF(AND(R2116="positive",T2116="positive"),"a",IF(T2116="positive","b",IF(R2116="positive","c","d")))))</x:f>
        <x:v>d</x:v>
      </x:c>
      <x:c r="V2116" s="12"/>
      <x:c r="W2116" s="12" t="str">
        <x:v>negative</x:v>
      </x:c>
      <x:c r="X2116" s="12"/>
      <x:c r="Y2116" s="12" t="str">
        <x:v>negative</x:v>
      </x:c>
      <x:c r="Z2116" s="12" t="str">
        <x:f>IF(OR(W2116="unavailable",Y2116="unavailable"),"不可评价",IF(OR(W2116="equivocal",Y2116="equivocal"),"疑似",IF(AND(W2116="positive",Y2116="positive"),"a",IF(Y2116="positive","b",IF(W2116="positive","c","d")))))</x:f>
        <x:v>d</x:v>
      </x:c>
      <x:c r="AA2116" s="12" t="str">
        <x:f>IF(OR(M2116="unavailable",O2116="unavailable"),"不可评价",IF(AND(OR(M2116="positive",M2116="equivocal"),OR(O2116="positive",O2116="equivocal")),"a",IF(OR(O2116="positive",O2116="equivocal"),"b",IF(OR(M2116="positive",M2116="equivocal"),"c","d"))))</x:f>
        <x:v>d</x:v>
      </x:c>
      <x:c r="AB2116" s="12" t="str">
        <x:f>IF(OR(M2116="unavailable",O2116="unavailable"),"不可评价",IF(AND(M2116="positive",O2116="positive"),"a",IF(O2116="positive","b",IF(M2116="positive","c","d"))))</x:f>
        <x:v>d</x:v>
      </x:c>
      <x:c r="AC2116" s="12" t="str">
        <x:f>IF(OR(R2116="unavailable",T2116="unavailable"),"不可评价",IF(AND(OR(R2116="positive",R2116="equivocal"),OR(T2116="positive",T2116="equivocal")),"a",IF(OR(T2116="positive",T2116="equivocal"),"b",IF(OR(R2116="positive",R2116="equivocal"),"c","d"))))</x:f>
        <x:v>d</x:v>
      </x:c>
      <x:c r="AD2116" s="12" t="str">
        <x:f>IF(OR(R2116="unavailable",T2116="unavailable"),"不可评价",IF(AND(R2116="positive",T2116="positive"),"a",IF(T2116="positive","b",IF(R2116="positive","c","d"))))</x:f>
        <x:v>d</x:v>
      </x:c>
      <x:c r="AE2116" s="12" t="str">
        <x:f>IF(OR(W2116="unavailable",Y2116="unavailable"),"不可评价",IF(AND(OR(W2116="positive",W2116="equivocal"),OR(Y2116="positive",Y2116="equivocal")),"a",IF(OR(Y2116="positive",Y2116="equivocal"),"b",IF(OR(W2116="positive",W2116="equivocal"),"c","d"))))</x:f>
        <x:v>d</x:v>
      </x:c>
      <x:c r="AF2116" s="12" t="str">
        <x:f>IF(OR(W2116="unavailable",Y2116="unavailable"),"不可评价",IF(AND(W2116="positive",Y2116="positive"),"a",IF(Y2116="positive","b",IF(W2116="positive","c","d"))))</x:f>
        <x:v>d</x:v>
      </x:c>
    </x:row>
    <x:row r="2117" ht="24" customHeight="1">
      <x:c r="A2117" s="12" t="str">
        <x:v>20523</x:v>
      </x:c>
      <x:c r="B2117" s="12" t="str">
        <x:v>15483</x:v>
      </x:c>
      <x:c r="C2117" s="21" t="n">
        <x:v>36400.70140046296</x:v>
      </x:c>
      <x:c r="D2117" s="12" t="n">
        <x:v>54</x:v>
      </x:c>
      <x:c r="E2117" s="12" t="n">
        <x:v>0</x:v>
      </x:c>
      <x:c r="F2117" s="12" t="str">
        <x:v>未记录</x:v>
      </x:c>
      <x:c r="G2117" s="12" t="n">
        <x:v>1</x:v>
      </x:c>
      <x:c r="H2117" s="12" t="str">
        <x:v>{'NORM': 100.0, 'SR': 0.0}</x:v>
      </x:c>
      <x:c r="I2117" s="12" t="str">
        <x:v>[('SBRAD', 100.0), ('ABR', 100.0)]</x:v>
      </x:c>
      <x:c r="J2117" s="12" t="str">
        <x:v>ptbxl_database.csv；ecg_id=20523；scp_codes</x:v>
      </x:c>
      <x:c r="K2117" s="12" t="str">
        <x:v>12sl_statements.csv；ecg_id=20523；statements_ext_snomed</x:v>
      </x:c>
      <x:c r="L2117" s="12"/>
      <x:c r="M2117" s="12" t="str">
        <x:v>negative</x:v>
      </x:c>
      <x:c r="N2117" s="12"/>
      <x:c r="O2117" s="12" t="str">
        <x:v>negative</x:v>
      </x:c>
      <x:c r="P2117" s="12" t="str">
        <x:f>IF(OR(M2117="unavailable",O2117="unavailable"),"不可评价",IF(OR(M2117="equivocal",O2117="equivocal"),"疑似",IF(AND(M2117="positive",O2117="positive"),"a",IF(O2117="positive","b",IF(M2117="positive","c","d")))))</x:f>
        <x:v>d</x:v>
      </x:c>
      <x:c r="Q2117" s="12"/>
      <x:c r="R2117" s="12" t="str">
        <x:v>negative</x:v>
      </x:c>
      <x:c r="S2117" s="12"/>
      <x:c r="T2117" s="12" t="str">
        <x:v>negative</x:v>
      </x:c>
      <x:c r="U2117" s="12" t="str">
        <x:f>IF(OR(R2117="unavailable",T2117="unavailable"),"不可评价",IF(OR(R2117="equivocal",T2117="equivocal"),"疑似",IF(AND(R2117="positive",T2117="positive"),"a",IF(T2117="positive","b",IF(R2117="positive","c","d")))))</x:f>
        <x:v>d</x:v>
      </x:c>
      <x:c r="V2117" s="12"/>
      <x:c r="W2117" s="12" t="str">
        <x:v>negative</x:v>
      </x:c>
      <x:c r="X2117" s="12"/>
      <x:c r="Y2117" s="12" t="str">
        <x:v>negative</x:v>
      </x:c>
      <x:c r="Z2117" s="12" t="str">
        <x:f>IF(OR(W2117="unavailable",Y2117="unavailable"),"不可评价",IF(OR(W2117="equivocal",Y2117="equivocal"),"疑似",IF(AND(W2117="positive",Y2117="positive"),"a",IF(Y2117="positive","b",IF(W2117="positive","c","d")))))</x:f>
        <x:v>d</x:v>
      </x:c>
      <x:c r="AA2117" s="12" t="str">
        <x:f>IF(OR(M2117="unavailable",O2117="unavailable"),"不可评价",IF(AND(OR(M2117="positive",M2117="equivocal"),OR(O2117="positive",O2117="equivocal")),"a",IF(OR(O2117="positive",O2117="equivocal"),"b",IF(OR(M2117="positive",M2117="equivocal"),"c","d"))))</x:f>
        <x:v>d</x:v>
      </x:c>
      <x:c r="AB2117" s="12" t="str">
        <x:f>IF(OR(M2117="unavailable",O2117="unavailable"),"不可评价",IF(AND(M2117="positive",O2117="positive"),"a",IF(O2117="positive","b",IF(M2117="positive","c","d"))))</x:f>
        <x:v>d</x:v>
      </x:c>
      <x:c r="AC2117" s="12" t="str">
        <x:f>IF(OR(R2117="unavailable",T2117="unavailable"),"不可评价",IF(AND(OR(R2117="positive",R2117="equivocal"),OR(T2117="positive",T2117="equivocal")),"a",IF(OR(T2117="positive",T2117="equivocal"),"b",IF(OR(R2117="positive",R2117="equivocal"),"c","d"))))</x:f>
        <x:v>d</x:v>
      </x:c>
      <x:c r="AD2117" s="12" t="str">
        <x:f>IF(OR(R2117="unavailable",T2117="unavailable"),"不可评价",IF(AND(R2117="positive",T2117="positive"),"a",IF(T2117="positive","b",IF(R2117="positive","c","d"))))</x:f>
        <x:v>d</x:v>
      </x:c>
      <x:c r="AE2117" s="12" t="str">
        <x:f>IF(OR(W2117="unavailable",Y2117="unavailable"),"不可评价",IF(AND(OR(W2117="positive",W2117="equivocal"),OR(Y2117="positive",Y2117="equivocal")),"a",IF(OR(Y2117="positive",Y2117="equivocal"),"b",IF(OR(W2117="positive",W2117="equivocal"),"c","d"))))</x:f>
        <x:v>d</x:v>
      </x:c>
      <x:c r="AF2117" s="12" t="str">
        <x:f>IF(OR(W2117="unavailable",Y2117="unavailable"),"不可评价",IF(AND(W2117="positive",Y2117="positive"),"a",IF(Y2117="positive","b",IF(W2117="positive","c","d"))))</x:f>
        <x:v>d</x:v>
      </x:c>
    </x:row>
    <x:row r="2118" ht="24" customHeight="1">
      <x:c r="A2118" s="12" t="str">
        <x:v>20536</x:v>
      </x:c>
      <x:c r="B2118" s="12" t="str">
        <x:v>12512</x:v>
      </x:c>
      <x:c r="C2118" s="21" t="n">
        <x:v>36403.81618055556</x:v>
      </x:c>
      <x:c r="D2118" s="12" t="n">
        <x:v>89</x:v>
      </x:c>
      <x:c r="E2118" s="12" t="n">
        <x:v>1</x:v>
      </x:c>
      <x:c r="F2118" s="12" t="str">
        <x:v>未记录</x:v>
      </x:c>
      <x:c r="G2118" s="12" t="n">
        <x:v>1</x:v>
      </x:c>
      <x:c r="H2118" s="12" t="str">
        <x:v>{'ALMI': 50.0, '1AVB': 100.0, 'SR': 0.0}</x:v>
      </x:c>
      <x:c r="I2118" s="12" t="str">
        <x:v>[('SRTH', 100.0), ('MSAR', 100.0), ('FAV', 100.0), ('LT', 100.0), ('AB', 100.0)]</x:v>
      </x:c>
      <x:c r="J2118" s="12" t="str">
        <x:v>ptbxl_database.csv；ecg_id=20536；scp_codes</x:v>
      </x:c>
      <x:c r="K2118" s="12" t="str">
        <x:v>12sl_statements.csv；ecg_id=20536；statements_ext_snomed</x:v>
      </x:c>
      <x:c r="L2118" s="12"/>
      <x:c r="M2118" s="12" t="str">
        <x:v>negative</x:v>
      </x:c>
      <x:c r="N2118" s="12"/>
      <x:c r="O2118" s="12" t="str">
        <x:v>negative</x:v>
      </x:c>
      <x:c r="P2118" s="12" t="str">
        <x:f>IF(OR(M2118="unavailable",O2118="unavailable"),"不可评价",IF(OR(M2118="equivocal",O2118="equivocal"),"疑似",IF(AND(M2118="positive",O2118="positive"),"a",IF(O2118="positive","b",IF(M2118="positive","c","d")))))</x:f>
        <x:v>d</x:v>
      </x:c>
      <x:c r="Q2118" s="12"/>
      <x:c r="R2118" s="12" t="str">
        <x:v>negative</x:v>
      </x:c>
      <x:c r="S2118" s="12"/>
      <x:c r="T2118" s="12" t="str">
        <x:v>negative</x:v>
      </x:c>
      <x:c r="U2118" s="12" t="str">
        <x:f>IF(OR(R2118="unavailable",T2118="unavailable"),"不可评价",IF(OR(R2118="equivocal",T2118="equivocal"),"疑似",IF(AND(R2118="positive",T2118="positive"),"a",IF(T2118="positive","b",IF(R2118="positive","c","d")))))</x:f>
        <x:v>d</x:v>
      </x:c>
      <x:c r="V2118" s="12"/>
      <x:c r="W2118" s="12" t="str">
        <x:v>negative</x:v>
      </x:c>
      <x:c r="X2118" s="12"/>
      <x:c r="Y2118" s="12" t="str">
        <x:v>negative</x:v>
      </x:c>
      <x:c r="Z2118" s="12" t="str">
        <x:f>IF(OR(W2118="unavailable",Y2118="unavailable"),"不可评价",IF(OR(W2118="equivocal",Y2118="equivocal"),"疑似",IF(AND(W2118="positive",Y2118="positive"),"a",IF(Y2118="positive","b",IF(W2118="positive","c","d")))))</x:f>
        <x:v>d</x:v>
      </x:c>
      <x:c r="AA2118" s="12" t="str">
        <x:f>IF(OR(M2118="unavailable",O2118="unavailable"),"不可评价",IF(AND(OR(M2118="positive",M2118="equivocal"),OR(O2118="positive",O2118="equivocal")),"a",IF(OR(O2118="positive",O2118="equivocal"),"b",IF(OR(M2118="positive",M2118="equivocal"),"c","d"))))</x:f>
        <x:v>d</x:v>
      </x:c>
      <x:c r="AB2118" s="12" t="str">
        <x:f>IF(OR(M2118="unavailable",O2118="unavailable"),"不可评价",IF(AND(M2118="positive",O2118="positive"),"a",IF(O2118="positive","b",IF(M2118="positive","c","d"))))</x:f>
        <x:v>d</x:v>
      </x:c>
      <x:c r="AC2118" s="12" t="str">
        <x:f>IF(OR(R2118="unavailable",T2118="unavailable"),"不可评价",IF(AND(OR(R2118="positive",R2118="equivocal"),OR(T2118="positive",T2118="equivocal")),"a",IF(OR(T2118="positive",T2118="equivocal"),"b",IF(OR(R2118="positive",R2118="equivocal"),"c","d"))))</x:f>
        <x:v>d</x:v>
      </x:c>
      <x:c r="AD2118" s="12" t="str">
        <x:f>IF(OR(R2118="unavailable",T2118="unavailable"),"不可评价",IF(AND(R2118="positive",T2118="positive"),"a",IF(T2118="positive","b",IF(R2118="positive","c","d"))))</x:f>
        <x:v>d</x:v>
      </x:c>
      <x:c r="AE2118" s="12" t="str">
        <x:f>IF(OR(W2118="unavailable",Y2118="unavailable"),"不可评价",IF(AND(OR(W2118="positive",W2118="equivocal"),OR(Y2118="positive",Y2118="equivocal")),"a",IF(OR(Y2118="positive",Y2118="equivocal"),"b",IF(OR(W2118="positive",W2118="equivocal"),"c","d"))))</x:f>
        <x:v>d</x:v>
      </x:c>
      <x:c r="AF2118" s="12" t="str">
        <x:f>IF(OR(W2118="unavailable",Y2118="unavailable"),"不可评价",IF(AND(W2118="positive",Y2118="positive"),"a",IF(Y2118="positive","b",IF(W2118="positive","c","d"))))</x:f>
        <x:v>d</x:v>
      </x:c>
    </x:row>
    <x:row r="2119" ht="24" customHeight="1">
      <x:c r="A2119" s="12" t="str">
        <x:v>20549</x:v>
      </x:c>
      <x:c r="B2119" s="12" t="str">
        <x:v>15816</x:v>
      </x:c>
      <x:c r="C2119" s="21" t="n">
        <x:v>36408.533784722225</x:v>
      </x:c>
      <x:c r="D2119" s="12" t="n">
        <x:v>65</x:v>
      </x:c>
      <x:c r="E2119" s="12" t="n">
        <x:v>1</x:v>
      </x:c>
      <x:c r="F2119" s="12" t="str">
        <x:v>未记录</x:v>
      </x:c>
      <x:c r="G2119" s="12" t="n">
        <x:v>1</x:v>
      </x:c>
      <x:c r="H2119" s="12" t="str">
        <x:v>{'NORM': 50.0, 'ABQRS': 0.0, 'SR': 0.0}</x:v>
      </x:c>
      <x:c r="I2119" s="12" t="str">
        <x:v>[('NSR', 100.0), ('NML', 100.0)]</x:v>
      </x:c>
      <x:c r="J2119" s="12" t="str">
        <x:v>ptbxl_database.csv；ecg_id=20549；scp_codes</x:v>
      </x:c>
      <x:c r="K2119" s="12" t="str">
        <x:v>12sl_statements.csv；ecg_id=20549；statements_ext_snomed</x:v>
      </x:c>
      <x:c r="L2119" s="12"/>
      <x:c r="M2119" s="12" t="str">
        <x:v>negative</x:v>
      </x:c>
      <x:c r="N2119" s="12"/>
      <x:c r="O2119" s="12" t="str">
        <x:v>negative</x:v>
      </x:c>
      <x:c r="P2119" s="12" t="str">
        <x:f>IF(OR(M2119="unavailable",O2119="unavailable"),"不可评价",IF(OR(M2119="equivocal",O2119="equivocal"),"疑似",IF(AND(M2119="positive",O2119="positive"),"a",IF(O2119="positive","b",IF(M2119="positive","c","d")))))</x:f>
        <x:v>d</x:v>
      </x:c>
      <x:c r="Q2119" s="12"/>
      <x:c r="R2119" s="12" t="str">
        <x:v>negative</x:v>
      </x:c>
      <x:c r="S2119" s="12"/>
      <x:c r="T2119" s="12" t="str">
        <x:v>negative</x:v>
      </x:c>
      <x:c r="U2119" s="12" t="str">
        <x:f>IF(OR(R2119="unavailable",T2119="unavailable"),"不可评价",IF(OR(R2119="equivocal",T2119="equivocal"),"疑似",IF(AND(R2119="positive",T2119="positive"),"a",IF(T2119="positive","b",IF(R2119="positive","c","d")))))</x:f>
        <x:v>d</x:v>
      </x:c>
      <x:c r="V2119" s="12"/>
      <x:c r="W2119" s="12" t="str">
        <x:v>negative</x:v>
      </x:c>
      <x:c r="X2119" s="12"/>
      <x:c r="Y2119" s="12" t="str">
        <x:v>negative</x:v>
      </x:c>
      <x:c r="Z2119" s="12" t="str">
        <x:f>IF(OR(W2119="unavailable",Y2119="unavailable"),"不可评价",IF(OR(W2119="equivocal",Y2119="equivocal"),"疑似",IF(AND(W2119="positive",Y2119="positive"),"a",IF(Y2119="positive","b",IF(W2119="positive","c","d")))))</x:f>
        <x:v>d</x:v>
      </x:c>
      <x:c r="AA2119" s="12" t="str">
        <x:f>IF(OR(M2119="unavailable",O2119="unavailable"),"不可评价",IF(AND(OR(M2119="positive",M2119="equivocal"),OR(O2119="positive",O2119="equivocal")),"a",IF(OR(O2119="positive",O2119="equivocal"),"b",IF(OR(M2119="positive",M2119="equivocal"),"c","d"))))</x:f>
        <x:v>d</x:v>
      </x:c>
      <x:c r="AB2119" s="12" t="str">
        <x:f>IF(OR(M2119="unavailable",O2119="unavailable"),"不可评价",IF(AND(M2119="positive",O2119="positive"),"a",IF(O2119="positive","b",IF(M2119="positive","c","d"))))</x:f>
        <x:v>d</x:v>
      </x:c>
      <x:c r="AC2119" s="12" t="str">
        <x:f>IF(OR(R2119="unavailable",T2119="unavailable"),"不可评价",IF(AND(OR(R2119="positive",R2119="equivocal"),OR(T2119="positive",T2119="equivocal")),"a",IF(OR(T2119="positive",T2119="equivocal"),"b",IF(OR(R2119="positive",R2119="equivocal"),"c","d"))))</x:f>
        <x:v>d</x:v>
      </x:c>
      <x:c r="AD2119" s="12" t="str">
        <x:f>IF(OR(R2119="unavailable",T2119="unavailable"),"不可评价",IF(AND(R2119="positive",T2119="positive"),"a",IF(T2119="positive","b",IF(R2119="positive","c","d"))))</x:f>
        <x:v>d</x:v>
      </x:c>
      <x:c r="AE2119" s="12" t="str">
        <x:f>IF(OR(W2119="unavailable",Y2119="unavailable"),"不可评价",IF(AND(OR(W2119="positive",W2119="equivocal"),OR(Y2119="positive",Y2119="equivocal")),"a",IF(OR(Y2119="positive",Y2119="equivocal"),"b",IF(OR(W2119="positive",W2119="equivocal"),"c","d"))))</x:f>
        <x:v>d</x:v>
      </x:c>
      <x:c r="AF2119" s="12" t="str">
        <x:f>IF(OR(W2119="unavailable",Y2119="unavailable"),"不可评价",IF(AND(W2119="positive",Y2119="positive"),"a",IF(Y2119="positive","b",IF(W2119="positive","c","d"))))</x:f>
        <x:v>d</x:v>
      </x:c>
    </x:row>
    <x:row r="2120" ht="24" customHeight="1">
      <x:c r="A2120" s="12" t="str">
        <x:v>20563</x:v>
      </x:c>
      <x:c r="B2120" s="12" t="str">
        <x:v>21513</x:v>
      </x:c>
      <x:c r="C2120" s="21" t="n">
        <x:v>36410.61885416666</x:v>
      </x:c>
      <x:c r="D2120" s="12" t="n">
        <x:v>77</x:v>
      </x:c>
      <x:c r="E2120" s="12" t="n">
        <x:v>1</x:v>
      </x:c>
      <x:c r="F2120" s="12" t="str">
        <x:v>未记录</x:v>
      </x:c>
      <x:c r="G2120" s="12" t="n">
        <x:v>1</x:v>
      </x:c>
      <x:c r="H2120" s="12" t="str">
        <x:v>{'NDT': 100.0, 'SR': 0.0}</x:v>
      </x:c>
      <x:c r="I2120" s="12" t="str">
        <x:v>[('NSR', 100.0), ('NML', 100.0)]</x:v>
      </x:c>
      <x:c r="J2120" s="12" t="str">
        <x:v>ptbxl_database.csv；ecg_id=20563；scp_codes</x:v>
      </x:c>
      <x:c r="K2120" s="12" t="str">
        <x:v>12sl_statements.csv；ecg_id=20563；statements_ext_snomed</x:v>
      </x:c>
      <x:c r="L2120" s="12"/>
      <x:c r="M2120" s="12" t="str">
        <x:v>negative</x:v>
      </x:c>
      <x:c r="N2120" s="12"/>
      <x:c r="O2120" s="12" t="str">
        <x:v>negative</x:v>
      </x:c>
      <x:c r="P2120" s="12" t="str">
        <x:f>IF(OR(M2120="unavailable",O2120="unavailable"),"不可评价",IF(OR(M2120="equivocal",O2120="equivocal"),"疑似",IF(AND(M2120="positive",O2120="positive"),"a",IF(O2120="positive","b",IF(M2120="positive","c","d")))))</x:f>
        <x:v>d</x:v>
      </x:c>
      <x:c r="Q2120" s="12"/>
      <x:c r="R2120" s="12" t="str">
        <x:v>negative</x:v>
      </x:c>
      <x:c r="S2120" s="12"/>
      <x:c r="T2120" s="12" t="str">
        <x:v>negative</x:v>
      </x:c>
      <x:c r="U2120" s="12" t="str">
        <x:f>IF(OR(R2120="unavailable",T2120="unavailable"),"不可评价",IF(OR(R2120="equivocal",T2120="equivocal"),"疑似",IF(AND(R2120="positive",T2120="positive"),"a",IF(T2120="positive","b",IF(R2120="positive","c","d")))))</x:f>
        <x:v>d</x:v>
      </x:c>
      <x:c r="V2120" s="12"/>
      <x:c r="W2120" s="12" t="str">
        <x:v>negative</x:v>
      </x:c>
      <x:c r="X2120" s="12"/>
      <x:c r="Y2120" s="12" t="str">
        <x:v>negative</x:v>
      </x:c>
      <x:c r="Z2120" s="12" t="str">
        <x:f>IF(OR(W2120="unavailable",Y2120="unavailable"),"不可评价",IF(OR(W2120="equivocal",Y2120="equivocal"),"疑似",IF(AND(W2120="positive",Y2120="positive"),"a",IF(Y2120="positive","b",IF(W2120="positive","c","d")))))</x:f>
        <x:v>d</x:v>
      </x:c>
      <x:c r="AA2120" s="12" t="str">
        <x:f>IF(OR(M2120="unavailable",O2120="unavailable"),"不可评价",IF(AND(OR(M2120="positive",M2120="equivocal"),OR(O2120="positive",O2120="equivocal")),"a",IF(OR(O2120="positive",O2120="equivocal"),"b",IF(OR(M2120="positive",M2120="equivocal"),"c","d"))))</x:f>
        <x:v>d</x:v>
      </x:c>
      <x:c r="AB2120" s="12" t="str">
        <x:f>IF(OR(M2120="unavailable",O2120="unavailable"),"不可评价",IF(AND(M2120="positive",O2120="positive"),"a",IF(O2120="positive","b",IF(M2120="positive","c","d"))))</x:f>
        <x:v>d</x:v>
      </x:c>
      <x:c r="AC2120" s="12" t="str">
        <x:f>IF(OR(R2120="unavailable",T2120="unavailable"),"不可评价",IF(AND(OR(R2120="positive",R2120="equivocal"),OR(T2120="positive",T2120="equivocal")),"a",IF(OR(T2120="positive",T2120="equivocal"),"b",IF(OR(R2120="positive",R2120="equivocal"),"c","d"))))</x:f>
        <x:v>d</x:v>
      </x:c>
      <x:c r="AD2120" s="12" t="str">
        <x:f>IF(OR(R2120="unavailable",T2120="unavailable"),"不可评价",IF(AND(R2120="positive",T2120="positive"),"a",IF(T2120="positive","b",IF(R2120="positive","c","d"))))</x:f>
        <x:v>d</x:v>
      </x:c>
      <x:c r="AE2120" s="12" t="str">
        <x:f>IF(OR(W2120="unavailable",Y2120="unavailable"),"不可评价",IF(AND(OR(W2120="positive",W2120="equivocal"),OR(Y2120="positive",Y2120="equivocal")),"a",IF(OR(Y2120="positive",Y2120="equivocal"),"b",IF(OR(W2120="positive",W2120="equivocal"),"c","d"))))</x:f>
        <x:v>d</x:v>
      </x:c>
      <x:c r="AF2120" s="12" t="str">
        <x:f>IF(OR(W2120="unavailable",Y2120="unavailable"),"不可评价",IF(AND(W2120="positive",Y2120="positive"),"a",IF(Y2120="positive","b",IF(W2120="positive","c","d"))))</x:f>
        <x:v>d</x:v>
      </x:c>
    </x:row>
    <x:row r="2121" ht="24" customHeight="1">
      <x:c r="A2121" s="12" t="str">
        <x:v>20566</x:v>
      </x:c>
      <x:c r="B2121" s="12" t="str">
        <x:v>21218</x:v>
      </x:c>
      <x:c r="C2121" s="21" t="n">
        <x:v>36411.47528935185</x:v>
      </x:c>
      <x:c r="D2121" s="12" t="n">
        <x:v>59</x:v>
      </x:c>
      <x:c r="E2121" s="12" t="n">
        <x:v>1</x:v>
      </x:c>
      <x:c r="F2121" s="12" t="str">
        <x:v>未记录</x:v>
      </x:c>
      <x:c r="G2121" s="12" t="n">
        <x:v>1</x:v>
      </x:c>
      <x:c r="H2121" s="12" t="str">
        <x:v>{'ISCAL': 50.0, 'ISCIL': 50.0, 'SR': 0.0}</x:v>
      </x:c>
      <x:c r="I2121" s="12" t="str">
        <x:v>[('NSR', 100.0), ('NST', 100.0), ('AB', 100.0)]</x:v>
      </x:c>
      <x:c r="J2121" s="12" t="str">
        <x:v>ptbxl_database.csv；ecg_id=20566；scp_codes</x:v>
      </x:c>
      <x:c r="K2121" s="12" t="str">
        <x:v>12sl_statements.csv；ecg_id=20566；statements_ext_snomed</x:v>
      </x:c>
      <x:c r="L2121" s="12"/>
      <x:c r="M2121" s="12" t="str">
        <x:v>negative</x:v>
      </x:c>
      <x:c r="N2121" s="12"/>
      <x:c r="O2121" s="12" t="str">
        <x:v>negative</x:v>
      </x:c>
      <x:c r="P2121" s="12" t="str">
        <x:f>IF(OR(M2121="unavailable",O2121="unavailable"),"不可评价",IF(OR(M2121="equivocal",O2121="equivocal"),"疑似",IF(AND(M2121="positive",O2121="positive"),"a",IF(O2121="positive","b",IF(M2121="positive","c","d")))))</x:f>
        <x:v>d</x:v>
      </x:c>
      <x:c r="Q2121" s="12"/>
      <x:c r="R2121" s="12" t="str">
        <x:v>negative</x:v>
      </x:c>
      <x:c r="S2121" s="12"/>
      <x:c r="T2121" s="12" t="str">
        <x:v>negative</x:v>
      </x:c>
      <x:c r="U2121" s="12" t="str">
        <x:f>IF(OR(R2121="unavailable",T2121="unavailable"),"不可评价",IF(OR(R2121="equivocal",T2121="equivocal"),"疑似",IF(AND(R2121="positive",T2121="positive"),"a",IF(T2121="positive","b",IF(R2121="positive","c","d")))))</x:f>
        <x:v>d</x:v>
      </x:c>
      <x:c r="V2121" s="12"/>
      <x:c r="W2121" s="12" t="str">
        <x:v>negative</x:v>
      </x:c>
      <x:c r="X2121" s="12"/>
      <x:c r="Y2121" s="12" t="str">
        <x:v>negative</x:v>
      </x:c>
      <x:c r="Z2121" s="12" t="str">
        <x:f>IF(OR(W2121="unavailable",Y2121="unavailable"),"不可评价",IF(OR(W2121="equivocal",Y2121="equivocal"),"疑似",IF(AND(W2121="positive",Y2121="positive"),"a",IF(Y2121="positive","b",IF(W2121="positive","c","d")))))</x:f>
        <x:v>d</x:v>
      </x:c>
      <x:c r="AA2121" s="12" t="str">
        <x:f>IF(OR(M2121="unavailable",O2121="unavailable"),"不可评价",IF(AND(OR(M2121="positive",M2121="equivocal"),OR(O2121="positive",O2121="equivocal")),"a",IF(OR(O2121="positive",O2121="equivocal"),"b",IF(OR(M2121="positive",M2121="equivocal"),"c","d"))))</x:f>
        <x:v>d</x:v>
      </x:c>
      <x:c r="AB2121" s="12" t="str">
        <x:f>IF(OR(M2121="unavailable",O2121="unavailable"),"不可评价",IF(AND(M2121="positive",O2121="positive"),"a",IF(O2121="positive","b",IF(M2121="positive","c","d"))))</x:f>
        <x:v>d</x:v>
      </x:c>
      <x:c r="AC2121" s="12" t="str">
        <x:f>IF(OR(R2121="unavailable",T2121="unavailable"),"不可评价",IF(AND(OR(R2121="positive",R2121="equivocal"),OR(T2121="positive",T2121="equivocal")),"a",IF(OR(T2121="positive",T2121="equivocal"),"b",IF(OR(R2121="positive",R2121="equivocal"),"c","d"))))</x:f>
        <x:v>d</x:v>
      </x:c>
      <x:c r="AD2121" s="12" t="str">
        <x:f>IF(OR(R2121="unavailable",T2121="unavailable"),"不可评价",IF(AND(R2121="positive",T2121="positive"),"a",IF(T2121="positive","b",IF(R2121="positive","c","d"))))</x:f>
        <x:v>d</x:v>
      </x:c>
      <x:c r="AE2121" s="12" t="str">
        <x:f>IF(OR(W2121="unavailable",Y2121="unavailable"),"不可评价",IF(AND(OR(W2121="positive",W2121="equivocal"),OR(Y2121="positive",Y2121="equivocal")),"a",IF(OR(Y2121="positive",Y2121="equivocal"),"b",IF(OR(W2121="positive",W2121="equivocal"),"c","d"))))</x:f>
        <x:v>d</x:v>
      </x:c>
      <x:c r="AF2121" s="12" t="str">
        <x:f>IF(OR(W2121="unavailable",Y2121="unavailable"),"不可评价",IF(AND(W2121="positive",Y2121="positive"),"a",IF(Y2121="positive","b",IF(W2121="positive","c","d"))))</x:f>
        <x:v>d</x:v>
      </x:c>
    </x:row>
    <x:row r="2122" ht="24" customHeight="1">
      <x:c r="A2122" s="12" t="str">
        <x:v>20576</x:v>
      </x:c>
      <x:c r="B2122" s="12" t="str">
        <x:v>21218</x:v>
      </x:c>
      <x:c r="C2122" s="21" t="n">
        <x:v>36414.59347222222</x:v>
      </x:c>
      <x:c r="D2122" s="12" t="n">
        <x:v>59</x:v>
      </x:c>
      <x:c r="E2122" s="12" t="n">
        <x:v>1</x:v>
      </x:c>
      <x:c r="F2122" s="12" t="str">
        <x:v>未记录</x:v>
      </x:c>
      <x:c r="G2122" s="12" t="n">
        <x:v>0</x:v>
      </x:c>
      <x:c r="H2122" s="12" t="str">
        <x:v>{'NORM': 100.0, 'SR': 0.0}</x:v>
      </x:c>
      <x:c r="I2122" s="12" t="str">
        <x:v>[('NSR', 100.0), ('NML', 100.0)]</x:v>
      </x:c>
      <x:c r="J2122" s="12" t="str">
        <x:v>ptbxl_database.csv；ecg_id=20576；scp_codes</x:v>
      </x:c>
      <x:c r="K2122" s="12" t="str">
        <x:v>12sl_statements.csv；ecg_id=20576；statements_ext_snomed</x:v>
      </x:c>
      <x:c r="L2122" s="12"/>
      <x:c r="M2122" s="12" t="str">
        <x:v>negative</x:v>
      </x:c>
      <x:c r="N2122" s="12"/>
      <x:c r="O2122" s="12" t="str">
        <x:v>negative</x:v>
      </x:c>
      <x:c r="P2122" s="12" t="str">
        <x:f>IF(OR(M2122="unavailable",O2122="unavailable"),"不可评价",IF(OR(M2122="equivocal",O2122="equivocal"),"疑似",IF(AND(M2122="positive",O2122="positive"),"a",IF(O2122="positive","b",IF(M2122="positive","c","d")))))</x:f>
        <x:v>d</x:v>
      </x:c>
      <x:c r="Q2122" s="12"/>
      <x:c r="R2122" s="12" t="str">
        <x:v>negative</x:v>
      </x:c>
      <x:c r="S2122" s="12"/>
      <x:c r="T2122" s="12" t="str">
        <x:v>negative</x:v>
      </x:c>
      <x:c r="U2122" s="12" t="str">
        <x:f>IF(OR(R2122="unavailable",T2122="unavailable"),"不可评价",IF(OR(R2122="equivocal",T2122="equivocal"),"疑似",IF(AND(R2122="positive",T2122="positive"),"a",IF(T2122="positive","b",IF(R2122="positive","c","d")))))</x:f>
        <x:v>d</x:v>
      </x:c>
      <x:c r="V2122" s="12"/>
      <x:c r="W2122" s="12" t="str">
        <x:v>negative</x:v>
      </x:c>
      <x:c r="X2122" s="12"/>
      <x:c r="Y2122" s="12" t="str">
        <x:v>negative</x:v>
      </x:c>
      <x:c r="Z2122" s="12" t="str">
        <x:f>IF(OR(W2122="unavailable",Y2122="unavailable"),"不可评价",IF(OR(W2122="equivocal",Y2122="equivocal"),"疑似",IF(AND(W2122="positive",Y2122="positive"),"a",IF(Y2122="positive","b",IF(W2122="positive","c","d")))))</x:f>
        <x:v>d</x:v>
      </x:c>
      <x:c r="AA2122" s="12" t="str">
        <x:f>IF(OR(M2122="unavailable",O2122="unavailable"),"不可评价",IF(AND(OR(M2122="positive",M2122="equivocal"),OR(O2122="positive",O2122="equivocal")),"a",IF(OR(O2122="positive",O2122="equivocal"),"b",IF(OR(M2122="positive",M2122="equivocal"),"c","d"))))</x:f>
        <x:v>d</x:v>
      </x:c>
      <x:c r="AB2122" s="12" t="str">
        <x:f>IF(OR(M2122="unavailable",O2122="unavailable"),"不可评价",IF(AND(M2122="positive",O2122="positive"),"a",IF(O2122="positive","b",IF(M2122="positive","c","d"))))</x:f>
        <x:v>d</x:v>
      </x:c>
      <x:c r="AC2122" s="12" t="str">
        <x:f>IF(OR(R2122="unavailable",T2122="unavailable"),"不可评价",IF(AND(OR(R2122="positive",R2122="equivocal"),OR(T2122="positive",T2122="equivocal")),"a",IF(OR(T2122="positive",T2122="equivocal"),"b",IF(OR(R2122="positive",R2122="equivocal"),"c","d"))))</x:f>
        <x:v>d</x:v>
      </x:c>
      <x:c r="AD2122" s="12" t="str">
        <x:f>IF(OR(R2122="unavailable",T2122="unavailable"),"不可评价",IF(AND(R2122="positive",T2122="positive"),"a",IF(T2122="positive","b",IF(R2122="positive","c","d"))))</x:f>
        <x:v>d</x:v>
      </x:c>
      <x:c r="AE2122" s="12" t="str">
        <x:f>IF(OR(W2122="unavailable",Y2122="unavailable"),"不可评价",IF(AND(OR(W2122="positive",W2122="equivocal"),OR(Y2122="positive",Y2122="equivocal")),"a",IF(OR(Y2122="positive",Y2122="equivocal"),"b",IF(OR(W2122="positive",W2122="equivocal"),"c","d"))))</x:f>
        <x:v>d</x:v>
      </x:c>
      <x:c r="AF2122" s="12" t="str">
        <x:f>IF(OR(W2122="unavailable",Y2122="unavailable"),"不可评价",IF(AND(W2122="positive",Y2122="positive"),"a",IF(Y2122="positive","b",IF(W2122="positive","c","d"))))</x:f>
        <x:v>d</x:v>
      </x:c>
    </x:row>
    <x:row r="2123" ht="24" customHeight="1">
      <x:c r="A2123" s="12" t="str">
        <x:v>20602</x:v>
      </x:c>
      <x:c r="B2123" s="12" t="str">
        <x:v>20774</x:v>
      </x:c>
      <x:c r="C2123" s="21" t="n">
        <x:v>36422.37399305555</x:v>
      </x:c>
      <x:c r="D2123" s="12" t="n">
        <x:v>89</x:v>
      </x:c>
      <x:c r="E2123" s="12" t="n">
        <x:v>1</x:v>
      </x:c>
      <x:c r="F2123" s="12" t="str">
        <x:v>存在</x:v>
      </x:c>
      <x:c r="G2123" s="12" t="n">
        <x:v>0</x:v>
      </x:c>
      <x:c r="H2123" s="12" t="str">
        <x:v>{'NDT': 100.0, 'LAFB': 100.0, 'SR': 0.0}</x:v>
      </x:c>
      <x:c r="I2123" s="12" t="str">
        <x:v>[('NSR', 100.0), ('NT', 100.0), ('AB', 100.0)]</x:v>
      </x:c>
      <x:c r="J2123" s="12" t="str">
        <x:v>ptbxl_database.csv；ecg_id=20602；scp_codes</x:v>
      </x:c>
      <x:c r="K2123" s="12" t="str">
        <x:v>12sl_statements.csv；ecg_id=20602；statements_ext_snomed</x:v>
      </x:c>
      <x:c r="L2123" s="12"/>
      <x:c r="M2123" s="12" t="str">
        <x:v>negative</x:v>
      </x:c>
      <x:c r="N2123" s="12"/>
      <x:c r="O2123" s="12" t="str">
        <x:v>negative</x:v>
      </x:c>
      <x:c r="P2123" s="12" t="str">
        <x:f>IF(OR(M2123="unavailable",O2123="unavailable"),"不可评价",IF(OR(M2123="equivocal",O2123="equivocal"),"疑似",IF(AND(M2123="positive",O2123="positive"),"a",IF(O2123="positive","b",IF(M2123="positive","c","d")))))</x:f>
        <x:v>d</x:v>
      </x:c>
      <x:c r="Q2123" s="12"/>
      <x:c r="R2123" s="12" t="str">
        <x:v>negative</x:v>
      </x:c>
      <x:c r="S2123" s="12"/>
      <x:c r="T2123" s="12" t="str">
        <x:v>negative</x:v>
      </x:c>
      <x:c r="U2123" s="12" t="str">
        <x:f>IF(OR(R2123="unavailable",T2123="unavailable"),"不可评价",IF(OR(R2123="equivocal",T2123="equivocal"),"疑似",IF(AND(R2123="positive",T2123="positive"),"a",IF(T2123="positive","b",IF(R2123="positive","c","d")))))</x:f>
        <x:v>d</x:v>
      </x:c>
      <x:c r="V2123" s="12"/>
      <x:c r="W2123" s="12" t="str">
        <x:v>negative</x:v>
      </x:c>
      <x:c r="X2123" s="12"/>
      <x:c r="Y2123" s="12" t="str">
        <x:v>negative</x:v>
      </x:c>
      <x:c r="Z2123" s="12" t="str">
        <x:f>IF(OR(W2123="unavailable",Y2123="unavailable"),"不可评价",IF(OR(W2123="equivocal",Y2123="equivocal"),"疑似",IF(AND(W2123="positive",Y2123="positive"),"a",IF(Y2123="positive","b",IF(W2123="positive","c","d")))))</x:f>
        <x:v>d</x:v>
      </x:c>
      <x:c r="AA2123" s="12" t="str">
        <x:f>IF(OR(M2123="unavailable",O2123="unavailable"),"不可评价",IF(AND(OR(M2123="positive",M2123="equivocal"),OR(O2123="positive",O2123="equivocal")),"a",IF(OR(O2123="positive",O2123="equivocal"),"b",IF(OR(M2123="positive",M2123="equivocal"),"c","d"))))</x:f>
        <x:v>d</x:v>
      </x:c>
      <x:c r="AB2123" s="12" t="str">
        <x:f>IF(OR(M2123="unavailable",O2123="unavailable"),"不可评价",IF(AND(M2123="positive",O2123="positive"),"a",IF(O2123="positive","b",IF(M2123="positive","c","d"))))</x:f>
        <x:v>d</x:v>
      </x:c>
      <x:c r="AC2123" s="12" t="str">
        <x:f>IF(OR(R2123="unavailable",T2123="unavailable"),"不可评价",IF(AND(OR(R2123="positive",R2123="equivocal"),OR(T2123="positive",T2123="equivocal")),"a",IF(OR(T2123="positive",T2123="equivocal"),"b",IF(OR(R2123="positive",R2123="equivocal"),"c","d"))))</x:f>
        <x:v>d</x:v>
      </x:c>
      <x:c r="AD2123" s="12" t="str">
        <x:f>IF(OR(R2123="unavailable",T2123="unavailable"),"不可评价",IF(AND(R2123="positive",T2123="positive"),"a",IF(T2123="positive","b",IF(R2123="positive","c","d"))))</x:f>
        <x:v>d</x:v>
      </x:c>
      <x:c r="AE2123" s="12" t="str">
        <x:f>IF(OR(W2123="unavailable",Y2123="unavailable"),"不可评价",IF(AND(OR(W2123="positive",W2123="equivocal"),OR(Y2123="positive",Y2123="equivocal")),"a",IF(OR(Y2123="positive",Y2123="equivocal"),"b",IF(OR(W2123="positive",W2123="equivocal"),"c","d"))))</x:f>
        <x:v>d</x:v>
      </x:c>
      <x:c r="AF2123" s="12" t="str">
        <x:f>IF(OR(W2123="unavailable",Y2123="unavailable"),"不可评价",IF(AND(W2123="positive",Y2123="positive"),"a",IF(Y2123="positive","b",IF(W2123="positive","c","d"))))</x:f>
        <x:v>d</x:v>
      </x:c>
    </x:row>
    <x:row r="2124" ht="24" customHeight="1">
      <x:c r="A2124" s="12" t="str">
        <x:v>20603</x:v>
      </x:c>
      <x:c r="B2124" s="12" t="str">
        <x:v>21218</x:v>
      </x:c>
      <x:c r="C2124" s="21" t="n">
        <x:v>36422.39465277778</x:v>
      </x:c>
      <x:c r="D2124" s="12" t="n">
        <x:v>59</x:v>
      </x:c>
      <x:c r="E2124" s="12" t="n">
        <x:v>1</x:v>
      </x:c>
      <x:c r="F2124" s="12" t="str">
        <x:v>未记录</x:v>
      </x:c>
      <x:c r="G2124" s="12" t="n">
        <x:v>0</x:v>
      </x:c>
      <x:c r="H2124" s="12" t="str">
        <x:v>{'NORM': 100.0, 'SR': 0.0}</x:v>
      </x:c>
      <x:c r="I2124" s="12" t="str">
        <x:v>[('NSR', 100.0), ('NML', 100.0)]</x:v>
      </x:c>
      <x:c r="J2124" s="12" t="str">
        <x:v>ptbxl_database.csv；ecg_id=20603；scp_codes</x:v>
      </x:c>
      <x:c r="K2124" s="12" t="str">
        <x:v>12sl_statements.csv；ecg_id=20603；statements_ext_snomed</x:v>
      </x:c>
      <x:c r="L2124" s="12"/>
      <x:c r="M2124" s="12" t="str">
        <x:v>negative</x:v>
      </x:c>
      <x:c r="N2124" s="12"/>
      <x:c r="O2124" s="12" t="str">
        <x:v>negative</x:v>
      </x:c>
      <x:c r="P2124" s="12" t="str">
        <x:f>IF(OR(M2124="unavailable",O2124="unavailable"),"不可评价",IF(OR(M2124="equivocal",O2124="equivocal"),"疑似",IF(AND(M2124="positive",O2124="positive"),"a",IF(O2124="positive","b",IF(M2124="positive","c","d")))))</x:f>
        <x:v>d</x:v>
      </x:c>
      <x:c r="Q2124" s="12"/>
      <x:c r="R2124" s="12" t="str">
        <x:v>negative</x:v>
      </x:c>
      <x:c r="S2124" s="12"/>
      <x:c r="T2124" s="12" t="str">
        <x:v>negative</x:v>
      </x:c>
      <x:c r="U2124" s="12" t="str">
        <x:f>IF(OR(R2124="unavailable",T2124="unavailable"),"不可评价",IF(OR(R2124="equivocal",T2124="equivocal"),"疑似",IF(AND(R2124="positive",T2124="positive"),"a",IF(T2124="positive","b",IF(R2124="positive","c","d")))))</x:f>
        <x:v>d</x:v>
      </x:c>
      <x:c r="V2124" s="12"/>
      <x:c r="W2124" s="12" t="str">
        <x:v>negative</x:v>
      </x:c>
      <x:c r="X2124" s="12"/>
      <x:c r="Y2124" s="12" t="str">
        <x:v>negative</x:v>
      </x:c>
      <x:c r="Z2124" s="12" t="str">
        <x:f>IF(OR(W2124="unavailable",Y2124="unavailable"),"不可评价",IF(OR(W2124="equivocal",Y2124="equivocal"),"疑似",IF(AND(W2124="positive",Y2124="positive"),"a",IF(Y2124="positive","b",IF(W2124="positive","c","d")))))</x:f>
        <x:v>d</x:v>
      </x:c>
      <x:c r="AA2124" s="12" t="str">
        <x:f>IF(OR(M2124="unavailable",O2124="unavailable"),"不可评价",IF(AND(OR(M2124="positive",M2124="equivocal"),OR(O2124="positive",O2124="equivocal")),"a",IF(OR(O2124="positive",O2124="equivocal"),"b",IF(OR(M2124="positive",M2124="equivocal"),"c","d"))))</x:f>
        <x:v>d</x:v>
      </x:c>
      <x:c r="AB2124" s="12" t="str">
        <x:f>IF(OR(M2124="unavailable",O2124="unavailable"),"不可评价",IF(AND(M2124="positive",O2124="positive"),"a",IF(O2124="positive","b",IF(M2124="positive","c","d"))))</x:f>
        <x:v>d</x:v>
      </x:c>
      <x:c r="AC2124" s="12" t="str">
        <x:f>IF(OR(R2124="unavailable",T2124="unavailable"),"不可评价",IF(AND(OR(R2124="positive",R2124="equivocal"),OR(T2124="positive",T2124="equivocal")),"a",IF(OR(T2124="positive",T2124="equivocal"),"b",IF(OR(R2124="positive",R2124="equivocal"),"c","d"))))</x:f>
        <x:v>d</x:v>
      </x:c>
      <x:c r="AD2124" s="12" t="str">
        <x:f>IF(OR(R2124="unavailable",T2124="unavailable"),"不可评价",IF(AND(R2124="positive",T2124="positive"),"a",IF(T2124="positive","b",IF(R2124="positive","c","d"))))</x:f>
        <x:v>d</x:v>
      </x:c>
      <x:c r="AE2124" s="12" t="str">
        <x:f>IF(OR(W2124="unavailable",Y2124="unavailable"),"不可评价",IF(AND(OR(W2124="positive",W2124="equivocal"),OR(Y2124="positive",Y2124="equivocal")),"a",IF(OR(Y2124="positive",Y2124="equivocal"),"b",IF(OR(W2124="positive",W2124="equivocal"),"c","d"))))</x:f>
        <x:v>d</x:v>
      </x:c>
      <x:c r="AF2124" s="12" t="str">
        <x:f>IF(OR(W2124="unavailable",Y2124="unavailable"),"不可评价",IF(AND(W2124="positive",Y2124="positive"),"a",IF(Y2124="positive","b",IF(W2124="positive","c","d"))))</x:f>
        <x:v>d</x:v>
      </x:c>
    </x:row>
    <x:row r="2125" ht="24" customHeight="1">
      <x:c r="A2125" s="12" t="str">
        <x:v>20624</x:v>
      </x:c>
      <x:c r="B2125" s="12" t="str">
        <x:v>17969</x:v>
      </x:c>
      <x:c r="C2125" s="21" t="n">
        <x:v>36429.26696759259</x:v>
      </x:c>
      <x:c r="D2125" s="12" t="n">
        <x:v>50</x:v>
      </x:c>
      <x:c r="E2125" s="12" t="n">
        <x:v>0</x:v>
      </x:c>
      <x:c r="F2125" s="12" t="str">
        <x:v>未记录</x:v>
      </x:c>
      <x:c r="G2125" s="12" t="n">
        <x:v>1</x:v>
      </x:c>
      <x:c r="H2125" s="12" t="str">
        <x:v>{'NORM': 100.0, 'SR': 0.0}</x:v>
      </x:c>
      <x:c r="I2125" s="12" t="str">
        <x:v>[('NSR', 100.0), ('NML', 100.0)]</x:v>
      </x:c>
      <x:c r="J2125" s="12" t="str">
        <x:v>ptbxl_database.csv；ecg_id=20624；scp_codes</x:v>
      </x:c>
      <x:c r="K2125" s="12" t="str">
        <x:v>12sl_statements.csv；ecg_id=20624；statements_ext_snomed</x:v>
      </x:c>
      <x:c r="L2125" s="12"/>
      <x:c r="M2125" s="12" t="str">
        <x:v>negative</x:v>
      </x:c>
      <x:c r="N2125" s="12"/>
      <x:c r="O2125" s="12" t="str">
        <x:v>negative</x:v>
      </x:c>
      <x:c r="P2125" s="12" t="str">
        <x:f>IF(OR(M2125="unavailable",O2125="unavailable"),"不可评价",IF(OR(M2125="equivocal",O2125="equivocal"),"疑似",IF(AND(M2125="positive",O2125="positive"),"a",IF(O2125="positive","b",IF(M2125="positive","c","d")))))</x:f>
        <x:v>d</x:v>
      </x:c>
      <x:c r="Q2125" s="12"/>
      <x:c r="R2125" s="12" t="str">
        <x:v>negative</x:v>
      </x:c>
      <x:c r="S2125" s="12"/>
      <x:c r="T2125" s="12" t="str">
        <x:v>negative</x:v>
      </x:c>
      <x:c r="U2125" s="12" t="str">
        <x:f>IF(OR(R2125="unavailable",T2125="unavailable"),"不可评价",IF(OR(R2125="equivocal",T2125="equivocal"),"疑似",IF(AND(R2125="positive",T2125="positive"),"a",IF(T2125="positive","b",IF(R2125="positive","c","d")))))</x:f>
        <x:v>d</x:v>
      </x:c>
      <x:c r="V2125" s="12"/>
      <x:c r="W2125" s="12" t="str">
        <x:v>negative</x:v>
      </x:c>
      <x:c r="X2125" s="12"/>
      <x:c r="Y2125" s="12" t="str">
        <x:v>negative</x:v>
      </x:c>
      <x:c r="Z2125" s="12" t="str">
        <x:f>IF(OR(W2125="unavailable",Y2125="unavailable"),"不可评价",IF(OR(W2125="equivocal",Y2125="equivocal"),"疑似",IF(AND(W2125="positive",Y2125="positive"),"a",IF(Y2125="positive","b",IF(W2125="positive","c","d")))))</x:f>
        <x:v>d</x:v>
      </x:c>
      <x:c r="AA2125" s="12" t="str">
        <x:f>IF(OR(M2125="unavailable",O2125="unavailable"),"不可评价",IF(AND(OR(M2125="positive",M2125="equivocal"),OR(O2125="positive",O2125="equivocal")),"a",IF(OR(O2125="positive",O2125="equivocal"),"b",IF(OR(M2125="positive",M2125="equivocal"),"c","d"))))</x:f>
        <x:v>d</x:v>
      </x:c>
      <x:c r="AB2125" s="12" t="str">
        <x:f>IF(OR(M2125="unavailable",O2125="unavailable"),"不可评价",IF(AND(M2125="positive",O2125="positive"),"a",IF(O2125="positive","b",IF(M2125="positive","c","d"))))</x:f>
        <x:v>d</x:v>
      </x:c>
      <x:c r="AC2125" s="12" t="str">
        <x:f>IF(OR(R2125="unavailable",T2125="unavailable"),"不可评价",IF(AND(OR(R2125="positive",R2125="equivocal"),OR(T2125="positive",T2125="equivocal")),"a",IF(OR(T2125="positive",T2125="equivocal"),"b",IF(OR(R2125="positive",R2125="equivocal"),"c","d"))))</x:f>
        <x:v>d</x:v>
      </x:c>
      <x:c r="AD2125" s="12" t="str">
        <x:f>IF(OR(R2125="unavailable",T2125="unavailable"),"不可评价",IF(AND(R2125="positive",T2125="positive"),"a",IF(T2125="positive","b",IF(R2125="positive","c","d"))))</x:f>
        <x:v>d</x:v>
      </x:c>
      <x:c r="AE2125" s="12" t="str">
        <x:f>IF(OR(W2125="unavailable",Y2125="unavailable"),"不可评价",IF(AND(OR(W2125="positive",W2125="equivocal"),OR(Y2125="positive",Y2125="equivocal")),"a",IF(OR(Y2125="positive",Y2125="equivocal"),"b",IF(OR(W2125="positive",W2125="equivocal"),"c","d"))))</x:f>
        <x:v>d</x:v>
      </x:c>
      <x:c r="AF2125" s="12" t="str">
        <x:f>IF(OR(W2125="unavailable",Y2125="unavailable"),"不可评价",IF(AND(W2125="positive",Y2125="positive"),"a",IF(Y2125="positive","b",IF(W2125="positive","c","d"))))</x:f>
        <x:v>d</x:v>
      </x:c>
    </x:row>
    <x:row r="2126" ht="24" customHeight="1">
      <x:c r="A2126" s="12" t="str">
        <x:v>20646</x:v>
      </x:c>
      <x:c r="B2126" s="12" t="str">
        <x:v>17939</x:v>
      </x:c>
      <x:c r="C2126" s="21" t="n">
        <x:v>36436.107256944444</x:v>
      </x:c>
      <x:c r="D2126" s="12" t="n">
        <x:v>75</x:v>
      </x:c>
      <x:c r="E2126" s="12" t="n">
        <x:v>0</x:v>
      </x:c>
      <x:c r="F2126" s="12" t="str">
        <x:v>存在</x:v>
      </x:c>
      <x:c r="G2126" s="12" t="n">
        <x:v>1</x:v>
      </x:c>
      <x:c r="H2126" s="12" t="str">
        <x:v>{'ASMI': 100.0, 'IMI': 100.0, 'LAFB': 100.0, 'ABQRS': 0.0, 'SR': 0.0}</x:v>
      </x:c>
      <x:c r="I2126" s="12" t="str">
        <x:v>[('NSR', 100.0), ('LAD3', 100.0), ('NT', 100.0), ('LNGQT', 100.0), ('AB', 100.0)]</x:v>
      </x:c>
      <x:c r="J2126" s="12" t="str">
        <x:v>ptbxl_database.csv；ecg_id=20646；scp_codes</x:v>
      </x:c>
      <x:c r="K2126" s="12" t="str">
        <x:v>12sl_statements.csv；ecg_id=20646；statements_ext_snomed</x:v>
      </x:c>
      <x:c r="L2126" s="12"/>
      <x:c r="M2126" s="12" t="str">
        <x:v>negative</x:v>
      </x:c>
      <x:c r="N2126" s="12"/>
      <x:c r="O2126" s="12" t="str">
        <x:v>negative</x:v>
      </x:c>
      <x:c r="P2126" s="12" t="str">
        <x:f>IF(OR(M2126="unavailable",O2126="unavailable"),"不可评价",IF(OR(M2126="equivocal",O2126="equivocal"),"疑似",IF(AND(M2126="positive",O2126="positive"),"a",IF(O2126="positive","b",IF(M2126="positive","c","d")))))</x:f>
        <x:v>d</x:v>
      </x:c>
      <x:c r="Q2126" s="12"/>
      <x:c r="R2126" s="12" t="str">
        <x:v>negative</x:v>
      </x:c>
      <x:c r="S2126" s="12"/>
      <x:c r="T2126" s="12" t="str">
        <x:v>negative</x:v>
      </x:c>
      <x:c r="U2126" s="12" t="str">
        <x:f>IF(OR(R2126="unavailable",T2126="unavailable"),"不可评价",IF(OR(R2126="equivocal",T2126="equivocal"),"疑似",IF(AND(R2126="positive",T2126="positive"),"a",IF(T2126="positive","b",IF(R2126="positive","c","d")))))</x:f>
        <x:v>d</x:v>
      </x:c>
      <x:c r="V2126" s="12"/>
      <x:c r="W2126" s="12" t="str">
        <x:v>negative</x:v>
      </x:c>
      <x:c r="X2126" s="12"/>
      <x:c r="Y2126" s="12" t="str">
        <x:v>negative</x:v>
      </x:c>
      <x:c r="Z2126" s="12" t="str">
        <x:f>IF(OR(W2126="unavailable",Y2126="unavailable"),"不可评价",IF(OR(W2126="equivocal",Y2126="equivocal"),"疑似",IF(AND(W2126="positive",Y2126="positive"),"a",IF(Y2126="positive","b",IF(W2126="positive","c","d")))))</x:f>
        <x:v>d</x:v>
      </x:c>
      <x:c r="AA2126" s="12" t="str">
        <x:f>IF(OR(M2126="unavailable",O2126="unavailable"),"不可评价",IF(AND(OR(M2126="positive",M2126="equivocal"),OR(O2126="positive",O2126="equivocal")),"a",IF(OR(O2126="positive",O2126="equivocal"),"b",IF(OR(M2126="positive",M2126="equivocal"),"c","d"))))</x:f>
        <x:v>d</x:v>
      </x:c>
      <x:c r="AB2126" s="12" t="str">
        <x:f>IF(OR(M2126="unavailable",O2126="unavailable"),"不可评价",IF(AND(M2126="positive",O2126="positive"),"a",IF(O2126="positive","b",IF(M2126="positive","c","d"))))</x:f>
        <x:v>d</x:v>
      </x:c>
      <x:c r="AC2126" s="12" t="str">
        <x:f>IF(OR(R2126="unavailable",T2126="unavailable"),"不可评价",IF(AND(OR(R2126="positive",R2126="equivocal"),OR(T2126="positive",T2126="equivocal")),"a",IF(OR(T2126="positive",T2126="equivocal"),"b",IF(OR(R2126="positive",R2126="equivocal"),"c","d"))))</x:f>
        <x:v>d</x:v>
      </x:c>
      <x:c r="AD2126" s="12" t="str">
        <x:f>IF(OR(R2126="unavailable",T2126="unavailable"),"不可评价",IF(AND(R2126="positive",T2126="positive"),"a",IF(T2126="positive","b",IF(R2126="positive","c","d"))))</x:f>
        <x:v>d</x:v>
      </x:c>
      <x:c r="AE2126" s="12" t="str">
        <x:f>IF(OR(W2126="unavailable",Y2126="unavailable"),"不可评价",IF(AND(OR(W2126="positive",W2126="equivocal"),OR(Y2126="positive",Y2126="equivocal")),"a",IF(OR(Y2126="positive",Y2126="equivocal"),"b",IF(OR(W2126="positive",W2126="equivocal"),"c","d"))))</x:f>
        <x:v>d</x:v>
      </x:c>
      <x:c r="AF2126" s="12" t="str">
        <x:f>IF(OR(W2126="unavailable",Y2126="unavailable"),"不可评价",IF(AND(W2126="positive",Y2126="positive"),"a",IF(Y2126="positive","b",IF(W2126="positive","c","d"))))</x:f>
        <x:v>d</x:v>
      </x:c>
    </x:row>
    <x:row r="2127" ht="24" customHeight="1">
      <x:c r="A2127" s="12" t="str">
        <x:v>20671</x:v>
      </x:c>
      <x:c r="B2127" s="12" t="str">
        <x:v>17523</x:v>
      </x:c>
      <x:c r="C2127" s="21" t="n">
        <x:v>36441.63092592593</x:v>
      </x:c>
      <x:c r="D2127" s="12" t="n">
        <x:v>66</x:v>
      </x:c>
      <x:c r="E2127" s="12" t="n">
        <x:v>1</x:v>
      </x:c>
      <x:c r="F2127" s="12" t="str">
        <x:v>未记录</x:v>
      </x:c>
      <x:c r="G2127" s="12" t="n">
        <x:v>1</x:v>
      </x:c>
      <x:c r="H2127" s="12" t="str">
        <x:v>{'NORM': 100.0, 'SR': 0.0}</x:v>
      </x:c>
      <x:c r="I2127" s="12" t="str">
        <x:v>[('NSR', 100.0), ('NML', 100.0)]</x:v>
      </x:c>
      <x:c r="J2127" s="12" t="str">
        <x:v>ptbxl_database.csv；ecg_id=20671；scp_codes</x:v>
      </x:c>
      <x:c r="K2127" s="12" t="str">
        <x:v>12sl_statements.csv；ecg_id=20671；statements_ext_snomed</x:v>
      </x:c>
      <x:c r="L2127" s="12"/>
      <x:c r="M2127" s="12" t="str">
        <x:v>negative</x:v>
      </x:c>
      <x:c r="N2127" s="12"/>
      <x:c r="O2127" s="12" t="str">
        <x:v>negative</x:v>
      </x:c>
      <x:c r="P2127" s="12" t="str">
        <x:f>IF(OR(M2127="unavailable",O2127="unavailable"),"不可评价",IF(OR(M2127="equivocal",O2127="equivocal"),"疑似",IF(AND(M2127="positive",O2127="positive"),"a",IF(O2127="positive","b",IF(M2127="positive","c","d")))))</x:f>
        <x:v>d</x:v>
      </x:c>
      <x:c r="Q2127" s="12"/>
      <x:c r="R2127" s="12" t="str">
        <x:v>negative</x:v>
      </x:c>
      <x:c r="S2127" s="12"/>
      <x:c r="T2127" s="12" t="str">
        <x:v>negative</x:v>
      </x:c>
      <x:c r="U2127" s="12" t="str">
        <x:f>IF(OR(R2127="unavailable",T2127="unavailable"),"不可评价",IF(OR(R2127="equivocal",T2127="equivocal"),"疑似",IF(AND(R2127="positive",T2127="positive"),"a",IF(T2127="positive","b",IF(R2127="positive","c","d")))))</x:f>
        <x:v>d</x:v>
      </x:c>
      <x:c r="V2127" s="12"/>
      <x:c r="W2127" s="12" t="str">
        <x:v>negative</x:v>
      </x:c>
      <x:c r="X2127" s="12"/>
      <x:c r="Y2127" s="12" t="str">
        <x:v>negative</x:v>
      </x:c>
      <x:c r="Z2127" s="12" t="str">
        <x:f>IF(OR(W2127="unavailable",Y2127="unavailable"),"不可评价",IF(OR(W2127="equivocal",Y2127="equivocal"),"疑似",IF(AND(W2127="positive",Y2127="positive"),"a",IF(Y2127="positive","b",IF(W2127="positive","c","d")))))</x:f>
        <x:v>d</x:v>
      </x:c>
      <x:c r="AA2127" s="12" t="str">
        <x:f>IF(OR(M2127="unavailable",O2127="unavailable"),"不可评价",IF(AND(OR(M2127="positive",M2127="equivocal"),OR(O2127="positive",O2127="equivocal")),"a",IF(OR(O2127="positive",O2127="equivocal"),"b",IF(OR(M2127="positive",M2127="equivocal"),"c","d"))))</x:f>
        <x:v>d</x:v>
      </x:c>
      <x:c r="AB2127" s="12" t="str">
        <x:f>IF(OR(M2127="unavailable",O2127="unavailable"),"不可评价",IF(AND(M2127="positive",O2127="positive"),"a",IF(O2127="positive","b",IF(M2127="positive","c","d"))))</x:f>
        <x:v>d</x:v>
      </x:c>
      <x:c r="AC2127" s="12" t="str">
        <x:f>IF(OR(R2127="unavailable",T2127="unavailable"),"不可评价",IF(AND(OR(R2127="positive",R2127="equivocal"),OR(T2127="positive",T2127="equivocal")),"a",IF(OR(T2127="positive",T2127="equivocal"),"b",IF(OR(R2127="positive",R2127="equivocal"),"c","d"))))</x:f>
        <x:v>d</x:v>
      </x:c>
      <x:c r="AD2127" s="12" t="str">
        <x:f>IF(OR(R2127="unavailable",T2127="unavailable"),"不可评价",IF(AND(R2127="positive",T2127="positive"),"a",IF(T2127="positive","b",IF(R2127="positive","c","d"))))</x:f>
        <x:v>d</x:v>
      </x:c>
      <x:c r="AE2127" s="12" t="str">
        <x:f>IF(OR(W2127="unavailable",Y2127="unavailable"),"不可评价",IF(AND(OR(W2127="positive",W2127="equivocal"),OR(Y2127="positive",Y2127="equivocal")),"a",IF(OR(Y2127="positive",Y2127="equivocal"),"b",IF(OR(W2127="positive",W2127="equivocal"),"c","d"))))</x:f>
        <x:v>d</x:v>
      </x:c>
      <x:c r="AF2127" s="12" t="str">
        <x:f>IF(OR(W2127="unavailable",Y2127="unavailable"),"不可评价",IF(AND(W2127="positive",Y2127="positive"),"a",IF(Y2127="positive","b",IF(W2127="positive","c","d"))))</x:f>
        <x:v>d</x:v>
      </x:c>
    </x:row>
    <x:row r="2128" ht="24" customHeight="1">
      <x:c r="A2128" s="12" t="str">
        <x:v>20674</x:v>
      </x:c>
      <x:c r="B2128" s="12" t="str">
        <x:v>18246</x:v>
      </x:c>
      <x:c r="C2128" s="21" t="n">
        <x:v>36443.833657407406</x:v>
      </x:c>
      <x:c r="D2128" s="12" t="n">
        <x:v>57</x:v>
      </x:c>
      <x:c r="E2128" s="12" t="n">
        <x:v>0</x:v>
      </x:c>
      <x:c r="F2128" s="12" t="str">
        <x:v>未记录</x:v>
      </x:c>
      <x:c r="G2128" s="12" t="n">
        <x:v>1</x:v>
      </x:c>
      <x:c r="H2128" s="12" t="str">
        <x:v>{'CRBBB': 100.0, 'AFIB': 0.0}</x:v>
      </x:c>
      <x:c r="I2128" s="12" t="str">
        <x:v>[('NSR', 100.0), ('SAR', 100.0), ('RBBB', 100.0), ('AB', 100.0)]</x:v>
      </x:c>
      <x:c r="J2128" s="12" t="str">
        <x:v>ptbxl_database.csv；ecg_id=20674；scp_codes</x:v>
      </x:c>
      <x:c r="K2128" s="12" t="str">
        <x:v>12sl_statements.csv；ecg_id=20674；statements_ext_snomed</x:v>
      </x:c>
      <x:c r="L2128" s="12" t="n">
        <x:v>0</x:v>
      </x:c>
      <x:c r="M2128" s="12" t="str">
        <x:v>positive</x:v>
      </x:c>
      <x:c r="N2128" s="12"/>
      <x:c r="O2128" s="12" t="str">
        <x:v>negative</x:v>
      </x:c>
      <x:c r="P2128" s="12" t="str">
        <x:f>IF(OR(M2128="unavailable",O2128="unavailable"),"不可评价",IF(OR(M2128="equivocal",O2128="equivocal"),"疑似",IF(AND(M2128="positive",O2128="positive"),"a",IF(O2128="positive","b",IF(M2128="positive","c","d")))))</x:f>
        <x:v>c</x:v>
      </x:c>
      <x:c r="Q2128" s="12"/>
      <x:c r="R2128" s="12" t="str">
        <x:v>negative</x:v>
      </x:c>
      <x:c r="S2128" s="12"/>
      <x:c r="T2128" s="12" t="str">
        <x:v>negative</x:v>
      </x:c>
      <x:c r="U2128" s="12" t="str">
        <x:f>IF(OR(R2128="unavailable",T2128="unavailable"),"不可评价",IF(OR(R2128="equivocal",T2128="equivocal"),"疑似",IF(AND(R2128="positive",T2128="positive"),"a",IF(T2128="positive","b",IF(R2128="positive","c","d")))))</x:f>
        <x:v>d</x:v>
      </x:c>
      <x:c r="V2128" s="12" t="n">
        <x:v>100</x:v>
      </x:c>
      <x:c r="W2128" s="12" t="str">
        <x:v>positive</x:v>
      </x:c>
      <x:c r="X2128" s="12" t="n">
        <x:v>100</x:v>
      </x:c>
      <x:c r="Y2128" s="12" t="str">
        <x:v>positive</x:v>
      </x:c>
      <x:c r="Z2128" s="12" t="str">
        <x:f>IF(OR(W2128="unavailable",Y2128="unavailable"),"不可评价",IF(OR(W2128="equivocal",Y2128="equivocal"),"疑似",IF(AND(W2128="positive",Y2128="positive"),"a",IF(Y2128="positive","b",IF(W2128="positive","c","d")))))</x:f>
        <x:v>a</x:v>
      </x:c>
      <x:c r="AA2128" s="12" t="str">
        <x:f>IF(OR(M2128="unavailable",O2128="unavailable"),"不可评价",IF(AND(OR(M2128="positive",M2128="equivocal"),OR(O2128="positive",O2128="equivocal")),"a",IF(OR(O2128="positive",O2128="equivocal"),"b",IF(OR(M2128="positive",M2128="equivocal"),"c","d"))))</x:f>
        <x:v>c</x:v>
      </x:c>
      <x:c r="AB2128" s="12" t="str">
        <x:f>IF(OR(M2128="unavailable",O2128="unavailable"),"不可评价",IF(AND(M2128="positive",O2128="positive"),"a",IF(O2128="positive","b",IF(M2128="positive","c","d"))))</x:f>
        <x:v>c</x:v>
      </x:c>
      <x:c r="AC2128" s="12" t="str">
        <x:f>IF(OR(R2128="unavailable",T2128="unavailable"),"不可评价",IF(AND(OR(R2128="positive",R2128="equivocal"),OR(T2128="positive",T2128="equivocal")),"a",IF(OR(T2128="positive",T2128="equivocal"),"b",IF(OR(R2128="positive",R2128="equivocal"),"c","d"))))</x:f>
        <x:v>d</x:v>
      </x:c>
      <x:c r="AD2128" s="12" t="str">
        <x:f>IF(OR(R2128="unavailable",T2128="unavailable"),"不可评价",IF(AND(R2128="positive",T2128="positive"),"a",IF(T2128="positive","b",IF(R2128="positive","c","d"))))</x:f>
        <x:v>d</x:v>
      </x:c>
      <x:c r="AE2128" s="12" t="str">
        <x:f>IF(OR(W2128="unavailable",Y2128="unavailable"),"不可评价",IF(AND(OR(W2128="positive",W2128="equivocal"),OR(Y2128="positive",Y2128="equivocal")),"a",IF(OR(Y2128="positive",Y2128="equivocal"),"b",IF(OR(W2128="positive",W2128="equivocal"),"c","d"))))</x:f>
        <x:v>a</x:v>
      </x:c>
      <x:c r="AF2128" s="12" t="str">
        <x:f>IF(OR(W2128="unavailable",Y2128="unavailable"),"不可评价",IF(AND(W2128="positive",Y2128="positive"),"a",IF(Y2128="positive","b",IF(W2128="positive","c","d"))))</x:f>
        <x:v>a</x:v>
      </x:c>
    </x:row>
    <x:row r="2129" ht="24" customHeight="1">
      <x:c r="A2129" s="12" t="str">
        <x:v>20684</x:v>
      </x:c>
      <x:c r="B2129" s="12" t="str">
        <x:v>13573</x:v>
      </x:c>
      <x:c r="C2129" s="21" t="n">
        <x:v>36444.721875</x:v>
      </x:c>
      <x:c r="D2129" s="12" t="n">
        <x:v>73</x:v>
      </x:c>
      <x:c r="E2129" s="12" t="n">
        <x:v>1</x:v>
      </x:c>
      <x:c r="F2129" s="12" t="str">
        <x:v>存在</x:v>
      </x:c>
      <x:c r="G2129" s="12" t="n">
        <x:v>1</x:v>
      </x:c>
      <x:c r="H2129" s="12" t="str">
        <x:v>{'NORM': 100.0, 'SR': 0.0}</x:v>
      </x:c>
      <x:c r="I2129" s="12" t="str">
        <x:v>[('NSR', 100.0), ('NML', 100.0)]</x:v>
      </x:c>
      <x:c r="J2129" s="12" t="str">
        <x:v>ptbxl_database.csv；ecg_id=20684；scp_codes</x:v>
      </x:c>
      <x:c r="K2129" s="12" t="str">
        <x:v>12sl_statements.csv；ecg_id=20684；statements_ext_snomed</x:v>
      </x:c>
      <x:c r="L2129" s="12"/>
      <x:c r="M2129" s="12" t="str">
        <x:v>negative</x:v>
      </x:c>
      <x:c r="N2129" s="12"/>
      <x:c r="O2129" s="12" t="str">
        <x:v>negative</x:v>
      </x:c>
      <x:c r="P2129" s="12" t="str">
        <x:f>IF(OR(M2129="unavailable",O2129="unavailable"),"不可评价",IF(OR(M2129="equivocal",O2129="equivocal"),"疑似",IF(AND(M2129="positive",O2129="positive"),"a",IF(O2129="positive","b",IF(M2129="positive","c","d")))))</x:f>
        <x:v>d</x:v>
      </x:c>
      <x:c r="Q2129" s="12"/>
      <x:c r="R2129" s="12" t="str">
        <x:v>negative</x:v>
      </x:c>
      <x:c r="S2129" s="12"/>
      <x:c r="T2129" s="12" t="str">
        <x:v>negative</x:v>
      </x:c>
      <x:c r="U2129" s="12" t="str">
        <x:f>IF(OR(R2129="unavailable",T2129="unavailable"),"不可评价",IF(OR(R2129="equivocal",T2129="equivocal"),"疑似",IF(AND(R2129="positive",T2129="positive"),"a",IF(T2129="positive","b",IF(R2129="positive","c","d")))))</x:f>
        <x:v>d</x:v>
      </x:c>
      <x:c r="V2129" s="12"/>
      <x:c r="W2129" s="12" t="str">
        <x:v>negative</x:v>
      </x:c>
      <x:c r="X2129" s="12"/>
      <x:c r="Y2129" s="12" t="str">
        <x:v>negative</x:v>
      </x:c>
      <x:c r="Z2129" s="12" t="str">
        <x:f>IF(OR(W2129="unavailable",Y2129="unavailable"),"不可评价",IF(OR(W2129="equivocal",Y2129="equivocal"),"疑似",IF(AND(W2129="positive",Y2129="positive"),"a",IF(Y2129="positive","b",IF(W2129="positive","c","d")))))</x:f>
        <x:v>d</x:v>
      </x:c>
      <x:c r="AA2129" s="12" t="str">
        <x:f>IF(OR(M2129="unavailable",O2129="unavailable"),"不可评价",IF(AND(OR(M2129="positive",M2129="equivocal"),OR(O2129="positive",O2129="equivocal")),"a",IF(OR(O2129="positive",O2129="equivocal"),"b",IF(OR(M2129="positive",M2129="equivocal"),"c","d"))))</x:f>
        <x:v>d</x:v>
      </x:c>
      <x:c r="AB2129" s="12" t="str">
        <x:f>IF(OR(M2129="unavailable",O2129="unavailable"),"不可评价",IF(AND(M2129="positive",O2129="positive"),"a",IF(O2129="positive","b",IF(M2129="positive","c","d"))))</x:f>
        <x:v>d</x:v>
      </x:c>
      <x:c r="AC2129" s="12" t="str">
        <x:f>IF(OR(R2129="unavailable",T2129="unavailable"),"不可评价",IF(AND(OR(R2129="positive",R2129="equivocal"),OR(T2129="positive",T2129="equivocal")),"a",IF(OR(T2129="positive",T2129="equivocal"),"b",IF(OR(R2129="positive",R2129="equivocal"),"c","d"))))</x:f>
        <x:v>d</x:v>
      </x:c>
      <x:c r="AD2129" s="12" t="str">
        <x:f>IF(OR(R2129="unavailable",T2129="unavailable"),"不可评价",IF(AND(R2129="positive",T2129="positive"),"a",IF(T2129="positive","b",IF(R2129="positive","c","d"))))</x:f>
        <x:v>d</x:v>
      </x:c>
      <x:c r="AE2129" s="12" t="str">
        <x:f>IF(OR(W2129="unavailable",Y2129="unavailable"),"不可评价",IF(AND(OR(W2129="positive",W2129="equivocal"),OR(Y2129="positive",Y2129="equivocal")),"a",IF(OR(Y2129="positive",Y2129="equivocal"),"b",IF(OR(W2129="positive",W2129="equivocal"),"c","d"))))</x:f>
        <x:v>d</x:v>
      </x:c>
      <x:c r="AF2129" s="12" t="str">
        <x:f>IF(OR(W2129="unavailable",Y2129="unavailable"),"不可评价",IF(AND(W2129="positive",Y2129="positive"),"a",IF(Y2129="positive","b",IF(W2129="positive","c","d"))))</x:f>
        <x:v>d</x:v>
      </x:c>
    </x:row>
    <x:row r="2130" ht="24" customHeight="1">
      <x:c r="A2130" s="12" t="str">
        <x:v>20724</x:v>
      </x:c>
      <x:c r="B2130" s="12" t="str">
        <x:v>14747</x:v>
      </x:c>
      <x:c r="C2130" s="21" t="n">
        <x:v>36456.532743055555</x:v>
      </x:c>
      <x:c r="D2130" s="12" t="n">
        <x:v>79</x:v>
      </x:c>
      <x:c r="E2130" s="12" t="n">
        <x:v>1</x:v>
      </x:c>
      <x:c r="F2130" s="12" t="str">
        <x:v>未记录</x:v>
      </x:c>
      <x:c r="G2130" s="12" t="n">
        <x:v>1</x:v>
      </x:c>
      <x:c r="H2130" s="12" t="str">
        <x:v>{'NORM': 80.0, 'SR': 0.0}</x:v>
      </x:c>
      <x:c r="I2130" s="12" t="str">
        <x:v>[('SRTH', 100.0), ('PAC', 100.0), ('$SABCOND', 100.0), ('ABR', 100.0)]</x:v>
      </x:c>
      <x:c r="J2130" s="12" t="str">
        <x:v>ptbxl_database.csv；ecg_id=20724；scp_codes</x:v>
      </x:c>
      <x:c r="K2130" s="12" t="str">
        <x:v>12sl_statements.csv；ecg_id=20724；statements_ext_snomed</x:v>
      </x:c>
      <x:c r="L2130" s="12"/>
      <x:c r="M2130" s="12" t="str">
        <x:v>negative</x:v>
      </x:c>
      <x:c r="N2130" s="12"/>
      <x:c r="O2130" s="12" t="str">
        <x:v>negative</x:v>
      </x:c>
      <x:c r="P2130" s="12" t="str">
        <x:f>IF(OR(M2130="unavailable",O2130="unavailable"),"不可评价",IF(OR(M2130="equivocal",O2130="equivocal"),"疑似",IF(AND(M2130="positive",O2130="positive"),"a",IF(O2130="positive","b",IF(M2130="positive","c","d")))))</x:f>
        <x:v>d</x:v>
      </x:c>
      <x:c r="Q2130" s="12"/>
      <x:c r="R2130" s="12" t="str">
        <x:v>negative</x:v>
      </x:c>
      <x:c r="S2130" s="12"/>
      <x:c r="T2130" s="12" t="str">
        <x:v>negative</x:v>
      </x:c>
      <x:c r="U2130" s="12" t="str">
        <x:f>IF(OR(R2130="unavailable",T2130="unavailable"),"不可评价",IF(OR(R2130="equivocal",T2130="equivocal"),"疑似",IF(AND(R2130="positive",T2130="positive"),"a",IF(T2130="positive","b",IF(R2130="positive","c","d")))))</x:f>
        <x:v>d</x:v>
      </x:c>
      <x:c r="V2130" s="12"/>
      <x:c r="W2130" s="12" t="str">
        <x:v>negative</x:v>
      </x:c>
      <x:c r="X2130" s="12"/>
      <x:c r="Y2130" s="12" t="str">
        <x:v>negative</x:v>
      </x:c>
      <x:c r="Z2130" s="12" t="str">
        <x:f>IF(OR(W2130="unavailable",Y2130="unavailable"),"不可评价",IF(OR(W2130="equivocal",Y2130="equivocal"),"疑似",IF(AND(W2130="positive",Y2130="positive"),"a",IF(Y2130="positive","b",IF(W2130="positive","c","d")))))</x:f>
        <x:v>d</x:v>
      </x:c>
      <x:c r="AA2130" s="12" t="str">
        <x:f>IF(OR(M2130="unavailable",O2130="unavailable"),"不可评价",IF(AND(OR(M2130="positive",M2130="equivocal"),OR(O2130="positive",O2130="equivocal")),"a",IF(OR(O2130="positive",O2130="equivocal"),"b",IF(OR(M2130="positive",M2130="equivocal"),"c","d"))))</x:f>
        <x:v>d</x:v>
      </x:c>
      <x:c r="AB2130" s="12" t="str">
        <x:f>IF(OR(M2130="unavailable",O2130="unavailable"),"不可评价",IF(AND(M2130="positive",O2130="positive"),"a",IF(O2130="positive","b",IF(M2130="positive","c","d"))))</x:f>
        <x:v>d</x:v>
      </x:c>
      <x:c r="AC2130" s="12" t="str">
        <x:f>IF(OR(R2130="unavailable",T2130="unavailable"),"不可评价",IF(AND(OR(R2130="positive",R2130="equivocal"),OR(T2130="positive",T2130="equivocal")),"a",IF(OR(T2130="positive",T2130="equivocal"),"b",IF(OR(R2130="positive",R2130="equivocal"),"c","d"))))</x:f>
        <x:v>d</x:v>
      </x:c>
      <x:c r="AD2130" s="12" t="str">
        <x:f>IF(OR(R2130="unavailable",T2130="unavailable"),"不可评价",IF(AND(R2130="positive",T2130="positive"),"a",IF(T2130="positive","b",IF(R2130="positive","c","d"))))</x:f>
        <x:v>d</x:v>
      </x:c>
      <x:c r="AE2130" s="12" t="str">
        <x:f>IF(OR(W2130="unavailable",Y2130="unavailable"),"不可评价",IF(AND(OR(W2130="positive",W2130="equivocal"),OR(Y2130="positive",Y2130="equivocal")),"a",IF(OR(Y2130="positive",Y2130="equivocal"),"b",IF(OR(W2130="positive",W2130="equivocal"),"c","d"))))</x:f>
        <x:v>d</x:v>
      </x:c>
      <x:c r="AF2130" s="12" t="str">
        <x:f>IF(OR(W2130="unavailable",Y2130="unavailable"),"不可评价",IF(AND(W2130="positive",Y2130="positive"),"a",IF(Y2130="positive","b",IF(W2130="positive","c","d"))))</x:f>
        <x:v>d</x:v>
      </x:c>
    </x:row>
    <x:row r="2131" ht="24" customHeight="1">
      <x:c r="A2131" s="12" t="str">
        <x:v>20730</x:v>
      </x:c>
      <x:c r="B2131" s="12" t="str">
        <x:v>17523</x:v>
      </x:c>
      <x:c r="C2131" s="21" t="n">
        <x:v>36457.61550925926</x:v>
      </x:c>
      <x:c r="D2131" s="12" t="n">
        <x:v>66</x:v>
      </x:c>
      <x:c r="E2131" s="12" t="n">
        <x:v>1</x:v>
      </x:c>
      <x:c r="F2131" s="12" t="str">
        <x:v>未记录</x:v>
      </x:c>
      <x:c r="G2131" s="12" t="n">
        <x:v>0</x:v>
      </x:c>
      <x:c r="H2131" s="12" t="str">
        <x:v>{'NORM': 100.0, 'SR': 0.0}</x:v>
      </x:c>
      <x:c r="I2131" s="12" t="str">
        <x:v>[('NSR', 100.0), ('NML', 100.0)]</x:v>
      </x:c>
      <x:c r="J2131" s="12" t="str">
        <x:v>ptbxl_database.csv；ecg_id=20730；scp_codes</x:v>
      </x:c>
      <x:c r="K2131" s="12" t="str">
        <x:v>12sl_statements.csv；ecg_id=20730；statements_ext_snomed</x:v>
      </x:c>
      <x:c r="L2131" s="12"/>
      <x:c r="M2131" s="12" t="str">
        <x:v>negative</x:v>
      </x:c>
      <x:c r="N2131" s="12"/>
      <x:c r="O2131" s="12" t="str">
        <x:v>negative</x:v>
      </x:c>
      <x:c r="P2131" s="12" t="str">
        <x:f>IF(OR(M2131="unavailable",O2131="unavailable"),"不可评价",IF(OR(M2131="equivocal",O2131="equivocal"),"疑似",IF(AND(M2131="positive",O2131="positive"),"a",IF(O2131="positive","b",IF(M2131="positive","c","d")))))</x:f>
        <x:v>d</x:v>
      </x:c>
      <x:c r="Q2131" s="12"/>
      <x:c r="R2131" s="12" t="str">
        <x:v>negative</x:v>
      </x:c>
      <x:c r="S2131" s="12"/>
      <x:c r="T2131" s="12" t="str">
        <x:v>negative</x:v>
      </x:c>
      <x:c r="U2131" s="12" t="str">
        <x:f>IF(OR(R2131="unavailable",T2131="unavailable"),"不可评价",IF(OR(R2131="equivocal",T2131="equivocal"),"疑似",IF(AND(R2131="positive",T2131="positive"),"a",IF(T2131="positive","b",IF(R2131="positive","c","d")))))</x:f>
        <x:v>d</x:v>
      </x:c>
      <x:c r="V2131" s="12"/>
      <x:c r="W2131" s="12" t="str">
        <x:v>negative</x:v>
      </x:c>
      <x:c r="X2131" s="12"/>
      <x:c r="Y2131" s="12" t="str">
        <x:v>negative</x:v>
      </x:c>
      <x:c r="Z2131" s="12" t="str">
        <x:f>IF(OR(W2131="unavailable",Y2131="unavailable"),"不可评价",IF(OR(W2131="equivocal",Y2131="equivocal"),"疑似",IF(AND(W2131="positive",Y2131="positive"),"a",IF(Y2131="positive","b",IF(W2131="positive","c","d")))))</x:f>
        <x:v>d</x:v>
      </x:c>
      <x:c r="AA2131" s="12" t="str">
        <x:f>IF(OR(M2131="unavailable",O2131="unavailable"),"不可评价",IF(AND(OR(M2131="positive",M2131="equivocal"),OR(O2131="positive",O2131="equivocal")),"a",IF(OR(O2131="positive",O2131="equivocal"),"b",IF(OR(M2131="positive",M2131="equivocal"),"c","d"))))</x:f>
        <x:v>d</x:v>
      </x:c>
      <x:c r="AB2131" s="12" t="str">
        <x:f>IF(OR(M2131="unavailable",O2131="unavailable"),"不可评价",IF(AND(M2131="positive",O2131="positive"),"a",IF(O2131="positive","b",IF(M2131="positive","c","d"))))</x:f>
        <x:v>d</x:v>
      </x:c>
      <x:c r="AC2131" s="12" t="str">
        <x:f>IF(OR(R2131="unavailable",T2131="unavailable"),"不可评价",IF(AND(OR(R2131="positive",R2131="equivocal"),OR(T2131="positive",T2131="equivocal")),"a",IF(OR(T2131="positive",T2131="equivocal"),"b",IF(OR(R2131="positive",R2131="equivocal"),"c","d"))))</x:f>
        <x:v>d</x:v>
      </x:c>
      <x:c r="AD2131" s="12" t="str">
        <x:f>IF(OR(R2131="unavailable",T2131="unavailable"),"不可评价",IF(AND(R2131="positive",T2131="positive"),"a",IF(T2131="positive","b",IF(R2131="positive","c","d"))))</x:f>
        <x:v>d</x:v>
      </x:c>
      <x:c r="AE2131" s="12" t="str">
        <x:f>IF(OR(W2131="unavailable",Y2131="unavailable"),"不可评价",IF(AND(OR(W2131="positive",W2131="equivocal"),OR(Y2131="positive",Y2131="equivocal")),"a",IF(OR(Y2131="positive",Y2131="equivocal"),"b",IF(OR(W2131="positive",W2131="equivocal"),"c","d"))))</x:f>
        <x:v>d</x:v>
      </x:c>
      <x:c r="AF2131" s="12" t="str">
        <x:f>IF(OR(W2131="unavailable",Y2131="unavailable"),"不可评价",IF(AND(W2131="positive",Y2131="positive"),"a",IF(Y2131="positive","b",IF(W2131="positive","c","d"))))</x:f>
        <x:v>d</x:v>
      </x:c>
    </x:row>
    <x:row r="2132" ht="24" customHeight="1">
      <x:c r="A2132" s="12" t="str">
        <x:v>20753</x:v>
      </x:c>
      <x:c r="B2132" s="12" t="str">
        <x:v>19849</x:v>
      </x:c>
      <x:c r="C2132" s="21" t="n">
        <x:v>36462.56866898148</x:v>
      </x:c>
      <x:c r="D2132" s="12" t="n">
        <x:v>55</x:v>
      </x:c>
      <x:c r="E2132" s="12" t="n">
        <x:v>0</x:v>
      </x:c>
      <x:c r="F2132" s="12" t="str">
        <x:v>未记录</x:v>
      </x:c>
      <x:c r="G2132" s="12" t="n">
        <x:v>1</x:v>
      </x:c>
      <x:c r="H2132" s="12" t="str">
        <x:v>{'NDT': 100.0, 'SR': 0.0}</x:v>
      </x:c>
      <x:c r="I2132" s="12" t="str">
        <x:v>[('NSR', 100.0), ('NT', 100.0), ('AB', 100.0)]</x:v>
      </x:c>
      <x:c r="J2132" s="12" t="str">
        <x:v>ptbxl_database.csv；ecg_id=20753；scp_codes</x:v>
      </x:c>
      <x:c r="K2132" s="12" t="str">
        <x:v>12sl_statements.csv；ecg_id=20753；statements_ext_snomed</x:v>
      </x:c>
      <x:c r="L2132" s="12"/>
      <x:c r="M2132" s="12" t="str">
        <x:v>negative</x:v>
      </x:c>
      <x:c r="N2132" s="12"/>
      <x:c r="O2132" s="12" t="str">
        <x:v>negative</x:v>
      </x:c>
      <x:c r="P2132" s="12" t="str">
        <x:f>IF(OR(M2132="unavailable",O2132="unavailable"),"不可评价",IF(OR(M2132="equivocal",O2132="equivocal"),"疑似",IF(AND(M2132="positive",O2132="positive"),"a",IF(O2132="positive","b",IF(M2132="positive","c","d")))))</x:f>
        <x:v>d</x:v>
      </x:c>
      <x:c r="Q2132" s="12"/>
      <x:c r="R2132" s="12" t="str">
        <x:v>negative</x:v>
      </x:c>
      <x:c r="S2132" s="12"/>
      <x:c r="T2132" s="12" t="str">
        <x:v>negative</x:v>
      </x:c>
      <x:c r="U2132" s="12" t="str">
        <x:f>IF(OR(R2132="unavailable",T2132="unavailable"),"不可评价",IF(OR(R2132="equivocal",T2132="equivocal"),"疑似",IF(AND(R2132="positive",T2132="positive"),"a",IF(T2132="positive","b",IF(R2132="positive","c","d")))))</x:f>
        <x:v>d</x:v>
      </x:c>
      <x:c r="V2132" s="12"/>
      <x:c r="W2132" s="12" t="str">
        <x:v>negative</x:v>
      </x:c>
      <x:c r="X2132" s="12"/>
      <x:c r="Y2132" s="12" t="str">
        <x:v>negative</x:v>
      </x:c>
      <x:c r="Z2132" s="12" t="str">
        <x:f>IF(OR(W2132="unavailable",Y2132="unavailable"),"不可评价",IF(OR(W2132="equivocal",Y2132="equivocal"),"疑似",IF(AND(W2132="positive",Y2132="positive"),"a",IF(Y2132="positive","b",IF(W2132="positive","c","d")))))</x:f>
        <x:v>d</x:v>
      </x:c>
      <x:c r="AA2132" s="12" t="str">
        <x:f>IF(OR(M2132="unavailable",O2132="unavailable"),"不可评价",IF(AND(OR(M2132="positive",M2132="equivocal"),OR(O2132="positive",O2132="equivocal")),"a",IF(OR(O2132="positive",O2132="equivocal"),"b",IF(OR(M2132="positive",M2132="equivocal"),"c","d"))))</x:f>
        <x:v>d</x:v>
      </x:c>
      <x:c r="AB2132" s="12" t="str">
        <x:f>IF(OR(M2132="unavailable",O2132="unavailable"),"不可评价",IF(AND(M2132="positive",O2132="positive"),"a",IF(O2132="positive","b",IF(M2132="positive","c","d"))))</x:f>
        <x:v>d</x:v>
      </x:c>
      <x:c r="AC2132" s="12" t="str">
        <x:f>IF(OR(R2132="unavailable",T2132="unavailable"),"不可评价",IF(AND(OR(R2132="positive",R2132="equivocal"),OR(T2132="positive",T2132="equivocal")),"a",IF(OR(T2132="positive",T2132="equivocal"),"b",IF(OR(R2132="positive",R2132="equivocal"),"c","d"))))</x:f>
        <x:v>d</x:v>
      </x:c>
      <x:c r="AD2132" s="12" t="str">
        <x:f>IF(OR(R2132="unavailable",T2132="unavailable"),"不可评价",IF(AND(R2132="positive",T2132="positive"),"a",IF(T2132="positive","b",IF(R2132="positive","c","d"))))</x:f>
        <x:v>d</x:v>
      </x:c>
      <x:c r="AE2132" s="12" t="str">
        <x:f>IF(OR(W2132="unavailable",Y2132="unavailable"),"不可评价",IF(AND(OR(W2132="positive",W2132="equivocal"),OR(Y2132="positive",Y2132="equivocal")),"a",IF(OR(Y2132="positive",Y2132="equivocal"),"b",IF(OR(W2132="positive",W2132="equivocal"),"c","d"))))</x:f>
        <x:v>d</x:v>
      </x:c>
      <x:c r="AF2132" s="12" t="str">
        <x:f>IF(OR(W2132="unavailable",Y2132="unavailable"),"不可评价",IF(AND(W2132="positive",Y2132="positive"),"a",IF(Y2132="positive","b",IF(W2132="positive","c","d"))))</x:f>
        <x:v>d</x:v>
      </x:c>
    </x:row>
    <x:row r="2133" ht="24" customHeight="1">
      <x:c r="A2133" s="12" t="str">
        <x:v>20775</x:v>
      </x:c>
      <x:c r="B2133" s="12" t="str">
        <x:v>18450</x:v>
      </x:c>
      <x:c r="C2133" s="21" t="n">
        <x:v>36467.55778935185</x:v>
      </x:c>
      <x:c r="D2133" s="12" t="n">
        <x:v>77</x:v>
      </x:c>
      <x:c r="E2133" s="12" t="n">
        <x:v>0</x:v>
      </x:c>
      <x:c r="F2133" s="12" t="str">
        <x:v>存在</x:v>
      </x:c>
      <x:c r="G2133" s="12" t="n">
        <x:v>1</x:v>
      </x:c>
      <x:c r="H2133" s="12" t="str">
        <x:v>{'IMI': 15.0, 'ABQRS': 0.0, 'SR': 0.0}</x:v>
      </x:c>
      <x:c r="I2133" s="12" t="str">
        <x:v>[('SBRAD', 100.0), ('IMI;AU', 15.0), ('AB', 100.0)]</x:v>
      </x:c>
      <x:c r="J2133" s="12" t="str">
        <x:v>ptbxl_database.csv；ecg_id=20775；scp_codes</x:v>
      </x:c>
      <x:c r="K2133" s="12" t="str">
        <x:v>12sl_statements.csv；ecg_id=20775；statements_ext_snomed</x:v>
      </x:c>
      <x:c r="L2133" s="12"/>
      <x:c r="M2133" s="12" t="str">
        <x:v>negative</x:v>
      </x:c>
      <x:c r="N2133" s="12"/>
      <x:c r="O2133" s="12" t="str">
        <x:v>negative</x:v>
      </x:c>
      <x:c r="P2133" s="12" t="str">
        <x:f>IF(OR(M2133="unavailable",O2133="unavailable"),"不可评价",IF(OR(M2133="equivocal",O2133="equivocal"),"疑似",IF(AND(M2133="positive",O2133="positive"),"a",IF(O2133="positive","b",IF(M2133="positive","c","d")))))</x:f>
        <x:v>d</x:v>
      </x:c>
      <x:c r="Q2133" s="12"/>
      <x:c r="R2133" s="12" t="str">
        <x:v>negative</x:v>
      </x:c>
      <x:c r="S2133" s="12"/>
      <x:c r="T2133" s="12" t="str">
        <x:v>negative</x:v>
      </x:c>
      <x:c r="U2133" s="12" t="str">
        <x:f>IF(OR(R2133="unavailable",T2133="unavailable"),"不可评价",IF(OR(R2133="equivocal",T2133="equivocal"),"疑似",IF(AND(R2133="positive",T2133="positive"),"a",IF(T2133="positive","b",IF(R2133="positive","c","d")))))</x:f>
        <x:v>d</x:v>
      </x:c>
      <x:c r="V2133" s="12"/>
      <x:c r="W2133" s="12" t="str">
        <x:v>negative</x:v>
      </x:c>
      <x:c r="X2133" s="12"/>
      <x:c r="Y2133" s="12" t="str">
        <x:v>negative</x:v>
      </x:c>
      <x:c r="Z2133" s="12" t="str">
        <x:f>IF(OR(W2133="unavailable",Y2133="unavailable"),"不可评价",IF(OR(W2133="equivocal",Y2133="equivocal"),"疑似",IF(AND(W2133="positive",Y2133="positive"),"a",IF(Y2133="positive","b",IF(W2133="positive","c","d")))))</x:f>
        <x:v>d</x:v>
      </x:c>
      <x:c r="AA2133" s="12" t="str">
        <x:f>IF(OR(M2133="unavailable",O2133="unavailable"),"不可评价",IF(AND(OR(M2133="positive",M2133="equivocal"),OR(O2133="positive",O2133="equivocal")),"a",IF(OR(O2133="positive",O2133="equivocal"),"b",IF(OR(M2133="positive",M2133="equivocal"),"c","d"))))</x:f>
        <x:v>d</x:v>
      </x:c>
      <x:c r="AB2133" s="12" t="str">
        <x:f>IF(OR(M2133="unavailable",O2133="unavailable"),"不可评价",IF(AND(M2133="positive",O2133="positive"),"a",IF(O2133="positive","b",IF(M2133="positive","c","d"))))</x:f>
        <x:v>d</x:v>
      </x:c>
      <x:c r="AC2133" s="12" t="str">
        <x:f>IF(OR(R2133="unavailable",T2133="unavailable"),"不可评价",IF(AND(OR(R2133="positive",R2133="equivocal"),OR(T2133="positive",T2133="equivocal")),"a",IF(OR(T2133="positive",T2133="equivocal"),"b",IF(OR(R2133="positive",R2133="equivocal"),"c","d"))))</x:f>
        <x:v>d</x:v>
      </x:c>
      <x:c r="AD2133" s="12" t="str">
        <x:f>IF(OR(R2133="unavailable",T2133="unavailable"),"不可评价",IF(AND(R2133="positive",T2133="positive"),"a",IF(T2133="positive","b",IF(R2133="positive","c","d"))))</x:f>
        <x:v>d</x:v>
      </x:c>
      <x:c r="AE2133" s="12" t="str">
        <x:f>IF(OR(W2133="unavailable",Y2133="unavailable"),"不可评价",IF(AND(OR(W2133="positive",W2133="equivocal"),OR(Y2133="positive",Y2133="equivocal")),"a",IF(OR(Y2133="positive",Y2133="equivocal"),"b",IF(OR(W2133="positive",W2133="equivocal"),"c","d"))))</x:f>
        <x:v>d</x:v>
      </x:c>
      <x:c r="AF2133" s="12" t="str">
        <x:f>IF(OR(W2133="unavailable",Y2133="unavailable"),"不可评价",IF(AND(W2133="positive",Y2133="positive"),"a",IF(Y2133="positive","b",IF(W2133="positive","c","d"))))</x:f>
        <x:v>d</x:v>
      </x:c>
    </x:row>
    <x:row r="2134" ht="24" customHeight="1">
      <x:c r="A2134" s="12" t="str">
        <x:v>20776</x:v>
      </x:c>
      <x:c r="B2134" s="12" t="str">
        <x:v>21784</x:v>
      </x:c>
      <x:c r="C2134" s="21" t="n">
        <x:v>36468.516539351855</x:v>
      </x:c>
      <x:c r="D2134" s="12" t="n">
        <x:v>47</x:v>
      </x:c>
      <x:c r="E2134" s="12" t="n">
        <x:v>1</x:v>
      </x:c>
      <x:c r="F2134" s="12" t="str">
        <x:v>存在</x:v>
      </x:c>
      <x:c r="G2134" s="12" t="n">
        <x:v>1</x:v>
      </x:c>
      <x:c r="H2134" s="12" t="str">
        <x:v>{'NDT': 100.0, 'SR': 0.0}</x:v>
      </x:c>
      <x:c r="I2134" s="12" t="str">
        <x:v>[('NSR', 100.0), ('NT', 100.0), ('AB', 100.0)]</x:v>
      </x:c>
      <x:c r="J2134" s="12" t="str">
        <x:v>ptbxl_database.csv；ecg_id=20776；scp_codes</x:v>
      </x:c>
      <x:c r="K2134" s="12" t="str">
        <x:v>12sl_statements.csv；ecg_id=20776；statements_ext_snomed</x:v>
      </x:c>
      <x:c r="L2134" s="12"/>
      <x:c r="M2134" s="12" t="str">
        <x:v>negative</x:v>
      </x:c>
      <x:c r="N2134" s="12"/>
      <x:c r="O2134" s="12" t="str">
        <x:v>negative</x:v>
      </x:c>
      <x:c r="P2134" s="12" t="str">
        <x:f>IF(OR(M2134="unavailable",O2134="unavailable"),"不可评价",IF(OR(M2134="equivocal",O2134="equivocal"),"疑似",IF(AND(M2134="positive",O2134="positive"),"a",IF(O2134="positive","b",IF(M2134="positive","c","d")))))</x:f>
        <x:v>d</x:v>
      </x:c>
      <x:c r="Q2134" s="12"/>
      <x:c r="R2134" s="12" t="str">
        <x:v>negative</x:v>
      </x:c>
      <x:c r="S2134" s="12"/>
      <x:c r="T2134" s="12" t="str">
        <x:v>negative</x:v>
      </x:c>
      <x:c r="U2134" s="12" t="str">
        <x:f>IF(OR(R2134="unavailable",T2134="unavailable"),"不可评价",IF(OR(R2134="equivocal",T2134="equivocal"),"疑似",IF(AND(R2134="positive",T2134="positive"),"a",IF(T2134="positive","b",IF(R2134="positive","c","d")))))</x:f>
        <x:v>d</x:v>
      </x:c>
      <x:c r="V2134" s="12"/>
      <x:c r="W2134" s="12" t="str">
        <x:v>negative</x:v>
      </x:c>
      <x:c r="X2134" s="12"/>
      <x:c r="Y2134" s="12" t="str">
        <x:v>negative</x:v>
      </x:c>
      <x:c r="Z2134" s="12" t="str">
        <x:f>IF(OR(W2134="unavailable",Y2134="unavailable"),"不可评价",IF(OR(W2134="equivocal",Y2134="equivocal"),"疑似",IF(AND(W2134="positive",Y2134="positive"),"a",IF(Y2134="positive","b",IF(W2134="positive","c","d")))))</x:f>
        <x:v>d</x:v>
      </x:c>
      <x:c r="AA2134" s="12" t="str">
        <x:f>IF(OR(M2134="unavailable",O2134="unavailable"),"不可评价",IF(AND(OR(M2134="positive",M2134="equivocal"),OR(O2134="positive",O2134="equivocal")),"a",IF(OR(O2134="positive",O2134="equivocal"),"b",IF(OR(M2134="positive",M2134="equivocal"),"c","d"))))</x:f>
        <x:v>d</x:v>
      </x:c>
      <x:c r="AB2134" s="12" t="str">
        <x:f>IF(OR(M2134="unavailable",O2134="unavailable"),"不可评价",IF(AND(M2134="positive",O2134="positive"),"a",IF(O2134="positive","b",IF(M2134="positive","c","d"))))</x:f>
        <x:v>d</x:v>
      </x:c>
      <x:c r="AC2134" s="12" t="str">
        <x:f>IF(OR(R2134="unavailable",T2134="unavailable"),"不可评价",IF(AND(OR(R2134="positive",R2134="equivocal"),OR(T2134="positive",T2134="equivocal")),"a",IF(OR(T2134="positive",T2134="equivocal"),"b",IF(OR(R2134="positive",R2134="equivocal"),"c","d"))))</x:f>
        <x:v>d</x:v>
      </x:c>
      <x:c r="AD2134" s="12" t="str">
        <x:f>IF(OR(R2134="unavailable",T2134="unavailable"),"不可评价",IF(AND(R2134="positive",T2134="positive"),"a",IF(T2134="positive","b",IF(R2134="positive","c","d"))))</x:f>
        <x:v>d</x:v>
      </x:c>
      <x:c r="AE2134" s="12" t="str">
        <x:f>IF(OR(W2134="unavailable",Y2134="unavailable"),"不可评价",IF(AND(OR(W2134="positive",W2134="equivocal"),OR(Y2134="positive",Y2134="equivocal")),"a",IF(OR(Y2134="positive",Y2134="equivocal"),"b",IF(OR(W2134="positive",W2134="equivocal"),"c","d"))))</x:f>
        <x:v>d</x:v>
      </x:c>
      <x:c r="AF2134" s="12" t="str">
        <x:f>IF(OR(W2134="unavailable",Y2134="unavailable"),"不可评价",IF(AND(W2134="positive",Y2134="positive"),"a",IF(Y2134="positive","b",IF(W2134="positive","c","d"))))</x:f>
        <x:v>d</x:v>
      </x:c>
    </x:row>
    <x:row r="2135" ht="24" customHeight="1">
      <x:c r="A2135" s="12" t="str">
        <x:v>20801</x:v>
      </x:c>
      <x:c r="B2135" s="12" t="str">
        <x:v>19026</x:v>
      </x:c>
      <x:c r="C2135" s="21" t="n">
        <x:v>36472.7172337963</x:v>
      </x:c>
      <x:c r="D2135" s="12" t="n">
        <x:v>52</x:v>
      </x:c>
      <x:c r="E2135" s="12" t="n">
        <x:v>1</x:v>
      </x:c>
      <x:c r="F2135" s="12" t="str">
        <x:v>未记录</x:v>
      </x:c>
      <x:c r="G2135" s="12" t="n">
        <x:v>1</x:v>
      </x:c>
      <x:c r="H2135" s="12" t="str">
        <x:v>{'NDT': 100.0, 'SR': 0.0}</x:v>
      </x:c>
      <x:c r="I2135" s="12" t="str">
        <x:v>[('NSR', 100.0), ('SAR', 100.0), ('NT', 100.0), ('AB', 100.0)]</x:v>
      </x:c>
      <x:c r="J2135" s="12" t="str">
        <x:v>ptbxl_database.csv；ecg_id=20801；scp_codes</x:v>
      </x:c>
      <x:c r="K2135" s="12" t="str">
        <x:v>12sl_statements.csv；ecg_id=20801；statements_ext_snomed</x:v>
      </x:c>
      <x:c r="L2135" s="12"/>
      <x:c r="M2135" s="12" t="str">
        <x:v>negative</x:v>
      </x:c>
      <x:c r="N2135" s="12"/>
      <x:c r="O2135" s="12" t="str">
        <x:v>negative</x:v>
      </x:c>
      <x:c r="P2135" s="12" t="str">
        <x:f>IF(OR(M2135="unavailable",O2135="unavailable"),"不可评价",IF(OR(M2135="equivocal",O2135="equivocal"),"疑似",IF(AND(M2135="positive",O2135="positive"),"a",IF(O2135="positive","b",IF(M2135="positive","c","d")))))</x:f>
        <x:v>d</x:v>
      </x:c>
      <x:c r="Q2135" s="12"/>
      <x:c r="R2135" s="12" t="str">
        <x:v>negative</x:v>
      </x:c>
      <x:c r="S2135" s="12"/>
      <x:c r="T2135" s="12" t="str">
        <x:v>negative</x:v>
      </x:c>
      <x:c r="U2135" s="12" t="str">
        <x:f>IF(OR(R2135="unavailable",T2135="unavailable"),"不可评价",IF(OR(R2135="equivocal",T2135="equivocal"),"疑似",IF(AND(R2135="positive",T2135="positive"),"a",IF(T2135="positive","b",IF(R2135="positive","c","d")))))</x:f>
        <x:v>d</x:v>
      </x:c>
      <x:c r="V2135" s="12"/>
      <x:c r="W2135" s="12" t="str">
        <x:v>negative</x:v>
      </x:c>
      <x:c r="X2135" s="12"/>
      <x:c r="Y2135" s="12" t="str">
        <x:v>negative</x:v>
      </x:c>
      <x:c r="Z2135" s="12" t="str">
        <x:f>IF(OR(W2135="unavailable",Y2135="unavailable"),"不可评价",IF(OR(W2135="equivocal",Y2135="equivocal"),"疑似",IF(AND(W2135="positive",Y2135="positive"),"a",IF(Y2135="positive","b",IF(W2135="positive","c","d")))))</x:f>
        <x:v>d</x:v>
      </x:c>
      <x:c r="AA2135" s="12" t="str">
        <x:f>IF(OR(M2135="unavailable",O2135="unavailable"),"不可评价",IF(AND(OR(M2135="positive",M2135="equivocal"),OR(O2135="positive",O2135="equivocal")),"a",IF(OR(O2135="positive",O2135="equivocal"),"b",IF(OR(M2135="positive",M2135="equivocal"),"c","d"))))</x:f>
        <x:v>d</x:v>
      </x:c>
      <x:c r="AB2135" s="12" t="str">
        <x:f>IF(OR(M2135="unavailable",O2135="unavailable"),"不可评价",IF(AND(M2135="positive",O2135="positive"),"a",IF(O2135="positive","b",IF(M2135="positive","c","d"))))</x:f>
        <x:v>d</x:v>
      </x:c>
      <x:c r="AC2135" s="12" t="str">
        <x:f>IF(OR(R2135="unavailable",T2135="unavailable"),"不可评价",IF(AND(OR(R2135="positive",R2135="equivocal"),OR(T2135="positive",T2135="equivocal")),"a",IF(OR(T2135="positive",T2135="equivocal"),"b",IF(OR(R2135="positive",R2135="equivocal"),"c","d"))))</x:f>
        <x:v>d</x:v>
      </x:c>
      <x:c r="AD2135" s="12" t="str">
        <x:f>IF(OR(R2135="unavailable",T2135="unavailable"),"不可评价",IF(AND(R2135="positive",T2135="positive"),"a",IF(T2135="positive","b",IF(R2135="positive","c","d"))))</x:f>
        <x:v>d</x:v>
      </x:c>
      <x:c r="AE2135" s="12" t="str">
        <x:f>IF(OR(W2135="unavailable",Y2135="unavailable"),"不可评价",IF(AND(OR(W2135="positive",W2135="equivocal"),OR(Y2135="positive",Y2135="equivocal")),"a",IF(OR(Y2135="positive",Y2135="equivocal"),"b",IF(OR(W2135="positive",W2135="equivocal"),"c","d"))))</x:f>
        <x:v>d</x:v>
      </x:c>
      <x:c r="AF2135" s="12" t="str">
        <x:f>IF(OR(W2135="unavailable",Y2135="unavailable"),"不可评价",IF(AND(W2135="positive",Y2135="positive"),"a",IF(Y2135="positive","b",IF(W2135="positive","c","d"))))</x:f>
        <x:v>d</x:v>
      </x:c>
    </x:row>
    <x:row r="2136" ht="24" customHeight="1">
      <x:c r="A2136" s="12" t="str">
        <x:v>20831</x:v>
      </x:c>
      <x:c r="B2136" s="12" t="str">
        <x:v>10694</x:v>
      </x:c>
      <x:c r="C2136" s="21" t="n">
        <x:v>36478.53</x:v>
      </x:c>
      <x:c r="D2136" s="12" t="n">
        <x:v>61</x:v>
      </x:c>
      <x:c r="E2136" s="12" t="n">
        <x:v>1</x:v>
      </x:c>
      <x:c r="F2136" s="12" t="str">
        <x:v>未记录</x:v>
      </x:c>
      <x:c r="G2136" s="12" t="n">
        <x:v>1</x:v>
      </x:c>
      <x:c r="H2136" s="12" t="str">
        <x:v>{'NORM': 100.0, 'ABQRS': 0.0, 'SR': 0.0}</x:v>
      </x:c>
      <x:c r="I2136" s="12" t="str">
        <x:v>[('NSR', 100.0), ('NML', 100.0)]</x:v>
      </x:c>
      <x:c r="J2136" s="12" t="str">
        <x:v>ptbxl_database.csv；ecg_id=20831；scp_codes</x:v>
      </x:c>
      <x:c r="K2136" s="12" t="str">
        <x:v>12sl_statements.csv；ecg_id=20831；statements_ext_snomed</x:v>
      </x:c>
      <x:c r="L2136" s="12"/>
      <x:c r="M2136" s="12" t="str">
        <x:v>negative</x:v>
      </x:c>
      <x:c r="N2136" s="12"/>
      <x:c r="O2136" s="12" t="str">
        <x:v>negative</x:v>
      </x:c>
      <x:c r="P2136" s="12" t="str">
        <x:f>IF(OR(M2136="unavailable",O2136="unavailable"),"不可评价",IF(OR(M2136="equivocal",O2136="equivocal"),"疑似",IF(AND(M2136="positive",O2136="positive"),"a",IF(O2136="positive","b",IF(M2136="positive","c","d")))))</x:f>
        <x:v>d</x:v>
      </x:c>
      <x:c r="Q2136" s="12"/>
      <x:c r="R2136" s="12" t="str">
        <x:v>negative</x:v>
      </x:c>
      <x:c r="S2136" s="12"/>
      <x:c r="T2136" s="12" t="str">
        <x:v>negative</x:v>
      </x:c>
      <x:c r="U2136" s="12" t="str">
        <x:f>IF(OR(R2136="unavailable",T2136="unavailable"),"不可评价",IF(OR(R2136="equivocal",T2136="equivocal"),"疑似",IF(AND(R2136="positive",T2136="positive"),"a",IF(T2136="positive","b",IF(R2136="positive","c","d")))))</x:f>
        <x:v>d</x:v>
      </x:c>
      <x:c r="V2136" s="12"/>
      <x:c r="W2136" s="12" t="str">
        <x:v>negative</x:v>
      </x:c>
      <x:c r="X2136" s="12"/>
      <x:c r="Y2136" s="12" t="str">
        <x:v>negative</x:v>
      </x:c>
      <x:c r="Z2136" s="12" t="str">
        <x:f>IF(OR(W2136="unavailable",Y2136="unavailable"),"不可评价",IF(OR(W2136="equivocal",Y2136="equivocal"),"疑似",IF(AND(W2136="positive",Y2136="positive"),"a",IF(Y2136="positive","b",IF(W2136="positive","c","d")))))</x:f>
        <x:v>d</x:v>
      </x:c>
      <x:c r="AA2136" s="12" t="str">
        <x:f>IF(OR(M2136="unavailable",O2136="unavailable"),"不可评价",IF(AND(OR(M2136="positive",M2136="equivocal"),OR(O2136="positive",O2136="equivocal")),"a",IF(OR(O2136="positive",O2136="equivocal"),"b",IF(OR(M2136="positive",M2136="equivocal"),"c","d"))))</x:f>
        <x:v>d</x:v>
      </x:c>
      <x:c r="AB2136" s="12" t="str">
        <x:f>IF(OR(M2136="unavailable",O2136="unavailable"),"不可评价",IF(AND(M2136="positive",O2136="positive"),"a",IF(O2136="positive","b",IF(M2136="positive","c","d"))))</x:f>
        <x:v>d</x:v>
      </x:c>
      <x:c r="AC2136" s="12" t="str">
        <x:f>IF(OR(R2136="unavailable",T2136="unavailable"),"不可评价",IF(AND(OR(R2136="positive",R2136="equivocal"),OR(T2136="positive",T2136="equivocal")),"a",IF(OR(T2136="positive",T2136="equivocal"),"b",IF(OR(R2136="positive",R2136="equivocal"),"c","d"))))</x:f>
        <x:v>d</x:v>
      </x:c>
      <x:c r="AD2136" s="12" t="str">
        <x:f>IF(OR(R2136="unavailable",T2136="unavailable"),"不可评价",IF(AND(R2136="positive",T2136="positive"),"a",IF(T2136="positive","b",IF(R2136="positive","c","d"))))</x:f>
        <x:v>d</x:v>
      </x:c>
      <x:c r="AE2136" s="12" t="str">
        <x:f>IF(OR(W2136="unavailable",Y2136="unavailable"),"不可评价",IF(AND(OR(W2136="positive",W2136="equivocal"),OR(Y2136="positive",Y2136="equivocal")),"a",IF(OR(Y2136="positive",Y2136="equivocal"),"b",IF(OR(W2136="positive",W2136="equivocal"),"c","d"))))</x:f>
        <x:v>d</x:v>
      </x:c>
      <x:c r="AF2136" s="12" t="str">
        <x:f>IF(OR(W2136="unavailable",Y2136="unavailable"),"不可评价",IF(AND(W2136="positive",Y2136="positive"),"a",IF(Y2136="positive","b",IF(W2136="positive","c","d"))))</x:f>
        <x:v>d</x:v>
      </x:c>
    </x:row>
    <x:row r="2137" ht="39" customHeight="1">
      <x:c r="A2137" s="12" t="str">
        <x:v>20865</x:v>
      </x:c>
      <x:c r="B2137" s="12" t="str">
        <x:v>14863</x:v>
      </x:c>
      <x:c r="C2137" s="21" t="n">
        <x:v>36489.31487268519</x:v>
      </x:c>
      <x:c r="D2137" s="12" t="n">
        <x:v>300</x:v>
      </x:c>
      <x:c r="E2137" s="12" t="n">
        <x:v>1</x:v>
      </x:c>
      <x:c r="F2137" s="12" t="str">
        <x:v>未记录</x:v>
      </x:c>
      <x:c r="G2137" s="12" t="n">
        <x:v>1</x:v>
      </x:c>
      <x:c r="H2137" s="12" t="str">
        <x:v>{'IMI': 50.0, 'ASMI': 50.0, 'LAFB': 100.0, 'ABQRS': 0.0, 'SR': 0.0}</x:v>
      </x:c>
      <x:c r="I2137" s="12" t="str">
        <x:v>[('SRTH', 100.0), ('FAV', 100.0), ('LAD3', 100.0), ('LVH2', 100.0), ('QRSW-2ST', 100.0), ('NST', 100.0), ('AB', 100.0)]</x:v>
      </x:c>
      <x:c r="J2137" s="12" t="str">
        <x:v>ptbxl_database.csv；ecg_id=20865；scp_codes</x:v>
      </x:c>
      <x:c r="K2137" s="12" t="str">
        <x:v>12sl_statements.csv；ecg_id=20865；statements_ext_snomed</x:v>
      </x:c>
      <x:c r="L2137" s="12"/>
      <x:c r="M2137" s="12" t="str">
        <x:v>negative</x:v>
      </x:c>
      <x:c r="N2137" s="12"/>
      <x:c r="O2137" s="12" t="str">
        <x:v>negative</x:v>
      </x:c>
      <x:c r="P2137" s="12" t="str">
        <x:f>IF(OR(M2137="unavailable",O2137="unavailable"),"不可评价",IF(OR(M2137="equivocal",O2137="equivocal"),"疑似",IF(AND(M2137="positive",O2137="positive"),"a",IF(O2137="positive","b",IF(M2137="positive","c","d")))))</x:f>
        <x:v>d</x:v>
      </x:c>
      <x:c r="Q2137" s="12"/>
      <x:c r="R2137" s="12" t="str">
        <x:v>negative</x:v>
      </x:c>
      <x:c r="S2137" s="12"/>
      <x:c r="T2137" s="12" t="str">
        <x:v>negative</x:v>
      </x:c>
      <x:c r="U2137" s="12" t="str">
        <x:f>IF(OR(R2137="unavailable",T2137="unavailable"),"不可评价",IF(OR(R2137="equivocal",T2137="equivocal"),"疑似",IF(AND(R2137="positive",T2137="positive"),"a",IF(T2137="positive","b",IF(R2137="positive","c","d")))))</x:f>
        <x:v>d</x:v>
      </x:c>
      <x:c r="V2137" s="12"/>
      <x:c r="W2137" s="12" t="str">
        <x:v>negative</x:v>
      </x:c>
      <x:c r="X2137" s="12"/>
      <x:c r="Y2137" s="12" t="str">
        <x:v>negative</x:v>
      </x:c>
      <x:c r="Z2137" s="12" t="str">
        <x:f>IF(OR(W2137="unavailable",Y2137="unavailable"),"不可评价",IF(OR(W2137="equivocal",Y2137="equivocal"),"疑似",IF(AND(W2137="positive",Y2137="positive"),"a",IF(Y2137="positive","b",IF(W2137="positive","c","d")))))</x:f>
        <x:v>d</x:v>
      </x:c>
      <x:c r="AA2137" s="12" t="str">
        <x:f>IF(OR(M2137="unavailable",O2137="unavailable"),"不可评价",IF(AND(OR(M2137="positive",M2137="equivocal"),OR(O2137="positive",O2137="equivocal")),"a",IF(OR(O2137="positive",O2137="equivocal"),"b",IF(OR(M2137="positive",M2137="equivocal"),"c","d"))))</x:f>
        <x:v>d</x:v>
      </x:c>
      <x:c r="AB2137" s="12" t="str">
        <x:f>IF(OR(M2137="unavailable",O2137="unavailable"),"不可评价",IF(AND(M2137="positive",O2137="positive"),"a",IF(O2137="positive","b",IF(M2137="positive","c","d"))))</x:f>
        <x:v>d</x:v>
      </x:c>
      <x:c r="AC2137" s="12" t="str">
        <x:f>IF(OR(R2137="unavailable",T2137="unavailable"),"不可评价",IF(AND(OR(R2137="positive",R2137="equivocal"),OR(T2137="positive",T2137="equivocal")),"a",IF(OR(T2137="positive",T2137="equivocal"),"b",IF(OR(R2137="positive",R2137="equivocal"),"c","d"))))</x:f>
        <x:v>d</x:v>
      </x:c>
      <x:c r="AD2137" s="12" t="str">
        <x:f>IF(OR(R2137="unavailable",T2137="unavailable"),"不可评价",IF(AND(R2137="positive",T2137="positive"),"a",IF(T2137="positive","b",IF(R2137="positive","c","d"))))</x:f>
        <x:v>d</x:v>
      </x:c>
      <x:c r="AE2137" s="12" t="str">
        <x:f>IF(OR(W2137="unavailable",Y2137="unavailable"),"不可评价",IF(AND(OR(W2137="positive",W2137="equivocal"),OR(Y2137="positive",Y2137="equivocal")),"a",IF(OR(Y2137="positive",Y2137="equivocal"),"b",IF(OR(W2137="positive",W2137="equivocal"),"c","d"))))</x:f>
        <x:v>d</x:v>
      </x:c>
      <x:c r="AF2137" s="12" t="str">
        <x:f>IF(OR(W2137="unavailable",Y2137="unavailable"),"不可评价",IF(AND(W2137="positive",Y2137="positive"),"a",IF(Y2137="positive","b",IF(W2137="positive","c","d"))))</x:f>
        <x:v>d</x:v>
      </x:c>
    </x:row>
    <x:row r="2138" ht="24" customHeight="1">
      <x:c r="A2138" s="12" t="str">
        <x:v>20873</x:v>
      </x:c>
      <x:c r="B2138" s="12" t="str">
        <x:v>14657</x:v>
      </x:c>
      <x:c r="C2138" s="21" t="n">
        <x:v>36491.54069444445</x:v>
      </x:c>
      <x:c r="D2138" s="12" t="n">
        <x:v>46</x:v>
      </x:c>
      <x:c r="E2138" s="12" t="n">
        <x:v>0</x:v>
      </x:c>
      <x:c r="F2138" s="12" t="str">
        <x:v>未记录</x:v>
      </x:c>
      <x:c r="G2138" s="12" t="n">
        <x:v>1</x:v>
      </x:c>
      <x:c r="H2138" s="12" t="str">
        <x:v>{'ISCLA': 50.0, 'ISCIN': 50.0, 'SR': 0.0}</x:v>
      </x:c>
      <x:c r="I2138" s="12" t="str">
        <x:v>[('NSR', 100.0), ('ST&amp;', 100.0), ('IT', 100.0), ('AB', 100.0)]</x:v>
      </x:c>
      <x:c r="J2138" s="12" t="str">
        <x:v>ptbxl_database.csv；ecg_id=20873；scp_codes</x:v>
      </x:c>
      <x:c r="K2138" s="12" t="str">
        <x:v>12sl_statements.csv；ecg_id=20873；statements_ext_snomed</x:v>
      </x:c>
      <x:c r="L2138" s="12"/>
      <x:c r="M2138" s="12" t="str">
        <x:v>negative</x:v>
      </x:c>
      <x:c r="N2138" s="12"/>
      <x:c r="O2138" s="12" t="str">
        <x:v>negative</x:v>
      </x:c>
      <x:c r="P2138" s="12" t="str">
        <x:f>IF(OR(M2138="unavailable",O2138="unavailable"),"不可评价",IF(OR(M2138="equivocal",O2138="equivocal"),"疑似",IF(AND(M2138="positive",O2138="positive"),"a",IF(O2138="positive","b",IF(M2138="positive","c","d")))))</x:f>
        <x:v>d</x:v>
      </x:c>
      <x:c r="Q2138" s="12"/>
      <x:c r="R2138" s="12" t="str">
        <x:v>negative</x:v>
      </x:c>
      <x:c r="S2138" s="12"/>
      <x:c r="T2138" s="12" t="str">
        <x:v>negative</x:v>
      </x:c>
      <x:c r="U2138" s="12" t="str">
        <x:f>IF(OR(R2138="unavailable",T2138="unavailable"),"不可评价",IF(OR(R2138="equivocal",T2138="equivocal"),"疑似",IF(AND(R2138="positive",T2138="positive"),"a",IF(T2138="positive","b",IF(R2138="positive","c","d")))))</x:f>
        <x:v>d</x:v>
      </x:c>
      <x:c r="V2138" s="12"/>
      <x:c r="W2138" s="12" t="str">
        <x:v>negative</x:v>
      </x:c>
      <x:c r="X2138" s="12"/>
      <x:c r="Y2138" s="12" t="str">
        <x:v>negative</x:v>
      </x:c>
      <x:c r="Z2138" s="12" t="str">
        <x:f>IF(OR(W2138="unavailable",Y2138="unavailable"),"不可评价",IF(OR(W2138="equivocal",Y2138="equivocal"),"疑似",IF(AND(W2138="positive",Y2138="positive"),"a",IF(Y2138="positive","b",IF(W2138="positive","c","d")))))</x:f>
        <x:v>d</x:v>
      </x:c>
      <x:c r="AA2138" s="12" t="str">
        <x:f>IF(OR(M2138="unavailable",O2138="unavailable"),"不可评价",IF(AND(OR(M2138="positive",M2138="equivocal"),OR(O2138="positive",O2138="equivocal")),"a",IF(OR(O2138="positive",O2138="equivocal"),"b",IF(OR(M2138="positive",M2138="equivocal"),"c","d"))))</x:f>
        <x:v>d</x:v>
      </x:c>
      <x:c r="AB2138" s="12" t="str">
        <x:f>IF(OR(M2138="unavailable",O2138="unavailable"),"不可评价",IF(AND(M2138="positive",O2138="positive"),"a",IF(O2138="positive","b",IF(M2138="positive","c","d"))))</x:f>
        <x:v>d</x:v>
      </x:c>
      <x:c r="AC2138" s="12" t="str">
        <x:f>IF(OR(R2138="unavailable",T2138="unavailable"),"不可评价",IF(AND(OR(R2138="positive",R2138="equivocal"),OR(T2138="positive",T2138="equivocal")),"a",IF(OR(T2138="positive",T2138="equivocal"),"b",IF(OR(R2138="positive",R2138="equivocal"),"c","d"))))</x:f>
        <x:v>d</x:v>
      </x:c>
      <x:c r="AD2138" s="12" t="str">
        <x:f>IF(OR(R2138="unavailable",T2138="unavailable"),"不可评价",IF(AND(R2138="positive",T2138="positive"),"a",IF(T2138="positive","b",IF(R2138="positive","c","d"))))</x:f>
        <x:v>d</x:v>
      </x:c>
      <x:c r="AE2138" s="12" t="str">
        <x:f>IF(OR(W2138="unavailable",Y2138="unavailable"),"不可评价",IF(AND(OR(W2138="positive",W2138="equivocal"),OR(Y2138="positive",Y2138="equivocal")),"a",IF(OR(Y2138="positive",Y2138="equivocal"),"b",IF(OR(W2138="positive",W2138="equivocal"),"c","d"))))</x:f>
        <x:v>d</x:v>
      </x:c>
      <x:c r="AF2138" s="12" t="str">
        <x:f>IF(OR(W2138="unavailable",Y2138="unavailable"),"不可评价",IF(AND(W2138="positive",Y2138="positive"),"a",IF(Y2138="positive","b",IF(W2138="positive","c","d"))))</x:f>
        <x:v>d</x:v>
      </x:c>
    </x:row>
    <x:row r="2139" ht="24" customHeight="1">
      <x:c r="A2139" s="12" t="str">
        <x:v>20887</x:v>
      </x:c>
      <x:c r="B2139" s="12" t="str">
        <x:v>21758</x:v>
      </x:c>
      <x:c r="C2139" s="21" t="n">
        <x:v>36497.54050925926</x:v>
      </x:c>
      <x:c r="D2139" s="12" t="n">
        <x:v>46</x:v>
      </x:c>
      <x:c r="E2139" s="12" t="n">
        <x:v>0</x:v>
      </x:c>
      <x:c r="F2139" s="12" t="str">
        <x:v>未记录</x:v>
      </x:c>
      <x:c r="G2139" s="12" t="n">
        <x:v>1</x:v>
      </x:c>
      <x:c r="H2139" s="12" t="str">
        <x:v>{'NORM': 100.0, 'SR': 0.0}</x:v>
      </x:c>
      <x:c r="I2139" s="12" t="str">
        <x:v>[('SBRAD', 100.0), ('ABR', 100.0)]</x:v>
      </x:c>
      <x:c r="J2139" s="12" t="str">
        <x:v>ptbxl_database.csv；ecg_id=20887；scp_codes</x:v>
      </x:c>
      <x:c r="K2139" s="12" t="str">
        <x:v>12sl_statements.csv；ecg_id=20887；statements_ext_snomed</x:v>
      </x:c>
      <x:c r="L2139" s="12"/>
      <x:c r="M2139" s="12" t="str">
        <x:v>negative</x:v>
      </x:c>
      <x:c r="N2139" s="12"/>
      <x:c r="O2139" s="12" t="str">
        <x:v>negative</x:v>
      </x:c>
      <x:c r="P2139" s="12" t="str">
        <x:f>IF(OR(M2139="unavailable",O2139="unavailable"),"不可评价",IF(OR(M2139="equivocal",O2139="equivocal"),"疑似",IF(AND(M2139="positive",O2139="positive"),"a",IF(O2139="positive","b",IF(M2139="positive","c","d")))))</x:f>
        <x:v>d</x:v>
      </x:c>
      <x:c r="Q2139" s="12"/>
      <x:c r="R2139" s="12" t="str">
        <x:v>negative</x:v>
      </x:c>
      <x:c r="S2139" s="12"/>
      <x:c r="T2139" s="12" t="str">
        <x:v>negative</x:v>
      </x:c>
      <x:c r="U2139" s="12" t="str">
        <x:f>IF(OR(R2139="unavailable",T2139="unavailable"),"不可评价",IF(OR(R2139="equivocal",T2139="equivocal"),"疑似",IF(AND(R2139="positive",T2139="positive"),"a",IF(T2139="positive","b",IF(R2139="positive","c","d")))))</x:f>
        <x:v>d</x:v>
      </x:c>
      <x:c r="V2139" s="12"/>
      <x:c r="W2139" s="12" t="str">
        <x:v>negative</x:v>
      </x:c>
      <x:c r="X2139" s="12"/>
      <x:c r="Y2139" s="12" t="str">
        <x:v>negative</x:v>
      </x:c>
      <x:c r="Z2139" s="12" t="str">
        <x:f>IF(OR(W2139="unavailable",Y2139="unavailable"),"不可评价",IF(OR(W2139="equivocal",Y2139="equivocal"),"疑似",IF(AND(W2139="positive",Y2139="positive"),"a",IF(Y2139="positive","b",IF(W2139="positive","c","d")))))</x:f>
        <x:v>d</x:v>
      </x:c>
      <x:c r="AA2139" s="12" t="str">
        <x:f>IF(OR(M2139="unavailable",O2139="unavailable"),"不可评价",IF(AND(OR(M2139="positive",M2139="equivocal"),OR(O2139="positive",O2139="equivocal")),"a",IF(OR(O2139="positive",O2139="equivocal"),"b",IF(OR(M2139="positive",M2139="equivocal"),"c","d"))))</x:f>
        <x:v>d</x:v>
      </x:c>
      <x:c r="AB2139" s="12" t="str">
        <x:f>IF(OR(M2139="unavailable",O2139="unavailable"),"不可评价",IF(AND(M2139="positive",O2139="positive"),"a",IF(O2139="positive","b",IF(M2139="positive","c","d"))))</x:f>
        <x:v>d</x:v>
      </x:c>
      <x:c r="AC2139" s="12" t="str">
        <x:f>IF(OR(R2139="unavailable",T2139="unavailable"),"不可评价",IF(AND(OR(R2139="positive",R2139="equivocal"),OR(T2139="positive",T2139="equivocal")),"a",IF(OR(T2139="positive",T2139="equivocal"),"b",IF(OR(R2139="positive",R2139="equivocal"),"c","d"))))</x:f>
        <x:v>d</x:v>
      </x:c>
      <x:c r="AD2139" s="12" t="str">
        <x:f>IF(OR(R2139="unavailable",T2139="unavailable"),"不可评价",IF(AND(R2139="positive",T2139="positive"),"a",IF(T2139="positive","b",IF(R2139="positive","c","d"))))</x:f>
        <x:v>d</x:v>
      </x:c>
      <x:c r="AE2139" s="12" t="str">
        <x:f>IF(OR(W2139="unavailable",Y2139="unavailable"),"不可评价",IF(AND(OR(W2139="positive",W2139="equivocal"),OR(Y2139="positive",Y2139="equivocal")),"a",IF(OR(Y2139="positive",Y2139="equivocal"),"b",IF(OR(W2139="positive",W2139="equivocal"),"c","d"))))</x:f>
        <x:v>d</x:v>
      </x:c>
      <x:c r="AF2139" s="12" t="str">
        <x:f>IF(OR(W2139="unavailable",Y2139="unavailable"),"不可评价",IF(AND(W2139="positive",Y2139="positive"),"a",IF(Y2139="positive","b",IF(W2139="positive","c","d"))))</x:f>
        <x:v>d</x:v>
      </x:c>
    </x:row>
    <x:row r="2140" ht="24" customHeight="1">
      <x:c r="A2140" s="12" t="str">
        <x:v>20891</x:v>
      </x:c>
      <x:c r="B2140" s="12" t="str">
        <x:v>15371</x:v>
      </x:c>
      <x:c r="C2140" s="21" t="n">
        <x:v>36498.5987962963</x:v>
      </x:c>
      <x:c r="D2140" s="12" t="n">
        <x:v>50</x:v>
      </x:c>
      <x:c r="E2140" s="12" t="n">
        <x:v>1</x:v>
      </x:c>
      <x:c r="F2140" s="12" t="str">
        <x:v>未记录</x:v>
      </x:c>
      <x:c r="G2140" s="12" t="n">
        <x:v>1</x:v>
      </x:c>
      <x:c r="H2140" s="12" t="str">
        <x:v>{'NORM': 50.0, 'ABQRS': 0.0, 'SR': 0.0}</x:v>
      </x:c>
      <x:c r="I2140" s="12" t="str">
        <x:v>[('NSR', 100.0), ('NML', 100.0)]</x:v>
      </x:c>
      <x:c r="J2140" s="12" t="str">
        <x:v>ptbxl_database.csv；ecg_id=20891；scp_codes</x:v>
      </x:c>
      <x:c r="K2140" s="12" t="str">
        <x:v>12sl_statements.csv；ecg_id=20891；statements_ext_snomed</x:v>
      </x:c>
      <x:c r="L2140" s="12"/>
      <x:c r="M2140" s="12" t="str">
        <x:v>negative</x:v>
      </x:c>
      <x:c r="N2140" s="12"/>
      <x:c r="O2140" s="12" t="str">
        <x:v>negative</x:v>
      </x:c>
      <x:c r="P2140" s="12" t="str">
        <x:f>IF(OR(M2140="unavailable",O2140="unavailable"),"不可评价",IF(OR(M2140="equivocal",O2140="equivocal"),"疑似",IF(AND(M2140="positive",O2140="positive"),"a",IF(O2140="positive","b",IF(M2140="positive","c","d")))))</x:f>
        <x:v>d</x:v>
      </x:c>
      <x:c r="Q2140" s="12"/>
      <x:c r="R2140" s="12" t="str">
        <x:v>negative</x:v>
      </x:c>
      <x:c r="S2140" s="12"/>
      <x:c r="T2140" s="12" t="str">
        <x:v>negative</x:v>
      </x:c>
      <x:c r="U2140" s="12" t="str">
        <x:f>IF(OR(R2140="unavailable",T2140="unavailable"),"不可评价",IF(OR(R2140="equivocal",T2140="equivocal"),"疑似",IF(AND(R2140="positive",T2140="positive"),"a",IF(T2140="positive","b",IF(R2140="positive","c","d")))))</x:f>
        <x:v>d</x:v>
      </x:c>
      <x:c r="V2140" s="12"/>
      <x:c r="W2140" s="12" t="str">
        <x:v>negative</x:v>
      </x:c>
      <x:c r="X2140" s="12"/>
      <x:c r="Y2140" s="12" t="str">
        <x:v>negative</x:v>
      </x:c>
      <x:c r="Z2140" s="12" t="str">
        <x:f>IF(OR(W2140="unavailable",Y2140="unavailable"),"不可评价",IF(OR(W2140="equivocal",Y2140="equivocal"),"疑似",IF(AND(W2140="positive",Y2140="positive"),"a",IF(Y2140="positive","b",IF(W2140="positive","c","d")))))</x:f>
        <x:v>d</x:v>
      </x:c>
      <x:c r="AA2140" s="12" t="str">
        <x:f>IF(OR(M2140="unavailable",O2140="unavailable"),"不可评价",IF(AND(OR(M2140="positive",M2140="equivocal"),OR(O2140="positive",O2140="equivocal")),"a",IF(OR(O2140="positive",O2140="equivocal"),"b",IF(OR(M2140="positive",M2140="equivocal"),"c","d"))))</x:f>
        <x:v>d</x:v>
      </x:c>
      <x:c r="AB2140" s="12" t="str">
        <x:f>IF(OR(M2140="unavailable",O2140="unavailable"),"不可评价",IF(AND(M2140="positive",O2140="positive"),"a",IF(O2140="positive","b",IF(M2140="positive","c","d"))))</x:f>
        <x:v>d</x:v>
      </x:c>
      <x:c r="AC2140" s="12" t="str">
        <x:f>IF(OR(R2140="unavailable",T2140="unavailable"),"不可评价",IF(AND(OR(R2140="positive",R2140="equivocal"),OR(T2140="positive",T2140="equivocal")),"a",IF(OR(T2140="positive",T2140="equivocal"),"b",IF(OR(R2140="positive",R2140="equivocal"),"c","d"))))</x:f>
        <x:v>d</x:v>
      </x:c>
      <x:c r="AD2140" s="12" t="str">
        <x:f>IF(OR(R2140="unavailable",T2140="unavailable"),"不可评价",IF(AND(R2140="positive",T2140="positive"),"a",IF(T2140="positive","b",IF(R2140="positive","c","d"))))</x:f>
        <x:v>d</x:v>
      </x:c>
      <x:c r="AE2140" s="12" t="str">
        <x:f>IF(OR(W2140="unavailable",Y2140="unavailable"),"不可评价",IF(AND(OR(W2140="positive",W2140="equivocal"),OR(Y2140="positive",Y2140="equivocal")),"a",IF(OR(Y2140="positive",Y2140="equivocal"),"b",IF(OR(W2140="positive",W2140="equivocal"),"c","d"))))</x:f>
        <x:v>d</x:v>
      </x:c>
      <x:c r="AF2140" s="12" t="str">
        <x:f>IF(OR(W2140="unavailable",Y2140="unavailable"),"不可评价",IF(AND(W2140="positive",Y2140="positive"),"a",IF(Y2140="positive","b",IF(W2140="positive","c","d"))))</x:f>
        <x:v>d</x:v>
      </x:c>
    </x:row>
    <x:row r="2141" ht="24" customHeight="1">
      <x:c r="A2141" s="12" t="str">
        <x:v>20893</x:v>
      </x:c>
      <x:c r="B2141" s="12" t="str">
        <x:v>17409</x:v>
      </x:c>
      <x:c r="C2141" s="21" t="n">
        <x:v>36498.77947916667</x:v>
      </x:c>
      <x:c r="D2141" s="12" t="n">
        <x:v>88</x:v>
      </x:c>
      <x:c r="E2141" s="12" t="n">
        <x:v>1</x:v>
      </x:c>
      <x:c r="F2141" s="12" t="str">
        <x:v>未记录</x:v>
      </x:c>
      <x:c r="G2141" s="12" t="n">
        <x:v>1</x:v>
      </x:c>
      <x:c r="H2141" s="12" t="str">
        <x:v>{'CLBBB': 100.0, 'STACH': 0.0}</x:v>
      </x:c>
      <x:c r="I2141" s="12" t="str">
        <x:v>[('STACH', 100.0), ('PSVC', 100.0), ('LBBB', 100.0), ('AB', 100.0)]</x:v>
      </x:c>
      <x:c r="J2141" s="12" t="str">
        <x:v>ptbxl_database.csv；ecg_id=20893；scp_codes</x:v>
      </x:c>
      <x:c r="K2141" s="12" t="str">
        <x:v>12sl_statements.csv；ecg_id=20893；statements_ext_snomed</x:v>
      </x:c>
      <x:c r="L2141" s="12"/>
      <x:c r="M2141" s="12" t="str">
        <x:v>negative</x:v>
      </x:c>
      <x:c r="N2141" s="12"/>
      <x:c r="O2141" s="12" t="str">
        <x:v>negative</x:v>
      </x:c>
      <x:c r="P2141" s="12" t="str">
        <x:f>IF(OR(M2141="unavailable",O2141="unavailable"),"不可评价",IF(OR(M2141="equivocal",O2141="equivocal"),"疑似",IF(AND(M2141="positive",O2141="positive"),"a",IF(O2141="positive","b",IF(M2141="positive","c","d")))))</x:f>
        <x:v>d</x:v>
      </x:c>
      <x:c r="Q2141" s="12" t="n">
        <x:v>100</x:v>
      </x:c>
      <x:c r="R2141" s="12" t="str">
        <x:v>positive</x:v>
      </x:c>
      <x:c r="S2141" s="12" t="n">
        <x:v>100</x:v>
      </x:c>
      <x:c r="T2141" s="12" t="str">
        <x:v>positive</x:v>
      </x:c>
      <x:c r="U2141" s="12" t="str">
        <x:f>IF(OR(R2141="unavailable",T2141="unavailable"),"不可评价",IF(OR(R2141="equivocal",T2141="equivocal"),"疑似",IF(AND(R2141="positive",T2141="positive"),"a",IF(T2141="positive","b",IF(R2141="positive","c","d")))))</x:f>
        <x:v>a</x:v>
      </x:c>
      <x:c r="V2141" s="12"/>
      <x:c r="W2141" s="12" t="str">
        <x:v>negative</x:v>
      </x:c>
      <x:c r="X2141" s="12"/>
      <x:c r="Y2141" s="12" t="str">
        <x:v>negative</x:v>
      </x:c>
      <x:c r="Z2141" s="12" t="str">
        <x:f>IF(OR(W2141="unavailable",Y2141="unavailable"),"不可评价",IF(OR(W2141="equivocal",Y2141="equivocal"),"疑似",IF(AND(W2141="positive",Y2141="positive"),"a",IF(Y2141="positive","b",IF(W2141="positive","c","d")))))</x:f>
        <x:v>d</x:v>
      </x:c>
      <x:c r="AA2141" s="12" t="str">
        <x:f>IF(OR(M2141="unavailable",O2141="unavailable"),"不可评价",IF(AND(OR(M2141="positive",M2141="equivocal"),OR(O2141="positive",O2141="equivocal")),"a",IF(OR(O2141="positive",O2141="equivocal"),"b",IF(OR(M2141="positive",M2141="equivocal"),"c","d"))))</x:f>
        <x:v>d</x:v>
      </x:c>
      <x:c r="AB2141" s="12" t="str">
        <x:f>IF(OR(M2141="unavailable",O2141="unavailable"),"不可评价",IF(AND(M2141="positive",O2141="positive"),"a",IF(O2141="positive","b",IF(M2141="positive","c","d"))))</x:f>
        <x:v>d</x:v>
      </x:c>
      <x:c r="AC2141" s="12" t="str">
        <x:f>IF(OR(R2141="unavailable",T2141="unavailable"),"不可评价",IF(AND(OR(R2141="positive",R2141="equivocal"),OR(T2141="positive",T2141="equivocal")),"a",IF(OR(T2141="positive",T2141="equivocal"),"b",IF(OR(R2141="positive",R2141="equivocal"),"c","d"))))</x:f>
        <x:v>a</x:v>
      </x:c>
      <x:c r="AD2141" s="12" t="str">
        <x:f>IF(OR(R2141="unavailable",T2141="unavailable"),"不可评价",IF(AND(R2141="positive",T2141="positive"),"a",IF(T2141="positive","b",IF(R2141="positive","c","d"))))</x:f>
        <x:v>a</x:v>
      </x:c>
      <x:c r="AE2141" s="12" t="str">
        <x:f>IF(OR(W2141="unavailable",Y2141="unavailable"),"不可评价",IF(AND(OR(W2141="positive",W2141="equivocal"),OR(Y2141="positive",Y2141="equivocal")),"a",IF(OR(Y2141="positive",Y2141="equivocal"),"b",IF(OR(W2141="positive",W2141="equivocal"),"c","d"))))</x:f>
        <x:v>d</x:v>
      </x:c>
      <x:c r="AF2141" s="12" t="str">
        <x:f>IF(OR(W2141="unavailable",Y2141="unavailable"),"不可评价",IF(AND(W2141="positive",Y2141="positive"),"a",IF(Y2141="positive","b",IF(W2141="positive","c","d"))))</x:f>
        <x:v>d</x:v>
      </x:c>
    </x:row>
    <x:row r="2142" ht="39" customHeight="1">
      <x:c r="A2142" s="12" t="str">
        <x:v>20902</x:v>
      </x:c>
      <x:c r="B2142" s="12" t="str">
        <x:v>7991</x:v>
      </x:c>
      <x:c r="C2142" s="21" t="n">
        <x:v>36500.383055555554</x:v>
      </x:c>
      <x:c r="D2142" s="12" t="n">
        <x:v>66</x:v>
      </x:c>
      <x:c r="E2142" s="12" t="n">
        <x:v>1</x:v>
      </x:c>
      <x:c r="F2142" s="12" t="str">
        <x:v>未记录</x:v>
      </x:c>
      <x:c r="G2142" s="12" t="n">
        <x:v>1</x:v>
      </x:c>
      <x:c r="H2142" s="12" t="str">
        <x:v>{'IMI': 100.0, 'CRBBB': 100.0, 'LAFB': 100.0, '1AVB': 100.0, 'PVC': 100.0, 'ABQRS': 0.0, 'SR': 0.0}</x:v>
      </x:c>
      <x:c r="I2142" s="12" t="str">
        <x:v>[('SRTH', 100.0), ('PVC', 100.0), ('LAD3', 100.0), ('RBBB', 100.0), ('IMI;AU', 100.0), ('AB', 100.0)]</x:v>
      </x:c>
      <x:c r="J2142" s="12" t="str">
        <x:v>ptbxl_database.csv；ecg_id=20902；scp_codes</x:v>
      </x:c>
      <x:c r="K2142" s="12" t="str">
        <x:v>12sl_statements.csv；ecg_id=20902；statements_ext_snomed</x:v>
      </x:c>
      <x:c r="L2142" s="12"/>
      <x:c r="M2142" s="12" t="str">
        <x:v>negative</x:v>
      </x:c>
      <x:c r="N2142" s="12"/>
      <x:c r="O2142" s="12" t="str">
        <x:v>negative</x:v>
      </x:c>
      <x:c r="P2142" s="12" t="str">
        <x:f>IF(OR(M2142="unavailable",O2142="unavailable"),"不可评价",IF(OR(M2142="equivocal",O2142="equivocal"),"疑似",IF(AND(M2142="positive",O2142="positive"),"a",IF(O2142="positive","b",IF(M2142="positive","c","d")))))</x:f>
        <x:v>d</x:v>
      </x:c>
      <x:c r="Q2142" s="12"/>
      <x:c r="R2142" s="12" t="str">
        <x:v>negative</x:v>
      </x:c>
      <x:c r="S2142" s="12"/>
      <x:c r="T2142" s="12" t="str">
        <x:v>negative</x:v>
      </x:c>
      <x:c r="U2142" s="12" t="str">
        <x:f>IF(OR(R2142="unavailable",T2142="unavailable"),"不可评价",IF(OR(R2142="equivocal",T2142="equivocal"),"疑似",IF(AND(R2142="positive",T2142="positive"),"a",IF(T2142="positive","b",IF(R2142="positive","c","d")))))</x:f>
        <x:v>d</x:v>
      </x:c>
      <x:c r="V2142" s="12" t="n">
        <x:v>100</x:v>
      </x:c>
      <x:c r="W2142" s="12" t="str">
        <x:v>positive</x:v>
      </x:c>
      <x:c r="X2142" s="12" t="n">
        <x:v>100</x:v>
      </x:c>
      <x:c r="Y2142" s="12" t="str">
        <x:v>positive</x:v>
      </x:c>
      <x:c r="Z2142" s="12" t="str">
        <x:f>IF(OR(W2142="unavailable",Y2142="unavailable"),"不可评价",IF(OR(W2142="equivocal",Y2142="equivocal"),"疑似",IF(AND(W2142="positive",Y2142="positive"),"a",IF(Y2142="positive","b",IF(W2142="positive","c","d")))))</x:f>
        <x:v>a</x:v>
      </x:c>
      <x:c r="AA2142" s="12" t="str">
        <x:f>IF(OR(M2142="unavailable",O2142="unavailable"),"不可评价",IF(AND(OR(M2142="positive",M2142="equivocal"),OR(O2142="positive",O2142="equivocal")),"a",IF(OR(O2142="positive",O2142="equivocal"),"b",IF(OR(M2142="positive",M2142="equivocal"),"c","d"))))</x:f>
        <x:v>d</x:v>
      </x:c>
      <x:c r="AB2142" s="12" t="str">
        <x:f>IF(OR(M2142="unavailable",O2142="unavailable"),"不可评价",IF(AND(M2142="positive",O2142="positive"),"a",IF(O2142="positive","b",IF(M2142="positive","c","d"))))</x:f>
        <x:v>d</x:v>
      </x:c>
      <x:c r="AC2142" s="12" t="str">
        <x:f>IF(OR(R2142="unavailable",T2142="unavailable"),"不可评价",IF(AND(OR(R2142="positive",R2142="equivocal"),OR(T2142="positive",T2142="equivocal")),"a",IF(OR(T2142="positive",T2142="equivocal"),"b",IF(OR(R2142="positive",R2142="equivocal"),"c","d"))))</x:f>
        <x:v>d</x:v>
      </x:c>
      <x:c r="AD2142" s="12" t="str">
        <x:f>IF(OR(R2142="unavailable",T2142="unavailable"),"不可评价",IF(AND(R2142="positive",T2142="positive"),"a",IF(T2142="positive","b",IF(R2142="positive","c","d"))))</x:f>
        <x:v>d</x:v>
      </x:c>
      <x:c r="AE2142" s="12" t="str">
        <x:f>IF(OR(W2142="unavailable",Y2142="unavailable"),"不可评价",IF(AND(OR(W2142="positive",W2142="equivocal"),OR(Y2142="positive",Y2142="equivocal")),"a",IF(OR(Y2142="positive",Y2142="equivocal"),"b",IF(OR(W2142="positive",W2142="equivocal"),"c","d"))))</x:f>
        <x:v>a</x:v>
      </x:c>
      <x:c r="AF2142" s="12" t="str">
        <x:f>IF(OR(W2142="unavailable",Y2142="unavailable"),"不可评价",IF(AND(W2142="positive",Y2142="positive"),"a",IF(Y2142="positive","b",IF(W2142="positive","c","d"))))</x:f>
        <x:v>a</x:v>
      </x:c>
    </x:row>
    <x:row r="2143" ht="24" customHeight="1">
      <x:c r="A2143" s="12" t="str">
        <x:v>20905</x:v>
      </x:c>
      <x:c r="B2143" s="12" t="str">
        <x:v>9731</x:v>
      </x:c>
      <x:c r="C2143" s="21" t="n">
        <x:v>36501.49480324074</x:v>
      </x:c>
      <x:c r="D2143" s="12" t="n">
        <x:v>66</x:v>
      </x:c>
      <x:c r="E2143" s="12" t="n">
        <x:v>1</x:v>
      </x:c>
      <x:c r="F2143" s="12" t="str">
        <x:v>未记录</x:v>
      </x:c>
      <x:c r="G2143" s="12" t="n">
        <x:v>1</x:v>
      </x:c>
      <x:c r="H2143" s="12" t="str">
        <x:v>{'NORM': 100.0, 'SR': 0.0}</x:v>
      </x:c>
      <x:c r="I2143" s="12" t="str">
        <x:v>[('SRTH', 100.0), ('SPR', 100.0), ('ABR', 100.0)]</x:v>
      </x:c>
      <x:c r="J2143" s="12" t="str">
        <x:v>ptbxl_database.csv；ecg_id=20905；scp_codes</x:v>
      </x:c>
      <x:c r="K2143" s="12" t="str">
        <x:v>12sl_statements.csv；ecg_id=20905；statements_ext_snomed</x:v>
      </x:c>
      <x:c r="L2143" s="12"/>
      <x:c r="M2143" s="12" t="str">
        <x:v>negative</x:v>
      </x:c>
      <x:c r="N2143" s="12"/>
      <x:c r="O2143" s="12" t="str">
        <x:v>negative</x:v>
      </x:c>
      <x:c r="P2143" s="12" t="str">
        <x:f>IF(OR(M2143="unavailable",O2143="unavailable"),"不可评价",IF(OR(M2143="equivocal",O2143="equivocal"),"疑似",IF(AND(M2143="positive",O2143="positive"),"a",IF(O2143="positive","b",IF(M2143="positive","c","d")))))</x:f>
        <x:v>d</x:v>
      </x:c>
      <x:c r="Q2143" s="12"/>
      <x:c r="R2143" s="12" t="str">
        <x:v>negative</x:v>
      </x:c>
      <x:c r="S2143" s="12"/>
      <x:c r="T2143" s="12" t="str">
        <x:v>negative</x:v>
      </x:c>
      <x:c r="U2143" s="12" t="str">
        <x:f>IF(OR(R2143="unavailable",T2143="unavailable"),"不可评价",IF(OR(R2143="equivocal",T2143="equivocal"),"疑似",IF(AND(R2143="positive",T2143="positive"),"a",IF(T2143="positive","b",IF(R2143="positive","c","d")))))</x:f>
        <x:v>d</x:v>
      </x:c>
      <x:c r="V2143" s="12"/>
      <x:c r="W2143" s="12" t="str">
        <x:v>negative</x:v>
      </x:c>
      <x:c r="X2143" s="12"/>
      <x:c r="Y2143" s="12" t="str">
        <x:v>negative</x:v>
      </x:c>
      <x:c r="Z2143" s="12" t="str">
        <x:f>IF(OR(W2143="unavailable",Y2143="unavailable"),"不可评价",IF(OR(W2143="equivocal",Y2143="equivocal"),"疑似",IF(AND(W2143="positive",Y2143="positive"),"a",IF(Y2143="positive","b",IF(W2143="positive","c","d")))))</x:f>
        <x:v>d</x:v>
      </x:c>
      <x:c r="AA2143" s="12" t="str">
        <x:f>IF(OR(M2143="unavailable",O2143="unavailable"),"不可评价",IF(AND(OR(M2143="positive",M2143="equivocal"),OR(O2143="positive",O2143="equivocal")),"a",IF(OR(O2143="positive",O2143="equivocal"),"b",IF(OR(M2143="positive",M2143="equivocal"),"c","d"))))</x:f>
        <x:v>d</x:v>
      </x:c>
      <x:c r="AB2143" s="12" t="str">
        <x:f>IF(OR(M2143="unavailable",O2143="unavailable"),"不可评价",IF(AND(M2143="positive",O2143="positive"),"a",IF(O2143="positive","b",IF(M2143="positive","c","d"))))</x:f>
        <x:v>d</x:v>
      </x:c>
      <x:c r="AC2143" s="12" t="str">
        <x:f>IF(OR(R2143="unavailable",T2143="unavailable"),"不可评价",IF(AND(OR(R2143="positive",R2143="equivocal"),OR(T2143="positive",T2143="equivocal")),"a",IF(OR(T2143="positive",T2143="equivocal"),"b",IF(OR(R2143="positive",R2143="equivocal"),"c","d"))))</x:f>
        <x:v>d</x:v>
      </x:c>
      <x:c r="AD2143" s="12" t="str">
        <x:f>IF(OR(R2143="unavailable",T2143="unavailable"),"不可评价",IF(AND(R2143="positive",T2143="positive"),"a",IF(T2143="positive","b",IF(R2143="positive","c","d"))))</x:f>
        <x:v>d</x:v>
      </x:c>
      <x:c r="AE2143" s="12" t="str">
        <x:f>IF(OR(W2143="unavailable",Y2143="unavailable"),"不可评价",IF(AND(OR(W2143="positive",W2143="equivocal"),OR(Y2143="positive",Y2143="equivocal")),"a",IF(OR(Y2143="positive",Y2143="equivocal"),"b",IF(OR(W2143="positive",W2143="equivocal"),"c","d"))))</x:f>
        <x:v>d</x:v>
      </x:c>
      <x:c r="AF2143" s="12" t="str">
        <x:f>IF(OR(W2143="unavailable",Y2143="unavailable"),"不可评价",IF(AND(W2143="positive",Y2143="positive"),"a",IF(Y2143="positive","b",IF(W2143="positive","c","d"))))</x:f>
        <x:v>d</x:v>
      </x:c>
    </x:row>
    <x:row r="2144" ht="24" customHeight="1">
      <x:c r="A2144" s="12" t="str">
        <x:v>20939</x:v>
      </x:c>
      <x:c r="B2144" s="12" t="str">
        <x:v>13241</x:v>
      </x:c>
      <x:c r="C2144" s="21" t="n">
        <x:v>36512.361296296294</x:v>
      </x:c>
      <x:c r="D2144" s="12" t="n">
        <x:v>81</x:v>
      </x:c>
      <x:c r="E2144" s="12" t="n">
        <x:v>1</x:v>
      </x:c>
      <x:c r="F2144" s="12" t="str">
        <x:v>未记录</x:v>
      </x:c>
      <x:c r="G2144" s="12" t="n">
        <x:v>1</x:v>
      </x:c>
      <x:c r="H2144" s="12" t="str">
        <x:v>{'NDT': 100.0, 'SVARR': 0.0}</x:v>
      </x:c>
      <x:c r="I2144" s="12" t="str">
        <x:v>[('SBRAD', 100.0), ('NSTT', 100.0), ('AB', 100.0)]</x:v>
      </x:c>
      <x:c r="J2144" s="12" t="str">
        <x:v>ptbxl_database.csv；ecg_id=20939；scp_codes</x:v>
      </x:c>
      <x:c r="K2144" s="12" t="str">
        <x:v>12sl_statements.csv；ecg_id=20939；statements_ext_snomed</x:v>
      </x:c>
      <x:c r="L2144" s="12"/>
      <x:c r="M2144" s="12" t="str">
        <x:v>negative</x:v>
      </x:c>
      <x:c r="N2144" s="12"/>
      <x:c r="O2144" s="12" t="str">
        <x:v>negative</x:v>
      </x:c>
      <x:c r="P2144" s="12" t="str">
        <x:f>IF(OR(M2144="unavailable",O2144="unavailable"),"不可评价",IF(OR(M2144="equivocal",O2144="equivocal"),"疑似",IF(AND(M2144="positive",O2144="positive"),"a",IF(O2144="positive","b",IF(M2144="positive","c","d")))))</x:f>
        <x:v>d</x:v>
      </x:c>
      <x:c r="Q2144" s="12"/>
      <x:c r="R2144" s="12" t="str">
        <x:v>negative</x:v>
      </x:c>
      <x:c r="S2144" s="12"/>
      <x:c r="T2144" s="12" t="str">
        <x:v>negative</x:v>
      </x:c>
      <x:c r="U2144" s="12" t="str">
        <x:f>IF(OR(R2144="unavailable",T2144="unavailable"),"不可评价",IF(OR(R2144="equivocal",T2144="equivocal"),"疑似",IF(AND(R2144="positive",T2144="positive"),"a",IF(T2144="positive","b",IF(R2144="positive","c","d")))))</x:f>
        <x:v>d</x:v>
      </x:c>
      <x:c r="V2144" s="12"/>
      <x:c r="W2144" s="12" t="str">
        <x:v>negative</x:v>
      </x:c>
      <x:c r="X2144" s="12"/>
      <x:c r="Y2144" s="12" t="str">
        <x:v>negative</x:v>
      </x:c>
      <x:c r="Z2144" s="12" t="str">
        <x:f>IF(OR(W2144="unavailable",Y2144="unavailable"),"不可评价",IF(OR(W2144="equivocal",Y2144="equivocal"),"疑似",IF(AND(W2144="positive",Y2144="positive"),"a",IF(Y2144="positive","b",IF(W2144="positive","c","d")))))</x:f>
        <x:v>d</x:v>
      </x:c>
      <x:c r="AA2144" s="12" t="str">
        <x:f>IF(OR(M2144="unavailable",O2144="unavailable"),"不可评价",IF(AND(OR(M2144="positive",M2144="equivocal"),OR(O2144="positive",O2144="equivocal")),"a",IF(OR(O2144="positive",O2144="equivocal"),"b",IF(OR(M2144="positive",M2144="equivocal"),"c","d"))))</x:f>
        <x:v>d</x:v>
      </x:c>
      <x:c r="AB2144" s="12" t="str">
        <x:f>IF(OR(M2144="unavailable",O2144="unavailable"),"不可评价",IF(AND(M2144="positive",O2144="positive"),"a",IF(O2144="positive","b",IF(M2144="positive","c","d"))))</x:f>
        <x:v>d</x:v>
      </x:c>
      <x:c r="AC2144" s="12" t="str">
        <x:f>IF(OR(R2144="unavailable",T2144="unavailable"),"不可评价",IF(AND(OR(R2144="positive",R2144="equivocal"),OR(T2144="positive",T2144="equivocal")),"a",IF(OR(T2144="positive",T2144="equivocal"),"b",IF(OR(R2144="positive",R2144="equivocal"),"c","d"))))</x:f>
        <x:v>d</x:v>
      </x:c>
      <x:c r="AD2144" s="12" t="str">
        <x:f>IF(OR(R2144="unavailable",T2144="unavailable"),"不可评价",IF(AND(R2144="positive",T2144="positive"),"a",IF(T2144="positive","b",IF(R2144="positive","c","d"))))</x:f>
        <x:v>d</x:v>
      </x:c>
      <x:c r="AE2144" s="12" t="str">
        <x:f>IF(OR(W2144="unavailable",Y2144="unavailable"),"不可评价",IF(AND(OR(W2144="positive",W2144="equivocal"),OR(Y2144="positive",Y2144="equivocal")),"a",IF(OR(Y2144="positive",Y2144="equivocal"),"b",IF(OR(W2144="positive",W2144="equivocal"),"c","d"))))</x:f>
        <x:v>d</x:v>
      </x:c>
      <x:c r="AF2144" s="12" t="str">
        <x:f>IF(OR(W2144="unavailable",Y2144="unavailable"),"不可评价",IF(AND(W2144="positive",Y2144="positive"),"a",IF(Y2144="positive","b",IF(W2144="positive","c","d"))))</x:f>
        <x:v>d</x:v>
      </x:c>
    </x:row>
    <x:row r="2145" ht="24" customHeight="1">
      <x:c r="A2145" s="12" t="str">
        <x:v>20943</x:v>
      </x:c>
      <x:c r="B2145" s="12" t="str">
        <x:v>8542</x:v>
      </x:c>
      <x:c r="C2145" s="21" t="n">
        <x:v>36512.71896990741</x:v>
      </x:c>
      <x:c r="D2145" s="12" t="n">
        <x:v>52</x:v>
      </x:c>
      <x:c r="E2145" s="12" t="n">
        <x:v>0</x:v>
      </x:c>
      <x:c r="F2145" s="12" t="str">
        <x:v>未记录</x:v>
      </x:c>
      <x:c r="G2145" s="12" t="n">
        <x:v>1</x:v>
      </x:c>
      <x:c r="H2145" s="12" t="str">
        <x:v>{'NORM': 100.0, 'SR': 0.0}</x:v>
      </x:c>
      <x:c r="I2145" s="12" t="str">
        <x:v>[('NSR', 100.0), ('NST', 100.0), ('AB', 100.0)]</x:v>
      </x:c>
      <x:c r="J2145" s="12" t="str">
        <x:v>ptbxl_database.csv；ecg_id=20943；scp_codes</x:v>
      </x:c>
      <x:c r="K2145" s="12" t="str">
        <x:v>12sl_statements.csv；ecg_id=20943；statements_ext_snomed</x:v>
      </x:c>
      <x:c r="L2145" s="12"/>
      <x:c r="M2145" s="12" t="str">
        <x:v>negative</x:v>
      </x:c>
      <x:c r="N2145" s="12"/>
      <x:c r="O2145" s="12" t="str">
        <x:v>negative</x:v>
      </x:c>
      <x:c r="P2145" s="12" t="str">
        <x:f>IF(OR(M2145="unavailable",O2145="unavailable"),"不可评价",IF(OR(M2145="equivocal",O2145="equivocal"),"疑似",IF(AND(M2145="positive",O2145="positive"),"a",IF(O2145="positive","b",IF(M2145="positive","c","d")))))</x:f>
        <x:v>d</x:v>
      </x:c>
      <x:c r="Q2145" s="12"/>
      <x:c r="R2145" s="12" t="str">
        <x:v>negative</x:v>
      </x:c>
      <x:c r="S2145" s="12"/>
      <x:c r="T2145" s="12" t="str">
        <x:v>negative</x:v>
      </x:c>
      <x:c r="U2145" s="12" t="str">
        <x:f>IF(OR(R2145="unavailable",T2145="unavailable"),"不可评价",IF(OR(R2145="equivocal",T2145="equivocal"),"疑似",IF(AND(R2145="positive",T2145="positive"),"a",IF(T2145="positive","b",IF(R2145="positive","c","d")))))</x:f>
        <x:v>d</x:v>
      </x:c>
      <x:c r="V2145" s="12"/>
      <x:c r="W2145" s="12" t="str">
        <x:v>negative</x:v>
      </x:c>
      <x:c r="X2145" s="12"/>
      <x:c r="Y2145" s="12" t="str">
        <x:v>negative</x:v>
      </x:c>
      <x:c r="Z2145" s="12" t="str">
        <x:f>IF(OR(W2145="unavailable",Y2145="unavailable"),"不可评价",IF(OR(W2145="equivocal",Y2145="equivocal"),"疑似",IF(AND(W2145="positive",Y2145="positive"),"a",IF(Y2145="positive","b",IF(W2145="positive","c","d")))))</x:f>
        <x:v>d</x:v>
      </x:c>
      <x:c r="AA2145" s="12" t="str">
        <x:f>IF(OR(M2145="unavailable",O2145="unavailable"),"不可评价",IF(AND(OR(M2145="positive",M2145="equivocal"),OR(O2145="positive",O2145="equivocal")),"a",IF(OR(O2145="positive",O2145="equivocal"),"b",IF(OR(M2145="positive",M2145="equivocal"),"c","d"))))</x:f>
        <x:v>d</x:v>
      </x:c>
      <x:c r="AB2145" s="12" t="str">
        <x:f>IF(OR(M2145="unavailable",O2145="unavailable"),"不可评价",IF(AND(M2145="positive",O2145="positive"),"a",IF(O2145="positive","b",IF(M2145="positive","c","d"))))</x:f>
        <x:v>d</x:v>
      </x:c>
      <x:c r="AC2145" s="12" t="str">
        <x:f>IF(OR(R2145="unavailable",T2145="unavailable"),"不可评价",IF(AND(OR(R2145="positive",R2145="equivocal"),OR(T2145="positive",T2145="equivocal")),"a",IF(OR(T2145="positive",T2145="equivocal"),"b",IF(OR(R2145="positive",R2145="equivocal"),"c","d"))))</x:f>
        <x:v>d</x:v>
      </x:c>
      <x:c r="AD2145" s="12" t="str">
        <x:f>IF(OR(R2145="unavailable",T2145="unavailable"),"不可评价",IF(AND(R2145="positive",T2145="positive"),"a",IF(T2145="positive","b",IF(R2145="positive","c","d"))))</x:f>
        <x:v>d</x:v>
      </x:c>
      <x:c r="AE2145" s="12" t="str">
        <x:f>IF(OR(W2145="unavailable",Y2145="unavailable"),"不可评价",IF(AND(OR(W2145="positive",W2145="equivocal"),OR(Y2145="positive",Y2145="equivocal")),"a",IF(OR(Y2145="positive",Y2145="equivocal"),"b",IF(OR(W2145="positive",W2145="equivocal"),"c","d"))))</x:f>
        <x:v>d</x:v>
      </x:c>
      <x:c r="AF2145" s="12" t="str">
        <x:f>IF(OR(W2145="unavailable",Y2145="unavailable"),"不可评价",IF(AND(W2145="positive",Y2145="positive"),"a",IF(Y2145="positive","b",IF(W2145="positive","c","d"))))</x:f>
        <x:v>d</x:v>
      </x:c>
    </x:row>
    <x:row r="2146" ht="24" customHeight="1">
      <x:c r="A2146" s="12" t="str">
        <x:v>20950</x:v>
      </x:c>
      <x:c r="B2146" s="12" t="str">
        <x:v>9934</x:v>
      </x:c>
      <x:c r="C2146" s="21" t="n">
        <x:v>36514.578194444446</x:v>
      </x:c>
      <x:c r="D2146" s="12" t="n">
        <x:v>81</x:v>
      </x:c>
      <x:c r="E2146" s="12" t="n">
        <x:v>0</x:v>
      </x:c>
      <x:c r="F2146" s="12" t="str">
        <x:v>未记录</x:v>
      </x:c>
      <x:c r="G2146" s="12" t="n">
        <x:v>1</x:v>
      </x:c>
      <x:c r="H2146" s="12" t="str">
        <x:v>{'CLBBB': 100.0, '1AVB': 100.0, 'LAO/LAE': 100.0, 'SR': 0.0}</x:v>
      </x:c>
      <x:c r="I2146" s="12" t="str">
        <x:v>[('SRTH', 100.0), ('FAV', 100.0), ('LAD3', 100.0), ('LBBB', 100.0), ('AB', 100.0)]</x:v>
      </x:c>
      <x:c r="J2146" s="12" t="str">
        <x:v>ptbxl_database.csv；ecg_id=20950；scp_codes</x:v>
      </x:c>
      <x:c r="K2146" s="12" t="str">
        <x:v>12sl_statements.csv；ecg_id=20950；statements_ext_snomed</x:v>
      </x:c>
      <x:c r="L2146" s="12"/>
      <x:c r="M2146" s="12" t="str">
        <x:v>negative</x:v>
      </x:c>
      <x:c r="N2146" s="12"/>
      <x:c r="O2146" s="12" t="str">
        <x:v>negative</x:v>
      </x:c>
      <x:c r="P2146" s="12" t="str">
        <x:f>IF(OR(M2146="unavailable",O2146="unavailable"),"不可评价",IF(OR(M2146="equivocal",O2146="equivocal"),"疑似",IF(AND(M2146="positive",O2146="positive"),"a",IF(O2146="positive","b",IF(M2146="positive","c","d")))))</x:f>
        <x:v>d</x:v>
      </x:c>
      <x:c r="Q2146" s="12" t="n">
        <x:v>100</x:v>
      </x:c>
      <x:c r="R2146" s="12" t="str">
        <x:v>positive</x:v>
      </x:c>
      <x:c r="S2146" s="12" t="n">
        <x:v>100</x:v>
      </x:c>
      <x:c r="T2146" s="12" t="str">
        <x:v>positive</x:v>
      </x:c>
      <x:c r="U2146" s="12" t="str">
        <x:f>IF(OR(R2146="unavailable",T2146="unavailable"),"不可评价",IF(OR(R2146="equivocal",T2146="equivocal"),"疑似",IF(AND(R2146="positive",T2146="positive"),"a",IF(T2146="positive","b",IF(R2146="positive","c","d")))))</x:f>
        <x:v>a</x:v>
      </x:c>
      <x:c r="V2146" s="12"/>
      <x:c r="W2146" s="12" t="str">
        <x:v>negative</x:v>
      </x:c>
      <x:c r="X2146" s="12"/>
      <x:c r="Y2146" s="12" t="str">
        <x:v>negative</x:v>
      </x:c>
      <x:c r="Z2146" s="12" t="str">
        <x:f>IF(OR(W2146="unavailable",Y2146="unavailable"),"不可评价",IF(OR(W2146="equivocal",Y2146="equivocal"),"疑似",IF(AND(W2146="positive",Y2146="positive"),"a",IF(Y2146="positive","b",IF(W2146="positive","c","d")))))</x:f>
        <x:v>d</x:v>
      </x:c>
      <x:c r="AA2146" s="12" t="str">
        <x:f>IF(OR(M2146="unavailable",O2146="unavailable"),"不可评价",IF(AND(OR(M2146="positive",M2146="equivocal"),OR(O2146="positive",O2146="equivocal")),"a",IF(OR(O2146="positive",O2146="equivocal"),"b",IF(OR(M2146="positive",M2146="equivocal"),"c","d"))))</x:f>
        <x:v>d</x:v>
      </x:c>
      <x:c r="AB2146" s="12" t="str">
        <x:f>IF(OR(M2146="unavailable",O2146="unavailable"),"不可评价",IF(AND(M2146="positive",O2146="positive"),"a",IF(O2146="positive","b",IF(M2146="positive","c","d"))))</x:f>
        <x:v>d</x:v>
      </x:c>
      <x:c r="AC2146" s="12" t="str">
        <x:f>IF(OR(R2146="unavailable",T2146="unavailable"),"不可评价",IF(AND(OR(R2146="positive",R2146="equivocal"),OR(T2146="positive",T2146="equivocal")),"a",IF(OR(T2146="positive",T2146="equivocal"),"b",IF(OR(R2146="positive",R2146="equivocal"),"c","d"))))</x:f>
        <x:v>a</x:v>
      </x:c>
      <x:c r="AD2146" s="12" t="str">
        <x:f>IF(OR(R2146="unavailable",T2146="unavailable"),"不可评价",IF(AND(R2146="positive",T2146="positive"),"a",IF(T2146="positive","b",IF(R2146="positive","c","d"))))</x:f>
        <x:v>a</x:v>
      </x:c>
      <x:c r="AE2146" s="12" t="str">
        <x:f>IF(OR(W2146="unavailable",Y2146="unavailable"),"不可评价",IF(AND(OR(W2146="positive",W2146="equivocal"),OR(Y2146="positive",Y2146="equivocal")),"a",IF(OR(Y2146="positive",Y2146="equivocal"),"b",IF(OR(W2146="positive",W2146="equivocal"),"c","d"))))</x:f>
        <x:v>d</x:v>
      </x:c>
      <x:c r="AF2146" s="12" t="str">
        <x:f>IF(OR(W2146="unavailable",Y2146="unavailable"),"不可评价",IF(AND(W2146="positive",Y2146="positive"),"a",IF(Y2146="positive","b",IF(W2146="positive","c","d"))))</x:f>
        <x:v>d</x:v>
      </x:c>
    </x:row>
    <x:row r="2147" ht="24" customHeight="1">
      <x:c r="A2147" s="12" t="str">
        <x:v>20958</x:v>
      </x:c>
      <x:c r="B2147" s="12" t="str">
        <x:v>9871</x:v>
      </x:c>
      <x:c r="C2147" s="21" t="n">
        <x:v>36522.79108796296</x:v>
      </x:c>
      <x:c r="D2147" s="12" t="n">
        <x:v>73</x:v>
      </x:c>
      <x:c r="E2147" s="12" t="n">
        <x:v>0</x:v>
      </x:c>
      <x:c r="F2147" s="12" t="str">
        <x:v>未记录</x:v>
      </x:c>
      <x:c r="G2147" s="12" t="n">
        <x:v>0</x:v>
      </x:c>
      <x:c r="H2147" s="12" t="str">
        <x:v>{'IMI': 50.0, 'ASMI': 50.0, 'ABQRS': 0.0, 'AFIB': 0.0}</x:v>
      </x:c>
      <x:c r="I2147" s="12" t="str">
        <x:v>[('AFIB', 100.0), ('RVR', 100.0), ('LAD3', 100.0), ('AMI;AU', 100.0), ('AB', 100.0)]</x:v>
      </x:c>
      <x:c r="J2147" s="12" t="str">
        <x:v>ptbxl_database.csv；ecg_id=20958；scp_codes</x:v>
      </x:c>
      <x:c r="K2147" s="12" t="str">
        <x:v>12sl_statements.csv；ecg_id=20958；statements_ext_snomed</x:v>
      </x:c>
      <x:c r="L2147" s="12" t="n">
        <x:v>0</x:v>
      </x:c>
      <x:c r="M2147" s="12" t="str">
        <x:v>positive</x:v>
      </x:c>
      <x:c r="N2147" s="12" t="n">
        <x:v>100</x:v>
      </x:c>
      <x:c r="O2147" s="12" t="str">
        <x:v>positive</x:v>
      </x:c>
      <x:c r="P2147" s="12" t="str">
        <x:f>IF(OR(M2147="unavailable",O2147="unavailable"),"不可评价",IF(OR(M2147="equivocal",O2147="equivocal"),"疑似",IF(AND(M2147="positive",O2147="positive"),"a",IF(O2147="positive","b",IF(M2147="positive","c","d")))))</x:f>
        <x:v>a</x:v>
      </x:c>
      <x:c r="Q2147" s="12"/>
      <x:c r="R2147" s="12" t="str">
        <x:v>negative</x:v>
      </x:c>
      <x:c r="S2147" s="12"/>
      <x:c r="T2147" s="12" t="str">
        <x:v>negative</x:v>
      </x:c>
      <x:c r="U2147" s="12" t="str">
        <x:f>IF(OR(R2147="unavailable",T2147="unavailable"),"不可评价",IF(OR(R2147="equivocal",T2147="equivocal"),"疑似",IF(AND(R2147="positive",T2147="positive"),"a",IF(T2147="positive","b",IF(R2147="positive","c","d")))))</x:f>
        <x:v>d</x:v>
      </x:c>
      <x:c r="V2147" s="12"/>
      <x:c r="W2147" s="12" t="str">
        <x:v>negative</x:v>
      </x:c>
      <x:c r="X2147" s="12"/>
      <x:c r="Y2147" s="12" t="str">
        <x:v>negative</x:v>
      </x:c>
      <x:c r="Z2147" s="12" t="str">
        <x:f>IF(OR(W2147="unavailable",Y2147="unavailable"),"不可评价",IF(OR(W2147="equivocal",Y2147="equivocal"),"疑似",IF(AND(W2147="positive",Y2147="positive"),"a",IF(Y2147="positive","b",IF(W2147="positive","c","d")))))</x:f>
        <x:v>d</x:v>
      </x:c>
      <x:c r="AA2147" s="12" t="str">
        <x:f>IF(OR(M2147="unavailable",O2147="unavailable"),"不可评价",IF(AND(OR(M2147="positive",M2147="equivocal"),OR(O2147="positive",O2147="equivocal")),"a",IF(OR(O2147="positive",O2147="equivocal"),"b",IF(OR(M2147="positive",M2147="equivocal"),"c","d"))))</x:f>
        <x:v>a</x:v>
      </x:c>
      <x:c r="AB2147" s="12" t="str">
        <x:f>IF(OR(M2147="unavailable",O2147="unavailable"),"不可评价",IF(AND(M2147="positive",O2147="positive"),"a",IF(O2147="positive","b",IF(M2147="positive","c","d"))))</x:f>
        <x:v>a</x:v>
      </x:c>
      <x:c r="AC2147" s="12" t="str">
        <x:f>IF(OR(R2147="unavailable",T2147="unavailable"),"不可评价",IF(AND(OR(R2147="positive",R2147="equivocal"),OR(T2147="positive",T2147="equivocal")),"a",IF(OR(T2147="positive",T2147="equivocal"),"b",IF(OR(R2147="positive",R2147="equivocal"),"c","d"))))</x:f>
        <x:v>d</x:v>
      </x:c>
      <x:c r="AD2147" s="12" t="str">
        <x:f>IF(OR(R2147="unavailable",T2147="unavailable"),"不可评价",IF(AND(R2147="positive",T2147="positive"),"a",IF(T2147="positive","b",IF(R2147="positive","c","d"))))</x:f>
        <x:v>d</x:v>
      </x:c>
      <x:c r="AE2147" s="12" t="str">
        <x:f>IF(OR(W2147="unavailable",Y2147="unavailable"),"不可评价",IF(AND(OR(W2147="positive",W2147="equivocal"),OR(Y2147="positive",Y2147="equivocal")),"a",IF(OR(Y2147="positive",Y2147="equivocal"),"b",IF(OR(W2147="positive",W2147="equivocal"),"c","d"))))</x:f>
        <x:v>d</x:v>
      </x:c>
      <x:c r="AF2147" s="12" t="str">
        <x:f>IF(OR(W2147="unavailable",Y2147="unavailable"),"不可评价",IF(AND(W2147="positive",Y2147="positive"),"a",IF(Y2147="positive","b",IF(W2147="positive","c","d"))))</x:f>
        <x:v>d</x:v>
      </x:c>
    </x:row>
    <x:row r="2148" ht="24" customHeight="1">
      <x:c r="A2148" s="12" t="str">
        <x:v>20966</x:v>
      </x:c>
      <x:c r="B2148" s="12" t="str">
        <x:v>19420</x:v>
      </x:c>
      <x:c r="C2148" s="21" t="n">
        <x:v>36528.53259259259</x:v>
      </x:c>
      <x:c r="D2148" s="12" t="n">
        <x:v>84</x:v>
      </x:c>
      <x:c r="E2148" s="12" t="n">
        <x:v>0</x:v>
      </x:c>
      <x:c r="F2148" s="12" t="str">
        <x:v>未记录</x:v>
      </x:c>
      <x:c r="G2148" s="12" t="n">
        <x:v>1</x:v>
      </x:c>
      <x:c r="H2148" s="12" t="str">
        <x:v>{'CLBBB': 100.0, 'AFIB': 0.0}</x:v>
      </x:c>
      <x:c r="I2148" s="12" t="str">
        <x:v>[('AFIB', 100.0), ('RVR', 100.0), ('ABER', 100.0), ('LBBB', 100.0), ('AB', 100.0)]</x:v>
      </x:c>
      <x:c r="J2148" s="12" t="str">
        <x:v>ptbxl_database.csv；ecg_id=20966；scp_codes</x:v>
      </x:c>
      <x:c r="K2148" s="12" t="str">
        <x:v>12sl_statements.csv；ecg_id=20966；statements_ext_snomed</x:v>
      </x:c>
      <x:c r="L2148" s="12" t="n">
        <x:v>0</x:v>
      </x:c>
      <x:c r="M2148" s="12" t="str">
        <x:v>positive</x:v>
      </x:c>
      <x:c r="N2148" s="12" t="n">
        <x:v>100</x:v>
      </x:c>
      <x:c r="O2148" s="12" t="str">
        <x:v>positive</x:v>
      </x:c>
      <x:c r="P2148" s="12" t="str">
        <x:f>IF(OR(M2148="unavailable",O2148="unavailable"),"不可评价",IF(OR(M2148="equivocal",O2148="equivocal"),"疑似",IF(AND(M2148="positive",O2148="positive"),"a",IF(O2148="positive","b",IF(M2148="positive","c","d")))))</x:f>
        <x:v>a</x:v>
      </x:c>
      <x:c r="Q2148" s="12" t="n">
        <x:v>100</x:v>
      </x:c>
      <x:c r="R2148" s="12" t="str">
        <x:v>positive</x:v>
      </x:c>
      <x:c r="S2148" s="12" t="n">
        <x:v>100</x:v>
      </x:c>
      <x:c r="T2148" s="12" t="str">
        <x:v>positive</x:v>
      </x:c>
      <x:c r="U2148" s="12" t="str">
        <x:f>IF(OR(R2148="unavailable",T2148="unavailable"),"不可评价",IF(OR(R2148="equivocal",T2148="equivocal"),"疑似",IF(AND(R2148="positive",T2148="positive"),"a",IF(T2148="positive","b",IF(R2148="positive","c","d")))))</x:f>
        <x:v>a</x:v>
      </x:c>
      <x:c r="V2148" s="12"/>
      <x:c r="W2148" s="12" t="str">
        <x:v>negative</x:v>
      </x:c>
      <x:c r="X2148" s="12"/>
      <x:c r="Y2148" s="12" t="str">
        <x:v>negative</x:v>
      </x:c>
      <x:c r="Z2148" s="12" t="str">
        <x:f>IF(OR(W2148="unavailable",Y2148="unavailable"),"不可评价",IF(OR(W2148="equivocal",Y2148="equivocal"),"疑似",IF(AND(W2148="positive",Y2148="positive"),"a",IF(Y2148="positive","b",IF(W2148="positive","c","d")))))</x:f>
        <x:v>d</x:v>
      </x:c>
      <x:c r="AA2148" s="12" t="str">
        <x:f>IF(OR(M2148="unavailable",O2148="unavailable"),"不可评价",IF(AND(OR(M2148="positive",M2148="equivocal"),OR(O2148="positive",O2148="equivocal")),"a",IF(OR(O2148="positive",O2148="equivocal"),"b",IF(OR(M2148="positive",M2148="equivocal"),"c","d"))))</x:f>
        <x:v>a</x:v>
      </x:c>
      <x:c r="AB2148" s="12" t="str">
        <x:f>IF(OR(M2148="unavailable",O2148="unavailable"),"不可评价",IF(AND(M2148="positive",O2148="positive"),"a",IF(O2148="positive","b",IF(M2148="positive","c","d"))))</x:f>
        <x:v>a</x:v>
      </x:c>
      <x:c r="AC2148" s="12" t="str">
        <x:f>IF(OR(R2148="unavailable",T2148="unavailable"),"不可评价",IF(AND(OR(R2148="positive",R2148="equivocal"),OR(T2148="positive",T2148="equivocal")),"a",IF(OR(T2148="positive",T2148="equivocal"),"b",IF(OR(R2148="positive",R2148="equivocal"),"c","d"))))</x:f>
        <x:v>a</x:v>
      </x:c>
      <x:c r="AD2148" s="12" t="str">
        <x:f>IF(OR(R2148="unavailable",T2148="unavailable"),"不可评价",IF(AND(R2148="positive",T2148="positive"),"a",IF(T2148="positive","b",IF(R2148="positive","c","d"))))</x:f>
        <x:v>a</x:v>
      </x:c>
      <x:c r="AE2148" s="12" t="str">
        <x:f>IF(OR(W2148="unavailable",Y2148="unavailable"),"不可评价",IF(AND(OR(W2148="positive",W2148="equivocal"),OR(Y2148="positive",Y2148="equivocal")),"a",IF(OR(Y2148="positive",Y2148="equivocal"),"b",IF(OR(W2148="positive",W2148="equivocal"),"c","d"))))</x:f>
        <x:v>d</x:v>
      </x:c>
      <x:c r="AF2148" s="12" t="str">
        <x:f>IF(OR(W2148="unavailable",Y2148="unavailable"),"不可评价",IF(AND(W2148="positive",Y2148="positive"),"a",IF(Y2148="positive","b",IF(W2148="positive","c","d"))))</x:f>
        <x:v>d</x:v>
      </x:c>
    </x:row>
    <x:row r="2149" ht="39" customHeight="1">
      <x:c r="A2149" s="12" t="str">
        <x:v>20974</x:v>
      </x:c>
      <x:c r="B2149" s="12" t="str">
        <x:v>15030</x:v>
      </x:c>
      <x:c r="C2149" s="21" t="n">
        <x:v>36530.72498842593</x:v>
      </x:c>
      <x:c r="D2149" s="12" t="n">
        <x:v>77</x:v>
      </x:c>
      <x:c r="E2149" s="12" t="n">
        <x:v>0</x:v>
      </x:c>
      <x:c r="F2149" s="12" t="str">
        <x:v>未记录</x:v>
      </x:c>
      <x:c r="G2149" s="12" t="n">
        <x:v>1</x:v>
      </x:c>
      <x:c r="H2149" s="12" t="str">
        <x:v>{'IMI': 50.0, 'ABQRS': 0.0, 'SR': 0.0}</x:v>
      </x:c>
      <x:c r="I2149" s="12" t="str">
        <x:v>[('SBRAD', 100.0), ('SAR', 100.0), ('FAV', 100.0), ('LAE', 50.0), ('LVH2', 100.0), ('QRSW', 100.0), ('AB', 100.0)]</x:v>
      </x:c>
      <x:c r="J2149" s="12" t="str">
        <x:v>ptbxl_database.csv；ecg_id=20974；scp_codes</x:v>
      </x:c>
      <x:c r="K2149" s="12" t="str">
        <x:v>12sl_statements.csv；ecg_id=20974；statements_ext_snomed</x:v>
      </x:c>
      <x:c r="L2149" s="12"/>
      <x:c r="M2149" s="12" t="str">
        <x:v>negative</x:v>
      </x:c>
      <x:c r="N2149" s="12"/>
      <x:c r="O2149" s="12" t="str">
        <x:v>negative</x:v>
      </x:c>
      <x:c r="P2149" s="12" t="str">
        <x:f>IF(OR(M2149="unavailable",O2149="unavailable"),"不可评价",IF(OR(M2149="equivocal",O2149="equivocal"),"疑似",IF(AND(M2149="positive",O2149="positive"),"a",IF(O2149="positive","b",IF(M2149="positive","c","d")))))</x:f>
        <x:v>d</x:v>
      </x:c>
      <x:c r="Q2149" s="12"/>
      <x:c r="R2149" s="12" t="str">
        <x:v>negative</x:v>
      </x:c>
      <x:c r="S2149" s="12"/>
      <x:c r="T2149" s="12" t="str">
        <x:v>negative</x:v>
      </x:c>
      <x:c r="U2149" s="12" t="str">
        <x:f>IF(OR(R2149="unavailable",T2149="unavailable"),"不可评价",IF(OR(R2149="equivocal",T2149="equivocal"),"疑似",IF(AND(R2149="positive",T2149="positive"),"a",IF(T2149="positive","b",IF(R2149="positive","c","d")))))</x:f>
        <x:v>d</x:v>
      </x:c>
      <x:c r="V2149" s="12"/>
      <x:c r="W2149" s="12" t="str">
        <x:v>negative</x:v>
      </x:c>
      <x:c r="X2149" s="12"/>
      <x:c r="Y2149" s="12" t="str">
        <x:v>negative</x:v>
      </x:c>
      <x:c r="Z2149" s="12" t="str">
        <x:f>IF(OR(W2149="unavailable",Y2149="unavailable"),"不可评价",IF(OR(W2149="equivocal",Y2149="equivocal"),"疑似",IF(AND(W2149="positive",Y2149="positive"),"a",IF(Y2149="positive","b",IF(W2149="positive","c","d")))))</x:f>
        <x:v>d</x:v>
      </x:c>
      <x:c r="AA2149" s="12" t="str">
        <x:f>IF(OR(M2149="unavailable",O2149="unavailable"),"不可评价",IF(AND(OR(M2149="positive",M2149="equivocal"),OR(O2149="positive",O2149="equivocal")),"a",IF(OR(O2149="positive",O2149="equivocal"),"b",IF(OR(M2149="positive",M2149="equivocal"),"c","d"))))</x:f>
        <x:v>d</x:v>
      </x:c>
      <x:c r="AB2149" s="12" t="str">
        <x:f>IF(OR(M2149="unavailable",O2149="unavailable"),"不可评价",IF(AND(M2149="positive",O2149="positive"),"a",IF(O2149="positive","b",IF(M2149="positive","c","d"))))</x:f>
        <x:v>d</x:v>
      </x:c>
      <x:c r="AC2149" s="12" t="str">
        <x:f>IF(OR(R2149="unavailable",T2149="unavailable"),"不可评价",IF(AND(OR(R2149="positive",R2149="equivocal"),OR(T2149="positive",T2149="equivocal")),"a",IF(OR(T2149="positive",T2149="equivocal"),"b",IF(OR(R2149="positive",R2149="equivocal"),"c","d"))))</x:f>
        <x:v>d</x:v>
      </x:c>
      <x:c r="AD2149" s="12" t="str">
        <x:f>IF(OR(R2149="unavailable",T2149="unavailable"),"不可评价",IF(AND(R2149="positive",T2149="positive"),"a",IF(T2149="positive","b",IF(R2149="positive","c","d"))))</x:f>
        <x:v>d</x:v>
      </x:c>
      <x:c r="AE2149" s="12" t="str">
        <x:f>IF(OR(W2149="unavailable",Y2149="unavailable"),"不可评价",IF(AND(OR(W2149="positive",W2149="equivocal"),OR(Y2149="positive",Y2149="equivocal")),"a",IF(OR(Y2149="positive",Y2149="equivocal"),"b",IF(OR(W2149="positive",W2149="equivocal"),"c","d"))))</x:f>
        <x:v>d</x:v>
      </x:c>
      <x:c r="AF2149" s="12" t="str">
        <x:f>IF(OR(W2149="unavailable",Y2149="unavailable"),"不可评价",IF(AND(W2149="positive",Y2149="positive"),"a",IF(Y2149="positive","b",IF(W2149="positive","c","d"))))</x:f>
        <x:v>d</x:v>
      </x:c>
    </x:row>
    <x:row r="2150" ht="24" customHeight="1">
      <x:c r="A2150" s="12" t="str">
        <x:v>21004</x:v>
      </x:c>
      <x:c r="B2150" s="12" t="str">
        <x:v>20912</x:v>
      </x:c>
      <x:c r="C2150" s="21" t="n">
        <x:v>36539.72099537037</x:v>
      </x:c>
      <x:c r="D2150" s="12" t="n">
        <x:v>77</x:v>
      </x:c>
      <x:c r="E2150" s="12" t="n">
        <x:v>1</x:v>
      </x:c>
      <x:c r="F2150" s="12" t="str">
        <x:v>存在</x:v>
      </x:c>
      <x:c r="G2150" s="12" t="n">
        <x:v>1</x:v>
      </x:c>
      <x:c r="H2150" s="12" t="str">
        <x:v>{'IMI': 100.0, 'ISCLA': 100.0, 'ABQRS': 0.0, 'SVARR': 0.0}</x:v>
      </x:c>
      <x:c r="I2150" s="12" t="str">
        <x:v>[('NSR', 100.0), ('NSTT', 100.0), ('AB', 100.0)]</x:v>
      </x:c>
      <x:c r="J2150" s="12" t="str">
        <x:v>ptbxl_database.csv；ecg_id=21004；scp_codes</x:v>
      </x:c>
      <x:c r="K2150" s="12" t="str">
        <x:v>12sl_statements.csv；ecg_id=21004；statements_ext_snomed</x:v>
      </x:c>
      <x:c r="L2150" s="12"/>
      <x:c r="M2150" s="12" t="str">
        <x:v>negative</x:v>
      </x:c>
      <x:c r="N2150" s="12"/>
      <x:c r="O2150" s="12" t="str">
        <x:v>negative</x:v>
      </x:c>
      <x:c r="P2150" s="12" t="str">
        <x:f>IF(OR(M2150="unavailable",O2150="unavailable"),"不可评价",IF(OR(M2150="equivocal",O2150="equivocal"),"疑似",IF(AND(M2150="positive",O2150="positive"),"a",IF(O2150="positive","b",IF(M2150="positive","c","d")))))</x:f>
        <x:v>d</x:v>
      </x:c>
      <x:c r="Q2150" s="12"/>
      <x:c r="R2150" s="12" t="str">
        <x:v>negative</x:v>
      </x:c>
      <x:c r="S2150" s="12"/>
      <x:c r="T2150" s="12" t="str">
        <x:v>negative</x:v>
      </x:c>
      <x:c r="U2150" s="12" t="str">
        <x:f>IF(OR(R2150="unavailable",T2150="unavailable"),"不可评价",IF(OR(R2150="equivocal",T2150="equivocal"),"疑似",IF(AND(R2150="positive",T2150="positive"),"a",IF(T2150="positive","b",IF(R2150="positive","c","d")))))</x:f>
        <x:v>d</x:v>
      </x:c>
      <x:c r="V2150" s="12"/>
      <x:c r="W2150" s="12" t="str">
        <x:v>negative</x:v>
      </x:c>
      <x:c r="X2150" s="12"/>
      <x:c r="Y2150" s="12" t="str">
        <x:v>negative</x:v>
      </x:c>
      <x:c r="Z2150" s="12" t="str">
        <x:f>IF(OR(W2150="unavailable",Y2150="unavailable"),"不可评价",IF(OR(W2150="equivocal",Y2150="equivocal"),"疑似",IF(AND(W2150="positive",Y2150="positive"),"a",IF(Y2150="positive","b",IF(W2150="positive","c","d")))))</x:f>
        <x:v>d</x:v>
      </x:c>
      <x:c r="AA2150" s="12" t="str">
        <x:f>IF(OR(M2150="unavailable",O2150="unavailable"),"不可评价",IF(AND(OR(M2150="positive",M2150="equivocal"),OR(O2150="positive",O2150="equivocal")),"a",IF(OR(O2150="positive",O2150="equivocal"),"b",IF(OR(M2150="positive",M2150="equivocal"),"c","d"))))</x:f>
        <x:v>d</x:v>
      </x:c>
      <x:c r="AB2150" s="12" t="str">
        <x:f>IF(OR(M2150="unavailable",O2150="unavailable"),"不可评价",IF(AND(M2150="positive",O2150="positive"),"a",IF(O2150="positive","b",IF(M2150="positive","c","d"))))</x:f>
        <x:v>d</x:v>
      </x:c>
      <x:c r="AC2150" s="12" t="str">
        <x:f>IF(OR(R2150="unavailable",T2150="unavailable"),"不可评价",IF(AND(OR(R2150="positive",R2150="equivocal"),OR(T2150="positive",T2150="equivocal")),"a",IF(OR(T2150="positive",T2150="equivocal"),"b",IF(OR(R2150="positive",R2150="equivocal"),"c","d"))))</x:f>
        <x:v>d</x:v>
      </x:c>
      <x:c r="AD2150" s="12" t="str">
        <x:f>IF(OR(R2150="unavailable",T2150="unavailable"),"不可评价",IF(AND(R2150="positive",T2150="positive"),"a",IF(T2150="positive","b",IF(R2150="positive","c","d"))))</x:f>
        <x:v>d</x:v>
      </x:c>
      <x:c r="AE2150" s="12" t="str">
        <x:f>IF(OR(W2150="unavailable",Y2150="unavailable"),"不可评价",IF(AND(OR(W2150="positive",W2150="equivocal"),OR(Y2150="positive",Y2150="equivocal")),"a",IF(OR(Y2150="positive",Y2150="equivocal"),"b",IF(OR(W2150="positive",W2150="equivocal"),"c","d"))))</x:f>
        <x:v>d</x:v>
      </x:c>
      <x:c r="AF2150" s="12" t="str">
        <x:f>IF(OR(W2150="unavailable",Y2150="unavailable"),"不可评价",IF(AND(W2150="positive",Y2150="positive"),"a",IF(Y2150="positive","b",IF(W2150="positive","c","d"))))</x:f>
        <x:v>d</x:v>
      </x:c>
    </x:row>
    <x:row r="2151" ht="24" customHeight="1">
      <x:c r="A2151" s="12" t="str">
        <x:v>21011</x:v>
      </x:c>
      <x:c r="B2151" s="12" t="str">
        <x:v>21218</x:v>
      </x:c>
      <x:c r="C2151" s="21" t="n">
        <x:v>36540.93267361111</x:v>
      </x:c>
      <x:c r="D2151" s="12" t="n">
        <x:v>59</x:v>
      </x:c>
      <x:c r="E2151" s="12" t="n">
        <x:v>1</x:v>
      </x:c>
      <x:c r="F2151" s="12" t="str">
        <x:v>存在</x:v>
      </x:c>
      <x:c r="G2151" s="12" t="n">
        <x:v>0</x:v>
      </x:c>
      <x:c r="H2151" s="12" t="str">
        <x:v>{'IVCD': 100.0, 'SR': 0.0}</x:v>
      </x:c>
      <x:c r="I2151" s="12" t="str">
        <x:v>[('NSR', 100.0), ('LNGQT', 100.0), ('AB', 100.0)]</x:v>
      </x:c>
      <x:c r="J2151" s="12" t="str">
        <x:v>ptbxl_database.csv；ecg_id=21011；scp_codes</x:v>
      </x:c>
      <x:c r="K2151" s="12" t="str">
        <x:v>12sl_statements.csv；ecg_id=21011；statements_ext_snomed</x:v>
      </x:c>
      <x:c r="L2151" s="12"/>
      <x:c r="M2151" s="12" t="str">
        <x:v>negative</x:v>
      </x:c>
      <x:c r="N2151" s="12"/>
      <x:c r="O2151" s="12" t="str">
        <x:v>negative</x:v>
      </x:c>
      <x:c r="P2151" s="12" t="str">
        <x:f>IF(OR(M2151="unavailable",O2151="unavailable"),"不可评价",IF(OR(M2151="equivocal",O2151="equivocal"),"疑似",IF(AND(M2151="positive",O2151="positive"),"a",IF(O2151="positive","b",IF(M2151="positive","c","d")))))</x:f>
        <x:v>d</x:v>
      </x:c>
      <x:c r="Q2151" s="12"/>
      <x:c r="R2151" s="12" t="str">
        <x:v>negative</x:v>
      </x:c>
      <x:c r="S2151" s="12"/>
      <x:c r="T2151" s="12" t="str">
        <x:v>negative</x:v>
      </x:c>
      <x:c r="U2151" s="12" t="str">
        <x:f>IF(OR(R2151="unavailable",T2151="unavailable"),"不可评价",IF(OR(R2151="equivocal",T2151="equivocal"),"疑似",IF(AND(R2151="positive",T2151="positive"),"a",IF(T2151="positive","b",IF(R2151="positive","c","d")))))</x:f>
        <x:v>d</x:v>
      </x:c>
      <x:c r="V2151" s="12"/>
      <x:c r="W2151" s="12" t="str">
        <x:v>negative</x:v>
      </x:c>
      <x:c r="X2151" s="12"/>
      <x:c r="Y2151" s="12" t="str">
        <x:v>negative</x:v>
      </x:c>
      <x:c r="Z2151" s="12" t="str">
        <x:f>IF(OR(W2151="unavailable",Y2151="unavailable"),"不可评价",IF(OR(W2151="equivocal",Y2151="equivocal"),"疑似",IF(AND(W2151="positive",Y2151="positive"),"a",IF(Y2151="positive","b",IF(W2151="positive","c","d")))))</x:f>
        <x:v>d</x:v>
      </x:c>
      <x:c r="AA2151" s="12" t="str">
        <x:f>IF(OR(M2151="unavailable",O2151="unavailable"),"不可评价",IF(AND(OR(M2151="positive",M2151="equivocal"),OR(O2151="positive",O2151="equivocal")),"a",IF(OR(O2151="positive",O2151="equivocal"),"b",IF(OR(M2151="positive",M2151="equivocal"),"c","d"))))</x:f>
        <x:v>d</x:v>
      </x:c>
      <x:c r="AB2151" s="12" t="str">
        <x:f>IF(OR(M2151="unavailable",O2151="unavailable"),"不可评价",IF(AND(M2151="positive",O2151="positive"),"a",IF(O2151="positive","b",IF(M2151="positive","c","d"))))</x:f>
        <x:v>d</x:v>
      </x:c>
      <x:c r="AC2151" s="12" t="str">
        <x:f>IF(OR(R2151="unavailable",T2151="unavailable"),"不可评价",IF(AND(OR(R2151="positive",R2151="equivocal"),OR(T2151="positive",T2151="equivocal")),"a",IF(OR(T2151="positive",T2151="equivocal"),"b",IF(OR(R2151="positive",R2151="equivocal"),"c","d"))))</x:f>
        <x:v>d</x:v>
      </x:c>
      <x:c r="AD2151" s="12" t="str">
        <x:f>IF(OR(R2151="unavailable",T2151="unavailable"),"不可评价",IF(AND(R2151="positive",T2151="positive"),"a",IF(T2151="positive","b",IF(R2151="positive","c","d"))))</x:f>
        <x:v>d</x:v>
      </x:c>
      <x:c r="AE2151" s="12" t="str">
        <x:f>IF(OR(W2151="unavailable",Y2151="unavailable"),"不可评价",IF(AND(OR(W2151="positive",W2151="equivocal"),OR(Y2151="positive",Y2151="equivocal")),"a",IF(OR(Y2151="positive",Y2151="equivocal"),"b",IF(OR(W2151="positive",W2151="equivocal"),"c","d"))))</x:f>
        <x:v>d</x:v>
      </x:c>
      <x:c r="AF2151" s="12" t="str">
        <x:f>IF(OR(W2151="unavailable",Y2151="unavailable"),"不可评价",IF(AND(W2151="positive",Y2151="positive"),"a",IF(Y2151="positive","b",IF(W2151="positive","c","d"))))</x:f>
        <x:v>d</x:v>
      </x:c>
    </x:row>
    <x:row r="2152" ht="24" customHeight="1">
      <x:c r="A2152" s="12" t="str">
        <x:v>21017</x:v>
      </x:c>
      <x:c r="B2152" s="12" t="str">
        <x:v>21218</x:v>
      </x:c>
      <x:c r="C2152" s="21" t="n">
        <x:v>36541.5646875</x:v>
      </x:c>
      <x:c r="D2152" s="12" t="n">
        <x:v>59</x:v>
      </x:c>
      <x:c r="E2152" s="12" t="n">
        <x:v>1</x:v>
      </x:c>
      <x:c r="F2152" s="12" t="str">
        <x:v>未记录</x:v>
      </x:c>
      <x:c r="G2152" s="12" t="n">
        <x:v>0</x:v>
      </x:c>
      <x:c r="H2152" s="12" t="str">
        <x:v>{'NDT': 100.0, 'SR': 0.0}</x:v>
      </x:c>
      <x:c r="I2152" s="12" t="str">
        <x:v>[('NSR', 100.0), ('LAE', 50.0), ('LNGQT', 100.0), ('AB', 100.0)]</x:v>
      </x:c>
      <x:c r="J2152" s="12" t="str">
        <x:v>ptbxl_database.csv；ecg_id=21017；scp_codes</x:v>
      </x:c>
      <x:c r="K2152" s="12" t="str">
        <x:v>12sl_statements.csv；ecg_id=21017；statements_ext_snomed</x:v>
      </x:c>
      <x:c r="L2152" s="12"/>
      <x:c r="M2152" s="12" t="str">
        <x:v>negative</x:v>
      </x:c>
      <x:c r="N2152" s="12"/>
      <x:c r="O2152" s="12" t="str">
        <x:v>negative</x:v>
      </x:c>
      <x:c r="P2152" s="12" t="str">
        <x:f>IF(OR(M2152="unavailable",O2152="unavailable"),"不可评价",IF(OR(M2152="equivocal",O2152="equivocal"),"疑似",IF(AND(M2152="positive",O2152="positive"),"a",IF(O2152="positive","b",IF(M2152="positive","c","d")))))</x:f>
        <x:v>d</x:v>
      </x:c>
      <x:c r="Q2152" s="12"/>
      <x:c r="R2152" s="12" t="str">
        <x:v>negative</x:v>
      </x:c>
      <x:c r="S2152" s="12"/>
      <x:c r="T2152" s="12" t="str">
        <x:v>negative</x:v>
      </x:c>
      <x:c r="U2152" s="12" t="str">
        <x:f>IF(OR(R2152="unavailable",T2152="unavailable"),"不可评价",IF(OR(R2152="equivocal",T2152="equivocal"),"疑似",IF(AND(R2152="positive",T2152="positive"),"a",IF(T2152="positive","b",IF(R2152="positive","c","d")))))</x:f>
        <x:v>d</x:v>
      </x:c>
      <x:c r="V2152" s="12"/>
      <x:c r="W2152" s="12" t="str">
        <x:v>negative</x:v>
      </x:c>
      <x:c r="X2152" s="12"/>
      <x:c r="Y2152" s="12" t="str">
        <x:v>negative</x:v>
      </x:c>
      <x:c r="Z2152" s="12" t="str">
        <x:f>IF(OR(W2152="unavailable",Y2152="unavailable"),"不可评价",IF(OR(W2152="equivocal",Y2152="equivocal"),"疑似",IF(AND(W2152="positive",Y2152="positive"),"a",IF(Y2152="positive","b",IF(W2152="positive","c","d")))))</x:f>
        <x:v>d</x:v>
      </x:c>
      <x:c r="AA2152" s="12" t="str">
        <x:f>IF(OR(M2152="unavailable",O2152="unavailable"),"不可评价",IF(AND(OR(M2152="positive",M2152="equivocal"),OR(O2152="positive",O2152="equivocal")),"a",IF(OR(O2152="positive",O2152="equivocal"),"b",IF(OR(M2152="positive",M2152="equivocal"),"c","d"))))</x:f>
        <x:v>d</x:v>
      </x:c>
      <x:c r="AB2152" s="12" t="str">
        <x:f>IF(OR(M2152="unavailable",O2152="unavailable"),"不可评价",IF(AND(M2152="positive",O2152="positive"),"a",IF(O2152="positive","b",IF(M2152="positive","c","d"))))</x:f>
        <x:v>d</x:v>
      </x:c>
      <x:c r="AC2152" s="12" t="str">
        <x:f>IF(OR(R2152="unavailable",T2152="unavailable"),"不可评价",IF(AND(OR(R2152="positive",R2152="equivocal"),OR(T2152="positive",T2152="equivocal")),"a",IF(OR(T2152="positive",T2152="equivocal"),"b",IF(OR(R2152="positive",R2152="equivocal"),"c","d"))))</x:f>
        <x:v>d</x:v>
      </x:c>
      <x:c r="AD2152" s="12" t="str">
        <x:f>IF(OR(R2152="unavailable",T2152="unavailable"),"不可评价",IF(AND(R2152="positive",T2152="positive"),"a",IF(T2152="positive","b",IF(R2152="positive","c","d"))))</x:f>
        <x:v>d</x:v>
      </x:c>
      <x:c r="AE2152" s="12" t="str">
        <x:f>IF(OR(W2152="unavailable",Y2152="unavailable"),"不可评价",IF(AND(OR(W2152="positive",W2152="equivocal"),OR(Y2152="positive",Y2152="equivocal")),"a",IF(OR(Y2152="positive",Y2152="equivocal"),"b",IF(OR(W2152="positive",W2152="equivocal"),"c","d"))))</x:f>
        <x:v>d</x:v>
      </x:c>
      <x:c r="AF2152" s="12" t="str">
        <x:f>IF(OR(W2152="unavailable",Y2152="unavailable"),"不可评价",IF(AND(W2152="positive",Y2152="positive"),"a",IF(Y2152="positive","b",IF(W2152="positive","c","d"))))</x:f>
        <x:v>d</x:v>
      </x:c>
    </x:row>
    <x:row r="2153" ht="24" customHeight="1">
      <x:c r="A2153" s="12" t="str">
        <x:v>21021</x:v>
      </x:c>
      <x:c r="B2153" s="12" t="str">
        <x:v>14309</x:v>
      </x:c>
      <x:c r="C2153" s="21" t="n">
        <x:v>36542.51511574074</x:v>
      </x:c>
      <x:c r="D2153" s="12" t="n">
        <x:v>53</x:v>
      </x:c>
      <x:c r="E2153" s="12" t="n">
        <x:v>0</x:v>
      </x:c>
      <x:c r="F2153" s="12" t="str">
        <x:v>未记录</x:v>
      </x:c>
      <x:c r="G2153" s="12" t="n">
        <x:v>1</x:v>
      </x:c>
      <x:c r="H2153" s="12" t="str">
        <x:v>{'LVH': 100.0, 'ISC_': 100.0, 'VCLVH': 0.0, 'SR': 0.0}</x:v>
      </x:c>
      <x:c r="I2153" s="12" t="str">
        <x:v>[('SBRAD', 100.0), ('LIOHAI', 100.0), ('STEMI', 100.0), ('AB', 100.0)]</x:v>
      </x:c>
      <x:c r="J2153" s="12" t="str">
        <x:v>ptbxl_database.csv；ecg_id=21021；scp_codes</x:v>
      </x:c>
      <x:c r="K2153" s="12" t="str">
        <x:v>12sl_statements.csv；ecg_id=21021；statements_ext_snomed</x:v>
      </x:c>
      <x:c r="L2153" s="12"/>
      <x:c r="M2153" s="12" t="str">
        <x:v>negative</x:v>
      </x:c>
      <x:c r="N2153" s="12"/>
      <x:c r="O2153" s="12" t="str">
        <x:v>negative</x:v>
      </x:c>
      <x:c r="P2153" s="12" t="str">
        <x:f>IF(OR(M2153="unavailable",O2153="unavailable"),"不可评价",IF(OR(M2153="equivocal",O2153="equivocal"),"疑似",IF(AND(M2153="positive",O2153="positive"),"a",IF(O2153="positive","b",IF(M2153="positive","c","d")))))</x:f>
        <x:v>d</x:v>
      </x:c>
      <x:c r="Q2153" s="12"/>
      <x:c r="R2153" s="12" t="str">
        <x:v>negative</x:v>
      </x:c>
      <x:c r="S2153" s="12"/>
      <x:c r="T2153" s="12" t="str">
        <x:v>negative</x:v>
      </x:c>
      <x:c r="U2153" s="12" t="str">
        <x:f>IF(OR(R2153="unavailable",T2153="unavailable"),"不可评价",IF(OR(R2153="equivocal",T2153="equivocal"),"疑似",IF(AND(R2153="positive",T2153="positive"),"a",IF(T2153="positive","b",IF(R2153="positive","c","d")))))</x:f>
        <x:v>d</x:v>
      </x:c>
      <x:c r="V2153" s="12"/>
      <x:c r="W2153" s="12" t="str">
        <x:v>negative</x:v>
      </x:c>
      <x:c r="X2153" s="12"/>
      <x:c r="Y2153" s="12" t="str">
        <x:v>negative</x:v>
      </x:c>
      <x:c r="Z2153" s="12" t="str">
        <x:f>IF(OR(W2153="unavailable",Y2153="unavailable"),"不可评价",IF(OR(W2153="equivocal",Y2153="equivocal"),"疑似",IF(AND(W2153="positive",Y2153="positive"),"a",IF(Y2153="positive","b",IF(W2153="positive","c","d")))))</x:f>
        <x:v>d</x:v>
      </x:c>
      <x:c r="AA2153" s="12" t="str">
        <x:f>IF(OR(M2153="unavailable",O2153="unavailable"),"不可评价",IF(AND(OR(M2153="positive",M2153="equivocal"),OR(O2153="positive",O2153="equivocal")),"a",IF(OR(O2153="positive",O2153="equivocal"),"b",IF(OR(M2153="positive",M2153="equivocal"),"c","d"))))</x:f>
        <x:v>d</x:v>
      </x:c>
      <x:c r="AB2153" s="12" t="str">
        <x:f>IF(OR(M2153="unavailable",O2153="unavailable"),"不可评价",IF(AND(M2153="positive",O2153="positive"),"a",IF(O2153="positive","b",IF(M2153="positive","c","d"))))</x:f>
        <x:v>d</x:v>
      </x:c>
      <x:c r="AC2153" s="12" t="str">
        <x:f>IF(OR(R2153="unavailable",T2153="unavailable"),"不可评价",IF(AND(OR(R2153="positive",R2153="equivocal"),OR(T2153="positive",T2153="equivocal")),"a",IF(OR(T2153="positive",T2153="equivocal"),"b",IF(OR(R2153="positive",R2153="equivocal"),"c","d"))))</x:f>
        <x:v>d</x:v>
      </x:c>
      <x:c r="AD2153" s="12" t="str">
        <x:f>IF(OR(R2153="unavailable",T2153="unavailable"),"不可评价",IF(AND(R2153="positive",T2153="positive"),"a",IF(T2153="positive","b",IF(R2153="positive","c","d"))))</x:f>
        <x:v>d</x:v>
      </x:c>
      <x:c r="AE2153" s="12" t="str">
        <x:f>IF(OR(W2153="unavailable",Y2153="unavailable"),"不可评价",IF(AND(OR(W2153="positive",W2153="equivocal"),OR(Y2153="positive",Y2153="equivocal")),"a",IF(OR(Y2153="positive",Y2153="equivocal"),"b",IF(OR(W2153="positive",W2153="equivocal"),"c","d"))))</x:f>
        <x:v>d</x:v>
      </x:c>
      <x:c r="AF2153" s="12" t="str">
        <x:f>IF(OR(W2153="unavailable",Y2153="unavailable"),"不可评价",IF(AND(W2153="positive",Y2153="positive"),"a",IF(Y2153="positive","b",IF(W2153="positive","c","d"))))</x:f>
        <x:v>d</x:v>
      </x:c>
    </x:row>
    <x:row r="2154" ht="24" customHeight="1">
      <x:c r="A2154" s="12" t="str">
        <x:v>21028</x:v>
      </x:c>
      <x:c r="B2154" s="12" t="str">
        <x:v>17351</x:v>
      </x:c>
      <x:c r="C2154" s="21" t="n">
        <x:v>36543.72047453704</x:v>
      </x:c>
      <x:c r="D2154" s="12" t="n">
        <x:v>89</x:v>
      </x:c>
      <x:c r="E2154" s="12" t="n">
        <x:v>0</x:v>
      </x:c>
      <x:c r="F2154" s="12" t="str">
        <x:v>未记录</x:v>
      </x:c>
      <x:c r="G2154" s="12" t="n">
        <x:v>1</x:v>
      </x:c>
      <x:c r="H2154" s="12" t="str">
        <x:v>{'ASMI': 100.0, 'ABQRS': 0.0, 'SR': 0.0}</x:v>
      </x:c>
      <x:c r="I2154" s="12" t="str">
        <x:v>[('NSR', 100.0), ('SMI;AU', 100.0), ('AB', 100.0)]</x:v>
      </x:c>
      <x:c r="J2154" s="12" t="str">
        <x:v>ptbxl_database.csv；ecg_id=21028；scp_codes</x:v>
      </x:c>
      <x:c r="K2154" s="12" t="str">
        <x:v>12sl_statements.csv；ecg_id=21028；statements_ext_snomed</x:v>
      </x:c>
      <x:c r="L2154" s="12"/>
      <x:c r="M2154" s="12" t="str">
        <x:v>negative</x:v>
      </x:c>
      <x:c r="N2154" s="12"/>
      <x:c r="O2154" s="12" t="str">
        <x:v>negative</x:v>
      </x:c>
      <x:c r="P2154" s="12" t="str">
        <x:f>IF(OR(M2154="unavailable",O2154="unavailable"),"不可评价",IF(OR(M2154="equivocal",O2154="equivocal"),"疑似",IF(AND(M2154="positive",O2154="positive"),"a",IF(O2154="positive","b",IF(M2154="positive","c","d")))))</x:f>
        <x:v>d</x:v>
      </x:c>
      <x:c r="Q2154" s="12"/>
      <x:c r="R2154" s="12" t="str">
        <x:v>negative</x:v>
      </x:c>
      <x:c r="S2154" s="12"/>
      <x:c r="T2154" s="12" t="str">
        <x:v>negative</x:v>
      </x:c>
      <x:c r="U2154" s="12" t="str">
        <x:f>IF(OR(R2154="unavailable",T2154="unavailable"),"不可评价",IF(OR(R2154="equivocal",T2154="equivocal"),"疑似",IF(AND(R2154="positive",T2154="positive"),"a",IF(T2154="positive","b",IF(R2154="positive","c","d")))))</x:f>
        <x:v>d</x:v>
      </x:c>
      <x:c r="V2154" s="12"/>
      <x:c r="W2154" s="12" t="str">
        <x:v>negative</x:v>
      </x:c>
      <x:c r="X2154" s="12"/>
      <x:c r="Y2154" s="12" t="str">
        <x:v>negative</x:v>
      </x:c>
      <x:c r="Z2154" s="12" t="str">
        <x:f>IF(OR(W2154="unavailable",Y2154="unavailable"),"不可评价",IF(OR(W2154="equivocal",Y2154="equivocal"),"疑似",IF(AND(W2154="positive",Y2154="positive"),"a",IF(Y2154="positive","b",IF(W2154="positive","c","d")))))</x:f>
        <x:v>d</x:v>
      </x:c>
      <x:c r="AA2154" s="12" t="str">
        <x:f>IF(OR(M2154="unavailable",O2154="unavailable"),"不可评价",IF(AND(OR(M2154="positive",M2154="equivocal"),OR(O2154="positive",O2154="equivocal")),"a",IF(OR(O2154="positive",O2154="equivocal"),"b",IF(OR(M2154="positive",M2154="equivocal"),"c","d"))))</x:f>
        <x:v>d</x:v>
      </x:c>
      <x:c r="AB2154" s="12" t="str">
        <x:f>IF(OR(M2154="unavailable",O2154="unavailable"),"不可评价",IF(AND(M2154="positive",O2154="positive"),"a",IF(O2154="positive","b",IF(M2154="positive","c","d"))))</x:f>
        <x:v>d</x:v>
      </x:c>
      <x:c r="AC2154" s="12" t="str">
        <x:f>IF(OR(R2154="unavailable",T2154="unavailable"),"不可评价",IF(AND(OR(R2154="positive",R2154="equivocal"),OR(T2154="positive",T2154="equivocal")),"a",IF(OR(T2154="positive",T2154="equivocal"),"b",IF(OR(R2154="positive",R2154="equivocal"),"c","d"))))</x:f>
        <x:v>d</x:v>
      </x:c>
      <x:c r="AD2154" s="12" t="str">
        <x:f>IF(OR(R2154="unavailable",T2154="unavailable"),"不可评价",IF(AND(R2154="positive",T2154="positive"),"a",IF(T2154="positive","b",IF(R2154="positive","c","d"))))</x:f>
        <x:v>d</x:v>
      </x:c>
      <x:c r="AE2154" s="12" t="str">
        <x:f>IF(OR(W2154="unavailable",Y2154="unavailable"),"不可评价",IF(AND(OR(W2154="positive",W2154="equivocal"),OR(Y2154="positive",Y2154="equivocal")),"a",IF(OR(Y2154="positive",Y2154="equivocal"),"b",IF(OR(W2154="positive",W2154="equivocal"),"c","d"))))</x:f>
        <x:v>d</x:v>
      </x:c>
      <x:c r="AF2154" s="12" t="str">
        <x:f>IF(OR(W2154="unavailable",Y2154="unavailable"),"不可评价",IF(AND(W2154="positive",Y2154="positive"),"a",IF(Y2154="positive","b",IF(W2154="positive","c","d"))))</x:f>
        <x:v>d</x:v>
      </x:c>
    </x:row>
    <x:row r="2155" ht="24" customHeight="1">
      <x:c r="A2155" s="12" t="str">
        <x:v>21036</x:v>
      </x:c>
      <x:c r="B2155" s="12" t="str">
        <x:v>19600</x:v>
      </x:c>
      <x:c r="C2155" s="21" t="n">
        <x:v>36546.494479166664</x:v>
      </x:c>
      <x:c r="D2155" s="12" t="n">
        <x:v>59</x:v>
      </x:c>
      <x:c r="E2155" s="12" t="n">
        <x:v>0</x:v>
      </x:c>
      <x:c r="F2155" s="12" t="str">
        <x:v>未记录</x:v>
      </x:c>
      <x:c r="G2155" s="12" t="n">
        <x:v>1</x:v>
      </x:c>
      <x:c r="H2155" s="12" t="str">
        <x:v>{'NORM': 100.0, 'SR': 0.0}</x:v>
      </x:c>
      <x:c r="I2155" s="12" t="str">
        <x:v>[('NSR', 100.0), ('NML', 100.0)]</x:v>
      </x:c>
      <x:c r="J2155" s="12" t="str">
        <x:v>ptbxl_database.csv；ecg_id=21036；scp_codes</x:v>
      </x:c>
      <x:c r="K2155" s="12" t="str">
        <x:v>12sl_statements.csv；ecg_id=21036；statements_ext_snomed</x:v>
      </x:c>
      <x:c r="L2155" s="12"/>
      <x:c r="M2155" s="12" t="str">
        <x:v>negative</x:v>
      </x:c>
      <x:c r="N2155" s="12"/>
      <x:c r="O2155" s="12" t="str">
        <x:v>negative</x:v>
      </x:c>
      <x:c r="P2155" s="12" t="str">
        <x:f>IF(OR(M2155="unavailable",O2155="unavailable"),"不可评价",IF(OR(M2155="equivocal",O2155="equivocal"),"疑似",IF(AND(M2155="positive",O2155="positive"),"a",IF(O2155="positive","b",IF(M2155="positive","c","d")))))</x:f>
        <x:v>d</x:v>
      </x:c>
      <x:c r="Q2155" s="12"/>
      <x:c r="R2155" s="12" t="str">
        <x:v>negative</x:v>
      </x:c>
      <x:c r="S2155" s="12"/>
      <x:c r="T2155" s="12" t="str">
        <x:v>negative</x:v>
      </x:c>
      <x:c r="U2155" s="12" t="str">
        <x:f>IF(OR(R2155="unavailable",T2155="unavailable"),"不可评价",IF(OR(R2155="equivocal",T2155="equivocal"),"疑似",IF(AND(R2155="positive",T2155="positive"),"a",IF(T2155="positive","b",IF(R2155="positive","c","d")))))</x:f>
        <x:v>d</x:v>
      </x:c>
      <x:c r="V2155" s="12"/>
      <x:c r="W2155" s="12" t="str">
        <x:v>negative</x:v>
      </x:c>
      <x:c r="X2155" s="12"/>
      <x:c r="Y2155" s="12" t="str">
        <x:v>negative</x:v>
      </x:c>
      <x:c r="Z2155" s="12" t="str">
        <x:f>IF(OR(W2155="unavailable",Y2155="unavailable"),"不可评价",IF(OR(W2155="equivocal",Y2155="equivocal"),"疑似",IF(AND(W2155="positive",Y2155="positive"),"a",IF(Y2155="positive","b",IF(W2155="positive","c","d")))))</x:f>
        <x:v>d</x:v>
      </x:c>
      <x:c r="AA2155" s="12" t="str">
        <x:f>IF(OR(M2155="unavailable",O2155="unavailable"),"不可评价",IF(AND(OR(M2155="positive",M2155="equivocal"),OR(O2155="positive",O2155="equivocal")),"a",IF(OR(O2155="positive",O2155="equivocal"),"b",IF(OR(M2155="positive",M2155="equivocal"),"c","d"))))</x:f>
        <x:v>d</x:v>
      </x:c>
      <x:c r="AB2155" s="12" t="str">
        <x:f>IF(OR(M2155="unavailable",O2155="unavailable"),"不可评价",IF(AND(M2155="positive",O2155="positive"),"a",IF(O2155="positive","b",IF(M2155="positive","c","d"))))</x:f>
        <x:v>d</x:v>
      </x:c>
      <x:c r="AC2155" s="12" t="str">
        <x:f>IF(OR(R2155="unavailable",T2155="unavailable"),"不可评价",IF(AND(OR(R2155="positive",R2155="equivocal"),OR(T2155="positive",T2155="equivocal")),"a",IF(OR(T2155="positive",T2155="equivocal"),"b",IF(OR(R2155="positive",R2155="equivocal"),"c","d"))))</x:f>
        <x:v>d</x:v>
      </x:c>
      <x:c r="AD2155" s="12" t="str">
        <x:f>IF(OR(R2155="unavailable",T2155="unavailable"),"不可评价",IF(AND(R2155="positive",T2155="positive"),"a",IF(T2155="positive","b",IF(R2155="positive","c","d"))))</x:f>
        <x:v>d</x:v>
      </x:c>
      <x:c r="AE2155" s="12" t="str">
        <x:f>IF(OR(W2155="unavailable",Y2155="unavailable"),"不可评价",IF(AND(OR(W2155="positive",W2155="equivocal"),OR(Y2155="positive",Y2155="equivocal")),"a",IF(OR(Y2155="positive",Y2155="equivocal"),"b",IF(OR(W2155="positive",W2155="equivocal"),"c","d"))))</x:f>
        <x:v>d</x:v>
      </x:c>
      <x:c r="AF2155" s="12" t="str">
        <x:f>IF(OR(W2155="unavailable",Y2155="unavailable"),"不可评价",IF(AND(W2155="positive",Y2155="positive"),"a",IF(Y2155="positive","b",IF(W2155="positive","c","d"))))</x:f>
        <x:v>d</x:v>
      </x:c>
    </x:row>
    <x:row r="2156" ht="39" customHeight="1">
      <x:c r="A2156" s="12" t="str">
        <x:v>21071</x:v>
      </x:c>
      <x:c r="B2156" s="12" t="str">
        <x:v>14180</x:v>
      </x:c>
      <x:c r="C2156" s="21" t="n">
        <x:v>36555.48837962963</x:v>
      </x:c>
      <x:c r="D2156" s="12" t="n">
        <x:v>75</x:v>
      </x:c>
      <x:c r="E2156" s="12" t="n">
        <x:v>1</x:v>
      </x:c>
      <x:c r="F2156" s="12" t="str">
        <x:v>存在</x:v>
      </x:c>
      <x:c r="G2156" s="12" t="n">
        <x:v>0</x:v>
      </x:c>
      <x:c r="H2156" s="12" t="str">
        <x:v>{'PACE': 100.0}</x:v>
      </x:c>
      <x:c r="I2156" s="12" t="str">
        <x:v>[('AFIB', 100.0), ('VPCX', 100.0), ('ABER', 100.0), ('LAD3', 100.0), ('LVH2', 100.0), ('QRSW', 100.0), ('IMI;AU', 100.0), ('AB', 100.0)]</x:v>
      </x:c>
      <x:c r="J2156" s="12" t="str">
        <x:v>ptbxl_database.csv；ecg_id=21071；scp_codes</x:v>
      </x:c>
      <x:c r="K2156" s="12" t="str">
        <x:v>12sl_statements.csv；ecg_id=21071；statements_ext_snomed</x:v>
      </x:c>
      <x:c r="L2156" s="12"/>
      <x:c r="M2156" s="12" t="str">
        <x:v>negative</x:v>
      </x:c>
      <x:c r="N2156" s="12" t="n">
        <x:v>100</x:v>
      </x:c>
      <x:c r="O2156" s="12" t="str">
        <x:v>positive</x:v>
      </x:c>
      <x:c r="P2156" s="12" t="str">
        <x:f>IF(OR(M2156="unavailable",O2156="unavailable"),"不可评价",IF(OR(M2156="equivocal",O2156="equivocal"),"疑似",IF(AND(M2156="positive",O2156="positive"),"a",IF(O2156="positive","b",IF(M2156="positive","c","d")))))</x:f>
        <x:v>b</x:v>
      </x:c>
      <x:c r="Q2156" s="12"/>
      <x:c r="R2156" s="12" t="str">
        <x:v>negative</x:v>
      </x:c>
      <x:c r="S2156" s="12"/>
      <x:c r="T2156" s="12" t="str">
        <x:v>negative</x:v>
      </x:c>
      <x:c r="U2156" s="12" t="str">
        <x:f>IF(OR(R2156="unavailable",T2156="unavailable"),"不可评价",IF(OR(R2156="equivocal",T2156="equivocal"),"疑似",IF(AND(R2156="positive",T2156="positive"),"a",IF(T2156="positive","b",IF(R2156="positive","c","d")))))</x:f>
        <x:v>d</x:v>
      </x:c>
      <x:c r="V2156" s="12"/>
      <x:c r="W2156" s="12" t="str">
        <x:v>negative</x:v>
      </x:c>
      <x:c r="X2156" s="12"/>
      <x:c r="Y2156" s="12" t="str">
        <x:v>negative</x:v>
      </x:c>
      <x:c r="Z2156" s="12" t="str">
        <x:f>IF(OR(W2156="unavailable",Y2156="unavailable"),"不可评价",IF(OR(W2156="equivocal",Y2156="equivocal"),"疑似",IF(AND(W2156="positive",Y2156="positive"),"a",IF(Y2156="positive","b",IF(W2156="positive","c","d")))))</x:f>
        <x:v>d</x:v>
      </x:c>
      <x:c r="AA2156" s="12" t="str">
        <x:f>IF(OR(M2156="unavailable",O2156="unavailable"),"不可评价",IF(AND(OR(M2156="positive",M2156="equivocal"),OR(O2156="positive",O2156="equivocal")),"a",IF(OR(O2156="positive",O2156="equivocal"),"b",IF(OR(M2156="positive",M2156="equivocal"),"c","d"))))</x:f>
        <x:v>b</x:v>
      </x:c>
      <x:c r="AB2156" s="12" t="str">
        <x:f>IF(OR(M2156="unavailable",O2156="unavailable"),"不可评价",IF(AND(M2156="positive",O2156="positive"),"a",IF(O2156="positive","b",IF(M2156="positive","c","d"))))</x:f>
        <x:v>b</x:v>
      </x:c>
      <x:c r="AC2156" s="12" t="str">
        <x:f>IF(OR(R2156="unavailable",T2156="unavailable"),"不可评价",IF(AND(OR(R2156="positive",R2156="equivocal"),OR(T2156="positive",T2156="equivocal")),"a",IF(OR(T2156="positive",T2156="equivocal"),"b",IF(OR(R2156="positive",R2156="equivocal"),"c","d"))))</x:f>
        <x:v>d</x:v>
      </x:c>
      <x:c r="AD2156" s="12" t="str">
        <x:f>IF(OR(R2156="unavailable",T2156="unavailable"),"不可评价",IF(AND(R2156="positive",T2156="positive"),"a",IF(T2156="positive","b",IF(R2156="positive","c","d"))))</x:f>
        <x:v>d</x:v>
      </x:c>
      <x:c r="AE2156" s="12" t="str">
        <x:f>IF(OR(W2156="unavailable",Y2156="unavailable"),"不可评价",IF(AND(OR(W2156="positive",W2156="equivocal"),OR(Y2156="positive",Y2156="equivocal")),"a",IF(OR(Y2156="positive",Y2156="equivocal"),"b",IF(OR(W2156="positive",W2156="equivocal"),"c","d"))))</x:f>
        <x:v>d</x:v>
      </x:c>
      <x:c r="AF2156" s="12" t="str">
        <x:f>IF(OR(W2156="unavailable",Y2156="unavailable"),"不可评价",IF(AND(W2156="positive",Y2156="positive"),"a",IF(Y2156="positive","b",IF(W2156="positive","c","d"))))</x:f>
        <x:v>d</x:v>
      </x:c>
    </x:row>
    <x:row r="2157" ht="24" customHeight="1">
      <x:c r="A2157" s="12" t="str">
        <x:v>21085</x:v>
      </x:c>
      <x:c r="B2157" s="12" t="str">
        <x:v>19420</x:v>
      </x:c>
      <x:c r="C2157" s="21" t="n">
        <x:v>36560.32409722222</x:v>
      </x:c>
      <x:c r="D2157" s="12" t="n">
        <x:v>84</x:v>
      </x:c>
      <x:c r="E2157" s="12" t="n">
        <x:v>0</x:v>
      </x:c>
      <x:c r="F2157" s="12" t="str">
        <x:v>未记录</x:v>
      </x:c>
      <x:c r="G2157" s="12" t="n">
        <x:v>0</x:v>
      </x:c>
      <x:c r="H2157" s="12" t="str">
        <x:v>{'CLBBB': 100.0, 'PVC': 100.0, 'AFIB': 0.0}</x:v>
      </x:c>
      <x:c r="I2157" s="12" t="str">
        <x:v>[('FLUT', 100.0), ('VAVB', 100.0), ('ABER', 100.0), ('LBBB', 100.0), ('AB', 100.0)]</x:v>
      </x:c>
      <x:c r="J2157" s="12" t="str">
        <x:v>ptbxl_database.csv；ecg_id=21085；scp_codes</x:v>
      </x:c>
      <x:c r="K2157" s="12" t="str">
        <x:v>12sl_statements.csv；ecg_id=21085；statements_ext_snomed</x:v>
      </x:c>
      <x:c r="L2157" s="12" t="n">
        <x:v>0</x:v>
      </x:c>
      <x:c r="M2157" s="12" t="str">
        <x:v>positive</x:v>
      </x:c>
      <x:c r="N2157" s="12"/>
      <x:c r="O2157" s="12" t="str">
        <x:v>negative</x:v>
      </x:c>
      <x:c r="P2157" s="12" t="str">
        <x:f>IF(OR(M2157="unavailable",O2157="unavailable"),"不可评价",IF(OR(M2157="equivocal",O2157="equivocal"),"疑似",IF(AND(M2157="positive",O2157="positive"),"a",IF(O2157="positive","b",IF(M2157="positive","c","d")))))</x:f>
        <x:v>c</x:v>
      </x:c>
      <x:c r="Q2157" s="12" t="n">
        <x:v>100</x:v>
      </x:c>
      <x:c r="R2157" s="12" t="str">
        <x:v>positive</x:v>
      </x:c>
      <x:c r="S2157" s="12" t="n">
        <x:v>100</x:v>
      </x:c>
      <x:c r="T2157" s="12" t="str">
        <x:v>positive</x:v>
      </x:c>
      <x:c r="U2157" s="12" t="str">
        <x:f>IF(OR(R2157="unavailable",T2157="unavailable"),"不可评价",IF(OR(R2157="equivocal",T2157="equivocal"),"疑似",IF(AND(R2157="positive",T2157="positive"),"a",IF(T2157="positive","b",IF(R2157="positive","c","d")))))</x:f>
        <x:v>a</x:v>
      </x:c>
      <x:c r="V2157" s="12"/>
      <x:c r="W2157" s="12" t="str">
        <x:v>negative</x:v>
      </x:c>
      <x:c r="X2157" s="12"/>
      <x:c r="Y2157" s="12" t="str">
        <x:v>negative</x:v>
      </x:c>
      <x:c r="Z2157" s="12" t="str">
        <x:f>IF(OR(W2157="unavailable",Y2157="unavailable"),"不可评价",IF(OR(W2157="equivocal",Y2157="equivocal"),"疑似",IF(AND(W2157="positive",Y2157="positive"),"a",IF(Y2157="positive","b",IF(W2157="positive","c","d")))))</x:f>
        <x:v>d</x:v>
      </x:c>
      <x:c r="AA2157" s="12" t="str">
        <x:f>IF(OR(M2157="unavailable",O2157="unavailable"),"不可评价",IF(AND(OR(M2157="positive",M2157="equivocal"),OR(O2157="positive",O2157="equivocal")),"a",IF(OR(O2157="positive",O2157="equivocal"),"b",IF(OR(M2157="positive",M2157="equivocal"),"c","d"))))</x:f>
        <x:v>c</x:v>
      </x:c>
      <x:c r="AB2157" s="12" t="str">
        <x:f>IF(OR(M2157="unavailable",O2157="unavailable"),"不可评价",IF(AND(M2157="positive",O2157="positive"),"a",IF(O2157="positive","b",IF(M2157="positive","c","d"))))</x:f>
        <x:v>c</x:v>
      </x:c>
      <x:c r="AC2157" s="12" t="str">
        <x:f>IF(OR(R2157="unavailable",T2157="unavailable"),"不可评价",IF(AND(OR(R2157="positive",R2157="equivocal"),OR(T2157="positive",T2157="equivocal")),"a",IF(OR(T2157="positive",T2157="equivocal"),"b",IF(OR(R2157="positive",R2157="equivocal"),"c","d"))))</x:f>
        <x:v>a</x:v>
      </x:c>
      <x:c r="AD2157" s="12" t="str">
        <x:f>IF(OR(R2157="unavailable",T2157="unavailable"),"不可评价",IF(AND(R2157="positive",T2157="positive"),"a",IF(T2157="positive","b",IF(R2157="positive","c","d"))))</x:f>
        <x:v>a</x:v>
      </x:c>
      <x:c r="AE2157" s="12" t="str">
        <x:f>IF(OR(W2157="unavailable",Y2157="unavailable"),"不可评价",IF(AND(OR(W2157="positive",W2157="equivocal"),OR(Y2157="positive",Y2157="equivocal")),"a",IF(OR(Y2157="positive",Y2157="equivocal"),"b",IF(OR(W2157="positive",W2157="equivocal"),"c","d"))))</x:f>
        <x:v>d</x:v>
      </x:c>
      <x:c r="AF2157" s="12" t="str">
        <x:f>IF(OR(W2157="unavailable",Y2157="unavailable"),"不可评价",IF(AND(W2157="positive",Y2157="positive"),"a",IF(Y2157="positive","b",IF(W2157="positive","c","d"))))</x:f>
        <x:v>d</x:v>
      </x:c>
    </x:row>
    <x:row r="2158" ht="24" customHeight="1">
      <x:c r="A2158" s="12" t="str">
        <x:v>21093</x:v>
      </x:c>
      <x:c r="B2158" s="12" t="str">
        <x:v>19420</x:v>
      </x:c>
      <x:c r="C2158" s="21" t="n">
        <x:v>36567.324525462966</x:v>
      </x:c>
      <x:c r="D2158" s="12" t="n">
        <x:v>84</x:v>
      </x:c>
      <x:c r="E2158" s="12" t="n">
        <x:v>0</x:v>
      </x:c>
      <x:c r="F2158" s="12" t="str">
        <x:v>未记录</x:v>
      </x:c>
      <x:c r="G2158" s="12" t="n">
        <x:v>0</x:v>
      </x:c>
      <x:c r="H2158" s="12" t="str">
        <x:v>{'CLBBB': 100.0, 'PVC': 100.0, 'AFIB': 0.0}</x:v>
      </x:c>
      <x:c r="I2158" s="12" t="str">
        <x:v>[('UR', 100.0), ('LBBB', 100.0), ('AB', 100.0)]</x:v>
      </x:c>
      <x:c r="J2158" s="12" t="str">
        <x:v>ptbxl_database.csv；ecg_id=21093；scp_codes</x:v>
      </x:c>
      <x:c r="K2158" s="12" t="str">
        <x:v>12sl_statements.csv；ecg_id=21093；statements_ext_snomed</x:v>
      </x:c>
      <x:c r="L2158" s="12" t="n">
        <x:v>0</x:v>
      </x:c>
      <x:c r="M2158" s="12" t="str">
        <x:v>positive</x:v>
      </x:c>
      <x:c r="N2158" s="12"/>
      <x:c r="O2158" s="12" t="str">
        <x:v>negative</x:v>
      </x:c>
      <x:c r="P2158" s="12" t="str">
        <x:f>IF(OR(M2158="unavailable",O2158="unavailable"),"不可评价",IF(OR(M2158="equivocal",O2158="equivocal"),"疑似",IF(AND(M2158="positive",O2158="positive"),"a",IF(O2158="positive","b",IF(M2158="positive","c","d")))))</x:f>
        <x:v>c</x:v>
      </x:c>
      <x:c r="Q2158" s="12" t="n">
        <x:v>100</x:v>
      </x:c>
      <x:c r="R2158" s="12" t="str">
        <x:v>positive</x:v>
      </x:c>
      <x:c r="S2158" s="12" t="n">
        <x:v>100</x:v>
      </x:c>
      <x:c r="T2158" s="12" t="str">
        <x:v>positive</x:v>
      </x:c>
      <x:c r="U2158" s="12" t="str">
        <x:f>IF(OR(R2158="unavailable",T2158="unavailable"),"不可评价",IF(OR(R2158="equivocal",T2158="equivocal"),"疑似",IF(AND(R2158="positive",T2158="positive"),"a",IF(T2158="positive","b",IF(R2158="positive","c","d")))))</x:f>
        <x:v>a</x:v>
      </x:c>
      <x:c r="V2158" s="12"/>
      <x:c r="W2158" s="12" t="str">
        <x:v>negative</x:v>
      </x:c>
      <x:c r="X2158" s="12"/>
      <x:c r="Y2158" s="12" t="str">
        <x:v>negative</x:v>
      </x:c>
      <x:c r="Z2158" s="12" t="str">
        <x:f>IF(OR(W2158="unavailable",Y2158="unavailable"),"不可评价",IF(OR(W2158="equivocal",Y2158="equivocal"),"疑似",IF(AND(W2158="positive",Y2158="positive"),"a",IF(Y2158="positive","b",IF(W2158="positive","c","d")))))</x:f>
        <x:v>d</x:v>
      </x:c>
      <x:c r="AA2158" s="12" t="str">
        <x:f>IF(OR(M2158="unavailable",O2158="unavailable"),"不可评价",IF(AND(OR(M2158="positive",M2158="equivocal"),OR(O2158="positive",O2158="equivocal")),"a",IF(OR(O2158="positive",O2158="equivocal"),"b",IF(OR(M2158="positive",M2158="equivocal"),"c","d"))))</x:f>
        <x:v>c</x:v>
      </x:c>
      <x:c r="AB2158" s="12" t="str">
        <x:f>IF(OR(M2158="unavailable",O2158="unavailable"),"不可评价",IF(AND(M2158="positive",O2158="positive"),"a",IF(O2158="positive","b",IF(M2158="positive","c","d"))))</x:f>
        <x:v>c</x:v>
      </x:c>
      <x:c r="AC2158" s="12" t="str">
        <x:f>IF(OR(R2158="unavailable",T2158="unavailable"),"不可评价",IF(AND(OR(R2158="positive",R2158="equivocal"),OR(T2158="positive",T2158="equivocal")),"a",IF(OR(T2158="positive",T2158="equivocal"),"b",IF(OR(R2158="positive",R2158="equivocal"),"c","d"))))</x:f>
        <x:v>a</x:v>
      </x:c>
      <x:c r="AD2158" s="12" t="str">
        <x:f>IF(OR(R2158="unavailable",T2158="unavailable"),"不可评价",IF(AND(R2158="positive",T2158="positive"),"a",IF(T2158="positive","b",IF(R2158="positive","c","d"))))</x:f>
        <x:v>a</x:v>
      </x:c>
      <x:c r="AE2158" s="12" t="str">
        <x:f>IF(OR(W2158="unavailable",Y2158="unavailable"),"不可评价",IF(AND(OR(W2158="positive",W2158="equivocal"),OR(Y2158="positive",Y2158="equivocal")),"a",IF(OR(Y2158="positive",Y2158="equivocal"),"b",IF(OR(W2158="positive",W2158="equivocal"),"c","d"))))</x:f>
        <x:v>d</x:v>
      </x:c>
      <x:c r="AF2158" s="12" t="str">
        <x:f>IF(OR(W2158="unavailable",Y2158="unavailable"),"不可评价",IF(AND(W2158="positive",Y2158="positive"),"a",IF(Y2158="positive","b",IF(W2158="positive","c","d"))))</x:f>
        <x:v>d</x:v>
      </x:c>
    </x:row>
    <x:row r="2159" ht="24" customHeight="1">
      <x:c r="A2159" s="12" t="str">
        <x:v>21099</x:v>
      </x:c>
      <x:c r="B2159" s="12" t="str">
        <x:v>9076</x:v>
      </x:c>
      <x:c r="C2159" s="21" t="n">
        <x:v>36584.52431712963</x:v>
      </x:c>
      <x:c r="D2159" s="12" t="n">
        <x:v>46</x:v>
      </x:c>
      <x:c r="E2159" s="12" t="n">
        <x:v>0</x:v>
      </x:c>
      <x:c r="F2159" s="12" t="str">
        <x:v>未记录</x:v>
      </x:c>
      <x:c r="G2159" s="12" t="n">
        <x:v>1</x:v>
      </x:c>
      <x:c r="H2159" s="12" t="str">
        <x:v>{'ISCIN': 50.0, 'SR': 0.0}</x:v>
      </x:c>
      <x:c r="I2159" s="12" t="str">
        <x:v>[('NSR', 100.0), ('NST', 100.0), ('AB', 100.0)]</x:v>
      </x:c>
      <x:c r="J2159" s="12" t="str">
        <x:v>ptbxl_database.csv；ecg_id=21099；scp_codes</x:v>
      </x:c>
      <x:c r="K2159" s="12" t="str">
        <x:v>12sl_statements.csv；ecg_id=21099；statements_ext_snomed</x:v>
      </x:c>
      <x:c r="L2159" s="12"/>
      <x:c r="M2159" s="12" t="str">
        <x:v>negative</x:v>
      </x:c>
      <x:c r="N2159" s="12"/>
      <x:c r="O2159" s="12" t="str">
        <x:v>negative</x:v>
      </x:c>
      <x:c r="P2159" s="12" t="str">
        <x:f>IF(OR(M2159="unavailable",O2159="unavailable"),"不可评价",IF(OR(M2159="equivocal",O2159="equivocal"),"疑似",IF(AND(M2159="positive",O2159="positive"),"a",IF(O2159="positive","b",IF(M2159="positive","c","d")))))</x:f>
        <x:v>d</x:v>
      </x:c>
      <x:c r="Q2159" s="12"/>
      <x:c r="R2159" s="12" t="str">
        <x:v>negative</x:v>
      </x:c>
      <x:c r="S2159" s="12"/>
      <x:c r="T2159" s="12" t="str">
        <x:v>negative</x:v>
      </x:c>
      <x:c r="U2159" s="12" t="str">
        <x:f>IF(OR(R2159="unavailable",T2159="unavailable"),"不可评价",IF(OR(R2159="equivocal",T2159="equivocal"),"疑似",IF(AND(R2159="positive",T2159="positive"),"a",IF(T2159="positive","b",IF(R2159="positive","c","d")))))</x:f>
        <x:v>d</x:v>
      </x:c>
      <x:c r="V2159" s="12"/>
      <x:c r="W2159" s="12" t="str">
        <x:v>negative</x:v>
      </x:c>
      <x:c r="X2159" s="12"/>
      <x:c r="Y2159" s="12" t="str">
        <x:v>negative</x:v>
      </x:c>
      <x:c r="Z2159" s="12" t="str">
        <x:f>IF(OR(W2159="unavailable",Y2159="unavailable"),"不可评价",IF(OR(W2159="equivocal",Y2159="equivocal"),"疑似",IF(AND(W2159="positive",Y2159="positive"),"a",IF(Y2159="positive","b",IF(W2159="positive","c","d")))))</x:f>
        <x:v>d</x:v>
      </x:c>
      <x:c r="AA2159" s="12" t="str">
        <x:f>IF(OR(M2159="unavailable",O2159="unavailable"),"不可评价",IF(AND(OR(M2159="positive",M2159="equivocal"),OR(O2159="positive",O2159="equivocal")),"a",IF(OR(O2159="positive",O2159="equivocal"),"b",IF(OR(M2159="positive",M2159="equivocal"),"c","d"))))</x:f>
        <x:v>d</x:v>
      </x:c>
      <x:c r="AB2159" s="12" t="str">
        <x:f>IF(OR(M2159="unavailable",O2159="unavailable"),"不可评价",IF(AND(M2159="positive",O2159="positive"),"a",IF(O2159="positive","b",IF(M2159="positive","c","d"))))</x:f>
        <x:v>d</x:v>
      </x:c>
      <x:c r="AC2159" s="12" t="str">
        <x:f>IF(OR(R2159="unavailable",T2159="unavailable"),"不可评价",IF(AND(OR(R2159="positive",R2159="equivocal"),OR(T2159="positive",T2159="equivocal")),"a",IF(OR(T2159="positive",T2159="equivocal"),"b",IF(OR(R2159="positive",R2159="equivocal"),"c","d"))))</x:f>
        <x:v>d</x:v>
      </x:c>
      <x:c r="AD2159" s="12" t="str">
        <x:f>IF(OR(R2159="unavailable",T2159="unavailable"),"不可评价",IF(AND(R2159="positive",T2159="positive"),"a",IF(T2159="positive","b",IF(R2159="positive","c","d"))))</x:f>
        <x:v>d</x:v>
      </x:c>
      <x:c r="AE2159" s="12" t="str">
        <x:f>IF(OR(W2159="unavailable",Y2159="unavailable"),"不可评价",IF(AND(OR(W2159="positive",W2159="equivocal"),OR(Y2159="positive",Y2159="equivocal")),"a",IF(OR(Y2159="positive",Y2159="equivocal"),"b",IF(OR(W2159="positive",W2159="equivocal"),"c","d"))))</x:f>
        <x:v>d</x:v>
      </x:c>
      <x:c r="AF2159" s="12" t="str">
        <x:f>IF(OR(W2159="unavailable",Y2159="unavailable"),"不可评价",IF(AND(W2159="positive",Y2159="positive"),"a",IF(Y2159="positive","b",IF(W2159="positive","c","d"))))</x:f>
        <x:v>d</x:v>
      </x:c>
    </x:row>
    <x:row r="2160" ht="24" customHeight="1">
      <x:c r="A2160" s="12" t="str">
        <x:v>21104</x:v>
      </x:c>
      <x:c r="B2160" s="12" t="str">
        <x:v>21200</x:v>
      </x:c>
      <x:c r="C2160" s="21" t="n">
        <x:v>36653.46908564815</x:v>
      </x:c>
      <x:c r="D2160" s="12" t="n">
        <x:v>72</x:v>
      </x:c>
      <x:c r="E2160" s="12" t="n">
        <x:v>0</x:v>
      </x:c>
      <x:c r="F2160" s="12" t="str">
        <x:v>未记录</x:v>
      </x:c>
      <x:c r="G2160" s="12" t="n">
        <x:v>1</x:v>
      </x:c>
      <x:c r="H2160" s="12" t="str">
        <x:v>{'IMI': 50.0, 'LVH': 50.0, 'ISC_': 100.0, 'ABQRS': 0.0, 'SR': 0.0}</x:v>
      </x:c>
      <x:c r="I2160" s="12" t="str">
        <x:v>[('NSR', 100.0), ('IMI;AU', 100.0), ('MSTDAL', 100.0), ('AB', 100.0)]</x:v>
      </x:c>
      <x:c r="J2160" s="12" t="str">
        <x:v>ptbxl_database.csv；ecg_id=21104；scp_codes</x:v>
      </x:c>
      <x:c r="K2160" s="12" t="str">
        <x:v>12sl_statements.csv；ecg_id=21104；statements_ext_snomed</x:v>
      </x:c>
      <x:c r="L2160" s="12"/>
      <x:c r="M2160" s="12" t="str">
        <x:v>negative</x:v>
      </x:c>
      <x:c r="N2160" s="12"/>
      <x:c r="O2160" s="12" t="str">
        <x:v>negative</x:v>
      </x:c>
      <x:c r="P2160" s="12" t="str">
        <x:f>IF(OR(M2160="unavailable",O2160="unavailable"),"不可评价",IF(OR(M2160="equivocal",O2160="equivocal"),"疑似",IF(AND(M2160="positive",O2160="positive"),"a",IF(O2160="positive","b",IF(M2160="positive","c","d")))))</x:f>
        <x:v>d</x:v>
      </x:c>
      <x:c r="Q2160" s="12"/>
      <x:c r="R2160" s="12" t="str">
        <x:v>negative</x:v>
      </x:c>
      <x:c r="S2160" s="12"/>
      <x:c r="T2160" s="12" t="str">
        <x:v>negative</x:v>
      </x:c>
      <x:c r="U2160" s="12" t="str">
        <x:f>IF(OR(R2160="unavailable",T2160="unavailable"),"不可评价",IF(OR(R2160="equivocal",T2160="equivocal"),"疑似",IF(AND(R2160="positive",T2160="positive"),"a",IF(T2160="positive","b",IF(R2160="positive","c","d")))))</x:f>
        <x:v>d</x:v>
      </x:c>
      <x:c r="V2160" s="12"/>
      <x:c r="W2160" s="12" t="str">
        <x:v>negative</x:v>
      </x:c>
      <x:c r="X2160" s="12"/>
      <x:c r="Y2160" s="12" t="str">
        <x:v>negative</x:v>
      </x:c>
      <x:c r="Z2160" s="12" t="str">
        <x:f>IF(OR(W2160="unavailable",Y2160="unavailable"),"不可评价",IF(OR(W2160="equivocal",Y2160="equivocal"),"疑似",IF(AND(W2160="positive",Y2160="positive"),"a",IF(Y2160="positive","b",IF(W2160="positive","c","d")))))</x:f>
        <x:v>d</x:v>
      </x:c>
      <x:c r="AA2160" s="12" t="str">
        <x:f>IF(OR(M2160="unavailable",O2160="unavailable"),"不可评价",IF(AND(OR(M2160="positive",M2160="equivocal"),OR(O2160="positive",O2160="equivocal")),"a",IF(OR(O2160="positive",O2160="equivocal"),"b",IF(OR(M2160="positive",M2160="equivocal"),"c","d"))))</x:f>
        <x:v>d</x:v>
      </x:c>
      <x:c r="AB2160" s="12" t="str">
        <x:f>IF(OR(M2160="unavailable",O2160="unavailable"),"不可评价",IF(AND(M2160="positive",O2160="positive"),"a",IF(O2160="positive","b",IF(M2160="positive","c","d"))))</x:f>
        <x:v>d</x:v>
      </x:c>
      <x:c r="AC2160" s="12" t="str">
        <x:f>IF(OR(R2160="unavailable",T2160="unavailable"),"不可评价",IF(AND(OR(R2160="positive",R2160="equivocal"),OR(T2160="positive",T2160="equivocal")),"a",IF(OR(T2160="positive",T2160="equivocal"),"b",IF(OR(R2160="positive",R2160="equivocal"),"c","d"))))</x:f>
        <x:v>d</x:v>
      </x:c>
      <x:c r="AD2160" s="12" t="str">
        <x:f>IF(OR(R2160="unavailable",T2160="unavailable"),"不可评价",IF(AND(R2160="positive",T2160="positive"),"a",IF(T2160="positive","b",IF(R2160="positive","c","d"))))</x:f>
        <x:v>d</x:v>
      </x:c>
      <x:c r="AE2160" s="12" t="str">
        <x:f>IF(OR(W2160="unavailable",Y2160="unavailable"),"不可评价",IF(AND(OR(W2160="positive",W2160="equivocal"),OR(Y2160="positive",Y2160="equivocal")),"a",IF(OR(Y2160="positive",Y2160="equivocal"),"b",IF(OR(W2160="positive",W2160="equivocal"),"c","d"))))</x:f>
        <x:v>d</x:v>
      </x:c>
      <x:c r="AF2160" s="12" t="str">
        <x:f>IF(OR(W2160="unavailable",Y2160="unavailable"),"不可评价",IF(AND(W2160="positive",Y2160="positive"),"a",IF(Y2160="positive","b",IF(W2160="positive","c","d"))))</x:f>
        <x:v>d</x:v>
      </x:c>
    </x:row>
    <x:row r="2161" ht="39" customHeight="1">
      <x:c r="A2161" s="12" t="str">
        <x:v>21111</x:v>
      </x:c>
      <x:c r="B2161" s="12" t="str">
        <x:v>15897</x:v>
      </x:c>
      <x:c r="C2161" s="21" t="n">
        <x:v>36682.67674768518</x:v>
      </x:c>
      <x:c r="D2161" s="12" t="n">
        <x:v>77</x:v>
      </x:c>
      <x:c r="E2161" s="12" t="n">
        <x:v>0</x:v>
      </x:c>
      <x:c r="F2161" s="12" t="str">
        <x:v>未记录</x:v>
      </x:c>
      <x:c r="G2161" s="12" t="n">
        <x:v>1</x:v>
      </x:c>
      <x:c r="H2161" s="12" t="str">
        <x:v>{'CRBBB': 100.0, 'LAFB': 100.0, 'SR': 0.0}</x:v>
      </x:c>
      <x:c r="I2161" s="12" t="str">
        <x:v>[('SBRAD', 100.0), ('PAC', 100.0), ('RBBB', 100.0), ('AFB', 100.0), ('BIFB', 100.0), ('AB', 100.0)]</x:v>
      </x:c>
      <x:c r="J2161" s="12" t="str">
        <x:v>ptbxl_database.csv；ecg_id=21111；scp_codes</x:v>
      </x:c>
      <x:c r="K2161" s="12" t="str">
        <x:v>12sl_statements.csv；ecg_id=21111；statements_ext_snomed</x:v>
      </x:c>
      <x:c r="L2161" s="12"/>
      <x:c r="M2161" s="12" t="str">
        <x:v>negative</x:v>
      </x:c>
      <x:c r="N2161" s="12"/>
      <x:c r="O2161" s="12" t="str">
        <x:v>negative</x:v>
      </x:c>
      <x:c r="P2161" s="12" t="str">
        <x:f>IF(OR(M2161="unavailable",O2161="unavailable"),"不可评价",IF(OR(M2161="equivocal",O2161="equivocal"),"疑似",IF(AND(M2161="positive",O2161="positive"),"a",IF(O2161="positive","b",IF(M2161="positive","c","d")))))</x:f>
        <x:v>d</x:v>
      </x:c>
      <x:c r="Q2161" s="12"/>
      <x:c r="R2161" s="12" t="str">
        <x:v>negative</x:v>
      </x:c>
      <x:c r="S2161" s="12"/>
      <x:c r="T2161" s="12" t="str">
        <x:v>negative</x:v>
      </x:c>
      <x:c r="U2161" s="12" t="str">
        <x:f>IF(OR(R2161="unavailable",T2161="unavailable"),"不可评价",IF(OR(R2161="equivocal",T2161="equivocal"),"疑似",IF(AND(R2161="positive",T2161="positive"),"a",IF(T2161="positive","b",IF(R2161="positive","c","d")))))</x:f>
        <x:v>d</x:v>
      </x:c>
      <x:c r="V2161" s="12" t="n">
        <x:v>100</x:v>
      </x:c>
      <x:c r="W2161" s="12" t="str">
        <x:v>positive</x:v>
      </x:c>
      <x:c r="X2161" s="12" t="n">
        <x:v>100</x:v>
      </x:c>
      <x:c r="Y2161" s="12" t="str">
        <x:v>positive</x:v>
      </x:c>
      <x:c r="Z2161" s="12" t="str">
        <x:f>IF(OR(W2161="unavailable",Y2161="unavailable"),"不可评价",IF(OR(W2161="equivocal",Y2161="equivocal"),"疑似",IF(AND(W2161="positive",Y2161="positive"),"a",IF(Y2161="positive","b",IF(W2161="positive","c","d")))))</x:f>
        <x:v>a</x:v>
      </x:c>
      <x:c r="AA2161" s="12" t="str">
        <x:f>IF(OR(M2161="unavailable",O2161="unavailable"),"不可评价",IF(AND(OR(M2161="positive",M2161="equivocal"),OR(O2161="positive",O2161="equivocal")),"a",IF(OR(O2161="positive",O2161="equivocal"),"b",IF(OR(M2161="positive",M2161="equivocal"),"c","d"))))</x:f>
        <x:v>d</x:v>
      </x:c>
      <x:c r="AB2161" s="12" t="str">
        <x:f>IF(OR(M2161="unavailable",O2161="unavailable"),"不可评价",IF(AND(M2161="positive",O2161="positive"),"a",IF(O2161="positive","b",IF(M2161="positive","c","d"))))</x:f>
        <x:v>d</x:v>
      </x:c>
      <x:c r="AC2161" s="12" t="str">
        <x:f>IF(OR(R2161="unavailable",T2161="unavailable"),"不可评价",IF(AND(OR(R2161="positive",R2161="equivocal"),OR(T2161="positive",T2161="equivocal")),"a",IF(OR(T2161="positive",T2161="equivocal"),"b",IF(OR(R2161="positive",R2161="equivocal"),"c","d"))))</x:f>
        <x:v>d</x:v>
      </x:c>
      <x:c r="AD2161" s="12" t="str">
        <x:f>IF(OR(R2161="unavailable",T2161="unavailable"),"不可评价",IF(AND(R2161="positive",T2161="positive"),"a",IF(T2161="positive","b",IF(R2161="positive","c","d"))))</x:f>
        <x:v>d</x:v>
      </x:c>
      <x:c r="AE2161" s="12" t="str">
        <x:f>IF(OR(W2161="unavailable",Y2161="unavailable"),"不可评价",IF(AND(OR(W2161="positive",W2161="equivocal"),OR(Y2161="positive",Y2161="equivocal")),"a",IF(OR(Y2161="positive",Y2161="equivocal"),"b",IF(OR(W2161="positive",W2161="equivocal"),"c","d"))))</x:f>
        <x:v>a</x:v>
      </x:c>
      <x:c r="AF2161" s="12" t="str">
        <x:f>IF(OR(W2161="unavailable",Y2161="unavailable"),"不可评价",IF(AND(W2161="positive",Y2161="positive"),"a",IF(Y2161="positive","b",IF(W2161="positive","c","d"))))</x:f>
        <x:v>a</x:v>
      </x:c>
    </x:row>
    <x:row r="2162" ht="24" customHeight="1">
      <x:c r="A2162" s="12" t="str">
        <x:v>21148</x:v>
      </x:c>
      <x:c r="B2162" s="12" t="str">
        <x:v>17570</x:v>
      </x:c>
      <x:c r="C2162" s="21" t="n">
        <x:v>36716.54645833333</x:v>
      </x:c>
      <x:c r="D2162" s="12" t="n">
        <x:v>44</x:v>
      </x:c>
      <x:c r="E2162" s="12" t="n">
        <x:v>1</x:v>
      </x:c>
      <x:c r="F2162" s="12" t="str">
        <x:v>未记录</x:v>
      </x:c>
      <x:c r="G2162" s="12" t="n">
        <x:v>1</x:v>
      </x:c>
      <x:c r="H2162" s="12" t="str">
        <x:v>{'CLBBB': 100.0, 'SR': 0.0}</x:v>
      </x:c>
      <x:c r="I2162" s="12" t="str">
        <x:v>[('EAR', 100.0), ('LBBB', 100.0), ('AB', 100.0)]</x:v>
      </x:c>
      <x:c r="J2162" s="12" t="str">
        <x:v>ptbxl_database.csv；ecg_id=21148；scp_codes</x:v>
      </x:c>
      <x:c r="K2162" s="12" t="str">
        <x:v>12sl_statements.csv；ecg_id=21148；statements_ext_snomed</x:v>
      </x:c>
      <x:c r="L2162" s="12"/>
      <x:c r="M2162" s="12" t="str">
        <x:v>negative</x:v>
      </x:c>
      <x:c r="N2162" s="12"/>
      <x:c r="O2162" s="12" t="str">
        <x:v>negative</x:v>
      </x:c>
      <x:c r="P2162" s="12" t="str">
        <x:f>IF(OR(M2162="unavailable",O2162="unavailable"),"不可评价",IF(OR(M2162="equivocal",O2162="equivocal"),"疑似",IF(AND(M2162="positive",O2162="positive"),"a",IF(O2162="positive","b",IF(M2162="positive","c","d")))))</x:f>
        <x:v>d</x:v>
      </x:c>
      <x:c r="Q2162" s="12" t="n">
        <x:v>100</x:v>
      </x:c>
      <x:c r="R2162" s="12" t="str">
        <x:v>positive</x:v>
      </x:c>
      <x:c r="S2162" s="12" t="n">
        <x:v>100</x:v>
      </x:c>
      <x:c r="T2162" s="12" t="str">
        <x:v>positive</x:v>
      </x:c>
      <x:c r="U2162" s="12" t="str">
        <x:f>IF(OR(R2162="unavailable",T2162="unavailable"),"不可评价",IF(OR(R2162="equivocal",T2162="equivocal"),"疑似",IF(AND(R2162="positive",T2162="positive"),"a",IF(T2162="positive","b",IF(R2162="positive","c","d")))))</x:f>
        <x:v>a</x:v>
      </x:c>
      <x:c r="V2162" s="12"/>
      <x:c r="W2162" s="12" t="str">
        <x:v>negative</x:v>
      </x:c>
      <x:c r="X2162" s="12"/>
      <x:c r="Y2162" s="12" t="str">
        <x:v>negative</x:v>
      </x:c>
      <x:c r="Z2162" s="12" t="str">
        <x:f>IF(OR(W2162="unavailable",Y2162="unavailable"),"不可评价",IF(OR(W2162="equivocal",Y2162="equivocal"),"疑似",IF(AND(W2162="positive",Y2162="positive"),"a",IF(Y2162="positive","b",IF(W2162="positive","c","d")))))</x:f>
        <x:v>d</x:v>
      </x:c>
      <x:c r="AA2162" s="12" t="str">
        <x:f>IF(OR(M2162="unavailable",O2162="unavailable"),"不可评价",IF(AND(OR(M2162="positive",M2162="equivocal"),OR(O2162="positive",O2162="equivocal")),"a",IF(OR(O2162="positive",O2162="equivocal"),"b",IF(OR(M2162="positive",M2162="equivocal"),"c","d"))))</x:f>
        <x:v>d</x:v>
      </x:c>
      <x:c r="AB2162" s="12" t="str">
        <x:f>IF(OR(M2162="unavailable",O2162="unavailable"),"不可评价",IF(AND(M2162="positive",O2162="positive"),"a",IF(O2162="positive","b",IF(M2162="positive","c","d"))))</x:f>
        <x:v>d</x:v>
      </x:c>
      <x:c r="AC2162" s="12" t="str">
        <x:f>IF(OR(R2162="unavailable",T2162="unavailable"),"不可评价",IF(AND(OR(R2162="positive",R2162="equivocal"),OR(T2162="positive",T2162="equivocal")),"a",IF(OR(T2162="positive",T2162="equivocal"),"b",IF(OR(R2162="positive",R2162="equivocal"),"c","d"))))</x:f>
        <x:v>a</x:v>
      </x:c>
      <x:c r="AD2162" s="12" t="str">
        <x:f>IF(OR(R2162="unavailable",T2162="unavailable"),"不可评价",IF(AND(R2162="positive",T2162="positive"),"a",IF(T2162="positive","b",IF(R2162="positive","c","d"))))</x:f>
        <x:v>a</x:v>
      </x:c>
      <x:c r="AE2162" s="12" t="str">
        <x:f>IF(OR(W2162="unavailable",Y2162="unavailable"),"不可评价",IF(AND(OR(W2162="positive",W2162="equivocal"),OR(Y2162="positive",Y2162="equivocal")),"a",IF(OR(Y2162="positive",Y2162="equivocal"),"b",IF(OR(W2162="positive",W2162="equivocal"),"c","d"))))</x:f>
        <x:v>d</x:v>
      </x:c>
      <x:c r="AF2162" s="12" t="str">
        <x:f>IF(OR(W2162="unavailable",Y2162="unavailable"),"不可评价",IF(AND(W2162="positive",Y2162="positive"),"a",IF(Y2162="positive","b",IF(W2162="positive","c","d"))))</x:f>
        <x:v>d</x:v>
      </x:c>
    </x:row>
    <x:row r="2163" ht="24" customHeight="1">
      <x:c r="A2163" s="12" t="str">
        <x:v>21163</x:v>
      </x:c>
      <x:c r="B2163" s="12" t="str">
        <x:v>17570</x:v>
      </x:c>
      <x:c r="C2163" s="21" t="n">
        <x:v>36722.528078703705</x:v>
      </x:c>
      <x:c r="D2163" s="12" t="n">
        <x:v>44</x:v>
      </x:c>
      <x:c r="E2163" s="12" t="n">
        <x:v>1</x:v>
      </x:c>
      <x:c r="F2163" s="12" t="str">
        <x:v>未记录</x:v>
      </x:c>
      <x:c r="G2163" s="12" t="n">
        <x:v>0</x:v>
      </x:c>
      <x:c r="H2163" s="12" t="str">
        <x:v>{'LMI': 15.0, 'CLBBB': 100.0, 'SR': 0.0}</x:v>
      </x:c>
      <x:c r="I2163" s="12" t="str">
        <x:v>[('NSR', 100.0), ('LBBB', 100.0), ('AB', 100.0)]</x:v>
      </x:c>
      <x:c r="J2163" s="12" t="str">
        <x:v>ptbxl_database.csv；ecg_id=21163；scp_codes</x:v>
      </x:c>
      <x:c r="K2163" s="12" t="str">
        <x:v>12sl_statements.csv；ecg_id=21163；statements_ext_snomed</x:v>
      </x:c>
      <x:c r="L2163" s="12"/>
      <x:c r="M2163" s="12" t="str">
        <x:v>negative</x:v>
      </x:c>
      <x:c r="N2163" s="12"/>
      <x:c r="O2163" s="12" t="str">
        <x:v>negative</x:v>
      </x:c>
      <x:c r="P2163" s="12" t="str">
        <x:f>IF(OR(M2163="unavailable",O2163="unavailable"),"不可评价",IF(OR(M2163="equivocal",O2163="equivocal"),"疑似",IF(AND(M2163="positive",O2163="positive"),"a",IF(O2163="positive","b",IF(M2163="positive","c","d")))))</x:f>
        <x:v>d</x:v>
      </x:c>
      <x:c r="Q2163" s="12" t="n">
        <x:v>100</x:v>
      </x:c>
      <x:c r="R2163" s="12" t="str">
        <x:v>positive</x:v>
      </x:c>
      <x:c r="S2163" s="12" t="n">
        <x:v>100</x:v>
      </x:c>
      <x:c r="T2163" s="12" t="str">
        <x:v>positive</x:v>
      </x:c>
      <x:c r="U2163" s="12" t="str">
        <x:f>IF(OR(R2163="unavailable",T2163="unavailable"),"不可评价",IF(OR(R2163="equivocal",T2163="equivocal"),"疑似",IF(AND(R2163="positive",T2163="positive"),"a",IF(T2163="positive","b",IF(R2163="positive","c","d")))))</x:f>
        <x:v>a</x:v>
      </x:c>
      <x:c r="V2163" s="12"/>
      <x:c r="W2163" s="12" t="str">
        <x:v>negative</x:v>
      </x:c>
      <x:c r="X2163" s="12"/>
      <x:c r="Y2163" s="12" t="str">
        <x:v>negative</x:v>
      </x:c>
      <x:c r="Z2163" s="12" t="str">
        <x:f>IF(OR(W2163="unavailable",Y2163="unavailable"),"不可评价",IF(OR(W2163="equivocal",Y2163="equivocal"),"疑似",IF(AND(W2163="positive",Y2163="positive"),"a",IF(Y2163="positive","b",IF(W2163="positive","c","d")))))</x:f>
        <x:v>d</x:v>
      </x:c>
      <x:c r="AA2163" s="12" t="str">
        <x:f>IF(OR(M2163="unavailable",O2163="unavailable"),"不可评价",IF(AND(OR(M2163="positive",M2163="equivocal"),OR(O2163="positive",O2163="equivocal")),"a",IF(OR(O2163="positive",O2163="equivocal"),"b",IF(OR(M2163="positive",M2163="equivocal"),"c","d"))))</x:f>
        <x:v>d</x:v>
      </x:c>
      <x:c r="AB2163" s="12" t="str">
        <x:f>IF(OR(M2163="unavailable",O2163="unavailable"),"不可评价",IF(AND(M2163="positive",O2163="positive"),"a",IF(O2163="positive","b",IF(M2163="positive","c","d"))))</x:f>
        <x:v>d</x:v>
      </x:c>
      <x:c r="AC2163" s="12" t="str">
        <x:f>IF(OR(R2163="unavailable",T2163="unavailable"),"不可评价",IF(AND(OR(R2163="positive",R2163="equivocal"),OR(T2163="positive",T2163="equivocal")),"a",IF(OR(T2163="positive",T2163="equivocal"),"b",IF(OR(R2163="positive",R2163="equivocal"),"c","d"))))</x:f>
        <x:v>a</x:v>
      </x:c>
      <x:c r="AD2163" s="12" t="str">
        <x:f>IF(OR(R2163="unavailable",T2163="unavailable"),"不可评价",IF(AND(R2163="positive",T2163="positive"),"a",IF(T2163="positive","b",IF(R2163="positive","c","d"))))</x:f>
        <x:v>a</x:v>
      </x:c>
      <x:c r="AE2163" s="12" t="str">
        <x:f>IF(OR(W2163="unavailable",Y2163="unavailable"),"不可评价",IF(AND(OR(W2163="positive",W2163="equivocal"),OR(Y2163="positive",Y2163="equivocal")),"a",IF(OR(Y2163="positive",Y2163="equivocal"),"b",IF(OR(W2163="positive",W2163="equivocal"),"c","d"))))</x:f>
        <x:v>d</x:v>
      </x:c>
      <x:c r="AF2163" s="12" t="str">
        <x:f>IF(OR(W2163="unavailable",Y2163="unavailable"),"不可评价",IF(AND(W2163="positive",Y2163="positive"),"a",IF(Y2163="positive","b",IF(W2163="positive","c","d"))))</x:f>
        <x:v>d</x:v>
      </x:c>
    </x:row>
    <x:row r="2164" ht="39" customHeight="1">
      <x:c r="A2164" s="12" t="str">
        <x:v>21173</x:v>
      </x:c>
      <x:c r="B2164" s="12" t="str">
        <x:v>9309</x:v>
      </x:c>
      <x:c r="C2164" s="21" t="n">
        <x:v>36723.68667824074</x:v>
      </x:c>
      <x:c r="D2164" s="12" t="n">
        <x:v>70</x:v>
      </x:c>
      <x:c r="E2164" s="12" t="n">
        <x:v>0</x:v>
      </x:c>
      <x:c r="F2164" s="12" t="str">
        <x:v>未记录</x:v>
      </x:c>
      <x:c r="G2164" s="12" t="n">
        <x:v>1</x:v>
      </x:c>
      <x:c r="H2164" s="12" t="str">
        <x:v>{'IMI': 100.0, 'LVH': 100.0, 'ISC_': 100.0, 'ABQRS': 0.0, 'VCLVH': 0.0, 'SR': 0.0}</x:v>
      </x:c>
      <x:c r="I2164" s="12" t="str">
        <x:v>[('SBRAD', 100.0), ('LVH2', 100.0), ('2ST', 100.0), ('IMI;AU', 100.0), ('AB', 100.0)]</x:v>
      </x:c>
      <x:c r="J2164" s="12" t="str">
        <x:v>ptbxl_database.csv；ecg_id=21173；scp_codes</x:v>
      </x:c>
      <x:c r="K2164" s="12" t="str">
        <x:v>12sl_statements.csv；ecg_id=21173；statements_ext_snomed</x:v>
      </x:c>
      <x:c r="L2164" s="12"/>
      <x:c r="M2164" s="12" t="str">
        <x:v>negative</x:v>
      </x:c>
      <x:c r="N2164" s="12"/>
      <x:c r="O2164" s="12" t="str">
        <x:v>negative</x:v>
      </x:c>
      <x:c r="P2164" s="12" t="str">
        <x:f>IF(OR(M2164="unavailable",O2164="unavailable"),"不可评价",IF(OR(M2164="equivocal",O2164="equivocal"),"疑似",IF(AND(M2164="positive",O2164="positive"),"a",IF(O2164="positive","b",IF(M2164="positive","c","d")))))</x:f>
        <x:v>d</x:v>
      </x:c>
      <x:c r="Q2164" s="12"/>
      <x:c r="R2164" s="12" t="str">
        <x:v>negative</x:v>
      </x:c>
      <x:c r="S2164" s="12"/>
      <x:c r="T2164" s="12" t="str">
        <x:v>negative</x:v>
      </x:c>
      <x:c r="U2164" s="12" t="str">
        <x:f>IF(OR(R2164="unavailable",T2164="unavailable"),"不可评价",IF(OR(R2164="equivocal",T2164="equivocal"),"疑似",IF(AND(R2164="positive",T2164="positive"),"a",IF(T2164="positive","b",IF(R2164="positive","c","d")))))</x:f>
        <x:v>d</x:v>
      </x:c>
      <x:c r="V2164" s="12"/>
      <x:c r="W2164" s="12" t="str">
        <x:v>negative</x:v>
      </x:c>
      <x:c r="X2164" s="12"/>
      <x:c r="Y2164" s="12" t="str">
        <x:v>negative</x:v>
      </x:c>
      <x:c r="Z2164" s="12" t="str">
        <x:f>IF(OR(W2164="unavailable",Y2164="unavailable"),"不可评价",IF(OR(W2164="equivocal",Y2164="equivocal"),"疑似",IF(AND(W2164="positive",Y2164="positive"),"a",IF(Y2164="positive","b",IF(W2164="positive","c","d")))))</x:f>
        <x:v>d</x:v>
      </x:c>
      <x:c r="AA2164" s="12" t="str">
        <x:f>IF(OR(M2164="unavailable",O2164="unavailable"),"不可评价",IF(AND(OR(M2164="positive",M2164="equivocal"),OR(O2164="positive",O2164="equivocal")),"a",IF(OR(O2164="positive",O2164="equivocal"),"b",IF(OR(M2164="positive",M2164="equivocal"),"c","d"))))</x:f>
        <x:v>d</x:v>
      </x:c>
      <x:c r="AB2164" s="12" t="str">
        <x:f>IF(OR(M2164="unavailable",O2164="unavailable"),"不可评价",IF(AND(M2164="positive",O2164="positive"),"a",IF(O2164="positive","b",IF(M2164="positive","c","d"))))</x:f>
        <x:v>d</x:v>
      </x:c>
      <x:c r="AC2164" s="12" t="str">
        <x:f>IF(OR(R2164="unavailable",T2164="unavailable"),"不可评价",IF(AND(OR(R2164="positive",R2164="equivocal"),OR(T2164="positive",T2164="equivocal")),"a",IF(OR(T2164="positive",T2164="equivocal"),"b",IF(OR(R2164="positive",R2164="equivocal"),"c","d"))))</x:f>
        <x:v>d</x:v>
      </x:c>
      <x:c r="AD2164" s="12" t="str">
        <x:f>IF(OR(R2164="unavailable",T2164="unavailable"),"不可评价",IF(AND(R2164="positive",T2164="positive"),"a",IF(T2164="positive","b",IF(R2164="positive","c","d"))))</x:f>
        <x:v>d</x:v>
      </x:c>
      <x:c r="AE2164" s="12" t="str">
        <x:f>IF(OR(W2164="unavailable",Y2164="unavailable"),"不可评价",IF(AND(OR(W2164="positive",W2164="equivocal"),OR(Y2164="positive",Y2164="equivocal")),"a",IF(OR(Y2164="positive",Y2164="equivocal"),"b",IF(OR(W2164="positive",W2164="equivocal"),"c","d"))))</x:f>
        <x:v>d</x:v>
      </x:c>
      <x:c r="AF2164" s="12" t="str">
        <x:f>IF(OR(W2164="unavailable",Y2164="unavailable"),"不可评价",IF(AND(W2164="positive",Y2164="positive"),"a",IF(Y2164="positive","b",IF(W2164="positive","c","d"))))</x:f>
        <x:v>d</x:v>
      </x:c>
    </x:row>
    <x:row r="2165" ht="24" customHeight="1">
      <x:c r="A2165" s="12" t="str">
        <x:v>21177</x:v>
      </x:c>
      <x:c r="B2165" s="12" t="str">
        <x:v>21738</x:v>
      </x:c>
      <x:c r="C2165" s="21" t="n">
        <x:v>36724.55866898148</x:v>
      </x:c>
      <x:c r="D2165" s="12" t="n">
        <x:v>57</x:v>
      </x:c>
      <x:c r="E2165" s="12" t="n">
        <x:v>1</x:v>
      </x:c>
      <x:c r="F2165" s="12" t="str">
        <x:v>未记录</x:v>
      </x:c>
      <x:c r="G2165" s="12" t="n">
        <x:v>0</x:v>
      </x:c>
      <x:c r="H2165" s="12" t="str">
        <x:v>{'NORM': 100.0, 'SR': 0.0}</x:v>
      </x:c>
      <x:c r="I2165" s="12" t="str">
        <x:v>[('NSR', 100.0), ('NML', 100.0)]</x:v>
      </x:c>
      <x:c r="J2165" s="12" t="str">
        <x:v>ptbxl_database.csv；ecg_id=21177；scp_codes</x:v>
      </x:c>
      <x:c r="K2165" s="12" t="str">
        <x:v>12sl_statements.csv；ecg_id=21177；statements_ext_snomed</x:v>
      </x:c>
      <x:c r="L2165" s="12"/>
      <x:c r="M2165" s="12" t="str">
        <x:v>negative</x:v>
      </x:c>
      <x:c r="N2165" s="12"/>
      <x:c r="O2165" s="12" t="str">
        <x:v>negative</x:v>
      </x:c>
      <x:c r="P2165" s="12" t="str">
        <x:f>IF(OR(M2165="unavailable",O2165="unavailable"),"不可评价",IF(OR(M2165="equivocal",O2165="equivocal"),"疑似",IF(AND(M2165="positive",O2165="positive"),"a",IF(O2165="positive","b",IF(M2165="positive","c","d")))))</x:f>
        <x:v>d</x:v>
      </x:c>
      <x:c r="Q2165" s="12"/>
      <x:c r="R2165" s="12" t="str">
        <x:v>negative</x:v>
      </x:c>
      <x:c r="S2165" s="12"/>
      <x:c r="T2165" s="12" t="str">
        <x:v>negative</x:v>
      </x:c>
      <x:c r="U2165" s="12" t="str">
        <x:f>IF(OR(R2165="unavailable",T2165="unavailable"),"不可评价",IF(OR(R2165="equivocal",T2165="equivocal"),"疑似",IF(AND(R2165="positive",T2165="positive"),"a",IF(T2165="positive","b",IF(R2165="positive","c","d")))))</x:f>
        <x:v>d</x:v>
      </x:c>
      <x:c r="V2165" s="12"/>
      <x:c r="W2165" s="12" t="str">
        <x:v>negative</x:v>
      </x:c>
      <x:c r="X2165" s="12"/>
      <x:c r="Y2165" s="12" t="str">
        <x:v>negative</x:v>
      </x:c>
      <x:c r="Z2165" s="12" t="str">
        <x:f>IF(OR(W2165="unavailable",Y2165="unavailable"),"不可评价",IF(OR(W2165="equivocal",Y2165="equivocal"),"疑似",IF(AND(W2165="positive",Y2165="positive"),"a",IF(Y2165="positive","b",IF(W2165="positive","c","d")))))</x:f>
        <x:v>d</x:v>
      </x:c>
      <x:c r="AA2165" s="12" t="str">
        <x:f>IF(OR(M2165="unavailable",O2165="unavailable"),"不可评价",IF(AND(OR(M2165="positive",M2165="equivocal"),OR(O2165="positive",O2165="equivocal")),"a",IF(OR(O2165="positive",O2165="equivocal"),"b",IF(OR(M2165="positive",M2165="equivocal"),"c","d"))))</x:f>
        <x:v>d</x:v>
      </x:c>
      <x:c r="AB2165" s="12" t="str">
        <x:f>IF(OR(M2165="unavailable",O2165="unavailable"),"不可评价",IF(AND(M2165="positive",O2165="positive"),"a",IF(O2165="positive","b",IF(M2165="positive","c","d"))))</x:f>
        <x:v>d</x:v>
      </x:c>
      <x:c r="AC2165" s="12" t="str">
        <x:f>IF(OR(R2165="unavailable",T2165="unavailable"),"不可评价",IF(AND(OR(R2165="positive",R2165="equivocal"),OR(T2165="positive",T2165="equivocal")),"a",IF(OR(T2165="positive",T2165="equivocal"),"b",IF(OR(R2165="positive",R2165="equivocal"),"c","d"))))</x:f>
        <x:v>d</x:v>
      </x:c>
      <x:c r="AD2165" s="12" t="str">
        <x:f>IF(OR(R2165="unavailable",T2165="unavailable"),"不可评价",IF(AND(R2165="positive",T2165="positive"),"a",IF(T2165="positive","b",IF(R2165="positive","c","d"))))</x:f>
        <x:v>d</x:v>
      </x:c>
      <x:c r="AE2165" s="12" t="str">
        <x:f>IF(OR(W2165="unavailable",Y2165="unavailable"),"不可评价",IF(AND(OR(W2165="positive",W2165="equivocal"),OR(Y2165="positive",Y2165="equivocal")),"a",IF(OR(Y2165="positive",Y2165="equivocal"),"b",IF(OR(W2165="positive",W2165="equivocal"),"c","d"))))</x:f>
        <x:v>d</x:v>
      </x:c>
      <x:c r="AF2165" s="12" t="str">
        <x:f>IF(OR(W2165="unavailable",Y2165="unavailable"),"不可评价",IF(AND(W2165="positive",Y2165="positive"),"a",IF(Y2165="positive","b",IF(W2165="positive","c","d"))))</x:f>
        <x:v>d</x:v>
      </x:c>
    </x:row>
    <x:row r="2166" ht="24" customHeight="1">
      <x:c r="A2166" s="12" t="str">
        <x:v>21181</x:v>
      </x:c>
      <x:c r="B2166" s="12" t="str">
        <x:v>17570</x:v>
      </x:c>
      <x:c r="C2166" s="21" t="n">
        <x:v>36725.49712962963</x:v>
      </x:c>
      <x:c r="D2166" s="12" t="n">
        <x:v>44</x:v>
      </x:c>
      <x:c r="E2166" s="12" t="n">
        <x:v>1</x:v>
      </x:c>
      <x:c r="F2166" s="12" t="str">
        <x:v>未记录</x:v>
      </x:c>
      <x:c r="G2166" s="12" t="n">
        <x:v>0</x:v>
      </x:c>
      <x:c r="H2166" s="12" t="str">
        <x:v>{'CLBBB': 100.0, 'SR': 0.0}</x:v>
      </x:c>
      <x:c r="I2166" s="12" t="str">
        <x:v>[('NSR', 100.0), ('LBBB', 100.0), ('AB', 100.0)]</x:v>
      </x:c>
      <x:c r="J2166" s="12" t="str">
        <x:v>ptbxl_database.csv；ecg_id=21181；scp_codes</x:v>
      </x:c>
      <x:c r="K2166" s="12" t="str">
        <x:v>12sl_statements.csv；ecg_id=21181；statements_ext_snomed</x:v>
      </x:c>
      <x:c r="L2166" s="12"/>
      <x:c r="M2166" s="12" t="str">
        <x:v>negative</x:v>
      </x:c>
      <x:c r="N2166" s="12"/>
      <x:c r="O2166" s="12" t="str">
        <x:v>negative</x:v>
      </x:c>
      <x:c r="P2166" s="12" t="str">
        <x:f>IF(OR(M2166="unavailable",O2166="unavailable"),"不可评价",IF(OR(M2166="equivocal",O2166="equivocal"),"疑似",IF(AND(M2166="positive",O2166="positive"),"a",IF(O2166="positive","b",IF(M2166="positive","c","d")))))</x:f>
        <x:v>d</x:v>
      </x:c>
      <x:c r="Q2166" s="12" t="n">
        <x:v>100</x:v>
      </x:c>
      <x:c r="R2166" s="12" t="str">
        <x:v>positive</x:v>
      </x:c>
      <x:c r="S2166" s="12" t="n">
        <x:v>100</x:v>
      </x:c>
      <x:c r="T2166" s="12" t="str">
        <x:v>positive</x:v>
      </x:c>
      <x:c r="U2166" s="12" t="str">
        <x:f>IF(OR(R2166="unavailable",T2166="unavailable"),"不可评价",IF(OR(R2166="equivocal",T2166="equivocal"),"疑似",IF(AND(R2166="positive",T2166="positive"),"a",IF(T2166="positive","b",IF(R2166="positive","c","d")))))</x:f>
        <x:v>a</x:v>
      </x:c>
      <x:c r="V2166" s="12"/>
      <x:c r="W2166" s="12" t="str">
        <x:v>negative</x:v>
      </x:c>
      <x:c r="X2166" s="12"/>
      <x:c r="Y2166" s="12" t="str">
        <x:v>negative</x:v>
      </x:c>
      <x:c r="Z2166" s="12" t="str">
        <x:f>IF(OR(W2166="unavailable",Y2166="unavailable"),"不可评价",IF(OR(W2166="equivocal",Y2166="equivocal"),"疑似",IF(AND(W2166="positive",Y2166="positive"),"a",IF(Y2166="positive","b",IF(W2166="positive","c","d")))))</x:f>
        <x:v>d</x:v>
      </x:c>
      <x:c r="AA2166" s="12" t="str">
        <x:f>IF(OR(M2166="unavailable",O2166="unavailable"),"不可评价",IF(AND(OR(M2166="positive",M2166="equivocal"),OR(O2166="positive",O2166="equivocal")),"a",IF(OR(O2166="positive",O2166="equivocal"),"b",IF(OR(M2166="positive",M2166="equivocal"),"c","d"))))</x:f>
        <x:v>d</x:v>
      </x:c>
      <x:c r="AB2166" s="12" t="str">
        <x:f>IF(OR(M2166="unavailable",O2166="unavailable"),"不可评价",IF(AND(M2166="positive",O2166="positive"),"a",IF(O2166="positive","b",IF(M2166="positive","c","d"))))</x:f>
        <x:v>d</x:v>
      </x:c>
      <x:c r="AC2166" s="12" t="str">
        <x:f>IF(OR(R2166="unavailable",T2166="unavailable"),"不可评价",IF(AND(OR(R2166="positive",R2166="equivocal"),OR(T2166="positive",T2166="equivocal")),"a",IF(OR(T2166="positive",T2166="equivocal"),"b",IF(OR(R2166="positive",R2166="equivocal"),"c","d"))))</x:f>
        <x:v>a</x:v>
      </x:c>
      <x:c r="AD2166" s="12" t="str">
        <x:f>IF(OR(R2166="unavailable",T2166="unavailable"),"不可评价",IF(AND(R2166="positive",T2166="positive"),"a",IF(T2166="positive","b",IF(R2166="positive","c","d"))))</x:f>
        <x:v>a</x:v>
      </x:c>
      <x:c r="AE2166" s="12" t="str">
        <x:f>IF(OR(W2166="unavailable",Y2166="unavailable"),"不可评价",IF(AND(OR(W2166="positive",W2166="equivocal"),OR(Y2166="positive",Y2166="equivocal")),"a",IF(OR(Y2166="positive",Y2166="equivocal"),"b",IF(OR(W2166="positive",W2166="equivocal"),"c","d"))))</x:f>
        <x:v>d</x:v>
      </x:c>
      <x:c r="AF2166" s="12" t="str">
        <x:f>IF(OR(W2166="unavailable",Y2166="unavailable"),"不可评价",IF(AND(W2166="positive",Y2166="positive"),"a",IF(Y2166="positive","b",IF(W2166="positive","c","d"))))</x:f>
        <x:v>d</x:v>
      </x:c>
    </x:row>
    <x:row r="2167" ht="39" customHeight="1">
      <x:c r="A2167" s="12" t="str">
        <x:v>21205</x:v>
      </x:c>
      <x:c r="B2167" s="12" t="str">
        <x:v>16858</x:v>
      </x:c>
      <x:c r="C2167" s="21" t="n">
        <x:v>36737.37138888889</x:v>
      </x:c>
      <x:c r="D2167" s="12" t="n">
        <x:v>64</x:v>
      </x:c>
      <x:c r="E2167" s="12" t="n">
        <x:v>0</x:v>
      </x:c>
      <x:c r="F2167" s="12" t="str">
        <x:v>存在</x:v>
      </x:c>
      <x:c r="G2167" s="12" t="n">
        <x:v>1</x:v>
      </x:c>
      <x:c r="H2167" s="12" t="str">
        <x:v>{'ALMI': 100.0, 'ASMI': 100.0, 'ABQRS': 0.0, 'VCLVH': 0.0, 'AFIB': 0.0}</x:v>
      </x:c>
      <x:c r="I2167" s="12" t="str">
        <x:v>[('AFIB', 100.0), ('LVH2', 100.0), ('2ST', 100.0), ('AMI;AU', 100.0), ('AB', 100.0)]</x:v>
      </x:c>
      <x:c r="J2167" s="12" t="str">
        <x:v>ptbxl_database.csv；ecg_id=21205；scp_codes</x:v>
      </x:c>
      <x:c r="K2167" s="12" t="str">
        <x:v>12sl_statements.csv；ecg_id=21205；statements_ext_snomed</x:v>
      </x:c>
      <x:c r="L2167" s="12" t="n">
        <x:v>0</x:v>
      </x:c>
      <x:c r="M2167" s="12" t="str">
        <x:v>positive</x:v>
      </x:c>
      <x:c r="N2167" s="12" t="n">
        <x:v>100</x:v>
      </x:c>
      <x:c r="O2167" s="12" t="str">
        <x:v>positive</x:v>
      </x:c>
      <x:c r="P2167" s="12" t="str">
        <x:f>IF(OR(M2167="unavailable",O2167="unavailable"),"不可评价",IF(OR(M2167="equivocal",O2167="equivocal"),"疑似",IF(AND(M2167="positive",O2167="positive"),"a",IF(O2167="positive","b",IF(M2167="positive","c","d")))))</x:f>
        <x:v>a</x:v>
      </x:c>
      <x:c r="Q2167" s="12"/>
      <x:c r="R2167" s="12" t="str">
        <x:v>negative</x:v>
      </x:c>
      <x:c r="S2167" s="12"/>
      <x:c r="T2167" s="12" t="str">
        <x:v>negative</x:v>
      </x:c>
      <x:c r="U2167" s="12" t="str">
        <x:f>IF(OR(R2167="unavailable",T2167="unavailable"),"不可评价",IF(OR(R2167="equivocal",T2167="equivocal"),"疑似",IF(AND(R2167="positive",T2167="positive"),"a",IF(T2167="positive","b",IF(R2167="positive","c","d")))))</x:f>
        <x:v>d</x:v>
      </x:c>
      <x:c r="V2167" s="12"/>
      <x:c r="W2167" s="12" t="str">
        <x:v>negative</x:v>
      </x:c>
      <x:c r="X2167" s="12"/>
      <x:c r="Y2167" s="12" t="str">
        <x:v>negative</x:v>
      </x:c>
      <x:c r="Z2167" s="12" t="str">
        <x:f>IF(OR(W2167="unavailable",Y2167="unavailable"),"不可评价",IF(OR(W2167="equivocal",Y2167="equivocal"),"疑似",IF(AND(W2167="positive",Y2167="positive"),"a",IF(Y2167="positive","b",IF(W2167="positive","c","d")))))</x:f>
        <x:v>d</x:v>
      </x:c>
      <x:c r="AA2167" s="12" t="str">
        <x:f>IF(OR(M2167="unavailable",O2167="unavailable"),"不可评价",IF(AND(OR(M2167="positive",M2167="equivocal"),OR(O2167="positive",O2167="equivocal")),"a",IF(OR(O2167="positive",O2167="equivocal"),"b",IF(OR(M2167="positive",M2167="equivocal"),"c","d"))))</x:f>
        <x:v>a</x:v>
      </x:c>
      <x:c r="AB2167" s="12" t="str">
        <x:f>IF(OR(M2167="unavailable",O2167="unavailable"),"不可评价",IF(AND(M2167="positive",O2167="positive"),"a",IF(O2167="positive","b",IF(M2167="positive","c","d"))))</x:f>
        <x:v>a</x:v>
      </x:c>
      <x:c r="AC2167" s="12" t="str">
        <x:f>IF(OR(R2167="unavailable",T2167="unavailable"),"不可评价",IF(AND(OR(R2167="positive",R2167="equivocal"),OR(T2167="positive",T2167="equivocal")),"a",IF(OR(T2167="positive",T2167="equivocal"),"b",IF(OR(R2167="positive",R2167="equivocal"),"c","d"))))</x:f>
        <x:v>d</x:v>
      </x:c>
      <x:c r="AD2167" s="12" t="str">
        <x:f>IF(OR(R2167="unavailable",T2167="unavailable"),"不可评价",IF(AND(R2167="positive",T2167="positive"),"a",IF(T2167="positive","b",IF(R2167="positive","c","d"))))</x:f>
        <x:v>d</x:v>
      </x:c>
      <x:c r="AE2167" s="12" t="str">
        <x:f>IF(OR(W2167="unavailable",Y2167="unavailable"),"不可评价",IF(AND(OR(W2167="positive",W2167="equivocal"),OR(Y2167="positive",Y2167="equivocal")),"a",IF(OR(Y2167="positive",Y2167="equivocal"),"b",IF(OR(W2167="positive",W2167="equivocal"),"c","d"))))</x:f>
        <x:v>d</x:v>
      </x:c>
      <x:c r="AF2167" s="12" t="str">
        <x:f>IF(OR(W2167="unavailable",Y2167="unavailable"),"不可评价",IF(AND(W2167="positive",Y2167="positive"),"a",IF(Y2167="positive","b",IF(W2167="positive","c","d"))))</x:f>
        <x:v>d</x:v>
      </x:c>
    </x:row>
    <x:row r="2168" ht="24" customHeight="1">
      <x:c r="A2168" s="12" t="str">
        <x:v>21306</x:v>
      </x:c>
      <x:c r="B2168" s="12" t="str">
        <x:v>20430</x:v>
      </x:c>
      <x:c r="C2168" s="21" t="n">
        <x:v>36766.64125</x:v>
      </x:c>
      <x:c r="D2168" s="12" t="n">
        <x:v>49</x:v>
      </x:c>
      <x:c r="E2168" s="12" t="n">
        <x:v>0</x:v>
      </x:c>
      <x:c r="F2168" s="12" t="str">
        <x:v>存在</x:v>
      </x:c>
      <x:c r="G2168" s="12" t="n">
        <x:v>1</x:v>
      </x:c>
      <x:c r="H2168" s="12" t="str">
        <x:v>{'IMI': 15.0, 'ABQRS': 0.0, 'SR': 0.0}</x:v>
      </x:c>
      <x:c r="I2168" s="12" t="str">
        <x:v>[('NSR', 100.0), ('NML', 100.0)]</x:v>
      </x:c>
      <x:c r="J2168" s="12" t="str">
        <x:v>ptbxl_database.csv；ecg_id=21306；scp_codes</x:v>
      </x:c>
      <x:c r="K2168" s="12" t="str">
        <x:v>12sl_statements.csv；ecg_id=21306；statements_ext_snomed</x:v>
      </x:c>
      <x:c r="L2168" s="12"/>
      <x:c r="M2168" s="12" t="str">
        <x:v>negative</x:v>
      </x:c>
      <x:c r="N2168" s="12"/>
      <x:c r="O2168" s="12" t="str">
        <x:v>negative</x:v>
      </x:c>
      <x:c r="P2168" s="12" t="str">
        <x:f>IF(OR(M2168="unavailable",O2168="unavailable"),"不可评价",IF(OR(M2168="equivocal",O2168="equivocal"),"疑似",IF(AND(M2168="positive",O2168="positive"),"a",IF(O2168="positive","b",IF(M2168="positive","c","d")))))</x:f>
        <x:v>d</x:v>
      </x:c>
      <x:c r="Q2168" s="12"/>
      <x:c r="R2168" s="12" t="str">
        <x:v>negative</x:v>
      </x:c>
      <x:c r="S2168" s="12"/>
      <x:c r="T2168" s="12" t="str">
        <x:v>negative</x:v>
      </x:c>
      <x:c r="U2168" s="12" t="str">
        <x:f>IF(OR(R2168="unavailable",T2168="unavailable"),"不可评价",IF(OR(R2168="equivocal",T2168="equivocal"),"疑似",IF(AND(R2168="positive",T2168="positive"),"a",IF(T2168="positive","b",IF(R2168="positive","c","d")))))</x:f>
        <x:v>d</x:v>
      </x:c>
      <x:c r="V2168" s="12"/>
      <x:c r="W2168" s="12" t="str">
        <x:v>negative</x:v>
      </x:c>
      <x:c r="X2168" s="12"/>
      <x:c r="Y2168" s="12" t="str">
        <x:v>negative</x:v>
      </x:c>
      <x:c r="Z2168" s="12" t="str">
        <x:f>IF(OR(W2168="unavailable",Y2168="unavailable"),"不可评价",IF(OR(W2168="equivocal",Y2168="equivocal"),"疑似",IF(AND(W2168="positive",Y2168="positive"),"a",IF(Y2168="positive","b",IF(W2168="positive","c","d")))))</x:f>
        <x:v>d</x:v>
      </x:c>
      <x:c r="AA2168" s="12" t="str">
        <x:f>IF(OR(M2168="unavailable",O2168="unavailable"),"不可评价",IF(AND(OR(M2168="positive",M2168="equivocal"),OR(O2168="positive",O2168="equivocal")),"a",IF(OR(O2168="positive",O2168="equivocal"),"b",IF(OR(M2168="positive",M2168="equivocal"),"c","d"))))</x:f>
        <x:v>d</x:v>
      </x:c>
      <x:c r="AB2168" s="12" t="str">
        <x:f>IF(OR(M2168="unavailable",O2168="unavailable"),"不可评价",IF(AND(M2168="positive",O2168="positive"),"a",IF(O2168="positive","b",IF(M2168="positive","c","d"))))</x:f>
        <x:v>d</x:v>
      </x:c>
      <x:c r="AC2168" s="12" t="str">
        <x:f>IF(OR(R2168="unavailable",T2168="unavailable"),"不可评价",IF(AND(OR(R2168="positive",R2168="equivocal"),OR(T2168="positive",T2168="equivocal")),"a",IF(OR(T2168="positive",T2168="equivocal"),"b",IF(OR(R2168="positive",R2168="equivocal"),"c","d"))))</x:f>
        <x:v>d</x:v>
      </x:c>
      <x:c r="AD2168" s="12" t="str">
        <x:f>IF(OR(R2168="unavailable",T2168="unavailable"),"不可评价",IF(AND(R2168="positive",T2168="positive"),"a",IF(T2168="positive","b",IF(R2168="positive","c","d"))))</x:f>
        <x:v>d</x:v>
      </x:c>
      <x:c r="AE2168" s="12" t="str">
        <x:f>IF(OR(W2168="unavailable",Y2168="unavailable"),"不可评价",IF(AND(OR(W2168="positive",W2168="equivocal"),OR(Y2168="positive",Y2168="equivocal")),"a",IF(OR(Y2168="positive",Y2168="equivocal"),"b",IF(OR(W2168="positive",W2168="equivocal"),"c","d"))))</x:f>
        <x:v>d</x:v>
      </x:c>
      <x:c r="AF2168" s="12" t="str">
        <x:f>IF(OR(W2168="unavailable",Y2168="unavailable"),"不可评价",IF(AND(W2168="positive",Y2168="positive"),"a",IF(Y2168="positive","b",IF(W2168="positive","c","d"))))</x:f>
        <x:v>d</x:v>
      </x:c>
    </x:row>
    <x:row r="2169" ht="24" customHeight="1">
      <x:c r="A2169" s="12" t="str">
        <x:v>21325</x:v>
      </x:c>
      <x:c r="B2169" s="12" t="str">
        <x:v>17347</x:v>
      </x:c>
      <x:c r="C2169" s="21" t="n">
        <x:v>36773.50482638889</x:v>
      </x:c>
      <x:c r="D2169" s="12" t="n">
        <x:v>83</x:v>
      </x:c>
      <x:c r="E2169" s="12" t="n">
        <x:v>0</x:v>
      </x:c>
      <x:c r="F2169" s="12" t="str">
        <x:v>存在</x:v>
      </x:c>
      <x:c r="G2169" s="12" t="n">
        <x:v>1</x:v>
      </x:c>
      <x:c r="H2169" s="12" t="str">
        <x:v>{'LAFB': 100.0, 'LVH': 100.0, 'STACH': 0.0}</x:v>
      </x:c>
      <x:c r="I2169" s="12" t="str">
        <x:v>[('STACH', 100.0), ('$SFUS', 100.0), ('LAD3', 100.0), ('NST', 100.0), ('AB', 100.0)]</x:v>
      </x:c>
      <x:c r="J2169" s="12" t="str">
        <x:v>ptbxl_database.csv；ecg_id=21325；scp_codes</x:v>
      </x:c>
      <x:c r="K2169" s="12" t="str">
        <x:v>12sl_statements.csv；ecg_id=21325；statements_ext_snomed</x:v>
      </x:c>
      <x:c r="L2169" s="12"/>
      <x:c r="M2169" s="12" t="str">
        <x:v>negative</x:v>
      </x:c>
      <x:c r="N2169" s="12"/>
      <x:c r="O2169" s="12" t="str">
        <x:v>negative</x:v>
      </x:c>
      <x:c r="P2169" s="12" t="str">
        <x:f>IF(OR(M2169="unavailable",O2169="unavailable"),"不可评价",IF(OR(M2169="equivocal",O2169="equivocal"),"疑似",IF(AND(M2169="positive",O2169="positive"),"a",IF(O2169="positive","b",IF(M2169="positive","c","d")))))</x:f>
        <x:v>d</x:v>
      </x:c>
      <x:c r="Q2169" s="12"/>
      <x:c r="R2169" s="12" t="str">
        <x:v>negative</x:v>
      </x:c>
      <x:c r="S2169" s="12"/>
      <x:c r="T2169" s="12" t="str">
        <x:v>negative</x:v>
      </x:c>
      <x:c r="U2169" s="12" t="str">
        <x:f>IF(OR(R2169="unavailable",T2169="unavailable"),"不可评价",IF(OR(R2169="equivocal",T2169="equivocal"),"疑似",IF(AND(R2169="positive",T2169="positive"),"a",IF(T2169="positive","b",IF(R2169="positive","c","d")))))</x:f>
        <x:v>d</x:v>
      </x:c>
      <x:c r="V2169" s="12"/>
      <x:c r="W2169" s="12" t="str">
        <x:v>negative</x:v>
      </x:c>
      <x:c r="X2169" s="12"/>
      <x:c r="Y2169" s="12" t="str">
        <x:v>negative</x:v>
      </x:c>
      <x:c r="Z2169" s="12" t="str">
        <x:f>IF(OR(W2169="unavailable",Y2169="unavailable"),"不可评价",IF(OR(W2169="equivocal",Y2169="equivocal"),"疑似",IF(AND(W2169="positive",Y2169="positive"),"a",IF(Y2169="positive","b",IF(W2169="positive","c","d")))))</x:f>
        <x:v>d</x:v>
      </x:c>
      <x:c r="AA2169" s="12" t="str">
        <x:f>IF(OR(M2169="unavailable",O2169="unavailable"),"不可评价",IF(AND(OR(M2169="positive",M2169="equivocal"),OR(O2169="positive",O2169="equivocal")),"a",IF(OR(O2169="positive",O2169="equivocal"),"b",IF(OR(M2169="positive",M2169="equivocal"),"c","d"))))</x:f>
        <x:v>d</x:v>
      </x:c>
      <x:c r="AB2169" s="12" t="str">
        <x:f>IF(OR(M2169="unavailable",O2169="unavailable"),"不可评价",IF(AND(M2169="positive",O2169="positive"),"a",IF(O2169="positive","b",IF(M2169="positive","c","d"))))</x:f>
        <x:v>d</x:v>
      </x:c>
      <x:c r="AC2169" s="12" t="str">
        <x:f>IF(OR(R2169="unavailable",T2169="unavailable"),"不可评价",IF(AND(OR(R2169="positive",R2169="equivocal"),OR(T2169="positive",T2169="equivocal")),"a",IF(OR(T2169="positive",T2169="equivocal"),"b",IF(OR(R2169="positive",R2169="equivocal"),"c","d"))))</x:f>
        <x:v>d</x:v>
      </x:c>
      <x:c r="AD2169" s="12" t="str">
        <x:f>IF(OR(R2169="unavailable",T2169="unavailable"),"不可评价",IF(AND(R2169="positive",T2169="positive"),"a",IF(T2169="positive","b",IF(R2169="positive","c","d"))))</x:f>
        <x:v>d</x:v>
      </x:c>
      <x:c r="AE2169" s="12" t="str">
        <x:f>IF(OR(W2169="unavailable",Y2169="unavailable"),"不可评价",IF(AND(OR(W2169="positive",W2169="equivocal"),OR(Y2169="positive",Y2169="equivocal")),"a",IF(OR(Y2169="positive",Y2169="equivocal"),"b",IF(OR(W2169="positive",W2169="equivocal"),"c","d"))))</x:f>
        <x:v>d</x:v>
      </x:c>
      <x:c r="AF2169" s="12" t="str">
        <x:f>IF(OR(W2169="unavailable",Y2169="unavailable"),"不可评价",IF(AND(W2169="positive",Y2169="positive"),"a",IF(Y2169="positive","b",IF(W2169="positive","c","d"))))</x:f>
        <x:v>d</x:v>
      </x:c>
    </x:row>
    <x:row r="2170" ht="39" customHeight="1">
      <x:c r="A2170" s="12" t="str">
        <x:v>21363</x:v>
      </x:c>
      <x:c r="B2170" s="12" t="str">
        <x:v>13640</x:v>
      </x:c>
      <x:c r="C2170" s="21" t="n">
        <x:v>36785.588541666664</x:v>
      </x:c>
      <x:c r="D2170" s="12" t="n">
        <x:v>80</x:v>
      </x:c>
      <x:c r="E2170" s="12" t="n">
        <x:v>0</x:v>
      </x:c>
      <x:c r="F2170" s="12" t="str">
        <x:v>存在</x:v>
      </x:c>
      <x:c r="G2170" s="12" t="n">
        <x:v>1</x:v>
      </x:c>
      <x:c r="H2170" s="12" t="str">
        <x:v>{'IMI': 50.0, 'ASMI': 50.0, 'PVC': 100.0, 'ABQRS': 0.0, 'AFIB': 0.0}</x:v>
      </x:c>
      <x:c r="I2170" s="12" t="str">
        <x:v>[('AFIB', 100.0), ('ABER', 100.0), ('SMI;AU', 100.0), ('IMI;AU', 100.0), ('LSBINJ', 100.0), ('AB', 100.0)]</x:v>
      </x:c>
      <x:c r="J2170" s="12" t="str">
        <x:v>ptbxl_database.csv；ecg_id=21363；scp_codes</x:v>
      </x:c>
      <x:c r="K2170" s="12" t="str">
        <x:v>12sl_statements.csv；ecg_id=21363；statements_ext_snomed</x:v>
      </x:c>
      <x:c r="L2170" s="12" t="n">
        <x:v>0</x:v>
      </x:c>
      <x:c r="M2170" s="12" t="str">
        <x:v>positive</x:v>
      </x:c>
      <x:c r="N2170" s="12" t="n">
        <x:v>100</x:v>
      </x:c>
      <x:c r="O2170" s="12" t="str">
        <x:v>positive</x:v>
      </x:c>
      <x:c r="P2170" s="12" t="str">
        <x:f>IF(OR(M2170="unavailable",O2170="unavailable"),"不可评价",IF(OR(M2170="equivocal",O2170="equivocal"),"疑似",IF(AND(M2170="positive",O2170="positive"),"a",IF(O2170="positive","b",IF(M2170="positive","c","d")))))</x:f>
        <x:v>a</x:v>
      </x:c>
      <x:c r="Q2170" s="12"/>
      <x:c r="R2170" s="12" t="str">
        <x:v>negative</x:v>
      </x:c>
      <x:c r="S2170" s="12"/>
      <x:c r="T2170" s="12" t="str">
        <x:v>negative</x:v>
      </x:c>
      <x:c r="U2170" s="12" t="str">
        <x:f>IF(OR(R2170="unavailable",T2170="unavailable"),"不可评价",IF(OR(R2170="equivocal",T2170="equivocal"),"疑似",IF(AND(R2170="positive",T2170="positive"),"a",IF(T2170="positive","b",IF(R2170="positive","c","d")))))</x:f>
        <x:v>d</x:v>
      </x:c>
      <x:c r="V2170" s="12"/>
      <x:c r="W2170" s="12" t="str">
        <x:v>negative</x:v>
      </x:c>
      <x:c r="X2170" s="12"/>
      <x:c r="Y2170" s="12" t="str">
        <x:v>negative</x:v>
      </x:c>
      <x:c r="Z2170" s="12" t="str">
        <x:f>IF(OR(W2170="unavailable",Y2170="unavailable"),"不可评价",IF(OR(W2170="equivocal",Y2170="equivocal"),"疑似",IF(AND(W2170="positive",Y2170="positive"),"a",IF(Y2170="positive","b",IF(W2170="positive","c","d")))))</x:f>
        <x:v>d</x:v>
      </x:c>
      <x:c r="AA2170" s="12" t="str">
        <x:f>IF(OR(M2170="unavailable",O2170="unavailable"),"不可评价",IF(AND(OR(M2170="positive",M2170="equivocal"),OR(O2170="positive",O2170="equivocal")),"a",IF(OR(O2170="positive",O2170="equivocal"),"b",IF(OR(M2170="positive",M2170="equivocal"),"c","d"))))</x:f>
        <x:v>a</x:v>
      </x:c>
      <x:c r="AB2170" s="12" t="str">
        <x:f>IF(OR(M2170="unavailable",O2170="unavailable"),"不可评价",IF(AND(M2170="positive",O2170="positive"),"a",IF(O2170="positive","b",IF(M2170="positive","c","d"))))</x:f>
        <x:v>a</x:v>
      </x:c>
      <x:c r="AC2170" s="12" t="str">
        <x:f>IF(OR(R2170="unavailable",T2170="unavailable"),"不可评价",IF(AND(OR(R2170="positive",R2170="equivocal"),OR(T2170="positive",T2170="equivocal")),"a",IF(OR(T2170="positive",T2170="equivocal"),"b",IF(OR(R2170="positive",R2170="equivocal"),"c","d"))))</x:f>
        <x:v>d</x:v>
      </x:c>
      <x:c r="AD2170" s="12" t="str">
        <x:f>IF(OR(R2170="unavailable",T2170="unavailable"),"不可评价",IF(AND(R2170="positive",T2170="positive"),"a",IF(T2170="positive","b",IF(R2170="positive","c","d"))))</x:f>
        <x:v>d</x:v>
      </x:c>
      <x:c r="AE2170" s="12" t="str">
        <x:f>IF(OR(W2170="unavailable",Y2170="unavailable"),"不可评价",IF(AND(OR(W2170="positive",W2170="equivocal"),OR(Y2170="positive",Y2170="equivocal")),"a",IF(OR(Y2170="positive",Y2170="equivocal"),"b",IF(OR(W2170="positive",W2170="equivocal"),"c","d"))))</x:f>
        <x:v>d</x:v>
      </x:c>
      <x:c r="AF2170" s="12" t="str">
        <x:f>IF(OR(W2170="unavailable",Y2170="unavailable"),"不可评价",IF(AND(W2170="positive",Y2170="positive"),"a",IF(Y2170="positive","b",IF(W2170="positive","c","d"))))</x:f>
        <x:v>d</x:v>
      </x:c>
    </x:row>
    <x:row r="2171" ht="24" customHeight="1">
      <x:c r="A2171" s="12" t="str">
        <x:v>21385</x:v>
      </x:c>
      <x:c r="B2171" s="12" t="str">
        <x:v>11287</x:v>
      </x:c>
      <x:c r="C2171" s="21" t="n">
        <x:v>36792.61607638889</x:v>
      </x:c>
      <x:c r="D2171" s="12" t="n">
        <x:v>69</x:v>
      </x:c>
      <x:c r="E2171" s="12" t="n">
        <x:v>1</x:v>
      </x:c>
      <x:c r="F2171" s="12" t="str">
        <x:v>未记录</x:v>
      </x:c>
      <x:c r="G2171" s="12" t="n">
        <x:v>1</x:v>
      </x:c>
      <x:c r="H2171" s="12" t="str">
        <x:v>{'NORM': 100.0, 'ABQRS': 0.0, 'SR': 0.0}</x:v>
      </x:c>
      <x:c r="I2171" s="12" t="str">
        <x:v>[('SRTH', 100.0), ('SPR', 100.0), ('ABR', 100.0)]</x:v>
      </x:c>
      <x:c r="J2171" s="12" t="str">
        <x:v>ptbxl_database.csv；ecg_id=21385；scp_codes</x:v>
      </x:c>
      <x:c r="K2171" s="12" t="str">
        <x:v>12sl_statements.csv；ecg_id=21385；statements_ext_snomed</x:v>
      </x:c>
      <x:c r="L2171" s="12"/>
      <x:c r="M2171" s="12" t="str">
        <x:v>negative</x:v>
      </x:c>
      <x:c r="N2171" s="12"/>
      <x:c r="O2171" s="12" t="str">
        <x:v>negative</x:v>
      </x:c>
      <x:c r="P2171" s="12" t="str">
        <x:f>IF(OR(M2171="unavailable",O2171="unavailable"),"不可评价",IF(OR(M2171="equivocal",O2171="equivocal"),"疑似",IF(AND(M2171="positive",O2171="positive"),"a",IF(O2171="positive","b",IF(M2171="positive","c","d")))))</x:f>
        <x:v>d</x:v>
      </x:c>
      <x:c r="Q2171" s="12"/>
      <x:c r="R2171" s="12" t="str">
        <x:v>negative</x:v>
      </x:c>
      <x:c r="S2171" s="12"/>
      <x:c r="T2171" s="12" t="str">
        <x:v>negative</x:v>
      </x:c>
      <x:c r="U2171" s="12" t="str">
        <x:f>IF(OR(R2171="unavailable",T2171="unavailable"),"不可评价",IF(OR(R2171="equivocal",T2171="equivocal"),"疑似",IF(AND(R2171="positive",T2171="positive"),"a",IF(T2171="positive","b",IF(R2171="positive","c","d")))))</x:f>
        <x:v>d</x:v>
      </x:c>
      <x:c r="V2171" s="12"/>
      <x:c r="W2171" s="12" t="str">
        <x:v>negative</x:v>
      </x:c>
      <x:c r="X2171" s="12"/>
      <x:c r="Y2171" s="12" t="str">
        <x:v>negative</x:v>
      </x:c>
      <x:c r="Z2171" s="12" t="str">
        <x:f>IF(OR(W2171="unavailable",Y2171="unavailable"),"不可评价",IF(OR(W2171="equivocal",Y2171="equivocal"),"疑似",IF(AND(W2171="positive",Y2171="positive"),"a",IF(Y2171="positive","b",IF(W2171="positive","c","d")))))</x:f>
        <x:v>d</x:v>
      </x:c>
      <x:c r="AA2171" s="12" t="str">
        <x:f>IF(OR(M2171="unavailable",O2171="unavailable"),"不可评价",IF(AND(OR(M2171="positive",M2171="equivocal"),OR(O2171="positive",O2171="equivocal")),"a",IF(OR(O2171="positive",O2171="equivocal"),"b",IF(OR(M2171="positive",M2171="equivocal"),"c","d"))))</x:f>
        <x:v>d</x:v>
      </x:c>
      <x:c r="AB2171" s="12" t="str">
        <x:f>IF(OR(M2171="unavailable",O2171="unavailable"),"不可评价",IF(AND(M2171="positive",O2171="positive"),"a",IF(O2171="positive","b",IF(M2171="positive","c","d"))))</x:f>
        <x:v>d</x:v>
      </x:c>
      <x:c r="AC2171" s="12" t="str">
        <x:f>IF(OR(R2171="unavailable",T2171="unavailable"),"不可评价",IF(AND(OR(R2171="positive",R2171="equivocal"),OR(T2171="positive",T2171="equivocal")),"a",IF(OR(T2171="positive",T2171="equivocal"),"b",IF(OR(R2171="positive",R2171="equivocal"),"c","d"))))</x:f>
        <x:v>d</x:v>
      </x:c>
      <x:c r="AD2171" s="12" t="str">
        <x:f>IF(OR(R2171="unavailable",T2171="unavailable"),"不可评价",IF(AND(R2171="positive",T2171="positive"),"a",IF(T2171="positive","b",IF(R2171="positive","c","d"))))</x:f>
        <x:v>d</x:v>
      </x:c>
      <x:c r="AE2171" s="12" t="str">
        <x:f>IF(OR(W2171="unavailable",Y2171="unavailable"),"不可评价",IF(AND(OR(W2171="positive",W2171="equivocal"),OR(Y2171="positive",Y2171="equivocal")),"a",IF(OR(Y2171="positive",Y2171="equivocal"),"b",IF(OR(W2171="positive",W2171="equivocal"),"c","d"))))</x:f>
        <x:v>d</x:v>
      </x:c>
      <x:c r="AF2171" s="12" t="str">
        <x:f>IF(OR(W2171="unavailable",Y2171="unavailable"),"不可评价",IF(AND(W2171="positive",Y2171="positive"),"a",IF(Y2171="positive","b",IF(W2171="positive","c","d"))))</x:f>
        <x:v>d</x:v>
      </x:c>
    </x:row>
    <x:row r="2172" ht="24" customHeight="1">
      <x:c r="A2172" s="12" t="str">
        <x:v>21391</x:v>
      </x:c>
      <x:c r="B2172" s="12" t="str">
        <x:v>8700</x:v>
      </x:c>
      <x:c r="C2172" s="21" t="n">
        <x:v>36794.41181712963</x:v>
      </x:c>
      <x:c r="D2172" s="12" t="n">
        <x:v>47</x:v>
      </x:c>
      <x:c r="E2172" s="12" t="n">
        <x:v>0</x:v>
      </x:c>
      <x:c r="F2172" s="12" t="str">
        <x:v>未记录</x:v>
      </x:c>
      <x:c r="G2172" s="12" t="n">
        <x:v>1</x:v>
      </x:c>
      <x:c r="H2172" s="12" t="str">
        <x:v>{'NORM': 100.0, 'ABQRS': 0.0, 'SR': 0.0}</x:v>
      </x:c>
      <x:c r="I2172" s="12" t="str">
        <x:v>[('NSR', 100.0), ('NML', 100.0)]</x:v>
      </x:c>
      <x:c r="J2172" s="12" t="str">
        <x:v>ptbxl_database.csv；ecg_id=21391；scp_codes</x:v>
      </x:c>
      <x:c r="K2172" s="12" t="str">
        <x:v>12sl_statements.csv；ecg_id=21391；statements_ext_snomed</x:v>
      </x:c>
      <x:c r="L2172" s="12"/>
      <x:c r="M2172" s="12" t="str">
        <x:v>negative</x:v>
      </x:c>
      <x:c r="N2172" s="12"/>
      <x:c r="O2172" s="12" t="str">
        <x:v>negative</x:v>
      </x:c>
      <x:c r="P2172" s="12" t="str">
        <x:f>IF(OR(M2172="unavailable",O2172="unavailable"),"不可评价",IF(OR(M2172="equivocal",O2172="equivocal"),"疑似",IF(AND(M2172="positive",O2172="positive"),"a",IF(O2172="positive","b",IF(M2172="positive","c","d")))))</x:f>
        <x:v>d</x:v>
      </x:c>
      <x:c r="Q2172" s="12"/>
      <x:c r="R2172" s="12" t="str">
        <x:v>negative</x:v>
      </x:c>
      <x:c r="S2172" s="12"/>
      <x:c r="T2172" s="12" t="str">
        <x:v>negative</x:v>
      </x:c>
      <x:c r="U2172" s="12" t="str">
        <x:f>IF(OR(R2172="unavailable",T2172="unavailable"),"不可评价",IF(OR(R2172="equivocal",T2172="equivocal"),"疑似",IF(AND(R2172="positive",T2172="positive"),"a",IF(T2172="positive","b",IF(R2172="positive","c","d")))))</x:f>
        <x:v>d</x:v>
      </x:c>
      <x:c r="V2172" s="12"/>
      <x:c r="W2172" s="12" t="str">
        <x:v>negative</x:v>
      </x:c>
      <x:c r="X2172" s="12"/>
      <x:c r="Y2172" s="12" t="str">
        <x:v>negative</x:v>
      </x:c>
      <x:c r="Z2172" s="12" t="str">
        <x:f>IF(OR(W2172="unavailable",Y2172="unavailable"),"不可评价",IF(OR(W2172="equivocal",Y2172="equivocal"),"疑似",IF(AND(W2172="positive",Y2172="positive"),"a",IF(Y2172="positive","b",IF(W2172="positive","c","d")))))</x:f>
        <x:v>d</x:v>
      </x:c>
      <x:c r="AA2172" s="12" t="str">
        <x:f>IF(OR(M2172="unavailable",O2172="unavailable"),"不可评价",IF(AND(OR(M2172="positive",M2172="equivocal"),OR(O2172="positive",O2172="equivocal")),"a",IF(OR(O2172="positive",O2172="equivocal"),"b",IF(OR(M2172="positive",M2172="equivocal"),"c","d"))))</x:f>
        <x:v>d</x:v>
      </x:c>
      <x:c r="AB2172" s="12" t="str">
        <x:f>IF(OR(M2172="unavailable",O2172="unavailable"),"不可评价",IF(AND(M2172="positive",O2172="positive"),"a",IF(O2172="positive","b",IF(M2172="positive","c","d"))))</x:f>
        <x:v>d</x:v>
      </x:c>
      <x:c r="AC2172" s="12" t="str">
        <x:f>IF(OR(R2172="unavailable",T2172="unavailable"),"不可评价",IF(AND(OR(R2172="positive",R2172="equivocal"),OR(T2172="positive",T2172="equivocal")),"a",IF(OR(T2172="positive",T2172="equivocal"),"b",IF(OR(R2172="positive",R2172="equivocal"),"c","d"))))</x:f>
        <x:v>d</x:v>
      </x:c>
      <x:c r="AD2172" s="12" t="str">
        <x:f>IF(OR(R2172="unavailable",T2172="unavailable"),"不可评价",IF(AND(R2172="positive",T2172="positive"),"a",IF(T2172="positive","b",IF(R2172="positive","c","d"))))</x:f>
        <x:v>d</x:v>
      </x:c>
      <x:c r="AE2172" s="12" t="str">
        <x:f>IF(OR(W2172="unavailable",Y2172="unavailable"),"不可评价",IF(AND(OR(W2172="positive",W2172="equivocal"),OR(Y2172="positive",Y2172="equivocal")),"a",IF(OR(Y2172="positive",Y2172="equivocal"),"b",IF(OR(W2172="positive",W2172="equivocal"),"c","d"))))</x:f>
        <x:v>d</x:v>
      </x:c>
      <x:c r="AF2172" s="12" t="str">
        <x:f>IF(OR(W2172="unavailable",Y2172="unavailable"),"不可评价",IF(AND(W2172="positive",Y2172="positive"),"a",IF(Y2172="positive","b",IF(W2172="positive","c","d"))))</x:f>
        <x:v>d</x:v>
      </x:c>
    </x:row>
    <x:row r="2173" ht="39" customHeight="1">
      <x:c r="A2173" s="12" t="str">
        <x:v>21431</x:v>
      </x:c>
      <x:c r="B2173" s="12" t="str">
        <x:v>19115</x:v>
      </x:c>
      <x:c r="C2173" s="21" t="n">
        <x:v>36807.35916666667</x:v>
      </x:c>
      <x:c r="D2173" s="12" t="n">
        <x:v>70</x:v>
      </x:c>
      <x:c r="E2173" s="12" t="n">
        <x:v>1</x:v>
      </x:c>
      <x:c r="F2173" s="12" t="str">
        <x:v>未记录</x:v>
      </x:c>
      <x:c r="G2173" s="12" t="n">
        <x:v>1</x:v>
      </x:c>
      <x:c r="H2173" s="12" t="str">
        <x:v>{'IRBBB': 100.0, 'LVH': 100.0, 'ISC_': 100.0, 'VCLVH': 0.0, 'AFIB': 0.0}</x:v>
      </x:c>
      <x:c r="I2173" s="12" t="str">
        <x:v>[('AFIB', 100.0), ('NST', 100.0), ('QRST', 100.0), ('AB', 100.0)]</x:v>
      </x:c>
      <x:c r="J2173" s="12" t="str">
        <x:v>ptbxl_database.csv；ecg_id=21431；scp_codes</x:v>
      </x:c>
      <x:c r="K2173" s="12" t="str">
        <x:v>12sl_statements.csv；ecg_id=21431；statements_ext_snomed</x:v>
      </x:c>
      <x:c r="L2173" s="12" t="n">
        <x:v>0</x:v>
      </x:c>
      <x:c r="M2173" s="12" t="str">
        <x:v>positive</x:v>
      </x:c>
      <x:c r="N2173" s="12" t="n">
        <x:v>100</x:v>
      </x:c>
      <x:c r="O2173" s="12" t="str">
        <x:v>positive</x:v>
      </x:c>
      <x:c r="P2173" s="12" t="str">
        <x:f>IF(OR(M2173="unavailable",O2173="unavailable"),"不可评价",IF(OR(M2173="equivocal",O2173="equivocal"),"疑似",IF(AND(M2173="positive",O2173="positive"),"a",IF(O2173="positive","b",IF(M2173="positive","c","d")))))</x:f>
        <x:v>a</x:v>
      </x:c>
      <x:c r="Q2173" s="12"/>
      <x:c r="R2173" s="12" t="str">
        <x:v>negative</x:v>
      </x:c>
      <x:c r="S2173" s="12"/>
      <x:c r="T2173" s="12" t="str">
        <x:v>negative</x:v>
      </x:c>
      <x:c r="U2173" s="12" t="str">
        <x:f>IF(OR(R2173="unavailable",T2173="unavailable"),"不可评价",IF(OR(R2173="equivocal",T2173="equivocal"),"疑似",IF(AND(R2173="positive",T2173="positive"),"a",IF(T2173="positive","b",IF(R2173="positive","c","d")))))</x:f>
        <x:v>d</x:v>
      </x:c>
      <x:c r="V2173" s="12"/>
      <x:c r="W2173" s="12" t="str">
        <x:v>negative</x:v>
      </x:c>
      <x:c r="X2173" s="12"/>
      <x:c r="Y2173" s="12" t="str">
        <x:v>negative</x:v>
      </x:c>
      <x:c r="Z2173" s="12" t="str">
        <x:f>IF(OR(W2173="unavailable",Y2173="unavailable"),"不可评价",IF(OR(W2173="equivocal",Y2173="equivocal"),"疑似",IF(AND(W2173="positive",Y2173="positive"),"a",IF(Y2173="positive","b",IF(W2173="positive","c","d")))))</x:f>
        <x:v>d</x:v>
      </x:c>
      <x:c r="AA2173" s="12" t="str">
        <x:f>IF(OR(M2173="unavailable",O2173="unavailable"),"不可评价",IF(AND(OR(M2173="positive",M2173="equivocal"),OR(O2173="positive",O2173="equivocal")),"a",IF(OR(O2173="positive",O2173="equivocal"),"b",IF(OR(M2173="positive",M2173="equivocal"),"c","d"))))</x:f>
        <x:v>a</x:v>
      </x:c>
      <x:c r="AB2173" s="12" t="str">
        <x:f>IF(OR(M2173="unavailable",O2173="unavailable"),"不可评价",IF(AND(M2173="positive",O2173="positive"),"a",IF(O2173="positive","b",IF(M2173="positive","c","d"))))</x:f>
        <x:v>a</x:v>
      </x:c>
      <x:c r="AC2173" s="12" t="str">
        <x:f>IF(OR(R2173="unavailable",T2173="unavailable"),"不可评价",IF(AND(OR(R2173="positive",R2173="equivocal"),OR(T2173="positive",T2173="equivocal")),"a",IF(OR(T2173="positive",T2173="equivocal"),"b",IF(OR(R2173="positive",R2173="equivocal"),"c","d"))))</x:f>
        <x:v>d</x:v>
      </x:c>
      <x:c r="AD2173" s="12" t="str">
        <x:f>IF(OR(R2173="unavailable",T2173="unavailable"),"不可评价",IF(AND(R2173="positive",T2173="positive"),"a",IF(T2173="positive","b",IF(R2173="positive","c","d"))))</x:f>
        <x:v>d</x:v>
      </x:c>
      <x:c r="AE2173" s="12" t="str">
        <x:f>IF(OR(W2173="unavailable",Y2173="unavailable"),"不可评价",IF(AND(OR(W2173="positive",W2173="equivocal"),OR(Y2173="positive",Y2173="equivocal")),"a",IF(OR(Y2173="positive",Y2173="equivocal"),"b",IF(OR(W2173="positive",W2173="equivocal"),"c","d"))))</x:f>
        <x:v>d</x:v>
      </x:c>
      <x:c r="AF2173" s="12" t="str">
        <x:f>IF(OR(W2173="unavailable",Y2173="unavailable"),"不可评价",IF(AND(W2173="positive",Y2173="positive"),"a",IF(Y2173="positive","b",IF(W2173="positive","c","d"))))</x:f>
        <x:v>d</x:v>
      </x:c>
    </x:row>
    <x:row r="2174" ht="24" customHeight="1">
      <x:c r="A2174" s="12" t="str">
        <x:v>21444</x:v>
      </x:c>
      <x:c r="B2174" s="12" t="str">
        <x:v>20461</x:v>
      </x:c>
      <x:c r="C2174" s="21" t="n">
        <x:v>36813.38859953704</x:v>
      </x:c>
      <x:c r="D2174" s="12" t="n">
        <x:v>35</x:v>
      </x:c>
      <x:c r="E2174" s="12" t="n">
        <x:v>1</x:v>
      </x:c>
      <x:c r="F2174" s="12" t="str">
        <x:v>未记录</x:v>
      </x:c>
      <x:c r="G2174" s="12" t="n">
        <x:v>1</x:v>
      </x:c>
      <x:c r="H2174" s="12" t="str">
        <x:v>{'NORM': 100.0, 'SR': 0.0}</x:v>
      </x:c>
      <x:c r="I2174" s="12" t="str">
        <x:v>[('NSR', 100.0), ('NML', 100.0)]</x:v>
      </x:c>
      <x:c r="J2174" s="12" t="str">
        <x:v>ptbxl_database.csv；ecg_id=21444；scp_codes</x:v>
      </x:c>
      <x:c r="K2174" s="12" t="str">
        <x:v>12sl_statements.csv；ecg_id=21444；statements_ext_snomed</x:v>
      </x:c>
      <x:c r="L2174" s="12"/>
      <x:c r="M2174" s="12" t="str">
        <x:v>negative</x:v>
      </x:c>
      <x:c r="N2174" s="12"/>
      <x:c r="O2174" s="12" t="str">
        <x:v>negative</x:v>
      </x:c>
      <x:c r="P2174" s="12" t="str">
        <x:f>IF(OR(M2174="unavailable",O2174="unavailable"),"不可评价",IF(OR(M2174="equivocal",O2174="equivocal"),"疑似",IF(AND(M2174="positive",O2174="positive"),"a",IF(O2174="positive","b",IF(M2174="positive","c","d")))))</x:f>
        <x:v>d</x:v>
      </x:c>
      <x:c r="Q2174" s="12"/>
      <x:c r="R2174" s="12" t="str">
        <x:v>negative</x:v>
      </x:c>
      <x:c r="S2174" s="12"/>
      <x:c r="T2174" s="12" t="str">
        <x:v>negative</x:v>
      </x:c>
      <x:c r="U2174" s="12" t="str">
        <x:f>IF(OR(R2174="unavailable",T2174="unavailable"),"不可评价",IF(OR(R2174="equivocal",T2174="equivocal"),"疑似",IF(AND(R2174="positive",T2174="positive"),"a",IF(T2174="positive","b",IF(R2174="positive","c","d")))))</x:f>
        <x:v>d</x:v>
      </x:c>
      <x:c r="V2174" s="12"/>
      <x:c r="W2174" s="12" t="str">
        <x:v>negative</x:v>
      </x:c>
      <x:c r="X2174" s="12"/>
      <x:c r="Y2174" s="12" t="str">
        <x:v>negative</x:v>
      </x:c>
      <x:c r="Z2174" s="12" t="str">
        <x:f>IF(OR(W2174="unavailable",Y2174="unavailable"),"不可评价",IF(OR(W2174="equivocal",Y2174="equivocal"),"疑似",IF(AND(W2174="positive",Y2174="positive"),"a",IF(Y2174="positive","b",IF(W2174="positive","c","d")))))</x:f>
        <x:v>d</x:v>
      </x:c>
      <x:c r="AA2174" s="12" t="str">
        <x:f>IF(OR(M2174="unavailable",O2174="unavailable"),"不可评价",IF(AND(OR(M2174="positive",M2174="equivocal"),OR(O2174="positive",O2174="equivocal")),"a",IF(OR(O2174="positive",O2174="equivocal"),"b",IF(OR(M2174="positive",M2174="equivocal"),"c","d"))))</x:f>
        <x:v>d</x:v>
      </x:c>
      <x:c r="AB2174" s="12" t="str">
        <x:f>IF(OR(M2174="unavailable",O2174="unavailable"),"不可评价",IF(AND(M2174="positive",O2174="positive"),"a",IF(O2174="positive","b",IF(M2174="positive","c","d"))))</x:f>
        <x:v>d</x:v>
      </x:c>
      <x:c r="AC2174" s="12" t="str">
        <x:f>IF(OR(R2174="unavailable",T2174="unavailable"),"不可评价",IF(AND(OR(R2174="positive",R2174="equivocal"),OR(T2174="positive",T2174="equivocal")),"a",IF(OR(T2174="positive",T2174="equivocal"),"b",IF(OR(R2174="positive",R2174="equivocal"),"c","d"))))</x:f>
        <x:v>d</x:v>
      </x:c>
      <x:c r="AD2174" s="12" t="str">
        <x:f>IF(OR(R2174="unavailable",T2174="unavailable"),"不可评价",IF(AND(R2174="positive",T2174="positive"),"a",IF(T2174="positive","b",IF(R2174="positive","c","d"))))</x:f>
        <x:v>d</x:v>
      </x:c>
      <x:c r="AE2174" s="12" t="str">
        <x:f>IF(OR(W2174="unavailable",Y2174="unavailable"),"不可评价",IF(AND(OR(W2174="positive",W2174="equivocal"),OR(Y2174="positive",Y2174="equivocal")),"a",IF(OR(Y2174="positive",Y2174="equivocal"),"b",IF(OR(W2174="positive",W2174="equivocal"),"c","d"))))</x:f>
        <x:v>d</x:v>
      </x:c>
      <x:c r="AF2174" s="12" t="str">
        <x:f>IF(OR(W2174="unavailable",Y2174="unavailable"),"不可评价",IF(AND(W2174="positive",Y2174="positive"),"a",IF(Y2174="positive","b",IF(W2174="positive","c","d"))))</x:f>
        <x:v>d</x:v>
      </x:c>
    </x:row>
    <x:row r="2175" ht="24" customHeight="1">
      <x:c r="A2175" s="12" t="str">
        <x:v>21555</x:v>
      </x:c>
      <x:c r="B2175" s="12" t="str">
        <x:v>15028</x:v>
      </x:c>
      <x:c r="C2175" s="21" t="n">
        <x:v>36843.73284722222</x:v>
      </x:c>
      <x:c r="D2175" s="12" t="n">
        <x:v>81</x:v>
      </x:c>
      <x:c r="E2175" s="12" t="n">
        <x:v>1</x:v>
      </x:c>
      <x:c r="F2175" s="12" t="str">
        <x:v>未记录</x:v>
      </x:c>
      <x:c r="G2175" s="12" t="n">
        <x:v>1</x:v>
      </x:c>
      <x:c r="H2175" s="12" t="str">
        <x:v>{'LVH': 15.0, 'ISC_': 100.0, 'VCLVH': 0.0, 'SR': 0.0}</x:v>
      </x:c>
      <x:c r="I2175" s="12" t="str">
        <x:v>[('SBRAD', 100.0), ('FAV', 100.0), ('ST&amp;', 100.0), ('LT', 100.0), ('AB', 100.0)]</x:v>
      </x:c>
      <x:c r="J2175" s="12" t="str">
        <x:v>ptbxl_database.csv；ecg_id=21555；scp_codes</x:v>
      </x:c>
      <x:c r="K2175" s="12" t="str">
        <x:v>12sl_statements.csv；ecg_id=21555；statements_ext_snomed</x:v>
      </x:c>
      <x:c r="L2175" s="12"/>
      <x:c r="M2175" s="12" t="str">
        <x:v>negative</x:v>
      </x:c>
      <x:c r="N2175" s="12"/>
      <x:c r="O2175" s="12" t="str">
        <x:v>negative</x:v>
      </x:c>
      <x:c r="P2175" s="12" t="str">
        <x:f>IF(OR(M2175="unavailable",O2175="unavailable"),"不可评价",IF(OR(M2175="equivocal",O2175="equivocal"),"疑似",IF(AND(M2175="positive",O2175="positive"),"a",IF(O2175="positive","b",IF(M2175="positive","c","d")))))</x:f>
        <x:v>d</x:v>
      </x:c>
      <x:c r="Q2175" s="12"/>
      <x:c r="R2175" s="12" t="str">
        <x:v>negative</x:v>
      </x:c>
      <x:c r="S2175" s="12"/>
      <x:c r="T2175" s="12" t="str">
        <x:v>negative</x:v>
      </x:c>
      <x:c r="U2175" s="12" t="str">
        <x:f>IF(OR(R2175="unavailable",T2175="unavailable"),"不可评价",IF(OR(R2175="equivocal",T2175="equivocal"),"疑似",IF(AND(R2175="positive",T2175="positive"),"a",IF(T2175="positive","b",IF(R2175="positive","c","d")))))</x:f>
        <x:v>d</x:v>
      </x:c>
      <x:c r="V2175" s="12"/>
      <x:c r="W2175" s="12" t="str">
        <x:v>negative</x:v>
      </x:c>
      <x:c r="X2175" s="12"/>
      <x:c r="Y2175" s="12" t="str">
        <x:v>negative</x:v>
      </x:c>
      <x:c r="Z2175" s="12" t="str">
        <x:f>IF(OR(W2175="unavailable",Y2175="unavailable"),"不可评价",IF(OR(W2175="equivocal",Y2175="equivocal"),"疑似",IF(AND(W2175="positive",Y2175="positive"),"a",IF(Y2175="positive","b",IF(W2175="positive","c","d")))))</x:f>
        <x:v>d</x:v>
      </x:c>
      <x:c r="AA2175" s="12" t="str">
        <x:f>IF(OR(M2175="unavailable",O2175="unavailable"),"不可评价",IF(AND(OR(M2175="positive",M2175="equivocal"),OR(O2175="positive",O2175="equivocal")),"a",IF(OR(O2175="positive",O2175="equivocal"),"b",IF(OR(M2175="positive",M2175="equivocal"),"c","d"))))</x:f>
        <x:v>d</x:v>
      </x:c>
      <x:c r="AB2175" s="12" t="str">
        <x:f>IF(OR(M2175="unavailable",O2175="unavailable"),"不可评价",IF(AND(M2175="positive",O2175="positive"),"a",IF(O2175="positive","b",IF(M2175="positive","c","d"))))</x:f>
        <x:v>d</x:v>
      </x:c>
      <x:c r="AC2175" s="12" t="str">
        <x:f>IF(OR(R2175="unavailable",T2175="unavailable"),"不可评价",IF(AND(OR(R2175="positive",R2175="equivocal"),OR(T2175="positive",T2175="equivocal")),"a",IF(OR(T2175="positive",T2175="equivocal"),"b",IF(OR(R2175="positive",R2175="equivocal"),"c","d"))))</x:f>
        <x:v>d</x:v>
      </x:c>
      <x:c r="AD2175" s="12" t="str">
        <x:f>IF(OR(R2175="unavailable",T2175="unavailable"),"不可评价",IF(AND(R2175="positive",T2175="positive"),"a",IF(T2175="positive","b",IF(R2175="positive","c","d"))))</x:f>
        <x:v>d</x:v>
      </x:c>
      <x:c r="AE2175" s="12" t="str">
        <x:f>IF(OR(W2175="unavailable",Y2175="unavailable"),"不可评价",IF(AND(OR(W2175="positive",W2175="equivocal"),OR(Y2175="positive",Y2175="equivocal")),"a",IF(OR(Y2175="positive",Y2175="equivocal"),"b",IF(OR(W2175="positive",W2175="equivocal"),"c","d"))))</x:f>
        <x:v>d</x:v>
      </x:c>
      <x:c r="AF2175" s="12" t="str">
        <x:f>IF(OR(W2175="unavailable",Y2175="unavailable"),"不可评价",IF(AND(W2175="positive",Y2175="positive"),"a",IF(Y2175="positive","b",IF(W2175="positive","c","d"))))</x:f>
        <x:v>d</x:v>
      </x:c>
    </x:row>
    <x:row r="2176" ht="24" customHeight="1">
      <x:c r="A2176" s="12" t="str">
        <x:v>21584</x:v>
      </x:c>
      <x:c r="B2176" s="12" t="str">
        <x:v>14848</x:v>
      </x:c>
      <x:c r="C2176" s="21" t="n">
        <x:v>36855.58887731482</x:v>
      </x:c>
      <x:c r="D2176" s="12" t="n">
        <x:v>82</x:v>
      </x:c>
      <x:c r="E2176" s="12" t="n">
        <x:v>1</x:v>
      </x:c>
      <x:c r="F2176" s="12" t="str">
        <x:v>存在</x:v>
      </x:c>
      <x:c r="G2176" s="12" t="n">
        <x:v>1</x:v>
      </x:c>
      <x:c r="H2176" s="12" t="str">
        <x:v>{'ASMI': 15.0, 'SVARR': 0.0}</x:v>
      </x:c>
      <x:c r="I2176" s="12" t="str">
        <x:v>[('NSR', 100.0), ('NML', 100.0)]</x:v>
      </x:c>
      <x:c r="J2176" s="12" t="str">
        <x:v>ptbxl_database.csv；ecg_id=21584；scp_codes</x:v>
      </x:c>
      <x:c r="K2176" s="12" t="str">
        <x:v>12sl_statements.csv；ecg_id=21584；statements_ext_snomed</x:v>
      </x:c>
      <x:c r="L2176" s="12"/>
      <x:c r="M2176" s="12" t="str">
        <x:v>negative</x:v>
      </x:c>
      <x:c r="N2176" s="12"/>
      <x:c r="O2176" s="12" t="str">
        <x:v>negative</x:v>
      </x:c>
      <x:c r="P2176" s="12" t="str">
        <x:f>IF(OR(M2176="unavailable",O2176="unavailable"),"不可评价",IF(OR(M2176="equivocal",O2176="equivocal"),"疑似",IF(AND(M2176="positive",O2176="positive"),"a",IF(O2176="positive","b",IF(M2176="positive","c","d")))))</x:f>
        <x:v>d</x:v>
      </x:c>
      <x:c r="Q2176" s="12"/>
      <x:c r="R2176" s="12" t="str">
        <x:v>negative</x:v>
      </x:c>
      <x:c r="S2176" s="12"/>
      <x:c r="T2176" s="12" t="str">
        <x:v>negative</x:v>
      </x:c>
      <x:c r="U2176" s="12" t="str">
        <x:f>IF(OR(R2176="unavailable",T2176="unavailable"),"不可评价",IF(OR(R2176="equivocal",T2176="equivocal"),"疑似",IF(AND(R2176="positive",T2176="positive"),"a",IF(T2176="positive","b",IF(R2176="positive","c","d")))))</x:f>
        <x:v>d</x:v>
      </x:c>
      <x:c r="V2176" s="12"/>
      <x:c r="W2176" s="12" t="str">
        <x:v>negative</x:v>
      </x:c>
      <x:c r="X2176" s="12"/>
      <x:c r="Y2176" s="12" t="str">
        <x:v>negative</x:v>
      </x:c>
      <x:c r="Z2176" s="12" t="str">
        <x:f>IF(OR(W2176="unavailable",Y2176="unavailable"),"不可评价",IF(OR(W2176="equivocal",Y2176="equivocal"),"疑似",IF(AND(W2176="positive",Y2176="positive"),"a",IF(Y2176="positive","b",IF(W2176="positive","c","d")))))</x:f>
        <x:v>d</x:v>
      </x:c>
      <x:c r="AA2176" s="12" t="str">
        <x:f>IF(OR(M2176="unavailable",O2176="unavailable"),"不可评价",IF(AND(OR(M2176="positive",M2176="equivocal"),OR(O2176="positive",O2176="equivocal")),"a",IF(OR(O2176="positive",O2176="equivocal"),"b",IF(OR(M2176="positive",M2176="equivocal"),"c","d"))))</x:f>
        <x:v>d</x:v>
      </x:c>
      <x:c r="AB2176" s="12" t="str">
        <x:f>IF(OR(M2176="unavailable",O2176="unavailable"),"不可评价",IF(AND(M2176="positive",O2176="positive"),"a",IF(O2176="positive","b",IF(M2176="positive","c","d"))))</x:f>
        <x:v>d</x:v>
      </x:c>
      <x:c r="AC2176" s="12" t="str">
        <x:f>IF(OR(R2176="unavailable",T2176="unavailable"),"不可评价",IF(AND(OR(R2176="positive",R2176="equivocal"),OR(T2176="positive",T2176="equivocal")),"a",IF(OR(T2176="positive",T2176="equivocal"),"b",IF(OR(R2176="positive",R2176="equivocal"),"c","d"))))</x:f>
        <x:v>d</x:v>
      </x:c>
      <x:c r="AD2176" s="12" t="str">
        <x:f>IF(OR(R2176="unavailable",T2176="unavailable"),"不可评价",IF(AND(R2176="positive",T2176="positive"),"a",IF(T2176="positive","b",IF(R2176="positive","c","d"))))</x:f>
        <x:v>d</x:v>
      </x:c>
      <x:c r="AE2176" s="12" t="str">
        <x:f>IF(OR(W2176="unavailable",Y2176="unavailable"),"不可评价",IF(AND(OR(W2176="positive",W2176="equivocal"),OR(Y2176="positive",Y2176="equivocal")),"a",IF(OR(Y2176="positive",Y2176="equivocal"),"b",IF(OR(W2176="positive",W2176="equivocal"),"c","d"))))</x:f>
        <x:v>d</x:v>
      </x:c>
      <x:c r="AF2176" s="12" t="str">
        <x:f>IF(OR(W2176="unavailable",Y2176="unavailable"),"不可评价",IF(AND(W2176="positive",Y2176="positive"),"a",IF(Y2176="positive","b",IF(W2176="positive","c","d"))))</x:f>
        <x:v>d</x:v>
      </x:c>
    </x:row>
    <x:row r="2177" ht="24" customHeight="1">
      <x:c r="A2177" s="12" t="str">
        <x:v>21622</x:v>
      </x:c>
      <x:c r="B2177" s="12" t="str">
        <x:v>10552</x:v>
      </x:c>
      <x:c r="C2177" s="21" t="n">
        <x:v>36865.693773148145</x:v>
      </x:c>
      <x:c r="D2177" s="12" t="n">
        <x:v>41</x:v>
      </x:c>
      <x:c r="E2177" s="12" t="n">
        <x:v>1</x:v>
      </x:c>
      <x:c r="F2177" s="12" t="str">
        <x:v>未记录</x:v>
      </x:c>
      <x:c r="G2177" s="12" t="n">
        <x:v>1</x:v>
      </x:c>
      <x:c r="H2177" s="12" t="str">
        <x:v>{'NORM': 50.0, 'ABQRS': 0.0, 'SR': 0.0}</x:v>
      </x:c>
      <x:c r="I2177" s="12" t="str">
        <x:v>[('SBRAD', 100.0), ('ABR', 100.0)]</x:v>
      </x:c>
      <x:c r="J2177" s="12" t="str">
        <x:v>ptbxl_database.csv；ecg_id=21622；scp_codes</x:v>
      </x:c>
      <x:c r="K2177" s="12" t="str">
        <x:v>12sl_statements.csv；ecg_id=21622；statements_ext_snomed</x:v>
      </x:c>
      <x:c r="L2177" s="12"/>
      <x:c r="M2177" s="12" t="str">
        <x:v>negative</x:v>
      </x:c>
      <x:c r="N2177" s="12"/>
      <x:c r="O2177" s="12" t="str">
        <x:v>negative</x:v>
      </x:c>
      <x:c r="P2177" s="12" t="str">
        <x:f>IF(OR(M2177="unavailable",O2177="unavailable"),"不可评价",IF(OR(M2177="equivocal",O2177="equivocal"),"疑似",IF(AND(M2177="positive",O2177="positive"),"a",IF(O2177="positive","b",IF(M2177="positive","c","d")))))</x:f>
        <x:v>d</x:v>
      </x:c>
      <x:c r="Q2177" s="12"/>
      <x:c r="R2177" s="12" t="str">
        <x:v>negative</x:v>
      </x:c>
      <x:c r="S2177" s="12"/>
      <x:c r="T2177" s="12" t="str">
        <x:v>negative</x:v>
      </x:c>
      <x:c r="U2177" s="12" t="str">
        <x:f>IF(OR(R2177="unavailable",T2177="unavailable"),"不可评价",IF(OR(R2177="equivocal",T2177="equivocal"),"疑似",IF(AND(R2177="positive",T2177="positive"),"a",IF(T2177="positive","b",IF(R2177="positive","c","d")))))</x:f>
        <x:v>d</x:v>
      </x:c>
      <x:c r="V2177" s="12"/>
      <x:c r="W2177" s="12" t="str">
        <x:v>negative</x:v>
      </x:c>
      <x:c r="X2177" s="12"/>
      <x:c r="Y2177" s="12" t="str">
        <x:v>negative</x:v>
      </x:c>
      <x:c r="Z2177" s="12" t="str">
        <x:f>IF(OR(W2177="unavailable",Y2177="unavailable"),"不可评价",IF(OR(W2177="equivocal",Y2177="equivocal"),"疑似",IF(AND(W2177="positive",Y2177="positive"),"a",IF(Y2177="positive","b",IF(W2177="positive","c","d")))))</x:f>
        <x:v>d</x:v>
      </x:c>
      <x:c r="AA2177" s="12" t="str">
        <x:f>IF(OR(M2177="unavailable",O2177="unavailable"),"不可评价",IF(AND(OR(M2177="positive",M2177="equivocal"),OR(O2177="positive",O2177="equivocal")),"a",IF(OR(O2177="positive",O2177="equivocal"),"b",IF(OR(M2177="positive",M2177="equivocal"),"c","d"))))</x:f>
        <x:v>d</x:v>
      </x:c>
      <x:c r="AB2177" s="12" t="str">
        <x:f>IF(OR(M2177="unavailable",O2177="unavailable"),"不可评价",IF(AND(M2177="positive",O2177="positive"),"a",IF(O2177="positive","b",IF(M2177="positive","c","d"))))</x:f>
        <x:v>d</x:v>
      </x:c>
      <x:c r="AC2177" s="12" t="str">
        <x:f>IF(OR(R2177="unavailable",T2177="unavailable"),"不可评价",IF(AND(OR(R2177="positive",R2177="equivocal"),OR(T2177="positive",T2177="equivocal")),"a",IF(OR(T2177="positive",T2177="equivocal"),"b",IF(OR(R2177="positive",R2177="equivocal"),"c","d"))))</x:f>
        <x:v>d</x:v>
      </x:c>
      <x:c r="AD2177" s="12" t="str">
        <x:f>IF(OR(R2177="unavailable",T2177="unavailable"),"不可评价",IF(AND(R2177="positive",T2177="positive"),"a",IF(T2177="positive","b",IF(R2177="positive","c","d"))))</x:f>
        <x:v>d</x:v>
      </x:c>
      <x:c r="AE2177" s="12" t="str">
        <x:f>IF(OR(W2177="unavailable",Y2177="unavailable"),"不可评价",IF(AND(OR(W2177="positive",W2177="equivocal"),OR(Y2177="positive",Y2177="equivocal")),"a",IF(OR(Y2177="positive",Y2177="equivocal"),"b",IF(OR(W2177="positive",W2177="equivocal"),"c","d"))))</x:f>
        <x:v>d</x:v>
      </x:c>
      <x:c r="AF2177" s="12" t="str">
        <x:f>IF(OR(W2177="unavailable",Y2177="unavailable"),"不可评价",IF(AND(W2177="positive",Y2177="positive"),"a",IF(Y2177="positive","b",IF(W2177="positive","c","d"))))</x:f>
        <x:v>d</x:v>
      </x:c>
    </x:row>
    <x:row r="2178" ht="24" customHeight="1">
      <x:c r="A2178" s="12" t="str">
        <x:v>21673</x:v>
      </x:c>
      <x:c r="B2178" s="12" t="str">
        <x:v>12998</x:v>
      </x:c>
      <x:c r="C2178" s="21" t="n">
        <x:v>36880.9303125</x:v>
      </x:c>
      <x:c r="D2178" s="12" t="n">
        <x:v>66</x:v>
      </x:c>
      <x:c r="E2178" s="12" t="n">
        <x:v>1</x:v>
      </x:c>
      <x:c r="F2178" s="12" t="str">
        <x:v>未记录</x:v>
      </x:c>
      <x:c r="G2178" s="12" t="n">
        <x:v>1</x:v>
      </x:c>
      <x:c r="H2178" s="12" t="str">
        <x:v>{'ISCAL': 50.0, 'LVH': 15.0, 'VCLVH': 0.0, 'AFIB': 0.0}</x:v>
      </x:c>
      <x:c r="I2178" s="12" t="str">
        <x:v>[('AFIB', 100.0), ('RVR', 100.0), ('LSBINJ', 100.0), ('AB', 100.0)]</x:v>
      </x:c>
      <x:c r="J2178" s="12" t="str">
        <x:v>ptbxl_database.csv；ecg_id=21673；scp_codes</x:v>
      </x:c>
      <x:c r="K2178" s="12" t="str">
        <x:v>12sl_statements.csv；ecg_id=21673；statements_ext_snomed</x:v>
      </x:c>
      <x:c r="L2178" s="12" t="n">
        <x:v>0</x:v>
      </x:c>
      <x:c r="M2178" s="12" t="str">
        <x:v>positive</x:v>
      </x:c>
      <x:c r="N2178" s="12" t="n">
        <x:v>100</x:v>
      </x:c>
      <x:c r="O2178" s="12" t="str">
        <x:v>positive</x:v>
      </x:c>
      <x:c r="P2178" s="12" t="str">
        <x:f>IF(OR(M2178="unavailable",O2178="unavailable"),"不可评价",IF(OR(M2178="equivocal",O2178="equivocal"),"疑似",IF(AND(M2178="positive",O2178="positive"),"a",IF(O2178="positive","b",IF(M2178="positive","c","d")))))</x:f>
        <x:v>a</x:v>
      </x:c>
      <x:c r="Q2178" s="12"/>
      <x:c r="R2178" s="12" t="str">
        <x:v>negative</x:v>
      </x:c>
      <x:c r="S2178" s="12"/>
      <x:c r="T2178" s="12" t="str">
        <x:v>negative</x:v>
      </x:c>
      <x:c r="U2178" s="12" t="str">
        <x:f>IF(OR(R2178="unavailable",T2178="unavailable"),"不可评价",IF(OR(R2178="equivocal",T2178="equivocal"),"疑似",IF(AND(R2178="positive",T2178="positive"),"a",IF(T2178="positive","b",IF(R2178="positive","c","d")))))</x:f>
        <x:v>d</x:v>
      </x:c>
      <x:c r="V2178" s="12"/>
      <x:c r="W2178" s="12" t="str">
        <x:v>negative</x:v>
      </x:c>
      <x:c r="X2178" s="12"/>
      <x:c r="Y2178" s="12" t="str">
        <x:v>negative</x:v>
      </x:c>
      <x:c r="Z2178" s="12" t="str">
        <x:f>IF(OR(W2178="unavailable",Y2178="unavailable"),"不可评价",IF(OR(W2178="equivocal",Y2178="equivocal"),"疑似",IF(AND(W2178="positive",Y2178="positive"),"a",IF(Y2178="positive","b",IF(W2178="positive","c","d")))))</x:f>
        <x:v>d</x:v>
      </x:c>
      <x:c r="AA2178" s="12" t="str">
        <x:f>IF(OR(M2178="unavailable",O2178="unavailable"),"不可评价",IF(AND(OR(M2178="positive",M2178="equivocal"),OR(O2178="positive",O2178="equivocal")),"a",IF(OR(O2178="positive",O2178="equivocal"),"b",IF(OR(M2178="positive",M2178="equivocal"),"c","d"))))</x:f>
        <x:v>a</x:v>
      </x:c>
      <x:c r="AB2178" s="12" t="str">
        <x:f>IF(OR(M2178="unavailable",O2178="unavailable"),"不可评价",IF(AND(M2178="positive",O2178="positive"),"a",IF(O2178="positive","b",IF(M2178="positive","c","d"))))</x:f>
        <x:v>a</x:v>
      </x:c>
      <x:c r="AC2178" s="12" t="str">
        <x:f>IF(OR(R2178="unavailable",T2178="unavailable"),"不可评价",IF(AND(OR(R2178="positive",R2178="equivocal"),OR(T2178="positive",T2178="equivocal")),"a",IF(OR(T2178="positive",T2178="equivocal"),"b",IF(OR(R2178="positive",R2178="equivocal"),"c","d"))))</x:f>
        <x:v>d</x:v>
      </x:c>
      <x:c r="AD2178" s="12" t="str">
        <x:f>IF(OR(R2178="unavailable",T2178="unavailable"),"不可评价",IF(AND(R2178="positive",T2178="positive"),"a",IF(T2178="positive","b",IF(R2178="positive","c","d"))))</x:f>
        <x:v>d</x:v>
      </x:c>
      <x:c r="AE2178" s="12" t="str">
        <x:f>IF(OR(W2178="unavailable",Y2178="unavailable"),"不可评价",IF(AND(OR(W2178="positive",W2178="equivocal"),OR(Y2178="positive",Y2178="equivocal")),"a",IF(OR(Y2178="positive",Y2178="equivocal"),"b",IF(OR(W2178="positive",W2178="equivocal"),"c","d"))))</x:f>
        <x:v>d</x:v>
      </x:c>
      <x:c r="AF2178" s="12" t="str">
        <x:f>IF(OR(W2178="unavailable",Y2178="unavailable"),"不可评价",IF(AND(W2178="positive",Y2178="positive"),"a",IF(Y2178="positive","b",IF(W2178="positive","c","d"))))</x:f>
        <x:v>d</x:v>
      </x:c>
    </x:row>
    <x:row r="2179" ht="24" customHeight="1">
      <x:c r="A2179" s="12" t="str">
        <x:v>21675</x:v>
      </x:c>
      <x:c r="B2179" s="12" t="str">
        <x:v>12998</x:v>
      </x:c>
      <x:c r="C2179" s="21" t="n">
        <x:v>36885.47336805556</x:v>
      </x:c>
      <x:c r="D2179" s="12" t="n">
        <x:v>66</x:v>
      </x:c>
      <x:c r="E2179" s="12" t="n">
        <x:v>1</x:v>
      </x:c>
      <x:c r="F2179" s="12" t="str">
        <x:v>未记录</x:v>
      </x:c>
      <x:c r="G2179" s="12" t="n">
        <x:v>0</x:v>
      </x:c>
      <x:c r="H2179" s="12" t="str">
        <x:v>{'LVH': 100.0, 'ISC_': 100.0, 'IVCD': 100.0, 'AFIB': 0.0}</x:v>
      </x:c>
      <x:c r="I2179" s="12" t="str">
        <x:v>[('AFIB', 100.0), ('RVR', 100.0), ('ST&amp;', 100.0), ('LT', 100.0), ('AB', 100.0)]</x:v>
      </x:c>
      <x:c r="J2179" s="12" t="str">
        <x:v>ptbxl_database.csv；ecg_id=21675；scp_codes</x:v>
      </x:c>
      <x:c r="K2179" s="12" t="str">
        <x:v>12sl_statements.csv；ecg_id=21675；statements_ext_snomed</x:v>
      </x:c>
      <x:c r="L2179" s="12" t="n">
        <x:v>0</x:v>
      </x:c>
      <x:c r="M2179" s="12" t="str">
        <x:v>positive</x:v>
      </x:c>
      <x:c r="N2179" s="12" t="n">
        <x:v>100</x:v>
      </x:c>
      <x:c r="O2179" s="12" t="str">
        <x:v>positive</x:v>
      </x:c>
      <x:c r="P2179" s="12" t="str">
        <x:f>IF(OR(M2179="unavailable",O2179="unavailable"),"不可评价",IF(OR(M2179="equivocal",O2179="equivocal"),"疑似",IF(AND(M2179="positive",O2179="positive"),"a",IF(O2179="positive","b",IF(M2179="positive","c","d")))))</x:f>
        <x:v>a</x:v>
      </x:c>
      <x:c r="Q2179" s="12"/>
      <x:c r="R2179" s="12" t="str">
        <x:v>negative</x:v>
      </x:c>
      <x:c r="S2179" s="12"/>
      <x:c r="T2179" s="12" t="str">
        <x:v>negative</x:v>
      </x:c>
      <x:c r="U2179" s="12" t="str">
        <x:f>IF(OR(R2179="unavailable",T2179="unavailable"),"不可评价",IF(OR(R2179="equivocal",T2179="equivocal"),"疑似",IF(AND(R2179="positive",T2179="positive"),"a",IF(T2179="positive","b",IF(R2179="positive","c","d")))))</x:f>
        <x:v>d</x:v>
      </x:c>
      <x:c r="V2179" s="12"/>
      <x:c r="W2179" s="12" t="str">
        <x:v>negative</x:v>
      </x:c>
      <x:c r="X2179" s="12"/>
      <x:c r="Y2179" s="12" t="str">
        <x:v>negative</x:v>
      </x:c>
      <x:c r="Z2179" s="12" t="str">
        <x:f>IF(OR(W2179="unavailable",Y2179="unavailable"),"不可评价",IF(OR(W2179="equivocal",Y2179="equivocal"),"疑似",IF(AND(W2179="positive",Y2179="positive"),"a",IF(Y2179="positive","b",IF(W2179="positive","c","d")))))</x:f>
        <x:v>d</x:v>
      </x:c>
      <x:c r="AA2179" s="12" t="str">
        <x:f>IF(OR(M2179="unavailable",O2179="unavailable"),"不可评价",IF(AND(OR(M2179="positive",M2179="equivocal"),OR(O2179="positive",O2179="equivocal")),"a",IF(OR(O2179="positive",O2179="equivocal"),"b",IF(OR(M2179="positive",M2179="equivocal"),"c","d"))))</x:f>
        <x:v>a</x:v>
      </x:c>
      <x:c r="AB2179" s="12" t="str">
        <x:f>IF(OR(M2179="unavailable",O2179="unavailable"),"不可评价",IF(AND(M2179="positive",O2179="positive"),"a",IF(O2179="positive","b",IF(M2179="positive","c","d"))))</x:f>
        <x:v>a</x:v>
      </x:c>
      <x:c r="AC2179" s="12" t="str">
        <x:f>IF(OR(R2179="unavailable",T2179="unavailable"),"不可评价",IF(AND(OR(R2179="positive",R2179="equivocal"),OR(T2179="positive",T2179="equivocal")),"a",IF(OR(T2179="positive",T2179="equivocal"),"b",IF(OR(R2179="positive",R2179="equivocal"),"c","d"))))</x:f>
        <x:v>d</x:v>
      </x:c>
      <x:c r="AD2179" s="12" t="str">
        <x:f>IF(OR(R2179="unavailable",T2179="unavailable"),"不可评价",IF(AND(R2179="positive",T2179="positive"),"a",IF(T2179="positive","b",IF(R2179="positive","c","d"))))</x:f>
        <x:v>d</x:v>
      </x:c>
      <x:c r="AE2179" s="12" t="str">
        <x:f>IF(OR(W2179="unavailable",Y2179="unavailable"),"不可评价",IF(AND(OR(W2179="positive",W2179="equivocal"),OR(Y2179="positive",Y2179="equivocal")),"a",IF(OR(Y2179="positive",Y2179="equivocal"),"b",IF(OR(W2179="positive",W2179="equivocal"),"c","d"))))</x:f>
        <x:v>d</x:v>
      </x:c>
      <x:c r="AF2179" s="12" t="str">
        <x:f>IF(OR(W2179="unavailable",Y2179="unavailable"),"不可评价",IF(AND(W2179="positive",Y2179="positive"),"a",IF(Y2179="positive","b",IF(W2179="positive","c","d"))))</x:f>
        <x:v>d</x:v>
      </x:c>
    </x:row>
    <x:row r="2180" ht="24" customHeight="1">
      <x:c r="A2180" s="12" t="str">
        <x:v>21764</x:v>
      </x:c>
      <x:c r="B2180" s="12" t="str">
        <x:v>12154</x:v>
      </x:c>
      <x:c r="C2180" s="21" t="n">
        <x:v>36915.596712962964</x:v>
      </x:c>
      <x:c r="D2180" s="12" t="n">
        <x:v>64</x:v>
      </x:c>
      <x:c r="E2180" s="12" t="n">
        <x:v>0</x:v>
      </x:c>
      <x:c r="F2180" s="12" t="str">
        <x:v>未记录</x:v>
      </x:c>
      <x:c r="G2180" s="12" t="n">
        <x:v>1</x:v>
      </x:c>
      <x:c r="H2180" s="12" t="str">
        <x:v>{'ASMI': 100.0, 'LAFB': 100.0, 'ABQRS': 0.0, 'SR': 0.0}</x:v>
      </x:c>
      <x:c r="I2180" s="12" t="str">
        <x:v>[('NSR', 100.0), ('AFB', 100.0), ('ASMI;AU', 100.0), ('ISBINJ', 100.0), ('AB', 100.0)]</x:v>
      </x:c>
      <x:c r="J2180" s="12" t="str">
        <x:v>ptbxl_database.csv；ecg_id=21764；scp_codes</x:v>
      </x:c>
      <x:c r="K2180" s="12" t="str">
        <x:v>12sl_statements.csv；ecg_id=21764；statements_ext_snomed</x:v>
      </x:c>
      <x:c r="L2180" s="12"/>
      <x:c r="M2180" s="12" t="str">
        <x:v>negative</x:v>
      </x:c>
      <x:c r="N2180" s="12"/>
      <x:c r="O2180" s="12" t="str">
        <x:v>negative</x:v>
      </x:c>
      <x:c r="P2180" s="12" t="str">
        <x:f>IF(OR(M2180="unavailable",O2180="unavailable"),"不可评价",IF(OR(M2180="equivocal",O2180="equivocal"),"疑似",IF(AND(M2180="positive",O2180="positive"),"a",IF(O2180="positive","b",IF(M2180="positive","c","d")))))</x:f>
        <x:v>d</x:v>
      </x:c>
      <x:c r="Q2180" s="12"/>
      <x:c r="R2180" s="12" t="str">
        <x:v>negative</x:v>
      </x:c>
      <x:c r="S2180" s="12"/>
      <x:c r="T2180" s="12" t="str">
        <x:v>negative</x:v>
      </x:c>
      <x:c r="U2180" s="12" t="str">
        <x:f>IF(OR(R2180="unavailable",T2180="unavailable"),"不可评价",IF(OR(R2180="equivocal",T2180="equivocal"),"疑似",IF(AND(R2180="positive",T2180="positive"),"a",IF(T2180="positive","b",IF(R2180="positive","c","d")))))</x:f>
        <x:v>d</x:v>
      </x:c>
      <x:c r="V2180" s="12"/>
      <x:c r="W2180" s="12" t="str">
        <x:v>negative</x:v>
      </x:c>
      <x:c r="X2180" s="12"/>
      <x:c r="Y2180" s="12" t="str">
        <x:v>negative</x:v>
      </x:c>
      <x:c r="Z2180" s="12" t="str">
        <x:f>IF(OR(W2180="unavailable",Y2180="unavailable"),"不可评价",IF(OR(W2180="equivocal",Y2180="equivocal"),"疑似",IF(AND(W2180="positive",Y2180="positive"),"a",IF(Y2180="positive","b",IF(W2180="positive","c","d")))))</x:f>
        <x:v>d</x:v>
      </x:c>
      <x:c r="AA2180" s="12" t="str">
        <x:f>IF(OR(M2180="unavailable",O2180="unavailable"),"不可评价",IF(AND(OR(M2180="positive",M2180="equivocal"),OR(O2180="positive",O2180="equivocal")),"a",IF(OR(O2180="positive",O2180="equivocal"),"b",IF(OR(M2180="positive",M2180="equivocal"),"c","d"))))</x:f>
        <x:v>d</x:v>
      </x:c>
      <x:c r="AB2180" s="12" t="str">
        <x:f>IF(OR(M2180="unavailable",O2180="unavailable"),"不可评价",IF(AND(M2180="positive",O2180="positive"),"a",IF(O2180="positive","b",IF(M2180="positive","c","d"))))</x:f>
        <x:v>d</x:v>
      </x:c>
      <x:c r="AC2180" s="12" t="str">
        <x:f>IF(OR(R2180="unavailable",T2180="unavailable"),"不可评价",IF(AND(OR(R2180="positive",R2180="equivocal"),OR(T2180="positive",T2180="equivocal")),"a",IF(OR(T2180="positive",T2180="equivocal"),"b",IF(OR(R2180="positive",R2180="equivocal"),"c","d"))))</x:f>
        <x:v>d</x:v>
      </x:c>
      <x:c r="AD2180" s="12" t="str">
        <x:f>IF(OR(R2180="unavailable",T2180="unavailable"),"不可评价",IF(AND(R2180="positive",T2180="positive"),"a",IF(T2180="positive","b",IF(R2180="positive","c","d"))))</x:f>
        <x:v>d</x:v>
      </x:c>
      <x:c r="AE2180" s="12" t="str">
        <x:f>IF(OR(W2180="unavailable",Y2180="unavailable"),"不可评价",IF(AND(OR(W2180="positive",W2180="equivocal"),OR(Y2180="positive",Y2180="equivocal")),"a",IF(OR(Y2180="positive",Y2180="equivocal"),"b",IF(OR(W2180="positive",W2180="equivocal"),"c","d"))))</x:f>
        <x:v>d</x:v>
      </x:c>
      <x:c r="AF2180" s="12" t="str">
        <x:f>IF(OR(W2180="unavailable",Y2180="unavailable"),"不可评价",IF(AND(W2180="positive",Y2180="positive"),"a",IF(Y2180="positive","b",IF(W2180="positive","c","d"))))</x:f>
        <x:v>d</x:v>
      </x:c>
    </x:row>
    <x:row r="2181" ht="24" customHeight="1">
      <x:c r="A2181" s="12" t="str">
        <x:v>21796</x:v>
      </x:c>
      <x:c r="B2181" s="12" t="str">
        <x:v>17746</x:v>
      </x:c>
      <x:c r="C2181" s="21" t="n">
        <x:v>36923.56054398148</x:v>
      </x:c>
      <x:c r="D2181" s="12" t="n">
        <x:v>85</x:v>
      </x:c>
      <x:c r="E2181" s="12" t="n">
        <x:v>0</x:v>
      </x:c>
      <x:c r="F2181" s="12" t="str">
        <x:v>未记录</x:v>
      </x:c>
      <x:c r="G2181" s="12" t="n">
        <x:v>1</x:v>
      </x:c>
      <x:c r="H2181" s="12" t="str">
        <x:v>{'IMI': 50.0, 'ASMI': 50.0, 'IRBBB': 100.0, 'ABQRS': 0.0, 'AFIB': 0.0}</x:v>
      </x:c>
      <x:c r="I2181" s="12" t="str">
        <x:v>[('AFIB', 100.0), ('LAD3', 100.0), ('IRBBB', 100.0), ('IMI;AU', 100.0), ('AB', 100.0)]</x:v>
      </x:c>
      <x:c r="J2181" s="12" t="str">
        <x:v>ptbxl_database.csv；ecg_id=21796；scp_codes</x:v>
      </x:c>
      <x:c r="K2181" s="12" t="str">
        <x:v>12sl_statements.csv；ecg_id=21796；statements_ext_snomed</x:v>
      </x:c>
      <x:c r="L2181" s="12" t="n">
        <x:v>0</x:v>
      </x:c>
      <x:c r="M2181" s="12" t="str">
        <x:v>positive</x:v>
      </x:c>
      <x:c r="N2181" s="12" t="n">
        <x:v>100</x:v>
      </x:c>
      <x:c r="O2181" s="12" t="str">
        <x:v>positive</x:v>
      </x:c>
      <x:c r="P2181" s="12" t="str">
        <x:f>IF(OR(M2181="unavailable",O2181="unavailable"),"不可评价",IF(OR(M2181="equivocal",O2181="equivocal"),"疑似",IF(AND(M2181="positive",O2181="positive"),"a",IF(O2181="positive","b",IF(M2181="positive","c","d")))))</x:f>
        <x:v>a</x:v>
      </x:c>
      <x:c r="Q2181" s="12"/>
      <x:c r="R2181" s="12" t="str">
        <x:v>negative</x:v>
      </x:c>
      <x:c r="S2181" s="12"/>
      <x:c r="T2181" s="12" t="str">
        <x:v>negative</x:v>
      </x:c>
      <x:c r="U2181" s="12" t="str">
        <x:f>IF(OR(R2181="unavailable",T2181="unavailable"),"不可评价",IF(OR(R2181="equivocal",T2181="equivocal"),"疑似",IF(AND(R2181="positive",T2181="positive"),"a",IF(T2181="positive","b",IF(R2181="positive","c","d")))))</x:f>
        <x:v>d</x:v>
      </x:c>
      <x:c r="V2181" s="12"/>
      <x:c r="W2181" s="12" t="str">
        <x:v>negative</x:v>
      </x:c>
      <x:c r="X2181" s="12"/>
      <x:c r="Y2181" s="12" t="str">
        <x:v>negative</x:v>
      </x:c>
      <x:c r="Z2181" s="12" t="str">
        <x:f>IF(OR(W2181="unavailable",Y2181="unavailable"),"不可评价",IF(OR(W2181="equivocal",Y2181="equivocal"),"疑似",IF(AND(W2181="positive",Y2181="positive"),"a",IF(Y2181="positive","b",IF(W2181="positive","c","d")))))</x:f>
        <x:v>d</x:v>
      </x:c>
      <x:c r="AA2181" s="12" t="str">
        <x:f>IF(OR(M2181="unavailable",O2181="unavailable"),"不可评价",IF(AND(OR(M2181="positive",M2181="equivocal"),OR(O2181="positive",O2181="equivocal")),"a",IF(OR(O2181="positive",O2181="equivocal"),"b",IF(OR(M2181="positive",M2181="equivocal"),"c","d"))))</x:f>
        <x:v>a</x:v>
      </x:c>
      <x:c r="AB2181" s="12" t="str">
        <x:f>IF(OR(M2181="unavailable",O2181="unavailable"),"不可评价",IF(AND(M2181="positive",O2181="positive"),"a",IF(O2181="positive","b",IF(M2181="positive","c","d"))))</x:f>
        <x:v>a</x:v>
      </x:c>
      <x:c r="AC2181" s="12" t="str">
        <x:f>IF(OR(R2181="unavailable",T2181="unavailable"),"不可评价",IF(AND(OR(R2181="positive",R2181="equivocal"),OR(T2181="positive",T2181="equivocal")),"a",IF(OR(T2181="positive",T2181="equivocal"),"b",IF(OR(R2181="positive",R2181="equivocal"),"c","d"))))</x:f>
        <x:v>d</x:v>
      </x:c>
      <x:c r="AD2181" s="12" t="str">
        <x:f>IF(OR(R2181="unavailable",T2181="unavailable"),"不可评价",IF(AND(R2181="positive",T2181="positive"),"a",IF(T2181="positive","b",IF(R2181="positive","c","d"))))</x:f>
        <x:v>d</x:v>
      </x:c>
      <x:c r="AE2181" s="12" t="str">
        <x:f>IF(OR(W2181="unavailable",Y2181="unavailable"),"不可评价",IF(AND(OR(W2181="positive",W2181="equivocal"),OR(Y2181="positive",Y2181="equivocal")),"a",IF(OR(Y2181="positive",Y2181="equivocal"),"b",IF(OR(W2181="positive",W2181="equivocal"),"c","d"))))</x:f>
        <x:v>d</x:v>
      </x:c>
      <x:c r="AF2181" s="12" t="str">
        <x:f>IF(OR(W2181="unavailable",Y2181="unavailable"),"不可评价",IF(AND(W2181="positive",Y2181="positive"),"a",IF(Y2181="positive","b",IF(W2181="positive","c","d"))))</x:f>
        <x:v>d</x:v>
      </x:c>
    </x:row>
    <x:row r="2182" ht="24" customHeight="1">
      <x:c r="A2182" s="12" t="str">
        <x:v>21809</x:v>
      </x:c>
      <x:c r="B2182" s="12" t="str">
        <x:v>12931</x:v>
      </x:c>
      <x:c r="C2182" s="21" t="n">
        <x:v>36940.525625</x:v>
      </x:c>
      <x:c r="D2182" s="12" t="n">
        <x:v>69</x:v>
      </x:c>
      <x:c r="E2182" s="12" t="n">
        <x:v>1</x:v>
      </x:c>
      <x:c r="F2182" s="12" t="str">
        <x:v>未记录</x:v>
      </x:c>
      <x:c r="G2182" s="12" t="n">
        <x:v>1</x:v>
      </x:c>
      <x:c r="H2182" s="12" t="str">
        <x:v>{'NORM': 100.0, 'ABQRS': 0.0, 'SR': 0.0}</x:v>
      </x:c>
      <x:c r="I2182" s="12" t="str">
        <x:v>[('NSR', 100.0), ('IMI;AU', 100.0), ('AB', 100.0)]</x:v>
      </x:c>
      <x:c r="J2182" s="12" t="str">
        <x:v>ptbxl_database.csv；ecg_id=21809；scp_codes</x:v>
      </x:c>
      <x:c r="K2182" s="12" t="str">
        <x:v>12sl_statements.csv；ecg_id=21809；statements_ext_snomed</x:v>
      </x:c>
      <x:c r="L2182" s="12"/>
      <x:c r="M2182" s="12" t="str">
        <x:v>negative</x:v>
      </x:c>
      <x:c r="N2182" s="12"/>
      <x:c r="O2182" s="12" t="str">
        <x:v>negative</x:v>
      </x:c>
      <x:c r="P2182" s="12" t="str">
        <x:f>IF(OR(M2182="unavailable",O2182="unavailable"),"不可评价",IF(OR(M2182="equivocal",O2182="equivocal"),"疑似",IF(AND(M2182="positive",O2182="positive"),"a",IF(O2182="positive","b",IF(M2182="positive","c","d")))))</x:f>
        <x:v>d</x:v>
      </x:c>
      <x:c r="Q2182" s="12"/>
      <x:c r="R2182" s="12" t="str">
        <x:v>negative</x:v>
      </x:c>
      <x:c r="S2182" s="12"/>
      <x:c r="T2182" s="12" t="str">
        <x:v>negative</x:v>
      </x:c>
      <x:c r="U2182" s="12" t="str">
        <x:f>IF(OR(R2182="unavailable",T2182="unavailable"),"不可评价",IF(OR(R2182="equivocal",T2182="equivocal"),"疑似",IF(AND(R2182="positive",T2182="positive"),"a",IF(T2182="positive","b",IF(R2182="positive","c","d")))))</x:f>
        <x:v>d</x:v>
      </x:c>
      <x:c r="V2182" s="12"/>
      <x:c r="W2182" s="12" t="str">
        <x:v>negative</x:v>
      </x:c>
      <x:c r="X2182" s="12"/>
      <x:c r="Y2182" s="12" t="str">
        <x:v>negative</x:v>
      </x:c>
      <x:c r="Z2182" s="12" t="str">
        <x:f>IF(OR(W2182="unavailable",Y2182="unavailable"),"不可评价",IF(OR(W2182="equivocal",Y2182="equivocal"),"疑似",IF(AND(W2182="positive",Y2182="positive"),"a",IF(Y2182="positive","b",IF(W2182="positive","c","d")))))</x:f>
        <x:v>d</x:v>
      </x:c>
      <x:c r="AA2182" s="12" t="str">
        <x:f>IF(OR(M2182="unavailable",O2182="unavailable"),"不可评价",IF(AND(OR(M2182="positive",M2182="equivocal"),OR(O2182="positive",O2182="equivocal")),"a",IF(OR(O2182="positive",O2182="equivocal"),"b",IF(OR(M2182="positive",M2182="equivocal"),"c","d"))))</x:f>
        <x:v>d</x:v>
      </x:c>
      <x:c r="AB2182" s="12" t="str">
        <x:f>IF(OR(M2182="unavailable",O2182="unavailable"),"不可评价",IF(AND(M2182="positive",O2182="positive"),"a",IF(O2182="positive","b",IF(M2182="positive","c","d"))))</x:f>
        <x:v>d</x:v>
      </x:c>
      <x:c r="AC2182" s="12" t="str">
        <x:f>IF(OR(R2182="unavailable",T2182="unavailable"),"不可评价",IF(AND(OR(R2182="positive",R2182="equivocal"),OR(T2182="positive",T2182="equivocal")),"a",IF(OR(T2182="positive",T2182="equivocal"),"b",IF(OR(R2182="positive",R2182="equivocal"),"c","d"))))</x:f>
        <x:v>d</x:v>
      </x:c>
      <x:c r="AD2182" s="12" t="str">
        <x:f>IF(OR(R2182="unavailable",T2182="unavailable"),"不可评价",IF(AND(R2182="positive",T2182="positive"),"a",IF(T2182="positive","b",IF(R2182="positive","c","d"))))</x:f>
        <x:v>d</x:v>
      </x:c>
      <x:c r="AE2182" s="12" t="str">
        <x:f>IF(OR(W2182="unavailable",Y2182="unavailable"),"不可评价",IF(AND(OR(W2182="positive",W2182="equivocal"),OR(Y2182="positive",Y2182="equivocal")),"a",IF(OR(Y2182="positive",Y2182="equivocal"),"b",IF(OR(W2182="positive",W2182="equivocal"),"c","d"))))</x:f>
        <x:v>d</x:v>
      </x:c>
      <x:c r="AF2182" s="12" t="str">
        <x:f>IF(OR(W2182="unavailable",Y2182="unavailable"),"不可评价",IF(AND(W2182="positive",Y2182="positive"),"a",IF(Y2182="positive","b",IF(W2182="positive","c","d"))))</x:f>
        <x:v>d</x:v>
      </x:c>
    </x:row>
    <x:row r="2183" ht="39" customHeight="1">
      <x:c r="A2183" s="12" t="str">
        <x:v>21812</x:v>
      </x:c>
      <x:c r="B2183" s="12" t="str">
        <x:v>20789</x:v>
      </x:c>
      <x:c r="C2183" s="21" t="n">
        <x:v>36943.56545138889</x:v>
      </x:c>
      <x:c r="D2183" s="12" t="n">
        <x:v>67</x:v>
      </x:c>
      <x:c r="E2183" s="12" t="n">
        <x:v>0</x:v>
      </x:c>
      <x:c r="F2183" s="12" t="str">
        <x:v>未记录</x:v>
      </x:c>
      <x:c r="G2183" s="12" t="n">
        <x:v>1</x:v>
      </x:c>
      <x:c r="H2183" s="12" t="str">
        <x:v>{'CRBBB': 100.0, 'LAFB': 100.0, '1AVB': 100.0, 'ABQRS': 0.0, 'SVARR': 0.0}</x:v>
      </x:c>
      <x:c r="I2183" s="12" t="str">
        <x:v>[('SRTH', 100.0), ('FAV', 100.0), ('RBBB', 100.0), ('AFB', 100.0), ('BIFB', 100.0), ('AB', 100.0)]</x:v>
      </x:c>
      <x:c r="J2183" s="12" t="str">
        <x:v>ptbxl_database.csv；ecg_id=21812；scp_codes</x:v>
      </x:c>
      <x:c r="K2183" s="12" t="str">
        <x:v>12sl_statements.csv；ecg_id=21812；statements_ext_snomed</x:v>
      </x:c>
      <x:c r="L2183" s="12"/>
      <x:c r="M2183" s="12" t="str">
        <x:v>negative</x:v>
      </x:c>
      <x:c r="N2183" s="12"/>
      <x:c r="O2183" s="12" t="str">
        <x:v>negative</x:v>
      </x:c>
      <x:c r="P2183" s="12" t="str">
        <x:f>IF(OR(M2183="unavailable",O2183="unavailable"),"不可评价",IF(OR(M2183="equivocal",O2183="equivocal"),"疑似",IF(AND(M2183="positive",O2183="positive"),"a",IF(O2183="positive","b",IF(M2183="positive","c","d")))))</x:f>
        <x:v>d</x:v>
      </x:c>
      <x:c r="Q2183" s="12"/>
      <x:c r="R2183" s="12" t="str">
        <x:v>negative</x:v>
      </x:c>
      <x:c r="S2183" s="12"/>
      <x:c r="T2183" s="12" t="str">
        <x:v>negative</x:v>
      </x:c>
      <x:c r="U2183" s="12" t="str">
        <x:f>IF(OR(R2183="unavailable",T2183="unavailable"),"不可评价",IF(OR(R2183="equivocal",T2183="equivocal"),"疑似",IF(AND(R2183="positive",T2183="positive"),"a",IF(T2183="positive","b",IF(R2183="positive","c","d")))))</x:f>
        <x:v>d</x:v>
      </x:c>
      <x:c r="V2183" s="12" t="n">
        <x:v>100</x:v>
      </x:c>
      <x:c r="W2183" s="12" t="str">
        <x:v>positive</x:v>
      </x:c>
      <x:c r="X2183" s="12" t="n">
        <x:v>100</x:v>
      </x:c>
      <x:c r="Y2183" s="12" t="str">
        <x:v>positive</x:v>
      </x:c>
      <x:c r="Z2183" s="12" t="str">
        <x:f>IF(OR(W2183="unavailable",Y2183="unavailable"),"不可评价",IF(OR(W2183="equivocal",Y2183="equivocal"),"疑似",IF(AND(W2183="positive",Y2183="positive"),"a",IF(Y2183="positive","b",IF(W2183="positive","c","d")))))</x:f>
        <x:v>a</x:v>
      </x:c>
      <x:c r="AA2183" s="12" t="str">
        <x:f>IF(OR(M2183="unavailable",O2183="unavailable"),"不可评价",IF(AND(OR(M2183="positive",M2183="equivocal"),OR(O2183="positive",O2183="equivocal")),"a",IF(OR(O2183="positive",O2183="equivocal"),"b",IF(OR(M2183="positive",M2183="equivocal"),"c","d"))))</x:f>
        <x:v>d</x:v>
      </x:c>
      <x:c r="AB2183" s="12" t="str">
        <x:f>IF(OR(M2183="unavailable",O2183="unavailable"),"不可评价",IF(AND(M2183="positive",O2183="positive"),"a",IF(O2183="positive","b",IF(M2183="positive","c","d"))))</x:f>
        <x:v>d</x:v>
      </x:c>
      <x:c r="AC2183" s="12" t="str">
        <x:f>IF(OR(R2183="unavailable",T2183="unavailable"),"不可评价",IF(AND(OR(R2183="positive",R2183="equivocal"),OR(T2183="positive",T2183="equivocal")),"a",IF(OR(T2183="positive",T2183="equivocal"),"b",IF(OR(R2183="positive",R2183="equivocal"),"c","d"))))</x:f>
        <x:v>d</x:v>
      </x:c>
      <x:c r="AD2183" s="12" t="str">
        <x:f>IF(OR(R2183="unavailable",T2183="unavailable"),"不可评价",IF(AND(R2183="positive",T2183="positive"),"a",IF(T2183="positive","b",IF(R2183="positive","c","d"))))</x:f>
        <x:v>d</x:v>
      </x:c>
      <x:c r="AE2183" s="12" t="str">
        <x:f>IF(OR(W2183="unavailable",Y2183="unavailable"),"不可评价",IF(AND(OR(W2183="positive",W2183="equivocal"),OR(Y2183="positive",Y2183="equivocal")),"a",IF(OR(Y2183="positive",Y2183="equivocal"),"b",IF(OR(W2183="positive",W2183="equivocal"),"c","d"))))</x:f>
        <x:v>a</x:v>
      </x:c>
      <x:c r="AF2183" s="12" t="str">
        <x:f>IF(OR(W2183="unavailable",Y2183="unavailable"),"不可评价",IF(AND(W2183="positive",Y2183="positive"),"a",IF(Y2183="positive","b",IF(W2183="positive","c","d"))))</x:f>
        <x:v>a</x:v>
      </x:c>
    </x:row>
    <x:row r="2184" ht="24" customHeight="1">
      <x:c r="A2184" s="12" t="str">
        <x:v>21818</x:v>
      </x:c>
      <x:c r="B2184" s="12" t="str">
        <x:v>19204</x:v>
      </x:c>
      <x:c r="C2184" s="21" t="n">
        <x:v>36953.50630787037</x:v>
      </x:c>
      <x:c r="D2184" s="12" t="n">
        <x:v>84</x:v>
      </x:c>
      <x:c r="E2184" s="12" t="n">
        <x:v>1</x:v>
      </x:c>
      <x:c r="F2184" s="12" t="str">
        <x:v>未记录</x:v>
      </x:c>
      <x:c r="G2184" s="12" t="n">
        <x:v>1</x:v>
      </x:c>
      <x:c r="H2184" s="12" t="str">
        <x:v>{'NORM': 100.0, 'ABQRS': 0.0, 'VCLVH': 0.0, 'SR': 0.0}</x:v>
      </x:c>
      <x:c r="I2184" s="12" t="str">
        <x:v>[('NSR', 100.0), ('NML', 100.0)]</x:v>
      </x:c>
      <x:c r="J2184" s="12" t="str">
        <x:v>ptbxl_database.csv；ecg_id=21818；scp_codes</x:v>
      </x:c>
      <x:c r="K2184" s="12" t="str">
        <x:v>12sl_statements.csv；ecg_id=21818；statements_ext_snomed</x:v>
      </x:c>
      <x:c r="L2184" s="12"/>
      <x:c r="M2184" s="12" t="str">
        <x:v>negative</x:v>
      </x:c>
      <x:c r="N2184" s="12"/>
      <x:c r="O2184" s="12" t="str">
        <x:v>negative</x:v>
      </x:c>
      <x:c r="P2184" s="12" t="str">
        <x:f>IF(OR(M2184="unavailable",O2184="unavailable"),"不可评价",IF(OR(M2184="equivocal",O2184="equivocal"),"疑似",IF(AND(M2184="positive",O2184="positive"),"a",IF(O2184="positive","b",IF(M2184="positive","c","d")))))</x:f>
        <x:v>d</x:v>
      </x:c>
      <x:c r="Q2184" s="12"/>
      <x:c r="R2184" s="12" t="str">
        <x:v>negative</x:v>
      </x:c>
      <x:c r="S2184" s="12"/>
      <x:c r="T2184" s="12" t="str">
        <x:v>negative</x:v>
      </x:c>
      <x:c r="U2184" s="12" t="str">
        <x:f>IF(OR(R2184="unavailable",T2184="unavailable"),"不可评价",IF(OR(R2184="equivocal",T2184="equivocal"),"疑似",IF(AND(R2184="positive",T2184="positive"),"a",IF(T2184="positive","b",IF(R2184="positive","c","d")))))</x:f>
        <x:v>d</x:v>
      </x:c>
      <x:c r="V2184" s="12"/>
      <x:c r="W2184" s="12" t="str">
        <x:v>negative</x:v>
      </x:c>
      <x:c r="X2184" s="12"/>
      <x:c r="Y2184" s="12" t="str">
        <x:v>negative</x:v>
      </x:c>
      <x:c r="Z2184" s="12" t="str">
        <x:f>IF(OR(W2184="unavailable",Y2184="unavailable"),"不可评价",IF(OR(W2184="equivocal",Y2184="equivocal"),"疑似",IF(AND(W2184="positive",Y2184="positive"),"a",IF(Y2184="positive","b",IF(W2184="positive","c","d")))))</x:f>
        <x:v>d</x:v>
      </x:c>
      <x:c r="AA2184" s="12" t="str">
        <x:f>IF(OR(M2184="unavailable",O2184="unavailable"),"不可评价",IF(AND(OR(M2184="positive",M2184="equivocal"),OR(O2184="positive",O2184="equivocal")),"a",IF(OR(O2184="positive",O2184="equivocal"),"b",IF(OR(M2184="positive",M2184="equivocal"),"c","d"))))</x:f>
        <x:v>d</x:v>
      </x:c>
      <x:c r="AB2184" s="12" t="str">
        <x:f>IF(OR(M2184="unavailable",O2184="unavailable"),"不可评价",IF(AND(M2184="positive",O2184="positive"),"a",IF(O2184="positive","b",IF(M2184="positive","c","d"))))</x:f>
        <x:v>d</x:v>
      </x:c>
      <x:c r="AC2184" s="12" t="str">
        <x:f>IF(OR(R2184="unavailable",T2184="unavailable"),"不可评价",IF(AND(OR(R2184="positive",R2184="equivocal"),OR(T2184="positive",T2184="equivocal")),"a",IF(OR(T2184="positive",T2184="equivocal"),"b",IF(OR(R2184="positive",R2184="equivocal"),"c","d"))))</x:f>
        <x:v>d</x:v>
      </x:c>
      <x:c r="AD2184" s="12" t="str">
        <x:f>IF(OR(R2184="unavailable",T2184="unavailable"),"不可评价",IF(AND(R2184="positive",T2184="positive"),"a",IF(T2184="positive","b",IF(R2184="positive","c","d"))))</x:f>
        <x:v>d</x:v>
      </x:c>
      <x:c r="AE2184" s="12" t="str">
        <x:f>IF(OR(W2184="unavailable",Y2184="unavailable"),"不可评价",IF(AND(OR(W2184="positive",W2184="equivocal"),OR(Y2184="positive",Y2184="equivocal")),"a",IF(OR(Y2184="positive",Y2184="equivocal"),"b",IF(OR(W2184="positive",W2184="equivocal"),"c","d"))))</x:f>
        <x:v>d</x:v>
      </x:c>
      <x:c r="AF2184" s="12" t="str">
        <x:f>IF(OR(W2184="unavailable",Y2184="unavailable"),"不可评价",IF(AND(W2184="positive",Y2184="positive"),"a",IF(Y2184="positive","b",IF(W2184="positive","c","d"))))</x:f>
        <x:v>d</x:v>
      </x:c>
    </x:row>
    <x:row r="2185" ht="24" customHeight="1">
      <x:c r="A2185" s="12" t="str">
        <x:v>21819</x:v>
      </x:c>
      <x:c r="B2185" s="12" t="str">
        <x:v>9843</x:v>
      </x:c>
      <x:c r="C2185" s="21" t="n">
        <x:v>36953.50900462963</x:v>
      </x:c>
      <x:c r="D2185" s="12" t="n">
        <x:v>54</x:v>
      </x:c>
      <x:c r="E2185" s="12" t="n">
        <x:v>0</x:v>
      </x:c>
      <x:c r="F2185" s="12" t="str">
        <x:v>未记录</x:v>
      </x:c>
      <x:c r="G2185" s="12" t="n">
        <x:v>1</x:v>
      </x:c>
      <x:c r="H2185" s="12" t="str">
        <x:v>{'IRBBB': 100.0, 'LAFB': 100.0, 'SR': 0.0}</x:v>
      </x:c>
      <x:c r="I2185" s="12" t="str">
        <x:v>[('QCERR', 100.0), ('NSR', 100.0), ('LAE', 50.0), ('LAD3', 100.0), ('AB', 100.0)]</x:v>
      </x:c>
      <x:c r="J2185" s="12" t="str">
        <x:v>ptbxl_database.csv；ecg_id=21819；scp_codes</x:v>
      </x:c>
      <x:c r="K2185" s="12" t="str">
        <x:v>12sl_statements.csv；ecg_id=21819；statements_ext_snomed</x:v>
      </x:c>
      <x:c r="L2185" s="12"/>
      <x:c r="M2185" s="12" t="str">
        <x:v>negative</x:v>
      </x:c>
      <x:c r="N2185" s="12"/>
      <x:c r="O2185" s="12" t="str">
        <x:v>negative</x:v>
      </x:c>
      <x:c r="P2185" s="12" t="str">
        <x:f>IF(OR(M2185="unavailable",O2185="unavailable"),"不可评价",IF(OR(M2185="equivocal",O2185="equivocal"),"疑似",IF(AND(M2185="positive",O2185="positive"),"a",IF(O2185="positive","b",IF(M2185="positive","c","d")))))</x:f>
        <x:v>d</x:v>
      </x:c>
      <x:c r="Q2185" s="12"/>
      <x:c r="R2185" s="12" t="str">
        <x:v>negative</x:v>
      </x:c>
      <x:c r="S2185" s="12"/>
      <x:c r="T2185" s="12" t="str">
        <x:v>negative</x:v>
      </x:c>
      <x:c r="U2185" s="12" t="str">
        <x:f>IF(OR(R2185="unavailable",T2185="unavailable"),"不可评价",IF(OR(R2185="equivocal",T2185="equivocal"),"疑似",IF(AND(R2185="positive",T2185="positive"),"a",IF(T2185="positive","b",IF(R2185="positive","c","d")))))</x:f>
        <x:v>d</x:v>
      </x:c>
      <x:c r="V2185" s="12"/>
      <x:c r="W2185" s="12" t="str">
        <x:v>negative</x:v>
      </x:c>
      <x:c r="X2185" s="12"/>
      <x:c r="Y2185" s="12" t="str">
        <x:v>negative</x:v>
      </x:c>
      <x:c r="Z2185" s="12" t="str">
        <x:f>IF(OR(W2185="unavailable",Y2185="unavailable"),"不可评价",IF(OR(W2185="equivocal",Y2185="equivocal"),"疑似",IF(AND(W2185="positive",Y2185="positive"),"a",IF(Y2185="positive","b",IF(W2185="positive","c","d")))))</x:f>
        <x:v>d</x:v>
      </x:c>
      <x:c r="AA2185" s="12" t="str">
        <x:f>IF(OR(M2185="unavailable",O2185="unavailable"),"不可评价",IF(AND(OR(M2185="positive",M2185="equivocal"),OR(O2185="positive",O2185="equivocal")),"a",IF(OR(O2185="positive",O2185="equivocal"),"b",IF(OR(M2185="positive",M2185="equivocal"),"c","d"))))</x:f>
        <x:v>d</x:v>
      </x:c>
      <x:c r="AB2185" s="12" t="str">
        <x:f>IF(OR(M2185="unavailable",O2185="unavailable"),"不可评价",IF(AND(M2185="positive",O2185="positive"),"a",IF(O2185="positive","b",IF(M2185="positive","c","d"))))</x:f>
        <x:v>d</x:v>
      </x:c>
      <x:c r="AC2185" s="12" t="str">
        <x:f>IF(OR(R2185="unavailable",T2185="unavailable"),"不可评价",IF(AND(OR(R2185="positive",R2185="equivocal"),OR(T2185="positive",T2185="equivocal")),"a",IF(OR(T2185="positive",T2185="equivocal"),"b",IF(OR(R2185="positive",R2185="equivocal"),"c","d"))))</x:f>
        <x:v>d</x:v>
      </x:c>
      <x:c r="AD2185" s="12" t="str">
        <x:f>IF(OR(R2185="unavailable",T2185="unavailable"),"不可评价",IF(AND(R2185="positive",T2185="positive"),"a",IF(T2185="positive","b",IF(R2185="positive","c","d"))))</x:f>
        <x:v>d</x:v>
      </x:c>
      <x:c r="AE2185" s="12" t="str">
        <x:f>IF(OR(W2185="unavailable",Y2185="unavailable"),"不可评价",IF(AND(OR(W2185="positive",W2185="equivocal"),OR(Y2185="positive",Y2185="equivocal")),"a",IF(OR(Y2185="positive",Y2185="equivocal"),"b",IF(OR(W2185="positive",W2185="equivocal"),"c","d"))))</x:f>
        <x:v>d</x:v>
      </x:c>
      <x:c r="AF2185" s="12" t="str">
        <x:f>IF(OR(W2185="unavailable",Y2185="unavailable"),"不可评价",IF(AND(W2185="positive",Y2185="positive"),"a",IF(Y2185="positive","b",IF(W2185="positive","c","d"))))</x:f>
        <x:v>d</x:v>
      </x:c>
    </x:row>
    <x:row r="2186" ht="24" customHeight="1">
      <x:c r="A2186" s="12" t="str">
        <x:v>21826</x:v>
      </x:c>
      <x:c r="B2186" s="12" t="str">
        <x:v>9178</x:v>
      </x:c>
      <x:c r="C2186" s="21" t="n">
        <x:v>37024.76449074074</x:v>
      </x:c>
      <x:c r="D2186" s="12" t="n">
        <x:v>82</x:v>
      </x:c>
      <x:c r="E2186" s="12" t="n">
        <x:v>1</x:v>
      </x:c>
      <x:c r="F2186" s="12" t="str">
        <x:v>存在</x:v>
      </x:c>
      <x:c r="G2186" s="12" t="n">
        <x:v>1</x:v>
      </x:c>
      <x:c r="H2186" s="12" t="str">
        <x:v>{'IMI': 80.0, 'ABQRS': 0.0, 'SARRH': 0.0}</x:v>
      </x:c>
      <x:c r="I2186" s="12" t="str">
        <x:v>[('SRTH', 100.0), ('PAC', 100.0), ('ABR', 100.0)]</x:v>
      </x:c>
      <x:c r="J2186" s="12" t="str">
        <x:v>ptbxl_database.csv；ecg_id=21826；scp_codes</x:v>
      </x:c>
      <x:c r="K2186" s="12" t="str">
        <x:v>12sl_statements.csv；ecg_id=21826；statements_ext_snomed</x:v>
      </x:c>
      <x:c r="L2186" s="12"/>
      <x:c r="M2186" s="12" t="str">
        <x:v>negative</x:v>
      </x:c>
      <x:c r="N2186" s="12"/>
      <x:c r="O2186" s="12" t="str">
        <x:v>negative</x:v>
      </x:c>
      <x:c r="P2186" s="12" t="str">
        <x:f>IF(OR(M2186="unavailable",O2186="unavailable"),"不可评价",IF(OR(M2186="equivocal",O2186="equivocal"),"疑似",IF(AND(M2186="positive",O2186="positive"),"a",IF(O2186="positive","b",IF(M2186="positive","c","d")))))</x:f>
        <x:v>d</x:v>
      </x:c>
      <x:c r="Q2186" s="12"/>
      <x:c r="R2186" s="12" t="str">
        <x:v>negative</x:v>
      </x:c>
      <x:c r="S2186" s="12"/>
      <x:c r="T2186" s="12" t="str">
        <x:v>negative</x:v>
      </x:c>
      <x:c r="U2186" s="12" t="str">
        <x:f>IF(OR(R2186="unavailable",T2186="unavailable"),"不可评价",IF(OR(R2186="equivocal",T2186="equivocal"),"疑似",IF(AND(R2186="positive",T2186="positive"),"a",IF(T2186="positive","b",IF(R2186="positive","c","d")))))</x:f>
        <x:v>d</x:v>
      </x:c>
      <x:c r="V2186" s="12"/>
      <x:c r="W2186" s="12" t="str">
        <x:v>negative</x:v>
      </x:c>
      <x:c r="X2186" s="12"/>
      <x:c r="Y2186" s="12" t="str">
        <x:v>negative</x:v>
      </x:c>
      <x:c r="Z2186" s="12" t="str">
        <x:f>IF(OR(W2186="unavailable",Y2186="unavailable"),"不可评价",IF(OR(W2186="equivocal",Y2186="equivocal"),"疑似",IF(AND(W2186="positive",Y2186="positive"),"a",IF(Y2186="positive","b",IF(W2186="positive","c","d")))))</x:f>
        <x:v>d</x:v>
      </x:c>
      <x:c r="AA2186" s="12" t="str">
        <x:f>IF(OR(M2186="unavailable",O2186="unavailable"),"不可评价",IF(AND(OR(M2186="positive",M2186="equivocal"),OR(O2186="positive",O2186="equivocal")),"a",IF(OR(O2186="positive",O2186="equivocal"),"b",IF(OR(M2186="positive",M2186="equivocal"),"c","d"))))</x:f>
        <x:v>d</x:v>
      </x:c>
      <x:c r="AB2186" s="12" t="str">
        <x:f>IF(OR(M2186="unavailable",O2186="unavailable"),"不可评价",IF(AND(M2186="positive",O2186="positive"),"a",IF(O2186="positive","b",IF(M2186="positive","c","d"))))</x:f>
        <x:v>d</x:v>
      </x:c>
      <x:c r="AC2186" s="12" t="str">
        <x:f>IF(OR(R2186="unavailable",T2186="unavailable"),"不可评价",IF(AND(OR(R2186="positive",R2186="equivocal"),OR(T2186="positive",T2186="equivocal")),"a",IF(OR(T2186="positive",T2186="equivocal"),"b",IF(OR(R2186="positive",R2186="equivocal"),"c","d"))))</x:f>
        <x:v>d</x:v>
      </x:c>
      <x:c r="AD2186" s="12" t="str">
        <x:f>IF(OR(R2186="unavailable",T2186="unavailable"),"不可评价",IF(AND(R2186="positive",T2186="positive"),"a",IF(T2186="positive","b",IF(R2186="positive","c","d"))))</x:f>
        <x:v>d</x:v>
      </x:c>
      <x:c r="AE2186" s="12" t="str">
        <x:f>IF(OR(W2186="unavailable",Y2186="unavailable"),"不可评价",IF(AND(OR(W2186="positive",W2186="equivocal"),OR(Y2186="positive",Y2186="equivocal")),"a",IF(OR(Y2186="positive",Y2186="equivocal"),"b",IF(OR(W2186="positive",W2186="equivocal"),"c","d"))))</x:f>
        <x:v>d</x:v>
      </x:c>
      <x:c r="AF2186" s="12" t="str">
        <x:f>IF(OR(W2186="unavailable",Y2186="unavailable"),"不可评价",IF(AND(W2186="positive",Y2186="positive"),"a",IF(Y2186="positive","b",IF(W2186="positive","c","d"))))</x:f>
        <x:v>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7" hidden="0" customWidth="1"/>
    <x:col min="7" max="7" width="21" hidden="0" customWidth="1"/>
    <x:col min="8" max="8" width="21" hidden="0" customWidth="1"/>
    <x:col min="9" max="9" width="18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5" hidden="0" customWidth="1"/>
  </x:cols>
  <x:sheetData>
    <x:row r="1" ht="40" customHeight="1">
      <x:c r="A1" s="16" t="str">
        <x:v>目标</x:v>
      </x:c>
      <x:c r="B1" s="16" t="str">
        <x:v>索引人数</x:v>
      </x:c>
      <x:c r="C1" s="16" t="str">
        <x:v>可评价</x:v>
      </x:c>
      <x:c r="D1" s="16" t="str">
        <x:v>不可评价</x:v>
      </x:c>
      <x:c r="E1" s="16" t="str">
        <x:v>疑似未二元化</x:v>
      </x:c>
      <x:c r="F1" s="16" t="str">
        <x:v>a 双+</x:v>
      </x:c>
      <x:c r="G1" s="16" t="str">
        <x:v>b 自动+参考−</x:v>
      </x:c>
      <x:c r="H1" s="16" t="str">
        <x:v>c 自动−参考+</x:v>
      </x:c>
      <x:c r="I1" s="16" t="str">
        <x:v>d 双−</x:v>
      </x:c>
      <x:c r="J1" s="16" t="str">
        <x:v>参考阳性分母</x:v>
      </x:c>
      <x:c r="K1" s="16" t="str">
        <x:v>自动阳性数</x:v>
      </x:c>
      <x:c r="L1" s="16" t="str">
        <x:v>PPA</x:v>
      </x:c>
      <x:c r="M1" s="16" t="str">
        <x:v>NPA</x:v>
      </x:c>
      <x:c r="N1" s="16" t="str">
        <x:v>PPA下限95%</x:v>
      </x:c>
      <x:c r="O1" s="16" t="str">
        <x:v>PPA上限95%</x:v>
      </x:c>
      <x:c r="P1" s="16" t="str">
        <x:v>NPA下限95%</x:v>
      </x:c>
      <x:c r="Q1" s="16" t="str">
        <x:v>NPA上限95%</x:v>
      </x:c>
      <x:c r="R1" s="16" t="str">
        <x:v>z</x:v>
      </x:c>
    </x:row>
    <x:row r="2" ht="24" customHeight="1">
      <x:c r="A2" s="12" t="str">
        <x:v>AFIB</x:v>
      </x:c>
      <x:c r="B2" s="12" t="n">
        <x:f>'范围与口径'!B13</x:f>
        <x:v>1893</x:v>
      </x:c>
      <x:c r="C2" s="12" t="n">
        <x:f>SUM(F2:I2)</x:f>
        <x:v>1893</x:v>
      </x:c>
      <x:c r="D2" s="12" t="n">
        <x:f>COUNTIFS('患者配对'!$P$2:$P$2186,"不可评价",'患者配对'!$G$2:$G$2186,1)</x:f>
        <x:v>0</x:v>
      </x:c>
      <x:c r="E2" s="12" t="n">
        <x:f>COUNTIFS('患者配对'!$P$2:$P$2186,"疑似",'患者配对'!$G$2:$G$2186,1)</x:f>
        <x:v>0</x:v>
      </x:c>
      <x:c r="F2" s="12" t="n">
        <x:f>COUNTIFS('患者配对'!$P$2:$P$2186,"a",'患者配对'!$G$2:$G$2186,1)</x:f>
        <x:v>93</x:v>
      </x:c>
      <x:c r="G2" s="12" t="n">
        <x:f>COUNTIFS('患者配对'!$P$2:$P$2186,"b",'患者配对'!$G$2:$G$2186,1)</x:f>
        <x:v>8</x:v>
      </x:c>
      <x:c r="H2" s="12" t="n">
        <x:f>COUNTIFS('患者配对'!$P$2:$P$2186,"c",'患者配对'!$G$2:$G$2186,1)</x:f>
        <x:v>21</x:v>
      </x:c>
      <x:c r="I2" s="12" t="n">
        <x:f>COUNTIFS('患者配对'!$P$2:$P$2186,"d",'患者配对'!$G$2:$G$2186,1)</x:f>
        <x:v>1771</x:v>
      </x:c>
      <x:c r="J2" s="12" t="n">
        <x:f>F2+H2</x:f>
        <x:v>114</x:v>
      </x:c>
      <x:c r="K2" s="12" t="n">
        <x:f>F2+G2</x:f>
        <x:v>101</x:v>
      </x:c>
      <x:c r="L2" s="14" t="n">
        <x:f>IF(J2=0,"不可估计",F2/J2)</x:f>
        <x:v>0.8157894736842105</x:v>
      </x:c>
      <x:c r="M2" s="14" t="n">
        <x:f>IF(G2+I2=0,"不可估计",I2/(G2+I2))</x:f>
        <x:v>0.9955030916245081</x:v>
      </x:c>
      <x:c r="N2" s="14" t="n">
        <x:f>IF(J2=0,"不可估计",MAX(0,(L2+$R2^2/(2*J2)-$R2*SQRT(L2*(1-L2)/J2+$R2^2/(4*J2^2)))/(1+$R2^2/J2)))</x:f>
        <x:v>0.7347507139842893</x:v>
      </x:c>
      <x:c r="O2" s="14" t="n">
        <x:f>IF(J2=0,"不可估计",MIN(1,(L2+$R2^2/(2*J2)+$R2*SQRT(L2*(1-L2)/J2+$R2^2/(4*J2^2)))/(1+$R2^2/J2)))</x:f>
        <x:v>0.8762396854943371</x:v>
      </x:c>
      <x:c r="P2" s="14" t="n">
        <x:f>IF((G2+I2)=0,"不可估计",MAX(0,(M2+$R2^2/(2*(G2+I2))-$R2*SQRT(M2*(1-M2)/(G2+I2)+$R2^2/(4*(G2+I2)^2)))/(1+$R2^2/(G2+I2))))</x:f>
        <x:v>0.9911512769711629</x:v>
      </x:c>
      <x:c r="Q2" s="14" t="n">
        <x:f>IF((G2+I2)=0,"不可估计",MIN(1,(M2+$R2^2/(2*(G2+I2))+$R2*SQRT(M2*(1-M2)/(G2+I2)+$R2^2/(4*(G2+I2)^2)))/(1+$R2^2/(G2+I2))))</x:f>
        <x:v>0.9977196017474534</x:v>
      </x:c>
      <x:c r="R2" s="13" t="n">
        <x:f>'范围与口径'!B17</x:f>
        <x:v>1.959963984540054</x:v>
      </x:c>
    </x:row>
    <x:row r="3" ht="24" customHeight="1">
      <x:c r="A3" s="12" t="str">
        <x:v>CLBBB</x:v>
      </x:c>
      <x:c r="B3" s="12" t="n">
        <x:f>'范围与口径'!B13</x:f>
        <x:v>1893</x:v>
      </x:c>
      <x:c r="C3" s="12" t="n">
        <x:f>SUM(F3:I3)</x:f>
        <x:v>1893</x:v>
      </x:c>
      <x:c r="D3" s="12" t="n">
        <x:f>COUNTIFS('患者配对'!$U$2:$U$2186,"不可评价",'患者配对'!$G$2:$G$2186,1)</x:f>
        <x:v>0</x:v>
      </x:c>
      <x:c r="E3" s="12" t="n">
        <x:f>COUNTIFS('患者配对'!$U$2:$U$2186,"疑似",'患者配对'!$G$2:$G$2186,1)</x:f>
        <x:v>0</x:v>
      </x:c>
      <x:c r="F3" s="12" t="n">
        <x:f>COUNTIFS('患者配对'!$U$2:$U$2186,"a",'患者配对'!$G$2:$G$2186,1)</x:f>
        <x:v>36</x:v>
      </x:c>
      <x:c r="G3" s="12" t="n">
        <x:f>COUNTIFS('患者配对'!$U$2:$U$2186,"b",'患者配对'!$G$2:$G$2186,1)</x:f>
        <x:v>5</x:v>
      </x:c>
      <x:c r="H3" s="12" t="n">
        <x:f>COUNTIFS('患者配对'!$U$2:$U$2186,"c",'患者配对'!$G$2:$G$2186,1)</x:f>
        <x:v>3</x:v>
      </x:c>
      <x:c r="I3" s="12" t="n">
        <x:f>COUNTIFS('患者配对'!$U$2:$U$2186,"d",'患者配对'!$G$2:$G$2186,1)</x:f>
        <x:v>1849</x:v>
      </x:c>
      <x:c r="J3" s="12" t="n">
        <x:f>F3+H3</x:f>
        <x:v>39</x:v>
      </x:c>
      <x:c r="K3" s="12" t="n">
        <x:f>F3+G3</x:f>
        <x:v>41</x:v>
      </x:c>
      <x:c r="L3" s="14" t="n">
        <x:f>IF(J3=0,"不可估计",F3/J3)</x:f>
        <x:v>0.9230769230769231</x:v>
      </x:c>
      <x:c r="M3" s="14" t="n">
        <x:f>IF(G3+I3=0,"不可估计",I3/(G3+I3))</x:f>
        <x:v>0.9973031283710896</x:v>
      </x:c>
      <x:c r="N3" s="14" t="n">
        <x:f>IF(J3=0,"不可估计",MAX(0,(L3+$R3^2/(2*J3)-$R3*SQRT(L3*(1-L3)/J3+$R3^2/(4*J3^2)))/(1+$R3^2/J3)))</x:f>
        <x:v>0.7967892883204502</x:v>
      </x:c>
      <x:c r="O3" s="14" t="n">
        <x:f>IF(J3=0,"不可估计",MIN(1,(L3+$R3^2/(2*J3)+$R3*SQRT(L3*(1-L3)/J3+$R3^2/(4*J3^2)))/(1+$R3^2/J3)))</x:f>
        <x:v>0.9734926046962203</x:v>
      </x:c>
      <x:c r="P3" s="14" t="n">
        <x:f>IF((G3+I3)=0,"不可估计",MAX(0,(M3+$R3^2/(2*(G3+I3))-$R3*SQRT(M3*(1-M3)/(G3+I3)+$R3^2/(4*(G3+I3)^2)))/(1+$R3^2/(G3+I3))))</x:f>
        <x:v>0.9937021849266516</x:v>
      </x:c>
      <x:c r="Q3" s="14" t="n">
        <x:f>IF((G3+I3)=0,"不可估计",MIN(1,(M3+$R3^2/(2*(G3+I3))+$R3*SQRT(M3*(1-M3)/(G3+I3)+$R3^2/(4*(G3+I3)^2)))/(1+$R3^2/(G3+I3))))</x:f>
        <x:v>0.9988475244390332</x:v>
      </x:c>
      <x:c r="R3" s="13" t="n">
        <x:f>'范围与口径'!B17</x:f>
        <x:v>1.959963984540054</x:v>
      </x:c>
    </x:row>
    <x:row r="4" ht="24" customHeight="1">
      <x:c r="A4" s="12" t="str">
        <x:v>CRBBB</x:v>
      </x:c>
      <x:c r="B4" s="12" t="n">
        <x:f>'范围与口径'!B13</x:f>
        <x:v>1893</x:v>
      </x:c>
      <x:c r="C4" s="12" t="n">
        <x:f>SUM(F4:I4)</x:f>
        <x:v>1893</x:v>
      </x:c>
      <x:c r="D4" s="12" t="n">
        <x:f>COUNTIFS('患者配对'!$Z$2:$Z$2186,"不可评价",'患者配对'!$G$2:$G$2186,1)</x:f>
        <x:v>0</x:v>
      </x:c>
      <x:c r="E4" s="12" t="n">
        <x:f>COUNTIFS('患者配对'!$Z$2:$Z$2186,"疑似",'患者配对'!$G$2:$G$2186,1)</x:f>
        <x:v>0</x:v>
      </x:c>
      <x:c r="F4" s="12" t="n">
        <x:f>COUNTIFS('患者配对'!$Z$2:$Z$2186,"a",'患者配对'!$G$2:$G$2186,1)</x:f>
        <x:v>44</x:v>
      </x:c>
      <x:c r="G4" s="12" t="n">
        <x:f>COUNTIFS('患者配对'!$Z$2:$Z$2186,"b",'患者配对'!$G$2:$G$2186,1)</x:f>
        <x:v>19</x:v>
      </x:c>
      <x:c r="H4" s="12" t="n">
        <x:f>COUNTIFS('患者配对'!$Z$2:$Z$2186,"c",'患者配对'!$G$2:$G$2186,1)</x:f>
        <x:v>1</x:v>
      </x:c>
      <x:c r="I4" s="12" t="n">
        <x:f>COUNTIFS('患者配对'!$Z$2:$Z$2186,"d",'患者配对'!$G$2:$G$2186,1)</x:f>
        <x:v>1829</x:v>
      </x:c>
      <x:c r="J4" s="12" t="n">
        <x:f>F4+H4</x:f>
        <x:v>45</x:v>
      </x:c>
      <x:c r="K4" s="12" t="n">
        <x:f>F4+G4</x:f>
        <x:v>63</x:v>
      </x:c>
      <x:c r="L4" s="14" t="n">
        <x:f>IF(J4=0,"不可估计",F4/J4)</x:f>
        <x:v>0.9777777777777777</x:v>
      </x:c>
      <x:c r="M4" s="14" t="n">
        <x:f>IF(G4+I4=0,"不可估计",I4/(G4+I4))</x:f>
        <x:v>0.9897186147186147</x:v>
      </x:c>
      <x:c r="N4" s="14" t="n">
        <x:f>IF(J4=0,"不可估计",MAX(0,(L4+$R4^2/(2*J4)-$R4*SQRT(L4*(1-L4)/J4+$R4^2/(4*J4^2)))/(1+$R4^2/J4)))</x:f>
        <x:v>0.8843331823158513</x:v>
      </x:c>
      <x:c r="O4" s="14" t="n">
        <x:f>IF(J4=0,"不可估计",MIN(1,(L4+$R4^2/(2*J4)+$R4*SQRT(L4*(1-L4)/J4+$R4^2/(4*J4^2)))/(1+$R4^2/J4)))</x:f>
        <x:v>0.9960664011171668</x:v>
      </x:c>
      <x:c r="P4" s="14" t="n">
        <x:f>IF((G4+I4)=0,"不可估计",MAX(0,(M4+$R4^2/(2*(G4+I4))-$R4*SQRT(M4*(1-M4)/(G4+I4)+$R4^2/(4*(G4+I4)^2)))/(1+$R4^2/(G4+I4))))</x:f>
        <x:v>0.9839973822465434</x:v>
      </x:c>
      <x:c r="Q4" s="14" t="n">
        <x:f>IF((G4+I4)=0,"不可估计",MIN(1,(M4+$R4^2/(2*(G4+I4))+$R4*SQRT(M4*(1-M4)/(G4+I4)+$R4^2/(4*(G4+I4)^2)))/(1+$R4^2/(G4+I4))))</x:f>
        <x:v>0.9934081031845149</x:v>
      </x:c>
      <x:c r="R4" s="13" t="n">
        <x:f>'范围与口径'!B17</x:f>
        <x:v>1.959963984540054</x:v>
      </x:c>
    </x:row>
    <x:row r="5" ht="24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</x:row>
    <x:row r="6" ht="24" customHeight="1">
      <x:c r="A6" s="16" t="str">
        <x:v>目标</x:v>
      </x:c>
      <x:c r="B6" s="16" t="str">
        <x:v>来源</x:v>
      </x:c>
      <x:c r="C6" s="16" t="str">
        <x:v>阳性</x:v>
      </x:c>
      <x:c r="D6" s="16" t="str">
        <x:v>阴性</x:v>
      </x:c>
      <x:c r="E6" s="16" t="str">
        <x:v>疑似</x:v>
      </x:c>
      <x:c r="F6" s="16" t="str">
        <x:v>不可评价</x:v>
      </x:c>
      <x:c r="G6" s="16" t="str">
        <x:v>原值0的阳性记录</x:v>
      </x:c>
      <x:c r="H6" s="16" t="str">
        <x:v>状态解释</x:v>
      </x:c>
      <x:c r="I6" s="16"/>
      <x:c r="J6" s="16"/>
      <x:c r="K6" s="16"/>
      <x:c r="L6" s="16"/>
      <x:c r="M6" s="16"/>
      <x:c r="N6" s="16"/>
      <x:c r="O6" s="16"/>
      <x:c r="P6" s="16"/>
      <x:c r="Q6" s="16"/>
      <x:c r="R6" s="16"/>
    </x:row>
    <x:row r="7" ht="24" customHeight="1">
      <x:c r="A7" s="12" t="str">
        <x:v>AFIB</x:v>
      </x:c>
      <x:c r="B7" s="12" t="str">
        <x:v>参考</x:v>
      </x:c>
      <x:c r="C7" s="12" t="n">
        <x:f>COUNTIFS('患者配对'!$M$2:$M$2186,"positive",'患者配对'!$G$2:$G$2186,1)</x:f>
        <x:v>114</x:v>
      </x:c>
      <x:c r="D7" s="12" t="n">
        <x:f>COUNTIFS('患者配对'!$M$2:$M$2186,"negative",'患者配对'!$G$2:$G$2186,1)</x:f>
        <x:v>1779</x:v>
      </x:c>
      <x:c r="E7" s="12" t="n">
        <x:f>COUNTIFS('患者配对'!$M$2:$M$2186,"equivocal",'患者配对'!$G$2:$G$2186,1)</x:f>
        <x:v>0</x:v>
      </x:c>
      <x:c r="F7" s="12" t="n">
        <x:f>COUNTIFS('患者配对'!$M$2:$M$2186,"unavailable",'患者配对'!$G$2:$G$2186,1)</x:f>
        <x:v>0</x:v>
      </x:c>
      <x:c r="G7" s="12" t="n">
        <x:f>COUNTIFS('患者配对'!$M$2:$M$2186,"positive",'患者配对'!$L$2:$L$2186,0,'患者配对'!$G$2:$G$2186,1)</x:f>
        <x:v>111</x:v>
      </x:c>
      <x:c r="H7" s="12" t="str">
        <x:v>参考/自动档案完整且未列目标视为归档阴性；不等同临床无病</x:v>
      </x:c>
      <x:c r="I7" s="12"/>
      <x:c r="J7" s="12"/>
      <x:c r="K7" s="12"/>
      <x:c r="L7" s="12"/>
      <x:c r="M7" s="12"/>
      <x:c r="N7" s="12"/>
      <x:c r="O7" s="12"/>
      <x:c r="P7" s="12"/>
      <x:c r="Q7" s="12"/>
      <x:c r="R7" s="12"/>
    </x:row>
    <x:row r="8" ht="24" customHeight="1">
      <x:c r="A8" s="12" t="str">
        <x:v>AFIB</x:v>
      </x:c>
      <x:c r="B8" s="12" t="str">
        <x:v>自动</x:v>
      </x:c>
      <x:c r="C8" s="12" t="n">
        <x:f>COUNTIFS('患者配对'!$O$2:$O$2186,"positive",'患者配对'!$G$2:$G$2186,1)</x:f>
        <x:v>101</x:v>
      </x:c>
      <x:c r="D8" s="12" t="n">
        <x:f>COUNTIFS('患者配对'!$O$2:$O$2186,"negative",'患者配对'!$G$2:$G$2186,1)</x:f>
        <x:v>1792</x:v>
      </x:c>
      <x:c r="E8" s="12" t="n">
        <x:f>COUNTIFS('患者配对'!$O$2:$O$2186,"equivocal",'患者配对'!$G$2:$G$2186,1)</x:f>
        <x:v>0</x:v>
      </x:c>
      <x:c r="F8" s="12" t="n">
        <x:f>COUNTIFS('患者配对'!$O$2:$O$2186,"unavailable",'患者配对'!$G$2:$G$2186,1)</x:f>
        <x:v>0</x:v>
      </x:c>
      <x:c r="G8" s="12" t="n">
        <x:f>COUNTIFS('患者配对'!$O$2:$O$2186,"positive",'患者配对'!$N$2:$N$2186,0,'患者配对'!$G$2:$G$2186,1)</x:f>
        <x:v>0</x:v>
      </x:c>
      <x:c r="H8" s="12" t="str">
        <x:v>参考/自动档案完整且未列目标视为归档阴性；不等同临床无病</x:v>
      </x:c>
      <x:c r="I8" s="12"/>
      <x:c r="J8" s="12"/>
      <x:c r="K8" s="12"/>
      <x:c r="L8" s="12"/>
      <x:c r="M8" s="12"/>
      <x:c r="N8" s="12"/>
      <x:c r="O8" s="12"/>
      <x:c r="P8" s="12"/>
      <x:c r="Q8" s="12"/>
      <x:c r="R8" s="12"/>
    </x:row>
    <x:row r="9" ht="24" customHeight="1">
      <x:c r="A9" s="12" t="str">
        <x:v>CLBBB</x:v>
      </x:c>
      <x:c r="B9" s="12" t="str">
        <x:v>参考</x:v>
      </x:c>
      <x:c r="C9" s="12" t="n">
        <x:f>COUNTIFS('患者配对'!$R$2:$R$2186,"positive",'患者配对'!$G$2:$G$2186,1)</x:f>
        <x:v>39</x:v>
      </x:c>
      <x:c r="D9" s="12" t="n">
        <x:f>COUNTIFS('患者配对'!$R$2:$R$2186,"negative",'患者配对'!$G$2:$G$2186,1)</x:f>
        <x:v>1854</x:v>
      </x:c>
      <x:c r="E9" s="12" t="n">
        <x:f>COUNTIFS('患者配对'!$R$2:$R$2186,"equivocal",'患者配对'!$G$2:$G$2186,1)</x:f>
        <x:v>0</x:v>
      </x:c>
      <x:c r="F9" s="12" t="n">
        <x:f>COUNTIFS('患者配对'!$R$2:$R$2186,"unavailable",'患者配对'!$G$2:$G$2186,1)</x:f>
        <x:v>0</x:v>
      </x:c>
      <x:c r="G9" s="12" t="n">
        <x:f>COUNTIFS('患者配对'!$R$2:$R$2186,"positive",'患者配对'!$Q$2:$Q$2186,0,'患者配对'!$G$2:$G$2186,1)</x:f>
        <x:v>0</x:v>
      </x:c>
      <x:c r="H9" s="12" t="str">
        <x:v>参考/自动档案完整且未列目标视为归档阴性；不等同临床无病</x:v>
      </x:c>
      <x:c r="I9" s="12"/>
      <x:c r="J9" s="12"/>
      <x:c r="K9" s="12"/>
      <x:c r="L9" s="12"/>
      <x:c r="M9" s="12"/>
      <x:c r="N9" s="12"/>
      <x:c r="O9" s="12"/>
      <x:c r="P9" s="12"/>
      <x:c r="Q9" s="12"/>
      <x:c r="R9" s="12"/>
    </x:row>
    <x:row r="10" ht="24" customHeight="1">
      <x:c r="A10" s="12" t="str">
        <x:v>CLBBB</x:v>
      </x:c>
      <x:c r="B10" s="12" t="str">
        <x:v>自动</x:v>
      </x:c>
      <x:c r="C10" s="12" t="n">
        <x:f>COUNTIFS('患者配对'!$T$2:$T$2186,"positive",'患者配对'!$G$2:$G$2186,1)</x:f>
        <x:v>41</x:v>
      </x:c>
      <x:c r="D10" s="12" t="n">
        <x:f>COUNTIFS('患者配对'!$T$2:$T$2186,"negative",'患者配对'!$G$2:$G$2186,1)</x:f>
        <x:v>1852</x:v>
      </x:c>
      <x:c r="E10" s="12" t="n">
        <x:f>COUNTIFS('患者配对'!$T$2:$T$2186,"equivocal",'患者配对'!$G$2:$G$2186,1)</x:f>
        <x:v>0</x:v>
      </x:c>
      <x:c r="F10" s="12" t="n">
        <x:f>COUNTIFS('患者配对'!$T$2:$T$2186,"unavailable",'患者配对'!$G$2:$G$2186,1)</x:f>
        <x:v>0</x:v>
      </x:c>
      <x:c r="G10" s="12" t="n">
        <x:f>COUNTIFS('患者配对'!$T$2:$T$2186,"positive",'患者配对'!$S$2:$S$2186,0,'患者配对'!$G$2:$G$2186,1)</x:f>
        <x:v>0</x:v>
      </x:c>
      <x:c r="H10" s="12" t="str">
        <x:v>参考/自动档案完整且未列目标视为归档阴性；不等同临床无病</x:v>
      </x:c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</x:row>
    <x:row r="11" ht="24" customHeight="1">
      <x:c r="A11" s="12" t="str">
        <x:v>CRBBB</x:v>
      </x:c>
      <x:c r="B11" s="12" t="str">
        <x:v>参考</x:v>
      </x:c>
      <x:c r="C11" s="12" t="n">
        <x:f>COUNTIFS('患者配对'!$W$2:$W$2186,"positive",'患者配对'!$G$2:$G$2186,1)</x:f>
        <x:v>45</x:v>
      </x:c>
      <x:c r="D11" s="12" t="n">
        <x:f>COUNTIFS('患者配对'!$W$2:$W$2186,"negative",'患者配对'!$G$2:$G$2186,1)</x:f>
        <x:v>1848</x:v>
      </x:c>
      <x:c r="E11" s="12" t="n">
        <x:f>COUNTIFS('患者配对'!$W$2:$W$2186,"equivocal",'患者配对'!$G$2:$G$2186,1)</x:f>
        <x:v>0</x:v>
      </x:c>
      <x:c r="F11" s="12" t="n">
        <x:f>COUNTIFS('患者配对'!$W$2:$W$2186,"unavailable",'患者配对'!$G$2:$G$2186,1)</x:f>
        <x:v>0</x:v>
      </x:c>
      <x:c r="G11" s="12" t="n">
        <x:f>COUNTIFS('患者配对'!$W$2:$W$2186,"positive",'患者配对'!$V$2:$V$2186,0,'患者配对'!$G$2:$G$2186,1)</x:f>
        <x:v>0</x:v>
      </x:c>
      <x:c r="H11" s="12" t="str">
        <x:v>参考/自动档案完整且未列目标视为归档阴性；不等同临床无病</x:v>
      </x:c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</x:row>
    <x:row r="12" ht="24" customHeight="1">
      <x:c r="A12" s="12" t="str">
        <x:v>CRBBB</x:v>
      </x:c>
      <x:c r="B12" s="12" t="str">
        <x:v>自动</x:v>
      </x:c>
      <x:c r="C12" s="12" t="n">
        <x:f>COUNTIFS('患者配对'!$Y$2:$Y$2186,"positive",'患者配对'!$G$2:$G$2186,1)</x:f>
        <x:v>63</x:v>
      </x:c>
      <x:c r="D12" s="12" t="n">
        <x:f>COUNTIFS('患者配对'!$Y$2:$Y$2186,"negative",'患者配对'!$G$2:$G$2186,1)</x:f>
        <x:v>1830</x:v>
      </x:c>
      <x:c r="E12" s="12" t="n">
        <x:f>COUNTIFS('患者配对'!$Y$2:$Y$2186,"equivocal",'患者配对'!$G$2:$G$2186,1)</x:f>
        <x:v>0</x:v>
      </x:c>
      <x:c r="F12" s="12" t="n">
        <x:f>COUNTIFS('患者配对'!$Y$2:$Y$2186,"unavailable",'患者配对'!$G$2:$G$2186,1)</x:f>
        <x:v>0</x:v>
      </x:c>
      <x:c r="G12" s="12" t="n">
        <x:f>COUNTIFS('患者配对'!$Y$2:$Y$2186,"positive",'患者配对'!$X$2:$X$2186,0,'患者配对'!$G$2:$G$2186,1)</x:f>
        <x:v>0</x:v>
      </x:c>
      <x:c r="H12" s="12" t="str">
        <x:v>参考/自动档案完整且未列目标视为归档阴性；不等同临床无病</x:v>
      </x:c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</x:row>
    <x:row r="13" ht="24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</x:row>
    <x:row r="14" ht="24" customHeight="1">
      <x:c r="A14" s="12" t="str">
        <x:v>三目标联合组合（AFIB/CLBBB/CRBBB顺序）</x:v>
      </x:c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</x:row>
    <x:row r="15" ht="24" customHeight="1">
      <x:c r="A15" s="16" t="str">
        <x:v>参考/自动</x:v>
      </x:c>
      <x:c r="B15" s="16" t="str">
        <x:v>自动000</x:v>
      </x:c>
      <x:c r="C15" s="16" t="str">
        <x:v>自动001</x:v>
      </x:c>
      <x:c r="D15" s="16" t="str">
        <x:v>自动010</x:v>
      </x:c>
      <x:c r="E15" s="16" t="str">
        <x:v>自动011</x:v>
      </x:c>
      <x:c r="F15" s="16" t="str">
        <x:v>自动100</x:v>
      </x:c>
      <x:c r="G15" s="16" t="str">
        <x:v>自动101</x:v>
      </x:c>
      <x:c r="H15" s="16" t="str">
        <x:v>自动110</x:v>
      </x:c>
      <x:c r="I15" s="16" t="str">
        <x:v>自动111</x:v>
      </x:c>
      <x:c r="J15" s="16"/>
      <x:c r="K15" s="16"/>
      <x:c r="L15" s="16"/>
      <x:c r="M15" s="16"/>
      <x:c r="N15" s="16"/>
      <x:c r="O15" s="16"/>
      <x:c r="P15" s="16"/>
      <x:c r="Q15" s="16"/>
      <x:c r="R15" s="16"/>
    </x:row>
    <x:row r="16" ht="24" customHeight="1">
      <x:c r="A16" s="12" t="str">
        <x:v>参考000</x:v>
      </x:c>
      <x:c r="B16" s="12" t="n">
        <x:f>COUNTIFS('敏感性与分层'!C29:C1921,"参考000",'敏感性与分层'!D29:D1921,"自动000")</x:f>
        <x:v>1679</x:v>
      </x:c>
      <x:c r="C16" s="12" t="n">
        <x:f>COUNTIFS('敏感性与分层'!C29:C1921,"参考000",'敏感性与分层'!D29:D1921,"自动001")</x:f>
        <x:v>18</x:v>
      </x:c>
      <x:c r="D16" s="12" t="n">
        <x:f>COUNTIFS('敏感性与分层'!C29:C1921,"参考000",'敏感性与分层'!D29:D1921,"自动010")</x:f>
        <x:v>4</x:v>
      </x:c>
      <x:c r="E16" s="12" t="n">
        <x:f>COUNTIFS('敏感性与分层'!C29:C1921,"参考000",'敏感性与分层'!D29:D1921,"自动011")</x:f>
        <x:v>0</x:v>
      </x:c>
      <x:c r="F16" s="12" t="n">
        <x:f>COUNTIFS('敏感性与分层'!C29:C1921,"参考000",'敏感性与分层'!D29:D1921,"自动100")</x:f>
        <x:v>6</x:v>
      </x:c>
      <x:c r="G16" s="12" t="n">
        <x:f>COUNTIFS('敏感性与分层'!C29:C1921,"参考000",'敏感性与分层'!D29:D1921,"自动101")</x:f>
        <x:v>0</x:v>
      </x:c>
      <x:c r="H16" s="12" t="n">
        <x:f>COUNTIFS('敏感性与分层'!C29:C1921,"参考000",'敏感性与分层'!D29:D1921,"自动110")</x:f>
        <x:v>0</x:v>
      </x:c>
      <x:c r="I16" s="12" t="n">
        <x:f>COUNTIFS('敏感性与分层'!C29:C1921,"参考000",'敏感性与分层'!D29:D1921,"自动111")</x:f>
        <x:v>0</x:v>
      </x:c>
      <x:c r="J16" s="12"/>
      <x:c r="K16" s="12"/>
      <x:c r="L16" s="12"/>
      <x:c r="M16" s="12"/>
      <x:c r="N16" s="12"/>
      <x:c r="O16" s="12"/>
      <x:c r="P16" s="12"/>
      <x:c r="Q16" s="12"/>
      <x:c r="R16" s="12"/>
    </x:row>
    <x:row r="17" ht="24" customHeight="1">
      <x:c r="A17" s="12" t="str">
        <x:v>参考001</x:v>
      </x:c>
      <x:c r="B17" s="12" t="n">
        <x:f>COUNTIFS('敏感性与分层'!C29:C1921,"参考001",'敏感性与分层'!D29:D1921,"自动000")</x:f>
        <x:v>1</x:v>
      </x:c>
      <x:c r="C17" s="12" t="n">
        <x:f>COUNTIFS('敏感性与分层'!C29:C1921,"参考001",'敏感性与分层'!D29:D1921,"自动001")</x:f>
        <x:v>35</x:v>
      </x:c>
      <x:c r="D17" s="12" t="n">
        <x:f>COUNTIFS('敏感性与分层'!C29:C1921,"参考001",'敏感性与分层'!D29:D1921,"自动010")</x:f>
        <x:v>0</x:v>
      </x:c>
      <x:c r="E17" s="12" t="n">
        <x:f>COUNTIFS('敏感性与分层'!C29:C1921,"参考001",'敏感性与分层'!D29:D1921,"自动011")</x:f>
        <x:v>0</x:v>
      </x:c>
      <x:c r="F17" s="12" t="n">
        <x:f>COUNTIFS('敏感性与分层'!C29:C1921,"参考001",'敏感性与分层'!D29:D1921,"自动100")</x:f>
        <x:v>0</x:v>
      </x:c>
      <x:c r="G17" s="12" t="n">
        <x:f>COUNTIFS('敏感性与分层'!C29:C1921,"参考001",'敏感性与分层'!D29:D1921,"自动101")</x:f>
        <x:v>1</x:v>
      </x:c>
      <x:c r="H17" s="12" t="n">
        <x:f>COUNTIFS('敏感性与分层'!C29:C1921,"参考001",'敏感性与分层'!D29:D1921,"自动110")</x:f>
        <x:v>0</x:v>
      </x:c>
      <x:c r="I17" s="12" t="n">
        <x:f>COUNTIFS('敏感性与分层'!C29:C1921,"参考001",'敏感性与分层'!D29:D1921,"自动111")</x:f>
        <x:v>0</x:v>
      </x:c>
      <x:c r="J17" s="12"/>
      <x:c r="K17" s="12"/>
      <x:c r="L17" s="12"/>
      <x:c r="M17" s="12"/>
      <x:c r="N17" s="12"/>
      <x:c r="O17" s="12"/>
      <x:c r="P17" s="12"/>
      <x:c r="Q17" s="12"/>
      <x:c r="R17" s="12"/>
    </x:row>
    <x:row r="18" ht="24" customHeight="1">
      <x:c r="A18" s="12" t="str">
        <x:v>参考010</x:v>
      </x:c>
      <x:c r="B18" s="12" t="n">
        <x:f>COUNTIFS('敏感性与分层'!C29:C1921,"参考010",'敏感性与分层'!D29:D1921,"自动000")</x:f>
        <x:v>3</x:v>
      </x:c>
      <x:c r="C18" s="12" t="n">
        <x:f>COUNTIFS('敏感性与分层'!C29:C1921,"参考010",'敏感性与分层'!D29:D1921,"自动001")</x:f>
        <x:v>0</x:v>
      </x:c>
      <x:c r="D18" s="12" t="n">
        <x:f>COUNTIFS('敏感性与分层'!C29:C1921,"参考010",'敏感性与分层'!D29:D1921,"自动010")</x:f>
        <x:v>31</x:v>
      </x:c>
      <x:c r="E18" s="12" t="n">
        <x:f>COUNTIFS('敏感性与分层'!C29:C1921,"参考010",'敏感性与分层'!D29:D1921,"自动011")</x:f>
        <x:v>0</x:v>
      </x:c>
      <x:c r="F18" s="12" t="n">
        <x:f>COUNTIFS('敏感性与分层'!C29:C1921,"参考010",'敏感性与分层'!D29:D1921,"自动100")</x:f>
        <x:v>0</x:v>
      </x:c>
      <x:c r="G18" s="12" t="n">
        <x:f>COUNTIFS('敏感性与分层'!C29:C1921,"参考010",'敏感性与分层'!D29:D1921,"自动101")</x:f>
        <x:v>0</x:v>
      </x:c>
      <x:c r="H18" s="12" t="n">
        <x:f>COUNTIFS('敏感性与分层'!C29:C1921,"参考010",'敏感性与分层'!D29:D1921,"自动110")</x:f>
        <x:v>1</x:v>
      </x:c>
      <x:c r="I18" s="12" t="n">
        <x:f>COUNTIFS('敏感性与分层'!C29:C1921,"参考010",'敏感性与分层'!D29:D1921,"自动111")</x:f>
        <x:v>0</x:v>
      </x:c>
      <x:c r="J18" s="12"/>
      <x:c r="K18" s="12"/>
      <x:c r="L18" s="12"/>
      <x:c r="M18" s="12"/>
      <x:c r="N18" s="12"/>
      <x:c r="O18" s="12"/>
      <x:c r="P18" s="12"/>
      <x:c r="Q18" s="12"/>
      <x:c r="R18" s="12"/>
    </x:row>
    <x:row r="19" ht="24" customHeight="1">
      <x:c r="A19" s="12" t="str">
        <x:v>参考011</x:v>
      </x:c>
      <x:c r="B19" s="12" t="n">
        <x:f>COUNTIFS('敏感性与分层'!C29:C1921,"参考011",'敏感性与分层'!D29:D1921,"自动000")</x:f>
        <x:v>0</x:v>
      </x:c>
      <x:c r="C19" s="12" t="n">
        <x:f>COUNTIFS('敏感性与分层'!C29:C1921,"参考011",'敏感性与分层'!D29:D1921,"自动001")</x:f>
        <x:v>0</x:v>
      </x:c>
      <x:c r="D19" s="12" t="n">
        <x:f>COUNTIFS('敏感性与分层'!C29:C1921,"参考011",'敏感性与分层'!D29:D1921,"自动010")</x:f>
        <x:v>0</x:v>
      </x:c>
      <x:c r="E19" s="12" t="n">
        <x:f>COUNTIFS('敏感性与分层'!C29:C1921,"参考011",'敏感性与分层'!D29:D1921,"自动011")</x:f>
        <x:v>0</x:v>
      </x:c>
      <x:c r="F19" s="12" t="n">
        <x:f>COUNTIFS('敏感性与分层'!C29:C1921,"参考011",'敏感性与分层'!D29:D1921,"自动100")</x:f>
        <x:v>0</x:v>
      </x:c>
      <x:c r="G19" s="12" t="n">
        <x:f>COUNTIFS('敏感性与分层'!C29:C1921,"参考011",'敏感性与分层'!D29:D1921,"自动101")</x:f>
        <x:v>0</x:v>
      </x:c>
      <x:c r="H19" s="12" t="n">
        <x:f>COUNTIFS('敏感性与分层'!C29:C1921,"参考011",'敏感性与分层'!D29:D1921,"自动110")</x:f>
        <x:v>0</x:v>
      </x:c>
      <x:c r="I19" s="12" t="n">
        <x:f>COUNTIFS('敏感性与分层'!C29:C1921,"参考011",'敏感性与分层'!D29:D1921,"自动111")</x:f>
        <x:v>0</x:v>
      </x:c>
      <x:c r="J19" s="12"/>
      <x:c r="K19" s="12"/>
      <x:c r="L19" s="12"/>
      <x:c r="M19" s="12"/>
      <x:c r="N19" s="12"/>
      <x:c r="O19" s="12"/>
      <x:c r="P19" s="12"/>
      <x:c r="Q19" s="12"/>
      <x:c r="R19" s="12"/>
    </x:row>
    <x:row r="20" ht="24" customHeight="1">
      <x:c r="A20" s="12" t="str">
        <x:v>参考100</x:v>
      </x:c>
      <x:c r="B20" s="12" t="n">
        <x:f>COUNTIFS('敏感性与分层'!C29:C1921,"参考100",'敏感性与分层'!D29:D1921,"自动000")</x:f>
        <x:v>18</x:v>
      </x:c>
      <x:c r="C20" s="12" t="n">
        <x:f>COUNTIFS('敏感性与分层'!C29:C1921,"参考100",'敏感性与分层'!D29:D1921,"自动001")</x:f>
        <x:v>0</x:v>
      </x:c>
      <x:c r="D20" s="12" t="n">
        <x:f>COUNTIFS('敏感性与分层'!C29:C1921,"参考100",'敏感性与分层'!D29:D1921,"自动010")</x:f>
        <x:v>0</x:v>
      </x:c>
      <x:c r="E20" s="12" t="n">
        <x:f>COUNTIFS('敏感性与分层'!C29:C1921,"参考100",'敏感性与分层'!D29:D1921,"自动011")</x:f>
        <x:v>0</x:v>
      </x:c>
      <x:c r="F20" s="12" t="n">
        <x:f>COUNTIFS('敏感性与分层'!C29:C1921,"参考100",'敏感性与分层'!D29:D1921,"自动100")</x:f>
        <x:v>82</x:v>
      </x:c>
      <x:c r="G20" s="12" t="n">
        <x:f>COUNTIFS('敏感性与分层'!C29:C1921,"参考100",'敏感性与分层'!D29:D1921,"自动101")</x:f>
        <x:v>1</x:v>
      </x:c>
      <x:c r="H20" s="12" t="n">
        <x:f>COUNTIFS('敏感性与分层'!C29:C1921,"参考100",'敏感性与分层'!D29:D1921,"自动110")</x:f>
        <x:v>1</x:v>
      </x:c>
      <x:c r="I20" s="12" t="n">
        <x:f>COUNTIFS('敏感性与分层'!C29:C1921,"参考100",'敏感性与分层'!D29:D1921,"自动111")</x:f>
        <x:v>0</x:v>
      </x:c>
      <x:c r="J20" s="12"/>
      <x:c r="K20" s="12"/>
      <x:c r="L20" s="12"/>
      <x:c r="M20" s="12"/>
      <x:c r="N20" s="12"/>
      <x:c r="O20" s="12"/>
      <x:c r="P20" s="12"/>
      <x:c r="Q20" s="12"/>
      <x:c r="R20" s="12"/>
    </x:row>
    <x:row r="21" ht="24" customHeight="1">
      <x:c r="A21" s="12" t="str">
        <x:v>参考101</x:v>
      </x:c>
      <x:c r="B21" s="12" t="n">
        <x:f>COUNTIFS('敏感性与分层'!C29:C1921,"参考101",'敏感性与分层'!D29:D1921,"自动000")</x:f>
        <x:v>0</x:v>
      </x:c>
      <x:c r="C21" s="12" t="n">
        <x:f>COUNTIFS('敏感性与分层'!C29:C1921,"参考101",'敏感性与分层'!D29:D1921,"自动001")</x:f>
        <x:v>3</x:v>
      </x:c>
      <x:c r="D21" s="12" t="n">
        <x:f>COUNTIFS('敏感性与分层'!C29:C1921,"参考101",'敏感性与分层'!D29:D1921,"自动010")</x:f>
        <x:v>0</x:v>
      </x:c>
      <x:c r="E21" s="12" t="n">
        <x:f>COUNTIFS('敏感性与分层'!C29:C1921,"参考101",'敏感性与分层'!D29:D1921,"自动011")</x:f>
        <x:v>0</x:v>
      </x:c>
      <x:c r="F21" s="12" t="n">
        <x:f>COUNTIFS('敏感性与分层'!C29:C1921,"参考101",'敏感性与分层'!D29:D1921,"自动100")</x:f>
        <x:v>0</x:v>
      </x:c>
      <x:c r="G21" s="12" t="n">
        <x:f>COUNTIFS('敏感性与分层'!C29:C1921,"参考101",'敏感性与分层'!D29:D1921,"自动101")</x:f>
        <x:v>5</x:v>
      </x:c>
      <x:c r="H21" s="12" t="n">
        <x:f>COUNTIFS('敏感性与分层'!C29:C1921,"参考101",'敏感性与分层'!D29:D1921,"自动110")</x:f>
        <x:v>0</x:v>
      </x:c>
      <x:c r="I21" s="12" t="n">
        <x:f>COUNTIFS('敏感性与分层'!C29:C1921,"参考101",'敏感性与分层'!D29:D1921,"自动111")</x:f>
        <x:v>0</x:v>
      </x:c>
      <x:c r="J21" s="12"/>
      <x:c r="K21" s="12"/>
      <x:c r="L21" s="12"/>
      <x:c r="M21" s="12"/>
      <x:c r="N21" s="12"/>
      <x:c r="O21" s="12"/>
      <x:c r="P21" s="12"/>
      <x:c r="Q21" s="12"/>
      <x:c r="R21" s="12"/>
    </x:row>
    <x:row r="22" ht="24" customHeight="1">
      <x:c r="A22" s="12" t="str">
        <x:v>参考110</x:v>
      </x:c>
      <x:c r="B22" s="12" t="n">
        <x:f>COUNTIFS('敏感性与分层'!C29:C1921,"参考110",'敏感性与分层'!D29:D1921,"自动000")</x:f>
        <x:v>0</x:v>
      </x:c>
      <x:c r="C22" s="12" t="n">
        <x:f>COUNTIFS('敏感性与分层'!C29:C1921,"参考110",'敏感性与分层'!D29:D1921,"自动001")</x:f>
        <x:v>0</x:v>
      </x:c>
      <x:c r="D22" s="12" t="n">
        <x:f>COUNTIFS('敏感性与分层'!C29:C1921,"参考110",'敏感性与分层'!D29:D1921,"自动010")</x:f>
        <x:v>0</x:v>
      </x:c>
      <x:c r="E22" s="12" t="n">
        <x:f>COUNTIFS('敏感性与分层'!C29:C1921,"参考110",'敏感性与分层'!D29:D1921,"自动011")</x:f>
        <x:v>0</x:v>
      </x:c>
      <x:c r="F22" s="12" t="n">
        <x:f>COUNTIFS('敏感性与分层'!C29:C1921,"参考110",'敏感性与分层'!D29:D1921,"自动100")</x:f>
        <x:v>0</x:v>
      </x:c>
      <x:c r="G22" s="12" t="n">
        <x:f>COUNTIFS('敏感性与分层'!C29:C1921,"参考110",'敏感性与分层'!D29:D1921,"自动101")</x:f>
        <x:v>0</x:v>
      </x:c>
      <x:c r="H22" s="12" t="n">
        <x:f>COUNTIFS('敏感性与分层'!C29:C1921,"参考110",'敏感性与分层'!D29:D1921,"自动110")</x:f>
        <x:v>4</x:v>
      </x:c>
      <x:c r="I22" s="12" t="n">
        <x:f>COUNTIFS('敏感性与分层'!C29:C1921,"参考110",'敏感性与分层'!D29:D1921,"自动111")</x:f>
        <x:v>0</x:v>
      </x:c>
      <x:c r="J22" s="12"/>
      <x:c r="K22" s="12"/>
      <x:c r="L22" s="12"/>
      <x:c r="M22" s="12"/>
      <x:c r="N22" s="12"/>
      <x:c r="O22" s="12"/>
      <x:c r="P22" s="12"/>
      <x:c r="Q22" s="12"/>
      <x:c r="R22" s="12"/>
    </x:row>
    <x:row r="23" ht="24" customHeight="1">
      <x:c r="A23" s="12" t="str">
        <x:v>参考111</x:v>
      </x:c>
      <x:c r="B23" s="12" t="n">
        <x:f>COUNTIFS('敏感性与分层'!C29:C1921,"参考111",'敏感性与分层'!D29:D1921,"自动000")</x:f>
        <x:v>0</x:v>
      </x:c>
      <x:c r="C23" s="12" t="n">
        <x:f>COUNTIFS('敏感性与分层'!C29:C1921,"参考111",'敏感性与分层'!D29:D1921,"自动001")</x:f>
        <x:v>0</x:v>
      </x:c>
      <x:c r="D23" s="12" t="n">
        <x:f>COUNTIFS('敏感性与分层'!C29:C1921,"参考111",'敏感性与分层'!D29:D1921,"自动010")</x:f>
        <x:v>0</x:v>
      </x:c>
      <x:c r="E23" s="12" t="n">
        <x:f>COUNTIFS('敏感性与分层'!C29:C1921,"参考111",'敏感性与分层'!D29:D1921,"自动011")</x:f>
        <x:v>0</x:v>
      </x:c>
      <x:c r="F23" s="12" t="n">
        <x:f>COUNTIFS('敏感性与分层'!C29:C1921,"参考111",'敏感性与分层'!D29:D1921,"自动100")</x:f>
        <x:v>0</x:v>
      </x:c>
      <x:c r="G23" s="12" t="n">
        <x:f>COUNTIFS('敏感性与分层'!C29:C1921,"参考111",'敏感性与分层'!D29:D1921,"自动101")</x:f>
        <x:v>0</x:v>
      </x:c>
      <x:c r="H23" s="12" t="n">
        <x:f>COUNTIFS('敏感性与分层'!C29:C1921,"参考111",'敏感性与分层'!D29:D1921,"自动110")</x:f>
        <x:v>0</x:v>
      </x:c>
      <x:c r="I23" s="12" t="n">
        <x:f>COUNTIFS('敏感性与分层'!C29:C1921,"参考111",'敏感性与分层'!D29:D1921,"自动111")</x:f>
        <x:v>0</x:v>
      </x:c>
      <x:c r="J23" s="12"/>
      <x:c r="K23" s="12"/>
      <x:c r="L23" s="12"/>
      <x:c r="M23" s="12"/>
      <x:c r="N23" s="12"/>
      <x:c r="O23" s="12"/>
      <x:c r="P23" s="12"/>
      <x:c r="Q23" s="12"/>
      <x:c r="R23" s="12"/>
    </x:row>
    <x:row r="24" ht="24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</x:row>
    <x:row r="25" ht="24" customHeight="1">
      <x:c r="A25" s="12" t="str">
        <x:v>任一目标阳性原归档比较</x:v>
      </x:c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</x:row>
    <x:row r="26" ht="24" customHeight="1">
      <x:c r="A26" s="16" t="str">
        <x:v>对象</x:v>
      </x:c>
      <x:c r="B26" s="16" t="str">
        <x:v>a</x:v>
      </x:c>
      <x:c r="C26" s="16" t="str">
        <x:v>b</x:v>
      </x:c>
      <x:c r="D26" s="16" t="str">
        <x:v>c</x:v>
      </x:c>
      <x:c r="E26" s="16" t="str">
        <x:v>d</x:v>
      </x:c>
      <x:c r="F26" s="16" t="str">
        <x:v>PPA</x:v>
      </x:c>
      <x:c r="G26" s="16" t="str">
        <x:v>NPA</x:v>
      </x:c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</x:row>
    <x:row r="27" ht="24" customHeight="1">
      <x:c r="A27" s="12" t="str">
        <x:v>任一目标</x:v>
      </x:c>
      <x:c r="B27" s="12" t="n">
        <x:f>COUNTIFS('敏感性与分层'!E29:E1921,1,'敏感性与分层'!H29:H1921,1)</x:f>
        <x:v>164</x:v>
      </x:c>
      <x:c r="C27" s="12" t="n">
        <x:f>COUNTIFS('敏感性与分层'!E29:E1921,1,'敏感性与分层'!H29:H1921,0)</x:f>
        <x:v>28</x:v>
      </x:c>
      <x:c r="D27" s="12" t="n">
        <x:f>COUNTIFS('敏感性与分层'!E29:E1921,0,'敏感性与分层'!H29:H1921,1)</x:f>
        <x:v>22</x:v>
      </x:c>
      <x:c r="E27" s="12" t="n">
        <x:f>COUNTIFS('敏感性与分层'!E29:E1921,0,'敏感性与分层'!H29:H1921,0)</x:f>
        <x:v>1679</x:v>
      </x:c>
      <x:c r="F27" s="14" t="n">
        <x:f>B27/(B27+D27)</x:f>
        <x:v>0.8817204301075269</x:v>
      </x:c>
      <x:c r="G27" s="14" t="n">
        <x:f>E27/(C27+E27)</x:f>
        <x:v>0.9835969537199766</x:v>
      </x:c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</x:row>
    <x:row r="28" ht="24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</x:row>
    <x:row r="29" ht="24" customHeight="1">
      <x:c r="A29" s="12" t="str">
        <x:v>合并一致但具体组合不同的全部对象</x:v>
      </x:c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</x:row>
    <x:row r="30" ht="24" customHeight="1">
      <x:c r="A30" s="16" t="str">
        <x:v>ecg_id</x:v>
      </x:c>
      <x:c r="B30" s="16" t="str">
        <x:v>patient_id</x:v>
      </x:c>
      <x:c r="C30" s="16" t="str">
        <x:v>原参考向量</x:v>
      </x:c>
      <x:c r="D30" s="16" t="str">
        <x:v>自动向量</x:v>
      </x:c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</x:row>
    <x:row r="31" ht="24" customHeight="1">
      <x:c r="A31" s="12" t="str">
        <x:v>569</x:v>
      </x:c>
      <x:c r="B31" s="12" t="str">
        <x:v>2936</x:v>
      </x:c>
      <x:c r="C31" s="12" t="str">
        <x:v>参考100</x:v>
      </x:c>
      <x:c r="D31" s="12" t="str">
        <x:v>自动101</x:v>
      </x:c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</x:row>
    <x:row r="32" ht="24" customHeight="1">
      <x:c r="A32" s="12" t="str">
        <x:v>8041</x:v>
      </x:c>
      <x:c r="B32" s="12" t="str">
        <x:v>3434</x:v>
      </x:c>
      <x:c r="C32" s="12" t="str">
        <x:v>参考101</x:v>
      </x:c>
      <x:c r="D32" s="12" t="str">
        <x:v>自动001</x:v>
      </x:c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</x:row>
    <x:row r="33" ht="24" customHeight="1">
      <x:c r="A33" s="12" t="str">
        <x:v>11418</x:v>
      </x:c>
      <x:c r="B33" s="12" t="str">
        <x:v>13679</x:v>
      </x:c>
      <x:c r="C33" s="12" t="str">
        <x:v>参考010</x:v>
      </x:c>
      <x:c r="D33" s="12" t="str">
        <x:v>自动110</x:v>
      </x:c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</x:row>
    <x:row r="34" ht="24" customHeight="1">
      <x:c r="A34" s="12" t="str">
        <x:v>11500</x:v>
      </x:c>
      <x:c r="B34" s="12" t="str">
        <x:v>13887</x:v>
      </x:c>
      <x:c r="C34" s="12" t="str">
        <x:v>参考001</x:v>
      </x:c>
      <x:c r="D34" s="12" t="str">
        <x:v>自动101</x:v>
      </x:c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</x:row>
    <x:row r="35" ht="24" customHeight="1">
      <x:c r="A35" s="12" t="str">
        <x:v>19305</x:v>
      </x:c>
      <x:c r="B35" s="12" t="str">
        <x:v>15115</x:v>
      </x:c>
      <x:c r="C35" s="12" t="str">
        <x:v>参考100</x:v>
      </x:c>
      <x:c r="D35" s="12" t="str">
        <x:v>自动110</x:v>
      </x:c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</x:row>
    <x:row r="36" ht="24" customHeight="1">
      <x:c r="A36" s="12" t="str">
        <x:v>19906</x:v>
      </x:c>
      <x:c r="B36" s="12" t="str">
        <x:v>14689</x:v>
      </x:c>
      <x:c r="C36" s="12" t="str">
        <x:v>参考101</x:v>
      </x:c>
      <x:c r="D36" s="12" t="str">
        <x:v>自动001</x:v>
      </x:c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</x:row>
    <x:row r="37" ht="24" customHeight="1">
      <x:c r="A37" s="12" t="str">
        <x:v>20674</x:v>
      </x:c>
      <x:c r="B37" s="12" t="str">
        <x:v>18246</x:v>
      </x:c>
      <x:c r="C37" s="12" t="str">
        <x:v>参考101</x:v>
      </x:c>
      <x:c r="D37" s="12" t="str">
        <x:v>自动001</x:v>
      </x:c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</x:row>
    <x:row r="38" ht="24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</x:row>
    <x:row r="39" ht="24" customHeight="1">
      <x:c r="A39" s="12" t="str">
        <x:v>原复核提案人数与覆盖</x:v>
      </x:c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</x:row>
    <x:row r="40" ht="24" customHeight="1">
      <x:c r="A40" s="16" t="str">
        <x:v>提案</x:v>
      </x:c>
      <x:c r="B40" s="16" t="str">
        <x:v>优先人数</x:v>
      </x:c>
      <x:c r="C40" s="16" t="str">
        <x:v>占索引</x:v>
      </x:c>
      <x:c r="D40" s="16" t="str">
        <x:v>AFIB纳入</x:v>
      </x:c>
      <x:c r="E40" s="16" t="str">
        <x:v>AFIB未纳入</x:v>
      </x:c>
      <x:c r="F40" s="16" t="str">
        <x:v>CLBBB纳入</x:v>
      </x:c>
      <x:c r="G40" s="16" t="str">
        <x:v>CLBBB未纳入</x:v>
      </x:c>
      <x:c r="H40" s="16" t="str">
        <x:v>CRBBB纳入</x:v>
      </x:c>
      <x:c r="I40" s="16" t="str">
        <x:v>CRBBB未纳入</x:v>
      </x:c>
      <x:c r="J40" s="16" t="str">
        <x:v>任一纳入</x:v>
      </x:c>
      <x:c r="K40" s="16" t="str">
        <x:v>任一未纳入</x:v>
      </x:c>
      <x:c r="L40" s="16" t="str">
        <x:v>用途</x:v>
      </x:c>
      <x:c r="M40" s="16"/>
      <x:c r="N40" s="16"/>
      <x:c r="O40" s="16"/>
      <x:c r="P40" s="16"/>
      <x:c r="Q40" s="16"/>
      <x:c r="R40" s="16"/>
    </x:row>
    <x:row r="41" ht="39" customHeight="1">
      <x:c r="A41" s="12" t="str">
        <x:v>A</x:v>
      </x:c>
      <x:c r="B41" s="12" t="n">
        <x:f>COUNTIF('敏感性与分层'!E29:E1921,1)</x:f>
        <x:v>192</x:v>
      </x:c>
      <x:c r="C41" s="14" t="n">
        <x:f>B41/'范围与口径'!B13</x:f>
        <x:v>0.10142630744849446</x:v>
      </x:c>
      <x:c r="D41" s="12" t="n">
        <x:f>COUNTIFS('敏感性与分层'!E29:E1921,1,'敏感性与分层'!I29:I1921,1)</x:f>
        <x:v>96</x:v>
      </x:c>
      <x:c r="E41" s="12" t="n">
        <x:f>COUNTIF('敏感性与分层'!I29:I1921,1)-D41</x:f>
        <x:v>18</x:v>
      </x:c>
      <x:c r="F41" s="12" t="n">
        <x:f>COUNTIFS('敏感性与分层'!E29:E1921,1,'敏感性与分层'!J29:J1921,1)</x:f>
        <x:v>36</x:v>
      </x:c>
      <x:c r="G41" s="12" t="n">
        <x:f>COUNTIF('敏感性与分层'!J29:J1921,1)-F41</x:f>
        <x:v>3</x:v>
      </x:c>
      <x:c r="H41" s="12" t="n">
        <x:f>COUNTIFS('敏感性与分层'!E29:E1921,1,'敏感性与分层'!K29:K1921,1)</x:f>
        <x:v>44</x:v>
      </x:c>
      <x:c r="I41" s="12" t="n">
        <x:f>COUNTIF('敏感性与分层'!K29:K1921,1)-H41</x:f>
        <x:v>1</x:v>
      </x:c>
      <x:c r="J41" s="12" t="n">
        <x:f>COUNTIFS('敏感性与分层'!E29:E1921,1,'敏感性与分层'!H29:H1921,1)</x:f>
        <x:v>164</x:v>
      </x:c>
      <x:c r="K41" s="12" t="n">
        <x:f>COUNTIF('敏感性与分层'!H29:H1921,1)-J41</x:f>
        <x:v>22</x:v>
      </x:c>
      <x:c r="L41" s="12" t="str">
        <x:v>原名单固定；覆盖是归档参考阳性覆盖</x:v>
      </x:c>
      <x:c r="M41" s="12"/>
      <x:c r="N41" s="12"/>
      <x:c r="O41" s="12"/>
      <x:c r="P41" s="12"/>
      <x:c r="Q41" s="12"/>
      <x:c r="R41" s="12"/>
    </x:row>
    <x:row r="42" ht="39" customHeight="1">
      <x:c r="A42" s="12" t="str">
        <x:v>B</x:v>
      </x:c>
      <x:c r="B42" s="12" t="n">
        <x:f>COUNTIF('敏感性与分层'!F29:F1921,1)</x:f>
        <x:v>624</x:v>
      </x:c>
      <x:c r="C42" s="14" t="n">
        <x:f>B42/'范围与口径'!B13</x:f>
        <x:v>0.329635499207607</x:v>
      </x:c>
      <x:c r="D42" s="12" t="n">
        <x:f>COUNTIFS('敏感性与分层'!F29:F1921,1,'敏感性与分层'!I29:I1921,1)</x:f>
        <x:v>104</x:v>
      </x:c>
      <x:c r="E42" s="12" t="n">
        <x:f>COUNTIF('敏感性与分层'!I29:I1921,1)-D42</x:f>
        <x:v>10</x:v>
      </x:c>
      <x:c r="F42" s="12" t="n">
        <x:f>COUNTIFS('敏感性与分层'!F29:F1921,1,'敏感性与分层'!J29:J1921,1)</x:f>
        <x:v>39</x:v>
      </x:c>
      <x:c r="G42" s="12" t="n">
        <x:f>COUNTIF('敏感性与分层'!J29:J1921,1)-F42</x:f>
        <x:v>0</x:v>
      </x:c>
      <x:c r="H42" s="12" t="n">
        <x:f>COUNTIFS('敏感性与分层'!F29:F1921,1,'敏感性与分层'!K29:K1921,1)</x:f>
        <x:v>45</x:v>
      </x:c>
      <x:c r="I42" s="12" t="n">
        <x:f>COUNTIF('敏感性与分层'!K29:K1921,1)-H42</x:f>
        <x:v>0</x:v>
      </x:c>
      <x:c r="J42" s="12" t="n">
        <x:f>COUNTIFS('敏感性与分层'!F29:F1921,1,'敏感性与分层'!H29:H1921,1)</x:f>
        <x:v>176</x:v>
      </x:c>
      <x:c r="K42" s="12" t="n">
        <x:f>COUNTIF('敏感性与分层'!H29:H1921,1)-J42</x:f>
        <x:v>10</x:v>
      </x:c>
      <x:c r="L42" s="12" t="str">
        <x:v>原名单固定；覆盖是归档参考阳性覆盖</x:v>
      </x:c>
      <x:c r="M42" s="12"/>
      <x:c r="N42" s="12"/>
      <x:c r="O42" s="12"/>
      <x:c r="P42" s="12"/>
      <x:c r="Q42" s="12"/>
      <x:c r="R42" s="12"/>
    </x:row>
    <x:row r="43" ht="39" customHeight="1">
      <x:c r="A43" s="12" t="str">
        <x:v>C0</x:v>
      </x:c>
      <x:c r="B43" s="12" t="n">
        <x:f>COUNTIF('敏感性与分层'!G29:G1921,1)</x:f>
        <x:v>57</x:v>
      </x:c>
      <x:c r="C43" s="14" t="n">
        <x:f>B43/'范围与口径'!B13</x:f>
        <x:v>0.030110935023771792</x:v>
      </x:c>
      <x:c r="D43" s="12" t="n">
        <x:f>COUNTIFS('敏感性与分层'!G29:G1921,1,'敏感性与分层'!I29:I1921,1)</x:f>
        <x:v>23</x:v>
      </x:c>
      <x:c r="E43" s="12" t="n">
        <x:f>COUNTIF('敏感性与分层'!I29:I1921,1)-D43</x:f>
        <x:v>91</x:v>
      </x:c>
      <x:c r="F43" s="12" t="n">
        <x:f>COUNTIFS('敏感性与分层'!G29:G1921,1,'敏感性与分层'!J29:J1921,1)</x:f>
        <x:v>4</x:v>
      </x:c>
      <x:c r="G43" s="12" t="n">
        <x:f>COUNTIF('敏感性与分层'!J29:J1921,1)-F43</x:f>
        <x:v>35</x:v>
      </x:c>
      <x:c r="H43" s="12" t="n">
        <x:f>COUNTIFS('敏感性与分层'!G29:G1921,1,'敏感性与分层'!K29:K1921,1)</x:f>
        <x:v>5</x:v>
      </x:c>
      <x:c r="I43" s="12" t="n">
        <x:f>COUNTIF('敏感性与分层'!K29:K1921,1)-H43</x:f>
        <x:v>40</x:v>
      </x:c>
      <x:c r="J43" s="12" t="n">
        <x:f>COUNTIFS('敏感性与分层'!G29:G1921,1,'敏感性与分层'!H29:H1921,1)</x:f>
        <x:v>29</x:v>
      </x:c>
      <x:c r="K43" s="12" t="n">
        <x:f>COUNTIF('敏感性与分层'!H29:H1921,1)-J43</x:f>
        <x:v>157</x:v>
      </x:c>
      <x:c r="L43" s="12" t="str">
        <x:v>原名单固定；覆盖是归档参考阳性覆盖</x:v>
      </x:c>
      <x:c r="M43" s="12"/>
      <x:c r="N43" s="12"/>
      <x:c r="O43" s="12"/>
      <x:c r="P43" s="12"/>
      <x:c r="Q43" s="12"/>
      <x:c r="R43" s="12"/>
    </x:row>
    <x:row r="44" ht="24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</x:row>
    <x:row r="45" ht="24" customHeight="1">
      <x:c r="A45" s="12" t="str">
        <x:v>复核名单交集</x:v>
      </x:c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</x:row>
    <x:row r="46" ht="24" customHeight="1">
      <x:c r="A46" s="16" t="str">
        <x:v>交集</x:v>
      </x:c>
      <x:c r="B46" s="16" t="str">
        <x:v>人数</x:v>
      </x:c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</x:row>
    <x:row r="47" ht="24" customHeight="1">
      <x:c r="A47" s="12" t="str">
        <x:v>AB</x:v>
      </x:c>
      <x:c r="B47" s="12" t="n">
        <x:f>COUNTIFS('敏感性与分层'!E29:E1921,1,'敏感性与分层'!F29:F1921,1)</x:f>
        <x:v>192</x:v>
      </x:c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</x:row>
    <x:row r="48" ht="24" customHeight="1">
      <x:c r="A48" s="12" t="str">
        <x:v>AC0</x:v>
      </x:c>
      <x:c r="B48" s="12" t="n">
        <x:f>COUNTIFS('敏感性与分层'!E29:E1921,1,'敏感性与分层'!G29:G1921,1)</x:f>
        <x:v>35</x:v>
      </x:c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</x:row>
    <x:row r="49" ht="24" customHeight="1">
      <x:c r="A49" s="12" t="str">
        <x:v>BC0</x:v>
      </x:c>
      <x:c r="B49" s="12" t="n">
        <x:f>COUNTIFS('敏感性与分层'!F29:F1921,1,'敏感性与分层'!G29:G1921,1)</x:f>
        <x:v>47</x:v>
      </x:c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</x:row>
    <x:row r="50" ht="24" customHeight="1">
      <x:c r="A50" s="12" t="str">
        <x:v>ABC0</x:v>
      </x:c>
      <x:c r="B50" s="12" t="n">
        <x:f>COUNTIFS('敏感性与分层'!E29:E1921,1,'敏感性与分层'!F29:F1921,1,'敏感性与分层'!G29:G1921,1)</x:f>
        <x:v>35</x:v>
      </x:c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</x:row>
    <x:row r="51" ht="24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</x:row>
    <x:row r="52" ht="24" customHeight="1">
      <x:c r="A52" s="12" t="str">
        <x:v>六项名义Bonferroni Wilson族区间</x:v>
      </x:c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</x:row>
    <x:row r="53" ht="24" customHeight="1">
      <x:c r="A53" s="16" t="str">
        <x:v>目标</x:v>
      </x:c>
      <x:c r="B53" s="16" t="str">
        <x:v>PPA下限</x:v>
      </x:c>
      <x:c r="C53" s="16" t="str">
        <x:v>PPA上限</x:v>
      </x:c>
      <x:c r="D53" s="16" t="str">
        <x:v>NPA下限</x:v>
      </x:c>
      <x:c r="E53" s="16" t="str">
        <x:v>NPA上限</x:v>
      </x:c>
      <x:c r="F53" s="16" t="str">
        <x:v>z</x:v>
      </x:c>
      <x:c r="G53" s="16" t="str">
        <x:v>解释</x:v>
      </x:c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</x:row>
    <x:row r="54" ht="24" customHeight="1">
      <x:c r="A54" s="12" t="str">
        <x:v>AFIB</x:v>
      </x:c>
      <x:c r="B54" s="14" t="n">
        <x:f>IF(J2=0,"不可估计",MAX(0,(L2+F54^2/(2*J2)-F54*SQRT(L2*(1-L2)/J2+F54^2/(4*J2^2)))/(1+F54^2/J2)))</x:f>
        <x:v>0.7028680642671892</x:v>
      </x:c>
      <x:c r="C54" s="14" t="n">
        <x:f>IF(J2=0,"不可估计",MIN(1,(L2+F54^2/(2*J2)+F54*SQRT(L2*(1-L2)/J2+F54^2/(4*J2^2)))/(1+F54^2/J2)))</x:f>
        <x:v>0.892368055506168</x:v>
      </x:c>
      <x:c r="D54" s="14" t="n">
        <x:f>IF((G2+I2)=0,"不可估计",MAX(0,(M2+F54^2/(2*(G2+I2))-F54*SQRT(M2*(1-M2)/(G2+I2)+F54^2/(4*(G2+I2)^2)))/(1+F54^2/(G2+I2))))</x:f>
        <x:v>0.9889702183369657</x:v>
      </x:c>
      <x:c r="E54" s="14" t="n">
        <x:f>IF((G2+I2)=0,"不可估计",MIN(1,(M2+F54^2/(2*(G2+I2))+F54*SQRT(M2*(1-M2)/(G2+I2)+F54^2/(4*(G2+I2)^2)))/(1+F54^2/(G2+I2))))</x:f>
        <x:v>0.9981737287390573</x:v>
      </x:c>
      <x:c r="F54" s="12" t="n">
        <x:f>'范围与口径'!B38</x:f>
        <x:v>2.638257273476751</x:v>
      </x:c>
      <x:c r="G54" s="12" t="str">
        <x:v>名义族区间；近似覆盖</x:v>
      </x:c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</x:row>
    <x:row r="55" ht="24" customHeight="1">
      <x:c r="A55" s="12" t="str">
        <x:v>CLBBB</x:v>
      </x:c>
      <x:c r="B55" s="14" t="n">
        <x:f>IF(J3=0,"不可估计",MAX(0,(L3+F55^2/(2*J3)-F55*SQRT(L3*(1-L3)/J3+F55^2/(4*J3^2)))/(1+F55^2/J3)))</x:f>
        <x:v>0.7371087139792263</x:v>
      </x:c>
      <x:c r="C55" s="14" t="n">
        <x:f>IF(J3=0,"不可估计",MIN(1,(L3+F55^2/(2*J3)+F55*SQRT(L3*(1-L3)/J3+F55^2/(4*J3^2)))/(1+F55^2/J3)))</x:f>
        <x:v>0.9809006803104326</x:v>
      </x:c>
      <x:c r="D55" s="14" t="n">
        <x:f>IF((G3+I3)=0,"不可估计",MAX(0,(M3+F55^2/(2*(G3+I3))-F55*SQRT(M3*(1-M3)/(G3+I3)+F55^2/(4*(G3+I3)^2)))/(1+F55^2/(G3+I3))))</x:f>
        <x:v>0.9917662347646671</x:v>
      </x:c>
      <x:c r="E55" s="14" t="n">
        <x:f>IF((G3+I3)=0,"不可估计",MIN(1,(M3+F55^2/(2*(G3+I3))+F55*SQRT(M3*(1-M3)/(G3+I3)+F55^2/(4*(G3+I3)^2)))/(1+F55^2/(G3+I3))))</x:f>
        <x:v>0.9991199756953089</x:v>
      </x:c>
      <x:c r="F55" s="12" t="n">
        <x:f>'范围与口径'!B38</x:f>
        <x:v>2.638257273476751</x:v>
      </x:c>
      <x:c r="G55" s="12" t="str">
        <x:v>名义族区间；近似覆盖</x:v>
      </x:c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</x:row>
    <x:row r="56" ht="24" customHeight="1">
      <x:c r="A56" s="12" t="str">
        <x:v>CRBBB</x:v>
      </x:c>
      <x:c r="B56" s="14" t="n">
        <x:f>IF(J4=0,"不可估计",MAX(0,(L4+F56^2/(2*J4)-F56*SQRT(L4*(1-L4)/J4+F56^2/(4*J4^2)))/(1+F56^2/J4)))</x:f>
        <x:v>0.8300700464477271</x:v>
      </x:c>
      <x:c r="C56" s="14" t="n">
        <x:f>IF(J4=0,"不可估计",MIN(1,(L4+F56^2/(2*J4)+F56*SQRT(L4*(1-L4)/J4+F56^2/(4*J4^2)))/(1+F56^2/J4)))</x:f>
        <x:v>0.9974832211840059</x:v>
      </x:c>
      <x:c r="D56" s="14" t="n">
        <x:f>IF((G4+I4)=0,"不可估计",MAX(0,(M4+F56^2/(2*(G4+I4))-F56*SQRT(M4*(1-M4)/(G4+I4)+F56^2/(4*(G4+I4)^2)))/(1+F56^2/(G4+I4))))</x:f>
        <x:v>0.9814344013042993</x:v>
      </x:c>
      <x:c r="E56" s="14" t="n">
        <x:f>IF((G4+I4)=0,"不可估计",MIN(1,(M4+F56^2/(2*(G4+I4))+F56*SQRT(M4*(1-M4)/(G4+I4)+F56^2/(4*(G4+I4)^2)))/(1+F56^2/(G4+I4))))</x:f>
        <x:v>0.9943276681144738</x:v>
      </x:c>
      <x:c r="F56" s="12" t="n">
        <x:f>'范围与口径'!B38</x:f>
        <x:v>2.638257273476751</x:v>
      </x:c>
      <x:c r="G56" s="12" t="str">
        <x:v>名义族区间；近似覆盖</x:v>
      </x:c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</x:row>
  </x:sheetData>
  <x:mergeCells>
    <x:mergeCell ref="H6:R6"/>
    <x:mergeCell ref="H7:R7"/>
    <x:mergeCell ref="H8:R8"/>
    <x:mergeCell ref="H9:R9"/>
    <x:mergeCell ref="H10:R10"/>
    <x:mergeCell ref="H11:R11"/>
    <x:mergeCell ref="H12:R12"/>
    <x:mergeCell ref="A14:R14"/>
    <x:mergeCell ref="A25:R25"/>
    <x:mergeCell ref="A29:R29"/>
    <x:mergeCell ref="A39:R39"/>
    <x:mergeCell ref="A45:R45"/>
    <x:mergeCell ref="A52:R5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17" hidden="0" customWidth="1"/>
    <x:col min="4" max="4" width="19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9" hidden="0" customWidth="1"/>
    <x:col min="10" max="10" width="19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62" hidden="0" customWidth="1"/>
  </x:cols>
  <x:sheetData>
    <x:row r="1" ht="40" customHeight="1">
      <x:c r="A1" s="16" t="str">
        <x:v>分析层次</x:v>
      </x:c>
      <x:c r="B1" s="16" t="str">
        <x:v>分组或情景</x:v>
      </x:c>
      <x:c r="C1" s="16" t="str">
        <x:v>目标</x:v>
      </x:c>
      <x:c r="D1" s="16" t="str">
        <x:v>该组数量</x:v>
      </x:c>
      <x:c r="E1" s="16" t="str">
        <x:v>a</x:v>
      </x:c>
      <x:c r="F1" s="16" t="str">
        <x:v>b</x:v>
      </x:c>
      <x:c r="G1" s="16" t="str">
        <x:v>c</x:v>
      </x:c>
      <x:c r="H1" s="16" t="str">
        <x:v>d</x:v>
      </x:c>
      <x:c r="I1" s="16" t="str">
        <x:v>PPA</x:v>
      </x:c>
      <x:c r="J1" s="16" t="str">
        <x:v>NPA</x:v>
      </x:c>
      <x:c r="K1" s="16" t="str">
        <x:v>参考阳性数</x:v>
      </x:c>
      <x:c r="L1" s="16" t="str">
        <x:v>自动阳性数</x:v>
      </x:c>
      <x:c r="M1" s="16" t="str">
        <x:v>不可评价</x:v>
      </x:c>
      <x:c r="N1" s="16" t="str">
        <x:v>疑似未二元化</x:v>
      </x:c>
      <x:c r="O1" s="16" t="str">
        <x:v>解释</x:v>
      </x:c>
    </x:row>
    <x:row r="2" ht="24" customHeight="1">
      <x:c r="A2" s="12" t="str">
        <x:v>疑似情景</x:v>
      </x:c>
      <x:c r="B2" s="12" t="str">
        <x:v>归阳</x:v>
      </x:c>
      <x:c r="C2" s="12" t="str">
        <x:v>AFIB</x:v>
      </x:c>
      <x:c r="D2" s="12" t="n">
        <x:f>SUM(E2:H2)+M2+N2</x:f>
        <x:v>1893</x:v>
      </x:c>
      <x:c r="E2" s="12" t="n">
        <x:f>COUNTIFS('患者配对'!$AA$2:$AA$2186,"a",'患者配对'!$G$2:$G$2186,1)</x:f>
        <x:v>93</x:v>
      </x:c>
      <x:c r="F2" s="12" t="n">
        <x:f>COUNTIFS('患者配对'!$AA$2:$AA$2186,"b",'患者配对'!$G$2:$G$2186,1)</x:f>
        <x:v>8</x:v>
      </x:c>
      <x:c r="G2" s="12" t="n">
        <x:f>COUNTIFS('患者配对'!$AA$2:$AA$2186,"c",'患者配对'!$G$2:$G$2186,1)</x:f>
        <x:v>21</x:v>
      </x:c>
      <x:c r="H2" s="12" t="n">
        <x:f>COUNTIFS('患者配对'!$AA$2:$AA$2186,"d",'患者配对'!$G$2:$G$2186,1)</x:f>
        <x:v>1771</x:v>
      </x:c>
      <x:c r="I2" s="14" t="n">
        <x:f>IF(E2+G2=0,"不可估计",E2/(E2+G2))</x:f>
        <x:v>0.8157894736842105</x:v>
      </x:c>
      <x:c r="J2" s="14" t="n">
        <x:f>IF(F2+H2=0,"不可估计",H2/(F2+H2))</x:f>
        <x:v>0.9955030916245081</x:v>
      </x:c>
      <x:c r="K2" s="12" t="n">
        <x:f>E2+G2</x:f>
        <x:v>114</x:v>
      </x:c>
      <x:c r="L2" s="12" t="n">
        <x:f>E2+F2</x:f>
        <x:v>101</x:v>
      </x:c>
      <x:c r="M2" s="12" t="n">
        <x:f>COUNTIFS('患者配对'!$AA$2:$AA$2186,"不可评价",'患者配对'!$G$2:$G$2186,1)</x:f>
        <x:v>0</x:v>
      </x:c>
      <x:c r="N2" s="12" t="n">
        <x:f>COUNTIFS('患者配对'!$AA$2:$AA$2186,"疑似",'患者配对'!$G$2:$G$2186,1)</x:f>
        <x:v>0</x:v>
      </x:c>
      <x:c r="O2" s="12" t="str">
        <x:v>目标相关疑似为0</x:v>
      </x:c>
    </x:row>
    <x:row r="3" ht="24" customHeight="1">
      <x:c r="A3" s="12" t="str">
        <x:v>疑似情景</x:v>
      </x:c>
      <x:c r="B3" s="12" t="str">
        <x:v>归阳</x:v>
      </x:c>
      <x:c r="C3" s="12" t="str">
        <x:v>CLBBB</x:v>
      </x:c>
      <x:c r="D3" s="12" t="n">
        <x:f>SUM(E3:H3)+M3+N3</x:f>
        <x:v>1893</x:v>
      </x:c>
      <x:c r="E3" s="12" t="n">
        <x:f>COUNTIFS('患者配对'!$AC$2:$AC$2186,"a",'患者配对'!$G$2:$G$2186,1)</x:f>
        <x:v>36</x:v>
      </x:c>
      <x:c r="F3" s="12" t="n">
        <x:f>COUNTIFS('患者配对'!$AC$2:$AC$2186,"b",'患者配对'!$G$2:$G$2186,1)</x:f>
        <x:v>5</x:v>
      </x:c>
      <x:c r="G3" s="12" t="n">
        <x:f>COUNTIFS('患者配对'!$AC$2:$AC$2186,"c",'患者配对'!$G$2:$G$2186,1)</x:f>
        <x:v>3</x:v>
      </x:c>
      <x:c r="H3" s="12" t="n">
        <x:f>COUNTIFS('患者配对'!$AC$2:$AC$2186,"d",'患者配对'!$G$2:$G$2186,1)</x:f>
        <x:v>1849</x:v>
      </x:c>
      <x:c r="I3" s="14" t="n">
        <x:f>IF(E3+G3=0,"不可估计",E3/(E3+G3))</x:f>
        <x:v>0.9230769230769231</x:v>
      </x:c>
      <x:c r="J3" s="14" t="n">
        <x:f>IF(F3+H3=0,"不可估计",H3/(F3+H3))</x:f>
        <x:v>0.9973031283710896</x:v>
      </x:c>
      <x:c r="K3" s="12" t="n">
        <x:f>E3+G3</x:f>
        <x:v>39</x:v>
      </x:c>
      <x:c r="L3" s="12" t="n">
        <x:f>E3+F3</x:f>
        <x:v>41</x:v>
      </x:c>
      <x:c r="M3" s="12" t="n">
        <x:f>COUNTIFS('患者配对'!$AC$2:$AC$2186,"不可评价",'患者配对'!$G$2:$G$2186,1)</x:f>
        <x:v>0</x:v>
      </x:c>
      <x:c r="N3" s="12" t="n">
        <x:f>COUNTIFS('患者配对'!$AC$2:$AC$2186,"疑似",'患者配对'!$G$2:$G$2186,1)</x:f>
        <x:v>0</x:v>
      </x:c>
      <x:c r="O3" s="12" t="str">
        <x:v>目标相关疑似为0</x:v>
      </x:c>
    </x:row>
    <x:row r="4" ht="24" customHeight="1">
      <x:c r="A4" s="12" t="str">
        <x:v>疑似情景</x:v>
      </x:c>
      <x:c r="B4" s="12" t="str">
        <x:v>归阳</x:v>
      </x:c>
      <x:c r="C4" s="12" t="str">
        <x:v>CRBBB</x:v>
      </x:c>
      <x:c r="D4" s="12" t="n">
        <x:f>SUM(E4:H4)+M4+N4</x:f>
        <x:v>1893</x:v>
      </x:c>
      <x:c r="E4" s="12" t="n">
        <x:f>COUNTIFS('患者配对'!$AE$2:$AE$2186,"a",'患者配对'!$G$2:$G$2186,1)</x:f>
        <x:v>44</x:v>
      </x:c>
      <x:c r="F4" s="12" t="n">
        <x:f>COUNTIFS('患者配对'!$AE$2:$AE$2186,"b",'患者配对'!$G$2:$G$2186,1)</x:f>
        <x:v>19</x:v>
      </x:c>
      <x:c r="G4" s="12" t="n">
        <x:f>COUNTIFS('患者配对'!$AE$2:$AE$2186,"c",'患者配对'!$G$2:$G$2186,1)</x:f>
        <x:v>1</x:v>
      </x:c>
      <x:c r="H4" s="12" t="n">
        <x:f>COUNTIFS('患者配对'!$AE$2:$AE$2186,"d",'患者配对'!$G$2:$G$2186,1)</x:f>
        <x:v>1829</x:v>
      </x:c>
      <x:c r="I4" s="14" t="n">
        <x:f>IF(E4+G4=0,"不可估计",E4/(E4+G4))</x:f>
        <x:v>0.9777777777777777</x:v>
      </x:c>
      <x:c r="J4" s="14" t="n">
        <x:f>IF(F4+H4=0,"不可估计",H4/(F4+H4))</x:f>
        <x:v>0.9897186147186147</x:v>
      </x:c>
      <x:c r="K4" s="12" t="n">
        <x:f>E4+G4</x:f>
        <x:v>45</x:v>
      </x:c>
      <x:c r="L4" s="12" t="n">
        <x:f>E4+F4</x:f>
        <x:v>63</x:v>
      </x:c>
      <x:c r="M4" s="12" t="n">
        <x:f>COUNTIFS('患者配对'!$AE$2:$AE$2186,"不可评价",'患者配对'!$G$2:$G$2186,1)</x:f>
        <x:v>0</x:v>
      </x:c>
      <x:c r="N4" s="12" t="n">
        <x:f>COUNTIFS('患者配对'!$AE$2:$AE$2186,"疑似",'患者配对'!$G$2:$G$2186,1)</x:f>
        <x:v>0</x:v>
      </x:c>
      <x:c r="O4" s="12" t="str">
        <x:v>目标相关疑似为0</x:v>
      </x:c>
    </x:row>
    <x:row r="5" ht="24" customHeight="1">
      <x:c r="A5" s="12" t="str">
        <x:v>疑似情景</x:v>
      </x:c>
      <x:c r="B5" s="12" t="str">
        <x:v>归阴</x:v>
      </x:c>
      <x:c r="C5" s="12" t="str">
        <x:v>AFIB</x:v>
      </x:c>
      <x:c r="D5" s="12" t="n">
        <x:f>SUM(E5:H5)+M5+N5</x:f>
        <x:v>1893</x:v>
      </x:c>
      <x:c r="E5" s="12" t="n">
        <x:f>COUNTIFS('患者配对'!$AB$2:$AB$2186,"a",'患者配对'!$G$2:$G$2186,1)</x:f>
        <x:v>93</x:v>
      </x:c>
      <x:c r="F5" s="12" t="n">
        <x:f>COUNTIFS('患者配对'!$AB$2:$AB$2186,"b",'患者配对'!$G$2:$G$2186,1)</x:f>
        <x:v>8</x:v>
      </x:c>
      <x:c r="G5" s="12" t="n">
        <x:f>COUNTIFS('患者配对'!$AB$2:$AB$2186,"c",'患者配对'!$G$2:$G$2186,1)</x:f>
        <x:v>21</x:v>
      </x:c>
      <x:c r="H5" s="12" t="n">
        <x:f>COUNTIFS('患者配对'!$AB$2:$AB$2186,"d",'患者配对'!$G$2:$G$2186,1)</x:f>
        <x:v>1771</x:v>
      </x:c>
      <x:c r="I5" s="14" t="n">
        <x:f>IF(E5+G5=0,"不可估计",E5/(E5+G5))</x:f>
        <x:v>0.8157894736842105</x:v>
      </x:c>
      <x:c r="J5" s="14" t="n">
        <x:f>IF(F5+H5=0,"不可估计",H5/(F5+H5))</x:f>
        <x:v>0.9955030916245081</x:v>
      </x:c>
      <x:c r="K5" s="12" t="n">
        <x:f>E5+G5</x:f>
        <x:v>114</x:v>
      </x:c>
      <x:c r="L5" s="12" t="n">
        <x:f>E5+F5</x:f>
        <x:v>101</x:v>
      </x:c>
      <x:c r="M5" s="12" t="n">
        <x:f>COUNTIFS('患者配对'!$AB$2:$AB$2186,"不可评价",'患者配对'!$G$2:$G$2186,1)</x:f>
        <x:v>0</x:v>
      </x:c>
      <x:c r="N5" s="12" t="n">
        <x:f>COUNTIFS('患者配对'!$AB$2:$AB$2186,"疑似",'患者配对'!$G$2:$G$2186,1)</x:f>
        <x:v>0</x:v>
      </x:c>
      <x:c r="O5" s="12" t="str">
        <x:v>目标相关疑似为0</x:v>
      </x:c>
    </x:row>
    <x:row r="6" ht="24" customHeight="1">
      <x:c r="A6" s="12" t="str">
        <x:v>疑似情景</x:v>
      </x:c>
      <x:c r="B6" s="12" t="str">
        <x:v>归阴</x:v>
      </x:c>
      <x:c r="C6" s="12" t="str">
        <x:v>CLBBB</x:v>
      </x:c>
      <x:c r="D6" s="12" t="n">
        <x:f>SUM(E6:H6)+M6+N6</x:f>
        <x:v>1893</x:v>
      </x:c>
      <x:c r="E6" s="12" t="n">
        <x:f>COUNTIFS('患者配对'!$AD$2:$AD$2186,"a",'患者配对'!$G$2:$G$2186,1)</x:f>
        <x:v>36</x:v>
      </x:c>
      <x:c r="F6" s="12" t="n">
        <x:f>COUNTIFS('患者配对'!$AD$2:$AD$2186,"b",'患者配对'!$G$2:$G$2186,1)</x:f>
        <x:v>5</x:v>
      </x:c>
      <x:c r="G6" s="12" t="n">
        <x:f>COUNTIFS('患者配对'!$AD$2:$AD$2186,"c",'患者配对'!$G$2:$G$2186,1)</x:f>
        <x:v>3</x:v>
      </x:c>
      <x:c r="H6" s="12" t="n">
        <x:f>COUNTIFS('患者配对'!$AD$2:$AD$2186,"d",'患者配对'!$G$2:$G$2186,1)</x:f>
        <x:v>1849</x:v>
      </x:c>
      <x:c r="I6" s="14" t="n">
        <x:f>IF(E6+G6=0,"不可估计",E6/(E6+G6))</x:f>
        <x:v>0.9230769230769231</x:v>
      </x:c>
      <x:c r="J6" s="14" t="n">
        <x:f>IF(F6+H6=0,"不可估计",H6/(F6+H6))</x:f>
        <x:v>0.9973031283710896</x:v>
      </x:c>
      <x:c r="K6" s="12" t="n">
        <x:f>E6+G6</x:f>
        <x:v>39</x:v>
      </x:c>
      <x:c r="L6" s="12" t="n">
        <x:f>E6+F6</x:f>
        <x:v>41</x:v>
      </x:c>
      <x:c r="M6" s="12" t="n">
        <x:f>COUNTIFS('患者配对'!$AD$2:$AD$2186,"不可评价",'患者配对'!$G$2:$G$2186,1)</x:f>
        <x:v>0</x:v>
      </x:c>
      <x:c r="N6" s="12" t="n">
        <x:f>COUNTIFS('患者配对'!$AD$2:$AD$2186,"疑似",'患者配对'!$G$2:$G$2186,1)</x:f>
        <x:v>0</x:v>
      </x:c>
      <x:c r="O6" s="12" t="str">
        <x:v>目标相关疑似为0</x:v>
      </x:c>
    </x:row>
    <x:row r="7" ht="24" customHeight="1">
      <x:c r="A7" s="12" t="str">
        <x:v>疑似情景</x:v>
      </x:c>
      <x:c r="B7" s="12" t="str">
        <x:v>归阴</x:v>
      </x:c>
      <x:c r="C7" s="12" t="str">
        <x:v>CRBBB</x:v>
      </x:c>
      <x:c r="D7" s="12" t="n">
        <x:f>SUM(E7:H7)+M7+N7</x:f>
        <x:v>1893</x:v>
      </x:c>
      <x:c r="E7" s="12" t="n">
        <x:f>COUNTIFS('患者配对'!$AF$2:$AF$2186,"a",'患者配对'!$G$2:$G$2186,1)</x:f>
        <x:v>44</x:v>
      </x:c>
      <x:c r="F7" s="12" t="n">
        <x:f>COUNTIFS('患者配对'!$AF$2:$AF$2186,"b",'患者配对'!$G$2:$G$2186,1)</x:f>
        <x:v>19</x:v>
      </x:c>
      <x:c r="G7" s="12" t="n">
        <x:f>COUNTIFS('患者配对'!$AF$2:$AF$2186,"c",'患者配对'!$G$2:$G$2186,1)</x:f>
        <x:v>1</x:v>
      </x:c>
      <x:c r="H7" s="12" t="n">
        <x:f>COUNTIFS('患者配对'!$AF$2:$AF$2186,"d",'患者配对'!$G$2:$G$2186,1)</x:f>
        <x:v>1829</x:v>
      </x:c>
      <x:c r="I7" s="14" t="n">
        <x:f>IF(E7+G7=0,"不可估计",E7/(E7+G7))</x:f>
        <x:v>0.9777777777777777</x:v>
      </x:c>
      <x:c r="J7" s="14" t="n">
        <x:f>IF(F7+H7=0,"不可估计",H7/(F7+H7))</x:f>
        <x:v>0.9897186147186147</x:v>
      </x:c>
      <x:c r="K7" s="12" t="n">
        <x:f>E7+G7</x:f>
        <x:v>45</x:v>
      </x:c>
      <x:c r="L7" s="12" t="n">
        <x:f>E7+F7</x:f>
        <x:v>63</x:v>
      </x:c>
      <x:c r="M7" s="12" t="n">
        <x:f>COUNTIFS('患者配对'!$AF$2:$AF$2186,"不可评价",'患者配对'!$G$2:$G$2186,1)</x:f>
        <x:v>0</x:v>
      </x:c>
      <x:c r="N7" s="12" t="n">
        <x:f>COUNTIFS('患者配对'!$AF$2:$AF$2186,"疑似",'患者配对'!$G$2:$G$2186,1)</x:f>
        <x:v>0</x:v>
      </x:c>
      <x:c r="O7" s="12" t="str">
        <x:v>目标相关疑似为0</x:v>
      </x:c>
    </x:row>
    <x:row r="8" ht="24" customHeight="1">
      <x:c r="A8" s="12" t="str">
        <x:v>性别</x:v>
      </x:c>
      <x:c r="B8" s="12" t="str">
        <x:v>0</x:v>
      </x:c>
      <x:c r="C8" s="12" t="str">
        <x:v>AFIB</x:v>
      </x:c>
      <x:c r="D8" s="12" t="n">
        <x:f>SUM(E8:H8)+M8+N8</x:f>
        <x:v>965</x:v>
      </x:c>
      <x:c r="E8" s="12" t="n">
        <x:f>COUNTIFS('患者配对'!$P$2:$P$2186,"a",'患者配对'!$G$2:$G$2186,1,'患者配对'!$E$2:$E$2186,0)</x:f>
        <x:v>48</x:v>
      </x:c>
      <x:c r="F8" s="12" t="n">
        <x:f>COUNTIFS('患者配对'!$P$2:$P$2186,"b",'患者配对'!$G$2:$G$2186,1,'患者配对'!$E$2:$E$2186,0)</x:f>
        <x:v>5</x:v>
      </x:c>
      <x:c r="G8" s="12" t="n">
        <x:f>COUNTIFS('患者配对'!$P$2:$P$2186,"c",'患者配对'!$G$2:$G$2186,1,'患者配对'!$E$2:$E$2186,0)</x:f>
        <x:v>9</x:v>
      </x:c>
      <x:c r="H8" s="12" t="n">
        <x:f>COUNTIFS('患者配对'!$P$2:$P$2186,"d",'患者配对'!$G$2:$G$2186,1,'患者配对'!$E$2:$E$2186,0)</x:f>
        <x:v>903</x:v>
      </x:c>
      <x:c r="I8" s="14" t="n">
        <x:f>IF(E8+G8=0,"不可估计",E8/(E8+G8))</x:f>
        <x:v>0.8421052631578947</x:v>
      </x:c>
      <x:c r="J8" s="14" t="n">
        <x:f>IF(F8+H8=0,"不可估计",H8/(F8+H8))</x:f>
        <x:v>0.9944933920704846</x:v>
      </x:c>
      <x:c r="K8" s="12" t="n">
        <x:f>E8+G8</x:f>
        <x:v>57</x:v>
      </x:c>
      <x:c r="L8" s="12" t="n">
        <x:f>E8+F8</x:f>
        <x:v>53</x:v>
      </x:c>
      <x:c r="M8" s="12" t="n">
        <x:f>COUNTIFS('患者配对'!$P$2:$P$2186,"不可评价",'患者配对'!$G$2:$G$2186,1,'患者配对'!$E$2:$E$2186,0)</x:f>
        <x:v>0</x:v>
      </x:c>
      <x:c r="N8" s="12" t="n">
        <x:f>COUNTIFS('患者配对'!$P$2:$P$2186,"疑似",'患者配对'!$G$2:$G$2186,1,'患者配对'!$E$2:$E$2186,0)</x:f>
        <x:v>0</x:v>
      </x:c>
      <x:c r="O8" s="12" t="str">
        <x:v>组间不能直接解释为性能优劣</x:v>
      </x:c>
    </x:row>
    <x:row r="9" ht="24" customHeight="1">
      <x:c r="A9" s="12" t="str">
        <x:v>性别</x:v>
      </x:c>
      <x:c r="B9" s="12" t="str">
        <x:v>0</x:v>
      </x:c>
      <x:c r="C9" s="12" t="str">
        <x:v>CLBBB</x:v>
      </x:c>
      <x:c r="D9" s="12" t="n">
        <x:f>SUM(E9:H9)+M9+N9</x:f>
        <x:v>965</x:v>
      </x:c>
      <x:c r="E9" s="12" t="n">
        <x:f>COUNTIFS('患者配对'!$U$2:$U$2186,"a",'患者配对'!$G$2:$G$2186,1,'患者配对'!$E$2:$E$2186,0)</x:f>
        <x:v>14</x:v>
      </x:c>
      <x:c r="F9" s="12" t="n">
        <x:f>COUNTIFS('患者配对'!$U$2:$U$2186,"b",'患者配对'!$G$2:$G$2186,1,'患者配对'!$E$2:$E$2186,0)</x:f>
        <x:v>3</x:v>
      </x:c>
      <x:c r="G9" s="12" t="n">
        <x:f>COUNTIFS('患者配对'!$U$2:$U$2186,"c",'患者配对'!$G$2:$G$2186,1,'患者配对'!$E$2:$E$2186,0)</x:f>
        <x:v>1</x:v>
      </x:c>
      <x:c r="H9" s="12" t="n">
        <x:f>COUNTIFS('患者配对'!$U$2:$U$2186,"d",'患者配对'!$G$2:$G$2186,1,'患者配对'!$E$2:$E$2186,0)</x:f>
        <x:v>947</x:v>
      </x:c>
      <x:c r="I9" s="14" t="n">
        <x:f>IF(E9+G9=0,"不可估计",E9/(E9+G9))</x:f>
        <x:v>0.9333333333333333</x:v>
      </x:c>
      <x:c r="J9" s="14" t="n">
        <x:f>IF(F9+H9=0,"不可估计",H9/(F9+H9))</x:f>
        <x:v>0.9968421052631579</x:v>
      </x:c>
      <x:c r="K9" s="12" t="n">
        <x:f>E9+G9</x:f>
        <x:v>15</x:v>
      </x:c>
      <x:c r="L9" s="12" t="n">
        <x:f>E9+F9</x:f>
        <x:v>17</x:v>
      </x:c>
      <x:c r="M9" s="12" t="n">
        <x:f>COUNTIFS('患者配对'!$U$2:$U$2186,"不可评价",'患者配对'!$G$2:$G$2186,1,'患者配对'!$E$2:$E$2186,0)</x:f>
        <x:v>0</x:v>
      </x:c>
      <x:c r="N9" s="12" t="n">
        <x:f>COUNTIFS('患者配对'!$U$2:$U$2186,"疑似",'患者配对'!$G$2:$G$2186,1,'患者配对'!$E$2:$E$2186,0)</x:f>
        <x:v>0</x:v>
      </x:c>
      <x:c r="O9" s="12" t="str">
        <x:v>组间不能直接解释为性能优劣</x:v>
      </x:c>
    </x:row>
    <x:row r="10" ht="24" customHeight="1">
      <x:c r="A10" s="12" t="str">
        <x:v>性别</x:v>
      </x:c>
      <x:c r="B10" s="12" t="str">
        <x:v>0</x:v>
      </x:c>
      <x:c r="C10" s="12" t="str">
        <x:v>CRBBB</x:v>
      </x:c>
      <x:c r="D10" s="12" t="n">
        <x:f>SUM(E10:H10)+M10+N10</x:f>
        <x:v>965</x:v>
      </x:c>
      <x:c r="E10" s="12" t="n">
        <x:f>COUNTIFS('患者配对'!$Z$2:$Z$2186,"a",'患者配对'!$G$2:$G$2186,1,'患者配对'!$E$2:$E$2186,0)</x:f>
        <x:v>30</x:v>
      </x:c>
      <x:c r="F10" s="12" t="n">
        <x:f>COUNTIFS('患者配对'!$Z$2:$Z$2186,"b",'患者配对'!$G$2:$G$2186,1,'患者配对'!$E$2:$E$2186,0)</x:f>
        <x:v>12</x:v>
      </x:c>
      <x:c r="G10" s="12" t="n">
        <x:f>COUNTIFS('患者配对'!$Z$2:$Z$2186,"c",'患者配对'!$G$2:$G$2186,1,'患者配对'!$E$2:$E$2186,0)</x:f>
        <x:v>0</x:v>
      </x:c>
      <x:c r="H10" s="12" t="n">
        <x:f>COUNTIFS('患者配对'!$Z$2:$Z$2186,"d",'患者配对'!$G$2:$G$2186,1,'患者配对'!$E$2:$E$2186,0)</x:f>
        <x:v>923</x:v>
      </x:c>
      <x:c r="I10" s="14" t="n">
        <x:f>IF(E10+G10=0,"不可估计",E10/(E10+G10))</x:f>
        <x:v>1</x:v>
      </x:c>
      <x:c r="J10" s="14" t="n">
        <x:f>IF(F10+H10=0,"不可估计",H10/(F10+H10))</x:f>
        <x:v>0.9871657754010695</x:v>
      </x:c>
      <x:c r="K10" s="12" t="n">
        <x:f>E10+G10</x:f>
        <x:v>30</x:v>
      </x:c>
      <x:c r="L10" s="12" t="n">
        <x:f>E10+F10</x:f>
        <x:v>42</x:v>
      </x:c>
      <x:c r="M10" s="12" t="n">
        <x:f>COUNTIFS('患者配对'!$Z$2:$Z$2186,"不可评价",'患者配对'!$G$2:$G$2186,1,'患者配对'!$E$2:$E$2186,0)</x:f>
        <x:v>0</x:v>
      </x:c>
      <x:c r="N10" s="12" t="n">
        <x:f>COUNTIFS('患者配对'!$Z$2:$Z$2186,"疑似",'患者配对'!$G$2:$G$2186,1,'患者配对'!$E$2:$E$2186,0)</x:f>
        <x:v>0</x:v>
      </x:c>
      <x:c r="O10" s="12" t="str">
        <x:v>组间不能直接解释为性能优劣</x:v>
      </x:c>
    </x:row>
    <x:row r="11" ht="24" customHeight="1">
      <x:c r="A11" s="12" t="str">
        <x:v>性别</x:v>
      </x:c>
      <x:c r="B11" s="12" t="str">
        <x:v>1</x:v>
      </x:c>
      <x:c r="C11" s="12" t="str">
        <x:v>AFIB</x:v>
      </x:c>
      <x:c r="D11" s="12" t="n">
        <x:f>SUM(E11:H11)+M11+N11</x:f>
        <x:v>928</x:v>
      </x:c>
      <x:c r="E11" s="12" t="n">
        <x:f>COUNTIFS('患者配对'!$P$2:$P$2186,"a",'患者配对'!$G$2:$G$2186,1,'患者配对'!$E$2:$E$2186,1)</x:f>
        <x:v>45</x:v>
      </x:c>
      <x:c r="F11" s="12" t="n">
        <x:f>COUNTIFS('患者配对'!$P$2:$P$2186,"b",'患者配对'!$G$2:$G$2186,1,'患者配对'!$E$2:$E$2186,1)</x:f>
        <x:v>3</x:v>
      </x:c>
      <x:c r="G11" s="12" t="n">
        <x:f>COUNTIFS('患者配对'!$P$2:$P$2186,"c",'患者配对'!$G$2:$G$2186,1,'患者配对'!$E$2:$E$2186,1)</x:f>
        <x:v>12</x:v>
      </x:c>
      <x:c r="H11" s="12" t="n">
        <x:f>COUNTIFS('患者配对'!$P$2:$P$2186,"d",'患者配对'!$G$2:$G$2186,1,'患者配对'!$E$2:$E$2186,1)</x:f>
        <x:v>868</x:v>
      </x:c>
      <x:c r="I11" s="14" t="n">
        <x:f>IF(E11+G11=0,"不可估计",E11/(E11+G11))</x:f>
        <x:v>0.7894736842105263</x:v>
      </x:c>
      <x:c r="J11" s="14" t="n">
        <x:f>IF(F11+H11=0,"不可估计",H11/(F11+H11))</x:f>
        <x:v>0.9965556831228473</x:v>
      </x:c>
      <x:c r="K11" s="12" t="n">
        <x:f>E11+G11</x:f>
        <x:v>57</x:v>
      </x:c>
      <x:c r="L11" s="12" t="n">
        <x:f>E11+F11</x:f>
        <x:v>48</x:v>
      </x:c>
      <x:c r="M11" s="12" t="n">
        <x:f>COUNTIFS('患者配对'!$P$2:$P$2186,"不可评价",'患者配对'!$G$2:$G$2186,1,'患者配对'!$E$2:$E$2186,1)</x:f>
        <x:v>0</x:v>
      </x:c>
      <x:c r="N11" s="12" t="n">
        <x:f>COUNTIFS('患者配对'!$P$2:$P$2186,"疑似",'患者配对'!$G$2:$G$2186,1,'患者配对'!$E$2:$E$2186,1)</x:f>
        <x:v>0</x:v>
      </x:c>
      <x:c r="O11" s="12" t="str">
        <x:v>组间不能直接解释为性能优劣</x:v>
      </x:c>
    </x:row>
    <x:row r="12" ht="24" customHeight="1">
      <x:c r="A12" s="12" t="str">
        <x:v>性别</x:v>
      </x:c>
      <x:c r="B12" s="12" t="str">
        <x:v>1</x:v>
      </x:c>
      <x:c r="C12" s="12" t="str">
        <x:v>CLBBB</x:v>
      </x:c>
      <x:c r="D12" s="12" t="n">
        <x:f>SUM(E12:H12)+M12+N12</x:f>
        <x:v>928</x:v>
      </x:c>
      <x:c r="E12" s="12" t="n">
        <x:f>COUNTIFS('患者配对'!$U$2:$U$2186,"a",'患者配对'!$G$2:$G$2186,1,'患者配对'!$E$2:$E$2186,1)</x:f>
        <x:v>22</x:v>
      </x:c>
      <x:c r="F12" s="12" t="n">
        <x:f>COUNTIFS('患者配对'!$U$2:$U$2186,"b",'患者配对'!$G$2:$G$2186,1,'患者配对'!$E$2:$E$2186,1)</x:f>
        <x:v>2</x:v>
      </x:c>
      <x:c r="G12" s="12" t="n">
        <x:f>COUNTIFS('患者配对'!$U$2:$U$2186,"c",'患者配对'!$G$2:$G$2186,1,'患者配对'!$E$2:$E$2186,1)</x:f>
        <x:v>2</x:v>
      </x:c>
      <x:c r="H12" s="12" t="n">
        <x:f>COUNTIFS('患者配对'!$U$2:$U$2186,"d",'患者配对'!$G$2:$G$2186,1,'患者配对'!$E$2:$E$2186,1)</x:f>
        <x:v>902</x:v>
      </x:c>
      <x:c r="I12" s="14" t="n">
        <x:f>IF(E12+G12=0,"不可估计",E12/(E12+G12))</x:f>
        <x:v>0.9166666666666666</x:v>
      </x:c>
      <x:c r="J12" s="14" t="n">
        <x:f>IF(F12+H12=0,"不可估计",H12/(F12+H12))</x:f>
        <x:v>0.9977876106194691</x:v>
      </x:c>
      <x:c r="K12" s="12" t="n">
        <x:f>E12+G12</x:f>
        <x:v>24</x:v>
      </x:c>
      <x:c r="L12" s="12" t="n">
        <x:f>E12+F12</x:f>
        <x:v>24</x:v>
      </x:c>
      <x:c r="M12" s="12" t="n">
        <x:f>COUNTIFS('患者配对'!$U$2:$U$2186,"不可评价",'患者配对'!$G$2:$G$2186,1,'患者配对'!$E$2:$E$2186,1)</x:f>
        <x:v>0</x:v>
      </x:c>
      <x:c r="N12" s="12" t="n">
        <x:f>COUNTIFS('患者配对'!$U$2:$U$2186,"疑似",'患者配对'!$G$2:$G$2186,1,'患者配对'!$E$2:$E$2186,1)</x:f>
        <x:v>0</x:v>
      </x:c>
      <x:c r="O12" s="12" t="str">
        <x:v>组间不能直接解释为性能优劣</x:v>
      </x:c>
    </x:row>
    <x:row r="13" ht="24" customHeight="1">
      <x:c r="A13" s="12" t="str">
        <x:v>性别</x:v>
      </x:c>
      <x:c r="B13" s="12" t="str">
        <x:v>1</x:v>
      </x:c>
      <x:c r="C13" s="12" t="str">
        <x:v>CRBBB</x:v>
      </x:c>
      <x:c r="D13" s="12" t="n">
        <x:f>SUM(E13:H13)+M13+N13</x:f>
        <x:v>928</x:v>
      </x:c>
      <x:c r="E13" s="12" t="n">
        <x:f>COUNTIFS('患者配对'!$Z$2:$Z$2186,"a",'患者配对'!$G$2:$G$2186,1,'患者配对'!$E$2:$E$2186,1)</x:f>
        <x:v>14</x:v>
      </x:c>
      <x:c r="F13" s="12" t="n">
        <x:f>COUNTIFS('患者配对'!$Z$2:$Z$2186,"b",'患者配对'!$G$2:$G$2186,1,'患者配对'!$E$2:$E$2186,1)</x:f>
        <x:v>7</x:v>
      </x:c>
      <x:c r="G13" s="12" t="n">
        <x:f>COUNTIFS('患者配对'!$Z$2:$Z$2186,"c",'患者配对'!$G$2:$G$2186,1,'患者配对'!$E$2:$E$2186,1)</x:f>
        <x:v>1</x:v>
      </x:c>
      <x:c r="H13" s="12" t="n">
        <x:f>COUNTIFS('患者配对'!$Z$2:$Z$2186,"d",'患者配对'!$G$2:$G$2186,1,'患者配对'!$E$2:$E$2186,1)</x:f>
        <x:v>906</x:v>
      </x:c>
      <x:c r="I13" s="14" t="n">
        <x:f>IF(E13+G13=0,"不可估计",E13/(E13+G13))</x:f>
        <x:v>0.9333333333333333</x:v>
      </x:c>
      <x:c r="J13" s="14" t="n">
        <x:f>IF(F13+H13=0,"不可估计",H13/(F13+H13))</x:f>
        <x:v>0.9923329682365827</x:v>
      </x:c>
      <x:c r="K13" s="12" t="n">
        <x:f>E13+G13</x:f>
        <x:v>15</x:v>
      </x:c>
      <x:c r="L13" s="12" t="n">
        <x:f>E13+F13</x:f>
        <x:v>21</x:v>
      </x:c>
      <x:c r="M13" s="12" t="n">
        <x:f>COUNTIFS('患者配对'!$Z$2:$Z$2186,"不可评价",'患者配对'!$G$2:$G$2186,1,'患者配对'!$E$2:$E$2186,1)</x:f>
        <x:v>0</x:v>
      </x:c>
      <x:c r="N13" s="12" t="n">
        <x:f>COUNTIFS('患者配对'!$Z$2:$Z$2186,"疑似",'患者配对'!$G$2:$G$2186,1,'患者配对'!$E$2:$E$2186,1)</x:f>
        <x:v>0</x:v>
      </x:c>
      <x:c r="O13" s="12" t="str">
        <x:v>组间不能直接解释为性能优劣</x:v>
      </x:c>
    </x:row>
    <x:row r="14" ht="24" customHeight="1">
      <x:c r="A14" s="12" t="str">
        <x:v>性别</x:v>
      </x:c>
      <x:c r="B14" s="12" t="str">
        <x:v>缺失/其他</x:v>
      </x:c>
      <x:c r="C14" s="12" t="str">
        <x:v>AFIB</x:v>
      </x:c>
      <x:c r="D14" s="12" t="n">
        <x:f>SUM(E14:H14)+M14+N14</x:f>
        <x:v>0</x:v>
      </x:c>
      <x:c r="E14" s="12" t="n">
        <x:f>COUNTIFS('患者配对'!$P$2:$P$2186,"a",'患者配对'!$G$2:$G$2186,1,'患者配对'!$E$2:$E$2186,"&lt;&gt;0",'患者配对'!$E$2:$E$2186,"&lt;&gt;1")</x:f>
        <x:v>0</x:v>
      </x:c>
      <x:c r="F14" s="12" t="n">
        <x:f>COUNTIFS('患者配对'!$P$2:$P$2186,"b",'患者配对'!$G$2:$G$2186,1,'患者配对'!$E$2:$E$2186,"&lt;&gt;0",'患者配对'!$E$2:$E$2186,"&lt;&gt;1")</x:f>
        <x:v>0</x:v>
      </x:c>
      <x:c r="G14" s="12" t="n">
        <x:f>COUNTIFS('患者配对'!$P$2:$P$2186,"c",'患者配对'!$G$2:$G$2186,1,'患者配对'!$E$2:$E$2186,"&lt;&gt;0",'患者配对'!$E$2:$E$2186,"&lt;&gt;1")</x:f>
        <x:v>0</x:v>
      </x:c>
      <x:c r="H14" s="12" t="n">
        <x:f>COUNTIFS('患者配对'!$P$2:$P$2186,"d",'患者配对'!$G$2:$G$2186,1,'患者配对'!$E$2:$E$2186,"&lt;&gt;0",'患者配对'!$E$2:$E$2186,"&lt;&gt;1")</x:f>
        <x:v>0</x:v>
      </x:c>
      <x:c r="I14" s="14" t="str">
        <x:f>IF(E14+G14=0,"不可估计",E14/(E14+G14))</x:f>
        <x:v>不可估计</x:v>
      </x:c>
      <x:c r="J14" s="14" t="str">
        <x:f>IF(F14+H14=0,"不可估计",H14/(F14+H14))</x:f>
        <x:v>不可估计</x:v>
      </x:c>
      <x:c r="K14" s="12" t="n">
        <x:f>E14+G14</x:f>
        <x:v>0</x:v>
      </x:c>
      <x:c r="L14" s="12" t="n">
        <x:f>E14+F14</x:f>
        <x:v>0</x:v>
      </x:c>
      <x:c r="M14" s="12" t="n">
        <x:f>COUNTIFS('患者配对'!$P$2:$P$2186,"不可评价",'患者配对'!$G$2:$G$2186,1,'患者配对'!$E$2:$E$2186,"&lt;&gt;0",'患者配对'!$E$2:$E$2186,"&lt;&gt;1")</x:f>
        <x:v>0</x:v>
      </x:c>
      <x:c r="N14" s="12" t="n">
        <x:f>COUNTIFS('患者配对'!$P$2:$P$2186,"疑似",'患者配对'!$G$2:$G$2186,1,'患者配对'!$E$2:$E$2186,"&lt;&gt;0",'患者配对'!$E$2:$E$2186,"&lt;&gt;1")</x:f>
        <x:v>0</x:v>
      </x:c>
      <x:c r="O14" s="12" t="str">
        <x:v>分母为0不可估计</x:v>
      </x:c>
    </x:row>
    <x:row r="15" ht="24" customHeight="1">
      <x:c r="A15" s="12" t="str">
        <x:v>性别</x:v>
      </x:c>
      <x:c r="B15" s="12" t="str">
        <x:v>缺失/其他</x:v>
      </x:c>
      <x:c r="C15" s="12" t="str">
        <x:v>CLBBB</x:v>
      </x:c>
      <x:c r="D15" s="12" t="n">
        <x:f>SUM(E15:H15)+M15+N15</x:f>
        <x:v>0</x:v>
      </x:c>
      <x:c r="E15" s="12" t="n">
        <x:f>COUNTIFS('患者配对'!$U$2:$U$2186,"a",'患者配对'!$G$2:$G$2186,1,'患者配对'!$E$2:$E$2186,"&lt;&gt;0",'患者配对'!$E$2:$E$2186,"&lt;&gt;1")</x:f>
        <x:v>0</x:v>
      </x:c>
      <x:c r="F15" s="12" t="n">
        <x:f>COUNTIFS('患者配对'!$U$2:$U$2186,"b",'患者配对'!$G$2:$G$2186,1,'患者配对'!$E$2:$E$2186,"&lt;&gt;0",'患者配对'!$E$2:$E$2186,"&lt;&gt;1")</x:f>
        <x:v>0</x:v>
      </x:c>
      <x:c r="G15" s="12" t="n">
        <x:f>COUNTIFS('患者配对'!$U$2:$U$2186,"c",'患者配对'!$G$2:$G$2186,1,'患者配对'!$E$2:$E$2186,"&lt;&gt;0",'患者配对'!$E$2:$E$2186,"&lt;&gt;1")</x:f>
        <x:v>0</x:v>
      </x:c>
      <x:c r="H15" s="12" t="n">
        <x:f>COUNTIFS('患者配对'!$U$2:$U$2186,"d",'患者配对'!$G$2:$G$2186,1,'患者配对'!$E$2:$E$2186,"&lt;&gt;0",'患者配对'!$E$2:$E$2186,"&lt;&gt;1")</x:f>
        <x:v>0</x:v>
      </x:c>
      <x:c r="I15" s="14" t="str">
        <x:f>IF(E15+G15=0,"不可估计",E15/(E15+G15))</x:f>
        <x:v>不可估计</x:v>
      </x:c>
      <x:c r="J15" s="14" t="str">
        <x:f>IF(F15+H15=0,"不可估计",H15/(F15+H15))</x:f>
        <x:v>不可估计</x:v>
      </x:c>
      <x:c r="K15" s="12" t="n">
        <x:f>E15+G15</x:f>
        <x:v>0</x:v>
      </x:c>
      <x:c r="L15" s="12" t="n">
        <x:f>E15+F15</x:f>
        <x:v>0</x:v>
      </x:c>
      <x:c r="M15" s="12" t="n">
        <x:f>COUNTIFS('患者配对'!$U$2:$U$2186,"不可评价",'患者配对'!$G$2:$G$2186,1,'患者配对'!$E$2:$E$2186,"&lt;&gt;0",'患者配对'!$E$2:$E$2186,"&lt;&gt;1")</x:f>
        <x:v>0</x:v>
      </x:c>
      <x:c r="N15" s="12" t="n">
        <x:f>COUNTIFS('患者配对'!$U$2:$U$2186,"疑似",'患者配对'!$G$2:$G$2186,1,'患者配对'!$E$2:$E$2186,"&lt;&gt;0",'患者配对'!$E$2:$E$2186,"&lt;&gt;1")</x:f>
        <x:v>0</x:v>
      </x:c>
      <x:c r="O15" s="12" t="str">
        <x:v>分母为0不可估计</x:v>
      </x:c>
    </x:row>
    <x:row r="16" ht="24" customHeight="1">
      <x:c r="A16" s="12" t="str">
        <x:v>性别</x:v>
      </x:c>
      <x:c r="B16" s="12" t="str">
        <x:v>缺失/其他</x:v>
      </x:c>
      <x:c r="C16" s="12" t="str">
        <x:v>CRBBB</x:v>
      </x:c>
      <x:c r="D16" s="12" t="n">
        <x:f>SUM(E16:H16)+M16+N16</x:f>
        <x:v>0</x:v>
      </x:c>
      <x:c r="E16" s="12" t="n">
        <x:f>COUNTIFS('患者配对'!$Z$2:$Z$2186,"a",'患者配对'!$G$2:$G$2186,1,'患者配对'!$E$2:$E$2186,"&lt;&gt;0",'患者配对'!$E$2:$E$2186,"&lt;&gt;1")</x:f>
        <x:v>0</x:v>
      </x:c>
      <x:c r="F16" s="12" t="n">
        <x:f>COUNTIFS('患者配对'!$Z$2:$Z$2186,"b",'患者配对'!$G$2:$G$2186,1,'患者配对'!$E$2:$E$2186,"&lt;&gt;0",'患者配对'!$E$2:$E$2186,"&lt;&gt;1")</x:f>
        <x:v>0</x:v>
      </x:c>
      <x:c r="G16" s="12" t="n">
        <x:f>COUNTIFS('患者配对'!$Z$2:$Z$2186,"c",'患者配对'!$G$2:$G$2186,1,'患者配对'!$E$2:$E$2186,"&lt;&gt;0",'患者配对'!$E$2:$E$2186,"&lt;&gt;1")</x:f>
        <x:v>0</x:v>
      </x:c>
      <x:c r="H16" s="12" t="n">
        <x:f>COUNTIFS('患者配对'!$Z$2:$Z$2186,"d",'患者配对'!$G$2:$G$2186,1,'患者配对'!$E$2:$E$2186,"&lt;&gt;0",'患者配对'!$E$2:$E$2186,"&lt;&gt;1")</x:f>
        <x:v>0</x:v>
      </x:c>
      <x:c r="I16" s="14" t="str">
        <x:f>IF(E16+G16=0,"不可估计",E16/(E16+G16))</x:f>
        <x:v>不可估计</x:v>
      </x:c>
      <x:c r="J16" s="14" t="str">
        <x:f>IF(F16+H16=0,"不可估计",H16/(F16+H16))</x:f>
        <x:v>不可估计</x:v>
      </x:c>
      <x:c r="K16" s="12" t="n">
        <x:f>E16+G16</x:f>
        <x:v>0</x:v>
      </x:c>
      <x:c r="L16" s="12" t="n">
        <x:f>E16+F16</x:f>
        <x:v>0</x:v>
      </x:c>
      <x:c r="M16" s="12" t="n">
        <x:f>COUNTIFS('患者配对'!$Z$2:$Z$2186,"不可评价",'患者配对'!$G$2:$G$2186,1,'患者配对'!$E$2:$E$2186,"&lt;&gt;0",'患者配对'!$E$2:$E$2186,"&lt;&gt;1")</x:f>
        <x:v>0</x:v>
      </x:c>
      <x:c r="N16" s="12" t="n">
        <x:f>COUNTIFS('患者配对'!$Z$2:$Z$2186,"疑似",'患者配对'!$G$2:$G$2186,1,'患者配对'!$E$2:$E$2186,"&lt;&gt;0",'患者配对'!$E$2:$E$2186,"&lt;&gt;1")</x:f>
        <x:v>0</x:v>
      </x:c>
      <x:c r="O16" s="12" t="str">
        <x:v>分母为0不可估计</x:v>
      </x:c>
    </x:row>
    <x:row r="17" ht="24" customHeight="1">
      <x:c r="A17" s="12" t="str">
        <x:v>质量</x:v>
      </x:c>
      <x:c r="B17" s="12" t="str">
        <x:v>存在</x:v>
      </x:c>
      <x:c r="C17" s="12" t="str">
        <x:v>AFIB</x:v>
      </x:c>
      <x:c r="D17" s="12" t="n">
        <x:f>SUM(E17:H17)+M17+N17</x:f>
        <x:v>437</x:v>
      </x:c>
      <x:c r="E17" s="12" t="n">
        <x:f>COUNTIFS('患者配对'!$P$2:$P$2186,"a",'患者配对'!$G$2:$G$2186,1,'患者配对'!$F$2:$F$2186,"存在")</x:f>
        <x:v>25</x:v>
      </x:c>
      <x:c r="F17" s="12" t="n">
        <x:f>COUNTIFS('患者配对'!$P$2:$P$2186,"b",'患者配对'!$G$2:$G$2186,1,'患者配对'!$F$2:$F$2186,"存在")</x:f>
        <x:v>6</x:v>
      </x:c>
      <x:c r="G17" s="12" t="n">
        <x:f>COUNTIFS('患者配对'!$P$2:$P$2186,"c",'患者配对'!$G$2:$G$2186,1,'患者配对'!$F$2:$F$2186,"存在")</x:f>
        <x:v>3</x:v>
      </x:c>
      <x:c r="H17" s="12" t="n">
        <x:f>COUNTIFS('患者配对'!$P$2:$P$2186,"d",'患者配对'!$G$2:$G$2186,1,'患者配对'!$F$2:$F$2186,"存在")</x:f>
        <x:v>403</x:v>
      </x:c>
      <x:c r="I17" s="14" t="n">
        <x:f>IF(E17+G17=0,"不可估计",E17/(E17+G17))</x:f>
        <x:v>0.8928571428571429</x:v>
      </x:c>
      <x:c r="J17" s="14" t="n">
        <x:f>IF(F17+H17=0,"不可估计",H17/(F17+H17))</x:f>
        <x:v>0.9853300733496333</x:v>
      </x:c>
      <x:c r="K17" s="12" t="n">
        <x:f>E17+G17</x:f>
        <x:v>28</x:v>
      </x:c>
      <x:c r="L17" s="12" t="n">
        <x:f>E17+F17</x:f>
        <x:v>31</x:v>
      </x:c>
      <x:c r="M17" s="12" t="n">
        <x:f>COUNTIFS('患者配对'!$P$2:$P$2186,"不可评价",'患者配对'!$G$2:$G$2186,1,'患者配对'!$F$2:$F$2186,"存在")</x:f>
        <x:v>0</x:v>
      </x:c>
      <x:c r="N17" s="12" t="n">
        <x:f>COUNTIFS('患者配对'!$P$2:$P$2186,"疑似",'患者配对'!$G$2:$G$2186,1,'患者配对'!$F$2:$F$2186,"存在")</x:f>
        <x:v>0</x:v>
      </x:c>
      <x:c r="O17" s="12" t="str">
        <x:v>组间不能直接解释为性能优劣</x:v>
      </x:c>
    </x:row>
    <x:row r="18" ht="24" customHeight="1">
      <x:c r="A18" s="12" t="str">
        <x:v>质量</x:v>
      </x:c>
      <x:c r="B18" s="12" t="str">
        <x:v>存在</x:v>
      </x:c>
      <x:c r="C18" s="12" t="str">
        <x:v>CLBBB</x:v>
      </x:c>
      <x:c r="D18" s="12" t="n">
        <x:f>SUM(E18:H18)+M18+N18</x:f>
        <x:v>437</x:v>
      </x:c>
      <x:c r="E18" s="12" t="n">
        <x:f>COUNTIFS('患者配对'!$U$2:$U$2186,"a",'患者配对'!$G$2:$G$2186,1,'患者配对'!$F$2:$F$2186,"存在")</x:f>
        <x:v>5</x:v>
      </x:c>
      <x:c r="F18" s="12" t="n">
        <x:f>COUNTIFS('患者配对'!$U$2:$U$2186,"b",'患者配对'!$G$2:$G$2186,1,'患者配对'!$F$2:$F$2186,"存在")</x:f>
        <x:v>1</x:v>
      </x:c>
      <x:c r="G18" s="12" t="n">
        <x:f>COUNTIFS('患者配对'!$U$2:$U$2186,"c",'患者配对'!$G$2:$G$2186,1,'患者配对'!$F$2:$F$2186,"存在")</x:f>
        <x:v>1</x:v>
      </x:c>
      <x:c r="H18" s="12" t="n">
        <x:f>COUNTIFS('患者配对'!$U$2:$U$2186,"d",'患者配对'!$G$2:$G$2186,1,'患者配对'!$F$2:$F$2186,"存在")</x:f>
        <x:v>430</x:v>
      </x:c>
      <x:c r="I18" s="14" t="n">
        <x:f>IF(E18+G18=0,"不可估计",E18/(E18+G18))</x:f>
        <x:v>0.8333333333333334</x:v>
      </x:c>
      <x:c r="J18" s="14" t="n">
        <x:f>IF(F18+H18=0,"不可估计",H18/(F18+H18))</x:f>
        <x:v>0.9976798143851509</x:v>
      </x:c>
      <x:c r="K18" s="12" t="n">
        <x:f>E18+G18</x:f>
        <x:v>6</x:v>
      </x:c>
      <x:c r="L18" s="12" t="n">
        <x:f>E18+F18</x:f>
        <x:v>6</x:v>
      </x:c>
      <x:c r="M18" s="12" t="n">
        <x:f>COUNTIFS('患者配对'!$U$2:$U$2186,"不可评价",'患者配对'!$G$2:$G$2186,1,'患者配对'!$F$2:$F$2186,"存在")</x:f>
        <x:v>0</x:v>
      </x:c>
      <x:c r="N18" s="12" t="n">
        <x:f>COUNTIFS('患者配对'!$U$2:$U$2186,"疑似",'患者配对'!$G$2:$G$2186,1,'患者配对'!$F$2:$F$2186,"存在")</x:f>
        <x:v>0</x:v>
      </x:c>
      <x:c r="O18" s="12" t="str">
        <x:v>组间不能直接解释为性能优劣</x:v>
      </x:c>
    </x:row>
    <x:row r="19" ht="24" customHeight="1">
      <x:c r="A19" s="12" t="str">
        <x:v>质量</x:v>
      </x:c>
      <x:c r="B19" s="12" t="str">
        <x:v>存在</x:v>
      </x:c>
      <x:c r="C19" s="12" t="str">
        <x:v>CRBBB</x:v>
      </x:c>
      <x:c r="D19" s="12" t="n">
        <x:f>SUM(E19:H19)+M19+N19</x:f>
        <x:v>437</x:v>
      </x:c>
      <x:c r="E19" s="12" t="n">
        <x:f>COUNTIFS('患者配对'!$Z$2:$Z$2186,"a",'患者配对'!$G$2:$G$2186,1,'患者配对'!$F$2:$F$2186,"存在")</x:f>
        <x:v>14</x:v>
      </x:c>
      <x:c r="F19" s="12" t="n">
        <x:f>COUNTIFS('患者配对'!$Z$2:$Z$2186,"b",'患者配对'!$G$2:$G$2186,1,'患者配对'!$F$2:$F$2186,"存在")</x:f>
        <x:v>4</x:v>
      </x:c>
      <x:c r="G19" s="12" t="n">
        <x:f>COUNTIFS('患者配对'!$Z$2:$Z$2186,"c",'患者配对'!$G$2:$G$2186,1,'患者配对'!$F$2:$F$2186,"存在")</x:f>
        <x:v>1</x:v>
      </x:c>
      <x:c r="H19" s="12" t="n">
        <x:f>COUNTIFS('患者配对'!$Z$2:$Z$2186,"d",'患者配对'!$G$2:$G$2186,1,'患者配对'!$F$2:$F$2186,"存在")</x:f>
        <x:v>418</x:v>
      </x:c>
      <x:c r="I19" s="14" t="n">
        <x:f>IF(E19+G19=0,"不可估计",E19/(E19+G19))</x:f>
        <x:v>0.9333333333333333</x:v>
      </x:c>
      <x:c r="J19" s="14" t="n">
        <x:f>IF(F19+H19=0,"不可估计",H19/(F19+H19))</x:f>
        <x:v>0.990521327014218</x:v>
      </x:c>
      <x:c r="K19" s="12" t="n">
        <x:f>E19+G19</x:f>
        <x:v>15</x:v>
      </x:c>
      <x:c r="L19" s="12" t="n">
        <x:f>E19+F19</x:f>
        <x:v>18</x:v>
      </x:c>
      <x:c r="M19" s="12" t="n">
        <x:f>COUNTIFS('患者配对'!$Z$2:$Z$2186,"不可评价",'患者配对'!$G$2:$G$2186,1,'患者配对'!$F$2:$F$2186,"存在")</x:f>
        <x:v>0</x:v>
      </x:c>
      <x:c r="N19" s="12" t="n">
        <x:f>COUNTIFS('患者配对'!$Z$2:$Z$2186,"疑似",'患者配对'!$G$2:$G$2186,1,'患者配对'!$F$2:$F$2186,"存在")</x:f>
        <x:v>0</x:v>
      </x:c>
      <x:c r="O19" s="12" t="str">
        <x:v>组间不能直接解释为性能优劣</x:v>
      </x:c>
    </x:row>
    <x:row r="20" ht="24" customHeight="1">
      <x:c r="A20" s="12" t="str">
        <x:v>质量</x:v>
      </x:c>
      <x:c r="B20" s="12" t="str">
        <x:v>未记录</x:v>
      </x:c>
      <x:c r="C20" s="12" t="str">
        <x:v>AFIB</x:v>
      </x:c>
      <x:c r="D20" s="12" t="n">
        <x:f>SUM(E20:H20)+M20+N20</x:f>
        <x:v>1456</x:v>
      </x:c>
      <x:c r="E20" s="12" t="n">
        <x:f>COUNTIFS('患者配对'!$P$2:$P$2186,"a",'患者配对'!$G$2:$G$2186,1,'患者配对'!$F$2:$F$2186,"未记录")</x:f>
        <x:v>68</x:v>
      </x:c>
      <x:c r="F20" s="12" t="n">
        <x:f>COUNTIFS('患者配对'!$P$2:$P$2186,"b",'患者配对'!$G$2:$G$2186,1,'患者配对'!$F$2:$F$2186,"未记录")</x:f>
        <x:v>2</x:v>
      </x:c>
      <x:c r="G20" s="12" t="n">
        <x:f>COUNTIFS('患者配对'!$P$2:$P$2186,"c",'患者配对'!$G$2:$G$2186,1,'患者配对'!$F$2:$F$2186,"未记录")</x:f>
        <x:v>18</x:v>
      </x:c>
      <x:c r="H20" s="12" t="n">
        <x:f>COUNTIFS('患者配对'!$P$2:$P$2186,"d",'患者配对'!$G$2:$G$2186,1,'患者配对'!$F$2:$F$2186,"未记录")</x:f>
        <x:v>1368</x:v>
      </x:c>
      <x:c r="I20" s="14" t="n">
        <x:f>IF(E20+G20=0,"不可估计",E20/(E20+G20))</x:f>
        <x:v>0.7906976744186046</x:v>
      </x:c>
      <x:c r="J20" s="14" t="n">
        <x:f>IF(F20+H20=0,"不可估计",H20/(F20+H20))</x:f>
        <x:v>0.9985401459854014</x:v>
      </x:c>
      <x:c r="K20" s="12" t="n">
        <x:f>E20+G20</x:f>
        <x:v>86</x:v>
      </x:c>
      <x:c r="L20" s="12" t="n">
        <x:f>E20+F20</x:f>
        <x:v>70</x:v>
      </x:c>
      <x:c r="M20" s="12" t="n">
        <x:f>COUNTIFS('患者配对'!$P$2:$P$2186,"不可评价",'患者配对'!$G$2:$G$2186,1,'患者配对'!$F$2:$F$2186,"未记录")</x:f>
        <x:v>0</x:v>
      </x:c>
      <x:c r="N20" s="12" t="n">
        <x:f>COUNTIFS('患者配对'!$P$2:$P$2186,"疑似",'患者配对'!$G$2:$G$2186,1,'患者配对'!$F$2:$F$2186,"未记录")</x:f>
        <x:v>0</x:v>
      </x:c>
      <x:c r="O20" s="12" t="str">
        <x:v>组间不能直接解释为性能优劣</x:v>
      </x:c>
    </x:row>
    <x:row r="21" ht="24" customHeight="1">
      <x:c r="A21" s="12" t="str">
        <x:v>质量</x:v>
      </x:c>
      <x:c r="B21" s="12" t="str">
        <x:v>未记录</x:v>
      </x:c>
      <x:c r="C21" s="12" t="str">
        <x:v>CLBBB</x:v>
      </x:c>
      <x:c r="D21" s="12" t="n">
        <x:f>SUM(E21:H21)+M21+N21</x:f>
        <x:v>1456</x:v>
      </x:c>
      <x:c r="E21" s="12" t="n">
        <x:f>COUNTIFS('患者配对'!$U$2:$U$2186,"a",'患者配对'!$G$2:$G$2186,1,'患者配对'!$F$2:$F$2186,"未记录")</x:f>
        <x:v>31</x:v>
      </x:c>
      <x:c r="F21" s="12" t="n">
        <x:f>COUNTIFS('患者配对'!$U$2:$U$2186,"b",'患者配对'!$G$2:$G$2186,1,'患者配对'!$F$2:$F$2186,"未记录")</x:f>
        <x:v>4</x:v>
      </x:c>
      <x:c r="G21" s="12" t="n">
        <x:f>COUNTIFS('患者配对'!$U$2:$U$2186,"c",'患者配对'!$G$2:$G$2186,1,'患者配对'!$F$2:$F$2186,"未记录")</x:f>
        <x:v>2</x:v>
      </x:c>
      <x:c r="H21" s="12" t="n">
        <x:f>COUNTIFS('患者配对'!$U$2:$U$2186,"d",'患者配对'!$G$2:$G$2186,1,'患者配对'!$F$2:$F$2186,"未记录")</x:f>
        <x:v>1419</x:v>
      </x:c>
      <x:c r="I21" s="14" t="n">
        <x:f>IF(E21+G21=0,"不可估计",E21/(E21+G21))</x:f>
        <x:v>0.9393939393939394</x:v>
      </x:c>
      <x:c r="J21" s="14" t="n">
        <x:f>IF(F21+H21=0,"不可估计",H21/(F21+H21))</x:f>
        <x:v>0.9971890372452565</x:v>
      </x:c>
      <x:c r="K21" s="12" t="n">
        <x:f>E21+G21</x:f>
        <x:v>33</x:v>
      </x:c>
      <x:c r="L21" s="12" t="n">
        <x:f>E21+F21</x:f>
        <x:v>35</x:v>
      </x:c>
      <x:c r="M21" s="12" t="n">
        <x:f>COUNTIFS('患者配对'!$U$2:$U$2186,"不可评价",'患者配对'!$G$2:$G$2186,1,'患者配对'!$F$2:$F$2186,"未记录")</x:f>
        <x:v>0</x:v>
      </x:c>
      <x:c r="N21" s="12" t="n">
        <x:f>COUNTIFS('患者配对'!$U$2:$U$2186,"疑似",'患者配对'!$G$2:$G$2186,1,'患者配对'!$F$2:$F$2186,"未记录")</x:f>
        <x:v>0</x:v>
      </x:c>
      <x:c r="O21" s="12" t="str">
        <x:v>组间不能直接解释为性能优劣</x:v>
      </x:c>
    </x:row>
    <x:row r="22" ht="24" customHeight="1">
      <x:c r="A22" s="12" t="str">
        <x:v>质量</x:v>
      </x:c>
      <x:c r="B22" s="12" t="str">
        <x:v>未记录</x:v>
      </x:c>
      <x:c r="C22" s="12" t="str">
        <x:v>CRBBB</x:v>
      </x:c>
      <x:c r="D22" s="12" t="n">
        <x:f>SUM(E22:H22)+M22+N22</x:f>
        <x:v>1456</x:v>
      </x:c>
      <x:c r="E22" s="12" t="n">
        <x:f>COUNTIFS('患者配对'!$Z$2:$Z$2186,"a",'患者配对'!$G$2:$G$2186,1,'患者配对'!$F$2:$F$2186,"未记录")</x:f>
        <x:v>30</x:v>
      </x:c>
      <x:c r="F22" s="12" t="n">
        <x:f>COUNTIFS('患者配对'!$Z$2:$Z$2186,"b",'患者配对'!$G$2:$G$2186,1,'患者配对'!$F$2:$F$2186,"未记录")</x:f>
        <x:v>15</x:v>
      </x:c>
      <x:c r="G22" s="12" t="n">
        <x:f>COUNTIFS('患者配对'!$Z$2:$Z$2186,"c",'患者配对'!$G$2:$G$2186,1,'患者配对'!$F$2:$F$2186,"未记录")</x:f>
        <x:v>0</x:v>
      </x:c>
      <x:c r="H22" s="12" t="n">
        <x:f>COUNTIFS('患者配对'!$Z$2:$Z$2186,"d",'患者配对'!$G$2:$G$2186,1,'患者配对'!$F$2:$F$2186,"未记录")</x:f>
        <x:v>1411</x:v>
      </x:c>
      <x:c r="I22" s="14" t="n">
        <x:f>IF(E22+G22=0,"不可估计",E22/(E22+G22))</x:f>
        <x:v>1</x:v>
      </x:c>
      <x:c r="J22" s="14" t="n">
        <x:f>IF(F22+H22=0,"不可估计",H22/(F22+H22))</x:f>
        <x:v>0.9894810659186536</x:v>
      </x:c>
      <x:c r="K22" s="12" t="n">
        <x:f>E22+G22</x:f>
        <x:v>30</x:v>
      </x:c>
      <x:c r="L22" s="12" t="n">
        <x:f>E22+F22</x:f>
        <x:v>45</x:v>
      </x:c>
      <x:c r="M22" s="12" t="n">
        <x:f>COUNTIFS('患者配对'!$Z$2:$Z$2186,"不可评价",'患者配对'!$G$2:$G$2186,1,'患者配对'!$F$2:$F$2186,"未记录")</x:f>
        <x:v>0</x:v>
      </x:c>
      <x:c r="N22" s="12" t="n">
        <x:f>COUNTIFS('患者配对'!$Z$2:$Z$2186,"疑似",'患者配对'!$G$2:$G$2186,1,'患者配对'!$F$2:$F$2186,"未记录")</x:f>
        <x:v>0</x:v>
      </x:c>
      <x:c r="O22" s="12" t="str">
        <x:v>组间不能直接解释为性能优劣</x:v>
      </x:c>
    </x:row>
    <x:row r="23" ht="24" customHeight="1">
      <x:c r="A23" s="12" t="str">
        <x:v>记录层</x:v>
      </x:c>
      <x:c r="B23" s="12" t="str">
        <x:v>全部符合条件ECG</x:v>
      </x:c>
      <x:c r="C23" s="12" t="str">
        <x:v>AFIB</x:v>
      </x:c>
      <x:c r="D23" s="12" t="n">
        <x:f>SUM(E23:H23)+M23+N23</x:f>
        <x:v>2185</x:v>
      </x:c>
      <x:c r="E23" s="12" t="n">
        <x:f>COUNTIFS('患者配对'!$P$2:$P$2186,"a")</x:f>
        <x:v>122</x:v>
      </x:c>
      <x:c r="F23" s="12" t="n">
        <x:f>COUNTIFS('患者配对'!$P$2:$P$2186,"b")</x:f>
        <x:v>10</x:v>
      </x:c>
      <x:c r="G23" s="12" t="n">
        <x:f>COUNTIFS('患者配对'!$P$2:$P$2186,"c")</x:f>
        <x:v>29</x:v>
      </x:c>
      <x:c r="H23" s="12" t="n">
        <x:f>COUNTIFS('患者配对'!$P$2:$P$2186,"d")</x:f>
        <x:v>2024</x:v>
      </x:c>
      <x:c r="I23" s="14" t="n">
        <x:f>IF(E23+G23=0,"不可估计",E23/(E23+G23))</x:f>
        <x:v>0.8079470198675497</x:v>
      </x:c>
      <x:c r="J23" s="14" t="n">
        <x:f>IF(F23+H23=0,"不可估计",H23/(F23+H23))</x:f>
        <x:v>0.9950835791543756</x:v>
      </x:c>
      <x:c r="K23" s="12" t="n">
        <x:f>E23+G23</x:f>
        <x:v>151</x:v>
      </x:c>
      <x:c r="L23" s="12" t="n">
        <x:f>E23+F23</x:f>
        <x:v>132</x:v>
      </x:c>
      <x:c r="M23" s="12" t="n">
        <x:f>COUNTIFS('患者配对'!$P$2:$P$2186,"不可评价")</x:f>
        <x:v>0</x:v>
      </x:c>
      <x:c r="N23" s="12" t="n">
        <x:f>COUNTIFS('患者配对'!$P$2:$P$2186,"疑似")</x:f>
        <x:v>0</x:v>
      </x:c>
      <x:c r="O23" s="12" t="str">
        <x:v>仅描述</x:v>
      </x:c>
    </x:row>
    <x:row r="24" ht="24" customHeight="1">
      <x:c r="A24" s="12" t="str">
        <x:v>记录层</x:v>
      </x:c>
      <x:c r="B24" s="12" t="str">
        <x:v>全部符合条件ECG</x:v>
      </x:c>
      <x:c r="C24" s="12" t="str">
        <x:v>CLBBB</x:v>
      </x:c>
      <x:c r="D24" s="12" t="n">
        <x:f>SUM(E24:H24)+M24+N24</x:f>
        <x:v>2185</x:v>
      </x:c>
      <x:c r="E24" s="12" t="n">
        <x:f>COUNTIFS('患者配对'!$U$2:$U$2186,"a")</x:f>
        <x:v>49</x:v>
      </x:c>
      <x:c r="F24" s="12" t="n">
        <x:f>COUNTIFS('患者配对'!$U$2:$U$2186,"b")</x:f>
        <x:v>6</x:v>
      </x:c>
      <x:c r="G24" s="12" t="n">
        <x:f>COUNTIFS('患者配对'!$U$2:$U$2186,"c")</x:f>
        <x:v>5</x:v>
      </x:c>
      <x:c r="H24" s="12" t="n">
        <x:f>COUNTIFS('患者配对'!$U$2:$U$2186,"d")</x:f>
        <x:v>2125</x:v>
      </x:c>
      <x:c r="I24" s="14" t="n">
        <x:f>IF(E24+G24=0,"不可估计",E24/(E24+G24))</x:f>
        <x:v>0.9074074074074074</x:v>
      </x:c>
      <x:c r="J24" s="14" t="n">
        <x:f>IF(F24+H24=0,"不可估计",H24/(F24+H24))</x:f>
        <x:v>0.997184420459878</x:v>
      </x:c>
      <x:c r="K24" s="12" t="n">
        <x:f>E24+G24</x:f>
        <x:v>54</x:v>
      </x:c>
      <x:c r="L24" s="12" t="n">
        <x:f>E24+F24</x:f>
        <x:v>55</x:v>
      </x:c>
      <x:c r="M24" s="12" t="n">
        <x:f>COUNTIFS('患者配对'!$U$2:$U$2186,"不可评价")</x:f>
        <x:v>0</x:v>
      </x:c>
      <x:c r="N24" s="12" t="n">
        <x:f>COUNTIFS('患者配对'!$U$2:$U$2186,"疑似")</x:f>
        <x:v>0</x:v>
      </x:c>
      <x:c r="O24" s="12" t="str">
        <x:v>仅描述</x:v>
      </x:c>
    </x:row>
    <x:row r="25" ht="24" customHeight="1">
      <x:c r="A25" s="12" t="str">
        <x:v>记录层</x:v>
      </x:c>
      <x:c r="B25" s="12" t="str">
        <x:v>全部符合条件ECG</x:v>
      </x:c>
      <x:c r="C25" s="12" t="str">
        <x:v>CRBBB</x:v>
      </x:c>
      <x:c r="D25" s="12" t="n">
        <x:f>SUM(E25:H25)+M25+N25</x:f>
        <x:v>2185</x:v>
      </x:c>
      <x:c r="E25" s="12" t="n">
        <x:f>COUNTIFS('患者配对'!$Z$2:$Z$2186,"a")</x:f>
        <x:v>53</x:v>
      </x:c>
      <x:c r="F25" s="12" t="n">
        <x:f>COUNTIFS('患者配对'!$Z$2:$Z$2186,"b")</x:f>
        <x:v>21</x:v>
      </x:c>
      <x:c r="G25" s="12" t="n">
        <x:f>COUNTIFS('患者配对'!$Z$2:$Z$2186,"c")</x:f>
        <x:v>1</x:v>
      </x:c>
      <x:c r="H25" s="12" t="n">
        <x:f>COUNTIFS('患者配对'!$Z$2:$Z$2186,"d")</x:f>
        <x:v>2110</x:v>
      </x:c>
      <x:c r="I25" s="14" t="n">
        <x:f>IF(E25+G25=0,"不可估计",E25/(E25+G25))</x:f>
        <x:v>0.9814814814814815</x:v>
      </x:c>
      <x:c r="J25" s="14" t="n">
        <x:f>IF(F25+H25=0,"不可估计",H25/(F25+H25))</x:f>
        <x:v>0.990145471609573</x:v>
      </x:c>
      <x:c r="K25" s="12" t="n">
        <x:f>E25+G25</x:f>
        <x:v>54</x:v>
      </x:c>
      <x:c r="L25" s="12" t="n">
        <x:f>E25+F25</x:f>
        <x:v>74</x:v>
      </x:c>
      <x:c r="M25" s="12" t="n">
        <x:f>COUNTIFS('患者配对'!$Z$2:$Z$2186,"不可评价")</x:f>
        <x:v>0</x:v>
      </x:c>
      <x:c r="N25" s="12" t="n">
        <x:f>COUNTIFS('患者配对'!$Z$2:$Z$2186,"疑似")</x:f>
        <x:v>0</x:v>
      </x:c>
      <x:c r="O25" s="12" t="str">
        <x:v>仅描述</x:v>
      </x:c>
    </x:row>
    <x:row r="26" ht="24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</x:row>
    <x:row r="27" ht="24" customHeight="1">
      <x:c r="A27" s="12" t="str">
        <x:v>原主队列优先触发及参考阳性底稿</x:v>
      </x:c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</x:row>
    <x:row r="28" ht="24" customHeight="1">
      <x:c r="A28" s="16" t="str">
        <x:v>心电标识</x:v>
      </x:c>
      <x:c r="B28" s="16" t="str">
        <x:v>患者标识</x:v>
      </x:c>
      <x:c r="C28" s="16" t="str">
        <x:v>原参考向量</x:v>
      </x:c>
      <x:c r="D28" s="16" t="str">
        <x:v>固定自动向量</x:v>
      </x:c>
      <x:c r="E28" s="16" t="str">
        <x:v>A标志</x:v>
      </x:c>
      <x:c r="F28" s="16" t="str">
        <x:v>B标志</x:v>
      </x:c>
      <x:c r="G28" s="16" t="str">
        <x:v>C0标志</x:v>
      </x:c>
      <x:c r="H28" s="16" t="str">
        <x:v>参考任一阳性</x:v>
      </x:c>
      <x:c r="I28" s="16" t="str">
        <x:v>参考AFIB阳性</x:v>
      </x:c>
      <x:c r="J28" s="16" t="str">
        <x:v>参考CLBBB阳性</x:v>
      </x:c>
      <x:c r="K28" s="16" t="str">
        <x:v>参考CRBBB阳性</x:v>
      </x:c>
      <x:c r="L28" s="16" t="str">
        <x:v>说明</x:v>
      </x:c>
      <x:c r="M28" s="16"/>
      <x:c r="N28" s="16"/>
      <x:c r="O28" s="16"/>
    </x:row>
    <x:row r="29" ht="39" customHeight="1">
      <x:c r="A29" s="12" t="str">
        <x:v>9</x:v>
      </x:c>
      <x:c r="B29" s="12" t="str">
        <x:v>18792</x:v>
      </x:c>
      <x:c r="C29" s="12" t="str">
        <x:v>参考000</x:v>
      </x:c>
      <x:c r="D29" s="12" t="str">
        <x:v>自动000</x:v>
      </x:c>
      <x:c r="E29" s="12" t="n">
        <x:v>0</x:v>
      </x:c>
      <x:c r="F29" s="12" t="n">
        <x:v>1</x:v>
      </x:c>
      <x:c r="G29" s="12" t="n">
        <x:v>0</x:v>
      </x:c>
      <x:c r="H29" s="12" t="n">
        <x:f>IF(SUM(I29:K29)&gt;0,1,0)</x:f>
        <x:v>0</x:v>
      </x:c>
      <x:c r="I29" s="12" t="n">
        <x:f>IF('患者配对'!M2="positive",1,0)</x:f>
        <x:v>0</x:v>
      </x:c>
      <x:c r="J29" s="12" t="n">
        <x:f>IF('患者配对'!R2="positive",1,0)</x:f>
        <x:v>0</x:v>
      </x:c>
      <x:c r="K29" s="12" t="n">
        <x:f>IF('患者配对'!W2="positive",1,0)</x:f>
        <x:v>0</x:v>
      </x:c>
      <x:c r="L29" s="12" t="str">
        <x:v>由原件与原状态取得；仅主队列索引</x:v>
      </x:c>
      <x:c r="M29" s="12"/>
      <x:c r="N29" s="12"/>
      <x:c r="O29" s="12"/>
    </x:row>
    <x:row r="30" ht="39" customHeight="1">
      <x:c r="A30" s="12" t="str">
        <x:v>38</x:v>
      </x:c>
      <x:c r="B30" s="12" t="str">
        <x:v>17076</x:v>
      </x:c>
      <x:c r="C30" s="12" t="str">
        <x:v>参考000</x:v>
      </x:c>
      <x:c r="D30" s="12" t="str">
        <x:v>自动000</x:v>
      </x:c>
      <x:c r="E30" s="12" t="n">
        <x:v>0</x:v>
      </x:c>
      <x:c r="F30" s="12" t="n">
        <x:v>1</x:v>
      </x:c>
      <x:c r="G30" s="12" t="n">
        <x:v>0</x:v>
      </x:c>
      <x:c r="H30" s="12" t="n">
        <x:f>IF(SUM(I30:K30)&gt;0,1,0)</x:f>
        <x:v>0</x:v>
      </x:c>
      <x:c r="I30" s="12" t="n">
        <x:f>IF('患者配对'!M3="positive",1,0)</x:f>
        <x:v>0</x:v>
      </x:c>
      <x:c r="J30" s="12" t="n">
        <x:f>IF('患者配对'!R3="positive",1,0)</x:f>
        <x:v>0</x:v>
      </x:c>
      <x:c r="K30" s="12" t="n">
        <x:f>IF('患者配对'!W3="positive",1,0)</x:f>
        <x:v>0</x:v>
      </x:c>
      <x:c r="L30" s="12" t="str">
        <x:v>由原件与原状态取得；仅主队列索引</x:v>
      </x:c>
      <x:c r="M30" s="12"/>
      <x:c r="N30" s="12"/>
      <x:c r="O30" s="12"/>
    </x:row>
    <x:row r="31" ht="39" customHeight="1">
      <x:c r="A31" s="12" t="str">
        <x:v>40</x:v>
      </x:c>
      <x:c r="B31" s="12" t="str">
        <x:v>19501</x:v>
      </x:c>
      <x:c r="C31" s="12" t="str">
        <x:v>参考000</x:v>
      </x:c>
      <x:c r="D31" s="12" t="str">
        <x:v>自动000</x:v>
      </x:c>
      <x:c r="E31" s="12" t="n">
        <x:v>0</x:v>
      </x:c>
      <x:c r="F31" s="12" t="n">
        <x:v>0</x:v>
      </x:c>
      <x:c r="G31" s="12" t="n">
        <x:v>0</x:v>
      </x:c>
      <x:c r="H31" s="12" t="n">
        <x:f>IF(SUM(I31:K31)&gt;0,1,0)</x:f>
        <x:v>0</x:v>
      </x:c>
      <x:c r="I31" s="12" t="n">
        <x:f>IF('患者配对'!M4="positive",1,0)</x:f>
        <x:v>0</x:v>
      </x:c>
      <x:c r="J31" s="12" t="n">
        <x:f>IF('患者配对'!R4="positive",1,0)</x:f>
        <x:v>0</x:v>
      </x:c>
      <x:c r="K31" s="12" t="n">
        <x:f>IF('患者配对'!W4="positive",1,0)</x:f>
        <x:v>0</x:v>
      </x:c>
      <x:c r="L31" s="12" t="str">
        <x:v>由原件与原状态取得；仅主队列索引</x:v>
      </x:c>
      <x:c r="M31" s="12"/>
      <x:c r="N31" s="12"/>
      <x:c r="O31" s="12"/>
    </x:row>
    <x:row r="32" ht="39" customHeight="1">
      <x:c r="A32" s="12" t="str">
        <x:v>57</x:v>
      </x:c>
      <x:c r="B32" s="12" t="str">
        <x:v>16063</x:v>
      </x:c>
      <x:c r="C32" s="12" t="str">
        <x:v>参考000</x:v>
      </x:c>
      <x:c r="D32" s="12" t="str">
        <x:v>自动000</x:v>
      </x:c>
      <x:c r="E32" s="12" t="n">
        <x:v>0</x:v>
      </x:c>
      <x:c r="F32" s="12" t="n">
        <x:v>0</x:v>
      </x:c>
      <x:c r="G32" s="12" t="n">
        <x:v>0</x:v>
      </x:c>
      <x:c r="H32" s="12" t="n">
        <x:f>IF(SUM(I32:K32)&gt;0,1,0)</x:f>
        <x:v>0</x:v>
      </x:c>
      <x:c r="I32" s="12" t="n">
        <x:f>IF('患者配对'!M5="positive",1,0)</x:f>
        <x:v>0</x:v>
      </x:c>
      <x:c r="J32" s="12" t="n">
        <x:f>IF('患者配对'!R5="positive",1,0)</x:f>
        <x:v>0</x:v>
      </x:c>
      <x:c r="K32" s="12" t="n">
        <x:f>IF('患者配对'!W5="positive",1,0)</x:f>
        <x:v>0</x:v>
      </x:c>
      <x:c r="L32" s="12" t="str">
        <x:v>由原件与原状态取得；仅主队列索引</x:v>
      </x:c>
      <x:c r="M32" s="12"/>
      <x:c r="N32" s="12"/>
      <x:c r="O32" s="12"/>
    </x:row>
    <x:row r="33" ht="39" customHeight="1">
      <x:c r="A33" s="12" t="str">
        <x:v>59</x:v>
      </x:c>
      <x:c r="B33" s="12" t="str">
        <x:v>19475</x:v>
      </x:c>
      <x:c r="C33" s="12" t="str">
        <x:v>参考000</x:v>
      </x:c>
      <x:c r="D33" s="12" t="str">
        <x:v>自动000</x:v>
      </x:c>
      <x:c r="E33" s="12" t="n">
        <x:v>0</x:v>
      </x:c>
      <x:c r="F33" s="12" t="n">
        <x:v>1</x:v>
      </x:c>
      <x:c r="G33" s="12" t="n">
        <x:v>0</x:v>
      </x:c>
      <x:c r="H33" s="12" t="n">
        <x:f>IF(SUM(I33:K33)&gt;0,1,0)</x:f>
        <x:v>0</x:v>
      </x:c>
      <x:c r="I33" s="12" t="n">
        <x:f>IF('患者配对'!M6="positive",1,0)</x:f>
        <x:v>0</x:v>
      </x:c>
      <x:c r="J33" s="12" t="n">
        <x:f>IF('患者配对'!R6="positive",1,0)</x:f>
        <x:v>0</x:v>
      </x:c>
      <x:c r="K33" s="12" t="n">
        <x:f>IF('患者配对'!W6="positive",1,0)</x:f>
        <x:v>0</x:v>
      </x:c>
      <x:c r="L33" s="12" t="str">
        <x:v>由原件与原状态取得；仅主队列索引</x:v>
      </x:c>
      <x:c r="M33" s="12"/>
      <x:c r="N33" s="12"/>
      <x:c r="O33" s="12"/>
    </x:row>
    <x:row r="34" ht="39" customHeight="1">
      <x:c r="A34" s="12" t="str">
        <x:v>63</x:v>
      </x:c>
      <x:c r="B34" s="12" t="str">
        <x:v>15265</x:v>
      </x:c>
      <x:c r="C34" s="12" t="str">
        <x:v>参考000</x:v>
      </x:c>
      <x:c r="D34" s="12" t="str">
        <x:v>自动000</x:v>
      </x:c>
      <x:c r="E34" s="12" t="n">
        <x:v>0</x:v>
      </x:c>
      <x:c r="F34" s="12" t="n">
        <x:v>1</x:v>
      </x:c>
      <x:c r="G34" s="12" t="n">
        <x:v>0</x:v>
      </x:c>
      <x:c r="H34" s="12" t="n">
        <x:f>IF(SUM(I34:K34)&gt;0,1,0)</x:f>
        <x:v>0</x:v>
      </x:c>
      <x:c r="I34" s="12" t="n">
        <x:f>IF('患者配对'!M7="positive",1,0)</x:f>
        <x:v>0</x:v>
      </x:c>
      <x:c r="J34" s="12" t="n">
        <x:f>IF('患者配对'!R7="positive",1,0)</x:f>
        <x:v>0</x:v>
      </x:c>
      <x:c r="K34" s="12" t="n">
        <x:f>IF('患者配对'!W7="positive",1,0)</x:f>
        <x:v>0</x:v>
      </x:c>
      <x:c r="L34" s="12" t="str">
        <x:v>由原件与原状态取得；仅主队列索引</x:v>
      </x:c>
      <x:c r="M34" s="12"/>
      <x:c r="N34" s="12"/>
      <x:c r="O34" s="12"/>
    </x:row>
    <x:row r="35" ht="39" customHeight="1">
      <x:c r="A35" s="12" t="str">
        <x:v>65</x:v>
      </x:c>
      <x:c r="B35" s="12" t="str">
        <x:v>19170</x:v>
      </x:c>
      <x:c r="C35" s="12" t="str">
        <x:v>参考000</x:v>
      </x:c>
      <x:c r="D35" s="12" t="str">
        <x:v>自动000</x:v>
      </x:c>
      <x:c r="E35" s="12" t="n">
        <x:v>0</x:v>
      </x:c>
      <x:c r="F35" s="12" t="n">
        <x:v>0</x:v>
      </x:c>
      <x:c r="G35" s="12" t="n">
        <x:v>0</x:v>
      </x:c>
      <x:c r="H35" s="12" t="n">
        <x:f>IF(SUM(I35:K35)&gt;0,1,0)</x:f>
        <x:v>0</x:v>
      </x:c>
      <x:c r="I35" s="12" t="n">
        <x:f>IF('患者配对'!M8="positive",1,0)</x:f>
        <x:v>0</x:v>
      </x:c>
      <x:c r="J35" s="12" t="n">
        <x:f>IF('患者配对'!R8="positive",1,0)</x:f>
        <x:v>0</x:v>
      </x:c>
      <x:c r="K35" s="12" t="n">
        <x:f>IF('患者配对'!W8="positive",1,0)</x:f>
        <x:v>0</x:v>
      </x:c>
      <x:c r="L35" s="12" t="str">
        <x:v>由原件与原状态取得；仅主队列索引</x:v>
      </x:c>
      <x:c r="M35" s="12"/>
      <x:c r="N35" s="12"/>
      <x:c r="O35" s="12"/>
    </x:row>
    <x:row r="36" ht="39" customHeight="1">
      <x:c r="A36" s="12" t="str">
        <x:v>75</x:v>
      </x:c>
      <x:c r="B36" s="12" t="str">
        <x:v>18502</x:v>
      </x:c>
      <x:c r="C36" s="12" t="str">
        <x:v>参考000</x:v>
      </x:c>
      <x:c r="D36" s="12" t="str">
        <x:v>自动000</x:v>
      </x:c>
      <x:c r="E36" s="12" t="n">
        <x:v>0</x:v>
      </x:c>
      <x:c r="F36" s="12" t="n">
        <x:v>1</x:v>
      </x:c>
      <x:c r="G36" s="12" t="n">
        <x:v>0</x:v>
      </x:c>
      <x:c r="H36" s="12" t="n">
        <x:f>IF(SUM(I36:K36)&gt;0,1,0)</x:f>
        <x:v>0</x:v>
      </x:c>
      <x:c r="I36" s="12" t="n">
        <x:f>IF('患者配对'!M9="positive",1,0)</x:f>
        <x:v>0</x:v>
      </x:c>
      <x:c r="J36" s="12" t="n">
        <x:f>IF('患者配对'!R9="positive",1,0)</x:f>
        <x:v>0</x:v>
      </x:c>
      <x:c r="K36" s="12" t="n">
        <x:f>IF('患者配对'!W9="positive",1,0)</x:f>
        <x:v>0</x:v>
      </x:c>
      <x:c r="L36" s="12" t="str">
        <x:v>由原件与原状态取得；仅主队列索引</x:v>
      </x:c>
      <x:c r="M36" s="12"/>
      <x:c r="N36" s="12"/>
      <x:c r="O36" s="12"/>
    </x:row>
    <x:row r="37" ht="39" customHeight="1">
      <x:c r="A37" s="12" t="str">
        <x:v>76</x:v>
      </x:c>
      <x:c r="B37" s="12" t="str">
        <x:v>21214</x:v>
      </x:c>
      <x:c r="C37" s="12" t="str">
        <x:v>参考000</x:v>
      </x:c>
      <x:c r="D37" s="12" t="str">
        <x:v>自动000</x:v>
      </x:c>
      <x:c r="E37" s="12" t="n">
        <x:v>0</x:v>
      </x:c>
      <x:c r="F37" s="12" t="n">
        <x:v>1</x:v>
      </x:c>
      <x:c r="G37" s="12" t="n">
        <x:v>0</x:v>
      </x:c>
      <x:c r="H37" s="12" t="n">
        <x:f>IF(SUM(I37:K37)&gt;0,1,0)</x:f>
        <x:v>0</x:v>
      </x:c>
      <x:c r="I37" s="12" t="n">
        <x:f>IF('患者配对'!M10="positive",1,0)</x:f>
        <x:v>0</x:v>
      </x:c>
      <x:c r="J37" s="12" t="n">
        <x:f>IF('患者配对'!R10="positive",1,0)</x:f>
        <x:v>0</x:v>
      </x:c>
      <x:c r="K37" s="12" t="n">
        <x:f>IF('患者配对'!W10="positive",1,0)</x:f>
        <x:v>0</x:v>
      </x:c>
      <x:c r="L37" s="12" t="str">
        <x:v>由原件与原状态取得；仅主队列索引</x:v>
      </x:c>
      <x:c r="M37" s="12"/>
      <x:c r="N37" s="12"/>
      <x:c r="O37" s="12"/>
    </x:row>
    <x:row r="38" ht="39" customHeight="1">
      <x:c r="A38" s="12" t="str">
        <x:v>79</x:v>
      </x:c>
      <x:c r="B38" s="12" t="str">
        <x:v>17529</x:v>
      </x:c>
      <x:c r="C38" s="12" t="str">
        <x:v>参考000</x:v>
      </x:c>
      <x:c r="D38" s="12" t="str">
        <x:v>自动000</x:v>
      </x:c>
      <x:c r="E38" s="12" t="n">
        <x:v>0</x:v>
      </x:c>
      <x:c r="F38" s="12" t="n">
        <x:v>0</x:v>
      </x:c>
      <x:c r="G38" s="12" t="n">
        <x:v>0</x:v>
      </x:c>
      <x:c r="H38" s="12" t="n">
        <x:f>IF(SUM(I38:K38)&gt;0,1,0)</x:f>
        <x:v>0</x:v>
      </x:c>
      <x:c r="I38" s="12" t="n">
        <x:f>IF('患者配对'!M11="positive",1,0)</x:f>
        <x:v>0</x:v>
      </x:c>
      <x:c r="J38" s="12" t="n">
        <x:f>IF('患者配对'!R11="positive",1,0)</x:f>
        <x:v>0</x:v>
      </x:c>
      <x:c r="K38" s="12" t="n">
        <x:f>IF('患者配对'!W11="positive",1,0)</x:f>
        <x:v>0</x:v>
      </x:c>
      <x:c r="L38" s="12" t="str">
        <x:v>由原件与原状态取得；仅主队列索引</x:v>
      </x:c>
      <x:c r="M38" s="12"/>
      <x:c r="N38" s="12"/>
      <x:c r="O38" s="12"/>
    </x:row>
    <x:row r="39" ht="39" customHeight="1">
      <x:c r="A39" s="12" t="str">
        <x:v>93</x:v>
      </x:c>
      <x:c r="B39" s="12" t="str">
        <x:v>10029</x:v>
      </x:c>
      <x:c r="C39" s="12" t="str">
        <x:v>参考000</x:v>
      </x:c>
      <x:c r="D39" s="12" t="str">
        <x:v>自动000</x:v>
      </x:c>
      <x:c r="E39" s="12" t="n">
        <x:v>0</x:v>
      </x:c>
      <x:c r="F39" s="12" t="n">
        <x:v>1</x:v>
      </x:c>
      <x:c r="G39" s="12" t="n">
        <x:v>0</x:v>
      </x:c>
      <x:c r="H39" s="12" t="n">
        <x:f>IF(SUM(I39:K39)&gt;0,1,0)</x:f>
        <x:v>0</x:v>
      </x:c>
      <x:c r="I39" s="12" t="n">
        <x:f>IF('患者配对'!M12="positive",1,0)</x:f>
        <x:v>0</x:v>
      </x:c>
      <x:c r="J39" s="12" t="n">
        <x:f>IF('患者配对'!R12="positive",1,0)</x:f>
        <x:v>0</x:v>
      </x:c>
      <x:c r="K39" s="12" t="n">
        <x:f>IF('患者配对'!W12="positive",1,0)</x:f>
        <x:v>0</x:v>
      </x:c>
      <x:c r="L39" s="12" t="str">
        <x:v>由原件与原状态取得；仅主队列索引</x:v>
      </x:c>
      <x:c r="M39" s="12"/>
      <x:c r="N39" s="12"/>
      <x:c r="O39" s="12"/>
    </x:row>
    <x:row r="40" ht="39" customHeight="1">
      <x:c r="A40" s="12" t="str">
        <x:v>100</x:v>
      </x:c>
      <x:c r="B40" s="12" t="str">
        <x:v>21404</x:v>
      </x:c>
      <x:c r="C40" s="12" t="str">
        <x:v>参考000</x:v>
      </x:c>
      <x:c r="D40" s="12" t="str">
        <x:v>自动000</x:v>
      </x:c>
      <x:c r="E40" s="12" t="n">
        <x:v>0</x:v>
      </x:c>
      <x:c r="F40" s="12" t="n">
        <x:v>1</x:v>
      </x:c>
      <x:c r="G40" s="12" t="n">
        <x:v>0</x:v>
      </x:c>
      <x:c r="H40" s="12" t="n">
        <x:f>IF(SUM(I40:K40)&gt;0,1,0)</x:f>
        <x:v>0</x:v>
      </x:c>
      <x:c r="I40" s="12" t="n">
        <x:f>IF('患者配对'!M13="positive",1,0)</x:f>
        <x:v>0</x:v>
      </x:c>
      <x:c r="J40" s="12" t="n">
        <x:f>IF('患者配对'!R13="positive",1,0)</x:f>
        <x:v>0</x:v>
      </x:c>
      <x:c r="K40" s="12" t="n">
        <x:f>IF('患者配对'!W13="positive",1,0)</x:f>
        <x:v>0</x:v>
      </x:c>
      <x:c r="L40" s="12" t="str">
        <x:v>由原件与原状态取得；仅主队列索引</x:v>
      </x:c>
      <x:c r="M40" s="12"/>
      <x:c r="N40" s="12"/>
      <x:c r="O40" s="12"/>
    </x:row>
    <x:row r="41" ht="39" customHeight="1">
      <x:c r="A41" s="12" t="str">
        <x:v>112</x:v>
      </x:c>
      <x:c r="B41" s="12" t="str">
        <x:v>19832</x:v>
      </x:c>
      <x:c r="C41" s="12" t="str">
        <x:v>参考000</x:v>
      </x:c>
      <x:c r="D41" s="12" t="str">
        <x:v>自动000</x:v>
      </x:c>
      <x:c r="E41" s="12" t="n">
        <x:v>0</x:v>
      </x:c>
      <x:c r="F41" s="12" t="n">
        <x:v>0</x:v>
      </x:c>
      <x:c r="G41" s="12" t="n">
        <x:v>0</x:v>
      </x:c>
      <x:c r="H41" s="12" t="n">
        <x:f>IF(SUM(I41:K41)&gt;0,1,0)</x:f>
        <x:v>0</x:v>
      </x:c>
      <x:c r="I41" s="12" t="n">
        <x:f>IF('患者配对'!M14="positive",1,0)</x:f>
        <x:v>0</x:v>
      </x:c>
      <x:c r="J41" s="12" t="n">
        <x:f>IF('患者配对'!R14="positive",1,0)</x:f>
        <x:v>0</x:v>
      </x:c>
      <x:c r="K41" s="12" t="n">
        <x:f>IF('患者配对'!W14="positive",1,0)</x:f>
        <x:v>0</x:v>
      </x:c>
      <x:c r="L41" s="12" t="str">
        <x:v>由原件与原状态取得；仅主队列索引</x:v>
      </x:c>
      <x:c r="M41" s="12"/>
      <x:c r="N41" s="12"/>
      <x:c r="O41" s="12"/>
    </x:row>
    <x:row r="42" ht="39" customHeight="1">
      <x:c r="A42" s="12" t="str">
        <x:v>115</x:v>
      </x:c>
      <x:c r="B42" s="12" t="str">
        <x:v>11591</x:v>
      </x:c>
      <x:c r="C42" s="12" t="str">
        <x:v>参考000</x:v>
      </x:c>
      <x:c r="D42" s="12" t="str">
        <x:v>自动000</x:v>
      </x:c>
      <x:c r="E42" s="12" t="n">
        <x:v>0</x:v>
      </x:c>
      <x:c r="F42" s="12" t="n">
        <x:v>1</x:v>
      </x:c>
      <x:c r="G42" s="12" t="n">
        <x:v>0</x:v>
      </x:c>
      <x:c r="H42" s="12" t="n">
        <x:f>IF(SUM(I42:K42)&gt;0,1,0)</x:f>
        <x:v>0</x:v>
      </x:c>
      <x:c r="I42" s="12" t="n">
        <x:f>IF('患者配对'!M15="positive",1,0)</x:f>
        <x:v>0</x:v>
      </x:c>
      <x:c r="J42" s="12" t="n">
        <x:f>IF('患者配对'!R15="positive",1,0)</x:f>
        <x:v>0</x:v>
      </x:c>
      <x:c r="K42" s="12" t="n">
        <x:f>IF('患者配对'!W15="positive",1,0)</x:f>
        <x:v>0</x:v>
      </x:c>
      <x:c r="L42" s="12" t="str">
        <x:v>由原件与原状态取得；仅主队列索引</x:v>
      </x:c>
      <x:c r="M42" s="12"/>
      <x:c r="N42" s="12"/>
      <x:c r="O42" s="12"/>
    </x:row>
    <x:row r="43" ht="39" customHeight="1">
      <x:c r="A43" s="12" t="str">
        <x:v>116</x:v>
      </x:c>
      <x:c r="B43" s="12" t="str">
        <x:v>19695</x:v>
      </x:c>
      <x:c r="C43" s="12" t="str">
        <x:v>参考000</x:v>
      </x:c>
      <x:c r="D43" s="12" t="str">
        <x:v>自动000</x:v>
      </x:c>
      <x:c r="E43" s="12" t="n">
        <x:v>0</x:v>
      </x:c>
      <x:c r="F43" s="12" t="n">
        <x:v>1</x:v>
      </x:c>
      <x:c r="G43" s="12" t="n">
        <x:v>0</x:v>
      </x:c>
      <x:c r="H43" s="12" t="n">
        <x:f>IF(SUM(I43:K43)&gt;0,1,0)</x:f>
        <x:v>0</x:v>
      </x:c>
      <x:c r="I43" s="12" t="n">
        <x:f>IF('患者配对'!M16="positive",1,0)</x:f>
        <x:v>0</x:v>
      </x:c>
      <x:c r="J43" s="12" t="n">
        <x:f>IF('患者配对'!R16="positive",1,0)</x:f>
        <x:v>0</x:v>
      </x:c>
      <x:c r="K43" s="12" t="n">
        <x:f>IF('患者配对'!W16="positive",1,0)</x:f>
        <x:v>0</x:v>
      </x:c>
      <x:c r="L43" s="12" t="str">
        <x:v>由原件与原状态取得；仅主队列索引</x:v>
      </x:c>
      <x:c r="M43" s="12"/>
      <x:c r="N43" s="12"/>
      <x:c r="O43" s="12"/>
    </x:row>
    <x:row r="44" ht="39" customHeight="1">
      <x:c r="A44" s="12" t="str">
        <x:v>117</x:v>
      </x:c>
      <x:c r="B44" s="12" t="str">
        <x:v>16747</x:v>
      </x:c>
      <x:c r="C44" s="12" t="str">
        <x:v>参考000</x:v>
      </x:c>
      <x:c r="D44" s="12" t="str">
        <x:v>自动000</x:v>
      </x:c>
      <x:c r="E44" s="12" t="n">
        <x:v>0</x:v>
      </x:c>
      <x:c r="F44" s="12" t="n">
        <x:v>1</x:v>
      </x:c>
      <x:c r="G44" s="12" t="n">
        <x:v>0</x:v>
      </x:c>
      <x:c r="H44" s="12" t="n">
        <x:f>IF(SUM(I44:K44)&gt;0,1,0)</x:f>
        <x:v>0</x:v>
      </x:c>
      <x:c r="I44" s="12" t="n">
        <x:f>IF('患者配对'!M17="positive",1,0)</x:f>
        <x:v>0</x:v>
      </x:c>
      <x:c r="J44" s="12" t="n">
        <x:f>IF('患者配对'!R17="positive",1,0)</x:f>
        <x:v>0</x:v>
      </x:c>
      <x:c r="K44" s="12" t="n">
        <x:f>IF('患者配对'!W17="positive",1,0)</x:f>
        <x:v>0</x:v>
      </x:c>
      <x:c r="L44" s="12" t="str">
        <x:v>由原件与原状态取得；仅主队列索引</x:v>
      </x:c>
      <x:c r="M44" s="12"/>
      <x:c r="N44" s="12"/>
      <x:c r="O44" s="12"/>
    </x:row>
    <x:row r="45" ht="39" customHeight="1">
      <x:c r="A45" s="12" t="str">
        <x:v>128</x:v>
      </x:c>
      <x:c r="B45" s="12" t="str">
        <x:v>17735</x:v>
      </x:c>
      <x:c r="C45" s="12" t="str">
        <x:v>参考000</x:v>
      </x:c>
      <x:c r="D45" s="12" t="str">
        <x:v>自动000</x:v>
      </x:c>
      <x:c r="E45" s="12" t="n">
        <x:v>0</x:v>
      </x:c>
      <x:c r="F45" s="12" t="n">
        <x:v>1</x:v>
      </x:c>
      <x:c r="G45" s="12" t="n">
        <x:v>0</x:v>
      </x:c>
      <x:c r="H45" s="12" t="n">
        <x:f>IF(SUM(I45:K45)&gt;0,1,0)</x:f>
        <x:v>0</x:v>
      </x:c>
      <x:c r="I45" s="12" t="n">
        <x:f>IF('患者配对'!M21="positive",1,0)</x:f>
        <x:v>0</x:v>
      </x:c>
      <x:c r="J45" s="12" t="n">
        <x:f>IF('患者配对'!R21="positive",1,0)</x:f>
        <x:v>0</x:v>
      </x:c>
      <x:c r="K45" s="12" t="n">
        <x:f>IF('患者配对'!W21="positive",1,0)</x:f>
        <x:v>0</x:v>
      </x:c>
      <x:c r="L45" s="12" t="str">
        <x:v>由原件与原状态取得；仅主队列索引</x:v>
      </x:c>
      <x:c r="M45" s="12"/>
      <x:c r="N45" s="12"/>
      <x:c r="O45" s="12"/>
    </x:row>
    <x:row r="46" ht="39" customHeight="1">
      <x:c r="A46" s="12" t="str">
        <x:v>129</x:v>
      </x:c>
      <x:c r="B46" s="12" t="str">
        <x:v>16463</x:v>
      </x:c>
      <x:c r="C46" s="12" t="str">
        <x:v>参考000</x:v>
      </x:c>
      <x:c r="D46" s="12" t="str">
        <x:v>自动000</x:v>
      </x:c>
      <x:c r="E46" s="12" t="n">
        <x:v>0</x:v>
      </x:c>
      <x:c r="F46" s="12" t="n">
        <x:v>0</x:v>
      </x:c>
      <x:c r="G46" s="12" t="n">
        <x:v>0</x:v>
      </x:c>
      <x:c r="H46" s="12" t="n">
        <x:f>IF(SUM(I46:K46)&gt;0,1,0)</x:f>
        <x:v>0</x:v>
      </x:c>
      <x:c r="I46" s="12" t="n">
        <x:f>IF('患者配对'!M22="positive",1,0)</x:f>
        <x:v>0</x:v>
      </x:c>
      <x:c r="J46" s="12" t="n">
        <x:f>IF('患者配对'!R22="positive",1,0)</x:f>
        <x:v>0</x:v>
      </x:c>
      <x:c r="K46" s="12" t="n">
        <x:f>IF('患者配对'!W22="positive",1,0)</x:f>
        <x:v>0</x:v>
      </x:c>
      <x:c r="L46" s="12" t="str">
        <x:v>由原件与原状态取得；仅主队列索引</x:v>
      </x:c>
      <x:c r="M46" s="12"/>
      <x:c r="N46" s="12"/>
      <x:c r="O46" s="12"/>
    </x:row>
    <x:row r="47" ht="39" customHeight="1">
      <x:c r="A47" s="12" t="str">
        <x:v>157</x:v>
      </x:c>
      <x:c r="B47" s="12" t="str">
        <x:v>8131</x:v>
      </x:c>
      <x:c r="C47" s="12" t="str">
        <x:v>参考000</x:v>
      </x:c>
      <x:c r="D47" s="12" t="str">
        <x:v>自动000</x:v>
      </x:c>
      <x:c r="E47" s="12" t="n">
        <x:v>0</x:v>
      </x:c>
      <x:c r="F47" s="12" t="n">
        <x:v>0</x:v>
      </x:c>
      <x:c r="G47" s="12" t="n">
        <x:v>0</x:v>
      </x:c>
      <x:c r="H47" s="12" t="n">
        <x:f>IF(SUM(I47:K47)&gt;0,1,0)</x:f>
        <x:v>0</x:v>
      </x:c>
      <x:c r="I47" s="12" t="n">
        <x:f>IF('患者配对'!M24="positive",1,0)</x:f>
        <x:v>0</x:v>
      </x:c>
      <x:c r="J47" s="12" t="n">
        <x:f>IF('患者配对'!R24="positive",1,0)</x:f>
        <x:v>0</x:v>
      </x:c>
      <x:c r="K47" s="12" t="n">
        <x:f>IF('患者配对'!W24="positive",1,0)</x:f>
        <x:v>0</x:v>
      </x:c>
      <x:c r="L47" s="12" t="str">
        <x:v>由原件与原状态取得；仅主队列索引</x:v>
      </x:c>
      <x:c r="M47" s="12"/>
      <x:c r="N47" s="12"/>
      <x:c r="O47" s="12"/>
    </x:row>
    <x:row r="48" ht="39" customHeight="1">
      <x:c r="A48" s="12" t="str">
        <x:v>160</x:v>
      </x:c>
      <x:c r="B48" s="12" t="str">
        <x:v>13470</x:v>
      </x:c>
      <x:c r="C48" s="12" t="str">
        <x:v>参考000</x:v>
      </x:c>
      <x:c r="D48" s="12" t="str">
        <x:v>自动000</x:v>
      </x:c>
      <x:c r="E48" s="12" t="n">
        <x:v>0</x:v>
      </x:c>
      <x:c r="F48" s="12" t="n">
        <x:v>0</x:v>
      </x:c>
      <x:c r="G48" s="12" t="n">
        <x:v>0</x:v>
      </x:c>
      <x:c r="H48" s="12" t="n">
        <x:f>IF(SUM(I48:K48)&gt;0,1,0)</x:f>
        <x:v>0</x:v>
      </x:c>
      <x:c r="I48" s="12" t="n">
        <x:f>IF('患者配对'!M25="positive",1,0)</x:f>
        <x:v>0</x:v>
      </x:c>
      <x:c r="J48" s="12" t="n">
        <x:f>IF('患者配对'!R25="positive",1,0)</x:f>
        <x:v>0</x:v>
      </x:c>
      <x:c r="K48" s="12" t="n">
        <x:f>IF('患者配对'!W25="positive",1,0)</x:f>
        <x:v>0</x:v>
      </x:c>
      <x:c r="L48" s="12" t="str">
        <x:v>由原件与原状态取得；仅主队列索引</x:v>
      </x:c>
      <x:c r="M48" s="12"/>
      <x:c r="N48" s="12"/>
      <x:c r="O48" s="12"/>
    </x:row>
    <x:row r="49" ht="39" customHeight="1">
      <x:c r="A49" s="12" t="str">
        <x:v>162</x:v>
      </x:c>
      <x:c r="B49" s="12" t="str">
        <x:v>9780</x:v>
      </x:c>
      <x:c r="C49" s="12" t="str">
        <x:v>参考000</x:v>
      </x:c>
      <x:c r="D49" s="12" t="str">
        <x:v>自动000</x:v>
      </x:c>
      <x:c r="E49" s="12" t="n">
        <x:v>0</x:v>
      </x:c>
      <x:c r="F49" s="12" t="n">
        <x:v>0</x:v>
      </x:c>
      <x:c r="G49" s="12" t="n">
        <x:v>0</x:v>
      </x:c>
      <x:c r="H49" s="12" t="n">
        <x:f>IF(SUM(I49:K49)&gt;0,1,0)</x:f>
        <x:v>0</x:v>
      </x:c>
      <x:c r="I49" s="12" t="n">
        <x:f>IF('患者配对'!M26="positive",1,0)</x:f>
        <x:v>0</x:v>
      </x:c>
      <x:c r="J49" s="12" t="n">
        <x:f>IF('患者配对'!R26="positive",1,0)</x:f>
        <x:v>0</x:v>
      </x:c>
      <x:c r="K49" s="12" t="n">
        <x:f>IF('患者配对'!W26="positive",1,0)</x:f>
        <x:v>0</x:v>
      </x:c>
      <x:c r="L49" s="12" t="str">
        <x:v>由原件与原状态取得；仅主队列索引</x:v>
      </x:c>
      <x:c r="M49" s="12"/>
      <x:c r="N49" s="12"/>
      <x:c r="O49" s="12"/>
    </x:row>
    <x:row r="50" ht="39" customHeight="1">
      <x:c r="A50" s="12" t="str">
        <x:v>167</x:v>
      </x:c>
      <x:c r="B50" s="12" t="str">
        <x:v>16774</x:v>
      </x:c>
      <x:c r="C50" s="12" t="str">
        <x:v>参考000</x:v>
      </x:c>
      <x:c r="D50" s="12" t="str">
        <x:v>自动000</x:v>
      </x:c>
      <x:c r="E50" s="12" t="n">
        <x:v>0</x:v>
      </x:c>
      <x:c r="F50" s="12" t="n">
        <x:v>0</x:v>
      </x:c>
      <x:c r="G50" s="12" t="n">
        <x:v>0</x:v>
      </x:c>
      <x:c r="H50" s="12" t="n">
        <x:f>IF(SUM(I50:K50)&gt;0,1,0)</x:f>
        <x:v>0</x:v>
      </x:c>
      <x:c r="I50" s="12" t="n">
        <x:f>IF('患者配对'!M27="positive",1,0)</x:f>
        <x:v>0</x:v>
      </x:c>
      <x:c r="J50" s="12" t="n">
        <x:f>IF('患者配对'!R27="positive",1,0)</x:f>
        <x:v>0</x:v>
      </x:c>
      <x:c r="K50" s="12" t="n">
        <x:f>IF('患者配对'!W27="positive",1,0)</x:f>
        <x:v>0</x:v>
      </x:c>
      <x:c r="L50" s="12" t="str">
        <x:v>由原件与原状态取得；仅主队列索引</x:v>
      </x:c>
      <x:c r="M50" s="12"/>
      <x:c r="N50" s="12"/>
      <x:c r="O50" s="12"/>
    </x:row>
    <x:row r="51" ht="39" customHeight="1">
      <x:c r="A51" s="12" t="str">
        <x:v>172</x:v>
      </x:c>
      <x:c r="B51" s="12" t="str">
        <x:v>20766</x:v>
      </x:c>
      <x:c r="C51" s="12" t="str">
        <x:v>参考001</x:v>
      </x:c>
      <x:c r="D51" s="12" t="str">
        <x:v>自动001</x:v>
      </x:c>
      <x:c r="E51" s="12" t="n">
        <x:v>1</x:v>
      </x:c>
      <x:c r="F51" s="12" t="n">
        <x:v>1</x:v>
      </x:c>
      <x:c r="G51" s="12" t="n">
        <x:v>0</x:v>
      </x:c>
      <x:c r="H51" s="12" t="n">
        <x:f>IF(SUM(I51:K51)&gt;0,1,0)</x:f>
        <x:v>1</x:v>
      </x:c>
      <x:c r="I51" s="12" t="n">
        <x:f>IF('患者配对'!M28="positive",1,0)</x:f>
        <x:v>0</x:v>
      </x:c>
      <x:c r="J51" s="12" t="n">
        <x:f>IF('患者配对'!R28="positive",1,0)</x:f>
        <x:v>0</x:v>
      </x:c>
      <x:c r="K51" s="12" t="n">
        <x:f>IF('患者配对'!W28="positive",1,0)</x:f>
        <x:v>1</x:v>
      </x:c>
      <x:c r="L51" s="12" t="str">
        <x:v>由原件与原状态取得；仅主队列索引</x:v>
      </x:c>
      <x:c r="M51" s="12"/>
      <x:c r="N51" s="12"/>
      <x:c r="O51" s="12"/>
    </x:row>
    <x:row r="52" ht="39" customHeight="1">
      <x:c r="A52" s="12" t="str">
        <x:v>175</x:v>
      </x:c>
      <x:c r="B52" s="12" t="str">
        <x:v>21114</x:v>
      </x:c>
      <x:c r="C52" s="12" t="str">
        <x:v>参考000</x:v>
      </x:c>
      <x:c r="D52" s="12" t="str">
        <x:v>自动000</x:v>
      </x:c>
      <x:c r="E52" s="12" t="n">
        <x:v>0</x:v>
      </x:c>
      <x:c r="F52" s="12" t="n">
        <x:v>1</x:v>
      </x:c>
      <x:c r="G52" s="12" t="n">
        <x:v>0</x:v>
      </x:c>
      <x:c r="H52" s="12" t="n">
        <x:f>IF(SUM(I52:K52)&gt;0,1,0)</x:f>
        <x:v>0</x:v>
      </x:c>
      <x:c r="I52" s="12" t="n">
        <x:f>IF('患者配对'!M29="positive",1,0)</x:f>
        <x:v>0</x:v>
      </x:c>
      <x:c r="J52" s="12" t="n">
        <x:f>IF('患者配对'!R29="positive",1,0)</x:f>
        <x:v>0</x:v>
      </x:c>
      <x:c r="K52" s="12" t="n">
        <x:f>IF('患者配对'!W29="positive",1,0)</x:f>
        <x:v>0</x:v>
      </x:c>
      <x:c r="L52" s="12" t="str">
        <x:v>由原件与原状态取得；仅主队列索引</x:v>
      </x:c>
      <x:c r="M52" s="12"/>
      <x:c r="N52" s="12"/>
      <x:c r="O52" s="12"/>
    </x:row>
    <x:row r="53" ht="39" customHeight="1">
      <x:c r="A53" s="12" t="str">
        <x:v>180</x:v>
      </x:c>
      <x:c r="B53" s="12" t="str">
        <x:v>15592</x:v>
      </x:c>
      <x:c r="C53" s="12" t="str">
        <x:v>参考010</x:v>
      </x:c>
      <x:c r="D53" s="12" t="str">
        <x:v>自动010</x:v>
      </x:c>
      <x:c r="E53" s="12" t="n">
        <x:v>1</x:v>
      </x:c>
      <x:c r="F53" s="12" t="n">
        <x:v>1</x:v>
      </x:c>
      <x:c r="G53" s="12" t="n">
        <x:v>0</x:v>
      </x:c>
      <x:c r="H53" s="12" t="n">
        <x:f>IF(SUM(I53:K53)&gt;0,1,0)</x:f>
        <x:v>1</x:v>
      </x:c>
      <x:c r="I53" s="12" t="n">
        <x:f>IF('患者配对'!M30="positive",1,0)</x:f>
        <x:v>0</x:v>
      </x:c>
      <x:c r="J53" s="12" t="n">
        <x:f>IF('患者配对'!R30="positive",1,0)</x:f>
        <x:v>1</x:v>
      </x:c>
      <x:c r="K53" s="12" t="n">
        <x:f>IF('患者配对'!W30="positive",1,0)</x:f>
        <x:v>0</x:v>
      </x:c>
      <x:c r="L53" s="12" t="str">
        <x:v>由原件与原状态取得；仅主队列索引</x:v>
      </x:c>
      <x:c r="M53" s="12"/>
      <x:c r="N53" s="12"/>
      <x:c r="O53" s="12"/>
    </x:row>
    <x:row r="54" ht="39" customHeight="1">
      <x:c r="A54" s="12" t="str">
        <x:v>201</x:v>
      </x:c>
      <x:c r="B54" s="12" t="str">
        <x:v>19208</x:v>
      </x:c>
      <x:c r="C54" s="12" t="str">
        <x:v>参考000</x:v>
      </x:c>
      <x:c r="D54" s="12" t="str">
        <x:v>自动000</x:v>
      </x:c>
      <x:c r="E54" s="12" t="n">
        <x:v>0</x:v>
      </x:c>
      <x:c r="F54" s="12" t="n">
        <x:v>0</x:v>
      </x:c>
      <x:c r="G54" s="12" t="n">
        <x:v>0</x:v>
      </x:c>
      <x:c r="H54" s="12" t="n">
        <x:f>IF(SUM(I54:K54)&gt;0,1,0)</x:f>
        <x:v>0</x:v>
      </x:c>
      <x:c r="I54" s="12" t="n">
        <x:f>IF('患者配对'!M31="positive",1,0)</x:f>
        <x:v>0</x:v>
      </x:c>
      <x:c r="J54" s="12" t="n">
        <x:f>IF('患者配对'!R31="positive",1,0)</x:f>
        <x:v>0</x:v>
      </x:c>
      <x:c r="K54" s="12" t="n">
        <x:f>IF('患者配对'!W31="positive",1,0)</x:f>
        <x:v>0</x:v>
      </x:c>
      <x:c r="L54" s="12" t="str">
        <x:v>由原件与原状态取得；仅主队列索引</x:v>
      </x:c>
      <x:c r="M54" s="12"/>
      <x:c r="N54" s="12"/>
      <x:c r="O54" s="12"/>
    </x:row>
    <x:row r="55" ht="39" customHeight="1">
      <x:c r="A55" s="12" t="str">
        <x:v>203</x:v>
      </x:c>
      <x:c r="B55" s="12" t="str">
        <x:v>11070</x:v>
      </x:c>
      <x:c r="C55" s="12" t="str">
        <x:v>参考000</x:v>
      </x:c>
      <x:c r="D55" s="12" t="str">
        <x:v>自动000</x:v>
      </x:c>
      <x:c r="E55" s="12" t="n">
        <x:v>0</x:v>
      </x:c>
      <x:c r="F55" s="12" t="n">
        <x:v>0</x:v>
      </x:c>
      <x:c r="G55" s="12" t="n">
        <x:v>0</x:v>
      </x:c>
      <x:c r="H55" s="12" t="n">
        <x:f>IF(SUM(I55:K55)&gt;0,1,0)</x:f>
        <x:v>0</x:v>
      </x:c>
      <x:c r="I55" s="12" t="n">
        <x:f>IF('患者配对'!M32="positive",1,0)</x:f>
        <x:v>0</x:v>
      </x:c>
      <x:c r="J55" s="12" t="n">
        <x:f>IF('患者配对'!R32="positive",1,0)</x:f>
        <x:v>0</x:v>
      </x:c>
      <x:c r="K55" s="12" t="n">
        <x:f>IF('患者配对'!W32="positive",1,0)</x:f>
        <x:v>0</x:v>
      </x:c>
      <x:c r="L55" s="12" t="str">
        <x:v>由原件与原状态取得；仅主队列索引</x:v>
      </x:c>
      <x:c r="M55" s="12"/>
      <x:c r="N55" s="12"/>
      <x:c r="O55" s="12"/>
    </x:row>
    <x:row r="56" ht="39" customHeight="1">
      <x:c r="A56" s="12" t="str">
        <x:v>208</x:v>
      </x:c>
      <x:c r="B56" s="12" t="str">
        <x:v>8309</x:v>
      </x:c>
      <x:c r="C56" s="12" t="str">
        <x:v>参考000</x:v>
      </x:c>
      <x:c r="D56" s="12" t="str">
        <x:v>自动000</x:v>
      </x:c>
      <x:c r="E56" s="12" t="n">
        <x:v>0</x:v>
      </x:c>
      <x:c r="F56" s="12" t="n">
        <x:v>0</x:v>
      </x:c>
      <x:c r="G56" s="12" t="n">
        <x:v>0</x:v>
      </x:c>
      <x:c r="H56" s="12" t="n">
        <x:f>IF(SUM(I56:K56)&gt;0,1,0)</x:f>
        <x:v>0</x:v>
      </x:c>
      <x:c r="I56" s="12" t="n">
        <x:f>IF('患者配对'!M33="positive",1,0)</x:f>
        <x:v>0</x:v>
      </x:c>
      <x:c r="J56" s="12" t="n">
        <x:f>IF('患者配对'!R33="positive",1,0)</x:f>
        <x:v>0</x:v>
      </x:c>
      <x:c r="K56" s="12" t="n">
        <x:f>IF('患者配对'!W33="positive",1,0)</x:f>
        <x:v>0</x:v>
      </x:c>
      <x:c r="L56" s="12" t="str">
        <x:v>由原件与原状态取得；仅主队列索引</x:v>
      </x:c>
      <x:c r="M56" s="12"/>
      <x:c r="N56" s="12"/>
      <x:c r="O56" s="12"/>
    </x:row>
    <x:row r="57" ht="39" customHeight="1">
      <x:c r="A57" s="12" t="str">
        <x:v>210</x:v>
      </x:c>
      <x:c r="B57" s="12" t="str">
        <x:v>16062</x:v>
      </x:c>
      <x:c r="C57" s="12" t="str">
        <x:v>参考000</x:v>
      </x:c>
      <x:c r="D57" s="12" t="str">
        <x:v>自动000</x:v>
      </x:c>
      <x:c r="E57" s="12" t="n">
        <x:v>0</x:v>
      </x:c>
      <x:c r="F57" s="12" t="n">
        <x:v>1</x:v>
      </x:c>
      <x:c r="G57" s="12" t="n">
        <x:v>0</x:v>
      </x:c>
      <x:c r="H57" s="12" t="n">
        <x:f>IF(SUM(I57:K57)&gt;0,1,0)</x:f>
        <x:v>0</x:v>
      </x:c>
      <x:c r="I57" s="12" t="n">
        <x:f>IF('患者配对'!M34="positive",1,0)</x:f>
        <x:v>0</x:v>
      </x:c>
      <x:c r="J57" s="12" t="n">
        <x:f>IF('患者配对'!R34="positive",1,0)</x:f>
        <x:v>0</x:v>
      </x:c>
      <x:c r="K57" s="12" t="n">
        <x:f>IF('患者配对'!W34="positive",1,0)</x:f>
        <x:v>0</x:v>
      </x:c>
      <x:c r="L57" s="12" t="str">
        <x:v>由原件与原状态取得；仅主队列索引</x:v>
      </x:c>
      <x:c r="M57" s="12"/>
      <x:c r="N57" s="12"/>
      <x:c r="O57" s="12"/>
    </x:row>
    <x:row r="58" ht="39" customHeight="1">
      <x:c r="A58" s="12" t="str">
        <x:v>218</x:v>
      </x:c>
      <x:c r="B58" s="12" t="str">
        <x:v>13925</x:v>
      </x:c>
      <x:c r="C58" s="12" t="str">
        <x:v>参考000</x:v>
      </x:c>
      <x:c r="D58" s="12" t="str">
        <x:v>自动000</x:v>
      </x:c>
      <x:c r="E58" s="12" t="n">
        <x:v>0</x:v>
      </x:c>
      <x:c r="F58" s="12" t="n">
        <x:v>0</x:v>
      </x:c>
      <x:c r="G58" s="12" t="n">
        <x:v>0</x:v>
      </x:c>
      <x:c r="H58" s="12" t="n">
        <x:f>IF(SUM(I58:K58)&gt;0,1,0)</x:f>
        <x:v>0</x:v>
      </x:c>
      <x:c r="I58" s="12" t="n">
        <x:f>IF('患者配对'!M35="positive",1,0)</x:f>
        <x:v>0</x:v>
      </x:c>
      <x:c r="J58" s="12" t="n">
        <x:f>IF('患者配对'!R35="positive",1,0)</x:f>
        <x:v>0</x:v>
      </x:c>
      <x:c r="K58" s="12" t="n">
        <x:f>IF('患者配对'!W35="positive",1,0)</x:f>
        <x:v>0</x:v>
      </x:c>
      <x:c r="L58" s="12" t="str">
        <x:v>由原件与原状态取得；仅主队列索引</x:v>
      </x:c>
      <x:c r="M58" s="12"/>
      <x:c r="N58" s="12"/>
      <x:c r="O58" s="12"/>
    </x:row>
    <x:row r="59" ht="39" customHeight="1">
      <x:c r="A59" s="12" t="str">
        <x:v>240</x:v>
      </x:c>
      <x:c r="B59" s="12" t="str">
        <x:v>9601</x:v>
      </x:c>
      <x:c r="C59" s="12" t="str">
        <x:v>参考000</x:v>
      </x:c>
      <x:c r="D59" s="12" t="str">
        <x:v>自动000</x:v>
      </x:c>
      <x:c r="E59" s="12" t="n">
        <x:v>0</x:v>
      </x:c>
      <x:c r="F59" s="12" t="n">
        <x:v>1</x:v>
      </x:c>
      <x:c r="G59" s="12" t="n">
        <x:v>0</x:v>
      </x:c>
      <x:c r="H59" s="12" t="n">
        <x:f>IF(SUM(I59:K59)&gt;0,1,0)</x:f>
        <x:v>0</x:v>
      </x:c>
      <x:c r="I59" s="12" t="n">
        <x:f>IF('患者配对'!M36="positive",1,0)</x:f>
        <x:v>0</x:v>
      </x:c>
      <x:c r="J59" s="12" t="n">
        <x:f>IF('患者配对'!R36="positive",1,0)</x:f>
        <x:v>0</x:v>
      </x:c>
      <x:c r="K59" s="12" t="n">
        <x:f>IF('患者配对'!W36="positive",1,0)</x:f>
        <x:v>0</x:v>
      </x:c>
      <x:c r="L59" s="12" t="str">
        <x:v>由原件与原状态取得；仅主队列索引</x:v>
      </x:c>
      <x:c r="M59" s="12"/>
      <x:c r="N59" s="12"/>
      <x:c r="O59" s="12"/>
    </x:row>
    <x:row r="60" ht="39" customHeight="1">
      <x:c r="A60" s="12" t="str">
        <x:v>241</x:v>
      </x:c>
      <x:c r="B60" s="12" t="str">
        <x:v>14702</x:v>
      </x:c>
      <x:c r="C60" s="12" t="str">
        <x:v>参考000</x:v>
      </x:c>
      <x:c r="D60" s="12" t="str">
        <x:v>自动000</x:v>
      </x:c>
      <x:c r="E60" s="12" t="n">
        <x:v>0</x:v>
      </x:c>
      <x:c r="F60" s="12" t="n">
        <x:v>0</x:v>
      </x:c>
      <x:c r="G60" s="12" t="n">
        <x:v>0</x:v>
      </x:c>
      <x:c r="H60" s="12" t="n">
        <x:f>IF(SUM(I60:K60)&gt;0,1,0)</x:f>
        <x:v>0</x:v>
      </x:c>
      <x:c r="I60" s="12" t="n">
        <x:f>IF('患者配对'!M37="positive",1,0)</x:f>
        <x:v>0</x:v>
      </x:c>
      <x:c r="J60" s="12" t="n">
        <x:f>IF('患者配对'!R37="positive",1,0)</x:f>
        <x:v>0</x:v>
      </x:c>
      <x:c r="K60" s="12" t="n">
        <x:f>IF('患者配对'!W37="positive",1,0)</x:f>
        <x:v>0</x:v>
      </x:c>
      <x:c r="L60" s="12" t="str">
        <x:v>由原件与原状态取得；仅主队列索引</x:v>
      </x:c>
      <x:c r="M60" s="12"/>
      <x:c r="N60" s="12"/>
      <x:c r="O60" s="12"/>
    </x:row>
    <x:row r="61" ht="39" customHeight="1">
      <x:c r="A61" s="12" t="str">
        <x:v>243</x:v>
      </x:c>
      <x:c r="B61" s="12" t="str">
        <x:v>11567</x:v>
      </x:c>
      <x:c r="C61" s="12" t="str">
        <x:v>参考000</x:v>
      </x:c>
      <x:c r="D61" s="12" t="str">
        <x:v>自动000</x:v>
      </x:c>
      <x:c r="E61" s="12" t="n">
        <x:v>0</x:v>
      </x:c>
      <x:c r="F61" s="12" t="n">
        <x:v>1</x:v>
      </x:c>
      <x:c r="G61" s="12" t="n">
        <x:v>0</x:v>
      </x:c>
      <x:c r="H61" s="12" t="n">
        <x:f>IF(SUM(I61:K61)&gt;0,1,0)</x:f>
        <x:v>0</x:v>
      </x:c>
      <x:c r="I61" s="12" t="n">
        <x:f>IF('患者配对'!M38="positive",1,0)</x:f>
        <x:v>0</x:v>
      </x:c>
      <x:c r="J61" s="12" t="n">
        <x:f>IF('患者配对'!R38="positive",1,0)</x:f>
        <x:v>0</x:v>
      </x:c>
      <x:c r="K61" s="12" t="n">
        <x:f>IF('患者配对'!W38="positive",1,0)</x:f>
        <x:v>0</x:v>
      </x:c>
      <x:c r="L61" s="12" t="str">
        <x:v>由原件与原状态取得；仅主队列索引</x:v>
      </x:c>
      <x:c r="M61" s="12"/>
      <x:c r="N61" s="12"/>
      <x:c r="O61" s="12"/>
    </x:row>
    <x:row r="62" ht="39" customHeight="1">
      <x:c r="A62" s="12" t="str">
        <x:v>245</x:v>
      </x:c>
      <x:c r="B62" s="12" t="str">
        <x:v>8294</x:v>
      </x:c>
      <x:c r="C62" s="12" t="str">
        <x:v>参考000</x:v>
      </x:c>
      <x:c r="D62" s="12" t="str">
        <x:v>自动000</x:v>
      </x:c>
      <x:c r="E62" s="12" t="n">
        <x:v>0</x:v>
      </x:c>
      <x:c r="F62" s="12" t="n">
        <x:v>1</x:v>
      </x:c>
      <x:c r="G62" s="12" t="n">
        <x:v>0</x:v>
      </x:c>
      <x:c r="H62" s="12" t="n">
        <x:f>IF(SUM(I62:K62)&gt;0,1,0)</x:f>
        <x:v>0</x:v>
      </x:c>
      <x:c r="I62" s="12" t="n">
        <x:f>IF('患者配对'!M39="positive",1,0)</x:f>
        <x:v>0</x:v>
      </x:c>
      <x:c r="J62" s="12" t="n">
        <x:f>IF('患者配对'!R39="positive",1,0)</x:f>
        <x:v>0</x:v>
      </x:c>
      <x:c r="K62" s="12" t="n">
        <x:f>IF('患者配对'!W39="positive",1,0)</x:f>
        <x:v>0</x:v>
      </x:c>
      <x:c r="L62" s="12" t="str">
        <x:v>由原件与原状态取得；仅主队列索引</x:v>
      </x:c>
      <x:c r="M62" s="12"/>
      <x:c r="N62" s="12"/>
      <x:c r="O62" s="12"/>
    </x:row>
    <x:row r="63" ht="39" customHeight="1">
      <x:c r="A63" s="12" t="str">
        <x:v>252</x:v>
      </x:c>
      <x:c r="B63" s="12" t="str">
        <x:v>20848</x:v>
      </x:c>
      <x:c r="C63" s="12" t="str">
        <x:v>参考000</x:v>
      </x:c>
      <x:c r="D63" s="12" t="str">
        <x:v>自动000</x:v>
      </x:c>
      <x:c r="E63" s="12" t="n">
        <x:v>0</x:v>
      </x:c>
      <x:c r="F63" s="12" t="n">
        <x:v>1</x:v>
      </x:c>
      <x:c r="G63" s="12" t="n">
        <x:v>0</x:v>
      </x:c>
      <x:c r="H63" s="12" t="n">
        <x:f>IF(SUM(I63:K63)&gt;0,1,0)</x:f>
        <x:v>0</x:v>
      </x:c>
      <x:c r="I63" s="12" t="n">
        <x:f>IF('患者配对'!M40="positive",1,0)</x:f>
        <x:v>0</x:v>
      </x:c>
      <x:c r="J63" s="12" t="n">
        <x:f>IF('患者配对'!R40="positive",1,0)</x:f>
        <x:v>0</x:v>
      </x:c>
      <x:c r="K63" s="12" t="n">
        <x:f>IF('患者配对'!W40="positive",1,0)</x:f>
        <x:v>0</x:v>
      </x:c>
      <x:c r="L63" s="12" t="str">
        <x:v>由原件与原状态取得；仅主队列索引</x:v>
      </x:c>
      <x:c r="M63" s="12"/>
      <x:c r="N63" s="12"/>
      <x:c r="O63" s="12"/>
    </x:row>
    <x:row r="64" ht="39" customHeight="1">
      <x:c r="A64" s="12" t="str">
        <x:v>271</x:v>
      </x:c>
      <x:c r="B64" s="12" t="str">
        <x:v>449</x:v>
      </x:c>
      <x:c r="C64" s="12" t="str">
        <x:v>参考000</x:v>
      </x:c>
      <x:c r="D64" s="12" t="str">
        <x:v>自动000</x:v>
      </x:c>
      <x:c r="E64" s="12" t="n">
        <x:v>0</x:v>
      </x:c>
      <x:c r="F64" s="12" t="n">
        <x:v>0</x:v>
      </x:c>
      <x:c r="G64" s="12" t="n">
        <x:v>0</x:v>
      </x:c>
      <x:c r="H64" s="12" t="n">
        <x:f>IF(SUM(I64:K64)&gt;0,1,0)</x:f>
        <x:v>0</x:v>
      </x:c>
      <x:c r="I64" s="12" t="n">
        <x:f>IF('患者配对'!M41="positive",1,0)</x:f>
        <x:v>0</x:v>
      </x:c>
      <x:c r="J64" s="12" t="n">
        <x:f>IF('患者配对'!R41="positive",1,0)</x:f>
        <x:v>0</x:v>
      </x:c>
      <x:c r="K64" s="12" t="n">
        <x:f>IF('患者配对'!W41="positive",1,0)</x:f>
        <x:v>0</x:v>
      </x:c>
      <x:c r="L64" s="12" t="str">
        <x:v>由原件与原状态取得；仅主队列索引</x:v>
      </x:c>
      <x:c r="M64" s="12"/>
      <x:c r="N64" s="12"/>
      <x:c r="O64" s="12"/>
    </x:row>
    <x:row r="65" ht="39" customHeight="1">
      <x:c r="A65" s="12" t="str">
        <x:v>274</x:v>
      </x:c>
      <x:c r="B65" s="12" t="str">
        <x:v>5662</x:v>
      </x:c>
      <x:c r="C65" s="12" t="str">
        <x:v>参考000</x:v>
      </x:c>
      <x:c r="D65" s="12" t="str">
        <x:v>自动000</x:v>
      </x:c>
      <x:c r="E65" s="12" t="n">
        <x:v>0</x:v>
      </x:c>
      <x:c r="F65" s="12" t="n">
        <x:v>0</x:v>
      </x:c>
      <x:c r="G65" s="12" t="n">
        <x:v>0</x:v>
      </x:c>
      <x:c r="H65" s="12" t="n">
        <x:f>IF(SUM(I65:K65)&gt;0,1,0)</x:f>
        <x:v>0</x:v>
      </x:c>
      <x:c r="I65" s="12" t="n">
        <x:f>IF('患者配对'!M42="positive",1,0)</x:f>
        <x:v>0</x:v>
      </x:c>
      <x:c r="J65" s="12" t="n">
        <x:f>IF('患者配对'!R42="positive",1,0)</x:f>
        <x:v>0</x:v>
      </x:c>
      <x:c r="K65" s="12" t="n">
        <x:f>IF('患者配对'!W42="positive",1,0)</x:f>
        <x:v>0</x:v>
      </x:c>
      <x:c r="L65" s="12" t="str">
        <x:v>由原件与原状态取得；仅主队列索引</x:v>
      </x:c>
      <x:c r="M65" s="12"/>
      <x:c r="N65" s="12"/>
      <x:c r="O65" s="12"/>
    </x:row>
    <x:row r="66" ht="39" customHeight="1">
      <x:c r="A66" s="12" t="str">
        <x:v>299</x:v>
      </x:c>
      <x:c r="B66" s="12" t="str">
        <x:v>7852</x:v>
      </x:c>
      <x:c r="C66" s="12" t="str">
        <x:v>参考000</x:v>
      </x:c>
      <x:c r="D66" s="12" t="str">
        <x:v>自动000</x:v>
      </x:c>
      <x:c r="E66" s="12" t="n">
        <x:v>0</x:v>
      </x:c>
      <x:c r="F66" s="12" t="n">
        <x:v>0</x:v>
      </x:c>
      <x:c r="G66" s="12" t="n">
        <x:v>0</x:v>
      </x:c>
      <x:c r="H66" s="12" t="n">
        <x:f>IF(SUM(I66:K66)&gt;0,1,0)</x:f>
        <x:v>0</x:v>
      </x:c>
      <x:c r="I66" s="12" t="n">
        <x:f>IF('患者配对'!M43="positive",1,0)</x:f>
        <x:v>0</x:v>
      </x:c>
      <x:c r="J66" s="12" t="n">
        <x:f>IF('患者配对'!R43="positive",1,0)</x:f>
        <x:v>0</x:v>
      </x:c>
      <x:c r="K66" s="12" t="n">
        <x:f>IF('患者配对'!W43="positive",1,0)</x:f>
        <x:v>0</x:v>
      </x:c>
      <x:c r="L66" s="12" t="str">
        <x:v>由原件与原状态取得；仅主队列索引</x:v>
      </x:c>
      <x:c r="M66" s="12"/>
      <x:c r="N66" s="12"/>
      <x:c r="O66" s="12"/>
    </x:row>
    <x:row r="67" ht="39" customHeight="1">
      <x:c r="A67" s="12" t="str">
        <x:v>318</x:v>
      </x:c>
      <x:c r="B67" s="12" t="str">
        <x:v>2034</x:v>
      </x:c>
      <x:c r="C67" s="12" t="str">
        <x:v>参考100</x:v>
      </x:c>
      <x:c r="D67" s="12" t="str">
        <x:v>自动100</x:v>
      </x:c>
      <x:c r="E67" s="12" t="n">
        <x:v>1</x:v>
      </x:c>
      <x:c r="F67" s="12" t="n">
        <x:v>1</x:v>
      </x:c>
      <x:c r="G67" s="12" t="n">
        <x:v>0</x:v>
      </x:c>
      <x:c r="H67" s="12" t="n">
        <x:f>IF(SUM(I67:K67)&gt;0,1,0)</x:f>
        <x:v>1</x:v>
      </x:c>
      <x:c r="I67" s="12" t="n">
        <x:f>IF('患者配对'!M44="positive",1,0)</x:f>
        <x:v>1</x:v>
      </x:c>
      <x:c r="J67" s="12" t="n">
        <x:f>IF('患者配对'!R44="positive",1,0)</x:f>
        <x:v>0</x:v>
      </x:c>
      <x:c r="K67" s="12" t="n">
        <x:f>IF('患者配对'!W44="positive",1,0)</x:f>
        <x:v>0</x:v>
      </x:c>
      <x:c r="L67" s="12" t="str">
        <x:v>由原件与原状态取得；仅主队列索引</x:v>
      </x:c>
      <x:c r="M67" s="12"/>
      <x:c r="N67" s="12"/>
      <x:c r="O67" s="12"/>
    </x:row>
    <x:row r="68" ht="39" customHeight="1">
      <x:c r="A68" s="12" t="str">
        <x:v>334</x:v>
      </x:c>
      <x:c r="B68" s="12" t="str">
        <x:v>2065</x:v>
      </x:c>
      <x:c r="C68" s="12" t="str">
        <x:v>参考000</x:v>
      </x:c>
      <x:c r="D68" s="12" t="str">
        <x:v>自动000</x:v>
      </x:c>
      <x:c r="E68" s="12" t="n">
        <x:v>0</x:v>
      </x:c>
      <x:c r="F68" s="12" t="n">
        <x:v>0</x:v>
      </x:c>
      <x:c r="G68" s="12" t="n">
        <x:v>0</x:v>
      </x:c>
      <x:c r="H68" s="12" t="n">
        <x:f>IF(SUM(I68:K68)&gt;0,1,0)</x:f>
        <x:v>0</x:v>
      </x:c>
      <x:c r="I68" s="12" t="n">
        <x:f>IF('患者配对'!M45="positive",1,0)</x:f>
        <x:v>0</x:v>
      </x:c>
      <x:c r="J68" s="12" t="n">
        <x:f>IF('患者配对'!R45="positive",1,0)</x:f>
        <x:v>0</x:v>
      </x:c>
      <x:c r="K68" s="12" t="n">
        <x:f>IF('患者配对'!W45="positive",1,0)</x:f>
        <x:v>0</x:v>
      </x:c>
      <x:c r="L68" s="12" t="str">
        <x:v>由原件与原状态取得；仅主队列索引</x:v>
      </x:c>
      <x:c r="M68" s="12"/>
      <x:c r="N68" s="12"/>
      <x:c r="O68" s="12"/>
    </x:row>
    <x:row r="69" ht="39" customHeight="1">
      <x:c r="A69" s="12" t="str">
        <x:v>361</x:v>
      </x:c>
      <x:c r="B69" s="12" t="str">
        <x:v>13000</x:v>
      </x:c>
      <x:c r="C69" s="12" t="str">
        <x:v>参考000</x:v>
      </x:c>
      <x:c r="D69" s="12" t="str">
        <x:v>自动000</x:v>
      </x:c>
      <x:c r="E69" s="12" t="n">
        <x:v>0</x:v>
      </x:c>
      <x:c r="F69" s="12" t="n">
        <x:v>0</x:v>
      </x:c>
      <x:c r="G69" s="12" t="n">
        <x:v>0</x:v>
      </x:c>
      <x:c r="H69" s="12" t="n">
        <x:f>IF(SUM(I69:K69)&gt;0,1,0)</x:f>
        <x:v>0</x:v>
      </x:c>
      <x:c r="I69" s="12" t="n">
        <x:f>IF('患者配对'!M48="positive",1,0)</x:f>
        <x:v>0</x:v>
      </x:c>
      <x:c r="J69" s="12" t="n">
        <x:f>IF('患者配对'!R48="positive",1,0)</x:f>
        <x:v>0</x:v>
      </x:c>
      <x:c r="K69" s="12" t="n">
        <x:f>IF('患者配对'!W48="positive",1,0)</x:f>
        <x:v>0</x:v>
      </x:c>
      <x:c r="L69" s="12" t="str">
        <x:v>由原件与原状态取得；仅主队列索引</x:v>
      </x:c>
      <x:c r="M69" s="12"/>
      <x:c r="N69" s="12"/>
      <x:c r="O69" s="12"/>
    </x:row>
    <x:row r="70" ht="39" customHeight="1">
      <x:c r="A70" s="12" t="str">
        <x:v>364</x:v>
      </x:c>
      <x:c r="B70" s="12" t="str">
        <x:v>15645</x:v>
      </x:c>
      <x:c r="C70" s="12" t="str">
        <x:v>参考000</x:v>
      </x:c>
      <x:c r="D70" s="12" t="str">
        <x:v>自动000</x:v>
      </x:c>
      <x:c r="E70" s="12" t="n">
        <x:v>0</x:v>
      </x:c>
      <x:c r="F70" s="12" t="n">
        <x:v>0</x:v>
      </x:c>
      <x:c r="G70" s="12" t="n">
        <x:v>0</x:v>
      </x:c>
      <x:c r="H70" s="12" t="n">
        <x:f>IF(SUM(I70:K70)&gt;0,1,0)</x:f>
        <x:v>0</x:v>
      </x:c>
      <x:c r="I70" s="12" t="n">
        <x:f>IF('患者配对'!M49="positive",1,0)</x:f>
        <x:v>0</x:v>
      </x:c>
      <x:c r="J70" s="12" t="n">
        <x:f>IF('患者配对'!R49="positive",1,0)</x:f>
        <x:v>0</x:v>
      </x:c>
      <x:c r="K70" s="12" t="n">
        <x:f>IF('患者配对'!W49="positive",1,0)</x:f>
        <x:v>0</x:v>
      </x:c>
      <x:c r="L70" s="12" t="str">
        <x:v>由原件与原状态取得；仅主队列索引</x:v>
      </x:c>
      <x:c r="M70" s="12"/>
      <x:c r="N70" s="12"/>
      <x:c r="O70" s="12"/>
    </x:row>
    <x:row r="71" ht="39" customHeight="1">
      <x:c r="A71" s="12" t="str">
        <x:v>382</x:v>
      </x:c>
      <x:c r="B71" s="12" t="str">
        <x:v>10186</x:v>
      </x:c>
      <x:c r="C71" s="12" t="str">
        <x:v>参考000</x:v>
      </x:c>
      <x:c r="D71" s="12" t="str">
        <x:v>自动100</x:v>
      </x:c>
      <x:c r="E71" s="12" t="n">
        <x:v>1</x:v>
      </x:c>
      <x:c r="F71" s="12" t="n">
        <x:v>1</x:v>
      </x:c>
      <x:c r="G71" s="12" t="n">
        <x:v>1</x:v>
      </x:c>
      <x:c r="H71" s="12" t="n">
        <x:f>IF(SUM(I71:K71)&gt;0,1,0)</x:f>
        <x:v>0</x:v>
      </x:c>
      <x:c r="I71" s="12" t="n">
        <x:f>IF('患者配对'!M50="positive",1,0)</x:f>
        <x:v>0</x:v>
      </x:c>
      <x:c r="J71" s="12" t="n">
        <x:f>IF('患者配对'!R50="positive",1,0)</x:f>
        <x:v>0</x:v>
      </x:c>
      <x:c r="K71" s="12" t="n">
        <x:f>IF('患者配对'!W50="positive",1,0)</x:f>
        <x:v>0</x:v>
      </x:c>
      <x:c r="L71" s="12" t="str">
        <x:v>由原件与原状态取得；仅主队列索引</x:v>
      </x:c>
      <x:c r="M71" s="12"/>
      <x:c r="N71" s="12"/>
      <x:c r="O71" s="12"/>
    </x:row>
    <x:row r="72" ht="39" customHeight="1">
      <x:c r="A72" s="12" t="str">
        <x:v>388</x:v>
      </x:c>
      <x:c r="B72" s="12" t="str">
        <x:v>16023</x:v>
      </x:c>
      <x:c r="C72" s="12" t="str">
        <x:v>参考000</x:v>
      </x:c>
      <x:c r="D72" s="12" t="str">
        <x:v>自动000</x:v>
      </x:c>
      <x:c r="E72" s="12" t="n">
        <x:v>0</x:v>
      </x:c>
      <x:c r="F72" s="12" t="n">
        <x:v>1</x:v>
      </x:c>
      <x:c r="G72" s="12" t="n">
        <x:v>0</x:v>
      </x:c>
      <x:c r="H72" s="12" t="n">
        <x:f>IF(SUM(I72:K72)&gt;0,1,0)</x:f>
        <x:v>0</x:v>
      </x:c>
      <x:c r="I72" s="12" t="n">
        <x:f>IF('患者配对'!M51="positive",1,0)</x:f>
        <x:v>0</x:v>
      </x:c>
      <x:c r="J72" s="12" t="n">
        <x:f>IF('患者配对'!R51="positive",1,0)</x:f>
        <x:v>0</x:v>
      </x:c>
      <x:c r="K72" s="12" t="n">
        <x:f>IF('患者配对'!W51="positive",1,0)</x:f>
        <x:v>0</x:v>
      </x:c>
      <x:c r="L72" s="12" t="str">
        <x:v>由原件与原状态取得；仅主队列索引</x:v>
      </x:c>
      <x:c r="M72" s="12"/>
      <x:c r="N72" s="12"/>
      <x:c r="O72" s="12"/>
    </x:row>
    <x:row r="73" ht="39" customHeight="1">
      <x:c r="A73" s="12" t="str">
        <x:v>397</x:v>
      </x:c>
      <x:c r="B73" s="12" t="str">
        <x:v>15768</x:v>
      </x:c>
      <x:c r="C73" s="12" t="str">
        <x:v>参考000</x:v>
      </x:c>
      <x:c r="D73" s="12" t="str">
        <x:v>自动000</x:v>
      </x:c>
      <x:c r="E73" s="12" t="n">
        <x:v>0</x:v>
      </x:c>
      <x:c r="F73" s="12" t="n">
        <x:v>0</x:v>
      </x:c>
      <x:c r="G73" s="12" t="n">
        <x:v>0</x:v>
      </x:c>
      <x:c r="H73" s="12" t="n">
        <x:f>IF(SUM(I73:K73)&gt;0,1,0)</x:f>
        <x:v>0</x:v>
      </x:c>
      <x:c r="I73" s="12" t="n">
        <x:f>IF('患者配对'!M52="positive",1,0)</x:f>
        <x:v>0</x:v>
      </x:c>
      <x:c r="J73" s="12" t="n">
        <x:f>IF('患者配对'!R52="positive",1,0)</x:f>
        <x:v>0</x:v>
      </x:c>
      <x:c r="K73" s="12" t="n">
        <x:f>IF('患者配对'!W52="positive",1,0)</x:f>
        <x:v>0</x:v>
      </x:c>
      <x:c r="L73" s="12" t="str">
        <x:v>由原件与原状态取得；仅主队列索引</x:v>
      </x:c>
      <x:c r="M73" s="12"/>
      <x:c r="N73" s="12"/>
      <x:c r="O73" s="12"/>
    </x:row>
    <x:row r="74" ht="39" customHeight="1">
      <x:c r="A74" s="12" t="str">
        <x:v>400</x:v>
      </x:c>
      <x:c r="B74" s="12" t="str">
        <x:v>10987</x:v>
      </x:c>
      <x:c r="C74" s="12" t="str">
        <x:v>参考000</x:v>
      </x:c>
      <x:c r="D74" s="12" t="str">
        <x:v>自动000</x:v>
      </x:c>
      <x:c r="E74" s="12" t="n">
        <x:v>0</x:v>
      </x:c>
      <x:c r="F74" s="12" t="n">
        <x:v>0</x:v>
      </x:c>
      <x:c r="G74" s="12" t="n">
        <x:v>0</x:v>
      </x:c>
      <x:c r="H74" s="12" t="n">
        <x:f>IF(SUM(I74:K74)&gt;0,1,0)</x:f>
        <x:v>0</x:v>
      </x:c>
      <x:c r="I74" s="12" t="n">
        <x:f>IF('患者配对'!M53="positive",1,0)</x:f>
        <x:v>0</x:v>
      </x:c>
      <x:c r="J74" s="12" t="n">
        <x:f>IF('患者配对'!R53="positive",1,0)</x:f>
        <x:v>0</x:v>
      </x:c>
      <x:c r="K74" s="12" t="n">
        <x:f>IF('患者配对'!W53="positive",1,0)</x:f>
        <x:v>0</x:v>
      </x:c>
      <x:c r="L74" s="12" t="str">
        <x:v>由原件与原状态取得；仅主队列索引</x:v>
      </x:c>
      <x:c r="M74" s="12"/>
      <x:c r="N74" s="12"/>
      <x:c r="O74" s="12"/>
    </x:row>
    <x:row r="75" ht="39" customHeight="1">
      <x:c r="A75" s="12" t="str">
        <x:v>405</x:v>
      </x:c>
      <x:c r="B75" s="12" t="str">
        <x:v>18087</x:v>
      </x:c>
      <x:c r="C75" s="12" t="str">
        <x:v>参考000</x:v>
      </x:c>
      <x:c r="D75" s="12" t="str">
        <x:v>自动000</x:v>
      </x:c>
      <x:c r="E75" s="12" t="n">
        <x:v>0</x:v>
      </x:c>
      <x:c r="F75" s="12" t="n">
        <x:v>1</x:v>
      </x:c>
      <x:c r="G75" s="12" t="n">
        <x:v>0</x:v>
      </x:c>
      <x:c r="H75" s="12" t="n">
        <x:f>IF(SUM(I75:K75)&gt;0,1,0)</x:f>
        <x:v>0</x:v>
      </x:c>
      <x:c r="I75" s="12" t="n">
        <x:f>IF('患者配对'!M54="positive",1,0)</x:f>
        <x:v>0</x:v>
      </x:c>
      <x:c r="J75" s="12" t="n">
        <x:f>IF('患者配对'!R54="positive",1,0)</x:f>
        <x:v>0</x:v>
      </x:c>
      <x:c r="K75" s="12" t="n">
        <x:f>IF('患者配对'!W54="positive",1,0)</x:f>
        <x:v>0</x:v>
      </x:c>
      <x:c r="L75" s="12" t="str">
        <x:v>由原件与原状态取得；仅主队列索引</x:v>
      </x:c>
      <x:c r="M75" s="12"/>
      <x:c r="N75" s="12"/>
      <x:c r="O75" s="12"/>
    </x:row>
    <x:row r="76" ht="39" customHeight="1">
      <x:c r="A76" s="12" t="str">
        <x:v>417</x:v>
      </x:c>
      <x:c r="B76" s="12" t="str">
        <x:v>4938</x:v>
      </x:c>
      <x:c r="C76" s="12" t="str">
        <x:v>参考000</x:v>
      </x:c>
      <x:c r="D76" s="12" t="str">
        <x:v>自动000</x:v>
      </x:c>
      <x:c r="E76" s="12" t="n">
        <x:v>0</x:v>
      </x:c>
      <x:c r="F76" s="12" t="n">
        <x:v>0</x:v>
      </x:c>
      <x:c r="G76" s="12" t="n">
        <x:v>0</x:v>
      </x:c>
      <x:c r="H76" s="12" t="n">
        <x:f>IF(SUM(I76:K76)&gt;0,1,0)</x:f>
        <x:v>0</x:v>
      </x:c>
      <x:c r="I76" s="12" t="n">
        <x:f>IF('患者配对'!M55="positive",1,0)</x:f>
        <x:v>0</x:v>
      </x:c>
      <x:c r="J76" s="12" t="n">
        <x:f>IF('患者配对'!R55="positive",1,0)</x:f>
        <x:v>0</x:v>
      </x:c>
      <x:c r="K76" s="12" t="n">
        <x:f>IF('患者配对'!W55="positive",1,0)</x:f>
        <x:v>0</x:v>
      </x:c>
      <x:c r="L76" s="12" t="str">
        <x:v>由原件与原状态取得；仅主队列索引</x:v>
      </x:c>
      <x:c r="M76" s="12"/>
      <x:c r="N76" s="12"/>
      <x:c r="O76" s="12"/>
    </x:row>
    <x:row r="77" ht="39" customHeight="1">
      <x:c r="A77" s="12" t="str">
        <x:v>427</x:v>
      </x:c>
      <x:c r="B77" s="12" t="str">
        <x:v>6476</x:v>
      </x:c>
      <x:c r="C77" s="12" t="str">
        <x:v>参考000</x:v>
      </x:c>
      <x:c r="D77" s="12" t="str">
        <x:v>自动000</x:v>
      </x:c>
      <x:c r="E77" s="12" t="n">
        <x:v>0</x:v>
      </x:c>
      <x:c r="F77" s="12" t="n">
        <x:v>0</x:v>
      </x:c>
      <x:c r="G77" s="12" t="n">
        <x:v>0</x:v>
      </x:c>
      <x:c r="H77" s="12" t="n">
        <x:f>IF(SUM(I77:K77)&gt;0,1,0)</x:f>
        <x:v>0</x:v>
      </x:c>
      <x:c r="I77" s="12" t="n">
        <x:f>IF('患者配对'!M56="positive",1,0)</x:f>
        <x:v>0</x:v>
      </x:c>
      <x:c r="J77" s="12" t="n">
        <x:f>IF('患者配对'!R56="positive",1,0)</x:f>
        <x:v>0</x:v>
      </x:c>
      <x:c r="K77" s="12" t="n">
        <x:f>IF('患者配对'!W56="positive",1,0)</x:f>
        <x:v>0</x:v>
      </x:c>
      <x:c r="L77" s="12" t="str">
        <x:v>由原件与原状态取得；仅主队列索引</x:v>
      </x:c>
      <x:c r="M77" s="12"/>
      <x:c r="N77" s="12"/>
      <x:c r="O77" s="12"/>
    </x:row>
    <x:row r="78" ht="39" customHeight="1">
      <x:c r="A78" s="12" t="str">
        <x:v>430</x:v>
      </x:c>
      <x:c r="B78" s="12" t="str">
        <x:v>1207</x:v>
      </x:c>
      <x:c r="C78" s="12" t="str">
        <x:v>参考000</x:v>
      </x:c>
      <x:c r="D78" s="12" t="str">
        <x:v>自动000</x:v>
      </x:c>
      <x:c r="E78" s="12" t="n">
        <x:v>0</x:v>
      </x:c>
      <x:c r="F78" s="12" t="n">
        <x:v>0</x:v>
      </x:c>
      <x:c r="G78" s="12" t="n">
        <x:v>0</x:v>
      </x:c>
      <x:c r="H78" s="12" t="n">
        <x:f>IF(SUM(I78:K78)&gt;0,1,0)</x:f>
        <x:v>0</x:v>
      </x:c>
      <x:c r="I78" s="12" t="n">
        <x:f>IF('患者配对'!M57="positive",1,0)</x:f>
        <x:v>0</x:v>
      </x:c>
      <x:c r="J78" s="12" t="n">
        <x:f>IF('患者配对'!R57="positive",1,0)</x:f>
        <x:v>0</x:v>
      </x:c>
      <x:c r="K78" s="12" t="n">
        <x:f>IF('患者配对'!W57="positive",1,0)</x:f>
        <x:v>0</x:v>
      </x:c>
      <x:c r="L78" s="12" t="str">
        <x:v>由原件与原状态取得；仅主队列索引</x:v>
      </x:c>
      <x:c r="M78" s="12"/>
      <x:c r="N78" s="12"/>
      <x:c r="O78" s="12"/>
    </x:row>
    <x:row r="79" ht="39" customHeight="1">
      <x:c r="A79" s="12" t="str">
        <x:v>440</x:v>
      </x:c>
      <x:c r="B79" s="12" t="str">
        <x:v>2706</x:v>
      </x:c>
      <x:c r="C79" s="12" t="str">
        <x:v>参考000</x:v>
      </x:c>
      <x:c r="D79" s="12" t="str">
        <x:v>自动000</x:v>
      </x:c>
      <x:c r="E79" s="12" t="n">
        <x:v>0</x:v>
      </x:c>
      <x:c r="F79" s="12" t="n">
        <x:v>0</x:v>
      </x:c>
      <x:c r="G79" s="12" t="n">
        <x:v>0</x:v>
      </x:c>
      <x:c r="H79" s="12" t="n">
        <x:f>IF(SUM(I79:K79)&gt;0,1,0)</x:f>
        <x:v>0</x:v>
      </x:c>
      <x:c r="I79" s="12" t="n">
        <x:f>IF('患者配对'!M58="positive",1,0)</x:f>
        <x:v>0</x:v>
      </x:c>
      <x:c r="J79" s="12" t="n">
        <x:f>IF('患者配对'!R58="positive",1,0)</x:f>
        <x:v>0</x:v>
      </x:c>
      <x:c r="K79" s="12" t="n">
        <x:f>IF('患者配对'!W58="positive",1,0)</x:f>
        <x:v>0</x:v>
      </x:c>
      <x:c r="L79" s="12" t="str">
        <x:v>由原件与原状态取得；仅主队列索引</x:v>
      </x:c>
      <x:c r="M79" s="12"/>
      <x:c r="N79" s="12"/>
      <x:c r="O79" s="12"/>
    </x:row>
    <x:row r="80" ht="39" customHeight="1">
      <x:c r="A80" s="12" t="str">
        <x:v>448</x:v>
      </x:c>
      <x:c r="B80" s="12" t="str">
        <x:v>12306</x:v>
      </x:c>
      <x:c r="C80" s="12" t="str">
        <x:v>参考000</x:v>
      </x:c>
      <x:c r="D80" s="12" t="str">
        <x:v>自动000</x:v>
      </x:c>
      <x:c r="E80" s="12" t="n">
        <x:v>0</x:v>
      </x:c>
      <x:c r="F80" s="12" t="n">
        <x:v>1</x:v>
      </x:c>
      <x:c r="G80" s="12" t="n">
        <x:v>0</x:v>
      </x:c>
      <x:c r="H80" s="12" t="n">
        <x:f>IF(SUM(I80:K80)&gt;0,1,0)</x:f>
        <x:v>0</x:v>
      </x:c>
      <x:c r="I80" s="12" t="n">
        <x:f>IF('患者配对'!M59="positive",1,0)</x:f>
        <x:v>0</x:v>
      </x:c>
      <x:c r="J80" s="12" t="n">
        <x:f>IF('患者配对'!R59="positive",1,0)</x:f>
        <x:v>0</x:v>
      </x:c>
      <x:c r="K80" s="12" t="n">
        <x:f>IF('患者配对'!W59="positive",1,0)</x:f>
        <x:v>0</x:v>
      </x:c>
      <x:c r="L80" s="12" t="str">
        <x:v>由原件与原状态取得；仅主队列索引</x:v>
      </x:c>
      <x:c r="M80" s="12"/>
      <x:c r="N80" s="12"/>
      <x:c r="O80" s="12"/>
    </x:row>
    <x:row r="81" ht="39" customHeight="1">
      <x:c r="A81" s="12" t="str">
        <x:v>449</x:v>
      </x:c>
      <x:c r="B81" s="12" t="str">
        <x:v>20057</x:v>
      </x:c>
      <x:c r="C81" s="12" t="str">
        <x:v>参考000</x:v>
      </x:c>
      <x:c r="D81" s="12" t="str">
        <x:v>自动000</x:v>
      </x:c>
      <x:c r="E81" s="12" t="n">
        <x:v>0</x:v>
      </x:c>
      <x:c r="F81" s="12" t="n">
        <x:v>0</x:v>
      </x:c>
      <x:c r="G81" s="12" t="n">
        <x:v>0</x:v>
      </x:c>
      <x:c r="H81" s="12" t="n">
        <x:f>IF(SUM(I81:K81)&gt;0,1,0)</x:f>
        <x:v>0</x:v>
      </x:c>
      <x:c r="I81" s="12" t="n">
        <x:f>IF('患者配对'!M60="positive",1,0)</x:f>
        <x:v>0</x:v>
      </x:c>
      <x:c r="J81" s="12" t="n">
        <x:f>IF('患者配对'!R60="positive",1,0)</x:f>
        <x:v>0</x:v>
      </x:c>
      <x:c r="K81" s="12" t="n">
        <x:f>IF('患者配对'!W60="positive",1,0)</x:f>
        <x:v>0</x:v>
      </x:c>
      <x:c r="L81" s="12" t="str">
        <x:v>由原件与原状态取得；仅主队列索引</x:v>
      </x:c>
      <x:c r="M81" s="12"/>
      <x:c r="N81" s="12"/>
      <x:c r="O81" s="12"/>
    </x:row>
    <x:row r="82" ht="39" customHeight="1">
      <x:c r="A82" s="12" t="str">
        <x:v>452</x:v>
      </x:c>
      <x:c r="B82" s="12" t="str">
        <x:v>13110</x:v>
      </x:c>
      <x:c r="C82" s="12" t="str">
        <x:v>参考100</x:v>
      </x:c>
      <x:c r="D82" s="12" t="str">
        <x:v>自动100</x:v>
      </x:c>
      <x:c r="E82" s="12" t="n">
        <x:v>1</x:v>
      </x:c>
      <x:c r="F82" s="12" t="n">
        <x:v>1</x:v>
      </x:c>
      <x:c r="G82" s="12" t="n">
        <x:v>0</x:v>
      </x:c>
      <x:c r="H82" s="12" t="n">
        <x:f>IF(SUM(I82:K82)&gt;0,1,0)</x:f>
        <x:v>1</x:v>
      </x:c>
      <x:c r="I82" s="12" t="n">
        <x:f>IF('患者配对'!M61="positive",1,0)</x:f>
        <x:v>1</x:v>
      </x:c>
      <x:c r="J82" s="12" t="n">
        <x:f>IF('患者配对'!R61="positive",1,0)</x:f>
        <x:v>0</x:v>
      </x:c>
      <x:c r="K82" s="12" t="n">
        <x:f>IF('患者配对'!W61="positive",1,0)</x:f>
        <x:v>0</x:v>
      </x:c>
      <x:c r="L82" s="12" t="str">
        <x:v>由原件与原状态取得；仅主队列索引</x:v>
      </x:c>
      <x:c r="M82" s="12"/>
      <x:c r="N82" s="12"/>
      <x:c r="O82" s="12"/>
    </x:row>
    <x:row r="83" ht="39" customHeight="1">
      <x:c r="A83" s="12" t="str">
        <x:v>472</x:v>
      </x:c>
      <x:c r="B83" s="12" t="str">
        <x:v>1360</x:v>
      </x:c>
      <x:c r="C83" s="12" t="str">
        <x:v>参考000</x:v>
      </x:c>
      <x:c r="D83" s="12" t="str">
        <x:v>自动000</x:v>
      </x:c>
      <x:c r="E83" s="12" t="n">
        <x:v>0</x:v>
      </x:c>
      <x:c r="F83" s="12" t="n">
        <x:v>1</x:v>
      </x:c>
      <x:c r="G83" s="12" t="n">
        <x:v>0</x:v>
      </x:c>
      <x:c r="H83" s="12" t="n">
        <x:f>IF(SUM(I83:K83)&gt;0,1,0)</x:f>
        <x:v>0</x:v>
      </x:c>
      <x:c r="I83" s="12" t="n">
        <x:f>IF('患者配对'!M62="positive",1,0)</x:f>
        <x:v>0</x:v>
      </x:c>
      <x:c r="J83" s="12" t="n">
        <x:f>IF('患者配对'!R62="positive",1,0)</x:f>
        <x:v>0</x:v>
      </x:c>
      <x:c r="K83" s="12" t="n">
        <x:f>IF('患者配对'!W62="positive",1,0)</x:f>
        <x:v>0</x:v>
      </x:c>
      <x:c r="L83" s="12" t="str">
        <x:v>由原件与原状态取得；仅主队列索引</x:v>
      </x:c>
      <x:c r="M83" s="12"/>
      <x:c r="N83" s="12"/>
      <x:c r="O83" s="12"/>
    </x:row>
    <x:row r="84" ht="39" customHeight="1">
      <x:c r="A84" s="12" t="str">
        <x:v>473</x:v>
      </x:c>
      <x:c r="B84" s="12" t="str">
        <x:v>2398</x:v>
      </x:c>
      <x:c r="C84" s="12" t="str">
        <x:v>参考000</x:v>
      </x:c>
      <x:c r="D84" s="12" t="str">
        <x:v>自动000</x:v>
      </x:c>
      <x:c r="E84" s="12" t="n">
        <x:v>0</x:v>
      </x:c>
      <x:c r="F84" s="12" t="n">
        <x:v>0</x:v>
      </x:c>
      <x:c r="G84" s="12" t="n">
        <x:v>0</x:v>
      </x:c>
      <x:c r="H84" s="12" t="n">
        <x:f>IF(SUM(I84:K84)&gt;0,1,0)</x:f>
        <x:v>0</x:v>
      </x:c>
      <x:c r="I84" s="12" t="n">
        <x:f>IF('患者配对'!M63="positive",1,0)</x:f>
        <x:v>0</x:v>
      </x:c>
      <x:c r="J84" s="12" t="n">
        <x:f>IF('患者配对'!R63="positive",1,0)</x:f>
        <x:v>0</x:v>
      </x:c>
      <x:c r="K84" s="12" t="n">
        <x:f>IF('患者配对'!W63="positive",1,0)</x:f>
        <x:v>0</x:v>
      </x:c>
      <x:c r="L84" s="12" t="str">
        <x:v>由原件与原状态取得；仅主队列索引</x:v>
      </x:c>
      <x:c r="M84" s="12"/>
      <x:c r="N84" s="12"/>
      <x:c r="O84" s="12"/>
    </x:row>
    <x:row r="85" ht="39" customHeight="1">
      <x:c r="A85" s="12" t="str">
        <x:v>478</x:v>
      </x:c>
      <x:c r="B85" s="12" t="str">
        <x:v>6312</x:v>
      </x:c>
      <x:c r="C85" s="12" t="str">
        <x:v>参考000</x:v>
      </x:c>
      <x:c r="D85" s="12" t="str">
        <x:v>自动000</x:v>
      </x:c>
      <x:c r="E85" s="12" t="n">
        <x:v>0</x:v>
      </x:c>
      <x:c r="F85" s="12" t="n">
        <x:v>1</x:v>
      </x:c>
      <x:c r="G85" s="12" t="n">
        <x:v>0</x:v>
      </x:c>
      <x:c r="H85" s="12" t="n">
        <x:f>IF(SUM(I85:K85)&gt;0,1,0)</x:f>
        <x:v>0</x:v>
      </x:c>
      <x:c r="I85" s="12" t="n">
        <x:f>IF('患者配对'!M64="positive",1,0)</x:f>
        <x:v>0</x:v>
      </x:c>
      <x:c r="J85" s="12" t="n">
        <x:f>IF('患者配对'!R64="positive",1,0)</x:f>
        <x:v>0</x:v>
      </x:c>
      <x:c r="K85" s="12" t="n">
        <x:f>IF('患者配对'!W64="positive",1,0)</x:f>
        <x:v>0</x:v>
      </x:c>
      <x:c r="L85" s="12" t="str">
        <x:v>由原件与原状态取得；仅主队列索引</x:v>
      </x:c>
      <x:c r="M85" s="12"/>
      <x:c r="N85" s="12"/>
      <x:c r="O85" s="12"/>
    </x:row>
    <x:row r="86" ht="39" customHeight="1">
      <x:c r="A86" s="12" t="str">
        <x:v>499</x:v>
      </x:c>
      <x:c r="B86" s="12" t="str">
        <x:v>2678</x:v>
      </x:c>
      <x:c r="C86" s="12" t="str">
        <x:v>参考000</x:v>
      </x:c>
      <x:c r="D86" s="12" t="str">
        <x:v>自动000</x:v>
      </x:c>
      <x:c r="E86" s="12" t="n">
        <x:v>0</x:v>
      </x:c>
      <x:c r="F86" s="12" t="n">
        <x:v>0</x:v>
      </x:c>
      <x:c r="G86" s="12" t="n">
        <x:v>0</x:v>
      </x:c>
      <x:c r="H86" s="12" t="n">
        <x:f>IF(SUM(I86:K86)&gt;0,1,0)</x:f>
        <x:v>0</x:v>
      </x:c>
      <x:c r="I86" s="12" t="n">
        <x:f>IF('患者配对'!M65="positive",1,0)</x:f>
        <x:v>0</x:v>
      </x:c>
      <x:c r="J86" s="12" t="n">
        <x:f>IF('患者配对'!R65="positive",1,0)</x:f>
        <x:v>0</x:v>
      </x:c>
      <x:c r="K86" s="12" t="n">
        <x:f>IF('患者配对'!W65="positive",1,0)</x:f>
        <x:v>0</x:v>
      </x:c>
      <x:c r="L86" s="12" t="str">
        <x:v>由原件与原状态取得；仅主队列索引</x:v>
      </x:c>
      <x:c r="M86" s="12"/>
      <x:c r="N86" s="12"/>
      <x:c r="O86" s="12"/>
    </x:row>
    <x:row r="87" ht="39" customHeight="1">
      <x:c r="A87" s="12" t="str">
        <x:v>504</x:v>
      </x:c>
      <x:c r="B87" s="12" t="str">
        <x:v>3602</x:v>
      </x:c>
      <x:c r="C87" s="12" t="str">
        <x:v>参考000</x:v>
      </x:c>
      <x:c r="D87" s="12" t="str">
        <x:v>自动000</x:v>
      </x:c>
      <x:c r="E87" s="12" t="n">
        <x:v>0</x:v>
      </x:c>
      <x:c r="F87" s="12" t="n">
        <x:v>0</x:v>
      </x:c>
      <x:c r="G87" s="12" t="n">
        <x:v>0</x:v>
      </x:c>
      <x:c r="H87" s="12" t="n">
        <x:f>IF(SUM(I87:K87)&gt;0,1,0)</x:f>
        <x:v>0</x:v>
      </x:c>
      <x:c r="I87" s="12" t="n">
        <x:f>IF('患者配对'!M66="positive",1,0)</x:f>
        <x:v>0</x:v>
      </x:c>
      <x:c r="J87" s="12" t="n">
        <x:f>IF('患者配对'!R66="positive",1,0)</x:f>
        <x:v>0</x:v>
      </x:c>
      <x:c r="K87" s="12" t="n">
        <x:f>IF('患者配对'!W66="positive",1,0)</x:f>
        <x:v>0</x:v>
      </x:c>
      <x:c r="L87" s="12" t="str">
        <x:v>由原件与原状态取得；仅主队列索引</x:v>
      </x:c>
      <x:c r="M87" s="12"/>
      <x:c r="N87" s="12"/>
      <x:c r="O87" s="12"/>
    </x:row>
    <x:row r="88" ht="39" customHeight="1">
      <x:c r="A88" s="12" t="str">
        <x:v>512</x:v>
      </x:c>
      <x:c r="B88" s="12" t="str">
        <x:v>16695</x:v>
      </x:c>
      <x:c r="C88" s="12" t="str">
        <x:v>参考001</x:v>
      </x:c>
      <x:c r="D88" s="12" t="str">
        <x:v>自动001</x:v>
      </x:c>
      <x:c r="E88" s="12" t="n">
        <x:v>1</x:v>
      </x:c>
      <x:c r="F88" s="12" t="n">
        <x:v>1</x:v>
      </x:c>
      <x:c r="G88" s="12" t="n">
        <x:v>0</x:v>
      </x:c>
      <x:c r="H88" s="12" t="n">
        <x:f>IF(SUM(I88:K88)&gt;0,1,0)</x:f>
        <x:v>1</x:v>
      </x:c>
      <x:c r="I88" s="12" t="n">
        <x:f>IF('患者配对'!M67="positive",1,0)</x:f>
        <x:v>0</x:v>
      </x:c>
      <x:c r="J88" s="12" t="n">
        <x:f>IF('患者配对'!R67="positive",1,0)</x:f>
        <x:v>0</x:v>
      </x:c>
      <x:c r="K88" s="12" t="n">
        <x:f>IF('患者配对'!W67="positive",1,0)</x:f>
        <x:v>1</x:v>
      </x:c>
      <x:c r="L88" s="12" t="str">
        <x:v>由原件与原状态取得；仅主队列索引</x:v>
      </x:c>
      <x:c r="M88" s="12"/>
      <x:c r="N88" s="12"/>
      <x:c r="O88" s="12"/>
    </x:row>
    <x:row r="89" ht="39" customHeight="1">
      <x:c r="A89" s="12" t="str">
        <x:v>514</x:v>
      </x:c>
      <x:c r="B89" s="12" t="str">
        <x:v>12005</x:v>
      </x:c>
      <x:c r="C89" s="12" t="str">
        <x:v>参考000</x:v>
      </x:c>
      <x:c r="D89" s="12" t="str">
        <x:v>自动000</x:v>
      </x:c>
      <x:c r="E89" s="12" t="n">
        <x:v>0</x:v>
      </x:c>
      <x:c r="F89" s="12" t="n">
        <x:v>1</x:v>
      </x:c>
      <x:c r="G89" s="12" t="n">
        <x:v>0</x:v>
      </x:c>
      <x:c r="H89" s="12" t="n">
        <x:f>IF(SUM(I89:K89)&gt;0,1,0)</x:f>
        <x:v>0</x:v>
      </x:c>
      <x:c r="I89" s="12" t="n">
        <x:f>IF('患者配对'!M68="positive",1,0)</x:f>
        <x:v>0</x:v>
      </x:c>
      <x:c r="J89" s="12" t="n">
        <x:f>IF('患者配对'!R68="positive",1,0)</x:f>
        <x:v>0</x:v>
      </x:c>
      <x:c r="K89" s="12" t="n">
        <x:f>IF('患者配对'!W68="positive",1,0)</x:f>
        <x:v>0</x:v>
      </x:c>
      <x:c r="L89" s="12" t="str">
        <x:v>由原件与原状态取得；仅主队列索引</x:v>
      </x:c>
      <x:c r="M89" s="12"/>
      <x:c r="N89" s="12"/>
      <x:c r="O89" s="12"/>
    </x:row>
    <x:row r="90" ht="39" customHeight="1">
      <x:c r="A90" s="12" t="str">
        <x:v>516</x:v>
      </x:c>
      <x:c r="B90" s="12" t="str">
        <x:v>13237</x:v>
      </x:c>
      <x:c r="C90" s="12" t="str">
        <x:v>参考000</x:v>
      </x:c>
      <x:c r="D90" s="12" t="str">
        <x:v>自动000</x:v>
      </x:c>
      <x:c r="E90" s="12" t="n">
        <x:v>0</x:v>
      </x:c>
      <x:c r="F90" s="12" t="n">
        <x:v>1</x:v>
      </x:c>
      <x:c r="G90" s="12" t="n">
        <x:v>0</x:v>
      </x:c>
      <x:c r="H90" s="12" t="n">
        <x:f>IF(SUM(I90:K90)&gt;0,1,0)</x:f>
        <x:v>0</x:v>
      </x:c>
      <x:c r="I90" s="12" t="n">
        <x:f>IF('患者配对'!M69="positive",1,0)</x:f>
        <x:v>0</x:v>
      </x:c>
      <x:c r="J90" s="12" t="n">
        <x:f>IF('患者配对'!R69="positive",1,0)</x:f>
        <x:v>0</x:v>
      </x:c>
      <x:c r="K90" s="12" t="n">
        <x:f>IF('患者配对'!W69="positive",1,0)</x:f>
        <x:v>0</x:v>
      </x:c>
      <x:c r="L90" s="12" t="str">
        <x:v>由原件与原状态取得；仅主队列索引</x:v>
      </x:c>
      <x:c r="M90" s="12"/>
      <x:c r="N90" s="12"/>
      <x:c r="O90" s="12"/>
    </x:row>
    <x:row r="91" ht="39" customHeight="1">
      <x:c r="A91" s="12" t="str">
        <x:v>526</x:v>
      </x:c>
      <x:c r="B91" s="12" t="str">
        <x:v>13769</x:v>
      </x:c>
      <x:c r="C91" s="12" t="str">
        <x:v>参考000</x:v>
      </x:c>
      <x:c r="D91" s="12" t="str">
        <x:v>自动000</x:v>
      </x:c>
      <x:c r="E91" s="12" t="n">
        <x:v>0</x:v>
      </x:c>
      <x:c r="F91" s="12" t="n">
        <x:v>1</x:v>
      </x:c>
      <x:c r="G91" s="12" t="n">
        <x:v>0</x:v>
      </x:c>
      <x:c r="H91" s="12" t="n">
        <x:f>IF(SUM(I91:K91)&gt;0,1,0)</x:f>
        <x:v>0</x:v>
      </x:c>
      <x:c r="I91" s="12" t="n">
        <x:f>IF('患者配对'!M70="positive",1,0)</x:f>
        <x:v>0</x:v>
      </x:c>
      <x:c r="J91" s="12" t="n">
        <x:f>IF('患者配对'!R70="positive",1,0)</x:f>
        <x:v>0</x:v>
      </x:c>
      <x:c r="K91" s="12" t="n">
        <x:f>IF('患者配对'!W70="positive",1,0)</x:f>
        <x:v>0</x:v>
      </x:c>
      <x:c r="L91" s="12" t="str">
        <x:v>由原件与原状态取得；仅主队列索引</x:v>
      </x:c>
      <x:c r="M91" s="12"/>
      <x:c r="N91" s="12"/>
      <x:c r="O91" s="12"/>
    </x:row>
    <x:row r="92" ht="39" customHeight="1">
      <x:c r="A92" s="12" t="str">
        <x:v>527</x:v>
      </x:c>
      <x:c r="B92" s="12" t="str">
        <x:v>15828</x:v>
      </x:c>
      <x:c r="C92" s="12" t="str">
        <x:v>参考000</x:v>
      </x:c>
      <x:c r="D92" s="12" t="str">
        <x:v>自动000</x:v>
      </x:c>
      <x:c r="E92" s="12" t="n">
        <x:v>0</x:v>
      </x:c>
      <x:c r="F92" s="12" t="n">
        <x:v>1</x:v>
      </x:c>
      <x:c r="G92" s="12" t="n">
        <x:v>0</x:v>
      </x:c>
      <x:c r="H92" s="12" t="n">
        <x:f>IF(SUM(I92:K92)&gt;0,1,0)</x:f>
        <x:v>0</x:v>
      </x:c>
      <x:c r="I92" s="12" t="n">
        <x:f>IF('患者配对'!M71="positive",1,0)</x:f>
        <x:v>0</x:v>
      </x:c>
      <x:c r="J92" s="12" t="n">
        <x:f>IF('患者配对'!R71="positive",1,0)</x:f>
        <x:v>0</x:v>
      </x:c>
      <x:c r="K92" s="12" t="n">
        <x:f>IF('患者配对'!W71="positive",1,0)</x:f>
        <x:v>0</x:v>
      </x:c>
      <x:c r="L92" s="12" t="str">
        <x:v>由原件与原状态取得；仅主队列索引</x:v>
      </x:c>
      <x:c r="M92" s="12"/>
      <x:c r="N92" s="12"/>
      <x:c r="O92" s="12"/>
    </x:row>
    <x:row r="93" ht="39" customHeight="1">
      <x:c r="A93" s="12" t="str">
        <x:v>534</x:v>
      </x:c>
      <x:c r="B93" s="12" t="str">
        <x:v>20068</x:v>
      </x:c>
      <x:c r="C93" s="12" t="str">
        <x:v>参考000</x:v>
      </x:c>
      <x:c r="D93" s="12" t="str">
        <x:v>自动000</x:v>
      </x:c>
      <x:c r="E93" s="12" t="n">
        <x:v>0</x:v>
      </x:c>
      <x:c r="F93" s="12" t="n">
        <x:v>0</x:v>
      </x:c>
      <x:c r="G93" s="12" t="n">
        <x:v>0</x:v>
      </x:c>
      <x:c r="H93" s="12" t="n">
        <x:f>IF(SUM(I93:K93)&gt;0,1,0)</x:f>
        <x:v>0</x:v>
      </x:c>
      <x:c r="I93" s="12" t="n">
        <x:f>IF('患者配对'!M72="positive",1,0)</x:f>
        <x:v>0</x:v>
      </x:c>
      <x:c r="J93" s="12" t="n">
        <x:f>IF('患者配对'!R72="positive",1,0)</x:f>
        <x:v>0</x:v>
      </x:c>
      <x:c r="K93" s="12" t="n">
        <x:f>IF('患者配对'!W72="positive",1,0)</x:f>
        <x:v>0</x:v>
      </x:c>
      <x:c r="L93" s="12" t="str">
        <x:v>由原件与原状态取得；仅主队列索引</x:v>
      </x:c>
      <x:c r="M93" s="12"/>
      <x:c r="N93" s="12"/>
      <x:c r="O93" s="12"/>
    </x:row>
    <x:row r="94" ht="39" customHeight="1">
      <x:c r="A94" s="12" t="str">
        <x:v>559</x:v>
      </x:c>
      <x:c r="B94" s="12" t="str">
        <x:v>12042</x:v>
      </x:c>
      <x:c r="C94" s="12" t="str">
        <x:v>参考000</x:v>
      </x:c>
      <x:c r="D94" s="12" t="str">
        <x:v>自动000</x:v>
      </x:c>
      <x:c r="E94" s="12" t="n">
        <x:v>0</x:v>
      </x:c>
      <x:c r="F94" s="12" t="n">
        <x:v>0</x:v>
      </x:c>
      <x:c r="G94" s="12" t="n">
        <x:v>0</x:v>
      </x:c>
      <x:c r="H94" s="12" t="n">
        <x:f>IF(SUM(I94:K94)&gt;0,1,0)</x:f>
        <x:v>0</x:v>
      </x:c>
      <x:c r="I94" s="12" t="n">
        <x:f>IF('患者配对'!M73="positive",1,0)</x:f>
        <x:v>0</x:v>
      </x:c>
      <x:c r="J94" s="12" t="n">
        <x:f>IF('患者配对'!R73="positive",1,0)</x:f>
        <x:v>0</x:v>
      </x:c>
      <x:c r="K94" s="12" t="n">
        <x:f>IF('患者配对'!W73="positive",1,0)</x:f>
        <x:v>0</x:v>
      </x:c>
      <x:c r="L94" s="12" t="str">
        <x:v>由原件与原状态取得；仅主队列索引</x:v>
      </x:c>
      <x:c r="M94" s="12"/>
      <x:c r="N94" s="12"/>
      <x:c r="O94" s="12"/>
    </x:row>
    <x:row r="95" ht="39" customHeight="1">
      <x:c r="A95" s="12" t="str">
        <x:v>564</x:v>
      </x:c>
      <x:c r="B95" s="12" t="str">
        <x:v>16912</x:v>
      </x:c>
      <x:c r="C95" s="12" t="str">
        <x:v>参考000</x:v>
      </x:c>
      <x:c r="D95" s="12" t="str">
        <x:v>自动000</x:v>
      </x:c>
      <x:c r="E95" s="12" t="n">
        <x:v>0</x:v>
      </x:c>
      <x:c r="F95" s="12" t="n">
        <x:v>1</x:v>
      </x:c>
      <x:c r="G95" s="12" t="n">
        <x:v>0</x:v>
      </x:c>
      <x:c r="H95" s="12" t="n">
        <x:f>IF(SUM(I95:K95)&gt;0,1,0)</x:f>
        <x:v>0</x:v>
      </x:c>
      <x:c r="I95" s="12" t="n">
        <x:f>IF('患者配对'!M74="positive",1,0)</x:f>
        <x:v>0</x:v>
      </x:c>
      <x:c r="J95" s="12" t="n">
        <x:f>IF('患者配对'!R74="positive",1,0)</x:f>
        <x:v>0</x:v>
      </x:c>
      <x:c r="K95" s="12" t="n">
        <x:f>IF('患者配对'!W74="positive",1,0)</x:f>
        <x:v>0</x:v>
      </x:c>
      <x:c r="L95" s="12" t="str">
        <x:v>由原件与原状态取得；仅主队列索引</x:v>
      </x:c>
      <x:c r="M95" s="12"/>
      <x:c r="N95" s="12"/>
      <x:c r="O95" s="12"/>
    </x:row>
    <x:row r="96" ht="39" customHeight="1">
      <x:c r="A96" s="12" t="str">
        <x:v>569</x:v>
      </x:c>
      <x:c r="B96" s="12" t="str">
        <x:v>2936</x:v>
      </x:c>
      <x:c r="C96" s="12" t="str">
        <x:v>参考100</x:v>
      </x:c>
      <x:c r="D96" s="12" t="str">
        <x:v>自动101</x:v>
      </x:c>
      <x:c r="E96" s="12" t="n">
        <x:v>1</x:v>
      </x:c>
      <x:c r="F96" s="12" t="n">
        <x:v>1</x:v>
      </x:c>
      <x:c r="G96" s="12" t="n">
        <x:v>1</x:v>
      </x:c>
      <x:c r="H96" s="12" t="n">
        <x:f>IF(SUM(I96:K96)&gt;0,1,0)</x:f>
        <x:v>1</x:v>
      </x:c>
      <x:c r="I96" s="12" t="n">
        <x:f>IF('患者配对'!M75="positive",1,0)</x:f>
        <x:v>1</x:v>
      </x:c>
      <x:c r="J96" s="12" t="n">
        <x:f>IF('患者配对'!R75="positive",1,0)</x:f>
        <x:v>0</x:v>
      </x:c>
      <x:c r="K96" s="12" t="n">
        <x:f>IF('患者配对'!W75="positive",1,0)</x:f>
        <x:v>0</x:v>
      </x:c>
      <x:c r="L96" s="12" t="str">
        <x:v>由原件与原状态取得；仅主队列索引</x:v>
      </x:c>
      <x:c r="M96" s="12"/>
      <x:c r="N96" s="12"/>
      <x:c r="O96" s="12"/>
    </x:row>
    <x:row r="97" ht="39" customHeight="1">
      <x:c r="A97" s="12" t="str">
        <x:v>570</x:v>
      </x:c>
      <x:c r="B97" s="12" t="str">
        <x:v>7793</x:v>
      </x:c>
      <x:c r="C97" s="12" t="str">
        <x:v>参考000</x:v>
      </x:c>
      <x:c r="D97" s="12" t="str">
        <x:v>自动000</x:v>
      </x:c>
      <x:c r="E97" s="12" t="n">
        <x:v>0</x:v>
      </x:c>
      <x:c r="F97" s="12" t="n">
        <x:v>0</x:v>
      </x:c>
      <x:c r="G97" s="12" t="n">
        <x:v>0</x:v>
      </x:c>
      <x:c r="H97" s="12" t="n">
        <x:f>IF(SUM(I97:K97)&gt;0,1,0)</x:f>
        <x:v>0</x:v>
      </x:c>
      <x:c r="I97" s="12" t="n">
        <x:f>IF('患者配对'!M76="positive",1,0)</x:f>
        <x:v>0</x:v>
      </x:c>
      <x:c r="J97" s="12" t="n">
        <x:f>IF('患者配对'!R76="positive",1,0)</x:f>
        <x:v>0</x:v>
      </x:c>
      <x:c r="K97" s="12" t="n">
        <x:f>IF('患者配对'!W76="positive",1,0)</x:f>
        <x:v>0</x:v>
      </x:c>
      <x:c r="L97" s="12" t="str">
        <x:v>由原件与原状态取得；仅主队列索引</x:v>
      </x:c>
      <x:c r="M97" s="12"/>
      <x:c r="N97" s="12"/>
      <x:c r="O97" s="12"/>
    </x:row>
    <x:row r="98" ht="39" customHeight="1">
      <x:c r="A98" s="12" t="str">
        <x:v>573</x:v>
      </x:c>
      <x:c r="B98" s="12" t="str">
        <x:v>5837</x:v>
      </x:c>
      <x:c r="C98" s="12" t="str">
        <x:v>参考000</x:v>
      </x:c>
      <x:c r="D98" s="12" t="str">
        <x:v>自动000</x:v>
      </x:c>
      <x:c r="E98" s="12" t="n">
        <x:v>0</x:v>
      </x:c>
      <x:c r="F98" s="12" t="n">
        <x:v>0</x:v>
      </x:c>
      <x:c r="G98" s="12" t="n">
        <x:v>0</x:v>
      </x:c>
      <x:c r="H98" s="12" t="n">
        <x:f>IF(SUM(I98:K98)&gt;0,1,0)</x:f>
        <x:v>0</x:v>
      </x:c>
      <x:c r="I98" s="12" t="n">
        <x:f>IF('患者配对'!M77="positive",1,0)</x:f>
        <x:v>0</x:v>
      </x:c>
      <x:c r="J98" s="12" t="n">
        <x:f>IF('患者配对'!R77="positive",1,0)</x:f>
        <x:v>0</x:v>
      </x:c>
      <x:c r="K98" s="12" t="n">
        <x:f>IF('患者配对'!W77="positive",1,0)</x:f>
        <x:v>0</x:v>
      </x:c>
      <x:c r="L98" s="12" t="str">
        <x:v>由原件与原状态取得；仅主队列索引</x:v>
      </x:c>
      <x:c r="M98" s="12"/>
      <x:c r="N98" s="12"/>
      <x:c r="O98" s="12"/>
    </x:row>
    <x:row r="99" ht="39" customHeight="1">
      <x:c r="A99" s="12" t="str">
        <x:v>581</x:v>
      </x:c>
      <x:c r="B99" s="12" t="str">
        <x:v>583</x:v>
      </x:c>
      <x:c r="C99" s="12" t="str">
        <x:v>参考100</x:v>
      </x:c>
      <x:c r="D99" s="12" t="str">
        <x:v>自动100</x:v>
      </x:c>
      <x:c r="E99" s="12" t="n">
        <x:v>1</x:v>
      </x:c>
      <x:c r="F99" s="12" t="n">
        <x:v>1</x:v>
      </x:c>
      <x:c r="G99" s="12" t="n">
        <x:v>0</x:v>
      </x:c>
      <x:c r="H99" s="12" t="n">
        <x:f>IF(SUM(I99:K99)&gt;0,1,0)</x:f>
        <x:v>1</x:v>
      </x:c>
      <x:c r="I99" s="12" t="n">
        <x:f>IF('患者配对'!M78="positive",1,0)</x:f>
        <x:v>1</x:v>
      </x:c>
      <x:c r="J99" s="12" t="n">
        <x:f>IF('患者配对'!R78="positive",1,0)</x:f>
        <x:v>0</x:v>
      </x:c>
      <x:c r="K99" s="12" t="n">
        <x:f>IF('患者配对'!W78="positive",1,0)</x:f>
        <x:v>0</x:v>
      </x:c>
      <x:c r="L99" s="12" t="str">
        <x:v>由原件与原状态取得；仅主队列索引</x:v>
      </x:c>
      <x:c r="M99" s="12"/>
      <x:c r="N99" s="12"/>
      <x:c r="O99" s="12"/>
    </x:row>
    <x:row r="100" ht="39" customHeight="1">
      <x:c r="A100" s="12" t="str">
        <x:v>584</x:v>
      </x:c>
      <x:c r="B100" s="12" t="str">
        <x:v>18236</x:v>
      </x:c>
      <x:c r="C100" s="12" t="str">
        <x:v>参考000</x:v>
      </x:c>
      <x:c r="D100" s="12" t="str">
        <x:v>自动000</x:v>
      </x:c>
      <x:c r="E100" s="12" t="n">
        <x:v>0</x:v>
      </x:c>
      <x:c r="F100" s="12" t="n">
        <x:v>0</x:v>
      </x:c>
      <x:c r="G100" s="12" t="n">
        <x:v>0</x:v>
      </x:c>
      <x:c r="H100" s="12" t="n">
        <x:f>IF(SUM(I100:K100)&gt;0,1,0)</x:f>
        <x:v>0</x:v>
      </x:c>
      <x:c r="I100" s="12" t="n">
        <x:f>IF('患者配对'!M80="positive",1,0)</x:f>
        <x:v>0</x:v>
      </x:c>
      <x:c r="J100" s="12" t="n">
        <x:f>IF('患者配对'!R80="positive",1,0)</x:f>
        <x:v>0</x:v>
      </x:c>
      <x:c r="K100" s="12" t="n">
        <x:f>IF('患者配对'!W80="positive",1,0)</x:f>
        <x:v>0</x:v>
      </x:c>
      <x:c r="L100" s="12" t="str">
        <x:v>由原件与原状态取得；仅主队列索引</x:v>
      </x:c>
      <x:c r="M100" s="12"/>
      <x:c r="N100" s="12"/>
      <x:c r="O100" s="12"/>
    </x:row>
    <x:row r="101" ht="39" customHeight="1">
      <x:c r="A101" s="12" t="str">
        <x:v>611</x:v>
      </x:c>
      <x:c r="B101" s="12" t="str">
        <x:v>4083</x:v>
      </x:c>
      <x:c r="C101" s="12" t="str">
        <x:v>参考000</x:v>
      </x:c>
      <x:c r="D101" s="12" t="str">
        <x:v>自动000</x:v>
      </x:c>
      <x:c r="E101" s="12" t="n">
        <x:v>0</x:v>
      </x:c>
      <x:c r="F101" s="12" t="n">
        <x:v>0</x:v>
      </x:c>
      <x:c r="G101" s="12" t="n">
        <x:v>0</x:v>
      </x:c>
      <x:c r="H101" s="12" t="n">
        <x:f>IF(SUM(I101:K101)&gt;0,1,0)</x:f>
        <x:v>0</x:v>
      </x:c>
      <x:c r="I101" s="12" t="n">
        <x:f>IF('患者配对'!M82="positive",1,0)</x:f>
        <x:v>0</x:v>
      </x:c>
      <x:c r="J101" s="12" t="n">
        <x:f>IF('患者配对'!R82="positive",1,0)</x:f>
        <x:v>0</x:v>
      </x:c>
      <x:c r="K101" s="12" t="n">
        <x:f>IF('患者配对'!W82="positive",1,0)</x:f>
        <x:v>0</x:v>
      </x:c>
      <x:c r="L101" s="12" t="str">
        <x:v>由原件与原状态取得；仅主队列索引</x:v>
      </x:c>
      <x:c r="M101" s="12"/>
      <x:c r="N101" s="12"/>
      <x:c r="O101" s="12"/>
    </x:row>
    <x:row r="102" ht="39" customHeight="1">
      <x:c r="A102" s="12" t="str">
        <x:v>618</x:v>
      </x:c>
      <x:c r="B102" s="12" t="str">
        <x:v>6417</x:v>
      </x:c>
      <x:c r="C102" s="12" t="str">
        <x:v>参考010</x:v>
      </x:c>
      <x:c r="D102" s="12" t="str">
        <x:v>自动010</x:v>
      </x:c>
      <x:c r="E102" s="12" t="n">
        <x:v>1</x:v>
      </x:c>
      <x:c r="F102" s="12" t="n">
        <x:v>1</x:v>
      </x:c>
      <x:c r="G102" s="12" t="n">
        <x:v>0</x:v>
      </x:c>
      <x:c r="H102" s="12" t="n">
        <x:f>IF(SUM(I102:K102)&gt;0,1,0)</x:f>
        <x:v>1</x:v>
      </x:c>
      <x:c r="I102" s="12" t="n">
        <x:f>IF('患者配对'!M83="positive",1,0)</x:f>
        <x:v>0</x:v>
      </x:c>
      <x:c r="J102" s="12" t="n">
        <x:f>IF('患者配对'!R83="positive",1,0)</x:f>
        <x:v>1</x:v>
      </x:c>
      <x:c r="K102" s="12" t="n">
        <x:f>IF('患者配对'!W83="positive",1,0)</x:f>
        <x:v>0</x:v>
      </x:c>
      <x:c r="L102" s="12" t="str">
        <x:v>由原件与原状态取得；仅主队列索引</x:v>
      </x:c>
      <x:c r="M102" s="12"/>
      <x:c r="N102" s="12"/>
      <x:c r="O102" s="12"/>
    </x:row>
    <x:row r="103" ht="39" customHeight="1">
      <x:c r="A103" s="12" t="str">
        <x:v>619</x:v>
      </x:c>
      <x:c r="B103" s="12" t="str">
        <x:v>1240</x:v>
      </x:c>
      <x:c r="C103" s="12" t="str">
        <x:v>参考000</x:v>
      </x:c>
      <x:c r="D103" s="12" t="str">
        <x:v>自动000</x:v>
      </x:c>
      <x:c r="E103" s="12" t="n">
        <x:v>0</x:v>
      </x:c>
      <x:c r="F103" s="12" t="n">
        <x:v>0</x:v>
      </x:c>
      <x:c r="G103" s="12" t="n">
        <x:v>0</x:v>
      </x:c>
      <x:c r="H103" s="12" t="n">
        <x:f>IF(SUM(I103:K103)&gt;0,1,0)</x:f>
        <x:v>0</x:v>
      </x:c>
      <x:c r="I103" s="12" t="n">
        <x:f>IF('患者配对'!M84="positive",1,0)</x:f>
        <x:v>0</x:v>
      </x:c>
      <x:c r="J103" s="12" t="n">
        <x:f>IF('患者配对'!R84="positive",1,0)</x:f>
        <x:v>0</x:v>
      </x:c>
      <x:c r="K103" s="12" t="n">
        <x:f>IF('患者配对'!W84="positive",1,0)</x:f>
        <x:v>0</x:v>
      </x:c>
      <x:c r="L103" s="12" t="str">
        <x:v>由原件与原状态取得；仅主队列索引</x:v>
      </x:c>
      <x:c r="M103" s="12"/>
      <x:c r="N103" s="12"/>
      <x:c r="O103" s="12"/>
    </x:row>
    <x:row r="104" ht="39" customHeight="1">
      <x:c r="A104" s="12" t="str">
        <x:v>658</x:v>
      </x:c>
      <x:c r="B104" s="12" t="str">
        <x:v>9050</x:v>
      </x:c>
      <x:c r="C104" s="12" t="str">
        <x:v>参考000</x:v>
      </x:c>
      <x:c r="D104" s="12" t="str">
        <x:v>自动000</x:v>
      </x:c>
      <x:c r="E104" s="12" t="n">
        <x:v>0</x:v>
      </x:c>
      <x:c r="F104" s="12" t="n">
        <x:v>0</x:v>
      </x:c>
      <x:c r="G104" s="12" t="n">
        <x:v>0</x:v>
      </x:c>
      <x:c r="H104" s="12" t="n">
        <x:f>IF(SUM(I104:K104)&gt;0,1,0)</x:f>
        <x:v>0</x:v>
      </x:c>
      <x:c r="I104" s="12" t="n">
        <x:f>IF('患者配对'!M85="positive",1,0)</x:f>
        <x:v>0</x:v>
      </x:c>
      <x:c r="J104" s="12" t="n">
        <x:f>IF('患者配对'!R85="positive",1,0)</x:f>
        <x:v>0</x:v>
      </x:c>
      <x:c r="K104" s="12" t="n">
        <x:f>IF('患者配对'!W85="positive",1,0)</x:f>
        <x:v>0</x:v>
      </x:c>
      <x:c r="L104" s="12" t="str">
        <x:v>由原件与原状态取得；仅主队列索引</x:v>
      </x:c>
      <x:c r="M104" s="12"/>
      <x:c r="N104" s="12"/>
      <x:c r="O104" s="12"/>
    </x:row>
    <x:row r="105" ht="39" customHeight="1">
      <x:c r="A105" s="12" t="str">
        <x:v>685</x:v>
      </x:c>
      <x:c r="B105" s="12" t="str">
        <x:v>362</x:v>
      </x:c>
      <x:c r="C105" s="12" t="str">
        <x:v>参考000</x:v>
      </x:c>
      <x:c r="D105" s="12" t="str">
        <x:v>自动000</x:v>
      </x:c>
      <x:c r="E105" s="12" t="n">
        <x:v>0</x:v>
      </x:c>
      <x:c r="F105" s="12" t="n">
        <x:v>1</x:v>
      </x:c>
      <x:c r="G105" s="12" t="n">
        <x:v>0</x:v>
      </x:c>
      <x:c r="H105" s="12" t="n">
        <x:f>IF(SUM(I105:K105)&gt;0,1,0)</x:f>
        <x:v>0</x:v>
      </x:c>
      <x:c r="I105" s="12" t="n">
        <x:f>IF('患者配对'!M86="positive",1,0)</x:f>
        <x:v>0</x:v>
      </x:c>
      <x:c r="J105" s="12" t="n">
        <x:f>IF('患者配对'!R86="positive",1,0)</x:f>
        <x:v>0</x:v>
      </x:c>
      <x:c r="K105" s="12" t="n">
        <x:f>IF('患者配对'!W86="positive",1,0)</x:f>
        <x:v>0</x:v>
      </x:c>
      <x:c r="L105" s="12" t="str">
        <x:v>由原件与原状态取得；仅主队列索引</x:v>
      </x:c>
      <x:c r="M105" s="12"/>
      <x:c r="N105" s="12"/>
      <x:c r="O105" s="12"/>
    </x:row>
    <x:row r="106" ht="39" customHeight="1">
      <x:c r="A106" s="12" t="str">
        <x:v>687</x:v>
      </x:c>
      <x:c r="B106" s="12" t="str">
        <x:v>7483</x:v>
      </x:c>
      <x:c r="C106" s="12" t="str">
        <x:v>参考000</x:v>
      </x:c>
      <x:c r="D106" s="12" t="str">
        <x:v>自动000</x:v>
      </x:c>
      <x:c r="E106" s="12" t="n">
        <x:v>0</x:v>
      </x:c>
      <x:c r="F106" s="12" t="n">
        <x:v>0</x:v>
      </x:c>
      <x:c r="G106" s="12" t="n">
        <x:v>0</x:v>
      </x:c>
      <x:c r="H106" s="12" t="n">
        <x:f>IF(SUM(I106:K106)&gt;0,1,0)</x:f>
        <x:v>0</x:v>
      </x:c>
      <x:c r="I106" s="12" t="n">
        <x:f>IF('患者配对'!M87="positive",1,0)</x:f>
        <x:v>0</x:v>
      </x:c>
      <x:c r="J106" s="12" t="n">
        <x:f>IF('患者配对'!R87="positive",1,0)</x:f>
        <x:v>0</x:v>
      </x:c>
      <x:c r="K106" s="12" t="n">
        <x:f>IF('患者配对'!W87="positive",1,0)</x:f>
        <x:v>0</x:v>
      </x:c>
      <x:c r="L106" s="12" t="str">
        <x:v>由原件与原状态取得；仅主队列索引</x:v>
      </x:c>
      <x:c r="M106" s="12"/>
      <x:c r="N106" s="12"/>
      <x:c r="O106" s="12"/>
    </x:row>
    <x:row r="107" ht="39" customHeight="1">
      <x:c r="A107" s="12" t="str">
        <x:v>694</x:v>
      </x:c>
      <x:c r="B107" s="12" t="str">
        <x:v>4203</x:v>
      </x:c>
      <x:c r="C107" s="12" t="str">
        <x:v>参考000</x:v>
      </x:c>
      <x:c r="D107" s="12" t="str">
        <x:v>自动000</x:v>
      </x:c>
      <x:c r="E107" s="12" t="n">
        <x:v>0</x:v>
      </x:c>
      <x:c r="F107" s="12" t="n">
        <x:v>0</x:v>
      </x:c>
      <x:c r="G107" s="12" t="n">
        <x:v>0</x:v>
      </x:c>
      <x:c r="H107" s="12" t="n">
        <x:f>IF(SUM(I107:K107)&gt;0,1,0)</x:f>
        <x:v>0</x:v>
      </x:c>
      <x:c r="I107" s="12" t="n">
        <x:f>IF('患者配对'!M89="positive",1,0)</x:f>
        <x:v>0</x:v>
      </x:c>
      <x:c r="J107" s="12" t="n">
        <x:f>IF('患者配对'!R89="positive",1,0)</x:f>
        <x:v>0</x:v>
      </x:c>
      <x:c r="K107" s="12" t="n">
        <x:f>IF('患者配对'!W89="positive",1,0)</x:f>
        <x:v>0</x:v>
      </x:c>
      <x:c r="L107" s="12" t="str">
        <x:v>由原件与原状态取得；仅主队列索引</x:v>
      </x:c>
      <x:c r="M107" s="12"/>
      <x:c r="N107" s="12"/>
      <x:c r="O107" s="12"/>
    </x:row>
    <x:row r="108" ht="39" customHeight="1">
      <x:c r="A108" s="12" t="str">
        <x:v>696</x:v>
      </x:c>
      <x:c r="B108" s="12" t="str">
        <x:v>7153</x:v>
      </x:c>
      <x:c r="C108" s="12" t="str">
        <x:v>参考000</x:v>
      </x:c>
      <x:c r="D108" s="12" t="str">
        <x:v>自动000</x:v>
      </x:c>
      <x:c r="E108" s="12" t="n">
        <x:v>0</x:v>
      </x:c>
      <x:c r="F108" s="12" t="n">
        <x:v>0</x:v>
      </x:c>
      <x:c r="G108" s="12" t="n">
        <x:v>0</x:v>
      </x:c>
      <x:c r="H108" s="12" t="n">
        <x:f>IF(SUM(I108:K108)&gt;0,1,0)</x:f>
        <x:v>0</x:v>
      </x:c>
      <x:c r="I108" s="12" t="n">
        <x:f>IF('患者配对'!M90="positive",1,0)</x:f>
        <x:v>0</x:v>
      </x:c>
      <x:c r="J108" s="12" t="n">
        <x:f>IF('患者配对'!R90="positive",1,0)</x:f>
        <x:v>0</x:v>
      </x:c>
      <x:c r="K108" s="12" t="n">
        <x:f>IF('患者配对'!W90="positive",1,0)</x:f>
        <x:v>0</x:v>
      </x:c>
      <x:c r="L108" s="12" t="str">
        <x:v>由原件与原状态取得；仅主队列索引</x:v>
      </x:c>
      <x:c r="M108" s="12"/>
      <x:c r="N108" s="12"/>
      <x:c r="O108" s="12"/>
    </x:row>
    <x:row r="109" ht="39" customHeight="1">
      <x:c r="A109" s="12" t="str">
        <x:v>707</x:v>
      </x:c>
      <x:c r="B109" s="12" t="str">
        <x:v>962</x:v>
      </x:c>
      <x:c r="C109" s="12" t="str">
        <x:v>参考000</x:v>
      </x:c>
      <x:c r="D109" s="12" t="str">
        <x:v>自动000</x:v>
      </x:c>
      <x:c r="E109" s="12" t="n">
        <x:v>0</x:v>
      </x:c>
      <x:c r="F109" s="12" t="n">
        <x:v>0</x:v>
      </x:c>
      <x:c r="G109" s="12" t="n">
        <x:v>0</x:v>
      </x:c>
      <x:c r="H109" s="12" t="n">
        <x:f>IF(SUM(I109:K109)&gt;0,1,0)</x:f>
        <x:v>0</x:v>
      </x:c>
      <x:c r="I109" s="12" t="n">
        <x:f>IF('患者配对'!M91="positive",1,0)</x:f>
        <x:v>0</x:v>
      </x:c>
      <x:c r="J109" s="12" t="n">
        <x:f>IF('患者配对'!R91="positive",1,0)</x:f>
        <x:v>0</x:v>
      </x:c>
      <x:c r="K109" s="12" t="n">
        <x:f>IF('患者配对'!W91="positive",1,0)</x:f>
        <x:v>0</x:v>
      </x:c>
      <x:c r="L109" s="12" t="str">
        <x:v>由原件与原状态取得；仅主队列索引</x:v>
      </x:c>
      <x:c r="M109" s="12"/>
      <x:c r="N109" s="12"/>
      <x:c r="O109" s="12"/>
    </x:row>
    <x:row r="110" ht="39" customHeight="1">
      <x:c r="A110" s="12" t="str">
        <x:v>723</x:v>
      </x:c>
      <x:c r="B110" s="12" t="str">
        <x:v>1290</x:v>
      </x:c>
      <x:c r="C110" s="12" t="str">
        <x:v>参考000</x:v>
      </x:c>
      <x:c r="D110" s="12" t="str">
        <x:v>自动000</x:v>
      </x:c>
      <x:c r="E110" s="12" t="n">
        <x:v>0</x:v>
      </x:c>
      <x:c r="F110" s="12" t="n">
        <x:v>1</x:v>
      </x:c>
      <x:c r="G110" s="12" t="n">
        <x:v>0</x:v>
      </x:c>
      <x:c r="H110" s="12" t="n">
        <x:f>IF(SUM(I110:K110)&gt;0,1,0)</x:f>
        <x:v>0</x:v>
      </x:c>
      <x:c r="I110" s="12" t="n">
        <x:f>IF('患者配对'!M92="positive",1,0)</x:f>
        <x:v>0</x:v>
      </x:c>
      <x:c r="J110" s="12" t="n">
        <x:f>IF('患者配对'!R92="positive",1,0)</x:f>
        <x:v>0</x:v>
      </x:c>
      <x:c r="K110" s="12" t="n">
        <x:f>IF('患者配对'!W92="positive",1,0)</x:f>
        <x:v>0</x:v>
      </x:c>
      <x:c r="L110" s="12" t="str">
        <x:v>由原件与原状态取得；仅主队列索引</x:v>
      </x:c>
      <x:c r="M110" s="12"/>
      <x:c r="N110" s="12"/>
      <x:c r="O110" s="12"/>
    </x:row>
    <x:row r="111" ht="39" customHeight="1">
      <x:c r="A111" s="12" t="str">
        <x:v>726</x:v>
      </x:c>
      <x:c r="B111" s="12" t="str">
        <x:v>3280</x:v>
      </x:c>
      <x:c r="C111" s="12" t="str">
        <x:v>参考000</x:v>
      </x:c>
      <x:c r="D111" s="12" t="str">
        <x:v>自动000</x:v>
      </x:c>
      <x:c r="E111" s="12" t="n">
        <x:v>0</x:v>
      </x:c>
      <x:c r="F111" s="12" t="n">
        <x:v>0</x:v>
      </x:c>
      <x:c r="G111" s="12" t="n">
        <x:v>0</x:v>
      </x:c>
      <x:c r="H111" s="12" t="n">
        <x:f>IF(SUM(I111:K111)&gt;0,1,0)</x:f>
        <x:v>0</x:v>
      </x:c>
      <x:c r="I111" s="12" t="n">
        <x:f>IF('患者配对'!M93="positive",1,0)</x:f>
        <x:v>0</x:v>
      </x:c>
      <x:c r="J111" s="12" t="n">
        <x:f>IF('患者配对'!R93="positive",1,0)</x:f>
        <x:v>0</x:v>
      </x:c>
      <x:c r="K111" s="12" t="n">
        <x:f>IF('患者配对'!W93="positive",1,0)</x:f>
        <x:v>0</x:v>
      </x:c>
      <x:c r="L111" s="12" t="str">
        <x:v>由原件与原状态取得；仅主队列索引</x:v>
      </x:c>
      <x:c r="M111" s="12"/>
      <x:c r="N111" s="12"/>
      <x:c r="O111" s="12"/>
    </x:row>
    <x:row r="112" ht="39" customHeight="1">
      <x:c r="A112" s="12" t="str">
        <x:v>732</x:v>
      </x:c>
      <x:c r="B112" s="12" t="str">
        <x:v>3289</x:v>
      </x:c>
      <x:c r="C112" s="12" t="str">
        <x:v>参考000</x:v>
      </x:c>
      <x:c r="D112" s="12" t="str">
        <x:v>自动000</x:v>
      </x:c>
      <x:c r="E112" s="12" t="n">
        <x:v>0</x:v>
      </x:c>
      <x:c r="F112" s="12" t="n">
        <x:v>0</x:v>
      </x:c>
      <x:c r="G112" s="12" t="n">
        <x:v>0</x:v>
      </x:c>
      <x:c r="H112" s="12" t="n">
        <x:f>IF(SUM(I112:K112)&gt;0,1,0)</x:f>
        <x:v>0</x:v>
      </x:c>
      <x:c r="I112" s="12" t="n">
        <x:f>IF('患者配对'!M94="positive",1,0)</x:f>
        <x:v>0</x:v>
      </x:c>
      <x:c r="J112" s="12" t="n">
        <x:f>IF('患者配对'!R94="positive",1,0)</x:f>
        <x:v>0</x:v>
      </x:c>
      <x:c r="K112" s="12" t="n">
        <x:f>IF('患者配对'!W94="positive",1,0)</x:f>
        <x:v>0</x:v>
      </x:c>
      <x:c r="L112" s="12" t="str">
        <x:v>由原件与原状态取得；仅主队列索引</x:v>
      </x:c>
      <x:c r="M112" s="12"/>
      <x:c r="N112" s="12"/>
      <x:c r="O112" s="12"/>
    </x:row>
    <x:row r="113" ht="39" customHeight="1">
      <x:c r="A113" s="12" t="str">
        <x:v>751</x:v>
      </x:c>
      <x:c r="B113" s="12" t="str">
        <x:v>419</x:v>
      </x:c>
      <x:c r="C113" s="12" t="str">
        <x:v>参考000</x:v>
      </x:c>
      <x:c r="D113" s="12" t="str">
        <x:v>自动000</x:v>
      </x:c>
      <x:c r="E113" s="12" t="n">
        <x:v>0</x:v>
      </x:c>
      <x:c r="F113" s="12" t="n">
        <x:v>0</x:v>
      </x:c>
      <x:c r="G113" s="12" t="n">
        <x:v>0</x:v>
      </x:c>
      <x:c r="H113" s="12" t="n">
        <x:f>IF(SUM(I113:K113)&gt;0,1,0)</x:f>
        <x:v>0</x:v>
      </x:c>
      <x:c r="I113" s="12" t="n">
        <x:f>IF('患者配对'!M95="positive",1,0)</x:f>
        <x:v>0</x:v>
      </x:c>
      <x:c r="J113" s="12" t="n">
        <x:f>IF('患者配对'!R95="positive",1,0)</x:f>
        <x:v>0</x:v>
      </x:c>
      <x:c r="K113" s="12" t="n">
        <x:f>IF('患者配对'!W95="positive",1,0)</x:f>
        <x:v>0</x:v>
      </x:c>
      <x:c r="L113" s="12" t="str">
        <x:v>由原件与原状态取得；仅主队列索引</x:v>
      </x:c>
      <x:c r="M113" s="12"/>
      <x:c r="N113" s="12"/>
      <x:c r="O113" s="12"/>
    </x:row>
    <x:row r="114" ht="39" customHeight="1">
      <x:c r="A114" s="12" t="str">
        <x:v>756</x:v>
      </x:c>
      <x:c r="B114" s="12" t="str">
        <x:v>4037</x:v>
      </x:c>
      <x:c r="C114" s="12" t="str">
        <x:v>参考000</x:v>
      </x:c>
      <x:c r="D114" s="12" t="str">
        <x:v>自动000</x:v>
      </x:c>
      <x:c r="E114" s="12" t="n">
        <x:v>0</x:v>
      </x:c>
      <x:c r="F114" s="12" t="n">
        <x:v>1</x:v>
      </x:c>
      <x:c r="G114" s="12" t="n">
        <x:v>0</x:v>
      </x:c>
      <x:c r="H114" s="12" t="n">
        <x:f>IF(SUM(I114:K114)&gt;0,1,0)</x:f>
        <x:v>0</x:v>
      </x:c>
      <x:c r="I114" s="12" t="n">
        <x:f>IF('患者配对'!M96="positive",1,0)</x:f>
        <x:v>0</x:v>
      </x:c>
      <x:c r="J114" s="12" t="n">
        <x:f>IF('患者配对'!R96="positive",1,0)</x:f>
        <x:v>0</x:v>
      </x:c>
      <x:c r="K114" s="12" t="n">
        <x:f>IF('患者配对'!W96="positive",1,0)</x:f>
        <x:v>0</x:v>
      </x:c>
      <x:c r="L114" s="12" t="str">
        <x:v>由原件与原状态取得；仅主队列索引</x:v>
      </x:c>
      <x:c r="M114" s="12"/>
      <x:c r="N114" s="12"/>
      <x:c r="O114" s="12"/>
    </x:row>
    <x:row r="115" ht="39" customHeight="1">
      <x:c r="A115" s="12" t="str">
        <x:v>764</x:v>
      </x:c>
      <x:c r="B115" s="12" t="str">
        <x:v>7309</x:v>
      </x:c>
      <x:c r="C115" s="12" t="str">
        <x:v>参考000</x:v>
      </x:c>
      <x:c r="D115" s="12" t="str">
        <x:v>自动000</x:v>
      </x:c>
      <x:c r="E115" s="12" t="n">
        <x:v>0</x:v>
      </x:c>
      <x:c r="F115" s="12" t="n">
        <x:v>0</x:v>
      </x:c>
      <x:c r="G115" s="12" t="n">
        <x:v>0</x:v>
      </x:c>
      <x:c r="H115" s="12" t="n">
        <x:f>IF(SUM(I115:K115)&gt;0,1,0)</x:f>
        <x:v>0</x:v>
      </x:c>
      <x:c r="I115" s="12" t="n">
        <x:f>IF('患者配对'!M98="positive",1,0)</x:f>
        <x:v>0</x:v>
      </x:c>
      <x:c r="J115" s="12" t="n">
        <x:f>IF('患者配对'!R98="positive",1,0)</x:f>
        <x:v>0</x:v>
      </x:c>
      <x:c r="K115" s="12" t="n">
        <x:f>IF('患者配对'!W98="positive",1,0)</x:f>
        <x:v>0</x:v>
      </x:c>
      <x:c r="L115" s="12" t="str">
        <x:v>由原件与原状态取得；仅主队列索引</x:v>
      </x:c>
      <x:c r="M115" s="12"/>
      <x:c r="N115" s="12"/>
      <x:c r="O115" s="12"/>
    </x:row>
    <x:row r="116" ht="39" customHeight="1">
      <x:c r="A116" s="12" t="str">
        <x:v>765</x:v>
      </x:c>
      <x:c r="B116" s="12" t="str">
        <x:v>3194</x:v>
      </x:c>
      <x:c r="C116" s="12" t="str">
        <x:v>参考000</x:v>
      </x:c>
      <x:c r="D116" s="12" t="str">
        <x:v>自动000</x:v>
      </x:c>
      <x:c r="E116" s="12" t="n">
        <x:v>0</x:v>
      </x:c>
      <x:c r="F116" s="12" t="n">
        <x:v>0</x:v>
      </x:c>
      <x:c r="G116" s="12" t="n">
        <x:v>0</x:v>
      </x:c>
      <x:c r="H116" s="12" t="n">
        <x:f>IF(SUM(I116:K116)&gt;0,1,0)</x:f>
        <x:v>0</x:v>
      </x:c>
      <x:c r="I116" s="12" t="n">
        <x:f>IF('患者配对'!M99="positive",1,0)</x:f>
        <x:v>0</x:v>
      </x:c>
      <x:c r="J116" s="12" t="n">
        <x:f>IF('患者配对'!R99="positive",1,0)</x:f>
        <x:v>0</x:v>
      </x:c>
      <x:c r="K116" s="12" t="n">
        <x:f>IF('患者配对'!W99="positive",1,0)</x:f>
        <x:v>0</x:v>
      </x:c>
      <x:c r="L116" s="12" t="str">
        <x:v>由原件与原状态取得；仅主队列索引</x:v>
      </x:c>
      <x:c r="M116" s="12"/>
      <x:c r="N116" s="12"/>
      <x:c r="O116" s="12"/>
    </x:row>
    <x:row r="117" ht="39" customHeight="1">
      <x:c r="A117" s="12" t="str">
        <x:v>775</x:v>
      </x:c>
      <x:c r="B117" s="12" t="str">
        <x:v>20803</x:v>
      </x:c>
      <x:c r="C117" s="12" t="str">
        <x:v>参考000</x:v>
      </x:c>
      <x:c r="D117" s="12" t="str">
        <x:v>自动000</x:v>
      </x:c>
      <x:c r="E117" s="12" t="n">
        <x:v>0</x:v>
      </x:c>
      <x:c r="F117" s="12" t="n">
        <x:v>0</x:v>
      </x:c>
      <x:c r="G117" s="12" t="n">
        <x:v>0</x:v>
      </x:c>
      <x:c r="H117" s="12" t="n">
        <x:f>IF(SUM(I117:K117)&gt;0,1,0)</x:f>
        <x:v>0</x:v>
      </x:c>
      <x:c r="I117" s="12" t="n">
        <x:f>IF('患者配对'!M100="positive",1,0)</x:f>
        <x:v>0</x:v>
      </x:c>
      <x:c r="J117" s="12" t="n">
        <x:f>IF('患者配对'!R100="positive",1,0)</x:f>
        <x:v>0</x:v>
      </x:c>
      <x:c r="K117" s="12" t="n">
        <x:f>IF('患者配对'!W100="positive",1,0)</x:f>
        <x:v>0</x:v>
      </x:c>
      <x:c r="L117" s="12" t="str">
        <x:v>由原件与原状态取得；仅主队列索引</x:v>
      </x:c>
      <x:c r="M117" s="12"/>
      <x:c r="N117" s="12"/>
      <x:c r="O117" s="12"/>
    </x:row>
    <x:row r="118" ht="39" customHeight="1">
      <x:c r="A118" s="12" t="str">
        <x:v>779</x:v>
      </x:c>
      <x:c r="B118" s="12" t="str">
        <x:v>20190</x:v>
      </x:c>
      <x:c r="C118" s="12" t="str">
        <x:v>参考000</x:v>
      </x:c>
      <x:c r="D118" s="12" t="str">
        <x:v>自动000</x:v>
      </x:c>
      <x:c r="E118" s="12" t="n">
        <x:v>0</x:v>
      </x:c>
      <x:c r="F118" s="12" t="n">
        <x:v>0</x:v>
      </x:c>
      <x:c r="G118" s="12" t="n">
        <x:v>0</x:v>
      </x:c>
      <x:c r="H118" s="12" t="n">
        <x:f>IF(SUM(I118:K118)&gt;0,1,0)</x:f>
        <x:v>0</x:v>
      </x:c>
      <x:c r="I118" s="12" t="n">
        <x:f>IF('患者配对'!M101="positive",1,0)</x:f>
        <x:v>0</x:v>
      </x:c>
      <x:c r="J118" s="12" t="n">
        <x:f>IF('患者配对'!R101="positive",1,0)</x:f>
        <x:v>0</x:v>
      </x:c>
      <x:c r="K118" s="12" t="n">
        <x:f>IF('患者配对'!W101="positive",1,0)</x:f>
        <x:v>0</x:v>
      </x:c>
      <x:c r="L118" s="12" t="str">
        <x:v>由原件与原状态取得；仅主队列索引</x:v>
      </x:c>
      <x:c r="M118" s="12"/>
      <x:c r="N118" s="12"/>
      <x:c r="O118" s="12"/>
    </x:row>
    <x:row r="119" ht="39" customHeight="1">
      <x:c r="A119" s="12" t="str">
        <x:v>789</x:v>
      </x:c>
      <x:c r="B119" s="12" t="str">
        <x:v>8997</x:v>
      </x:c>
      <x:c r="C119" s="12" t="str">
        <x:v>参考000</x:v>
      </x:c>
      <x:c r="D119" s="12" t="str">
        <x:v>自动000</x:v>
      </x:c>
      <x:c r="E119" s="12" t="n">
        <x:v>0</x:v>
      </x:c>
      <x:c r="F119" s="12" t="n">
        <x:v>0</x:v>
      </x:c>
      <x:c r="G119" s="12" t="n">
        <x:v>0</x:v>
      </x:c>
      <x:c r="H119" s="12" t="n">
        <x:f>IF(SUM(I119:K119)&gt;0,1,0)</x:f>
        <x:v>0</x:v>
      </x:c>
      <x:c r="I119" s="12" t="n">
        <x:f>IF('患者配对'!M102="positive",1,0)</x:f>
        <x:v>0</x:v>
      </x:c>
      <x:c r="J119" s="12" t="n">
        <x:f>IF('患者配对'!R102="positive",1,0)</x:f>
        <x:v>0</x:v>
      </x:c>
      <x:c r="K119" s="12" t="n">
        <x:f>IF('患者配对'!W102="positive",1,0)</x:f>
        <x:v>0</x:v>
      </x:c>
      <x:c r="L119" s="12" t="str">
        <x:v>由原件与原状态取得；仅主队列索引</x:v>
      </x:c>
      <x:c r="M119" s="12"/>
      <x:c r="N119" s="12"/>
      <x:c r="O119" s="12"/>
    </x:row>
    <x:row r="120" ht="39" customHeight="1">
      <x:c r="A120" s="12" t="str">
        <x:v>795</x:v>
      </x:c>
      <x:c r="B120" s="12" t="str">
        <x:v>20029</x:v>
      </x:c>
      <x:c r="C120" s="12" t="str">
        <x:v>参考000</x:v>
      </x:c>
      <x:c r="D120" s="12" t="str">
        <x:v>自动000</x:v>
      </x:c>
      <x:c r="E120" s="12" t="n">
        <x:v>0</x:v>
      </x:c>
      <x:c r="F120" s="12" t="n">
        <x:v>0</x:v>
      </x:c>
      <x:c r="G120" s="12" t="n">
        <x:v>0</x:v>
      </x:c>
      <x:c r="H120" s="12" t="n">
        <x:f>IF(SUM(I120:K120)&gt;0,1,0)</x:f>
        <x:v>0</x:v>
      </x:c>
      <x:c r="I120" s="12" t="n">
        <x:f>IF('患者配对'!M103="positive",1,0)</x:f>
        <x:v>0</x:v>
      </x:c>
      <x:c r="J120" s="12" t="n">
        <x:f>IF('患者配对'!R103="positive",1,0)</x:f>
        <x:v>0</x:v>
      </x:c>
      <x:c r="K120" s="12" t="n">
        <x:f>IF('患者配对'!W103="positive",1,0)</x:f>
        <x:v>0</x:v>
      </x:c>
      <x:c r="L120" s="12" t="str">
        <x:v>由原件与原状态取得；仅主队列索引</x:v>
      </x:c>
      <x:c r="M120" s="12"/>
      <x:c r="N120" s="12"/>
      <x:c r="O120" s="12"/>
    </x:row>
    <x:row r="121" ht="39" customHeight="1">
      <x:c r="A121" s="12" t="str">
        <x:v>799</x:v>
      </x:c>
      <x:c r="B121" s="12" t="str">
        <x:v>18739</x:v>
      </x:c>
      <x:c r="C121" s="12" t="str">
        <x:v>参考000</x:v>
      </x:c>
      <x:c r="D121" s="12" t="str">
        <x:v>自动000</x:v>
      </x:c>
      <x:c r="E121" s="12" t="n">
        <x:v>0</x:v>
      </x:c>
      <x:c r="F121" s="12" t="n">
        <x:v>1</x:v>
      </x:c>
      <x:c r="G121" s="12" t="n">
        <x:v>0</x:v>
      </x:c>
      <x:c r="H121" s="12" t="n">
        <x:f>IF(SUM(I121:K121)&gt;0,1,0)</x:f>
        <x:v>0</x:v>
      </x:c>
      <x:c r="I121" s="12" t="n">
        <x:f>IF('患者配对'!M104="positive",1,0)</x:f>
        <x:v>0</x:v>
      </x:c>
      <x:c r="J121" s="12" t="n">
        <x:f>IF('患者配对'!R104="positive",1,0)</x:f>
        <x:v>0</x:v>
      </x:c>
      <x:c r="K121" s="12" t="n">
        <x:f>IF('患者配对'!W104="positive",1,0)</x:f>
        <x:v>0</x:v>
      </x:c>
      <x:c r="L121" s="12" t="str">
        <x:v>由原件与原状态取得；仅主队列索引</x:v>
      </x:c>
      <x:c r="M121" s="12"/>
      <x:c r="N121" s="12"/>
      <x:c r="O121" s="12"/>
    </x:row>
    <x:row r="122" ht="39" customHeight="1">
      <x:c r="A122" s="12" t="str">
        <x:v>805</x:v>
      </x:c>
      <x:c r="B122" s="12" t="str">
        <x:v>14400</x:v>
      </x:c>
      <x:c r="C122" s="12" t="str">
        <x:v>参考000</x:v>
      </x:c>
      <x:c r="D122" s="12" t="str">
        <x:v>自动000</x:v>
      </x:c>
      <x:c r="E122" s="12" t="n">
        <x:v>0</x:v>
      </x:c>
      <x:c r="F122" s="12" t="n">
        <x:v>0</x:v>
      </x:c>
      <x:c r="G122" s="12" t="n">
        <x:v>0</x:v>
      </x:c>
      <x:c r="H122" s="12" t="n">
        <x:f>IF(SUM(I122:K122)&gt;0,1,0)</x:f>
        <x:v>0</x:v>
      </x:c>
      <x:c r="I122" s="12" t="n">
        <x:f>IF('患者配对'!M105="positive",1,0)</x:f>
        <x:v>0</x:v>
      </x:c>
      <x:c r="J122" s="12" t="n">
        <x:f>IF('患者配对'!R105="positive",1,0)</x:f>
        <x:v>0</x:v>
      </x:c>
      <x:c r="K122" s="12" t="n">
        <x:f>IF('患者配对'!W105="positive",1,0)</x:f>
        <x:v>0</x:v>
      </x:c>
      <x:c r="L122" s="12" t="str">
        <x:v>由原件与原状态取得；仅主队列索引</x:v>
      </x:c>
      <x:c r="M122" s="12"/>
      <x:c r="N122" s="12"/>
      <x:c r="O122" s="12"/>
    </x:row>
    <x:row r="123" ht="39" customHeight="1">
      <x:c r="A123" s="12" t="str">
        <x:v>806</x:v>
      </x:c>
      <x:c r="B123" s="12" t="str">
        <x:v>16040</x:v>
      </x:c>
      <x:c r="C123" s="12" t="str">
        <x:v>参考000</x:v>
      </x:c>
      <x:c r="D123" s="12" t="str">
        <x:v>自动000</x:v>
      </x:c>
      <x:c r="E123" s="12" t="n">
        <x:v>0</x:v>
      </x:c>
      <x:c r="F123" s="12" t="n">
        <x:v>0</x:v>
      </x:c>
      <x:c r="G123" s="12" t="n">
        <x:v>0</x:v>
      </x:c>
      <x:c r="H123" s="12" t="n">
        <x:f>IF(SUM(I123:K123)&gt;0,1,0)</x:f>
        <x:v>0</x:v>
      </x:c>
      <x:c r="I123" s="12" t="n">
        <x:f>IF('患者配对'!M106="positive",1,0)</x:f>
        <x:v>0</x:v>
      </x:c>
      <x:c r="J123" s="12" t="n">
        <x:f>IF('患者配对'!R106="positive",1,0)</x:f>
        <x:v>0</x:v>
      </x:c>
      <x:c r="K123" s="12" t="n">
        <x:f>IF('患者配对'!W106="positive",1,0)</x:f>
        <x:v>0</x:v>
      </x:c>
      <x:c r="L123" s="12" t="str">
        <x:v>由原件与原状态取得；仅主队列索引</x:v>
      </x:c>
      <x:c r="M123" s="12"/>
      <x:c r="N123" s="12"/>
      <x:c r="O123" s="12"/>
    </x:row>
    <x:row r="124" ht="39" customHeight="1">
      <x:c r="A124" s="12" t="str">
        <x:v>821</x:v>
      </x:c>
      <x:c r="B124" s="12" t="str">
        <x:v>21490</x:v>
      </x:c>
      <x:c r="C124" s="12" t="str">
        <x:v>参考000</x:v>
      </x:c>
      <x:c r="D124" s="12" t="str">
        <x:v>自动000</x:v>
      </x:c>
      <x:c r="E124" s="12" t="n">
        <x:v>0</x:v>
      </x:c>
      <x:c r="F124" s="12" t="n">
        <x:v>1</x:v>
      </x:c>
      <x:c r="G124" s="12" t="n">
        <x:v>0</x:v>
      </x:c>
      <x:c r="H124" s="12" t="n">
        <x:f>IF(SUM(I124:K124)&gt;0,1,0)</x:f>
        <x:v>0</x:v>
      </x:c>
      <x:c r="I124" s="12" t="n">
        <x:f>IF('患者配对'!M107="positive",1,0)</x:f>
        <x:v>0</x:v>
      </x:c>
      <x:c r="J124" s="12" t="n">
        <x:f>IF('患者配对'!R107="positive",1,0)</x:f>
        <x:v>0</x:v>
      </x:c>
      <x:c r="K124" s="12" t="n">
        <x:f>IF('患者配对'!W107="positive",1,0)</x:f>
        <x:v>0</x:v>
      </x:c>
      <x:c r="L124" s="12" t="str">
        <x:v>由原件与原状态取得；仅主队列索引</x:v>
      </x:c>
      <x:c r="M124" s="12"/>
      <x:c r="N124" s="12"/>
      <x:c r="O124" s="12"/>
    </x:row>
    <x:row r="125" ht="39" customHeight="1">
      <x:c r="A125" s="12" t="str">
        <x:v>848</x:v>
      </x:c>
      <x:c r="B125" s="12" t="str">
        <x:v>7516</x:v>
      </x:c>
      <x:c r="C125" s="12" t="str">
        <x:v>参考000</x:v>
      </x:c>
      <x:c r="D125" s="12" t="str">
        <x:v>自动000</x:v>
      </x:c>
      <x:c r="E125" s="12" t="n">
        <x:v>0</x:v>
      </x:c>
      <x:c r="F125" s="12" t="n">
        <x:v>0</x:v>
      </x:c>
      <x:c r="G125" s="12" t="n">
        <x:v>0</x:v>
      </x:c>
      <x:c r="H125" s="12" t="n">
        <x:f>IF(SUM(I125:K125)&gt;0,1,0)</x:f>
        <x:v>0</x:v>
      </x:c>
      <x:c r="I125" s="12" t="n">
        <x:f>IF('患者配对'!M108="positive",1,0)</x:f>
        <x:v>0</x:v>
      </x:c>
      <x:c r="J125" s="12" t="n">
        <x:f>IF('患者配对'!R108="positive",1,0)</x:f>
        <x:v>0</x:v>
      </x:c>
      <x:c r="K125" s="12" t="n">
        <x:f>IF('患者配对'!W108="positive",1,0)</x:f>
        <x:v>0</x:v>
      </x:c>
      <x:c r="L125" s="12" t="str">
        <x:v>由原件与原状态取得；仅主队列索引</x:v>
      </x:c>
      <x:c r="M125" s="12"/>
      <x:c r="N125" s="12"/>
      <x:c r="O125" s="12"/>
    </x:row>
    <x:row r="126" ht="39" customHeight="1">
      <x:c r="A126" s="12" t="str">
        <x:v>854</x:v>
      </x:c>
      <x:c r="B126" s="12" t="str">
        <x:v>4319</x:v>
      </x:c>
      <x:c r="C126" s="12" t="str">
        <x:v>参考000</x:v>
      </x:c>
      <x:c r="D126" s="12" t="str">
        <x:v>自动000</x:v>
      </x:c>
      <x:c r="E126" s="12" t="n">
        <x:v>0</x:v>
      </x:c>
      <x:c r="F126" s="12" t="n">
        <x:v>0</x:v>
      </x:c>
      <x:c r="G126" s="12" t="n">
        <x:v>0</x:v>
      </x:c>
      <x:c r="H126" s="12" t="n">
        <x:f>IF(SUM(I126:K126)&gt;0,1,0)</x:f>
        <x:v>0</x:v>
      </x:c>
      <x:c r="I126" s="12" t="n">
        <x:f>IF('患者配对'!M109="positive",1,0)</x:f>
        <x:v>0</x:v>
      </x:c>
      <x:c r="J126" s="12" t="n">
        <x:f>IF('患者配对'!R109="positive",1,0)</x:f>
        <x:v>0</x:v>
      </x:c>
      <x:c r="K126" s="12" t="n">
        <x:f>IF('患者配对'!W109="positive",1,0)</x:f>
        <x:v>0</x:v>
      </x:c>
      <x:c r="L126" s="12" t="str">
        <x:v>由原件与原状态取得；仅主队列索引</x:v>
      </x:c>
      <x:c r="M126" s="12"/>
      <x:c r="N126" s="12"/>
      <x:c r="O126" s="12"/>
    </x:row>
    <x:row r="127" ht="39" customHeight="1">
      <x:c r="A127" s="12" t="str">
        <x:v>861</x:v>
      </x:c>
      <x:c r="B127" s="12" t="str">
        <x:v>1432</x:v>
      </x:c>
      <x:c r="C127" s="12" t="str">
        <x:v>参考000</x:v>
      </x:c>
      <x:c r="D127" s="12" t="str">
        <x:v>自动000</x:v>
      </x:c>
      <x:c r="E127" s="12" t="n">
        <x:v>0</x:v>
      </x:c>
      <x:c r="F127" s="12" t="n">
        <x:v>0</x:v>
      </x:c>
      <x:c r="G127" s="12" t="n">
        <x:v>0</x:v>
      </x:c>
      <x:c r="H127" s="12" t="n">
        <x:f>IF(SUM(I127:K127)&gt;0,1,0)</x:f>
        <x:v>0</x:v>
      </x:c>
      <x:c r="I127" s="12" t="n">
        <x:f>IF('患者配对'!M110="positive",1,0)</x:f>
        <x:v>0</x:v>
      </x:c>
      <x:c r="J127" s="12" t="n">
        <x:f>IF('患者配对'!R110="positive",1,0)</x:f>
        <x:v>0</x:v>
      </x:c>
      <x:c r="K127" s="12" t="n">
        <x:f>IF('患者配对'!W110="positive",1,0)</x:f>
        <x:v>0</x:v>
      </x:c>
      <x:c r="L127" s="12" t="str">
        <x:v>由原件与原状态取得；仅主队列索引</x:v>
      </x:c>
      <x:c r="M127" s="12"/>
      <x:c r="N127" s="12"/>
      <x:c r="O127" s="12"/>
    </x:row>
    <x:row r="128" ht="39" customHeight="1">
      <x:c r="A128" s="12" t="str">
        <x:v>886</x:v>
      </x:c>
      <x:c r="B128" s="12" t="str">
        <x:v>3744</x:v>
      </x:c>
      <x:c r="C128" s="12" t="str">
        <x:v>参考000</x:v>
      </x:c>
      <x:c r="D128" s="12" t="str">
        <x:v>自动000</x:v>
      </x:c>
      <x:c r="E128" s="12" t="n">
        <x:v>0</x:v>
      </x:c>
      <x:c r="F128" s="12" t="n">
        <x:v>0</x:v>
      </x:c>
      <x:c r="G128" s="12" t="n">
        <x:v>0</x:v>
      </x:c>
      <x:c r="H128" s="12" t="n">
        <x:f>IF(SUM(I128:K128)&gt;0,1,0)</x:f>
        <x:v>0</x:v>
      </x:c>
      <x:c r="I128" s="12" t="n">
        <x:f>IF('患者配对'!M111="positive",1,0)</x:f>
        <x:v>0</x:v>
      </x:c>
      <x:c r="J128" s="12" t="n">
        <x:f>IF('患者配对'!R111="positive",1,0)</x:f>
        <x:v>0</x:v>
      </x:c>
      <x:c r="K128" s="12" t="n">
        <x:f>IF('患者配对'!W111="positive",1,0)</x:f>
        <x:v>0</x:v>
      </x:c>
      <x:c r="L128" s="12" t="str">
        <x:v>由原件与原状态取得；仅主队列索引</x:v>
      </x:c>
      <x:c r="M128" s="12"/>
      <x:c r="N128" s="12"/>
      <x:c r="O128" s="12"/>
    </x:row>
    <x:row r="129" ht="39" customHeight="1">
      <x:c r="A129" s="12" t="str">
        <x:v>892</x:v>
      </x:c>
      <x:c r="B129" s="12" t="str">
        <x:v>6569</x:v>
      </x:c>
      <x:c r="C129" s="12" t="str">
        <x:v>参考000</x:v>
      </x:c>
      <x:c r="D129" s="12" t="str">
        <x:v>自动000</x:v>
      </x:c>
      <x:c r="E129" s="12" t="n">
        <x:v>0</x:v>
      </x:c>
      <x:c r="F129" s="12" t="n">
        <x:v>0</x:v>
      </x:c>
      <x:c r="G129" s="12" t="n">
        <x:v>0</x:v>
      </x:c>
      <x:c r="H129" s="12" t="n">
        <x:f>IF(SUM(I129:K129)&gt;0,1,0)</x:f>
        <x:v>0</x:v>
      </x:c>
      <x:c r="I129" s="12" t="n">
        <x:f>IF('患者配对'!M112="positive",1,0)</x:f>
        <x:v>0</x:v>
      </x:c>
      <x:c r="J129" s="12" t="n">
        <x:f>IF('患者配对'!R112="positive",1,0)</x:f>
        <x:v>0</x:v>
      </x:c>
      <x:c r="K129" s="12" t="n">
        <x:f>IF('患者配对'!W112="positive",1,0)</x:f>
        <x:v>0</x:v>
      </x:c>
      <x:c r="L129" s="12" t="str">
        <x:v>由原件与原状态取得；仅主队列索引</x:v>
      </x:c>
      <x:c r="M129" s="12"/>
      <x:c r="N129" s="12"/>
      <x:c r="O129" s="12"/>
    </x:row>
    <x:row r="130" ht="39" customHeight="1">
      <x:c r="A130" s="12" t="str">
        <x:v>911</x:v>
      </x:c>
      <x:c r="B130" s="12" t="str">
        <x:v>6027</x:v>
      </x:c>
      <x:c r="C130" s="12" t="str">
        <x:v>参考000</x:v>
      </x:c>
      <x:c r="D130" s="12" t="str">
        <x:v>自动000</x:v>
      </x:c>
      <x:c r="E130" s="12" t="n">
        <x:v>0</x:v>
      </x:c>
      <x:c r="F130" s="12" t="n">
        <x:v>0</x:v>
      </x:c>
      <x:c r="G130" s="12" t="n">
        <x:v>0</x:v>
      </x:c>
      <x:c r="H130" s="12" t="n">
        <x:f>IF(SUM(I130:K130)&gt;0,1,0)</x:f>
        <x:v>0</x:v>
      </x:c>
      <x:c r="I130" s="12" t="n">
        <x:f>IF('患者配对'!M113="positive",1,0)</x:f>
        <x:v>0</x:v>
      </x:c>
      <x:c r="J130" s="12" t="n">
        <x:f>IF('患者配对'!R113="positive",1,0)</x:f>
        <x:v>0</x:v>
      </x:c>
      <x:c r="K130" s="12" t="n">
        <x:f>IF('患者配对'!W113="positive",1,0)</x:f>
        <x:v>0</x:v>
      </x:c>
      <x:c r="L130" s="12" t="str">
        <x:v>由原件与原状态取得；仅主队列索引</x:v>
      </x:c>
      <x:c r="M130" s="12"/>
      <x:c r="N130" s="12"/>
      <x:c r="O130" s="12"/>
    </x:row>
    <x:row r="131" ht="39" customHeight="1">
      <x:c r="A131" s="12" t="str">
        <x:v>917</x:v>
      </x:c>
      <x:c r="B131" s="12" t="str">
        <x:v>5200</x:v>
      </x:c>
      <x:c r="C131" s="12" t="str">
        <x:v>参考000</x:v>
      </x:c>
      <x:c r="D131" s="12" t="str">
        <x:v>自动000</x:v>
      </x:c>
      <x:c r="E131" s="12" t="n">
        <x:v>0</x:v>
      </x:c>
      <x:c r="F131" s="12" t="n">
        <x:v>0</x:v>
      </x:c>
      <x:c r="G131" s="12" t="n">
        <x:v>0</x:v>
      </x:c>
      <x:c r="H131" s="12" t="n">
        <x:f>IF(SUM(I131:K131)&gt;0,1,0)</x:f>
        <x:v>0</x:v>
      </x:c>
      <x:c r="I131" s="12" t="n">
        <x:f>IF('患者配对'!M114="positive",1,0)</x:f>
        <x:v>0</x:v>
      </x:c>
      <x:c r="J131" s="12" t="n">
        <x:f>IF('患者配对'!R114="positive",1,0)</x:f>
        <x:v>0</x:v>
      </x:c>
      <x:c r="K131" s="12" t="n">
        <x:f>IF('患者配对'!W114="positive",1,0)</x:f>
        <x:v>0</x:v>
      </x:c>
      <x:c r="L131" s="12" t="str">
        <x:v>由原件与原状态取得；仅主队列索引</x:v>
      </x:c>
      <x:c r="M131" s="12"/>
      <x:c r="N131" s="12"/>
      <x:c r="O131" s="12"/>
    </x:row>
    <x:row r="132" ht="39" customHeight="1">
      <x:c r="A132" s="12" t="str">
        <x:v>928</x:v>
      </x:c>
      <x:c r="B132" s="12" t="str">
        <x:v>4709</x:v>
      </x:c>
      <x:c r="C132" s="12" t="str">
        <x:v>参考000</x:v>
      </x:c>
      <x:c r="D132" s="12" t="str">
        <x:v>自动000</x:v>
      </x:c>
      <x:c r="E132" s="12" t="n">
        <x:v>0</x:v>
      </x:c>
      <x:c r="F132" s="12" t="n">
        <x:v>0</x:v>
      </x:c>
      <x:c r="G132" s="12" t="n">
        <x:v>0</x:v>
      </x:c>
      <x:c r="H132" s="12" t="n">
        <x:f>IF(SUM(I132:K132)&gt;0,1,0)</x:f>
        <x:v>0</x:v>
      </x:c>
      <x:c r="I132" s="12" t="n">
        <x:f>IF('患者配对'!M115="positive",1,0)</x:f>
        <x:v>0</x:v>
      </x:c>
      <x:c r="J132" s="12" t="n">
        <x:f>IF('患者配对'!R115="positive",1,0)</x:f>
        <x:v>0</x:v>
      </x:c>
      <x:c r="K132" s="12" t="n">
        <x:f>IF('患者配对'!W115="positive",1,0)</x:f>
        <x:v>0</x:v>
      </x:c>
      <x:c r="L132" s="12" t="str">
        <x:v>由原件与原状态取得；仅主队列索引</x:v>
      </x:c>
      <x:c r="M132" s="12"/>
      <x:c r="N132" s="12"/>
      <x:c r="O132" s="12"/>
    </x:row>
    <x:row r="133" ht="39" customHeight="1">
      <x:c r="A133" s="12" t="str">
        <x:v>931</x:v>
      </x:c>
      <x:c r="B133" s="12" t="str">
        <x:v>12493</x:v>
      </x:c>
      <x:c r="C133" s="12" t="str">
        <x:v>参考000</x:v>
      </x:c>
      <x:c r="D133" s="12" t="str">
        <x:v>自动000</x:v>
      </x:c>
      <x:c r="E133" s="12" t="n">
        <x:v>0</x:v>
      </x:c>
      <x:c r="F133" s="12" t="n">
        <x:v>0</x:v>
      </x:c>
      <x:c r="G133" s="12" t="n">
        <x:v>0</x:v>
      </x:c>
      <x:c r="H133" s="12" t="n">
        <x:f>IF(SUM(I133:K133)&gt;0,1,0)</x:f>
        <x:v>0</x:v>
      </x:c>
      <x:c r="I133" s="12" t="n">
        <x:f>IF('患者配对'!M116="positive",1,0)</x:f>
        <x:v>0</x:v>
      </x:c>
      <x:c r="J133" s="12" t="n">
        <x:f>IF('患者配对'!R116="positive",1,0)</x:f>
        <x:v>0</x:v>
      </x:c>
      <x:c r="K133" s="12" t="n">
        <x:f>IF('患者配对'!W116="positive",1,0)</x:f>
        <x:v>0</x:v>
      </x:c>
      <x:c r="L133" s="12" t="str">
        <x:v>由原件与原状态取得；仅主队列索引</x:v>
      </x:c>
      <x:c r="M133" s="12"/>
      <x:c r="N133" s="12"/>
      <x:c r="O133" s="12"/>
    </x:row>
    <x:row r="134" ht="39" customHeight="1">
      <x:c r="A134" s="12" t="str">
        <x:v>935</x:v>
      </x:c>
      <x:c r="B134" s="12" t="str">
        <x:v>13282</x:v>
      </x:c>
      <x:c r="C134" s="12" t="str">
        <x:v>参考000</x:v>
      </x:c>
      <x:c r="D134" s="12" t="str">
        <x:v>自动000</x:v>
      </x:c>
      <x:c r="E134" s="12" t="n">
        <x:v>0</x:v>
      </x:c>
      <x:c r="F134" s="12" t="n">
        <x:v>0</x:v>
      </x:c>
      <x:c r="G134" s="12" t="n">
        <x:v>0</x:v>
      </x:c>
      <x:c r="H134" s="12" t="n">
        <x:f>IF(SUM(I134:K134)&gt;0,1,0)</x:f>
        <x:v>0</x:v>
      </x:c>
      <x:c r="I134" s="12" t="n">
        <x:f>IF('患者配对'!M117="positive",1,0)</x:f>
        <x:v>0</x:v>
      </x:c>
      <x:c r="J134" s="12" t="n">
        <x:f>IF('患者配对'!R117="positive",1,0)</x:f>
        <x:v>0</x:v>
      </x:c>
      <x:c r="K134" s="12" t="n">
        <x:f>IF('患者配对'!W117="positive",1,0)</x:f>
        <x:v>0</x:v>
      </x:c>
      <x:c r="L134" s="12" t="str">
        <x:v>由原件与原状态取得；仅主队列索引</x:v>
      </x:c>
      <x:c r="M134" s="12"/>
      <x:c r="N134" s="12"/>
      <x:c r="O134" s="12"/>
    </x:row>
    <x:row r="135" ht="39" customHeight="1">
      <x:c r="A135" s="12" t="str">
        <x:v>943</x:v>
      </x:c>
      <x:c r="B135" s="12" t="str">
        <x:v>3493</x:v>
      </x:c>
      <x:c r="C135" s="12" t="str">
        <x:v>参考000</x:v>
      </x:c>
      <x:c r="D135" s="12" t="str">
        <x:v>自动000</x:v>
      </x:c>
      <x:c r="E135" s="12" t="n">
        <x:v>0</x:v>
      </x:c>
      <x:c r="F135" s="12" t="n">
        <x:v>0</x:v>
      </x:c>
      <x:c r="G135" s="12" t="n">
        <x:v>0</x:v>
      </x:c>
      <x:c r="H135" s="12" t="n">
        <x:f>IF(SUM(I135:K135)&gt;0,1,0)</x:f>
        <x:v>0</x:v>
      </x:c>
      <x:c r="I135" s="12" t="n">
        <x:f>IF('患者配对'!M118="positive",1,0)</x:f>
        <x:v>0</x:v>
      </x:c>
      <x:c r="J135" s="12" t="n">
        <x:f>IF('患者配对'!R118="positive",1,0)</x:f>
        <x:v>0</x:v>
      </x:c>
      <x:c r="K135" s="12" t="n">
        <x:f>IF('患者配对'!W118="positive",1,0)</x:f>
        <x:v>0</x:v>
      </x:c>
      <x:c r="L135" s="12" t="str">
        <x:v>由原件与原状态取得；仅主队列索引</x:v>
      </x:c>
      <x:c r="M135" s="12"/>
      <x:c r="N135" s="12"/>
      <x:c r="O135" s="12"/>
    </x:row>
    <x:row r="136" ht="39" customHeight="1">
      <x:c r="A136" s="12" t="str">
        <x:v>947</x:v>
      </x:c>
      <x:c r="B136" s="12" t="str">
        <x:v>2560</x:v>
      </x:c>
      <x:c r="C136" s="12" t="str">
        <x:v>参考000</x:v>
      </x:c>
      <x:c r="D136" s="12" t="str">
        <x:v>自动000</x:v>
      </x:c>
      <x:c r="E136" s="12" t="n">
        <x:v>0</x:v>
      </x:c>
      <x:c r="F136" s="12" t="n">
        <x:v>0</x:v>
      </x:c>
      <x:c r="G136" s="12" t="n">
        <x:v>0</x:v>
      </x:c>
      <x:c r="H136" s="12" t="n">
        <x:f>IF(SUM(I136:K136)&gt;0,1,0)</x:f>
        <x:v>0</x:v>
      </x:c>
      <x:c r="I136" s="12" t="n">
        <x:f>IF('患者配对'!M119="positive",1,0)</x:f>
        <x:v>0</x:v>
      </x:c>
      <x:c r="J136" s="12" t="n">
        <x:f>IF('患者配对'!R119="positive",1,0)</x:f>
        <x:v>0</x:v>
      </x:c>
      <x:c r="K136" s="12" t="n">
        <x:f>IF('患者配对'!W119="positive",1,0)</x:f>
        <x:v>0</x:v>
      </x:c>
      <x:c r="L136" s="12" t="str">
        <x:v>由原件与原状态取得；仅主队列索引</x:v>
      </x:c>
      <x:c r="M136" s="12"/>
      <x:c r="N136" s="12"/>
      <x:c r="O136" s="12"/>
    </x:row>
    <x:row r="137" ht="39" customHeight="1">
      <x:c r="A137" s="12" t="str">
        <x:v>949</x:v>
      </x:c>
      <x:c r="B137" s="12" t="str">
        <x:v>2809</x:v>
      </x:c>
      <x:c r="C137" s="12" t="str">
        <x:v>参考000</x:v>
      </x:c>
      <x:c r="D137" s="12" t="str">
        <x:v>自动000</x:v>
      </x:c>
      <x:c r="E137" s="12" t="n">
        <x:v>0</x:v>
      </x:c>
      <x:c r="F137" s="12" t="n">
        <x:v>0</x:v>
      </x:c>
      <x:c r="G137" s="12" t="n">
        <x:v>0</x:v>
      </x:c>
      <x:c r="H137" s="12" t="n">
        <x:f>IF(SUM(I137:K137)&gt;0,1,0)</x:f>
        <x:v>0</x:v>
      </x:c>
      <x:c r="I137" s="12" t="n">
        <x:f>IF('患者配对'!M120="positive",1,0)</x:f>
        <x:v>0</x:v>
      </x:c>
      <x:c r="J137" s="12" t="n">
        <x:f>IF('患者配对'!R120="positive",1,0)</x:f>
        <x:v>0</x:v>
      </x:c>
      <x:c r="K137" s="12" t="n">
        <x:f>IF('患者配对'!W120="positive",1,0)</x:f>
        <x:v>0</x:v>
      </x:c>
      <x:c r="L137" s="12" t="str">
        <x:v>由原件与原状态取得；仅主队列索引</x:v>
      </x:c>
      <x:c r="M137" s="12"/>
      <x:c r="N137" s="12"/>
      <x:c r="O137" s="12"/>
    </x:row>
    <x:row r="138" ht="39" customHeight="1">
      <x:c r="A138" s="12" t="str">
        <x:v>950</x:v>
      </x:c>
      <x:c r="B138" s="12" t="str">
        <x:v>4533</x:v>
      </x:c>
      <x:c r="C138" s="12" t="str">
        <x:v>参考000</x:v>
      </x:c>
      <x:c r="D138" s="12" t="str">
        <x:v>自动001</x:v>
      </x:c>
      <x:c r="E138" s="12" t="n">
        <x:v>1</x:v>
      </x:c>
      <x:c r="F138" s="12" t="n">
        <x:v>1</x:v>
      </x:c>
      <x:c r="G138" s="12" t="n">
        <x:v>1</x:v>
      </x:c>
      <x:c r="H138" s="12" t="n">
        <x:f>IF(SUM(I138:K138)&gt;0,1,0)</x:f>
        <x:v>0</x:v>
      </x:c>
      <x:c r="I138" s="12" t="n">
        <x:f>IF('患者配对'!M121="positive",1,0)</x:f>
        <x:v>0</x:v>
      </x:c>
      <x:c r="J138" s="12" t="n">
        <x:f>IF('患者配对'!R121="positive",1,0)</x:f>
        <x:v>0</x:v>
      </x:c>
      <x:c r="K138" s="12" t="n">
        <x:f>IF('患者配对'!W121="positive",1,0)</x:f>
        <x:v>0</x:v>
      </x:c>
      <x:c r="L138" s="12" t="str">
        <x:v>由原件与原状态取得；仅主队列索引</x:v>
      </x:c>
      <x:c r="M138" s="12"/>
      <x:c r="N138" s="12"/>
      <x:c r="O138" s="12"/>
    </x:row>
    <x:row r="139" ht="39" customHeight="1">
      <x:c r="A139" s="12" t="str">
        <x:v>952</x:v>
      </x:c>
      <x:c r="B139" s="12" t="str">
        <x:v>1608</x:v>
      </x:c>
      <x:c r="C139" s="12" t="str">
        <x:v>参考000</x:v>
      </x:c>
      <x:c r="D139" s="12" t="str">
        <x:v>自动000</x:v>
      </x:c>
      <x:c r="E139" s="12" t="n">
        <x:v>0</x:v>
      </x:c>
      <x:c r="F139" s="12" t="n">
        <x:v>0</x:v>
      </x:c>
      <x:c r="G139" s="12" t="n">
        <x:v>0</x:v>
      </x:c>
      <x:c r="H139" s="12" t="n">
        <x:f>IF(SUM(I139:K139)&gt;0,1,0)</x:f>
        <x:v>0</x:v>
      </x:c>
      <x:c r="I139" s="12" t="n">
        <x:f>IF('患者配对'!M122="positive",1,0)</x:f>
        <x:v>0</x:v>
      </x:c>
      <x:c r="J139" s="12" t="n">
        <x:f>IF('患者配对'!R122="positive",1,0)</x:f>
        <x:v>0</x:v>
      </x:c>
      <x:c r="K139" s="12" t="n">
        <x:f>IF('患者配对'!W122="positive",1,0)</x:f>
        <x:v>0</x:v>
      </x:c>
      <x:c r="L139" s="12" t="str">
        <x:v>由原件与原状态取得；仅主队列索引</x:v>
      </x:c>
      <x:c r="M139" s="12"/>
      <x:c r="N139" s="12"/>
      <x:c r="O139" s="12"/>
    </x:row>
    <x:row r="140" ht="39" customHeight="1">
      <x:c r="A140" s="12" t="str">
        <x:v>958</x:v>
      </x:c>
      <x:c r="B140" s="12" t="str">
        <x:v>14961</x:v>
      </x:c>
      <x:c r="C140" s="12" t="str">
        <x:v>参考000</x:v>
      </x:c>
      <x:c r="D140" s="12" t="str">
        <x:v>自动000</x:v>
      </x:c>
      <x:c r="E140" s="12" t="n">
        <x:v>0</x:v>
      </x:c>
      <x:c r="F140" s="12" t="n">
        <x:v>1</x:v>
      </x:c>
      <x:c r="G140" s="12" t="n">
        <x:v>0</x:v>
      </x:c>
      <x:c r="H140" s="12" t="n">
        <x:f>IF(SUM(I140:K140)&gt;0,1,0)</x:f>
        <x:v>0</x:v>
      </x:c>
      <x:c r="I140" s="12" t="n">
        <x:f>IF('患者配对'!M123="positive",1,0)</x:f>
        <x:v>0</x:v>
      </x:c>
      <x:c r="J140" s="12" t="n">
        <x:f>IF('患者配对'!R123="positive",1,0)</x:f>
        <x:v>0</x:v>
      </x:c>
      <x:c r="K140" s="12" t="n">
        <x:f>IF('患者配对'!W123="positive",1,0)</x:f>
        <x:v>0</x:v>
      </x:c>
      <x:c r="L140" s="12" t="str">
        <x:v>由原件与原状态取得；仅主队列索引</x:v>
      </x:c>
      <x:c r="M140" s="12"/>
      <x:c r="N140" s="12"/>
      <x:c r="O140" s="12"/>
    </x:row>
    <x:row r="141" ht="39" customHeight="1">
      <x:c r="A141" s="12" t="str">
        <x:v>959</x:v>
      </x:c>
      <x:c r="B141" s="12" t="str">
        <x:v>1981</x:v>
      </x:c>
      <x:c r="C141" s="12" t="str">
        <x:v>参考000</x:v>
      </x:c>
      <x:c r="D141" s="12" t="str">
        <x:v>自动001</x:v>
      </x:c>
      <x:c r="E141" s="12" t="n">
        <x:v>1</x:v>
      </x:c>
      <x:c r="F141" s="12" t="n">
        <x:v>1</x:v>
      </x:c>
      <x:c r="G141" s="12" t="n">
        <x:v>1</x:v>
      </x:c>
      <x:c r="H141" s="12" t="n">
        <x:f>IF(SUM(I141:K141)&gt;0,1,0)</x:f>
        <x:v>0</x:v>
      </x:c>
      <x:c r="I141" s="12" t="n">
        <x:f>IF('患者配对'!M124="positive",1,0)</x:f>
        <x:v>0</x:v>
      </x:c>
      <x:c r="J141" s="12" t="n">
        <x:f>IF('患者配对'!R124="positive",1,0)</x:f>
        <x:v>0</x:v>
      </x:c>
      <x:c r="K141" s="12" t="n">
        <x:f>IF('患者配对'!W124="positive",1,0)</x:f>
        <x:v>0</x:v>
      </x:c>
      <x:c r="L141" s="12" t="str">
        <x:v>由原件与原状态取得；仅主队列索引</x:v>
      </x:c>
      <x:c r="M141" s="12"/>
      <x:c r="N141" s="12"/>
      <x:c r="O141" s="12"/>
    </x:row>
    <x:row r="142" ht="39" customHeight="1">
      <x:c r="A142" s="12" t="str">
        <x:v>963</x:v>
      </x:c>
      <x:c r="B142" s="12" t="str">
        <x:v>6546</x:v>
      </x:c>
      <x:c r="C142" s="12" t="str">
        <x:v>参考100</x:v>
      </x:c>
      <x:c r="D142" s="12" t="str">
        <x:v>自动100</x:v>
      </x:c>
      <x:c r="E142" s="12" t="n">
        <x:v>1</x:v>
      </x:c>
      <x:c r="F142" s="12" t="n">
        <x:v>1</x:v>
      </x:c>
      <x:c r="G142" s="12" t="n">
        <x:v>0</x:v>
      </x:c>
      <x:c r="H142" s="12" t="n">
        <x:f>IF(SUM(I142:K142)&gt;0,1,0)</x:f>
        <x:v>1</x:v>
      </x:c>
      <x:c r="I142" s="12" t="n">
        <x:f>IF('患者配对'!M125="positive",1,0)</x:f>
        <x:v>1</x:v>
      </x:c>
      <x:c r="J142" s="12" t="n">
        <x:f>IF('患者配对'!R125="positive",1,0)</x:f>
        <x:v>0</x:v>
      </x:c>
      <x:c r="K142" s="12" t="n">
        <x:f>IF('患者配对'!W125="positive",1,0)</x:f>
        <x:v>0</x:v>
      </x:c>
      <x:c r="L142" s="12" t="str">
        <x:v>由原件与原状态取得；仅主队列索引</x:v>
      </x:c>
      <x:c r="M142" s="12"/>
      <x:c r="N142" s="12"/>
      <x:c r="O142" s="12"/>
    </x:row>
    <x:row r="143" ht="39" customHeight="1">
      <x:c r="A143" s="12" t="str">
        <x:v>968</x:v>
      </x:c>
      <x:c r="B143" s="12" t="str">
        <x:v>4944</x:v>
      </x:c>
      <x:c r="C143" s="12" t="str">
        <x:v>参考000</x:v>
      </x:c>
      <x:c r="D143" s="12" t="str">
        <x:v>自动000</x:v>
      </x:c>
      <x:c r="E143" s="12" t="n">
        <x:v>0</x:v>
      </x:c>
      <x:c r="F143" s="12" t="n">
        <x:v>0</x:v>
      </x:c>
      <x:c r="G143" s="12" t="n">
        <x:v>0</x:v>
      </x:c>
      <x:c r="H143" s="12" t="n">
        <x:f>IF(SUM(I143:K143)&gt;0,1,0)</x:f>
        <x:v>0</x:v>
      </x:c>
      <x:c r="I143" s="12" t="n">
        <x:f>IF('患者配对'!M126="positive",1,0)</x:f>
        <x:v>0</x:v>
      </x:c>
      <x:c r="J143" s="12" t="n">
        <x:f>IF('患者配对'!R126="positive",1,0)</x:f>
        <x:v>0</x:v>
      </x:c>
      <x:c r="K143" s="12" t="n">
        <x:f>IF('患者配对'!W126="positive",1,0)</x:f>
        <x:v>0</x:v>
      </x:c>
      <x:c r="L143" s="12" t="str">
        <x:v>由原件与原状态取得；仅主队列索引</x:v>
      </x:c>
      <x:c r="M143" s="12"/>
      <x:c r="N143" s="12"/>
      <x:c r="O143" s="12"/>
    </x:row>
    <x:row r="144" ht="39" customHeight="1">
      <x:c r="A144" s="12" t="str">
        <x:v>975</x:v>
      </x:c>
      <x:c r="B144" s="12" t="str">
        <x:v>672</x:v>
      </x:c>
      <x:c r="C144" s="12" t="str">
        <x:v>参考000</x:v>
      </x:c>
      <x:c r="D144" s="12" t="str">
        <x:v>自动001</x:v>
      </x:c>
      <x:c r="E144" s="12" t="n">
        <x:v>1</x:v>
      </x:c>
      <x:c r="F144" s="12" t="n">
        <x:v>1</x:v>
      </x:c>
      <x:c r="G144" s="12" t="n">
        <x:v>1</x:v>
      </x:c>
      <x:c r="H144" s="12" t="n">
        <x:f>IF(SUM(I144:K144)&gt;0,1,0)</x:f>
        <x:v>0</x:v>
      </x:c>
      <x:c r="I144" s="12" t="n">
        <x:f>IF('患者配对'!M127="positive",1,0)</x:f>
        <x:v>0</x:v>
      </x:c>
      <x:c r="J144" s="12" t="n">
        <x:f>IF('患者配对'!R127="positive",1,0)</x:f>
        <x:v>0</x:v>
      </x:c>
      <x:c r="K144" s="12" t="n">
        <x:f>IF('患者配对'!W127="positive",1,0)</x:f>
        <x:v>0</x:v>
      </x:c>
      <x:c r="L144" s="12" t="str">
        <x:v>由原件与原状态取得；仅主队列索引</x:v>
      </x:c>
      <x:c r="M144" s="12"/>
      <x:c r="N144" s="12"/>
      <x:c r="O144" s="12"/>
    </x:row>
    <x:row r="145" ht="39" customHeight="1">
      <x:c r="A145" s="12" t="str">
        <x:v>1009</x:v>
      </x:c>
      <x:c r="B145" s="12" t="str">
        <x:v>2406</x:v>
      </x:c>
      <x:c r="C145" s="12" t="str">
        <x:v>参考000</x:v>
      </x:c>
      <x:c r="D145" s="12" t="str">
        <x:v>自动000</x:v>
      </x:c>
      <x:c r="E145" s="12" t="n">
        <x:v>0</x:v>
      </x:c>
      <x:c r="F145" s="12" t="n">
        <x:v>0</x:v>
      </x:c>
      <x:c r="G145" s="12" t="n">
        <x:v>0</x:v>
      </x:c>
      <x:c r="H145" s="12" t="n">
        <x:f>IF(SUM(I145:K145)&gt;0,1,0)</x:f>
        <x:v>0</x:v>
      </x:c>
      <x:c r="I145" s="12" t="n">
        <x:f>IF('患者配对'!M128="positive",1,0)</x:f>
        <x:v>0</x:v>
      </x:c>
      <x:c r="J145" s="12" t="n">
        <x:f>IF('患者配对'!R128="positive",1,0)</x:f>
        <x:v>0</x:v>
      </x:c>
      <x:c r="K145" s="12" t="n">
        <x:f>IF('患者配对'!W128="positive",1,0)</x:f>
        <x:v>0</x:v>
      </x:c>
      <x:c r="L145" s="12" t="str">
        <x:v>由原件与原状态取得；仅主队列索引</x:v>
      </x:c>
      <x:c r="M145" s="12"/>
      <x:c r="N145" s="12"/>
      <x:c r="O145" s="12"/>
    </x:row>
    <x:row r="146" ht="39" customHeight="1">
      <x:c r="A146" s="12" t="str">
        <x:v>1013</x:v>
      </x:c>
      <x:c r="B146" s="12" t="str">
        <x:v>6079</x:v>
      </x:c>
      <x:c r="C146" s="12" t="str">
        <x:v>参考000</x:v>
      </x:c>
      <x:c r="D146" s="12" t="str">
        <x:v>自动000</x:v>
      </x:c>
      <x:c r="E146" s="12" t="n">
        <x:v>0</x:v>
      </x:c>
      <x:c r="F146" s="12" t="n">
        <x:v>0</x:v>
      </x:c>
      <x:c r="G146" s="12" t="n">
        <x:v>0</x:v>
      </x:c>
      <x:c r="H146" s="12" t="n">
        <x:f>IF(SUM(I146:K146)&gt;0,1,0)</x:f>
        <x:v>0</x:v>
      </x:c>
      <x:c r="I146" s="12" t="n">
        <x:f>IF('患者配对'!M129="positive",1,0)</x:f>
        <x:v>0</x:v>
      </x:c>
      <x:c r="J146" s="12" t="n">
        <x:f>IF('患者配对'!R129="positive",1,0)</x:f>
        <x:v>0</x:v>
      </x:c>
      <x:c r="K146" s="12" t="n">
        <x:f>IF('患者配对'!W129="positive",1,0)</x:f>
        <x:v>0</x:v>
      </x:c>
      <x:c r="L146" s="12" t="str">
        <x:v>由原件与原状态取得；仅主队列索引</x:v>
      </x:c>
      <x:c r="M146" s="12"/>
      <x:c r="N146" s="12"/>
      <x:c r="O146" s="12"/>
    </x:row>
    <x:row r="147" ht="39" customHeight="1">
      <x:c r="A147" s="12" t="str">
        <x:v>1014</x:v>
      </x:c>
      <x:c r="B147" s="12" t="str">
        <x:v>2901</x:v>
      </x:c>
      <x:c r="C147" s="12" t="str">
        <x:v>参考000</x:v>
      </x:c>
      <x:c r="D147" s="12" t="str">
        <x:v>自动000</x:v>
      </x:c>
      <x:c r="E147" s="12" t="n">
        <x:v>0</x:v>
      </x:c>
      <x:c r="F147" s="12" t="n">
        <x:v>0</x:v>
      </x:c>
      <x:c r="G147" s="12" t="n">
        <x:v>0</x:v>
      </x:c>
      <x:c r="H147" s="12" t="n">
        <x:f>IF(SUM(I147:K147)&gt;0,1,0)</x:f>
        <x:v>0</x:v>
      </x:c>
      <x:c r="I147" s="12" t="n">
        <x:f>IF('患者配对'!M130="positive",1,0)</x:f>
        <x:v>0</x:v>
      </x:c>
      <x:c r="J147" s="12" t="n">
        <x:f>IF('患者配对'!R130="positive",1,0)</x:f>
        <x:v>0</x:v>
      </x:c>
      <x:c r="K147" s="12" t="n">
        <x:f>IF('患者配对'!W130="positive",1,0)</x:f>
        <x:v>0</x:v>
      </x:c>
      <x:c r="L147" s="12" t="str">
        <x:v>由原件与原状态取得；仅主队列索引</x:v>
      </x:c>
      <x:c r="M147" s="12"/>
      <x:c r="N147" s="12"/>
      <x:c r="O147" s="12"/>
    </x:row>
    <x:row r="148" ht="39" customHeight="1">
      <x:c r="A148" s="12" t="str">
        <x:v>1016</x:v>
      </x:c>
      <x:c r="B148" s="12" t="str">
        <x:v>5676</x:v>
      </x:c>
      <x:c r="C148" s="12" t="str">
        <x:v>参考000</x:v>
      </x:c>
      <x:c r="D148" s="12" t="str">
        <x:v>自动000</x:v>
      </x:c>
      <x:c r="E148" s="12" t="n">
        <x:v>0</x:v>
      </x:c>
      <x:c r="F148" s="12" t="n">
        <x:v>0</x:v>
      </x:c>
      <x:c r="G148" s="12" t="n">
        <x:v>0</x:v>
      </x:c>
      <x:c r="H148" s="12" t="n">
        <x:f>IF(SUM(I148:K148)&gt;0,1,0)</x:f>
        <x:v>0</x:v>
      </x:c>
      <x:c r="I148" s="12" t="n">
        <x:f>IF('患者配对'!M131="positive",1,0)</x:f>
        <x:v>0</x:v>
      </x:c>
      <x:c r="J148" s="12" t="n">
        <x:f>IF('患者配对'!R131="positive",1,0)</x:f>
        <x:v>0</x:v>
      </x:c>
      <x:c r="K148" s="12" t="n">
        <x:f>IF('患者配对'!W131="positive",1,0)</x:f>
        <x:v>0</x:v>
      </x:c>
      <x:c r="L148" s="12" t="str">
        <x:v>由原件与原状态取得；仅主队列索引</x:v>
      </x:c>
      <x:c r="M148" s="12"/>
      <x:c r="N148" s="12"/>
      <x:c r="O148" s="12"/>
    </x:row>
    <x:row r="149" ht="39" customHeight="1">
      <x:c r="A149" s="12" t="str">
        <x:v>1031</x:v>
      </x:c>
      <x:c r="B149" s="12" t="str">
        <x:v>1534</x:v>
      </x:c>
      <x:c r="C149" s="12" t="str">
        <x:v>参考000</x:v>
      </x:c>
      <x:c r="D149" s="12" t="str">
        <x:v>自动000</x:v>
      </x:c>
      <x:c r="E149" s="12" t="n">
        <x:v>0</x:v>
      </x:c>
      <x:c r="F149" s="12" t="n">
        <x:v>0</x:v>
      </x:c>
      <x:c r="G149" s="12" t="n">
        <x:v>0</x:v>
      </x:c>
      <x:c r="H149" s="12" t="n">
        <x:f>IF(SUM(I149:K149)&gt;0,1,0)</x:f>
        <x:v>0</x:v>
      </x:c>
      <x:c r="I149" s="12" t="n">
        <x:f>IF('患者配对'!M132="positive",1,0)</x:f>
        <x:v>0</x:v>
      </x:c>
      <x:c r="J149" s="12" t="n">
        <x:f>IF('患者配对'!R132="positive",1,0)</x:f>
        <x:v>0</x:v>
      </x:c>
      <x:c r="K149" s="12" t="n">
        <x:f>IF('患者配对'!W132="positive",1,0)</x:f>
        <x:v>0</x:v>
      </x:c>
      <x:c r="L149" s="12" t="str">
        <x:v>由原件与原状态取得；仅主队列索引</x:v>
      </x:c>
      <x:c r="M149" s="12"/>
      <x:c r="N149" s="12"/>
      <x:c r="O149" s="12"/>
    </x:row>
    <x:row r="150" ht="39" customHeight="1">
      <x:c r="A150" s="12" t="str">
        <x:v>1051</x:v>
      </x:c>
      <x:c r="B150" s="12" t="str">
        <x:v>1997</x:v>
      </x:c>
      <x:c r="C150" s="12" t="str">
        <x:v>参考000</x:v>
      </x:c>
      <x:c r="D150" s="12" t="str">
        <x:v>自动000</x:v>
      </x:c>
      <x:c r="E150" s="12" t="n">
        <x:v>0</x:v>
      </x:c>
      <x:c r="F150" s="12" t="n">
        <x:v>0</x:v>
      </x:c>
      <x:c r="G150" s="12" t="n">
        <x:v>0</x:v>
      </x:c>
      <x:c r="H150" s="12" t="n">
        <x:f>IF(SUM(I150:K150)&gt;0,1,0)</x:f>
        <x:v>0</x:v>
      </x:c>
      <x:c r="I150" s="12" t="n">
        <x:f>IF('患者配对'!M133="positive",1,0)</x:f>
        <x:v>0</x:v>
      </x:c>
      <x:c r="J150" s="12" t="n">
        <x:f>IF('患者配对'!R133="positive",1,0)</x:f>
        <x:v>0</x:v>
      </x:c>
      <x:c r="K150" s="12" t="n">
        <x:f>IF('患者配对'!W133="positive",1,0)</x:f>
        <x:v>0</x:v>
      </x:c>
      <x:c r="L150" s="12" t="str">
        <x:v>由原件与原状态取得；仅主队列索引</x:v>
      </x:c>
      <x:c r="M150" s="12"/>
      <x:c r="N150" s="12"/>
      <x:c r="O150" s="12"/>
    </x:row>
    <x:row r="151" ht="39" customHeight="1">
      <x:c r="A151" s="12" t="str">
        <x:v>1054</x:v>
      </x:c>
      <x:c r="B151" s="12" t="str">
        <x:v>17241</x:v>
      </x:c>
      <x:c r="C151" s="12" t="str">
        <x:v>参考000</x:v>
      </x:c>
      <x:c r="D151" s="12" t="str">
        <x:v>自动000</x:v>
      </x:c>
      <x:c r="E151" s="12" t="n">
        <x:v>0</x:v>
      </x:c>
      <x:c r="F151" s="12" t="n">
        <x:v>0</x:v>
      </x:c>
      <x:c r="G151" s="12" t="n">
        <x:v>0</x:v>
      </x:c>
      <x:c r="H151" s="12" t="n">
        <x:f>IF(SUM(I151:K151)&gt;0,1,0)</x:f>
        <x:v>0</x:v>
      </x:c>
      <x:c r="I151" s="12" t="n">
        <x:f>IF('患者配对'!M134="positive",1,0)</x:f>
        <x:v>0</x:v>
      </x:c>
      <x:c r="J151" s="12" t="n">
        <x:f>IF('患者配对'!R134="positive",1,0)</x:f>
        <x:v>0</x:v>
      </x:c>
      <x:c r="K151" s="12" t="n">
        <x:f>IF('患者配对'!W134="positive",1,0)</x:f>
        <x:v>0</x:v>
      </x:c>
      <x:c r="L151" s="12" t="str">
        <x:v>由原件与原状态取得；仅主队列索引</x:v>
      </x:c>
      <x:c r="M151" s="12"/>
      <x:c r="N151" s="12"/>
      <x:c r="O151" s="12"/>
    </x:row>
    <x:row r="152" ht="39" customHeight="1">
      <x:c r="A152" s="12" t="str">
        <x:v>1056</x:v>
      </x:c>
      <x:c r="B152" s="12" t="str">
        <x:v>7772</x:v>
      </x:c>
      <x:c r="C152" s="12" t="str">
        <x:v>参考010</x:v>
      </x:c>
      <x:c r="D152" s="12" t="str">
        <x:v>自动010</x:v>
      </x:c>
      <x:c r="E152" s="12" t="n">
        <x:v>1</x:v>
      </x:c>
      <x:c r="F152" s="12" t="n">
        <x:v>1</x:v>
      </x:c>
      <x:c r="G152" s="12" t="n">
        <x:v>0</x:v>
      </x:c>
      <x:c r="H152" s="12" t="n">
        <x:f>IF(SUM(I152:K152)&gt;0,1,0)</x:f>
        <x:v>1</x:v>
      </x:c>
      <x:c r="I152" s="12" t="n">
        <x:f>IF('患者配对'!M135="positive",1,0)</x:f>
        <x:v>0</x:v>
      </x:c>
      <x:c r="J152" s="12" t="n">
        <x:f>IF('患者配对'!R135="positive",1,0)</x:f>
        <x:v>1</x:v>
      </x:c>
      <x:c r="K152" s="12" t="n">
        <x:f>IF('患者配对'!W135="positive",1,0)</x:f>
        <x:v>0</x:v>
      </x:c>
      <x:c r="L152" s="12" t="str">
        <x:v>由原件与原状态取得；仅主队列索引</x:v>
      </x:c>
      <x:c r="M152" s="12"/>
      <x:c r="N152" s="12"/>
      <x:c r="O152" s="12"/>
    </x:row>
    <x:row r="153" ht="39" customHeight="1">
      <x:c r="A153" s="12" t="str">
        <x:v>1061</x:v>
      </x:c>
      <x:c r="B153" s="12" t="str">
        <x:v>1302</x:v>
      </x:c>
      <x:c r="C153" s="12" t="str">
        <x:v>参考000</x:v>
      </x:c>
      <x:c r="D153" s="12" t="str">
        <x:v>自动000</x:v>
      </x:c>
      <x:c r="E153" s="12" t="n">
        <x:v>0</x:v>
      </x:c>
      <x:c r="F153" s="12" t="n">
        <x:v>0</x:v>
      </x:c>
      <x:c r="G153" s="12" t="n">
        <x:v>0</x:v>
      </x:c>
      <x:c r="H153" s="12" t="n">
        <x:f>IF(SUM(I153:K153)&gt;0,1,0)</x:f>
        <x:v>0</x:v>
      </x:c>
      <x:c r="I153" s="12" t="n">
        <x:f>IF('患者配对'!M136="positive",1,0)</x:f>
        <x:v>0</x:v>
      </x:c>
      <x:c r="J153" s="12" t="n">
        <x:f>IF('患者配对'!R136="positive",1,0)</x:f>
        <x:v>0</x:v>
      </x:c>
      <x:c r="K153" s="12" t="n">
        <x:f>IF('患者配对'!W136="positive",1,0)</x:f>
        <x:v>0</x:v>
      </x:c>
      <x:c r="L153" s="12" t="str">
        <x:v>由原件与原状态取得；仅主队列索引</x:v>
      </x:c>
      <x:c r="M153" s="12"/>
      <x:c r="N153" s="12"/>
      <x:c r="O153" s="12"/>
    </x:row>
    <x:row r="154" ht="39" customHeight="1">
      <x:c r="A154" s="12" t="str">
        <x:v>1068</x:v>
      </x:c>
      <x:c r="B154" s="12" t="str">
        <x:v>1886</x:v>
      </x:c>
      <x:c r="C154" s="12" t="str">
        <x:v>参考000</x:v>
      </x:c>
      <x:c r="D154" s="12" t="str">
        <x:v>自动000</x:v>
      </x:c>
      <x:c r="E154" s="12" t="n">
        <x:v>0</x:v>
      </x:c>
      <x:c r="F154" s="12" t="n">
        <x:v>0</x:v>
      </x:c>
      <x:c r="G154" s="12" t="n">
        <x:v>0</x:v>
      </x:c>
      <x:c r="H154" s="12" t="n">
        <x:f>IF(SUM(I154:K154)&gt;0,1,0)</x:f>
        <x:v>0</x:v>
      </x:c>
      <x:c r="I154" s="12" t="n">
        <x:f>IF('患者配对'!M137="positive",1,0)</x:f>
        <x:v>0</x:v>
      </x:c>
      <x:c r="J154" s="12" t="n">
        <x:f>IF('患者配对'!R137="positive",1,0)</x:f>
        <x:v>0</x:v>
      </x:c>
      <x:c r="K154" s="12" t="n">
        <x:f>IF('患者配对'!W137="positive",1,0)</x:f>
        <x:v>0</x:v>
      </x:c>
      <x:c r="L154" s="12" t="str">
        <x:v>由原件与原状态取得；仅主队列索引</x:v>
      </x:c>
      <x:c r="M154" s="12"/>
      <x:c r="N154" s="12"/>
      <x:c r="O154" s="12"/>
    </x:row>
    <x:row r="155" ht="39" customHeight="1">
      <x:c r="A155" s="12" t="str">
        <x:v>1078</x:v>
      </x:c>
      <x:c r="B155" s="12" t="str">
        <x:v>857</x:v>
      </x:c>
      <x:c r="C155" s="12" t="str">
        <x:v>参考000</x:v>
      </x:c>
      <x:c r="D155" s="12" t="str">
        <x:v>自动000</x:v>
      </x:c>
      <x:c r="E155" s="12" t="n">
        <x:v>0</x:v>
      </x:c>
      <x:c r="F155" s="12" t="n">
        <x:v>0</x:v>
      </x:c>
      <x:c r="G155" s="12" t="n">
        <x:v>0</x:v>
      </x:c>
      <x:c r="H155" s="12" t="n">
        <x:f>IF(SUM(I155:K155)&gt;0,1,0)</x:f>
        <x:v>0</x:v>
      </x:c>
      <x:c r="I155" s="12" t="n">
        <x:f>IF('患者配对'!M138="positive",1,0)</x:f>
        <x:v>0</x:v>
      </x:c>
      <x:c r="J155" s="12" t="n">
        <x:f>IF('患者配对'!R138="positive",1,0)</x:f>
        <x:v>0</x:v>
      </x:c>
      <x:c r="K155" s="12" t="n">
        <x:f>IF('患者配对'!W138="positive",1,0)</x:f>
        <x:v>0</x:v>
      </x:c>
      <x:c r="L155" s="12" t="str">
        <x:v>由原件与原状态取得；仅主队列索引</x:v>
      </x:c>
      <x:c r="M155" s="12"/>
      <x:c r="N155" s="12"/>
      <x:c r="O155" s="12"/>
    </x:row>
    <x:row r="156" ht="39" customHeight="1">
      <x:c r="A156" s="12" t="str">
        <x:v>1084</x:v>
      </x:c>
      <x:c r="B156" s="12" t="str">
        <x:v>7374</x:v>
      </x:c>
      <x:c r="C156" s="12" t="str">
        <x:v>参考000</x:v>
      </x:c>
      <x:c r="D156" s="12" t="str">
        <x:v>自动000</x:v>
      </x:c>
      <x:c r="E156" s="12" t="n">
        <x:v>0</x:v>
      </x:c>
      <x:c r="F156" s="12" t="n">
        <x:v>0</x:v>
      </x:c>
      <x:c r="G156" s="12" t="n">
        <x:v>0</x:v>
      </x:c>
      <x:c r="H156" s="12" t="n">
        <x:f>IF(SUM(I156:K156)&gt;0,1,0)</x:f>
        <x:v>0</x:v>
      </x:c>
      <x:c r="I156" s="12" t="n">
        <x:f>IF('患者配对'!M139="positive",1,0)</x:f>
        <x:v>0</x:v>
      </x:c>
      <x:c r="J156" s="12" t="n">
        <x:f>IF('患者配对'!R139="positive",1,0)</x:f>
        <x:v>0</x:v>
      </x:c>
      <x:c r="K156" s="12" t="n">
        <x:f>IF('患者配对'!W139="positive",1,0)</x:f>
        <x:v>0</x:v>
      </x:c>
      <x:c r="L156" s="12" t="str">
        <x:v>由原件与原状态取得；仅主队列索引</x:v>
      </x:c>
      <x:c r="M156" s="12"/>
      <x:c r="N156" s="12"/>
      <x:c r="O156" s="12"/>
    </x:row>
    <x:row r="157" ht="39" customHeight="1">
      <x:c r="A157" s="12" t="str">
        <x:v>1093</x:v>
      </x:c>
      <x:c r="B157" s="12" t="str">
        <x:v>1623</x:v>
      </x:c>
      <x:c r="C157" s="12" t="str">
        <x:v>参考001</x:v>
      </x:c>
      <x:c r="D157" s="12" t="str">
        <x:v>自动001</x:v>
      </x:c>
      <x:c r="E157" s="12" t="n">
        <x:v>1</x:v>
      </x:c>
      <x:c r="F157" s="12" t="n">
        <x:v>1</x:v>
      </x:c>
      <x:c r="G157" s="12" t="n">
        <x:v>0</x:v>
      </x:c>
      <x:c r="H157" s="12" t="n">
        <x:f>IF(SUM(I157:K157)&gt;0,1,0)</x:f>
        <x:v>1</x:v>
      </x:c>
      <x:c r="I157" s="12" t="n">
        <x:f>IF('患者配对'!M140="positive",1,0)</x:f>
        <x:v>0</x:v>
      </x:c>
      <x:c r="J157" s="12" t="n">
        <x:f>IF('患者配对'!R140="positive",1,0)</x:f>
        <x:v>0</x:v>
      </x:c>
      <x:c r="K157" s="12" t="n">
        <x:f>IF('患者配对'!W140="positive",1,0)</x:f>
        <x:v>1</x:v>
      </x:c>
      <x:c r="L157" s="12" t="str">
        <x:v>由原件与原状态取得；仅主队列索引</x:v>
      </x:c>
      <x:c r="M157" s="12"/>
      <x:c r="N157" s="12"/>
      <x:c r="O157" s="12"/>
    </x:row>
    <x:row r="158" ht="39" customHeight="1">
      <x:c r="A158" s="12" t="str">
        <x:v>1094</x:v>
      </x:c>
      <x:c r="B158" s="12" t="str">
        <x:v>21499</x:v>
      </x:c>
      <x:c r="C158" s="12" t="str">
        <x:v>参考000</x:v>
      </x:c>
      <x:c r="D158" s="12" t="str">
        <x:v>自动000</x:v>
      </x:c>
      <x:c r="E158" s="12" t="n">
        <x:v>0</x:v>
      </x:c>
      <x:c r="F158" s="12" t="n">
        <x:v>0</x:v>
      </x:c>
      <x:c r="G158" s="12" t="n">
        <x:v>0</x:v>
      </x:c>
      <x:c r="H158" s="12" t="n">
        <x:f>IF(SUM(I158:K158)&gt;0,1,0)</x:f>
        <x:v>0</x:v>
      </x:c>
      <x:c r="I158" s="12" t="n">
        <x:f>IF('患者配对'!M141="positive",1,0)</x:f>
        <x:v>0</x:v>
      </x:c>
      <x:c r="J158" s="12" t="n">
        <x:f>IF('患者配对'!R141="positive",1,0)</x:f>
        <x:v>0</x:v>
      </x:c>
      <x:c r="K158" s="12" t="n">
        <x:f>IF('患者配对'!W141="positive",1,0)</x:f>
        <x:v>0</x:v>
      </x:c>
      <x:c r="L158" s="12" t="str">
        <x:v>由原件与原状态取得；仅主队列索引</x:v>
      </x:c>
      <x:c r="M158" s="12"/>
      <x:c r="N158" s="12"/>
      <x:c r="O158" s="12"/>
    </x:row>
    <x:row r="159" ht="39" customHeight="1">
      <x:c r="A159" s="12" t="str">
        <x:v>1100</x:v>
      </x:c>
      <x:c r="B159" s="12" t="str">
        <x:v>1942</x:v>
      </x:c>
      <x:c r="C159" s="12" t="str">
        <x:v>参考000</x:v>
      </x:c>
      <x:c r="D159" s="12" t="str">
        <x:v>自动000</x:v>
      </x:c>
      <x:c r="E159" s="12" t="n">
        <x:v>0</x:v>
      </x:c>
      <x:c r="F159" s="12" t="n">
        <x:v>0</x:v>
      </x:c>
      <x:c r="G159" s="12" t="n">
        <x:v>0</x:v>
      </x:c>
      <x:c r="H159" s="12" t="n">
        <x:f>IF(SUM(I159:K159)&gt;0,1,0)</x:f>
        <x:v>0</x:v>
      </x:c>
      <x:c r="I159" s="12" t="n">
        <x:f>IF('患者配对'!M142="positive",1,0)</x:f>
        <x:v>0</x:v>
      </x:c>
      <x:c r="J159" s="12" t="n">
        <x:f>IF('患者配对'!R142="positive",1,0)</x:f>
        <x:v>0</x:v>
      </x:c>
      <x:c r="K159" s="12" t="n">
        <x:f>IF('患者配对'!W142="positive",1,0)</x:f>
        <x:v>0</x:v>
      </x:c>
      <x:c r="L159" s="12" t="str">
        <x:v>由原件与原状态取得；仅主队列索引</x:v>
      </x:c>
      <x:c r="M159" s="12"/>
      <x:c r="N159" s="12"/>
      <x:c r="O159" s="12"/>
    </x:row>
    <x:row r="160" ht="39" customHeight="1">
      <x:c r="A160" s="12" t="str">
        <x:v>1101</x:v>
      </x:c>
      <x:c r="B160" s="12" t="str">
        <x:v>6198</x:v>
      </x:c>
      <x:c r="C160" s="12" t="str">
        <x:v>参考000</x:v>
      </x:c>
      <x:c r="D160" s="12" t="str">
        <x:v>自动000</x:v>
      </x:c>
      <x:c r="E160" s="12" t="n">
        <x:v>0</x:v>
      </x:c>
      <x:c r="F160" s="12" t="n">
        <x:v>0</x:v>
      </x:c>
      <x:c r="G160" s="12" t="n">
        <x:v>0</x:v>
      </x:c>
      <x:c r="H160" s="12" t="n">
        <x:f>IF(SUM(I160:K160)&gt;0,1,0)</x:f>
        <x:v>0</x:v>
      </x:c>
      <x:c r="I160" s="12" t="n">
        <x:f>IF('患者配对'!M143="positive",1,0)</x:f>
        <x:v>0</x:v>
      </x:c>
      <x:c r="J160" s="12" t="n">
        <x:f>IF('患者配对'!R143="positive",1,0)</x:f>
        <x:v>0</x:v>
      </x:c>
      <x:c r="K160" s="12" t="n">
        <x:f>IF('患者配对'!W143="positive",1,0)</x:f>
        <x:v>0</x:v>
      </x:c>
      <x:c r="L160" s="12" t="str">
        <x:v>由原件与原状态取得；仅主队列索引</x:v>
      </x:c>
      <x:c r="M160" s="12"/>
      <x:c r="N160" s="12"/>
      <x:c r="O160" s="12"/>
    </x:row>
    <x:row r="161" ht="39" customHeight="1">
      <x:c r="A161" s="12" t="str">
        <x:v>1113</x:v>
      </x:c>
      <x:c r="B161" s="12" t="str">
        <x:v>16771</x:v>
      </x:c>
      <x:c r="C161" s="12" t="str">
        <x:v>参考000</x:v>
      </x:c>
      <x:c r="D161" s="12" t="str">
        <x:v>自动000</x:v>
      </x:c>
      <x:c r="E161" s="12" t="n">
        <x:v>0</x:v>
      </x:c>
      <x:c r="F161" s="12" t="n">
        <x:v>0</x:v>
      </x:c>
      <x:c r="G161" s="12" t="n">
        <x:v>0</x:v>
      </x:c>
      <x:c r="H161" s="12" t="n">
        <x:f>IF(SUM(I161:K161)&gt;0,1,0)</x:f>
        <x:v>0</x:v>
      </x:c>
      <x:c r="I161" s="12" t="n">
        <x:f>IF('患者配对'!M144="positive",1,0)</x:f>
        <x:v>0</x:v>
      </x:c>
      <x:c r="J161" s="12" t="n">
        <x:f>IF('患者配对'!R144="positive",1,0)</x:f>
        <x:v>0</x:v>
      </x:c>
      <x:c r="K161" s="12" t="n">
        <x:f>IF('患者配对'!W144="positive",1,0)</x:f>
        <x:v>0</x:v>
      </x:c>
      <x:c r="L161" s="12" t="str">
        <x:v>由原件与原状态取得；仅主队列索引</x:v>
      </x:c>
      <x:c r="M161" s="12"/>
      <x:c r="N161" s="12"/>
      <x:c r="O161" s="12"/>
    </x:row>
    <x:row r="162" ht="39" customHeight="1">
      <x:c r="A162" s="12" t="str">
        <x:v>1120</x:v>
      </x:c>
      <x:c r="B162" s="12" t="str">
        <x:v>17730</x:v>
      </x:c>
      <x:c r="C162" s="12" t="str">
        <x:v>参考000</x:v>
      </x:c>
      <x:c r="D162" s="12" t="str">
        <x:v>自动000</x:v>
      </x:c>
      <x:c r="E162" s="12" t="n">
        <x:v>0</x:v>
      </x:c>
      <x:c r="F162" s="12" t="n">
        <x:v>1</x:v>
      </x:c>
      <x:c r="G162" s="12" t="n">
        <x:v>0</x:v>
      </x:c>
      <x:c r="H162" s="12" t="n">
        <x:f>IF(SUM(I162:K162)&gt;0,1,0)</x:f>
        <x:v>0</x:v>
      </x:c>
      <x:c r="I162" s="12" t="n">
        <x:f>IF('患者配对'!M145="positive",1,0)</x:f>
        <x:v>0</x:v>
      </x:c>
      <x:c r="J162" s="12" t="n">
        <x:f>IF('患者配对'!R145="positive",1,0)</x:f>
        <x:v>0</x:v>
      </x:c>
      <x:c r="K162" s="12" t="n">
        <x:f>IF('患者配对'!W145="positive",1,0)</x:f>
        <x:v>0</x:v>
      </x:c>
      <x:c r="L162" s="12" t="str">
        <x:v>由原件与原状态取得；仅主队列索引</x:v>
      </x:c>
      <x:c r="M162" s="12"/>
      <x:c r="N162" s="12"/>
      <x:c r="O162" s="12"/>
    </x:row>
    <x:row r="163" ht="39" customHeight="1">
      <x:c r="A163" s="12" t="str">
        <x:v>1133</x:v>
      </x:c>
      <x:c r="B163" s="12" t="str">
        <x:v>3160</x:v>
      </x:c>
      <x:c r="C163" s="12" t="str">
        <x:v>参考000</x:v>
      </x:c>
      <x:c r="D163" s="12" t="str">
        <x:v>自动000</x:v>
      </x:c>
      <x:c r="E163" s="12" t="n">
        <x:v>0</x:v>
      </x:c>
      <x:c r="F163" s="12" t="n">
        <x:v>0</x:v>
      </x:c>
      <x:c r="G163" s="12" t="n">
        <x:v>0</x:v>
      </x:c>
      <x:c r="H163" s="12" t="n">
        <x:f>IF(SUM(I163:K163)&gt;0,1,0)</x:f>
        <x:v>0</x:v>
      </x:c>
      <x:c r="I163" s="12" t="n">
        <x:f>IF('患者配对'!M146="positive",1,0)</x:f>
        <x:v>0</x:v>
      </x:c>
      <x:c r="J163" s="12" t="n">
        <x:f>IF('患者配对'!R146="positive",1,0)</x:f>
        <x:v>0</x:v>
      </x:c>
      <x:c r="K163" s="12" t="n">
        <x:f>IF('患者配对'!W146="positive",1,0)</x:f>
        <x:v>0</x:v>
      </x:c>
      <x:c r="L163" s="12" t="str">
        <x:v>由原件与原状态取得；仅主队列索引</x:v>
      </x:c>
      <x:c r="M163" s="12"/>
      <x:c r="N163" s="12"/>
      <x:c r="O163" s="12"/>
    </x:row>
    <x:row r="164" ht="39" customHeight="1">
      <x:c r="A164" s="12" t="str">
        <x:v>1147</x:v>
      </x:c>
      <x:c r="B164" s="12" t="str">
        <x:v>3273</x:v>
      </x:c>
      <x:c r="C164" s="12" t="str">
        <x:v>参考000</x:v>
      </x:c>
      <x:c r="D164" s="12" t="str">
        <x:v>自动000</x:v>
      </x:c>
      <x:c r="E164" s="12" t="n">
        <x:v>0</x:v>
      </x:c>
      <x:c r="F164" s="12" t="n">
        <x:v>0</x:v>
      </x:c>
      <x:c r="G164" s="12" t="n">
        <x:v>0</x:v>
      </x:c>
      <x:c r="H164" s="12" t="n">
        <x:f>IF(SUM(I164:K164)&gt;0,1,0)</x:f>
        <x:v>0</x:v>
      </x:c>
      <x:c r="I164" s="12" t="n">
        <x:f>IF('患者配对'!M147="positive",1,0)</x:f>
        <x:v>0</x:v>
      </x:c>
      <x:c r="J164" s="12" t="n">
        <x:f>IF('患者配对'!R147="positive",1,0)</x:f>
        <x:v>0</x:v>
      </x:c>
      <x:c r="K164" s="12" t="n">
        <x:f>IF('患者配对'!W147="positive",1,0)</x:f>
        <x:v>0</x:v>
      </x:c>
      <x:c r="L164" s="12" t="str">
        <x:v>由原件与原状态取得；仅主队列索引</x:v>
      </x:c>
      <x:c r="M164" s="12"/>
      <x:c r="N164" s="12"/>
      <x:c r="O164" s="12"/>
    </x:row>
    <x:row r="165" ht="39" customHeight="1">
      <x:c r="A165" s="12" t="str">
        <x:v>1157</x:v>
      </x:c>
      <x:c r="B165" s="12" t="str">
        <x:v>7718</x:v>
      </x:c>
      <x:c r="C165" s="12" t="str">
        <x:v>参考001</x:v>
      </x:c>
      <x:c r="D165" s="12" t="str">
        <x:v>自动001</x:v>
      </x:c>
      <x:c r="E165" s="12" t="n">
        <x:v>1</x:v>
      </x:c>
      <x:c r="F165" s="12" t="n">
        <x:v>1</x:v>
      </x:c>
      <x:c r="G165" s="12" t="n">
        <x:v>0</x:v>
      </x:c>
      <x:c r="H165" s="12" t="n">
        <x:f>IF(SUM(I165:K165)&gt;0,1,0)</x:f>
        <x:v>1</x:v>
      </x:c>
      <x:c r="I165" s="12" t="n">
        <x:f>IF('患者配对'!M148="positive",1,0)</x:f>
        <x:v>0</x:v>
      </x:c>
      <x:c r="J165" s="12" t="n">
        <x:f>IF('患者配对'!R148="positive",1,0)</x:f>
        <x:v>0</x:v>
      </x:c>
      <x:c r="K165" s="12" t="n">
        <x:f>IF('患者配对'!W148="positive",1,0)</x:f>
        <x:v>1</x:v>
      </x:c>
      <x:c r="L165" s="12" t="str">
        <x:v>由原件与原状态取得；仅主队列索引</x:v>
      </x:c>
      <x:c r="M165" s="12"/>
      <x:c r="N165" s="12"/>
      <x:c r="O165" s="12"/>
    </x:row>
    <x:row r="166" ht="39" customHeight="1">
      <x:c r="A166" s="12" t="str">
        <x:v>1158</x:v>
      </x:c>
      <x:c r="B166" s="12" t="str">
        <x:v>3695</x:v>
      </x:c>
      <x:c r="C166" s="12" t="str">
        <x:v>参考000</x:v>
      </x:c>
      <x:c r="D166" s="12" t="str">
        <x:v>自动000</x:v>
      </x:c>
      <x:c r="E166" s="12" t="n">
        <x:v>0</x:v>
      </x:c>
      <x:c r="F166" s="12" t="n">
        <x:v>1</x:v>
      </x:c>
      <x:c r="G166" s="12" t="n">
        <x:v>0</x:v>
      </x:c>
      <x:c r="H166" s="12" t="n">
        <x:f>IF(SUM(I166:K166)&gt;0,1,0)</x:f>
        <x:v>0</x:v>
      </x:c>
      <x:c r="I166" s="12" t="n">
        <x:f>IF('患者配对'!M149="positive",1,0)</x:f>
        <x:v>0</x:v>
      </x:c>
      <x:c r="J166" s="12" t="n">
        <x:f>IF('患者配对'!R149="positive",1,0)</x:f>
        <x:v>0</x:v>
      </x:c>
      <x:c r="K166" s="12" t="n">
        <x:f>IF('患者配对'!W149="positive",1,0)</x:f>
        <x:v>0</x:v>
      </x:c>
      <x:c r="L166" s="12" t="str">
        <x:v>由原件与原状态取得；仅主队列索引</x:v>
      </x:c>
      <x:c r="M166" s="12"/>
      <x:c r="N166" s="12"/>
      <x:c r="O166" s="12"/>
    </x:row>
    <x:row r="167" ht="39" customHeight="1">
      <x:c r="A167" s="12" t="str">
        <x:v>1166</x:v>
      </x:c>
      <x:c r="B167" s="12" t="str">
        <x:v>869</x:v>
      </x:c>
      <x:c r="C167" s="12" t="str">
        <x:v>参考000</x:v>
      </x:c>
      <x:c r="D167" s="12" t="str">
        <x:v>自动000</x:v>
      </x:c>
      <x:c r="E167" s="12" t="n">
        <x:v>0</x:v>
      </x:c>
      <x:c r="F167" s="12" t="n">
        <x:v>0</x:v>
      </x:c>
      <x:c r="G167" s="12" t="n">
        <x:v>0</x:v>
      </x:c>
      <x:c r="H167" s="12" t="n">
        <x:f>IF(SUM(I167:K167)&gt;0,1,0)</x:f>
        <x:v>0</x:v>
      </x:c>
      <x:c r="I167" s="12" t="n">
        <x:f>IF('患者配对'!M150="positive",1,0)</x:f>
        <x:v>0</x:v>
      </x:c>
      <x:c r="J167" s="12" t="n">
        <x:f>IF('患者配对'!R150="positive",1,0)</x:f>
        <x:v>0</x:v>
      </x:c>
      <x:c r="K167" s="12" t="n">
        <x:f>IF('患者配对'!W150="positive",1,0)</x:f>
        <x:v>0</x:v>
      </x:c>
      <x:c r="L167" s="12" t="str">
        <x:v>由原件与原状态取得；仅主队列索引</x:v>
      </x:c>
      <x:c r="M167" s="12"/>
      <x:c r="N167" s="12"/>
      <x:c r="O167" s="12"/>
    </x:row>
    <x:row r="168" ht="39" customHeight="1">
      <x:c r="A168" s="12" t="str">
        <x:v>1169</x:v>
      </x:c>
      <x:c r="B168" s="12" t="str">
        <x:v>3963</x:v>
      </x:c>
      <x:c r="C168" s="12" t="str">
        <x:v>参考000</x:v>
      </x:c>
      <x:c r="D168" s="12" t="str">
        <x:v>自动000</x:v>
      </x:c>
      <x:c r="E168" s="12" t="n">
        <x:v>0</x:v>
      </x:c>
      <x:c r="F168" s="12" t="n">
        <x:v>0</x:v>
      </x:c>
      <x:c r="G168" s="12" t="n">
        <x:v>0</x:v>
      </x:c>
      <x:c r="H168" s="12" t="n">
        <x:f>IF(SUM(I168:K168)&gt;0,1,0)</x:f>
        <x:v>0</x:v>
      </x:c>
      <x:c r="I168" s="12" t="n">
        <x:f>IF('患者配对'!M151="positive",1,0)</x:f>
        <x:v>0</x:v>
      </x:c>
      <x:c r="J168" s="12" t="n">
        <x:f>IF('患者配对'!R151="positive",1,0)</x:f>
        <x:v>0</x:v>
      </x:c>
      <x:c r="K168" s="12" t="n">
        <x:f>IF('患者配对'!W151="positive",1,0)</x:f>
        <x:v>0</x:v>
      </x:c>
      <x:c r="L168" s="12" t="str">
        <x:v>由原件与原状态取得；仅主队列索引</x:v>
      </x:c>
      <x:c r="M168" s="12"/>
      <x:c r="N168" s="12"/>
      <x:c r="O168" s="12"/>
    </x:row>
    <x:row r="169" ht="39" customHeight="1">
      <x:c r="A169" s="12" t="str">
        <x:v>1172</x:v>
      </x:c>
      <x:c r="B169" s="12" t="str">
        <x:v>4228</x:v>
      </x:c>
      <x:c r="C169" s="12" t="str">
        <x:v>参考000</x:v>
      </x:c>
      <x:c r="D169" s="12" t="str">
        <x:v>自动000</x:v>
      </x:c>
      <x:c r="E169" s="12" t="n">
        <x:v>0</x:v>
      </x:c>
      <x:c r="F169" s="12" t="n">
        <x:v>1</x:v>
      </x:c>
      <x:c r="G169" s="12" t="n">
        <x:v>0</x:v>
      </x:c>
      <x:c r="H169" s="12" t="n">
        <x:f>IF(SUM(I169:K169)&gt;0,1,0)</x:f>
        <x:v>0</x:v>
      </x:c>
      <x:c r="I169" s="12" t="n">
        <x:f>IF('患者配对'!M152="positive",1,0)</x:f>
        <x:v>0</x:v>
      </x:c>
      <x:c r="J169" s="12" t="n">
        <x:f>IF('患者配对'!R152="positive",1,0)</x:f>
        <x:v>0</x:v>
      </x:c>
      <x:c r="K169" s="12" t="n">
        <x:f>IF('患者配对'!W152="positive",1,0)</x:f>
        <x:v>0</x:v>
      </x:c>
      <x:c r="L169" s="12" t="str">
        <x:v>由原件与原状态取得；仅主队列索引</x:v>
      </x:c>
      <x:c r="M169" s="12"/>
      <x:c r="N169" s="12"/>
      <x:c r="O169" s="12"/>
    </x:row>
    <x:row r="170" ht="39" customHeight="1">
      <x:c r="A170" s="12" t="str">
        <x:v>1175</x:v>
      </x:c>
      <x:c r="B170" s="12" t="str">
        <x:v>5275</x:v>
      </x:c>
      <x:c r="C170" s="12" t="str">
        <x:v>参考000</x:v>
      </x:c>
      <x:c r="D170" s="12" t="str">
        <x:v>自动000</x:v>
      </x:c>
      <x:c r="E170" s="12" t="n">
        <x:v>0</x:v>
      </x:c>
      <x:c r="F170" s="12" t="n">
        <x:v>0</x:v>
      </x:c>
      <x:c r="G170" s="12" t="n">
        <x:v>0</x:v>
      </x:c>
      <x:c r="H170" s="12" t="n">
        <x:f>IF(SUM(I170:K170)&gt;0,1,0)</x:f>
        <x:v>0</x:v>
      </x:c>
      <x:c r="I170" s="12" t="n">
        <x:f>IF('患者配对'!M153="positive",1,0)</x:f>
        <x:v>0</x:v>
      </x:c>
      <x:c r="J170" s="12" t="n">
        <x:f>IF('患者配对'!R153="positive",1,0)</x:f>
        <x:v>0</x:v>
      </x:c>
      <x:c r="K170" s="12" t="n">
        <x:f>IF('患者配对'!W153="positive",1,0)</x:f>
        <x:v>0</x:v>
      </x:c>
      <x:c r="L170" s="12" t="str">
        <x:v>由原件与原状态取得；仅主队列索引</x:v>
      </x:c>
      <x:c r="M170" s="12"/>
      <x:c r="N170" s="12"/>
      <x:c r="O170" s="12"/>
    </x:row>
    <x:row r="171" ht="39" customHeight="1">
      <x:c r="A171" s="12" t="str">
        <x:v>1186</x:v>
      </x:c>
      <x:c r="B171" s="12" t="str">
        <x:v>651</x:v>
      </x:c>
      <x:c r="C171" s="12" t="str">
        <x:v>参考000</x:v>
      </x:c>
      <x:c r="D171" s="12" t="str">
        <x:v>自动000</x:v>
      </x:c>
      <x:c r="E171" s="12" t="n">
        <x:v>0</x:v>
      </x:c>
      <x:c r="F171" s="12" t="n">
        <x:v>0</x:v>
      </x:c>
      <x:c r="G171" s="12" t="n">
        <x:v>0</x:v>
      </x:c>
      <x:c r="H171" s="12" t="n">
        <x:f>IF(SUM(I171:K171)&gt;0,1,0)</x:f>
        <x:v>0</x:v>
      </x:c>
      <x:c r="I171" s="12" t="n">
        <x:f>IF('患者配对'!M154="positive",1,0)</x:f>
        <x:v>0</x:v>
      </x:c>
      <x:c r="J171" s="12" t="n">
        <x:f>IF('患者配对'!R154="positive",1,0)</x:f>
        <x:v>0</x:v>
      </x:c>
      <x:c r="K171" s="12" t="n">
        <x:f>IF('患者配对'!W154="positive",1,0)</x:f>
        <x:v>0</x:v>
      </x:c>
      <x:c r="L171" s="12" t="str">
        <x:v>由原件与原状态取得；仅主队列索引</x:v>
      </x:c>
      <x:c r="M171" s="12"/>
      <x:c r="N171" s="12"/>
      <x:c r="O171" s="12"/>
    </x:row>
    <x:row r="172" ht="39" customHeight="1">
      <x:c r="A172" s="12" t="str">
        <x:v>1197</x:v>
      </x:c>
      <x:c r="B172" s="12" t="str">
        <x:v>7417</x:v>
      </x:c>
      <x:c r="C172" s="12" t="str">
        <x:v>参考000</x:v>
      </x:c>
      <x:c r="D172" s="12" t="str">
        <x:v>自动000</x:v>
      </x:c>
      <x:c r="E172" s="12" t="n">
        <x:v>0</x:v>
      </x:c>
      <x:c r="F172" s="12" t="n">
        <x:v>0</x:v>
      </x:c>
      <x:c r="G172" s="12" t="n">
        <x:v>0</x:v>
      </x:c>
      <x:c r="H172" s="12" t="n">
        <x:f>IF(SUM(I172:K172)&gt;0,1,0)</x:f>
        <x:v>0</x:v>
      </x:c>
      <x:c r="I172" s="12" t="n">
        <x:f>IF('患者配对'!M155="positive",1,0)</x:f>
        <x:v>0</x:v>
      </x:c>
      <x:c r="J172" s="12" t="n">
        <x:f>IF('患者配对'!R155="positive",1,0)</x:f>
        <x:v>0</x:v>
      </x:c>
      <x:c r="K172" s="12" t="n">
        <x:f>IF('患者配对'!W155="positive",1,0)</x:f>
        <x:v>0</x:v>
      </x:c>
      <x:c r="L172" s="12" t="str">
        <x:v>由原件与原状态取得；仅主队列索引</x:v>
      </x:c>
      <x:c r="M172" s="12"/>
      <x:c r="N172" s="12"/>
      <x:c r="O172" s="12"/>
    </x:row>
    <x:row r="173" ht="39" customHeight="1">
      <x:c r="A173" s="12" t="str">
        <x:v>1200</x:v>
      </x:c>
      <x:c r="B173" s="12" t="str">
        <x:v>5266</x:v>
      </x:c>
      <x:c r="C173" s="12" t="str">
        <x:v>参考000</x:v>
      </x:c>
      <x:c r="D173" s="12" t="str">
        <x:v>自动000</x:v>
      </x:c>
      <x:c r="E173" s="12" t="n">
        <x:v>0</x:v>
      </x:c>
      <x:c r="F173" s="12" t="n">
        <x:v>1</x:v>
      </x:c>
      <x:c r="G173" s="12" t="n">
        <x:v>0</x:v>
      </x:c>
      <x:c r="H173" s="12" t="n">
        <x:f>IF(SUM(I173:K173)&gt;0,1,0)</x:f>
        <x:v>0</x:v>
      </x:c>
      <x:c r="I173" s="12" t="n">
        <x:f>IF('患者配对'!M156="positive",1,0)</x:f>
        <x:v>0</x:v>
      </x:c>
      <x:c r="J173" s="12" t="n">
        <x:f>IF('患者配对'!R156="positive",1,0)</x:f>
        <x:v>0</x:v>
      </x:c>
      <x:c r="K173" s="12" t="n">
        <x:f>IF('患者配对'!W156="positive",1,0)</x:f>
        <x:v>0</x:v>
      </x:c>
      <x:c r="L173" s="12" t="str">
        <x:v>由原件与原状态取得；仅主队列索引</x:v>
      </x:c>
      <x:c r="M173" s="12"/>
      <x:c r="N173" s="12"/>
      <x:c r="O173" s="12"/>
    </x:row>
    <x:row r="174" ht="39" customHeight="1">
      <x:c r="A174" s="12" t="str">
        <x:v>1219</x:v>
      </x:c>
      <x:c r="B174" s="12" t="str">
        <x:v>6184</x:v>
      </x:c>
      <x:c r="C174" s="12" t="str">
        <x:v>参考000</x:v>
      </x:c>
      <x:c r="D174" s="12" t="str">
        <x:v>自动000</x:v>
      </x:c>
      <x:c r="E174" s="12" t="n">
        <x:v>0</x:v>
      </x:c>
      <x:c r="F174" s="12" t="n">
        <x:v>0</x:v>
      </x:c>
      <x:c r="G174" s="12" t="n">
        <x:v>0</x:v>
      </x:c>
      <x:c r="H174" s="12" t="n">
        <x:f>IF(SUM(I174:K174)&gt;0,1,0)</x:f>
        <x:v>0</x:v>
      </x:c>
      <x:c r="I174" s="12" t="n">
        <x:f>IF('患者配对'!M157="positive",1,0)</x:f>
        <x:v>0</x:v>
      </x:c>
      <x:c r="J174" s="12" t="n">
        <x:f>IF('患者配对'!R157="positive",1,0)</x:f>
        <x:v>0</x:v>
      </x:c>
      <x:c r="K174" s="12" t="n">
        <x:f>IF('患者配对'!W157="positive",1,0)</x:f>
        <x:v>0</x:v>
      </x:c>
      <x:c r="L174" s="12" t="str">
        <x:v>由原件与原状态取得；仅主队列索引</x:v>
      </x:c>
      <x:c r="M174" s="12"/>
      <x:c r="N174" s="12"/>
      <x:c r="O174" s="12"/>
    </x:row>
    <x:row r="175" ht="39" customHeight="1">
      <x:c r="A175" s="12" t="str">
        <x:v>1220</x:v>
      </x:c>
      <x:c r="B175" s="12" t="str">
        <x:v>1810</x:v>
      </x:c>
      <x:c r="C175" s="12" t="str">
        <x:v>参考000</x:v>
      </x:c>
      <x:c r="D175" s="12" t="str">
        <x:v>自动000</x:v>
      </x:c>
      <x:c r="E175" s="12" t="n">
        <x:v>0</x:v>
      </x:c>
      <x:c r="F175" s="12" t="n">
        <x:v>0</x:v>
      </x:c>
      <x:c r="G175" s="12" t="n">
        <x:v>0</x:v>
      </x:c>
      <x:c r="H175" s="12" t="n">
        <x:f>IF(SUM(I175:K175)&gt;0,1,0)</x:f>
        <x:v>0</x:v>
      </x:c>
      <x:c r="I175" s="12" t="n">
        <x:f>IF('患者配对'!M158="positive",1,0)</x:f>
        <x:v>0</x:v>
      </x:c>
      <x:c r="J175" s="12" t="n">
        <x:f>IF('患者配对'!R158="positive",1,0)</x:f>
        <x:v>0</x:v>
      </x:c>
      <x:c r="K175" s="12" t="n">
        <x:f>IF('患者配对'!W158="positive",1,0)</x:f>
        <x:v>0</x:v>
      </x:c>
      <x:c r="L175" s="12" t="str">
        <x:v>由原件与原状态取得；仅主队列索引</x:v>
      </x:c>
      <x:c r="M175" s="12"/>
      <x:c r="N175" s="12"/>
      <x:c r="O175" s="12"/>
    </x:row>
    <x:row r="176" ht="39" customHeight="1">
      <x:c r="A176" s="12" t="str">
        <x:v>1246</x:v>
      </x:c>
      <x:c r="B176" s="12" t="str">
        <x:v>11417</x:v>
      </x:c>
      <x:c r="C176" s="12" t="str">
        <x:v>参考000</x:v>
      </x:c>
      <x:c r="D176" s="12" t="str">
        <x:v>自动000</x:v>
      </x:c>
      <x:c r="E176" s="12" t="n">
        <x:v>0</x:v>
      </x:c>
      <x:c r="F176" s="12" t="n">
        <x:v>0</x:v>
      </x:c>
      <x:c r="G176" s="12" t="n">
        <x:v>0</x:v>
      </x:c>
      <x:c r="H176" s="12" t="n">
        <x:f>IF(SUM(I176:K176)&gt;0,1,0)</x:f>
        <x:v>0</x:v>
      </x:c>
      <x:c r="I176" s="12" t="n">
        <x:f>IF('患者配对'!M159="positive",1,0)</x:f>
        <x:v>0</x:v>
      </x:c>
      <x:c r="J176" s="12" t="n">
        <x:f>IF('患者配对'!R159="positive",1,0)</x:f>
        <x:v>0</x:v>
      </x:c>
      <x:c r="K176" s="12" t="n">
        <x:f>IF('患者配对'!W159="positive",1,0)</x:f>
        <x:v>0</x:v>
      </x:c>
      <x:c r="L176" s="12" t="str">
        <x:v>由原件与原状态取得；仅主队列索引</x:v>
      </x:c>
      <x:c r="M176" s="12"/>
      <x:c r="N176" s="12"/>
      <x:c r="O176" s="12"/>
    </x:row>
    <x:row r="177" ht="39" customHeight="1">
      <x:c r="A177" s="12" t="str">
        <x:v>1251</x:v>
      </x:c>
      <x:c r="B177" s="12" t="str">
        <x:v>8574</x:v>
      </x:c>
      <x:c r="C177" s="12" t="str">
        <x:v>参考000</x:v>
      </x:c>
      <x:c r="D177" s="12" t="str">
        <x:v>自动000</x:v>
      </x:c>
      <x:c r="E177" s="12" t="n">
        <x:v>0</x:v>
      </x:c>
      <x:c r="F177" s="12" t="n">
        <x:v>1</x:v>
      </x:c>
      <x:c r="G177" s="12" t="n">
        <x:v>0</x:v>
      </x:c>
      <x:c r="H177" s="12" t="n">
        <x:f>IF(SUM(I177:K177)&gt;0,1,0)</x:f>
        <x:v>0</x:v>
      </x:c>
      <x:c r="I177" s="12" t="n">
        <x:f>IF('患者配对'!M160="positive",1,0)</x:f>
        <x:v>0</x:v>
      </x:c>
      <x:c r="J177" s="12" t="n">
        <x:f>IF('患者配对'!R160="positive",1,0)</x:f>
        <x:v>0</x:v>
      </x:c>
      <x:c r="K177" s="12" t="n">
        <x:f>IF('患者配对'!W160="positive",1,0)</x:f>
        <x:v>0</x:v>
      </x:c>
      <x:c r="L177" s="12" t="str">
        <x:v>由原件与原状态取得；仅主队列索引</x:v>
      </x:c>
      <x:c r="M177" s="12"/>
      <x:c r="N177" s="12"/>
      <x:c r="O177" s="12"/>
    </x:row>
    <x:row r="178" ht="39" customHeight="1">
      <x:c r="A178" s="12" t="str">
        <x:v>1266</x:v>
      </x:c>
      <x:c r="B178" s="12" t="str">
        <x:v>14284</x:v>
      </x:c>
      <x:c r="C178" s="12" t="str">
        <x:v>参考000</x:v>
      </x:c>
      <x:c r="D178" s="12" t="str">
        <x:v>自动000</x:v>
      </x:c>
      <x:c r="E178" s="12" t="n">
        <x:v>0</x:v>
      </x:c>
      <x:c r="F178" s="12" t="n">
        <x:v>0</x:v>
      </x:c>
      <x:c r="G178" s="12" t="n">
        <x:v>0</x:v>
      </x:c>
      <x:c r="H178" s="12" t="n">
        <x:f>IF(SUM(I178:K178)&gt;0,1,0)</x:f>
        <x:v>0</x:v>
      </x:c>
      <x:c r="I178" s="12" t="n">
        <x:f>IF('患者配对'!M161="positive",1,0)</x:f>
        <x:v>0</x:v>
      </x:c>
      <x:c r="J178" s="12" t="n">
        <x:f>IF('患者配对'!R161="positive",1,0)</x:f>
        <x:v>0</x:v>
      </x:c>
      <x:c r="K178" s="12" t="n">
        <x:f>IF('患者配对'!W161="positive",1,0)</x:f>
        <x:v>0</x:v>
      </x:c>
      <x:c r="L178" s="12" t="str">
        <x:v>由原件与原状态取得；仅主队列索引</x:v>
      </x:c>
      <x:c r="M178" s="12"/>
      <x:c r="N178" s="12"/>
      <x:c r="O178" s="12"/>
    </x:row>
    <x:row r="179" ht="39" customHeight="1">
      <x:c r="A179" s="12" t="str">
        <x:v>1275</x:v>
      </x:c>
      <x:c r="B179" s="12" t="str">
        <x:v>9170</x:v>
      </x:c>
      <x:c r="C179" s="12" t="str">
        <x:v>参考100</x:v>
      </x:c>
      <x:c r="D179" s="12" t="str">
        <x:v>自动100</x:v>
      </x:c>
      <x:c r="E179" s="12" t="n">
        <x:v>1</x:v>
      </x:c>
      <x:c r="F179" s="12" t="n">
        <x:v>1</x:v>
      </x:c>
      <x:c r="G179" s="12" t="n">
        <x:v>0</x:v>
      </x:c>
      <x:c r="H179" s="12" t="n">
        <x:f>IF(SUM(I179:K179)&gt;0,1,0)</x:f>
        <x:v>1</x:v>
      </x:c>
      <x:c r="I179" s="12" t="n">
        <x:f>IF('患者配对'!M163="positive",1,0)</x:f>
        <x:v>1</x:v>
      </x:c>
      <x:c r="J179" s="12" t="n">
        <x:f>IF('患者配对'!R163="positive",1,0)</x:f>
        <x:v>0</x:v>
      </x:c>
      <x:c r="K179" s="12" t="n">
        <x:f>IF('患者配对'!W163="positive",1,0)</x:f>
        <x:v>0</x:v>
      </x:c>
      <x:c r="L179" s="12" t="str">
        <x:v>由原件与原状态取得；仅主队列索引</x:v>
      </x:c>
      <x:c r="M179" s="12"/>
      <x:c r="N179" s="12"/>
      <x:c r="O179" s="12"/>
    </x:row>
    <x:row r="180" ht="39" customHeight="1">
      <x:c r="A180" s="12" t="str">
        <x:v>1280</x:v>
      </x:c>
      <x:c r="B180" s="12" t="str">
        <x:v>14661</x:v>
      </x:c>
      <x:c r="C180" s="12" t="str">
        <x:v>参考000</x:v>
      </x:c>
      <x:c r="D180" s="12" t="str">
        <x:v>自动000</x:v>
      </x:c>
      <x:c r="E180" s="12" t="n">
        <x:v>0</x:v>
      </x:c>
      <x:c r="F180" s="12" t="n">
        <x:v>1</x:v>
      </x:c>
      <x:c r="G180" s="12" t="n">
        <x:v>0</x:v>
      </x:c>
      <x:c r="H180" s="12" t="n">
        <x:f>IF(SUM(I180:K180)&gt;0,1,0)</x:f>
        <x:v>0</x:v>
      </x:c>
      <x:c r="I180" s="12" t="n">
        <x:f>IF('患者配对'!M164="positive",1,0)</x:f>
        <x:v>0</x:v>
      </x:c>
      <x:c r="J180" s="12" t="n">
        <x:f>IF('患者配对'!R164="positive",1,0)</x:f>
        <x:v>0</x:v>
      </x:c>
      <x:c r="K180" s="12" t="n">
        <x:f>IF('患者配对'!W164="positive",1,0)</x:f>
        <x:v>0</x:v>
      </x:c>
      <x:c r="L180" s="12" t="str">
        <x:v>由原件与原状态取得；仅主队列索引</x:v>
      </x:c>
      <x:c r="M180" s="12"/>
      <x:c r="N180" s="12"/>
      <x:c r="O180" s="12"/>
    </x:row>
    <x:row r="181" ht="39" customHeight="1">
      <x:c r="A181" s="12" t="str">
        <x:v>1282</x:v>
      </x:c>
      <x:c r="B181" s="12" t="str">
        <x:v>9760</x:v>
      </x:c>
      <x:c r="C181" s="12" t="str">
        <x:v>参考000</x:v>
      </x:c>
      <x:c r="D181" s="12" t="str">
        <x:v>自动000</x:v>
      </x:c>
      <x:c r="E181" s="12" t="n">
        <x:v>0</x:v>
      </x:c>
      <x:c r="F181" s="12" t="n">
        <x:v>1</x:v>
      </x:c>
      <x:c r="G181" s="12" t="n">
        <x:v>0</x:v>
      </x:c>
      <x:c r="H181" s="12" t="n">
        <x:f>IF(SUM(I181:K181)&gt;0,1,0)</x:f>
        <x:v>0</x:v>
      </x:c>
      <x:c r="I181" s="12" t="n">
        <x:f>IF('患者配对'!M165="positive",1,0)</x:f>
        <x:v>0</x:v>
      </x:c>
      <x:c r="J181" s="12" t="n">
        <x:f>IF('患者配对'!R165="positive",1,0)</x:f>
        <x:v>0</x:v>
      </x:c>
      <x:c r="K181" s="12" t="n">
        <x:f>IF('患者配对'!W165="positive",1,0)</x:f>
        <x:v>0</x:v>
      </x:c>
      <x:c r="L181" s="12" t="str">
        <x:v>由原件与原状态取得；仅主队列索引</x:v>
      </x:c>
      <x:c r="M181" s="12"/>
      <x:c r="N181" s="12"/>
      <x:c r="O181" s="12"/>
    </x:row>
    <x:row r="182" ht="39" customHeight="1">
      <x:c r="A182" s="12" t="str">
        <x:v>1287</x:v>
      </x:c>
      <x:c r="B182" s="12" t="str">
        <x:v>20417</x:v>
      </x:c>
      <x:c r="C182" s="12" t="str">
        <x:v>参考000</x:v>
      </x:c>
      <x:c r="D182" s="12" t="str">
        <x:v>自动000</x:v>
      </x:c>
      <x:c r="E182" s="12" t="n">
        <x:v>0</x:v>
      </x:c>
      <x:c r="F182" s="12" t="n">
        <x:v>0</x:v>
      </x:c>
      <x:c r="G182" s="12" t="n">
        <x:v>0</x:v>
      </x:c>
      <x:c r="H182" s="12" t="n">
        <x:f>IF(SUM(I182:K182)&gt;0,1,0)</x:f>
        <x:v>0</x:v>
      </x:c>
      <x:c r="I182" s="12" t="n">
        <x:f>IF('患者配对'!M166="positive",1,0)</x:f>
        <x:v>0</x:v>
      </x:c>
      <x:c r="J182" s="12" t="n">
        <x:f>IF('患者配对'!R166="positive",1,0)</x:f>
        <x:v>0</x:v>
      </x:c>
      <x:c r="K182" s="12" t="n">
        <x:f>IF('患者配对'!W166="positive",1,0)</x:f>
        <x:v>0</x:v>
      </x:c>
      <x:c r="L182" s="12" t="str">
        <x:v>由原件与原状态取得；仅主队列索引</x:v>
      </x:c>
      <x:c r="M182" s="12"/>
      <x:c r="N182" s="12"/>
      <x:c r="O182" s="12"/>
    </x:row>
    <x:row r="183" ht="39" customHeight="1">
      <x:c r="A183" s="12" t="str">
        <x:v>1307</x:v>
      </x:c>
      <x:c r="B183" s="12" t="str">
        <x:v>18133</x:v>
      </x:c>
      <x:c r="C183" s="12" t="str">
        <x:v>参考000</x:v>
      </x:c>
      <x:c r="D183" s="12" t="str">
        <x:v>自动000</x:v>
      </x:c>
      <x:c r="E183" s="12" t="n">
        <x:v>0</x:v>
      </x:c>
      <x:c r="F183" s="12" t="n">
        <x:v>0</x:v>
      </x:c>
      <x:c r="G183" s="12" t="n">
        <x:v>0</x:v>
      </x:c>
      <x:c r="H183" s="12" t="n">
        <x:f>IF(SUM(I183:K183)&gt;0,1,0)</x:f>
        <x:v>0</x:v>
      </x:c>
      <x:c r="I183" s="12" t="n">
        <x:f>IF('患者配对'!M167="positive",1,0)</x:f>
        <x:v>0</x:v>
      </x:c>
      <x:c r="J183" s="12" t="n">
        <x:f>IF('患者配对'!R167="positive",1,0)</x:f>
        <x:v>0</x:v>
      </x:c>
      <x:c r="K183" s="12" t="n">
        <x:f>IF('患者配对'!W167="positive",1,0)</x:f>
        <x:v>0</x:v>
      </x:c>
      <x:c r="L183" s="12" t="str">
        <x:v>由原件与原状态取得；仅主队列索引</x:v>
      </x:c>
      <x:c r="M183" s="12"/>
      <x:c r="N183" s="12"/>
      <x:c r="O183" s="12"/>
    </x:row>
    <x:row r="184" ht="39" customHeight="1">
      <x:c r="A184" s="12" t="str">
        <x:v>1311</x:v>
      </x:c>
      <x:c r="B184" s="12" t="str">
        <x:v>17508</x:v>
      </x:c>
      <x:c r="C184" s="12" t="str">
        <x:v>参考000</x:v>
      </x:c>
      <x:c r="D184" s="12" t="str">
        <x:v>自动000</x:v>
      </x:c>
      <x:c r="E184" s="12" t="n">
        <x:v>0</x:v>
      </x:c>
      <x:c r="F184" s="12" t="n">
        <x:v>1</x:v>
      </x:c>
      <x:c r="G184" s="12" t="n">
        <x:v>0</x:v>
      </x:c>
      <x:c r="H184" s="12" t="n">
        <x:f>IF(SUM(I184:K184)&gt;0,1,0)</x:f>
        <x:v>0</x:v>
      </x:c>
      <x:c r="I184" s="12" t="n">
        <x:f>IF('患者配对'!M168="positive",1,0)</x:f>
        <x:v>0</x:v>
      </x:c>
      <x:c r="J184" s="12" t="n">
        <x:f>IF('患者配对'!R168="positive",1,0)</x:f>
        <x:v>0</x:v>
      </x:c>
      <x:c r="K184" s="12" t="n">
        <x:f>IF('患者配对'!W168="positive",1,0)</x:f>
        <x:v>0</x:v>
      </x:c>
      <x:c r="L184" s="12" t="str">
        <x:v>由原件与原状态取得；仅主队列索引</x:v>
      </x:c>
      <x:c r="M184" s="12"/>
      <x:c r="N184" s="12"/>
      <x:c r="O184" s="12"/>
    </x:row>
    <x:row r="185" ht="39" customHeight="1">
      <x:c r="A185" s="12" t="str">
        <x:v>1315</x:v>
      </x:c>
      <x:c r="B185" s="12" t="str">
        <x:v>13702</x:v>
      </x:c>
      <x:c r="C185" s="12" t="str">
        <x:v>参考000</x:v>
      </x:c>
      <x:c r="D185" s="12" t="str">
        <x:v>自动000</x:v>
      </x:c>
      <x:c r="E185" s="12" t="n">
        <x:v>0</x:v>
      </x:c>
      <x:c r="F185" s="12" t="n">
        <x:v>1</x:v>
      </x:c>
      <x:c r="G185" s="12" t="n">
        <x:v>0</x:v>
      </x:c>
      <x:c r="H185" s="12" t="n">
        <x:f>IF(SUM(I185:K185)&gt;0,1,0)</x:f>
        <x:v>0</x:v>
      </x:c>
      <x:c r="I185" s="12" t="n">
        <x:f>IF('患者配对'!M169="positive",1,0)</x:f>
        <x:v>0</x:v>
      </x:c>
      <x:c r="J185" s="12" t="n">
        <x:f>IF('患者配对'!R169="positive",1,0)</x:f>
        <x:v>0</x:v>
      </x:c>
      <x:c r="K185" s="12" t="n">
        <x:f>IF('患者配对'!W169="positive",1,0)</x:f>
        <x:v>0</x:v>
      </x:c>
      <x:c r="L185" s="12" t="str">
        <x:v>由原件与原状态取得；仅主队列索引</x:v>
      </x:c>
      <x:c r="M185" s="12"/>
      <x:c r="N185" s="12"/>
      <x:c r="O185" s="12"/>
    </x:row>
    <x:row r="186" ht="39" customHeight="1">
      <x:c r="A186" s="12" t="str">
        <x:v>1320</x:v>
      </x:c>
      <x:c r="B186" s="12" t="str">
        <x:v>4332</x:v>
      </x:c>
      <x:c r="C186" s="12" t="str">
        <x:v>参考000</x:v>
      </x:c>
      <x:c r="D186" s="12" t="str">
        <x:v>自动000</x:v>
      </x:c>
      <x:c r="E186" s="12" t="n">
        <x:v>0</x:v>
      </x:c>
      <x:c r="F186" s="12" t="n">
        <x:v>1</x:v>
      </x:c>
      <x:c r="G186" s="12" t="n">
        <x:v>0</x:v>
      </x:c>
      <x:c r="H186" s="12" t="n">
        <x:f>IF(SUM(I186:K186)&gt;0,1,0)</x:f>
        <x:v>0</x:v>
      </x:c>
      <x:c r="I186" s="12" t="n">
        <x:f>IF('患者配对'!M170="positive",1,0)</x:f>
        <x:v>0</x:v>
      </x:c>
      <x:c r="J186" s="12" t="n">
        <x:f>IF('患者配对'!R170="positive",1,0)</x:f>
        <x:v>0</x:v>
      </x:c>
      <x:c r="K186" s="12" t="n">
        <x:f>IF('患者配对'!W170="positive",1,0)</x:f>
        <x:v>0</x:v>
      </x:c>
      <x:c r="L186" s="12" t="str">
        <x:v>由原件与原状态取得；仅主队列索引</x:v>
      </x:c>
      <x:c r="M186" s="12"/>
      <x:c r="N186" s="12"/>
      <x:c r="O186" s="12"/>
    </x:row>
    <x:row r="187" ht="39" customHeight="1">
      <x:c r="A187" s="12" t="str">
        <x:v>1343</x:v>
      </x:c>
      <x:c r="B187" s="12" t="str">
        <x:v>20205</x:v>
      </x:c>
      <x:c r="C187" s="12" t="str">
        <x:v>参考000</x:v>
      </x:c>
      <x:c r="D187" s="12" t="str">
        <x:v>自动000</x:v>
      </x:c>
      <x:c r="E187" s="12" t="n">
        <x:v>0</x:v>
      </x:c>
      <x:c r="F187" s="12" t="n">
        <x:v>1</x:v>
      </x:c>
      <x:c r="G187" s="12" t="n">
        <x:v>0</x:v>
      </x:c>
      <x:c r="H187" s="12" t="n">
        <x:f>IF(SUM(I187:K187)&gt;0,1,0)</x:f>
        <x:v>0</x:v>
      </x:c>
      <x:c r="I187" s="12" t="n">
        <x:f>IF('患者配对'!M171="positive",1,0)</x:f>
        <x:v>0</x:v>
      </x:c>
      <x:c r="J187" s="12" t="n">
        <x:f>IF('患者配对'!R171="positive",1,0)</x:f>
        <x:v>0</x:v>
      </x:c>
      <x:c r="K187" s="12" t="n">
        <x:f>IF('患者配对'!W171="positive",1,0)</x:f>
        <x:v>0</x:v>
      </x:c>
      <x:c r="L187" s="12" t="str">
        <x:v>由原件与原状态取得；仅主队列索引</x:v>
      </x:c>
      <x:c r="M187" s="12"/>
      <x:c r="N187" s="12"/>
      <x:c r="O187" s="12"/>
    </x:row>
    <x:row r="188" ht="39" customHeight="1">
      <x:c r="A188" s="12" t="str">
        <x:v>1351</x:v>
      </x:c>
      <x:c r="B188" s="12" t="str">
        <x:v>2187</x:v>
      </x:c>
      <x:c r="C188" s="12" t="str">
        <x:v>参考000</x:v>
      </x:c>
      <x:c r="D188" s="12" t="str">
        <x:v>自动000</x:v>
      </x:c>
      <x:c r="E188" s="12" t="n">
        <x:v>0</x:v>
      </x:c>
      <x:c r="F188" s="12" t="n">
        <x:v>0</x:v>
      </x:c>
      <x:c r="G188" s="12" t="n">
        <x:v>0</x:v>
      </x:c>
      <x:c r="H188" s="12" t="n">
        <x:f>IF(SUM(I188:K188)&gt;0,1,0)</x:f>
        <x:v>0</x:v>
      </x:c>
      <x:c r="I188" s="12" t="n">
        <x:f>IF('患者配对'!M172="positive",1,0)</x:f>
        <x:v>0</x:v>
      </x:c>
      <x:c r="J188" s="12" t="n">
        <x:f>IF('患者配对'!R172="positive",1,0)</x:f>
        <x:v>0</x:v>
      </x:c>
      <x:c r="K188" s="12" t="n">
        <x:f>IF('患者配对'!W172="positive",1,0)</x:f>
        <x:v>0</x:v>
      </x:c>
      <x:c r="L188" s="12" t="str">
        <x:v>由原件与原状态取得；仅主队列索引</x:v>
      </x:c>
      <x:c r="M188" s="12"/>
      <x:c r="N188" s="12"/>
      <x:c r="O188" s="12"/>
    </x:row>
    <x:row r="189" ht="39" customHeight="1">
      <x:c r="A189" s="12" t="str">
        <x:v>1353</x:v>
      </x:c>
      <x:c r="B189" s="12" t="str">
        <x:v>1788</x:v>
      </x:c>
      <x:c r="C189" s="12" t="str">
        <x:v>参考000</x:v>
      </x:c>
      <x:c r="D189" s="12" t="str">
        <x:v>自动000</x:v>
      </x:c>
      <x:c r="E189" s="12" t="n">
        <x:v>0</x:v>
      </x:c>
      <x:c r="F189" s="12" t="n">
        <x:v>0</x:v>
      </x:c>
      <x:c r="G189" s="12" t="n">
        <x:v>0</x:v>
      </x:c>
      <x:c r="H189" s="12" t="n">
        <x:f>IF(SUM(I189:K189)&gt;0,1,0)</x:f>
        <x:v>0</x:v>
      </x:c>
      <x:c r="I189" s="12" t="n">
        <x:f>IF('患者配对'!M173="positive",1,0)</x:f>
        <x:v>0</x:v>
      </x:c>
      <x:c r="J189" s="12" t="n">
        <x:f>IF('患者配对'!R173="positive",1,0)</x:f>
        <x:v>0</x:v>
      </x:c>
      <x:c r="K189" s="12" t="n">
        <x:f>IF('患者配对'!W173="positive",1,0)</x:f>
        <x:v>0</x:v>
      </x:c>
      <x:c r="L189" s="12" t="str">
        <x:v>由原件与原状态取得；仅主队列索引</x:v>
      </x:c>
      <x:c r="M189" s="12"/>
      <x:c r="N189" s="12"/>
      <x:c r="O189" s="12"/>
    </x:row>
    <x:row r="190" ht="39" customHeight="1">
      <x:c r="A190" s="12" t="str">
        <x:v>1355</x:v>
      </x:c>
      <x:c r="B190" s="12" t="str">
        <x:v>2430</x:v>
      </x:c>
      <x:c r="C190" s="12" t="str">
        <x:v>参考000</x:v>
      </x:c>
      <x:c r="D190" s="12" t="str">
        <x:v>自动000</x:v>
      </x:c>
      <x:c r="E190" s="12" t="n">
        <x:v>0</x:v>
      </x:c>
      <x:c r="F190" s="12" t="n">
        <x:v>0</x:v>
      </x:c>
      <x:c r="G190" s="12" t="n">
        <x:v>0</x:v>
      </x:c>
      <x:c r="H190" s="12" t="n">
        <x:f>IF(SUM(I190:K190)&gt;0,1,0)</x:f>
        <x:v>0</x:v>
      </x:c>
      <x:c r="I190" s="12" t="n">
        <x:f>IF('患者配对'!M174="positive",1,0)</x:f>
        <x:v>0</x:v>
      </x:c>
      <x:c r="J190" s="12" t="n">
        <x:f>IF('患者配对'!R174="positive",1,0)</x:f>
        <x:v>0</x:v>
      </x:c>
      <x:c r="K190" s="12" t="n">
        <x:f>IF('患者配对'!W174="positive",1,0)</x:f>
        <x:v>0</x:v>
      </x:c>
      <x:c r="L190" s="12" t="str">
        <x:v>由原件与原状态取得；仅主队列索引</x:v>
      </x:c>
      <x:c r="M190" s="12"/>
      <x:c r="N190" s="12"/>
      <x:c r="O190" s="12"/>
    </x:row>
    <x:row r="191" ht="39" customHeight="1">
      <x:c r="A191" s="12" t="str">
        <x:v>1377</x:v>
      </x:c>
      <x:c r="B191" s="12" t="str">
        <x:v>5112</x:v>
      </x:c>
      <x:c r="C191" s="12" t="str">
        <x:v>参考000</x:v>
      </x:c>
      <x:c r="D191" s="12" t="str">
        <x:v>自动000</x:v>
      </x:c>
      <x:c r="E191" s="12" t="n">
        <x:v>0</x:v>
      </x:c>
      <x:c r="F191" s="12" t="n">
        <x:v>0</x:v>
      </x:c>
      <x:c r="G191" s="12" t="n">
        <x:v>0</x:v>
      </x:c>
      <x:c r="H191" s="12" t="n">
        <x:f>IF(SUM(I191:K191)&gt;0,1,0)</x:f>
        <x:v>0</x:v>
      </x:c>
      <x:c r="I191" s="12" t="n">
        <x:f>IF('患者配对'!M175="positive",1,0)</x:f>
        <x:v>0</x:v>
      </x:c>
      <x:c r="J191" s="12" t="n">
        <x:f>IF('患者配对'!R175="positive",1,0)</x:f>
        <x:v>0</x:v>
      </x:c>
      <x:c r="K191" s="12" t="n">
        <x:f>IF('患者配对'!W175="positive",1,0)</x:f>
        <x:v>0</x:v>
      </x:c>
      <x:c r="L191" s="12" t="str">
        <x:v>由原件与原状态取得；仅主队列索引</x:v>
      </x:c>
      <x:c r="M191" s="12"/>
      <x:c r="N191" s="12"/>
      <x:c r="O191" s="12"/>
    </x:row>
    <x:row r="192" ht="39" customHeight="1">
      <x:c r="A192" s="12" t="str">
        <x:v>1386</x:v>
      </x:c>
      <x:c r="B192" s="12" t="str">
        <x:v>7072</x:v>
      </x:c>
      <x:c r="C192" s="12" t="str">
        <x:v>参考000</x:v>
      </x:c>
      <x:c r="D192" s="12" t="str">
        <x:v>自动000</x:v>
      </x:c>
      <x:c r="E192" s="12" t="n">
        <x:v>0</x:v>
      </x:c>
      <x:c r="F192" s="12" t="n">
        <x:v>0</x:v>
      </x:c>
      <x:c r="G192" s="12" t="n">
        <x:v>0</x:v>
      </x:c>
      <x:c r="H192" s="12" t="n">
        <x:f>IF(SUM(I192:K192)&gt;0,1,0)</x:f>
        <x:v>0</x:v>
      </x:c>
      <x:c r="I192" s="12" t="n">
        <x:f>IF('患者配对'!M176="positive",1,0)</x:f>
        <x:v>0</x:v>
      </x:c>
      <x:c r="J192" s="12" t="n">
        <x:f>IF('患者配对'!R176="positive",1,0)</x:f>
        <x:v>0</x:v>
      </x:c>
      <x:c r="K192" s="12" t="n">
        <x:f>IF('患者配对'!W176="positive",1,0)</x:f>
        <x:v>0</x:v>
      </x:c>
      <x:c r="L192" s="12" t="str">
        <x:v>由原件与原状态取得；仅主队列索引</x:v>
      </x:c>
      <x:c r="M192" s="12"/>
      <x:c r="N192" s="12"/>
      <x:c r="O192" s="12"/>
    </x:row>
    <x:row r="193" ht="39" customHeight="1">
      <x:c r="A193" s="12" t="str">
        <x:v>1391</x:v>
      </x:c>
      <x:c r="B193" s="12" t="str">
        <x:v>13459</x:v>
      </x:c>
      <x:c r="C193" s="12" t="str">
        <x:v>参考000</x:v>
      </x:c>
      <x:c r="D193" s="12" t="str">
        <x:v>自动000</x:v>
      </x:c>
      <x:c r="E193" s="12" t="n">
        <x:v>0</x:v>
      </x:c>
      <x:c r="F193" s="12" t="n">
        <x:v>0</x:v>
      </x:c>
      <x:c r="G193" s="12" t="n">
        <x:v>0</x:v>
      </x:c>
      <x:c r="H193" s="12" t="n">
        <x:f>IF(SUM(I193:K193)&gt;0,1,0)</x:f>
        <x:v>0</x:v>
      </x:c>
      <x:c r="I193" s="12" t="n">
        <x:f>IF('患者配对'!M177="positive",1,0)</x:f>
        <x:v>0</x:v>
      </x:c>
      <x:c r="J193" s="12" t="n">
        <x:f>IF('患者配对'!R177="positive",1,0)</x:f>
        <x:v>0</x:v>
      </x:c>
      <x:c r="K193" s="12" t="n">
        <x:f>IF('患者配对'!W177="positive",1,0)</x:f>
        <x:v>0</x:v>
      </x:c>
      <x:c r="L193" s="12" t="str">
        <x:v>由原件与原状态取得；仅主队列索引</x:v>
      </x:c>
      <x:c r="M193" s="12"/>
      <x:c r="N193" s="12"/>
      <x:c r="O193" s="12"/>
    </x:row>
    <x:row r="194" ht="39" customHeight="1">
      <x:c r="A194" s="12" t="str">
        <x:v>1394</x:v>
      </x:c>
      <x:c r="B194" s="12" t="str">
        <x:v>11281</x:v>
      </x:c>
      <x:c r="C194" s="12" t="str">
        <x:v>参考000</x:v>
      </x:c>
      <x:c r="D194" s="12" t="str">
        <x:v>自动000</x:v>
      </x:c>
      <x:c r="E194" s="12" t="n">
        <x:v>0</x:v>
      </x:c>
      <x:c r="F194" s="12" t="n">
        <x:v>0</x:v>
      </x:c>
      <x:c r="G194" s="12" t="n">
        <x:v>0</x:v>
      </x:c>
      <x:c r="H194" s="12" t="n">
        <x:f>IF(SUM(I194:K194)&gt;0,1,0)</x:f>
        <x:v>0</x:v>
      </x:c>
      <x:c r="I194" s="12" t="n">
        <x:f>IF('患者配对'!M178="positive",1,0)</x:f>
        <x:v>0</x:v>
      </x:c>
      <x:c r="J194" s="12" t="n">
        <x:f>IF('患者配对'!R178="positive",1,0)</x:f>
        <x:v>0</x:v>
      </x:c>
      <x:c r="K194" s="12" t="n">
        <x:f>IF('患者配对'!W178="positive",1,0)</x:f>
        <x:v>0</x:v>
      </x:c>
      <x:c r="L194" s="12" t="str">
        <x:v>由原件与原状态取得；仅主队列索引</x:v>
      </x:c>
      <x:c r="M194" s="12"/>
      <x:c r="N194" s="12"/>
      <x:c r="O194" s="12"/>
    </x:row>
    <x:row r="195" ht="39" customHeight="1">
      <x:c r="A195" s="12" t="str">
        <x:v>1405</x:v>
      </x:c>
      <x:c r="B195" s="12" t="str">
        <x:v>16781</x:v>
      </x:c>
      <x:c r="C195" s="12" t="str">
        <x:v>参考000</x:v>
      </x:c>
      <x:c r="D195" s="12" t="str">
        <x:v>自动000</x:v>
      </x:c>
      <x:c r="E195" s="12" t="n">
        <x:v>0</x:v>
      </x:c>
      <x:c r="F195" s="12" t="n">
        <x:v>1</x:v>
      </x:c>
      <x:c r="G195" s="12" t="n">
        <x:v>0</x:v>
      </x:c>
      <x:c r="H195" s="12" t="n">
        <x:f>IF(SUM(I195:K195)&gt;0,1,0)</x:f>
        <x:v>0</x:v>
      </x:c>
      <x:c r="I195" s="12" t="n">
        <x:f>IF('患者配对'!M179="positive",1,0)</x:f>
        <x:v>0</x:v>
      </x:c>
      <x:c r="J195" s="12" t="n">
        <x:f>IF('患者配对'!R179="positive",1,0)</x:f>
        <x:v>0</x:v>
      </x:c>
      <x:c r="K195" s="12" t="n">
        <x:f>IF('患者配对'!W179="positive",1,0)</x:f>
        <x:v>0</x:v>
      </x:c>
      <x:c r="L195" s="12" t="str">
        <x:v>由原件与原状态取得；仅主队列索引</x:v>
      </x:c>
      <x:c r="M195" s="12"/>
      <x:c r="N195" s="12"/>
      <x:c r="O195" s="12"/>
    </x:row>
    <x:row r="196" ht="39" customHeight="1">
      <x:c r="A196" s="12" t="str">
        <x:v>1416</x:v>
      </x:c>
      <x:c r="B196" s="12" t="str">
        <x:v>16693</x:v>
      </x:c>
      <x:c r="C196" s="12" t="str">
        <x:v>参考000</x:v>
      </x:c>
      <x:c r="D196" s="12" t="str">
        <x:v>自动000</x:v>
      </x:c>
      <x:c r="E196" s="12" t="n">
        <x:v>0</x:v>
      </x:c>
      <x:c r="F196" s="12" t="n">
        <x:v>0</x:v>
      </x:c>
      <x:c r="G196" s="12" t="n">
        <x:v>0</x:v>
      </x:c>
      <x:c r="H196" s="12" t="n">
        <x:f>IF(SUM(I196:K196)&gt;0,1,0)</x:f>
        <x:v>0</x:v>
      </x:c>
      <x:c r="I196" s="12" t="n">
        <x:f>IF('患者配对'!M180="positive",1,0)</x:f>
        <x:v>0</x:v>
      </x:c>
      <x:c r="J196" s="12" t="n">
        <x:f>IF('患者配对'!R180="positive",1,0)</x:f>
        <x:v>0</x:v>
      </x:c>
      <x:c r="K196" s="12" t="n">
        <x:f>IF('患者配对'!W180="positive",1,0)</x:f>
        <x:v>0</x:v>
      </x:c>
      <x:c r="L196" s="12" t="str">
        <x:v>由原件与原状态取得；仅主队列索引</x:v>
      </x:c>
      <x:c r="M196" s="12"/>
      <x:c r="N196" s="12"/>
      <x:c r="O196" s="12"/>
    </x:row>
    <x:row r="197" ht="39" customHeight="1">
      <x:c r="A197" s="12" t="str">
        <x:v>1424</x:v>
      </x:c>
      <x:c r="B197" s="12" t="str">
        <x:v>8130</x:v>
      </x:c>
      <x:c r="C197" s="12" t="str">
        <x:v>参考001</x:v>
      </x:c>
      <x:c r="D197" s="12" t="str">
        <x:v>自动001</x:v>
      </x:c>
      <x:c r="E197" s="12" t="n">
        <x:v>1</x:v>
      </x:c>
      <x:c r="F197" s="12" t="n">
        <x:v>1</x:v>
      </x:c>
      <x:c r="G197" s="12" t="n">
        <x:v>0</x:v>
      </x:c>
      <x:c r="H197" s="12" t="n">
        <x:f>IF(SUM(I197:K197)&gt;0,1,0)</x:f>
        <x:v>1</x:v>
      </x:c>
      <x:c r="I197" s="12" t="n">
        <x:f>IF('患者配对'!M181="positive",1,0)</x:f>
        <x:v>0</x:v>
      </x:c>
      <x:c r="J197" s="12" t="n">
        <x:f>IF('患者配对'!R181="positive",1,0)</x:f>
        <x:v>0</x:v>
      </x:c>
      <x:c r="K197" s="12" t="n">
        <x:f>IF('患者配对'!W181="positive",1,0)</x:f>
        <x:v>1</x:v>
      </x:c>
      <x:c r="L197" s="12" t="str">
        <x:v>由原件与原状态取得；仅主队列索引</x:v>
      </x:c>
      <x:c r="M197" s="12"/>
      <x:c r="N197" s="12"/>
      <x:c r="O197" s="12"/>
    </x:row>
    <x:row r="198" ht="39" customHeight="1">
      <x:c r="A198" s="12" t="str">
        <x:v>1426</x:v>
      </x:c>
      <x:c r="B198" s="12" t="str">
        <x:v>16997</x:v>
      </x:c>
      <x:c r="C198" s="12" t="str">
        <x:v>参考000</x:v>
      </x:c>
      <x:c r="D198" s="12" t="str">
        <x:v>自动000</x:v>
      </x:c>
      <x:c r="E198" s="12" t="n">
        <x:v>0</x:v>
      </x:c>
      <x:c r="F198" s="12" t="n">
        <x:v>0</x:v>
      </x:c>
      <x:c r="G198" s="12" t="n">
        <x:v>0</x:v>
      </x:c>
      <x:c r="H198" s="12" t="n">
        <x:f>IF(SUM(I198:K198)&gt;0,1,0)</x:f>
        <x:v>0</x:v>
      </x:c>
      <x:c r="I198" s="12" t="n">
        <x:f>IF('患者配对'!M182="positive",1,0)</x:f>
        <x:v>0</x:v>
      </x:c>
      <x:c r="J198" s="12" t="n">
        <x:f>IF('患者配对'!R182="positive",1,0)</x:f>
        <x:v>0</x:v>
      </x:c>
      <x:c r="K198" s="12" t="n">
        <x:f>IF('患者配对'!W182="positive",1,0)</x:f>
        <x:v>0</x:v>
      </x:c>
      <x:c r="L198" s="12" t="str">
        <x:v>由原件与原状态取得；仅主队列索引</x:v>
      </x:c>
      <x:c r="M198" s="12"/>
      <x:c r="N198" s="12"/>
      <x:c r="O198" s="12"/>
    </x:row>
    <x:row r="199" ht="39" customHeight="1">
      <x:c r="A199" s="12" t="str">
        <x:v>1429</x:v>
      </x:c>
      <x:c r="B199" s="12" t="str">
        <x:v>15586</x:v>
      </x:c>
      <x:c r="C199" s="12" t="str">
        <x:v>参考000</x:v>
      </x:c>
      <x:c r="D199" s="12" t="str">
        <x:v>自动000</x:v>
      </x:c>
      <x:c r="E199" s="12" t="n">
        <x:v>0</x:v>
      </x:c>
      <x:c r="F199" s="12" t="n">
        <x:v>0</x:v>
      </x:c>
      <x:c r="G199" s="12" t="n">
        <x:v>0</x:v>
      </x:c>
      <x:c r="H199" s="12" t="n">
        <x:f>IF(SUM(I199:K199)&gt;0,1,0)</x:f>
        <x:v>0</x:v>
      </x:c>
      <x:c r="I199" s="12" t="n">
        <x:f>IF('患者配对'!M183="positive",1,0)</x:f>
        <x:v>0</x:v>
      </x:c>
      <x:c r="J199" s="12" t="n">
        <x:f>IF('患者配对'!R183="positive",1,0)</x:f>
        <x:v>0</x:v>
      </x:c>
      <x:c r="K199" s="12" t="n">
        <x:f>IF('患者配对'!W183="positive",1,0)</x:f>
        <x:v>0</x:v>
      </x:c>
      <x:c r="L199" s="12" t="str">
        <x:v>由原件与原状态取得；仅主队列索引</x:v>
      </x:c>
      <x:c r="M199" s="12"/>
      <x:c r="N199" s="12"/>
      <x:c r="O199" s="12"/>
    </x:row>
    <x:row r="200" ht="39" customHeight="1">
      <x:c r="A200" s="12" t="str">
        <x:v>1447</x:v>
      </x:c>
      <x:c r="B200" s="12" t="str">
        <x:v>13478</x:v>
      </x:c>
      <x:c r="C200" s="12" t="str">
        <x:v>参考000</x:v>
      </x:c>
      <x:c r="D200" s="12" t="str">
        <x:v>自动000</x:v>
      </x:c>
      <x:c r="E200" s="12" t="n">
        <x:v>0</x:v>
      </x:c>
      <x:c r="F200" s="12" t="n">
        <x:v>1</x:v>
      </x:c>
      <x:c r="G200" s="12" t="n">
        <x:v>0</x:v>
      </x:c>
      <x:c r="H200" s="12" t="n">
        <x:f>IF(SUM(I200:K200)&gt;0,1,0)</x:f>
        <x:v>0</x:v>
      </x:c>
      <x:c r="I200" s="12" t="n">
        <x:f>IF('患者配对'!M184="positive",1,0)</x:f>
        <x:v>0</x:v>
      </x:c>
      <x:c r="J200" s="12" t="n">
        <x:f>IF('患者配对'!R184="positive",1,0)</x:f>
        <x:v>0</x:v>
      </x:c>
      <x:c r="K200" s="12" t="n">
        <x:f>IF('患者配对'!W184="positive",1,0)</x:f>
        <x:v>0</x:v>
      </x:c>
      <x:c r="L200" s="12" t="str">
        <x:v>由原件与原状态取得；仅主队列索引</x:v>
      </x:c>
      <x:c r="M200" s="12"/>
      <x:c r="N200" s="12"/>
      <x:c r="O200" s="12"/>
    </x:row>
    <x:row r="201" ht="39" customHeight="1">
      <x:c r="A201" s="12" t="str">
        <x:v>1456</x:v>
      </x:c>
      <x:c r="B201" s="12" t="str">
        <x:v>13776</x:v>
      </x:c>
      <x:c r="C201" s="12" t="str">
        <x:v>参考000</x:v>
      </x:c>
      <x:c r="D201" s="12" t="str">
        <x:v>自动100</x:v>
      </x:c>
      <x:c r="E201" s="12" t="n">
        <x:v>1</x:v>
      </x:c>
      <x:c r="F201" s="12" t="n">
        <x:v>1</x:v>
      </x:c>
      <x:c r="G201" s="12" t="n">
        <x:v>1</x:v>
      </x:c>
      <x:c r="H201" s="12" t="n">
        <x:f>IF(SUM(I201:K201)&gt;0,1,0)</x:f>
        <x:v>0</x:v>
      </x:c>
      <x:c r="I201" s="12" t="n">
        <x:f>IF('患者配对'!M185="positive",1,0)</x:f>
        <x:v>0</x:v>
      </x:c>
      <x:c r="J201" s="12" t="n">
        <x:f>IF('患者配对'!R185="positive",1,0)</x:f>
        <x:v>0</x:v>
      </x:c>
      <x:c r="K201" s="12" t="n">
        <x:f>IF('患者配对'!W185="positive",1,0)</x:f>
        <x:v>0</x:v>
      </x:c>
      <x:c r="L201" s="12" t="str">
        <x:v>由原件与原状态取得；仅主队列索引</x:v>
      </x:c>
      <x:c r="M201" s="12"/>
      <x:c r="N201" s="12"/>
      <x:c r="O201" s="12"/>
    </x:row>
    <x:row r="202" ht="39" customHeight="1">
      <x:c r="A202" s="12" t="str">
        <x:v>1458</x:v>
      </x:c>
      <x:c r="B202" s="12" t="str">
        <x:v>8150</x:v>
      </x:c>
      <x:c r="C202" s="12" t="str">
        <x:v>参考000</x:v>
      </x:c>
      <x:c r="D202" s="12" t="str">
        <x:v>自动000</x:v>
      </x:c>
      <x:c r="E202" s="12" t="n">
        <x:v>0</x:v>
      </x:c>
      <x:c r="F202" s="12" t="n">
        <x:v>1</x:v>
      </x:c>
      <x:c r="G202" s="12" t="n">
        <x:v>0</x:v>
      </x:c>
      <x:c r="H202" s="12" t="n">
        <x:f>IF(SUM(I202:K202)&gt;0,1,0)</x:f>
        <x:v>0</x:v>
      </x:c>
      <x:c r="I202" s="12" t="n">
        <x:f>IF('患者配对'!M186="positive",1,0)</x:f>
        <x:v>0</x:v>
      </x:c>
      <x:c r="J202" s="12" t="n">
        <x:f>IF('患者配对'!R186="positive",1,0)</x:f>
        <x:v>0</x:v>
      </x:c>
      <x:c r="K202" s="12" t="n">
        <x:f>IF('患者配对'!W186="positive",1,0)</x:f>
        <x:v>0</x:v>
      </x:c>
      <x:c r="L202" s="12" t="str">
        <x:v>由原件与原状态取得；仅主队列索引</x:v>
      </x:c>
      <x:c r="M202" s="12"/>
      <x:c r="N202" s="12"/>
      <x:c r="O202" s="12"/>
    </x:row>
    <x:row r="203" ht="39" customHeight="1">
      <x:c r="A203" s="12" t="str">
        <x:v>1468</x:v>
      </x:c>
      <x:c r="B203" s="12" t="str">
        <x:v>13411</x:v>
      </x:c>
      <x:c r="C203" s="12" t="str">
        <x:v>参考000</x:v>
      </x:c>
      <x:c r="D203" s="12" t="str">
        <x:v>自动000</x:v>
      </x:c>
      <x:c r="E203" s="12" t="n">
        <x:v>0</x:v>
      </x:c>
      <x:c r="F203" s="12" t="n">
        <x:v>1</x:v>
      </x:c>
      <x:c r="G203" s="12" t="n">
        <x:v>0</x:v>
      </x:c>
      <x:c r="H203" s="12" t="n">
        <x:f>IF(SUM(I203:K203)&gt;0,1,0)</x:f>
        <x:v>0</x:v>
      </x:c>
      <x:c r="I203" s="12" t="n">
        <x:f>IF('患者配对'!M187="positive",1,0)</x:f>
        <x:v>0</x:v>
      </x:c>
      <x:c r="J203" s="12" t="n">
        <x:f>IF('患者配对'!R187="positive",1,0)</x:f>
        <x:v>0</x:v>
      </x:c>
      <x:c r="K203" s="12" t="n">
        <x:f>IF('患者配对'!W187="positive",1,0)</x:f>
        <x:v>0</x:v>
      </x:c>
      <x:c r="L203" s="12" t="str">
        <x:v>由原件与原状态取得；仅主队列索引</x:v>
      </x:c>
      <x:c r="M203" s="12"/>
      <x:c r="N203" s="12"/>
      <x:c r="O203" s="12"/>
    </x:row>
    <x:row r="204" ht="39" customHeight="1">
      <x:c r="A204" s="12" t="str">
        <x:v>1479</x:v>
      </x:c>
      <x:c r="B204" s="12" t="str">
        <x:v>12663</x:v>
      </x:c>
      <x:c r="C204" s="12" t="str">
        <x:v>参考000</x:v>
      </x:c>
      <x:c r="D204" s="12" t="str">
        <x:v>自动000</x:v>
      </x:c>
      <x:c r="E204" s="12" t="n">
        <x:v>0</x:v>
      </x:c>
      <x:c r="F204" s="12" t="n">
        <x:v>0</x:v>
      </x:c>
      <x:c r="G204" s="12" t="n">
        <x:v>0</x:v>
      </x:c>
      <x:c r="H204" s="12" t="n">
        <x:f>IF(SUM(I204:K204)&gt;0,1,0)</x:f>
        <x:v>0</x:v>
      </x:c>
      <x:c r="I204" s="12" t="n">
        <x:f>IF('患者配对'!M188="positive",1,0)</x:f>
        <x:v>0</x:v>
      </x:c>
      <x:c r="J204" s="12" t="n">
        <x:f>IF('患者配对'!R188="positive",1,0)</x:f>
        <x:v>0</x:v>
      </x:c>
      <x:c r="K204" s="12" t="n">
        <x:f>IF('患者配对'!W188="positive",1,0)</x:f>
        <x:v>0</x:v>
      </x:c>
      <x:c r="L204" s="12" t="str">
        <x:v>由原件与原状态取得；仅主队列索引</x:v>
      </x:c>
      <x:c r="M204" s="12"/>
      <x:c r="N204" s="12"/>
      <x:c r="O204" s="12"/>
    </x:row>
    <x:row r="205" ht="39" customHeight="1">
      <x:c r="A205" s="12" t="str">
        <x:v>1480</x:v>
      </x:c>
      <x:c r="B205" s="12" t="str">
        <x:v>18328</x:v>
      </x:c>
      <x:c r="C205" s="12" t="str">
        <x:v>参考000</x:v>
      </x:c>
      <x:c r="D205" s="12" t="str">
        <x:v>自动000</x:v>
      </x:c>
      <x:c r="E205" s="12" t="n">
        <x:v>0</x:v>
      </x:c>
      <x:c r="F205" s="12" t="n">
        <x:v>1</x:v>
      </x:c>
      <x:c r="G205" s="12" t="n">
        <x:v>0</x:v>
      </x:c>
      <x:c r="H205" s="12" t="n">
        <x:f>IF(SUM(I205:K205)&gt;0,1,0)</x:f>
        <x:v>0</x:v>
      </x:c>
      <x:c r="I205" s="12" t="n">
        <x:f>IF('患者配对'!M189="positive",1,0)</x:f>
        <x:v>0</x:v>
      </x:c>
      <x:c r="J205" s="12" t="n">
        <x:f>IF('患者配对'!R189="positive",1,0)</x:f>
        <x:v>0</x:v>
      </x:c>
      <x:c r="K205" s="12" t="n">
        <x:f>IF('患者配对'!W189="positive",1,0)</x:f>
        <x:v>0</x:v>
      </x:c>
      <x:c r="L205" s="12" t="str">
        <x:v>由原件与原状态取得；仅主队列索引</x:v>
      </x:c>
      <x:c r="M205" s="12"/>
      <x:c r="N205" s="12"/>
      <x:c r="O205" s="12"/>
    </x:row>
    <x:row r="206" ht="39" customHeight="1">
      <x:c r="A206" s="12" t="str">
        <x:v>1487</x:v>
      </x:c>
      <x:c r="B206" s="12" t="str">
        <x:v>14823</x:v>
      </x:c>
      <x:c r="C206" s="12" t="str">
        <x:v>参考000</x:v>
      </x:c>
      <x:c r="D206" s="12" t="str">
        <x:v>自动000</x:v>
      </x:c>
      <x:c r="E206" s="12" t="n">
        <x:v>0</x:v>
      </x:c>
      <x:c r="F206" s="12" t="n">
        <x:v>0</x:v>
      </x:c>
      <x:c r="G206" s="12" t="n">
        <x:v>0</x:v>
      </x:c>
      <x:c r="H206" s="12" t="n">
        <x:f>IF(SUM(I206:K206)&gt;0,1,0)</x:f>
        <x:v>0</x:v>
      </x:c>
      <x:c r="I206" s="12" t="n">
        <x:f>IF('患者配对'!M190="positive",1,0)</x:f>
        <x:v>0</x:v>
      </x:c>
      <x:c r="J206" s="12" t="n">
        <x:f>IF('患者配对'!R190="positive",1,0)</x:f>
        <x:v>0</x:v>
      </x:c>
      <x:c r="K206" s="12" t="n">
        <x:f>IF('患者配对'!W190="positive",1,0)</x:f>
        <x:v>0</x:v>
      </x:c>
      <x:c r="L206" s="12" t="str">
        <x:v>由原件与原状态取得；仅主队列索引</x:v>
      </x:c>
      <x:c r="M206" s="12"/>
      <x:c r="N206" s="12"/>
      <x:c r="O206" s="12"/>
    </x:row>
    <x:row r="207" ht="39" customHeight="1">
      <x:c r="A207" s="12" t="str">
        <x:v>1491</x:v>
      </x:c>
      <x:c r="B207" s="12" t="str">
        <x:v>16837</x:v>
      </x:c>
      <x:c r="C207" s="12" t="str">
        <x:v>参考000</x:v>
      </x:c>
      <x:c r="D207" s="12" t="str">
        <x:v>自动000</x:v>
      </x:c>
      <x:c r="E207" s="12" t="n">
        <x:v>0</x:v>
      </x:c>
      <x:c r="F207" s="12" t="n">
        <x:v>0</x:v>
      </x:c>
      <x:c r="G207" s="12" t="n">
        <x:v>0</x:v>
      </x:c>
      <x:c r="H207" s="12" t="n">
        <x:f>IF(SUM(I207:K207)&gt;0,1,0)</x:f>
        <x:v>0</x:v>
      </x:c>
      <x:c r="I207" s="12" t="n">
        <x:f>IF('患者配对'!M191="positive",1,0)</x:f>
        <x:v>0</x:v>
      </x:c>
      <x:c r="J207" s="12" t="n">
        <x:f>IF('患者配对'!R191="positive",1,0)</x:f>
        <x:v>0</x:v>
      </x:c>
      <x:c r="K207" s="12" t="n">
        <x:f>IF('患者配对'!W191="positive",1,0)</x:f>
        <x:v>0</x:v>
      </x:c>
      <x:c r="L207" s="12" t="str">
        <x:v>由原件与原状态取得；仅主队列索引</x:v>
      </x:c>
      <x:c r="M207" s="12"/>
      <x:c r="N207" s="12"/>
      <x:c r="O207" s="12"/>
    </x:row>
    <x:row r="208" ht="39" customHeight="1">
      <x:c r="A208" s="12" t="str">
        <x:v>1498</x:v>
      </x:c>
      <x:c r="B208" s="12" t="str">
        <x:v>17124</x:v>
      </x:c>
      <x:c r="C208" s="12" t="str">
        <x:v>参考000</x:v>
      </x:c>
      <x:c r="D208" s="12" t="str">
        <x:v>自动000</x:v>
      </x:c>
      <x:c r="E208" s="12" t="n">
        <x:v>0</x:v>
      </x:c>
      <x:c r="F208" s="12" t="n">
        <x:v>1</x:v>
      </x:c>
      <x:c r="G208" s="12" t="n">
        <x:v>0</x:v>
      </x:c>
      <x:c r="H208" s="12" t="n">
        <x:f>IF(SUM(I208:K208)&gt;0,1,0)</x:f>
        <x:v>0</x:v>
      </x:c>
      <x:c r="I208" s="12" t="n">
        <x:f>IF('患者配对'!M193="positive",1,0)</x:f>
        <x:v>0</x:v>
      </x:c>
      <x:c r="J208" s="12" t="n">
        <x:f>IF('患者配对'!R193="positive",1,0)</x:f>
        <x:v>0</x:v>
      </x:c>
      <x:c r="K208" s="12" t="n">
        <x:f>IF('患者配对'!W193="positive",1,0)</x:f>
        <x:v>0</x:v>
      </x:c>
      <x:c r="L208" s="12" t="str">
        <x:v>由原件与原状态取得；仅主队列索引</x:v>
      </x:c>
      <x:c r="M208" s="12"/>
      <x:c r="N208" s="12"/>
      <x:c r="O208" s="12"/>
    </x:row>
    <x:row r="209" ht="39" customHeight="1">
      <x:c r="A209" s="12" t="str">
        <x:v>1522</x:v>
      </x:c>
      <x:c r="B209" s="12" t="str">
        <x:v>2313</x:v>
      </x:c>
      <x:c r="C209" s="12" t="str">
        <x:v>参考000</x:v>
      </x:c>
      <x:c r="D209" s="12" t="str">
        <x:v>自动000</x:v>
      </x:c>
      <x:c r="E209" s="12" t="n">
        <x:v>0</x:v>
      </x:c>
      <x:c r="F209" s="12" t="n">
        <x:v>0</x:v>
      </x:c>
      <x:c r="G209" s="12" t="n">
        <x:v>0</x:v>
      </x:c>
      <x:c r="H209" s="12" t="n">
        <x:f>IF(SUM(I209:K209)&gt;0,1,0)</x:f>
        <x:v>0</x:v>
      </x:c>
      <x:c r="I209" s="12" t="n">
        <x:f>IF('患者配对'!M194="positive",1,0)</x:f>
        <x:v>0</x:v>
      </x:c>
      <x:c r="J209" s="12" t="n">
        <x:f>IF('患者配对'!R194="positive",1,0)</x:f>
        <x:v>0</x:v>
      </x:c>
      <x:c r="K209" s="12" t="n">
        <x:f>IF('患者配对'!W194="positive",1,0)</x:f>
        <x:v>0</x:v>
      </x:c>
      <x:c r="L209" s="12" t="str">
        <x:v>由原件与原状态取得；仅主队列索引</x:v>
      </x:c>
      <x:c r="M209" s="12"/>
      <x:c r="N209" s="12"/>
      <x:c r="O209" s="12"/>
    </x:row>
    <x:row r="210" ht="39" customHeight="1">
      <x:c r="A210" s="12" t="str">
        <x:v>1534</x:v>
      </x:c>
      <x:c r="B210" s="12" t="str">
        <x:v>7120</x:v>
      </x:c>
      <x:c r="C210" s="12" t="str">
        <x:v>参考000</x:v>
      </x:c>
      <x:c r="D210" s="12" t="str">
        <x:v>自动000</x:v>
      </x:c>
      <x:c r="E210" s="12" t="n">
        <x:v>0</x:v>
      </x:c>
      <x:c r="F210" s="12" t="n">
        <x:v>0</x:v>
      </x:c>
      <x:c r="G210" s="12" t="n">
        <x:v>0</x:v>
      </x:c>
      <x:c r="H210" s="12" t="n">
        <x:f>IF(SUM(I210:K210)&gt;0,1,0)</x:f>
        <x:v>0</x:v>
      </x:c>
      <x:c r="I210" s="12" t="n">
        <x:f>IF('患者配对'!M195="positive",1,0)</x:f>
        <x:v>0</x:v>
      </x:c>
      <x:c r="J210" s="12" t="n">
        <x:f>IF('患者配对'!R195="positive",1,0)</x:f>
        <x:v>0</x:v>
      </x:c>
      <x:c r="K210" s="12" t="n">
        <x:f>IF('患者配对'!W195="positive",1,0)</x:f>
        <x:v>0</x:v>
      </x:c>
      <x:c r="L210" s="12" t="str">
        <x:v>由原件与原状态取得；仅主队列索引</x:v>
      </x:c>
      <x:c r="M210" s="12"/>
      <x:c r="N210" s="12"/>
      <x:c r="O210" s="12"/>
    </x:row>
    <x:row r="211" ht="39" customHeight="1">
      <x:c r="A211" s="12" t="str">
        <x:v>1556</x:v>
      </x:c>
      <x:c r="B211" s="12" t="str">
        <x:v>3392</x:v>
      </x:c>
      <x:c r="C211" s="12" t="str">
        <x:v>参考000</x:v>
      </x:c>
      <x:c r="D211" s="12" t="str">
        <x:v>自动000</x:v>
      </x:c>
      <x:c r="E211" s="12" t="n">
        <x:v>0</x:v>
      </x:c>
      <x:c r="F211" s="12" t="n">
        <x:v>0</x:v>
      </x:c>
      <x:c r="G211" s="12" t="n">
        <x:v>0</x:v>
      </x:c>
      <x:c r="H211" s="12" t="n">
        <x:f>IF(SUM(I211:K211)&gt;0,1,0)</x:f>
        <x:v>0</x:v>
      </x:c>
      <x:c r="I211" s="12" t="n">
        <x:f>IF('患者配对'!M196="positive",1,0)</x:f>
        <x:v>0</x:v>
      </x:c>
      <x:c r="J211" s="12" t="n">
        <x:f>IF('患者配对'!R196="positive",1,0)</x:f>
        <x:v>0</x:v>
      </x:c>
      <x:c r="K211" s="12" t="n">
        <x:f>IF('患者配对'!W196="positive",1,0)</x:f>
        <x:v>0</x:v>
      </x:c>
      <x:c r="L211" s="12" t="str">
        <x:v>由原件与原状态取得；仅主队列索引</x:v>
      </x:c>
      <x:c r="M211" s="12"/>
      <x:c r="N211" s="12"/>
      <x:c r="O211" s="12"/>
    </x:row>
    <x:row r="212" ht="39" customHeight="1">
      <x:c r="A212" s="12" t="str">
        <x:v>1564</x:v>
      </x:c>
      <x:c r="B212" s="12" t="str">
        <x:v>2281</x:v>
      </x:c>
      <x:c r="C212" s="12" t="str">
        <x:v>参考010</x:v>
      </x:c>
      <x:c r="D212" s="12" t="str">
        <x:v>自动010</x:v>
      </x:c>
      <x:c r="E212" s="12" t="n">
        <x:v>1</x:v>
      </x:c>
      <x:c r="F212" s="12" t="n">
        <x:v>1</x:v>
      </x:c>
      <x:c r="G212" s="12" t="n">
        <x:v>0</x:v>
      </x:c>
      <x:c r="H212" s="12" t="n">
        <x:f>IF(SUM(I212:K212)&gt;0,1,0)</x:f>
        <x:v>1</x:v>
      </x:c>
      <x:c r="I212" s="12" t="n">
        <x:f>IF('患者配对'!M197="positive",1,0)</x:f>
        <x:v>0</x:v>
      </x:c>
      <x:c r="J212" s="12" t="n">
        <x:f>IF('患者配对'!R197="positive",1,0)</x:f>
        <x:v>1</x:v>
      </x:c>
      <x:c r="K212" s="12" t="n">
        <x:f>IF('患者配对'!W197="positive",1,0)</x:f>
        <x:v>0</x:v>
      </x:c>
      <x:c r="L212" s="12" t="str">
        <x:v>由原件与原状态取得；仅主队列索引</x:v>
      </x:c>
      <x:c r="M212" s="12"/>
      <x:c r="N212" s="12"/>
      <x:c r="O212" s="12"/>
    </x:row>
    <x:row r="213" ht="39" customHeight="1">
      <x:c r="A213" s="12" t="str">
        <x:v>1571</x:v>
      </x:c>
      <x:c r="B213" s="12" t="str">
        <x:v>11710</x:v>
      </x:c>
      <x:c r="C213" s="12" t="str">
        <x:v>参考000</x:v>
      </x:c>
      <x:c r="D213" s="12" t="str">
        <x:v>自动000</x:v>
      </x:c>
      <x:c r="E213" s="12" t="n">
        <x:v>0</x:v>
      </x:c>
      <x:c r="F213" s="12" t="n">
        <x:v>0</x:v>
      </x:c>
      <x:c r="G213" s="12" t="n">
        <x:v>0</x:v>
      </x:c>
      <x:c r="H213" s="12" t="n">
        <x:f>IF(SUM(I213:K213)&gt;0,1,0)</x:f>
        <x:v>0</x:v>
      </x:c>
      <x:c r="I213" s="12" t="n">
        <x:f>IF('患者配对'!M198="positive",1,0)</x:f>
        <x:v>0</x:v>
      </x:c>
      <x:c r="J213" s="12" t="n">
        <x:f>IF('患者配对'!R198="positive",1,0)</x:f>
        <x:v>0</x:v>
      </x:c>
      <x:c r="K213" s="12" t="n">
        <x:f>IF('患者配对'!W198="positive",1,0)</x:f>
        <x:v>0</x:v>
      </x:c>
      <x:c r="L213" s="12" t="str">
        <x:v>由原件与原状态取得；仅主队列索引</x:v>
      </x:c>
      <x:c r="M213" s="12"/>
      <x:c r="N213" s="12"/>
      <x:c r="O213" s="12"/>
    </x:row>
    <x:row r="214" ht="39" customHeight="1">
      <x:c r="A214" s="12" t="str">
        <x:v>1589</x:v>
      </x:c>
      <x:c r="B214" s="12" t="str">
        <x:v>3555</x:v>
      </x:c>
      <x:c r="C214" s="12" t="str">
        <x:v>参考000</x:v>
      </x:c>
      <x:c r="D214" s="12" t="str">
        <x:v>自动000</x:v>
      </x:c>
      <x:c r="E214" s="12" t="n">
        <x:v>0</x:v>
      </x:c>
      <x:c r="F214" s="12" t="n">
        <x:v>0</x:v>
      </x:c>
      <x:c r="G214" s="12" t="n">
        <x:v>0</x:v>
      </x:c>
      <x:c r="H214" s="12" t="n">
        <x:f>IF(SUM(I214:K214)&gt;0,1,0)</x:f>
        <x:v>0</x:v>
      </x:c>
      <x:c r="I214" s="12" t="n">
        <x:f>IF('患者配对'!M199="positive",1,0)</x:f>
        <x:v>0</x:v>
      </x:c>
      <x:c r="J214" s="12" t="n">
        <x:f>IF('患者配对'!R199="positive",1,0)</x:f>
        <x:v>0</x:v>
      </x:c>
      <x:c r="K214" s="12" t="n">
        <x:f>IF('患者配对'!W199="positive",1,0)</x:f>
        <x:v>0</x:v>
      </x:c>
      <x:c r="L214" s="12" t="str">
        <x:v>由原件与原状态取得；仅主队列索引</x:v>
      </x:c>
      <x:c r="M214" s="12"/>
      <x:c r="N214" s="12"/>
      <x:c r="O214" s="12"/>
    </x:row>
    <x:row r="215" ht="39" customHeight="1">
      <x:c r="A215" s="12" t="str">
        <x:v>1617</x:v>
      </x:c>
      <x:c r="B215" s="12" t="str">
        <x:v>5003</x:v>
      </x:c>
      <x:c r="C215" s="12" t="str">
        <x:v>参考000</x:v>
      </x:c>
      <x:c r="D215" s="12" t="str">
        <x:v>自动000</x:v>
      </x:c>
      <x:c r="E215" s="12" t="n">
        <x:v>0</x:v>
      </x:c>
      <x:c r="F215" s="12" t="n">
        <x:v>0</x:v>
      </x:c>
      <x:c r="G215" s="12" t="n">
        <x:v>0</x:v>
      </x:c>
      <x:c r="H215" s="12" t="n">
        <x:f>IF(SUM(I215:K215)&gt;0,1,0)</x:f>
        <x:v>0</x:v>
      </x:c>
      <x:c r="I215" s="12" t="n">
        <x:f>IF('患者配对'!M200="positive",1,0)</x:f>
        <x:v>0</x:v>
      </x:c>
      <x:c r="J215" s="12" t="n">
        <x:f>IF('患者配对'!R200="positive",1,0)</x:f>
        <x:v>0</x:v>
      </x:c>
      <x:c r="K215" s="12" t="n">
        <x:f>IF('患者配对'!W200="positive",1,0)</x:f>
        <x:v>0</x:v>
      </x:c>
      <x:c r="L215" s="12" t="str">
        <x:v>由原件与原状态取得；仅主队列索引</x:v>
      </x:c>
      <x:c r="M215" s="12"/>
      <x:c r="N215" s="12"/>
      <x:c r="O215" s="12"/>
    </x:row>
    <x:row r="216" ht="39" customHeight="1">
      <x:c r="A216" s="12" t="str">
        <x:v>1618</x:v>
      </x:c>
      <x:c r="B216" s="12" t="str">
        <x:v>17507</x:v>
      </x:c>
      <x:c r="C216" s="12" t="str">
        <x:v>参考000</x:v>
      </x:c>
      <x:c r="D216" s="12" t="str">
        <x:v>自动000</x:v>
      </x:c>
      <x:c r="E216" s="12" t="n">
        <x:v>0</x:v>
      </x:c>
      <x:c r="F216" s="12" t="n">
        <x:v>1</x:v>
      </x:c>
      <x:c r="G216" s="12" t="n">
        <x:v>0</x:v>
      </x:c>
      <x:c r="H216" s="12" t="n">
        <x:f>IF(SUM(I216:K216)&gt;0,1,0)</x:f>
        <x:v>0</x:v>
      </x:c>
      <x:c r="I216" s="12" t="n">
        <x:f>IF('患者配对'!M201="positive",1,0)</x:f>
        <x:v>0</x:v>
      </x:c>
      <x:c r="J216" s="12" t="n">
        <x:f>IF('患者配对'!R201="positive",1,0)</x:f>
        <x:v>0</x:v>
      </x:c>
      <x:c r="K216" s="12" t="n">
        <x:f>IF('患者配对'!W201="positive",1,0)</x:f>
        <x:v>0</x:v>
      </x:c>
      <x:c r="L216" s="12" t="str">
        <x:v>由原件与原状态取得；仅主队列索引</x:v>
      </x:c>
      <x:c r="M216" s="12"/>
      <x:c r="N216" s="12"/>
      <x:c r="O216" s="12"/>
    </x:row>
    <x:row r="217" ht="39" customHeight="1">
      <x:c r="A217" s="12" t="str">
        <x:v>1624</x:v>
      </x:c>
      <x:c r="B217" s="12" t="str">
        <x:v>5715</x:v>
      </x:c>
      <x:c r="C217" s="12" t="str">
        <x:v>参考100</x:v>
      </x:c>
      <x:c r="D217" s="12" t="str">
        <x:v>自动100</x:v>
      </x:c>
      <x:c r="E217" s="12" t="n">
        <x:v>1</x:v>
      </x:c>
      <x:c r="F217" s="12" t="n">
        <x:v>1</x:v>
      </x:c>
      <x:c r="G217" s="12" t="n">
        <x:v>0</x:v>
      </x:c>
      <x:c r="H217" s="12" t="n">
        <x:f>IF(SUM(I217:K217)&gt;0,1,0)</x:f>
        <x:v>1</x:v>
      </x:c>
      <x:c r="I217" s="12" t="n">
        <x:f>IF('患者配对'!M202="positive",1,0)</x:f>
        <x:v>1</x:v>
      </x:c>
      <x:c r="J217" s="12" t="n">
        <x:f>IF('患者配对'!R202="positive",1,0)</x:f>
        <x:v>0</x:v>
      </x:c>
      <x:c r="K217" s="12" t="n">
        <x:f>IF('患者配对'!W202="positive",1,0)</x:f>
        <x:v>0</x:v>
      </x:c>
      <x:c r="L217" s="12" t="str">
        <x:v>由原件与原状态取得；仅主队列索引</x:v>
      </x:c>
      <x:c r="M217" s="12"/>
      <x:c r="N217" s="12"/>
      <x:c r="O217" s="12"/>
    </x:row>
    <x:row r="218" ht="39" customHeight="1">
      <x:c r="A218" s="12" t="str">
        <x:v>1630</x:v>
      </x:c>
      <x:c r="B218" s="12" t="str">
        <x:v>8804</x:v>
      </x:c>
      <x:c r="C218" s="12" t="str">
        <x:v>参考000</x:v>
      </x:c>
      <x:c r="D218" s="12" t="str">
        <x:v>自动000</x:v>
      </x:c>
      <x:c r="E218" s="12" t="n">
        <x:v>0</x:v>
      </x:c>
      <x:c r="F218" s="12" t="n">
        <x:v>1</x:v>
      </x:c>
      <x:c r="G218" s="12" t="n">
        <x:v>0</x:v>
      </x:c>
      <x:c r="H218" s="12" t="n">
        <x:f>IF(SUM(I218:K218)&gt;0,1,0)</x:f>
        <x:v>0</x:v>
      </x:c>
      <x:c r="I218" s="12" t="n">
        <x:f>IF('患者配对'!M203="positive",1,0)</x:f>
        <x:v>0</x:v>
      </x:c>
      <x:c r="J218" s="12" t="n">
        <x:f>IF('患者配对'!R203="positive",1,0)</x:f>
        <x:v>0</x:v>
      </x:c>
      <x:c r="K218" s="12" t="n">
        <x:f>IF('患者配对'!W203="positive",1,0)</x:f>
        <x:v>0</x:v>
      </x:c>
      <x:c r="L218" s="12" t="str">
        <x:v>由原件与原状态取得；仅主队列索引</x:v>
      </x:c>
      <x:c r="M218" s="12"/>
      <x:c r="N218" s="12"/>
      <x:c r="O218" s="12"/>
    </x:row>
    <x:row r="219" ht="39" customHeight="1">
      <x:c r="A219" s="12" t="str">
        <x:v>1632</x:v>
      </x:c>
      <x:c r="B219" s="12" t="str">
        <x:v>3245</x:v>
      </x:c>
      <x:c r="C219" s="12" t="str">
        <x:v>参考000</x:v>
      </x:c>
      <x:c r="D219" s="12" t="str">
        <x:v>自动000</x:v>
      </x:c>
      <x:c r="E219" s="12" t="n">
        <x:v>0</x:v>
      </x:c>
      <x:c r="F219" s="12" t="n">
        <x:v>0</x:v>
      </x:c>
      <x:c r="G219" s="12" t="n">
        <x:v>0</x:v>
      </x:c>
      <x:c r="H219" s="12" t="n">
        <x:f>IF(SUM(I219:K219)&gt;0,1,0)</x:f>
        <x:v>0</x:v>
      </x:c>
      <x:c r="I219" s="12" t="n">
        <x:f>IF('患者配对'!M204="positive",1,0)</x:f>
        <x:v>0</x:v>
      </x:c>
      <x:c r="J219" s="12" t="n">
        <x:f>IF('患者配对'!R204="positive",1,0)</x:f>
        <x:v>0</x:v>
      </x:c>
      <x:c r="K219" s="12" t="n">
        <x:f>IF('患者配对'!W204="positive",1,0)</x:f>
        <x:v>0</x:v>
      </x:c>
      <x:c r="L219" s="12" t="str">
        <x:v>由原件与原状态取得；仅主队列索引</x:v>
      </x:c>
      <x:c r="M219" s="12"/>
      <x:c r="N219" s="12"/>
      <x:c r="O219" s="12"/>
    </x:row>
    <x:row r="220" ht="39" customHeight="1">
      <x:c r="A220" s="12" t="str">
        <x:v>1639</x:v>
      </x:c>
      <x:c r="B220" s="12" t="str">
        <x:v>3283</x:v>
      </x:c>
      <x:c r="C220" s="12" t="str">
        <x:v>参考000</x:v>
      </x:c>
      <x:c r="D220" s="12" t="str">
        <x:v>自动000</x:v>
      </x:c>
      <x:c r="E220" s="12" t="n">
        <x:v>0</x:v>
      </x:c>
      <x:c r="F220" s="12" t="n">
        <x:v>0</x:v>
      </x:c>
      <x:c r="G220" s="12" t="n">
        <x:v>0</x:v>
      </x:c>
      <x:c r="H220" s="12" t="n">
        <x:f>IF(SUM(I220:K220)&gt;0,1,0)</x:f>
        <x:v>0</x:v>
      </x:c>
      <x:c r="I220" s="12" t="n">
        <x:f>IF('患者配对'!M205="positive",1,0)</x:f>
        <x:v>0</x:v>
      </x:c>
      <x:c r="J220" s="12" t="n">
        <x:f>IF('患者配对'!R205="positive",1,0)</x:f>
        <x:v>0</x:v>
      </x:c>
      <x:c r="K220" s="12" t="n">
        <x:f>IF('患者配对'!W205="positive",1,0)</x:f>
        <x:v>0</x:v>
      </x:c>
      <x:c r="L220" s="12" t="str">
        <x:v>由原件与原状态取得；仅主队列索引</x:v>
      </x:c>
      <x:c r="M220" s="12"/>
      <x:c r="N220" s="12"/>
      <x:c r="O220" s="12"/>
    </x:row>
    <x:row r="221" ht="39" customHeight="1">
      <x:c r="A221" s="12" t="str">
        <x:v>1655</x:v>
      </x:c>
      <x:c r="B221" s="12" t="str">
        <x:v>7559</x:v>
      </x:c>
      <x:c r="C221" s="12" t="str">
        <x:v>参考000</x:v>
      </x:c>
      <x:c r="D221" s="12" t="str">
        <x:v>自动000</x:v>
      </x:c>
      <x:c r="E221" s="12" t="n">
        <x:v>0</x:v>
      </x:c>
      <x:c r="F221" s="12" t="n">
        <x:v>0</x:v>
      </x:c>
      <x:c r="G221" s="12" t="n">
        <x:v>0</x:v>
      </x:c>
      <x:c r="H221" s="12" t="n">
        <x:f>IF(SUM(I221:K221)&gt;0,1,0)</x:f>
        <x:v>0</x:v>
      </x:c>
      <x:c r="I221" s="12" t="n">
        <x:f>IF('患者配对'!M206="positive",1,0)</x:f>
        <x:v>0</x:v>
      </x:c>
      <x:c r="J221" s="12" t="n">
        <x:f>IF('患者配对'!R206="positive",1,0)</x:f>
        <x:v>0</x:v>
      </x:c>
      <x:c r="K221" s="12" t="n">
        <x:f>IF('患者配对'!W206="positive",1,0)</x:f>
        <x:v>0</x:v>
      </x:c>
      <x:c r="L221" s="12" t="str">
        <x:v>由原件与原状态取得；仅主队列索引</x:v>
      </x:c>
      <x:c r="M221" s="12"/>
      <x:c r="N221" s="12"/>
      <x:c r="O221" s="12"/>
    </x:row>
    <x:row r="222" ht="39" customHeight="1">
      <x:c r="A222" s="12" t="str">
        <x:v>1697</x:v>
      </x:c>
      <x:c r="B222" s="12" t="str">
        <x:v>9414</x:v>
      </x:c>
      <x:c r="C222" s="12" t="str">
        <x:v>参考000</x:v>
      </x:c>
      <x:c r="D222" s="12" t="str">
        <x:v>自动000</x:v>
      </x:c>
      <x:c r="E222" s="12" t="n">
        <x:v>0</x:v>
      </x:c>
      <x:c r="F222" s="12" t="n">
        <x:v>0</x:v>
      </x:c>
      <x:c r="G222" s="12" t="n">
        <x:v>0</x:v>
      </x:c>
      <x:c r="H222" s="12" t="n">
        <x:f>IF(SUM(I222:K222)&gt;0,1,0)</x:f>
        <x:v>0</x:v>
      </x:c>
      <x:c r="I222" s="12" t="n">
        <x:f>IF('患者配对'!M207="positive",1,0)</x:f>
        <x:v>0</x:v>
      </x:c>
      <x:c r="J222" s="12" t="n">
        <x:f>IF('患者配对'!R207="positive",1,0)</x:f>
        <x:v>0</x:v>
      </x:c>
      <x:c r="K222" s="12" t="n">
        <x:f>IF('患者配对'!W207="positive",1,0)</x:f>
        <x:v>0</x:v>
      </x:c>
      <x:c r="L222" s="12" t="str">
        <x:v>由原件与原状态取得；仅主队列索引</x:v>
      </x:c>
      <x:c r="M222" s="12"/>
      <x:c r="N222" s="12"/>
      <x:c r="O222" s="12"/>
    </x:row>
    <x:row r="223" ht="39" customHeight="1">
      <x:c r="A223" s="12" t="str">
        <x:v>1700</x:v>
      </x:c>
      <x:c r="B223" s="12" t="str">
        <x:v>14516</x:v>
      </x:c>
      <x:c r="C223" s="12" t="str">
        <x:v>参考000</x:v>
      </x:c>
      <x:c r="D223" s="12" t="str">
        <x:v>自动000</x:v>
      </x:c>
      <x:c r="E223" s="12" t="n">
        <x:v>0</x:v>
      </x:c>
      <x:c r="F223" s="12" t="n">
        <x:v>0</x:v>
      </x:c>
      <x:c r="G223" s="12" t="n">
        <x:v>0</x:v>
      </x:c>
      <x:c r="H223" s="12" t="n">
        <x:f>IF(SUM(I223:K223)&gt;0,1,0)</x:f>
        <x:v>0</x:v>
      </x:c>
      <x:c r="I223" s="12" t="n">
        <x:f>IF('患者配对'!M208="positive",1,0)</x:f>
        <x:v>0</x:v>
      </x:c>
      <x:c r="J223" s="12" t="n">
        <x:f>IF('患者配对'!R208="positive",1,0)</x:f>
        <x:v>0</x:v>
      </x:c>
      <x:c r="K223" s="12" t="n">
        <x:f>IF('患者配对'!W208="positive",1,0)</x:f>
        <x:v>0</x:v>
      </x:c>
      <x:c r="L223" s="12" t="str">
        <x:v>由原件与原状态取得；仅主队列索引</x:v>
      </x:c>
      <x:c r="M223" s="12"/>
      <x:c r="N223" s="12"/>
      <x:c r="O223" s="12"/>
    </x:row>
    <x:row r="224" ht="39" customHeight="1">
      <x:c r="A224" s="12" t="str">
        <x:v>1705</x:v>
      </x:c>
      <x:c r="B224" s="12" t="str">
        <x:v>20120</x:v>
      </x:c>
      <x:c r="C224" s="12" t="str">
        <x:v>参考000</x:v>
      </x:c>
      <x:c r="D224" s="12" t="str">
        <x:v>自动000</x:v>
      </x:c>
      <x:c r="E224" s="12" t="n">
        <x:v>0</x:v>
      </x:c>
      <x:c r="F224" s="12" t="n">
        <x:v>0</x:v>
      </x:c>
      <x:c r="G224" s="12" t="n">
        <x:v>0</x:v>
      </x:c>
      <x:c r="H224" s="12" t="n">
        <x:f>IF(SUM(I224:K224)&gt;0,1,0)</x:f>
        <x:v>0</x:v>
      </x:c>
      <x:c r="I224" s="12" t="n">
        <x:f>IF('患者配对'!M209="positive",1,0)</x:f>
        <x:v>0</x:v>
      </x:c>
      <x:c r="J224" s="12" t="n">
        <x:f>IF('患者配对'!R209="positive",1,0)</x:f>
        <x:v>0</x:v>
      </x:c>
      <x:c r="K224" s="12" t="n">
        <x:f>IF('患者配对'!W209="positive",1,0)</x:f>
        <x:v>0</x:v>
      </x:c>
      <x:c r="L224" s="12" t="str">
        <x:v>由原件与原状态取得；仅主队列索引</x:v>
      </x:c>
      <x:c r="M224" s="12"/>
      <x:c r="N224" s="12"/>
      <x:c r="O224" s="12"/>
    </x:row>
    <x:row r="225" ht="39" customHeight="1">
      <x:c r="A225" s="12" t="str">
        <x:v>1708</x:v>
      </x:c>
      <x:c r="B225" s="12" t="str">
        <x:v>21253</x:v>
      </x:c>
      <x:c r="C225" s="12" t="str">
        <x:v>参考000</x:v>
      </x:c>
      <x:c r="D225" s="12" t="str">
        <x:v>自动000</x:v>
      </x:c>
      <x:c r="E225" s="12" t="n">
        <x:v>0</x:v>
      </x:c>
      <x:c r="F225" s="12" t="n">
        <x:v>0</x:v>
      </x:c>
      <x:c r="G225" s="12" t="n">
        <x:v>0</x:v>
      </x:c>
      <x:c r="H225" s="12" t="n">
        <x:f>IF(SUM(I225:K225)&gt;0,1,0)</x:f>
        <x:v>0</x:v>
      </x:c>
      <x:c r="I225" s="12" t="n">
        <x:f>IF('患者配对'!M210="positive",1,0)</x:f>
        <x:v>0</x:v>
      </x:c>
      <x:c r="J225" s="12" t="n">
        <x:f>IF('患者配对'!R210="positive",1,0)</x:f>
        <x:v>0</x:v>
      </x:c>
      <x:c r="K225" s="12" t="n">
        <x:f>IF('患者配对'!W210="positive",1,0)</x:f>
        <x:v>0</x:v>
      </x:c>
      <x:c r="L225" s="12" t="str">
        <x:v>由原件与原状态取得；仅主队列索引</x:v>
      </x:c>
      <x:c r="M225" s="12"/>
      <x:c r="N225" s="12"/>
      <x:c r="O225" s="12"/>
    </x:row>
    <x:row r="226" ht="39" customHeight="1">
      <x:c r="A226" s="12" t="str">
        <x:v>1717</x:v>
      </x:c>
      <x:c r="B226" s="12" t="str">
        <x:v>20306</x:v>
      </x:c>
      <x:c r="C226" s="12" t="str">
        <x:v>参考000</x:v>
      </x:c>
      <x:c r="D226" s="12" t="str">
        <x:v>自动010</x:v>
      </x:c>
      <x:c r="E226" s="12" t="n">
        <x:v>1</x:v>
      </x:c>
      <x:c r="F226" s="12" t="n">
        <x:v>1</x:v>
      </x:c>
      <x:c r="G226" s="12" t="n">
        <x:v>1</x:v>
      </x:c>
      <x:c r="H226" s="12" t="n">
        <x:f>IF(SUM(I226:K226)&gt;0,1,0)</x:f>
        <x:v>0</x:v>
      </x:c>
      <x:c r="I226" s="12" t="n">
        <x:f>IF('患者配对'!M211="positive",1,0)</x:f>
        <x:v>0</x:v>
      </x:c>
      <x:c r="J226" s="12" t="n">
        <x:f>IF('患者配对'!R211="positive",1,0)</x:f>
        <x:v>0</x:v>
      </x:c>
      <x:c r="K226" s="12" t="n">
        <x:f>IF('患者配对'!W211="positive",1,0)</x:f>
        <x:v>0</x:v>
      </x:c>
      <x:c r="L226" s="12" t="str">
        <x:v>由原件与原状态取得；仅主队列索引</x:v>
      </x:c>
      <x:c r="M226" s="12"/>
      <x:c r="N226" s="12"/>
      <x:c r="O226" s="12"/>
    </x:row>
    <x:row r="227" ht="39" customHeight="1">
      <x:c r="A227" s="12" t="str">
        <x:v>1736</x:v>
      </x:c>
      <x:c r="B227" s="12" t="str">
        <x:v>19382</x:v>
      </x:c>
      <x:c r="C227" s="12" t="str">
        <x:v>参考000</x:v>
      </x:c>
      <x:c r="D227" s="12" t="str">
        <x:v>自动000</x:v>
      </x:c>
      <x:c r="E227" s="12" t="n">
        <x:v>0</x:v>
      </x:c>
      <x:c r="F227" s="12" t="n">
        <x:v>0</x:v>
      </x:c>
      <x:c r="G227" s="12" t="n">
        <x:v>0</x:v>
      </x:c>
      <x:c r="H227" s="12" t="n">
        <x:f>IF(SUM(I227:K227)&gt;0,1,0)</x:f>
        <x:v>0</x:v>
      </x:c>
      <x:c r="I227" s="12" t="n">
        <x:f>IF('患者配对'!M212="positive",1,0)</x:f>
        <x:v>0</x:v>
      </x:c>
      <x:c r="J227" s="12" t="n">
        <x:f>IF('患者配对'!R212="positive",1,0)</x:f>
        <x:v>0</x:v>
      </x:c>
      <x:c r="K227" s="12" t="n">
        <x:f>IF('患者配对'!W212="positive",1,0)</x:f>
        <x:v>0</x:v>
      </x:c>
      <x:c r="L227" s="12" t="str">
        <x:v>由原件与原状态取得；仅主队列索引</x:v>
      </x:c>
      <x:c r="M227" s="12"/>
      <x:c r="N227" s="12"/>
      <x:c r="O227" s="12"/>
    </x:row>
    <x:row r="228" ht="39" customHeight="1">
      <x:c r="A228" s="12" t="str">
        <x:v>1737</x:v>
      </x:c>
      <x:c r="B228" s="12" t="str">
        <x:v>13841</x:v>
      </x:c>
      <x:c r="C228" s="12" t="str">
        <x:v>参考000</x:v>
      </x:c>
      <x:c r="D228" s="12" t="str">
        <x:v>自动000</x:v>
      </x:c>
      <x:c r="E228" s="12" t="n">
        <x:v>0</x:v>
      </x:c>
      <x:c r="F228" s="12" t="n">
        <x:v>0</x:v>
      </x:c>
      <x:c r="G228" s="12" t="n">
        <x:v>0</x:v>
      </x:c>
      <x:c r="H228" s="12" t="n">
        <x:f>IF(SUM(I228:K228)&gt;0,1,0)</x:f>
        <x:v>0</x:v>
      </x:c>
      <x:c r="I228" s="12" t="n">
        <x:f>IF('患者配对'!M213="positive",1,0)</x:f>
        <x:v>0</x:v>
      </x:c>
      <x:c r="J228" s="12" t="n">
        <x:f>IF('患者配对'!R213="positive",1,0)</x:f>
        <x:v>0</x:v>
      </x:c>
      <x:c r="K228" s="12" t="n">
        <x:f>IF('患者配对'!W213="positive",1,0)</x:f>
        <x:v>0</x:v>
      </x:c>
      <x:c r="L228" s="12" t="str">
        <x:v>由原件与原状态取得；仅主队列索引</x:v>
      </x:c>
      <x:c r="M228" s="12"/>
      <x:c r="N228" s="12"/>
      <x:c r="O228" s="12"/>
    </x:row>
    <x:row r="229" ht="39" customHeight="1">
      <x:c r="A229" s="12" t="str">
        <x:v>1741</x:v>
      </x:c>
      <x:c r="B229" s="12" t="str">
        <x:v>9222</x:v>
      </x:c>
      <x:c r="C229" s="12" t="str">
        <x:v>参考000</x:v>
      </x:c>
      <x:c r="D229" s="12" t="str">
        <x:v>自动000</x:v>
      </x:c>
      <x:c r="E229" s="12" t="n">
        <x:v>0</x:v>
      </x:c>
      <x:c r="F229" s="12" t="n">
        <x:v>1</x:v>
      </x:c>
      <x:c r="G229" s="12" t="n">
        <x:v>0</x:v>
      </x:c>
      <x:c r="H229" s="12" t="n">
        <x:f>IF(SUM(I229:K229)&gt;0,1,0)</x:f>
        <x:v>0</x:v>
      </x:c>
      <x:c r="I229" s="12" t="n">
        <x:f>IF('患者配对'!M214="positive",1,0)</x:f>
        <x:v>0</x:v>
      </x:c>
      <x:c r="J229" s="12" t="n">
        <x:f>IF('患者配对'!R214="positive",1,0)</x:f>
        <x:v>0</x:v>
      </x:c>
      <x:c r="K229" s="12" t="n">
        <x:f>IF('患者配对'!W214="positive",1,0)</x:f>
        <x:v>0</x:v>
      </x:c>
      <x:c r="L229" s="12" t="str">
        <x:v>由原件与原状态取得；仅主队列索引</x:v>
      </x:c>
      <x:c r="M229" s="12"/>
      <x:c r="N229" s="12"/>
      <x:c r="O229" s="12"/>
    </x:row>
    <x:row r="230" ht="39" customHeight="1">
      <x:c r="A230" s="12" t="str">
        <x:v>1745</x:v>
      </x:c>
      <x:c r="B230" s="12" t="str">
        <x:v>21332</x:v>
      </x:c>
      <x:c r="C230" s="12" t="str">
        <x:v>参考000</x:v>
      </x:c>
      <x:c r="D230" s="12" t="str">
        <x:v>自动000</x:v>
      </x:c>
      <x:c r="E230" s="12" t="n">
        <x:v>0</x:v>
      </x:c>
      <x:c r="F230" s="12" t="n">
        <x:v>0</x:v>
      </x:c>
      <x:c r="G230" s="12" t="n">
        <x:v>0</x:v>
      </x:c>
      <x:c r="H230" s="12" t="n">
        <x:f>IF(SUM(I230:K230)&gt;0,1,0)</x:f>
        <x:v>0</x:v>
      </x:c>
      <x:c r="I230" s="12" t="n">
        <x:f>IF('患者配对'!M215="positive",1,0)</x:f>
        <x:v>0</x:v>
      </x:c>
      <x:c r="J230" s="12" t="n">
        <x:f>IF('患者配对'!R215="positive",1,0)</x:f>
        <x:v>0</x:v>
      </x:c>
      <x:c r="K230" s="12" t="n">
        <x:f>IF('患者配对'!W215="positive",1,0)</x:f>
        <x:v>0</x:v>
      </x:c>
      <x:c r="L230" s="12" t="str">
        <x:v>由原件与原状态取得；仅主队列索引</x:v>
      </x:c>
      <x:c r="M230" s="12"/>
      <x:c r="N230" s="12"/>
      <x:c r="O230" s="12"/>
    </x:row>
    <x:row r="231" ht="39" customHeight="1">
      <x:c r="A231" s="12" t="str">
        <x:v>1746</x:v>
      </x:c>
      <x:c r="B231" s="12" t="str">
        <x:v>21588</x:v>
      </x:c>
      <x:c r="C231" s="12" t="str">
        <x:v>参考000</x:v>
      </x:c>
      <x:c r="D231" s="12" t="str">
        <x:v>自动000</x:v>
      </x:c>
      <x:c r="E231" s="12" t="n">
        <x:v>0</x:v>
      </x:c>
      <x:c r="F231" s="12" t="n">
        <x:v>1</x:v>
      </x:c>
      <x:c r="G231" s="12" t="n">
        <x:v>0</x:v>
      </x:c>
      <x:c r="H231" s="12" t="n">
        <x:f>IF(SUM(I231:K231)&gt;0,1,0)</x:f>
        <x:v>0</x:v>
      </x:c>
      <x:c r="I231" s="12" t="n">
        <x:f>IF('患者配对'!M216="positive",1,0)</x:f>
        <x:v>0</x:v>
      </x:c>
      <x:c r="J231" s="12" t="n">
        <x:f>IF('患者配对'!R216="positive",1,0)</x:f>
        <x:v>0</x:v>
      </x:c>
      <x:c r="K231" s="12" t="n">
        <x:f>IF('患者配对'!W216="positive",1,0)</x:f>
        <x:v>0</x:v>
      </x:c>
      <x:c r="L231" s="12" t="str">
        <x:v>由原件与原状态取得；仅主队列索引</x:v>
      </x:c>
      <x:c r="M231" s="12"/>
      <x:c r="N231" s="12"/>
      <x:c r="O231" s="12"/>
    </x:row>
    <x:row r="232" ht="39" customHeight="1">
      <x:c r="A232" s="12" t="str">
        <x:v>1753</x:v>
      </x:c>
      <x:c r="B232" s="12" t="str">
        <x:v>9838</x:v>
      </x:c>
      <x:c r="C232" s="12" t="str">
        <x:v>参考000</x:v>
      </x:c>
      <x:c r="D232" s="12" t="str">
        <x:v>自动000</x:v>
      </x:c>
      <x:c r="E232" s="12" t="n">
        <x:v>0</x:v>
      </x:c>
      <x:c r="F232" s="12" t="n">
        <x:v>0</x:v>
      </x:c>
      <x:c r="G232" s="12" t="n">
        <x:v>0</x:v>
      </x:c>
      <x:c r="H232" s="12" t="n">
        <x:f>IF(SUM(I232:K232)&gt;0,1,0)</x:f>
        <x:v>0</x:v>
      </x:c>
      <x:c r="I232" s="12" t="n">
        <x:f>IF('患者配对'!M218="positive",1,0)</x:f>
        <x:v>0</x:v>
      </x:c>
      <x:c r="J232" s="12" t="n">
        <x:f>IF('患者配对'!R218="positive",1,0)</x:f>
        <x:v>0</x:v>
      </x:c>
      <x:c r="K232" s="12" t="n">
        <x:f>IF('患者配对'!W218="positive",1,0)</x:f>
        <x:v>0</x:v>
      </x:c>
      <x:c r="L232" s="12" t="str">
        <x:v>由原件与原状态取得；仅主队列索引</x:v>
      </x:c>
      <x:c r="M232" s="12"/>
      <x:c r="N232" s="12"/>
      <x:c r="O232" s="12"/>
    </x:row>
    <x:row r="233" ht="39" customHeight="1">
      <x:c r="A233" s="12" t="str">
        <x:v>1757</x:v>
      </x:c>
      <x:c r="B233" s="12" t="str">
        <x:v>16264</x:v>
      </x:c>
      <x:c r="C233" s="12" t="str">
        <x:v>参考000</x:v>
      </x:c>
      <x:c r="D233" s="12" t="str">
        <x:v>自动000</x:v>
      </x:c>
      <x:c r="E233" s="12" t="n">
        <x:v>0</x:v>
      </x:c>
      <x:c r="F233" s="12" t="n">
        <x:v>0</x:v>
      </x:c>
      <x:c r="G233" s="12" t="n">
        <x:v>0</x:v>
      </x:c>
      <x:c r="H233" s="12" t="n">
        <x:f>IF(SUM(I233:K233)&gt;0,1,0)</x:f>
        <x:v>0</x:v>
      </x:c>
      <x:c r="I233" s="12" t="n">
        <x:f>IF('患者配对'!M219="positive",1,0)</x:f>
        <x:v>0</x:v>
      </x:c>
      <x:c r="J233" s="12" t="n">
        <x:f>IF('患者配对'!R219="positive",1,0)</x:f>
        <x:v>0</x:v>
      </x:c>
      <x:c r="K233" s="12" t="n">
        <x:f>IF('患者配对'!W219="positive",1,0)</x:f>
        <x:v>0</x:v>
      </x:c>
      <x:c r="L233" s="12" t="str">
        <x:v>由原件与原状态取得；仅主队列索引</x:v>
      </x:c>
      <x:c r="M233" s="12"/>
      <x:c r="N233" s="12"/>
      <x:c r="O233" s="12"/>
    </x:row>
    <x:row r="234" ht="39" customHeight="1">
      <x:c r="A234" s="12" t="str">
        <x:v>1769</x:v>
      </x:c>
      <x:c r="B234" s="12" t="str">
        <x:v>2427</x:v>
      </x:c>
      <x:c r="C234" s="12" t="str">
        <x:v>参考000</x:v>
      </x:c>
      <x:c r="D234" s="12" t="str">
        <x:v>自动000</x:v>
      </x:c>
      <x:c r="E234" s="12" t="n">
        <x:v>0</x:v>
      </x:c>
      <x:c r="F234" s="12" t="n">
        <x:v>0</x:v>
      </x:c>
      <x:c r="G234" s="12" t="n">
        <x:v>0</x:v>
      </x:c>
      <x:c r="H234" s="12" t="n">
        <x:f>IF(SUM(I234:K234)&gt;0,1,0)</x:f>
        <x:v>0</x:v>
      </x:c>
      <x:c r="I234" s="12" t="n">
        <x:f>IF('患者配对'!M220="positive",1,0)</x:f>
        <x:v>0</x:v>
      </x:c>
      <x:c r="J234" s="12" t="n">
        <x:f>IF('患者配对'!R220="positive",1,0)</x:f>
        <x:v>0</x:v>
      </x:c>
      <x:c r="K234" s="12" t="n">
        <x:f>IF('患者配对'!W220="positive",1,0)</x:f>
        <x:v>0</x:v>
      </x:c>
      <x:c r="L234" s="12" t="str">
        <x:v>由原件与原状态取得；仅主队列索引</x:v>
      </x:c>
      <x:c r="M234" s="12"/>
      <x:c r="N234" s="12"/>
      <x:c r="O234" s="12"/>
    </x:row>
    <x:row r="235" ht="39" customHeight="1">
      <x:c r="A235" s="12" t="str">
        <x:v>1775</x:v>
      </x:c>
      <x:c r="B235" s="12" t="str">
        <x:v>4148</x:v>
      </x:c>
      <x:c r="C235" s="12" t="str">
        <x:v>参考000</x:v>
      </x:c>
      <x:c r="D235" s="12" t="str">
        <x:v>自动000</x:v>
      </x:c>
      <x:c r="E235" s="12" t="n">
        <x:v>0</x:v>
      </x:c>
      <x:c r="F235" s="12" t="n">
        <x:v>0</x:v>
      </x:c>
      <x:c r="G235" s="12" t="n">
        <x:v>0</x:v>
      </x:c>
      <x:c r="H235" s="12" t="n">
        <x:f>IF(SUM(I235:K235)&gt;0,1,0)</x:f>
        <x:v>0</x:v>
      </x:c>
      <x:c r="I235" s="12" t="n">
        <x:f>IF('患者配对'!M221="positive",1,0)</x:f>
        <x:v>0</x:v>
      </x:c>
      <x:c r="J235" s="12" t="n">
        <x:f>IF('患者配对'!R221="positive",1,0)</x:f>
        <x:v>0</x:v>
      </x:c>
      <x:c r="K235" s="12" t="n">
        <x:f>IF('患者配对'!W221="positive",1,0)</x:f>
        <x:v>0</x:v>
      </x:c>
      <x:c r="L235" s="12" t="str">
        <x:v>由原件与原状态取得；仅主队列索引</x:v>
      </x:c>
      <x:c r="M235" s="12"/>
      <x:c r="N235" s="12"/>
      <x:c r="O235" s="12"/>
    </x:row>
    <x:row r="236" ht="39" customHeight="1">
      <x:c r="A236" s="12" t="str">
        <x:v>1780</x:v>
      </x:c>
      <x:c r="B236" s="12" t="str">
        <x:v>1021</x:v>
      </x:c>
      <x:c r="C236" s="12" t="str">
        <x:v>参考000</x:v>
      </x:c>
      <x:c r="D236" s="12" t="str">
        <x:v>自动000</x:v>
      </x:c>
      <x:c r="E236" s="12" t="n">
        <x:v>0</x:v>
      </x:c>
      <x:c r="F236" s="12" t="n">
        <x:v>0</x:v>
      </x:c>
      <x:c r="G236" s="12" t="n">
        <x:v>0</x:v>
      </x:c>
      <x:c r="H236" s="12" t="n">
        <x:f>IF(SUM(I236:K236)&gt;0,1,0)</x:f>
        <x:v>0</x:v>
      </x:c>
      <x:c r="I236" s="12" t="n">
        <x:f>IF('患者配对'!M222="positive",1,0)</x:f>
        <x:v>0</x:v>
      </x:c>
      <x:c r="J236" s="12" t="n">
        <x:f>IF('患者配对'!R222="positive",1,0)</x:f>
        <x:v>0</x:v>
      </x:c>
      <x:c r="K236" s="12" t="n">
        <x:f>IF('患者配对'!W222="positive",1,0)</x:f>
        <x:v>0</x:v>
      </x:c>
      <x:c r="L236" s="12" t="str">
        <x:v>由原件与原状态取得；仅主队列索引</x:v>
      </x:c>
      <x:c r="M236" s="12"/>
      <x:c r="N236" s="12"/>
      <x:c r="O236" s="12"/>
    </x:row>
    <x:row r="237" ht="39" customHeight="1">
      <x:c r="A237" s="12" t="str">
        <x:v>1785</x:v>
      </x:c>
      <x:c r="B237" s="12" t="str">
        <x:v>13570</x:v>
      </x:c>
      <x:c r="C237" s="12" t="str">
        <x:v>参考000</x:v>
      </x:c>
      <x:c r="D237" s="12" t="str">
        <x:v>自动000</x:v>
      </x:c>
      <x:c r="E237" s="12" t="n">
        <x:v>0</x:v>
      </x:c>
      <x:c r="F237" s="12" t="n">
        <x:v>0</x:v>
      </x:c>
      <x:c r="G237" s="12" t="n">
        <x:v>0</x:v>
      </x:c>
      <x:c r="H237" s="12" t="n">
        <x:f>IF(SUM(I237:K237)&gt;0,1,0)</x:f>
        <x:v>0</x:v>
      </x:c>
      <x:c r="I237" s="12" t="n">
        <x:f>IF('患者配对'!M223="positive",1,0)</x:f>
        <x:v>0</x:v>
      </x:c>
      <x:c r="J237" s="12" t="n">
        <x:f>IF('患者配对'!R223="positive",1,0)</x:f>
        <x:v>0</x:v>
      </x:c>
      <x:c r="K237" s="12" t="n">
        <x:f>IF('患者配对'!W223="positive",1,0)</x:f>
        <x:v>0</x:v>
      </x:c>
      <x:c r="L237" s="12" t="str">
        <x:v>由原件与原状态取得；仅主队列索引</x:v>
      </x:c>
      <x:c r="M237" s="12"/>
      <x:c r="N237" s="12"/>
      <x:c r="O237" s="12"/>
    </x:row>
    <x:row r="238" ht="39" customHeight="1">
      <x:c r="A238" s="12" t="str">
        <x:v>1790</x:v>
      </x:c>
      <x:c r="B238" s="12" t="str">
        <x:v>1839</x:v>
      </x:c>
      <x:c r="C238" s="12" t="str">
        <x:v>参考000</x:v>
      </x:c>
      <x:c r="D238" s="12" t="str">
        <x:v>自动000</x:v>
      </x:c>
      <x:c r="E238" s="12" t="n">
        <x:v>0</x:v>
      </x:c>
      <x:c r="F238" s="12" t="n">
        <x:v>0</x:v>
      </x:c>
      <x:c r="G238" s="12" t="n">
        <x:v>0</x:v>
      </x:c>
      <x:c r="H238" s="12" t="n">
        <x:f>IF(SUM(I238:K238)&gt;0,1,0)</x:f>
        <x:v>0</x:v>
      </x:c>
      <x:c r="I238" s="12" t="n">
        <x:f>IF('患者配对'!M224="positive",1,0)</x:f>
        <x:v>0</x:v>
      </x:c>
      <x:c r="J238" s="12" t="n">
        <x:f>IF('患者配对'!R224="positive",1,0)</x:f>
        <x:v>0</x:v>
      </x:c>
      <x:c r="K238" s="12" t="n">
        <x:f>IF('患者配对'!W224="positive",1,0)</x:f>
        <x:v>0</x:v>
      </x:c>
      <x:c r="L238" s="12" t="str">
        <x:v>由原件与原状态取得；仅主队列索引</x:v>
      </x:c>
      <x:c r="M238" s="12"/>
      <x:c r="N238" s="12"/>
      <x:c r="O238" s="12"/>
    </x:row>
    <x:row r="239" ht="39" customHeight="1">
      <x:c r="A239" s="12" t="str">
        <x:v>1792</x:v>
      </x:c>
      <x:c r="B239" s="12" t="str">
        <x:v>7719</x:v>
      </x:c>
      <x:c r="C239" s="12" t="str">
        <x:v>参考000</x:v>
      </x:c>
      <x:c r="D239" s="12" t="str">
        <x:v>自动000</x:v>
      </x:c>
      <x:c r="E239" s="12" t="n">
        <x:v>0</x:v>
      </x:c>
      <x:c r="F239" s="12" t="n">
        <x:v>0</x:v>
      </x:c>
      <x:c r="G239" s="12" t="n">
        <x:v>0</x:v>
      </x:c>
      <x:c r="H239" s="12" t="n">
        <x:f>IF(SUM(I239:K239)&gt;0,1,0)</x:f>
        <x:v>0</x:v>
      </x:c>
      <x:c r="I239" s="12" t="n">
        <x:f>IF('患者配对'!M225="positive",1,0)</x:f>
        <x:v>0</x:v>
      </x:c>
      <x:c r="J239" s="12" t="n">
        <x:f>IF('患者配对'!R225="positive",1,0)</x:f>
        <x:v>0</x:v>
      </x:c>
      <x:c r="K239" s="12" t="n">
        <x:f>IF('患者配对'!W225="positive",1,0)</x:f>
        <x:v>0</x:v>
      </x:c>
      <x:c r="L239" s="12" t="str">
        <x:v>由原件与原状态取得；仅主队列索引</x:v>
      </x:c>
      <x:c r="M239" s="12"/>
      <x:c r="N239" s="12"/>
      <x:c r="O239" s="12"/>
    </x:row>
    <x:row r="240" ht="39" customHeight="1">
      <x:c r="A240" s="12" t="str">
        <x:v>1812</x:v>
      </x:c>
      <x:c r="B240" s="12" t="str">
        <x:v>2992</x:v>
      </x:c>
      <x:c r="C240" s="12" t="str">
        <x:v>参考000</x:v>
      </x:c>
      <x:c r="D240" s="12" t="str">
        <x:v>自动000</x:v>
      </x:c>
      <x:c r="E240" s="12" t="n">
        <x:v>0</x:v>
      </x:c>
      <x:c r="F240" s="12" t="n">
        <x:v>0</x:v>
      </x:c>
      <x:c r="G240" s="12" t="n">
        <x:v>0</x:v>
      </x:c>
      <x:c r="H240" s="12" t="n">
        <x:f>IF(SUM(I240:K240)&gt;0,1,0)</x:f>
        <x:v>0</x:v>
      </x:c>
      <x:c r="I240" s="12" t="n">
        <x:f>IF('患者配对'!M226="positive",1,0)</x:f>
        <x:v>0</x:v>
      </x:c>
      <x:c r="J240" s="12" t="n">
        <x:f>IF('患者配对'!R226="positive",1,0)</x:f>
        <x:v>0</x:v>
      </x:c>
      <x:c r="K240" s="12" t="n">
        <x:f>IF('患者配对'!W226="positive",1,0)</x:f>
        <x:v>0</x:v>
      </x:c>
      <x:c r="L240" s="12" t="str">
        <x:v>由原件与原状态取得；仅主队列索引</x:v>
      </x:c>
      <x:c r="M240" s="12"/>
      <x:c r="N240" s="12"/>
      <x:c r="O240" s="12"/>
    </x:row>
    <x:row r="241" ht="39" customHeight="1">
      <x:c r="A241" s="12" t="str">
        <x:v>1825</x:v>
      </x:c>
      <x:c r="B241" s="12" t="str">
        <x:v>4436</x:v>
      </x:c>
      <x:c r="C241" s="12" t="str">
        <x:v>参考000</x:v>
      </x:c>
      <x:c r="D241" s="12" t="str">
        <x:v>自动000</x:v>
      </x:c>
      <x:c r="E241" s="12" t="n">
        <x:v>0</x:v>
      </x:c>
      <x:c r="F241" s="12" t="n">
        <x:v>0</x:v>
      </x:c>
      <x:c r="G241" s="12" t="n">
        <x:v>0</x:v>
      </x:c>
      <x:c r="H241" s="12" t="n">
        <x:f>IF(SUM(I241:K241)&gt;0,1,0)</x:f>
        <x:v>0</x:v>
      </x:c>
      <x:c r="I241" s="12" t="n">
        <x:f>IF('患者配对'!M227="positive",1,0)</x:f>
        <x:v>0</x:v>
      </x:c>
      <x:c r="J241" s="12" t="n">
        <x:f>IF('患者配对'!R227="positive",1,0)</x:f>
        <x:v>0</x:v>
      </x:c>
      <x:c r="K241" s="12" t="n">
        <x:f>IF('患者配对'!W227="positive",1,0)</x:f>
        <x:v>0</x:v>
      </x:c>
      <x:c r="L241" s="12" t="str">
        <x:v>由原件与原状态取得；仅主队列索引</x:v>
      </x:c>
      <x:c r="M241" s="12"/>
      <x:c r="N241" s="12"/>
      <x:c r="O241" s="12"/>
    </x:row>
    <x:row r="242" ht="39" customHeight="1">
      <x:c r="A242" s="12" t="str">
        <x:v>1835</x:v>
      </x:c>
      <x:c r="B242" s="12" t="str">
        <x:v>15162</x:v>
      </x:c>
      <x:c r="C242" s="12" t="str">
        <x:v>参考000</x:v>
      </x:c>
      <x:c r="D242" s="12" t="str">
        <x:v>自动000</x:v>
      </x:c>
      <x:c r="E242" s="12" t="n">
        <x:v>0</x:v>
      </x:c>
      <x:c r="F242" s="12" t="n">
        <x:v>0</x:v>
      </x:c>
      <x:c r="G242" s="12" t="n">
        <x:v>0</x:v>
      </x:c>
      <x:c r="H242" s="12" t="n">
        <x:f>IF(SUM(I242:K242)&gt;0,1,0)</x:f>
        <x:v>0</x:v>
      </x:c>
      <x:c r="I242" s="12" t="n">
        <x:f>IF('患者配对'!M228="positive",1,0)</x:f>
        <x:v>0</x:v>
      </x:c>
      <x:c r="J242" s="12" t="n">
        <x:f>IF('患者配对'!R228="positive",1,0)</x:f>
        <x:v>0</x:v>
      </x:c>
      <x:c r="K242" s="12" t="n">
        <x:f>IF('患者配对'!W228="positive",1,0)</x:f>
        <x:v>0</x:v>
      </x:c>
      <x:c r="L242" s="12" t="str">
        <x:v>由原件与原状态取得；仅主队列索引</x:v>
      </x:c>
      <x:c r="M242" s="12"/>
      <x:c r="N242" s="12"/>
      <x:c r="O242" s="12"/>
    </x:row>
    <x:row r="243" ht="39" customHeight="1">
      <x:c r="A243" s="12" t="str">
        <x:v>1838</x:v>
      </x:c>
      <x:c r="B243" s="12" t="str">
        <x:v>3230</x:v>
      </x:c>
      <x:c r="C243" s="12" t="str">
        <x:v>参考000</x:v>
      </x:c>
      <x:c r="D243" s="12" t="str">
        <x:v>自动000</x:v>
      </x:c>
      <x:c r="E243" s="12" t="n">
        <x:v>0</x:v>
      </x:c>
      <x:c r="F243" s="12" t="n">
        <x:v>1</x:v>
      </x:c>
      <x:c r="G243" s="12" t="n">
        <x:v>0</x:v>
      </x:c>
      <x:c r="H243" s="12" t="n">
        <x:f>IF(SUM(I243:K243)&gt;0,1,0)</x:f>
        <x:v>0</x:v>
      </x:c>
      <x:c r="I243" s="12" t="n">
        <x:f>IF('患者配对'!M229="positive",1,0)</x:f>
        <x:v>0</x:v>
      </x:c>
      <x:c r="J243" s="12" t="n">
        <x:f>IF('患者配对'!R229="positive",1,0)</x:f>
        <x:v>0</x:v>
      </x:c>
      <x:c r="K243" s="12" t="n">
        <x:f>IF('患者配对'!W229="positive",1,0)</x:f>
        <x:v>0</x:v>
      </x:c>
      <x:c r="L243" s="12" t="str">
        <x:v>由原件与原状态取得；仅主队列索引</x:v>
      </x:c>
      <x:c r="M243" s="12"/>
      <x:c r="N243" s="12"/>
      <x:c r="O243" s="12"/>
    </x:row>
    <x:row r="244" ht="39" customHeight="1">
      <x:c r="A244" s="12" t="str">
        <x:v>1843</x:v>
      </x:c>
      <x:c r="B244" s="12" t="str">
        <x:v>20283</x:v>
      </x:c>
      <x:c r="C244" s="12" t="str">
        <x:v>参考000</x:v>
      </x:c>
      <x:c r="D244" s="12" t="str">
        <x:v>自动000</x:v>
      </x:c>
      <x:c r="E244" s="12" t="n">
        <x:v>0</x:v>
      </x:c>
      <x:c r="F244" s="12" t="n">
        <x:v>1</x:v>
      </x:c>
      <x:c r="G244" s="12" t="n">
        <x:v>0</x:v>
      </x:c>
      <x:c r="H244" s="12" t="n">
        <x:f>IF(SUM(I244:K244)&gt;0,1,0)</x:f>
        <x:v>0</x:v>
      </x:c>
      <x:c r="I244" s="12" t="n">
        <x:f>IF('患者配对'!M230="positive",1,0)</x:f>
        <x:v>0</x:v>
      </x:c>
      <x:c r="J244" s="12" t="n">
        <x:f>IF('患者配对'!R230="positive",1,0)</x:f>
        <x:v>0</x:v>
      </x:c>
      <x:c r="K244" s="12" t="n">
        <x:f>IF('患者配对'!W230="positive",1,0)</x:f>
        <x:v>0</x:v>
      </x:c>
      <x:c r="L244" s="12" t="str">
        <x:v>由原件与原状态取得；仅主队列索引</x:v>
      </x:c>
      <x:c r="M244" s="12"/>
      <x:c r="N244" s="12"/>
      <x:c r="O244" s="12"/>
    </x:row>
    <x:row r="245" ht="39" customHeight="1">
      <x:c r="A245" s="12" t="str">
        <x:v>1850</x:v>
      </x:c>
      <x:c r="B245" s="12" t="str">
        <x:v>4339</x:v>
      </x:c>
      <x:c r="C245" s="12" t="str">
        <x:v>参考000</x:v>
      </x:c>
      <x:c r="D245" s="12" t="str">
        <x:v>自动000</x:v>
      </x:c>
      <x:c r="E245" s="12" t="n">
        <x:v>0</x:v>
      </x:c>
      <x:c r="F245" s="12" t="n">
        <x:v>0</x:v>
      </x:c>
      <x:c r="G245" s="12" t="n">
        <x:v>0</x:v>
      </x:c>
      <x:c r="H245" s="12" t="n">
        <x:f>IF(SUM(I245:K245)&gt;0,1,0)</x:f>
        <x:v>0</x:v>
      </x:c>
      <x:c r="I245" s="12" t="n">
        <x:f>IF('患者配对'!M231="positive",1,0)</x:f>
        <x:v>0</x:v>
      </x:c>
      <x:c r="J245" s="12" t="n">
        <x:f>IF('患者配对'!R231="positive",1,0)</x:f>
        <x:v>0</x:v>
      </x:c>
      <x:c r="K245" s="12" t="n">
        <x:f>IF('患者配对'!W231="positive",1,0)</x:f>
        <x:v>0</x:v>
      </x:c>
      <x:c r="L245" s="12" t="str">
        <x:v>由原件与原状态取得；仅主队列索引</x:v>
      </x:c>
      <x:c r="M245" s="12"/>
      <x:c r="N245" s="12"/>
      <x:c r="O245" s="12"/>
    </x:row>
    <x:row r="246" ht="39" customHeight="1">
      <x:c r="A246" s="12" t="str">
        <x:v>1853</x:v>
      </x:c>
      <x:c r="B246" s="12" t="str">
        <x:v>6226</x:v>
      </x:c>
      <x:c r="C246" s="12" t="str">
        <x:v>参考000</x:v>
      </x:c>
      <x:c r="D246" s="12" t="str">
        <x:v>自动000</x:v>
      </x:c>
      <x:c r="E246" s="12" t="n">
        <x:v>0</x:v>
      </x:c>
      <x:c r="F246" s="12" t="n">
        <x:v>0</x:v>
      </x:c>
      <x:c r="G246" s="12" t="n">
        <x:v>0</x:v>
      </x:c>
      <x:c r="H246" s="12" t="n">
        <x:f>IF(SUM(I246:K246)&gt;0,1,0)</x:f>
        <x:v>0</x:v>
      </x:c>
      <x:c r="I246" s="12" t="n">
        <x:f>IF('患者配对'!M232="positive",1,0)</x:f>
        <x:v>0</x:v>
      </x:c>
      <x:c r="J246" s="12" t="n">
        <x:f>IF('患者配对'!R232="positive",1,0)</x:f>
        <x:v>0</x:v>
      </x:c>
      <x:c r="K246" s="12" t="n">
        <x:f>IF('患者配对'!W232="positive",1,0)</x:f>
        <x:v>0</x:v>
      </x:c>
      <x:c r="L246" s="12" t="str">
        <x:v>由原件与原状态取得；仅主队列索引</x:v>
      </x:c>
      <x:c r="M246" s="12"/>
      <x:c r="N246" s="12"/>
      <x:c r="O246" s="12"/>
    </x:row>
    <x:row r="247" ht="39" customHeight="1">
      <x:c r="A247" s="12" t="str">
        <x:v>1857</x:v>
      </x:c>
      <x:c r="B247" s="12" t="str">
        <x:v>7866</x:v>
      </x:c>
      <x:c r="C247" s="12" t="str">
        <x:v>参考000</x:v>
      </x:c>
      <x:c r="D247" s="12" t="str">
        <x:v>自动000</x:v>
      </x:c>
      <x:c r="E247" s="12" t="n">
        <x:v>0</x:v>
      </x:c>
      <x:c r="F247" s="12" t="n">
        <x:v>0</x:v>
      </x:c>
      <x:c r="G247" s="12" t="n">
        <x:v>0</x:v>
      </x:c>
      <x:c r="H247" s="12" t="n">
        <x:f>IF(SUM(I247:K247)&gt;0,1,0)</x:f>
        <x:v>0</x:v>
      </x:c>
      <x:c r="I247" s="12" t="n">
        <x:f>IF('患者配对'!M233="positive",1,0)</x:f>
        <x:v>0</x:v>
      </x:c>
      <x:c r="J247" s="12" t="n">
        <x:f>IF('患者配对'!R233="positive",1,0)</x:f>
        <x:v>0</x:v>
      </x:c>
      <x:c r="K247" s="12" t="n">
        <x:f>IF('患者配对'!W233="positive",1,0)</x:f>
        <x:v>0</x:v>
      </x:c>
      <x:c r="L247" s="12" t="str">
        <x:v>由原件与原状态取得；仅主队列索引</x:v>
      </x:c>
      <x:c r="M247" s="12"/>
      <x:c r="N247" s="12"/>
      <x:c r="O247" s="12"/>
    </x:row>
    <x:row r="248" ht="39" customHeight="1">
      <x:c r="A248" s="12" t="str">
        <x:v>1860</x:v>
      </x:c>
      <x:c r="B248" s="12" t="str">
        <x:v>16593</x:v>
      </x:c>
      <x:c r="C248" s="12" t="str">
        <x:v>参考000</x:v>
      </x:c>
      <x:c r="D248" s="12" t="str">
        <x:v>自动000</x:v>
      </x:c>
      <x:c r="E248" s="12" t="n">
        <x:v>0</x:v>
      </x:c>
      <x:c r="F248" s="12" t="n">
        <x:v>0</x:v>
      </x:c>
      <x:c r="G248" s="12" t="n">
        <x:v>0</x:v>
      </x:c>
      <x:c r="H248" s="12" t="n">
        <x:f>IF(SUM(I248:K248)&gt;0,1,0)</x:f>
        <x:v>0</x:v>
      </x:c>
      <x:c r="I248" s="12" t="n">
        <x:f>IF('患者配对'!M234="positive",1,0)</x:f>
        <x:v>0</x:v>
      </x:c>
      <x:c r="J248" s="12" t="n">
        <x:f>IF('患者配对'!R234="positive",1,0)</x:f>
        <x:v>0</x:v>
      </x:c>
      <x:c r="K248" s="12" t="n">
        <x:f>IF('患者配对'!W234="positive",1,0)</x:f>
        <x:v>0</x:v>
      </x:c>
      <x:c r="L248" s="12" t="str">
        <x:v>由原件与原状态取得；仅主队列索引</x:v>
      </x:c>
      <x:c r="M248" s="12"/>
      <x:c r="N248" s="12"/>
      <x:c r="O248" s="12"/>
    </x:row>
    <x:row r="249" ht="39" customHeight="1">
      <x:c r="A249" s="12" t="str">
        <x:v>1864</x:v>
      </x:c>
      <x:c r="B249" s="12" t="str">
        <x:v>2666</x:v>
      </x:c>
      <x:c r="C249" s="12" t="str">
        <x:v>参考000</x:v>
      </x:c>
      <x:c r="D249" s="12" t="str">
        <x:v>自动000</x:v>
      </x:c>
      <x:c r="E249" s="12" t="n">
        <x:v>0</x:v>
      </x:c>
      <x:c r="F249" s="12" t="n">
        <x:v>0</x:v>
      </x:c>
      <x:c r="G249" s="12" t="n">
        <x:v>0</x:v>
      </x:c>
      <x:c r="H249" s="12" t="n">
        <x:f>IF(SUM(I249:K249)&gt;0,1,0)</x:f>
        <x:v>0</x:v>
      </x:c>
      <x:c r="I249" s="12" t="n">
        <x:f>IF('患者配对'!M235="positive",1,0)</x:f>
        <x:v>0</x:v>
      </x:c>
      <x:c r="J249" s="12" t="n">
        <x:f>IF('患者配对'!R235="positive",1,0)</x:f>
        <x:v>0</x:v>
      </x:c>
      <x:c r="K249" s="12" t="n">
        <x:f>IF('患者配对'!W235="positive",1,0)</x:f>
        <x:v>0</x:v>
      </x:c>
      <x:c r="L249" s="12" t="str">
        <x:v>由原件与原状态取得；仅主队列索引</x:v>
      </x:c>
      <x:c r="M249" s="12"/>
      <x:c r="N249" s="12"/>
      <x:c r="O249" s="12"/>
    </x:row>
    <x:row r="250" ht="39" customHeight="1">
      <x:c r="A250" s="12" t="str">
        <x:v>1867</x:v>
      </x:c>
      <x:c r="B250" s="12" t="str">
        <x:v>12695</x:v>
      </x:c>
      <x:c r="C250" s="12" t="str">
        <x:v>参考000</x:v>
      </x:c>
      <x:c r="D250" s="12" t="str">
        <x:v>自动000</x:v>
      </x:c>
      <x:c r="E250" s="12" t="n">
        <x:v>0</x:v>
      </x:c>
      <x:c r="F250" s="12" t="n">
        <x:v>0</x:v>
      </x:c>
      <x:c r="G250" s="12" t="n">
        <x:v>0</x:v>
      </x:c>
      <x:c r="H250" s="12" t="n">
        <x:f>IF(SUM(I250:K250)&gt;0,1,0)</x:f>
        <x:v>0</x:v>
      </x:c>
      <x:c r="I250" s="12" t="n">
        <x:f>IF('患者配对'!M236="positive",1,0)</x:f>
        <x:v>0</x:v>
      </x:c>
      <x:c r="J250" s="12" t="n">
        <x:f>IF('患者配对'!R236="positive",1,0)</x:f>
        <x:v>0</x:v>
      </x:c>
      <x:c r="K250" s="12" t="n">
        <x:f>IF('患者配对'!W236="positive",1,0)</x:f>
        <x:v>0</x:v>
      </x:c>
      <x:c r="L250" s="12" t="str">
        <x:v>由原件与原状态取得；仅主队列索引</x:v>
      </x:c>
      <x:c r="M250" s="12"/>
      <x:c r="N250" s="12"/>
      <x:c r="O250" s="12"/>
    </x:row>
    <x:row r="251" ht="39" customHeight="1">
      <x:c r="A251" s="12" t="str">
        <x:v>1870</x:v>
      </x:c>
      <x:c r="B251" s="12" t="str">
        <x:v>10747</x:v>
      </x:c>
      <x:c r="C251" s="12" t="str">
        <x:v>参考000</x:v>
      </x:c>
      <x:c r="D251" s="12" t="str">
        <x:v>自动000</x:v>
      </x:c>
      <x:c r="E251" s="12" t="n">
        <x:v>0</x:v>
      </x:c>
      <x:c r="F251" s="12" t="n">
        <x:v>0</x:v>
      </x:c>
      <x:c r="G251" s="12" t="n">
        <x:v>0</x:v>
      </x:c>
      <x:c r="H251" s="12" t="n">
        <x:f>IF(SUM(I251:K251)&gt;0,1,0)</x:f>
        <x:v>0</x:v>
      </x:c>
      <x:c r="I251" s="12" t="n">
        <x:f>IF('患者配对'!M237="positive",1,0)</x:f>
        <x:v>0</x:v>
      </x:c>
      <x:c r="J251" s="12" t="n">
        <x:f>IF('患者配对'!R237="positive",1,0)</x:f>
        <x:v>0</x:v>
      </x:c>
      <x:c r="K251" s="12" t="n">
        <x:f>IF('患者配对'!W237="positive",1,0)</x:f>
        <x:v>0</x:v>
      </x:c>
      <x:c r="L251" s="12" t="str">
        <x:v>由原件与原状态取得；仅主队列索引</x:v>
      </x:c>
      <x:c r="M251" s="12"/>
      <x:c r="N251" s="12"/>
      <x:c r="O251" s="12"/>
    </x:row>
    <x:row r="252" ht="39" customHeight="1">
      <x:c r="A252" s="12" t="str">
        <x:v>1885</x:v>
      </x:c>
      <x:c r="B252" s="12" t="str">
        <x:v>17863</x:v>
      </x:c>
      <x:c r="C252" s="12" t="str">
        <x:v>参考000</x:v>
      </x:c>
      <x:c r="D252" s="12" t="str">
        <x:v>自动000</x:v>
      </x:c>
      <x:c r="E252" s="12" t="n">
        <x:v>0</x:v>
      </x:c>
      <x:c r="F252" s="12" t="n">
        <x:v>0</x:v>
      </x:c>
      <x:c r="G252" s="12" t="n">
        <x:v>0</x:v>
      </x:c>
      <x:c r="H252" s="12" t="n">
        <x:f>IF(SUM(I252:K252)&gt;0,1,0)</x:f>
        <x:v>0</x:v>
      </x:c>
      <x:c r="I252" s="12" t="n">
        <x:f>IF('患者配对'!M238="positive",1,0)</x:f>
        <x:v>0</x:v>
      </x:c>
      <x:c r="J252" s="12" t="n">
        <x:f>IF('患者配对'!R238="positive",1,0)</x:f>
        <x:v>0</x:v>
      </x:c>
      <x:c r="K252" s="12" t="n">
        <x:f>IF('患者配对'!W238="positive",1,0)</x:f>
        <x:v>0</x:v>
      </x:c>
      <x:c r="L252" s="12" t="str">
        <x:v>由原件与原状态取得；仅主队列索引</x:v>
      </x:c>
      <x:c r="M252" s="12"/>
      <x:c r="N252" s="12"/>
      <x:c r="O252" s="12"/>
    </x:row>
    <x:row r="253" ht="39" customHeight="1">
      <x:c r="A253" s="12" t="str">
        <x:v>1899</x:v>
      </x:c>
      <x:c r="B253" s="12" t="str">
        <x:v>6774</x:v>
      </x:c>
      <x:c r="C253" s="12" t="str">
        <x:v>参考000</x:v>
      </x:c>
      <x:c r="D253" s="12" t="str">
        <x:v>自动000</x:v>
      </x:c>
      <x:c r="E253" s="12" t="n">
        <x:v>0</x:v>
      </x:c>
      <x:c r="F253" s="12" t="n">
        <x:v>0</x:v>
      </x:c>
      <x:c r="G253" s="12" t="n">
        <x:v>0</x:v>
      </x:c>
      <x:c r="H253" s="12" t="n">
        <x:f>IF(SUM(I253:K253)&gt;0,1,0)</x:f>
        <x:v>0</x:v>
      </x:c>
      <x:c r="I253" s="12" t="n">
        <x:f>IF('患者配对'!M239="positive",1,0)</x:f>
        <x:v>0</x:v>
      </x:c>
      <x:c r="J253" s="12" t="n">
        <x:f>IF('患者配对'!R239="positive",1,0)</x:f>
        <x:v>0</x:v>
      </x:c>
      <x:c r="K253" s="12" t="n">
        <x:f>IF('患者配对'!W239="positive",1,0)</x:f>
        <x:v>0</x:v>
      </x:c>
      <x:c r="L253" s="12" t="str">
        <x:v>由原件与原状态取得；仅主队列索引</x:v>
      </x:c>
      <x:c r="M253" s="12"/>
      <x:c r="N253" s="12"/>
      <x:c r="O253" s="12"/>
    </x:row>
    <x:row r="254" ht="39" customHeight="1">
      <x:c r="A254" s="12" t="str">
        <x:v>1920</x:v>
      </x:c>
      <x:c r="B254" s="12" t="str">
        <x:v>5576</x:v>
      </x:c>
      <x:c r="C254" s="12" t="str">
        <x:v>参考000</x:v>
      </x:c>
      <x:c r="D254" s="12" t="str">
        <x:v>自动000</x:v>
      </x:c>
      <x:c r="E254" s="12" t="n">
        <x:v>0</x:v>
      </x:c>
      <x:c r="F254" s="12" t="n">
        <x:v>1</x:v>
      </x:c>
      <x:c r="G254" s="12" t="n">
        <x:v>0</x:v>
      </x:c>
      <x:c r="H254" s="12" t="n">
        <x:f>IF(SUM(I254:K254)&gt;0,1,0)</x:f>
        <x:v>0</x:v>
      </x:c>
      <x:c r="I254" s="12" t="n">
        <x:f>IF('患者配对'!M240="positive",1,0)</x:f>
        <x:v>0</x:v>
      </x:c>
      <x:c r="J254" s="12" t="n">
        <x:f>IF('患者配对'!R240="positive",1,0)</x:f>
        <x:v>0</x:v>
      </x:c>
      <x:c r="K254" s="12" t="n">
        <x:f>IF('患者配对'!W240="positive",1,0)</x:f>
        <x:v>0</x:v>
      </x:c>
      <x:c r="L254" s="12" t="str">
        <x:v>由原件与原状态取得；仅主队列索引</x:v>
      </x:c>
      <x:c r="M254" s="12"/>
      <x:c r="N254" s="12"/>
      <x:c r="O254" s="12"/>
    </x:row>
    <x:row r="255" ht="39" customHeight="1">
      <x:c r="A255" s="12" t="str">
        <x:v>1933</x:v>
      </x:c>
      <x:c r="B255" s="12" t="str">
        <x:v>3173</x:v>
      </x:c>
      <x:c r="C255" s="12" t="str">
        <x:v>参考000</x:v>
      </x:c>
      <x:c r="D255" s="12" t="str">
        <x:v>自动000</x:v>
      </x:c>
      <x:c r="E255" s="12" t="n">
        <x:v>0</x:v>
      </x:c>
      <x:c r="F255" s="12" t="n">
        <x:v>0</x:v>
      </x:c>
      <x:c r="G255" s="12" t="n">
        <x:v>0</x:v>
      </x:c>
      <x:c r="H255" s="12" t="n">
        <x:f>IF(SUM(I255:K255)&gt;0,1,0)</x:f>
        <x:v>0</x:v>
      </x:c>
      <x:c r="I255" s="12" t="n">
        <x:f>IF('患者配对'!M241="positive",1,0)</x:f>
        <x:v>0</x:v>
      </x:c>
      <x:c r="J255" s="12" t="n">
        <x:f>IF('患者配对'!R241="positive",1,0)</x:f>
        <x:v>0</x:v>
      </x:c>
      <x:c r="K255" s="12" t="n">
        <x:f>IF('患者配对'!W241="positive",1,0)</x:f>
        <x:v>0</x:v>
      </x:c>
      <x:c r="L255" s="12" t="str">
        <x:v>由原件与原状态取得；仅主队列索引</x:v>
      </x:c>
      <x:c r="M255" s="12"/>
      <x:c r="N255" s="12"/>
      <x:c r="O255" s="12"/>
    </x:row>
    <x:row r="256" ht="39" customHeight="1">
      <x:c r="A256" s="12" t="str">
        <x:v>1938</x:v>
      </x:c>
      <x:c r="B256" s="12" t="str">
        <x:v>3986</x:v>
      </x:c>
      <x:c r="C256" s="12" t="str">
        <x:v>参考000</x:v>
      </x:c>
      <x:c r="D256" s="12" t="str">
        <x:v>自动000</x:v>
      </x:c>
      <x:c r="E256" s="12" t="n">
        <x:v>0</x:v>
      </x:c>
      <x:c r="F256" s="12" t="n">
        <x:v>0</x:v>
      </x:c>
      <x:c r="G256" s="12" t="n">
        <x:v>0</x:v>
      </x:c>
      <x:c r="H256" s="12" t="n">
        <x:f>IF(SUM(I256:K256)&gt;0,1,0)</x:f>
        <x:v>0</x:v>
      </x:c>
      <x:c r="I256" s="12" t="n">
        <x:f>IF('患者配对'!M242="positive",1,0)</x:f>
        <x:v>0</x:v>
      </x:c>
      <x:c r="J256" s="12" t="n">
        <x:f>IF('患者配对'!R242="positive",1,0)</x:f>
        <x:v>0</x:v>
      </x:c>
      <x:c r="K256" s="12" t="n">
        <x:f>IF('患者配对'!W242="positive",1,0)</x:f>
        <x:v>0</x:v>
      </x:c>
      <x:c r="L256" s="12" t="str">
        <x:v>由原件与原状态取得；仅主队列索引</x:v>
      </x:c>
      <x:c r="M256" s="12"/>
      <x:c r="N256" s="12"/>
      <x:c r="O256" s="12"/>
    </x:row>
    <x:row r="257" ht="39" customHeight="1">
      <x:c r="A257" s="12" t="str">
        <x:v>1940</x:v>
      </x:c>
      <x:c r="B257" s="12" t="str">
        <x:v>1496</x:v>
      </x:c>
      <x:c r="C257" s="12" t="str">
        <x:v>参考000</x:v>
      </x:c>
      <x:c r="D257" s="12" t="str">
        <x:v>自动000</x:v>
      </x:c>
      <x:c r="E257" s="12" t="n">
        <x:v>0</x:v>
      </x:c>
      <x:c r="F257" s="12" t="n">
        <x:v>0</x:v>
      </x:c>
      <x:c r="G257" s="12" t="n">
        <x:v>0</x:v>
      </x:c>
      <x:c r="H257" s="12" t="n">
        <x:f>IF(SUM(I257:K257)&gt;0,1,0)</x:f>
        <x:v>0</x:v>
      </x:c>
      <x:c r="I257" s="12" t="n">
        <x:f>IF('患者配对'!M243="positive",1,0)</x:f>
        <x:v>0</x:v>
      </x:c>
      <x:c r="J257" s="12" t="n">
        <x:f>IF('患者配对'!R243="positive",1,0)</x:f>
        <x:v>0</x:v>
      </x:c>
      <x:c r="K257" s="12" t="n">
        <x:f>IF('患者配对'!W243="positive",1,0)</x:f>
        <x:v>0</x:v>
      </x:c>
      <x:c r="L257" s="12" t="str">
        <x:v>由原件与原状态取得；仅主队列索引</x:v>
      </x:c>
      <x:c r="M257" s="12"/>
      <x:c r="N257" s="12"/>
      <x:c r="O257" s="12"/>
    </x:row>
    <x:row r="258" ht="39" customHeight="1">
      <x:c r="A258" s="12" t="str">
        <x:v>1944</x:v>
      </x:c>
      <x:c r="B258" s="12" t="str">
        <x:v>318</x:v>
      </x:c>
      <x:c r="C258" s="12" t="str">
        <x:v>参考000</x:v>
      </x:c>
      <x:c r="D258" s="12" t="str">
        <x:v>自动000</x:v>
      </x:c>
      <x:c r="E258" s="12" t="n">
        <x:v>0</x:v>
      </x:c>
      <x:c r="F258" s="12" t="n">
        <x:v>0</x:v>
      </x:c>
      <x:c r="G258" s="12" t="n">
        <x:v>0</x:v>
      </x:c>
      <x:c r="H258" s="12" t="n">
        <x:f>IF(SUM(I258:K258)&gt;0,1,0)</x:f>
        <x:v>0</x:v>
      </x:c>
      <x:c r="I258" s="12" t="n">
        <x:f>IF('患者配对'!M244="positive",1,0)</x:f>
        <x:v>0</x:v>
      </x:c>
      <x:c r="J258" s="12" t="n">
        <x:f>IF('患者配对'!R244="positive",1,0)</x:f>
        <x:v>0</x:v>
      </x:c>
      <x:c r="K258" s="12" t="n">
        <x:f>IF('患者配对'!W244="positive",1,0)</x:f>
        <x:v>0</x:v>
      </x:c>
      <x:c r="L258" s="12" t="str">
        <x:v>由原件与原状态取得；仅主队列索引</x:v>
      </x:c>
      <x:c r="M258" s="12"/>
      <x:c r="N258" s="12"/>
      <x:c r="O258" s="12"/>
    </x:row>
    <x:row r="259" ht="39" customHeight="1">
      <x:c r="A259" s="12" t="str">
        <x:v>1946</x:v>
      </x:c>
      <x:c r="B259" s="12" t="str">
        <x:v>20935</x:v>
      </x:c>
      <x:c r="C259" s="12" t="str">
        <x:v>参考000</x:v>
      </x:c>
      <x:c r="D259" s="12" t="str">
        <x:v>自动000</x:v>
      </x:c>
      <x:c r="E259" s="12" t="n">
        <x:v>0</x:v>
      </x:c>
      <x:c r="F259" s="12" t="n">
        <x:v>0</x:v>
      </x:c>
      <x:c r="G259" s="12" t="n">
        <x:v>0</x:v>
      </x:c>
      <x:c r="H259" s="12" t="n">
        <x:f>IF(SUM(I259:K259)&gt;0,1,0)</x:f>
        <x:v>0</x:v>
      </x:c>
      <x:c r="I259" s="12" t="n">
        <x:f>IF('患者配对'!M245="positive",1,0)</x:f>
        <x:v>0</x:v>
      </x:c>
      <x:c r="J259" s="12" t="n">
        <x:f>IF('患者配对'!R245="positive",1,0)</x:f>
        <x:v>0</x:v>
      </x:c>
      <x:c r="K259" s="12" t="n">
        <x:f>IF('患者配对'!W245="positive",1,0)</x:f>
        <x:v>0</x:v>
      </x:c>
      <x:c r="L259" s="12" t="str">
        <x:v>由原件与原状态取得；仅主队列索引</x:v>
      </x:c>
      <x:c r="M259" s="12"/>
      <x:c r="N259" s="12"/>
      <x:c r="O259" s="12"/>
    </x:row>
    <x:row r="260" ht="39" customHeight="1">
      <x:c r="A260" s="12" t="str">
        <x:v>1950</x:v>
      </x:c>
      <x:c r="B260" s="12" t="str">
        <x:v>3267</x:v>
      </x:c>
      <x:c r="C260" s="12" t="str">
        <x:v>参考000</x:v>
      </x:c>
      <x:c r="D260" s="12" t="str">
        <x:v>自动000</x:v>
      </x:c>
      <x:c r="E260" s="12" t="n">
        <x:v>0</x:v>
      </x:c>
      <x:c r="F260" s="12" t="n">
        <x:v>1</x:v>
      </x:c>
      <x:c r="G260" s="12" t="n">
        <x:v>0</x:v>
      </x:c>
      <x:c r="H260" s="12" t="n">
        <x:f>IF(SUM(I260:K260)&gt;0,1,0)</x:f>
        <x:v>0</x:v>
      </x:c>
      <x:c r="I260" s="12" t="n">
        <x:f>IF('患者配对'!M246="positive",1,0)</x:f>
        <x:v>0</x:v>
      </x:c>
      <x:c r="J260" s="12" t="n">
        <x:f>IF('患者配对'!R246="positive",1,0)</x:f>
        <x:v>0</x:v>
      </x:c>
      <x:c r="K260" s="12" t="n">
        <x:f>IF('患者配对'!W246="positive",1,0)</x:f>
        <x:v>0</x:v>
      </x:c>
      <x:c r="L260" s="12" t="str">
        <x:v>由原件与原状态取得；仅主队列索引</x:v>
      </x:c>
      <x:c r="M260" s="12"/>
      <x:c r="N260" s="12"/>
      <x:c r="O260" s="12"/>
    </x:row>
    <x:row r="261" ht="39" customHeight="1">
      <x:c r="A261" s="12" t="str">
        <x:v>1958</x:v>
      </x:c>
      <x:c r="B261" s="12" t="str">
        <x:v>7843</x:v>
      </x:c>
      <x:c r="C261" s="12" t="str">
        <x:v>参考000</x:v>
      </x:c>
      <x:c r="D261" s="12" t="str">
        <x:v>自动000</x:v>
      </x:c>
      <x:c r="E261" s="12" t="n">
        <x:v>0</x:v>
      </x:c>
      <x:c r="F261" s="12" t="n">
        <x:v>0</x:v>
      </x:c>
      <x:c r="G261" s="12" t="n">
        <x:v>0</x:v>
      </x:c>
      <x:c r="H261" s="12" t="n">
        <x:f>IF(SUM(I261:K261)&gt;0,1,0)</x:f>
        <x:v>0</x:v>
      </x:c>
      <x:c r="I261" s="12" t="n">
        <x:f>IF('患者配对'!M247="positive",1,0)</x:f>
        <x:v>0</x:v>
      </x:c>
      <x:c r="J261" s="12" t="n">
        <x:f>IF('患者配对'!R247="positive",1,0)</x:f>
        <x:v>0</x:v>
      </x:c>
      <x:c r="K261" s="12" t="n">
        <x:f>IF('患者配对'!W247="positive",1,0)</x:f>
        <x:v>0</x:v>
      </x:c>
      <x:c r="L261" s="12" t="str">
        <x:v>由原件与原状态取得；仅主队列索引</x:v>
      </x:c>
      <x:c r="M261" s="12"/>
      <x:c r="N261" s="12"/>
      <x:c r="O261" s="12"/>
    </x:row>
    <x:row r="262" ht="39" customHeight="1">
      <x:c r="A262" s="12" t="str">
        <x:v>1961</x:v>
      </x:c>
      <x:c r="B262" s="12" t="str">
        <x:v>4735</x:v>
      </x:c>
      <x:c r="C262" s="12" t="str">
        <x:v>参考000</x:v>
      </x:c>
      <x:c r="D262" s="12" t="str">
        <x:v>自动000</x:v>
      </x:c>
      <x:c r="E262" s="12" t="n">
        <x:v>0</x:v>
      </x:c>
      <x:c r="F262" s="12" t="n">
        <x:v>0</x:v>
      </x:c>
      <x:c r="G262" s="12" t="n">
        <x:v>0</x:v>
      </x:c>
      <x:c r="H262" s="12" t="n">
        <x:f>IF(SUM(I262:K262)&gt;0,1,0)</x:f>
        <x:v>0</x:v>
      </x:c>
      <x:c r="I262" s="12" t="n">
        <x:f>IF('患者配对'!M248="positive",1,0)</x:f>
        <x:v>0</x:v>
      </x:c>
      <x:c r="J262" s="12" t="n">
        <x:f>IF('患者配对'!R248="positive",1,0)</x:f>
        <x:v>0</x:v>
      </x:c>
      <x:c r="K262" s="12" t="n">
        <x:f>IF('患者配对'!W248="positive",1,0)</x:f>
        <x:v>0</x:v>
      </x:c>
      <x:c r="L262" s="12" t="str">
        <x:v>由原件与原状态取得；仅主队列索引</x:v>
      </x:c>
      <x:c r="M262" s="12"/>
      <x:c r="N262" s="12"/>
      <x:c r="O262" s="12"/>
    </x:row>
    <x:row r="263" ht="39" customHeight="1">
      <x:c r="A263" s="12" t="str">
        <x:v>1988</x:v>
      </x:c>
      <x:c r="B263" s="12" t="str">
        <x:v>2660</x:v>
      </x:c>
      <x:c r="C263" s="12" t="str">
        <x:v>参考000</x:v>
      </x:c>
      <x:c r="D263" s="12" t="str">
        <x:v>自动000</x:v>
      </x:c>
      <x:c r="E263" s="12" t="n">
        <x:v>0</x:v>
      </x:c>
      <x:c r="F263" s="12" t="n">
        <x:v>0</x:v>
      </x:c>
      <x:c r="G263" s="12" t="n">
        <x:v>0</x:v>
      </x:c>
      <x:c r="H263" s="12" t="n">
        <x:f>IF(SUM(I263:K263)&gt;0,1,0)</x:f>
        <x:v>0</x:v>
      </x:c>
      <x:c r="I263" s="12" t="n">
        <x:f>IF('患者配对'!M250="positive",1,0)</x:f>
        <x:v>0</x:v>
      </x:c>
      <x:c r="J263" s="12" t="n">
        <x:f>IF('患者配对'!R250="positive",1,0)</x:f>
        <x:v>0</x:v>
      </x:c>
      <x:c r="K263" s="12" t="n">
        <x:f>IF('患者配对'!W250="positive",1,0)</x:f>
        <x:v>0</x:v>
      </x:c>
      <x:c r="L263" s="12" t="str">
        <x:v>由原件与原状态取得；仅主队列索引</x:v>
      </x:c>
      <x:c r="M263" s="12"/>
      <x:c r="N263" s="12"/>
      <x:c r="O263" s="12"/>
    </x:row>
    <x:row r="264" ht="39" customHeight="1">
      <x:c r="A264" s="12" t="str">
        <x:v>1993</x:v>
      </x:c>
      <x:c r="B264" s="12" t="str">
        <x:v>7593</x:v>
      </x:c>
      <x:c r="C264" s="12" t="str">
        <x:v>参考000</x:v>
      </x:c>
      <x:c r="D264" s="12" t="str">
        <x:v>自动000</x:v>
      </x:c>
      <x:c r="E264" s="12" t="n">
        <x:v>0</x:v>
      </x:c>
      <x:c r="F264" s="12" t="n">
        <x:v>0</x:v>
      </x:c>
      <x:c r="G264" s="12" t="n">
        <x:v>0</x:v>
      </x:c>
      <x:c r="H264" s="12" t="n">
        <x:f>IF(SUM(I264:K264)&gt;0,1,0)</x:f>
        <x:v>0</x:v>
      </x:c>
      <x:c r="I264" s="12" t="n">
        <x:f>IF('患者配对'!M251="positive",1,0)</x:f>
        <x:v>0</x:v>
      </x:c>
      <x:c r="J264" s="12" t="n">
        <x:f>IF('患者配对'!R251="positive",1,0)</x:f>
        <x:v>0</x:v>
      </x:c>
      <x:c r="K264" s="12" t="n">
        <x:f>IF('患者配对'!W251="positive",1,0)</x:f>
        <x:v>0</x:v>
      </x:c>
      <x:c r="L264" s="12" t="str">
        <x:v>由原件与原状态取得；仅主队列索引</x:v>
      </x:c>
      <x:c r="M264" s="12"/>
      <x:c r="N264" s="12"/>
      <x:c r="O264" s="12"/>
    </x:row>
    <x:row r="265" ht="39" customHeight="1">
      <x:c r="A265" s="12" t="str">
        <x:v>1994</x:v>
      </x:c>
      <x:c r="B265" s="12" t="str">
        <x:v>15633</x:v>
      </x:c>
      <x:c r="C265" s="12" t="str">
        <x:v>参考000</x:v>
      </x:c>
      <x:c r="D265" s="12" t="str">
        <x:v>自动000</x:v>
      </x:c>
      <x:c r="E265" s="12" t="n">
        <x:v>0</x:v>
      </x:c>
      <x:c r="F265" s="12" t="n">
        <x:v>0</x:v>
      </x:c>
      <x:c r="G265" s="12" t="n">
        <x:v>0</x:v>
      </x:c>
      <x:c r="H265" s="12" t="n">
        <x:f>IF(SUM(I265:K265)&gt;0,1,0)</x:f>
        <x:v>0</x:v>
      </x:c>
      <x:c r="I265" s="12" t="n">
        <x:f>IF('患者配对'!M252="positive",1,0)</x:f>
        <x:v>0</x:v>
      </x:c>
      <x:c r="J265" s="12" t="n">
        <x:f>IF('患者配对'!R252="positive",1,0)</x:f>
        <x:v>0</x:v>
      </x:c>
      <x:c r="K265" s="12" t="n">
        <x:f>IF('患者配对'!W252="positive",1,0)</x:f>
        <x:v>0</x:v>
      </x:c>
      <x:c r="L265" s="12" t="str">
        <x:v>由原件与原状态取得；仅主队列索引</x:v>
      </x:c>
      <x:c r="M265" s="12"/>
      <x:c r="N265" s="12"/>
      <x:c r="O265" s="12"/>
    </x:row>
    <x:row r="266" ht="39" customHeight="1">
      <x:c r="A266" s="12" t="str">
        <x:v>2019</x:v>
      </x:c>
      <x:c r="B266" s="12" t="str">
        <x:v>4098</x:v>
      </x:c>
      <x:c r="C266" s="12" t="str">
        <x:v>参考000</x:v>
      </x:c>
      <x:c r="D266" s="12" t="str">
        <x:v>自动001</x:v>
      </x:c>
      <x:c r="E266" s="12" t="n">
        <x:v>1</x:v>
      </x:c>
      <x:c r="F266" s="12" t="n">
        <x:v>1</x:v>
      </x:c>
      <x:c r="G266" s="12" t="n">
        <x:v>1</x:v>
      </x:c>
      <x:c r="H266" s="12" t="n">
        <x:f>IF(SUM(I266:K266)&gt;0,1,0)</x:f>
        <x:v>0</x:v>
      </x:c>
      <x:c r="I266" s="12" t="n">
        <x:f>IF('患者配对'!M254="positive",1,0)</x:f>
        <x:v>0</x:v>
      </x:c>
      <x:c r="J266" s="12" t="n">
        <x:f>IF('患者配对'!R254="positive",1,0)</x:f>
        <x:v>0</x:v>
      </x:c>
      <x:c r="K266" s="12" t="n">
        <x:f>IF('患者配对'!W254="positive",1,0)</x:f>
        <x:v>0</x:v>
      </x:c>
      <x:c r="L266" s="12" t="str">
        <x:v>由原件与原状态取得；仅主队列索引</x:v>
      </x:c>
      <x:c r="M266" s="12"/>
      <x:c r="N266" s="12"/>
      <x:c r="O266" s="12"/>
    </x:row>
    <x:row r="267" ht="39" customHeight="1">
      <x:c r="A267" s="12" t="str">
        <x:v>2039</x:v>
      </x:c>
      <x:c r="B267" s="12" t="str">
        <x:v>307</x:v>
      </x:c>
      <x:c r="C267" s="12" t="str">
        <x:v>参考000</x:v>
      </x:c>
      <x:c r="D267" s="12" t="str">
        <x:v>自动000</x:v>
      </x:c>
      <x:c r="E267" s="12" t="n">
        <x:v>0</x:v>
      </x:c>
      <x:c r="F267" s="12" t="n">
        <x:v>0</x:v>
      </x:c>
      <x:c r="G267" s="12" t="n">
        <x:v>0</x:v>
      </x:c>
      <x:c r="H267" s="12" t="n">
        <x:f>IF(SUM(I267:K267)&gt;0,1,0)</x:f>
        <x:v>0</x:v>
      </x:c>
      <x:c r="I267" s="12" t="n">
        <x:f>IF('患者配对'!M255="positive",1,0)</x:f>
        <x:v>0</x:v>
      </x:c>
      <x:c r="J267" s="12" t="n">
        <x:f>IF('患者配对'!R255="positive",1,0)</x:f>
        <x:v>0</x:v>
      </x:c>
      <x:c r="K267" s="12" t="n">
        <x:f>IF('患者配对'!W255="positive",1,0)</x:f>
        <x:v>0</x:v>
      </x:c>
      <x:c r="L267" s="12" t="str">
        <x:v>由原件与原状态取得；仅主队列索引</x:v>
      </x:c>
      <x:c r="M267" s="12"/>
      <x:c r="N267" s="12"/>
      <x:c r="O267" s="12"/>
    </x:row>
    <x:row r="268" ht="39" customHeight="1">
      <x:c r="A268" s="12" t="str">
        <x:v>2045</x:v>
      </x:c>
      <x:c r="B268" s="12" t="str">
        <x:v>19860</x:v>
      </x:c>
      <x:c r="C268" s="12" t="str">
        <x:v>参考000</x:v>
      </x:c>
      <x:c r="D268" s="12" t="str">
        <x:v>自动000</x:v>
      </x:c>
      <x:c r="E268" s="12" t="n">
        <x:v>0</x:v>
      </x:c>
      <x:c r="F268" s="12" t="n">
        <x:v>0</x:v>
      </x:c>
      <x:c r="G268" s="12" t="n">
        <x:v>0</x:v>
      </x:c>
      <x:c r="H268" s="12" t="n">
        <x:f>IF(SUM(I268:K268)&gt;0,1,0)</x:f>
        <x:v>0</x:v>
      </x:c>
      <x:c r="I268" s="12" t="n">
        <x:f>IF('患者配对'!M256="positive",1,0)</x:f>
        <x:v>0</x:v>
      </x:c>
      <x:c r="J268" s="12" t="n">
        <x:f>IF('患者配对'!R256="positive",1,0)</x:f>
        <x:v>0</x:v>
      </x:c>
      <x:c r="K268" s="12" t="n">
        <x:f>IF('患者配对'!W256="positive",1,0)</x:f>
        <x:v>0</x:v>
      </x:c>
      <x:c r="L268" s="12" t="str">
        <x:v>由原件与原状态取得；仅主队列索引</x:v>
      </x:c>
      <x:c r="M268" s="12"/>
      <x:c r="N268" s="12"/>
      <x:c r="O268" s="12"/>
    </x:row>
    <x:row r="269" ht="39" customHeight="1">
      <x:c r="A269" s="12" t="str">
        <x:v>2055</x:v>
      </x:c>
      <x:c r="B269" s="12" t="str">
        <x:v>5056</x:v>
      </x:c>
      <x:c r="C269" s="12" t="str">
        <x:v>参考100</x:v>
      </x:c>
      <x:c r="D269" s="12" t="str">
        <x:v>自动100</x:v>
      </x:c>
      <x:c r="E269" s="12" t="n">
        <x:v>1</x:v>
      </x:c>
      <x:c r="F269" s="12" t="n">
        <x:v>1</x:v>
      </x:c>
      <x:c r="G269" s="12" t="n">
        <x:v>0</x:v>
      </x:c>
      <x:c r="H269" s="12" t="n">
        <x:f>IF(SUM(I269:K269)&gt;0,1,0)</x:f>
        <x:v>1</x:v>
      </x:c>
      <x:c r="I269" s="12" t="n">
        <x:f>IF('患者配对'!M258="positive",1,0)</x:f>
        <x:v>1</x:v>
      </x:c>
      <x:c r="J269" s="12" t="n">
        <x:f>IF('患者配对'!R258="positive",1,0)</x:f>
        <x:v>0</x:v>
      </x:c>
      <x:c r="K269" s="12" t="n">
        <x:f>IF('患者配对'!W258="positive",1,0)</x:f>
        <x:v>0</x:v>
      </x:c>
      <x:c r="L269" s="12" t="str">
        <x:v>由原件与原状态取得；仅主队列索引</x:v>
      </x:c>
      <x:c r="M269" s="12"/>
      <x:c r="N269" s="12"/>
      <x:c r="O269" s="12"/>
    </x:row>
    <x:row r="270" ht="39" customHeight="1">
      <x:c r="A270" s="12" t="str">
        <x:v>2083</x:v>
      </x:c>
      <x:c r="B270" s="12" t="str">
        <x:v>5861</x:v>
      </x:c>
      <x:c r="C270" s="12" t="str">
        <x:v>参考000</x:v>
      </x:c>
      <x:c r="D270" s="12" t="str">
        <x:v>自动000</x:v>
      </x:c>
      <x:c r="E270" s="12" t="n">
        <x:v>0</x:v>
      </x:c>
      <x:c r="F270" s="12" t="n">
        <x:v>0</x:v>
      </x:c>
      <x:c r="G270" s="12" t="n">
        <x:v>0</x:v>
      </x:c>
      <x:c r="H270" s="12" t="n">
        <x:f>IF(SUM(I270:K270)&gt;0,1,0)</x:f>
        <x:v>0</x:v>
      </x:c>
      <x:c r="I270" s="12" t="n">
        <x:f>IF('患者配对'!M260="positive",1,0)</x:f>
        <x:v>0</x:v>
      </x:c>
      <x:c r="J270" s="12" t="n">
        <x:f>IF('患者配对'!R260="positive",1,0)</x:f>
        <x:v>0</x:v>
      </x:c>
      <x:c r="K270" s="12" t="n">
        <x:f>IF('患者配对'!W260="positive",1,0)</x:f>
        <x:v>0</x:v>
      </x:c>
      <x:c r="L270" s="12" t="str">
        <x:v>由原件与原状态取得；仅主队列索引</x:v>
      </x:c>
      <x:c r="M270" s="12"/>
      <x:c r="N270" s="12"/>
      <x:c r="O270" s="12"/>
    </x:row>
    <x:row r="271" ht="39" customHeight="1">
      <x:c r="A271" s="12" t="str">
        <x:v>2101</x:v>
      </x:c>
      <x:c r="B271" s="12" t="str">
        <x:v>2726</x:v>
      </x:c>
      <x:c r="C271" s="12" t="str">
        <x:v>参考000</x:v>
      </x:c>
      <x:c r="D271" s="12" t="str">
        <x:v>自动000</x:v>
      </x:c>
      <x:c r="E271" s="12" t="n">
        <x:v>0</x:v>
      </x:c>
      <x:c r="F271" s="12" t="n">
        <x:v>0</x:v>
      </x:c>
      <x:c r="G271" s="12" t="n">
        <x:v>0</x:v>
      </x:c>
      <x:c r="H271" s="12" t="n">
        <x:f>IF(SUM(I271:K271)&gt;0,1,0)</x:f>
        <x:v>0</x:v>
      </x:c>
      <x:c r="I271" s="12" t="n">
        <x:f>IF('患者配对'!M261="positive",1,0)</x:f>
        <x:v>0</x:v>
      </x:c>
      <x:c r="J271" s="12" t="n">
        <x:f>IF('患者配对'!R261="positive",1,0)</x:f>
        <x:v>0</x:v>
      </x:c>
      <x:c r="K271" s="12" t="n">
        <x:f>IF('患者配对'!W261="positive",1,0)</x:f>
        <x:v>0</x:v>
      </x:c>
      <x:c r="L271" s="12" t="str">
        <x:v>由原件与原状态取得；仅主队列索引</x:v>
      </x:c>
      <x:c r="M271" s="12"/>
      <x:c r="N271" s="12"/>
      <x:c r="O271" s="12"/>
    </x:row>
    <x:row r="272" ht="39" customHeight="1">
      <x:c r="A272" s="12" t="str">
        <x:v>2103</x:v>
      </x:c>
      <x:c r="B272" s="12" t="str">
        <x:v>2544</x:v>
      </x:c>
      <x:c r="C272" s="12" t="str">
        <x:v>参考000</x:v>
      </x:c>
      <x:c r="D272" s="12" t="str">
        <x:v>自动000</x:v>
      </x:c>
      <x:c r="E272" s="12" t="n">
        <x:v>0</x:v>
      </x:c>
      <x:c r="F272" s="12" t="n">
        <x:v>0</x:v>
      </x:c>
      <x:c r="G272" s="12" t="n">
        <x:v>0</x:v>
      </x:c>
      <x:c r="H272" s="12" t="n">
        <x:f>IF(SUM(I272:K272)&gt;0,1,0)</x:f>
        <x:v>0</x:v>
      </x:c>
      <x:c r="I272" s="12" t="n">
        <x:f>IF('患者配对'!M262="positive",1,0)</x:f>
        <x:v>0</x:v>
      </x:c>
      <x:c r="J272" s="12" t="n">
        <x:f>IF('患者配对'!R262="positive",1,0)</x:f>
        <x:v>0</x:v>
      </x:c>
      <x:c r="K272" s="12" t="n">
        <x:f>IF('患者配对'!W262="positive",1,0)</x:f>
        <x:v>0</x:v>
      </x:c>
      <x:c r="L272" s="12" t="str">
        <x:v>由原件与原状态取得；仅主队列索引</x:v>
      </x:c>
      <x:c r="M272" s="12"/>
      <x:c r="N272" s="12"/>
      <x:c r="O272" s="12"/>
    </x:row>
    <x:row r="273" ht="39" customHeight="1">
      <x:c r="A273" s="12" t="str">
        <x:v>2104</x:v>
      </x:c>
      <x:c r="B273" s="12" t="str">
        <x:v>3306</x:v>
      </x:c>
      <x:c r="C273" s="12" t="str">
        <x:v>参考000</x:v>
      </x:c>
      <x:c r="D273" s="12" t="str">
        <x:v>自动000</x:v>
      </x:c>
      <x:c r="E273" s="12" t="n">
        <x:v>0</x:v>
      </x:c>
      <x:c r="F273" s="12" t="n">
        <x:v>0</x:v>
      </x:c>
      <x:c r="G273" s="12" t="n">
        <x:v>0</x:v>
      </x:c>
      <x:c r="H273" s="12" t="n">
        <x:f>IF(SUM(I273:K273)&gt;0,1,0)</x:f>
        <x:v>0</x:v>
      </x:c>
      <x:c r="I273" s="12" t="n">
        <x:f>IF('患者配对'!M263="positive",1,0)</x:f>
        <x:v>0</x:v>
      </x:c>
      <x:c r="J273" s="12" t="n">
        <x:f>IF('患者配对'!R263="positive",1,0)</x:f>
        <x:v>0</x:v>
      </x:c>
      <x:c r="K273" s="12" t="n">
        <x:f>IF('患者配对'!W263="positive",1,0)</x:f>
        <x:v>0</x:v>
      </x:c>
      <x:c r="L273" s="12" t="str">
        <x:v>由原件与原状态取得；仅主队列索引</x:v>
      </x:c>
      <x:c r="M273" s="12"/>
      <x:c r="N273" s="12"/>
      <x:c r="O273" s="12"/>
    </x:row>
    <x:row r="274" ht="39" customHeight="1">
      <x:c r="A274" s="12" t="str">
        <x:v>2110</x:v>
      </x:c>
      <x:c r="B274" s="12" t="str">
        <x:v>3131</x:v>
      </x:c>
      <x:c r="C274" s="12" t="str">
        <x:v>参考000</x:v>
      </x:c>
      <x:c r="D274" s="12" t="str">
        <x:v>自动000</x:v>
      </x:c>
      <x:c r="E274" s="12" t="n">
        <x:v>0</x:v>
      </x:c>
      <x:c r="F274" s="12" t="n">
        <x:v>0</x:v>
      </x:c>
      <x:c r="G274" s="12" t="n">
        <x:v>0</x:v>
      </x:c>
      <x:c r="H274" s="12" t="n">
        <x:f>IF(SUM(I274:K274)&gt;0,1,0)</x:f>
        <x:v>0</x:v>
      </x:c>
      <x:c r="I274" s="12" t="n">
        <x:f>IF('患者配对'!M264="positive",1,0)</x:f>
        <x:v>0</x:v>
      </x:c>
      <x:c r="J274" s="12" t="n">
        <x:f>IF('患者配对'!R264="positive",1,0)</x:f>
        <x:v>0</x:v>
      </x:c>
      <x:c r="K274" s="12" t="n">
        <x:f>IF('患者配对'!W264="positive",1,0)</x:f>
        <x:v>0</x:v>
      </x:c>
      <x:c r="L274" s="12" t="str">
        <x:v>由原件与原状态取得；仅主队列索引</x:v>
      </x:c>
      <x:c r="M274" s="12"/>
      <x:c r="N274" s="12"/>
      <x:c r="O274" s="12"/>
    </x:row>
    <x:row r="275" ht="39" customHeight="1">
      <x:c r="A275" s="12" t="str">
        <x:v>2119</x:v>
      </x:c>
      <x:c r="B275" s="12" t="str">
        <x:v>4448</x:v>
      </x:c>
      <x:c r="C275" s="12" t="str">
        <x:v>参考000</x:v>
      </x:c>
      <x:c r="D275" s="12" t="str">
        <x:v>自动000</x:v>
      </x:c>
      <x:c r="E275" s="12" t="n">
        <x:v>0</x:v>
      </x:c>
      <x:c r="F275" s="12" t="n">
        <x:v>1</x:v>
      </x:c>
      <x:c r="G275" s="12" t="n">
        <x:v>0</x:v>
      </x:c>
      <x:c r="H275" s="12" t="n">
        <x:f>IF(SUM(I275:K275)&gt;0,1,0)</x:f>
        <x:v>0</x:v>
      </x:c>
      <x:c r="I275" s="12" t="n">
        <x:f>IF('患者配对'!M265="positive",1,0)</x:f>
        <x:v>0</x:v>
      </x:c>
      <x:c r="J275" s="12" t="n">
        <x:f>IF('患者配对'!R265="positive",1,0)</x:f>
        <x:v>0</x:v>
      </x:c>
      <x:c r="K275" s="12" t="n">
        <x:f>IF('患者配对'!W265="positive",1,0)</x:f>
        <x:v>0</x:v>
      </x:c>
      <x:c r="L275" s="12" t="str">
        <x:v>由原件与原状态取得；仅主队列索引</x:v>
      </x:c>
      <x:c r="M275" s="12"/>
      <x:c r="N275" s="12"/>
      <x:c r="O275" s="12"/>
    </x:row>
    <x:row r="276" ht="39" customHeight="1">
      <x:c r="A276" s="12" t="str">
        <x:v>2144</x:v>
      </x:c>
      <x:c r="B276" s="12" t="str">
        <x:v>2628</x:v>
      </x:c>
      <x:c r="C276" s="12" t="str">
        <x:v>参考000</x:v>
      </x:c>
      <x:c r="D276" s="12" t="str">
        <x:v>自动000</x:v>
      </x:c>
      <x:c r="E276" s="12" t="n">
        <x:v>0</x:v>
      </x:c>
      <x:c r="F276" s="12" t="n">
        <x:v>0</x:v>
      </x:c>
      <x:c r="G276" s="12" t="n">
        <x:v>0</x:v>
      </x:c>
      <x:c r="H276" s="12" t="n">
        <x:f>IF(SUM(I276:K276)&gt;0,1,0)</x:f>
        <x:v>0</x:v>
      </x:c>
      <x:c r="I276" s="12" t="n">
        <x:f>IF('患者配对'!M266="positive",1,0)</x:f>
        <x:v>0</x:v>
      </x:c>
      <x:c r="J276" s="12" t="n">
        <x:f>IF('患者配对'!R266="positive",1,0)</x:f>
        <x:v>0</x:v>
      </x:c>
      <x:c r="K276" s="12" t="n">
        <x:f>IF('患者配对'!W266="positive",1,0)</x:f>
        <x:v>0</x:v>
      </x:c>
      <x:c r="L276" s="12" t="str">
        <x:v>由原件与原状态取得；仅主队列索引</x:v>
      </x:c>
      <x:c r="M276" s="12"/>
      <x:c r="N276" s="12"/>
      <x:c r="O276" s="12"/>
    </x:row>
    <x:row r="277" ht="39" customHeight="1">
      <x:c r="A277" s="12" t="str">
        <x:v>2146</x:v>
      </x:c>
      <x:c r="B277" s="12" t="str">
        <x:v>5629</x:v>
      </x:c>
      <x:c r="C277" s="12" t="str">
        <x:v>参考000</x:v>
      </x:c>
      <x:c r="D277" s="12" t="str">
        <x:v>自动000</x:v>
      </x:c>
      <x:c r="E277" s="12" t="n">
        <x:v>0</x:v>
      </x:c>
      <x:c r="F277" s="12" t="n">
        <x:v>1</x:v>
      </x:c>
      <x:c r="G277" s="12" t="n">
        <x:v>0</x:v>
      </x:c>
      <x:c r="H277" s="12" t="n">
        <x:f>IF(SUM(I277:K277)&gt;0,1,0)</x:f>
        <x:v>0</x:v>
      </x:c>
      <x:c r="I277" s="12" t="n">
        <x:f>IF('患者配对'!M267="positive",1,0)</x:f>
        <x:v>0</x:v>
      </x:c>
      <x:c r="J277" s="12" t="n">
        <x:f>IF('患者配对'!R267="positive",1,0)</x:f>
        <x:v>0</x:v>
      </x:c>
      <x:c r="K277" s="12" t="n">
        <x:f>IF('患者配对'!W267="positive",1,0)</x:f>
        <x:v>0</x:v>
      </x:c>
      <x:c r="L277" s="12" t="str">
        <x:v>由原件与原状态取得；仅主队列索引</x:v>
      </x:c>
      <x:c r="M277" s="12"/>
      <x:c r="N277" s="12"/>
      <x:c r="O277" s="12"/>
    </x:row>
    <x:row r="278" ht="39" customHeight="1">
      <x:c r="A278" s="12" t="str">
        <x:v>2151</x:v>
      </x:c>
      <x:c r="B278" s="12" t="str">
        <x:v>10266</x:v>
      </x:c>
      <x:c r="C278" s="12" t="str">
        <x:v>参考000</x:v>
      </x:c>
      <x:c r="D278" s="12" t="str">
        <x:v>自动000</x:v>
      </x:c>
      <x:c r="E278" s="12" t="n">
        <x:v>0</x:v>
      </x:c>
      <x:c r="F278" s="12" t="n">
        <x:v>1</x:v>
      </x:c>
      <x:c r="G278" s="12" t="n">
        <x:v>0</x:v>
      </x:c>
      <x:c r="H278" s="12" t="n">
        <x:f>IF(SUM(I278:K278)&gt;0,1,0)</x:f>
        <x:v>0</x:v>
      </x:c>
      <x:c r="I278" s="12" t="n">
        <x:f>IF('患者配对'!M268="positive",1,0)</x:f>
        <x:v>0</x:v>
      </x:c>
      <x:c r="J278" s="12" t="n">
        <x:f>IF('患者配对'!R268="positive",1,0)</x:f>
        <x:v>0</x:v>
      </x:c>
      <x:c r="K278" s="12" t="n">
        <x:f>IF('患者配对'!W268="positive",1,0)</x:f>
        <x:v>0</x:v>
      </x:c>
      <x:c r="L278" s="12" t="str">
        <x:v>由原件与原状态取得；仅主队列索引</x:v>
      </x:c>
      <x:c r="M278" s="12"/>
      <x:c r="N278" s="12"/>
      <x:c r="O278" s="12"/>
    </x:row>
    <x:row r="279" ht="39" customHeight="1">
      <x:c r="A279" s="12" t="str">
        <x:v>2153</x:v>
      </x:c>
      <x:c r="B279" s="12" t="str">
        <x:v>20353</x:v>
      </x:c>
      <x:c r="C279" s="12" t="str">
        <x:v>参考100</x:v>
      </x:c>
      <x:c r="D279" s="12" t="str">
        <x:v>自动100</x:v>
      </x:c>
      <x:c r="E279" s="12" t="n">
        <x:v>1</x:v>
      </x:c>
      <x:c r="F279" s="12" t="n">
        <x:v>1</x:v>
      </x:c>
      <x:c r="G279" s="12" t="n">
        <x:v>0</x:v>
      </x:c>
      <x:c r="H279" s="12" t="n">
        <x:f>IF(SUM(I279:K279)&gt;0,1,0)</x:f>
        <x:v>1</x:v>
      </x:c>
      <x:c r="I279" s="12" t="n">
        <x:f>IF('患者配对'!M269="positive",1,0)</x:f>
        <x:v>1</x:v>
      </x:c>
      <x:c r="J279" s="12" t="n">
        <x:f>IF('患者配对'!R269="positive",1,0)</x:f>
        <x:v>0</x:v>
      </x:c>
      <x:c r="K279" s="12" t="n">
        <x:f>IF('患者配对'!W269="positive",1,0)</x:f>
        <x:v>0</x:v>
      </x:c>
      <x:c r="L279" s="12" t="str">
        <x:v>由原件与原状态取得；仅主队列索引</x:v>
      </x:c>
      <x:c r="M279" s="12"/>
      <x:c r="N279" s="12"/>
      <x:c r="O279" s="12"/>
    </x:row>
    <x:row r="280" ht="39" customHeight="1">
      <x:c r="A280" s="12" t="str">
        <x:v>2158</x:v>
      </x:c>
      <x:c r="B280" s="12" t="str">
        <x:v>21397</x:v>
      </x:c>
      <x:c r="C280" s="12" t="str">
        <x:v>参考000</x:v>
      </x:c>
      <x:c r="D280" s="12" t="str">
        <x:v>自动000</x:v>
      </x:c>
      <x:c r="E280" s="12" t="n">
        <x:v>0</x:v>
      </x:c>
      <x:c r="F280" s="12" t="n">
        <x:v>0</x:v>
      </x:c>
      <x:c r="G280" s="12" t="n">
        <x:v>0</x:v>
      </x:c>
      <x:c r="H280" s="12" t="n">
        <x:f>IF(SUM(I280:K280)&gt;0,1,0)</x:f>
        <x:v>0</x:v>
      </x:c>
      <x:c r="I280" s="12" t="n">
        <x:f>IF('患者配对'!M270="positive",1,0)</x:f>
        <x:v>0</x:v>
      </x:c>
      <x:c r="J280" s="12" t="n">
        <x:f>IF('患者配对'!R270="positive",1,0)</x:f>
        <x:v>0</x:v>
      </x:c>
      <x:c r="K280" s="12" t="n">
        <x:f>IF('患者配对'!W270="positive",1,0)</x:f>
        <x:v>0</x:v>
      </x:c>
      <x:c r="L280" s="12" t="str">
        <x:v>由原件与原状态取得；仅主队列索引</x:v>
      </x:c>
      <x:c r="M280" s="12"/>
      <x:c r="N280" s="12"/>
      <x:c r="O280" s="12"/>
    </x:row>
    <x:row r="281" ht="39" customHeight="1">
      <x:c r="A281" s="12" t="str">
        <x:v>2160</x:v>
      </x:c>
      <x:c r="B281" s="12" t="str">
        <x:v>15956</x:v>
      </x:c>
      <x:c r="C281" s="12" t="str">
        <x:v>参考000</x:v>
      </x:c>
      <x:c r="D281" s="12" t="str">
        <x:v>自动000</x:v>
      </x:c>
      <x:c r="E281" s="12" t="n">
        <x:v>0</x:v>
      </x:c>
      <x:c r="F281" s="12" t="n">
        <x:v>0</x:v>
      </x:c>
      <x:c r="G281" s="12" t="n">
        <x:v>0</x:v>
      </x:c>
      <x:c r="H281" s="12" t="n">
        <x:f>IF(SUM(I281:K281)&gt;0,1,0)</x:f>
        <x:v>0</x:v>
      </x:c>
      <x:c r="I281" s="12" t="n">
        <x:f>IF('患者配对'!M271="positive",1,0)</x:f>
        <x:v>0</x:v>
      </x:c>
      <x:c r="J281" s="12" t="n">
        <x:f>IF('患者配对'!R271="positive",1,0)</x:f>
        <x:v>0</x:v>
      </x:c>
      <x:c r="K281" s="12" t="n">
        <x:f>IF('患者配对'!W271="positive",1,0)</x:f>
        <x:v>0</x:v>
      </x:c>
      <x:c r="L281" s="12" t="str">
        <x:v>由原件与原状态取得；仅主队列索引</x:v>
      </x:c>
      <x:c r="M281" s="12"/>
      <x:c r="N281" s="12"/>
      <x:c r="O281" s="12"/>
    </x:row>
    <x:row r="282" ht="39" customHeight="1">
      <x:c r="A282" s="12" t="str">
        <x:v>2170</x:v>
      </x:c>
      <x:c r="B282" s="12" t="str">
        <x:v>19360</x:v>
      </x:c>
      <x:c r="C282" s="12" t="str">
        <x:v>参考000</x:v>
      </x:c>
      <x:c r="D282" s="12" t="str">
        <x:v>自动000</x:v>
      </x:c>
      <x:c r="E282" s="12" t="n">
        <x:v>0</x:v>
      </x:c>
      <x:c r="F282" s="12" t="n">
        <x:v>0</x:v>
      </x:c>
      <x:c r="G282" s="12" t="n">
        <x:v>0</x:v>
      </x:c>
      <x:c r="H282" s="12" t="n">
        <x:f>IF(SUM(I282:K282)&gt;0,1,0)</x:f>
        <x:v>0</x:v>
      </x:c>
      <x:c r="I282" s="12" t="n">
        <x:f>IF('患者配对'!M272="positive",1,0)</x:f>
        <x:v>0</x:v>
      </x:c>
      <x:c r="J282" s="12" t="n">
        <x:f>IF('患者配对'!R272="positive",1,0)</x:f>
        <x:v>0</x:v>
      </x:c>
      <x:c r="K282" s="12" t="n">
        <x:f>IF('患者配对'!W272="positive",1,0)</x:f>
        <x:v>0</x:v>
      </x:c>
      <x:c r="L282" s="12" t="str">
        <x:v>由原件与原状态取得；仅主队列索引</x:v>
      </x:c>
      <x:c r="M282" s="12"/>
      <x:c r="N282" s="12"/>
      <x:c r="O282" s="12"/>
    </x:row>
    <x:row r="283" ht="39" customHeight="1">
      <x:c r="A283" s="12" t="str">
        <x:v>2192</x:v>
      </x:c>
      <x:c r="B283" s="12" t="str">
        <x:v>12208</x:v>
      </x:c>
      <x:c r="C283" s="12" t="str">
        <x:v>参考000</x:v>
      </x:c>
      <x:c r="D283" s="12" t="str">
        <x:v>自动000</x:v>
      </x:c>
      <x:c r="E283" s="12" t="n">
        <x:v>0</x:v>
      </x:c>
      <x:c r="F283" s="12" t="n">
        <x:v>1</x:v>
      </x:c>
      <x:c r="G283" s="12" t="n">
        <x:v>0</x:v>
      </x:c>
      <x:c r="H283" s="12" t="n">
        <x:f>IF(SUM(I283:K283)&gt;0,1,0)</x:f>
        <x:v>0</x:v>
      </x:c>
      <x:c r="I283" s="12" t="n">
        <x:f>IF('患者配对'!M274="positive",1,0)</x:f>
        <x:v>0</x:v>
      </x:c>
      <x:c r="J283" s="12" t="n">
        <x:f>IF('患者配对'!R274="positive",1,0)</x:f>
        <x:v>0</x:v>
      </x:c>
      <x:c r="K283" s="12" t="n">
        <x:f>IF('患者配对'!W274="positive",1,0)</x:f>
        <x:v>0</x:v>
      </x:c>
      <x:c r="L283" s="12" t="str">
        <x:v>由原件与原状态取得；仅主队列索引</x:v>
      </x:c>
      <x:c r="M283" s="12"/>
      <x:c r="N283" s="12"/>
      <x:c r="O283" s="12"/>
    </x:row>
    <x:row r="284" ht="39" customHeight="1">
      <x:c r="A284" s="12" t="str">
        <x:v>2203</x:v>
      </x:c>
      <x:c r="B284" s="12" t="str">
        <x:v>7921</x:v>
      </x:c>
      <x:c r="C284" s="12" t="str">
        <x:v>参考000</x:v>
      </x:c>
      <x:c r="D284" s="12" t="str">
        <x:v>自动000</x:v>
      </x:c>
      <x:c r="E284" s="12" t="n">
        <x:v>0</x:v>
      </x:c>
      <x:c r="F284" s="12" t="n">
        <x:v>0</x:v>
      </x:c>
      <x:c r="G284" s="12" t="n">
        <x:v>0</x:v>
      </x:c>
      <x:c r="H284" s="12" t="n">
        <x:f>IF(SUM(I284:K284)&gt;0,1,0)</x:f>
        <x:v>0</x:v>
      </x:c>
      <x:c r="I284" s="12" t="n">
        <x:f>IF('患者配对'!M276="positive",1,0)</x:f>
        <x:v>0</x:v>
      </x:c>
      <x:c r="J284" s="12" t="n">
        <x:f>IF('患者配对'!R276="positive",1,0)</x:f>
        <x:v>0</x:v>
      </x:c>
      <x:c r="K284" s="12" t="n">
        <x:f>IF('患者配对'!W276="positive",1,0)</x:f>
        <x:v>0</x:v>
      </x:c>
      <x:c r="L284" s="12" t="str">
        <x:v>由原件与原状态取得；仅主队列索引</x:v>
      </x:c>
      <x:c r="M284" s="12"/>
      <x:c r="N284" s="12"/>
      <x:c r="O284" s="12"/>
    </x:row>
    <x:row r="285" ht="39" customHeight="1">
      <x:c r="A285" s="12" t="str">
        <x:v>2210</x:v>
      </x:c>
      <x:c r="B285" s="12" t="str">
        <x:v>2760</x:v>
      </x:c>
      <x:c r="C285" s="12" t="str">
        <x:v>参考000</x:v>
      </x:c>
      <x:c r="D285" s="12" t="str">
        <x:v>自动000</x:v>
      </x:c>
      <x:c r="E285" s="12" t="n">
        <x:v>0</x:v>
      </x:c>
      <x:c r="F285" s="12" t="n">
        <x:v>0</x:v>
      </x:c>
      <x:c r="G285" s="12" t="n">
        <x:v>0</x:v>
      </x:c>
      <x:c r="H285" s="12" t="n">
        <x:f>IF(SUM(I285:K285)&gt;0,1,0)</x:f>
        <x:v>0</x:v>
      </x:c>
      <x:c r="I285" s="12" t="n">
        <x:f>IF('患者配对'!M277="positive",1,0)</x:f>
        <x:v>0</x:v>
      </x:c>
      <x:c r="J285" s="12" t="n">
        <x:f>IF('患者配对'!R277="positive",1,0)</x:f>
        <x:v>0</x:v>
      </x:c>
      <x:c r="K285" s="12" t="n">
        <x:f>IF('患者配对'!W277="positive",1,0)</x:f>
        <x:v>0</x:v>
      </x:c>
      <x:c r="L285" s="12" t="str">
        <x:v>由原件与原状态取得；仅主队列索引</x:v>
      </x:c>
      <x:c r="M285" s="12"/>
      <x:c r="N285" s="12"/>
      <x:c r="O285" s="12"/>
    </x:row>
    <x:row r="286" ht="39" customHeight="1">
      <x:c r="A286" s="12" t="str">
        <x:v>2213</x:v>
      </x:c>
      <x:c r="B286" s="12" t="str">
        <x:v>7283</x:v>
      </x:c>
      <x:c r="C286" s="12" t="str">
        <x:v>参考000</x:v>
      </x:c>
      <x:c r="D286" s="12" t="str">
        <x:v>自动000</x:v>
      </x:c>
      <x:c r="E286" s="12" t="n">
        <x:v>0</x:v>
      </x:c>
      <x:c r="F286" s="12" t="n">
        <x:v>0</x:v>
      </x:c>
      <x:c r="G286" s="12" t="n">
        <x:v>0</x:v>
      </x:c>
      <x:c r="H286" s="12" t="n">
        <x:f>IF(SUM(I286:K286)&gt;0,1,0)</x:f>
        <x:v>0</x:v>
      </x:c>
      <x:c r="I286" s="12" t="n">
        <x:f>IF('患者配对'!M278="positive",1,0)</x:f>
        <x:v>0</x:v>
      </x:c>
      <x:c r="J286" s="12" t="n">
        <x:f>IF('患者配对'!R278="positive",1,0)</x:f>
        <x:v>0</x:v>
      </x:c>
      <x:c r="K286" s="12" t="n">
        <x:f>IF('患者配对'!W278="positive",1,0)</x:f>
        <x:v>0</x:v>
      </x:c>
      <x:c r="L286" s="12" t="str">
        <x:v>由原件与原状态取得；仅主队列索引</x:v>
      </x:c>
      <x:c r="M286" s="12"/>
      <x:c r="N286" s="12"/>
      <x:c r="O286" s="12"/>
    </x:row>
    <x:row r="287" ht="39" customHeight="1">
      <x:c r="A287" s="12" t="str">
        <x:v>2221</x:v>
      </x:c>
      <x:c r="B287" s="12" t="str">
        <x:v>6504</x:v>
      </x:c>
      <x:c r="C287" s="12" t="str">
        <x:v>参考000</x:v>
      </x:c>
      <x:c r="D287" s="12" t="str">
        <x:v>自动000</x:v>
      </x:c>
      <x:c r="E287" s="12" t="n">
        <x:v>0</x:v>
      </x:c>
      <x:c r="F287" s="12" t="n">
        <x:v>0</x:v>
      </x:c>
      <x:c r="G287" s="12" t="n">
        <x:v>0</x:v>
      </x:c>
      <x:c r="H287" s="12" t="n">
        <x:f>IF(SUM(I287:K287)&gt;0,1,0)</x:f>
        <x:v>0</x:v>
      </x:c>
      <x:c r="I287" s="12" t="n">
        <x:f>IF('患者配对'!M279="positive",1,0)</x:f>
        <x:v>0</x:v>
      </x:c>
      <x:c r="J287" s="12" t="n">
        <x:f>IF('患者配对'!R279="positive",1,0)</x:f>
        <x:v>0</x:v>
      </x:c>
      <x:c r="K287" s="12" t="n">
        <x:f>IF('患者配对'!W279="positive",1,0)</x:f>
        <x:v>0</x:v>
      </x:c>
      <x:c r="L287" s="12" t="str">
        <x:v>由原件与原状态取得；仅主队列索引</x:v>
      </x:c>
      <x:c r="M287" s="12"/>
      <x:c r="N287" s="12"/>
      <x:c r="O287" s="12"/>
    </x:row>
    <x:row r="288" ht="39" customHeight="1">
      <x:c r="A288" s="12" t="str">
        <x:v>2224</x:v>
      </x:c>
      <x:c r="B288" s="12" t="str">
        <x:v>6810</x:v>
      </x:c>
      <x:c r="C288" s="12" t="str">
        <x:v>参考000</x:v>
      </x:c>
      <x:c r="D288" s="12" t="str">
        <x:v>自动000</x:v>
      </x:c>
      <x:c r="E288" s="12" t="n">
        <x:v>0</x:v>
      </x:c>
      <x:c r="F288" s="12" t="n">
        <x:v>0</x:v>
      </x:c>
      <x:c r="G288" s="12" t="n">
        <x:v>0</x:v>
      </x:c>
      <x:c r="H288" s="12" t="n">
        <x:f>IF(SUM(I288:K288)&gt;0,1,0)</x:f>
        <x:v>0</x:v>
      </x:c>
      <x:c r="I288" s="12" t="n">
        <x:f>IF('患者配对'!M280="positive",1,0)</x:f>
        <x:v>0</x:v>
      </x:c>
      <x:c r="J288" s="12" t="n">
        <x:f>IF('患者配对'!R280="positive",1,0)</x:f>
        <x:v>0</x:v>
      </x:c>
      <x:c r="K288" s="12" t="n">
        <x:f>IF('患者配对'!W280="positive",1,0)</x:f>
        <x:v>0</x:v>
      </x:c>
      <x:c r="L288" s="12" t="str">
        <x:v>由原件与原状态取得；仅主队列索引</x:v>
      </x:c>
      <x:c r="M288" s="12"/>
      <x:c r="N288" s="12"/>
      <x:c r="O288" s="12"/>
    </x:row>
    <x:row r="289" ht="39" customHeight="1">
      <x:c r="A289" s="12" t="str">
        <x:v>2226</x:v>
      </x:c>
      <x:c r="B289" s="12" t="str">
        <x:v>7071</x:v>
      </x:c>
      <x:c r="C289" s="12" t="str">
        <x:v>参考000</x:v>
      </x:c>
      <x:c r="D289" s="12" t="str">
        <x:v>自动000</x:v>
      </x:c>
      <x:c r="E289" s="12" t="n">
        <x:v>0</x:v>
      </x:c>
      <x:c r="F289" s="12" t="n">
        <x:v>0</x:v>
      </x:c>
      <x:c r="G289" s="12" t="n">
        <x:v>0</x:v>
      </x:c>
      <x:c r="H289" s="12" t="n">
        <x:f>IF(SUM(I289:K289)&gt;0,1,0)</x:f>
        <x:v>0</x:v>
      </x:c>
      <x:c r="I289" s="12" t="n">
        <x:f>IF('患者配对'!M281="positive",1,0)</x:f>
        <x:v>0</x:v>
      </x:c>
      <x:c r="J289" s="12" t="n">
        <x:f>IF('患者配对'!R281="positive",1,0)</x:f>
        <x:v>0</x:v>
      </x:c>
      <x:c r="K289" s="12" t="n">
        <x:f>IF('患者配对'!W281="positive",1,0)</x:f>
        <x:v>0</x:v>
      </x:c>
      <x:c r="L289" s="12" t="str">
        <x:v>由原件与原状态取得；仅主队列索引</x:v>
      </x:c>
      <x:c r="M289" s="12"/>
      <x:c r="N289" s="12"/>
      <x:c r="O289" s="12"/>
    </x:row>
    <x:row r="290" ht="39" customHeight="1">
      <x:c r="A290" s="12" t="str">
        <x:v>2235</x:v>
      </x:c>
      <x:c r="B290" s="12" t="str">
        <x:v>951</x:v>
      </x:c>
      <x:c r="C290" s="12" t="str">
        <x:v>参考000</x:v>
      </x:c>
      <x:c r="D290" s="12" t="str">
        <x:v>自动000</x:v>
      </x:c>
      <x:c r="E290" s="12" t="n">
        <x:v>0</x:v>
      </x:c>
      <x:c r="F290" s="12" t="n">
        <x:v>0</x:v>
      </x:c>
      <x:c r="G290" s="12" t="n">
        <x:v>0</x:v>
      </x:c>
      <x:c r="H290" s="12" t="n">
        <x:f>IF(SUM(I290:K290)&gt;0,1,0)</x:f>
        <x:v>0</x:v>
      </x:c>
      <x:c r="I290" s="12" t="n">
        <x:f>IF('患者配对'!M282="positive",1,0)</x:f>
        <x:v>0</x:v>
      </x:c>
      <x:c r="J290" s="12" t="n">
        <x:f>IF('患者配对'!R282="positive",1,0)</x:f>
        <x:v>0</x:v>
      </x:c>
      <x:c r="K290" s="12" t="n">
        <x:f>IF('患者配对'!W282="positive",1,0)</x:f>
        <x:v>0</x:v>
      </x:c>
      <x:c r="L290" s="12" t="str">
        <x:v>由原件与原状态取得；仅主队列索引</x:v>
      </x:c>
      <x:c r="M290" s="12"/>
      <x:c r="N290" s="12"/>
      <x:c r="O290" s="12"/>
    </x:row>
    <x:row r="291" ht="39" customHeight="1">
      <x:c r="A291" s="12" t="str">
        <x:v>2238</x:v>
      </x:c>
      <x:c r="B291" s="12" t="str">
        <x:v>1735</x:v>
      </x:c>
      <x:c r="C291" s="12" t="str">
        <x:v>参考000</x:v>
      </x:c>
      <x:c r="D291" s="12" t="str">
        <x:v>自动000</x:v>
      </x:c>
      <x:c r="E291" s="12" t="n">
        <x:v>0</x:v>
      </x:c>
      <x:c r="F291" s="12" t="n">
        <x:v>0</x:v>
      </x:c>
      <x:c r="G291" s="12" t="n">
        <x:v>0</x:v>
      </x:c>
      <x:c r="H291" s="12" t="n">
        <x:f>IF(SUM(I291:K291)&gt;0,1,0)</x:f>
        <x:v>0</x:v>
      </x:c>
      <x:c r="I291" s="12" t="n">
        <x:f>IF('患者配对'!M283="positive",1,0)</x:f>
        <x:v>0</x:v>
      </x:c>
      <x:c r="J291" s="12" t="n">
        <x:f>IF('患者配对'!R283="positive",1,0)</x:f>
        <x:v>0</x:v>
      </x:c>
      <x:c r="K291" s="12" t="n">
        <x:f>IF('患者配对'!W283="positive",1,0)</x:f>
        <x:v>0</x:v>
      </x:c>
      <x:c r="L291" s="12" t="str">
        <x:v>由原件与原状态取得；仅主队列索引</x:v>
      </x:c>
      <x:c r="M291" s="12"/>
      <x:c r="N291" s="12"/>
      <x:c r="O291" s="12"/>
    </x:row>
    <x:row r="292" ht="39" customHeight="1">
      <x:c r="A292" s="12" t="str">
        <x:v>2267</x:v>
      </x:c>
      <x:c r="B292" s="12" t="str">
        <x:v>18672</x:v>
      </x:c>
      <x:c r="C292" s="12" t="str">
        <x:v>参考000</x:v>
      </x:c>
      <x:c r="D292" s="12" t="str">
        <x:v>自动000</x:v>
      </x:c>
      <x:c r="E292" s="12" t="n">
        <x:v>0</x:v>
      </x:c>
      <x:c r="F292" s="12" t="n">
        <x:v>1</x:v>
      </x:c>
      <x:c r="G292" s="12" t="n">
        <x:v>0</x:v>
      </x:c>
      <x:c r="H292" s="12" t="n">
        <x:f>IF(SUM(I292:K292)&gt;0,1,0)</x:f>
        <x:v>0</x:v>
      </x:c>
      <x:c r="I292" s="12" t="n">
        <x:f>IF('患者配对'!M285="positive",1,0)</x:f>
        <x:v>0</x:v>
      </x:c>
      <x:c r="J292" s="12" t="n">
        <x:f>IF('患者配对'!R285="positive",1,0)</x:f>
        <x:v>0</x:v>
      </x:c>
      <x:c r="K292" s="12" t="n">
        <x:f>IF('患者配对'!W285="positive",1,0)</x:f>
        <x:v>0</x:v>
      </x:c>
      <x:c r="L292" s="12" t="str">
        <x:v>由原件与原状态取得；仅主队列索引</x:v>
      </x:c>
      <x:c r="M292" s="12"/>
      <x:c r="N292" s="12"/>
      <x:c r="O292" s="12"/>
    </x:row>
    <x:row r="293" ht="39" customHeight="1">
      <x:c r="A293" s="12" t="str">
        <x:v>2270</x:v>
      </x:c>
      <x:c r="B293" s="12" t="str">
        <x:v>1990</x:v>
      </x:c>
      <x:c r="C293" s="12" t="str">
        <x:v>参考000</x:v>
      </x:c>
      <x:c r="D293" s="12" t="str">
        <x:v>自动000</x:v>
      </x:c>
      <x:c r="E293" s="12" t="n">
        <x:v>0</x:v>
      </x:c>
      <x:c r="F293" s="12" t="n">
        <x:v>1</x:v>
      </x:c>
      <x:c r="G293" s="12" t="n">
        <x:v>0</x:v>
      </x:c>
      <x:c r="H293" s="12" t="n">
        <x:f>IF(SUM(I293:K293)&gt;0,1,0)</x:f>
        <x:v>0</x:v>
      </x:c>
      <x:c r="I293" s="12" t="n">
        <x:f>IF('患者配对'!M286="positive",1,0)</x:f>
        <x:v>0</x:v>
      </x:c>
      <x:c r="J293" s="12" t="n">
        <x:f>IF('患者配对'!R286="positive",1,0)</x:f>
        <x:v>0</x:v>
      </x:c>
      <x:c r="K293" s="12" t="n">
        <x:f>IF('患者配对'!W286="positive",1,0)</x:f>
        <x:v>0</x:v>
      </x:c>
      <x:c r="L293" s="12" t="str">
        <x:v>由原件与原状态取得；仅主队列索引</x:v>
      </x:c>
      <x:c r="M293" s="12"/>
      <x:c r="N293" s="12"/>
      <x:c r="O293" s="12"/>
    </x:row>
    <x:row r="294" ht="39" customHeight="1">
      <x:c r="A294" s="12" t="str">
        <x:v>2277</x:v>
      </x:c>
      <x:c r="B294" s="12" t="str">
        <x:v>3450</x:v>
      </x:c>
      <x:c r="C294" s="12" t="str">
        <x:v>参考000</x:v>
      </x:c>
      <x:c r="D294" s="12" t="str">
        <x:v>自动000</x:v>
      </x:c>
      <x:c r="E294" s="12" t="n">
        <x:v>0</x:v>
      </x:c>
      <x:c r="F294" s="12" t="n">
        <x:v>0</x:v>
      </x:c>
      <x:c r="G294" s="12" t="n">
        <x:v>0</x:v>
      </x:c>
      <x:c r="H294" s="12" t="n">
        <x:f>IF(SUM(I294:K294)&gt;0,1,0)</x:f>
        <x:v>0</x:v>
      </x:c>
      <x:c r="I294" s="12" t="n">
        <x:f>IF('患者配对'!M287="positive",1,0)</x:f>
        <x:v>0</x:v>
      </x:c>
      <x:c r="J294" s="12" t="n">
        <x:f>IF('患者配对'!R287="positive",1,0)</x:f>
        <x:v>0</x:v>
      </x:c>
      <x:c r="K294" s="12" t="n">
        <x:f>IF('患者配对'!W287="positive",1,0)</x:f>
        <x:v>0</x:v>
      </x:c>
      <x:c r="L294" s="12" t="str">
        <x:v>由原件与原状态取得；仅主队列索引</x:v>
      </x:c>
      <x:c r="M294" s="12"/>
      <x:c r="N294" s="12"/>
      <x:c r="O294" s="12"/>
    </x:row>
    <x:row r="295" ht="39" customHeight="1">
      <x:c r="A295" s="12" t="str">
        <x:v>2279</x:v>
      </x:c>
      <x:c r="B295" s="12" t="str">
        <x:v>4588</x:v>
      </x:c>
      <x:c r="C295" s="12" t="str">
        <x:v>参考000</x:v>
      </x:c>
      <x:c r="D295" s="12" t="str">
        <x:v>自动000</x:v>
      </x:c>
      <x:c r="E295" s="12" t="n">
        <x:v>0</x:v>
      </x:c>
      <x:c r="F295" s="12" t="n">
        <x:v>0</x:v>
      </x:c>
      <x:c r="G295" s="12" t="n">
        <x:v>0</x:v>
      </x:c>
      <x:c r="H295" s="12" t="n">
        <x:f>IF(SUM(I295:K295)&gt;0,1,0)</x:f>
        <x:v>0</x:v>
      </x:c>
      <x:c r="I295" s="12" t="n">
        <x:f>IF('患者配对'!M288="positive",1,0)</x:f>
        <x:v>0</x:v>
      </x:c>
      <x:c r="J295" s="12" t="n">
        <x:f>IF('患者配对'!R288="positive",1,0)</x:f>
        <x:v>0</x:v>
      </x:c>
      <x:c r="K295" s="12" t="n">
        <x:f>IF('患者配对'!W288="positive",1,0)</x:f>
        <x:v>0</x:v>
      </x:c>
      <x:c r="L295" s="12" t="str">
        <x:v>由原件与原状态取得；仅主队列索引</x:v>
      </x:c>
      <x:c r="M295" s="12"/>
      <x:c r="N295" s="12"/>
      <x:c r="O295" s="12"/>
    </x:row>
    <x:row r="296" ht="39" customHeight="1">
      <x:c r="A296" s="12" t="str">
        <x:v>2281</x:v>
      </x:c>
      <x:c r="B296" s="12" t="str">
        <x:v>12043</x:v>
      </x:c>
      <x:c r="C296" s="12" t="str">
        <x:v>参考000</x:v>
      </x:c>
      <x:c r="D296" s="12" t="str">
        <x:v>自动000</x:v>
      </x:c>
      <x:c r="E296" s="12" t="n">
        <x:v>0</x:v>
      </x:c>
      <x:c r="F296" s="12" t="n">
        <x:v>1</x:v>
      </x:c>
      <x:c r="G296" s="12" t="n">
        <x:v>0</x:v>
      </x:c>
      <x:c r="H296" s="12" t="n">
        <x:f>IF(SUM(I296:K296)&gt;0,1,0)</x:f>
        <x:v>0</x:v>
      </x:c>
      <x:c r="I296" s="12" t="n">
        <x:f>IF('患者配对'!M289="positive",1,0)</x:f>
        <x:v>0</x:v>
      </x:c>
      <x:c r="J296" s="12" t="n">
        <x:f>IF('患者配对'!R289="positive",1,0)</x:f>
        <x:v>0</x:v>
      </x:c>
      <x:c r="K296" s="12" t="n">
        <x:f>IF('患者配对'!W289="positive",1,0)</x:f>
        <x:v>0</x:v>
      </x:c>
      <x:c r="L296" s="12" t="str">
        <x:v>由原件与原状态取得；仅主队列索引</x:v>
      </x:c>
      <x:c r="M296" s="12"/>
      <x:c r="N296" s="12"/>
      <x:c r="O296" s="12"/>
    </x:row>
    <x:row r="297" ht="39" customHeight="1">
      <x:c r="A297" s="12" t="str">
        <x:v>2282</x:v>
      </x:c>
      <x:c r="B297" s="12" t="str">
        <x:v>5991</x:v>
      </x:c>
      <x:c r="C297" s="12" t="str">
        <x:v>参考000</x:v>
      </x:c>
      <x:c r="D297" s="12" t="str">
        <x:v>自动000</x:v>
      </x:c>
      <x:c r="E297" s="12" t="n">
        <x:v>0</x:v>
      </x:c>
      <x:c r="F297" s="12" t="n">
        <x:v>1</x:v>
      </x:c>
      <x:c r="G297" s="12" t="n">
        <x:v>0</x:v>
      </x:c>
      <x:c r="H297" s="12" t="n">
        <x:f>IF(SUM(I297:K297)&gt;0,1,0)</x:f>
        <x:v>0</x:v>
      </x:c>
      <x:c r="I297" s="12" t="n">
        <x:f>IF('患者配对'!M290="positive",1,0)</x:f>
        <x:v>0</x:v>
      </x:c>
      <x:c r="J297" s="12" t="n">
        <x:f>IF('患者配对'!R290="positive",1,0)</x:f>
        <x:v>0</x:v>
      </x:c>
      <x:c r="K297" s="12" t="n">
        <x:f>IF('患者配对'!W290="positive",1,0)</x:f>
        <x:v>0</x:v>
      </x:c>
      <x:c r="L297" s="12" t="str">
        <x:v>由原件与原状态取得；仅主队列索引</x:v>
      </x:c>
      <x:c r="M297" s="12"/>
      <x:c r="N297" s="12"/>
      <x:c r="O297" s="12"/>
    </x:row>
    <x:row r="298" ht="39" customHeight="1">
      <x:c r="A298" s="12" t="str">
        <x:v>2285</x:v>
      </x:c>
      <x:c r="B298" s="12" t="str">
        <x:v>2208</x:v>
      </x:c>
      <x:c r="C298" s="12" t="str">
        <x:v>参考000</x:v>
      </x:c>
      <x:c r="D298" s="12" t="str">
        <x:v>自动000</x:v>
      </x:c>
      <x:c r="E298" s="12" t="n">
        <x:v>0</x:v>
      </x:c>
      <x:c r="F298" s="12" t="n">
        <x:v>0</x:v>
      </x:c>
      <x:c r="G298" s="12" t="n">
        <x:v>0</x:v>
      </x:c>
      <x:c r="H298" s="12" t="n">
        <x:f>IF(SUM(I298:K298)&gt;0,1,0)</x:f>
        <x:v>0</x:v>
      </x:c>
      <x:c r="I298" s="12" t="n">
        <x:f>IF('患者配对'!M291="positive",1,0)</x:f>
        <x:v>0</x:v>
      </x:c>
      <x:c r="J298" s="12" t="n">
        <x:f>IF('患者配对'!R291="positive",1,0)</x:f>
        <x:v>0</x:v>
      </x:c>
      <x:c r="K298" s="12" t="n">
        <x:f>IF('患者配对'!W291="positive",1,0)</x:f>
        <x:v>0</x:v>
      </x:c>
      <x:c r="L298" s="12" t="str">
        <x:v>由原件与原状态取得；仅主队列索引</x:v>
      </x:c>
      <x:c r="M298" s="12"/>
      <x:c r="N298" s="12"/>
      <x:c r="O298" s="12"/>
    </x:row>
    <x:row r="299" ht="39" customHeight="1">
      <x:c r="A299" s="12" t="str">
        <x:v>2293</x:v>
      </x:c>
      <x:c r="B299" s="12" t="str">
        <x:v>4321</x:v>
      </x:c>
      <x:c r="C299" s="12" t="str">
        <x:v>参考000</x:v>
      </x:c>
      <x:c r="D299" s="12" t="str">
        <x:v>自动000</x:v>
      </x:c>
      <x:c r="E299" s="12" t="n">
        <x:v>0</x:v>
      </x:c>
      <x:c r="F299" s="12" t="n">
        <x:v>0</x:v>
      </x:c>
      <x:c r="G299" s="12" t="n">
        <x:v>0</x:v>
      </x:c>
      <x:c r="H299" s="12" t="n">
        <x:f>IF(SUM(I299:K299)&gt;0,1,0)</x:f>
        <x:v>0</x:v>
      </x:c>
      <x:c r="I299" s="12" t="n">
        <x:f>IF('患者配对'!M292="positive",1,0)</x:f>
        <x:v>0</x:v>
      </x:c>
      <x:c r="J299" s="12" t="n">
        <x:f>IF('患者配对'!R292="positive",1,0)</x:f>
        <x:v>0</x:v>
      </x:c>
      <x:c r="K299" s="12" t="n">
        <x:f>IF('患者配对'!W292="positive",1,0)</x:f>
        <x:v>0</x:v>
      </x:c>
      <x:c r="L299" s="12" t="str">
        <x:v>由原件与原状态取得；仅主队列索引</x:v>
      </x:c>
      <x:c r="M299" s="12"/>
      <x:c r="N299" s="12"/>
      <x:c r="O299" s="12"/>
    </x:row>
    <x:row r="300" ht="39" customHeight="1">
      <x:c r="A300" s="12" t="str">
        <x:v>2302</x:v>
      </x:c>
      <x:c r="B300" s="12" t="str">
        <x:v>586</x:v>
      </x:c>
      <x:c r="C300" s="12" t="str">
        <x:v>参考000</x:v>
      </x:c>
      <x:c r="D300" s="12" t="str">
        <x:v>自动000</x:v>
      </x:c>
      <x:c r="E300" s="12" t="n">
        <x:v>0</x:v>
      </x:c>
      <x:c r="F300" s="12" t="n">
        <x:v>0</x:v>
      </x:c>
      <x:c r="G300" s="12" t="n">
        <x:v>0</x:v>
      </x:c>
      <x:c r="H300" s="12" t="n">
        <x:f>IF(SUM(I300:K300)&gt;0,1,0)</x:f>
        <x:v>0</x:v>
      </x:c>
      <x:c r="I300" s="12" t="n">
        <x:f>IF('患者配对'!M293="positive",1,0)</x:f>
        <x:v>0</x:v>
      </x:c>
      <x:c r="J300" s="12" t="n">
        <x:f>IF('患者配对'!R293="positive",1,0)</x:f>
        <x:v>0</x:v>
      </x:c>
      <x:c r="K300" s="12" t="n">
        <x:f>IF('患者配对'!W293="positive",1,0)</x:f>
        <x:v>0</x:v>
      </x:c>
      <x:c r="L300" s="12" t="str">
        <x:v>由原件与原状态取得；仅主队列索引</x:v>
      </x:c>
      <x:c r="M300" s="12"/>
      <x:c r="N300" s="12"/>
      <x:c r="O300" s="12"/>
    </x:row>
    <x:row r="301" ht="39" customHeight="1">
      <x:c r="A301" s="12" t="str">
        <x:v>2317</x:v>
      </x:c>
      <x:c r="B301" s="12" t="str">
        <x:v>2689</x:v>
      </x:c>
      <x:c r="C301" s="12" t="str">
        <x:v>参考000</x:v>
      </x:c>
      <x:c r="D301" s="12" t="str">
        <x:v>自动000</x:v>
      </x:c>
      <x:c r="E301" s="12" t="n">
        <x:v>0</x:v>
      </x:c>
      <x:c r="F301" s="12" t="n">
        <x:v>0</x:v>
      </x:c>
      <x:c r="G301" s="12" t="n">
        <x:v>0</x:v>
      </x:c>
      <x:c r="H301" s="12" t="n">
        <x:f>IF(SUM(I301:K301)&gt;0,1,0)</x:f>
        <x:v>0</x:v>
      </x:c>
      <x:c r="I301" s="12" t="n">
        <x:f>IF('患者配对'!M294="positive",1,0)</x:f>
        <x:v>0</x:v>
      </x:c>
      <x:c r="J301" s="12" t="n">
        <x:f>IF('患者配对'!R294="positive",1,0)</x:f>
        <x:v>0</x:v>
      </x:c>
      <x:c r="K301" s="12" t="n">
        <x:f>IF('患者配对'!W294="positive",1,0)</x:f>
        <x:v>0</x:v>
      </x:c>
      <x:c r="L301" s="12" t="str">
        <x:v>由原件与原状态取得；仅主队列索引</x:v>
      </x:c>
      <x:c r="M301" s="12"/>
      <x:c r="N301" s="12"/>
      <x:c r="O301" s="12"/>
    </x:row>
    <x:row r="302" ht="39" customHeight="1">
      <x:c r="A302" s="12" t="str">
        <x:v>2324</x:v>
      </x:c>
      <x:c r="B302" s="12" t="str">
        <x:v>13883</x:v>
      </x:c>
      <x:c r="C302" s="12" t="str">
        <x:v>参考000</x:v>
      </x:c>
      <x:c r="D302" s="12" t="str">
        <x:v>自动000</x:v>
      </x:c>
      <x:c r="E302" s="12" t="n">
        <x:v>0</x:v>
      </x:c>
      <x:c r="F302" s="12" t="n">
        <x:v>0</x:v>
      </x:c>
      <x:c r="G302" s="12" t="n">
        <x:v>0</x:v>
      </x:c>
      <x:c r="H302" s="12" t="n">
        <x:f>IF(SUM(I302:K302)&gt;0,1,0)</x:f>
        <x:v>0</x:v>
      </x:c>
      <x:c r="I302" s="12" t="n">
        <x:f>IF('患者配对'!M296="positive",1,0)</x:f>
        <x:v>0</x:v>
      </x:c>
      <x:c r="J302" s="12" t="n">
        <x:f>IF('患者配对'!R296="positive",1,0)</x:f>
        <x:v>0</x:v>
      </x:c>
      <x:c r="K302" s="12" t="n">
        <x:f>IF('患者配对'!W296="positive",1,0)</x:f>
        <x:v>0</x:v>
      </x:c>
      <x:c r="L302" s="12" t="str">
        <x:v>由原件与原状态取得；仅主队列索引</x:v>
      </x:c>
      <x:c r="M302" s="12"/>
      <x:c r="N302" s="12"/>
      <x:c r="O302" s="12"/>
    </x:row>
    <x:row r="303" ht="39" customHeight="1">
      <x:c r="A303" s="12" t="str">
        <x:v>2341</x:v>
      </x:c>
      <x:c r="B303" s="12" t="str">
        <x:v>14475</x:v>
      </x:c>
      <x:c r="C303" s="12" t="str">
        <x:v>参考000</x:v>
      </x:c>
      <x:c r="D303" s="12" t="str">
        <x:v>自动000</x:v>
      </x:c>
      <x:c r="E303" s="12" t="n">
        <x:v>0</x:v>
      </x:c>
      <x:c r="F303" s="12" t="n">
        <x:v>0</x:v>
      </x:c>
      <x:c r="G303" s="12" t="n">
        <x:v>0</x:v>
      </x:c>
      <x:c r="H303" s="12" t="n">
        <x:f>IF(SUM(I303:K303)&gt;0,1,0)</x:f>
        <x:v>0</x:v>
      </x:c>
      <x:c r="I303" s="12" t="n">
        <x:f>IF('患者配对'!M297="positive",1,0)</x:f>
        <x:v>0</x:v>
      </x:c>
      <x:c r="J303" s="12" t="n">
        <x:f>IF('患者配对'!R297="positive",1,0)</x:f>
        <x:v>0</x:v>
      </x:c>
      <x:c r="K303" s="12" t="n">
        <x:f>IF('患者配对'!W297="positive",1,0)</x:f>
        <x:v>0</x:v>
      </x:c>
      <x:c r="L303" s="12" t="str">
        <x:v>由原件与原状态取得；仅主队列索引</x:v>
      </x:c>
      <x:c r="M303" s="12"/>
      <x:c r="N303" s="12"/>
      <x:c r="O303" s="12"/>
    </x:row>
    <x:row r="304" ht="39" customHeight="1">
      <x:c r="A304" s="12" t="str">
        <x:v>2345</x:v>
      </x:c>
      <x:c r="B304" s="12" t="str">
        <x:v>11065</x:v>
      </x:c>
      <x:c r="C304" s="12" t="str">
        <x:v>参考000</x:v>
      </x:c>
      <x:c r="D304" s="12" t="str">
        <x:v>自动000</x:v>
      </x:c>
      <x:c r="E304" s="12" t="n">
        <x:v>0</x:v>
      </x:c>
      <x:c r="F304" s="12" t="n">
        <x:v>0</x:v>
      </x:c>
      <x:c r="G304" s="12" t="n">
        <x:v>0</x:v>
      </x:c>
      <x:c r="H304" s="12" t="n">
        <x:f>IF(SUM(I304:K304)&gt;0,1,0)</x:f>
        <x:v>0</x:v>
      </x:c>
      <x:c r="I304" s="12" t="n">
        <x:f>IF('患者配对'!M298="positive",1,0)</x:f>
        <x:v>0</x:v>
      </x:c>
      <x:c r="J304" s="12" t="n">
        <x:f>IF('患者配对'!R298="positive",1,0)</x:f>
        <x:v>0</x:v>
      </x:c>
      <x:c r="K304" s="12" t="n">
        <x:f>IF('患者配对'!W298="positive",1,0)</x:f>
        <x:v>0</x:v>
      </x:c>
      <x:c r="L304" s="12" t="str">
        <x:v>由原件与原状态取得；仅主队列索引</x:v>
      </x:c>
      <x:c r="M304" s="12"/>
      <x:c r="N304" s="12"/>
      <x:c r="O304" s="12"/>
    </x:row>
    <x:row r="305" ht="39" customHeight="1">
      <x:c r="A305" s="12" t="str">
        <x:v>2355</x:v>
      </x:c>
      <x:c r="B305" s="12" t="str">
        <x:v>19188</x:v>
      </x:c>
      <x:c r="C305" s="12" t="str">
        <x:v>参考000</x:v>
      </x:c>
      <x:c r="D305" s="12" t="str">
        <x:v>自动000</x:v>
      </x:c>
      <x:c r="E305" s="12" t="n">
        <x:v>0</x:v>
      </x:c>
      <x:c r="F305" s="12" t="n">
        <x:v>0</x:v>
      </x:c>
      <x:c r="G305" s="12" t="n">
        <x:v>0</x:v>
      </x:c>
      <x:c r="H305" s="12" t="n">
        <x:f>IF(SUM(I305:K305)&gt;0,1,0)</x:f>
        <x:v>0</x:v>
      </x:c>
      <x:c r="I305" s="12" t="n">
        <x:f>IF('患者配对'!M299="positive",1,0)</x:f>
        <x:v>0</x:v>
      </x:c>
      <x:c r="J305" s="12" t="n">
        <x:f>IF('患者配对'!R299="positive",1,0)</x:f>
        <x:v>0</x:v>
      </x:c>
      <x:c r="K305" s="12" t="n">
        <x:f>IF('患者配对'!W299="positive",1,0)</x:f>
        <x:v>0</x:v>
      </x:c>
      <x:c r="L305" s="12" t="str">
        <x:v>由原件与原状态取得；仅主队列索引</x:v>
      </x:c>
      <x:c r="M305" s="12"/>
      <x:c r="N305" s="12"/>
      <x:c r="O305" s="12"/>
    </x:row>
    <x:row r="306" ht="39" customHeight="1">
      <x:c r="A306" s="12" t="str">
        <x:v>2368</x:v>
      </x:c>
      <x:c r="B306" s="12" t="str">
        <x:v>15335</x:v>
      </x:c>
      <x:c r="C306" s="12" t="str">
        <x:v>参考000</x:v>
      </x:c>
      <x:c r="D306" s="12" t="str">
        <x:v>自动000</x:v>
      </x:c>
      <x:c r="E306" s="12" t="n">
        <x:v>0</x:v>
      </x:c>
      <x:c r="F306" s="12" t="n">
        <x:v>0</x:v>
      </x:c>
      <x:c r="G306" s="12" t="n">
        <x:v>0</x:v>
      </x:c>
      <x:c r="H306" s="12" t="n">
        <x:f>IF(SUM(I306:K306)&gt;0,1,0)</x:f>
        <x:v>0</x:v>
      </x:c>
      <x:c r="I306" s="12" t="n">
        <x:f>IF('患者配对'!M300="positive",1,0)</x:f>
        <x:v>0</x:v>
      </x:c>
      <x:c r="J306" s="12" t="n">
        <x:f>IF('患者配对'!R300="positive",1,0)</x:f>
        <x:v>0</x:v>
      </x:c>
      <x:c r="K306" s="12" t="n">
        <x:f>IF('患者配对'!W300="positive",1,0)</x:f>
        <x:v>0</x:v>
      </x:c>
      <x:c r="L306" s="12" t="str">
        <x:v>由原件与原状态取得；仅主队列索引</x:v>
      </x:c>
      <x:c r="M306" s="12"/>
      <x:c r="N306" s="12"/>
      <x:c r="O306" s="12"/>
    </x:row>
    <x:row r="307" ht="39" customHeight="1">
      <x:c r="A307" s="12" t="str">
        <x:v>2369</x:v>
      </x:c>
      <x:c r="B307" s="12" t="str">
        <x:v>12547</x:v>
      </x:c>
      <x:c r="C307" s="12" t="str">
        <x:v>参考000</x:v>
      </x:c>
      <x:c r="D307" s="12" t="str">
        <x:v>自动000</x:v>
      </x:c>
      <x:c r="E307" s="12" t="n">
        <x:v>0</x:v>
      </x:c>
      <x:c r="F307" s="12" t="n">
        <x:v>0</x:v>
      </x:c>
      <x:c r="G307" s="12" t="n">
        <x:v>0</x:v>
      </x:c>
      <x:c r="H307" s="12" t="n">
        <x:f>IF(SUM(I307:K307)&gt;0,1,0)</x:f>
        <x:v>0</x:v>
      </x:c>
      <x:c r="I307" s="12" t="n">
        <x:f>IF('患者配对'!M301="positive",1,0)</x:f>
        <x:v>0</x:v>
      </x:c>
      <x:c r="J307" s="12" t="n">
        <x:f>IF('患者配对'!R301="positive",1,0)</x:f>
        <x:v>0</x:v>
      </x:c>
      <x:c r="K307" s="12" t="n">
        <x:f>IF('患者配对'!W301="positive",1,0)</x:f>
        <x:v>0</x:v>
      </x:c>
      <x:c r="L307" s="12" t="str">
        <x:v>由原件与原状态取得；仅主队列索引</x:v>
      </x:c>
      <x:c r="M307" s="12"/>
      <x:c r="N307" s="12"/>
      <x:c r="O307" s="12"/>
    </x:row>
    <x:row r="308" ht="39" customHeight="1">
      <x:c r="A308" s="12" t="str">
        <x:v>2370</x:v>
      </x:c>
      <x:c r="B308" s="12" t="str">
        <x:v>13793</x:v>
      </x:c>
      <x:c r="C308" s="12" t="str">
        <x:v>参考000</x:v>
      </x:c>
      <x:c r="D308" s="12" t="str">
        <x:v>自动000</x:v>
      </x:c>
      <x:c r="E308" s="12" t="n">
        <x:v>0</x:v>
      </x:c>
      <x:c r="F308" s="12" t="n">
        <x:v>0</x:v>
      </x:c>
      <x:c r="G308" s="12" t="n">
        <x:v>0</x:v>
      </x:c>
      <x:c r="H308" s="12" t="n">
        <x:f>IF(SUM(I308:K308)&gt;0,1,0)</x:f>
        <x:v>0</x:v>
      </x:c>
      <x:c r="I308" s="12" t="n">
        <x:f>IF('患者配对'!M302="positive",1,0)</x:f>
        <x:v>0</x:v>
      </x:c>
      <x:c r="J308" s="12" t="n">
        <x:f>IF('患者配对'!R302="positive",1,0)</x:f>
        <x:v>0</x:v>
      </x:c>
      <x:c r="K308" s="12" t="n">
        <x:f>IF('患者配对'!W302="positive",1,0)</x:f>
        <x:v>0</x:v>
      </x:c>
      <x:c r="L308" s="12" t="str">
        <x:v>由原件与原状态取得；仅主队列索引</x:v>
      </x:c>
      <x:c r="M308" s="12"/>
      <x:c r="N308" s="12"/>
      <x:c r="O308" s="12"/>
    </x:row>
    <x:row r="309" ht="39" customHeight="1">
      <x:c r="A309" s="12" t="str">
        <x:v>2375</x:v>
      </x:c>
      <x:c r="B309" s="12" t="str">
        <x:v>17107</x:v>
      </x:c>
      <x:c r="C309" s="12" t="str">
        <x:v>参考000</x:v>
      </x:c>
      <x:c r="D309" s="12" t="str">
        <x:v>自动000</x:v>
      </x:c>
      <x:c r="E309" s="12" t="n">
        <x:v>0</x:v>
      </x:c>
      <x:c r="F309" s="12" t="n">
        <x:v>1</x:v>
      </x:c>
      <x:c r="G309" s="12" t="n">
        <x:v>0</x:v>
      </x:c>
      <x:c r="H309" s="12" t="n">
        <x:f>IF(SUM(I309:K309)&gt;0,1,0)</x:f>
        <x:v>0</x:v>
      </x:c>
      <x:c r="I309" s="12" t="n">
        <x:f>IF('患者配对'!M303="positive",1,0)</x:f>
        <x:v>0</x:v>
      </x:c>
      <x:c r="J309" s="12" t="n">
        <x:f>IF('患者配对'!R303="positive",1,0)</x:f>
        <x:v>0</x:v>
      </x:c>
      <x:c r="K309" s="12" t="n">
        <x:f>IF('患者配对'!W303="positive",1,0)</x:f>
        <x:v>0</x:v>
      </x:c>
      <x:c r="L309" s="12" t="str">
        <x:v>由原件与原状态取得；仅主队列索引</x:v>
      </x:c>
      <x:c r="M309" s="12"/>
      <x:c r="N309" s="12"/>
      <x:c r="O309" s="12"/>
    </x:row>
    <x:row r="310" ht="39" customHeight="1">
      <x:c r="A310" s="12" t="str">
        <x:v>2379</x:v>
      </x:c>
      <x:c r="B310" s="12" t="str">
        <x:v>14184</x:v>
      </x:c>
      <x:c r="C310" s="12" t="str">
        <x:v>参考000</x:v>
      </x:c>
      <x:c r="D310" s="12" t="str">
        <x:v>自动000</x:v>
      </x:c>
      <x:c r="E310" s="12" t="n">
        <x:v>0</x:v>
      </x:c>
      <x:c r="F310" s="12" t="n">
        <x:v>0</x:v>
      </x:c>
      <x:c r="G310" s="12" t="n">
        <x:v>0</x:v>
      </x:c>
      <x:c r="H310" s="12" t="n">
        <x:f>IF(SUM(I310:K310)&gt;0,1,0)</x:f>
        <x:v>0</x:v>
      </x:c>
      <x:c r="I310" s="12" t="n">
        <x:f>IF('患者配对'!M304="positive",1,0)</x:f>
        <x:v>0</x:v>
      </x:c>
      <x:c r="J310" s="12" t="n">
        <x:f>IF('患者配对'!R304="positive",1,0)</x:f>
        <x:v>0</x:v>
      </x:c>
      <x:c r="K310" s="12" t="n">
        <x:f>IF('患者配对'!W304="positive",1,0)</x:f>
        <x:v>0</x:v>
      </x:c>
      <x:c r="L310" s="12" t="str">
        <x:v>由原件与原状态取得；仅主队列索引</x:v>
      </x:c>
      <x:c r="M310" s="12"/>
      <x:c r="N310" s="12"/>
      <x:c r="O310" s="12"/>
    </x:row>
    <x:row r="311" ht="39" customHeight="1">
      <x:c r="A311" s="12" t="str">
        <x:v>2381</x:v>
      </x:c>
      <x:c r="B311" s="12" t="str">
        <x:v>19457</x:v>
      </x:c>
      <x:c r="C311" s="12" t="str">
        <x:v>参考000</x:v>
      </x:c>
      <x:c r="D311" s="12" t="str">
        <x:v>自动000</x:v>
      </x:c>
      <x:c r="E311" s="12" t="n">
        <x:v>0</x:v>
      </x:c>
      <x:c r="F311" s="12" t="n">
        <x:v>1</x:v>
      </x:c>
      <x:c r="G311" s="12" t="n">
        <x:v>0</x:v>
      </x:c>
      <x:c r="H311" s="12" t="n">
        <x:f>IF(SUM(I311:K311)&gt;0,1,0)</x:f>
        <x:v>0</x:v>
      </x:c>
      <x:c r="I311" s="12" t="n">
        <x:f>IF('患者配对'!M305="positive",1,0)</x:f>
        <x:v>0</x:v>
      </x:c>
      <x:c r="J311" s="12" t="n">
        <x:f>IF('患者配对'!R305="positive",1,0)</x:f>
        <x:v>0</x:v>
      </x:c>
      <x:c r="K311" s="12" t="n">
        <x:f>IF('患者配对'!W305="positive",1,0)</x:f>
        <x:v>0</x:v>
      </x:c>
      <x:c r="L311" s="12" t="str">
        <x:v>由原件与原状态取得；仅主队列索引</x:v>
      </x:c>
      <x:c r="M311" s="12"/>
      <x:c r="N311" s="12"/>
      <x:c r="O311" s="12"/>
    </x:row>
    <x:row r="312" ht="39" customHeight="1">
      <x:c r="A312" s="12" t="str">
        <x:v>2386</x:v>
      </x:c>
      <x:c r="B312" s="12" t="str">
        <x:v>10088</x:v>
      </x:c>
      <x:c r="C312" s="12" t="str">
        <x:v>参考000</x:v>
      </x:c>
      <x:c r="D312" s="12" t="str">
        <x:v>自动000</x:v>
      </x:c>
      <x:c r="E312" s="12" t="n">
        <x:v>0</x:v>
      </x:c>
      <x:c r="F312" s="12" t="n">
        <x:v>0</x:v>
      </x:c>
      <x:c r="G312" s="12" t="n">
        <x:v>0</x:v>
      </x:c>
      <x:c r="H312" s="12" t="n">
        <x:f>IF(SUM(I312:K312)&gt;0,1,0)</x:f>
        <x:v>0</x:v>
      </x:c>
      <x:c r="I312" s="12" t="n">
        <x:f>IF('患者配对'!M306="positive",1,0)</x:f>
        <x:v>0</x:v>
      </x:c>
      <x:c r="J312" s="12" t="n">
        <x:f>IF('患者配对'!R306="positive",1,0)</x:f>
        <x:v>0</x:v>
      </x:c>
      <x:c r="K312" s="12" t="n">
        <x:f>IF('患者配对'!W306="positive",1,0)</x:f>
        <x:v>0</x:v>
      </x:c>
      <x:c r="L312" s="12" t="str">
        <x:v>由原件与原状态取得；仅主队列索引</x:v>
      </x:c>
      <x:c r="M312" s="12"/>
      <x:c r="N312" s="12"/>
      <x:c r="O312" s="12"/>
    </x:row>
    <x:row r="313" ht="39" customHeight="1">
      <x:c r="A313" s="12" t="str">
        <x:v>2387</x:v>
      </x:c>
      <x:c r="B313" s="12" t="str">
        <x:v>15397</x:v>
      </x:c>
      <x:c r="C313" s="12" t="str">
        <x:v>参考000</x:v>
      </x:c>
      <x:c r="D313" s="12" t="str">
        <x:v>自动000</x:v>
      </x:c>
      <x:c r="E313" s="12" t="n">
        <x:v>0</x:v>
      </x:c>
      <x:c r="F313" s="12" t="n">
        <x:v>0</x:v>
      </x:c>
      <x:c r="G313" s="12" t="n">
        <x:v>0</x:v>
      </x:c>
      <x:c r="H313" s="12" t="n">
        <x:f>IF(SUM(I313:K313)&gt;0,1,0)</x:f>
        <x:v>0</x:v>
      </x:c>
      <x:c r="I313" s="12" t="n">
        <x:f>IF('患者配对'!M307="positive",1,0)</x:f>
        <x:v>0</x:v>
      </x:c>
      <x:c r="J313" s="12" t="n">
        <x:f>IF('患者配对'!R307="positive",1,0)</x:f>
        <x:v>0</x:v>
      </x:c>
      <x:c r="K313" s="12" t="n">
        <x:f>IF('患者配对'!W307="positive",1,0)</x:f>
        <x:v>0</x:v>
      </x:c>
      <x:c r="L313" s="12" t="str">
        <x:v>由原件与原状态取得；仅主队列索引</x:v>
      </x:c>
      <x:c r="M313" s="12"/>
      <x:c r="N313" s="12"/>
      <x:c r="O313" s="12"/>
    </x:row>
    <x:row r="314" ht="39" customHeight="1">
      <x:c r="A314" s="12" t="str">
        <x:v>2390</x:v>
      </x:c>
      <x:c r="B314" s="12" t="str">
        <x:v>20707</x:v>
      </x:c>
      <x:c r="C314" s="12" t="str">
        <x:v>参考000</x:v>
      </x:c>
      <x:c r="D314" s="12" t="str">
        <x:v>自动000</x:v>
      </x:c>
      <x:c r="E314" s="12" t="n">
        <x:v>0</x:v>
      </x:c>
      <x:c r="F314" s="12" t="n">
        <x:v>0</x:v>
      </x:c>
      <x:c r="G314" s="12" t="n">
        <x:v>0</x:v>
      </x:c>
      <x:c r="H314" s="12" t="n">
        <x:f>IF(SUM(I314:K314)&gt;0,1,0)</x:f>
        <x:v>0</x:v>
      </x:c>
      <x:c r="I314" s="12" t="n">
        <x:f>IF('患者配对'!M308="positive",1,0)</x:f>
        <x:v>0</x:v>
      </x:c>
      <x:c r="J314" s="12" t="n">
        <x:f>IF('患者配对'!R308="positive",1,0)</x:f>
        <x:v>0</x:v>
      </x:c>
      <x:c r="K314" s="12" t="n">
        <x:f>IF('患者配对'!W308="positive",1,0)</x:f>
        <x:v>0</x:v>
      </x:c>
      <x:c r="L314" s="12" t="str">
        <x:v>由原件与原状态取得；仅主队列索引</x:v>
      </x:c>
      <x:c r="M314" s="12"/>
      <x:c r="N314" s="12"/>
      <x:c r="O314" s="12"/>
    </x:row>
    <x:row r="315" ht="39" customHeight="1">
      <x:c r="A315" s="12" t="str">
        <x:v>2403</x:v>
      </x:c>
      <x:c r="B315" s="12" t="str">
        <x:v>11393</x:v>
      </x:c>
      <x:c r="C315" s="12" t="str">
        <x:v>参考000</x:v>
      </x:c>
      <x:c r="D315" s="12" t="str">
        <x:v>自动000</x:v>
      </x:c>
      <x:c r="E315" s="12" t="n">
        <x:v>0</x:v>
      </x:c>
      <x:c r="F315" s="12" t="n">
        <x:v>1</x:v>
      </x:c>
      <x:c r="G315" s="12" t="n">
        <x:v>0</x:v>
      </x:c>
      <x:c r="H315" s="12" t="n">
        <x:f>IF(SUM(I315:K315)&gt;0,1,0)</x:f>
        <x:v>0</x:v>
      </x:c>
      <x:c r="I315" s="12" t="n">
        <x:f>IF('患者配对'!M309="positive",1,0)</x:f>
        <x:v>0</x:v>
      </x:c>
      <x:c r="J315" s="12" t="n">
        <x:f>IF('患者配对'!R309="positive",1,0)</x:f>
        <x:v>0</x:v>
      </x:c>
      <x:c r="K315" s="12" t="n">
        <x:f>IF('患者配对'!W309="positive",1,0)</x:f>
        <x:v>0</x:v>
      </x:c>
      <x:c r="L315" s="12" t="str">
        <x:v>由原件与原状态取得；仅主队列索引</x:v>
      </x:c>
      <x:c r="M315" s="12"/>
      <x:c r="N315" s="12"/>
      <x:c r="O315" s="12"/>
    </x:row>
    <x:row r="316" ht="39" customHeight="1">
      <x:c r="A316" s="12" t="str">
        <x:v>2409</x:v>
      </x:c>
      <x:c r="B316" s="12" t="str">
        <x:v>19202</x:v>
      </x:c>
      <x:c r="C316" s="12" t="str">
        <x:v>参考000</x:v>
      </x:c>
      <x:c r="D316" s="12" t="str">
        <x:v>自动001</x:v>
      </x:c>
      <x:c r="E316" s="12" t="n">
        <x:v>1</x:v>
      </x:c>
      <x:c r="F316" s="12" t="n">
        <x:v>1</x:v>
      </x:c>
      <x:c r="G316" s="12" t="n">
        <x:v>1</x:v>
      </x:c>
      <x:c r="H316" s="12" t="n">
        <x:f>IF(SUM(I316:K316)&gt;0,1,0)</x:f>
        <x:v>0</x:v>
      </x:c>
      <x:c r="I316" s="12" t="n">
        <x:f>IF('患者配对'!M310="positive",1,0)</x:f>
        <x:v>0</x:v>
      </x:c>
      <x:c r="J316" s="12" t="n">
        <x:f>IF('患者配对'!R310="positive",1,0)</x:f>
        <x:v>0</x:v>
      </x:c>
      <x:c r="K316" s="12" t="n">
        <x:f>IF('患者配对'!W310="positive",1,0)</x:f>
        <x:v>0</x:v>
      </x:c>
      <x:c r="L316" s="12" t="str">
        <x:v>由原件与原状态取得；仅主队列索引</x:v>
      </x:c>
      <x:c r="M316" s="12"/>
      <x:c r="N316" s="12"/>
      <x:c r="O316" s="12"/>
    </x:row>
    <x:row r="317" ht="39" customHeight="1">
      <x:c r="A317" s="12" t="str">
        <x:v>2416</x:v>
      </x:c>
      <x:c r="B317" s="12" t="str">
        <x:v>9391</x:v>
      </x:c>
      <x:c r="C317" s="12" t="str">
        <x:v>参考000</x:v>
      </x:c>
      <x:c r="D317" s="12" t="str">
        <x:v>自动000</x:v>
      </x:c>
      <x:c r="E317" s="12" t="n">
        <x:v>0</x:v>
      </x:c>
      <x:c r="F317" s="12" t="n">
        <x:v>0</x:v>
      </x:c>
      <x:c r="G317" s="12" t="n">
        <x:v>0</x:v>
      </x:c>
      <x:c r="H317" s="12" t="n">
        <x:f>IF(SUM(I317:K317)&gt;0,1,0)</x:f>
        <x:v>0</x:v>
      </x:c>
      <x:c r="I317" s="12" t="n">
        <x:f>IF('患者配对'!M311="positive",1,0)</x:f>
        <x:v>0</x:v>
      </x:c>
      <x:c r="J317" s="12" t="n">
        <x:f>IF('患者配对'!R311="positive",1,0)</x:f>
        <x:v>0</x:v>
      </x:c>
      <x:c r="K317" s="12" t="n">
        <x:f>IF('患者配对'!W311="positive",1,0)</x:f>
        <x:v>0</x:v>
      </x:c>
      <x:c r="L317" s="12" t="str">
        <x:v>由原件与原状态取得；仅主队列索引</x:v>
      </x:c>
      <x:c r="M317" s="12"/>
      <x:c r="N317" s="12"/>
      <x:c r="O317" s="12"/>
    </x:row>
    <x:row r="318" ht="39" customHeight="1">
      <x:c r="A318" s="12" t="str">
        <x:v>2417</x:v>
      </x:c>
      <x:c r="B318" s="12" t="str">
        <x:v>21131</x:v>
      </x:c>
      <x:c r="C318" s="12" t="str">
        <x:v>参考000</x:v>
      </x:c>
      <x:c r="D318" s="12" t="str">
        <x:v>自动000</x:v>
      </x:c>
      <x:c r="E318" s="12" t="n">
        <x:v>0</x:v>
      </x:c>
      <x:c r="F318" s="12" t="n">
        <x:v>0</x:v>
      </x:c>
      <x:c r="G318" s="12" t="n">
        <x:v>0</x:v>
      </x:c>
      <x:c r="H318" s="12" t="n">
        <x:f>IF(SUM(I318:K318)&gt;0,1,0)</x:f>
        <x:v>0</x:v>
      </x:c>
      <x:c r="I318" s="12" t="n">
        <x:f>IF('患者配对'!M312="positive",1,0)</x:f>
        <x:v>0</x:v>
      </x:c>
      <x:c r="J318" s="12" t="n">
        <x:f>IF('患者配对'!R312="positive",1,0)</x:f>
        <x:v>0</x:v>
      </x:c>
      <x:c r="K318" s="12" t="n">
        <x:f>IF('患者配对'!W312="positive",1,0)</x:f>
        <x:v>0</x:v>
      </x:c>
      <x:c r="L318" s="12" t="str">
        <x:v>由原件与原状态取得；仅主队列索引</x:v>
      </x:c>
      <x:c r="M318" s="12"/>
      <x:c r="N318" s="12"/>
      <x:c r="O318" s="12"/>
    </x:row>
    <x:row r="319" ht="39" customHeight="1">
      <x:c r="A319" s="12" t="str">
        <x:v>2419</x:v>
      </x:c>
      <x:c r="B319" s="12" t="str">
        <x:v>10510</x:v>
      </x:c>
      <x:c r="C319" s="12" t="str">
        <x:v>参考000</x:v>
      </x:c>
      <x:c r="D319" s="12" t="str">
        <x:v>自动000</x:v>
      </x:c>
      <x:c r="E319" s="12" t="n">
        <x:v>0</x:v>
      </x:c>
      <x:c r="F319" s="12" t="n">
        <x:v>0</x:v>
      </x:c>
      <x:c r="G319" s="12" t="n">
        <x:v>0</x:v>
      </x:c>
      <x:c r="H319" s="12" t="n">
        <x:f>IF(SUM(I319:K319)&gt;0,1,0)</x:f>
        <x:v>0</x:v>
      </x:c>
      <x:c r="I319" s="12" t="n">
        <x:f>IF('患者配对'!M313="positive",1,0)</x:f>
        <x:v>0</x:v>
      </x:c>
      <x:c r="J319" s="12" t="n">
        <x:f>IF('患者配对'!R313="positive",1,0)</x:f>
        <x:v>0</x:v>
      </x:c>
      <x:c r="K319" s="12" t="n">
        <x:f>IF('患者配对'!W313="positive",1,0)</x:f>
        <x:v>0</x:v>
      </x:c>
      <x:c r="L319" s="12" t="str">
        <x:v>由原件与原状态取得；仅主队列索引</x:v>
      </x:c>
      <x:c r="M319" s="12"/>
      <x:c r="N319" s="12"/>
      <x:c r="O319" s="12"/>
    </x:row>
    <x:row r="320" ht="39" customHeight="1">
      <x:c r="A320" s="12" t="str">
        <x:v>2422</x:v>
      </x:c>
      <x:c r="B320" s="12" t="str">
        <x:v>15635</x:v>
      </x:c>
      <x:c r="C320" s="12" t="str">
        <x:v>参考000</x:v>
      </x:c>
      <x:c r="D320" s="12" t="str">
        <x:v>自动000</x:v>
      </x:c>
      <x:c r="E320" s="12" t="n">
        <x:v>0</x:v>
      </x:c>
      <x:c r="F320" s="12" t="n">
        <x:v>0</x:v>
      </x:c>
      <x:c r="G320" s="12" t="n">
        <x:v>0</x:v>
      </x:c>
      <x:c r="H320" s="12" t="n">
        <x:f>IF(SUM(I320:K320)&gt;0,1,0)</x:f>
        <x:v>0</x:v>
      </x:c>
      <x:c r="I320" s="12" t="n">
        <x:f>IF('患者配对'!M314="positive",1,0)</x:f>
        <x:v>0</x:v>
      </x:c>
      <x:c r="J320" s="12" t="n">
        <x:f>IF('患者配对'!R314="positive",1,0)</x:f>
        <x:v>0</x:v>
      </x:c>
      <x:c r="K320" s="12" t="n">
        <x:f>IF('患者配对'!W314="positive",1,0)</x:f>
        <x:v>0</x:v>
      </x:c>
      <x:c r="L320" s="12" t="str">
        <x:v>由原件与原状态取得；仅主队列索引</x:v>
      </x:c>
      <x:c r="M320" s="12"/>
      <x:c r="N320" s="12"/>
      <x:c r="O320" s="12"/>
    </x:row>
    <x:row r="321" ht="39" customHeight="1">
      <x:c r="A321" s="12" t="str">
        <x:v>2427</x:v>
      </x:c>
      <x:c r="B321" s="12" t="str">
        <x:v>16319</x:v>
      </x:c>
      <x:c r="C321" s="12" t="str">
        <x:v>参考000</x:v>
      </x:c>
      <x:c r="D321" s="12" t="str">
        <x:v>自动000</x:v>
      </x:c>
      <x:c r="E321" s="12" t="n">
        <x:v>0</x:v>
      </x:c>
      <x:c r="F321" s="12" t="n">
        <x:v>0</x:v>
      </x:c>
      <x:c r="G321" s="12" t="n">
        <x:v>0</x:v>
      </x:c>
      <x:c r="H321" s="12" t="n">
        <x:f>IF(SUM(I321:K321)&gt;0,1,0)</x:f>
        <x:v>0</x:v>
      </x:c>
      <x:c r="I321" s="12" t="n">
        <x:f>IF('患者配对'!M315="positive",1,0)</x:f>
        <x:v>0</x:v>
      </x:c>
      <x:c r="J321" s="12" t="n">
        <x:f>IF('患者配对'!R315="positive",1,0)</x:f>
        <x:v>0</x:v>
      </x:c>
      <x:c r="K321" s="12" t="n">
        <x:f>IF('患者配对'!W315="positive",1,0)</x:f>
        <x:v>0</x:v>
      </x:c>
      <x:c r="L321" s="12" t="str">
        <x:v>由原件与原状态取得；仅主队列索引</x:v>
      </x:c>
      <x:c r="M321" s="12"/>
      <x:c r="N321" s="12"/>
      <x:c r="O321" s="12"/>
    </x:row>
    <x:row r="322" ht="39" customHeight="1">
      <x:c r="A322" s="12" t="str">
        <x:v>2432</x:v>
      </x:c>
      <x:c r="B322" s="12" t="str">
        <x:v>18899</x:v>
      </x:c>
      <x:c r="C322" s="12" t="str">
        <x:v>参考000</x:v>
      </x:c>
      <x:c r="D322" s="12" t="str">
        <x:v>自动000</x:v>
      </x:c>
      <x:c r="E322" s="12" t="n">
        <x:v>0</x:v>
      </x:c>
      <x:c r="F322" s="12" t="n">
        <x:v>0</x:v>
      </x:c>
      <x:c r="G322" s="12" t="n">
        <x:v>0</x:v>
      </x:c>
      <x:c r="H322" s="12" t="n">
        <x:f>IF(SUM(I322:K322)&gt;0,1,0)</x:f>
        <x:v>0</x:v>
      </x:c>
      <x:c r="I322" s="12" t="n">
        <x:f>IF('患者配对'!M316="positive",1,0)</x:f>
        <x:v>0</x:v>
      </x:c>
      <x:c r="J322" s="12" t="n">
        <x:f>IF('患者配对'!R316="positive",1,0)</x:f>
        <x:v>0</x:v>
      </x:c>
      <x:c r="K322" s="12" t="n">
        <x:f>IF('患者配对'!W316="positive",1,0)</x:f>
        <x:v>0</x:v>
      </x:c>
      <x:c r="L322" s="12" t="str">
        <x:v>由原件与原状态取得；仅主队列索引</x:v>
      </x:c>
      <x:c r="M322" s="12"/>
      <x:c r="N322" s="12"/>
      <x:c r="O322" s="12"/>
    </x:row>
    <x:row r="323" ht="39" customHeight="1">
      <x:c r="A323" s="12" t="str">
        <x:v>2433</x:v>
      </x:c>
      <x:c r="B323" s="12" t="str">
        <x:v>21554</x:v>
      </x:c>
      <x:c r="C323" s="12" t="str">
        <x:v>参考001</x:v>
      </x:c>
      <x:c r="D323" s="12" t="str">
        <x:v>自动001</x:v>
      </x:c>
      <x:c r="E323" s="12" t="n">
        <x:v>1</x:v>
      </x:c>
      <x:c r="F323" s="12" t="n">
        <x:v>1</x:v>
      </x:c>
      <x:c r="G323" s="12" t="n">
        <x:v>0</x:v>
      </x:c>
      <x:c r="H323" s="12" t="n">
        <x:f>IF(SUM(I323:K323)&gt;0,1,0)</x:f>
        <x:v>1</x:v>
      </x:c>
      <x:c r="I323" s="12" t="n">
        <x:f>IF('患者配对'!M317="positive",1,0)</x:f>
        <x:v>0</x:v>
      </x:c>
      <x:c r="J323" s="12" t="n">
        <x:f>IF('患者配对'!R317="positive",1,0)</x:f>
        <x:v>0</x:v>
      </x:c>
      <x:c r="K323" s="12" t="n">
        <x:f>IF('患者配对'!W317="positive",1,0)</x:f>
        <x:v>1</x:v>
      </x:c>
      <x:c r="L323" s="12" t="str">
        <x:v>由原件与原状态取得；仅主队列索引</x:v>
      </x:c>
      <x:c r="M323" s="12"/>
      <x:c r="N323" s="12"/>
      <x:c r="O323" s="12"/>
    </x:row>
    <x:row r="324" ht="39" customHeight="1">
      <x:c r="A324" s="12" t="str">
        <x:v>2449</x:v>
      </x:c>
      <x:c r="B324" s="12" t="str">
        <x:v>14511</x:v>
      </x:c>
      <x:c r="C324" s="12" t="str">
        <x:v>参考000</x:v>
      </x:c>
      <x:c r="D324" s="12" t="str">
        <x:v>自动000</x:v>
      </x:c>
      <x:c r="E324" s="12" t="n">
        <x:v>0</x:v>
      </x:c>
      <x:c r="F324" s="12" t="n">
        <x:v>0</x:v>
      </x:c>
      <x:c r="G324" s="12" t="n">
        <x:v>0</x:v>
      </x:c>
      <x:c r="H324" s="12" t="n">
        <x:f>IF(SUM(I324:K324)&gt;0,1,0)</x:f>
        <x:v>0</x:v>
      </x:c>
      <x:c r="I324" s="12" t="n">
        <x:f>IF('患者配对'!M318="positive",1,0)</x:f>
        <x:v>0</x:v>
      </x:c>
      <x:c r="J324" s="12" t="n">
        <x:f>IF('患者配对'!R318="positive",1,0)</x:f>
        <x:v>0</x:v>
      </x:c>
      <x:c r="K324" s="12" t="n">
        <x:f>IF('患者配对'!W318="positive",1,0)</x:f>
        <x:v>0</x:v>
      </x:c>
      <x:c r="L324" s="12" t="str">
        <x:v>由原件与原状态取得；仅主队列索引</x:v>
      </x:c>
      <x:c r="M324" s="12"/>
      <x:c r="N324" s="12"/>
      <x:c r="O324" s="12"/>
    </x:row>
    <x:row r="325" ht="39" customHeight="1">
      <x:c r="A325" s="12" t="str">
        <x:v>2455</x:v>
      </x:c>
      <x:c r="B325" s="12" t="str">
        <x:v>7416</x:v>
      </x:c>
      <x:c r="C325" s="12" t="str">
        <x:v>参考000</x:v>
      </x:c>
      <x:c r="D325" s="12" t="str">
        <x:v>自动000</x:v>
      </x:c>
      <x:c r="E325" s="12" t="n">
        <x:v>0</x:v>
      </x:c>
      <x:c r="F325" s="12" t="n">
        <x:v>0</x:v>
      </x:c>
      <x:c r="G325" s="12" t="n">
        <x:v>0</x:v>
      </x:c>
      <x:c r="H325" s="12" t="n">
        <x:f>IF(SUM(I325:K325)&gt;0,1,0)</x:f>
        <x:v>0</x:v>
      </x:c>
      <x:c r="I325" s="12" t="n">
        <x:f>IF('患者配对'!M319="positive",1,0)</x:f>
        <x:v>0</x:v>
      </x:c>
      <x:c r="J325" s="12" t="n">
        <x:f>IF('患者配对'!R319="positive",1,0)</x:f>
        <x:v>0</x:v>
      </x:c>
      <x:c r="K325" s="12" t="n">
        <x:f>IF('患者配对'!W319="positive",1,0)</x:f>
        <x:v>0</x:v>
      </x:c>
      <x:c r="L325" s="12" t="str">
        <x:v>由原件与原状态取得；仅主队列索引</x:v>
      </x:c>
      <x:c r="M325" s="12"/>
      <x:c r="N325" s="12"/>
      <x:c r="O325" s="12"/>
    </x:row>
    <x:row r="326" ht="39" customHeight="1">
      <x:c r="A326" s="12" t="str">
        <x:v>2473</x:v>
      </x:c>
      <x:c r="B326" s="12" t="str">
        <x:v>4913</x:v>
      </x:c>
      <x:c r="C326" s="12" t="str">
        <x:v>参考000</x:v>
      </x:c>
      <x:c r="D326" s="12" t="str">
        <x:v>自动000</x:v>
      </x:c>
      <x:c r="E326" s="12" t="n">
        <x:v>0</x:v>
      </x:c>
      <x:c r="F326" s="12" t="n">
        <x:v>0</x:v>
      </x:c>
      <x:c r="G326" s="12" t="n">
        <x:v>0</x:v>
      </x:c>
      <x:c r="H326" s="12" t="n">
        <x:f>IF(SUM(I326:K326)&gt;0,1,0)</x:f>
        <x:v>0</x:v>
      </x:c>
      <x:c r="I326" s="12" t="n">
        <x:f>IF('患者配对'!M320="positive",1,0)</x:f>
        <x:v>0</x:v>
      </x:c>
      <x:c r="J326" s="12" t="n">
        <x:f>IF('患者配对'!R320="positive",1,0)</x:f>
        <x:v>0</x:v>
      </x:c>
      <x:c r="K326" s="12" t="n">
        <x:f>IF('患者配对'!W320="positive",1,0)</x:f>
        <x:v>0</x:v>
      </x:c>
      <x:c r="L326" s="12" t="str">
        <x:v>由原件与原状态取得；仅主队列索引</x:v>
      </x:c>
      <x:c r="M326" s="12"/>
      <x:c r="N326" s="12"/>
      <x:c r="O326" s="12"/>
    </x:row>
    <x:row r="327" ht="39" customHeight="1">
      <x:c r="A327" s="12" t="str">
        <x:v>2492</x:v>
      </x:c>
      <x:c r="B327" s="12" t="str">
        <x:v>6283</x:v>
      </x:c>
      <x:c r="C327" s="12" t="str">
        <x:v>参考000</x:v>
      </x:c>
      <x:c r="D327" s="12" t="str">
        <x:v>自动000</x:v>
      </x:c>
      <x:c r="E327" s="12" t="n">
        <x:v>0</x:v>
      </x:c>
      <x:c r="F327" s="12" t="n">
        <x:v>1</x:v>
      </x:c>
      <x:c r="G327" s="12" t="n">
        <x:v>0</x:v>
      </x:c>
      <x:c r="H327" s="12" t="n">
        <x:f>IF(SUM(I327:K327)&gt;0,1,0)</x:f>
        <x:v>0</x:v>
      </x:c>
      <x:c r="I327" s="12" t="n">
        <x:f>IF('患者配对'!M322="positive",1,0)</x:f>
        <x:v>0</x:v>
      </x:c>
      <x:c r="J327" s="12" t="n">
        <x:f>IF('患者配对'!R322="positive",1,0)</x:f>
        <x:v>0</x:v>
      </x:c>
      <x:c r="K327" s="12" t="n">
        <x:f>IF('患者配对'!W322="positive",1,0)</x:f>
        <x:v>0</x:v>
      </x:c>
      <x:c r="L327" s="12" t="str">
        <x:v>由原件与原状态取得；仅主队列索引</x:v>
      </x:c>
      <x:c r="M327" s="12"/>
      <x:c r="N327" s="12"/>
      <x:c r="O327" s="12"/>
    </x:row>
    <x:row r="328" ht="39" customHeight="1">
      <x:c r="A328" s="12" t="str">
        <x:v>2507</x:v>
      </x:c>
      <x:c r="B328" s="12" t="str">
        <x:v>19468</x:v>
      </x:c>
      <x:c r="C328" s="12" t="str">
        <x:v>参考000</x:v>
      </x:c>
      <x:c r="D328" s="12" t="str">
        <x:v>自动000</x:v>
      </x:c>
      <x:c r="E328" s="12" t="n">
        <x:v>0</x:v>
      </x:c>
      <x:c r="F328" s="12" t="n">
        <x:v>0</x:v>
      </x:c>
      <x:c r="G328" s="12" t="n">
        <x:v>0</x:v>
      </x:c>
      <x:c r="H328" s="12" t="n">
        <x:f>IF(SUM(I328:K328)&gt;0,1,0)</x:f>
        <x:v>0</x:v>
      </x:c>
      <x:c r="I328" s="12" t="n">
        <x:f>IF('患者配对'!M323="positive",1,0)</x:f>
        <x:v>0</x:v>
      </x:c>
      <x:c r="J328" s="12" t="n">
        <x:f>IF('患者配对'!R323="positive",1,0)</x:f>
        <x:v>0</x:v>
      </x:c>
      <x:c r="K328" s="12" t="n">
        <x:f>IF('患者配对'!W323="positive",1,0)</x:f>
        <x:v>0</x:v>
      </x:c>
      <x:c r="L328" s="12" t="str">
        <x:v>由原件与原状态取得；仅主队列索引</x:v>
      </x:c>
      <x:c r="M328" s="12"/>
      <x:c r="N328" s="12"/>
      <x:c r="O328" s="12"/>
    </x:row>
    <x:row r="329" ht="39" customHeight="1">
      <x:c r="A329" s="12" t="str">
        <x:v>2549</x:v>
      </x:c>
      <x:c r="B329" s="12" t="str">
        <x:v>21158</x:v>
      </x:c>
      <x:c r="C329" s="12" t="str">
        <x:v>参考100</x:v>
      </x:c>
      <x:c r="D329" s="12" t="str">
        <x:v>自动000</x:v>
      </x:c>
      <x:c r="E329" s="12" t="n">
        <x:v>0</x:v>
      </x:c>
      <x:c r="F329" s="12" t="n">
        <x:v>0</x:v>
      </x:c>
      <x:c r="G329" s="12" t="n">
        <x:v>1</x:v>
      </x:c>
      <x:c r="H329" s="12" t="n">
        <x:f>IF(SUM(I329:K329)&gt;0,1,0)</x:f>
        <x:v>1</x:v>
      </x:c>
      <x:c r="I329" s="12" t="n">
        <x:f>IF('患者配对'!M324="positive",1,0)</x:f>
        <x:v>1</x:v>
      </x:c>
      <x:c r="J329" s="12" t="n">
        <x:f>IF('患者配对'!R324="positive",1,0)</x:f>
        <x:v>0</x:v>
      </x:c>
      <x:c r="K329" s="12" t="n">
        <x:f>IF('患者配对'!W324="positive",1,0)</x:f>
        <x:v>0</x:v>
      </x:c>
      <x:c r="L329" s="12" t="str">
        <x:v>由原件与原状态取得；仅主队列索引</x:v>
      </x:c>
      <x:c r="M329" s="12"/>
      <x:c r="N329" s="12"/>
      <x:c r="O329" s="12"/>
    </x:row>
    <x:row r="330" ht="39" customHeight="1">
      <x:c r="A330" s="12" t="str">
        <x:v>2550</x:v>
      </x:c>
      <x:c r="B330" s="12" t="str">
        <x:v>3259</x:v>
      </x:c>
      <x:c r="C330" s="12" t="str">
        <x:v>参考000</x:v>
      </x:c>
      <x:c r="D330" s="12" t="str">
        <x:v>自动000</x:v>
      </x:c>
      <x:c r="E330" s="12" t="n">
        <x:v>0</x:v>
      </x:c>
      <x:c r="F330" s="12" t="n">
        <x:v>1</x:v>
      </x:c>
      <x:c r="G330" s="12" t="n">
        <x:v>0</x:v>
      </x:c>
      <x:c r="H330" s="12" t="n">
        <x:f>IF(SUM(I330:K330)&gt;0,1,0)</x:f>
        <x:v>0</x:v>
      </x:c>
      <x:c r="I330" s="12" t="n">
        <x:f>IF('患者配对'!M325="positive",1,0)</x:f>
        <x:v>0</x:v>
      </x:c>
      <x:c r="J330" s="12" t="n">
        <x:f>IF('患者配对'!R325="positive",1,0)</x:f>
        <x:v>0</x:v>
      </x:c>
      <x:c r="K330" s="12" t="n">
        <x:f>IF('患者配对'!W325="positive",1,0)</x:f>
        <x:v>0</x:v>
      </x:c>
      <x:c r="L330" s="12" t="str">
        <x:v>由原件与原状态取得；仅主队列索引</x:v>
      </x:c>
      <x:c r="M330" s="12"/>
      <x:c r="N330" s="12"/>
      <x:c r="O330" s="12"/>
    </x:row>
    <x:row r="331" ht="39" customHeight="1">
      <x:c r="A331" s="12" t="str">
        <x:v>2551</x:v>
      </x:c>
      <x:c r="B331" s="12" t="str">
        <x:v>3387</x:v>
      </x:c>
      <x:c r="C331" s="12" t="str">
        <x:v>参考000</x:v>
      </x:c>
      <x:c r="D331" s="12" t="str">
        <x:v>自动000</x:v>
      </x:c>
      <x:c r="E331" s="12" t="n">
        <x:v>0</x:v>
      </x:c>
      <x:c r="F331" s="12" t="n">
        <x:v>0</x:v>
      </x:c>
      <x:c r="G331" s="12" t="n">
        <x:v>0</x:v>
      </x:c>
      <x:c r="H331" s="12" t="n">
        <x:f>IF(SUM(I331:K331)&gt;0,1,0)</x:f>
        <x:v>0</x:v>
      </x:c>
      <x:c r="I331" s="12" t="n">
        <x:f>IF('患者配对'!M326="positive",1,0)</x:f>
        <x:v>0</x:v>
      </x:c>
      <x:c r="J331" s="12" t="n">
        <x:f>IF('患者配对'!R326="positive",1,0)</x:f>
        <x:v>0</x:v>
      </x:c>
      <x:c r="K331" s="12" t="n">
        <x:f>IF('患者配对'!W326="positive",1,0)</x:f>
        <x:v>0</x:v>
      </x:c>
      <x:c r="L331" s="12" t="str">
        <x:v>由原件与原状态取得；仅主队列索引</x:v>
      </x:c>
      <x:c r="M331" s="12"/>
      <x:c r="N331" s="12"/>
      <x:c r="O331" s="12"/>
    </x:row>
    <x:row r="332" ht="39" customHeight="1">
      <x:c r="A332" s="12" t="str">
        <x:v>2560</x:v>
      </x:c>
      <x:c r="B332" s="12" t="str">
        <x:v>14976</x:v>
      </x:c>
      <x:c r="C332" s="12" t="str">
        <x:v>参考000</x:v>
      </x:c>
      <x:c r="D332" s="12" t="str">
        <x:v>自动000</x:v>
      </x:c>
      <x:c r="E332" s="12" t="n">
        <x:v>0</x:v>
      </x:c>
      <x:c r="F332" s="12" t="n">
        <x:v>0</x:v>
      </x:c>
      <x:c r="G332" s="12" t="n">
        <x:v>0</x:v>
      </x:c>
      <x:c r="H332" s="12" t="n">
        <x:f>IF(SUM(I332:K332)&gt;0,1,0)</x:f>
        <x:v>0</x:v>
      </x:c>
      <x:c r="I332" s="12" t="n">
        <x:f>IF('患者配对'!M328="positive",1,0)</x:f>
        <x:v>0</x:v>
      </x:c>
      <x:c r="J332" s="12" t="n">
        <x:f>IF('患者配对'!R328="positive",1,0)</x:f>
        <x:v>0</x:v>
      </x:c>
      <x:c r="K332" s="12" t="n">
        <x:f>IF('患者配对'!W328="positive",1,0)</x:f>
        <x:v>0</x:v>
      </x:c>
      <x:c r="L332" s="12" t="str">
        <x:v>由原件与原状态取得；仅主队列索引</x:v>
      </x:c>
      <x:c r="M332" s="12"/>
      <x:c r="N332" s="12"/>
      <x:c r="O332" s="12"/>
    </x:row>
    <x:row r="333" ht="39" customHeight="1">
      <x:c r="A333" s="12" t="str">
        <x:v>2561</x:v>
      </x:c>
      <x:c r="B333" s="12" t="str">
        <x:v>15583</x:v>
      </x:c>
      <x:c r="C333" s="12" t="str">
        <x:v>参考000</x:v>
      </x:c>
      <x:c r="D333" s="12" t="str">
        <x:v>自动000</x:v>
      </x:c>
      <x:c r="E333" s="12" t="n">
        <x:v>0</x:v>
      </x:c>
      <x:c r="F333" s="12" t="n">
        <x:v>0</x:v>
      </x:c>
      <x:c r="G333" s="12" t="n">
        <x:v>0</x:v>
      </x:c>
      <x:c r="H333" s="12" t="n">
        <x:f>IF(SUM(I333:K333)&gt;0,1,0)</x:f>
        <x:v>0</x:v>
      </x:c>
      <x:c r="I333" s="12" t="n">
        <x:f>IF('患者配对'!M329="positive",1,0)</x:f>
        <x:v>0</x:v>
      </x:c>
      <x:c r="J333" s="12" t="n">
        <x:f>IF('患者配对'!R329="positive",1,0)</x:f>
        <x:v>0</x:v>
      </x:c>
      <x:c r="K333" s="12" t="n">
        <x:f>IF('患者配对'!W329="positive",1,0)</x:f>
        <x:v>0</x:v>
      </x:c>
      <x:c r="L333" s="12" t="str">
        <x:v>由原件与原状态取得；仅主队列索引</x:v>
      </x:c>
      <x:c r="M333" s="12"/>
      <x:c r="N333" s="12"/>
      <x:c r="O333" s="12"/>
    </x:row>
    <x:row r="334" ht="39" customHeight="1">
      <x:c r="A334" s="12" t="str">
        <x:v>2565</x:v>
      </x:c>
      <x:c r="B334" s="12" t="str">
        <x:v>8977</x:v>
      </x:c>
      <x:c r="C334" s="12" t="str">
        <x:v>参考000</x:v>
      </x:c>
      <x:c r="D334" s="12" t="str">
        <x:v>自动000</x:v>
      </x:c>
      <x:c r="E334" s="12" t="n">
        <x:v>0</x:v>
      </x:c>
      <x:c r="F334" s="12" t="n">
        <x:v>1</x:v>
      </x:c>
      <x:c r="G334" s="12" t="n">
        <x:v>0</x:v>
      </x:c>
      <x:c r="H334" s="12" t="n">
        <x:f>IF(SUM(I334:K334)&gt;0,1,0)</x:f>
        <x:v>0</x:v>
      </x:c>
      <x:c r="I334" s="12" t="n">
        <x:f>IF('患者配对'!M330="positive",1,0)</x:f>
        <x:v>0</x:v>
      </x:c>
      <x:c r="J334" s="12" t="n">
        <x:f>IF('患者配对'!R330="positive",1,0)</x:f>
        <x:v>0</x:v>
      </x:c>
      <x:c r="K334" s="12" t="n">
        <x:f>IF('患者配对'!W330="positive",1,0)</x:f>
        <x:v>0</x:v>
      </x:c>
      <x:c r="L334" s="12" t="str">
        <x:v>由原件与原状态取得；仅主队列索引</x:v>
      </x:c>
      <x:c r="M334" s="12"/>
      <x:c r="N334" s="12"/>
      <x:c r="O334" s="12"/>
    </x:row>
    <x:row r="335" ht="39" customHeight="1">
      <x:c r="A335" s="12" t="str">
        <x:v>2569</x:v>
      </x:c>
      <x:c r="B335" s="12" t="str">
        <x:v>17603</x:v>
      </x:c>
      <x:c r="C335" s="12" t="str">
        <x:v>参考000</x:v>
      </x:c>
      <x:c r="D335" s="12" t="str">
        <x:v>自动000</x:v>
      </x:c>
      <x:c r="E335" s="12" t="n">
        <x:v>0</x:v>
      </x:c>
      <x:c r="F335" s="12" t="n">
        <x:v>1</x:v>
      </x:c>
      <x:c r="G335" s="12" t="n">
        <x:v>0</x:v>
      </x:c>
      <x:c r="H335" s="12" t="n">
        <x:f>IF(SUM(I335:K335)&gt;0,1,0)</x:f>
        <x:v>0</x:v>
      </x:c>
      <x:c r="I335" s="12" t="n">
        <x:f>IF('患者配对'!M331="positive",1,0)</x:f>
        <x:v>0</x:v>
      </x:c>
      <x:c r="J335" s="12" t="n">
        <x:f>IF('患者配对'!R331="positive",1,0)</x:f>
        <x:v>0</x:v>
      </x:c>
      <x:c r="K335" s="12" t="n">
        <x:f>IF('患者配对'!W331="positive",1,0)</x:f>
        <x:v>0</x:v>
      </x:c>
      <x:c r="L335" s="12" t="str">
        <x:v>由原件与原状态取得；仅主队列索引</x:v>
      </x:c>
      <x:c r="M335" s="12"/>
      <x:c r="N335" s="12"/>
      <x:c r="O335" s="12"/>
    </x:row>
    <x:row r="336" ht="39" customHeight="1">
      <x:c r="A336" s="12" t="str">
        <x:v>2579</x:v>
      </x:c>
      <x:c r="B336" s="12" t="str">
        <x:v>17038</x:v>
      </x:c>
      <x:c r="C336" s="12" t="str">
        <x:v>参考000</x:v>
      </x:c>
      <x:c r="D336" s="12" t="str">
        <x:v>自动000</x:v>
      </x:c>
      <x:c r="E336" s="12" t="n">
        <x:v>0</x:v>
      </x:c>
      <x:c r="F336" s="12" t="n">
        <x:v>1</x:v>
      </x:c>
      <x:c r="G336" s="12" t="n">
        <x:v>0</x:v>
      </x:c>
      <x:c r="H336" s="12" t="n">
        <x:f>IF(SUM(I336:K336)&gt;0,1,0)</x:f>
        <x:v>0</x:v>
      </x:c>
      <x:c r="I336" s="12" t="n">
        <x:f>IF('患者配对'!M332="positive",1,0)</x:f>
        <x:v>0</x:v>
      </x:c>
      <x:c r="J336" s="12" t="n">
        <x:f>IF('患者配对'!R332="positive",1,0)</x:f>
        <x:v>0</x:v>
      </x:c>
      <x:c r="K336" s="12" t="n">
        <x:f>IF('患者配对'!W332="positive",1,0)</x:f>
        <x:v>0</x:v>
      </x:c>
      <x:c r="L336" s="12" t="str">
        <x:v>由原件与原状态取得；仅主队列索引</x:v>
      </x:c>
      <x:c r="M336" s="12"/>
      <x:c r="N336" s="12"/>
      <x:c r="O336" s="12"/>
    </x:row>
    <x:row r="337" ht="39" customHeight="1">
      <x:c r="A337" s="12" t="str">
        <x:v>2587</x:v>
      </x:c>
      <x:c r="B337" s="12" t="str">
        <x:v>19654</x:v>
      </x:c>
      <x:c r="C337" s="12" t="str">
        <x:v>参考000</x:v>
      </x:c>
      <x:c r="D337" s="12" t="str">
        <x:v>自动000</x:v>
      </x:c>
      <x:c r="E337" s="12" t="n">
        <x:v>0</x:v>
      </x:c>
      <x:c r="F337" s="12" t="n">
        <x:v>1</x:v>
      </x:c>
      <x:c r="G337" s="12" t="n">
        <x:v>0</x:v>
      </x:c>
      <x:c r="H337" s="12" t="n">
        <x:f>IF(SUM(I337:K337)&gt;0,1,0)</x:f>
        <x:v>0</x:v>
      </x:c>
      <x:c r="I337" s="12" t="n">
        <x:f>IF('患者配对'!M333="positive",1,0)</x:f>
        <x:v>0</x:v>
      </x:c>
      <x:c r="J337" s="12" t="n">
        <x:f>IF('患者配对'!R333="positive",1,0)</x:f>
        <x:v>0</x:v>
      </x:c>
      <x:c r="K337" s="12" t="n">
        <x:f>IF('患者配对'!W333="positive",1,0)</x:f>
        <x:v>0</x:v>
      </x:c>
      <x:c r="L337" s="12" t="str">
        <x:v>由原件与原状态取得；仅主队列索引</x:v>
      </x:c>
      <x:c r="M337" s="12"/>
      <x:c r="N337" s="12"/>
      <x:c r="O337" s="12"/>
    </x:row>
    <x:row r="338" ht="39" customHeight="1">
      <x:c r="A338" s="12" t="str">
        <x:v>2598</x:v>
      </x:c>
      <x:c r="B338" s="12" t="str">
        <x:v>13358</x:v>
      </x:c>
      <x:c r="C338" s="12" t="str">
        <x:v>参考000</x:v>
      </x:c>
      <x:c r="D338" s="12" t="str">
        <x:v>自动000</x:v>
      </x:c>
      <x:c r="E338" s="12" t="n">
        <x:v>0</x:v>
      </x:c>
      <x:c r="F338" s="12" t="n">
        <x:v>0</x:v>
      </x:c>
      <x:c r="G338" s="12" t="n">
        <x:v>0</x:v>
      </x:c>
      <x:c r="H338" s="12" t="n">
        <x:f>IF(SUM(I338:K338)&gt;0,1,0)</x:f>
        <x:v>0</x:v>
      </x:c>
      <x:c r="I338" s="12" t="n">
        <x:f>IF('患者配对'!M336="positive",1,0)</x:f>
        <x:v>0</x:v>
      </x:c>
      <x:c r="J338" s="12" t="n">
        <x:f>IF('患者配对'!R336="positive",1,0)</x:f>
        <x:v>0</x:v>
      </x:c>
      <x:c r="K338" s="12" t="n">
        <x:f>IF('患者配对'!W336="positive",1,0)</x:f>
        <x:v>0</x:v>
      </x:c>
      <x:c r="L338" s="12" t="str">
        <x:v>由原件与原状态取得；仅主队列索引</x:v>
      </x:c>
      <x:c r="M338" s="12"/>
      <x:c r="N338" s="12"/>
      <x:c r="O338" s="12"/>
    </x:row>
    <x:row r="339" ht="39" customHeight="1">
      <x:c r="A339" s="12" t="str">
        <x:v>2602</x:v>
      </x:c>
      <x:c r="B339" s="12" t="str">
        <x:v>16718</x:v>
      </x:c>
      <x:c r="C339" s="12" t="str">
        <x:v>参考000</x:v>
      </x:c>
      <x:c r="D339" s="12" t="str">
        <x:v>自动000</x:v>
      </x:c>
      <x:c r="E339" s="12" t="n">
        <x:v>0</x:v>
      </x:c>
      <x:c r="F339" s="12" t="n">
        <x:v>0</x:v>
      </x:c>
      <x:c r="G339" s="12" t="n">
        <x:v>0</x:v>
      </x:c>
      <x:c r="H339" s="12" t="n">
        <x:f>IF(SUM(I339:K339)&gt;0,1,0)</x:f>
        <x:v>0</x:v>
      </x:c>
      <x:c r="I339" s="12" t="n">
        <x:f>IF('患者配对'!M337="positive",1,0)</x:f>
        <x:v>0</x:v>
      </x:c>
      <x:c r="J339" s="12" t="n">
        <x:f>IF('患者配对'!R337="positive",1,0)</x:f>
        <x:v>0</x:v>
      </x:c>
      <x:c r="K339" s="12" t="n">
        <x:f>IF('患者配对'!W337="positive",1,0)</x:f>
        <x:v>0</x:v>
      </x:c>
      <x:c r="L339" s="12" t="str">
        <x:v>由原件与原状态取得；仅主队列索引</x:v>
      </x:c>
      <x:c r="M339" s="12"/>
      <x:c r="N339" s="12"/>
      <x:c r="O339" s="12"/>
    </x:row>
    <x:row r="340" ht="39" customHeight="1">
      <x:c r="A340" s="12" t="str">
        <x:v>2605</x:v>
      </x:c>
      <x:c r="B340" s="12" t="str">
        <x:v>19670</x:v>
      </x:c>
      <x:c r="C340" s="12" t="str">
        <x:v>参考000</x:v>
      </x:c>
      <x:c r="D340" s="12" t="str">
        <x:v>自动000</x:v>
      </x:c>
      <x:c r="E340" s="12" t="n">
        <x:v>0</x:v>
      </x:c>
      <x:c r="F340" s="12" t="n">
        <x:v>0</x:v>
      </x:c>
      <x:c r="G340" s="12" t="n">
        <x:v>0</x:v>
      </x:c>
      <x:c r="H340" s="12" t="n">
        <x:f>IF(SUM(I340:K340)&gt;0,1,0)</x:f>
        <x:v>0</x:v>
      </x:c>
      <x:c r="I340" s="12" t="n">
        <x:f>IF('患者配对'!M338="positive",1,0)</x:f>
        <x:v>0</x:v>
      </x:c>
      <x:c r="J340" s="12" t="n">
        <x:f>IF('患者配对'!R338="positive",1,0)</x:f>
        <x:v>0</x:v>
      </x:c>
      <x:c r="K340" s="12" t="n">
        <x:f>IF('患者配对'!W338="positive",1,0)</x:f>
        <x:v>0</x:v>
      </x:c>
      <x:c r="L340" s="12" t="str">
        <x:v>由原件与原状态取得；仅主队列索引</x:v>
      </x:c>
      <x:c r="M340" s="12"/>
      <x:c r="N340" s="12"/>
      <x:c r="O340" s="12"/>
    </x:row>
    <x:row r="341" ht="39" customHeight="1">
      <x:c r="A341" s="12" t="str">
        <x:v>2606</x:v>
      </x:c>
      <x:c r="B341" s="12" t="str">
        <x:v>13485</x:v>
      </x:c>
      <x:c r="C341" s="12" t="str">
        <x:v>参考000</x:v>
      </x:c>
      <x:c r="D341" s="12" t="str">
        <x:v>自动000</x:v>
      </x:c>
      <x:c r="E341" s="12" t="n">
        <x:v>0</x:v>
      </x:c>
      <x:c r="F341" s="12" t="n">
        <x:v>1</x:v>
      </x:c>
      <x:c r="G341" s="12" t="n">
        <x:v>0</x:v>
      </x:c>
      <x:c r="H341" s="12" t="n">
        <x:f>IF(SUM(I341:K341)&gt;0,1,0)</x:f>
        <x:v>0</x:v>
      </x:c>
      <x:c r="I341" s="12" t="n">
        <x:f>IF('患者配对'!M339="positive",1,0)</x:f>
        <x:v>0</x:v>
      </x:c>
      <x:c r="J341" s="12" t="n">
        <x:f>IF('患者配对'!R339="positive",1,0)</x:f>
        <x:v>0</x:v>
      </x:c>
      <x:c r="K341" s="12" t="n">
        <x:f>IF('患者配对'!W339="positive",1,0)</x:f>
        <x:v>0</x:v>
      </x:c>
      <x:c r="L341" s="12" t="str">
        <x:v>由原件与原状态取得；仅主队列索引</x:v>
      </x:c>
      <x:c r="M341" s="12"/>
      <x:c r="N341" s="12"/>
      <x:c r="O341" s="12"/>
    </x:row>
    <x:row r="342" ht="39" customHeight="1">
      <x:c r="A342" s="12" t="str">
        <x:v>2626</x:v>
      </x:c>
      <x:c r="B342" s="12" t="str">
        <x:v>13026</x:v>
      </x:c>
      <x:c r="C342" s="12" t="str">
        <x:v>参考000</x:v>
      </x:c>
      <x:c r="D342" s="12" t="str">
        <x:v>自动001</x:v>
      </x:c>
      <x:c r="E342" s="12" t="n">
        <x:v>1</x:v>
      </x:c>
      <x:c r="F342" s="12" t="n">
        <x:v>1</x:v>
      </x:c>
      <x:c r="G342" s="12" t="n">
        <x:v>1</x:v>
      </x:c>
      <x:c r="H342" s="12" t="n">
        <x:f>IF(SUM(I342:K342)&gt;0,1,0)</x:f>
        <x:v>0</x:v>
      </x:c>
      <x:c r="I342" s="12" t="n">
        <x:f>IF('患者配对'!M340="positive",1,0)</x:f>
        <x:v>0</x:v>
      </x:c>
      <x:c r="J342" s="12" t="n">
        <x:f>IF('患者配对'!R340="positive",1,0)</x:f>
        <x:v>0</x:v>
      </x:c>
      <x:c r="K342" s="12" t="n">
        <x:f>IF('患者配对'!W340="positive",1,0)</x:f>
        <x:v>0</x:v>
      </x:c>
      <x:c r="L342" s="12" t="str">
        <x:v>由原件与原状态取得；仅主队列索引</x:v>
      </x:c>
      <x:c r="M342" s="12"/>
      <x:c r="N342" s="12"/>
      <x:c r="O342" s="12"/>
    </x:row>
    <x:row r="343" ht="39" customHeight="1">
      <x:c r="A343" s="12" t="str">
        <x:v>2627</x:v>
      </x:c>
      <x:c r="B343" s="12" t="str">
        <x:v>6589</x:v>
      </x:c>
      <x:c r="C343" s="12" t="str">
        <x:v>参考000</x:v>
      </x:c>
      <x:c r="D343" s="12" t="str">
        <x:v>自动000</x:v>
      </x:c>
      <x:c r="E343" s="12" t="n">
        <x:v>0</x:v>
      </x:c>
      <x:c r="F343" s="12" t="n">
        <x:v>0</x:v>
      </x:c>
      <x:c r="G343" s="12" t="n">
        <x:v>0</x:v>
      </x:c>
      <x:c r="H343" s="12" t="n">
        <x:f>IF(SUM(I343:K343)&gt;0,1,0)</x:f>
        <x:v>0</x:v>
      </x:c>
      <x:c r="I343" s="12" t="n">
        <x:f>IF('患者配对'!M341="positive",1,0)</x:f>
        <x:v>0</x:v>
      </x:c>
      <x:c r="J343" s="12" t="n">
        <x:f>IF('患者配对'!R341="positive",1,0)</x:f>
        <x:v>0</x:v>
      </x:c>
      <x:c r="K343" s="12" t="n">
        <x:f>IF('患者配对'!W341="positive",1,0)</x:f>
        <x:v>0</x:v>
      </x:c>
      <x:c r="L343" s="12" t="str">
        <x:v>由原件与原状态取得；仅主队列索引</x:v>
      </x:c>
      <x:c r="M343" s="12"/>
      <x:c r="N343" s="12"/>
      <x:c r="O343" s="12"/>
    </x:row>
    <x:row r="344" ht="39" customHeight="1">
      <x:c r="A344" s="12" t="str">
        <x:v>2638</x:v>
      </x:c>
      <x:c r="B344" s="12" t="str">
        <x:v>12184</x:v>
      </x:c>
      <x:c r="C344" s="12" t="str">
        <x:v>参考000</x:v>
      </x:c>
      <x:c r="D344" s="12" t="str">
        <x:v>自动000</x:v>
      </x:c>
      <x:c r="E344" s="12" t="n">
        <x:v>0</x:v>
      </x:c>
      <x:c r="F344" s="12" t="n">
        <x:v>1</x:v>
      </x:c>
      <x:c r="G344" s="12" t="n">
        <x:v>0</x:v>
      </x:c>
      <x:c r="H344" s="12" t="n">
        <x:f>IF(SUM(I344:K344)&gt;0,1,0)</x:f>
        <x:v>0</x:v>
      </x:c>
      <x:c r="I344" s="12" t="n">
        <x:f>IF('患者配对'!M342="positive",1,0)</x:f>
        <x:v>0</x:v>
      </x:c>
      <x:c r="J344" s="12" t="n">
        <x:f>IF('患者配对'!R342="positive",1,0)</x:f>
        <x:v>0</x:v>
      </x:c>
      <x:c r="K344" s="12" t="n">
        <x:f>IF('患者配对'!W342="positive",1,0)</x:f>
        <x:v>0</x:v>
      </x:c>
      <x:c r="L344" s="12" t="str">
        <x:v>由原件与原状态取得；仅主队列索引</x:v>
      </x:c>
      <x:c r="M344" s="12"/>
      <x:c r="N344" s="12"/>
      <x:c r="O344" s="12"/>
    </x:row>
    <x:row r="345" ht="39" customHeight="1">
      <x:c r="A345" s="12" t="str">
        <x:v>2649</x:v>
      </x:c>
      <x:c r="B345" s="12" t="str">
        <x:v>11117</x:v>
      </x:c>
      <x:c r="C345" s="12" t="str">
        <x:v>参考000</x:v>
      </x:c>
      <x:c r="D345" s="12" t="str">
        <x:v>自动000</x:v>
      </x:c>
      <x:c r="E345" s="12" t="n">
        <x:v>0</x:v>
      </x:c>
      <x:c r="F345" s="12" t="n">
        <x:v>0</x:v>
      </x:c>
      <x:c r="G345" s="12" t="n">
        <x:v>0</x:v>
      </x:c>
      <x:c r="H345" s="12" t="n">
        <x:f>IF(SUM(I345:K345)&gt;0,1,0)</x:f>
        <x:v>0</x:v>
      </x:c>
      <x:c r="I345" s="12" t="n">
        <x:f>IF('患者配对'!M343="positive",1,0)</x:f>
        <x:v>0</x:v>
      </x:c>
      <x:c r="J345" s="12" t="n">
        <x:f>IF('患者配对'!R343="positive",1,0)</x:f>
        <x:v>0</x:v>
      </x:c>
      <x:c r="K345" s="12" t="n">
        <x:f>IF('患者配对'!W343="positive",1,0)</x:f>
        <x:v>0</x:v>
      </x:c>
      <x:c r="L345" s="12" t="str">
        <x:v>由原件与原状态取得；仅主队列索引</x:v>
      </x:c>
      <x:c r="M345" s="12"/>
      <x:c r="N345" s="12"/>
      <x:c r="O345" s="12"/>
    </x:row>
    <x:row r="346" ht="39" customHeight="1">
      <x:c r="A346" s="12" t="str">
        <x:v>2693</x:v>
      </x:c>
      <x:c r="B346" s="12" t="str">
        <x:v>2087</x:v>
      </x:c>
      <x:c r="C346" s="12" t="str">
        <x:v>参考000</x:v>
      </x:c>
      <x:c r="D346" s="12" t="str">
        <x:v>自动000</x:v>
      </x:c>
      <x:c r="E346" s="12" t="n">
        <x:v>0</x:v>
      </x:c>
      <x:c r="F346" s="12" t="n">
        <x:v>0</x:v>
      </x:c>
      <x:c r="G346" s="12" t="n">
        <x:v>0</x:v>
      </x:c>
      <x:c r="H346" s="12" t="n">
        <x:f>IF(SUM(I346:K346)&gt;0,1,0)</x:f>
        <x:v>0</x:v>
      </x:c>
      <x:c r="I346" s="12" t="n">
        <x:f>IF('患者配对'!M344="positive",1,0)</x:f>
        <x:v>0</x:v>
      </x:c>
      <x:c r="J346" s="12" t="n">
        <x:f>IF('患者配对'!R344="positive",1,0)</x:f>
        <x:v>0</x:v>
      </x:c>
      <x:c r="K346" s="12" t="n">
        <x:f>IF('患者配对'!W344="positive",1,0)</x:f>
        <x:v>0</x:v>
      </x:c>
      <x:c r="L346" s="12" t="str">
        <x:v>由原件与原状态取得；仅主队列索引</x:v>
      </x:c>
      <x:c r="M346" s="12"/>
      <x:c r="N346" s="12"/>
      <x:c r="O346" s="12"/>
    </x:row>
    <x:row r="347" ht="39" customHeight="1">
      <x:c r="A347" s="12" t="str">
        <x:v>2694</x:v>
      </x:c>
      <x:c r="B347" s="12" t="str">
        <x:v>18045</x:v>
      </x:c>
      <x:c r="C347" s="12" t="str">
        <x:v>参考000</x:v>
      </x:c>
      <x:c r="D347" s="12" t="str">
        <x:v>自动000</x:v>
      </x:c>
      <x:c r="E347" s="12" t="n">
        <x:v>0</x:v>
      </x:c>
      <x:c r="F347" s="12" t="n">
        <x:v>1</x:v>
      </x:c>
      <x:c r="G347" s="12" t="n">
        <x:v>0</x:v>
      </x:c>
      <x:c r="H347" s="12" t="n">
        <x:f>IF(SUM(I347:K347)&gt;0,1,0)</x:f>
        <x:v>0</x:v>
      </x:c>
      <x:c r="I347" s="12" t="n">
        <x:f>IF('患者配对'!M345="positive",1,0)</x:f>
        <x:v>0</x:v>
      </x:c>
      <x:c r="J347" s="12" t="n">
        <x:f>IF('患者配对'!R345="positive",1,0)</x:f>
        <x:v>0</x:v>
      </x:c>
      <x:c r="K347" s="12" t="n">
        <x:f>IF('患者配对'!W345="positive",1,0)</x:f>
        <x:v>0</x:v>
      </x:c>
      <x:c r="L347" s="12" t="str">
        <x:v>由原件与原状态取得；仅主队列索引</x:v>
      </x:c>
      <x:c r="M347" s="12"/>
      <x:c r="N347" s="12"/>
      <x:c r="O347" s="12"/>
    </x:row>
    <x:row r="348" ht="39" customHeight="1">
      <x:c r="A348" s="12" t="str">
        <x:v>2722</x:v>
      </x:c>
      <x:c r="B348" s="12" t="str">
        <x:v>2425</x:v>
      </x:c>
      <x:c r="C348" s="12" t="str">
        <x:v>参考100</x:v>
      </x:c>
      <x:c r="D348" s="12" t="str">
        <x:v>自动100</x:v>
      </x:c>
      <x:c r="E348" s="12" t="n">
        <x:v>1</x:v>
      </x:c>
      <x:c r="F348" s="12" t="n">
        <x:v>1</x:v>
      </x:c>
      <x:c r="G348" s="12" t="n">
        <x:v>0</x:v>
      </x:c>
      <x:c r="H348" s="12" t="n">
        <x:f>IF(SUM(I348:K348)&gt;0,1,0)</x:f>
        <x:v>1</x:v>
      </x:c>
      <x:c r="I348" s="12" t="n">
        <x:f>IF('患者配对'!M346="positive",1,0)</x:f>
        <x:v>1</x:v>
      </x:c>
      <x:c r="J348" s="12" t="n">
        <x:f>IF('患者配对'!R346="positive",1,0)</x:f>
        <x:v>0</x:v>
      </x:c>
      <x:c r="K348" s="12" t="n">
        <x:f>IF('患者配对'!W346="positive",1,0)</x:f>
        <x:v>0</x:v>
      </x:c>
      <x:c r="L348" s="12" t="str">
        <x:v>由原件与原状态取得；仅主队列索引</x:v>
      </x:c>
      <x:c r="M348" s="12"/>
      <x:c r="N348" s="12"/>
      <x:c r="O348" s="12"/>
    </x:row>
    <x:row r="349" ht="39" customHeight="1">
      <x:c r="A349" s="12" t="str">
        <x:v>2734</x:v>
      </x:c>
      <x:c r="B349" s="12" t="str">
        <x:v>3111</x:v>
      </x:c>
      <x:c r="C349" s="12" t="str">
        <x:v>参考000</x:v>
      </x:c>
      <x:c r="D349" s="12" t="str">
        <x:v>自动000</x:v>
      </x:c>
      <x:c r="E349" s="12" t="n">
        <x:v>0</x:v>
      </x:c>
      <x:c r="F349" s="12" t="n">
        <x:v>0</x:v>
      </x:c>
      <x:c r="G349" s="12" t="n">
        <x:v>0</x:v>
      </x:c>
      <x:c r="H349" s="12" t="n">
        <x:f>IF(SUM(I349:K349)&gt;0,1,0)</x:f>
        <x:v>0</x:v>
      </x:c>
      <x:c r="I349" s="12" t="n">
        <x:f>IF('患者配对'!M347="positive",1,0)</x:f>
        <x:v>0</x:v>
      </x:c>
      <x:c r="J349" s="12" t="n">
        <x:f>IF('患者配对'!R347="positive",1,0)</x:f>
        <x:v>0</x:v>
      </x:c>
      <x:c r="K349" s="12" t="n">
        <x:f>IF('患者配对'!W347="positive",1,0)</x:f>
        <x:v>0</x:v>
      </x:c>
      <x:c r="L349" s="12" t="str">
        <x:v>由原件与原状态取得；仅主队列索引</x:v>
      </x:c>
      <x:c r="M349" s="12"/>
      <x:c r="N349" s="12"/>
      <x:c r="O349" s="12"/>
    </x:row>
    <x:row r="350" ht="39" customHeight="1">
      <x:c r="A350" s="12" t="str">
        <x:v>2736</x:v>
      </x:c>
      <x:c r="B350" s="12" t="str">
        <x:v>11305</x:v>
      </x:c>
      <x:c r="C350" s="12" t="str">
        <x:v>参考000</x:v>
      </x:c>
      <x:c r="D350" s="12" t="str">
        <x:v>自动000</x:v>
      </x:c>
      <x:c r="E350" s="12" t="n">
        <x:v>0</x:v>
      </x:c>
      <x:c r="F350" s="12" t="n">
        <x:v>1</x:v>
      </x:c>
      <x:c r="G350" s="12" t="n">
        <x:v>0</x:v>
      </x:c>
      <x:c r="H350" s="12" t="n">
        <x:f>IF(SUM(I350:K350)&gt;0,1,0)</x:f>
        <x:v>0</x:v>
      </x:c>
      <x:c r="I350" s="12" t="n">
        <x:f>IF('患者配对'!M348="positive",1,0)</x:f>
        <x:v>0</x:v>
      </x:c>
      <x:c r="J350" s="12" t="n">
        <x:f>IF('患者配对'!R348="positive",1,0)</x:f>
        <x:v>0</x:v>
      </x:c>
      <x:c r="K350" s="12" t="n">
        <x:f>IF('患者配对'!W348="positive",1,0)</x:f>
        <x:v>0</x:v>
      </x:c>
      <x:c r="L350" s="12" t="str">
        <x:v>由原件与原状态取得；仅主队列索引</x:v>
      </x:c>
      <x:c r="M350" s="12"/>
      <x:c r="N350" s="12"/>
      <x:c r="O350" s="12"/>
    </x:row>
    <x:row r="351" ht="39" customHeight="1">
      <x:c r="A351" s="12" t="str">
        <x:v>2764</x:v>
      </x:c>
      <x:c r="B351" s="12" t="str">
        <x:v>15125</x:v>
      </x:c>
      <x:c r="C351" s="12" t="str">
        <x:v>参考000</x:v>
      </x:c>
      <x:c r="D351" s="12" t="str">
        <x:v>自动000</x:v>
      </x:c>
      <x:c r="E351" s="12" t="n">
        <x:v>0</x:v>
      </x:c>
      <x:c r="F351" s="12" t="n">
        <x:v>0</x:v>
      </x:c>
      <x:c r="G351" s="12" t="n">
        <x:v>0</x:v>
      </x:c>
      <x:c r="H351" s="12" t="n">
        <x:f>IF(SUM(I351:K351)&gt;0,1,0)</x:f>
        <x:v>0</x:v>
      </x:c>
      <x:c r="I351" s="12" t="n">
        <x:f>IF('患者配对'!M349="positive",1,0)</x:f>
        <x:v>0</x:v>
      </x:c>
      <x:c r="J351" s="12" t="n">
        <x:f>IF('患者配对'!R349="positive",1,0)</x:f>
        <x:v>0</x:v>
      </x:c>
      <x:c r="K351" s="12" t="n">
        <x:f>IF('患者配对'!W349="positive",1,0)</x:f>
        <x:v>0</x:v>
      </x:c>
      <x:c r="L351" s="12" t="str">
        <x:v>由原件与原状态取得；仅主队列索引</x:v>
      </x:c>
      <x:c r="M351" s="12"/>
      <x:c r="N351" s="12"/>
      <x:c r="O351" s="12"/>
    </x:row>
    <x:row r="352" ht="39" customHeight="1">
      <x:c r="A352" s="12" t="str">
        <x:v>2767</x:v>
      </x:c>
      <x:c r="B352" s="12" t="str">
        <x:v>16877</x:v>
      </x:c>
      <x:c r="C352" s="12" t="str">
        <x:v>参考000</x:v>
      </x:c>
      <x:c r="D352" s="12" t="str">
        <x:v>自动000</x:v>
      </x:c>
      <x:c r="E352" s="12" t="n">
        <x:v>0</x:v>
      </x:c>
      <x:c r="F352" s="12" t="n">
        <x:v>1</x:v>
      </x:c>
      <x:c r="G352" s="12" t="n">
        <x:v>0</x:v>
      </x:c>
      <x:c r="H352" s="12" t="n">
        <x:f>IF(SUM(I352:K352)&gt;0,1,0)</x:f>
        <x:v>0</x:v>
      </x:c>
      <x:c r="I352" s="12" t="n">
        <x:f>IF('患者配对'!M350="positive",1,0)</x:f>
        <x:v>0</x:v>
      </x:c>
      <x:c r="J352" s="12" t="n">
        <x:f>IF('患者配对'!R350="positive",1,0)</x:f>
        <x:v>0</x:v>
      </x:c>
      <x:c r="K352" s="12" t="n">
        <x:f>IF('患者配对'!W350="positive",1,0)</x:f>
        <x:v>0</x:v>
      </x:c>
      <x:c r="L352" s="12" t="str">
        <x:v>由原件与原状态取得；仅主队列索引</x:v>
      </x:c>
      <x:c r="M352" s="12"/>
      <x:c r="N352" s="12"/>
      <x:c r="O352" s="12"/>
    </x:row>
    <x:row r="353" ht="39" customHeight="1">
      <x:c r="A353" s="12" t="str">
        <x:v>2776</x:v>
      </x:c>
      <x:c r="B353" s="12" t="str">
        <x:v>11700</x:v>
      </x:c>
      <x:c r="C353" s="12" t="str">
        <x:v>参考000</x:v>
      </x:c>
      <x:c r="D353" s="12" t="str">
        <x:v>自动000</x:v>
      </x:c>
      <x:c r="E353" s="12" t="n">
        <x:v>0</x:v>
      </x:c>
      <x:c r="F353" s="12" t="n">
        <x:v>0</x:v>
      </x:c>
      <x:c r="G353" s="12" t="n">
        <x:v>0</x:v>
      </x:c>
      <x:c r="H353" s="12" t="n">
        <x:f>IF(SUM(I353:K353)&gt;0,1,0)</x:f>
        <x:v>0</x:v>
      </x:c>
      <x:c r="I353" s="12" t="n">
        <x:f>IF('患者配对'!M351="positive",1,0)</x:f>
        <x:v>0</x:v>
      </x:c>
      <x:c r="J353" s="12" t="n">
        <x:f>IF('患者配对'!R351="positive",1,0)</x:f>
        <x:v>0</x:v>
      </x:c>
      <x:c r="K353" s="12" t="n">
        <x:f>IF('患者配对'!W351="positive",1,0)</x:f>
        <x:v>0</x:v>
      </x:c>
      <x:c r="L353" s="12" t="str">
        <x:v>由原件与原状态取得；仅主队列索引</x:v>
      </x:c>
      <x:c r="M353" s="12"/>
      <x:c r="N353" s="12"/>
      <x:c r="O353" s="12"/>
    </x:row>
    <x:row r="354" ht="39" customHeight="1">
      <x:c r="A354" s="12" t="str">
        <x:v>2779</x:v>
      </x:c>
      <x:c r="B354" s="12" t="str">
        <x:v>5399</x:v>
      </x:c>
      <x:c r="C354" s="12" t="str">
        <x:v>参考000</x:v>
      </x:c>
      <x:c r="D354" s="12" t="str">
        <x:v>自动000</x:v>
      </x:c>
      <x:c r="E354" s="12" t="n">
        <x:v>0</x:v>
      </x:c>
      <x:c r="F354" s="12" t="n">
        <x:v>0</x:v>
      </x:c>
      <x:c r="G354" s="12" t="n">
        <x:v>0</x:v>
      </x:c>
      <x:c r="H354" s="12" t="n">
        <x:f>IF(SUM(I354:K354)&gt;0,1,0)</x:f>
        <x:v>0</x:v>
      </x:c>
      <x:c r="I354" s="12" t="n">
        <x:f>IF('患者配对'!M352="positive",1,0)</x:f>
        <x:v>0</x:v>
      </x:c>
      <x:c r="J354" s="12" t="n">
        <x:f>IF('患者配对'!R352="positive",1,0)</x:f>
        <x:v>0</x:v>
      </x:c>
      <x:c r="K354" s="12" t="n">
        <x:f>IF('患者配对'!W352="positive",1,0)</x:f>
        <x:v>0</x:v>
      </x:c>
      <x:c r="L354" s="12" t="str">
        <x:v>由原件与原状态取得；仅主队列索引</x:v>
      </x:c>
      <x:c r="M354" s="12"/>
      <x:c r="N354" s="12"/>
      <x:c r="O354" s="12"/>
    </x:row>
    <x:row r="355" ht="39" customHeight="1">
      <x:c r="A355" s="12" t="str">
        <x:v>2785</x:v>
      </x:c>
      <x:c r="B355" s="12" t="str">
        <x:v>1661</x:v>
      </x:c>
      <x:c r="C355" s="12" t="str">
        <x:v>参考000</x:v>
      </x:c>
      <x:c r="D355" s="12" t="str">
        <x:v>自动000</x:v>
      </x:c>
      <x:c r="E355" s="12" t="n">
        <x:v>0</x:v>
      </x:c>
      <x:c r="F355" s="12" t="n">
        <x:v>0</x:v>
      </x:c>
      <x:c r="G355" s="12" t="n">
        <x:v>0</x:v>
      </x:c>
      <x:c r="H355" s="12" t="n">
        <x:f>IF(SUM(I355:K355)&gt;0,1,0)</x:f>
        <x:v>0</x:v>
      </x:c>
      <x:c r="I355" s="12" t="n">
        <x:f>IF('患者配对'!M353="positive",1,0)</x:f>
        <x:v>0</x:v>
      </x:c>
      <x:c r="J355" s="12" t="n">
        <x:f>IF('患者配对'!R353="positive",1,0)</x:f>
        <x:v>0</x:v>
      </x:c>
      <x:c r="K355" s="12" t="n">
        <x:f>IF('患者配对'!W353="positive",1,0)</x:f>
        <x:v>0</x:v>
      </x:c>
      <x:c r="L355" s="12" t="str">
        <x:v>由原件与原状态取得；仅主队列索引</x:v>
      </x:c>
      <x:c r="M355" s="12"/>
      <x:c r="N355" s="12"/>
      <x:c r="O355" s="12"/>
    </x:row>
    <x:row r="356" ht="39" customHeight="1">
      <x:c r="A356" s="12" t="str">
        <x:v>2789</x:v>
      </x:c>
      <x:c r="B356" s="12" t="str">
        <x:v>6368</x:v>
      </x:c>
      <x:c r="C356" s="12" t="str">
        <x:v>参考000</x:v>
      </x:c>
      <x:c r="D356" s="12" t="str">
        <x:v>自动000</x:v>
      </x:c>
      <x:c r="E356" s="12" t="n">
        <x:v>0</x:v>
      </x:c>
      <x:c r="F356" s="12" t="n">
        <x:v>1</x:v>
      </x:c>
      <x:c r="G356" s="12" t="n">
        <x:v>0</x:v>
      </x:c>
      <x:c r="H356" s="12" t="n">
        <x:f>IF(SUM(I356:K356)&gt;0,1,0)</x:f>
        <x:v>0</x:v>
      </x:c>
      <x:c r="I356" s="12" t="n">
        <x:f>IF('患者配对'!M355="positive",1,0)</x:f>
        <x:v>0</x:v>
      </x:c>
      <x:c r="J356" s="12" t="n">
        <x:f>IF('患者配对'!R355="positive",1,0)</x:f>
        <x:v>0</x:v>
      </x:c>
      <x:c r="K356" s="12" t="n">
        <x:f>IF('患者配对'!W355="positive",1,0)</x:f>
        <x:v>0</x:v>
      </x:c>
      <x:c r="L356" s="12" t="str">
        <x:v>由原件与原状态取得；仅主队列索引</x:v>
      </x:c>
      <x:c r="M356" s="12"/>
      <x:c r="N356" s="12"/>
      <x:c r="O356" s="12"/>
    </x:row>
    <x:row r="357" ht="39" customHeight="1">
      <x:c r="A357" s="12" t="str">
        <x:v>2791</x:v>
      </x:c>
      <x:c r="B357" s="12" t="str">
        <x:v>5062</x:v>
      </x:c>
      <x:c r="C357" s="12" t="str">
        <x:v>参考000</x:v>
      </x:c>
      <x:c r="D357" s="12" t="str">
        <x:v>自动000</x:v>
      </x:c>
      <x:c r="E357" s="12" t="n">
        <x:v>0</x:v>
      </x:c>
      <x:c r="F357" s="12" t="n">
        <x:v>0</x:v>
      </x:c>
      <x:c r="G357" s="12" t="n">
        <x:v>0</x:v>
      </x:c>
      <x:c r="H357" s="12" t="n">
        <x:f>IF(SUM(I357:K357)&gt;0,1,0)</x:f>
        <x:v>0</x:v>
      </x:c>
      <x:c r="I357" s="12" t="n">
        <x:f>IF('患者配对'!M356="positive",1,0)</x:f>
        <x:v>0</x:v>
      </x:c>
      <x:c r="J357" s="12" t="n">
        <x:f>IF('患者配对'!R356="positive",1,0)</x:f>
        <x:v>0</x:v>
      </x:c>
      <x:c r="K357" s="12" t="n">
        <x:f>IF('患者配对'!W356="positive",1,0)</x:f>
        <x:v>0</x:v>
      </x:c>
      <x:c r="L357" s="12" t="str">
        <x:v>由原件与原状态取得；仅主队列索引</x:v>
      </x:c>
      <x:c r="M357" s="12"/>
      <x:c r="N357" s="12"/>
      <x:c r="O357" s="12"/>
    </x:row>
    <x:row r="358" ht="39" customHeight="1">
      <x:c r="A358" s="12" t="str">
        <x:v>2802</x:v>
      </x:c>
      <x:c r="B358" s="12" t="str">
        <x:v>4602</x:v>
      </x:c>
      <x:c r="C358" s="12" t="str">
        <x:v>参考000</x:v>
      </x:c>
      <x:c r="D358" s="12" t="str">
        <x:v>自动000</x:v>
      </x:c>
      <x:c r="E358" s="12" t="n">
        <x:v>0</x:v>
      </x:c>
      <x:c r="F358" s="12" t="n">
        <x:v>0</x:v>
      </x:c>
      <x:c r="G358" s="12" t="n">
        <x:v>0</x:v>
      </x:c>
      <x:c r="H358" s="12" t="n">
        <x:f>IF(SUM(I358:K358)&gt;0,1,0)</x:f>
        <x:v>0</x:v>
      </x:c>
      <x:c r="I358" s="12" t="n">
        <x:f>IF('患者配对'!M357="positive",1,0)</x:f>
        <x:v>0</x:v>
      </x:c>
      <x:c r="J358" s="12" t="n">
        <x:f>IF('患者配对'!R357="positive",1,0)</x:f>
        <x:v>0</x:v>
      </x:c>
      <x:c r="K358" s="12" t="n">
        <x:f>IF('患者配对'!W357="positive",1,0)</x:f>
        <x:v>0</x:v>
      </x:c>
      <x:c r="L358" s="12" t="str">
        <x:v>由原件与原状态取得；仅主队列索引</x:v>
      </x:c>
      <x:c r="M358" s="12"/>
      <x:c r="N358" s="12"/>
      <x:c r="O358" s="12"/>
    </x:row>
    <x:row r="359" ht="39" customHeight="1">
      <x:c r="A359" s="12" t="str">
        <x:v>2813</x:v>
      </x:c>
      <x:c r="B359" s="12" t="str">
        <x:v>17738</x:v>
      </x:c>
      <x:c r="C359" s="12" t="str">
        <x:v>参考000</x:v>
      </x:c>
      <x:c r="D359" s="12" t="str">
        <x:v>自动000</x:v>
      </x:c>
      <x:c r="E359" s="12" t="n">
        <x:v>0</x:v>
      </x:c>
      <x:c r="F359" s="12" t="n">
        <x:v>0</x:v>
      </x:c>
      <x:c r="G359" s="12" t="n">
        <x:v>0</x:v>
      </x:c>
      <x:c r="H359" s="12" t="n">
        <x:f>IF(SUM(I359:K359)&gt;0,1,0)</x:f>
        <x:v>0</x:v>
      </x:c>
      <x:c r="I359" s="12" t="n">
        <x:f>IF('患者配对'!M358="positive",1,0)</x:f>
        <x:v>0</x:v>
      </x:c>
      <x:c r="J359" s="12" t="n">
        <x:f>IF('患者配对'!R358="positive",1,0)</x:f>
        <x:v>0</x:v>
      </x:c>
      <x:c r="K359" s="12" t="n">
        <x:f>IF('患者配对'!W358="positive",1,0)</x:f>
        <x:v>0</x:v>
      </x:c>
      <x:c r="L359" s="12" t="str">
        <x:v>由原件与原状态取得；仅主队列索引</x:v>
      </x:c>
      <x:c r="M359" s="12"/>
      <x:c r="N359" s="12"/>
      <x:c r="O359" s="12"/>
    </x:row>
    <x:row r="360" ht="39" customHeight="1">
      <x:c r="A360" s="12" t="str">
        <x:v>2819</x:v>
      </x:c>
      <x:c r="B360" s="12" t="str">
        <x:v>3839</x:v>
      </x:c>
      <x:c r="C360" s="12" t="str">
        <x:v>参考000</x:v>
      </x:c>
      <x:c r="D360" s="12" t="str">
        <x:v>自动000</x:v>
      </x:c>
      <x:c r="E360" s="12" t="n">
        <x:v>0</x:v>
      </x:c>
      <x:c r="F360" s="12" t="n">
        <x:v>0</x:v>
      </x:c>
      <x:c r="G360" s="12" t="n">
        <x:v>0</x:v>
      </x:c>
      <x:c r="H360" s="12" t="n">
        <x:f>IF(SUM(I360:K360)&gt;0,1,0)</x:f>
        <x:v>0</x:v>
      </x:c>
      <x:c r="I360" s="12" t="n">
        <x:f>IF('患者配对'!M359="positive",1,0)</x:f>
        <x:v>0</x:v>
      </x:c>
      <x:c r="J360" s="12" t="n">
        <x:f>IF('患者配对'!R359="positive",1,0)</x:f>
        <x:v>0</x:v>
      </x:c>
      <x:c r="K360" s="12" t="n">
        <x:f>IF('患者配对'!W359="positive",1,0)</x:f>
        <x:v>0</x:v>
      </x:c>
      <x:c r="L360" s="12" t="str">
        <x:v>由原件与原状态取得；仅主队列索引</x:v>
      </x:c>
      <x:c r="M360" s="12"/>
      <x:c r="N360" s="12"/>
      <x:c r="O360" s="12"/>
    </x:row>
    <x:row r="361" ht="39" customHeight="1">
      <x:c r="A361" s="12" t="str">
        <x:v>2830</x:v>
      </x:c>
      <x:c r="B361" s="12" t="str">
        <x:v>15236</x:v>
      </x:c>
      <x:c r="C361" s="12" t="str">
        <x:v>参考000</x:v>
      </x:c>
      <x:c r="D361" s="12" t="str">
        <x:v>自动000</x:v>
      </x:c>
      <x:c r="E361" s="12" t="n">
        <x:v>0</x:v>
      </x:c>
      <x:c r="F361" s="12" t="n">
        <x:v>0</x:v>
      </x:c>
      <x:c r="G361" s="12" t="n">
        <x:v>0</x:v>
      </x:c>
      <x:c r="H361" s="12" t="n">
        <x:f>IF(SUM(I361:K361)&gt;0,1,0)</x:f>
        <x:v>0</x:v>
      </x:c>
      <x:c r="I361" s="12" t="n">
        <x:f>IF('患者配对'!M360="positive",1,0)</x:f>
        <x:v>0</x:v>
      </x:c>
      <x:c r="J361" s="12" t="n">
        <x:f>IF('患者配对'!R360="positive",1,0)</x:f>
        <x:v>0</x:v>
      </x:c>
      <x:c r="K361" s="12" t="n">
        <x:f>IF('患者配对'!W360="positive",1,0)</x:f>
        <x:v>0</x:v>
      </x:c>
      <x:c r="L361" s="12" t="str">
        <x:v>由原件与原状态取得；仅主队列索引</x:v>
      </x:c>
      <x:c r="M361" s="12"/>
      <x:c r="N361" s="12"/>
      <x:c r="O361" s="12"/>
    </x:row>
    <x:row r="362" ht="39" customHeight="1">
      <x:c r="A362" s="12" t="str">
        <x:v>2839</x:v>
      </x:c>
      <x:c r="B362" s="12" t="str">
        <x:v>11958</x:v>
      </x:c>
      <x:c r="C362" s="12" t="str">
        <x:v>参考000</x:v>
      </x:c>
      <x:c r="D362" s="12" t="str">
        <x:v>自动000</x:v>
      </x:c>
      <x:c r="E362" s="12" t="n">
        <x:v>0</x:v>
      </x:c>
      <x:c r="F362" s="12" t="n">
        <x:v>1</x:v>
      </x:c>
      <x:c r="G362" s="12" t="n">
        <x:v>0</x:v>
      </x:c>
      <x:c r="H362" s="12" t="n">
        <x:f>IF(SUM(I362:K362)&gt;0,1,0)</x:f>
        <x:v>0</x:v>
      </x:c>
      <x:c r="I362" s="12" t="n">
        <x:f>IF('患者配对'!M361="positive",1,0)</x:f>
        <x:v>0</x:v>
      </x:c>
      <x:c r="J362" s="12" t="n">
        <x:f>IF('患者配对'!R361="positive",1,0)</x:f>
        <x:v>0</x:v>
      </x:c>
      <x:c r="K362" s="12" t="n">
        <x:f>IF('患者配对'!W361="positive",1,0)</x:f>
        <x:v>0</x:v>
      </x:c>
      <x:c r="L362" s="12" t="str">
        <x:v>由原件与原状态取得；仅主队列索引</x:v>
      </x:c>
      <x:c r="M362" s="12"/>
      <x:c r="N362" s="12"/>
      <x:c r="O362" s="12"/>
    </x:row>
    <x:row r="363" ht="39" customHeight="1">
      <x:c r="A363" s="12" t="str">
        <x:v>2854</x:v>
      </x:c>
      <x:c r="B363" s="12" t="str">
        <x:v>4764</x:v>
      </x:c>
      <x:c r="C363" s="12" t="str">
        <x:v>参考000</x:v>
      </x:c>
      <x:c r="D363" s="12" t="str">
        <x:v>自动000</x:v>
      </x:c>
      <x:c r="E363" s="12" t="n">
        <x:v>0</x:v>
      </x:c>
      <x:c r="F363" s="12" t="n">
        <x:v>0</x:v>
      </x:c>
      <x:c r="G363" s="12" t="n">
        <x:v>0</x:v>
      </x:c>
      <x:c r="H363" s="12" t="n">
        <x:f>IF(SUM(I363:K363)&gt;0,1,0)</x:f>
        <x:v>0</x:v>
      </x:c>
      <x:c r="I363" s="12" t="n">
        <x:f>IF('患者配对'!M363="positive",1,0)</x:f>
        <x:v>0</x:v>
      </x:c>
      <x:c r="J363" s="12" t="n">
        <x:f>IF('患者配对'!R363="positive",1,0)</x:f>
        <x:v>0</x:v>
      </x:c>
      <x:c r="K363" s="12" t="n">
        <x:f>IF('患者配对'!W363="positive",1,0)</x:f>
        <x:v>0</x:v>
      </x:c>
      <x:c r="L363" s="12" t="str">
        <x:v>由原件与原状态取得；仅主队列索引</x:v>
      </x:c>
      <x:c r="M363" s="12"/>
      <x:c r="N363" s="12"/>
      <x:c r="O363" s="12"/>
    </x:row>
    <x:row r="364" ht="39" customHeight="1">
      <x:c r="A364" s="12" t="str">
        <x:v>2865</x:v>
      </x:c>
      <x:c r="B364" s="12" t="str">
        <x:v>13029</x:v>
      </x:c>
      <x:c r="C364" s="12" t="str">
        <x:v>参考000</x:v>
      </x:c>
      <x:c r="D364" s="12" t="str">
        <x:v>自动000</x:v>
      </x:c>
      <x:c r="E364" s="12" t="n">
        <x:v>0</x:v>
      </x:c>
      <x:c r="F364" s="12" t="n">
        <x:v>0</x:v>
      </x:c>
      <x:c r="G364" s="12" t="n">
        <x:v>0</x:v>
      </x:c>
      <x:c r="H364" s="12" t="n">
        <x:f>IF(SUM(I364:K364)&gt;0,1,0)</x:f>
        <x:v>0</x:v>
      </x:c>
      <x:c r="I364" s="12" t="n">
        <x:f>IF('患者配对'!M364="positive",1,0)</x:f>
        <x:v>0</x:v>
      </x:c>
      <x:c r="J364" s="12" t="n">
        <x:f>IF('患者配对'!R364="positive",1,0)</x:f>
        <x:v>0</x:v>
      </x:c>
      <x:c r="K364" s="12" t="n">
        <x:f>IF('患者配对'!W364="positive",1,0)</x:f>
        <x:v>0</x:v>
      </x:c>
      <x:c r="L364" s="12" t="str">
        <x:v>由原件与原状态取得；仅主队列索引</x:v>
      </x:c>
      <x:c r="M364" s="12"/>
      <x:c r="N364" s="12"/>
      <x:c r="O364" s="12"/>
    </x:row>
    <x:row r="365" ht="39" customHeight="1">
      <x:c r="A365" s="12" t="str">
        <x:v>2867</x:v>
      </x:c>
      <x:c r="B365" s="12" t="str">
        <x:v>11544</x:v>
      </x:c>
      <x:c r="C365" s="12" t="str">
        <x:v>参考000</x:v>
      </x:c>
      <x:c r="D365" s="12" t="str">
        <x:v>自动000</x:v>
      </x:c>
      <x:c r="E365" s="12" t="n">
        <x:v>0</x:v>
      </x:c>
      <x:c r="F365" s="12" t="n">
        <x:v>1</x:v>
      </x:c>
      <x:c r="G365" s="12" t="n">
        <x:v>0</x:v>
      </x:c>
      <x:c r="H365" s="12" t="n">
        <x:f>IF(SUM(I365:K365)&gt;0,1,0)</x:f>
        <x:v>0</x:v>
      </x:c>
      <x:c r="I365" s="12" t="n">
        <x:f>IF('患者配对'!M365="positive",1,0)</x:f>
        <x:v>0</x:v>
      </x:c>
      <x:c r="J365" s="12" t="n">
        <x:f>IF('患者配对'!R365="positive",1,0)</x:f>
        <x:v>0</x:v>
      </x:c>
      <x:c r="K365" s="12" t="n">
        <x:f>IF('患者配对'!W365="positive",1,0)</x:f>
        <x:v>0</x:v>
      </x:c>
      <x:c r="L365" s="12" t="str">
        <x:v>由原件与原状态取得；仅主队列索引</x:v>
      </x:c>
      <x:c r="M365" s="12"/>
      <x:c r="N365" s="12"/>
      <x:c r="O365" s="12"/>
    </x:row>
    <x:row r="366" ht="39" customHeight="1">
      <x:c r="A366" s="12" t="str">
        <x:v>2871</x:v>
      </x:c>
      <x:c r="B366" s="12" t="str">
        <x:v>17370</x:v>
      </x:c>
      <x:c r="C366" s="12" t="str">
        <x:v>参考000</x:v>
      </x:c>
      <x:c r="D366" s="12" t="str">
        <x:v>自动000</x:v>
      </x:c>
      <x:c r="E366" s="12" t="n">
        <x:v>0</x:v>
      </x:c>
      <x:c r="F366" s="12" t="n">
        <x:v>1</x:v>
      </x:c>
      <x:c r="G366" s="12" t="n">
        <x:v>0</x:v>
      </x:c>
      <x:c r="H366" s="12" t="n">
        <x:f>IF(SUM(I366:K366)&gt;0,1,0)</x:f>
        <x:v>0</x:v>
      </x:c>
      <x:c r="I366" s="12" t="n">
        <x:f>IF('患者配对'!M366="positive",1,0)</x:f>
        <x:v>0</x:v>
      </x:c>
      <x:c r="J366" s="12" t="n">
        <x:f>IF('患者配对'!R366="positive",1,0)</x:f>
        <x:v>0</x:v>
      </x:c>
      <x:c r="K366" s="12" t="n">
        <x:f>IF('患者配对'!W366="positive",1,0)</x:f>
        <x:v>0</x:v>
      </x:c>
      <x:c r="L366" s="12" t="str">
        <x:v>由原件与原状态取得；仅主队列索引</x:v>
      </x:c>
      <x:c r="M366" s="12"/>
      <x:c r="N366" s="12"/>
      <x:c r="O366" s="12"/>
    </x:row>
    <x:row r="367" ht="39" customHeight="1">
      <x:c r="A367" s="12" t="str">
        <x:v>2905</x:v>
      </x:c>
      <x:c r="B367" s="12" t="str">
        <x:v>9028</x:v>
      </x:c>
      <x:c r="C367" s="12" t="str">
        <x:v>参考000</x:v>
      </x:c>
      <x:c r="D367" s="12" t="str">
        <x:v>自动000</x:v>
      </x:c>
      <x:c r="E367" s="12" t="n">
        <x:v>0</x:v>
      </x:c>
      <x:c r="F367" s="12" t="n">
        <x:v>1</x:v>
      </x:c>
      <x:c r="G367" s="12" t="n">
        <x:v>0</x:v>
      </x:c>
      <x:c r="H367" s="12" t="n">
        <x:f>IF(SUM(I367:K367)&gt;0,1,0)</x:f>
        <x:v>0</x:v>
      </x:c>
      <x:c r="I367" s="12" t="n">
        <x:f>IF('患者配对'!M367="positive",1,0)</x:f>
        <x:v>0</x:v>
      </x:c>
      <x:c r="J367" s="12" t="n">
        <x:f>IF('患者配对'!R367="positive",1,0)</x:f>
        <x:v>0</x:v>
      </x:c>
      <x:c r="K367" s="12" t="n">
        <x:f>IF('患者配对'!W367="positive",1,0)</x:f>
        <x:v>0</x:v>
      </x:c>
      <x:c r="L367" s="12" t="str">
        <x:v>由原件与原状态取得；仅主队列索引</x:v>
      </x:c>
      <x:c r="M367" s="12"/>
      <x:c r="N367" s="12"/>
      <x:c r="O367" s="12"/>
    </x:row>
    <x:row r="368" ht="39" customHeight="1">
      <x:c r="A368" s="12" t="str">
        <x:v>2909</x:v>
      </x:c>
      <x:c r="B368" s="12" t="str">
        <x:v>20468</x:v>
      </x:c>
      <x:c r="C368" s="12" t="str">
        <x:v>参考000</x:v>
      </x:c>
      <x:c r="D368" s="12" t="str">
        <x:v>自动000</x:v>
      </x:c>
      <x:c r="E368" s="12" t="n">
        <x:v>0</x:v>
      </x:c>
      <x:c r="F368" s="12" t="n">
        <x:v>0</x:v>
      </x:c>
      <x:c r="G368" s="12" t="n">
        <x:v>0</x:v>
      </x:c>
      <x:c r="H368" s="12" t="n">
        <x:f>IF(SUM(I368:K368)&gt;0,1,0)</x:f>
        <x:v>0</x:v>
      </x:c>
      <x:c r="I368" s="12" t="n">
        <x:f>IF('患者配对'!M368="positive",1,0)</x:f>
        <x:v>0</x:v>
      </x:c>
      <x:c r="J368" s="12" t="n">
        <x:f>IF('患者配对'!R368="positive",1,0)</x:f>
        <x:v>0</x:v>
      </x:c>
      <x:c r="K368" s="12" t="n">
        <x:f>IF('患者配对'!W368="positive",1,0)</x:f>
        <x:v>0</x:v>
      </x:c>
      <x:c r="L368" s="12" t="str">
        <x:v>由原件与原状态取得；仅主队列索引</x:v>
      </x:c>
      <x:c r="M368" s="12"/>
      <x:c r="N368" s="12"/>
      <x:c r="O368" s="12"/>
    </x:row>
    <x:row r="369" ht="39" customHeight="1">
      <x:c r="A369" s="12" t="str">
        <x:v>2910</x:v>
      </x:c>
      <x:c r="B369" s="12" t="str">
        <x:v>9849</x:v>
      </x:c>
      <x:c r="C369" s="12" t="str">
        <x:v>参考000</x:v>
      </x:c>
      <x:c r="D369" s="12" t="str">
        <x:v>自动000</x:v>
      </x:c>
      <x:c r="E369" s="12" t="n">
        <x:v>0</x:v>
      </x:c>
      <x:c r="F369" s="12" t="n">
        <x:v>0</x:v>
      </x:c>
      <x:c r="G369" s="12" t="n">
        <x:v>0</x:v>
      </x:c>
      <x:c r="H369" s="12" t="n">
        <x:f>IF(SUM(I369:K369)&gt;0,1,0)</x:f>
        <x:v>0</x:v>
      </x:c>
      <x:c r="I369" s="12" t="n">
        <x:f>IF('患者配对'!M369="positive",1,0)</x:f>
        <x:v>0</x:v>
      </x:c>
      <x:c r="J369" s="12" t="n">
        <x:f>IF('患者配对'!R369="positive",1,0)</x:f>
        <x:v>0</x:v>
      </x:c>
      <x:c r="K369" s="12" t="n">
        <x:f>IF('患者配对'!W369="positive",1,0)</x:f>
        <x:v>0</x:v>
      </x:c>
      <x:c r="L369" s="12" t="str">
        <x:v>由原件与原状态取得；仅主队列索引</x:v>
      </x:c>
      <x:c r="M369" s="12"/>
      <x:c r="N369" s="12"/>
      <x:c r="O369" s="12"/>
    </x:row>
    <x:row r="370" ht="39" customHeight="1">
      <x:c r="A370" s="12" t="str">
        <x:v>2913</x:v>
      </x:c>
      <x:c r="B370" s="12" t="str">
        <x:v>16279</x:v>
      </x:c>
      <x:c r="C370" s="12" t="str">
        <x:v>参考000</x:v>
      </x:c>
      <x:c r="D370" s="12" t="str">
        <x:v>自动000</x:v>
      </x:c>
      <x:c r="E370" s="12" t="n">
        <x:v>0</x:v>
      </x:c>
      <x:c r="F370" s="12" t="n">
        <x:v>0</x:v>
      </x:c>
      <x:c r="G370" s="12" t="n">
        <x:v>0</x:v>
      </x:c>
      <x:c r="H370" s="12" t="n">
        <x:f>IF(SUM(I370:K370)&gt;0,1,0)</x:f>
        <x:v>0</x:v>
      </x:c>
      <x:c r="I370" s="12" t="n">
        <x:f>IF('患者配对'!M370="positive",1,0)</x:f>
        <x:v>0</x:v>
      </x:c>
      <x:c r="J370" s="12" t="n">
        <x:f>IF('患者配对'!R370="positive",1,0)</x:f>
        <x:v>0</x:v>
      </x:c>
      <x:c r="K370" s="12" t="n">
        <x:f>IF('患者配对'!W370="positive",1,0)</x:f>
        <x:v>0</x:v>
      </x:c>
      <x:c r="L370" s="12" t="str">
        <x:v>由原件与原状态取得；仅主队列索引</x:v>
      </x:c>
      <x:c r="M370" s="12"/>
      <x:c r="N370" s="12"/>
      <x:c r="O370" s="12"/>
    </x:row>
    <x:row r="371" ht="39" customHeight="1">
      <x:c r="A371" s="12" t="str">
        <x:v>2920</x:v>
      </x:c>
      <x:c r="B371" s="12" t="str">
        <x:v>14943</x:v>
      </x:c>
      <x:c r="C371" s="12" t="str">
        <x:v>参考000</x:v>
      </x:c>
      <x:c r="D371" s="12" t="str">
        <x:v>自动000</x:v>
      </x:c>
      <x:c r="E371" s="12" t="n">
        <x:v>0</x:v>
      </x:c>
      <x:c r="F371" s="12" t="n">
        <x:v>0</x:v>
      </x:c>
      <x:c r="G371" s="12" t="n">
        <x:v>0</x:v>
      </x:c>
      <x:c r="H371" s="12" t="n">
        <x:f>IF(SUM(I371:K371)&gt;0,1,0)</x:f>
        <x:v>0</x:v>
      </x:c>
      <x:c r="I371" s="12" t="n">
        <x:f>IF('患者配对'!M371="positive",1,0)</x:f>
        <x:v>0</x:v>
      </x:c>
      <x:c r="J371" s="12" t="n">
        <x:f>IF('患者配对'!R371="positive",1,0)</x:f>
        <x:v>0</x:v>
      </x:c>
      <x:c r="K371" s="12" t="n">
        <x:f>IF('患者配对'!W371="positive",1,0)</x:f>
        <x:v>0</x:v>
      </x:c>
      <x:c r="L371" s="12" t="str">
        <x:v>由原件与原状态取得；仅主队列索引</x:v>
      </x:c>
      <x:c r="M371" s="12"/>
      <x:c r="N371" s="12"/>
      <x:c r="O371" s="12"/>
    </x:row>
    <x:row r="372" ht="39" customHeight="1">
      <x:c r="A372" s="12" t="str">
        <x:v>2921</x:v>
      </x:c>
      <x:c r="B372" s="12" t="str">
        <x:v>17915</x:v>
      </x:c>
      <x:c r="C372" s="12" t="str">
        <x:v>参考000</x:v>
      </x:c>
      <x:c r="D372" s="12" t="str">
        <x:v>自动000</x:v>
      </x:c>
      <x:c r="E372" s="12" t="n">
        <x:v>0</x:v>
      </x:c>
      <x:c r="F372" s="12" t="n">
        <x:v>0</x:v>
      </x:c>
      <x:c r="G372" s="12" t="n">
        <x:v>0</x:v>
      </x:c>
      <x:c r="H372" s="12" t="n">
        <x:f>IF(SUM(I372:K372)&gt;0,1,0)</x:f>
        <x:v>0</x:v>
      </x:c>
      <x:c r="I372" s="12" t="n">
        <x:f>IF('患者配对'!M372="positive",1,0)</x:f>
        <x:v>0</x:v>
      </x:c>
      <x:c r="J372" s="12" t="n">
        <x:f>IF('患者配对'!R372="positive",1,0)</x:f>
        <x:v>0</x:v>
      </x:c>
      <x:c r="K372" s="12" t="n">
        <x:f>IF('患者配对'!W372="positive",1,0)</x:f>
        <x:v>0</x:v>
      </x:c>
      <x:c r="L372" s="12" t="str">
        <x:v>由原件与原状态取得；仅主队列索引</x:v>
      </x:c>
      <x:c r="M372" s="12"/>
      <x:c r="N372" s="12"/>
      <x:c r="O372" s="12"/>
    </x:row>
    <x:row r="373" ht="39" customHeight="1">
      <x:c r="A373" s="12" t="str">
        <x:v>2922</x:v>
      </x:c>
      <x:c r="B373" s="12" t="str">
        <x:v>13701</x:v>
      </x:c>
      <x:c r="C373" s="12" t="str">
        <x:v>参考000</x:v>
      </x:c>
      <x:c r="D373" s="12" t="str">
        <x:v>自动000</x:v>
      </x:c>
      <x:c r="E373" s="12" t="n">
        <x:v>0</x:v>
      </x:c>
      <x:c r="F373" s="12" t="n">
        <x:v>0</x:v>
      </x:c>
      <x:c r="G373" s="12" t="n">
        <x:v>0</x:v>
      </x:c>
      <x:c r="H373" s="12" t="n">
        <x:f>IF(SUM(I373:K373)&gt;0,1,0)</x:f>
        <x:v>0</x:v>
      </x:c>
      <x:c r="I373" s="12" t="n">
        <x:f>IF('患者配对'!M373="positive",1,0)</x:f>
        <x:v>0</x:v>
      </x:c>
      <x:c r="J373" s="12" t="n">
        <x:f>IF('患者配对'!R373="positive",1,0)</x:f>
        <x:v>0</x:v>
      </x:c>
      <x:c r="K373" s="12" t="n">
        <x:f>IF('患者配对'!W373="positive",1,0)</x:f>
        <x:v>0</x:v>
      </x:c>
      <x:c r="L373" s="12" t="str">
        <x:v>由原件与原状态取得；仅主队列索引</x:v>
      </x:c>
      <x:c r="M373" s="12"/>
      <x:c r="N373" s="12"/>
      <x:c r="O373" s="12"/>
    </x:row>
    <x:row r="374" ht="39" customHeight="1">
      <x:c r="A374" s="12" t="str">
        <x:v>2928</x:v>
      </x:c>
      <x:c r="B374" s="12" t="str">
        <x:v>13098</x:v>
      </x:c>
      <x:c r="C374" s="12" t="str">
        <x:v>参考000</x:v>
      </x:c>
      <x:c r="D374" s="12" t="str">
        <x:v>自动000</x:v>
      </x:c>
      <x:c r="E374" s="12" t="n">
        <x:v>0</x:v>
      </x:c>
      <x:c r="F374" s="12" t="n">
        <x:v>0</x:v>
      </x:c>
      <x:c r="G374" s="12" t="n">
        <x:v>0</x:v>
      </x:c>
      <x:c r="H374" s="12" t="n">
        <x:f>IF(SUM(I374:K374)&gt;0,1,0)</x:f>
        <x:v>0</x:v>
      </x:c>
      <x:c r="I374" s="12" t="n">
        <x:f>IF('患者配对'!M374="positive",1,0)</x:f>
        <x:v>0</x:v>
      </x:c>
      <x:c r="J374" s="12" t="n">
        <x:f>IF('患者配对'!R374="positive",1,0)</x:f>
        <x:v>0</x:v>
      </x:c>
      <x:c r="K374" s="12" t="n">
        <x:f>IF('患者配对'!W374="positive",1,0)</x:f>
        <x:v>0</x:v>
      </x:c>
      <x:c r="L374" s="12" t="str">
        <x:v>由原件与原状态取得；仅主队列索引</x:v>
      </x:c>
      <x:c r="M374" s="12"/>
      <x:c r="N374" s="12"/>
      <x:c r="O374" s="12"/>
    </x:row>
    <x:row r="375" ht="39" customHeight="1">
      <x:c r="A375" s="12" t="str">
        <x:v>2935</x:v>
      </x:c>
      <x:c r="B375" s="12" t="str">
        <x:v>19755</x:v>
      </x:c>
      <x:c r="C375" s="12" t="str">
        <x:v>参考000</x:v>
      </x:c>
      <x:c r="D375" s="12" t="str">
        <x:v>自动000</x:v>
      </x:c>
      <x:c r="E375" s="12" t="n">
        <x:v>0</x:v>
      </x:c>
      <x:c r="F375" s="12" t="n">
        <x:v>1</x:v>
      </x:c>
      <x:c r="G375" s="12" t="n">
        <x:v>0</x:v>
      </x:c>
      <x:c r="H375" s="12" t="n">
        <x:f>IF(SUM(I375:K375)&gt;0,1,0)</x:f>
        <x:v>0</x:v>
      </x:c>
      <x:c r="I375" s="12" t="n">
        <x:f>IF('患者配对'!M376="positive",1,0)</x:f>
        <x:v>0</x:v>
      </x:c>
      <x:c r="J375" s="12" t="n">
        <x:f>IF('患者配对'!R376="positive",1,0)</x:f>
        <x:v>0</x:v>
      </x:c>
      <x:c r="K375" s="12" t="n">
        <x:f>IF('患者配对'!W376="positive",1,0)</x:f>
        <x:v>0</x:v>
      </x:c>
      <x:c r="L375" s="12" t="str">
        <x:v>由原件与原状态取得；仅主队列索引</x:v>
      </x:c>
      <x:c r="M375" s="12"/>
      <x:c r="N375" s="12"/>
      <x:c r="O375" s="12"/>
    </x:row>
    <x:row r="376" ht="39" customHeight="1">
      <x:c r="A376" s="12" t="str">
        <x:v>2938</x:v>
      </x:c>
      <x:c r="B376" s="12" t="str">
        <x:v>13131</x:v>
      </x:c>
      <x:c r="C376" s="12" t="str">
        <x:v>参考000</x:v>
      </x:c>
      <x:c r="D376" s="12" t="str">
        <x:v>自动000</x:v>
      </x:c>
      <x:c r="E376" s="12" t="n">
        <x:v>0</x:v>
      </x:c>
      <x:c r="F376" s="12" t="n">
        <x:v>0</x:v>
      </x:c>
      <x:c r="G376" s="12" t="n">
        <x:v>0</x:v>
      </x:c>
      <x:c r="H376" s="12" t="n">
        <x:f>IF(SUM(I376:K376)&gt;0,1,0)</x:f>
        <x:v>0</x:v>
      </x:c>
      <x:c r="I376" s="12" t="n">
        <x:f>IF('患者配对'!M377="positive",1,0)</x:f>
        <x:v>0</x:v>
      </x:c>
      <x:c r="J376" s="12" t="n">
        <x:f>IF('患者配对'!R377="positive",1,0)</x:f>
        <x:v>0</x:v>
      </x:c>
      <x:c r="K376" s="12" t="n">
        <x:f>IF('患者配对'!W377="positive",1,0)</x:f>
        <x:v>0</x:v>
      </x:c>
      <x:c r="L376" s="12" t="str">
        <x:v>由原件与原状态取得；仅主队列索引</x:v>
      </x:c>
      <x:c r="M376" s="12"/>
      <x:c r="N376" s="12"/>
      <x:c r="O376" s="12"/>
    </x:row>
    <x:row r="377" ht="39" customHeight="1">
      <x:c r="A377" s="12" t="str">
        <x:v>2939</x:v>
      </x:c>
      <x:c r="B377" s="12" t="str">
        <x:v>20386</x:v>
      </x:c>
      <x:c r="C377" s="12" t="str">
        <x:v>参考000</x:v>
      </x:c>
      <x:c r="D377" s="12" t="str">
        <x:v>自动000</x:v>
      </x:c>
      <x:c r="E377" s="12" t="n">
        <x:v>0</x:v>
      </x:c>
      <x:c r="F377" s="12" t="n">
        <x:v>0</x:v>
      </x:c>
      <x:c r="G377" s="12" t="n">
        <x:v>0</x:v>
      </x:c>
      <x:c r="H377" s="12" t="n">
        <x:f>IF(SUM(I377:K377)&gt;0,1,0)</x:f>
        <x:v>0</x:v>
      </x:c>
      <x:c r="I377" s="12" t="n">
        <x:f>IF('患者配对'!M378="positive",1,0)</x:f>
        <x:v>0</x:v>
      </x:c>
      <x:c r="J377" s="12" t="n">
        <x:f>IF('患者配对'!R378="positive",1,0)</x:f>
        <x:v>0</x:v>
      </x:c>
      <x:c r="K377" s="12" t="n">
        <x:f>IF('患者配对'!W378="positive",1,0)</x:f>
        <x:v>0</x:v>
      </x:c>
      <x:c r="L377" s="12" t="str">
        <x:v>由原件与原状态取得；仅主队列索引</x:v>
      </x:c>
      <x:c r="M377" s="12"/>
      <x:c r="N377" s="12"/>
      <x:c r="O377" s="12"/>
    </x:row>
    <x:row r="378" ht="39" customHeight="1">
      <x:c r="A378" s="12" t="str">
        <x:v>2941</x:v>
      </x:c>
      <x:c r="B378" s="12" t="str">
        <x:v>8937</x:v>
      </x:c>
      <x:c r="C378" s="12" t="str">
        <x:v>参考000</x:v>
      </x:c>
      <x:c r="D378" s="12" t="str">
        <x:v>自动000</x:v>
      </x:c>
      <x:c r="E378" s="12" t="n">
        <x:v>0</x:v>
      </x:c>
      <x:c r="F378" s="12" t="n">
        <x:v>0</x:v>
      </x:c>
      <x:c r="G378" s="12" t="n">
        <x:v>0</x:v>
      </x:c>
      <x:c r="H378" s="12" t="n">
        <x:f>IF(SUM(I378:K378)&gt;0,1,0)</x:f>
        <x:v>0</x:v>
      </x:c>
      <x:c r="I378" s="12" t="n">
        <x:f>IF('患者配对'!M379="positive",1,0)</x:f>
        <x:v>0</x:v>
      </x:c>
      <x:c r="J378" s="12" t="n">
        <x:f>IF('患者配对'!R379="positive",1,0)</x:f>
        <x:v>0</x:v>
      </x:c>
      <x:c r="K378" s="12" t="n">
        <x:f>IF('患者配对'!W379="positive",1,0)</x:f>
        <x:v>0</x:v>
      </x:c>
      <x:c r="L378" s="12" t="str">
        <x:v>由原件与原状态取得；仅主队列索引</x:v>
      </x:c>
      <x:c r="M378" s="12"/>
      <x:c r="N378" s="12"/>
      <x:c r="O378" s="12"/>
    </x:row>
    <x:row r="379" ht="39" customHeight="1">
      <x:c r="A379" s="12" t="str">
        <x:v>2942</x:v>
      </x:c>
      <x:c r="B379" s="12" t="str">
        <x:v>10867</x:v>
      </x:c>
      <x:c r="C379" s="12" t="str">
        <x:v>参考000</x:v>
      </x:c>
      <x:c r="D379" s="12" t="str">
        <x:v>自动000</x:v>
      </x:c>
      <x:c r="E379" s="12" t="n">
        <x:v>0</x:v>
      </x:c>
      <x:c r="F379" s="12" t="n">
        <x:v>0</x:v>
      </x:c>
      <x:c r="G379" s="12" t="n">
        <x:v>0</x:v>
      </x:c>
      <x:c r="H379" s="12" t="n">
        <x:f>IF(SUM(I379:K379)&gt;0,1,0)</x:f>
        <x:v>0</x:v>
      </x:c>
      <x:c r="I379" s="12" t="n">
        <x:f>IF('患者配对'!M380="positive",1,0)</x:f>
        <x:v>0</x:v>
      </x:c>
      <x:c r="J379" s="12" t="n">
        <x:f>IF('患者配对'!R380="positive",1,0)</x:f>
        <x:v>0</x:v>
      </x:c>
      <x:c r="K379" s="12" t="n">
        <x:f>IF('患者配对'!W380="positive",1,0)</x:f>
        <x:v>0</x:v>
      </x:c>
      <x:c r="L379" s="12" t="str">
        <x:v>由原件与原状态取得；仅主队列索引</x:v>
      </x:c>
      <x:c r="M379" s="12"/>
      <x:c r="N379" s="12"/>
      <x:c r="O379" s="12"/>
    </x:row>
    <x:row r="380" ht="39" customHeight="1">
      <x:c r="A380" s="12" t="str">
        <x:v>2963</x:v>
      </x:c>
      <x:c r="B380" s="12" t="str">
        <x:v>14190</x:v>
      </x:c>
      <x:c r="C380" s="12" t="str">
        <x:v>参考000</x:v>
      </x:c>
      <x:c r="D380" s="12" t="str">
        <x:v>自动000</x:v>
      </x:c>
      <x:c r="E380" s="12" t="n">
        <x:v>0</x:v>
      </x:c>
      <x:c r="F380" s="12" t="n">
        <x:v>1</x:v>
      </x:c>
      <x:c r="G380" s="12" t="n">
        <x:v>0</x:v>
      </x:c>
      <x:c r="H380" s="12" t="n">
        <x:f>IF(SUM(I380:K380)&gt;0,1,0)</x:f>
        <x:v>0</x:v>
      </x:c>
      <x:c r="I380" s="12" t="n">
        <x:f>IF('患者配对'!M381="positive",1,0)</x:f>
        <x:v>0</x:v>
      </x:c>
      <x:c r="J380" s="12" t="n">
        <x:f>IF('患者配对'!R381="positive",1,0)</x:f>
        <x:v>0</x:v>
      </x:c>
      <x:c r="K380" s="12" t="n">
        <x:f>IF('患者配对'!W381="positive",1,0)</x:f>
        <x:v>0</x:v>
      </x:c>
      <x:c r="L380" s="12" t="str">
        <x:v>由原件与原状态取得；仅主队列索引</x:v>
      </x:c>
      <x:c r="M380" s="12"/>
      <x:c r="N380" s="12"/>
      <x:c r="O380" s="12"/>
    </x:row>
    <x:row r="381" ht="39" customHeight="1">
      <x:c r="A381" s="12" t="str">
        <x:v>2965</x:v>
      </x:c>
      <x:c r="B381" s="12" t="str">
        <x:v>21328</x:v>
      </x:c>
      <x:c r="C381" s="12" t="str">
        <x:v>参考000</x:v>
      </x:c>
      <x:c r="D381" s="12" t="str">
        <x:v>自动000</x:v>
      </x:c>
      <x:c r="E381" s="12" t="n">
        <x:v>0</x:v>
      </x:c>
      <x:c r="F381" s="12" t="n">
        <x:v>0</x:v>
      </x:c>
      <x:c r="G381" s="12" t="n">
        <x:v>0</x:v>
      </x:c>
      <x:c r="H381" s="12" t="n">
        <x:f>IF(SUM(I381:K381)&gt;0,1,0)</x:f>
        <x:v>0</x:v>
      </x:c>
      <x:c r="I381" s="12" t="n">
        <x:f>IF('患者配对'!M382="positive",1,0)</x:f>
        <x:v>0</x:v>
      </x:c>
      <x:c r="J381" s="12" t="n">
        <x:f>IF('患者配对'!R382="positive",1,0)</x:f>
        <x:v>0</x:v>
      </x:c>
      <x:c r="K381" s="12" t="n">
        <x:f>IF('患者配对'!W382="positive",1,0)</x:f>
        <x:v>0</x:v>
      </x:c>
      <x:c r="L381" s="12" t="str">
        <x:v>由原件与原状态取得；仅主队列索引</x:v>
      </x:c>
      <x:c r="M381" s="12"/>
      <x:c r="N381" s="12"/>
      <x:c r="O381" s="12"/>
    </x:row>
    <x:row r="382" ht="39" customHeight="1">
      <x:c r="A382" s="12" t="str">
        <x:v>2987</x:v>
      </x:c>
      <x:c r="B382" s="12" t="str">
        <x:v>7011</x:v>
      </x:c>
      <x:c r="C382" s="12" t="str">
        <x:v>参考000</x:v>
      </x:c>
      <x:c r="D382" s="12" t="str">
        <x:v>自动000</x:v>
      </x:c>
      <x:c r="E382" s="12" t="n">
        <x:v>0</x:v>
      </x:c>
      <x:c r="F382" s="12" t="n">
        <x:v>0</x:v>
      </x:c>
      <x:c r="G382" s="12" t="n">
        <x:v>0</x:v>
      </x:c>
      <x:c r="H382" s="12" t="n">
        <x:f>IF(SUM(I382:K382)&gt;0,1,0)</x:f>
        <x:v>0</x:v>
      </x:c>
      <x:c r="I382" s="12" t="n">
        <x:f>IF('患者配对'!M383="positive",1,0)</x:f>
        <x:v>0</x:v>
      </x:c>
      <x:c r="J382" s="12" t="n">
        <x:f>IF('患者配对'!R383="positive",1,0)</x:f>
        <x:v>0</x:v>
      </x:c>
      <x:c r="K382" s="12" t="n">
        <x:f>IF('患者配对'!W383="positive",1,0)</x:f>
        <x:v>0</x:v>
      </x:c>
      <x:c r="L382" s="12" t="str">
        <x:v>由原件与原状态取得；仅主队列索引</x:v>
      </x:c>
      <x:c r="M382" s="12"/>
      <x:c r="N382" s="12"/>
      <x:c r="O382" s="12"/>
    </x:row>
    <x:row r="383" ht="39" customHeight="1">
      <x:c r="A383" s="12" t="str">
        <x:v>3009</x:v>
      </x:c>
      <x:c r="B383" s="12" t="str">
        <x:v>3399</x:v>
      </x:c>
      <x:c r="C383" s="12" t="str">
        <x:v>参考100</x:v>
      </x:c>
      <x:c r="D383" s="12" t="str">
        <x:v>自动100</x:v>
      </x:c>
      <x:c r="E383" s="12" t="n">
        <x:v>1</x:v>
      </x:c>
      <x:c r="F383" s="12" t="n">
        <x:v>1</x:v>
      </x:c>
      <x:c r="G383" s="12" t="n">
        <x:v>0</x:v>
      </x:c>
      <x:c r="H383" s="12" t="n">
        <x:f>IF(SUM(I383:K383)&gt;0,1,0)</x:f>
        <x:v>1</x:v>
      </x:c>
      <x:c r="I383" s="12" t="n">
        <x:f>IF('患者配对'!M384="positive",1,0)</x:f>
        <x:v>1</x:v>
      </x:c>
      <x:c r="J383" s="12" t="n">
        <x:f>IF('患者配对'!R384="positive",1,0)</x:f>
        <x:v>0</x:v>
      </x:c>
      <x:c r="K383" s="12" t="n">
        <x:f>IF('患者配对'!W384="positive",1,0)</x:f>
        <x:v>0</x:v>
      </x:c>
      <x:c r="L383" s="12" t="str">
        <x:v>由原件与原状态取得；仅主队列索引</x:v>
      </x:c>
      <x:c r="M383" s="12"/>
      <x:c r="N383" s="12"/>
      <x:c r="O383" s="12"/>
    </x:row>
    <x:row r="384" ht="39" customHeight="1">
      <x:c r="A384" s="12" t="str">
        <x:v>3022</x:v>
      </x:c>
      <x:c r="B384" s="12" t="str">
        <x:v>3635</x:v>
      </x:c>
      <x:c r="C384" s="12" t="str">
        <x:v>参考000</x:v>
      </x:c>
      <x:c r="D384" s="12" t="str">
        <x:v>自动000</x:v>
      </x:c>
      <x:c r="E384" s="12" t="n">
        <x:v>0</x:v>
      </x:c>
      <x:c r="F384" s="12" t="n">
        <x:v>0</x:v>
      </x:c>
      <x:c r="G384" s="12" t="n">
        <x:v>0</x:v>
      </x:c>
      <x:c r="H384" s="12" t="n">
        <x:f>IF(SUM(I384:K384)&gt;0,1,0)</x:f>
        <x:v>0</x:v>
      </x:c>
      <x:c r="I384" s="12" t="n">
        <x:f>IF('患者配对'!M385="positive",1,0)</x:f>
        <x:v>0</x:v>
      </x:c>
      <x:c r="J384" s="12" t="n">
        <x:f>IF('患者配对'!R385="positive",1,0)</x:f>
        <x:v>0</x:v>
      </x:c>
      <x:c r="K384" s="12" t="n">
        <x:f>IF('患者配对'!W385="positive",1,0)</x:f>
        <x:v>0</x:v>
      </x:c>
      <x:c r="L384" s="12" t="str">
        <x:v>由原件与原状态取得；仅主队列索引</x:v>
      </x:c>
      <x:c r="M384" s="12"/>
      <x:c r="N384" s="12"/>
      <x:c r="O384" s="12"/>
    </x:row>
    <x:row r="385" ht="39" customHeight="1">
      <x:c r="A385" s="12" t="str">
        <x:v>3027</x:v>
      </x:c>
      <x:c r="B385" s="12" t="str">
        <x:v>15767</x:v>
      </x:c>
      <x:c r="C385" s="12" t="str">
        <x:v>参考000</x:v>
      </x:c>
      <x:c r="D385" s="12" t="str">
        <x:v>自动000</x:v>
      </x:c>
      <x:c r="E385" s="12" t="n">
        <x:v>0</x:v>
      </x:c>
      <x:c r="F385" s="12" t="n">
        <x:v>1</x:v>
      </x:c>
      <x:c r="G385" s="12" t="n">
        <x:v>0</x:v>
      </x:c>
      <x:c r="H385" s="12" t="n">
        <x:f>IF(SUM(I385:K385)&gt;0,1,0)</x:f>
        <x:v>0</x:v>
      </x:c>
      <x:c r="I385" s="12" t="n">
        <x:f>IF('患者配对'!M386="positive",1,0)</x:f>
        <x:v>0</x:v>
      </x:c>
      <x:c r="J385" s="12" t="n">
        <x:f>IF('患者配对'!R386="positive",1,0)</x:f>
        <x:v>0</x:v>
      </x:c>
      <x:c r="K385" s="12" t="n">
        <x:f>IF('患者配对'!W386="positive",1,0)</x:f>
        <x:v>0</x:v>
      </x:c>
      <x:c r="L385" s="12" t="str">
        <x:v>由原件与原状态取得；仅主队列索引</x:v>
      </x:c>
      <x:c r="M385" s="12"/>
      <x:c r="N385" s="12"/>
      <x:c r="O385" s="12"/>
    </x:row>
    <x:row r="386" ht="39" customHeight="1">
      <x:c r="A386" s="12" t="str">
        <x:v>3033</x:v>
      </x:c>
      <x:c r="B386" s="12" t="str">
        <x:v>20877</x:v>
      </x:c>
      <x:c r="C386" s="12" t="str">
        <x:v>参考000</x:v>
      </x:c>
      <x:c r="D386" s="12" t="str">
        <x:v>自动000</x:v>
      </x:c>
      <x:c r="E386" s="12" t="n">
        <x:v>0</x:v>
      </x:c>
      <x:c r="F386" s="12" t="n">
        <x:v>0</x:v>
      </x:c>
      <x:c r="G386" s="12" t="n">
        <x:v>0</x:v>
      </x:c>
      <x:c r="H386" s="12" t="n">
        <x:f>IF(SUM(I386:K386)&gt;0,1,0)</x:f>
        <x:v>0</x:v>
      </x:c>
      <x:c r="I386" s="12" t="n">
        <x:f>IF('患者配对'!M387="positive",1,0)</x:f>
        <x:v>0</x:v>
      </x:c>
      <x:c r="J386" s="12" t="n">
        <x:f>IF('患者配对'!R387="positive",1,0)</x:f>
        <x:v>0</x:v>
      </x:c>
      <x:c r="K386" s="12" t="n">
        <x:f>IF('患者配对'!W387="positive",1,0)</x:f>
        <x:v>0</x:v>
      </x:c>
      <x:c r="L386" s="12" t="str">
        <x:v>由原件与原状态取得；仅主队列索引</x:v>
      </x:c>
      <x:c r="M386" s="12"/>
      <x:c r="N386" s="12"/>
      <x:c r="O386" s="12"/>
    </x:row>
    <x:row r="387" ht="39" customHeight="1">
      <x:c r="A387" s="12" t="str">
        <x:v>3035</x:v>
      </x:c>
      <x:c r="B387" s="12" t="str">
        <x:v>6841</x:v>
      </x:c>
      <x:c r="C387" s="12" t="str">
        <x:v>参考000</x:v>
      </x:c>
      <x:c r="D387" s="12" t="str">
        <x:v>自动000</x:v>
      </x:c>
      <x:c r="E387" s="12" t="n">
        <x:v>0</x:v>
      </x:c>
      <x:c r="F387" s="12" t="n">
        <x:v>0</x:v>
      </x:c>
      <x:c r="G387" s="12" t="n">
        <x:v>0</x:v>
      </x:c>
      <x:c r="H387" s="12" t="n">
        <x:f>IF(SUM(I387:K387)&gt;0,1,0)</x:f>
        <x:v>0</x:v>
      </x:c>
      <x:c r="I387" s="12" t="n">
        <x:f>IF('患者配对'!M388="positive",1,0)</x:f>
        <x:v>0</x:v>
      </x:c>
      <x:c r="J387" s="12" t="n">
        <x:f>IF('患者配对'!R388="positive",1,0)</x:f>
        <x:v>0</x:v>
      </x:c>
      <x:c r="K387" s="12" t="n">
        <x:f>IF('患者配对'!W388="positive",1,0)</x:f>
        <x:v>0</x:v>
      </x:c>
      <x:c r="L387" s="12" t="str">
        <x:v>由原件与原状态取得；仅主队列索引</x:v>
      </x:c>
      <x:c r="M387" s="12"/>
      <x:c r="N387" s="12"/>
      <x:c r="O387" s="12"/>
    </x:row>
    <x:row r="388" ht="39" customHeight="1">
      <x:c r="A388" s="12" t="str">
        <x:v>3043</x:v>
      </x:c>
      <x:c r="B388" s="12" t="str">
        <x:v>17136</x:v>
      </x:c>
      <x:c r="C388" s="12" t="str">
        <x:v>参考000</x:v>
      </x:c>
      <x:c r="D388" s="12" t="str">
        <x:v>自动000</x:v>
      </x:c>
      <x:c r="E388" s="12" t="n">
        <x:v>0</x:v>
      </x:c>
      <x:c r="F388" s="12" t="n">
        <x:v>0</x:v>
      </x:c>
      <x:c r="G388" s="12" t="n">
        <x:v>0</x:v>
      </x:c>
      <x:c r="H388" s="12" t="n">
        <x:f>IF(SUM(I388:K388)&gt;0,1,0)</x:f>
        <x:v>0</x:v>
      </x:c>
      <x:c r="I388" s="12" t="n">
        <x:f>IF('患者配对'!M389="positive",1,0)</x:f>
        <x:v>0</x:v>
      </x:c>
      <x:c r="J388" s="12" t="n">
        <x:f>IF('患者配对'!R389="positive",1,0)</x:f>
        <x:v>0</x:v>
      </x:c>
      <x:c r="K388" s="12" t="n">
        <x:f>IF('患者配对'!W389="positive",1,0)</x:f>
        <x:v>0</x:v>
      </x:c>
      <x:c r="L388" s="12" t="str">
        <x:v>由原件与原状态取得；仅主队列索引</x:v>
      </x:c>
      <x:c r="M388" s="12"/>
      <x:c r="N388" s="12"/>
      <x:c r="O388" s="12"/>
    </x:row>
    <x:row r="389" ht="39" customHeight="1">
      <x:c r="A389" s="12" t="str">
        <x:v>3052</x:v>
      </x:c>
      <x:c r="B389" s="12" t="str">
        <x:v>20308</x:v>
      </x:c>
      <x:c r="C389" s="12" t="str">
        <x:v>参考000</x:v>
      </x:c>
      <x:c r="D389" s="12" t="str">
        <x:v>自动000</x:v>
      </x:c>
      <x:c r="E389" s="12" t="n">
        <x:v>0</x:v>
      </x:c>
      <x:c r="F389" s="12" t="n">
        <x:v>1</x:v>
      </x:c>
      <x:c r="G389" s="12" t="n">
        <x:v>0</x:v>
      </x:c>
      <x:c r="H389" s="12" t="n">
        <x:f>IF(SUM(I389:K389)&gt;0,1,0)</x:f>
        <x:v>0</x:v>
      </x:c>
      <x:c r="I389" s="12" t="n">
        <x:f>IF('患者配对'!M390="positive",1,0)</x:f>
        <x:v>0</x:v>
      </x:c>
      <x:c r="J389" s="12" t="n">
        <x:f>IF('患者配对'!R390="positive",1,0)</x:f>
        <x:v>0</x:v>
      </x:c>
      <x:c r="K389" s="12" t="n">
        <x:f>IF('患者配对'!W390="positive",1,0)</x:f>
        <x:v>0</x:v>
      </x:c>
      <x:c r="L389" s="12" t="str">
        <x:v>由原件与原状态取得；仅主队列索引</x:v>
      </x:c>
      <x:c r="M389" s="12"/>
      <x:c r="N389" s="12"/>
      <x:c r="O389" s="12"/>
    </x:row>
    <x:row r="390" ht="39" customHeight="1">
      <x:c r="A390" s="12" t="str">
        <x:v>3060</x:v>
      </x:c>
      <x:c r="B390" s="12" t="str">
        <x:v>2251</x:v>
      </x:c>
      <x:c r="C390" s="12" t="str">
        <x:v>参考000</x:v>
      </x:c>
      <x:c r="D390" s="12" t="str">
        <x:v>自动000</x:v>
      </x:c>
      <x:c r="E390" s="12" t="n">
        <x:v>0</x:v>
      </x:c>
      <x:c r="F390" s="12" t="n">
        <x:v>0</x:v>
      </x:c>
      <x:c r="G390" s="12" t="n">
        <x:v>0</x:v>
      </x:c>
      <x:c r="H390" s="12" t="n">
        <x:f>IF(SUM(I390:K390)&gt;0,1,0)</x:f>
        <x:v>0</x:v>
      </x:c>
      <x:c r="I390" s="12" t="n">
        <x:f>IF('患者配对'!M391="positive",1,0)</x:f>
        <x:v>0</x:v>
      </x:c>
      <x:c r="J390" s="12" t="n">
        <x:f>IF('患者配对'!R391="positive",1,0)</x:f>
        <x:v>0</x:v>
      </x:c>
      <x:c r="K390" s="12" t="n">
        <x:f>IF('患者配对'!W391="positive",1,0)</x:f>
        <x:v>0</x:v>
      </x:c>
      <x:c r="L390" s="12" t="str">
        <x:v>由原件与原状态取得；仅主队列索引</x:v>
      </x:c>
      <x:c r="M390" s="12"/>
      <x:c r="N390" s="12"/>
      <x:c r="O390" s="12"/>
    </x:row>
    <x:row r="391" ht="39" customHeight="1">
      <x:c r="A391" s="12" t="str">
        <x:v>3073</x:v>
      </x:c>
      <x:c r="B391" s="12" t="str">
        <x:v>6270</x:v>
      </x:c>
      <x:c r="C391" s="12" t="str">
        <x:v>参考000</x:v>
      </x:c>
      <x:c r="D391" s="12" t="str">
        <x:v>自动000</x:v>
      </x:c>
      <x:c r="E391" s="12" t="n">
        <x:v>0</x:v>
      </x:c>
      <x:c r="F391" s="12" t="n">
        <x:v>0</x:v>
      </x:c>
      <x:c r="G391" s="12" t="n">
        <x:v>0</x:v>
      </x:c>
      <x:c r="H391" s="12" t="n">
        <x:f>IF(SUM(I391:K391)&gt;0,1,0)</x:f>
        <x:v>0</x:v>
      </x:c>
      <x:c r="I391" s="12" t="n">
        <x:f>IF('患者配对'!M392="positive",1,0)</x:f>
        <x:v>0</x:v>
      </x:c>
      <x:c r="J391" s="12" t="n">
        <x:f>IF('患者配对'!R392="positive",1,0)</x:f>
        <x:v>0</x:v>
      </x:c>
      <x:c r="K391" s="12" t="n">
        <x:f>IF('患者配对'!W392="positive",1,0)</x:f>
        <x:v>0</x:v>
      </x:c>
      <x:c r="L391" s="12" t="str">
        <x:v>由原件与原状态取得；仅主队列索引</x:v>
      </x:c>
      <x:c r="M391" s="12"/>
      <x:c r="N391" s="12"/>
      <x:c r="O391" s="12"/>
    </x:row>
    <x:row r="392" ht="39" customHeight="1">
      <x:c r="A392" s="12" t="str">
        <x:v>3078</x:v>
      </x:c>
      <x:c r="B392" s="12" t="str">
        <x:v>12313</x:v>
      </x:c>
      <x:c r="C392" s="12" t="str">
        <x:v>参考000</x:v>
      </x:c>
      <x:c r="D392" s="12" t="str">
        <x:v>自动000</x:v>
      </x:c>
      <x:c r="E392" s="12" t="n">
        <x:v>0</x:v>
      </x:c>
      <x:c r="F392" s="12" t="n">
        <x:v>1</x:v>
      </x:c>
      <x:c r="G392" s="12" t="n">
        <x:v>0</x:v>
      </x:c>
      <x:c r="H392" s="12" t="n">
        <x:f>IF(SUM(I392:K392)&gt;0,1,0)</x:f>
        <x:v>0</x:v>
      </x:c>
      <x:c r="I392" s="12" t="n">
        <x:f>IF('患者配对'!M393="positive",1,0)</x:f>
        <x:v>0</x:v>
      </x:c>
      <x:c r="J392" s="12" t="n">
        <x:f>IF('患者配对'!R393="positive",1,0)</x:f>
        <x:v>0</x:v>
      </x:c>
      <x:c r="K392" s="12" t="n">
        <x:f>IF('患者配对'!W393="positive",1,0)</x:f>
        <x:v>0</x:v>
      </x:c>
      <x:c r="L392" s="12" t="str">
        <x:v>由原件与原状态取得；仅主队列索引</x:v>
      </x:c>
      <x:c r="M392" s="12"/>
      <x:c r="N392" s="12"/>
      <x:c r="O392" s="12"/>
    </x:row>
    <x:row r="393" ht="39" customHeight="1">
      <x:c r="A393" s="12" t="str">
        <x:v>3092</x:v>
      </x:c>
      <x:c r="B393" s="12" t="str">
        <x:v>1366</x:v>
      </x:c>
      <x:c r="C393" s="12" t="str">
        <x:v>参考000</x:v>
      </x:c>
      <x:c r="D393" s="12" t="str">
        <x:v>自动000</x:v>
      </x:c>
      <x:c r="E393" s="12" t="n">
        <x:v>0</x:v>
      </x:c>
      <x:c r="F393" s="12" t="n">
        <x:v>0</x:v>
      </x:c>
      <x:c r="G393" s="12" t="n">
        <x:v>0</x:v>
      </x:c>
      <x:c r="H393" s="12" t="n">
        <x:f>IF(SUM(I393:K393)&gt;0,1,0)</x:f>
        <x:v>0</x:v>
      </x:c>
      <x:c r="I393" s="12" t="n">
        <x:f>IF('患者配对'!M394="positive",1,0)</x:f>
        <x:v>0</x:v>
      </x:c>
      <x:c r="J393" s="12" t="n">
        <x:f>IF('患者配对'!R394="positive",1,0)</x:f>
        <x:v>0</x:v>
      </x:c>
      <x:c r="K393" s="12" t="n">
        <x:f>IF('患者配对'!W394="positive",1,0)</x:f>
        <x:v>0</x:v>
      </x:c>
      <x:c r="L393" s="12" t="str">
        <x:v>由原件与原状态取得；仅主队列索引</x:v>
      </x:c>
      <x:c r="M393" s="12"/>
      <x:c r="N393" s="12"/>
      <x:c r="O393" s="12"/>
    </x:row>
    <x:row r="394" ht="39" customHeight="1">
      <x:c r="A394" s="12" t="str">
        <x:v>3103</x:v>
      </x:c>
      <x:c r="B394" s="12" t="str">
        <x:v>2961</x:v>
      </x:c>
      <x:c r="C394" s="12" t="str">
        <x:v>参考000</x:v>
      </x:c>
      <x:c r="D394" s="12" t="str">
        <x:v>自动000</x:v>
      </x:c>
      <x:c r="E394" s="12" t="n">
        <x:v>0</x:v>
      </x:c>
      <x:c r="F394" s="12" t="n">
        <x:v>0</x:v>
      </x:c>
      <x:c r="G394" s="12" t="n">
        <x:v>0</x:v>
      </x:c>
      <x:c r="H394" s="12" t="n">
        <x:f>IF(SUM(I394:K394)&gt;0,1,0)</x:f>
        <x:v>0</x:v>
      </x:c>
      <x:c r="I394" s="12" t="n">
        <x:f>IF('患者配对'!M395="positive",1,0)</x:f>
        <x:v>0</x:v>
      </x:c>
      <x:c r="J394" s="12" t="n">
        <x:f>IF('患者配对'!R395="positive",1,0)</x:f>
        <x:v>0</x:v>
      </x:c>
      <x:c r="K394" s="12" t="n">
        <x:f>IF('患者配对'!W395="positive",1,0)</x:f>
        <x:v>0</x:v>
      </x:c>
      <x:c r="L394" s="12" t="str">
        <x:v>由原件与原状态取得；仅主队列索引</x:v>
      </x:c>
      <x:c r="M394" s="12"/>
      <x:c r="N394" s="12"/>
      <x:c r="O394" s="12"/>
    </x:row>
    <x:row r="395" ht="39" customHeight="1">
      <x:c r="A395" s="12" t="str">
        <x:v>3108</x:v>
      </x:c>
      <x:c r="B395" s="12" t="str">
        <x:v>6121</x:v>
      </x:c>
      <x:c r="C395" s="12" t="str">
        <x:v>参考000</x:v>
      </x:c>
      <x:c r="D395" s="12" t="str">
        <x:v>自动000</x:v>
      </x:c>
      <x:c r="E395" s="12" t="n">
        <x:v>0</x:v>
      </x:c>
      <x:c r="F395" s="12" t="n">
        <x:v>0</x:v>
      </x:c>
      <x:c r="G395" s="12" t="n">
        <x:v>0</x:v>
      </x:c>
      <x:c r="H395" s="12" t="n">
        <x:f>IF(SUM(I395:K395)&gt;0,1,0)</x:f>
        <x:v>0</x:v>
      </x:c>
      <x:c r="I395" s="12" t="n">
        <x:f>IF('患者配对'!M396="positive",1,0)</x:f>
        <x:v>0</x:v>
      </x:c>
      <x:c r="J395" s="12" t="n">
        <x:f>IF('患者配对'!R396="positive",1,0)</x:f>
        <x:v>0</x:v>
      </x:c>
      <x:c r="K395" s="12" t="n">
        <x:f>IF('患者配对'!W396="positive",1,0)</x:f>
        <x:v>0</x:v>
      </x:c>
      <x:c r="L395" s="12" t="str">
        <x:v>由原件与原状态取得；仅主队列索引</x:v>
      </x:c>
      <x:c r="M395" s="12"/>
      <x:c r="N395" s="12"/>
      <x:c r="O395" s="12"/>
    </x:row>
    <x:row r="396" ht="39" customHeight="1">
      <x:c r="A396" s="12" t="str">
        <x:v>3112</x:v>
      </x:c>
      <x:c r="B396" s="12" t="str">
        <x:v>2686</x:v>
      </x:c>
      <x:c r="C396" s="12" t="str">
        <x:v>参考000</x:v>
      </x:c>
      <x:c r="D396" s="12" t="str">
        <x:v>自动000</x:v>
      </x:c>
      <x:c r="E396" s="12" t="n">
        <x:v>0</x:v>
      </x:c>
      <x:c r="F396" s="12" t="n">
        <x:v>0</x:v>
      </x:c>
      <x:c r="G396" s="12" t="n">
        <x:v>0</x:v>
      </x:c>
      <x:c r="H396" s="12" t="n">
        <x:f>IF(SUM(I396:K396)&gt;0,1,0)</x:f>
        <x:v>0</x:v>
      </x:c>
      <x:c r="I396" s="12" t="n">
        <x:f>IF('患者配对'!M397="positive",1,0)</x:f>
        <x:v>0</x:v>
      </x:c>
      <x:c r="J396" s="12" t="n">
        <x:f>IF('患者配对'!R397="positive",1,0)</x:f>
        <x:v>0</x:v>
      </x:c>
      <x:c r="K396" s="12" t="n">
        <x:f>IF('患者配对'!W397="positive",1,0)</x:f>
        <x:v>0</x:v>
      </x:c>
      <x:c r="L396" s="12" t="str">
        <x:v>由原件与原状态取得；仅主队列索引</x:v>
      </x:c>
      <x:c r="M396" s="12"/>
      <x:c r="N396" s="12"/>
      <x:c r="O396" s="12"/>
    </x:row>
    <x:row r="397" ht="39" customHeight="1">
      <x:c r="A397" s="12" t="str">
        <x:v>3122</x:v>
      </x:c>
      <x:c r="B397" s="12" t="str">
        <x:v>1170</x:v>
      </x:c>
      <x:c r="C397" s="12" t="str">
        <x:v>参考000</x:v>
      </x:c>
      <x:c r="D397" s="12" t="str">
        <x:v>自动000</x:v>
      </x:c>
      <x:c r="E397" s="12" t="n">
        <x:v>0</x:v>
      </x:c>
      <x:c r="F397" s="12" t="n">
        <x:v>1</x:v>
      </x:c>
      <x:c r="G397" s="12" t="n">
        <x:v>0</x:v>
      </x:c>
      <x:c r="H397" s="12" t="n">
        <x:f>IF(SUM(I397:K397)&gt;0,1,0)</x:f>
        <x:v>0</x:v>
      </x:c>
      <x:c r="I397" s="12" t="n">
        <x:f>IF('患者配对'!M398="positive",1,0)</x:f>
        <x:v>0</x:v>
      </x:c>
      <x:c r="J397" s="12" t="n">
        <x:f>IF('患者配对'!R398="positive",1,0)</x:f>
        <x:v>0</x:v>
      </x:c>
      <x:c r="K397" s="12" t="n">
        <x:f>IF('患者配对'!W398="positive",1,0)</x:f>
        <x:v>0</x:v>
      </x:c>
      <x:c r="L397" s="12" t="str">
        <x:v>由原件与原状态取得；仅主队列索引</x:v>
      </x:c>
      <x:c r="M397" s="12"/>
      <x:c r="N397" s="12"/>
      <x:c r="O397" s="12"/>
    </x:row>
    <x:row r="398" ht="39" customHeight="1">
      <x:c r="A398" s="12" t="str">
        <x:v>3128</x:v>
      </x:c>
      <x:c r="B398" s="12" t="str">
        <x:v>18187</x:v>
      </x:c>
      <x:c r="C398" s="12" t="str">
        <x:v>参考000</x:v>
      </x:c>
      <x:c r="D398" s="12" t="str">
        <x:v>自动000</x:v>
      </x:c>
      <x:c r="E398" s="12" t="n">
        <x:v>0</x:v>
      </x:c>
      <x:c r="F398" s="12" t="n">
        <x:v>0</x:v>
      </x:c>
      <x:c r="G398" s="12" t="n">
        <x:v>0</x:v>
      </x:c>
      <x:c r="H398" s="12" t="n">
        <x:f>IF(SUM(I398:K398)&gt;0,1,0)</x:f>
        <x:v>0</x:v>
      </x:c>
      <x:c r="I398" s="12" t="n">
        <x:f>IF('患者配对'!M399="positive",1,0)</x:f>
        <x:v>0</x:v>
      </x:c>
      <x:c r="J398" s="12" t="n">
        <x:f>IF('患者配对'!R399="positive",1,0)</x:f>
        <x:v>0</x:v>
      </x:c>
      <x:c r="K398" s="12" t="n">
        <x:f>IF('患者配对'!W399="positive",1,0)</x:f>
        <x:v>0</x:v>
      </x:c>
      <x:c r="L398" s="12" t="str">
        <x:v>由原件与原状态取得；仅主队列索引</x:v>
      </x:c>
      <x:c r="M398" s="12"/>
      <x:c r="N398" s="12"/>
      <x:c r="O398" s="12"/>
    </x:row>
    <x:row r="399" ht="39" customHeight="1">
      <x:c r="A399" s="12" t="str">
        <x:v>3159</x:v>
      </x:c>
      <x:c r="B399" s="12" t="str">
        <x:v>1568</x:v>
      </x:c>
      <x:c r="C399" s="12" t="str">
        <x:v>参考000</x:v>
      </x:c>
      <x:c r="D399" s="12" t="str">
        <x:v>自动000</x:v>
      </x:c>
      <x:c r="E399" s="12" t="n">
        <x:v>0</x:v>
      </x:c>
      <x:c r="F399" s="12" t="n">
        <x:v>0</x:v>
      </x:c>
      <x:c r="G399" s="12" t="n">
        <x:v>0</x:v>
      </x:c>
      <x:c r="H399" s="12" t="n">
        <x:f>IF(SUM(I399:K399)&gt;0,1,0)</x:f>
        <x:v>0</x:v>
      </x:c>
      <x:c r="I399" s="12" t="n">
        <x:f>IF('患者配对'!M401="positive",1,0)</x:f>
        <x:v>0</x:v>
      </x:c>
      <x:c r="J399" s="12" t="n">
        <x:f>IF('患者配对'!R401="positive",1,0)</x:f>
        <x:v>0</x:v>
      </x:c>
      <x:c r="K399" s="12" t="n">
        <x:f>IF('患者配对'!W401="positive",1,0)</x:f>
        <x:v>0</x:v>
      </x:c>
      <x:c r="L399" s="12" t="str">
        <x:v>由原件与原状态取得；仅主队列索引</x:v>
      </x:c>
      <x:c r="M399" s="12"/>
      <x:c r="N399" s="12"/>
      <x:c r="O399" s="12"/>
    </x:row>
    <x:row r="400" ht="39" customHeight="1">
      <x:c r="A400" s="12" t="str">
        <x:v>3164</x:v>
      </x:c>
      <x:c r="B400" s="12" t="str">
        <x:v>1674</x:v>
      </x:c>
      <x:c r="C400" s="12" t="str">
        <x:v>参考000</x:v>
      </x:c>
      <x:c r="D400" s="12" t="str">
        <x:v>自动000</x:v>
      </x:c>
      <x:c r="E400" s="12" t="n">
        <x:v>0</x:v>
      </x:c>
      <x:c r="F400" s="12" t="n">
        <x:v>0</x:v>
      </x:c>
      <x:c r="G400" s="12" t="n">
        <x:v>0</x:v>
      </x:c>
      <x:c r="H400" s="12" t="n">
        <x:f>IF(SUM(I400:K400)&gt;0,1,0)</x:f>
        <x:v>0</x:v>
      </x:c>
      <x:c r="I400" s="12" t="n">
        <x:f>IF('患者配对'!M402="positive",1,0)</x:f>
        <x:v>0</x:v>
      </x:c>
      <x:c r="J400" s="12" t="n">
        <x:f>IF('患者配对'!R402="positive",1,0)</x:f>
        <x:v>0</x:v>
      </x:c>
      <x:c r="K400" s="12" t="n">
        <x:f>IF('患者配对'!W402="positive",1,0)</x:f>
        <x:v>0</x:v>
      </x:c>
      <x:c r="L400" s="12" t="str">
        <x:v>由原件与原状态取得；仅主队列索引</x:v>
      </x:c>
      <x:c r="M400" s="12"/>
      <x:c r="N400" s="12"/>
      <x:c r="O400" s="12"/>
    </x:row>
    <x:row r="401" ht="39" customHeight="1">
      <x:c r="A401" s="12" t="str">
        <x:v>3165</x:v>
      </x:c>
      <x:c r="B401" s="12" t="str">
        <x:v>6323</x:v>
      </x:c>
      <x:c r="C401" s="12" t="str">
        <x:v>参考000</x:v>
      </x:c>
      <x:c r="D401" s="12" t="str">
        <x:v>自动000</x:v>
      </x:c>
      <x:c r="E401" s="12" t="n">
        <x:v>0</x:v>
      </x:c>
      <x:c r="F401" s="12" t="n">
        <x:v>0</x:v>
      </x:c>
      <x:c r="G401" s="12" t="n">
        <x:v>0</x:v>
      </x:c>
      <x:c r="H401" s="12" t="n">
        <x:f>IF(SUM(I401:K401)&gt;0,1,0)</x:f>
        <x:v>0</x:v>
      </x:c>
      <x:c r="I401" s="12" t="n">
        <x:f>IF('患者配对'!M403="positive",1,0)</x:f>
        <x:v>0</x:v>
      </x:c>
      <x:c r="J401" s="12" t="n">
        <x:f>IF('患者配对'!R403="positive",1,0)</x:f>
        <x:v>0</x:v>
      </x:c>
      <x:c r="K401" s="12" t="n">
        <x:f>IF('患者配对'!W403="positive",1,0)</x:f>
        <x:v>0</x:v>
      </x:c>
      <x:c r="L401" s="12" t="str">
        <x:v>由原件与原状态取得；仅主队列索引</x:v>
      </x:c>
      <x:c r="M401" s="12"/>
      <x:c r="N401" s="12"/>
      <x:c r="O401" s="12"/>
    </x:row>
    <x:row r="402" ht="39" customHeight="1">
      <x:c r="A402" s="12" t="str">
        <x:v>3174</x:v>
      </x:c>
      <x:c r="B402" s="12" t="str">
        <x:v>12856</x:v>
      </x:c>
      <x:c r="C402" s="12" t="str">
        <x:v>参考000</x:v>
      </x:c>
      <x:c r="D402" s="12" t="str">
        <x:v>自动000</x:v>
      </x:c>
      <x:c r="E402" s="12" t="n">
        <x:v>0</x:v>
      </x:c>
      <x:c r="F402" s="12" t="n">
        <x:v>0</x:v>
      </x:c>
      <x:c r="G402" s="12" t="n">
        <x:v>0</x:v>
      </x:c>
      <x:c r="H402" s="12" t="n">
        <x:f>IF(SUM(I402:K402)&gt;0,1,0)</x:f>
        <x:v>0</x:v>
      </x:c>
      <x:c r="I402" s="12" t="n">
        <x:f>IF('患者配对'!M404="positive",1,0)</x:f>
        <x:v>0</x:v>
      </x:c>
      <x:c r="J402" s="12" t="n">
        <x:f>IF('患者配对'!R404="positive",1,0)</x:f>
        <x:v>0</x:v>
      </x:c>
      <x:c r="K402" s="12" t="n">
        <x:f>IF('患者配对'!W404="positive",1,0)</x:f>
        <x:v>0</x:v>
      </x:c>
      <x:c r="L402" s="12" t="str">
        <x:v>由原件与原状态取得；仅主队列索引</x:v>
      </x:c>
      <x:c r="M402" s="12"/>
      <x:c r="N402" s="12"/>
      <x:c r="O402" s="12"/>
    </x:row>
    <x:row r="403" ht="39" customHeight="1">
      <x:c r="A403" s="12" t="str">
        <x:v>3201</x:v>
      </x:c>
      <x:c r="B403" s="12" t="str">
        <x:v>5902</x:v>
      </x:c>
      <x:c r="C403" s="12" t="str">
        <x:v>参考000</x:v>
      </x:c>
      <x:c r="D403" s="12" t="str">
        <x:v>自动000</x:v>
      </x:c>
      <x:c r="E403" s="12" t="n">
        <x:v>0</x:v>
      </x:c>
      <x:c r="F403" s="12" t="n">
        <x:v>0</x:v>
      </x:c>
      <x:c r="G403" s="12" t="n">
        <x:v>0</x:v>
      </x:c>
      <x:c r="H403" s="12" t="n">
        <x:f>IF(SUM(I403:K403)&gt;0,1,0)</x:f>
        <x:v>0</x:v>
      </x:c>
      <x:c r="I403" s="12" t="n">
        <x:f>IF('患者配对'!M405="positive",1,0)</x:f>
        <x:v>0</x:v>
      </x:c>
      <x:c r="J403" s="12" t="n">
        <x:f>IF('患者配对'!R405="positive",1,0)</x:f>
        <x:v>0</x:v>
      </x:c>
      <x:c r="K403" s="12" t="n">
        <x:f>IF('患者配对'!W405="positive",1,0)</x:f>
        <x:v>0</x:v>
      </x:c>
      <x:c r="L403" s="12" t="str">
        <x:v>由原件与原状态取得；仅主队列索引</x:v>
      </x:c>
      <x:c r="M403" s="12"/>
      <x:c r="N403" s="12"/>
      <x:c r="O403" s="12"/>
    </x:row>
    <x:row r="404" ht="39" customHeight="1">
      <x:c r="A404" s="12" t="str">
        <x:v>3208</x:v>
      </x:c>
      <x:c r="B404" s="12" t="str">
        <x:v>14560</x:v>
      </x:c>
      <x:c r="C404" s="12" t="str">
        <x:v>参考000</x:v>
      </x:c>
      <x:c r="D404" s="12" t="str">
        <x:v>自动000</x:v>
      </x:c>
      <x:c r="E404" s="12" t="n">
        <x:v>0</x:v>
      </x:c>
      <x:c r="F404" s="12" t="n">
        <x:v>0</x:v>
      </x:c>
      <x:c r="G404" s="12" t="n">
        <x:v>0</x:v>
      </x:c>
      <x:c r="H404" s="12" t="n">
        <x:f>IF(SUM(I404:K404)&gt;0,1,0)</x:f>
        <x:v>0</x:v>
      </x:c>
      <x:c r="I404" s="12" t="n">
        <x:f>IF('患者配对'!M406="positive",1,0)</x:f>
        <x:v>0</x:v>
      </x:c>
      <x:c r="J404" s="12" t="n">
        <x:f>IF('患者配对'!R406="positive",1,0)</x:f>
        <x:v>0</x:v>
      </x:c>
      <x:c r="K404" s="12" t="n">
        <x:f>IF('患者配对'!W406="positive",1,0)</x:f>
        <x:v>0</x:v>
      </x:c>
      <x:c r="L404" s="12" t="str">
        <x:v>由原件与原状态取得；仅主队列索引</x:v>
      </x:c>
      <x:c r="M404" s="12"/>
      <x:c r="N404" s="12"/>
      <x:c r="O404" s="12"/>
    </x:row>
    <x:row r="405" ht="39" customHeight="1">
      <x:c r="A405" s="12" t="str">
        <x:v>3215</x:v>
      </x:c>
      <x:c r="B405" s="12" t="str">
        <x:v>2780</x:v>
      </x:c>
      <x:c r="C405" s="12" t="str">
        <x:v>参考100</x:v>
      </x:c>
      <x:c r="D405" s="12" t="str">
        <x:v>自动100</x:v>
      </x:c>
      <x:c r="E405" s="12" t="n">
        <x:v>1</x:v>
      </x:c>
      <x:c r="F405" s="12" t="n">
        <x:v>1</x:v>
      </x:c>
      <x:c r="G405" s="12" t="n">
        <x:v>0</x:v>
      </x:c>
      <x:c r="H405" s="12" t="n">
        <x:f>IF(SUM(I405:K405)&gt;0,1,0)</x:f>
        <x:v>1</x:v>
      </x:c>
      <x:c r="I405" s="12" t="n">
        <x:f>IF('患者配对'!M407="positive",1,0)</x:f>
        <x:v>1</x:v>
      </x:c>
      <x:c r="J405" s="12" t="n">
        <x:f>IF('患者配对'!R407="positive",1,0)</x:f>
        <x:v>0</x:v>
      </x:c>
      <x:c r="K405" s="12" t="n">
        <x:f>IF('患者配对'!W407="positive",1,0)</x:f>
        <x:v>0</x:v>
      </x:c>
      <x:c r="L405" s="12" t="str">
        <x:v>由原件与原状态取得；仅主队列索引</x:v>
      </x:c>
      <x:c r="M405" s="12"/>
      <x:c r="N405" s="12"/>
      <x:c r="O405" s="12"/>
    </x:row>
    <x:row r="406" ht="39" customHeight="1">
      <x:c r="A406" s="12" t="str">
        <x:v>3220</x:v>
      </x:c>
      <x:c r="B406" s="12" t="str">
        <x:v>7267</x:v>
      </x:c>
      <x:c r="C406" s="12" t="str">
        <x:v>参考000</x:v>
      </x:c>
      <x:c r="D406" s="12" t="str">
        <x:v>自动000</x:v>
      </x:c>
      <x:c r="E406" s="12" t="n">
        <x:v>0</x:v>
      </x:c>
      <x:c r="F406" s="12" t="n">
        <x:v>0</x:v>
      </x:c>
      <x:c r="G406" s="12" t="n">
        <x:v>0</x:v>
      </x:c>
      <x:c r="H406" s="12" t="n">
        <x:f>IF(SUM(I406:K406)&gt;0,1,0)</x:f>
        <x:v>0</x:v>
      </x:c>
      <x:c r="I406" s="12" t="n">
        <x:f>IF('患者配对'!M408="positive",1,0)</x:f>
        <x:v>0</x:v>
      </x:c>
      <x:c r="J406" s="12" t="n">
        <x:f>IF('患者配对'!R408="positive",1,0)</x:f>
        <x:v>0</x:v>
      </x:c>
      <x:c r="K406" s="12" t="n">
        <x:f>IF('患者配对'!W408="positive",1,0)</x:f>
        <x:v>0</x:v>
      </x:c>
      <x:c r="L406" s="12" t="str">
        <x:v>由原件与原状态取得；仅主队列索引</x:v>
      </x:c>
      <x:c r="M406" s="12"/>
      <x:c r="N406" s="12"/>
      <x:c r="O406" s="12"/>
    </x:row>
    <x:row r="407" ht="39" customHeight="1">
      <x:c r="A407" s="12" t="str">
        <x:v>3235</x:v>
      </x:c>
      <x:c r="B407" s="12" t="str">
        <x:v>7294</x:v>
      </x:c>
      <x:c r="C407" s="12" t="str">
        <x:v>参考000</x:v>
      </x:c>
      <x:c r="D407" s="12" t="str">
        <x:v>自动000</x:v>
      </x:c>
      <x:c r="E407" s="12" t="n">
        <x:v>0</x:v>
      </x:c>
      <x:c r="F407" s="12" t="n">
        <x:v>0</x:v>
      </x:c>
      <x:c r="G407" s="12" t="n">
        <x:v>0</x:v>
      </x:c>
      <x:c r="H407" s="12" t="n">
        <x:f>IF(SUM(I407:K407)&gt;0,1,0)</x:f>
        <x:v>0</x:v>
      </x:c>
      <x:c r="I407" s="12" t="n">
        <x:f>IF('患者配对'!M409="positive",1,0)</x:f>
        <x:v>0</x:v>
      </x:c>
      <x:c r="J407" s="12" t="n">
        <x:f>IF('患者配对'!R409="positive",1,0)</x:f>
        <x:v>0</x:v>
      </x:c>
      <x:c r="K407" s="12" t="n">
        <x:f>IF('患者配对'!W409="positive",1,0)</x:f>
        <x:v>0</x:v>
      </x:c>
      <x:c r="L407" s="12" t="str">
        <x:v>由原件与原状态取得；仅主队列索引</x:v>
      </x:c>
      <x:c r="M407" s="12"/>
      <x:c r="N407" s="12"/>
      <x:c r="O407" s="12"/>
    </x:row>
    <x:row r="408" ht="39" customHeight="1">
      <x:c r="A408" s="12" t="str">
        <x:v>3241</x:v>
      </x:c>
      <x:c r="B408" s="12" t="str">
        <x:v>20550</x:v>
      </x:c>
      <x:c r="C408" s="12" t="str">
        <x:v>参考100</x:v>
      </x:c>
      <x:c r="D408" s="12" t="str">
        <x:v>自动100</x:v>
      </x:c>
      <x:c r="E408" s="12" t="n">
        <x:v>1</x:v>
      </x:c>
      <x:c r="F408" s="12" t="n">
        <x:v>1</x:v>
      </x:c>
      <x:c r="G408" s="12" t="n">
        <x:v>0</x:v>
      </x:c>
      <x:c r="H408" s="12" t="n">
        <x:f>IF(SUM(I408:K408)&gt;0,1,0)</x:f>
        <x:v>1</x:v>
      </x:c>
      <x:c r="I408" s="12" t="n">
        <x:f>IF('患者配对'!M410="positive",1,0)</x:f>
        <x:v>1</x:v>
      </x:c>
      <x:c r="J408" s="12" t="n">
        <x:f>IF('患者配对'!R410="positive",1,0)</x:f>
        <x:v>0</x:v>
      </x:c>
      <x:c r="K408" s="12" t="n">
        <x:f>IF('患者配对'!W410="positive",1,0)</x:f>
        <x:v>0</x:v>
      </x:c>
      <x:c r="L408" s="12" t="str">
        <x:v>由原件与原状态取得；仅主队列索引</x:v>
      </x:c>
      <x:c r="M408" s="12"/>
      <x:c r="N408" s="12"/>
      <x:c r="O408" s="12"/>
    </x:row>
    <x:row r="409" ht="39" customHeight="1">
      <x:c r="A409" s="12" t="str">
        <x:v>3246</x:v>
      </x:c>
      <x:c r="B409" s="12" t="str">
        <x:v>1597</x:v>
      </x:c>
      <x:c r="C409" s="12" t="str">
        <x:v>参考000</x:v>
      </x:c>
      <x:c r="D409" s="12" t="str">
        <x:v>自动000</x:v>
      </x:c>
      <x:c r="E409" s="12" t="n">
        <x:v>0</x:v>
      </x:c>
      <x:c r="F409" s="12" t="n">
        <x:v>1</x:v>
      </x:c>
      <x:c r="G409" s="12" t="n">
        <x:v>0</x:v>
      </x:c>
      <x:c r="H409" s="12" t="n">
        <x:f>IF(SUM(I409:K409)&gt;0,1,0)</x:f>
        <x:v>0</x:v>
      </x:c>
      <x:c r="I409" s="12" t="n">
        <x:f>IF('患者配对'!M411="positive",1,0)</x:f>
        <x:v>0</x:v>
      </x:c>
      <x:c r="J409" s="12" t="n">
        <x:f>IF('患者配对'!R411="positive",1,0)</x:f>
        <x:v>0</x:v>
      </x:c>
      <x:c r="K409" s="12" t="n">
        <x:f>IF('患者配对'!W411="positive",1,0)</x:f>
        <x:v>0</x:v>
      </x:c>
      <x:c r="L409" s="12" t="str">
        <x:v>由原件与原状态取得；仅主队列索引</x:v>
      </x:c>
      <x:c r="M409" s="12"/>
      <x:c r="N409" s="12"/>
      <x:c r="O409" s="12"/>
    </x:row>
    <x:row r="410" ht="39" customHeight="1">
      <x:c r="A410" s="12" t="str">
        <x:v>3272</x:v>
      </x:c>
      <x:c r="B410" s="12" t="str">
        <x:v>4917</x:v>
      </x:c>
      <x:c r="C410" s="12" t="str">
        <x:v>参考000</x:v>
      </x:c>
      <x:c r="D410" s="12" t="str">
        <x:v>自动000</x:v>
      </x:c>
      <x:c r="E410" s="12" t="n">
        <x:v>0</x:v>
      </x:c>
      <x:c r="F410" s="12" t="n">
        <x:v>0</x:v>
      </x:c>
      <x:c r="G410" s="12" t="n">
        <x:v>0</x:v>
      </x:c>
      <x:c r="H410" s="12" t="n">
        <x:f>IF(SUM(I410:K410)&gt;0,1,0)</x:f>
        <x:v>0</x:v>
      </x:c>
      <x:c r="I410" s="12" t="n">
        <x:f>IF('患者配对'!M413="positive",1,0)</x:f>
        <x:v>0</x:v>
      </x:c>
      <x:c r="J410" s="12" t="n">
        <x:f>IF('患者配对'!R413="positive",1,0)</x:f>
        <x:v>0</x:v>
      </x:c>
      <x:c r="K410" s="12" t="n">
        <x:f>IF('患者配对'!W413="positive",1,0)</x:f>
        <x:v>0</x:v>
      </x:c>
      <x:c r="L410" s="12" t="str">
        <x:v>由原件与原状态取得；仅主队列索引</x:v>
      </x:c>
      <x:c r="M410" s="12"/>
      <x:c r="N410" s="12"/>
      <x:c r="O410" s="12"/>
    </x:row>
    <x:row r="411" ht="39" customHeight="1">
      <x:c r="A411" s="12" t="str">
        <x:v>3275</x:v>
      </x:c>
      <x:c r="B411" s="12" t="str">
        <x:v>6135</x:v>
      </x:c>
      <x:c r="C411" s="12" t="str">
        <x:v>参考000</x:v>
      </x:c>
      <x:c r="D411" s="12" t="str">
        <x:v>自动000</x:v>
      </x:c>
      <x:c r="E411" s="12" t="n">
        <x:v>0</x:v>
      </x:c>
      <x:c r="F411" s="12" t="n">
        <x:v>0</x:v>
      </x:c>
      <x:c r="G411" s="12" t="n">
        <x:v>0</x:v>
      </x:c>
      <x:c r="H411" s="12" t="n">
        <x:f>IF(SUM(I411:K411)&gt;0,1,0)</x:f>
        <x:v>0</x:v>
      </x:c>
      <x:c r="I411" s="12" t="n">
        <x:f>IF('患者配对'!M414="positive",1,0)</x:f>
        <x:v>0</x:v>
      </x:c>
      <x:c r="J411" s="12" t="n">
        <x:f>IF('患者配对'!R414="positive",1,0)</x:f>
        <x:v>0</x:v>
      </x:c>
      <x:c r="K411" s="12" t="n">
        <x:f>IF('患者配对'!W414="positive",1,0)</x:f>
        <x:v>0</x:v>
      </x:c>
      <x:c r="L411" s="12" t="str">
        <x:v>由原件与原状态取得；仅主队列索引</x:v>
      </x:c>
      <x:c r="M411" s="12"/>
      <x:c r="N411" s="12"/>
      <x:c r="O411" s="12"/>
    </x:row>
    <x:row r="412" ht="39" customHeight="1">
      <x:c r="A412" s="12" t="str">
        <x:v>3281</x:v>
      </x:c>
      <x:c r="B412" s="12" t="str">
        <x:v>3324</x:v>
      </x:c>
      <x:c r="C412" s="12" t="str">
        <x:v>参考000</x:v>
      </x:c>
      <x:c r="D412" s="12" t="str">
        <x:v>自动000</x:v>
      </x:c>
      <x:c r="E412" s="12" t="n">
        <x:v>0</x:v>
      </x:c>
      <x:c r="F412" s="12" t="n">
        <x:v>0</x:v>
      </x:c>
      <x:c r="G412" s="12" t="n">
        <x:v>0</x:v>
      </x:c>
      <x:c r="H412" s="12" t="n">
        <x:f>IF(SUM(I412:K412)&gt;0,1,0)</x:f>
        <x:v>0</x:v>
      </x:c>
      <x:c r="I412" s="12" t="n">
        <x:f>IF('患者配对'!M415="positive",1,0)</x:f>
        <x:v>0</x:v>
      </x:c>
      <x:c r="J412" s="12" t="n">
        <x:f>IF('患者配对'!R415="positive",1,0)</x:f>
        <x:v>0</x:v>
      </x:c>
      <x:c r="K412" s="12" t="n">
        <x:f>IF('患者配对'!W415="positive",1,0)</x:f>
        <x:v>0</x:v>
      </x:c>
      <x:c r="L412" s="12" t="str">
        <x:v>由原件与原状态取得；仅主队列索引</x:v>
      </x:c>
      <x:c r="M412" s="12"/>
      <x:c r="N412" s="12"/>
      <x:c r="O412" s="12"/>
    </x:row>
    <x:row r="413" ht="39" customHeight="1">
      <x:c r="A413" s="12" t="str">
        <x:v>3282</x:v>
      </x:c>
      <x:c r="B413" s="12" t="str">
        <x:v>3659</x:v>
      </x:c>
      <x:c r="C413" s="12" t="str">
        <x:v>参考000</x:v>
      </x:c>
      <x:c r="D413" s="12" t="str">
        <x:v>自动000</x:v>
      </x:c>
      <x:c r="E413" s="12" t="n">
        <x:v>0</x:v>
      </x:c>
      <x:c r="F413" s="12" t="n">
        <x:v>0</x:v>
      </x:c>
      <x:c r="G413" s="12" t="n">
        <x:v>0</x:v>
      </x:c>
      <x:c r="H413" s="12" t="n">
        <x:f>IF(SUM(I413:K413)&gt;0,1,0)</x:f>
        <x:v>0</x:v>
      </x:c>
      <x:c r="I413" s="12" t="n">
        <x:f>IF('患者配对'!M416="positive",1,0)</x:f>
        <x:v>0</x:v>
      </x:c>
      <x:c r="J413" s="12" t="n">
        <x:f>IF('患者配对'!R416="positive",1,0)</x:f>
        <x:v>0</x:v>
      </x:c>
      <x:c r="K413" s="12" t="n">
        <x:f>IF('患者配对'!W416="positive",1,0)</x:f>
        <x:v>0</x:v>
      </x:c>
      <x:c r="L413" s="12" t="str">
        <x:v>由原件与原状态取得；仅主队列索引</x:v>
      </x:c>
      <x:c r="M413" s="12"/>
      <x:c r="N413" s="12"/>
      <x:c r="O413" s="12"/>
    </x:row>
    <x:row r="414" ht="39" customHeight="1">
      <x:c r="A414" s="12" t="str">
        <x:v>3299</x:v>
      </x:c>
      <x:c r="B414" s="12" t="str">
        <x:v>1020</x:v>
      </x:c>
      <x:c r="C414" s="12" t="str">
        <x:v>参考000</x:v>
      </x:c>
      <x:c r="D414" s="12" t="str">
        <x:v>自动000</x:v>
      </x:c>
      <x:c r="E414" s="12" t="n">
        <x:v>0</x:v>
      </x:c>
      <x:c r="F414" s="12" t="n">
        <x:v>1</x:v>
      </x:c>
      <x:c r="G414" s="12" t="n">
        <x:v>0</x:v>
      </x:c>
      <x:c r="H414" s="12" t="n">
        <x:f>IF(SUM(I414:K414)&gt;0,1,0)</x:f>
        <x:v>0</x:v>
      </x:c>
      <x:c r="I414" s="12" t="n">
        <x:f>IF('患者配对'!M417="positive",1,0)</x:f>
        <x:v>0</x:v>
      </x:c>
      <x:c r="J414" s="12" t="n">
        <x:f>IF('患者配对'!R417="positive",1,0)</x:f>
        <x:v>0</x:v>
      </x:c>
      <x:c r="K414" s="12" t="n">
        <x:f>IF('患者配对'!W417="positive",1,0)</x:f>
        <x:v>0</x:v>
      </x:c>
      <x:c r="L414" s="12" t="str">
        <x:v>由原件与原状态取得；仅主队列索引</x:v>
      </x:c>
      <x:c r="M414" s="12"/>
      <x:c r="N414" s="12"/>
      <x:c r="O414" s="12"/>
    </x:row>
    <x:row r="415" ht="39" customHeight="1">
      <x:c r="A415" s="12" t="str">
        <x:v>3315</x:v>
      </x:c>
      <x:c r="B415" s="12" t="str">
        <x:v>2895</x:v>
      </x:c>
      <x:c r="C415" s="12" t="str">
        <x:v>参考000</x:v>
      </x:c>
      <x:c r="D415" s="12" t="str">
        <x:v>自动000</x:v>
      </x:c>
      <x:c r="E415" s="12" t="n">
        <x:v>0</x:v>
      </x:c>
      <x:c r="F415" s="12" t="n">
        <x:v>0</x:v>
      </x:c>
      <x:c r="G415" s="12" t="n">
        <x:v>0</x:v>
      </x:c>
      <x:c r="H415" s="12" t="n">
        <x:f>IF(SUM(I415:K415)&gt;0,1,0)</x:f>
        <x:v>0</x:v>
      </x:c>
      <x:c r="I415" s="12" t="n">
        <x:f>IF('患者配对'!M418="positive",1,0)</x:f>
        <x:v>0</x:v>
      </x:c>
      <x:c r="J415" s="12" t="n">
        <x:f>IF('患者配对'!R418="positive",1,0)</x:f>
        <x:v>0</x:v>
      </x:c>
      <x:c r="K415" s="12" t="n">
        <x:f>IF('患者配对'!W418="positive",1,0)</x:f>
        <x:v>0</x:v>
      </x:c>
      <x:c r="L415" s="12" t="str">
        <x:v>由原件与原状态取得；仅主队列索引</x:v>
      </x:c>
      <x:c r="M415" s="12"/>
      <x:c r="N415" s="12"/>
      <x:c r="O415" s="12"/>
    </x:row>
    <x:row r="416" ht="39" customHeight="1">
      <x:c r="A416" s="12" t="str">
        <x:v>3317</x:v>
      </x:c>
      <x:c r="B416" s="12" t="str">
        <x:v>3217</x:v>
      </x:c>
      <x:c r="C416" s="12" t="str">
        <x:v>参考000</x:v>
      </x:c>
      <x:c r="D416" s="12" t="str">
        <x:v>自动000</x:v>
      </x:c>
      <x:c r="E416" s="12" t="n">
        <x:v>0</x:v>
      </x:c>
      <x:c r="F416" s="12" t="n">
        <x:v>0</x:v>
      </x:c>
      <x:c r="G416" s="12" t="n">
        <x:v>0</x:v>
      </x:c>
      <x:c r="H416" s="12" t="n">
        <x:f>IF(SUM(I416:K416)&gt;0,1,0)</x:f>
        <x:v>0</x:v>
      </x:c>
      <x:c r="I416" s="12" t="n">
        <x:f>IF('患者配对'!M419="positive",1,0)</x:f>
        <x:v>0</x:v>
      </x:c>
      <x:c r="J416" s="12" t="n">
        <x:f>IF('患者配对'!R419="positive",1,0)</x:f>
        <x:v>0</x:v>
      </x:c>
      <x:c r="K416" s="12" t="n">
        <x:f>IF('患者配对'!W419="positive",1,0)</x:f>
        <x:v>0</x:v>
      </x:c>
      <x:c r="L416" s="12" t="str">
        <x:v>由原件与原状态取得；仅主队列索引</x:v>
      </x:c>
      <x:c r="M416" s="12"/>
      <x:c r="N416" s="12"/>
      <x:c r="O416" s="12"/>
    </x:row>
    <x:row r="417" ht="39" customHeight="1">
      <x:c r="A417" s="12" t="str">
        <x:v>3320</x:v>
      </x:c>
      <x:c r="B417" s="12" t="str">
        <x:v>4763</x:v>
      </x:c>
      <x:c r="C417" s="12" t="str">
        <x:v>参考000</x:v>
      </x:c>
      <x:c r="D417" s="12" t="str">
        <x:v>自动000</x:v>
      </x:c>
      <x:c r="E417" s="12" t="n">
        <x:v>0</x:v>
      </x:c>
      <x:c r="F417" s="12" t="n">
        <x:v>0</x:v>
      </x:c>
      <x:c r="G417" s="12" t="n">
        <x:v>0</x:v>
      </x:c>
      <x:c r="H417" s="12" t="n">
        <x:f>IF(SUM(I417:K417)&gt;0,1,0)</x:f>
        <x:v>0</x:v>
      </x:c>
      <x:c r="I417" s="12" t="n">
        <x:f>IF('患者配对'!M420="positive",1,0)</x:f>
        <x:v>0</x:v>
      </x:c>
      <x:c r="J417" s="12" t="n">
        <x:f>IF('患者配对'!R420="positive",1,0)</x:f>
        <x:v>0</x:v>
      </x:c>
      <x:c r="K417" s="12" t="n">
        <x:f>IF('患者配对'!W420="positive",1,0)</x:f>
        <x:v>0</x:v>
      </x:c>
      <x:c r="L417" s="12" t="str">
        <x:v>由原件与原状态取得；仅主队列索引</x:v>
      </x:c>
      <x:c r="M417" s="12"/>
      <x:c r="N417" s="12"/>
      <x:c r="O417" s="12"/>
    </x:row>
    <x:row r="418" ht="39" customHeight="1">
      <x:c r="A418" s="12" t="str">
        <x:v>3326</x:v>
      </x:c>
      <x:c r="B418" s="12" t="str">
        <x:v>733</x:v>
      </x:c>
      <x:c r="C418" s="12" t="str">
        <x:v>参考000</x:v>
      </x:c>
      <x:c r="D418" s="12" t="str">
        <x:v>自动000</x:v>
      </x:c>
      <x:c r="E418" s="12" t="n">
        <x:v>0</x:v>
      </x:c>
      <x:c r="F418" s="12" t="n">
        <x:v>1</x:v>
      </x:c>
      <x:c r="G418" s="12" t="n">
        <x:v>0</x:v>
      </x:c>
      <x:c r="H418" s="12" t="n">
        <x:f>IF(SUM(I418:K418)&gt;0,1,0)</x:f>
        <x:v>0</x:v>
      </x:c>
      <x:c r="I418" s="12" t="n">
        <x:f>IF('患者配对'!M421="positive",1,0)</x:f>
        <x:v>0</x:v>
      </x:c>
      <x:c r="J418" s="12" t="n">
        <x:f>IF('患者配对'!R421="positive",1,0)</x:f>
        <x:v>0</x:v>
      </x:c>
      <x:c r="K418" s="12" t="n">
        <x:f>IF('患者配对'!W421="positive",1,0)</x:f>
        <x:v>0</x:v>
      </x:c>
      <x:c r="L418" s="12" t="str">
        <x:v>由原件与原状态取得；仅主队列索引</x:v>
      </x:c>
      <x:c r="M418" s="12"/>
      <x:c r="N418" s="12"/>
      <x:c r="O418" s="12"/>
    </x:row>
    <x:row r="419" ht="39" customHeight="1">
      <x:c r="A419" s="12" t="str">
        <x:v>3336</x:v>
      </x:c>
      <x:c r="B419" s="12" t="str">
        <x:v>9211</x:v>
      </x:c>
      <x:c r="C419" s="12" t="str">
        <x:v>参考000</x:v>
      </x:c>
      <x:c r="D419" s="12" t="str">
        <x:v>自动000</x:v>
      </x:c>
      <x:c r="E419" s="12" t="n">
        <x:v>0</x:v>
      </x:c>
      <x:c r="F419" s="12" t="n">
        <x:v>0</x:v>
      </x:c>
      <x:c r="G419" s="12" t="n">
        <x:v>0</x:v>
      </x:c>
      <x:c r="H419" s="12" t="n">
        <x:f>IF(SUM(I419:K419)&gt;0,1,0)</x:f>
        <x:v>0</x:v>
      </x:c>
      <x:c r="I419" s="12" t="n">
        <x:f>IF('患者配对'!M422="positive",1,0)</x:f>
        <x:v>0</x:v>
      </x:c>
      <x:c r="J419" s="12" t="n">
        <x:f>IF('患者配对'!R422="positive",1,0)</x:f>
        <x:v>0</x:v>
      </x:c>
      <x:c r="K419" s="12" t="n">
        <x:f>IF('患者配对'!W422="positive",1,0)</x:f>
        <x:v>0</x:v>
      </x:c>
      <x:c r="L419" s="12" t="str">
        <x:v>由原件与原状态取得；仅主队列索引</x:v>
      </x:c>
      <x:c r="M419" s="12"/>
      <x:c r="N419" s="12"/>
      <x:c r="O419" s="12"/>
    </x:row>
    <x:row r="420" ht="39" customHeight="1">
      <x:c r="A420" s="12" t="str">
        <x:v>3342</x:v>
      </x:c>
      <x:c r="B420" s="12" t="str">
        <x:v>3016</x:v>
      </x:c>
      <x:c r="C420" s="12" t="str">
        <x:v>参考000</x:v>
      </x:c>
      <x:c r="D420" s="12" t="str">
        <x:v>自动000</x:v>
      </x:c>
      <x:c r="E420" s="12" t="n">
        <x:v>0</x:v>
      </x:c>
      <x:c r="F420" s="12" t="n">
        <x:v>0</x:v>
      </x:c>
      <x:c r="G420" s="12" t="n">
        <x:v>0</x:v>
      </x:c>
      <x:c r="H420" s="12" t="n">
        <x:f>IF(SUM(I420:K420)&gt;0,1,0)</x:f>
        <x:v>0</x:v>
      </x:c>
      <x:c r="I420" s="12" t="n">
        <x:f>IF('患者配对'!M423="positive",1,0)</x:f>
        <x:v>0</x:v>
      </x:c>
      <x:c r="J420" s="12" t="n">
        <x:f>IF('患者配对'!R423="positive",1,0)</x:f>
        <x:v>0</x:v>
      </x:c>
      <x:c r="K420" s="12" t="n">
        <x:f>IF('患者配对'!W423="positive",1,0)</x:f>
        <x:v>0</x:v>
      </x:c>
      <x:c r="L420" s="12" t="str">
        <x:v>由原件与原状态取得；仅主队列索引</x:v>
      </x:c>
      <x:c r="M420" s="12"/>
      <x:c r="N420" s="12"/>
      <x:c r="O420" s="12"/>
    </x:row>
    <x:row r="421" ht="39" customHeight="1">
      <x:c r="A421" s="12" t="str">
        <x:v>3350</x:v>
      </x:c>
      <x:c r="B421" s="12" t="str">
        <x:v>20605</x:v>
      </x:c>
      <x:c r="C421" s="12" t="str">
        <x:v>参考000</x:v>
      </x:c>
      <x:c r="D421" s="12" t="str">
        <x:v>自动000</x:v>
      </x:c>
      <x:c r="E421" s="12" t="n">
        <x:v>0</x:v>
      </x:c>
      <x:c r="F421" s="12" t="n">
        <x:v>1</x:v>
      </x:c>
      <x:c r="G421" s="12" t="n">
        <x:v>0</x:v>
      </x:c>
      <x:c r="H421" s="12" t="n">
        <x:f>IF(SUM(I421:K421)&gt;0,1,0)</x:f>
        <x:v>0</x:v>
      </x:c>
      <x:c r="I421" s="12" t="n">
        <x:f>IF('患者配对'!M424="positive",1,0)</x:f>
        <x:v>0</x:v>
      </x:c>
      <x:c r="J421" s="12" t="n">
        <x:f>IF('患者配对'!R424="positive",1,0)</x:f>
        <x:v>0</x:v>
      </x:c>
      <x:c r="K421" s="12" t="n">
        <x:f>IF('患者配对'!W424="positive",1,0)</x:f>
        <x:v>0</x:v>
      </x:c>
      <x:c r="L421" s="12" t="str">
        <x:v>由原件与原状态取得；仅主队列索引</x:v>
      </x:c>
      <x:c r="M421" s="12"/>
      <x:c r="N421" s="12"/>
      <x:c r="O421" s="12"/>
    </x:row>
    <x:row r="422" ht="39" customHeight="1">
      <x:c r="A422" s="12" t="str">
        <x:v>3356</x:v>
      </x:c>
      <x:c r="B422" s="12" t="str">
        <x:v>14447</x:v>
      </x:c>
      <x:c r="C422" s="12" t="str">
        <x:v>参考000</x:v>
      </x:c>
      <x:c r="D422" s="12" t="str">
        <x:v>自动000</x:v>
      </x:c>
      <x:c r="E422" s="12" t="n">
        <x:v>0</x:v>
      </x:c>
      <x:c r="F422" s="12" t="n">
        <x:v>0</x:v>
      </x:c>
      <x:c r="G422" s="12" t="n">
        <x:v>0</x:v>
      </x:c>
      <x:c r="H422" s="12" t="n">
        <x:f>IF(SUM(I422:K422)&gt;0,1,0)</x:f>
        <x:v>0</x:v>
      </x:c>
      <x:c r="I422" s="12" t="n">
        <x:f>IF('患者配对'!M425="positive",1,0)</x:f>
        <x:v>0</x:v>
      </x:c>
      <x:c r="J422" s="12" t="n">
        <x:f>IF('患者配对'!R425="positive",1,0)</x:f>
        <x:v>0</x:v>
      </x:c>
      <x:c r="K422" s="12" t="n">
        <x:f>IF('患者配对'!W425="positive",1,0)</x:f>
        <x:v>0</x:v>
      </x:c>
      <x:c r="L422" s="12" t="str">
        <x:v>由原件与原状态取得；仅主队列索引</x:v>
      </x:c>
      <x:c r="M422" s="12"/>
      <x:c r="N422" s="12"/>
      <x:c r="O422" s="12"/>
    </x:row>
    <x:row r="423" ht="39" customHeight="1">
      <x:c r="A423" s="12" t="str">
        <x:v>3363</x:v>
      </x:c>
      <x:c r="B423" s="12" t="str">
        <x:v>10575</x:v>
      </x:c>
      <x:c r="C423" s="12" t="str">
        <x:v>参考000</x:v>
      </x:c>
      <x:c r="D423" s="12" t="str">
        <x:v>自动000</x:v>
      </x:c>
      <x:c r="E423" s="12" t="n">
        <x:v>0</x:v>
      </x:c>
      <x:c r="F423" s="12" t="n">
        <x:v>1</x:v>
      </x:c>
      <x:c r="G423" s="12" t="n">
        <x:v>0</x:v>
      </x:c>
      <x:c r="H423" s="12" t="n">
        <x:f>IF(SUM(I423:K423)&gt;0,1,0)</x:f>
        <x:v>0</x:v>
      </x:c>
      <x:c r="I423" s="12" t="n">
        <x:f>IF('患者配对'!M426="positive",1,0)</x:f>
        <x:v>0</x:v>
      </x:c>
      <x:c r="J423" s="12" t="n">
        <x:f>IF('患者配对'!R426="positive",1,0)</x:f>
        <x:v>0</x:v>
      </x:c>
      <x:c r="K423" s="12" t="n">
        <x:f>IF('患者配对'!W426="positive",1,0)</x:f>
        <x:v>0</x:v>
      </x:c>
      <x:c r="L423" s="12" t="str">
        <x:v>由原件与原状态取得；仅主队列索引</x:v>
      </x:c>
      <x:c r="M423" s="12"/>
      <x:c r="N423" s="12"/>
      <x:c r="O423" s="12"/>
    </x:row>
    <x:row r="424" ht="39" customHeight="1">
      <x:c r="A424" s="12" t="str">
        <x:v>3384</x:v>
      </x:c>
      <x:c r="B424" s="12" t="str">
        <x:v>4889</x:v>
      </x:c>
      <x:c r="C424" s="12" t="str">
        <x:v>参考000</x:v>
      </x:c>
      <x:c r="D424" s="12" t="str">
        <x:v>自动000</x:v>
      </x:c>
      <x:c r="E424" s="12" t="n">
        <x:v>0</x:v>
      </x:c>
      <x:c r="F424" s="12" t="n">
        <x:v>0</x:v>
      </x:c>
      <x:c r="G424" s="12" t="n">
        <x:v>0</x:v>
      </x:c>
      <x:c r="H424" s="12" t="n">
        <x:f>IF(SUM(I424:K424)&gt;0,1,0)</x:f>
        <x:v>0</x:v>
      </x:c>
      <x:c r="I424" s="12" t="n">
        <x:f>IF('患者配对'!M428="positive",1,0)</x:f>
        <x:v>0</x:v>
      </x:c>
      <x:c r="J424" s="12" t="n">
        <x:f>IF('患者配对'!R428="positive",1,0)</x:f>
        <x:v>0</x:v>
      </x:c>
      <x:c r="K424" s="12" t="n">
        <x:f>IF('患者配对'!W428="positive",1,0)</x:f>
        <x:v>0</x:v>
      </x:c>
      <x:c r="L424" s="12" t="str">
        <x:v>由原件与原状态取得；仅主队列索引</x:v>
      </x:c>
      <x:c r="M424" s="12"/>
      <x:c r="N424" s="12"/>
      <x:c r="O424" s="12"/>
    </x:row>
    <x:row r="425" ht="39" customHeight="1">
      <x:c r="A425" s="12" t="str">
        <x:v>3406</x:v>
      </x:c>
      <x:c r="B425" s="12" t="str">
        <x:v>6682</x:v>
      </x:c>
      <x:c r="C425" s="12" t="str">
        <x:v>参考000</x:v>
      </x:c>
      <x:c r="D425" s="12" t="str">
        <x:v>自动000</x:v>
      </x:c>
      <x:c r="E425" s="12" t="n">
        <x:v>0</x:v>
      </x:c>
      <x:c r="F425" s="12" t="n">
        <x:v>0</x:v>
      </x:c>
      <x:c r="G425" s="12" t="n">
        <x:v>0</x:v>
      </x:c>
      <x:c r="H425" s="12" t="n">
        <x:f>IF(SUM(I425:K425)&gt;0,1,0)</x:f>
        <x:v>0</x:v>
      </x:c>
      <x:c r="I425" s="12" t="n">
        <x:f>IF('患者配对'!M429="positive",1,0)</x:f>
        <x:v>0</x:v>
      </x:c>
      <x:c r="J425" s="12" t="n">
        <x:f>IF('患者配对'!R429="positive",1,0)</x:f>
        <x:v>0</x:v>
      </x:c>
      <x:c r="K425" s="12" t="n">
        <x:f>IF('患者配对'!W429="positive",1,0)</x:f>
        <x:v>0</x:v>
      </x:c>
      <x:c r="L425" s="12" t="str">
        <x:v>由原件与原状态取得；仅主队列索引</x:v>
      </x:c>
      <x:c r="M425" s="12"/>
      <x:c r="N425" s="12"/>
      <x:c r="O425" s="12"/>
    </x:row>
    <x:row r="426" ht="39" customHeight="1">
      <x:c r="A426" s="12" t="str">
        <x:v>3414</x:v>
      </x:c>
      <x:c r="B426" s="12" t="str">
        <x:v>7118</x:v>
      </x:c>
      <x:c r="C426" s="12" t="str">
        <x:v>参考000</x:v>
      </x:c>
      <x:c r="D426" s="12" t="str">
        <x:v>自动000</x:v>
      </x:c>
      <x:c r="E426" s="12" t="n">
        <x:v>0</x:v>
      </x:c>
      <x:c r="F426" s="12" t="n">
        <x:v>0</x:v>
      </x:c>
      <x:c r="G426" s="12" t="n">
        <x:v>0</x:v>
      </x:c>
      <x:c r="H426" s="12" t="n">
        <x:f>IF(SUM(I426:K426)&gt;0,1,0)</x:f>
        <x:v>0</x:v>
      </x:c>
      <x:c r="I426" s="12" t="n">
        <x:f>IF('患者配对'!M430="positive",1,0)</x:f>
        <x:v>0</x:v>
      </x:c>
      <x:c r="J426" s="12" t="n">
        <x:f>IF('患者配对'!R430="positive",1,0)</x:f>
        <x:v>0</x:v>
      </x:c>
      <x:c r="K426" s="12" t="n">
        <x:f>IF('患者配对'!W430="positive",1,0)</x:f>
        <x:v>0</x:v>
      </x:c>
      <x:c r="L426" s="12" t="str">
        <x:v>由原件与原状态取得；仅主队列索引</x:v>
      </x:c>
      <x:c r="M426" s="12"/>
      <x:c r="N426" s="12"/>
      <x:c r="O426" s="12"/>
    </x:row>
    <x:row r="427" ht="39" customHeight="1">
      <x:c r="A427" s="12" t="str">
        <x:v>3435</x:v>
      </x:c>
      <x:c r="B427" s="12" t="str">
        <x:v>10188</x:v>
      </x:c>
      <x:c r="C427" s="12" t="str">
        <x:v>参考000</x:v>
      </x:c>
      <x:c r="D427" s="12" t="str">
        <x:v>自动000</x:v>
      </x:c>
      <x:c r="E427" s="12" t="n">
        <x:v>0</x:v>
      </x:c>
      <x:c r="F427" s="12" t="n">
        <x:v>0</x:v>
      </x:c>
      <x:c r="G427" s="12" t="n">
        <x:v>0</x:v>
      </x:c>
      <x:c r="H427" s="12" t="n">
        <x:f>IF(SUM(I427:K427)&gt;0,1,0)</x:f>
        <x:v>0</x:v>
      </x:c>
      <x:c r="I427" s="12" t="n">
        <x:f>IF('患者配对'!M431="positive",1,0)</x:f>
        <x:v>0</x:v>
      </x:c>
      <x:c r="J427" s="12" t="n">
        <x:f>IF('患者配对'!R431="positive",1,0)</x:f>
        <x:v>0</x:v>
      </x:c>
      <x:c r="K427" s="12" t="n">
        <x:f>IF('患者配对'!W431="positive",1,0)</x:f>
        <x:v>0</x:v>
      </x:c>
      <x:c r="L427" s="12" t="str">
        <x:v>由原件与原状态取得；仅主队列索引</x:v>
      </x:c>
      <x:c r="M427" s="12"/>
      <x:c r="N427" s="12"/>
      <x:c r="O427" s="12"/>
    </x:row>
    <x:row r="428" ht="39" customHeight="1">
      <x:c r="A428" s="12" t="str">
        <x:v>3452</x:v>
      </x:c>
      <x:c r="B428" s="12" t="str">
        <x:v>4923</x:v>
      </x:c>
      <x:c r="C428" s="12" t="str">
        <x:v>参考000</x:v>
      </x:c>
      <x:c r="D428" s="12" t="str">
        <x:v>自动000</x:v>
      </x:c>
      <x:c r="E428" s="12" t="n">
        <x:v>0</x:v>
      </x:c>
      <x:c r="F428" s="12" t="n">
        <x:v>0</x:v>
      </x:c>
      <x:c r="G428" s="12" t="n">
        <x:v>0</x:v>
      </x:c>
      <x:c r="H428" s="12" t="n">
        <x:f>IF(SUM(I428:K428)&gt;0,1,0)</x:f>
        <x:v>0</x:v>
      </x:c>
      <x:c r="I428" s="12" t="n">
        <x:f>IF('患者配对'!M432="positive",1,0)</x:f>
        <x:v>0</x:v>
      </x:c>
      <x:c r="J428" s="12" t="n">
        <x:f>IF('患者配对'!R432="positive",1,0)</x:f>
        <x:v>0</x:v>
      </x:c>
      <x:c r="K428" s="12" t="n">
        <x:f>IF('患者配对'!W432="positive",1,0)</x:f>
        <x:v>0</x:v>
      </x:c>
      <x:c r="L428" s="12" t="str">
        <x:v>由原件与原状态取得；仅主队列索引</x:v>
      </x:c>
      <x:c r="M428" s="12"/>
      <x:c r="N428" s="12"/>
      <x:c r="O428" s="12"/>
    </x:row>
    <x:row r="429" ht="39" customHeight="1">
      <x:c r="A429" s="12" t="str">
        <x:v>3454</x:v>
      </x:c>
      <x:c r="B429" s="12" t="str">
        <x:v>11760</x:v>
      </x:c>
      <x:c r="C429" s="12" t="str">
        <x:v>参考100</x:v>
      </x:c>
      <x:c r="D429" s="12" t="str">
        <x:v>自动100</x:v>
      </x:c>
      <x:c r="E429" s="12" t="n">
        <x:v>1</x:v>
      </x:c>
      <x:c r="F429" s="12" t="n">
        <x:v>1</x:v>
      </x:c>
      <x:c r="G429" s="12" t="n">
        <x:v>0</x:v>
      </x:c>
      <x:c r="H429" s="12" t="n">
        <x:f>IF(SUM(I429:K429)&gt;0,1,0)</x:f>
        <x:v>1</x:v>
      </x:c>
      <x:c r="I429" s="12" t="n">
        <x:f>IF('患者配对'!M433="positive",1,0)</x:f>
        <x:v>1</x:v>
      </x:c>
      <x:c r="J429" s="12" t="n">
        <x:f>IF('患者配对'!R433="positive",1,0)</x:f>
        <x:v>0</x:v>
      </x:c>
      <x:c r="K429" s="12" t="n">
        <x:f>IF('患者配对'!W433="positive",1,0)</x:f>
        <x:v>0</x:v>
      </x:c>
      <x:c r="L429" s="12" t="str">
        <x:v>由原件与原状态取得；仅主队列索引</x:v>
      </x:c>
      <x:c r="M429" s="12"/>
      <x:c r="N429" s="12"/>
      <x:c r="O429" s="12"/>
    </x:row>
    <x:row r="430" ht="39" customHeight="1">
      <x:c r="A430" s="12" t="str">
        <x:v>3479</x:v>
      </x:c>
      <x:c r="B430" s="12" t="str">
        <x:v>16121</x:v>
      </x:c>
      <x:c r="C430" s="12" t="str">
        <x:v>参考010</x:v>
      </x:c>
      <x:c r="D430" s="12" t="str">
        <x:v>自动010</x:v>
      </x:c>
      <x:c r="E430" s="12" t="n">
        <x:v>1</x:v>
      </x:c>
      <x:c r="F430" s="12" t="n">
        <x:v>1</x:v>
      </x:c>
      <x:c r="G430" s="12" t="n">
        <x:v>0</x:v>
      </x:c>
      <x:c r="H430" s="12" t="n">
        <x:f>IF(SUM(I430:K430)&gt;0,1,0)</x:f>
        <x:v>1</x:v>
      </x:c>
      <x:c r="I430" s="12" t="n">
        <x:f>IF('患者配对'!M434="positive",1,0)</x:f>
        <x:v>0</x:v>
      </x:c>
      <x:c r="J430" s="12" t="n">
        <x:f>IF('患者配对'!R434="positive",1,0)</x:f>
        <x:v>1</x:v>
      </x:c>
      <x:c r="K430" s="12" t="n">
        <x:f>IF('患者配对'!W434="positive",1,0)</x:f>
        <x:v>0</x:v>
      </x:c>
      <x:c r="L430" s="12" t="str">
        <x:v>由原件与原状态取得；仅主队列索引</x:v>
      </x:c>
      <x:c r="M430" s="12"/>
      <x:c r="N430" s="12"/>
      <x:c r="O430" s="12"/>
    </x:row>
    <x:row r="431" ht="39" customHeight="1">
      <x:c r="A431" s="12" t="str">
        <x:v>3486</x:v>
      </x:c>
      <x:c r="B431" s="12" t="str">
        <x:v>5946</x:v>
      </x:c>
      <x:c r="C431" s="12" t="str">
        <x:v>参考000</x:v>
      </x:c>
      <x:c r="D431" s="12" t="str">
        <x:v>自动000</x:v>
      </x:c>
      <x:c r="E431" s="12" t="n">
        <x:v>0</x:v>
      </x:c>
      <x:c r="F431" s="12" t="n">
        <x:v>0</x:v>
      </x:c>
      <x:c r="G431" s="12" t="n">
        <x:v>0</x:v>
      </x:c>
      <x:c r="H431" s="12" t="n">
        <x:f>IF(SUM(I431:K431)&gt;0,1,0)</x:f>
        <x:v>0</x:v>
      </x:c>
      <x:c r="I431" s="12" t="n">
        <x:f>IF('患者配对'!M436="positive",1,0)</x:f>
        <x:v>0</x:v>
      </x:c>
      <x:c r="J431" s="12" t="n">
        <x:f>IF('患者配对'!R436="positive",1,0)</x:f>
        <x:v>0</x:v>
      </x:c>
      <x:c r="K431" s="12" t="n">
        <x:f>IF('患者配对'!W436="positive",1,0)</x:f>
        <x:v>0</x:v>
      </x:c>
      <x:c r="L431" s="12" t="str">
        <x:v>由原件与原状态取得；仅主队列索引</x:v>
      </x:c>
      <x:c r="M431" s="12"/>
      <x:c r="N431" s="12"/>
      <x:c r="O431" s="12"/>
    </x:row>
    <x:row r="432" ht="39" customHeight="1">
      <x:c r="A432" s="12" t="str">
        <x:v>3487</x:v>
      </x:c>
      <x:c r="B432" s="12" t="str">
        <x:v>1036</x:v>
      </x:c>
      <x:c r="C432" s="12" t="str">
        <x:v>参考000</x:v>
      </x:c>
      <x:c r="D432" s="12" t="str">
        <x:v>自动000</x:v>
      </x:c>
      <x:c r="E432" s="12" t="n">
        <x:v>0</x:v>
      </x:c>
      <x:c r="F432" s="12" t="n">
        <x:v>0</x:v>
      </x:c>
      <x:c r="G432" s="12" t="n">
        <x:v>0</x:v>
      </x:c>
      <x:c r="H432" s="12" t="n">
        <x:f>IF(SUM(I432:K432)&gt;0,1,0)</x:f>
        <x:v>0</x:v>
      </x:c>
      <x:c r="I432" s="12" t="n">
        <x:f>IF('患者配对'!M437="positive",1,0)</x:f>
        <x:v>0</x:v>
      </x:c>
      <x:c r="J432" s="12" t="n">
        <x:f>IF('患者配对'!R437="positive",1,0)</x:f>
        <x:v>0</x:v>
      </x:c>
      <x:c r="K432" s="12" t="n">
        <x:f>IF('患者配对'!W437="positive",1,0)</x:f>
        <x:v>0</x:v>
      </x:c>
      <x:c r="L432" s="12" t="str">
        <x:v>由原件与原状态取得；仅主队列索引</x:v>
      </x:c>
      <x:c r="M432" s="12"/>
      <x:c r="N432" s="12"/>
      <x:c r="O432" s="12"/>
    </x:row>
    <x:row r="433" ht="39" customHeight="1">
      <x:c r="A433" s="12" t="str">
        <x:v>3497</x:v>
      </x:c>
      <x:c r="B433" s="12" t="str">
        <x:v>21068</x:v>
      </x:c>
      <x:c r="C433" s="12" t="str">
        <x:v>参考000</x:v>
      </x:c>
      <x:c r="D433" s="12" t="str">
        <x:v>自动000</x:v>
      </x:c>
      <x:c r="E433" s="12" t="n">
        <x:v>0</x:v>
      </x:c>
      <x:c r="F433" s="12" t="n">
        <x:v>0</x:v>
      </x:c>
      <x:c r="G433" s="12" t="n">
        <x:v>0</x:v>
      </x:c>
      <x:c r="H433" s="12" t="n">
        <x:f>IF(SUM(I433:K433)&gt;0,1,0)</x:f>
        <x:v>0</x:v>
      </x:c>
      <x:c r="I433" s="12" t="n">
        <x:f>IF('患者配对'!M438="positive",1,0)</x:f>
        <x:v>0</x:v>
      </x:c>
      <x:c r="J433" s="12" t="n">
        <x:f>IF('患者配对'!R438="positive",1,0)</x:f>
        <x:v>0</x:v>
      </x:c>
      <x:c r="K433" s="12" t="n">
        <x:f>IF('患者配对'!W438="positive",1,0)</x:f>
        <x:v>0</x:v>
      </x:c>
      <x:c r="L433" s="12" t="str">
        <x:v>由原件与原状态取得；仅主队列索引</x:v>
      </x:c>
      <x:c r="M433" s="12"/>
      <x:c r="N433" s="12"/>
      <x:c r="O433" s="12"/>
    </x:row>
    <x:row r="434" ht="39" customHeight="1">
      <x:c r="A434" s="12" t="str">
        <x:v>3507</x:v>
      </x:c>
      <x:c r="B434" s="12" t="str">
        <x:v>1960</x:v>
      </x:c>
      <x:c r="C434" s="12" t="str">
        <x:v>参考000</x:v>
      </x:c>
      <x:c r="D434" s="12" t="str">
        <x:v>自动000</x:v>
      </x:c>
      <x:c r="E434" s="12" t="n">
        <x:v>0</x:v>
      </x:c>
      <x:c r="F434" s="12" t="n">
        <x:v>0</x:v>
      </x:c>
      <x:c r="G434" s="12" t="n">
        <x:v>0</x:v>
      </x:c>
      <x:c r="H434" s="12" t="n">
        <x:f>IF(SUM(I434:K434)&gt;0,1,0)</x:f>
        <x:v>0</x:v>
      </x:c>
      <x:c r="I434" s="12" t="n">
        <x:f>IF('患者配对'!M439="positive",1,0)</x:f>
        <x:v>0</x:v>
      </x:c>
      <x:c r="J434" s="12" t="n">
        <x:f>IF('患者配对'!R439="positive",1,0)</x:f>
        <x:v>0</x:v>
      </x:c>
      <x:c r="K434" s="12" t="n">
        <x:f>IF('患者配对'!W439="positive",1,0)</x:f>
        <x:v>0</x:v>
      </x:c>
      <x:c r="L434" s="12" t="str">
        <x:v>由原件与原状态取得；仅主队列索引</x:v>
      </x:c>
      <x:c r="M434" s="12"/>
      <x:c r="N434" s="12"/>
      <x:c r="O434" s="12"/>
    </x:row>
    <x:row r="435" ht="39" customHeight="1">
      <x:c r="A435" s="12" t="str">
        <x:v>3508</x:v>
      </x:c>
      <x:c r="B435" s="12" t="str">
        <x:v>5670</x:v>
      </x:c>
      <x:c r="C435" s="12" t="str">
        <x:v>参考000</x:v>
      </x:c>
      <x:c r="D435" s="12" t="str">
        <x:v>自动100</x:v>
      </x:c>
      <x:c r="E435" s="12" t="n">
        <x:v>1</x:v>
      </x:c>
      <x:c r="F435" s="12" t="n">
        <x:v>1</x:v>
      </x:c>
      <x:c r="G435" s="12" t="n">
        <x:v>1</x:v>
      </x:c>
      <x:c r="H435" s="12" t="n">
        <x:f>IF(SUM(I435:K435)&gt;0,1,0)</x:f>
        <x:v>0</x:v>
      </x:c>
      <x:c r="I435" s="12" t="n">
        <x:f>IF('患者配对'!M440="positive",1,0)</x:f>
        <x:v>0</x:v>
      </x:c>
      <x:c r="J435" s="12" t="n">
        <x:f>IF('患者配对'!R440="positive",1,0)</x:f>
        <x:v>0</x:v>
      </x:c>
      <x:c r="K435" s="12" t="n">
        <x:f>IF('患者配对'!W440="positive",1,0)</x:f>
        <x:v>0</x:v>
      </x:c>
      <x:c r="L435" s="12" t="str">
        <x:v>由原件与原状态取得；仅主队列索引</x:v>
      </x:c>
      <x:c r="M435" s="12"/>
      <x:c r="N435" s="12"/>
      <x:c r="O435" s="12"/>
    </x:row>
    <x:row r="436" ht="39" customHeight="1">
      <x:c r="A436" s="12" t="str">
        <x:v>3515</x:v>
      </x:c>
      <x:c r="B436" s="12" t="str">
        <x:v>2345</x:v>
      </x:c>
      <x:c r="C436" s="12" t="str">
        <x:v>参考000</x:v>
      </x:c>
      <x:c r="D436" s="12" t="str">
        <x:v>自动000</x:v>
      </x:c>
      <x:c r="E436" s="12" t="n">
        <x:v>0</x:v>
      </x:c>
      <x:c r="F436" s="12" t="n">
        <x:v>0</x:v>
      </x:c>
      <x:c r="G436" s="12" t="n">
        <x:v>0</x:v>
      </x:c>
      <x:c r="H436" s="12" t="n">
        <x:f>IF(SUM(I436:K436)&gt;0,1,0)</x:f>
        <x:v>0</x:v>
      </x:c>
      <x:c r="I436" s="12" t="n">
        <x:f>IF('患者配对'!M441="positive",1,0)</x:f>
        <x:v>0</x:v>
      </x:c>
      <x:c r="J436" s="12" t="n">
        <x:f>IF('患者配对'!R441="positive",1,0)</x:f>
        <x:v>0</x:v>
      </x:c>
      <x:c r="K436" s="12" t="n">
        <x:f>IF('患者配对'!W441="positive",1,0)</x:f>
        <x:v>0</x:v>
      </x:c>
      <x:c r="L436" s="12" t="str">
        <x:v>由原件与原状态取得；仅主队列索引</x:v>
      </x:c>
      <x:c r="M436" s="12"/>
      <x:c r="N436" s="12"/>
      <x:c r="O436" s="12"/>
    </x:row>
    <x:row r="437" ht="39" customHeight="1">
      <x:c r="A437" s="12" t="str">
        <x:v>3521</x:v>
      </x:c>
      <x:c r="B437" s="12" t="str">
        <x:v>7493</x:v>
      </x:c>
      <x:c r="C437" s="12" t="str">
        <x:v>参考000</x:v>
      </x:c>
      <x:c r="D437" s="12" t="str">
        <x:v>自动000</x:v>
      </x:c>
      <x:c r="E437" s="12" t="n">
        <x:v>0</x:v>
      </x:c>
      <x:c r="F437" s="12" t="n">
        <x:v>0</x:v>
      </x:c>
      <x:c r="G437" s="12" t="n">
        <x:v>0</x:v>
      </x:c>
      <x:c r="H437" s="12" t="n">
        <x:f>IF(SUM(I437:K437)&gt;0,1,0)</x:f>
        <x:v>0</x:v>
      </x:c>
      <x:c r="I437" s="12" t="n">
        <x:f>IF('患者配对'!M442="positive",1,0)</x:f>
        <x:v>0</x:v>
      </x:c>
      <x:c r="J437" s="12" t="n">
        <x:f>IF('患者配对'!R442="positive",1,0)</x:f>
        <x:v>0</x:v>
      </x:c>
      <x:c r="K437" s="12" t="n">
        <x:f>IF('患者配对'!W442="positive",1,0)</x:f>
        <x:v>0</x:v>
      </x:c>
      <x:c r="L437" s="12" t="str">
        <x:v>由原件与原状态取得；仅主队列索引</x:v>
      </x:c>
      <x:c r="M437" s="12"/>
      <x:c r="N437" s="12"/>
      <x:c r="O437" s="12"/>
    </x:row>
    <x:row r="438" ht="39" customHeight="1">
      <x:c r="A438" s="12" t="str">
        <x:v>3522</x:v>
      </x:c>
      <x:c r="B438" s="12" t="str">
        <x:v>1845</x:v>
      </x:c>
      <x:c r="C438" s="12" t="str">
        <x:v>参考000</x:v>
      </x:c>
      <x:c r="D438" s="12" t="str">
        <x:v>自动000</x:v>
      </x:c>
      <x:c r="E438" s="12" t="n">
        <x:v>0</x:v>
      </x:c>
      <x:c r="F438" s="12" t="n">
        <x:v>0</x:v>
      </x:c>
      <x:c r="G438" s="12" t="n">
        <x:v>0</x:v>
      </x:c>
      <x:c r="H438" s="12" t="n">
        <x:f>IF(SUM(I438:K438)&gt;0,1,0)</x:f>
        <x:v>0</x:v>
      </x:c>
      <x:c r="I438" s="12" t="n">
        <x:f>IF('患者配对'!M443="positive",1,0)</x:f>
        <x:v>0</x:v>
      </x:c>
      <x:c r="J438" s="12" t="n">
        <x:f>IF('患者配对'!R443="positive",1,0)</x:f>
        <x:v>0</x:v>
      </x:c>
      <x:c r="K438" s="12" t="n">
        <x:f>IF('患者配对'!W443="positive",1,0)</x:f>
        <x:v>0</x:v>
      </x:c>
      <x:c r="L438" s="12" t="str">
        <x:v>由原件与原状态取得；仅主队列索引</x:v>
      </x:c>
      <x:c r="M438" s="12"/>
      <x:c r="N438" s="12"/>
      <x:c r="O438" s="12"/>
    </x:row>
    <x:row r="439" ht="39" customHeight="1">
      <x:c r="A439" s="12" t="str">
        <x:v>3537</x:v>
      </x:c>
      <x:c r="B439" s="12" t="str">
        <x:v>4787</x:v>
      </x:c>
      <x:c r="C439" s="12" t="str">
        <x:v>参考000</x:v>
      </x:c>
      <x:c r="D439" s="12" t="str">
        <x:v>自动000</x:v>
      </x:c>
      <x:c r="E439" s="12" t="n">
        <x:v>0</x:v>
      </x:c>
      <x:c r="F439" s="12" t="n">
        <x:v>0</x:v>
      </x:c>
      <x:c r="G439" s="12" t="n">
        <x:v>0</x:v>
      </x:c>
      <x:c r="H439" s="12" t="n">
        <x:f>IF(SUM(I439:K439)&gt;0,1,0)</x:f>
        <x:v>0</x:v>
      </x:c>
      <x:c r="I439" s="12" t="n">
        <x:f>IF('患者配对'!M444="positive",1,0)</x:f>
        <x:v>0</x:v>
      </x:c>
      <x:c r="J439" s="12" t="n">
        <x:f>IF('患者配对'!R444="positive",1,0)</x:f>
        <x:v>0</x:v>
      </x:c>
      <x:c r="K439" s="12" t="n">
        <x:f>IF('患者配对'!W444="positive",1,0)</x:f>
        <x:v>0</x:v>
      </x:c>
      <x:c r="L439" s="12" t="str">
        <x:v>由原件与原状态取得；仅主队列索引</x:v>
      </x:c>
      <x:c r="M439" s="12"/>
      <x:c r="N439" s="12"/>
      <x:c r="O439" s="12"/>
    </x:row>
    <x:row r="440" ht="39" customHeight="1">
      <x:c r="A440" s="12" t="str">
        <x:v>3544</x:v>
      </x:c>
      <x:c r="B440" s="12" t="str">
        <x:v>19665</x:v>
      </x:c>
      <x:c r="C440" s="12" t="str">
        <x:v>参考100</x:v>
      </x:c>
      <x:c r="D440" s="12" t="str">
        <x:v>自动100</x:v>
      </x:c>
      <x:c r="E440" s="12" t="n">
        <x:v>1</x:v>
      </x:c>
      <x:c r="F440" s="12" t="n">
        <x:v>1</x:v>
      </x:c>
      <x:c r="G440" s="12" t="n">
        <x:v>0</x:v>
      </x:c>
      <x:c r="H440" s="12" t="n">
        <x:f>IF(SUM(I440:K440)&gt;0,1,0)</x:f>
        <x:v>1</x:v>
      </x:c>
      <x:c r="I440" s="12" t="n">
        <x:f>IF('患者配对'!M445="positive",1,0)</x:f>
        <x:v>1</x:v>
      </x:c>
      <x:c r="J440" s="12" t="n">
        <x:f>IF('患者配对'!R445="positive",1,0)</x:f>
        <x:v>0</x:v>
      </x:c>
      <x:c r="K440" s="12" t="n">
        <x:f>IF('患者配对'!W445="positive",1,0)</x:f>
        <x:v>0</x:v>
      </x:c>
      <x:c r="L440" s="12" t="str">
        <x:v>由原件与原状态取得；仅主队列索引</x:v>
      </x:c>
      <x:c r="M440" s="12"/>
      <x:c r="N440" s="12"/>
      <x:c r="O440" s="12"/>
    </x:row>
    <x:row r="441" ht="39" customHeight="1">
      <x:c r="A441" s="12" t="str">
        <x:v>3559</x:v>
      </x:c>
      <x:c r="B441" s="12" t="str">
        <x:v>20967</x:v>
      </x:c>
      <x:c r="C441" s="12" t="str">
        <x:v>参考000</x:v>
      </x:c>
      <x:c r="D441" s="12" t="str">
        <x:v>自动000</x:v>
      </x:c>
      <x:c r="E441" s="12" t="n">
        <x:v>0</x:v>
      </x:c>
      <x:c r="F441" s="12" t="n">
        <x:v>1</x:v>
      </x:c>
      <x:c r="G441" s="12" t="n">
        <x:v>0</x:v>
      </x:c>
      <x:c r="H441" s="12" t="n">
        <x:f>IF(SUM(I441:K441)&gt;0,1,0)</x:f>
        <x:v>0</x:v>
      </x:c>
      <x:c r="I441" s="12" t="n">
        <x:f>IF('患者配对'!M447="positive",1,0)</x:f>
        <x:v>0</x:v>
      </x:c>
      <x:c r="J441" s="12" t="n">
        <x:f>IF('患者配对'!R447="positive",1,0)</x:f>
        <x:v>0</x:v>
      </x:c>
      <x:c r="K441" s="12" t="n">
        <x:f>IF('患者配对'!W447="positive",1,0)</x:f>
        <x:v>0</x:v>
      </x:c>
      <x:c r="L441" s="12" t="str">
        <x:v>由原件与原状态取得；仅主队列索引</x:v>
      </x:c>
      <x:c r="M441" s="12"/>
      <x:c r="N441" s="12"/>
      <x:c r="O441" s="12"/>
    </x:row>
    <x:row r="442" ht="39" customHeight="1">
      <x:c r="A442" s="12" t="str">
        <x:v>3568</x:v>
      </x:c>
      <x:c r="B442" s="12" t="str">
        <x:v>9001</x:v>
      </x:c>
      <x:c r="C442" s="12" t="str">
        <x:v>参考000</x:v>
      </x:c>
      <x:c r="D442" s="12" t="str">
        <x:v>自动000</x:v>
      </x:c>
      <x:c r="E442" s="12" t="n">
        <x:v>0</x:v>
      </x:c>
      <x:c r="F442" s="12" t="n">
        <x:v>1</x:v>
      </x:c>
      <x:c r="G442" s="12" t="n">
        <x:v>0</x:v>
      </x:c>
      <x:c r="H442" s="12" t="n">
        <x:f>IF(SUM(I442:K442)&gt;0,1,0)</x:f>
        <x:v>0</x:v>
      </x:c>
      <x:c r="I442" s="12" t="n">
        <x:f>IF('患者配对'!M448="positive",1,0)</x:f>
        <x:v>0</x:v>
      </x:c>
      <x:c r="J442" s="12" t="n">
        <x:f>IF('患者配对'!R448="positive",1,0)</x:f>
        <x:v>0</x:v>
      </x:c>
      <x:c r="K442" s="12" t="n">
        <x:f>IF('患者配对'!W448="positive",1,0)</x:f>
        <x:v>0</x:v>
      </x:c>
      <x:c r="L442" s="12" t="str">
        <x:v>由原件与原状态取得；仅主队列索引</x:v>
      </x:c>
      <x:c r="M442" s="12"/>
      <x:c r="N442" s="12"/>
      <x:c r="O442" s="12"/>
    </x:row>
    <x:row r="443" ht="39" customHeight="1">
      <x:c r="A443" s="12" t="str">
        <x:v>3579</x:v>
      </x:c>
      <x:c r="B443" s="12" t="str">
        <x:v>16625</x:v>
      </x:c>
      <x:c r="C443" s="12" t="str">
        <x:v>参考000</x:v>
      </x:c>
      <x:c r="D443" s="12" t="str">
        <x:v>自动000</x:v>
      </x:c>
      <x:c r="E443" s="12" t="n">
        <x:v>0</x:v>
      </x:c>
      <x:c r="F443" s="12" t="n">
        <x:v>0</x:v>
      </x:c>
      <x:c r="G443" s="12" t="n">
        <x:v>0</x:v>
      </x:c>
      <x:c r="H443" s="12" t="n">
        <x:f>IF(SUM(I443:K443)&gt;0,1,0)</x:f>
        <x:v>0</x:v>
      </x:c>
      <x:c r="I443" s="12" t="n">
        <x:f>IF('患者配对'!M449="positive",1,0)</x:f>
        <x:v>0</x:v>
      </x:c>
      <x:c r="J443" s="12" t="n">
        <x:f>IF('患者配对'!R449="positive",1,0)</x:f>
        <x:v>0</x:v>
      </x:c>
      <x:c r="K443" s="12" t="n">
        <x:f>IF('患者配对'!W449="positive",1,0)</x:f>
        <x:v>0</x:v>
      </x:c>
      <x:c r="L443" s="12" t="str">
        <x:v>由原件与原状态取得；仅主队列索引</x:v>
      </x:c>
      <x:c r="M443" s="12"/>
      <x:c r="N443" s="12"/>
      <x:c r="O443" s="12"/>
    </x:row>
    <x:row r="444" ht="39" customHeight="1">
      <x:c r="A444" s="12" t="str">
        <x:v>3582</x:v>
      </x:c>
      <x:c r="B444" s="12" t="str">
        <x:v>18551</x:v>
      </x:c>
      <x:c r="C444" s="12" t="str">
        <x:v>参考001</x:v>
      </x:c>
      <x:c r="D444" s="12" t="str">
        <x:v>自动001</x:v>
      </x:c>
      <x:c r="E444" s="12" t="n">
        <x:v>1</x:v>
      </x:c>
      <x:c r="F444" s="12" t="n">
        <x:v>1</x:v>
      </x:c>
      <x:c r="G444" s="12" t="n">
        <x:v>0</x:v>
      </x:c>
      <x:c r="H444" s="12" t="n">
        <x:f>IF(SUM(I444:K444)&gt;0,1,0)</x:f>
        <x:v>1</x:v>
      </x:c>
      <x:c r="I444" s="12" t="n">
        <x:f>IF('患者配对'!M450="positive",1,0)</x:f>
        <x:v>0</x:v>
      </x:c>
      <x:c r="J444" s="12" t="n">
        <x:f>IF('患者配对'!R450="positive",1,0)</x:f>
        <x:v>0</x:v>
      </x:c>
      <x:c r="K444" s="12" t="n">
        <x:f>IF('患者配对'!W450="positive",1,0)</x:f>
        <x:v>1</x:v>
      </x:c>
      <x:c r="L444" s="12" t="str">
        <x:v>由原件与原状态取得；仅主队列索引</x:v>
      </x:c>
      <x:c r="M444" s="12"/>
      <x:c r="N444" s="12"/>
      <x:c r="O444" s="12"/>
    </x:row>
    <x:row r="445" ht="39" customHeight="1">
      <x:c r="A445" s="12" t="str">
        <x:v>3585</x:v>
      </x:c>
      <x:c r="B445" s="12" t="str">
        <x:v>17982</x:v>
      </x:c>
      <x:c r="C445" s="12" t="str">
        <x:v>参考000</x:v>
      </x:c>
      <x:c r="D445" s="12" t="str">
        <x:v>自动000</x:v>
      </x:c>
      <x:c r="E445" s="12" t="n">
        <x:v>0</x:v>
      </x:c>
      <x:c r="F445" s="12" t="n">
        <x:v>0</x:v>
      </x:c>
      <x:c r="G445" s="12" t="n">
        <x:v>0</x:v>
      </x:c>
      <x:c r="H445" s="12" t="n">
        <x:f>IF(SUM(I445:K445)&gt;0,1,0)</x:f>
        <x:v>0</x:v>
      </x:c>
      <x:c r="I445" s="12" t="n">
        <x:f>IF('患者配对'!M451="positive",1,0)</x:f>
        <x:v>0</x:v>
      </x:c>
      <x:c r="J445" s="12" t="n">
        <x:f>IF('患者配对'!R451="positive",1,0)</x:f>
        <x:v>0</x:v>
      </x:c>
      <x:c r="K445" s="12" t="n">
        <x:f>IF('患者配对'!W451="positive",1,0)</x:f>
        <x:v>0</x:v>
      </x:c>
      <x:c r="L445" s="12" t="str">
        <x:v>由原件与原状态取得；仅主队列索引</x:v>
      </x:c>
      <x:c r="M445" s="12"/>
      <x:c r="N445" s="12"/>
      <x:c r="O445" s="12"/>
    </x:row>
    <x:row r="446" ht="39" customHeight="1">
      <x:c r="A446" s="12" t="str">
        <x:v>3600</x:v>
      </x:c>
      <x:c r="B446" s="12" t="str">
        <x:v>16869</x:v>
      </x:c>
      <x:c r="C446" s="12" t="str">
        <x:v>参考000</x:v>
      </x:c>
      <x:c r="D446" s="12" t="str">
        <x:v>自动000</x:v>
      </x:c>
      <x:c r="E446" s="12" t="n">
        <x:v>0</x:v>
      </x:c>
      <x:c r="F446" s="12" t="n">
        <x:v>0</x:v>
      </x:c>
      <x:c r="G446" s="12" t="n">
        <x:v>0</x:v>
      </x:c>
      <x:c r="H446" s="12" t="n">
        <x:f>IF(SUM(I446:K446)&gt;0,1,0)</x:f>
        <x:v>0</x:v>
      </x:c>
      <x:c r="I446" s="12" t="n">
        <x:f>IF('患者配对'!M453="positive",1,0)</x:f>
        <x:v>0</x:v>
      </x:c>
      <x:c r="J446" s="12" t="n">
        <x:f>IF('患者配对'!R453="positive",1,0)</x:f>
        <x:v>0</x:v>
      </x:c>
      <x:c r="K446" s="12" t="n">
        <x:f>IF('患者配对'!W453="positive",1,0)</x:f>
        <x:v>0</x:v>
      </x:c>
      <x:c r="L446" s="12" t="str">
        <x:v>由原件与原状态取得；仅主队列索引</x:v>
      </x:c>
      <x:c r="M446" s="12"/>
      <x:c r="N446" s="12"/>
      <x:c r="O446" s="12"/>
    </x:row>
    <x:row r="447" ht="39" customHeight="1">
      <x:c r="A447" s="12" t="str">
        <x:v>3603</x:v>
      </x:c>
      <x:c r="B447" s="12" t="str">
        <x:v>19762</x:v>
      </x:c>
      <x:c r="C447" s="12" t="str">
        <x:v>参考000</x:v>
      </x:c>
      <x:c r="D447" s="12" t="str">
        <x:v>自动000</x:v>
      </x:c>
      <x:c r="E447" s="12" t="n">
        <x:v>0</x:v>
      </x:c>
      <x:c r="F447" s="12" t="n">
        <x:v>1</x:v>
      </x:c>
      <x:c r="G447" s="12" t="n">
        <x:v>0</x:v>
      </x:c>
      <x:c r="H447" s="12" t="n">
        <x:f>IF(SUM(I447:K447)&gt;0,1,0)</x:f>
        <x:v>0</x:v>
      </x:c>
      <x:c r="I447" s="12" t="n">
        <x:f>IF('患者配对'!M454="positive",1,0)</x:f>
        <x:v>0</x:v>
      </x:c>
      <x:c r="J447" s="12" t="n">
        <x:f>IF('患者配对'!R454="positive",1,0)</x:f>
        <x:v>0</x:v>
      </x:c>
      <x:c r="K447" s="12" t="n">
        <x:f>IF('患者配对'!W454="positive",1,0)</x:f>
        <x:v>0</x:v>
      </x:c>
      <x:c r="L447" s="12" t="str">
        <x:v>由原件与原状态取得；仅主队列索引</x:v>
      </x:c>
      <x:c r="M447" s="12"/>
      <x:c r="N447" s="12"/>
      <x:c r="O447" s="12"/>
    </x:row>
    <x:row r="448" ht="39" customHeight="1">
      <x:c r="A448" s="12" t="str">
        <x:v>3606</x:v>
      </x:c>
      <x:c r="B448" s="12" t="str">
        <x:v>14506</x:v>
      </x:c>
      <x:c r="C448" s="12" t="str">
        <x:v>参考000</x:v>
      </x:c>
      <x:c r="D448" s="12" t="str">
        <x:v>自动000</x:v>
      </x:c>
      <x:c r="E448" s="12" t="n">
        <x:v>0</x:v>
      </x:c>
      <x:c r="F448" s="12" t="n">
        <x:v>0</x:v>
      </x:c>
      <x:c r="G448" s="12" t="n">
        <x:v>0</x:v>
      </x:c>
      <x:c r="H448" s="12" t="n">
        <x:f>IF(SUM(I448:K448)&gt;0,1,0)</x:f>
        <x:v>0</x:v>
      </x:c>
      <x:c r="I448" s="12" t="n">
        <x:f>IF('患者配对'!M455="positive",1,0)</x:f>
        <x:v>0</x:v>
      </x:c>
      <x:c r="J448" s="12" t="n">
        <x:f>IF('患者配对'!R455="positive",1,0)</x:f>
        <x:v>0</x:v>
      </x:c>
      <x:c r="K448" s="12" t="n">
        <x:f>IF('患者配对'!W455="positive",1,0)</x:f>
        <x:v>0</x:v>
      </x:c>
      <x:c r="L448" s="12" t="str">
        <x:v>由原件与原状态取得；仅主队列索引</x:v>
      </x:c>
      <x:c r="M448" s="12"/>
      <x:c r="N448" s="12"/>
      <x:c r="O448" s="12"/>
    </x:row>
    <x:row r="449" ht="39" customHeight="1">
      <x:c r="A449" s="12" t="str">
        <x:v>3610</x:v>
      </x:c>
      <x:c r="B449" s="12" t="str">
        <x:v>18375</x:v>
      </x:c>
      <x:c r="C449" s="12" t="str">
        <x:v>参考000</x:v>
      </x:c>
      <x:c r="D449" s="12" t="str">
        <x:v>自动000</x:v>
      </x:c>
      <x:c r="E449" s="12" t="n">
        <x:v>0</x:v>
      </x:c>
      <x:c r="F449" s="12" t="n">
        <x:v>0</x:v>
      </x:c>
      <x:c r="G449" s="12" t="n">
        <x:v>0</x:v>
      </x:c>
      <x:c r="H449" s="12" t="n">
        <x:f>IF(SUM(I449:K449)&gt;0,1,0)</x:f>
        <x:v>0</x:v>
      </x:c>
      <x:c r="I449" s="12" t="n">
        <x:f>IF('患者配对'!M456="positive",1,0)</x:f>
        <x:v>0</x:v>
      </x:c>
      <x:c r="J449" s="12" t="n">
        <x:f>IF('患者配对'!R456="positive",1,0)</x:f>
        <x:v>0</x:v>
      </x:c>
      <x:c r="K449" s="12" t="n">
        <x:f>IF('患者配对'!W456="positive",1,0)</x:f>
        <x:v>0</x:v>
      </x:c>
      <x:c r="L449" s="12" t="str">
        <x:v>由原件与原状态取得；仅主队列索引</x:v>
      </x:c>
      <x:c r="M449" s="12"/>
      <x:c r="N449" s="12"/>
      <x:c r="O449" s="12"/>
    </x:row>
    <x:row r="450" ht="39" customHeight="1">
      <x:c r="A450" s="12" t="str">
        <x:v>3612</x:v>
      </x:c>
      <x:c r="B450" s="12" t="str">
        <x:v>19444</x:v>
      </x:c>
      <x:c r="C450" s="12" t="str">
        <x:v>参考000</x:v>
      </x:c>
      <x:c r="D450" s="12" t="str">
        <x:v>自动000</x:v>
      </x:c>
      <x:c r="E450" s="12" t="n">
        <x:v>0</x:v>
      </x:c>
      <x:c r="F450" s="12" t="n">
        <x:v>1</x:v>
      </x:c>
      <x:c r="G450" s="12" t="n">
        <x:v>0</x:v>
      </x:c>
      <x:c r="H450" s="12" t="n">
        <x:f>IF(SUM(I450:K450)&gt;0,1,0)</x:f>
        <x:v>0</x:v>
      </x:c>
      <x:c r="I450" s="12" t="n">
        <x:f>IF('患者配对'!M457="positive",1,0)</x:f>
        <x:v>0</x:v>
      </x:c>
      <x:c r="J450" s="12" t="n">
        <x:f>IF('患者配对'!R457="positive",1,0)</x:f>
        <x:v>0</x:v>
      </x:c>
      <x:c r="K450" s="12" t="n">
        <x:f>IF('患者配对'!W457="positive",1,0)</x:f>
        <x:v>0</x:v>
      </x:c>
      <x:c r="L450" s="12" t="str">
        <x:v>由原件与原状态取得；仅主队列索引</x:v>
      </x:c>
      <x:c r="M450" s="12"/>
      <x:c r="N450" s="12"/>
      <x:c r="O450" s="12"/>
    </x:row>
    <x:row r="451" ht="39" customHeight="1">
      <x:c r="A451" s="12" t="str">
        <x:v>3613</x:v>
      </x:c>
      <x:c r="B451" s="12" t="str">
        <x:v>20724</x:v>
      </x:c>
      <x:c r="C451" s="12" t="str">
        <x:v>参考000</x:v>
      </x:c>
      <x:c r="D451" s="12" t="str">
        <x:v>自动000</x:v>
      </x:c>
      <x:c r="E451" s="12" t="n">
        <x:v>0</x:v>
      </x:c>
      <x:c r="F451" s="12" t="n">
        <x:v>1</x:v>
      </x:c>
      <x:c r="G451" s="12" t="n">
        <x:v>0</x:v>
      </x:c>
      <x:c r="H451" s="12" t="n">
        <x:f>IF(SUM(I451:K451)&gt;0,1,0)</x:f>
        <x:v>0</x:v>
      </x:c>
      <x:c r="I451" s="12" t="n">
        <x:f>IF('患者配对'!M458="positive",1,0)</x:f>
        <x:v>0</x:v>
      </x:c>
      <x:c r="J451" s="12" t="n">
        <x:f>IF('患者配对'!R458="positive",1,0)</x:f>
        <x:v>0</x:v>
      </x:c>
      <x:c r="K451" s="12" t="n">
        <x:f>IF('患者配对'!W458="positive",1,0)</x:f>
        <x:v>0</x:v>
      </x:c>
      <x:c r="L451" s="12" t="str">
        <x:v>由原件与原状态取得；仅主队列索引</x:v>
      </x:c>
      <x:c r="M451" s="12"/>
      <x:c r="N451" s="12"/>
      <x:c r="O451" s="12"/>
    </x:row>
    <x:row r="452" ht="39" customHeight="1">
      <x:c r="A452" s="12" t="str">
        <x:v>3618</x:v>
      </x:c>
      <x:c r="B452" s="12" t="str">
        <x:v>12205</x:v>
      </x:c>
      <x:c r="C452" s="12" t="str">
        <x:v>参考000</x:v>
      </x:c>
      <x:c r="D452" s="12" t="str">
        <x:v>自动000</x:v>
      </x:c>
      <x:c r="E452" s="12" t="n">
        <x:v>0</x:v>
      </x:c>
      <x:c r="F452" s="12" t="n">
        <x:v>0</x:v>
      </x:c>
      <x:c r="G452" s="12" t="n">
        <x:v>0</x:v>
      </x:c>
      <x:c r="H452" s="12" t="n">
        <x:f>IF(SUM(I452:K452)&gt;0,1,0)</x:f>
        <x:v>0</x:v>
      </x:c>
      <x:c r="I452" s="12" t="n">
        <x:f>IF('患者配对'!M460="positive",1,0)</x:f>
        <x:v>0</x:v>
      </x:c>
      <x:c r="J452" s="12" t="n">
        <x:f>IF('患者配对'!R460="positive",1,0)</x:f>
        <x:v>0</x:v>
      </x:c>
      <x:c r="K452" s="12" t="n">
        <x:f>IF('患者配对'!W460="positive",1,0)</x:f>
        <x:v>0</x:v>
      </x:c>
      <x:c r="L452" s="12" t="str">
        <x:v>由原件与原状态取得；仅主队列索引</x:v>
      </x:c>
      <x:c r="M452" s="12"/>
      <x:c r="N452" s="12"/>
      <x:c r="O452" s="12"/>
    </x:row>
    <x:row r="453" ht="39" customHeight="1">
      <x:c r="A453" s="12" t="str">
        <x:v>3625</x:v>
      </x:c>
      <x:c r="B453" s="12" t="str">
        <x:v>11588</x:v>
      </x:c>
      <x:c r="C453" s="12" t="str">
        <x:v>参考000</x:v>
      </x:c>
      <x:c r="D453" s="12" t="str">
        <x:v>自动000</x:v>
      </x:c>
      <x:c r="E453" s="12" t="n">
        <x:v>0</x:v>
      </x:c>
      <x:c r="F453" s="12" t="n">
        <x:v>0</x:v>
      </x:c>
      <x:c r="G453" s="12" t="n">
        <x:v>0</x:v>
      </x:c>
      <x:c r="H453" s="12" t="n">
        <x:f>IF(SUM(I453:K453)&gt;0,1,0)</x:f>
        <x:v>0</x:v>
      </x:c>
      <x:c r="I453" s="12" t="n">
        <x:f>IF('患者配对'!M461="positive",1,0)</x:f>
        <x:v>0</x:v>
      </x:c>
      <x:c r="J453" s="12" t="n">
        <x:f>IF('患者配对'!R461="positive",1,0)</x:f>
        <x:v>0</x:v>
      </x:c>
      <x:c r="K453" s="12" t="n">
        <x:f>IF('患者配对'!W461="positive",1,0)</x:f>
        <x:v>0</x:v>
      </x:c>
      <x:c r="L453" s="12" t="str">
        <x:v>由原件与原状态取得；仅主队列索引</x:v>
      </x:c>
      <x:c r="M453" s="12"/>
      <x:c r="N453" s="12"/>
      <x:c r="O453" s="12"/>
    </x:row>
    <x:row r="454" ht="39" customHeight="1">
      <x:c r="A454" s="12" t="str">
        <x:v>3632</x:v>
      </x:c>
      <x:c r="B454" s="12" t="str">
        <x:v>15716</x:v>
      </x:c>
      <x:c r="C454" s="12" t="str">
        <x:v>参考000</x:v>
      </x:c>
      <x:c r="D454" s="12" t="str">
        <x:v>自动000</x:v>
      </x:c>
      <x:c r="E454" s="12" t="n">
        <x:v>0</x:v>
      </x:c>
      <x:c r="F454" s="12" t="n">
        <x:v>0</x:v>
      </x:c>
      <x:c r="G454" s="12" t="n">
        <x:v>0</x:v>
      </x:c>
      <x:c r="H454" s="12" t="n">
        <x:f>IF(SUM(I454:K454)&gt;0,1,0)</x:f>
        <x:v>0</x:v>
      </x:c>
      <x:c r="I454" s="12" t="n">
        <x:f>IF('患者配对'!M463="positive",1,0)</x:f>
        <x:v>0</x:v>
      </x:c>
      <x:c r="J454" s="12" t="n">
        <x:f>IF('患者配对'!R463="positive",1,0)</x:f>
        <x:v>0</x:v>
      </x:c>
      <x:c r="K454" s="12" t="n">
        <x:f>IF('患者配对'!W463="positive",1,0)</x:f>
        <x:v>0</x:v>
      </x:c>
      <x:c r="L454" s="12" t="str">
        <x:v>由原件与原状态取得；仅主队列索引</x:v>
      </x:c>
      <x:c r="M454" s="12"/>
      <x:c r="N454" s="12"/>
      <x:c r="O454" s="12"/>
    </x:row>
    <x:row r="455" ht="39" customHeight="1">
      <x:c r="A455" s="12" t="str">
        <x:v>3635</x:v>
      </x:c>
      <x:c r="B455" s="12" t="str">
        <x:v>18552</x:v>
      </x:c>
      <x:c r="C455" s="12" t="str">
        <x:v>参考000</x:v>
      </x:c>
      <x:c r="D455" s="12" t="str">
        <x:v>自动000</x:v>
      </x:c>
      <x:c r="E455" s="12" t="n">
        <x:v>0</x:v>
      </x:c>
      <x:c r="F455" s="12" t="n">
        <x:v>1</x:v>
      </x:c>
      <x:c r="G455" s="12" t="n">
        <x:v>0</x:v>
      </x:c>
      <x:c r="H455" s="12" t="n">
        <x:f>IF(SUM(I455:K455)&gt;0,1,0)</x:f>
        <x:v>0</x:v>
      </x:c>
      <x:c r="I455" s="12" t="n">
        <x:f>IF('患者配对'!M465="positive",1,0)</x:f>
        <x:v>0</x:v>
      </x:c>
      <x:c r="J455" s="12" t="n">
        <x:f>IF('患者配对'!R465="positive",1,0)</x:f>
        <x:v>0</x:v>
      </x:c>
      <x:c r="K455" s="12" t="n">
        <x:f>IF('患者配对'!W465="positive",1,0)</x:f>
        <x:v>0</x:v>
      </x:c>
      <x:c r="L455" s="12" t="str">
        <x:v>由原件与原状态取得；仅主队列索引</x:v>
      </x:c>
      <x:c r="M455" s="12"/>
      <x:c r="N455" s="12"/>
      <x:c r="O455" s="12"/>
    </x:row>
    <x:row r="456" ht="39" customHeight="1">
      <x:c r="A456" s="12" t="str">
        <x:v>3641</x:v>
      </x:c>
      <x:c r="B456" s="12" t="str">
        <x:v>18809</x:v>
      </x:c>
      <x:c r="C456" s="12" t="str">
        <x:v>参考000</x:v>
      </x:c>
      <x:c r="D456" s="12" t="str">
        <x:v>自动000</x:v>
      </x:c>
      <x:c r="E456" s="12" t="n">
        <x:v>0</x:v>
      </x:c>
      <x:c r="F456" s="12" t="n">
        <x:v>1</x:v>
      </x:c>
      <x:c r="G456" s="12" t="n">
        <x:v>0</x:v>
      </x:c>
      <x:c r="H456" s="12" t="n">
        <x:f>IF(SUM(I456:K456)&gt;0,1,0)</x:f>
        <x:v>0</x:v>
      </x:c>
      <x:c r="I456" s="12" t="n">
        <x:f>IF('患者配对'!M466="positive",1,0)</x:f>
        <x:v>0</x:v>
      </x:c>
      <x:c r="J456" s="12" t="n">
        <x:f>IF('患者配对'!R466="positive",1,0)</x:f>
        <x:v>0</x:v>
      </x:c>
      <x:c r="K456" s="12" t="n">
        <x:f>IF('患者配对'!W466="positive",1,0)</x:f>
        <x:v>0</x:v>
      </x:c>
      <x:c r="L456" s="12" t="str">
        <x:v>由原件与原状态取得；仅主队列索引</x:v>
      </x:c>
      <x:c r="M456" s="12"/>
      <x:c r="N456" s="12"/>
      <x:c r="O456" s="12"/>
    </x:row>
    <x:row r="457" ht="39" customHeight="1">
      <x:c r="A457" s="12" t="str">
        <x:v>3652</x:v>
      </x:c>
      <x:c r="B457" s="12" t="str">
        <x:v>8819</x:v>
      </x:c>
      <x:c r="C457" s="12" t="str">
        <x:v>参考000</x:v>
      </x:c>
      <x:c r="D457" s="12" t="str">
        <x:v>自动000</x:v>
      </x:c>
      <x:c r="E457" s="12" t="n">
        <x:v>0</x:v>
      </x:c>
      <x:c r="F457" s="12" t="n">
        <x:v>1</x:v>
      </x:c>
      <x:c r="G457" s="12" t="n">
        <x:v>0</x:v>
      </x:c>
      <x:c r="H457" s="12" t="n">
        <x:f>IF(SUM(I457:K457)&gt;0,1,0)</x:f>
        <x:v>0</x:v>
      </x:c>
      <x:c r="I457" s="12" t="n">
        <x:f>IF('患者配对'!M467="positive",1,0)</x:f>
        <x:v>0</x:v>
      </x:c>
      <x:c r="J457" s="12" t="n">
        <x:f>IF('患者配对'!R467="positive",1,0)</x:f>
        <x:v>0</x:v>
      </x:c>
      <x:c r="K457" s="12" t="n">
        <x:f>IF('患者配对'!W467="positive",1,0)</x:f>
        <x:v>0</x:v>
      </x:c>
      <x:c r="L457" s="12" t="str">
        <x:v>由原件与原状态取得；仅主队列索引</x:v>
      </x:c>
      <x:c r="M457" s="12"/>
      <x:c r="N457" s="12"/>
      <x:c r="O457" s="12"/>
    </x:row>
    <x:row r="458" ht="39" customHeight="1">
      <x:c r="A458" s="12" t="str">
        <x:v>3657</x:v>
      </x:c>
      <x:c r="B458" s="12" t="str">
        <x:v>8563</x:v>
      </x:c>
      <x:c r="C458" s="12" t="str">
        <x:v>参考000</x:v>
      </x:c>
      <x:c r="D458" s="12" t="str">
        <x:v>自动000</x:v>
      </x:c>
      <x:c r="E458" s="12" t="n">
        <x:v>0</x:v>
      </x:c>
      <x:c r="F458" s="12" t="n">
        <x:v>0</x:v>
      </x:c>
      <x:c r="G458" s="12" t="n">
        <x:v>0</x:v>
      </x:c>
      <x:c r="H458" s="12" t="n">
        <x:f>IF(SUM(I458:K458)&gt;0,1,0)</x:f>
        <x:v>0</x:v>
      </x:c>
      <x:c r="I458" s="12" t="n">
        <x:f>IF('患者配对'!M468="positive",1,0)</x:f>
        <x:v>0</x:v>
      </x:c>
      <x:c r="J458" s="12" t="n">
        <x:f>IF('患者配对'!R468="positive",1,0)</x:f>
        <x:v>0</x:v>
      </x:c>
      <x:c r="K458" s="12" t="n">
        <x:f>IF('患者配对'!W468="positive",1,0)</x:f>
        <x:v>0</x:v>
      </x:c>
      <x:c r="L458" s="12" t="str">
        <x:v>由原件与原状态取得；仅主队列索引</x:v>
      </x:c>
      <x:c r="M458" s="12"/>
      <x:c r="N458" s="12"/>
      <x:c r="O458" s="12"/>
    </x:row>
    <x:row r="459" ht="39" customHeight="1">
      <x:c r="A459" s="12" t="str">
        <x:v>3660</x:v>
      </x:c>
      <x:c r="B459" s="12" t="str">
        <x:v>14987</x:v>
      </x:c>
      <x:c r="C459" s="12" t="str">
        <x:v>参考000</x:v>
      </x:c>
      <x:c r="D459" s="12" t="str">
        <x:v>自动000</x:v>
      </x:c>
      <x:c r="E459" s="12" t="n">
        <x:v>0</x:v>
      </x:c>
      <x:c r="F459" s="12" t="n">
        <x:v>1</x:v>
      </x:c>
      <x:c r="G459" s="12" t="n">
        <x:v>0</x:v>
      </x:c>
      <x:c r="H459" s="12" t="n">
        <x:f>IF(SUM(I459:K459)&gt;0,1,0)</x:f>
        <x:v>0</x:v>
      </x:c>
      <x:c r="I459" s="12" t="n">
        <x:f>IF('患者配对'!M469="positive",1,0)</x:f>
        <x:v>0</x:v>
      </x:c>
      <x:c r="J459" s="12" t="n">
        <x:f>IF('患者配对'!R469="positive",1,0)</x:f>
        <x:v>0</x:v>
      </x:c>
      <x:c r="K459" s="12" t="n">
        <x:f>IF('患者配对'!W469="positive",1,0)</x:f>
        <x:v>0</x:v>
      </x:c>
      <x:c r="L459" s="12" t="str">
        <x:v>由原件与原状态取得；仅主队列索引</x:v>
      </x:c>
      <x:c r="M459" s="12"/>
      <x:c r="N459" s="12"/>
      <x:c r="O459" s="12"/>
    </x:row>
    <x:row r="460" ht="39" customHeight="1">
      <x:c r="A460" s="12" t="str">
        <x:v>3665</x:v>
      </x:c>
      <x:c r="B460" s="12" t="str">
        <x:v>16846</x:v>
      </x:c>
      <x:c r="C460" s="12" t="str">
        <x:v>参考000</x:v>
      </x:c>
      <x:c r="D460" s="12" t="str">
        <x:v>自动000</x:v>
      </x:c>
      <x:c r="E460" s="12" t="n">
        <x:v>0</x:v>
      </x:c>
      <x:c r="F460" s="12" t="n">
        <x:v>0</x:v>
      </x:c>
      <x:c r="G460" s="12" t="n">
        <x:v>0</x:v>
      </x:c>
      <x:c r="H460" s="12" t="n">
        <x:f>IF(SUM(I460:K460)&gt;0,1,0)</x:f>
        <x:v>0</x:v>
      </x:c>
      <x:c r="I460" s="12" t="n">
        <x:f>IF('患者配对'!M470="positive",1,0)</x:f>
        <x:v>0</x:v>
      </x:c>
      <x:c r="J460" s="12" t="n">
        <x:f>IF('患者配对'!R470="positive",1,0)</x:f>
        <x:v>0</x:v>
      </x:c>
      <x:c r="K460" s="12" t="n">
        <x:f>IF('患者配对'!W470="positive",1,0)</x:f>
        <x:v>0</x:v>
      </x:c>
      <x:c r="L460" s="12" t="str">
        <x:v>由原件与原状态取得；仅主队列索引</x:v>
      </x:c>
      <x:c r="M460" s="12"/>
      <x:c r="N460" s="12"/>
      <x:c r="O460" s="12"/>
    </x:row>
    <x:row r="461" ht="39" customHeight="1">
      <x:c r="A461" s="12" t="str">
        <x:v>3669</x:v>
      </x:c>
      <x:c r="B461" s="12" t="str">
        <x:v>19050</x:v>
      </x:c>
      <x:c r="C461" s="12" t="str">
        <x:v>参考000</x:v>
      </x:c>
      <x:c r="D461" s="12" t="str">
        <x:v>自动000</x:v>
      </x:c>
      <x:c r="E461" s="12" t="n">
        <x:v>0</x:v>
      </x:c>
      <x:c r="F461" s="12" t="n">
        <x:v>0</x:v>
      </x:c>
      <x:c r="G461" s="12" t="n">
        <x:v>0</x:v>
      </x:c>
      <x:c r="H461" s="12" t="n">
        <x:f>IF(SUM(I461:K461)&gt;0,1,0)</x:f>
        <x:v>0</x:v>
      </x:c>
      <x:c r="I461" s="12" t="n">
        <x:f>IF('患者配对'!M471="positive",1,0)</x:f>
        <x:v>0</x:v>
      </x:c>
      <x:c r="J461" s="12" t="n">
        <x:f>IF('患者配对'!R471="positive",1,0)</x:f>
        <x:v>0</x:v>
      </x:c>
      <x:c r="K461" s="12" t="n">
        <x:f>IF('患者配对'!W471="positive",1,0)</x:f>
        <x:v>0</x:v>
      </x:c>
      <x:c r="L461" s="12" t="str">
        <x:v>由原件与原状态取得；仅主队列索引</x:v>
      </x:c>
      <x:c r="M461" s="12"/>
      <x:c r="N461" s="12"/>
      <x:c r="O461" s="12"/>
    </x:row>
    <x:row r="462" ht="39" customHeight="1">
      <x:c r="A462" s="12" t="str">
        <x:v>3688</x:v>
      </x:c>
      <x:c r="B462" s="12" t="str">
        <x:v>19890</x:v>
      </x:c>
      <x:c r="C462" s="12" t="str">
        <x:v>参考000</x:v>
      </x:c>
      <x:c r="D462" s="12" t="str">
        <x:v>自动000</x:v>
      </x:c>
      <x:c r="E462" s="12" t="n">
        <x:v>0</x:v>
      </x:c>
      <x:c r="F462" s="12" t="n">
        <x:v>1</x:v>
      </x:c>
      <x:c r="G462" s="12" t="n">
        <x:v>0</x:v>
      </x:c>
      <x:c r="H462" s="12" t="n">
        <x:f>IF(SUM(I462:K462)&gt;0,1,0)</x:f>
        <x:v>0</x:v>
      </x:c>
      <x:c r="I462" s="12" t="n">
        <x:f>IF('患者配对'!M472="positive",1,0)</x:f>
        <x:v>0</x:v>
      </x:c>
      <x:c r="J462" s="12" t="n">
        <x:f>IF('患者配对'!R472="positive",1,0)</x:f>
        <x:v>0</x:v>
      </x:c>
      <x:c r="K462" s="12" t="n">
        <x:f>IF('患者配对'!W472="positive",1,0)</x:f>
        <x:v>0</x:v>
      </x:c>
      <x:c r="L462" s="12" t="str">
        <x:v>由原件与原状态取得；仅主队列索引</x:v>
      </x:c>
      <x:c r="M462" s="12"/>
      <x:c r="N462" s="12"/>
      <x:c r="O462" s="12"/>
    </x:row>
    <x:row r="463" ht="39" customHeight="1">
      <x:c r="A463" s="12" t="str">
        <x:v>3689</x:v>
      </x:c>
      <x:c r="B463" s="12" t="str">
        <x:v>18460</x:v>
      </x:c>
      <x:c r="C463" s="12" t="str">
        <x:v>参考000</x:v>
      </x:c>
      <x:c r="D463" s="12" t="str">
        <x:v>自动000</x:v>
      </x:c>
      <x:c r="E463" s="12" t="n">
        <x:v>0</x:v>
      </x:c>
      <x:c r="F463" s="12" t="n">
        <x:v>0</x:v>
      </x:c>
      <x:c r="G463" s="12" t="n">
        <x:v>0</x:v>
      </x:c>
      <x:c r="H463" s="12" t="n">
        <x:f>IF(SUM(I463:K463)&gt;0,1,0)</x:f>
        <x:v>0</x:v>
      </x:c>
      <x:c r="I463" s="12" t="n">
        <x:f>IF('患者配对'!M473="positive",1,0)</x:f>
        <x:v>0</x:v>
      </x:c>
      <x:c r="J463" s="12" t="n">
        <x:f>IF('患者配对'!R473="positive",1,0)</x:f>
        <x:v>0</x:v>
      </x:c>
      <x:c r="K463" s="12" t="n">
        <x:f>IF('患者配对'!W473="positive",1,0)</x:f>
        <x:v>0</x:v>
      </x:c>
      <x:c r="L463" s="12" t="str">
        <x:v>由原件与原状态取得；仅主队列索引</x:v>
      </x:c>
      <x:c r="M463" s="12"/>
      <x:c r="N463" s="12"/>
      <x:c r="O463" s="12"/>
    </x:row>
    <x:row r="464" ht="39" customHeight="1">
      <x:c r="A464" s="12" t="str">
        <x:v>3692</x:v>
      </x:c>
      <x:c r="B464" s="12" t="str">
        <x:v>18861</x:v>
      </x:c>
      <x:c r="C464" s="12" t="str">
        <x:v>参考100</x:v>
      </x:c>
      <x:c r="D464" s="12" t="str">
        <x:v>自动000</x:v>
      </x:c>
      <x:c r="E464" s="12" t="n">
        <x:v>0</x:v>
      </x:c>
      <x:c r="F464" s="12" t="n">
        <x:v>1</x:v>
      </x:c>
      <x:c r="G464" s="12" t="n">
        <x:v>1</x:v>
      </x:c>
      <x:c r="H464" s="12" t="n">
        <x:f>IF(SUM(I464:K464)&gt;0,1,0)</x:f>
        <x:v>1</x:v>
      </x:c>
      <x:c r="I464" s="12" t="n">
        <x:f>IF('患者配对'!M474="positive",1,0)</x:f>
        <x:v>1</x:v>
      </x:c>
      <x:c r="J464" s="12" t="n">
        <x:f>IF('患者配对'!R474="positive",1,0)</x:f>
        <x:v>0</x:v>
      </x:c>
      <x:c r="K464" s="12" t="n">
        <x:f>IF('患者配对'!W474="positive",1,0)</x:f>
        <x:v>0</x:v>
      </x:c>
      <x:c r="L464" s="12" t="str">
        <x:v>由原件与原状态取得；仅主队列索引</x:v>
      </x:c>
      <x:c r="M464" s="12"/>
      <x:c r="N464" s="12"/>
      <x:c r="O464" s="12"/>
    </x:row>
    <x:row r="465" ht="39" customHeight="1">
      <x:c r="A465" s="12" t="str">
        <x:v>3696</x:v>
      </x:c>
      <x:c r="B465" s="12" t="str">
        <x:v>15437</x:v>
      </x:c>
      <x:c r="C465" s="12" t="str">
        <x:v>参考000</x:v>
      </x:c>
      <x:c r="D465" s="12" t="str">
        <x:v>自动000</x:v>
      </x:c>
      <x:c r="E465" s="12" t="n">
        <x:v>0</x:v>
      </x:c>
      <x:c r="F465" s="12" t="n">
        <x:v>0</x:v>
      </x:c>
      <x:c r="G465" s="12" t="n">
        <x:v>0</x:v>
      </x:c>
      <x:c r="H465" s="12" t="n">
        <x:f>IF(SUM(I465:K465)&gt;0,1,0)</x:f>
        <x:v>0</x:v>
      </x:c>
      <x:c r="I465" s="12" t="n">
        <x:f>IF('患者配对'!M475="positive",1,0)</x:f>
        <x:v>0</x:v>
      </x:c>
      <x:c r="J465" s="12" t="n">
        <x:f>IF('患者配对'!R475="positive",1,0)</x:f>
        <x:v>0</x:v>
      </x:c>
      <x:c r="K465" s="12" t="n">
        <x:f>IF('患者配对'!W475="positive",1,0)</x:f>
        <x:v>0</x:v>
      </x:c>
      <x:c r="L465" s="12" t="str">
        <x:v>由原件与原状态取得；仅主队列索引</x:v>
      </x:c>
      <x:c r="M465" s="12"/>
      <x:c r="N465" s="12"/>
      <x:c r="O465" s="12"/>
    </x:row>
    <x:row r="466" ht="39" customHeight="1">
      <x:c r="A466" s="12" t="str">
        <x:v>3699</x:v>
      </x:c>
      <x:c r="B466" s="12" t="str">
        <x:v>17339</x:v>
      </x:c>
      <x:c r="C466" s="12" t="str">
        <x:v>参考000</x:v>
      </x:c>
      <x:c r="D466" s="12" t="str">
        <x:v>自动000</x:v>
      </x:c>
      <x:c r="E466" s="12" t="n">
        <x:v>0</x:v>
      </x:c>
      <x:c r="F466" s="12" t="n">
        <x:v>1</x:v>
      </x:c>
      <x:c r="G466" s="12" t="n">
        <x:v>0</x:v>
      </x:c>
      <x:c r="H466" s="12" t="n">
        <x:f>IF(SUM(I466:K466)&gt;0,1,0)</x:f>
        <x:v>0</x:v>
      </x:c>
      <x:c r="I466" s="12" t="n">
        <x:f>IF('患者配对'!M476="positive",1,0)</x:f>
        <x:v>0</x:v>
      </x:c>
      <x:c r="J466" s="12" t="n">
        <x:f>IF('患者配对'!R476="positive",1,0)</x:f>
        <x:v>0</x:v>
      </x:c>
      <x:c r="K466" s="12" t="n">
        <x:f>IF('患者配对'!W476="positive",1,0)</x:f>
        <x:v>0</x:v>
      </x:c>
      <x:c r="L466" s="12" t="str">
        <x:v>由原件与原状态取得；仅主队列索引</x:v>
      </x:c>
      <x:c r="M466" s="12"/>
      <x:c r="N466" s="12"/>
      <x:c r="O466" s="12"/>
    </x:row>
    <x:row r="467" ht="39" customHeight="1">
      <x:c r="A467" s="12" t="str">
        <x:v>3702</x:v>
      </x:c>
      <x:c r="B467" s="12" t="str">
        <x:v>16830</x:v>
      </x:c>
      <x:c r="C467" s="12" t="str">
        <x:v>参考000</x:v>
      </x:c>
      <x:c r="D467" s="12" t="str">
        <x:v>自动000</x:v>
      </x:c>
      <x:c r="E467" s="12" t="n">
        <x:v>0</x:v>
      </x:c>
      <x:c r="F467" s="12" t="n">
        <x:v>0</x:v>
      </x:c>
      <x:c r="G467" s="12" t="n">
        <x:v>0</x:v>
      </x:c>
      <x:c r="H467" s="12" t="n">
        <x:f>IF(SUM(I467:K467)&gt;0,1,0)</x:f>
        <x:v>0</x:v>
      </x:c>
      <x:c r="I467" s="12" t="n">
        <x:f>IF('患者配对'!M477="positive",1,0)</x:f>
        <x:v>0</x:v>
      </x:c>
      <x:c r="J467" s="12" t="n">
        <x:f>IF('患者配对'!R477="positive",1,0)</x:f>
        <x:v>0</x:v>
      </x:c>
      <x:c r="K467" s="12" t="n">
        <x:f>IF('患者配对'!W477="positive",1,0)</x:f>
        <x:v>0</x:v>
      </x:c>
      <x:c r="L467" s="12" t="str">
        <x:v>由原件与原状态取得；仅主队列索引</x:v>
      </x:c>
      <x:c r="M467" s="12"/>
      <x:c r="N467" s="12"/>
      <x:c r="O467" s="12"/>
    </x:row>
    <x:row r="468" ht="39" customHeight="1">
      <x:c r="A468" s="12" t="str">
        <x:v>3708</x:v>
      </x:c>
      <x:c r="B468" s="12" t="str">
        <x:v>7939</x:v>
      </x:c>
      <x:c r="C468" s="12" t="str">
        <x:v>参考000</x:v>
      </x:c>
      <x:c r="D468" s="12" t="str">
        <x:v>自动000</x:v>
      </x:c>
      <x:c r="E468" s="12" t="n">
        <x:v>0</x:v>
      </x:c>
      <x:c r="F468" s="12" t="n">
        <x:v>1</x:v>
      </x:c>
      <x:c r="G468" s="12" t="n">
        <x:v>0</x:v>
      </x:c>
      <x:c r="H468" s="12" t="n">
        <x:f>IF(SUM(I468:K468)&gt;0,1,0)</x:f>
        <x:v>0</x:v>
      </x:c>
      <x:c r="I468" s="12" t="n">
        <x:f>IF('患者配对'!M479="positive",1,0)</x:f>
        <x:v>0</x:v>
      </x:c>
      <x:c r="J468" s="12" t="n">
        <x:f>IF('患者配对'!R479="positive",1,0)</x:f>
        <x:v>0</x:v>
      </x:c>
      <x:c r="K468" s="12" t="n">
        <x:f>IF('患者配对'!W479="positive",1,0)</x:f>
        <x:v>0</x:v>
      </x:c>
      <x:c r="L468" s="12" t="str">
        <x:v>由原件与原状态取得；仅主队列索引</x:v>
      </x:c>
      <x:c r="M468" s="12"/>
      <x:c r="N468" s="12"/>
      <x:c r="O468" s="12"/>
    </x:row>
    <x:row r="469" ht="39" customHeight="1">
      <x:c r="A469" s="12" t="str">
        <x:v>3712</x:v>
      </x:c>
      <x:c r="B469" s="12" t="str">
        <x:v>12929</x:v>
      </x:c>
      <x:c r="C469" s="12" t="str">
        <x:v>参考000</x:v>
      </x:c>
      <x:c r="D469" s="12" t="str">
        <x:v>自动000</x:v>
      </x:c>
      <x:c r="E469" s="12" t="n">
        <x:v>0</x:v>
      </x:c>
      <x:c r="F469" s="12" t="n">
        <x:v>0</x:v>
      </x:c>
      <x:c r="G469" s="12" t="n">
        <x:v>0</x:v>
      </x:c>
      <x:c r="H469" s="12" t="n">
        <x:f>IF(SUM(I469:K469)&gt;0,1,0)</x:f>
        <x:v>0</x:v>
      </x:c>
      <x:c r="I469" s="12" t="n">
        <x:f>IF('患者配对'!M480="positive",1,0)</x:f>
        <x:v>0</x:v>
      </x:c>
      <x:c r="J469" s="12" t="n">
        <x:f>IF('患者配对'!R480="positive",1,0)</x:f>
        <x:v>0</x:v>
      </x:c>
      <x:c r="K469" s="12" t="n">
        <x:f>IF('患者配对'!W480="positive",1,0)</x:f>
        <x:v>0</x:v>
      </x:c>
      <x:c r="L469" s="12" t="str">
        <x:v>由原件与原状态取得；仅主队列索引</x:v>
      </x:c>
      <x:c r="M469" s="12"/>
      <x:c r="N469" s="12"/>
      <x:c r="O469" s="12"/>
    </x:row>
    <x:row r="470" ht="39" customHeight="1">
      <x:c r="A470" s="12" t="str">
        <x:v>3723</x:v>
      </x:c>
      <x:c r="B470" s="12" t="str">
        <x:v>8287</x:v>
      </x:c>
      <x:c r="C470" s="12" t="str">
        <x:v>参考000</x:v>
      </x:c>
      <x:c r="D470" s="12" t="str">
        <x:v>自动000</x:v>
      </x:c>
      <x:c r="E470" s="12" t="n">
        <x:v>0</x:v>
      </x:c>
      <x:c r="F470" s="12" t="n">
        <x:v>0</x:v>
      </x:c>
      <x:c r="G470" s="12" t="n">
        <x:v>0</x:v>
      </x:c>
      <x:c r="H470" s="12" t="n">
        <x:f>IF(SUM(I470:K470)&gt;0,1,0)</x:f>
        <x:v>0</x:v>
      </x:c>
      <x:c r="I470" s="12" t="n">
        <x:f>IF('患者配对'!M481="positive",1,0)</x:f>
        <x:v>0</x:v>
      </x:c>
      <x:c r="J470" s="12" t="n">
        <x:f>IF('患者配对'!R481="positive",1,0)</x:f>
        <x:v>0</x:v>
      </x:c>
      <x:c r="K470" s="12" t="n">
        <x:f>IF('患者配对'!W481="positive",1,0)</x:f>
        <x:v>0</x:v>
      </x:c>
      <x:c r="L470" s="12" t="str">
        <x:v>由原件与原状态取得；仅主队列索引</x:v>
      </x:c>
      <x:c r="M470" s="12"/>
      <x:c r="N470" s="12"/>
      <x:c r="O470" s="12"/>
    </x:row>
    <x:row r="471" ht="39" customHeight="1">
      <x:c r="A471" s="12" t="str">
        <x:v>3740</x:v>
      </x:c>
      <x:c r="B471" s="12" t="str">
        <x:v>11717</x:v>
      </x:c>
      <x:c r="C471" s="12" t="str">
        <x:v>参考000</x:v>
      </x:c>
      <x:c r="D471" s="12" t="str">
        <x:v>自动000</x:v>
      </x:c>
      <x:c r="E471" s="12" t="n">
        <x:v>0</x:v>
      </x:c>
      <x:c r="F471" s="12" t="n">
        <x:v>0</x:v>
      </x:c>
      <x:c r="G471" s="12" t="n">
        <x:v>0</x:v>
      </x:c>
      <x:c r="H471" s="12" t="n">
        <x:f>IF(SUM(I471:K471)&gt;0,1,0)</x:f>
        <x:v>0</x:v>
      </x:c>
      <x:c r="I471" s="12" t="n">
        <x:f>IF('患者配对'!M482="positive",1,0)</x:f>
        <x:v>0</x:v>
      </x:c>
      <x:c r="J471" s="12" t="n">
        <x:f>IF('患者配对'!R482="positive",1,0)</x:f>
        <x:v>0</x:v>
      </x:c>
      <x:c r="K471" s="12" t="n">
        <x:f>IF('患者配对'!W482="positive",1,0)</x:f>
        <x:v>0</x:v>
      </x:c>
      <x:c r="L471" s="12" t="str">
        <x:v>由原件与原状态取得；仅主队列索引</x:v>
      </x:c>
      <x:c r="M471" s="12"/>
      <x:c r="N471" s="12"/>
      <x:c r="O471" s="12"/>
    </x:row>
    <x:row r="472" ht="39" customHeight="1">
      <x:c r="A472" s="12" t="str">
        <x:v>3755</x:v>
      </x:c>
      <x:c r="B472" s="12" t="str">
        <x:v>7055</x:v>
      </x:c>
      <x:c r="C472" s="12" t="str">
        <x:v>参考000</x:v>
      </x:c>
      <x:c r="D472" s="12" t="str">
        <x:v>自动000</x:v>
      </x:c>
      <x:c r="E472" s="12" t="n">
        <x:v>0</x:v>
      </x:c>
      <x:c r="F472" s="12" t="n">
        <x:v>1</x:v>
      </x:c>
      <x:c r="G472" s="12" t="n">
        <x:v>0</x:v>
      </x:c>
      <x:c r="H472" s="12" t="n">
        <x:f>IF(SUM(I472:K472)&gt;0,1,0)</x:f>
        <x:v>0</x:v>
      </x:c>
      <x:c r="I472" s="12" t="n">
        <x:f>IF('患者配对'!M483="positive",1,0)</x:f>
        <x:v>0</x:v>
      </x:c>
      <x:c r="J472" s="12" t="n">
        <x:f>IF('患者配对'!R483="positive",1,0)</x:f>
        <x:v>0</x:v>
      </x:c>
      <x:c r="K472" s="12" t="n">
        <x:f>IF('患者配对'!W483="positive",1,0)</x:f>
        <x:v>0</x:v>
      </x:c>
      <x:c r="L472" s="12" t="str">
        <x:v>由原件与原状态取得；仅主队列索引</x:v>
      </x:c>
      <x:c r="M472" s="12"/>
      <x:c r="N472" s="12"/>
      <x:c r="O472" s="12"/>
    </x:row>
    <x:row r="473" ht="39" customHeight="1">
      <x:c r="A473" s="12" t="str">
        <x:v>3756</x:v>
      </x:c>
      <x:c r="B473" s="12" t="str">
        <x:v>7478</x:v>
      </x:c>
      <x:c r="C473" s="12" t="str">
        <x:v>参考000</x:v>
      </x:c>
      <x:c r="D473" s="12" t="str">
        <x:v>自动000</x:v>
      </x:c>
      <x:c r="E473" s="12" t="n">
        <x:v>0</x:v>
      </x:c>
      <x:c r="F473" s="12" t="n">
        <x:v>0</x:v>
      </x:c>
      <x:c r="G473" s="12" t="n">
        <x:v>0</x:v>
      </x:c>
      <x:c r="H473" s="12" t="n">
        <x:f>IF(SUM(I473:K473)&gt;0,1,0)</x:f>
        <x:v>0</x:v>
      </x:c>
      <x:c r="I473" s="12" t="n">
        <x:f>IF('患者配对'!M484="positive",1,0)</x:f>
        <x:v>0</x:v>
      </x:c>
      <x:c r="J473" s="12" t="n">
        <x:f>IF('患者配对'!R484="positive",1,0)</x:f>
        <x:v>0</x:v>
      </x:c>
      <x:c r="K473" s="12" t="n">
        <x:f>IF('患者配对'!W484="positive",1,0)</x:f>
        <x:v>0</x:v>
      </x:c>
      <x:c r="L473" s="12" t="str">
        <x:v>由原件与原状态取得；仅主队列索引</x:v>
      </x:c>
      <x:c r="M473" s="12"/>
      <x:c r="N473" s="12"/>
      <x:c r="O473" s="12"/>
    </x:row>
    <x:row r="474" ht="39" customHeight="1">
      <x:c r="A474" s="12" t="str">
        <x:v>3785</x:v>
      </x:c>
      <x:c r="B474" s="12" t="str">
        <x:v>12443</x:v>
      </x:c>
      <x:c r="C474" s="12" t="str">
        <x:v>参考000</x:v>
      </x:c>
      <x:c r="D474" s="12" t="str">
        <x:v>自动000</x:v>
      </x:c>
      <x:c r="E474" s="12" t="n">
        <x:v>0</x:v>
      </x:c>
      <x:c r="F474" s="12" t="n">
        <x:v>0</x:v>
      </x:c>
      <x:c r="G474" s="12" t="n">
        <x:v>0</x:v>
      </x:c>
      <x:c r="H474" s="12" t="n">
        <x:f>IF(SUM(I474:K474)&gt;0,1,0)</x:f>
        <x:v>0</x:v>
      </x:c>
      <x:c r="I474" s="12" t="n">
        <x:f>IF('患者配对'!M485="positive",1,0)</x:f>
        <x:v>0</x:v>
      </x:c>
      <x:c r="J474" s="12" t="n">
        <x:f>IF('患者配对'!R485="positive",1,0)</x:f>
        <x:v>0</x:v>
      </x:c>
      <x:c r="K474" s="12" t="n">
        <x:f>IF('患者配对'!W485="positive",1,0)</x:f>
        <x:v>0</x:v>
      </x:c>
      <x:c r="L474" s="12" t="str">
        <x:v>由原件与原状态取得；仅主队列索引</x:v>
      </x:c>
      <x:c r="M474" s="12"/>
      <x:c r="N474" s="12"/>
      <x:c r="O474" s="12"/>
    </x:row>
    <x:row r="475" ht="39" customHeight="1">
      <x:c r="A475" s="12" t="str">
        <x:v>3791</x:v>
      </x:c>
      <x:c r="B475" s="12" t="str">
        <x:v>13759</x:v>
      </x:c>
      <x:c r="C475" s="12" t="str">
        <x:v>参考000</x:v>
      </x:c>
      <x:c r="D475" s="12" t="str">
        <x:v>自动000</x:v>
      </x:c>
      <x:c r="E475" s="12" t="n">
        <x:v>0</x:v>
      </x:c>
      <x:c r="F475" s="12" t="n">
        <x:v>1</x:v>
      </x:c>
      <x:c r="G475" s="12" t="n">
        <x:v>0</x:v>
      </x:c>
      <x:c r="H475" s="12" t="n">
        <x:f>IF(SUM(I475:K475)&gt;0,1,0)</x:f>
        <x:v>0</x:v>
      </x:c>
      <x:c r="I475" s="12" t="n">
        <x:f>IF('患者配对'!M486="positive",1,0)</x:f>
        <x:v>0</x:v>
      </x:c>
      <x:c r="J475" s="12" t="n">
        <x:f>IF('患者配对'!R486="positive",1,0)</x:f>
        <x:v>0</x:v>
      </x:c>
      <x:c r="K475" s="12" t="n">
        <x:f>IF('患者配对'!W486="positive",1,0)</x:f>
        <x:v>0</x:v>
      </x:c>
      <x:c r="L475" s="12" t="str">
        <x:v>由原件与原状态取得；仅主队列索引</x:v>
      </x:c>
      <x:c r="M475" s="12"/>
      <x:c r="N475" s="12"/>
      <x:c r="O475" s="12"/>
    </x:row>
    <x:row r="476" ht="39" customHeight="1">
      <x:c r="A476" s="12" t="str">
        <x:v>3793</x:v>
      </x:c>
      <x:c r="B476" s="12" t="str">
        <x:v>16721</x:v>
      </x:c>
      <x:c r="C476" s="12" t="str">
        <x:v>参考000</x:v>
      </x:c>
      <x:c r="D476" s="12" t="str">
        <x:v>自动000</x:v>
      </x:c>
      <x:c r="E476" s="12" t="n">
        <x:v>0</x:v>
      </x:c>
      <x:c r="F476" s="12" t="n">
        <x:v>1</x:v>
      </x:c>
      <x:c r="G476" s="12" t="n">
        <x:v>0</x:v>
      </x:c>
      <x:c r="H476" s="12" t="n">
        <x:f>IF(SUM(I476:K476)&gt;0,1,0)</x:f>
        <x:v>0</x:v>
      </x:c>
      <x:c r="I476" s="12" t="n">
        <x:f>IF('患者配对'!M487="positive",1,0)</x:f>
        <x:v>0</x:v>
      </x:c>
      <x:c r="J476" s="12" t="n">
        <x:f>IF('患者配对'!R487="positive",1,0)</x:f>
        <x:v>0</x:v>
      </x:c>
      <x:c r="K476" s="12" t="n">
        <x:f>IF('患者配对'!W487="positive",1,0)</x:f>
        <x:v>0</x:v>
      </x:c>
      <x:c r="L476" s="12" t="str">
        <x:v>由原件与原状态取得；仅主队列索引</x:v>
      </x:c>
      <x:c r="M476" s="12"/>
      <x:c r="N476" s="12"/>
      <x:c r="O476" s="12"/>
    </x:row>
    <x:row r="477" ht="39" customHeight="1">
      <x:c r="A477" s="12" t="str">
        <x:v>3805</x:v>
      </x:c>
      <x:c r="B477" s="12" t="str">
        <x:v>1889</x:v>
      </x:c>
      <x:c r="C477" s="12" t="str">
        <x:v>参考000</x:v>
      </x:c>
      <x:c r="D477" s="12" t="str">
        <x:v>自动000</x:v>
      </x:c>
      <x:c r="E477" s="12" t="n">
        <x:v>0</x:v>
      </x:c>
      <x:c r="F477" s="12" t="n">
        <x:v>0</x:v>
      </x:c>
      <x:c r="G477" s="12" t="n">
        <x:v>0</x:v>
      </x:c>
      <x:c r="H477" s="12" t="n">
        <x:f>IF(SUM(I477:K477)&gt;0,1,0)</x:f>
        <x:v>0</x:v>
      </x:c>
      <x:c r="I477" s="12" t="n">
        <x:f>IF('患者配对'!M488="positive",1,0)</x:f>
        <x:v>0</x:v>
      </x:c>
      <x:c r="J477" s="12" t="n">
        <x:f>IF('患者配对'!R488="positive",1,0)</x:f>
        <x:v>0</x:v>
      </x:c>
      <x:c r="K477" s="12" t="n">
        <x:f>IF('患者配对'!W488="positive",1,0)</x:f>
        <x:v>0</x:v>
      </x:c>
      <x:c r="L477" s="12" t="str">
        <x:v>由原件与原状态取得；仅主队列索引</x:v>
      </x:c>
      <x:c r="M477" s="12"/>
      <x:c r="N477" s="12"/>
      <x:c r="O477" s="12"/>
    </x:row>
    <x:row r="478" ht="39" customHeight="1">
      <x:c r="A478" s="12" t="str">
        <x:v>3827</x:v>
      </x:c>
      <x:c r="B478" s="12" t="str">
        <x:v>15293</x:v>
      </x:c>
      <x:c r="C478" s="12" t="str">
        <x:v>参考000</x:v>
      </x:c>
      <x:c r="D478" s="12" t="str">
        <x:v>自动000</x:v>
      </x:c>
      <x:c r="E478" s="12" t="n">
        <x:v>0</x:v>
      </x:c>
      <x:c r="F478" s="12" t="n">
        <x:v>1</x:v>
      </x:c>
      <x:c r="G478" s="12" t="n">
        <x:v>0</x:v>
      </x:c>
      <x:c r="H478" s="12" t="n">
        <x:f>IF(SUM(I478:K478)&gt;0,1,0)</x:f>
        <x:v>0</x:v>
      </x:c>
      <x:c r="I478" s="12" t="n">
        <x:f>IF('患者配对'!M489="positive",1,0)</x:f>
        <x:v>0</x:v>
      </x:c>
      <x:c r="J478" s="12" t="n">
        <x:f>IF('患者配对'!R489="positive",1,0)</x:f>
        <x:v>0</x:v>
      </x:c>
      <x:c r="K478" s="12" t="n">
        <x:f>IF('患者配对'!W489="positive",1,0)</x:f>
        <x:v>0</x:v>
      </x:c>
      <x:c r="L478" s="12" t="str">
        <x:v>由原件与原状态取得；仅主队列索引</x:v>
      </x:c>
      <x:c r="M478" s="12"/>
      <x:c r="N478" s="12"/>
      <x:c r="O478" s="12"/>
    </x:row>
    <x:row r="479" ht="39" customHeight="1">
      <x:c r="A479" s="12" t="str">
        <x:v>3842</x:v>
      </x:c>
      <x:c r="B479" s="12" t="str">
        <x:v>12477</x:v>
      </x:c>
      <x:c r="C479" s="12" t="str">
        <x:v>参考000</x:v>
      </x:c>
      <x:c r="D479" s="12" t="str">
        <x:v>自动000</x:v>
      </x:c>
      <x:c r="E479" s="12" t="n">
        <x:v>0</x:v>
      </x:c>
      <x:c r="F479" s="12" t="n">
        <x:v>0</x:v>
      </x:c>
      <x:c r="G479" s="12" t="n">
        <x:v>0</x:v>
      </x:c>
      <x:c r="H479" s="12" t="n">
        <x:f>IF(SUM(I479:K479)&gt;0,1,0)</x:f>
        <x:v>0</x:v>
      </x:c>
      <x:c r="I479" s="12" t="n">
        <x:f>IF('患者配对'!M490="positive",1,0)</x:f>
        <x:v>0</x:v>
      </x:c>
      <x:c r="J479" s="12" t="n">
        <x:f>IF('患者配对'!R490="positive",1,0)</x:f>
        <x:v>0</x:v>
      </x:c>
      <x:c r="K479" s="12" t="n">
        <x:f>IF('患者配对'!W490="positive",1,0)</x:f>
        <x:v>0</x:v>
      </x:c>
      <x:c r="L479" s="12" t="str">
        <x:v>由原件与原状态取得；仅主队列索引</x:v>
      </x:c>
      <x:c r="M479" s="12"/>
      <x:c r="N479" s="12"/>
      <x:c r="O479" s="12"/>
    </x:row>
    <x:row r="480" ht="39" customHeight="1">
      <x:c r="A480" s="12" t="str">
        <x:v>3855</x:v>
      </x:c>
      <x:c r="B480" s="12" t="str">
        <x:v>11055</x:v>
      </x:c>
      <x:c r="C480" s="12" t="str">
        <x:v>参考000</x:v>
      </x:c>
      <x:c r="D480" s="12" t="str">
        <x:v>自动000</x:v>
      </x:c>
      <x:c r="E480" s="12" t="n">
        <x:v>0</x:v>
      </x:c>
      <x:c r="F480" s="12" t="n">
        <x:v>0</x:v>
      </x:c>
      <x:c r="G480" s="12" t="n">
        <x:v>0</x:v>
      </x:c>
      <x:c r="H480" s="12" t="n">
        <x:f>IF(SUM(I480:K480)&gt;0,1,0)</x:f>
        <x:v>0</x:v>
      </x:c>
      <x:c r="I480" s="12" t="n">
        <x:f>IF('患者配对'!M491="positive",1,0)</x:f>
        <x:v>0</x:v>
      </x:c>
      <x:c r="J480" s="12" t="n">
        <x:f>IF('患者配对'!R491="positive",1,0)</x:f>
        <x:v>0</x:v>
      </x:c>
      <x:c r="K480" s="12" t="n">
        <x:f>IF('患者配对'!W491="positive",1,0)</x:f>
        <x:v>0</x:v>
      </x:c>
      <x:c r="L480" s="12" t="str">
        <x:v>由原件与原状态取得；仅主队列索引</x:v>
      </x:c>
      <x:c r="M480" s="12"/>
      <x:c r="N480" s="12"/>
      <x:c r="O480" s="12"/>
    </x:row>
    <x:row r="481" ht="39" customHeight="1">
      <x:c r="A481" s="12" t="str">
        <x:v>3863</x:v>
      </x:c>
      <x:c r="B481" s="12" t="str">
        <x:v>18845</x:v>
      </x:c>
      <x:c r="C481" s="12" t="str">
        <x:v>参考000</x:v>
      </x:c>
      <x:c r="D481" s="12" t="str">
        <x:v>自动000</x:v>
      </x:c>
      <x:c r="E481" s="12" t="n">
        <x:v>0</x:v>
      </x:c>
      <x:c r="F481" s="12" t="n">
        <x:v>1</x:v>
      </x:c>
      <x:c r="G481" s="12" t="n">
        <x:v>0</x:v>
      </x:c>
      <x:c r="H481" s="12" t="n">
        <x:f>IF(SUM(I481:K481)&gt;0,1,0)</x:f>
        <x:v>0</x:v>
      </x:c>
      <x:c r="I481" s="12" t="n">
        <x:f>IF('患者配对'!M492="positive",1,0)</x:f>
        <x:v>0</x:v>
      </x:c>
      <x:c r="J481" s="12" t="n">
        <x:f>IF('患者配对'!R492="positive",1,0)</x:f>
        <x:v>0</x:v>
      </x:c>
      <x:c r="K481" s="12" t="n">
        <x:f>IF('患者配对'!W492="positive",1,0)</x:f>
        <x:v>0</x:v>
      </x:c>
      <x:c r="L481" s="12" t="str">
        <x:v>由原件与原状态取得；仅主队列索引</x:v>
      </x:c>
      <x:c r="M481" s="12"/>
      <x:c r="N481" s="12"/>
      <x:c r="O481" s="12"/>
    </x:row>
    <x:row r="482" ht="39" customHeight="1">
      <x:c r="A482" s="12" t="str">
        <x:v>3867</x:v>
      </x:c>
      <x:c r="B482" s="12" t="str">
        <x:v>20053</x:v>
      </x:c>
      <x:c r="C482" s="12" t="str">
        <x:v>参考000</x:v>
      </x:c>
      <x:c r="D482" s="12" t="str">
        <x:v>自动000</x:v>
      </x:c>
      <x:c r="E482" s="12" t="n">
        <x:v>0</x:v>
      </x:c>
      <x:c r="F482" s="12" t="n">
        <x:v>0</x:v>
      </x:c>
      <x:c r="G482" s="12" t="n">
        <x:v>0</x:v>
      </x:c>
      <x:c r="H482" s="12" t="n">
        <x:f>IF(SUM(I482:K482)&gt;0,1,0)</x:f>
        <x:v>0</x:v>
      </x:c>
      <x:c r="I482" s="12" t="n">
        <x:f>IF('患者配对'!M493="positive",1,0)</x:f>
        <x:v>0</x:v>
      </x:c>
      <x:c r="J482" s="12" t="n">
        <x:f>IF('患者配对'!R493="positive",1,0)</x:f>
        <x:v>0</x:v>
      </x:c>
      <x:c r="K482" s="12" t="n">
        <x:f>IF('患者配对'!W493="positive",1,0)</x:f>
        <x:v>0</x:v>
      </x:c>
      <x:c r="L482" s="12" t="str">
        <x:v>由原件与原状态取得；仅主队列索引</x:v>
      </x:c>
      <x:c r="M482" s="12"/>
      <x:c r="N482" s="12"/>
      <x:c r="O482" s="12"/>
    </x:row>
    <x:row r="483" ht="39" customHeight="1">
      <x:c r="A483" s="12" t="str">
        <x:v>3872</x:v>
      </x:c>
      <x:c r="B483" s="12" t="str">
        <x:v>21713</x:v>
      </x:c>
      <x:c r="C483" s="12" t="str">
        <x:v>参考000</x:v>
      </x:c>
      <x:c r="D483" s="12" t="str">
        <x:v>自动000</x:v>
      </x:c>
      <x:c r="E483" s="12" t="n">
        <x:v>0</x:v>
      </x:c>
      <x:c r="F483" s="12" t="n">
        <x:v>1</x:v>
      </x:c>
      <x:c r="G483" s="12" t="n">
        <x:v>0</x:v>
      </x:c>
      <x:c r="H483" s="12" t="n">
        <x:f>IF(SUM(I483:K483)&gt;0,1,0)</x:f>
        <x:v>0</x:v>
      </x:c>
      <x:c r="I483" s="12" t="n">
        <x:f>IF('患者配对'!M495="positive",1,0)</x:f>
        <x:v>0</x:v>
      </x:c>
      <x:c r="J483" s="12" t="n">
        <x:f>IF('患者配对'!R495="positive",1,0)</x:f>
        <x:v>0</x:v>
      </x:c>
      <x:c r="K483" s="12" t="n">
        <x:f>IF('患者配对'!W495="positive",1,0)</x:f>
        <x:v>0</x:v>
      </x:c>
      <x:c r="L483" s="12" t="str">
        <x:v>由原件与原状态取得；仅主队列索引</x:v>
      </x:c>
      <x:c r="M483" s="12"/>
      <x:c r="N483" s="12"/>
      <x:c r="O483" s="12"/>
    </x:row>
    <x:row r="484" ht="39" customHeight="1">
      <x:c r="A484" s="12" t="str">
        <x:v>3875</x:v>
      </x:c>
      <x:c r="B484" s="12" t="str">
        <x:v>12565</x:v>
      </x:c>
      <x:c r="C484" s="12" t="str">
        <x:v>参考000</x:v>
      </x:c>
      <x:c r="D484" s="12" t="str">
        <x:v>自动000</x:v>
      </x:c>
      <x:c r="E484" s="12" t="n">
        <x:v>0</x:v>
      </x:c>
      <x:c r="F484" s="12" t="n">
        <x:v>1</x:v>
      </x:c>
      <x:c r="G484" s="12" t="n">
        <x:v>0</x:v>
      </x:c>
      <x:c r="H484" s="12" t="n">
        <x:f>IF(SUM(I484:K484)&gt;0,1,0)</x:f>
        <x:v>0</x:v>
      </x:c>
      <x:c r="I484" s="12" t="n">
        <x:f>IF('患者配对'!M496="positive",1,0)</x:f>
        <x:v>0</x:v>
      </x:c>
      <x:c r="J484" s="12" t="n">
        <x:f>IF('患者配对'!R496="positive",1,0)</x:f>
        <x:v>0</x:v>
      </x:c>
      <x:c r="K484" s="12" t="n">
        <x:f>IF('患者配对'!W496="positive",1,0)</x:f>
        <x:v>0</x:v>
      </x:c>
      <x:c r="L484" s="12" t="str">
        <x:v>由原件与原状态取得；仅主队列索引</x:v>
      </x:c>
      <x:c r="M484" s="12"/>
      <x:c r="N484" s="12"/>
      <x:c r="O484" s="12"/>
    </x:row>
    <x:row r="485" ht="39" customHeight="1">
      <x:c r="A485" s="12" t="str">
        <x:v>3878</x:v>
      </x:c>
      <x:c r="B485" s="12" t="str">
        <x:v>16932</x:v>
      </x:c>
      <x:c r="C485" s="12" t="str">
        <x:v>参考000</x:v>
      </x:c>
      <x:c r="D485" s="12" t="str">
        <x:v>自动000</x:v>
      </x:c>
      <x:c r="E485" s="12" t="n">
        <x:v>0</x:v>
      </x:c>
      <x:c r="F485" s="12" t="n">
        <x:v>0</x:v>
      </x:c>
      <x:c r="G485" s="12" t="n">
        <x:v>0</x:v>
      </x:c>
      <x:c r="H485" s="12" t="n">
        <x:f>IF(SUM(I485:K485)&gt;0,1,0)</x:f>
        <x:v>0</x:v>
      </x:c>
      <x:c r="I485" s="12" t="n">
        <x:f>IF('患者配对'!M497="positive",1,0)</x:f>
        <x:v>0</x:v>
      </x:c>
      <x:c r="J485" s="12" t="n">
        <x:f>IF('患者配对'!R497="positive",1,0)</x:f>
        <x:v>0</x:v>
      </x:c>
      <x:c r="K485" s="12" t="n">
        <x:f>IF('患者配对'!W497="positive",1,0)</x:f>
        <x:v>0</x:v>
      </x:c>
      <x:c r="L485" s="12" t="str">
        <x:v>由原件与原状态取得；仅主队列索引</x:v>
      </x:c>
      <x:c r="M485" s="12"/>
      <x:c r="N485" s="12"/>
      <x:c r="O485" s="12"/>
    </x:row>
    <x:row r="486" ht="39" customHeight="1">
      <x:c r="A486" s="12" t="str">
        <x:v>3892</x:v>
      </x:c>
      <x:c r="B486" s="12" t="str">
        <x:v>13309</x:v>
      </x:c>
      <x:c r="C486" s="12" t="str">
        <x:v>参考000</x:v>
      </x:c>
      <x:c r="D486" s="12" t="str">
        <x:v>自动000</x:v>
      </x:c>
      <x:c r="E486" s="12" t="n">
        <x:v>0</x:v>
      </x:c>
      <x:c r="F486" s="12" t="n">
        <x:v>1</x:v>
      </x:c>
      <x:c r="G486" s="12" t="n">
        <x:v>0</x:v>
      </x:c>
      <x:c r="H486" s="12" t="n">
        <x:f>IF(SUM(I486:K486)&gt;0,1,0)</x:f>
        <x:v>0</x:v>
      </x:c>
      <x:c r="I486" s="12" t="n">
        <x:f>IF('患者配对'!M498="positive",1,0)</x:f>
        <x:v>0</x:v>
      </x:c>
      <x:c r="J486" s="12" t="n">
        <x:f>IF('患者配对'!R498="positive",1,0)</x:f>
        <x:v>0</x:v>
      </x:c>
      <x:c r="K486" s="12" t="n">
        <x:f>IF('患者配对'!W498="positive",1,0)</x:f>
        <x:v>0</x:v>
      </x:c>
      <x:c r="L486" s="12" t="str">
        <x:v>由原件与原状态取得；仅主队列索引</x:v>
      </x:c>
      <x:c r="M486" s="12"/>
      <x:c r="N486" s="12"/>
      <x:c r="O486" s="12"/>
    </x:row>
    <x:row r="487" ht="39" customHeight="1">
      <x:c r="A487" s="12" t="str">
        <x:v>3895</x:v>
      </x:c>
      <x:c r="B487" s="12" t="str">
        <x:v>16715</x:v>
      </x:c>
      <x:c r="C487" s="12" t="str">
        <x:v>参考000</x:v>
      </x:c>
      <x:c r="D487" s="12" t="str">
        <x:v>自动000</x:v>
      </x:c>
      <x:c r="E487" s="12" t="n">
        <x:v>0</x:v>
      </x:c>
      <x:c r="F487" s="12" t="n">
        <x:v>0</x:v>
      </x:c>
      <x:c r="G487" s="12" t="n">
        <x:v>0</x:v>
      </x:c>
      <x:c r="H487" s="12" t="n">
        <x:f>IF(SUM(I487:K487)&gt;0,1,0)</x:f>
        <x:v>0</x:v>
      </x:c>
      <x:c r="I487" s="12" t="n">
        <x:f>IF('患者配对'!M499="positive",1,0)</x:f>
        <x:v>0</x:v>
      </x:c>
      <x:c r="J487" s="12" t="n">
        <x:f>IF('患者配对'!R499="positive",1,0)</x:f>
        <x:v>0</x:v>
      </x:c>
      <x:c r="K487" s="12" t="n">
        <x:f>IF('患者配对'!W499="positive",1,0)</x:f>
        <x:v>0</x:v>
      </x:c>
      <x:c r="L487" s="12" t="str">
        <x:v>由原件与原状态取得；仅主队列索引</x:v>
      </x:c>
      <x:c r="M487" s="12"/>
      <x:c r="N487" s="12"/>
      <x:c r="O487" s="12"/>
    </x:row>
    <x:row r="488" ht="39" customHeight="1">
      <x:c r="A488" s="12" t="str">
        <x:v>3904</x:v>
      </x:c>
      <x:c r="B488" s="12" t="str">
        <x:v>19462</x:v>
      </x:c>
      <x:c r="C488" s="12" t="str">
        <x:v>参考000</x:v>
      </x:c>
      <x:c r="D488" s="12" t="str">
        <x:v>自动000</x:v>
      </x:c>
      <x:c r="E488" s="12" t="n">
        <x:v>0</x:v>
      </x:c>
      <x:c r="F488" s="12" t="n">
        <x:v>1</x:v>
      </x:c>
      <x:c r="G488" s="12" t="n">
        <x:v>0</x:v>
      </x:c>
      <x:c r="H488" s="12" t="n">
        <x:f>IF(SUM(I488:K488)&gt;0,1,0)</x:f>
        <x:v>0</x:v>
      </x:c>
      <x:c r="I488" s="12" t="n">
        <x:f>IF('患者配对'!M500="positive",1,0)</x:f>
        <x:v>0</x:v>
      </x:c>
      <x:c r="J488" s="12" t="n">
        <x:f>IF('患者配对'!R500="positive",1,0)</x:f>
        <x:v>0</x:v>
      </x:c>
      <x:c r="K488" s="12" t="n">
        <x:f>IF('患者配对'!W500="positive",1,0)</x:f>
        <x:v>0</x:v>
      </x:c>
      <x:c r="L488" s="12" t="str">
        <x:v>由原件与原状态取得；仅主队列索引</x:v>
      </x:c>
      <x:c r="M488" s="12"/>
      <x:c r="N488" s="12"/>
      <x:c r="O488" s="12"/>
    </x:row>
    <x:row r="489" ht="39" customHeight="1">
      <x:c r="A489" s="12" t="str">
        <x:v>3909</x:v>
      </x:c>
      <x:c r="B489" s="12" t="str">
        <x:v>19326</x:v>
      </x:c>
      <x:c r="C489" s="12" t="str">
        <x:v>参考000</x:v>
      </x:c>
      <x:c r="D489" s="12" t="str">
        <x:v>自动000</x:v>
      </x:c>
      <x:c r="E489" s="12" t="n">
        <x:v>0</x:v>
      </x:c>
      <x:c r="F489" s="12" t="n">
        <x:v>1</x:v>
      </x:c>
      <x:c r="G489" s="12" t="n">
        <x:v>0</x:v>
      </x:c>
      <x:c r="H489" s="12" t="n">
        <x:f>IF(SUM(I489:K489)&gt;0,1,0)</x:f>
        <x:v>0</x:v>
      </x:c>
      <x:c r="I489" s="12" t="n">
        <x:f>IF('患者配对'!M502="positive",1,0)</x:f>
        <x:v>0</x:v>
      </x:c>
      <x:c r="J489" s="12" t="n">
        <x:f>IF('患者配对'!R502="positive",1,0)</x:f>
        <x:v>0</x:v>
      </x:c>
      <x:c r="K489" s="12" t="n">
        <x:f>IF('患者配对'!W502="positive",1,0)</x:f>
        <x:v>0</x:v>
      </x:c>
      <x:c r="L489" s="12" t="str">
        <x:v>由原件与原状态取得；仅主队列索引</x:v>
      </x:c>
      <x:c r="M489" s="12"/>
      <x:c r="N489" s="12"/>
      <x:c r="O489" s="12"/>
    </x:row>
    <x:row r="490" ht="39" customHeight="1">
      <x:c r="A490" s="12" t="str">
        <x:v>3910</x:v>
      </x:c>
      <x:c r="B490" s="12" t="str">
        <x:v>20260</x:v>
      </x:c>
      <x:c r="C490" s="12" t="str">
        <x:v>参考000</x:v>
      </x:c>
      <x:c r="D490" s="12" t="str">
        <x:v>自动000</x:v>
      </x:c>
      <x:c r="E490" s="12" t="n">
        <x:v>0</x:v>
      </x:c>
      <x:c r="F490" s="12" t="n">
        <x:v>1</x:v>
      </x:c>
      <x:c r="G490" s="12" t="n">
        <x:v>0</x:v>
      </x:c>
      <x:c r="H490" s="12" t="n">
        <x:f>IF(SUM(I490:K490)&gt;0,1,0)</x:f>
        <x:v>0</x:v>
      </x:c>
      <x:c r="I490" s="12" t="n">
        <x:f>IF('患者配对'!M503="positive",1,0)</x:f>
        <x:v>0</x:v>
      </x:c>
      <x:c r="J490" s="12" t="n">
        <x:f>IF('患者配对'!R503="positive",1,0)</x:f>
        <x:v>0</x:v>
      </x:c>
      <x:c r="K490" s="12" t="n">
        <x:f>IF('患者配对'!W503="positive",1,0)</x:f>
        <x:v>0</x:v>
      </x:c>
      <x:c r="L490" s="12" t="str">
        <x:v>由原件与原状态取得；仅主队列索引</x:v>
      </x:c>
      <x:c r="M490" s="12"/>
      <x:c r="N490" s="12"/>
      <x:c r="O490" s="12"/>
    </x:row>
    <x:row r="491" ht="39" customHeight="1">
      <x:c r="A491" s="12" t="str">
        <x:v>3918</x:v>
      </x:c>
      <x:c r="B491" s="12" t="str">
        <x:v>6737</x:v>
      </x:c>
      <x:c r="C491" s="12" t="str">
        <x:v>参考000</x:v>
      </x:c>
      <x:c r="D491" s="12" t="str">
        <x:v>自动000</x:v>
      </x:c>
      <x:c r="E491" s="12" t="n">
        <x:v>0</x:v>
      </x:c>
      <x:c r="F491" s="12" t="n">
        <x:v>1</x:v>
      </x:c>
      <x:c r="G491" s="12" t="n">
        <x:v>0</x:v>
      </x:c>
      <x:c r="H491" s="12" t="n">
        <x:f>IF(SUM(I491:K491)&gt;0,1,0)</x:f>
        <x:v>0</x:v>
      </x:c>
      <x:c r="I491" s="12" t="n">
        <x:f>IF('患者配对'!M506="positive",1,0)</x:f>
        <x:v>0</x:v>
      </x:c>
      <x:c r="J491" s="12" t="n">
        <x:f>IF('患者配对'!R506="positive",1,0)</x:f>
        <x:v>0</x:v>
      </x:c>
      <x:c r="K491" s="12" t="n">
        <x:f>IF('患者配对'!W506="positive",1,0)</x:f>
        <x:v>0</x:v>
      </x:c>
      <x:c r="L491" s="12" t="str">
        <x:v>由原件与原状态取得；仅主队列索引</x:v>
      </x:c>
      <x:c r="M491" s="12"/>
      <x:c r="N491" s="12"/>
      <x:c r="O491" s="12"/>
    </x:row>
    <x:row r="492" ht="39" customHeight="1">
      <x:c r="A492" s="12" t="str">
        <x:v>3923</x:v>
      </x:c>
      <x:c r="B492" s="12" t="str">
        <x:v>3107</x:v>
      </x:c>
      <x:c r="C492" s="12" t="str">
        <x:v>参考000</x:v>
      </x:c>
      <x:c r="D492" s="12" t="str">
        <x:v>自动000</x:v>
      </x:c>
      <x:c r="E492" s="12" t="n">
        <x:v>0</x:v>
      </x:c>
      <x:c r="F492" s="12" t="n">
        <x:v>0</x:v>
      </x:c>
      <x:c r="G492" s="12" t="n">
        <x:v>0</x:v>
      </x:c>
      <x:c r="H492" s="12" t="n">
        <x:f>IF(SUM(I492:K492)&gt;0,1,0)</x:f>
        <x:v>0</x:v>
      </x:c>
      <x:c r="I492" s="12" t="n">
        <x:f>IF('患者配对'!M507="positive",1,0)</x:f>
        <x:v>0</x:v>
      </x:c>
      <x:c r="J492" s="12" t="n">
        <x:f>IF('患者配对'!R507="positive",1,0)</x:f>
        <x:v>0</x:v>
      </x:c>
      <x:c r="K492" s="12" t="n">
        <x:f>IF('患者配对'!W507="positive",1,0)</x:f>
        <x:v>0</x:v>
      </x:c>
      <x:c r="L492" s="12" t="str">
        <x:v>由原件与原状态取得；仅主队列索引</x:v>
      </x:c>
      <x:c r="M492" s="12"/>
      <x:c r="N492" s="12"/>
      <x:c r="O492" s="12"/>
    </x:row>
    <x:row r="493" ht="39" customHeight="1">
      <x:c r="A493" s="12" t="str">
        <x:v>3925</x:v>
      </x:c>
      <x:c r="B493" s="12" t="str">
        <x:v>20227</x:v>
      </x:c>
      <x:c r="C493" s="12" t="str">
        <x:v>参考000</x:v>
      </x:c>
      <x:c r="D493" s="12" t="str">
        <x:v>自动000</x:v>
      </x:c>
      <x:c r="E493" s="12" t="n">
        <x:v>0</x:v>
      </x:c>
      <x:c r="F493" s="12" t="n">
        <x:v>1</x:v>
      </x:c>
      <x:c r="G493" s="12" t="n">
        <x:v>0</x:v>
      </x:c>
      <x:c r="H493" s="12" t="n">
        <x:f>IF(SUM(I493:K493)&gt;0,1,0)</x:f>
        <x:v>0</x:v>
      </x:c>
      <x:c r="I493" s="12" t="n">
        <x:f>IF('患者配对'!M508="positive",1,0)</x:f>
        <x:v>0</x:v>
      </x:c>
      <x:c r="J493" s="12" t="n">
        <x:f>IF('患者配对'!R508="positive",1,0)</x:f>
        <x:v>0</x:v>
      </x:c>
      <x:c r="K493" s="12" t="n">
        <x:f>IF('患者配对'!W508="positive",1,0)</x:f>
        <x:v>0</x:v>
      </x:c>
      <x:c r="L493" s="12" t="str">
        <x:v>由原件与原状态取得；仅主队列索引</x:v>
      </x:c>
      <x:c r="M493" s="12"/>
      <x:c r="N493" s="12"/>
      <x:c r="O493" s="12"/>
    </x:row>
    <x:row r="494" ht="39" customHeight="1">
      <x:c r="A494" s="12" t="str">
        <x:v>3937</x:v>
      </x:c>
      <x:c r="B494" s="12" t="str">
        <x:v>19434</x:v>
      </x:c>
      <x:c r="C494" s="12" t="str">
        <x:v>参考000</x:v>
      </x:c>
      <x:c r="D494" s="12" t="str">
        <x:v>自动000</x:v>
      </x:c>
      <x:c r="E494" s="12" t="n">
        <x:v>0</x:v>
      </x:c>
      <x:c r="F494" s="12" t="n">
        <x:v>0</x:v>
      </x:c>
      <x:c r="G494" s="12" t="n">
        <x:v>0</x:v>
      </x:c>
      <x:c r="H494" s="12" t="n">
        <x:f>IF(SUM(I494:K494)&gt;0,1,0)</x:f>
        <x:v>0</x:v>
      </x:c>
      <x:c r="I494" s="12" t="n">
        <x:f>IF('患者配对'!M510="positive",1,0)</x:f>
        <x:v>0</x:v>
      </x:c>
      <x:c r="J494" s="12" t="n">
        <x:f>IF('患者配对'!R510="positive",1,0)</x:f>
        <x:v>0</x:v>
      </x:c>
      <x:c r="K494" s="12" t="n">
        <x:f>IF('患者配对'!W510="positive",1,0)</x:f>
        <x:v>0</x:v>
      </x:c>
      <x:c r="L494" s="12" t="str">
        <x:v>由原件与原状态取得；仅主队列索引</x:v>
      </x:c>
      <x:c r="M494" s="12"/>
      <x:c r="N494" s="12"/>
      <x:c r="O494" s="12"/>
    </x:row>
    <x:row r="495" ht="39" customHeight="1">
      <x:c r="A495" s="12" t="str">
        <x:v>3947</x:v>
      </x:c>
      <x:c r="B495" s="12" t="str">
        <x:v>17456</x:v>
      </x:c>
      <x:c r="C495" s="12" t="str">
        <x:v>参考101</x:v>
      </x:c>
      <x:c r="D495" s="12" t="str">
        <x:v>自动101</x:v>
      </x:c>
      <x:c r="E495" s="12" t="n">
        <x:v>1</x:v>
      </x:c>
      <x:c r="F495" s="12" t="n">
        <x:v>1</x:v>
      </x:c>
      <x:c r="G495" s="12" t="n">
        <x:v>0</x:v>
      </x:c>
      <x:c r="H495" s="12" t="n">
        <x:f>IF(SUM(I495:K495)&gt;0,1,0)</x:f>
        <x:v>1</x:v>
      </x:c>
      <x:c r="I495" s="12" t="n">
        <x:f>IF('患者配对'!M511="positive",1,0)</x:f>
        <x:v>1</x:v>
      </x:c>
      <x:c r="J495" s="12" t="n">
        <x:f>IF('患者配对'!R511="positive",1,0)</x:f>
        <x:v>0</x:v>
      </x:c>
      <x:c r="K495" s="12" t="n">
        <x:f>IF('患者配对'!W511="positive",1,0)</x:f>
        <x:v>1</x:v>
      </x:c>
      <x:c r="L495" s="12" t="str">
        <x:v>由原件与原状态取得；仅主队列索引</x:v>
      </x:c>
      <x:c r="M495" s="12"/>
      <x:c r="N495" s="12"/>
      <x:c r="O495" s="12"/>
    </x:row>
    <x:row r="496" ht="39" customHeight="1">
      <x:c r="A496" s="12" t="str">
        <x:v>3948</x:v>
      </x:c>
      <x:c r="B496" s="12" t="str">
        <x:v>12209</x:v>
      </x:c>
      <x:c r="C496" s="12" t="str">
        <x:v>参考000</x:v>
      </x:c>
      <x:c r="D496" s="12" t="str">
        <x:v>自动000</x:v>
      </x:c>
      <x:c r="E496" s="12" t="n">
        <x:v>0</x:v>
      </x:c>
      <x:c r="F496" s="12" t="n">
        <x:v>0</x:v>
      </x:c>
      <x:c r="G496" s="12" t="n">
        <x:v>0</x:v>
      </x:c>
      <x:c r="H496" s="12" t="n">
        <x:f>IF(SUM(I496:K496)&gt;0,1,0)</x:f>
        <x:v>0</x:v>
      </x:c>
      <x:c r="I496" s="12" t="n">
        <x:f>IF('患者配对'!M512="positive",1,0)</x:f>
        <x:v>0</x:v>
      </x:c>
      <x:c r="J496" s="12" t="n">
        <x:f>IF('患者配对'!R512="positive",1,0)</x:f>
        <x:v>0</x:v>
      </x:c>
      <x:c r="K496" s="12" t="n">
        <x:f>IF('患者配对'!W512="positive",1,0)</x:f>
        <x:v>0</x:v>
      </x:c>
      <x:c r="L496" s="12" t="str">
        <x:v>由原件与原状态取得；仅主队列索引</x:v>
      </x:c>
      <x:c r="M496" s="12"/>
      <x:c r="N496" s="12"/>
      <x:c r="O496" s="12"/>
    </x:row>
    <x:row r="497" ht="39" customHeight="1">
      <x:c r="A497" s="12" t="str">
        <x:v>3949</x:v>
      </x:c>
      <x:c r="B497" s="12" t="str">
        <x:v>6188</x:v>
      </x:c>
      <x:c r="C497" s="12" t="str">
        <x:v>参考000</x:v>
      </x:c>
      <x:c r="D497" s="12" t="str">
        <x:v>自动000</x:v>
      </x:c>
      <x:c r="E497" s="12" t="n">
        <x:v>0</x:v>
      </x:c>
      <x:c r="F497" s="12" t="n">
        <x:v>1</x:v>
      </x:c>
      <x:c r="G497" s="12" t="n">
        <x:v>0</x:v>
      </x:c>
      <x:c r="H497" s="12" t="n">
        <x:f>IF(SUM(I497:K497)&gt;0,1,0)</x:f>
        <x:v>0</x:v>
      </x:c>
      <x:c r="I497" s="12" t="n">
        <x:f>IF('患者配对'!M513="positive",1,0)</x:f>
        <x:v>0</x:v>
      </x:c>
      <x:c r="J497" s="12" t="n">
        <x:f>IF('患者配对'!R513="positive",1,0)</x:f>
        <x:v>0</x:v>
      </x:c>
      <x:c r="K497" s="12" t="n">
        <x:f>IF('患者配对'!W513="positive",1,0)</x:f>
        <x:v>0</x:v>
      </x:c>
      <x:c r="L497" s="12" t="str">
        <x:v>由原件与原状态取得；仅主队列索引</x:v>
      </x:c>
      <x:c r="M497" s="12"/>
      <x:c r="N497" s="12"/>
      <x:c r="O497" s="12"/>
    </x:row>
    <x:row r="498" ht="39" customHeight="1">
      <x:c r="A498" s="12" t="str">
        <x:v>3967</x:v>
      </x:c>
      <x:c r="B498" s="12" t="str">
        <x:v>17761</x:v>
      </x:c>
      <x:c r="C498" s="12" t="str">
        <x:v>参考000</x:v>
      </x:c>
      <x:c r="D498" s="12" t="str">
        <x:v>自动000</x:v>
      </x:c>
      <x:c r="E498" s="12" t="n">
        <x:v>0</x:v>
      </x:c>
      <x:c r="F498" s="12" t="n">
        <x:v>1</x:v>
      </x:c>
      <x:c r="G498" s="12" t="n">
        <x:v>0</x:v>
      </x:c>
      <x:c r="H498" s="12" t="n">
        <x:f>IF(SUM(I498:K498)&gt;0,1,0)</x:f>
        <x:v>0</x:v>
      </x:c>
      <x:c r="I498" s="12" t="n">
        <x:f>IF('患者配对'!M514="positive",1,0)</x:f>
        <x:v>0</x:v>
      </x:c>
      <x:c r="J498" s="12" t="n">
        <x:f>IF('患者配对'!R514="positive",1,0)</x:f>
        <x:v>0</x:v>
      </x:c>
      <x:c r="K498" s="12" t="n">
        <x:f>IF('患者配对'!W514="positive",1,0)</x:f>
        <x:v>0</x:v>
      </x:c>
      <x:c r="L498" s="12" t="str">
        <x:v>由原件与原状态取得；仅主队列索引</x:v>
      </x:c>
      <x:c r="M498" s="12"/>
      <x:c r="N498" s="12"/>
      <x:c r="O498" s="12"/>
    </x:row>
    <x:row r="499" ht="39" customHeight="1">
      <x:c r="A499" s="12" t="str">
        <x:v>3984</x:v>
      </x:c>
      <x:c r="B499" s="12" t="str">
        <x:v>894</x:v>
      </x:c>
      <x:c r="C499" s="12" t="str">
        <x:v>参考000</x:v>
      </x:c>
      <x:c r="D499" s="12" t="str">
        <x:v>自动000</x:v>
      </x:c>
      <x:c r="E499" s="12" t="n">
        <x:v>0</x:v>
      </x:c>
      <x:c r="F499" s="12" t="n">
        <x:v>0</x:v>
      </x:c>
      <x:c r="G499" s="12" t="n">
        <x:v>0</x:v>
      </x:c>
      <x:c r="H499" s="12" t="n">
        <x:f>IF(SUM(I499:K499)&gt;0,1,0)</x:f>
        <x:v>0</x:v>
      </x:c>
      <x:c r="I499" s="12" t="n">
        <x:f>IF('患者配对'!M515="positive",1,0)</x:f>
        <x:v>0</x:v>
      </x:c>
      <x:c r="J499" s="12" t="n">
        <x:f>IF('患者配对'!R515="positive",1,0)</x:f>
        <x:v>0</x:v>
      </x:c>
      <x:c r="K499" s="12" t="n">
        <x:f>IF('患者配对'!W515="positive",1,0)</x:f>
        <x:v>0</x:v>
      </x:c>
      <x:c r="L499" s="12" t="str">
        <x:v>由原件与原状态取得；仅主队列索引</x:v>
      </x:c>
      <x:c r="M499" s="12"/>
      <x:c r="N499" s="12"/>
      <x:c r="O499" s="12"/>
    </x:row>
    <x:row r="500" ht="39" customHeight="1">
      <x:c r="A500" s="12" t="str">
        <x:v>3986</x:v>
      </x:c>
      <x:c r="B500" s="12" t="str">
        <x:v>5434</x:v>
      </x:c>
      <x:c r="C500" s="12" t="str">
        <x:v>参考000</x:v>
      </x:c>
      <x:c r="D500" s="12" t="str">
        <x:v>自动000</x:v>
      </x:c>
      <x:c r="E500" s="12" t="n">
        <x:v>0</x:v>
      </x:c>
      <x:c r="F500" s="12" t="n">
        <x:v>0</x:v>
      </x:c>
      <x:c r="G500" s="12" t="n">
        <x:v>0</x:v>
      </x:c>
      <x:c r="H500" s="12" t="n">
        <x:f>IF(SUM(I500:K500)&gt;0,1,0)</x:f>
        <x:v>0</x:v>
      </x:c>
      <x:c r="I500" s="12" t="n">
        <x:f>IF('患者配对'!M516="positive",1,0)</x:f>
        <x:v>0</x:v>
      </x:c>
      <x:c r="J500" s="12" t="n">
        <x:f>IF('患者配对'!R516="positive",1,0)</x:f>
        <x:v>0</x:v>
      </x:c>
      <x:c r="K500" s="12" t="n">
        <x:f>IF('患者配对'!W516="positive",1,0)</x:f>
        <x:v>0</x:v>
      </x:c>
      <x:c r="L500" s="12" t="str">
        <x:v>由原件与原状态取得；仅主队列索引</x:v>
      </x:c>
      <x:c r="M500" s="12"/>
      <x:c r="N500" s="12"/>
      <x:c r="O500" s="12"/>
    </x:row>
    <x:row r="501" ht="39" customHeight="1">
      <x:c r="A501" s="12" t="str">
        <x:v>3990</x:v>
      </x:c>
      <x:c r="B501" s="12" t="str">
        <x:v>6017</x:v>
      </x:c>
      <x:c r="C501" s="12" t="str">
        <x:v>参考000</x:v>
      </x:c>
      <x:c r="D501" s="12" t="str">
        <x:v>自动000</x:v>
      </x:c>
      <x:c r="E501" s="12" t="n">
        <x:v>0</x:v>
      </x:c>
      <x:c r="F501" s="12" t="n">
        <x:v>0</x:v>
      </x:c>
      <x:c r="G501" s="12" t="n">
        <x:v>0</x:v>
      </x:c>
      <x:c r="H501" s="12" t="n">
        <x:f>IF(SUM(I501:K501)&gt;0,1,0)</x:f>
        <x:v>0</x:v>
      </x:c>
      <x:c r="I501" s="12" t="n">
        <x:f>IF('患者配对'!M517="positive",1,0)</x:f>
        <x:v>0</x:v>
      </x:c>
      <x:c r="J501" s="12" t="n">
        <x:f>IF('患者配对'!R517="positive",1,0)</x:f>
        <x:v>0</x:v>
      </x:c>
      <x:c r="K501" s="12" t="n">
        <x:f>IF('患者配对'!W517="positive",1,0)</x:f>
        <x:v>0</x:v>
      </x:c>
      <x:c r="L501" s="12" t="str">
        <x:v>由原件与原状态取得；仅主队列索引</x:v>
      </x:c>
      <x:c r="M501" s="12"/>
      <x:c r="N501" s="12"/>
      <x:c r="O501" s="12"/>
    </x:row>
    <x:row r="502" ht="39" customHeight="1">
      <x:c r="A502" s="12" t="str">
        <x:v>4016</x:v>
      </x:c>
      <x:c r="B502" s="12" t="str">
        <x:v>3457</x:v>
      </x:c>
      <x:c r="C502" s="12" t="str">
        <x:v>参考010</x:v>
      </x:c>
      <x:c r="D502" s="12" t="str">
        <x:v>自动010</x:v>
      </x:c>
      <x:c r="E502" s="12" t="n">
        <x:v>1</x:v>
      </x:c>
      <x:c r="F502" s="12" t="n">
        <x:v>1</x:v>
      </x:c>
      <x:c r="G502" s="12" t="n">
        <x:v>0</x:v>
      </x:c>
      <x:c r="H502" s="12" t="n">
        <x:f>IF(SUM(I502:K502)&gt;0,1,0)</x:f>
        <x:v>1</x:v>
      </x:c>
      <x:c r="I502" s="12" t="n">
        <x:f>IF('患者配对'!M518="positive",1,0)</x:f>
        <x:v>0</x:v>
      </x:c>
      <x:c r="J502" s="12" t="n">
        <x:f>IF('患者配对'!R518="positive",1,0)</x:f>
        <x:v>1</x:v>
      </x:c>
      <x:c r="K502" s="12" t="n">
        <x:f>IF('患者配对'!W518="positive",1,0)</x:f>
        <x:v>0</x:v>
      </x:c>
      <x:c r="L502" s="12" t="str">
        <x:v>由原件与原状态取得；仅主队列索引</x:v>
      </x:c>
      <x:c r="M502" s="12"/>
      <x:c r="N502" s="12"/>
      <x:c r="O502" s="12"/>
    </x:row>
    <x:row r="503" ht="39" customHeight="1">
      <x:c r="A503" s="12" t="str">
        <x:v>4025</x:v>
      </x:c>
      <x:c r="B503" s="12" t="str">
        <x:v>648</x:v>
      </x:c>
      <x:c r="C503" s="12" t="str">
        <x:v>参考000</x:v>
      </x:c>
      <x:c r="D503" s="12" t="str">
        <x:v>自动000</x:v>
      </x:c>
      <x:c r="E503" s="12" t="n">
        <x:v>0</x:v>
      </x:c>
      <x:c r="F503" s="12" t="n">
        <x:v>1</x:v>
      </x:c>
      <x:c r="G503" s="12" t="n">
        <x:v>0</x:v>
      </x:c>
      <x:c r="H503" s="12" t="n">
        <x:f>IF(SUM(I503:K503)&gt;0,1,0)</x:f>
        <x:v>0</x:v>
      </x:c>
      <x:c r="I503" s="12" t="n">
        <x:f>IF('患者配对'!M519="positive",1,0)</x:f>
        <x:v>0</x:v>
      </x:c>
      <x:c r="J503" s="12" t="n">
        <x:f>IF('患者配对'!R519="positive",1,0)</x:f>
        <x:v>0</x:v>
      </x:c>
      <x:c r="K503" s="12" t="n">
        <x:f>IF('患者配对'!W519="positive",1,0)</x:f>
        <x:v>0</x:v>
      </x:c>
      <x:c r="L503" s="12" t="str">
        <x:v>由原件与原状态取得；仅主队列索引</x:v>
      </x:c>
      <x:c r="M503" s="12"/>
      <x:c r="N503" s="12"/>
      <x:c r="O503" s="12"/>
    </x:row>
    <x:row r="504" ht="39" customHeight="1">
      <x:c r="A504" s="12" t="str">
        <x:v>4059</x:v>
      </x:c>
      <x:c r="B504" s="12" t="str">
        <x:v>9872</x:v>
      </x:c>
      <x:c r="C504" s="12" t="str">
        <x:v>参考000</x:v>
      </x:c>
      <x:c r="D504" s="12" t="str">
        <x:v>自动000</x:v>
      </x:c>
      <x:c r="E504" s="12" t="n">
        <x:v>0</x:v>
      </x:c>
      <x:c r="F504" s="12" t="n">
        <x:v>0</x:v>
      </x:c>
      <x:c r="G504" s="12" t="n">
        <x:v>0</x:v>
      </x:c>
      <x:c r="H504" s="12" t="n">
        <x:f>IF(SUM(I504:K504)&gt;0,1,0)</x:f>
        <x:v>0</x:v>
      </x:c>
      <x:c r="I504" s="12" t="n">
        <x:f>IF('患者配对'!M520="positive",1,0)</x:f>
        <x:v>0</x:v>
      </x:c>
      <x:c r="J504" s="12" t="n">
        <x:f>IF('患者配对'!R520="positive",1,0)</x:f>
        <x:v>0</x:v>
      </x:c>
      <x:c r="K504" s="12" t="n">
        <x:f>IF('患者配对'!W520="positive",1,0)</x:f>
        <x:v>0</x:v>
      </x:c>
      <x:c r="L504" s="12" t="str">
        <x:v>由原件与原状态取得；仅主队列索引</x:v>
      </x:c>
      <x:c r="M504" s="12"/>
      <x:c r="N504" s="12"/>
      <x:c r="O504" s="12"/>
    </x:row>
    <x:row r="505" ht="39" customHeight="1">
      <x:c r="A505" s="12" t="str">
        <x:v>4066</x:v>
      </x:c>
      <x:c r="B505" s="12" t="str">
        <x:v>21465</x:v>
      </x:c>
      <x:c r="C505" s="12" t="str">
        <x:v>参考000</x:v>
      </x:c>
      <x:c r="D505" s="12" t="str">
        <x:v>自动000</x:v>
      </x:c>
      <x:c r="E505" s="12" t="n">
        <x:v>0</x:v>
      </x:c>
      <x:c r="F505" s="12" t="n">
        <x:v>1</x:v>
      </x:c>
      <x:c r="G505" s="12" t="n">
        <x:v>0</x:v>
      </x:c>
      <x:c r="H505" s="12" t="n">
        <x:f>IF(SUM(I505:K505)&gt;0,1,0)</x:f>
        <x:v>0</x:v>
      </x:c>
      <x:c r="I505" s="12" t="n">
        <x:f>IF('患者配对'!M521="positive",1,0)</x:f>
        <x:v>0</x:v>
      </x:c>
      <x:c r="J505" s="12" t="n">
        <x:f>IF('患者配对'!R521="positive",1,0)</x:f>
        <x:v>0</x:v>
      </x:c>
      <x:c r="K505" s="12" t="n">
        <x:f>IF('患者配对'!W521="positive",1,0)</x:f>
        <x:v>0</x:v>
      </x:c>
      <x:c r="L505" s="12" t="str">
        <x:v>由原件与原状态取得；仅主队列索引</x:v>
      </x:c>
      <x:c r="M505" s="12"/>
      <x:c r="N505" s="12"/>
      <x:c r="O505" s="12"/>
    </x:row>
    <x:row r="506" ht="39" customHeight="1">
      <x:c r="A506" s="12" t="str">
        <x:v>4070</x:v>
      </x:c>
      <x:c r="B506" s="12" t="str">
        <x:v>6960</x:v>
      </x:c>
      <x:c r="C506" s="12" t="str">
        <x:v>参考000</x:v>
      </x:c>
      <x:c r="D506" s="12" t="str">
        <x:v>自动000</x:v>
      </x:c>
      <x:c r="E506" s="12" t="n">
        <x:v>0</x:v>
      </x:c>
      <x:c r="F506" s="12" t="n">
        <x:v>0</x:v>
      </x:c>
      <x:c r="G506" s="12" t="n">
        <x:v>0</x:v>
      </x:c>
      <x:c r="H506" s="12" t="n">
        <x:f>IF(SUM(I506:K506)&gt;0,1,0)</x:f>
        <x:v>0</x:v>
      </x:c>
      <x:c r="I506" s="12" t="n">
        <x:f>IF('患者配对'!M522="positive",1,0)</x:f>
        <x:v>0</x:v>
      </x:c>
      <x:c r="J506" s="12" t="n">
        <x:f>IF('患者配对'!R522="positive",1,0)</x:f>
        <x:v>0</x:v>
      </x:c>
      <x:c r="K506" s="12" t="n">
        <x:f>IF('患者配对'!W522="positive",1,0)</x:f>
        <x:v>0</x:v>
      </x:c>
      <x:c r="L506" s="12" t="str">
        <x:v>由原件与原状态取得；仅主队列索引</x:v>
      </x:c>
      <x:c r="M506" s="12"/>
      <x:c r="N506" s="12"/>
      <x:c r="O506" s="12"/>
    </x:row>
    <x:row r="507" ht="39" customHeight="1">
      <x:c r="A507" s="12" t="str">
        <x:v>4072</x:v>
      </x:c>
      <x:c r="B507" s="12" t="str">
        <x:v>4474</x:v>
      </x:c>
      <x:c r="C507" s="12" t="str">
        <x:v>参考100</x:v>
      </x:c>
      <x:c r="D507" s="12" t="str">
        <x:v>自动100</x:v>
      </x:c>
      <x:c r="E507" s="12" t="n">
        <x:v>1</x:v>
      </x:c>
      <x:c r="F507" s="12" t="n">
        <x:v>1</x:v>
      </x:c>
      <x:c r="G507" s="12" t="n">
        <x:v>0</x:v>
      </x:c>
      <x:c r="H507" s="12" t="n">
        <x:f>IF(SUM(I507:K507)&gt;0,1,0)</x:f>
        <x:v>1</x:v>
      </x:c>
      <x:c r="I507" s="12" t="n">
        <x:f>IF('患者配对'!M523="positive",1,0)</x:f>
        <x:v>1</x:v>
      </x:c>
      <x:c r="J507" s="12" t="n">
        <x:f>IF('患者配对'!R523="positive",1,0)</x:f>
        <x:v>0</x:v>
      </x:c>
      <x:c r="K507" s="12" t="n">
        <x:f>IF('患者配对'!W523="positive",1,0)</x:f>
        <x:v>0</x:v>
      </x:c>
      <x:c r="L507" s="12" t="str">
        <x:v>由原件与原状态取得；仅主队列索引</x:v>
      </x:c>
      <x:c r="M507" s="12"/>
      <x:c r="N507" s="12"/>
      <x:c r="O507" s="12"/>
    </x:row>
    <x:row r="508" ht="39" customHeight="1">
      <x:c r="A508" s="12" t="str">
        <x:v>4079</x:v>
      </x:c>
      <x:c r="B508" s="12" t="str">
        <x:v>4492</x:v>
      </x:c>
      <x:c r="C508" s="12" t="str">
        <x:v>参考000</x:v>
      </x:c>
      <x:c r="D508" s="12" t="str">
        <x:v>自动000</x:v>
      </x:c>
      <x:c r="E508" s="12" t="n">
        <x:v>0</x:v>
      </x:c>
      <x:c r="F508" s="12" t="n">
        <x:v>0</x:v>
      </x:c>
      <x:c r="G508" s="12" t="n">
        <x:v>0</x:v>
      </x:c>
      <x:c r="H508" s="12" t="n">
        <x:f>IF(SUM(I508:K508)&gt;0,1,0)</x:f>
        <x:v>0</x:v>
      </x:c>
      <x:c r="I508" s="12" t="n">
        <x:f>IF('患者配对'!M524="positive",1,0)</x:f>
        <x:v>0</x:v>
      </x:c>
      <x:c r="J508" s="12" t="n">
        <x:f>IF('患者配对'!R524="positive",1,0)</x:f>
        <x:v>0</x:v>
      </x:c>
      <x:c r="K508" s="12" t="n">
        <x:f>IF('患者配对'!W524="positive",1,0)</x:f>
        <x:v>0</x:v>
      </x:c>
      <x:c r="L508" s="12" t="str">
        <x:v>由原件与原状态取得；仅主队列索引</x:v>
      </x:c>
      <x:c r="M508" s="12"/>
      <x:c r="N508" s="12"/>
      <x:c r="O508" s="12"/>
    </x:row>
    <x:row r="509" ht="39" customHeight="1">
      <x:c r="A509" s="12" t="str">
        <x:v>4123</x:v>
      </x:c>
      <x:c r="B509" s="12" t="str">
        <x:v>3342</x:v>
      </x:c>
      <x:c r="C509" s="12" t="str">
        <x:v>参考000</x:v>
      </x:c>
      <x:c r="D509" s="12" t="str">
        <x:v>自动000</x:v>
      </x:c>
      <x:c r="E509" s="12" t="n">
        <x:v>0</x:v>
      </x:c>
      <x:c r="F509" s="12" t="n">
        <x:v>0</x:v>
      </x:c>
      <x:c r="G509" s="12" t="n">
        <x:v>0</x:v>
      </x:c>
      <x:c r="H509" s="12" t="n">
        <x:f>IF(SUM(I509:K509)&gt;0,1,0)</x:f>
        <x:v>0</x:v>
      </x:c>
      <x:c r="I509" s="12" t="n">
        <x:f>IF('患者配对'!M529="positive",1,0)</x:f>
        <x:v>0</x:v>
      </x:c>
      <x:c r="J509" s="12" t="n">
        <x:f>IF('患者配对'!R529="positive",1,0)</x:f>
        <x:v>0</x:v>
      </x:c>
      <x:c r="K509" s="12" t="n">
        <x:f>IF('患者配对'!W529="positive",1,0)</x:f>
        <x:v>0</x:v>
      </x:c>
      <x:c r="L509" s="12" t="str">
        <x:v>由原件与原状态取得；仅主队列索引</x:v>
      </x:c>
      <x:c r="M509" s="12"/>
      <x:c r="N509" s="12"/>
      <x:c r="O509" s="12"/>
    </x:row>
    <x:row r="510" ht="39" customHeight="1">
      <x:c r="A510" s="12" t="str">
        <x:v>4137</x:v>
      </x:c>
      <x:c r="B510" s="12" t="str">
        <x:v>5040</x:v>
      </x:c>
      <x:c r="C510" s="12" t="str">
        <x:v>参考000</x:v>
      </x:c>
      <x:c r="D510" s="12" t="str">
        <x:v>自动000</x:v>
      </x:c>
      <x:c r="E510" s="12" t="n">
        <x:v>0</x:v>
      </x:c>
      <x:c r="F510" s="12" t="n">
        <x:v>0</x:v>
      </x:c>
      <x:c r="G510" s="12" t="n">
        <x:v>0</x:v>
      </x:c>
      <x:c r="H510" s="12" t="n">
        <x:f>IF(SUM(I510:K510)&gt;0,1,0)</x:f>
        <x:v>0</x:v>
      </x:c>
      <x:c r="I510" s="12" t="n">
        <x:f>IF('患者配对'!M530="positive",1,0)</x:f>
        <x:v>0</x:v>
      </x:c>
      <x:c r="J510" s="12" t="n">
        <x:f>IF('患者配对'!R530="positive",1,0)</x:f>
        <x:v>0</x:v>
      </x:c>
      <x:c r="K510" s="12" t="n">
        <x:f>IF('患者配对'!W530="positive",1,0)</x:f>
        <x:v>0</x:v>
      </x:c>
      <x:c r="L510" s="12" t="str">
        <x:v>由原件与原状态取得；仅主队列索引</x:v>
      </x:c>
      <x:c r="M510" s="12"/>
      <x:c r="N510" s="12"/>
      <x:c r="O510" s="12"/>
    </x:row>
    <x:row r="511" ht="39" customHeight="1">
      <x:c r="A511" s="12" t="str">
        <x:v>4149</x:v>
      </x:c>
      <x:c r="B511" s="12" t="str">
        <x:v>5394</x:v>
      </x:c>
      <x:c r="C511" s="12" t="str">
        <x:v>参考000</x:v>
      </x:c>
      <x:c r="D511" s="12" t="str">
        <x:v>自动000</x:v>
      </x:c>
      <x:c r="E511" s="12" t="n">
        <x:v>0</x:v>
      </x:c>
      <x:c r="F511" s="12" t="n">
        <x:v>0</x:v>
      </x:c>
      <x:c r="G511" s="12" t="n">
        <x:v>0</x:v>
      </x:c>
      <x:c r="H511" s="12" t="n">
        <x:f>IF(SUM(I511:K511)&gt;0,1,0)</x:f>
        <x:v>0</x:v>
      </x:c>
      <x:c r="I511" s="12" t="n">
        <x:f>IF('患者配对'!M531="positive",1,0)</x:f>
        <x:v>0</x:v>
      </x:c>
      <x:c r="J511" s="12" t="n">
        <x:f>IF('患者配对'!R531="positive",1,0)</x:f>
        <x:v>0</x:v>
      </x:c>
      <x:c r="K511" s="12" t="n">
        <x:f>IF('患者配对'!W531="positive",1,0)</x:f>
        <x:v>0</x:v>
      </x:c>
      <x:c r="L511" s="12" t="str">
        <x:v>由原件与原状态取得；仅主队列索引</x:v>
      </x:c>
      <x:c r="M511" s="12"/>
      <x:c r="N511" s="12"/>
      <x:c r="O511" s="12"/>
    </x:row>
    <x:row r="512" ht="39" customHeight="1">
      <x:c r="A512" s="12" t="str">
        <x:v>4153</x:v>
      </x:c>
      <x:c r="B512" s="12" t="str">
        <x:v>20939</x:v>
      </x:c>
      <x:c r="C512" s="12" t="str">
        <x:v>参考000</x:v>
      </x:c>
      <x:c r="D512" s="12" t="str">
        <x:v>自动000</x:v>
      </x:c>
      <x:c r="E512" s="12" t="n">
        <x:v>0</x:v>
      </x:c>
      <x:c r="F512" s="12" t="n">
        <x:v>0</x:v>
      </x:c>
      <x:c r="G512" s="12" t="n">
        <x:v>0</x:v>
      </x:c>
      <x:c r="H512" s="12" t="n">
        <x:f>IF(SUM(I512:K512)&gt;0,1,0)</x:f>
        <x:v>0</x:v>
      </x:c>
      <x:c r="I512" s="12" t="n">
        <x:f>IF('患者配对'!M532="positive",1,0)</x:f>
        <x:v>0</x:v>
      </x:c>
      <x:c r="J512" s="12" t="n">
        <x:f>IF('患者配对'!R532="positive",1,0)</x:f>
        <x:v>0</x:v>
      </x:c>
      <x:c r="K512" s="12" t="n">
        <x:f>IF('患者配对'!W532="positive",1,0)</x:f>
        <x:v>0</x:v>
      </x:c>
      <x:c r="L512" s="12" t="str">
        <x:v>由原件与原状态取得；仅主队列索引</x:v>
      </x:c>
      <x:c r="M512" s="12"/>
      <x:c r="N512" s="12"/>
      <x:c r="O512" s="12"/>
    </x:row>
    <x:row r="513" ht="39" customHeight="1">
      <x:c r="A513" s="12" t="str">
        <x:v>4167</x:v>
      </x:c>
      <x:c r="B513" s="12" t="str">
        <x:v>21197</x:v>
      </x:c>
      <x:c r="C513" s="12" t="str">
        <x:v>参考000</x:v>
      </x:c>
      <x:c r="D513" s="12" t="str">
        <x:v>自动000</x:v>
      </x:c>
      <x:c r="E513" s="12" t="n">
        <x:v>0</x:v>
      </x:c>
      <x:c r="F513" s="12" t="n">
        <x:v>0</x:v>
      </x:c>
      <x:c r="G513" s="12" t="n">
        <x:v>0</x:v>
      </x:c>
      <x:c r="H513" s="12" t="n">
        <x:f>IF(SUM(I513:K513)&gt;0,1,0)</x:f>
        <x:v>0</x:v>
      </x:c>
      <x:c r="I513" s="12" t="n">
        <x:f>IF('患者配对'!M533="positive",1,0)</x:f>
        <x:v>0</x:v>
      </x:c>
      <x:c r="J513" s="12" t="n">
        <x:f>IF('患者配对'!R533="positive",1,0)</x:f>
        <x:v>0</x:v>
      </x:c>
      <x:c r="K513" s="12" t="n">
        <x:f>IF('患者配对'!W533="positive",1,0)</x:f>
        <x:v>0</x:v>
      </x:c>
      <x:c r="L513" s="12" t="str">
        <x:v>由原件与原状态取得；仅主队列索引</x:v>
      </x:c>
      <x:c r="M513" s="12"/>
      <x:c r="N513" s="12"/>
      <x:c r="O513" s="12"/>
    </x:row>
    <x:row r="514" ht="39" customHeight="1">
      <x:c r="A514" s="12" t="str">
        <x:v>4175</x:v>
      </x:c>
      <x:c r="B514" s="12" t="str">
        <x:v>18463</x:v>
      </x:c>
      <x:c r="C514" s="12" t="str">
        <x:v>参考000</x:v>
      </x:c>
      <x:c r="D514" s="12" t="str">
        <x:v>自动000</x:v>
      </x:c>
      <x:c r="E514" s="12" t="n">
        <x:v>0</x:v>
      </x:c>
      <x:c r="F514" s="12" t="n">
        <x:v>0</x:v>
      </x:c>
      <x:c r="G514" s="12" t="n">
        <x:v>0</x:v>
      </x:c>
      <x:c r="H514" s="12" t="n">
        <x:f>IF(SUM(I514:K514)&gt;0,1,0)</x:f>
        <x:v>0</x:v>
      </x:c>
      <x:c r="I514" s="12" t="n">
        <x:f>IF('患者配对'!M534="positive",1,0)</x:f>
        <x:v>0</x:v>
      </x:c>
      <x:c r="J514" s="12" t="n">
        <x:f>IF('患者配对'!R534="positive",1,0)</x:f>
        <x:v>0</x:v>
      </x:c>
      <x:c r="K514" s="12" t="n">
        <x:f>IF('患者配对'!W534="positive",1,0)</x:f>
        <x:v>0</x:v>
      </x:c>
      <x:c r="L514" s="12" t="str">
        <x:v>由原件与原状态取得；仅主队列索引</x:v>
      </x:c>
      <x:c r="M514" s="12"/>
      <x:c r="N514" s="12"/>
      <x:c r="O514" s="12"/>
    </x:row>
    <x:row r="515" ht="39" customHeight="1">
      <x:c r="A515" s="12" t="str">
        <x:v>4177</x:v>
      </x:c>
      <x:c r="B515" s="12" t="str">
        <x:v>8358</x:v>
      </x:c>
      <x:c r="C515" s="12" t="str">
        <x:v>参考000</x:v>
      </x:c>
      <x:c r="D515" s="12" t="str">
        <x:v>自动000</x:v>
      </x:c>
      <x:c r="E515" s="12" t="n">
        <x:v>0</x:v>
      </x:c>
      <x:c r="F515" s="12" t="n">
        <x:v>1</x:v>
      </x:c>
      <x:c r="G515" s="12" t="n">
        <x:v>0</x:v>
      </x:c>
      <x:c r="H515" s="12" t="n">
        <x:f>IF(SUM(I515:K515)&gt;0,1,0)</x:f>
        <x:v>0</x:v>
      </x:c>
      <x:c r="I515" s="12" t="n">
        <x:f>IF('患者配对'!M535="positive",1,0)</x:f>
        <x:v>0</x:v>
      </x:c>
      <x:c r="J515" s="12" t="n">
        <x:f>IF('患者配对'!R535="positive",1,0)</x:f>
        <x:v>0</x:v>
      </x:c>
      <x:c r="K515" s="12" t="n">
        <x:f>IF('患者配对'!W535="positive",1,0)</x:f>
        <x:v>0</x:v>
      </x:c>
      <x:c r="L515" s="12" t="str">
        <x:v>由原件与原状态取得；仅主队列索引</x:v>
      </x:c>
      <x:c r="M515" s="12"/>
      <x:c r="N515" s="12"/>
      <x:c r="O515" s="12"/>
    </x:row>
    <x:row r="516" ht="39" customHeight="1">
      <x:c r="A516" s="12" t="str">
        <x:v>4203</x:v>
      </x:c>
      <x:c r="B516" s="12" t="str">
        <x:v>14374</x:v>
      </x:c>
      <x:c r="C516" s="12" t="str">
        <x:v>参考100</x:v>
      </x:c>
      <x:c r="D516" s="12" t="str">
        <x:v>自动100</x:v>
      </x:c>
      <x:c r="E516" s="12" t="n">
        <x:v>1</x:v>
      </x:c>
      <x:c r="F516" s="12" t="n">
        <x:v>1</x:v>
      </x:c>
      <x:c r="G516" s="12" t="n">
        <x:v>0</x:v>
      </x:c>
      <x:c r="H516" s="12" t="n">
        <x:f>IF(SUM(I516:K516)&gt;0,1,0)</x:f>
        <x:v>1</x:v>
      </x:c>
      <x:c r="I516" s="12" t="n">
        <x:f>IF('患者配对'!M536="positive",1,0)</x:f>
        <x:v>1</x:v>
      </x:c>
      <x:c r="J516" s="12" t="n">
        <x:f>IF('患者配对'!R536="positive",1,0)</x:f>
        <x:v>0</x:v>
      </x:c>
      <x:c r="K516" s="12" t="n">
        <x:f>IF('患者配对'!W536="positive",1,0)</x:f>
        <x:v>0</x:v>
      </x:c>
      <x:c r="L516" s="12" t="str">
        <x:v>由原件与原状态取得；仅主队列索引</x:v>
      </x:c>
      <x:c r="M516" s="12"/>
      <x:c r="N516" s="12"/>
      <x:c r="O516" s="12"/>
    </x:row>
    <x:row r="517" ht="39" customHeight="1">
      <x:c r="A517" s="12" t="str">
        <x:v>4220</x:v>
      </x:c>
      <x:c r="B517" s="12" t="str">
        <x:v>16204</x:v>
      </x:c>
      <x:c r="C517" s="12" t="str">
        <x:v>参考000</x:v>
      </x:c>
      <x:c r="D517" s="12" t="str">
        <x:v>自动000</x:v>
      </x:c>
      <x:c r="E517" s="12" t="n">
        <x:v>0</x:v>
      </x:c>
      <x:c r="F517" s="12" t="n">
        <x:v>0</x:v>
      </x:c>
      <x:c r="G517" s="12" t="n">
        <x:v>0</x:v>
      </x:c>
      <x:c r="H517" s="12" t="n">
        <x:f>IF(SUM(I517:K517)&gt;0,1,0)</x:f>
        <x:v>0</x:v>
      </x:c>
      <x:c r="I517" s="12" t="n">
        <x:f>IF('患者配对'!M537="positive",1,0)</x:f>
        <x:v>0</x:v>
      </x:c>
      <x:c r="J517" s="12" t="n">
        <x:f>IF('患者配对'!R537="positive",1,0)</x:f>
        <x:v>0</x:v>
      </x:c>
      <x:c r="K517" s="12" t="n">
        <x:f>IF('患者配对'!W537="positive",1,0)</x:f>
        <x:v>0</x:v>
      </x:c>
      <x:c r="L517" s="12" t="str">
        <x:v>由原件与原状态取得；仅主队列索引</x:v>
      </x:c>
      <x:c r="M517" s="12"/>
      <x:c r="N517" s="12"/>
      <x:c r="O517" s="12"/>
    </x:row>
    <x:row r="518" ht="39" customHeight="1">
      <x:c r="A518" s="12" t="str">
        <x:v>4224</x:v>
      </x:c>
      <x:c r="B518" s="12" t="str">
        <x:v>9065</x:v>
      </x:c>
      <x:c r="C518" s="12" t="str">
        <x:v>参考000</x:v>
      </x:c>
      <x:c r="D518" s="12" t="str">
        <x:v>自动000</x:v>
      </x:c>
      <x:c r="E518" s="12" t="n">
        <x:v>0</x:v>
      </x:c>
      <x:c r="F518" s="12" t="n">
        <x:v>0</x:v>
      </x:c>
      <x:c r="G518" s="12" t="n">
        <x:v>0</x:v>
      </x:c>
      <x:c r="H518" s="12" t="n">
        <x:f>IF(SUM(I518:K518)&gt;0,1,0)</x:f>
        <x:v>0</x:v>
      </x:c>
      <x:c r="I518" s="12" t="n">
        <x:f>IF('患者配对'!M538="positive",1,0)</x:f>
        <x:v>0</x:v>
      </x:c>
      <x:c r="J518" s="12" t="n">
        <x:f>IF('患者配对'!R538="positive",1,0)</x:f>
        <x:v>0</x:v>
      </x:c>
      <x:c r="K518" s="12" t="n">
        <x:f>IF('患者配对'!W538="positive",1,0)</x:f>
        <x:v>0</x:v>
      </x:c>
      <x:c r="L518" s="12" t="str">
        <x:v>由原件与原状态取得；仅主队列索引</x:v>
      </x:c>
      <x:c r="M518" s="12"/>
      <x:c r="N518" s="12"/>
      <x:c r="O518" s="12"/>
    </x:row>
    <x:row r="519" ht="39" customHeight="1">
      <x:c r="A519" s="12" t="str">
        <x:v>4225</x:v>
      </x:c>
      <x:c r="B519" s="12" t="str">
        <x:v>11939</x:v>
      </x:c>
      <x:c r="C519" s="12" t="str">
        <x:v>参考000</x:v>
      </x:c>
      <x:c r="D519" s="12" t="str">
        <x:v>自动000</x:v>
      </x:c>
      <x:c r="E519" s="12" t="n">
        <x:v>0</x:v>
      </x:c>
      <x:c r="F519" s="12" t="n">
        <x:v>0</x:v>
      </x:c>
      <x:c r="G519" s="12" t="n">
        <x:v>0</x:v>
      </x:c>
      <x:c r="H519" s="12" t="n">
        <x:f>IF(SUM(I519:K519)&gt;0,1,0)</x:f>
        <x:v>0</x:v>
      </x:c>
      <x:c r="I519" s="12" t="n">
        <x:f>IF('患者配对'!M539="positive",1,0)</x:f>
        <x:v>0</x:v>
      </x:c>
      <x:c r="J519" s="12" t="n">
        <x:f>IF('患者配对'!R539="positive",1,0)</x:f>
        <x:v>0</x:v>
      </x:c>
      <x:c r="K519" s="12" t="n">
        <x:f>IF('患者配对'!W539="positive",1,0)</x:f>
        <x:v>0</x:v>
      </x:c>
      <x:c r="L519" s="12" t="str">
        <x:v>由原件与原状态取得；仅主队列索引</x:v>
      </x:c>
      <x:c r="M519" s="12"/>
      <x:c r="N519" s="12"/>
      <x:c r="O519" s="12"/>
    </x:row>
    <x:row r="520" ht="39" customHeight="1">
      <x:c r="A520" s="12" t="str">
        <x:v>4226</x:v>
      </x:c>
      <x:c r="B520" s="12" t="str">
        <x:v>20424</x:v>
      </x:c>
      <x:c r="C520" s="12" t="str">
        <x:v>参考000</x:v>
      </x:c>
      <x:c r="D520" s="12" t="str">
        <x:v>自动000</x:v>
      </x:c>
      <x:c r="E520" s="12" t="n">
        <x:v>0</x:v>
      </x:c>
      <x:c r="F520" s="12" t="n">
        <x:v>0</x:v>
      </x:c>
      <x:c r="G520" s="12" t="n">
        <x:v>0</x:v>
      </x:c>
      <x:c r="H520" s="12" t="n">
        <x:f>IF(SUM(I520:K520)&gt;0,1,0)</x:f>
        <x:v>0</x:v>
      </x:c>
      <x:c r="I520" s="12" t="n">
        <x:f>IF('患者配对'!M540="positive",1,0)</x:f>
        <x:v>0</x:v>
      </x:c>
      <x:c r="J520" s="12" t="n">
        <x:f>IF('患者配对'!R540="positive",1,0)</x:f>
        <x:v>0</x:v>
      </x:c>
      <x:c r="K520" s="12" t="n">
        <x:f>IF('患者配对'!W540="positive",1,0)</x:f>
        <x:v>0</x:v>
      </x:c>
      <x:c r="L520" s="12" t="str">
        <x:v>由原件与原状态取得；仅主队列索引</x:v>
      </x:c>
      <x:c r="M520" s="12"/>
      <x:c r="N520" s="12"/>
      <x:c r="O520" s="12"/>
    </x:row>
    <x:row r="521" ht="39" customHeight="1">
      <x:c r="A521" s="12" t="str">
        <x:v>4229</x:v>
      </x:c>
      <x:c r="B521" s="12" t="str">
        <x:v>21768</x:v>
      </x:c>
      <x:c r="C521" s="12" t="str">
        <x:v>参考000</x:v>
      </x:c>
      <x:c r="D521" s="12" t="str">
        <x:v>自动000</x:v>
      </x:c>
      <x:c r="E521" s="12" t="n">
        <x:v>0</x:v>
      </x:c>
      <x:c r="F521" s="12" t="n">
        <x:v>1</x:v>
      </x:c>
      <x:c r="G521" s="12" t="n">
        <x:v>0</x:v>
      </x:c>
      <x:c r="H521" s="12" t="n">
        <x:f>IF(SUM(I521:K521)&gt;0,1,0)</x:f>
        <x:v>0</x:v>
      </x:c>
      <x:c r="I521" s="12" t="n">
        <x:f>IF('患者配对'!M541="positive",1,0)</x:f>
        <x:v>0</x:v>
      </x:c>
      <x:c r="J521" s="12" t="n">
        <x:f>IF('患者配对'!R541="positive",1,0)</x:f>
        <x:v>0</x:v>
      </x:c>
      <x:c r="K521" s="12" t="n">
        <x:f>IF('患者配对'!W541="positive",1,0)</x:f>
        <x:v>0</x:v>
      </x:c>
      <x:c r="L521" s="12" t="str">
        <x:v>由原件与原状态取得；仅主队列索引</x:v>
      </x:c>
      <x:c r="M521" s="12"/>
      <x:c r="N521" s="12"/>
      <x:c r="O521" s="12"/>
    </x:row>
    <x:row r="522" ht="39" customHeight="1">
      <x:c r="A522" s="12" t="str">
        <x:v>4235</x:v>
      </x:c>
      <x:c r="B522" s="12" t="str">
        <x:v>10030</x:v>
      </x:c>
      <x:c r="C522" s="12" t="str">
        <x:v>参考000</x:v>
      </x:c>
      <x:c r="D522" s="12" t="str">
        <x:v>自动000</x:v>
      </x:c>
      <x:c r="E522" s="12" t="n">
        <x:v>0</x:v>
      </x:c>
      <x:c r="F522" s="12" t="n">
        <x:v>0</x:v>
      </x:c>
      <x:c r="G522" s="12" t="n">
        <x:v>0</x:v>
      </x:c>
      <x:c r="H522" s="12" t="n">
        <x:f>IF(SUM(I522:K522)&gt;0,1,0)</x:f>
        <x:v>0</x:v>
      </x:c>
      <x:c r="I522" s="12" t="n">
        <x:f>IF('患者配对'!M543="positive",1,0)</x:f>
        <x:v>0</x:v>
      </x:c>
      <x:c r="J522" s="12" t="n">
        <x:f>IF('患者配对'!R543="positive",1,0)</x:f>
        <x:v>0</x:v>
      </x:c>
      <x:c r="K522" s="12" t="n">
        <x:f>IF('患者配对'!W543="positive",1,0)</x:f>
        <x:v>0</x:v>
      </x:c>
      <x:c r="L522" s="12" t="str">
        <x:v>由原件与原状态取得；仅主队列索引</x:v>
      </x:c>
      <x:c r="M522" s="12"/>
      <x:c r="N522" s="12"/>
      <x:c r="O522" s="12"/>
    </x:row>
    <x:row r="523" ht="39" customHeight="1">
      <x:c r="A523" s="12" t="str">
        <x:v>4238</x:v>
      </x:c>
      <x:c r="B523" s="12" t="str">
        <x:v>10949</x:v>
      </x:c>
      <x:c r="C523" s="12" t="str">
        <x:v>参考000</x:v>
      </x:c>
      <x:c r="D523" s="12" t="str">
        <x:v>自动001</x:v>
      </x:c>
      <x:c r="E523" s="12" t="n">
        <x:v>1</x:v>
      </x:c>
      <x:c r="F523" s="12" t="n">
        <x:v>1</x:v>
      </x:c>
      <x:c r="G523" s="12" t="n">
        <x:v>1</x:v>
      </x:c>
      <x:c r="H523" s="12" t="n">
        <x:f>IF(SUM(I523:K523)&gt;0,1,0)</x:f>
        <x:v>0</x:v>
      </x:c>
      <x:c r="I523" s="12" t="n">
        <x:f>IF('患者配对'!M544="positive",1,0)</x:f>
        <x:v>0</x:v>
      </x:c>
      <x:c r="J523" s="12" t="n">
        <x:f>IF('患者配对'!R544="positive",1,0)</x:f>
        <x:v>0</x:v>
      </x:c>
      <x:c r="K523" s="12" t="n">
        <x:f>IF('患者配对'!W544="positive",1,0)</x:f>
        <x:v>0</x:v>
      </x:c>
      <x:c r="L523" s="12" t="str">
        <x:v>由原件与原状态取得；仅主队列索引</x:v>
      </x:c>
      <x:c r="M523" s="12"/>
      <x:c r="N523" s="12"/>
      <x:c r="O523" s="12"/>
    </x:row>
    <x:row r="524" ht="39" customHeight="1">
      <x:c r="A524" s="12" t="str">
        <x:v>4239</x:v>
      </x:c>
      <x:c r="B524" s="12" t="str">
        <x:v>9886</x:v>
      </x:c>
      <x:c r="C524" s="12" t="str">
        <x:v>参考000</x:v>
      </x:c>
      <x:c r="D524" s="12" t="str">
        <x:v>自动000</x:v>
      </x:c>
      <x:c r="E524" s="12" t="n">
        <x:v>0</x:v>
      </x:c>
      <x:c r="F524" s="12" t="n">
        <x:v>0</x:v>
      </x:c>
      <x:c r="G524" s="12" t="n">
        <x:v>0</x:v>
      </x:c>
      <x:c r="H524" s="12" t="n">
        <x:f>IF(SUM(I524:K524)&gt;0,1,0)</x:f>
        <x:v>0</x:v>
      </x:c>
      <x:c r="I524" s="12" t="n">
        <x:f>IF('患者配对'!M545="positive",1,0)</x:f>
        <x:v>0</x:v>
      </x:c>
      <x:c r="J524" s="12" t="n">
        <x:f>IF('患者配对'!R545="positive",1,0)</x:f>
        <x:v>0</x:v>
      </x:c>
      <x:c r="K524" s="12" t="n">
        <x:f>IF('患者配对'!W545="positive",1,0)</x:f>
        <x:v>0</x:v>
      </x:c>
      <x:c r="L524" s="12" t="str">
        <x:v>由原件与原状态取得；仅主队列索引</x:v>
      </x:c>
      <x:c r="M524" s="12"/>
      <x:c r="N524" s="12"/>
      <x:c r="O524" s="12"/>
    </x:row>
    <x:row r="525" ht="39" customHeight="1">
      <x:c r="A525" s="12" t="str">
        <x:v>4245</x:v>
      </x:c>
      <x:c r="B525" s="12" t="str">
        <x:v>17491</x:v>
      </x:c>
      <x:c r="C525" s="12" t="str">
        <x:v>参考000</x:v>
      </x:c>
      <x:c r="D525" s="12" t="str">
        <x:v>自动000</x:v>
      </x:c>
      <x:c r="E525" s="12" t="n">
        <x:v>0</x:v>
      </x:c>
      <x:c r="F525" s="12" t="n">
        <x:v>0</x:v>
      </x:c>
      <x:c r="G525" s="12" t="n">
        <x:v>0</x:v>
      </x:c>
      <x:c r="H525" s="12" t="n">
        <x:f>IF(SUM(I525:K525)&gt;0,1,0)</x:f>
        <x:v>0</x:v>
      </x:c>
      <x:c r="I525" s="12" t="n">
        <x:f>IF('患者配对'!M546="positive",1,0)</x:f>
        <x:v>0</x:v>
      </x:c>
      <x:c r="J525" s="12" t="n">
        <x:f>IF('患者配对'!R546="positive",1,0)</x:f>
        <x:v>0</x:v>
      </x:c>
      <x:c r="K525" s="12" t="n">
        <x:f>IF('患者配对'!W546="positive",1,0)</x:f>
        <x:v>0</x:v>
      </x:c>
      <x:c r="L525" s="12" t="str">
        <x:v>由原件与原状态取得；仅主队列索引</x:v>
      </x:c>
      <x:c r="M525" s="12"/>
      <x:c r="N525" s="12"/>
      <x:c r="O525" s="12"/>
    </x:row>
    <x:row r="526" ht="39" customHeight="1">
      <x:c r="A526" s="12" t="str">
        <x:v>4254</x:v>
      </x:c>
      <x:c r="B526" s="12" t="str">
        <x:v>20030</x:v>
      </x:c>
      <x:c r="C526" s="12" t="str">
        <x:v>参考000</x:v>
      </x:c>
      <x:c r="D526" s="12" t="str">
        <x:v>自动001</x:v>
      </x:c>
      <x:c r="E526" s="12" t="n">
        <x:v>1</x:v>
      </x:c>
      <x:c r="F526" s="12" t="n">
        <x:v>1</x:v>
      </x:c>
      <x:c r="G526" s="12" t="n">
        <x:v>1</x:v>
      </x:c>
      <x:c r="H526" s="12" t="n">
        <x:f>IF(SUM(I526:K526)&gt;0,1,0)</x:f>
        <x:v>0</x:v>
      </x:c>
      <x:c r="I526" s="12" t="n">
        <x:f>IF('患者配对'!M547="positive",1,0)</x:f>
        <x:v>0</x:v>
      </x:c>
      <x:c r="J526" s="12" t="n">
        <x:f>IF('患者配对'!R547="positive",1,0)</x:f>
        <x:v>0</x:v>
      </x:c>
      <x:c r="K526" s="12" t="n">
        <x:f>IF('患者配对'!W547="positive",1,0)</x:f>
        <x:v>0</x:v>
      </x:c>
      <x:c r="L526" s="12" t="str">
        <x:v>由原件与原状态取得；仅主队列索引</x:v>
      </x:c>
      <x:c r="M526" s="12"/>
      <x:c r="N526" s="12"/>
      <x:c r="O526" s="12"/>
    </x:row>
    <x:row r="527" ht="39" customHeight="1">
      <x:c r="A527" s="12" t="str">
        <x:v>4257</x:v>
      </x:c>
      <x:c r="B527" s="12" t="str">
        <x:v>10071</x:v>
      </x:c>
      <x:c r="C527" s="12" t="str">
        <x:v>参考000</x:v>
      </x:c>
      <x:c r="D527" s="12" t="str">
        <x:v>自动000</x:v>
      </x:c>
      <x:c r="E527" s="12" t="n">
        <x:v>0</x:v>
      </x:c>
      <x:c r="F527" s="12" t="n">
        <x:v>0</x:v>
      </x:c>
      <x:c r="G527" s="12" t="n">
        <x:v>0</x:v>
      </x:c>
      <x:c r="H527" s="12" t="n">
        <x:f>IF(SUM(I527:K527)&gt;0,1,0)</x:f>
        <x:v>0</x:v>
      </x:c>
      <x:c r="I527" s="12" t="n">
        <x:f>IF('患者配对'!M548="positive",1,0)</x:f>
        <x:v>0</x:v>
      </x:c>
      <x:c r="J527" s="12" t="n">
        <x:f>IF('患者配对'!R548="positive",1,0)</x:f>
        <x:v>0</x:v>
      </x:c>
      <x:c r="K527" s="12" t="n">
        <x:f>IF('患者配对'!W548="positive",1,0)</x:f>
        <x:v>0</x:v>
      </x:c>
      <x:c r="L527" s="12" t="str">
        <x:v>由原件与原状态取得；仅主队列索引</x:v>
      </x:c>
      <x:c r="M527" s="12"/>
      <x:c r="N527" s="12"/>
      <x:c r="O527" s="12"/>
    </x:row>
    <x:row r="528" ht="39" customHeight="1">
      <x:c r="A528" s="12" t="str">
        <x:v>4266</x:v>
      </x:c>
      <x:c r="B528" s="12" t="str">
        <x:v>8493</x:v>
      </x:c>
      <x:c r="C528" s="12" t="str">
        <x:v>参考000</x:v>
      </x:c>
      <x:c r="D528" s="12" t="str">
        <x:v>自动000</x:v>
      </x:c>
      <x:c r="E528" s="12" t="n">
        <x:v>0</x:v>
      </x:c>
      <x:c r="F528" s="12" t="n">
        <x:v>1</x:v>
      </x:c>
      <x:c r="G528" s="12" t="n">
        <x:v>0</x:v>
      </x:c>
      <x:c r="H528" s="12" t="n">
        <x:f>IF(SUM(I528:K528)&gt;0,1,0)</x:f>
        <x:v>0</x:v>
      </x:c>
      <x:c r="I528" s="12" t="n">
        <x:f>IF('患者配对'!M550="positive",1,0)</x:f>
        <x:v>0</x:v>
      </x:c>
      <x:c r="J528" s="12" t="n">
        <x:f>IF('患者配对'!R550="positive",1,0)</x:f>
        <x:v>0</x:v>
      </x:c>
      <x:c r="K528" s="12" t="n">
        <x:f>IF('患者配对'!W550="positive",1,0)</x:f>
        <x:v>0</x:v>
      </x:c>
      <x:c r="L528" s="12" t="str">
        <x:v>由原件与原状态取得；仅主队列索引</x:v>
      </x:c>
      <x:c r="M528" s="12"/>
      <x:c r="N528" s="12"/>
      <x:c r="O528" s="12"/>
    </x:row>
    <x:row r="529" ht="39" customHeight="1">
      <x:c r="A529" s="12" t="str">
        <x:v>4269</x:v>
      </x:c>
      <x:c r="B529" s="12" t="str">
        <x:v>11845</x:v>
      </x:c>
      <x:c r="C529" s="12" t="str">
        <x:v>参考000</x:v>
      </x:c>
      <x:c r="D529" s="12" t="str">
        <x:v>自动000</x:v>
      </x:c>
      <x:c r="E529" s="12" t="n">
        <x:v>0</x:v>
      </x:c>
      <x:c r="F529" s="12" t="n">
        <x:v>0</x:v>
      </x:c>
      <x:c r="G529" s="12" t="n">
        <x:v>0</x:v>
      </x:c>
      <x:c r="H529" s="12" t="n">
        <x:f>IF(SUM(I529:K529)&gt;0,1,0)</x:f>
        <x:v>0</x:v>
      </x:c>
      <x:c r="I529" s="12" t="n">
        <x:f>IF('患者配对'!M551="positive",1,0)</x:f>
        <x:v>0</x:v>
      </x:c>
      <x:c r="J529" s="12" t="n">
        <x:f>IF('患者配对'!R551="positive",1,0)</x:f>
        <x:v>0</x:v>
      </x:c>
      <x:c r="K529" s="12" t="n">
        <x:f>IF('患者配对'!W551="positive",1,0)</x:f>
        <x:v>0</x:v>
      </x:c>
      <x:c r="L529" s="12" t="str">
        <x:v>由原件与原状态取得；仅主队列索引</x:v>
      </x:c>
      <x:c r="M529" s="12"/>
      <x:c r="N529" s="12"/>
      <x:c r="O529" s="12"/>
    </x:row>
    <x:row r="530" ht="39" customHeight="1">
      <x:c r="A530" s="12" t="str">
        <x:v>4278</x:v>
      </x:c>
      <x:c r="B530" s="12" t="str">
        <x:v>3800</x:v>
      </x:c>
      <x:c r="C530" s="12" t="str">
        <x:v>参考000</x:v>
      </x:c>
      <x:c r="D530" s="12" t="str">
        <x:v>自动000</x:v>
      </x:c>
      <x:c r="E530" s="12" t="n">
        <x:v>0</x:v>
      </x:c>
      <x:c r="F530" s="12" t="n">
        <x:v>0</x:v>
      </x:c>
      <x:c r="G530" s="12" t="n">
        <x:v>0</x:v>
      </x:c>
      <x:c r="H530" s="12" t="n">
        <x:f>IF(SUM(I530:K530)&gt;0,1,0)</x:f>
        <x:v>0</x:v>
      </x:c>
      <x:c r="I530" s="12" t="n">
        <x:f>IF('患者配对'!M552="positive",1,0)</x:f>
        <x:v>0</x:v>
      </x:c>
      <x:c r="J530" s="12" t="n">
        <x:f>IF('患者配对'!R552="positive",1,0)</x:f>
        <x:v>0</x:v>
      </x:c>
      <x:c r="K530" s="12" t="n">
        <x:f>IF('患者配对'!W552="positive",1,0)</x:f>
        <x:v>0</x:v>
      </x:c>
      <x:c r="L530" s="12" t="str">
        <x:v>由原件与原状态取得；仅主队列索引</x:v>
      </x:c>
      <x:c r="M530" s="12"/>
      <x:c r="N530" s="12"/>
      <x:c r="O530" s="12"/>
    </x:row>
    <x:row r="531" ht="39" customHeight="1">
      <x:c r="A531" s="12" t="str">
        <x:v>4295</x:v>
      </x:c>
      <x:c r="B531" s="12" t="str">
        <x:v>11001</x:v>
      </x:c>
      <x:c r="C531" s="12" t="str">
        <x:v>参考000</x:v>
      </x:c>
      <x:c r="D531" s="12" t="str">
        <x:v>自动000</x:v>
      </x:c>
      <x:c r="E531" s="12" t="n">
        <x:v>0</x:v>
      </x:c>
      <x:c r="F531" s="12" t="n">
        <x:v>0</x:v>
      </x:c>
      <x:c r="G531" s="12" t="n">
        <x:v>0</x:v>
      </x:c>
      <x:c r="H531" s="12" t="n">
        <x:f>IF(SUM(I531:K531)&gt;0,1,0)</x:f>
        <x:v>0</x:v>
      </x:c>
      <x:c r="I531" s="12" t="n">
        <x:f>IF('患者配对'!M553="positive",1,0)</x:f>
        <x:v>0</x:v>
      </x:c>
      <x:c r="J531" s="12" t="n">
        <x:f>IF('患者配对'!R553="positive",1,0)</x:f>
        <x:v>0</x:v>
      </x:c>
      <x:c r="K531" s="12" t="n">
        <x:f>IF('患者配对'!W553="positive",1,0)</x:f>
        <x:v>0</x:v>
      </x:c>
      <x:c r="L531" s="12" t="str">
        <x:v>由原件与原状态取得；仅主队列索引</x:v>
      </x:c>
      <x:c r="M531" s="12"/>
      <x:c r="N531" s="12"/>
      <x:c r="O531" s="12"/>
    </x:row>
    <x:row r="532" ht="39" customHeight="1">
      <x:c r="A532" s="12" t="str">
        <x:v>4329</x:v>
      </x:c>
      <x:c r="B532" s="12" t="str">
        <x:v>5920</x:v>
      </x:c>
      <x:c r="C532" s="12" t="str">
        <x:v>参考000</x:v>
      </x:c>
      <x:c r="D532" s="12" t="str">
        <x:v>自动000</x:v>
      </x:c>
      <x:c r="E532" s="12" t="n">
        <x:v>0</x:v>
      </x:c>
      <x:c r="F532" s="12" t="n">
        <x:v>0</x:v>
      </x:c>
      <x:c r="G532" s="12" t="n">
        <x:v>0</x:v>
      </x:c>
      <x:c r="H532" s="12" t="n">
        <x:f>IF(SUM(I532:K532)&gt;0,1,0)</x:f>
        <x:v>0</x:v>
      </x:c>
      <x:c r="I532" s="12" t="n">
        <x:f>IF('患者配对'!M554="positive",1,0)</x:f>
        <x:v>0</x:v>
      </x:c>
      <x:c r="J532" s="12" t="n">
        <x:f>IF('患者配对'!R554="positive",1,0)</x:f>
        <x:v>0</x:v>
      </x:c>
      <x:c r="K532" s="12" t="n">
        <x:f>IF('患者配对'!W554="positive",1,0)</x:f>
        <x:v>0</x:v>
      </x:c>
      <x:c r="L532" s="12" t="str">
        <x:v>由原件与原状态取得；仅主队列索引</x:v>
      </x:c>
      <x:c r="M532" s="12"/>
      <x:c r="N532" s="12"/>
      <x:c r="O532" s="12"/>
    </x:row>
    <x:row r="533" ht="39" customHeight="1">
      <x:c r="A533" s="12" t="str">
        <x:v>4335</x:v>
      </x:c>
      <x:c r="B533" s="12" t="str">
        <x:v>20692</x:v>
      </x:c>
      <x:c r="C533" s="12" t="str">
        <x:v>参考100</x:v>
      </x:c>
      <x:c r="D533" s="12" t="str">
        <x:v>自动100</x:v>
      </x:c>
      <x:c r="E533" s="12" t="n">
        <x:v>1</x:v>
      </x:c>
      <x:c r="F533" s="12" t="n">
        <x:v>1</x:v>
      </x:c>
      <x:c r="G533" s="12" t="n">
        <x:v>0</x:v>
      </x:c>
      <x:c r="H533" s="12" t="n">
        <x:f>IF(SUM(I533:K533)&gt;0,1,0)</x:f>
        <x:v>1</x:v>
      </x:c>
      <x:c r="I533" s="12" t="n">
        <x:f>IF('患者配对'!M555="positive",1,0)</x:f>
        <x:v>1</x:v>
      </x:c>
      <x:c r="J533" s="12" t="n">
        <x:f>IF('患者配对'!R555="positive",1,0)</x:f>
        <x:v>0</x:v>
      </x:c>
      <x:c r="K533" s="12" t="n">
        <x:f>IF('患者配对'!W555="positive",1,0)</x:f>
        <x:v>0</x:v>
      </x:c>
      <x:c r="L533" s="12" t="str">
        <x:v>由原件与原状态取得；仅主队列索引</x:v>
      </x:c>
      <x:c r="M533" s="12"/>
      <x:c r="N533" s="12"/>
      <x:c r="O533" s="12"/>
    </x:row>
    <x:row r="534" ht="39" customHeight="1">
      <x:c r="A534" s="12" t="str">
        <x:v>4336</x:v>
      </x:c>
      <x:c r="B534" s="12" t="str">
        <x:v>806</x:v>
      </x:c>
      <x:c r="C534" s="12" t="str">
        <x:v>参考000</x:v>
      </x:c>
      <x:c r="D534" s="12" t="str">
        <x:v>自动000</x:v>
      </x:c>
      <x:c r="E534" s="12" t="n">
        <x:v>0</x:v>
      </x:c>
      <x:c r="F534" s="12" t="n">
        <x:v>0</x:v>
      </x:c>
      <x:c r="G534" s="12" t="n">
        <x:v>0</x:v>
      </x:c>
      <x:c r="H534" s="12" t="n">
        <x:f>IF(SUM(I534:K534)&gt;0,1,0)</x:f>
        <x:v>0</x:v>
      </x:c>
      <x:c r="I534" s="12" t="n">
        <x:f>IF('患者配对'!M556="positive",1,0)</x:f>
        <x:v>0</x:v>
      </x:c>
      <x:c r="J534" s="12" t="n">
        <x:f>IF('患者配对'!R556="positive",1,0)</x:f>
        <x:v>0</x:v>
      </x:c>
      <x:c r="K534" s="12" t="n">
        <x:f>IF('患者配对'!W556="positive",1,0)</x:f>
        <x:v>0</x:v>
      </x:c>
      <x:c r="L534" s="12" t="str">
        <x:v>由原件与原状态取得；仅主队列索引</x:v>
      </x:c>
      <x:c r="M534" s="12"/>
      <x:c r="N534" s="12"/>
      <x:c r="O534" s="12"/>
    </x:row>
    <x:row r="535" ht="39" customHeight="1">
      <x:c r="A535" s="12" t="str">
        <x:v>4342</x:v>
      </x:c>
      <x:c r="B535" s="12" t="str">
        <x:v>6142</x:v>
      </x:c>
      <x:c r="C535" s="12" t="str">
        <x:v>参考000</x:v>
      </x:c>
      <x:c r="D535" s="12" t="str">
        <x:v>自动000</x:v>
      </x:c>
      <x:c r="E535" s="12" t="n">
        <x:v>0</x:v>
      </x:c>
      <x:c r="F535" s="12" t="n">
        <x:v>1</x:v>
      </x:c>
      <x:c r="G535" s="12" t="n">
        <x:v>0</x:v>
      </x:c>
      <x:c r="H535" s="12" t="n">
        <x:f>IF(SUM(I535:K535)&gt;0,1,0)</x:f>
        <x:v>0</x:v>
      </x:c>
      <x:c r="I535" s="12" t="n">
        <x:f>IF('患者配对'!M557="positive",1,0)</x:f>
        <x:v>0</x:v>
      </x:c>
      <x:c r="J535" s="12" t="n">
        <x:f>IF('患者配对'!R557="positive",1,0)</x:f>
        <x:v>0</x:v>
      </x:c>
      <x:c r="K535" s="12" t="n">
        <x:f>IF('患者配对'!W557="positive",1,0)</x:f>
        <x:v>0</x:v>
      </x:c>
      <x:c r="L535" s="12" t="str">
        <x:v>由原件与原状态取得；仅主队列索引</x:v>
      </x:c>
      <x:c r="M535" s="12"/>
      <x:c r="N535" s="12"/>
      <x:c r="O535" s="12"/>
    </x:row>
    <x:row r="536" ht="39" customHeight="1">
      <x:c r="A536" s="12" t="str">
        <x:v>4354</x:v>
      </x:c>
      <x:c r="B536" s="12" t="str">
        <x:v>18056</x:v>
      </x:c>
      <x:c r="C536" s="12" t="str">
        <x:v>参考000</x:v>
      </x:c>
      <x:c r="D536" s="12" t="str">
        <x:v>自动000</x:v>
      </x:c>
      <x:c r="E536" s="12" t="n">
        <x:v>0</x:v>
      </x:c>
      <x:c r="F536" s="12" t="n">
        <x:v>0</x:v>
      </x:c>
      <x:c r="G536" s="12" t="n">
        <x:v>0</x:v>
      </x:c>
      <x:c r="H536" s="12" t="n">
        <x:f>IF(SUM(I536:K536)&gt;0,1,0)</x:f>
        <x:v>0</x:v>
      </x:c>
      <x:c r="I536" s="12" t="n">
        <x:f>IF('患者配对'!M558="positive",1,0)</x:f>
        <x:v>0</x:v>
      </x:c>
      <x:c r="J536" s="12" t="n">
        <x:f>IF('患者配对'!R558="positive",1,0)</x:f>
        <x:v>0</x:v>
      </x:c>
      <x:c r="K536" s="12" t="n">
        <x:f>IF('患者配对'!W558="positive",1,0)</x:f>
        <x:v>0</x:v>
      </x:c>
      <x:c r="L536" s="12" t="str">
        <x:v>由原件与原状态取得；仅主队列索引</x:v>
      </x:c>
      <x:c r="M536" s="12"/>
      <x:c r="N536" s="12"/>
      <x:c r="O536" s="12"/>
    </x:row>
    <x:row r="537" ht="39" customHeight="1">
      <x:c r="A537" s="12" t="str">
        <x:v>4362</x:v>
      </x:c>
      <x:c r="B537" s="12" t="str">
        <x:v>5313</x:v>
      </x:c>
      <x:c r="C537" s="12" t="str">
        <x:v>参考000</x:v>
      </x:c>
      <x:c r="D537" s="12" t="str">
        <x:v>自动000</x:v>
      </x:c>
      <x:c r="E537" s="12" t="n">
        <x:v>0</x:v>
      </x:c>
      <x:c r="F537" s="12" t="n">
        <x:v>0</x:v>
      </x:c>
      <x:c r="G537" s="12" t="n">
        <x:v>0</x:v>
      </x:c>
      <x:c r="H537" s="12" t="n">
        <x:f>IF(SUM(I537:K537)&gt;0,1,0)</x:f>
        <x:v>0</x:v>
      </x:c>
      <x:c r="I537" s="12" t="n">
        <x:f>IF('患者配对'!M559="positive",1,0)</x:f>
        <x:v>0</x:v>
      </x:c>
      <x:c r="J537" s="12" t="n">
        <x:f>IF('患者配对'!R559="positive",1,0)</x:f>
        <x:v>0</x:v>
      </x:c>
      <x:c r="K537" s="12" t="n">
        <x:f>IF('患者配对'!W559="positive",1,0)</x:f>
        <x:v>0</x:v>
      </x:c>
      <x:c r="L537" s="12" t="str">
        <x:v>由原件与原状态取得；仅主队列索引</x:v>
      </x:c>
      <x:c r="M537" s="12"/>
      <x:c r="N537" s="12"/>
      <x:c r="O537" s="12"/>
    </x:row>
    <x:row r="538" ht="39" customHeight="1">
      <x:c r="A538" s="12" t="str">
        <x:v>4410</x:v>
      </x:c>
      <x:c r="B538" s="12" t="str">
        <x:v>2647</x:v>
      </x:c>
      <x:c r="C538" s="12" t="str">
        <x:v>参考000</x:v>
      </x:c>
      <x:c r="D538" s="12" t="str">
        <x:v>自动000</x:v>
      </x:c>
      <x:c r="E538" s="12" t="n">
        <x:v>0</x:v>
      </x:c>
      <x:c r="F538" s="12" t="n">
        <x:v>1</x:v>
      </x:c>
      <x:c r="G538" s="12" t="n">
        <x:v>0</x:v>
      </x:c>
      <x:c r="H538" s="12" t="n">
        <x:f>IF(SUM(I538:K538)&gt;0,1,0)</x:f>
        <x:v>0</x:v>
      </x:c>
      <x:c r="I538" s="12" t="n">
        <x:f>IF('患者配对'!M562="positive",1,0)</x:f>
        <x:v>0</x:v>
      </x:c>
      <x:c r="J538" s="12" t="n">
        <x:f>IF('患者配对'!R562="positive",1,0)</x:f>
        <x:v>0</x:v>
      </x:c>
      <x:c r="K538" s="12" t="n">
        <x:f>IF('患者配对'!W562="positive",1,0)</x:f>
        <x:v>0</x:v>
      </x:c>
      <x:c r="L538" s="12" t="str">
        <x:v>由原件与原状态取得；仅主队列索引</x:v>
      </x:c>
      <x:c r="M538" s="12"/>
      <x:c r="N538" s="12"/>
      <x:c r="O538" s="12"/>
    </x:row>
    <x:row r="539" ht="39" customHeight="1">
      <x:c r="A539" s="12" t="str">
        <x:v>4414</x:v>
      </x:c>
      <x:c r="B539" s="12" t="str">
        <x:v>8880</x:v>
      </x:c>
      <x:c r="C539" s="12" t="str">
        <x:v>参考000</x:v>
      </x:c>
      <x:c r="D539" s="12" t="str">
        <x:v>自动000</x:v>
      </x:c>
      <x:c r="E539" s="12" t="n">
        <x:v>0</x:v>
      </x:c>
      <x:c r="F539" s="12" t="n">
        <x:v>1</x:v>
      </x:c>
      <x:c r="G539" s="12" t="n">
        <x:v>0</x:v>
      </x:c>
      <x:c r="H539" s="12" t="n">
        <x:f>IF(SUM(I539:K539)&gt;0,1,0)</x:f>
        <x:v>0</x:v>
      </x:c>
      <x:c r="I539" s="12" t="n">
        <x:f>IF('患者配对'!M563="positive",1,0)</x:f>
        <x:v>0</x:v>
      </x:c>
      <x:c r="J539" s="12" t="n">
        <x:f>IF('患者配对'!R563="positive",1,0)</x:f>
        <x:v>0</x:v>
      </x:c>
      <x:c r="K539" s="12" t="n">
        <x:f>IF('患者配对'!W563="positive",1,0)</x:f>
        <x:v>0</x:v>
      </x:c>
      <x:c r="L539" s="12" t="str">
        <x:v>由原件与原状态取得；仅主队列索引</x:v>
      </x:c>
      <x:c r="M539" s="12"/>
      <x:c r="N539" s="12"/>
      <x:c r="O539" s="12"/>
    </x:row>
    <x:row r="540" ht="39" customHeight="1">
      <x:c r="A540" s="12" t="str">
        <x:v>4417</x:v>
      </x:c>
      <x:c r="B540" s="12" t="str">
        <x:v>8745</x:v>
      </x:c>
      <x:c r="C540" s="12" t="str">
        <x:v>参考000</x:v>
      </x:c>
      <x:c r="D540" s="12" t="str">
        <x:v>自动000</x:v>
      </x:c>
      <x:c r="E540" s="12" t="n">
        <x:v>0</x:v>
      </x:c>
      <x:c r="F540" s="12" t="n">
        <x:v>0</x:v>
      </x:c>
      <x:c r="G540" s="12" t="n">
        <x:v>0</x:v>
      </x:c>
      <x:c r="H540" s="12" t="n">
        <x:f>IF(SUM(I540:K540)&gt;0,1,0)</x:f>
        <x:v>0</x:v>
      </x:c>
      <x:c r="I540" s="12" t="n">
        <x:f>IF('患者配对'!M564="positive",1,0)</x:f>
        <x:v>0</x:v>
      </x:c>
      <x:c r="J540" s="12" t="n">
        <x:f>IF('患者配对'!R564="positive",1,0)</x:f>
        <x:v>0</x:v>
      </x:c>
      <x:c r="K540" s="12" t="n">
        <x:f>IF('患者配对'!W564="positive",1,0)</x:f>
        <x:v>0</x:v>
      </x:c>
      <x:c r="L540" s="12" t="str">
        <x:v>由原件与原状态取得；仅主队列索引</x:v>
      </x:c>
      <x:c r="M540" s="12"/>
      <x:c r="N540" s="12"/>
      <x:c r="O540" s="12"/>
    </x:row>
    <x:row r="541" ht="39" customHeight="1">
      <x:c r="A541" s="12" t="str">
        <x:v>4432</x:v>
      </x:c>
      <x:c r="B541" s="12" t="str">
        <x:v>510</x:v>
      </x:c>
      <x:c r="C541" s="12" t="str">
        <x:v>参考010</x:v>
      </x:c>
      <x:c r="D541" s="12" t="str">
        <x:v>自动010</x:v>
      </x:c>
      <x:c r="E541" s="12" t="n">
        <x:v>1</x:v>
      </x:c>
      <x:c r="F541" s="12" t="n">
        <x:v>1</x:v>
      </x:c>
      <x:c r="G541" s="12" t="n">
        <x:v>0</x:v>
      </x:c>
      <x:c r="H541" s="12" t="n">
        <x:f>IF(SUM(I541:K541)&gt;0,1,0)</x:f>
        <x:v>1</x:v>
      </x:c>
      <x:c r="I541" s="12" t="n">
        <x:f>IF('患者配对'!M565="positive",1,0)</x:f>
        <x:v>0</x:v>
      </x:c>
      <x:c r="J541" s="12" t="n">
        <x:f>IF('患者配对'!R565="positive",1,0)</x:f>
        <x:v>1</x:v>
      </x:c>
      <x:c r="K541" s="12" t="n">
        <x:f>IF('患者配对'!W565="positive",1,0)</x:f>
        <x:v>0</x:v>
      </x:c>
      <x:c r="L541" s="12" t="str">
        <x:v>由原件与原状态取得；仅主队列索引</x:v>
      </x:c>
      <x:c r="M541" s="12"/>
      <x:c r="N541" s="12"/>
      <x:c r="O541" s="12"/>
    </x:row>
    <x:row r="542" ht="39" customHeight="1">
      <x:c r="A542" s="12" t="str">
        <x:v>4444</x:v>
      </x:c>
      <x:c r="B542" s="12" t="str">
        <x:v>5256</x:v>
      </x:c>
      <x:c r="C542" s="12" t="str">
        <x:v>参考000</x:v>
      </x:c>
      <x:c r="D542" s="12" t="str">
        <x:v>自动000</x:v>
      </x:c>
      <x:c r="E542" s="12" t="n">
        <x:v>0</x:v>
      </x:c>
      <x:c r="F542" s="12" t="n">
        <x:v>0</x:v>
      </x:c>
      <x:c r="G542" s="12" t="n">
        <x:v>0</x:v>
      </x:c>
      <x:c r="H542" s="12" t="n">
        <x:f>IF(SUM(I542:K542)&gt;0,1,0)</x:f>
        <x:v>0</x:v>
      </x:c>
      <x:c r="I542" s="12" t="n">
        <x:f>IF('患者配对'!M566="positive",1,0)</x:f>
        <x:v>0</x:v>
      </x:c>
      <x:c r="J542" s="12" t="n">
        <x:f>IF('患者配对'!R566="positive",1,0)</x:f>
        <x:v>0</x:v>
      </x:c>
      <x:c r="K542" s="12" t="n">
        <x:f>IF('患者配对'!W566="positive",1,0)</x:f>
        <x:v>0</x:v>
      </x:c>
      <x:c r="L542" s="12" t="str">
        <x:v>由原件与原状态取得；仅主队列索引</x:v>
      </x:c>
      <x:c r="M542" s="12"/>
      <x:c r="N542" s="12"/>
      <x:c r="O542" s="12"/>
    </x:row>
    <x:row r="543" ht="39" customHeight="1">
      <x:c r="A543" s="12" t="str">
        <x:v>4448</x:v>
      </x:c>
      <x:c r="B543" s="12" t="str">
        <x:v>14291</x:v>
      </x:c>
      <x:c r="C543" s="12" t="str">
        <x:v>参考000</x:v>
      </x:c>
      <x:c r="D543" s="12" t="str">
        <x:v>自动000</x:v>
      </x:c>
      <x:c r="E543" s="12" t="n">
        <x:v>0</x:v>
      </x:c>
      <x:c r="F543" s="12" t="n">
        <x:v>0</x:v>
      </x:c>
      <x:c r="G543" s="12" t="n">
        <x:v>0</x:v>
      </x:c>
      <x:c r="H543" s="12" t="n">
        <x:f>IF(SUM(I543:K543)&gt;0,1,0)</x:f>
        <x:v>0</x:v>
      </x:c>
      <x:c r="I543" s="12" t="n">
        <x:f>IF('患者配对'!M567="positive",1,0)</x:f>
        <x:v>0</x:v>
      </x:c>
      <x:c r="J543" s="12" t="n">
        <x:f>IF('患者配对'!R567="positive",1,0)</x:f>
        <x:v>0</x:v>
      </x:c>
      <x:c r="K543" s="12" t="n">
        <x:f>IF('患者配对'!W567="positive",1,0)</x:f>
        <x:v>0</x:v>
      </x:c>
      <x:c r="L543" s="12" t="str">
        <x:v>由原件与原状态取得；仅主队列索引</x:v>
      </x:c>
      <x:c r="M543" s="12"/>
      <x:c r="N543" s="12"/>
      <x:c r="O543" s="12"/>
    </x:row>
    <x:row r="544" ht="39" customHeight="1">
      <x:c r="A544" s="12" t="str">
        <x:v>4458</x:v>
      </x:c>
      <x:c r="B544" s="12" t="str">
        <x:v>877</x:v>
      </x:c>
      <x:c r="C544" s="12" t="str">
        <x:v>参考000</x:v>
      </x:c>
      <x:c r="D544" s="12" t="str">
        <x:v>自动000</x:v>
      </x:c>
      <x:c r="E544" s="12" t="n">
        <x:v>0</x:v>
      </x:c>
      <x:c r="F544" s="12" t="n">
        <x:v>0</x:v>
      </x:c>
      <x:c r="G544" s="12" t="n">
        <x:v>0</x:v>
      </x:c>
      <x:c r="H544" s="12" t="n">
        <x:f>IF(SUM(I544:K544)&gt;0,1,0)</x:f>
        <x:v>0</x:v>
      </x:c>
      <x:c r="I544" s="12" t="n">
        <x:f>IF('患者配对'!M568="positive",1,0)</x:f>
        <x:v>0</x:v>
      </x:c>
      <x:c r="J544" s="12" t="n">
        <x:f>IF('患者配对'!R568="positive",1,0)</x:f>
        <x:v>0</x:v>
      </x:c>
      <x:c r="K544" s="12" t="n">
        <x:f>IF('患者配对'!W568="positive",1,0)</x:f>
        <x:v>0</x:v>
      </x:c>
      <x:c r="L544" s="12" t="str">
        <x:v>由原件与原状态取得；仅主队列索引</x:v>
      </x:c>
      <x:c r="M544" s="12"/>
      <x:c r="N544" s="12"/>
      <x:c r="O544" s="12"/>
    </x:row>
    <x:row r="545" ht="39" customHeight="1">
      <x:c r="A545" s="12" t="str">
        <x:v>4476</x:v>
      </x:c>
      <x:c r="B545" s="12" t="str">
        <x:v>19972</x:v>
      </x:c>
      <x:c r="C545" s="12" t="str">
        <x:v>参考000</x:v>
      </x:c>
      <x:c r="D545" s="12" t="str">
        <x:v>自动000</x:v>
      </x:c>
      <x:c r="E545" s="12" t="n">
        <x:v>0</x:v>
      </x:c>
      <x:c r="F545" s="12" t="n">
        <x:v>0</x:v>
      </x:c>
      <x:c r="G545" s="12" t="n">
        <x:v>0</x:v>
      </x:c>
      <x:c r="H545" s="12" t="n">
        <x:f>IF(SUM(I545:K545)&gt;0,1,0)</x:f>
        <x:v>0</x:v>
      </x:c>
      <x:c r="I545" s="12" t="n">
        <x:f>IF('患者配对'!M569="positive",1,0)</x:f>
        <x:v>0</x:v>
      </x:c>
      <x:c r="J545" s="12" t="n">
        <x:f>IF('患者配对'!R569="positive",1,0)</x:f>
        <x:v>0</x:v>
      </x:c>
      <x:c r="K545" s="12" t="n">
        <x:f>IF('患者配对'!W569="positive",1,0)</x:f>
        <x:v>0</x:v>
      </x:c>
      <x:c r="L545" s="12" t="str">
        <x:v>由原件与原状态取得；仅主队列索引</x:v>
      </x:c>
      <x:c r="M545" s="12"/>
      <x:c r="N545" s="12"/>
      <x:c r="O545" s="12"/>
    </x:row>
    <x:row r="546" ht="39" customHeight="1">
      <x:c r="A546" s="12" t="str">
        <x:v>4501</x:v>
      </x:c>
      <x:c r="B546" s="12" t="str">
        <x:v>15660</x:v>
      </x:c>
      <x:c r="C546" s="12" t="str">
        <x:v>参考000</x:v>
      </x:c>
      <x:c r="D546" s="12" t="str">
        <x:v>自动000</x:v>
      </x:c>
      <x:c r="E546" s="12" t="n">
        <x:v>0</x:v>
      </x:c>
      <x:c r="F546" s="12" t="n">
        <x:v>0</x:v>
      </x:c>
      <x:c r="G546" s="12" t="n">
        <x:v>0</x:v>
      </x:c>
      <x:c r="H546" s="12" t="n">
        <x:f>IF(SUM(I546:K546)&gt;0,1,0)</x:f>
        <x:v>0</x:v>
      </x:c>
      <x:c r="I546" s="12" t="n">
        <x:f>IF('患者配对'!M570="positive",1,0)</x:f>
        <x:v>0</x:v>
      </x:c>
      <x:c r="J546" s="12" t="n">
        <x:f>IF('患者配对'!R570="positive",1,0)</x:f>
        <x:v>0</x:v>
      </x:c>
      <x:c r="K546" s="12" t="n">
        <x:f>IF('患者配对'!W570="positive",1,0)</x:f>
        <x:v>0</x:v>
      </x:c>
      <x:c r="L546" s="12" t="str">
        <x:v>由原件与原状态取得；仅主队列索引</x:v>
      </x:c>
      <x:c r="M546" s="12"/>
      <x:c r="N546" s="12"/>
      <x:c r="O546" s="12"/>
    </x:row>
    <x:row r="547" ht="39" customHeight="1">
      <x:c r="A547" s="12" t="str">
        <x:v>4508</x:v>
      </x:c>
      <x:c r="B547" s="12" t="str">
        <x:v>9625</x:v>
      </x:c>
      <x:c r="C547" s="12" t="str">
        <x:v>参考000</x:v>
      </x:c>
      <x:c r="D547" s="12" t="str">
        <x:v>自动000</x:v>
      </x:c>
      <x:c r="E547" s="12" t="n">
        <x:v>0</x:v>
      </x:c>
      <x:c r="F547" s="12" t="n">
        <x:v>0</x:v>
      </x:c>
      <x:c r="G547" s="12" t="n">
        <x:v>0</x:v>
      </x:c>
      <x:c r="H547" s="12" t="n">
        <x:f>IF(SUM(I547:K547)&gt;0,1,0)</x:f>
        <x:v>0</x:v>
      </x:c>
      <x:c r="I547" s="12" t="n">
        <x:f>IF('患者配对'!M572="positive",1,0)</x:f>
        <x:v>0</x:v>
      </x:c>
      <x:c r="J547" s="12" t="n">
        <x:f>IF('患者配对'!R572="positive",1,0)</x:f>
        <x:v>0</x:v>
      </x:c>
      <x:c r="K547" s="12" t="n">
        <x:f>IF('患者配对'!W572="positive",1,0)</x:f>
        <x:v>0</x:v>
      </x:c>
      <x:c r="L547" s="12" t="str">
        <x:v>由原件与原状态取得；仅主队列索引</x:v>
      </x:c>
      <x:c r="M547" s="12"/>
      <x:c r="N547" s="12"/>
      <x:c r="O547" s="12"/>
    </x:row>
    <x:row r="548" ht="39" customHeight="1">
      <x:c r="A548" s="12" t="str">
        <x:v>4518</x:v>
      </x:c>
      <x:c r="B548" s="12" t="str">
        <x:v>316</x:v>
      </x:c>
      <x:c r="C548" s="12" t="str">
        <x:v>参考000</x:v>
      </x:c>
      <x:c r="D548" s="12" t="str">
        <x:v>自动000</x:v>
      </x:c>
      <x:c r="E548" s="12" t="n">
        <x:v>0</x:v>
      </x:c>
      <x:c r="F548" s="12" t="n">
        <x:v>0</x:v>
      </x:c>
      <x:c r="G548" s="12" t="n">
        <x:v>0</x:v>
      </x:c>
      <x:c r="H548" s="12" t="n">
        <x:f>IF(SUM(I548:K548)&gt;0,1,0)</x:f>
        <x:v>0</x:v>
      </x:c>
      <x:c r="I548" s="12" t="n">
        <x:f>IF('患者配对'!M573="positive",1,0)</x:f>
        <x:v>0</x:v>
      </x:c>
      <x:c r="J548" s="12" t="n">
        <x:f>IF('患者配对'!R573="positive",1,0)</x:f>
        <x:v>0</x:v>
      </x:c>
      <x:c r="K548" s="12" t="n">
        <x:f>IF('患者配对'!W573="positive",1,0)</x:f>
        <x:v>0</x:v>
      </x:c>
      <x:c r="L548" s="12" t="str">
        <x:v>由原件与原状态取得；仅主队列索引</x:v>
      </x:c>
      <x:c r="M548" s="12"/>
      <x:c r="N548" s="12"/>
      <x:c r="O548" s="12"/>
    </x:row>
    <x:row r="549" ht="39" customHeight="1">
      <x:c r="A549" s="12" t="str">
        <x:v>4542</x:v>
      </x:c>
      <x:c r="B549" s="12" t="str">
        <x:v>14368</x:v>
      </x:c>
      <x:c r="C549" s="12" t="str">
        <x:v>参考000</x:v>
      </x:c>
      <x:c r="D549" s="12" t="str">
        <x:v>自动000</x:v>
      </x:c>
      <x:c r="E549" s="12" t="n">
        <x:v>0</x:v>
      </x:c>
      <x:c r="F549" s="12" t="n">
        <x:v>0</x:v>
      </x:c>
      <x:c r="G549" s="12" t="n">
        <x:v>0</x:v>
      </x:c>
      <x:c r="H549" s="12" t="n">
        <x:f>IF(SUM(I549:K549)&gt;0,1,0)</x:f>
        <x:v>0</x:v>
      </x:c>
      <x:c r="I549" s="12" t="n">
        <x:f>IF('患者配对'!M574="positive",1,0)</x:f>
        <x:v>0</x:v>
      </x:c>
      <x:c r="J549" s="12" t="n">
        <x:f>IF('患者配对'!R574="positive",1,0)</x:f>
        <x:v>0</x:v>
      </x:c>
      <x:c r="K549" s="12" t="n">
        <x:f>IF('患者配对'!W574="positive",1,0)</x:f>
        <x:v>0</x:v>
      </x:c>
      <x:c r="L549" s="12" t="str">
        <x:v>由原件与原状态取得；仅主队列索引</x:v>
      </x:c>
      <x:c r="M549" s="12"/>
      <x:c r="N549" s="12"/>
      <x:c r="O549" s="12"/>
    </x:row>
    <x:row r="550" ht="39" customHeight="1">
      <x:c r="A550" s="12" t="str">
        <x:v>4546</x:v>
      </x:c>
      <x:c r="B550" s="12" t="str">
        <x:v>5814</x:v>
      </x:c>
      <x:c r="C550" s="12" t="str">
        <x:v>参考000</x:v>
      </x:c>
      <x:c r="D550" s="12" t="str">
        <x:v>自动000</x:v>
      </x:c>
      <x:c r="E550" s="12" t="n">
        <x:v>0</x:v>
      </x:c>
      <x:c r="F550" s="12" t="n">
        <x:v>0</x:v>
      </x:c>
      <x:c r="G550" s="12" t="n">
        <x:v>0</x:v>
      </x:c>
      <x:c r="H550" s="12" t="n">
        <x:f>IF(SUM(I550:K550)&gt;0,1,0)</x:f>
        <x:v>0</x:v>
      </x:c>
      <x:c r="I550" s="12" t="n">
        <x:f>IF('患者配对'!M575="positive",1,0)</x:f>
        <x:v>0</x:v>
      </x:c>
      <x:c r="J550" s="12" t="n">
        <x:f>IF('患者配对'!R575="positive",1,0)</x:f>
        <x:v>0</x:v>
      </x:c>
      <x:c r="K550" s="12" t="n">
        <x:f>IF('患者配对'!W575="positive",1,0)</x:f>
        <x:v>0</x:v>
      </x:c>
      <x:c r="L550" s="12" t="str">
        <x:v>由原件与原状态取得；仅主队列索引</x:v>
      </x:c>
      <x:c r="M550" s="12"/>
      <x:c r="N550" s="12"/>
      <x:c r="O550" s="12"/>
    </x:row>
    <x:row r="551" ht="39" customHeight="1">
      <x:c r="A551" s="12" t="str">
        <x:v>4556</x:v>
      </x:c>
      <x:c r="B551" s="12" t="str">
        <x:v>1186</x:v>
      </x:c>
      <x:c r="C551" s="12" t="str">
        <x:v>参考000</x:v>
      </x:c>
      <x:c r="D551" s="12" t="str">
        <x:v>自动000</x:v>
      </x:c>
      <x:c r="E551" s="12" t="n">
        <x:v>0</x:v>
      </x:c>
      <x:c r="F551" s="12" t="n">
        <x:v>0</x:v>
      </x:c>
      <x:c r="G551" s="12" t="n">
        <x:v>0</x:v>
      </x:c>
      <x:c r="H551" s="12" t="n">
        <x:f>IF(SUM(I551:K551)&gt;0,1,0)</x:f>
        <x:v>0</x:v>
      </x:c>
      <x:c r="I551" s="12" t="n">
        <x:f>IF('患者配对'!M577="positive",1,0)</x:f>
        <x:v>0</x:v>
      </x:c>
      <x:c r="J551" s="12" t="n">
        <x:f>IF('患者配对'!R577="positive",1,0)</x:f>
        <x:v>0</x:v>
      </x:c>
      <x:c r="K551" s="12" t="n">
        <x:f>IF('患者配对'!W577="positive",1,0)</x:f>
        <x:v>0</x:v>
      </x:c>
      <x:c r="L551" s="12" t="str">
        <x:v>由原件与原状态取得；仅主队列索引</x:v>
      </x:c>
      <x:c r="M551" s="12"/>
      <x:c r="N551" s="12"/>
      <x:c r="O551" s="12"/>
    </x:row>
    <x:row r="552" ht="39" customHeight="1">
      <x:c r="A552" s="12" t="str">
        <x:v>4565</x:v>
      </x:c>
      <x:c r="B552" s="12" t="str">
        <x:v>16987</x:v>
      </x:c>
      <x:c r="C552" s="12" t="str">
        <x:v>参考000</x:v>
      </x:c>
      <x:c r="D552" s="12" t="str">
        <x:v>自动000</x:v>
      </x:c>
      <x:c r="E552" s="12" t="n">
        <x:v>0</x:v>
      </x:c>
      <x:c r="F552" s="12" t="n">
        <x:v>0</x:v>
      </x:c>
      <x:c r="G552" s="12" t="n">
        <x:v>0</x:v>
      </x:c>
      <x:c r="H552" s="12" t="n">
        <x:f>IF(SUM(I552:K552)&gt;0,1,0)</x:f>
        <x:v>0</x:v>
      </x:c>
      <x:c r="I552" s="12" t="n">
        <x:f>IF('患者配对'!M579="positive",1,0)</x:f>
        <x:v>0</x:v>
      </x:c>
      <x:c r="J552" s="12" t="n">
        <x:f>IF('患者配对'!R579="positive",1,0)</x:f>
        <x:v>0</x:v>
      </x:c>
      <x:c r="K552" s="12" t="n">
        <x:f>IF('患者配对'!W579="positive",1,0)</x:f>
        <x:v>0</x:v>
      </x:c>
      <x:c r="L552" s="12" t="str">
        <x:v>由原件与原状态取得；仅主队列索引</x:v>
      </x:c>
      <x:c r="M552" s="12"/>
      <x:c r="N552" s="12"/>
      <x:c r="O552" s="12"/>
    </x:row>
    <x:row r="553" ht="39" customHeight="1">
      <x:c r="A553" s="12" t="str">
        <x:v>4576</x:v>
      </x:c>
      <x:c r="B553" s="12" t="str">
        <x:v>430</x:v>
      </x:c>
      <x:c r="C553" s="12" t="str">
        <x:v>参考000</x:v>
      </x:c>
      <x:c r="D553" s="12" t="str">
        <x:v>自动000</x:v>
      </x:c>
      <x:c r="E553" s="12" t="n">
        <x:v>0</x:v>
      </x:c>
      <x:c r="F553" s="12" t="n">
        <x:v>0</x:v>
      </x:c>
      <x:c r="G553" s="12" t="n">
        <x:v>0</x:v>
      </x:c>
      <x:c r="H553" s="12" t="n">
        <x:f>IF(SUM(I553:K553)&gt;0,1,0)</x:f>
        <x:v>0</x:v>
      </x:c>
      <x:c r="I553" s="12" t="n">
        <x:f>IF('患者配对'!M580="positive",1,0)</x:f>
        <x:v>0</x:v>
      </x:c>
      <x:c r="J553" s="12" t="n">
        <x:f>IF('患者配对'!R580="positive",1,0)</x:f>
        <x:v>0</x:v>
      </x:c>
      <x:c r="K553" s="12" t="n">
        <x:f>IF('患者配对'!W580="positive",1,0)</x:f>
        <x:v>0</x:v>
      </x:c>
      <x:c r="L553" s="12" t="str">
        <x:v>由原件与原状态取得；仅主队列索引</x:v>
      </x:c>
      <x:c r="M553" s="12"/>
      <x:c r="N553" s="12"/>
      <x:c r="O553" s="12"/>
    </x:row>
    <x:row r="554" ht="39" customHeight="1">
      <x:c r="A554" s="12" t="str">
        <x:v>4602</x:v>
      </x:c>
      <x:c r="B554" s="12" t="str">
        <x:v>6066</x:v>
      </x:c>
      <x:c r="C554" s="12" t="str">
        <x:v>参考000</x:v>
      </x:c>
      <x:c r="D554" s="12" t="str">
        <x:v>自动001</x:v>
      </x:c>
      <x:c r="E554" s="12" t="n">
        <x:v>1</x:v>
      </x:c>
      <x:c r="F554" s="12" t="n">
        <x:v>1</x:v>
      </x:c>
      <x:c r="G554" s="12" t="n">
        <x:v>1</x:v>
      </x:c>
      <x:c r="H554" s="12" t="n">
        <x:f>IF(SUM(I554:K554)&gt;0,1,0)</x:f>
        <x:v>0</x:v>
      </x:c>
      <x:c r="I554" s="12" t="n">
        <x:f>IF('患者配对'!M581="positive",1,0)</x:f>
        <x:v>0</x:v>
      </x:c>
      <x:c r="J554" s="12" t="n">
        <x:f>IF('患者配对'!R581="positive",1,0)</x:f>
        <x:v>0</x:v>
      </x:c>
      <x:c r="K554" s="12" t="n">
        <x:f>IF('患者配对'!W581="positive",1,0)</x:f>
        <x:v>0</x:v>
      </x:c>
      <x:c r="L554" s="12" t="str">
        <x:v>由原件与原状态取得；仅主队列索引</x:v>
      </x:c>
      <x:c r="M554" s="12"/>
      <x:c r="N554" s="12"/>
      <x:c r="O554" s="12"/>
    </x:row>
    <x:row r="555" ht="39" customHeight="1">
      <x:c r="A555" s="12" t="str">
        <x:v>4609</x:v>
      </x:c>
      <x:c r="B555" s="12" t="str">
        <x:v>7750</x:v>
      </x:c>
      <x:c r="C555" s="12" t="str">
        <x:v>参考000</x:v>
      </x:c>
      <x:c r="D555" s="12" t="str">
        <x:v>自动000</x:v>
      </x:c>
      <x:c r="E555" s="12" t="n">
        <x:v>0</x:v>
      </x:c>
      <x:c r="F555" s="12" t="n">
        <x:v>0</x:v>
      </x:c>
      <x:c r="G555" s="12" t="n">
        <x:v>0</x:v>
      </x:c>
      <x:c r="H555" s="12" t="n">
        <x:f>IF(SUM(I555:K555)&gt;0,1,0)</x:f>
        <x:v>0</x:v>
      </x:c>
      <x:c r="I555" s="12" t="n">
        <x:f>IF('患者配对'!M582="positive",1,0)</x:f>
        <x:v>0</x:v>
      </x:c>
      <x:c r="J555" s="12" t="n">
        <x:f>IF('患者配对'!R582="positive",1,0)</x:f>
        <x:v>0</x:v>
      </x:c>
      <x:c r="K555" s="12" t="n">
        <x:f>IF('患者配对'!W582="positive",1,0)</x:f>
        <x:v>0</x:v>
      </x:c>
      <x:c r="L555" s="12" t="str">
        <x:v>由原件与原状态取得；仅主队列索引</x:v>
      </x:c>
      <x:c r="M555" s="12"/>
      <x:c r="N555" s="12"/>
      <x:c r="O555" s="12"/>
    </x:row>
    <x:row r="556" ht="39" customHeight="1">
      <x:c r="A556" s="12" t="str">
        <x:v>4614</x:v>
      </x:c>
      <x:c r="B556" s="12" t="str">
        <x:v>539</x:v>
      </x:c>
      <x:c r="C556" s="12" t="str">
        <x:v>参考000</x:v>
      </x:c>
      <x:c r="D556" s="12" t="str">
        <x:v>自动000</x:v>
      </x:c>
      <x:c r="E556" s="12" t="n">
        <x:v>0</x:v>
      </x:c>
      <x:c r="F556" s="12" t="n">
        <x:v>0</x:v>
      </x:c>
      <x:c r="G556" s="12" t="n">
        <x:v>0</x:v>
      </x:c>
      <x:c r="H556" s="12" t="n">
        <x:f>IF(SUM(I556:K556)&gt;0,1,0)</x:f>
        <x:v>0</x:v>
      </x:c>
      <x:c r="I556" s="12" t="n">
        <x:f>IF('患者配对'!M583="positive",1,0)</x:f>
        <x:v>0</x:v>
      </x:c>
      <x:c r="J556" s="12" t="n">
        <x:f>IF('患者配对'!R583="positive",1,0)</x:f>
        <x:v>0</x:v>
      </x:c>
      <x:c r="K556" s="12" t="n">
        <x:f>IF('患者配对'!W583="positive",1,0)</x:f>
        <x:v>0</x:v>
      </x:c>
      <x:c r="L556" s="12" t="str">
        <x:v>由原件与原状态取得；仅主队列索引</x:v>
      </x:c>
      <x:c r="M556" s="12"/>
      <x:c r="N556" s="12"/>
      <x:c r="O556" s="12"/>
    </x:row>
    <x:row r="557" ht="39" customHeight="1">
      <x:c r="A557" s="12" t="str">
        <x:v>4618</x:v>
      </x:c>
      <x:c r="B557" s="12" t="str">
        <x:v>1890</x:v>
      </x:c>
      <x:c r="C557" s="12" t="str">
        <x:v>参考000</x:v>
      </x:c>
      <x:c r="D557" s="12" t="str">
        <x:v>自动010</x:v>
      </x:c>
      <x:c r="E557" s="12" t="n">
        <x:v>1</x:v>
      </x:c>
      <x:c r="F557" s="12" t="n">
        <x:v>1</x:v>
      </x:c>
      <x:c r="G557" s="12" t="n">
        <x:v>1</x:v>
      </x:c>
      <x:c r="H557" s="12" t="n">
        <x:f>IF(SUM(I557:K557)&gt;0,1,0)</x:f>
        <x:v>0</x:v>
      </x:c>
      <x:c r="I557" s="12" t="n">
        <x:f>IF('患者配对'!M585="positive",1,0)</x:f>
        <x:v>0</x:v>
      </x:c>
      <x:c r="J557" s="12" t="n">
        <x:f>IF('患者配对'!R585="positive",1,0)</x:f>
        <x:v>0</x:v>
      </x:c>
      <x:c r="K557" s="12" t="n">
        <x:f>IF('患者配对'!W585="positive",1,0)</x:f>
        <x:v>0</x:v>
      </x:c>
      <x:c r="L557" s="12" t="str">
        <x:v>由原件与原状态取得；仅主队列索引</x:v>
      </x:c>
      <x:c r="M557" s="12"/>
      <x:c r="N557" s="12"/>
      <x:c r="O557" s="12"/>
    </x:row>
    <x:row r="558" ht="39" customHeight="1">
      <x:c r="A558" s="12" t="str">
        <x:v>4619</x:v>
      </x:c>
      <x:c r="B558" s="12" t="str">
        <x:v>2622</x:v>
      </x:c>
      <x:c r="C558" s="12" t="str">
        <x:v>参考000</x:v>
      </x:c>
      <x:c r="D558" s="12" t="str">
        <x:v>自动000</x:v>
      </x:c>
      <x:c r="E558" s="12" t="n">
        <x:v>0</x:v>
      </x:c>
      <x:c r="F558" s="12" t="n">
        <x:v>0</x:v>
      </x:c>
      <x:c r="G558" s="12" t="n">
        <x:v>0</x:v>
      </x:c>
      <x:c r="H558" s="12" t="n">
        <x:f>IF(SUM(I558:K558)&gt;0,1,0)</x:f>
        <x:v>0</x:v>
      </x:c>
      <x:c r="I558" s="12" t="n">
        <x:f>IF('患者配对'!M586="positive",1,0)</x:f>
        <x:v>0</x:v>
      </x:c>
      <x:c r="J558" s="12" t="n">
        <x:f>IF('患者配对'!R586="positive",1,0)</x:f>
        <x:v>0</x:v>
      </x:c>
      <x:c r="K558" s="12" t="n">
        <x:f>IF('患者配对'!W586="positive",1,0)</x:f>
        <x:v>0</x:v>
      </x:c>
      <x:c r="L558" s="12" t="str">
        <x:v>由原件与原状态取得；仅主队列索引</x:v>
      </x:c>
      <x:c r="M558" s="12"/>
      <x:c r="N558" s="12"/>
      <x:c r="O558" s="12"/>
    </x:row>
    <x:row r="559" ht="39" customHeight="1">
      <x:c r="A559" s="12" t="str">
        <x:v>4646</x:v>
      </x:c>
      <x:c r="B559" s="12" t="str">
        <x:v>4570</x:v>
      </x:c>
      <x:c r="C559" s="12" t="str">
        <x:v>参考000</x:v>
      </x:c>
      <x:c r="D559" s="12" t="str">
        <x:v>自动000</x:v>
      </x:c>
      <x:c r="E559" s="12" t="n">
        <x:v>0</x:v>
      </x:c>
      <x:c r="F559" s="12" t="n">
        <x:v>1</x:v>
      </x:c>
      <x:c r="G559" s="12" t="n">
        <x:v>0</x:v>
      </x:c>
      <x:c r="H559" s="12" t="n">
        <x:f>IF(SUM(I559:K559)&gt;0,1,0)</x:f>
        <x:v>0</x:v>
      </x:c>
      <x:c r="I559" s="12" t="n">
        <x:f>IF('患者配对'!M587="positive",1,0)</x:f>
        <x:v>0</x:v>
      </x:c>
      <x:c r="J559" s="12" t="n">
        <x:f>IF('患者配对'!R587="positive",1,0)</x:f>
        <x:v>0</x:v>
      </x:c>
      <x:c r="K559" s="12" t="n">
        <x:f>IF('患者配对'!W587="positive",1,0)</x:f>
        <x:v>0</x:v>
      </x:c>
      <x:c r="L559" s="12" t="str">
        <x:v>由原件与原状态取得；仅主队列索引</x:v>
      </x:c>
      <x:c r="M559" s="12"/>
      <x:c r="N559" s="12"/>
      <x:c r="O559" s="12"/>
    </x:row>
    <x:row r="560" ht="39" customHeight="1">
      <x:c r="A560" s="12" t="str">
        <x:v>4672</x:v>
      </x:c>
      <x:c r="B560" s="12" t="str">
        <x:v>2542</x:v>
      </x:c>
      <x:c r="C560" s="12" t="str">
        <x:v>参考000</x:v>
      </x:c>
      <x:c r="D560" s="12" t="str">
        <x:v>自动000</x:v>
      </x:c>
      <x:c r="E560" s="12" t="n">
        <x:v>0</x:v>
      </x:c>
      <x:c r="F560" s="12" t="n">
        <x:v>0</x:v>
      </x:c>
      <x:c r="G560" s="12" t="n">
        <x:v>0</x:v>
      </x:c>
      <x:c r="H560" s="12" t="n">
        <x:f>IF(SUM(I560:K560)&gt;0,1,0)</x:f>
        <x:v>0</x:v>
      </x:c>
      <x:c r="I560" s="12" t="n">
        <x:f>IF('患者配对'!M589="positive",1,0)</x:f>
        <x:v>0</x:v>
      </x:c>
      <x:c r="J560" s="12" t="n">
        <x:f>IF('患者配对'!R589="positive",1,0)</x:f>
        <x:v>0</x:v>
      </x:c>
      <x:c r="K560" s="12" t="n">
        <x:f>IF('患者配对'!W589="positive",1,0)</x:f>
        <x:v>0</x:v>
      </x:c>
      <x:c r="L560" s="12" t="str">
        <x:v>由原件与原状态取得；仅主队列索引</x:v>
      </x:c>
      <x:c r="M560" s="12"/>
      <x:c r="N560" s="12"/>
      <x:c r="O560" s="12"/>
    </x:row>
    <x:row r="561" ht="39" customHeight="1">
      <x:c r="A561" s="12" t="str">
        <x:v>4676</x:v>
      </x:c>
      <x:c r="B561" s="12" t="str">
        <x:v>5178</x:v>
      </x:c>
      <x:c r="C561" s="12" t="str">
        <x:v>参考000</x:v>
      </x:c>
      <x:c r="D561" s="12" t="str">
        <x:v>自动000</x:v>
      </x:c>
      <x:c r="E561" s="12" t="n">
        <x:v>0</x:v>
      </x:c>
      <x:c r="F561" s="12" t="n">
        <x:v>0</x:v>
      </x:c>
      <x:c r="G561" s="12" t="n">
        <x:v>0</x:v>
      </x:c>
      <x:c r="H561" s="12" t="n">
        <x:f>IF(SUM(I561:K561)&gt;0,1,0)</x:f>
        <x:v>0</x:v>
      </x:c>
      <x:c r="I561" s="12" t="n">
        <x:f>IF('患者配对'!M590="positive",1,0)</x:f>
        <x:v>0</x:v>
      </x:c>
      <x:c r="J561" s="12" t="n">
        <x:f>IF('患者配对'!R590="positive",1,0)</x:f>
        <x:v>0</x:v>
      </x:c>
      <x:c r="K561" s="12" t="n">
        <x:f>IF('患者配对'!W590="positive",1,0)</x:f>
        <x:v>0</x:v>
      </x:c>
      <x:c r="L561" s="12" t="str">
        <x:v>由原件与原状态取得；仅主队列索引</x:v>
      </x:c>
      <x:c r="M561" s="12"/>
      <x:c r="N561" s="12"/>
      <x:c r="O561" s="12"/>
    </x:row>
    <x:row r="562" ht="39" customHeight="1">
      <x:c r="A562" s="12" t="str">
        <x:v>4687</x:v>
      </x:c>
      <x:c r="B562" s="12" t="str">
        <x:v>3345</x:v>
      </x:c>
      <x:c r="C562" s="12" t="str">
        <x:v>参考000</x:v>
      </x:c>
      <x:c r="D562" s="12" t="str">
        <x:v>自动000</x:v>
      </x:c>
      <x:c r="E562" s="12" t="n">
        <x:v>0</x:v>
      </x:c>
      <x:c r="F562" s="12" t="n">
        <x:v>0</x:v>
      </x:c>
      <x:c r="G562" s="12" t="n">
        <x:v>0</x:v>
      </x:c>
      <x:c r="H562" s="12" t="n">
        <x:f>IF(SUM(I562:K562)&gt;0,1,0)</x:f>
        <x:v>0</x:v>
      </x:c>
      <x:c r="I562" s="12" t="n">
        <x:f>IF('患者配对'!M591="positive",1,0)</x:f>
        <x:v>0</x:v>
      </x:c>
      <x:c r="J562" s="12" t="n">
        <x:f>IF('患者配对'!R591="positive",1,0)</x:f>
        <x:v>0</x:v>
      </x:c>
      <x:c r="K562" s="12" t="n">
        <x:f>IF('患者配对'!W591="positive",1,0)</x:f>
        <x:v>0</x:v>
      </x:c>
      <x:c r="L562" s="12" t="str">
        <x:v>由原件与原状态取得；仅主队列索引</x:v>
      </x:c>
      <x:c r="M562" s="12"/>
      <x:c r="N562" s="12"/>
      <x:c r="O562" s="12"/>
    </x:row>
    <x:row r="563" ht="39" customHeight="1">
      <x:c r="A563" s="12" t="str">
        <x:v>4704</x:v>
      </x:c>
      <x:c r="B563" s="12" t="str">
        <x:v>11334</x:v>
      </x:c>
      <x:c r="C563" s="12" t="str">
        <x:v>参考000</x:v>
      </x:c>
      <x:c r="D563" s="12" t="str">
        <x:v>自动000</x:v>
      </x:c>
      <x:c r="E563" s="12" t="n">
        <x:v>0</x:v>
      </x:c>
      <x:c r="F563" s="12" t="n">
        <x:v>0</x:v>
      </x:c>
      <x:c r="G563" s="12" t="n">
        <x:v>0</x:v>
      </x:c>
      <x:c r="H563" s="12" t="n">
        <x:f>IF(SUM(I563:K563)&gt;0,1,0)</x:f>
        <x:v>0</x:v>
      </x:c>
      <x:c r="I563" s="12" t="n">
        <x:f>IF('患者配对'!M592="positive",1,0)</x:f>
        <x:v>0</x:v>
      </x:c>
      <x:c r="J563" s="12" t="n">
        <x:f>IF('患者配对'!R592="positive",1,0)</x:f>
        <x:v>0</x:v>
      </x:c>
      <x:c r="K563" s="12" t="n">
        <x:f>IF('患者配对'!W592="positive",1,0)</x:f>
        <x:v>0</x:v>
      </x:c>
      <x:c r="L563" s="12" t="str">
        <x:v>由原件与原状态取得；仅主队列索引</x:v>
      </x:c>
      <x:c r="M563" s="12"/>
      <x:c r="N563" s="12"/>
      <x:c r="O563" s="12"/>
    </x:row>
    <x:row r="564" ht="39" customHeight="1">
      <x:c r="A564" s="12" t="str">
        <x:v>4719</x:v>
      </x:c>
      <x:c r="B564" s="12" t="str">
        <x:v>18268</x:v>
      </x:c>
      <x:c r="C564" s="12" t="str">
        <x:v>参考000</x:v>
      </x:c>
      <x:c r="D564" s="12" t="str">
        <x:v>自动000</x:v>
      </x:c>
      <x:c r="E564" s="12" t="n">
        <x:v>0</x:v>
      </x:c>
      <x:c r="F564" s="12" t="n">
        <x:v>0</x:v>
      </x:c>
      <x:c r="G564" s="12" t="n">
        <x:v>0</x:v>
      </x:c>
      <x:c r="H564" s="12" t="n">
        <x:f>IF(SUM(I564:K564)&gt;0,1,0)</x:f>
        <x:v>0</x:v>
      </x:c>
      <x:c r="I564" s="12" t="n">
        <x:f>IF('患者配对'!M593="positive",1,0)</x:f>
        <x:v>0</x:v>
      </x:c>
      <x:c r="J564" s="12" t="n">
        <x:f>IF('患者配对'!R593="positive",1,0)</x:f>
        <x:v>0</x:v>
      </x:c>
      <x:c r="K564" s="12" t="n">
        <x:f>IF('患者配对'!W593="positive",1,0)</x:f>
        <x:v>0</x:v>
      </x:c>
      <x:c r="L564" s="12" t="str">
        <x:v>由原件与原状态取得；仅主队列索引</x:v>
      </x:c>
      <x:c r="M564" s="12"/>
      <x:c r="N564" s="12"/>
      <x:c r="O564" s="12"/>
    </x:row>
    <x:row r="565" ht="39" customHeight="1">
      <x:c r="A565" s="12" t="str">
        <x:v>4747</x:v>
      </x:c>
      <x:c r="B565" s="12" t="str">
        <x:v>5126</x:v>
      </x:c>
      <x:c r="C565" s="12" t="str">
        <x:v>参考000</x:v>
      </x:c>
      <x:c r="D565" s="12" t="str">
        <x:v>自动000</x:v>
      </x:c>
      <x:c r="E565" s="12" t="n">
        <x:v>0</x:v>
      </x:c>
      <x:c r="F565" s="12" t="n">
        <x:v>0</x:v>
      </x:c>
      <x:c r="G565" s="12" t="n">
        <x:v>0</x:v>
      </x:c>
      <x:c r="H565" s="12" t="n">
        <x:f>IF(SUM(I565:K565)&gt;0,1,0)</x:f>
        <x:v>0</x:v>
      </x:c>
      <x:c r="I565" s="12" t="n">
        <x:f>IF('患者配对'!M594="positive",1,0)</x:f>
        <x:v>0</x:v>
      </x:c>
      <x:c r="J565" s="12" t="n">
        <x:f>IF('患者配对'!R594="positive",1,0)</x:f>
        <x:v>0</x:v>
      </x:c>
      <x:c r="K565" s="12" t="n">
        <x:f>IF('患者配对'!W594="positive",1,0)</x:f>
        <x:v>0</x:v>
      </x:c>
      <x:c r="L565" s="12" t="str">
        <x:v>由原件与原状态取得；仅主队列索引</x:v>
      </x:c>
      <x:c r="M565" s="12"/>
      <x:c r="N565" s="12"/>
      <x:c r="O565" s="12"/>
    </x:row>
    <x:row r="566" ht="39" customHeight="1">
      <x:c r="A566" s="12" t="str">
        <x:v>4749</x:v>
      </x:c>
      <x:c r="B566" s="12" t="str">
        <x:v>4394</x:v>
      </x:c>
      <x:c r="C566" s="12" t="str">
        <x:v>参考000</x:v>
      </x:c>
      <x:c r="D566" s="12" t="str">
        <x:v>自动000</x:v>
      </x:c>
      <x:c r="E566" s="12" t="n">
        <x:v>0</x:v>
      </x:c>
      <x:c r="F566" s="12" t="n">
        <x:v>0</x:v>
      </x:c>
      <x:c r="G566" s="12" t="n">
        <x:v>0</x:v>
      </x:c>
      <x:c r="H566" s="12" t="n">
        <x:f>IF(SUM(I566:K566)&gt;0,1,0)</x:f>
        <x:v>0</x:v>
      </x:c>
      <x:c r="I566" s="12" t="n">
        <x:f>IF('患者配对'!M595="positive",1,0)</x:f>
        <x:v>0</x:v>
      </x:c>
      <x:c r="J566" s="12" t="n">
        <x:f>IF('患者配对'!R595="positive",1,0)</x:f>
        <x:v>0</x:v>
      </x:c>
      <x:c r="K566" s="12" t="n">
        <x:f>IF('患者配对'!W595="positive",1,0)</x:f>
        <x:v>0</x:v>
      </x:c>
      <x:c r="L566" s="12" t="str">
        <x:v>由原件与原状态取得；仅主队列索引</x:v>
      </x:c>
      <x:c r="M566" s="12"/>
      <x:c r="N566" s="12"/>
      <x:c r="O566" s="12"/>
    </x:row>
    <x:row r="567" ht="39" customHeight="1">
      <x:c r="A567" s="12" t="str">
        <x:v>4755</x:v>
      </x:c>
      <x:c r="B567" s="12" t="str">
        <x:v>13893</x:v>
      </x:c>
      <x:c r="C567" s="12" t="str">
        <x:v>参考000</x:v>
      </x:c>
      <x:c r="D567" s="12" t="str">
        <x:v>自动000</x:v>
      </x:c>
      <x:c r="E567" s="12" t="n">
        <x:v>0</x:v>
      </x:c>
      <x:c r="F567" s="12" t="n">
        <x:v>0</x:v>
      </x:c>
      <x:c r="G567" s="12" t="n">
        <x:v>0</x:v>
      </x:c>
      <x:c r="H567" s="12" t="n">
        <x:f>IF(SUM(I567:K567)&gt;0,1,0)</x:f>
        <x:v>0</x:v>
      </x:c>
      <x:c r="I567" s="12" t="n">
        <x:f>IF('患者配对'!M596="positive",1,0)</x:f>
        <x:v>0</x:v>
      </x:c>
      <x:c r="J567" s="12" t="n">
        <x:f>IF('患者配对'!R596="positive",1,0)</x:f>
        <x:v>0</x:v>
      </x:c>
      <x:c r="K567" s="12" t="n">
        <x:f>IF('患者配对'!W596="positive",1,0)</x:f>
        <x:v>0</x:v>
      </x:c>
      <x:c r="L567" s="12" t="str">
        <x:v>由原件与原状态取得；仅主队列索引</x:v>
      </x:c>
      <x:c r="M567" s="12"/>
      <x:c r="N567" s="12"/>
      <x:c r="O567" s="12"/>
    </x:row>
    <x:row r="568" ht="39" customHeight="1">
      <x:c r="A568" s="12" t="str">
        <x:v>4758</x:v>
      </x:c>
      <x:c r="B568" s="12" t="str">
        <x:v>6204</x:v>
      </x:c>
      <x:c r="C568" s="12" t="str">
        <x:v>参考001</x:v>
      </x:c>
      <x:c r="D568" s="12" t="str">
        <x:v>自动001</x:v>
      </x:c>
      <x:c r="E568" s="12" t="n">
        <x:v>1</x:v>
      </x:c>
      <x:c r="F568" s="12" t="n">
        <x:v>1</x:v>
      </x:c>
      <x:c r="G568" s="12" t="n">
        <x:v>0</x:v>
      </x:c>
      <x:c r="H568" s="12" t="n">
        <x:f>IF(SUM(I568:K568)&gt;0,1,0)</x:f>
        <x:v>1</x:v>
      </x:c>
      <x:c r="I568" s="12" t="n">
        <x:f>IF('患者配对'!M597="positive",1,0)</x:f>
        <x:v>0</x:v>
      </x:c>
      <x:c r="J568" s="12" t="n">
        <x:f>IF('患者配对'!R597="positive",1,0)</x:f>
        <x:v>0</x:v>
      </x:c>
      <x:c r="K568" s="12" t="n">
        <x:f>IF('患者配对'!W597="positive",1,0)</x:f>
        <x:v>1</x:v>
      </x:c>
      <x:c r="L568" s="12" t="str">
        <x:v>由原件与原状态取得；仅主队列索引</x:v>
      </x:c>
      <x:c r="M568" s="12"/>
      <x:c r="N568" s="12"/>
      <x:c r="O568" s="12"/>
    </x:row>
    <x:row r="569" ht="39" customHeight="1">
      <x:c r="A569" s="12" t="str">
        <x:v>4769</x:v>
      </x:c>
      <x:c r="B569" s="12" t="str">
        <x:v>6178</x:v>
      </x:c>
      <x:c r="C569" s="12" t="str">
        <x:v>参考100</x:v>
      </x:c>
      <x:c r="D569" s="12" t="str">
        <x:v>自动100</x:v>
      </x:c>
      <x:c r="E569" s="12" t="n">
        <x:v>1</x:v>
      </x:c>
      <x:c r="F569" s="12" t="n">
        <x:v>1</x:v>
      </x:c>
      <x:c r="G569" s="12" t="n">
        <x:v>0</x:v>
      </x:c>
      <x:c r="H569" s="12" t="n">
        <x:f>IF(SUM(I569:K569)&gt;0,1,0)</x:f>
        <x:v>1</x:v>
      </x:c>
      <x:c r="I569" s="12" t="n">
        <x:f>IF('患者配对'!M598="positive",1,0)</x:f>
        <x:v>1</x:v>
      </x:c>
      <x:c r="J569" s="12" t="n">
        <x:f>IF('患者配对'!R598="positive",1,0)</x:f>
        <x:v>0</x:v>
      </x:c>
      <x:c r="K569" s="12" t="n">
        <x:f>IF('患者配对'!W598="positive",1,0)</x:f>
        <x:v>0</x:v>
      </x:c>
      <x:c r="L569" s="12" t="str">
        <x:v>由原件与原状态取得；仅主队列索引</x:v>
      </x:c>
      <x:c r="M569" s="12"/>
      <x:c r="N569" s="12"/>
      <x:c r="O569" s="12"/>
    </x:row>
    <x:row r="570" ht="39" customHeight="1">
      <x:c r="A570" s="12" t="str">
        <x:v>4771</x:v>
      </x:c>
      <x:c r="B570" s="12" t="str">
        <x:v>6657</x:v>
      </x:c>
      <x:c r="C570" s="12" t="str">
        <x:v>参考000</x:v>
      </x:c>
      <x:c r="D570" s="12" t="str">
        <x:v>自动000</x:v>
      </x:c>
      <x:c r="E570" s="12" t="n">
        <x:v>0</x:v>
      </x:c>
      <x:c r="F570" s="12" t="n">
        <x:v>1</x:v>
      </x:c>
      <x:c r="G570" s="12" t="n">
        <x:v>0</x:v>
      </x:c>
      <x:c r="H570" s="12" t="n">
        <x:f>IF(SUM(I570:K570)&gt;0,1,0)</x:f>
        <x:v>0</x:v>
      </x:c>
      <x:c r="I570" s="12" t="n">
        <x:f>IF('患者配对'!M599="positive",1,0)</x:f>
        <x:v>0</x:v>
      </x:c>
      <x:c r="J570" s="12" t="n">
        <x:f>IF('患者配对'!R599="positive",1,0)</x:f>
        <x:v>0</x:v>
      </x:c>
      <x:c r="K570" s="12" t="n">
        <x:f>IF('患者配对'!W599="positive",1,0)</x:f>
        <x:v>0</x:v>
      </x:c>
      <x:c r="L570" s="12" t="str">
        <x:v>由原件与原状态取得；仅主队列索引</x:v>
      </x:c>
      <x:c r="M570" s="12"/>
      <x:c r="N570" s="12"/>
      <x:c r="O570" s="12"/>
    </x:row>
    <x:row r="571" ht="39" customHeight="1">
      <x:c r="A571" s="12" t="str">
        <x:v>4785</x:v>
      </x:c>
      <x:c r="B571" s="12" t="str">
        <x:v>9903</x:v>
      </x:c>
      <x:c r="C571" s="12" t="str">
        <x:v>参考100</x:v>
      </x:c>
      <x:c r="D571" s="12" t="str">
        <x:v>自动000</x:v>
      </x:c>
      <x:c r="E571" s="12" t="n">
        <x:v>0</x:v>
      </x:c>
      <x:c r="F571" s="12" t="n">
        <x:v>1</x:v>
      </x:c>
      <x:c r="G571" s="12" t="n">
        <x:v>1</x:v>
      </x:c>
      <x:c r="H571" s="12" t="n">
        <x:f>IF(SUM(I571:K571)&gt;0,1,0)</x:f>
        <x:v>1</x:v>
      </x:c>
      <x:c r="I571" s="12" t="n">
        <x:f>IF('患者配对'!M600="positive",1,0)</x:f>
        <x:v>1</x:v>
      </x:c>
      <x:c r="J571" s="12" t="n">
        <x:f>IF('患者配对'!R600="positive",1,0)</x:f>
        <x:v>0</x:v>
      </x:c>
      <x:c r="K571" s="12" t="n">
        <x:f>IF('患者配对'!W600="positive",1,0)</x:f>
        <x:v>0</x:v>
      </x:c>
      <x:c r="L571" s="12" t="str">
        <x:v>由原件与原状态取得；仅主队列索引</x:v>
      </x:c>
      <x:c r="M571" s="12"/>
      <x:c r="N571" s="12"/>
      <x:c r="O571" s="12"/>
    </x:row>
    <x:row r="572" ht="39" customHeight="1">
      <x:c r="A572" s="12" t="str">
        <x:v>4786</x:v>
      </x:c>
      <x:c r="B572" s="12" t="str">
        <x:v>854</x:v>
      </x:c>
      <x:c r="C572" s="12" t="str">
        <x:v>参考000</x:v>
      </x:c>
      <x:c r="D572" s="12" t="str">
        <x:v>自动000</x:v>
      </x:c>
      <x:c r="E572" s="12" t="n">
        <x:v>0</x:v>
      </x:c>
      <x:c r="F572" s="12" t="n">
        <x:v>0</x:v>
      </x:c>
      <x:c r="G572" s="12" t="n">
        <x:v>0</x:v>
      </x:c>
      <x:c r="H572" s="12" t="n">
        <x:f>IF(SUM(I572:K572)&gt;0,1,0)</x:f>
        <x:v>0</x:v>
      </x:c>
      <x:c r="I572" s="12" t="n">
        <x:f>IF('患者配对'!M601="positive",1,0)</x:f>
        <x:v>0</x:v>
      </x:c>
      <x:c r="J572" s="12" t="n">
        <x:f>IF('患者配对'!R601="positive",1,0)</x:f>
        <x:v>0</x:v>
      </x:c>
      <x:c r="K572" s="12" t="n">
        <x:f>IF('患者配对'!W601="positive",1,0)</x:f>
        <x:v>0</x:v>
      </x:c>
      <x:c r="L572" s="12" t="str">
        <x:v>由原件与原状态取得；仅主队列索引</x:v>
      </x:c>
      <x:c r="M572" s="12"/>
      <x:c r="N572" s="12"/>
      <x:c r="O572" s="12"/>
    </x:row>
    <x:row r="573" ht="39" customHeight="1">
      <x:c r="A573" s="12" t="str">
        <x:v>4820</x:v>
      </x:c>
      <x:c r="B573" s="12" t="str">
        <x:v>10499</x:v>
      </x:c>
      <x:c r="C573" s="12" t="str">
        <x:v>参考000</x:v>
      </x:c>
      <x:c r="D573" s="12" t="str">
        <x:v>自动000</x:v>
      </x:c>
      <x:c r="E573" s="12" t="n">
        <x:v>0</x:v>
      </x:c>
      <x:c r="F573" s="12" t="n">
        <x:v>1</x:v>
      </x:c>
      <x:c r="G573" s="12" t="n">
        <x:v>0</x:v>
      </x:c>
      <x:c r="H573" s="12" t="n">
        <x:f>IF(SUM(I573:K573)&gt;0,1,0)</x:f>
        <x:v>0</x:v>
      </x:c>
      <x:c r="I573" s="12" t="n">
        <x:f>IF('患者配对'!M605="positive",1,0)</x:f>
        <x:v>0</x:v>
      </x:c>
      <x:c r="J573" s="12" t="n">
        <x:f>IF('患者配对'!R605="positive",1,0)</x:f>
        <x:v>0</x:v>
      </x:c>
      <x:c r="K573" s="12" t="n">
        <x:f>IF('患者配对'!W605="positive",1,0)</x:f>
        <x:v>0</x:v>
      </x:c>
      <x:c r="L573" s="12" t="str">
        <x:v>由原件与原状态取得；仅主队列索引</x:v>
      </x:c>
      <x:c r="M573" s="12"/>
      <x:c r="N573" s="12"/>
      <x:c r="O573" s="12"/>
    </x:row>
    <x:row r="574" ht="39" customHeight="1">
      <x:c r="A574" s="12" t="str">
        <x:v>4822</x:v>
      </x:c>
      <x:c r="B574" s="12" t="str">
        <x:v>15960</x:v>
      </x:c>
      <x:c r="C574" s="12" t="str">
        <x:v>参考000</x:v>
      </x:c>
      <x:c r="D574" s="12" t="str">
        <x:v>自动000</x:v>
      </x:c>
      <x:c r="E574" s="12" t="n">
        <x:v>0</x:v>
      </x:c>
      <x:c r="F574" s="12" t="n">
        <x:v>0</x:v>
      </x:c>
      <x:c r="G574" s="12" t="n">
        <x:v>0</x:v>
      </x:c>
      <x:c r="H574" s="12" t="n">
        <x:f>IF(SUM(I574:K574)&gt;0,1,0)</x:f>
        <x:v>0</x:v>
      </x:c>
      <x:c r="I574" s="12" t="n">
        <x:f>IF('患者配对'!M606="positive",1,0)</x:f>
        <x:v>0</x:v>
      </x:c>
      <x:c r="J574" s="12" t="n">
        <x:f>IF('患者配对'!R606="positive",1,0)</x:f>
        <x:v>0</x:v>
      </x:c>
      <x:c r="K574" s="12" t="n">
        <x:f>IF('患者配对'!W606="positive",1,0)</x:f>
        <x:v>0</x:v>
      </x:c>
      <x:c r="L574" s="12" t="str">
        <x:v>由原件与原状态取得；仅主队列索引</x:v>
      </x:c>
      <x:c r="M574" s="12"/>
      <x:c r="N574" s="12"/>
      <x:c r="O574" s="12"/>
    </x:row>
    <x:row r="575" ht="39" customHeight="1">
      <x:c r="A575" s="12" t="str">
        <x:v>4825</x:v>
      </x:c>
      <x:c r="B575" s="12" t="str">
        <x:v>19477</x:v>
      </x:c>
      <x:c r="C575" s="12" t="str">
        <x:v>参考000</x:v>
      </x:c>
      <x:c r="D575" s="12" t="str">
        <x:v>自动000</x:v>
      </x:c>
      <x:c r="E575" s="12" t="n">
        <x:v>0</x:v>
      </x:c>
      <x:c r="F575" s="12" t="n">
        <x:v>0</x:v>
      </x:c>
      <x:c r="G575" s="12" t="n">
        <x:v>0</x:v>
      </x:c>
      <x:c r="H575" s="12" t="n">
        <x:f>IF(SUM(I575:K575)&gt;0,1,0)</x:f>
        <x:v>0</x:v>
      </x:c>
      <x:c r="I575" s="12" t="n">
        <x:f>IF('患者配对'!M607="positive",1,0)</x:f>
        <x:v>0</x:v>
      </x:c>
      <x:c r="J575" s="12" t="n">
        <x:f>IF('患者配对'!R607="positive",1,0)</x:f>
        <x:v>0</x:v>
      </x:c>
      <x:c r="K575" s="12" t="n">
        <x:f>IF('患者配对'!W607="positive",1,0)</x:f>
        <x:v>0</x:v>
      </x:c>
      <x:c r="L575" s="12" t="str">
        <x:v>由原件与原状态取得；仅主队列索引</x:v>
      </x:c>
      <x:c r="M575" s="12"/>
      <x:c r="N575" s="12"/>
      <x:c r="O575" s="12"/>
    </x:row>
    <x:row r="576" ht="39" customHeight="1">
      <x:c r="A576" s="12" t="str">
        <x:v>4836</x:v>
      </x:c>
      <x:c r="B576" s="12" t="str">
        <x:v>10399</x:v>
      </x:c>
      <x:c r="C576" s="12" t="str">
        <x:v>参考000</x:v>
      </x:c>
      <x:c r="D576" s="12" t="str">
        <x:v>自动000</x:v>
      </x:c>
      <x:c r="E576" s="12" t="n">
        <x:v>0</x:v>
      </x:c>
      <x:c r="F576" s="12" t="n">
        <x:v>1</x:v>
      </x:c>
      <x:c r="G576" s="12" t="n">
        <x:v>0</x:v>
      </x:c>
      <x:c r="H576" s="12" t="n">
        <x:f>IF(SUM(I576:K576)&gt;0,1,0)</x:f>
        <x:v>0</x:v>
      </x:c>
      <x:c r="I576" s="12" t="n">
        <x:f>IF('患者配对'!M608="positive",1,0)</x:f>
        <x:v>0</x:v>
      </x:c>
      <x:c r="J576" s="12" t="n">
        <x:f>IF('患者配对'!R608="positive",1,0)</x:f>
        <x:v>0</x:v>
      </x:c>
      <x:c r="K576" s="12" t="n">
        <x:f>IF('患者配对'!W608="positive",1,0)</x:f>
        <x:v>0</x:v>
      </x:c>
      <x:c r="L576" s="12" t="str">
        <x:v>由原件与原状态取得；仅主队列索引</x:v>
      </x:c>
      <x:c r="M576" s="12"/>
      <x:c r="N576" s="12"/>
      <x:c r="O576" s="12"/>
    </x:row>
    <x:row r="577" ht="39" customHeight="1">
      <x:c r="A577" s="12" t="str">
        <x:v>4866</x:v>
      </x:c>
      <x:c r="B577" s="12" t="str">
        <x:v>20895</x:v>
      </x:c>
      <x:c r="C577" s="12" t="str">
        <x:v>参考000</x:v>
      </x:c>
      <x:c r="D577" s="12" t="str">
        <x:v>自动000</x:v>
      </x:c>
      <x:c r="E577" s="12" t="n">
        <x:v>0</x:v>
      </x:c>
      <x:c r="F577" s="12" t="n">
        <x:v>0</x:v>
      </x:c>
      <x:c r="G577" s="12" t="n">
        <x:v>0</x:v>
      </x:c>
      <x:c r="H577" s="12" t="n">
        <x:f>IF(SUM(I577:K577)&gt;0,1,0)</x:f>
        <x:v>0</x:v>
      </x:c>
      <x:c r="I577" s="12" t="n">
        <x:f>IF('患者配对'!M609="positive",1,0)</x:f>
        <x:v>0</x:v>
      </x:c>
      <x:c r="J577" s="12" t="n">
        <x:f>IF('患者配对'!R609="positive",1,0)</x:f>
        <x:v>0</x:v>
      </x:c>
      <x:c r="K577" s="12" t="n">
        <x:f>IF('患者配对'!W609="positive",1,0)</x:f>
        <x:v>0</x:v>
      </x:c>
      <x:c r="L577" s="12" t="str">
        <x:v>由原件与原状态取得；仅主队列索引</x:v>
      </x:c>
      <x:c r="M577" s="12"/>
      <x:c r="N577" s="12"/>
      <x:c r="O577" s="12"/>
    </x:row>
    <x:row r="578" ht="39" customHeight="1">
      <x:c r="A578" s="12" t="str">
        <x:v>4873</x:v>
      </x:c>
      <x:c r="B578" s="12" t="str">
        <x:v>9553</x:v>
      </x:c>
      <x:c r="C578" s="12" t="str">
        <x:v>参考000</x:v>
      </x:c>
      <x:c r="D578" s="12" t="str">
        <x:v>自动000</x:v>
      </x:c>
      <x:c r="E578" s="12" t="n">
        <x:v>0</x:v>
      </x:c>
      <x:c r="F578" s="12" t="n">
        <x:v>1</x:v>
      </x:c>
      <x:c r="G578" s="12" t="n">
        <x:v>0</x:v>
      </x:c>
      <x:c r="H578" s="12" t="n">
        <x:f>IF(SUM(I578:K578)&gt;0,1,0)</x:f>
        <x:v>0</x:v>
      </x:c>
      <x:c r="I578" s="12" t="n">
        <x:f>IF('患者配对'!M610="positive",1,0)</x:f>
        <x:v>0</x:v>
      </x:c>
      <x:c r="J578" s="12" t="n">
        <x:f>IF('患者配对'!R610="positive",1,0)</x:f>
        <x:v>0</x:v>
      </x:c>
      <x:c r="K578" s="12" t="n">
        <x:f>IF('患者配对'!W610="positive",1,0)</x:f>
        <x:v>0</x:v>
      </x:c>
      <x:c r="L578" s="12" t="str">
        <x:v>由原件与原状态取得；仅主队列索引</x:v>
      </x:c>
      <x:c r="M578" s="12"/>
      <x:c r="N578" s="12"/>
      <x:c r="O578" s="12"/>
    </x:row>
    <x:row r="579" ht="39" customHeight="1">
      <x:c r="A579" s="12" t="str">
        <x:v>4880</x:v>
      </x:c>
      <x:c r="B579" s="12" t="str">
        <x:v>16127</x:v>
      </x:c>
      <x:c r="C579" s="12" t="str">
        <x:v>参考000</x:v>
      </x:c>
      <x:c r="D579" s="12" t="str">
        <x:v>自动000</x:v>
      </x:c>
      <x:c r="E579" s="12" t="n">
        <x:v>0</x:v>
      </x:c>
      <x:c r="F579" s="12" t="n">
        <x:v>1</x:v>
      </x:c>
      <x:c r="G579" s="12" t="n">
        <x:v>0</x:v>
      </x:c>
      <x:c r="H579" s="12" t="n">
        <x:f>IF(SUM(I579:K579)&gt;0,1,0)</x:f>
        <x:v>0</x:v>
      </x:c>
      <x:c r="I579" s="12" t="n">
        <x:f>IF('患者配对'!M611="positive",1,0)</x:f>
        <x:v>0</x:v>
      </x:c>
      <x:c r="J579" s="12" t="n">
        <x:f>IF('患者配对'!R611="positive",1,0)</x:f>
        <x:v>0</x:v>
      </x:c>
      <x:c r="K579" s="12" t="n">
        <x:f>IF('患者配对'!W611="positive",1,0)</x:f>
        <x:v>0</x:v>
      </x:c>
      <x:c r="L579" s="12" t="str">
        <x:v>由原件与原状态取得；仅主队列索引</x:v>
      </x:c>
      <x:c r="M579" s="12"/>
      <x:c r="N579" s="12"/>
      <x:c r="O579" s="12"/>
    </x:row>
    <x:row r="580" ht="39" customHeight="1">
      <x:c r="A580" s="12" t="str">
        <x:v>4893</x:v>
      </x:c>
      <x:c r="B580" s="12" t="str">
        <x:v>5052</x:v>
      </x:c>
      <x:c r="C580" s="12" t="str">
        <x:v>参考010</x:v>
      </x:c>
      <x:c r="D580" s="12" t="str">
        <x:v>自动010</x:v>
      </x:c>
      <x:c r="E580" s="12" t="n">
        <x:v>1</x:v>
      </x:c>
      <x:c r="F580" s="12" t="n">
        <x:v>1</x:v>
      </x:c>
      <x:c r="G580" s="12" t="n">
        <x:v>0</x:v>
      </x:c>
      <x:c r="H580" s="12" t="n">
        <x:f>IF(SUM(I580:K580)&gt;0,1,0)</x:f>
        <x:v>1</x:v>
      </x:c>
      <x:c r="I580" s="12" t="n">
        <x:f>IF('患者配对'!M612="positive",1,0)</x:f>
        <x:v>0</x:v>
      </x:c>
      <x:c r="J580" s="12" t="n">
        <x:f>IF('患者配对'!R612="positive",1,0)</x:f>
        <x:v>1</x:v>
      </x:c>
      <x:c r="K580" s="12" t="n">
        <x:f>IF('患者配对'!W612="positive",1,0)</x:f>
        <x:v>0</x:v>
      </x:c>
      <x:c r="L580" s="12" t="str">
        <x:v>由原件与原状态取得；仅主队列索引</x:v>
      </x:c>
      <x:c r="M580" s="12"/>
      <x:c r="N580" s="12"/>
      <x:c r="O580" s="12"/>
    </x:row>
    <x:row r="581" ht="39" customHeight="1">
      <x:c r="A581" s="12" t="str">
        <x:v>4900</x:v>
      </x:c>
      <x:c r="B581" s="12" t="str">
        <x:v>5470</x:v>
      </x:c>
      <x:c r="C581" s="12" t="str">
        <x:v>参考000</x:v>
      </x:c>
      <x:c r="D581" s="12" t="str">
        <x:v>自动000</x:v>
      </x:c>
      <x:c r="E581" s="12" t="n">
        <x:v>0</x:v>
      </x:c>
      <x:c r="F581" s="12" t="n">
        <x:v>0</x:v>
      </x:c>
      <x:c r="G581" s="12" t="n">
        <x:v>0</x:v>
      </x:c>
      <x:c r="H581" s="12" t="n">
        <x:f>IF(SUM(I581:K581)&gt;0,1,0)</x:f>
        <x:v>0</x:v>
      </x:c>
      <x:c r="I581" s="12" t="n">
        <x:f>IF('患者配对'!M613="positive",1,0)</x:f>
        <x:v>0</x:v>
      </x:c>
      <x:c r="J581" s="12" t="n">
        <x:f>IF('患者配对'!R613="positive",1,0)</x:f>
        <x:v>0</x:v>
      </x:c>
      <x:c r="K581" s="12" t="n">
        <x:f>IF('患者配对'!W613="positive",1,0)</x:f>
        <x:v>0</x:v>
      </x:c>
      <x:c r="L581" s="12" t="str">
        <x:v>由原件与原状态取得；仅主队列索引</x:v>
      </x:c>
      <x:c r="M581" s="12"/>
      <x:c r="N581" s="12"/>
      <x:c r="O581" s="12"/>
    </x:row>
    <x:row r="582" ht="39" customHeight="1">
      <x:c r="A582" s="12" t="str">
        <x:v>4926</x:v>
      </x:c>
      <x:c r="B582" s="12" t="str">
        <x:v>18168</x:v>
      </x:c>
      <x:c r="C582" s="12" t="str">
        <x:v>参考000</x:v>
      </x:c>
      <x:c r="D582" s="12" t="str">
        <x:v>自动000</x:v>
      </x:c>
      <x:c r="E582" s="12" t="n">
        <x:v>0</x:v>
      </x:c>
      <x:c r="F582" s="12" t="n">
        <x:v>0</x:v>
      </x:c>
      <x:c r="G582" s="12" t="n">
        <x:v>0</x:v>
      </x:c>
      <x:c r="H582" s="12" t="n">
        <x:f>IF(SUM(I582:K582)&gt;0,1,0)</x:f>
        <x:v>0</x:v>
      </x:c>
      <x:c r="I582" s="12" t="n">
        <x:f>IF('患者配对'!M615="positive",1,0)</x:f>
        <x:v>0</x:v>
      </x:c>
      <x:c r="J582" s="12" t="n">
        <x:f>IF('患者配对'!R615="positive",1,0)</x:f>
        <x:v>0</x:v>
      </x:c>
      <x:c r="K582" s="12" t="n">
        <x:f>IF('患者配对'!W615="positive",1,0)</x:f>
        <x:v>0</x:v>
      </x:c>
      <x:c r="L582" s="12" t="str">
        <x:v>由原件与原状态取得；仅主队列索引</x:v>
      </x:c>
      <x:c r="M582" s="12"/>
      <x:c r="N582" s="12"/>
      <x:c r="O582" s="12"/>
    </x:row>
    <x:row r="583" ht="39" customHeight="1">
      <x:c r="A583" s="12" t="str">
        <x:v>4945</x:v>
      </x:c>
      <x:c r="B583" s="12" t="str">
        <x:v>6695</x:v>
      </x:c>
      <x:c r="C583" s="12" t="str">
        <x:v>参考000</x:v>
      </x:c>
      <x:c r="D583" s="12" t="str">
        <x:v>自动000</x:v>
      </x:c>
      <x:c r="E583" s="12" t="n">
        <x:v>0</x:v>
      </x:c>
      <x:c r="F583" s="12" t="n">
        <x:v>0</x:v>
      </x:c>
      <x:c r="G583" s="12" t="n">
        <x:v>0</x:v>
      </x:c>
      <x:c r="H583" s="12" t="n">
        <x:f>IF(SUM(I583:K583)&gt;0,1,0)</x:f>
        <x:v>0</x:v>
      </x:c>
      <x:c r="I583" s="12" t="n">
        <x:f>IF('患者配对'!M616="positive",1,0)</x:f>
        <x:v>0</x:v>
      </x:c>
      <x:c r="J583" s="12" t="n">
        <x:f>IF('患者配对'!R616="positive",1,0)</x:f>
        <x:v>0</x:v>
      </x:c>
      <x:c r="K583" s="12" t="n">
        <x:f>IF('患者配对'!W616="positive",1,0)</x:f>
        <x:v>0</x:v>
      </x:c>
      <x:c r="L583" s="12" t="str">
        <x:v>由原件与原状态取得；仅主队列索引</x:v>
      </x:c>
      <x:c r="M583" s="12"/>
      <x:c r="N583" s="12"/>
      <x:c r="O583" s="12"/>
    </x:row>
    <x:row r="584" ht="39" customHeight="1">
      <x:c r="A584" s="12" t="str">
        <x:v>4951</x:v>
      </x:c>
      <x:c r="B584" s="12" t="str">
        <x:v>6726</x:v>
      </x:c>
      <x:c r="C584" s="12" t="str">
        <x:v>参考000</x:v>
      </x:c>
      <x:c r="D584" s="12" t="str">
        <x:v>自动000</x:v>
      </x:c>
      <x:c r="E584" s="12" t="n">
        <x:v>0</x:v>
      </x:c>
      <x:c r="F584" s="12" t="n">
        <x:v>0</x:v>
      </x:c>
      <x:c r="G584" s="12" t="n">
        <x:v>0</x:v>
      </x:c>
      <x:c r="H584" s="12" t="n">
        <x:f>IF(SUM(I584:K584)&gt;0,1,0)</x:f>
        <x:v>0</x:v>
      </x:c>
      <x:c r="I584" s="12" t="n">
        <x:f>IF('患者配对'!M617="positive",1,0)</x:f>
        <x:v>0</x:v>
      </x:c>
      <x:c r="J584" s="12" t="n">
        <x:f>IF('患者配对'!R617="positive",1,0)</x:f>
        <x:v>0</x:v>
      </x:c>
      <x:c r="K584" s="12" t="n">
        <x:f>IF('患者配对'!W617="positive",1,0)</x:f>
        <x:v>0</x:v>
      </x:c>
      <x:c r="L584" s="12" t="str">
        <x:v>由原件与原状态取得；仅主队列索引</x:v>
      </x:c>
      <x:c r="M584" s="12"/>
      <x:c r="N584" s="12"/>
      <x:c r="O584" s="12"/>
    </x:row>
    <x:row r="585" ht="39" customHeight="1">
      <x:c r="A585" s="12" t="str">
        <x:v>4960</x:v>
      </x:c>
      <x:c r="B585" s="12" t="str">
        <x:v>7598</x:v>
      </x:c>
      <x:c r="C585" s="12" t="str">
        <x:v>参考000</x:v>
      </x:c>
      <x:c r="D585" s="12" t="str">
        <x:v>自动000</x:v>
      </x:c>
      <x:c r="E585" s="12" t="n">
        <x:v>0</x:v>
      </x:c>
      <x:c r="F585" s="12" t="n">
        <x:v>0</x:v>
      </x:c>
      <x:c r="G585" s="12" t="n">
        <x:v>0</x:v>
      </x:c>
      <x:c r="H585" s="12" t="n">
        <x:f>IF(SUM(I585:K585)&gt;0,1,0)</x:f>
        <x:v>0</x:v>
      </x:c>
      <x:c r="I585" s="12" t="n">
        <x:f>IF('患者配对'!M618="positive",1,0)</x:f>
        <x:v>0</x:v>
      </x:c>
      <x:c r="J585" s="12" t="n">
        <x:f>IF('患者配对'!R618="positive",1,0)</x:f>
        <x:v>0</x:v>
      </x:c>
      <x:c r="K585" s="12" t="n">
        <x:f>IF('患者配对'!W618="positive",1,0)</x:f>
        <x:v>0</x:v>
      </x:c>
      <x:c r="L585" s="12" t="str">
        <x:v>由原件与原状态取得；仅主队列索引</x:v>
      </x:c>
      <x:c r="M585" s="12"/>
      <x:c r="N585" s="12"/>
      <x:c r="O585" s="12"/>
    </x:row>
    <x:row r="586" ht="39" customHeight="1">
      <x:c r="A586" s="12" t="str">
        <x:v>4979</x:v>
      </x:c>
      <x:c r="B586" s="12" t="str">
        <x:v>4341</x:v>
      </x:c>
      <x:c r="C586" s="12" t="str">
        <x:v>参考000</x:v>
      </x:c>
      <x:c r="D586" s="12" t="str">
        <x:v>自动000</x:v>
      </x:c>
      <x:c r="E586" s="12" t="n">
        <x:v>0</x:v>
      </x:c>
      <x:c r="F586" s="12" t="n">
        <x:v>0</x:v>
      </x:c>
      <x:c r="G586" s="12" t="n">
        <x:v>0</x:v>
      </x:c>
      <x:c r="H586" s="12" t="n">
        <x:f>IF(SUM(I586:K586)&gt;0,1,0)</x:f>
        <x:v>0</x:v>
      </x:c>
      <x:c r="I586" s="12" t="n">
        <x:f>IF('患者配对'!M619="positive",1,0)</x:f>
        <x:v>0</x:v>
      </x:c>
      <x:c r="J586" s="12" t="n">
        <x:f>IF('患者配对'!R619="positive",1,0)</x:f>
        <x:v>0</x:v>
      </x:c>
      <x:c r="K586" s="12" t="n">
        <x:f>IF('患者配对'!W619="positive",1,0)</x:f>
        <x:v>0</x:v>
      </x:c>
      <x:c r="L586" s="12" t="str">
        <x:v>由原件与原状态取得；仅主队列索引</x:v>
      </x:c>
      <x:c r="M586" s="12"/>
      <x:c r="N586" s="12"/>
      <x:c r="O586" s="12"/>
    </x:row>
    <x:row r="587" ht="39" customHeight="1">
      <x:c r="A587" s="12" t="str">
        <x:v>4995</x:v>
      </x:c>
      <x:c r="B587" s="12" t="str">
        <x:v>20822</x:v>
      </x:c>
      <x:c r="C587" s="12" t="str">
        <x:v>参考000</x:v>
      </x:c>
      <x:c r="D587" s="12" t="str">
        <x:v>自动000</x:v>
      </x:c>
      <x:c r="E587" s="12" t="n">
        <x:v>0</x:v>
      </x:c>
      <x:c r="F587" s="12" t="n">
        <x:v>1</x:v>
      </x:c>
      <x:c r="G587" s="12" t="n">
        <x:v>0</x:v>
      </x:c>
      <x:c r="H587" s="12" t="n">
        <x:f>IF(SUM(I587:K587)&gt;0,1,0)</x:f>
        <x:v>0</x:v>
      </x:c>
      <x:c r="I587" s="12" t="n">
        <x:f>IF('患者配对'!M620="positive",1,0)</x:f>
        <x:v>0</x:v>
      </x:c>
      <x:c r="J587" s="12" t="n">
        <x:f>IF('患者配对'!R620="positive",1,0)</x:f>
        <x:v>0</x:v>
      </x:c>
      <x:c r="K587" s="12" t="n">
        <x:f>IF('患者配对'!W620="positive",1,0)</x:f>
        <x:v>0</x:v>
      </x:c>
      <x:c r="L587" s="12" t="str">
        <x:v>由原件与原状态取得；仅主队列索引</x:v>
      </x:c>
      <x:c r="M587" s="12"/>
      <x:c r="N587" s="12"/>
      <x:c r="O587" s="12"/>
    </x:row>
    <x:row r="588" ht="39" customHeight="1">
      <x:c r="A588" s="12" t="str">
        <x:v>5000</x:v>
      </x:c>
      <x:c r="B588" s="12" t="str">
        <x:v>7207</x:v>
      </x:c>
      <x:c r="C588" s="12" t="str">
        <x:v>参考000</x:v>
      </x:c>
      <x:c r="D588" s="12" t="str">
        <x:v>自动000</x:v>
      </x:c>
      <x:c r="E588" s="12" t="n">
        <x:v>0</x:v>
      </x:c>
      <x:c r="F588" s="12" t="n">
        <x:v>0</x:v>
      </x:c>
      <x:c r="G588" s="12" t="n">
        <x:v>0</x:v>
      </x:c>
      <x:c r="H588" s="12" t="n">
        <x:f>IF(SUM(I588:K588)&gt;0,1,0)</x:f>
        <x:v>0</x:v>
      </x:c>
      <x:c r="I588" s="12" t="n">
        <x:f>IF('患者配对'!M621="positive",1,0)</x:f>
        <x:v>0</x:v>
      </x:c>
      <x:c r="J588" s="12" t="n">
        <x:f>IF('患者配对'!R621="positive",1,0)</x:f>
        <x:v>0</x:v>
      </x:c>
      <x:c r="K588" s="12" t="n">
        <x:f>IF('患者配对'!W621="positive",1,0)</x:f>
        <x:v>0</x:v>
      </x:c>
      <x:c r="L588" s="12" t="str">
        <x:v>由原件与原状态取得；仅主队列索引</x:v>
      </x:c>
      <x:c r="M588" s="12"/>
      <x:c r="N588" s="12"/>
      <x:c r="O588" s="12"/>
    </x:row>
    <x:row r="589" ht="39" customHeight="1">
      <x:c r="A589" s="12" t="str">
        <x:v>5029</x:v>
      </x:c>
      <x:c r="B589" s="12" t="str">
        <x:v>17619</x:v>
      </x:c>
      <x:c r="C589" s="12" t="str">
        <x:v>参考000</x:v>
      </x:c>
      <x:c r="D589" s="12" t="str">
        <x:v>自动000</x:v>
      </x:c>
      <x:c r="E589" s="12" t="n">
        <x:v>0</x:v>
      </x:c>
      <x:c r="F589" s="12" t="n">
        <x:v>0</x:v>
      </x:c>
      <x:c r="G589" s="12" t="n">
        <x:v>0</x:v>
      </x:c>
      <x:c r="H589" s="12" t="n">
        <x:f>IF(SUM(I589:K589)&gt;0,1,0)</x:f>
        <x:v>0</x:v>
      </x:c>
      <x:c r="I589" s="12" t="n">
        <x:f>IF('患者配对'!M622="positive",1,0)</x:f>
        <x:v>0</x:v>
      </x:c>
      <x:c r="J589" s="12" t="n">
        <x:f>IF('患者配对'!R622="positive",1,0)</x:f>
        <x:v>0</x:v>
      </x:c>
      <x:c r="K589" s="12" t="n">
        <x:f>IF('患者配对'!W622="positive",1,0)</x:f>
        <x:v>0</x:v>
      </x:c>
      <x:c r="L589" s="12" t="str">
        <x:v>由原件与原状态取得；仅主队列索引</x:v>
      </x:c>
      <x:c r="M589" s="12"/>
      <x:c r="N589" s="12"/>
      <x:c r="O589" s="12"/>
    </x:row>
    <x:row r="590" ht="39" customHeight="1">
      <x:c r="A590" s="12" t="str">
        <x:v>5054</x:v>
      </x:c>
      <x:c r="B590" s="12" t="str">
        <x:v>3579</x:v>
      </x:c>
      <x:c r="C590" s="12" t="str">
        <x:v>参考000</x:v>
      </x:c>
      <x:c r="D590" s="12" t="str">
        <x:v>自动000</x:v>
      </x:c>
      <x:c r="E590" s="12" t="n">
        <x:v>0</x:v>
      </x:c>
      <x:c r="F590" s="12" t="n">
        <x:v>0</x:v>
      </x:c>
      <x:c r="G590" s="12" t="n">
        <x:v>0</x:v>
      </x:c>
      <x:c r="H590" s="12" t="n">
        <x:f>IF(SUM(I590:K590)&gt;0,1,0)</x:f>
        <x:v>0</x:v>
      </x:c>
      <x:c r="I590" s="12" t="n">
        <x:f>IF('患者配对'!M623="positive",1,0)</x:f>
        <x:v>0</x:v>
      </x:c>
      <x:c r="J590" s="12" t="n">
        <x:f>IF('患者配对'!R623="positive",1,0)</x:f>
        <x:v>0</x:v>
      </x:c>
      <x:c r="K590" s="12" t="n">
        <x:f>IF('患者配对'!W623="positive",1,0)</x:f>
        <x:v>0</x:v>
      </x:c>
      <x:c r="L590" s="12" t="str">
        <x:v>由原件与原状态取得；仅主队列索引</x:v>
      </x:c>
      <x:c r="M590" s="12"/>
      <x:c r="N590" s="12"/>
      <x:c r="O590" s="12"/>
    </x:row>
    <x:row r="591" ht="39" customHeight="1">
      <x:c r="A591" s="12" t="str">
        <x:v>5067</x:v>
      </x:c>
      <x:c r="B591" s="12" t="str">
        <x:v>16979</x:v>
      </x:c>
      <x:c r="C591" s="12" t="str">
        <x:v>参考000</x:v>
      </x:c>
      <x:c r="D591" s="12" t="str">
        <x:v>自动000</x:v>
      </x:c>
      <x:c r="E591" s="12" t="n">
        <x:v>0</x:v>
      </x:c>
      <x:c r="F591" s="12" t="n">
        <x:v>0</x:v>
      </x:c>
      <x:c r="G591" s="12" t="n">
        <x:v>0</x:v>
      </x:c>
      <x:c r="H591" s="12" t="n">
        <x:f>IF(SUM(I591:K591)&gt;0,1,0)</x:f>
        <x:v>0</x:v>
      </x:c>
      <x:c r="I591" s="12" t="n">
        <x:f>IF('患者配对'!M624="positive",1,0)</x:f>
        <x:v>0</x:v>
      </x:c>
      <x:c r="J591" s="12" t="n">
        <x:f>IF('患者配对'!R624="positive",1,0)</x:f>
        <x:v>0</x:v>
      </x:c>
      <x:c r="K591" s="12" t="n">
        <x:f>IF('患者配对'!W624="positive",1,0)</x:f>
        <x:v>0</x:v>
      </x:c>
      <x:c r="L591" s="12" t="str">
        <x:v>由原件与原状态取得；仅主队列索引</x:v>
      </x:c>
      <x:c r="M591" s="12"/>
      <x:c r="N591" s="12"/>
      <x:c r="O591" s="12"/>
    </x:row>
    <x:row r="592" ht="39" customHeight="1">
      <x:c r="A592" s="12" t="str">
        <x:v>5087</x:v>
      </x:c>
      <x:c r="B592" s="12" t="str">
        <x:v>4214</x:v>
      </x:c>
      <x:c r="C592" s="12" t="str">
        <x:v>参考000</x:v>
      </x:c>
      <x:c r="D592" s="12" t="str">
        <x:v>自动000</x:v>
      </x:c>
      <x:c r="E592" s="12" t="n">
        <x:v>0</x:v>
      </x:c>
      <x:c r="F592" s="12" t="n">
        <x:v>0</x:v>
      </x:c>
      <x:c r="G592" s="12" t="n">
        <x:v>0</x:v>
      </x:c>
      <x:c r="H592" s="12" t="n">
        <x:f>IF(SUM(I592:K592)&gt;0,1,0)</x:f>
        <x:v>0</x:v>
      </x:c>
      <x:c r="I592" s="12" t="n">
        <x:f>IF('患者配对'!M625="positive",1,0)</x:f>
        <x:v>0</x:v>
      </x:c>
      <x:c r="J592" s="12" t="n">
        <x:f>IF('患者配对'!R625="positive",1,0)</x:f>
        <x:v>0</x:v>
      </x:c>
      <x:c r="K592" s="12" t="n">
        <x:f>IF('患者配对'!W625="positive",1,0)</x:f>
        <x:v>0</x:v>
      </x:c>
      <x:c r="L592" s="12" t="str">
        <x:v>由原件与原状态取得；仅主队列索引</x:v>
      </x:c>
      <x:c r="M592" s="12"/>
      <x:c r="N592" s="12"/>
      <x:c r="O592" s="12"/>
    </x:row>
    <x:row r="593" ht="39" customHeight="1">
      <x:c r="A593" s="12" t="str">
        <x:v>5099</x:v>
      </x:c>
      <x:c r="B593" s="12" t="str">
        <x:v>5732</x:v>
      </x:c>
      <x:c r="C593" s="12" t="str">
        <x:v>参考000</x:v>
      </x:c>
      <x:c r="D593" s="12" t="str">
        <x:v>自动000</x:v>
      </x:c>
      <x:c r="E593" s="12" t="n">
        <x:v>0</x:v>
      </x:c>
      <x:c r="F593" s="12" t="n">
        <x:v>0</x:v>
      </x:c>
      <x:c r="G593" s="12" t="n">
        <x:v>0</x:v>
      </x:c>
      <x:c r="H593" s="12" t="n">
        <x:f>IF(SUM(I593:K593)&gt;0,1,0)</x:f>
        <x:v>0</x:v>
      </x:c>
      <x:c r="I593" s="12" t="n">
        <x:f>IF('患者配对'!M626="positive",1,0)</x:f>
        <x:v>0</x:v>
      </x:c>
      <x:c r="J593" s="12" t="n">
        <x:f>IF('患者配对'!R626="positive",1,0)</x:f>
        <x:v>0</x:v>
      </x:c>
      <x:c r="K593" s="12" t="n">
        <x:f>IF('患者配对'!W626="positive",1,0)</x:f>
        <x:v>0</x:v>
      </x:c>
      <x:c r="L593" s="12" t="str">
        <x:v>由原件与原状态取得；仅主队列索引</x:v>
      </x:c>
      <x:c r="M593" s="12"/>
      <x:c r="N593" s="12"/>
      <x:c r="O593" s="12"/>
    </x:row>
    <x:row r="594" ht="39" customHeight="1">
      <x:c r="A594" s="12" t="str">
        <x:v>5117</x:v>
      </x:c>
      <x:c r="B594" s="12" t="str">
        <x:v>8425</x:v>
      </x:c>
      <x:c r="C594" s="12" t="str">
        <x:v>参考000</x:v>
      </x:c>
      <x:c r="D594" s="12" t="str">
        <x:v>自动000</x:v>
      </x:c>
      <x:c r="E594" s="12" t="n">
        <x:v>0</x:v>
      </x:c>
      <x:c r="F594" s="12" t="n">
        <x:v>0</x:v>
      </x:c>
      <x:c r="G594" s="12" t="n">
        <x:v>0</x:v>
      </x:c>
      <x:c r="H594" s="12" t="n">
        <x:f>IF(SUM(I594:K594)&gt;0,1,0)</x:f>
        <x:v>0</x:v>
      </x:c>
      <x:c r="I594" s="12" t="n">
        <x:f>IF('患者配对'!M627="positive",1,0)</x:f>
        <x:v>0</x:v>
      </x:c>
      <x:c r="J594" s="12" t="n">
        <x:f>IF('患者配对'!R627="positive",1,0)</x:f>
        <x:v>0</x:v>
      </x:c>
      <x:c r="K594" s="12" t="n">
        <x:f>IF('患者配对'!W627="positive",1,0)</x:f>
        <x:v>0</x:v>
      </x:c>
      <x:c r="L594" s="12" t="str">
        <x:v>由原件与原状态取得；仅主队列索引</x:v>
      </x:c>
      <x:c r="M594" s="12"/>
      <x:c r="N594" s="12"/>
      <x:c r="O594" s="12"/>
    </x:row>
    <x:row r="595" ht="39" customHeight="1">
      <x:c r="A595" s="12" t="str">
        <x:v>5122</x:v>
      </x:c>
      <x:c r="B595" s="12" t="str">
        <x:v>17141</x:v>
      </x:c>
      <x:c r="C595" s="12" t="str">
        <x:v>参考000</x:v>
      </x:c>
      <x:c r="D595" s="12" t="str">
        <x:v>自动000</x:v>
      </x:c>
      <x:c r="E595" s="12" t="n">
        <x:v>0</x:v>
      </x:c>
      <x:c r="F595" s="12" t="n">
        <x:v>0</x:v>
      </x:c>
      <x:c r="G595" s="12" t="n">
        <x:v>0</x:v>
      </x:c>
      <x:c r="H595" s="12" t="n">
        <x:f>IF(SUM(I595:K595)&gt;0,1,0)</x:f>
        <x:v>0</x:v>
      </x:c>
      <x:c r="I595" s="12" t="n">
        <x:f>IF('患者配对'!M628="positive",1,0)</x:f>
        <x:v>0</x:v>
      </x:c>
      <x:c r="J595" s="12" t="n">
        <x:f>IF('患者配对'!R628="positive",1,0)</x:f>
        <x:v>0</x:v>
      </x:c>
      <x:c r="K595" s="12" t="n">
        <x:f>IF('患者配对'!W628="positive",1,0)</x:f>
        <x:v>0</x:v>
      </x:c>
      <x:c r="L595" s="12" t="str">
        <x:v>由原件与原状态取得；仅主队列索引</x:v>
      </x:c>
      <x:c r="M595" s="12"/>
      <x:c r="N595" s="12"/>
      <x:c r="O595" s="12"/>
    </x:row>
    <x:row r="596" ht="39" customHeight="1">
      <x:c r="A596" s="12" t="str">
        <x:v>5126</x:v>
      </x:c>
      <x:c r="B596" s="12" t="str">
        <x:v>16392</x:v>
      </x:c>
      <x:c r="C596" s="12" t="str">
        <x:v>参考000</x:v>
      </x:c>
      <x:c r="D596" s="12" t="str">
        <x:v>自动000</x:v>
      </x:c>
      <x:c r="E596" s="12" t="n">
        <x:v>0</x:v>
      </x:c>
      <x:c r="F596" s="12" t="n">
        <x:v>0</x:v>
      </x:c>
      <x:c r="G596" s="12" t="n">
        <x:v>0</x:v>
      </x:c>
      <x:c r="H596" s="12" t="n">
        <x:f>IF(SUM(I596:K596)&gt;0,1,0)</x:f>
        <x:v>0</x:v>
      </x:c>
      <x:c r="I596" s="12" t="n">
        <x:f>IF('患者配对'!M629="positive",1,0)</x:f>
        <x:v>0</x:v>
      </x:c>
      <x:c r="J596" s="12" t="n">
        <x:f>IF('患者配对'!R629="positive",1,0)</x:f>
        <x:v>0</x:v>
      </x:c>
      <x:c r="K596" s="12" t="n">
        <x:f>IF('患者配对'!W629="positive",1,0)</x:f>
        <x:v>0</x:v>
      </x:c>
      <x:c r="L596" s="12" t="str">
        <x:v>由原件与原状态取得；仅主队列索引</x:v>
      </x:c>
      <x:c r="M596" s="12"/>
      <x:c r="N596" s="12"/>
      <x:c r="O596" s="12"/>
    </x:row>
    <x:row r="597" ht="39" customHeight="1">
      <x:c r="A597" s="12" t="str">
        <x:v>5151</x:v>
      </x:c>
      <x:c r="B597" s="12" t="str">
        <x:v>14247</x:v>
      </x:c>
      <x:c r="C597" s="12" t="str">
        <x:v>参考000</x:v>
      </x:c>
      <x:c r="D597" s="12" t="str">
        <x:v>自动000</x:v>
      </x:c>
      <x:c r="E597" s="12" t="n">
        <x:v>0</x:v>
      </x:c>
      <x:c r="F597" s="12" t="n">
        <x:v>0</x:v>
      </x:c>
      <x:c r="G597" s="12" t="n">
        <x:v>0</x:v>
      </x:c>
      <x:c r="H597" s="12" t="n">
        <x:f>IF(SUM(I597:K597)&gt;0,1,0)</x:f>
        <x:v>0</x:v>
      </x:c>
      <x:c r="I597" s="12" t="n">
        <x:f>IF('患者配对'!M631="positive",1,0)</x:f>
        <x:v>0</x:v>
      </x:c>
      <x:c r="J597" s="12" t="n">
        <x:f>IF('患者配对'!R631="positive",1,0)</x:f>
        <x:v>0</x:v>
      </x:c>
      <x:c r="K597" s="12" t="n">
        <x:f>IF('患者配对'!W631="positive",1,0)</x:f>
        <x:v>0</x:v>
      </x:c>
      <x:c r="L597" s="12" t="str">
        <x:v>由原件与原状态取得；仅主队列索引</x:v>
      </x:c>
      <x:c r="M597" s="12"/>
      <x:c r="N597" s="12"/>
      <x:c r="O597" s="12"/>
    </x:row>
    <x:row r="598" ht="39" customHeight="1">
      <x:c r="A598" s="12" t="str">
        <x:v>5163</x:v>
      </x:c>
      <x:c r="B598" s="12" t="str">
        <x:v>19116</x:v>
      </x:c>
      <x:c r="C598" s="12" t="str">
        <x:v>参考100</x:v>
      </x:c>
      <x:c r="D598" s="12" t="str">
        <x:v>自动100</x:v>
      </x:c>
      <x:c r="E598" s="12" t="n">
        <x:v>1</x:v>
      </x:c>
      <x:c r="F598" s="12" t="n">
        <x:v>1</x:v>
      </x:c>
      <x:c r="G598" s="12" t="n">
        <x:v>0</x:v>
      </x:c>
      <x:c r="H598" s="12" t="n">
        <x:f>IF(SUM(I598:K598)&gt;0,1,0)</x:f>
        <x:v>1</x:v>
      </x:c>
      <x:c r="I598" s="12" t="n">
        <x:f>IF('患者配对'!M634="positive",1,0)</x:f>
        <x:v>1</x:v>
      </x:c>
      <x:c r="J598" s="12" t="n">
        <x:f>IF('患者配对'!R634="positive",1,0)</x:f>
        <x:v>0</x:v>
      </x:c>
      <x:c r="K598" s="12" t="n">
        <x:f>IF('患者配对'!W634="positive",1,0)</x:f>
        <x:v>0</x:v>
      </x:c>
      <x:c r="L598" s="12" t="str">
        <x:v>由原件与原状态取得；仅主队列索引</x:v>
      </x:c>
      <x:c r="M598" s="12"/>
      <x:c r="N598" s="12"/>
      <x:c r="O598" s="12"/>
    </x:row>
    <x:row r="599" ht="39" customHeight="1">
      <x:c r="A599" s="12" t="str">
        <x:v>5170</x:v>
      </x:c>
      <x:c r="B599" s="12" t="str">
        <x:v>21124</x:v>
      </x:c>
      <x:c r="C599" s="12" t="str">
        <x:v>参考000</x:v>
      </x:c>
      <x:c r="D599" s="12" t="str">
        <x:v>自动000</x:v>
      </x:c>
      <x:c r="E599" s="12" t="n">
        <x:v>0</x:v>
      </x:c>
      <x:c r="F599" s="12" t="n">
        <x:v>0</x:v>
      </x:c>
      <x:c r="G599" s="12" t="n">
        <x:v>0</x:v>
      </x:c>
      <x:c r="H599" s="12" t="n">
        <x:f>IF(SUM(I599:K599)&gt;0,1,0)</x:f>
        <x:v>0</x:v>
      </x:c>
      <x:c r="I599" s="12" t="n">
        <x:f>IF('患者配对'!M635="positive",1,0)</x:f>
        <x:v>0</x:v>
      </x:c>
      <x:c r="J599" s="12" t="n">
        <x:f>IF('患者配对'!R635="positive",1,0)</x:f>
        <x:v>0</x:v>
      </x:c>
      <x:c r="K599" s="12" t="n">
        <x:f>IF('患者配对'!W635="positive",1,0)</x:f>
        <x:v>0</x:v>
      </x:c>
      <x:c r="L599" s="12" t="str">
        <x:v>由原件与原状态取得；仅主队列索引</x:v>
      </x:c>
      <x:c r="M599" s="12"/>
      <x:c r="N599" s="12"/>
      <x:c r="O599" s="12"/>
    </x:row>
    <x:row r="600" ht="39" customHeight="1">
      <x:c r="A600" s="12" t="str">
        <x:v>5172</x:v>
      </x:c>
      <x:c r="B600" s="12" t="str">
        <x:v>13650</x:v>
      </x:c>
      <x:c r="C600" s="12" t="str">
        <x:v>参考000</x:v>
      </x:c>
      <x:c r="D600" s="12" t="str">
        <x:v>自动000</x:v>
      </x:c>
      <x:c r="E600" s="12" t="n">
        <x:v>0</x:v>
      </x:c>
      <x:c r="F600" s="12" t="n">
        <x:v>0</x:v>
      </x:c>
      <x:c r="G600" s="12" t="n">
        <x:v>0</x:v>
      </x:c>
      <x:c r="H600" s="12" t="n">
        <x:f>IF(SUM(I600:K600)&gt;0,1,0)</x:f>
        <x:v>0</x:v>
      </x:c>
      <x:c r="I600" s="12" t="n">
        <x:f>IF('患者配对'!M636="positive",1,0)</x:f>
        <x:v>0</x:v>
      </x:c>
      <x:c r="J600" s="12" t="n">
        <x:f>IF('患者配对'!R636="positive",1,0)</x:f>
        <x:v>0</x:v>
      </x:c>
      <x:c r="K600" s="12" t="n">
        <x:f>IF('患者配对'!W636="positive",1,0)</x:f>
        <x:v>0</x:v>
      </x:c>
      <x:c r="L600" s="12" t="str">
        <x:v>由原件与原状态取得；仅主队列索引</x:v>
      </x:c>
      <x:c r="M600" s="12"/>
      <x:c r="N600" s="12"/>
      <x:c r="O600" s="12"/>
    </x:row>
    <x:row r="601" ht="39" customHeight="1">
      <x:c r="A601" s="12" t="str">
        <x:v>5182</x:v>
      </x:c>
      <x:c r="B601" s="12" t="str">
        <x:v>11132</x:v>
      </x:c>
      <x:c r="C601" s="12" t="str">
        <x:v>参考000</x:v>
      </x:c>
      <x:c r="D601" s="12" t="str">
        <x:v>自动000</x:v>
      </x:c>
      <x:c r="E601" s="12" t="n">
        <x:v>0</x:v>
      </x:c>
      <x:c r="F601" s="12" t="n">
        <x:v>0</x:v>
      </x:c>
      <x:c r="G601" s="12" t="n">
        <x:v>0</x:v>
      </x:c>
      <x:c r="H601" s="12" t="n">
        <x:f>IF(SUM(I601:K601)&gt;0,1,0)</x:f>
        <x:v>0</x:v>
      </x:c>
      <x:c r="I601" s="12" t="n">
        <x:f>IF('患者配对'!M637="positive",1,0)</x:f>
        <x:v>0</x:v>
      </x:c>
      <x:c r="J601" s="12" t="n">
        <x:f>IF('患者配对'!R637="positive",1,0)</x:f>
        <x:v>0</x:v>
      </x:c>
      <x:c r="K601" s="12" t="n">
        <x:f>IF('患者配对'!W637="positive",1,0)</x:f>
        <x:v>0</x:v>
      </x:c>
      <x:c r="L601" s="12" t="str">
        <x:v>由原件与原状态取得；仅主队列索引</x:v>
      </x:c>
      <x:c r="M601" s="12"/>
      <x:c r="N601" s="12"/>
      <x:c r="O601" s="12"/>
    </x:row>
    <x:row r="602" ht="39" customHeight="1">
      <x:c r="A602" s="12" t="str">
        <x:v>5185</x:v>
      </x:c>
      <x:c r="B602" s="12" t="str">
        <x:v>18055</x:v>
      </x:c>
      <x:c r="C602" s="12" t="str">
        <x:v>参考000</x:v>
      </x:c>
      <x:c r="D602" s="12" t="str">
        <x:v>自动000</x:v>
      </x:c>
      <x:c r="E602" s="12" t="n">
        <x:v>0</x:v>
      </x:c>
      <x:c r="F602" s="12" t="n">
        <x:v>1</x:v>
      </x:c>
      <x:c r="G602" s="12" t="n">
        <x:v>0</x:v>
      </x:c>
      <x:c r="H602" s="12" t="n">
        <x:f>IF(SUM(I602:K602)&gt;0,1,0)</x:f>
        <x:v>0</x:v>
      </x:c>
      <x:c r="I602" s="12" t="n">
        <x:f>IF('患者配对'!M638="positive",1,0)</x:f>
        <x:v>0</x:v>
      </x:c>
      <x:c r="J602" s="12" t="n">
        <x:f>IF('患者配对'!R638="positive",1,0)</x:f>
        <x:v>0</x:v>
      </x:c>
      <x:c r="K602" s="12" t="n">
        <x:f>IF('患者配对'!W638="positive",1,0)</x:f>
        <x:v>0</x:v>
      </x:c>
      <x:c r="L602" s="12" t="str">
        <x:v>由原件与原状态取得；仅主队列索引</x:v>
      </x:c>
      <x:c r="M602" s="12"/>
      <x:c r="N602" s="12"/>
      <x:c r="O602" s="12"/>
    </x:row>
    <x:row r="603" ht="39" customHeight="1">
      <x:c r="A603" s="12" t="str">
        <x:v>5212</x:v>
      </x:c>
      <x:c r="B603" s="12" t="str">
        <x:v>8809</x:v>
      </x:c>
      <x:c r="C603" s="12" t="str">
        <x:v>参考001</x:v>
      </x:c>
      <x:c r="D603" s="12" t="str">
        <x:v>自动001</x:v>
      </x:c>
      <x:c r="E603" s="12" t="n">
        <x:v>1</x:v>
      </x:c>
      <x:c r="F603" s="12" t="n">
        <x:v>1</x:v>
      </x:c>
      <x:c r="G603" s="12" t="n">
        <x:v>0</x:v>
      </x:c>
      <x:c r="H603" s="12" t="n">
        <x:f>IF(SUM(I603:K603)&gt;0,1,0)</x:f>
        <x:v>1</x:v>
      </x:c>
      <x:c r="I603" s="12" t="n">
        <x:f>IF('患者配对'!M639="positive",1,0)</x:f>
        <x:v>0</x:v>
      </x:c>
      <x:c r="J603" s="12" t="n">
        <x:f>IF('患者配对'!R639="positive",1,0)</x:f>
        <x:v>0</x:v>
      </x:c>
      <x:c r="K603" s="12" t="n">
        <x:f>IF('患者配对'!W639="positive",1,0)</x:f>
        <x:v>1</x:v>
      </x:c>
      <x:c r="L603" s="12" t="str">
        <x:v>由原件与原状态取得；仅主队列索引</x:v>
      </x:c>
      <x:c r="M603" s="12"/>
      <x:c r="N603" s="12"/>
      <x:c r="O603" s="12"/>
    </x:row>
    <x:row r="604" ht="39" customHeight="1">
      <x:c r="A604" s="12" t="str">
        <x:v>5251</x:v>
      </x:c>
      <x:c r="B604" s="12" t="str">
        <x:v>14952</x:v>
      </x:c>
      <x:c r="C604" s="12" t="str">
        <x:v>参考000</x:v>
      </x:c>
      <x:c r="D604" s="12" t="str">
        <x:v>自动000</x:v>
      </x:c>
      <x:c r="E604" s="12" t="n">
        <x:v>0</x:v>
      </x:c>
      <x:c r="F604" s="12" t="n">
        <x:v>1</x:v>
      </x:c>
      <x:c r="G604" s="12" t="n">
        <x:v>0</x:v>
      </x:c>
      <x:c r="H604" s="12" t="n">
        <x:f>IF(SUM(I604:K604)&gt;0,1,0)</x:f>
        <x:v>0</x:v>
      </x:c>
      <x:c r="I604" s="12" t="n">
        <x:f>IF('患者配对'!M642="positive",1,0)</x:f>
        <x:v>0</x:v>
      </x:c>
      <x:c r="J604" s="12" t="n">
        <x:f>IF('患者配对'!R642="positive",1,0)</x:f>
        <x:v>0</x:v>
      </x:c>
      <x:c r="K604" s="12" t="n">
        <x:f>IF('患者配对'!W642="positive",1,0)</x:f>
        <x:v>0</x:v>
      </x:c>
      <x:c r="L604" s="12" t="str">
        <x:v>由原件与原状态取得；仅主队列索引</x:v>
      </x:c>
      <x:c r="M604" s="12"/>
      <x:c r="N604" s="12"/>
      <x:c r="O604" s="12"/>
    </x:row>
    <x:row r="605" ht="39" customHeight="1">
      <x:c r="A605" s="12" t="str">
        <x:v>5269</x:v>
      </x:c>
      <x:c r="B605" s="12" t="str">
        <x:v>21651</x:v>
      </x:c>
      <x:c r="C605" s="12" t="str">
        <x:v>参考000</x:v>
      </x:c>
      <x:c r="D605" s="12" t="str">
        <x:v>自动000</x:v>
      </x:c>
      <x:c r="E605" s="12" t="n">
        <x:v>0</x:v>
      </x:c>
      <x:c r="F605" s="12" t="n">
        <x:v>0</x:v>
      </x:c>
      <x:c r="G605" s="12" t="n">
        <x:v>0</x:v>
      </x:c>
      <x:c r="H605" s="12" t="n">
        <x:f>IF(SUM(I605:K605)&gt;0,1,0)</x:f>
        <x:v>0</x:v>
      </x:c>
      <x:c r="I605" s="12" t="n">
        <x:f>IF('患者配对'!M645="positive",1,0)</x:f>
        <x:v>0</x:v>
      </x:c>
      <x:c r="J605" s="12" t="n">
        <x:f>IF('患者配对'!R645="positive",1,0)</x:f>
        <x:v>0</x:v>
      </x:c>
      <x:c r="K605" s="12" t="n">
        <x:f>IF('患者配对'!W645="positive",1,0)</x:f>
        <x:v>0</x:v>
      </x:c>
      <x:c r="L605" s="12" t="str">
        <x:v>由原件与原状态取得；仅主队列索引</x:v>
      </x:c>
      <x:c r="M605" s="12"/>
      <x:c r="N605" s="12"/>
      <x:c r="O605" s="12"/>
    </x:row>
    <x:row r="606" ht="39" customHeight="1">
      <x:c r="A606" s="12" t="str">
        <x:v>5275</x:v>
      </x:c>
      <x:c r="B606" s="12" t="str">
        <x:v>21632</x:v>
      </x:c>
      <x:c r="C606" s="12" t="str">
        <x:v>参考000</x:v>
      </x:c>
      <x:c r="D606" s="12" t="str">
        <x:v>自动000</x:v>
      </x:c>
      <x:c r="E606" s="12" t="n">
        <x:v>0</x:v>
      </x:c>
      <x:c r="F606" s="12" t="n">
        <x:v>0</x:v>
      </x:c>
      <x:c r="G606" s="12" t="n">
        <x:v>0</x:v>
      </x:c>
      <x:c r="H606" s="12" t="n">
        <x:f>IF(SUM(I606:K606)&gt;0,1,0)</x:f>
        <x:v>0</x:v>
      </x:c>
      <x:c r="I606" s="12" t="n">
        <x:f>IF('患者配对'!M646="positive",1,0)</x:f>
        <x:v>0</x:v>
      </x:c>
      <x:c r="J606" s="12" t="n">
        <x:f>IF('患者配对'!R646="positive",1,0)</x:f>
        <x:v>0</x:v>
      </x:c>
      <x:c r="K606" s="12" t="n">
        <x:f>IF('患者配对'!W646="positive",1,0)</x:f>
        <x:v>0</x:v>
      </x:c>
      <x:c r="L606" s="12" t="str">
        <x:v>由原件与原状态取得；仅主队列索引</x:v>
      </x:c>
      <x:c r="M606" s="12"/>
      <x:c r="N606" s="12"/>
      <x:c r="O606" s="12"/>
    </x:row>
    <x:row r="607" ht="39" customHeight="1">
      <x:c r="A607" s="12" t="str">
        <x:v>5276</x:v>
      </x:c>
      <x:c r="B607" s="12" t="str">
        <x:v>13847</x:v>
      </x:c>
      <x:c r="C607" s="12" t="str">
        <x:v>参考000</x:v>
      </x:c>
      <x:c r="D607" s="12" t="str">
        <x:v>自动000</x:v>
      </x:c>
      <x:c r="E607" s="12" t="n">
        <x:v>0</x:v>
      </x:c>
      <x:c r="F607" s="12" t="n">
        <x:v>0</x:v>
      </x:c>
      <x:c r="G607" s="12" t="n">
        <x:v>0</x:v>
      </x:c>
      <x:c r="H607" s="12" t="n">
        <x:f>IF(SUM(I607:K607)&gt;0,1,0)</x:f>
        <x:v>0</x:v>
      </x:c>
      <x:c r="I607" s="12" t="n">
        <x:f>IF('患者配对'!M647="positive",1,0)</x:f>
        <x:v>0</x:v>
      </x:c>
      <x:c r="J607" s="12" t="n">
        <x:f>IF('患者配对'!R647="positive",1,0)</x:f>
        <x:v>0</x:v>
      </x:c>
      <x:c r="K607" s="12" t="n">
        <x:f>IF('患者配对'!W647="positive",1,0)</x:f>
        <x:v>0</x:v>
      </x:c>
      <x:c r="L607" s="12" t="str">
        <x:v>由原件与原状态取得；仅主队列索引</x:v>
      </x:c>
      <x:c r="M607" s="12"/>
      <x:c r="N607" s="12"/>
      <x:c r="O607" s="12"/>
    </x:row>
    <x:row r="608" ht="39" customHeight="1">
      <x:c r="A608" s="12" t="str">
        <x:v>5281</x:v>
      </x:c>
      <x:c r="B608" s="12" t="str">
        <x:v>14040</x:v>
      </x:c>
      <x:c r="C608" s="12" t="str">
        <x:v>参考000</x:v>
      </x:c>
      <x:c r="D608" s="12" t="str">
        <x:v>自动000</x:v>
      </x:c>
      <x:c r="E608" s="12" t="n">
        <x:v>0</x:v>
      </x:c>
      <x:c r="F608" s="12" t="n">
        <x:v>1</x:v>
      </x:c>
      <x:c r="G608" s="12" t="n">
        <x:v>0</x:v>
      </x:c>
      <x:c r="H608" s="12" t="n">
        <x:f>IF(SUM(I608:K608)&gt;0,1,0)</x:f>
        <x:v>0</x:v>
      </x:c>
      <x:c r="I608" s="12" t="n">
        <x:f>IF('患者配对'!M649="positive",1,0)</x:f>
        <x:v>0</x:v>
      </x:c>
      <x:c r="J608" s="12" t="n">
        <x:f>IF('患者配对'!R649="positive",1,0)</x:f>
        <x:v>0</x:v>
      </x:c>
      <x:c r="K608" s="12" t="n">
        <x:f>IF('患者配对'!W649="positive",1,0)</x:f>
        <x:v>0</x:v>
      </x:c>
      <x:c r="L608" s="12" t="str">
        <x:v>由原件与原状态取得；仅主队列索引</x:v>
      </x:c>
      <x:c r="M608" s="12"/>
      <x:c r="N608" s="12"/>
      <x:c r="O608" s="12"/>
    </x:row>
    <x:row r="609" ht="39" customHeight="1">
      <x:c r="A609" s="12" t="str">
        <x:v>5298</x:v>
      </x:c>
      <x:c r="B609" s="12" t="str">
        <x:v>9019</x:v>
      </x:c>
      <x:c r="C609" s="12" t="str">
        <x:v>参考000</x:v>
      </x:c>
      <x:c r="D609" s="12" t="str">
        <x:v>自动000</x:v>
      </x:c>
      <x:c r="E609" s="12" t="n">
        <x:v>0</x:v>
      </x:c>
      <x:c r="F609" s="12" t="n">
        <x:v>0</x:v>
      </x:c>
      <x:c r="G609" s="12" t="n">
        <x:v>0</x:v>
      </x:c>
      <x:c r="H609" s="12" t="n">
        <x:f>IF(SUM(I609:K609)&gt;0,1,0)</x:f>
        <x:v>0</x:v>
      </x:c>
      <x:c r="I609" s="12" t="n">
        <x:f>IF('患者配对'!M651="positive",1,0)</x:f>
        <x:v>0</x:v>
      </x:c>
      <x:c r="J609" s="12" t="n">
        <x:f>IF('患者配对'!R651="positive",1,0)</x:f>
        <x:v>0</x:v>
      </x:c>
      <x:c r="K609" s="12" t="n">
        <x:f>IF('患者配对'!W651="positive",1,0)</x:f>
        <x:v>0</x:v>
      </x:c>
      <x:c r="L609" s="12" t="str">
        <x:v>由原件与原状态取得；仅主队列索引</x:v>
      </x:c>
      <x:c r="M609" s="12"/>
      <x:c r="N609" s="12"/>
      <x:c r="O609" s="12"/>
    </x:row>
    <x:row r="610" ht="39" customHeight="1">
      <x:c r="A610" s="12" t="str">
        <x:v>5299</x:v>
      </x:c>
      <x:c r="B610" s="12" t="str">
        <x:v>18521</x:v>
      </x:c>
      <x:c r="C610" s="12" t="str">
        <x:v>参考000</x:v>
      </x:c>
      <x:c r="D610" s="12" t="str">
        <x:v>自动000</x:v>
      </x:c>
      <x:c r="E610" s="12" t="n">
        <x:v>0</x:v>
      </x:c>
      <x:c r="F610" s="12" t="n">
        <x:v>0</x:v>
      </x:c>
      <x:c r="G610" s="12" t="n">
        <x:v>0</x:v>
      </x:c>
      <x:c r="H610" s="12" t="n">
        <x:f>IF(SUM(I610:K610)&gt;0,1,0)</x:f>
        <x:v>0</x:v>
      </x:c>
      <x:c r="I610" s="12" t="n">
        <x:f>IF('患者配对'!M652="positive",1,0)</x:f>
        <x:v>0</x:v>
      </x:c>
      <x:c r="J610" s="12" t="n">
        <x:f>IF('患者配对'!R652="positive",1,0)</x:f>
        <x:v>0</x:v>
      </x:c>
      <x:c r="K610" s="12" t="n">
        <x:f>IF('患者配对'!W652="positive",1,0)</x:f>
        <x:v>0</x:v>
      </x:c>
      <x:c r="L610" s="12" t="str">
        <x:v>由原件与原状态取得；仅主队列索引</x:v>
      </x:c>
      <x:c r="M610" s="12"/>
      <x:c r="N610" s="12"/>
      <x:c r="O610" s="12"/>
    </x:row>
    <x:row r="611" ht="39" customHeight="1">
      <x:c r="A611" s="12" t="str">
        <x:v>5304</x:v>
      </x:c>
      <x:c r="B611" s="12" t="str">
        <x:v>11143</x:v>
      </x:c>
      <x:c r="C611" s="12" t="str">
        <x:v>参考000</x:v>
      </x:c>
      <x:c r="D611" s="12" t="str">
        <x:v>自动000</x:v>
      </x:c>
      <x:c r="E611" s="12" t="n">
        <x:v>0</x:v>
      </x:c>
      <x:c r="F611" s="12" t="n">
        <x:v>1</x:v>
      </x:c>
      <x:c r="G611" s="12" t="n">
        <x:v>0</x:v>
      </x:c>
      <x:c r="H611" s="12" t="n">
        <x:f>IF(SUM(I611:K611)&gt;0,1,0)</x:f>
        <x:v>0</x:v>
      </x:c>
      <x:c r="I611" s="12" t="n">
        <x:f>IF('患者配对'!M653="positive",1,0)</x:f>
        <x:v>0</x:v>
      </x:c>
      <x:c r="J611" s="12" t="n">
        <x:f>IF('患者配对'!R653="positive",1,0)</x:f>
        <x:v>0</x:v>
      </x:c>
      <x:c r="K611" s="12" t="n">
        <x:f>IF('患者配对'!W653="positive",1,0)</x:f>
        <x:v>0</x:v>
      </x:c>
      <x:c r="L611" s="12" t="str">
        <x:v>由原件与原状态取得；仅主队列索引</x:v>
      </x:c>
      <x:c r="M611" s="12"/>
      <x:c r="N611" s="12"/>
      <x:c r="O611" s="12"/>
    </x:row>
    <x:row r="612" ht="39" customHeight="1">
      <x:c r="A612" s="12" t="str">
        <x:v>5316</x:v>
      </x:c>
      <x:c r="B612" s="12" t="str">
        <x:v>14208</x:v>
      </x:c>
      <x:c r="C612" s="12" t="str">
        <x:v>参考000</x:v>
      </x:c>
      <x:c r="D612" s="12" t="str">
        <x:v>自动000</x:v>
      </x:c>
      <x:c r="E612" s="12" t="n">
        <x:v>0</x:v>
      </x:c>
      <x:c r="F612" s="12" t="n">
        <x:v>1</x:v>
      </x:c>
      <x:c r="G612" s="12" t="n">
        <x:v>0</x:v>
      </x:c>
      <x:c r="H612" s="12" t="n">
        <x:f>IF(SUM(I612:K612)&gt;0,1,0)</x:f>
        <x:v>0</x:v>
      </x:c>
      <x:c r="I612" s="12" t="n">
        <x:f>IF('患者配对'!M654="positive",1,0)</x:f>
        <x:v>0</x:v>
      </x:c>
      <x:c r="J612" s="12" t="n">
        <x:f>IF('患者配对'!R654="positive",1,0)</x:f>
        <x:v>0</x:v>
      </x:c>
      <x:c r="K612" s="12" t="n">
        <x:f>IF('患者配对'!W654="positive",1,0)</x:f>
        <x:v>0</x:v>
      </x:c>
      <x:c r="L612" s="12" t="str">
        <x:v>由原件与原状态取得；仅主队列索引</x:v>
      </x:c>
      <x:c r="M612" s="12"/>
      <x:c r="N612" s="12"/>
      <x:c r="O612" s="12"/>
    </x:row>
    <x:row r="613" ht="39" customHeight="1">
      <x:c r="A613" s="12" t="str">
        <x:v>5331</x:v>
      </x:c>
      <x:c r="B613" s="12" t="str">
        <x:v>19996</x:v>
      </x:c>
      <x:c r="C613" s="12" t="str">
        <x:v>参考000</x:v>
      </x:c>
      <x:c r="D613" s="12" t="str">
        <x:v>自动000</x:v>
      </x:c>
      <x:c r="E613" s="12" t="n">
        <x:v>0</x:v>
      </x:c>
      <x:c r="F613" s="12" t="n">
        <x:v>0</x:v>
      </x:c>
      <x:c r="G613" s="12" t="n">
        <x:v>0</x:v>
      </x:c>
      <x:c r="H613" s="12" t="n">
        <x:f>IF(SUM(I613:K613)&gt;0,1,0)</x:f>
        <x:v>0</x:v>
      </x:c>
      <x:c r="I613" s="12" t="n">
        <x:f>IF('患者配对'!M655="positive",1,0)</x:f>
        <x:v>0</x:v>
      </x:c>
      <x:c r="J613" s="12" t="n">
        <x:f>IF('患者配对'!R655="positive",1,0)</x:f>
        <x:v>0</x:v>
      </x:c>
      <x:c r="K613" s="12" t="n">
        <x:f>IF('患者配对'!W655="positive",1,0)</x:f>
        <x:v>0</x:v>
      </x:c>
      <x:c r="L613" s="12" t="str">
        <x:v>由原件与原状态取得；仅主队列索引</x:v>
      </x:c>
      <x:c r="M613" s="12"/>
      <x:c r="N613" s="12"/>
      <x:c r="O613" s="12"/>
    </x:row>
    <x:row r="614" ht="39" customHeight="1">
      <x:c r="A614" s="12" t="str">
        <x:v>5336</x:v>
      </x:c>
      <x:c r="B614" s="12" t="str">
        <x:v>14803</x:v>
      </x:c>
      <x:c r="C614" s="12" t="str">
        <x:v>参考000</x:v>
      </x:c>
      <x:c r="D614" s="12" t="str">
        <x:v>自动000</x:v>
      </x:c>
      <x:c r="E614" s="12" t="n">
        <x:v>0</x:v>
      </x:c>
      <x:c r="F614" s="12" t="n">
        <x:v>1</x:v>
      </x:c>
      <x:c r="G614" s="12" t="n">
        <x:v>0</x:v>
      </x:c>
      <x:c r="H614" s="12" t="n">
        <x:f>IF(SUM(I614:K614)&gt;0,1,0)</x:f>
        <x:v>0</x:v>
      </x:c>
      <x:c r="I614" s="12" t="n">
        <x:f>IF('患者配对'!M656="positive",1,0)</x:f>
        <x:v>0</x:v>
      </x:c>
      <x:c r="J614" s="12" t="n">
        <x:f>IF('患者配对'!R656="positive",1,0)</x:f>
        <x:v>0</x:v>
      </x:c>
      <x:c r="K614" s="12" t="n">
        <x:f>IF('患者配对'!W656="positive",1,0)</x:f>
        <x:v>0</x:v>
      </x:c>
      <x:c r="L614" s="12" t="str">
        <x:v>由原件与原状态取得；仅主队列索引</x:v>
      </x:c>
      <x:c r="M614" s="12"/>
      <x:c r="N614" s="12"/>
      <x:c r="O614" s="12"/>
    </x:row>
    <x:row r="615" ht="39" customHeight="1">
      <x:c r="A615" s="12" t="str">
        <x:v>5337</x:v>
      </x:c>
      <x:c r="B615" s="12" t="str">
        <x:v>15306</x:v>
      </x:c>
      <x:c r="C615" s="12" t="str">
        <x:v>参考000</x:v>
      </x:c>
      <x:c r="D615" s="12" t="str">
        <x:v>自动000</x:v>
      </x:c>
      <x:c r="E615" s="12" t="n">
        <x:v>0</x:v>
      </x:c>
      <x:c r="F615" s="12" t="n">
        <x:v>0</x:v>
      </x:c>
      <x:c r="G615" s="12" t="n">
        <x:v>0</x:v>
      </x:c>
      <x:c r="H615" s="12" t="n">
        <x:f>IF(SUM(I615:K615)&gt;0,1,0)</x:f>
        <x:v>0</x:v>
      </x:c>
      <x:c r="I615" s="12" t="n">
        <x:f>IF('患者配对'!M657="positive",1,0)</x:f>
        <x:v>0</x:v>
      </x:c>
      <x:c r="J615" s="12" t="n">
        <x:f>IF('患者配对'!R657="positive",1,0)</x:f>
        <x:v>0</x:v>
      </x:c>
      <x:c r="K615" s="12" t="n">
        <x:f>IF('患者配对'!W657="positive",1,0)</x:f>
        <x:v>0</x:v>
      </x:c>
      <x:c r="L615" s="12" t="str">
        <x:v>由原件与原状态取得；仅主队列索引</x:v>
      </x:c>
      <x:c r="M615" s="12"/>
      <x:c r="N615" s="12"/>
      <x:c r="O615" s="12"/>
    </x:row>
    <x:row r="616" ht="39" customHeight="1">
      <x:c r="A616" s="12" t="str">
        <x:v>5338</x:v>
      </x:c>
      <x:c r="B616" s="12" t="str">
        <x:v>11960</x:v>
      </x:c>
      <x:c r="C616" s="12" t="str">
        <x:v>参考000</x:v>
      </x:c>
      <x:c r="D616" s="12" t="str">
        <x:v>自动001</x:v>
      </x:c>
      <x:c r="E616" s="12" t="n">
        <x:v>1</x:v>
      </x:c>
      <x:c r="F616" s="12" t="n">
        <x:v>1</x:v>
      </x:c>
      <x:c r="G616" s="12" t="n">
        <x:v>1</x:v>
      </x:c>
      <x:c r="H616" s="12" t="n">
        <x:f>IF(SUM(I616:K616)&gt;0,1,0)</x:f>
        <x:v>0</x:v>
      </x:c>
      <x:c r="I616" s="12" t="n">
        <x:f>IF('患者配对'!M658="positive",1,0)</x:f>
        <x:v>0</x:v>
      </x:c>
      <x:c r="J616" s="12" t="n">
        <x:f>IF('患者配对'!R658="positive",1,0)</x:f>
        <x:v>0</x:v>
      </x:c>
      <x:c r="K616" s="12" t="n">
        <x:f>IF('患者配对'!W658="positive",1,0)</x:f>
        <x:v>0</x:v>
      </x:c>
      <x:c r="L616" s="12" t="str">
        <x:v>由原件与原状态取得；仅主队列索引</x:v>
      </x:c>
      <x:c r="M616" s="12"/>
      <x:c r="N616" s="12"/>
      <x:c r="O616" s="12"/>
    </x:row>
    <x:row r="617" ht="39" customHeight="1">
      <x:c r="A617" s="12" t="str">
        <x:v>5343</x:v>
      </x:c>
      <x:c r="B617" s="12" t="str">
        <x:v>16426</x:v>
      </x:c>
      <x:c r="C617" s="12" t="str">
        <x:v>参考000</x:v>
      </x:c>
      <x:c r="D617" s="12" t="str">
        <x:v>自动000</x:v>
      </x:c>
      <x:c r="E617" s="12" t="n">
        <x:v>0</x:v>
      </x:c>
      <x:c r="F617" s="12" t="n">
        <x:v>0</x:v>
      </x:c>
      <x:c r="G617" s="12" t="n">
        <x:v>0</x:v>
      </x:c>
      <x:c r="H617" s="12" t="n">
        <x:f>IF(SUM(I617:K617)&gt;0,1,0)</x:f>
        <x:v>0</x:v>
      </x:c>
      <x:c r="I617" s="12" t="n">
        <x:f>IF('患者配对'!M659="positive",1,0)</x:f>
        <x:v>0</x:v>
      </x:c>
      <x:c r="J617" s="12" t="n">
        <x:f>IF('患者配对'!R659="positive",1,0)</x:f>
        <x:v>0</x:v>
      </x:c>
      <x:c r="K617" s="12" t="n">
        <x:f>IF('患者配对'!W659="positive",1,0)</x:f>
        <x:v>0</x:v>
      </x:c>
      <x:c r="L617" s="12" t="str">
        <x:v>由原件与原状态取得；仅主队列索引</x:v>
      </x:c>
      <x:c r="M617" s="12"/>
      <x:c r="N617" s="12"/>
      <x:c r="O617" s="12"/>
    </x:row>
    <x:row r="618" ht="39" customHeight="1">
      <x:c r="A618" s="12" t="str">
        <x:v>5351</x:v>
      </x:c>
      <x:c r="B618" s="12" t="str">
        <x:v>16526</x:v>
      </x:c>
      <x:c r="C618" s="12" t="str">
        <x:v>参考100</x:v>
      </x:c>
      <x:c r="D618" s="12" t="str">
        <x:v>自动100</x:v>
      </x:c>
      <x:c r="E618" s="12" t="n">
        <x:v>1</x:v>
      </x:c>
      <x:c r="F618" s="12" t="n">
        <x:v>1</x:v>
      </x:c>
      <x:c r="G618" s="12" t="n">
        <x:v>0</x:v>
      </x:c>
      <x:c r="H618" s="12" t="n">
        <x:f>IF(SUM(I618:K618)&gt;0,1,0)</x:f>
        <x:v>1</x:v>
      </x:c>
      <x:c r="I618" s="12" t="n">
        <x:f>IF('患者配对'!M660="positive",1,0)</x:f>
        <x:v>1</x:v>
      </x:c>
      <x:c r="J618" s="12" t="n">
        <x:f>IF('患者配对'!R660="positive",1,0)</x:f>
        <x:v>0</x:v>
      </x:c>
      <x:c r="K618" s="12" t="n">
        <x:f>IF('患者配对'!W660="positive",1,0)</x:f>
        <x:v>0</x:v>
      </x:c>
      <x:c r="L618" s="12" t="str">
        <x:v>由原件与原状态取得；仅主队列索引</x:v>
      </x:c>
      <x:c r="M618" s="12"/>
      <x:c r="N618" s="12"/>
      <x:c r="O618" s="12"/>
    </x:row>
    <x:row r="619" ht="39" customHeight="1">
      <x:c r="A619" s="12" t="str">
        <x:v>5370</x:v>
      </x:c>
      <x:c r="B619" s="12" t="str">
        <x:v>12862</x:v>
      </x:c>
      <x:c r="C619" s="12" t="str">
        <x:v>参考000</x:v>
      </x:c>
      <x:c r="D619" s="12" t="str">
        <x:v>自动000</x:v>
      </x:c>
      <x:c r="E619" s="12" t="n">
        <x:v>0</x:v>
      </x:c>
      <x:c r="F619" s="12" t="n">
        <x:v>0</x:v>
      </x:c>
      <x:c r="G619" s="12" t="n">
        <x:v>0</x:v>
      </x:c>
      <x:c r="H619" s="12" t="n">
        <x:f>IF(SUM(I619:K619)&gt;0,1,0)</x:f>
        <x:v>0</x:v>
      </x:c>
      <x:c r="I619" s="12" t="n">
        <x:f>IF('患者配对'!M662="positive",1,0)</x:f>
        <x:v>0</x:v>
      </x:c>
      <x:c r="J619" s="12" t="n">
        <x:f>IF('患者配对'!R662="positive",1,0)</x:f>
        <x:v>0</x:v>
      </x:c>
      <x:c r="K619" s="12" t="n">
        <x:f>IF('患者配对'!W662="positive",1,0)</x:f>
        <x:v>0</x:v>
      </x:c>
      <x:c r="L619" s="12" t="str">
        <x:v>由原件与原状态取得；仅主队列索引</x:v>
      </x:c>
      <x:c r="M619" s="12"/>
      <x:c r="N619" s="12"/>
      <x:c r="O619" s="12"/>
    </x:row>
    <x:row r="620" ht="39" customHeight="1">
      <x:c r="A620" s="12" t="str">
        <x:v>5373</x:v>
      </x:c>
      <x:c r="B620" s="12" t="str">
        <x:v>20433</x:v>
      </x:c>
      <x:c r="C620" s="12" t="str">
        <x:v>参考000</x:v>
      </x:c>
      <x:c r="D620" s="12" t="str">
        <x:v>自动000</x:v>
      </x:c>
      <x:c r="E620" s="12" t="n">
        <x:v>0</x:v>
      </x:c>
      <x:c r="F620" s="12" t="n">
        <x:v>0</x:v>
      </x:c>
      <x:c r="G620" s="12" t="n">
        <x:v>0</x:v>
      </x:c>
      <x:c r="H620" s="12" t="n">
        <x:f>IF(SUM(I620:K620)&gt;0,1,0)</x:f>
        <x:v>0</x:v>
      </x:c>
      <x:c r="I620" s="12" t="n">
        <x:f>IF('患者配对'!M663="positive",1,0)</x:f>
        <x:v>0</x:v>
      </x:c>
      <x:c r="J620" s="12" t="n">
        <x:f>IF('患者配对'!R663="positive",1,0)</x:f>
        <x:v>0</x:v>
      </x:c>
      <x:c r="K620" s="12" t="n">
        <x:f>IF('患者配对'!W663="positive",1,0)</x:f>
        <x:v>0</x:v>
      </x:c>
      <x:c r="L620" s="12" t="str">
        <x:v>由原件与原状态取得；仅主队列索引</x:v>
      </x:c>
      <x:c r="M620" s="12"/>
      <x:c r="N620" s="12"/>
      <x:c r="O620" s="12"/>
    </x:row>
    <x:row r="621" ht="39" customHeight="1">
      <x:c r="A621" s="12" t="str">
        <x:v>5383</x:v>
      </x:c>
      <x:c r="B621" s="12" t="str">
        <x:v>8881</x:v>
      </x:c>
      <x:c r="C621" s="12" t="str">
        <x:v>参考000</x:v>
      </x:c>
      <x:c r="D621" s="12" t="str">
        <x:v>自动000</x:v>
      </x:c>
      <x:c r="E621" s="12" t="n">
        <x:v>0</x:v>
      </x:c>
      <x:c r="F621" s="12" t="n">
        <x:v>1</x:v>
      </x:c>
      <x:c r="G621" s="12" t="n">
        <x:v>0</x:v>
      </x:c>
      <x:c r="H621" s="12" t="n">
        <x:f>IF(SUM(I621:K621)&gt;0,1,0)</x:f>
        <x:v>0</x:v>
      </x:c>
      <x:c r="I621" s="12" t="n">
        <x:f>IF('患者配对'!M664="positive",1,0)</x:f>
        <x:v>0</x:v>
      </x:c>
      <x:c r="J621" s="12" t="n">
        <x:f>IF('患者配对'!R664="positive",1,0)</x:f>
        <x:v>0</x:v>
      </x:c>
      <x:c r="K621" s="12" t="n">
        <x:f>IF('患者配对'!W664="positive",1,0)</x:f>
        <x:v>0</x:v>
      </x:c>
      <x:c r="L621" s="12" t="str">
        <x:v>由原件与原状态取得；仅主队列索引</x:v>
      </x:c>
      <x:c r="M621" s="12"/>
      <x:c r="N621" s="12"/>
      <x:c r="O621" s="12"/>
    </x:row>
    <x:row r="622" ht="39" customHeight="1">
      <x:c r="A622" s="12" t="str">
        <x:v>5384</x:v>
      </x:c>
      <x:c r="B622" s="12" t="str">
        <x:v>17294</x:v>
      </x:c>
      <x:c r="C622" s="12" t="str">
        <x:v>参考000</x:v>
      </x:c>
      <x:c r="D622" s="12" t="str">
        <x:v>自动000</x:v>
      </x:c>
      <x:c r="E622" s="12" t="n">
        <x:v>0</x:v>
      </x:c>
      <x:c r="F622" s="12" t="n">
        <x:v>1</x:v>
      </x:c>
      <x:c r="G622" s="12" t="n">
        <x:v>0</x:v>
      </x:c>
      <x:c r="H622" s="12" t="n">
        <x:f>IF(SUM(I622:K622)&gt;0,1,0)</x:f>
        <x:v>0</x:v>
      </x:c>
      <x:c r="I622" s="12" t="n">
        <x:f>IF('患者配对'!M665="positive",1,0)</x:f>
        <x:v>0</x:v>
      </x:c>
      <x:c r="J622" s="12" t="n">
        <x:f>IF('患者配对'!R665="positive",1,0)</x:f>
        <x:v>0</x:v>
      </x:c>
      <x:c r="K622" s="12" t="n">
        <x:f>IF('患者配对'!W665="positive",1,0)</x:f>
        <x:v>0</x:v>
      </x:c>
      <x:c r="L622" s="12" t="str">
        <x:v>由原件与原状态取得；仅主队列索引</x:v>
      </x:c>
      <x:c r="M622" s="12"/>
      <x:c r="N622" s="12"/>
      <x:c r="O622" s="12"/>
    </x:row>
    <x:row r="623" ht="39" customHeight="1">
      <x:c r="A623" s="12" t="str">
        <x:v>5386</x:v>
      </x:c>
      <x:c r="B623" s="12" t="str">
        <x:v>15509</x:v>
      </x:c>
      <x:c r="C623" s="12" t="str">
        <x:v>参考000</x:v>
      </x:c>
      <x:c r="D623" s="12" t="str">
        <x:v>自动000</x:v>
      </x:c>
      <x:c r="E623" s="12" t="n">
        <x:v>0</x:v>
      </x:c>
      <x:c r="F623" s="12" t="n">
        <x:v>0</x:v>
      </x:c>
      <x:c r="G623" s="12" t="n">
        <x:v>0</x:v>
      </x:c>
      <x:c r="H623" s="12" t="n">
        <x:f>IF(SUM(I623:K623)&gt;0,1,0)</x:f>
        <x:v>0</x:v>
      </x:c>
      <x:c r="I623" s="12" t="n">
        <x:f>IF('患者配对'!M666="positive",1,0)</x:f>
        <x:v>0</x:v>
      </x:c>
      <x:c r="J623" s="12" t="n">
        <x:f>IF('患者配对'!R666="positive",1,0)</x:f>
        <x:v>0</x:v>
      </x:c>
      <x:c r="K623" s="12" t="n">
        <x:f>IF('患者配对'!W666="positive",1,0)</x:f>
        <x:v>0</x:v>
      </x:c>
      <x:c r="L623" s="12" t="str">
        <x:v>由原件与原状态取得；仅主队列索引</x:v>
      </x:c>
      <x:c r="M623" s="12"/>
      <x:c r="N623" s="12"/>
      <x:c r="O623" s="12"/>
    </x:row>
    <x:row r="624" ht="39" customHeight="1">
      <x:c r="A624" s="12" t="str">
        <x:v>5395</x:v>
      </x:c>
      <x:c r="B624" s="12" t="str">
        <x:v>8276</x:v>
      </x:c>
      <x:c r="C624" s="12" t="str">
        <x:v>参考000</x:v>
      </x:c>
      <x:c r="D624" s="12" t="str">
        <x:v>自动000</x:v>
      </x:c>
      <x:c r="E624" s="12" t="n">
        <x:v>0</x:v>
      </x:c>
      <x:c r="F624" s="12" t="n">
        <x:v>0</x:v>
      </x:c>
      <x:c r="G624" s="12" t="n">
        <x:v>0</x:v>
      </x:c>
      <x:c r="H624" s="12" t="n">
        <x:f>IF(SUM(I624:K624)&gt;0,1,0)</x:f>
        <x:v>0</x:v>
      </x:c>
      <x:c r="I624" s="12" t="n">
        <x:f>IF('患者配对'!M667="positive",1,0)</x:f>
        <x:v>0</x:v>
      </x:c>
      <x:c r="J624" s="12" t="n">
        <x:f>IF('患者配对'!R667="positive",1,0)</x:f>
        <x:v>0</x:v>
      </x:c>
      <x:c r="K624" s="12" t="n">
        <x:f>IF('患者配对'!W667="positive",1,0)</x:f>
        <x:v>0</x:v>
      </x:c>
      <x:c r="L624" s="12" t="str">
        <x:v>由原件与原状态取得；仅主队列索引</x:v>
      </x:c>
      <x:c r="M624" s="12"/>
      <x:c r="N624" s="12"/>
      <x:c r="O624" s="12"/>
    </x:row>
    <x:row r="625" ht="39" customHeight="1">
      <x:c r="A625" s="12" t="str">
        <x:v>5428</x:v>
      </x:c>
      <x:c r="B625" s="12" t="str">
        <x:v>21291</x:v>
      </x:c>
      <x:c r="C625" s="12" t="str">
        <x:v>参考000</x:v>
      </x:c>
      <x:c r="D625" s="12" t="str">
        <x:v>自动000</x:v>
      </x:c>
      <x:c r="E625" s="12" t="n">
        <x:v>0</x:v>
      </x:c>
      <x:c r="F625" s="12" t="n">
        <x:v>0</x:v>
      </x:c>
      <x:c r="G625" s="12" t="n">
        <x:v>0</x:v>
      </x:c>
      <x:c r="H625" s="12" t="n">
        <x:f>IF(SUM(I625:K625)&gt;0,1,0)</x:f>
        <x:v>0</x:v>
      </x:c>
      <x:c r="I625" s="12" t="n">
        <x:f>IF('患者配对'!M669="positive",1,0)</x:f>
        <x:v>0</x:v>
      </x:c>
      <x:c r="J625" s="12" t="n">
        <x:f>IF('患者配对'!R669="positive",1,0)</x:f>
        <x:v>0</x:v>
      </x:c>
      <x:c r="K625" s="12" t="n">
        <x:f>IF('患者配对'!W669="positive",1,0)</x:f>
        <x:v>0</x:v>
      </x:c>
      <x:c r="L625" s="12" t="str">
        <x:v>由原件与原状态取得；仅主队列索引</x:v>
      </x:c>
      <x:c r="M625" s="12"/>
      <x:c r="N625" s="12"/>
      <x:c r="O625" s="12"/>
    </x:row>
    <x:row r="626" ht="39" customHeight="1">
      <x:c r="A626" s="12" t="str">
        <x:v>5452</x:v>
      </x:c>
      <x:c r="B626" s="12" t="str">
        <x:v>19327</x:v>
      </x:c>
      <x:c r="C626" s="12" t="str">
        <x:v>参考000</x:v>
      </x:c>
      <x:c r="D626" s="12" t="str">
        <x:v>自动000</x:v>
      </x:c>
      <x:c r="E626" s="12" t="n">
        <x:v>0</x:v>
      </x:c>
      <x:c r="F626" s="12" t="n">
        <x:v>0</x:v>
      </x:c>
      <x:c r="G626" s="12" t="n">
        <x:v>0</x:v>
      </x:c>
      <x:c r="H626" s="12" t="n">
        <x:f>IF(SUM(I626:K626)&gt;0,1,0)</x:f>
        <x:v>0</x:v>
      </x:c>
      <x:c r="I626" s="12" t="n">
        <x:f>IF('患者配对'!M670="positive",1,0)</x:f>
        <x:v>0</x:v>
      </x:c>
      <x:c r="J626" s="12" t="n">
        <x:f>IF('患者配对'!R670="positive",1,0)</x:f>
        <x:v>0</x:v>
      </x:c>
      <x:c r="K626" s="12" t="n">
        <x:f>IF('患者配对'!W670="positive",1,0)</x:f>
        <x:v>0</x:v>
      </x:c>
      <x:c r="L626" s="12" t="str">
        <x:v>由原件与原状态取得；仅主队列索引</x:v>
      </x:c>
      <x:c r="M626" s="12"/>
      <x:c r="N626" s="12"/>
      <x:c r="O626" s="12"/>
    </x:row>
    <x:row r="627" ht="39" customHeight="1">
      <x:c r="A627" s="12" t="str">
        <x:v>5465</x:v>
      </x:c>
      <x:c r="B627" s="12" t="str">
        <x:v>17375</x:v>
      </x:c>
      <x:c r="C627" s="12" t="str">
        <x:v>参考000</x:v>
      </x:c>
      <x:c r="D627" s="12" t="str">
        <x:v>自动000</x:v>
      </x:c>
      <x:c r="E627" s="12" t="n">
        <x:v>0</x:v>
      </x:c>
      <x:c r="F627" s="12" t="n">
        <x:v>1</x:v>
      </x:c>
      <x:c r="G627" s="12" t="n">
        <x:v>0</x:v>
      </x:c>
      <x:c r="H627" s="12" t="n">
        <x:f>IF(SUM(I627:K627)&gt;0,1,0)</x:f>
        <x:v>0</x:v>
      </x:c>
      <x:c r="I627" s="12" t="n">
        <x:f>IF('患者配对'!M671="positive",1,0)</x:f>
        <x:v>0</x:v>
      </x:c>
      <x:c r="J627" s="12" t="n">
        <x:f>IF('患者配对'!R671="positive",1,0)</x:f>
        <x:v>0</x:v>
      </x:c>
      <x:c r="K627" s="12" t="n">
        <x:f>IF('患者配对'!W671="positive",1,0)</x:f>
        <x:v>0</x:v>
      </x:c>
      <x:c r="L627" s="12" t="str">
        <x:v>由原件与原状态取得；仅主队列索引</x:v>
      </x:c>
      <x:c r="M627" s="12"/>
      <x:c r="N627" s="12"/>
      <x:c r="O627" s="12"/>
    </x:row>
    <x:row r="628" ht="39" customHeight="1">
      <x:c r="A628" s="12" t="str">
        <x:v>5479</x:v>
      </x:c>
      <x:c r="B628" s="12" t="str">
        <x:v>14606</x:v>
      </x:c>
      <x:c r="C628" s="12" t="str">
        <x:v>参考000</x:v>
      </x:c>
      <x:c r="D628" s="12" t="str">
        <x:v>自动000</x:v>
      </x:c>
      <x:c r="E628" s="12" t="n">
        <x:v>0</x:v>
      </x:c>
      <x:c r="F628" s="12" t="n">
        <x:v>1</x:v>
      </x:c>
      <x:c r="G628" s="12" t="n">
        <x:v>0</x:v>
      </x:c>
      <x:c r="H628" s="12" t="n">
        <x:f>IF(SUM(I628:K628)&gt;0,1,0)</x:f>
        <x:v>0</x:v>
      </x:c>
      <x:c r="I628" s="12" t="n">
        <x:f>IF('患者配对'!M672="positive",1,0)</x:f>
        <x:v>0</x:v>
      </x:c>
      <x:c r="J628" s="12" t="n">
        <x:f>IF('患者配对'!R672="positive",1,0)</x:f>
        <x:v>0</x:v>
      </x:c>
      <x:c r="K628" s="12" t="n">
        <x:f>IF('患者配对'!W672="positive",1,0)</x:f>
        <x:v>0</x:v>
      </x:c>
      <x:c r="L628" s="12" t="str">
        <x:v>由原件与原状态取得；仅主队列索引</x:v>
      </x:c>
      <x:c r="M628" s="12"/>
      <x:c r="N628" s="12"/>
      <x:c r="O628" s="12"/>
    </x:row>
    <x:row r="629" ht="39" customHeight="1">
      <x:c r="A629" s="12" t="str">
        <x:v>5501</x:v>
      </x:c>
      <x:c r="B629" s="12" t="str">
        <x:v>19357</x:v>
      </x:c>
      <x:c r="C629" s="12" t="str">
        <x:v>参考000</x:v>
      </x:c>
      <x:c r="D629" s="12" t="str">
        <x:v>自动000</x:v>
      </x:c>
      <x:c r="E629" s="12" t="n">
        <x:v>0</x:v>
      </x:c>
      <x:c r="F629" s="12" t="n">
        <x:v>1</x:v>
      </x:c>
      <x:c r="G629" s="12" t="n">
        <x:v>0</x:v>
      </x:c>
      <x:c r="H629" s="12" t="n">
        <x:f>IF(SUM(I629:K629)&gt;0,1,0)</x:f>
        <x:v>0</x:v>
      </x:c>
      <x:c r="I629" s="12" t="n">
        <x:f>IF('患者配对'!M673="positive",1,0)</x:f>
        <x:v>0</x:v>
      </x:c>
      <x:c r="J629" s="12" t="n">
        <x:f>IF('患者配对'!R673="positive",1,0)</x:f>
        <x:v>0</x:v>
      </x:c>
      <x:c r="K629" s="12" t="n">
        <x:f>IF('患者配对'!W673="positive",1,0)</x:f>
        <x:v>0</x:v>
      </x:c>
      <x:c r="L629" s="12" t="str">
        <x:v>由原件与原状态取得；仅主队列索引</x:v>
      </x:c>
      <x:c r="M629" s="12"/>
      <x:c r="N629" s="12"/>
      <x:c r="O629" s="12"/>
    </x:row>
    <x:row r="630" ht="39" customHeight="1">
      <x:c r="A630" s="12" t="str">
        <x:v>5519</x:v>
      </x:c>
      <x:c r="B630" s="12" t="str">
        <x:v>9168</x:v>
      </x:c>
      <x:c r="C630" s="12" t="str">
        <x:v>参考000</x:v>
      </x:c>
      <x:c r="D630" s="12" t="str">
        <x:v>自动000</x:v>
      </x:c>
      <x:c r="E630" s="12" t="n">
        <x:v>0</x:v>
      </x:c>
      <x:c r="F630" s="12" t="n">
        <x:v>0</x:v>
      </x:c>
      <x:c r="G630" s="12" t="n">
        <x:v>0</x:v>
      </x:c>
      <x:c r="H630" s="12" t="n">
        <x:f>IF(SUM(I630:K630)&gt;0,1,0)</x:f>
        <x:v>0</x:v>
      </x:c>
      <x:c r="I630" s="12" t="n">
        <x:f>IF('患者配对'!M674="positive",1,0)</x:f>
        <x:v>0</x:v>
      </x:c>
      <x:c r="J630" s="12" t="n">
        <x:f>IF('患者配对'!R674="positive",1,0)</x:f>
        <x:v>0</x:v>
      </x:c>
      <x:c r="K630" s="12" t="n">
        <x:f>IF('患者配对'!W674="positive",1,0)</x:f>
        <x:v>0</x:v>
      </x:c>
      <x:c r="L630" s="12" t="str">
        <x:v>由原件与原状态取得；仅主队列索引</x:v>
      </x:c>
      <x:c r="M630" s="12"/>
      <x:c r="N630" s="12"/>
      <x:c r="O630" s="12"/>
    </x:row>
    <x:row r="631" ht="39" customHeight="1">
      <x:c r="A631" s="12" t="str">
        <x:v>5530</x:v>
      </x:c>
      <x:c r="B631" s="12" t="str">
        <x:v>13734</x:v>
      </x:c>
      <x:c r="C631" s="12" t="str">
        <x:v>参考000</x:v>
      </x:c>
      <x:c r="D631" s="12" t="str">
        <x:v>自动000</x:v>
      </x:c>
      <x:c r="E631" s="12" t="n">
        <x:v>0</x:v>
      </x:c>
      <x:c r="F631" s="12" t="n">
        <x:v>0</x:v>
      </x:c>
      <x:c r="G631" s="12" t="n">
        <x:v>0</x:v>
      </x:c>
      <x:c r="H631" s="12" t="n">
        <x:f>IF(SUM(I631:K631)&gt;0,1,0)</x:f>
        <x:v>0</x:v>
      </x:c>
      <x:c r="I631" s="12" t="n">
        <x:f>IF('患者配对'!M675="positive",1,0)</x:f>
        <x:v>0</x:v>
      </x:c>
      <x:c r="J631" s="12" t="n">
        <x:f>IF('患者配对'!R675="positive",1,0)</x:f>
        <x:v>0</x:v>
      </x:c>
      <x:c r="K631" s="12" t="n">
        <x:f>IF('患者配对'!W675="positive",1,0)</x:f>
        <x:v>0</x:v>
      </x:c>
      <x:c r="L631" s="12" t="str">
        <x:v>由原件与原状态取得；仅主队列索引</x:v>
      </x:c>
      <x:c r="M631" s="12"/>
      <x:c r="N631" s="12"/>
      <x:c r="O631" s="12"/>
    </x:row>
    <x:row r="632" ht="39" customHeight="1">
      <x:c r="A632" s="12" t="str">
        <x:v>5544</x:v>
      </x:c>
      <x:c r="B632" s="12" t="str">
        <x:v>21048</x:v>
      </x:c>
      <x:c r="C632" s="12" t="str">
        <x:v>参考000</x:v>
      </x:c>
      <x:c r="D632" s="12" t="str">
        <x:v>自动000</x:v>
      </x:c>
      <x:c r="E632" s="12" t="n">
        <x:v>0</x:v>
      </x:c>
      <x:c r="F632" s="12" t="n">
        <x:v>1</x:v>
      </x:c>
      <x:c r="G632" s="12" t="n">
        <x:v>0</x:v>
      </x:c>
      <x:c r="H632" s="12" t="n">
        <x:f>IF(SUM(I632:K632)&gt;0,1,0)</x:f>
        <x:v>0</x:v>
      </x:c>
      <x:c r="I632" s="12" t="n">
        <x:f>IF('患者配对'!M676="positive",1,0)</x:f>
        <x:v>0</x:v>
      </x:c>
      <x:c r="J632" s="12" t="n">
        <x:f>IF('患者配对'!R676="positive",1,0)</x:f>
        <x:v>0</x:v>
      </x:c>
      <x:c r="K632" s="12" t="n">
        <x:f>IF('患者配对'!W676="positive",1,0)</x:f>
        <x:v>0</x:v>
      </x:c>
      <x:c r="L632" s="12" t="str">
        <x:v>由原件与原状态取得；仅主队列索引</x:v>
      </x:c>
      <x:c r="M632" s="12"/>
      <x:c r="N632" s="12"/>
      <x:c r="O632" s="12"/>
    </x:row>
    <x:row r="633" ht="39" customHeight="1">
      <x:c r="A633" s="12" t="str">
        <x:v>5567</x:v>
      </x:c>
      <x:c r="B633" s="12" t="str">
        <x:v>9751</x:v>
      </x:c>
      <x:c r="C633" s="12" t="str">
        <x:v>参考000</x:v>
      </x:c>
      <x:c r="D633" s="12" t="str">
        <x:v>自动000</x:v>
      </x:c>
      <x:c r="E633" s="12" t="n">
        <x:v>0</x:v>
      </x:c>
      <x:c r="F633" s="12" t="n">
        <x:v>0</x:v>
      </x:c>
      <x:c r="G633" s="12" t="n">
        <x:v>0</x:v>
      </x:c>
      <x:c r="H633" s="12" t="n">
        <x:f>IF(SUM(I633:K633)&gt;0,1,0)</x:f>
        <x:v>0</x:v>
      </x:c>
      <x:c r="I633" s="12" t="n">
        <x:f>IF('患者配对'!M678="positive",1,0)</x:f>
        <x:v>0</x:v>
      </x:c>
      <x:c r="J633" s="12" t="n">
        <x:f>IF('患者配对'!R678="positive",1,0)</x:f>
        <x:v>0</x:v>
      </x:c>
      <x:c r="K633" s="12" t="n">
        <x:f>IF('患者配对'!W678="positive",1,0)</x:f>
        <x:v>0</x:v>
      </x:c>
      <x:c r="L633" s="12" t="str">
        <x:v>由原件与原状态取得；仅主队列索引</x:v>
      </x:c>
      <x:c r="M633" s="12"/>
      <x:c r="N633" s="12"/>
      <x:c r="O633" s="12"/>
    </x:row>
    <x:row r="634" ht="39" customHeight="1">
      <x:c r="A634" s="12" t="str">
        <x:v>5600</x:v>
      </x:c>
      <x:c r="B634" s="12" t="str">
        <x:v>18634</x:v>
      </x:c>
      <x:c r="C634" s="12" t="str">
        <x:v>参考000</x:v>
      </x:c>
      <x:c r="D634" s="12" t="str">
        <x:v>自动000</x:v>
      </x:c>
      <x:c r="E634" s="12" t="n">
        <x:v>0</x:v>
      </x:c>
      <x:c r="F634" s="12" t="n">
        <x:v>0</x:v>
      </x:c>
      <x:c r="G634" s="12" t="n">
        <x:v>0</x:v>
      </x:c>
      <x:c r="H634" s="12" t="n">
        <x:f>IF(SUM(I634:K634)&gt;0,1,0)</x:f>
        <x:v>0</x:v>
      </x:c>
      <x:c r="I634" s="12" t="n">
        <x:f>IF('患者配对'!M680="positive",1,0)</x:f>
        <x:v>0</x:v>
      </x:c>
      <x:c r="J634" s="12" t="n">
        <x:f>IF('患者配对'!R680="positive",1,0)</x:f>
        <x:v>0</x:v>
      </x:c>
      <x:c r="K634" s="12" t="n">
        <x:f>IF('患者配对'!W680="positive",1,0)</x:f>
        <x:v>0</x:v>
      </x:c>
      <x:c r="L634" s="12" t="str">
        <x:v>由原件与原状态取得；仅主队列索引</x:v>
      </x:c>
      <x:c r="M634" s="12"/>
      <x:c r="N634" s="12"/>
      <x:c r="O634" s="12"/>
    </x:row>
    <x:row r="635" ht="39" customHeight="1">
      <x:c r="A635" s="12" t="str">
        <x:v>5605</x:v>
      </x:c>
      <x:c r="B635" s="12" t="str">
        <x:v>20469</x:v>
      </x:c>
      <x:c r="C635" s="12" t="str">
        <x:v>参考000</x:v>
      </x:c>
      <x:c r="D635" s="12" t="str">
        <x:v>自动000</x:v>
      </x:c>
      <x:c r="E635" s="12" t="n">
        <x:v>0</x:v>
      </x:c>
      <x:c r="F635" s="12" t="n">
        <x:v>0</x:v>
      </x:c>
      <x:c r="G635" s="12" t="n">
        <x:v>0</x:v>
      </x:c>
      <x:c r="H635" s="12" t="n">
        <x:f>IF(SUM(I635:K635)&gt;0,1,0)</x:f>
        <x:v>0</x:v>
      </x:c>
      <x:c r="I635" s="12" t="n">
        <x:f>IF('患者配对'!M681="positive",1,0)</x:f>
        <x:v>0</x:v>
      </x:c>
      <x:c r="J635" s="12" t="n">
        <x:f>IF('患者配对'!R681="positive",1,0)</x:f>
        <x:v>0</x:v>
      </x:c>
      <x:c r="K635" s="12" t="n">
        <x:f>IF('患者配对'!W681="positive",1,0)</x:f>
        <x:v>0</x:v>
      </x:c>
      <x:c r="L635" s="12" t="str">
        <x:v>由原件与原状态取得；仅主队列索引</x:v>
      </x:c>
      <x:c r="M635" s="12"/>
      <x:c r="N635" s="12"/>
      <x:c r="O635" s="12"/>
    </x:row>
    <x:row r="636" ht="39" customHeight="1">
      <x:c r="A636" s="12" t="str">
        <x:v>5606</x:v>
      </x:c>
      <x:c r="B636" s="12" t="str">
        <x:v>11736</x:v>
      </x:c>
      <x:c r="C636" s="12" t="str">
        <x:v>参考010</x:v>
      </x:c>
      <x:c r="D636" s="12" t="str">
        <x:v>自动000</x:v>
      </x:c>
      <x:c r="E636" s="12" t="n">
        <x:v>0</x:v>
      </x:c>
      <x:c r="F636" s="12" t="n">
        <x:v>1</x:v>
      </x:c>
      <x:c r="G636" s="12" t="n">
        <x:v>1</x:v>
      </x:c>
      <x:c r="H636" s="12" t="n">
        <x:f>IF(SUM(I636:K636)&gt;0,1,0)</x:f>
        <x:v>1</x:v>
      </x:c>
      <x:c r="I636" s="12" t="n">
        <x:f>IF('患者配对'!M682="positive",1,0)</x:f>
        <x:v>0</x:v>
      </x:c>
      <x:c r="J636" s="12" t="n">
        <x:f>IF('患者配对'!R682="positive",1,0)</x:f>
        <x:v>1</x:v>
      </x:c>
      <x:c r="K636" s="12" t="n">
        <x:f>IF('患者配对'!W682="positive",1,0)</x:f>
        <x:v>0</x:v>
      </x:c>
      <x:c r="L636" s="12" t="str">
        <x:v>由原件与原状态取得；仅主队列索引</x:v>
      </x:c>
      <x:c r="M636" s="12"/>
      <x:c r="N636" s="12"/>
      <x:c r="O636" s="12"/>
    </x:row>
    <x:row r="637" ht="39" customHeight="1">
      <x:c r="A637" s="12" t="str">
        <x:v>5725</x:v>
      </x:c>
      <x:c r="B637" s="12" t="str">
        <x:v>532</x:v>
      </x:c>
      <x:c r="C637" s="12" t="str">
        <x:v>参考000</x:v>
      </x:c>
      <x:c r="D637" s="12" t="str">
        <x:v>自动000</x:v>
      </x:c>
      <x:c r="E637" s="12" t="n">
        <x:v>0</x:v>
      </x:c>
      <x:c r="F637" s="12" t="n">
        <x:v>0</x:v>
      </x:c>
      <x:c r="G637" s="12" t="n">
        <x:v>0</x:v>
      </x:c>
      <x:c r="H637" s="12" t="n">
        <x:f>IF(SUM(I637:K637)&gt;0,1,0)</x:f>
        <x:v>0</x:v>
      </x:c>
      <x:c r="I637" s="12" t="n">
        <x:f>IF('患者配对'!M685="positive",1,0)</x:f>
        <x:v>0</x:v>
      </x:c>
      <x:c r="J637" s="12" t="n">
        <x:f>IF('患者配对'!R685="positive",1,0)</x:f>
        <x:v>0</x:v>
      </x:c>
      <x:c r="K637" s="12" t="n">
        <x:f>IF('患者配对'!W685="positive",1,0)</x:f>
        <x:v>0</x:v>
      </x:c>
      <x:c r="L637" s="12" t="str">
        <x:v>由原件与原状态取得；仅主队列索引</x:v>
      </x:c>
      <x:c r="M637" s="12"/>
      <x:c r="N637" s="12"/>
      <x:c r="O637" s="12"/>
    </x:row>
    <x:row r="638" ht="39" customHeight="1">
      <x:c r="A638" s="12" t="str">
        <x:v>5737</x:v>
      </x:c>
      <x:c r="B638" s="12" t="str">
        <x:v>6208</x:v>
      </x:c>
      <x:c r="C638" s="12" t="str">
        <x:v>参考000</x:v>
      </x:c>
      <x:c r="D638" s="12" t="str">
        <x:v>自动000</x:v>
      </x:c>
      <x:c r="E638" s="12" t="n">
        <x:v>0</x:v>
      </x:c>
      <x:c r="F638" s="12" t="n">
        <x:v>0</x:v>
      </x:c>
      <x:c r="G638" s="12" t="n">
        <x:v>0</x:v>
      </x:c>
      <x:c r="H638" s="12" t="n">
        <x:f>IF(SUM(I638:K638)&gt;0,1,0)</x:f>
        <x:v>0</x:v>
      </x:c>
      <x:c r="I638" s="12" t="n">
        <x:f>IF('患者配对'!M686="positive",1,0)</x:f>
        <x:v>0</x:v>
      </x:c>
      <x:c r="J638" s="12" t="n">
        <x:f>IF('患者配对'!R686="positive",1,0)</x:f>
        <x:v>0</x:v>
      </x:c>
      <x:c r="K638" s="12" t="n">
        <x:f>IF('患者配对'!W686="positive",1,0)</x:f>
        <x:v>0</x:v>
      </x:c>
      <x:c r="L638" s="12" t="str">
        <x:v>由原件与原状态取得；仅主队列索引</x:v>
      </x:c>
      <x:c r="M638" s="12"/>
      <x:c r="N638" s="12"/>
      <x:c r="O638" s="12"/>
    </x:row>
    <x:row r="639" ht="39" customHeight="1">
      <x:c r="A639" s="12" t="str">
        <x:v>5738</x:v>
      </x:c>
      <x:c r="B639" s="12" t="str">
        <x:v>5077</x:v>
      </x:c>
      <x:c r="C639" s="12" t="str">
        <x:v>参考000</x:v>
      </x:c>
      <x:c r="D639" s="12" t="str">
        <x:v>自动000</x:v>
      </x:c>
      <x:c r="E639" s="12" t="n">
        <x:v>0</x:v>
      </x:c>
      <x:c r="F639" s="12" t="n">
        <x:v>0</x:v>
      </x:c>
      <x:c r="G639" s="12" t="n">
        <x:v>0</x:v>
      </x:c>
      <x:c r="H639" s="12" t="n">
        <x:f>IF(SUM(I639:K639)&gt;0,1,0)</x:f>
        <x:v>0</x:v>
      </x:c>
      <x:c r="I639" s="12" t="n">
        <x:f>IF('患者配对'!M687="positive",1,0)</x:f>
        <x:v>0</x:v>
      </x:c>
      <x:c r="J639" s="12" t="n">
        <x:f>IF('患者配对'!R687="positive",1,0)</x:f>
        <x:v>0</x:v>
      </x:c>
      <x:c r="K639" s="12" t="n">
        <x:f>IF('患者配对'!W687="positive",1,0)</x:f>
        <x:v>0</x:v>
      </x:c>
      <x:c r="L639" s="12" t="str">
        <x:v>由原件与原状态取得；仅主队列索引</x:v>
      </x:c>
      <x:c r="M639" s="12"/>
      <x:c r="N639" s="12"/>
      <x:c r="O639" s="12"/>
    </x:row>
    <x:row r="640" ht="39" customHeight="1">
      <x:c r="A640" s="12" t="str">
        <x:v>5753</x:v>
      </x:c>
      <x:c r="B640" s="12" t="str">
        <x:v>10094</x:v>
      </x:c>
      <x:c r="C640" s="12" t="str">
        <x:v>参考000</x:v>
      </x:c>
      <x:c r="D640" s="12" t="str">
        <x:v>自动000</x:v>
      </x:c>
      <x:c r="E640" s="12" t="n">
        <x:v>0</x:v>
      </x:c>
      <x:c r="F640" s="12" t="n">
        <x:v>1</x:v>
      </x:c>
      <x:c r="G640" s="12" t="n">
        <x:v>0</x:v>
      </x:c>
      <x:c r="H640" s="12" t="n">
        <x:f>IF(SUM(I640:K640)&gt;0,1,0)</x:f>
        <x:v>0</x:v>
      </x:c>
      <x:c r="I640" s="12" t="n">
        <x:f>IF('患者配对'!M689="positive",1,0)</x:f>
        <x:v>0</x:v>
      </x:c>
      <x:c r="J640" s="12" t="n">
        <x:f>IF('患者配对'!R689="positive",1,0)</x:f>
        <x:v>0</x:v>
      </x:c>
      <x:c r="K640" s="12" t="n">
        <x:f>IF('患者配对'!W689="positive",1,0)</x:f>
        <x:v>0</x:v>
      </x:c>
      <x:c r="L640" s="12" t="str">
        <x:v>由原件与原状态取得；仅主队列索引</x:v>
      </x:c>
      <x:c r="M640" s="12"/>
      <x:c r="N640" s="12"/>
      <x:c r="O640" s="12"/>
    </x:row>
    <x:row r="641" ht="39" customHeight="1">
      <x:c r="A641" s="12" t="str">
        <x:v>5771</x:v>
      </x:c>
      <x:c r="B641" s="12" t="str">
        <x:v>16197</x:v>
      </x:c>
      <x:c r="C641" s="12" t="str">
        <x:v>参考000</x:v>
      </x:c>
      <x:c r="D641" s="12" t="str">
        <x:v>自动000</x:v>
      </x:c>
      <x:c r="E641" s="12" t="n">
        <x:v>0</x:v>
      </x:c>
      <x:c r="F641" s="12" t="n">
        <x:v>1</x:v>
      </x:c>
      <x:c r="G641" s="12" t="n">
        <x:v>0</x:v>
      </x:c>
      <x:c r="H641" s="12" t="n">
        <x:f>IF(SUM(I641:K641)&gt;0,1,0)</x:f>
        <x:v>0</x:v>
      </x:c>
      <x:c r="I641" s="12" t="n">
        <x:f>IF('患者配对'!M690="positive",1,0)</x:f>
        <x:v>0</x:v>
      </x:c>
      <x:c r="J641" s="12" t="n">
        <x:f>IF('患者配对'!R690="positive",1,0)</x:f>
        <x:v>0</x:v>
      </x:c>
      <x:c r="K641" s="12" t="n">
        <x:f>IF('患者配对'!W690="positive",1,0)</x:f>
        <x:v>0</x:v>
      </x:c>
      <x:c r="L641" s="12" t="str">
        <x:v>由原件与原状态取得；仅主队列索引</x:v>
      </x:c>
      <x:c r="M641" s="12"/>
      <x:c r="N641" s="12"/>
      <x:c r="O641" s="12"/>
    </x:row>
    <x:row r="642" ht="39" customHeight="1">
      <x:c r="A642" s="12" t="str">
        <x:v>5777</x:v>
      </x:c>
      <x:c r="B642" s="12" t="str">
        <x:v>16862</x:v>
      </x:c>
      <x:c r="C642" s="12" t="str">
        <x:v>参考100</x:v>
      </x:c>
      <x:c r="D642" s="12" t="str">
        <x:v>自动000</x:v>
      </x:c>
      <x:c r="E642" s="12" t="n">
        <x:v>0</x:v>
      </x:c>
      <x:c r="F642" s="12" t="n">
        <x:v>0</x:v>
      </x:c>
      <x:c r="G642" s="12" t="n">
        <x:v>1</x:v>
      </x:c>
      <x:c r="H642" s="12" t="n">
        <x:f>IF(SUM(I642:K642)&gt;0,1,0)</x:f>
        <x:v>1</x:v>
      </x:c>
      <x:c r="I642" s="12" t="n">
        <x:f>IF('患者配对'!M691="positive",1,0)</x:f>
        <x:v>1</x:v>
      </x:c>
      <x:c r="J642" s="12" t="n">
        <x:f>IF('患者配对'!R691="positive",1,0)</x:f>
        <x:v>0</x:v>
      </x:c>
      <x:c r="K642" s="12" t="n">
        <x:f>IF('患者配对'!W691="positive",1,0)</x:f>
        <x:v>0</x:v>
      </x:c>
      <x:c r="L642" s="12" t="str">
        <x:v>由原件与原状态取得；仅主队列索引</x:v>
      </x:c>
      <x:c r="M642" s="12"/>
      <x:c r="N642" s="12"/>
      <x:c r="O642" s="12"/>
    </x:row>
    <x:row r="643" ht="39" customHeight="1">
      <x:c r="A643" s="12" t="str">
        <x:v>5784</x:v>
      </x:c>
      <x:c r="B643" s="12" t="str">
        <x:v>17693</x:v>
      </x:c>
      <x:c r="C643" s="12" t="str">
        <x:v>参考000</x:v>
      </x:c>
      <x:c r="D643" s="12" t="str">
        <x:v>自动000</x:v>
      </x:c>
      <x:c r="E643" s="12" t="n">
        <x:v>0</x:v>
      </x:c>
      <x:c r="F643" s="12" t="n">
        <x:v>1</x:v>
      </x:c>
      <x:c r="G643" s="12" t="n">
        <x:v>0</x:v>
      </x:c>
      <x:c r="H643" s="12" t="n">
        <x:f>IF(SUM(I643:K643)&gt;0,1,0)</x:f>
        <x:v>0</x:v>
      </x:c>
      <x:c r="I643" s="12" t="n">
        <x:f>IF('患者配对'!M692="positive",1,0)</x:f>
        <x:v>0</x:v>
      </x:c>
      <x:c r="J643" s="12" t="n">
        <x:f>IF('患者配对'!R692="positive",1,0)</x:f>
        <x:v>0</x:v>
      </x:c>
      <x:c r="K643" s="12" t="n">
        <x:f>IF('患者配对'!W692="positive",1,0)</x:f>
        <x:v>0</x:v>
      </x:c>
      <x:c r="L643" s="12" t="str">
        <x:v>由原件与原状态取得；仅主队列索引</x:v>
      </x:c>
      <x:c r="M643" s="12"/>
      <x:c r="N643" s="12"/>
      <x:c r="O643" s="12"/>
    </x:row>
    <x:row r="644" ht="39" customHeight="1">
      <x:c r="A644" s="12" t="str">
        <x:v>5806</x:v>
      </x:c>
      <x:c r="B644" s="12" t="str">
        <x:v>13082</x:v>
      </x:c>
      <x:c r="C644" s="12" t="str">
        <x:v>参考000</x:v>
      </x:c>
      <x:c r="D644" s="12" t="str">
        <x:v>自动000</x:v>
      </x:c>
      <x:c r="E644" s="12" t="n">
        <x:v>0</x:v>
      </x:c>
      <x:c r="F644" s="12" t="n">
        <x:v>1</x:v>
      </x:c>
      <x:c r="G644" s="12" t="n">
        <x:v>0</x:v>
      </x:c>
      <x:c r="H644" s="12" t="n">
        <x:f>IF(SUM(I644:K644)&gt;0,1,0)</x:f>
        <x:v>0</x:v>
      </x:c>
      <x:c r="I644" s="12" t="n">
        <x:f>IF('患者配对'!M694="positive",1,0)</x:f>
        <x:v>0</x:v>
      </x:c>
      <x:c r="J644" s="12" t="n">
        <x:f>IF('患者配对'!R694="positive",1,0)</x:f>
        <x:v>0</x:v>
      </x:c>
      <x:c r="K644" s="12" t="n">
        <x:f>IF('患者配对'!W694="positive",1,0)</x:f>
        <x:v>0</x:v>
      </x:c>
      <x:c r="L644" s="12" t="str">
        <x:v>由原件与原状态取得；仅主队列索引</x:v>
      </x:c>
      <x:c r="M644" s="12"/>
      <x:c r="N644" s="12"/>
      <x:c r="O644" s="12"/>
    </x:row>
    <x:row r="645" ht="39" customHeight="1">
      <x:c r="A645" s="12" t="str">
        <x:v>5810</x:v>
      </x:c>
      <x:c r="B645" s="12" t="str">
        <x:v>17184</x:v>
      </x:c>
      <x:c r="C645" s="12" t="str">
        <x:v>参考000</x:v>
      </x:c>
      <x:c r="D645" s="12" t="str">
        <x:v>自动000</x:v>
      </x:c>
      <x:c r="E645" s="12" t="n">
        <x:v>0</x:v>
      </x:c>
      <x:c r="F645" s="12" t="n">
        <x:v>0</x:v>
      </x:c>
      <x:c r="G645" s="12" t="n">
        <x:v>0</x:v>
      </x:c>
      <x:c r="H645" s="12" t="n">
        <x:f>IF(SUM(I645:K645)&gt;0,1,0)</x:f>
        <x:v>0</x:v>
      </x:c>
      <x:c r="I645" s="12" t="n">
        <x:f>IF('患者配对'!M695="positive",1,0)</x:f>
        <x:v>0</x:v>
      </x:c>
      <x:c r="J645" s="12" t="n">
        <x:f>IF('患者配对'!R695="positive",1,0)</x:f>
        <x:v>0</x:v>
      </x:c>
      <x:c r="K645" s="12" t="n">
        <x:f>IF('患者配对'!W695="positive",1,0)</x:f>
        <x:v>0</x:v>
      </x:c>
      <x:c r="L645" s="12" t="str">
        <x:v>由原件与原状态取得；仅主队列索引</x:v>
      </x:c>
      <x:c r="M645" s="12"/>
      <x:c r="N645" s="12"/>
      <x:c r="O645" s="12"/>
    </x:row>
    <x:row r="646" ht="39" customHeight="1">
      <x:c r="A646" s="12" t="str">
        <x:v>5824</x:v>
      </x:c>
      <x:c r="B646" s="12" t="str">
        <x:v>7531</x:v>
      </x:c>
      <x:c r="C646" s="12" t="str">
        <x:v>参考000</x:v>
      </x:c>
      <x:c r="D646" s="12" t="str">
        <x:v>自动000</x:v>
      </x:c>
      <x:c r="E646" s="12" t="n">
        <x:v>0</x:v>
      </x:c>
      <x:c r="F646" s="12" t="n">
        <x:v>0</x:v>
      </x:c>
      <x:c r="G646" s="12" t="n">
        <x:v>0</x:v>
      </x:c>
      <x:c r="H646" s="12" t="n">
        <x:f>IF(SUM(I646:K646)&gt;0,1,0)</x:f>
        <x:v>0</x:v>
      </x:c>
      <x:c r="I646" s="12" t="n">
        <x:f>IF('患者配对'!M697="positive",1,0)</x:f>
        <x:v>0</x:v>
      </x:c>
      <x:c r="J646" s="12" t="n">
        <x:f>IF('患者配对'!R697="positive",1,0)</x:f>
        <x:v>0</x:v>
      </x:c>
      <x:c r="K646" s="12" t="n">
        <x:f>IF('患者配对'!W697="positive",1,0)</x:f>
        <x:v>0</x:v>
      </x:c>
      <x:c r="L646" s="12" t="str">
        <x:v>由原件与原状态取得；仅主队列索引</x:v>
      </x:c>
      <x:c r="M646" s="12"/>
      <x:c r="N646" s="12"/>
      <x:c r="O646" s="12"/>
    </x:row>
    <x:row r="647" ht="39" customHeight="1">
      <x:c r="A647" s="12" t="str">
        <x:v>5826</x:v>
      </x:c>
      <x:c r="B647" s="12" t="str">
        <x:v>17804</x:v>
      </x:c>
      <x:c r="C647" s="12" t="str">
        <x:v>参考000</x:v>
      </x:c>
      <x:c r="D647" s="12" t="str">
        <x:v>自动000</x:v>
      </x:c>
      <x:c r="E647" s="12" t="n">
        <x:v>0</x:v>
      </x:c>
      <x:c r="F647" s="12" t="n">
        <x:v>1</x:v>
      </x:c>
      <x:c r="G647" s="12" t="n">
        <x:v>0</x:v>
      </x:c>
      <x:c r="H647" s="12" t="n">
        <x:f>IF(SUM(I647:K647)&gt;0,1,0)</x:f>
        <x:v>0</x:v>
      </x:c>
      <x:c r="I647" s="12" t="n">
        <x:f>IF('患者配对'!M698="positive",1,0)</x:f>
        <x:v>0</x:v>
      </x:c>
      <x:c r="J647" s="12" t="n">
        <x:f>IF('患者配对'!R698="positive",1,0)</x:f>
        <x:v>0</x:v>
      </x:c>
      <x:c r="K647" s="12" t="n">
        <x:f>IF('患者配对'!W698="positive",1,0)</x:f>
        <x:v>0</x:v>
      </x:c>
      <x:c r="L647" s="12" t="str">
        <x:v>由原件与原状态取得；仅主队列索引</x:v>
      </x:c>
      <x:c r="M647" s="12"/>
      <x:c r="N647" s="12"/>
      <x:c r="O647" s="12"/>
    </x:row>
    <x:row r="648" ht="39" customHeight="1">
      <x:c r="A648" s="12" t="str">
        <x:v>5830</x:v>
      </x:c>
      <x:c r="B648" s="12" t="str">
        <x:v>4565</x:v>
      </x:c>
      <x:c r="C648" s="12" t="str">
        <x:v>参考000</x:v>
      </x:c>
      <x:c r="D648" s="12" t="str">
        <x:v>自动000</x:v>
      </x:c>
      <x:c r="E648" s="12" t="n">
        <x:v>0</x:v>
      </x:c>
      <x:c r="F648" s="12" t="n">
        <x:v>0</x:v>
      </x:c>
      <x:c r="G648" s="12" t="n">
        <x:v>0</x:v>
      </x:c>
      <x:c r="H648" s="12" t="n">
        <x:f>IF(SUM(I648:K648)&gt;0,1,0)</x:f>
        <x:v>0</x:v>
      </x:c>
      <x:c r="I648" s="12" t="n">
        <x:f>IF('患者配对'!M699="positive",1,0)</x:f>
        <x:v>0</x:v>
      </x:c>
      <x:c r="J648" s="12" t="n">
        <x:f>IF('患者配对'!R699="positive",1,0)</x:f>
        <x:v>0</x:v>
      </x:c>
      <x:c r="K648" s="12" t="n">
        <x:f>IF('患者配对'!W699="positive",1,0)</x:f>
        <x:v>0</x:v>
      </x:c>
      <x:c r="L648" s="12" t="str">
        <x:v>由原件与原状态取得；仅主队列索引</x:v>
      </x:c>
      <x:c r="M648" s="12"/>
      <x:c r="N648" s="12"/>
      <x:c r="O648" s="12"/>
    </x:row>
    <x:row r="649" ht="39" customHeight="1">
      <x:c r="A649" s="12" t="str">
        <x:v>5831</x:v>
      </x:c>
      <x:c r="B649" s="12" t="str">
        <x:v>20048</x:v>
      </x:c>
      <x:c r="C649" s="12" t="str">
        <x:v>参考000</x:v>
      </x:c>
      <x:c r="D649" s="12" t="str">
        <x:v>自动000</x:v>
      </x:c>
      <x:c r="E649" s="12" t="n">
        <x:v>0</x:v>
      </x:c>
      <x:c r="F649" s="12" t="n">
        <x:v>0</x:v>
      </x:c>
      <x:c r="G649" s="12" t="n">
        <x:v>0</x:v>
      </x:c>
      <x:c r="H649" s="12" t="n">
        <x:f>IF(SUM(I649:K649)&gt;0,1,0)</x:f>
        <x:v>0</x:v>
      </x:c>
      <x:c r="I649" s="12" t="n">
        <x:f>IF('患者配对'!M700="positive",1,0)</x:f>
        <x:v>0</x:v>
      </x:c>
      <x:c r="J649" s="12" t="n">
        <x:f>IF('患者配对'!R700="positive",1,0)</x:f>
        <x:v>0</x:v>
      </x:c>
      <x:c r="K649" s="12" t="n">
        <x:f>IF('患者配对'!W700="positive",1,0)</x:f>
        <x:v>0</x:v>
      </x:c>
      <x:c r="L649" s="12" t="str">
        <x:v>由原件与原状态取得；仅主队列索引</x:v>
      </x:c>
      <x:c r="M649" s="12"/>
      <x:c r="N649" s="12"/>
      <x:c r="O649" s="12"/>
    </x:row>
    <x:row r="650" ht="39" customHeight="1">
      <x:c r="A650" s="12" t="str">
        <x:v>5835</x:v>
      </x:c>
      <x:c r="B650" s="12" t="str">
        <x:v>7502</x:v>
      </x:c>
      <x:c r="C650" s="12" t="str">
        <x:v>参考000</x:v>
      </x:c>
      <x:c r="D650" s="12" t="str">
        <x:v>自动000</x:v>
      </x:c>
      <x:c r="E650" s="12" t="n">
        <x:v>0</x:v>
      </x:c>
      <x:c r="F650" s="12" t="n">
        <x:v>0</x:v>
      </x:c>
      <x:c r="G650" s="12" t="n">
        <x:v>0</x:v>
      </x:c>
      <x:c r="H650" s="12" t="n">
        <x:f>IF(SUM(I650:K650)&gt;0,1,0)</x:f>
        <x:v>0</x:v>
      </x:c>
      <x:c r="I650" s="12" t="n">
        <x:f>IF('患者配对'!M701="positive",1,0)</x:f>
        <x:v>0</x:v>
      </x:c>
      <x:c r="J650" s="12" t="n">
        <x:f>IF('患者配对'!R701="positive",1,0)</x:f>
        <x:v>0</x:v>
      </x:c>
      <x:c r="K650" s="12" t="n">
        <x:f>IF('患者配对'!W701="positive",1,0)</x:f>
        <x:v>0</x:v>
      </x:c>
      <x:c r="L650" s="12" t="str">
        <x:v>由原件与原状态取得；仅主队列索引</x:v>
      </x:c>
      <x:c r="M650" s="12"/>
      <x:c r="N650" s="12"/>
      <x:c r="O650" s="12"/>
    </x:row>
    <x:row r="651" ht="39" customHeight="1">
      <x:c r="A651" s="12" t="str">
        <x:v>5837</x:v>
      </x:c>
      <x:c r="B651" s="12" t="str">
        <x:v>9716</x:v>
      </x:c>
      <x:c r="C651" s="12" t="str">
        <x:v>参考000</x:v>
      </x:c>
      <x:c r="D651" s="12" t="str">
        <x:v>自动000</x:v>
      </x:c>
      <x:c r="E651" s="12" t="n">
        <x:v>0</x:v>
      </x:c>
      <x:c r="F651" s="12" t="n">
        <x:v>0</x:v>
      </x:c>
      <x:c r="G651" s="12" t="n">
        <x:v>0</x:v>
      </x:c>
      <x:c r="H651" s="12" t="n">
        <x:f>IF(SUM(I651:K651)&gt;0,1,0)</x:f>
        <x:v>0</x:v>
      </x:c>
      <x:c r="I651" s="12" t="n">
        <x:f>IF('患者配对'!M702="positive",1,0)</x:f>
        <x:v>0</x:v>
      </x:c>
      <x:c r="J651" s="12" t="n">
        <x:f>IF('患者配对'!R702="positive",1,0)</x:f>
        <x:v>0</x:v>
      </x:c>
      <x:c r="K651" s="12" t="n">
        <x:f>IF('患者配对'!W702="positive",1,0)</x:f>
        <x:v>0</x:v>
      </x:c>
      <x:c r="L651" s="12" t="str">
        <x:v>由原件与原状态取得；仅主队列索引</x:v>
      </x:c>
      <x:c r="M651" s="12"/>
      <x:c r="N651" s="12"/>
      <x:c r="O651" s="12"/>
    </x:row>
    <x:row r="652" ht="39" customHeight="1">
      <x:c r="A652" s="12" t="str">
        <x:v>5841</x:v>
      </x:c>
      <x:c r="B652" s="12" t="str">
        <x:v>10624</x:v>
      </x:c>
      <x:c r="C652" s="12" t="str">
        <x:v>参考000</x:v>
      </x:c>
      <x:c r="D652" s="12" t="str">
        <x:v>自动000</x:v>
      </x:c>
      <x:c r="E652" s="12" t="n">
        <x:v>0</x:v>
      </x:c>
      <x:c r="F652" s="12" t="n">
        <x:v>0</x:v>
      </x:c>
      <x:c r="G652" s="12" t="n">
        <x:v>0</x:v>
      </x:c>
      <x:c r="H652" s="12" t="n">
        <x:f>IF(SUM(I652:K652)&gt;0,1,0)</x:f>
        <x:v>0</x:v>
      </x:c>
      <x:c r="I652" s="12" t="n">
        <x:f>IF('患者配对'!M703="positive",1,0)</x:f>
        <x:v>0</x:v>
      </x:c>
      <x:c r="J652" s="12" t="n">
        <x:f>IF('患者配对'!R703="positive",1,0)</x:f>
        <x:v>0</x:v>
      </x:c>
      <x:c r="K652" s="12" t="n">
        <x:f>IF('患者配对'!W703="positive",1,0)</x:f>
        <x:v>0</x:v>
      </x:c>
      <x:c r="L652" s="12" t="str">
        <x:v>由原件与原状态取得；仅主队列索引</x:v>
      </x:c>
      <x:c r="M652" s="12"/>
      <x:c r="N652" s="12"/>
      <x:c r="O652" s="12"/>
    </x:row>
    <x:row r="653" ht="39" customHeight="1">
      <x:c r="A653" s="12" t="str">
        <x:v>5855</x:v>
      </x:c>
      <x:c r="B653" s="12" t="str">
        <x:v>4755</x:v>
      </x:c>
      <x:c r="C653" s="12" t="str">
        <x:v>参考000</x:v>
      </x:c>
      <x:c r="D653" s="12" t="str">
        <x:v>自动000</x:v>
      </x:c>
      <x:c r="E653" s="12" t="n">
        <x:v>0</x:v>
      </x:c>
      <x:c r="F653" s="12" t="n">
        <x:v>0</x:v>
      </x:c>
      <x:c r="G653" s="12" t="n">
        <x:v>0</x:v>
      </x:c>
      <x:c r="H653" s="12" t="n">
        <x:f>IF(SUM(I653:K653)&gt;0,1,0)</x:f>
        <x:v>0</x:v>
      </x:c>
      <x:c r="I653" s="12" t="n">
        <x:f>IF('患者配对'!M704="positive",1,0)</x:f>
        <x:v>0</x:v>
      </x:c>
      <x:c r="J653" s="12" t="n">
        <x:f>IF('患者配对'!R704="positive",1,0)</x:f>
        <x:v>0</x:v>
      </x:c>
      <x:c r="K653" s="12" t="n">
        <x:f>IF('患者配对'!W704="positive",1,0)</x:f>
        <x:v>0</x:v>
      </x:c>
      <x:c r="L653" s="12" t="str">
        <x:v>由原件与原状态取得；仅主队列索引</x:v>
      </x:c>
      <x:c r="M653" s="12"/>
      <x:c r="N653" s="12"/>
      <x:c r="O653" s="12"/>
    </x:row>
    <x:row r="654" ht="39" customHeight="1">
      <x:c r="A654" s="12" t="str">
        <x:v>5856</x:v>
      </x:c>
      <x:c r="B654" s="12" t="str">
        <x:v>7760</x:v>
      </x:c>
      <x:c r="C654" s="12" t="str">
        <x:v>参考000</x:v>
      </x:c>
      <x:c r="D654" s="12" t="str">
        <x:v>自动000</x:v>
      </x:c>
      <x:c r="E654" s="12" t="n">
        <x:v>0</x:v>
      </x:c>
      <x:c r="F654" s="12" t="n">
        <x:v>0</x:v>
      </x:c>
      <x:c r="G654" s="12" t="n">
        <x:v>0</x:v>
      </x:c>
      <x:c r="H654" s="12" t="n">
        <x:f>IF(SUM(I654:K654)&gt;0,1,0)</x:f>
        <x:v>0</x:v>
      </x:c>
      <x:c r="I654" s="12" t="n">
        <x:f>IF('患者配对'!M705="positive",1,0)</x:f>
        <x:v>0</x:v>
      </x:c>
      <x:c r="J654" s="12" t="n">
        <x:f>IF('患者配对'!R705="positive",1,0)</x:f>
        <x:v>0</x:v>
      </x:c>
      <x:c r="K654" s="12" t="n">
        <x:f>IF('患者配对'!W705="positive",1,0)</x:f>
        <x:v>0</x:v>
      </x:c>
      <x:c r="L654" s="12" t="str">
        <x:v>由原件与原状态取得；仅主队列索引</x:v>
      </x:c>
      <x:c r="M654" s="12"/>
      <x:c r="N654" s="12"/>
      <x:c r="O654" s="12"/>
    </x:row>
    <x:row r="655" ht="39" customHeight="1">
      <x:c r="A655" s="12" t="str">
        <x:v>5868</x:v>
      </x:c>
      <x:c r="B655" s="12" t="str">
        <x:v>10623</x:v>
      </x:c>
      <x:c r="C655" s="12" t="str">
        <x:v>参考000</x:v>
      </x:c>
      <x:c r="D655" s="12" t="str">
        <x:v>自动000</x:v>
      </x:c>
      <x:c r="E655" s="12" t="n">
        <x:v>0</x:v>
      </x:c>
      <x:c r="F655" s="12" t="n">
        <x:v>0</x:v>
      </x:c>
      <x:c r="G655" s="12" t="n">
        <x:v>0</x:v>
      </x:c>
      <x:c r="H655" s="12" t="n">
        <x:f>IF(SUM(I655:K655)&gt;0,1,0)</x:f>
        <x:v>0</x:v>
      </x:c>
      <x:c r="I655" s="12" t="n">
        <x:f>IF('患者配对'!M706="positive",1,0)</x:f>
        <x:v>0</x:v>
      </x:c>
      <x:c r="J655" s="12" t="n">
        <x:f>IF('患者配对'!R706="positive",1,0)</x:f>
        <x:v>0</x:v>
      </x:c>
      <x:c r="K655" s="12" t="n">
        <x:f>IF('患者配对'!W706="positive",1,0)</x:f>
        <x:v>0</x:v>
      </x:c>
      <x:c r="L655" s="12" t="str">
        <x:v>由原件与原状态取得；仅主队列索引</x:v>
      </x:c>
      <x:c r="M655" s="12"/>
      <x:c r="N655" s="12"/>
      <x:c r="O655" s="12"/>
    </x:row>
    <x:row r="656" ht="39" customHeight="1">
      <x:c r="A656" s="12" t="str">
        <x:v>5881</x:v>
      </x:c>
      <x:c r="B656" s="12" t="str">
        <x:v>21164</x:v>
      </x:c>
      <x:c r="C656" s="12" t="str">
        <x:v>参考000</x:v>
      </x:c>
      <x:c r="D656" s="12" t="str">
        <x:v>自动000</x:v>
      </x:c>
      <x:c r="E656" s="12" t="n">
        <x:v>0</x:v>
      </x:c>
      <x:c r="F656" s="12" t="n">
        <x:v>0</x:v>
      </x:c>
      <x:c r="G656" s="12" t="n">
        <x:v>0</x:v>
      </x:c>
      <x:c r="H656" s="12" t="n">
        <x:f>IF(SUM(I656:K656)&gt;0,1,0)</x:f>
        <x:v>0</x:v>
      </x:c>
      <x:c r="I656" s="12" t="n">
        <x:f>IF('患者配对'!M708="positive",1,0)</x:f>
        <x:v>0</x:v>
      </x:c>
      <x:c r="J656" s="12" t="n">
        <x:f>IF('患者配对'!R708="positive",1,0)</x:f>
        <x:v>0</x:v>
      </x:c>
      <x:c r="K656" s="12" t="n">
        <x:f>IF('患者配对'!W708="positive",1,0)</x:f>
        <x:v>0</x:v>
      </x:c>
      <x:c r="L656" s="12" t="str">
        <x:v>由原件与原状态取得；仅主队列索引</x:v>
      </x:c>
      <x:c r="M656" s="12"/>
      <x:c r="N656" s="12"/>
      <x:c r="O656" s="12"/>
    </x:row>
    <x:row r="657" ht="39" customHeight="1">
      <x:c r="A657" s="12" t="str">
        <x:v>5885</x:v>
      </x:c>
      <x:c r="B657" s="12" t="str">
        <x:v>20115</x:v>
      </x:c>
      <x:c r="C657" s="12" t="str">
        <x:v>参考100</x:v>
      </x:c>
      <x:c r="D657" s="12" t="str">
        <x:v>自动100</x:v>
      </x:c>
      <x:c r="E657" s="12" t="n">
        <x:v>1</x:v>
      </x:c>
      <x:c r="F657" s="12" t="n">
        <x:v>1</x:v>
      </x:c>
      <x:c r="G657" s="12" t="n">
        <x:v>0</x:v>
      </x:c>
      <x:c r="H657" s="12" t="n">
        <x:f>IF(SUM(I657:K657)&gt;0,1,0)</x:f>
        <x:v>1</x:v>
      </x:c>
      <x:c r="I657" s="12" t="n">
        <x:f>IF('患者配对'!M709="positive",1,0)</x:f>
        <x:v>1</x:v>
      </x:c>
      <x:c r="J657" s="12" t="n">
        <x:f>IF('患者配对'!R709="positive",1,0)</x:f>
        <x:v>0</x:v>
      </x:c>
      <x:c r="K657" s="12" t="n">
        <x:f>IF('患者配对'!W709="positive",1,0)</x:f>
        <x:v>0</x:v>
      </x:c>
      <x:c r="L657" s="12" t="str">
        <x:v>由原件与原状态取得；仅主队列索引</x:v>
      </x:c>
      <x:c r="M657" s="12"/>
      <x:c r="N657" s="12"/>
      <x:c r="O657" s="12"/>
    </x:row>
    <x:row r="658" ht="39" customHeight="1">
      <x:c r="A658" s="12" t="str">
        <x:v>5911</x:v>
      </x:c>
      <x:c r="B658" s="12" t="str">
        <x:v>15294</x:v>
      </x:c>
      <x:c r="C658" s="12" t="str">
        <x:v>参考000</x:v>
      </x:c>
      <x:c r="D658" s="12" t="str">
        <x:v>自动000</x:v>
      </x:c>
      <x:c r="E658" s="12" t="n">
        <x:v>0</x:v>
      </x:c>
      <x:c r="F658" s="12" t="n">
        <x:v>0</x:v>
      </x:c>
      <x:c r="G658" s="12" t="n">
        <x:v>0</x:v>
      </x:c>
      <x:c r="H658" s="12" t="n">
        <x:f>IF(SUM(I658:K658)&gt;0,1,0)</x:f>
        <x:v>0</x:v>
      </x:c>
      <x:c r="I658" s="12" t="n">
        <x:f>IF('患者配对'!M710="positive",1,0)</x:f>
        <x:v>0</x:v>
      </x:c>
      <x:c r="J658" s="12" t="n">
        <x:f>IF('患者配对'!R710="positive",1,0)</x:f>
        <x:v>0</x:v>
      </x:c>
      <x:c r="K658" s="12" t="n">
        <x:f>IF('患者配对'!W710="positive",1,0)</x:f>
        <x:v>0</x:v>
      </x:c>
      <x:c r="L658" s="12" t="str">
        <x:v>由原件与原状态取得；仅主队列索引</x:v>
      </x:c>
      <x:c r="M658" s="12"/>
      <x:c r="N658" s="12"/>
      <x:c r="O658" s="12"/>
    </x:row>
    <x:row r="659" ht="39" customHeight="1">
      <x:c r="A659" s="12" t="str">
        <x:v>5914</x:v>
      </x:c>
      <x:c r="B659" s="12" t="str">
        <x:v>15439</x:v>
      </x:c>
      <x:c r="C659" s="12" t="str">
        <x:v>参考000</x:v>
      </x:c>
      <x:c r="D659" s="12" t="str">
        <x:v>自动000</x:v>
      </x:c>
      <x:c r="E659" s="12" t="n">
        <x:v>0</x:v>
      </x:c>
      <x:c r="F659" s="12" t="n">
        <x:v>0</x:v>
      </x:c>
      <x:c r="G659" s="12" t="n">
        <x:v>0</x:v>
      </x:c>
      <x:c r="H659" s="12" t="n">
        <x:f>IF(SUM(I659:K659)&gt;0,1,0)</x:f>
        <x:v>0</x:v>
      </x:c>
      <x:c r="I659" s="12" t="n">
        <x:f>IF('患者配对'!M711="positive",1,0)</x:f>
        <x:v>0</x:v>
      </x:c>
      <x:c r="J659" s="12" t="n">
        <x:f>IF('患者配对'!R711="positive",1,0)</x:f>
        <x:v>0</x:v>
      </x:c>
      <x:c r="K659" s="12" t="n">
        <x:f>IF('患者配对'!W711="positive",1,0)</x:f>
        <x:v>0</x:v>
      </x:c>
      <x:c r="L659" s="12" t="str">
        <x:v>由原件与原状态取得；仅主队列索引</x:v>
      </x:c>
      <x:c r="M659" s="12"/>
      <x:c r="N659" s="12"/>
      <x:c r="O659" s="12"/>
    </x:row>
    <x:row r="660" ht="39" customHeight="1">
      <x:c r="A660" s="12" t="str">
        <x:v>5915</x:v>
      </x:c>
      <x:c r="B660" s="12" t="str">
        <x:v>15480</x:v>
      </x:c>
      <x:c r="C660" s="12" t="str">
        <x:v>参考000</x:v>
      </x:c>
      <x:c r="D660" s="12" t="str">
        <x:v>自动000</x:v>
      </x:c>
      <x:c r="E660" s="12" t="n">
        <x:v>0</x:v>
      </x:c>
      <x:c r="F660" s="12" t="n">
        <x:v>0</x:v>
      </x:c>
      <x:c r="G660" s="12" t="n">
        <x:v>0</x:v>
      </x:c>
      <x:c r="H660" s="12" t="n">
        <x:f>IF(SUM(I660:K660)&gt;0,1,0)</x:f>
        <x:v>0</x:v>
      </x:c>
      <x:c r="I660" s="12" t="n">
        <x:f>IF('患者配对'!M712="positive",1,0)</x:f>
        <x:v>0</x:v>
      </x:c>
      <x:c r="J660" s="12" t="n">
        <x:f>IF('患者配对'!R712="positive",1,0)</x:f>
        <x:v>0</x:v>
      </x:c>
      <x:c r="K660" s="12" t="n">
        <x:f>IF('患者配对'!W712="positive",1,0)</x:f>
        <x:v>0</x:v>
      </x:c>
      <x:c r="L660" s="12" t="str">
        <x:v>由原件与原状态取得；仅主队列索引</x:v>
      </x:c>
      <x:c r="M660" s="12"/>
      <x:c r="N660" s="12"/>
      <x:c r="O660" s="12"/>
    </x:row>
    <x:row r="661" ht="39" customHeight="1">
      <x:c r="A661" s="12" t="str">
        <x:v>5916</x:v>
      </x:c>
      <x:c r="B661" s="12" t="str">
        <x:v>18842</x:v>
      </x:c>
      <x:c r="C661" s="12" t="str">
        <x:v>参考000</x:v>
      </x:c>
      <x:c r="D661" s="12" t="str">
        <x:v>自动000</x:v>
      </x:c>
      <x:c r="E661" s="12" t="n">
        <x:v>0</x:v>
      </x:c>
      <x:c r="F661" s="12" t="n">
        <x:v>0</x:v>
      </x:c>
      <x:c r="G661" s="12" t="n">
        <x:v>0</x:v>
      </x:c>
      <x:c r="H661" s="12" t="n">
        <x:f>IF(SUM(I661:K661)&gt;0,1,0)</x:f>
        <x:v>0</x:v>
      </x:c>
      <x:c r="I661" s="12" t="n">
        <x:f>IF('患者配对'!M713="positive",1,0)</x:f>
        <x:v>0</x:v>
      </x:c>
      <x:c r="J661" s="12" t="n">
        <x:f>IF('患者配对'!R713="positive",1,0)</x:f>
        <x:v>0</x:v>
      </x:c>
      <x:c r="K661" s="12" t="n">
        <x:f>IF('患者配对'!W713="positive",1,0)</x:f>
        <x:v>0</x:v>
      </x:c>
      <x:c r="L661" s="12" t="str">
        <x:v>由原件与原状态取得；仅主队列索引</x:v>
      </x:c>
      <x:c r="M661" s="12"/>
      <x:c r="N661" s="12"/>
      <x:c r="O661" s="12"/>
    </x:row>
    <x:row r="662" ht="39" customHeight="1">
      <x:c r="A662" s="12" t="str">
        <x:v>5918</x:v>
      </x:c>
      <x:c r="B662" s="12" t="str">
        <x:v>18333</x:v>
      </x:c>
      <x:c r="C662" s="12" t="str">
        <x:v>参考000</x:v>
      </x:c>
      <x:c r="D662" s="12" t="str">
        <x:v>自动000</x:v>
      </x:c>
      <x:c r="E662" s="12" t="n">
        <x:v>0</x:v>
      </x:c>
      <x:c r="F662" s="12" t="n">
        <x:v>0</x:v>
      </x:c>
      <x:c r="G662" s="12" t="n">
        <x:v>0</x:v>
      </x:c>
      <x:c r="H662" s="12" t="n">
        <x:f>IF(SUM(I662:K662)&gt;0,1,0)</x:f>
        <x:v>0</x:v>
      </x:c>
      <x:c r="I662" s="12" t="n">
        <x:f>IF('患者配对'!M714="positive",1,0)</x:f>
        <x:v>0</x:v>
      </x:c>
      <x:c r="J662" s="12" t="n">
        <x:f>IF('患者配对'!R714="positive",1,0)</x:f>
        <x:v>0</x:v>
      </x:c>
      <x:c r="K662" s="12" t="n">
        <x:f>IF('患者配对'!W714="positive",1,0)</x:f>
        <x:v>0</x:v>
      </x:c>
      <x:c r="L662" s="12" t="str">
        <x:v>由原件与原状态取得；仅主队列索引</x:v>
      </x:c>
      <x:c r="M662" s="12"/>
      <x:c r="N662" s="12"/>
      <x:c r="O662" s="12"/>
    </x:row>
    <x:row r="663" ht="39" customHeight="1">
      <x:c r="A663" s="12" t="str">
        <x:v>5924</x:v>
      </x:c>
      <x:c r="B663" s="12" t="str">
        <x:v>20316</x:v>
      </x:c>
      <x:c r="C663" s="12" t="str">
        <x:v>参考000</x:v>
      </x:c>
      <x:c r="D663" s="12" t="str">
        <x:v>自动000</x:v>
      </x:c>
      <x:c r="E663" s="12" t="n">
        <x:v>0</x:v>
      </x:c>
      <x:c r="F663" s="12" t="n">
        <x:v>0</x:v>
      </x:c>
      <x:c r="G663" s="12" t="n">
        <x:v>0</x:v>
      </x:c>
      <x:c r="H663" s="12" t="n">
        <x:f>IF(SUM(I663:K663)&gt;0,1,0)</x:f>
        <x:v>0</x:v>
      </x:c>
      <x:c r="I663" s="12" t="n">
        <x:f>IF('患者配对'!M715="positive",1,0)</x:f>
        <x:v>0</x:v>
      </x:c>
      <x:c r="J663" s="12" t="n">
        <x:f>IF('患者配对'!R715="positive",1,0)</x:f>
        <x:v>0</x:v>
      </x:c>
      <x:c r="K663" s="12" t="n">
        <x:f>IF('患者配对'!W715="positive",1,0)</x:f>
        <x:v>0</x:v>
      </x:c>
      <x:c r="L663" s="12" t="str">
        <x:v>由原件与原状态取得；仅主队列索引</x:v>
      </x:c>
      <x:c r="M663" s="12"/>
      <x:c r="N663" s="12"/>
      <x:c r="O663" s="12"/>
    </x:row>
    <x:row r="664" ht="39" customHeight="1">
      <x:c r="A664" s="12" t="str">
        <x:v>5946</x:v>
      </x:c>
      <x:c r="B664" s="12" t="str">
        <x:v>20739</x:v>
      </x:c>
      <x:c r="C664" s="12" t="str">
        <x:v>参考000</x:v>
      </x:c>
      <x:c r="D664" s="12" t="str">
        <x:v>自动000</x:v>
      </x:c>
      <x:c r="E664" s="12" t="n">
        <x:v>0</x:v>
      </x:c>
      <x:c r="F664" s="12" t="n">
        <x:v>1</x:v>
      </x:c>
      <x:c r="G664" s="12" t="n">
        <x:v>0</x:v>
      </x:c>
      <x:c r="H664" s="12" t="n">
        <x:f>IF(SUM(I664:K664)&gt;0,1,0)</x:f>
        <x:v>0</x:v>
      </x:c>
      <x:c r="I664" s="12" t="n">
        <x:f>IF('患者配对'!M716="positive",1,0)</x:f>
        <x:v>0</x:v>
      </x:c>
      <x:c r="J664" s="12" t="n">
        <x:f>IF('患者配对'!R716="positive",1,0)</x:f>
        <x:v>0</x:v>
      </x:c>
      <x:c r="K664" s="12" t="n">
        <x:f>IF('患者配对'!W716="positive",1,0)</x:f>
        <x:v>0</x:v>
      </x:c>
      <x:c r="L664" s="12" t="str">
        <x:v>由原件与原状态取得；仅主队列索引</x:v>
      </x:c>
      <x:c r="M664" s="12"/>
      <x:c r="N664" s="12"/>
      <x:c r="O664" s="12"/>
    </x:row>
    <x:row r="665" ht="39" customHeight="1">
      <x:c r="A665" s="12" t="str">
        <x:v>5947</x:v>
      </x:c>
      <x:c r="B665" s="12" t="str">
        <x:v>872</x:v>
      </x:c>
      <x:c r="C665" s="12" t="str">
        <x:v>参考000</x:v>
      </x:c>
      <x:c r="D665" s="12" t="str">
        <x:v>自动000</x:v>
      </x:c>
      <x:c r="E665" s="12" t="n">
        <x:v>0</x:v>
      </x:c>
      <x:c r="F665" s="12" t="n">
        <x:v>0</x:v>
      </x:c>
      <x:c r="G665" s="12" t="n">
        <x:v>0</x:v>
      </x:c>
      <x:c r="H665" s="12" t="n">
        <x:f>IF(SUM(I665:K665)&gt;0,1,0)</x:f>
        <x:v>0</x:v>
      </x:c>
      <x:c r="I665" s="12" t="n">
        <x:f>IF('患者配对'!M717="positive",1,0)</x:f>
        <x:v>0</x:v>
      </x:c>
      <x:c r="J665" s="12" t="n">
        <x:f>IF('患者配对'!R717="positive",1,0)</x:f>
        <x:v>0</x:v>
      </x:c>
      <x:c r="K665" s="12" t="n">
        <x:f>IF('患者配对'!W717="positive",1,0)</x:f>
        <x:v>0</x:v>
      </x:c>
      <x:c r="L665" s="12" t="str">
        <x:v>由原件与原状态取得；仅主队列索引</x:v>
      </x:c>
      <x:c r="M665" s="12"/>
      <x:c r="N665" s="12"/>
      <x:c r="O665" s="12"/>
    </x:row>
    <x:row r="666" ht="39" customHeight="1">
      <x:c r="A666" s="12" t="str">
        <x:v>5951</x:v>
      </x:c>
      <x:c r="B666" s="12" t="str">
        <x:v>2347</x:v>
      </x:c>
      <x:c r="C666" s="12" t="str">
        <x:v>参考001</x:v>
      </x:c>
      <x:c r="D666" s="12" t="str">
        <x:v>自动001</x:v>
      </x:c>
      <x:c r="E666" s="12" t="n">
        <x:v>1</x:v>
      </x:c>
      <x:c r="F666" s="12" t="n">
        <x:v>1</x:v>
      </x:c>
      <x:c r="G666" s="12" t="n">
        <x:v>0</x:v>
      </x:c>
      <x:c r="H666" s="12" t="n">
        <x:f>IF(SUM(I666:K666)&gt;0,1,0)</x:f>
        <x:v>1</x:v>
      </x:c>
      <x:c r="I666" s="12" t="n">
        <x:f>IF('患者配对'!M718="positive",1,0)</x:f>
        <x:v>0</x:v>
      </x:c>
      <x:c r="J666" s="12" t="n">
        <x:f>IF('患者配对'!R718="positive",1,0)</x:f>
        <x:v>0</x:v>
      </x:c>
      <x:c r="K666" s="12" t="n">
        <x:f>IF('患者配对'!W718="positive",1,0)</x:f>
        <x:v>1</x:v>
      </x:c>
      <x:c r="L666" s="12" t="str">
        <x:v>由原件与原状态取得；仅主队列索引</x:v>
      </x:c>
      <x:c r="M666" s="12"/>
      <x:c r="N666" s="12"/>
      <x:c r="O666" s="12"/>
    </x:row>
    <x:row r="667" ht="39" customHeight="1">
      <x:c r="A667" s="12" t="str">
        <x:v>5953</x:v>
      </x:c>
      <x:c r="B667" s="12" t="str">
        <x:v>8516</x:v>
      </x:c>
      <x:c r="C667" s="12" t="str">
        <x:v>参考000</x:v>
      </x:c>
      <x:c r="D667" s="12" t="str">
        <x:v>自动000</x:v>
      </x:c>
      <x:c r="E667" s="12" t="n">
        <x:v>0</x:v>
      </x:c>
      <x:c r="F667" s="12" t="n">
        <x:v>1</x:v>
      </x:c>
      <x:c r="G667" s="12" t="n">
        <x:v>0</x:v>
      </x:c>
      <x:c r="H667" s="12" t="n">
        <x:f>IF(SUM(I667:K667)&gt;0,1,0)</x:f>
        <x:v>0</x:v>
      </x:c>
      <x:c r="I667" s="12" t="n">
        <x:f>IF('患者配对'!M719="positive",1,0)</x:f>
        <x:v>0</x:v>
      </x:c>
      <x:c r="J667" s="12" t="n">
        <x:f>IF('患者配对'!R719="positive",1,0)</x:f>
        <x:v>0</x:v>
      </x:c>
      <x:c r="K667" s="12" t="n">
        <x:f>IF('患者配对'!W719="positive",1,0)</x:f>
        <x:v>0</x:v>
      </x:c>
      <x:c r="L667" s="12" t="str">
        <x:v>由原件与原状态取得；仅主队列索引</x:v>
      </x:c>
      <x:c r="M667" s="12"/>
      <x:c r="N667" s="12"/>
      <x:c r="O667" s="12"/>
    </x:row>
    <x:row r="668" ht="39" customHeight="1">
      <x:c r="A668" s="12" t="str">
        <x:v>5973</x:v>
      </x:c>
      <x:c r="B668" s="12" t="str">
        <x:v>10414</x:v>
      </x:c>
      <x:c r="C668" s="12" t="str">
        <x:v>参考000</x:v>
      </x:c>
      <x:c r="D668" s="12" t="str">
        <x:v>自动000</x:v>
      </x:c>
      <x:c r="E668" s="12" t="n">
        <x:v>0</x:v>
      </x:c>
      <x:c r="F668" s="12" t="n">
        <x:v>1</x:v>
      </x:c>
      <x:c r="G668" s="12" t="n">
        <x:v>0</x:v>
      </x:c>
      <x:c r="H668" s="12" t="n">
        <x:f>IF(SUM(I668:K668)&gt;0,1,0)</x:f>
        <x:v>0</x:v>
      </x:c>
      <x:c r="I668" s="12" t="n">
        <x:f>IF('患者配对'!M720="positive",1,0)</x:f>
        <x:v>0</x:v>
      </x:c>
      <x:c r="J668" s="12" t="n">
        <x:f>IF('患者配对'!R720="positive",1,0)</x:f>
        <x:v>0</x:v>
      </x:c>
      <x:c r="K668" s="12" t="n">
        <x:f>IF('患者配对'!W720="positive",1,0)</x:f>
        <x:v>0</x:v>
      </x:c>
      <x:c r="L668" s="12" t="str">
        <x:v>由原件与原状态取得；仅主队列索引</x:v>
      </x:c>
      <x:c r="M668" s="12"/>
      <x:c r="N668" s="12"/>
      <x:c r="O668" s="12"/>
    </x:row>
    <x:row r="669" ht="39" customHeight="1">
      <x:c r="A669" s="12" t="str">
        <x:v>5975</x:v>
      </x:c>
      <x:c r="B669" s="12" t="str">
        <x:v>14975</x:v>
      </x:c>
      <x:c r="C669" s="12" t="str">
        <x:v>参考000</x:v>
      </x:c>
      <x:c r="D669" s="12" t="str">
        <x:v>自动000</x:v>
      </x:c>
      <x:c r="E669" s="12" t="n">
        <x:v>0</x:v>
      </x:c>
      <x:c r="F669" s="12" t="n">
        <x:v>1</x:v>
      </x:c>
      <x:c r="G669" s="12" t="n">
        <x:v>0</x:v>
      </x:c>
      <x:c r="H669" s="12" t="n">
        <x:f>IF(SUM(I669:K669)&gt;0,1,0)</x:f>
        <x:v>0</x:v>
      </x:c>
      <x:c r="I669" s="12" t="n">
        <x:f>IF('患者配对'!M721="positive",1,0)</x:f>
        <x:v>0</x:v>
      </x:c>
      <x:c r="J669" s="12" t="n">
        <x:f>IF('患者配对'!R721="positive",1,0)</x:f>
        <x:v>0</x:v>
      </x:c>
      <x:c r="K669" s="12" t="n">
        <x:f>IF('患者配对'!W721="positive",1,0)</x:f>
        <x:v>0</x:v>
      </x:c>
      <x:c r="L669" s="12" t="str">
        <x:v>由原件与原状态取得；仅主队列索引</x:v>
      </x:c>
      <x:c r="M669" s="12"/>
      <x:c r="N669" s="12"/>
      <x:c r="O669" s="12"/>
    </x:row>
    <x:row r="670" ht="39" customHeight="1">
      <x:c r="A670" s="12" t="str">
        <x:v>5977</x:v>
      </x:c>
      <x:c r="B670" s="12" t="str">
        <x:v>20632</x:v>
      </x:c>
      <x:c r="C670" s="12" t="str">
        <x:v>参考000</x:v>
      </x:c>
      <x:c r="D670" s="12" t="str">
        <x:v>自动000</x:v>
      </x:c>
      <x:c r="E670" s="12" t="n">
        <x:v>0</x:v>
      </x:c>
      <x:c r="F670" s="12" t="n">
        <x:v>0</x:v>
      </x:c>
      <x:c r="G670" s="12" t="n">
        <x:v>0</x:v>
      </x:c>
      <x:c r="H670" s="12" t="n">
        <x:f>IF(SUM(I670:K670)&gt;0,1,0)</x:f>
        <x:v>0</x:v>
      </x:c>
      <x:c r="I670" s="12" t="n">
        <x:f>IF('患者配对'!M722="positive",1,0)</x:f>
        <x:v>0</x:v>
      </x:c>
      <x:c r="J670" s="12" t="n">
        <x:f>IF('患者配对'!R722="positive",1,0)</x:f>
        <x:v>0</x:v>
      </x:c>
      <x:c r="K670" s="12" t="n">
        <x:f>IF('患者配对'!W722="positive",1,0)</x:f>
        <x:v>0</x:v>
      </x:c>
      <x:c r="L670" s="12" t="str">
        <x:v>由原件与原状态取得；仅主队列索引</x:v>
      </x:c>
      <x:c r="M670" s="12"/>
      <x:c r="N670" s="12"/>
      <x:c r="O670" s="12"/>
    </x:row>
    <x:row r="671" ht="39" customHeight="1">
      <x:c r="A671" s="12" t="str">
        <x:v>5992</x:v>
      </x:c>
      <x:c r="B671" s="12" t="str">
        <x:v>785</x:v>
      </x:c>
      <x:c r="C671" s="12" t="str">
        <x:v>参考000</x:v>
      </x:c>
      <x:c r="D671" s="12" t="str">
        <x:v>自动000</x:v>
      </x:c>
      <x:c r="E671" s="12" t="n">
        <x:v>0</x:v>
      </x:c>
      <x:c r="F671" s="12" t="n">
        <x:v>0</x:v>
      </x:c>
      <x:c r="G671" s="12" t="n">
        <x:v>0</x:v>
      </x:c>
      <x:c r="H671" s="12" t="n">
        <x:f>IF(SUM(I671:K671)&gt;0,1,0)</x:f>
        <x:v>0</x:v>
      </x:c>
      <x:c r="I671" s="12" t="n">
        <x:f>IF('患者配对'!M723="positive",1,0)</x:f>
        <x:v>0</x:v>
      </x:c>
      <x:c r="J671" s="12" t="n">
        <x:f>IF('患者配对'!R723="positive",1,0)</x:f>
        <x:v>0</x:v>
      </x:c>
      <x:c r="K671" s="12" t="n">
        <x:f>IF('患者配对'!W723="positive",1,0)</x:f>
        <x:v>0</x:v>
      </x:c>
      <x:c r="L671" s="12" t="str">
        <x:v>由原件与原状态取得；仅主队列索引</x:v>
      </x:c>
      <x:c r="M671" s="12"/>
      <x:c r="N671" s="12"/>
      <x:c r="O671" s="12"/>
    </x:row>
    <x:row r="672" ht="39" customHeight="1">
      <x:c r="A672" s="12" t="str">
        <x:v>6000</x:v>
      </x:c>
      <x:c r="B672" s="12" t="str">
        <x:v>5028</x:v>
      </x:c>
      <x:c r="C672" s="12" t="str">
        <x:v>参考000</x:v>
      </x:c>
      <x:c r="D672" s="12" t="str">
        <x:v>自动000</x:v>
      </x:c>
      <x:c r="E672" s="12" t="n">
        <x:v>0</x:v>
      </x:c>
      <x:c r="F672" s="12" t="n">
        <x:v>0</x:v>
      </x:c>
      <x:c r="G672" s="12" t="n">
        <x:v>0</x:v>
      </x:c>
      <x:c r="H672" s="12" t="n">
        <x:f>IF(SUM(I672:K672)&gt;0,1,0)</x:f>
        <x:v>0</x:v>
      </x:c>
      <x:c r="I672" s="12" t="n">
        <x:f>IF('患者配对'!M724="positive",1,0)</x:f>
        <x:v>0</x:v>
      </x:c>
      <x:c r="J672" s="12" t="n">
        <x:f>IF('患者配对'!R724="positive",1,0)</x:f>
        <x:v>0</x:v>
      </x:c>
      <x:c r="K672" s="12" t="n">
        <x:f>IF('患者配对'!W724="positive",1,0)</x:f>
        <x:v>0</x:v>
      </x:c>
      <x:c r="L672" s="12" t="str">
        <x:v>由原件与原状态取得；仅主队列索引</x:v>
      </x:c>
      <x:c r="M672" s="12"/>
      <x:c r="N672" s="12"/>
      <x:c r="O672" s="12"/>
    </x:row>
    <x:row r="673" ht="39" customHeight="1">
      <x:c r="A673" s="12" t="str">
        <x:v>6004</x:v>
      </x:c>
      <x:c r="B673" s="12" t="str">
        <x:v>2482</x:v>
      </x:c>
      <x:c r="C673" s="12" t="str">
        <x:v>参考000</x:v>
      </x:c>
      <x:c r="D673" s="12" t="str">
        <x:v>自动000</x:v>
      </x:c>
      <x:c r="E673" s="12" t="n">
        <x:v>0</x:v>
      </x:c>
      <x:c r="F673" s="12" t="n">
        <x:v>0</x:v>
      </x:c>
      <x:c r="G673" s="12" t="n">
        <x:v>0</x:v>
      </x:c>
      <x:c r="H673" s="12" t="n">
        <x:f>IF(SUM(I673:K673)&gt;0,1,0)</x:f>
        <x:v>0</x:v>
      </x:c>
      <x:c r="I673" s="12" t="n">
        <x:f>IF('患者配对'!M725="positive",1,0)</x:f>
        <x:v>0</x:v>
      </x:c>
      <x:c r="J673" s="12" t="n">
        <x:f>IF('患者配对'!R725="positive",1,0)</x:f>
        <x:v>0</x:v>
      </x:c>
      <x:c r="K673" s="12" t="n">
        <x:f>IF('患者配对'!W725="positive",1,0)</x:f>
        <x:v>0</x:v>
      </x:c>
      <x:c r="L673" s="12" t="str">
        <x:v>由原件与原状态取得；仅主队列索引</x:v>
      </x:c>
      <x:c r="M673" s="12"/>
      <x:c r="N673" s="12"/>
      <x:c r="O673" s="12"/>
    </x:row>
    <x:row r="674" ht="39" customHeight="1">
      <x:c r="A674" s="12" t="str">
        <x:v>6046</x:v>
      </x:c>
      <x:c r="B674" s="12" t="str">
        <x:v>3465</x:v>
      </x:c>
      <x:c r="C674" s="12" t="str">
        <x:v>参考000</x:v>
      </x:c>
      <x:c r="D674" s="12" t="str">
        <x:v>自动000</x:v>
      </x:c>
      <x:c r="E674" s="12" t="n">
        <x:v>0</x:v>
      </x:c>
      <x:c r="F674" s="12" t="n">
        <x:v>0</x:v>
      </x:c>
      <x:c r="G674" s="12" t="n">
        <x:v>0</x:v>
      </x:c>
      <x:c r="H674" s="12" t="n">
        <x:f>IF(SUM(I674:K674)&gt;0,1,0)</x:f>
        <x:v>0</x:v>
      </x:c>
      <x:c r="I674" s="12" t="n">
        <x:f>IF('患者配对'!M727="positive",1,0)</x:f>
        <x:v>0</x:v>
      </x:c>
      <x:c r="J674" s="12" t="n">
        <x:f>IF('患者配对'!R727="positive",1,0)</x:f>
        <x:v>0</x:v>
      </x:c>
      <x:c r="K674" s="12" t="n">
        <x:f>IF('患者配对'!W727="positive",1,0)</x:f>
        <x:v>0</x:v>
      </x:c>
      <x:c r="L674" s="12" t="str">
        <x:v>由原件与原状态取得；仅主队列索引</x:v>
      </x:c>
      <x:c r="M674" s="12"/>
      <x:c r="N674" s="12"/>
      <x:c r="O674" s="12"/>
    </x:row>
    <x:row r="675" ht="39" customHeight="1">
      <x:c r="A675" s="12" t="str">
        <x:v>6047</x:v>
      </x:c>
      <x:c r="B675" s="12" t="str">
        <x:v>5293</x:v>
      </x:c>
      <x:c r="C675" s="12" t="str">
        <x:v>参考000</x:v>
      </x:c>
      <x:c r="D675" s="12" t="str">
        <x:v>自动000</x:v>
      </x:c>
      <x:c r="E675" s="12" t="n">
        <x:v>0</x:v>
      </x:c>
      <x:c r="F675" s="12" t="n">
        <x:v>0</x:v>
      </x:c>
      <x:c r="G675" s="12" t="n">
        <x:v>0</x:v>
      </x:c>
      <x:c r="H675" s="12" t="n">
        <x:f>IF(SUM(I675:K675)&gt;0,1,0)</x:f>
        <x:v>0</x:v>
      </x:c>
      <x:c r="I675" s="12" t="n">
        <x:f>IF('患者配对'!M728="positive",1,0)</x:f>
        <x:v>0</x:v>
      </x:c>
      <x:c r="J675" s="12" t="n">
        <x:f>IF('患者配对'!R728="positive",1,0)</x:f>
        <x:v>0</x:v>
      </x:c>
      <x:c r="K675" s="12" t="n">
        <x:f>IF('患者配对'!W728="positive",1,0)</x:f>
        <x:v>0</x:v>
      </x:c>
      <x:c r="L675" s="12" t="str">
        <x:v>由原件与原状态取得；仅主队列索引</x:v>
      </x:c>
      <x:c r="M675" s="12"/>
      <x:c r="N675" s="12"/>
      <x:c r="O675" s="12"/>
    </x:row>
    <x:row r="676" ht="39" customHeight="1">
      <x:c r="A676" s="12" t="str">
        <x:v>6050</x:v>
      </x:c>
      <x:c r="B676" s="12" t="str">
        <x:v>859</x:v>
      </x:c>
      <x:c r="C676" s="12" t="str">
        <x:v>参考000</x:v>
      </x:c>
      <x:c r="D676" s="12" t="str">
        <x:v>自动000</x:v>
      </x:c>
      <x:c r="E676" s="12" t="n">
        <x:v>0</x:v>
      </x:c>
      <x:c r="F676" s="12" t="n">
        <x:v>0</x:v>
      </x:c>
      <x:c r="G676" s="12" t="n">
        <x:v>0</x:v>
      </x:c>
      <x:c r="H676" s="12" t="n">
        <x:f>IF(SUM(I676:K676)&gt;0,1,0)</x:f>
        <x:v>0</x:v>
      </x:c>
      <x:c r="I676" s="12" t="n">
        <x:f>IF('患者配对'!M729="positive",1,0)</x:f>
        <x:v>0</x:v>
      </x:c>
      <x:c r="J676" s="12" t="n">
        <x:f>IF('患者配对'!R729="positive",1,0)</x:f>
        <x:v>0</x:v>
      </x:c>
      <x:c r="K676" s="12" t="n">
        <x:f>IF('患者配对'!W729="positive",1,0)</x:f>
        <x:v>0</x:v>
      </x:c>
      <x:c r="L676" s="12" t="str">
        <x:v>由原件与原状态取得；仅主队列索引</x:v>
      </x:c>
      <x:c r="M676" s="12"/>
      <x:c r="N676" s="12"/>
      <x:c r="O676" s="12"/>
    </x:row>
    <x:row r="677" ht="39" customHeight="1">
      <x:c r="A677" s="12" t="str">
        <x:v>6056</x:v>
      </x:c>
      <x:c r="B677" s="12" t="str">
        <x:v>935</x:v>
      </x:c>
      <x:c r="C677" s="12" t="str">
        <x:v>参考001</x:v>
      </x:c>
      <x:c r="D677" s="12" t="str">
        <x:v>自动001</x:v>
      </x:c>
      <x:c r="E677" s="12" t="n">
        <x:v>1</x:v>
      </x:c>
      <x:c r="F677" s="12" t="n">
        <x:v>1</x:v>
      </x:c>
      <x:c r="G677" s="12" t="n">
        <x:v>0</x:v>
      </x:c>
      <x:c r="H677" s="12" t="n">
        <x:f>IF(SUM(I677:K677)&gt;0,1,0)</x:f>
        <x:v>1</x:v>
      </x:c>
      <x:c r="I677" s="12" t="n">
        <x:f>IF('患者配对'!M730="positive",1,0)</x:f>
        <x:v>0</x:v>
      </x:c>
      <x:c r="J677" s="12" t="n">
        <x:f>IF('患者配对'!R730="positive",1,0)</x:f>
        <x:v>0</x:v>
      </x:c>
      <x:c r="K677" s="12" t="n">
        <x:f>IF('患者配对'!W730="positive",1,0)</x:f>
        <x:v>1</x:v>
      </x:c>
      <x:c r="L677" s="12" t="str">
        <x:v>由原件与原状态取得；仅主队列索引</x:v>
      </x:c>
      <x:c r="M677" s="12"/>
      <x:c r="N677" s="12"/>
      <x:c r="O677" s="12"/>
    </x:row>
    <x:row r="678" ht="39" customHeight="1">
      <x:c r="A678" s="12" t="str">
        <x:v>6075</x:v>
      </x:c>
      <x:c r="B678" s="12" t="str">
        <x:v>7195</x:v>
      </x:c>
      <x:c r="C678" s="12" t="str">
        <x:v>参考000</x:v>
      </x:c>
      <x:c r="D678" s="12" t="str">
        <x:v>自动000</x:v>
      </x:c>
      <x:c r="E678" s="12" t="n">
        <x:v>0</x:v>
      </x:c>
      <x:c r="F678" s="12" t="n">
        <x:v>0</x:v>
      </x:c>
      <x:c r="G678" s="12" t="n">
        <x:v>0</x:v>
      </x:c>
      <x:c r="H678" s="12" t="n">
        <x:f>IF(SUM(I678:K678)&gt;0,1,0)</x:f>
        <x:v>0</x:v>
      </x:c>
      <x:c r="I678" s="12" t="n">
        <x:f>IF('患者配对'!M731="positive",1,0)</x:f>
        <x:v>0</x:v>
      </x:c>
      <x:c r="J678" s="12" t="n">
        <x:f>IF('患者配对'!R731="positive",1,0)</x:f>
        <x:v>0</x:v>
      </x:c>
      <x:c r="K678" s="12" t="n">
        <x:f>IF('患者配对'!W731="positive",1,0)</x:f>
        <x:v>0</x:v>
      </x:c>
      <x:c r="L678" s="12" t="str">
        <x:v>由原件与原状态取得；仅主队列索引</x:v>
      </x:c>
      <x:c r="M678" s="12"/>
      <x:c r="N678" s="12"/>
      <x:c r="O678" s="12"/>
    </x:row>
    <x:row r="679" ht="39" customHeight="1">
      <x:c r="A679" s="12" t="str">
        <x:v>6087</x:v>
      </x:c>
      <x:c r="B679" s="12" t="str">
        <x:v>18442</x:v>
      </x:c>
      <x:c r="C679" s="12" t="str">
        <x:v>参考000</x:v>
      </x:c>
      <x:c r="D679" s="12" t="str">
        <x:v>自动000</x:v>
      </x:c>
      <x:c r="E679" s="12" t="n">
        <x:v>0</x:v>
      </x:c>
      <x:c r="F679" s="12" t="n">
        <x:v>0</x:v>
      </x:c>
      <x:c r="G679" s="12" t="n">
        <x:v>0</x:v>
      </x:c>
      <x:c r="H679" s="12" t="n">
        <x:f>IF(SUM(I679:K679)&gt;0,1,0)</x:f>
        <x:v>0</x:v>
      </x:c>
      <x:c r="I679" s="12" t="n">
        <x:f>IF('患者配对'!M732="positive",1,0)</x:f>
        <x:v>0</x:v>
      </x:c>
      <x:c r="J679" s="12" t="n">
        <x:f>IF('患者配对'!R732="positive",1,0)</x:f>
        <x:v>0</x:v>
      </x:c>
      <x:c r="K679" s="12" t="n">
        <x:f>IF('患者配对'!W732="positive",1,0)</x:f>
        <x:v>0</x:v>
      </x:c>
      <x:c r="L679" s="12" t="str">
        <x:v>由原件与原状态取得；仅主队列索引</x:v>
      </x:c>
      <x:c r="M679" s="12"/>
      <x:c r="N679" s="12"/>
      <x:c r="O679" s="12"/>
    </x:row>
    <x:row r="680" ht="39" customHeight="1">
      <x:c r="A680" s="12" t="str">
        <x:v>6096</x:v>
      </x:c>
      <x:c r="B680" s="12" t="str">
        <x:v>579</x:v>
      </x:c>
      <x:c r="C680" s="12" t="str">
        <x:v>参考000</x:v>
      </x:c>
      <x:c r="D680" s="12" t="str">
        <x:v>自动000</x:v>
      </x:c>
      <x:c r="E680" s="12" t="n">
        <x:v>0</x:v>
      </x:c>
      <x:c r="F680" s="12" t="n">
        <x:v>0</x:v>
      </x:c>
      <x:c r="G680" s="12" t="n">
        <x:v>0</x:v>
      </x:c>
      <x:c r="H680" s="12" t="n">
        <x:f>IF(SUM(I680:K680)&gt;0,1,0)</x:f>
        <x:v>0</x:v>
      </x:c>
      <x:c r="I680" s="12" t="n">
        <x:f>IF('患者配对'!M733="positive",1,0)</x:f>
        <x:v>0</x:v>
      </x:c>
      <x:c r="J680" s="12" t="n">
        <x:f>IF('患者配对'!R733="positive",1,0)</x:f>
        <x:v>0</x:v>
      </x:c>
      <x:c r="K680" s="12" t="n">
        <x:f>IF('患者配对'!W733="positive",1,0)</x:f>
        <x:v>0</x:v>
      </x:c>
      <x:c r="L680" s="12" t="str">
        <x:v>由原件与原状态取得；仅主队列索引</x:v>
      </x:c>
      <x:c r="M680" s="12"/>
      <x:c r="N680" s="12"/>
      <x:c r="O680" s="12"/>
    </x:row>
    <x:row r="681" ht="39" customHeight="1">
      <x:c r="A681" s="12" t="str">
        <x:v>6098</x:v>
      </x:c>
      <x:c r="B681" s="12" t="str">
        <x:v>6399</x:v>
      </x:c>
      <x:c r="C681" s="12" t="str">
        <x:v>参考000</x:v>
      </x:c>
      <x:c r="D681" s="12" t="str">
        <x:v>自动000</x:v>
      </x:c>
      <x:c r="E681" s="12" t="n">
        <x:v>0</x:v>
      </x:c>
      <x:c r="F681" s="12" t="n">
        <x:v>0</x:v>
      </x:c>
      <x:c r="G681" s="12" t="n">
        <x:v>0</x:v>
      </x:c>
      <x:c r="H681" s="12" t="n">
        <x:f>IF(SUM(I681:K681)&gt;0,1,0)</x:f>
        <x:v>0</x:v>
      </x:c>
      <x:c r="I681" s="12" t="n">
        <x:f>IF('患者配对'!M734="positive",1,0)</x:f>
        <x:v>0</x:v>
      </x:c>
      <x:c r="J681" s="12" t="n">
        <x:f>IF('患者配对'!R734="positive",1,0)</x:f>
        <x:v>0</x:v>
      </x:c>
      <x:c r="K681" s="12" t="n">
        <x:f>IF('患者配对'!W734="positive",1,0)</x:f>
        <x:v>0</x:v>
      </x:c>
      <x:c r="L681" s="12" t="str">
        <x:v>由原件与原状态取得；仅主队列索引</x:v>
      </x:c>
      <x:c r="M681" s="12"/>
      <x:c r="N681" s="12"/>
      <x:c r="O681" s="12"/>
    </x:row>
    <x:row r="682" ht="39" customHeight="1">
      <x:c r="A682" s="12" t="str">
        <x:v>6103</x:v>
      </x:c>
      <x:c r="B682" s="12" t="str">
        <x:v>5886</x:v>
      </x:c>
      <x:c r="C682" s="12" t="str">
        <x:v>参考000</x:v>
      </x:c>
      <x:c r="D682" s="12" t="str">
        <x:v>自动000</x:v>
      </x:c>
      <x:c r="E682" s="12" t="n">
        <x:v>0</x:v>
      </x:c>
      <x:c r="F682" s="12" t="n">
        <x:v>0</x:v>
      </x:c>
      <x:c r="G682" s="12" t="n">
        <x:v>0</x:v>
      </x:c>
      <x:c r="H682" s="12" t="n">
        <x:f>IF(SUM(I682:K682)&gt;0,1,0)</x:f>
        <x:v>0</x:v>
      </x:c>
      <x:c r="I682" s="12" t="n">
        <x:f>IF('患者配对'!M735="positive",1,0)</x:f>
        <x:v>0</x:v>
      </x:c>
      <x:c r="J682" s="12" t="n">
        <x:f>IF('患者配对'!R735="positive",1,0)</x:f>
        <x:v>0</x:v>
      </x:c>
      <x:c r="K682" s="12" t="n">
        <x:f>IF('患者配对'!W735="positive",1,0)</x:f>
        <x:v>0</x:v>
      </x:c>
      <x:c r="L682" s="12" t="str">
        <x:v>由原件与原状态取得；仅主队列索引</x:v>
      </x:c>
      <x:c r="M682" s="12"/>
      <x:c r="N682" s="12"/>
      <x:c r="O682" s="12"/>
    </x:row>
    <x:row r="683" ht="39" customHeight="1">
      <x:c r="A683" s="12" t="str">
        <x:v>6131</x:v>
      </x:c>
      <x:c r="B683" s="12" t="str">
        <x:v>19964</x:v>
      </x:c>
      <x:c r="C683" s="12" t="str">
        <x:v>参考000</x:v>
      </x:c>
      <x:c r="D683" s="12" t="str">
        <x:v>自动000</x:v>
      </x:c>
      <x:c r="E683" s="12" t="n">
        <x:v>0</x:v>
      </x:c>
      <x:c r="F683" s="12" t="n">
        <x:v>0</x:v>
      </x:c>
      <x:c r="G683" s="12" t="n">
        <x:v>0</x:v>
      </x:c>
      <x:c r="H683" s="12" t="n">
        <x:f>IF(SUM(I683:K683)&gt;0,1,0)</x:f>
        <x:v>0</x:v>
      </x:c>
      <x:c r="I683" s="12" t="n">
        <x:f>IF('患者配对'!M737="positive",1,0)</x:f>
        <x:v>0</x:v>
      </x:c>
      <x:c r="J683" s="12" t="n">
        <x:f>IF('患者配对'!R737="positive",1,0)</x:f>
        <x:v>0</x:v>
      </x:c>
      <x:c r="K683" s="12" t="n">
        <x:f>IF('患者配对'!W737="positive",1,0)</x:f>
        <x:v>0</x:v>
      </x:c>
      <x:c r="L683" s="12" t="str">
        <x:v>由原件与原状态取得；仅主队列索引</x:v>
      </x:c>
      <x:c r="M683" s="12"/>
      <x:c r="N683" s="12"/>
      <x:c r="O683" s="12"/>
    </x:row>
    <x:row r="684" ht="39" customHeight="1">
      <x:c r="A684" s="12" t="str">
        <x:v>6132</x:v>
      </x:c>
      <x:c r="B684" s="12" t="str">
        <x:v>5651</x:v>
      </x:c>
      <x:c r="C684" s="12" t="str">
        <x:v>参考000</x:v>
      </x:c>
      <x:c r="D684" s="12" t="str">
        <x:v>自动000</x:v>
      </x:c>
      <x:c r="E684" s="12" t="n">
        <x:v>0</x:v>
      </x:c>
      <x:c r="F684" s="12" t="n">
        <x:v>0</x:v>
      </x:c>
      <x:c r="G684" s="12" t="n">
        <x:v>0</x:v>
      </x:c>
      <x:c r="H684" s="12" t="n">
        <x:f>IF(SUM(I684:K684)&gt;0,1,0)</x:f>
        <x:v>0</x:v>
      </x:c>
      <x:c r="I684" s="12" t="n">
        <x:f>IF('患者配对'!M738="positive",1,0)</x:f>
        <x:v>0</x:v>
      </x:c>
      <x:c r="J684" s="12" t="n">
        <x:f>IF('患者配对'!R738="positive",1,0)</x:f>
        <x:v>0</x:v>
      </x:c>
      <x:c r="K684" s="12" t="n">
        <x:f>IF('患者配对'!W738="positive",1,0)</x:f>
        <x:v>0</x:v>
      </x:c>
      <x:c r="L684" s="12" t="str">
        <x:v>由原件与原状态取得；仅主队列索引</x:v>
      </x:c>
      <x:c r="M684" s="12"/>
      <x:c r="N684" s="12"/>
      <x:c r="O684" s="12"/>
    </x:row>
    <x:row r="685" ht="39" customHeight="1">
      <x:c r="A685" s="12" t="str">
        <x:v>6141</x:v>
      </x:c>
      <x:c r="B685" s="12" t="str">
        <x:v>1933</x:v>
      </x:c>
      <x:c r="C685" s="12" t="str">
        <x:v>参考000</x:v>
      </x:c>
      <x:c r="D685" s="12" t="str">
        <x:v>自动000</x:v>
      </x:c>
      <x:c r="E685" s="12" t="n">
        <x:v>0</x:v>
      </x:c>
      <x:c r="F685" s="12" t="n">
        <x:v>0</x:v>
      </x:c>
      <x:c r="G685" s="12" t="n">
        <x:v>0</x:v>
      </x:c>
      <x:c r="H685" s="12" t="n">
        <x:f>IF(SUM(I685:K685)&gt;0,1,0)</x:f>
        <x:v>0</x:v>
      </x:c>
      <x:c r="I685" s="12" t="n">
        <x:f>IF('患者配对'!M739="positive",1,0)</x:f>
        <x:v>0</x:v>
      </x:c>
      <x:c r="J685" s="12" t="n">
        <x:f>IF('患者配对'!R739="positive",1,0)</x:f>
        <x:v>0</x:v>
      </x:c>
      <x:c r="K685" s="12" t="n">
        <x:f>IF('患者配对'!W739="positive",1,0)</x:f>
        <x:v>0</x:v>
      </x:c>
      <x:c r="L685" s="12" t="str">
        <x:v>由原件与原状态取得；仅主队列索引</x:v>
      </x:c>
      <x:c r="M685" s="12"/>
      <x:c r="N685" s="12"/>
      <x:c r="O685" s="12"/>
    </x:row>
    <x:row r="686" ht="39" customHeight="1">
      <x:c r="A686" s="12" t="str">
        <x:v>6154</x:v>
      </x:c>
      <x:c r="B686" s="12" t="str">
        <x:v>7228</x:v>
      </x:c>
      <x:c r="C686" s="12" t="str">
        <x:v>参考010</x:v>
      </x:c>
      <x:c r="D686" s="12" t="str">
        <x:v>自动000</x:v>
      </x:c>
      <x:c r="E686" s="12" t="n">
        <x:v>0</x:v>
      </x:c>
      <x:c r="F686" s="12" t="n">
        <x:v>1</x:v>
      </x:c>
      <x:c r="G686" s="12" t="n">
        <x:v>1</x:v>
      </x:c>
      <x:c r="H686" s="12" t="n">
        <x:f>IF(SUM(I686:K686)&gt;0,1,0)</x:f>
        <x:v>1</x:v>
      </x:c>
      <x:c r="I686" s="12" t="n">
        <x:f>IF('患者配对'!M741="positive",1,0)</x:f>
        <x:v>0</x:v>
      </x:c>
      <x:c r="J686" s="12" t="n">
        <x:f>IF('患者配对'!R741="positive",1,0)</x:f>
        <x:v>1</x:v>
      </x:c>
      <x:c r="K686" s="12" t="n">
        <x:f>IF('患者配对'!W741="positive",1,0)</x:f>
        <x:v>0</x:v>
      </x:c>
      <x:c r="L686" s="12" t="str">
        <x:v>由原件与原状态取得；仅主队列索引</x:v>
      </x:c>
      <x:c r="M686" s="12"/>
      <x:c r="N686" s="12"/>
      <x:c r="O686" s="12"/>
    </x:row>
    <x:row r="687" ht="39" customHeight="1">
      <x:c r="A687" s="12" t="str">
        <x:v>6174</x:v>
      </x:c>
      <x:c r="B687" s="12" t="str">
        <x:v>19919</x:v>
      </x:c>
      <x:c r="C687" s="12" t="str">
        <x:v>参考010</x:v>
      </x:c>
      <x:c r="D687" s="12" t="str">
        <x:v>自动010</x:v>
      </x:c>
      <x:c r="E687" s="12" t="n">
        <x:v>1</x:v>
      </x:c>
      <x:c r="F687" s="12" t="n">
        <x:v>1</x:v>
      </x:c>
      <x:c r="G687" s="12" t="n">
        <x:v>0</x:v>
      </x:c>
      <x:c r="H687" s="12" t="n">
        <x:f>IF(SUM(I687:K687)&gt;0,1,0)</x:f>
        <x:v>1</x:v>
      </x:c>
      <x:c r="I687" s="12" t="n">
        <x:f>IF('患者配对'!M742="positive",1,0)</x:f>
        <x:v>0</x:v>
      </x:c>
      <x:c r="J687" s="12" t="n">
        <x:f>IF('患者配对'!R742="positive",1,0)</x:f>
        <x:v>1</x:v>
      </x:c>
      <x:c r="K687" s="12" t="n">
        <x:f>IF('患者配对'!W742="positive",1,0)</x:f>
        <x:v>0</x:v>
      </x:c>
      <x:c r="L687" s="12" t="str">
        <x:v>由原件与原状态取得；仅主队列索引</x:v>
      </x:c>
      <x:c r="M687" s="12"/>
      <x:c r="N687" s="12"/>
      <x:c r="O687" s="12"/>
    </x:row>
    <x:row r="688" ht="39" customHeight="1">
      <x:c r="A688" s="12" t="str">
        <x:v>6180</x:v>
      </x:c>
      <x:c r="B688" s="12" t="str">
        <x:v>5025</x:v>
      </x:c>
      <x:c r="C688" s="12" t="str">
        <x:v>参考000</x:v>
      </x:c>
      <x:c r="D688" s="12" t="str">
        <x:v>自动000</x:v>
      </x:c>
      <x:c r="E688" s="12" t="n">
        <x:v>0</x:v>
      </x:c>
      <x:c r="F688" s="12" t="n">
        <x:v>0</x:v>
      </x:c>
      <x:c r="G688" s="12" t="n">
        <x:v>0</x:v>
      </x:c>
      <x:c r="H688" s="12" t="n">
        <x:f>IF(SUM(I688:K688)&gt;0,1,0)</x:f>
        <x:v>0</x:v>
      </x:c>
      <x:c r="I688" s="12" t="n">
        <x:f>IF('患者配对'!M743="positive",1,0)</x:f>
        <x:v>0</x:v>
      </x:c>
      <x:c r="J688" s="12" t="n">
        <x:f>IF('患者配对'!R743="positive",1,0)</x:f>
        <x:v>0</x:v>
      </x:c>
      <x:c r="K688" s="12" t="n">
        <x:f>IF('患者配对'!W743="positive",1,0)</x:f>
        <x:v>0</x:v>
      </x:c>
      <x:c r="L688" s="12" t="str">
        <x:v>由原件与原状态取得；仅主队列索引</x:v>
      </x:c>
      <x:c r="M688" s="12"/>
      <x:c r="N688" s="12"/>
      <x:c r="O688" s="12"/>
    </x:row>
    <x:row r="689" ht="39" customHeight="1">
      <x:c r="A689" s="12" t="str">
        <x:v>6186</x:v>
      </x:c>
      <x:c r="B689" s="12" t="str">
        <x:v>6347</x:v>
      </x:c>
      <x:c r="C689" s="12" t="str">
        <x:v>参考100</x:v>
      </x:c>
      <x:c r="D689" s="12" t="str">
        <x:v>自动100</x:v>
      </x:c>
      <x:c r="E689" s="12" t="n">
        <x:v>1</x:v>
      </x:c>
      <x:c r="F689" s="12" t="n">
        <x:v>1</x:v>
      </x:c>
      <x:c r="G689" s="12" t="n">
        <x:v>0</x:v>
      </x:c>
      <x:c r="H689" s="12" t="n">
        <x:f>IF(SUM(I689:K689)&gt;0,1,0)</x:f>
        <x:v>1</x:v>
      </x:c>
      <x:c r="I689" s="12" t="n">
        <x:f>IF('患者配对'!M744="positive",1,0)</x:f>
        <x:v>1</x:v>
      </x:c>
      <x:c r="J689" s="12" t="n">
        <x:f>IF('患者配对'!R744="positive",1,0)</x:f>
        <x:v>0</x:v>
      </x:c>
      <x:c r="K689" s="12" t="n">
        <x:f>IF('患者配对'!W744="positive",1,0)</x:f>
        <x:v>0</x:v>
      </x:c>
      <x:c r="L689" s="12" t="str">
        <x:v>由原件与原状态取得；仅主队列索引</x:v>
      </x:c>
      <x:c r="M689" s="12"/>
      <x:c r="N689" s="12"/>
      <x:c r="O689" s="12"/>
    </x:row>
    <x:row r="690" ht="39" customHeight="1">
      <x:c r="A690" s="12" t="str">
        <x:v>6188</x:v>
      </x:c>
      <x:c r="B690" s="12" t="str">
        <x:v>10619</x:v>
      </x:c>
      <x:c r="C690" s="12" t="str">
        <x:v>参考000</x:v>
      </x:c>
      <x:c r="D690" s="12" t="str">
        <x:v>自动000</x:v>
      </x:c>
      <x:c r="E690" s="12" t="n">
        <x:v>0</x:v>
      </x:c>
      <x:c r="F690" s="12" t="n">
        <x:v>0</x:v>
      </x:c>
      <x:c r="G690" s="12" t="n">
        <x:v>0</x:v>
      </x:c>
      <x:c r="H690" s="12" t="n">
        <x:f>IF(SUM(I690:K690)&gt;0,1,0)</x:f>
        <x:v>0</x:v>
      </x:c>
      <x:c r="I690" s="12" t="n">
        <x:f>IF('患者配对'!M745="positive",1,0)</x:f>
        <x:v>0</x:v>
      </x:c>
      <x:c r="J690" s="12" t="n">
        <x:f>IF('患者配对'!R745="positive",1,0)</x:f>
        <x:v>0</x:v>
      </x:c>
      <x:c r="K690" s="12" t="n">
        <x:f>IF('患者配对'!W745="positive",1,0)</x:f>
        <x:v>0</x:v>
      </x:c>
      <x:c r="L690" s="12" t="str">
        <x:v>由原件与原状态取得；仅主队列索引</x:v>
      </x:c>
      <x:c r="M690" s="12"/>
      <x:c r="N690" s="12"/>
      <x:c r="O690" s="12"/>
    </x:row>
    <x:row r="691" ht="39" customHeight="1">
      <x:c r="A691" s="12" t="str">
        <x:v>6189</x:v>
      </x:c>
      <x:c r="B691" s="12" t="str">
        <x:v>14094</x:v>
      </x:c>
      <x:c r="C691" s="12" t="str">
        <x:v>参考000</x:v>
      </x:c>
      <x:c r="D691" s="12" t="str">
        <x:v>自动000</x:v>
      </x:c>
      <x:c r="E691" s="12" t="n">
        <x:v>0</x:v>
      </x:c>
      <x:c r="F691" s="12" t="n">
        <x:v>0</x:v>
      </x:c>
      <x:c r="G691" s="12" t="n">
        <x:v>0</x:v>
      </x:c>
      <x:c r="H691" s="12" t="n">
        <x:f>IF(SUM(I691:K691)&gt;0,1,0)</x:f>
        <x:v>0</x:v>
      </x:c>
      <x:c r="I691" s="12" t="n">
        <x:f>IF('患者配对'!M746="positive",1,0)</x:f>
        <x:v>0</x:v>
      </x:c>
      <x:c r="J691" s="12" t="n">
        <x:f>IF('患者配对'!R746="positive",1,0)</x:f>
        <x:v>0</x:v>
      </x:c>
      <x:c r="K691" s="12" t="n">
        <x:f>IF('患者配对'!W746="positive",1,0)</x:f>
        <x:v>0</x:v>
      </x:c>
      <x:c r="L691" s="12" t="str">
        <x:v>由原件与原状态取得；仅主队列索引</x:v>
      </x:c>
      <x:c r="M691" s="12"/>
      <x:c r="N691" s="12"/>
      <x:c r="O691" s="12"/>
    </x:row>
    <x:row r="692" ht="39" customHeight="1">
      <x:c r="A692" s="12" t="str">
        <x:v>6190</x:v>
      </x:c>
      <x:c r="B692" s="12" t="str">
        <x:v>13221</x:v>
      </x:c>
      <x:c r="C692" s="12" t="str">
        <x:v>参考000</x:v>
      </x:c>
      <x:c r="D692" s="12" t="str">
        <x:v>自动000</x:v>
      </x:c>
      <x:c r="E692" s="12" t="n">
        <x:v>0</x:v>
      </x:c>
      <x:c r="F692" s="12" t="n">
        <x:v>1</x:v>
      </x:c>
      <x:c r="G692" s="12" t="n">
        <x:v>0</x:v>
      </x:c>
      <x:c r="H692" s="12" t="n">
        <x:f>IF(SUM(I692:K692)&gt;0,1,0)</x:f>
        <x:v>0</x:v>
      </x:c>
      <x:c r="I692" s="12" t="n">
        <x:f>IF('患者配对'!M747="positive",1,0)</x:f>
        <x:v>0</x:v>
      </x:c>
      <x:c r="J692" s="12" t="n">
        <x:f>IF('患者配对'!R747="positive",1,0)</x:f>
        <x:v>0</x:v>
      </x:c>
      <x:c r="K692" s="12" t="n">
        <x:f>IF('患者配对'!W747="positive",1,0)</x:f>
        <x:v>0</x:v>
      </x:c>
      <x:c r="L692" s="12" t="str">
        <x:v>由原件与原状态取得；仅主队列索引</x:v>
      </x:c>
      <x:c r="M692" s="12"/>
      <x:c r="N692" s="12"/>
      <x:c r="O692" s="12"/>
    </x:row>
    <x:row r="693" ht="39" customHeight="1">
      <x:c r="A693" s="12" t="str">
        <x:v>6192</x:v>
      </x:c>
      <x:c r="B693" s="12" t="str">
        <x:v>14698</x:v>
      </x:c>
      <x:c r="C693" s="12" t="str">
        <x:v>参考000</x:v>
      </x:c>
      <x:c r="D693" s="12" t="str">
        <x:v>自动000</x:v>
      </x:c>
      <x:c r="E693" s="12" t="n">
        <x:v>0</x:v>
      </x:c>
      <x:c r="F693" s="12" t="n">
        <x:v>1</x:v>
      </x:c>
      <x:c r="G693" s="12" t="n">
        <x:v>0</x:v>
      </x:c>
      <x:c r="H693" s="12" t="n">
        <x:f>IF(SUM(I693:K693)&gt;0,1,0)</x:f>
        <x:v>0</x:v>
      </x:c>
      <x:c r="I693" s="12" t="n">
        <x:f>IF('患者配对'!M748="positive",1,0)</x:f>
        <x:v>0</x:v>
      </x:c>
      <x:c r="J693" s="12" t="n">
        <x:f>IF('患者配对'!R748="positive",1,0)</x:f>
        <x:v>0</x:v>
      </x:c>
      <x:c r="K693" s="12" t="n">
        <x:f>IF('患者配对'!W748="positive",1,0)</x:f>
        <x:v>0</x:v>
      </x:c>
      <x:c r="L693" s="12" t="str">
        <x:v>由原件与原状态取得；仅主队列索引</x:v>
      </x:c>
      <x:c r="M693" s="12"/>
      <x:c r="N693" s="12"/>
      <x:c r="O693" s="12"/>
    </x:row>
    <x:row r="694" ht="39" customHeight="1">
      <x:c r="A694" s="12" t="str">
        <x:v>6200</x:v>
      </x:c>
      <x:c r="B694" s="12" t="str">
        <x:v>11258</x:v>
      </x:c>
      <x:c r="C694" s="12" t="str">
        <x:v>参考000</x:v>
      </x:c>
      <x:c r="D694" s="12" t="str">
        <x:v>自动000</x:v>
      </x:c>
      <x:c r="E694" s="12" t="n">
        <x:v>0</x:v>
      </x:c>
      <x:c r="F694" s="12" t="n">
        <x:v>0</x:v>
      </x:c>
      <x:c r="G694" s="12" t="n">
        <x:v>0</x:v>
      </x:c>
      <x:c r="H694" s="12" t="n">
        <x:f>IF(SUM(I694:K694)&gt;0,1,0)</x:f>
        <x:v>0</x:v>
      </x:c>
      <x:c r="I694" s="12" t="n">
        <x:f>IF('患者配对'!M749="positive",1,0)</x:f>
        <x:v>0</x:v>
      </x:c>
      <x:c r="J694" s="12" t="n">
        <x:f>IF('患者配对'!R749="positive",1,0)</x:f>
        <x:v>0</x:v>
      </x:c>
      <x:c r="K694" s="12" t="n">
        <x:f>IF('患者配对'!W749="positive",1,0)</x:f>
        <x:v>0</x:v>
      </x:c>
      <x:c r="L694" s="12" t="str">
        <x:v>由原件与原状态取得；仅主队列索引</x:v>
      </x:c>
      <x:c r="M694" s="12"/>
      <x:c r="N694" s="12"/>
      <x:c r="O694" s="12"/>
    </x:row>
    <x:row r="695" ht="39" customHeight="1">
      <x:c r="A695" s="12" t="str">
        <x:v>6207</x:v>
      </x:c>
      <x:c r="B695" s="12" t="str">
        <x:v>7968</x:v>
      </x:c>
      <x:c r="C695" s="12" t="str">
        <x:v>参考000</x:v>
      </x:c>
      <x:c r="D695" s="12" t="str">
        <x:v>自动000</x:v>
      </x:c>
      <x:c r="E695" s="12" t="n">
        <x:v>0</x:v>
      </x:c>
      <x:c r="F695" s="12" t="n">
        <x:v>1</x:v>
      </x:c>
      <x:c r="G695" s="12" t="n">
        <x:v>0</x:v>
      </x:c>
      <x:c r="H695" s="12" t="n">
        <x:f>IF(SUM(I695:K695)&gt;0,1,0)</x:f>
        <x:v>0</x:v>
      </x:c>
      <x:c r="I695" s="12" t="n">
        <x:f>IF('患者配对'!M751="positive",1,0)</x:f>
        <x:v>0</x:v>
      </x:c>
      <x:c r="J695" s="12" t="n">
        <x:f>IF('患者配对'!R751="positive",1,0)</x:f>
        <x:v>0</x:v>
      </x:c>
      <x:c r="K695" s="12" t="n">
        <x:f>IF('患者配对'!W751="positive",1,0)</x:f>
        <x:v>0</x:v>
      </x:c>
      <x:c r="L695" s="12" t="str">
        <x:v>由原件与原状态取得；仅主队列索引</x:v>
      </x:c>
      <x:c r="M695" s="12"/>
      <x:c r="N695" s="12"/>
      <x:c r="O695" s="12"/>
    </x:row>
    <x:row r="696" ht="39" customHeight="1">
      <x:c r="A696" s="12" t="str">
        <x:v>6211</x:v>
      </x:c>
      <x:c r="B696" s="12" t="str">
        <x:v>17774</x:v>
      </x:c>
      <x:c r="C696" s="12" t="str">
        <x:v>参考000</x:v>
      </x:c>
      <x:c r="D696" s="12" t="str">
        <x:v>自动000</x:v>
      </x:c>
      <x:c r="E696" s="12" t="n">
        <x:v>0</x:v>
      </x:c>
      <x:c r="F696" s="12" t="n">
        <x:v>0</x:v>
      </x:c>
      <x:c r="G696" s="12" t="n">
        <x:v>0</x:v>
      </x:c>
      <x:c r="H696" s="12" t="n">
        <x:f>IF(SUM(I696:K696)&gt;0,1,0)</x:f>
        <x:v>0</x:v>
      </x:c>
      <x:c r="I696" s="12" t="n">
        <x:f>IF('患者配对'!M754="positive",1,0)</x:f>
        <x:v>0</x:v>
      </x:c>
      <x:c r="J696" s="12" t="n">
        <x:f>IF('患者配对'!R754="positive",1,0)</x:f>
        <x:v>0</x:v>
      </x:c>
      <x:c r="K696" s="12" t="n">
        <x:f>IF('患者配对'!W754="positive",1,0)</x:f>
        <x:v>0</x:v>
      </x:c>
      <x:c r="L696" s="12" t="str">
        <x:v>由原件与原状态取得；仅主队列索引</x:v>
      </x:c>
      <x:c r="M696" s="12"/>
      <x:c r="N696" s="12"/>
      <x:c r="O696" s="12"/>
    </x:row>
    <x:row r="697" ht="39" customHeight="1">
      <x:c r="A697" s="12" t="str">
        <x:v>6222</x:v>
      </x:c>
      <x:c r="B697" s="12" t="str">
        <x:v>8204</x:v>
      </x:c>
      <x:c r="C697" s="12" t="str">
        <x:v>参考000</x:v>
      </x:c>
      <x:c r="D697" s="12" t="str">
        <x:v>自动000</x:v>
      </x:c>
      <x:c r="E697" s="12" t="n">
        <x:v>0</x:v>
      </x:c>
      <x:c r="F697" s="12" t="n">
        <x:v>0</x:v>
      </x:c>
      <x:c r="G697" s="12" t="n">
        <x:v>0</x:v>
      </x:c>
      <x:c r="H697" s="12" t="n">
        <x:f>IF(SUM(I697:K697)&gt;0,1,0)</x:f>
        <x:v>0</x:v>
      </x:c>
      <x:c r="I697" s="12" t="n">
        <x:f>IF('患者配对'!M755="positive",1,0)</x:f>
        <x:v>0</x:v>
      </x:c>
      <x:c r="J697" s="12" t="n">
        <x:f>IF('患者配对'!R755="positive",1,0)</x:f>
        <x:v>0</x:v>
      </x:c>
      <x:c r="K697" s="12" t="n">
        <x:f>IF('患者配对'!W755="positive",1,0)</x:f>
        <x:v>0</x:v>
      </x:c>
      <x:c r="L697" s="12" t="str">
        <x:v>由原件与原状态取得；仅主队列索引</x:v>
      </x:c>
      <x:c r="M697" s="12"/>
      <x:c r="N697" s="12"/>
      <x:c r="O697" s="12"/>
    </x:row>
    <x:row r="698" ht="39" customHeight="1">
      <x:c r="A698" s="12" t="str">
        <x:v>6224</x:v>
      </x:c>
      <x:c r="B698" s="12" t="str">
        <x:v>17225</x:v>
      </x:c>
      <x:c r="C698" s="12" t="str">
        <x:v>参考000</x:v>
      </x:c>
      <x:c r="D698" s="12" t="str">
        <x:v>自动000</x:v>
      </x:c>
      <x:c r="E698" s="12" t="n">
        <x:v>0</x:v>
      </x:c>
      <x:c r="F698" s="12" t="n">
        <x:v>0</x:v>
      </x:c>
      <x:c r="G698" s="12" t="n">
        <x:v>0</x:v>
      </x:c>
      <x:c r="H698" s="12" t="n">
        <x:f>IF(SUM(I698:K698)&gt;0,1,0)</x:f>
        <x:v>0</x:v>
      </x:c>
      <x:c r="I698" s="12" t="n">
        <x:f>IF('患者配对'!M756="positive",1,0)</x:f>
        <x:v>0</x:v>
      </x:c>
      <x:c r="J698" s="12" t="n">
        <x:f>IF('患者配对'!R756="positive",1,0)</x:f>
        <x:v>0</x:v>
      </x:c>
      <x:c r="K698" s="12" t="n">
        <x:f>IF('患者配对'!W756="positive",1,0)</x:f>
        <x:v>0</x:v>
      </x:c>
      <x:c r="L698" s="12" t="str">
        <x:v>由原件与原状态取得；仅主队列索引</x:v>
      </x:c>
      <x:c r="M698" s="12"/>
      <x:c r="N698" s="12"/>
      <x:c r="O698" s="12"/>
    </x:row>
    <x:row r="699" ht="39" customHeight="1">
      <x:c r="A699" s="12" t="str">
        <x:v>6227</x:v>
      </x:c>
      <x:c r="B699" s="12" t="str">
        <x:v>15999</x:v>
      </x:c>
      <x:c r="C699" s="12" t="str">
        <x:v>参考000</x:v>
      </x:c>
      <x:c r="D699" s="12" t="str">
        <x:v>自动000</x:v>
      </x:c>
      <x:c r="E699" s="12" t="n">
        <x:v>0</x:v>
      </x:c>
      <x:c r="F699" s="12" t="n">
        <x:v>1</x:v>
      </x:c>
      <x:c r="G699" s="12" t="n">
        <x:v>0</x:v>
      </x:c>
      <x:c r="H699" s="12" t="n">
        <x:f>IF(SUM(I699:K699)&gt;0,1,0)</x:f>
        <x:v>0</x:v>
      </x:c>
      <x:c r="I699" s="12" t="n">
        <x:f>IF('患者配对'!M757="positive",1,0)</x:f>
        <x:v>0</x:v>
      </x:c>
      <x:c r="J699" s="12" t="n">
        <x:f>IF('患者配对'!R757="positive",1,0)</x:f>
        <x:v>0</x:v>
      </x:c>
      <x:c r="K699" s="12" t="n">
        <x:f>IF('患者配对'!W757="positive",1,0)</x:f>
        <x:v>0</x:v>
      </x:c>
      <x:c r="L699" s="12" t="str">
        <x:v>由原件与原状态取得；仅主队列索引</x:v>
      </x:c>
      <x:c r="M699" s="12"/>
      <x:c r="N699" s="12"/>
      <x:c r="O699" s="12"/>
    </x:row>
    <x:row r="700" ht="39" customHeight="1">
      <x:c r="A700" s="12" t="str">
        <x:v>6229</x:v>
      </x:c>
      <x:c r="B700" s="12" t="str">
        <x:v>17805</x:v>
      </x:c>
      <x:c r="C700" s="12" t="str">
        <x:v>参考100</x:v>
      </x:c>
      <x:c r="D700" s="12" t="str">
        <x:v>自动000</x:v>
      </x:c>
      <x:c r="E700" s="12" t="n">
        <x:v>0</x:v>
      </x:c>
      <x:c r="F700" s="12" t="n">
        <x:v>0</x:v>
      </x:c>
      <x:c r="G700" s="12" t="n">
        <x:v>1</x:v>
      </x:c>
      <x:c r="H700" s="12" t="n">
        <x:f>IF(SUM(I700:K700)&gt;0,1,0)</x:f>
        <x:v>1</x:v>
      </x:c>
      <x:c r="I700" s="12" t="n">
        <x:f>IF('患者配对'!M758="positive",1,0)</x:f>
        <x:v>1</x:v>
      </x:c>
      <x:c r="J700" s="12" t="n">
        <x:f>IF('患者配对'!R758="positive",1,0)</x:f>
        <x:v>0</x:v>
      </x:c>
      <x:c r="K700" s="12" t="n">
        <x:f>IF('患者配对'!W758="positive",1,0)</x:f>
        <x:v>0</x:v>
      </x:c>
      <x:c r="L700" s="12" t="str">
        <x:v>由原件与原状态取得；仅主队列索引</x:v>
      </x:c>
      <x:c r="M700" s="12"/>
      <x:c r="N700" s="12"/>
      <x:c r="O700" s="12"/>
    </x:row>
    <x:row r="701" ht="39" customHeight="1">
      <x:c r="A701" s="12" t="str">
        <x:v>6230</x:v>
      </x:c>
      <x:c r="B701" s="12" t="str">
        <x:v>20683</x:v>
      </x:c>
      <x:c r="C701" s="12" t="str">
        <x:v>参考000</x:v>
      </x:c>
      <x:c r="D701" s="12" t="str">
        <x:v>自动000</x:v>
      </x:c>
      <x:c r="E701" s="12" t="n">
        <x:v>0</x:v>
      </x:c>
      <x:c r="F701" s="12" t="n">
        <x:v>0</x:v>
      </x:c>
      <x:c r="G701" s="12" t="n">
        <x:v>0</x:v>
      </x:c>
      <x:c r="H701" s="12" t="n">
        <x:f>IF(SUM(I701:K701)&gt;0,1,0)</x:f>
        <x:v>0</x:v>
      </x:c>
      <x:c r="I701" s="12" t="n">
        <x:f>IF('患者配对'!M759="positive",1,0)</x:f>
        <x:v>0</x:v>
      </x:c>
      <x:c r="J701" s="12" t="n">
        <x:f>IF('患者配对'!R759="positive",1,0)</x:f>
        <x:v>0</x:v>
      </x:c>
      <x:c r="K701" s="12" t="n">
        <x:f>IF('患者配对'!W759="positive",1,0)</x:f>
        <x:v>0</x:v>
      </x:c>
      <x:c r="L701" s="12" t="str">
        <x:v>由原件与原状态取得；仅主队列索引</x:v>
      </x:c>
      <x:c r="M701" s="12"/>
      <x:c r="N701" s="12"/>
      <x:c r="O701" s="12"/>
    </x:row>
    <x:row r="702" ht="39" customHeight="1">
      <x:c r="A702" s="12" t="str">
        <x:v>6231</x:v>
      </x:c>
      <x:c r="B702" s="12" t="str">
        <x:v>10187</x:v>
      </x:c>
      <x:c r="C702" s="12" t="str">
        <x:v>参考000</x:v>
      </x:c>
      <x:c r="D702" s="12" t="str">
        <x:v>自动000</x:v>
      </x:c>
      <x:c r="E702" s="12" t="n">
        <x:v>0</x:v>
      </x:c>
      <x:c r="F702" s="12" t="n">
        <x:v>0</x:v>
      </x:c>
      <x:c r="G702" s="12" t="n">
        <x:v>0</x:v>
      </x:c>
      <x:c r="H702" s="12" t="n">
        <x:f>IF(SUM(I702:K702)&gt;0,1,0)</x:f>
        <x:v>0</x:v>
      </x:c>
      <x:c r="I702" s="12" t="n">
        <x:f>IF('患者配对'!M760="positive",1,0)</x:f>
        <x:v>0</x:v>
      </x:c>
      <x:c r="J702" s="12" t="n">
        <x:f>IF('患者配对'!R760="positive",1,0)</x:f>
        <x:v>0</x:v>
      </x:c>
      <x:c r="K702" s="12" t="n">
        <x:f>IF('患者配对'!W760="positive",1,0)</x:f>
        <x:v>0</x:v>
      </x:c>
      <x:c r="L702" s="12" t="str">
        <x:v>由原件与原状态取得；仅主队列索引</x:v>
      </x:c>
      <x:c r="M702" s="12"/>
      <x:c r="N702" s="12"/>
      <x:c r="O702" s="12"/>
    </x:row>
    <x:row r="703" ht="39" customHeight="1">
      <x:c r="A703" s="12" t="str">
        <x:v>6235</x:v>
      </x:c>
      <x:c r="B703" s="12" t="str">
        <x:v>16111</x:v>
      </x:c>
      <x:c r="C703" s="12" t="str">
        <x:v>参考000</x:v>
      </x:c>
      <x:c r="D703" s="12" t="str">
        <x:v>自动000</x:v>
      </x:c>
      <x:c r="E703" s="12" t="n">
        <x:v>0</x:v>
      </x:c>
      <x:c r="F703" s="12" t="n">
        <x:v>0</x:v>
      </x:c>
      <x:c r="G703" s="12" t="n">
        <x:v>0</x:v>
      </x:c>
      <x:c r="H703" s="12" t="n">
        <x:f>IF(SUM(I703:K703)&gt;0,1,0)</x:f>
        <x:v>0</x:v>
      </x:c>
      <x:c r="I703" s="12" t="n">
        <x:f>IF('患者配对'!M761="positive",1,0)</x:f>
        <x:v>0</x:v>
      </x:c>
      <x:c r="J703" s="12" t="n">
        <x:f>IF('患者配对'!R761="positive",1,0)</x:f>
        <x:v>0</x:v>
      </x:c>
      <x:c r="K703" s="12" t="n">
        <x:f>IF('患者配对'!W761="positive",1,0)</x:f>
        <x:v>0</x:v>
      </x:c>
      <x:c r="L703" s="12" t="str">
        <x:v>由原件与原状态取得；仅主队列索引</x:v>
      </x:c>
      <x:c r="M703" s="12"/>
      <x:c r="N703" s="12"/>
      <x:c r="O703" s="12"/>
    </x:row>
    <x:row r="704" ht="39" customHeight="1">
      <x:c r="A704" s="12" t="str">
        <x:v>6239</x:v>
      </x:c>
      <x:c r="B704" s="12" t="str">
        <x:v>17799</x:v>
      </x:c>
      <x:c r="C704" s="12" t="str">
        <x:v>参考000</x:v>
      </x:c>
      <x:c r="D704" s="12" t="str">
        <x:v>自动000</x:v>
      </x:c>
      <x:c r="E704" s="12" t="n">
        <x:v>0</x:v>
      </x:c>
      <x:c r="F704" s="12" t="n">
        <x:v>0</x:v>
      </x:c>
      <x:c r="G704" s="12" t="n">
        <x:v>0</x:v>
      </x:c>
      <x:c r="H704" s="12" t="n">
        <x:f>IF(SUM(I704:K704)&gt;0,1,0)</x:f>
        <x:v>0</x:v>
      </x:c>
      <x:c r="I704" s="12" t="n">
        <x:f>IF('患者配对'!M762="positive",1,0)</x:f>
        <x:v>0</x:v>
      </x:c>
      <x:c r="J704" s="12" t="n">
        <x:f>IF('患者配对'!R762="positive",1,0)</x:f>
        <x:v>0</x:v>
      </x:c>
      <x:c r="K704" s="12" t="n">
        <x:f>IF('患者配对'!W762="positive",1,0)</x:f>
        <x:v>0</x:v>
      </x:c>
      <x:c r="L704" s="12" t="str">
        <x:v>由原件与原状态取得；仅主队列索引</x:v>
      </x:c>
      <x:c r="M704" s="12"/>
      <x:c r="N704" s="12"/>
      <x:c r="O704" s="12"/>
    </x:row>
    <x:row r="705" ht="39" customHeight="1">
      <x:c r="A705" s="12" t="str">
        <x:v>6251</x:v>
      </x:c>
      <x:c r="B705" s="12" t="str">
        <x:v>10300</x:v>
      </x:c>
      <x:c r="C705" s="12" t="str">
        <x:v>参考000</x:v>
      </x:c>
      <x:c r="D705" s="12" t="str">
        <x:v>自动000</x:v>
      </x:c>
      <x:c r="E705" s="12" t="n">
        <x:v>0</x:v>
      </x:c>
      <x:c r="F705" s="12" t="n">
        <x:v>0</x:v>
      </x:c>
      <x:c r="G705" s="12" t="n">
        <x:v>0</x:v>
      </x:c>
      <x:c r="H705" s="12" t="n">
        <x:f>IF(SUM(I705:K705)&gt;0,1,0)</x:f>
        <x:v>0</x:v>
      </x:c>
      <x:c r="I705" s="12" t="n">
        <x:f>IF('患者配对'!M763="positive",1,0)</x:f>
        <x:v>0</x:v>
      </x:c>
      <x:c r="J705" s="12" t="n">
        <x:f>IF('患者配对'!R763="positive",1,0)</x:f>
        <x:v>0</x:v>
      </x:c>
      <x:c r="K705" s="12" t="n">
        <x:f>IF('患者配对'!W763="positive",1,0)</x:f>
        <x:v>0</x:v>
      </x:c>
      <x:c r="L705" s="12" t="str">
        <x:v>由原件与原状态取得；仅主队列索引</x:v>
      </x:c>
      <x:c r="M705" s="12"/>
      <x:c r="N705" s="12"/>
      <x:c r="O705" s="12"/>
    </x:row>
    <x:row r="706" ht="39" customHeight="1">
      <x:c r="A706" s="12" t="str">
        <x:v>6262</x:v>
      </x:c>
      <x:c r="B706" s="12" t="str">
        <x:v>21143</x:v>
      </x:c>
      <x:c r="C706" s="12" t="str">
        <x:v>参考000</x:v>
      </x:c>
      <x:c r="D706" s="12" t="str">
        <x:v>自动000</x:v>
      </x:c>
      <x:c r="E706" s="12" t="n">
        <x:v>0</x:v>
      </x:c>
      <x:c r="F706" s="12" t="n">
        <x:v>1</x:v>
      </x:c>
      <x:c r="G706" s="12" t="n">
        <x:v>0</x:v>
      </x:c>
      <x:c r="H706" s="12" t="n">
        <x:f>IF(SUM(I706:K706)&gt;0,1,0)</x:f>
        <x:v>0</x:v>
      </x:c>
      <x:c r="I706" s="12" t="n">
        <x:f>IF('患者配对'!M764="positive",1,0)</x:f>
        <x:v>0</x:v>
      </x:c>
      <x:c r="J706" s="12" t="n">
        <x:f>IF('患者配对'!R764="positive",1,0)</x:f>
        <x:v>0</x:v>
      </x:c>
      <x:c r="K706" s="12" t="n">
        <x:f>IF('患者配对'!W764="positive",1,0)</x:f>
        <x:v>0</x:v>
      </x:c>
      <x:c r="L706" s="12" t="str">
        <x:v>由原件与原状态取得；仅主队列索引</x:v>
      </x:c>
      <x:c r="M706" s="12"/>
      <x:c r="N706" s="12"/>
      <x:c r="O706" s="12"/>
    </x:row>
    <x:row r="707" ht="39" customHeight="1">
      <x:c r="A707" s="12" t="str">
        <x:v>6265</x:v>
      </x:c>
      <x:c r="B707" s="12" t="str">
        <x:v>11834</x:v>
      </x:c>
      <x:c r="C707" s="12" t="str">
        <x:v>参考000</x:v>
      </x:c>
      <x:c r="D707" s="12" t="str">
        <x:v>自动000</x:v>
      </x:c>
      <x:c r="E707" s="12" t="n">
        <x:v>0</x:v>
      </x:c>
      <x:c r="F707" s="12" t="n">
        <x:v>0</x:v>
      </x:c>
      <x:c r="G707" s="12" t="n">
        <x:v>0</x:v>
      </x:c>
      <x:c r="H707" s="12" t="n">
        <x:f>IF(SUM(I707:K707)&gt;0,1,0)</x:f>
        <x:v>0</x:v>
      </x:c>
      <x:c r="I707" s="12" t="n">
        <x:f>IF('患者配对'!M765="positive",1,0)</x:f>
        <x:v>0</x:v>
      </x:c>
      <x:c r="J707" s="12" t="n">
        <x:f>IF('患者配对'!R765="positive",1,0)</x:f>
        <x:v>0</x:v>
      </x:c>
      <x:c r="K707" s="12" t="n">
        <x:f>IF('患者配对'!W765="positive",1,0)</x:f>
        <x:v>0</x:v>
      </x:c>
      <x:c r="L707" s="12" t="str">
        <x:v>由原件与原状态取得；仅主队列索引</x:v>
      </x:c>
      <x:c r="M707" s="12"/>
      <x:c r="N707" s="12"/>
      <x:c r="O707" s="12"/>
    </x:row>
    <x:row r="708" ht="39" customHeight="1">
      <x:c r="A708" s="12" t="str">
        <x:v>6283</x:v>
      </x:c>
      <x:c r="B708" s="12" t="str">
        <x:v>17680</x:v>
      </x:c>
      <x:c r="C708" s="12" t="str">
        <x:v>参考000</x:v>
      </x:c>
      <x:c r="D708" s="12" t="str">
        <x:v>自动000</x:v>
      </x:c>
      <x:c r="E708" s="12" t="n">
        <x:v>0</x:v>
      </x:c>
      <x:c r="F708" s="12" t="n">
        <x:v>0</x:v>
      </x:c>
      <x:c r="G708" s="12" t="n">
        <x:v>0</x:v>
      </x:c>
      <x:c r="H708" s="12" t="n">
        <x:f>IF(SUM(I708:K708)&gt;0,1,0)</x:f>
        <x:v>0</x:v>
      </x:c>
      <x:c r="I708" s="12" t="n">
        <x:f>IF('患者配对'!M767="positive",1,0)</x:f>
        <x:v>0</x:v>
      </x:c>
      <x:c r="J708" s="12" t="n">
        <x:f>IF('患者配对'!R767="positive",1,0)</x:f>
        <x:v>0</x:v>
      </x:c>
      <x:c r="K708" s="12" t="n">
        <x:f>IF('患者配对'!W767="positive",1,0)</x:f>
        <x:v>0</x:v>
      </x:c>
      <x:c r="L708" s="12" t="str">
        <x:v>由原件与原状态取得；仅主队列索引</x:v>
      </x:c>
      <x:c r="M708" s="12"/>
      <x:c r="N708" s="12"/>
      <x:c r="O708" s="12"/>
    </x:row>
    <x:row r="709" ht="39" customHeight="1">
      <x:c r="A709" s="12" t="str">
        <x:v>6284</x:v>
      </x:c>
      <x:c r="B709" s="12" t="str">
        <x:v>14287</x:v>
      </x:c>
      <x:c r="C709" s="12" t="str">
        <x:v>参考000</x:v>
      </x:c>
      <x:c r="D709" s="12" t="str">
        <x:v>自动000</x:v>
      </x:c>
      <x:c r="E709" s="12" t="n">
        <x:v>0</x:v>
      </x:c>
      <x:c r="F709" s="12" t="n">
        <x:v>1</x:v>
      </x:c>
      <x:c r="G709" s="12" t="n">
        <x:v>0</x:v>
      </x:c>
      <x:c r="H709" s="12" t="n">
        <x:f>IF(SUM(I709:K709)&gt;0,1,0)</x:f>
        <x:v>0</x:v>
      </x:c>
      <x:c r="I709" s="12" t="n">
        <x:f>IF('患者配对'!M768="positive",1,0)</x:f>
        <x:v>0</x:v>
      </x:c>
      <x:c r="J709" s="12" t="n">
        <x:f>IF('患者配对'!R768="positive",1,0)</x:f>
        <x:v>0</x:v>
      </x:c>
      <x:c r="K709" s="12" t="n">
        <x:f>IF('患者配对'!W768="positive",1,0)</x:f>
        <x:v>0</x:v>
      </x:c>
      <x:c r="L709" s="12" t="str">
        <x:v>由原件与原状态取得；仅主队列索引</x:v>
      </x:c>
      <x:c r="M709" s="12"/>
      <x:c r="N709" s="12"/>
      <x:c r="O709" s="12"/>
    </x:row>
    <x:row r="710" ht="39" customHeight="1">
      <x:c r="A710" s="12" t="str">
        <x:v>6295</x:v>
      </x:c>
      <x:c r="B710" s="12" t="str">
        <x:v>406</x:v>
      </x:c>
      <x:c r="C710" s="12" t="str">
        <x:v>参考000</x:v>
      </x:c>
      <x:c r="D710" s="12" t="str">
        <x:v>自动000</x:v>
      </x:c>
      <x:c r="E710" s="12" t="n">
        <x:v>0</x:v>
      </x:c>
      <x:c r="F710" s="12" t="n">
        <x:v>1</x:v>
      </x:c>
      <x:c r="G710" s="12" t="n">
        <x:v>0</x:v>
      </x:c>
      <x:c r="H710" s="12" t="n">
        <x:f>IF(SUM(I710:K710)&gt;0,1,0)</x:f>
        <x:v>0</x:v>
      </x:c>
      <x:c r="I710" s="12" t="n">
        <x:f>IF('患者配对'!M769="positive",1,0)</x:f>
        <x:v>0</x:v>
      </x:c>
      <x:c r="J710" s="12" t="n">
        <x:f>IF('患者配对'!R769="positive",1,0)</x:f>
        <x:v>0</x:v>
      </x:c>
      <x:c r="K710" s="12" t="n">
        <x:f>IF('患者配对'!W769="positive",1,0)</x:f>
        <x:v>0</x:v>
      </x:c>
      <x:c r="L710" s="12" t="str">
        <x:v>由原件与原状态取得；仅主队列索引</x:v>
      </x:c>
      <x:c r="M710" s="12"/>
      <x:c r="N710" s="12"/>
      <x:c r="O710" s="12"/>
    </x:row>
    <x:row r="711" ht="39" customHeight="1">
      <x:c r="A711" s="12" t="str">
        <x:v>6304</x:v>
      </x:c>
      <x:c r="B711" s="12" t="str">
        <x:v>308</x:v>
      </x:c>
      <x:c r="C711" s="12" t="str">
        <x:v>参考000</x:v>
      </x:c>
      <x:c r="D711" s="12" t="str">
        <x:v>自动000</x:v>
      </x:c>
      <x:c r="E711" s="12" t="n">
        <x:v>0</x:v>
      </x:c>
      <x:c r="F711" s="12" t="n">
        <x:v>1</x:v>
      </x:c>
      <x:c r="G711" s="12" t="n">
        <x:v>0</x:v>
      </x:c>
      <x:c r="H711" s="12" t="n">
        <x:f>IF(SUM(I711:K711)&gt;0,1,0)</x:f>
        <x:v>0</x:v>
      </x:c>
      <x:c r="I711" s="12" t="n">
        <x:f>IF('患者配对'!M770="positive",1,0)</x:f>
        <x:v>0</x:v>
      </x:c>
      <x:c r="J711" s="12" t="n">
        <x:f>IF('患者配对'!R770="positive",1,0)</x:f>
        <x:v>0</x:v>
      </x:c>
      <x:c r="K711" s="12" t="n">
        <x:f>IF('患者配对'!W770="positive",1,0)</x:f>
        <x:v>0</x:v>
      </x:c>
      <x:c r="L711" s="12" t="str">
        <x:v>由原件与原状态取得；仅主队列索引</x:v>
      </x:c>
      <x:c r="M711" s="12"/>
      <x:c r="N711" s="12"/>
      <x:c r="O711" s="12"/>
    </x:row>
    <x:row r="712" ht="39" customHeight="1">
      <x:c r="A712" s="12" t="str">
        <x:v>6305</x:v>
      </x:c>
      <x:c r="B712" s="12" t="str">
        <x:v>13962</x:v>
      </x:c>
      <x:c r="C712" s="12" t="str">
        <x:v>参考000</x:v>
      </x:c>
      <x:c r="D712" s="12" t="str">
        <x:v>自动000</x:v>
      </x:c>
      <x:c r="E712" s="12" t="n">
        <x:v>0</x:v>
      </x:c>
      <x:c r="F712" s="12" t="n">
        <x:v>0</x:v>
      </x:c>
      <x:c r="G712" s="12" t="n">
        <x:v>0</x:v>
      </x:c>
      <x:c r="H712" s="12" t="n">
        <x:f>IF(SUM(I712:K712)&gt;0,1,0)</x:f>
        <x:v>0</x:v>
      </x:c>
      <x:c r="I712" s="12" t="n">
        <x:f>IF('患者配对'!M771="positive",1,0)</x:f>
        <x:v>0</x:v>
      </x:c>
      <x:c r="J712" s="12" t="n">
        <x:f>IF('患者配对'!R771="positive",1,0)</x:f>
        <x:v>0</x:v>
      </x:c>
      <x:c r="K712" s="12" t="n">
        <x:f>IF('患者配对'!W771="positive",1,0)</x:f>
        <x:v>0</x:v>
      </x:c>
      <x:c r="L712" s="12" t="str">
        <x:v>由原件与原状态取得；仅主队列索引</x:v>
      </x:c>
      <x:c r="M712" s="12"/>
      <x:c r="N712" s="12"/>
      <x:c r="O712" s="12"/>
    </x:row>
    <x:row r="713" ht="39" customHeight="1">
      <x:c r="A713" s="12" t="str">
        <x:v>6312</x:v>
      </x:c>
      <x:c r="B713" s="12" t="str">
        <x:v>11448</x:v>
      </x:c>
      <x:c r="C713" s="12" t="str">
        <x:v>参考000</x:v>
      </x:c>
      <x:c r="D713" s="12" t="str">
        <x:v>自动000</x:v>
      </x:c>
      <x:c r="E713" s="12" t="n">
        <x:v>0</x:v>
      </x:c>
      <x:c r="F713" s="12" t="n">
        <x:v>1</x:v>
      </x:c>
      <x:c r="G713" s="12" t="n">
        <x:v>0</x:v>
      </x:c>
      <x:c r="H713" s="12" t="n">
        <x:f>IF(SUM(I713:K713)&gt;0,1,0)</x:f>
        <x:v>0</x:v>
      </x:c>
      <x:c r="I713" s="12" t="n">
        <x:f>IF('患者配对'!M772="positive",1,0)</x:f>
        <x:v>0</x:v>
      </x:c>
      <x:c r="J713" s="12" t="n">
        <x:f>IF('患者配对'!R772="positive",1,0)</x:f>
        <x:v>0</x:v>
      </x:c>
      <x:c r="K713" s="12" t="n">
        <x:f>IF('患者配对'!W772="positive",1,0)</x:f>
        <x:v>0</x:v>
      </x:c>
      <x:c r="L713" s="12" t="str">
        <x:v>由原件与原状态取得；仅主队列索引</x:v>
      </x:c>
      <x:c r="M713" s="12"/>
      <x:c r="N713" s="12"/>
      <x:c r="O713" s="12"/>
    </x:row>
    <x:row r="714" ht="39" customHeight="1">
      <x:c r="A714" s="12" t="str">
        <x:v>6313</x:v>
      </x:c>
      <x:c r="B714" s="12" t="str">
        <x:v>5039</x:v>
      </x:c>
      <x:c r="C714" s="12" t="str">
        <x:v>参考000</x:v>
      </x:c>
      <x:c r="D714" s="12" t="str">
        <x:v>自动000</x:v>
      </x:c>
      <x:c r="E714" s="12" t="n">
        <x:v>0</x:v>
      </x:c>
      <x:c r="F714" s="12" t="n">
        <x:v>0</x:v>
      </x:c>
      <x:c r="G714" s="12" t="n">
        <x:v>0</x:v>
      </x:c>
      <x:c r="H714" s="12" t="n">
        <x:f>IF(SUM(I714:K714)&gt;0,1,0)</x:f>
        <x:v>0</x:v>
      </x:c>
      <x:c r="I714" s="12" t="n">
        <x:f>IF('患者配对'!M773="positive",1,0)</x:f>
        <x:v>0</x:v>
      </x:c>
      <x:c r="J714" s="12" t="n">
        <x:f>IF('患者配对'!R773="positive",1,0)</x:f>
        <x:v>0</x:v>
      </x:c>
      <x:c r="K714" s="12" t="n">
        <x:f>IF('患者配对'!W773="positive",1,0)</x:f>
        <x:v>0</x:v>
      </x:c>
      <x:c r="L714" s="12" t="str">
        <x:v>由原件与原状态取得；仅主队列索引</x:v>
      </x:c>
      <x:c r="M714" s="12"/>
      <x:c r="N714" s="12"/>
      <x:c r="O714" s="12"/>
    </x:row>
    <x:row r="715" ht="39" customHeight="1">
      <x:c r="A715" s="12" t="str">
        <x:v>6314</x:v>
      </x:c>
      <x:c r="B715" s="12" t="str">
        <x:v>13824</x:v>
      </x:c>
      <x:c r="C715" s="12" t="str">
        <x:v>参考000</x:v>
      </x:c>
      <x:c r="D715" s="12" t="str">
        <x:v>自动000</x:v>
      </x:c>
      <x:c r="E715" s="12" t="n">
        <x:v>0</x:v>
      </x:c>
      <x:c r="F715" s="12" t="n">
        <x:v>0</x:v>
      </x:c>
      <x:c r="G715" s="12" t="n">
        <x:v>0</x:v>
      </x:c>
      <x:c r="H715" s="12" t="n">
        <x:f>IF(SUM(I715:K715)&gt;0,1,0)</x:f>
        <x:v>0</x:v>
      </x:c>
      <x:c r="I715" s="12" t="n">
        <x:f>IF('患者配对'!M774="positive",1,0)</x:f>
        <x:v>0</x:v>
      </x:c>
      <x:c r="J715" s="12" t="n">
        <x:f>IF('患者配对'!R774="positive",1,0)</x:f>
        <x:v>0</x:v>
      </x:c>
      <x:c r="K715" s="12" t="n">
        <x:f>IF('患者配对'!W774="positive",1,0)</x:f>
        <x:v>0</x:v>
      </x:c>
      <x:c r="L715" s="12" t="str">
        <x:v>由原件与原状态取得；仅主队列索引</x:v>
      </x:c>
      <x:c r="M715" s="12"/>
      <x:c r="N715" s="12"/>
      <x:c r="O715" s="12"/>
    </x:row>
    <x:row r="716" ht="39" customHeight="1">
      <x:c r="A716" s="12" t="str">
        <x:v>6337</x:v>
      </x:c>
      <x:c r="B716" s="12" t="str">
        <x:v>12853</x:v>
      </x:c>
      <x:c r="C716" s="12" t="str">
        <x:v>参考000</x:v>
      </x:c>
      <x:c r="D716" s="12" t="str">
        <x:v>自动000</x:v>
      </x:c>
      <x:c r="E716" s="12" t="n">
        <x:v>0</x:v>
      </x:c>
      <x:c r="F716" s="12" t="n">
        <x:v>1</x:v>
      </x:c>
      <x:c r="G716" s="12" t="n">
        <x:v>0</x:v>
      </x:c>
      <x:c r="H716" s="12" t="n">
        <x:f>IF(SUM(I716:K716)&gt;0,1,0)</x:f>
        <x:v>0</x:v>
      </x:c>
      <x:c r="I716" s="12" t="n">
        <x:f>IF('患者配对'!M775="positive",1,0)</x:f>
        <x:v>0</x:v>
      </x:c>
      <x:c r="J716" s="12" t="n">
        <x:f>IF('患者配对'!R775="positive",1,0)</x:f>
        <x:v>0</x:v>
      </x:c>
      <x:c r="K716" s="12" t="n">
        <x:f>IF('患者配对'!W775="positive",1,0)</x:f>
        <x:v>0</x:v>
      </x:c>
      <x:c r="L716" s="12" t="str">
        <x:v>由原件与原状态取得；仅主队列索引</x:v>
      </x:c>
      <x:c r="M716" s="12"/>
      <x:c r="N716" s="12"/>
      <x:c r="O716" s="12"/>
    </x:row>
    <x:row r="717" ht="39" customHeight="1">
      <x:c r="A717" s="12" t="str">
        <x:v>6341</x:v>
      </x:c>
      <x:c r="B717" s="12" t="str">
        <x:v>6614</x:v>
      </x:c>
      <x:c r="C717" s="12" t="str">
        <x:v>参考000</x:v>
      </x:c>
      <x:c r="D717" s="12" t="str">
        <x:v>自动000</x:v>
      </x:c>
      <x:c r="E717" s="12" t="n">
        <x:v>0</x:v>
      </x:c>
      <x:c r="F717" s="12" t="n">
        <x:v>0</x:v>
      </x:c>
      <x:c r="G717" s="12" t="n">
        <x:v>0</x:v>
      </x:c>
      <x:c r="H717" s="12" t="n">
        <x:f>IF(SUM(I717:K717)&gt;0,1,0)</x:f>
        <x:v>0</x:v>
      </x:c>
      <x:c r="I717" s="12" t="n">
        <x:f>IF('患者配对'!M776="positive",1,0)</x:f>
        <x:v>0</x:v>
      </x:c>
      <x:c r="J717" s="12" t="n">
        <x:f>IF('患者配对'!R776="positive",1,0)</x:f>
        <x:v>0</x:v>
      </x:c>
      <x:c r="K717" s="12" t="n">
        <x:f>IF('患者配对'!W776="positive",1,0)</x:f>
        <x:v>0</x:v>
      </x:c>
      <x:c r="L717" s="12" t="str">
        <x:v>由原件与原状态取得；仅主队列索引</x:v>
      </x:c>
      <x:c r="M717" s="12"/>
      <x:c r="N717" s="12"/>
      <x:c r="O717" s="12"/>
    </x:row>
    <x:row r="718" ht="39" customHeight="1">
      <x:c r="A718" s="12" t="str">
        <x:v>6350</x:v>
      </x:c>
      <x:c r="B718" s="12" t="str">
        <x:v>7308</x:v>
      </x:c>
      <x:c r="C718" s="12" t="str">
        <x:v>参考000</x:v>
      </x:c>
      <x:c r="D718" s="12" t="str">
        <x:v>自动000</x:v>
      </x:c>
      <x:c r="E718" s="12" t="n">
        <x:v>0</x:v>
      </x:c>
      <x:c r="F718" s="12" t="n">
        <x:v>0</x:v>
      </x:c>
      <x:c r="G718" s="12" t="n">
        <x:v>0</x:v>
      </x:c>
      <x:c r="H718" s="12" t="n">
        <x:f>IF(SUM(I718:K718)&gt;0,1,0)</x:f>
        <x:v>0</x:v>
      </x:c>
      <x:c r="I718" s="12" t="n">
        <x:f>IF('患者配对'!M777="positive",1,0)</x:f>
        <x:v>0</x:v>
      </x:c>
      <x:c r="J718" s="12" t="n">
        <x:f>IF('患者配对'!R777="positive",1,0)</x:f>
        <x:v>0</x:v>
      </x:c>
      <x:c r="K718" s="12" t="n">
        <x:f>IF('患者配对'!W777="positive",1,0)</x:f>
        <x:v>0</x:v>
      </x:c>
      <x:c r="L718" s="12" t="str">
        <x:v>由原件与原状态取得；仅主队列索引</x:v>
      </x:c>
      <x:c r="M718" s="12"/>
      <x:c r="N718" s="12"/>
      <x:c r="O718" s="12"/>
    </x:row>
    <x:row r="719" ht="39" customHeight="1">
      <x:c r="A719" s="12" t="str">
        <x:v>6352</x:v>
      </x:c>
      <x:c r="B719" s="12" t="str">
        <x:v>6722</x:v>
      </x:c>
      <x:c r="C719" s="12" t="str">
        <x:v>参考100</x:v>
      </x:c>
      <x:c r="D719" s="12" t="str">
        <x:v>自动100</x:v>
      </x:c>
      <x:c r="E719" s="12" t="n">
        <x:v>1</x:v>
      </x:c>
      <x:c r="F719" s="12" t="n">
        <x:v>1</x:v>
      </x:c>
      <x:c r="G719" s="12" t="n">
        <x:v>0</x:v>
      </x:c>
      <x:c r="H719" s="12" t="n">
        <x:f>IF(SUM(I719:K719)&gt;0,1,0)</x:f>
        <x:v>1</x:v>
      </x:c>
      <x:c r="I719" s="12" t="n">
        <x:f>IF('患者配对'!M778="positive",1,0)</x:f>
        <x:v>1</x:v>
      </x:c>
      <x:c r="J719" s="12" t="n">
        <x:f>IF('患者配对'!R778="positive",1,0)</x:f>
        <x:v>0</x:v>
      </x:c>
      <x:c r="K719" s="12" t="n">
        <x:f>IF('患者配对'!W778="positive",1,0)</x:f>
        <x:v>0</x:v>
      </x:c>
      <x:c r="L719" s="12" t="str">
        <x:v>由原件与原状态取得；仅主队列索引</x:v>
      </x:c>
      <x:c r="M719" s="12"/>
      <x:c r="N719" s="12"/>
      <x:c r="O719" s="12"/>
    </x:row>
    <x:row r="720" ht="39" customHeight="1">
      <x:c r="A720" s="12" t="str">
        <x:v>6355</x:v>
      </x:c>
      <x:c r="B720" s="12" t="str">
        <x:v>13703</x:v>
      </x:c>
      <x:c r="C720" s="12" t="str">
        <x:v>参考100</x:v>
      </x:c>
      <x:c r="D720" s="12" t="str">
        <x:v>自动100</x:v>
      </x:c>
      <x:c r="E720" s="12" t="n">
        <x:v>1</x:v>
      </x:c>
      <x:c r="F720" s="12" t="n">
        <x:v>1</x:v>
      </x:c>
      <x:c r="G720" s="12" t="n">
        <x:v>0</x:v>
      </x:c>
      <x:c r="H720" s="12" t="n">
        <x:f>IF(SUM(I720:K720)&gt;0,1,0)</x:f>
        <x:v>1</x:v>
      </x:c>
      <x:c r="I720" s="12" t="n">
        <x:f>IF('患者配对'!M780="positive",1,0)</x:f>
        <x:v>1</x:v>
      </x:c>
      <x:c r="J720" s="12" t="n">
        <x:f>IF('患者配对'!R780="positive",1,0)</x:f>
        <x:v>0</x:v>
      </x:c>
      <x:c r="K720" s="12" t="n">
        <x:f>IF('患者配对'!W780="positive",1,0)</x:f>
        <x:v>0</x:v>
      </x:c>
      <x:c r="L720" s="12" t="str">
        <x:v>由原件与原状态取得；仅主队列索引</x:v>
      </x:c>
      <x:c r="M720" s="12"/>
      <x:c r="N720" s="12"/>
      <x:c r="O720" s="12"/>
    </x:row>
    <x:row r="721" ht="39" customHeight="1">
      <x:c r="A721" s="12" t="str">
        <x:v>6358</x:v>
      </x:c>
      <x:c r="B721" s="12" t="str">
        <x:v>1901</x:v>
      </x:c>
      <x:c r="C721" s="12" t="str">
        <x:v>参考000</x:v>
      </x:c>
      <x:c r="D721" s="12" t="str">
        <x:v>自动000</x:v>
      </x:c>
      <x:c r="E721" s="12" t="n">
        <x:v>0</x:v>
      </x:c>
      <x:c r="F721" s="12" t="n">
        <x:v>0</x:v>
      </x:c>
      <x:c r="G721" s="12" t="n">
        <x:v>0</x:v>
      </x:c>
      <x:c r="H721" s="12" t="n">
        <x:f>IF(SUM(I721:K721)&gt;0,1,0)</x:f>
        <x:v>0</x:v>
      </x:c>
      <x:c r="I721" s="12" t="n">
        <x:f>IF('患者配对'!M781="positive",1,0)</x:f>
        <x:v>0</x:v>
      </x:c>
      <x:c r="J721" s="12" t="n">
        <x:f>IF('患者配对'!R781="positive",1,0)</x:f>
        <x:v>0</x:v>
      </x:c>
      <x:c r="K721" s="12" t="n">
        <x:f>IF('患者配对'!W781="positive",1,0)</x:f>
        <x:v>0</x:v>
      </x:c>
      <x:c r="L721" s="12" t="str">
        <x:v>由原件与原状态取得；仅主队列索引</x:v>
      </x:c>
      <x:c r="M721" s="12"/>
      <x:c r="N721" s="12"/>
      <x:c r="O721" s="12"/>
    </x:row>
    <x:row r="722" ht="39" customHeight="1">
      <x:c r="A722" s="12" t="str">
        <x:v>6375</x:v>
      </x:c>
      <x:c r="B722" s="12" t="str">
        <x:v>4014</x:v>
      </x:c>
      <x:c r="C722" s="12" t="str">
        <x:v>参考000</x:v>
      </x:c>
      <x:c r="D722" s="12" t="str">
        <x:v>自动000</x:v>
      </x:c>
      <x:c r="E722" s="12" t="n">
        <x:v>0</x:v>
      </x:c>
      <x:c r="F722" s="12" t="n">
        <x:v>1</x:v>
      </x:c>
      <x:c r="G722" s="12" t="n">
        <x:v>0</x:v>
      </x:c>
      <x:c r="H722" s="12" t="n">
        <x:f>IF(SUM(I722:K722)&gt;0,1,0)</x:f>
        <x:v>0</x:v>
      </x:c>
      <x:c r="I722" s="12" t="n">
        <x:f>IF('患者配对'!M782="positive",1,0)</x:f>
        <x:v>0</x:v>
      </x:c>
      <x:c r="J722" s="12" t="n">
        <x:f>IF('患者配对'!R782="positive",1,0)</x:f>
        <x:v>0</x:v>
      </x:c>
      <x:c r="K722" s="12" t="n">
        <x:f>IF('患者配对'!W782="positive",1,0)</x:f>
        <x:v>0</x:v>
      </x:c>
      <x:c r="L722" s="12" t="str">
        <x:v>由原件与原状态取得；仅主队列索引</x:v>
      </x:c>
      <x:c r="M722" s="12"/>
      <x:c r="N722" s="12"/>
      <x:c r="O722" s="12"/>
    </x:row>
    <x:row r="723" ht="39" customHeight="1">
      <x:c r="A723" s="12" t="str">
        <x:v>6380</x:v>
      </x:c>
      <x:c r="B723" s="12" t="str">
        <x:v>7870</x:v>
      </x:c>
      <x:c r="C723" s="12" t="str">
        <x:v>参考000</x:v>
      </x:c>
      <x:c r="D723" s="12" t="str">
        <x:v>自动000</x:v>
      </x:c>
      <x:c r="E723" s="12" t="n">
        <x:v>0</x:v>
      </x:c>
      <x:c r="F723" s="12" t="n">
        <x:v>0</x:v>
      </x:c>
      <x:c r="G723" s="12" t="n">
        <x:v>0</x:v>
      </x:c>
      <x:c r="H723" s="12" t="n">
        <x:f>IF(SUM(I723:K723)&gt;0,1,0)</x:f>
        <x:v>0</x:v>
      </x:c>
      <x:c r="I723" s="12" t="n">
        <x:f>IF('患者配对'!M783="positive",1,0)</x:f>
        <x:v>0</x:v>
      </x:c>
      <x:c r="J723" s="12" t="n">
        <x:f>IF('患者配对'!R783="positive",1,0)</x:f>
        <x:v>0</x:v>
      </x:c>
      <x:c r="K723" s="12" t="n">
        <x:f>IF('患者配对'!W783="positive",1,0)</x:f>
        <x:v>0</x:v>
      </x:c>
      <x:c r="L723" s="12" t="str">
        <x:v>由原件与原状态取得；仅主队列索引</x:v>
      </x:c>
      <x:c r="M723" s="12"/>
      <x:c r="N723" s="12"/>
      <x:c r="O723" s="12"/>
    </x:row>
    <x:row r="724" ht="39" customHeight="1">
      <x:c r="A724" s="12" t="str">
        <x:v>6381</x:v>
      </x:c>
      <x:c r="B724" s="12" t="str">
        <x:v>20219</x:v>
      </x:c>
      <x:c r="C724" s="12" t="str">
        <x:v>参考000</x:v>
      </x:c>
      <x:c r="D724" s="12" t="str">
        <x:v>自动000</x:v>
      </x:c>
      <x:c r="E724" s="12" t="n">
        <x:v>0</x:v>
      </x:c>
      <x:c r="F724" s="12" t="n">
        <x:v>1</x:v>
      </x:c>
      <x:c r="G724" s="12" t="n">
        <x:v>0</x:v>
      </x:c>
      <x:c r="H724" s="12" t="n">
        <x:f>IF(SUM(I724:K724)&gt;0,1,0)</x:f>
        <x:v>0</x:v>
      </x:c>
      <x:c r="I724" s="12" t="n">
        <x:f>IF('患者配对'!M784="positive",1,0)</x:f>
        <x:v>0</x:v>
      </x:c>
      <x:c r="J724" s="12" t="n">
        <x:f>IF('患者配对'!R784="positive",1,0)</x:f>
        <x:v>0</x:v>
      </x:c>
      <x:c r="K724" s="12" t="n">
        <x:f>IF('患者配对'!W784="positive",1,0)</x:f>
        <x:v>0</x:v>
      </x:c>
      <x:c r="L724" s="12" t="str">
        <x:v>由原件与原状态取得；仅主队列索引</x:v>
      </x:c>
      <x:c r="M724" s="12"/>
      <x:c r="N724" s="12"/>
      <x:c r="O724" s="12"/>
    </x:row>
    <x:row r="725" ht="39" customHeight="1">
      <x:c r="A725" s="12" t="str">
        <x:v>6427</x:v>
      </x:c>
      <x:c r="B725" s="12" t="str">
        <x:v>2245</x:v>
      </x:c>
      <x:c r="C725" s="12" t="str">
        <x:v>参考000</x:v>
      </x:c>
      <x:c r="D725" s="12" t="str">
        <x:v>自动000</x:v>
      </x:c>
      <x:c r="E725" s="12" t="n">
        <x:v>0</x:v>
      </x:c>
      <x:c r="F725" s="12" t="n">
        <x:v>0</x:v>
      </x:c>
      <x:c r="G725" s="12" t="n">
        <x:v>0</x:v>
      </x:c>
      <x:c r="H725" s="12" t="n">
        <x:f>IF(SUM(I725:K725)&gt;0,1,0)</x:f>
        <x:v>0</x:v>
      </x:c>
      <x:c r="I725" s="12" t="n">
        <x:f>IF('患者配对'!M786="positive",1,0)</x:f>
        <x:v>0</x:v>
      </x:c>
      <x:c r="J725" s="12" t="n">
        <x:f>IF('患者配对'!R786="positive",1,0)</x:f>
        <x:v>0</x:v>
      </x:c>
      <x:c r="K725" s="12" t="n">
        <x:f>IF('患者配对'!W786="positive",1,0)</x:f>
        <x:v>0</x:v>
      </x:c>
      <x:c r="L725" s="12" t="str">
        <x:v>由原件与原状态取得；仅主队列索引</x:v>
      </x:c>
      <x:c r="M725" s="12"/>
      <x:c r="N725" s="12"/>
      <x:c r="O725" s="12"/>
    </x:row>
    <x:row r="726" ht="39" customHeight="1">
      <x:c r="A726" s="12" t="str">
        <x:v>6428</x:v>
      </x:c>
      <x:c r="B726" s="12" t="str">
        <x:v>19633</x:v>
      </x:c>
      <x:c r="C726" s="12" t="str">
        <x:v>参考000</x:v>
      </x:c>
      <x:c r="D726" s="12" t="str">
        <x:v>自动000</x:v>
      </x:c>
      <x:c r="E726" s="12" t="n">
        <x:v>0</x:v>
      </x:c>
      <x:c r="F726" s="12" t="n">
        <x:v>1</x:v>
      </x:c>
      <x:c r="G726" s="12" t="n">
        <x:v>0</x:v>
      </x:c>
      <x:c r="H726" s="12" t="n">
        <x:f>IF(SUM(I726:K726)&gt;0,1,0)</x:f>
        <x:v>0</x:v>
      </x:c>
      <x:c r="I726" s="12" t="n">
        <x:f>IF('患者配对'!M787="positive",1,0)</x:f>
        <x:v>0</x:v>
      </x:c>
      <x:c r="J726" s="12" t="n">
        <x:f>IF('患者配对'!R787="positive",1,0)</x:f>
        <x:v>0</x:v>
      </x:c>
      <x:c r="K726" s="12" t="n">
        <x:f>IF('患者配对'!W787="positive",1,0)</x:f>
        <x:v>0</x:v>
      </x:c>
      <x:c r="L726" s="12" t="str">
        <x:v>由原件与原状态取得；仅主队列索引</x:v>
      </x:c>
      <x:c r="M726" s="12"/>
      <x:c r="N726" s="12"/>
      <x:c r="O726" s="12"/>
    </x:row>
    <x:row r="727" ht="39" customHeight="1">
      <x:c r="A727" s="12" t="str">
        <x:v>6437</x:v>
      </x:c>
      <x:c r="B727" s="12" t="str">
        <x:v>5211</x:v>
      </x:c>
      <x:c r="C727" s="12" t="str">
        <x:v>参考000</x:v>
      </x:c>
      <x:c r="D727" s="12" t="str">
        <x:v>自动000</x:v>
      </x:c>
      <x:c r="E727" s="12" t="n">
        <x:v>0</x:v>
      </x:c>
      <x:c r="F727" s="12" t="n">
        <x:v>0</x:v>
      </x:c>
      <x:c r="G727" s="12" t="n">
        <x:v>0</x:v>
      </x:c>
      <x:c r="H727" s="12" t="n">
        <x:f>IF(SUM(I727:K727)&gt;0,1,0)</x:f>
        <x:v>0</x:v>
      </x:c>
      <x:c r="I727" s="12" t="n">
        <x:f>IF('患者配对'!M788="positive",1,0)</x:f>
        <x:v>0</x:v>
      </x:c>
      <x:c r="J727" s="12" t="n">
        <x:f>IF('患者配对'!R788="positive",1,0)</x:f>
        <x:v>0</x:v>
      </x:c>
      <x:c r="K727" s="12" t="n">
        <x:f>IF('患者配对'!W788="positive",1,0)</x:f>
        <x:v>0</x:v>
      </x:c>
      <x:c r="L727" s="12" t="str">
        <x:v>由原件与原状态取得；仅主队列索引</x:v>
      </x:c>
      <x:c r="M727" s="12"/>
      <x:c r="N727" s="12"/>
      <x:c r="O727" s="12"/>
    </x:row>
    <x:row r="728" ht="39" customHeight="1">
      <x:c r="A728" s="12" t="str">
        <x:v>6465</x:v>
      </x:c>
      <x:c r="B728" s="12" t="str">
        <x:v>8179</x:v>
      </x:c>
      <x:c r="C728" s="12" t="str">
        <x:v>参考000</x:v>
      </x:c>
      <x:c r="D728" s="12" t="str">
        <x:v>自动000</x:v>
      </x:c>
      <x:c r="E728" s="12" t="n">
        <x:v>0</x:v>
      </x:c>
      <x:c r="F728" s="12" t="n">
        <x:v>0</x:v>
      </x:c>
      <x:c r="G728" s="12" t="n">
        <x:v>0</x:v>
      </x:c>
      <x:c r="H728" s="12" t="n">
        <x:f>IF(SUM(I728:K728)&gt;0,1,0)</x:f>
        <x:v>0</x:v>
      </x:c>
      <x:c r="I728" s="12" t="n">
        <x:f>IF('患者配对'!M789="positive",1,0)</x:f>
        <x:v>0</x:v>
      </x:c>
      <x:c r="J728" s="12" t="n">
        <x:f>IF('患者配对'!R789="positive",1,0)</x:f>
        <x:v>0</x:v>
      </x:c>
      <x:c r="K728" s="12" t="n">
        <x:f>IF('患者配对'!W789="positive",1,0)</x:f>
        <x:v>0</x:v>
      </x:c>
      <x:c r="L728" s="12" t="str">
        <x:v>由原件与原状态取得；仅主队列索引</x:v>
      </x:c>
      <x:c r="M728" s="12"/>
      <x:c r="N728" s="12"/>
      <x:c r="O728" s="12"/>
    </x:row>
    <x:row r="729" ht="39" customHeight="1">
      <x:c r="A729" s="12" t="str">
        <x:v>6471</x:v>
      </x:c>
      <x:c r="B729" s="12" t="str">
        <x:v>4751</x:v>
      </x:c>
      <x:c r="C729" s="12" t="str">
        <x:v>参考000</x:v>
      </x:c>
      <x:c r="D729" s="12" t="str">
        <x:v>自动000</x:v>
      </x:c>
      <x:c r="E729" s="12" t="n">
        <x:v>0</x:v>
      </x:c>
      <x:c r="F729" s="12" t="n">
        <x:v>0</x:v>
      </x:c>
      <x:c r="G729" s="12" t="n">
        <x:v>0</x:v>
      </x:c>
      <x:c r="H729" s="12" t="n">
        <x:f>IF(SUM(I729:K729)&gt;0,1,0)</x:f>
        <x:v>0</x:v>
      </x:c>
      <x:c r="I729" s="12" t="n">
        <x:f>IF('患者配对'!M790="positive",1,0)</x:f>
        <x:v>0</x:v>
      </x:c>
      <x:c r="J729" s="12" t="n">
        <x:f>IF('患者配对'!R790="positive",1,0)</x:f>
        <x:v>0</x:v>
      </x:c>
      <x:c r="K729" s="12" t="n">
        <x:f>IF('患者配对'!W790="positive",1,0)</x:f>
        <x:v>0</x:v>
      </x:c>
      <x:c r="L729" s="12" t="str">
        <x:v>由原件与原状态取得；仅主队列索引</x:v>
      </x:c>
      <x:c r="M729" s="12"/>
      <x:c r="N729" s="12"/>
      <x:c r="O729" s="12"/>
    </x:row>
    <x:row r="730" ht="39" customHeight="1">
      <x:c r="A730" s="12" t="str">
        <x:v>6498</x:v>
      </x:c>
      <x:c r="B730" s="12" t="str">
        <x:v>933</x:v>
      </x:c>
      <x:c r="C730" s="12" t="str">
        <x:v>参考000</x:v>
      </x:c>
      <x:c r="D730" s="12" t="str">
        <x:v>自动000</x:v>
      </x:c>
      <x:c r="E730" s="12" t="n">
        <x:v>0</x:v>
      </x:c>
      <x:c r="F730" s="12" t="n">
        <x:v>0</x:v>
      </x:c>
      <x:c r="G730" s="12" t="n">
        <x:v>0</x:v>
      </x:c>
      <x:c r="H730" s="12" t="n">
        <x:f>IF(SUM(I730:K730)&gt;0,1,0)</x:f>
        <x:v>0</x:v>
      </x:c>
      <x:c r="I730" s="12" t="n">
        <x:f>IF('患者配对'!M791="positive",1,0)</x:f>
        <x:v>0</x:v>
      </x:c>
      <x:c r="J730" s="12" t="n">
        <x:f>IF('患者配对'!R791="positive",1,0)</x:f>
        <x:v>0</x:v>
      </x:c>
      <x:c r="K730" s="12" t="n">
        <x:f>IF('患者配对'!W791="positive",1,0)</x:f>
        <x:v>0</x:v>
      </x:c>
      <x:c r="L730" s="12" t="str">
        <x:v>由原件与原状态取得；仅主队列索引</x:v>
      </x:c>
      <x:c r="M730" s="12"/>
      <x:c r="N730" s="12"/>
      <x:c r="O730" s="12"/>
    </x:row>
    <x:row r="731" ht="39" customHeight="1">
      <x:c r="A731" s="12" t="str">
        <x:v>6542</x:v>
      </x:c>
      <x:c r="B731" s="12" t="str">
        <x:v>2825</x:v>
      </x:c>
      <x:c r="C731" s="12" t="str">
        <x:v>参考000</x:v>
      </x:c>
      <x:c r="D731" s="12" t="str">
        <x:v>自动000</x:v>
      </x:c>
      <x:c r="E731" s="12" t="n">
        <x:v>0</x:v>
      </x:c>
      <x:c r="F731" s="12" t="n">
        <x:v>0</x:v>
      </x:c>
      <x:c r="G731" s="12" t="n">
        <x:v>0</x:v>
      </x:c>
      <x:c r="H731" s="12" t="n">
        <x:f>IF(SUM(I731:K731)&gt;0,1,0)</x:f>
        <x:v>0</x:v>
      </x:c>
      <x:c r="I731" s="12" t="n">
        <x:f>IF('患者配对'!M793="positive",1,0)</x:f>
        <x:v>0</x:v>
      </x:c>
      <x:c r="J731" s="12" t="n">
        <x:f>IF('患者配对'!R793="positive",1,0)</x:f>
        <x:v>0</x:v>
      </x:c>
      <x:c r="K731" s="12" t="n">
        <x:f>IF('患者配对'!W793="positive",1,0)</x:f>
        <x:v>0</x:v>
      </x:c>
      <x:c r="L731" s="12" t="str">
        <x:v>由原件与原状态取得；仅主队列索引</x:v>
      </x:c>
      <x:c r="M731" s="12"/>
      <x:c r="N731" s="12"/>
      <x:c r="O731" s="12"/>
    </x:row>
    <x:row r="732" ht="39" customHeight="1">
      <x:c r="A732" s="12" t="str">
        <x:v>6552</x:v>
      </x:c>
      <x:c r="B732" s="12" t="str">
        <x:v>2538</x:v>
      </x:c>
      <x:c r="C732" s="12" t="str">
        <x:v>参考000</x:v>
      </x:c>
      <x:c r="D732" s="12" t="str">
        <x:v>自动000</x:v>
      </x:c>
      <x:c r="E732" s="12" t="n">
        <x:v>0</x:v>
      </x:c>
      <x:c r="F732" s="12" t="n">
        <x:v>0</x:v>
      </x:c>
      <x:c r="G732" s="12" t="n">
        <x:v>0</x:v>
      </x:c>
      <x:c r="H732" s="12" t="n">
        <x:f>IF(SUM(I732:K732)&gt;0,1,0)</x:f>
        <x:v>0</x:v>
      </x:c>
      <x:c r="I732" s="12" t="n">
        <x:f>IF('患者配对'!M794="positive",1,0)</x:f>
        <x:v>0</x:v>
      </x:c>
      <x:c r="J732" s="12" t="n">
        <x:f>IF('患者配对'!R794="positive",1,0)</x:f>
        <x:v>0</x:v>
      </x:c>
      <x:c r="K732" s="12" t="n">
        <x:f>IF('患者配对'!W794="positive",1,0)</x:f>
        <x:v>0</x:v>
      </x:c>
      <x:c r="L732" s="12" t="str">
        <x:v>由原件与原状态取得；仅主队列索引</x:v>
      </x:c>
      <x:c r="M732" s="12"/>
      <x:c r="N732" s="12"/>
      <x:c r="O732" s="12"/>
    </x:row>
    <x:row r="733" ht="39" customHeight="1">
      <x:c r="A733" s="12" t="str">
        <x:v>6556</x:v>
      </x:c>
      <x:c r="B733" s="12" t="str">
        <x:v>4292</x:v>
      </x:c>
      <x:c r="C733" s="12" t="str">
        <x:v>参考000</x:v>
      </x:c>
      <x:c r="D733" s="12" t="str">
        <x:v>自动000</x:v>
      </x:c>
      <x:c r="E733" s="12" t="n">
        <x:v>0</x:v>
      </x:c>
      <x:c r="F733" s="12" t="n">
        <x:v>0</x:v>
      </x:c>
      <x:c r="G733" s="12" t="n">
        <x:v>0</x:v>
      </x:c>
      <x:c r="H733" s="12" t="n">
        <x:f>IF(SUM(I733:K733)&gt;0,1,0)</x:f>
        <x:v>0</x:v>
      </x:c>
      <x:c r="I733" s="12" t="n">
        <x:f>IF('患者配对'!M795="positive",1,0)</x:f>
        <x:v>0</x:v>
      </x:c>
      <x:c r="J733" s="12" t="n">
        <x:f>IF('患者配对'!R795="positive",1,0)</x:f>
        <x:v>0</x:v>
      </x:c>
      <x:c r="K733" s="12" t="n">
        <x:f>IF('患者配对'!W795="positive",1,0)</x:f>
        <x:v>0</x:v>
      </x:c>
      <x:c r="L733" s="12" t="str">
        <x:v>由原件与原状态取得；仅主队列索引</x:v>
      </x:c>
      <x:c r="M733" s="12"/>
      <x:c r="N733" s="12"/>
      <x:c r="O733" s="12"/>
    </x:row>
    <x:row r="734" ht="39" customHeight="1">
      <x:c r="A734" s="12" t="str">
        <x:v>6562</x:v>
      </x:c>
      <x:c r="B734" s="12" t="str">
        <x:v>5729</x:v>
      </x:c>
      <x:c r="C734" s="12" t="str">
        <x:v>参考000</x:v>
      </x:c>
      <x:c r="D734" s="12" t="str">
        <x:v>自动000</x:v>
      </x:c>
      <x:c r="E734" s="12" t="n">
        <x:v>0</x:v>
      </x:c>
      <x:c r="F734" s="12" t="n">
        <x:v>1</x:v>
      </x:c>
      <x:c r="G734" s="12" t="n">
        <x:v>0</x:v>
      </x:c>
      <x:c r="H734" s="12" t="n">
        <x:f>IF(SUM(I734:K734)&gt;0,1,0)</x:f>
        <x:v>0</x:v>
      </x:c>
      <x:c r="I734" s="12" t="n">
        <x:f>IF('患者配对'!M796="positive",1,0)</x:f>
        <x:v>0</x:v>
      </x:c>
      <x:c r="J734" s="12" t="n">
        <x:f>IF('患者配对'!R796="positive",1,0)</x:f>
        <x:v>0</x:v>
      </x:c>
      <x:c r="K734" s="12" t="n">
        <x:f>IF('患者配对'!W796="positive",1,0)</x:f>
        <x:v>0</x:v>
      </x:c>
      <x:c r="L734" s="12" t="str">
        <x:v>由原件与原状态取得；仅主队列索引</x:v>
      </x:c>
      <x:c r="M734" s="12"/>
      <x:c r="N734" s="12"/>
      <x:c r="O734" s="12"/>
    </x:row>
    <x:row r="735" ht="39" customHeight="1">
      <x:c r="A735" s="12" t="str">
        <x:v>6579</x:v>
      </x:c>
      <x:c r="B735" s="12" t="str">
        <x:v>7334</x:v>
      </x:c>
      <x:c r="C735" s="12" t="str">
        <x:v>参考000</x:v>
      </x:c>
      <x:c r="D735" s="12" t="str">
        <x:v>自动000</x:v>
      </x:c>
      <x:c r="E735" s="12" t="n">
        <x:v>0</x:v>
      </x:c>
      <x:c r="F735" s="12" t="n">
        <x:v>0</x:v>
      </x:c>
      <x:c r="G735" s="12" t="n">
        <x:v>0</x:v>
      </x:c>
      <x:c r="H735" s="12" t="n">
        <x:f>IF(SUM(I735:K735)&gt;0,1,0)</x:f>
        <x:v>0</x:v>
      </x:c>
      <x:c r="I735" s="12" t="n">
        <x:f>IF('患者配对'!M798="positive",1,0)</x:f>
        <x:v>0</x:v>
      </x:c>
      <x:c r="J735" s="12" t="n">
        <x:f>IF('患者配对'!R798="positive",1,0)</x:f>
        <x:v>0</x:v>
      </x:c>
      <x:c r="K735" s="12" t="n">
        <x:f>IF('患者配对'!W798="positive",1,0)</x:f>
        <x:v>0</x:v>
      </x:c>
      <x:c r="L735" s="12" t="str">
        <x:v>由原件与原状态取得；仅主队列索引</x:v>
      </x:c>
      <x:c r="M735" s="12"/>
      <x:c r="N735" s="12"/>
      <x:c r="O735" s="12"/>
    </x:row>
    <x:row r="736" ht="39" customHeight="1">
      <x:c r="A736" s="12" t="str">
        <x:v>6590</x:v>
      </x:c>
      <x:c r="B736" s="12" t="str">
        <x:v>2180</x:v>
      </x:c>
      <x:c r="C736" s="12" t="str">
        <x:v>参考000</x:v>
      </x:c>
      <x:c r="D736" s="12" t="str">
        <x:v>自动000</x:v>
      </x:c>
      <x:c r="E736" s="12" t="n">
        <x:v>0</x:v>
      </x:c>
      <x:c r="F736" s="12" t="n">
        <x:v>0</x:v>
      </x:c>
      <x:c r="G736" s="12" t="n">
        <x:v>0</x:v>
      </x:c>
      <x:c r="H736" s="12" t="n">
        <x:f>IF(SUM(I736:K736)&gt;0,1,0)</x:f>
        <x:v>0</x:v>
      </x:c>
      <x:c r="I736" s="12" t="n">
        <x:f>IF('患者配对'!M799="positive",1,0)</x:f>
        <x:v>0</x:v>
      </x:c>
      <x:c r="J736" s="12" t="n">
        <x:f>IF('患者配对'!R799="positive",1,0)</x:f>
        <x:v>0</x:v>
      </x:c>
      <x:c r="K736" s="12" t="n">
        <x:f>IF('患者配对'!W799="positive",1,0)</x:f>
        <x:v>0</x:v>
      </x:c>
      <x:c r="L736" s="12" t="str">
        <x:v>由原件与原状态取得；仅主队列索引</x:v>
      </x:c>
      <x:c r="M736" s="12"/>
      <x:c r="N736" s="12"/>
      <x:c r="O736" s="12"/>
    </x:row>
    <x:row r="737" ht="39" customHeight="1">
      <x:c r="A737" s="12" t="str">
        <x:v>6592</x:v>
      </x:c>
      <x:c r="B737" s="12" t="str">
        <x:v>1586</x:v>
      </x:c>
      <x:c r="C737" s="12" t="str">
        <x:v>参考000</x:v>
      </x:c>
      <x:c r="D737" s="12" t="str">
        <x:v>自动000</x:v>
      </x:c>
      <x:c r="E737" s="12" t="n">
        <x:v>0</x:v>
      </x:c>
      <x:c r="F737" s="12" t="n">
        <x:v>0</x:v>
      </x:c>
      <x:c r="G737" s="12" t="n">
        <x:v>0</x:v>
      </x:c>
      <x:c r="H737" s="12" t="n">
        <x:f>IF(SUM(I737:K737)&gt;0,1,0)</x:f>
        <x:v>0</x:v>
      </x:c>
      <x:c r="I737" s="12" t="n">
        <x:f>IF('患者配对'!M800="positive",1,0)</x:f>
        <x:v>0</x:v>
      </x:c>
      <x:c r="J737" s="12" t="n">
        <x:f>IF('患者配对'!R800="positive",1,0)</x:f>
        <x:v>0</x:v>
      </x:c>
      <x:c r="K737" s="12" t="n">
        <x:f>IF('患者配对'!W800="positive",1,0)</x:f>
        <x:v>0</x:v>
      </x:c>
      <x:c r="L737" s="12" t="str">
        <x:v>由原件与原状态取得；仅主队列索引</x:v>
      </x:c>
      <x:c r="M737" s="12"/>
      <x:c r="N737" s="12"/>
      <x:c r="O737" s="12"/>
    </x:row>
    <x:row r="738" ht="39" customHeight="1">
      <x:c r="A738" s="12" t="str">
        <x:v>6625</x:v>
      </x:c>
      <x:c r="B738" s="12" t="str">
        <x:v>4822</x:v>
      </x:c>
      <x:c r="C738" s="12" t="str">
        <x:v>参考000</x:v>
      </x:c>
      <x:c r="D738" s="12" t="str">
        <x:v>自动000</x:v>
      </x:c>
      <x:c r="E738" s="12" t="n">
        <x:v>0</x:v>
      </x:c>
      <x:c r="F738" s="12" t="n">
        <x:v>0</x:v>
      </x:c>
      <x:c r="G738" s="12" t="n">
        <x:v>0</x:v>
      </x:c>
      <x:c r="H738" s="12" t="n">
        <x:f>IF(SUM(I738:K738)&gt;0,1,0)</x:f>
        <x:v>0</x:v>
      </x:c>
      <x:c r="I738" s="12" t="n">
        <x:f>IF('患者配对'!M801="positive",1,0)</x:f>
        <x:v>0</x:v>
      </x:c>
      <x:c r="J738" s="12" t="n">
        <x:f>IF('患者配对'!R801="positive",1,0)</x:f>
        <x:v>0</x:v>
      </x:c>
      <x:c r="K738" s="12" t="n">
        <x:f>IF('患者配对'!W801="positive",1,0)</x:f>
        <x:v>0</x:v>
      </x:c>
      <x:c r="L738" s="12" t="str">
        <x:v>由原件与原状态取得；仅主队列索引</x:v>
      </x:c>
      <x:c r="M738" s="12"/>
      <x:c r="N738" s="12"/>
      <x:c r="O738" s="12"/>
    </x:row>
    <x:row r="739" ht="39" customHeight="1">
      <x:c r="A739" s="12" t="str">
        <x:v>6670</x:v>
      </x:c>
      <x:c r="B739" s="12" t="str">
        <x:v>5601</x:v>
      </x:c>
      <x:c r="C739" s="12" t="str">
        <x:v>参考000</x:v>
      </x:c>
      <x:c r="D739" s="12" t="str">
        <x:v>自动000</x:v>
      </x:c>
      <x:c r="E739" s="12" t="n">
        <x:v>0</x:v>
      </x:c>
      <x:c r="F739" s="12" t="n">
        <x:v>0</x:v>
      </x:c>
      <x:c r="G739" s="12" t="n">
        <x:v>0</x:v>
      </x:c>
      <x:c r="H739" s="12" t="n">
        <x:f>IF(SUM(I739:K739)&gt;0,1,0)</x:f>
        <x:v>0</x:v>
      </x:c>
      <x:c r="I739" s="12" t="n">
        <x:f>IF('患者配对'!M803="positive",1,0)</x:f>
        <x:v>0</x:v>
      </x:c>
      <x:c r="J739" s="12" t="n">
        <x:f>IF('患者配对'!R803="positive",1,0)</x:f>
        <x:v>0</x:v>
      </x:c>
      <x:c r="K739" s="12" t="n">
        <x:f>IF('患者配对'!W803="positive",1,0)</x:f>
        <x:v>0</x:v>
      </x:c>
      <x:c r="L739" s="12" t="str">
        <x:v>由原件与原状态取得；仅主队列索引</x:v>
      </x:c>
      <x:c r="M739" s="12"/>
      <x:c r="N739" s="12"/>
      <x:c r="O739" s="12"/>
    </x:row>
    <x:row r="740" ht="39" customHeight="1">
      <x:c r="A740" s="12" t="str">
        <x:v>6672</x:v>
      </x:c>
      <x:c r="B740" s="12" t="str">
        <x:v>20643</x:v>
      </x:c>
      <x:c r="C740" s="12" t="str">
        <x:v>参考000</x:v>
      </x:c>
      <x:c r="D740" s="12" t="str">
        <x:v>自动000</x:v>
      </x:c>
      <x:c r="E740" s="12" t="n">
        <x:v>0</x:v>
      </x:c>
      <x:c r="F740" s="12" t="n">
        <x:v>0</x:v>
      </x:c>
      <x:c r="G740" s="12" t="n">
        <x:v>0</x:v>
      </x:c>
      <x:c r="H740" s="12" t="n">
        <x:f>IF(SUM(I740:K740)&gt;0,1,0)</x:f>
        <x:v>0</x:v>
      </x:c>
      <x:c r="I740" s="12" t="n">
        <x:f>IF('患者配对'!M804="positive",1,0)</x:f>
        <x:v>0</x:v>
      </x:c>
      <x:c r="J740" s="12" t="n">
        <x:f>IF('患者配对'!R804="positive",1,0)</x:f>
        <x:v>0</x:v>
      </x:c>
      <x:c r="K740" s="12" t="n">
        <x:f>IF('患者配对'!W804="positive",1,0)</x:f>
        <x:v>0</x:v>
      </x:c>
      <x:c r="L740" s="12" t="str">
        <x:v>由原件与原状态取得；仅主队列索引</x:v>
      </x:c>
      <x:c r="M740" s="12"/>
      <x:c r="N740" s="12"/>
      <x:c r="O740" s="12"/>
    </x:row>
    <x:row r="741" ht="39" customHeight="1">
      <x:c r="A741" s="12" t="str">
        <x:v>6683</x:v>
      </x:c>
      <x:c r="B741" s="12" t="str">
        <x:v>14039</x:v>
      </x:c>
      <x:c r="C741" s="12" t="str">
        <x:v>参考000</x:v>
      </x:c>
      <x:c r="D741" s="12" t="str">
        <x:v>自动000</x:v>
      </x:c>
      <x:c r="E741" s="12" t="n">
        <x:v>0</x:v>
      </x:c>
      <x:c r="F741" s="12" t="n">
        <x:v>0</x:v>
      </x:c>
      <x:c r="G741" s="12" t="n">
        <x:v>0</x:v>
      </x:c>
      <x:c r="H741" s="12" t="n">
        <x:f>IF(SUM(I741:K741)&gt;0,1,0)</x:f>
        <x:v>0</x:v>
      </x:c>
      <x:c r="I741" s="12" t="n">
        <x:f>IF('患者配对'!M805="positive",1,0)</x:f>
        <x:v>0</x:v>
      </x:c>
      <x:c r="J741" s="12" t="n">
        <x:f>IF('患者配对'!R805="positive",1,0)</x:f>
        <x:v>0</x:v>
      </x:c>
      <x:c r="K741" s="12" t="n">
        <x:f>IF('患者配对'!W805="positive",1,0)</x:f>
        <x:v>0</x:v>
      </x:c>
      <x:c r="L741" s="12" t="str">
        <x:v>由原件与原状态取得；仅主队列索引</x:v>
      </x:c>
      <x:c r="M741" s="12"/>
      <x:c r="N741" s="12"/>
      <x:c r="O741" s="12"/>
    </x:row>
    <x:row r="742" ht="39" customHeight="1">
      <x:c r="A742" s="12" t="str">
        <x:v>6735</x:v>
      </x:c>
      <x:c r="B742" s="12" t="str">
        <x:v>2381</x:v>
      </x:c>
      <x:c r="C742" s="12" t="str">
        <x:v>参考100</x:v>
      </x:c>
      <x:c r="D742" s="12" t="str">
        <x:v>自动100</x:v>
      </x:c>
      <x:c r="E742" s="12" t="n">
        <x:v>1</x:v>
      </x:c>
      <x:c r="F742" s="12" t="n">
        <x:v>1</x:v>
      </x:c>
      <x:c r="G742" s="12" t="n">
        <x:v>0</x:v>
      </x:c>
      <x:c r="H742" s="12" t="n">
        <x:f>IF(SUM(I742:K742)&gt;0,1,0)</x:f>
        <x:v>1</x:v>
      </x:c>
      <x:c r="I742" s="12" t="n">
        <x:f>IF('患者配对'!M807="positive",1,0)</x:f>
        <x:v>1</x:v>
      </x:c>
      <x:c r="J742" s="12" t="n">
        <x:f>IF('患者配对'!R807="positive",1,0)</x:f>
        <x:v>0</x:v>
      </x:c>
      <x:c r="K742" s="12" t="n">
        <x:f>IF('患者配对'!W807="positive",1,0)</x:f>
        <x:v>0</x:v>
      </x:c>
      <x:c r="L742" s="12" t="str">
        <x:v>由原件与原状态取得；仅主队列索引</x:v>
      </x:c>
      <x:c r="M742" s="12"/>
      <x:c r="N742" s="12"/>
      <x:c r="O742" s="12"/>
    </x:row>
    <x:row r="743" ht="39" customHeight="1">
      <x:c r="A743" s="12" t="str">
        <x:v>6751</x:v>
      </x:c>
      <x:c r="B743" s="12" t="str">
        <x:v>11767</x:v>
      </x:c>
      <x:c r="C743" s="12" t="str">
        <x:v>参考000</x:v>
      </x:c>
      <x:c r="D743" s="12" t="str">
        <x:v>自动000</x:v>
      </x:c>
      <x:c r="E743" s="12" t="n">
        <x:v>0</x:v>
      </x:c>
      <x:c r="F743" s="12" t="n">
        <x:v>0</x:v>
      </x:c>
      <x:c r="G743" s="12" t="n">
        <x:v>0</x:v>
      </x:c>
      <x:c r="H743" s="12" t="n">
        <x:f>IF(SUM(I743:K743)&gt;0,1,0)</x:f>
        <x:v>0</x:v>
      </x:c>
      <x:c r="I743" s="12" t="n">
        <x:f>IF('患者配对'!M808="positive",1,0)</x:f>
        <x:v>0</x:v>
      </x:c>
      <x:c r="J743" s="12" t="n">
        <x:f>IF('患者配对'!R808="positive",1,0)</x:f>
        <x:v>0</x:v>
      </x:c>
      <x:c r="K743" s="12" t="n">
        <x:f>IF('患者配对'!W808="positive",1,0)</x:f>
        <x:v>0</x:v>
      </x:c>
      <x:c r="L743" s="12" t="str">
        <x:v>由原件与原状态取得；仅主队列索引</x:v>
      </x:c>
      <x:c r="M743" s="12"/>
      <x:c r="N743" s="12"/>
      <x:c r="O743" s="12"/>
    </x:row>
    <x:row r="744" ht="39" customHeight="1">
      <x:c r="A744" s="12" t="str">
        <x:v>6776</x:v>
      </x:c>
      <x:c r="B744" s="12" t="str">
        <x:v>11613</x:v>
      </x:c>
      <x:c r="C744" s="12" t="str">
        <x:v>参考000</x:v>
      </x:c>
      <x:c r="D744" s="12" t="str">
        <x:v>自动000</x:v>
      </x:c>
      <x:c r="E744" s="12" t="n">
        <x:v>0</x:v>
      </x:c>
      <x:c r="F744" s="12" t="n">
        <x:v>0</x:v>
      </x:c>
      <x:c r="G744" s="12" t="n">
        <x:v>0</x:v>
      </x:c>
      <x:c r="H744" s="12" t="n">
        <x:f>IF(SUM(I744:K744)&gt;0,1,0)</x:f>
        <x:v>0</x:v>
      </x:c>
      <x:c r="I744" s="12" t="n">
        <x:f>IF('患者配对'!M809="positive",1,0)</x:f>
        <x:v>0</x:v>
      </x:c>
      <x:c r="J744" s="12" t="n">
        <x:f>IF('患者配对'!R809="positive",1,0)</x:f>
        <x:v>0</x:v>
      </x:c>
      <x:c r="K744" s="12" t="n">
        <x:f>IF('患者配对'!W809="positive",1,0)</x:f>
        <x:v>0</x:v>
      </x:c>
      <x:c r="L744" s="12" t="str">
        <x:v>由原件与原状态取得；仅主队列索引</x:v>
      </x:c>
      <x:c r="M744" s="12"/>
      <x:c r="N744" s="12"/>
      <x:c r="O744" s="12"/>
    </x:row>
    <x:row r="745" ht="39" customHeight="1">
      <x:c r="A745" s="12" t="str">
        <x:v>6788</x:v>
      </x:c>
      <x:c r="B745" s="12" t="str">
        <x:v>1487</x:v>
      </x:c>
      <x:c r="C745" s="12" t="str">
        <x:v>参考000</x:v>
      </x:c>
      <x:c r="D745" s="12" t="str">
        <x:v>自动000</x:v>
      </x:c>
      <x:c r="E745" s="12" t="n">
        <x:v>0</x:v>
      </x:c>
      <x:c r="F745" s="12" t="n">
        <x:v>0</x:v>
      </x:c>
      <x:c r="G745" s="12" t="n">
        <x:v>0</x:v>
      </x:c>
      <x:c r="H745" s="12" t="n">
        <x:f>IF(SUM(I745:K745)&gt;0,1,0)</x:f>
        <x:v>0</x:v>
      </x:c>
      <x:c r="I745" s="12" t="n">
        <x:f>IF('患者配对'!M810="positive",1,0)</x:f>
        <x:v>0</x:v>
      </x:c>
      <x:c r="J745" s="12" t="n">
        <x:f>IF('患者配对'!R810="positive",1,0)</x:f>
        <x:v>0</x:v>
      </x:c>
      <x:c r="K745" s="12" t="n">
        <x:f>IF('患者配对'!W810="positive",1,0)</x:f>
        <x:v>0</x:v>
      </x:c>
      <x:c r="L745" s="12" t="str">
        <x:v>由原件与原状态取得；仅主队列索引</x:v>
      </x:c>
      <x:c r="M745" s="12"/>
      <x:c r="N745" s="12"/>
      <x:c r="O745" s="12"/>
    </x:row>
    <x:row r="746" ht="39" customHeight="1">
      <x:c r="A746" s="12" t="str">
        <x:v>6796</x:v>
      </x:c>
      <x:c r="B746" s="12" t="str">
        <x:v>19527</x:v>
      </x:c>
      <x:c r="C746" s="12" t="str">
        <x:v>参考000</x:v>
      </x:c>
      <x:c r="D746" s="12" t="str">
        <x:v>自动000</x:v>
      </x:c>
      <x:c r="E746" s="12" t="n">
        <x:v>0</x:v>
      </x:c>
      <x:c r="F746" s="12" t="n">
        <x:v>0</x:v>
      </x:c>
      <x:c r="G746" s="12" t="n">
        <x:v>0</x:v>
      </x:c>
      <x:c r="H746" s="12" t="n">
        <x:f>IF(SUM(I746:K746)&gt;0,1,0)</x:f>
        <x:v>0</x:v>
      </x:c>
      <x:c r="I746" s="12" t="n">
        <x:f>IF('患者配对'!M812="positive",1,0)</x:f>
        <x:v>0</x:v>
      </x:c>
      <x:c r="J746" s="12" t="n">
        <x:f>IF('患者配对'!R812="positive",1,0)</x:f>
        <x:v>0</x:v>
      </x:c>
      <x:c r="K746" s="12" t="n">
        <x:f>IF('患者配对'!W812="positive",1,0)</x:f>
        <x:v>0</x:v>
      </x:c>
      <x:c r="L746" s="12" t="str">
        <x:v>由原件与原状态取得；仅主队列索引</x:v>
      </x:c>
      <x:c r="M746" s="12"/>
      <x:c r="N746" s="12"/>
      <x:c r="O746" s="12"/>
    </x:row>
    <x:row r="747" ht="39" customHeight="1">
      <x:c r="A747" s="12" t="str">
        <x:v>6852</x:v>
      </x:c>
      <x:c r="B747" s="12" t="str">
        <x:v>8264</x:v>
      </x:c>
      <x:c r="C747" s="12" t="str">
        <x:v>参考000</x:v>
      </x:c>
      <x:c r="D747" s="12" t="str">
        <x:v>自动000</x:v>
      </x:c>
      <x:c r="E747" s="12" t="n">
        <x:v>0</x:v>
      </x:c>
      <x:c r="F747" s="12" t="n">
        <x:v>0</x:v>
      </x:c>
      <x:c r="G747" s="12" t="n">
        <x:v>0</x:v>
      </x:c>
      <x:c r="H747" s="12" t="n">
        <x:f>IF(SUM(I747:K747)&gt;0,1,0)</x:f>
        <x:v>0</x:v>
      </x:c>
      <x:c r="I747" s="12" t="n">
        <x:f>IF('患者配对'!M814="positive",1,0)</x:f>
        <x:v>0</x:v>
      </x:c>
      <x:c r="J747" s="12" t="n">
        <x:f>IF('患者配对'!R814="positive",1,0)</x:f>
        <x:v>0</x:v>
      </x:c>
      <x:c r="K747" s="12" t="n">
        <x:f>IF('患者配对'!W814="positive",1,0)</x:f>
        <x:v>0</x:v>
      </x:c>
      <x:c r="L747" s="12" t="str">
        <x:v>由原件与原状态取得；仅主队列索引</x:v>
      </x:c>
      <x:c r="M747" s="12"/>
      <x:c r="N747" s="12"/>
      <x:c r="O747" s="12"/>
    </x:row>
    <x:row r="748" ht="39" customHeight="1">
      <x:c r="A748" s="12" t="str">
        <x:v>6902</x:v>
      </x:c>
      <x:c r="B748" s="12" t="str">
        <x:v>8388</x:v>
      </x:c>
      <x:c r="C748" s="12" t="str">
        <x:v>参考000</x:v>
      </x:c>
      <x:c r="D748" s="12" t="str">
        <x:v>自动000</x:v>
      </x:c>
      <x:c r="E748" s="12" t="n">
        <x:v>0</x:v>
      </x:c>
      <x:c r="F748" s="12" t="n">
        <x:v>0</x:v>
      </x:c>
      <x:c r="G748" s="12" t="n">
        <x:v>0</x:v>
      </x:c>
      <x:c r="H748" s="12" t="n">
        <x:f>IF(SUM(I748:K748)&gt;0,1,0)</x:f>
        <x:v>0</x:v>
      </x:c>
      <x:c r="I748" s="12" t="n">
        <x:f>IF('患者配对'!M815="positive",1,0)</x:f>
        <x:v>0</x:v>
      </x:c>
      <x:c r="J748" s="12" t="n">
        <x:f>IF('患者配对'!R815="positive",1,0)</x:f>
        <x:v>0</x:v>
      </x:c>
      <x:c r="K748" s="12" t="n">
        <x:f>IF('患者配对'!W815="positive",1,0)</x:f>
        <x:v>0</x:v>
      </x:c>
      <x:c r="L748" s="12" t="str">
        <x:v>由原件与原状态取得；仅主队列索引</x:v>
      </x:c>
      <x:c r="M748" s="12"/>
      <x:c r="N748" s="12"/>
      <x:c r="O748" s="12"/>
    </x:row>
    <x:row r="749" ht="39" customHeight="1">
      <x:c r="A749" s="12" t="str">
        <x:v>6903</x:v>
      </x:c>
      <x:c r="B749" s="12" t="str">
        <x:v>17323</x:v>
      </x:c>
      <x:c r="C749" s="12" t="str">
        <x:v>参考000</x:v>
      </x:c>
      <x:c r="D749" s="12" t="str">
        <x:v>自动000</x:v>
      </x:c>
      <x:c r="E749" s="12" t="n">
        <x:v>0</x:v>
      </x:c>
      <x:c r="F749" s="12" t="n">
        <x:v>0</x:v>
      </x:c>
      <x:c r="G749" s="12" t="n">
        <x:v>0</x:v>
      </x:c>
      <x:c r="H749" s="12" t="n">
        <x:f>IF(SUM(I749:K749)&gt;0,1,0)</x:f>
        <x:v>0</x:v>
      </x:c>
      <x:c r="I749" s="12" t="n">
        <x:f>IF('患者配对'!M816="positive",1,0)</x:f>
        <x:v>0</x:v>
      </x:c>
      <x:c r="J749" s="12" t="n">
        <x:f>IF('患者配对'!R816="positive",1,0)</x:f>
        <x:v>0</x:v>
      </x:c>
      <x:c r="K749" s="12" t="n">
        <x:f>IF('患者配对'!W816="positive",1,0)</x:f>
        <x:v>0</x:v>
      </x:c>
      <x:c r="L749" s="12" t="str">
        <x:v>由原件与原状态取得；仅主队列索引</x:v>
      </x:c>
      <x:c r="M749" s="12"/>
      <x:c r="N749" s="12"/>
      <x:c r="O749" s="12"/>
    </x:row>
    <x:row r="750" ht="39" customHeight="1">
      <x:c r="A750" s="12" t="str">
        <x:v>6911</x:v>
      </x:c>
      <x:c r="B750" s="12" t="str">
        <x:v>13387</x:v>
      </x:c>
      <x:c r="C750" s="12" t="str">
        <x:v>参考000</x:v>
      </x:c>
      <x:c r="D750" s="12" t="str">
        <x:v>自动000</x:v>
      </x:c>
      <x:c r="E750" s="12" t="n">
        <x:v>0</x:v>
      </x:c>
      <x:c r="F750" s="12" t="n">
        <x:v>0</x:v>
      </x:c>
      <x:c r="G750" s="12" t="n">
        <x:v>0</x:v>
      </x:c>
      <x:c r="H750" s="12" t="n">
        <x:f>IF(SUM(I750:K750)&gt;0,1,0)</x:f>
        <x:v>0</x:v>
      </x:c>
      <x:c r="I750" s="12" t="n">
        <x:f>IF('患者配对'!M817="positive",1,0)</x:f>
        <x:v>0</x:v>
      </x:c>
      <x:c r="J750" s="12" t="n">
        <x:f>IF('患者配对'!R817="positive",1,0)</x:f>
        <x:v>0</x:v>
      </x:c>
      <x:c r="K750" s="12" t="n">
        <x:f>IF('患者配对'!W817="positive",1,0)</x:f>
        <x:v>0</x:v>
      </x:c>
      <x:c r="L750" s="12" t="str">
        <x:v>由原件与原状态取得；仅主队列索引</x:v>
      </x:c>
      <x:c r="M750" s="12"/>
      <x:c r="N750" s="12"/>
      <x:c r="O750" s="12"/>
    </x:row>
    <x:row r="751" ht="39" customHeight="1">
      <x:c r="A751" s="12" t="str">
        <x:v>6912</x:v>
      </x:c>
      <x:c r="B751" s="12" t="str">
        <x:v>19057</x:v>
      </x:c>
      <x:c r="C751" s="12" t="str">
        <x:v>参考000</x:v>
      </x:c>
      <x:c r="D751" s="12" t="str">
        <x:v>自动000</x:v>
      </x:c>
      <x:c r="E751" s="12" t="n">
        <x:v>0</x:v>
      </x:c>
      <x:c r="F751" s="12" t="n">
        <x:v>0</x:v>
      </x:c>
      <x:c r="G751" s="12" t="n">
        <x:v>0</x:v>
      </x:c>
      <x:c r="H751" s="12" t="n">
        <x:f>IF(SUM(I751:K751)&gt;0,1,0)</x:f>
        <x:v>0</x:v>
      </x:c>
      <x:c r="I751" s="12" t="n">
        <x:f>IF('患者配对'!M818="positive",1,0)</x:f>
        <x:v>0</x:v>
      </x:c>
      <x:c r="J751" s="12" t="n">
        <x:f>IF('患者配对'!R818="positive",1,0)</x:f>
        <x:v>0</x:v>
      </x:c>
      <x:c r="K751" s="12" t="n">
        <x:f>IF('患者配对'!W818="positive",1,0)</x:f>
        <x:v>0</x:v>
      </x:c>
      <x:c r="L751" s="12" t="str">
        <x:v>由原件与原状态取得；仅主队列索引</x:v>
      </x:c>
      <x:c r="M751" s="12"/>
      <x:c r="N751" s="12"/>
      <x:c r="O751" s="12"/>
    </x:row>
    <x:row r="752" ht="39" customHeight="1">
      <x:c r="A752" s="12" t="str">
        <x:v>6924</x:v>
      </x:c>
      <x:c r="B752" s="12" t="str">
        <x:v>14695</x:v>
      </x:c>
      <x:c r="C752" s="12" t="str">
        <x:v>参考000</x:v>
      </x:c>
      <x:c r="D752" s="12" t="str">
        <x:v>自动000</x:v>
      </x:c>
      <x:c r="E752" s="12" t="n">
        <x:v>0</x:v>
      </x:c>
      <x:c r="F752" s="12" t="n">
        <x:v>0</x:v>
      </x:c>
      <x:c r="G752" s="12" t="n">
        <x:v>0</x:v>
      </x:c>
      <x:c r="H752" s="12" t="n">
        <x:f>IF(SUM(I752:K752)&gt;0,1,0)</x:f>
        <x:v>0</x:v>
      </x:c>
      <x:c r="I752" s="12" t="n">
        <x:f>IF('患者配对'!M819="positive",1,0)</x:f>
        <x:v>0</x:v>
      </x:c>
      <x:c r="J752" s="12" t="n">
        <x:f>IF('患者配对'!R819="positive",1,0)</x:f>
        <x:v>0</x:v>
      </x:c>
      <x:c r="K752" s="12" t="n">
        <x:f>IF('患者配对'!W819="positive",1,0)</x:f>
        <x:v>0</x:v>
      </x:c>
      <x:c r="L752" s="12" t="str">
        <x:v>由原件与原状态取得；仅主队列索引</x:v>
      </x:c>
      <x:c r="M752" s="12"/>
      <x:c r="N752" s="12"/>
      <x:c r="O752" s="12"/>
    </x:row>
    <x:row r="753" ht="39" customHeight="1">
      <x:c r="A753" s="12" t="str">
        <x:v>6925</x:v>
      </x:c>
      <x:c r="B753" s="12" t="str">
        <x:v>10643</x:v>
      </x:c>
      <x:c r="C753" s="12" t="str">
        <x:v>参考000</x:v>
      </x:c>
      <x:c r="D753" s="12" t="str">
        <x:v>自动000</x:v>
      </x:c>
      <x:c r="E753" s="12" t="n">
        <x:v>0</x:v>
      </x:c>
      <x:c r="F753" s="12" t="n">
        <x:v>0</x:v>
      </x:c>
      <x:c r="G753" s="12" t="n">
        <x:v>0</x:v>
      </x:c>
      <x:c r="H753" s="12" t="n">
        <x:f>IF(SUM(I753:K753)&gt;0,1,0)</x:f>
        <x:v>0</x:v>
      </x:c>
      <x:c r="I753" s="12" t="n">
        <x:f>IF('患者配对'!M820="positive",1,0)</x:f>
        <x:v>0</x:v>
      </x:c>
      <x:c r="J753" s="12" t="n">
        <x:f>IF('患者配对'!R820="positive",1,0)</x:f>
        <x:v>0</x:v>
      </x:c>
      <x:c r="K753" s="12" t="n">
        <x:f>IF('患者配对'!W820="positive",1,0)</x:f>
        <x:v>0</x:v>
      </x:c>
      <x:c r="L753" s="12" t="str">
        <x:v>由原件与原状态取得；仅主队列索引</x:v>
      </x:c>
      <x:c r="M753" s="12"/>
      <x:c r="N753" s="12"/>
      <x:c r="O753" s="12"/>
    </x:row>
    <x:row r="754" ht="39" customHeight="1">
      <x:c r="A754" s="12" t="str">
        <x:v>6929</x:v>
      </x:c>
      <x:c r="B754" s="12" t="str">
        <x:v>2765</x:v>
      </x:c>
      <x:c r="C754" s="12" t="str">
        <x:v>参考000</x:v>
      </x:c>
      <x:c r="D754" s="12" t="str">
        <x:v>自动000</x:v>
      </x:c>
      <x:c r="E754" s="12" t="n">
        <x:v>0</x:v>
      </x:c>
      <x:c r="F754" s="12" t="n">
        <x:v>0</x:v>
      </x:c>
      <x:c r="G754" s="12" t="n">
        <x:v>0</x:v>
      </x:c>
      <x:c r="H754" s="12" t="n">
        <x:f>IF(SUM(I754:K754)&gt;0,1,0)</x:f>
        <x:v>0</x:v>
      </x:c>
      <x:c r="I754" s="12" t="n">
        <x:f>IF('患者配对'!M821="positive",1,0)</x:f>
        <x:v>0</x:v>
      </x:c>
      <x:c r="J754" s="12" t="n">
        <x:f>IF('患者配对'!R821="positive",1,0)</x:f>
        <x:v>0</x:v>
      </x:c>
      <x:c r="K754" s="12" t="n">
        <x:f>IF('患者配对'!W821="positive",1,0)</x:f>
        <x:v>0</x:v>
      </x:c>
      <x:c r="L754" s="12" t="str">
        <x:v>由原件与原状态取得；仅主队列索引</x:v>
      </x:c>
      <x:c r="M754" s="12"/>
      <x:c r="N754" s="12"/>
      <x:c r="O754" s="12"/>
    </x:row>
    <x:row r="755" ht="39" customHeight="1">
      <x:c r="A755" s="12" t="str">
        <x:v>6951</x:v>
      </x:c>
      <x:c r="B755" s="12" t="str">
        <x:v>7057</x:v>
      </x:c>
      <x:c r="C755" s="12" t="str">
        <x:v>参考000</x:v>
      </x:c>
      <x:c r="D755" s="12" t="str">
        <x:v>自动000</x:v>
      </x:c>
      <x:c r="E755" s="12" t="n">
        <x:v>0</x:v>
      </x:c>
      <x:c r="F755" s="12" t="n">
        <x:v>0</x:v>
      </x:c>
      <x:c r="G755" s="12" t="n">
        <x:v>0</x:v>
      </x:c>
      <x:c r="H755" s="12" t="n">
        <x:f>IF(SUM(I755:K755)&gt;0,1,0)</x:f>
        <x:v>0</x:v>
      </x:c>
      <x:c r="I755" s="12" t="n">
        <x:f>IF('患者配对'!M822="positive",1,0)</x:f>
        <x:v>0</x:v>
      </x:c>
      <x:c r="J755" s="12" t="n">
        <x:f>IF('患者配对'!R822="positive",1,0)</x:f>
        <x:v>0</x:v>
      </x:c>
      <x:c r="K755" s="12" t="n">
        <x:f>IF('患者配对'!W822="positive",1,0)</x:f>
        <x:v>0</x:v>
      </x:c>
      <x:c r="L755" s="12" t="str">
        <x:v>由原件与原状态取得；仅主队列索引</x:v>
      </x:c>
      <x:c r="M755" s="12"/>
      <x:c r="N755" s="12"/>
      <x:c r="O755" s="12"/>
    </x:row>
    <x:row r="756" ht="39" customHeight="1">
      <x:c r="A756" s="12" t="str">
        <x:v>6962</x:v>
      </x:c>
      <x:c r="B756" s="12" t="str">
        <x:v>5910</x:v>
      </x:c>
      <x:c r="C756" s="12" t="str">
        <x:v>参考000</x:v>
      </x:c>
      <x:c r="D756" s="12" t="str">
        <x:v>自动000</x:v>
      </x:c>
      <x:c r="E756" s="12" t="n">
        <x:v>0</x:v>
      </x:c>
      <x:c r="F756" s="12" t="n">
        <x:v>0</x:v>
      </x:c>
      <x:c r="G756" s="12" t="n">
        <x:v>0</x:v>
      </x:c>
      <x:c r="H756" s="12" t="n">
        <x:f>IF(SUM(I756:K756)&gt;0,1,0)</x:f>
        <x:v>0</x:v>
      </x:c>
      <x:c r="I756" s="12" t="n">
        <x:f>IF('患者配对'!M823="positive",1,0)</x:f>
        <x:v>0</x:v>
      </x:c>
      <x:c r="J756" s="12" t="n">
        <x:f>IF('患者配对'!R823="positive",1,0)</x:f>
        <x:v>0</x:v>
      </x:c>
      <x:c r="K756" s="12" t="n">
        <x:f>IF('患者配对'!W823="positive",1,0)</x:f>
        <x:v>0</x:v>
      </x:c>
      <x:c r="L756" s="12" t="str">
        <x:v>由原件与原状态取得；仅主队列索引</x:v>
      </x:c>
      <x:c r="M756" s="12"/>
      <x:c r="N756" s="12"/>
      <x:c r="O756" s="12"/>
    </x:row>
    <x:row r="757" ht="39" customHeight="1">
      <x:c r="A757" s="12" t="str">
        <x:v>6992</x:v>
      </x:c>
      <x:c r="B757" s="12" t="str">
        <x:v>21667</x:v>
      </x:c>
      <x:c r="C757" s="12" t="str">
        <x:v>参考000</x:v>
      </x:c>
      <x:c r="D757" s="12" t="str">
        <x:v>自动000</x:v>
      </x:c>
      <x:c r="E757" s="12" t="n">
        <x:v>0</x:v>
      </x:c>
      <x:c r="F757" s="12" t="n">
        <x:v>0</x:v>
      </x:c>
      <x:c r="G757" s="12" t="n">
        <x:v>0</x:v>
      </x:c>
      <x:c r="H757" s="12" t="n">
        <x:f>IF(SUM(I757:K757)&gt;0,1,0)</x:f>
        <x:v>0</x:v>
      </x:c>
      <x:c r="I757" s="12" t="n">
        <x:f>IF('患者配对'!M824="positive",1,0)</x:f>
        <x:v>0</x:v>
      </x:c>
      <x:c r="J757" s="12" t="n">
        <x:f>IF('患者配对'!R824="positive",1,0)</x:f>
        <x:v>0</x:v>
      </x:c>
      <x:c r="K757" s="12" t="n">
        <x:f>IF('患者配对'!W824="positive",1,0)</x:f>
        <x:v>0</x:v>
      </x:c>
      <x:c r="L757" s="12" t="str">
        <x:v>由原件与原状态取得；仅主队列索引</x:v>
      </x:c>
      <x:c r="M757" s="12"/>
      <x:c r="N757" s="12"/>
      <x:c r="O757" s="12"/>
    </x:row>
    <x:row r="758" ht="39" customHeight="1">
      <x:c r="A758" s="12" t="str">
        <x:v>7003</x:v>
      </x:c>
      <x:c r="B758" s="12" t="str">
        <x:v>1399</x:v>
      </x:c>
      <x:c r="C758" s="12" t="str">
        <x:v>参考000</x:v>
      </x:c>
      <x:c r="D758" s="12" t="str">
        <x:v>自动000</x:v>
      </x:c>
      <x:c r="E758" s="12" t="n">
        <x:v>0</x:v>
      </x:c>
      <x:c r="F758" s="12" t="n">
        <x:v>1</x:v>
      </x:c>
      <x:c r="G758" s="12" t="n">
        <x:v>0</x:v>
      </x:c>
      <x:c r="H758" s="12" t="n">
        <x:f>IF(SUM(I758:K758)&gt;0,1,0)</x:f>
        <x:v>0</x:v>
      </x:c>
      <x:c r="I758" s="12" t="n">
        <x:f>IF('患者配对'!M825="positive",1,0)</x:f>
        <x:v>0</x:v>
      </x:c>
      <x:c r="J758" s="12" t="n">
        <x:f>IF('患者配对'!R825="positive",1,0)</x:f>
        <x:v>0</x:v>
      </x:c>
      <x:c r="K758" s="12" t="n">
        <x:f>IF('患者配对'!W825="positive",1,0)</x:f>
        <x:v>0</x:v>
      </x:c>
      <x:c r="L758" s="12" t="str">
        <x:v>由原件与原状态取得；仅主队列索引</x:v>
      </x:c>
      <x:c r="M758" s="12"/>
      <x:c r="N758" s="12"/>
      <x:c r="O758" s="12"/>
    </x:row>
    <x:row r="759" ht="39" customHeight="1">
      <x:c r="A759" s="12" t="str">
        <x:v>7007</x:v>
      </x:c>
      <x:c r="B759" s="12" t="str">
        <x:v>17490</x:v>
      </x:c>
      <x:c r="C759" s="12" t="str">
        <x:v>参考000</x:v>
      </x:c>
      <x:c r="D759" s="12" t="str">
        <x:v>自动000</x:v>
      </x:c>
      <x:c r="E759" s="12" t="n">
        <x:v>0</x:v>
      </x:c>
      <x:c r="F759" s="12" t="n">
        <x:v>0</x:v>
      </x:c>
      <x:c r="G759" s="12" t="n">
        <x:v>0</x:v>
      </x:c>
      <x:c r="H759" s="12" t="n">
        <x:f>IF(SUM(I759:K759)&gt;0,1,0)</x:f>
        <x:v>0</x:v>
      </x:c>
      <x:c r="I759" s="12" t="n">
        <x:f>IF('患者配对'!M826="positive",1,0)</x:f>
        <x:v>0</x:v>
      </x:c>
      <x:c r="J759" s="12" t="n">
        <x:f>IF('患者配对'!R826="positive",1,0)</x:f>
        <x:v>0</x:v>
      </x:c>
      <x:c r="K759" s="12" t="n">
        <x:f>IF('患者配对'!W826="positive",1,0)</x:f>
        <x:v>0</x:v>
      </x:c>
      <x:c r="L759" s="12" t="str">
        <x:v>由原件与原状态取得；仅主队列索引</x:v>
      </x:c>
      <x:c r="M759" s="12"/>
      <x:c r="N759" s="12"/>
      <x:c r="O759" s="12"/>
    </x:row>
    <x:row r="760" ht="39" customHeight="1">
      <x:c r="A760" s="12" t="str">
        <x:v>7022</x:v>
      </x:c>
      <x:c r="B760" s="12" t="str">
        <x:v>15504</x:v>
      </x:c>
      <x:c r="C760" s="12" t="str">
        <x:v>参考000</x:v>
      </x:c>
      <x:c r="D760" s="12" t="str">
        <x:v>自动000</x:v>
      </x:c>
      <x:c r="E760" s="12" t="n">
        <x:v>0</x:v>
      </x:c>
      <x:c r="F760" s="12" t="n">
        <x:v>0</x:v>
      </x:c>
      <x:c r="G760" s="12" t="n">
        <x:v>0</x:v>
      </x:c>
      <x:c r="H760" s="12" t="n">
        <x:f>IF(SUM(I760:K760)&gt;0,1,0)</x:f>
        <x:v>0</x:v>
      </x:c>
      <x:c r="I760" s="12" t="n">
        <x:f>IF('患者配对'!M828="positive",1,0)</x:f>
        <x:v>0</x:v>
      </x:c>
      <x:c r="J760" s="12" t="n">
        <x:f>IF('患者配对'!R828="positive",1,0)</x:f>
        <x:v>0</x:v>
      </x:c>
      <x:c r="K760" s="12" t="n">
        <x:f>IF('患者配对'!W828="positive",1,0)</x:f>
        <x:v>0</x:v>
      </x:c>
      <x:c r="L760" s="12" t="str">
        <x:v>由原件与原状态取得；仅主队列索引</x:v>
      </x:c>
      <x:c r="M760" s="12"/>
      <x:c r="N760" s="12"/>
      <x:c r="O760" s="12"/>
    </x:row>
    <x:row r="761" ht="39" customHeight="1">
      <x:c r="A761" s="12" t="str">
        <x:v>7024</x:v>
      </x:c>
      <x:c r="B761" s="12" t="str">
        <x:v>18366</x:v>
      </x:c>
      <x:c r="C761" s="12" t="str">
        <x:v>参考100</x:v>
      </x:c>
      <x:c r="D761" s="12" t="str">
        <x:v>自动100</x:v>
      </x:c>
      <x:c r="E761" s="12" t="n">
        <x:v>1</x:v>
      </x:c>
      <x:c r="F761" s="12" t="n">
        <x:v>1</x:v>
      </x:c>
      <x:c r="G761" s="12" t="n">
        <x:v>0</x:v>
      </x:c>
      <x:c r="H761" s="12" t="n">
        <x:f>IF(SUM(I761:K761)&gt;0,1,0)</x:f>
        <x:v>1</x:v>
      </x:c>
      <x:c r="I761" s="12" t="n">
        <x:f>IF('患者配对'!M829="positive",1,0)</x:f>
        <x:v>1</x:v>
      </x:c>
      <x:c r="J761" s="12" t="n">
        <x:f>IF('患者配对'!R829="positive",1,0)</x:f>
        <x:v>0</x:v>
      </x:c>
      <x:c r="K761" s="12" t="n">
        <x:f>IF('患者配对'!W829="positive",1,0)</x:f>
        <x:v>0</x:v>
      </x:c>
      <x:c r="L761" s="12" t="str">
        <x:v>由原件与原状态取得；仅主队列索引</x:v>
      </x:c>
      <x:c r="M761" s="12"/>
      <x:c r="N761" s="12"/>
      <x:c r="O761" s="12"/>
    </x:row>
    <x:row r="762" ht="39" customHeight="1">
      <x:c r="A762" s="12" t="str">
        <x:v>7025</x:v>
      </x:c>
      <x:c r="B762" s="12" t="str">
        <x:v>18514</x:v>
      </x:c>
      <x:c r="C762" s="12" t="str">
        <x:v>参考000</x:v>
      </x:c>
      <x:c r="D762" s="12" t="str">
        <x:v>自动000</x:v>
      </x:c>
      <x:c r="E762" s="12" t="n">
        <x:v>0</x:v>
      </x:c>
      <x:c r="F762" s="12" t="n">
        <x:v>0</x:v>
      </x:c>
      <x:c r="G762" s="12" t="n">
        <x:v>0</x:v>
      </x:c>
      <x:c r="H762" s="12" t="n">
        <x:f>IF(SUM(I762:K762)&gt;0,1,0)</x:f>
        <x:v>0</x:v>
      </x:c>
      <x:c r="I762" s="12" t="n">
        <x:f>IF('患者配对'!M830="positive",1,0)</x:f>
        <x:v>0</x:v>
      </x:c>
      <x:c r="J762" s="12" t="n">
        <x:f>IF('患者配对'!R830="positive",1,0)</x:f>
        <x:v>0</x:v>
      </x:c>
      <x:c r="K762" s="12" t="n">
        <x:f>IF('患者配对'!W830="positive",1,0)</x:f>
        <x:v>0</x:v>
      </x:c>
      <x:c r="L762" s="12" t="str">
        <x:v>由原件与原状态取得；仅主队列索引</x:v>
      </x:c>
      <x:c r="M762" s="12"/>
      <x:c r="N762" s="12"/>
      <x:c r="O762" s="12"/>
    </x:row>
    <x:row r="763" ht="39" customHeight="1">
      <x:c r="A763" s="12" t="str">
        <x:v>7034</x:v>
      </x:c>
      <x:c r="B763" s="12" t="str">
        <x:v>10555</x:v>
      </x:c>
      <x:c r="C763" s="12" t="str">
        <x:v>参考000</x:v>
      </x:c>
      <x:c r="D763" s="12" t="str">
        <x:v>自动000</x:v>
      </x:c>
      <x:c r="E763" s="12" t="n">
        <x:v>0</x:v>
      </x:c>
      <x:c r="F763" s="12" t="n">
        <x:v>0</x:v>
      </x:c>
      <x:c r="G763" s="12" t="n">
        <x:v>0</x:v>
      </x:c>
      <x:c r="H763" s="12" t="n">
        <x:f>IF(SUM(I763:K763)&gt;0,1,0)</x:f>
        <x:v>0</x:v>
      </x:c>
      <x:c r="I763" s="12" t="n">
        <x:f>IF('患者配对'!M831="positive",1,0)</x:f>
        <x:v>0</x:v>
      </x:c>
      <x:c r="J763" s="12" t="n">
        <x:f>IF('患者配对'!R831="positive",1,0)</x:f>
        <x:v>0</x:v>
      </x:c>
      <x:c r="K763" s="12" t="n">
        <x:f>IF('患者配对'!W831="positive",1,0)</x:f>
        <x:v>0</x:v>
      </x:c>
      <x:c r="L763" s="12" t="str">
        <x:v>由原件与原状态取得；仅主队列索引</x:v>
      </x:c>
      <x:c r="M763" s="12"/>
      <x:c r="N763" s="12"/>
      <x:c r="O763" s="12"/>
    </x:row>
    <x:row r="764" ht="39" customHeight="1">
      <x:c r="A764" s="12" t="str">
        <x:v>7053</x:v>
      </x:c>
      <x:c r="B764" s="12" t="str">
        <x:v>10498</x:v>
      </x:c>
      <x:c r="C764" s="12" t="str">
        <x:v>参考000</x:v>
      </x:c>
      <x:c r="D764" s="12" t="str">
        <x:v>自动000</x:v>
      </x:c>
      <x:c r="E764" s="12" t="n">
        <x:v>0</x:v>
      </x:c>
      <x:c r="F764" s="12" t="n">
        <x:v>1</x:v>
      </x:c>
      <x:c r="G764" s="12" t="n">
        <x:v>0</x:v>
      </x:c>
      <x:c r="H764" s="12" t="n">
        <x:f>IF(SUM(I764:K764)&gt;0,1,0)</x:f>
        <x:v>0</x:v>
      </x:c>
      <x:c r="I764" s="12" t="n">
        <x:f>IF('患者配对'!M832="positive",1,0)</x:f>
        <x:v>0</x:v>
      </x:c>
      <x:c r="J764" s="12" t="n">
        <x:f>IF('患者配对'!R832="positive",1,0)</x:f>
        <x:v>0</x:v>
      </x:c>
      <x:c r="K764" s="12" t="n">
        <x:f>IF('患者配对'!W832="positive",1,0)</x:f>
        <x:v>0</x:v>
      </x:c>
      <x:c r="L764" s="12" t="str">
        <x:v>由原件与原状态取得；仅主队列索引</x:v>
      </x:c>
      <x:c r="M764" s="12"/>
      <x:c r="N764" s="12"/>
      <x:c r="O764" s="12"/>
    </x:row>
    <x:row r="765" ht="39" customHeight="1">
      <x:c r="A765" s="12" t="str">
        <x:v>7054</x:v>
      </x:c>
      <x:c r="B765" s="12" t="str">
        <x:v>12900</x:v>
      </x:c>
      <x:c r="C765" s="12" t="str">
        <x:v>参考000</x:v>
      </x:c>
      <x:c r="D765" s="12" t="str">
        <x:v>自动000</x:v>
      </x:c>
      <x:c r="E765" s="12" t="n">
        <x:v>0</x:v>
      </x:c>
      <x:c r="F765" s="12" t="n">
        <x:v>0</x:v>
      </x:c>
      <x:c r="G765" s="12" t="n">
        <x:v>0</x:v>
      </x:c>
      <x:c r="H765" s="12" t="n">
        <x:f>IF(SUM(I765:K765)&gt;0,1,0)</x:f>
        <x:v>0</x:v>
      </x:c>
      <x:c r="I765" s="12" t="n">
        <x:f>IF('患者配对'!M833="positive",1,0)</x:f>
        <x:v>0</x:v>
      </x:c>
      <x:c r="J765" s="12" t="n">
        <x:f>IF('患者配对'!R833="positive",1,0)</x:f>
        <x:v>0</x:v>
      </x:c>
      <x:c r="K765" s="12" t="n">
        <x:f>IF('患者配对'!W833="positive",1,0)</x:f>
        <x:v>0</x:v>
      </x:c>
      <x:c r="L765" s="12" t="str">
        <x:v>由原件与原状态取得；仅主队列索引</x:v>
      </x:c>
      <x:c r="M765" s="12"/>
      <x:c r="N765" s="12"/>
      <x:c r="O765" s="12"/>
    </x:row>
    <x:row r="766" ht="39" customHeight="1">
      <x:c r="A766" s="12" t="str">
        <x:v>7069</x:v>
      </x:c>
      <x:c r="B766" s="12" t="str">
        <x:v>21082</x:v>
      </x:c>
      <x:c r="C766" s="12" t="str">
        <x:v>参考000</x:v>
      </x:c>
      <x:c r="D766" s="12" t="str">
        <x:v>自动000</x:v>
      </x:c>
      <x:c r="E766" s="12" t="n">
        <x:v>0</x:v>
      </x:c>
      <x:c r="F766" s="12" t="n">
        <x:v>0</x:v>
      </x:c>
      <x:c r="G766" s="12" t="n">
        <x:v>0</x:v>
      </x:c>
      <x:c r="H766" s="12" t="n">
        <x:f>IF(SUM(I766:K766)&gt;0,1,0)</x:f>
        <x:v>0</x:v>
      </x:c>
      <x:c r="I766" s="12" t="n">
        <x:f>IF('患者配对'!M835="positive",1,0)</x:f>
        <x:v>0</x:v>
      </x:c>
      <x:c r="J766" s="12" t="n">
        <x:f>IF('患者配对'!R835="positive",1,0)</x:f>
        <x:v>0</x:v>
      </x:c>
      <x:c r="K766" s="12" t="n">
        <x:f>IF('患者配对'!W835="positive",1,0)</x:f>
        <x:v>0</x:v>
      </x:c>
      <x:c r="L766" s="12" t="str">
        <x:v>由原件与原状态取得；仅主队列索引</x:v>
      </x:c>
      <x:c r="M766" s="12"/>
      <x:c r="N766" s="12"/>
      <x:c r="O766" s="12"/>
    </x:row>
    <x:row r="767" ht="39" customHeight="1">
      <x:c r="A767" s="12" t="str">
        <x:v>7075</x:v>
      </x:c>
      <x:c r="B767" s="12" t="str">
        <x:v>4597</x:v>
      </x:c>
      <x:c r="C767" s="12" t="str">
        <x:v>参考000</x:v>
      </x:c>
      <x:c r="D767" s="12" t="str">
        <x:v>自动001</x:v>
      </x:c>
      <x:c r="E767" s="12" t="n">
        <x:v>1</x:v>
      </x:c>
      <x:c r="F767" s="12" t="n">
        <x:v>1</x:v>
      </x:c>
      <x:c r="G767" s="12" t="n">
        <x:v>1</x:v>
      </x:c>
      <x:c r="H767" s="12" t="n">
        <x:f>IF(SUM(I767:K767)&gt;0,1,0)</x:f>
        <x:v>0</x:v>
      </x:c>
      <x:c r="I767" s="12" t="n">
        <x:f>IF('患者配对'!M836="positive",1,0)</x:f>
        <x:v>0</x:v>
      </x:c>
      <x:c r="J767" s="12" t="n">
        <x:f>IF('患者配对'!R836="positive",1,0)</x:f>
        <x:v>0</x:v>
      </x:c>
      <x:c r="K767" s="12" t="n">
        <x:f>IF('患者配对'!W836="positive",1,0)</x:f>
        <x:v>0</x:v>
      </x:c>
      <x:c r="L767" s="12" t="str">
        <x:v>由原件与原状态取得；仅主队列索引</x:v>
      </x:c>
      <x:c r="M767" s="12"/>
      <x:c r="N767" s="12"/>
      <x:c r="O767" s="12"/>
    </x:row>
    <x:row r="768" ht="39" customHeight="1">
      <x:c r="A768" s="12" t="str">
        <x:v>7080</x:v>
      </x:c>
      <x:c r="B768" s="12" t="str">
        <x:v>11293</x:v>
      </x:c>
      <x:c r="C768" s="12" t="str">
        <x:v>参考000</x:v>
      </x:c>
      <x:c r="D768" s="12" t="str">
        <x:v>自动000</x:v>
      </x:c>
      <x:c r="E768" s="12" t="n">
        <x:v>0</x:v>
      </x:c>
      <x:c r="F768" s="12" t="n">
        <x:v>1</x:v>
      </x:c>
      <x:c r="G768" s="12" t="n">
        <x:v>0</x:v>
      </x:c>
      <x:c r="H768" s="12" t="n">
        <x:f>IF(SUM(I768:K768)&gt;0,1,0)</x:f>
        <x:v>0</x:v>
      </x:c>
      <x:c r="I768" s="12" t="n">
        <x:f>IF('患者配对'!M838="positive",1,0)</x:f>
        <x:v>0</x:v>
      </x:c>
      <x:c r="J768" s="12" t="n">
        <x:f>IF('患者配对'!R838="positive",1,0)</x:f>
        <x:v>0</x:v>
      </x:c>
      <x:c r="K768" s="12" t="n">
        <x:f>IF('患者配对'!W838="positive",1,0)</x:f>
        <x:v>0</x:v>
      </x:c>
      <x:c r="L768" s="12" t="str">
        <x:v>由原件与原状态取得；仅主队列索引</x:v>
      </x:c>
      <x:c r="M768" s="12"/>
      <x:c r="N768" s="12"/>
      <x:c r="O768" s="12"/>
    </x:row>
    <x:row r="769" ht="39" customHeight="1">
      <x:c r="A769" s="12" t="str">
        <x:v>7130</x:v>
      </x:c>
      <x:c r="B769" s="12" t="str">
        <x:v>8684</x:v>
      </x:c>
      <x:c r="C769" s="12" t="str">
        <x:v>参考000</x:v>
      </x:c>
      <x:c r="D769" s="12" t="str">
        <x:v>自动000</x:v>
      </x:c>
      <x:c r="E769" s="12" t="n">
        <x:v>0</x:v>
      </x:c>
      <x:c r="F769" s="12" t="n">
        <x:v>1</x:v>
      </x:c>
      <x:c r="G769" s="12" t="n">
        <x:v>0</x:v>
      </x:c>
      <x:c r="H769" s="12" t="n">
        <x:f>IF(SUM(I769:K769)&gt;0,1,0)</x:f>
        <x:v>0</x:v>
      </x:c>
      <x:c r="I769" s="12" t="n">
        <x:f>IF('患者配对'!M839="positive",1,0)</x:f>
        <x:v>0</x:v>
      </x:c>
      <x:c r="J769" s="12" t="n">
        <x:f>IF('患者配对'!R839="positive",1,0)</x:f>
        <x:v>0</x:v>
      </x:c>
      <x:c r="K769" s="12" t="n">
        <x:f>IF('患者配对'!W839="positive",1,0)</x:f>
        <x:v>0</x:v>
      </x:c>
      <x:c r="L769" s="12" t="str">
        <x:v>由原件与原状态取得；仅主队列索引</x:v>
      </x:c>
      <x:c r="M769" s="12"/>
      <x:c r="N769" s="12"/>
      <x:c r="O769" s="12"/>
    </x:row>
    <x:row r="770" ht="39" customHeight="1">
      <x:c r="A770" s="12" t="str">
        <x:v>7161</x:v>
      </x:c>
      <x:c r="B770" s="12" t="str">
        <x:v>13321</x:v>
      </x:c>
      <x:c r="C770" s="12" t="str">
        <x:v>参考000</x:v>
      </x:c>
      <x:c r="D770" s="12" t="str">
        <x:v>自动000</x:v>
      </x:c>
      <x:c r="E770" s="12" t="n">
        <x:v>0</x:v>
      </x:c>
      <x:c r="F770" s="12" t="n">
        <x:v>0</x:v>
      </x:c>
      <x:c r="G770" s="12" t="n">
        <x:v>0</x:v>
      </x:c>
      <x:c r="H770" s="12" t="n">
        <x:f>IF(SUM(I770:K770)&gt;0,1,0)</x:f>
        <x:v>0</x:v>
      </x:c>
      <x:c r="I770" s="12" t="n">
        <x:f>IF('患者配对'!M840="positive",1,0)</x:f>
        <x:v>0</x:v>
      </x:c>
      <x:c r="J770" s="12" t="n">
        <x:f>IF('患者配对'!R840="positive",1,0)</x:f>
        <x:v>0</x:v>
      </x:c>
      <x:c r="K770" s="12" t="n">
        <x:f>IF('患者配对'!W840="positive",1,0)</x:f>
        <x:v>0</x:v>
      </x:c>
      <x:c r="L770" s="12" t="str">
        <x:v>由原件与原状态取得；仅主队列索引</x:v>
      </x:c>
      <x:c r="M770" s="12"/>
      <x:c r="N770" s="12"/>
      <x:c r="O770" s="12"/>
    </x:row>
    <x:row r="771" ht="39" customHeight="1">
      <x:c r="A771" s="12" t="str">
        <x:v>7170</x:v>
      </x:c>
      <x:c r="B771" s="12" t="str">
        <x:v>15774</x:v>
      </x:c>
      <x:c r="C771" s="12" t="str">
        <x:v>参考000</x:v>
      </x:c>
      <x:c r="D771" s="12" t="str">
        <x:v>自动000</x:v>
      </x:c>
      <x:c r="E771" s="12" t="n">
        <x:v>0</x:v>
      </x:c>
      <x:c r="F771" s="12" t="n">
        <x:v>0</x:v>
      </x:c>
      <x:c r="G771" s="12" t="n">
        <x:v>0</x:v>
      </x:c>
      <x:c r="H771" s="12" t="n">
        <x:f>IF(SUM(I771:K771)&gt;0,1,0)</x:f>
        <x:v>0</x:v>
      </x:c>
      <x:c r="I771" s="12" t="n">
        <x:f>IF('患者配对'!M841="positive",1,0)</x:f>
        <x:v>0</x:v>
      </x:c>
      <x:c r="J771" s="12" t="n">
        <x:f>IF('患者配对'!R841="positive",1,0)</x:f>
        <x:v>0</x:v>
      </x:c>
      <x:c r="K771" s="12" t="n">
        <x:f>IF('患者配对'!W841="positive",1,0)</x:f>
        <x:v>0</x:v>
      </x:c>
      <x:c r="L771" s="12" t="str">
        <x:v>由原件与原状态取得；仅主队列索引</x:v>
      </x:c>
      <x:c r="M771" s="12"/>
      <x:c r="N771" s="12"/>
      <x:c r="O771" s="12"/>
    </x:row>
    <x:row r="772" ht="39" customHeight="1">
      <x:c r="A772" s="12" t="str">
        <x:v>7190</x:v>
      </x:c>
      <x:c r="B772" s="12" t="str">
        <x:v>18705</x:v>
      </x:c>
      <x:c r="C772" s="12" t="str">
        <x:v>参考000</x:v>
      </x:c>
      <x:c r="D772" s="12" t="str">
        <x:v>自动000</x:v>
      </x:c>
      <x:c r="E772" s="12" t="n">
        <x:v>0</x:v>
      </x:c>
      <x:c r="F772" s="12" t="n">
        <x:v>1</x:v>
      </x:c>
      <x:c r="G772" s="12" t="n">
        <x:v>0</x:v>
      </x:c>
      <x:c r="H772" s="12" t="n">
        <x:f>IF(SUM(I772:K772)&gt;0,1,0)</x:f>
        <x:v>0</x:v>
      </x:c>
      <x:c r="I772" s="12" t="n">
        <x:f>IF('患者配对'!M842="positive",1,0)</x:f>
        <x:v>0</x:v>
      </x:c>
      <x:c r="J772" s="12" t="n">
        <x:f>IF('患者配对'!R842="positive",1,0)</x:f>
        <x:v>0</x:v>
      </x:c>
      <x:c r="K772" s="12" t="n">
        <x:f>IF('患者配对'!W842="positive",1,0)</x:f>
        <x:v>0</x:v>
      </x:c>
      <x:c r="L772" s="12" t="str">
        <x:v>由原件与原状态取得；仅主队列索引</x:v>
      </x:c>
      <x:c r="M772" s="12"/>
      <x:c r="N772" s="12"/>
      <x:c r="O772" s="12"/>
    </x:row>
    <x:row r="773" ht="39" customHeight="1">
      <x:c r="A773" s="12" t="str">
        <x:v>7213</x:v>
      </x:c>
      <x:c r="B773" s="12" t="str">
        <x:v>19966</x:v>
      </x:c>
      <x:c r="C773" s="12" t="str">
        <x:v>参考000</x:v>
      </x:c>
      <x:c r="D773" s="12" t="str">
        <x:v>自动000</x:v>
      </x:c>
      <x:c r="E773" s="12" t="n">
        <x:v>0</x:v>
      </x:c>
      <x:c r="F773" s="12" t="n">
        <x:v>0</x:v>
      </x:c>
      <x:c r="G773" s="12" t="n">
        <x:v>0</x:v>
      </x:c>
      <x:c r="H773" s="12" t="n">
        <x:f>IF(SUM(I773:K773)&gt;0,1,0)</x:f>
        <x:v>0</x:v>
      </x:c>
      <x:c r="I773" s="12" t="n">
        <x:f>IF('患者配对'!M843="positive",1,0)</x:f>
        <x:v>0</x:v>
      </x:c>
      <x:c r="J773" s="12" t="n">
        <x:f>IF('患者配对'!R843="positive",1,0)</x:f>
        <x:v>0</x:v>
      </x:c>
      <x:c r="K773" s="12" t="n">
        <x:f>IF('患者配对'!W843="positive",1,0)</x:f>
        <x:v>0</x:v>
      </x:c>
      <x:c r="L773" s="12" t="str">
        <x:v>由原件与原状态取得；仅主队列索引</x:v>
      </x:c>
      <x:c r="M773" s="12"/>
      <x:c r="N773" s="12"/>
      <x:c r="O773" s="12"/>
    </x:row>
    <x:row r="774" ht="39" customHeight="1">
      <x:c r="A774" s="12" t="str">
        <x:v>7217</x:v>
      </x:c>
      <x:c r="B774" s="12" t="str">
        <x:v>10773</x:v>
      </x:c>
      <x:c r="C774" s="12" t="str">
        <x:v>参考000</x:v>
      </x:c>
      <x:c r="D774" s="12" t="str">
        <x:v>自动000</x:v>
      </x:c>
      <x:c r="E774" s="12" t="n">
        <x:v>0</x:v>
      </x:c>
      <x:c r="F774" s="12" t="n">
        <x:v>0</x:v>
      </x:c>
      <x:c r="G774" s="12" t="n">
        <x:v>0</x:v>
      </x:c>
      <x:c r="H774" s="12" t="n">
        <x:f>IF(SUM(I774:K774)&gt;0,1,0)</x:f>
        <x:v>0</x:v>
      </x:c>
      <x:c r="I774" s="12" t="n">
        <x:f>IF('患者配对'!M844="positive",1,0)</x:f>
        <x:v>0</x:v>
      </x:c>
      <x:c r="J774" s="12" t="n">
        <x:f>IF('患者配对'!R844="positive",1,0)</x:f>
        <x:v>0</x:v>
      </x:c>
      <x:c r="K774" s="12" t="n">
        <x:f>IF('患者配对'!W844="positive",1,0)</x:f>
        <x:v>0</x:v>
      </x:c>
      <x:c r="L774" s="12" t="str">
        <x:v>由原件与原状态取得；仅主队列索引</x:v>
      </x:c>
      <x:c r="M774" s="12"/>
      <x:c r="N774" s="12"/>
      <x:c r="O774" s="12"/>
    </x:row>
    <x:row r="775" ht="39" customHeight="1">
      <x:c r="A775" s="12" t="str">
        <x:v>7221</x:v>
      </x:c>
      <x:c r="B775" s="12" t="str">
        <x:v>12081</x:v>
      </x:c>
      <x:c r="C775" s="12" t="str">
        <x:v>参考100</x:v>
      </x:c>
      <x:c r="D775" s="12" t="str">
        <x:v>自动100</x:v>
      </x:c>
      <x:c r="E775" s="12" t="n">
        <x:v>1</x:v>
      </x:c>
      <x:c r="F775" s="12" t="n">
        <x:v>1</x:v>
      </x:c>
      <x:c r="G775" s="12" t="n">
        <x:v>0</x:v>
      </x:c>
      <x:c r="H775" s="12" t="n">
        <x:f>IF(SUM(I775:K775)&gt;0,1,0)</x:f>
        <x:v>1</x:v>
      </x:c>
      <x:c r="I775" s="12" t="n">
        <x:f>IF('患者配对'!M845="positive",1,0)</x:f>
        <x:v>1</x:v>
      </x:c>
      <x:c r="J775" s="12" t="n">
        <x:f>IF('患者配对'!R845="positive",1,0)</x:f>
        <x:v>0</x:v>
      </x:c>
      <x:c r="K775" s="12" t="n">
        <x:f>IF('患者配对'!W845="positive",1,0)</x:f>
        <x:v>0</x:v>
      </x:c>
      <x:c r="L775" s="12" t="str">
        <x:v>由原件与原状态取得；仅主队列索引</x:v>
      </x:c>
      <x:c r="M775" s="12"/>
      <x:c r="N775" s="12"/>
      <x:c r="O775" s="12"/>
    </x:row>
    <x:row r="776" ht="39" customHeight="1">
      <x:c r="A776" s="12" t="str">
        <x:v>7243</x:v>
      </x:c>
      <x:c r="B776" s="12" t="str">
        <x:v>18304</x:v>
      </x:c>
      <x:c r="C776" s="12" t="str">
        <x:v>参考000</x:v>
      </x:c>
      <x:c r="D776" s="12" t="str">
        <x:v>自动000</x:v>
      </x:c>
      <x:c r="E776" s="12" t="n">
        <x:v>0</x:v>
      </x:c>
      <x:c r="F776" s="12" t="n">
        <x:v>0</x:v>
      </x:c>
      <x:c r="G776" s="12" t="n">
        <x:v>0</x:v>
      </x:c>
      <x:c r="H776" s="12" t="n">
        <x:f>IF(SUM(I776:K776)&gt;0,1,0)</x:f>
        <x:v>0</x:v>
      </x:c>
      <x:c r="I776" s="12" t="n">
        <x:f>IF('患者配对'!M846="positive",1,0)</x:f>
        <x:v>0</x:v>
      </x:c>
      <x:c r="J776" s="12" t="n">
        <x:f>IF('患者配对'!R846="positive",1,0)</x:f>
        <x:v>0</x:v>
      </x:c>
      <x:c r="K776" s="12" t="n">
        <x:f>IF('患者配对'!W846="positive",1,0)</x:f>
        <x:v>0</x:v>
      </x:c>
      <x:c r="L776" s="12" t="str">
        <x:v>由原件与原状态取得；仅主队列索引</x:v>
      </x:c>
      <x:c r="M776" s="12"/>
      <x:c r="N776" s="12"/>
      <x:c r="O776" s="12"/>
    </x:row>
    <x:row r="777" ht="39" customHeight="1">
      <x:c r="A777" s="12" t="str">
        <x:v>7258</x:v>
      </x:c>
      <x:c r="B777" s="12" t="str">
        <x:v>20362</x:v>
      </x:c>
      <x:c r="C777" s="12" t="str">
        <x:v>参考000</x:v>
      </x:c>
      <x:c r="D777" s="12" t="str">
        <x:v>自动000</x:v>
      </x:c>
      <x:c r="E777" s="12" t="n">
        <x:v>0</x:v>
      </x:c>
      <x:c r="F777" s="12" t="n">
        <x:v>0</x:v>
      </x:c>
      <x:c r="G777" s="12" t="n">
        <x:v>0</x:v>
      </x:c>
      <x:c r="H777" s="12" t="n">
        <x:f>IF(SUM(I777:K777)&gt;0,1,0)</x:f>
        <x:v>0</x:v>
      </x:c>
      <x:c r="I777" s="12" t="n">
        <x:f>IF('患者配对'!M847="positive",1,0)</x:f>
        <x:v>0</x:v>
      </x:c>
      <x:c r="J777" s="12" t="n">
        <x:f>IF('患者配对'!R847="positive",1,0)</x:f>
        <x:v>0</x:v>
      </x:c>
      <x:c r="K777" s="12" t="n">
        <x:f>IF('患者配对'!W847="positive",1,0)</x:f>
        <x:v>0</x:v>
      </x:c>
      <x:c r="L777" s="12" t="str">
        <x:v>由原件与原状态取得；仅主队列索引</x:v>
      </x:c>
      <x:c r="M777" s="12"/>
      <x:c r="N777" s="12"/>
      <x:c r="O777" s="12"/>
    </x:row>
    <x:row r="778" ht="39" customHeight="1">
      <x:c r="A778" s="12" t="str">
        <x:v>7323</x:v>
      </x:c>
      <x:c r="B778" s="12" t="str">
        <x:v>21593</x:v>
      </x:c>
      <x:c r="C778" s="12" t="str">
        <x:v>参考000</x:v>
      </x:c>
      <x:c r="D778" s="12" t="str">
        <x:v>自动000</x:v>
      </x:c>
      <x:c r="E778" s="12" t="n">
        <x:v>0</x:v>
      </x:c>
      <x:c r="F778" s="12" t="n">
        <x:v>0</x:v>
      </x:c>
      <x:c r="G778" s="12" t="n">
        <x:v>0</x:v>
      </x:c>
      <x:c r="H778" s="12" t="n">
        <x:f>IF(SUM(I778:K778)&gt;0,1,0)</x:f>
        <x:v>0</x:v>
      </x:c>
      <x:c r="I778" s="12" t="n">
        <x:f>IF('患者配对'!M848="positive",1,0)</x:f>
        <x:v>0</x:v>
      </x:c>
      <x:c r="J778" s="12" t="n">
        <x:f>IF('患者配对'!R848="positive",1,0)</x:f>
        <x:v>0</x:v>
      </x:c>
      <x:c r="K778" s="12" t="n">
        <x:f>IF('患者配对'!W848="positive",1,0)</x:f>
        <x:v>0</x:v>
      </x:c>
      <x:c r="L778" s="12" t="str">
        <x:v>由原件与原状态取得；仅主队列索引</x:v>
      </x:c>
      <x:c r="M778" s="12"/>
      <x:c r="N778" s="12"/>
      <x:c r="O778" s="12"/>
    </x:row>
    <x:row r="779" ht="39" customHeight="1">
      <x:c r="A779" s="12" t="str">
        <x:v>7348</x:v>
      </x:c>
      <x:c r="B779" s="12" t="str">
        <x:v>15917</x:v>
      </x:c>
      <x:c r="C779" s="12" t="str">
        <x:v>参考000</x:v>
      </x:c>
      <x:c r="D779" s="12" t="str">
        <x:v>自动000</x:v>
      </x:c>
      <x:c r="E779" s="12" t="n">
        <x:v>0</x:v>
      </x:c>
      <x:c r="F779" s="12" t="n">
        <x:v>0</x:v>
      </x:c>
      <x:c r="G779" s="12" t="n">
        <x:v>0</x:v>
      </x:c>
      <x:c r="H779" s="12" t="n">
        <x:f>IF(SUM(I779:K779)&gt;0,1,0)</x:f>
        <x:v>0</x:v>
      </x:c>
      <x:c r="I779" s="12" t="n">
        <x:f>IF('患者配对'!M850="positive",1,0)</x:f>
        <x:v>0</x:v>
      </x:c>
      <x:c r="J779" s="12" t="n">
        <x:f>IF('患者配对'!R850="positive",1,0)</x:f>
        <x:v>0</x:v>
      </x:c>
      <x:c r="K779" s="12" t="n">
        <x:f>IF('患者配对'!W850="positive",1,0)</x:f>
        <x:v>0</x:v>
      </x:c>
      <x:c r="L779" s="12" t="str">
        <x:v>由原件与原状态取得；仅主队列索引</x:v>
      </x:c>
      <x:c r="M779" s="12"/>
      <x:c r="N779" s="12"/>
      <x:c r="O779" s="12"/>
    </x:row>
    <x:row r="780" ht="39" customHeight="1">
      <x:c r="A780" s="12" t="str">
        <x:v>7354</x:v>
      </x:c>
      <x:c r="B780" s="12" t="str">
        <x:v>9433</x:v>
      </x:c>
      <x:c r="C780" s="12" t="str">
        <x:v>参考000</x:v>
      </x:c>
      <x:c r="D780" s="12" t="str">
        <x:v>自动000</x:v>
      </x:c>
      <x:c r="E780" s="12" t="n">
        <x:v>0</x:v>
      </x:c>
      <x:c r="F780" s="12" t="n">
        <x:v>1</x:v>
      </x:c>
      <x:c r="G780" s="12" t="n">
        <x:v>0</x:v>
      </x:c>
      <x:c r="H780" s="12" t="n">
        <x:f>IF(SUM(I780:K780)&gt;0,1,0)</x:f>
        <x:v>0</x:v>
      </x:c>
      <x:c r="I780" s="12" t="n">
        <x:f>IF('患者配对'!M851="positive",1,0)</x:f>
        <x:v>0</x:v>
      </x:c>
      <x:c r="J780" s="12" t="n">
        <x:f>IF('患者配对'!R851="positive",1,0)</x:f>
        <x:v>0</x:v>
      </x:c>
      <x:c r="K780" s="12" t="n">
        <x:f>IF('患者配对'!W851="positive",1,0)</x:f>
        <x:v>0</x:v>
      </x:c>
      <x:c r="L780" s="12" t="str">
        <x:v>由原件与原状态取得；仅主队列索引</x:v>
      </x:c>
      <x:c r="M780" s="12"/>
      <x:c r="N780" s="12"/>
      <x:c r="O780" s="12"/>
    </x:row>
    <x:row r="781" ht="39" customHeight="1">
      <x:c r="A781" s="12" t="str">
        <x:v>7363</x:v>
      </x:c>
      <x:c r="B781" s="12" t="str">
        <x:v>18113</x:v>
      </x:c>
      <x:c r="C781" s="12" t="str">
        <x:v>参考000</x:v>
      </x:c>
      <x:c r="D781" s="12" t="str">
        <x:v>自动000</x:v>
      </x:c>
      <x:c r="E781" s="12" t="n">
        <x:v>0</x:v>
      </x:c>
      <x:c r="F781" s="12" t="n">
        <x:v>0</x:v>
      </x:c>
      <x:c r="G781" s="12" t="n">
        <x:v>0</x:v>
      </x:c>
      <x:c r="H781" s="12" t="n">
        <x:f>IF(SUM(I781:K781)&gt;0,1,0)</x:f>
        <x:v>0</x:v>
      </x:c>
      <x:c r="I781" s="12" t="n">
        <x:f>IF('患者配对'!M852="positive",1,0)</x:f>
        <x:v>0</x:v>
      </x:c>
      <x:c r="J781" s="12" t="n">
        <x:f>IF('患者配对'!R852="positive",1,0)</x:f>
        <x:v>0</x:v>
      </x:c>
      <x:c r="K781" s="12" t="n">
        <x:f>IF('患者配对'!W852="positive",1,0)</x:f>
        <x:v>0</x:v>
      </x:c>
      <x:c r="L781" s="12" t="str">
        <x:v>由原件与原状态取得；仅主队列索引</x:v>
      </x:c>
      <x:c r="M781" s="12"/>
      <x:c r="N781" s="12"/>
      <x:c r="O781" s="12"/>
    </x:row>
    <x:row r="782" ht="39" customHeight="1">
      <x:c r="A782" s="12" t="str">
        <x:v>7374</x:v>
      </x:c>
      <x:c r="B782" s="12" t="str">
        <x:v>19940</x:v>
      </x:c>
      <x:c r="C782" s="12" t="str">
        <x:v>参考000</x:v>
      </x:c>
      <x:c r="D782" s="12" t="str">
        <x:v>自动000</x:v>
      </x:c>
      <x:c r="E782" s="12" t="n">
        <x:v>0</x:v>
      </x:c>
      <x:c r="F782" s="12" t="n">
        <x:v>1</x:v>
      </x:c>
      <x:c r="G782" s="12" t="n">
        <x:v>0</x:v>
      </x:c>
      <x:c r="H782" s="12" t="n">
        <x:f>IF(SUM(I782:K782)&gt;0,1,0)</x:f>
        <x:v>0</x:v>
      </x:c>
      <x:c r="I782" s="12" t="n">
        <x:f>IF('患者配对'!M853="positive",1,0)</x:f>
        <x:v>0</x:v>
      </x:c>
      <x:c r="J782" s="12" t="n">
        <x:f>IF('患者配对'!R853="positive",1,0)</x:f>
        <x:v>0</x:v>
      </x:c>
      <x:c r="K782" s="12" t="n">
        <x:f>IF('患者配对'!W853="positive",1,0)</x:f>
        <x:v>0</x:v>
      </x:c>
      <x:c r="L782" s="12" t="str">
        <x:v>由原件与原状态取得；仅主队列索引</x:v>
      </x:c>
      <x:c r="M782" s="12"/>
      <x:c r="N782" s="12"/>
      <x:c r="O782" s="12"/>
    </x:row>
    <x:row r="783" ht="39" customHeight="1">
      <x:c r="A783" s="12" t="str">
        <x:v>7376</x:v>
      </x:c>
      <x:c r="B783" s="12" t="str">
        <x:v>14109</x:v>
      </x:c>
      <x:c r="C783" s="12" t="str">
        <x:v>参考000</x:v>
      </x:c>
      <x:c r="D783" s="12" t="str">
        <x:v>自动000</x:v>
      </x:c>
      <x:c r="E783" s="12" t="n">
        <x:v>0</x:v>
      </x:c>
      <x:c r="F783" s="12" t="n">
        <x:v>1</x:v>
      </x:c>
      <x:c r="G783" s="12" t="n">
        <x:v>0</x:v>
      </x:c>
      <x:c r="H783" s="12" t="n">
        <x:f>IF(SUM(I783:K783)&gt;0,1,0)</x:f>
        <x:v>0</x:v>
      </x:c>
      <x:c r="I783" s="12" t="n">
        <x:f>IF('患者配对'!M854="positive",1,0)</x:f>
        <x:v>0</x:v>
      </x:c>
      <x:c r="J783" s="12" t="n">
        <x:f>IF('患者配对'!R854="positive",1,0)</x:f>
        <x:v>0</x:v>
      </x:c>
      <x:c r="K783" s="12" t="n">
        <x:f>IF('患者配对'!W854="positive",1,0)</x:f>
        <x:v>0</x:v>
      </x:c>
      <x:c r="L783" s="12" t="str">
        <x:v>由原件与原状态取得；仅主队列索引</x:v>
      </x:c>
      <x:c r="M783" s="12"/>
      <x:c r="N783" s="12"/>
      <x:c r="O783" s="12"/>
    </x:row>
    <x:row r="784" ht="39" customHeight="1">
      <x:c r="A784" s="12" t="str">
        <x:v>7443</x:v>
      </x:c>
      <x:c r="B784" s="12" t="str">
        <x:v>11898</x:v>
      </x:c>
      <x:c r="C784" s="12" t="str">
        <x:v>参考000</x:v>
      </x:c>
      <x:c r="D784" s="12" t="str">
        <x:v>自动000</x:v>
      </x:c>
      <x:c r="E784" s="12" t="n">
        <x:v>0</x:v>
      </x:c>
      <x:c r="F784" s="12" t="n">
        <x:v>0</x:v>
      </x:c>
      <x:c r="G784" s="12" t="n">
        <x:v>0</x:v>
      </x:c>
      <x:c r="H784" s="12" t="n">
        <x:f>IF(SUM(I784:K784)&gt;0,1,0)</x:f>
        <x:v>0</x:v>
      </x:c>
      <x:c r="I784" s="12" t="n">
        <x:f>IF('患者配对'!M856="positive",1,0)</x:f>
        <x:v>0</x:v>
      </x:c>
      <x:c r="J784" s="12" t="n">
        <x:f>IF('患者配对'!R856="positive",1,0)</x:f>
        <x:v>0</x:v>
      </x:c>
      <x:c r="K784" s="12" t="n">
        <x:f>IF('患者配对'!W856="positive",1,0)</x:f>
        <x:v>0</x:v>
      </x:c>
      <x:c r="L784" s="12" t="str">
        <x:v>由原件与原状态取得；仅主队列索引</x:v>
      </x:c>
      <x:c r="M784" s="12"/>
      <x:c r="N784" s="12"/>
      <x:c r="O784" s="12"/>
    </x:row>
    <x:row r="785" ht="39" customHeight="1">
      <x:c r="A785" s="12" t="str">
        <x:v>7491</x:v>
      </x:c>
      <x:c r="B785" s="12" t="str">
        <x:v>19800</x:v>
      </x:c>
      <x:c r="C785" s="12" t="str">
        <x:v>参考000</x:v>
      </x:c>
      <x:c r="D785" s="12" t="str">
        <x:v>自动000</x:v>
      </x:c>
      <x:c r="E785" s="12" t="n">
        <x:v>0</x:v>
      </x:c>
      <x:c r="F785" s="12" t="n">
        <x:v>1</x:v>
      </x:c>
      <x:c r="G785" s="12" t="n">
        <x:v>0</x:v>
      </x:c>
      <x:c r="H785" s="12" t="n">
        <x:f>IF(SUM(I785:K785)&gt;0,1,0)</x:f>
        <x:v>0</x:v>
      </x:c>
      <x:c r="I785" s="12" t="n">
        <x:f>IF('患者配对'!M859="positive",1,0)</x:f>
        <x:v>0</x:v>
      </x:c>
      <x:c r="J785" s="12" t="n">
        <x:f>IF('患者配对'!R859="positive",1,0)</x:f>
        <x:v>0</x:v>
      </x:c>
      <x:c r="K785" s="12" t="n">
        <x:f>IF('患者配对'!W859="positive",1,0)</x:f>
        <x:v>0</x:v>
      </x:c>
      <x:c r="L785" s="12" t="str">
        <x:v>由原件与原状态取得；仅主队列索引</x:v>
      </x:c>
      <x:c r="M785" s="12"/>
      <x:c r="N785" s="12"/>
      <x:c r="O785" s="12"/>
    </x:row>
    <x:row r="786" ht="39" customHeight="1">
      <x:c r="A786" s="12" t="str">
        <x:v>7534</x:v>
      </x:c>
      <x:c r="B786" s="12" t="str">
        <x:v>15029</x:v>
      </x:c>
      <x:c r="C786" s="12" t="str">
        <x:v>参考100</x:v>
      </x:c>
      <x:c r="D786" s="12" t="str">
        <x:v>自动100</x:v>
      </x:c>
      <x:c r="E786" s="12" t="n">
        <x:v>1</x:v>
      </x:c>
      <x:c r="F786" s="12" t="n">
        <x:v>1</x:v>
      </x:c>
      <x:c r="G786" s="12" t="n">
        <x:v>0</x:v>
      </x:c>
      <x:c r="H786" s="12" t="n">
        <x:f>IF(SUM(I786:K786)&gt;0,1,0)</x:f>
        <x:v>1</x:v>
      </x:c>
      <x:c r="I786" s="12" t="n">
        <x:f>IF('患者配对'!M862="positive",1,0)</x:f>
        <x:v>1</x:v>
      </x:c>
      <x:c r="J786" s="12" t="n">
        <x:f>IF('患者配对'!R862="positive",1,0)</x:f>
        <x:v>0</x:v>
      </x:c>
      <x:c r="K786" s="12" t="n">
        <x:f>IF('患者配对'!W862="positive",1,0)</x:f>
        <x:v>0</x:v>
      </x:c>
      <x:c r="L786" s="12" t="str">
        <x:v>由原件与原状态取得；仅主队列索引</x:v>
      </x:c>
      <x:c r="M786" s="12"/>
      <x:c r="N786" s="12"/>
      <x:c r="O786" s="12"/>
    </x:row>
    <x:row r="787" ht="39" customHeight="1">
      <x:c r="A787" s="12" t="str">
        <x:v>7543</x:v>
      </x:c>
      <x:c r="B787" s="12" t="str">
        <x:v>11328</x:v>
      </x:c>
      <x:c r="C787" s="12" t="str">
        <x:v>参考000</x:v>
      </x:c>
      <x:c r="D787" s="12" t="str">
        <x:v>自动000</x:v>
      </x:c>
      <x:c r="E787" s="12" t="n">
        <x:v>0</x:v>
      </x:c>
      <x:c r="F787" s="12" t="n">
        <x:v>1</x:v>
      </x:c>
      <x:c r="G787" s="12" t="n">
        <x:v>0</x:v>
      </x:c>
      <x:c r="H787" s="12" t="n">
        <x:f>IF(SUM(I787:K787)&gt;0,1,0)</x:f>
        <x:v>0</x:v>
      </x:c>
      <x:c r="I787" s="12" t="n">
        <x:f>IF('患者配对'!M863="positive",1,0)</x:f>
        <x:v>0</x:v>
      </x:c>
      <x:c r="J787" s="12" t="n">
        <x:f>IF('患者配对'!R863="positive",1,0)</x:f>
        <x:v>0</x:v>
      </x:c>
      <x:c r="K787" s="12" t="n">
        <x:f>IF('患者配对'!W863="positive",1,0)</x:f>
        <x:v>0</x:v>
      </x:c>
      <x:c r="L787" s="12" t="str">
        <x:v>由原件与原状态取得；仅主队列索引</x:v>
      </x:c>
      <x:c r="M787" s="12"/>
      <x:c r="N787" s="12"/>
      <x:c r="O787" s="12"/>
    </x:row>
    <x:row r="788" ht="39" customHeight="1">
      <x:c r="A788" s="12" t="str">
        <x:v>7560</x:v>
      </x:c>
      <x:c r="B788" s="12" t="str">
        <x:v>21739</x:v>
      </x:c>
      <x:c r="C788" s="12" t="str">
        <x:v>参考000</x:v>
      </x:c>
      <x:c r="D788" s="12" t="str">
        <x:v>自动000</x:v>
      </x:c>
      <x:c r="E788" s="12" t="n">
        <x:v>0</x:v>
      </x:c>
      <x:c r="F788" s="12" t="n">
        <x:v>1</x:v>
      </x:c>
      <x:c r="G788" s="12" t="n">
        <x:v>0</x:v>
      </x:c>
      <x:c r="H788" s="12" t="n">
        <x:f>IF(SUM(I788:K788)&gt;0,1,0)</x:f>
        <x:v>0</x:v>
      </x:c>
      <x:c r="I788" s="12" t="n">
        <x:f>IF('患者配对'!M864="positive",1,0)</x:f>
        <x:v>0</x:v>
      </x:c>
      <x:c r="J788" s="12" t="n">
        <x:f>IF('患者配对'!R864="positive",1,0)</x:f>
        <x:v>0</x:v>
      </x:c>
      <x:c r="K788" s="12" t="n">
        <x:f>IF('患者配对'!W864="positive",1,0)</x:f>
        <x:v>0</x:v>
      </x:c>
      <x:c r="L788" s="12" t="str">
        <x:v>由原件与原状态取得；仅主队列索引</x:v>
      </x:c>
      <x:c r="M788" s="12"/>
      <x:c r="N788" s="12"/>
      <x:c r="O788" s="12"/>
    </x:row>
    <x:row r="789" ht="39" customHeight="1">
      <x:c r="A789" s="12" t="str">
        <x:v>7561</x:v>
      </x:c>
      <x:c r="B789" s="12" t="str">
        <x:v>16752</x:v>
      </x:c>
      <x:c r="C789" s="12" t="str">
        <x:v>参考000</x:v>
      </x:c>
      <x:c r="D789" s="12" t="str">
        <x:v>自动000</x:v>
      </x:c>
      <x:c r="E789" s="12" t="n">
        <x:v>0</x:v>
      </x:c>
      <x:c r="F789" s="12" t="n">
        <x:v>1</x:v>
      </x:c>
      <x:c r="G789" s="12" t="n">
        <x:v>0</x:v>
      </x:c>
      <x:c r="H789" s="12" t="n">
        <x:f>IF(SUM(I789:K789)&gt;0,1,0)</x:f>
        <x:v>0</x:v>
      </x:c>
      <x:c r="I789" s="12" t="n">
        <x:f>IF('患者配对'!M865="positive",1,0)</x:f>
        <x:v>0</x:v>
      </x:c>
      <x:c r="J789" s="12" t="n">
        <x:f>IF('患者配对'!R865="positive",1,0)</x:f>
        <x:v>0</x:v>
      </x:c>
      <x:c r="K789" s="12" t="n">
        <x:f>IF('患者配对'!W865="positive",1,0)</x:f>
        <x:v>0</x:v>
      </x:c>
      <x:c r="L789" s="12" t="str">
        <x:v>由原件与原状态取得；仅主队列索引</x:v>
      </x:c>
      <x:c r="M789" s="12"/>
      <x:c r="N789" s="12"/>
      <x:c r="O789" s="12"/>
    </x:row>
    <x:row r="790" ht="39" customHeight="1">
      <x:c r="A790" s="12" t="str">
        <x:v>7597</x:v>
      </x:c>
      <x:c r="B790" s="12" t="str">
        <x:v>12299</x:v>
      </x:c>
      <x:c r="C790" s="12" t="str">
        <x:v>参考000</x:v>
      </x:c>
      <x:c r="D790" s="12" t="str">
        <x:v>自动000</x:v>
      </x:c>
      <x:c r="E790" s="12" t="n">
        <x:v>0</x:v>
      </x:c>
      <x:c r="F790" s="12" t="n">
        <x:v>0</x:v>
      </x:c>
      <x:c r="G790" s="12" t="n">
        <x:v>0</x:v>
      </x:c>
      <x:c r="H790" s="12" t="n">
        <x:f>IF(SUM(I790:K790)&gt;0,1,0)</x:f>
        <x:v>0</x:v>
      </x:c>
      <x:c r="I790" s="12" t="n">
        <x:f>IF('患者配对'!M866="positive",1,0)</x:f>
        <x:v>0</x:v>
      </x:c>
      <x:c r="J790" s="12" t="n">
        <x:f>IF('患者配对'!R866="positive",1,0)</x:f>
        <x:v>0</x:v>
      </x:c>
      <x:c r="K790" s="12" t="n">
        <x:f>IF('患者配对'!W866="positive",1,0)</x:f>
        <x:v>0</x:v>
      </x:c>
      <x:c r="L790" s="12" t="str">
        <x:v>由原件与原状态取得；仅主队列索引</x:v>
      </x:c>
      <x:c r="M790" s="12"/>
      <x:c r="N790" s="12"/>
      <x:c r="O790" s="12"/>
    </x:row>
    <x:row r="791" ht="39" customHeight="1">
      <x:c r="A791" s="12" t="str">
        <x:v>7598</x:v>
      </x:c>
      <x:c r="B791" s="12" t="str">
        <x:v>9740</x:v>
      </x:c>
      <x:c r="C791" s="12" t="str">
        <x:v>参考000</x:v>
      </x:c>
      <x:c r="D791" s="12" t="str">
        <x:v>自动000</x:v>
      </x:c>
      <x:c r="E791" s="12" t="n">
        <x:v>0</x:v>
      </x:c>
      <x:c r="F791" s="12" t="n">
        <x:v>1</x:v>
      </x:c>
      <x:c r="G791" s="12" t="n">
        <x:v>0</x:v>
      </x:c>
      <x:c r="H791" s="12" t="n">
        <x:f>IF(SUM(I791:K791)&gt;0,1,0)</x:f>
        <x:v>0</x:v>
      </x:c>
      <x:c r="I791" s="12" t="n">
        <x:f>IF('患者配对'!M867="positive",1,0)</x:f>
        <x:v>0</x:v>
      </x:c>
      <x:c r="J791" s="12" t="n">
        <x:f>IF('患者配对'!R867="positive",1,0)</x:f>
        <x:v>0</x:v>
      </x:c>
      <x:c r="K791" s="12" t="n">
        <x:f>IF('患者配对'!W867="positive",1,0)</x:f>
        <x:v>0</x:v>
      </x:c>
      <x:c r="L791" s="12" t="str">
        <x:v>由原件与原状态取得；仅主队列索引</x:v>
      </x:c>
      <x:c r="M791" s="12"/>
      <x:c r="N791" s="12"/>
      <x:c r="O791" s="12"/>
    </x:row>
    <x:row r="792" ht="39" customHeight="1">
      <x:c r="A792" s="12" t="str">
        <x:v>7619</x:v>
      </x:c>
      <x:c r="B792" s="12" t="str">
        <x:v>15412</x:v>
      </x:c>
      <x:c r="C792" s="12" t="str">
        <x:v>参考000</x:v>
      </x:c>
      <x:c r="D792" s="12" t="str">
        <x:v>自动000</x:v>
      </x:c>
      <x:c r="E792" s="12" t="n">
        <x:v>0</x:v>
      </x:c>
      <x:c r="F792" s="12" t="n">
        <x:v>1</x:v>
      </x:c>
      <x:c r="G792" s="12" t="n">
        <x:v>0</x:v>
      </x:c>
      <x:c r="H792" s="12" t="n">
        <x:f>IF(SUM(I792:K792)&gt;0,1,0)</x:f>
        <x:v>0</x:v>
      </x:c>
      <x:c r="I792" s="12" t="n">
        <x:f>IF('患者配对'!M868="positive",1,0)</x:f>
        <x:v>0</x:v>
      </x:c>
      <x:c r="J792" s="12" t="n">
        <x:f>IF('患者配对'!R868="positive",1,0)</x:f>
        <x:v>0</x:v>
      </x:c>
      <x:c r="K792" s="12" t="n">
        <x:f>IF('患者配对'!W868="positive",1,0)</x:f>
        <x:v>0</x:v>
      </x:c>
      <x:c r="L792" s="12" t="str">
        <x:v>由原件与原状态取得；仅主队列索引</x:v>
      </x:c>
      <x:c r="M792" s="12"/>
      <x:c r="N792" s="12"/>
      <x:c r="O792" s="12"/>
    </x:row>
    <x:row r="793" ht="39" customHeight="1">
      <x:c r="A793" s="12" t="str">
        <x:v>7621</x:v>
      </x:c>
      <x:c r="B793" s="12" t="str">
        <x:v>20277</x:v>
      </x:c>
      <x:c r="C793" s="12" t="str">
        <x:v>参考000</x:v>
      </x:c>
      <x:c r="D793" s="12" t="str">
        <x:v>自动000</x:v>
      </x:c>
      <x:c r="E793" s="12" t="n">
        <x:v>0</x:v>
      </x:c>
      <x:c r="F793" s="12" t="n">
        <x:v>1</x:v>
      </x:c>
      <x:c r="G793" s="12" t="n">
        <x:v>0</x:v>
      </x:c>
      <x:c r="H793" s="12" t="n">
        <x:f>IF(SUM(I793:K793)&gt;0,1,0)</x:f>
        <x:v>0</x:v>
      </x:c>
      <x:c r="I793" s="12" t="n">
        <x:f>IF('患者配对'!M869="positive",1,0)</x:f>
        <x:v>0</x:v>
      </x:c>
      <x:c r="J793" s="12" t="n">
        <x:f>IF('患者配对'!R869="positive",1,0)</x:f>
        <x:v>0</x:v>
      </x:c>
      <x:c r="K793" s="12" t="n">
        <x:f>IF('患者配对'!W869="positive",1,0)</x:f>
        <x:v>0</x:v>
      </x:c>
      <x:c r="L793" s="12" t="str">
        <x:v>由原件与原状态取得；仅主队列索引</x:v>
      </x:c>
      <x:c r="M793" s="12"/>
      <x:c r="N793" s="12"/>
      <x:c r="O793" s="12"/>
    </x:row>
    <x:row r="794" ht="39" customHeight="1">
      <x:c r="A794" s="12" t="str">
        <x:v>7644</x:v>
      </x:c>
      <x:c r="B794" s="12" t="str">
        <x:v>14375</x:v>
      </x:c>
      <x:c r="C794" s="12" t="str">
        <x:v>参考000</x:v>
      </x:c>
      <x:c r="D794" s="12" t="str">
        <x:v>自动000</x:v>
      </x:c>
      <x:c r="E794" s="12" t="n">
        <x:v>0</x:v>
      </x:c>
      <x:c r="F794" s="12" t="n">
        <x:v>0</x:v>
      </x:c>
      <x:c r="G794" s="12" t="n">
        <x:v>0</x:v>
      </x:c>
      <x:c r="H794" s="12" t="n">
        <x:f>IF(SUM(I794:K794)&gt;0,1,0)</x:f>
        <x:v>0</x:v>
      </x:c>
      <x:c r="I794" s="12" t="n">
        <x:f>IF('患者配对'!M870="positive",1,0)</x:f>
        <x:v>0</x:v>
      </x:c>
      <x:c r="J794" s="12" t="n">
        <x:f>IF('患者配对'!R870="positive",1,0)</x:f>
        <x:v>0</x:v>
      </x:c>
      <x:c r="K794" s="12" t="n">
        <x:f>IF('患者配对'!W870="positive",1,0)</x:f>
        <x:v>0</x:v>
      </x:c>
      <x:c r="L794" s="12" t="str">
        <x:v>由原件与原状态取得；仅主队列索引</x:v>
      </x:c>
      <x:c r="M794" s="12"/>
      <x:c r="N794" s="12"/>
      <x:c r="O794" s="12"/>
    </x:row>
    <x:row r="795" ht="39" customHeight="1">
      <x:c r="A795" s="12" t="str">
        <x:v>7661</x:v>
      </x:c>
      <x:c r="B795" s="12" t="str">
        <x:v>16950</x:v>
      </x:c>
      <x:c r="C795" s="12" t="str">
        <x:v>参考000</x:v>
      </x:c>
      <x:c r="D795" s="12" t="str">
        <x:v>自动001</x:v>
      </x:c>
      <x:c r="E795" s="12" t="n">
        <x:v>1</x:v>
      </x:c>
      <x:c r="F795" s="12" t="n">
        <x:v>1</x:v>
      </x:c>
      <x:c r="G795" s="12" t="n">
        <x:v>1</x:v>
      </x:c>
      <x:c r="H795" s="12" t="n">
        <x:f>IF(SUM(I795:K795)&gt;0,1,0)</x:f>
        <x:v>0</x:v>
      </x:c>
      <x:c r="I795" s="12" t="n">
        <x:f>IF('患者配对'!M871="positive",1,0)</x:f>
        <x:v>0</x:v>
      </x:c>
      <x:c r="J795" s="12" t="n">
        <x:f>IF('患者配对'!R871="positive",1,0)</x:f>
        <x:v>0</x:v>
      </x:c>
      <x:c r="K795" s="12" t="n">
        <x:f>IF('患者配对'!W871="positive",1,0)</x:f>
        <x:v>0</x:v>
      </x:c>
      <x:c r="L795" s="12" t="str">
        <x:v>由原件与原状态取得；仅主队列索引</x:v>
      </x:c>
      <x:c r="M795" s="12"/>
      <x:c r="N795" s="12"/>
      <x:c r="O795" s="12"/>
    </x:row>
    <x:row r="796" ht="39" customHeight="1">
      <x:c r="A796" s="12" t="str">
        <x:v>7668</x:v>
      </x:c>
      <x:c r="B796" s="12" t="str">
        <x:v>10491</x:v>
      </x:c>
      <x:c r="C796" s="12" t="str">
        <x:v>参考000</x:v>
      </x:c>
      <x:c r="D796" s="12" t="str">
        <x:v>自动000</x:v>
      </x:c>
      <x:c r="E796" s="12" t="n">
        <x:v>0</x:v>
      </x:c>
      <x:c r="F796" s="12" t="n">
        <x:v>1</x:v>
      </x:c>
      <x:c r="G796" s="12" t="n">
        <x:v>0</x:v>
      </x:c>
      <x:c r="H796" s="12" t="n">
        <x:f>IF(SUM(I796:K796)&gt;0,1,0)</x:f>
        <x:v>0</x:v>
      </x:c>
      <x:c r="I796" s="12" t="n">
        <x:f>IF('患者配对'!M872="positive",1,0)</x:f>
        <x:v>0</x:v>
      </x:c>
      <x:c r="J796" s="12" t="n">
        <x:f>IF('患者配对'!R872="positive",1,0)</x:f>
        <x:v>0</x:v>
      </x:c>
      <x:c r="K796" s="12" t="n">
        <x:f>IF('患者配对'!W872="positive",1,0)</x:f>
        <x:v>0</x:v>
      </x:c>
      <x:c r="L796" s="12" t="str">
        <x:v>由原件与原状态取得；仅主队列索引</x:v>
      </x:c>
      <x:c r="M796" s="12"/>
      <x:c r="N796" s="12"/>
      <x:c r="O796" s="12"/>
    </x:row>
    <x:row r="797" ht="39" customHeight="1">
      <x:c r="A797" s="12" t="str">
        <x:v>7670</x:v>
      </x:c>
      <x:c r="B797" s="12" t="str">
        <x:v>12137</x:v>
      </x:c>
      <x:c r="C797" s="12" t="str">
        <x:v>参考000</x:v>
      </x:c>
      <x:c r="D797" s="12" t="str">
        <x:v>自动000</x:v>
      </x:c>
      <x:c r="E797" s="12" t="n">
        <x:v>0</x:v>
      </x:c>
      <x:c r="F797" s="12" t="n">
        <x:v>0</x:v>
      </x:c>
      <x:c r="G797" s="12" t="n">
        <x:v>0</x:v>
      </x:c>
      <x:c r="H797" s="12" t="n">
        <x:f>IF(SUM(I797:K797)&gt;0,1,0)</x:f>
        <x:v>0</x:v>
      </x:c>
      <x:c r="I797" s="12" t="n">
        <x:f>IF('患者配对'!M873="positive",1,0)</x:f>
        <x:v>0</x:v>
      </x:c>
      <x:c r="J797" s="12" t="n">
        <x:f>IF('患者配对'!R873="positive",1,0)</x:f>
        <x:v>0</x:v>
      </x:c>
      <x:c r="K797" s="12" t="n">
        <x:f>IF('患者配对'!W873="positive",1,0)</x:f>
        <x:v>0</x:v>
      </x:c>
      <x:c r="L797" s="12" t="str">
        <x:v>由原件与原状态取得；仅主队列索引</x:v>
      </x:c>
      <x:c r="M797" s="12"/>
      <x:c r="N797" s="12"/>
      <x:c r="O797" s="12"/>
    </x:row>
    <x:row r="798" ht="39" customHeight="1">
      <x:c r="A798" s="12" t="str">
        <x:v>7684</x:v>
      </x:c>
      <x:c r="B798" s="12" t="str">
        <x:v>6229</x:v>
      </x:c>
      <x:c r="C798" s="12" t="str">
        <x:v>参考000</x:v>
      </x:c>
      <x:c r="D798" s="12" t="str">
        <x:v>自动000</x:v>
      </x:c>
      <x:c r="E798" s="12" t="n">
        <x:v>0</x:v>
      </x:c>
      <x:c r="F798" s="12" t="n">
        <x:v>0</x:v>
      </x:c>
      <x:c r="G798" s="12" t="n">
        <x:v>0</x:v>
      </x:c>
      <x:c r="H798" s="12" t="n">
        <x:f>IF(SUM(I798:K798)&gt;0,1,0)</x:f>
        <x:v>0</x:v>
      </x:c>
      <x:c r="I798" s="12" t="n">
        <x:f>IF('患者配对'!M874="positive",1,0)</x:f>
        <x:v>0</x:v>
      </x:c>
      <x:c r="J798" s="12" t="n">
        <x:f>IF('患者配对'!R874="positive",1,0)</x:f>
        <x:v>0</x:v>
      </x:c>
      <x:c r="K798" s="12" t="n">
        <x:f>IF('患者配对'!W874="positive",1,0)</x:f>
        <x:v>0</x:v>
      </x:c>
      <x:c r="L798" s="12" t="str">
        <x:v>由原件与原状态取得；仅主队列索引</x:v>
      </x:c>
      <x:c r="M798" s="12"/>
      <x:c r="N798" s="12"/>
      <x:c r="O798" s="12"/>
    </x:row>
    <x:row r="799" ht="39" customHeight="1">
      <x:c r="A799" s="12" t="str">
        <x:v>7692</x:v>
      </x:c>
      <x:c r="B799" s="12" t="str">
        <x:v>6474</x:v>
      </x:c>
      <x:c r="C799" s="12" t="str">
        <x:v>参考000</x:v>
      </x:c>
      <x:c r="D799" s="12" t="str">
        <x:v>自动000</x:v>
      </x:c>
      <x:c r="E799" s="12" t="n">
        <x:v>0</x:v>
      </x:c>
      <x:c r="F799" s="12" t="n">
        <x:v>0</x:v>
      </x:c>
      <x:c r="G799" s="12" t="n">
        <x:v>0</x:v>
      </x:c>
      <x:c r="H799" s="12" t="n">
        <x:f>IF(SUM(I799:K799)&gt;0,1,0)</x:f>
        <x:v>0</x:v>
      </x:c>
      <x:c r="I799" s="12" t="n">
        <x:f>IF('患者配对'!M875="positive",1,0)</x:f>
        <x:v>0</x:v>
      </x:c>
      <x:c r="J799" s="12" t="n">
        <x:f>IF('患者配对'!R875="positive",1,0)</x:f>
        <x:v>0</x:v>
      </x:c>
      <x:c r="K799" s="12" t="n">
        <x:f>IF('患者配对'!W875="positive",1,0)</x:f>
        <x:v>0</x:v>
      </x:c>
      <x:c r="L799" s="12" t="str">
        <x:v>由原件与原状态取得；仅主队列索引</x:v>
      </x:c>
      <x:c r="M799" s="12"/>
      <x:c r="N799" s="12"/>
      <x:c r="O799" s="12"/>
    </x:row>
    <x:row r="800" ht="39" customHeight="1">
      <x:c r="A800" s="12" t="str">
        <x:v>7744</x:v>
      </x:c>
      <x:c r="B800" s="12" t="str">
        <x:v>20954</x:v>
      </x:c>
      <x:c r="C800" s="12" t="str">
        <x:v>参考000</x:v>
      </x:c>
      <x:c r="D800" s="12" t="str">
        <x:v>自动000</x:v>
      </x:c>
      <x:c r="E800" s="12" t="n">
        <x:v>0</x:v>
      </x:c>
      <x:c r="F800" s="12" t="n">
        <x:v>1</x:v>
      </x:c>
      <x:c r="G800" s="12" t="n">
        <x:v>0</x:v>
      </x:c>
      <x:c r="H800" s="12" t="n">
        <x:f>IF(SUM(I800:K800)&gt;0,1,0)</x:f>
        <x:v>0</x:v>
      </x:c>
      <x:c r="I800" s="12" t="n">
        <x:f>IF('患者配对'!M877="positive",1,0)</x:f>
        <x:v>0</x:v>
      </x:c>
      <x:c r="J800" s="12" t="n">
        <x:f>IF('患者配对'!R877="positive",1,0)</x:f>
        <x:v>0</x:v>
      </x:c>
      <x:c r="K800" s="12" t="n">
        <x:f>IF('患者配对'!W877="positive",1,0)</x:f>
        <x:v>0</x:v>
      </x:c>
      <x:c r="L800" s="12" t="str">
        <x:v>由原件与原状态取得；仅主队列索引</x:v>
      </x:c>
      <x:c r="M800" s="12"/>
      <x:c r="N800" s="12"/>
      <x:c r="O800" s="12"/>
    </x:row>
    <x:row r="801" ht="39" customHeight="1">
      <x:c r="A801" s="12" t="str">
        <x:v>7747</x:v>
      </x:c>
      <x:c r="B801" s="12" t="str">
        <x:v>17406</x:v>
      </x:c>
      <x:c r="C801" s="12" t="str">
        <x:v>参考000</x:v>
      </x:c>
      <x:c r="D801" s="12" t="str">
        <x:v>自动000</x:v>
      </x:c>
      <x:c r="E801" s="12" t="n">
        <x:v>0</x:v>
      </x:c>
      <x:c r="F801" s="12" t="n">
        <x:v>0</x:v>
      </x:c>
      <x:c r="G801" s="12" t="n">
        <x:v>0</x:v>
      </x:c>
      <x:c r="H801" s="12" t="n">
        <x:f>IF(SUM(I801:K801)&gt;0,1,0)</x:f>
        <x:v>0</x:v>
      </x:c>
      <x:c r="I801" s="12" t="n">
        <x:f>IF('患者配对'!M878="positive",1,0)</x:f>
        <x:v>0</x:v>
      </x:c>
      <x:c r="J801" s="12" t="n">
        <x:f>IF('患者配对'!R878="positive",1,0)</x:f>
        <x:v>0</x:v>
      </x:c>
      <x:c r="K801" s="12" t="n">
        <x:f>IF('患者配对'!W878="positive",1,0)</x:f>
        <x:v>0</x:v>
      </x:c>
      <x:c r="L801" s="12" t="str">
        <x:v>由原件与原状态取得；仅主队列索引</x:v>
      </x:c>
      <x:c r="M801" s="12"/>
      <x:c r="N801" s="12"/>
      <x:c r="O801" s="12"/>
    </x:row>
    <x:row r="802" ht="39" customHeight="1">
      <x:c r="A802" s="12" t="str">
        <x:v>7751</x:v>
      </x:c>
      <x:c r="B802" s="12" t="str">
        <x:v>4521</x:v>
      </x:c>
      <x:c r="C802" s="12" t="str">
        <x:v>参考100</x:v>
      </x:c>
      <x:c r="D802" s="12" t="str">
        <x:v>自动100</x:v>
      </x:c>
      <x:c r="E802" s="12" t="n">
        <x:v>1</x:v>
      </x:c>
      <x:c r="F802" s="12" t="n">
        <x:v>1</x:v>
      </x:c>
      <x:c r="G802" s="12" t="n">
        <x:v>0</x:v>
      </x:c>
      <x:c r="H802" s="12" t="n">
        <x:f>IF(SUM(I802:K802)&gt;0,1,0)</x:f>
        <x:v>1</x:v>
      </x:c>
      <x:c r="I802" s="12" t="n">
        <x:f>IF('患者配对'!M879="positive",1,0)</x:f>
        <x:v>1</x:v>
      </x:c>
      <x:c r="J802" s="12" t="n">
        <x:f>IF('患者配对'!R879="positive",1,0)</x:f>
        <x:v>0</x:v>
      </x:c>
      <x:c r="K802" s="12" t="n">
        <x:f>IF('患者配对'!W879="positive",1,0)</x:f>
        <x:v>0</x:v>
      </x:c>
      <x:c r="L802" s="12" t="str">
        <x:v>由原件与原状态取得；仅主队列索引</x:v>
      </x:c>
      <x:c r="M802" s="12"/>
      <x:c r="N802" s="12"/>
      <x:c r="O802" s="12"/>
    </x:row>
    <x:row r="803" ht="39" customHeight="1">
      <x:c r="A803" s="12" t="str">
        <x:v>7756</x:v>
      </x:c>
      <x:c r="B803" s="12" t="str">
        <x:v>1709</x:v>
      </x:c>
      <x:c r="C803" s="12" t="str">
        <x:v>参考000</x:v>
      </x:c>
      <x:c r="D803" s="12" t="str">
        <x:v>自动000</x:v>
      </x:c>
      <x:c r="E803" s="12" t="n">
        <x:v>0</x:v>
      </x:c>
      <x:c r="F803" s="12" t="n">
        <x:v>0</x:v>
      </x:c>
      <x:c r="G803" s="12" t="n">
        <x:v>0</x:v>
      </x:c>
      <x:c r="H803" s="12" t="n">
        <x:f>IF(SUM(I803:K803)&gt;0,1,0)</x:f>
        <x:v>0</x:v>
      </x:c>
      <x:c r="I803" s="12" t="n">
        <x:f>IF('患者配对'!M880="positive",1,0)</x:f>
        <x:v>0</x:v>
      </x:c>
      <x:c r="J803" s="12" t="n">
        <x:f>IF('患者配对'!R880="positive",1,0)</x:f>
        <x:v>0</x:v>
      </x:c>
      <x:c r="K803" s="12" t="n">
        <x:f>IF('患者配对'!W880="positive",1,0)</x:f>
        <x:v>0</x:v>
      </x:c>
      <x:c r="L803" s="12" t="str">
        <x:v>由原件与原状态取得；仅主队列索引</x:v>
      </x:c>
      <x:c r="M803" s="12"/>
      <x:c r="N803" s="12"/>
      <x:c r="O803" s="12"/>
    </x:row>
    <x:row r="804" ht="39" customHeight="1">
      <x:c r="A804" s="12" t="str">
        <x:v>7769</x:v>
      </x:c>
      <x:c r="B804" s="12" t="str">
        <x:v>21238</x:v>
      </x:c>
      <x:c r="C804" s="12" t="str">
        <x:v>参考001</x:v>
      </x:c>
      <x:c r="D804" s="12" t="str">
        <x:v>自动001</x:v>
      </x:c>
      <x:c r="E804" s="12" t="n">
        <x:v>1</x:v>
      </x:c>
      <x:c r="F804" s="12" t="n">
        <x:v>1</x:v>
      </x:c>
      <x:c r="G804" s="12" t="n">
        <x:v>0</x:v>
      </x:c>
      <x:c r="H804" s="12" t="n">
        <x:f>IF(SUM(I804:K804)&gt;0,1,0)</x:f>
        <x:v>1</x:v>
      </x:c>
      <x:c r="I804" s="12" t="n">
        <x:f>IF('患者配对'!M881="positive",1,0)</x:f>
        <x:v>0</x:v>
      </x:c>
      <x:c r="J804" s="12" t="n">
        <x:f>IF('患者配对'!R881="positive",1,0)</x:f>
        <x:v>0</x:v>
      </x:c>
      <x:c r="K804" s="12" t="n">
        <x:f>IF('患者配对'!W881="positive",1,0)</x:f>
        <x:v>1</x:v>
      </x:c>
      <x:c r="L804" s="12" t="str">
        <x:v>由原件与原状态取得；仅主队列索引</x:v>
      </x:c>
      <x:c r="M804" s="12"/>
      <x:c r="N804" s="12"/>
      <x:c r="O804" s="12"/>
    </x:row>
    <x:row r="805" ht="39" customHeight="1">
      <x:c r="A805" s="12" t="str">
        <x:v>7770</x:v>
      </x:c>
      <x:c r="B805" s="12" t="str">
        <x:v>19418</x:v>
      </x:c>
      <x:c r="C805" s="12" t="str">
        <x:v>参考000</x:v>
      </x:c>
      <x:c r="D805" s="12" t="str">
        <x:v>自动000</x:v>
      </x:c>
      <x:c r="E805" s="12" t="n">
        <x:v>0</x:v>
      </x:c>
      <x:c r="F805" s="12" t="n">
        <x:v>1</x:v>
      </x:c>
      <x:c r="G805" s="12" t="n">
        <x:v>0</x:v>
      </x:c>
      <x:c r="H805" s="12" t="n">
        <x:f>IF(SUM(I805:K805)&gt;0,1,0)</x:f>
        <x:v>0</x:v>
      </x:c>
      <x:c r="I805" s="12" t="n">
        <x:f>IF('患者配对'!M882="positive",1,0)</x:f>
        <x:v>0</x:v>
      </x:c>
      <x:c r="J805" s="12" t="n">
        <x:f>IF('患者配对'!R882="positive",1,0)</x:f>
        <x:v>0</x:v>
      </x:c>
      <x:c r="K805" s="12" t="n">
        <x:f>IF('患者配对'!W882="positive",1,0)</x:f>
        <x:v>0</x:v>
      </x:c>
      <x:c r="L805" s="12" t="str">
        <x:v>由原件与原状态取得；仅主队列索引</x:v>
      </x:c>
      <x:c r="M805" s="12"/>
      <x:c r="N805" s="12"/>
      <x:c r="O805" s="12"/>
    </x:row>
    <x:row r="806" ht="39" customHeight="1">
      <x:c r="A806" s="12" t="str">
        <x:v>7783</x:v>
      </x:c>
      <x:c r="B806" s="12" t="str">
        <x:v>14850</x:v>
      </x:c>
      <x:c r="C806" s="12" t="str">
        <x:v>参考000</x:v>
      </x:c>
      <x:c r="D806" s="12" t="str">
        <x:v>自动000</x:v>
      </x:c>
      <x:c r="E806" s="12" t="n">
        <x:v>0</x:v>
      </x:c>
      <x:c r="F806" s="12" t="n">
        <x:v>0</x:v>
      </x:c>
      <x:c r="G806" s="12" t="n">
        <x:v>0</x:v>
      </x:c>
      <x:c r="H806" s="12" t="n">
        <x:f>IF(SUM(I806:K806)&gt;0,1,0)</x:f>
        <x:v>0</x:v>
      </x:c>
      <x:c r="I806" s="12" t="n">
        <x:f>IF('患者配对'!M883="positive",1,0)</x:f>
        <x:v>0</x:v>
      </x:c>
      <x:c r="J806" s="12" t="n">
        <x:f>IF('患者配对'!R883="positive",1,0)</x:f>
        <x:v>0</x:v>
      </x:c>
      <x:c r="K806" s="12" t="n">
        <x:f>IF('患者配对'!W883="positive",1,0)</x:f>
        <x:v>0</x:v>
      </x:c>
      <x:c r="L806" s="12" t="str">
        <x:v>由原件与原状态取得；仅主队列索引</x:v>
      </x:c>
      <x:c r="M806" s="12"/>
      <x:c r="N806" s="12"/>
      <x:c r="O806" s="12"/>
    </x:row>
    <x:row r="807" ht="39" customHeight="1">
      <x:c r="A807" s="12" t="str">
        <x:v>7793</x:v>
      </x:c>
      <x:c r="B807" s="12" t="str">
        <x:v>3920</x:v>
      </x:c>
      <x:c r="C807" s="12" t="str">
        <x:v>参考000</x:v>
      </x:c>
      <x:c r="D807" s="12" t="str">
        <x:v>自动000</x:v>
      </x:c>
      <x:c r="E807" s="12" t="n">
        <x:v>0</x:v>
      </x:c>
      <x:c r="F807" s="12" t="n">
        <x:v>0</x:v>
      </x:c>
      <x:c r="G807" s="12" t="n">
        <x:v>0</x:v>
      </x:c>
      <x:c r="H807" s="12" t="n">
        <x:f>IF(SUM(I807:K807)&gt;0,1,0)</x:f>
        <x:v>0</x:v>
      </x:c>
      <x:c r="I807" s="12" t="n">
        <x:f>IF('患者配对'!M884="positive",1,0)</x:f>
        <x:v>0</x:v>
      </x:c>
      <x:c r="J807" s="12" t="n">
        <x:f>IF('患者配对'!R884="positive",1,0)</x:f>
        <x:v>0</x:v>
      </x:c>
      <x:c r="K807" s="12" t="n">
        <x:f>IF('患者配对'!W884="positive",1,0)</x:f>
        <x:v>0</x:v>
      </x:c>
      <x:c r="L807" s="12" t="str">
        <x:v>由原件与原状态取得；仅主队列索引</x:v>
      </x:c>
      <x:c r="M807" s="12"/>
      <x:c r="N807" s="12"/>
      <x:c r="O807" s="12"/>
    </x:row>
    <x:row r="808" ht="39" customHeight="1">
      <x:c r="A808" s="12" t="str">
        <x:v>7797</x:v>
      </x:c>
      <x:c r="B808" s="12" t="str">
        <x:v>12404</x:v>
      </x:c>
      <x:c r="C808" s="12" t="str">
        <x:v>参考000</x:v>
      </x:c>
      <x:c r="D808" s="12" t="str">
        <x:v>自动000</x:v>
      </x:c>
      <x:c r="E808" s="12" t="n">
        <x:v>0</x:v>
      </x:c>
      <x:c r="F808" s="12" t="n">
        <x:v>0</x:v>
      </x:c>
      <x:c r="G808" s="12" t="n">
        <x:v>0</x:v>
      </x:c>
      <x:c r="H808" s="12" t="n">
        <x:f>IF(SUM(I808:K808)&gt;0,1,0)</x:f>
        <x:v>0</x:v>
      </x:c>
      <x:c r="I808" s="12" t="n">
        <x:f>IF('患者配对'!M885="positive",1,0)</x:f>
        <x:v>0</x:v>
      </x:c>
      <x:c r="J808" s="12" t="n">
        <x:f>IF('患者配对'!R885="positive",1,0)</x:f>
        <x:v>0</x:v>
      </x:c>
      <x:c r="K808" s="12" t="n">
        <x:f>IF('患者配对'!W885="positive",1,0)</x:f>
        <x:v>0</x:v>
      </x:c>
      <x:c r="L808" s="12" t="str">
        <x:v>由原件与原状态取得；仅主队列索引</x:v>
      </x:c>
      <x:c r="M808" s="12"/>
      <x:c r="N808" s="12"/>
      <x:c r="O808" s="12"/>
    </x:row>
    <x:row r="809" ht="39" customHeight="1">
      <x:c r="A809" s="12" t="str">
        <x:v>7812</x:v>
      </x:c>
      <x:c r="B809" s="12" t="str">
        <x:v>6111</x:v>
      </x:c>
      <x:c r="C809" s="12" t="str">
        <x:v>参考000</x:v>
      </x:c>
      <x:c r="D809" s="12" t="str">
        <x:v>自动000</x:v>
      </x:c>
      <x:c r="E809" s="12" t="n">
        <x:v>0</x:v>
      </x:c>
      <x:c r="F809" s="12" t="n">
        <x:v>0</x:v>
      </x:c>
      <x:c r="G809" s="12" t="n">
        <x:v>0</x:v>
      </x:c>
      <x:c r="H809" s="12" t="n">
        <x:f>IF(SUM(I809:K809)&gt;0,1,0)</x:f>
        <x:v>0</x:v>
      </x:c>
      <x:c r="I809" s="12" t="n">
        <x:f>IF('患者配对'!M887="positive",1,0)</x:f>
        <x:v>0</x:v>
      </x:c>
      <x:c r="J809" s="12" t="n">
        <x:f>IF('患者配对'!R887="positive",1,0)</x:f>
        <x:v>0</x:v>
      </x:c>
      <x:c r="K809" s="12" t="n">
        <x:f>IF('患者配对'!W887="positive",1,0)</x:f>
        <x:v>0</x:v>
      </x:c>
      <x:c r="L809" s="12" t="str">
        <x:v>由原件与原状态取得；仅主队列索引</x:v>
      </x:c>
      <x:c r="M809" s="12"/>
      <x:c r="N809" s="12"/>
      <x:c r="O809" s="12"/>
    </x:row>
    <x:row r="810" ht="39" customHeight="1">
      <x:c r="A810" s="12" t="str">
        <x:v>7819</x:v>
      </x:c>
      <x:c r="B810" s="12" t="str">
        <x:v>12121</x:v>
      </x:c>
      <x:c r="C810" s="12" t="str">
        <x:v>参考000</x:v>
      </x:c>
      <x:c r="D810" s="12" t="str">
        <x:v>自动000</x:v>
      </x:c>
      <x:c r="E810" s="12" t="n">
        <x:v>0</x:v>
      </x:c>
      <x:c r="F810" s="12" t="n">
        <x:v>1</x:v>
      </x:c>
      <x:c r="G810" s="12" t="n">
        <x:v>0</x:v>
      </x:c>
      <x:c r="H810" s="12" t="n">
        <x:f>IF(SUM(I810:K810)&gt;0,1,0)</x:f>
        <x:v>0</x:v>
      </x:c>
      <x:c r="I810" s="12" t="n">
        <x:f>IF('患者配对'!M889="positive",1,0)</x:f>
        <x:v>0</x:v>
      </x:c>
      <x:c r="J810" s="12" t="n">
        <x:f>IF('患者配对'!R889="positive",1,0)</x:f>
        <x:v>0</x:v>
      </x:c>
      <x:c r="K810" s="12" t="n">
        <x:f>IF('患者配对'!W889="positive",1,0)</x:f>
        <x:v>0</x:v>
      </x:c>
      <x:c r="L810" s="12" t="str">
        <x:v>由原件与原状态取得；仅主队列索引</x:v>
      </x:c>
      <x:c r="M810" s="12"/>
      <x:c r="N810" s="12"/>
      <x:c r="O810" s="12"/>
    </x:row>
    <x:row r="811" ht="39" customHeight="1">
      <x:c r="A811" s="12" t="str">
        <x:v>7822</x:v>
      </x:c>
      <x:c r="B811" s="12" t="str">
        <x:v>20727</x:v>
      </x:c>
      <x:c r="C811" s="12" t="str">
        <x:v>参考000</x:v>
      </x:c>
      <x:c r="D811" s="12" t="str">
        <x:v>自动000</x:v>
      </x:c>
      <x:c r="E811" s="12" t="n">
        <x:v>0</x:v>
      </x:c>
      <x:c r="F811" s="12" t="n">
        <x:v>1</x:v>
      </x:c>
      <x:c r="G811" s="12" t="n">
        <x:v>0</x:v>
      </x:c>
      <x:c r="H811" s="12" t="n">
        <x:f>IF(SUM(I811:K811)&gt;0,1,0)</x:f>
        <x:v>0</x:v>
      </x:c>
      <x:c r="I811" s="12" t="n">
        <x:f>IF('患者配对'!M890="positive",1,0)</x:f>
        <x:v>0</x:v>
      </x:c>
      <x:c r="J811" s="12" t="n">
        <x:f>IF('患者配对'!R890="positive",1,0)</x:f>
        <x:v>0</x:v>
      </x:c>
      <x:c r="K811" s="12" t="n">
        <x:f>IF('患者配对'!W890="positive",1,0)</x:f>
        <x:v>0</x:v>
      </x:c>
      <x:c r="L811" s="12" t="str">
        <x:v>由原件与原状态取得；仅主队列索引</x:v>
      </x:c>
      <x:c r="M811" s="12"/>
      <x:c r="N811" s="12"/>
      <x:c r="O811" s="12"/>
    </x:row>
    <x:row r="812" ht="39" customHeight="1">
      <x:c r="A812" s="12" t="str">
        <x:v>7837</x:v>
      </x:c>
      <x:c r="B812" s="12" t="str">
        <x:v>11456</x:v>
      </x:c>
      <x:c r="C812" s="12" t="str">
        <x:v>参考000</x:v>
      </x:c>
      <x:c r="D812" s="12" t="str">
        <x:v>自动000</x:v>
      </x:c>
      <x:c r="E812" s="12" t="n">
        <x:v>0</x:v>
      </x:c>
      <x:c r="F812" s="12" t="n">
        <x:v>0</x:v>
      </x:c>
      <x:c r="G812" s="12" t="n">
        <x:v>0</x:v>
      </x:c>
      <x:c r="H812" s="12" t="n">
        <x:f>IF(SUM(I812:K812)&gt;0,1,0)</x:f>
        <x:v>0</x:v>
      </x:c>
      <x:c r="I812" s="12" t="n">
        <x:f>IF('患者配对'!M891="positive",1,0)</x:f>
        <x:v>0</x:v>
      </x:c>
      <x:c r="J812" s="12" t="n">
        <x:f>IF('患者配对'!R891="positive",1,0)</x:f>
        <x:v>0</x:v>
      </x:c>
      <x:c r="K812" s="12" t="n">
        <x:f>IF('患者配对'!W891="positive",1,0)</x:f>
        <x:v>0</x:v>
      </x:c>
      <x:c r="L812" s="12" t="str">
        <x:v>由原件与原状态取得；仅主队列索引</x:v>
      </x:c>
      <x:c r="M812" s="12"/>
      <x:c r="N812" s="12"/>
      <x:c r="O812" s="12"/>
    </x:row>
    <x:row r="813" ht="39" customHeight="1">
      <x:c r="A813" s="12" t="str">
        <x:v>7842</x:v>
      </x:c>
      <x:c r="B813" s="12" t="str">
        <x:v>2609</x:v>
      </x:c>
      <x:c r="C813" s="12" t="str">
        <x:v>参考000</x:v>
      </x:c>
      <x:c r="D813" s="12" t="str">
        <x:v>自动000</x:v>
      </x:c>
      <x:c r="E813" s="12" t="n">
        <x:v>0</x:v>
      </x:c>
      <x:c r="F813" s="12" t="n">
        <x:v>0</x:v>
      </x:c>
      <x:c r="G813" s="12" t="n">
        <x:v>0</x:v>
      </x:c>
      <x:c r="H813" s="12" t="n">
        <x:f>IF(SUM(I813:K813)&gt;0,1,0)</x:f>
        <x:v>0</x:v>
      </x:c>
      <x:c r="I813" s="12" t="n">
        <x:f>IF('患者配对'!M892="positive",1,0)</x:f>
        <x:v>0</x:v>
      </x:c>
      <x:c r="J813" s="12" t="n">
        <x:f>IF('患者配对'!R892="positive",1,0)</x:f>
        <x:v>0</x:v>
      </x:c>
      <x:c r="K813" s="12" t="n">
        <x:f>IF('患者配对'!W892="positive",1,0)</x:f>
        <x:v>0</x:v>
      </x:c>
      <x:c r="L813" s="12" t="str">
        <x:v>由原件与原状态取得；仅主队列索引</x:v>
      </x:c>
      <x:c r="M813" s="12"/>
      <x:c r="N813" s="12"/>
      <x:c r="O813" s="12"/>
    </x:row>
    <x:row r="814" ht="39" customHeight="1">
      <x:c r="A814" s="12" t="str">
        <x:v>7848</x:v>
      </x:c>
      <x:c r="B814" s="12" t="str">
        <x:v>10668</x:v>
      </x:c>
      <x:c r="C814" s="12" t="str">
        <x:v>参考000</x:v>
      </x:c>
      <x:c r="D814" s="12" t="str">
        <x:v>自动000</x:v>
      </x:c>
      <x:c r="E814" s="12" t="n">
        <x:v>0</x:v>
      </x:c>
      <x:c r="F814" s="12" t="n">
        <x:v>0</x:v>
      </x:c>
      <x:c r="G814" s="12" t="n">
        <x:v>0</x:v>
      </x:c>
      <x:c r="H814" s="12" t="n">
        <x:f>IF(SUM(I814:K814)&gt;0,1,0)</x:f>
        <x:v>0</x:v>
      </x:c>
      <x:c r="I814" s="12" t="n">
        <x:f>IF('患者配对'!M893="positive",1,0)</x:f>
        <x:v>0</x:v>
      </x:c>
      <x:c r="J814" s="12" t="n">
        <x:f>IF('患者配对'!R893="positive",1,0)</x:f>
        <x:v>0</x:v>
      </x:c>
      <x:c r="K814" s="12" t="n">
        <x:f>IF('患者配对'!W893="positive",1,0)</x:f>
        <x:v>0</x:v>
      </x:c>
      <x:c r="L814" s="12" t="str">
        <x:v>由原件与原状态取得；仅主队列索引</x:v>
      </x:c>
      <x:c r="M814" s="12"/>
      <x:c r="N814" s="12"/>
      <x:c r="O814" s="12"/>
    </x:row>
    <x:row r="815" ht="39" customHeight="1">
      <x:c r="A815" s="12" t="str">
        <x:v>7861</x:v>
      </x:c>
      <x:c r="B815" s="12" t="str">
        <x:v>19498</x:v>
      </x:c>
      <x:c r="C815" s="12" t="str">
        <x:v>参考000</x:v>
      </x:c>
      <x:c r="D815" s="12" t="str">
        <x:v>自动000</x:v>
      </x:c>
      <x:c r="E815" s="12" t="n">
        <x:v>0</x:v>
      </x:c>
      <x:c r="F815" s="12" t="n">
        <x:v>0</x:v>
      </x:c>
      <x:c r="G815" s="12" t="n">
        <x:v>0</x:v>
      </x:c>
      <x:c r="H815" s="12" t="n">
        <x:f>IF(SUM(I815:K815)&gt;0,1,0)</x:f>
        <x:v>0</x:v>
      </x:c>
      <x:c r="I815" s="12" t="n">
        <x:f>IF('患者配对'!M894="positive",1,0)</x:f>
        <x:v>0</x:v>
      </x:c>
      <x:c r="J815" s="12" t="n">
        <x:f>IF('患者配对'!R894="positive",1,0)</x:f>
        <x:v>0</x:v>
      </x:c>
      <x:c r="K815" s="12" t="n">
        <x:f>IF('患者配对'!W894="positive",1,0)</x:f>
        <x:v>0</x:v>
      </x:c>
      <x:c r="L815" s="12" t="str">
        <x:v>由原件与原状态取得；仅主队列索引</x:v>
      </x:c>
      <x:c r="M815" s="12"/>
      <x:c r="N815" s="12"/>
      <x:c r="O815" s="12"/>
    </x:row>
    <x:row r="816" ht="39" customHeight="1">
      <x:c r="A816" s="12" t="str">
        <x:v>7865</x:v>
      </x:c>
      <x:c r="B816" s="12" t="str">
        <x:v>10677</x:v>
      </x:c>
      <x:c r="C816" s="12" t="str">
        <x:v>参考000</x:v>
      </x:c>
      <x:c r="D816" s="12" t="str">
        <x:v>自动000</x:v>
      </x:c>
      <x:c r="E816" s="12" t="n">
        <x:v>0</x:v>
      </x:c>
      <x:c r="F816" s="12" t="n">
        <x:v>1</x:v>
      </x:c>
      <x:c r="G816" s="12" t="n">
        <x:v>0</x:v>
      </x:c>
      <x:c r="H816" s="12" t="n">
        <x:f>IF(SUM(I816:K816)&gt;0,1,0)</x:f>
        <x:v>0</x:v>
      </x:c>
      <x:c r="I816" s="12" t="n">
        <x:f>IF('患者配对'!M895="positive",1,0)</x:f>
        <x:v>0</x:v>
      </x:c>
      <x:c r="J816" s="12" t="n">
        <x:f>IF('患者配对'!R895="positive",1,0)</x:f>
        <x:v>0</x:v>
      </x:c>
      <x:c r="K816" s="12" t="n">
        <x:f>IF('患者配对'!W895="positive",1,0)</x:f>
        <x:v>0</x:v>
      </x:c>
      <x:c r="L816" s="12" t="str">
        <x:v>由原件与原状态取得；仅主队列索引</x:v>
      </x:c>
      <x:c r="M816" s="12"/>
      <x:c r="N816" s="12"/>
      <x:c r="O816" s="12"/>
    </x:row>
    <x:row r="817" ht="39" customHeight="1">
      <x:c r="A817" s="12" t="str">
        <x:v>7873</x:v>
      </x:c>
      <x:c r="B817" s="12" t="str">
        <x:v>11974</x:v>
      </x:c>
      <x:c r="C817" s="12" t="str">
        <x:v>参考000</x:v>
      </x:c>
      <x:c r="D817" s="12" t="str">
        <x:v>自动000</x:v>
      </x:c>
      <x:c r="E817" s="12" t="n">
        <x:v>0</x:v>
      </x:c>
      <x:c r="F817" s="12" t="n">
        <x:v>0</x:v>
      </x:c>
      <x:c r="G817" s="12" t="n">
        <x:v>0</x:v>
      </x:c>
      <x:c r="H817" s="12" t="n">
        <x:f>IF(SUM(I817:K817)&gt;0,1,0)</x:f>
        <x:v>0</x:v>
      </x:c>
      <x:c r="I817" s="12" t="n">
        <x:f>IF('患者配对'!M896="positive",1,0)</x:f>
        <x:v>0</x:v>
      </x:c>
      <x:c r="J817" s="12" t="n">
        <x:f>IF('患者配对'!R896="positive",1,0)</x:f>
        <x:v>0</x:v>
      </x:c>
      <x:c r="K817" s="12" t="n">
        <x:f>IF('患者配对'!W896="positive",1,0)</x:f>
        <x:v>0</x:v>
      </x:c>
      <x:c r="L817" s="12" t="str">
        <x:v>由原件与原状态取得；仅主队列索引</x:v>
      </x:c>
      <x:c r="M817" s="12"/>
      <x:c r="N817" s="12"/>
      <x:c r="O817" s="12"/>
    </x:row>
    <x:row r="818" ht="39" customHeight="1">
      <x:c r="A818" s="12" t="str">
        <x:v>7876</x:v>
      </x:c>
      <x:c r="B818" s="12" t="str">
        <x:v>8152</x:v>
      </x:c>
      <x:c r="C818" s="12" t="str">
        <x:v>参考000</x:v>
      </x:c>
      <x:c r="D818" s="12" t="str">
        <x:v>自动000</x:v>
      </x:c>
      <x:c r="E818" s="12" t="n">
        <x:v>0</x:v>
      </x:c>
      <x:c r="F818" s="12" t="n">
        <x:v>0</x:v>
      </x:c>
      <x:c r="G818" s="12" t="n">
        <x:v>0</x:v>
      </x:c>
      <x:c r="H818" s="12" t="n">
        <x:f>IF(SUM(I818:K818)&gt;0,1,0)</x:f>
        <x:v>0</x:v>
      </x:c>
      <x:c r="I818" s="12" t="n">
        <x:f>IF('患者配对'!M897="positive",1,0)</x:f>
        <x:v>0</x:v>
      </x:c>
      <x:c r="J818" s="12" t="n">
        <x:f>IF('患者配对'!R897="positive",1,0)</x:f>
        <x:v>0</x:v>
      </x:c>
      <x:c r="K818" s="12" t="n">
        <x:f>IF('患者配对'!W897="positive",1,0)</x:f>
        <x:v>0</x:v>
      </x:c>
      <x:c r="L818" s="12" t="str">
        <x:v>由原件与原状态取得；仅主队列索引</x:v>
      </x:c>
      <x:c r="M818" s="12"/>
      <x:c r="N818" s="12"/>
      <x:c r="O818" s="12"/>
    </x:row>
    <x:row r="819" ht="39" customHeight="1">
      <x:c r="A819" s="12" t="str">
        <x:v>7877</x:v>
      </x:c>
      <x:c r="B819" s="12" t="str">
        <x:v>13777</x:v>
      </x:c>
      <x:c r="C819" s="12" t="str">
        <x:v>参考000</x:v>
      </x:c>
      <x:c r="D819" s="12" t="str">
        <x:v>自动000</x:v>
      </x:c>
      <x:c r="E819" s="12" t="n">
        <x:v>0</x:v>
      </x:c>
      <x:c r="F819" s="12" t="n">
        <x:v>0</x:v>
      </x:c>
      <x:c r="G819" s="12" t="n">
        <x:v>0</x:v>
      </x:c>
      <x:c r="H819" s="12" t="n">
        <x:f>IF(SUM(I819:K819)&gt;0,1,0)</x:f>
        <x:v>0</x:v>
      </x:c>
      <x:c r="I819" s="12" t="n">
        <x:f>IF('患者配对'!M898="positive",1,0)</x:f>
        <x:v>0</x:v>
      </x:c>
      <x:c r="J819" s="12" t="n">
        <x:f>IF('患者配对'!R898="positive",1,0)</x:f>
        <x:v>0</x:v>
      </x:c>
      <x:c r="K819" s="12" t="n">
        <x:f>IF('患者配对'!W898="positive",1,0)</x:f>
        <x:v>0</x:v>
      </x:c>
      <x:c r="L819" s="12" t="str">
        <x:v>由原件与原状态取得；仅主队列索引</x:v>
      </x:c>
      <x:c r="M819" s="12"/>
      <x:c r="N819" s="12"/>
      <x:c r="O819" s="12"/>
    </x:row>
    <x:row r="820" ht="39" customHeight="1">
      <x:c r="A820" s="12" t="str">
        <x:v>7880</x:v>
      </x:c>
      <x:c r="B820" s="12" t="str">
        <x:v>19101</x:v>
      </x:c>
      <x:c r="C820" s="12" t="str">
        <x:v>参考000</x:v>
      </x:c>
      <x:c r="D820" s="12" t="str">
        <x:v>自动000</x:v>
      </x:c>
      <x:c r="E820" s="12" t="n">
        <x:v>0</x:v>
      </x:c>
      <x:c r="F820" s="12" t="n">
        <x:v>0</x:v>
      </x:c>
      <x:c r="G820" s="12" t="n">
        <x:v>0</x:v>
      </x:c>
      <x:c r="H820" s="12" t="n">
        <x:f>IF(SUM(I820:K820)&gt;0,1,0)</x:f>
        <x:v>0</x:v>
      </x:c>
      <x:c r="I820" s="12" t="n">
        <x:f>IF('患者配对'!M899="positive",1,0)</x:f>
        <x:v>0</x:v>
      </x:c>
      <x:c r="J820" s="12" t="n">
        <x:f>IF('患者配对'!R899="positive",1,0)</x:f>
        <x:v>0</x:v>
      </x:c>
      <x:c r="K820" s="12" t="n">
        <x:f>IF('患者配对'!W899="positive",1,0)</x:f>
        <x:v>0</x:v>
      </x:c>
      <x:c r="L820" s="12" t="str">
        <x:v>由原件与原状态取得；仅主队列索引</x:v>
      </x:c>
      <x:c r="M820" s="12"/>
      <x:c r="N820" s="12"/>
      <x:c r="O820" s="12"/>
    </x:row>
    <x:row r="821" ht="39" customHeight="1">
      <x:c r="A821" s="12" t="str">
        <x:v>7882</x:v>
      </x:c>
      <x:c r="B821" s="12" t="str">
        <x:v>13678</x:v>
      </x:c>
      <x:c r="C821" s="12" t="str">
        <x:v>参考001</x:v>
      </x:c>
      <x:c r="D821" s="12" t="str">
        <x:v>自动001</x:v>
      </x:c>
      <x:c r="E821" s="12" t="n">
        <x:v>1</x:v>
      </x:c>
      <x:c r="F821" s="12" t="n">
        <x:v>1</x:v>
      </x:c>
      <x:c r="G821" s="12" t="n">
        <x:v>0</x:v>
      </x:c>
      <x:c r="H821" s="12" t="n">
        <x:f>IF(SUM(I821:K821)&gt;0,1,0)</x:f>
        <x:v>1</x:v>
      </x:c>
      <x:c r="I821" s="12" t="n">
        <x:f>IF('患者配对'!M901="positive",1,0)</x:f>
        <x:v>0</x:v>
      </x:c>
      <x:c r="J821" s="12" t="n">
        <x:f>IF('患者配对'!R901="positive",1,0)</x:f>
        <x:v>0</x:v>
      </x:c>
      <x:c r="K821" s="12" t="n">
        <x:f>IF('患者配对'!W901="positive",1,0)</x:f>
        <x:v>1</x:v>
      </x:c>
      <x:c r="L821" s="12" t="str">
        <x:v>由原件与原状态取得；仅主队列索引</x:v>
      </x:c>
      <x:c r="M821" s="12"/>
      <x:c r="N821" s="12"/>
      <x:c r="O821" s="12"/>
    </x:row>
    <x:row r="822" ht="39" customHeight="1">
      <x:c r="A822" s="12" t="str">
        <x:v>7889</x:v>
      </x:c>
      <x:c r="B822" s="12" t="str">
        <x:v>8189</x:v>
      </x:c>
      <x:c r="C822" s="12" t="str">
        <x:v>参考000</x:v>
      </x:c>
      <x:c r="D822" s="12" t="str">
        <x:v>自动000</x:v>
      </x:c>
      <x:c r="E822" s="12" t="n">
        <x:v>0</x:v>
      </x:c>
      <x:c r="F822" s="12" t="n">
        <x:v>0</x:v>
      </x:c>
      <x:c r="G822" s="12" t="n">
        <x:v>0</x:v>
      </x:c>
      <x:c r="H822" s="12" t="n">
        <x:f>IF(SUM(I822:K822)&gt;0,1,0)</x:f>
        <x:v>0</x:v>
      </x:c>
      <x:c r="I822" s="12" t="n">
        <x:f>IF('患者配对'!M902="positive",1,0)</x:f>
        <x:v>0</x:v>
      </x:c>
      <x:c r="J822" s="12" t="n">
        <x:f>IF('患者配对'!R902="positive",1,0)</x:f>
        <x:v>0</x:v>
      </x:c>
      <x:c r="K822" s="12" t="n">
        <x:f>IF('患者配对'!W902="positive",1,0)</x:f>
        <x:v>0</x:v>
      </x:c>
      <x:c r="L822" s="12" t="str">
        <x:v>由原件与原状态取得；仅主队列索引</x:v>
      </x:c>
      <x:c r="M822" s="12"/>
      <x:c r="N822" s="12"/>
      <x:c r="O822" s="12"/>
    </x:row>
    <x:row r="823" ht="39" customHeight="1">
      <x:c r="A823" s="12" t="str">
        <x:v>7892</x:v>
      </x:c>
      <x:c r="B823" s="12" t="str">
        <x:v>18257</x:v>
      </x:c>
      <x:c r="C823" s="12" t="str">
        <x:v>参考000</x:v>
      </x:c>
      <x:c r="D823" s="12" t="str">
        <x:v>自动000</x:v>
      </x:c>
      <x:c r="E823" s="12" t="n">
        <x:v>0</x:v>
      </x:c>
      <x:c r="F823" s="12" t="n">
        <x:v>0</x:v>
      </x:c>
      <x:c r="G823" s="12" t="n">
        <x:v>0</x:v>
      </x:c>
      <x:c r="H823" s="12" t="n">
        <x:f>IF(SUM(I823:K823)&gt;0,1,0)</x:f>
        <x:v>0</x:v>
      </x:c>
      <x:c r="I823" s="12" t="n">
        <x:f>IF('患者配对'!M903="positive",1,0)</x:f>
        <x:v>0</x:v>
      </x:c>
      <x:c r="J823" s="12" t="n">
        <x:f>IF('患者配对'!R903="positive",1,0)</x:f>
        <x:v>0</x:v>
      </x:c>
      <x:c r="K823" s="12" t="n">
        <x:f>IF('患者配对'!W903="positive",1,0)</x:f>
        <x:v>0</x:v>
      </x:c>
      <x:c r="L823" s="12" t="str">
        <x:v>由原件与原状态取得；仅主队列索引</x:v>
      </x:c>
      <x:c r="M823" s="12"/>
      <x:c r="N823" s="12"/>
      <x:c r="O823" s="12"/>
    </x:row>
    <x:row r="824" ht="39" customHeight="1">
      <x:c r="A824" s="12" t="str">
        <x:v>7895</x:v>
      </x:c>
      <x:c r="B824" s="12" t="str">
        <x:v>12734</x:v>
      </x:c>
      <x:c r="C824" s="12" t="str">
        <x:v>参考000</x:v>
      </x:c>
      <x:c r="D824" s="12" t="str">
        <x:v>自动000</x:v>
      </x:c>
      <x:c r="E824" s="12" t="n">
        <x:v>0</x:v>
      </x:c>
      <x:c r="F824" s="12" t="n">
        <x:v>0</x:v>
      </x:c>
      <x:c r="G824" s="12" t="n">
        <x:v>0</x:v>
      </x:c>
      <x:c r="H824" s="12" t="n">
        <x:f>IF(SUM(I824:K824)&gt;0,1,0)</x:f>
        <x:v>0</x:v>
      </x:c>
      <x:c r="I824" s="12" t="n">
        <x:f>IF('患者配对'!M904="positive",1,0)</x:f>
        <x:v>0</x:v>
      </x:c>
      <x:c r="J824" s="12" t="n">
        <x:f>IF('患者配对'!R904="positive",1,0)</x:f>
        <x:v>0</x:v>
      </x:c>
      <x:c r="K824" s="12" t="n">
        <x:f>IF('患者配对'!W904="positive",1,0)</x:f>
        <x:v>0</x:v>
      </x:c>
      <x:c r="L824" s="12" t="str">
        <x:v>由原件与原状态取得；仅主队列索引</x:v>
      </x:c>
      <x:c r="M824" s="12"/>
      <x:c r="N824" s="12"/>
      <x:c r="O824" s="12"/>
    </x:row>
    <x:row r="825" ht="39" customHeight="1">
      <x:c r="A825" s="12" t="str">
        <x:v>7905</x:v>
      </x:c>
      <x:c r="B825" s="12" t="str">
        <x:v>13536</x:v>
      </x:c>
      <x:c r="C825" s="12" t="str">
        <x:v>参考000</x:v>
      </x:c>
      <x:c r="D825" s="12" t="str">
        <x:v>自动000</x:v>
      </x:c>
      <x:c r="E825" s="12" t="n">
        <x:v>0</x:v>
      </x:c>
      <x:c r="F825" s="12" t="n">
        <x:v>0</x:v>
      </x:c>
      <x:c r="G825" s="12" t="n">
        <x:v>0</x:v>
      </x:c>
      <x:c r="H825" s="12" t="n">
        <x:f>IF(SUM(I825:K825)&gt;0,1,0)</x:f>
        <x:v>0</x:v>
      </x:c>
      <x:c r="I825" s="12" t="n">
        <x:f>IF('患者配对'!M905="positive",1,0)</x:f>
        <x:v>0</x:v>
      </x:c>
      <x:c r="J825" s="12" t="n">
        <x:f>IF('患者配对'!R905="positive",1,0)</x:f>
        <x:v>0</x:v>
      </x:c>
      <x:c r="K825" s="12" t="n">
        <x:f>IF('患者配对'!W905="positive",1,0)</x:f>
        <x:v>0</x:v>
      </x:c>
      <x:c r="L825" s="12" t="str">
        <x:v>由原件与原状态取得；仅主队列索引</x:v>
      </x:c>
      <x:c r="M825" s="12"/>
      <x:c r="N825" s="12"/>
      <x:c r="O825" s="12"/>
    </x:row>
    <x:row r="826" ht="39" customHeight="1">
      <x:c r="A826" s="12" t="str">
        <x:v>7916</x:v>
      </x:c>
      <x:c r="B826" s="12" t="str">
        <x:v>17216</x:v>
      </x:c>
      <x:c r="C826" s="12" t="str">
        <x:v>参考000</x:v>
      </x:c>
      <x:c r="D826" s="12" t="str">
        <x:v>自动000</x:v>
      </x:c>
      <x:c r="E826" s="12" t="n">
        <x:v>0</x:v>
      </x:c>
      <x:c r="F826" s="12" t="n">
        <x:v>0</x:v>
      </x:c>
      <x:c r="G826" s="12" t="n">
        <x:v>0</x:v>
      </x:c>
      <x:c r="H826" s="12" t="n">
        <x:f>IF(SUM(I826:K826)&gt;0,1,0)</x:f>
        <x:v>0</x:v>
      </x:c>
      <x:c r="I826" s="12" t="n">
        <x:f>IF('患者配对'!M906="positive",1,0)</x:f>
        <x:v>0</x:v>
      </x:c>
      <x:c r="J826" s="12" t="n">
        <x:f>IF('患者配对'!R906="positive",1,0)</x:f>
        <x:v>0</x:v>
      </x:c>
      <x:c r="K826" s="12" t="n">
        <x:f>IF('患者配对'!W906="positive",1,0)</x:f>
        <x:v>0</x:v>
      </x:c>
      <x:c r="L826" s="12" t="str">
        <x:v>由原件与原状态取得；仅主队列索引</x:v>
      </x:c>
      <x:c r="M826" s="12"/>
      <x:c r="N826" s="12"/>
      <x:c r="O826" s="12"/>
    </x:row>
    <x:row r="827" ht="39" customHeight="1">
      <x:c r="A827" s="12" t="str">
        <x:v>7919</x:v>
      </x:c>
      <x:c r="B827" s="12" t="str">
        <x:v>12893</x:v>
      </x:c>
      <x:c r="C827" s="12" t="str">
        <x:v>参考010</x:v>
      </x:c>
      <x:c r="D827" s="12" t="str">
        <x:v>自动010</x:v>
      </x:c>
      <x:c r="E827" s="12" t="n">
        <x:v>1</x:v>
      </x:c>
      <x:c r="F827" s="12" t="n">
        <x:v>1</x:v>
      </x:c>
      <x:c r="G827" s="12" t="n">
        <x:v>0</x:v>
      </x:c>
      <x:c r="H827" s="12" t="n">
        <x:f>IF(SUM(I827:K827)&gt;0,1,0)</x:f>
        <x:v>1</x:v>
      </x:c>
      <x:c r="I827" s="12" t="n">
        <x:f>IF('患者配对'!M907="positive",1,0)</x:f>
        <x:v>0</x:v>
      </x:c>
      <x:c r="J827" s="12" t="n">
        <x:f>IF('患者配对'!R907="positive",1,0)</x:f>
        <x:v>1</x:v>
      </x:c>
      <x:c r="K827" s="12" t="n">
        <x:f>IF('患者配对'!W907="positive",1,0)</x:f>
        <x:v>0</x:v>
      </x:c>
      <x:c r="L827" s="12" t="str">
        <x:v>由原件与原状态取得；仅主队列索引</x:v>
      </x:c>
      <x:c r="M827" s="12"/>
      <x:c r="N827" s="12"/>
      <x:c r="O827" s="12"/>
    </x:row>
    <x:row r="828" ht="39" customHeight="1">
      <x:c r="A828" s="12" t="str">
        <x:v>7946</x:v>
      </x:c>
      <x:c r="B828" s="12" t="str">
        <x:v>377</x:v>
      </x:c>
      <x:c r="C828" s="12" t="str">
        <x:v>参考000</x:v>
      </x:c>
      <x:c r="D828" s="12" t="str">
        <x:v>自动000</x:v>
      </x:c>
      <x:c r="E828" s="12" t="n">
        <x:v>0</x:v>
      </x:c>
      <x:c r="F828" s="12" t="n">
        <x:v>0</x:v>
      </x:c>
      <x:c r="G828" s="12" t="n">
        <x:v>0</x:v>
      </x:c>
      <x:c r="H828" s="12" t="n">
        <x:f>IF(SUM(I828:K828)&gt;0,1,0)</x:f>
        <x:v>0</x:v>
      </x:c>
      <x:c r="I828" s="12" t="n">
        <x:f>IF('患者配对'!M908="positive",1,0)</x:f>
        <x:v>0</x:v>
      </x:c>
      <x:c r="J828" s="12" t="n">
        <x:f>IF('患者配对'!R908="positive",1,0)</x:f>
        <x:v>0</x:v>
      </x:c>
      <x:c r="K828" s="12" t="n">
        <x:f>IF('患者配对'!W908="positive",1,0)</x:f>
        <x:v>0</x:v>
      </x:c>
      <x:c r="L828" s="12" t="str">
        <x:v>由原件与原状态取得；仅主队列索引</x:v>
      </x:c>
      <x:c r="M828" s="12"/>
      <x:c r="N828" s="12"/>
      <x:c r="O828" s="12"/>
    </x:row>
    <x:row r="829" ht="39" customHeight="1">
      <x:c r="A829" s="12" t="str">
        <x:v>7950</x:v>
      </x:c>
      <x:c r="B829" s="12" t="str">
        <x:v>17165</x:v>
      </x:c>
      <x:c r="C829" s="12" t="str">
        <x:v>参考000</x:v>
      </x:c>
      <x:c r="D829" s="12" t="str">
        <x:v>自动000</x:v>
      </x:c>
      <x:c r="E829" s="12" t="n">
        <x:v>0</x:v>
      </x:c>
      <x:c r="F829" s="12" t="n">
        <x:v>0</x:v>
      </x:c>
      <x:c r="G829" s="12" t="n">
        <x:v>0</x:v>
      </x:c>
      <x:c r="H829" s="12" t="n">
        <x:f>IF(SUM(I829:K829)&gt;0,1,0)</x:f>
        <x:v>0</x:v>
      </x:c>
      <x:c r="I829" s="12" t="n">
        <x:f>IF('患者配对'!M909="positive",1,0)</x:f>
        <x:v>0</x:v>
      </x:c>
      <x:c r="J829" s="12" t="n">
        <x:f>IF('患者配对'!R909="positive",1,0)</x:f>
        <x:v>0</x:v>
      </x:c>
      <x:c r="K829" s="12" t="n">
        <x:f>IF('患者配对'!W909="positive",1,0)</x:f>
        <x:v>0</x:v>
      </x:c>
      <x:c r="L829" s="12" t="str">
        <x:v>由原件与原状态取得；仅主队列索引</x:v>
      </x:c>
      <x:c r="M829" s="12"/>
      <x:c r="N829" s="12"/>
      <x:c r="O829" s="12"/>
    </x:row>
    <x:row r="830" ht="39" customHeight="1">
      <x:c r="A830" s="12" t="str">
        <x:v>7951</x:v>
      </x:c>
      <x:c r="B830" s="12" t="str">
        <x:v>6428</x:v>
      </x:c>
      <x:c r="C830" s="12" t="str">
        <x:v>参考000</x:v>
      </x:c>
      <x:c r="D830" s="12" t="str">
        <x:v>自动000</x:v>
      </x:c>
      <x:c r="E830" s="12" t="n">
        <x:v>0</x:v>
      </x:c>
      <x:c r="F830" s="12" t="n">
        <x:v>0</x:v>
      </x:c>
      <x:c r="G830" s="12" t="n">
        <x:v>0</x:v>
      </x:c>
      <x:c r="H830" s="12" t="n">
        <x:f>IF(SUM(I830:K830)&gt;0,1,0)</x:f>
        <x:v>0</x:v>
      </x:c>
      <x:c r="I830" s="12" t="n">
        <x:f>IF('患者配对'!M910="positive",1,0)</x:f>
        <x:v>0</x:v>
      </x:c>
      <x:c r="J830" s="12" t="n">
        <x:f>IF('患者配对'!R910="positive",1,0)</x:f>
        <x:v>0</x:v>
      </x:c>
      <x:c r="K830" s="12" t="n">
        <x:f>IF('患者配对'!W910="positive",1,0)</x:f>
        <x:v>0</x:v>
      </x:c>
      <x:c r="L830" s="12" t="str">
        <x:v>由原件与原状态取得；仅主队列索引</x:v>
      </x:c>
      <x:c r="M830" s="12"/>
      <x:c r="N830" s="12"/>
      <x:c r="O830" s="12"/>
    </x:row>
    <x:row r="831" ht="39" customHeight="1">
      <x:c r="A831" s="12" t="str">
        <x:v>7967</x:v>
      </x:c>
      <x:c r="B831" s="12" t="str">
        <x:v>1787</x:v>
      </x:c>
      <x:c r="C831" s="12" t="str">
        <x:v>参考010</x:v>
      </x:c>
      <x:c r="D831" s="12" t="str">
        <x:v>自动010</x:v>
      </x:c>
      <x:c r="E831" s="12" t="n">
        <x:v>1</x:v>
      </x:c>
      <x:c r="F831" s="12" t="n">
        <x:v>1</x:v>
      </x:c>
      <x:c r="G831" s="12" t="n">
        <x:v>0</x:v>
      </x:c>
      <x:c r="H831" s="12" t="n">
        <x:f>IF(SUM(I831:K831)&gt;0,1,0)</x:f>
        <x:v>1</x:v>
      </x:c>
      <x:c r="I831" s="12" t="n">
        <x:f>IF('患者配对'!M912="positive",1,0)</x:f>
        <x:v>0</x:v>
      </x:c>
      <x:c r="J831" s="12" t="n">
        <x:f>IF('患者配对'!R912="positive",1,0)</x:f>
        <x:v>1</x:v>
      </x:c>
      <x:c r="K831" s="12" t="n">
        <x:f>IF('患者配对'!W912="positive",1,0)</x:f>
        <x:v>0</x:v>
      </x:c>
      <x:c r="L831" s="12" t="str">
        <x:v>由原件与原状态取得；仅主队列索引</x:v>
      </x:c>
      <x:c r="M831" s="12"/>
      <x:c r="N831" s="12"/>
      <x:c r="O831" s="12"/>
    </x:row>
    <x:row r="832" ht="39" customHeight="1">
      <x:c r="A832" s="12" t="str">
        <x:v>7990</x:v>
      </x:c>
      <x:c r="B832" s="12" t="str">
        <x:v>3647</x:v>
      </x:c>
      <x:c r="C832" s="12" t="str">
        <x:v>参考000</x:v>
      </x:c>
      <x:c r="D832" s="12" t="str">
        <x:v>自动000</x:v>
      </x:c>
      <x:c r="E832" s="12" t="n">
        <x:v>0</x:v>
      </x:c>
      <x:c r="F832" s="12" t="n">
        <x:v>1</x:v>
      </x:c>
      <x:c r="G832" s="12" t="n">
        <x:v>0</x:v>
      </x:c>
      <x:c r="H832" s="12" t="n">
        <x:f>IF(SUM(I832:K832)&gt;0,1,0)</x:f>
        <x:v>0</x:v>
      </x:c>
      <x:c r="I832" s="12" t="n">
        <x:f>IF('患者配对'!M913="positive",1,0)</x:f>
        <x:v>0</x:v>
      </x:c>
      <x:c r="J832" s="12" t="n">
        <x:f>IF('患者配对'!R913="positive",1,0)</x:f>
        <x:v>0</x:v>
      </x:c>
      <x:c r="K832" s="12" t="n">
        <x:f>IF('患者配对'!W913="positive",1,0)</x:f>
        <x:v>0</x:v>
      </x:c>
      <x:c r="L832" s="12" t="str">
        <x:v>由原件与原状态取得；仅主队列索引</x:v>
      </x:c>
      <x:c r="M832" s="12"/>
      <x:c r="N832" s="12"/>
      <x:c r="O832" s="12"/>
    </x:row>
    <x:row r="833" ht="39" customHeight="1">
      <x:c r="A833" s="12" t="str">
        <x:v>7998</x:v>
      </x:c>
      <x:c r="B833" s="12" t="str">
        <x:v>3862</x:v>
      </x:c>
      <x:c r="C833" s="12" t="str">
        <x:v>参考100</x:v>
      </x:c>
      <x:c r="D833" s="12" t="str">
        <x:v>自动100</x:v>
      </x:c>
      <x:c r="E833" s="12" t="n">
        <x:v>1</x:v>
      </x:c>
      <x:c r="F833" s="12" t="n">
        <x:v>1</x:v>
      </x:c>
      <x:c r="G833" s="12" t="n">
        <x:v>0</x:v>
      </x:c>
      <x:c r="H833" s="12" t="n">
        <x:f>IF(SUM(I833:K833)&gt;0,1,0)</x:f>
        <x:v>1</x:v>
      </x:c>
      <x:c r="I833" s="12" t="n">
        <x:f>IF('患者配对'!M914="positive",1,0)</x:f>
        <x:v>1</x:v>
      </x:c>
      <x:c r="J833" s="12" t="n">
        <x:f>IF('患者配对'!R914="positive",1,0)</x:f>
        <x:v>0</x:v>
      </x:c>
      <x:c r="K833" s="12" t="n">
        <x:f>IF('患者配对'!W914="positive",1,0)</x:f>
        <x:v>0</x:v>
      </x:c>
      <x:c r="L833" s="12" t="str">
        <x:v>由原件与原状态取得；仅主队列索引</x:v>
      </x:c>
      <x:c r="M833" s="12"/>
      <x:c r="N833" s="12"/>
      <x:c r="O833" s="12"/>
    </x:row>
    <x:row r="834" ht="39" customHeight="1">
      <x:c r="A834" s="12" t="str">
        <x:v>8000</x:v>
      </x:c>
      <x:c r="B834" s="12" t="str">
        <x:v>17772</x:v>
      </x:c>
      <x:c r="C834" s="12" t="str">
        <x:v>参考000</x:v>
      </x:c>
      <x:c r="D834" s="12" t="str">
        <x:v>自动000</x:v>
      </x:c>
      <x:c r="E834" s="12" t="n">
        <x:v>0</x:v>
      </x:c>
      <x:c r="F834" s="12" t="n">
        <x:v>0</x:v>
      </x:c>
      <x:c r="G834" s="12" t="n">
        <x:v>0</x:v>
      </x:c>
      <x:c r="H834" s="12" t="n">
        <x:f>IF(SUM(I834:K834)&gt;0,1,0)</x:f>
        <x:v>0</x:v>
      </x:c>
      <x:c r="I834" s="12" t="n">
        <x:f>IF('患者配对'!M915="positive",1,0)</x:f>
        <x:v>0</x:v>
      </x:c>
      <x:c r="J834" s="12" t="n">
        <x:f>IF('患者配对'!R915="positive",1,0)</x:f>
        <x:v>0</x:v>
      </x:c>
      <x:c r="K834" s="12" t="n">
        <x:f>IF('患者配对'!W915="positive",1,0)</x:f>
        <x:v>0</x:v>
      </x:c>
      <x:c r="L834" s="12" t="str">
        <x:v>由原件与原状态取得；仅主队列索引</x:v>
      </x:c>
      <x:c r="M834" s="12"/>
      <x:c r="N834" s="12"/>
      <x:c r="O834" s="12"/>
    </x:row>
    <x:row r="835" ht="39" customHeight="1">
      <x:c r="A835" s="12" t="str">
        <x:v>8036</x:v>
      </x:c>
      <x:c r="B835" s="12" t="str">
        <x:v>12281</x:v>
      </x:c>
      <x:c r="C835" s="12" t="str">
        <x:v>参考000</x:v>
      </x:c>
      <x:c r="D835" s="12" t="str">
        <x:v>自动000</x:v>
      </x:c>
      <x:c r="E835" s="12" t="n">
        <x:v>0</x:v>
      </x:c>
      <x:c r="F835" s="12" t="n">
        <x:v>0</x:v>
      </x:c>
      <x:c r="G835" s="12" t="n">
        <x:v>0</x:v>
      </x:c>
      <x:c r="H835" s="12" t="n">
        <x:f>IF(SUM(I835:K835)&gt;0,1,0)</x:f>
        <x:v>0</x:v>
      </x:c>
      <x:c r="I835" s="12" t="n">
        <x:f>IF('患者配对'!M917="positive",1,0)</x:f>
        <x:v>0</x:v>
      </x:c>
      <x:c r="J835" s="12" t="n">
        <x:f>IF('患者配对'!R917="positive",1,0)</x:f>
        <x:v>0</x:v>
      </x:c>
      <x:c r="K835" s="12" t="n">
        <x:f>IF('患者配对'!W917="positive",1,0)</x:f>
        <x:v>0</x:v>
      </x:c>
      <x:c r="L835" s="12" t="str">
        <x:v>由原件与原状态取得；仅主队列索引</x:v>
      </x:c>
      <x:c r="M835" s="12"/>
      <x:c r="N835" s="12"/>
      <x:c r="O835" s="12"/>
    </x:row>
    <x:row r="836" ht="39" customHeight="1">
      <x:c r="A836" s="12" t="str">
        <x:v>8041</x:v>
      </x:c>
      <x:c r="B836" s="12" t="str">
        <x:v>3434</x:v>
      </x:c>
      <x:c r="C836" s="12" t="str">
        <x:v>参考101</x:v>
      </x:c>
      <x:c r="D836" s="12" t="str">
        <x:v>自动001</x:v>
      </x:c>
      <x:c r="E836" s="12" t="n">
        <x:v>1</x:v>
      </x:c>
      <x:c r="F836" s="12" t="n">
        <x:v>1</x:v>
      </x:c>
      <x:c r="G836" s="12" t="n">
        <x:v>1</x:v>
      </x:c>
      <x:c r="H836" s="12" t="n">
        <x:f>IF(SUM(I836:K836)&gt;0,1,0)</x:f>
        <x:v>1</x:v>
      </x:c>
      <x:c r="I836" s="12" t="n">
        <x:f>IF('患者配对'!M918="positive",1,0)</x:f>
        <x:v>1</x:v>
      </x:c>
      <x:c r="J836" s="12" t="n">
        <x:f>IF('患者配对'!R918="positive",1,0)</x:f>
        <x:v>0</x:v>
      </x:c>
      <x:c r="K836" s="12" t="n">
        <x:f>IF('患者配对'!W918="positive",1,0)</x:f>
        <x:v>1</x:v>
      </x:c>
      <x:c r="L836" s="12" t="str">
        <x:v>由原件与原状态取得；仅主队列索引</x:v>
      </x:c>
      <x:c r="M836" s="12"/>
      <x:c r="N836" s="12"/>
      <x:c r="O836" s="12"/>
    </x:row>
    <x:row r="837" ht="39" customHeight="1">
      <x:c r="A837" s="12" t="str">
        <x:v>8062</x:v>
      </x:c>
      <x:c r="B837" s="12" t="str">
        <x:v>5276</x:v>
      </x:c>
      <x:c r="C837" s="12" t="str">
        <x:v>参考000</x:v>
      </x:c>
      <x:c r="D837" s="12" t="str">
        <x:v>自动000</x:v>
      </x:c>
      <x:c r="E837" s="12" t="n">
        <x:v>0</x:v>
      </x:c>
      <x:c r="F837" s="12" t="n">
        <x:v>1</x:v>
      </x:c>
      <x:c r="G837" s="12" t="n">
        <x:v>0</x:v>
      </x:c>
      <x:c r="H837" s="12" t="n">
        <x:f>IF(SUM(I837:K837)&gt;0,1,0)</x:f>
        <x:v>0</x:v>
      </x:c>
      <x:c r="I837" s="12" t="n">
        <x:f>IF('患者配对'!M919="positive",1,0)</x:f>
        <x:v>0</x:v>
      </x:c>
      <x:c r="J837" s="12" t="n">
        <x:f>IF('患者配对'!R919="positive",1,0)</x:f>
        <x:v>0</x:v>
      </x:c>
      <x:c r="K837" s="12" t="n">
        <x:f>IF('患者配对'!W919="positive",1,0)</x:f>
        <x:v>0</x:v>
      </x:c>
      <x:c r="L837" s="12" t="str">
        <x:v>由原件与原状态取得；仅主队列索引</x:v>
      </x:c>
      <x:c r="M837" s="12"/>
      <x:c r="N837" s="12"/>
      <x:c r="O837" s="12"/>
    </x:row>
    <x:row r="838" ht="39" customHeight="1">
      <x:c r="A838" s="12" t="str">
        <x:v>8065</x:v>
      </x:c>
      <x:c r="B838" s="12" t="str">
        <x:v>7761</x:v>
      </x:c>
      <x:c r="C838" s="12" t="str">
        <x:v>参考000</x:v>
      </x:c>
      <x:c r="D838" s="12" t="str">
        <x:v>自动000</x:v>
      </x:c>
      <x:c r="E838" s="12" t="n">
        <x:v>0</x:v>
      </x:c>
      <x:c r="F838" s="12" t="n">
        <x:v>0</x:v>
      </x:c>
      <x:c r="G838" s="12" t="n">
        <x:v>0</x:v>
      </x:c>
      <x:c r="H838" s="12" t="n">
        <x:f>IF(SUM(I838:K838)&gt;0,1,0)</x:f>
        <x:v>0</x:v>
      </x:c>
      <x:c r="I838" s="12" t="n">
        <x:f>IF('患者配对'!M920="positive",1,0)</x:f>
        <x:v>0</x:v>
      </x:c>
      <x:c r="J838" s="12" t="n">
        <x:f>IF('患者配对'!R920="positive",1,0)</x:f>
        <x:v>0</x:v>
      </x:c>
      <x:c r="K838" s="12" t="n">
        <x:f>IF('患者配对'!W920="positive",1,0)</x:f>
        <x:v>0</x:v>
      </x:c>
      <x:c r="L838" s="12" t="str">
        <x:v>由原件与原状态取得；仅主队列索引</x:v>
      </x:c>
      <x:c r="M838" s="12"/>
      <x:c r="N838" s="12"/>
      <x:c r="O838" s="12"/>
    </x:row>
    <x:row r="839" ht="39" customHeight="1">
      <x:c r="A839" s="12" t="str">
        <x:v>8076</x:v>
      </x:c>
      <x:c r="B839" s="12" t="str">
        <x:v>3451</x:v>
      </x:c>
      <x:c r="C839" s="12" t="str">
        <x:v>参考000</x:v>
      </x:c>
      <x:c r="D839" s="12" t="str">
        <x:v>自动000</x:v>
      </x:c>
      <x:c r="E839" s="12" t="n">
        <x:v>0</x:v>
      </x:c>
      <x:c r="F839" s="12" t="n">
        <x:v>0</x:v>
      </x:c>
      <x:c r="G839" s="12" t="n">
        <x:v>0</x:v>
      </x:c>
      <x:c r="H839" s="12" t="n">
        <x:f>IF(SUM(I839:K839)&gt;0,1,0)</x:f>
        <x:v>0</x:v>
      </x:c>
      <x:c r="I839" s="12" t="n">
        <x:f>IF('患者配对'!M921="positive",1,0)</x:f>
        <x:v>0</x:v>
      </x:c>
      <x:c r="J839" s="12" t="n">
        <x:f>IF('患者配对'!R921="positive",1,0)</x:f>
        <x:v>0</x:v>
      </x:c>
      <x:c r="K839" s="12" t="n">
        <x:f>IF('患者配对'!W921="positive",1,0)</x:f>
        <x:v>0</x:v>
      </x:c>
      <x:c r="L839" s="12" t="str">
        <x:v>由原件与原状态取得；仅主队列索引</x:v>
      </x:c>
      <x:c r="M839" s="12"/>
      <x:c r="N839" s="12"/>
      <x:c r="O839" s="12"/>
    </x:row>
    <x:row r="840" ht="39" customHeight="1">
      <x:c r="A840" s="12" t="str">
        <x:v>8083</x:v>
      </x:c>
      <x:c r="B840" s="12" t="str">
        <x:v>20880</x:v>
      </x:c>
      <x:c r="C840" s="12" t="str">
        <x:v>参考000</x:v>
      </x:c>
      <x:c r="D840" s="12" t="str">
        <x:v>自动000</x:v>
      </x:c>
      <x:c r="E840" s="12" t="n">
        <x:v>0</x:v>
      </x:c>
      <x:c r="F840" s="12" t="n">
        <x:v>1</x:v>
      </x:c>
      <x:c r="G840" s="12" t="n">
        <x:v>0</x:v>
      </x:c>
      <x:c r="H840" s="12" t="n">
        <x:f>IF(SUM(I840:K840)&gt;0,1,0)</x:f>
        <x:v>0</x:v>
      </x:c>
      <x:c r="I840" s="12" t="n">
        <x:f>IF('患者配对'!M922="positive",1,0)</x:f>
        <x:v>0</x:v>
      </x:c>
      <x:c r="J840" s="12" t="n">
        <x:f>IF('患者配对'!R922="positive",1,0)</x:f>
        <x:v>0</x:v>
      </x:c>
      <x:c r="K840" s="12" t="n">
        <x:f>IF('患者配对'!W922="positive",1,0)</x:f>
        <x:v>0</x:v>
      </x:c>
      <x:c r="L840" s="12" t="str">
        <x:v>由原件与原状态取得；仅主队列索引</x:v>
      </x:c>
      <x:c r="M840" s="12"/>
      <x:c r="N840" s="12"/>
      <x:c r="O840" s="12"/>
    </x:row>
    <x:row r="841" ht="39" customHeight="1">
      <x:c r="A841" s="12" t="str">
        <x:v>8114</x:v>
      </x:c>
      <x:c r="B841" s="12" t="str">
        <x:v>6191</x:v>
      </x:c>
      <x:c r="C841" s="12" t="str">
        <x:v>参考000</x:v>
      </x:c>
      <x:c r="D841" s="12" t="str">
        <x:v>自动000</x:v>
      </x:c>
      <x:c r="E841" s="12" t="n">
        <x:v>0</x:v>
      </x:c>
      <x:c r="F841" s="12" t="n">
        <x:v>0</x:v>
      </x:c>
      <x:c r="G841" s="12" t="n">
        <x:v>0</x:v>
      </x:c>
      <x:c r="H841" s="12" t="n">
        <x:f>IF(SUM(I841:K841)&gt;0,1,0)</x:f>
        <x:v>0</x:v>
      </x:c>
      <x:c r="I841" s="12" t="n">
        <x:f>IF('患者配对'!M923="positive",1,0)</x:f>
        <x:v>0</x:v>
      </x:c>
      <x:c r="J841" s="12" t="n">
        <x:f>IF('患者配对'!R923="positive",1,0)</x:f>
        <x:v>0</x:v>
      </x:c>
      <x:c r="K841" s="12" t="n">
        <x:f>IF('患者配对'!W923="positive",1,0)</x:f>
        <x:v>0</x:v>
      </x:c>
      <x:c r="L841" s="12" t="str">
        <x:v>由原件与原状态取得；仅主队列索引</x:v>
      </x:c>
      <x:c r="M841" s="12"/>
      <x:c r="N841" s="12"/>
      <x:c r="O841" s="12"/>
    </x:row>
    <x:row r="842" ht="39" customHeight="1">
      <x:c r="A842" s="12" t="str">
        <x:v>8116</x:v>
      </x:c>
      <x:c r="B842" s="12" t="str">
        <x:v>3446</x:v>
      </x:c>
      <x:c r="C842" s="12" t="str">
        <x:v>参考000</x:v>
      </x:c>
      <x:c r="D842" s="12" t="str">
        <x:v>自动000</x:v>
      </x:c>
      <x:c r="E842" s="12" t="n">
        <x:v>0</x:v>
      </x:c>
      <x:c r="F842" s="12" t="n">
        <x:v>0</x:v>
      </x:c>
      <x:c r="G842" s="12" t="n">
        <x:v>0</x:v>
      </x:c>
      <x:c r="H842" s="12" t="n">
        <x:f>IF(SUM(I842:K842)&gt;0,1,0)</x:f>
        <x:v>0</x:v>
      </x:c>
      <x:c r="I842" s="12" t="n">
        <x:f>IF('患者配对'!M924="positive",1,0)</x:f>
        <x:v>0</x:v>
      </x:c>
      <x:c r="J842" s="12" t="n">
        <x:f>IF('患者配对'!R924="positive",1,0)</x:f>
        <x:v>0</x:v>
      </x:c>
      <x:c r="K842" s="12" t="n">
        <x:f>IF('患者配对'!W924="positive",1,0)</x:f>
        <x:v>0</x:v>
      </x:c>
      <x:c r="L842" s="12" t="str">
        <x:v>由原件与原状态取得；仅主队列索引</x:v>
      </x:c>
      <x:c r="M842" s="12"/>
      <x:c r="N842" s="12"/>
      <x:c r="O842" s="12"/>
    </x:row>
    <x:row r="843" ht="39" customHeight="1">
      <x:c r="A843" s="12" t="str">
        <x:v>8121</x:v>
      </x:c>
      <x:c r="B843" s="12" t="str">
        <x:v>2807</x:v>
      </x:c>
      <x:c r="C843" s="12" t="str">
        <x:v>参考000</x:v>
      </x:c>
      <x:c r="D843" s="12" t="str">
        <x:v>自动000</x:v>
      </x:c>
      <x:c r="E843" s="12" t="n">
        <x:v>0</x:v>
      </x:c>
      <x:c r="F843" s="12" t="n">
        <x:v>0</x:v>
      </x:c>
      <x:c r="G843" s="12" t="n">
        <x:v>0</x:v>
      </x:c>
      <x:c r="H843" s="12" t="n">
        <x:f>IF(SUM(I843:K843)&gt;0,1,0)</x:f>
        <x:v>0</x:v>
      </x:c>
      <x:c r="I843" s="12" t="n">
        <x:f>IF('患者配对'!M925="positive",1,0)</x:f>
        <x:v>0</x:v>
      </x:c>
      <x:c r="J843" s="12" t="n">
        <x:f>IF('患者配对'!R925="positive",1,0)</x:f>
        <x:v>0</x:v>
      </x:c>
      <x:c r="K843" s="12" t="n">
        <x:f>IF('患者配对'!W925="positive",1,0)</x:f>
        <x:v>0</x:v>
      </x:c>
      <x:c r="L843" s="12" t="str">
        <x:v>由原件与原状态取得；仅主队列索引</x:v>
      </x:c>
      <x:c r="M843" s="12"/>
      <x:c r="N843" s="12"/>
      <x:c r="O843" s="12"/>
    </x:row>
    <x:row r="844" ht="39" customHeight="1">
      <x:c r="A844" s="12" t="str">
        <x:v>8123</x:v>
      </x:c>
      <x:c r="B844" s="12" t="str">
        <x:v>1984</x:v>
      </x:c>
      <x:c r="C844" s="12" t="str">
        <x:v>参考000</x:v>
      </x:c>
      <x:c r="D844" s="12" t="str">
        <x:v>自动000</x:v>
      </x:c>
      <x:c r="E844" s="12" t="n">
        <x:v>0</x:v>
      </x:c>
      <x:c r="F844" s="12" t="n">
        <x:v>1</x:v>
      </x:c>
      <x:c r="G844" s="12" t="n">
        <x:v>0</x:v>
      </x:c>
      <x:c r="H844" s="12" t="n">
        <x:f>IF(SUM(I844:K844)&gt;0,1,0)</x:f>
        <x:v>0</x:v>
      </x:c>
      <x:c r="I844" s="12" t="n">
        <x:f>IF('患者配对'!M926="positive",1,0)</x:f>
        <x:v>0</x:v>
      </x:c>
      <x:c r="J844" s="12" t="n">
        <x:f>IF('患者配对'!R926="positive",1,0)</x:f>
        <x:v>0</x:v>
      </x:c>
      <x:c r="K844" s="12" t="n">
        <x:f>IF('患者配对'!W926="positive",1,0)</x:f>
        <x:v>0</x:v>
      </x:c>
      <x:c r="L844" s="12" t="str">
        <x:v>由原件与原状态取得；仅主队列索引</x:v>
      </x:c>
      <x:c r="M844" s="12"/>
      <x:c r="N844" s="12"/>
      <x:c r="O844" s="12"/>
    </x:row>
    <x:row r="845" ht="39" customHeight="1">
      <x:c r="A845" s="12" t="str">
        <x:v>8126</x:v>
      </x:c>
      <x:c r="B845" s="12" t="str">
        <x:v>14930</x:v>
      </x:c>
      <x:c r="C845" s="12" t="str">
        <x:v>参考000</x:v>
      </x:c>
      <x:c r="D845" s="12" t="str">
        <x:v>自动000</x:v>
      </x:c>
      <x:c r="E845" s="12" t="n">
        <x:v>0</x:v>
      </x:c>
      <x:c r="F845" s="12" t="n">
        <x:v>0</x:v>
      </x:c>
      <x:c r="G845" s="12" t="n">
        <x:v>0</x:v>
      </x:c>
      <x:c r="H845" s="12" t="n">
        <x:f>IF(SUM(I845:K845)&gt;0,1,0)</x:f>
        <x:v>0</x:v>
      </x:c>
      <x:c r="I845" s="12" t="n">
        <x:f>IF('患者配对'!M927="positive",1,0)</x:f>
        <x:v>0</x:v>
      </x:c>
      <x:c r="J845" s="12" t="n">
        <x:f>IF('患者配对'!R927="positive",1,0)</x:f>
        <x:v>0</x:v>
      </x:c>
      <x:c r="K845" s="12" t="n">
        <x:f>IF('患者配对'!W927="positive",1,0)</x:f>
        <x:v>0</x:v>
      </x:c>
      <x:c r="L845" s="12" t="str">
        <x:v>由原件与原状态取得；仅主队列索引</x:v>
      </x:c>
      <x:c r="M845" s="12"/>
      <x:c r="N845" s="12"/>
      <x:c r="O845" s="12"/>
    </x:row>
    <x:row r="846" ht="39" customHeight="1">
      <x:c r="A846" s="12" t="str">
        <x:v>8130</x:v>
      </x:c>
      <x:c r="B846" s="12" t="str">
        <x:v>1064</x:v>
      </x:c>
      <x:c r="C846" s="12" t="str">
        <x:v>参考001</x:v>
      </x:c>
      <x:c r="D846" s="12" t="str">
        <x:v>自动001</x:v>
      </x:c>
      <x:c r="E846" s="12" t="n">
        <x:v>1</x:v>
      </x:c>
      <x:c r="F846" s="12" t="n">
        <x:v>1</x:v>
      </x:c>
      <x:c r="G846" s="12" t="n">
        <x:v>0</x:v>
      </x:c>
      <x:c r="H846" s="12" t="n">
        <x:f>IF(SUM(I846:K846)&gt;0,1,0)</x:f>
        <x:v>1</x:v>
      </x:c>
      <x:c r="I846" s="12" t="n">
        <x:f>IF('患者配对'!M928="positive",1,0)</x:f>
        <x:v>0</x:v>
      </x:c>
      <x:c r="J846" s="12" t="n">
        <x:f>IF('患者配对'!R928="positive",1,0)</x:f>
        <x:v>0</x:v>
      </x:c>
      <x:c r="K846" s="12" t="n">
        <x:f>IF('患者配对'!W928="positive",1,0)</x:f>
        <x:v>1</x:v>
      </x:c>
      <x:c r="L846" s="12" t="str">
        <x:v>由原件与原状态取得；仅主队列索引</x:v>
      </x:c>
      <x:c r="M846" s="12"/>
      <x:c r="N846" s="12"/>
      <x:c r="O846" s="12"/>
    </x:row>
    <x:row r="847" ht="39" customHeight="1">
      <x:c r="A847" s="12" t="str">
        <x:v>8133</x:v>
      </x:c>
      <x:c r="B847" s="12" t="str">
        <x:v>9149</x:v>
      </x:c>
      <x:c r="C847" s="12" t="str">
        <x:v>参考000</x:v>
      </x:c>
      <x:c r="D847" s="12" t="str">
        <x:v>自动000</x:v>
      </x:c>
      <x:c r="E847" s="12" t="n">
        <x:v>0</x:v>
      </x:c>
      <x:c r="F847" s="12" t="n">
        <x:v>0</x:v>
      </x:c>
      <x:c r="G847" s="12" t="n">
        <x:v>0</x:v>
      </x:c>
      <x:c r="H847" s="12" t="n">
        <x:f>IF(SUM(I847:K847)&gt;0,1,0)</x:f>
        <x:v>0</x:v>
      </x:c>
      <x:c r="I847" s="12" t="n">
        <x:f>IF('患者配对'!M929="positive",1,0)</x:f>
        <x:v>0</x:v>
      </x:c>
      <x:c r="J847" s="12" t="n">
        <x:f>IF('患者配对'!R929="positive",1,0)</x:f>
        <x:v>0</x:v>
      </x:c>
      <x:c r="K847" s="12" t="n">
        <x:f>IF('患者配对'!W929="positive",1,0)</x:f>
        <x:v>0</x:v>
      </x:c>
      <x:c r="L847" s="12" t="str">
        <x:v>由原件与原状态取得；仅主队列索引</x:v>
      </x:c>
      <x:c r="M847" s="12"/>
      <x:c r="N847" s="12"/>
      <x:c r="O847" s="12"/>
    </x:row>
    <x:row r="848" ht="39" customHeight="1">
      <x:c r="A848" s="12" t="str">
        <x:v>8136</x:v>
      </x:c>
      <x:c r="B848" s="12" t="str">
        <x:v>1376</x:v>
      </x:c>
      <x:c r="C848" s="12" t="str">
        <x:v>参考000</x:v>
      </x:c>
      <x:c r="D848" s="12" t="str">
        <x:v>自动000</x:v>
      </x:c>
      <x:c r="E848" s="12" t="n">
        <x:v>0</x:v>
      </x:c>
      <x:c r="F848" s="12" t="n">
        <x:v>0</x:v>
      </x:c>
      <x:c r="G848" s="12" t="n">
        <x:v>0</x:v>
      </x:c>
      <x:c r="H848" s="12" t="n">
        <x:f>IF(SUM(I848:K848)&gt;0,1,0)</x:f>
        <x:v>0</x:v>
      </x:c>
      <x:c r="I848" s="12" t="n">
        <x:f>IF('患者配对'!M930="positive",1,0)</x:f>
        <x:v>0</x:v>
      </x:c>
      <x:c r="J848" s="12" t="n">
        <x:f>IF('患者配对'!R930="positive",1,0)</x:f>
        <x:v>0</x:v>
      </x:c>
      <x:c r="K848" s="12" t="n">
        <x:f>IF('患者配对'!W930="positive",1,0)</x:f>
        <x:v>0</x:v>
      </x:c>
      <x:c r="L848" s="12" t="str">
        <x:v>由原件与原状态取得；仅主队列索引</x:v>
      </x:c>
      <x:c r="M848" s="12"/>
      <x:c r="N848" s="12"/>
      <x:c r="O848" s="12"/>
    </x:row>
    <x:row r="849" ht="39" customHeight="1">
      <x:c r="A849" s="12" t="str">
        <x:v>8138</x:v>
      </x:c>
      <x:c r="B849" s="12" t="str">
        <x:v>10335</x:v>
      </x:c>
      <x:c r="C849" s="12" t="str">
        <x:v>参考000</x:v>
      </x:c>
      <x:c r="D849" s="12" t="str">
        <x:v>自动000</x:v>
      </x:c>
      <x:c r="E849" s="12" t="n">
        <x:v>0</x:v>
      </x:c>
      <x:c r="F849" s="12" t="n">
        <x:v>0</x:v>
      </x:c>
      <x:c r="G849" s="12" t="n">
        <x:v>0</x:v>
      </x:c>
      <x:c r="H849" s="12" t="n">
        <x:f>IF(SUM(I849:K849)&gt;0,1,0)</x:f>
        <x:v>0</x:v>
      </x:c>
      <x:c r="I849" s="12" t="n">
        <x:f>IF('患者配对'!M931="positive",1,0)</x:f>
        <x:v>0</x:v>
      </x:c>
      <x:c r="J849" s="12" t="n">
        <x:f>IF('患者配对'!R931="positive",1,0)</x:f>
        <x:v>0</x:v>
      </x:c>
      <x:c r="K849" s="12" t="n">
        <x:f>IF('患者配对'!W931="positive",1,0)</x:f>
        <x:v>0</x:v>
      </x:c>
      <x:c r="L849" s="12" t="str">
        <x:v>由原件与原状态取得；仅主队列索引</x:v>
      </x:c>
      <x:c r="M849" s="12"/>
      <x:c r="N849" s="12"/>
      <x:c r="O849" s="12"/>
    </x:row>
    <x:row r="850" ht="39" customHeight="1">
      <x:c r="A850" s="12" t="str">
        <x:v>8139</x:v>
      </x:c>
      <x:c r="B850" s="12" t="str">
        <x:v>8935</x:v>
      </x:c>
      <x:c r="C850" s="12" t="str">
        <x:v>参考000</x:v>
      </x:c>
      <x:c r="D850" s="12" t="str">
        <x:v>自动100</x:v>
      </x:c>
      <x:c r="E850" s="12" t="n">
        <x:v>1</x:v>
      </x:c>
      <x:c r="F850" s="12" t="n">
        <x:v>1</x:v>
      </x:c>
      <x:c r="G850" s="12" t="n">
        <x:v>1</x:v>
      </x:c>
      <x:c r="H850" s="12" t="n">
        <x:f>IF(SUM(I850:K850)&gt;0,1,0)</x:f>
        <x:v>0</x:v>
      </x:c>
      <x:c r="I850" s="12" t="n">
        <x:f>IF('患者配对'!M932="positive",1,0)</x:f>
        <x:v>0</x:v>
      </x:c>
      <x:c r="J850" s="12" t="n">
        <x:f>IF('患者配对'!R932="positive",1,0)</x:f>
        <x:v>0</x:v>
      </x:c>
      <x:c r="K850" s="12" t="n">
        <x:f>IF('患者配对'!W932="positive",1,0)</x:f>
        <x:v>0</x:v>
      </x:c>
      <x:c r="L850" s="12" t="str">
        <x:v>由原件与原状态取得；仅主队列索引</x:v>
      </x:c>
      <x:c r="M850" s="12"/>
      <x:c r="N850" s="12"/>
      <x:c r="O850" s="12"/>
    </x:row>
    <x:row r="851" ht="39" customHeight="1">
      <x:c r="A851" s="12" t="str">
        <x:v>8140</x:v>
      </x:c>
      <x:c r="B851" s="12" t="str">
        <x:v>13965</x:v>
      </x:c>
      <x:c r="C851" s="12" t="str">
        <x:v>参考000</x:v>
      </x:c>
      <x:c r="D851" s="12" t="str">
        <x:v>自动000</x:v>
      </x:c>
      <x:c r="E851" s="12" t="n">
        <x:v>0</x:v>
      </x:c>
      <x:c r="F851" s="12" t="n">
        <x:v>0</x:v>
      </x:c>
      <x:c r="G851" s="12" t="n">
        <x:v>0</x:v>
      </x:c>
      <x:c r="H851" s="12" t="n">
        <x:f>IF(SUM(I851:K851)&gt;0,1,0)</x:f>
        <x:v>0</x:v>
      </x:c>
      <x:c r="I851" s="12" t="n">
        <x:f>IF('患者配对'!M933="positive",1,0)</x:f>
        <x:v>0</x:v>
      </x:c>
      <x:c r="J851" s="12" t="n">
        <x:f>IF('患者配对'!R933="positive",1,0)</x:f>
        <x:v>0</x:v>
      </x:c>
      <x:c r="K851" s="12" t="n">
        <x:f>IF('患者配对'!W933="positive",1,0)</x:f>
        <x:v>0</x:v>
      </x:c>
      <x:c r="L851" s="12" t="str">
        <x:v>由原件与原状态取得；仅主队列索引</x:v>
      </x:c>
      <x:c r="M851" s="12"/>
      <x:c r="N851" s="12"/>
      <x:c r="O851" s="12"/>
    </x:row>
    <x:row r="852" ht="39" customHeight="1">
      <x:c r="A852" s="12" t="str">
        <x:v>8147</x:v>
      </x:c>
      <x:c r="B852" s="12" t="str">
        <x:v>9681</x:v>
      </x:c>
      <x:c r="C852" s="12" t="str">
        <x:v>参考000</x:v>
      </x:c>
      <x:c r="D852" s="12" t="str">
        <x:v>自动000</x:v>
      </x:c>
      <x:c r="E852" s="12" t="n">
        <x:v>0</x:v>
      </x:c>
      <x:c r="F852" s="12" t="n">
        <x:v>1</x:v>
      </x:c>
      <x:c r="G852" s="12" t="n">
        <x:v>0</x:v>
      </x:c>
      <x:c r="H852" s="12" t="n">
        <x:f>IF(SUM(I852:K852)&gt;0,1,0)</x:f>
        <x:v>0</x:v>
      </x:c>
      <x:c r="I852" s="12" t="n">
        <x:f>IF('患者配对'!M934="positive",1,0)</x:f>
        <x:v>0</x:v>
      </x:c>
      <x:c r="J852" s="12" t="n">
        <x:f>IF('患者配对'!R934="positive",1,0)</x:f>
        <x:v>0</x:v>
      </x:c>
      <x:c r="K852" s="12" t="n">
        <x:f>IF('患者配对'!W934="positive",1,0)</x:f>
        <x:v>0</x:v>
      </x:c>
      <x:c r="L852" s="12" t="str">
        <x:v>由原件与原状态取得；仅主队列索引</x:v>
      </x:c>
      <x:c r="M852" s="12"/>
      <x:c r="N852" s="12"/>
      <x:c r="O852" s="12"/>
    </x:row>
    <x:row r="853" ht="39" customHeight="1">
      <x:c r="A853" s="12" t="str">
        <x:v>8153</x:v>
      </x:c>
      <x:c r="B853" s="12" t="str">
        <x:v>21170</x:v>
      </x:c>
      <x:c r="C853" s="12" t="str">
        <x:v>参考000</x:v>
      </x:c>
      <x:c r="D853" s="12" t="str">
        <x:v>自动000</x:v>
      </x:c>
      <x:c r="E853" s="12" t="n">
        <x:v>0</x:v>
      </x:c>
      <x:c r="F853" s="12" t="n">
        <x:v>0</x:v>
      </x:c>
      <x:c r="G853" s="12" t="n">
        <x:v>0</x:v>
      </x:c>
      <x:c r="H853" s="12" t="n">
        <x:f>IF(SUM(I853:K853)&gt;0,1,0)</x:f>
        <x:v>0</x:v>
      </x:c>
      <x:c r="I853" s="12" t="n">
        <x:f>IF('患者配对'!M935="positive",1,0)</x:f>
        <x:v>0</x:v>
      </x:c>
      <x:c r="J853" s="12" t="n">
        <x:f>IF('患者配对'!R935="positive",1,0)</x:f>
        <x:v>0</x:v>
      </x:c>
      <x:c r="K853" s="12" t="n">
        <x:f>IF('患者配对'!W935="positive",1,0)</x:f>
        <x:v>0</x:v>
      </x:c>
      <x:c r="L853" s="12" t="str">
        <x:v>由原件与原状态取得；仅主队列索引</x:v>
      </x:c>
      <x:c r="M853" s="12"/>
      <x:c r="N853" s="12"/>
      <x:c r="O853" s="12"/>
    </x:row>
    <x:row r="854" ht="39" customHeight="1">
      <x:c r="A854" s="12" t="str">
        <x:v>8164</x:v>
      </x:c>
      <x:c r="B854" s="12" t="str">
        <x:v>11541</x:v>
      </x:c>
      <x:c r="C854" s="12" t="str">
        <x:v>参考000</x:v>
      </x:c>
      <x:c r="D854" s="12" t="str">
        <x:v>自动000</x:v>
      </x:c>
      <x:c r="E854" s="12" t="n">
        <x:v>0</x:v>
      </x:c>
      <x:c r="F854" s="12" t="n">
        <x:v>0</x:v>
      </x:c>
      <x:c r="G854" s="12" t="n">
        <x:v>0</x:v>
      </x:c>
      <x:c r="H854" s="12" t="n">
        <x:f>IF(SUM(I854:K854)&gt;0,1,0)</x:f>
        <x:v>0</x:v>
      </x:c>
      <x:c r="I854" s="12" t="n">
        <x:f>IF('患者配对'!M936="positive",1,0)</x:f>
        <x:v>0</x:v>
      </x:c>
      <x:c r="J854" s="12" t="n">
        <x:f>IF('患者配对'!R936="positive",1,0)</x:f>
        <x:v>0</x:v>
      </x:c>
      <x:c r="K854" s="12" t="n">
        <x:f>IF('患者配对'!W936="positive",1,0)</x:f>
        <x:v>0</x:v>
      </x:c>
      <x:c r="L854" s="12" t="str">
        <x:v>由原件与原状态取得；仅主队列索引</x:v>
      </x:c>
      <x:c r="M854" s="12"/>
      <x:c r="N854" s="12"/>
      <x:c r="O854" s="12"/>
    </x:row>
    <x:row r="855" ht="39" customHeight="1">
      <x:c r="A855" s="12" t="str">
        <x:v>8170</x:v>
      </x:c>
      <x:c r="B855" s="12" t="str">
        <x:v>21414</x:v>
      </x:c>
      <x:c r="C855" s="12" t="str">
        <x:v>参考000</x:v>
      </x:c>
      <x:c r="D855" s="12" t="str">
        <x:v>自动000</x:v>
      </x:c>
      <x:c r="E855" s="12" t="n">
        <x:v>0</x:v>
      </x:c>
      <x:c r="F855" s="12" t="n">
        <x:v>0</x:v>
      </x:c>
      <x:c r="G855" s="12" t="n">
        <x:v>0</x:v>
      </x:c>
      <x:c r="H855" s="12" t="n">
        <x:f>IF(SUM(I855:K855)&gt;0,1,0)</x:f>
        <x:v>0</x:v>
      </x:c>
      <x:c r="I855" s="12" t="n">
        <x:f>IF('患者配对'!M937="positive",1,0)</x:f>
        <x:v>0</x:v>
      </x:c>
      <x:c r="J855" s="12" t="n">
        <x:f>IF('患者配对'!R937="positive",1,0)</x:f>
        <x:v>0</x:v>
      </x:c>
      <x:c r="K855" s="12" t="n">
        <x:f>IF('患者配对'!W937="positive",1,0)</x:f>
        <x:v>0</x:v>
      </x:c>
      <x:c r="L855" s="12" t="str">
        <x:v>由原件与原状态取得；仅主队列索引</x:v>
      </x:c>
      <x:c r="M855" s="12"/>
      <x:c r="N855" s="12"/>
      <x:c r="O855" s="12"/>
    </x:row>
    <x:row r="856" ht="39" customHeight="1">
      <x:c r="A856" s="12" t="str">
        <x:v>8178</x:v>
      </x:c>
      <x:c r="B856" s="12" t="str">
        <x:v>19410</x:v>
      </x:c>
      <x:c r="C856" s="12" t="str">
        <x:v>参考000</x:v>
      </x:c>
      <x:c r="D856" s="12" t="str">
        <x:v>自动000</x:v>
      </x:c>
      <x:c r="E856" s="12" t="n">
        <x:v>0</x:v>
      </x:c>
      <x:c r="F856" s="12" t="n">
        <x:v>0</x:v>
      </x:c>
      <x:c r="G856" s="12" t="n">
        <x:v>0</x:v>
      </x:c>
      <x:c r="H856" s="12" t="n">
        <x:f>IF(SUM(I856:K856)&gt;0,1,0)</x:f>
        <x:v>0</x:v>
      </x:c>
      <x:c r="I856" s="12" t="n">
        <x:f>IF('患者配对'!M938="positive",1,0)</x:f>
        <x:v>0</x:v>
      </x:c>
      <x:c r="J856" s="12" t="n">
        <x:f>IF('患者配对'!R938="positive",1,0)</x:f>
        <x:v>0</x:v>
      </x:c>
      <x:c r="K856" s="12" t="n">
        <x:f>IF('患者配对'!W938="positive",1,0)</x:f>
        <x:v>0</x:v>
      </x:c>
      <x:c r="L856" s="12" t="str">
        <x:v>由原件与原状态取得；仅主队列索引</x:v>
      </x:c>
      <x:c r="M856" s="12"/>
      <x:c r="N856" s="12"/>
      <x:c r="O856" s="12"/>
    </x:row>
    <x:row r="857" ht="39" customHeight="1">
      <x:c r="A857" s="12" t="str">
        <x:v>8185</x:v>
      </x:c>
      <x:c r="B857" s="12" t="str">
        <x:v>12672</x:v>
      </x:c>
      <x:c r="C857" s="12" t="str">
        <x:v>参考000</x:v>
      </x:c>
      <x:c r="D857" s="12" t="str">
        <x:v>自动000</x:v>
      </x:c>
      <x:c r="E857" s="12" t="n">
        <x:v>0</x:v>
      </x:c>
      <x:c r="F857" s="12" t="n">
        <x:v>0</x:v>
      </x:c>
      <x:c r="G857" s="12" t="n">
        <x:v>0</x:v>
      </x:c>
      <x:c r="H857" s="12" t="n">
        <x:f>IF(SUM(I857:K857)&gt;0,1,0)</x:f>
        <x:v>0</x:v>
      </x:c>
      <x:c r="I857" s="12" t="n">
        <x:f>IF('患者配对'!M939="positive",1,0)</x:f>
        <x:v>0</x:v>
      </x:c>
      <x:c r="J857" s="12" t="n">
        <x:f>IF('患者配对'!R939="positive",1,0)</x:f>
        <x:v>0</x:v>
      </x:c>
      <x:c r="K857" s="12" t="n">
        <x:f>IF('患者配对'!W939="positive",1,0)</x:f>
        <x:v>0</x:v>
      </x:c>
      <x:c r="L857" s="12" t="str">
        <x:v>由原件与原状态取得；仅主队列索引</x:v>
      </x:c>
      <x:c r="M857" s="12"/>
      <x:c r="N857" s="12"/>
      <x:c r="O857" s="12"/>
    </x:row>
    <x:row r="858" ht="39" customHeight="1">
      <x:c r="A858" s="12" t="str">
        <x:v>8195</x:v>
      </x:c>
      <x:c r="B858" s="12" t="str">
        <x:v>21683</x:v>
      </x:c>
      <x:c r="C858" s="12" t="str">
        <x:v>参考000</x:v>
      </x:c>
      <x:c r="D858" s="12" t="str">
        <x:v>自动000</x:v>
      </x:c>
      <x:c r="E858" s="12" t="n">
        <x:v>0</x:v>
      </x:c>
      <x:c r="F858" s="12" t="n">
        <x:v>0</x:v>
      </x:c>
      <x:c r="G858" s="12" t="n">
        <x:v>0</x:v>
      </x:c>
      <x:c r="H858" s="12" t="n">
        <x:f>IF(SUM(I858:K858)&gt;0,1,0)</x:f>
        <x:v>0</x:v>
      </x:c>
      <x:c r="I858" s="12" t="n">
        <x:f>IF('患者配对'!M940="positive",1,0)</x:f>
        <x:v>0</x:v>
      </x:c>
      <x:c r="J858" s="12" t="n">
        <x:f>IF('患者配对'!R940="positive",1,0)</x:f>
        <x:v>0</x:v>
      </x:c>
      <x:c r="K858" s="12" t="n">
        <x:f>IF('患者配对'!W940="positive",1,0)</x:f>
        <x:v>0</x:v>
      </x:c>
      <x:c r="L858" s="12" t="str">
        <x:v>由原件与原状态取得；仅主队列索引</x:v>
      </x:c>
      <x:c r="M858" s="12"/>
      <x:c r="N858" s="12"/>
      <x:c r="O858" s="12"/>
    </x:row>
    <x:row r="859" ht="39" customHeight="1">
      <x:c r="A859" s="12" t="str">
        <x:v>8203</x:v>
      </x:c>
      <x:c r="B859" s="12" t="str">
        <x:v>14750</x:v>
      </x:c>
      <x:c r="C859" s="12" t="str">
        <x:v>参考000</x:v>
      </x:c>
      <x:c r="D859" s="12" t="str">
        <x:v>自动000</x:v>
      </x:c>
      <x:c r="E859" s="12" t="n">
        <x:v>0</x:v>
      </x:c>
      <x:c r="F859" s="12" t="n">
        <x:v>0</x:v>
      </x:c>
      <x:c r="G859" s="12" t="n">
        <x:v>0</x:v>
      </x:c>
      <x:c r="H859" s="12" t="n">
        <x:f>IF(SUM(I859:K859)&gt;0,1,0)</x:f>
        <x:v>0</x:v>
      </x:c>
      <x:c r="I859" s="12" t="n">
        <x:f>IF('患者配对'!M941="positive",1,0)</x:f>
        <x:v>0</x:v>
      </x:c>
      <x:c r="J859" s="12" t="n">
        <x:f>IF('患者配对'!R941="positive",1,0)</x:f>
        <x:v>0</x:v>
      </x:c>
      <x:c r="K859" s="12" t="n">
        <x:f>IF('患者配对'!W941="positive",1,0)</x:f>
        <x:v>0</x:v>
      </x:c>
      <x:c r="L859" s="12" t="str">
        <x:v>由原件与原状态取得；仅主队列索引</x:v>
      </x:c>
      <x:c r="M859" s="12"/>
      <x:c r="N859" s="12"/>
      <x:c r="O859" s="12"/>
    </x:row>
    <x:row r="860" ht="39" customHeight="1">
      <x:c r="A860" s="12" t="str">
        <x:v>8208</x:v>
      </x:c>
      <x:c r="B860" s="12" t="str">
        <x:v>12834</x:v>
      </x:c>
      <x:c r="C860" s="12" t="str">
        <x:v>参考000</x:v>
      </x:c>
      <x:c r="D860" s="12" t="str">
        <x:v>自动000</x:v>
      </x:c>
      <x:c r="E860" s="12" t="n">
        <x:v>0</x:v>
      </x:c>
      <x:c r="F860" s="12" t="n">
        <x:v>0</x:v>
      </x:c>
      <x:c r="G860" s="12" t="n">
        <x:v>0</x:v>
      </x:c>
      <x:c r="H860" s="12" t="n">
        <x:f>IF(SUM(I860:K860)&gt;0,1,0)</x:f>
        <x:v>0</x:v>
      </x:c>
      <x:c r="I860" s="12" t="n">
        <x:f>IF('患者配对'!M942="positive",1,0)</x:f>
        <x:v>0</x:v>
      </x:c>
      <x:c r="J860" s="12" t="n">
        <x:f>IF('患者配对'!R942="positive",1,0)</x:f>
        <x:v>0</x:v>
      </x:c>
      <x:c r="K860" s="12" t="n">
        <x:f>IF('患者配对'!W942="positive",1,0)</x:f>
        <x:v>0</x:v>
      </x:c>
      <x:c r="L860" s="12" t="str">
        <x:v>由原件与原状态取得；仅主队列索引</x:v>
      </x:c>
      <x:c r="M860" s="12"/>
      <x:c r="N860" s="12"/>
      <x:c r="O860" s="12"/>
    </x:row>
    <x:row r="861" ht="39" customHeight="1">
      <x:c r="A861" s="12" t="str">
        <x:v>8215</x:v>
      </x:c>
      <x:c r="B861" s="12" t="str">
        <x:v>14026</x:v>
      </x:c>
      <x:c r="C861" s="12" t="str">
        <x:v>参考100</x:v>
      </x:c>
      <x:c r="D861" s="12" t="str">
        <x:v>自动100</x:v>
      </x:c>
      <x:c r="E861" s="12" t="n">
        <x:v>1</x:v>
      </x:c>
      <x:c r="F861" s="12" t="n">
        <x:v>1</x:v>
      </x:c>
      <x:c r="G861" s="12" t="n">
        <x:v>0</x:v>
      </x:c>
      <x:c r="H861" s="12" t="n">
        <x:f>IF(SUM(I861:K861)&gt;0,1,0)</x:f>
        <x:v>1</x:v>
      </x:c>
      <x:c r="I861" s="12" t="n">
        <x:f>IF('患者配对'!M945="positive",1,0)</x:f>
        <x:v>1</x:v>
      </x:c>
      <x:c r="J861" s="12" t="n">
        <x:f>IF('患者配对'!R945="positive",1,0)</x:f>
        <x:v>0</x:v>
      </x:c>
      <x:c r="K861" s="12" t="n">
        <x:f>IF('患者配对'!W945="positive",1,0)</x:f>
        <x:v>0</x:v>
      </x:c>
      <x:c r="L861" s="12" t="str">
        <x:v>由原件与原状态取得；仅主队列索引</x:v>
      </x:c>
      <x:c r="M861" s="12"/>
      <x:c r="N861" s="12"/>
      <x:c r="O861" s="12"/>
    </x:row>
    <x:row r="862" ht="39" customHeight="1">
      <x:c r="A862" s="12" t="str">
        <x:v>8218</x:v>
      </x:c>
      <x:c r="B862" s="12" t="str">
        <x:v>12375</x:v>
      </x:c>
      <x:c r="C862" s="12" t="str">
        <x:v>参考100</x:v>
      </x:c>
      <x:c r="D862" s="12" t="str">
        <x:v>自动100</x:v>
      </x:c>
      <x:c r="E862" s="12" t="n">
        <x:v>1</x:v>
      </x:c>
      <x:c r="F862" s="12" t="n">
        <x:v>1</x:v>
      </x:c>
      <x:c r="G862" s="12" t="n">
        <x:v>0</x:v>
      </x:c>
      <x:c r="H862" s="12" t="n">
        <x:f>IF(SUM(I862:K862)&gt;0,1,0)</x:f>
        <x:v>1</x:v>
      </x:c>
      <x:c r="I862" s="12" t="n">
        <x:f>IF('患者配对'!M946="positive",1,0)</x:f>
        <x:v>1</x:v>
      </x:c>
      <x:c r="J862" s="12" t="n">
        <x:f>IF('患者配对'!R946="positive",1,0)</x:f>
        <x:v>0</x:v>
      </x:c>
      <x:c r="K862" s="12" t="n">
        <x:f>IF('患者配对'!W946="positive",1,0)</x:f>
        <x:v>0</x:v>
      </x:c>
      <x:c r="L862" s="12" t="str">
        <x:v>由原件与原状态取得；仅主队列索引</x:v>
      </x:c>
      <x:c r="M862" s="12"/>
      <x:c r="N862" s="12"/>
      <x:c r="O862" s="12"/>
    </x:row>
    <x:row r="863" ht="39" customHeight="1">
      <x:c r="A863" s="12" t="str">
        <x:v>8241</x:v>
      </x:c>
      <x:c r="B863" s="12" t="str">
        <x:v>6808</x:v>
      </x:c>
      <x:c r="C863" s="12" t="str">
        <x:v>参考100</x:v>
      </x:c>
      <x:c r="D863" s="12" t="str">
        <x:v>自动100</x:v>
      </x:c>
      <x:c r="E863" s="12" t="n">
        <x:v>1</x:v>
      </x:c>
      <x:c r="F863" s="12" t="n">
        <x:v>1</x:v>
      </x:c>
      <x:c r="G863" s="12" t="n">
        <x:v>0</x:v>
      </x:c>
      <x:c r="H863" s="12" t="n">
        <x:f>IF(SUM(I863:K863)&gt;0,1,0)</x:f>
        <x:v>1</x:v>
      </x:c>
      <x:c r="I863" s="12" t="n">
        <x:f>IF('患者配对'!M948="positive",1,0)</x:f>
        <x:v>1</x:v>
      </x:c>
      <x:c r="J863" s="12" t="n">
        <x:f>IF('患者配对'!R948="positive",1,0)</x:f>
        <x:v>0</x:v>
      </x:c>
      <x:c r="K863" s="12" t="n">
        <x:f>IF('患者配对'!W948="positive",1,0)</x:f>
        <x:v>0</x:v>
      </x:c>
      <x:c r="L863" s="12" t="str">
        <x:v>由原件与原状态取得；仅主队列索引</x:v>
      </x:c>
      <x:c r="M863" s="12"/>
      <x:c r="N863" s="12"/>
      <x:c r="O863" s="12"/>
    </x:row>
    <x:row r="864" ht="39" customHeight="1">
      <x:c r="A864" s="12" t="str">
        <x:v>8242</x:v>
      </x:c>
      <x:c r="B864" s="12" t="str">
        <x:v>20109</x:v>
      </x:c>
      <x:c r="C864" s="12" t="str">
        <x:v>参考000</x:v>
      </x:c>
      <x:c r="D864" s="12" t="str">
        <x:v>自动000</x:v>
      </x:c>
      <x:c r="E864" s="12" t="n">
        <x:v>0</x:v>
      </x:c>
      <x:c r="F864" s="12" t="n">
        <x:v>0</x:v>
      </x:c>
      <x:c r="G864" s="12" t="n">
        <x:v>0</x:v>
      </x:c>
      <x:c r="H864" s="12" t="n">
        <x:f>IF(SUM(I864:K864)&gt;0,1,0)</x:f>
        <x:v>0</x:v>
      </x:c>
      <x:c r="I864" s="12" t="n">
        <x:f>IF('患者配对'!M949="positive",1,0)</x:f>
        <x:v>0</x:v>
      </x:c>
      <x:c r="J864" s="12" t="n">
        <x:f>IF('患者配对'!R949="positive",1,0)</x:f>
        <x:v>0</x:v>
      </x:c>
      <x:c r="K864" s="12" t="n">
        <x:f>IF('患者配对'!W949="positive",1,0)</x:f>
        <x:v>0</x:v>
      </x:c>
      <x:c r="L864" s="12" t="str">
        <x:v>由原件与原状态取得；仅主队列索引</x:v>
      </x:c>
      <x:c r="M864" s="12"/>
      <x:c r="N864" s="12"/>
      <x:c r="O864" s="12"/>
    </x:row>
    <x:row r="865" ht="39" customHeight="1">
      <x:c r="A865" s="12" t="str">
        <x:v>8244</x:v>
      </x:c>
      <x:c r="B865" s="12" t="str">
        <x:v>19087</x:v>
      </x:c>
      <x:c r="C865" s="12" t="str">
        <x:v>参考000</x:v>
      </x:c>
      <x:c r="D865" s="12" t="str">
        <x:v>自动000</x:v>
      </x:c>
      <x:c r="E865" s="12" t="n">
        <x:v>0</x:v>
      </x:c>
      <x:c r="F865" s="12" t="n">
        <x:v>1</x:v>
      </x:c>
      <x:c r="G865" s="12" t="n">
        <x:v>0</x:v>
      </x:c>
      <x:c r="H865" s="12" t="n">
        <x:f>IF(SUM(I865:K865)&gt;0,1,0)</x:f>
        <x:v>0</x:v>
      </x:c>
      <x:c r="I865" s="12" t="n">
        <x:f>IF('患者配对'!M950="positive",1,0)</x:f>
        <x:v>0</x:v>
      </x:c>
      <x:c r="J865" s="12" t="n">
        <x:f>IF('患者配对'!R950="positive",1,0)</x:f>
        <x:v>0</x:v>
      </x:c>
      <x:c r="K865" s="12" t="n">
        <x:f>IF('患者配对'!W950="positive",1,0)</x:f>
        <x:v>0</x:v>
      </x:c>
      <x:c r="L865" s="12" t="str">
        <x:v>由原件与原状态取得；仅主队列索引</x:v>
      </x:c>
      <x:c r="M865" s="12"/>
      <x:c r="N865" s="12"/>
      <x:c r="O865" s="12"/>
    </x:row>
    <x:row r="866" ht="39" customHeight="1">
      <x:c r="A866" s="12" t="str">
        <x:v>8254</x:v>
      </x:c>
      <x:c r="B866" s="12" t="str">
        <x:v>12080</x:v>
      </x:c>
      <x:c r="C866" s="12" t="str">
        <x:v>参考000</x:v>
      </x:c>
      <x:c r="D866" s="12" t="str">
        <x:v>自动000</x:v>
      </x:c>
      <x:c r="E866" s="12" t="n">
        <x:v>0</x:v>
      </x:c>
      <x:c r="F866" s="12" t="n">
        <x:v>0</x:v>
      </x:c>
      <x:c r="G866" s="12" t="n">
        <x:v>0</x:v>
      </x:c>
      <x:c r="H866" s="12" t="n">
        <x:f>IF(SUM(I866:K866)&gt;0,1,0)</x:f>
        <x:v>0</x:v>
      </x:c>
      <x:c r="I866" s="12" t="n">
        <x:f>IF('患者配对'!M952="positive",1,0)</x:f>
        <x:v>0</x:v>
      </x:c>
      <x:c r="J866" s="12" t="n">
        <x:f>IF('患者配对'!R952="positive",1,0)</x:f>
        <x:v>0</x:v>
      </x:c>
      <x:c r="K866" s="12" t="n">
        <x:f>IF('患者配对'!W952="positive",1,0)</x:f>
        <x:v>0</x:v>
      </x:c>
      <x:c r="L866" s="12" t="str">
        <x:v>由原件与原状态取得；仅主队列索引</x:v>
      </x:c>
      <x:c r="M866" s="12"/>
      <x:c r="N866" s="12"/>
      <x:c r="O866" s="12"/>
    </x:row>
    <x:row r="867" ht="39" customHeight="1">
      <x:c r="A867" s="12" t="str">
        <x:v>8256</x:v>
      </x:c>
      <x:c r="B867" s="12" t="str">
        <x:v>11350</x:v>
      </x:c>
      <x:c r="C867" s="12" t="str">
        <x:v>参考000</x:v>
      </x:c>
      <x:c r="D867" s="12" t="str">
        <x:v>自动000</x:v>
      </x:c>
      <x:c r="E867" s="12" t="n">
        <x:v>0</x:v>
      </x:c>
      <x:c r="F867" s="12" t="n">
        <x:v>0</x:v>
      </x:c>
      <x:c r="G867" s="12" t="n">
        <x:v>0</x:v>
      </x:c>
      <x:c r="H867" s="12" t="n">
        <x:f>IF(SUM(I867:K867)&gt;0,1,0)</x:f>
        <x:v>0</x:v>
      </x:c>
      <x:c r="I867" s="12" t="n">
        <x:f>IF('患者配对'!M953="positive",1,0)</x:f>
        <x:v>0</x:v>
      </x:c>
      <x:c r="J867" s="12" t="n">
        <x:f>IF('患者配对'!R953="positive",1,0)</x:f>
        <x:v>0</x:v>
      </x:c>
      <x:c r="K867" s="12" t="n">
        <x:f>IF('患者配对'!W953="positive",1,0)</x:f>
        <x:v>0</x:v>
      </x:c>
      <x:c r="L867" s="12" t="str">
        <x:v>由原件与原状态取得；仅主队列索引</x:v>
      </x:c>
      <x:c r="M867" s="12"/>
      <x:c r="N867" s="12"/>
      <x:c r="O867" s="12"/>
    </x:row>
    <x:row r="868" ht="39" customHeight="1">
      <x:c r="A868" s="12" t="str">
        <x:v>8259</x:v>
      </x:c>
      <x:c r="B868" s="12" t="str">
        <x:v>7398</x:v>
      </x:c>
      <x:c r="C868" s="12" t="str">
        <x:v>参考000</x:v>
      </x:c>
      <x:c r="D868" s="12" t="str">
        <x:v>自动000</x:v>
      </x:c>
      <x:c r="E868" s="12" t="n">
        <x:v>0</x:v>
      </x:c>
      <x:c r="F868" s="12" t="n">
        <x:v>0</x:v>
      </x:c>
      <x:c r="G868" s="12" t="n">
        <x:v>0</x:v>
      </x:c>
      <x:c r="H868" s="12" t="n">
        <x:f>IF(SUM(I868:K868)&gt;0,1,0)</x:f>
        <x:v>0</x:v>
      </x:c>
      <x:c r="I868" s="12" t="n">
        <x:f>IF('患者配对'!M954="positive",1,0)</x:f>
        <x:v>0</x:v>
      </x:c>
      <x:c r="J868" s="12" t="n">
        <x:f>IF('患者配对'!R954="positive",1,0)</x:f>
        <x:v>0</x:v>
      </x:c>
      <x:c r="K868" s="12" t="n">
        <x:f>IF('患者配对'!W954="positive",1,0)</x:f>
        <x:v>0</x:v>
      </x:c>
      <x:c r="L868" s="12" t="str">
        <x:v>由原件与原状态取得；仅主队列索引</x:v>
      </x:c>
      <x:c r="M868" s="12"/>
      <x:c r="N868" s="12"/>
      <x:c r="O868" s="12"/>
    </x:row>
    <x:row r="869" ht="39" customHeight="1">
      <x:c r="A869" s="12" t="str">
        <x:v>8261</x:v>
      </x:c>
      <x:c r="B869" s="12" t="str">
        <x:v>6022</x:v>
      </x:c>
      <x:c r="C869" s="12" t="str">
        <x:v>参考000</x:v>
      </x:c>
      <x:c r="D869" s="12" t="str">
        <x:v>自动000</x:v>
      </x:c>
      <x:c r="E869" s="12" t="n">
        <x:v>0</x:v>
      </x:c>
      <x:c r="F869" s="12" t="n">
        <x:v>0</x:v>
      </x:c>
      <x:c r="G869" s="12" t="n">
        <x:v>0</x:v>
      </x:c>
      <x:c r="H869" s="12" t="n">
        <x:f>IF(SUM(I869:K869)&gt;0,1,0)</x:f>
        <x:v>0</x:v>
      </x:c>
      <x:c r="I869" s="12" t="n">
        <x:f>IF('患者配对'!M955="positive",1,0)</x:f>
        <x:v>0</x:v>
      </x:c>
      <x:c r="J869" s="12" t="n">
        <x:f>IF('患者配对'!R955="positive",1,0)</x:f>
        <x:v>0</x:v>
      </x:c>
      <x:c r="K869" s="12" t="n">
        <x:f>IF('患者配对'!W955="positive",1,0)</x:f>
        <x:v>0</x:v>
      </x:c>
      <x:c r="L869" s="12" t="str">
        <x:v>由原件与原状态取得；仅主队列索引</x:v>
      </x:c>
      <x:c r="M869" s="12"/>
      <x:c r="N869" s="12"/>
      <x:c r="O869" s="12"/>
    </x:row>
    <x:row r="870" ht="39" customHeight="1">
      <x:c r="A870" s="12" t="str">
        <x:v>8263</x:v>
      </x:c>
      <x:c r="B870" s="12" t="str">
        <x:v>17826</x:v>
      </x:c>
      <x:c r="C870" s="12" t="str">
        <x:v>参考000</x:v>
      </x:c>
      <x:c r="D870" s="12" t="str">
        <x:v>自动000</x:v>
      </x:c>
      <x:c r="E870" s="12" t="n">
        <x:v>0</x:v>
      </x:c>
      <x:c r="F870" s="12" t="n">
        <x:v>0</x:v>
      </x:c>
      <x:c r="G870" s="12" t="n">
        <x:v>0</x:v>
      </x:c>
      <x:c r="H870" s="12" t="n">
        <x:f>IF(SUM(I870:K870)&gt;0,1,0)</x:f>
        <x:v>0</x:v>
      </x:c>
      <x:c r="I870" s="12" t="n">
        <x:f>IF('患者配对'!M956="positive",1,0)</x:f>
        <x:v>0</x:v>
      </x:c>
      <x:c r="J870" s="12" t="n">
        <x:f>IF('患者配对'!R956="positive",1,0)</x:f>
        <x:v>0</x:v>
      </x:c>
      <x:c r="K870" s="12" t="n">
        <x:f>IF('患者配对'!W956="positive",1,0)</x:f>
        <x:v>0</x:v>
      </x:c>
      <x:c r="L870" s="12" t="str">
        <x:v>由原件与原状态取得；仅主队列索引</x:v>
      </x:c>
      <x:c r="M870" s="12"/>
      <x:c r="N870" s="12"/>
      <x:c r="O870" s="12"/>
    </x:row>
    <x:row r="871" ht="39" customHeight="1">
      <x:c r="A871" s="12" t="str">
        <x:v>8277</x:v>
      </x:c>
      <x:c r="B871" s="12" t="str">
        <x:v>11715</x:v>
      </x:c>
      <x:c r="C871" s="12" t="str">
        <x:v>参考000</x:v>
      </x:c>
      <x:c r="D871" s="12" t="str">
        <x:v>自动000</x:v>
      </x:c>
      <x:c r="E871" s="12" t="n">
        <x:v>0</x:v>
      </x:c>
      <x:c r="F871" s="12" t="n">
        <x:v>1</x:v>
      </x:c>
      <x:c r="G871" s="12" t="n">
        <x:v>0</x:v>
      </x:c>
      <x:c r="H871" s="12" t="n">
        <x:f>IF(SUM(I871:K871)&gt;0,1,0)</x:f>
        <x:v>0</x:v>
      </x:c>
      <x:c r="I871" s="12" t="n">
        <x:f>IF('患者配对'!M957="positive",1,0)</x:f>
        <x:v>0</x:v>
      </x:c>
      <x:c r="J871" s="12" t="n">
        <x:f>IF('患者配对'!R957="positive",1,0)</x:f>
        <x:v>0</x:v>
      </x:c>
      <x:c r="K871" s="12" t="n">
        <x:f>IF('患者配对'!W957="positive",1,0)</x:f>
        <x:v>0</x:v>
      </x:c>
      <x:c r="L871" s="12" t="str">
        <x:v>由原件与原状态取得；仅主队列索引</x:v>
      </x:c>
      <x:c r="M871" s="12"/>
      <x:c r="N871" s="12"/>
      <x:c r="O871" s="12"/>
    </x:row>
    <x:row r="872" ht="39" customHeight="1">
      <x:c r="A872" s="12" t="str">
        <x:v>8278</x:v>
      </x:c>
      <x:c r="B872" s="12" t="str">
        <x:v>3170</x:v>
      </x:c>
      <x:c r="C872" s="12" t="str">
        <x:v>参考001</x:v>
      </x:c>
      <x:c r="D872" s="12" t="str">
        <x:v>自动001</x:v>
      </x:c>
      <x:c r="E872" s="12" t="n">
        <x:v>1</x:v>
      </x:c>
      <x:c r="F872" s="12" t="n">
        <x:v>1</x:v>
      </x:c>
      <x:c r="G872" s="12" t="n">
        <x:v>0</x:v>
      </x:c>
      <x:c r="H872" s="12" t="n">
        <x:f>IF(SUM(I872:K872)&gt;0,1,0)</x:f>
        <x:v>1</x:v>
      </x:c>
      <x:c r="I872" s="12" t="n">
        <x:f>IF('患者配对'!M958="positive",1,0)</x:f>
        <x:v>0</x:v>
      </x:c>
      <x:c r="J872" s="12" t="n">
        <x:f>IF('患者配对'!R958="positive",1,0)</x:f>
        <x:v>0</x:v>
      </x:c>
      <x:c r="K872" s="12" t="n">
        <x:f>IF('患者配对'!W958="positive",1,0)</x:f>
        <x:v>1</x:v>
      </x:c>
      <x:c r="L872" s="12" t="str">
        <x:v>由原件与原状态取得；仅主队列索引</x:v>
      </x:c>
      <x:c r="M872" s="12"/>
      <x:c r="N872" s="12"/>
      <x:c r="O872" s="12"/>
    </x:row>
    <x:row r="873" ht="39" customHeight="1">
      <x:c r="A873" s="12" t="str">
        <x:v>8281</x:v>
      </x:c>
      <x:c r="B873" s="12" t="str">
        <x:v>10982</x:v>
      </x:c>
      <x:c r="C873" s="12" t="str">
        <x:v>参考000</x:v>
      </x:c>
      <x:c r="D873" s="12" t="str">
        <x:v>自动000</x:v>
      </x:c>
      <x:c r="E873" s="12" t="n">
        <x:v>0</x:v>
      </x:c>
      <x:c r="F873" s="12" t="n">
        <x:v>0</x:v>
      </x:c>
      <x:c r="G873" s="12" t="n">
        <x:v>0</x:v>
      </x:c>
      <x:c r="H873" s="12" t="n">
        <x:f>IF(SUM(I873:K873)&gt;0,1,0)</x:f>
        <x:v>0</x:v>
      </x:c>
      <x:c r="I873" s="12" t="n">
        <x:f>IF('患者配对'!M959="positive",1,0)</x:f>
        <x:v>0</x:v>
      </x:c>
      <x:c r="J873" s="12" t="n">
        <x:f>IF('患者配对'!R959="positive",1,0)</x:f>
        <x:v>0</x:v>
      </x:c>
      <x:c r="K873" s="12" t="n">
        <x:f>IF('患者配对'!W959="positive",1,0)</x:f>
        <x:v>0</x:v>
      </x:c>
      <x:c r="L873" s="12" t="str">
        <x:v>由原件与原状态取得；仅主队列索引</x:v>
      </x:c>
      <x:c r="M873" s="12"/>
      <x:c r="N873" s="12"/>
      <x:c r="O873" s="12"/>
    </x:row>
    <x:row r="874" ht="39" customHeight="1">
      <x:c r="A874" s="12" t="str">
        <x:v>8284</x:v>
      </x:c>
      <x:c r="B874" s="12" t="str">
        <x:v>5287</x:v>
      </x:c>
      <x:c r="C874" s="12" t="str">
        <x:v>参考000</x:v>
      </x:c>
      <x:c r="D874" s="12" t="str">
        <x:v>自动000</x:v>
      </x:c>
      <x:c r="E874" s="12" t="n">
        <x:v>0</x:v>
      </x:c>
      <x:c r="F874" s="12" t="n">
        <x:v>0</x:v>
      </x:c>
      <x:c r="G874" s="12" t="n">
        <x:v>0</x:v>
      </x:c>
      <x:c r="H874" s="12" t="n">
        <x:f>IF(SUM(I874:K874)&gt;0,1,0)</x:f>
        <x:v>0</x:v>
      </x:c>
      <x:c r="I874" s="12" t="n">
        <x:f>IF('患者配对'!M960="positive",1,0)</x:f>
        <x:v>0</x:v>
      </x:c>
      <x:c r="J874" s="12" t="n">
        <x:f>IF('患者配对'!R960="positive",1,0)</x:f>
        <x:v>0</x:v>
      </x:c>
      <x:c r="K874" s="12" t="n">
        <x:f>IF('患者配对'!W960="positive",1,0)</x:f>
        <x:v>0</x:v>
      </x:c>
      <x:c r="L874" s="12" t="str">
        <x:v>由原件与原状态取得；仅主队列索引</x:v>
      </x:c>
      <x:c r="M874" s="12"/>
      <x:c r="N874" s="12"/>
      <x:c r="O874" s="12"/>
    </x:row>
    <x:row r="875" ht="39" customHeight="1">
      <x:c r="A875" s="12" t="str">
        <x:v>8344</x:v>
      </x:c>
      <x:c r="B875" s="12" t="str">
        <x:v>2111</x:v>
      </x:c>
      <x:c r="C875" s="12" t="str">
        <x:v>参考000</x:v>
      </x:c>
      <x:c r="D875" s="12" t="str">
        <x:v>自动000</x:v>
      </x:c>
      <x:c r="E875" s="12" t="n">
        <x:v>0</x:v>
      </x:c>
      <x:c r="F875" s="12" t="n">
        <x:v>0</x:v>
      </x:c>
      <x:c r="G875" s="12" t="n">
        <x:v>0</x:v>
      </x:c>
      <x:c r="H875" s="12" t="n">
        <x:f>IF(SUM(I875:K875)&gt;0,1,0)</x:f>
        <x:v>0</x:v>
      </x:c>
      <x:c r="I875" s="12" t="n">
        <x:f>IF('患者配对'!M961="positive",1,0)</x:f>
        <x:v>0</x:v>
      </x:c>
      <x:c r="J875" s="12" t="n">
        <x:f>IF('患者配对'!R961="positive",1,0)</x:f>
        <x:v>0</x:v>
      </x:c>
      <x:c r="K875" s="12" t="n">
        <x:f>IF('患者配对'!W961="positive",1,0)</x:f>
        <x:v>0</x:v>
      </x:c>
      <x:c r="L875" s="12" t="str">
        <x:v>由原件与原状态取得；仅主队列索引</x:v>
      </x:c>
      <x:c r="M875" s="12"/>
      <x:c r="N875" s="12"/>
      <x:c r="O875" s="12"/>
    </x:row>
    <x:row r="876" ht="39" customHeight="1">
      <x:c r="A876" s="12" t="str">
        <x:v>8406</x:v>
      </x:c>
      <x:c r="B876" s="12" t="str">
        <x:v>15485</x:v>
      </x:c>
      <x:c r="C876" s="12" t="str">
        <x:v>参考000</x:v>
      </x:c>
      <x:c r="D876" s="12" t="str">
        <x:v>自动000</x:v>
      </x:c>
      <x:c r="E876" s="12" t="n">
        <x:v>0</x:v>
      </x:c>
      <x:c r="F876" s="12" t="n">
        <x:v>0</x:v>
      </x:c>
      <x:c r="G876" s="12" t="n">
        <x:v>0</x:v>
      </x:c>
      <x:c r="H876" s="12" t="n">
        <x:f>IF(SUM(I876:K876)&gt;0,1,0)</x:f>
        <x:v>0</x:v>
      </x:c>
      <x:c r="I876" s="12" t="n">
        <x:f>IF('患者配对'!M962="positive",1,0)</x:f>
        <x:v>0</x:v>
      </x:c>
      <x:c r="J876" s="12" t="n">
        <x:f>IF('患者配对'!R962="positive",1,0)</x:f>
        <x:v>0</x:v>
      </x:c>
      <x:c r="K876" s="12" t="n">
        <x:f>IF('患者配对'!W962="positive",1,0)</x:f>
        <x:v>0</x:v>
      </x:c>
      <x:c r="L876" s="12" t="str">
        <x:v>由原件与原状态取得；仅主队列索引</x:v>
      </x:c>
      <x:c r="M876" s="12"/>
      <x:c r="N876" s="12"/>
      <x:c r="O876" s="12"/>
    </x:row>
    <x:row r="877" ht="39" customHeight="1">
      <x:c r="A877" s="12" t="str">
        <x:v>8410</x:v>
      </x:c>
      <x:c r="B877" s="12" t="str">
        <x:v>6783</x:v>
      </x:c>
      <x:c r="C877" s="12" t="str">
        <x:v>参考000</x:v>
      </x:c>
      <x:c r="D877" s="12" t="str">
        <x:v>自动000</x:v>
      </x:c>
      <x:c r="E877" s="12" t="n">
        <x:v>0</x:v>
      </x:c>
      <x:c r="F877" s="12" t="n">
        <x:v>0</x:v>
      </x:c>
      <x:c r="G877" s="12" t="n">
        <x:v>0</x:v>
      </x:c>
      <x:c r="H877" s="12" t="n">
        <x:f>IF(SUM(I877:K877)&gt;0,1,0)</x:f>
        <x:v>0</x:v>
      </x:c>
      <x:c r="I877" s="12" t="n">
        <x:f>IF('患者配对'!M963="positive",1,0)</x:f>
        <x:v>0</x:v>
      </x:c>
      <x:c r="J877" s="12" t="n">
        <x:f>IF('患者配对'!R963="positive",1,0)</x:f>
        <x:v>0</x:v>
      </x:c>
      <x:c r="K877" s="12" t="n">
        <x:f>IF('患者配对'!W963="positive",1,0)</x:f>
        <x:v>0</x:v>
      </x:c>
      <x:c r="L877" s="12" t="str">
        <x:v>由原件与原状态取得；仅主队列索引</x:v>
      </x:c>
      <x:c r="M877" s="12"/>
      <x:c r="N877" s="12"/>
      <x:c r="O877" s="12"/>
    </x:row>
    <x:row r="878" ht="39" customHeight="1">
      <x:c r="A878" s="12" t="str">
        <x:v>8415</x:v>
      </x:c>
      <x:c r="B878" s="12" t="str">
        <x:v>11737</x:v>
      </x:c>
      <x:c r="C878" s="12" t="str">
        <x:v>参考000</x:v>
      </x:c>
      <x:c r="D878" s="12" t="str">
        <x:v>自动000</x:v>
      </x:c>
      <x:c r="E878" s="12" t="n">
        <x:v>0</x:v>
      </x:c>
      <x:c r="F878" s="12" t="n">
        <x:v>0</x:v>
      </x:c>
      <x:c r="G878" s="12" t="n">
        <x:v>0</x:v>
      </x:c>
      <x:c r="H878" s="12" t="n">
        <x:f>IF(SUM(I878:K878)&gt;0,1,0)</x:f>
        <x:v>0</x:v>
      </x:c>
      <x:c r="I878" s="12" t="n">
        <x:f>IF('患者配对'!M964="positive",1,0)</x:f>
        <x:v>0</x:v>
      </x:c>
      <x:c r="J878" s="12" t="n">
        <x:f>IF('患者配对'!R964="positive",1,0)</x:f>
        <x:v>0</x:v>
      </x:c>
      <x:c r="K878" s="12" t="n">
        <x:f>IF('患者配对'!W964="positive",1,0)</x:f>
        <x:v>0</x:v>
      </x:c>
      <x:c r="L878" s="12" t="str">
        <x:v>由原件与原状态取得；仅主队列索引</x:v>
      </x:c>
      <x:c r="M878" s="12"/>
      <x:c r="N878" s="12"/>
      <x:c r="O878" s="12"/>
    </x:row>
    <x:row r="879" ht="39" customHeight="1">
      <x:c r="A879" s="12" t="str">
        <x:v>8442</x:v>
      </x:c>
      <x:c r="B879" s="12" t="str">
        <x:v>8487</x:v>
      </x:c>
      <x:c r="C879" s="12" t="str">
        <x:v>参考000</x:v>
      </x:c>
      <x:c r="D879" s="12" t="str">
        <x:v>自动000</x:v>
      </x:c>
      <x:c r="E879" s="12" t="n">
        <x:v>0</x:v>
      </x:c>
      <x:c r="F879" s="12" t="n">
        <x:v>1</x:v>
      </x:c>
      <x:c r="G879" s="12" t="n">
        <x:v>0</x:v>
      </x:c>
      <x:c r="H879" s="12" t="n">
        <x:f>IF(SUM(I879:K879)&gt;0,1,0)</x:f>
        <x:v>0</x:v>
      </x:c>
      <x:c r="I879" s="12" t="n">
        <x:f>IF('患者配对'!M965="positive",1,0)</x:f>
        <x:v>0</x:v>
      </x:c>
      <x:c r="J879" s="12" t="n">
        <x:f>IF('患者配对'!R965="positive",1,0)</x:f>
        <x:v>0</x:v>
      </x:c>
      <x:c r="K879" s="12" t="n">
        <x:f>IF('患者配对'!W965="positive",1,0)</x:f>
        <x:v>0</x:v>
      </x:c>
      <x:c r="L879" s="12" t="str">
        <x:v>由原件与原状态取得；仅主队列索引</x:v>
      </x:c>
      <x:c r="M879" s="12"/>
      <x:c r="N879" s="12"/>
      <x:c r="O879" s="12"/>
    </x:row>
    <x:row r="880" ht="39" customHeight="1">
      <x:c r="A880" s="12" t="str">
        <x:v>8446</x:v>
      </x:c>
      <x:c r="B880" s="12" t="str">
        <x:v>15640</x:v>
      </x:c>
      <x:c r="C880" s="12" t="str">
        <x:v>参考000</x:v>
      </x:c>
      <x:c r="D880" s="12" t="str">
        <x:v>自动000</x:v>
      </x:c>
      <x:c r="E880" s="12" t="n">
        <x:v>0</x:v>
      </x:c>
      <x:c r="F880" s="12" t="n">
        <x:v>0</x:v>
      </x:c>
      <x:c r="G880" s="12" t="n">
        <x:v>0</x:v>
      </x:c>
      <x:c r="H880" s="12" t="n">
        <x:f>IF(SUM(I880:K880)&gt;0,1,0)</x:f>
        <x:v>0</x:v>
      </x:c>
      <x:c r="I880" s="12" t="n">
        <x:f>IF('患者配对'!M966="positive",1,0)</x:f>
        <x:v>0</x:v>
      </x:c>
      <x:c r="J880" s="12" t="n">
        <x:f>IF('患者配对'!R966="positive",1,0)</x:f>
        <x:v>0</x:v>
      </x:c>
      <x:c r="K880" s="12" t="n">
        <x:f>IF('患者配对'!W966="positive",1,0)</x:f>
        <x:v>0</x:v>
      </x:c>
      <x:c r="L880" s="12" t="str">
        <x:v>由原件与原状态取得；仅主队列索引</x:v>
      </x:c>
      <x:c r="M880" s="12"/>
      <x:c r="N880" s="12"/>
      <x:c r="O880" s="12"/>
    </x:row>
    <x:row r="881" ht="39" customHeight="1">
      <x:c r="A881" s="12" t="str">
        <x:v>8450</x:v>
      </x:c>
      <x:c r="B881" s="12" t="str">
        <x:v>536</x:v>
      </x:c>
      <x:c r="C881" s="12" t="str">
        <x:v>参考000</x:v>
      </x:c>
      <x:c r="D881" s="12" t="str">
        <x:v>自动000</x:v>
      </x:c>
      <x:c r="E881" s="12" t="n">
        <x:v>0</x:v>
      </x:c>
      <x:c r="F881" s="12" t="n">
        <x:v>0</x:v>
      </x:c>
      <x:c r="G881" s="12" t="n">
        <x:v>0</x:v>
      </x:c>
      <x:c r="H881" s="12" t="n">
        <x:f>IF(SUM(I881:K881)&gt;0,1,0)</x:f>
        <x:v>0</x:v>
      </x:c>
      <x:c r="I881" s="12" t="n">
        <x:f>IF('患者配对'!M967="positive",1,0)</x:f>
        <x:v>0</x:v>
      </x:c>
      <x:c r="J881" s="12" t="n">
        <x:f>IF('患者配对'!R967="positive",1,0)</x:f>
        <x:v>0</x:v>
      </x:c>
      <x:c r="K881" s="12" t="n">
        <x:f>IF('患者配对'!W967="positive",1,0)</x:f>
        <x:v>0</x:v>
      </x:c>
      <x:c r="L881" s="12" t="str">
        <x:v>由原件与原状态取得；仅主队列索引</x:v>
      </x:c>
      <x:c r="M881" s="12"/>
      <x:c r="N881" s="12"/>
      <x:c r="O881" s="12"/>
    </x:row>
    <x:row r="882" ht="39" customHeight="1">
      <x:c r="A882" s="12" t="str">
        <x:v>8460</x:v>
      </x:c>
      <x:c r="B882" s="12" t="str">
        <x:v>3699</x:v>
      </x:c>
      <x:c r="C882" s="12" t="str">
        <x:v>参考100</x:v>
      </x:c>
      <x:c r="D882" s="12" t="str">
        <x:v>自动100</x:v>
      </x:c>
      <x:c r="E882" s="12" t="n">
        <x:v>1</x:v>
      </x:c>
      <x:c r="F882" s="12" t="n">
        <x:v>1</x:v>
      </x:c>
      <x:c r="G882" s="12" t="n">
        <x:v>0</x:v>
      </x:c>
      <x:c r="H882" s="12" t="n">
        <x:f>IF(SUM(I882:K882)&gt;0,1,0)</x:f>
        <x:v>1</x:v>
      </x:c>
      <x:c r="I882" s="12" t="n">
        <x:f>IF('患者配对'!M968="positive",1,0)</x:f>
        <x:v>1</x:v>
      </x:c>
      <x:c r="J882" s="12" t="n">
        <x:f>IF('患者配对'!R968="positive",1,0)</x:f>
        <x:v>0</x:v>
      </x:c>
      <x:c r="K882" s="12" t="n">
        <x:f>IF('患者配对'!W968="positive",1,0)</x:f>
        <x:v>0</x:v>
      </x:c>
      <x:c r="L882" s="12" t="str">
        <x:v>由原件与原状态取得；仅主队列索引</x:v>
      </x:c>
      <x:c r="M882" s="12"/>
      <x:c r="N882" s="12"/>
      <x:c r="O882" s="12"/>
    </x:row>
    <x:row r="883" ht="39" customHeight="1">
      <x:c r="A883" s="12" t="str">
        <x:v>8461</x:v>
      </x:c>
      <x:c r="B883" s="12" t="str">
        <x:v>741</x:v>
      </x:c>
      <x:c r="C883" s="12" t="str">
        <x:v>参考000</x:v>
      </x:c>
      <x:c r="D883" s="12" t="str">
        <x:v>自动000</x:v>
      </x:c>
      <x:c r="E883" s="12" t="n">
        <x:v>0</x:v>
      </x:c>
      <x:c r="F883" s="12" t="n">
        <x:v>0</x:v>
      </x:c>
      <x:c r="G883" s="12" t="n">
        <x:v>0</x:v>
      </x:c>
      <x:c r="H883" s="12" t="n">
        <x:f>IF(SUM(I883:K883)&gt;0,1,0)</x:f>
        <x:v>0</x:v>
      </x:c>
      <x:c r="I883" s="12" t="n">
        <x:f>IF('患者配对'!M969="positive",1,0)</x:f>
        <x:v>0</x:v>
      </x:c>
      <x:c r="J883" s="12" t="n">
        <x:f>IF('患者配对'!R969="positive",1,0)</x:f>
        <x:v>0</x:v>
      </x:c>
      <x:c r="K883" s="12" t="n">
        <x:f>IF('患者配对'!W969="positive",1,0)</x:f>
        <x:v>0</x:v>
      </x:c>
      <x:c r="L883" s="12" t="str">
        <x:v>由原件与原状态取得；仅主队列索引</x:v>
      </x:c>
      <x:c r="M883" s="12"/>
      <x:c r="N883" s="12"/>
      <x:c r="O883" s="12"/>
    </x:row>
    <x:row r="884" ht="39" customHeight="1">
      <x:c r="A884" s="12" t="str">
        <x:v>8473</x:v>
      </x:c>
      <x:c r="B884" s="12" t="str">
        <x:v>12926</x:v>
      </x:c>
      <x:c r="C884" s="12" t="str">
        <x:v>参考000</x:v>
      </x:c>
      <x:c r="D884" s="12" t="str">
        <x:v>自动000</x:v>
      </x:c>
      <x:c r="E884" s="12" t="n">
        <x:v>0</x:v>
      </x:c>
      <x:c r="F884" s="12" t="n">
        <x:v>0</x:v>
      </x:c>
      <x:c r="G884" s="12" t="n">
        <x:v>0</x:v>
      </x:c>
      <x:c r="H884" s="12" t="n">
        <x:f>IF(SUM(I884:K884)&gt;0,1,0)</x:f>
        <x:v>0</x:v>
      </x:c>
      <x:c r="I884" s="12" t="n">
        <x:f>IF('患者配对'!M970="positive",1,0)</x:f>
        <x:v>0</x:v>
      </x:c>
      <x:c r="J884" s="12" t="n">
        <x:f>IF('患者配对'!R970="positive",1,0)</x:f>
        <x:v>0</x:v>
      </x:c>
      <x:c r="K884" s="12" t="n">
        <x:f>IF('患者配对'!W970="positive",1,0)</x:f>
        <x:v>0</x:v>
      </x:c>
      <x:c r="L884" s="12" t="str">
        <x:v>由原件与原状态取得；仅主队列索引</x:v>
      </x:c>
      <x:c r="M884" s="12"/>
      <x:c r="N884" s="12"/>
      <x:c r="O884" s="12"/>
    </x:row>
    <x:row r="885" ht="39" customHeight="1">
      <x:c r="A885" s="12" t="str">
        <x:v>8482</x:v>
      </x:c>
      <x:c r="B885" s="12" t="str">
        <x:v>17607</x:v>
      </x:c>
      <x:c r="C885" s="12" t="str">
        <x:v>参考000</x:v>
      </x:c>
      <x:c r="D885" s="12" t="str">
        <x:v>自动000</x:v>
      </x:c>
      <x:c r="E885" s="12" t="n">
        <x:v>0</x:v>
      </x:c>
      <x:c r="F885" s="12" t="n">
        <x:v>1</x:v>
      </x:c>
      <x:c r="G885" s="12" t="n">
        <x:v>0</x:v>
      </x:c>
      <x:c r="H885" s="12" t="n">
        <x:f>IF(SUM(I885:K885)&gt;0,1,0)</x:f>
        <x:v>0</x:v>
      </x:c>
      <x:c r="I885" s="12" t="n">
        <x:f>IF('患者配对'!M972="positive",1,0)</x:f>
        <x:v>0</x:v>
      </x:c>
      <x:c r="J885" s="12" t="n">
        <x:f>IF('患者配对'!R972="positive",1,0)</x:f>
        <x:v>0</x:v>
      </x:c>
      <x:c r="K885" s="12" t="n">
        <x:f>IF('患者配对'!W972="positive",1,0)</x:f>
        <x:v>0</x:v>
      </x:c>
      <x:c r="L885" s="12" t="str">
        <x:v>由原件与原状态取得；仅主队列索引</x:v>
      </x:c>
      <x:c r="M885" s="12"/>
      <x:c r="N885" s="12"/>
      <x:c r="O885" s="12"/>
    </x:row>
    <x:row r="886" ht="39" customHeight="1">
      <x:c r="A886" s="12" t="str">
        <x:v>8492</x:v>
      </x:c>
      <x:c r="B886" s="12" t="str">
        <x:v>17332</x:v>
      </x:c>
      <x:c r="C886" s="12" t="str">
        <x:v>参考000</x:v>
      </x:c>
      <x:c r="D886" s="12" t="str">
        <x:v>自动000</x:v>
      </x:c>
      <x:c r="E886" s="12" t="n">
        <x:v>0</x:v>
      </x:c>
      <x:c r="F886" s="12" t="n">
        <x:v>0</x:v>
      </x:c>
      <x:c r="G886" s="12" t="n">
        <x:v>0</x:v>
      </x:c>
      <x:c r="H886" s="12" t="n">
        <x:f>IF(SUM(I886:K886)&gt;0,1,0)</x:f>
        <x:v>0</x:v>
      </x:c>
      <x:c r="I886" s="12" t="n">
        <x:f>IF('患者配对'!M973="positive",1,0)</x:f>
        <x:v>0</x:v>
      </x:c>
      <x:c r="J886" s="12" t="n">
        <x:f>IF('患者配对'!R973="positive",1,0)</x:f>
        <x:v>0</x:v>
      </x:c>
      <x:c r="K886" s="12" t="n">
        <x:f>IF('患者配对'!W973="positive",1,0)</x:f>
        <x:v>0</x:v>
      </x:c>
      <x:c r="L886" s="12" t="str">
        <x:v>由原件与原状态取得；仅主队列索引</x:v>
      </x:c>
      <x:c r="M886" s="12"/>
      <x:c r="N886" s="12"/>
      <x:c r="O886" s="12"/>
    </x:row>
    <x:row r="887" ht="39" customHeight="1">
      <x:c r="A887" s="12" t="str">
        <x:v>8496</x:v>
      </x:c>
      <x:c r="B887" s="12" t="str">
        <x:v>9867</x:v>
      </x:c>
      <x:c r="C887" s="12" t="str">
        <x:v>参考000</x:v>
      </x:c>
      <x:c r="D887" s="12" t="str">
        <x:v>自动000</x:v>
      </x:c>
      <x:c r="E887" s="12" t="n">
        <x:v>0</x:v>
      </x:c>
      <x:c r="F887" s="12" t="n">
        <x:v>0</x:v>
      </x:c>
      <x:c r="G887" s="12" t="n">
        <x:v>0</x:v>
      </x:c>
      <x:c r="H887" s="12" t="n">
        <x:f>IF(SUM(I887:K887)&gt;0,1,0)</x:f>
        <x:v>0</x:v>
      </x:c>
      <x:c r="I887" s="12" t="n">
        <x:f>IF('患者配对'!M974="positive",1,0)</x:f>
        <x:v>0</x:v>
      </x:c>
      <x:c r="J887" s="12" t="n">
        <x:f>IF('患者配对'!R974="positive",1,0)</x:f>
        <x:v>0</x:v>
      </x:c>
      <x:c r="K887" s="12" t="n">
        <x:f>IF('患者配对'!W974="positive",1,0)</x:f>
        <x:v>0</x:v>
      </x:c>
      <x:c r="L887" s="12" t="str">
        <x:v>由原件与原状态取得；仅主队列索引</x:v>
      </x:c>
      <x:c r="M887" s="12"/>
      <x:c r="N887" s="12"/>
      <x:c r="O887" s="12"/>
    </x:row>
    <x:row r="888" ht="39" customHeight="1">
      <x:c r="A888" s="12" t="str">
        <x:v>8504</x:v>
      </x:c>
      <x:c r="B888" s="12" t="str">
        <x:v>13937</x:v>
      </x:c>
      <x:c r="C888" s="12" t="str">
        <x:v>参考001</x:v>
      </x:c>
      <x:c r="D888" s="12" t="str">
        <x:v>自动001</x:v>
      </x:c>
      <x:c r="E888" s="12" t="n">
        <x:v>1</x:v>
      </x:c>
      <x:c r="F888" s="12" t="n">
        <x:v>1</x:v>
      </x:c>
      <x:c r="G888" s="12" t="n">
        <x:v>0</x:v>
      </x:c>
      <x:c r="H888" s="12" t="n">
        <x:f>IF(SUM(I888:K888)&gt;0,1,0)</x:f>
        <x:v>1</x:v>
      </x:c>
      <x:c r="I888" s="12" t="n">
        <x:f>IF('患者配对'!M976="positive",1,0)</x:f>
        <x:v>0</x:v>
      </x:c>
      <x:c r="J888" s="12" t="n">
        <x:f>IF('患者配对'!R976="positive",1,0)</x:f>
        <x:v>0</x:v>
      </x:c>
      <x:c r="K888" s="12" t="n">
        <x:f>IF('患者配对'!W976="positive",1,0)</x:f>
        <x:v>1</x:v>
      </x:c>
      <x:c r="L888" s="12" t="str">
        <x:v>由原件与原状态取得；仅主队列索引</x:v>
      </x:c>
      <x:c r="M888" s="12"/>
      <x:c r="N888" s="12"/>
      <x:c r="O888" s="12"/>
    </x:row>
    <x:row r="889" ht="39" customHeight="1">
      <x:c r="A889" s="12" t="str">
        <x:v>8507</x:v>
      </x:c>
      <x:c r="B889" s="12" t="str">
        <x:v>4193</x:v>
      </x:c>
      <x:c r="C889" s="12" t="str">
        <x:v>参考000</x:v>
      </x:c>
      <x:c r="D889" s="12" t="str">
        <x:v>自动000</x:v>
      </x:c>
      <x:c r="E889" s="12" t="n">
        <x:v>0</x:v>
      </x:c>
      <x:c r="F889" s="12" t="n">
        <x:v>1</x:v>
      </x:c>
      <x:c r="G889" s="12" t="n">
        <x:v>0</x:v>
      </x:c>
      <x:c r="H889" s="12" t="n">
        <x:f>IF(SUM(I889:K889)&gt;0,1,0)</x:f>
        <x:v>0</x:v>
      </x:c>
      <x:c r="I889" s="12" t="n">
        <x:f>IF('患者配对'!M977="positive",1,0)</x:f>
        <x:v>0</x:v>
      </x:c>
      <x:c r="J889" s="12" t="n">
        <x:f>IF('患者配对'!R977="positive",1,0)</x:f>
        <x:v>0</x:v>
      </x:c>
      <x:c r="K889" s="12" t="n">
        <x:f>IF('患者配对'!W977="positive",1,0)</x:f>
        <x:v>0</x:v>
      </x:c>
      <x:c r="L889" s="12" t="str">
        <x:v>由原件与原状态取得；仅主队列索引</x:v>
      </x:c>
      <x:c r="M889" s="12"/>
      <x:c r="N889" s="12"/>
      <x:c r="O889" s="12"/>
    </x:row>
    <x:row r="890" ht="39" customHeight="1">
      <x:c r="A890" s="12" t="str">
        <x:v>8509</x:v>
      </x:c>
      <x:c r="B890" s="12" t="str">
        <x:v>20651</x:v>
      </x:c>
      <x:c r="C890" s="12" t="str">
        <x:v>参考000</x:v>
      </x:c>
      <x:c r="D890" s="12" t="str">
        <x:v>自动000</x:v>
      </x:c>
      <x:c r="E890" s="12" t="n">
        <x:v>0</x:v>
      </x:c>
      <x:c r="F890" s="12" t="n">
        <x:v>0</x:v>
      </x:c>
      <x:c r="G890" s="12" t="n">
        <x:v>0</x:v>
      </x:c>
      <x:c r="H890" s="12" t="n">
        <x:f>IF(SUM(I890:K890)&gt;0,1,0)</x:f>
        <x:v>0</x:v>
      </x:c>
      <x:c r="I890" s="12" t="n">
        <x:f>IF('患者配对'!M978="positive",1,0)</x:f>
        <x:v>0</x:v>
      </x:c>
      <x:c r="J890" s="12" t="n">
        <x:f>IF('患者配对'!R978="positive",1,0)</x:f>
        <x:v>0</x:v>
      </x:c>
      <x:c r="K890" s="12" t="n">
        <x:f>IF('患者配对'!W978="positive",1,0)</x:f>
        <x:v>0</x:v>
      </x:c>
      <x:c r="L890" s="12" t="str">
        <x:v>由原件与原状态取得；仅主队列索引</x:v>
      </x:c>
      <x:c r="M890" s="12"/>
      <x:c r="N890" s="12"/>
      <x:c r="O890" s="12"/>
    </x:row>
    <x:row r="891" ht="39" customHeight="1">
      <x:c r="A891" s="12" t="str">
        <x:v>8524</x:v>
      </x:c>
      <x:c r="B891" s="12" t="str">
        <x:v>3181</x:v>
      </x:c>
      <x:c r="C891" s="12" t="str">
        <x:v>参考000</x:v>
      </x:c>
      <x:c r="D891" s="12" t="str">
        <x:v>自动000</x:v>
      </x:c>
      <x:c r="E891" s="12" t="n">
        <x:v>0</x:v>
      </x:c>
      <x:c r="F891" s="12" t="n">
        <x:v>0</x:v>
      </x:c>
      <x:c r="G891" s="12" t="n">
        <x:v>0</x:v>
      </x:c>
      <x:c r="H891" s="12" t="n">
        <x:f>IF(SUM(I891:K891)&gt;0,1,0)</x:f>
        <x:v>0</x:v>
      </x:c>
      <x:c r="I891" s="12" t="n">
        <x:f>IF('患者配对'!M979="positive",1,0)</x:f>
        <x:v>0</x:v>
      </x:c>
      <x:c r="J891" s="12" t="n">
        <x:f>IF('患者配对'!R979="positive",1,0)</x:f>
        <x:v>0</x:v>
      </x:c>
      <x:c r="K891" s="12" t="n">
        <x:f>IF('患者配对'!W979="positive",1,0)</x:f>
        <x:v>0</x:v>
      </x:c>
      <x:c r="L891" s="12" t="str">
        <x:v>由原件与原状态取得；仅主队列索引</x:v>
      </x:c>
      <x:c r="M891" s="12"/>
      <x:c r="N891" s="12"/>
      <x:c r="O891" s="12"/>
    </x:row>
    <x:row r="892" ht="39" customHeight="1">
      <x:c r="A892" s="12" t="str">
        <x:v>8535</x:v>
      </x:c>
      <x:c r="B892" s="12" t="str">
        <x:v>17906</x:v>
      </x:c>
      <x:c r="C892" s="12" t="str">
        <x:v>参考000</x:v>
      </x:c>
      <x:c r="D892" s="12" t="str">
        <x:v>自动000</x:v>
      </x:c>
      <x:c r="E892" s="12" t="n">
        <x:v>0</x:v>
      </x:c>
      <x:c r="F892" s="12" t="n">
        <x:v>1</x:v>
      </x:c>
      <x:c r="G892" s="12" t="n">
        <x:v>0</x:v>
      </x:c>
      <x:c r="H892" s="12" t="n">
        <x:f>IF(SUM(I892:K892)&gt;0,1,0)</x:f>
        <x:v>0</x:v>
      </x:c>
      <x:c r="I892" s="12" t="n">
        <x:f>IF('患者配对'!M981="positive",1,0)</x:f>
        <x:v>0</x:v>
      </x:c>
      <x:c r="J892" s="12" t="n">
        <x:f>IF('患者配对'!R981="positive",1,0)</x:f>
        <x:v>0</x:v>
      </x:c>
      <x:c r="K892" s="12" t="n">
        <x:f>IF('患者配对'!W981="positive",1,0)</x:f>
        <x:v>0</x:v>
      </x:c>
      <x:c r="L892" s="12" t="str">
        <x:v>由原件与原状态取得；仅主队列索引</x:v>
      </x:c>
      <x:c r="M892" s="12"/>
      <x:c r="N892" s="12"/>
      <x:c r="O892" s="12"/>
    </x:row>
    <x:row r="893" ht="39" customHeight="1">
      <x:c r="A893" s="12" t="str">
        <x:v>8538</x:v>
      </x:c>
      <x:c r="B893" s="12" t="str">
        <x:v>7344</x:v>
      </x:c>
      <x:c r="C893" s="12" t="str">
        <x:v>参考000</x:v>
      </x:c>
      <x:c r="D893" s="12" t="str">
        <x:v>自动000</x:v>
      </x:c>
      <x:c r="E893" s="12" t="n">
        <x:v>0</x:v>
      </x:c>
      <x:c r="F893" s="12" t="n">
        <x:v>0</x:v>
      </x:c>
      <x:c r="G893" s="12" t="n">
        <x:v>0</x:v>
      </x:c>
      <x:c r="H893" s="12" t="n">
        <x:f>IF(SUM(I893:K893)&gt;0,1,0)</x:f>
        <x:v>0</x:v>
      </x:c>
      <x:c r="I893" s="12" t="n">
        <x:f>IF('患者配对'!M982="positive",1,0)</x:f>
        <x:v>0</x:v>
      </x:c>
      <x:c r="J893" s="12" t="n">
        <x:f>IF('患者配对'!R982="positive",1,0)</x:f>
        <x:v>0</x:v>
      </x:c>
      <x:c r="K893" s="12" t="n">
        <x:f>IF('患者配对'!W982="positive",1,0)</x:f>
        <x:v>0</x:v>
      </x:c>
      <x:c r="L893" s="12" t="str">
        <x:v>由原件与原状态取得；仅主队列索引</x:v>
      </x:c>
      <x:c r="M893" s="12"/>
      <x:c r="N893" s="12"/>
      <x:c r="O893" s="12"/>
    </x:row>
    <x:row r="894" ht="39" customHeight="1">
      <x:c r="A894" s="12" t="str">
        <x:v>8541</x:v>
      </x:c>
      <x:c r="B894" s="12" t="str">
        <x:v>7322</x:v>
      </x:c>
      <x:c r="C894" s="12" t="str">
        <x:v>参考000</x:v>
      </x:c>
      <x:c r="D894" s="12" t="str">
        <x:v>自动000</x:v>
      </x:c>
      <x:c r="E894" s="12" t="n">
        <x:v>0</x:v>
      </x:c>
      <x:c r="F894" s="12" t="n">
        <x:v>0</x:v>
      </x:c>
      <x:c r="G894" s="12" t="n">
        <x:v>0</x:v>
      </x:c>
      <x:c r="H894" s="12" t="n">
        <x:f>IF(SUM(I894:K894)&gt;0,1,0)</x:f>
        <x:v>0</x:v>
      </x:c>
      <x:c r="I894" s="12" t="n">
        <x:f>IF('患者配对'!M983="positive",1,0)</x:f>
        <x:v>0</x:v>
      </x:c>
      <x:c r="J894" s="12" t="n">
        <x:f>IF('患者配对'!R983="positive",1,0)</x:f>
        <x:v>0</x:v>
      </x:c>
      <x:c r="K894" s="12" t="n">
        <x:f>IF('患者配对'!W983="positive",1,0)</x:f>
        <x:v>0</x:v>
      </x:c>
      <x:c r="L894" s="12" t="str">
        <x:v>由原件与原状态取得；仅主队列索引</x:v>
      </x:c>
      <x:c r="M894" s="12"/>
      <x:c r="N894" s="12"/>
      <x:c r="O894" s="12"/>
    </x:row>
    <x:row r="895" ht="39" customHeight="1">
      <x:c r="A895" s="12" t="str">
        <x:v>8555</x:v>
      </x:c>
      <x:c r="B895" s="12" t="str">
        <x:v>3020</x:v>
      </x:c>
      <x:c r="C895" s="12" t="str">
        <x:v>参考000</x:v>
      </x:c>
      <x:c r="D895" s="12" t="str">
        <x:v>自动000</x:v>
      </x:c>
      <x:c r="E895" s="12" t="n">
        <x:v>0</x:v>
      </x:c>
      <x:c r="F895" s="12" t="n">
        <x:v>0</x:v>
      </x:c>
      <x:c r="G895" s="12" t="n">
        <x:v>0</x:v>
      </x:c>
      <x:c r="H895" s="12" t="n">
        <x:f>IF(SUM(I895:K895)&gt;0,1,0)</x:f>
        <x:v>0</x:v>
      </x:c>
      <x:c r="I895" s="12" t="n">
        <x:f>IF('患者配对'!M984="positive",1,0)</x:f>
        <x:v>0</x:v>
      </x:c>
      <x:c r="J895" s="12" t="n">
        <x:f>IF('患者配对'!R984="positive",1,0)</x:f>
        <x:v>0</x:v>
      </x:c>
      <x:c r="K895" s="12" t="n">
        <x:f>IF('患者配对'!W984="positive",1,0)</x:f>
        <x:v>0</x:v>
      </x:c>
      <x:c r="L895" s="12" t="str">
        <x:v>由原件与原状态取得；仅主队列索引</x:v>
      </x:c>
      <x:c r="M895" s="12"/>
      <x:c r="N895" s="12"/>
      <x:c r="O895" s="12"/>
    </x:row>
    <x:row r="896" ht="39" customHeight="1">
      <x:c r="A896" s="12" t="str">
        <x:v>8591</x:v>
      </x:c>
      <x:c r="B896" s="12" t="str">
        <x:v>19224</x:v>
      </x:c>
      <x:c r="C896" s="12" t="str">
        <x:v>参考000</x:v>
      </x:c>
      <x:c r="D896" s="12" t="str">
        <x:v>自动000</x:v>
      </x:c>
      <x:c r="E896" s="12" t="n">
        <x:v>0</x:v>
      </x:c>
      <x:c r="F896" s="12" t="n">
        <x:v>0</x:v>
      </x:c>
      <x:c r="G896" s="12" t="n">
        <x:v>0</x:v>
      </x:c>
      <x:c r="H896" s="12" t="n">
        <x:f>IF(SUM(I896:K896)&gt;0,1,0)</x:f>
        <x:v>0</x:v>
      </x:c>
      <x:c r="I896" s="12" t="n">
        <x:f>IF('患者配对'!M985="positive",1,0)</x:f>
        <x:v>0</x:v>
      </x:c>
      <x:c r="J896" s="12" t="n">
        <x:f>IF('患者配对'!R985="positive",1,0)</x:f>
        <x:v>0</x:v>
      </x:c>
      <x:c r="K896" s="12" t="n">
        <x:f>IF('患者配对'!W985="positive",1,0)</x:f>
        <x:v>0</x:v>
      </x:c>
      <x:c r="L896" s="12" t="str">
        <x:v>由原件与原状态取得；仅主队列索引</x:v>
      </x:c>
      <x:c r="M896" s="12"/>
      <x:c r="N896" s="12"/>
      <x:c r="O896" s="12"/>
    </x:row>
    <x:row r="897" ht="39" customHeight="1">
      <x:c r="A897" s="12" t="str">
        <x:v>8609</x:v>
      </x:c>
      <x:c r="B897" s="12" t="str">
        <x:v>9363</x:v>
      </x:c>
      <x:c r="C897" s="12" t="str">
        <x:v>参考000</x:v>
      </x:c>
      <x:c r="D897" s="12" t="str">
        <x:v>自动000</x:v>
      </x:c>
      <x:c r="E897" s="12" t="n">
        <x:v>0</x:v>
      </x:c>
      <x:c r="F897" s="12" t="n">
        <x:v>0</x:v>
      </x:c>
      <x:c r="G897" s="12" t="n">
        <x:v>0</x:v>
      </x:c>
      <x:c r="H897" s="12" t="n">
        <x:f>IF(SUM(I897:K897)&gt;0,1,0)</x:f>
        <x:v>0</x:v>
      </x:c>
      <x:c r="I897" s="12" t="n">
        <x:f>IF('患者配对'!M986="positive",1,0)</x:f>
        <x:v>0</x:v>
      </x:c>
      <x:c r="J897" s="12" t="n">
        <x:f>IF('患者配对'!R986="positive",1,0)</x:f>
        <x:v>0</x:v>
      </x:c>
      <x:c r="K897" s="12" t="n">
        <x:f>IF('患者配对'!W986="positive",1,0)</x:f>
        <x:v>0</x:v>
      </x:c>
      <x:c r="L897" s="12" t="str">
        <x:v>由原件与原状态取得；仅主队列索引</x:v>
      </x:c>
      <x:c r="M897" s="12"/>
      <x:c r="N897" s="12"/>
      <x:c r="O897" s="12"/>
    </x:row>
    <x:row r="898" ht="39" customHeight="1">
      <x:c r="A898" s="12" t="str">
        <x:v>8622</x:v>
      </x:c>
      <x:c r="B898" s="12" t="str">
        <x:v>967</x:v>
      </x:c>
      <x:c r="C898" s="12" t="str">
        <x:v>参考000</x:v>
      </x:c>
      <x:c r="D898" s="12" t="str">
        <x:v>自动000</x:v>
      </x:c>
      <x:c r="E898" s="12" t="n">
        <x:v>0</x:v>
      </x:c>
      <x:c r="F898" s="12" t="n">
        <x:v>1</x:v>
      </x:c>
      <x:c r="G898" s="12" t="n">
        <x:v>0</x:v>
      </x:c>
      <x:c r="H898" s="12" t="n">
        <x:f>IF(SUM(I898:K898)&gt;0,1,0)</x:f>
        <x:v>0</x:v>
      </x:c>
      <x:c r="I898" s="12" t="n">
        <x:f>IF('患者配对'!M987="positive",1,0)</x:f>
        <x:v>0</x:v>
      </x:c>
      <x:c r="J898" s="12" t="n">
        <x:f>IF('患者配对'!R987="positive",1,0)</x:f>
        <x:v>0</x:v>
      </x:c>
      <x:c r="K898" s="12" t="n">
        <x:f>IF('患者配对'!W987="positive",1,0)</x:f>
        <x:v>0</x:v>
      </x:c>
      <x:c r="L898" s="12" t="str">
        <x:v>由原件与原状态取得；仅主队列索引</x:v>
      </x:c>
      <x:c r="M898" s="12"/>
      <x:c r="N898" s="12"/>
      <x:c r="O898" s="12"/>
    </x:row>
    <x:row r="899" ht="39" customHeight="1">
      <x:c r="A899" s="12" t="str">
        <x:v>8625</x:v>
      </x:c>
      <x:c r="B899" s="12" t="str">
        <x:v>5021</x:v>
      </x:c>
      <x:c r="C899" s="12" t="str">
        <x:v>参考100</x:v>
      </x:c>
      <x:c r="D899" s="12" t="str">
        <x:v>自动100</x:v>
      </x:c>
      <x:c r="E899" s="12" t="n">
        <x:v>1</x:v>
      </x:c>
      <x:c r="F899" s="12" t="n">
        <x:v>1</x:v>
      </x:c>
      <x:c r="G899" s="12" t="n">
        <x:v>0</x:v>
      </x:c>
      <x:c r="H899" s="12" t="n">
        <x:f>IF(SUM(I899:K899)&gt;0,1,0)</x:f>
        <x:v>1</x:v>
      </x:c>
      <x:c r="I899" s="12" t="n">
        <x:f>IF('患者配对'!M988="positive",1,0)</x:f>
        <x:v>1</x:v>
      </x:c>
      <x:c r="J899" s="12" t="n">
        <x:f>IF('患者配对'!R988="positive",1,0)</x:f>
        <x:v>0</x:v>
      </x:c>
      <x:c r="K899" s="12" t="n">
        <x:f>IF('患者配对'!W988="positive",1,0)</x:f>
        <x:v>0</x:v>
      </x:c>
      <x:c r="L899" s="12" t="str">
        <x:v>由原件与原状态取得；仅主队列索引</x:v>
      </x:c>
      <x:c r="M899" s="12"/>
      <x:c r="N899" s="12"/>
      <x:c r="O899" s="12"/>
    </x:row>
    <x:row r="900" ht="39" customHeight="1">
      <x:c r="A900" s="12" t="str">
        <x:v>8632</x:v>
      </x:c>
      <x:c r="B900" s="12" t="str">
        <x:v>11159</x:v>
      </x:c>
      <x:c r="C900" s="12" t="str">
        <x:v>参考000</x:v>
      </x:c>
      <x:c r="D900" s="12" t="str">
        <x:v>自动000</x:v>
      </x:c>
      <x:c r="E900" s="12" t="n">
        <x:v>0</x:v>
      </x:c>
      <x:c r="F900" s="12" t="n">
        <x:v>0</x:v>
      </x:c>
      <x:c r="G900" s="12" t="n">
        <x:v>0</x:v>
      </x:c>
      <x:c r="H900" s="12" t="n">
        <x:f>IF(SUM(I900:K900)&gt;0,1,0)</x:f>
        <x:v>0</x:v>
      </x:c>
      <x:c r="I900" s="12" t="n">
        <x:f>IF('患者配对'!M989="positive",1,0)</x:f>
        <x:v>0</x:v>
      </x:c>
      <x:c r="J900" s="12" t="n">
        <x:f>IF('患者配对'!R989="positive",1,0)</x:f>
        <x:v>0</x:v>
      </x:c>
      <x:c r="K900" s="12" t="n">
        <x:f>IF('患者配对'!W989="positive",1,0)</x:f>
        <x:v>0</x:v>
      </x:c>
      <x:c r="L900" s="12" t="str">
        <x:v>由原件与原状态取得；仅主队列索引</x:v>
      </x:c>
      <x:c r="M900" s="12"/>
      <x:c r="N900" s="12"/>
      <x:c r="O900" s="12"/>
    </x:row>
    <x:row r="901" ht="39" customHeight="1">
      <x:c r="A901" s="12" t="str">
        <x:v>8645</x:v>
      </x:c>
      <x:c r="B901" s="12" t="str">
        <x:v>10875</x:v>
      </x:c>
      <x:c r="C901" s="12" t="str">
        <x:v>参考000</x:v>
      </x:c>
      <x:c r="D901" s="12" t="str">
        <x:v>自动000</x:v>
      </x:c>
      <x:c r="E901" s="12" t="n">
        <x:v>0</x:v>
      </x:c>
      <x:c r="F901" s="12" t="n">
        <x:v>1</x:v>
      </x:c>
      <x:c r="G901" s="12" t="n">
        <x:v>0</x:v>
      </x:c>
      <x:c r="H901" s="12" t="n">
        <x:f>IF(SUM(I901:K901)&gt;0,1,0)</x:f>
        <x:v>0</x:v>
      </x:c>
      <x:c r="I901" s="12" t="n">
        <x:f>IF('患者配对'!M990="positive",1,0)</x:f>
        <x:v>0</x:v>
      </x:c>
      <x:c r="J901" s="12" t="n">
        <x:f>IF('患者配对'!R990="positive",1,0)</x:f>
        <x:v>0</x:v>
      </x:c>
      <x:c r="K901" s="12" t="n">
        <x:f>IF('患者配对'!W990="positive",1,0)</x:f>
        <x:v>0</x:v>
      </x:c>
      <x:c r="L901" s="12" t="str">
        <x:v>由原件与原状态取得；仅主队列索引</x:v>
      </x:c>
      <x:c r="M901" s="12"/>
      <x:c r="N901" s="12"/>
      <x:c r="O901" s="12"/>
    </x:row>
    <x:row r="902" ht="39" customHeight="1">
      <x:c r="A902" s="12" t="str">
        <x:v>8663</x:v>
      </x:c>
      <x:c r="B902" s="12" t="str">
        <x:v>801</x:v>
      </x:c>
      <x:c r="C902" s="12" t="str">
        <x:v>参考000</x:v>
      </x:c>
      <x:c r="D902" s="12" t="str">
        <x:v>自动000</x:v>
      </x:c>
      <x:c r="E902" s="12" t="n">
        <x:v>0</x:v>
      </x:c>
      <x:c r="F902" s="12" t="n">
        <x:v>0</x:v>
      </x:c>
      <x:c r="G902" s="12" t="n">
        <x:v>0</x:v>
      </x:c>
      <x:c r="H902" s="12" t="n">
        <x:f>IF(SUM(I902:K902)&gt;0,1,0)</x:f>
        <x:v>0</x:v>
      </x:c>
      <x:c r="I902" s="12" t="n">
        <x:f>IF('患者配对'!M991="positive",1,0)</x:f>
        <x:v>0</x:v>
      </x:c>
      <x:c r="J902" s="12" t="n">
        <x:f>IF('患者配对'!R991="positive",1,0)</x:f>
        <x:v>0</x:v>
      </x:c>
      <x:c r="K902" s="12" t="n">
        <x:f>IF('患者配对'!W991="positive",1,0)</x:f>
        <x:v>0</x:v>
      </x:c>
      <x:c r="L902" s="12" t="str">
        <x:v>由原件与原状态取得；仅主队列索引</x:v>
      </x:c>
      <x:c r="M902" s="12"/>
      <x:c r="N902" s="12"/>
      <x:c r="O902" s="12"/>
    </x:row>
    <x:row r="903" ht="39" customHeight="1">
      <x:c r="A903" s="12" t="str">
        <x:v>8680</x:v>
      </x:c>
      <x:c r="B903" s="12" t="str">
        <x:v>7343</x:v>
      </x:c>
      <x:c r="C903" s="12" t="str">
        <x:v>参考101</x:v>
      </x:c>
      <x:c r="D903" s="12" t="str">
        <x:v>自动101</x:v>
      </x:c>
      <x:c r="E903" s="12" t="n">
        <x:v>1</x:v>
      </x:c>
      <x:c r="F903" s="12" t="n">
        <x:v>1</x:v>
      </x:c>
      <x:c r="G903" s="12" t="n">
        <x:v>0</x:v>
      </x:c>
      <x:c r="H903" s="12" t="n">
        <x:f>IF(SUM(I903:K903)&gt;0,1,0)</x:f>
        <x:v>1</x:v>
      </x:c>
      <x:c r="I903" s="12" t="n">
        <x:f>IF('患者配对'!M992="positive",1,0)</x:f>
        <x:v>1</x:v>
      </x:c>
      <x:c r="J903" s="12" t="n">
        <x:f>IF('患者配对'!R992="positive",1,0)</x:f>
        <x:v>0</x:v>
      </x:c>
      <x:c r="K903" s="12" t="n">
        <x:f>IF('患者配对'!W992="positive",1,0)</x:f>
        <x:v>1</x:v>
      </x:c>
      <x:c r="L903" s="12" t="str">
        <x:v>由原件与原状态取得；仅主队列索引</x:v>
      </x:c>
      <x:c r="M903" s="12"/>
      <x:c r="N903" s="12"/>
      <x:c r="O903" s="12"/>
    </x:row>
    <x:row r="904" ht="39" customHeight="1">
      <x:c r="A904" s="12" t="str">
        <x:v>8688</x:v>
      </x:c>
      <x:c r="B904" s="12" t="str">
        <x:v>2986</x:v>
      </x:c>
      <x:c r="C904" s="12" t="str">
        <x:v>参考000</x:v>
      </x:c>
      <x:c r="D904" s="12" t="str">
        <x:v>自动000</x:v>
      </x:c>
      <x:c r="E904" s="12" t="n">
        <x:v>0</x:v>
      </x:c>
      <x:c r="F904" s="12" t="n">
        <x:v>0</x:v>
      </x:c>
      <x:c r="G904" s="12" t="n">
        <x:v>0</x:v>
      </x:c>
      <x:c r="H904" s="12" t="n">
        <x:f>IF(SUM(I904:K904)&gt;0,1,0)</x:f>
        <x:v>0</x:v>
      </x:c>
      <x:c r="I904" s="12" t="n">
        <x:f>IF('患者配对'!M993="positive",1,0)</x:f>
        <x:v>0</x:v>
      </x:c>
      <x:c r="J904" s="12" t="n">
        <x:f>IF('患者配对'!R993="positive",1,0)</x:f>
        <x:v>0</x:v>
      </x:c>
      <x:c r="K904" s="12" t="n">
        <x:f>IF('患者配对'!W993="positive",1,0)</x:f>
        <x:v>0</x:v>
      </x:c>
      <x:c r="L904" s="12" t="str">
        <x:v>由原件与原状态取得；仅主队列索引</x:v>
      </x:c>
      <x:c r="M904" s="12"/>
      <x:c r="N904" s="12"/>
      <x:c r="O904" s="12"/>
    </x:row>
    <x:row r="905" ht="39" customHeight="1">
      <x:c r="A905" s="12" t="str">
        <x:v>8704</x:v>
      </x:c>
      <x:c r="B905" s="12" t="str">
        <x:v>3724</x:v>
      </x:c>
      <x:c r="C905" s="12" t="str">
        <x:v>参考000</x:v>
      </x:c>
      <x:c r="D905" s="12" t="str">
        <x:v>自动000</x:v>
      </x:c>
      <x:c r="E905" s="12" t="n">
        <x:v>0</x:v>
      </x:c>
      <x:c r="F905" s="12" t="n">
        <x:v>0</x:v>
      </x:c>
      <x:c r="G905" s="12" t="n">
        <x:v>0</x:v>
      </x:c>
      <x:c r="H905" s="12" t="n">
        <x:f>IF(SUM(I905:K905)&gt;0,1,0)</x:f>
        <x:v>0</x:v>
      </x:c>
      <x:c r="I905" s="12" t="n">
        <x:f>IF('患者配对'!M994="positive",1,0)</x:f>
        <x:v>0</x:v>
      </x:c>
      <x:c r="J905" s="12" t="n">
        <x:f>IF('患者配对'!R994="positive",1,0)</x:f>
        <x:v>0</x:v>
      </x:c>
      <x:c r="K905" s="12" t="n">
        <x:f>IF('患者配对'!W994="positive",1,0)</x:f>
        <x:v>0</x:v>
      </x:c>
      <x:c r="L905" s="12" t="str">
        <x:v>由原件与原状态取得；仅主队列索引</x:v>
      </x:c>
      <x:c r="M905" s="12"/>
      <x:c r="N905" s="12"/>
      <x:c r="O905" s="12"/>
    </x:row>
    <x:row r="906" ht="39" customHeight="1">
      <x:c r="A906" s="12" t="str">
        <x:v>8712</x:v>
      </x:c>
      <x:c r="B906" s="12" t="str">
        <x:v>4815</x:v>
      </x:c>
      <x:c r="C906" s="12" t="str">
        <x:v>参考001</x:v>
      </x:c>
      <x:c r="D906" s="12" t="str">
        <x:v>自动000</x:v>
      </x:c>
      <x:c r="E906" s="12" t="n">
        <x:v>0</x:v>
      </x:c>
      <x:c r="F906" s="12" t="n">
        <x:v>1</x:v>
      </x:c>
      <x:c r="G906" s="12" t="n">
        <x:v>1</x:v>
      </x:c>
      <x:c r="H906" s="12" t="n">
        <x:f>IF(SUM(I906:K906)&gt;0,1,0)</x:f>
        <x:v>1</x:v>
      </x:c>
      <x:c r="I906" s="12" t="n">
        <x:f>IF('患者配对'!M995="positive",1,0)</x:f>
        <x:v>0</x:v>
      </x:c>
      <x:c r="J906" s="12" t="n">
        <x:f>IF('患者配对'!R995="positive",1,0)</x:f>
        <x:v>0</x:v>
      </x:c>
      <x:c r="K906" s="12" t="n">
        <x:f>IF('患者配对'!W995="positive",1,0)</x:f>
        <x:v>1</x:v>
      </x:c>
      <x:c r="L906" s="12" t="str">
        <x:v>由原件与原状态取得；仅主队列索引</x:v>
      </x:c>
      <x:c r="M906" s="12"/>
      <x:c r="N906" s="12"/>
      <x:c r="O906" s="12"/>
    </x:row>
    <x:row r="907" ht="39" customHeight="1">
      <x:c r="A907" s="12" t="str">
        <x:v>8727</x:v>
      </x:c>
      <x:c r="B907" s="12" t="str">
        <x:v>7896</x:v>
      </x:c>
      <x:c r="C907" s="12" t="str">
        <x:v>参考000</x:v>
      </x:c>
      <x:c r="D907" s="12" t="str">
        <x:v>自动000</x:v>
      </x:c>
      <x:c r="E907" s="12" t="n">
        <x:v>0</x:v>
      </x:c>
      <x:c r="F907" s="12" t="n">
        <x:v>0</x:v>
      </x:c>
      <x:c r="G907" s="12" t="n">
        <x:v>0</x:v>
      </x:c>
      <x:c r="H907" s="12" t="n">
        <x:f>IF(SUM(I907:K907)&gt;0,1,0)</x:f>
        <x:v>0</x:v>
      </x:c>
      <x:c r="I907" s="12" t="n">
        <x:f>IF('患者配对'!M996="positive",1,0)</x:f>
        <x:v>0</x:v>
      </x:c>
      <x:c r="J907" s="12" t="n">
        <x:f>IF('患者配对'!R996="positive",1,0)</x:f>
        <x:v>0</x:v>
      </x:c>
      <x:c r="K907" s="12" t="n">
        <x:f>IF('患者配对'!W996="positive",1,0)</x:f>
        <x:v>0</x:v>
      </x:c>
      <x:c r="L907" s="12" t="str">
        <x:v>由原件与原状态取得；仅主队列索引</x:v>
      </x:c>
      <x:c r="M907" s="12"/>
      <x:c r="N907" s="12"/>
      <x:c r="O907" s="12"/>
    </x:row>
    <x:row r="908" ht="39" customHeight="1">
      <x:c r="A908" s="12" t="str">
        <x:v>8733</x:v>
      </x:c>
      <x:c r="B908" s="12" t="str">
        <x:v>15548</x:v>
      </x:c>
      <x:c r="C908" s="12" t="str">
        <x:v>参考000</x:v>
      </x:c>
      <x:c r="D908" s="12" t="str">
        <x:v>自动000</x:v>
      </x:c>
      <x:c r="E908" s="12" t="n">
        <x:v>0</x:v>
      </x:c>
      <x:c r="F908" s="12" t="n">
        <x:v>0</x:v>
      </x:c>
      <x:c r="G908" s="12" t="n">
        <x:v>0</x:v>
      </x:c>
      <x:c r="H908" s="12" t="n">
        <x:f>IF(SUM(I908:K908)&gt;0,1,0)</x:f>
        <x:v>0</x:v>
      </x:c>
      <x:c r="I908" s="12" t="n">
        <x:f>IF('患者配对'!M997="positive",1,0)</x:f>
        <x:v>0</x:v>
      </x:c>
      <x:c r="J908" s="12" t="n">
        <x:f>IF('患者配对'!R997="positive",1,0)</x:f>
        <x:v>0</x:v>
      </x:c>
      <x:c r="K908" s="12" t="n">
        <x:f>IF('患者配对'!W997="positive",1,0)</x:f>
        <x:v>0</x:v>
      </x:c>
      <x:c r="L908" s="12" t="str">
        <x:v>由原件与原状态取得；仅主队列索引</x:v>
      </x:c>
      <x:c r="M908" s="12"/>
      <x:c r="N908" s="12"/>
      <x:c r="O908" s="12"/>
    </x:row>
    <x:row r="909" ht="39" customHeight="1">
      <x:c r="A909" s="12" t="str">
        <x:v>8736</x:v>
      </x:c>
      <x:c r="B909" s="12" t="str">
        <x:v>9151</x:v>
      </x:c>
      <x:c r="C909" s="12" t="str">
        <x:v>参考000</x:v>
      </x:c>
      <x:c r="D909" s="12" t="str">
        <x:v>自动000</x:v>
      </x:c>
      <x:c r="E909" s="12" t="n">
        <x:v>0</x:v>
      </x:c>
      <x:c r="F909" s="12" t="n">
        <x:v>0</x:v>
      </x:c>
      <x:c r="G909" s="12" t="n">
        <x:v>0</x:v>
      </x:c>
      <x:c r="H909" s="12" t="n">
        <x:f>IF(SUM(I909:K909)&gt;0,1,0)</x:f>
        <x:v>0</x:v>
      </x:c>
      <x:c r="I909" s="12" t="n">
        <x:f>IF('患者配对'!M998="positive",1,0)</x:f>
        <x:v>0</x:v>
      </x:c>
      <x:c r="J909" s="12" t="n">
        <x:f>IF('患者配对'!R998="positive",1,0)</x:f>
        <x:v>0</x:v>
      </x:c>
      <x:c r="K909" s="12" t="n">
        <x:f>IF('患者配对'!W998="positive",1,0)</x:f>
        <x:v>0</x:v>
      </x:c>
      <x:c r="L909" s="12" t="str">
        <x:v>由原件与原状态取得；仅主队列索引</x:v>
      </x:c>
      <x:c r="M909" s="12"/>
      <x:c r="N909" s="12"/>
      <x:c r="O909" s="12"/>
    </x:row>
    <x:row r="910" ht="39" customHeight="1">
      <x:c r="A910" s="12" t="str">
        <x:v>8744</x:v>
      </x:c>
      <x:c r="B910" s="12" t="str">
        <x:v>9642</x:v>
      </x:c>
      <x:c r="C910" s="12" t="str">
        <x:v>参考000</x:v>
      </x:c>
      <x:c r="D910" s="12" t="str">
        <x:v>自动000</x:v>
      </x:c>
      <x:c r="E910" s="12" t="n">
        <x:v>0</x:v>
      </x:c>
      <x:c r="F910" s="12" t="n">
        <x:v>1</x:v>
      </x:c>
      <x:c r="G910" s="12" t="n">
        <x:v>0</x:v>
      </x:c>
      <x:c r="H910" s="12" t="n">
        <x:f>IF(SUM(I910:K910)&gt;0,1,0)</x:f>
        <x:v>0</x:v>
      </x:c>
      <x:c r="I910" s="12" t="n">
        <x:f>IF('患者配对'!M999="positive",1,0)</x:f>
        <x:v>0</x:v>
      </x:c>
      <x:c r="J910" s="12" t="n">
        <x:f>IF('患者配对'!R999="positive",1,0)</x:f>
        <x:v>0</x:v>
      </x:c>
      <x:c r="K910" s="12" t="n">
        <x:f>IF('患者配对'!W999="positive",1,0)</x:f>
        <x:v>0</x:v>
      </x:c>
      <x:c r="L910" s="12" t="str">
        <x:v>由原件与原状态取得；仅主队列索引</x:v>
      </x:c>
      <x:c r="M910" s="12"/>
      <x:c r="N910" s="12"/>
      <x:c r="O910" s="12"/>
    </x:row>
    <x:row r="911" ht="39" customHeight="1">
      <x:c r="A911" s="12" t="str">
        <x:v>8765</x:v>
      </x:c>
      <x:c r="B911" s="12" t="str">
        <x:v>10163</x:v>
      </x:c>
      <x:c r="C911" s="12" t="str">
        <x:v>参考000</x:v>
      </x:c>
      <x:c r="D911" s="12" t="str">
        <x:v>自动000</x:v>
      </x:c>
      <x:c r="E911" s="12" t="n">
        <x:v>0</x:v>
      </x:c>
      <x:c r="F911" s="12" t="n">
        <x:v>0</x:v>
      </x:c>
      <x:c r="G911" s="12" t="n">
        <x:v>0</x:v>
      </x:c>
      <x:c r="H911" s="12" t="n">
        <x:f>IF(SUM(I911:K911)&gt;0,1,0)</x:f>
        <x:v>0</x:v>
      </x:c>
      <x:c r="I911" s="12" t="n">
        <x:f>IF('患者配对'!M1000="positive",1,0)</x:f>
        <x:v>0</x:v>
      </x:c>
      <x:c r="J911" s="12" t="n">
        <x:f>IF('患者配对'!R1000="positive",1,0)</x:f>
        <x:v>0</x:v>
      </x:c>
      <x:c r="K911" s="12" t="n">
        <x:f>IF('患者配对'!W1000="positive",1,0)</x:f>
        <x:v>0</x:v>
      </x:c>
      <x:c r="L911" s="12" t="str">
        <x:v>由原件与原状态取得；仅主队列索引</x:v>
      </x:c>
      <x:c r="M911" s="12"/>
      <x:c r="N911" s="12"/>
      <x:c r="O911" s="12"/>
    </x:row>
    <x:row r="912" ht="39" customHeight="1">
      <x:c r="A912" s="12" t="str">
        <x:v>8772</x:v>
      </x:c>
      <x:c r="B912" s="12" t="str">
        <x:v>5424</x:v>
      </x:c>
      <x:c r="C912" s="12" t="str">
        <x:v>参考100</x:v>
      </x:c>
      <x:c r="D912" s="12" t="str">
        <x:v>自动100</x:v>
      </x:c>
      <x:c r="E912" s="12" t="n">
        <x:v>1</x:v>
      </x:c>
      <x:c r="F912" s="12" t="n">
        <x:v>1</x:v>
      </x:c>
      <x:c r="G912" s="12" t="n">
        <x:v>0</x:v>
      </x:c>
      <x:c r="H912" s="12" t="n">
        <x:f>IF(SUM(I912:K912)&gt;0,1,0)</x:f>
        <x:v>1</x:v>
      </x:c>
      <x:c r="I912" s="12" t="n">
        <x:f>IF('患者配对'!M1001="positive",1,0)</x:f>
        <x:v>1</x:v>
      </x:c>
      <x:c r="J912" s="12" t="n">
        <x:f>IF('患者配对'!R1001="positive",1,0)</x:f>
        <x:v>0</x:v>
      </x:c>
      <x:c r="K912" s="12" t="n">
        <x:f>IF('患者配对'!W1001="positive",1,0)</x:f>
        <x:v>0</x:v>
      </x:c>
      <x:c r="L912" s="12" t="str">
        <x:v>由原件与原状态取得；仅主队列索引</x:v>
      </x:c>
      <x:c r="M912" s="12"/>
      <x:c r="N912" s="12"/>
      <x:c r="O912" s="12"/>
    </x:row>
    <x:row r="913" ht="39" customHeight="1">
      <x:c r="A913" s="12" t="str">
        <x:v>8774</x:v>
      </x:c>
      <x:c r="B913" s="12" t="str">
        <x:v>10725</x:v>
      </x:c>
      <x:c r="C913" s="12" t="str">
        <x:v>参考000</x:v>
      </x:c>
      <x:c r="D913" s="12" t="str">
        <x:v>自动000</x:v>
      </x:c>
      <x:c r="E913" s="12" t="n">
        <x:v>0</x:v>
      </x:c>
      <x:c r="F913" s="12" t="n">
        <x:v>0</x:v>
      </x:c>
      <x:c r="G913" s="12" t="n">
        <x:v>0</x:v>
      </x:c>
      <x:c r="H913" s="12" t="n">
        <x:f>IF(SUM(I913:K913)&gt;0,1,0)</x:f>
        <x:v>0</x:v>
      </x:c>
      <x:c r="I913" s="12" t="n">
        <x:f>IF('患者配对'!M1002="positive",1,0)</x:f>
        <x:v>0</x:v>
      </x:c>
      <x:c r="J913" s="12" t="n">
        <x:f>IF('患者配对'!R1002="positive",1,0)</x:f>
        <x:v>0</x:v>
      </x:c>
      <x:c r="K913" s="12" t="n">
        <x:f>IF('患者配对'!W1002="positive",1,0)</x:f>
        <x:v>0</x:v>
      </x:c>
      <x:c r="L913" s="12" t="str">
        <x:v>由原件与原状态取得；仅主队列索引</x:v>
      </x:c>
      <x:c r="M913" s="12"/>
      <x:c r="N913" s="12"/>
      <x:c r="O913" s="12"/>
    </x:row>
    <x:row r="914" ht="39" customHeight="1">
      <x:c r="A914" s="12" t="str">
        <x:v>8777</x:v>
      </x:c>
      <x:c r="B914" s="12" t="str">
        <x:v>1210</x:v>
      </x:c>
      <x:c r="C914" s="12" t="str">
        <x:v>参考000</x:v>
      </x:c>
      <x:c r="D914" s="12" t="str">
        <x:v>自动000</x:v>
      </x:c>
      <x:c r="E914" s="12" t="n">
        <x:v>0</x:v>
      </x:c>
      <x:c r="F914" s="12" t="n">
        <x:v>0</x:v>
      </x:c>
      <x:c r="G914" s="12" t="n">
        <x:v>0</x:v>
      </x:c>
      <x:c r="H914" s="12" t="n">
        <x:f>IF(SUM(I914:K914)&gt;0,1,0)</x:f>
        <x:v>0</x:v>
      </x:c>
      <x:c r="I914" s="12" t="n">
        <x:f>IF('患者配对'!M1003="positive",1,0)</x:f>
        <x:v>0</x:v>
      </x:c>
      <x:c r="J914" s="12" t="n">
        <x:f>IF('患者配对'!R1003="positive",1,0)</x:f>
        <x:v>0</x:v>
      </x:c>
      <x:c r="K914" s="12" t="n">
        <x:f>IF('患者配对'!W1003="positive",1,0)</x:f>
        <x:v>0</x:v>
      </x:c>
      <x:c r="L914" s="12" t="str">
        <x:v>由原件与原状态取得；仅主队列索引</x:v>
      </x:c>
      <x:c r="M914" s="12"/>
      <x:c r="N914" s="12"/>
      <x:c r="O914" s="12"/>
    </x:row>
    <x:row r="915" ht="39" customHeight="1">
      <x:c r="A915" s="12" t="str">
        <x:v>8778</x:v>
      </x:c>
      <x:c r="B915" s="12" t="str">
        <x:v>7431</x:v>
      </x:c>
      <x:c r="C915" s="12" t="str">
        <x:v>参考000</x:v>
      </x:c>
      <x:c r="D915" s="12" t="str">
        <x:v>自动000</x:v>
      </x:c>
      <x:c r="E915" s="12" t="n">
        <x:v>0</x:v>
      </x:c>
      <x:c r="F915" s="12" t="n">
        <x:v>0</x:v>
      </x:c>
      <x:c r="G915" s="12" t="n">
        <x:v>0</x:v>
      </x:c>
      <x:c r="H915" s="12" t="n">
        <x:f>IF(SUM(I915:K915)&gt;0,1,0)</x:f>
        <x:v>0</x:v>
      </x:c>
      <x:c r="I915" s="12" t="n">
        <x:f>IF('患者配对'!M1004="positive",1,0)</x:f>
        <x:v>0</x:v>
      </x:c>
      <x:c r="J915" s="12" t="n">
        <x:f>IF('患者配对'!R1004="positive",1,0)</x:f>
        <x:v>0</x:v>
      </x:c>
      <x:c r="K915" s="12" t="n">
        <x:f>IF('患者配对'!W1004="positive",1,0)</x:f>
        <x:v>0</x:v>
      </x:c>
      <x:c r="L915" s="12" t="str">
        <x:v>由原件与原状态取得；仅主队列索引</x:v>
      </x:c>
      <x:c r="M915" s="12"/>
      <x:c r="N915" s="12"/>
      <x:c r="O915" s="12"/>
    </x:row>
    <x:row r="916" ht="39" customHeight="1">
      <x:c r="A916" s="12" t="str">
        <x:v>8795</x:v>
      </x:c>
      <x:c r="B916" s="12" t="str">
        <x:v>18734</x:v>
      </x:c>
      <x:c r="C916" s="12" t="str">
        <x:v>参考000</x:v>
      </x:c>
      <x:c r="D916" s="12" t="str">
        <x:v>自动000</x:v>
      </x:c>
      <x:c r="E916" s="12" t="n">
        <x:v>0</x:v>
      </x:c>
      <x:c r="F916" s="12" t="n">
        <x:v>0</x:v>
      </x:c>
      <x:c r="G916" s="12" t="n">
        <x:v>0</x:v>
      </x:c>
      <x:c r="H916" s="12" t="n">
        <x:f>IF(SUM(I916:K916)&gt;0,1,0)</x:f>
        <x:v>0</x:v>
      </x:c>
      <x:c r="I916" s="12" t="n">
        <x:f>IF('患者配对'!M1005="positive",1,0)</x:f>
        <x:v>0</x:v>
      </x:c>
      <x:c r="J916" s="12" t="n">
        <x:f>IF('患者配对'!R1005="positive",1,0)</x:f>
        <x:v>0</x:v>
      </x:c>
      <x:c r="K916" s="12" t="n">
        <x:f>IF('患者配对'!W1005="positive",1,0)</x:f>
        <x:v>0</x:v>
      </x:c>
      <x:c r="L916" s="12" t="str">
        <x:v>由原件与原状态取得；仅主队列索引</x:v>
      </x:c>
      <x:c r="M916" s="12"/>
      <x:c r="N916" s="12"/>
      <x:c r="O916" s="12"/>
    </x:row>
    <x:row r="917" ht="39" customHeight="1">
      <x:c r="A917" s="12" t="str">
        <x:v>8813</x:v>
      </x:c>
      <x:c r="B917" s="12" t="str">
        <x:v>10802</x:v>
      </x:c>
      <x:c r="C917" s="12" t="str">
        <x:v>参考000</x:v>
      </x:c>
      <x:c r="D917" s="12" t="str">
        <x:v>自动000</x:v>
      </x:c>
      <x:c r="E917" s="12" t="n">
        <x:v>0</x:v>
      </x:c>
      <x:c r="F917" s="12" t="n">
        <x:v>0</x:v>
      </x:c>
      <x:c r="G917" s="12" t="n">
        <x:v>0</x:v>
      </x:c>
      <x:c r="H917" s="12" t="n">
        <x:f>IF(SUM(I917:K917)&gt;0,1,0)</x:f>
        <x:v>0</x:v>
      </x:c>
      <x:c r="I917" s="12" t="n">
        <x:f>IF('患者配对'!M1007="positive",1,0)</x:f>
        <x:v>0</x:v>
      </x:c>
      <x:c r="J917" s="12" t="n">
        <x:f>IF('患者配对'!R1007="positive",1,0)</x:f>
        <x:v>0</x:v>
      </x:c>
      <x:c r="K917" s="12" t="n">
        <x:f>IF('患者配对'!W1007="positive",1,0)</x:f>
        <x:v>0</x:v>
      </x:c>
      <x:c r="L917" s="12" t="str">
        <x:v>由原件与原状态取得；仅主队列索引</x:v>
      </x:c>
      <x:c r="M917" s="12"/>
      <x:c r="N917" s="12"/>
      <x:c r="O917" s="12"/>
    </x:row>
    <x:row r="918" ht="39" customHeight="1">
      <x:c r="A918" s="12" t="str">
        <x:v>8815</x:v>
      </x:c>
      <x:c r="B918" s="12" t="str">
        <x:v>21621</x:v>
      </x:c>
      <x:c r="C918" s="12" t="str">
        <x:v>参考000</x:v>
      </x:c>
      <x:c r="D918" s="12" t="str">
        <x:v>自动000</x:v>
      </x:c>
      <x:c r="E918" s="12" t="n">
        <x:v>0</x:v>
      </x:c>
      <x:c r="F918" s="12" t="n">
        <x:v>0</x:v>
      </x:c>
      <x:c r="G918" s="12" t="n">
        <x:v>0</x:v>
      </x:c>
      <x:c r="H918" s="12" t="n">
        <x:f>IF(SUM(I918:K918)&gt;0,1,0)</x:f>
        <x:v>0</x:v>
      </x:c>
      <x:c r="I918" s="12" t="n">
        <x:f>IF('患者配对'!M1008="positive",1,0)</x:f>
        <x:v>0</x:v>
      </x:c>
      <x:c r="J918" s="12" t="n">
        <x:f>IF('患者配对'!R1008="positive",1,0)</x:f>
        <x:v>0</x:v>
      </x:c>
      <x:c r="K918" s="12" t="n">
        <x:f>IF('患者配对'!W1008="positive",1,0)</x:f>
        <x:v>0</x:v>
      </x:c>
      <x:c r="L918" s="12" t="str">
        <x:v>由原件与原状态取得；仅主队列索引</x:v>
      </x:c>
      <x:c r="M918" s="12"/>
      <x:c r="N918" s="12"/>
      <x:c r="O918" s="12"/>
    </x:row>
    <x:row r="919" ht="39" customHeight="1">
      <x:c r="A919" s="12" t="str">
        <x:v>8833</x:v>
      </x:c>
      <x:c r="B919" s="12" t="str">
        <x:v>8660</x:v>
      </x:c>
      <x:c r="C919" s="12" t="str">
        <x:v>参考000</x:v>
      </x:c>
      <x:c r="D919" s="12" t="str">
        <x:v>自动000</x:v>
      </x:c>
      <x:c r="E919" s="12" t="n">
        <x:v>0</x:v>
      </x:c>
      <x:c r="F919" s="12" t="n">
        <x:v>0</x:v>
      </x:c>
      <x:c r="G919" s="12" t="n">
        <x:v>0</x:v>
      </x:c>
      <x:c r="H919" s="12" t="n">
        <x:f>IF(SUM(I919:K919)&gt;0,1,0)</x:f>
        <x:v>0</x:v>
      </x:c>
      <x:c r="I919" s="12" t="n">
        <x:f>IF('患者配对'!M1009="positive",1,0)</x:f>
        <x:v>0</x:v>
      </x:c>
      <x:c r="J919" s="12" t="n">
        <x:f>IF('患者配对'!R1009="positive",1,0)</x:f>
        <x:v>0</x:v>
      </x:c>
      <x:c r="K919" s="12" t="n">
        <x:f>IF('患者配对'!W1009="positive",1,0)</x:f>
        <x:v>0</x:v>
      </x:c>
      <x:c r="L919" s="12" t="str">
        <x:v>由原件与原状态取得；仅主队列索引</x:v>
      </x:c>
      <x:c r="M919" s="12"/>
      <x:c r="N919" s="12"/>
      <x:c r="O919" s="12"/>
    </x:row>
    <x:row r="920" ht="39" customHeight="1">
      <x:c r="A920" s="12" t="str">
        <x:v>8834</x:v>
      </x:c>
      <x:c r="B920" s="12" t="str">
        <x:v>21657</x:v>
      </x:c>
      <x:c r="C920" s="12" t="str">
        <x:v>参考000</x:v>
      </x:c>
      <x:c r="D920" s="12" t="str">
        <x:v>自动000</x:v>
      </x:c>
      <x:c r="E920" s="12" t="n">
        <x:v>0</x:v>
      </x:c>
      <x:c r="F920" s="12" t="n">
        <x:v>0</x:v>
      </x:c>
      <x:c r="G920" s="12" t="n">
        <x:v>0</x:v>
      </x:c>
      <x:c r="H920" s="12" t="n">
        <x:f>IF(SUM(I920:K920)&gt;0,1,0)</x:f>
        <x:v>0</x:v>
      </x:c>
      <x:c r="I920" s="12" t="n">
        <x:f>IF('患者配对'!M1010="positive",1,0)</x:f>
        <x:v>0</x:v>
      </x:c>
      <x:c r="J920" s="12" t="n">
        <x:f>IF('患者配对'!R1010="positive",1,0)</x:f>
        <x:v>0</x:v>
      </x:c>
      <x:c r="K920" s="12" t="n">
        <x:f>IF('患者配对'!W1010="positive",1,0)</x:f>
        <x:v>0</x:v>
      </x:c>
      <x:c r="L920" s="12" t="str">
        <x:v>由原件与原状态取得；仅主队列索引</x:v>
      </x:c>
      <x:c r="M920" s="12"/>
      <x:c r="N920" s="12"/>
      <x:c r="O920" s="12"/>
    </x:row>
    <x:row r="921" ht="39" customHeight="1">
      <x:c r="A921" s="12" t="str">
        <x:v>8844</x:v>
      </x:c>
      <x:c r="B921" s="12" t="str">
        <x:v>13108</x:v>
      </x:c>
      <x:c r="C921" s="12" t="str">
        <x:v>参考000</x:v>
      </x:c>
      <x:c r="D921" s="12" t="str">
        <x:v>自动000</x:v>
      </x:c>
      <x:c r="E921" s="12" t="n">
        <x:v>0</x:v>
      </x:c>
      <x:c r="F921" s="12" t="n">
        <x:v>0</x:v>
      </x:c>
      <x:c r="G921" s="12" t="n">
        <x:v>0</x:v>
      </x:c>
      <x:c r="H921" s="12" t="n">
        <x:f>IF(SUM(I921:K921)&gt;0,1,0)</x:f>
        <x:v>0</x:v>
      </x:c>
      <x:c r="I921" s="12" t="n">
        <x:f>IF('患者配对'!M1011="positive",1,0)</x:f>
        <x:v>0</x:v>
      </x:c>
      <x:c r="J921" s="12" t="n">
        <x:f>IF('患者配对'!R1011="positive",1,0)</x:f>
        <x:v>0</x:v>
      </x:c>
      <x:c r="K921" s="12" t="n">
        <x:f>IF('患者配对'!W1011="positive",1,0)</x:f>
        <x:v>0</x:v>
      </x:c>
      <x:c r="L921" s="12" t="str">
        <x:v>由原件与原状态取得；仅主队列索引</x:v>
      </x:c>
      <x:c r="M921" s="12"/>
      <x:c r="N921" s="12"/>
      <x:c r="O921" s="12"/>
    </x:row>
    <x:row r="922" ht="39" customHeight="1">
      <x:c r="A922" s="12" t="str">
        <x:v>8853</x:v>
      </x:c>
      <x:c r="B922" s="12" t="str">
        <x:v>18709</x:v>
      </x:c>
      <x:c r="C922" s="12" t="str">
        <x:v>参考000</x:v>
      </x:c>
      <x:c r="D922" s="12" t="str">
        <x:v>自动000</x:v>
      </x:c>
      <x:c r="E922" s="12" t="n">
        <x:v>0</x:v>
      </x:c>
      <x:c r="F922" s="12" t="n">
        <x:v>0</x:v>
      </x:c>
      <x:c r="G922" s="12" t="n">
        <x:v>0</x:v>
      </x:c>
      <x:c r="H922" s="12" t="n">
        <x:f>IF(SUM(I922:K922)&gt;0,1,0)</x:f>
        <x:v>0</x:v>
      </x:c>
      <x:c r="I922" s="12" t="n">
        <x:f>IF('患者配对'!M1012="positive",1,0)</x:f>
        <x:v>0</x:v>
      </x:c>
      <x:c r="J922" s="12" t="n">
        <x:f>IF('患者配对'!R1012="positive",1,0)</x:f>
        <x:v>0</x:v>
      </x:c>
      <x:c r="K922" s="12" t="n">
        <x:f>IF('患者配对'!W1012="positive",1,0)</x:f>
        <x:v>0</x:v>
      </x:c>
      <x:c r="L922" s="12" t="str">
        <x:v>由原件与原状态取得；仅主队列索引</x:v>
      </x:c>
      <x:c r="M922" s="12"/>
      <x:c r="N922" s="12"/>
      <x:c r="O922" s="12"/>
    </x:row>
    <x:row r="923" ht="39" customHeight="1">
      <x:c r="A923" s="12" t="str">
        <x:v>8860</x:v>
      </x:c>
      <x:c r="B923" s="12" t="str">
        <x:v>13085</x:v>
      </x:c>
      <x:c r="C923" s="12" t="str">
        <x:v>参考000</x:v>
      </x:c>
      <x:c r="D923" s="12" t="str">
        <x:v>自动010</x:v>
      </x:c>
      <x:c r="E923" s="12" t="n">
        <x:v>1</x:v>
      </x:c>
      <x:c r="F923" s="12" t="n">
        <x:v>1</x:v>
      </x:c>
      <x:c r="G923" s="12" t="n">
        <x:v>1</x:v>
      </x:c>
      <x:c r="H923" s="12" t="n">
        <x:f>IF(SUM(I923:K923)&gt;0,1,0)</x:f>
        <x:v>0</x:v>
      </x:c>
      <x:c r="I923" s="12" t="n">
        <x:f>IF('患者配对'!M1013="positive",1,0)</x:f>
        <x:v>0</x:v>
      </x:c>
      <x:c r="J923" s="12" t="n">
        <x:f>IF('患者配对'!R1013="positive",1,0)</x:f>
        <x:v>0</x:v>
      </x:c>
      <x:c r="K923" s="12" t="n">
        <x:f>IF('患者配对'!W1013="positive",1,0)</x:f>
        <x:v>0</x:v>
      </x:c>
      <x:c r="L923" s="12" t="str">
        <x:v>由原件与原状态取得；仅主队列索引</x:v>
      </x:c>
      <x:c r="M923" s="12"/>
      <x:c r="N923" s="12"/>
      <x:c r="O923" s="12"/>
    </x:row>
    <x:row r="924" ht="39" customHeight="1">
      <x:c r="A924" s="12" t="str">
        <x:v>8864</x:v>
      </x:c>
      <x:c r="B924" s="12" t="str">
        <x:v>16116</x:v>
      </x:c>
      <x:c r="C924" s="12" t="str">
        <x:v>参考000</x:v>
      </x:c>
      <x:c r="D924" s="12" t="str">
        <x:v>自动000</x:v>
      </x:c>
      <x:c r="E924" s="12" t="n">
        <x:v>0</x:v>
      </x:c>
      <x:c r="F924" s="12" t="n">
        <x:v>1</x:v>
      </x:c>
      <x:c r="G924" s="12" t="n">
        <x:v>0</x:v>
      </x:c>
      <x:c r="H924" s="12" t="n">
        <x:f>IF(SUM(I924:K924)&gt;0,1,0)</x:f>
        <x:v>0</x:v>
      </x:c>
      <x:c r="I924" s="12" t="n">
        <x:f>IF('患者配对'!M1014="positive",1,0)</x:f>
        <x:v>0</x:v>
      </x:c>
      <x:c r="J924" s="12" t="n">
        <x:f>IF('患者配对'!R1014="positive",1,0)</x:f>
        <x:v>0</x:v>
      </x:c>
      <x:c r="K924" s="12" t="n">
        <x:f>IF('患者配对'!W1014="positive",1,0)</x:f>
        <x:v>0</x:v>
      </x:c>
      <x:c r="L924" s="12" t="str">
        <x:v>由原件与原状态取得；仅主队列索引</x:v>
      </x:c>
      <x:c r="M924" s="12"/>
      <x:c r="N924" s="12"/>
      <x:c r="O924" s="12"/>
    </x:row>
    <x:row r="925" ht="39" customHeight="1">
      <x:c r="A925" s="12" t="str">
        <x:v>8872</x:v>
      </x:c>
      <x:c r="B925" s="12" t="str">
        <x:v>9764</x:v>
      </x:c>
      <x:c r="C925" s="12" t="str">
        <x:v>参考000</x:v>
      </x:c>
      <x:c r="D925" s="12" t="str">
        <x:v>自动000</x:v>
      </x:c>
      <x:c r="E925" s="12" t="n">
        <x:v>0</x:v>
      </x:c>
      <x:c r="F925" s="12" t="n">
        <x:v>0</x:v>
      </x:c>
      <x:c r="G925" s="12" t="n">
        <x:v>0</x:v>
      </x:c>
      <x:c r="H925" s="12" t="n">
        <x:f>IF(SUM(I925:K925)&gt;0,1,0)</x:f>
        <x:v>0</x:v>
      </x:c>
      <x:c r="I925" s="12" t="n">
        <x:f>IF('患者配对'!M1015="positive",1,0)</x:f>
        <x:v>0</x:v>
      </x:c>
      <x:c r="J925" s="12" t="n">
        <x:f>IF('患者配对'!R1015="positive",1,0)</x:f>
        <x:v>0</x:v>
      </x:c>
      <x:c r="K925" s="12" t="n">
        <x:f>IF('患者配对'!W1015="positive",1,0)</x:f>
        <x:v>0</x:v>
      </x:c>
      <x:c r="L925" s="12" t="str">
        <x:v>由原件与原状态取得；仅主队列索引</x:v>
      </x:c>
      <x:c r="M925" s="12"/>
      <x:c r="N925" s="12"/>
      <x:c r="O925" s="12"/>
    </x:row>
    <x:row r="926" ht="39" customHeight="1">
      <x:c r="A926" s="12" t="str">
        <x:v>8873</x:v>
      </x:c>
      <x:c r="B926" s="12" t="str">
        <x:v>7291</x:v>
      </x:c>
      <x:c r="C926" s="12" t="str">
        <x:v>参考000</x:v>
      </x:c>
      <x:c r="D926" s="12" t="str">
        <x:v>自动000</x:v>
      </x:c>
      <x:c r="E926" s="12" t="n">
        <x:v>0</x:v>
      </x:c>
      <x:c r="F926" s="12" t="n">
        <x:v>0</x:v>
      </x:c>
      <x:c r="G926" s="12" t="n">
        <x:v>0</x:v>
      </x:c>
      <x:c r="H926" s="12" t="n">
        <x:f>IF(SUM(I926:K926)&gt;0,1,0)</x:f>
        <x:v>0</x:v>
      </x:c>
      <x:c r="I926" s="12" t="n">
        <x:f>IF('患者配对'!M1016="positive",1,0)</x:f>
        <x:v>0</x:v>
      </x:c>
      <x:c r="J926" s="12" t="n">
        <x:f>IF('患者配对'!R1016="positive",1,0)</x:f>
        <x:v>0</x:v>
      </x:c>
      <x:c r="K926" s="12" t="n">
        <x:f>IF('患者配对'!W1016="positive",1,0)</x:f>
        <x:v>0</x:v>
      </x:c>
      <x:c r="L926" s="12" t="str">
        <x:v>由原件与原状态取得；仅主队列索引</x:v>
      </x:c>
      <x:c r="M926" s="12"/>
      <x:c r="N926" s="12"/>
      <x:c r="O926" s="12"/>
    </x:row>
    <x:row r="927" ht="39" customHeight="1">
      <x:c r="A927" s="12" t="str">
        <x:v>8880</x:v>
      </x:c>
      <x:c r="B927" s="12" t="str">
        <x:v>7595</x:v>
      </x:c>
      <x:c r="C927" s="12" t="str">
        <x:v>参考000</x:v>
      </x:c>
      <x:c r="D927" s="12" t="str">
        <x:v>自动000</x:v>
      </x:c>
      <x:c r="E927" s="12" t="n">
        <x:v>0</x:v>
      </x:c>
      <x:c r="F927" s="12" t="n">
        <x:v>0</x:v>
      </x:c>
      <x:c r="G927" s="12" t="n">
        <x:v>0</x:v>
      </x:c>
      <x:c r="H927" s="12" t="n">
        <x:f>IF(SUM(I927:K927)&gt;0,1,0)</x:f>
        <x:v>0</x:v>
      </x:c>
      <x:c r="I927" s="12" t="n">
        <x:f>IF('患者配对'!M1017="positive",1,0)</x:f>
        <x:v>0</x:v>
      </x:c>
      <x:c r="J927" s="12" t="n">
        <x:f>IF('患者配对'!R1017="positive",1,0)</x:f>
        <x:v>0</x:v>
      </x:c>
      <x:c r="K927" s="12" t="n">
        <x:f>IF('患者配对'!W1017="positive",1,0)</x:f>
        <x:v>0</x:v>
      </x:c>
      <x:c r="L927" s="12" t="str">
        <x:v>由原件与原状态取得；仅主队列索引</x:v>
      </x:c>
      <x:c r="M927" s="12"/>
      <x:c r="N927" s="12"/>
      <x:c r="O927" s="12"/>
    </x:row>
    <x:row r="928" ht="39" customHeight="1">
      <x:c r="A928" s="12" t="str">
        <x:v>8902</x:v>
      </x:c>
      <x:c r="B928" s="12" t="str">
        <x:v>8605</x:v>
      </x:c>
      <x:c r="C928" s="12" t="str">
        <x:v>参考000</x:v>
      </x:c>
      <x:c r="D928" s="12" t="str">
        <x:v>自动000</x:v>
      </x:c>
      <x:c r="E928" s="12" t="n">
        <x:v>0</x:v>
      </x:c>
      <x:c r="F928" s="12" t="n">
        <x:v>0</x:v>
      </x:c>
      <x:c r="G928" s="12" t="n">
        <x:v>0</x:v>
      </x:c>
      <x:c r="H928" s="12" t="n">
        <x:f>IF(SUM(I928:K928)&gt;0,1,0)</x:f>
        <x:v>0</x:v>
      </x:c>
      <x:c r="I928" s="12" t="n">
        <x:f>IF('患者配对'!M1018="positive",1,0)</x:f>
        <x:v>0</x:v>
      </x:c>
      <x:c r="J928" s="12" t="n">
        <x:f>IF('患者配对'!R1018="positive",1,0)</x:f>
        <x:v>0</x:v>
      </x:c>
      <x:c r="K928" s="12" t="n">
        <x:f>IF('患者配对'!W1018="positive",1,0)</x:f>
        <x:v>0</x:v>
      </x:c>
      <x:c r="L928" s="12" t="str">
        <x:v>由原件与原状态取得；仅主队列索引</x:v>
      </x:c>
      <x:c r="M928" s="12"/>
      <x:c r="N928" s="12"/>
      <x:c r="O928" s="12"/>
    </x:row>
    <x:row r="929" ht="39" customHeight="1">
      <x:c r="A929" s="12" t="str">
        <x:v>8916</x:v>
      </x:c>
      <x:c r="B929" s="12" t="str">
        <x:v>1670</x:v>
      </x:c>
      <x:c r="C929" s="12" t="str">
        <x:v>参考000</x:v>
      </x:c>
      <x:c r="D929" s="12" t="str">
        <x:v>自动000</x:v>
      </x:c>
      <x:c r="E929" s="12" t="n">
        <x:v>0</x:v>
      </x:c>
      <x:c r="F929" s="12" t="n">
        <x:v>0</x:v>
      </x:c>
      <x:c r="G929" s="12" t="n">
        <x:v>0</x:v>
      </x:c>
      <x:c r="H929" s="12" t="n">
        <x:f>IF(SUM(I929:K929)&gt;0,1,0)</x:f>
        <x:v>0</x:v>
      </x:c>
      <x:c r="I929" s="12" t="n">
        <x:f>IF('患者配对'!M1019="positive",1,0)</x:f>
        <x:v>0</x:v>
      </x:c>
      <x:c r="J929" s="12" t="n">
        <x:f>IF('患者配对'!R1019="positive",1,0)</x:f>
        <x:v>0</x:v>
      </x:c>
      <x:c r="K929" s="12" t="n">
        <x:f>IF('患者配对'!W1019="positive",1,0)</x:f>
        <x:v>0</x:v>
      </x:c>
      <x:c r="L929" s="12" t="str">
        <x:v>由原件与原状态取得；仅主队列索引</x:v>
      </x:c>
      <x:c r="M929" s="12"/>
      <x:c r="N929" s="12"/>
      <x:c r="O929" s="12"/>
    </x:row>
    <x:row r="930" ht="39" customHeight="1">
      <x:c r="A930" s="12" t="str">
        <x:v>8922</x:v>
      </x:c>
      <x:c r="B930" s="12" t="str">
        <x:v>6953</x:v>
      </x:c>
      <x:c r="C930" s="12" t="str">
        <x:v>参考000</x:v>
      </x:c>
      <x:c r="D930" s="12" t="str">
        <x:v>自动000</x:v>
      </x:c>
      <x:c r="E930" s="12" t="n">
        <x:v>0</x:v>
      </x:c>
      <x:c r="F930" s="12" t="n">
        <x:v>0</x:v>
      </x:c>
      <x:c r="G930" s="12" t="n">
        <x:v>0</x:v>
      </x:c>
      <x:c r="H930" s="12" t="n">
        <x:f>IF(SUM(I930:K930)&gt;0,1,0)</x:f>
        <x:v>0</x:v>
      </x:c>
      <x:c r="I930" s="12" t="n">
        <x:f>IF('患者配对'!M1020="positive",1,0)</x:f>
        <x:v>0</x:v>
      </x:c>
      <x:c r="J930" s="12" t="n">
        <x:f>IF('患者配对'!R1020="positive",1,0)</x:f>
        <x:v>0</x:v>
      </x:c>
      <x:c r="K930" s="12" t="n">
        <x:f>IF('患者配对'!W1020="positive",1,0)</x:f>
        <x:v>0</x:v>
      </x:c>
      <x:c r="L930" s="12" t="str">
        <x:v>由原件与原状态取得；仅主队列索引</x:v>
      </x:c>
      <x:c r="M930" s="12"/>
      <x:c r="N930" s="12"/>
      <x:c r="O930" s="12"/>
    </x:row>
    <x:row r="931" ht="39" customHeight="1">
      <x:c r="A931" s="12" t="str">
        <x:v>8963</x:v>
      </x:c>
      <x:c r="B931" s="12" t="str">
        <x:v>8186</x:v>
      </x:c>
      <x:c r="C931" s="12" t="str">
        <x:v>参考000</x:v>
      </x:c>
      <x:c r="D931" s="12" t="str">
        <x:v>自动000</x:v>
      </x:c>
      <x:c r="E931" s="12" t="n">
        <x:v>0</x:v>
      </x:c>
      <x:c r="F931" s="12" t="n">
        <x:v>0</x:v>
      </x:c>
      <x:c r="G931" s="12" t="n">
        <x:v>0</x:v>
      </x:c>
      <x:c r="H931" s="12" t="n">
        <x:f>IF(SUM(I931:K931)&gt;0,1,0)</x:f>
        <x:v>0</x:v>
      </x:c>
      <x:c r="I931" s="12" t="n">
        <x:f>IF('患者配对'!M1021="positive",1,0)</x:f>
        <x:v>0</x:v>
      </x:c>
      <x:c r="J931" s="12" t="n">
        <x:f>IF('患者配对'!R1021="positive",1,0)</x:f>
        <x:v>0</x:v>
      </x:c>
      <x:c r="K931" s="12" t="n">
        <x:f>IF('患者配对'!W1021="positive",1,0)</x:f>
        <x:v>0</x:v>
      </x:c>
      <x:c r="L931" s="12" t="str">
        <x:v>由原件与原状态取得；仅主队列索引</x:v>
      </x:c>
      <x:c r="M931" s="12"/>
      <x:c r="N931" s="12"/>
      <x:c r="O931" s="12"/>
    </x:row>
    <x:row r="932" ht="39" customHeight="1">
      <x:c r="A932" s="12" t="str">
        <x:v>8981</x:v>
      </x:c>
      <x:c r="B932" s="12" t="str">
        <x:v>10361</x:v>
      </x:c>
      <x:c r="C932" s="12" t="str">
        <x:v>参考000</x:v>
      </x:c>
      <x:c r="D932" s="12" t="str">
        <x:v>自动000</x:v>
      </x:c>
      <x:c r="E932" s="12" t="n">
        <x:v>0</x:v>
      </x:c>
      <x:c r="F932" s="12" t="n">
        <x:v>0</x:v>
      </x:c>
      <x:c r="G932" s="12" t="n">
        <x:v>0</x:v>
      </x:c>
      <x:c r="H932" s="12" t="n">
        <x:f>IF(SUM(I932:K932)&gt;0,1,0)</x:f>
        <x:v>0</x:v>
      </x:c>
      <x:c r="I932" s="12" t="n">
        <x:f>IF('患者配对'!M1022="positive",1,0)</x:f>
        <x:v>0</x:v>
      </x:c>
      <x:c r="J932" s="12" t="n">
        <x:f>IF('患者配对'!R1022="positive",1,0)</x:f>
        <x:v>0</x:v>
      </x:c>
      <x:c r="K932" s="12" t="n">
        <x:f>IF('患者配对'!W1022="positive",1,0)</x:f>
        <x:v>0</x:v>
      </x:c>
      <x:c r="L932" s="12" t="str">
        <x:v>由原件与原状态取得；仅主队列索引</x:v>
      </x:c>
      <x:c r="M932" s="12"/>
      <x:c r="N932" s="12"/>
      <x:c r="O932" s="12"/>
    </x:row>
    <x:row r="933" ht="39" customHeight="1">
      <x:c r="A933" s="12" t="str">
        <x:v>9002</x:v>
      </x:c>
      <x:c r="B933" s="12" t="str">
        <x:v>4491</x:v>
      </x:c>
      <x:c r="C933" s="12" t="str">
        <x:v>参考000</x:v>
      </x:c>
      <x:c r="D933" s="12" t="str">
        <x:v>自动000</x:v>
      </x:c>
      <x:c r="E933" s="12" t="n">
        <x:v>0</x:v>
      </x:c>
      <x:c r="F933" s="12" t="n">
        <x:v>0</x:v>
      </x:c>
      <x:c r="G933" s="12" t="n">
        <x:v>0</x:v>
      </x:c>
      <x:c r="H933" s="12" t="n">
        <x:f>IF(SUM(I933:K933)&gt;0,1,0)</x:f>
        <x:v>0</x:v>
      </x:c>
      <x:c r="I933" s="12" t="n">
        <x:f>IF('患者配对'!M1023="positive",1,0)</x:f>
        <x:v>0</x:v>
      </x:c>
      <x:c r="J933" s="12" t="n">
        <x:f>IF('患者配对'!R1023="positive",1,0)</x:f>
        <x:v>0</x:v>
      </x:c>
      <x:c r="K933" s="12" t="n">
        <x:f>IF('患者配对'!W1023="positive",1,0)</x:f>
        <x:v>0</x:v>
      </x:c>
      <x:c r="L933" s="12" t="str">
        <x:v>由原件与原状态取得；仅主队列索引</x:v>
      </x:c>
      <x:c r="M933" s="12"/>
      <x:c r="N933" s="12"/>
      <x:c r="O933" s="12"/>
    </x:row>
    <x:row r="934" ht="39" customHeight="1">
      <x:c r="A934" s="12" t="str">
        <x:v>9010</x:v>
      </x:c>
      <x:c r="B934" s="12" t="str">
        <x:v>8001</x:v>
      </x:c>
      <x:c r="C934" s="12" t="str">
        <x:v>参考000</x:v>
      </x:c>
      <x:c r="D934" s="12" t="str">
        <x:v>自动000</x:v>
      </x:c>
      <x:c r="E934" s="12" t="n">
        <x:v>0</x:v>
      </x:c>
      <x:c r="F934" s="12" t="n">
        <x:v>0</x:v>
      </x:c>
      <x:c r="G934" s="12" t="n">
        <x:v>0</x:v>
      </x:c>
      <x:c r="H934" s="12" t="n">
        <x:f>IF(SUM(I934:K934)&gt;0,1,0)</x:f>
        <x:v>0</x:v>
      </x:c>
      <x:c r="I934" s="12" t="n">
        <x:f>IF('患者配对'!M1024="positive",1,0)</x:f>
        <x:v>0</x:v>
      </x:c>
      <x:c r="J934" s="12" t="n">
        <x:f>IF('患者配对'!R1024="positive",1,0)</x:f>
        <x:v>0</x:v>
      </x:c>
      <x:c r="K934" s="12" t="n">
        <x:f>IF('患者配对'!W1024="positive",1,0)</x:f>
        <x:v>0</x:v>
      </x:c>
      <x:c r="L934" s="12" t="str">
        <x:v>由原件与原状态取得；仅主队列索引</x:v>
      </x:c>
      <x:c r="M934" s="12"/>
      <x:c r="N934" s="12"/>
      <x:c r="O934" s="12"/>
    </x:row>
    <x:row r="935" ht="39" customHeight="1">
      <x:c r="A935" s="12" t="str">
        <x:v>9024</x:v>
      </x:c>
      <x:c r="B935" s="12" t="str">
        <x:v>3307</x:v>
      </x:c>
      <x:c r="C935" s="12" t="str">
        <x:v>参考000</x:v>
      </x:c>
      <x:c r="D935" s="12" t="str">
        <x:v>自动000</x:v>
      </x:c>
      <x:c r="E935" s="12" t="n">
        <x:v>0</x:v>
      </x:c>
      <x:c r="F935" s="12" t="n">
        <x:v>0</x:v>
      </x:c>
      <x:c r="G935" s="12" t="n">
        <x:v>0</x:v>
      </x:c>
      <x:c r="H935" s="12" t="n">
        <x:f>IF(SUM(I935:K935)&gt;0,1,0)</x:f>
        <x:v>0</x:v>
      </x:c>
      <x:c r="I935" s="12" t="n">
        <x:f>IF('患者配对'!M1026="positive",1,0)</x:f>
        <x:v>0</x:v>
      </x:c>
      <x:c r="J935" s="12" t="n">
        <x:f>IF('患者配对'!R1026="positive",1,0)</x:f>
        <x:v>0</x:v>
      </x:c>
      <x:c r="K935" s="12" t="n">
        <x:f>IF('患者配对'!W1026="positive",1,0)</x:f>
        <x:v>0</x:v>
      </x:c>
      <x:c r="L935" s="12" t="str">
        <x:v>由原件与原状态取得；仅主队列索引</x:v>
      </x:c>
      <x:c r="M935" s="12"/>
      <x:c r="N935" s="12"/>
      <x:c r="O935" s="12"/>
    </x:row>
    <x:row r="936" ht="39" customHeight="1">
      <x:c r="A936" s="12" t="str">
        <x:v>9056</x:v>
      </x:c>
      <x:c r="B936" s="12" t="str">
        <x:v>17620</x:v>
      </x:c>
      <x:c r="C936" s="12" t="str">
        <x:v>参考000</x:v>
      </x:c>
      <x:c r="D936" s="12" t="str">
        <x:v>自动000</x:v>
      </x:c>
      <x:c r="E936" s="12" t="n">
        <x:v>0</x:v>
      </x:c>
      <x:c r="F936" s="12" t="n">
        <x:v>0</x:v>
      </x:c>
      <x:c r="G936" s="12" t="n">
        <x:v>0</x:v>
      </x:c>
      <x:c r="H936" s="12" t="n">
        <x:f>IF(SUM(I936:K936)&gt;0,1,0)</x:f>
        <x:v>0</x:v>
      </x:c>
      <x:c r="I936" s="12" t="n">
        <x:f>IF('患者配对'!M1028="positive",1,0)</x:f>
        <x:v>0</x:v>
      </x:c>
      <x:c r="J936" s="12" t="n">
        <x:f>IF('患者配对'!R1028="positive",1,0)</x:f>
        <x:v>0</x:v>
      </x:c>
      <x:c r="K936" s="12" t="n">
        <x:f>IF('患者配对'!W1028="positive",1,0)</x:f>
        <x:v>0</x:v>
      </x:c>
      <x:c r="L936" s="12" t="str">
        <x:v>由原件与原状态取得；仅主队列索引</x:v>
      </x:c>
      <x:c r="M936" s="12"/>
      <x:c r="N936" s="12"/>
      <x:c r="O936" s="12"/>
    </x:row>
    <x:row r="937" ht="39" customHeight="1">
      <x:c r="A937" s="12" t="str">
        <x:v>9063</x:v>
      </x:c>
      <x:c r="B937" s="12" t="str">
        <x:v>19578</x:v>
      </x:c>
      <x:c r="C937" s="12" t="str">
        <x:v>参考000</x:v>
      </x:c>
      <x:c r="D937" s="12" t="str">
        <x:v>自动000</x:v>
      </x:c>
      <x:c r="E937" s="12" t="n">
        <x:v>0</x:v>
      </x:c>
      <x:c r="F937" s="12" t="n">
        <x:v>0</x:v>
      </x:c>
      <x:c r="G937" s="12" t="n">
        <x:v>0</x:v>
      </x:c>
      <x:c r="H937" s="12" t="n">
        <x:f>IF(SUM(I937:K937)&gt;0,1,0)</x:f>
        <x:v>0</x:v>
      </x:c>
      <x:c r="I937" s="12" t="n">
        <x:f>IF('患者配对'!M1029="positive",1,0)</x:f>
        <x:v>0</x:v>
      </x:c>
      <x:c r="J937" s="12" t="n">
        <x:f>IF('患者配对'!R1029="positive",1,0)</x:f>
        <x:v>0</x:v>
      </x:c>
      <x:c r="K937" s="12" t="n">
        <x:f>IF('患者配对'!W1029="positive",1,0)</x:f>
        <x:v>0</x:v>
      </x:c>
      <x:c r="L937" s="12" t="str">
        <x:v>由原件与原状态取得；仅主队列索引</x:v>
      </x:c>
      <x:c r="M937" s="12"/>
      <x:c r="N937" s="12"/>
      <x:c r="O937" s="12"/>
    </x:row>
    <x:row r="938" ht="39" customHeight="1">
      <x:c r="A938" s="12" t="str">
        <x:v>9094</x:v>
      </x:c>
      <x:c r="B938" s="12" t="str">
        <x:v>10331</x:v>
      </x:c>
      <x:c r="C938" s="12" t="str">
        <x:v>参考000</x:v>
      </x:c>
      <x:c r="D938" s="12" t="str">
        <x:v>自动000</x:v>
      </x:c>
      <x:c r="E938" s="12" t="n">
        <x:v>0</x:v>
      </x:c>
      <x:c r="F938" s="12" t="n">
        <x:v>1</x:v>
      </x:c>
      <x:c r="G938" s="12" t="n">
        <x:v>0</x:v>
      </x:c>
      <x:c r="H938" s="12" t="n">
        <x:f>IF(SUM(I938:K938)&gt;0,1,0)</x:f>
        <x:v>0</x:v>
      </x:c>
      <x:c r="I938" s="12" t="n">
        <x:f>IF('患者配对'!M1030="positive",1,0)</x:f>
        <x:v>0</x:v>
      </x:c>
      <x:c r="J938" s="12" t="n">
        <x:f>IF('患者配对'!R1030="positive",1,0)</x:f>
        <x:v>0</x:v>
      </x:c>
      <x:c r="K938" s="12" t="n">
        <x:f>IF('患者配对'!W1030="positive",1,0)</x:f>
        <x:v>0</x:v>
      </x:c>
      <x:c r="L938" s="12" t="str">
        <x:v>由原件与原状态取得；仅主队列索引</x:v>
      </x:c>
      <x:c r="M938" s="12"/>
      <x:c r="N938" s="12"/>
      <x:c r="O938" s="12"/>
    </x:row>
    <x:row r="939" ht="39" customHeight="1">
      <x:c r="A939" s="12" t="str">
        <x:v>9095</x:v>
      </x:c>
      <x:c r="B939" s="12" t="str">
        <x:v>6848</x:v>
      </x:c>
      <x:c r="C939" s="12" t="str">
        <x:v>参考100</x:v>
      </x:c>
      <x:c r="D939" s="12" t="str">
        <x:v>自动100</x:v>
      </x:c>
      <x:c r="E939" s="12" t="n">
        <x:v>1</x:v>
      </x:c>
      <x:c r="F939" s="12" t="n">
        <x:v>1</x:v>
      </x:c>
      <x:c r="G939" s="12" t="n">
        <x:v>0</x:v>
      </x:c>
      <x:c r="H939" s="12" t="n">
        <x:f>IF(SUM(I939:K939)&gt;0,1,0)</x:f>
        <x:v>1</x:v>
      </x:c>
      <x:c r="I939" s="12" t="n">
        <x:f>IF('患者配对'!M1031="positive",1,0)</x:f>
        <x:v>1</x:v>
      </x:c>
      <x:c r="J939" s="12" t="n">
        <x:f>IF('患者配对'!R1031="positive",1,0)</x:f>
        <x:v>0</x:v>
      </x:c>
      <x:c r="K939" s="12" t="n">
        <x:f>IF('患者配对'!W1031="positive",1,0)</x:f>
        <x:v>0</x:v>
      </x:c>
      <x:c r="L939" s="12" t="str">
        <x:v>由原件与原状态取得；仅主队列索引</x:v>
      </x:c>
      <x:c r="M939" s="12"/>
      <x:c r="N939" s="12"/>
      <x:c r="O939" s="12"/>
    </x:row>
    <x:row r="940" ht="39" customHeight="1">
      <x:c r="A940" s="12" t="str">
        <x:v>9108</x:v>
      </x:c>
      <x:c r="B940" s="12" t="str">
        <x:v>11385</x:v>
      </x:c>
      <x:c r="C940" s="12" t="str">
        <x:v>参考000</x:v>
      </x:c>
      <x:c r="D940" s="12" t="str">
        <x:v>自动000</x:v>
      </x:c>
      <x:c r="E940" s="12" t="n">
        <x:v>0</x:v>
      </x:c>
      <x:c r="F940" s="12" t="n">
        <x:v>0</x:v>
      </x:c>
      <x:c r="G940" s="12" t="n">
        <x:v>0</x:v>
      </x:c>
      <x:c r="H940" s="12" t="n">
        <x:f>IF(SUM(I940:K940)&gt;0,1,0)</x:f>
        <x:v>0</x:v>
      </x:c>
      <x:c r="I940" s="12" t="n">
        <x:f>IF('患者配对'!M1032="positive",1,0)</x:f>
        <x:v>0</x:v>
      </x:c>
      <x:c r="J940" s="12" t="n">
        <x:f>IF('患者配对'!R1032="positive",1,0)</x:f>
        <x:v>0</x:v>
      </x:c>
      <x:c r="K940" s="12" t="n">
        <x:f>IF('患者配对'!W1032="positive",1,0)</x:f>
        <x:v>0</x:v>
      </x:c>
      <x:c r="L940" s="12" t="str">
        <x:v>由原件与原状态取得；仅主队列索引</x:v>
      </x:c>
      <x:c r="M940" s="12"/>
      <x:c r="N940" s="12"/>
      <x:c r="O940" s="12"/>
    </x:row>
    <x:row r="941" ht="39" customHeight="1">
      <x:c r="A941" s="12" t="str">
        <x:v>9110</x:v>
      </x:c>
      <x:c r="B941" s="12" t="str">
        <x:v>4136</x:v>
      </x:c>
      <x:c r="C941" s="12" t="str">
        <x:v>参考010</x:v>
      </x:c>
      <x:c r="D941" s="12" t="str">
        <x:v>自动010</x:v>
      </x:c>
      <x:c r="E941" s="12" t="n">
        <x:v>1</x:v>
      </x:c>
      <x:c r="F941" s="12" t="n">
        <x:v>1</x:v>
      </x:c>
      <x:c r="G941" s="12" t="n">
        <x:v>0</x:v>
      </x:c>
      <x:c r="H941" s="12" t="n">
        <x:f>IF(SUM(I941:K941)&gt;0,1,0)</x:f>
        <x:v>1</x:v>
      </x:c>
      <x:c r="I941" s="12" t="n">
        <x:f>IF('患者配对'!M1033="positive",1,0)</x:f>
        <x:v>0</x:v>
      </x:c>
      <x:c r="J941" s="12" t="n">
        <x:f>IF('患者配对'!R1033="positive",1,0)</x:f>
        <x:v>1</x:v>
      </x:c>
      <x:c r="K941" s="12" t="n">
        <x:f>IF('患者配对'!W1033="positive",1,0)</x:f>
        <x:v>0</x:v>
      </x:c>
      <x:c r="L941" s="12" t="str">
        <x:v>由原件与原状态取得；仅主队列索引</x:v>
      </x:c>
      <x:c r="M941" s="12"/>
      <x:c r="N941" s="12"/>
      <x:c r="O941" s="12"/>
    </x:row>
    <x:row r="942" ht="39" customHeight="1">
      <x:c r="A942" s="12" t="str">
        <x:v>9115</x:v>
      </x:c>
      <x:c r="B942" s="12" t="str">
        <x:v>7211</x:v>
      </x:c>
      <x:c r="C942" s="12" t="str">
        <x:v>参考000</x:v>
      </x:c>
      <x:c r="D942" s="12" t="str">
        <x:v>自动000</x:v>
      </x:c>
      <x:c r="E942" s="12" t="n">
        <x:v>0</x:v>
      </x:c>
      <x:c r="F942" s="12" t="n">
        <x:v>0</x:v>
      </x:c>
      <x:c r="G942" s="12" t="n">
        <x:v>0</x:v>
      </x:c>
      <x:c r="H942" s="12" t="n">
        <x:f>IF(SUM(I942:K942)&gt;0,1,0)</x:f>
        <x:v>0</x:v>
      </x:c>
      <x:c r="I942" s="12" t="n">
        <x:f>IF('患者配对'!M1034="positive",1,0)</x:f>
        <x:v>0</x:v>
      </x:c>
      <x:c r="J942" s="12" t="n">
        <x:f>IF('患者配对'!R1034="positive",1,0)</x:f>
        <x:v>0</x:v>
      </x:c>
      <x:c r="K942" s="12" t="n">
        <x:f>IF('患者配对'!W1034="positive",1,0)</x:f>
        <x:v>0</x:v>
      </x:c>
      <x:c r="L942" s="12" t="str">
        <x:v>由原件与原状态取得；仅主队列索引</x:v>
      </x:c>
      <x:c r="M942" s="12"/>
      <x:c r="N942" s="12"/>
      <x:c r="O942" s="12"/>
    </x:row>
    <x:row r="943" ht="39" customHeight="1">
      <x:c r="A943" s="12" t="str">
        <x:v>9133</x:v>
      </x:c>
      <x:c r="B943" s="12" t="str">
        <x:v>7152</x:v>
      </x:c>
      <x:c r="C943" s="12" t="str">
        <x:v>参考000</x:v>
      </x:c>
      <x:c r="D943" s="12" t="str">
        <x:v>自动000</x:v>
      </x:c>
      <x:c r="E943" s="12" t="n">
        <x:v>0</x:v>
      </x:c>
      <x:c r="F943" s="12" t="n">
        <x:v>0</x:v>
      </x:c>
      <x:c r="G943" s="12" t="n">
        <x:v>0</x:v>
      </x:c>
      <x:c r="H943" s="12" t="n">
        <x:f>IF(SUM(I943:K943)&gt;0,1,0)</x:f>
        <x:v>0</x:v>
      </x:c>
      <x:c r="I943" s="12" t="n">
        <x:f>IF('患者配对'!M1035="positive",1,0)</x:f>
        <x:v>0</x:v>
      </x:c>
      <x:c r="J943" s="12" t="n">
        <x:f>IF('患者配对'!R1035="positive",1,0)</x:f>
        <x:v>0</x:v>
      </x:c>
      <x:c r="K943" s="12" t="n">
        <x:f>IF('患者配对'!W1035="positive",1,0)</x:f>
        <x:v>0</x:v>
      </x:c>
      <x:c r="L943" s="12" t="str">
        <x:v>由原件与原状态取得；仅主队列索引</x:v>
      </x:c>
      <x:c r="M943" s="12"/>
      <x:c r="N943" s="12"/>
      <x:c r="O943" s="12"/>
    </x:row>
    <x:row r="944" ht="39" customHeight="1">
      <x:c r="A944" s="12" t="str">
        <x:v>9164</x:v>
      </x:c>
      <x:c r="B944" s="12" t="str">
        <x:v>18166</x:v>
      </x:c>
      <x:c r="C944" s="12" t="str">
        <x:v>参考000</x:v>
      </x:c>
      <x:c r="D944" s="12" t="str">
        <x:v>自动000</x:v>
      </x:c>
      <x:c r="E944" s="12" t="n">
        <x:v>0</x:v>
      </x:c>
      <x:c r="F944" s="12" t="n">
        <x:v>0</x:v>
      </x:c>
      <x:c r="G944" s="12" t="n">
        <x:v>0</x:v>
      </x:c>
      <x:c r="H944" s="12" t="n">
        <x:f>IF(SUM(I944:K944)&gt;0,1,0)</x:f>
        <x:v>0</x:v>
      </x:c>
      <x:c r="I944" s="12" t="n">
        <x:f>IF('患者配对'!M1037="positive",1,0)</x:f>
        <x:v>0</x:v>
      </x:c>
      <x:c r="J944" s="12" t="n">
        <x:f>IF('患者配对'!R1037="positive",1,0)</x:f>
        <x:v>0</x:v>
      </x:c>
      <x:c r="K944" s="12" t="n">
        <x:f>IF('患者配对'!W1037="positive",1,0)</x:f>
        <x:v>0</x:v>
      </x:c>
      <x:c r="L944" s="12" t="str">
        <x:v>由原件与原状态取得；仅主队列索引</x:v>
      </x:c>
      <x:c r="M944" s="12"/>
      <x:c r="N944" s="12"/>
      <x:c r="O944" s="12"/>
    </x:row>
    <x:row r="945" ht="39" customHeight="1">
      <x:c r="A945" s="12" t="str">
        <x:v>9176</x:v>
      </x:c>
      <x:c r="B945" s="12" t="str">
        <x:v>13595</x:v>
      </x:c>
      <x:c r="C945" s="12" t="str">
        <x:v>参考000</x:v>
      </x:c>
      <x:c r="D945" s="12" t="str">
        <x:v>自动000</x:v>
      </x:c>
      <x:c r="E945" s="12" t="n">
        <x:v>0</x:v>
      </x:c>
      <x:c r="F945" s="12" t="n">
        <x:v>1</x:v>
      </x:c>
      <x:c r="G945" s="12" t="n">
        <x:v>0</x:v>
      </x:c>
      <x:c r="H945" s="12" t="n">
        <x:f>IF(SUM(I945:K945)&gt;0,1,0)</x:f>
        <x:v>0</x:v>
      </x:c>
      <x:c r="I945" s="12" t="n">
        <x:f>IF('患者配对'!M1040="positive",1,0)</x:f>
        <x:v>0</x:v>
      </x:c>
      <x:c r="J945" s="12" t="n">
        <x:f>IF('患者配对'!R1040="positive",1,0)</x:f>
        <x:v>0</x:v>
      </x:c>
      <x:c r="K945" s="12" t="n">
        <x:f>IF('患者配对'!W1040="positive",1,0)</x:f>
        <x:v>0</x:v>
      </x:c>
      <x:c r="L945" s="12" t="str">
        <x:v>由原件与原状态取得；仅主队列索引</x:v>
      </x:c>
      <x:c r="M945" s="12"/>
      <x:c r="N945" s="12"/>
      <x:c r="O945" s="12"/>
    </x:row>
    <x:row r="946" ht="39" customHeight="1">
      <x:c r="A946" s="12" t="str">
        <x:v>9178</x:v>
      </x:c>
      <x:c r="B946" s="12" t="str">
        <x:v>18409</x:v>
      </x:c>
      <x:c r="C946" s="12" t="str">
        <x:v>参考000</x:v>
      </x:c>
      <x:c r="D946" s="12" t="str">
        <x:v>自动000</x:v>
      </x:c>
      <x:c r="E946" s="12" t="n">
        <x:v>0</x:v>
      </x:c>
      <x:c r="F946" s="12" t="n">
        <x:v>0</x:v>
      </x:c>
      <x:c r="G946" s="12" t="n">
        <x:v>0</x:v>
      </x:c>
      <x:c r="H946" s="12" t="n">
        <x:f>IF(SUM(I946:K946)&gt;0,1,0)</x:f>
        <x:v>0</x:v>
      </x:c>
      <x:c r="I946" s="12" t="n">
        <x:f>IF('患者配对'!M1041="positive",1,0)</x:f>
        <x:v>0</x:v>
      </x:c>
      <x:c r="J946" s="12" t="n">
        <x:f>IF('患者配对'!R1041="positive",1,0)</x:f>
        <x:v>0</x:v>
      </x:c>
      <x:c r="K946" s="12" t="n">
        <x:f>IF('患者配对'!W1041="positive",1,0)</x:f>
        <x:v>0</x:v>
      </x:c>
      <x:c r="L946" s="12" t="str">
        <x:v>由原件与原状态取得；仅主队列索引</x:v>
      </x:c>
      <x:c r="M946" s="12"/>
      <x:c r="N946" s="12"/>
      <x:c r="O946" s="12"/>
    </x:row>
    <x:row r="947" ht="39" customHeight="1">
      <x:c r="A947" s="12" t="str">
        <x:v>9180</x:v>
      </x:c>
      <x:c r="B947" s="12" t="str">
        <x:v>18864</x:v>
      </x:c>
      <x:c r="C947" s="12" t="str">
        <x:v>参考000</x:v>
      </x:c>
      <x:c r="D947" s="12" t="str">
        <x:v>自动000</x:v>
      </x:c>
      <x:c r="E947" s="12" t="n">
        <x:v>0</x:v>
      </x:c>
      <x:c r="F947" s="12" t="n">
        <x:v>0</x:v>
      </x:c>
      <x:c r="G947" s="12" t="n">
        <x:v>0</x:v>
      </x:c>
      <x:c r="H947" s="12" t="n">
        <x:f>IF(SUM(I947:K947)&gt;0,1,0)</x:f>
        <x:v>0</x:v>
      </x:c>
      <x:c r="I947" s="12" t="n">
        <x:f>IF('患者配对'!M1042="positive",1,0)</x:f>
        <x:v>0</x:v>
      </x:c>
      <x:c r="J947" s="12" t="n">
        <x:f>IF('患者配对'!R1042="positive",1,0)</x:f>
        <x:v>0</x:v>
      </x:c>
      <x:c r="K947" s="12" t="n">
        <x:f>IF('患者配对'!W1042="positive",1,0)</x:f>
        <x:v>0</x:v>
      </x:c>
      <x:c r="L947" s="12" t="str">
        <x:v>由原件与原状态取得；仅主队列索引</x:v>
      </x:c>
      <x:c r="M947" s="12"/>
      <x:c r="N947" s="12"/>
      <x:c r="O947" s="12"/>
    </x:row>
    <x:row r="948" ht="39" customHeight="1">
      <x:c r="A948" s="12" t="str">
        <x:v>9183</x:v>
      </x:c>
      <x:c r="B948" s="12" t="str">
        <x:v>20560</x:v>
      </x:c>
      <x:c r="C948" s="12" t="str">
        <x:v>参考000</x:v>
      </x:c>
      <x:c r="D948" s="12" t="str">
        <x:v>自动000</x:v>
      </x:c>
      <x:c r="E948" s="12" t="n">
        <x:v>0</x:v>
      </x:c>
      <x:c r="F948" s="12" t="n">
        <x:v>1</x:v>
      </x:c>
      <x:c r="G948" s="12" t="n">
        <x:v>0</x:v>
      </x:c>
      <x:c r="H948" s="12" t="n">
        <x:f>IF(SUM(I948:K948)&gt;0,1,0)</x:f>
        <x:v>0</x:v>
      </x:c>
      <x:c r="I948" s="12" t="n">
        <x:f>IF('患者配对'!M1043="positive",1,0)</x:f>
        <x:v>0</x:v>
      </x:c>
      <x:c r="J948" s="12" t="n">
        <x:f>IF('患者配对'!R1043="positive",1,0)</x:f>
        <x:v>0</x:v>
      </x:c>
      <x:c r="K948" s="12" t="n">
        <x:f>IF('患者配对'!W1043="positive",1,0)</x:f>
        <x:v>0</x:v>
      </x:c>
      <x:c r="L948" s="12" t="str">
        <x:v>由原件与原状态取得；仅主队列索引</x:v>
      </x:c>
      <x:c r="M948" s="12"/>
      <x:c r="N948" s="12"/>
      <x:c r="O948" s="12"/>
    </x:row>
    <x:row r="949" ht="39" customHeight="1">
      <x:c r="A949" s="12" t="str">
        <x:v>9187</x:v>
      </x:c>
      <x:c r="B949" s="12" t="str">
        <x:v>17591</x:v>
      </x:c>
      <x:c r="C949" s="12" t="str">
        <x:v>参考000</x:v>
      </x:c>
      <x:c r="D949" s="12" t="str">
        <x:v>自动000</x:v>
      </x:c>
      <x:c r="E949" s="12" t="n">
        <x:v>0</x:v>
      </x:c>
      <x:c r="F949" s="12" t="n">
        <x:v>1</x:v>
      </x:c>
      <x:c r="G949" s="12" t="n">
        <x:v>0</x:v>
      </x:c>
      <x:c r="H949" s="12" t="n">
        <x:f>IF(SUM(I949:K949)&gt;0,1,0)</x:f>
        <x:v>0</x:v>
      </x:c>
      <x:c r="I949" s="12" t="n">
        <x:f>IF('患者配对'!M1044="positive",1,0)</x:f>
        <x:v>0</x:v>
      </x:c>
      <x:c r="J949" s="12" t="n">
        <x:f>IF('患者配对'!R1044="positive",1,0)</x:f>
        <x:v>0</x:v>
      </x:c>
      <x:c r="K949" s="12" t="n">
        <x:f>IF('患者配对'!W1044="positive",1,0)</x:f>
        <x:v>0</x:v>
      </x:c>
      <x:c r="L949" s="12" t="str">
        <x:v>由原件与原状态取得；仅主队列索引</x:v>
      </x:c>
      <x:c r="M949" s="12"/>
      <x:c r="N949" s="12"/>
      <x:c r="O949" s="12"/>
    </x:row>
    <x:row r="950" ht="39" customHeight="1">
      <x:c r="A950" s="12" t="str">
        <x:v>9211</x:v>
      </x:c>
      <x:c r="B950" s="12" t="str">
        <x:v>16015</x:v>
      </x:c>
      <x:c r="C950" s="12" t="str">
        <x:v>参考100</x:v>
      </x:c>
      <x:c r="D950" s="12" t="str">
        <x:v>自动100</x:v>
      </x:c>
      <x:c r="E950" s="12" t="n">
        <x:v>1</x:v>
      </x:c>
      <x:c r="F950" s="12" t="n">
        <x:v>1</x:v>
      </x:c>
      <x:c r="G950" s="12" t="n">
        <x:v>0</x:v>
      </x:c>
      <x:c r="H950" s="12" t="n">
        <x:f>IF(SUM(I950:K950)&gt;0,1,0)</x:f>
        <x:v>1</x:v>
      </x:c>
      <x:c r="I950" s="12" t="n">
        <x:f>IF('患者配对'!M1046="positive",1,0)</x:f>
        <x:v>1</x:v>
      </x:c>
      <x:c r="J950" s="12" t="n">
        <x:f>IF('患者配对'!R1046="positive",1,0)</x:f>
        <x:v>0</x:v>
      </x:c>
      <x:c r="K950" s="12" t="n">
        <x:f>IF('患者配对'!W1046="positive",1,0)</x:f>
        <x:v>0</x:v>
      </x:c>
      <x:c r="L950" s="12" t="str">
        <x:v>由原件与原状态取得；仅主队列索引</x:v>
      </x:c>
      <x:c r="M950" s="12"/>
      <x:c r="N950" s="12"/>
      <x:c r="O950" s="12"/>
    </x:row>
    <x:row r="951" ht="39" customHeight="1">
      <x:c r="A951" s="12" t="str">
        <x:v>9229</x:v>
      </x:c>
      <x:c r="B951" s="12" t="str">
        <x:v>9043</x:v>
      </x:c>
      <x:c r="C951" s="12" t="str">
        <x:v>参考000</x:v>
      </x:c>
      <x:c r="D951" s="12" t="str">
        <x:v>自动000</x:v>
      </x:c>
      <x:c r="E951" s="12" t="n">
        <x:v>0</x:v>
      </x:c>
      <x:c r="F951" s="12" t="n">
        <x:v>0</x:v>
      </x:c>
      <x:c r="G951" s="12" t="n">
        <x:v>0</x:v>
      </x:c>
      <x:c r="H951" s="12" t="n">
        <x:f>IF(SUM(I951:K951)&gt;0,1,0)</x:f>
        <x:v>0</x:v>
      </x:c>
      <x:c r="I951" s="12" t="n">
        <x:f>IF('患者配对'!M1048="positive",1,0)</x:f>
        <x:v>0</x:v>
      </x:c>
      <x:c r="J951" s="12" t="n">
        <x:f>IF('患者配对'!R1048="positive",1,0)</x:f>
        <x:v>0</x:v>
      </x:c>
      <x:c r="K951" s="12" t="n">
        <x:f>IF('患者配对'!W1048="positive",1,0)</x:f>
        <x:v>0</x:v>
      </x:c>
      <x:c r="L951" s="12" t="str">
        <x:v>由原件与原状态取得；仅主队列索引</x:v>
      </x:c>
      <x:c r="M951" s="12"/>
      <x:c r="N951" s="12"/>
      <x:c r="O951" s="12"/>
    </x:row>
    <x:row r="952" ht="39" customHeight="1">
      <x:c r="A952" s="12" t="str">
        <x:v>9246</x:v>
      </x:c>
      <x:c r="B952" s="12" t="str">
        <x:v>19200</x:v>
      </x:c>
      <x:c r="C952" s="12" t="str">
        <x:v>参考000</x:v>
      </x:c>
      <x:c r="D952" s="12" t="str">
        <x:v>自动000</x:v>
      </x:c>
      <x:c r="E952" s="12" t="n">
        <x:v>0</x:v>
      </x:c>
      <x:c r="F952" s="12" t="n">
        <x:v>1</x:v>
      </x:c>
      <x:c r="G952" s="12" t="n">
        <x:v>0</x:v>
      </x:c>
      <x:c r="H952" s="12" t="n">
        <x:f>IF(SUM(I952:K952)&gt;0,1,0)</x:f>
        <x:v>0</x:v>
      </x:c>
      <x:c r="I952" s="12" t="n">
        <x:f>IF('患者配对'!M1049="positive",1,0)</x:f>
        <x:v>0</x:v>
      </x:c>
      <x:c r="J952" s="12" t="n">
        <x:f>IF('患者配对'!R1049="positive",1,0)</x:f>
        <x:v>0</x:v>
      </x:c>
      <x:c r="K952" s="12" t="n">
        <x:f>IF('患者配对'!W1049="positive",1,0)</x:f>
        <x:v>0</x:v>
      </x:c>
      <x:c r="L952" s="12" t="str">
        <x:v>由原件与原状态取得；仅主队列索引</x:v>
      </x:c>
      <x:c r="M952" s="12"/>
      <x:c r="N952" s="12"/>
      <x:c r="O952" s="12"/>
    </x:row>
    <x:row r="953" ht="39" customHeight="1">
      <x:c r="A953" s="12" t="str">
        <x:v>9248</x:v>
      </x:c>
      <x:c r="B953" s="12" t="str">
        <x:v>8707</x:v>
      </x:c>
      <x:c r="C953" s="12" t="str">
        <x:v>参考000</x:v>
      </x:c>
      <x:c r="D953" s="12" t="str">
        <x:v>自动000</x:v>
      </x:c>
      <x:c r="E953" s="12" t="n">
        <x:v>0</x:v>
      </x:c>
      <x:c r="F953" s="12" t="n">
        <x:v>1</x:v>
      </x:c>
      <x:c r="G953" s="12" t="n">
        <x:v>0</x:v>
      </x:c>
      <x:c r="H953" s="12" t="n">
        <x:f>IF(SUM(I953:K953)&gt;0,1,0)</x:f>
        <x:v>0</x:v>
      </x:c>
      <x:c r="I953" s="12" t="n">
        <x:f>IF('患者配对'!M1050="positive",1,0)</x:f>
        <x:v>0</x:v>
      </x:c>
      <x:c r="J953" s="12" t="n">
        <x:f>IF('患者配对'!R1050="positive",1,0)</x:f>
        <x:v>0</x:v>
      </x:c>
      <x:c r="K953" s="12" t="n">
        <x:f>IF('患者配对'!W1050="positive",1,0)</x:f>
        <x:v>0</x:v>
      </x:c>
      <x:c r="L953" s="12" t="str">
        <x:v>由原件与原状态取得；仅主队列索引</x:v>
      </x:c>
      <x:c r="M953" s="12"/>
      <x:c r="N953" s="12"/>
      <x:c r="O953" s="12"/>
    </x:row>
    <x:row r="954" ht="39" customHeight="1">
      <x:c r="A954" s="12" t="str">
        <x:v>9260</x:v>
      </x:c>
      <x:c r="B954" s="12" t="str">
        <x:v>11832</x:v>
      </x:c>
      <x:c r="C954" s="12" t="str">
        <x:v>参考000</x:v>
      </x:c>
      <x:c r="D954" s="12" t="str">
        <x:v>自动000</x:v>
      </x:c>
      <x:c r="E954" s="12" t="n">
        <x:v>0</x:v>
      </x:c>
      <x:c r="F954" s="12" t="n">
        <x:v>0</x:v>
      </x:c>
      <x:c r="G954" s="12" t="n">
        <x:v>0</x:v>
      </x:c>
      <x:c r="H954" s="12" t="n">
        <x:f>IF(SUM(I954:K954)&gt;0,1,0)</x:f>
        <x:v>0</x:v>
      </x:c>
      <x:c r="I954" s="12" t="n">
        <x:f>IF('患者配对'!M1051="positive",1,0)</x:f>
        <x:v>0</x:v>
      </x:c>
      <x:c r="J954" s="12" t="n">
        <x:f>IF('患者配对'!R1051="positive",1,0)</x:f>
        <x:v>0</x:v>
      </x:c>
      <x:c r="K954" s="12" t="n">
        <x:f>IF('患者配对'!W1051="positive",1,0)</x:f>
        <x:v>0</x:v>
      </x:c>
      <x:c r="L954" s="12" t="str">
        <x:v>由原件与原状态取得；仅主队列索引</x:v>
      </x:c>
      <x:c r="M954" s="12"/>
      <x:c r="N954" s="12"/>
      <x:c r="O954" s="12"/>
    </x:row>
    <x:row r="955" ht="39" customHeight="1">
      <x:c r="A955" s="12" t="str">
        <x:v>9272</x:v>
      </x:c>
      <x:c r="B955" s="12" t="str">
        <x:v>9459</x:v>
      </x:c>
      <x:c r="C955" s="12" t="str">
        <x:v>参考000</x:v>
      </x:c>
      <x:c r="D955" s="12" t="str">
        <x:v>自动000</x:v>
      </x:c>
      <x:c r="E955" s="12" t="n">
        <x:v>0</x:v>
      </x:c>
      <x:c r="F955" s="12" t="n">
        <x:v>0</x:v>
      </x:c>
      <x:c r="G955" s="12" t="n">
        <x:v>0</x:v>
      </x:c>
      <x:c r="H955" s="12" t="n">
        <x:f>IF(SUM(I955:K955)&gt;0,1,0)</x:f>
        <x:v>0</x:v>
      </x:c>
      <x:c r="I955" s="12" t="n">
        <x:f>IF('患者配对'!M1053="positive",1,0)</x:f>
        <x:v>0</x:v>
      </x:c>
      <x:c r="J955" s="12" t="n">
        <x:f>IF('患者配对'!R1053="positive",1,0)</x:f>
        <x:v>0</x:v>
      </x:c>
      <x:c r="K955" s="12" t="n">
        <x:f>IF('患者配对'!W1053="positive",1,0)</x:f>
        <x:v>0</x:v>
      </x:c>
      <x:c r="L955" s="12" t="str">
        <x:v>由原件与原状态取得；仅主队列索引</x:v>
      </x:c>
      <x:c r="M955" s="12"/>
      <x:c r="N955" s="12"/>
      <x:c r="O955" s="12"/>
    </x:row>
    <x:row r="956" ht="39" customHeight="1">
      <x:c r="A956" s="12" t="str">
        <x:v>9282</x:v>
      </x:c>
      <x:c r="B956" s="12" t="str">
        <x:v>18597</x:v>
      </x:c>
      <x:c r="C956" s="12" t="str">
        <x:v>参考000</x:v>
      </x:c>
      <x:c r="D956" s="12" t="str">
        <x:v>自动000</x:v>
      </x:c>
      <x:c r="E956" s="12" t="n">
        <x:v>0</x:v>
      </x:c>
      <x:c r="F956" s="12" t="n">
        <x:v>0</x:v>
      </x:c>
      <x:c r="G956" s="12" t="n">
        <x:v>0</x:v>
      </x:c>
      <x:c r="H956" s="12" t="n">
        <x:f>IF(SUM(I956:K956)&gt;0,1,0)</x:f>
        <x:v>0</x:v>
      </x:c>
      <x:c r="I956" s="12" t="n">
        <x:f>IF('患者配对'!M1054="positive",1,0)</x:f>
        <x:v>0</x:v>
      </x:c>
      <x:c r="J956" s="12" t="n">
        <x:f>IF('患者配对'!R1054="positive",1,0)</x:f>
        <x:v>0</x:v>
      </x:c>
      <x:c r="K956" s="12" t="n">
        <x:f>IF('患者配对'!W1054="positive",1,0)</x:f>
        <x:v>0</x:v>
      </x:c>
      <x:c r="L956" s="12" t="str">
        <x:v>由原件与原状态取得；仅主队列索引</x:v>
      </x:c>
      <x:c r="M956" s="12"/>
      <x:c r="N956" s="12"/>
      <x:c r="O956" s="12"/>
    </x:row>
    <x:row r="957" ht="39" customHeight="1">
      <x:c r="A957" s="12" t="str">
        <x:v>9286</x:v>
      </x:c>
      <x:c r="B957" s="12" t="str">
        <x:v>14041</x:v>
      </x:c>
      <x:c r="C957" s="12" t="str">
        <x:v>参考000</x:v>
      </x:c>
      <x:c r="D957" s="12" t="str">
        <x:v>自动000</x:v>
      </x:c>
      <x:c r="E957" s="12" t="n">
        <x:v>0</x:v>
      </x:c>
      <x:c r="F957" s="12" t="n">
        <x:v>0</x:v>
      </x:c>
      <x:c r="G957" s="12" t="n">
        <x:v>0</x:v>
      </x:c>
      <x:c r="H957" s="12" t="n">
        <x:f>IF(SUM(I957:K957)&gt;0,1,0)</x:f>
        <x:v>0</x:v>
      </x:c>
      <x:c r="I957" s="12" t="n">
        <x:f>IF('患者配对'!M1055="positive",1,0)</x:f>
        <x:v>0</x:v>
      </x:c>
      <x:c r="J957" s="12" t="n">
        <x:f>IF('患者配对'!R1055="positive",1,0)</x:f>
        <x:v>0</x:v>
      </x:c>
      <x:c r="K957" s="12" t="n">
        <x:f>IF('患者配对'!W1055="positive",1,0)</x:f>
        <x:v>0</x:v>
      </x:c>
      <x:c r="L957" s="12" t="str">
        <x:v>由原件与原状态取得；仅主队列索引</x:v>
      </x:c>
      <x:c r="M957" s="12"/>
      <x:c r="N957" s="12"/>
      <x:c r="O957" s="12"/>
    </x:row>
    <x:row r="958" ht="39" customHeight="1">
      <x:c r="A958" s="12" t="str">
        <x:v>9299</x:v>
      </x:c>
      <x:c r="B958" s="12" t="str">
        <x:v>12675</x:v>
      </x:c>
      <x:c r="C958" s="12" t="str">
        <x:v>参考000</x:v>
      </x:c>
      <x:c r="D958" s="12" t="str">
        <x:v>自动000</x:v>
      </x:c>
      <x:c r="E958" s="12" t="n">
        <x:v>0</x:v>
      </x:c>
      <x:c r="F958" s="12" t="n">
        <x:v>0</x:v>
      </x:c>
      <x:c r="G958" s="12" t="n">
        <x:v>0</x:v>
      </x:c>
      <x:c r="H958" s="12" t="n">
        <x:f>IF(SUM(I958:K958)&gt;0,1,0)</x:f>
        <x:v>0</x:v>
      </x:c>
      <x:c r="I958" s="12" t="n">
        <x:f>IF('患者配对'!M1056="positive",1,0)</x:f>
        <x:v>0</x:v>
      </x:c>
      <x:c r="J958" s="12" t="n">
        <x:f>IF('患者配对'!R1056="positive",1,0)</x:f>
        <x:v>0</x:v>
      </x:c>
      <x:c r="K958" s="12" t="n">
        <x:f>IF('患者配对'!W1056="positive",1,0)</x:f>
        <x:v>0</x:v>
      </x:c>
      <x:c r="L958" s="12" t="str">
        <x:v>由原件与原状态取得；仅主队列索引</x:v>
      </x:c>
      <x:c r="M958" s="12"/>
      <x:c r="N958" s="12"/>
      <x:c r="O958" s="12"/>
    </x:row>
    <x:row r="959" ht="39" customHeight="1">
      <x:c r="A959" s="12" t="str">
        <x:v>9301</x:v>
      </x:c>
      <x:c r="B959" s="12" t="str">
        <x:v>16254</x:v>
      </x:c>
      <x:c r="C959" s="12" t="str">
        <x:v>参考000</x:v>
      </x:c>
      <x:c r="D959" s="12" t="str">
        <x:v>自动000</x:v>
      </x:c>
      <x:c r="E959" s="12" t="n">
        <x:v>0</x:v>
      </x:c>
      <x:c r="F959" s="12" t="n">
        <x:v>0</x:v>
      </x:c>
      <x:c r="G959" s="12" t="n">
        <x:v>0</x:v>
      </x:c>
      <x:c r="H959" s="12" t="n">
        <x:f>IF(SUM(I959:K959)&gt;0,1,0)</x:f>
        <x:v>0</x:v>
      </x:c>
      <x:c r="I959" s="12" t="n">
        <x:f>IF('患者配对'!M1057="positive",1,0)</x:f>
        <x:v>0</x:v>
      </x:c>
      <x:c r="J959" s="12" t="n">
        <x:f>IF('患者配对'!R1057="positive",1,0)</x:f>
        <x:v>0</x:v>
      </x:c>
      <x:c r="K959" s="12" t="n">
        <x:f>IF('患者配对'!W1057="positive",1,0)</x:f>
        <x:v>0</x:v>
      </x:c>
      <x:c r="L959" s="12" t="str">
        <x:v>由原件与原状态取得；仅主队列索引</x:v>
      </x:c>
      <x:c r="M959" s="12"/>
      <x:c r="N959" s="12"/>
      <x:c r="O959" s="12"/>
    </x:row>
    <x:row r="960" ht="39" customHeight="1">
      <x:c r="A960" s="12" t="str">
        <x:v>9306</x:v>
      </x:c>
      <x:c r="B960" s="12" t="str">
        <x:v>16235</x:v>
      </x:c>
      <x:c r="C960" s="12" t="str">
        <x:v>参考000</x:v>
      </x:c>
      <x:c r="D960" s="12" t="str">
        <x:v>自动000</x:v>
      </x:c>
      <x:c r="E960" s="12" t="n">
        <x:v>0</x:v>
      </x:c>
      <x:c r="F960" s="12" t="n">
        <x:v>0</x:v>
      </x:c>
      <x:c r="G960" s="12" t="n">
        <x:v>0</x:v>
      </x:c>
      <x:c r="H960" s="12" t="n">
        <x:f>IF(SUM(I960:K960)&gt;0,1,0)</x:f>
        <x:v>0</x:v>
      </x:c>
      <x:c r="I960" s="12" t="n">
        <x:f>IF('患者配对'!M1058="positive",1,0)</x:f>
        <x:v>0</x:v>
      </x:c>
      <x:c r="J960" s="12" t="n">
        <x:f>IF('患者配对'!R1058="positive",1,0)</x:f>
        <x:v>0</x:v>
      </x:c>
      <x:c r="K960" s="12" t="n">
        <x:f>IF('患者配对'!W1058="positive",1,0)</x:f>
        <x:v>0</x:v>
      </x:c>
      <x:c r="L960" s="12" t="str">
        <x:v>由原件与原状态取得；仅主队列索引</x:v>
      </x:c>
      <x:c r="M960" s="12"/>
      <x:c r="N960" s="12"/>
      <x:c r="O960" s="12"/>
    </x:row>
    <x:row r="961" ht="39" customHeight="1">
      <x:c r="A961" s="12" t="str">
        <x:v>9338</x:v>
      </x:c>
      <x:c r="B961" s="12" t="str">
        <x:v>18444</x:v>
      </x:c>
      <x:c r="C961" s="12" t="str">
        <x:v>参考000</x:v>
      </x:c>
      <x:c r="D961" s="12" t="str">
        <x:v>自动000</x:v>
      </x:c>
      <x:c r="E961" s="12" t="n">
        <x:v>0</x:v>
      </x:c>
      <x:c r="F961" s="12" t="n">
        <x:v>0</x:v>
      </x:c>
      <x:c r="G961" s="12" t="n">
        <x:v>0</x:v>
      </x:c>
      <x:c r="H961" s="12" t="n">
        <x:f>IF(SUM(I961:K961)&gt;0,1,0)</x:f>
        <x:v>0</x:v>
      </x:c>
      <x:c r="I961" s="12" t="n">
        <x:f>IF('患者配对'!M1059="positive",1,0)</x:f>
        <x:v>0</x:v>
      </x:c>
      <x:c r="J961" s="12" t="n">
        <x:f>IF('患者配对'!R1059="positive",1,0)</x:f>
        <x:v>0</x:v>
      </x:c>
      <x:c r="K961" s="12" t="n">
        <x:f>IF('患者配对'!W1059="positive",1,0)</x:f>
        <x:v>0</x:v>
      </x:c>
      <x:c r="L961" s="12" t="str">
        <x:v>由原件与原状态取得；仅主队列索引</x:v>
      </x:c>
      <x:c r="M961" s="12"/>
      <x:c r="N961" s="12"/>
      <x:c r="O961" s="12"/>
    </x:row>
    <x:row r="962" ht="39" customHeight="1">
      <x:c r="A962" s="12" t="str">
        <x:v>9346</x:v>
      </x:c>
      <x:c r="B962" s="12" t="str">
        <x:v>17008</x:v>
      </x:c>
      <x:c r="C962" s="12" t="str">
        <x:v>参考000</x:v>
      </x:c>
      <x:c r="D962" s="12" t="str">
        <x:v>自动000</x:v>
      </x:c>
      <x:c r="E962" s="12" t="n">
        <x:v>0</x:v>
      </x:c>
      <x:c r="F962" s="12" t="n">
        <x:v>0</x:v>
      </x:c>
      <x:c r="G962" s="12" t="n">
        <x:v>0</x:v>
      </x:c>
      <x:c r="H962" s="12" t="n">
        <x:f>IF(SUM(I962:K962)&gt;0,1,0)</x:f>
        <x:v>0</x:v>
      </x:c>
      <x:c r="I962" s="12" t="n">
        <x:f>IF('患者配对'!M1060="positive",1,0)</x:f>
        <x:v>0</x:v>
      </x:c>
      <x:c r="J962" s="12" t="n">
        <x:f>IF('患者配对'!R1060="positive",1,0)</x:f>
        <x:v>0</x:v>
      </x:c>
      <x:c r="K962" s="12" t="n">
        <x:f>IF('患者配对'!W1060="positive",1,0)</x:f>
        <x:v>0</x:v>
      </x:c>
      <x:c r="L962" s="12" t="str">
        <x:v>由原件与原状态取得；仅主队列索引</x:v>
      </x:c>
      <x:c r="M962" s="12"/>
      <x:c r="N962" s="12"/>
      <x:c r="O962" s="12"/>
    </x:row>
    <x:row r="963" ht="39" customHeight="1">
      <x:c r="A963" s="12" t="str">
        <x:v>9353</x:v>
      </x:c>
      <x:c r="B963" s="12" t="str">
        <x:v>18595</x:v>
      </x:c>
      <x:c r="C963" s="12" t="str">
        <x:v>参考000</x:v>
      </x:c>
      <x:c r="D963" s="12" t="str">
        <x:v>自动000</x:v>
      </x:c>
      <x:c r="E963" s="12" t="n">
        <x:v>0</x:v>
      </x:c>
      <x:c r="F963" s="12" t="n">
        <x:v>0</x:v>
      </x:c>
      <x:c r="G963" s="12" t="n">
        <x:v>0</x:v>
      </x:c>
      <x:c r="H963" s="12" t="n">
        <x:f>IF(SUM(I963:K963)&gt;0,1,0)</x:f>
        <x:v>0</x:v>
      </x:c>
      <x:c r="I963" s="12" t="n">
        <x:f>IF('患者配对'!M1061="positive",1,0)</x:f>
        <x:v>0</x:v>
      </x:c>
      <x:c r="J963" s="12" t="n">
        <x:f>IF('患者配对'!R1061="positive",1,0)</x:f>
        <x:v>0</x:v>
      </x:c>
      <x:c r="K963" s="12" t="n">
        <x:f>IF('患者配对'!W1061="positive",1,0)</x:f>
        <x:v>0</x:v>
      </x:c>
      <x:c r="L963" s="12" t="str">
        <x:v>由原件与原状态取得；仅主队列索引</x:v>
      </x:c>
      <x:c r="M963" s="12"/>
      <x:c r="N963" s="12"/>
      <x:c r="O963" s="12"/>
    </x:row>
    <x:row r="964" ht="39" customHeight="1">
      <x:c r="A964" s="12" t="str">
        <x:v>9396</x:v>
      </x:c>
      <x:c r="B964" s="12" t="str">
        <x:v>20756</x:v>
      </x:c>
      <x:c r="C964" s="12" t="str">
        <x:v>参考000</x:v>
      </x:c>
      <x:c r="D964" s="12" t="str">
        <x:v>自动000</x:v>
      </x:c>
      <x:c r="E964" s="12" t="n">
        <x:v>0</x:v>
      </x:c>
      <x:c r="F964" s="12" t="n">
        <x:v>0</x:v>
      </x:c>
      <x:c r="G964" s="12" t="n">
        <x:v>0</x:v>
      </x:c>
      <x:c r="H964" s="12" t="n">
        <x:f>IF(SUM(I964:K964)&gt;0,1,0)</x:f>
        <x:v>0</x:v>
      </x:c>
      <x:c r="I964" s="12" t="n">
        <x:f>IF('患者配对'!M1063="positive",1,0)</x:f>
        <x:v>0</x:v>
      </x:c>
      <x:c r="J964" s="12" t="n">
        <x:f>IF('患者配对'!R1063="positive",1,0)</x:f>
        <x:v>0</x:v>
      </x:c>
      <x:c r="K964" s="12" t="n">
        <x:f>IF('患者配对'!W1063="positive",1,0)</x:f>
        <x:v>0</x:v>
      </x:c>
      <x:c r="L964" s="12" t="str">
        <x:v>由原件与原状态取得；仅主队列索引</x:v>
      </x:c>
      <x:c r="M964" s="12"/>
      <x:c r="N964" s="12"/>
      <x:c r="O964" s="12"/>
    </x:row>
    <x:row r="965" ht="39" customHeight="1">
      <x:c r="A965" s="12" t="str">
        <x:v>9410</x:v>
      </x:c>
      <x:c r="B965" s="12" t="str">
        <x:v>18397</x:v>
      </x:c>
      <x:c r="C965" s="12" t="str">
        <x:v>参考000</x:v>
      </x:c>
      <x:c r="D965" s="12" t="str">
        <x:v>自动000</x:v>
      </x:c>
      <x:c r="E965" s="12" t="n">
        <x:v>0</x:v>
      </x:c>
      <x:c r="F965" s="12" t="n">
        <x:v>1</x:v>
      </x:c>
      <x:c r="G965" s="12" t="n">
        <x:v>0</x:v>
      </x:c>
      <x:c r="H965" s="12" t="n">
        <x:f>IF(SUM(I965:K965)&gt;0,1,0)</x:f>
        <x:v>0</x:v>
      </x:c>
      <x:c r="I965" s="12" t="n">
        <x:f>IF('患者配对'!M1064="positive",1,0)</x:f>
        <x:v>0</x:v>
      </x:c>
      <x:c r="J965" s="12" t="n">
        <x:f>IF('患者配对'!R1064="positive",1,0)</x:f>
        <x:v>0</x:v>
      </x:c>
      <x:c r="K965" s="12" t="n">
        <x:f>IF('患者配对'!W1064="positive",1,0)</x:f>
        <x:v>0</x:v>
      </x:c>
      <x:c r="L965" s="12" t="str">
        <x:v>由原件与原状态取得；仅主队列索引</x:v>
      </x:c>
      <x:c r="M965" s="12"/>
      <x:c r="N965" s="12"/>
      <x:c r="O965" s="12"/>
    </x:row>
    <x:row r="966" ht="39" customHeight="1">
      <x:c r="A966" s="12" t="str">
        <x:v>9416</x:v>
      </x:c>
      <x:c r="B966" s="12" t="str">
        <x:v>14826</x:v>
      </x:c>
      <x:c r="C966" s="12" t="str">
        <x:v>参考000</x:v>
      </x:c>
      <x:c r="D966" s="12" t="str">
        <x:v>自动000</x:v>
      </x:c>
      <x:c r="E966" s="12" t="n">
        <x:v>0</x:v>
      </x:c>
      <x:c r="F966" s="12" t="n">
        <x:v>0</x:v>
      </x:c>
      <x:c r="G966" s="12" t="n">
        <x:v>0</x:v>
      </x:c>
      <x:c r="H966" s="12" t="n">
        <x:f>IF(SUM(I966:K966)&gt;0,1,0)</x:f>
        <x:v>0</x:v>
      </x:c>
      <x:c r="I966" s="12" t="n">
        <x:f>IF('患者配对'!M1065="positive",1,0)</x:f>
        <x:v>0</x:v>
      </x:c>
      <x:c r="J966" s="12" t="n">
        <x:f>IF('患者配对'!R1065="positive",1,0)</x:f>
        <x:v>0</x:v>
      </x:c>
      <x:c r="K966" s="12" t="n">
        <x:f>IF('患者配对'!W1065="positive",1,0)</x:f>
        <x:v>0</x:v>
      </x:c>
      <x:c r="L966" s="12" t="str">
        <x:v>由原件与原状态取得；仅主队列索引</x:v>
      </x:c>
      <x:c r="M966" s="12"/>
      <x:c r="N966" s="12"/>
      <x:c r="O966" s="12"/>
    </x:row>
    <x:row r="967" ht="39" customHeight="1">
      <x:c r="A967" s="12" t="str">
        <x:v>9422</x:v>
      </x:c>
      <x:c r="B967" s="12" t="str">
        <x:v>9986</x:v>
      </x:c>
      <x:c r="C967" s="12" t="str">
        <x:v>参考000</x:v>
      </x:c>
      <x:c r="D967" s="12" t="str">
        <x:v>自动000</x:v>
      </x:c>
      <x:c r="E967" s="12" t="n">
        <x:v>0</x:v>
      </x:c>
      <x:c r="F967" s="12" t="n">
        <x:v>1</x:v>
      </x:c>
      <x:c r="G967" s="12" t="n">
        <x:v>0</x:v>
      </x:c>
      <x:c r="H967" s="12" t="n">
        <x:f>IF(SUM(I967:K967)&gt;0,1,0)</x:f>
        <x:v>0</x:v>
      </x:c>
      <x:c r="I967" s="12" t="n">
        <x:f>IF('患者配对'!M1066="positive",1,0)</x:f>
        <x:v>0</x:v>
      </x:c>
      <x:c r="J967" s="12" t="n">
        <x:f>IF('患者配对'!R1066="positive",1,0)</x:f>
        <x:v>0</x:v>
      </x:c>
      <x:c r="K967" s="12" t="n">
        <x:f>IF('患者配对'!W1066="positive",1,0)</x:f>
        <x:v>0</x:v>
      </x:c>
      <x:c r="L967" s="12" t="str">
        <x:v>由原件与原状态取得；仅主队列索引</x:v>
      </x:c>
      <x:c r="M967" s="12"/>
      <x:c r="N967" s="12"/>
      <x:c r="O967" s="12"/>
    </x:row>
    <x:row r="968" ht="39" customHeight="1">
      <x:c r="A968" s="12" t="str">
        <x:v>9449</x:v>
      </x:c>
      <x:c r="B968" s="12" t="str">
        <x:v>14581</x:v>
      </x:c>
      <x:c r="C968" s="12" t="str">
        <x:v>参考000</x:v>
      </x:c>
      <x:c r="D968" s="12" t="str">
        <x:v>自动000</x:v>
      </x:c>
      <x:c r="E968" s="12" t="n">
        <x:v>0</x:v>
      </x:c>
      <x:c r="F968" s="12" t="n">
        <x:v>0</x:v>
      </x:c>
      <x:c r="G968" s="12" t="n">
        <x:v>0</x:v>
      </x:c>
      <x:c r="H968" s="12" t="n">
        <x:f>IF(SUM(I968:K968)&gt;0,1,0)</x:f>
        <x:v>0</x:v>
      </x:c>
      <x:c r="I968" s="12" t="n">
        <x:f>IF('患者配对'!M1067="positive",1,0)</x:f>
        <x:v>0</x:v>
      </x:c>
      <x:c r="J968" s="12" t="n">
        <x:f>IF('患者配对'!R1067="positive",1,0)</x:f>
        <x:v>0</x:v>
      </x:c>
      <x:c r="K968" s="12" t="n">
        <x:f>IF('患者配对'!W1067="positive",1,0)</x:f>
        <x:v>0</x:v>
      </x:c>
      <x:c r="L968" s="12" t="str">
        <x:v>由原件与原状态取得；仅主队列索引</x:v>
      </x:c>
      <x:c r="M968" s="12"/>
      <x:c r="N968" s="12"/>
      <x:c r="O968" s="12"/>
    </x:row>
    <x:row r="969" ht="39" customHeight="1">
      <x:c r="A969" s="12" t="str">
        <x:v>9453</x:v>
      </x:c>
      <x:c r="B969" s="12" t="str">
        <x:v>11137</x:v>
      </x:c>
      <x:c r="C969" s="12" t="str">
        <x:v>参考000</x:v>
      </x:c>
      <x:c r="D969" s="12" t="str">
        <x:v>自动000</x:v>
      </x:c>
      <x:c r="E969" s="12" t="n">
        <x:v>0</x:v>
      </x:c>
      <x:c r="F969" s="12" t="n">
        <x:v>1</x:v>
      </x:c>
      <x:c r="G969" s="12" t="n">
        <x:v>0</x:v>
      </x:c>
      <x:c r="H969" s="12" t="n">
        <x:f>IF(SUM(I969:K969)&gt;0,1,0)</x:f>
        <x:v>0</x:v>
      </x:c>
      <x:c r="I969" s="12" t="n">
        <x:f>IF('患者配对'!M1068="positive",1,0)</x:f>
        <x:v>0</x:v>
      </x:c>
      <x:c r="J969" s="12" t="n">
        <x:f>IF('患者配对'!R1068="positive",1,0)</x:f>
        <x:v>0</x:v>
      </x:c>
      <x:c r="K969" s="12" t="n">
        <x:f>IF('患者配对'!W1068="positive",1,0)</x:f>
        <x:v>0</x:v>
      </x:c>
      <x:c r="L969" s="12" t="str">
        <x:v>由原件与原状态取得；仅主队列索引</x:v>
      </x:c>
      <x:c r="M969" s="12"/>
      <x:c r="N969" s="12"/>
      <x:c r="O969" s="12"/>
    </x:row>
    <x:row r="970" ht="39" customHeight="1">
      <x:c r="A970" s="12" t="str">
        <x:v>9458</x:v>
      </x:c>
      <x:c r="B970" s="12" t="str">
        <x:v>9963</x:v>
      </x:c>
      <x:c r="C970" s="12" t="str">
        <x:v>参考000</x:v>
      </x:c>
      <x:c r="D970" s="12" t="str">
        <x:v>自动000</x:v>
      </x:c>
      <x:c r="E970" s="12" t="n">
        <x:v>0</x:v>
      </x:c>
      <x:c r="F970" s="12" t="n">
        <x:v>0</x:v>
      </x:c>
      <x:c r="G970" s="12" t="n">
        <x:v>0</x:v>
      </x:c>
      <x:c r="H970" s="12" t="n">
        <x:f>IF(SUM(I970:K970)&gt;0,1,0)</x:f>
        <x:v>0</x:v>
      </x:c>
      <x:c r="I970" s="12" t="n">
        <x:f>IF('患者配对'!M1069="positive",1,0)</x:f>
        <x:v>0</x:v>
      </x:c>
      <x:c r="J970" s="12" t="n">
        <x:f>IF('患者配对'!R1069="positive",1,0)</x:f>
        <x:v>0</x:v>
      </x:c>
      <x:c r="K970" s="12" t="n">
        <x:f>IF('患者配对'!W1069="positive",1,0)</x:f>
        <x:v>0</x:v>
      </x:c>
      <x:c r="L970" s="12" t="str">
        <x:v>由原件与原状态取得；仅主队列索引</x:v>
      </x:c>
      <x:c r="M970" s="12"/>
      <x:c r="N970" s="12"/>
      <x:c r="O970" s="12"/>
    </x:row>
    <x:row r="971" ht="39" customHeight="1">
      <x:c r="A971" s="12" t="str">
        <x:v>9461</x:v>
      </x:c>
      <x:c r="B971" s="12" t="str">
        <x:v>13216</x:v>
      </x:c>
      <x:c r="C971" s="12" t="str">
        <x:v>参考000</x:v>
      </x:c>
      <x:c r="D971" s="12" t="str">
        <x:v>自动000</x:v>
      </x:c>
      <x:c r="E971" s="12" t="n">
        <x:v>0</x:v>
      </x:c>
      <x:c r="F971" s="12" t="n">
        <x:v>1</x:v>
      </x:c>
      <x:c r="G971" s="12" t="n">
        <x:v>0</x:v>
      </x:c>
      <x:c r="H971" s="12" t="n">
        <x:f>IF(SUM(I971:K971)&gt;0,1,0)</x:f>
        <x:v>0</x:v>
      </x:c>
      <x:c r="I971" s="12" t="n">
        <x:f>IF('患者配对'!M1070="positive",1,0)</x:f>
        <x:v>0</x:v>
      </x:c>
      <x:c r="J971" s="12" t="n">
        <x:f>IF('患者配对'!R1070="positive",1,0)</x:f>
        <x:v>0</x:v>
      </x:c>
      <x:c r="K971" s="12" t="n">
        <x:f>IF('患者配对'!W1070="positive",1,0)</x:f>
        <x:v>0</x:v>
      </x:c>
      <x:c r="L971" s="12" t="str">
        <x:v>由原件与原状态取得；仅主队列索引</x:v>
      </x:c>
      <x:c r="M971" s="12"/>
      <x:c r="N971" s="12"/>
      <x:c r="O971" s="12"/>
    </x:row>
    <x:row r="972" ht="39" customHeight="1">
      <x:c r="A972" s="12" t="str">
        <x:v>9475</x:v>
      </x:c>
      <x:c r="B972" s="12" t="str">
        <x:v>20915</x:v>
      </x:c>
      <x:c r="C972" s="12" t="str">
        <x:v>参考000</x:v>
      </x:c>
      <x:c r="D972" s="12" t="str">
        <x:v>自动000</x:v>
      </x:c>
      <x:c r="E972" s="12" t="n">
        <x:v>0</x:v>
      </x:c>
      <x:c r="F972" s="12" t="n">
        <x:v>0</x:v>
      </x:c>
      <x:c r="G972" s="12" t="n">
        <x:v>0</x:v>
      </x:c>
      <x:c r="H972" s="12" t="n">
        <x:f>IF(SUM(I972:K972)&gt;0,1,0)</x:f>
        <x:v>0</x:v>
      </x:c>
      <x:c r="I972" s="12" t="n">
        <x:f>IF('患者配对'!M1071="positive",1,0)</x:f>
        <x:v>0</x:v>
      </x:c>
      <x:c r="J972" s="12" t="n">
        <x:f>IF('患者配对'!R1071="positive",1,0)</x:f>
        <x:v>0</x:v>
      </x:c>
      <x:c r="K972" s="12" t="n">
        <x:f>IF('患者配对'!W1071="positive",1,0)</x:f>
        <x:v>0</x:v>
      </x:c>
      <x:c r="L972" s="12" t="str">
        <x:v>由原件与原状态取得；仅主队列索引</x:v>
      </x:c>
      <x:c r="M972" s="12"/>
      <x:c r="N972" s="12"/>
      <x:c r="O972" s="12"/>
    </x:row>
    <x:row r="973" ht="39" customHeight="1">
      <x:c r="A973" s="12" t="str">
        <x:v>9543</x:v>
      </x:c>
      <x:c r="B973" s="12" t="str">
        <x:v>20966</x:v>
      </x:c>
      <x:c r="C973" s="12" t="str">
        <x:v>参考000</x:v>
      </x:c>
      <x:c r="D973" s="12" t="str">
        <x:v>自动000</x:v>
      </x:c>
      <x:c r="E973" s="12" t="n">
        <x:v>0</x:v>
      </x:c>
      <x:c r="F973" s="12" t="n">
        <x:v>0</x:v>
      </x:c>
      <x:c r="G973" s="12" t="n">
        <x:v>0</x:v>
      </x:c>
      <x:c r="H973" s="12" t="n">
        <x:f>IF(SUM(I973:K973)&gt;0,1,0)</x:f>
        <x:v>0</x:v>
      </x:c>
      <x:c r="I973" s="12" t="n">
        <x:f>IF('患者配对'!M1072="positive",1,0)</x:f>
        <x:v>0</x:v>
      </x:c>
      <x:c r="J973" s="12" t="n">
        <x:f>IF('患者配对'!R1072="positive",1,0)</x:f>
        <x:v>0</x:v>
      </x:c>
      <x:c r="K973" s="12" t="n">
        <x:f>IF('患者配对'!W1072="positive",1,0)</x:f>
        <x:v>0</x:v>
      </x:c>
      <x:c r="L973" s="12" t="str">
        <x:v>由原件与原状态取得；仅主队列索引</x:v>
      </x:c>
      <x:c r="M973" s="12"/>
      <x:c r="N973" s="12"/>
      <x:c r="O973" s="12"/>
    </x:row>
    <x:row r="974" ht="39" customHeight="1">
      <x:c r="A974" s="12" t="str">
        <x:v>9557</x:v>
      </x:c>
      <x:c r="B974" s="12" t="str">
        <x:v>16196</x:v>
      </x:c>
      <x:c r="C974" s="12" t="str">
        <x:v>参考000</x:v>
      </x:c>
      <x:c r="D974" s="12" t="str">
        <x:v>自动000</x:v>
      </x:c>
      <x:c r="E974" s="12" t="n">
        <x:v>0</x:v>
      </x:c>
      <x:c r="F974" s="12" t="n">
        <x:v>0</x:v>
      </x:c>
      <x:c r="G974" s="12" t="n">
        <x:v>0</x:v>
      </x:c>
      <x:c r="H974" s="12" t="n">
        <x:f>IF(SUM(I974:K974)&gt;0,1,0)</x:f>
        <x:v>0</x:v>
      </x:c>
      <x:c r="I974" s="12" t="n">
        <x:f>IF('患者配对'!M1073="positive",1,0)</x:f>
        <x:v>0</x:v>
      </x:c>
      <x:c r="J974" s="12" t="n">
        <x:f>IF('患者配对'!R1073="positive",1,0)</x:f>
        <x:v>0</x:v>
      </x:c>
      <x:c r="K974" s="12" t="n">
        <x:f>IF('患者配对'!W1073="positive",1,0)</x:f>
        <x:v>0</x:v>
      </x:c>
      <x:c r="L974" s="12" t="str">
        <x:v>由原件与原状态取得；仅主队列索引</x:v>
      </x:c>
      <x:c r="M974" s="12"/>
      <x:c r="N974" s="12"/>
      <x:c r="O974" s="12"/>
    </x:row>
    <x:row r="975" ht="39" customHeight="1">
      <x:c r="A975" s="12" t="str">
        <x:v>9562</x:v>
      </x:c>
      <x:c r="B975" s="12" t="str">
        <x:v>14721</x:v>
      </x:c>
      <x:c r="C975" s="12" t="str">
        <x:v>参考010</x:v>
      </x:c>
      <x:c r="D975" s="12" t="str">
        <x:v>自动010</x:v>
      </x:c>
      <x:c r="E975" s="12" t="n">
        <x:v>1</x:v>
      </x:c>
      <x:c r="F975" s="12" t="n">
        <x:v>1</x:v>
      </x:c>
      <x:c r="G975" s="12" t="n">
        <x:v>0</x:v>
      </x:c>
      <x:c r="H975" s="12" t="n">
        <x:f>IF(SUM(I975:K975)&gt;0,1,0)</x:f>
        <x:v>1</x:v>
      </x:c>
      <x:c r="I975" s="12" t="n">
        <x:f>IF('患者配对'!M1074="positive",1,0)</x:f>
        <x:v>0</x:v>
      </x:c>
      <x:c r="J975" s="12" t="n">
        <x:f>IF('患者配对'!R1074="positive",1,0)</x:f>
        <x:v>1</x:v>
      </x:c>
      <x:c r="K975" s="12" t="n">
        <x:f>IF('患者配对'!W1074="positive",1,0)</x:f>
        <x:v>0</x:v>
      </x:c>
      <x:c r="L975" s="12" t="str">
        <x:v>由原件与原状态取得；仅主队列索引</x:v>
      </x:c>
      <x:c r="M975" s="12"/>
      <x:c r="N975" s="12"/>
      <x:c r="O975" s="12"/>
    </x:row>
    <x:row r="976" ht="39" customHeight="1">
      <x:c r="A976" s="12" t="str">
        <x:v>9570</x:v>
      </x:c>
      <x:c r="B976" s="12" t="str">
        <x:v>18252</x:v>
      </x:c>
      <x:c r="C976" s="12" t="str">
        <x:v>参考000</x:v>
      </x:c>
      <x:c r="D976" s="12" t="str">
        <x:v>自动000</x:v>
      </x:c>
      <x:c r="E976" s="12" t="n">
        <x:v>0</x:v>
      </x:c>
      <x:c r="F976" s="12" t="n">
        <x:v>0</x:v>
      </x:c>
      <x:c r="G976" s="12" t="n">
        <x:v>0</x:v>
      </x:c>
      <x:c r="H976" s="12" t="n">
        <x:f>IF(SUM(I976:K976)&gt;0,1,0)</x:f>
        <x:v>0</x:v>
      </x:c>
      <x:c r="I976" s="12" t="n">
        <x:f>IF('患者配对'!M1075="positive",1,0)</x:f>
        <x:v>0</x:v>
      </x:c>
      <x:c r="J976" s="12" t="n">
        <x:f>IF('患者配对'!R1075="positive",1,0)</x:f>
        <x:v>0</x:v>
      </x:c>
      <x:c r="K976" s="12" t="n">
        <x:f>IF('患者配对'!W1075="positive",1,0)</x:f>
        <x:v>0</x:v>
      </x:c>
      <x:c r="L976" s="12" t="str">
        <x:v>由原件与原状态取得；仅主队列索引</x:v>
      </x:c>
      <x:c r="M976" s="12"/>
      <x:c r="N976" s="12"/>
      <x:c r="O976" s="12"/>
    </x:row>
    <x:row r="977" ht="39" customHeight="1">
      <x:c r="A977" s="12" t="str">
        <x:v>9582</x:v>
      </x:c>
      <x:c r="B977" s="12" t="str">
        <x:v>14940</x:v>
      </x:c>
      <x:c r="C977" s="12" t="str">
        <x:v>参考000</x:v>
      </x:c>
      <x:c r="D977" s="12" t="str">
        <x:v>自动000</x:v>
      </x:c>
      <x:c r="E977" s="12" t="n">
        <x:v>0</x:v>
      </x:c>
      <x:c r="F977" s="12" t="n">
        <x:v>0</x:v>
      </x:c>
      <x:c r="G977" s="12" t="n">
        <x:v>0</x:v>
      </x:c>
      <x:c r="H977" s="12" t="n">
        <x:f>IF(SUM(I977:K977)&gt;0,1,0)</x:f>
        <x:v>0</x:v>
      </x:c>
      <x:c r="I977" s="12" t="n">
        <x:f>IF('患者配对'!M1076="positive",1,0)</x:f>
        <x:v>0</x:v>
      </x:c>
      <x:c r="J977" s="12" t="n">
        <x:f>IF('患者配对'!R1076="positive",1,0)</x:f>
        <x:v>0</x:v>
      </x:c>
      <x:c r="K977" s="12" t="n">
        <x:f>IF('患者配对'!W1076="positive",1,0)</x:f>
        <x:v>0</x:v>
      </x:c>
      <x:c r="L977" s="12" t="str">
        <x:v>由原件与原状态取得；仅主队列索引</x:v>
      </x:c>
      <x:c r="M977" s="12"/>
      <x:c r="N977" s="12"/>
      <x:c r="O977" s="12"/>
    </x:row>
    <x:row r="978" ht="39" customHeight="1">
      <x:c r="A978" s="12" t="str">
        <x:v>9613</x:v>
      </x:c>
      <x:c r="B978" s="12" t="str">
        <x:v>16474</x:v>
      </x:c>
      <x:c r="C978" s="12" t="str">
        <x:v>参考000</x:v>
      </x:c>
      <x:c r="D978" s="12" t="str">
        <x:v>自动000</x:v>
      </x:c>
      <x:c r="E978" s="12" t="n">
        <x:v>0</x:v>
      </x:c>
      <x:c r="F978" s="12" t="n">
        <x:v>0</x:v>
      </x:c>
      <x:c r="G978" s="12" t="n">
        <x:v>0</x:v>
      </x:c>
      <x:c r="H978" s="12" t="n">
        <x:f>IF(SUM(I978:K978)&gt;0,1,0)</x:f>
        <x:v>0</x:v>
      </x:c>
      <x:c r="I978" s="12" t="n">
        <x:f>IF('患者配对'!M1079="positive",1,0)</x:f>
        <x:v>0</x:v>
      </x:c>
      <x:c r="J978" s="12" t="n">
        <x:f>IF('患者配对'!R1079="positive",1,0)</x:f>
        <x:v>0</x:v>
      </x:c>
      <x:c r="K978" s="12" t="n">
        <x:f>IF('患者配对'!W1079="positive",1,0)</x:f>
        <x:v>0</x:v>
      </x:c>
      <x:c r="L978" s="12" t="str">
        <x:v>由原件与原状态取得；仅主队列索引</x:v>
      </x:c>
      <x:c r="M978" s="12"/>
      <x:c r="N978" s="12"/>
      <x:c r="O978" s="12"/>
    </x:row>
    <x:row r="979" ht="39" customHeight="1">
      <x:c r="A979" s="12" t="str">
        <x:v>9616</x:v>
      </x:c>
      <x:c r="B979" s="12" t="str">
        <x:v>9756</x:v>
      </x:c>
      <x:c r="C979" s="12" t="str">
        <x:v>参考000</x:v>
      </x:c>
      <x:c r="D979" s="12" t="str">
        <x:v>自动000</x:v>
      </x:c>
      <x:c r="E979" s="12" t="n">
        <x:v>0</x:v>
      </x:c>
      <x:c r="F979" s="12" t="n">
        <x:v>0</x:v>
      </x:c>
      <x:c r="G979" s="12" t="n">
        <x:v>0</x:v>
      </x:c>
      <x:c r="H979" s="12" t="n">
        <x:f>IF(SUM(I979:K979)&gt;0,1,0)</x:f>
        <x:v>0</x:v>
      </x:c>
      <x:c r="I979" s="12" t="n">
        <x:f>IF('患者配对'!M1080="positive",1,0)</x:f>
        <x:v>0</x:v>
      </x:c>
      <x:c r="J979" s="12" t="n">
        <x:f>IF('患者配对'!R1080="positive",1,0)</x:f>
        <x:v>0</x:v>
      </x:c>
      <x:c r="K979" s="12" t="n">
        <x:f>IF('患者配对'!W1080="positive",1,0)</x:f>
        <x:v>0</x:v>
      </x:c>
      <x:c r="L979" s="12" t="str">
        <x:v>由原件与原状态取得；仅主队列索引</x:v>
      </x:c>
      <x:c r="M979" s="12"/>
      <x:c r="N979" s="12"/>
      <x:c r="O979" s="12"/>
    </x:row>
    <x:row r="980" ht="39" customHeight="1">
      <x:c r="A980" s="12" t="str">
        <x:v>9689</x:v>
      </x:c>
      <x:c r="B980" s="12" t="str">
        <x:v>10740</x:v>
      </x:c>
      <x:c r="C980" s="12" t="str">
        <x:v>参考000</x:v>
      </x:c>
      <x:c r="D980" s="12" t="str">
        <x:v>自动000</x:v>
      </x:c>
      <x:c r="E980" s="12" t="n">
        <x:v>0</x:v>
      </x:c>
      <x:c r="F980" s="12" t="n">
        <x:v>1</x:v>
      </x:c>
      <x:c r="G980" s="12" t="n">
        <x:v>0</x:v>
      </x:c>
      <x:c r="H980" s="12" t="n">
        <x:f>IF(SUM(I980:K980)&gt;0,1,0)</x:f>
        <x:v>0</x:v>
      </x:c>
      <x:c r="I980" s="12" t="n">
        <x:f>IF('患者配对'!M1081="positive",1,0)</x:f>
        <x:v>0</x:v>
      </x:c>
      <x:c r="J980" s="12" t="n">
        <x:f>IF('患者配对'!R1081="positive",1,0)</x:f>
        <x:v>0</x:v>
      </x:c>
      <x:c r="K980" s="12" t="n">
        <x:f>IF('患者配对'!W1081="positive",1,0)</x:f>
        <x:v>0</x:v>
      </x:c>
      <x:c r="L980" s="12" t="str">
        <x:v>由原件与原状态取得；仅主队列索引</x:v>
      </x:c>
      <x:c r="M980" s="12"/>
      <x:c r="N980" s="12"/>
      <x:c r="O980" s="12"/>
    </x:row>
    <x:row r="981" ht="39" customHeight="1">
      <x:c r="A981" s="12" t="str">
        <x:v>9702</x:v>
      </x:c>
      <x:c r="B981" s="12" t="str">
        <x:v>2890</x:v>
      </x:c>
      <x:c r="C981" s="12" t="str">
        <x:v>参考000</x:v>
      </x:c>
      <x:c r="D981" s="12" t="str">
        <x:v>自动000</x:v>
      </x:c>
      <x:c r="E981" s="12" t="n">
        <x:v>0</x:v>
      </x:c>
      <x:c r="F981" s="12" t="n">
        <x:v>0</x:v>
      </x:c>
      <x:c r="G981" s="12" t="n">
        <x:v>0</x:v>
      </x:c>
      <x:c r="H981" s="12" t="n">
        <x:f>IF(SUM(I981:K981)&gt;0,1,0)</x:f>
        <x:v>0</x:v>
      </x:c>
      <x:c r="I981" s="12" t="n">
        <x:f>IF('患者配对'!M1082="positive",1,0)</x:f>
        <x:v>0</x:v>
      </x:c>
      <x:c r="J981" s="12" t="n">
        <x:f>IF('患者配对'!R1082="positive",1,0)</x:f>
        <x:v>0</x:v>
      </x:c>
      <x:c r="K981" s="12" t="n">
        <x:f>IF('患者配对'!W1082="positive",1,0)</x:f>
        <x:v>0</x:v>
      </x:c>
      <x:c r="L981" s="12" t="str">
        <x:v>由原件与原状态取得；仅主队列索引</x:v>
      </x:c>
      <x:c r="M981" s="12"/>
      <x:c r="N981" s="12"/>
      <x:c r="O981" s="12"/>
    </x:row>
    <x:row r="982" ht="39" customHeight="1">
      <x:c r="A982" s="12" t="str">
        <x:v>9730</x:v>
      </x:c>
      <x:c r="B982" s="12" t="str">
        <x:v>1815</x:v>
      </x:c>
      <x:c r="C982" s="12" t="str">
        <x:v>参考000</x:v>
      </x:c>
      <x:c r="D982" s="12" t="str">
        <x:v>自动000</x:v>
      </x:c>
      <x:c r="E982" s="12" t="n">
        <x:v>0</x:v>
      </x:c>
      <x:c r="F982" s="12" t="n">
        <x:v>0</x:v>
      </x:c>
      <x:c r="G982" s="12" t="n">
        <x:v>0</x:v>
      </x:c>
      <x:c r="H982" s="12" t="n">
        <x:f>IF(SUM(I982:K982)&gt;0,1,0)</x:f>
        <x:v>0</x:v>
      </x:c>
      <x:c r="I982" s="12" t="n">
        <x:f>IF('患者配对'!M1083="positive",1,0)</x:f>
        <x:v>0</x:v>
      </x:c>
      <x:c r="J982" s="12" t="n">
        <x:f>IF('患者配对'!R1083="positive",1,0)</x:f>
        <x:v>0</x:v>
      </x:c>
      <x:c r="K982" s="12" t="n">
        <x:f>IF('患者配对'!W1083="positive",1,0)</x:f>
        <x:v>0</x:v>
      </x:c>
      <x:c r="L982" s="12" t="str">
        <x:v>由原件与原状态取得；仅主队列索引</x:v>
      </x:c>
      <x:c r="M982" s="12"/>
      <x:c r="N982" s="12"/>
      <x:c r="O982" s="12"/>
    </x:row>
    <x:row r="983" ht="39" customHeight="1">
      <x:c r="A983" s="12" t="str">
        <x:v>9732</x:v>
      </x:c>
      <x:c r="B983" s="12" t="str">
        <x:v>6910</x:v>
      </x:c>
      <x:c r="C983" s="12" t="str">
        <x:v>参考100</x:v>
      </x:c>
      <x:c r="D983" s="12" t="str">
        <x:v>自动000</x:v>
      </x:c>
      <x:c r="E983" s="12" t="n">
        <x:v>0</x:v>
      </x:c>
      <x:c r="F983" s="12" t="n">
        <x:v>0</x:v>
      </x:c>
      <x:c r="G983" s="12" t="n">
        <x:v>1</x:v>
      </x:c>
      <x:c r="H983" s="12" t="n">
        <x:f>IF(SUM(I983:K983)&gt;0,1,0)</x:f>
        <x:v>1</x:v>
      </x:c>
      <x:c r="I983" s="12" t="n">
        <x:f>IF('患者配对'!M1084="positive",1,0)</x:f>
        <x:v>1</x:v>
      </x:c>
      <x:c r="J983" s="12" t="n">
        <x:f>IF('患者配对'!R1084="positive",1,0)</x:f>
        <x:v>0</x:v>
      </x:c>
      <x:c r="K983" s="12" t="n">
        <x:f>IF('患者配对'!W1084="positive",1,0)</x:f>
        <x:v>0</x:v>
      </x:c>
      <x:c r="L983" s="12" t="str">
        <x:v>由原件与原状态取得；仅主队列索引</x:v>
      </x:c>
      <x:c r="M983" s="12"/>
      <x:c r="N983" s="12"/>
      <x:c r="O983" s="12"/>
    </x:row>
    <x:row r="984" ht="39" customHeight="1">
      <x:c r="A984" s="12" t="str">
        <x:v>9740</x:v>
      </x:c>
      <x:c r="B984" s="12" t="str">
        <x:v>3642</x:v>
      </x:c>
      <x:c r="C984" s="12" t="str">
        <x:v>参考000</x:v>
      </x:c>
      <x:c r="D984" s="12" t="str">
        <x:v>自动000</x:v>
      </x:c>
      <x:c r="E984" s="12" t="n">
        <x:v>0</x:v>
      </x:c>
      <x:c r="F984" s="12" t="n">
        <x:v>0</x:v>
      </x:c>
      <x:c r="G984" s="12" t="n">
        <x:v>0</x:v>
      </x:c>
      <x:c r="H984" s="12" t="n">
        <x:f>IF(SUM(I984:K984)&gt;0,1,0)</x:f>
        <x:v>0</x:v>
      </x:c>
      <x:c r="I984" s="12" t="n">
        <x:f>IF('患者配对'!M1085="positive",1,0)</x:f>
        <x:v>0</x:v>
      </x:c>
      <x:c r="J984" s="12" t="n">
        <x:f>IF('患者配对'!R1085="positive",1,0)</x:f>
        <x:v>0</x:v>
      </x:c>
      <x:c r="K984" s="12" t="n">
        <x:f>IF('患者配对'!W1085="positive",1,0)</x:f>
        <x:v>0</x:v>
      </x:c>
      <x:c r="L984" s="12" t="str">
        <x:v>由原件与原状态取得；仅主队列索引</x:v>
      </x:c>
      <x:c r="M984" s="12"/>
      <x:c r="N984" s="12"/>
      <x:c r="O984" s="12"/>
    </x:row>
    <x:row r="985" ht="39" customHeight="1">
      <x:c r="A985" s="12" t="str">
        <x:v>9744</x:v>
      </x:c>
      <x:c r="B985" s="12" t="str">
        <x:v>6532</x:v>
      </x:c>
      <x:c r="C985" s="12" t="str">
        <x:v>参考000</x:v>
      </x:c>
      <x:c r="D985" s="12" t="str">
        <x:v>自动000</x:v>
      </x:c>
      <x:c r="E985" s="12" t="n">
        <x:v>0</x:v>
      </x:c>
      <x:c r="F985" s="12" t="n">
        <x:v>0</x:v>
      </x:c>
      <x:c r="G985" s="12" t="n">
        <x:v>0</x:v>
      </x:c>
      <x:c r="H985" s="12" t="n">
        <x:f>IF(SUM(I985:K985)&gt;0,1,0)</x:f>
        <x:v>0</x:v>
      </x:c>
      <x:c r="I985" s="12" t="n">
        <x:f>IF('患者配对'!M1086="positive",1,0)</x:f>
        <x:v>0</x:v>
      </x:c>
      <x:c r="J985" s="12" t="n">
        <x:f>IF('患者配对'!R1086="positive",1,0)</x:f>
        <x:v>0</x:v>
      </x:c>
      <x:c r="K985" s="12" t="n">
        <x:f>IF('患者配对'!W1086="positive",1,0)</x:f>
        <x:v>0</x:v>
      </x:c>
      <x:c r="L985" s="12" t="str">
        <x:v>由原件与原状态取得；仅主队列索引</x:v>
      </x:c>
      <x:c r="M985" s="12"/>
      <x:c r="N985" s="12"/>
      <x:c r="O985" s="12"/>
    </x:row>
    <x:row r="986" ht="39" customHeight="1">
      <x:c r="A986" s="12" t="str">
        <x:v>9749</x:v>
      </x:c>
      <x:c r="B986" s="12" t="str">
        <x:v>17595</x:v>
      </x:c>
      <x:c r="C986" s="12" t="str">
        <x:v>参考000</x:v>
      </x:c>
      <x:c r="D986" s="12" t="str">
        <x:v>自动000</x:v>
      </x:c>
      <x:c r="E986" s="12" t="n">
        <x:v>0</x:v>
      </x:c>
      <x:c r="F986" s="12" t="n">
        <x:v>0</x:v>
      </x:c>
      <x:c r="G986" s="12" t="n">
        <x:v>0</x:v>
      </x:c>
      <x:c r="H986" s="12" t="n">
        <x:f>IF(SUM(I986:K986)&gt;0,1,0)</x:f>
        <x:v>0</x:v>
      </x:c>
      <x:c r="I986" s="12" t="n">
        <x:f>IF('患者配对'!M1087="positive",1,0)</x:f>
        <x:v>0</x:v>
      </x:c>
      <x:c r="J986" s="12" t="n">
        <x:f>IF('患者配对'!R1087="positive",1,0)</x:f>
        <x:v>0</x:v>
      </x:c>
      <x:c r="K986" s="12" t="n">
        <x:f>IF('患者配对'!W1087="positive",1,0)</x:f>
        <x:v>0</x:v>
      </x:c>
      <x:c r="L986" s="12" t="str">
        <x:v>由原件与原状态取得；仅主队列索引</x:v>
      </x:c>
      <x:c r="M986" s="12"/>
      <x:c r="N986" s="12"/>
      <x:c r="O986" s="12"/>
    </x:row>
    <x:row r="987" ht="39" customHeight="1">
      <x:c r="A987" s="12" t="str">
        <x:v>9752</x:v>
      </x:c>
      <x:c r="B987" s="12" t="str">
        <x:v>2336</x:v>
      </x:c>
      <x:c r="C987" s="12" t="str">
        <x:v>参考000</x:v>
      </x:c>
      <x:c r="D987" s="12" t="str">
        <x:v>自动000</x:v>
      </x:c>
      <x:c r="E987" s="12" t="n">
        <x:v>0</x:v>
      </x:c>
      <x:c r="F987" s="12" t="n">
        <x:v>0</x:v>
      </x:c>
      <x:c r="G987" s="12" t="n">
        <x:v>0</x:v>
      </x:c>
      <x:c r="H987" s="12" t="n">
        <x:f>IF(SUM(I987:K987)&gt;0,1,0)</x:f>
        <x:v>0</x:v>
      </x:c>
      <x:c r="I987" s="12" t="n">
        <x:f>IF('患者配对'!M1088="positive",1,0)</x:f>
        <x:v>0</x:v>
      </x:c>
      <x:c r="J987" s="12" t="n">
        <x:f>IF('患者配对'!R1088="positive",1,0)</x:f>
        <x:v>0</x:v>
      </x:c>
      <x:c r="K987" s="12" t="n">
        <x:f>IF('患者配对'!W1088="positive",1,0)</x:f>
        <x:v>0</x:v>
      </x:c>
      <x:c r="L987" s="12" t="str">
        <x:v>由原件与原状态取得；仅主队列索引</x:v>
      </x:c>
      <x:c r="M987" s="12"/>
      <x:c r="N987" s="12"/>
      <x:c r="O987" s="12"/>
    </x:row>
    <x:row r="988" ht="39" customHeight="1">
      <x:c r="A988" s="12" t="str">
        <x:v>9756</x:v>
      </x:c>
      <x:c r="B988" s="12" t="str">
        <x:v>21361</x:v>
      </x:c>
      <x:c r="C988" s="12" t="str">
        <x:v>参考100</x:v>
      </x:c>
      <x:c r="D988" s="12" t="str">
        <x:v>自动100</x:v>
      </x:c>
      <x:c r="E988" s="12" t="n">
        <x:v>1</x:v>
      </x:c>
      <x:c r="F988" s="12" t="n">
        <x:v>1</x:v>
      </x:c>
      <x:c r="G988" s="12" t="n">
        <x:v>0</x:v>
      </x:c>
      <x:c r="H988" s="12" t="n">
        <x:f>IF(SUM(I988:K988)&gt;0,1,0)</x:f>
        <x:v>1</x:v>
      </x:c>
      <x:c r="I988" s="12" t="n">
        <x:f>IF('患者配对'!M1090="positive",1,0)</x:f>
        <x:v>1</x:v>
      </x:c>
      <x:c r="J988" s="12" t="n">
        <x:f>IF('患者配对'!R1090="positive",1,0)</x:f>
        <x:v>0</x:v>
      </x:c>
      <x:c r="K988" s="12" t="n">
        <x:f>IF('患者配对'!W1090="positive",1,0)</x:f>
        <x:v>0</x:v>
      </x:c>
      <x:c r="L988" s="12" t="str">
        <x:v>由原件与原状态取得；仅主队列索引</x:v>
      </x:c>
      <x:c r="M988" s="12"/>
      <x:c r="N988" s="12"/>
      <x:c r="O988" s="12"/>
    </x:row>
    <x:row r="989" ht="39" customHeight="1">
      <x:c r="A989" s="12" t="str">
        <x:v>9765</x:v>
      </x:c>
      <x:c r="B989" s="12" t="str">
        <x:v>11027</x:v>
      </x:c>
      <x:c r="C989" s="12" t="str">
        <x:v>参考000</x:v>
      </x:c>
      <x:c r="D989" s="12" t="str">
        <x:v>自动000</x:v>
      </x:c>
      <x:c r="E989" s="12" t="n">
        <x:v>0</x:v>
      </x:c>
      <x:c r="F989" s="12" t="n">
        <x:v>0</x:v>
      </x:c>
      <x:c r="G989" s="12" t="n">
        <x:v>0</x:v>
      </x:c>
      <x:c r="H989" s="12" t="n">
        <x:f>IF(SUM(I989:K989)&gt;0,1,0)</x:f>
        <x:v>0</x:v>
      </x:c>
      <x:c r="I989" s="12" t="n">
        <x:f>IF('患者配对'!M1091="positive",1,0)</x:f>
        <x:v>0</x:v>
      </x:c>
      <x:c r="J989" s="12" t="n">
        <x:f>IF('患者配对'!R1091="positive",1,0)</x:f>
        <x:v>0</x:v>
      </x:c>
      <x:c r="K989" s="12" t="n">
        <x:f>IF('患者配对'!W1091="positive",1,0)</x:f>
        <x:v>0</x:v>
      </x:c>
      <x:c r="L989" s="12" t="str">
        <x:v>由原件与原状态取得；仅主队列索引</x:v>
      </x:c>
      <x:c r="M989" s="12"/>
      <x:c r="N989" s="12"/>
      <x:c r="O989" s="12"/>
    </x:row>
    <x:row r="990" ht="39" customHeight="1">
      <x:c r="A990" s="12" t="str">
        <x:v>9773</x:v>
      </x:c>
      <x:c r="B990" s="12" t="str">
        <x:v>6161</x:v>
      </x:c>
      <x:c r="C990" s="12" t="str">
        <x:v>参考000</x:v>
      </x:c>
      <x:c r="D990" s="12" t="str">
        <x:v>自动000</x:v>
      </x:c>
      <x:c r="E990" s="12" t="n">
        <x:v>0</x:v>
      </x:c>
      <x:c r="F990" s="12" t="n">
        <x:v>0</x:v>
      </x:c>
      <x:c r="G990" s="12" t="n">
        <x:v>0</x:v>
      </x:c>
      <x:c r="H990" s="12" t="n">
        <x:f>IF(SUM(I990:K990)&gt;0,1,0)</x:f>
        <x:v>0</x:v>
      </x:c>
      <x:c r="I990" s="12" t="n">
        <x:f>IF('患者配对'!M1092="positive",1,0)</x:f>
        <x:v>0</x:v>
      </x:c>
      <x:c r="J990" s="12" t="n">
        <x:f>IF('患者配对'!R1092="positive",1,0)</x:f>
        <x:v>0</x:v>
      </x:c>
      <x:c r="K990" s="12" t="n">
        <x:f>IF('患者配对'!W1092="positive",1,0)</x:f>
        <x:v>0</x:v>
      </x:c>
      <x:c r="L990" s="12" t="str">
        <x:v>由原件与原状态取得；仅主队列索引</x:v>
      </x:c>
      <x:c r="M990" s="12"/>
      <x:c r="N990" s="12"/>
      <x:c r="O990" s="12"/>
    </x:row>
    <x:row r="991" ht="39" customHeight="1">
      <x:c r="A991" s="12" t="str">
        <x:v>9791</x:v>
      </x:c>
      <x:c r="B991" s="12" t="str">
        <x:v>3416</x:v>
      </x:c>
      <x:c r="C991" s="12" t="str">
        <x:v>参考000</x:v>
      </x:c>
      <x:c r="D991" s="12" t="str">
        <x:v>自动000</x:v>
      </x:c>
      <x:c r="E991" s="12" t="n">
        <x:v>0</x:v>
      </x:c>
      <x:c r="F991" s="12" t="n">
        <x:v>0</x:v>
      </x:c>
      <x:c r="G991" s="12" t="n">
        <x:v>0</x:v>
      </x:c>
      <x:c r="H991" s="12" t="n">
        <x:f>IF(SUM(I991:K991)&gt;0,1,0)</x:f>
        <x:v>0</x:v>
      </x:c>
      <x:c r="I991" s="12" t="n">
        <x:f>IF('患者配对'!M1093="positive",1,0)</x:f>
        <x:v>0</x:v>
      </x:c>
      <x:c r="J991" s="12" t="n">
        <x:f>IF('患者配对'!R1093="positive",1,0)</x:f>
        <x:v>0</x:v>
      </x:c>
      <x:c r="K991" s="12" t="n">
        <x:f>IF('患者配对'!W1093="positive",1,0)</x:f>
        <x:v>0</x:v>
      </x:c>
      <x:c r="L991" s="12" t="str">
        <x:v>由原件与原状态取得；仅主队列索引</x:v>
      </x:c>
      <x:c r="M991" s="12"/>
      <x:c r="N991" s="12"/>
      <x:c r="O991" s="12"/>
    </x:row>
    <x:row r="992" ht="39" customHeight="1">
      <x:c r="A992" s="12" t="str">
        <x:v>9794</x:v>
      </x:c>
      <x:c r="B992" s="12" t="str">
        <x:v>4101</x:v>
      </x:c>
      <x:c r="C992" s="12" t="str">
        <x:v>参考000</x:v>
      </x:c>
      <x:c r="D992" s="12" t="str">
        <x:v>自动000</x:v>
      </x:c>
      <x:c r="E992" s="12" t="n">
        <x:v>0</x:v>
      </x:c>
      <x:c r="F992" s="12" t="n">
        <x:v>0</x:v>
      </x:c>
      <x:c r="G992" s="12" t="n">
        <x:v>0</x:v>
      </x:c>
      <x:c r="H992" s="12" t="n">
        <x:f>IF(SUM(I992:K992)&gt;0,1,0)</x:f>
        <x:v>0</x:v>
      </x:c>
      <x:c r="I992" s="12" t="n">
        <x:f>IF('患者配对'!M1094="positive",1,0)</x:f>
        <x:v>0</x:v>
      </x:c>
      <x:c r="J992" s="12" t="n">
        <x:f>IF('患者配对'!R1094="positive",1,0)</x:f>
        <x:v>0</x:v>
      </x:c>
      <x:c r="K992" s="12" t="n">
        <x:f>IF('患者配对'!W1094="positive",1,0)</x:f>
        <x:v>0</x:v>
      </x:c>
      <x:c r="L992" s="12" t="str">
        <x:v>由原件与原状态取得；仅主队列索引</x:v>
      </x:c>
      <x:c r="M992" s="12"/>
      <x:c r="N992" s="12"/>
      <x:c r="O992" s="12"/>
    </x:row>
    <x:row r="993" ht="39" customHeight="1">
      <x:c r="A993" s="12" t="str">
        <x:v>9803</x:v>
      </x:c>
      <x:c r="B993" s="12" t="str">
        <x:v>5774</x:v>
      </x:c>
      <x:c r="C993" s="12" t="str">
        <x:v>参考000</x:v>
      </x:c>
      <x:c r="D993" s="12" t="str">
        <x:v>自动000</x:v>
      </x:c>
      <x:c r="E993" s="12" t="n">
        <x:v>0</x:v>
      </x:c>
      <x:c r="F993" s="12" t="n">
        <x:v>0</x:v>
      </x:c>
      <x:c r="G993" s="12" t="n">
        <x:v>0</x:v>
      </x:c>
      <x:c r="H993" s="12" t="n">
        <x:f>IF(SUM(I993:K993)&gt;0,1,0)</x:f>
        <x:v>0</x:v>
      </x:c>
      <x:c r="I993" s="12" t="n">
        <x:f>IF('患者配对'!M1095="positive",1,0)</x:f>
        <x:v>0</x:v>
      </x:c>
      <x:c r="J993" s="12" t="n">
        <x:f>IF('患者配对'!R1095="positive",1,0)</x:f>
        <x:v>0</x:v>
      </x:c>
      <x:c r="K993" s="12" t="n">
        <x:f>IF('患者配对'!W1095="positive",1,0)</x:f>
        <x:v>0</x:v>
      </x:c>
      <x:c r="L993" s="12" t="str">
        <x:v>由原件与原状态取得；仅主队列索引</x:v>
      </x:c>
      <x:c r="M993" s="12"/>
      <x:c r="N993" s="12"/>
      <x:c r="O993" s="12"/>
    </x:row>
    <x:row r="994" ht="39" customHeight="1">
      <x:c r="A994" s="12" t="str">
        <x:v>9819</x:v>
      </x:c>
      <x:c r="B994" s="12" t="str">
        <x:v>13457</x:v>
      </x:c>
      <x:c r="C994" s="12" t="str">
        <x:v>参考000</x:v>
      </x:c>
      <x:c r="D994" s="12" t="str">
        <x:v>自动000</x:v>
      </x:c>
      <x:c r="E994" s="12" t="n">
        <x:v>0</x:v>
      </x:c>
      <x:c r="F994" s="12" t="n">
        <x:v>1</x:v>
      </x:c>
      <x:c r="G994" s="12" t="n">
        <x:v>0</x:v>
      </x:c>
      <x:c r="H994" s="12" t="n">
        <x:f>IF(SUM(I994:K994)&gt;0,1,0)</x:f>
        <x:v>0</x:v>
      </x:c>
      <x:c r="I994" s="12" t="n">
        <x:f>IF('患者配对'!M1096="positive",1,0)</x:f>
        <x:v>0</x:v>
      </x:c>
      <x:c r="J994" s="12" t="n">
        <x:f>IF('患者配对'!R1096="positive",1,0)</x:f>
        <x:v>0</x:v>
      </x:c>
      <x:c r="K994" s="12" t="n">
        <x:f>IF('患者配对'!W1096="positive",1,0)</x:f>
        <x:v>0</x:v>
      </x:c>
      <x:c r="L994" s="12" t="str">
        <x:v>由原件与原状态取得；仅主队列索引</x:v>
      </x:c>
      <x:c r="M994" s="12"/>
      <x:c r="N994" s="12"/>
      <x:c r="O994" s="12"/>
    </x:row>
    <x:row r="995" ht="39" customHeight="1">
      <x:c r="A995" s="12" t="str">
        <x:v>9823</x:v>
      </x:c>
      <x:c r="B995" s="12" t="str">
        <x:v>16921</x:v>
      </x:c>
      <x:c r="C995" s="12" t="str">
        <x:v>参考000</x:v>
      </x:c>
      <x:c r="D995" s="12" t="str">
        <x:v>自动000</x:v>
      </x:c>
      <x:c r="E995" s="12" t="n">
        <x:v>0</x:v>
      </x:c>
      <x:c r="F995" s="12" t="n">
        <x:v>0</x:v>
      </x:c>
      <x:c r="G995" s="12" t="n">
        <x:v>0</x:v>
      </x:c>
      <x:c r="H995" s="12" t="n">
        <x:f>IF(SUM(I995:K995)&gt;0,1,0)</x:f>
        <x:v>0</x:v>
      </x:c>
      <x:c r="I995" s="12" t="n">
        <x:f>IF('患者配对'!M1097="positive",1,0)</x:f>
        <x:v>0</x:v>
      </x:c>
      <x:c r="J995" s="12" t="n">
        <x:f>IF('患者配对'!R1097="positive",1,0)</x:f>
        <x:v>0</x:v>
      </x:c>
      <x:c r="K995" s="12" t="n">
        <x:f>IF('患者配对'!W1097="positive",1,0)</x:f>
        <x:v>0</x:v>
      </x:c>
      <x:c r="L995" s="12" t="str">
        <x:v>由原件与原状态取得；仅主队列索引</x:v>
      </x:c>
      <x:c r="M995" s="12"/>
      <x:c r="N995" s="12"/>
      <x:c r="O995" s="12"/>
    </x:row>
    <x:row r="996" ht="39" customHeight="1">
      <x:c r="A996" s="12" t="str">
        <x:v>9833</x:v>
      </x:c>
      <x:c r="B996" s="12" t="str">
        <x:v>20060</x:v>
      </x:c>
      <x:c r="C996" s="12" t="str">
        <x:v>参考000</x:v>
      </x:c>
      <x:c r="D996" s="12" t="str">
        <x:v>自动000</x:v>
      </x:c>
      <x:c r="E996" s="12" t="n">
        <x:v>0</x:v>
      </x:c>
      <x:c r="F996" s="12" t="n">
        <x:v>0</x:v>
      </x:c>
      <x:c r="G996" s="12" t="n">
        <x:v>0</x:v>
      </x:c>
      <x:c r="H996" s="12" t="n">
        <x:f>IF(SUM(I996:K996)&gt;0,1,0)</x:f>
        <x:v>0</x:v>
      </x:c>
      <x:c r="I996" s="12" t="n">
        <x:f>IF('患者配对'!M1098="positive",1,0)</x:f>
        <x:v>0</x:v>
      </x:c>
      <x:c r="J996" s="12" t="n">
        <x:f>IF('患者配对'!R1098="positive",1,0)</x:f>
        <x:v>0</x:v>
      </x:c>
      <x:c r="K996" s="12" t="n">
        <x:f>IF('患者配对'!W1098="positive",1,0)</x:f>
        <x:v>0</x:v>
      </x:c>
      <x:c r="L996" s="12" t="str">
        <x:v>由原件与原状态取得；仅主队列索引</x:v>
      </x:c>
      <x:c r="M996" s="12"/>
      <x:c r="N996" s="12"/>
      <x:c r="O996" s="12"/>
    </x:row>
    <x:row r="997" ht="39" customHeight="1">
      <x:c r="A997" s="12" t="str">
        <x:v>9850</x:v>
      </x:c>
      <x:c r="B997" s="12" t="str">
        <x:v>14941</x:v>
      </x:c>
      <x:c r="C997" s="12" t="str">
        <x:v>参考000</x:v>
      </x:c>
      <x:c r="D997" s="12" t="str">
        <x:v>自动000</x:v>
      </x:c>
      <x:c r="E997" s="12" t="n">
        <x:v>0</x:v>
      </x:c>
      <x:c r="F997" s="12" t="n">
        <x:v>0</x:v>
      </x:c>
      <x:c r="G997" s="12" t="n">
        <x:v>0</x:v>
      </x:c>
      <x:c r="H997" s="12" t="n">
        <x:f>IF(SUM(I997:K997)&gt;0,1,0)</x:f>
        <x:v>0</x:v>
      </x:c>
      <x:c r="I997" s="12" t="n">
        <x:f>IF('患者配对'!M1099="positive",1,0)</x:f>
        <x:v>0</x:v>
      </x:c>
      <x:c r="J997" s="12" t="n">
        <x:f>IF('患者配对'!R1099="positive",1,0)</x:f>
        <x:v>0</x:v>
      </x:c>
      <x:c r="K997" s="12" t="n">
        <x:f>IF('患者配对'!W1099="positive",1,0)</x:f>
        <x:v>0</x:v>
      </x:c>
      <x:c r="L997" s="12" t="str">
        <x:v>由原件与原状态取得；仅主队列索引</x:v>
      </x:c>
      <x:c r="M997" s="12"/>
      <x:c r="N997" s="12"/>
      <x:c r="O997" s="12"/>
    </x:row>
    <x:row r="998" ht="39" customHeight="1">
      <x:c r="A998" s="12" t="str">
        <x:v>9860</x:v>
      </x:c>
      <x:c r="B998" s="12" t="str">
        <x:v>4710</x:v>
      </x:c>
      <x:c r="C998" s="12" t="str">
        <x:v>参考000</x:v>
      </x:c>
      <x:c r="D998" s="12" t="str">
        <x:v>自动000</x:v>
      </x:c>
      <x:c r="E998" s="12" t="n">
        <x:v>0</x:v>
      </x:c>
      <x:c r="F998" s="12" t="n">
        <x:v>0</x:v>
      </x:c>
      <x:c r="G998" s="12" t="n">
        <x:v>0</x:v>
      </x:c>
      <x:c r="H998" s="12" t="n">
        <x:f>IF(SUM(I998:K998)&gt;0,1,0)</x:f>
        <x:v>0</x:v>
      </x:c>
      <x:c r="I998" s="12" t="n">
        <x:f>IF('患者配对'!M1100="positive",1,0)</x:f>
        <x:v>0</x:v>
      </x:c>
      <x:c r="J998" s="12" t="n">
        <x:f>IF('患者配对'!R1100="positive",1,0)</x:f>
        <x:v>0</x:v>
      </x:c>
      <x:c r="K998" s="12" t="n">
        <x:f>IF('患者配对'!W1100="positive",1,0)</x:f>
        <x:v>0</x:v>
      </x:c>
      <x:c r="L998" s="12" t="str">
        <x:v>由原件与原状态取得；仅主队列索引</x:v>
      </x:c>
      <x:c r="M998" s="12"/>
      <x:c r="N998" s="12"/>
      <x:c r="O998" s="12"/>
    </x:row>
    <x:row r="999" ht="39" customHeight="1">
      <x:c r="A999" s="12" t="str">
        <x:v>9863</x:v>
      </x:c>
      <x:c r="B999" s="12" t="str">
        <x:v>15322</x:v>
      </x:c>
      <x:c r="C999" s="12" t="str">
        <x:v>参考000</x:v>
      </x:c>
      <x:c r="D999" s="12" t="str">
        <x:v>自动000</x:v>
      </x:c>
      <x:c r="E999" s="12" t="n">
        <x:v>0</x:v>
      </x:c>
      <x:c r="F999" s="12" t="n">
        <x:v>0</x:v>
      </x:c>
      <x:c r="G999" s="12" t="n">
        <x:v>0</x:v>
      </x:c>
      <x:c r="H999" s="12" t="n">
        <x:f>IF(SUM(I999:K999)&gt;0,1,0)</x:f>
        <x:v>0</x:v>
      </x:c>
      <x:c r="I999" s="12" t="n">
        <x:f>IF('患者配对'!M1101="positive",1,0)</x:f>
        <x:v>0</x:v>
      </x:c>
      <x:c r="J999" s="12" t="n">
        <x:f>IF('患者配对'!R1101="positive",1,0)</x:f>
        <x:v>0</x:v>
      </x:c>
      <x:c r="K999" s="12" t="n">
        <x:f>IF('患者配对'!W1101="positive",1,0)</x:f>
        <x:v>0</x:v>
      </x:c>
      <x:c r="L999" s="12" t="str">
        <x:v>由原件与原状态取得；仅主队列索引</x:v>
      </x:c>
      <x:c r="M999" s="12"/>
      <x:c r="N999" s="12"/>
      <x:c r="O999" s="12"/>
    </x:row>
    <x:row r="1000" ht="39" customHeight="1">
      <x:c r="A1000" s="12" t="str">
        <x:v>9865</x:v>
      </x:c>
      <x:c r="B1000" s="12" t="str">
        <x:v>20167</x:v>
      </x:c>
      <x:c r="C1000" s="12" t="str">
        <x:v>参考000</x:v>
      </x:c>
      <x:c r="D1000" s="12" t="str">
        <x:v>自动000</x:v>
      </x:c>
      <x:c r="E1000" s="12" t="n">
        <x:v>0</x:v>
      </x:c>
      <x:c r="F1000" s="12" t="n">
        <x:v>1</x:v>
      </x:c>
      <x:c r="G1000" s="12" t="n">
        <x:v>0</x:v>
      </x:c>
      <x:c r="H1000" s="12" t="n">
        <x:f>IF(SUM(I1000:K1000)&gt;0,1,0)</x:f>
        <x:v>0</x:v>
      </x:c>
      <x:c r="I1000" s="12" t="n">
        <x:f>IF('患者配对'!M1102="positive",1,0)</x:f>
        <x:v>0</x:v>
      </x:c>
      <x:c r="J1000" s="12" t="n">
        <x:f>IF('患者配对'!R1102="positive",1,0)</x:f>
        <x:v>0</x:v>
      </x:c>
      <x:c r="K1000" s="12" t="n">
        <x:f>IF('患者配对'!W1102="positive",1,0)</x:f>
        <x:v>0</x:v>
      </x:c>
      <x:c r="L1000" s="12" t="str">
        <x:v>由原件与原状态取得；仅主队列索引</x:v>
      </x:c>
      <x:c r="M1000" s="12"/>
      <x:c r="N1000" s="12"/>
      <x:c r="O1000" s="12"/>
    </x:row>
    <x:row r="1001" ht="39" customHeight="1">
      <x:c r="A1001" s="12" t="str">
        <x:v>9867</x:v>
      </x:c>
      <x:c r="B1001" s="12" t="str">
        <x:v>7276</x:v>
      </x:c>
      <x:c r="C1001" s="12" t="str">
        <x:v>参考000</x:v>
      </x:c>
      <x:c r="D1001" s="12" t="str">
        <x:v>自动000</x:v>
      </x:c>
      <x:c r="E1001" s="12" t="n">
        <x:v>0</x:v>
      </x:c>
      <x:c r="F1001" s="12" t="n">
        <x:v>0</x:v>
      </x:c>
      <x:c r="G1001" s="12" t="n">
        <x:v>0</x:v>
      </x:c>
      <x:c r="H1001" s="12" t="n">
        <x:f>IF(SUM(I1001:K1001)&gt;0,1,0)</x:f>
        <x:v>0</x:v>
      </x:c>
      <x:c r="I1001" s="12" t="n">
        <x:f>IF('患者配对'!M1103="positive",1,0)</x:f>
        <x:v>0</x:v>
      </x:c>
      <x:c r="J1001" s="12" t="n">
        <x:f>IF('患者配对'!R1103="positive",1,0)</x:f>
        <x:v>0</x:v>
      </x:c>
      <x:c r="K1001" s="12" t="n">
        <x:f>IF('患者配对'!W1103="positive",1,0)</x:f>
        <x:v>0</x:v>
      </x:c>
      <x:c r="L1001" s="12" t="str">
        <x:v>由原件与原状态取得；仅主队列索引</x:v>
      </x:c>
      <x:c r="M1001" s="12"/>
      <x:c r="N1001" s="12"/>
      <x:c r="O1001" s="12"/>
    </x:row>
    <x:row r="1002" ht="39" customHeight="1">
      <x:c r="A1002" s="12" t="str">
        <x:v>9869</x:v>
      </x:c>
      <x:c r="B1002" s="12" t="str">
        <x:v>8286</x:v>
      </x:c>
      <x:c r="C1002" s="12" t="str">
        <x:v>参考000</x:v>
      </x:c>
      <x:c r="D1002" s="12" t="str">
        <x:v>自动000</x:v>
      </x:c>
      <x:c r="E1002" s="12" t="n">
        <x:v>0</x:v>
      </x:c>
      <x:c r="F1002" s="12" t="n">
        <x:v>0</x:v>
      </x:c>
      <x:c r="G1002" s="12" t="n">
        <x:v>0</x:v>
      </x:c>
      <x:c r="H1002" s="12" t="n">
        <x:f>IF(SUM(I1002:K1002)&gt;0,1,0)</x:f>
        <x:v>0</x:v>
      </x:c>
      <x:c r="I1002" s="12" t="n">
        <x:f>IF('患者配对'!M1104="positive",1,0)</x:f>
        <x:v>0</x:v>
      </x:c>
      <x:c r="J1002" s="12" t="n">
        <x:f>IF('患者配对'!R1104="positive",1,0)</x:f>
        <x:v>0</x:v>
      </x:c>
      <x:c r="K1002" s="12" t="n">
        <x:f>IF('患者配对'!W1104="positive",1,0)</x:f>
        <x:v>0</x:v>
      </x:c>
      <x:c r="L1002" s="12" t="str">
        <x:v>由原件与原状态取得；仅主队列索引</x:v>
      </x:c>
      <x:c r="M1002" s="12"/>
      <x:c r="N1002" s="12"/>
      <x:c r="O1002" s="12"/>
    </x:row>
    <x:row r="1003" ht="39" customHeight="1">
      <x:c r="A1003" s="12" t="str">
        <x:v>9873</x:v>
      </x:c>
      <x:c r="B1003" s="12" t="str">
        <x:v>21626</x:v>
      </x:c>
      <x:c r="C1003" s="12" t="str">
        <x:v>参考000</x:v>
      </x:c>
      <x:c r="D1003" s="12" t="str">
        <x:v>自动000</x:v>
      </x:c>
      <x:c r="E1003" s="12" t="n">
        <x:v>0</x:v>
      </x:c>
      <x:c r="F1003" s="12" t="n">
        <x:v>1</x:v>
      </x:c>
      <x:c r="G1003" s="12" t="n">
        <x:v>0</x:v>
      </x:c>
      <x:c r="H1003" s="12" t="n">
        <x:f>IF(SUM(I1003:K1003)&gt;0,1,0)</x:f>
        <x:v>0</x:v>
      </x:c>
      <x:c r="I1003" s="12" t="n">
        <x:f>IF('患者配对'!M1105="positive",1,0)</x:f>
        <x:v>0</x:v>
      </x:c>
      <x:c r="J1003" s="12" t="n">
        <x:f>IF('患者配对'!R1105="positive",1,0)</x:f>
        <x:v>0</x:v>
      </x:c>
      <x:c r="K1003" s="12" t="n">
        <x:f>IF('患者配对'!W1105="positive",1,0)</x:f>
        <x:v>0</x:v>
      </x:c>
      <x:c r="L1003" s="12" t="str">
        <x:v>由原件与原状态取得；仅主队列索引</x:v>
      </x:c>
      <x:c r="M1003" s="12"/>
      <x:c r="N1003" s="12"/>
      <x:c r="O1003" s="12"/>
    </x:row>
    <x:row r="1004" ht="39" customHeight="1">
      <x:c r="A1004" s="12" t="str">
        <x:v>9875</x:v>
      </x:c>
      <x:c r="B1004" s="12" t="str">
        <x:v>20737</x:v>
      </x:c>
      <x:c r="C1004" s="12" t="str">
        <x:v>参考000</x:v>
      </x:c>
      <x:c r="D1004" s="12" t="str">
        <x:v>自动000</x:v>
      </x:c>
      <x:c r="E1004" s="12" t="n">
        <x:v>0</x:v>
      </x:c>
      <x:c r="F1004" s="12" t="n">
        <x:v>0</x:v>
      </x:c>
      <x:c r="G1004" s="12" t="n">
        <x:v>0</x:v>
      </x:c>
      <x:c r="H1004" s="12" t="n">
        <x:f>IF(SUM(I1004:K1004)&gt;0,1,0)</x:f>
        <x:v>0</x:v>
      </x:c>
      <x:c r="I1004" s="12" t="n">
        <x:f>IF('患者配对'!M1106="positive",1,0)</x:f>
        <x:v>0</x:v>
      </x:c>
      <x:c r="J1004" s="12" t="n">
        <x:f>IF('患者配对'!R1106="positive",1,0)</x:f>
        <x:v>0</x:v>
      </x:c>
      <x:c r="K1004" s="12" t="n">
        <x:f>IF('患者配对'!W1106="positive",1,0)</x:f>
        <x:v>0</x:v>
      </x:c>
      <x:c r="L1004" s="12" t="str">
        <x:v>由原件与原状态取得；仅主队列索引</x:v>
      </x:c>
      <x:c r="M1004" s="12"/>
      <x:c r="N1004" s="12"/>
      <x:c r="O1004" s="12"/>
    </x:row>
    <x:row r="1005" ht="39" customHeight="1">
      <x:c r="A1005" s="12" t="str">
        <x:v>9891</x:v>
      </x:c>
      <x:c r="B1005" s="12" t="str">
        <x:v>12170</x:v>
      </x:c>
      <x:c r="C1005" s="12" t="str">
        <x:v>参考000</x:v>
      </x:c>
      <x:c r="D1005" s="12" t="str">
        <x:v>自动000</x:v>
      </x:c>
      <x:c r="E1005" s="12" t="n">
        <x:v>0</x:v>
      </x:c>
      <x:c r="F1005" s="12" t="n">
        <x:v>0</x:v>
      </x:c>
      <x:c r="G1005" s="12" t="n">
        <x:v>0</x:v>
      </x:c>
      <x:c r="H1005" s="12" t="n">
        <x:f>IF(SUM(I1005:K1005)&gt;0,1,0)</x:f>
        <x:v>0</x:v>
      </x:c>
      <x:c r="I1005" s="12" t="n">
        <x:f>IF('患者配对'!M1107="positive",1,0)</x:f>
        <x:v>0</x:v>
      </x:c>
      <x:c r="J1005" s="12" t="n">
        <x:f>IF('患者配对'!R1107="positive",1,0)</x:f>
        <x:v>0</x:v>
      </x:c>
      <x:c r="K1005" s="12" t="n">
        <x:f>IF('患者配对'!W1107="positive",1,0)</x:f>
        <x:v>0</x:v>
      </x:c>
      <x:c r="L1005" s="12" t="str">
        <x:v>由原件与原状态取得；仅主队列索引</x:v>
      </x:c>
      <x:c r="M1005" s="12"/>
      <x:c r="N1005" s="12"/>
      <x:c r="O1005" s="12"/>
    </x:row>
    <x:row r="1006" ht="39" customHeight="1">
      <x:c r="A1006" s="12" t="str">
        <x:v>9892</x:v>
      </x:c>
      <x:c r="B1006" s="12" t="str">
        <x:v>16677</x:v>
      </x:c>
      <x:c r="C1006" s="12" t="str">
        <x:v>参考000</x:v>
      </x:c>
      <x:c r="D1006" s="12" t="str">
        <x:v>自动000</x:v>
      </x:c>
      <x:c r="E1006" s="12" t="n">
        <x:v>0</x:v>
      </x:c>
      <x:c r="F1006" s="12" t="n">
        <x:v>0</x:v>
      </x:c>
      <x:c r="G1006" s="12" t="n">
        <x:v>0</x:v>
      </x:c>
      <x:c r="H1006" s="12" t="n">
        <x:f>IF(SUM(I1006:K1006)&gt;0,1,0)</x:f>
        <x:v>0</x:v>
      </x:c>
      <x:c r="I1006" s="12" t="n">
        <x:f>IF('患者配对'!M1108="positive",1,0)</x:f>
        <x:v>0</x:v>
      </x:c>
      <x:c r="J1006" s="12" t="n">
        <x:f>IF('患者配对'!R1108="positive",1,0)</x:f>
        <x:v>0</x:v>
      </x:c>
      <x:c r="K1006" s="12" t="n">
        <x:f>IF('患者配对'!W1108="positive",1,0)</x:f>
        <x:v>0</x:v>
      </x:c>
      <x:c r="L1006" s="12" t="str">
        <x:v>由原件与原状态取得；仅主队列索引</x:v>
      </x:c>
      <x:c r="M1006" s="12"/>
      <x:c r="N1006" s="12"/>
      <x:c r="O1006" s="12"/>
    </x:row>
    <x:row r="1007" ht="39" customHeight="1">
      <x:c r="A1007" s="12" t="str">
        <x:v>9897</x:v>
      </x:c>
      <x:c r="B1007" s="12" t="str">
        <x:v>21600</x:v>
      </x:c>
      <x:c r="C1007" s="12" t="str">
        <x:v>参考000</x:v>
      </x:c>
      <x:c r="D1007" s="12" t="str">
        <x:v>自动000</x:v>
      </x:c>
      <x:c r="E1007" s="12" t="n">
        <x:v>0</x:v>
      </x:c>
      <x:c r="F1007" s="12" t="n">
        <x:v>0</x:v>
      </x:c>
      <x:c r="G1007" s="12" t="n">
        <x:v>0</x:v>
      </x:c>
      <x:c r="H1007" s="12" t="n">
        <x:f>IF(SUM(I1007:K1007)&gt;0,1,0)</x:f>
        <x:v>0</x:v>
      </x:c>
      <x:c r="I1007" s="12" t="n">
        <x:f>IF('患者配对'!M1109="positive",1,0)</x:f>
        <x:v>0</x:v>
      </x:c>
      <x:c r="J1007" s="12" t="n">
        <x:f>IF('患者配对'!R1109="positive",1,0)</x:f>
        <x:v>0</x:v>
      </x:c>
      <x:c r="K1007" s="12" t="n">
        <x:f>IF('患者配对'!W1109="positive",1,0)</x:f>
        <x:v>0</x:v>
      </x:c>
      <x:c r="L1007" s="12" t="str">
        <x:v>由原件与原状态取得；仅主队列索引</x:v>
      </x:c>
      <x:c r="M1007" s="12"/>
      <x:c r="N1007" s="12"/>
      <x:c r="O1007" s="12"/>
    </x:row>
    <x:row r="1008" ht="39" customHeight="1">
      <x:c r="A1008" s="12" t="str">
        <x:v>9929</x:v>
      </x:c>
      <x:c r="B1008" s="12" t="str">
        <x:v>11217</x:v>
      </x:c>
      <x:c r="C1008" s="12" t="str">
        <x:v>参考101</x:v>
      </x:c>
      <x:c r="D1008" s="12" t="str">
        <x:v>自动101</x:v>
      </x:c>
      <x:c r="E1008" s="12" t="n">
        <x:v>1</x:v>
      </x:c>
      <x:c r="F1008" s="12" t="n">
        <x:v>1</x:v>
      </x:c>
      <x:c r="G1008" s="12" t="n">
        <x:v>0</x:v>
      </x:c>
      <x:c r="H1008" s="12" t="n">
        <x:f>IF(SUM(I1008:K1008)&gt;0,1,0)</x:f>
        <x:v>1</x:v>
      </x:c>
      <x:c r="I1008" s="12" t="n">
        <x:f>IF('患者配对'!M1110="positive",1,0)</x:f>
        <x:v>1</x:v>
      </x:c>
      <x:c r="J1008" s="12" t="n">
        <x:f>IF('患者配对'!R1110="positive",1,0)</x:f>
        <x:v>0</x:v>
      </x:c>
      <x:c r="K1008" s="12" t="n">
        <x:f>IF('患者配对'!W1110="positive",1,0)</x:f>
        <x:v>1</x:v>
      </x:c>
      <x:c r="L1008" s="12" t="str">
        <x:v>由原件与原状态取得；仅主队列索引</x:v>
      </x:c>
      <x:c r="M1008" s="12"/>
      <x:c r="N1008" s="12"/>
      <x:c r="O1008" s="12"/>
    </x:row>
    <x:row r="1009" ht="39" customHeight="1">
      <x:c r="A1009" s="12" t="str">
        <x:v>9930</x:v>
      </x:c>
      <x:c r="B1009" s="12" t="str">
        <x:v>18960</x:v>
      </x:c>
      <x:c r="C1009" s="12" t="str">
        <x:v>参考000</x:v>
      </x:c>
      <x:c r="D1009" s="12" t="str">
        <x:v>自动000</x:v>
      </x:c>
      <x:c r="E1009" s="12" t="n">
        <x:v>0</x:v>
      </x:c>
      <x:c r="F1009" s="12" t="n">
        <x:v>1</x:v>
      </x:c>
      <x:c r="G1009" s="12" t="n">
        <x:v>0</x:v>
      </x:c>
      <x:c r="H1009" s="12" t="n">
        <x:f>IF(SUM(I1009:K1009)&gt;0,1,0)</x:f>
        <x:v>0</x:v>
      </x:c>
      <x:c r="I1009" s="12" t="n">
        <x:f>IF('患者配对'!M1111="positive",1,0)</x:f>
        <x:v>0</x:v>
      </x:c>
      <x:c r="J1009" s="12" t="n">
        <x:f>IF('患者配对'!R1111="positive",1,0)</x:f>
        <x:v>0</x:v>
      </x:c>
      <x:c r="K1009" s="12" t="n">
        <x:f>IF('患者配对'!W1111="positive",1,0)</x:f>
        <x:v>0</x:v>
      </x:c>
      <x:c r="L1009" s="12" t="str">
        <x:v>由原件与原状态取得；仅主队列索引</x:v>
      </x:c>
      <x:c r="M1009" s="12"/>
      <x:c r="N1009" s="12"/>
      <x:c r="O1009" s="12"/>
    </x:row>
    <x:row r="1010" ht="39" customHeight="1">
      <x:c r="A1010" s="12" t="str">
        <x:v>9943</x:v>
      </x:c>
      <x:c r="B1010" s="12" t="str">
        <x:v>8797</x:v>
      </x:c>
      <x:c r="C1010" s="12" t="str">
        <x:v>参考000</x:v>
      </x:c>
      <x:c r="D1010" s="12" t="str">
        <x:v>自动000</x:v>
      </x:c>
      <x:c r="E1010" s="12" t="n">
        <x:v>0</x:v>
      </x:c>
      <x:c r="F1010" s="12" t="n">
        <x:v>0</x:v>
      </x:c>
      <x:c r="G1010" s="12" t="n">
        <x:v>0</x:v>
      </x:c>
      <x:c r="H1010" s="12" t="n">
        <x:f>IF(SUM(I1010:K1010)&gt;0,1,0)</x:f>
        <x:v>0</x:v>
      </x:c>
      <x:c r="I1010" s="12" t="n">
        <x:f>IF('患者配对'!M1112="positive",1,0)</x:f>
        <x:v>0</x:v>
      </x:c>
      <x:c r="J1010" s="12" t="n">
        <x:f>IF('患者配对'!R1112="positive",1,0)</x:f>
        <x:v>0</x:v>
      </x:c>
      <x:c r="K1010" s="12" t="n">
        <x:f>IF('患者配对'!W1112="positive",1,0)</x:f>
        <x:v>0</x:v>
      </x:c>
      <x:c r="L1010" s="12" t="str">
        <x:v>由原件与原状态取得；仅主队列索引</x:v>
      </x:c>
      <x:c r="M1010" s="12"/>
      <x:c r="N1010" s="12"/>
      <x:c r="O1010" s="12"/>
    </x:row>
    <x:row r="1011" ht="39" customHeight="1">
      <x:c r="A1011" s="12" t="str">
        <x:v>9952</x:v>
      </x:c>
      <x:c r="B1011" s="12" t="str">
        <x:v>18995</x:v>
      </x:c>
      <x:c r="C1011" s="12" t="str">
        <x:v>参考000</x:v>
      </x:c>
      <x:c r="D1011" s="12" t="str">
        <x:v>自动000</x:v>
      </x:c>
      <x:c r="E1011" s="12" t="n">
        <x:v>0</x:v>
      </x:c>
      <x:c r="F1011" s="12" t="n">
        <x:v>0</x:v>
      </x:c>
      <x:c r="G1011" s="12" t="n">
        <x:v>0</x:v>
      </x:c>
      <x:c r="H1011" s="12" t="n">
        <x:f>IF(SUM(I1011:K1011)&gt;0,1,0)</x:f>
        <x:v>0</x:v>
      </x:c>
      <x:c r="I1011" s="12" t="n">
        <x:f>IF('患者配对'!M1113="positive",1,0)</x:f>
        <x:v>0</x:v>
      </x:c>
      <x:c r="J1011" s="12" t="n">
        <x:f>IF('患者配对'!R1113="positive",1,0)</x:f>
        <x:v>0</x:v>
      </x:c>
      <x:c r="K1011" s="12" t="n">
        <x:f>IF('患者配对'!W1113="positive",1,0)</x:f>
        <x:v>0</x:v>
      </x:c>
      <x:c r="L1011" s="12" t="str">
        <x:v>由原件与原状态取得；仅主队列索引</x:v>
      </x:c>
      <x:c r="M1011" s="12"/>
      <x:c r="N1011" s="12"/>
      <x:c r="O1011" s="12"/>
    </x:row>
    <x:row r="1012" ht="39" customHeight="1">
      <x:c r="A1012" s="12" t="str">
        <x:v>9953</x:v>
      </x:c>
      <x:c r="B1012" s="12" t="str">
        <x:v>2039</x:v>
      </x:c>
      <x:c r="C1012" s="12" t="str">
        <x:v>参考000</x:v>
      </x:c>
      <x:c r="D1012" s="12" t="str">
        <x:v>自动000</x:v>
      </x:c>
      <x:c r="E1012" s="12" t="n">
        <x:v>0</x:v>
      </x:c>
      <x:c r="F1012" s="12" t="n">
        <x:v>0</x:v>
      </x:c>
      <x:c r="G1012" s="12" t="n">
        <x:v>0</x:v>
      </x:c>
      <x:c r="H1012" s="12" t="n">
        <x:f>IF(SUM(I1012:K1012)&gt;0,1,0)</x:f>
        <x:v>0</x:v>
      </x:c>
      <x:c r="I1012" s="12" t="n">
        <x:f>IF('患者配对'!M1114="positive",1,0)</x:f>
        <x:v>0</x:v>
      </x:c>
      <x:c r="J1012" s="12" t="n">
        <x:f>IF('患者配对'!R1114="positive",1,0)</x:f>
        <x:v>0</x:v>
      </x:c>
      <x:c r="K1012" s="12" t="n">
        <x:f>IF('患者配对'!W1114="positive",1,0)</x:f>
        <x:v>0</x:v>
      </x:c>
      <x:c r="L1012" s="12" t="str">
        <x:v>由原件与原状态取得；仅主队列索引</x:v>
      </x:c>
      <x:c r="M1012" s="12"/>
      <x:c r="N1012" s="12"/>
      <x:c r="O1012" s="12"/>
    </x:row>
    <x:row r="1013" ht="39" customHeight="1">
      <x:c r="A1013" s="12" t="str">
        <x:v>9962</x:v>
      </x:c>
      <x:c r="B1013" s="12" t="str">
        <x:v>15411</x:v>
      </x:c>
      <x:c r="C1013" s="12" t="str">
        <x:v>参考000</x:v>
      </x:c>
      <x:c r="D1013" s="12" t="str">
        <x:v>自动000</x:v>
      </x:c>
      <x:c r="E1013" s="12" t="n">
        <x:v>0</x:v>
      </x:c>
      <x:c r="F1013" s="12" t="n">
        <x:v>1</x:v>
      </x:c>
      <x:c r="G1013" s="12" t="n">
        <x:v>0</x:v>
      </x:c>
      <x:c r="H1013" s="12" t="n">
        <x:f>IF(SUM(I1013:K1013)&gt;0,1,0)</x:f>
        <x:v>0</x:v>
      </x:c>
      <x:c r="I1013" s="12" t="n">
        <x:f>IF('患者配对'!M1115="positive",1,0)</x:f>
        <x:v>0</x:v>
      </x:c>
      <x:c r="J1013" s="12" t="n">
        <x:f>IF('患者配对'!R1115="positive",1,0)</x:f>
        <x:v>0</x:v>
      </x:c>
      <x:c r="K1013" s="12" t="n">
        <x:f>IF('患者配对'!W1115="positive",1,0)</x:f>
        <x:v>0</x:v>
      </x:c>
      <x:c r="L1013" s="12" t="str">
        <x:v>由原件与原状态取得；仅主队列索引</x:v>
      </x:c>
      <x:c r="M1013" s="12"/>
      <x:c r="N1013" s="12"/>
      <x:c r="O1013" s="12"/>
    </x:row>
    <x:row r="1014" ht="39" customHeight="1">
      <x:c r="A1014" s="12" t="str">
        <x:v>9979</x:v>
      </x:c>
      <x:c r="B1014" s="12" t="str">
        <x:v>21516</x:v>
      </x:c>
      <x:c r="C1014" s="12" t="str">
        <x:v>参考000</x:v>
      </x:c>
      <x:c r="D1014" s="12" t="str">
        <x:v>自动000</x:v>
      </x:c>
      <x:c r="E1014" s="12" t="n">
        <x:v>0</x:v>
      </x:c>
      <x:c r="F1014" s="12" t="n">
        <x:v>0</x:v>
      </x:c>
      <x:c r="G1014" s="12" t="n">
        <x:v>0</x:v>
      </x:c>
      <x:c r="H1014" s="12" t="n">
        <x:f>IF(SUM(I1014:K1014)&gt;0,1,0)</x:f>
        <x:v>0</x:v>
      </x:c>
      <x:c r="I1014" s="12" t="n">
        <x:f>IF('患者配对'!M1116="positive",1,0)</x:f>
        <x:v>0</x:v>
      </x:c>
      <x:c r="J1014" s="12" t="n">
        <x:f>IF('患者配对'!R1116="positive",1,0)</x:f>
        <x:v>0</x:v>
      </x:c>
      <x:c r="K1014" s="12" t="n">
        <x:f>IF('患者配对'!W1116="positive",1,0)</x:f>
        <x:v>0</x:v>
      </x:c>
      <x:c r="L1014" s="12" t="str">
        <x:v>由原件与原状态取得；仅主队列索引</x:v>
      </x:c>
      <x:c r="M1014" s="12"/>
      <x:c r="N1014" s="12"/>
      <x:c r="O1014" s="12"/>
    </x:row>
    <x:row r="1015" ht="39" customHeight="1">
      <x:c r="A1015" s="12" t="str">
        <x:v>9982</x:v>
      </x:c>
      <x:c r="B1015" s="12" t="str">
        <x:v>11405</x:v>
      </x:c>
      <x:c r="C1015" s="12" t="str">
        <x:v>参考000</x:v>
      </x:c>
      <x:c r="D1015" s="12" t="str">
        <x:v>自动000</x:v>
      </x:c>
      <x:c r="E1015" s="12" t="n">
        <x:v>0</x:v>
      </x:c>
      <x:c r="F1015" s="12" t="n">
        <x:v>0</x:v>
      </x:c>
      <x:c r="G1015" s="12" t="n">
        <x:v>0</x:v>
      </x:c>
      <x:c r="H1015" s="12" t="n">
        <x:f>IF(SUM(I1015:K1015)&gt;0,1,0)</x:f>
        <x:v>0</x:v>
      </x:c>
      <x:c r="I1015" s="12" t="n">
        <x:f>IF('患者配对'!M1118="positive",1,0)</x:f>
        <x:v>0</x:v>
      </x:c>
      <x:c r="J1015" s="12" t="n">
        <x:f>IF('患者配对'!R1118="positive",1,0)</x:f>
        <x:v>0</x:v>
      </x:c>
      <x:c r="K1015" s="12" t="n">
        <x:f>IF('患者配对'!W1118="positive",1,0)</x:f>
        <x:v>0</x:v>
      </x:c>
      <x:c r="L1015" s="12" t="str">
        <x:v>由原件与原状态取得；仅主队列索引</x:v>
      </x:c>
      <x:c r="M1015" s="12"/>
      <x:c r="N1015" s="12"/>
      <x:c r="O1015" s="12"/>
    </x:row>
    <x:row r="1016" ht="39" customHeight="1">
      <x:c r="A1016" s="12" t="str">
        <x:v>9992</x:v>
      </x:c>
      <x:c r="B1016" s="12" t="str">
        <x:v>4586</x:v>
      </x:c>
      <x:c r="C1016" s="12" t="str">
        <x:v>参考000</x:v>
      </x:c>
      <x:c r="D1016" s="12" t="str">
        <x:v>自动000</x:v>
      </x:c>
      <x:c r="E1016" s="12" t="n">
        <x:v>0</x:v>
      </x:c>
      <x:c r="F1016" s="12" t="n">
        <x:v>0</x:v>
      </x:c>
      <x:c r="G1016" s="12" t="n">
        <x:v>0</x:v>
      </x:c>
      <x:c r="H1016" s="12" t="n">
        <x:f>IF(SUM(I1016:K1016)&gt;0,1,0)</x:f>
        <x:v>0</x:v>
      </x:c>
      <x:c r="I1016" s="12" t="n">
        <x:f>IF('患者配对'!M1119="positive",1,0)</x:f>
        <x:v>0</x:v>
      </x:c>
      <x:c r="J1016" s="12" t="n">
        <x:f>IF('患者配对'!R1119="positive",1,0)</x:f>
        <x:v>0</x:v>
      </x:c>
      <x:c r="K1016" s="12" t="n">
        <x:f>IF('患者配对'!W1119="positive",1,0)</x:f>
        <x:v>0</x:v>
      </x:c>
      <x:c r="L1016" s="12" t="str">
        <x:v>由原件与原状态取得；仅主队列索引</x:v>
      </x:c>
      <x:c r="M1016" s="12"/>
      <x:c r="N1016" s="12"/>
      <x:c r="O1016" s="12"/>
    </x:row>
    <x:row r="1017" ht="39" customHeight="1">
      <x:c r="A1017" s="12" t="str">
        <x:v>9994</x:v>
      </x:c>
      <x:c r="B1017" s="12" t="str">
        <x:v>2525</x:v>
      </x:c>
      <x:c r="C1017" s="12" t="str">
        <x:v>参考000</x:v>
      </x:c>
      <x:c r="D1017" s="12" t="str">
        <x:v>自动000</x:v>
      </x:c>
      <x:c r="E1017" s="12" t="n">
        <x:v>0</x:v>
      </x:c>
      <x:c r="F1017" s="12" t="n">
        <x:v>0</x:v>
      </x:c>
      <x:c r="G1017" s="12" t="n">
        <x:v>0</x:v>
      </x:c>
      <x:c r="H1017" s="12" t="n">
        <x:f>IF(SUM(I1017:K1017)&gt;0,1,0)</x:f>
        <x:v>0</x:v>
      </x:c>
      <x:c r="I1017" s="12" t="n">
        <x:f>IF('患者配对'!M1120="positive",1,0)</x:f>
        <x:v>0</x:v>
      </x:c>
      <x:c r="J1017" s="12" t="n">
        <x:f>IF('患者配对'!R1120="positive",1,0)</x:f>
        <x:v>0</x:v>
      </x:c>
      <x:c r="K1017" s="12" t="n">
        <x:f>IF('患者配对'!W1120="positive",1,0)</x:f>
        <x:v>0</x:v>
      </x:c>
      <x:c r="L1017" s="12" t="str">
        <x:v>由原件与原状态取得；仅主队列索引</x:v>
      </x:c>
      <x:c r="M1017" s="12"/>
      <x:c r="N1017" s="12"/>
      <x:c r="O1017" s="12"/>
    </x:row>
    <x:row r="1018" ht="39" customHeight="1">
      <x:c r="A1018" s="12" t="str">
        <x:v>9995</x:v>
      </x:c>
      <x:c r="B1018" s="12" t="str">
        <x:v>1944</x:v>
      </x:c>
      <x:c r="C1018" s="12" t="str">
        <x:v>参考000</x:v>
      </x:c>
      <x:c r="D1018" s="12" t="str">
        <x:v>自动000</x:v>
      </x:c>
      <x:c r="E1018" s="12" t="n">
        <x:v>0</x:v>
      </x:c>
      <x:c r="F1018" s="12" t="n">
        <x:v>0</x:v>
      </x:c>
      <x:c r="G1018" s="12" t="n">
        <x:v>0</x:v>
      </x:c>
      <x:c r="H1018" s="12" t="n">
        <x:f>IF(SUM(I1018:K1018)&gt;0,1,0)</x:f>
        <x:v>0</x:v>
      </x:c>
      <x:c r="I1018" s="12" t="n">
        <x:f>IF('患者配对'!M1121="positive",1,0)</x:f>
        <x:v>0</x:v>
      </x:c>
      <x:c r="J1018" s="12" t="n">
        <x:f>IF('患者配对'!R1121="positive",1,0)</x:f>
        <x:v>0</x:v>
      </x:c>
      <x:c r="K1018" s="12" t="n">
        <x:f>IF('患者配对'!W1121="positive",1,0)</x:f>
        <x:v>0</x:v>
      </x:c>
      <x:c r="L1018" s="12" t="str">
        <x:v>由原件与原状态取得；仅主队列索引</x:v>
      </x:c>
      <x:c r="M1018" s="12"/>
      <x:c r="N1018" s="12"/>
      <x:c r="O1018" s="12"/>
    </x:row>
    <x:row r="1019" ht="39" customHeight="1">
      <x:c r="A1019" s="12" t="str">
        <x:v>10029</x:v>
      </x:c>
      <x:c r="B1019" s="12" t="str">
        <x:v>322</x:v>
      </x:c>
      <x:c r="C1019" s="12" t="str">
        <x:v>参考000</x:v>
      </x:c>
      <x:c r="D1019" s="12" t="str">
        <x:v>自动000</x:v>
      </x:c>
      <x:c r="E1019" s="12" t="n">
        <x:v>0</x:v>
      </x:c>
      <x:c r="F1019" s="12" t="n">
        <x:v>0</x:v>
      </x:c>
      <x:c r="G1019" s="12" t="n">
        <x:v>0</x:v>
      </x:c>
      <x:c r="H1019" s="12" t="n">
        <x:f>IF(SUM(I1019:K1019)&gt;0,1,0)</x:f>
        <x:v>0</x:v>
      </x:c>
      <x:c r="I1019" s="12" t="n">
        <x:f>IF('患者配对'!M1122="positive",1,0)</x:f>
        <x:v>0</x:v>
      </x:c>
      <x:c r="J1019" s="12" t="n">
        <x:f>IF('患者配对'!R1122="positive",1,0)</x:f>
        <x:v>0</x:v>
      </x:c>
      <x:c r="K1019" s="12" t="n">
        <x:f>IF('患者配对'!W1122="positive",1,0)</x:f>
        <x:v>0</x:v>
      </x:c>
      <x:c r="L1019" s="12" t="str">
        <x:v>由原件与原状态取得；仅主队列索引</x:v>
      </x:c>
      <x:c r="M1019" s="12"/>
      <x:c r="N1019" s="12"/>
      <x:c r="O1019" s="12"/>
    </x:row>
    <x:row r="1020" ht="39" customHeight="1">
      <x:c r="A1020" s="12" t="str">
        <x:v>10054</x:v>
      </x:c>
      <x:c r="B1020" s="12" t="str">
        <x:v>329</x:v>
      </x:c>
      <x:c r="C1020" s="12" t="str">
        <x:v>参考100</x:v>
      </x:c>
      <x:c r="D1020" s="12" t="str">
        <x:v>自动100</x:v>
      </x:c>
      <x:c r="E1020" s="12" t="n">
        <x:v>1</x:v>
      </x:c>
      <x:c r="F1020" s="12" t="n">
        <x:v>1</x:v>
      </x:c>
      <x:c r="G1020" s="12" t="n">
        <x:v>0</x:v>
      </x:c>
      <x:c r="H1020" s="12" t="n">
        <x:f>IF(SUM(I1020:K1020)&gt;0,1,0)</x:f>
        <x:v>1</x:v>
      </x:c>
      <x:c r="I1020" s="12" t="n">
        <x:f>IF('患者配对'!M1123="positive",1,0)</x:f>
        <x:v>1</x:v>
      </x:c>
      <x:c r="J1020" s="12" t="n">
        <x:f>IF('患者配对'!R1123="positive",1,0)</x:f>
        <x:v>0</x:v>
      </x:c>
      <x:c r="K1020" s="12" t="n">
        <x:f>IF('患者配对'!W1123="positive",1,0)</x:f>
        <x:v>0</x:v>
      </x:c>
      <x:c r="L1020" s="12" t="str">
        <x:v>由原件与原状态取得；仅主队列索引</x:v>
      </x:c>
      <x:c r="M1020" s="12"/>
      <x:c r="N1020" s="12"/>
      <x:c r="O1020" s="12"/>
    </x:row>
    <x:row r="1021" ht="39" customHeight="1">
      <x:c r="A1021" s="12" t="str">
        <x:v>10061</x:v>
      </x:c>
      <x:c r="B1021" s="12" t="str">
        <x:v>12117</x:v>
      </x:c>
      <x:c r="C1021" s="12" t="str">
        <x:v>参考000</x:v>
      </x:c>
      <x:c r="D1021" s="12" t="str">
        <x:v>自动000</x:v>
      </x:c>
      <x:c r="E1021" s="12" t="n">
        <x:v>0</x:v>
      </x:c>
      <x:c r="F1021" s="12" t="n">
        <x:v>0</x:v>
      </x:c>
      <x:c r="G1021" s="12" t="n">
        <x:v>0</x:v>
      </x:c>
      <x:c r="H1021" s="12" t="n">
        <x:f>IF(SUM(I1021:K1021)&gt;0,1,0)</x:f>
        <x:v>0</x:v>
      </x:c>
      <x:c r="I1021" s="12" t="n">
        <x:f>IF('患者配对'!M1124="positive",1,0)</x:f>
        <x:v>0</x:v>
      </x:c>
      <x:c r="J1021" s="12" t="n">
        <x:f>IF('患者配对'!R1124="positive",1,0)</x:f>
        <x:v>0</x:v>
      </x:c>
      <x:c r="K1021" s="12" t="n">
        <x:f>IF('患者配对'!W1124="positive",1,0)</x:f>
        <x:v>0</x:v>
      </x:c>
      <x:c r="L1021" s="12" t="str">
        <x:v>由原件与原状态取得；仅主队列索引</x:v>
      </x:c>
      <x:c r="M1021" s="12"/>
      <x:c r="N1021" s="12"/>
      <x:c r="O1021" s="12"/>
    </x:row>
    <x:row r="1022" ht="39" customHeight="1">
      <x:c r="A1022" s="12" t="str">
        <x:v>10076</x:v>
      </x:c>
      <x:c r="B1022" s="12" t="str">
        <x:v>1397</x:v>
      </x:c>
      <x:c r="C1022" s="12" t="str">
        <x:v>参考000</x:v>
      </x:c>
      <x:c r="D1022" s="12" t="str">
        <x:v>自动000</x:v>
      </x:c>
      <x:c r="E1022" s="12" t="n">
        <x:v>0</x:v>
      </x:c>
      <x:c r="F1022" s="12" t="n">
        <x:v>0</x:v>
      </x:c>
      <x:c r="G1022" s="12" t="n">
        <x:v>0</x:v>
      </x:c>
      <x:c r="H1022" s="12" t="n">
        <x:f>IF(SUM(I1022:K1022)&gt;0,1,0)</x:f>
        <x:v>0</x:v>
      </x:c>
      <x:c r="I1022" s="12" t="n">
        <x:f>IF('患者配对'!M1125="positive",1,0)</x:f>
        <x:v>0</x:v>
      </x:c>
      <x:c r="J1022" s="12" t="n">
        <x:f>IF('患者配对'!R1125="positive",1,0)</x:f>
        <x:v>0</x:v>
      </x:c>
      <x:c r="K1022" s="12" t="n">
        <x:f>IF('患者配对'!W1125="positive",1,0)</x:f>
        <x:v>0</x:v>
      </x:c>
      <x:c r="L1022" s="12" t="str">
        <x:v>由原件与原状态取得；仅主队列索引</x:v>
      </x:c>
      <x:c r="M1022" s="12"/>
      <x:c r="N1022" s="12"/>
      <x:c r="O1022" s="12"/>
    </x:row>
    <x:row r="1023" ht="39" customHeight="1">
      <x:c r="A1023" s="12" t="str">
        <x:v>10093</x:v>
      </x:c>
      <x:c r="B1023" s="12" t="str">
        <x:v>1729</x:v>
      </x:c>
      <x:c r="C1023" s="12" t="str">
        <x:v>参考000</x:v>
      </x:c>
      <x:c r="D1023" s="12" t="str">
        <x:v>自动000</x:v>
      </x:c>
      <x:c r="E1023" s="12" t="n">
        <x:v>0</x:v>
      </x:c>
      <x:c r="F1023" s="12" t="n">
        <x:v>0</x:v>
      </x:c>
      <x:c r="G1023" s="12" t="n">
        <x:v>0</x:v>
      </x:c>
      <x:c r="H1023" s="12" t="n">
        <x:f>IF(SUM(I1023:K1023)&gt;0,1,0)</x:f>
        <x:v>0</x:v>
      </x:c>
      <x:c r="I1023" s="12" t="n">
        <x:f>IF('患者配对'!M1126="positive",1,0)</x:f>
        <x:v>0</x:v>
      </x:c>
      <x:c r="J1023" s="12" t="n">
        <x:f>IF('患者配对'!R1126="positive",1,0)</x:f>
        <x:v>0</x:v>
      </x:c>
      <x:c r="K1023" s="12" t="n">
        <x:f>IF('患者配对'!W1126="positive",1,0)</x:f>
        <x:v>0</x:v>
      </x:c>
      <x:c r="L1023" s="12" t="str">
        <x:v>由原件与原状态取得；仅主队列索引</x:v>
      </x:c>
      <x:c r="M1023" s="12"/>
      <x:c r="N1023" s="12"/>
      <x:c r="O1023" s="12"/>
    </x:row>
    <x:row r="1024" ht="39" customHeight="1">
      <x:c r="A1024" s="12" t="str">
        <x:v>10102</x:v>
      </x:c>
      <x:c r="B1024" s="12" t="str">
        <x:v>3950</x:v>
      </x:c>
      <x:c r="C1024" s="12" t="str">
        <x:v>参考000</x:v>
      </x:c>
      <x:c r="D1024" s="12" t="str">
        <x:v>自动000</x:v>
      </x:c>
      <x:c r="E1024" s="12" t="n">
        <x:v>0</x:v>
      </x:c>
      <x:c r="F1024" s="12" t="n">
        <x:v>1</x:v>
      </x:c>
      <x:c r="G1024" s="12" t="n">
        <x:v>0</x:v>
      </x:c>
      <x:c r="H1024" s="12" t="n">
        <x:f>IF(SUM(I1024:K1024)&gt;0,1,0)</x:f>
        <x:v>0</x:v>
      </x:c>
      <x:c r="I1024" s="12" t="n">
        <x:f>IF('患者配对'!M1127="positive",1,0)</x:f>
        <x:v>0</x:v>
      </x:c>
      <x:c r="J1024" s="12" t="n">
        <x:f>IF('患者配对'!R1127="positive",1,0)</x:f>
        <x:v>0</x:v>
      </x:c>
      <x:c r="K1024" s="12" t="n">
        <x:f>IF('患者配对'!W1127="positive",1,0)</x:f>
        <x:v>0</x:v>
      </x:c>
      <x:c r="L1024" s="12" t="str">
        <x:v>由原件与原状态取得；仅主队列索引</x:v>
      </x:c>
      <x:c r="M1024" s="12"/>
      <x:c r="N1024" s="12"/>
      <x:c r="O1024" s="12"/>
    </x:row>
    <x:row r="1025" ht="39" customHeight="1">
      <x:c r="A1025" s="12" t="str">
        <x:v>10115</x:v>
      </x:c>
      <x:c r="B1025" s="12" t="str">
        <x:v>12854</x:v>
      </x:c>
      <x:c r="C1025" s="12" t="str">
        <x:v>参考000</x:v>
      </x:c>
      <x:c r="D1025" s="12" t="str">
        <x:v>自动000</x:v>
      </x:c>
      <x:c r="E1025" s="12" t="n">
        <x:v>0</x:v>
      </x:c>
      <x:c r="F1025" s="12" t="n">
        <x:v>0</x:v>
      </x:c>
      <x:c r="G1025" s="12" t="n">
        <x:v>0</x:v>
      </x:c>
      <x:c r="H1025" s="12" t="n">
        <x:f>IF(SUM(I1025:K1025)&gt;0,1,0)</x:f>
        <x:v>0</x:v>
      </x:c>
      <x:c r="I1025" s="12" t="n">
        <x:f>IF('患者配对'!M1128="positive",1,0)</x:f>
        <x:v>0</x:v>
      </x:c>
      <x:c r="J1025" s="12" t="n">
        <x:f>IF('患者配对'!R1128="positive",1,0)</x:f>
        <x:v>0</x:v>
      </x:c>
      <x:c r="K1025" s="12" t="n">
        <x:f>IF('患者配对'!W1128="positive",1,0)</x:f>
        <x:v>0</x:v>
      </x:c>
      <x:c r="L1025" s="12" t="str">
        <x:v>由原件与原状态取得；仅主队列索引</x:v>
      </x:c>
      <x:c r="M1025" s="12"/>
      <x:c r="N1025" s="12"/>
      <x:c r="O1025" s="12"/>
    </x:row>
    <x:row r="1026" ht="39" customHeight="1">
      <x:c r="A1026" s="12" t="str">
        <x:v>10130</x:v>
      </x:c>
      <x:c r="B1026" s="12" t="str">
        <x:v>5649</x:v>
      </x:c>
      <x:c r="C1026" s="12" t="str">
        <x:v>参考010</x:v>
      </x:c>
      <x:c r="D1026" s="12" t="str">
        <x:v>自动010</x:v>
      </x:c>
      <x:c r="E1026" s="12" t="n">
        <x:v>1</x:v>
      </x:c>
      <x:c r="F1026" s="12" t="n">
        <x:v>1</x:v>
      </x:c>
      <x:c r="G1026" s="12" t="n">
        <x:v>0</x:v>
      </x:c>
      <x:c r="H1026" s="12" t="n">
        <x:f>IF(SUM(I1026:K1026)&gt;0,1,0)</x:f>
        <x:v>1</x:v>
      </x:c>
      <x:c r="I1026" s="12" t="n">
        <x:f>IF('患者配对'!M1129="positive",1,0)</x:f>
        <x:v>0</x:v>
      </x:c>
      <x:c r="J1026" s="12" t="n">
        <x:f>IF('患者配对'!R1129="positive",1,0)</x:f>
        <x:v>1</x:v>
      </x:c>
      <x:c r="K1026" s="12" t="n">
        <x:f>IF('患者配对'!W1129="positive",1,0)</x:f>
        <x:v>0</x:v>
      </x:c>
      <x:c r="L1026" s="12" t="str">
        <x:v>由原件与原状态取得；仅主队列索引</x:v>
      </x:c>
      <x:c r="M1026" s="12"/>
      <x:c r="N1026" s="12"/>
      <x:c r="O1026" s="12"/>
    </x:row>
    <x:row r="1027" ht="39" customHeight="1">
      <x:c r="A1027" s="12" t="str">
        <x:v>10131</x:v>
      </x:c>
      <x:c r="B1027" s="12" t="str">
        <x:v>2668</x:v>
      </x:c>
      <x:c r="C1027" s="12" t="str">
        <x:v>参考001</x:v>
      </x:c>
      <x:c r="D1027" s="12" t="str">
        <x:v>自动001</x:v>
      </x:c>
      <x:c r="E1027" s="12" t="n">
        <x:v>1</x:v>
      </x:c>
      <x:c r="F1027" s="12" t="n">
        <x:v>1</x:v>
      </x:c>
      <x:c r="G1027" s="12" t="n">
        <x:v>0</x:v>
      </x:c>
      <x:c r="H1027" s="12" t="n">
        <x:f>IF(SUM(I1027:K1027)&gt;0,1,0)</x:f>
        <x:v>1</x:v>
      </x:c>
      <x:c r="I1027" s="12" t="n">
        <x:f>IF('患者配对'!M1130="positive",1,0)</x:f>
        <x:v>0</x:v>
      </x:c>
      <x:c r="J1027" s="12" t="n">
        <x:f>IF('患者配对'!R1130="positive",1,0)</x:f>
        <x:v>0</x:v>
      </x:c>
      <x:c r="K1027" s="12" t="n">
        <x:f>IF('患者配对'!W1130="positive",1,0)</x:f>
        <x:v>1</x:v>
      </x:c>
      <x:c r="L1027" s="12" t="str">
        <x:v>由原件与原状态取得；仅主队列索引</x:v>
      </x:c>
      <x:c r="M1027" s="12"/>
      <x:c r="N1027" s="12"/>
      <x:c r="O1027" s="12"/>
    </x:row>
    <x:row r="1028" ht="39" customHeight="1">
      <x:c r="A1028" s="12" t="str">
        <x:v>10141</x:v>
      </x:c>
      <x:c r="B1028" s="12" t="str">
        <x:v>804</x:v>
      </x:c>
      <x:c r="C1028" s="12" t="str">
        <x:v>参考000</x:v>
      </x:c>
      <x:c r="D1028" s="12" t="str">
        <x:v>自动000</x:v>
      </x:c>
      <x:c r="E1028" s="12" t="n">
        <x:v>0</x:v>
      </x:c>
      <x:c r="F1028" s="12" t="n">
        <x:v>0</x:v>
      </x:c>
      <x:c r="G1028" s="12" t="n">
        <x:v>0</x:v>
      </x:c>
      <x:c r="H1028" s="12" t="n">
        <x:f>IF(SUM(I1028:K1028)&gt;0,1,0)</x:f>
        <x:v>0</x:v>
      </x:c>
      <x:c r="I1028" s="12" t="n">
        <x:f>IF('患者配对'!M1131="positive",1,0)</x:f>
        <x:v>0</x:v>
      </x:c>
      <x:c r="J1028" s="12" t="n">
        <x:f>IF('患者配对'!R1131="positive",1,0)</x:f>
        <x:v>0</x:v>
      </x:c>
      <x:c r="K1028" s="12" t="n">
        <x:f>IF('患者配对'!W1131="positive",1,0)</x:f>
        <x:v>0</x:v>
      </x:c>
      <x:c r="L1028" s="12" t="str">
        <x:v>由原件与原状态取得；仅主队列索引</x:v>
      </x:c>
      <x:c r="M1028" s="12"/>
      <x:c r="N1028" s="12"/>
      <x:c r="O1028" s="12"/>
    </x:row>
    <x:row r="1029" ht="39" customHeight="1">
      <x:c r="A1029" s="12" t="str">
        <x:v>10143</x:v>
      </x:c>
      <x:c r="B1029" s="12" t="str">
        <x:v>1099</x:v>
      </x:c>
      <x:c r="C1029" s="12" t="str">
        <x:v>参考000</x:v>
      </x:c>
      <x:c r="D1029" s="12" t="str">
        <x:v>自动000</x:v>
      </x:c>
      <x:c r="E1029" s="12" t="n">
        <x:v>0</x:v>
      </x:c>
      <x:c r="F1029" s="12" t="n">
        <x:v>0</x:v>
      </x:c>
      <x:c r="G1029" s="12" t="n">
        <x:v>0</x:v>
      </x:c>
      <x:c r="H1029" s="12" t="n">
        <x:f>IF(SUM(I1029:K1029)&gt;0,1,0)</x:f>
        <x:v>0</x:v>
      </x:c>
      <x:c r="I1029" s="12" t="n">
        <x:f>IF('患者配对'!M1132="positive",1,0)</x:f>
        <x:v>0</x:v>
      </x:c>
      <x:c r="J1029" s="12" t="n">
        <x:f>IF('患者配对'!R1132="positive",1,0)</x:f>
        <x:v>0</x:v>
      </x:c>
      <x:c r="K1029" s="12" t="n">
        <x:f>IF('患者配对'!W1132="positive",1,0)</x:f>
        <x:v>0</x:v>
      </x:c>
      <x:c r="L1029" s="12" t="str">
        <x:v>由原件与原状态取得；仅主队列索引</x:v>
      </x:c>
      <x:c r="M1029" s="12"/>
      <x:c r="N1029" s="12"/>
      <x:c r="O1029" s="12"/>
    </x:row>
    <x:row r="1030" ht="39" customHeight="1">
      <x:c r="A1030" s="12" t="str">
        <x:v>10151</x:v>
      </x:c>
      <x:c r="B1030" s="12" t="str">
        <x:v>4634</x:v>
      </x:c>
      <x:c r="C1030" s="12" t="str">
        <x:v>参考000</x:v>
      </x:c>
      <x:c r="D1030" s="12" t="str">
        <x:v>自动000</x:v>
      </x:c>
      <x:c r="E1030" s="12" t="n">
        <x:v>0</x:v>
      </x:c>
      <x:c r="F1030" s="12" t="n">
        <x:v>0</x:v>
      </x:c>
      <x:c r="G1030" s="12" t="n">
        <x:v>0</x:v>
      </x:c>
      <x:c r="H1030" s="12" t="n">
        <x:f>IF(SUM(I1030:K1030)&gt;0,1,0)</x:f>
        <x:v>0</x:v>
      </x:c>
      <x:c r="I1030" s="12" t="n">
        <x:f>IF('患者配对'!M1133="positive",1,0)</x:f>
        <x:v>0</x:v>
      </x:c>
      <x:c r="J1030" s="12" t="n">
        <x:f>IF('患者配对'!R1133="positive",1,0)</x:f>
        <x:v>0</x:v>
      </x:c>
      <x:c r="K1030" s="12" t="n">
        <x:f>IF('患者配对'!W1133="positive",1,0)</x:f>
        <x:v>0</x:v>
      </x:c>
      <x:c r="L1030" s="12" t="str">
        <x:v>由原件与原状态取得；仅主队列索引</x:v>
      </x:c>
      <x:c r="M1030" s="12"/>
      <x:c r="N1030" s="12"/>
      <x:c r="O1030" s="12"/>
    </x:row>
    <x:row r="1031" ht="39" customHeight="1">
      <x:c r="A1031" s="12" t="str">
        <x:v>10152</x:v>
      </x:c>
      <x:c r="B1031" s="12" t="str">
        <x:v>5924</x:v>
      </x:c>
      <x:c r="C1031" s="12" t="str">
        <x:v>参考000</x:v>
      </x:c>
      <x:c r="D1031" s="12" t="str">
        <x:v>自动000</x:v>
      </x:c>
      <x:c r="E1031" s="12" t="n">
        <x:v>0</x:v>
      </x:c>
      <x:c r="F1031" s="12" t="n">
        <x:v>0</x:v>
      </x:c>
      <x:c r="G1031" s="12" t="n">
        <x:v>0</x:v>
      </x:c>
      <x:c r="H1031" s="12" t="n">
        <x:f>IF(SUM(I1031:K1031)&gt;0,1,0)</x:f>
        <x:v>0</x:v>
      </x:c>
      <x:c r="I1031" s="12" t="n">
        <x:f>IF('患者配对'!M1134="positive",1,0)</x:f>
        <x:v>0</x:v>
      </x:c>
      <x:c r="J1031" s="12" t="n">
        <x:f>IF('患者配对'!R1134="positive",1,0)</x:f>
        <x:v>0</x:v>
      </x:c>
      <x:c r="K1031" s="12" t="n">
        <x:f>IF('患者配对'!W1134="positive",1,0)</x:f>
        <x:v>0</x:v>
      </x:c>
      <x:c r="L1031" s="12" t="str">
        <x:v>由原件与原状态取得；仅主队列索引</x:v>
      </x:c>
      <x:c r="M1031" s="12"/>
      <x:c r="N1031" s="12"/>
      <x:c r="O1031" s="12"/>
    </x:row>
    <x:row r="1032" ht="39" customHeight="1">
      <x:c r="A1032" s="12" t="str">
        <x:v>10160</x:v>
      </x:c>
      <x:c r="B1032" s="12" t="str">
        <x:v>3543</x:v>
      </x:c>
      <x:c r="C1032" s="12" t="str">
        <x:v>参考000</x:v>
      </x:c>
      <x:c r="D1032" s="12" t="str">
        <x:v>自动000</x:v>
      </x:c>
      <x:c r="E1032" s="12" t="n">
        <x:v>0</x:v>
      </x:c>
      <x:c r="F1032" s="12" t="n">
        <x:v>1</x:v>
      </x:c>
      <x:c r="G1032" s="12" t="n">
        <x:v>0</x:v>
      </x:c>
      <x:c r="H1032" s="12" t="n">
        <x:f>IF(SUM(I1032:K1032)&gt;0,1,0)</x:f>
        <x:v>0</x:v>
      </x:c>
      <x:c r="I1032" s="12" t="n">
        <x:f>IF('患者配对'!M1135="positive",1,0)</x:f>
        <x:v>0</x:v>
      </x:c>
      <x:c r="J1032" s="12" t="n">
        <x:f>IF('患者配对'!R1135="positive",1,0)</x:f>
        <x:v>0</x:v>
      </x:c>
      <x:c r="K1032" s="12" t="n">
        <x:f>IF('患者配对'!W1135="positive",1,0)</x:f>
        <x:v>0</x:v>
      </x:c>
      <x:c r="L1032" s="12" t="str">
        <x:v>由原件与原状态取得；仅主队列索引</x:v>
      </x:c>
      <x:c r="M1032" s="12"/>
      <x:c r="N1032" s="12"/>
      <x:c r="O1032" s="12"/>
    </x:row>
    <x:row r="1033" ht="39" customHeight="1">
      <x:c r="A1033" s="12" t="str">
        <x:v>10180</x:v>
      </x:c>
      <x:c r="B1033" s="12" t="str">
        <x:v>2382</x:v>
      </x:c>
      <x:c r="C1033" s="12" t="str">
        <x:v>参考000</x:v>
      </x:c>
      <x:c r="D1033" s="12" t="str">
        <x:v>自动000</x:v>
      </x:c>
      <x:c r="E1033" s="12" t="n">
        <x:v>0</x:v>
      </x:c>
      <x:c r="F1033" s="12" t="n">
        <x:v>0</x:v>
      </x:c>
      <x:c r="G1033" s="12" t="n">
        <x:v>0</x:v>
      </x:c>
      <x:c r="H1033" s="12" t="n">
        <x:f>IF(SUM(I1033:K1033)&gt;0,1,0)</x:f>
        <x:v>0</x:v>
      </x:c>
      <x:c r="I1033" s="12" t="n">
        <x:f>IF('患者配对'!M1137="positive",1,0)</x:f>
        <x:v>0</x:v>
      </x:c>
      <x:c r="J1033" s="12" t="n">
        <x:f>IF('患者配对'!R1137="positive",1,0)</x:f>
        <x:v>0</x:v>
      </x:c>
      <x:c r="K1033" s="12" t="n">
        <x:f>IF('患者配对'!W1137="positive",1,0)</x:f>
        <x:v>0</x:v>
      </x:c>
      <x:c r="L1033" s="12" t="str">
        <x:v>由原件与原状态取得；仅主队列索引</x:v>
      </x:c>
      <x:c r="M1033" s="12"/>
      <x:c r="N1033" s="12"/>
      <x:c r="O1033" s="12"/>
    </x:row>
    <x:row r="1034" ht="39" customHeight="1">
      <x:c r="A1034" s="12" t="str">
        <x:v>10181</x:v>
      </x:c>
      <x:c r="B1034" s="12" t="str">
        <x:v>17748</x:v>
      </x:c>
      <x:c r="C1034" s="12" t="str">
        <x:v>参考000</x:v>
      </x:c>
      <x:c r="D1034" s="12" t="str">
        <x:v>自动000</x:v>
      </x:c>
      <x:c r="E1034" s="12" t="n">
        <x:v>0</x:v>
      </x:c>
      <x:c r="F1034" s="12" t="n">
        <x:v>1</x:v>
      </x:c>
      <x:c r="G1034" s="12" t="n">
        <x:v>0</x:v>
      </x:c>
      <x:c r="H1034" s="12" t="n">
        <x:f>IF(SUM(I1034:K1034)&gt;0,1,0)</x:f>
        <x:v>0</x:v>
      </x:c>
      <x:c r="I1034" s="12" t="n">
        <x:f>IF('患者配对'!M1138="positive",1,0)</x:f>
        <x:v>0</x:v>
      </x:c>
      <x:c r="J1034" s="12" t="n">
        <x:f>IF('患者配对'!R1138="positive",1,0)</x:f>
        <x:v>0</x:v>
      </x:c>
      <x:c r="K1034" s="12" t="n">
        <x:f>IF('患者配对'!W1138="positive",1,0)</x:f>
        <x:v>0</x:v>
      </x:c>
      <x:c r="L1034" s="12" t="str">
        <x:v>由原件与原状态取得；仅主队列索引</x:v>
      </x:c>
      <x:c r="M1034" s="12"/>
      <x:c r="N1034" s="12"/>
      <x:c r="O1034" s="12"/>
    </x:row>
    <x:row r="1035" ht="39" customHeight="1">
      <x:c r="A1035" s="12" t="str">
        <x:v>10196</x:v>
      </x:c>
      <x:c r="B1035" s="12" t="str">
        <x:v>11886</x:v>
      </x:c>
      <x:c r="C1035" s="12" t="str">
        <x:v>参考100</x:v>
      </x:c>
      <x:c r="D1035" s="12" t="str">
        <x:v>自动000</x:v>
      </x:c>
      <x:c r="E1035" s="12" t="n">
        <x:v>0</x:v>
      </x:c>
      <x:c r="F1035" s="12" t="n">
        <x:v>1</x:v>
      </x:c>
      <x:c r="G1035" s="12" t="n">
        <x:v>1</x:v>
      </x:c>
      <x:c r="H1035" s="12" t="n">
        <x:f>IF(SUM(I1035:K1035)&gt;0,1,0)</x:f>
        <x:v>1</x:v>
      </x:c>
      <x:c r="I1035" s="12" t="n">
        <x:f>IF('患者配对'!M1139="positive",1,0)</x:f>
        <x:v>1</x:v>
      </x:c>
      <x:c r="J1035" s="12" t="n">
        <x:f>IF('患者配对'!R1139="positive",1,0)</x:f>
        <x:v>0</x:v>
      </x:c>
      <x:c r="K1035" s="12" t="n">
        <x:f>IF('患者配对'!W1139="positive",1,0)</x:f>
        <x:v>0</x:v>
      </x:c>
      <x:c r="L1035" s="12" t="str">
        <x:v>由原件与原状态取得；仅主队列索引</x:v>
      </x:c>
      <x:c r="M1035" s="12"/>
      <x:c r="N1035" s="12"/>
      <x:c r="O1035" s="12"/>
    </x:row>
    <x:row r="1036" ht="39" customHeight="1">
      <x:c r="A1036" s="12" t="str">
        <x:v>10200</x:v>
      </x:c>
      <x:c r="B1036" s="12" t="str">
        <x:v>14296</x:v>
      </x:c>
      <x:c r="C1036" s="12" t="str">
        <x:v>参考000</x:v>
      </x:c>
      <x:c r="D1036" s="12" t="str">
        <x:v>自动000</x:v>
      </x:c>
      <x:c r="E1036" s="12" t="n">
        <x:v>0</x:v>
      </x:c>
      <x:c r="F1036" s="12" t="n">
        <x:v>1</x:v>
      </x:c>
      <x:c r="G1036" s="12" t="n">
        <x:v>0</x:v>
      </x:c>
      <x:c r="H1036" s="12" t="n">
        <x:f>IF(SUM(I1036:K1036)&gt;0,1,0)</x:f>
        <x:v>0</x:v>
      </x:c>
      <x:c r="I1036" s="12" t="n">
        <x:f>IF('患者配对'!M1140="positive",1,0)</x:f>
        <x:v>0</x:v>
      </x:c>
      <x:c r="J1036" s="12" t="n">
        <x:f>IF('患者配对'!R1140="positive",1,0)</x:f>
        <x:v>0</x:v>
      </x:c>
      <x:c r="K1036" s="12" t="n">
        <x:f>IF('患者配对'!W1140="positive",1,0)</x:f>
        <x:v>0</x:v>
      </x:c>
      <x:c r="L1036" s="12" t="str">
        <x:v>由原件与原状态取得；仅主队列索引</x:v>
      </x:c>
      <x:c r="M1036" s="12"/>
      <x:c r="N1036" s="12"/>
      <x:c r="O1036" s="12"/>
    </x:row>
    <x:row r="1037" ht="39" customHeight="1">
      <x:c r="A1037" s="12" t="str">
        <x:v>10205</x:v>
      </x:c>
      <x:c r="B1037" s="12" t="str">
        <x:v>8338</x:v>
      </x:c>
      <x:c r="C1037" s="12" t="str">
        <x:v>参考000</x:v>
      </x:c>
      <x:c r="D1037" s="12" t="str">
        <x:v>自动000</x:v>
      </x:c>
      <x:c r="E1037" s="12" t="n">
        <x:v>0</x:v>
      </x:c>
      <x:c r="F1037" s="12" t="n">
        <x:v>0</x:v>
      </x:c>
      <x:c r="G1037" s="12" t="n">
        <x:v>0</x:v>
      </x:c>
      <x:c r="H1037" s="12" t="n">
        <x:f>IF(SUM(I1037:K1037)&gt;0,1,0)</x:f>
        <x:v>0</x:v>
      </x:c>
      <x:c r="I1037" s="12" t="n">
        <x:f>IF('患者配对'!M1141="positive",1,0)</x:f>
        <x:v>0</x:v>
      </x:c>
      <x:c r="J1037" s="12" t="n">
        <x:f>IF('患者配对'!R1141="positive",1,0)</x:f>
        <x:v>0</x:v>
      </x:c>
      <x:c r="K1037" s="12" t="n">
        <x:f>IF('患者配对'!W1141="positive",1,0)</x:f>
        <x:v>0</x:v>
      </x:c>
      <x:c r="L1037" s="12" t="str">
        <x:v>由原件与原状态取得；仅主队列索引</x:v>
      </x:c>
      <x:c r="M1037" s="12"/>
      <x:c r="N1037" s="12"/>
      <x:c r="O1037" s="12"/>
    </x:row>
    <x:row r="1038" ht="39" customHeight="1">
      <x:c r="A1038" s="12" t="str">
        <x:v>10206</x:v>
      </x:c>
      <x:c r="B1038" s="12" t="str">
        <x:v>18533</x:v>
      </x:c>
      <x:c r="C1038" s="12" t="str">
        <x:v>参考000</x:v>
      </x:c>
      <x:c r="D1038" s="12" t="str">
        <x:v>自动000</x:v>
      </x:c>
      <x:c r="E1038" s="12" t="n">
        <x:v>0</x:v>
      </x:c>
      <x:c r="F1038" s="12" t="n">
        <x:v>0</x:v>
      </x:c>
      <x:c r="G1038" s="12" t="n">
        <x:v>0</x:v>
      </x:c>
      <x:c r="H1038" s="12" t="n">
        <x:f>IF(SUM(I1038:K1038)&gt;0,1,0)</x:f>
        <x:v>0</x:v>
      </x:c>
      <x:c r="I1038" s="12" t="n">
        <x:f>IF('患者配对'!M1142="positive",1,0)</x:f>
        <x:v>0</x:v>
      </x:c>
      <x:c r="J1038" s="12" t="n">
        <x:f>IF('患者配对'!R1142="positive",1,0)</x:f>
        <x:v>0</x:v>
      </x:c>
      <x:c r="K1038" s="12" t="n">
        <x:f>IF('患者配对'!W1142="positive",1,0)</x:f>
        <x:v>0</x:v>
      </x:c>
      <x:c r="L1038" s="12" t="str">
        <x:v>由原件与原状态取得；仅主队列索引</x:v>
      </x:c>
      <x:c r="M1038" s="12"/>
      <x:c r="N1038" s="12"/>
      <x:c r="O1038" s="12"/>
    </x:row>
    <x:row r="1039" ht="39" customHeight="1">
      <x:c r="A1039" s="12" t="str">
        <x:v>10207</x:v>
      </x:c>
      <x:c r="B1039" s="12" t="str">
        <x:v>17568</x:v>
      </x:c>
      <x:c r="C1039" s="12" t="str">
        <x:v>参考000</x:v>
      </x:c>
      <x:c r="D1039" s="12" t="str">
        <x:v>自动000</x:v>
      </x:c>
      <x:c r="E1039" s="12" t="n">
        <x:v>0</x:v>
      </x:c>
      <x:c r="F1039" s="12" t="n">
        <x:v>0</x:v>
      </x:c>
      <x:c r="G1039" s="12" t="n">
        <x:v>0</x:v>
      </x:c>
      <x:c r="H1039" s="12" t="n">
        <x:f>IF(SUM(I1039:K1039)&gt;0,1,0)</x:f>
        <x:v>0</x:v>
      </x:c>
      <x:c r="I1039" s="12" t="n">
        <x:f>IF('患者配对'!M1143="positive",1,0)</x:f>
        <x:v>0</x:v>
      </x:c>
      <x:c r="J1039" s="12" t="n">
        <x:f>IF('患者配对'!R1143="positive",1,0)</x:f>
        <x:v>0</x:v>
      </x:c>
      <x:c r="K1039" s="12" t="n">
        <x:f>IF('患者配对'!W1143="positive",1,0)</x:f>
        <x:v>0</x:v>
      </x:c>
      <x:c r="L1039" s="12" t="str">
        <x:v>由原件与原状态取得；仅主队列索引</x:v>
      </x:c>
      <x:c r="M1039" s="12"/>
      <x:c r="N1039" s="12"/>
      <x:c r="O1039" s="12"/>
    </x:row>
    <x:row r="1040" ht="39" customHeight="1">
      <x:c r="A1040" s="12" t="str">
        <x:v>10210</x:v>
      </x:c>
      <x:c r="B1040" s="12" t="str">
        <x:v>17381</x:v>
      </x:c>
      <x:c r="C1040" s="12" t="str">
        <x:v>参考000</x:v>
      </x:c>
      <x:c r="D1040" s="12" t="str">
        <x:v>自动000</x:v>
      </x:c>
      <x:c r="E1040" s="12" t="n">
        <x:v>0</x:v>
      </x:c>
      <x:c r="F1040" s="12" t="n">
        <x:v>1</x:v>
      </x:c>
      <x:c r="G1040" s="12" t="n">
        <x:v>0</x:v>
      </x:c>
      <x:c r="H1040" s="12" t="n">
        <x:f>IF(SUM(I1040:K1040)&gt;0,1,0)</x:f>
        <x:v>0</x:v>
      </x:c>
      <x:c r="I1040" s="12" t="n">
        <x:f>IF('患者配对'!M1144="positive",1,0)</x:f>
        <x:v>0</x:v>
      </x:c>
      <x:c r="J1040" s="12" t="n">
        <x:f>IF('患者配对'!R1144="positive",1,0)</x:f>
        <x:v>0</x:v>
      </x:c>
      <x:c r="K1040" s="12" t="n">
        <x:f>IF('患者配对'!W1144="positive",1,0)</x:f>
        <x:v>0</x:v>
      </x:c>
      <x:c r="L1040" s="12" t="str">
        <x:v>由原件与原状态取得；仅主队列索引</x:v>
      </x:c>
      <x:c r="M1040" s="12"/>
      <x:c r="N1040" s="12"/>
      <x:c r="O1040" s="12"/>
    </x:row>
    <x:row r="1041" ht="39" customHeight="1">
      <x:c r="A1041" s="12" t="str">
        <x:v>10214</x:v>
      </x:c>
      <x:c r="B1041" s="12" t="str">
        <x:v>11449</x:v>
      </x:c>
      <x:c r="C1041" s="12" t="str">
        <x:v>参考000</x:v>
      </x:c>
      <x:c r="D1041" s="12" t="str">
        <x:v>自动000</x:v>
      </x:c>
      <x:c r="E1041" s="12" t="n">
        <x:v>0</x:v>
      </x:c>
      <x:c r="F1041" s="12" t="n">
        <x:v>0</x:v>
      </x:c>
      <x:c r="G1041" s="12" t="n">
        <x:v>0</x:v>
      </x:c>
      <x:c r="H1041" s="12" t="n">
        <x:f>IF(SUM(I1041:K1041)&gt;0,1,0)</x:f>
        <x:v>0</x:v>
      </x:c>
      <x:c r="I1041" s="12" t="n">
        <x:f>IF('患者配对'!M1145="positive",1,0)</x:f>
        <x:v>0</x:v>
      </x:c>
      <x:c r="J1041" s="12" t="n">
        <x:f>IF('患者配对'!R1145="positive",1,0)</x:f>
        <x:v>0</x:v>
      </x:c>
      <x:c r="K1041" s="12" t="n">
        <x:f>IF('患者配对'!W1145="positive",1,0)</x:f>
        <x:v>0</x:v>
      </x:c>
      <x:c r="L1041" s="12" t="str">
        <x:v>由原件与原状态取得；仅主队列索引</x:v>
      </x:c>
      <x:c r="M1041" s="12"/>
      <x:c r="N1041" s="12"/>
      <x:c r="O1041" s="12"/>
    </x:row>
    <x:row r="1042" ht="39" customHeight="1">
      <x:c r="A1042" s="12" t="str">
        <x:v>10215</x:v>
      </x:c>
      <x:c r="B1042" s="12" t="str">
        <x:v>18811</x:v>
      </x:c>
      <x:c r="C1042" s="12" t="str">
        <x:v>参考000</x:v>
      </x:c>
      <x:c r="D1042" s="12" t="str">
        <x:v>自动000</x:v>
      </x:c>
      <x:c r="E1042" s="12" t="n">
        <x:v>0</x:v>
      </x:c>
      <x:c r="F1042" s="12" t="n">
        <x:v>0</x:v>
      </x:c>
      <x:c r="G1042" s="12" t="n">
        <x:v>0</x:v>
      </x:c>
      <x:c r="H1042" s="12" t="n">
        <x:f>IF(SUM(I1042:K1042)&gt;0,1,0)</x:f>
        <x:v>0</x:v>
      </x:c>
      <x:c r="I1042" s="12" t="n">
        <x:f>IF('患者配对'!M1146="positive",1,0)</x:f>
        <x:v>0</x:v>
      </x:c>
      <x:c r="J1042" s="12" t="n">
        <x:f>IF('患者配对'!R1146="positive",1,0)</x:f>
        <x:v>0</x:v>
      </x:c>
      <x:c r="K1042" s="12" t="n">
        <x:f>IF('患者配对'!W1146="positive",1,0)</x:f>
        <x:v>0</x:v>
      </x:c>
      <x:c r="L1042" s="12" t="str">
        <x:v>由原件与原状态取得；仅主队列索引</x:v>
      </x:c>
      <x:c r="M1042" s="12"/>
      <x:c r="N1042" s="12"/>
      <x:c r="O1042" s="12"/>
    </x:row>
    <x:row r="1043" ht="39" customHeight="1">
      <x:c r="A1043" s="12" t="str">
        <x:v>10238</x:v>
      </x:c>
      <x:c r="B1043" s="12" t="str">
        <x:v>16384</x:v>
      </x:c>
      <x:c r="C1043" s="12" t="str">
        <x:v>参考000</x:v>
      </x:c>
      <x:c r="D1043" s="12" t="str">
        <x:v>自动000</x:v>
      </x:c>
      <x:c r="E1043" s="12" t="n">
        <x:v>0</x:v>
      </x:c>
      <x:c r="F1043" s="12" t="n">
        <x:v>1</x:v>
      </x:c>
      <x:c r="G1043" s="12" t="n">
        <x:v>0</x:v>
      </x:c>
      <x:c r="H1043" s="12" t="n">
        <x:f>IF(SUM(I1043:K1043)&gt;0,1,0)</x:f>
        <x:v>0</x:v>
      </x:c>
      <x:c r="I1043" s="12" t="n">
        <x:f>IF('患者配对'!M1147="positive",1,0)</x:f>
        <x:v>0</x:v>
      </x:c>
      <x:c r="J1043" s="12" t="n">
        <x:f>IF('患者配对'!R1147="positive",1,0)</x:f>
        <x:v>0</x:v>
      </x:c>
      <x:c r="K1043" s="12" t="n">
        <x:f>IF('患者配对'!W1147="positive",1,0)</x:f>
        <x:v>0</x:v>
      </x:c>
      <x:c r="L1043" s="12" t="str">
        <x:v>由原件与原状态取得；仅主队列索引</x:v>
      </x:c>
      <x:c r="M1043" s="12"/>
      <x:c r="N1043" s="12"/>
      <x:c r="O1043" s="12"/>
    </x:row>
    <x:row r="1044" ht="39" customHeight="1">
      <x:c r="A1044" s="12" t="str">
        <x:v>10240</x:v>
      </x:c>
      <x:c r="B1044" s="12" t="str">
        <x:v>8776</x:v>
      </x:c>
      <x:c r="C1044" s="12" t="str">
        <x:v>参考000</x:v>
      </x:c>
      <x:c r="D1044" s="12" t="str">
        <x:v>自动000</x:v>
      </x:c>
      <x:c r="E1044" s="12" t="n">
        <x:v>0</x:v>
      </x:c>
      <x:c r="F1044" s="12" t="n">
        <x:v>0</x:v>
      </x:c>
      <x:c r="G1044" s="12" t="n">
        <x:v>0</x:v>
      </x:c>
      <x:c r="H1044" s="12" t="n">
        <x:f>IF(SUM(I1044:K1044)&gt;0,1,0)</x:f>
        <x:v>0</x:v>
      </x:c>
      <x:c r="I1044" s="12" t="n">
        <x:f>IF('患者配对'!M1148="positive",1,0)</x:f>
        <x:v>0</x:v>
      </x:c>
      <x:c r="J1044" s="12" t="n">
        <x:f>IF('患者配对'!R1148="positive",1,0)</x:f>
        <x:v>0</x:v>
      </x:c>
      <x:c r="K1044" s="12" t="n">
        <x:f>IF('患者配对'!W1148="positive",1,0)</x:f>
        <x:v>0</x:v>
      </x:c>
      <x:c r="L1044" s="12" t="str">
        <x:v>由原件与原状态取得；仅主队列索引</x:v>
      </x:c>
      <x:c r="M1044" s="12"/>
      <x:c r="N1044" s="12"/>
      <x:c r="O1044" s="12"/>
    </x:row>
    <x:row r="1045" ht="39" customHeight="1">
      <x:c r="A1045" s="12" t="str">
        <x:v>10244</x:v>
      </x:c>
      <x:c r="B1045" s="12" t="str">
        <x:v>14832</x:v>
      </x:c>
      <x:c r="C1045" s="12" t="str">
        <x:v>参考000</x:v>
      </x:c>
      <x:c r="D1045" s="12" t="str">
        <x:v>自动000</x:v>
      </x:c>
      <x:c r="E1045" s="12" t="n">
        <x:v>0</x:v>
      </x:c>
      <x:c r="F1045" s="12" t="n">
        <x:v>0</x:v>
      </x:c>
      <x:c r="G1045" s="12" t="n">
        <x:v>0</x:v>
      </x:c>
      <x:c r="H1045" s="12" t="n">
        <x:f>IF(SUM(I1045:K1045)&gt;0,1,0)</x:f>
        <x:v>0</x:v>
      </x:c>
      <x:c r="I1045" s="12" t="n">
        <x:f>IF('患者配对'!M1149="positive",1,0)</x:f>
        <x:v>0</x:v>
      </x:c>
      <x:c r="J1045" s="12" t="n">
        <x:f>IF('患者配对'!R1149="positive",1,0)</x:f>
        <x:v>0</x:v>
      </x:c>
      <x:c r="K1045" s="12" t="n">
        <x:f>IF('患者配对'!W1149="positive",1,0)</x:f>
        <x:v>0</x:v>
      </x:c>
      <x:c r="L1045" s="12" t="str">
        <x:v>由原件与原状态取得；仅主队列索引</x:v>
      </x:c>
      <x:c r="M1045" s="12"/>
      <x:c r="N1045" s="12"/>
      <x:c r="O1045" s="12"/>
    </x:row>
    <x:row r="1046" ht="39" customHeight="1">
      <x:c r="A1046" s="12" t="str">
        <x:v>10250</x:v>
      </x:c>
      <x:c r="B1046" s="12" t="str">
        <x:v>18361</x:v>
      </x:c>
      <x:c r="C1046" s="12" t="str">
        <x:v>参考000</x:v>
      </x:c>
      <x:c r="D1046" s="12" t="str">
        <x:v>自动000</x:v>
      </x:c>
      <x:c r="E1046" s="12" t="n">
        <x:v>0</x:v>
      </x:c>
      <x:c r="F1046" s="12" t="n">
        <x:v>0</x:v>
      </x:c>
      <x:c r="G1046" s="12" t="n">
        <x:v>0</x:v>
      </x:c>
      <x:c r="H1046" s="12" t="n">
        <x:f>IF(SUM(I1046:K1046)&gt;0,1,0)</x:f>
        <x:v>0</x:v>
      </x:c>
      <x:c r="I1046" s="12" t="n">
        <x:f>IF('患者配对'!M1150="positive",1,0)</x:f>
        <x:v>0</x:v>
      </x:c>
      <x:c r="J1046" s="12" t="n">
        <x:f>IF('患者配对'!R1150="positive",1,0)</x:f>
        <x:v>0</x:v>
      </x:c>
      <x:c r="K1046" s="12" t="n">
        <x:f>IF('患者配对'!W1150="positive",1,0)</x:f>
        <x:v>0</x:v>
      </x:c>
      <x:c r="L1046" s="12" t="str">
        <x:v>由原件与原状态取得；仅主队列索引</x:v>
      </x:c>
      <x:c r="M1046" s="12"/>
      <x:c r="N1046" s="12"/>
      <x:c r="O1046" s="12"/>
    </x:row>
    <x:row r="1047" ht="39" customHeight="1">
      <x:c r="A1047" s="12" t="str">
        <x:v>10255</x:v>
      </x:c>
      <x:c r="B1047" s="12" t="str">
        <x:v>17870</x:v>
      </x:c>
      <x:c r="C1047" s="12" t="str">
        <x:v>参考000</x:v>
      </x:c>
      <x:c r="D1047" s="12" t="str">
        <x:v>自动000</x:v>
      </x:c>
      <x:c r="E1047" s="12" t="n">
        <x:v>0</x:v>
      </x:c>
      <x:c r="F1047" s="12" t="n">
        <x:v>0</x:v>
      </x:c>
      <x:c r="G1047" s="12" t="n">
        <x:v>0</x:v>
      </x:c>
      <x:c r="H1047" s="12" t="n">
        <x:f>IF(SUM(I1047:K1047)&gt;0,1,0)</x:f>
        <x:v>0</x:v>
      </x:c>
      <x:c r="I1047" s="12" t="n">
        <x:f>IF('患者配对'!M1151="positive",1,0)</x:f>
        <x:v>0</x:v>
      </x:c>
      <x:c r="J1047" s="12" t="n">
        <x:f>IF('患者配对'!R1151="positive",1,0)</x:f>
        <x:v>0</x:v>
      </x:c>
      <x:c r="K1047" s="12" t="n">
        <x:f>IF('患者配对'!W1151="positive",1,0)</x:f>
        <x:v>0</x:v>
      </x:c>
      <x:c r="L1047" s="12" t="str">
        <x:v>由原件与原状态取得；仅主队列索引</x:v>
      </x:c>
      <x:c r="M1047" s="12"/>
      <x:c r="N1047" s="12"/>
      <x:c r="O1047" s="12"/>
    </x:row>
    <x:row r="1048" ht="39" customHeight="1">
      <x:c r="A1048" s="12" t="str">
        <x:v>10261</x:v>
      </x:c>
      <x:c r="B1048" s="12" t="str">
        <x:v>21059</x:v>
      </x:c>
      <x:c r="C1048" s="12" t="str">
        <x:v>参考000</x:v>
      </x:c>
      <x:c r="D1048" s="12" t="str">
        <x:v>自动000</x:v>
      </x:c>
      <x:c r="E1048" s="12" t="n">
        <x:v>0</x:v>
      </x:c>
      <x:c r="F1048" s="12" t="n">
        <x:v>0</x:v>
      </x:c>
      <x:c r="G1048" s="12" t="n">
        <x:v>0</x:v>
      </x:c>
      <x:c r="H1048" s="12" t="n">
        <x:f>IF(SUM(I1048:K1048)&gt;0,1,0)</x:f>
        <x:v>0</x:v>
      </x:c>
      <x:c r="I1048" s="12" t="n">
        <x:f>IF('患者配对'!M1152="positive",1,0)</x:f>
        <x:v>0</x:v>
      </x:c>
      <x:c r="J1048" s="12" t="n">
        <x:f>IF('患者配对'!R1152="positive",1,0)</x:f>
        <x:v>0</x:v>
      </x:c>
      <x:c r="K1048" s="12" t="n">
        <x:f>IF('患者配对'!W1152="positive",1,0)</x:f>
        <x:v>0</x:v>
      </x:c>
      <x:c r="L1048" s="12" t="str">
        <x:v>由原件与原状态取得；仅主队列索引</x:v>
      </x:c>
      <x:c r="M1048" s="12"/>
      <x:c r="N1048" s="12"/>
      <x:c r="O1048" s="12"/>
    </x:row>
    <x:row r="1049" ht="39" customHeight="1">
      <x:c r="A1049" s="12" t="str">
        <x:v>10268</x:v>
      </x:c>
      <x:c r="B1049" s="12" t="str">
        <x:v>21191</x:v>
      </x:c>
      <x:c r="C1049" s="12" t="str">
        <x:v>参考000</x:v>
      </x:c>
      <x:c r="D1049" s="12" t="str">
        <x:v>自动000</x:v>
      </x:c>
      <x:c r="E1049" s="12" t="n">
        <x:v>0</x:v>
      </x:c>
      <x:c r="F1049" s="12" t="n">
        <x:v>0</x:v>
      </x:c>
      <x:c r="G1049" s="12" t="n">
        <x:v>0</x:v>
      </x:c>
      <x:c r="H1049" s="12" t="n">
        <x:f>IF(SUM(I1049:K1049)&gt;0,1,0)</x:f>
        <x:v>0</x:v>
      </x:c>
      <x:c r="I1049" s="12" t="n">
        <x:f>IF('患者配对'!M1153="positive",1,0)</x:f>
        <x:v>0</x:v>
      </x:c>
      <x:c r="J1049" s="12" t="n">
        <x:f>IF('患者配对'!R1153="positive",1,0)</x:f>
        <x:v>0</x:v>
      </x:c>
      <x:c r="K1049" s="12" t="n">
        <x:f>IF('患者配对'!W1153="positive",1,0)</x:f>
        <x:v>0</x:v>
      </x:c>
      <x:c r="L1049" s="12" t="str">
        <x:v>由原件与原状态取得；仅主队列索引</x:v>
      </x:c>
      <x:c r="M1049" s="12"/>
      <x:c r="N1049" s="12"/>
      <x:c r="O1049" s="12"/>
    </x:row>
    <x:row r="1050" ht="39" customHeight="1">
      <x:c r="A1050" s="12" t="str">
        <x:v>10272</x:v>
      </x:c>
      <x:c r="B1050" s="12" t="str">
        <x:v>8327</x:v>
      </x:c>
      <x:c r="C1050" s="12" t="str">
        <x:v>参考000</x:v>
      </x:c>
      <x:c r="D1050" s="12" t="str">
        <x:v>自动000</x:v>
      </x:c>
      <x:c r="E1050" s="12" t="n">
        <x:v>0</x:v>
      </x:c>
      <x:c r="F1050" s="12" t="n">
        <x:v>0</x:v>
      </x:c>
      <x:c r="G1050" s="12" t="n">
        <x:v>0</x:v>
      </x:c>
      <x:c r="H1050" s="12" t="n">
        <x:f>IF(SUM(I1050:K1050)&gt;0,1,0)</x:f>
        <x:v>0</x:v>
      </x:c>
      <x:c r="I1050" s="12" t="n">
        <x:f>IF('患者配对'!M1154="positive",1,0)</x:f>
        <x:v>0</x:v>
      </x:c>
      <x:c r="J1050" s="12" t="n">
        <x:f>IF('患者配对'!R1154="positive",1,0)</x:f>
        <x:v>0</x:v>
      </x:c>
      <x:c r="K1050" s="12" t="n">
        <x:f>IF('患者配对'!W1154="positive",1,0)</x:f>
        <x:v>0</x:v>
      </x:c>
      <x:c r="L1050" s="12" t="str">
        <x:v>由原件与原状态取得；仅主队列索引</x:v>
      </x:c>
      <x:c r="M1050" s="12"/>
      <x:c r="N1050" s="12"/>
      <x:c r="O1050" s="12"/>
    </x:row>
    <x:row r="1051" ht="39" customHeight="1">
      <x:c r="A1051" s="12" t="str">
        <x:v>10283</x:v>
      </x:c>
      <x:c r="B1051" s="12" t="str">
        <x:v>14800</x:v>
      </x:c>
      <x:c r="C1051" s="12" t="str">
        <x:v>参考010</x:v>
      </x:c>
      <x:c r="D1051" s="12" t="str">
        <x:v>自动010</x:v>
      </x:c>
      <x:c r="E1051" s="12" t="n">
        <x:v>1</x:v>
      </x:c>
      <x:c r="F1051" s="12" t="n">
        <x:v>1</x:v>
      </x:c>
      <x:c r="G1051" s="12" t="n">
        <x:v>0</x:v>
      </x:c>
      <x:c r="H1051" s="12" t="n">
        <x:f>IF(SUM(I1051:K1051)&gt;0,1,0)</x:f>
        <x:v>1</x:v>
      </x:c>
      <x:c r="I1051" s="12" t="n">
        <x:f>IF('患者配对'!M1155="positive",1,0)</x:f>
        <x:v>0</x:v>
      </x:c>
      <x:c r="J1051" s="12" t="n">
        <x:f>IF('患者配对'!R1155="positive",1,0)</x:f>
        <x:v>1</x:v>
      </x:c>
      <x:c r="K1051" s="12" t="n">
        <x:f>IF('患者配对'!W1155="positive",1,0)</x:f>
        <x:v>0</x:v>
      </x:c>
      <x:c r="L1051" s="12" t="str">
        <x:v>由原件与原状态取得；仅主队列索引</x:v>
      </x:c>
      <x:c r="M1051" s="12"/>
      <x:c r="N1051" s="12"/>
      <x:c r="O1051" s="12"/>
    </x:row>
    <x:row r="1052" ht="39" customHeight="1">
      <x:c r="A1052" s="12" t="str">
        <x:v>10318</x:v>
      </x:c>
      <x:c r="B1052" s="12" t="str">
        <x:v>6673</x:v>
      </x:c>
      <x:c r="C1052" s="12" t="str">
        <x:v>参考000</x:v>
      </x:c>
      <x:c r="D1052" s="12" t="str">
        <x:v>自动000</x:v>
      </x:c>
      <x:c r="E1052" s="12" t="n">
        <x:v>0</x:v>
      </x:c>
      <x:c r="F1052" s="12" t="n">
        <x:v>0</x:v>
      </x:c>
      <x:c r="G1052" s="12" t="n">
        <x:v>0</x:v>
      </x:c>
      <x:c r="H1052" s="12" t="n">
        <x:f>IF(SUM(I1052:K1052)&gt;0,1,0)</x:f>
        <x:v>0</x:v>
      </x:c>
      <x:c r="I1052" s="12" t="n">
        <x:f>IF('患者配对'!M1156="positive",1,0)</x:f>
        <x:v>0</x:v>
      </x:c>
      <x:c r="J1052" s="12" t="n">
        <x:f>IF('患者配对'!R1156="positive",1,0)</x:f>
        <x:v>0</x:v>
      </x:c>
      <x:c r="K1052" s="12" t="n">
        <x:f>IF('患者配对'!W1156="positive",1,0)</x:f>
        <x:v>0</x:v>
      </x:c>
      <x:c r="L1052" s="12" t="str">
        <x:v>由原件与原状态取得；仅主队列索引</x:v>
      </x:c>
      <x:c r="M1052" s="12"/>
      <x:c r="N1052" s="12"/>
      <x:c r="O1052" s="12"/>
    </x:row>
    <x:row r="1053" ht="39" customHeight="1">
      <x:c r="A1053" s="12" t="str">
        <x:v>10327</x:v>
      </x:c>
      <x:c r="B1053" s="12" t="str">
        <x:v>1563</x:v>
      </x:c>
      <x:c r="C1053" s="12" t="str">
        <x:v>参考000</x:v>
      </x:c>
      <x:c r="D1053" s="12" t="str">
        <x:v>自动000</x:v>
      </x:c>
      <x:c r="E1053" s="12" t="n">
        <x:v>0</x:v>
      </x:c>
      <x:c r="F1053" s="12" t="n">
        <x:v>0</x:v>
      </x:c>
      <x:c r="G1053" s="12" t="n">
        <x:v>0</x:v>
      </x:c>
      <x:c r="H1053" s="12" t="n">
        <x:f>IF(SUM(I1053:K1053)&gt;0,1,0)</x:f>
        <x:v>0</x:v>
      </x:c>
      <x:c r="I1053" s="12" t="n">
        <x:f>IF('患者配对'!M1157="positive",1,0)</x:f>
        <x:v>0</x:v>
      </x:c>
      <x:c r="J1053" s="12" t="n">
        <x:f>IF('患者配对'!R1157="positive",1,0)</x:f>
        <x:v>0</x:v>
      </x:c>
      <x:c r="K1053" s="12" t="n">
        <x:f>IF('患者配对'!W1157="positive",1,0)</x:f>
        <x:v>0</x:v>
      </x:c>
      <x:c r="L1053" s="12" t="str">
        <x:v>由原件与原状态取得；仅主队列索引</x:v>
      </x:c>
      <x:c r="M1053" s="12"/>
      <x:c r="N1053" s="12"/>
      <x:c r="O1053" s="12"/>
    </x:row>
    <x:row r="1054" ht="39" customHeight="1">
      <x:c r="A1054" s="12" t="str">
        <x:v>10336</x:v>
      </x:c>
      <x:c r="B1054" s="12" t="str">
        <x:v>3198</x:v>
      </x:c>
      <x:c r="C1054" s="12" t="str">
        <x:v>参考001</x:v>
      </x:c>
      <x:c r="D1054" s="12" t="str">
        <x:v>自动001</x:v>
      </x:c>
      <x:c r="E1054" s="12" t="n">
        <x:v>1</x:v>
      </x:c>
      <x:c r="F1054" s="12" t="n">
        <x:v>1</x:v>
      </x:c>
      <x:c r="G1054" s="12" t="n">
        <x:v>0</x:v>
      </x:c>
      <x:c r="H1054" s="12" t="n">
        <x:f>IF(SUM(I1054:K1054)&gt;0,1,0)</x:f>
        <x:v>1</x:v>
      </x:c>
      <x:c r="I1054" s="12" t="n">
        <x:f>IF('患者配对'!M1158="positive",1,0)</x:f>
        <x:v>0</x:v>
      </x:c>
      <x:c r="J1054" s="12" t="n">
        <x:f>IF('患者配对'!R1158="positive",1,0)</x:f>
        <x:v>0</x:v>
      </x:c>
      <x:c r="K1054" s="12" t="n">
        <x:f>IF('患者配对'!W1158="positive",1,0)</x:f>
        <x:v>1</x:v>
      </x:c>
      <x:c r="L1054" s="12" t="str">
        <x:v>由原件与原状态取得；仅主队列索引</x:v>
      </x:c>
      <x:c r="M1054" s="12"/>
      <x:c r="N1054" s="12"/>
      <x:c r="O1054" s="12"/>
    </x:row>
    <x:row r="1055" ht="39" customHeight="1">
      <x:c r="A1055" s="12" t="str">
        <x:v>10344</x:v>
      </x:c>
      <x:c r="B1055" s="12" t="str">
        <x:v>2170</x:v>
      </x:c>
      <x:c r="C1055" s="12" t="str">
        <x:v>参考000</x:v>
      </x:c>
      <x:c r="D1055" s="12" t="str">
        <x:v>自动000</x:v>
      </x:c>
      <x:c r="E1055" s="12" t="n">
        <x:v>0</x:v>
      </x:c>
      <x:c r="F1055" s="12" t="n">
        <x:v>0</x:v>
      </x:c>
      <x:c r="G1055" s="12" t="n">
        <x:v>0</x:v>
      </x:c>
      <x:c r="H1055" s="12" t="n">
        <x:f>IF(SUM(I1055:K1055)&gt;0,1,0)</x:f>
        <x:v>0</x:v>
      </x:c>
      <x:c r="I1055" s="12" t="n">
        <x:f>IF('患者配对'!M1160="positive",1,0)</x:f>
        <x:v>0</x:v>
      </x:c>
      <x:c r="J1055" s="12" t="n">
        <x:f>IF('患者配对'!R1160="positive",1,0)</x:f>
        <x:v>0</x:v>
      </x:c>
      <x:c r="K1055" s="12" t="n">
        <x:f>IF('患者配对'!W1160="positive",1,0)</x:f>
        <x:v>0</x:v>
      </x:c>
      <x:c r="L1055" s="12" t="str">
        <x:v>由原件与原状态取得；仅主队列索引</x:v>
      </x:c>
      <x:c r="M1055" s="12"/>
      <x:c r="N1055" s="12"/>
      <x:c r="O1055" s="12"/>
    </x:row>
    <x:row r="1056" ht="39" customHeight="1">
      <x:c r="A1056" s="12" t="str">
        <x:v>10356</x:v>
      </x:c>
      <x:c r="B1056" s="12" t="str">
        <x:v>16512</x:v>
      </x:c>
      <x:c r="C1056" s="12" t="str">
        <x:v>参考000</x:v>
      </x:c>
      <x:c r="D1056" s="12" t="str">
        <x:v>自动000</x:v>
      </x:c>
      <x:c r="E1056" s="12" t="n">
        <x:v>0</x:v>
      </x:c>
      <x:c r="F1056" s="12" t="n">
        <x:v>1</x:v>
      </x:c>
      <x:c r="G1056" s="12" t="n">
        <x:v>0</x:v>
      </x:c>
      <x:c r="H1056" s="12" t="n">
        <x:f>IF(SUM(I1056:K1056)&gt;0,1,0)</x:f>
        <x:v>0</x:v>
      </x:c>
      <x:c r="I1056" s="12" t="n">
        <x:f>IF('患者配对'!M1161="positive",1,0)</x:f>
        <x:v>0</x:v>
      </x:c>
      <x:c r="J1056" s="12" t="n">
        <x:f>IF('患者配对'!R1161="positive",1,0)</x:f>
        <x:v>0</x:v>
      </x:c>
      <x:c r="K1056" s="12" t="n">
        <x:f>IF('患者配对'!W1161="positive",1,0)</x:f>
        <x:v>0</x:v>
      </x:c>
      <x:c r="L1056" s="12" t="str">
        <x:v>由原件与原状态取得；仅主队列索引</x:v>
      </x:c>
      <x:c r="M1056" s="12"/>
      <x:c r="N1056" s="12"/>
      <x:c r="O1056" s="12"/>
    </x:row>
    <x:row r="1057" ht="39" customHeight="1">
      <x:c r="A1057" s="12" t="str">
        <x:v>10358</x:v>
      </x:c>
      <x:c r="B1057" s="12" t="str">
        <x:v>5425</x:v>
      </x:c>
      <x:c r="C1057" s="12" t="str">
        <x:v>参考000</x:v>
      </x:c>
      <x:c r="D1057" s="12" t="str">
        <x:v>自动000</x:v>
      </x:c>
      <x:c r="E1057" s="12" t="n">
        <x:v>0</x:v>
      </x:c>
      <x:c r="F1057" s="12" t="n">
        <x:v>0</x:v>
      </x:c>
      <x:c r="G1057" s="12" t="n">
        <x:v>0</x:v>
      </x:c>
      <x:c r="H1057" s="12" t="n">
        <x:f>IF(SUM(I1057:K1057)&gt;0,1,0)</x:f>
        <x:v>0</x:v>
      </x:c>
      <x:c r="I1057" s="12" t="n">
        <x:f>IF('患者配对'!M1162="positive",1,0)</x:f>
        <x:v>0</x:v>
      </x:c>
      <x:c r="J1057" s="12" t="n">
        <x:f>IF('患者配对'!R1162="positive",1,0)</x:f>
        <x:v>0</x:v>
      </x:c>
      <x:c r="K1057" s="12" t="n">
        <x:f>IF('患者配对'!W1162="positive",1,0)</x:f>
        <x:v>0</x:v>
      </x:c>
      <x:c r="L1057" s="12" t="str">
        <x:v>由原件与原状态取得；仅主队列索引</x:v>
      </x:c>
      <x:c r="M1057" s="12"/>
      <x:c r="N1057" s="12"/>
      <x:c r="O1057" s="12"/>
    </x:row>
    <x:row r="1058" ht="39" customHeight="1">
      <x:c r="A1058" s="12" t="str">
        <x:v>10359</x:v>
      </x:c>
      <x:c r="B1058" s="12" t="str">
        <x:v>7297</x:v>
      </x:c>
      <x:c r="C1058" s="12" t="str">
        <x:v>参考001</x:v>
      </x:c>
      <x:c r="D1058" s="12" t="str">
        <x:v>自动001</x:v>
      </x:c>
      <x:c r="E1058" s="12" t="n">
        <x:v>1</x:v>
      </x:c>
      <x:c r="F1058" s="12" t="n">
        <x:v>1</x:v>
      </x:c>
      <x:c r="G1058" s="12" t="n">
        <x:v>0</x:v>
      </x:c>
      <x:c r="H1058" s="12" t="n">
        <x:f>IF(SUM(I1058:K1058)&gt;0,1,0)</x:f>
        <x:v>1</x:v>
      </x:c>
      <x:c r="I1058" s="12" t="n">
        <x:f>IF('患者配对'!M1163="positive",1,0)</x:f>
        <x:v>0</x:v>
      </x:c>
      <x:c r="J1058" s="12" t="n">
        <x:f>IF('患者配对'!R1163="positive",1,0)</x:f>
        <x:v>0</x:v>
      </x:c>
      <x:c r="K1058" s="12" t="n">
        <x:f>IF('患者配对'!W1163="positive",1,0)</x:f>
        <x:v>1</x:v>
      </x:c>
      <x:c r="L1058" s="12" t="str">
        <x:v>由原件与原状态取得；仅主队列索引</x:v>
      </x:c>
      <x:c r="M1058" s="12"/>
      <x:c r="N1058" s="12"/>
      <x:c r="O1058" s="12"/>
    </x:row>
    <x:row r="1059" ht="39" customHeight="1">
      <x:c r="A1059" s="12" t="str">
        <x:v>10380</x:v>
      </x:c>
      <x:c r="B1059" s="12" t="str">
        <x:v>11701</x:v>
      </x:c>
      <x:c r="C1059" s="12" t="str">
        <x:v>参考000</x:v>
      </x:c>
      <x:c r="D1059" s="12" t="str">
        <x:v>自动000</x:v>
      </x:c>
      <x:c r="E1059" s="12" t="n">
        <x:v>0</x:v>
      </x:c>
      <x:c r="F1059" s="12" t="n">
        <x:v>0</x:v>
      </x:c>
      <x:c r="G1059" s="12" t="n">
        <x:v>0</x:v>
      </x:c>
      <x:c r="H1059" s="12" t="n">
        <x:f>IF(SUM(I1059:K1059)&gt;0,1,0)</x:f>
        <x:v>0</x:v>
      </x:c>
      <x:c r="I1059" s="12" t="n">
        <x:f>IF('患者配对'!M1164="positive",1,0)</x:f>
        <x:v>0</x:v>
      </x:c>
      <x:c r="J1059" s="12" t="n">
        <x:f>IF('患者配对'!R1164="positive",1,0)</x:f>
        <x:v>0</x:v>
      </x:c>
      <x:c r="K1059" s="12" t="n">
        <x:f>IF('患者配对'!W1164="positive",1,0)</x:f>
        <x:v>0</x:v>
      </x:c>
      <x:c r="L1059" s="12" t="str">
        <x:v>由原件与原状态取得；仅主队列索引</x:v>
      </x:c>
      <x:c r="M1059" s="12"/>
      <x:c r="N1059" s="12"/>
      <x:c r="O1059" s="12"/>
    </x:row>
    <x:row r="1060" ht="39" customHeight="1">
      <x:c r="A1060" s="12" t="str">
        <x:v>10383</x:v>
      </x:c>
      <x:c r="B1060" s="12" t="str">
        <x:v>1129</x:v>
      </x:c>
      <x:c r="C1060" s="12" t="str">
        <x:v>参考000</x:v>
      </x:c>
      <x:c r="D1060" s="12" t="str">
        <x:v>自动000</x:v>
      </x:c>
      <x:c r="E1060" s="12" t="n">
        <x:v>0</x:v>
      </x:c>
      <x:c r="F1060" s="12" t="n">
        <x:v>1</x:v>
      </x:c>
      <x:c r="G1060" s="12" t="n">
        <x:v>0</x:v>
      </x:c>
      <x:c r="H1060" s="12" t="n">
        <x:f>IF(SUM(I1060:K1060)&gt;0,1,0)</x:f>
        <x:v>0</x:v>
      </x:c>
      <x:c r="I1060" s="12" t="n">
        <x:f>IF('患者配对'!M1165="positive",1,0)</x:f>
        <x:v>0</x:v>
      </x:c>
      <x:c r="J1060" s="12" t="n">
        <x:f>IF('患者配对'!R1165="positive",1,0)</x:f>
        <x:v>0</x:v>
      </x:c>
      <x:c r="K1060" s="12" t="n">
        <x:f>IF('患者配对'!W1165="positive",1,0)</x:f>
        <x:v>0</x:v>
      </x:c>
      <x:c r="L1060" s="12" t="str">
        <x:v>由原件与原状态取得；仅主队列索引</x:v>
      </x:c>
      <x:c r="M1060" s="12"/>
      <x:c r="N1060" s="12"/>
      <x:c r="O1060" s="12"/>
    </x:row>
    <x:row r="1061" ht="39" customHeight="1">
      <x:c r="A1061" s="12" t="str">
        <x:v>10388</x:v>
      </x:c>
      <x:c r="B1061" s="12" t="str">
        <x:v>7811</x:v>
      </x:c>
      <x:c r="C1061" s="12" t="str">
        <x:v>参考000</x:v>
      </x:c>
      <x:c r="D1061" s="12" t="str">
        <x:v>自动000</x:v>
      </x:c>
      <x:c r="E1061" s="12" t="n">
        <x:v>0</x:v>
      </x:c>
      <x:c r="F1061" s="12" t="n">
        <x:v>0</x:v>
      </x:c>
      <x:c r="G1061" s="12" t="n">
        <x:v>0</x:v>
      </x:c>
      <x:c r="H1061" s="12" t="n">
        <x:f>IF(SUM(I1061:K1061)&gt;0,1,0)</x:f>
        <x:v>0</x:v>
      </x:c>
      <x:c r="I1061" s="12" t="n">
        <x:f>IF('患者配对'!M1166="positive",1,0)</x:f>
        <x:v>0</x:v>
      </x:c>
      <x:c r="J1061" s="12" t="n">
        <x:f>IF('患者配对'!R1166="positive",1,0)</x:f>
        <x:v>0</x:v>
      </x:c>
      <x:c r="K1061" s="12" t="n">
        <x:f>IF('患者配对'!W1166="positive",1,0)</x:f>
        <x:v>0</x:v>
      </x:c>
      <x:c r="L1061" s="12" t="str">
        <x:v>由原件与原状态取得；仅主队列索引</x:v>
      </x:c>
      <x:c r="M1061" s="12"/>
      <x:c r="N1061" s="12"/>
      <x:c r="O1061" s="12"/>
    </x:row>
    <x:row r="1062" ht="39" customHeight="1">
      <x:c r="A1062" s="12" t="str">
        <x:v>10401</x:v>
      </x:c>
      <x:c r="B1062" s="12" t="str">
        <x:v>7192</x:v>
      </x:c>
      <x:c r="C1062" s="12" t="str">
        <x:v>参考000</x:v>
      </x:c>
      <x:c r="D1062" s="12" t="str">
        <x:v>自动000</x:v>
      </x:c>
      <x:c r="E1062" s="12" t="n">
        <x:v>0</x:v>
      </x:c>
      <x:c r="F1062" s="12" t="n">
        <x:v>0</x:v>
      </x:c>
      <x:c r="G1062" s="12" t="n">
        <x:v>0</x:v>
      </x:c>
      <x:c r="H1062" s="12" t="n">
        <x:f>IF(SUM(I1062:K1062)&gt;0,1,0)</x:f>
        <x:v>0</x:v>
      </x:c>
      <x:c r="I1062" s="12" t="n">
        <x:f>IF('患者配对'!M1167="positive",1,0)</x:f>
        <x:v>0</x:v>
      </x:c>
      <x:c r="J1062" s="12" t="n">
        <x:f>IF('患者配对'!R1167="positive",1,0)</x:f>
        <x:v>0</x:v>
      </x:c>
      <x:c r="K1062" s="12" t="n">
        <x:f>IF('患者配对'!W1167="positive",1,0)</x:f>
        <x:v>0</x:v>
      </x:c>
      <x:c r="L1062" s="12" t="str">
        <x:v>由原件与原状态取得；仅主队列索引</x:v>
      </x:c>
      <x:c r="M1062" s="12"/>
      <x:c r="N1062" s="12"/>
      <x:c r="O1062" s="12"/>
    </x:row>
    <x:row r="1063" ht="39" customHeight="1">
      <x:c r="A1063" s="12" t="str">
        <x:v>10431</x:v>
      </x:c>
      <x:c r="B1063" s="12" t="str">
        <x:v>9829</x:v>
      </x:c>
      <x:c r="C1063" s="12" t="str">
        <x:v>参考000</x:v>
      </x:c>
      <x:c r="D1063" s="12" t="str">
        <x:v>自动000</x:v>
      </x:c>
      <x:c r="E1063" s="12" t="n">
        <x:v>0</x:v>
      </x:c>
      <x:c r="F1063" s="12" t="n">
        <x:v>1</x:v>
      </x:c>
      <x:c r="G1063" s="12" t="n">
        <x:v>0</x:v>
      </x:c>
      <x:c r="H1063" s="12" t="n">
        <x:f>IF(SUM(I1063:K1063)&gt;0,1,0)</x:f>
        <x:v>0</x:v>
      </x:c>
      <x:c r="I1063" s="12" t="n">
        <x:f>IF('患者配对'!M1168="positive",1,0)</x:f>
        <x:v>0</x:v>
      </x:c>
      <x:c r="J1063" s="12" t="n">
        <x:f>IF('患者配对'!R1168="positive",1,0)</x:f>
        <x:v>0</x:v>
      </x:c>
      <x:c r="K1063" s="12" t="n">
        <x:f>IF('患者配对'!W1168="positive",1,0)</x:f>
        <x:v>0</x:v>
      </x:c>
      <x:c r="L1063" s="12" t="str">
        <x:v>由原件与原状态取得；仅主队列索引</x:v>
      </x:c>
      <x:c r="M1063" s="12"/>
      <x:c r="N1063" s="12"/>
      <x:c r="O1063" s="12"/>
    </x:row>
    <x:row r="1064" ht="39" customHeight="1">
      <x:c r="A1064" s="12" t="str">
        <x:v>10484</x:v>
      </x:c>
      <x:c r="B1064" s="12" t="str">
        <x:v>2869</x:v>
      </x:c>
      <x:c r="C1064" s="12" t="str">
        <x:v>参考000</x:v>
      </x:c>
      <x:c r="D1064" s="12" t="str">
        <x:v>自动000</x:v>
      </x:c>
      <x:c r="E1064" s="12" t="n">
        <x:v>0</x:v>
      </x:c>
      <x:c r="F1064" s="12" t="n">
        <x:v>0</x:v>
      </x:c>
      <x:c r="G1064" s="12" t="n">
        <x:v>0</x:v>
      </x:c>
      <x:c r="H1064" s="12" t="n">
        <x:f>IF(SUM(I1064:K1064)&gt;0,1,0)</x:f>
        <x:v>0</x:v>
      </x:c>
      <x:c r="I1064" s="12" t="n">
        <x:f>IF('患者配对'!M1169="positive",1,0)</x:f>
        <x:v>0</x:v>
      </x:c>
      <x:c r="J1064" s="12" t="n">
        <x:f>IF('患者配对'!R1169="positive",1,0)</x:f>
        <x:v>0</x:v>
      </x:c>
      <x:c r="K1064" s="12" t="n">
        <x:f>IF('患者配对'!W1169="positive",1,0)</x:f>
        <x:v>0</x:v>
      </x:c>
      <x:c r="L1064" s="12" t="str">
        <x:v>由原件与原状态取得；仅主队列索引</x:v>
      </x:c>
      <x:c r="M1064" s="12"/>
      <x:c r="N1064" s="12"/>
      <x:c r="O1064" s="12"/>
    </x:row>
    <x:row r="1065" ht="39" customHeight="1">
      <x:c r="A1065" s="12" t="str">
        <x:v>10489</x:v>
      </x:c>
      <x:c r="B1065" s="12" t="str">
        <x:v>13229</x:v>
      </x:c>
      <x:c r="C1065" s="12" t="str">
        <x:v>参考000</x:v>
      </x:c>
      <x:c r="D1065" s="12" t="str">
        <x:v>自动000</x:v>
      </x:c>
      <x:c r="E1065" s="12" t="n">
        <x:v>0</x:v>
      </x:c>
      <x:c r="F1065" s="12" t="n">
        <x:v>1</x:v>
      </x:c>
      <x:c r="G1065" s="12" t="n">
        <x:v>0</x:v>
      </x:c>
      <x:c r="H1065" s="12" t="n">
        <x:f>IF(SUM(I1065:K1065)&gt;0,1,0)</x:f>
        <x:v>0</x:v>
      </x:c>
      <x:c r="I1065" s="12" t="n">
        <x:f>IF('患者配对'!M1170="positive",1,0)</x:f>
        <x:v>0</x:v>
      </x:c>
      <x:c r="J1065" s="12" t="n">
        <x:f>IF('患者配对'!R1170="positive",1,0)</x:f>
        <x:v>0</x:v>
      </x:c>
      <x:c r="K1065" s="12" t="n">
        <x:f>IF('患者配对'!W1170="positive",1,0)</x:f>
        <x:v>0</x:v>
      </x:c>
      <x:c r="L1065" s="12" t="str">
        <x:v>由原件与原状态取得；仅主队列索引</x:v>
      </x:c>
      <x:c r="M1065" s="12"/>
      <x:c r="N1065" s="12"/>
      <x:c r="O1065" s="12"/>
    </x:row>
    <x:row r="1066" ht="39" customHeight="1">
      <x:c r="A1066" s="12" t="str">
        <x:v>10501</x:v>
      </x:c>
      <x:c r="B1066" s="12" t="str">
        <x:v>18534</x:v>
      </x:c>
      <x:c r="C1066" s="12" t="str">
        <x:v>参考000</x:v>
      </x:c>
      <x:c r="D1066" s="12" t="str">
        <x:v>自动000</x:v>
      </x:c>
      <x:c r="E1066" s="12" t="n">
        <x:v>0</x:v>
      </x:c>
      <x:c r="F1066" s="12" t="n">
        <x:v>0</x:v>
      </x:c>
      <x:c r="G1066" s="12" t="n">
        <x:v>0</x:v>
      </x:c>
      <x:c r="H1066" s="12" t="n">
        <x:f>IF(SUM(I1066:K1066)&gt;0,1,0)</x:f>
        <x:v>0</x:v>
      </x:c>
      <x:c r="I1066" s="12" t="n">
        <x:f>IF('患者配对'!M1171="positive",1,0)</x:f>
        <x:v>0</x:v>
      </x:c>
      <x:c r="J1066" s="12" t="n">
        <x:f>IF('患者配对'!R1171="positive",1,0)</x:f>
        <x:v>0</x:v>
      </x:c>
      <x:c r="K1066" s="12" t="n">
        <x:f>IF('患者配对'!W1171="positive",1,0)</x:f>
        <x:v>0</x:v>
      </x:c>
      <x:c r="L1066" s="12" t="str">
        <x:v>由原件与原状态取得；仅主队列索引</x:v>
      </x:c>
      <x:c r="M1066" s="12"/>
      <x:c r="N1066" s="12"/>
      <x:c r="O1066" s="12"/>
    </x:row>
    <x:row r="1067" ht="39" customHeight="1">
      <x:c r="A1067" s="12" t="str">
        <x:v>10517</x:v>
      </x:c>
      <x:c r="B1067" s="12" t="str">
        <x:v>2466</x:v>
      </x:c>
      <x:c r="C1067" s="12" t="str">
        <x:v>参考000</x:v>
      </x:c>
      <x:c r="D1067" s="12" t="str">
        <x:v>自动000</x:v>
      </x:c>
      <x:c r="E1067" s="12" t="n">
        <x:v>0</x:v>
      </x:c>
      <x:c r="F1067" s="12" t="n">
        <x:v>1</x:v>
      </x:c>
      <x:c r="G1067" s="12" t="n">
        <x:v>0</x:v>
      </x:c>
      <x:c r="H1067" s="12" t="n">
        <x:f>IF(SUM(I1067:K1067)&gt;0,1,0)</x:f>
        <x:v>0</x:v>
      </x:c>
      <x:c r="I1067" s="12" t="n">
        <x:f>IF('患者配对'!M1172="positive",1,0)</x:f>
        <x:v>0</x:v>
      </x:c>
      <x:c r="J1067" s="12" t="n">
        <x:f>IF('患者配对'!R1172="positive",1,0)</x:f>
        <x:v>0</x:v>
      </x:c>
      <x:c r="K1067" s="12" t="n">
        <x:f>IF('患者配对'!W1172="positive",1,0)</x:f>
        <x:v>0</x:v>
      </x:c>
      <x:c r="L1067" s="12" t="str">
        <x:v>由原件与原状态取得；仅主队列索引</x:v>
      </x:c>
      <x:c r="M1067" s="12"/>
      <x:c r="N1067" s="12"/>
      <x:c r="O1067" s="12"/>
    </x:row>
    <x:row r="1068" ht="39" customHeight="1">
      <x:c r="A1068" s="12" t="str">
        <x:v>10519</x:v>
      </x:c>
      <x:c r="B1068" s="12" t="str">
        <x:v>18676</x:v>
      </x:c>
      <x:c r="C1068" s="12" t="str">
        <x:v>参考000</x:v>
      </x:c>
      <x:c r="D1068" s="12" t="str">
        <x:v>自动000</x:v>
      </x:c>
      <x:c r="E1068" s="12" t="n">
        <x:v>0</x:v>
      </x:c>
      <x:c r="F1068" s="12" t="n">
        <x:v>0</x:v>
      </x:c>
      <x:c r="G1068" s="12" t="n">
        <x:v>0</x:v>
      </x:c>
      <x:c r="H1068" s="12" t="n">
        <x:f>IF(SUM(I1068:K1068)&gt;0,1,0)</x:f>
        <x:v>0</x:v>
      </x:c>
      <x:c r="I1068" s="12" t="n">
        <x:f>IF('患者配对'!M1173="positive",1,0)</x:f>
        <x:v>0</x:v>
      </x:c>
      <x:c r="J1068" s="12" t="n">
        <x:f>IF('患者配对'!R1173="positive",1,0)</x:f>
        <x:v>0</x:v>
      </x:c>
      <x:c r="K1068" s="12" t="n">
        <x:f>IF('患者配对'!W1173="positive",1,0)</x:f>
        <x:v>0</x:v>
      </x:c>
      <x:c r="L1068" s="12" t="str">
        <x:v>由原件与原状态取得；仅主队列索引</x:v>
      </x:c>
      <x:c r="M1068" s="12"/>
      <x:c r="N1068" s="12"/>
      <x:c r="O1068" s="12"/>
    </x:row>
    <x:row r="1069" ht="39" customHeight="1">
      <x:c r="A1069" s="12" t="str">
        <x:v>10537</x:v>
      </x:c>
      <x:c r="B1069" s="12" t="str">
        <x:v>4043</x:v>
      </x:c>
      <x:c r="C1069" s="12" t="str">
        <x:v>参考000</x:v>
      </x:c>
      <x:c r="D1069" s="12" t="str">
        <x:v>自动000</x:v>
      </x:c>
      <x:c r="E1069" s="12" t="n">
        <x:v>0</x:v>
      </x:c>
      <x:c r="F1069" s="12" t="n">
        <x:v>0</x:v>
      </x:c>
      <x:c r="G1069" s="12" t="n">
        <x:v>0</x:v>
      </x:c>
      <x:c r="H1069" s="12" t="n">
        <x:f>IF(SUM(I1069:K1069)&gt;0,1,0)</x:f>
        <x:v>0</x:v>
      </x:c>
      <x:c r="I1069" s="12" t="n">
        <x:f>IF('患者配对'!M1174="positive",1,0)</x:f>
        <x:v>0</x:v>
      </x:c>
      <x:c r="J1069" s="12" t="n">
        <x:f>IF('患者配对'!R1174="positive",1,0)</x:f>
        <x:v>0</x:v>
      </x:c>
      <x:c r="K1069" s="12" t="n">
        <x:f>IF('患者配对'!W1174="positive",1,0)</x:f>
        <x:v>0</x:v>
      </x:c>
      <x:c r="L1069" s="12" t="str">
        <x:v>由原件与原状态取得；仅主队列索引</x:v>
      </x:c>
      <x:c r="M1069" s="12"/>
      <x:c r="N1069" s="12"/>
      <x:c r="O1069" s="12"/>
    </x:row>
    <x:row r="1070" ht="39" customHeight="1">
      <x:c r="A1070" s="12" t="str">
        <x:v>10547</x:v>
      </x:c>
      <x:c r="B1070" s="12" t="str">
        <x:v>6385</x:v>
      </x:c>
      <x:c r="C1070" s="12" t="str">
        <x:v>参考000</x:v>
      </x:c>
      <x:c r="D1070" s="12" t="str">
        <x:v>自动000</x:v>
      </x:c>
      <x:c r="E1070" s="12" t="n">
        <x:v>0</x:v>
      </x:c>
      <x:c r="F1070" s="12" t="n">
        <x:v>0</x:v>
      </x:c>
      <x:c r="G1070" s="12" t="n">
        <x:v>0</x:v>
      </x:c>
      <x:c r="H1070" s="12" t="n">
        <x:f>IF(SUM(I1070:K1070)&gt;0,1,0)</x:f>
        <x:v>0</x:v>
      </x:c>
      <x:c r="I1070" s="12" t="n">
        <x:f>IF('患者配对'!M1175="positive",1,0)</x:f>
        <x:v>0</x:v>
      </x:c>
      <x:c r="J1070" s="12" t="n">
        <x:f>IF('患者配对'!R1175="positive",1,0)</x:f>
        <x:v>0</x:v>
      </x:c>
      <x:c r="K1070" s="12" t="n">
        <x:f>IF('患者配对'!W1175="positive",1,0)</x:f>
        <x:v>0</x:v>
      </x:c>
      <x:c r="L1070" s="12" t="str">
        <x:v>由原件与原状态取得；仅主队列索引</x:v>
      </x:c>
      <x:c r="M1070" s="12"/>
      <x:c r="N1070" s="12"/>
      <x:c r="O1070" s="12"/>
    </x:row>
    <x:row r="1071" ht="39" customHeight="1">
      <x:c r="A1071" s="12" t="str">
        <x:v>10563</x:v>
      </x:c>
      <x:c r="B1071" s="12" t="str">
        <x:v>3203</x:v>
      </x:c>
      <x:c r="C1071" s="12" t="str">
        <x:v>参考000</x:v>
      </x:c>
      <x:c r="D1071" s="12" t="str">
        <x:v>自动000</x:v>
      </x:c>
      <x:c r="E1071" s="12" t="n">
        <x:v>0</x:v>
      </x:c>
      <x:c r="F1071" s="12" t="n">
        <x:v>0</x:v>
      </x:c>
      <x:c r="G1071" s="12" t="n">
        <x:v>0</x:v>
      </x:c>
      <x:c r="H1071" s="12" t="n">
        <x:f>IF(SUM(I1071:K1071)&gt;0,1,0)</x:f>
        <x:v>0</x:v>
      </x:c>
      <x:c r="I1071" s="12" t="n">
        <x:f>IF('患者配对'!M1176="positive",1,0)</x:f>
        <x:v>0</x:v>
      </x:c>
      <x:c r="J1071" s="12" t="n">
        <x:f>IF('患者配对'!R1176="positive",1,0)</x:f>
        <x:v>0</x:v>
      </x:c>
      <x:c r="K1071" s="12" t="n">
        <x:f>IF('患者配对'!W1176="positive",1,0)</x:f>
        <x:v>0</x:v>
      </x:c>
      <x:c r="L1071" s="12" t="str">
        <x:v>由原件与原状态取得；仅主队列索引</x:v>
      </x:c>
      <x:c r="M1071" s="12"/>
      <x:c r="N1071" s="12"/>
      <x:c r="O1071" s="12"/>
    </x:row>
    <x:row r="1072" ht="39" customHeight="1">
      <x:c r="A1072" s="12" t="str">
        <x:v>10585</x:v>
      </x:c>
      <x:c r="B1072" s="12" t="str">
        <x:v>1345</x:v>
      </x:c>
      <x:c r="C1072" s="12" t="str">
        <x:v>参考000</x:v>
      </x:c>
      <x:c r="D1072" s="12" t="str">
        <x:v>自动000</x:v>
      </x:c>
      <x:c r="E1072" s="12" t="n">
        <x:v>0</x:v>
      </x:c>
      <x:c r="F1072" s="12" t="n">
        <x:v>0</x:v>
      </x:c>
      <x:c r="G1072" s="12" t="n">
        <x:v>0</x:v>
      </x:c>
      <x:c r="H1072" s="12" t="n">
        <x:f>IF(SUM(I1072:K1072)&gt;0,1,0)</x:f>
        <x:v>0</x:v>
      </x:c>
      <x:c r="I1072" s="12" t="n">
        <x:f>IF('患者配对'!M1177="positive",1,0)</x:f>
        <x:v>0</x:v>
      </x:c>
      <x:c r="J1072" s="12" t="n">
        <x:f>IF('患者配对'!R1177="positive",1,0)</x:f>
        <x:v>0</x:v>
      </x:c>
      <x:c r="K1072" s="12" t="n">
        <x:f>IF('患者配对'!W1177="positive",1,0)</x:f>
        <x:v>0</x:v>
      </x:c>
      <x:c r="L1072" s="12" t="str">
        <x:v>由原件与原状态取得；仅主队列索引</x:v>
      </x:c>
      <x:c r="M1072" s="12"/>
      <x:c r="N1072" s="12"/>
      <x:c r="O1072" s="12"/>
    </x:row>
    <x:row r="1073" ht="39" customHeight="1">
      <x:c r="A1073" s="12" t="str">
        <x:v>10589</x:v>
      </x:c>
      <x:c r="B1073" s="12" t="str">
        <x:v>2875</x:v>
      </x:c>
      <x:c r="C1073" s="12" t="str">
        <x:v>参考000</x:v>
      </x:c>
      <x:c r="D1073" s="12" t="str">
        <x:v>自动000</x:v>
      </x:c>
      <x:c r="E1073" s="12" t="n">
        <x:v>0</x:v>
      </x:c>
      <x:c r="F1073" s="12" t="n">
        <x:v>0</x:v>
      </x:c>
      <x:c r="G1073" s="12" t="n">
        <x:v>0</x:v>
      </x:c>
      <x:c r="H1073" s="12" t="n">
        <x:f>IF(SUM(I1073:K1073)&gt;0,1,0)</x:f>
        <x:v>0</x:v>
      </x:c>
      <x:c r="I1073" s="12" t="n">
        <x:f>IF('患者配对'!M1178="positive",1,0)</x:f>
        <x:v>0</x:v>
      </x:c>
      <x:c r="J1073" s="12" t="n">
        <x:f>IF('患者配对'!R1178="positive",1,0)</x:f>
        <x:v>0</x:v>
      </x:c>
      <x:c r="K1073" s="12" t="n">
        <x:f>IF('患者配对'!W1178="positive",1,0)</x:f>
        <x:v>0</x:v>
      </x:c>
      <x:c r="L1073" s="12" t="str">
        <x:v>由原件与原状态取得；仅主队列索引</x:v>
      </x:c>
      <x:c r="M1073" s="12"/>
      <x:c r="N1073" s="12"/>
      <x:c r="O1073" s="12"/>
    </x:row>
    <x:row r="1074" ht="39" customHeight="1">
      <x:c r="A1074" s="12" t="str">
        <x:v>10594</x:v>
      </x:c>
      <x:c r="B1074" s="12" t="str">
        <x:v>8247</x:v>
      </x:c>
      <x:c r="C1074" s="12" t="str">
        <x:v>参考000</x:v>
      </x:c>
      <x:c r="D1074" s="12" t="str">
        <x:v>自动000</x:v>
      </x:c>
      <x:c r="E1074" s="12" t="n">
        <x:v>0</x:v>
      </x:c>
      <x:c r="F1074" s="12" t="n">
        <x:v>0</x:v>
      </x:c>
      <x:c r="G1074" s="12" t="n">
        <x:v>0</x:v>
      </x:c>
      <x:c r="H1074" s="12" t="n">
        <x:f>IF(SUM(I1074:K1074)&gt;0,1,0)</x:f>
        <x:v>0</x:v>
      </x:c>
      <x:c r="I1074" s="12" t="n">
        <x:f>IF('患者配对'!M1179="positive",1,0)</x:f>
        <x:v>0</x:v>
      </x:c>
      <x:c r="J1074" s="12" t="n">
        <x:f>IF('患者配对'!R1179="positive",1,0)</x:f>
        <x:v>0</x:v>
      </x:c>
      <x:c r="K1074" s="12" t="n">
        <x:f>IF('患者配对'!W1179="positive",1,0)</x:f>
        <x:v>0</x:v>
      </x:c>
      <x:c r="L1074" s="12" t="str">
        <x:v>由原件与原状态取得；仅主队列索引</x:v>
      </x:c>
      <x:c r="M1074" s="12"/>
      <x:c r="N1074" s="12"/>
      <x:c r="O1074" s="12"/>
    </x:row>
    <x:row r="1075" ht="39" customHeight="1">
      <x:c r="A1075" s="12" t="str">
        <x:v>10596</x:v>
      </x:c>
      <x:c r="B1075" s="12" t="str">
        <x:v>5597</x:v>
      </x:c>
      <x:c r="C1075" s="12" t="str">
        <x:v>参考000</x:v>
      </x:c>
      <x:c r="D1075" s="12" t="str">
        <x:v>自动000</x:v>
      </x:c>
      <x:c r="E1075" s="12" t="n">
        <x:v>0</x:v>
      </x:c>
      <x:c r="F1075" s="12" t="n">
        <x:v>0</x:v>
      </x:c>
      <x:c r="G1075" s="12" t="n">
        <x:v>0</x:v>
      </x:c>
      <x:c r="H1075" s="12" t="n">
        <x:f>IF(SUM(I1075:K1075)&gt;0,1,0)</x:f>
        <x:v>0</x:v>
      </x:c>
      <x:c r="I1075" s="12" t="n">
        <x:f>IF('患者配对'!M1180="positive",1,0)</x:f>
        <x:v>0</x:v>
      </x:c>
      <x:c r="J1075" s="12" t="n">
        <x:f>IF('患者配对'!R1180="positive",1,0)</x:f>
        <x:v>0</x:v>
      </x:c>
      <x:c r="K1075" s="12" t="n">
        <x:f>IF('患者配对'!W1180="positive",1,0)</x:f>
        <x:v>0</x:v>
      </x:c>
      <x:c r="L1075" s="12" t="str">
        <x:v>由原件与原状态取得；仅主队列索引</x:v>
      </x:c>
      <x:c r="M1075" s="12"/>
      <x:c r="N1075" s="12"/>
      <x:c r="O1075" s="12"/>
    </x:row>
    <x:row r="1076" ht="39" customHeight="1">
      <x:c r="A1076" s="12" t="str">
        <x:v>10614</x:v>
      </x:c>
      <x:c r="B1076" s="12" t="str">
        <x:v>21413</x:v>
      </x:c>
      <x:c r="C1076" s="12" t="str">
        <x:v>参考000</x:v>
      </x:c>
      <x:c r="D1076" s="12" t="str">
        <x:v>自动000</x:v>
      </x:c>
      <x:c r="E1076" s="12" t="n">
        <x:v>0</x:v>
      </x:c>
      <x:c r="F1076" s="12" t="n">
        <x:v>0</x:v>
      </x:c>
      <x:c r="G1076" s="12" t="n">
        <x:v>0</x:v>
      </x:c>
      <x:c r="H1076" s="12" t="n">
        <x:f>IF(SUM(I1076:K1076)&gt;0,1,0)</x:f>
        <x:v>0</x:v>
      </x:c>
      <x:c r="I1076" s="12" t="n">
        <x:f>IF('患者配对'!M1181="positive",1,0)</x:f>
        <x:v>0</x:v>
      </x:c>
      <x:c r="J1076" s="12" t="n">
        <x:f>IF('患者配对'!R1181="positive",1,0)</x:f>
        <x:v>0</x:v>
      </x:c>
      <x:c r="K1076" s="12" t="n">
        <x:f>IF('患者配对'!W1181="positive",1,0)</x:f>
        <x:v>0</x:v>
      </x:c>
      <x:c r="L1076" s="12" t="str">
        <x:v>由原件与原状态取得；仅主队列索引</x:v>
      </x:c>
      <x:c r="M1076" s="12"/>
      <x:c r="N1076" s="12"/>
      <x:c r="O1076" s="12"/>
    </x:row>
    <x:row r="1077" ht="39" customHeight="1">
      <x:c r="A1077" s="12" t="str">
        <x:v>10615</x:v>
      </x:c>
      <x:c r="B1077" s="12" t="str">
        <x:v>5650</x:v>
      </x:c>
      <x:c r="C1077" s="12" t="str">
        <x:v>参考000</x:v>
      </x:c>
      <x:c r="D1077" s="12" t="str">
        <x:v>自动000</x:v>
      </x:c>
      <x:c r="E1077" s="12" t="n">
        <x:v>0</x:v>
      </x:c>
      <x:c r="F1077" s="12" t="n">
        <x:v>0</x:v>
      </x:c>
      <x:c r="G1077" s="12" t="n">
        <x:v>0</x:v>
      </x:c>
      <x:c r="H1077" s="12" t="n">
        <x:f>IF(SUM(I1077:K1077)&gt;0,1,0)</x:f>
        <x:v>0</x:v>
      </x:c>
      <x:c r="I1077" s="12" t="n">
        <x:f>IF('患者配对'!M1182="positive",1,0)</x:f>
        <x:v>0</x:v>
      </x:c>
      <x:c r="J1077" s="12" t="n">
        <x:f>IF('患者配对'!R1182="positive",1,0)</x:f>
        <x:v>0</x:v>
      </x:c>
      <x:c r="K1077" s="12" t="n">
        <x:f>IF('患者配对'!W1182="positive",1,0)</x:f>
        <x:v>0</x:v>
      </x:c>
      <x:c r="L1077" s="12" t="str">
        <x:v>由原件与原状态取得；仅主队列索引</x:v>
      </x:c>
      <x:c r="M1077" s="12"/>
      <x:c r="N1077" s="12"/>
      <x:c r="O1077" s="12"/>
    </x:row>
    <x:row r="1078" ht="39" customHeight="1">
      <x:c r="A1078" s="12" t="str">
        <x:v>10624</x:v>
      </x:c>
      <x:c r="B1078" s="12" t="str">
        <x:v>7859</x:v>
      </x:c>
      <x:c r="C1078" s="12" t="str">
        <x:v>参考000</x:v>
      </x:c>
      <x:c r="D1078" s="12" t="str">
        <x:v>自动000</x:v>
      </x:c>
      <x:c r="E1078" s="12" t="n">
        <x:v>0</x:v>
      </x:c>
      <x:c r="F1078" s="12" t="n">
        <x:v>0</x:v>
      </x:c>
      <x:c r="G1078" s="12" t="n">
        <x:v>0</x:v>
      </x:c>
      <x:c r="H1078" s="12" t="n">
        <x:f>IF(SUM(I1078:K1078)&gt;0,1,0)</x:f>
        <x:v>0</x:v>
      </x:c>
      <x:c r="I1078" s="12" t="n">
        <x:f>IF('患者配对'!M1183="positive",1,0)</x:f>
        <x:v>0</x:v>
      </x:c>
      <x:c r="J1078" s="12" t="n">
        <x:f>IF('患者配对'!R1183="positive",1,0)</x:f>
        <x:v>0</x:v>
      </x:c>
      <x:c r="K1078" s="12" t="n">
        <x:f>IF('患者配对'!W1183="positive",1,0)</x:f>
        <x:v>0</x:v>
      </x:c>
      <x:c r="L1078" s="12" t="str">
        <x:v>由原件与原状态取得；仅主队列索引</x:v>
      </x:c>
      <x:c r="M1078" s="12"/>
      <x:c r="N1078" s="12"/>
      <x:c r="O1078" s="12"/>
    </x:row>
    <x:row r="1079" ht="39" customHeight="1">
      <x:c r="A1079" s="12" t="str">
        <x:v>10640</x:v>
      </x:c>
      <x:c r="B1079" s="12" t="str">
        <x:v>6816</x:v>
      </x:c>
      <x:c r="C1079" s="12" t="str">
        <x:v>参考000</x:v>
      </x:c>
      <x:c r="D1079" s="12" t="str">
        <x:v>自动000</x:v>
      </x:c>
      <x:c r="E1079" s="12" t="n">
        <x:v>0</x:v>
      </x:c>
      <x:c r="F1079" s="12" t="n">
        <x:v>1</x:v>
      </x:c>
      <x:c r="G1079" s="12" t="n">
        <x:v>0</x:v>
      </x:c>
      <x:c r="H1079" s="12" t="n">
        <x:f>IF(SUM(I1079:K1079)&gt;0,1,0)</x:f>
        <x:v>0</x:v>
      </x:c>
      <x:c r="I1079" s="12" t="n">
        <x:f>IF('患者配对'!M1184="positive",1,0)</x:f>
        <x:v>0</x:v>
      </x:c>
      <x:c r="J1079" s="12" t="n">
        <x:f>IF('患者配对'!R1184="positive",1,0)</x:f>
        <x:v>0</x:v>
      </x:c>
      <x:c r="K1079" s="12" t="n">
        <x:f>IF('患者配对'!W1184="positive",1,0)</x:f>
        <x:v>0</x:v>
      </x:c>
      <x:c r="L1079" s="12" t="str">
        <x:v>由原件与原状态取得；仅主队列索引</x:v>
      </x:c>
      <x:c r="M1079" s="12"/>
      <x:c r="N1079" s="12"/>
      <x:c r="O1079" s="12"/>
    </x:row>
    <x:row r="1080" ht="39" customHeight="1">
      <x:c r="A1080" s="12" t="str">
        <x:v>10660</x:v>
      </x:c>
      <x:c r="B1080" s="12" t="str">
        <x:v>13576</x:v>
      </x:c>
      <x:c r="C1080" s="12" t="str">
        <x:v>参考000</x:v>
      </x:c>
      <x:c r="D1080" s="12" t="str">
        <x:v>自动000</x:v>
      </x:c>
      <x:c r="E1080" s="12" t="n">
        <x:v>0</x:v>
      </x:c>
      <x:c r="F1080" s="12" t="n">
        <x:v>0</x:v>
      </x:c>
      <x:c r="G1080" s="12" t="n">
        <x:v>0</x:v>
      </x:c>
      <x:c r="H1080" s="12" t="n">
        <x:f>IF(SUM(I1080:K1080)&gt;0,1,0)</x:f>
        <x:v>0</x:v>
      </x:c>
      <x:c r="I1080" s="12" t="n">
        <x:f>IF('患者配对'!M1185="positive",1,0)</x:f>
        <x:v>0</x:v>
      </x:c>
      <x:c r="J1080" s="12" t="n">
        <x:f>IF('患者配对'!R1185="positive",1,0)</x:f>
        <x:v>0</x:v>
      </x:c>
      <x:c r="K1080" s="12" t="n">
        <x:f>IF('患者配对'!W1185="positive",1,0)</x:f>
        <x:v>0</x:v>
      </x:c>
      <x:c r="L1080" s="12" t="str">
        <x:v>由原件与原状态取得；仅主队列索引</x:v>
      </x:c>
      <x:c r="M1080" s="12"/>
      <x:c r="N1080" s="12"/>
      <x:c r="O1080" s="12"/>
    </x:row>
    <x:row r="1081" ht="39" customHeight="1">
      <x:c r="A1081" s="12" t="str">
        <x:v>10661</x:v>
      </x:c>
      <x:c r="B1081" s="12" t="str">
        <x:v>9919</x:v>
      </x:c>
      <x:c r="C1081" s="12" t="str">
        <x:v>参考000</x:v>
      </x:c>
      <x:c r="D1081" s="12" t="str">
        <x:v>自动000</x:v>
      </x:c>
      <x:c r="E1081" s="12" t="n">
        <x:v>0</x:v>
      </x:c>
      <x:c r="F1081" s="12" t="n">
        <x:v>0</x:v>
      </x:c>
      <x:c r="G1081" s="12" t="n">
        <x:v>0</x:v>
      </x:c>
      <x:c r="H1081" s="12" t="n">
        <x:f>IF(SUM(I1081:K1081)&gt;0,1,0)</x:f>
        <x:v>0</x:v>
      </x:c>
      <x:c r="I1081" s="12" t="n">
        <x:f>IF('患者配对'!M1186="positive",1,0)</x:f>
        <x:v>0</x:v>
      </x:c>
      <x:c r="J1081" s="12" t="n">
        <x:f>IF('患者配对'!R1186="positive",1,0)</x:f>
        <x:v>0</x:v>
      </x:c>
      <x:c r="K1081" s="12" t="n">
        <x:f>IF('患者配对'!W1186="positive",1,0)</x:f>
        <x:v>0</x:v>
      </x:c>
      <x:c r="L1081" s="12" t="str">
        <x:v>由原件与原状态取得；仅主队列索引</x:v>
      </x:c>
      <x:c r="M1081" s="12"/>
      <x:c r="N1081" s="12"/>
      <x:c r="O1081" s="12"/>
    </x:row>
    <x:row r="1082" ht="39" customHeight="1">
      <x:c r="A1082" s="12" t="str">
        <x:v>10666</x:v>
      </x:c>
      <x:c r="B1082" s="12" t="str">
        <x:v>15706</x:v>
      </x:c>
      <x:c r="C1082" s="12" t="str">
        <x:v>参考000</x:v>
      </x:c>
      <x:c r="D1082" s="12" t="str">
        <x:v>自动000</x:v>
      </x:c>
      <x:c r="E1082" s="12" t="n">
        <x:v>0</x:v>
      </x:c>
      <x:c r="F1082" s="12" t="n">
        <x:v>0</x:v>
      </x:c>
      <x:c r="G1082" s="12" t="n">
        <x:v>0</x:v>
      </x:c>
      <x:c r="H1082" s="12" t="n">
        <x:f>IF(SUM(I1082:K1082)&gt;0,1,0)</x:f>
        <x:v>0</x:v>
      </x:c>
      <x:c r="I1082" s="12" t="n">
        <x:f>IF('患者配对'!M1187="positive",1,0)</x:f>
        <x:v>0</x:v>
      </x:c>
      <x:c r="J1082" s="12" t="n">
        <x:f>IF('患者配对'!R1187="positive",1,0)</x:f>
        <x:v>0</x:v>
      </x:c>
      <x:c r="K1082" s="12" t="n">
        <x:f>IF('患者配对'!W1187="positive",1,0)</x:f>
        <x:v>0</x:v>
      </x:c>
      <x:c r="L1082" s="12" t="str">
        <x:v>由原件与原状态取得；仅主队列索引</x:v>
      </x:c>
      <x:c r="M1082" s="12"/>
      <x:c r="N1082" s="12"/>
      <x:c r="O1082" s="12"/>
    </x:row>
    <x:row r="1083" ht="39" customHeight="1">
      <x:c r="A1083" s="12" t="str">
        <x:v>10675</x:v>
      </x:c>
      <x:c r="B1083" s="12" t="str">
        <x:v>13629</x:v>
      </x:c>
      <x:c r="C1083" s="12" t="str">
        <x:v>参考000</x:v>
      </x:c>
      <x:c r="D1083" s="12" t="str">
        <x:v>自动000</x:v>
      </x:c>
      <x:c r="E1083" s="12" t="n">
        <x:v>0</x:v>
      </x:c>
      <x:c r="F1083" s="12" t="n">
        <x:v>0</x:v>
      </x:c>
      <x:c r="G1083" s="12" t="n">
        <x:v>0</x:v>
      </x:c>
      <x:c r="H1083" s="12" t="n">
        <x:f>IF(SUM(I1083:K1083)&gt;0,1,0)</x:f>
        <x:v>0</x:v>
      </x:c>
      <x:c r="I1083" s="12" t="n">
        <x:f>IF('患者配对'!M1188="positive",1,0)</x:f>
        <x:v>0</x:v>
      </x:c>
      <x:c r="J1083" s="12" t="n">
        <x:f>IF('患者配对'!R1188="positive",1,0)</x:f>
        <x:v>0</x:v>
      </x:c>
      <x:c r="K1083" s="12" t="n">
        <x:f>IF('患者配对'!W1188="positive",1,0)</x:f>
        <x:v>0</x:v>
      </x:c>
      <x:c r="L1083" s="12" t="str">
        <x:v>由原件与原状态取得；仅主队列索引</x:v>
      </x:c>
      <x:c r="M1083" s="12"/>
      <x:c r="N1083" s="12"/>
      <x:c r="O1083" s="12"/>
    </x:row>
    <x:row r="1084" ht="39" customHeight="1">
      <x:c r="A1084" s="12" t="str">
        <x:v>10687</x:v>
      </x:c>
      <x:c r="B1084" s="12" t="str">
        <x:v>8805</x:v>
      </x:c>
      <x:c r="C1084" s="12" t="str">
        <x:v>参考000</x:v>
      </x:c>
      <x:c r="D1084" s="12" t="str">
        <x:v>自动000</x:v>
      </x:c>
      <x:c r="E1084" s="12" t="n">
        <x:v>0</x:v>
      </x:c>
      <x:c r="F1084" s="12" t="n">
        <x:v>1</x:v>
      </x:c>
      <x:c r="G1084" s="12" t="n">
        <x:v>0</x:v>
      </x:c>
      <x:c r="H1084" s="12" t="n">
        <x:f>IF(SUM(I1084:K1084)&gt;0,1,0)</x:f>
        <x:v>0</x:v>
      </x:c>
      <x:c r="I1084" s="12" t="n">
        <x:f>IF('患者配对'!M1189="positive",1,0)</x:f>
        <x:v>0</x:v>
      </x:c>
      <x:c r="J1084" s="12" t="n">
        <x:f>IF('患者配对'!R1189="positive",1,0)</x:f>
        <x:v>0</x:v>
      </x:c>
      <x:c r="K1084" s="12" t="n">
        <x:f>IF('患者配对'!W1189="positive",1,0)</x:f>
        <x:v>0</x:v>
      </x:c>
      <x:c r="L1084" s="12" t="str">
        <x:v>由原件与原状态取得；仅主队列索引</x:v>
      </x:c>
      <x:c r="M1084" s="12"/>
      <x:c r="N1084" s="12"/>
      <x:c r="O1084" s="12"/>
    </x:row>
    <x:row r="1085" ht="39" customHeight="1">
      <x:c r="A1085" s="12" t="str">
        <x:v>10691</x:v>
      </x:c>
      <x:c r="B1085" s="12" t="str">
        <x:v>4344</x:v>
      </x:c>
      <x:c r="C1085" s="12" t="str">
        <x:v>参考000</x:v>
      </x:c>
      <x:c r="D1085" s="12" t="str">
        <x:v>自动000</x:v>
      </x:c>
      <x:c r="E1085" s="12" t="n">
        <x:v>0</x:v>
      </x:c>
      <x:c r="F1085" s="12" t="n">
        <x:v>0</x:v>
      </x:c>
      <x:c r="G1085" s="12" t="n">
        <x:v>0</x:v>
      </x:c>
      <x:c r="H1085" s="12" t="n">
        <x:f>IF(SUM(I1085:K1085)&gt;0,1,0)</x:f>
        <x:v>0</x:v>
      </x:c>
      <x:c r="I1085" s="12" t="n">
        <x:f>IF('患者配对'!M1190="positive",1,0)</x:f>
        <x:v>0</x:v>
      </x:c>
      <x:c r="J1085" s="12" t="n">
        <x:f>IF('患者配对'!R1190="positive",1,0)</x:f>
        <x:v>0</x:v>
      </x:c>
      <x:c r="K1085" s="12" t="n">
        <x:f>IF('患者配对'!W1190="positive",1,0)</x:f>
        <x:v>0</x:v>
      </x:c>
      <x:c r="L1085" s="12" t="str">
        <x:v>由原件与原状态取得；仅主队列索引</x:v>
      </x:c>
      <x:c r="M1085" s="12"/>
      <x:c r="N1085" s="12"/>
      <x:c r="O1085" s="12"/>
    </x:row>
    <x:row r="1086" ht="39" customHeight="1">
      <x:c r="A1086" s="12" t="str">
        <x:v>10731</x:v>
      </x:c>
      <x:c r="B1086" s="12" t="str">
        <x:v>11726</x:v>
      </x:c>
      <x:c r="C1086" s="12" t="str">
        <x:v>参考000</x:v>
      </x:c>
      <x:c r="D1086" s="12" t="str">
        <x:v>自动000</x:v>
      </x:c>
      <x:c r="E1086" s="12" t="n">
        <x:v>0</x:v>
      </x:c>
      <x:c r="F1086" s="12" t="n">
        <x:v>1</x:v>
      </x:c>
      <x:c r="G1086" s="12" t="n">
        <x:v>0</x:v>
      </x:c>
      <x:c r="H1086" s="12" t="n">
        <x:f>IF(SUM(I1086:K1086)&gt;0,1,0)</x:f>
        <x:v>0</x:v>
      </x:c>
      <x:c r="I1086" s="12" t="n">
        <x:f>IF('患者配对'!M1191="positive",1,0)</x:f>
        <x:v>0</x:v>
      </x:c>
      <x:c r="J1086" s="12" t="n">
        <x:f>IF('患者配对'!R1191="positive",1,0)</x:f>
        <x:v>0</x:v>
      </x:c>
      <x:c r="K1086" s="12" t="n">
        <x:f>IF('患者配对'!W1191="positive",1,0)</x:f>
        <x:v>0</x:v>
      </x:c>
      <x:c r="L1086" s="12" t="str">
        <x:v>由原件与原状态取得；仅主队列索引</x:v>
      </x:c>
      <x:c r="M1086" s="12"/>
      <x:c r="N1086" s="12"/>
      <x:c r="O1086" s="12"/>
    </x:row>
    <x:row r="1087" ht="39" customHeight="1">
      <x:c r="A1087" s="12" t="str">
        <x:v>10743</x:v>
      </x:c>
      <x:c r="B1087" s="12" t="str">
        <x:v>1921</x:v>
      </x:c>
      <x:c r="C1087" s="12" t="str">
        <x:v>参考000</x:v>
      </x:c>
      <x:c r="D1087" s="12" t="str">
        <x:v>自动000</x:v>
      </x:c>
      <x:c r="E1087" s="12" t="n">
        <x:v>0</x:v>
      </x:c>
      <x:c r="F1087" s="12" t="n">
        <x:v>1</x:v>
      </x:c>
      <x:c r="G1087" s="12" t="n">
        <x:v>0</x:v>
      </x:c>
      <x:c r="H1087" s="12" t="n">
        <x:f>IF(SUM(I1087:K1087)&gt;0,1,0)</x:f>
        <x:v>0</x:v>
      </x:c>
      <x:c r="I1087" s="12" t="n">
        <x:f>IF('患者配对'!M1192="positive",1,0)</x:f>
        <x:v>0</x:v>
      </x:c>
      <x:c r="J1087" s="12" t="n">
        <x:f>IF('患者配对'!R1192="positive",1,0)</x:f>
        <x:v>0</x:v>
      </x:c>
      <x:c r="K1087" s="12" t="n">
        <x:f>IF('患者配对'!W1192="positive",1,0)</x:f>
        <x:v>0</x:v>
      </x:c>
      <x:c r="L1087" s="12" t="str">
        <x:v>由原件与原状态取得；仅主队列索引</x:v>
      </x:c>
      <x:c r="M1087" s="12"/>
      <x:c r="N1087" s="12"/>
      <x:c r="O1087" s="12"/>
    </x:row>
    <x:row r="1088" ht="39" customHeight="1">
      <x:c r="A1088" s="12" t="str">
        <x:v>10755</x:v>
      </x:c>
      <x:c r="B1088" s="12" t="str">
        <x:v>7544</x:v>
      </x:c>
      <x:c r="C1088" s="12" t="str">
        <x:v>参考000</x:v>
      </x:c>
      <x:c r="D1088" s="12" t="str">
        <x:v>自动000</x:v>
      </x:c>
      <x:c r="E1088" s="12" t="n">
        <x:v>0</x:v>
      </x:c>
      <x:c r="F1088" s="12" t="n">
        <x:v>0</x:v>
      </x:c>
      <x:c r="G1088" s="12" t="n">
        <x:v>0</x:v>
      </x:c>
      <x:c r="H1088" s="12" t="n">
        <x:f>IF(SUM(I1088:K1088)&gt;0,1,0)</x:f>
        <x:v>0</x:v>
      </x:c>
      <x:c r="I1088" s="12" t="n">
        <x:f>IF('患者配对'!M1193="positive",1,0)</x:f>
        <x:v>0</x:v>
      </x:c>
      <x:c r="J1088" s="12" t="n">
        <x:f>IF('患者配对'!R1193="positive",1,0)</x:f>
        <x:v>0</x:v>
      </x:c>
      <x:c r="K1088" s="12" t="n">
        <x:f>IF('患者配对'!W1193="positive",1,0)</x:f>
        <x:v>0</x:v>
      </x:c>
      <x:c r="L1088" s="12" t="str">
        <x:v>由原件与原状态取得；仅主队列索引</x:v>
      </x:c>
      <x:c r="M1088" s="12"/>
      <x:c r="N1088" s="12"/>
      <x:c r="O1088" s="12"/>
    </x:row>
    <x:row r="1089" ht="39" customHeight="1">
      <x:c r="A1089" s="12" t="str">
        <x:v>10760</x:v>
      </x:c>
      <x:c r="B1089" s="12" t="str">
        <x:v>5638</x:v>
      </x:c>
      <x:c r="C1089" s="12" t="str">
        <x:v>参考000</x:v>
      </x:c>
      <x:c r="D1089" s="12" t="str">
        <x:v>自动000</x:v>
      </x:c>
      <x:c r="E1089" s="12" t="n">
        <x:v>0</x:v>
      </x:c>
      <x:c r="F1089" s="12" t="n">
        <x:v>0</x:v>
      </x:c>
      <x:c r="G1089" s="12" t="n">
        <x:v>0</x:v>
      </x:c>
      <x:c r="H1089" s="12" t="n">
        <x:f>IF(SUM(I1089:K1089)&gt;0,1,0)</x:f>
        <x:v>0</x:v>
      </x:c>
      <x:c r="I1089" s="12" t="n">
        <x:f>IF('患者配对'!M1194="positive",1,0)</x:f>
        <x:v>0</x:v>
      </x:c>
      <x:c r="J1089" s="12" t="n">
        <x:f>IF('患者配对'!R1194="positive",1,0)</x:f>
        <x:v>0</x:v>
      </x:c>
      <x:c r="K1089" s="12" t="n">
        <x:f>IF('患者配对'!W1194="positive",1,0)</x:f>
        <x:v>0</x:v>
      </x:c>
      <x:c r="L1089" s="12" t="str">
        <x:v>由原件与原状态取得；仅主队列索引</x:v>
      </x:c>
      <x:c r="M1089" s="12"/>
      <x:c r="N1089" s="12"/>
      <x:c r="O1089" s="12"/>
    </x:row>
    <x:row r="1090" ht="39" customHeight="1">
      <x:c r="A1090" s="12" t="str">
        <x:v>10806</x:v>
      </x:c>
      <x:c r="B1090" s="12" t="str">
        <x:v>9274</x:v>
      </x:c>
      <x:c r="C1090" s="12" t="str">
        <x:v>参考000</x:v>
      </x:c>
      <x:c r="D1090" s="12" t="str">
        <x:v>自动000</x:v>
      </x:c>
      <x:c r="E1090" s="12" t="n">
        <x:v>0</x:v>
      </x:c>
      <x:c r="F1090" s="12" t="n">
        <x:v>0</x:v>
      </x:c>
      <x:c r="G1090" s="12" t="n">
        <x:v>0</x:v>
      </x:c>
      <x:c r="H1090" s="12" t="n">
        <x:f>IF(SUM(I1090:K1090)&gt;0,1,0)</x:f>
        <x:v>0</x:v>
      </x:c>
      <x:c r="I1090" s="12" t="n">
        <x:f>IF('患者配对'!M1196="positive",1,0)</x:f>
        <x:v>0</x:v>
      </x:c>
      <x:c r="J1090" s="12" t="n">
        <x:f>IF('患者配对'!R1196="positive",1,0)</x:f>
        <x:v>0</x:v>
      </x:c>
      <x:c r="K1090" s="12" t="n">
        <x:f>IF('患者配对'!W1196="positive",1,0)</x:f>
        <x:v>0</x:v>
      </x:c>
      <x:c r="L1090" s="12" t="str">
        <x:v>由原件与原状态取得；仅主队列索引</x:v>
      </x:c>
      <x:c r="M1090" s="12"/>
      <x:c r="N1090" s="12"/>
      <x:c r="O1090" s="12"/>
    </x:row>
    <x:row r="1091" ht="39" customHeight="1">
      <x:c r="A1091" s="12" t="str">
        <x:v>10807</x:v>
      </x:c>
      <x:c r="B1091" s="12" t="str">
        <x:v>13868</x:v>
      </x:c>
      <x:c r="C1091" s="12" t="str">
        <x:v>参考000</x:v>
      </x:c>
      <x:c r="D1091" s="12" t="str">
        <x:v>自动000</x:v>
      </x:c>
      <x:c r="E1091" s="12" t="n">
        <x:v>0</x:v>
      </x:c>
      <x:c r="F1091" s="12" t="n">
        <x:v>0</x:v>
      </x:c>
      <x:c r="G1091" s="12" t="n">
        <x:v>0</x:v>
      </x:c>
      <x:c r="H1091" s="12" t="n">
        <x:f>IF(SUM(I1091:K1091)&gt;0,1,0)</x:f>
        <x:v>0</x:v>
      </x:c>
      <x:c r="I1091" s="12" t="n">
        <x:f>IF('患者配对'!M1197="positive",1,0)</x:f>
        <x:v>0</x:v>
      </x:c>
      <x:c r="J1091" s="12" t="n">
        <x:f>IF('患者配对'!R1197="positive",1,0)</x:f>
        <x:v>0</x:v>
      </x:c>
      <x:c r="K1091" s="12" t="n">
        <x:f>IF('患者配对'!W1197="positive",1,0)</x:f>
        <x:v>0</x:v>
      </x:c>
      <x:c r="L1091" s="12" t="str">
        <x:v>由原件与原状态取得；仅主队列索引</x:v>
      </x:c>
      <x:c r="M1091" s="12"/>
      <x:c r="N1091" s="12"/>
      <x:c r="O1091" s="12"/>
    </x:row>
    <x:row r="1092" ht="39" customHeight="1">
      <x:c r="A1092" s="12" t="str">
        <x:v>10824</x:v>
      </x:c>
      <x:c r="B1092" s="12" t="str">
        <x:v>4974</x:v>
      </x:c>
      <x:c r="C1092" s="12" t="str">
        <x:v>参考000</x:v>
      </x:c>
      <x:c r="D1092" s="12" t="str">
        <x:v>自动000</x:v>
      </x:c>
      <x:c r="E1092" s="12" t="n">
        <x:v>0</x:v>
      </x:c>
      <x:c r="F1092" s="12" t="n">
        <x:v>0</x:v>
      </x:c>
      <x:c r="G1092" s="12" t="n">
        <x:v>0</x:v>
      </x:c>
      <x:c r="H1092" s="12" t="n">
        <x:f>IF(SUM(I1092:K1092)&gt;0,1,0)</x:f>
        <x:v>0</x:v>
      </x:c>
      <x:c r="I1092" s="12" t="n">
        <x:f>IF('患者配对'!M1198="positive",1,0)</x:f>
        <x:v>0</x:v>
      </x:c>
      <x:c r="J1092" s="12" t="n">
        <x:f>IF('患者配对'!R1198="positive",1,0)</x:f>
        <x:v>0</x:v>
      </x:c>
      <x:c r="K1092" s="12" t="n">
        <x:f>IF('患者配对'!W1198="positive",1,0)</x:f>
        <x:v>0</x:v>
      </x:c>
      <x:c r="L1092" s="12" t="str">
        <x:v>由原件与原状态取得；仅主队列索引</x:v>
      </x:c>
      <x:c r="M1092" s="12"/>
      <x:c r="N1092" s="12"/>
      <x:c r="O1092" s="12"/>
    </x:row>
    <x:row r="1093" ht="39" customHeight="1">
      <x:c r="A1093" s="12" t="str">
        <x:v>10828</x:v>
      </x:c>
      <x:c r="B1093" s="12" t="str">
        <x:v>20375</x:v>
      </x:c>
      <x:c r="C1093" s="12" t="str">
        <x:v>参考000</x:v>
      </x:c>
      <x:c r="D1093" s="12" t="str">
        <x:v>自动000</x:v>
      </x:c>
      <x:c r="E1093" s="12" t="n">
        <x:v>0</x:v>
      </x:c>
      <x:c r="F1093" s="12" t="n">
        <x:v>1</x:v>
      </x:c>
      <x:c r="G1093" s="12" t="n">
        <x:v>0</x:v>
      </x:c>
      <x:c r="H1093" s="12" t="n">
        <x:f>IF(SUM(I1093:K1093)&gt;0,1,0)</x:f>
        <x:v>0</x:v>
      </x:c>
      <x:c r="I1093" s="12" t="n">
        <x:f>IF('患者配对'!M1199="positive",1,0)</x:f>
        <x:v>0</x:v>
      </x:c>
      <x:c r="J1093" s="12" t="n">
        <x:f>IF('患者配对'!R1199="positive",1,0)</x:f>
        <x:v>0</x:v>
      </x:c>
      <x:c r="K1093" s="12" t="n">
        <x:f>IF('患者配对'!W1199="positive",1,0)</x:f>
        <x:v>0</x:v>
      </x:c>
      <x:c r="L1093" s="12" t="str">
        <x:v>由原件与原状态取得；仅主队列索引</x:v>
      </x:c>
      <x:c r="M1093" s="12"/>
      <x:c r="N1093" s="12"/>
      <x:c r="O1093" s="12"/>
    </x:row>
    <x:row r="1094" ht="39" customHeight="1">
      <x:c r="A1094" s="12" t="str">
        <x:v>10837</x:v>
      </x:c>
      <x:c r="B1094" s="12" t="str">
        <x:v>20001</x:v>
      </x:c>
      <x:c r="C1094" s="12" t="str">
        <x:v>参考000</x:v>
      </x:c>
      <x:c r="D1094" s="12" t="str">
        <x:v>自动000</x:v>
      </x:c>
      <x:c r="E1094" s="12" t="n">
        <x:v>0</x:v>
      </x:c>
      <x:c r="F1094" s="12" t="n">
        <x:v>1</x:v>
      </x:c>
      <x:c r="G1094" s="12" t="n">
        <x:v>0</x:v>
      </x:c>
      <x:c r="H1094" s="12" t="n">
        <x:f>IF(SUM(I1094:K1094)&gt;0,1,0)</x:f>
        <x:v>0</x:v>
      </x:c>
      <x:c r="I1094" s="12" t="n">
        <x:f>IF('患者配对'!M1200="positive",1,0)</x:f>
        <x:v>0</x:v>
      </x:c>
      <x:c r="J1094" s="12" t="n">
        <x:f>IF('患者配对'!R1200="positive",1,0)</x:f>
        <x:v>0</x:v>
      </x:c>
      <x:c r="K1094" s="12" t="n">
        <x:f>IF('患者配对'!W1200="positive",1,0)</x:f>
        <x:v>0</x:v>
      </x:c>
      <x:c r="L1094" s="12" t="str">
        <x:v>由原件与原状态取得；仅主队列索引</x:v>
      </x:c>
      <x:c r="M1094" s="12"/>
      <x:c r="N1094" s="12"/>
      <x:c r="O1094" s="12"/>
    </x:row>
    <x:row r="1095" ht="39" customHeight="1">
      <x:c r="A1095" s="12" t="str">
        <x:v>10846</x:v>
      </x:c>
      <x:c r="B1095" s="12" t="str">
        <x:v>10796</x:v>
      </x:c>
      <x:c r="C1095" s="12" t="str">
        <x:v>参考000</x:v>
      </x:c>
      <x:c r="D1095" s="12" t="str">
        <x:v>自动100</x:v>
      </x:c>
      <x:c r="E1095" s="12" t="n">
        <x:v>1</x:v>
      </x:c>
      <x:c r="F1095" s="12" t="n">
        <x:v>1</x:v>
      </x:c>
      <x:c r="G1095" s="12" t="n">
        <x:v>1</x:v>
      </x:c>
      <x:c r="H1095" s="12" t="n">
        <x:f>IF(SUM(I1095:K1095)&gt;0,1,0)</x:f>
        <x:v>0</x:v>
      </x:c>
      <x:c r="I1095" s="12" t="n">
        <x:f>IF('患者配对'!M1201="positive",1,0)</x:f>
        <x:v>0</x:v>
      </x:c>
      <x:c r="J1095" s="12" t="n">
        <x:f>IF('患者配对'!R1201="positive",1,0)</x:f>
        <x:v>0</x:v>
      </x:c>
      <x:c r="K1095" s="12" t="n">
        <x:f>IF('患者配对'!W1201="positive",1,0)</x:f>
        <x:v>0</x:v>
      </x:c>
      <x:c r="L1095" s="12" t="str">
        <x:v>由原件与原状态取得；仅主队列索引</x:v>
      </x:c>
      <x:c r="M1095" s="12"/>
      <x:c r="N1095" s="12"/>
      <x:c r="O1095" s="12"/>
    </x:row>
    <x:row r="1096" ht="39" customHeight="1">
      <x:c r="A1096" s="12" t="str">
        <x:v>10847</x:v>
      </x:c>
      <x:c r="B1096" s="12" t="str">
        <x:v>9613</x:v>
      </x:c>
      <x:c r="C1096" s="12" t="str">
        <x:v>参考000</x:v>
      </x:c>
      <x:c r="D1096" s="12" t="str">
        <x:v>自动000</x:v>
      </x:c>
      <x:c r="E1096" s="12" t="n">
        <x:v>0</x:v>
      </x:c>
      <x:c r="F1096" s="12" t="n">
        <x:v>0</x:v>
      </x:c>
      <x:c r="G1096" s="12" t="n">
        <x:v>0</x:v>
      </x:c>
      <x:c r="H1096" s="12" t="n">
        <x:f>IF(SUM(I1096:K1096)&gt;0,1,0)</x:f>
        <x:v>0</x:v>
      </x:c>
      <x:c r="I1096" s="12" t="n">
        <x:f>IF('患者配对'!M1202="positive",1,0)</x:f>
        <x:v>0</x:v>
      </x:c>
      <x:c r="J1096" s="12" t="n">
        <x:f>IF('患者配对'!R1202="positive",1,0)</x:f>
        <x:v>0</x:v>
      </x:c>
      <x:c r="K1096" s="12" t="n">
        <x:f>IF('患者配对'!W1202="positive",1,0)</x:f>
        <x:v>0</x:v>
      </x:c>
      <x:c r="L1096" s="12" t="str">
        <x:v>由原件与原状态取得；仅主队列索引</x:v>
      </x:c>
      <x:c r="M1096" s="12"/>
      <x:c r="N1096" s="12"/>
      <x:c r="O1096" s="12"/>
    </x:row>
    <x:row r="1097" ht="39" customHeight="1">
      <x:c r="A1097" s="12" t="str">
        <x:v>10860</x:v>
      </x:c>
      <x:c r="B1097" s="12" t="str">
        <x:v>18959</x:v>
      </x:c>
      <x:c r="C1097" s="12" t="str">
        <x:v>参考000</x:v>
      </x:c>
      <x:c r="D1097" s="12" t="str">
        <x:v>自动000</x:v>
      </x:c>
      <x:c r="E1097" s="12" t="n">
        <x:v>0</x:v>
      </x:c>
      <x:c r="F1097" s="12" t="n">
        <x:v>0</x:v>
      </x:c>
      <x:c r="G1097" s="12" t="n">
        <x:v>0</x:v>
      </x:c>
      <x:c r="H1097" s="12" t="n">
        <x:f>IF(SUM(I1097:K1097)&gt;0,1,0)</x:f>
        <x:v>0</x:v>
      </x:c>
      <x:c r="I1097" s="12" t="n">
        <x:f>IF('患者配对'!M1203="positive",1,0)</x:f>
        <x:v>0</x:v>
      </x:c>
      <x:c r="J1097" s="12" t="n">
        <x:f>IF('患者配对'!R1203="positive",1,0)</x:f>
        <x:v>0</x:v>
      </x:c>
      <x:c r="K1097" s="12" t="n">
        <x:f>IF('患者配对'!W1203="positive",1,0)</x:f>
        <x:v>0</x:v>
      </x:c>
      <x:c r="L1097" s="12" t="str">
        <x:v>由原件与原状态取得；仅主队列索引</x:v>
      </x:c>
      <x:c r="M1097" s="12"/>
      <x:c r="N1097" s="12"/>
      <x:c r="O1097" s="12"/>
    </x:row>
    <x:row r="1098" ht="39" customHeight="1">
      <x:c r="A1098" s="12" t="str">
        <x:v>10887</x:v>
      </x:c>
      <x:c r="B1098" s="12" t="str">
        <x:v>18151</x:v>
      </x:c>
      <x:c r="C1098" s="12" t="str">
        <x:v>参考000</x:v>
      </x:c>
      <x:c r="D1098" s="12" t="str">
        <x:v>自动000</x:v>
      </x:c>
      <x:c r="E1098" s="12" t="n">
        <x:v>0</x:v>
      </x:c>
      <x:c r="F1098" s="12" t="n">
        <x:v>0</x:v>
      </x:c>
      <x:c r="G1098" s="12" t="n">
        <x:v>0</x:v>
      </x:c>
      <x:c r="H1098" s="12" t="n">
        <x:f>IF(SUM(I1098:K1098)&gt;0,1,0)</x:f>
        <x:v>0</x:v>
      </x:c>
      <x:c r="I1098" s="12" t="n">
        <x:f>IF('患者配对'!M1205="positive",1,0)</x:f>
        <x:v>0</x:v>
      </x:c>
      <x:c r="J1098" s="12" t="n">
        <x:f>IF('患者配对'!R1205="positive",1,0)</x:f>
        <x:v>0</x:v>
      </x:c>
      <x:c r="K1098" s="12" t="n">
        <x:f>IF('患者配对'!W1205="positive",1,0)</x:f>
        <x:v>0</x:v>
      </x:c>
      <x:c r="L1098" s="12" t="str">
        <x:v>由原件与原状态取得；仅主队列索引</x:v>
      </x:c>
      <x:c r="M1098" s="12"/>
      <x:c r="N1098" s="12"/>
      <x:c r="O1098" s="12"/>
    </x:row>
    <x:row r="1099" ht="39" customHeight="1">
      <x:c r="A1099" s="12" t="str">
        <x:v>10925</x:v>
      </x:c>
      <x:c r="B1099" s="12" t="str">
        <x:v>17663</x:v>
      </x:c>
      <x:c r="C1099" s="12" t="str">
        <x:v>参考000</x:v>
      </x:c>
      <x:c r="D1099" s="12" t="str">
        <x:v>自动000</x:v>
      </x:c>
      <x:c r="E1099" s="12" t="n">
        <x:v>0</x:v>
      </x:c>
      <x:c r="F1099" s="12" t="n">
        <x:v>0</x:v>
      </x:c>
      <x:c r="G1099" s="12" t="n">
        <x:v>0</x:v>
      </x:c>
      <x:c r="H1099" s="12" t="n">
        <x:f>IF(SUM(I1099:K1099)&gt;0,1,0)</x:f>
        <x:v>0</x:v>
      </x:c>
      <x:c r="I1099" s="12" t="n">
        <x:f>IF('患者配对'!M1208="positive",1,0)</x:f>
        <x:v>0</x:v>
      </x:c>
      <x:c r="J1099" s="12" t="n">
        <x:f>IF('患者配对'!R1208="positive",1,0)</x:f>
        <x:v>0</x:v>
      </x:c>
      <x:c r="K1099" s="12" t="n">
        <x:f>IF('患者配对'!W1208="positive",1,0)</x:f>
        <x:v>0</x:v>
      </x:c>
      <x:c r="L1099" s="12" t="str">
        <x:v>由原件与原状态取得；仅主队列索引</x:v>
      </x:c>
      <x:c r="M1099" s="12"/>
      <x:c r="N1099" s="12"/>
      <x:c r="O1099" s="12"/>
    </x:row>
    <x:row r="1100" ht="39" customHeight="1">
      <x:c r="A1100" s="12" t="str">
        <x:v>10950</x:v>
      </x:c>
      <x:c r="B1100" s="12" t="str">
        <x:v>5318</x:v>
      </x:c>
      <x:c r="C1100" s="12" t="str">
        <x:v>参考000</x:v>
      </x:c>
      <x:c r="D1100" s="12" t="str">
        <x:v>自动000</x:v>
      </x:c>
      <x:c r="E1100" s="12" t="n">
        <x:v>0</x:v>
      </x:c>
      <x:c r="F1100" s="12" t="n">
        <x:v>0</x:v>
      </x:c>
      <x:c r="G1100" s="12" t="n">
        <x:v>0</x:v>
      </x:c>
      <x:c r="H1100" s="12" t="n">
        <x:f>IF(SUM(I1100:K1100)&gt;0,1,0)</x:f>
        <x:v>0</x:v>
      </x:c>
      <x:c r="I1100" s="12" t="n">
        <x:f>IF('患者配对'!M1209="positive",1,0)</x:f>
        <x:v>0</x:v>
      </x:c>
      <x:c r="J1100" s="12" t="n">
        <x:f>IF('患者配对'!R1209="positive",1,0)</x:f>
        <x:v>0</x:v>
      </x:c>
      <x:c r="K1100" s="12" t="n">
        <x:f>IF('患者配对'!W1209="positive",1,0)</x:f>
        <x:v>0</x:v>
      </x:c>
      <x:c r="L1100" s="12" t="str">
        <x:v>由原件与原状态取得；仅主队列索引</x:v>
      </x:c>
      <x:c r="M1100" s="12"/>
      <x:c r="N1100" s="12"/>
      <x:c r="O1100" s="12"/>
    </x:row>
    <x:row r="1101" ht="39" customHeight="1">
      <x:c r="A1101" s="12" t="str">
        <x:v>10970</x:v>
      </x:c>
      <x:c r="B1101" s="12" t="str">
        <x:v>2072</x:v>
      </x:c>
      <x:c r="C1101" s="12" t="str">
        <x:v>参考000</x:v>
      </x:c>
      <x:c r="D1101" s="12" t="str">
        <x:v>自动000</x:v>
      </x:c>
      <x:c r="E1101" s="12" t="n">
        <x:v>0</x:v>
      </x:c>
      <x:c r="F1101" s="12" t="n">
        <x:v>0</x:v>
      </x:c>
      <x:c r="G1101" s="12" t="n">
        <x:v>0</x:v>
      </x:c>
      <x:c r="H1101" s="12" t="n">
        <x:f>IF(SUM(I1101:K1101)&gt;0,1,0)</x:f>
        <x:v>0</x:v>
      </x:c>
      <x:c r="I1101" s="12" t="n">
        <x:f>IF('患者配对'!M1211="positive",1,0)</x:f>
        <x:v>0</x:v>
      </x:c>
      <x:c r="J1101" s="12" t="n">
        <x:f>IF('患者配对'!R1211="positive",1,0)</x:f>
        <x:v>0</x:v>
      </x:c>
      <x:c r="K1101" s="12" t="n">
        <x:f>IF('患者配对'!W1211="positive",1,0)</x:f>
        <x:v>0</x:v>
      </x:c>
      <x:c r="L1101" s="12" t="str">
        <x:v>由原件与原状态取得；仅主队列索引</x:v>
      </x:c>
      <x:c r="M1101" s="12"/>
      <x:c r="N1101" s="12"/>
      <x:c r="O1101" s="12"/>
    </x:row>
    <x:row r="1102" ht="39" customHeight="1">
      <x:c r="A1102" s="12" t="str">
        <x:v>10984</x:v>
      </x:c>
      <x:c r="B1102" s="12" t="str">
        <x:v>1445</x:v>
      </x:c>
      <x:c r="C1102" s="12" t="str">
        <x:v>参考000</x:v>
      </x:c>
      <x:c r="D1102" s="12" t="str">
        <x:v>自动000</x:v>
      </x:c>
      <x:c r="E1102" s="12" t="n">
        <x:v>0</x:v>
      </x:c>
      <x:c r="F1102" s="12" t="n">
        <x:v>0</x:v>
      </x:c>
      <x:c r="G1102" s="12" t="n">
        <x:v>0</x:v>
      </x:c>
      <x:c r="H1102" s="12" t="n">
        <x:f>IF(SUM(I1102:K1102)&gt;0,1,0)</x:f>
        <x:v>0</x:v>
      </x:c>
      <x:c r="I1102" s="12" t="n">
        <x:f>IF('患者配对'!M1212="positive",1,0)</x:f>
        <x:v>0</x:v>
      </x:c>
      <x:c r="J1102" s="12" t="n">
        <x:f>IF('患者配对'!R1212="positive",1,0)</x:f>
        <x:v>0</x:v>
      </x:c>
      <x:c r="K1102" s="12" t="n">
        <x:f>IF('患者配对'!W1212="positive",1,0)</x:f>
        <x:v>0</x:v>
      </x:c>
      <x:c r="L1102" s="12" t="str">
        <x:v>由原件与原状态取得；仅主队列索引</x:v>
      </x:c>
      <x:c r="M1102" s="12"/>
      <x:c r="N1102" s="12"/>
      <x:c r="O1102" s="12"/>
    </x:row>
    <x:row r="1103" ht="39" customHeight="1">
      <x:c r="A1103" s="12" t="str">
        <x:v>10990</x:v>
      </x:c>
      <x:c r="B1103" s="12" t="str">
        <x:v>1122</x:v>
      </x:c>
      <x:c r="C1103" s="12" t="str">
        <x:v>参考000</x:v>
      </x:c>
      <x:c r="D1103" s="12" t="str">
        <x:v>自动000</x:v>
      </x:c>
      <x:c r="E1103" s="12" t="n">
        <x:v>0</x:v>
      </x:c>
      <x:c r="F1103" s="12" t="n">
        <x:v>0</x:v>
      </x:c>
      <x:c r="G1103" s="12" t="n">
        <x:v>0</x:v>
      </x:c>
      <x:c r="H1103" s="12" t="n">
        <x:f>IF(SUM(I1103:K1103)&gt;0,1,0)</x:f>
        <x:v>0</x:v>
      </x:c>
      <x:c r="I1103" s="12" t="n">
        <x:f>IF('患者配对'!M1213="positive",1,0)</x:f>
        <x:v>0</x:v>
      </x:c>
      <x:c r="J1103" s="12" t="n">
        <x:f>IF('患者配对'!R1213="positive",1,0)</x:f>
        <x:v>0</x:v>
      </x:c>
      <x:c r="K1103" s="12" t="n">
        <x:f>IF('患者配对'!W1213="positive",1,0)</x:f>
        <x:v>0</x:v>
      </x:c>
      <x:c r="L1103" s="12" t="str">
        <x:v>由原件与原状态取得；仅主队列索引</x:v>
      </x:c>
      <x:c r="M1103" s="12"/>
      <x:c r="N1103" s="12"/>
      <x:c r="O1103" s="12"/>
    </x:row>
    <x:row r="1104" ht="39" customHeight="1">
      <x:c r="A1104" s="12" t="str">
        <x:v>11010</x:v>
      </x:c>
      <x:c r="B1104" s="12" t="str">
        <x:v>21694</x:v>
      </x:c>
      <x:c r="C1104" s="12" t="str">
        <x:v>参考000</x:v>
      </x:c>
      <x:c r="D1104" s="12" t="str">
        <x:v>自动000</x:v>
      </x:c>
      <x:c r="E1104" s="12" t="n">
        <x:v>0</x:v>
      </x:c>
      <x:c r="F1104" s="12" t="n">
        <x:v>1</x:v>
      </x:c>
      <x:c r="G1104" s="12" t="n">
        <x:v>0</x:v>
      </x:c>
      <x:c r="H1104" s="12" t="n">
        <x:f>IF(SUM(I1104:K1104)&gt;0,1,0)</x:f>
        <x:v>0</x:v>
      </x:c>
      <x:c r="I1104" s="12" t="n">
        <x:f>IF('患者配对'!M1214="positive",1,0)</x:f>
        <x:v>0</x:v>
      </x:c>
      <x:c r="J1104" s="12" t="n">
        <x:f>IF('患者配对'!R1214="positive",1,0)</x:f>
        <x:v>0</x:v>
      </x:c>
      <x:c r="K1104" s="12" t="n">
        <x:f>IF('患者配对'!W1214="positive",1,0)</x:f>
        <x:v>0</x:v>
      </x:c>
      <x:c r="L1104" s="12" t="str">
        <x:v>由原件与原状态取得；仅主队列索引</x:v>
      </x:c>
      <x:c r="M1104" s="12"/>
      <x:c r="N1104" s="12"/>
      <x:c r="O1104" s="12"/>
    </x:row>
    <x:row r="1105" ht="39" customHeight="1">
      <x:c r="A1105" s="12" t="str">
        <x:v>11020</x:v>
      </x:c>
      <x:c r="B1105" s="12" t="str">
        <x:v>3855</x:v>
      </x:c>
      <x:c r="C1105" s="12" t="str">
        <x:v>参考000</x:v>
      </x:c>
      <x:c r="D1105" s="12" t="str">
        <x:v>自动000</x:v>
      </x:c>
      <x:c r="E1105" s="12" t="n">
        <x:v>0</x:v>
      </x:c>
      <x:c r="F1105" s="12" t="n">
        <x:v>0</x:v>
      </x:c>
      <x:c r="G1105" s="12" t="n">
        <x:v>0</x:v>
      </x:c>
      <x:c r="H1105" s="12" t="n">
        <x:f>IF(SUM(I1105:K1105)&gt;0,1,0)</x:f>
        <x:v>0</x:v>
      </x:c>
      <x:c r="I1105" s="12" t="n">
        <x:f>IF('患者配对'!M1215="positive",1,0)</x:f>
        <x:v>0</x:v>
      </x:c>
      <x:c r="J1105" s="12" t="n">
        <x:f>IF('患者配对'!R1215="positive",1,0)</x:f>
        <x:v>0</x:v>
      </x:c>
      <x:c r="K1105" s="12" t="n">
        <x:f>IF('患者配对'!W1215="positive",1,0)</x:f>
        <x:v>0</x:v>
      </x:c>
      <x:c r="L1105" s="12" t="str">
        <x:v>由原件与原状态取得；仅主队列索引</x:v>
      </x:c>
      <x:c r="M1105" s="12"/>
      <x:c r="N1105" s="12"/>
      <x:c r="O1105" s="12"/>
    </x:row>
    <x:row r="1106" ht="39" customHeight="1">
      <x:c r="A1106" s="12" t="str">
        <x:v>11030</x:v>
      </x:c>
      <x:c r="B1106" s="12" t="str">
        <x:v>9410</x:v>
      </x:c>
      <x:c r="C1106" s="12" t="str">
        <x:v>参考000</x:v>
      </x:c>
      <x:c r="D1106" s="12" t="str">
        <x:v>自动000</x:v>
      </x:c>
      <x:c r="E1106" s="12" t="n">
        <x:v>0</x:v>
      </x:c>
      <x:c r="F1106" s="12" t="n">
        <x:v>0</x:v>
      </x:c>
      <x:c r="G1106" s="12" t="n">
        <x:v>0</x:v>
      </x:c>
      <x:c r="H1106" s="12" t="n">
        <x:f>IF(SUM(I1106:K1106)&gt;0,1,0)</x:f>
        <x:v>0</x:v>
      </x:c>
      <x:c r="I1106" s="12" t="n">
        <x:f>IF('患者配对'!M1216="positive",1,0)</x:f>
        <x:v>0</x:v>
      </x:c>
      <x:c r="J1106" s="12" t="n">
        <x:f>IF('患者配对'!R1216="positive",1,0)</x:f>
        <x:v>0</x:v>
      </x:c>
      <x:c r="K1106" s="12" t="n">
        <x:f>IF('患者配对'!W1216="positive",1,0)</x:f>
        <x:v>0</x:v>
      </x:c>
      <x:c r="L1106" s="12" t="str">
        <x:v>由原件与原状态取得；仅主队列索引</x:v>
      </x:c>
      <x:c r="M1106" s="12"/>
      <x:c r="N1106" s="12"/>
      <x:c r="O1106" s="12"/>
    </x:row>
    <x:row r="1107" ht="39" customHeight="1">
      <x:c r="A1107" s="12" t="str">
        <x:v>11055</x:v>
      </x:c>
      <x:c r="B1107" s="12" t="str">
        <x:v>9219</x:v>
      </x:c>
      <x:c r="C1107" s="12" t="str">
        <x:v>参考000</x:v>
      </x:c>
      <x:c r="D1107" s="12" t="str">
        <x:v>自动000</x:v>
      </x:c>
      <x:c r="E1107" s="12" t="n">
        <x:v>0</x:v>
      </x:c>
      <x:c r="F1107" s="12" t="n">
        <x:v>0</x:v>
      </x:c>
      <x:c r="G1107" s="12" t="n">
        <x:v>0</x:v>
      </x:c>
      <x:c r="H1107" s="12" t="n">
        <x:f>IF(SUM(I1107:K1107)&gt;0,1,0)</x:f>
        <x:v>0</x:v>
      </x:c>
      <x:c r="I1107" s="12" t="n">
        <x:f>IF('患者配对'!M1217="positive",1,0)</x:f>
        <x:v>0</x:v>
      </x:c>
      <x:c r="J1107" s="12" t="n">
        <x:f>IF('患者配对'!R1217="positive",1,0)</x:f>
        <x:v>0</x:v>
      </x:c>
      <x:c r="K1107" s="12" t="n">
        <x:f>IF('患者配对'!W1217="positive",1,0)</x:f>
        <x:v>0</x:v>
      </x:c>
      <x:c r="L1107" s="12" t="str">
        <x:v>由原件与原状态取得；仅主队列索引</x:v>
      </x:c>
      <x:c r="M1107" s="12"/>
      <x:c r="N1107" s="12"/>
      <x:c r="O1107" s="12"/>
    </x:row>
    <x:row r="1108" ht="39" customHeight="1">
      <x:c r="A1108" s="12" t="str">
        <x:v>11077</x:v>
      </x:c>
      <x:c r="B1108" s="12" t="str">
        <x:v>7623</x:v>
      </x:c>
      <x:c r="C1108" s="12" t="str">
        <x:v>参考000</x:v>
      </x:c>
      <x:c r="D1108" s="12" t="str">
        <x:v>自动000</x:v>
      </x:c>
      <x:c r="E1108" s="12" t="n">
        <x:v>0</x:v>
      </x:c>
      <x:c r="F1108" s="12" t="n">
        <x:v>0</x:v>
      </x:c>
      <x:c r="G1108" s="12" t="n">
        <x:v>0</x:v>
      </x:c>
      <x:c r="H1108" s="12" t="n">
        <x:f>IF(SUM(I1108:K1108)&gt;0,1,0)</x:f>
        <x:v>0</x:v>
      </x:c>
      <x:c r="I1108" s="12" t="n">
        <x:f>IF('患者配对'!M1218="positive",1,0)</x:f>
        <x:v>0</x:v>
      </x:c>
      <x:c r="J1108" s="12" t="n">
        <x:f>IF('患者配对'!R1218="positive",1,0)</x:f>
        <x:v>0</x:v>
      </x:c>
      <x:c r="K1108" s="12" t="n">
        <x:f>IF('患者配对'!W1218="positive",1,0)</x:f>
        <x:v>0</x:v>
      </x:c>
      <x:c r="L1108" s="12" t="str">
        <x:v>由原件与原状态取得；仅主队列索引</x:v>
      </x:c>
      <x:c r="M1108" s="12"/>
      <x:c r="N1108" s="12"/>
      <x:c r="O1108" s="12"/>
    </x:row>
    <x:row r="1109" ht="39" customHeight="1">
      <x:c r="A1109" s="12" t="str">
        <x:v>11102</x:v>
      </x:c>
      <x:c r="B1109" s="12" t="str">
        <x:v>12772</x:v>
      </x:c>
      <x:c r="C1109" s="12" t="str">
        <x:v>参考000</x:v>
      </x:c>
      <x:c r="D1109" s="12" t="str">
        <x:v>自动000</x:v>
      </x:c>
      <x:c r="E1109" s="12" t="n">
        <x:v>0</x:v>
      </x:c>
      <x:c r="F1109" s="12" t="n">
        <x:v>0</x:v>
      </x:c>
      <x:c r="G1109" s="12" t="n">
        <x:v>0</x:v>
      </x:c>
      <x:c r="H1109" s="12" t="n">
        <x:f>IF(SUM(I1109:K1109)&gt;0,1,0)</x:f>
        <x:v>0</x:v>
      </x:c>
      <x:c r="I1109" s="12" t="n">
        <x:f>IF('患者配对'!M1219="positive",1,0)</x:f>
        <x:v>0</x:v>
      </x:c>
      <x:c r="J1109" s="12" t="n">
        <x:f>IF('患者配对'!R1219="positive",1,0)</x:f>
        <x:v>0</x:v>
      </x:c>
      <x:c r="K1109" s="12" t="n">
        <x:f>IF('患者配对'!W1219="positive",1,0)</x:f>
        <x:v>0</x:v>
      </x:c>
      <x:c r="L1109" s="12" t="str">
        <x:v>由原件与原状态取得；仅主队列索引</x:v>
      </x:c>
      <x:c r="M1109" s="12"/>
      <x:c r="N1109" s="12"/>
      <x:c r="O1109" s="12"/>
    </x:row>
    <x:row r="1110" ht="39" customHeight="1">
      <x:c r="A1110" s="12" t="str">
        <x:v>11103</x:v>
      </x:c>
      <x:c r="B1110" s="12" t="str">
        <x:v>9129</x:v>
      </x:c>
      <x:c r="C1110" s="12" t="str">
        <x:v>参考001</x:v>
      </x:c>
      <x:c r="D1110" s="12" t="str">
        <x:v>自动001</x:v>
      </x:c>
      <x:c r="E1110" s="12" t="n">
        <x:v>1</x:v>
      </x:c>
      <x:c r="F1110" s="12" t="n">
        <x:v>1</x:v>
      </x:c>
      <x:c r="G1110" s="12" t="n">
        <x:v>0</x:v>
      </x:c>
      <x:c r="H1110" s="12" t="n">
        <x:f>IF(SUM(I1110:K1110)&gt;0,1,0)</x:f>
        <x:v>1</x:v>
      </x:c>
      <x:c r="I1110" s="12" t="n">
        <x:f>IF('患者配对'!M1220="positive",1,0)</x:f>
        <x:v>0</x:v>
      </x:c>
      <x:c r="J1110" s="12" t="n">
        <x:f>IF('患者配对'!R1220="positive",1,0)</x:f>
        <x:v>0</x:v>
      </x:c>
      <x:c r="K1110" s="12" t="n">
        <x:f>IF('患者配对'!W1220="positive",1,0)</x:f>
        <x:v>1</x:v>
      </x:c>
      <x:c r="L1110" s="12" t="str">
        <x:v>由原件与原状态取得；仅主队列索引</x:v>
      </x:c>
      <x:c r="M1110" s="12"/>
      <x:c r="N1110" s="12"/>
      <x:c r="O1110" s="12"/>
    </x:row>
    <x:row r="1111" ht="39" customHeight="1">
      <x:c r="A1111" s="12" t="str">
        <x:v>11108</x:v>
      </x:c>
      <x:c r="B1111" s="12" t="str">
        <x:v>18954</x:v>
      </x:c>
      <x:c r="C1111" s="12" t="str">
        <x:v>参考100</x:v>
      </x:c>
      <x:c r="D1111" s="12" t="str">
        <x:v>自动100</x:v>
      </x:c>
      <x:c r="E1111" s="12" t="n">
        <x:v>1</x:v>
      </x:c>
      <x:c r="F1111" s="12" t="n">
        <x:v>1</x:v>
      </x:c>
      <x:c r="G1111" s="12" t="n">
        <x:v>0</x:v>
      </x:c>
      <x:c r="H1111" s="12" t="n">
        <x:f>IF(SUM(I1111:K1111)&gt;0,1,0)</x:f>
        <x:v>1</x:v>
      </x:c>
      <x:c r="I1111" s="12" t="n">
        <x:f>IF('患者配对'!M1221="positive",1,0)</x:f>
        <x:v>1</x:v>
      </x:c>
      <x:c r="J1111" s="12" t="n">
        <x:f>IF('患者配对'!R1221="positive",1,0)</x:f>
        <x:v>0</x:v>
      </x:c>
      <x:c r="K1111" s="12" t="n">
        <x:f>IF('患者配对'!W1221="positive",1,0)</x:f>
        <x:v>0</x:v>
      </x:c>
      <x:c r="L1111" s="12" t="str">
        <x:v>由原件与原状态取得；仅主队列索引</x:v>
      </x:c>
      <x:c r="M1111" s="12"/>
      <x:c r="N1111" s="12"/>
      <x:c r="O1111" s="12"/>
    </x:row>
    <x:row r="1112" ht="39" customHeight="1">
      <x:c r="A1112" s="12" t="str">
        <x:v>11113</x:v>
      </x:c>
      <x:c r="B1112" s="12" t="str">
        <x:v>3147</x:v>
      </x:c>
      <x:c r="C1112" s="12" t="str">
        <x:v>参考000</x:v>
      </x:c>
      <x:c r="D1112" s="12" t="str">
        <x:v>自动000</x:v>
      </x:c>
      <x:c r="E1112" s="12" t="n">
        <x:v>0</x:v>
      </x:c>
      <x:c r="F1112" s="12" t="n">
        <x:v>1</x:v>
      </x:c>
      <x:c r="G1112" s="12" t="n">
        <x:v>0</x:v>
      </x:c>
      <x:c r="H1112" s="12" t="n">
        <x:f>IF(SUM(I1112:K1112)&gt;0,1,0)</x:f>
        <x:v>0</x:v>
      </x:c>
      <x:c r="I1112" s="12" t="n">
        <x:f>IF('患者配对'!M1222="positive",1,0)</x:f>
        <x:v>0</x:v>
      </x:c>
      <x:c r="J1112" s="12" t="n">
        <x:f>IF('患者配对'!R1222="positive",1,0)</x:f>
        <x:v>0</x:v>
      </x:c>
      <x:c r="K1112" s="12" t="n">
        <x:f>IF('患者配对'!W1222="positive",1,0)</x:f>
        <x:v>0</x:v>
      </x:c>
      <x:c r="L1112" s="12" t="str">
        <x:v>由原件与原状态取得；仅主队列索引</x:v>
      </x:c>
      <x:c r="M1112" s="12"/>
      <x:c r="N1112" s="12"/>
      <x:c r="O1112" s="12"/>
    </x:row>
    <x:row r="1113" ht="39" customHeight="1">
      <x:c r="A1113" s="12" t="str">
        <x:v>11124</x:v>
      </x:c>
      <x:c r="B1113" s="12" t="str">
        <x:v>7686</x:v>
      </x:c>
      <x:c r="C1113" s="12" t="str">
        <x:v>参考000</x:v>
      </x:c>
      <x:c r="D1113" s="12" t="str">
        <x:v>自动000</x:v>
      </x:c>
      <x:c r="E1113" s="12" t="n">
        <x:v>0</x:v>
      </x:c>
      <x:c r="F1113" s="12" t="n">
        <x:v>1</x:v>
      </x:c>
      <x:c r="G1113" s="12" t="n">
        <x:v>0</x:v>
      </x:c>
      <x:c r="H1113" s="12" t="n">
        <x:f>IF(SUM(I1113:K1113)&gt;0,1,0)</x:f>
        <x:v>0</x:v>
      </x:c>
      <x:c r="I1113" s="12" t="n">
        <x:f>IF('患者配对'!M1223="positive",1,0)</x:f>
        <x:v>0</x:v>
      </x:c>
      <x:c r="J1113" s="12" t="n">
        <x:f>IF('患者配对'!R1223="positive",1,0)</x:f>
        <x:v>0</x:v>
      </x:c>
      <x:c r="K1113" s="12" t="n">
        <x:f>IF('患者配对'!W1223="positive",1,0)</x:f>
        <x:v>0</x:v>
      </x:c>
      <x:c r="L1113" s="12" t="str">
        <x:v>由原件与原状态取得；仅主队列索引</x:v>
      </x:c>
      <x:c r="M1113" s="12"/>
      <x:c r="N1113" s="12"/>
      <x:c r="O1113" s="12"/>
    </x:row>
    <x:row r="1114" ht="39" customHeight="1">
      <x:c r="A1114" s="12" t="str">
        <x:v>11125</x:v>
      </x:c>
      <x:c r="B1114" s="12" t="str">
        <x:v>6363</x:v>
      </x:c>
      <x:c r="C1114" s="12" t="str">
        <x:v>参考000</x:v>
      </x:c>
      <x:c r="D1114" s="12" t="str">
        <x:v>自动000</x:v>
      </x:c>
      <x:c r="E1114" s="12" t="n">
        <x:v>0</x:v>
      </x:c>
      <x:c r="F1114" s="12" t="n">
        <x:v>0</x:v>
      </x:c>
      <x:c r="G1114" s="12" t="n">
        <x:v>0</x:v>
      </x:c>
      <x:c r="H1114" s="12" t="n">
        <x:f>IF(SUM(I1114:K1114)&gt;0,1,0)</x:f>
        <x:v>0</x:v>
      </x:c>
      <x:c r="I1114" s="12" t="n">
        <x:f>IF('患者配对'!M1224="positive",1,0)</x:f>
        <x:v>0</x:v>
      </x:c>
      <x:c r="J1114" s="12" t="n">
        <x:f>IF('患者配对'!R1224="positive",1,0)</x:f>
        <x:v>0</x:v>
      </x:c>
      <x:c r="K1114" s="12" t="n">
        <x:f>IF('患者配对'!W1224="positive",1,0)</x:f>
        <x:v>0</x:v>
      </x:c>
      <x:c r="L1114" s="12" t="str">
        <x:v>由原件与原状态取得；仅主队列索引</x:v>
      </x:c>
      <x:c r="M1114" s="12"/>
      <x:c r="N1114" s="12"/>
      <x:c r="O1114" s="12"/>
    </x:row>
    <x:row r="1115" ht="39" customHeight="1">
      <x:c r="A1115" s="12" t="str">
        <x:v>11126</x:v>
      </x:c>
      <x:c r="B1115" s="12" t="str">
        <x:v>2233</x:v>
      </x:c>
      <x:c r="C1115" s="12" t="str">
        <x:v>参考000</x:v>
      </x:c>
      <x:c r="D1115" s="12" t="str">
        <x:v>自动000</x:v>
      </x:c>
      <x:c r="E1115" s="12" t="n">
        <x:v>0</x:v>
      </x:c>
      <x:c r="F1115" s="12" t="n">
        <x:v>0</x:v>
      </x:c>
      <x:c r="G1115" s="12" t="n">
        <x:v>0</x:v>
      </x:c>
      <x:c r="H1115" s="12" t="n">
        <x:f>IF(SUM(I1115:K1115)&gt;0,1,0)</x:f>
        <x:v>0</x:v>
      </x:c>
      <x:c r="I1115" s="12" t="n">
        <x:f>IF('患者配对'!M1225="positive",1,0)</x:f>
        <x:v>0</x:v>
      </x:c>
      <x:c r="J1115" s="12" t="n">
        <x:f>IF('患者配对'!R1225="positive",1,0)</x:f>
        <x:v>0</x:v>
      </x:c>
      <x:c r="K1115" s="12" t="n">
        <x:f>IF('患者配对'!W1225="positive",1,0)</x:f>
        <x:v>0</x:v>
      </x:c>
      <x:c r="L1115" s="12" t="str">
        <x:v>由原件与原状态取得；仅主队列索引</x:v>
      </x:c>
      <x:c r="M1115" s="12"/>
      <x:c r="N1115" s="12"/>
      <x:c r="O1115" s="12"/>
    </x:row>
    <x:row r="1116" ht="39" customHeight="1">
      <x:c r="A1116" s="12" t="str">
        <x:v>11129</x:v>
      </x:c>
      <x:c r="B1116" s="12" t="str">
        <x:v>7227</x:v>
      </x:c>
      <x:c r="C1116" s="12" t="str">
        <x:v>参考000</x:v>
      </x:c>
      <x:c r="D1116" s="12" t="str">
        <x:v>自动000</x:v>
      </x:c>
      <x:c r="E1116" s="12" t="n">
        <x:v>0</x:v>
      </x:c>
      <x:c r="F1116" s="12" t="n">
        <x:v>0</x:v>
      </x:c>
      <x:c r="G1116" s="12" t="n">
        <x:v>0</x:v>
      </x:c>
      <x:c r="H1116" s="12" t="n">
        <x:f>IF(SUM(I1116:K1116)&gt;0,1,0)</x:f>
        <x:v>0</x:v>
      </x:c>
      <x:c r="I1116" s="12" t="n">
        <x:f>IF('患者配对'!M1226="positive",1,0)</x:f>
        <x:v>0</x:v>
      </x:c>
      <x:c r="J1116" s="12" t="n">
        <x:f>IF('患者配对'!R1226="positive",1,0)</x:f>
        <x:v>0</x:v>
      </x:c>
      <x:c r="K1116" s="12" t="n">
        <x:f>IF('患者配对'!W1226="positive",1,0)</x:f>
        <x:v>0</x:v>
      </x:c>
      <x:c r="L1116" s="12" t="str">
        <x:v>由原件与原状态取得；仅主队列索引</x:v>
      </x:c>
      <x:c r="M1116" s="12"/>
      <x:c r="N1116" s="12"/>
      <x:c r="O1116" s="12"/>
    </x:row>
    <x:row r="1117" ht="39" customHeight="1">
      <x:c r="A1117" s="12" t="str">
        <x:v>11132</x:v>
      </x:c>
      <x:c r="B1117" s="12" t="str">
        <x:v>2168</x:v>
      </x:c>
      <x:c r="C1117" s="12" t="str">
        <x:v>参考000</x:v>
      </x:c>
      <x:c r="D1117" s="12" t="str">
        <x:v>自动000</x:v>
      </x:c>
      <x:c r="E1117" s="12" t="n">
        <x:v>0</x:v>
      </x:c>
      <x:c r="F1117" s="12" t="n">
        <x:v>0</x:v>
      </x:c>
      <x:c r="G1117" s="12" t="n">
        <x:v>0</x:v>
      </x:c>
      <x:c r="H1117" s="12" t="n">
        <x:f>IF(SUM(I1117:K1117)&gt;0,1,0)</x:f>
        <x:v>0</x:v>
      </x:c>
      <x:c r="I1117" s="12" t="n">
        <x:f>IF('患者配对'!M1227="positive",1,0)</x:f>
        <x:v>0</x:v>
      </x:c>
      <x:c r="J1117" s="12" t="n">
        <x:f>IF('患者配对'!R1227="positive",1,0)</x:f>
        <x:v>0</x:v>
      </x:c>
      <x:c r="K1117" s="12" t="n">
        <x:f>IF('患者配对'!W1227="positive",1,0)</x:f>
        <x:v>0</x:v>
      </x:c>
      <x:c r="L1117" s="12" t="str">
        <x:v>由原件与原状态取得；仅主队列索引</x:v>
      </x:c>
      <x:c r="M1117" s="12"/>
      <x:c r="N1117" s="12"/>
      <x:c r="O1117" s="12"/>
    </x:row>
    <x:row r="1118" ht="39" customHeight="1">
      <x:c r="A1118" s="12" t="str">
        <x:v>11139</x:v>
      </x:c>
      <x:c r="B1118" s="12" t="str">
        <x:v>2474</x:v>
      </x:c>
      <x:c r="C1118" s="12" t="str">
        <x:v>参考000</x:v>
      </x:c>
      <x:c r="D1118" s="12" t="str">
        <x:v>自动000</x:v>
      </x:c>
      <x:c r="E1118" s="12" t="n">
        <x:v>0</x:v>
      </x:c>
      <x:c r="F1118" s="12" t="n">
        <x:v>0</x:v>
      </x:c>
      <x:c r="G1118" s="12" t="n">
        <x:v>0</x:v>
      </x:c>
      <x:c r="H1118" s="12" t="n">
        <x:f>IF(SUM(I1118:K1118)&gt;0,1,0)</x:f>
        <x:v>0</x:v>
      </x:c>
      <x:c r="I1118" s="12" t="n">
        <x:f>IF('患者配对'!M1228="positive",1,0)</x:f>
        <x:v>0</x:v>
      </x:c>
      <x:c r="J1118" s="12" t="n">
        <x:f>IF('患者配对'!R1228="positive",1,0)</x:f>
        <x:v>0</x:v>
      </x:c>
      <x:c r="K1118" s="12" t="n">
        <x:f>IF('患者配对'!W1228="positive",1,0)</x:f>
        <x:v>0</x:v>
      </x:c>
      <x:c r="L1118" s="12" t="str">
        <x:v>由原件与原状态取得；仅主队列索引</x:v>
      </x:c>
      <x:c r="M1118" s="12"/>
      <x:c r="N1118" s="12"/>
      <x:c r="O1118" s="12"/>
    </x:row>
    <x:row r="1119" ht="39" customHeight="1">
      <x:c r="A1119" s="12" t="str">
        <x:v>11144</x:v>
      </x:c>
      <x:c r="B1119" s="12" t="str">
        <x:v>1160</x:v>
      </x:c>
      <x:c r="C1119" s="12" t="str">
        <x:v>参考000</x:v>
      </x:c>
      <x:c r="D1119" s="12" t="str">
        <x:v>自动000</x:v>
      </x:c>
      <x:c r="E1119" s="12" t="n">
        <x:v>0</x:v>
      </x:c>
      <x:c r="F1119" s="12" t="n">
        <x:v>1</x:v>
      </x:c>
      <x:c r="G1119" s="12" t="n">
        <x:v>0</x:v>
      </x:c>
      <x:c r="H1119" s="12" t="n">
        <x:f>IF(SUM(I1119:K1119)&gt;0,1,0)</x:f>
        <x:v>0</x:v>
      </x:c>
      <x:c r="I1119" s="12" t="n">
        <x:f>IF('患者配对'!M1229="positive",1,0)</x:f>
        <x:v>0</x:v>
      </x:c>
      <x:c r="J1119" s="12" t="n">
        <x:f>IF('患者配对'!R1229="positive",1,0)</x:f>
        <x:v>0</x:v>
      </x:c>
      <x:c r="K1119" s="12" t="n">
        <x:f>IF('患者配对'!W1229="positive",1,0)</x:f>
        <x:v>0</x:v>
      </x:c>
      <x:c r="L1119" s="12" t="str">
        <x:v>由原件与原状态取得；仅主队列索引</x:v>
      </x:c>
      <x:c r="M1119" s="12"/>
      <x:c r="N1119" s="12"/>
      <x:c r="O1119" s="12"/>
    </x:row>
    <x:row r="1120" ht="39" customHeight="1">
      <x:c r="A1120" s="12" t="str">
        <x:v>11152</x:v>
      </x:c>
      <x:c r="B1120" s="12" t="str">
        <x:v>9186</x:v>
      </x:c>
      <x:c r="C1120" s="12" t="str">
        <x:v>参考000</x:v>
      </x:c>
      <x:c r="D1120" s="12" t="str">
        <x:v>自动000</x:v>
      </x:c>
      <x:c r="E1120" s="12" t="n">
        <x:v>0</x:v>
      </x:c>
      <x:c r="F1120" s="12" t="n">
        <x:v>0</x:v>
      </x:c>
      <x:c r="G1120" s="12" t="n">
        <x:v>0</x:v>
      </x:c>
      <x:c r="H1120" s="12" t="n">
        <x:f>IF(SUM(I1120:K1120)&gt;0,1,0)</x:f>
        <x:v>0</x:v>
      </x:c>
      <x:c r="I1120" s="12" t="n">
        <x:f>IF('患者配对'!M1230="positive",1,0)</x:f>
        <x:v>0</x:v>
      </x:c>
      <x:c r="J1120" s="12" t="n">
        <x:f>IF('患者配对'!R1230="positive",1,0)</x:f>
        <x:v>0</x:v>
      </x:c>
      <x:c r="K1120" s="12" t="n">
        <x:f>IF('患者配对'!W1230="positive",1,0)</x:f>
        <x:v>0</x:v>
      </x:c>
      <x:c r="L1120" s="12" t="str">
        <x:v>由原件与原状态取得；仅主队列索引</x:v>
      </x:c>
      <x:c r="M1120" s="12"/>
      <x:c r="N1120" s="12"/>
      <x:c r="O1120" s="12"/>
    </x:row>
    <x:row r="1121" ht="39" customHeight="1">
      <x:c r="A1121" s="12" t="str">
        <x:v>11170</x:v>
      </x:c>
      <x:c r="B1121" s="12" t="str">
        <x:v>19786</x:v>
      </x:c>
      <x:c r="C1121" s="12" t="str">
        <x:v>参考001</x:v>
      </x:c>
      <x:c r="D1121" s="12" t="str">
        <x:v>自动001</x:v>
      </x:c>
      <x:c r="E1121" s="12" t="n">
        <x:v>1</x:v>
      </x:c>
      <x:c r="F1121" s="12" t="n">
        <x:v>1</x:v>
      </x:c>
      <x:c r="G1121" s="12" t="n">
        <x:v>0</x:v>
      </x:c>
      <x:c r="H1121" s="12" t="n">
        <x:f>IF(SUM(I1121:K1121)&gt;0,1,0)</x:f>
        <x:v>1</x:v>
      </x:c>
      <x:c r="I1121" s="12" t="n">
        <x:f>IF('患者配对'!M1231="positive",1,0)</x:f>
        <x:v>0</x:v>
      </x:c>
      <x:c r="J1121" s="12" t="n">
        <x:f>IF('患者配对'!R1231="positive",1,0)</x:f>
        <x:v>0</x:v>
      </x:c>
      <x:c r="K1121" s="12" t="n">
        <x:f>IF('患者配对'!W1231="positive",1,0)</x:f>
        <x:v>1</x:v>
      </x:c>
      <x:c r="L1121" s="12" t="str">
        <x:v>由原件与原状态取得；仅主队列索引</x:v>
      </x:c>
      <x:c r="M1121" s="12"/>
      <x:c r="N1121" s="12"/>
      <x:c r="O1121" s="12"/>
    </x:row>
    <x:row r="1122" ht="39" customHeight="1">
      <x:c r="A1122" s="12" t="str">
        <x:v>11182</x:v>
      </x:c>
      <x:c r="B1122" s="12" t="str">
        <x:v>21778</x:v>
      </x:c>
      <x:c r="C1122" s="12" t="str">
        <x:v>参考000</x:v>
      </x:c>
      <x:c r="D1122" s="12" t="str">
        <x:v>自动000</x:v>
      </x:c>
      <x:c r="E1122" s="12" t="n">
        <x:v>0</x:v>
      </x:c>
      <x:c r="F1122" s="12" t="n">
        <x:v>0</x:v>
      </x:c>
      <x:c r="G1122" s="12" t="n">
        <x:v>0</x:v>
      </x:c>
      <x:c r="H1122" s="12" t="n">
        <x:f>IF(SUM(I1122:K1122)&gt;0,1,0)</x:f>
        <x:v>0</x:v>
      </x:c>
      <x:c r="I1122" s="12" t="n">
        <x:f>IF('患者配对'!M1232="positive",1,0)</x:f>
        <x:v>0</x:v>
      </x:c>
      <x:c r="J1122" s="12" t="n">
        <x:f>IF('患者配对'!R1232="positive",1,0)</x:f>
        <x:v>0</x:v>
      </x:c>
      <x:c r="K1122" s="12" t="n">
        <x:f>IF('患者配对'!W1232="positive",1,0)</x:f>
        <x:v>0</x:v>
      </x:c>
      <x:c r="L1122" s="12" t="str">
        <x:v>由原件与原状态取得；仅主队列索引</x:v>
      </x:c>
      <x:c r="M1122" s="12"/>
      <x:c r="N1122" s="12"/>
      <x:c r="O1122" s="12"/>
    </x:row>
    <x:row r="1123" ht="39" customHeight="1">
      <x:c r="A1123" s="12" t="str">
        <x:v>11212</x:v>
      </x:c>
      <x:c r="B1123" s="12" t="str">
        <x:v>12783</x:v>
      </x:c>
      <x:c r="C1123" s="12" t="str">
        <x:v>参考000</x:v>
      </x:c>
      <x:c r="D1123" s="12" t="str">
        <x:v>自动000</x:v>
      </x:c>
      <x:c r="E1123" s="12" t="n">
        <x:v>0</x:v>
      </x:c>
      <x:c r="F1123" s="12" t="n">
        <x:v>0</x:v>
      </x:c>
      <x:c r="G1123" s="12" t="n">
        <x:v>0</x:v>
      </x:c>
      <x:c r="H1123" s="12" t="n">
        <x:f>IF(SUM(I1123:K1123)&gt;0,1,0)</x:f>
        <x:v>0</x:v>
      </x:c>
      <x:c r="I1123" s="12" t="n">
        <x:f>IF('患者配对'!M1233="positive",1,0)</x:f>
        <x:v>0</x:v>
      </x:c>
      <x:c r="J1123" s="12" t="n">
        <x:f>IF('患者配对'!R1233="positive",1,0)</x:f>
        <x:v>0</x:v>
      </x:c>
      <x:c r="K1123" s="12" t="n">
        <x:f>IF('患者配对'!W1233="positive",1,0)</x:f>
        <x:v>0</x:v>
      </x:c>
      <x:c r="L1123" s="12" t="str">
        <x:v>由原件与原状态取得；仅主队列索引</x:v>
      </x:c>
      <x:c r="M1123" s="12"/>
      <x:c r="N1123" s="12"/>
      <x:c r="O1123" s="12"/>
    </x:row>
    <x:row r="1124" ht="39" customHeight="1">
      <x:c r="A1124" s="12" t="str">
        <x:v>11226</x:v>
      </x:c>
      <x:c r="B1124" s="12" t="str">
        <x:v>15243</x:v>
      </x:c>
      <x:c r="C1124" s="12" t="str">
        <x:v>参考000</x:v>
      </x:c>
      <x:c r="D1124" s="12" t="str">
        <x:v>自动000</x:v>
      </x:c>
      <x:c r="E1124" s="12" t="n">
        <x:v>0</x:v>
      </x:c>
      <x:c r="F1124" s="12" t="n">
        <x:v>0</x:v>
      </x:c>
      <x:c r="G1124" s="12" t="n">
        <x:v>0</x:v>
      </x:c>
      <x:c r="H1124" s="12" t="n">
        <x:f>IF(SUM(I1124:K1124)&gt;0,1,0)</x:f>
        <x:v>0</x:v>
      </x:c>
      <x:c r="I1124" s="12" t="n">
        <x:f>IF('患者配对'!M1234="positive",1,0)</x:f>
        <x:v>0</x:v>
      </x:c>
      <x:c r="J1124" s="12" t="n">
        <x:f>IF('患者配对'!R1234="positive",1,0)</x:f>
        <x:v>0</x:v>
      </x:c>
      <x:c r="K1124" s="12" t="n">
        <x:f>IF('患者配对'!W1234="positive",1,0)</x:f>
        <x:v>0</x:v>
      </x:c>
      <x:c r="L1124" s="12" t="str">
        <x:v>由原件与原状态取得；仅主队列索引</x:v>
      </x:c>
      <x:c r="M1124" s="12"/>
      <x:c r="N1124" s="12"/>
      <x:c r="O1124" s="12"/>
    </x:row>
    <x:row r="1125" ht="39" customHeight="1">
      <x:c r="A1125" s="12" t="str">
        <x:v>11230</x:v>
      </x:c>
      <x:c r="B1125" s="12" t="str">
        <x:v>9846</x:v>
      </x:c>
      <x:c r="C1125" s="12" t="str">
        <x:v>参考000</x:v>
      </x:c>
      <x:c r="D1125" s="12" t="str">
        <x:v>自动000</x:v>
      </x:c>
      <x:c r="E1125" s="12" t="n">
        <x:v>0</x:v>
      </x:c>
      <x:c r="F1125" s="12" t="n">
        <x:v>1</x:v>
      </x:c>
      <x:c r="G1125" s="12" t="n">
        <x:v>0</x:v>
      </x:c>
      <x:c r="H1125" s="12" t="n">
        <x:f>IF(SUM(I1125:K1125)&gt;0,1,0)</x:f>
        <x:v>0</x:v>
      </x:c>
      <x:c r="I1125" s="12" t="n">
        <x:f>IF('患者配对'!M1235="positive",1,0)</x:f>
        <x:v>0</x:v>
      </x:c>
      <x:c r="J1125" s="12" t="n">
        <x:f>IF('患者配对'!R1235="positive",1,0)</x:f>
        <x:v>0</x:v>
      </x:c>
      <x:c r="K1125" s="12" t="n">
        <x:f>IF('患者配对'!W1235="positive",1,0)</x:f>
        <x:v>0</x:v>
      </x:c>
      <x:c r="L1125" s="12" t="str">
        <x:v>由原件与原状态取得；仅主队列索引</x:v>
      </x:c>
      <x:c r="M1125" s="12"/>
      <x:c r="N1125" s="12"/>
      <x:c r="O1125" s="12"/>
    </x:row>
    <x:row r="1126" ht="39" customHeight="1">
      <x:c r="A1126" s="12" t="str">
        <x:v>11238</x:v>
      </x:c>
      <x:c r="B1126" s="12" t="str">
        <x:v>10861</x:v>
      </x:c>
      <x:c r="C1126" s="12" t="str">
        <x:v>参考000</x:v>
      </x:c>
      <x:c r="D1126" s="12" t="str">
        <x:v>自动000</x:v>
      </x:c>
      <x:c r="E1126" s="12" t="n">
        <x:v>0</x:v>
      </x:c>
      <x:c r="F1126" s="12" t="n">
        <x:v>0</x:v>
      </x:c>
      <x:c r="G1126" s="12" t="n">
        <x:v>0</x:v>
      </x:c>
      <x:c r="H1126" s="12" t="n">
        <x:f>IF(SUM(I1126:K1126)&gt;0,1,0)</x:f>
        <x:v>0</x:v>
      </x:c>
      <x:c r="I1126" s="12" t="n">
        <x:f>IF('患者配对'!M1236="positive",1,0)</x:f>
        <x:v>0</x:v>
      </x:c>
      <x:c r="J1126" s="12" t="n">
        <x:f>IF('患者配对'!R1236="positive",1,0)</x:f>
        <x:v>0</x:v>
      </x:c>
      <x:c r="K1126" s="12" t="n">
        <x:f>IF('患者配对'!W1236="positive",1,0)</x:f>
        <x:v>0</x:v>
      </x:c>
      <x:c r="L1126" s="12" t="str">
        <x:v>由原件与原状态取得；仅主队列索引</x:v>
      </x:c>
      <x:c r="M1126" s="12"/>
      <x:c r="N1126" s="12"/>
      <x:c r="O1126" s="12"/>
    </x:row>
    <x:row r="1127" ht="39" customHeight="1">
      <x:c r="A1127" s="12" t="str">
        <x:v>11286</x:v>
      </x:c>
      <x:c r="B1127" s="12" t="str">
        <x:v>11582</x:v>
      </x:c>
      <x:c r="C1127" s="12" t="str">
        <x:v>参考100</x:v>
      </x:c>
      <x:c r="D1127" s="12" t="str">
        <x:v>自动000</x:v>
      </x:c>
      <x:c r="E1127" s="12" t="n">
        <x:v>0</x:v>
      </x:c>
      <x:c r="F1127" s="12" t="n">
        <x:v>0</x:v>
      </x:c>
      <x:c r="G1127" s="12" t="n">
        <x:v>1</x:v>
      </x:c>
      <x:c r="H1127" s="12" t="n">
        <x:f>IF(SUM(I1127:K1127)&gt;0,1,0)</x:f>
        <x:v>1</x:v>
      </x:c>
      <x:c r="I1127" s="12" t="n">
        <x:f>IF('患者配对'!M1238="positive",1,0)</x:f>
        <x:v>1</x:v>
      </x:c>
      <x:c r="J1127" s="12" t="n">
        <x:f>IF('患者配对'!R1238="positive",1,0)</x:f>
        <x:v>0</x:v>
      </x:c>
      <x:c r="K1127" s="12" t="n">
        <x:f>IF('患者配对'!W1238="positive",1,0)</x:f>
        <x:v>0</x:v>
      </x:c>
      <x:c r="L1127" s="12" t="str">
        <x:v>由原件与原状态取得；仅主队列索引</x:v>
      </x:c>
      <x:c r="M1127" s="12"/>
      <x:c r="N1127" s="12"/>
      <x:c r="O1127" s="12"/>
    </x:row>
    <x:row r="1128" ht="39" customHeight="1">
      <x:c r="A1128" s="12" t="str">
        <x:v>11319</x:v>
      </x:c>
      <x:c r="B1128" s="12" t="str">
        <x:v>20790</x:v>
      </x:c>
      <x:c r="C1128" s="12" t="str">
        <x:v>参考000</x:v>
      </x:c>
      <x:c r="D1128" s="12" t="str">
        <x:v>自动000</x:v>
      </x:c>
      <x:c r="E1128" s="12" t="n">
        <x:v>0</x:v>
      </x:c>
      <x:c r="F1128" s="12" t="n">
        <x:v>1</x:v>
      </x:c>
      <x:c r="G1128" s="12" t="n">
        <x:v>0</x:v>
      </x:c>
      <x:c r="H1128" s="12" t="n">
        <x:f>IF(SUM(I1128:K1128)&gt;0,1,0)</x:f>
        <x:v>0</x:v>
      </x:c>
      <x:c r="I1128" s="12" t="n">
        <x:f>IF('患者配对'!M1239="positive",1,0)</x:f>
        <x:v>0</x:v>
      </x:c>
      <x:c r="J1128" s="12" t="n">
        <x:f>IF('患者配对'!R1239="positive",1,0)</x:f>
        <x:v>0</x:v>
      </x:c>
      <x:c r="K1128" s="12" t="n">
        <x:f>IF('患者配对'!W1239="positive",1,0)</x:f>
        <x:v>0</x:v>
      </x:c>
      <x:c r="L1128" s="12" t="str">
        <x:v>由原件与原状态取得；仅主队列索引</x:v>
      </x:c>
      <x:c r="M1128" s="12"/>
      <x:c r="N1128" s="12"/>
      <x:c r="O1128" s="12"/>
    </x:row>
    <x:row r="1129" ht="39" customHeight="1">
      <x:c r="A1129" s="12" t="str">
        <x:v>11336</x:v>
      </x:c>
      <x:c r="B1129" s="12" t="str">
        <x:v>14055</x:v>
      </x:c>
      <x:c r="C1129" s="12" t="str">
        <x:v>参考000</x:v>
      </x:c>
      <x:c r="D1129" s="12" t="str">
        <x:v>自动000</x:v>
      </x:c>
      <x:c r="E1129" s="12" t="n">
        <x:v>0</x:v>
      </x:c>
      <x:c r="F1129" s="12" t="n">
        <x:v>0</x:v>
      </x:c>
      <x:c r="G1129" s="12" t="n">
        <x:v>0</x:v>
      </x:c>
      <x:c r="H1129" s="12" t="n">
        <x:f>IF(SUM(I1129:K1129)&gt;0,1,0)</x:f>
        <x:v>0</x:v>
      </x:c>
      <x:c r="I1129" s="12" t="n">
        <x:f>IF('患者配对'!M1240="positive",1,0)</x:f>
        <x:v>0</x:v>
      </x:c>
      <x:c r="J1129" s="12" t="n">
        <x:f>IF('患者配对'!R1240="positive",1,0)</x:f>
        <x:v>0</x:v>
      </x:c>
      <x:c r="K1129" s="12" t="n">
        <x:f>IF('患者配对'!W1240="positive",1,0)</x:f>
        <x:v>0</x:v>
      </x:c>
      <x:c r="L1129" s="12" t="str">
        <x:v>由原件与原状态取得；仅主队列索引</x:v>
      </x:c>
      <x:c r="M1129" s="12"/>
      <x:c r="N1129" s="12"/>
      <x:c r="O1129" s="12"/>
    </x:row>
    <x:row r="1130" ht="39" customHeight="1">
      <x:c r="A1130" s="12" t="str">
        <x:v>11359</x:v>
      </x:c>
      <x:c r="B1130" s="12" t="str">
        <x:v>21553</x:v>
      </x:c>
      <x:c r="C1130" s="12" t="str">
        <x:v>参考000</x:v>
      </x:c>
      <x:c r="D1130" s="12" t="str">
        <x:v>自动000</x:v>
      </x:c>
      <x:c r="E1130" s="12" t="n">
        <x:v>0</x:v>
      </x:c>
      <x:c r="F1130" s="12" t="n">
        <x:v>0</x:v>
      </x:c>
      <x:c r="G1130" s="12" t="n">
        <x:v>0</x:v>
      </x:c>
      <x:c r="H1130" s="12" t="n">
        <x:f>IF(SUM(I1130:K1130)&gt;0,1,0)</x:f>
        <x:v>0</x:v>
      </x:c>
      <x:c r="I1130" s="12" t="n">
        <x:f>IF('患者配对'!M1241="positive",1,0)</x:f>
        <x:v>0</x:v>
      </x:c>
      <x:c r="J1130" s="12" t="n">
        <x:f>IF('患者配对'!R1241="positive",1,0)</x:f>
        <x:v>0</x:v>
      </x:c>
      <x:c r="K1130" s="12" t="n">
        <x:f>IF('患者配对'!W1241="positive",1,0)</x:f>
        <x:v>0</x:v>
      </x:c>
      <x:c r="L1130" s="12" t="str">
        <x:v>由原件与原状态取得；仅主队列索引</x:v>
      </x:c>
      <x:c r="M1130" s="12"/>
      <x:c r="N1130" s="12"/>
      <x:c r="O1130" s="12"/>
    </x:row>
    <x:row r="1131" ht="39" customHeight="1">
      <x:c r="A1131" s="12" t="str">
        <x:v>11364</x:v>
      </x:c>
      <x:c r="B1131" s="12" t="str">
        <x:v>21650</x:v>
      </x:c>
      <x:c r="C1131" s="12" t="str">
        <x:v>参考000</x:v>
      </x:c>
      <x:c r="D1131" s="12" t="str">
        <x:v>自动000</x:v>
      </x:c>
      <x:c r="E1131" s="12" t="n">
        <x:v>0</x:v>
      </x:c>
      <x:c r="F1131" s="12" t="n">
        <x:v>0</x:v>
      </x:c>
      <x:c r="G1131" s="12" t="n">
        <x:v>0</x:v>
      </x:c>
      <x:c r="H1131" s="12" t="n">
        <x:f>IF(SUM(I1131:K1131)&gt;0,1,0)</x:f>
        <x:v>0</x:v>
      </x:c>
      <x:c r="I1131" s="12" t="n">
        <x:f>IF('患者配对'!M1242="positive",1,0)</x:f>
        <x:v>0</x:v>
      </x:c>
      <x:c r="J1131" s="12" t="n">
        <x:f>IF('患者配对'!R1242="positive",1,0)</x:f>
        <x:v>0</x:v>
      </x:c>
      <x:c r="K1131" s="12" t="n">
        <x:f>IF('患者配对'!W1242="positive",1,0)</x:f>
        <x:v>0</x:v>
      </x:c>
      <x:c r="L1131" s="12" t="str">
        <x:v>由原件与原状态取得；仅主队列索引</x:v>
      </x:c>
      <x:c r="M1131" s="12"/>
      <x:c r="N1131" s="12"/>
      <x:c r="O1131" s="12"/>
    </x:row>
    <x:row r="1132" ht="39" customHeight="1">
      <x:c r="A1132" s="12" t="str">
        <x:v>11371</x:v>
      </x:c>
      <x:c r="B1132" s="12" t="str">
        <x:v>17181</x:v>
      </x:c>
      <x:c r="C1132" s="12" t="str">
        <x:v>参考000</x:v>
      </x:c>
      <x:c r="D1132" s="12" t="str">
        <x:v>自动010</x:v>
      </x:c>
      <x:c r="E1132" s="12" t="n">
        <x:v>1</x:v>
      </x:c>
      <x:c r="F1132" s="12" t="n">
        <x:v>1</x:v>
      </x:c>
      <x:c r="G1132" s="12" t="n">
        <x:v>1</x:v>
      </x:c>
      <x:c r="H1132" s="12" t="n">
        <x:f>IF(SUM(I1132:K1132)&gt;0,1,0)</x:f>
        <x:v>0</x:v>
      </x:c>
      <x:c r="I1132" s="12" t="n">
        <x:f>IF('患者配对'!M1243="positive",1,0)</x:f>
        <x:v>0</x:v>
      </x:c>
      <x:c r="J1132" s="12" t="n">
        <x:f>IF('患者配对'!R1243="positive",1,0)</x:f>
        <x:v>0</x:v>
      </x:c>
      <x:c r="K1132" s="12" t="n">
        <x:f>IF('患者配对'!W1243="positive",1,0)</x:f>
        <x:v>0</x:v>
      </x:c>
      <x:c r="L1132" s="12" t="str">
        <x:v>由原件与原状态取得；仅主队列索引</x:v>
      </x:c>
      <x:c r="M1132" s="12"/>
      <x:c r="N1132" s="12"/>
      <x:c r="O1132" s="12"/>
    </x:row>
    <x:row r="1133" ht="39" customHeight="1">
      <x:c r="A1133" s="12" t="str">
        <x:v>11372</x:v>
      </x:c>
      <x:c r="B1133" s="12" t="str">
        <x:v>20751</x:v>
      </x:c>
      <x:c r="C1133" s="12" t="str">
        <x:v>参考000</x:v>
      </x:c>
      <x:c r="D1133" s="12" t="str">
        <x:v>自动000</x:v>
      </x:c>
      <x:c r="E1133" s="12" t="n">
        <x:v>0</x:v>
      </x:c>
      <x:c r="F1133" s="12" t="n">
        <x:v>0</x:v>
      </x:c>
      <x:c r="G1133" s="12" t="n">
        <x:v>0</x:v>
      </x:c>
      <x:c r="H1133" s="12" t="n">
        <x:f>IF(SUM(I1133:K1133)&gt;0,1,0)</x:f>
        <x:v>0</x:v>
      </x:c>
      <x:c r="I1133" s="12" t="n">
        <x:f>IF('患者配对'!M1244="positive",1,0)</x:f>
        <x:v>0</x:v>
      </x:c>
      <x:c r="J1133" s="12" t="n">
        <x:f>IF('患者配对'!R1244="positive",1,0)</x:f>
        <x:v>0</x:v>
      </x:c>
      <x:c r="K1133" s="12" t="n">
        <x:f>IF('患者配对'!W1244="positive",1,0)</x:f>
        <x:v>0</x:v>
      </x:c>
      <x:c r="L1133" s="12" t="str">
        <x:v>由原件与原状态取得；仅主队列索引</x:v>
      </x:c>
      <x:c r="M1133" s="12"/>
      <x:c r="N1133" s="12"/>
      <x:c r="O1133" s="12"/>
    </x:row>
    <x:row r="1134" ht="39" customHeight="1">
      <x:c r="A1134" s="12" t="str">
        <x:v>11406</x:v>
      </x:c>
      <x:c r="B1134" s="12" t="str">
        <x:v>20898</x:v>
      </x:c>
      <x:c r="C1134" s="12" t="str">
        <x:v>参考000</x:v>
      </x:c>
      <x:c r="D1134" s="12" t="str">
        <x:v>自动000</x:v>
      </x:c>
      <x:c r="E1134" s="12" t="n">
        <x:v>0</x:v>
      </x:c>
      <x:c r="F1134" s="12" t="n">
        <x:v>0</x:v>
      </x:c>
      <x:c r="G1134" s="12" t="n">
        <x:v>0</x:v>
      </x:c>
      <x:c r="H1134" s="12" t="n">
        <x:f>IF(SUM(I1134:K1134)&gt;0,1,0)</x:f>
        <x:v>0</x:v>
      </x:c>
      <x:c r="I1134" s="12" t="n">
        <x:f>IF('患者配对'!M1245="positive",1,0)</x:f>
        <x:v>0</x:v>
      </x:c>
      <x:c r="J1134" s="12" t="n">
        <x:f>IF('患者配对'!R1245="positive",1,0)</x:f>
        <x:v>0</x:v>
      </x:c>
      <x:c r="K1134" s="12" t="n">
        <x:f>IF('患者配对'!W1245="positive",1,0)</x:f>
        <x:v>0</x:v>
      </x:c>
      <x:c r="L1134" s="12" t="str">
        <x:v>由原件与原状态取得；仅主队列索引</x:v>
      </x:c>
      <x:c r="M1134" s="12"/>
      <x:c r="N1134" s="12"/>
      <x:c r="O1134" s="12"/>
    </x:row>
    <x:row r="1135" ht="39" customHeight="1">
      <x:c r="A1135" s="12" t="str">
        <x:v>11418</x:v>
      </x:c>
      <x:c r="B1135" s="12" t="str">
        <x:v>13679</x:v>
      </x:c>
      <x:c r="C1135" s="12" t="str">
        <x:v>参考010</x:v>
      </x:c>
      <x:c r="D1135" s="12" t="str">
        <x:v>自动110</x:v>
      </x:c>
      <x:c r="E1135" s="12" t="n">
        <x:v>1</x:v>
      </x:c>
      <x:c r="F1135" s="12" t="n">
        <x:v>1</x:v>
      </x:c>
      <x:c r="G1135" s="12" t="n">
        <x:v>1</x:v>
      </x:c>
      <x:c r="H1135" s="12" t="n">
        <x:f>IF(SUM(I1135:K1135)&gt;0,1,0)</x:f>
        <x:v>1</x:v>
      </x:c>
      <x:c r="I1135" s="12" t="n">
        <x:f>IF('患者配对'!M1247="positive",1,0)</x:f>
        <x:v>0</x:v>
      </x:c>
      <x:c r="J1135" s="12" t="n">
        <x:f>IF('患者配对'!R1247="positive",1,0)</x:f>
        <x:v>1</x:v>
      </x:c>
      <x:c r="K1135" s="12" t="n">
        <x:f>IF('患者配对'!W1247="positive",1,0)</x:f>
        <x:v>0</x:v>
      </x:c>
      <x:c r="L1135" s="12" t="str">
        <x:v>由原件与原状态取得；仅主队列索引</x:v>
      </x:c>
      <x:c r="M1135" s="12"/>
      <x:c r="N1135" s="12"/>
      <x:c r="O1135" s="12"/>
    </x:row>
    <x:row r="1136" ht="39" customHeight="1">
      <x:c r="A1136" s="12" t="str">
        <x:v>11441</x:v>
      </x:c>
      <x:c r="B1136" s="12" t="str">
        <x:v>12916</x:v>
      </x:c>
      <x:c r="C1136" s="12" t="str">
        <x:v>参考010</x:v>
      </x:c>
      <x:c r="D1136" s="12" t="str">
        <x:v>自动000</x:v>
      </x:c>
      <x:c r="E1136" s="12" t="n">
        <x:v>0</x:v>
      </x:c>
      <x:c r="F1136" s="12" t="n">
        <x:v>1</x:v>
      </x:c>
      <x:c r="G1136" s="12" t="n">
        <x:v>1</x:v>
      </x:c>
      <x:c r="H1136" s="12" t="n">
        <x:f>IF(SUM(I1136:K1136)&gt;0,1,0)</x:f>
        <x:v>1</x:v>
      </x:c>
      <x:c r="I1136" s="12" t="n">
        <x:f>IF('患者配对'!M1249="positive",1,0)</x:f>
        <x:v>0</x:v>
      </x:c>
      <x:c r="J1136" s="12" t="n">
        <x:f>IF('患者配对'!R1249="positive",1,0)</x:f>
        <x:v>1</x:v>
      </x:c>
      <x:c r="K1136" s="12" t="n">
        <x:f>IF('患者配对'!W1249="positive",1,0)</x:f>
        <x:v>0</x:v>
      </x:c>
      <x:c r="L1136" s="12" t="str">
        <x:v>由原件与原状态取得；仅主队列索引</x:v>
      </x:c>
      <x:c r="M1136" s="12"/>
      <x:c r="N1136" s="12"/>
      <x:c r="O1136" s="12"/>
    </x:row>
    <x:row r="1137" ht="39" customHeight="1">
      <x:c r="A1137" s="12" t="str">
        <x:v>11453</x:v>
      </x:c>
      <x:c r="B1137" s="12" t="str">
        <x:v>16018</x:v>
      </x:c>
      <x:c r="C1137" s="12" t="str">
        <x:v>参考000</x:v>
      </x:c>
      <x:c r="D1137" s="12" t="str">
        <x:v>自动000</x:v>
      </x:c>
      <x:c r="E1137" s="12" t="n">
        <x:v>0</x:v>
      </x:c>
      <x:c r="F1137" s="12" t="n">
        <x:v>0</x:v>
      </x:c>
      <x:c r="G1137" s="12" t="n">
        <x:v>0</x:v>
      </x:c>
      <x:c r="H1137" s="12" t="n">
        <x:f>IF(SUM(I1137:K1137)&gt;0,1,0)</x:f>
        <x:v>0</x:v>
      </x:c>
      <x:c r="I1137" s="12" t="n">
        <x:f>IF('患者配对'!M1250="positive",1,0)</x:f>
        <x:v>0</x:v>
      </x:c>
      <x:c r="J1137" s="12" t="n">
        <x:f>IF('患者配对'!R1250="positive",1,0)</x:f>
        <x:v>0</x:v>
      </x:c>
      <x:c r="K1137" s="12" t="n">
        <x:f>IF('患者配对'!W1250="positive",1,0)</x:f>
        <x:v>0</x:v>
      </x:c>
      <x:c r="L1137" s="12" t="str">
        <x:v>由原件与原状态取得；仅主队列索引</x:v>
      </x:c>
      <x:c r="M1137" s="12"/>
      <x:c r="N1137" s="12"/>
      <x:c r="O1137" s="12"/>
    </x:row>
    <x:row r="1138" ht="39" customHeight="1">
      <x:c r="A1138" s="12" t="str">
        <x:v>11468</x:v>
      </x:c>
      <x:c r="B1138" s="12" t="str">
        <x:v>8336</x:v>
      </x:c>
      <x:c r="C1138" s="12" t="str">
        <x:v>参考000</x:v>
      </x:c>
      <x:c r="D1138" s="12" t="str">
        <x:v>自动000</x:v>
      </x:c>
      <x:c r="E1138" s="12" t="n">
        <x:v>0</x:v>
      </x:c>
      <x:c r="F1138" s="12" t="n">
        <x:v>1</x:v>
      </x:c>
      <x:c r="G1138" s="12" t="n">
        <x:v>0</x:v>
      </x:c>
      <x:c r="H1138" s="12" t="n">
        <x:f>IF(SUM(I1138:K1138)&gt;0,1,0)</x:f>
        <x:v>0</x:v>
      </x:c>
      <x:c r="I1138" s="12" t="n">
        <x:f>IF('患者配对'!M1251="positive",1,0)</x:f>
        <x:v>0</x:v>
      </x:c>
      <x:c r="J1138" s="12" t="n">
        <x:f>IF('患者配对'!R1251="positive",1,0)</x:f>
        <x:v>0</x:v>
      </x:c>
      <x:c r="K1138" s="12" t="n">
        <x:f>IF('患者配对'!W1251="positive",1,0)</x:f>
        <x:v>0</x:v>
      </x:c>
      <x:c r="L1138" s="12" t="str">
        <x:v>由原件与原状态取得；仅主队列索引</x:v>
      </x:c>
      <x:c r="M1138" s="12"/>
      <x:c r="N1138" s="12"/>
      <x:c r="O1138" s="12"/>
    </x:row>
    <x:row r="1139" ht="39" customHeight="1">
      <x:c r="A1139" s="12" t="str">
        <x:v>11474</x:v>
      </x:c>
      <x:c r="B1139" s="12" t="str">
        <x:v>13400</x:v>
      </x:c>
      <x:c r="C1139" s="12" t="str">
        <x:v>参考010</x:v>
      </x:c>
      <x:c r="D1139" s="12" t="str">
        <x:v>自动010</x:v>
      </x:c>
      <x:c r="E1139" s="12" t="n">
        <x:v>1</x:v>
      </x:c>
      <x:c r="F1139" s="12" t="n">
        <x:v>1</x:v>
      </x:c>
      <x:c r="G1139" s="12" t="n">
        <x:v>0</x:v>
      </x:c>
      <x:c r="H1139" s="12" t="n">
        <x:f>IF(SUM(I1139:K1139)&gt;0,1,0)</x:f>
        <x:v>1</x:v>
      </x:c>
      <x:c r="I1139" s="12" t="n">
        <x:f>IF('患者配对'!M1252="positive",1,0)</x:f>
        <x:v>0</x:v>
      </x:c>
      <x:c r="J1139" s="12" t="n">
        <x:f>IF('患者配对'!R1252="positive",1,0)</x:f>
        <x:v>1</x:v>
      </x:c>
      <x:c r="K1139" s="12" t="n">
        <x:f>IF('患者配对'!W1252="positive",1,0)</x:f>
        <x:v>0</x:v>
      </x:c>
      <x:c r="L1139" s="12" t="str">
        <x:v>由原件与原状态取得；仅主队列索引</x:v>
      </x:c>
      <x:c r="M1139" s="12"/>
      <x:c r="N1139" s="12"/>
      <x:c r="O1139" s="12"/>
    </x:row>
    <x:row r="1140" ht="39" customHeight="1">
      <x:c r="A1140" s="12" t="str">
        <x:v>11477</x:v>
      </x:c>
      <x:c r="B1140" s="12" t="str">
        <x:v>9781</x:v>
      </x:c>
      <x:c r="C1140" s="12" t="str">
        <x:v>参考000</x:v>
      </x:c>
      <x:c r="D1140" s="12" t="str">
        <x:v>自动000</x:v>
      </x:c>
      <x:c r="E1140" s="12" t="n">
        <x:v>0</x:v>
      </x:c>
      <x:c r="F1140" s="12" t="n">
        <x:v>0</x:v>
      </x:c>
      <x:c r="G1140" s="12" t="n">
        <x:v>0</x:v>
      </x:c>
      <x:c r="H1140" s="12" t="n">
        <x:f>IF(SUM(I1140:K1140)&gt;0,1,0)</x:f>
        <x:v>0</x:v>
      </x:c>
      <x:c r="I1140" s="12" t="n">
        <x:f>IF('患者配对'!M1253="positive",1,0)</x:f>
        <x:v>0</x:v>
      </x:c>
      <x:c r="J1140" s="12" t="n">
        <x:f>IF('患者配对'!R1253="positive",1,0)</x:f>
        <x:v>0</x:v>
      </x:c>
      <x:c r="K1140" s="12" t="n">
        <x:f>IF('患者配对'!W1253="positive",1,0)</x:f>
        <x:v>0</x:v>
      </x:c>
      <x:c r="L1140" s="12" t="str">
        <x:v>由原件与原状态取得；仅主队列索引</x:v>
      </x:c>
      <x:c r="M1140" s="12"/>
      <x:c r="N1140" s="12"/>
      <x:c r="O1140" s="12"/>
    </x:row>
    <x:row r="1141" ht="39" customHeight="1">
      <x:c r="A1141" s="12" t="str">
        <x:v>11487</x:v>
      </x:c>
      <x:c r="B1141" s="12" t="str">
        <x:v>12517</x:v>
      </x:c>
      <x:c r="C1141" s="12" t="str">
        <x:v>参考000</x:v>
      </x:c>
      <x:c r="D1141" s="12" t="str">
        <x:v>自动000</x:v>
      </x:c>
      <x:c r="E1141" s="12" t="n">
        <x:v>0</x:v>
      </x:c>
      <x:c r="F1141" s="12" t="n">
        <x:v>1</x:v>
      </x:c>
      <x:c r="G1141" s="12" t="n">
        <x:v>0</x:v>
      </x:c>
      <x:c r="H1141" s="12" t="n">
        <x:f>IF(SUM(I1141:K1141)&gt;0,1,0)</x:f>
        <x:v>0</x:v>
      </x:c>
      <x:c r="I1141" s="12" t="n">
        <x:f>IF('患者配对'!M1254="positive",1,0)</x:f>
        <x:v>0</x:v>
      </x:c>
      <x:c r="J1141" s="12" t="n">
        <x:f>IF('患者配对'!R1254="positive",1,0)</x:f>
        <x:v>0</x:v>
      </x:c>
      <x:c r="K1141" s="12" t="n">
        <x:f>IF('患者配对'!W1254="positive",1,0)</x:f>
        <x:v>0</x:v>
      </x:c>
      <x:c r="L1141" s="12" t="str">
        <x:v>由原件与原状态取得；仅主队列索引</x:v>
      </x:c>
      <x:c r="M1141" s="12"/>
      <x:c r="N1141" s="12"/>
      <x:c r="O1141" s="12"/>
    </x:row>
    <x:row r="1142" ht="39" customHeight="1">
      <x:c r="A1142" s="12" t="str">
        <x:v>11489</x:v>
      </x:c>
      <x:c r="B1142" s="12" t="str">
        <x:v>11408</x:v>
      </x:c>
      <x:c r="C1142" s="12" t="str">
        <x:v>参考000</x:v>
      </x:c>
      <x:c r="D1142" s="12" t="str">
        <x:v>自动000</x:v>
      </x:c>
      <x:c r="E1142" s="12" t="n">
        <x:v>0</x:v>
      </x:c>
      <x:c r="F1142" s="12" t="n">
        <x:v>0</x:v>
      </x:c>
      <x:c r="G1142" s="12" t="n">
        <x:v>0</x:v>
      </x:c>
      <x:c r="H1142" s="12" t="n">
        <x:f>IF(SUM(I1142:K1142)&gt;0,1,0)</x:f>
        <x:v>0</x:v>
      </x:c>
      <x:c r="I1142" s="12" t="n">
        <x:f>IF('患者配对'!M1255="positive",1,0)</x:f>
        <x:v>0</x:v>
      </x:c>
      <x:c r="J1142" s="12" t="n">
        <x:f>IF('患者配对'!R1255="positive",1,0)</x:f>
        <x:v>0</x:v>
      </x:c>
      <x:c r="K1142" s="12" t="n">
        <x:f>IF('患者配对'!W1255="positive",1,0)</x:f>
        <x:v>0</x:v>
      </x:c>
      <x:c r="L1142" s="12" t="str">
        <x:v>由原件与原状态取得；仅主队列索引</x:v>
      </x:c>
      <x:c r="M1142" s="12"/>
      <x:c r="N1142" s="12"/>
      <x:c r="O1142" s="12"/>
    </x:row>
    <x:row r="1143" ht="39" customHeight="1">
      <x:c r="A1143" s="12" t="str">
        <x:v>11490</x:v>
      </x:c>
      <x:c r="B1143" s="12" t="str">
        <x:v>12644</x:v>
      </x:c>
      <x:c r="C1143" s="12" t="str">
        <x:v>参考000</x:v>
      </x:c>
      <x:c r="D1143" s="12" t="str">
        <x:v>自动000</x:v>
      </x:c>
      <x:c r="E1143" s="12" t="n">
        <x:v>0</x:v>
      </x:c>
      <x:c r="F1143" s="12" t="n">
        <x:v>0</x:v>
      </x:c>
      <x:c r="G1143" s="12" t="n">
        <x:v>0</x:v>
      </x:c>
      <x:c r="H1143" s="12" t="n">
        <x:f>IF(SUM(I1143:K1143)&gt;0,1,0)</x:f>
        <x:v>0</x:v>
      </x:c>
      <x:c r="I1143" s="12" t="n">
        <x:f>IF('患者配对'!M1256="positive",1,0)</x:f>
        <x:v>0</x:v>
      </x:c>
      <x:c r="J1143" s="12" t="n">
        <x:f>IF('患者配对'!R1256="positive",1,0)</x:f>
        <x:v>0</x:v>
      </x:c>
      <x:c r="K1143" s="12" t="n">
        <x:f>IF('患者配对'!W1256="positive",1,0)</x:f>
        <x:v>0</x:v>
      </x:c>
      <x:c r="L1143" s="12" t="str">
        <x:v>由原件与原状态取得；仅主队列索引</x:v>
      </x:c>
      <x:c r="M1143" s="12"/>
      <x:c r="N1143" s="12"/>
      <x:c r="O1143" s="12"/>
    </x:row>
    <x:row r="1144" ht="39" customHeight="1">
      <x:c r="A1144" s="12" t="str">
        <x:v>11500</x:v>
      </x:c>
      <x:c r="B1144" s="12" t="str">
        <x:v>13887</x:v>
      </x:c>
      <x:c r="C1144" s="12" t="str">
        <x:v>参考001</x:v>
      </x:c>
      <x:c r="D1144" s="12" t="str">
        <x:v>自动101</x:v>
      </x:c>
      <x:c r="E1144" s="12" t="n">
        <x:v>1</x:v>
      </x:c>
      <x:c r="F1144" s="12" t="n">
        <x:v>1</x:v>
      </x:c>
      <x:c r="G1144" s="12" t="n">
        <x:v>1</x:v>
      </x:c>
      <x:c r="H1144" s="12" t="n">
        <x:f>IF(SUM(I1144:K1144)&gt;0,1,0)</x:f>
        <x:v>1</x:v>
      </x:c>
      <x:c r="I1144" s="12" t="n">
        <x:f>IF('患者配对'!M1257="positive",1,0)</x:f>
        <x:v>0</x:v>
      </x:c>
      <x:c r="J1144" s="12" t="n">
        <x:f>IF('患者配对'!R1257="positive",1,0)</x:f>
        <x:v>0</x:v>
      </x:c>
      <x:c r="K1144" s="12" t="n">
        <x:f>IF('患者配对'!W1257="positive",1,0)</x:f>
        <x:v>1</x:v>
      </x:c>
      <x:c r="L1144" s="12" t="str">
        <x:v>由原件与原状态取得；仅主队列索引</x:v>
      </x:c>
      <x:c r="M1144" s="12"/>
      <x:c r="N1144" s="12"/>
      <x:c r="O1144" s="12"/>
    </x:row>
    <x:row r="1145" ht="39" customHeight="1">
      <x:c r="A1145" s="12" t="str">
        <x:v>11520</x:v>
      </x:c>
      <x:c r="B1145" s="12" t="str">
        <x:v>9005</x:v>
      </x:c>
      <x:c r="C1145" s="12" t="str">
        <x:v>参考000</x:v>
      </x:c>
      <x:c r="D1145" s="12" t="str">
        <x:v>自动000</x:v>
      </x:c>
      <x:c r="E1145" s="12" t="n">
        <x:v>0</x:v>
      </x:c>
      <x:c r="F1145" s="12" t="n">
        <x:v>1</x:v>
      </x:c>
      <x:c r="G1145" s="12" t="n">
        <x:v>0</x:v>
      </x:c>
      <x:c r="H1145" s="12" t="n">
        <x:f>IF(SUM(I1145:K1145)&gt;0,1,0)</x:f>
        <x:v>0</x:v>
      </x:c>
      <x:c r="I1145" s="12" t="n">
        <x:f>IF('患者配对'!M1258="positive",1,0)</x:f>
        <x:v>0</x:v>
      </x:c>
      <x:c r="J1145" s="12" t="n">
        <x:f>IF('患者配对'!R1258="positive",1,0)</x:f>
        <x:v>0</x:v>
      </x:c>
      <x:c r="K1145" s="12" t="n">
        <x:f>IF('患者配对'!W1258="positive",1,0)</x:f>
        <x:v>0</x:v>
      </x:c>
      <x:c r="L1145" s="12" t="str">
        <x:v>由原件与原状态取得；仅主队列索引</x:v>
      </x:c>
      <x:c r="M1145" s="12"/>
      <x:c r="N1145" s="12"/>
      <x:c r="O1145" s="12"/>
    </x:row>
    <x:row r="1146" ht="39" customHeight="1">
      <x:c r="A1146" s="12" t="str">
        <x:v>11530</x:v>
      </x:c>
      <x:c r="B1146" s="12" t="str">
        <x:v>20601</x:v>
      </x:c>
      <x:c r="C1146" s="12" t="str">
        <x:v>参考000</x:v>
      </x:c>
      <x:c r="D1146" s="12" t="str">
        <x:v>自动000</x:v>
      </x:c>
      <x:c r="E1146" s="12" t="n">
        <x:v>0</x:v>
      </x:c>
      <x:c r="F1146" s="12" t="n">
        <x:v>0</x:v>
      </x:c>
      <x:c r="G1146" s="12" t="n">
        <x:v>0</x:v>
      </x:c>
      <x:c r="H1146" s="12" t="n">
        <x:f>IF(SUM(I1146:K1146)&gt;0,1,0)</x:f>
        <x:v>0</x:v>
      </x:c>
      <x:c r="I1146" s="12" t="n">
        <x:f>IF('患者配对'!M1259="positive",1,0)</x:f>
        <x:v>0</x:v>
      </x:c>
      <x:c r="J1146" s="12" t="n">
        <x:f>IF('患者配对'!R1259="positive",1,0)</x:f>
        <x:v>0</x:v>
      </x:c>
      <x:c r="K1146" s="12" t="n">
        <x:f>IF('患者配对'!W1259="positive",1,0)</x:f>
        <x:v>0</x:v>
      </x:c>
      <x:c r="L1146" s="12" t="str">
        <x:v>由原件与原状态取得；仅主队列索引</x:v>
      </x:c>
      <x:c r="M1146" s="12"/>
      <x:c r="N1146" s="12"/>
      <x:c r="O1146" s="12"/>
    </x:row>
    <x:row r="1147" ht="39" customHeight="1">
      <x:c r="A1147" s="12" t="str">
        <x:v>11532</x:v>
      </x:c>
      <x:c r="B1147" s="12" t="str">
        <x:v>10387</x:v>
      </x:c>
      <x:c r="C1147" s="12" t="str">
        <x:v>参考000</x:v>
      </x:c>
      <x:c r="D1147" s="12" t="str">
        <x:v>自动000</x:v>
      </x:c>
      <x:c r="E1147" s="12" t="n">
        <x:v>0</x:v>
      </x:c>
      <x:c r="F1147" s="12" t="n">
        <x:v>1</x:v>
      </x:c>
      <x:c r="G1147" s="12" t="n">
        <x:v>0</x:v>
      </x:c>
      <x:c r="H1147" s="12" t="n">
        <x:f>IF(SUM(I1147:K1147)&gt;0,1,0)</x:f>
        <x:v>0</x:v>
      </x:c>
      <x:c r="I1147" s="12" t="n">
        <x:f>IF('患者配对'!M1260="positive",1,0)</x:f>
        <x:v>0</x:v>
      </x:c>
      <x:c r="J1147" s="12" t="n">
        <x:f>IF('患者配对'!R1260="positive",1,0)</x:f>
        <x:v>0</x:v>
      </x:c>
      <x:c r="K1147" s="12" t="n">
        <x:f>IF('患者配对'!W1260="positive",1,0)</x:f>
        <x:v>0</x:v>
      </x:c>
      <x:c r="L1147" s="12" t="str">
        <x:v>由原件与原状态取得；仅主队列索引</x:v>
      </x:c>
      <x:c r="M1147" s="12"/>
      <x:c r="N1147" s="12"/>
      <x:c r="O1147" s="12"/>
    </x:row>
    <x:row r="1148" ht="39" customHeight="1">
      <x:c r="A1148" s="12" t="str">
        <x:v>11533</x:v>
      </x:c>
      <x:c r="B1148" s="12" t="str">
        <x:v>18719</x:v>
      </x:c>
      <x:c r="C1148" s="12" t="str">
        <x:v>参考000</x:v>
      </x:c>
      <x:c r="D1148" s="12" t="str">
        <x:v>自动000</x:v>
      </x:c>
      <x:c r="E1148" s="12" t="n">
        <x:v>0</x:v>
      </x:c>
      <x:c r="F1148" s="12" t="n">
        <x:v>0</x:v>
      </x:c>
      <x:c r="G1148" s="12" t="n">
        <x:v>0</x:v>
      </x:c>
      <x:c r="H1148" s="12" t="n">
        <x:f>IF(SUM(I1148:K1148)&gt;0,1,0)</x:f>
        <x:v>0</x:v>
      </x:c>
      <x:c r="I1148" s="12" t="n">
        <x:f>IF('患者配对'!M1261="positive",1,0)</x:f>
        <x:v>0</x:v>
      </x:c>
      <x:c r="J1148" s="12" t="n">
        <x:f>IF('患者配对'!R1261="positive",1,0)</x:f>
        <x:v>0</x:v>
      </x:c>
      <x:c r="K1148" s="12" t="n">
        <x:f>IF('患者配对'!W1261="positive",1,0)</x:f>
        <x:v>0</x:v>
      </x:c>
      <x:c r="L1148" s="12" t="str">
        <x:v>由原件与原状态取得；仅主队列索引</x:v>
      </x:c>
      <x:c r="M1148" s="12"/>
      <x:c r="N1148" s="12"/>
      <x:c r="O1148" s="12"/>
    </x:row>
    <x:row r="1149" ht="39" customHeight="1">
      <x:c r="A1149" s="12" t="str">
        <x:v>11564</x:v>
      </x:c>
      <x:c r="B1149" s="12" t="str">
        <x:v>13373</x:v>
      </x:c>
      <x:c r="C1149" s="12" t="str">
        <x:v>参考000</x:v>
      </x:c>
      <x:c r="D1149" s="12" t="str">
        <x:v>自动000</x:v>
      </x:c>
      <x:c r="E1149" s="12" t="n">
        <x:v>0</x:v>
      </x:c>
      <x:c r="F1149" s="12" t="n">
        <x:v>0</x:v>
      </x:c>
      <x:c r="G1149" s="12" t="n">
        <x:v>0</x:v>
      </x:c>
      <x:c r="H1149" s="12" t="n">
        <x:f>IF(SUM(I1149:K1149)&gt;0,1,0)</x:f>
        <x:v>0</x:v>
      </x:c>
      <x:c r="I1149" s="12" t="n">
        <x:f>IF('患者配对'!M1263="positive",1,0)</x:f>
        <x:v>0</x:v>
      </x:c>
      <x:c r="J1149" s="12" t="n">
        <x:f>IF('患者配对'!R1263="positive",1,0)</x:f>
        <x:v>0</x:v>
      </x:c>
      <x:c r="K1149" s="12" t="n">
        <x:f>IF('患者配对'!W1263="positive",1,0)</x:f>
        <x:v>0</x:v>
      </x:c>
      <x:c r="L1149" s="12" t="str">
        <x:v>由原件与原状态取得；仅主队列索引</x:v>
      </x:c>
      <x:c r="M1149" s="12"/>
      <x:c r="N1149" s="12"/>
      <x:c r="O1149" s="12"/>
    </x:row>
    <x:row r="1150" ht="39" customHeight="1">
      <x:c r="A1150" s="12" t="str">
        <x:v>11575</x:v>
      </x:c>
      <x:c r="B1150" s="12" t="str">
        <x:v>9842</x:v>
      </x:c>
      <x:c r="C1150" s="12" t="str">
        <x:v>参考000</x:v>
      </x:c>
      <x:c r="D1150" s="12" t="str">
        <x:v>自动000</x:v>
      </x:c>
      <x:c r="E1150" s="12" t="n">
        <x:v>0</x:v>
      </x:c>
      <x:c r="F1150" s="12" t="n">
        <x:v>0</x:v>
      </x:c>
      <x:c r="G1150" s="12" t="n">
        <x:v>0</x:v>
      </x:c>
      <x:c r="H1150" s="12" t="n">
        <x:f>IF(SUM(I1150:K1150)&gt;0,1,0)</x:f>
        <x:v>0</x:v>
      </x:c>
      <x:c r="I1150" s="12" t="n">
        <x:f>IF('患者配对'!M1264="positive",1,0)</x:f>
        <x:v>0</x:v>
      </x:c>
      <x:c r="J1150" s="12" t="n">
        <x:f>IF('患者配对'!R1264="positive",1,0)</x:f>
        <x:v>0</x:v>
      </x:c>
      <x:c r="K1150" s="12" t="n">
        <x:f>IF('患者配对'!W1264="positive",1,0)</x:f>
        <x:v>0</x:v>
      </x:c>
      <x:c r="L1150" s="12" t="str">
        <x:v>由原件与原状态取得；仅主队列索引</x:v>
      </x:c>
      <x:c r="M1150" s="12"/>
      <x:c r="N1150" s="12"/>
      <x:c r="O1150" s="12"/>
    </x:row>
    <x:row r="1151" ht="39" customHeight="1">
      <x:c r="A1151" s="12" t="str">
        <x:v>11601</x:v>
      </x:c>
      <x:c r="B1151" s="12" t="str">
        <x:v>18111</x:v>
      </x:c>
      <x:c r="C1151" s="12" t="str">
        <x:v>参考000</x:v>
      </x:c>
      <x:c r="D1151" s="12" t="str">
        <x:v>自动000</x:v>
      </x:c>
      <x:c r="E1151" s="12" t="n">
        <x:v>0</x:v>
      </x:c>
      <x:c r="F1151" s="12" t="n">
        <x:v>1</x:v>
      </x:c>
      <x:c r="G1151" s="12" t="n">
        <x:v>0</x:v>
      </x:c>
      <x:c r="H1151" s="12" t="n">
        <x:f>IF(SUM(I1151:K1151)&gt;0,1,0)</x:f>
        <x:v>0</x:v>
      </x:c>
      <x:c r="I1151" s="12" t="n">
        <x:f>IF('患者配对'!M1265="positive",1,0)</x:f>
        <x:v>0</x:v>
      </x:c>
      <x:c r="J1151" s="12" t="n">
        <x:f>IF('患者配对'!R1265="positive",1,0)</x:f>
        <x:v>0</x:v>
      </x:c>
      <x:c r="K1151" s="12" t="n">
        <x:f>IF('患者配对'!W1265="positive",1,0)</x:f>
        <x:v>0</x:v>
      </x:c>
      <x:c r="L1151" s="12" t="str">
        <x:v>由原件与原状态取得；仅主队列索引</x:v>
      </x:c>
      <x:c r="M1151" s="12"/>
      <x:c r="N1151" s="12"/>
      <x:c r="O1151" s="12"/>
    </x:row>
    <x:row r="1152" ht="39" customHeight="1">
      <x:c r="A1152" s="12" t="str">
        <x:v>11605</x:v>
      </x:c>
      <x:c r="B1152" s="12" t="str">
        <x:v>12255</x:v>
      </x:c>
      <x:c r="C1152" s="12" t="str">
        <x:v>参考000</x:v>
      </x:c>
      <x:c r="D1152" s="12" t="str">
        <x:v>自动000</x:v>
      </x:c>
      <x:c r="E1152" s="12" t="n">
        <x:v>0</x:v>
      </x:c>
      <x:c r="F1152" s="12" t="n">
        <x:v>0</x:v>
      </x:c>
      <x:c r="G1152" s="12" t="n">
        <x:v>0</x:v>
      </x:c>
      <x:c r="H1152" s="12" t="n">
        <x:f>IF(SUM(I1152:K1152)&gt;0,1,0)</x:f>
        <x:v>0</x:v>
      </x:c>
      <x:c r="I1152" s="12" t="n">
        <x:f>IF('患者配对'!M1266="positive",1,0)</x:f>
        <x:v>0</x:v>
      </x:c>
      <x:c r="J1152" s="12" t="n">
        <x:f>IF('患者配对'!R1266="positive",1,0)</x:f>
        <x:v>0</x:v>
      </x:c>
      <x:c r="K1152" s="12" t="n">
        <x:f>IF('患者配对'!W1266="positive",1,0)</x:f>
        <x:v>0</x:v>
      </x:c>
      <x:c r="L1152" s="12" t="str">
        <x:v>由原件与原状态取得；仅主队列索引</x:v>
      </x:c>
      <x:c r="M1152" s="12"/>
      <x:c r="N1152" s="12"/>
      <x:c r="O1152" s="12"/>
    </x:row>
    <x:row r="1153" ht="39" customHeight="1">
      <x:c r="A1153" s="12" t="str">
        <x:v>11616</x:v>
      </x:c>
      <x:c r="B1153" s="12" t="str">
        <x:v>10369</x:v>
      </x:c>
      <x:c r="C1153" s="12" t="str">
        <x:v>参考000</x:v>
      </x:c>
      <x:c r="D1153" s="12" t="str">
        <x:v>自动000</x:v>
      </x:c>
      <x:c r="E1153" s="12" t="n">
        <x:v>0</x:v>
      </x:c>
      <x:c r="F1153" s="12" t="n">
        <x:v>0</x:v>
      </x:c>
      <x:c r="G1153" s="12" t="n">
        <x:v>0</x:v>
      </x:c>
      <x:c r="H1153" s="12" t="n">
        <x:f>IF(SUM(I1153:K1153)&gt;0,1,0)</x:f>
        <x:v>0</x:v>
      </x:c>
      <x:c r="I1153" s="12" t="n">
        <x:f>IF('患者配对'!M1267="positive",1,0)</x:f>
        <x:v>0</x:v>
      </x:c>
      <x:c r="J1153" s="12" t="n">
        <x:f>IF('患者配对'!R1267="positive",1,0)</x:f>
        <x:v>0</x:v>
      </x:c>
      <x:c r="K1153" s="12" t="n">
        <x:f>IF('患者配对'!W1267="positive",1,0)</x:f>
        <x:v>0</x:v>
      </x:c>
      <x:c r="L1153" s="12" t="str">
        <x:v>由原件与原状态取得；仅主队列索引</x:v>
      </x:c>
      <x:c r="M1153" s="12"/>
      <x:c r="N1153" s="12"/>
      <x:c r="O1153" s="12"/>
    </x:row>
    <x:row r="1154" ht="39" customHeight="1">
      <x:c r="A1154" s="12" t="str">
        <x:v>11644</x:v>
      </x:c>
      <x:c r="B1154" s="12" t="str">
        <x:v>15762</x:v>
      </x:c>
      <x:c r="C1154" s="12" t="str">
        <x:v>参考000</x:v>
      </x:c>
      <x:c r="D1154" s="12" t="str">
        <x:v>自动000</x:v>
      </x:c>
      <x:c r="E1154" s="12" t="n">
        <x:v>0</x:v>
      </x:c>
      <x:c r="F1154" s="12" t="n">
        <x:v>0</x:v>
      </x:c>
      <x:c r="G1154" s="12" t="n">
        <x:v>0</x:v>
      </x:c>
      <x:c r="H1154" s="12" t="n">
        <x:f>IF(SUM(I1154:K1154)&gt;0,1,0)</x:f>
        <x:v>0</x:v>
      </x:c>
      <x:c r="I1154" s="12" t="n">
        <x:f>IF('患者配对'!M1268="positive",1,0)</x:f>
        <x:v>0</x:v>
      </x:c>
      <x:c r="J1154" s="12" t="n">
        <x:f>IF('患者配对'!R1268="positive",1,0)</x:f>
        <x:v>0</x:v>
      </x:c>
      <x:c r="K1154" s="12" t="n">
        <x:f>IF('患者配对'!W1268="positive",1,0)</x:f>
        <x:v>0</x:v>
      </x:c>
      <x:c r="L1154" s="12" t="str">
        <x:v>由原件与原状态取得；仅主队列索引</x:v>
      </x:c>
      <x:c r="M1154" s="12"/>
      <x:c r="N1154" s="12"/>
      <x:c r="O1154" s="12"/>
    </x:row>
    <x:row r="1155" ht="39" customHeight="1">
      <x:c r="A1155" s="12" t="str">
        <x:v>11664</x:v>
      </x:c>
      <x:c r="B1155" s="12" t="str">
        <x:v>11991</x:v>
      </x:c>
      <x:c r="C1155" s="12" t="str">
        <x:v>参考000</x:v>
      </x:c>
      <x:c r="D1155" s="12" t="str">
        <x:v>自动000</x:v>
      </x:c>
      <x:c r="E1155" s="12" t="n">
        <x:v>0</x:v>
      </x:c>
      <x:c r="F1155" s="12" t="n">
        <x:v>0</x:v>
      </x:c>
      <x:c r="G1155" s="12" t="n">
        <x:v>0</x:v>
      </x:c>
      <x:c r="H1155" s="12" t="n">
        <x:f>IF(SUM(I1155:K1155)&gt;0,1,0)</x:f>
        <x:v>0</x:v>
      </x:c>
      <x:c r="I1155" s="12" t="n">
        <x:f>IF('患者配对'!M1270="positive",1,0)</x:f>
        <x:v>0</x:v>
      </x:c>
      <x:c r="J1155" s="12" t="n">
        <x:f>IF('患者配对'!R1270="positive",1,0)</x:f>
        <x:v>0</x:v>
      </x:c>
      <x:c r="K1155" s="12" t="n">
        <x:f>IF('患者配对'!W1270="positive",1,0)</x:f>
        <x:v>0</x:v>
      </x:c>
      <x:c r="L1155" s="12" t="str">
        <x:v>由原件与原状态取得；仅主队列索引</x:v>
      </x:c>
      <x:c r="M1155" s="12"/>
      <x:c r="N1155" s="12"/>
      <x:c r="O1155" s="12"/>
    </x:row>
    <x:row r="1156" ht="39" customHeight="1">
      <x:c r="A1156" s="12" t="str">
        <x:v>11679</x:v>
      </x:c>
      <x:c r="B1156" s="12" t="str">
        <x:v>20141</x:v>
      </x:c>
      <x:c r="C1156" s="12" t="str">
        <x:v>参考000</x:v>
      </x:c>
      <x:c r="D1156" s="12" t="str">
        <x:v>自动000</x:v>
      </x:c>
      <x:c r="E1156" s="12" t="n">
        <x:v>0</x:v>
      </x:c>
      <x:c r="F1156" s="12" t="n">
        <x:v>0</x:v>
      </x:c>
      <x:c r="G1156" s="12" t="n">
        <x:v>0</x:v>
      </x:c>
      <x:c r="H1156" s="12" t="n">
        <x:f>IF(SUM(I1156:K1156)&gt;0,1,0)</x:f>
        <x:v>0</x:v>
      </x:c>
      <x:c r="I1156" s="12" t="n">
        <x:f>IF('患者配对'!M1271="positive",1,0)</x:f>
        <x:v>0</x:v>
      </x:c>
      <x:c r="J1156" s="12" t="n">
        <x:f>IF('患者配对'!R1271="positive",1,0)</x:f>
        <x:v>0</x:v>
      </x:c>
      <x:c r="K1156" s="12" t="n">
        <x:f>IF('患者配对'!W1271="positive",1,0)</x:f>
        <x:v>0</x:v>
      </x:c>
      <x:c r="L1156" s="12" t="str">
        <x:v>由原件与原状态取得；仅主队列索引</x:v>
      </x:c>
      <x:c r="M1156" s="12"/>
      <x:c r="N1156" s="12"/>
      <x:c r="O1156" s="12"/>
    </x:row>
    <x:row r="1157" ht="39" customHeight="1">
      <x:c r="A1157" s="12" t="str">
        <x:v>11681</x:v>
      </x:c>
      <x:c r="B1157" s="12" t="str">
        <x:v>10233</x:v>
      </x:c>
      <x:c r="C1157" s="12" t="str">
        <x:v>参考000</x:v>
      </x:c>
      <x:c r="D1157" s="12" t="str">
        <x:v>自动000</x:v>
      </x:c>
      <x:c r="E1157" s="12" t="n">
        <x:v>0</x:v>
      </x:c>
      <x:c r="F1157" s="12" t="n">
        <x:v>0</x:v>
      </x:c>
      <x:c r="G1157" s="12" t="n">
        <x:v>0</x:v>
      </x:c>
      <x:c r="H1157" s="12" t="n">
        <x:f>IF(SUM(I1157:K1157)&gt;0,1,0)</x:f>
        <x:v>0</x:v>
      </x:c>
      <x:c r="I1157" s="12" t="n">
        <x:f>IF('患者配对'!M1272="positive",1,0)</x:f>
        <x:v>0</x:v>
      </x:c>
      <x:c r="J1157" s="12" t="n">
        <x:f>IF('患者配对'!R1272="positive",1,0)</x:f>
        <x:v>0</x:v>
      </x:c>
      <x:c r="K1157" s="12" t="n">
        <x:f>IF('患者配对'!W1272="positive",1,0)</x:f>
        <x:v>0</x:v>
      </x:c>
      <x:c r="L1157" s="12" t="str">
        <x:v>由原件与原状态取得；仅主队列索引</x:v>
      </x:c>
      <x:c r="M1157" s="12"/>
      <x:c r="N1157" s="12"/>
      <x:c r="O1157" s="12"/>
    </x:row>
    <x:row r="1158" ht="39" customHeight="1">
      <x:c r="A1158" s="12" t="str">
        <x:v>11686</x:v>
      </x:c>
      <x:c r="B1158" s="12" t="str">
        <x:v>18058</x:v>
      </x:c>
      <x:c r="C1158" s="12" t="str">
        <x:v>参考100</x:v>
      </x:c>
      <x:c r="D1158" s="12" t="str">
        <x:v>自动100</x:v>
      </x:c>
      <x:c r="E1158" s="12" t="n">
        <x:v>1</x:v>
      </x:c>
      <x:c r="F1158" s="12" t="n">
        <x:v>1</x:v>
      </x:c>
      <x:c r="G1158" s="12" t="n">
        <x:v>0</x:v>
      </x:c>
      <x:c r="H1158" s="12" t="n">
        <x:f>IF(SUM(I1158:K1158)&gt;0,1,0)</x:f>
        <x:v>1</x:v>
      </x:c>
      <x:c r="I1158" s="12" t="n">
        <x:f>IF('患者配对'!M1273="positive",1,0)</x:f>
        <x:v>1</x:v>
      </x:c>
      <x:c r="J1158" s="12" t="n">
        <x:f>IF('患者配对'!R1273="positive",1,0)</x:f>
        <x:v>0</x:v>
      </x:c>
      <x:c r="K1158" s="12" t="n">
        <x:f>IF('患者配对'!W1273="positive",1,0)</x:f>
        <x:v>0</x:v>
      </x:c>
      <x:c r="L1158" s="12" t="str">
        <x:v>由原件与原状态取得；仅主队列索引</x:v>
      </x:c>
      <x:c r="M1158" s="12"/>
      <x:c r="N1158" s="12"/>
      <x:c r="O1158" s="12"/>
    </x:row>
    <x:row r="1159" ht="39" customHeight="1">
      <x:c r="A1159" s="12" t="str">
        <x:v>11705</x:v>
      </x:c>
      <x:c r="B1159" s="12" t="str">
        <x:v>8445</x:v>
      </x:c>
      <x:c r="C1159" s="12" t="str">
        <x:v>参考000</x:v>
      </x:c>
      <x:c r="D1159" s="12" t="str">
        <x:v>自动000</x:v>
      </x:c>
      <x:c r="E1159" s="12" t="n">
        <x:v>0</x:v>
      </x:c>
      <x:c r="F1159" s="12" t="n">
        <x:v>0</x:v>
      </x:c>
      <x:c r="G1159" s="12" t="n">
        <x:v>0</x:v>
      </x:c>
      <x:c r="H1159" s="12" t="n">
        <x:f>IF(SUM(I1159:K1159)&gt;0,1,0)</x:f>
        <x:v>0</x:v>
      </x:c>
      <x:c r="I1159" s="12" t="n">
        <x:f>IF('患者配对'!M1274="positive",1,0)</x:f>
        <x:v>0</x:v>
      </x:c>
      <x:c r="J1159" s="12" t="n">
        <x:f>IF('患者配对'!R1274="positive",1,0)</x:f>
        <x:v>0</x:v>
      </x:c>
      <x:c r="K1159" s="12" t="n">
        <x:f>IF('患者配对'!W1274="positive",1,0)</x:f>
        <x:v>0</x:v>
      </x:c>
      <x:c r="L1159" s="12" t="str">
        <x:v>由原件与原状态取得；仅主队列索引</x:v>
      </x:c>
      <x:c r="M1159" s="12"/>
      <x:c r="N1159" s="12"/>
      <x:c r="O1159" s="12"/>
    </x:row>
    <x:row r="1160" ht="39" customHeight="1">
      <x:c r="A1160" s="12" t="str">
        <x:v>11711</x:v>
      </x:c>
      <x:c r="B1160" s="12" t="str">
        <x:v>8762</x:v>
      </x:c>
      <x:c r="C1160" s="12" t="str">
        <x:v>参考000</x:v>
      </x:c>
      <x:c r="D1160" s="12" t="str">
        <x:v>自动000</x:v>
      </x:c>
      <x:c r="E1160" s="12" t="n">
        <x:v>0</x:v>
      </x:c>
      <x:c r="F1160" s="12" t="n">
        <x:v>0</x:v>
      </x:c>
      <x:c r="G1160" s="12" t="n">
        <x:v>0</x:v>
      </x:c>
      <x:c r="H1160" s="12" t="n">
        <x:f>IF(SUM(I1160:K1160)&gt;0,1,0)</x:f>
        <x:v>0</x:v>
      </x:c>
      <x:c r="I1160" s="12" t="n">
        <x:f>IF('患者配对'!M1275="positive",1,0)</x:f>
        <x:v>0</x:v>
      </x:c>
      <x:c r="J1160" s="12" t="n">
        <x:f>IF('患者配对'!R1275="positive",1,0)</x:f>
        <x:v>0</x:v>
      </x:c>
      <x:c r="K1160" s="12" t="n">
        <x:f>IF('患者配对'!W1275="positive",1,0)</x:f>
        <x:v>0</x:v>
      </x:c>
      <x:c r="L1160" s="12" t="str">
        <x:v>由原件与原状态取得；仅主队列索引</x:v>
      </x:c>
      <x:c r="M1160" s="12"/>
      <x:c r="N1160" s="12"/>
      <x:c r="O1160" s="12"/>
    </x:row>
    <x:row r="1161" ht="39" customHeight="1">
      <x:c r="A1161" s="12" t="str">
        <x:v>11723</x:v>
      </x:c>
      <x:c r="B1161" s="12" t="str">
        <x:v>19518</x:v>
      </x:c>
      <x:c r="C1161" s="12" t="str">
        <x:v>参考000</x:v>
      </x:c>
      <x:c r="D1161" s="12" t="str">
        <x:v>自动000</x:v>
      </x:c>
      <x:c r="E1161" s="12" t="n">
        <x:v>0</x:v>
      </x:c>
      <x:c r="F1161" s="12" t="n">
        <x:v>1</x:v>
      </x:c>
      <x:c r="G1161" s="12" t="n">
        <x:v>0</x:v>
      </x:c>
      <x:c r="H1161" s="12" t="n">
        <x:f>IF(SUM(I1161:K1161)&gt;0,1,0)</x:f>
        <x:v>0</x:v>
      </x:c>
      <x:c r="I1161" s="12" t="n">
        <x:f>IF('患者配对'!M1276="positive",1,0)</x:f>
        <x:v>0</x:v>
      </x:c>
      <x:c r="J1161" s="12" t="n">
        <x:f>IF('患者配对'!R1276="positive",1,0)</x:f>
        <x:v>0</x:v>
      </x:c>
      <x:c r="K1161" s="12" t="n">
        <x:f>IF('患者配对'!W1276="positive",1,0)</x:f>
        <x:v>0</x:v>
      </x:c>
      <x:c r="L1161" s="12" t="str">
        <x:v>由原件与原状态取得；仅主队列索引</x:v>
      </x:c>
      <x:c r="M1161" s="12"/>
      <x:c r="N1161" s="12"/>
      <x:c r="O1161" s="12"/>
    </x:row>
    <x:row r="1162" ht="39" customHeight="1">
      <x:c r="A1162" s="12" t="str">
        <x:v>11727</x:v>
      </x:c>
      <x:c r="B1162" s="12" t="str">
        <x:v>18670</x:v>
      </x:c>
      <x:c r="C1162" s="12" t="str">
        <x:v>参考000</x:v>
      </x:c>
      <x:c r="D1162" s="12" t="str">
        <x:v>自动000</x:v>
      </x:c>
      <x:c r="E1162" s="12" t="n">
        <x:v>0</x:v>
      </x:c>
      <x:c r="F1162" s="12" t="n">
        <x:v>0</x:v>
      </x:c>
      <x:c r="G1162" s="12" t="n">
        <x:v>0</x:v>
      </x:c>
      <x:c r="H1162" s="12" t="n">
        <x:f>IF(SUM(I1162:K1162)&gt;0,1,0)</x:f>
        <x:v>0</x:v>
      </x:c>
      <x:c r="I1162" s="12" t="n">
        <x:f>IF('患者配对'!M1277="positive",1,0)</x:f>
        <x:v>0</x:v>
      </x:c>
      <x:c r="J1162" s="12" t="n">
        <x:f>IF('患者配对'!R1277="positive",1,0)</x:f>
        <x:v>0</x:v>
      </x:c>
      <x:c r="K1162" s="12" t="n">
        <x:f>IF('患者配对'!W1277="positive",1,0)</x:f>
        <x:v>0</x:v>
      </x:c>
      <x:c r="L1162" s="12" t="str">
        <x:v>由原件与原状态取得；仅主队列索引</x:v>
      </x:c>
      <x:c r="M1162" s="12"/>
      <x:c r="N1162" s="12"/>
      <x:c r="O1162" s="12"/>
    </x:row>
    <x:row r="1163" ht="39" customHeight="1">
      <x:c r="A1163" s="12" t="str">
        <x:v>11738</x:v>
      </x:c>
      <x:c r="B1163" s="12" t="str">
        <x:v>4169</x:v>
      </x:c>
      <x:c r="C1163" s="12" t="str">
        <x:v>参考000</x:v>
      </x:c>
      <x:c r="D1163" s="12" t="str">
        <x:v>自动000</x:v>
      </x:c>
      <x:c r="E1163" s="12" t="n">
        <x:v>0</x:v>
      </x:c>
      <x:c r="F1163" s="12" t="n">
        <x:v>0</x:v>
      </x:c>
      <x:c r="G1163" s="12" t="n">
        <x:v>0</x:v>
      </x:c>
      <x:c r="H1163" s="12" t="n">
        <x:f>IF(SUM(I1163:K1163)&gt;0,1,0)</x:f>
        <x:v>0</x:v>
      </x:c>
      <x:c r="I1163" s="12" t="n">
        <x:f>IF('患者配对'!M1278="positive",1,0)</x:f>
        <x:v>0</x:v>
      </x:c>
      <x:c r="J1163" s="12" t="n">
        <x:f>IF('患者配对'!R1278="positive",1,0)</x:f>
        <x:v>0</x:v>
      </x:c>
      <x:c r="K1163" s="12" t="n">
        <x:f>IF('患者配对'!W1278="positive",1,0)</x:f>
        <x:v>0</x:v>
      </x:c>
      <x:c r="L1163" s="12" t="str">
        <x:v>由原件与原状态取得；仅主队列索引</x:v>
      </x:c>
      <x:c r="M1163" s="12"/>
      <x:c r="N1163" s="12"/>
      <x:c r="O1163" s="12"/>
    </x:row>
    <x:row r="1164" ht="39" customHeight="1">
      <x:c r="A1164" s="12" t="str">
        <x:v>11739</x:v>
      </x:c>
      <x:c r="B1164" s="12" t="str">
        <x:v>19038</x:v>
      </x:c>
      <x:c r="C1164" s="12" t="str">
        <x:v>参考000</x:v>
      </x:c>
      <x:c r="D1164" s="12" t="str">
        <x:v>自动000</x:v>
      </x:c>
      <x:c r="E1164" s="12" t="n">
        <x:v>0</x:v>
      </x:c>
      <x:c r="F1164" s="12" t="n">
        <x:v>0</x:v>
      </x:c>
      <x:c r="G1164" s="12" t="n">
        <x:v>0</x:v>
      </x:c>
      <x:c r="H1164" s="12" t="n">
        <x:f>IF(SUM(I1164:K1164)&gt;0,1,0)</x:f>
        <x:v>0</x:v>
      </x:c>
      <x:c r="I1164" s="12" t="n">
        <x:f>IF('患者配对'!M1279="positive",1,0)</x:f>
        <x:v>0</x:v>
      </x:c>
      <x:c r="J1164" s="12" t="n">
        <x:f>IF('患者配对'!R1279="positive",1,0)</x:f>
        <x:v>0</x:v>
      </x:c>
      <x:c r="K1164" s="12" t="n">
        <x:f>IF('患者配对'!W1279="positive",1,0)</x:f>
        <x:v>0</x:v>
      </x:c>
      <x:c r="L1164" s="12" t="str">
        <x:v>由原件与原状态取得；仅主队列索引</x:v>
      </x:c>
      <x:c r="M1164" s="12"/>
      <x:c r="N1164" s="12"/>
      <x:c r="O1164" s="12"/>
    </x:row>
    <x:row r="1165" ht="39" customHeight="1">
      <x:c r="A1165" s="12" t="str">
        <x:v>11755</x:v>
      </x:c>
      <x:c r="B1165" s="12" t="str">
        <x:v>15631</x:v>
      </x:c>
      <x:c r="C1165" s="12" t="str">
        <x:v>参考100</x:v>
      </x:c>
      <x:c r="D1165" s="12" t="str">
        <x:v>自动100</x:v>
      </x:c>
      <x:c r="E1165" s="12" t="n">
        <x:v>1</x:v>
      </x:c>
      <x:c r="F1165" s="12" t="n">
        <x:v>1</x:v>
      </x:c>
      <x:c r="G1165" s="12" t="n">
        <x:v>0</x:v>
      </x:c>
      <x:c r="H1165" s="12" t="n">
        <x:f>IF(SUM(I1165:K1165)&gt;0,1,0)</x:f>
        <x:v>1</x:v>
      </x:c>
      <x:c r="I1165" s="12" t="n">
        <x:f>IF('患者配对'!M1280="positive",1,0)</x:f>
        <x:v>1</x:v>
      </x:c>
      <x:c r="J1165" s="12" t="n">
        <x:f>IF('患者配对'!R1280="positive",1,0)</x:f>
        <x:v>0</x:v>
      </x:c>
      <x:c r="K1165" s="12" t="n">
        <x:f>IF('患者配对'!W1280="positive",1,0)</x:f>
        <x:v>0</x:v>
      </x:c>
      <x:c r="L1165" s="12" t="str">
        <x:v>由原件与原状态取得；仅主队列索引</x:v>
      </x:c>
      <x:c r="M1165" s="12"/>
      <x:c r="N1165" s="12"/>
      <x:c r="O1165" s="12"/>
    </x:row>
    <x:row r="1166" ht="39" customHeight="1">
      <x:c r="A1166" s="12" t="str">
        <x:v>11758</x:v>
      </x:c>
      <x:c r="B1166" s="12" t="str">
        <x:v>6276</x:v>
      </x:c>
      <x:c r="C1166" s="12" t="str">
        <x:v>参考000</x:v>
      </x:c>
      <x:c r="D1166" s="12" t="str">
        <x:v>自动000</x:v>
      </x:c>
      <x:c r="E1166" s="12" t="n">
        <x:v>0</x:v>
      </x:c>
      <x:c r="F1166" s="12" t="n">
        <x:v>0</x:v>
      </x:c>
      <x:c r="G1166" s="12" t="n">
        <x:v>0</x:v>
      </x:c>
      <x:c r="H1166" s="12" t="n">
        <x:f>IF(SUM(I1166:K1166)&gt;0,1,0)</x:f>
        <x:v>0</x:v>
      </x:c>
      <x:c r="I1166" s="12" t="n">
        <x:f>IF('患者配对'!M1281="positive",1,0)</x:f>
        <x:v>0</x:v>
      </x:c>
      <x:c r="J1166" s="12" t="n">
        <x:f>IF('患者配对'!R1281="positive",1,0)</x:f>
        <x:v>0</x:v>
      </x:c>
      <x:c r="K1166" s="12" t="n">
        <x:f>IF('患者配对'!W1281="positive",1,0)</x:f>
        <x:v>0</x:v>
      </x:c>
      <x:c r="L1166" s="12" t="str">
        <x:v>由原件与原状态取得；仅主队列索引</x:v>
      </x:c>
      <x:c r="M1166" s="12"/>
      <x:c r="N1166" s="12"/>
      <x:c r="O1166" s="12"/>
    </x:row>
    <x:row r="1167" ht="39" customHeight="1">
      <x:c r="A1167" s="12" t="str">
        <x:v>11788</x:v>
      </x:c>
      <x:c r="B1167" s="12" t="str">
        <x:v>16870</x:v>
      </x:c>
      <x:c r="C1167" s="12" t="str">
        <x:v>参考000</x:v>
      </x:c>
      <x:c r="D1167" s="12" t="str">
        <x:v>自动000</x:v>
      </x:c>
      <x:c r="E1167" s="12" t="n">
        <x:v>0</x:v>
      </x:c>
      <x:c r="F1167" s="12" t="n">
        <x:v>0</x:v>
      </x:c>
      <x:c r="G1167" s="12" t="n">
        <x:v>0</x:v>
      </x:c>
      <x:c r="H1167" s="12" t="n">
        <x:f>IF(SUM(I1167:K1167)&gt;0,1,0)</x:f>
        <x:v>0</x:v>
      </x:c>
      <x:c r="I1167" s="12" t="n">
        <x:f>IF('患者配对'!M1282="positive",1,0)</x:f>
        <x:v>0</x:v>
      </x:c>
      <x:c r="J1167" s="12" t="n">
        <x:f>IF('患者配对'!R1282="positive",1,0)</x:f>
        <x:v>0</x:v>
      </x:c>
      <x:c r="K1167" s="12" t="n">
        <x:f>IF('患者配对'!W1282="positive",1,0)</x:f>
        <x:v>0</x:v>
      </x:c>
      <x:c r="L1167" s="12" t="str">
        <x:v>由原件与原状态取得；仅主队列索引</x:v>
      </x:c>
      <x:c r="M1167" s="12"/>
      <x:c r="N1167" s="12"/>
      <x:c r="O1167" s="12"/>
    </x:row>
    <x:row r="1168" ht="39" customHeight="1">
      <x:c r="A1168" s="12" t="str">
        <x:v>11789</x:v>
      </x:c>
      <x:c r="B1168" s="12" t="str">
        <x:v>8503</x:v>
      </x:c>
      <x:c r="C1168" s="12" t="str">
        <x:v>参考000</x:v>
      </x:c>
      <x:c r="D1168" s="12" t="str">
        <x:v>自动000</x:v>
      </x:c>
      <x:c r="E1168" s="12" t="n">
        <x:v>0</x:v>
      </x:c>
      <x:c r="F1168" s="12" t="n">
        <x:v>1</x:v>
      </x:c>
      <x:c r="G1168" s="12" t="n">
        <x:v>0</x:v>
      </x:c>
      <x:c r="H1168" s="12" t="n">
        <x:f>IF(SUM(I1168:K1168)&gt;0,1,0)</x:f>
        <x:v>0</x:v>
      </x:c>
      <x:c r="I1168" s="12" t="n">
        <x:f>IF('患者配对'!M1283="positive",1,0)</x:f>
        <x:v>0</x:v>
      </x:c>
      <x:c r="J1168" s="12" t="n">
        <x:f>IF('患者配对'!R1283="positive",1,0)</x:f>
        <x:v>0</x:v>
      </x:c>
      <x:c r="K1168" s="12" t="n">
        <x:f>IF('患者配对'!W1283="positive",1,0)</x:f>
        <x:v>0</x:v>
      </x:c>
      <x:c r="L1168" s="12" t="str">
        <x:v>由原件与原状态取得；仅主队列索引</x:v>
      </x:c>
      <x:c r="M1168" s="12"/>
      <x:c r="N1168" s="12"/>
      <x:c r="O1168" s="12"/>
    </x:row>
    <x:row r="1169" ht="39" customHeight="1">
      <x:c r="A1169" s="12" t="str">
        <x:v>11799</x:v>
      </x:c>
      <x:c r="B1169" s="12" t="str">
        <x:v>17249</x:v>
      </x:c>
      <x:c r="C1169" s="12" t="str">
        <x:v>参考000</x:v>
      </x:c>
      <x:c r="D1169" s="12" t="str">
        <x:v>自动000</x:v>
      </x:c>
      <x:c r="E1169" s="12" t="n">
        <x:v>0</x:v>
      </x:c>
      <x:c r="F1169" s="12" t="n">
        <x:v>0</x:v>
      </x:c>
      <x:c r="G1169" s="12" t="n">
        <x:v>0</x:v>
      </x:c>
      <x:c r="H1169" s="12" t="n">
        <x:f>IF(SUM(I1169:K1169)&gt;0,1,0)</x:f>
        <x:v>0</x:v>
      </x:c>
      <x:c r="I1169" s="12" t="n">
        <x:f>IF('患者配对'!M1284="positive",1,0)</x:f>
        <x:v>0</x:v>
      </x:c>
      <x:c r="J1169" s="12" t="n">
        <x:f>IF('患者配对'!R1284="positive",1,0)</x:f>
        <x:v>0</x:v>
      </x:c>
      <x:c r="K1169" s="12" t="n">
        <x:f>IF('患者配对'!W1284="positive",1,0)</x:f>
        <x:v>0</x:v>
      </x:c>
      <x:c r="L1169" s="12" t="str">
        <x:v>由原件与原状态取得；仅主队列索引</x:v>
      </x:c>
      <x:c r="M1169" s="12"/>
      <x:c r="N1169" s="12"/>
      <x:c r="O1169" s="12"/>
    </x:row>
    <x:row r="1170" ht="39" customHeight="1">
      <x:c r="A1170" s="12" t="str">
        <x:v>11802</x:v>
      </x:c>
      <x:c r="B1170" s="12" t="str">
        <x:v>11015</x:v>
      </x:c>
      <x:c r="C1170" s="12" t="str">
        <x:v>参考000</x:v>
      </x:c>
      <x:c r="D1170" s="12" t="str">
        <x:v>自动000</x:v>
      </x:c>
      <x:c r="E1170" s="12" t="n">
        <x:v>0</x:v>
      </x:c>
      <x:c r="F1170" s="12" t="n">
        <x:v>1</x:v>
      </x:c>
      <x:c r="G1170" s="12" t="n">
        <x:v>0</x:v>
      </x:c>
      <x:c r="H1170" s="12" t="n">
        <x:f>IF(SUM(I1170:K1170)&gt;0,1,0)</x:f>
        <x:v>0</x:v>
      </x:c>
      <x:c r="I1170" s="12" t="n">
        <x:f>IF('患者配对'!M1285="positive",1,0)</x:f>
        <x:v>0</x:v>
      </x:c>
      <x:c r="J1170" s="12" t="n">
        <x:f>IF('患者配对'!R1285="positive",1,0)</x:f>
        <x:v>0</x:v>
      </x:c>
      <x:c r="K1170" s="12" t="n">
        <x:f>IF('患者配对'!W1285="positive",1,0)</x:f>
        <x:v>0</x:v>
      </x:c>
      <x:c r="L1170" s="12" t="str">
        <x:v>由原件与原状态取得；仅主队列索引</x:v>
      </x:c>
      <x:c r="M1170" s="12"/>
      <x:c r="N1170" s="12"/>
      <x:c r="O1170" s="12"/>
    </x:row>
    <x:row r="1171" ht="39" customHeight="1">
      <x:c r="A1171" s="12" t="str">
        <x:v>11803</x:v>
      </x:c>
      <x:c r="B1171" s="12" t="str">
        <x:v>13455</x:v>
      </x:c>
      <x:c r="C1171" s="12" t="str">
        <x:v>参考000</x:v>
      </x:c>
      <x:c r="D1171" s="12" t="str">
        <x:v>自动000</x:v>
      </x:c>
      <x:c r="E1171" s="12" t="n">
        <x:v>0</x:v>
      </x:c>
      <x:c r="F1171" s="12" t="n">
        <x:v>1</x:v>
      </x:c>
      <x:c r="G1171" s="12" t="n">
        <x:v>0</x:v>
      </x:c>
      <x:c r="H1171" s="12" t="n">
        <x:f>IF(SUM(I1171:K1171)&gt;0,1,0)</x:f>
        <x:v>0</x:v>
      </x:c>
      <x:c r="I1171" s="12" t="n">
        <x:f>IF('患者配对'!M1286="positive",1,0)</x:f>
        <x:v>0</x:v>
      </x:c>
      <x:c r="J1171" s="12" t="n">
        <x:f>IF('患者配对'!R1286="positive",1,0)</x:f>
        <x:v>0</x:v>
      </x:c>
      <x:c r="K1171" s="12" t="n">
        <x:f>IF('患者配对'!W1286="positive",1,0)</x:f>
        <x:v>0</x:v>
      </x:c>
      <x:c r="L1171" s="12" t="str">
        <x:v>由原件与原状态取得；仅主队列索引</x:v>
      </x:c>
      <x:c r="M1171" s="12"/>
      <x:c r="N1171" s="12"/>
      <x:c r="O1171" s="12"/>
    </x:row>
    <x:row r="1172" ht="39" customHeight="1">
      <x:c r="A1172" s="12" t="str">
        <x:v>11832</x:v>
      </x:c>
      <x:c r="B1172" s="12" t="str">
        <x:v>17190</x:v>
      </x:c>
      <x:c r="C1172" s="12" t="str">
        <x:v>参考000</x:v>
      </x:c>
      <x:c r="D1172" s="12" t="str">
        <x:v>自动000</x:v>
      </x:c>
      <x:c r="E1172" s="12" t="n">
        <x:v>0</x:v>
      </x:c>
      <x:c r="F1172" s="12" t="n">
        <x:v>0</x:v>
      </x:c>
      <x:c r="G1172" s="12" t="n">
        <x:v>0</x:v>
      </x:c>
      <x:c r="H1172" s="12" t="n">
        <x:f>IF(SUM(I1172:K1172)&gt;0,1,0)</x:f>
        <x:v>0</x:v>
      </x:c>
      <x:c r="I1172" s="12" t="n">
        <x:f>IF('患者配对'!M1288="positive",1,0)</x:f>
        <x:v>0</x:v>
      </x:c>
      <x:c r="J1172" s="12" t="n">
        <x:f>IF('患者配对'!R1288="positive",1,0)</x:f>
        <x:v>0</x:v>
      </x:c>
      <x:c r="K1172" s="12" t="n">
        <x:f>IF('患者配对'!W1288="positive",1,0)</x:f>
        <x:v>0</x:v>
      </x:c>
      <x:c r="L1172" s="12" t="str">
        <x:v>由原件与原状态取得；仅主队列索引</x:v>
      </x:c>
      <x:c r="M1172" s="12"/>
      <x:c r="N1172" s="12"/>
      <x:c r="O1172" s="12"/>
    </x:row>
    <x:row r="1173" ht="39" customHeight="1">
      <x:c r="A1173" s="12" t="str">
        <x:v>11834</x:v>
      </x:c>
      <x:c r="B1173" s="12" t="str">
        <x:v>4988</x:v>
      </x:c>
      <x:c r="C1173" s="12" t="str">
        <x:v>参考000</x:v>
      </x:c>
      <x:c r="D1173" s="12" t="str">
        <x:v>自动000</x:v>
      </x:c>
      <x:c r="E1173" s="12" t="n">
        <x:v>0</x:v>
      </x:c>
      <x:c r="F1173" s="12" t="n">
        <x:v>0</x:v>
      </x:c>
      <x:c r="G1173" s="12" t="n">
        <x:v>0</x:v>
      </x:c>
      <x:c r="H1173" s="12" t="n">
        <x:f>IF(SUM(I1173:K1173)&gt;0,1,0)</x:f>
        <x:v>0</x:v>
      </x:c>
      <x:c r="I1173" s="12" t="n">
        <x:f>IF('患者配对'!M1289="positive",1,0)</x:f>
        <x:v>0</x:v>
      </x:c>
      <x:c r="J1173" s="12" t="n">
        <x:f>IF('患者配对'!R1289="positive",1,0)</x:f>
        <x:v>0</x:v>
      </x:c>
      <x:c r="K1173" s="12" t="n">
        <x:f>IF('患者配对'!W1289="positive",1,0)</x:f>
        <x:v>0</x:v>
      </x:c>
      <x:c r="L1173" s="12" t="str">
        <x:v>由原件与原状态取得；仅主队列索引</x:v>
      </x:c>
      <x:c r="M1173" s="12"/>
      <x:c r="N1173" s="12"/>
      <x:c r="O1173" s="12"/>
    </x:row>
    <x:row r="1174" ht="39" customHeight="1">
      <x:c r="A1174" s="12" t="str">
        <x:v>11842</x:v>
      </x:c>
      <x:c r="B1174" s="12" t="str">
        <x:v>13781</x:v>
      </x:c>
      <x:c r="C1174" s="12" t="str">
        <x:v>参考000</x:v>
      </x:c>
      <x:c r="D1174" s="12" t="str">
        <x:v>自动000</x:v>
      </x:c>
      <x:c r="E1174" s="12" t="n">
        <x:v>0</x:v>
      </x:c>
      <x:c r="F1174" s="12" t="n">
        <x:v>0</x:v>
      </x:c>
      <x:c r="G1174" s="12" t="n">
        <x:v>0</x:v>
      </x:c>
      <x:c r="H1174" s="12" t="n">
        <x:f>IF(SUM(I1174:K1174)&gt;0,1,0)</x:f>
        <x:v>0</x:v>
      </x:c>
      <x:c r="I1174" s="12" t="n">
        <x:f>IF('患者配对'!M1290="positive",1,0)</x:f>
        <x:v>0</x:v>
      </x:c>
      <x:c r="J1174" s="12" t="n">
        <x:f>IF('患者配对'!R1290="positive",1,0)</x:f>
        <x:v>0</x:v>
      </x:c>
      <x:c r="K1174" s="12" t="n">
        <x:f>IF('患者配对'!W1290="positive",1,0)</x:f>
        <x:v>0</x:v>
      </x:c>
      <x:c r="L1174" s="12" t="str">
        <x:v>由原件与原状态取得；仅主队列索引</x:v>
      </x:c>
      <x:c r="M1174" s="12"/>
      <x:c r="N1174" s="12"/>
      <x:c r="O1174" s="12"/>
    </x:row>
    <x:row r="1175" ht="39" customHeight="1">
      <x:c r="A1175" s="12" t="str">
        <x:v>11853</x:v>
      </x:c>
      <x:c r="B1175" s="12" t="str">
        <x:v>1024</x:v>
      </x:c>
      <x:c r="C1175" s="12" t="str">
        <x:v>参考000</x:v>
      </x:c>
      <x:c r="D1175" s="12" t="str">
        <x:v>自动000</x:v>
      </x:c>
      <x:c r="E1175" s="12" t="n">
        <x:v>0</x:v>
      </x:c>
      <x:c r="F1175" s="12" t="n">
        <x:v>1</x:v>
      </x:c>
      <x:c r="G1175" s="12" t="n">
        <x:v>0</x:v>
      </x:c>
      <x:c r="H1175" s="12" t="n">
        <x:f>IF(SUM(I1175:K1175)&gt;0,1,0)</x:f>
        <x:v>0</x:v>
      </x:c>
      <x:c r="I1175" s="12" t="n">
        <x:f>IF('患者配对'!M1292="positive",1,0)</x:f>
        <x:v>0</x:v>
      </x:c>
      <x:c r="J1175" s="12" t="n">
        <x:f>IF('患者配对'!R1292="positive",1,0)</x:f>
        <x:v>0</x:v>
      </x:c>
      <x:c r="K1175" s="12" t="n">
        <x:f>IF('患者配对'!W1292="positive",1,0)</x:f>
        <x:v>0</x:v>
      </x:c>
      <x:c r="L1175" s="12" t="str">
        <x:v>由原件与原状态取得；仅主队列索引</x:v>
      </x:c>
      <x:c r="M1175" s="12"/>
      <x:c r="N1175" s="12"/>
      <x:c r="O1175" s="12"/>
    </x:row>
    <x:row r="1176" ht="39" customHeight="1">
      <x:c r="A1176" s="12" t="str">
        <x:v>11855</x:v>
      </x:c>
      <x:c r="B1176" s="12" t="str">
        <x:v>8288</x:v>
      </x:c>
      <x:c r="C1176" s="12" t="str">
        <x:v>参考000</x:v>
      </x:c>
      <x:c r="D1176" s="12" t="str">
        <x:v>自动000</x:v>
      </x:c>
      <x:c r="E1176" s="12" t="n">
        <x:v>0</x:v>
      </x:c>
      <x:c r="F1176" s="12" t="n">
        <x:v>0</x:v>
      </x:c>
      <x:c r="G1176" s="12" t="n">
        <x:v>0</x:v>
      </x:c>
      <x:c r="H1176" s="12" t="n">
        <x:f>IF(SUM(I1176:K1176)&gt;0,1,0)</x:f>
        <x:v>0</x:v>
      </x:c>
      <x:c r="I1176" s="12" t="n">
        <x:f>IF('患者配对'!M1293="positive",1,0)</x:f>
        <x:v>0</x:v>
      </x:c>
      <x:c r="J1176" s="12" t="n">
        <x:f>IF('患者配对'!R1293="positive",1,0)</x:f>
        <x:v>0</x:v>
      </x:c>
      <x:c r="K1176" s="12" t="n">
        <x:f>IF('患者配对'!W1293="positive",1,0)</x:f>
        <x:v>0</x:v>
      </x:c>
      <x:c r="L1176" s="12" t="str">
        <x:v>由原件与原状态取得；仅主队列索引</x:v>
      </x:c>
      <x:c r="M1176" s="12"/>
      <x:c r="N1176" s="12"/>
      <x:c r="O1176" s="12"/>
    </x:row>
    <x:row r="1177" ht="39" customHeight="1">
      <x:c r="A1177" s="12" t="str">
        <x:v>11868</x:v>
      </x:c>
      <x:c r="B1177" s="12" t="str">
        <x:v>16795</x:v>
      </x:c>
      <x:c r="C1177" s="12" t="str">
        <x:v>参考000</x:v>
      </x:c>
      <x:c r="D1177" s="12" t="str">
        <x:v>自动000</x:v>
      </x:c>
      <x:c r="E1177" s="12" t="n">
        <x:v>0</x:v>
      </x:c>
      <x:c r="F1177" s="12" t="n">
        <x:v>1</x:v>
      </x:c>
      <x:c r="G1177" s="12" t="n">
        <x:v>0</x:v>
      </x:c>
      <x:c r="H1177" s="12" t="n">
        <x:f>IF(SUM(I1177:K1177)&gt;0,1,0)</x:f>
        <x:v>0</x:v>
      </x:c>
      <x:c r="I1177" s="12" t="n">
        <x:f>IF('患者配对'!M1294="positive",1,0)</x:f>
        <x:v>0</x:v>
      </x:c>
      <x:c r="J1177" s="12" t="n">
        <x:f>IF('患者配对'!R1294="positive",1,0)</x:f>
        <x:v>0</x:v>
      </x:c>
      <x:c r="K1177" s="12" t="n">
        <x:f>IF('患者配对'!W1294="positive",1,0)</x:f>
        <x:v>0</x:v>
      </x:c>
      <x:c r="L1177" s="12" t="str">
        <x:v>由原件与原状态取得；仅主队列索引</x:v>
      </x:c>
      <x:c r="M1177" s="12"/>
      <x:c r="N1177" s="12"/>
      <x:c r="O1177" s="12"/>
    </x:row>
    <x:row r="1178" ht="39" customHeight="1">
      <x:c r="A1178" s="12" t="str">
        <x:v>11872</x:v>
      </x:c>
      <x:c r="B1178" s="12" t="str">
        <x:v>15943</x:v>
      </x:c>
      <x:c r="C1178" s="12" t="str">
        <x:v>参考000</x:v>
      </x:c>
      <x:c r="D1178" s="12" t="str">
        <x:v>自动000</x:v>
      </x:c>
      <x:c r="E1178" s="12" t="n">
        <x:v>0</x:v>
      </x:c>
      <x:c r="F1178" s="12" t="n">
        <x:v>0</x:v>
      </x:c>
      <x:c r="G1178" s="12" t="n">
        <x:v>0</x:v>
      </x:c>
      <x:c r="H1178" s="12" t="n">
        <x:f>IF(SUM(I1178:K1178)&gt;0,1,0)</x:f>
        <x:v>0</x:v>
      </x:c>
      <x:c r="I1178" s="12" t="n">
        <x:f>IF('患者配对'!M1295="positive",1,0)</x:f>
        <x:v>0</x:v>
      </x:c>
      <x:c r="J1178" s="12" t="n">
        <x:f>IF('患者配对'!R1295="positive",1,0)</x:f>
        <x:v>0</x:v>
      </x:c>
      <x:c r="K1178" s="12" t="n">
        <x:f>IF('患者配对'!W1295="positive",1,0)</x:f>
        <x:v>0</x:v>
      </x:c>
      <x:c r="L1178" s="12" t="str">
        <x:v>由原件与原状态取得；仅主队列索引</x:v>
      </x:c>
      <x:c r="M1178" s="12"/>
      <x:c r="N1178" s="12"/>
      <x:c r="O1178" s="12"/>
    </x:row>
    <x:row r="1179" ht="39" customHeight="1">
      <x:c r="A1179" s="12" t="str">
        <x:v>11884</x:v>
      </x:c>
      <x:c r="B1179" s="12" t="str">
        <x:v>16698</x:v>
      </x:c>
      <x:c r="C1179" s="12" t="str">
        <x:v>参考000</x:v>
      </x:c>
      <x:c r="D1179" s="12" t="str">
        <x:v>自动000</x:v>
      </x:c>
      <x:c r="E1179" s="12" t="n">
        <x:v>0</x:v>
      </x:c>
      <x:c r="F1179" s="12" t="n">
        <x:v>0</x:v>
      </x:c>
      <x:c r="G1179" s="12" t="n">
        <x:v>0</x:v>
      </x:c>
      <x:c r="H1179" s="12" t="n">
        <x:f>IF(SUM(I1179:K1179)&gt;0,1,0)</x:f>
        <x:v>0</x:v>
      </x:c>
      <x:c r="I1179" s="12" t="n">
        <x:f>IF('患者配对'!M1296="positive",1,0)</x:f>
        <x:v>0</x:v>
      </x:c>
      <x:c r="J1179" s="12" t="n">
        <x:f>IF('患者配对'!R1296="positive",1,0)</x:f>
        <x:v>0</x:v>
      </x:c>
      <x:c r="K1179" s="12" t="n">
        <x:f>IF('患者配对'!W1296="positive",1,0)</x:f>
        <x:v>0</x:v>
      </x:c>
      <x:c r="L1179" s="12" t="str">
        <x:v>由原件与原状态取得；仅主队列索引</x:v>
      </x:c>
      <x:c r="M1179" s="12"/>
      <x:c r="N1179" s="12"/>
      <x:c r="O1179" s="12"/>
    </x:row>
    <x:row r="1180" ht="39" customHeight="1">
      <x:c r="A1180" s="12" t="str">
        <x:v>11885</x:v>
      </x:c>
      <x:c r="B1180" s="12" t="str">
        <x:v>8628</x:v>
      </x:c>
      <x:c r="C1180" s="12" t="str">
        <x:v>参考000</x:v>
      </x:c>
      <x:c r="D1180" s="12" t="str">
        <x:v>自动000</x:v>
      </x:c>
      <x:c r="E1180" s="12" t="n">
        <x:v>0</x:v>
      </x:c>
      <x:c r="F1180" s="12" t="n">
        <x:v>1</x:v>
      </x:c>
      <x:c r="G1180" s="12" t="n">
        <x:v>0</x:v>
      </x:c>
      <x:c r="H1180" s="12" t="n">
        <x:f>IF(SUM(I1180:K1180)&gt;0,1,0)</x:f>
        <x:v>0</x:v>
      </x:c>
      <x:c r="I1180" s="12" t="n">
        <x:f>IF('患者配对'!M1297="positive",1,0)</x:f>
        <x:v>0</x:v>
      </x:c>
      <x:c r="J1180" s="12" t="n">
        <x:f>IF('患者配对'!R1297="positive",1,0)</x:f>
        <x:v>0</x:v>
      </x:c>
      <x:c r="K1180" s="12" t="n">
        <x:f>IF('患者配对'!W1297="positive",1,0)</x:f>
        <x:v>0</x:v>
      </x:c>
      <x:c r="L1180" s="12" t="str">
        <x:v>由原件与原状态取得；仅主队列索引</x:v>
      </x:c>
      <x:c r="M1180" s="12"/>
      <x:c r="N1180" s="12"/>
      <x:c r="O1180" s="12"/>
    </x:row>
    <x:row r="1181" ht="39" customHeight="1">
      <x:c r="A1181" s="12" t="str">
        <x:v>11896</x:v>
      </x:c>
      <x:c r="B1181" s="12" t="str">
        <x:v>19461</x:v>
      </x:c>
      <x:c r="C1181" s="12" t="str">
        <x:v>参考000</x:v>
      </x:c>
      <x:c r="D1181" s="12" t="str">
        <x:v>自动000</x:v>
      </x:c>
      <x:c r="E1181" s="12" t="n">
        <x:v>0</x:v>
      </x:c>
      <x:c r="F1181" s="12" t="n">
        <x:v>1</x:v>
      </x:c>
      <x:c r="G1181" s="12" t="n">
        <x:v>0</x:v>
      </x:c>
      <x:c r="H1181" s="12" t="n">
        <x:f>IF(SUM(I1181:K1181)&gt;0,1,0)</x:f>
        <x:v>0</x:v>
      </x:c>
      <x:c r="I1181" s="12" t="n">
        <x:f>IF('患者配对'!M1298="positive",1,0)</x:f>
        <x:v>0</x:v>
      </x:c>
      <x:c r="J1181" s="12" t="n">
        <x:f>IF('患者配对'!R1298="positive",1,0)</x:f>
        <x:v>0</x:v>
      </x:c>
      <x:c r="K1181" s="12" t="n">
        <x:f>IF('患者配对'!W1298="positive",1,0)</x:f>
        <x:v>0</x:v>
      </x:c>
      <x:c r="L1181" s="12" t="str">
        <x:v>由原件与原状态取得；仅主队列索引</x:v>
      </x:c>
      <x:c r="M1181" s="12"/>
      <x:c r="N1181" s="12"/>
      <x:c r="O1181" s="12"/>
    </x:row>
    <x:row r="1182" ht="39" customHeight="1">
      <x:c r="A1182" s="12" t="str">
        <x:v>11916</x:v>
      </x:c>
      <x:c r="B1182" s="12" t="str">
        <x:v>9715</x:v>
      </x:c>
      <x:c r="C1182" s="12" t="str">
        <x:v>参考000</x:v>
      </x:c>
      <x:c r="D1182" s="12" t="str">
        <x:v>自动000</x:v>
      </x:c>
      <x:c r="E1182" s="12" t="n">
        <x:v>0</x:v>
      </x:c>
      <x:c r="F1182" s="12" t="n">
        <x:v>0</x:v>
      </x:c>
      <x:c r="G1182" s="12" t="n">
        <x:v>0</x:v>
      </x:c>
      <x:c r="H1182" s="12" t="n">
        <x:f>IF(SUM(I1182:K1182)&gt;0,1,0)</x:f>
        <x:v>0</x:v>
      </x:c>
      <x:c r="I1182" s="12" t="n">
        <x:f>IF('患者配对'!M1301="positive",1,0)</x:f>
        <x:v>0</x:v>
      </x:c>
      <x:c r="J1182" s="12" t="n">
        <x:f>IF('患者配对'!R1301="positive",1,0)</x:f>
        <x:v>0</x:v>
      </x:c>
      <x:c r="K1182" s="12" t="n">
        <x:f>IF('患者配对'!W1301="positive",1,0)</x:f>
        <x:v>0</x:v>
      </x:c>
      <x:c r="L1182" s="12" t="str">
        <x:v>由原件与原状态取得；仅主队列索引</x:v>
      </x:c>
      <x:c r="M1182" s="12"/>
      <x:c r="N1182" s="12"/>
      <x:c r="O1182" s="12"/>
    </x:row>
    <x:row r="1183" ht="39" customHeight="1">
      <x:c r="A1183" s="12" t="str">
        <x:v>11932</x:v>
      </x:c>
      <x:c r="B1183" s="12" t="str">
        <x:v>15735</x:v>
      </x:c>
      <x:c r="C1183" s="12" t="str">
        <x:v>参考000</x:v>
      </x:c>
      <x:c r="D1183" s="12" t="str">
        <x:v>自动000</x:v>
      </x:c>
      <x:c r="E1183" s="12" t="n">
        <x:v>0</x:v>
      </x:c>
      <x:c r="F1183" s="12" t="n">
        <x:v>0</x:v>
      </x:c>
      <x:c r="G1183" s="12" t="n">
        <x:v>0</x:v>
      </x:c>
      <x:c r="H1183" s="12" t="n">
        <x:f>IF(SUM(I1183:K1183)&gt;0,1,0)</x:f>
        <x:v>0</x:v>
      </x:c>
      <x:c r="I1183" s="12" t="n">
        <x:f>IF('患者配对'!M1302="positive",1,0)</x:f>
        <x:v>0</x:v>
      </x:c>
      <x:c r="J1183" s="12" t="n">
        <x:f>IF('患者配对'!R1302="positive",1,0)</x:f>
        <x:v>0</x:v>
      </x:c>
      <x:c r="K1183" s="12" t="n">
        <x:f>IF('患者配对'!W1302="positive",1,0)</x:f>
        <x:v>0</x:v>
      </x:c>
      <x:c r="L1183" s="12" t="str">
        <x:v>由原件与原状态取得；仅主队列索引</x:v>
      </x:c>
      <x:c r="M1183" s="12"/>
      <x:c r="N1183" s="12"/>
      <x:c r="O1183" s="12"/>
    </x:row>
    <x:row r="1184" ht="39" customHeight="1">
      <x:c r="A1184" s="12" t="str">
        <x:v>11933</x:v>
      </x:c>
      <x:c r="B1184" s="12" t="str">
        <x:v>21446</x:v>
      </x:c>
      <x:c r="C1184" s="12" t="str">
        <x:v>参考000</x:v>
      </x:c>
      <x:c r="D1184" s="12" t="str">
        <x:v>自动000</x:v>
      </x:c>
      <x:c r="E1184" s="12" t="n">
        <x:v>0</x:v>
      </x:c>
      <x:c r="F1184" s="12" t="n">
        <x:v>0</x:v>
      </x:c>
      <x:c r="G1184" s="12" t="n">
        <x:v>0</x:v>
      </x:c>
      <x:c r="H1184" s="12" t="n">
        <x:f>IF(SUM(I1184:K1184)&gt;0,1,0)</x:f>
        <x:v>0</x:v>
      </x:c>
      <x:c r="I1184" s="12" t="n">
        <x:f>IF('患者配对'!M1303="positive",1,0)</x:f>
        <x:v>0</x:v>
      </x:c>
      <x:c r="J1184" s="12" t="n">
        <x:f>IF('患者配对'!R1303="positive",1,0)</x:f>
        <x:v>0</x:v>
      </x:c>
      <x:c r="K1184" s="12" t="n">
        <x:f>IF('患者配对'!W1303="positive",1,0)</x:f>
        <x:v>0</x:v>
      </x:c>
      <x:c r="L1184" s="12" t="str">
        <x:v>由原件与原状态取得；仅主队列索引</x:v>
      </x:c>
      <x:c r="M1184" s="12"/>
      <x:c r="N1184" s="12"/>
      <x:c r="O1184" s="12"/>
    </x:row>
    <x:row r="1185" ht="39" customHeight="1">
      <x:c r="A1185" s="12" t="str">
        <x:v>11937</x:v>
      </x:c>
      <x:c r="B1185" s="12" t="str">
        <x:v>793</x:v>
      </x:c>
      <x:c r="C1185" s="12" t="str">
        <x:v>参考000</x:v>
      </x:c>
      <x:c r="D1185" s="12" t="str">
        <x:v>自动000</x:v>
      </x:c>
      <x:c r="E1185" s="12" t="n">
        <x:v>0</x:v>
      </x:c>
      <x:c r="F1185" s="12" t="n">
        <x:v>0</x:v>
      </x:c>
      <x:c r="G1185" s="12" t="n">
        <x:v>0</x:v>
      </x:c>
      <x:c r="H1185" s="12" t="n">
        <x:f>IF(SUM(I1185:K1185)&gt;0,1,0)</x:f>
        <x:v>0</x:v>
      </x:c>
      <x:c r="I1185" s="12" t="n">
        <x:f>IF('患者配对'!M1305="positive",1,0)</x:f>
        <x:v>0</x:v>
      </x:c>
      <x:c r="J1185" s="12" t="n">
        <x:f>IF('患者配对'!R1305="positive",1,0)</x:f>
        <x:v>0</x:v>
      </x:c>
      <x:c r="K1185" s="12" t="n">
        <x:f>IF('患者配对'!W1305="positive",1,0)</x:f>
        <x:v>0</x:v>
      </x:c>
      <x:c r="L1185" s="12" t="str">
        <x:v>由原件与原状态取得；仅主队列索引</x:v>
      </x:c>
      <x:c r="M1185" s="12"/>
      <x:c r="N1185" s="12"/>
      <x:c r="O1185" s="12"/>
    </x:row>
    <x:row r="1186" ht="39" customHeight="1">
      <x:c r="A1186" s="12" t="str">
        <x:v>11956</x:v>
      </x:c>
      <x:c r="B1186" s="12" t="str">
        <x:v>17691</x:v>
      </x:c>
      <x:c r="C1186" s="12" t="str">
        <x:v>参考000</x:v>
      </x:c>
      <x:c r="D1186" s="12" t="str">
        <x:v>自动000</x:v>
      </x:c>
      <x:c r="E1186" s="12" t="n">
        <x:v>0</x:v>
      </x:c>
      <x:c r="F1186" s="12" t="n">
        <x:v>1</x:v>
      </x:c>
      <x:c r="G1186" s="12" t="n">
        <x:v>0</x:v>
      </x:c>
      <x:c r="H1186" s="12" t="n">
        <x:f>IF(SUM(I1186:K1186)&gt;0,1,0)</x:f>
        <x:v>0</x:v>
      </x:c>
      <x:c r="I1186" s="12" t="n">
        <x:f>IF('患者配对'!M1306="positive",1,0)</x:f>
        <x:v>0</x:v>
      </x:c>
      <x:c r="J1186" s="12" t="n">
        <x:f>IF('患者配对'!R1306="positive",1,0)</x:f>
        <x:v>0</x:v>
      </x:c>
      <x:c r="K1186" s="12" t="n">
        <x:f>IF('患者配对'!W1306="positive",1,0)</x:f>
        <x:v>0</x:v>
      </x:c>
      <x:c r="L1186" s="12" t="str">
        <x:v>由原件与原状态取得；仅主队列索引</x:v>
      </x:c>
      <x:c r="M1186" s="12"/>
      <x:c r="N1186" s="12"/>
      <x:c r="O1186" s="12"/>
    </x:row>
    <x:row r="1187" ht="39" customHeight="1">
      <x:c r="A1187" s="12" t="str">
        <x:v>11982</x:v>
      </x:c>
      <x:c r="B1187" s="12" t="str">
        <x:v>357</x:v>
      </x:c>
      <x:c r="C1187" s="12" t="str">
        <x:v>参考000</x:v>
      </x:c>
      <x:c r="D1187" s="12" t="str">
        <x:v>自动000</x:v>
      </x:c>
      <x:c r="E1187" s="12" t="n">
        <x:v>0</x:v>
      </x:c>
      <x:c r="F1187" s="12" t="n">
        <x:v>0</x:v>
      </x:c>
      <x:c r="G1187" s="12" t="n">
        <x:v>0</x:v>
      </x:c>
      <x:c r="H1187" s="12" t="n">
        <x:f>IF(SUM(I1187:K1187)&gt;0,1,0)</x:f>
        <x:v>0</x:v>
      </x:c>
      <x:c r="I1187" s="12" t="n">
        <x:f>IF('患者配对'!M1307="positive",1,0)</x:f>
        <x:v>0</x:v>
      </x:c>
      <x:c r="J1187" s="12" t="n">
        <x:f>IF('患者配对'!R1307="positive",1,0)</x:f>
        <x:v>0</x:v>
      </x:c>
      <x:c r="K1187" s="12" t="n">
        <x:f>IF('患者配对'!W1307="positive",1,0)</x:f>
        <x:v>0</x:v>
      </x:c>
      <x:c r="L1187" s="12" t="str">
        <x:v>由原件与原状态取得；仅主队列索引</x:v>
      </x:c>
      <x:c r="M1187" s="12"/>
      <x:c r="N1187" s="12"/>
      <x:c r="O1187" s="12"/>
    </x:row>
    <x:row r="1188" ht="39" customHeight="1">
      <x:c r="A1188" s="12" t="str">
        <x:v>12027</x:v>
      </x:c>
      <x:c r="B1188" s="12" t="str">
        <x:v>16783</x:v>
      </x:c>
      <x:c r="C1188" s="12" t="str">
        <x:v>参考000</x:v>
      </x:c>
      <x:c r="D1188" s="12" t="str">
        <x:v>自动000</x:v>
      </x:c>
      <x:c r="E1188" s="12" t="n">
        <x:v>0</x:v>
      </x:c>
      <x:c r="F1188" s="12" t="n">
        <x:v>0</x:v>
      </x:c>
      <x:c r="G1188" s="12" t="n">
        <x:v>0</x:v>
      </x:c>
      <x:c r="H1188" s="12" t="n">
        <x:f>IF(SUM(I1188:K1188)&gt;0,1,0)</x:f>
        <x:v>0</x:v>
      </x:c>
      <x:c r="I1188" s="12" t="n">
        <x:f>IF('患者配对'!M1308="positive",1,0)</x:f>
        <x:v>0</x:v>
      </x:c>
      <x:c r="J1188" s="12" t="n">
        <x:f>IF('患者配对'!R1308="positive",1,0)</x:f>
        <x:v>0</x:v>
      </x:c>
      <x:c r="K1188" s="12" t="n">
        <x:f>IF('患者配对'!W1308="positive",1,0)</x:f>
        <x:v>0</x:v>
      </x:c>
      <x:c r="L1188" s="12" t="str">
        <x:v>由原件与原状态取得；仅主队列索引</x:v>
      </x:c>
      <x:c r="M1188" s="12"/>
      <x:c r="N1188" s="12"/>
      <x:c r="O1188" s="12"/>
    </x:row>
    <x:row r="1189" ht="39" customHeight="1">
      <x:c r="A1189" s="12" t="str">
        <x:v>12031</x:v>
      </x:c>
      <x:c r="B1189" s="12" t="str">
        <x:v>504</x:v>
      </x:c>
      <x:c r="C1189" s="12" t="str">
        <x:v>参考000</x:v>
      </x:c>
      <x:c r="D1189" s="12" t="str">
        <x:v>自动000</x:v>
      </x:c>
      <x:c r="E1189" s="12" t="n">
        <x:v>0</x:v>
      </x:c>
      <x:c r="F1189" s="12" t="n">
        <x:v>0</x:v>
      </x:c>
      <x:c r="G1189" s="12" t="n">
        <x:v>0</x:v>
      </x:c>
      <x:c r="H1189" s="12" t="n">
        <x:f>IF(SUM(I1189:K1189)&gt;0,1,0)</x:f>
        <x:v>0</x:v>
      </x:c>
      <x:c r="I1189" s="12" t="n">
        <x:f>IF('患者配对'!M1310="positive",1,0)</x:f>
        <x:v>0</x:v>
      </x:c>
      <x:c r="J1189" s="12" t="n">
        <x:f>IF('患者配对'!R1310="positive",1,0)</x:f>
        <x:v>0</x:v>
      </x:c>
      <x:c r="K1189" s="12" t="n">
        <x:f>IF('患者配对'!W1310="positive",1,0)</x:f>
        <x:v>0</x:v>
      </x:c>
      <x:c r="L1189" s="12" t="str">
        <x:v>由原件与原状态取得；仅主队列索引</x:v>
      </x:c>
      <x:c r="M1189" s="12"/>
      <x:c r="N1189" s="12"/>
      <x:c r="O1189" s="12"/>
    </x:row>
    <x:row r="1190" ht="39" customHeight="1">
      <x:c r="A1190" s="12" t="str">
        <x:v>12033</x:v>
      </x:c>
      <x:c r="B1190" s="12" t="str">
        <x:v>21386</x:v>
      </x:c>
      <x:c r="C1190" s="12" t="str">
        <x:v>参考000</x:v>
      </x:c>
      <x:c r="D1190" s="12" t="str">
        <x:v>自动000</x:v>
      </x:c>
      <x:c r="E1190" s="12" t="n">
        <x:v>0</x:v>
      </x:c>
      <x:c r="F1190" s="12" t="n">
        <x:v>1</x:v>
      </x:c>
      <x:c r="G1190" s="12" t="n">
        <x:v>0</x:v>
      </x:c>
      <x:c r="H1190" s="12" t="n">
        <x:f>IF(SUM(I1190:K1190)&gt;0,1,0)</x:f>
        <x:v>0</x:v>
      </x:c>
      <x:c r="I1190" s="12" t="n">
        <x:f>IF('患者配对'!M1311="positive",1,0)</x:f>
        <x:v>0</x:v>
      </x:c>
      <x:c r="J1190" s="12" t="n">
        <x:f>IF('患者配对'!R1311="positive",1,0)</x:f>
        <x:v>0</x:v>
      </x:c>
      <x:c r="K1190" s="12" t="n">
        <x:f>IF('患者配对'!W1311="positive",1,0)</x:f>
        <x:v>0</x:v>
      </x:c>
      <x:c r="L1190" s="12" t="str">
        <x:v>由原件与原状态取得；仅主队列索引</x:v>
      </x:c>
      <x:c r="M1190" s="12"/>
      <x:c r="N1190" s="12"/>
      <x:c r="O1190" s="12"/>
    </x:row>
    <x:row r="1191" ht="39" customHeight="1">
      <x:c r="A1191" s="12" t="str">
        <x:v>12034</x:v>
      </x:c>
      <x:c r="B1191" s="12" t="str">
        <x:v>2506</x:v>
      </x:c>
      <x:c r="C1191" s="12" t="str">
        <x:v>参考000</x:v>
      </x:c>
      <x:c r="D1191" s="12" t="str">
        <x:v>自动000</x:v>
      </x:c>
      <x:c r="E1191" s="12" t="n">
        <x:v>0</x:v>
      </x:c>
      <x:c r="F1191" s="12" t="n">
        <x:v>0</x:v>
      </x:c>
      <x:c r="G1191" s="12" t="n">
        <x:v>0</x:v>
      </x:c>
      <x:c r="H1191" s="12" t="n">
        <x:f>IF(SUM(I1191:K1191)&gt;0,1,0)</x:f>
        <x:v>0</x:v>
      </x:c>
      <x:c r="I1191" s="12" t="n">
        <x:f>IF('患者配对'!M1312="positive",1,0)</x:f>
        <x:v>0</x:v>
      </x:c>
      <x:c r="J1191" s="12" t="n">
        <x:f>IF('患者配对'!R1312="positive",1,0)</x:f>
        <x:v>0</x:v>
      </x:c>
      <x:c r="K1191" s="12" t="n">
        <x:f>IF('患者配对'!W1312="positive",1,0)</x:f>
        <x:v>0</x:v>
      </x:c>
      <x:c r="L1191" s="12" t="str">
        <x:v>由原件与原状态取得；仅主队列索引</x:v>
      </x:c>
      <x:c r="M1191" s="12"/>
      <x:c r="N1191" s="12"/>
      <x:c r="O1191" s="12"/>
    </x:row>
    <x:row r="1192" ht="39" customHeight="1">
      <x:c r="A1192" s="12" t="str">
        <x:v>12074</x:v>
      </x:c>
      <x:c r="B1192" s="12" t="str">
        <x:v>7908</x:v>
      </x:c>
      <x:c r="C1192" s="12" t="str">
        <x:v>参考000</x:v>
      </x:c>
      <x:c r="D1192" s="12" t="str">
        <x:v>自动000</x:v>
      </x:c>
      <x:c r="E1192" s="12" t="n">
        <x:v>0</x:v>
      </x:c>
      <x:c r="F1192" s="12" t="n">
        <x:v>0</x:v>
      </x:c>
      <x:c r="G1192" s="12" t="n">
        <x:v>0</x:v>
      </x:c>
      <x:c r="H1192" s="12" t="n">
        <x:f>IF(SUM(I1192:K1192)&gt;0,1,0)</x:f>
        <x:v>0</x:v>
      </x:c>
      <x:c r="I1192" s="12" t="n">
        <x:f>IF('患者配对'!M1313="positive",1,0)</x:f>
        <x:v>0</x:v>
      </x:c>
      <x:c r="J1192" s="12" t="n">
        <x:f>IF('患者配对'!R1313="positive",1,0)</x:f>
        <x:v>0</x:v>
      </x:c>
      <x:c r="K1192" s="12" t="n">
        <x:f>IF('患者配对'!W1313="positive",1,0)</x:f>
        <x:v>0</x:v>
      </x:c>
      <x:c r="L1192" s="12" t="str">
        <x:v>由原件与原状态取得；仅主队列索引</x:v>
      </x:c>
      <x:c r="M1192" s="12"/>
      <x:c r="N1192" s="12"/>
      <x:c r="O1192" s="12"/>
    </x:row>
    <x:row r="1193" ht="39" customHeight="1">
      <x:c r="A1193" s="12" t="str">
        <x:v>12082</x:v>
      </x:c>
      <x:c r="B1193" s="12" t="str">
        <x:v>18812</x:v>
      </x:c>
      <x:c r="C1193" s="12" t="str">
        <x:v>参考000</x:v>
      </x:c>
      <x:c r="D1193" s="12" t="str">
        <x:v>自动000</x:v>
      </x:c>
      <x:c r="E1193" s="12" t="n">
        <x:v>0</x:v>
      </x:c>
      <x:c r="F1193" s="12" t="n">
        <x:v>1</x:v>
      </x:c>
      <x:c r="G1193" s="12" t="n">
        <x:v>0</x:v>
      </x:c>
      <x:c r="H1193" s="12" t="n">
        <x:f>IF(SUM(I1193:K1193)&gt;0,1,0)</x:f>
        <x:v>0</x:v>
      </x:c>
      <x:c r="I1193" s="12" t="n">
        <x:f>IF('患者配对'!M1314="positive",1,0)</x:f>
        <x:v>0</x:v>
      </x:c>
      <x:c r="J1193" s="12" t="n">
        <x:f>IF('患者配对'!R1314="positive",1,0)</x:f>
        <x:v>0</x:v>
      </x:c>
      <x:c r="K1193" s="12" t="n">
        <x:f>IF('患者配对'!W1314="positive",1,0)</x:f>
        <x:v>0</x:v>
      </x:c>
      <x:c r="L1193" s="12" t="str">
        <x:v>由原件与原状态取得；仅主队列索引</x:v>
      </x:c>
      <x:c r="M1193" s="12"/>
      <x:c r="N1193" s="12"/>
      <x:c r="O1193" s="12"/>
    </x:row>
    <x:row r="1194" ht="39" customHeight="1">
      <x:c r="A1194" s="12" t="str">
        <x:v>12112</x:v>
      </x:c>
      <x:c r="B1194" s="12" t="str">
        <x:v>20694</x:v>
      </x:c>
      <x:c r="C1194" s="12" t="str">
        <x:v>参考000</x:v>
      </x:c>
      <x:c r="D1194" s="12" t="str">
        <x:v>自动000</x:v>
      </x:c>
      <x:c r="E1194" s="12" t="n">
        <x:v>0</x:v>
      </x:c>
      <x:c r="F1194" s="12" t="n">
        <x:v>0</x:v>
      </x:c>
      <x:c r="G1194" s="12" t="n">
        <x:v>0</x:v>
      </x:c>
      <x:c r="H1194" s="12" t="n">
        <x:f>IF(SUM(I1194:K1194)&gt;0,1,0)</x:f>
        <x:v>0</x:v>
      </x:c>
      <x:c r="I1194" s="12" t="n">
        <x:f>IF('患者配对'!M1315="positive",1,0)</x:f>
        <x:v>0</x:v>
      </x:c>
      <x:c r="J1194" s="12" t="n">
        <x:f>IF('患者配对'!R1315="positive",1,0)</x:f>
        <x:v>0</x:v>
      </x:c>
      <x:c r="K1194" s="12" t="n">
        <x:f>IF('患者配对'!W1315="positive",1,0)</x:f>
        <x:v>0</x:v>
      </x:c>
      <x:c r="L1194" s="12" t="str">
        <x:v>由原件与原状态取得；仅主队列索引</x:v>
      </x:c>
      <x:c r="M1194" s="12"/>
      <x:c r="N1194" s="12"/>
      <x:c r="O1194" s="12"/>
    </x:row>
    <x:row r="1195" ht="39" customHeight="1">
      <x:c r="A1195" s="12" t="str">
        <x:v>12122</x:v>
      </x:c>
      <x:c r="B1195" s="12" t="str">
        <x:v>5766</x:v>
      </x:c>
      <x:c r="C1195" s="12" t="str">
        <x:v>参考000</x:v>
      </x:c>
      <x:c r="D1195" s="12" t="str">
        <x:v>自动000</x:v>
      </x:c>
      <x:c r="E1195" s="12" t="n">
        <x:v>0</x:v>
      </x:c>
      <x:c r="F1195" s="12" t="n">
        <x:v>0</x:v>
      </x:c>
      <x:c r="G1195" s="12" t="n">
        <x:v>0</x:v>
      </x:c>
      <x:c r="H1195" s="12" t="n">
        <x:f>IF(SUM(I1195:K1195)&gt;0,1,0)</x:f>
        <x:v>0</x:v>
      </x:c>
      <x:c r="I1195" s="12" t="n">
        <x:f>IF('患者配对'!M1316="positive",1,0)</x:f>
        <x:v>0</x:v>
      </x:c>
      <x:c r="J1195" s="12" t="n">
        <x:f>IF('患者配对'!R1316="positive",1,0)</x:f>
        <x:v>0</x:v>
      </x:c>
      <x:c r="K1195" s="12" t="n">
        <x:f>IF('患者配对'!W1316="positive",1,0)</x:f>
        <x:v>0</x:v>
      </x:c>
      <x:c r="L1195" s="12" t="str">
        <x:v>由原件与原状态取得；仅主队列索引</x:v>
      </x:c>
      <x:c r="M1195" s="12"/>
      <x:c r="N1195" s="12"/>
      <x:c r="O1195" s="12"/>
    </x:row>
    <x:row r="1196" ht="39" customHeight="1">
      <x:c r="A1196" s="12" t="str">
        <x:v>12124</x:v>
      </x:c>
      <x:c r="B1196" s="12" t="str">
        <x:v>6916</x:v>
      </x:c>
      <x:c r="C1196" s="12" t="str">
        <x:v>参考000</x:v>
      </x:c>
      <x:c r="D1196" s="12" t="str">
        <x:v>自动000</x:v>
      </x:c>
      <x:c r="E1196" s="12" t="n">
        <x:v>0</x:v>
      </x:c>
      <x:c r="F1196" s="12" t="n">
        <x:v>0</x:v>
      </x:c>
      <x:c r="G1196" s="12" t="n">
        <x:v>0</x:v>
      </x:c>
      <x:c r="H1196" s="12" t="n">
        <x:f>IF(SUM(I1196:K1196)&gt;0,1,0)</x:f>
        <x:v>0</x:v>
      </x:c>
      <x:c r="I1196" s="12" t="n">
        <x:f>IF('患者配对'!M1317="positive",1,0)</x:f>
        <x:v>0</x:v>
      </x:c>
      <x:c r="J1196" s="12" t="n">
        <x:f>IF('患者配对'!R1317="positive",1,0)</x:f>
        <x:v>0</x:v>
      </x:c>
      <x:c r="K1196" s="12" t="n">
        <x:f>IF('患者配对'!W1317="positive",1,0)</x:f>
        <x:v>0</x:v>
      </x:c>
      <x:c r="L1196" s="12" t="str">
        <x:v>由原件与原状态取得；仅主队列索引</x:v>
      </x:c>
      <x:c r="M1196" s="12"/>
      <x:c r="N1196" s="12"/>
      <x:c r="O1196" s="12"/>
    </x:row>
    <x:row r="1197" ht="39" customHeight="1">
      <x:c r="A1197" s="12" t="str">
        <x:v>12126</x:v>
      </x:c>
      <x:c r="B1197" s="12" t="str">
        <x:v>4515</x:v>
      </x:c>
      <x:c r="C1197" s="12" t="str">
        <x:v>参考000</x:v>
      </x:c>
      <x:c r="D1197" s="12" t="str">
        <x:v>自动000</x:v>
      </x:c>
      <x:c r="E1197" s="12" t="n">
        <x:v>0</x:v>
      </x:c>
      <x:c r="F1197" s="12" t="n">
        <x:v>0</x:v>
      </x:c>
      <x:c r="G1197" s="12" t="n">
        <x:v>0</x:v>
      </x:c>
      <x:c r="H1197" s="12" t="n">
        <x:f>IF(SUM(I1197:K1197)&gt;0,1,0)</x:f>
        <x:v>0</x:v>
      </x:c>
      <x:c r="I1197" s="12" t="n">
        <x:f>IF('患者配对'!M1318="positive",1,0)</x:f>
        <x:v>0</x:v>
      </x:c>
      <x:c r="J1197" s="12" t="n">
        <x:f>IF('患者配对'!R1318="positive",1,0)</x:f>
        <x:v>0</x:v>
      </x:c>
      <x:c r="K1197" s="12" t="n">
        <x:f>IF('患者配对'!W1318="positive",1,0)</x:f>
        <x:v>0</x:v>
      </x:c>
      <x:c r="L1197" s="12" t="str">
        <x:v>由原件与原状态取得；仅主队列索引</x:v>
      </x:c>
      <x:c r="M1197" s="12"/>
      <x:c r="N1197" s="12"/>
      <x:c r="O1197" s="12"/>
    </x:row>
    <x:row r="1198" ht="39" customHeight="1">
      <x:c r="A1198" s="12" t="str">
        <x:v>12137</x:v>
      </x:c>
      <x:c r="B1198" s="12" t="str">
        <x:v>2290</x:v>
      </x:c>
      <x:c r="C1198" s="12" t="str">
        <x:v>参考000</x:v>
      </x:c>
      <x:c r="D1198" s="12" t="str">
        <x:v>自动000</x:v>
      </x:c>
      <x:c r="E1198" s="12" t="n">
        <x:v>0</x:v>
      </x:c>
      <x:c r="F1198" s="12" t="n">
        <x:v>0</x:v>
      </x:c>
      <x:c r="G1198" s="12" t="n">
        <x:v>0</x:v>
      </x:c>
      <x:c r="H1198" s="12" t="n">
        <x:f>IF(SUM(I1198:K1198)&gt;0,1,0)</x:f>
        <x:v>0</x:v>
      </x:c>
      <x:c r="I1198" s="12" t="n">
        <x:f>IF('患者配对'!M1319="positive",1,0)</x:f>
        <x:v>0</x:v>
      </x:c>
      <x:c r="J1198" s="12" t="n">
        <x:f>IF('患者配对'!R1319="positive",1,0)</x:f>
        <x:v>0</x:v>
      </x:c>
      <x:c r="K1198" s="12" t="n">
        <x:f>IF('患者配对'!W1319="positive",1,0)</x:f>
        <x:v>0</x:v>
      </x:c>
      <x:c r="L1198" s="12" t="str">
        <x:v>由原件与原状态取得；仅主队列索引</x:v>
      </x:c>
      <x:c r="M1198" s="12"/>
      <x:c r="N1198" s="12"/>
      <x:c r="O1198" s="12"/>
    </x:row>
    <x:row r="1199" ht="39" customHeight="1">
      <x:c r="A1199" s="12" t="str">
        <x:v>12143</x:v>
      </x:c>
      <x:c r="B1199" s="12" t="str">
        <x:v>535</x:v>
      </x:c>
      <x:c r="C1199" s="12" t="str">
        <x:v>参考000</x:v>
      </x:c>
      <x:c r="D1199" s="12" t="str">
        <x:v>自动000</x:v>
      </x:c>
      <x:c r="E1199" s="12" t="n">
        <x:v>0</x:v>
      </x:c>
      <x:c r="F1199" s="12" t="n">
        <x:v>0</x:v>
      </x:c>
      <x:c r="G1199" s="12" t="n">
        <x:v>0</x:v>
      </x:c>
      <x:c r="H1199" s="12" t="n">
        <x:f>IF(SUM(I1199:K1199)&gt;0,1,0)</x:f>
        <x:v>0</x:v>
      </x:c>
      <x:c r="I1199" s="12" t="n">
        <x:f>IF('患者配对'!M1320="positive",1,0)</x:f>
        <x:v>0</x:v>
      </x:c>
      <x:c r="J1199" s="12" t="n">
        <x:f>IF('患者配对'!R1320="positive",1,0)</x:f>
        <x:v>0</x:v>
      </x:c>
      <x:c r="K1199" s="12" t="n">
        <x:f>IF('患者配对'!W1320="positive",1,0)</x:f>
        <x:v>0</x:v>
      </x:c>
      <x:c r="L1199" s="12" t="str">
        <x:v>由原件与原状态取得；仅主队列索引</x:v>
      </x:c>
      <x:c r="M1199" s="12"/>
      <x:c r="N1199" s="12"/>
      <x:c r="O1199" s="12"/>
    </x:row>
    <x:row r="1200" ht="39" customHeight="1">
      <x:c r="A1200" s="12" t="str">
        <x:v>12144</x:v>
      </x:c>
      <x:c r="B1200" s="12" t="str">
        <x:v>6601</x:v>
      </x:c>
      <x:c r="C1200" s="12" t="str">
        <x:v>参考000</x:v>
      </x:c>
      <x:c r="D1200" s="12" t="str">
        <x:v>自动000</x:v>
      </x:c>
      <x:c r="E1200" s="12" t="n">
        <x:v>0</x:v>
      </x:c>
      <x:c r="F1200" s="12" t="n">
        <x:v>0</x:v>
      </x:c>
      <x:c r="G1200" s="12" t="n">
        <x:v>0</x:v>
      </x:c>
      <x:c r="H1200" s="12" t="n">
        <x:f>IF(SUM(I1200:K1200)&gt;0,1,0)</x:f>
        <x:v>0</x:v>
      </x:c>
      <x:c r="I1200" s="12" t="n">
        <x:f>IF('患者配对'!M1321="positive",1,0)</x:f>
        <x:v>0</x:v>
      </x:c>
      <x:c r="J1200" s="12" t="n">
        <x:f>IF('患者配对'!R1321="positive",1,0)</x:f>
        <x:v>0</x:v>
      </x:c>
      <x:c r="K1200" s="12" t="n">
        <x:f>IF('患者配对'!W1321="positive",1,0)</x:f>
        <x:v>0</x:v>
      </x:c>
      <x:c r="L1200" s="12" t="str">
        <x:v>由原件与原状态取得；仅主队列索引</x:v>
      </x:c>
      <x:c r="M1200" s="12"/>
      <x:c r="N1200" s="12"/>
      <x:c r="O1200" s="12"/>
    </x:row>
    <x:row r="1201" ht="39" customHeight="1">
      <x:c r="A1201" s="12" t="str">
        <x:v>12147</x:v>
      </x:c>
      <x:c r="B1201" s="12" t="str">
        <x:v>5173</x:v>
      </x:c>
      <x:c r="C1201" s="12" t="str">
        <x:v>参考100</x:v>
      </x:c>
      <x:c r="D1201" s="12" t="str">
        <x:v>自动100</x:v>
      </x:c>
      <x:c r="E1201" s="12" t="n">
        <x:v>1</x:v>
      </x:c>
      <x:c r="F1201" s="12" t="n">
        <x:v>1</x:v>
      </x:c>
      <x:c r="G1201" s="12" t="n">
        <x:v>0</x:v>
      </x:c>
      <x:c r="H1201" s="12" t="n">
        <x:f>IF(SUM(I1201:K1201)&gt;0,1,0)</x:f>
        <x:v>1</x:v>
      </x:c>
      <x:c r="I1201" s="12" t="n">
        <x:f>IF('患者配对'!M1322="positive",1,0)</x:f>
        <x:v>1</x:v>
      </x:c>
      <x:c r="J1201" s="12" t="n">
        <x:f>IF('患者配对'!R1322="positive",1,0)</x:f>
        <x:v>0</x:v>
      </x:c>
      <x:c r="K1201" s="12" t="n">
        <x:f>IF('患者配对'!W1322="positive",1,0)</x:f>
        <x:v>0</x:v>
      </x:c>
      <x:c r="L1201" s="12" t="str">
        <x:v>由原件与原状态取得；仅主队列索引</x:v>
      </x:c>
      <x:c r="M1201" s="12"/>
      <x:c r="N1201" s="12"/>
      <x:c r="O1201" s="12"/>
    </x:row>
    <x:row r="1202" ht="39" customHeight="1">
      <x:c r="A1202" s="12" t="str">
        <x:v>12156</x:v>
      </x:c>
      <x:c r="B1202" s="12" t="str">
        <x:v>4419</x:v>
      </x:c>
      <x:c r="C1202" s="12" t="str">
        <x:v>参考000</x:v>
      </x:c>
      <x:c r="D1202" s="12" t="str">
        <x:v>自动000</x:v>
      </x:c>
      <x:c r="E1202" s="12" t="n">
        <x:v>0</x:v>
      </x:c>
      <x:c r="F1202" s="12" t="n">
        <x:v>1</x:v>
      </x:c>
      <x:c r="G1202" s="12" t="n">
        <x:v>0</x:v>
      </x:c>
      <x:c r="H1202" s="12" t="n">
        <x:f>IF(SUM(I1202:K1202)&gt;0,1,0)</x:f>
        <x:v>0</x:v>
      </x:c>
      <x:c r="I1202" s="12" t="n">
        <x:f>IF('患者配对'!M1323="positive",1,0)</x:f>
        <x:v>0</x:v>
      </x:c>
      <x:c r="J1202" s="12" t="n">
        <x:f>IF('患者配对'!R1323="positive",1,0)</x:f>
        <x:v>0</x:v>
      </x:c>
      <x:c r="K1202" s="12" t="n">
        <x:f>IF('患者配对'!W1323="positive",1,0)</x:f>
        <x:v>0</x:v>
      </x:c>
      <x:c r="L1202" s="12" t="str">
        <x:v>由原件与原状态取得；仅主队列索引</x:v>
      </x:c>
      <x:c r="M1202" s="12"/>
      <x:c r="N1202" s="12"/>
      <x:c r="O1202" s="12"/>
    </x:row>
    <x:row r="1203" ht="39" customHeight="1">
      <x:c r="A1203" s="12" t="str">
        <x:v>12169</x:v>
      </x:c>
      <x:c r="B1203" s="12" t="str">
        <x:v>9472</x:v>
      </x:c>
      <x:c r="C1203" s="12" t="str">
        <x:v>参考000</x:v>
      </x:c>
      <x:c r="D1203" s="12" t="str">
        <x:v>自动000</x:v>
      </x:c>
      <x:c r="E1203" s="12" t="n">
        <x:v>0</x:v>
      </x:c>
      <x:c r="F1203" s="12" t="n">
        <x:v>1</x:v>
      </x:c>
      <x:c r="G1203" s="12" t="n">
        <x:v>0</x:v>
      </x:c>
      <x:c r="H1203" s="12" t="n">
        <x:f>IF(SUM(I1203:K1203)&gt;0,1,0)</x:f>
        <x:v>0</x:v>
      </x:c>
      <x:c r="I1203" s="12" t="n">
        <x:f>IF('患者配对'!M1324="positive",1,0)</x:f>
        <x:v>0</x:v>
      </x:c>
      <x:c r="J1203" s="12" t="n">
        <x:f>IF('患者配对'!R1324="positive",1,0)</x:f>
        <x:v>0</x:v>
      </x:c>
      <x:c r="K1203" s="12" t="n">
        <x:f>IF('患者配对'!W1324="positive",1,0)</x:f>
        <x:v>0</x:v>
      </x:c>
      <x:c r="L1203" s="12" t="str">
        <x:v>由原件与原状态取得；仅主队列索引</x:v>
      </x:c>
      <x:c r="M1203" s="12"/>
      <x:c r="N1203" s="12"/>
      <x:c r="O1203" s="12"/>
    </x:row>
    <x:row r="1204" ht="39" customHeight="1">
      <x:c r="A1204" s="12" t="str">
        <x:v>12172</x:v>
      </x:c>
      <x:c r="B1204" s="12" t="str">
        <x:v>15109</x:v>
      </x:c>
      <x:c r="C1204" s="12" t="str">
        <x:v>参考000</x:v>
      </x:c>
      <x:c r="D1204" s="12" t="str">
        <x:v>自动000</x:v>
      </x:c>
      <x:c r="E1204" s="12" t="n">
        <x:v>0</x:v>
      </x:c>
      <x:c r="F1204" s="12" t="n">
        <x:v>0</x:v>
      </x:c>
      <x:c r="G1204" s="12" t="n">
        <x:v>0</x:v>
      </x:c>
      <x:c r="H1204" s="12" t="n">
        <x:f>IF(SUM(I1204:K1204)&gt;0,1,0)</x:f>
        <x:v>0</x:v>
      </x:c>
      <x:c r="I1204" s="12" t="n">
        <x:f>IF('患者配对'!M1325="positive",1,0)</x:f>
        <x:v>0</x:v>
      </x:c>
      <x:c r="J1204" s="12" t="n">
        <x:f>IF('患者配对'!R1325="positive",1,0)</x:f>
        <x:v>0</x:v>
      </x:c>
      <x:c r="K1204" s="12" t="n">
        <x:f>IF('患者配对'!W1325="positive",1,0)</x:f>
        <x:v>0</x:v>
      </x:c>
      <x:c r="L1204" s="12" t="str">
        <x:v>由原件与原状态取得；仅主队列索引</x:v>
      </x:c>
      <x:c r="M1204" s="12"/>
      <x:c r="N1204" s="12"/>
      <x:c r="O1204" s="12"/>
    </x:row>
    <x:row r="1205" ht="39" customHeight="1">
      <x:c r="A1205" s="12" t="str">
        <x:v>12176</x:v>
      </x:c>
      <x:c r="B1205" s="12" t="str">
        <x:v>16042</x:v>
      </x:c>
      <x:c r="C1205" s="12" t="str">
        <x:v>参考000</x:v>
      </x:c>
      <x:c r="D1205" s="12" t="str">
        <x:v>自动000</x:v>
      </x:c>
      <x:c r="E1205" s="12" t="n">
        <x:v>0</x:v>
      </x:c>
      <x:c r="F1205" s="12" t="n">
        <x:v>0</x:v>
      </x:c>
      <x:c r="G1205" s="12" t="n">
        <x:v>0</x:v>
      </x:c>
      <x:c r="H1205" s="12" t="n">
        <x:f>IF(SUM(I1205:K1205)&gt;0,1,0)</x:f>
        <x:v>0</x:v>
      </x:c>
      <x:c r="I1205" s="12" t="n">
        <x:f>IF('患者配对'!M1326="positive",1,0)</x:f>
        <x:v>0</x:v>
      </x:c>
      <x:c r="J1205" s="12" t="n">
        <x:f>IF('患者配对'!R1326="positive",1,0)</x:f>
        <x:v>0</x:v>
      </x:c>
      <x:c r="K1205" s="12" t="n">
        <x:f>IF('患者配对'!W1326="positive",1,0)</x:f>
        <x:v>0</x:v>
      </x:c>
      <x:c r="L1205" s="12" t="str">
        <x:v>由原件与原状态取得；仅主队列索引</x:v>
      </x:c>
      <x:c r="M1205" s="12"/>
      <x:c r="N1205" s="12"/>
      <x:c r="O1205" s="12"/>
    </x:row>
    <x:row r="1206" ht="39" customHeight="1">
      <x:c r="A1206" s="12" t="str">
        <x:v>12178</x:v>
      </x:c>
      <x:c r="B1206" s="12" t="str">
        <x:v>19226</x:v>
      </x:c>
      <x:c r="C1206" s="12" t="str">
        <x:v>参考010</x:v>
      </x:c>
      <x:c r="D1206" s="12" t="str">
        <x:v>自动010</x:v>
      </x:c>
      <x:c r="E1206" s="12" t="n">
        <x:v>1</x:v>
      </x:c>
      <x:c r="F1206" s="12" t="n">
        <x:v>1</x:v>
      </x:c>
      <x:c r="G1206" s="12" t="n">
        <x:v>0</x:v>
      </x:c>
      <x:c r="H1206" s="12" t="n">
        <x:f>IF(SUM(I1206:K1206)&gt;0,1,0)</x:f>
        <x:v>1</x:v>
      </x:c>
      <x:c r="I1206" s="12" t="n">
        <x:f>IF('患者配对'!M1327="positive",1,0)</x:f>
        <x:v>0</x:v>
      </x:c>
      <x:c r="J1206" s="12" t="n">
        <x:f>IF('患者配对'!R1327="positive",1,0)</x:f>
        <x:v>1</x:v>
      </x:c>
      <x:c r="K1206" s="12" t="n">
        <x:f>IF('患者配对'!W1327="positive",1,0)</x:f>
        <x:v>0</x:v>
      </x:c>
      <x:c r="L1206" s="12" t="str">
        <x:v>由原件与原状态取得；仅主队列索引</x:v>
      </x:c>
      <x:c r="M1206" s="12"/>
      <x:c r="N1206" s="12"/>
      <x:c r="O1206" s="12"/>
    </x:row>
    <x:row r="1207" ht="39" customHeight="1">
      <x:c r="A1207" s="12" t="str">
        <x:v>12179</x:v>
      </x:c>
      <x:c r="B1207" s="12" t="str">
        <x:v>17070</x:v>
      </x:c>
      <x:c r="C1207" s="12" t="str">
        <x:v>参考000</x:v>
      </x:c>
      <x:c r="D1207" s="12" t="str">
        <x:v>自动000</x:v>
      </x:c>
      <x:c r="E1207" s="12" t="n">
        <x:v>0</x:v>
      </x:c>
      <x:c r="F1207" s="12" t="n">
        <x:v>0</x:v>
      </x:c>
      <x:c r="G1207" s="12" t="n">
        <x:v>0</x:v>
      </x:c>
      <x:c r="H1207" s="12" t="n">
        <x:f>IF(SUM(I1207:K1207)&gt;0,1,0)</x:f>
        <x:v>0</x:v>
      </x:c>
      <x:c r="I1207" s="12" t="n">
        <x:f>IF('患者配对'!M1328="positive",1,0)</x:f>
        <x:v>0</x:v>
      </x:c>
      <x:c r="J1207" s="12" t="n">
        <x:f>IF('患者配对'!R1328="positive",1,0)</x:f>
        <x:v>0</x:v>
      </x:c>
      <x:c r="K1207" s="12" t="n">
        <x:f>IF('患者配对'!W1328="positive",1,0)</x:f>
        <x:v>0</x:v>
      </x:c>
      <x:c r="L1207" s="12" t="str">
        <x:v>由原件与原状态取得；仅主队列索引</x:v>
      </x:c>
      <x:c r="M1207" s="12"/>
      <x:c r="N1207" s="12"/>
      <x:c r="O1207" s="12"/>
    </x:row>
    <x:row r="1208" ht="39" customHeight="1">
      <x:c r="A1208" s="12" t="str">
        <x:v>12181</x:v>
      </x:c>
      <x:c r="B1208" s="12" t="str">
        <x:v>12576</x:v>
      </x:c>
      <x:c r="C1208" s="12" t="str">
        <x:v>参考000</x:v>
      </x:c>
      <x:c r="D1208" s="12" t="str">
        <x:v>自动000</x:v>
      </x:c>
      <x:c r="E1208" s="12" t="n">
        <x:v>0</x:v>
      </x:c>
      <x:c r="F1208" s="12" t="n">
        <x:v>0</x:v>
      </x:c>
      <x:c r="G1208" s="12" t="n">
        <x:v>0</x:v>
      </x:c>
      <x:c r="H1208" s="12" t="n">
        <x:f>IF(SUM(I1208:K1208)&gt;0,1,0)</x:f>
        <x:v>0</x:v>
      </x:c>
      <x:c r="I1208" s="12" t="n">
        <x:f>IF('患者配对'!M1329="positive",1,0)</x:f>
        <x:v>0</x:v>
      </x:c>
      <x:c r="J1208" s="12" t="n">
        <x:f>IF('患者配对'!R1329="positive",1,0)</x:f>
        <x:v>0</x:v>
      </x:c>
      <x:c r="K1208" s="12" t="n">
        <x:f>IF('患者配对'!W1329="positive",1,0)</x:f>
        <x:v>0</x:v>
      </x:c>
      <x:c r="L1208" s="12" t="str">
        <x:v>由原件与原状态取得；仅主队列索引</x:v>
      </x:c>
      <x:c r="M1208" s="12"/>
      <x:c r="N1208" s="12"/>
      <x:c r="O1208" s="12"/>
    </x:row>
    <x:row r="1209" ht="39" customHeight="1">
      <x:c r="A1209" s="12" t="str">
        <x:v>12189</x:v>
      </x:c>
      <x:c r="B1209" s="12" t="str">
        <x:v>9029</x:v>
      </x:c>
      <x:c r="C1209" s="12" t="str">
        <x:v>参考000</x:v>
      </x:c>
      <x:c r="D1209" s="12" t="str">
        <x:v>自动000</x:v>
      </x:c>
      <x:c r="E1209" s="12" t="n">
        <x:v>0</x:v>
      </x:c>
      <x:c r="F1209" s="12" t="n">
        <x:v>0</x:v>
      </x:c>
      <x:c r="G1209" s="12" t="n">
        <x:v>0</x:v>
      </x:c>
      <x:c r="H1209" s="12" t="n">
        <x:f>IF(SUM(I1209:K1209)&gt;0,1,0)</x:f>
        <x:v>0</x:v>
      </x:c>
      <x:c r="I1209" s="12" t="n">
        <x:f>IF('患者配对'!M1330="positive",1,0)</x:f>
        <x:v>0</x:v>
      </x:c>
      <x:c r="J1209" s="12" t="n">
        <x:f>IF('患者配对'!R1330="positive",1,0)</x:f>
        <x:v>0</x:v>
      </x:c>
      <x:c r="K1209" s="12" t="n">
        <x:f>IF('患者配对'!W1330="positive",1,0)</x:f>
        <x:v>0</x:v>
      </x:c>
      <x:c r="L1209" s="12" t="str">
        <x:v>由原件与原状态取得；仅主队列索引</x:v>
      </x:c>
      <x:c r="M1209" s="12"/>
      <x:c r="N1209" s="12"/>
      <x:c r="O1209" s="12"/>
    </x:row>
    <x:row r="1210" ht="39" customHeight="1">
      <x:c r="A1210" s="12" t="str">
        <x:v>12190</x:v>
      </x:c>
      <x:c r="B1210" s="12" t="str">
        <x:v>13119</x:v>
      </x:c>
      <x:c r="C1210" s="12" t="str">
        <x:v>参考000</x:v>
      </x:c>
      <x:c r="D1210" s="12" t="str">
        <x:v>自动000</x:v>
      </x:c>
      <x:c r="E1210" s="12" t="n">
        <x:v>0</x:v>
      </x:c>
      <x:c r="F1210" s="12" t="n">
        <x:v>0</x:v>
      </x:c>
      <x:c r="G1210" s="12" t="n">
        <x:v>0</x:v>
      </x:c>
      <x:c r="H1210" s="12" t="n">
        <x:f>IF(SUM(I1210:K1210)&gt;0,1,0)</x:f>
        <x:v>0</x:v>
      </x:c>
      <x:c r="I1210" s="12" t="n">
        <x:f>IF('患者配对'!M1331="positive",1,0)</x:f>
        <x:v>0</x:v>
      </x:c>
      <x:c r="J1210" s="12" t="n">
        <x:f>IF('患者配对'!R1331="positive",1,0)</x:f>
        <x:v>0</x:v>
      </x:c>
      <x:c r="K1210" s="12" t="n">
        <x:f>IF('患者配对'!W1331="positive",1,0)</x:f>
        <x:v>0</x:v>
      </x:c>
      <x:c r="L1210" s="12" t="str">
        <x:v>由原件与原状态取得；仅主队列索引</x:v>
      </x:c>
      <x:c r="M1210" s="12"/>
      <x:c r="N1210" s="12"/>
      <x:c r="O1210" s="12"/>
    </x:row>
    <x:row r="1211" ht="39" customHeight="1">
      <x:c r="A1211" s="12" t="str">
        <x:v>12192</x:v>
      </x:c>
      <x:c r="B1211" s="12" t="str">
        <x:v>12202</x:v>
      </x:c>
      <x:c r="C1211" s="12" t="str">
        <x:v>参考000</x:v>
      </x:c>
      <x:c r="D1211" s="12" t="str">
        <x:v>自动000</x:v>
      </x:c>
      <x:c r="E1211" s="12" t="n">
        <x:v>0</x:v>
      </x:c>
      <x:c r="F1211" s="12" t="n">
        <x:v>0</x:v>
      </x:c>
      <x:c r="G1211" s="12" t="n">
        <x:v>0</x:v>
      </x:c>
      <x:c r="H1211" s="12" t="n">
        <x:f>IF(SUM(I1211:K1211)&gt;0,1,0)</x:f>
        <x:v>0</x:v>
      </x:c>
      <x:c r="I1211" s="12" t="n">
        <x:f>IF('患者配对'!M1332="positive",1,0)</x:f>
        <x:v>0</x:v>
      </x:c>
      <x:c r="J1211" s="12" t="n">
        <x:f>IF('患者配对'!R1332="positive",1,0)</x:f>
        <x:v>0</x:v>
      </x:c>
      <x:c r="K1211" s="12" t="n">
        <x:f>IF('患者配对'!W1332="positive",1,0)</x:f>
        <x:v>0</x:v>
      </x:c>
      <x:c r="L1211" s="12" t="str">
        <x:v>由原件与原状态取得；仅主队列索引</x:v>
      </x:c>
      <x:c r="M1211" s="12"/>
      <x:c r="N1211" s="12"/>
      <x:c r="O1211" s="12"/>
    </x:row>
    <x:row r="1212" ht="39" customHeight="1">
      <x:c r="A1212" s="12" t="str">
        <x:v>12199</x:v>
      </x:c>
      <x:c r="B1212" s="12" t="str">
        <x:v>17861</x:v>
      </x:c>
      <x:c r="C1212" s="12" t="str">
        <x:v>参考000</x:v>
      </x:c>
      <x:c r="D1212" s="12" t="str">
        <x:v>自动000</x:v>
      </x:c>
      <x:c r="E1212" s="12" t="n">
        <x:v>0</x:v>
      </x:c>
      <x:c r="F1212" s="12" t="n">
        <x:v>0</x:v>
      </x:c>
      <x:c r="G1212" s="12" t="n">
        <x:v>0</x:v>
      </x:c>
      <x:c r="H1212" s="12" t="n">
        <x:f>IF(SUM(I1212:K1212)&gt;0,1,0)</x:f>
        <x:v>0</x:v>
      </x:c>
      <x:c r="I1212" s="12" t="n">
        <x:f>IF('患者配对'!M1335="positive",1,0)</x:f>
        <x:v>0</x:v>
      </x:c>
      <x:c r="J1212" s="12" t="n">
        <x:f>IF('患者配对'!R1335="positive",1,0)</x:f>
        <x:v>0</x:v>
      </x:c>
      <x:c r="K1212" s="12" t="n">
        <x:f>IF('患者配对'!W1335="positive",1,0)</x:f>
        <x:v>0</x:v>
      </x:c>
      <x:c r="L1212" s="12" t="str">
        <x:v>由原件与原状态取得；仅主队列索引</x:v>
      </x:c>
      <x:c r="M1212" s="12"/>
      <x:c r="N1212" s="12"/>
      <x:c r="O1212" s="12"/>
    </x:row>
    <x:row r="1213" ht="39" customHeight="1">
      <x:c r="A1213" s="12" t="str">
        <x:v>12201</x:v>
      </x:c>
      <x:c r="B1213" s="12" t="str">
        <x:v>19742</x:v>
      </x:c>
      <x:c r="C1213" s="12" t="str">
        <x:v>参考000</x:v>
      </x:c>
      <x:c r="D1213" s="12" t="str">
        <x:v>自动000</x:v>
      </x:c>
      <x:c r="E1213" s="12" t="n">
        <x:v>0</x:v>
      </x:c>
      <x:c r="F1213" s="12" t="n">
        <x:v>0</x:v>
      </x:c>
      <x:c r="G1213" s="12" t="n">
        <x:v>0</x:v>
      </x:c>
      <x:c r="H1213" s="12" t="n">
        <x:f>IF(SUM(I1213:K1213)&gt;0,1,0)</x:f>
        <x:v>0</x:v>
      </x:c>
      <x:c r="I1213" s="12" t="n">
        <x:f>IF('患者配对'!M1336="positive",1,0)</x:f>
        <x:v>0</x:v>
      </x:c>
      <x:c r="J1213" s="12" t="n">
        <x:f>IF('患者配对'!R1336="positive",1,0)</x:f>
        <x:v>0</x:v>
      </x:c>
      <x:c r="K1213" s="12" t="n">
        <x:f>IF('患者配对'!W1336="positive",1,0)</x:f>
        <x:v>0</x:v>
      </x:c>
      <x:c r="L1213" s="12" t="str">
        <x:v>由原件与原状态取得；仅主队列索引</x:v>
      </x:c>
      <x:c r="M1213" s="12"/>
      <x:c r="N1213" s="12"/>
      <x:c r="O1213" s="12"/>
    </x:row>
    <x:row r="1214" ht="39" customHeight="1">
      <x:c r="A1214" s="12" t="str">
        <x:v>12216</x:v>
      </x:c>
      <x:c r="B1214" s="12" t="str">
        <x:v>12546</x:v>
      </x:c>
      <x:c r="C1214" s="12" t="str">
        <x:v>参考000</x:v>
      </x:c>
      <x:c r="D1214" s="12" t="str">
        <x:v>自动000</x:v>
      </x:c>
      <x:c r="E1214" s="12" t="n">
        <x:v>0</x:v>
      </x:c>
      <x:c r="F1214" s="12" t="n">
        <x:v>1</x:v>
      </x:c>
      <x:c r="G1214" s="12" t="n">
        <x:v>0</x:v>
      </x:c>
      <x:c r="H1214" s="12" t="n">
        <x:f>IF(SUM(I1214:K1214)&gt;0,1,0)</x:f>
        <x:v>0</x:v>
      </x:c>
      <x:c r="I1214" s="12" t="n">
        <x:f>IF('患者配对'!M1337="positive",1,0)</x:f>
        <x:v>0</x:v>
      </x:c>
      <x:c r="J1214" s="12" t="n">
        <x:f>IF('患者配对'!R1337="positive",1,0)</x:f>
        <x:v>0</x:v>
      </x:c>
      <x:c r="K1214" s="12" t="n">
        <x:f>IF('患者配对'!W1337="positive",1,0)</x:f>
        <x:v>0</x:v>
      </x:c>
      <x:c r="L1214" s="12" t="str">
        <x:v>由原件与原状态取得；仅主队列索引</x:v>
      </x:c>
      <x:c r="M1214" s="12"/>
      <x:c r="N1214" s="12"/>
      <x:c r="O1214" s="12"/>
    </x:row>
    <x:row r="1215" ht="39" customHeight="1">
      <x:c r="A1215" s="12" t="str">
        <x:v>12220</x:v>
      </x:c>
      <x:c r="B1215" s="12" t="str">
        <x:v>12440</x:v>
      </x:c>
      <x:c r="C1215" s="12" t="str">
        <x:v>参考000</x:v>
      </x:c>
      <x:c r="D1215" s="12" t="str">
        <x:v>自动000</x:v>
      </x:c>
      <x:c r="E1215" s="12" t="n">
        <x:v>0</x:v>
      </x:c>
      <x:c r="F1215" s="12" t="n">
        <x:v>0</x:v>
      </x:c>
      <x:c r="G1215" s="12" t="n">
        <x:v>0</x:v>
      </x:c>
      <x:c r="H1215" s="12" t="n">
        <x:f>IF(SUM(I1215:K1215)&gt;0,1,0)</x:f>
        <x:v>0</x:v>
      </x:c>
      <x:c r="I1215" s="12" t="n">
        <x:f>IF('患者配对'!M1338="positive",1,0)</x:f>
        <x:v>0</x:v>
      </x:c>
      <x:c r="J1215" s="12" t="n">
        <x:f>IF('患者配对'!R1338="positive",1,0)</x:f>
        <x:v>0</x:v>
      </x:c>
      <x:c r="K1215" s="12" t="n">
        <x:f>IF('患者配对'!W1338="positive",1,0)</x:f>
        <x:v>0</x:v>
      </x:c>
      <x:c r="L1215" s="12" t="str">
        <x:v>由原件与原状态取得；仅主队列索引</x:v>
      </x:c>
      <x:c r="M1215" s="12"/>
      <x:c r="N1215" s="12"/>
      <x:c r="O1215" s="12"/>
    </x:row>
    <x:row r="1216" ht="39" customHeight="1">
      <x:c r="A1216" s="12" t="str">
        <x:v>12221</x:v>
      </x:c>
      <x:c r="B1216" s="12" t="str">
        <x:v>21745</x:v>
      </x:c>
      <x:c r="C1216" s="12" t="str">
        <x:v>参考000</x:v>
      </x:c>
      <x:c r="D1216" s="12" t="str">
        <x:v>自动000</x:v>
      </x:c>
      <x:c r="E1216" s="12" t="n">
        <x:v>0</x:v>
      </x:c>
      <x:c r="F1216" s="12" t="n">
        <x:v>1</x:v>
      </x:c>
      <x:c r="G1216" s="12" t="n">
        <x:v>0</x:v>
      </x:c>
      <x:c r="H1216" s="12" t="n">
        <x:f>IF(SUM(I1216:K1216)&gt;0,1,0)</x:f>
        <x:v>0</x:v>
      </x:c>
      <x:c r="I1216" s="12" t="n">
        <x:f>IF('患者配对'!M1339="positive",1,0)</x:f>
        <x:v>0</x:v>
      </x:c>
      <x:c r="J1216" s="12" t="n">
        <x:f>IF('患者配对'!R1339="positive",1,0)</x:f>
        <x:v>0</x:v>
      </x:c>
      <x:c r="K1216" s="12" t="n">
        <x:f>IF('患者配对'!W1339="positive",1,0)</x:f>
        <x:v>0</x:v>
      </x:c>
      <x:c r="L1216" s="12" t="str">
        <x:v>由原件与原状态取得；仅主队列索引</x:v>
      </x:c>
      <x:c r="M1216" s="12"/>
      <x:c r="N1216" s="12"/>
      <x:c r="O1216" s="12"/>
    </x:row>
    <x:row r="1217" ht="39" customHeight="1">
      <x:c r="A1217" s="12" t="str">
        <x:v>12223</x:v>
      </x:c>
      <x:c r="B1217" s="12" t="str">
        <x:v>18277</x:v>
      </x:c>
      <x:c r="C1217" s="12" t="str">
        <x:v>参考000</x:v>
      </x:c>
      <x:c r="D1217" s="12" t="str">
        <x:v>自动000</x:v>
      </x:c>
      <x:c r="E1217" s="12" t="n">
        <x:v>0</x:v>
      </x:c>
      <x:c r="F1217" s="12" t="n">
        <x:v>0</x:v>
      </x:c>
      <x:c r="G1217" s="12" t="n">
        <x:v>0</x:v>
      </x:c>
      <x:c r="H1217" s="12" t="n">
        <x:f>IF(SUM(I1217:K1217)&gt;0,1,0)</x:f>
        <x:v>0</x:v>
      </x:c>
      <x:c r="I1217" s="12" t="n">
        <x:f>IF('患者配对'!M1340="positive",1,0)</x:f>
        <x:v>0</x:v>
      </x:c>
      <x:c r="J1217" s="12" t="n">
        <x:f>IF('患者配对'!R1340="positive",1,0)</x:f>
        <x:v>0</x:v>
      </x:c>
      <x:c r="K1217" s="12" t="n">
        <x:f>IF('患者配对'!W1340="positive",1,0)</x:f>
        <x:v>0</x:v>
      </x:c>
      <x:c r="L1217" s="12" t="str">
        <x:v>由原件与原状态取得；仅主队列索引</x:v>
      </x:c>
      <x:c r="M1217" s="12"/>
      <x:c r="N1217" s="12"/>
      <x:c r="O1217" s="12"/>
    </x:row>
    <x:row r="1218" ht="39" customHeight="1">
      <x:c r="A1218" s="12" t="str">
        <x:v>12224</x:v>
      </x:c>
      <x:c r="B1218" s="12" t="str">
        <x:v>9692</x:v>
      </x:c>
      <x:c r="C1218" s="12" t="str">
        <x:v>参考000</x:v>
      </x:c>
      <x:c r="D1218" s="12" t="str">
        <x:v>自动000</x:v>
      </x:c>
      <x:c r="E1218" s="12" t="n">
        <x:v>0</x:v>
      </x:c>
      <x:c r="F1218" s="12" t="n">
        <x:v>1</x:v>
      </x:c>
      <x:c r="G1218" s="12" t="n">
        <x:v>0</x:v>
      </x:c>
      <x:c r="H1218" s="12" t="n">
        <x:f>IF(SUM(I1218:K1218)&gt;0,1,0)</x:f>
        <x:v>0</x:v>
      </x:c>
      <x:c r="I1218" s="12" t="n">
        <x:f>IF('患者配对'!M1341="positive",1,0)</x:f>
        <x:v>0</x:v>
      </x:c>
      <x:c r="J1218" s="12" t="n">
        <x:f>IF('患者配对'!R1341="positive",1,0)</x:f>
        <x:v>0</x:v>
      </x:c>
      <x:c r="K1218" s="12" t="n">
        <x:f>IF('患者配对'!W1341="positive",1,0)</x:f>
        <x:v>0</x:v>
      </x:c>
      <x:c r="L1218" s="12" t="str">
        <x:v>由原件与原状态取得；仅主队列索引</x:v>
      </x:c>
      <x:c r="M1218" s="12"/>
      <x:c r="N1218" s="12"/>
      <x:c r="O1218" s="12"/>
    </x:row>
    <x:row r="1219" ht="39" customHeight="1">
      <x:c r="A1219" s="12" t="str">
        <x:v>12230</x:v>
      </x:c>
      <x:c r="B1219" s="12" t="str">
        <x:v>21715</x:v>
      </x:c>
      <x:c r="C1219" s="12" t="str">
        <x:v>参考000</x:v>
      </x:c>
      <x:c r="D1219" s="12" t="str">
        <x:v>自动000</x:v>
      </x:c>
      <x:c r="E1219" s="12" t="n">
        <x:v>0</x:v>
      </x:c>
      <x:c r="F1219" s="12" t="n">
        <x:v>0</x:v>
      </x:c>
      <x:c r="G1219" s="12" t="n">
        <x:v>0</x:v>
      </x:c>
      <x:c r="H1219" s="12" t="n">
        <x:f>IF(SUM(I1219:K1219)&gt;0,1,0)</x:f>
        <x:v>0</x:v>
      </x:c>
      <x:c r="I1219" s="12" t="n">
        <x:f>IF('患者配对'!M1342="positive",1,0)</x:f>
        <x:v>0</x:v>
      </x:c>
      <x:c r="J1219" s="12" t="n">
        <x:f>IF('患者配对'!R1342="positive",1,0)</x:f>
        <x:v>0</x:v>
      </x:c>
      <x:c r="K1219" s="12" t="n">
        <x:f>IF('患者配对'!W1342="positive",1,0)</x:f>
        <x:v>0</x:v>
      </x:c>
      <x:c r="L1219" s="12" t="str">
        <x:v>由原件与原状态取得；仅主队列索引</x:v>
      </x:c>
      <x:c r="M1219" s="12"/>
      <x:c r="N1219" s="12"/>
      <x:c r="O1219" s="12"/>
    </x:row>
    <x:row r="1220" ht="39" customHeight="1">
      <x:c r="A1220" s="12" t="str">
        <x:v>12235</x:v>
      </x:c>
      <x:c r="B1220" s="12" t="str">
        <x:v>10043</x:v>
      </x:c>
      <x:c r="C1220" s="12" t="str">
        <x:v>参考000</x:v>
      </x:c>
      <x:c r="D1220" s="12" t="str">
        <x:v>自动000</x:v>
      </x:c>
      <x:c r="E1220" s="12" t="n">
        <x:v>0</x:v>
      </x:c>
      <x:c r="F1220" s="12" t="n">
        <x:v>1</x:v>
      </x:c>
      <x:c r="G1220" s="12" t="n">
        <x:v>0</x:v>
      </x:c>
      <x:c r="H1220" s="12" t="n">
        <x:f>IF(SUM(I1220:K1220)&gt;0,1,0)</x:f>
        <x:v>0</x:v>
      </x:c>
      <x:c r="I1220" s="12" t="n">
        <x:f>IF('患者配对'!M1343="positive",1,0)</x:f>
        <x:v>0</x:v>
      </x:c>
      <x:c r="J1220" s="12" t="n">
        <x:f>IF('患者配对'!R1343="positive",1,0)</x:f>
        <x:v>0</x:v>
      </x:c>
      <x:c r="K1220" s="12" t="n">
        <x:f>IF('患者配对'!W1343="positive",1,0)</x:f>
        <x:v>0</x:v>
      </x:c>
      <x:c r="L1220" s="12" t="str">
        <x:v>由原件与原状态取得；仅主队列索引</x:v>
      </x:c>
      <x:c r="M1220" s="12"/>
      <x:c r="N1220" s="12"/>
      <x:c r="O1220" s="12"/>
    </x:row>
    <x:row r="1221" ht="39" customHeight="1">
      <x:c r="A1221" s="12" t="str">
        <x:v>12241</x:v>
      </x:c>
      <x:c r="B1221" s="12" t="str">
        <x:v>18299</x:v>
      </x:c>
      <x:c r="C1221" s="12" t="str">
        <x:v>参考000</x:v>
      </x:c>
      <x:c r="D1221" s="12" t="str">
        <x:v>自动000</x:v>
      </x:c>
      <x:c r="E1221" s="12" t="n">
        <x:v>0</x:v>
      </x:c>
      <x:c r="F1221" s="12" t="n">
        <x:v>0</x:v>
      </x:c>
      <x:c r="G1221" s="12" t="n">
        <x:v>0</x:v>
      </x:c>
      <x:c r="H1221" s="12" t="n">
        <x:f>IF(SUM(I1221:K1221)&gt;0,1,0)</x:f>
        <x:v>0</x:v>
      </x:c>
      <x:c r="I1221" s="12" t="n">
        <x:f>IF('患者配对'!M1344="positive",1,0)</x:f>
        <x:v>0</x:v>
      </x:c>
      <x:c r="J1221" s="12" t="n">
        <x:f>IF('患者配对'!R1344="positive",1,0)</x:f>
        <x:v>0</x:v>
      </x:c>
      <x:c r="K1221" s="12" t="n">
        <x:f>IF('患者配对'!W1344="positive",1,0)</x:f>
        <x:v>0</x:v>
      </x:c>
      <x:c r="L1221" s="12" t="str">
        <x:v>由原件与原状态取得；仅主队列索引</x:v>
      </x:c>
      <x:c r="M1221" s="12"/>
      <x:c r="N1221" s="12"/>
      <x:c r="O1221" s="12"/>
    </x:row>
    <x:row r="1222" ht="39" customHeight="1">
      <x:c r="A1222" s="12" t="str">
        <x:v>12252</x:v>
      </x:c>
      <x:c r="B1222" s="12" t="str">
        <x:v>18001</x:v>
      </x:c>
      <x:c r="C1222" s="12" t="str">
        <x:v>参考000</x:v>
      </x:c>
      <x:c r="D1222" s="12" t="str">
        <x:v>自动000</x:v>
      </x:c>
      <x:c r="E1222" s="12" t="n">
        <x:v>0</x:v>
      </x:c>
      <x:c r="F1222" s="12" t="n">
        <x:v>0</x:v>
      </x:c>
      <x:c r="G1222" s="12" t="n">
        <x:v>0</x:v>
      </x:c>
      <x:c r="H1222" s="12" t="n">
        <x:f>IF(SUM(I1222:K1222)&gt;0,1,0)</x:f>
        <x:v>0</x:v>
      </x:c>
      <x:c r="I1222" s="12" t="n">
        <x:f>IF('患者配对'!M1345="positive",1,0)</x:f>
        <x:v>0</x:v>
      </x:c>
      <x:c r="J1222" s="12" t="n">
        <x:f>IF('患者配对'!R1345="positive",1,0)</x:f>
        <x:v>0</x:v>
      </x:c>
      <x:c r="K1222" s="12" t="n">
        <x:f>IF('患者配对'!W1345="positive",1,0)</x:f>
        <x:v>0</x:v>
      </x:c>
      <x:c r="L1222" s="12" t="str">
        <x:v>由原件与原状态取得；仅主队列索引</x:v>
      </x:c>
      <x:c r="M1222" s="12"/>
      <x:c r="N1222" s="12"/>
      <x:c r="O1222" s="12"/>
    </x:row>
    <x:row r="1223" ht="39" customHeight="1">
      <x:c r="A1223" s="12" t="str">
        <x:v>12262</x:v>
      </x:c>
      <x:c r="B1223" s="12" t="str">
        <x:v>13944</x:v>
      </x:c>
      <x:c r="C1223" s="12" t="str">
        <x:v>参考000</x:v>
      </x:c>
      <x:c r="D1223" s="12" t="str">
        <x:v>自动000</x:v>
      </x:c>
      <x:c r="E1223" s="12" t="n">
        <x:v>0</x:v>
      </x:c>
      <x:c r="F1223" s="12" t="n">
        <x:v>0</x:v>
      </x:c>
      <x:c r="G1223" s="12" t="n">
        <x:v>0</x:v>
      </x:c>
      <x:c r="H1223" s="12" t="n">
        <x:f>IF(SUM(I1223:K1223)&gt;0,1,0)</x:f>
        <x:v>0</x:v>
      </x:c>
      <x:c r="I1223" s="12" t="n">
        <x:f>IF('患者配对'!M1347="positive",1,0)</x:f>
        <x:v>0</x:v>
      </x:c>
      <x:c r="J1223" s="12" t="n">
        <x:f>IF('患者配对'!R1347="positive",1,0)</x:f>
        <x:v>0</x:v>
      </x:c>
      <x:c r="K1223" s="12" t="n">
        <x:f>IF('患者配对'!W1347="positive",1,0)</x:f>
        <x:v>0</x:v>
      </x:c>
      <x:c r="L1223" s="12" t="str">
        <x:v>由原件与原状态取得；仅主队列索引</x:v>
      </x:c>
      <x:c r="M1223" s="12"/>
      <x:c r="N1223" s="12"/>
      <x:c r="O1223" s="12"/>
    </x:row>
    <x:row r="1224" ht="39" customHeight="1">
      <x:c r="A1224" s="12" t="str">
        <x:v>12276</x:v>
      </x:c>
      <x:c r="B1224" s="12" t="str">
        <x:v>5927</x:v>
      </x:c>
      <x:c r="C1224" s="12" t="str">
        <x:v>参考000</x:v>
      </x:c>
      <x:c r="D1224" s="12" t="str">
        <x:v>自动000</x:v>
      </x:c>
      <x:c r="E1224" s="12" t="n">
        <x:v>0</x:v>
      </x:c>
      <x:c r="F1224" s="12" t="n">
        <x:v>0</x:v>
      </x:c>
      <x:c r="G1224" s="12" t="n">
        <x:v>0</x:v>
      </x:c>
      <x:c r="H1224" s="12" t="n">
        <x:f>IF(SUM(I1224:K1224)&gt;0,1,0)</x:f>
        <x:v>0</x:v>
      </x:c>
      <x:c r="I1224" s="12" t="n">
        <x:f>IF('患者配对'!M1348="positive",1,0)</x:f>
        <x:v>0</x:v>
      </x:c>
      <x:c r="J1224" s="12" t="n">
        <x:f>IF('患者配对'!R1348="positive",1,0)</x:f>
        <x:v>0</x:v>
      </x:c>
      <x:c r="K1224" s="12" t="n">
        <x:f>IF('患者配对'!W1348="positive",1,0)</x:f>
        <x:v>0</x:v>
      </x:c>
      <x:c r="L1224" s="12" t="str">
        <x:v>由原件与原状态取得；仅主队列索引</x:v>
      </x:c>
      <x:c r="M1224" s="12"/>
      <x:c r="N1224" s="12"/>
      <x:c r="O1224" s="12"/>
    </x:row>
    <x:row r="1225" ht="39" customHeight="1">
      <x:c r="A1225" s="12" t="str">
        <x:v>12277</x:v>
      </x:c>
      <x:c r="B1225" s="12" t="str">
        <x:v>14199</x:v>
      </x:c>
      <x:c r="C1225" s="12" t="str">
        <x:v>参考000</x:v>
      </x:c>
      <x:c r="D1225" s="12" t="str">
        <x:v>自动000</x:v>
      </x:c>
      <x:c r="E1225" s="12" t="n">
        <x:v>0</x:v>
      </x:c>
      <x:c r="F1225" s="12" t="n">
        <x:v>0</x:v>
      </x:c>
      <x:c r="G1225" s="12" t="n">
        <x:v>0</x:v>
      </x:c>
      <x:c r="H1225" s="12" t="n">
        <x:f>IF(SUM(I1225:K1225)&gt;0,1,0)</x:f>
        <x:v>0</x:v>
      </x:c>
      <x:c r="I1225" s="12" t="n">
        <x:f>IF('患者配对'!M1349="positive",1,0)</x:f>
        <x:v>0</x:v>
      </x:c>
      <x:c r="J1225" s="12" t="n">
        <x:f>IF('患者配对'!R1349="positive",1,0)</x:f>
        <x:v>0</x:v>
      </x:c>
      <x:c r="K1225" s="12" t="n">
        <x:f>IF('患者配对'!W1349="positive",1,0)</x:f>
        <x:v>0</x:v>
      </x:c>
      <x:c r="L1225" s="12" t="str">
        <x:v>由原件与原状态取得；仅主队列索引</x:v>
      </x:c>
      <x:c r="M1225" s="12"/>
      <x:c r="N1225" s="12"/>
      <x:c r="O1225" s="12"/>
    </x:row>
    <x:row r="1226" ht="39" customHeight="1">
      <x:c r="A1226" s="12" t="str">
        <x:v>12285</x:v>
      </x:c>
      <x:c r="B1226" s="12" t="str">
        <x:v>4069</x:v>
      </x:c>
      <x:c r="C1226" s="12" t="str">
        <x:v>参考000</x:v>
      </x:c>
      <x:c r="D1226" s="12" t="str">
        <x:v>自动000</x:v>
      </x:c>
      <x:c r="E1226" s="12" t="n">
        <x:v>0</x:v>
      </x:c>
      <x:c r="F1226" s="12" t="n">
        <x:v>0</x:v>
      </x:c>
      <x:c r="G1226" s="12" t="n">
        <x:v>0</x:v>
      </x:c>
      <x:c r="H1226" s="12" t="n">
        <x:f>IF(SUM(I1226:K1226)&gt;0,1,0)</x:f>
        <x:v>0</x:v>
      </x:c>
      <x:c r="I1226" s="12" t="n">
        <x:f>IF('患者配对'!M1351="positive",1,0)</x:f>
        <x:v>0</x:v>
      </x:c>
      <x:c r="J1226" s="12" t="n">
        <x:f>IF('患者配对'!R1351="positive",1,0)</x:f>
        <x:v>0</x:v>
      </x:c>
      <x:c r="K1226" s="12" t="n">
        <x:f>IF('患者配对'!W1351="positive",1,0)</x:f>
        <x:v>0</x:v>
      </x:c>
      <x:c r="L1226" s="12" t="str">
        <x:v>由原件与原状态取得；仅主队列索引</x:v>
      </x:c>
      <x:c r="M1226" s="12"/>
      <x:c r="N1226" s="12"/>
      <x:c r="O1226" s="12"/>
    </x:row>
    <x:row r="1227" ht="39" customHeight="1">
      <x:c r="A1227" s="12" t="str">
        <x:v>12301</x:v>
      </x:c>
      <x:c r="B1227" s="12" t="str">
        <x:v>6442</x:v>
      </x:c>
      <x:c r="C1227" s="12" t="str">
        <x:v>参考000</x:v>
      </x:c>
      <x:c r="D1227" s="12" t="str">
        <x:v>自动000</x:v>
      </x:c>
      <x:c r="E1227" s="12" t="n">
        <x:v>0</x:v>
      </x:c>
      <x:c r="F1227" s="12" t="n">
        <x:v>0</x:v>
      </x:c>
      <x:c r="G1227" s="12" t="n">
        <x:v>0</x:v>
      </x:c>
      <x:c r="H1227" s="12" t="n">
        <x:f>IF(SUM(I1227:K1227)&gt;0,1,0)</x:f>
        <x:v>0</x:v>
      </x:c>
      <x:c r="I1227" s="12" t="n">
        <x:f>IF('患者配对'!M1352="positive",1,0)</x:f>
        <x:v>0</x:v>
      </x:c>
      <x:c r="J1227" s="12" t="n">
        <x:f>IF('患者配对'!R1352="positive",1,0)</x:f>
        <x:v>0</x:v>
      </x:c>
      <x:c r="K1227" s="12" t="n">
        <x:f>IF('患者配对'!W1352="positive",1,0)</x:f>
        <x:v>0</x:v>
      </x:c>
      <x:c r="L1227" s="12" t="str">
        <x:v>由原件与原状态取得；仅主队列索引</x:v>
      </x:c>
      <x:c r="M1227" s="12"/>
      <x:c r="N1227" s="12"/>
      <x:c r="O1227" s="12"/>
    </x:row>
    <x:row r="1228" ht="39" customHeight="1">
      <x:c r="A1228" s="12" t="str">
        <x:v>12310</x:v>
      </x:c>
      <x:c r="B1228" s="12" t="str">
        <x:v>511</x:v>
      </x:c>
      <x:c r="C1228" s="12" t="str">
        <x:v>参考000</x:v>
      </x:c>
      <x:c r="D1228" s="12" t="str">
        <x:v>自动000</x:v>
      </x:c>
      <x:c r="E1228" s="12" t="n">
        <x:v>0</x:v>
      </x:c>
      <x:c r="F1228" s="12" t="n">
        <x:v>1</x:v>
      </x:c>
      <x:c r="G1228" s="12" t="n">
        <x:v>0</x:v>
      </x:c>
      <x:c r="H1228" s="12" t="n">
        <x:f>IF(SUM(I1228:K1228)&gt;0,1,0)</x:f>
        <x:v>0</x:v>
      </x:c>
      <x:c r="I1228" s="12" t="n">
        <x:f>IF('患者配对'!M1353="positive",1,0)</x:f>
        <x:v>0</x:v>
      </x:c>
      <x:c r="J1228" s="12" t="n">
        <x:f>IF('患者配对'!R1353="positive",1,0)</x:f>
        <x:v>0</x:v>
      </x:c>
      <x:c r="K1228" s="12" t="n">
        <x:f>IF('患者配对'!W1353="positive",1,0)</x:f>
        <x:v>0</x:v>
      </x:c>
      <x:c r="L1228" s="12" t="str">
        <x:v>由原件与原状态取得；仅主队列索引</x:v>
      </x:c>
      <x:c r="M1228" s="12"/>
      <x:c r="N1228" s="12"/>
      <x:c r="O1228" s="12"/>
    </x:row>
    <x:row r="1229" ht="39" customHeight="1">
      <x:c r="A1229" s="12" t="str">
        <x:v>12328</x:v>
      </x:c>
      <x:c r="B1229" s="12" t="str">
        <x:v>6109</x:v>
      </x:c>
      <x:c r="C1229" s="12" t="str">
        <x:v>参考000</x:v>
      </x:c>
      <x:c r="D1229" s="12" t="str">
        <x:v>自动000</x:v>
      </x:c>
      <x:c r="E1229" s="12" t="n">
        <x:v>0</x:v>
      </x:c>
      <x:c r="F1229" s="12" t="n">
        <x:v>0</x:v>
      </x:c>
      <x:c r="G1229" s="12" t="n">
        <x:v>0</x:v>
      </x:c>
      <x:c r="H1229" s="12" t="n">
        <x:f>IF(SUM(I1229:K1229)&gt;0,1,0)</x:f>
        <x:v>0</x:v>
      </x:c>
      <x:c r="I1229" s="12" t="n">
        <x:f>IF('患者配对'!M1354="positive",1,0)</x:f>
        <x:v>0</x:v>
      </x:c>
      <x:c r="J1229" s="12" t="n">
        <x:f>IF('患者配对'!R1354="positive",1,0)</x:f>
        <x:v>0</x:v>
      </x:c>
      <x:c r="K1229" s="12" t="n">
        <x:f>IF('患者配对'!W1354="positive",1,0)</x:f>
        <x:v>0</x:v>
      </x:c>
      <x:c r="L1229" s="12" t="str">
        <x:v>由原件与原状态取得；仅主队列索引</x:v>
      </x:c>
      <x:c r="M1229" s="12"/>
      <x:c r="N1229" s="12"/>
      <x:c r="O1229" s="12"/>
    </x:row>
    <x:row r="1230" ht="39" customHeight="1">
      <x:c r="A1230" s="12" t="str">
        <x:v>12336</x:v>
      </x:c>
      <x:c r="B1230" s="12" t="str">
        <x:v>6891</x:v>
      </x:c>
      <x:c r="C1230" s="12" t="str">
        <x:v>参考000</x:v>
      </x:c>
      <x:c r="D1230" s="12" t="str">
        <x:v>自动000</x:v>
      </x:c>
      <x:c r="E1230" s="12" t="n">
        <x:v>0</x:v>
      </x:c>
      <x:c r="F1230" s="12" t="n">
        <x:v>0</x:v>
      </x:c>
      <x:c r="G1230" s="12" t="n">
        <x:v>0</x:v>
      </x:c>
      <x:c r="H1230" s="12" t="n">
        <x:f>IF(SUM(I1230:K1230)&gt;0,1,0)</x:f>
        <x:v>0</x:v>
      </x:c>
      <x:c r="I1230" s="12" t="n">
        <x:f>IF('患者配对'!M1355="positive",1,0)</x:f>
        <x:v>0</x:v>
      </x:c>
      <x:c r="J1230" s="12" t="n">
        <x:f>IF('患者配对'!R1355="positive",1,0)</x:f>
        <x:v>0</x:v>
      </x:c>
      <x:c r="K1230" s="12" t="n">
        <x:f>IF('患者配对'!W1355="positive",1,0)</x:f>
        <x:v>0</x:v>
      </x:c>
      <x:c r="L1230" s="12" t="str">
        <x:v>由原件与原状态取得；仅主队列索引</x:v>
      </x:c>
      <x:c r="M1230" s="12"/>
      <x:c r="N1230" s="12"/>
      <x:c r="O1230" s="12"/>
    </x:row>
    <x:row r="1231" ht="39" customHeight="1">
      <x:c r="A1231" s="12" t="str">
        <x:v>12338</x:v>
      </x:c>
      <x:c r="B1231" s="12" t="str">
        <x:v>14881</x:v>
      </x:c>
      <x:c r="C1231" s="12" t="str">
        <x:v>参考000</x:v>
      </x:c>
      <x:c r="D1231" s="12" t="str">
        <x:v>自动000</x:v>
      </x:c>
      <x:c r="E1231" s="12" t="n">
        <x:v>0</x:v>
      </x:c>
      <x:c r="F1231" s="12" t="n">
        <x:v>0</x:v>
      </x:c>
      <x:c r="G1231" s="12" t="n">
        <x:v>0</x:v>
      </x:c>
      <x:c r="H1231" s="12" t="n">
        <x:f>IF(SUM(I1231:K1231)&gt;0,1,0)</x:f>
        <x:v>0</x:v>
      </x:c>
      <x:c r="I1231" s="12" t="n">
        <x:f>IF('患者配对'!M1356="positive",1,0)</x:f>
        <x:v>0</x:v>
      </x:c>
      <x:c r="J1231" s="12" t="n">
        <x:f>IF('患者配对'!R1356="positive",1,0)</x:f>
        <x:v>0</x:v>
      </x:c>
      <x:c r="K1231" s="12" t="n">
        <x:f>IF('患者配对'!W1356="positive",1,0)</x:f>
        <x:v>0</x:v>
      </x:c>
      <x:c r="L1231" s="12" t="str">
        <x:v>由原件与原状态取得；仅主队列索引</x:v>
      </x:c>
      <x:c r="M1231" s="12"/>
      <x:c r="N1231" s="12"/>
      <x:c r="O1231" s="12"/>
    </x:row>
    <x:row r="1232" ht="39" customHeight="1">
      <x:c r="A1232" s="12" t="str">
        <x:v>12340</x:v>
      </x:c>
      <x:c r="B1232" s="12" t="str">
        <x:v>5873</x:v>
      </x:c>
      <x:c r="C1232" s="12" t="str">
        <x:v>参考000</x:v>
      </x:c>
      <x:c r="D1232" s="12" t="str">
        <x:v>自动000</x:v>
      </x:c>
      <x:c r="E1232" s="12" t="n">
        <x:v>0</x:v>
      </x:c>
      <x:c r="F1232" s="12" t="n">
        <x:v>0</x:v>
      </x:c>
      <x:c r="G1232" s="12" t="n">
        <x:v>0</x:v>
      </x:c>
      <x:c r="H1232" s="12" t="n">
        <x:f>IF(SUM(I1232:K1232)&gt;0,1,0)</x:f>
        <x:v>0</x:v>
      </x:c>
      <x:c r="I1232" s="12" t="n">
        <x:f>IF('患者配对'!M1357="positive",1,0)</x:f>
        <x:v>0</x:v>
      </x:c>
      <x:c r="J1232" s="12" t="n">
        <x:f>IF('患者配对'!R1357="positive",1,0)</x:f>
        <x:v>0</x:v>
      </x:c>
      <x:c r="K1232" s="12" t="n">
        <x:f>IF('患者配对'!W1357="positive",1,0)</x:f>
        <x:v>0</x:v>
      </x:c>
      <x:c r="L1232" s="12" t="str">
        <x:v>由原件与原状态取得；仅主队列索引</x:v>
      </x:c>
      <x:c r="M1232" s="12"/>
      <x:c r="N1232" s="12"/>
      <x:c r="O1232" s="12"/>
    </x:row>
    <x:row r="1233" ht="39" customHeight="1">
      <x:c r="A1233" s="12" t="str">
        <x:v>12345</x:v>
      </x:c>
      <x:c r="B1233" s="12" t="str">
        <x:v>5942</x:v>
      </x:c>
      <x:c r="C1233" s="12" t="str">
        <x:v>参考000</x:v>
      </x:c>
      <x:c r="D1233" s="12" t="str">
        <x:v>自动000</x:v>
      </x:c>
      <x:c r="E1233" s="12" t="n">
        <x:v>0</x:v>
      </x:c>
      <x:c r="F1233" s="12" t="n">
        <x:v>0</x:v>
      </x:c>
      <x:c r="G1233" s="12" t="n">
        <x:v>0</x:v>
      </x:c>
      <x:c r="H1233" s="12" t="n">
        <x:f>IF(SUM(I1233:K1233)&gt;0,1,0)</x:f>
        <x:v>0</x:v>
      </x:c>
      <x:c r="I1233" s="12" t="n">
        <x:f>IF('患者配对'!M1358="positive",1,0)</x:f>
        <x:v>0</x:v>
      </x:c>
      <x:c r="J1233" s="12" t="n">
        <x:f>IF('患者配对'!R1358="positive",1,0)</x:f>
        <x:v>0</x:v>
      </x:c>
      <x:c r="K1233" s="12" t="n">
        <x:f>IF('患者配对'!W1358="positive",1,0)</x:f>
        <x:v>0</x:v>
      </x:c>
      <x:c r="L1233" s="12" t="str">
        <x:v>由原件与原状态取得；仅主队列索引</x:v>
      </x:c>
      <x:c r="M1233" s="12"/>
      <x:c r="N1233" s="12"/>
      <x:c r="O1233" s="12"/>
    </x:row>
    <x:row r="1234" ht="39" customHeight="1">
      <x:c r="A1234" s="12" t="str">
        <x:v>12348</x:v>
      </x:c>
      <x:c r="B1234" s="12" t="str">
        <x:v>5363</x:v>
      </x:c>
      <x:c r="C1234" s="12" t="str">
        <x:v>参考000</x:v>
      </x:c>
      <x:c r="D1234" s="12" t="str">
        <x:v>自动000</x:v>
      </x:c>
      <x:c r="E1234" s="12" t="n">
        <x:v>0</x:v>
      </x:c>
      <x:c r="F1234" s="12" t="n">
        <x:v>0</x:v>
      </x:c>
      <x:c r="G1234" s="12" t="n">
        <x:v>0</x:v>
      </x:c>
      <x:c r="H1234" s="12" t="n">
        <x:f>IF(SUM(I1234:K1234)&gt;0,1,0)</x:f>
        <x:v>0</x:v>
      </x:c>
      <x:c r="I1234" s="12" t="n">
        <x:f>IF('患者配对'!M1359="positive",1,0)</x:f>
        <x:v>0</x:v>
      </x:c>
      <x:c r="J1234" s="12" t="n">
        <x:f>IF('患者配对'!R1359="positive",1,0)</x:f>
        <x:v>0</x:v>
      </x:c>
      <x:c r="K1234" s="12" t="n">
        <x:f>IF('患者配对'!W1359="positive",1,0)</x:f>
        <x:v>0</x:v>
      </x:c>
      <x:c r="L1234" s="12" t="str">
        <x:v>由原件与原状态取得；仅主队列索引</x:v>
      </x:c>
      <x:c r="M1234" s="12"/>
      <x:c r="N1234" s="12"/>
      <x:c r="O1234" s="12"/>
    </x:row>
    <x:row r="1235" ht="39" customHeight="1">
      <x:c r="A1235" s="12" t="str">
        <x:v>12353</x:v>
      </x:c>
      <x:c r="B1235" s="12" t="str">
        <x:v>1867</x:v>
      </x:c>
      <x:c r="C1235" s="12" t="str">
        <x:v>参考000</x:v>
      </x:c>
      <x:c r="D1235" s="12" t="str">
        <x:v>自动000</x:v>
      </x:c>
      <x:c r="E1235" s="12" t="n">
        <x:v>0</x:v>
      </x:c>
      <x:c r="F1235" s="12" t="n">
        <x:v>0</x:v>
      </x:c>
      <x:c r="G1235" s="12" t="n">
        <x:v>0</x:v>
      </x:c>
      <x:c r="H1235" s="12" t="n">
        <x:f>IF(SUM(I1235:K1235)&gt;0,1,0)</x:f>
        <x:v>0</x:v>
      </x:c>
      <x:c r="I1235" s="12" t="n">
        <x:f>IF('患者配对'!M1360="positive",1,0)</x:f>
        <x:v>0</x:v>
      </x:c>
      <x:c r="J1235" s="12" t="n">
        <x:f>IF('患者配对'!R1360="positive",1,0)</x:f>
        <x:v>0</x:v>
      </x:c>
      <x:c r="K1235" s="12" t="n">
        <x:f>IF('患者配对'!W1360="positive",1,0)</x:f>
        <x:v>0</x:v>
      </x:c>
      <x:c r="L1235" s="12" t="str">
        <x:v>由原件与原状态取得；仅主队列索引</x:v>
      </x:c>
      <x:c r="M1235" s="12"/>
      <x:c r="N1235" s="12"/>
      <x:c r="O1235" s="12"/>
    </x:row>
    <x:row r="1236" ht="39" customHeight="1">
      <x:c r="A1236" s="12" t="str">
        <x:v>12355</x:v>
      </x:c>
      <x:c r="B1236" s="12" t="str">
        <x:v>2894</x:v>
      </x:c>
      <x:c r="C1236" s="12" t="str">
        <x:v>参考000</x:v>
      </x:c>
      <x:c r="D1236" s="12" t="str">
        <x:v>自动000</x:v>
      </x:c>
      <x:c r="E1236" s="12" t="n">
        <x:v>0</x:v>
      </x:c>
      <x:c r="F1236" s="12" t="n">
        <x:v>0</x:v>
      </x:c>
      <x:c r="G1236" s="12" t="n">
        <x:v>0</x:v>
      </x:c>
      <x:c r="H1236" s="12" t="n">
        <x:f>IF(SUM(I1236:K1236)&gt;0,1,0)</x:f>
        <x:v>0</x:v>
      </x:c>
      <x:c r="I1236" s="12" t="n">
        <x:f>IF('患者配对'!M1361="positive",1,0)</x:f>
        <x:v>0</x:v>
      </x:c>
      <x:c r="J1236" s="12" t="n">
        <x:f>IF('患者配对'!R1361="positive",1,0)</x:f>
        <x:v>0</x:v>
      </x:c>
      <x:c r="K1236" s="12" t="n">
        <x:f>IF('患者配对'!W1361="positive",1,0)</x:f>
        <x:v>0</x:v>
      </x:c>
      <x:c r="L1236" s="12" t="str">
        <x:v>由原件与原状态取得；仅主队列索引</x:v>
      </x:c>
      <x:c r="M1236" s="12"/>
      <x:c r="N1236" s="12"/>
      <x:c r="O1236" s="12"/>
    </x:row>
    <x:row r="1237" ht="39" customHeight="1">
      <x:c r="A1237" s="12" t="str">
        <x:v>12376</x:v>
      </x:c>
      <x:c r="B1237" s="12" t="str">
        <x:v>20950</x:v>
      </x:c>
      <x:c r="C1237" s="12" t="str">
        <x:v>参考000</x:v>
      </x:c>
      <x:c r="D1237" s="12" t="str">
        <x:v>自动000</x:v>
      </x:c>
      <x:c r="E1237" s="12" t="n">
        <x:v>0</x:v>
      </x:c>
      <x:c r="F1237" s="12" t="n">
        <x:v>0</x:v>
      </x:c>
      <x:c r="G1237" s="12" t="n">
        <x:v>0</x:v>
      </x:c>
      <x:c r="H1237" s="12" t="n">
        <x:f>IF(SUM(I1237:K1237)&gt;0,1,0)</x:f>
        <x:v>0</x:v>
      </x:c>
      <x:c r="I1237" s="12" t="n">
        <x:f>IF('患者配对'!M1362="positive",1,0)</x:f>
        <x:v>0</x:v>
      </x:c>
      <x:c r="J1237" s="12" t="n">
        <x:f>IF('患者配对'!R1362="positive",1,0)</x:f>
        <x:v>0</x:v>
      </x:c>
      <x:c r="K1237" s="12" t="n">
        <x:f>IF('患者配对'!W1362="positive",1,0)</x:f>
        <x:v>0</x:v>
      </x:c>
      <x:c r="L1237" s="12" t="str">
        <x:v>由原件与原状态取得；仅主队列索引</x:v>
      </x:c>
      <x:c r="M1237" s="12"/>
      <x:c r="N1237" s="12"/>
      <x:c r="O1237" s="12"/>
    </x:row>
    <x:row r="1238" ht="39" customHeight="1">
      <x:c r="A1238" s="12" t="str">
        <x:v>12400</x:v>
      </x:c>
      <x:c r="B1238" s="12" t="str">
        <x:v>11104</x:v>
      </x:c>
      <x:c r="C1238" s="12" t="str">
        <x:v>参考000</x:v>
      </x:c>
      <x:c r="D1238" s="12" t="str">
        <x:v>自动000</x:v>
      </x:c>
      <x:c r="E1238" s="12" t="n">
        <x:v>0</x:v>
      </x:c>
      <x:c r="F1238" s="12" t="n">
        <x:v>0</x:v>
      </x:c>
      <x:c r="G1238" s="12" t="n">
        <x:v>0</x:v>
      </x:c>
      <x:c r="H1238" s="12" t="n">
        <x:f>IF(SUM(I1238:K1238)&gt;0,1,0)</x:f>
        <x:v>0</x:v>
      </x:c>
      <x:c r="I1238" s="12" t="n">
        <x:f>IF('患者配对'!M1363="positive",1,0)</x:f>
        <x:v>0</x:v>
      </x:c>
      <x:c r="J1238" s="12" t="n">
        <x:f>IF('患者配对'!R1363="positive",1,0)</x:f>
        <x:v>0</x:v>
      </x:c>
      <x:c r="K1238" s="12" t="n">
        <x:f>IF('患者配对'!W1363="positive",1,0)</x:f>
        <x:v>0</x:v>
      </x:c>
      <x:c r="L1238" s="12" t="str">
        <x:v>由原件与原状态取得；仅主队列索引</x:v>
      </x:c>
      <x:c r="M1238" s="12"/>
      <x:c r="N1238" s="12"/>
      <x:c r="O1238" s="12"/>
    </x:row>
    <x:row r="1239" ht="39" customHeight="1">
      <x:c r="A1239" s="12" t="str">
        <x:v>12407</x:v>
      </x:c>
      <x:c r="B1239" s="12" t="str">
        <x:v>14659</x:v>
      </x:c>
      <x:c r="C1239" s="12" t="str">
        <x:v>参考000</x:v>
      </x:c>
      <x:c r="D1239" s="12" t="str">
        <x:v>自动000</x:v>
      </x:c>
      <x:c r="E1239" s="12" t="n">
        <x:v>0</x:v>
      </x:c>
      <x:c r="F1239" s="12" t="n">
        <x:v>0</x:v>
      </x:c>
      <x:c r="G1239" s="12" t="n">
        <x:v>0</x:v>
      </x:c>
      <x:c r="H1239" s="12" t="n">
        <x:f>IF(SUM(I1239:K1239)&gt;0,1,0)</x:f>
        <x:v>0</x:v>
      </x:c>
      <x:c r="I1239" s="12" t="n">
        <x:f>IF('患者配对'!M1364="positive",1,0)</x:f>
        <x:v>0</x:v>
      </x:c>
      <x:c r="J1239" s="12" t="n">
        <x:f>IF('患者配对'!R1364="positive",1,0)</x:f>
        <x:v>0</x:v>
      </x:c>
      <x:c r="K1239" s="12" t="n">
        <x:f>IF('患者配对'!W1364="positive",1,0)</x:f>
        <x:v>0</x:v>
      </x:c>
      <x:c r="L1239" s="12" t="str">
        <x:v>由原件与原状态取得；仅主队列索引</x:v>
      </x:c>
      <x:c r="M1239" s="12"/>
      <x:c r="N1239" s="12"/>
      <x:c r="O1239" s="12"/>
    </x:row>
    <x:row r="1240" ht="39" customHeight="1">
      <x:c r="A1240" s="12" t="str">
        <x:v>12409</x:v>
      </x:c>
      <x:c r="B1240" s="12" t="str">
        <x:v>5282</x:v>
      </x:c>
      <x:c r="C1240" s="12" t="str">
        <x:v>参考000</x:v>
      </x:c>
      <x:c r="D1240" s="12" t="str">
        <x:v>自动000</x:v>
      </x:c>
      <x:c r="E1240" s="12" t="n">
        <x:v>0</x:v>
      </x:c>
      <x:c r="F1240" s="12" t="n">
        <x:v>0</x:v>
      </x:c>
      <x:c r="G1240" s="12" t="n">
        <x:v>0</x:v>
      </x:c>
      <x:c r="H1240" s="12" t="n">
        <x:f>IF(SUM(I1240:K1240)&gt;0,1,0)</x:f>
        <x:v>0</x:v>
      </x:c>
      <x:c r="I1240" s="12" t="n">
        <x:f>IF('患者配对'!M1365="positive",1,0)</x:f>
        <x:v>0</x:v>
      </x:c>
      <x:c r="J1240" s="12" t="n">
        <x:f>IF('患者配对'!R1365="positive",1,0)</x:f>
        <x:v>0</x:v>
      </x:c>
      <x:c r="K1240" s="12" t="n">
        <x:f>IF('患者配对'!W1365="positive",1,0)</x:f>
        <x:v>0</x:v>
      </x:c>
      <x:c r="L1240" s="12" t="str">
        <x:v>由原件与原状态取得；仅主队列索引</x:v>
      </x:c>
      <x:c r="M1240" s="12"/>
      <x:c r="N1240" s="12"/>
      <x:c r="O1240" s="12"/>
    </x:row>
    <x:row r="1241" ht="39" customHeight="1">
      <x:c r="A1241" s="12" t="str">
        <x:v>12451</x:v>
      </x:c>
      <x:c r="B1241" s="12" t="str">
        <x:v>6988</x:v>
      </x:c>
      <x:c r="C1241" s="12" t="str">
        <x:v>参考000</x:v>
      </x:c>
      <x:c r="D1241" s="12" t="str">
        <x:v>自动000</x:v>
      </x:c>
      <x:c r="E1241" s="12" t="n">
        <x:v>0</x:v>
      </x:c>
      <x:c r="F1241" s="12" t="n">
        <x:v>0</x:v>
      </x:c>
      <x:c r="G1241" s="12" t="n">
        <x:v>0</x:v>
      </x:c>
      <x:c r="H1241" s="12" t="n">
        <x:f>IF(SUM(I1241:K1241)&gt;0,1,0)</x:f>
        <x:v>0</x:v>
      </x:c>
      <x:c r="I1241" s="12" t="n">
        <x:f>IF('患者配对'!M1367="positive",1,0)</x:f>
        <x:v>0</x:v>
      </x:c>
      <x:c r="J1241" s="12" t="n">
        <x:f>IF('患者配对'!R1367="positive",1,0)</x:f>
        <x:v>0</x:v>
      </x:c>
      <x:c r="K1241" s="12" t="n">
        <x:f>IF('患者配对'!W1367="positive",1,0)</x:f>
        <x:v>0</x:v>
      </x:c>
      <x:c r="L1241" s="12" t="str">
        <x:v>由原件与原状态取得；仅主队列索引</x:v>
      </x:c>
      <x:c r="M1241" s="12"/>
      <x:c r="N1241" s="12"/>
      <x:c r="O1241" s="12"/>
    </x:row>
    <x:row r="1242" ht="39" customHeight="1">
      <x:c r="A1242" s="12" t="str">
        <x:v>12475</x:v>
      </x:c>
      <x:c r="B1242" s="12" t="str">
        <x:v>7365</x:v>
      </x:c>
      <x:c r="C1242" s="12" t="str">
        <x:v>参考000</x:v>
      </x:c>
      <x:c r="D1242" s="12" t="str">
        <x:v>自动000</x:v>
      </x:c>
      <x:c r="E1242" s="12" t="n">
        <x:v>0</x:v>
      </x:c>
      <x:c r="F1242" s="12" t="n">
        <x:v>0</x:v>
      </x:c>
      <x:c r="G1242" s="12" t="n">
        <x:v>0</x:v>
      </x:c>
      <x:c r="H1242" s="12" t="n">
        <x:f>IF(SUM(I1242:K1242)&gt;0,1,0)</x:f>
        <x:v>0</x:v>
      </x:c>
      <x:c r="I1242" s="12" t="n">
        <x:f>IF('患者配对'!M1368="positive",1,0)</x:f>
        <x:v>0</x:v>
      </x:c>
      <x:c r="J1242" s="12" t="n">
        <x:f>IF('患者配对'!R1368="positive",1,0)</x:f>
        <x:v>0</x:v>
      </x:c>
      <x:c r="K1242" s="12" t="n">
        <x:f>IF('患者配对'!W1368="positive",1,0)</x:f>
        <x:v>0</x:v>
      </x:c>
      <x:c r="L1242" s="12" t="str">
        <x:v>由原件与原状态取得；仅主队列索引</x:v>
      </x:c>
      <x:c r="M1242" s="12"/>
      <x:c r="N1242" s="12"/>
      <x:c r="O1242" s="12"/>
    </x:row>
    <x:row r="1243" ht="39" customHeight="1">
      <x:c r="A1243" s="12" t="str">
        <x:v>12478</x:v>
      </x:c>
      <x:c r="B1243" s="12" t="str">
        <x:v>1503</x:v>
      </x:c>
      <x:c r="C1243" s="12" t="str">
        <x:v>参考000</x:v>
      </x:c>
      <x:c r="D1243" s="12" t="str">
        <x:v>自动000</x:v>
      </x:c>
      <x:c r="E1243" s="12" t="n">
        <x:v>0</x:v>
      </x:c>
      <x:c r="F1243" s="12" t="n">
        <x:v>0</x:v>
      </x:c>
      <x:c r="G1243" s="12" t="n">
        <x:v>0</x:v>
      </x:c>
      <x:c r="H1243" s="12" t="n">
        <x:f>IF(SUM(I1243:K1243)&gt;0,1,0)</x:f>
        <x:v>0</x:v>
      </x:c>
      <x:c r="I1243" s="12" t="n">
        <x:f>IF('患者配对'!M1369="positive",1,0)</x:f>
        <x:v>0</x:v>
      </x:c>
      <x:c r="J1243" s="12" t="n">
        <x:f>IF('患者配对'!R1369="positive",1,0)</x:f>
        <x:v>0</x:v>
      </x:c>
      <x:c r="K1243" s="12" t="n">
        <x:f>IF('患者配对'!W1369="positive",1,0)</x:f>
        <x:v>0</x:v>
      </x:c>
      <x:c r="L1243" s="12" t="str">
        <x:v>由原件与原状态取得；仅主队列索引</x:v>
      </x:c>
      <x:c r="M1243" s="12"/>
      <x:c r="N1243" s="12"/>
      <x:c r="O1243" s="12"/>
    </x:row>
    <x:row r="1244" ht="39" customHeight="1">
      <x:c r="A1244" s="12" t="str">
        <x:v>12480</x:v>
      </x:c>
      <x:c r="B1244" s="12" t="str">
        <x:v>5042</x:v>
      </x:c>
      <x:c r="C1244" s="12" t="str">
        <x:v>参考000</x:v>
      </x:c>
      <x:c r="D1244" s="12" t="str">
        <x:v>自动000</x:v>
      </x:c>
      <x:c r="E1244" s="12" t="n">
        <x:v>0</x:v>
      </x:c>
      <x:c r="F1244" s="12" t="n">
        <x:v>0</x:v>
      </x:c>
      <x:c r="G1244" s="12" t="n">
        <x:v>0</x:v>
      </x:c>
      <x:c r="H1244" s="12" t="n">
        <x:f>IF(SUM(I1244:K1244)&gt;0,1,0)</x:f>
        <x:v>0</x:v>
      </x:c>
      <x:c r="I1244" s="12" t="n">
        <x:f>IF('患者配对'!M1370="positive",1,0)</x:f>
        <x:v>0</x:v>
      </x:c>
      <x:c r="J1244" s="12" t="n">
        <x:f>IF('患者配对'!R1370="positive",1,0)</x:f>
        <x:v>0</x:v>
      </x:c>
      <x:c r="K1244" s="12" t="n">
        <x:f>IF('患者配对'!W1370="positive",1,0)</x:f>
        <x:v>0</x:v>
      </x:c>
      <x:c r="L1244" s="12" t="str">
        <x:v>由原件与原状态取得；仅主队列索引</x:v>
      </x:c>
      <x:c r="M1244" s="12"/>
      <x:c r="N1244" s="12"/>
      <x:c r="O1244" s="12"/>
    </x:row>
    <x:row r="1245" ht="39" customHeight="1">
      <x:c r="A1245" s="12" t="str">
        <x:v>12516</x:v>
      </x:c>
      <x:c r="B1245" s="12" t="str">
        <x:v>7714</x:v>
      </x:c>
      <x:c r="C1245" s="12" t="str">
        <x:v>参考000</x:v>
      </x:c>
      <x:c r="D1245" s="12" t="str">
        <x:v>自动000</x:v>
      </x:c>
      <x:c r="E1245" s="12" t="n">
        <x:v>0</x:v>
      </x:c>
      <x:c r="F1245" s="12" t="n">
        <x:v>0</x:v>
      </x:c>
      <x:c r="G1245" s="12" t="n">
        <x:v>0</x:v>
      </x:c>
      <x:c r="H1245" s="12" t="n">
        <x:f>IF(SUM(I1245:K1245)&gt;0,1,0)</x:f>
        <x:v>0</x:v>
      </x:c>
      <x:c r="I1245" s="12" t="n">
        <x:f>IF('患者配对'!M1371="positive",1,0)</x:f>
        <x:v>0</x:v>
      </x:c>
      <x:c r="J1245" s="12" t="n">
        <x:f>IF('患者配对'!R1371="positive",1,0)</x:f>
        <x:v>0</x:v>
      </x:c>
      <x:c r="K1245" s="12" t="n">
        <x:f>IF('患者配对'!W1371="positive",1,0)</x:f>
        <x:v>0</x:v>
      </x:c>
      <x:c r="L1245" s="12" t="str">
        <x:v>由原件与原状态取得；仅主队列索引</x:v>
      </x:c>
      <x:c r="M1245" s="12"/>
      <x:c r="N1245" s="12"/>
      <x:c r="O1245" s="12"/>
    </x:row>
    <x:row r="1246" ht="39" customHeight="1">
      <x:c r="A1246" s="12" t="str">
        <x:v>12521</x:v>
      </x:c>
      <x:c r="B1246" s="12" t="str">
        <x:v>502</x:v>
      </x:c>
      <x:c r="C1246" s="12" t="str">
        <x:v>参考000</x:v>
      </x:c>
      <x:c r="D1246" s="12" t="str">
        <x:v>自动000</x:v>
      </x:c>
      <x:c r="E1246" s="12" t="n">
        <x:v>0</x:v>
      </x:c>
      <x:c r="F1246" s="12" t="n">
        <x:v>1</x:v>
      </x:c>
      <x:c r="G1246" s="12" t="n">
        <x:v>0</x:v>
      </x:c>
      <x:c r="H1246" s="12" t="n">
        <x:f>IF(SUM(I1246:K1246)&gt;0,1,0)</x:f>
        <x:v>0</x:v>
      </x:c>
      <x:c r="I1246" s="12" t="n">
        <x:f>IF('患者配对'!M1374="positive",1,0)</x:f>
        <x:v>0</x:v>
      </x:c>
      <x:c r="J1246" s="12" t="n">
        <x:f>IF('患者配对'!R1374="positive",1,0)</x:f>
        <x:v>0</x:v>
      </x:c>
      <x:c r="K1246" s="12" t="n">
        <x:f>IF('患者配对'!W1374="positive",1,0)</x:f>
        <x:v>0</x:v>
      </x:c>
      <x:c r="L1246" s="12" t="str">
        <x:v>由原件与原状态取得；仅主队列索引</x:v>
      </x:c>
      <x:c r="M1246" s="12"/>
      <x:c r="N1246" s="12"/>
      <x:c r="O1246" s="12"/>
    </x:row>
    <x:row r="1247" ht="39" customHeight="1">
      <x:c r="A1247" s="12" t="str">
        <x:v>12528</x:v>
      </x:c>
      <x:c r="B1247" s="12" t="str">
        <x:v>4244</x:v>
      </x:c>
      <x:c r="C1247" s="12" t="str">
        <x:v>参考000</x:v>
      </x:c>
      <x:c r="D1247" s="12" t="str">
        <x:v>自动000</x:v>
      </x:c>
      <x:c r="E1247" s="12" t="n">
        <x:v>0</x:v>
      </x:c>
      <x:c r="F1247" s="12" t="n">
        <x:v>0</x:v>
      </x:c>
      <x:c r="G1247" s="12" t="n">
        <x:v>0</x:v>
      </x:c>
      <x:c r="H1247" s="12" t="n">
        <x:f>IF(SUM(I1247:K1247)&gt;0,1,0)</x:f>
        <x:v>0</x:v>
      </x:c>
      <x:c r="I1247" s="12" t="n">
        <x:f>IF('患者配对'!M1375="positive",1,0)</x:f>
        <x:v>0</x:v>
      </x:c>
      <x:c r="J1247" s="12" t="n">
        <x:f>IF('患者配对'!R1375="positive",1,0)</x:f>
        <x:v>0</x:v>
      </x:c>
      <x:c r="K1247" s="12" t="n">
        <x:f>IF('患者配对'!W1375="positive",1,0)</x:f>
        <x:v>0</x:v>
      </x:c>
      <x:c r="L1247" s="12" t="str">
        <x:v>由原件与原状态取得；仅主队列索引</x:v>
      </x:c>
      <x:c r="M1247" s="12"/>
      <x:c r="N1247" s="12"/>
      <x:c r="O1247" s="12"/>
    </x:row>
    <x:row r="1248" ht="39" customHeight="1">
      <x:c r="A1248" s="12" t="str">
        <x:v>12529</x:v>
      </x:c>
      <x:c r="B1248" s="12" t="str">
        <x:v>3673</x:v>
      </x:c>
      <x:c r="C1248" s="12" t="str">
        <x:v>参考000</x:v>
      </x:c>
      <x:c r="D1248" s="12" t="str">
        <x:v>自动000</x:v>
      </x:c>
      <x:c r="E1248" s="12" t="n">
        <x:v>0</x:v>
      </x:c>
      <x:c r="F1248" s="12" t="n">
        <x:v>0</x:v>
      </x:c>
      <x:c r="G1248" s="12" t="n">
        <x:v>0</x:v>
      </x:c>
      <x:c r="H1248" s="12" t="n">
        <x:f>IF(SUM(I1248:K1248)&gt;0,1,0)</x:f>
        <x:v>0</x:v>
      </x:c>
      <x:c r="I1248" s="12" t="n">
        <x:f>IF('患者配对'!M1376="positive",1,0)</x:f>
        <x:v>0</x:v>
      </x:c>
      <x:c r="J1248" s="12" t="n">
        <x:f>IF('患者配对'!R1376="positive",1,0)</x:f>
        <x:v>0</x:v>
      </x:c>
      <x:c r="K1248" s="12" t="n">
        <x:f>IF('患者配对'!W1376="positive",1,0)</x:f>
        <x:v>0</x:v>
      </x:c>
      <x:c r="L1248" s="12" t="str">
        <x:v>由原件与原状态取得；仅主队列索引</x:v>
      </x:c>
      <x:c r="M1248" s="12"/>
      <x:c r="N1248" s="12"/>
      <x:c r="O1248" s="12"/>
    </x:row>
    <x:row r="1249" ht="39" customHeight="1">
      <x:c r="A1249" s="12" t="str">
        <x:v>12533</x:v>
      </x:c>
      <x:c r="B1249" s="12" t="str">
        <x:v>21408</x:v>
      </x:c>
      <x:c r="C1249" s="12" t="str">
        <x:v>参考000</x:v>
      </x:c>
      <x:c r="D1249" s="12" t="str">
        <x:v>自动000</x:v>
      </x:c>
      <x:c r="E1249" s="12" t="n">
        <x:v>0</x:v>
      </x:c>
      <x:c r="F1249" s="12" t="n">
        <x:v>0</x:v>
      </x:c>
      <x:c r="G1249" s="12" t="n">
        <x:v>0</x:v>
      </x:c>
      <x:c r="H1249" s="12" t="n">
        <x:f>IF(SUM(I1249:K1249)&gt;0,1,0)</x:f>
        <x:v>0</x:v>
      </x:c>
      <x:c r="I1249" s="12" t="n">
        <x:f>IF('患者配对'!M1378="positive",1,0)</x:f>
        <x:v>0</x:v>
      </x:c>
      <x:c r="J1249" s="12" t="n">
        <x:f>IF('患者配对'!R1378="positive",1,0)</x:f>
        <x:v>0</x:v>
      </x:c>
      <x:c r="K1249" s="12" t="n">
        <x:f>IF('患者配对'!W1378="positive",1,0)</x:f>
        <x:v>0</x:v>
      </x:c>
      <x:c r="L1249" s="12" t="str">
        <x:v>由原件与原状态取得；仅主队列索引</x:v>
      </x:c>
      <x:c r="M1249" s="12"/>
      <x:c r="N1249" s="12"/>
      <x:c r="O1249" s="12"/>
    </x:row>
    <x:row r="1250" ht="39" customHeight="1">
      <x:c r="A1250" s="12" t="str">
        <x:v>12552</x:v>
      </x:c>
      <x:c r="B1250" s="12" t="str">
        <x:v>1873</x:v>
      </x:c>
      <x:c r="C1250" s="12" t="str">
        <x:v>参考001</x:v>
      </x:c>
      <x:c r="D1250" s="12" t="str">
        <x:v>自动001</x:v>
      </x:c>
      <x:c r="E1250" s="12" t="n">
        <x:v>1</x:v>
      </x:c>
      <x:c r="F1250" s="12" t="n">
        <x:v>1</x:v>
      </x:c>
      <x:c r="G1250" s="12" t="n">
        <x:v>0</x:v>
      </x:c>
      <x:c r="H1250" s="12" t="n">
        <x:f>IF(SUM(I1250:K1250)&gt;0,1,0)</x:f>
        <x:v>1</x:v>
      </x:c>
      <x:c r="I1250" s="12" t="n">
        <x:f>IF('患者配对'!M1380="positive",1,0)</x:f>
        <x:v>0</x:v>
      </x:c>
      <x:c r="J1250" s="12" t="n">
        <x:f>IF('患者配对'!R1380="positive",1,0)</x:f>
        <x:v>0</x:v>
      </x:c>
      <x:c r="K1250" s="12" t="n">
        <x:f>IF('患者配对'!W1380="positive",1,0)</x:f>
        <x:v>1</x:v>
      </x:c>
      <x:c r="L1250" s="12" t="str">
        <x:v>由原件与原状态取得；仅主队列索引</x:v>
      </x:c>
      <x:c r="M1250" s="12"/>
      <x:c r="N1250" s="12"/>
      <x:c r="O1250" s="12"/>
    </x:row>
    <x:row r="1251" ht="39" customHeight="1">
      <x:c r="A1251" s="12" t="str">
        <x:v>12568</x:v>
      </x:c>
      <x:c r="B1251" s="12" t="str">
        <x:v>19758</x:v>
      </x:c>
      <x:c r="C1251" s="12" t="str">
        <x:v>参考100</x:v>
      </x:c>
      <x:c r="D1251" s="12" t="str">
        <x:v>自动100</x:v>
      </x:c>
      <x:c r="E1251" s="12" t="n">
        <x:v>1</x:v>
      </x:c>
      <x:c r="F1251" s="12" t="n">
        <x:v>1</x:v>
      </x:c>
      <x:c r="G1251" s="12" t="n">
        <x:v>0</x:v>
      </x:c>
      <x:c r="H1251" s="12" t="n">
        <x:f>IF(SUM(I1251:K1251)&gt;0,1,0)</x:f>
        <x:v>1</x:v>
      </x:c>
      <x:c r="I1251" s="12" t="n">
        <x:f>IF('患者配对'!M1381="positive",1,0)</x:f>
        <x:v>1</x:v>
      </x:c>
      <x:c r="J1251" s="12" t="n">
        <x:f>IF('患者配对'!R1381="positive",1,0)</x:f>
        <x:v>0</x:v>
      </x:c>
      <x:c r="K1251" s="12" t="n">
        <x:f>IF('患者配对'!W1381="positive",1,0)</x:f>
        <x:v>0</x:v>
      </x:c>
      <x:c r="L1251" s="12" t="str">
        <x:v>由原件与原状态取得；仅主队列索引</x:v>
      </x:c>
      <x:c r="M1251" s="12"/>
      <x:c r="N1251" s="12"/>
      <x:c r="O1251" s="12"/>
    </x:row>
    <x:row r="1252" ht="39" customHeight="1">
      <x:c r="A1252" s="12" t="str">
        <x:v>12576</x:v>
      </x:c>
      <x:c r="B1252" s="12" t="str">
        <x:v>5352</x:v>
      </x:c>
      <x:c r="C1252" s="12" t="str">
        <x:v>参考000</x:v>
      </x:c>
      <x:c r="D1252" s="12" t="str">
        <x:v>自动000</x:v>
      </x:c>
      <x:c r="E1252" s="12" t="n">
        <x:v>0</x:v>
      </x:c>
      <x:c r="F1252" s="12" t="n">
        <x:v>0</x:v>
      </x:c>
      <x:c r="G1252" s="12" t="n">
        <x:v>0</x:v>
      </x:c>
      <x:c r="H1252" s="12" t="n">
        <x:f>IF(SUM(I1252:K1252)&gt;0,1,0)</x:f>
        <x:v>0</x:v>
      </x:c>
      <x:c r="I1252" s="12" t="n">
        <x:f>IF('患者配对'!M1382="positive",1,0)</x:f>
        <x:v>0</x:v>
      </x:c>
      <x:c r="J1252" s="12" t="n">
        <x:f>IF('患者配对'!R1382="positive",1,0)</x:f>
        <x:v>0</x:v>
      </x:c>
      <x:c r="K1252" s="12" t="n">
        <x:f>IF('患者配对'!W1382="positive",1,0)</x:f>
        <x:v>0</x:v>
      </x:c>
      <x:c r="L1252" s="12" t="str">
        <x:v>由原件与原状态取得；仅主队列索引</x:v>
      </x:c>
      <x:c r="M1252" s="12"/>
      <x:c r="N1252" s="12"/>
      <x:c r="O1252" s="12"/>
    </x:row>
    <x:row r="1253" ht="39" customHeight="1">
      <x:c r="A1253" s="12" t="str">
        <x:v>12577</x:v>
      </x:c>
      <x:c r="B1253" s="12" t="str">
        <x:v>4273</x:v>
      </x:c>
      <x:c r="C1253" s="12" t="str">
        <x:v>参考000</x:v>
      </x:c>
      <x:c r="D1253" s="12" t="str">
        <x:v>自动000</x:v>
      </x:c>
      <x:c r="E1253" s="12" t="n">
        <x:v>0</x:v>
      </x:c>
      <x:c r="F1253" s="12" t="n">
        <x:v>0</x:v>
      </x:c>
      <x:c r="G1253" s="12" t="n">
        <x:v>0</x:v>
      </x:c>
      <x:c r="H1253" s="12" t="n">
        <x:f>IF(SUM(I1253:K1253)&gt;0,1,0)</x:f>
        <x:v>0</x:v>
      </x:c>
      <x:c r="I1253" s="12" t="n">
        <x:f>IF('患者配对'!M1383="positive",1,0)</x:f>
        <x:v>0</x:v>
      </x:c>
      <x:c r="J1253" s="12" t="n">
        <x:f>IF('患者配对'!R1383="positive",1,0)</x:f>
        <x:v>0</x:v>
      </x:c>
      <x:c r="K1253" s="12" t="n">
        <x:f>IF('患者配对'!W1383="positive",1,0)</x:f>
        <x:v>0</x:v>
      </x:c>
      <x:c r="L1253" s="12" t="str">
        <x:v>由原件与原状态取得；仅主队列索引</x:v>
      </x:c>
      <x:c r="M1253" s="12"/>
      <x:c r="N1253" s="12"/>
      <x:c r="O1253" s="12"/>
    </x:row>
    <x:row r="1254" ht="39" customHeight="1">
      <x:c r="A1254" s="12" t="str">
        <x:v>12585</x:v>
      </x:c>
      <x:c r="B1254" s="12" t="str">
        <x:v>493</x:v>
      </x:c>
      <x:c r="C1254" s="12" t="str">
        <x:v>参考000</x:v>
      </x:c>
      <x:c r="D1254" s="12" t="str">
        <x:v>自动000</x:v>
      </x:c>
      <x:c r="E1254" s="12" t="n">
        <x:v>0</x:v>
      </x:c>
      <x:c r="F1254" s="12" t="n">
        <x:v>1</x:v>
      </x:c>
      <x:c r="G1254" s="12" t="n">
        <x:v>0</x:v>
      </x:c>
      <x:c r="H1254" s="12" t="n">
        <x:f>IF(SUM(I1254:K1254)&gt;0,1,0)</x:f>
        <x:v>0</x:v>
      </x:c>
      <x:c r="I1254" s="12" t="n">
        <x:f>IF('患者配对'!M1384="positive",1,0)</x:f>
        <x:v>0</x:v>
      </x:c>
      <x:c r="J1254" s="12" t="n">
        <x:f>IF('患者配对'!R1384="positive",1,0)</x:f>
        <x:v>0</x:v>
      </x:c>
      <x:c r="K1254" s="12" t="n">
        <x:f>IF('患者配对'!W1384="positive",1,0)</x:f>
        <x:v>0</x:v>
      </x:c>
      <x:c r="L1254" s="12" t="str">
        <x:v>由原件与原状态取得；仅主队列索引</x:v>
      </x:c>
      <x:c r="M1254" s="12"/>
      <x:c r="N1254" s="12"/>
      <x:c r="O1254" s="12"/>
    </x:row>
    <x:row r="1255" ht="39" customHeight="1">
      <x:c r="A1255" s="12" t="str">
        <x:v>12607</x:v>
      </x:c>
      <x:c r="B1255" s="12" t="str">
        <x:v>2553</x:v>
      </x:c>
      <x:c r="C1255" s="12" t="str">
        <x:v>参考000</x:v>
      </x:c>
      <x:c r="D1255" s="12" t="str">
        <x:v>自动000</x:v>
      </x:c>
      <x:c r="E1255" s="12" t="n">
        <x:v>0</x:v>
      </x:c>
      <x:c r="F1255" s="12" t="n">
        <x:v>0</x:v>
      </x:c>
      <x:c r="G1255" s="12" t="n">
        <x:v>0</x:v>
      </x:c>
      <x:c r="H1255" s="12" t="n">
        <x:f>IF(SUM(I1255:K1255)&gt;0,1,0)</x:f>
        <x:v>0</x:v>
      </x:c>
      <x:c r="I1255" s="12" t="n">
        <x:f>IF('患者配对'!M1386="positive",1,0)</x:f>
        <x:v>0</x:v>
      </x:c>
      <x:c r="J1255" s="12" t="n">
        <x:f>IF('患者配对'!R1386="positive",1,0)</x:f>
        <x:v>0</x:v>
      </x:c>
      <x:c r="K1255" s="12" t="n">
        <x:f>IF('患者配对'!W1386="positive",1,0)</x:f>
        <x:v>0</x:v>
      </x:c>
      <x:c r="L1255" s="12" t="str">
        <x:v>由原件与原状态取得；仅主队列索引</x:v>
      </x:c>
      <x:c r="M1255" s="12"/>
      <x:c r="N1255" s="12"/>
      <x:c r="O1255" s="12"/>
    </x:row>
    <x:row r="1256" ht="39" customHeight="1">
      <x:c r="A1256" s="12" t="str">
        <x:v>12618</x:v>
      </x:c>
      <x:c r="B1256" s="12" t="str">
        <x:v>7032</x:v>
      </x:c>
      <x:c r="C1256" s="12" t="str">
        <x:v>参考000</x:v>
      </x:c>
      <x:c r="D1256" s="12" t="str">
        <x:v>自动000</x:v>
      </x:c>
      <x:c r="E1256" s="12" t="n">
        <x:v>0</x:v>
      </x:c>
      <x:c r="F1256" s="12" t="n">
        <x:v>0</x:v>
      </x:c>
      <x:c r="G1256" s="12" t="n">
        <x:v>0</x:v>
      </x:c>
      <x:c r="H1256" s="12" t="n">
        <x:f>IF(SUM(I1256:K1256)&gt;0,1,0)</x:f>
        <x:v>0</x:v>
      </x:c>
      <x:c r="I1256" s="12" t="n">
        <x:f>IF('患者配对'!M1388="positive",1,0)</x:f>
        <x:v>0</x:v>
      </x:c>
      <x:c r="J1256" s="12" t="n">
        <x:f>IF('患者配对'!R1388="positive",1,0)</x:f>
        <x:v>0</x:v>
      </x:c>
      <x:c r="K1256" s="12" t="n">
        <x:f>IF('患者配对'!W1388="positive",1,0)</x:f>
        <x:v>0</x:v>
      </x:c>
      <x:c r="L1256" s="12" t="str">
        <x:v>由原件与原状态取得；仅主队列索引</x:v>
      </x:c>
      <x:c r="M1256" s="12"/>
      <x:c r="N1256" s="12"/>
      <x:c r="O1256" s="12"/>
    </x:row>
    <x:row r="1257" ht="39" customHeight="1">
      <x:c r="A1257" s="12" t="str">
        <x:v>12619</x:v>
      </x:c>
      <x:c r="B1257" s="12" t="str">
        <x:v>5648</x:v>
      </x:c>
      <x:c r="C1257" s="12" t="str">
        <x:v>参考000</x:v>
      </x:c>
      <x:c r="D1257" s="12" t="str">
        <x:v>自动000</x:v>
      </x:c>
      <x:c r="E1257" s="12" t="n">
        <x:v>0</x:v>
      </x:c>
      <x:c r="F1257" s="12" t="n">
        <x:v>0</x:v>
      </x:c>
      <x:c r="G1257" s="12" t="n">
        <x:v>0</x:v>
      </x:c>
      <x:c r="H1257" s="12" t="n">
        <x:f>IF(SUM(I1257:K1257)&gt;0,1,0)</x:f>
        <x:v>0</x:v>
      </x:c>
      <x:c r="I1257" s="12" t="n">
        <x:f>IF('患者配对'!M1389="positive",1,0)</x:f>
        <x:v>0</x:v>
      </x:c>
      <x:c r="J1257" s="12" t="n">
        <x:f>IF('患者配对'!R1389="positive",1,0)</x:f>
        <x:v>0</x:v>
      </x:c>
      <x:c r="K1257" s="12" t="n">
        <x:f>IF('患者配对'!W1389="positive",1,0)</x:f>
        <x:v>0</x:v>
      </x:c>
      <x:c r="L1257" s="12" t="str">
        <x:v>由原件与原状态取得；仅主队列索引</x:v>
      </x:c>
      <x:c r="M1257" s="12"/>
      <x:c r="N1257" s="12"/>
      <x:c r="O1257" s="12"/>
    </x:row>
    <x:row r="1258" ht="39" customHeight="1">
      <x:c r="A1258" s="12" t="str">
        <x:v>12631</x:v>
      </x:c>
      <x:c r="B1258" s="12" t="str">
        <x:v>2588</x:v>
      </x:c>
      <x:c r="C1258" s="12" t="str">
        <x:v>参考000</x:v>
      </x:c>
      <x:c r="D1258" s="12" t="str">
        <x:v>自动000</x:v>
      </x:c>
      <x:c r="E1258" s="12" t="n">
        <x:v>0</x:v>
      </x:c>
      <x:c r="F1258" s="12" t="n">
        <x:v>0</x:v>
      </x:c>
      <x:c r="G1258" s="12" t="n">
        <x:v>0</x:v>
      </x:c>
      <x:c r="H1258" s="12" t="n">
        <x:f>IF(SUM(I1258:K1258)&gt;0,1,0)</x:f>
        <x:v>0</x:v>
      </x:c>
      <x:c r="I1258" s="12" t="n">
        <x:f>IF('患者配对'!M1391="positive",1,0)</x:f>
        <x:v>0</x:v>
      </x:c>
      <x:c r="J1258" s="12" t="n">
        <x:f>IF('患者配对'!R1391="positive",1,0)</x:f>
        <x:v>0</x:v>
      </x:c>
      <x:c r="K1258" s="12" t="n">
        <x:f>IF('患者配对'!W1391="positive",1,0)</x:f>
        <x:v>0</x:v>
      </x:c>
      <x:c r="L1258" s="12" t="str">
        <x:v>由原件与原状态取得；仅主队列索引</x:v>
      </x:c>
      <x:c r="M1258" s="12"/>
      <x:c r="N1258" s="12"/>
      <x:c r="O1258" s="12"/>
    </x:row>
    <x:row r="1259" ht="39" customHeight="1">
      <x:c r="A1259" s="12" t="str">
        <x:v>12677</x:v>
      </x:c>
      <x:c r="B1259" s="12" t="str">
        <x:v>5341</x:v>
      </x:c>
      <x:c r="C1259" s="12" t="str">
        <x:v>参考000</x:v>
      </x:c>
      <x:c r="D1259" s="12" t="str">
        <x:v>自动000</x:v>
      </x:c>
      <x:c r="E1259" s="12" t="n">
        <x:v>0</x:v>
      </x:c>
      <x:c r="F1259" s="12" t="n">
        <x:v>0</x:v>
      </x:c>
      <x:c r="G1259" s="12" t="n">
        <x:v>0</x:v>
      </x:c>
      <x:c r="H1259" s="12" t="n">
        <x:f>IF(SUM(I1259:K1259)&gt;0,1,0)</x:f>
        <x:v>0</x:v>
      </x:c>
      <x:c r="I1259" s="12" t="n">
        <x:f>IF('患者配对'!M1395="positive",1,0)</x:f>
        <x:v>0</x:v>
      </x:c>
      <x:c r="J1259" s="12" t="n">
        <x:f>IF('患者配对'!R1395="positive",1,0)</x:f>
        <x:v>0</x:v>
      </x:c>
      <x:c r="K1259" s="12" t="n">
        <x:f>IF('患者配对'!W1395="positive",1,0)</x:f>
        <x:v>0</x:v>
      </x:c>
      <x:c r="L1259" s="12" t="str">
        <x:v>由原件与原状态取得；仅主队列索引</x:v>
      </x:c>
      <x:c r="M1259" s="12"/>
      <x:c r="N1259" s="12"/>
      <x:c r="O1259" s="12"/>
    </x:row>
    <x:row r="1260" ht="39" customHeight="1">
      <x:c r="A1260" s="12" t="str">
        <x:v>12679</x:v>
      </x:c>
      <x:c r="B1260" s="12" t="str">
        <x:v>2355</x:v>
      </x:c>
      <x:c r="C1260" s="12" t="str">
        <x:v>参考000</x:v>
      </x:c>
      <x:c r="D1260" s="12" t="str">
        <x:v>自动000</x:v>
      </x:c>
      <x:c r="E1260" s="12" t="n">
        <x:v>0</x:v>
      </x:c>
      <x:c r="F1260" s="12" t="n">
        <x:v>0</x:v>
      </x:c>
      <x:c r="G1260" s="12" t="n">
        <x:v>0</x:v>
      </x:c>
      <x:c r="H1260" s="12" t="n">
        <x:f>IF(SUM(I1260:K1260)&gt;0,1,0)</x:f>
        <x:v>0</x:v>
      </x:c>
      <x:c r="I1260" s="12" t="n">
        <x:f>IF('患者配对'!M1396="positive",1,0)</x:f>
        <x:v>0</x:v>
      </x:c>
      <x:c r="J1260" s="12" t="n">
        <x:f>IF('患者配对'!R1396="positive",1,0)</x:f>
        <x:v>0</x:v>
      </x:c>
      <x:c r="K1260" s="12" t="n">
        <x:f>IF('患者配对'!W1396="positive",1,0)</x:f>
        <x:v>0</x:v>
      </x:c>
      <x:c r="L1260" s="12" t="str">
        <x:v>由原件与原状态取得；仅主队列索引</x:v>
      </x:c>
      <x:c r="M1260" s="12"/>
      <x:c r="N1260" s="12"/>
      <x:c r="O1260" s="12"/>
    </x:row>
    <x:row r="1261" ht="39" customHeight="1">
      <x:c r="A1261" s="12" t="str">
        <x:v>12692</x:v>
      </x:c>
      <x:c r="B1261" s="12" t="str">
        <x:v>6898</x:v>
      </x:c>
      <x:c r="C1261" s="12" t="str">
        <x:v>参考000</x:v>
      </x:c>
      <x:c r="D1261" s="12" t="str">
        <x:v>自动000</x:v>
      </x:c>
      <x:c r="E1261" s="12" t="n">
        <x:v>0</x:v>
      </x:c>
      <x:c r="F1261" s="12" t="n">
        <x:v>0</x:v>
      </x:c>
      <x:c r="G1261" s="12" t="n">
        <x:v>0</x:v>
      </x:c>
      <x:c r="H1261" s="12" t="n">
        <x:f>IF(SUM(I1261:K1261)&gt;0,1,0)</x:f>
        <x:v>0</x:v>
      </x:c>
      <x:c r="I1261" s="12" t="n">
        <x:f>IF('患者配对'!M1397="positive",1,0)</x:f>
        <x:v>0</x:v>
      </x:c>
      <x:c r="J1261" s="12" t="n">
        <x:f>IF('患者配对'!R1397="positive",1,0)</x:f>
        <x:v>0</x:v>
      </x:c>
      <x:c r="K1261" s="12" t="n">
        <x:f>IF('患者配对'!W1397="positive",1,0)</x:f>
        <x:v>0</x:v>
      </x:c>
      <x:c r="L1261" s="12" t="str">
        <x:v>由原件与原状态取得；仅主队列索引</x:v>
      </x:c>
      <x:c r="M1261" s="12"/>
      <x:c r="N1261" s="12"/>
      <x:c r="O1261" s="12"/>
    </x:row>
    <x:row r="1262" ht="39" customHeight="1">
      <x:c r="A1262" s="12" t="str">
        <x:v>12699</x:v>
      </x:c>
      <x:c r="B1262" s="12" t="str">
        <x:v>6509</x:v>
      </x:c>
      <x:c r="C1262" s="12" t="str">
        <x:v>参考000</x:v>
      </x:c>
      <x:c r="D1262" s="12" t="str">
        <x:v>自动000</x:v>
      </x:c>
      <x:c r="E1262" s="12" t="n">
        <x:v>0</x:v>
      </x:c>
      <x:c r="F1262" s="12" t="n">
        <x:v>0</x:v>
      </x:c>
      <x:c r="G1262" s="12" t="n">
        <x:v>0</x:v>
      </x:c>
      <x:c r="H1262" s="12" t="n">
        <x:f>IF(SUM(I1262:K1262)&gt;0,1,0)</x:f>
        <x:v>0</x:v>
      </x:c>
      <x:c r="I1262" s="12" t="n">
        <x:f>IF('患者配对'!M1398="positive",1,0)</x:f>
        <x:v>0</x:v>
      </x:c>
      <x:c r="J1262" s="12" t="n">
        <x:f>IF('患者配对'!R1398="positive",1,0)</x:f>
        <x:v>0</x:v>
      </x:c>
      <x:c r="K1262" s="12" t="n">
        <x:f>IF('患者配对'!W1398="positive",1,0)</x:f>
        <x:v>0</x:v>
      </x:c>
      <x:c r="L1262" s="12" t="str">
        <x:v>由原件与原状态取得；仅主队列索引</x:v>
      </x:c>
      <x:c r="M1262" s="12"/>
      <x:c r="N1262" s="12"/>
      <x:c r="O1262" s="12"/>
    </x:row>
    <x:row r="1263" ht="39" customHeight="1">
      <x:c r="A1263" s="12" t="str">
        <x:v>12702</x:v>
      </x:c>
      <x:c r="B1263" s="12" t="str">
        <x:v>4248</x:v>
      </x:c>
      <x:c r="C1263" s="12" t="str">
        <x:v>参考000</x:v>
      </x:c>
      <x:c r="D1263" s="12" t="str">
        <x:v>自动000</x:v>
      </x:c>
      <x:c r="E1263" s="12" t="n">
        <x:v>0</x:v>
      </x:c>
      <x:c r="F1263" s="12" t="n">
        <x:v>1</x:v>
      </x:c>
      <x:c r="G1263" s="12" t="n">
        <x:v>0</x:v>
      </x:c>
      <x:c r="H1263" s="12" t="n">
        <x:f>IF(SUM(I1263:K1263)&gt;0,1,0)</x:f>
        <x:v>0</x:v>
      </x:c>
      <x:c r="I1263" s="12" t="n">
        <x:f>IF('患者配对'!M1399="positive",1,0)</x:f>
        <x:v>0</x:v>
      </x:c>
      <x:c r="J1263" s="12" t="n">
        <x:f>IF('患者配对'!R1399="positive",1,0)</x:f>
        <x:v>0</x:v>
      </x:c>
      <x:c r="K1263" s="12" t="n">
        <x:f>IF('患者配对'!W1399="positive",1,0)</x:f>
        <x:v>0</x:v>
      </x:c>
      <x:c r="L1263" s="12" t="str">
        <x:v>由原件与原状态取得；仅主队列索引</x:v>
      </x:c>
      <x:c r="M1263" s="12"/>
      <x:c r="N1263" s="12"/>
      <x:c r="O1263" s="12"/>
    </x:row>
    <x:row r="1264" ht="39" customHeight="1">
      <x:c r="A1264" s="12" t="str">
        <x:v>12703</x:v>
      </x:c>
      <x:c r="B1264" s="12" t="str">
        <x:v>4015</x:v>
      </x:c>
      <x:c r="C1264" s="12" t="str">
        <x:v>参考010</x:v>
      </x:c>
      <x:c r="D1264" s="12" t="str">
        <x:v>自动010</x:v>
      </x:c>
      <x:c r="E1264" s="12" t="n">
        <x:v>1</x:v>
      </x:c>
      <x:c r="F1264" s="12" t="n">
        <x:v>1</x:v>
      </x:c>
      <x:c r="G1264" s="12" t="n">
        <x:v>0</x:v>
      </x:c>
      <x:c r="H1264" s="12" t="n">
        <x:f>IF(SUM(I1264:K1264)&gt;0,1,0)</x:f>
        <x:v>1</x:v>
      </x:c>
      <x:c r="I1264" s="12" t="n">
        <x:f>IF('患者配对'!M1400="positive",1,0)</x:f>
        <x:v>0</x:v>
      </x:c>
      <x:c r="J1264" s="12" t="n">
        <x:f>IF('患者配对'!R1400="positive",1,0)</x:f>
        <x:v>1</x:v>
      </x:c>
      <x:c r="K1264" s="12" t="n">
        <x:f>IF('患者配对'!W1400="positive",1,0)</x:f>
        <x:v>0</x:v>
      </x:c>
      <x:c r="L1264" s="12" t="str">
        <x:v>由原件与原状态取得；仅主队列索引</x:v>
      </x:c>
      <x:c r="M1264" s="12"/>
      <x:c r="N1264" s="12"/>
      <x:c r="O1264" s="12"/>
    </x:row>
    <x:row r="1265" ht="39" customHeight="1">
      <x:c r="A1265" s="12" t="str">
        <x:v>12709</x:v>
      </x:c>
      <x:c r="B1265" s="12" t="str">
        <x:v>15291</x:v>
      </x:c>
      <x:c r="C1265" s="12" t="str">
        <x:v>参考000</x:v>
      </x:c>
      <x:c r="D1265" s="12" t="str">
        <x:v>自动000</x:v>
      </x:c>
      <x:c r="E1265" s="12" t="n">
        <x:v>0</x:v>
      </x:c>
      <x:c r="F1265" s="12" t="n">
        <x:v>0</x:v>
      </x:c>
      <x:c r="G1265" s="12" t="n">
        <x:v>0</x:v>
      </x:c>
      <x:c r="H1265" s="12" t="n">
        <x:f>IF(SUM(I1265:K1265)&gt;0,1,0)</x:f>
        <x:v>0</x:v>
      </x:c>
      <x:c r="I1265" s="12" t="n">
        <x:f>IF('患者配对'!M1401="positive",1,0)</x:f>
        <x:v>0</x:v>
      </x:c>
      <x:c r="J1265" s="12" t="n">
        <x:f>IF('患者配对'!R1401="positive",1,0)</x:f>
        <x:v>0</x:v>
      </x:c>
      <x:c r="K1265" s="12" t="n">
        <x:f>IF('患者配对'!W1401="positive",1,0)</x:f>
        <x:v>0</x:v>
      </x:c>
      <x:c r="L1265" s="12" t="str">
        <x:v>由原件与原状态取得；仅主队列索引</x:v>
      </x:c>
      <x:c r="M1265" s="12"/>
      <x:c r="N1265" s="12"/>
      <x:c r="O1265" s="12"/>
    </x:row>
    <x:row r="1266" ht="39" customHeight="1">
      <x:c r="A1266" s="12" t="str">
        <x:v>12711</x:v>
      </x:c>
      <x:c r="B1266" s="12" t="str">
        <x:v>6454</x:v>
      </x:c>
      <x:c r="C1266" s="12" t="str">
        <x:v>参考000</x:v>
      </x:c>
      <x:c r="D1266" s="12" t="str">
        <x:v>自动000</x:v>
      </x:c>
      <x:c r="E1266" s="12" t="n">
        <x:v>0</x:v>
      </x:c>
      <x:c r="F1266" s="12" t="n">
        <x:v>0</x:v>
      </x:c>
      <x:c r="G1266" s="12" t="n">
        <x:v>0</x:v>
      </x:c>
      <x:c r="H1266" s="12" t="n">
        <x:f>IF(SUM(I1266:K1266)&gt;0,1,0)</x:f>
        <x:v>0</x:v>
      </x:c>
      <x:c r="I1266" s="12" t="n">
        <x:f>IF('患者配对'!M1403="positive",1,0)</x:f>
        <x:v>0</x:v>
      </x:c>
      <x:c r="J1266" s="12" t="n">
        <x:f>IF('患者配对'!R1403="positive",1,0)</x:f>
        <x:v>0</x:v>
      </x:c>
      <x:c r="K1266" s="12" t="n">
        <x:f>IF('患者配对'!W1403="positive",1,0)</x:f>
        <x:v>0</x:v>
      </x:c>
      <x:c r="L1266" s="12" t="str">
        <x:v>由原件与原状态取得；仅主队列索引</x:v>
      </x:c>
      <x:c r="M1266" s="12"/>
      <x:c r="N1266" s="12"/>
      <x:c r="O1266" s="12"/>
    </x:row>
    <x:row r="1267" ht="39" customHeight="1">
      <x:c r="A1267" s="12" t="str">
        <x:v>12715</x:v>
      </x:c>
      <x:c r="B1267" s="12" t="str">
        <x:v>9910</x:v>
      </x:c>
      <x:c r="C1267" s="12" t="str">
        <x:v>参考000</x:v>
      </x:c>
      <x:c r="D1267" s="12" t="str">
        <x:v>自动000</x:v>
      </x:c>
      <x:c r="E1267" s="12" t="n">
        <x:v>0</x:v>
      </x:c>
      <x:c r="F1267" s="12" t="n">
        <x:v>1</x:v>
      </x:c>
      <x:c r="G1267" s="12" t="n">
        <x:v>0</x:v>
      </x:c>
      <x:c r="H1267" s="12" t="n">
        <x:f>IF(SUM(I1267:K1267)&gt;0,1,0)</x:f>
        <x:v>0</x:v>
      </x:c>
      <x:c r="I1267" s="12" t="n">
        <x:f>IF('患者配对'!M1404="positive",1,0)</x:f>
        <x:v>0</x:v>
      </x:c>
      <x:c r="J1267" s="12" t="n">
        <x:f>IF('患者配对'!R1404="positive",1,0)</x:f>
        <x:v>0</x:v>
      </x:c>
      <x:c r="K1267" s="12" t="n">
        <x:f>IF('患者配对'!W1404="positive",1,0)</x:f>
        <x:v>0</x:v>
      </x:c>
      <x:c r="L1267" s="12" t="str">
        <x:v>由原件与原状态取得；仅主队列索引</x:v>
      </x:c>
      <x:c r="M1267" s="12"/>
      <x:c r="N1267" s="12"/>
      <x:c r="O1267" s="12"/>
    </x:row>
    <x:row r="1268" ht="39" customHeight="1">
      <x:c r="A1268" s="12" t="str">
        <x:v>12719</x:v>
      </x:c>
      <x:c r="B1268" s="12" t="str">
        <x:v>1850</x:v>
      </x:c>
      <x:c r="C1268" s="12" t="str">
        <x:v>参考000</x:v>
      </x:c>
      <x:c r="D1268" s="12" t="str">
        <x:v>自动000</x:v>
      </x:c>
      <x:c r="E1268" s="12" t="n">
        <x:v>0</x:v>
      </x:c>
      <x:c r="F1268" s="12" t="n">
        <x:v>0</x:v>
      </x:c>
      <x:c r="G1268" s="12" t="n">
        <x:v>0</x:v>
      </x:c>
      <x:c r="H1268" s="12" t="n">
        <x:f>IF(SUM(I1268:K1268)&gt;0,1,0)</x:f>
        <x:v>0</x:v>
      </x:c>
      <x:c r="I1268" s="12" t="n">
        <x:f>IF('患者配对'!M1405="positive",1,0)</x:f>
        <x:v>0</x:v>
      </x:c>
      <x:c r="J1268" s="12" t="n">
        <x:f>IF('患者配对'!R1405="positive",1,0)</x:f>
        <x:v>0</x:v>
      </x:c>
      <x:c r="K1268" s="12" t="n">
        <x:f>IF('患者配对'!W1405="positive",1,0)</x:f>
        <x:v>0</x:v>
      </x:c>
      <x:c r="L1268" s="12" t="str">
        <x:v>由原件与原状态取得；仅主队列索引</x:v>
      </x:c>
      <x:c r="M1268" s="12"/>
      <x:c r="N1268" s="12"/>
      <x:c r="O1268" s="12"/>
    </x:row>
    <x:row r="1269" ht="39" customHeight="1">
      <x:c r="A1269" s="12" t="str">
        <x:v>12720</x:v>
      </x:c>
      <x:c r="B1269" s="12" t="str">
        <x:v>1440</x:v>
      </x:c>
      <x:c r="C1269" s="12" t="str">
        <x:v>参考000</x:v>
      </x:c>
      <x:c r="D1269" s="12" t="str">
        <x:v>自动000</x:v>
      </x:c>
      <x:c r="E1269" s="12" t="n">
        <x:v>0</x:v>
      </x:c>
      <x:c r="F1269" s="12" t="n">
        <x:v>0</x:v>
      </x:c>
      <x:c r="G1269" s="12" t="n">
        <x:v>0</x:v>
      </x:c>
      <x:c r="H1269" s="12" t="n">
        <x:f>IF(SUM(I1269:K1269)&gt;0,1,0)</x:f>
        <x:v>0</x:v>
      </x:c>
      <x:c r="I1269" s="12" t="n">
        <x:f>IF('患者配对'!M1406="positive",1,0)</x:f>
        <x:v>0</x:v>
      </x:c>
      <x:c r="J1269" s="12" t="n">
        <x:f>IF('患者配对'!R1406="positive",1,0)</x:f>
        <x:v>0</x:v>
      </x:c>
      <x:c r="K1269" s="12" t="n">
        <x:f>IF('患者配对'!W1406="positive",1,0)</x:f>
        <x:v>0</x:v>
      </x:c>
      <x:c r="L1269" s="12" t="str">
        <x:v>由原件与原状态取得；仅主队列索引</x:v>
      </x:c>
      <x:c r="M1269" s="12"/>
      <x:c r="N1269" s="12"/>
      <x:c r="O1269" s="12"/>
    </x:row>
    <x:row r="1270" ht="39" customHeight="1">
      <x:c r="A1270" s="12" t="str">
        <x:v>12742</x:v>
      </x:c>
      <x:c r="B1270" s="12" t="str">
        <x:v>4678</x:v>
      </x:c>
      <x:c r="C1270" s="12" t="str">
        <x:v>参考000</x:v>
      </x:c>
      <x:c r="D1270" s="12" t="str">
        <x:v>自动000</x:v>
      </x:c>
      <x:c r="E1270" s="12" t="n">
        <x:v>0</x:v>
      </x:c>
      <x:c r="F1270" s="12" t="n">
        <x:v>1</x:v>
      </x:c>
      <x:c r="G1270" s="12" t="n">
        <x:v>0</x:v>
      </x:c>
      <x:c r="H1270" s="12" t="n">
        <x:f>IF(SUM(I1270:K1270)&gt;0,1,0)</x:f>
        <x:v>0</x:v>
      </x:c>
      <x:c r="I1270" s="12" t="n">
        <x:f>IF('患者配对'!M1407="positive",1,0)</x:f>
        <x:v>0</x:v>
      </x:c>
      <x:c r="J1270" s="12" t="n">
        <x:f>IF('患者配对'!R1407="positive",1,0)</x:f>
        <x:v>0</x:v>
      </x:c>
      <x:c r="K1270" s="12" t="n">
        <x:f>IF('患者配对'!W1407="positive",1,0)</x:f>
        <x:v>0</x:v>
      </x:c>
      <x:c r="L1270" s="12" t="str">
        <x:v>由原件与原状态取得；仅主队列索引</x:v>
      </x:c>
      <x:c r="M1270" s="12"/>
      <x:c r="N1270" s="12"/>
      <x:c r="O1270" s="12"/>
    </x:row>
    <x:row r="1271" ht="39" customHeight="1">
      <x:c r="A1271" s="12" t="str">
        <x:v>12758</x:v>
      </x:c>
      <x:c r="B1271" s="12" t="str">
        <x:v>996</x:v>
      </x:c>
      <x:c r="C1271" s="12" t="str">
        <x:v>参考100</x:v>
      </x:c>
      <x:c r="D1271" s="12" t="str">
        <x:v>自动100</x:v>
      </x:c>
      <x:c r="E1271" s="12" t="n">
        <x:v>1</x:v>
      </x:c>
      <x:c r="F1271" s="12" t="n">
        <x:v>1</x:v>
      </x:c>
      <x:c r="G1271" s="12" t="n">
        <x:v>0</x:v>
      </x:c>
      <x:c r="H1271" s="12" t="n">
        <x:f>IF(SUM(I1271:K1271)&gt;0,1,0)</x:f>
        <x:v>1</x:v>
      </x:c>
      <x:c r="I1271" s="12" t="n">
        <x:f>IF('患者配对'!M1408="positive",1,0)</x:f>
        <x:v>1</x:v>
      </x:c>
      <x:c r="J1271" s="12" t="n">
        <x:f>IF('患者配对'!R1408="positive",1,0)</x:f>
        <x:v>0</x:v>
      </x:c>
      <x:c r="K1271" s="12" t="n">
        <x:f>IF('患者配对'!W1408="positive",1,0)</x:f>
        <x:v>0</x:v>
      </x:c>
      <x:c r="L1271" s="12" t="str">
        <x:v>由原件与原状态取得；仅主队列索引</x:v>
      </x:c>
      <x:c r="M1271" s="12"/>
      <x:c r="N1271" s="12"/>
      <x:c r="O1271" s="12"/>
    </x:row>
    <x:row r="1272" ht="39" customHeight="1">
      <x:c r="A1272" s="12" t="str">
        <x:v>12770</x:v>
      </x:c>
      <x:c r="B1272" s="12" t="str">
        <x:v>7926</x:v>
      </x:c>
      <x:c r="C1272" s="12" t="str">
        <x:v>参考000</x:v>
      </x:c>
      <x:c r="D1272" s="12" t="str">
        <x:v>自动000</x:v>
      </x:c>
      <x:c r="E1272" s="12" t="n">
        <x:v>0</x:v>
      </x:c>
      <x:c r="F1272" s="12" t="n">
        <x:v>0</x:v>
      </x:c>
      <x:c r="G1272" s="12" t="n">
        <x:v>0</x:v>
      </x:c>
      <x:c r="H1272" s="12" t="n">
        <x:f>IF(SUM(I1272:K1272)&gt;0,1,0)</x:f>
        <x:v>0</x:v>
      </x:c>
      <x:c r="I1272" s="12" t="n">
        <x:f>IF('患者配对'!M1409="positive",1,0)</x:f>
        <x:v>0</x:v>
      </x:c>
      <x:c r="J1272" s="12" t="n">
        <x:f>IF('患者配对'!R1409="positive",1,0)</x:f>
        <x:v>0</x:v>
      </x:c>
      <x:c r="K1272" s="12" t="n">
        <x:f>IF('患者配对'!W1409="positive",1,0)</x:f>
        <x:v>0</x:v>
      </x:c>
      <x:c r="L1272" s="12" t="str">
        <x:v>由原件与原状态取得；仅主队列索引</x:v>
      </x:c>
      <x:c r="M1272" s="12"/>
      <x:c r="N1272" s="12"/>
      <x:c r="O1272" s="12"/>
    </x:row>
    <x:row r="1273" ht="39" customHeight="1">
      <x:c r="A1273" s="12" t="str">
        <x:v>12776</x:v>
      </x:c>
      <x:c r="B1273" s="12" t="str">
        <x:v>4797</x:v>
      </x:c>
      <x:c r="C1273" s="12" t="str">
        <x:v>参考000</x:v>
      </x:c>
      <x:c r="D1273" s="12" t="str">
        <x:v>自动000</x:v>
      </x:c>
      <x:c r="E1273" s="12" t="n">
        <x:v>0</x:v>
      </x:c>
      <x:c r="F1273" s="12" t="n">
        <x:v>0</x:v>
      </x:c>
      <x:c r="G1273" s="12" t="n">
        <x:v>0</x:v>
      </x:c>
      <x:c r="H1273" s="12" t="n">
        <x:f>IF(SUM(I1273:K1273)&gt;0,1,0)</x:f>
        <x:v>0</x:v>
      </x:c>
      <x:c r="I1273" s="12" t="n">
        <x:f>IF('患者配对'!M1410="positive",1,0)</x:f>
        <x:v>0</x:v>
      </x:c>
      <x:c r="J1273" s="12" t="n">
        <x:f>IF('患者配对'!R1410="positive",1,0)</x:f>
        <x:v>0</x:v>
      </x:c>
      <x:c r="K1273" s="12" t="n">
        <x:f>IF('患者配对'!W1410="positive",1,0)</x:f>
        <x:v>0</x:v>
      </x:c>
      <x:c r="L1273" s="12" t="str">
        <x:v>由原件与原状态取得；仅主队列索引</x:v>
      </x:c>
      <x:c r="M1273" s="12"/>
      <x:c r="N1273" s="12"/>
      <x:c r="O1273" s="12"/>
    </x:row>
    <x:row r="1274" ht="39" customHeight="1">
      <x:c r="A1274" s="12" t="str">
        <x:v>12801</x:v>
      </x:c>
      <x:c r="B1274" s="12" t="str">
        <x:v>18225</x:v>
      </x:c>
      <x:c r="C1274" s="12" t="str">
        <x:v>参考000</x:v>
      </x:c>
      <x:c r="D1274" s="12" t="str">
        <x:v>自动000</x:v>
      </x:c>
      <x:c r="E1274" s="12" t="n">
        <x:v>0</x:v>
      </x:c>
      <x:c r="F1274" s="12" t="n">
        <x:v>0</x:v>
      </x:c>
      <x:c r="G1274" s="12" t="n">
        <x:v>0</x:v>
      </x:c>
      <x:c r="H1274" s="12" t="n">
        <x:f>IF(SUM(I1274:K1274)&gt;0,1,0)</x:f>
        <x:v>0</x:v>
      </x:c>
      <x:c r="I1274" s="12" t="n">
        <x:f>IF('患者配对'!M1412="positive",1,0)</x:f>
        <x:v>0</x:v>
      </x:c>
      <x:c r="J1274" s="12" t="n">
        <x:f>IF('患者配对'!R1412="positive",1,0)</x:f>
        <x:v>0</x:v>
      </x:c>
      <x:c r="K1274" s="12" t="n">
        <x:f>IF('患者配对'!W1412="positive",1,0)</x:f>
        <x:v>0</x:v>
      </x:c>
      <x:c r="L1274" s="12" t="str">
        <x:v>由原件与原状态取得；仅主队列索引</x:v>
      </x:c>
      <x:c r="M1274" s="12"/>
      <x:c r="N1274" s="12"/>
      <x:c r="O1274" s="12"/>
    </x:row>
    <x:row r="1275" ht="39" customHeight="1">
      <x:c r="A1275" s="12" t="str">
        <x:v>12828</x:v>
      </x:c>
      <x:c r="B1275" s="12" t="str">
        <x:v>16405</x:v>
      </x:c>
      <x:c r="C1275" s="12" t="str">
        <x:v>参考000</x:v>
      </x:c>
      <x:c r="D1275" s="12" t="str">
        <x:v>自动000</x:v>
      </x:c>
      <x:c r="E1275" s="12" t="n">
        <x:v>0</x:v>
      </x:c>
      <x:c r="F1275" s="12" t="n">
        <x:v>1</x:v>
      </x:c>
      <x:c r="G1275" s="12" t="n">
        <x:v>0</x:v>
      </x:c>
      <x:c r="H1275" s="12" t="n">
        <x:f>IF(SUM(I1275:K1275)&gt;0,1,0)</x:f>
        <x:v>0</x:v>
      </x:c>
      <x:c r="I1275" s="12" t="n">
        <x:f>IF('患者配对'!M1413="positive",1,0)</x:f>
        <x:v>0</x:v>
      </x:c>
      <x:c r="J1275" s="12" t="n">
        <x:f>IF('患者配对'!R1413="positive",1,0)</x:f>
        <x:v>0</x:v>
      </x:c>
      <x:c r="K1275" s="12" t="n">
        <x:f>IF('患者配对'!W1413="positive",1,0)</x:f>
        <x:v>0</x:v>
      </x:c>
      <x:c r="L1275" s="12" t="str">
        <x:v>由原件与原状态取得；仅主队列索引</x:v>
      </x:c>
      <x:c r="M1275" s="12"/>
      <x:c r="N1275" s="12"/>
      <x:c r="O1275" s="12"/>
    </x:row>
    <x:row r="1276" ht="39" customHeight="1">
      <x:c r="A1276" s="12" t="str">
        <x:v>12835</x:v>
      </x:c>
      <x:c r="B1276" s="12" t="str">
        <x:v>14399</x:v>
      </x:c>
      <x:c r="C1276" s="12" t="str">
        <x:v>参考000</x:v>
      </x:c>
      <x:c r="D1276" s="12" t="str">
        <x:v>自动000</x:v>
      </x:c>
      <x:c r="E1276" s="12" t="n">
        <x:v>0</x:v>
      </x:c>
      <x:c r="F1276" s="12" t="n">
        <x:v>0</x:v>
      </x:c>
      <x:c r="G1276" s="12" t="n">
        <x:v>0</x:v>
      </x:c>
      <x:c r="H1276" s="12" t="n">
        <x:f>IF(SUM(I1276:K1276)&gt;0,1,0)</x:f>
        <x:v>0</x:v>
      </x:c>
      <x:c r="I1276" s="12" t="n">
        <x:f>IF('患者配对'!M1414="positive",1,0)</x:f>
        <x:v>0</x:v>
      </x:c>
      <x:c r="J1276" s="12" t="n">
        <x:f>IF('患者配对'!R1414="positive",1,0)</x:f>
        <x:v>0</x:v>
      </x:c>
      <x:c r="K1276" s="12" t="n">
        <x:f>IF('患者配对'!W1414="positive",1,0)</x:f>
        <x:v>0</x:v>
      </x:c>
      <x:c r="L1276" s="12" t="str">
        <x:v>由原件与原状态取得；仅主队列索引</x:v>
      </x:c>
      <x:c r="M1276" s="12"/>
      <x:c r="N1276" s="12"/>
      <x:c r="O1276" s="12"/>
    </x:row>
    <x:row r="1277" ht="39" customHeight="1">
      <x:c r="A1277" s="12" t="str">
        <x:v>12841</x:v>
      </x:c>
      <x:c r="B1277" s="12" t="str">
        <x:v>8023</x:v>
      </x:c>
      <x:c r="C1277" s="12" t="str">
        <x:v>参考000</x:v>
      </x:c>
      <x:c r="D1277" s="12" t="str">
        <x:v>自动000</x:v>
      </x:c>
      <x:c r="E1277" s="12" t="n">
        <x:v>0</x:v>
      </x:c>
      <x:c r="F1277" s="12" t="n">
        <x:v>0</x:v>
      </x:c>
      <x:c r="G1277" s="12" t="n">
        <x:v>0</x:v>
      </x:c>
      <x:c r="H1277" s="12" t="n">
        <x:f>IF(SUM(I1277:K1277)&gt;0,1,0)</x:f>
        <x:v>0</x:v>
      </x:c>
      <x:c r="I1277" s="12" t="n">
        <x:f>IF('患者配对'!M1415="positive",1,0)</x:f>
        <x:v>0</x:v>
      </x:c>
      <x:c r="J1277" s="12" t="n">
        <x:f>IF('患者配对'!R1415="positive",1,0)</x:f>
        <x:v>0</x:v>
      </x:c>
      <x:c r="K1277" s="12" t="n">
        <x:f>IF('患者配对'!W1415="positive",1,0)</x:f>
        <x:v>0</x:v>
      </x:c>
      <x:c r="L1277" s="12" t="str">
        <x:v>由原件与原状态取得；仅主队列索引</x:v>
      </x:c>
      <x:c r="M1277" s="12"/>
      <x:c r="N1277" s="12"/>
      <x:c r="O1277" s="12"/>
    </x:row>
    <x:row r="1278" ht="39" customHeight="1">
      <x:c r="A1278" s="12" t="str">
        <x:v>12886</x:v>
      </x:c>
      <x:c r="B1278" s="12" t="str">
        <x:v>4007</x:v>
      </x:c>
      <x:c r="C1278" s="12" t="str">
        <x:v>参考000</x:v>
      </x:c>
      <x:c r="D1278" s="12" t="str">
        <x:v>自动000</x:v>
      </x:c>
      <x:c r="E1278" s="12" t="n">
        <x:v>0</x:v>
      </x:c>
      <x:c r="F1278" s="12" t="n">
        <x:v>0</x:v>
      </x:c>
      <x:c r="G1278" s="12" t="n">
        <x:v>0</x:v>
      </x:c>
      <x:c r="H1278" s="12" t="n">
        <x:f>IF(SUM(I1278:K1278)&gt;0,1,0)</x:f>
        <x:v>0</x:v>
      </x:c>
      <x:c r="I1278" s="12" t="n">
        <x:f>IF('患者配对'!M1417="positive",1,0)</x:f>
        <x:v>0</x:v>
      </x:c>
      <x:c r="J1278" s="12" t="n">
        <x:f>IF('患者配对'!R1417="positive",1,0)</x:f>
        <x:v>0</x:v>
      </x:c>
      <x:c r="K1278" s="12" t="n">
        <x:f>IF('患者配对'!W1417="positive",1,0)</x:f>
        <x:v>0</x:v>
      </x:c>
      <x:c r="L1278" s="12" t="str">
        <x:v>由原件与原状态取得；仅主队列索引</x:v>
      </x:c>
      <x:c r="M1278" s="12"/>
      <x:c r="N1278" s="12"/>
      <x:c r="O1278" s="12"/>
    </x:row>
    <x:row r="1279" ht="39" customHeight="1">
      <x:c r="A1279" s="12" t="str">
        <x:v>12919</x:v>
      </x:c>
      <x:c r="B1279" s="12" t="str">
        <x:v>4986</x:v>
      </x:c>
      <x:c r="C1279" s="12" t="str">
        <x:v>参考000</x:v>
      </x:c>
      <x:c r="D1279" s="12" t="str">
        <x:v>自动000</x:v>
      </x:c>
      <x:c r="E1279" s="12" t="n">
        <x:v>0</x:v>
      </x:c>
      <x:c r="F1279" s="12" t="n">
        <x:v>0</x:v>
      </x:c>
      <x:c r="G1279" s="12" t="n">
        <x:v>0</x:v>
      </x:c>
      <x:c r="H1279" s="12" t="n">
        <x:f>IF(SUM(I1279:K1279)&gt;0,1,0)</x:f>
        <x:v>0</x:v>
      </x:c>
      <x:c r="I1279" s="12" t="n">
        <x:f>IF('患者配对'!M1418="positive",1,0)</x:f>
        <x:v>0</x:v>
      </x:c>
      <x:c r="J1279" s="12" t="n">
        <x:f>IF('患者配对'!R1418="positive",1,0)</x:f>
        <x:v>0</x:v>
      </x:c>
      <x:c r="K1279" s="12" t="n">
        <x:f>IF('患者配对'!W1418="positive",1,0)</x:f>
        <x:v>0</x:v>
      </x:c>
      <x:c r="L1279" s="12" t="str">
        <x:v>由原件与原状态取得；仅主队列索引</x:v>
      </x:c>
      <x:c r="M1279" s="12"/>
      <x:c r="N1279" s="12"/>
      <x:c r="O1279" s="12"/>
    </x:row>
    <x:row r="1280" ht="39" customHeight="1">
      <x:c r="A1280" s="12" t="str">
        <x:v>12925</x:v>
      </x:c>
      <x:c r="B1280" s="12" t="str">
        <x:v>5811</x:v>
      </x:c>
      <x:c r="C1280" s="12" t="str">
        <x:v>参考000</x:v>
      </x:c>
      <x:c r="D1280" s="12" t="str">
        <x:v>自动000</x:v>
      </x:c>
      <x:c r="E1280" s="12" t="n">
        <x:v>0</x:v>
      </x:c>
      <x:c r="F1280" s="12" t="n">
        <x:v>0</x:v>
      </x:c>
      <x:c r="G1280" s="12" t="n">
        <x:v>0</x:v>
      </x:c>
      <x:c r="H1280" s="12" t="n">
        <x:f>IF(SUM(I1280:K1280)&gt;0,1,0)</x:f>
        <x:v>0</x:v>
      </x:c>
      <x:c r="I1280" s="12" t="n">
        <x:f>IF('患者配对'!M1419="positive",1,0)</x:f>
        <x:v>0</x:v>
      </x:c>
      <x:c r="J1280" s="12" t="n">
        <x:f>IF('患者配对'!R1419="positive",1,0)</x:f>
        <x:v>0</x:v>
      </x:c>
      <x:c r="K1280" s="12" t="n">
        <x:f>IF('患者配对'!W1419="positive",1,0)</x:f>
        <x:v>0</x:v>
      </x:c>
      <x:c r="L1280" s="12" t="str">
        <x:v>由原件与原状态取得；仅主队列索引</x:v>
      </x:c>
      <x:c r="M1280" s="12"/>
      <x:c r="N1280" s="12"/>
      <x:c r="O1280" s="12"/>
    </x:row>
    <x:row r="1281" ht="39" customHeight="1">
      <x:c r="A1281" s="12" t="str">
        <x:v>12936</x:v>
      </x:c>
      <x:c r="B1281" s="12" t="str">
        <x:v>1406</x:v>
      </x:c>
      <x:c r="C1281" s="12" t="str">
        <x:v>参考001</x:v>
      </x:c>
      <x:c r="D1281" s="12" t="str">
        <x:v>自动001</x:v>
      </x:c>
      <x:c r="E1281" s="12" t="n">
        <x:v>1</x:v>
      </x:c>
      <x:c r="F1281" s="12" t="n">
        <x:v>1</x:v>
      </x:c>
      <x:c r="G1281" s="12" t="n">
        <x:v>0</x:v>
      </x:c>
      <x:c r="H1281" s="12" t="n">
        <x:f>IF(SUM(I1281:K1281)&gt;0,1,0)</x:f>
        <x:v>1</x:v>
      </x:c>
      <x:c r="I1281" s="12" t="n">
        <x:f>IF('患者配对'!M1420="positive",1,0)</x:f>
        <x:v>0</x:v>
      </x:c>
      <x:c r="J1281" s="12" t="n">
        <x:f>IF('患者配对'!R1420="positive",1,0)</x:f>
        <x:v>0</x:v>
      </x:c>
      <x:c r="K1281" s="12" t="n">
        <x:f>IF('患者配对'!W1420="positive",1,0)</x:f>
        <x:v>1</x:v>
      </x:c>
      <x:c r="L1281" s="12" t="str">
        <x:v>由原件与原状态取得；仅主队列索引</x:v>
      </x:c>
      <x:c r="M1281" s="12"/>
      <x:c r="N1281" s="12"/>
      <x:c r="O1281" s="12"/>
    </x:row>
    <x:row r="1282" ht="39" customHeight="1">
      <x:c r="A1282" s="12" t="str">
        <x:v>12937</x:v>
      </x:c>
      <x:c r="B1282" s="12" t="str">
        <x:v>4224</x:v>
      </x:c>
      <x:c r="C1282" s="12" t="str">
        <x:v>参考000</x:v>
      </x:c>
      <x:c r="D1282" s="12" t="str">
        <x:v>自动000</x:v>
      </x:c>
      <x:c r="E1282" s="12" t="n">
        <x:v>0</x:v>
      </x:c>
      <x:c r="F1282" s="12" t="n">
        <x:v>0</x:v>
      </x:c>
      <x:c r="G1282" s="12" t="n">
        <x:v>0</x:v>
      </x:c>
      <x:c r="H1282" s="12" t="n">
        <x:f>IF(SUM(I1282:K1282)&gt;0,1,0)</x:f>
        <x:v>0</x:v>
      </x:c>
      <x:c r="I1282" s="12" t="n">
        <x:f>IF('患者配对'!M1421="positive",1,0)</x:f>
        <x:v>0</x:v>
      </x:c>
      <x:c r="J1282" s="12" t="n">
        <x:f>IF('患者配对'!R1421="positive",1,0)</x:f>
        <x:v>0</x:v>
      </x:c>
      <x:c r="K1282" s="12" t="n">
        <x:f>IF('患者配对'!W1421="positive",1,0)</x:f>
        <x:v>0</x:v>
      </x:c>
      <x:c r="L1282" s="12" t="str">
        <x:v>由原件与原状态取得；仅主队列索引</x:v>
      </x:c>
      <x:c r="M1282" s="12"/>
      <x:c r="N1282" s="12"/>
      <x:c r="O1282" s="12"/>
    </x:row>
    <x:row r="1283" ht="39" customHeight="1">
      <x:c r="A1283" s="12" t="str">
        <x:v>12941</x:v>
      </x:c>
      <x:c r="B1283" s="12" t="str">
        <x:v>6684</x:v>
      </x:c>
      <x:c r="C1283" s="12" t="str">
        <x:v>参考000</x:v>
      </x:c>
      <x:c r="D1283" s="12" t="str">
        <x:v>自动000</x:v>
      </x:c>
      <x:c r="E1283" s="12" t="n">
        <x:v>0</x:v>
      </x:c>
      <x:c r="F1283" s="12" t="n">
        <x:v>0</x:v>
      </x:c>
      <x:c r="G1283" s="12" t="n">
        <x:v>0</x:v>
      </x:c>
      <x:c r="H1283" s="12" t="n">
        <x:f>IF(SUM(I1283:K1283)&gt;0,1,0)</x:f>
        <x:v>0</x:v>
      </x:c>
      <x:c r="I1283" s="12" t="n">
        <x:f>IF('患者配对'!M1422="positive",1,0)</x:f>
        <x:v>0</x:v>
      </x:c>
      <x:c r="J1283" s="12" t="n">
        <x:f>IF('患者配对'!R1422="positive",1,0)</x:f>
        <x:v>0</x:v>
      </x:c>
      <x:c r="K1283" s="12" t="n">
        <x:f>IF('患者配对'!W1422="positive",1,0)</x:f>
        <x:v>0</x:v>
      </x:c>
      <x:c r="L1283" s="12" t="str">
        <x:v>由原件与原状态取得；仅主队列索引</x:v>
      </x:c>
      <x:c r="M1283" s="12"/>
      <x:c r="N1283" s="12"/>
      <x:c r="O1283" s="12"/>
    </x:row>
    <x:row r="1284" ht="39" customHeight="1">
      <x:c r="A1284" s="12" t="str">
        <x:v>12991</x:v>
      </x:c>
      <x:c r="B1284" s="12" t="str">
        <x:v>18608</x:v>
      </x:c>
      <x:c r="C1284" s="12" t="str">
        <x:v>参考100</x:v>
      </x:c>
      <x:c r="D1284" s="12" t="str">
        <x:v>自动100</x:v>
      </x:c>
      <x:c r="E1284" s="12" t="n">
        <x:v>1</x:v>
      </x:c>
      <x:c r="F1284" s="12" t="n">
        <x:v>1</x:v>
      </x:c>
      <x:c r="G1284" s="12" t="n">
        <x:v>0</x:v>
      </x:c>
      <x:c r="H1284" s="12" t="n">
        <x:f>IF(SUM(I1284:K1284)&gt;0,1,0)</x:f>
        <x:v>1</x:v>
      </x:c>
      <x:c r="I1284" s="12" t="n">
        <x:f>IF('患者配对'!M1423="positive",1,0)</x:f>
        <x:v>1</x:v>
      </x:c>
      <x:c r="J1284" s="12" t="n">
        <x:f>IF('患者配对'!R1423="positive",1,0)</x:f>
        <x:v>0</x:v>
      </x:c>
      <x:c r="K1284" s="12" t="n">
        <x:f>IF('患者配对'!W1423="positive",1,0)</x:f>
        <x:v>0</x:v>
      </x:c>
      <x:c r="L1284" s="12" t="str">
        <x:v>由原件与原状态取得；仅主队列索引</x:v>
      </x:c>
      <x:c r="M1284" s="12"/>
      <x:c r="N1284" s="12"/>
      <x:c r="O1284" s="12"/>
    </x:row>
    <x:row r="1285" ht="39" customHeight="1">
      <x:c r="A1285" s="12" t="str">
        <x:v>12999</x:v>
      </x:c>
      <x:c r="B1285" s="12" t="str">
        <x:v>7304</x:v>
      </x:c>
      <x:c r="C1285" s="12" t="str">
        <x:v>参考000</x:v>
      </x:c>
      <x:c r="D1285" s="12" t="str">
        <x:v>自动000</x:v>
      </x:c>
      <x:c r="E1285" s="12" t="n">
        <x:v>0</x:v>
      </x:c>
      <x:c r="F1285" s="12" t="n">
        <x:v>0</x:v>
      </x:c>
      <x:c r="G1285" s="12" t="n">
        <x:v>0</x:v>
      </x:c>
      <x:c r="H1285" s="12" t="n">
        <x:f>IF(SUM(I1285:K1285)&gt;0,1,0)</x:f>
        <x:v>0</x:v>
      </x:c>
      <x:c r="I1285" s="12" t="n">
        <x:f>IF('患者配对'!M1424="positive",1,0)</x:f>
        <x:v>0</x:v>
      </x:c>
      <x:c r="J1285" s="12" t="n">
        <x:f>IF('患者配对'!R1424="positive",1,0)</x:f>
        <x:v>0</x:v>
      </x:c>
      <x:c r="K1285" s="12" t="n">
        <x:f>IF('患者配对'!W1424="positive",1,0)</x:f>
        <x:v>0</x:v>
      </x:c>
      <x:c r="L1285" s="12" t="str">
        <x:v>由原件与原状态取得；仅主队列索引</x:v>
      </x:c>
      <x:c r="M1285" s="12"/>
      <x:c r="N1285" s="12"/>
      <x:c r="O1285" s="12"/>
    </x:row>
    <x:row r="1286" ht="39" customHeight="1">
      <x:c r="A1286" s="12" t="str">
        <x:v>13006</x:v>
      </x:c>
      <x:c r="B1286" s="12" t="str">
        <x:v>15712</x:v>
      </x:c>
      <x:c r="C1286" s="12" t="str">
        <x:v>参考000</x:v>
      </x:c>
      <x:c r="D1286" s="12" t="str">
        <x:v>自动000</x:v>
      </x:c>
      <x:c r="E1286" s="12" t="n">
        <x:v>0</x:v>
      </x:c>
      <x:c r="F1286" s="12" t="n">
        <x:v>1</x:v>
      </x:c>
      <x:c r="G1286" s="12" t="n">
        <x:v>0</x:v>
      </x:c>
      <x:c r="H1286" s="12" t="n">
        <x:f>IF(SUM(I1286:K1286)&gt;0,1,0)</x:f>
        <x:v>0</x:v>
      </x:c>
      <x:c r="I1286" s="12" t="n">
        <x:f>IF('患者配对'!M1425="positive",1,0)</x:f>
        <x:v>0</x:v>
      </x:c>
      <x:c r="J1286" s="12" t="n">
        <x:f>IF('患者配对'!R1425="positive",1,0)</x:f>
        <x:v>0</x:v>
      </x:c>
      <x:c r="K1286" s="12" t="n">
        <x:f>IF('患者配对'!W1425="positive",1,0)</x:f>
        <x:v>0</x:v>
      </x:c>
      <x:c r="L1286" s="12" t="str">
        <x:v>由原件与原状态取得；仅主队列索引</x:v>
      </x:c>
      <x:c r="M1286" s="12"/>
      <x:c r="N1286" s="12"/>
      <x:c r="O1286" s="12"/>
    </x:row>
    <x:row r="1287" ht="39" customHeight="1">
      <x:c r="A1287" s="12" t="str">
        <x:v>13007</x:v>
      </x:c>
      <x:c r="B1287" s="12" t="str">
        <x:v>19974</x:v>
      </x:c>
      <x:c r="C1287" s="12" t="str">
        <x:v>参考000</x:v>
      </x:c>
      <x:c r="D1287" s="12" t="str">
        <x:v>自动000</x:v>
      </x:c>
      <x:c r="E1287" s="12" t="n">
        <x:v>0</x:v>
      </x:c>
      <x:c r="F1287" s="12" t="n">
        <x:v>0</x:v>
      </x:c>
      <x:c r="G1287" s="12" t="n">
        <x:v>0</x:v>
      </x:c>
      <x:c r="H1287" s="12" t="n">
        <x:f>IF(SUM(I1287:K1287)&gt;0,1,0)</x:f>
        <x:v>0</x:v>
      </x:c>
      <x:c r="I1287" s="12" t="n">
        <x:f>IF('患者配对'!M1426="positive",1,0)</x:f>
        <x:v>0</x:v>
      </x:c>
      <x:c r="J1287" s="12" t="n">
        <x:f>IF('患者配对'!R1426="positive",1,0)</x:f>
        <x:v>0</x:v>
      </x:c>
      <x:c r="K1287" s="12" t="n">
        <x:f>IF('患者配对'!W1426="positive",1,0)</x:f>
        <x:v>0</x:v>
      </x:c>
      <x:c r="L1287" s="12" t="str">
        <x:v>由原件与原状态取得；仅主队列索引</x:v>
      </x:c>
      <x:c r="M1287" s="12"/>
      <x:c r="N1287" s="12"/>
      <x:c r="O1287" s="12"/>
    </x:row>
    <x:row r="1288" ht="39" customHeight="1">
      <x:c r="A1288" s="12" t="str">
        <x:v>13014</x:v>
      </x:c>
      <x:c r="B1288" s="12" t="str">
        <x:v>8895</x:v>
      </x:c>
      <x:c r="C1288" s="12" t="str">
        <x:v>参考000</x:v>
      </x:c>
      <x:c r="D1288" s="12" t="str">
        <x:v>自动000</x:v>
      </x:c>
      <x:c r="E1288" s="12" t="n">
        <x:v>0</x:v>
      </x:c>
      <x:c r="F1288" s="12" t="n">
        <x:v>1</x:v>
      </x:c>
      <x:c r="G1288" s="12" t="n">
        <x:v>0</x:v>
      </x:c>
      <x:c r="H1288" s="12" t="n">
        <x:f>IF(SUM(I1288:K1288)&gt;0,1,0)</x:f>
        <x:v>0</x:v>
      </x:c>
      <x:c r="I1288" s="12" t="n">
        <x:f>IF('患者配对'!M1427="positive",1,0)</x:f>
        <x:v>0</x:v>
      </x:c>
      <x:c r="J1288" s="12" t="n">
        <x:f>IF('患者配对'!R1427="positive",1,0)</x:f>
        <x:v>0</x:v>
      </x:c>
      <x:c r="K1288" s="12" t="n">
        <x:f>IF('患者配对'!W1427="positive",1,0)</x:f>
        <x:v>0</x:v>
      </x:c>
      <x:c r="L1288" s="12" t="str">
        <x:v>由原件与原状态取得；仅主队列索引</x:v>
      </x:c>
      <x:c r="M1288" s="12"/>
      <x:c r="N1288" s="12"/>
      <x:c r="O1288" s="12"/>
    </x:row>
    <x:row r="1289" ht="39" customHeight="1">
      <x:c r="A1289" s="12" t="str">
        <x:v>13025</x:v>
      </x:c>
      <x:c r="B1289" s="12" t="str">
        <x:v>16559</x:v>
      </x:c>
      <x:c r="C1289" s="12" t="str">
        <x:v>参考000</x:v>
      </x:c>
      <x:c r="D1289" s="12" t="str">
        <x:v>自动000</x:v>
      </x:c>
      <x:c r="E1289" s="12" t="n">
        <x:v>0</x:v>
      </x:c>
      <x:c r="F1289" s="12" t="n">
        <x:v>1</x:v>
      </x:c>
      <x:c r="G1289" s="12" t="n">
        <x:v>0</x:v>
      </x:c>
      <x:c r="H1289" s="12" t="n">
        <x:f>IF(SUM(I1289:K1289)&gt;0,1,0)</x:f>
        <x:v>0</x:v>
      </x:c>
      <x:c r="I1289" s="12" t="n">
        <x:f>IF('患者配对'!M1428="positive",1,0)</x:f>
        <x:v>0</x:v>
      </x:c>
      <x:c r="J1289" s="12" t="n">
        <x:f>IF('患者配对'!R1428="positive",1,0)</x:f>
        <x:v>0</x:v>
      </x:c>
      <x:c r="K1289" s="12" t="n">
        <x:f>IF('患者配对'!W1428="positive",1,0)</x:f>
        <x:v>0</x:v>
      </x:c>
      <x:c r="L1289" s="12" t="str">
        <x:v>由原件与原状态取得；仅主队列索引</x:v>
      </x:c>
      <x:c r="M1289" s="12"/>
      <x:c r="N1289" s="12"/>
      <x:c r="O1289" s="12"/>
    </x:row>
    <x:row r="1290" ht="39" customHeight="1">
      <x:c r="A1290" s="12" t="str">
        <x:v>13035</x:v>
      </x:c>
      <x:c r="B1290" s="12" t="str">
        <x:v>6176</x:v>
      </x:c>
      <x:c r="C1290" s="12" t="str">
        <x:v>参考000</x:v>
      </x:c>
      <x:c r="D1290" s="12" t="str">
        <x:v>自动000</x:v>
      </x:c>
      <x:c r="E1290" s="12" t="n">
        <x:v>0</x:v>
      </x:c>
      <x:c r="F1290" s="12" t="n">
        <x:v>0</x:v>
      </x:c>
      <x:c r="G1290" s="12" t="n">
        <x:v>0</x:v>
      </x:c>
      <x:c r="H1290" s="12" t="n">
        <x:f>IF(SUM(I1290:K1290)&gt;0,1,0)</x:f>
        <x:v>0</x:v>
      </x:c>
      <x:c r="I1290" s="12" t="n">
        <x:f>IF('患者配对'!M1429="positive",1,0)</x:f>
        <x:v>0</x:v>
      </x:c>
      <x:c r="J1290" s="12" t="n">
        <x:f>IF('患者配对'!R1429="positive",1,0)</x:f>
        <x:v>0</x:v>
      </x:c>
      <x:c r="K1290" s="12" t="n">
        <x:f>IF('患者配对'!W1429="positive",1,0)</x:f>
        <x:v>0</x:v>
      </x:c>
      <x:c r="L1290" s="12" t="str">
        <x:v>由原件与原状态取得；仅主队列索引</x:v>
      </x:c>
      <x:c r="M1290" s="12"/>
      <x:c r="N1290" s="12"/>
      <x:c r="O1290" s="12"/>
    </x:row>
    <x:row r="1291" ht="39" customHeight="1">
      <x:c r="A1291" s="12" t="str">
        <x:v>13052</x:v>
      </x:c>
      <x:c r="B1291" s="12" t="str">
        <x:v>21775</x:v>
      </x:c>
      <x:c r="C1291" s="12" t="str">
        <x:v>参考000</x:v>
      </x:c>
      <x:c r="D1291" s="12" t="str">
        <x:v>自动000</x:v>
      </x:c>
      <x:c r="E1291" s="12" t="n">
        <x:v>0</x:v>
      </x:c>
      <x:c r="F1291" s="12" t="n">
        <x:v>0</x:v>
      </x:c>
      <x:c r="G1291" s="12" t="n">
        <x:v>0</x:v>
      </x:c>
      <x:c r="H1291" s="12" t="n">
        <x:f>IF(SUM(I1291:K1291)&gt;0,1,0)</x:f>
        <x:v>0</x:v>
      </x:c>
      <x:c r="I1291" s="12" t="n">
        <x:f>IF('患者配对'!M1430="positive",1,0)</x:f>
        <x:v>0</x:v>
      </x:c>
      <x:c r="J1291" s="12" t="n">
        <x:f>IF('患者配对'!R1430="positive",1,0)</x:f>
        <x:v>0</x:v>
      </x:c>
      <x:c r="K1291" s="12" t="n">
        <x:f>IF('患者配对'!W1430="positive",1,0)</x:f>
        <x:v>0</x:v>
      </x:c>
      <x:c r="L1291" s="12" t="str">
        <x:v>由原件与原状态取得；仅主队列索引</x:v>
      </x:c>
      <x:c r="M1291" s="12"/>
      <x:c r="N1291" s="12"/>
      <x:c r="O1291" s="12"/>
    </x:row>
    <x:row r="1292" ht="39" customHeight="1">
      <x:c r="A1292" s="12" t="str">
        <x:v>13078</x:v>
      </x:c>
      <x:c r="B1292" s="12" t="str">
        <x:v>15813</x:v>
      </x:c>
      <x:c r="C1292" s="12" t="str">
        <x:v>参考000</x:v>
      </x:c>
      <x:c r="D1292" s="12" t="str">
        <x:v>自动000</x:v>
      </x:c>
      <x:c r="E1292" s="12" t="n">
        <x:v>0</x:v>
      </x:c>
      <x:c r="F1292" s="12" t="n">
        <x:v>0</x:v>
      </x:c>
      <x:c r="G1292" s="12" t="n">
        <x:v>0</x:v>
      </x:c>
      <x:c r="H1292" s="12" t="n">
        <x:f>IF(SUM(I1292:K1292)&gt;0,1,0)</x:f>
        <x:v>0</x:v>
      </x:c>
      <x:c r="I1292" s="12" t="n">
        <x:f>IF('患者配对'!M1432="positive",1,0)</x:f>
        <x:v>0</x:v>
      </x:c>
      <x:c r="J1292" s="12" t="n">
        <x:f>IF('患者配对'!R1432="positive",1,0)</x:f>
        <x:v>0</x:v>
      </x:c>
      <x:c r="K1292" s="12" t="n">
        <x:f>IF('患者配对'!W1432="positive",1,0)</x:f>
        <x:v>0</x:v>
      </x:c>
      <x:c r="L1292" s="12" t="str">
        <x:v>由原件与原状态取得；仅主队列索引</x:v>
      </x:c>
      <x:c r="M1292" s="12"/>
      <x:c r="N1292" s="12"/>
      <x:c r="O1292" s="12"/>
    </x:row>
    <x:row r="1293" ht="39" customHeight="1">
      <x:c r="A1293" s="12" t="str">
        <x:v>13092</x:v>
      </x:c>
      <x:c r="B1293" s="12" t="str">
        <x:v>20296</x:v>
      </x:c>
      <x:c r="C1293" s="12" t="str">
        <x:v>参考000</x:v>
      </x:c>
      <x:c r="D1293" s="12" t="str">
        <x:v>自动000</x:v>
      </x:c>
      <x:c r="E1293" s="12" t="n">
        <x:v>0</x:v>
      </x:c>
      <x:c r="F1293" s="12" t="n">
        <x:v>1</x:v>
      </x:c>
      <x:c r="G1293" s="12" t="n">
        <x:v>0</x:v>
      </x:c>
      <x:c r="H1293" s="12" t="n">
        <x:f>IF(SUM(I1293:K1293)&gt;0,1,0)</x:f>
        <x:v>0</x:v>
      </x:c>
      <x:c r="I1293" s="12" t="n">
        <x:f>IF('患者配对'!M1433="positive",1,0)</x:f>
        <x:v>0</x:v>
      </x:c>
      <x:c r="J1293" s="12" t="n">
        <x:f>IF('患者配对'!R1433="positive",1,0)</x:f>
        <x:v>0</x:v>
      </x:c>
      <x:c r="K1293" s="12" t="n">
        <x:f>IF('患者配对'!W1433="positive",1,0)</x:f>
        <x:v>0</x:v>
      </x:c>
      <x:c r="L1293" s="12" t="str">
        <x:v>由原件与原状态取得；仅主队列索引</x:v>
      </x:c>
      <x:c r="M1293" s="12"/>
      <x:c r="N1293" s="12"/>
      <x:c r="O1293" s="12"/>
    </x:row>
    <x:row r="1294" ht="39" customHeight="1">
      <x:c r="A1294" s="12" t="str">
        <x:v>13120</x:v>
      </x:c>
      <x:c r="B1294" s="12" t="str">
        <x:v>16856</x:v>
      </x:c>
      <x:c r="C1294" s="12" t="str">
        <x:v>参考000</x:v>
      </x:c>
      <x:c r="D1294" s="12" t="str">
        <x:v>自动000</x:v>
      </x:c>
      <x:c r="E1294" s="12" t="n">
        <x:v>0</x:v>
      </x:c>
      <x:c r="F1294" s="12" t="n">
        <x:v>1</x:v>
      </x:c>
      <x:c r="G1294" s="12" t="n">
        <x:v>0</x:v>
      </x:c>
      <x:c r="H1294" s="12" t="n">
        <x:f>IF(SUM(I1294:K1294)&gt;0,1,0)</x:f>
        <x:v>0</x:v>
      </x:c>
      <x:c r="I1294" s="12" t="n">
        <x:f>IF('患者配对'!M1434="positive",1,0)</x:f>
        <x:v>0</x:v>
      </x:c>
      <x:c r="J1294" s="12" t="n">
        <x:f>IF('患者配对'!R1434="positive",1,0)</x:f>
        <x:v>0</x:v>
      </x:c>
      <x:c r="K1294" s="12" t="n">
        <x:f>IF('患者配对'!W1434="positive",1,0)</x:f>
        <x:v>0</x:v>
      </x:c>
      <x:c r="L1294" s="12" t="str">
        <x:v>由原件与原状态取得；仅主队列索引</x:v>
      </x:c>
      <x:c r="M1294" s="12"/>
      <x:c r="N1294" s="12"/>
      <x:c r="O1294" s="12"/>
    </x:row>
    <x:row r="1295" ht="39" customHeight="1">
      <x:c r="A1295" s="12" t="str">
        <x:v>13122</x:v>
      </x:c>
      <x:c r="B1295" s="12" t="str">
        <x:v>6878</x:v>
      </x:c>
      <x:c r="C1295" s="12" t="str">
        <x:v>参考000</x:v>
      </x:c>
      <x:c r="D1295" s="12" t="str">
        <x:v>自动000</x:v>
      </x:c>
      <x:c r="E1295" s="12" t="n">
        <x:v>0</x:v>
      </x:c>
      <x:c r="F1295" s="12" t="n">
        <x:v>0</x:v>
      </x:c>
      <x:c r="G1295" s="12" t="n">
        <x:v>0</x:v>
      </x:c>
      <x:c r="H1295" s="12" t="n">
        <x:f>IF(SUM(I1295:K1295)&gt;0,1,0)</x:f>
        <x:v>0</x:v>
      </x:c>
      <x:c r="I1295" s="12" t="n">
        <x:f>IF('患者配对'!M1435="positive",1,0)</x:f>
        <x:v>0</x:v>
      </x:c>
      <x:c r="J1295" s="12" t="n">
        <x:f>IF('患者配对'!R1435="positive",1,0)</x:f>
        <x:v>0</x:v>
      </x:c>
      <x:c r="K1295" s="12" t="n">
        <x:f>IF('患者配对'!W1435="positive",1,0)</x:f>
        <x:v>0</x:v>
      </x:c>
      <x:c r="L1295" s="12" t="str">
        <x:v>由原件与原状态取得；仅主队列索引</x:v>
      </x:c>
      <x:c r="M1295" s="12"/>
      <x:c r="N1295" s="12"/>
      <x:c r="O1295" s="12"/>
    </x:row>
    <x:row r="1296" ht="39" customHeight="1">
      <x:c r="A1296" s="12" t="str">
        <x:v>13139</x:v>
      </x:c>
      <x:c r="B1296" s="12" t="str">
        <x:v>14855</x:v>
      </x:c>
      <x:c r="C1296" s="12" t="str">
        <x:v>参考000</x:v>
      </x:c>
      <x:c r="D1296" s="12" t="str">
        <x:v>自动000</x:v>
      </x:c>
      <x:c r="E1296" s="12" t="n">
        <x:v>0</x:v>
      </x:c>
      <x:c r="F1296" s="12" t="n">
        <x:v>0</x:v>
      </x:c>
      <x:c r="G1296" s="12" t="n">
        <x:v>0</x:v>
      </x:c>
      <x:c r="H1296" s="12" t="n">
        <x:f>IF(SUM(I1296:K1296)&gt;0,1,0)</x:f>
        <x:v>0</x:v>
      </x:c>
      <x:c r="I1296" s="12" t="n">
        <x:f>IF('患者配对'!M1437="positive",1,0)</x:f>
        <x:v>0</x:v>
      </x:c>
      <x:c r="J1296" s="12" t="n">
        <x:f>IF('患者配对'!R1437="positive",1,0)</x:f>
        <x:v>0</x:v>
      </x:c>
      <x:c r="K1296" s="12" t="n">
        <x:f>IF('患者配对'!W1437="positive",1,0)</x:f>
        <x:v>0</x:v>
      </x:c>
      <x:c r="L1296" s="12" t="str">
        <x:v>由原件与原状态取得；仅主队列索引</x:v>
      </x:c>
      <x:c r="M1296" s="12"/>
      <x:c r="N1296" s="12"/>
      <x:c r="O1296" s="12"/>
    </x:row>
    <x:row r="1297" ht="39" customHeight="1">
      <x:c r="A1297" s="12" t="str">
        <x:v>13143</x:v>
      </x:c>
      <x:c r="B1297" s="12" t="str">
        <x:v>16307</x:v>
      </x:c>
      <x:c r="C1297" s="12" t="str">
        <x:v>参考000</x:v>
      </x:c>
      <x:c r="D1297" s="12" t="str">
        <x:v>自动000</x:v>
      </x:c>
      <x:c r="E1297" s="12" t="n">
        <x:v>0</x:v>
      </x:c>
      <x:c r="F1297" s="12" t="n">
        <x:v>0</x:v>
      </x:c>
      <x:c r="G1297" s="12" t="n">
        <x:v>0</x:v>
      </x:c>
      <x:c r="H1297" s="12" t="n">
        <x:f>IF(SUM(I1297:K1297)&gt;0,1,0)</x:f>
        <x:v>0</x:v>
      </x:c>
      <x:c r="I1297" s="12" t="n">
        <x:f>IF('患者配对'!M1438="positive",1,0)</x:f>
        <x:v>0</x:v>
      </x:c>
      <x:c r="J1297" s="12" t="n">
        <x:f>IF('患者配对'!R1438="positive",1,0)</x:f>
        <x:v>0</x:v>
      </x:c>
      <x:c r="K1297" s="12" t="n">
        <x:f>IF('患者配对'!W1438="positive",1,0)</x:f>
        <x:v>0</x:v>
      </x:c>
      <x:c r="L1297" s="12" t="str">
        <x:v>由原件与原状态取得；仅主队列索引</x:v>
      </x:c>
      <x:c r="M1297" s="12"/>
      <x:c r="N1297" s="12"/>
      <x:c r="O1297" s="12"/>
    </x:row>
    <x:row r="1298" ht="39" customHeight="1">
      <x:c r="A1298" s="12" t="str">
        <x:v>13145</x:v>
      </x:c>
      <x:c r="B1298" s="12" t="str">
        <x:v>18250</x:v>
      </x:c>
      <x:c r="C1298" s="12" t="str">
        <x:v>参考000</x:v>
      </x:c>
      <x:c r="D1298" s="12" t="str">
        <x:v>自动000</x:v>
      </x:c>
      <x:c r="E1298" s="12" t="n">
        <x:v>0</x:v>
      </x:c>
      <x:c r="F1298" s="12" t="n">
        <x:v>0</x:v>
      </x:c>
      <x:c r="G1298" s="12" t="n">
        <x:v>0</x:v>
      </x:c>
      <x:c r="H1298" s="12" t="n">
        <x:f>IF(SUM(I1298:K1298)&gt;0,1,0)</x:f>
        <x:v>0</x:v>
      </x:c>
      <x:c r="I1298" s="12" t="n">
        <x:f>IF('患者配对'!M1439="positive",1,0)</x:f>
        <x:v>0</x:v>
      </x:c>
      <x:c r="J1298" s="12" t="n">
        <x:f>IF('患者配对'!R1439="positive",1,0)</x:f>
        <x:v>0</x:v>
      </x:c>
      <x:c r="K1298" s="12" t="n">
        <x:f>IF('患者配对'!W1439="positive",1,0)</x:f>
        <x:v>0</x:v>
      </x:c>
      <x:c r="L1298" s="12" t="str">
        <x:v>由原件与原状态取得；仅主队列索引</x:v>
      </x:c>
      <x:c r="M1298" s="12"/>
      <x:c r="N1298" s="12"/>
      <x:c r="O1298" s="12"/>
    </x:row>
    <x:row r="1299" ht="39" customHeight="1">
      <x:c r="A1299" s="12" t="str">
        <x:v>13158</x:v>
      </x:c>
      <x:c r="B1299" s="12" t="str">
        <x:v>8528</x:v>
      </x:c>
      <x:c r="C1299" s="12" t="str">
        <x:v>参考000</x:v>
      </x:c>
      <x:c r="D1299" s="12" t="str">
        <x:v>自动000</x:v>
      </x:c>
      <x:c r="E1299" s="12" t="n">
        <x:v>0</x:v>
      </x:c>
      <x:c r="F1299" s="12" t="n">
        <x:v>0</x:v>
      </x:c>
      <x:c r="G1299" s="12" t="n">
        <x:v>0</x:v>
      </x:c>
      <x:c r="H1299" s="12" t="n">
        <x:f>IF(SUM(I1299:K1299)&gt;0,1,0)</x:f>
        <x:v>0</x:v>
      </x:c>
      <x:c r="I1299" s="12" t="n">
        <x:f>IF('患者配对'!M1440="positive",1,0)</x:f>
        <x:v>0</x:v>
      </x:c>
      <x:c r="J1299" s="12" t="n">
        <x:f>IF('患者配对'!R1440="positive",1,0)</x:f>
        <x:v>0</x:v>
      </x:c>
      <x:c r="K1299" s="12" t="n">
        <x:f>IF('患者配对'!W1440="positive",1,0)</x:f>
        <x:v>0</x:v>
      </x:c>
      <x:c r="L1299" s="12" t="str">
        <x:v>由原件与原状态取得；仅主队列索引</x:v>
      </x:c>
      <x:c r="M1299" s="12"/>
      <x:c r="N1299" s="12"/>
      <x:c r="O1299" s="12"/>
    </x:row>
    <x:row r="1300" ht="39" customHeight="1">
      <x:c r="A1300" s="12" t="str">
        <x:v>13167</x:v>
      </x:c>
      <x:c r="B1300" s="12" t="str">
        <x:v>21794</x:v>
      </x:c>
      <x:c r="C1300" s="12" t="str">
        <x:v>参考000</x:v>
      </x:c>
      <x:c r="D1300" s="12" t="str">
        <x:v>自动000</x:v>
      </x:c>
      <x:c r="E1300" s="12" t="n">
        <x:v>0</x:v>
      </x:c>
      <x:c r="F1300" s="12" t="n">
        <x:v>1</x:v>
      </x:c>
      <x:c r="G1300" s="12" t="n">
        <x:v>0</x:v>
      </x:c>
      <x:c r="H1300" s="12" t="n">
        <x:f>IF(SUM(I1300:K1300)&gt;0,1,0)</x:f>
        <x:v>0</x:v>
      </x:c>
      <x:c r="I1300" s="12" t="n">
        <x:f>IF('患者配对'!M1442="positive",1,0)</x:f>
        <x:v>0</x:v>
      </x:c>
      <x:c r="J1300" s="12" t="n">
        <x:f>IF('患者配对'!R1442="positive",1,0)</x:f>
        <x:v>0</x:v>
      </x:c>
      <x:c r="K1300" s="12" t="n">
        <x:f>IF('患者配对'!W1442="positive",1,0)</x:f>
        <x:v>0</x:v>
      </x:c>
      <x:c r="L1300" s="12" t="str">
        <x:v>由原件与原状态取得；仅主队列索引</x:v>
      </x:c>
      <x:c r="M1300" s="12"/>
      <x:c r="N1300" s="12"/>
      <x:c r="O1300" s="12"/>
    </x:row>
    <x:row r="1301" ht="39" customHeight="1">
      <x:c r="A1301" s="12" t="str">
        <x:v>13212</x:v>
      </x:c>
      <x:c r="B1301" s="12" t="str">
        <x:v>16092</x:v>
      </x:c>
      <x:c r="C1301" s="12" t="str">
        <x:v>参考000</x:v>
      </x:c>
      <x:c r="D1301" s="12" t="str">
        <x:v>自动000</x:v>
      </x:c>
      <x:c r="E1301" s="12" t="n">
        <x:v>0</x:v>
      </x:c>
      <x:c r="F1301" s="12" t="n">
        <x:v>0</x:v>
      </x:c>
      <x:c r="G1301" s="12" t="n">
        <x:v>0</x:v>
      </x:c>
      <x:c r="H1301" s="12" t="n">
        <x:f>IF(SUM(I1301:K1301)&gt;0,1,0)</x:f>
        <x:v>0</x:v>
      </x:c>
      <x:c r="I1301" s="12" t="n">
        <x:f>IF('患者配对'!M1443="positive",1,0)</x:f>
        <x:v>0</x:v>
      </x:c>
      <x:c r="J1301" s="12" t="n">
        <x:f>IF('患者配对'!R1443="positive",1,0)</x:f>
        <x:v>0</x:v>
      </x:c>
      <x:c r="K1301" s="12" t="n">
        <x:f>IF('患者配对'!W1443="positive",1,0)</x:f>
        <x:v>0</x:v>
      </x:c>
      <x:c r="L1301" s="12" t="str">
        <x:v>由原件与原状态取得；仅主队列索引</x:v>
      </x:c>
      <x:c r="M1301" s="12"/>
      <x:c r="N1301" s="12"/>
      <x:c r="O1301" s="12"/>
    </x:row>
    <x:row r="1302" ht="39" customHeight="1">
      <x:c r="A1302" s="12" t="str">
        <x:v>13214</x:v>
      </x:c>
      <x:c r="B1302" s="12" t="str">
        <x:v>10372</x:v>
      </x:c>
      <x:c r="C1302" s="12" t="str">
        <x:v>参考000</x:v>
      </x:c>
      <x:c r="D1302" s="12" t="str">
        <x:v>自动000</x:v>
      </x:c>
      <x:c r="E1302" s="12" t="n">
        <x:v>0</x:v>
      </x:c>
      <x:c r="F1302" s="12" t="n">
        <x:v>0</x:v>
      </x:c>
      <x:c r="G1302" s="12" t="n">
        <x:v>0</x:v>
      </x:c>
      <x:c r="H1302" s="12" t="n">
        <x:f>IF(SUM(I1302:K1302)&gt;0,1,0)</x:f>
        <x:v>0</x:v>
      </x:c>
      <x:c r="I1302" s="12" t="n">
        <x:f>IF('患者配对'!M1444="positive",1,0)</x:f>
        <x:v>0</x:v>
      </x:c>
      <x:c r="J1302" s="12" t="n">
        <x:f>IF('患者配对'!R1444="positive",1,0)</x:f>
        <x:v>0</x:v>
      </x:c>
      <x:c r="K1302" s="12" t="n">
        <x:f>IF('患者配对'!W1444="positive",1,0)</x:f>
        <x:v>0</x:v>
      </x:c>
      <x:c r="L1302" s="12" t="str">
        <x:v>由原件与原状态取得；仅主队列索引</x:v>
      </x:c>
      <x:c r="M1302" s="12"/>
      <x:c r="N1302" s="12"/>
      <x:c r="O1302" s="12"/>
    </x:row>
    <x:row r="1303" ht="39" customHeight="1">
      <x:c r="A1303" s="12" t="str">
        <x:v>13227</x:v>
      </x:c>
      <x:c r="B1303" s="12" t="str">
        <x:v>15567</x:v>
      </x:c>
      <x:c r="C1303" s="12" t="str">
        <x:v>参考000</x:v>
      </x:c>
      <x:c r="D1303" s="12" t="str">
        <x:v>自动000</x:v>
      </x:c>
      <x:c r="E1303" s="12" t="n">
        <x:v>0</x:v>
      </x:c>
      <x:c r="F1303" s="12" t="n">
        <x:v>0</x:v>
      </x:c>
      <x:c r="G1303" s="12" t="n">
        <x:v>0</x:v>
      </x:c>
      <x:c r="H1303" s="12" t="n">
        <x:f>IF(SUM(I1303:K1303)&gt;0,1,0)</x:f>
        <x:v>0</x:v>
      </x:c>
      <x:c r="I1303" s="12" t="n">
        <x:f>IF('患者配对'!M1445="positive",1,0)</x:f>
        <x:v>0</x:v>
      </x:c>
      <x:c r="J1303" s="12" t="n">
        <x:f>IF('患者配对'!R1445="positive",1,0)</x:f>
        <x:v>0</x:v>
      </x:c>
      <x:c r="K1303" s="12" t="n">
        <x:f>IF('患者配对'!W1445="positive",1,0)</x:f>
        <x:v>0</x:v>
      </x:c>
      <x:c r="L1303" s="12" t="str">
        <x:v>由原件与原状态取得；仅主队列索引</x:v>
      </x:c>
      <x:c r="M1303" s="12"/>
      <x:c r="N1303" s="12"/>
      <x:c r="O1303" s="12"/>
    </x:row>
    <x:row r="1304" ht="39" customHeight="1">
      <x:c r="A1304" s="12" t="str">
        <x:v>13233</x:v>
      </x:c>
      <x:c r="B1304" s="12" t="str">
        <x:v>13648</x:v>
      </x:c>
      <x:c r="C1304" s="12" t="str">
        <x:v>参考000</x:v>
      </x:c>
      <x:c r="D1304" s="12" t="str">
        <x:v>自动000</x:v>
      </x:c>
      <x:c r="E1304" s="12" t="n">
        <x:v>0</x:v>
      </x:c>
      <x:c r="F1304" s="12" t="n">
        <x:v>0</x:v>
      </x:c>
      <x:c r="G1304" s="12" t="n">
        <x:v>0</x:v>
      </x:c>
      <x:c r="H1304" s="12" t="n">
        <x:f>IF(SUM(I1304:K1304)&gt;0,1,0)</x:f>
        <x:v>0</x:v>
      </x:c>
      <x:c r="I1304" s="12" t="n">
        <x:f>IF('患者配对'!M1446="positive",1,0)</x:f>
        <x:v>0</x:v>
      </x:c>
      <x:c r="J1304" s="12" t="n">
        <x:f>IF('患者配对'!R1446="positive",1,0)</x:f>
        <x:v>0</x:v>
      </x:c>
      <x:c r="K1304" s="12" t="n">
        <x:f>IF('患者配对'!W1446="positive",1,0)</x:f>
        <x:v>0</x:v>
      </x:c>
      <x:c r="L1304" s="12" t="str">
        <x:v>由原件与原状态取得；仅主队列索引</x:v>
      </x:c>
      <x:c r="M1304" s="12"/>
      <x:c r="N1304" s="12"/>
      <x:c r="O1304" s="12"/>
    </x:row>
    <x:row r="1305" ht="39" customHeight="1">
      <x:c r="A1305" s="12" t="str">
        <x:v>13238</x:v>
      </x:c>
      <x:c r="B1305" s="12" t="str">
        <x:v>8701</x:v>
      </x:c>
      <x:c r="C1305" s="12" t="str">
        <x:v>参考000</x:v>
      </x:c>
      <x:c r="D1305" s="12" t="str">
        <x:v>自动000</x:v>
      </x:c>
      <x:c r="E1305" s="12" t="n">
        <x:v>0</x:v>
      </x:c>
      <x:c r="F1305" s="12" t="n">
        <x:v>0</x:v>
      </x:c>
      <x:c r="G1305" s="12" t="n">
        <x:v>0</x:v>
      </x:c>
      <x:c r="H1305" s="12" t="n">
        <x:f>IF(SUM(I1305:K1305)&gt;0,1,0)</x:f>
        <x:v>0</x:v>
      </x:c>
      <x:c r="I1305" s="12" t="n">
        <x:f>IF('患者配对'!M1447="positive",1,0)</x:f>
        <x:v>0</x:v>
      </x:c>
      <x:c r="J1305" s="12" t="n">
        <x:f>IF('患者配对'!R1447="positive",1,0)</x:f>
        <x:v>0</x:v>
      </x:c>
      <x:c r="K1305" s="12" t="n">
        <x:f>IF('患者配对'!W1447="positive",1,0)</x:f>
        <x:v>0</x:v>
      </x:c>
      <x:c r="L1305" s="12" t="str">
        <x:v>由原件与原状态取得；仅主队列索引</x:v>
      </x:c>
      <x:c r="M1305" s="12"/>
      <x:c r="N1305" s="12"/>
      <x:c r="O1305" s="12"/>
    </x:row>
    <x:row r="1306" ht="39" customHeight="1">
      <x:c r="A1306" s="12" t="str">
        <x:v>13248</x:v>
      </x:c>
      <x:c r="B1306" s="12" t="str">
        <x:v>11496</x:v>
      </x:c>
      <x:c r="C1306" s="12" t="str">
        <x:v>参考000</x:v>
      </x:c>
      <x:c r="D1306" s="12" t="str">
        <x:v>自动000</x:v>
      </x:c>
      <x:c r="E1306" s="12" t="n">
        <x:v>0</x:v>
      </x:c>
      <x:c r="F1306" s="12" t="n">
        <x:v>1</x:v>
      </x:c>
      <x:c r="G1306" s="12" t="n">
        <x:v>0</x:v>
      </x:c>
      <x:c r="H1306" s="12" t="n">
        <x:f>IF(SUM(I1306:K1306)&gt;0,1,0)</x:f>
        <x:v>0</x:v>
      </x:c>
      <x:c r="I1306" s="12" t="n">
        <x:f>IF('患者配对'!M1448="positive",1,0)</x:f>
        <x:v>0</x:v>
      </x:c>
      <x:c r="J1306" s="12" t="n">
        <x:f>IF('患者配对'!R1448="positive",1,0)</x:f>
        <x:v>0</x:v>
      </x:c>
      <x:c r="K1306" s="12" t="n">
        <x:f>IF('患者配对'!W1448="positive",1,0)</x:f>
        <x:v>0</x:v>
      </x:c>
      <x:c r="L1306" s="12" t="str">
        <x:v>由原件与原状态取得；仅主队列索引</x:v>
      </x:c>
      <x:c r="M1306" s="12"/>
      <x:c r="N1306" s="12"/>
      <x:c r="O1306" s="12"/>
    </x:row>
    <x:row r="1307" ht="39" customHeight="1">
      <x:c r="A1307" s="12" t="str">
        <x:v>13267</x:v>
      </x:c>
      <x:c r="B1307" s="12" t="str">
        <x:v>10955</x:v>
      </x:c>
      <x:c r="C1307" s="12" t="str">
        <x:v>参考000</x:v>
      </x:c>
      <x:c r="D1307" s="12" t="str">
        <x:v>自动000</x:v>
      </x:c>
      <x:c r="E1307" s="12" t="n">
        <x:v>0</x:v>
      </x:c>
      <x:c r="F1307" s="12" t="n">
        <x:v>0</x:v>
      </x:c>
      <x:c r="G1307" s="12" t="n">
        <x:v>0</x:v>
      </x:c>
      <x:c r="H1307" s="12" t="n">
        <x:f>IF(SUM(I1307:K1307)&gt;0,1,0)</x:f>
        <x:v>0</x:v>
      </x:c>
      <x:c r="I1307" s="12" t="n">
        <x:f>IF('患者配对'!M1449="positive",1,0)</x:f>
        <x:v>0</x:v>
      </x:c>
      <x:c r="J1307" s="12" t="n">
        <x:f>IF('患者配对'!R1449="positive",1,0)</x:f>
        <x:v>0</x:v>
      </x:c>
      <x:c r="K1307" s="12" t="n">
        <x:f>IF('患者配对'!W1449="positive",1,0)</x:f>
        <x:v>0</x:v>
      </x:c>
      <x:c r="L1307" s="12" t="str">
        <x:v>由原件与原状态取得；仅主队列索引</x:v>
      </x:c>
      <x:c r="M1307" s="12"/>
      <x:c r="N1307" s="12"/>
      <x:c r="O1307" s="12"/>
    </x:row>
    <x:row r="1308" ht="39" customHeight="1">
      <x:c r="A1308" s="12" t="str">
        <x:v>13268</x:v>
      </x:c>
      <x:c r="B1308" s="12" t="str">
        <x:v>16959</x:v>
      </x:c>
      <x:c r="C1308" s="12" t="str">
        <x:v>参考000</x:v>
      </x:c>
      <x:c r="D1308" s="12" t="str">
        <x:v>自动000</x:v>
      </x:c>
      <x:c r="E1308" s="12" t="n">
        <x:v>0</x:v>
      </x:c>
      <x:c r="F1308" s="12" t="n">
        <x:v>0</x:v>
      </x:c>
      <x:c r="G1308" s="12" t="n">
        <x:v>0</x:v>
      </x:c>
      <x:c r="H1308" s="12" t="n">
        <x:f>IF(SUM(I1308:K1308)&gt;0,1,0)</x:f>
        <x:v>0</x:v>
      </x:c>
      <x:c r="I1308" s="12" t="n">
        <x:f>IF('患者配对'!M1450="positive",1,0)</x:f>
        <x:v>0</x:v>
      </x:c>
      <x:c r="J1308" s="12" t="n">
        <x:f>IF('患者配对'!R1450="positive",1,0)</x:f>
        <x:v>0</x:v>
      </x:c>
      <x:c r="K1308" s="12" t="n">
        <x:f>IF('患者配对'!W1450="positive",1,0)</x:f>
        <x:v>0</x:v>
      </x:c>
      <x:c r="L1308" s="12" t="str">
        <x:v>由原件与原状态取得；仅主队列索引</x:v>
      </x:c>
      <x:c r="M1308" s="12"/>
      <x:c r="N1308" s="12"/>
      <x:c r="O1308" s="12"/>
    </x:row>
    <x:row r="1309" ht="39" customHeight="1">
      <x:c r="A1309" s="12" t="str">
        <x:v>13282</x:v>
      </x:c>
      <x:c r="B1309" s="12" t="str">
        <x:v>20584</x:v>
      </x:c>
      <x:c r="C1309" s="12" t="str">
        <x:v>参考000</x:v>
      </x:c>
      <x:c r="D1309" s="12" t="str">
        <x:v>自动000</x:v>
      </x:c>
      <x:c r="E1309" s="12" t="n">
        <x:v>0</x:v>
      </x:c>
      <x:c r="F1309" s="12" t="n">
        <x:v>0</x:v>
      </x:c>
      <x:c r="G1309" s="12" t="n">
        <x:v>0</x:v>
      </x:c>
      <x:c r="H1309" s="12" t="n">
        <x:f>IF(SUM(I1309:K1309)&gt;0,1,0)</x:f>
        <x:v>0</x:v>
      </x:c>
      <x:c r="I1309" s="12" t="n">
        <x:f>IF('患者配对'!M1451="positive",1,0)</x:f>
        <x:v>0</x:v>
      </x:c>
      <x:c r="J1309" s="12" t="n">
        <x:f>IF('患者配对'!R1451="positive",1,0)</x:f>
        <x:v>0</x:v>
      </x:c>
      <x:c r="K1309" s="12" t="n">
        <x:f>IF('患者配对'!W1451="positive",1,0)</x:f>
        <x:v>0</x:v>
      </x:c>
      <x:c r="L1309" s="12" t="str">
        <x:v>由原件与原状态取得；仅主队列索引</x:v>
      </x:c>
      <x:c r="M1309" s="12"/>
      <x:c r="N1309" s="12"/>
      <x:c r="O1309" s="12"/>
    </x:row>
    <x:row r="1310" ht="39" customHeight="1">
      <x:c r="A1310" s="12" t="str">
        <x:v>13292</x:v>
      </x:c>
      <x:c r="B1310" s="12" t="str">
        <x:v>20811</x:v>
      </x:c>
      <x:c r="C1310" s="12" t="str">
        <x:v>参考000</x:v>
      </x:c>
      <x:c r="D1310" s="12" t="str">
        <x:v>自动000</x:v>
      </x:c>
      <x:c r="E1310" s="12" t="n">
        <x:v>0</x:v>
      </x:c>
      <x:c r="F1310" s="12" t="n">
        <x:v>1</x:v>
      </x:c>
      <x:c r="G1310" s="12" t="n">
        <x:v>0</x:v>
      </x:c>
      <x:c r="H1310" s="12" t="n">
        <x:f>IF(SUM(I1310:K1310)&gt;0,1,0)</x:f>
        <x:v>0</x:v>
      </x:c>
      <x:c r="I1310" s="12" t="n">
        <x:f>IF('患者配对'!M1452="positive",1,0)</x:f>
        <x:v>0</x:v>
      </x:c>
      <x:c r="J1310" s="12" t="n">
        <x:f>IF('患者配对'!R1452="positive",1,0)</x:f>
        <x:v>0</x:v>
      </x:c>
      <x:c r="K1310" s="12" t="n">
        <x:f>IF('患者配对'!W1452="positive",1,0)</x:f>
        <x:v>0</x:v>
      </x:c>
      <x:c r="L1310" s="12" t="str">
        <x:v>由原件与原状态取得；仅主队列索引</x:v>
      </x:c>
      <x:c r="M1310" s="12"/>
      <x:c r="N1310" s="12"/>
      <x:c r="O1310" s="12"/>
    </x:row>
    <x:row r="1311" ht="39" customHeight="1">
      <x:c r="A1311" s="12" t="str">
        <x:v>13314</x:v>
      </x:c>
      <x:c r="B1311" s="12" t="str">
        <x:v>8335</x:v>
      </x:c>
      <x:c r="C1311" s="12" t="str">
        <x:v>参考000</x:v>
      </x:c>
      <x:c r="D1311" s="12" t="str">
        <x:v>自动000</x:v>
      </x:c>
      <x:c r="E1311" s="12" t="n">
        <x:v>0</x:v>
      </x:c>
      <x:c r="F1311" s="12" t="n">
        <x:v>0</x:v>
      </x:c>
      <x:c r="G1311" s="12" t="n">
        <x:v>0</x:v>
      </x:c>
      <x:c r="H1311" s="12" t="n">
        <x:f>IF(SUM(I1311:K1311)&gt;0,1,0)</x:f>
        <x:v>0</x:v>
      </x:c>
      <x:c r="I1311" s="12" t="n">
        <x:f>IF('患者配对'!M1454="positive",1,0)</x:f>
        <x:v>0</x:v>
      </x:c>
      <x:c r="J1311" s="12" t="n">
        <x:f>IF('患者配对'!R1454="positive",1,0)</x:f>
        <x:v>0</x:v>
      </x:c>
      <x:c r="K1311" s="12" t="n">
        <x:f>IF('患者配对'!W1454="positive",1,0)</x:f>
        <x:v>0</x:v>
      </x:c>
      <x:c r="L1311" s="12" t="str">
        <x:v>由原件与原状态取得；仅主队列索引</x:v>
      </x:c>
      <x:c r="M1311" s="12"/>
      <x:c r="N1311" s="12"/>
      <x:c r="O1311" s="12"/>
    </x:row>
    <x:row r="1312" ht="39" customHeight="1">
      <x:c r="A1312" s="12" t="str">
        <x:v>13333</x:v>
      </x:c>
      <x:c r="B1312" s="12" t="str">
        <x:v>8352</x:v>
      </x:c>
      <x:c r="C1312" s="12" t="str">
        <x:v>参考100</x:v>
      </x:c>
      <x:c r="D1312" s="12" t="str">
        <x:v>自动100</x:v>
      </x:c>
      <x:c r="E1312" s="12" t="n">
        <x:v>1</x:v>
      </x:c>
      <x:c r="F1312" s="12" t="n">
        <x:v>1</x:v>
      </x:c>
      <x:c r="G1312" s="12" t="n">
        <x:v>0</x:v>
      </x:c>
      <x:c r="H1312" s="12" t="n">
        <x:f>IF(SUM(I1312:K1312)&gt;0,1,0)</x:f>
        <x:v>1</x:v>
      </x:c>
      <x:c r="I1312" s="12" t="n">
        <x:f>IF('患者配对'!M1455="positive",1,0)</x:f>
        <x:v>1</x:v>
      </x:c>
      <x:c r="J1312" s="12" t="n">
        <x:f>IF('患者配对'!R1455="positive",1,0)</x:f>
        <x:v>0</x:v>
      </x:c>
      <x:c r="K1312" s="12" t="n">
        <x:f>IF('患者配对'!W1455="positive",1,0)</x:f>
        <x:v>0</x:v>
      </x:c>
      <x:c r="L1312" s="12" t="str">
        <x:v>由原件与原状态取得；仅主队列索引</x:v>
      </x:c>
      <x:c r="M1312" s="12"/>
      <x:c r="N1312" s="12"/>
      <x:c r="O1312" s="12"/>
    </x:row>
    <x:row r="1313" ht="39" customHeight="1">
      <x:c r="A1313" s="12" t="str">
        <x:v>13335</x:v>
      </x:c>
      <x:c r="B1313" s="12" t="str">
        <x:v>14559</x:v>
      </x:c>
      <x:c r="C1313" s="12" t="str">
        <x:v>参考000</x:v>
      </x:c>
      <x:c r="D1313" s="12" t="str">
        <x:v>自动000</x:v>
      </x:c>
      <x:c r="E1313" s="12" t="n">
        <x:v>0</x:v>
      </x:c>
      <x:c r="F1313" s="12" t="n">
        <x:v>1</x:v>
      </x:c>
      <x:c r="G1313" s="12" t="n">
        <x:v>0</x:v>
      </x:c>
      <x:c r="H1313" s="12" t="n">
        <x:f>IF(SUM(I1313:K1313)&gt;0,1,0)</x:f>
        <x:v>0</x:v>
      </x:c>
      <x:c r="I1313" s="12" t="n">
        <x:f>IF('患者配对'!M1456="positive",1,0)</x:f>
        <x:v>0</x:v>
      </x:c>
      <x:c r="J1313" s="12" t="n">
        <x:f>IF('患者配对'!R1456="positive",1,0)</x:f>
        <x:v>0</x:v>
      </x:c>
      <x:c r="K1313" s="12" t="n">
        <x:f>IF('患者配对'!W1456="positive",1,0)</x:f>
        <x:v>0</x:v>
      </x:c>
      <x:c r="L1313" s="12" t="str">
        <x:v>由原件与原状态取得；仅主队列索引</x:v>
      </x:c>
      <x:c r="M1313" s="12"/>
      <x:c r="N1313" s="12"/>
      <x:c r="O1313" s="12"/>
    </x:row>
    <x:row r="1314" ht="39" customHeight="1">
      <x:c r="A1314" s="12" t="str">
        <x:v>13338</x:v>
      </x:c>
      <x:c r="B1314" s="12" t="str">
        <x:v>10018</x:v>
      </x:c>
      <x:c r="C1314" s="12" t="str">
        <x:v>参考000</x:v>
      </x:c>
      <x:c r="D1314" s="12" t="str">
        <x:v>自动000</x:v>
      </x:c>
      <x:c r="E1314" s="12" t="n">
        <x:v>0</x:v>
      </x:c>
      <x:c r="F1314" s="12" t="n">
        <x:v>0</x:v>
      </x:c>
      <x:c r="G1314" s="12" t="n">
        <x:v>0</x:v>
      </x:c>
      <x:c r="H1314" s="12" t="n">
        <x:f>IF(SUM(I1314:K1314)&gt;0,1,0)</x:f>
        <x:v>0</x:v>
      </x:c>
      <x:c r="I1314" s="12" t="n">
        <x:f>IF('患者配对'!M1458="positive",1,0)</x:f>
        <x:v>0</x:v>
      </x:c>
      <x:c r="J1314" s="12" t="n">
        <x:f>IF('患者配对'!R1458="positive",1,0)</x:f>
        <x:v>0</x:v>
      </x:c>
      <x:c r="K1314" s="12" t="n">
        <x:f>IF('患者配对'!W1458="positive",1,0)</x:f>
        <x:v>0</x:v>
      </x:c>
      <x:c r="L1314" s="12" t="str">
        <x:v>由原件与原状态取得；仅主队列索引</x:v>
      </x:c>
      <x:c r="M1314" s="12"/>
      <x:c r="N1314" s="12"/>
      <x:c r="O1314" s="12"/>
    </x:row>
    <x:row r="1315" ht="39" customHeight="1">
      <x:c r="A1315" s="12" t="str">
        <x:v>13349</x:v>
      </x:c>
      <x:c r="B1315" s="12" t="str">
        <x:v>19086</x:v>
      </x:c>
      <x:c r="C1315" s="12" t="str">
        <x:v>参考000</x:v>
      </x:c>
      <x:c r="D1315" s="12" t="str">
        <x:v>自动000</x:v>
      </x:c>
      <x:c r="E1315" s="12" t="n">
        <x:v>0</x:v>
      </x:c>
      <x:c r="F1315" s="12" t="n">
        <x:v>0</x:v>
      </x:c>
      <x:c r="G1315" s="12" t="n">
        <x:v>0</x:v>
      </x:c>
      <x:c r="H1315" s="12" t="n">
        <x:f>IF(SUM(I1315:K1315)&gt;0,1,0)</x:f>
        <x:v>0</x:v>
      </x:c>
      <x:c r="I1315" s="12" t="n">
        <x:f>IF('患者配对'!M1459="positive",1,0)</x:f>
        <x:v>0</x:v>
      </x:c>
      <x:c r="J1315" s="12" t="n">
        <x:f>IF('患者配对'!R1459="positive",1,0)</x:f>
        <x:v>0</x:v>
      </x:c>
      <x:c r="K1315" s="12" t="n">
        <x:f>IF('患者配对'!W1459="positive",1,0)</x:f>
        <x:v>0</x:v>
      </x:c>
      <x:c r="L1315" s="12" t="str">
        <x:v>由原件与原状态取得；仅主队列索引</x:v>
      </x:c>
      <x:c r="M1315" s="12"/>
      <x:c r="N1315" s="12"/>
      <x:c r="O1315" s="12"/>
    </x:row>
    <x:row r="1316" ht="39" customHeight="1">
      <x:c r="A1316" s="12" t="str">
        <x:v>13361</x:v>
      </x:c>
      <x:c r="B1316" s="12" t="str">
        <x:v>12506</x:v>
      </x:c>
      <x:c r="C1316" s="12" t="str">
        <x:v>参考000</x:v>
      </x:c>
      <x:c r="D1316" s="12" t="str">
        <x:v>自动000</x:v>
      </x:c>
      <x:c r="E1316" s="12" t="n">
        <x:v>0</x:v>
      </x:c>
      <x:c r="F1316" s="12" t="n">
        <x:v>0</x:v>
      </x:c>
      <x:c r="G1316" s="12" t="n">
        <x:v>0</x:v>
      </x:c>
      <x:c r="H1316" s="12" t="n">
        <x:f>IF(SUM(I1316:K1316)&gt;0,1,0)</x:f>
        <x:v>0</x:v>
      </x:c>
      <x:c r="I1316" s="12" t="n">
        <x:f>IF('患者配对'!M1460="positive",1,0)</x:f>
        <x:v>0</x:v>
      </x:c>
      <x:c r="J1316" s="12" t="n">
        <x:f>IF('患者配对'!R1460="positive",1,0)</x:f>
        <x:v>0</x:v>
      </x:c>
      <x:c r="K1316" s="12" t="n">
        <x:f>IF('患者配对'!W1460="positive",1,0)</x:f>
        <x:v>0</x:v>
      </x:c>
      <x:c r="L1316" s="12" t="str">
        <x:v>由原件与原状态取得；仅主队列索引</x:v>
      </x:c>
      <x:c r="M1316" s="12"/>
      <x:c r="N1316" s="12"/>
      <x:c r="O1316" s="12"/>
    </x:row>
    <x:row r="1317" ht="39" customHeight="1">
      <x:c r="A1317" s="12" t="str">
        <x:v>13370</x:v>
      </x:c>
      <x:c r="B1317" s="12" t="str">
        <x:v>12465</x:v>
      </x:c>
      <x:c r="C1317" s="12" t="str">
        <x:v>参考000</x:v>
      </x:c>
      <x:c r="D1317" s="12" t="str">
        <x:v>自动000</x:v>
      </x:c>
      <x:c r="E1317" s="12" t="n">
        <x:v>0</x:v>
      </x:c>
      <x:c r="F1317" s="12" t="n">
        <x:v>0</x:v>
      </x:c>
      <x:c r="G1317" s="12" t="n">
        <x:v>0</x:v>
      </x:c>
      <x:c r="H1317" s="12" t="n">
        <x:f>IF(SUM(I1317:K1317)&gt;0,1,0)</x:f>
        <x:v>0</x:v>
      </x:c>
      <x:c r="I1317" s="12" t="n">
        <x:f>IF('患者配对'!M1461="positive",1,0)</x:f>
        <x:v>0</x:v>
      </x:c>
      <x:c r="J1317" s="12" t="n">
        <x:f>IF('患者配对'!R1461="positive",1,0)</x:f>
        <x:v>0</x:v>
      </x:c>
      <x:c r="K1317" s="12" t="n">
        <x:f>IF('患者配对'!W1461="positive",1,0)</x:f>
        <x:v>0</x:v>
      </x:c>
      <x:c r="L1317" s="12" t="str">
        <x:v>由原件与原状态取得；仅主队列索引</x:v>
      </x:c>
      <x:c r="M1317" s="12"/>
      <x:c r="N1317" s="12"/>
      <x:c r="O1317" s="12"/>
    </x:row>
    <x:row r="1318" ht="39" customHeight="1">
      <x:c r="A1318" s="12" t="str">
        <x:v>13380</x:v>
      </x:c>
      <x:c r="B1318" s="12" t="str">
        <x:v>19220</x:v>
      </x:c>
      <x:c r="C1318" s="12" t="str">
        <x:v>参考000</x:v>
      </x:c>
      <x:c r="D1318" s="12" t="str">
        <x:v>自动000</x:v>
      </x:c>
      <x:c r="E1318" s="12" t="n">
        <x:v>0</x:v>
      </x:c>
      <x:c r="F1318" s="12" t="n">
        <x:v>1</x:v>
      </x:c>
      <x:c r="G1318" s="12" t="n">
        <x:v>0</x:v>
      </x:c>
      <x:c r="H1318" s="12" t="n">
        <x:f>IF(SUM(I1318:K1318)&gt;0,1,0)</x:f>
        <x:v>0</x:v>
      </x:c>
      <x:c r="I1318" s="12" t="n">
        <x:f>IF('患者配对'!M1462="positive",1,0)</x:f>
        <x:v>0</x:v>
      </x:c>
      <x:c r="J1318" s="12" t="n">
        <x:f>IF('患者配对'!R1462="positive",1,0)</x:f>
        <x:v>0</x:v>
      </x:c>
      <x:c r="K1318" s="12" t="n">
        <x:f>IF('患者配对'!W1462="positive",1,0)</x:f>
        <x:v>0</x:v>
      </x:c>
      <x:c r="L1318" s="12" t="str">
        <x:v>由原件与原状态取得；仅主队列索引</x:v>
      </x:c>
      <x:c r="M1318" s="12"/>
      <x:c r="N1318" s="12"/>
      <x:c r="O1318" s="12"/>
    </x:row>
    <x:row r="1319" ht="39" customHeight="1">
      <x:c r="A1319" s="12" t="str">
        <x:v>13397</x:v>
      </x:c>
      <x:c r="B1319" s="12" t="str">
        <x:v>19052</x:v>
      </x:c>
      <x:c r="C1319" s="12" t="str">
        <x:v>参考000</x:v>
      </x:c>
      <x:c r="D1319" s="12" t="str">
        <x:v>自动000</x:v>
      </x:c>
      <x:c r="E1319" s="12" t="n">
        <x:v>0</x:v>
      </x:c>
      <x:c r="F1319" s="12" t="n">
        <x:v>0</x:v>
      </x:c>
      <x:c r="G1319" s="12" t="n">
        <x:v>0</x:v>
      </x:c>
      <x:c r="H1319" s="12" t="n">
        <x:f>IF(SUM(I1319:K1319)&gt;0,1,0)</x:f>
        <x:v>0</x:v>
      </x:c>
      <x:c r="I1319" s="12" t="n">
        <x:f>IF('患者配对'!M1463="positive",1,0)</x:f>
        <x:v>0</x:v>
      </x:c>
      <x:c r="J1319" s="12" t="n">
        <x:f>IF('患者配对'!R1463="positive",1,0)</x:f>
        <x:v>0</x:v>
      </x:c>
      <x:c r="K1319" s="12" t="n">
        <x:f>IF('患者配对'!W1463="positive",1,0)</x:f>
        <x:v>0</x:v>
      </x:c>
      <x:c r="L1319" s="12" t="str">
        <x:v>由原件与原状态取得；仅主队列索引</x:v>
      </x:c>
      <x:c r="M1319" s="12"/>
      <x:c r="N1319" s="12"/>
      <x:c r="O1319" s="12"/>
    </x:row>
    <x:row r="1320" ht="39" customHeight="1">
      <x:c r="A1320" s="12" t="str">
        <x:v>13400</x:v>
      </x:c>
      <x:c r="B1320" s="12" t="str">
        <x:v>20135</x:v>
      </x:c>
      <x:c r="C1320" s="12" t="str">
        <x:v>参考000</x:v>
      </x:c>
      <x:c r="D1320" s="12" t="str">
        <x:v>自动000</x:v>
      </x:c>
      <x:c r="E1320" s="12" t="n">
        <x:v>0</x:v>
      </x:c>
      <x:c r="F1320" s="12" t="n">
        <x:v>0</x:v>
      </x:c>
      <x:c r="G1320" s="12" t="n">
        <x:v>0</x:v>
      </x:c>
      <x:c r="H1320" s="12" t="n">
        <x:f>IF(SUM(I1320:K1320)&gt;0,1,0)</x:f>
        <x:v>0</x:v>
      </x:c>
      <x:c r="I1320" s="12" t="n">
        <x:f>IF('患者配对'!M1465="positive",1,0)</x:f>
        <x:v>0</x:v>
      </x:c>
      <x:c r="J1320" s="12" t="n">
        <x:f>IF('患者配对'!R1465="positive",1,0)</x:f>
        <x:v>0</x:v>
      </x:c>
      <x:c r="K1320" s="12" t="n">
        <x:f>IF('患者配对'!W1465="positive",1,0)</x:f>
        <x:v>0</x:v>
      </x:c>
      <x:c r="L1320" s="12" t="str">
        <x:v>由原件与原状态取得；仅主队列索引</x:v>
      </x:c>
      <x:c r="M1320" s="12"/>
      <x:c r="N1320" s="12"/>
      <x:c r="O1320" s="12"/>
    </x:row>
    <x:row r="1321" ht="39" customHeight="1">
      <x:c r="A1321" s="12" t="str">
        <x:v>13404</x:v>
      </x:c>
      <x:c r="B1321" s="12" t="str">
        <x:v>19873</x:v>
      </x:c>
      <x:c r="C1321" s="12" t="str">
        <x:v>参考000</x:v>
      </x:c>
      <x:c r="D1321" s="12" t="str">
        <x:v>自动000</x:v>
      </x:c>
      <x:c r="E1321" s="12" t="n">
        <x:v>0</x:v>
      </x:c>
      <x:c r="F1321" s="12" t="n">
        <x:v>1</x:v>
      </x:c>
      <x:c r="G1321" s="12" t="n">
        <x:v>0</x:v>
      </x:c>
      <x:c r="H1321" s="12" t="n">
        <x:f>IF(SUM(I1321:K1321)&gt;0,1,0)</x:f>
        <x:v>0</x:v>
      </x:c>
      <x:c r="I1321" s="12" t="n">
        <x:f>IF('患者配对'!M1466="positive",1,0)</x:f>
        <x:v>0</x:v>
      </x:c>
      <x:c r="J1321" s="12" t="n">
        <x:f>IF('患者配对'!R1466="positive",1,0)</x:f>
        <x:v>0</x:v>
      </x:c>
      <x:c r="K1321" s="12" t="n">
        <x:f>IF('患者配对'!W1466="positive",1,0)</x:f>
        <x:v>0</x:v>
      </x:c>
      <x:c r="L1321" s="12" t="str">
        <x:v>由原件与原状态取得；仅主队列索引</x:v>
      </x:c>
      <x:c r="M1321" s="12"/>
      <x:c r="N1321" s="12"/>
      <x:c r="O1321" s="12"/>
    </x:row>
    <x:row r="1322" ht="39" customHeight="1">
      <x:c r="A1322" s="12" t="str">
        <x:v>13405</x:v>
      </x:c>
      <x:c r="B1322" s="12" t="str">
        <x:v>7990</x:v>
      </x:c>
      <x:c r="C1322" s="12" t="str">
        <x:v>参考000</x:v>
      </x:c>
      <x:c r="D1322" s="12" t="str">
        <x:v>自动000</x:v>
      </x:c>
      <x:c r="E1322" s="12" t="n">
        <x:v>0</x:v>
      </x:c>
      <x:c r="F1322" s="12" t="n">
        <x:v>1</x:v>
      </x:c>
      <x:c r="G1322" s="12" t="n">
        <x:v>0</x:v>
      </x:c>
      <x:c r="H1322" s="12" t="n">
        <x:f>IF(SUM(I1322:K1322)&gt;0,1,0)</x:f>
        <x:v>0</x:v>
      </x:c>
      <x:c r="I1322" s="12" t="n">
        <x:f>IF('患者配对'!M1467="positive",1,0)</x:f>
        <x:v>0</x:v>
      </x:c>
      <x:c r="J1322" s="12" t="n">
        <x:f>IF('患者配对'!R1467="positive",1,0)</x:f>
        <x:v>0</x:v>
      </x:c>
      <x:c r="K1322" s="12" t="n">
        <x:f>IF('患者配对'!W1467="positive",1,0)</x:f>
        <x:v>0</x:v>
      </x:c>
      <x:c r="L1322" s="12" t="str">
        <x:v>由原件与原状态取得；仅主队列索引</x:v>
      </x:c>
      <x:c r="M1322" s="12"/>
      <x:c r="N1322" s="12"/>
      <x:c r="O1322" s="12"/>
    </x:row>
    <x:row r="1323" ht="39" customHeight="1">
      <x:c r="A1323" s="12" t="str">
        <x:v>13446</x:v>
      </x:c>
      <x:c r="B1323" s="12" t="str">
        <x:v>13840</x:v>
      </x:c>
      <x:c r="C1323" s="12" t="str">
        <x:v>参考000</x:v>
      </x:c>
      <x:c r="D1323" s="12" t="str">
        <x:v>自动000</x:v>
      </x:c>
      <x:c r="E1323" s="12" t="n">
        <x:v>0</x:v>
      </x:c>
      <x:c r="F1323" s="12" t="n">
        <x:v>1</x:v>
      </x:c>
      <x:c r="G1323" s="12" t="n">
        <x:v>0</x:v>
      </x:c>
      <x:c r="H1323" s="12" t="n">
        <x:f>IF(SUM(I1323:K1323)&gt;0,1,0)</x:f>
        <x:v>0</x:v>
      </x:c>
      <x:c r="I1323" s="12" t="n">
        <x:f>IF('患者配对'!M1468="positive",1,0)</x:f>
        <x:v>0</x:v>
      </x:c>
      <x:c r="J1323" s="12" t="n">
        <x:f>IF('患者配对'!R1468="positive",1,0)</x:f>
        <x:v>0</x:v>
      </x:c>
      <x:c r="K1323" s="12" t="n">
        <x:f>IF('患者配对'!W1468="positive",1,0)</x:f>
        <x:v>0</x:v>
      </x:c>
      <x:c r="L1323" s="12" t="str">
        <x:v>由原件与原状态取得；仅主队列索引</x:v>
      </x:c>
      <x:c r="M1323" s="12"/>
      <x:c r="N1323" s="12"/>
      <x:c r="O1323" s="12"/>
    </x:row>
    <x:row r="1324" ht="39" customHeight="1">
      <x:c r="A1324" s="12" t="str">
        <x:v>13479</x:v>
      </x:c>
      <x:c r="B1324" s="12" t="str">
        <x:v>18631</x:v>
      </x:c>
      <x:c r="C1324" s="12" t="str">
        <x:v>参考000</x:v>
      </x:c>
      <x:c r="D1324" s="12" t="str">
        <x:v>自动000</x:v>
      </x:c>
      <x:c r="E1324" s="12" t="n">
        <x:v>0</x:v>
      </x:c>
      <x:c r="F1324" s="12" t="n">
        <x:v>1</x:v>
      </x:c>
      <x:c r="G1324" s="12" t="n">
        <x:v>0</x:v>
      </x:c>
      <x:c r="H1324" s="12" t="n">
        <x:f>IF(SUM(I1324:K1324)&gt;0,1,0)</x:f>
        <x:v>0</x:v>
      </x:c>
      <x:c r="I1324" s="12" t="n">
        <x:f>IF('患者配对'!M1469="positive",1,0)</x:f>
        <x:v>0</x:v>
      </x:c>
      <x:c r="J1324" s="12" t="n">
        <x:f>IF('患者配对'!R1469="positive",1,0)</x:f>
        <x:v>0</x:v>
      </x:c>
      <x:c r="K1324" s="12" t="n">
        <x:f>IF('患者配对'!W1469="positive",1,0)</x:f>
        <x:v>0</x:v>
      </x:c>
      <x:c r="L1324" s="12" t="str">
        <x:v>由原件与原状态取得；仅主队列索引</x:v>
      </x:c>
      <x:c r="M1324" s="12"/>
      <x:c r="N1324" s="12"/>
      <x:c r="O1324" s="12"/>
    </x:row>
    <x:row r="1325" ht="39" customHeight="1">
      <x:c r="A1325" s="12" t="str">
        <x:v>13494</x:v>
      </x:c>
      <x:c r="B1325" s="12" t="str">
        <x:v>19272</x:v>
      </x:c>
      <x:c r="C1325" s="12" t="str">
        <x:v>参考000</x:v>
      </x:c>
      <x:c r="D1325" s="12" t="str">
        <x:v>自动000</x:v>
      </x:c>
      <x:c r="E1325" s="12" t="n">
        <x:v>0</x:v>
      </x:c>
      <x:c r="F1325" s="12" t="n">
        <x:v>0</x:v>
      </x:c>
      <x:c r="G1325" s="12" t="n">
        <x:v>0</x:v>
      </x:c>
      <x:c r="H1325" s="12" t="n">
        <x:f>IF(SUM(I1325:K1325)&gt;0,1,0)</x:f>
        <x:v>0</x:v>
      </x:c>
      <x:c r="I1325" s="12" t="n">
        <x:f>IF('患者配对'!M1470="positive",1,0)</x:f>
        <x:v>0</x:v>
      </x:c>
      <x:c r="J1325" s="12" t="n">
        <x:f>IF('患者配对'!R1470="positive",1,0)</x:f>
        <x:v>0</x:v>
      </x:c>
      <x:c r="K1325" s="12" t="n">
        <x:f>IF('患者配对'!W1470="positive",1,0)</x:f>
        <x:v>0</x:v>
      </x:c>
      <x:c r="L1325" s="12" t="str">
        <x:v>由原件与原状态取得；仅主队列索引</x:v>
      </x:c>
      <x:c r="M1325" s="12"/>
      <x:c r="N1325" s="12"/>
      <x:c r="O1325" s="12"/>
    </x:row>
    <x:row r="1326" ht="39" customHeight="1">
      <x:c r="A1326" s="12" t="str">
        <x:v>13499</x:v>
      </x:c>
      <x:c r="B1326" s="12" t="str">
        <x:v>11335</x:v>
      </x:c>
      <x:c r="C1326" s="12" t="str">
        <x:v>参考000</x:v>
      </x:c>
      <x:c r="D1326" s="12" t="str">
        <x:v>自动000</x:v>
      </x:c>
      <x:c r="E1326" s="12" t="n">
        <x:v>0</x:v>
      </x:c>
      <x:c r="F1326" s="12" t="n">
        <x:v>0</x:v>
      </x:c>
      <x:c r="G1326" s="12" t="n">
        <x:v>0</x:v>
      </x:c>
      <x:c r="H1326" s="12" t="n">
        <x:f>IF(SUM(I1326:K1326)&gt;0,1,0)</x:f>
        <x:v>0</x:v>
      </x:c>
      <x:c r="I1326" s="12" t="n">
        <x:f>IF('患者配对'!M1471="positive",1,0)</x:f>
        <x:v>0</x:v>
      </x:c>
      <x:c r="J1326" s="12" t="n">
        <x:f>IF('患者配对'!R1471="positive",1,0)</x:f>
        <x:v>0</x:v>
      </x:c>
      <x:c r="K1326" s="12" t="n">
        <x:f>IF('患者配对'!W1471="positive",1,0)</x:f>
        <x:v>0</x:v>
      </x:c>
      <x:c r="L1326" s="12" t="str">
        <x:v>由原件与原状态取得；仅主队列索引</x:v>
      </x:c>
      <x:c r="M1326" s="12"/>
      <x:c r="N1326" s="12"/>
      <x:c r="O1326" s="12"/>
    </x:row>
    <x:row r="1327" ht="39" customHeight="1">
      <x:c r="A1327" s="12" t="str">
        <x:v>13516</x:v>
      </x:c>
      <x:c r="B1327" s="12" t="str">
        <x:v>12402</x:v>
      </x:c>
      <x:c r="C1327" s="12" t="str">
        <x:v>参考000</x:v>
      </x:c>
      <x:c r="D1327" s="12" t="str">
        <x:v>自动000</x:v>
      </x:c>
      <x:c r="E1327" s="12" t="n">
        <x:v>0</x:v>
      </x:c>
      <x:c r="F1327" s="12" t="n">
        <x:v>0</x:v>
      </x:c>
      <x:c r="G1327" s="12" t="n">
        <x:v>0</x:v>
      </x:c>
      <x:c r="H1327" s="12" t="n">
        <x:f>IF(SUM(I1327:K1327)&gt;0,1,0)</x:f>
        <x:v>0</x:v>
      </x:c>
      <x:c r="I1327" s="12" t="n">
        <x:f>IF('患者配对'!M1472="positive",1,0)</x:f>
        <x:v>0</x:v>
      </x:c>
      <x:c r="J1327" s="12" t="n">
        <x:f>IF('患者配对'!R1472="positive",1,0)</x:f>
        <x:v>0</x:v>
      </x:c>
      <x:c r="K1327" s="12" t="n">
        <x:f>IF('患者配对'!W1472="positive",1,0)</x:f>
        <x:v>0</x:v>
      </x:c>
      <x:c r="L1327" s="12" t="str">
        <x:v>由原件与原状态取得；仅主队列索引</x:v>
      </x:c>
      <x:c r="M1327" s="12"/>
      <x:c r="N1327" s="12"/>
      <x:c r="O1327" s="12"/>
    </x:row>
    <x:row r="1328" ht="39" customHeight="1">
      <x:c r="A1328" s="12" t="str">
        <x:v>13556</x:v>
      </x:c>
      <x:c r="B1328" s="12" t="str">
        <x:v>8788</x:v>
      </x:c>
      <x:c r="C1328" s="12" t="str">
        <x:v>参考000</x:v>
      </x:c>
      <x:c r="D1328" s="12" t="str">
        <x:v>自动000</x:v>
      </x:c>
      <x:c r="E1328" s="12" t="n">
        <x:v>0</x:v>
      </x:c>
      <x:c r="F1328" s="12" t="n">
        <x:v>0</x:v>
      </x:c>
      <x:c r="G1328" s="12" t="n">
        <x:v>0</x:v>
      </x:c>
      <x:c r="H1328" s="12" t="n">
        <x:f>IF(SUM(I1328:K1328)&gt;0,1,0)</x:f>
        <x:v>0</x:v>
      </x:c>
      <x:c r="I1328" s="12" t="n">
        <x:f>IF('患者配对'!M1473="positive",1,0)</x:f>
        <x:v>0</x:v>
      </x:c>
      <x:c r="J1328" s="12" t="n">
        <x:f>IF('患者配对'!R1473="positive",1,0)</x:f>
        <x:v>0</x:v>
      </x:c>
      <x:c r="K1328" s="12" t="n">
        <x:f>IF('患者配对'!W1473="positive",1,0)</x:f>
        <x:v>0</x:v>
      </x:c>
      <x:c r="L1328" s="12" t="str">
        <x:v>由原件与原状态取得；仅主队列索引</x:v>
      </x:c>
      <x:c r="M1328" s="12"/>
      <x:c r="N1328" s="12"/>
      <x:c r="O1328" s="12"/>
    </x:row>
    <x:row r="1329" ht="39" customHeight="1">
      <x:c r="A1329" s="12" t="str">
        <x:v>13595</x:v>
      </x:c>
      <x:c r="B1329" s="12" t="str">
        <x:v>16047</x:v>
      </x:c>
      <x:c r="C1329" s="12" t="str">
        <x:v>参考000</x:v>
      </x:c>
      <x:c r="D1329" s="12" t="str">
        <x:v>自动000</x:v>
      </x:c>
      <x:c r="E1329" s="12" t="n">
        <x:v>0</x:v>
      </x:c>
      <x:c r="F1329" s="12" t="n">
        <x:v>1</x:v>
      </x:c>
      <x:c r="G1329" s="12" t="n">
        <x:v>0</x:v>
      </x:c>
      <x:c r="H1329" s="12" t="n">
        <x:f>IF(SUM(I1329:K1329)&gt;0,1,0)</x:f>
        <x:v>0</x:v>
      </x:c>
      <x:c r="I1329" s="12" t="n">
        <x:f>IF('患者配对'!M1475="positive",1,0)</x:f>
        <x:v>0</x:v>
      </x:c>
      <x:c r="J1329" s="12" t="n">
        <x:f>IF('患者配对'!R1475="positive",1,0)</x:f>
        <x:v>0</x:v>
      </x:c>
      <x:c r="K1329" s="12" t="n">
        <x:f>IF('患者配对'!W1475="positive",1,0)</x:f>
        <x:v>0</x:v>
      </x:c>
      <x:c r="L1329" s="12" t="str">
        <x:v>由原件与原状态取得；仅主队列索引</x:v>
      </x:c>
      <x:c r="M1329" s="12"/>
      <x:c r="N1329" s="12"/>
      <x:c r="O1329" s="12"/>
    </x:row>
    <x:row r="1330" ht="39" customHeight="1">
      <x:c r="A1330" s="12" t="str">
        <x:v>13612</x:v>
      </x:c>
      <x:c r="B1330" s="12" t="str">
        <x:v>21749</x:v>
      </x:c>
      <x:c r="C1330" s="12" t="str">
        <x:v>参考000</x:v>
      </x:c>
      <x:c r="D1330" s="12" t="str">
        <x:v>自动000</x:v>
      </x:c>
      <x:c r="E1330" s="12" t="n">
        <x:v>0</x:v>
      </x:c>
      <x:c r="F1330" s="12" t="n">
        <x:v>1</x:v>
      </x:c>
      <x:c r="G1330" s="12" t="n">
        <x:v>0</x:v>
      </x:c>
      <x:c r="H1330" s="12" t="n">
        <x:f>IF(SUM(I1330:K1330)&gt;0,1,0)</x:f>
        <x:v>0</x:v>
      </x:c>
      <x:c r="I1330" s="12" t="n">
        <x:f>IF('患者配对'!M1476="positive",1,0)</x:f>
        <x:v>0</x:v>
      </x:c>
      <x:c r="J1330" s="12" t="n">
        <x:f>IF('患者配对'!R1476="positive",1,0)</x:f>
        <x:v>0</x:v>
      </x:c>
      <x:c r="K1330" s="12" t="n">
        <x:f>IF('患者配对'!W1476="positive",1,0)</x:f>
        <x:v>0</x:v>
      </x:c>
      <x:c r="L1330" s="12" t="str">
        <x:v>由原件与原状态取得；仅主队列索引</x:v>
      </x:c>
      <x:c r="M1330" s="12"/>
      <x:c r="N1330" s="12"/>
      <x:c r="O1330" s="12"/>
    </x:row>
    <x:row r="1331" ht="39" customHeight="1">
      <x:c r="A1331" s="12" t="str">
        <x:v>13630</x:v>
      </x:c>
      <x:c r="B1331" s="12" t="str">
        <x:v>11041</x:v>
      </x:c>
      <x:c r="C1331" s="12" t="str">
        <x:v>参考000</x:v>
      </x:c>
      <x:c r="D1331" s="12" t="str">
        <x:v>自动000</x:v>
      </x:c>
      <x:c r="E1331" s="12" t="n">
        <x:v>0</x:v>
      </x:c>
      <x:c r="F1331" s="12" t="n">
        <x:v>1</x:v>
      </x:c>
      <x:c r="G1331" s="12" t="n">
        <x:v>0</x:v>
      </x:c>
      <x:c r="H1331" s="12" t="n">
        <x:f>IF(SUM(I1331:K1331)&gt;0,1,0)</x:f>
        <x:v>0</x:v>
      </x:c>
      <x:c r="I1331" s="12" t="n">
        <x:f>IF('患者配对'!M1477="positive",1,0)</x:f>
        <x:v>0</x:v>
      </x:c>
      <x:c r="J1331" s="12" t="n">
        <x:f>IF('患者配对'!R1477="positive",1,0)</x:f>
        <x:v>0</x:v>
      </x:c>
      <x:c r="K1331" s="12" t="n">
        <x:f>IF('患者配对'!W1477="positive",1,0)</x:f>
        <x:v>0</x:v>
      </x:c>
      <x:c r="L1331" s="12" t="str">
        <x:v>由原件与原状态取得；仅主队列索引</x:v>
      </x:c>
      <x:c r="M1331" s="12"/>
      <x:c r="N1331" s="12"/>
      <x:c r="O1331" s="12"/>
    </x:row>
    <x:row r="1332" ht="39" customHeight="1">
      <x:c r="A1332" s="12" t="str">
        <x:v>13642</x:v>
      </x:c>
      <x:c r="B1332" s="12" t="str">
        <x:v>14913</x:v>
      </x:c>
      <x:c r="C1332" s="12" t="str">
        <x:v>参考000</x:v>
      </x:c>
      <x:c r="D1332" s="12" t="str">
        <x:v>自动000</x:v>
      </x:c>
      <x:c r="E1332" s="12" t="n">
        <x:v>0</x:v>
      </x:c>
      <x:c r="F1332" s="12" t="n">
        <x:v>1</x:v>
      </x:c>
      <x:c r="G1332" s="12" t="n">
        <x:v>0</x:v>
      </x:c>
      <x:c r="H1332" s="12" t="n">
        <x:f>IF(SUM(I1332:K1332)&gt;0,1,0)</x:f>
        <x:v>0</x:v>
      </x:c>
      <x:c r="I1332" s="12" t="n">
        <x:f>IF('患者配对'!M1478="positive",1,0)</x:f>
        <x:v>0</x:v>
      </x:c>
      <x:c r="J1332" s="12" t="n">
        <x:f>IF('患者配对'!R1478="positive",1,0)</x:f>
        <x:v>0</x:v>
      </x:c>
      <x:c r="K1332" s="12" t="n">
        <x:f>IF('患者配对'!W1478="positive",1,0)</x:f>
        <x:v>0</x:v>
      </x:c>
      <x:c r="L1332" s="12" t="str">
        <x:v>由原件与原状态取得；仅主队列索引</x:v>
      </x:c>
      <x:c r="M1332" s="12"/>
      <x:c r="N1332" s="12"/>
      <x:c r="O1332" s="12"/>
    </x:row>
    <x:row r="1333" ht="39" customHeight="1">
      <x:c r="A1333" s="12" t="str">
        <x:v>13711</x:v>
      </x:c>
      <x:c r="B1333" s="12" t="str">
        <x:v>19515</x:v>
      </x:c>
      <x:c r="C1333" s="12" t="str">
        <x:v>参考000</x:v>
      </x:c>
      <x:c r="D1333" s="12" t="str">
        <x:v>自动000</x:v>
      </x:c>
      <x:c r="E1333" s="12" t="n">
        <x:v>0</x:v>
      </x:c>
      <x:c r="F1333" s="12" t="n">
        <x:v>1</x:v>
      </x:c>
      <x:c r="G1333" s="12" t="n">
        <x:v>0</x:v>
      </x:c>
      <x:c r="H1333" s="12" t="n">
        <x:f>IF(SUM(I1333:K1333)&gt;0,1,0)</x:f>
        <x:v>0</x:v>
      </x:c>
      <x:c r="I1333" s="12" t="n">
        <x:f>IF('患者配对'!M1479="positive",1,0)</x:f>
        <x:v>0</x:v>
      </x:c>
      <x:c r="J1333" s="12" t="n">
        <x:f>IF('患者配对'!R1479="positive",1,0)</x:f>
        <x:v>0</x:v>
      </x:c>
      <x:c r="K1333" s="12" t="n">
        <x:f>IF('患者配对'!W1479="positive",1,0)</x:f>
        <x:v>0</x:v>
      </x:c>
      <x:c r="L1333" s="12" t="str">
        <x:v>由原件与原状态取得；仅主队列索引</x:v>
      </x:c>
      <x:c r="M1333" s="12"/>
      <x:c r="N1333" s="12"/>
      <x:c r="O1333" s="12"/>
    </x:row>
    <x:row r="1334" ht="39" customHeight="1">
      <x:c r="A1334" s="12" t="str">
        <x:v>13712</x:v>
      </x:c>
      <x:c r="B1334" s="12" t="str">
        <x:v>15286</x:v>
      </x:c>
      <x:c r="C1334" s="12" t="str">
        <x:v>参考000</x:v>
      </x:c>
      <x:c r="D1334" s="12" t="str">
        <x:v>自动000</x:v>
      </x:c>
      <x:c r="E1334" s="12" t="n">
        <x:v>0</x:v>
      </x:c>
      <x:c r="F1334" s="12" t="n">
        <x:v>0</x:v>
      </x:c>
      <x:c r="G1334" s="12" t="n">
        <x:v>0</x:v>
      </x:c>
      <x:c r="H1334" s="12" t="n">
        <x:f>IF(SUM(I1334:K1334)&gt;0,1,0)</x:f>
        <x:v>0</x:v>
      </x:c>
      <x:c r="I1334" s="12" t="n">
        <x:f>IF('患者配对'!M1480="positive",1,0)</x:f>
        <x:v>0</x:v>
      </x:c>
      <x:c r="J1334" s="12" t="n">
        <x:f>IF('患者配对'!R1480="positive",1,0)</x:f>
        <x:v>0</x:v>
      </x:c>
      <x:c r="K1334" s="12" t="n">
        <x:f>IF('患者配对'!W1480="positive",1,0)</x:f>
        <x:v>0</x:v>
      </x:c>
      <x:c r="L1334" s="12" t="str">
        <x:v>由原件与原状态取得；仅主队列索引</x:v>
      </x:c>
      <x:c r="M1334" s="12"/>
      <x:c r="N1334" s="12"/>
      <x:c r="O1334" s="12"/>
    </x:row>
    <x:row r="1335" ht="39" customHeight="1">
      <x:c r="A1335" s="12" t="str">
        <x:v>13717</x:v>
      </x:c>
      <x:c r="B1335" s="12" t="str">
        <x:v>2722</x:v>
      </x:c>
      <x:c r="C1335" s="12" t="str">
        <x:v>参考000</x:v>
      </x:c>
      <x:c r="D1335" s="12" t="str">
        <x:v>自动000</x:v>
      </x:c>
      <x:c r="E1335" s="12" t="n">
        <x:v>0</x:v>
      </x:c>
      <x:c r="F1335" s="12" t="n">
        <x:v>0</x:v>
      </x:c>
      <x:c r="G1335" s="12" t="n">
        <x:v>0</x:v>
      </x:c>
      <x:c r="H1335" s="12" t="n">
        <x:f>IF(SUM(I1335:K1335)&gt;0,1,0)</x:f>
        <x:v>0</x:v>
      </x:c>
      <x:c r="I1335" s="12" t="n">
        <x:f>IF('患者配对'!M1481="positive",1,0)</x:f>
        <x:v>0</x:v>
      </x:c>
      <x:c r="J1335" s="12" t="n">
        <x:f>IF('患者配对'!R1481="positive",1,0)</x:f>
        <x:v>0</x:v>
      </x:c>
      <x:c r="K1335" s="12" t="n">
        <x:f>IF('患者配对'!W1481="positive",1,0)</x:f>
        <x:v>0</x:v>
      </x:c>
      <x:c r="L1335" s="12" t="str">
        <x:v>由原件与原状态取得；仅主队列索引</x:v>
      </x:c>
      <x:c r="M1335" s="12"/>
      <x:c r="N1335" s="12"/>
      <x:c r="O1335" s="12"/>
    </x:row>
    <x:row r="1336" ht="39" customHeight="1">
      <x:c r="A1336" s="12" t="str">
        <x:v>13744</x:v>
      </x:c>
      <x:c r="B1336" s="12" t="str">
        <x:v>5682</x:v>
      </x:c>
      <x:c r="C1336" s="12" t="str">
        <x:v>参考000</x:v>
      </x:c>
      <x:c r="D1336" s="12" t="str">
        <x:v>自动000</x:v>
      </x:c>
      <x:c r="E1336" s="12" t="n">
        <x:v>0</x:v>
      </x:c>
      <x:c r="F1336" s="12" t="n">
        <x:v>0</x:v>
      </x:c>
      <x:c r="G1336" s="12" t="n">
        <x:v>0</x:v>
      </x:c>
      <x:c r="H1336" s="12" t="n">
        <x:f>IF(SUM(I1336:K1336)&gt;0,1,0)</x:f>
        <x:v>0</x:v>
      </x:c>
      <x:c r="I1336" s="12" t="n">
        <x:f>IF('患者配对'!M1482="positive",1,0)</x:f>
        <x:v>0</x:v>
      </x:c>
      <x:c r="J1336" s="12" t="n">
        <x:f>IF('患者配对'!R1482="positive",1,0)</x:f>
        <x:v>0</x:v>
      </x:c>
      <x:c r="K1336" s="12" t="n">
        <x:f>IF('患者配对'!W1482="positive",1,0)</x:f>
        <x:v>0</x:v>
      </x:c>
      <x:c r="L1336" s="12" t="str">
        <x:v>由原件与原状态取得；仅主队列索引</x:v>
      </x:c>
      <x:c r="M1336" s="12"/>
      <x:c r="N1336" s="12"/>
      <x:c r="O1336" s="12"/>
    </x:row>
    <x:row r="1337" ht="39" customHeight="1">
      <x:c r="A1337" s="12" t="str">
        <x:v>13777</x:v>
      </x:c>
      <x:c r="B1337" s="12" t="str">
        <x:v>10893</x:v>
      </x:c>
      <x:c r="C1337" s="12" t="str">
        <x:v>参考000</x:v>
      </x:c>
      <x:c r="D1337" s="12" t="str">
        <x:v>自动000</x:v>
      </x:c>
      <x:c r="E1337" s="12" t="n">
        <x:v>0</x:v>
      </x:c>
      <x:c r="F1337" s="12" t="n">
        <x:v>1</x:v>
      </x:c>
      <x:c r="G1337" s="12" t="n">
        <x:v>0</x:v>
      </x:c>
      <x:c r="H1337" s="12" t="n">
        <x:f>IF(SUM(I1337:K1337)&gt;0,1,0)</x:f>
        <x:v>0</x:v>
      </x:c>
      <x:c r="I1337" s="12" t="n">
        <x:f>IF('患者配对'!M1483="positive",1,0)</x:f>
        <x:v>0</x:v>
      </x:c>
      <x:c r="J1337" s="12" t="n">
        <x:f>IF('患者配对'!R1483="positive",1,0)</x:f>
        <x:v>0</x:v>
      </x:c>
      <x:c r="K1337" s="12" t="n">
        <x:f>IF('患者配对'!W1483="positive",1,0)</x:f>
        <x:v>0</x:v>
      </x:c>
      <x:c r="L1337" s="12" t="str">
        <x:v>由原件与原状态取得；仅主队列索引</x:v>
      </x:c>
      <x:c r="M1337" s="12"/>
      <x:c r="N1337" s="12"/>
      <x:c r="O1337" s="12"/>
    </x:row>
    <x:row r="1338" ht="39" customHeight="1">
      <x:c r="A1338" s="12" t="str">
        <x:v>13786</x:v>
      </x:c>
      <x:c r="B1338" s="12" t="str">
        <x:v>19734</x:v>
      </x:c>
      <x:c r="C1338" s="12" t="str">
        <x:v>参考000</x:v>
      </x:c>
      <x:c r="D1338" s="12" t="str">
        <x:v>自动000</x:v>
      </x:c>
      <x:c r="E1338" s="12" t="n">
        <x:v>0</x:v>
      </x:c>
      <x:c r="F1338" s="12" t="n">
        <x:v>0</x:v>
      </x:c>
      <x:c r="G1338" s="12" t="n">
        <x:v>0</x:v>
      </x:c>
      <x:c r="H1338" s="12" t="n">
        <x:f>IF(SUM(I1338:K1338)&gt;0,1,0)</x:f>
        <x:v>0</x:v>
      </x:c>
      <x:c r="I1338" s="12" t="n">
        <x:f>IF('患者配对'!M1484="positive",1,0)</x:f>
        <x:v>0</x:v>
      </x:c>
      <x:c r="J1338" s="12" t="n">
        <x:f>IF('患者配对'!R1484="positive",1,0)</x:f>
        <x:v>0</x:v>
      </x:c>
      <x:c r="K1338" s="12" t="n">
        <x:f>IF('患者配对'!W1484="positive",1,0)</x:f>
        <x:v>0</x:v>
      </x:c>
      <x:c r="L1338" s="12" t="str">
        <x:v>由原件与原状态取得；仅主队列索引</x:v>
      </x:c>
      <x:c r="M1338" s="12"/>
      <x:c r="N1338" s="12"/>
      <x:c r="O1338" s="12"/>
    </x:row>
    <x:row r="1339" ht="39" customHeight="1">
      <x:c r="A1339" s="12" t="str">
        <x:v>13812</x:v>
      </x:c>
      <x:c r="B1339" s="12" t="str">
        <x:v>2623</x:v>
      </x:c>
      <x:c r="C1339" s="12" t="str">
        <x:v>参考000</x:v>
      </x:c>
      <x:c r="D1339" s="12" t="str">
        <x:v>自动000</x:v>
      </x:c>
      <x:c r="E1339" s="12" t="n">
        <x:v>0</x:v>
      </x:c>
      <x:c r="F1339" s="12" t="n">
        <x:v>0</x:v>
      </x:c>
      <x:c r="G1339" s="12" t="n">
        <x:v>0</x:v>
      </x:c>
      <x:c r="H1339" s="12" t="n">
        <x:f>IF(SUM(I1339:K1339)&gt;0,1,0)</x:f>
        <x:v>0</x:v>
      </x:c>
      <x:c r="I1339" s="12" t="n">
        <x:f>IF('患者配对'!M1485="positive",1,0)</x:f>
        <x:v>0</x:v>
      </x:c>
      <x:c r="J1339" s="12" t="n">
        <x:f>IF('患者配对'!R1485="positive",1,0)</x:f>
        <x:v>0</x:v>
      </x:c>
      <x:c r="K1339" s="12" t="n">
        <x:f>IF('患者配对'!W1485="positive",1,0)</x:f>
        <x:v>0</x:v>
      </x:c>
      <x:c r="L1339" s="12" t="str">
        <x:v>由原件与原状态取得；仅主队列索引</x:v>
      </x:c>
      <x:c r="M1339" s="12"/>
      <x:c r="N1339" s="12"/>
      <x:c r="O1339" s="12"/>
    </x:row>
    <x:row r="1340" ht="39" customHeight="1">
      <x:c r="A1340" s="12" t="str">
        <x:v>13819</x:v>
      </x:c>
      <x:c r="B1340" s="12" t="str">
        <x:v>21338</x:v>
      </x:c>
      <x:c r="C1340" s="12" t="str">
        <x:v>参考000</x:v>
      </x:c>
      <x:c r="D1340" s="12" t="str">
        <x:v>自动000</x:v>
      </x:c>
      <x:c r="E1340" s="12" t="n">
        <x:v>0</x:v>
      </x:c>
      <x:c r="F1340" s="12" t="n">
        <x:v>0</x:v>
      </x:c>
      <x:c r="G1340" s="12" t="n">
        <x:v>0</x:v>
      </x:c>
      <x:c r="H1340" s="12" t="n">
        <x:f>IF(SUM(I1340:K1340)&gt;0,1,0)</x:f>
        <x:v>0</x:v>
      </x:c>
      <x:c r="I1340" s="12" t="n">
        <x:f>IF('患者配对'!M1486="positive",1,0)</x:f>
        <x:v>0</x:v>
      </x:c>
      <x:c r="J1340" s="12" t="n">
        <x:f>IF('患者配对'!R1486="positive",1,0)</x:f>
        <x:v>0</x:v>
      </x:c>
      <x:c r="K1340" s="12" t="n">
        <x:f>IF('患者配对'!W1486="positive",1,0)</x:f>
        <x:v>0</x:v>
      </x:c>
      <x:c r="L1340" s="12" t="str">
        <x:v>由原件与原状态取得；仅主队列索引</x:v>
      </x:c>
      <x:c r="M1340" s="12"/>
      <x:c r="N1340" s="12"/>
      <x:c r="O1340" s="12"/>
    </x:row>
    <x:row r="1341" ht="39" customHeight="1">
      <x:c r="A1341" s="12" t="str">
        <x:v>13835</x:v>
      </x:c>
      <x:c r="B1341" s="12" t="str">
        <x:v>3089</x:v>
      </x:c>
      <x:c r="C1341" s="12" t="str">
        <x:v>参考000</x:v>
      </x:c>
      <x:c r="D1341" s="12" t="str">
        <x:v>自动000</x:v>
      </x:c>
      <x:c r="E1341" s="12" t="n">
        <x:v>0</x:v>
      </x:c>
      <x:c r="F1341" s="12" t="n">
        <x:v>1</x:v>
      </x:c>
      <x:c r="G1341" s="12" t="n">
        <x:v>0</x:v>
      </x:c>
      <x:c r="H1341" s="12" t="n">
        <x:f>IF(SUM(I1341:K1341)&gt;0,1,0)</x:f>
        <x:v>0</x:v>
      </x:c>
      <x:c r="I1341" s="12" t="n">
        <x:f>IF('患者配对'!M1487="positive",1,0)</x:f>
        <x:v>0</x:v>
      </x:c>
      <x:c r="J1341" s="12" t="n">
        <x:f>IF('患者配对'!R1487="positive",1,0)</x:f>
        <x:v>0</x:v>
      </x:c>
      <x:c r="K1341" s="12" t="n">
        <x:f>IF('患者配对'!W1487="positive",1,0)</x:f>
        <x:v>0</x:v>
      </x:c>
      <x:c r="L1341" s="12" t="str">
        <x:v>由原件与原状态取得；仅主队列索引</x:v>
      </x:c>
      <x:c r="M1341" s="12"/>
      <x:c r="N1341" s="12"/>
      <x:c r="O1341" s="12"/>
    </x:row>
    <x:row r="1342" ht="39" customHeight="1">
      <x:c r="A1342" s="12" t="str">
        <x:v>13847</x:v>
      </x:c>
      <x:c r="B1342" s="12" t="str">
        <x:v>11706</x:v>
      </x:c>
      <x:c r="C1342" s="12" t="str">
        <x:v>参考000</x:v>
      </x:c>
      <x:c r="D1342" s="12" t="str">
        <x:v>自动000</x:v>
      </x:c>
      <x:c r="E1342" s="12" t="n">
        <x:v>0</x:v>
      </x:c>
      <x:c r="F1342" s="12" t="n">
        <x:v>1</x:v>
      </x:c>
      <x:c r="G1342" s="12" t="n">
        <x:v>0</x:v>
      </x:c>
      <x:c r="H1342" s="12" t="n">
        <x:f>IF(SUM(I1342:K1342)&gt;0,1,0)</x:f>
        <x:v>0</x:v>
      </x:c>
      <x:c r="I1342" s="12" t="n">
        <x:f>IF('患者配对'!M1488="positive",1,0)</x:f>
        <x:v>0</x:v>
      </x:c>
      <x:c r="J1342" s="12" t="n">
        <x:f>IF('患者配对'!R1488="positive",1,0)</x:f>
        <x:v>0</x:v>
      </x:c>
      <x:c r="K1342" s="12" t="n">
        <x:f>IF('患者配对'!W1488="positive",1,0)</x:f>
        <x:v>0</x:v>
      </x:c>
      <x:c r="L1342" s="12" t="str">
        <x:v>由原件与原状态取得；仅主队列索引</x:v>
      </x:c>
      <x:c r="M1342" s="12"/>
      <x:c r="N1342" s="12"/>
      <x:c r="O1342" s="12"/>
    </x:row>
    <x:row r="1343" ht="39" customHeight="1">
      <x:c r="A1343" s="12" t="str">
        <x:v>13848</x:v>
      </x:c>
      <x:c r="B1343" s="12" t="str">
        <x:v>21761</x:v>
      </x:c>
      <x:c r="C1343" s="12" t="str">
        <x:v>参考000</x:v>
      </x:c>
      <x:c r="D1343" s="12" t="str">
        <x:v>自动000</x:v>
      </x:c>
      <x:c r="E1343" s="12" t="n">
        <x:v>0</x:v>
      </x:c>
      <x:c r="F1343" s="12" t="n">
        <x:v>0</x:v>
      </x:c>
      <x:c r="G1343" s="12" t="n">
        <x:v>0</x:v>
      </x:c>
      <x:c r="H1343" s="12" t="n">
        <x:f>IF(SUM(I1343:K1343)&gt;0,1,0)</x:f>
        <x:v>0</x:v>
      </x:c>
      <x:c r="I1343" s="12" t="n">
        <x:f>IF('患者配对'!M1489="positive",1,0)</x:f>
        <x:v>0</x:v>
      </x:c>
      <x:c r="J1343" s="12" t="n">
        <x:f>IF('患者配对'!R1489="positive",1,0)</x:f>
        <x:v>0</x:v>
      </x:c>
      <x:c r="K1343" s="12" t="n">
        <x:f>IF('患者配对'!W1489="positive",1,0)</x:f>
        <x:v>0</x:v>
      </x:c>
      <x:c r="L1343" s="12" t="str">
        <x:v>由原件与原状态取得；仅主队列索引</x:v>
      </x:c>
      <x:c r="M1343" s="12"/>
      <x:c r="N1343" s="12"/>
      <x:c r="O1343" s="12"/>
    </x:row>
    <x:row r="1344" ht="39" customHeight="1">
      <x:c r="A1344" s="12" t="str">
        <x:v>13849</x:v>
      </x:c>
      <x:c r="B1344" s="12" t="str">
        <x:v>13343</x:v>
      </x:c>
      <x:c r="C1344" s="12" t="str">
        <x:v>参考101</x:v>
      </x:c>
      <x:c r="D1344" s="12" t="str">
        <x:v>自动101</x:v>
      </x:c>
      <x:c r="E1344" s="12" t="n">
        <x:v>1</x:v>
      </x:c>
      <x:c r="F1344" s="12" t="n">
        <x:v>1</x:v>
      </x:c>
      <x:c r="G1344" s="12" t="n">
        <x:v>0</x:v>
      </x:c>
      <x:c r="H1344" s="12" t="n">
        <x:f>IF(SUM(I1344:K1344)&gt;0,1,0)</x:f>
        <x:v>1</x:v>
      </x:c>
      <x:c r="I1344" s="12" t="n">
        <x:f>IF('患者配对'!M1490="positive",1,0)</x:f>
        <x:v>1</x:v>
      </x:c>
      <x:c r="J1344" s="12" t="n">
        <x:f>IF('患者配对'!R1490="positive",1,0)</x:f>
        <x:v>0</x:v>
      </x:c>
      <x:c r="K1344" s="12" t="n">
        <x:f>IF('患者配对'!W1490="positive",1,0)</x:f>
        <x:v>1</x:v>
      </x:c>
      <x:c r="L1344" s="12" t="str">
        <x:v>由原件与原状态取得；仅主队列索引</x:v>
      </x:c>
      <x:c r="M1344" s="12"/>
      <x:c r="N1344" s="12"/>
      <x:c r="O1344" s="12"/>
    </x:row>
    <x:row r="1345" ht="39" customHeight="1">
      <x:c r="A1345" s="12" t="str">
        <x:v>13860</x:v>
      </x:c>
      <x:c r="B1345" s="12" t="str">
        <x:v>13193</x:v>
      </x:c>
      <x:c r="C1345" s="12" t="str">
        <x:v>参考000</x:v>
      </x:c>
      <x:c r="D1345" s="12" t="str">
        <x:v>自动000</x:v>
      </x:c>
      <x:c r="E1345" s="12" t="n">
        <x:v>0</x:v>
      </x:c>
      <x:c r="F1345" s="12" t="n">
        <x:v>1</x:v>
      </x:c>
      <x:c r="G1345" s="12" t="n">
        <x:v>0</x:v>
      </x:c>
      <x:c r="H1345" s="12" t="n">
        <x:f>IF(SUM(I1345:K1345)&gt;0,1,0)</x:f>
        <x:v>0</x:v>
      </x:c>
      <x:c r="I1345" s="12" t="n">
        <x:f>IF('患者配对'!M1493="positive",1,0)</x:f>
        <x:v>0</x:v>
      </x:c>
      <x:c r="J1345" s="12" t="n">
        <x:f>IF('患者配对'!R1493="positive",1,0)</x:f>
        <x:v>0</x:v>
      </x:c>
      <x:c r="K1345" s="12" t="n">
        <x:f>IF('患者配对'!W1493="positive",1,0)</x:f>
        <x:v>0</x:v>
      </x:c>
      <x:c r="L1345" s="12" t="str">
        <x:v>由原件与原状态取得；仅主队列索引</x:v>
      </x:c>
      <x:c r="M1345" s="12"/>
      <x:c r="N1345" s="12"/>
      <x:c r="O1345" s="12"/>
    </x:row>
    <x:row r="1346" ht="39" customHeight="1">
      <x:c r="A1346" s="12" t="str">
        <x:v>13867</x:v>
      </x:c>
      <x:c r="B1346" s="12" t="str">
        <x:v>12093</x:v>
      </x:c>
      <x:c r="C1346" s="12" t="str">
        <x:v>参考000</x:v>
      </x:c>
      <x:c r="D1346" s="12" t="str">
        <x:v>自动000</x:v>
      </x:c>
      <x:c r="E1346" s="12" t="n">
        <x:v>0</x:v>
      </x:c>
      <x:c r="F1346" s="12" t="n">
        <x:v>0</x:v>
      </x:c>
      <x:c r="G1346" s="12" t="n">
        <x:v>0</x:v>
      </x:c>
      <x:c r="H1346" s="12" t="n">
        <x:f>IF(SUM(I1346:K1346)&gt;0,1,0)</x:f>
        <x:v>0</x:v>
      </x:c>
      <x:c r="I1346" s="12" t="n">
        <x:f>IF('患者配对'!M1494="positive",1,0)</x:f>
        <x:v>0</x:v>
      </x:c>
      <x:c r="J1346" s="12" t="n">
        <x:f>IF('患者配对'!R1494="positive",1,0)</x:f>
        <x:v>0</x:v>
      </x:c>
      <x:c r="K1346" s="12" t="n">
        <x:f>IF('患者配对'!W1494="positive",1,0)</x:f>
        <x:v>0</x:v>
      </x:c>
      <x:c r="L1346" s="12" t="str">
        <x:v>由原件与原状态取得；仅主队列索引</x:v>
      </x:c>
      <x:c r="M1346" s="12"/>
      <x:c r="N1346" s="12"/>
      <x:c r="O1346" s="12"/>
    </x:row>
    <x:row r="1347" ht="39" customHeight="1">
      <x:c r="A1347" s="12" t="str">
        <x:v>13887</x:v>
      </x:c>
      <x:c r="B1347" s="12" t="str">
        <x:v>12564</x:v>
      </x:c>
      <x:c r="C1347" s="12" t="str">
        <x:v>参考000</x:v>
      </x:c>
      <x:c r="D1347" s="12" t="str">
        <x:v>自动000</x:v>
      </x:c>
      <x:c r="E1347" s="12" t="n">
        <x:v>0</x:v>
      </x:c>
      <x:c r="F1347" s="12" t="n">
        <x:v>1</x:v>
      </x:c>
      <x:c r="G1347" s="12" t="n">
        <x:v>0</x:v>
      </x:c>
      <x:c r="H1347" s="12" t="n">
        <x:f>IF(SUM(I1347:K1347)&gt;0,1,0)</x:f>
        <x:v>0</x:v>
      </x:c>
      <x:c r="I1347" s="12" t="n">
        <x:f>IF('患者配对'!M1496="positive",1,0)</x:f>
        <x:v>0</x:v>
      </x:c>
      <x:c r="J1347" s="12" t="n">
        <x:f>IF('患者配对'!R1496="positive",1,0)</x:f>
        <x:v>0</x:v>
      </x:c>
      <x:c r="K1347" s="12" t="n">
        <x:f>IF('患者配对'!W1496="positive",1,0)</x:f>
        <x:v>0</x:v>
      </x:c>
      <x:c r="L1347" s="12" t="str">
        <x:v>由原件与原状态取得；仅主队列索引</x:v>
      </x:c>
      <x:c r="M1347" s="12"/>
      <x:c r="N1347" s="12"/>
      <x:c r="O1347" s="12"/>
    </x:row>
    <x:row r="1348" ht="39" customHeight="1">
      <x:c r="A1348" s="12" t="str">
        <x:v>13899</x:v>
      </x:c>
      <x:c r="B1348" s="12" t="str">
        <x:v>11269</x:v>
      </x:c>
      <x:c r="C1348" s="12" t="str">
        <x:v>参考000</x:v>
      </x:c>
      <x:c r="D1348" s="12" t="str">
        <x:v>自动000</x:v>
      </x:c>
      <x:c r="E1348" s="12" t="n">
        <x:v>0</x:v>
      </x:c>
      <x:c r="F1348" s="12" t="n">
        <x:v>1</x:v>
      </x:c>
      <x:c r="G1348" s="12" t="n">
        <x:v>0</x:v>
      </x:c>
      <x:c r="H1348" s="12" t="n">
        <x:f>IF(SUM(I1348:K1348)&gt;0,1,0)</x:f>
        <x:v>0</x:v>
      </x:c>
      <x:c r="I1348" s="12" t="n">
        <x:f>IF('患者配对'!M1498="positive",1,0)</x:f>
        <x:v>0</x:v>
      </x:c>
      <x:c r="J1348" s="12" t="n">
        <x:f>IF('患者配对'!R1498="positive",1,0)</x:f>
        <x:v>0</x:v>
      </x:c>
      <x:c r="K1348" s="12" t="n">
        <x:f>IF('患者配对'!W1498="positive",1,0)</x:f>
        <x:v>0</x:v>
      </x:c>
      <x:c r="L1348" s="12" t="str">
        <x:v>由原件与原状态取得；仅主队列索引</x:v>
      </x:c>
      <x:c r="M1348" s="12"/>
      <x:c r="N1348" s="12"/>
      <x:c r="O1348" s="12"/>
    </x:row>
    <x:row r="1349" ht="39" customHeight="1">
      <x:c r="A1349" s="12" t="str">
        <x:v>13908</x:v>
      </x:c>
      <x:c r="B1349" s="12" t="str">
        <x:v>21560</x:v>
      </x:c>
      <x:c r="C1349" s="12" t="str">
        <x:v>参考000</x:v>
      </x:c>
      <x:c r="D1349" s="12" t="str">
        <x:v>自动000</x:v>
      </x:c>
      <x:c r="E1349" s="12" t="n">
        <x:v>0</x:v>
      </x:c>
      <x:c r="F1349" s="12" t="n">
        <x:v>1</x:v>
      </x:c>
      <x:c r="G1349" s="12" t="n">
        <x:v>0</x:v>
      </x:c>
      <x:c r="H1349" s="12" t="n">
        <x:f>IF(SUM(I1349:K1349)&gt;0,1,0)</x:f>
        <x:v>0</x:v>
      </x:c>
      <x:c r="I1349" s="12" t="n">
        <x:f>IF('患者配对'!M1499="positive",1,0)</x:f>
        <x:v>0</x:v>
      </x:c>
      <x:c r="J1349" s="12" t="n">
        <x:f>IF('患者配对'!R1499="positive",1,0)</x:f>
        <x:v>0</x:v>
      </x:c>
      <x:c r="K1349" s="12" t="n">
        <x:f>IF('患者配对'!W1499="positive",1,0)</x:f>
        <x:v>0</x:v>
      </x:c>
      <x:c r="L1349" s="12" t="str">
        <x:v>由原件与原状态取得；仅主队列索引</x:v>
      </x:c>
      <x:c r="M1349" s="12"/>
      <x:c r="N1349" s="12"/>
      <x:c r="O1349" s="12"/>
    </x:row>
    <x:row r="1350" ht="39" customHeight="1">
      <x:c r="A1350" s="12" t="str">
        <x:v>13912</x:v>
      </x:c>
      <x:c r="B1350" s="12" t="str">
        <x:v>5242</x:v>
      </x:c>
      <x:c r="C1350" s="12" t="str">
        <x:v>参考000</x:v>
      </x:c>
      <x:c r="D1350" s="12" t="str">
        <x:v>自动000</x:v>
      </x:c>
      <x:c r="E1350" s="12" t="n">
        <x:v>0</x:v>
      </x:c>
      <x:c r="F1350" s="12" t="n">
        <x:v>0</x:v>
      </x:c>
      <x:c r="G1350" s="12" t="n">
        <x:v>0</x:v>
      </x:c>
      <x:c r="H1350" s="12" t="n">
        <x:f>IF(SUM(I1350:K1350)&gt;0,1,0)</x:f>
        <x:v>0</x:v>
      </x:c>
      <x:c r="I1350" s="12" t="n">
        <x:f>IF('患者配对'!M1500="positive",1,0)</x:f>
        <x:v>0</x:v>
      </x:c>
      <x:c r="J1350" s="12" t="n">
        <x:f>IF('患者配对'!R1500="positive",1,0)</x:f>
        <x:v>0</x:v>
      </x:c>
      <x:c r="K1350" s="12" t="n">
        <x:f>IF('患者配对'!W1500="positive",1,0)</x:f>
        <x:v>0</x:v>
      </x:c>
      <x:c r="L1350" s="12" t="str">
        <x:v>由原件与原状态取得；仅主队列索引</x:v>
      </x:c>
      <x:c r="M1350" s="12"/>
      <x:c r="N1350" s="12"/>
      <x:c r="O1350" s="12"/>
    </x:row>
    <x:row r="1351" ht="39" customHeight="1">
      <x:c r="A1351" s="12" t="str">
        <x:v>13913</x:v>
      </x:c>
      <x:c r="B1351" s="12" t="str">
        <x:v>5806</x:v>
      </x:c>
      <x:c r="C1351" s="12" t="str">
        <x:v>参考000</x:v>
      </x:c>
      <x:c r="D1351" s="12" t="str">
        <x:v>自动000</x:v>
      </x:c>
      <x:c r="E1351" s="12" t="n">
        <x:v>0</x:v>
      </x:c>
      <x:c r="F1351" s="12" t="n">
        <x:v>0</x:v>
      </x:c>
      <x:c r="G1351" s="12" t="n">
        <x:v>0</x:v>
      </x:c>
      <x:c r="H1351" s="12" t="n">
        <x:f>IF(SUM(I1351:K1351)&gt;0,1,0)</x:f>
        <x:v>0</x:v>
      </x:c>
      <x:c r="I1351" s="12" t="n">
        <x:f>IF('患者配对'!M1501="positive",1,0)</x:f>
        <x:v>0</x:v>
      </x:c>
      <x:c r="J1351" s="12" t="n">
        <x:f>IF('患者配对'!R1501="positive",1,0)</x:f>
        <x:v>0</x:v>
      </x:c>
      <x:c r="K1351" s="12" t="n">
        <x:f>IF('患者配对'!W1501="positive",1,0)</x:f>
        <x:v>0</x:v>
      </x:c>
      <x:c r="L1351" s="12" t="str">
        <x:v>由原件与原状态取得；仅主队列索引</x:v>
      </x:c>
      <x:c r="M1351" s="12"/>
      <x:c r="N1351" s="12"/>
      <x:c r="O1351" s="12"/>
    </x:row>
    <x:row r="1352" ht="39" customHeight="1">
      <x:c r="A1352" s="12" t="str">
        <x:v>13923</x:v>
      </x:c>
      <x:c r="B1352" s="12" t="str">
        <x:v>15242</x:v>
      </x:c>
      <x:c r="C1352" s="12" t="str">
        <x:v>参考000</x:v>
      </x:c>
      <x:c r="D1352" s="12" t="str">
        <x:v>自动000</x:v>
      </x:c>
      <x:c r="E1352" s="12" t="n">
        <x:v>0</x:v>
      </x:c>
      <x:c r="F1352" s="12" t="n">
        <x:v>1</x:v>
      </x:c>
      <x:c r="G1352" s="12" t="n">
        <x:v>0</x:v>
      </x:c>
      <x:c r="H1352" s="12" t="n">
        <x:f>IF(SUM(I1352:K1352)&gt;0,1,0)</x:f>
        <x:v>0</x:v>
      </x:c>
      <x:c r="I1352" s="12" t="n">
        <x:f>IF('患者配对'!M1503="positive",1,0)</x:f>
        <x:v>0</x:v>
      </x:c>
      <x:c r="J1352" s="12" t="n">
        <x:f>IF('患者配对'!R1503="positive",1,0)</x:f>
        <x:v>0</x:v>
      </x:c>
      <x:c r="K1352" s="12" t="n">
        <x:f>IF('患者配对'!W1503="positive",1,0)</x:f>
        <x:v>0</x:v>
      </x:c>
      <x:c r="L1352" s="12" t="str">
        <x:v>由原件与原状态取得；仅主队列索引</x:v>
      </x:c>
      <x:c r="M1352" s="12"/>
      <x:c r="N1352" s="12"/>
      <x:c r="O1352" s="12"/>
    </x:row>
    <x:row r="1353" ht="39" customHeight="1">
      <x:c r="A1353" s="12" t="str">
        <x:v>13926</x:v>
      </x:c>
      <x:c r="B1353" s="12" t="str">
        <x:v>16014</x:v>
      </x:c>
      <x:c r="C1353" s="12" t="str">
        <x:v>参考000</x:v>
      </x:c>
      <x:c r="D1353" s="12" t="str">
        <x:v>自动001</x:v>
      </x:c>
      <x:c r="E1353" s="12" t="n">
        <x:v>1</x:v>
      </x:c>
      <x:c r="F1353" s="12" t="n">
        <x:v>1</x:v>
      </x:c>
      <x:c r="G1353" s="12" t="n">
        <x:v>1</x:v>
      </x:c>
      <x:c r="H1353" s="12" t="n">
        <x:f>IF(SUM(I1353:K1353)&gt;0,1,0)</x:f>
        <x:v>0</x:v>
      </x:c>
      <x:c r="I1353" s="12" t="n">
        <x:f>IF('患者配对'!M1504="positive",1,0)</x:f>
        <x:v>0</x:v>
      </x:c>
      <x:c r="J1353" s="12" t="n">
        <x:f>IF('患者配对'!R1504="positive",1,0)</x:f>
        <x:v>0</x:v>
      </x:c>
      <x:c r="K1353" s="12" t="n">
        <x:f>IF('患者配对'!W1504="positive",1,0)</x:f>
        <x:v>0</x:v>
      </x:c>
      <x:c r="L1353" s="12" t="str">
        <x:v>由原件与原状态取得；仅主队列索引</x:v>
      </x:c>
      <x:c r="M1353" s="12"/>
      <x:c r="N1353" s="12"/>
      <x:c r="O1353" s="12"/>
    </x:row>
    <x:row r="1354" ht="39" customHeight="1">
      <x:c r="A1354" s="12" t="str">
        <x:v>13946</x:v>
      </x:c>
      <x:c r="B1354" s="12" t="str">
        <x:v>1493</x:v>
      </x:c>
      <x:c r="C1354" s="12" t="str">
        <x:v>参考000</x:v>
      </x:c>
      <x:c r="D1354" s="12" t="str">
        <x:v>自动000</x:v>
      </x:c>
      <x:c r="E1354" s="12" t="n">
        <x:v>0</x:v>
      </x:c>
      <x:c r="F1354" s="12" t="n">
        <x:v>0</x:v>
      </x:c>
      <x:c r="G1354" s="12" t="n">
        <x:v>0</x:v>
      </x:c>
      <x:c r="H1354" s="12" t="n">
        <x:f>IF(SUM(I1354:K1354)&gt;0,1,0)</x:f>
        <x:v>0</x:v>
      </x:c>
      <x:c r="I1354" s="12" t="n">
        <x:f>IF('患者配对'!M1505="positive",1,0)</x:f>
        <x:v>0</x:v>
      </x:c>
      <x:c r="J1354" s="12" t="n">
        <x:f>IF('患者配对'!R1505="positive",1,0)</x:f>
        <x:v>0</x:v>
      </x:c>
      <x:c r="K1354" s="12" t="n">
        <x:f>IF('患者配对'!W1505="positive",1,0)</x:f>
        <x:v>0</x:v>
      </x:c>
      <x:c r="L1354" s="12" t="str">
        <x:v>由原件与原状态取得；仅主队列索引</x:v>
      </x:c>
      <x:c r="M1354" s="12"/>
      <x:c r="N1354" s="12"/>
      <x:c r="O1354" s="12"/>
    </x:row>
    <x:row r="1355" ht="39" customHeight="1">
      <x:c r="A1355" s="12" t="str">
        <x:v>13954</x:v>
      </x:c>
      <x:c r="B1355" s="12" t="str">
        <x:v>6088</x:v>
      </x:c>
      <x:c r="C1355" s="12" t="str">
        <x:v>参考000</x:v>
      </x:c>
      <x:c r="D1355" s="12" t="str">
        <x:v>自动000</x:v>
      </x:c>
      <x:c r="E1355" s="12" t="n">
        <x:v>0</x:v>
      </x:c>
      <x:c r="F1355" s="12" t="n">
        <x:v>0</x:v>
      </x:c>
      <x:c r="G1355" s="12" t="n">
        <x:v>0</x:v>
      </x:c>
      <x:c r="H1355" s="12" t="n">
        <x:f>IF(SUM(I1355:K1355)&gt;0,1,0)</x:f>
        <x:v>0</x:v>
      </x:c>
      <x:c r="I1355" s="12" t="n">
        <x:f>IF('患者配对'!M1506="positive",1,0)</x:f>
        <x:v>0</x:v>
      </x:c>
      <x:c r="J1355" s="12" t="n">
        <x:f>IF('患者配对'!R1506="positive",1,0)</x:f>
        <x:v>0</x:v>
      </x:c>
      <x:c r="K1355" s="12" t="n">
        <x:f>IF('患者配对'!W1506="positive",1,0)</x:f>
        <x:v>0</x:v>
      </x:c>
      <x:c r="L1355" s="12" t="str">
        <x:v>由原件与原状态取得；仅主队列索引</x:v>
      </x:c>
      <x:c r="M1355" s="12"/>
      <x:c r="N1355" s="12"/>
      <x:c r="O1355" s="12"/>
    </x:row>
    <x:row r="1356" ht="39" customHeight="1">
      <x:c r="A1356" s="12" t="str">
        <x:v>13959</x:v>
      </x:c>
      <x:c r="B1356" s="12" t="str">
        <x:v>10523</x:v>
      </x:c>
      <x:c r="C1356" s="12" t="str">
        <x:v>参考000</x:v>
      </x:c>
      <x:c r="D1356" s="12" t="str">
        <x:v>自动000</x:v>
      </x:c>
      <x:c r="E1356" s="12" t="n">
        <x:v>0</x:v>
      </x:c>
      <x:c r="F1356" s="12" t="n">
        <x:v>0</x:v>
      </x:c>
      <x:c r="G1356" s="12" t="n">
        <x:v>0</x:v>
      </x:c>
      <x:c r="H1356" s="12" t="n">
        <x:f>IF(SUM(I1356:K1356)&gt;0,1,0)</x:f>
        <x:v>0</x:v>
      </x:c>
      <x:c r="I1356" s="12" t="n">
        <x:f>IF('患者配对'!M1508="positive",1,0)</x:f>
        <x:v>0</x:v>
      </x:c>
      <x:c r="J1356" s="12" t="n">
        <x:f>IF('患者配对'!R1508="positive",1,0)</x:f>
        <x:v>0</x:v>
      </x:c>
      <x:c r="K1356" s="12" t="n">
        <x:f>IF('患者配对'!W1508="positive",1,0)</x:f>
        <x:v>0</x:v>
      </x:c>
      <x:c r="L1356" s="12" t="str">
        <x:v>由原件与原状态取得；仅主队列索引</x:v>
      </x:c>
      <x:c r="M1356" s="12"/>
      <x:c r="N1356" s="12"/>
      <x:c r="O1356" s="12"/>
    </x:row>
    <x:row r="1357" ht="39" customHeight="1">
      <x:c r="A1357" s="12" t="str">
        <x:v>13971</x:v>
      </x:c>
      <x:c r="B1357" s="12" t="str">
        <x:v>3022</x:v>
      </x:c>
      <x:c r="C1357" s="12" t="str">
        <x:v>参考000</x:v>
      </x:c>
      <x:c r="D1357" s="12" t="str">
        <x:v>自动000</x:v>
      </x:c>
      <x:c r="E1357" s="12" t="n">
        <x:v>0</x:v>
      </x:c>
      <x:c r="F1357" s="12" t="n">
        <x:v>0</x:v>
      </x:c>
      <x:c r="G1357" s="12" t="n">
        <x:v>0</x:v>
      </x:c>
      <x:c r="H1357" s="12" t="n">
        <x:f>IF(SUM(I1357:K1357)&gt;0,1,0)</x:f>
        <x:v>0</x:v>
      </x:c>
      <x:c r="I1357" s="12" t="n">
        <x:f>IF('患者配对'!M1509="positive",1,0)</x:f>
        <x:v>0</x:v>
      </x:c>
      <x:c r="J1357" s="12" t="n">
        <x:f>IF('患者配对'!R1509="positive",1,0)</x:f>
        <x:v>0</x:v>
      </x:c>
      <x:c r="K1357" s="12" t="n">
        <x:f>IF('患者配对'!W1509="positive",1,0)</x:f>
        <x:v>0</x:v>
      </x:c>
      <x:c r="L1357" s="12" t="str">
        <x:v>由原件与原状态取得；仅主队列索引</x:v>
      </x:c>
      <x:c r="M1357" s="12"/>
      <x:c r="N1357" s="12"/>
      <x:c r="O1357" s="12"/>
    </x:row>
    <x:row r="1358" ht="39" customHeight="1">
      <x:c r="A1358" s="12" t="str">
        <x:v>13993</x:v>
      </x:c>
      <x:c r="B1358" s="12" t="str">
        <x:v>701</x:v>
      </x:c>
      <x:c r="C1358" s="12" t="str">
        <x:v>参考000</x:v>
      </x:c>
      <x:c r="D1358" s="12" t="str">
        <x:v>自动000</x:v>
      </x:c>
      <x:c r="E1358" s="12" t="n">
        <x:v>0</x:v>
      </x:c>
      <x:c r="F1358" s="12" t="n">
        <x:v>0</x:v>
      </x:c>
      <x:c r="G1358" s="12" t="n">
        <x:v>0</x:v>
      </x:c>
      <x:c r="H1358" s="12" t="n">
        <x:f>IF(SUM(I1358:K1358)&gt;0,1,0)</x:f>
        <x:v>0</x:v>
      </x:c>
      <x:c r="I1358" s="12" t="n">
        <x:f>IF('患者配对'!M1510="positive",1,0)</x:f>
        <x:v>0</x:v>
      </x:c>
      <x:c r="J1358" s="12" t="n">
        <x:f>IF('患者配对'!R1510="positive",1,0)</x:f>
        <x:v>0</x:v>
      </x:c>
      <x:c r="K1358" s="12" t="n">
        <x:f>IF('患者配对'!W1510="positive",1,0)</x:f>
        <x:v>0</x:v>
      </x:c>
      <x:c r="L1358" s="12" t="str">
        <x:v>由原件与原状态取得；仅主队列索引</x:v>
      </x:c>
      <x:c r="M1358" s="12"/>
      <x:c r="N1358" s="12"/>
      <x:c r="O1358" s="12"/>
    </x:row>
    <x:row r="1359" ht="39" customHeight="1">
      <x:c r="A1359" s="12" t="str">
        <x:v>14004</x:v>
      </x:c>
      <x:c r="B1359" s="12" t="str">
        <x:v>3798</x:v>
      </x:c>
      <x:c r="C1359" s="12" t="str">
        <x:v>参考100</x:v>
      </x:c>
      <x:c r="D1359" s="12" t="str">
        <x:v>自动100</x:v>
      </x:c>
      <x:c r="E1359" s="12" t="n">
        <x:v>1</x:v>
      </x:c>
      <x:c r="F1359" s="12" t="n">
        <x:v>1</x:v>
      </x:c>
      <x:c r="G1359" s="12" t="n">
        <x:v>0</x:v>
      </x:c>
      <x:c r="H1359" s="12" t="n">
        <x:f>IF(SUM(I1359:K1359)&gt;0,1,0)</x:f>
        <x:v>1</x:v>
      </x:c>
      <x:c r="I1359" s="12" t="n">
        <x:f>IF('患者配对'!M1511="positive",1,0)</x:f>
        <x:v>1</x:v>
      </x:c>
      <x:c r="J1359" s="12" t="n">
        <x:f>IF('患者配对'!R1511="positive",1,0)</x:f>
        <x:v>0</x:v>
      </x:c>
      <x:c r="K1359" s="12" t="n">
        <x:f>IF('患者配对'!W1511="positive",1,0)</x:f>
        <x:v>0</x:v>
      </x:c>
      <x:c r="L1359" s="12" t="str">
        <x:v>由原件与原状态取得；仅主队列索引</x:v>
      </x:c>
      <x:c r="M1359" s="12"/>
      <x:c r="N1359" s="12"/>
      <x:c r="O1359" s="12"/>
    </x:row>
    <x:row r="1360" ht="39" customHeight="1">
      <x:c r="A1360" s="12" t="str">
        <x:v>14005</x:v>
      </x:c>
      <x:c r="B1360" s="12" t="str">
        <x:v>1306</x:v>
      </x:c>
      <x:c r="C1360" s="12" t="str">
        <x:v>参考000</x:v>
      </x:c>
      <x:c r="D1360" s="12" t="str">
        <x:v>自动000</x:v>
      </x:c>
      <x:c r="E1360" s="12" t="n">
        <x:v>0</x:v>
      </x:c>
      <x:c r="F1360" s="12" t="n">
        <x:v>0</x:v>
      </x:c>
      <x:c r="G1360" s="12" t="n">
        <x:v>0</x:v>
      </x:c>
      <x:c r="H1360" s="12" t="n">
        <x:f>IF(SUM(I1360:K1360)&gt;0,1,0)</x:f>
        <x:v>0</x:v>
      </x:c>
      <x:c r="I1360" s="12" t="n">
        <x:f>IF('患者配对'!M1512="positive",1,0)</x:f>
        <x:v>0</x:v>
      </x:c>
      <x:c r="J1360" s="12" t="n">
        <x:f>IF('患者配对'!R1512="positive",1,0)</x:f>
        <x:v>0</x:v>
      </x:c>
      <x:c r="K1360" s="12" t="n">
        <x:f>IF('患者配对'!W1512="positive",1,0)</x:f>
        <x:v>0</x:v>
      </x:c>
      <x:c r="L1360" s="12" t="str">
        <x:v>由原件与原状态取得；仅主队列索引</x:v>
      </x:c>
      <x:c r="M1360" s="12"/>
      <x:c r="N1360" s="12"/>
      <x:c r="O1360" s="12"/>
    </x:row>
    <x:row r="1361" ht="39" customHeight="1">
      <x:c r="A1361" s="12" t="str">
        <x:v>14018</x:v>
      </x:c>
      <x:c r="B1361" s="12" t="str">
        <x:v>19421</x:v>
      </x:c>
      <x:c r="C1361" s="12" t="str">
        <x:v>参考000</x:v>
      </x:c>
      <x:c r="D1361" s="12" t="str">
        <x:v>自动000</x:v>
      </x:c>
      <x:c r="E1361" s="12" t="n">
        <x:v>0</x:v>
      </x:c>
      <x:c r="F1361" s="12" t="n">
        <x:v>1</x:v>
      </x:c>
      <x:c r="G1361" s="12" t="n">
        <x:v>0</x:v>
      </x:c>
      <x:c r="H1361" s="12" t="n">
        <x:f>IF(SUM(I1361:K1361)&gt;0,1,0)</x:f>
        <x:v>0</x:v>
      </x:c>
      <x:c r="I1361" s="12" t="n">
        <x:f>IF('患者配对'!M1513="positive",1,0)</x:f>
        <x:v>0</x:v>
      </x:c>
      <x:c r="J1361" s="12" t="n">
        <x:f>IF('患者配对'!R1513="positive",1,0)</x:f>
        <x:v>0</x:v>
      </x:c>
      <x:c r="K1361" s="12" t="n">
        <x:f>IF('患者配对'!W1513="positive",1,0)</x:f>
        <x:v>0</x:v>
      </x:c>
      <x:c r="L1361" s="12" t="str">
        <x:v>由原件与原状态取得；仅主队列索引</x:v>
      </x:c>
      <x:c r="M1361" s="12"/>
      <x:c r="N1361" s="12"/>
      <x:c r="O1361" s="12"/>
    </x:row>
    <x:row r="1362" ht="39" customHeight="1">
      <x:c r="A1362" s="12" t="str">
        <x:v>14021</x:v>
      </x:c>
      <x:c r="B1362" s="12" t="str">
        <x:v>20776</x:v>
      </x:c>
      <x:c r="C1362" s="12" t="str">
        <x:v>参考000</x:v>
      </x:c>
      <x:c r="D1362" s="12" t="str">
        <x:v>自动000</x:v>
      </x:c>
      <x:c r="E1362" s="12" t="n">
        <x:v>0</x:v>
      </x:c>
      <x:c r="F1362" s="12" t="n">
        <x:v>0</x:v>
      </x:c>
      <x:c r="G1362" s="12" t="n">
        <x:v>0</x:v>
      </x:c>
      <x:c r="H1362" s="12" t="n">
        <x:f>IF(SUM(I1362:K1362)&gt;0,1,0)</x:f>
        <x:v>0</x:v>
      </x:c>
      <x:c r="I1362" s="12" t="n">
        <x:f>IF('患者配对'!M1514="positive",1,0)</x:f>
        <x:v>0</x:v>
      </x:c>
      <x:c r="J1362" s="12" t="n">
        <x:f>IF('患者配对'!R1514="positive",1,0)</x:f>
        <x:v>0</x:v>
      </x:c>
      <x:c r="K1362" s="12" t="n">
        <x:f>IF('患者配对'!W1514="positive",1,0)</x:f>
        <x:v>0</x:v>
      </x:c>
      <x:c r="L1362" s="12" t="str">
        <x:v>由原件与原状态取得；仅主队列索引</x:v>
      </x:c>
      <x:c r="M1362" s="12"/>
      <x:c r="N1362" s="12"/>
      <x:c r="O1362" s="12"/>
    </x:row>
    <x:row r="1363" ht="39" customHeight="1">
      <x:c r="A1363" s="12" t="str">
        <x:v>14026</x:v>
      </x:c>
      <x:c r="B1363" s="12" t="str">
        <x:v>6544</x:v>
      </x:c>
      <x:c r="C1363" s="12" t="str">
        <x:v>参考000</x:v>
      </x:c>
      <x:c r="D1363" s="12" t="str">
        <x:v>自动000</x:v>
      </x:c>
      <x:c r="E1363" s="12" t="n">
        <x:v>0</x:v>
      </x:c>
      <x:c r="F1363" s="12" t="n">
        <x:v>0</x:v>
      </x:c>
      <x:c r="G1363" s="12" t="n">
        <x:v>0</x:v>
      </x:c>
      <x:c r="H1363" s="12" t="n">
        <x:f>IF(SUM(I1363:K1363)&gt;0,1,0)</x:f>
        <x:v>0</x:v>
      </x:c>
      <x:c r="I1363" s="12" t="n">
        <x:f>IF('患者配对'!M1515="positive",1,0)</x:f>
        <x:v>0</x:v>
      </x:c>
      <x:c r="J1363" s="12" t="n">
        <x:f>IF('患者配对'!R1515="positive",1,0)</x:f>
        <x:v>0</x:v>
      </x:c>
      <x:c r="K1363" s="12" t="n">
        <x:f>IF('患者配对'!W1515="positive",1,0)</x:f>
        <x:v>0</x:v>
      </x:c>
      <x:c r="L1363" s="12" t="str">
        <x:v>由原件与原状态取得；仅主队列索引</x:v>
      </x:c>
      <x:c r="M1363" s="12"/>
      <x:c r="N1363" s="12"/>
      <x:c r="O1363" s="12"/>
    </x:row>
    <x:row r="1364" ht="39" customHeight="1">
      <x:c r="A1364" s="12" t="str">
        <x:v>14027</x:v>
      </x:c>
      <x:c r="B1364" s="12" t="str">
        <x:v>5875</x:v>
      </x:c>
      <x:c r="C1364" s="12" t="str">
        <x:v>参考000</x:v>
      </x:c>
      <x:c r="D1364" s="12" t="str">
        <x:v>自动000</x:v>
      </x:c>
      <x:c r="E1364" s="12" t="n">
        <x:v>0</x:v>
      </x:c>
      <x:c r="F1364" s="12" t="n">
        <x:v>0</x:v>
      </x:c>
      <x:c r="G1364" s="12" t="n">
        <x:v>0</x:v>
      </x:c>
      <x:c r="H1364" s="12" t="n">
        <x:f>IF(SUM(I1364:K1364)&gt;0,1,0)</x:f>
        <x:v>0</x:v>
      </x:c>
      <x:c r="I1364" s="12" t="n">
        <x:f>IF('患者配对'!M1516="positive",1,0)</x:f>
        <x:v>0</x:v>
      </x:c>
      <x:c r="J1364" s="12" t="n">
        <x:f>IF('患者配对'!R1516="positive",1,0)</x:f>
        <x:v>0</x:v>
      </x:c>
      <x:c r="K1364" s="12" t="n">
        <x:f>IF('患者配对'!W1516="positive",1,0)</x:f>
        <x:v>0</x:v>
      </x:c>
      <x:c r="L1364" s="12" t="str">
        <x:v>由原件与原状态取得；仅主队列索引</x:v>
      </x:c>
      <x:c r="M1364" s="12"/>
      <x:c r="N1364" s="12"/>
      <x:c r="O1364" s="12"/>
    </x:row>
    <x:row r="1365" ht="39" customHeight="1">
      <x:c r="A1365" s="12" t="str">
        <x:v>14071</x:v>
      </x:c>
      <x:c r="B1365" s="12" t="str">
        <x:v>6741</x:v>
      </x:c>
      <x:c r="C1365" s="12" t="str">
        <x:v>参考000</x:v>
      </x:c>
      <x:c r="D1365" s="12" t="str">
        <x:v>自动000</x:v>
      </x:c>
      <x:c r="E1365" s="12" t="n">
        <x:v>0</x:v>
      </x:c>
      <x:c r="F1365" s="12" t="n">
        <x:v>0</x:v>
      </x:c>
      <x:c r="G1365" s="12" t="n">
        <x:v>0</x:v>
      </x:c>
      <x:c r="H1365" s="12" t="n">
        <x:f>IF(SUM(I1365:K1365)&gt;0,1,0)</x:f>
        <x:v>0</x:v>
      </x:c>
      <x:c r="I1365" s="12" t="n">
        <x:f>IF('患者配对'!M1517="positive",1,0)</x:f>
        <x:v>0</x:v>
      </x:c>
      <x:c r="J1365" s="12" t="n">
        <x:f>IF('患者配对'!R1517="positive",1,0)</x:f>
        <x:v>0</x:v>
      </x:c>
      <x:c r="K1365" s="12" t="n">
        <x:f>IF('患者配对'!W1517="positive",1,0)</x:f>
        <x:v>0</x:v>
      </x:c>
      <x:c r="L1365" s="12" t="str">
        <x:v>由原件与原状态取得；仅主队列索引</x:v>
      </x:c>
      <x:c r="M1365" s="12"/>
      <x:c r="N1365" s="12"/>
      <x:c r="O1365" s="12"/>
    </x:row>
    <x:row r="1366" ht="39" customHeight="1">
      <x:c r="A1366" s="12" t="str">
        <x:v>14097</x:v>
      </x:c>
      <x:c r="B1366" s="12" t="str">
        <x:v>2153</x:v>
      </x:c>
      <x:c r="C1366" s="12" t="str">
        <x:v>参考000</x:v>
      </x:c>
      <x:c r="D1366" s="12" t="str">
        <x:v>自动000</x:v>
      </x:c>
      <x:c r="E1366" s="12" t="n">
        <x:v>0</x:v>
      </x:c>
      <x:c r="F1366" s="12" t="n">
        <x:v>0</x:v>
      </x:c>
      <x:c r="G1366" s="12" t="n">
        <x:v>0</x:v>
      </x:c>
      <x:c r="H1366" s="12" t="n">
        <x:f>IF(SUM(I1366:K1366)&gt;0,1,0)</x:f>
        <x:v>0</x:v>
      </x:c>
      <x:c r="I1366" s="12" t="n">
        <x:f>IF('患者配对'!M1518="positive",1,0)</x:f>
        <x:v>0</x:v>
      </x:c>
      <x:c r="J1366" s="12" t="n">
        <x:f>IF('患者配对'!R1518="positive",1,0)</x:f>
        <x:v>0</x:v>
      </x:c>
      <x:c r="K1366" s="12" t="n">
        <x:f>IF('患者配对'!W1518="positive",1,0)</x:f>
        <x:v>0</x:v>
      </x:c>
      <x:c r="L1366" s="12" t="str">
        <x:v>由原件与原状态取得；仅主队列索引</x:v>
      </x:c>
      <x:c r="M1366" s="12"/>
      <x:c r="N1366" s="12"/>
      <x:c r="O1366" s="12"/>
    </x:row>
    <x:row r="1367" ht="39" customHeight="1">
      <x:c r="A1367" s="12" t="str">
        <x:v>14107</x:v>
      </x:c>
      <x:c r="B1367" s="12" t="str">
        <x:v>3401</x:v>
      </x:c>
      <x:c r="C1367" s="12" t="str">
        <x:v>参考000</x:v>
      </x:c>
      <x:c r="D1367" s="12" t="str">
        <x:v>自动000</x:v>
      </x:c>
      <x:c r="E1367" s="12" t="n">
        <x:v>0</x:v>
      </x:c>
      <x:c r="F1367" s="12" t="n">
        <x:v>0</x:v>
      </x:c>
      <x:c r="G1367" s="12" t="n">
        <x:v>0</x:v>
      </x:c>
      <x:c r="H1367" s="12" t="n">
        <x:f>IF(SUM(I1367:K1367)&gt;0,1,0)</x:f>
        <x:v>0</x:v>
      </x:c>
      <x:c r="I1367" s="12" t="n">
        <x:f>IF('患者配对'!M1519="positive",1,0)</x:f>
        <x:v>0</x:v>
      </x:c>
      <x:c r="J1367" s="12" t="n">
        <x:f>IF('患者配对'!R1519="positive",1,0)</x:f>
        <x:v>0</x:v>
      </x:c>
      <x:c r="K1367" s="12" t="n">
        <x:f>IF('患者配对'!W1519="positive",1,0)</x:f>
        <x:v>0</x:v>
      </x:c>
      <x:c r="L1367" s="12" t="str">
        <x:v>由原件与原状态取得；仅主队列索引</x:v>
      </x:c>
      <x:c r="M1367" s="12"/>
      <x:c r="N1367" s="12"/>
      <x:c r="O1367" s="12"/>
    </x:row>
    <x:row r="1368" ht="39" customHeight="1">
      <x:c r="A1368" s="12" t="str">
        <x:v>14123</x:v>
      </x:c>
      <x:c r="B1368" s="12" t="str">
        <x:v>7387</x:v>
      </x:c>
      <x:c r="C1368" s="12" t="str">
        <x:v>参考000</x:v>
      </x:c>
      <x:c r="D1368" s="12" t="str">
        <x:v>自动000</x:v>
      </x:c>
      <x:c r="E1368" s="12" t="n">
        <x:v>0</x:v>
      </x:c>
      <x:c r="F1368" s="12" t="n">
        <x:v>0</x:v>
      </x:c>
      <x:c r="G1368" s="12" t="n">
        <x:v>0</x:v>
      </x:c>
      <x:c r="H1368" s="12" t="n">
        <x:f>IF(SUM(I1368:K1368)&gt;0,1,0)</x:f>
        <x:v>0</x:v>
      </x:c>
      <x:c r="I1368" s="12" t="n">
        <x:f>IF('患者配对'!M1520="positive",1,0)</x:f>
        <x:v>0</x:v>
      </x:c>
      <x:c r="J1368" s="12" t="n">
        <x:f>IF('患者配对'!R1520="positive",1,0)</x:f>
        <x:v>0</x:v>
      </x:c>
      <x:c r="K1368" s="12" t="n">
        <x:f>IF('患者配对'!W1520="positive",1,0)</x:f>
        <x:v>0</x:v>
      </x:c>
      <x:c r="L1368" s="12" t="str">
        <x:v>由原件与原状态取得；仅主队列索引</x:v>
      </x:c>
      <x:c r="M1368" s="12"/>
      <x:c r="N1368" s="12"/>
      <x:c r="O1368" s="12"/>
    </x:row>
    <x:row r="1369" ht="39" customHeight="1">
      <x:c r="A1369" s="12" t="str">
        <x:v>14131</x:v>
      </x:c>
      <x:c r="B1369" s="12" t="str">
        <x:v>14388</x:v>
      </x:c>
      <x:c r="C1369" s="12" t="str">
        <x:v>参考000</x:v>
      </x:c>
      <x:c r="D1369" s="12" t="str">
        <x:v>自动000</x:v>
      </x:c>
      <x:c r="E1369" s="12" t="n">
        <x:v>0</x:v>
      </x:c>
      <x:c r="F1369" s="12" t="n">
        <x:v>1</x:v>
      </x:c>
      <x:c r="G1369" s="12" t="n">
        <x:v>0</x:v>
      </x:c>
      <x:c r="H1369" s="12" t="n">
        <x:f>IF(SUM(I1369:K1369)&gt;0,1,0)</x:f>
        <x:v>0</x:v>
      </x:c>
      <x:c r="I1369" s="12" t="n">
        <x:f>IF('患者配对'!M1521="positive",1,0)</x:f>
        <x:v>0</x:v>
      </x:c>
      <x:c r="J1369" s="12" t="n">
        <x:f>IF('患者配对'!R1521="positive",1,0)</x:f>
        <x:v>0</x:v>
      </x:c>
      <x:c r="K1369" s="12" t="n">
        <x:f>IF('患者配对'!W1521="positive",1,0)</x:f>
        <x:v>0</x:v>
      </x:c>
      <x:c r="L1369" s="12" t="str">
        <x:v>由原件与原状态取得；仅主队列索引</x:v>
      </x:c>
      <x:c r="M1369" s="12"/>
      <x:c r="N1369" s="12"/>
      <x:c r="O1369" s="12"/>
    </x:row>
    <x:row r="1370" ht="39" customHeight="1">
      <x:c r="A1370" s="12" t="str">
        <x:v>14138</x:v>
      </x:c>
      <x:c r="B1370" s="12" t="str">
        <x:v>13952</x:v>
      </x:c>
      <x:c r="C1370" s="12" t="str">
        <x:v>参考000</x:v>
      </x:c>
      <x:c r="D1370" s="12" t="str">
        <x:v>自动000</x:v>
      </x:c>
      <x:c r="E1370" s="12" t="n">
        <x:v>0</x:v>
      </x:c>
      <x:c r="F1370" s="12" t="n">
        <x:v>0</x:v>
      </x:c>
      <x:c r="G1370" s="12" t="n">
        <x:v>0</x:v>
      </x:c>
      <x:c r="H1370" s="12" t="n">
        <x:f>IF(SUM(I1370:K1370)&gt;0,1,0)</x:f>
        <x:v>0</x:v>
      </x:c>
      <x:c r="I1370" s="12" t="n">
        <x:f>IF('患者配对'!M1522="positive",1,0)</x:f>
        <x:v>0</x:v>
      </x:c>
      <x:c r="J1370" s="12" t="n">
        <x:f>IF('患者配对'!R1522="positive",1,0)</x:f>
        <x:v>0</x:v>
      </x:c>
      <x:c r="K1370" s="12" t="n">
        <x:f>IF('患者配对'!W1522="positive",1,0)</x:f>
        <x:v>0</x:v>
      </x:c>
      <x:c r="L1370" s="12" t="str">
        <x:v>由原件与原状态取得；仅主队列索引</x:v>
      </x:c>
      <x:c r="M1370" s="12"/>
      <x:c r="N1370" s="12"/>
      <x:c r="O1370" s="12"/>
    </x:row>
    <x:row r="1371" ht="39" customHeight="1">
      <x:c r="A1371" s="12" t="str">
        <x:v>14139</x:v>
      </x:c>
      <x:c r="B1371" s="12" t="str">
        <x:v>9944</x:v>
      </x:c>
      <x:c r="C1371" s="12" t="str">
        <x:v>参考000</x:v>
      </x:c>
      <x:c r="D1371" s="12" t="str">
        <x:v>自动000</x:v>
      </x:c>
      <x:c r="E1371" s="12" t="n">
        <x:v>0</x:v>
      </x:c>
      <x:c r="F1371" s="12" t="n">
        <x:v>0</x:v>
      </x:c>
      <x:c r="G1371" s="12" t="n">
        <x:v>0</x:v>
      </x:c>
      <x:c r="H1371" s="12" t="n">
        <x:f>IF(SUM(I1371:K1371)&gt;0,1,0)</x:f>
        <x:v>0</x:v>
      </x:c>
      <x:c r="I1371" s="12" t="n">
        <x:f>IF('患者配对'!M1523="positive",1,0)</x:f>
        <x:v>0</x:v>
      </x:c>
      <x:c r="J1371" s="12" t="n">
        <x:f>IF('患者配对'!R1523="positive",1,0)</x:f>
        <x:v>0</x:v>
      </x:c>
      <x:c r="K1371" s="12" t="n">
        <x:f>IF('患者配对'!W1523="positive",1,0)</x:f>
        <x:v>0</x:v>
      </x:c>
      <x:c r="L1371" s="12" t="str">
        <x:v>由原件与原状态取得；仅主队列索引</x:v>
      </x:c>
      <x:c r="M1371" s="12"/>
      <x:c r="N1371" s="12"/>
      <x:c r="O1371" s="12"/>
    </x:row>
    <x:row r="1372" ht="39" customHeight="1">
      <x:c r="A1372" s="12" t="str">
        <x:v>14145</x:v>
      </x:c>
      <x:c r="B1372" s="12" t="str">
        <x:v>13671</x:v>
      </x:c>
      <x:c r="C1372" s="12" t="str">
        <x:v>参考000</x:v>
      </x:c>
      <x:c r="D1372" s="12" t="str">
        <x:v>自动000</x:v>
      </x:c>
      <x:c r="E1372" s="12" t="n">
        <x:v>0</x:v>
      </x:c>
      <x:c r="F1372" s="12" t="n">
        <x:v>1</x:v>
      </x:c>
      <x:c r="G1372" s="12" t="n">
        <x:v>0</x:v>
      </x:c>
      <x:c r="H1372" s="12" t="n">
        <x:f>IF(SUM(I1372:K1372)&gt;0,1,0)</x:f>
        <x:v>0</x:v>
      </x:c>
      <x:c r="I1372" s="12" t="n">
        <x:f>IF('患者配对'!M1524="positive",1,0)</x:f>
        <x:v>0</x:v>
      </x:c>
      <x:c r="J1372" s="12" t="n">
        <x:f>IF('患者配对'!R1524="positive",1,0)</x:f>
        <x:v>0</x:v>
      </x:c>
      <x:c r="K1372" s="12" t="n">
        <x:f>IF('患者配对'!W1524="positive",1,0)</x:f>
        <x:v>0</x:v>
      </x:c>
      <x:c r="L1372" s="12" t="str">
        <x:v>由原件与原状态取得；仅主队列索引</x:v>
      </x:c>
      <x:c r="M1372" s="12"/>
      <x:c r="N1372" s="12"/>
      <x:c r="O1372" s="12"/>
    </x:row>
    <x:row r="1373" ht="39" customHeight="1">
      <x:c r="A1373" s="12" t="str">
        <x:v>14146</x:v>
      </x:c>
      <x:c r="B1373" s="12" t="str">
        <x:v>19513</x:v>
      </x:c>
      <x:c r="C1373" s="12" t="str">
        <x:v>参考000</x:v>
      </x:c>
      <x:c r="D1373" s="12" t="str">
        <x:v>自动000</x:v>
      </x:c>
      <x:c r="E1373" s="12" t="n">
        <x:v>0</x:v>
      </x:c>
      <x:c r="F1373" s="12" t="n">
        <x:v>1</x:v>
      </x:c>
      <x:c r="G1373" s="12" t="n">
        <x:v>0</x:v>
      </x:c>
      <x:c r="H1373" s="12" t="n">
        <x:f>IF(SUM(I1373:K1373)&gt;0,1,0)</x:f>
        <x:v>0</x:v>
      </x:c>
      <x:c r="I1373" s="12" t="n">
        <x:f>IF('患者配对'!M1525="positive",1,0)</x:f>
        <x:v>0</x:v>
      </x:c>
      <x:c r="J1373" s="12" t="n">
        <x:f>IF('患者配对'!R1525="positive",1,0)</x:f>
        <x:v>0</x:v>
      </x:c>
      <x:c r="K1373" s="12" t="n">
        <x:f>IF('患者配对'!W1525="positive",1,0)</x:f>
        <x:v>0</x:v>
      </x:c>
      <x:c r="L1373" s="12" t="str">
        <x:v>由原件与原状态取得；仅主队列索引</x:v>
      </x:c>
      <x:c r="M1373" s="12"/>
      <x:c r="N1373" s="12"/>
      <x:c r="O1373" s="12"/>
    </x:row>
    <x:row r="1374" ht="39" customHeight="1">
      <x:c r="A1374" s="12" t="str">
        <x:v>14149</x:v>
      </x:c>
      <x:c r="B1374" s="12" t="str">
        <x:v>15879</x:v>
      </x:c>
      <x:c r="C1374" s="12" t="str">
        <x:v>参考000</x:v>
      </x:c>
      <x:c r="D1374" s="12" t="str">
        <x:v>自动000</x:v>
      </x:c>
      <x:c r="E1374" s="12" t="n">
        <x:v>0</x:v>
      </x:c>
      <x:c r="F1374" s="12" t="n">
        <x:v>0</x:v>
      </x:c>
      <x:c r="G1374" s="12" t="n">
        <x:v>0</x:v>
      </x:c>
      <x:c r="H1374" s="12" t="n">
        <x:f>IF(SUM(I1374:K1374)&gt;0,1,0)</x:f>
        <x:v>0</x:v>
      </x:c>
      <x:c r="I1374" s="12" t="n">
        <x:f>IF('患者配对'!M1526="positive",1,0)</x:f>
        <x:v>0</x:v>
      </x:c>
      <x:c r="J1374" s="12" t="n">
        <x:f>IF('患者配对'!R1526="positive",1,0)</x:f>
        <x:v>0</x:v>
      </x:c>
      <x:c r="K1374" s="12" t="n">
        <x:f>IF('患者配对'!W1526="positive",1,0)</x:f>
        <x:v>0</x:v>
      </x:c>
      <x:c r="L1374" s="12" t="str">
        <x:v>由原件与原状态取得；仅主队列索引</x:v>
      </x:c>
      <x:c r="M1374" s="12"/>
      <x:c r="N1374" s="12"/>
      <x:c r="O1374" s="12"/>
    </x:row>
    <x:row r="1375" ht="39" customHeight="1">
      <x:c r="A1375" s="12" t="str">
        <x:v>14166</x:v>
      </x:c>
      <x:c r="B1375" s="12" t="str">
        <x:v>19511</x:v>
      </x:c>
      <x:c r="C1375" s="12" t="str">
        <x:v>参考000</x:v>
      </x:c>
      <x:c r="D1375" s="12" t="str">
        <x:v>自动000</x:v>
      </x:c>
      <x:c r="E1375" s="12" t="n">
        <x:v>0</x:v>
      </x:c>
      <x:c r="F1375" s="12" t="n">
        <x:v>0</x:v>
      </x:c>
      <x:c r="G1375" s="12" t="n">
        <x:v>0</x:v>
      </x:c>
      <x:c r="H1375" s="12" t="n">
        <x:f>IF(SUM(I1375:K1375)&gt;0,1,0)</x:f>
        <x:v>0</x:v>
      </x:c>
      <x:c r="I1375" s="12" t="n">
        <x:f>IF('患者配对'!M1528="positive",1,0)</x:f>
        <x:v>0</x:v>
      </x:c>
      <x:c r="J1375" s="12" t="n">
        <x:f>IF('患者配对'!R1528="positive",1,0)</x:f>
        <x:v>0</x:v>
      </x:c>
      <x:c r="K1375" s="12" t="n">
        <x:f>IF('患者配对'!W1528="positive",1,0)</x:f>
        <x:v>0</x:v>
      </x:c>
      <x:c r="L1375" s="12" t="str">
        <x:v>由原件与原状态取得；仅主队列索引</x:v>
      </x:c>
      <x:c r="M1375" s="12"/>
      <x:c r="N1375" s="12"/>
      <x:c r="O1375" s="12"/>
    </x:row>
    <x:row r="1376" ht="39" customHeight="1">
      <x:c r="A1376" s="12" t="str">
        <x:v>14167</x:v>
      </x:c>
      <x:c r="B1376" s="12" t="str">
        <x:v>15023</x:v>
      </x:c>
      <x:c r="C1376" s="12" t="str">
        <x:v>参考000</x:v>
      </x:c>
      <x:c r="D1376" s="12" t="str">
        <x:v>自动000</x:v>
      </x:c>
      <x:c r="E1376" s="12" t="n">
        <x:v>0</x:v>
      </x:c>
      <x:c r="F1376" s="12" t="n">
        <x:v>0</x:v>
      </x:c>
      <x:c r="G1376" s="12" t="n">
        <x:v>0</x:v>
      </x:c>
      <x:c r="H1376" s="12" t="n">
        <x:f>IF(SUM(I1376:K1376)&gt;0,1,0)</x:f>
        <x:v>0</x:v>
      </x:c>
      <x:c r="I1376" s="12" t="n">
        <x:f>IF('患者配对'!M1529="positive",1,0)</x:f>
        <x:v>0</x:v>
      </x:c>
      <x:c r="J1376" s="12" t="n">
        <x:f>IF('患者配对'!R1529="positive",1,0)</x:f>
        <x:v>0</x:v>
      </x:c>
      <x:c r="K1376" s="12" t="n">
        <x:f>IF('患者配对'!W1529="positive",1,0)</x:f>
        <x:v>0</x:v>
      </x:c>
      <x:c r="L1376" s="12" t="str">
        <x:v>由原件与原状态取得；仅主队列索引</x:v>
      </x:c>
      <x:c r="M1376" s="12"/>
      <x:c r="N1376" s="12"/>
      <x:c r="O1376" s="12"/>
    </x:row>
    <x:row r="1377" ht="39" customHeight="1">
      <x:c r="A1377" s="12" t="str">
        <x:v>14170</x:v>
      </x:c>
      <x:c r="B1377" s="12" t="str">
        <x:v>18905</x:v>
      </x:c>
      <x:c r="C1377" s="12" t="str">
        <x:v>参考000</x:v>
      </x:c>
      <x:c r="D1377" s="12" t="str">
        <x:v>自动000</x:v>
      </x:c>
      <x:c r="E1377" s="12" t="n">
        <x:v>0</x:v>
      </x:c>
      <x:c r="F1377" s="12" t="n">
        <x:v>0</x:v>
      </x:c>
      <x:c r="G1377" s="12" t="n">
        <x:v>0</x:v>
      </x:c>
      <x:c r="H1377" s="12" t="n">
        <x:f>IF(SUM(I1377:K1377)&gt;0,1,0)</x:f>
        <x:v>0</x:v>
      </x:c>
      <x:c r="I1377" s="12" t="n">
        <x:f>IF('患者配对'!M1530="positive",1,0)</x:f>
        <x:v>0</x:v>
      </x:c>
      <x:c r="J1377" s="12" t="n">
        <x:f>IF('患者配对'!R1530="positive",1,0)</x:f>
        <x:v>0</x:v>
      </x:c>
      <x:c r="K1377" s="12" t="n">
        <x:f>IF('患者配对'!W1530="positive",1,0)</x:f>
        <x:v>0</x:v>
      </x:c>
      <x:c r="L1377" s="12" t="str">
        <x:v>由原件与原状态取得；仅主队列索引</x:v>
      </x:c>
      <x:c r="M1377" s="12"/>
      <x:c r="N1377" s="12"/>
      <x:c r="O1377" s="12"/>
    </x:row>
    <x:row r="1378" ht="39" customHeight="1">
      <x:c r="A1378" s="12" t="str">
        <x:v>14177</x:v>
      </x:c>
      <x:c r="B1378" s="12" t="str">
        <x:v>12745</x:v>
      </x:c>
      <x:c r="C1378" s="12" t="str">
        <x:v>参考000</x:v>
      </x:c>
      <x:c r="D1378" s="12" t="str">
        <x:v>自动000</x:v>
      </x:c>
      <x:c r="E1378" s="12" t="n">
        <x:v>0</x:v>
      </x:c>
      <x:c r="F1378" s="12" t="n">
        <x:v>1</x:v>
      </x:c>
      <x:c r="G1378" s="12" t="n">
        <x:v>0</x:v>
      </x:c>
      <x:c r="H1378" s="12" t="n">
        <x:f>IF(SUM(I1378:K1378)&gt;0,1,0)</x:f>
        <x:v>0</x:v>
      </x:c>
      <x:c r="I1378" s="12" t="n">
        <x:f>IF('患者配对'!M1531="positive",1,0)</x:f>
        <x:v>0</x:v>
      </x:c>
      <x:c r="J1378" s="12" t="n">
        <x:f>IF('患者配对'!R1531="positive",1,0)</x:f>
        <x:v>0</x:v>
      </x:c>
      <x:c r="K1378" s="12" t="n">
        <x:f>IF('患者配对'!W1531="positive",1,0)</x:f>
        <x:v>0</x:v>
      </x:c>
      <x:c r="L1378" s="12" t="str">
        <x:v>由原件与原状态取得；仅主队列索引</x:v>
      </x:c>
      <x:c r="M1378" s="12"/>
      <x:c r="N1378" s="12"/>
      <x:c r="O1378" s="12"/>
    </x:row>
    <x:row r="1379" ht="39" customHeight="1">
      <x:c r="A1379" s="12" t="str">
        <x:v>14187</x:v>
      </x:c>
      <x:c r="B1379" s="12" t="str">
        <x:v>13838</x:v>
      </x:c>
      <x:c r="C1379" s="12" t="str">
        <x:v>参考000</x:v>
      </x:c>
      <x:c r="D1379" s="12" t="str">
        <x:v>自动000</x:v>
      </x:c>
      <x:c r="E1379" s="12" t="n">
        <x:v>0</x:v>
      </x:c>
      <x:c r="F1379" s="12" t="n">
        <x:v>0</x:v>
      </x:c>
      <x:c r="G1379" s="12" t="n">
        <x:v>0</x:v>
      </x:c>
      <x:c r="H1379" s="12" t="n">
        <x:f>IF(SUM(I1379:K1379)&gt;0,1,0)</x:f>
        <x:v>0</x:v>
      </x:c>
      <x:c r="I1379" s="12" t="n">
        <x:f>IF('患者配对'!M1533="positive",1,0)</x:f>
        <x:v>0</x:v>
      </x:c>
      <x:c r="J1379" s="12" t="n">
        <x:f>IF('患者配对'!R1533="positive",1,0)</x:f>
        <x:v>0</x:v>
      </x:c>
      <x:c r="K1379" s="12" t="n">
        <x:f>IF('患者配对'!W1533="positive",1,0)</x:f>
        <x:v>0</x:v>
      </x:c>
      <x:c r="L1379" s="12" t="str">
        <x:v>由原件与原状态取得；仅主队列索引</x:v>
      </x:c>
      <x:c r="M1379" s="12"/>
      <x:c r="N1379" s="12"/>
      <x:c r="O1379" s="12"/>
    </x:row>
    <x:row r="1380" ht="39" customHeight="1">
      <x:c r="A1380" s="12" t="str">
        <x:v>14192</x:v>
      </x:c>
      <x:c r="B1380" s="12" t="str">
        <x:v>11439</x:v>
      </x:c>
      <x:c r="C1380" s="12" t="str">
        <x:v>参考001</x:v>
      </x:c>
      <x:c r="D1380" s="12" t="str">
        <x:v>自动001</x:v>
      </x:c>
      <x:c r="E1380" s="12" t="n">
        <x:v>1</x:v>
      </x:c>
      <x:c r="F1380" s="12" t="n">
        <x:v>1</x:v>
      </x:c>
      <x:c r="G1380" s="12" t="n">
        <x:v>0</x:v>
      </x:c>
      <x:c r="H1380" s="12" t="n">
        <x:f>IF(SUM(I1380:K1380)&gt;0,1,0)</x:f>
        <x:v>1</x:v>
      </x:c>
      <x:c r="I1380" s="12" t="n">
        <x:f>IF('患者配对'!M1534="positive",1,0)</x:f>
        <x:v>0</x:v>
      </x:c>
      <x:c r="J1380" s="12" t="n">
        <x:f>IF('患者配对'!R1534="positive",1,0)</x:f>
        <x:v>0</x:v>
      </x:c>
      <x:c r="K1380" s="12" t="n">
        <x:f>IF('患者配对'!W1534="positive",1,0)</x:f>
        <x:v>1</x:v>
      </x:c>
      <x:c r="L1380" s="12" t="str">
        <x:v>由原件与原状态取得；仅主队列索引</x:v>
      </x:c>
      <x:c r="M1380" s="12"/>
      <x:c r="N1380" s="12"/>
      <x:c r="O1380" s="12"/>
    </x:row>
    <x:row r="1381" ht="39" customHeight="1">
      <x:c r="A1381" s="12" t="str">
        <x:v>14194</x:v>
      </x:c>
      <x:c r="B1381" s="12" t="str">
        <x:v>19668</x:v>
      </x:c>
      <x:c r="C1381" s="12" t="str">
        <x:v>参考000</x:v>
      </x:c>
      <x:c r="D1381" s="12" t="str">
        <x:v>自动000</x:v>
      </x:c>
      <x:c r="E1381" s="12" t="n">
        <x:v>0</x:v>
      </x:c>
      <x:c r="F1381" s="12" t="n">
        <x:v>0</x:v>
      </x:c>
      <x:c r="G1381" s="12" t="n">
        <x:v>0</x:v>
      </x:c>
      <x:c r="H1381" s="12" t="n">
        <x:f>IF(SUM(I1381:K1381)&gt;0,1,0)</x:f>
        <x:v>0</x:v>
      </x:c>
      <x:c r="I1381" s="12" t="n">
        <x:f>IF('患者配对'!M1535="positive",1,0)</x:f>
        <x:v>0</x:v>
      </x:c>
      <x:c r="J1381" s="12" t="n">
        <x:f>IF('患者配对'!R1535="positive",1,0)</x:f>
        <x:v>0</x:v>
      </x:c>
      <x:c r="K1381" s="12" t="n">
        <x:f>IF('患者配对'!W1535="positive",1,0)</x:f>
        <x:v>0</x:v>
      </x:c>
      <x:c r="L1381" s="12" t="str">
        <x:v>由原件与原状态取得；仅主队列索引</x:v>
      </x:c>
      <x:c r="M1381" s="12"/>
      <x:c r="N1381" s="12"/>
      <x:c r="O1381" s="12"/>
    </x:row>
    <x:row r="1382" ht="39" customHeight="1">
      <x:c r="A1382" s="12" t="str">
        <x:v>14201</x:v>
      </x:c>
      <x:c r="B1382" s="12" t="str">
        <x:v>10836</x:v>
      </x:c>
      <x:c r="C1382" s="12" t="str">
        <x:v>参考100</x:v>
      </x:c>
      <x:c r="D1382" s="12" t="str">
        <x:v>自动100</x:v>
      </x:c>
      <x:c r="E1382" s="12" t="n">
        <x:v>1</x:v>
      </x:c>
      <x:c r="F1382" s="12" t="n">
        <x:v>1</x:v>
      </x:c>
      <x:c r="G1382" s="12" t="n">
        <x:v>0</x:v>
      </x:c>
      <x:c r="H1382" s="12" t="n">
        <x:f>IF(SUM(I1382:K1382)&gt;0,1,0)</x:f>
        <x:v>1</x:v>
      </x:c>
      <x:c r="I1382" s="12" t="n">
        <x:f>IF('患者配对'!M1536="positive",1,0)</x:f>
        <x:v>1</x:v>
      </x:c>
      <x:c r="J1382" s="12" t="n">
        <x:f>IF('患者配对'!R1536="positive",1,0)</x:f>
        <x:v>0</x:v>
      </x:c>
      <x:c r="K1382" s="12" t="n">
        <x:f>IF('患者配对'!W1536="positive",1,0)</x:f>
        <x:v>0</x:v>
      </x:c>
      <x:c r="L1382" s="12" t="str">
        <x:v>由原件与原状态取得；仅主队列索引</x:v>
      </x:c>
      <x:c r="M1382" s="12"/>
      <x:c r="N1382" s="12"/>
      <x:c r="O1382" s="12"/>
    </x:row>
    <x:row r="1383" ht="39" customHeight="1">
      <x:c r="A1383" s="12" t="str">
        <x:v>14205</x:v>
      </x:c>
      <x:c r="B1383" s="12" t="str">
        <x:v>19177</x:v>
      </x:c>
      <x:c r="C1383" s="12" t="str">
        <x:v>参考000</x:v>
      </x:c>
      <x:c r="D1383" s="12" t="str">
        <x:v>自动000</x:v>
      </x:c>
      <x:c r="E1383" s="12" t="n">
        <x:v>0</x:v>
      </x:c>
      <x:c r="F1383" s="12" t="n">
        <x:v>0</x:v>
      </x:c>
      <x:c r="G1383" s="12" t="n">
        <x:v>0</x:v>
      </x:c>
      <x:c r="H1383" s="12" t="n">
        <x:f>IF(SUM(I1383:K1383)&gt;0,1,0)</x:f>
        <x:v>0</x:v>
      </x:c>
      <x:c r="I1383" s="12" t="n">
        <x:f>IF('患者配对'!M1537="positive",1,0)</x:f>
        <x:v>0</x:v>
      </x:c>
      <x:c r="J1383" s="12" t="n">
        <x:f>IF('患者配对'!R1537="positive",1,0)</x:f>
        <x:v>0</x:v>
      </x:c>
      <x:c r="K1383" s="12" t="n">
        <x:f>IF('患者配对'!W1537="positive",1,0)</x:f>
        <x:v>0</x:v>
      </x:c>
      <x:c r="L1383" s="12" t="str">
        <x:v>由原件与原状态取得；仅主队列索引</x:v>
      </x:c>
      <x:c r="M1383" s="12"/>
      <x:c r="N1383" s="12"/>
      <x:c r="O1383" s="12"/>
    </x:row>
    <x:row r="1384" ht="39" customHeight="1">
      <x:c r="A1384" s="12" t="str">
        <x:v>14217</x:v>
      </x:c>
      <x:c r="B1384" s="12" t="str">
        <x:v>12500</x:v>
      </x:c>
      <x:c r="C1384" s="12" t="str">
        <x:v>参考000</x:v>
      </x:c>
      <x:c r="D1384" s="12" t="str">
        <x:v>自动000</x:v>
      </x:c>
      <x:c r="E1384" s="12" t="n">
        <x:v>0</x:v>
      </x:c>
      <x:c r="F1384" s="12" t="n">
        <x:v>0</x:v>
      </x:c>
      <x:c r="G1384" s="12" t="n">
        <x:v>0</x:v>
      </x:c>
      <x:c r="H1384" s="12" t="n">
        <x:f>IF(SUM(I1384:K1384)&gt;0,1,0)</x:f>
        <x:v>0</x:v>
      </x:c>
      <x:c r="I1384" s="12" t="n">
        <x:f>IF('患者配对'!M1538="positive",1,0)</x:f>
        <x:v>0</x:v>
      </x:c>
      <x:c r="J1384" s="12" t="n">
        <x:f>IF('患者配对'!R1538="positive",1,0)</x:f>
        <x:v>0</x:v>
      </x:c>
      <x:c r="K1384" s="12" t="n">
        <x:f>IF('患者配对'!W1538="positive",1,0)</x:f>
        <x:v>0</x:v>
      </x:c>
      <x:c r="L1384" s="12" t="str">
        <x:v>由原件与原状态取得；仅主队列索引</x:v>
      </x:c>
      <x:c r="M1384" s="12"/>
      <x:c r="N1384" s="12"/>
      <x:c r="O1384" s="12"/>
    </x:row>
    <x:row r="1385" ht="39" customHeight="1">
      <x:c r="A1385" s="12" t="str">
        <x:v>14220</x:v>
      </x:c>
      <x:c r="B1385" s="12" t="str">
        <x:v>13157</x:v>
      </x:c>
      <x:c r="C1385" s="12" t="str">
        <x:v>参考000</x:v>
      </x:c>
      <x:c r="D1385" s="12" t="str">
        <x:v>自动000</x:v>
      </x:c>
      <x:c r="E1385" s="12" t="n">
        <x:v>0</x:v>
      </x:c>
      <x:c r="F1385" s="12" t="n">
        <x:v>0</x:v>
      </x:c>
      <x:c r="G1385" s="12" t="n">
        <x:v>0</x:v>
      </x:c>
      <x:c r="H1385" s="12" t="n">
        <x:f>IF(SUM(I1385:K1385)&gt;0,1,0)</x:f>
        <x:v>0</x:v>
      </x:c>
      <x:c r="I1385" s="12" t="n">
        <x:f>IF('患者配对'!M1539="positive",1,0)</x:f>
        <x:v>0</x:v>
      </x:c>
      <x:c r="J1385" s="12" t="n">
        <x:f>IF('患者配对'!R1539="positive",1,0)</x:f>
        <x:v>0</x:v>
      </x:c>
      <x:c r="K1385" s="12" t="n">
        <x:f>IF('患者配对'!W1539="positive",1,0)</x:f>
        <x:v>0</x:v>
      </x:c>
      <x:c r="L1385" s="12" t="str">
        <x:v>由原件与原状态取得；仅主队列索引</x:v>
      </x:c>
      <x:c r="M1385" s="12"/>
      <x:c r="N1385" s="12"/>
      <x:c r="O1385" s="12"/>
    </x:row>
    <x:row r="1386" ht="39" customHeight="1">
      <x:c r="A1386" s="12" t="str">
        <x:v>14224</x:v>
      </x:c>
      <x:c r="B1386" s="12" t="str">
        <x:v>8859</x:v>
      </x:c>
      <x:c r="C1386" s="12" t="str">
        <x:v>参考100</x:v>
      </x:c>
      <x:c r="D1386" s="12" t="str">
        <x:v>自动100</x:v>
      </x:c>
      <x:c r="E1386" s="12" t="n">
        <x:v>1</x:v>
      </x:c>
      <x:c r="F1386" s="12" t="n">
        <x:v>1</x:v>
      </x:c>
      <x:c r="G1386" s="12" t="n">
        <x:v>0</x:v>
      </x:c>
      <x:c r="H1386" s="12" t="n">
        <x:f>IF(SUM(I1386:K1386)&gt;0,1,0)</x:f>
        <x:v>1</x:v>
      </x:c>
      <x:c r="I1386" s="12" t="n">
        <x:f>IF('患者配对'!M1540="positive",1,0)</x:f>
        <x:v>1</x:v>
      </x:c>
      <x:c r="J1386" s="12" t="n">
        <x:f>IF('患者配对'!R1540="positive",1,0)</x:f>
        <x:v>0</x:v>
      </x:c>
      <x:c r="K1386" s="12" t="n">
        <x:f>IF('患者配对'!W1540="positive",1,0)</x:f>
        <x:v>0</x:v>
      </x:c>
      <x:c r="L1386" s="12" t="str">
        <x:v>由原件与原状态取得；仅主队列索引</x:v>
      </x:c>
      <x:c r="M1386" s="12"/>
      <x:c r="N1386" s="12"/>
      <x:c r="O1386" s="12"/>
    </x:row>
    <x:row r="1387" ht="39" customHeight="1">
      <x:c r="A1387" s="12" t="str">
        <x:v>14238</x:v>
      </x:c>
      <x:c r="B1387" s="12" t="str">
        <x:v>20559</x:v>
      </x:c>
      <x:c r="C1387" s="12" t="str">
        <x:v>参考100</x:v>
      </x:c>
      <x:c r="D1387" s="12" t="str">
        <x:v>自动100</x:v>
      </x:c>
      <x:c r="E1387" s="12" t="n">
        <x:v>1</x:v>
      </x:c>
      <x:c r="F1387" s="12" t="n">
        <x:v>1</x:v>
      </x:c>
      <x:c r="G1387" s="12" t="n">
        <x:v>0</x:v>
      </x:c>
      <x:c r="H1387" s="12" t="n">
        <x:f>IF(SUM(I1387:K1387)&gt;0,1,0)</x:f>
        <x:v>1</x:v>
      </x:c>
      <x:c r="I1387" s="12" t="n">
        <x:f>IF('患者配对'!M1541="positive",1,0)</x:f>
        <x:v>1</x:v>
      </x:c>
      <x:c r="J1387" s="12" t="n">
        <x:f>IF('患者配对'!R1541="positive",1,0)</x:f>
        <x:v>0</x:v>
      </x:c>
      <x:c r="K1387" s="12" t="n">
        <x:f>IF('患者配对'!W1541="positive",1,0)</x:f>
        <x:v>0</x:v>
      </x:c>
      <x:c r="L1387" s="12" t="str">
        <x:v>由原件与原状态取得；仅主队列索引</x:v>
      </x:c>
      <x:c r="M1387" s="12"/>
      <x:c r="N1387" s="12"/>
      <x:c r="O1387" s="12"/>
    </x:row>
    <x:row r="1388" ht="39" customHeight="1">
      <x:c r="A1388" s="12" t="str">
        <x:v>14244</x:v>
      </x:c>
      <x:c r="B1388" s="12" t="str">
        <x:v>8694</x:v>
      </x:c>
      <x:c r="C1388" s="12" t="str">
        <x:v>参考000</x:v>
      </x:c>
      <x:c r="D1388" s="12" t="str">
        <x:v>自动000</x:v>
      </x:c>
      <x:c r="E1388" s="12" t="n">
        <x:v>0</x:v>
      </x:c>
      <x:c r="F1388" s="12" t="n">
        <x:v>0</x:v>
      </x:c>
      <x:c r="G1388" s="12" t="n">
        <x:v>0</x:v>
      </x:c>
      <x:c r="H1388" s="12" t="n">
        <x:f>IF(SUM(I1388:K1388)&gt;0,1,0)</x:f>
        <x:v>0</x:v>
      </x:c>
      <x:c r="I1388" s="12" t="n">
        <x:f>IF('患者配对'!M1542="positive",1,0)</x:f>
        <x:v>0</x:v>
      </x:c>
      <x:c r="J1388" s="12" t="n">
        <x:f>IF('患者配对'!R1542="positive",1,0)</x:f>
        <x:v>0</x:v>
      </x:c>
      <x:c r="K1388" s="12" t="n">
        <x:f>IF('患者配对'!W1542="positive",1,0)</x:f>
        <x:v>0</x:v>
      </x:c>
      <x:c r="L1388" s="12" t="str">
        <x:v>由原件与原状态取得；仅主队列索引</x:v>
      </x:c>
      <x:c r="M1388" s="12"/>
      <x:c r="N1388" s="12"/>
      <x:c r="O1388" s="12"/>
    </x:row>
    <x:row r="1389" ht="39" customHeight="1">
      <x:c r="A1389" s="12" t="str">
        <x:v>14248</x:v>
      </x:c>
      <x:c r="B1389" s="12" t="str">
        <x:v>17488</x:v>
      </x:c>
      <x:c r="C1389" s="12" t="str">
        <x:v>参考000</x:v>
      </x:c>
      <x:c r="D1389" s="12" t="str">
        <x:v>自动000</x:v>
      </x:c>
      <x:c r="E1389" s="12" t="n">
        <x:v>0</x:v>
      </x:c>
      <x:c r="F1389" s="12" t="n">
        <x:v>0</x:v>
      </x:c>
      <x:c r="G1389" s="12" t="n">
        <x:v>0</x:v>
      </x:c>
      <x:c r="H1389" s="12" t="n">
        <x:f>IF(SUM(I1389:K1389)&gt;0,1,0)</x:f>
        <x:v>0</x:v>
      </x:c>
      <x:c r="I1389" s="12" t="n">
        <x:f>IF('患者配对'!M1543="positive",1,0)</x:f>
        <x:v>0</x:v>
      </x:c>
      <x:c r="J1389" s="12" t="n">
        <x:f>IF('患者配对'!R1543="positive",1,0)</x:f>
        <x:v>0</x:v>
      </x:c>
      <x:c r="K1389" s="12" t="n">
        <x:f>IF('患者配对'!W1543="positive",1,0)</x:f>
        <x:v>0</x:v>
      </x:c>
      <x:c r="L1389" s="12" t="str">
        <x:v>由原件与原状态取得；仅主队列索引</x:v>
      </x:c>
      <x:c r="M1389" s="12"/>
      <x:c r="N1389" s="12"/>
      <x:c r="O1389" s="12"/>
    </x:row>
    <x:row r="1390" ht="39" customHeight="1">
      <x:c r="A1390" s="12" t="str">
        <x:v>14256</x:v>
      </x:c>
      <x:c r="B1390" s="12" t="str">
        <x:v>19831</x:v>
      </x:c>
      <x:c r="C1390" s="12" t="str">
        <x:v>参考000</x:v>
      </x:c>
      <x:c r="D1390" s="12" t="str">
        <x:v>自动000</x:v>
      </x:c>
      <x:c r="E1390" s="12" t="n">
        <x:v>0</x:v>
      </x:c>
      <x:c r="F1390" s="12" t="n">
        <x:v>1</x:v>
      </x:c>
      <x:c r="G1390" s="12" t="n">
        <x:v>0</x:v>
      </x:c>
      <x:c r="H1390" s="12" t="n">
        <x:f>IF(SUM(I1390:K1390)&gt;0,1,0)</x:f>
        <x:v>0</x:v>
      </x:c>
      <x:c r="I1390" s="12" t="n">
        <x:f>IF('患者配对'!M1544="positive",1,0)</x:f>
        <x:v>0</x:v>
      </x:c>
      <x:c r="J1390" s="12" t="n">
        <x:f>IF('患者配对'!R1544="positive",1,0)</x:f>
        <x:v>0</x:v>
      </x:c>
      <x:c r="K1390" s="12" t="n">
        <x:f>IF('患者配对'!W1544="positive",1,0)</x:f>
        <x:v>0</x:v>
      </x:c>
      <x:c r="L1390" s="12" t="str">
        <x:v>由原件与原状态取得；仅主队列索引</x:v>
      </x:c>
      <x:c r="M1390" s="12"/>
      <x:c r="N1390" s="12"/>
      <x:c r="O1390" s="12"/>
    </x:row>
    <x:row r="1391" ht="39" customHeight="1">
      <x:c r="A1391" s="12" t="str">
        <x:v>14288</x:v>
      </x:c>
      <x:c r="B1391" s="12" t="str">
        <x:v>20185</x:v>
      </x:c>
      <x:c r="C1391" s="12" t="str">
        <x:v>参考000</x:v>
      </x:c>
      <x:c r="D1391" s="12" t="str">
        <x:v>自动000</x:v>
      </x:c>
      <x:c r="E1391" s="12" t="n">
        <x:v>0</x:v>
      </x:c>
      <x:c r="F1391" s="12" t="n">
        <x:v>0</x:v>
      </x:c>
      <x:c r="G1391" s="12" t="n">
        <x:v>0</x:v>
      </x:c>
      <x:c r="H1391" s="12" t="n">
        <x:f>IF(SUM(I1391:K1391)&gt;0,1,0)</x:f>
        <x:v>0</x:v>
      </x:c>
      <x:c r="I1391" s="12" t="n">
        <x:f>IF('患者配对'!M1545="positive",1,0)</x:f>
        <x:v>0</x:v>
      </x:c>
      <x:c r="J1391" s="12" t="n">
        <x:f>IF('患者配对'!R1545="positive",1,0)</x:f>
        <x:v>0</x:v>
      </x:c>
      <x:c r="K1391" s="12" t="n">
        <x:f>IF('患者配对'!W1545="positive",1,0)</x:f>
        <x:v>0</x:v>
      </x:c>
      <x:c r="L1391" s="12" t="str">
        <x:v>由原件与原状态取得；仅主队列索引</x:v>
      </x:c>
      <x:c r="M1391" s="12"/>
      <x:c r="N1391" s="12"/>
      <x:c r="O1391" s="12"/>
    </x:row>
    <x:row r="1392" ht="39" customHeight="1">
      <x:c r="A1392" s="12" t="str">
        <x:v>14301</x:v>
      </x:c>
      <x:c r="B1392" s="12" t="str">
        <x:v>12445</x:v>
      </x:c>
      <x:c r="C1392" s="12" t="str">
        <x:v>参考000</x:v>
      </x:c>
      <x:c r="D1392" s="12" t="str">
        <x:v>自动000</x:v>
      </x:c>
      <x:c r="E1392" s="12" t="n">
        <x:v>0</x:v>
      </x:c>
      <x:c r="F1392" s="12" t="n">
        <x:v>1</x:v>
      </x:c>
      <x:c r="G1392" s="12" t="n">
        <x:v>0</x:v>
      </x:c>
      <x:c r="H1392" s="12" t="n">
        <x:f>IF(SUM(I1392:K1392)&gt;0,1,0)</x:f>
        <x:v>0</x:v>
      </x:c>
      <x:c r="I1392" s="12" t="n">
        <x:f>IF('患者配对'!M1546="positive",1,0)</x:f>
        <x:v>0</x:v>
      </x:c>
      <x:c r="J1392" s="12" t="n">
        <x:f>IF('患者配对'!R1546="positive",1,0)</x:f>
        <x:v>0</x:v>
      </x:c>
      <x:c r="K1392" s="12" t="n">
        <x:f>IF('患者配对'!W1546="positive",1,0)</x:f>
        <x:v>0</x:v>
      </x:c>
      <x:c r="L1392" s="12" t="str">
        <x:v>由原件与原状态取得；仅主队列索引</x:v>
      </x:c>
      <x:c r="M1392" s="12"/>
      <x:c r="N1392" s="12"/>
      <x:c r="O1392" s="12"/>
    </x:row>
    <x:row r="1393" ht="39" customHeight="1">
      <x:c r="A1393" s="12" t="str">
        <x:v>14304</x:v>
      </x:c>
      <x:c r="B1393" s="12" t="str">
        <x:v>17745</x:v>
      </x:c>
      <x:c r="C1393" s="12" t="str">
        <x:v>参考000</x:v>
      </x:c>
      <x:c r="D1393" s="12" t="str">
        <x:v>自动000</x:v>
      </x:c>
      <x:c r="E1393" s="12" t="n">
        <x:v>0</x:v>
      </x:c>
      <x:c r="F1393" s="12" t="n">
        <x:v>0</x:v>
      </x:c>
      <x:c r="G1393" s="12" t="n">
        <x:v>0</x:v>
      </x:c>
      <x:c r="H1393" s="12" t="n">
        <x:f>IF(SUM(I1393:K1393)&gt;0,1,0)</x:f>
        <x:v>0</x:v>
      </x:c>
      <x:c r="I1393" s="12" t="n">
        <x:f>IF('患者配对'!M1547="positive",1,0)</x:f>
        <x:v>0</x:v>
      </x:c>
      <x:c r="J1393" s="12" t="n">
        <x:f>IF('患者配对'!R1547="positive",1,0)</x:f>
        <x:v>0</x:v>
      </x:c>
      <x:c r="K1393" s="12" t="n">
        <x:f>IF('患者配对'!W1547="positive",1,0)</x:f>
        <x:v>0</x:v>
      </x:c>
      <x:c r="L1393" s="12" t="str">
        <x:v>由原件与原状态取得；仅主队列索引</x:v>
      </x:c>
      <x:c r="M1393" s="12"/>
      <x:c r="N1393" s="12"/>
      <x:c r="O1393" s="12"/>
    </x:row>
    <x:row r="1394" ht="39" customHeight="1">
      <x:c r="A1394" s="12" t="str">
        <x:v>14314</x:v>
      </x:c>
      <x:c r="B1394" s="12" t="str">
        <x:v>16356</x:v>
      </x:c>
      <x:c r="C1394" s="12" t="str">
        <x:v>参考000</x:v>
      </x:c>
      <x:c r="D1394" s="12" t="str">
        <x:v>自动000</x:v>
      </x:c>
      <x:c r="E1394" s="12" t="n">
        <x:v>0</x:v>
      </x:c>
      <x:c r="F1394" s="12" t="n">
        <x:v>0</x:v>
      </x:c>
      <x:c r="G1394" s="12" t="n">
        <x:v>0</x:v>
      </x:c>
      <x:c r="H1394" s="12" t="n">
        <x:f>IF(SUM(I1394:K1394)&gt;0,1,0)</x:f>
        <x:v>0</x:v>
      </x:c>
      <x:c r="I1394" s="12" t="n">
        <x:f>IF('患者配对'!M1548="positive",1,0)</x:f>
        <x:v>0</x:v>
      </x:c>
      <x:c r="J1394" s="12" t="n">
        <x:f>IF('患者配对'!R1548="positive",1,0)</x:f>
        <x:v>0</x:v>
      </x:c>
      <x:c r="K1394" s="12" t="n">
        <x:f>IF('患者配对'!W1548="positive",1,0)</x:f>
        <x:v>0</x:v>
      </x:c>
      <x:c r="L1394" s="12" t="str">
        <x:v>由原件与原状态取得；仅主队列索引</x:v>
      </x:c>
      <x:c r="M1394" s="12"/>
      <x:c r="N1394" s="12"/>
      <x:c r="O1394" s="12"/>
    </x:row>
    <x:row r="1395" ht="39" customHeight="1">
      <x:c r="A1395" s="12" t="str">
        <x:v>14350</x:v>
      </x:c>
      <x:c r="B1395" s="12" t="str">
        <x:v>886</x:v>
      </x:c>
      <x:c r="C1395" s="12" t="str">
        <x:v>参考000</x:v>
      </x:c>
      <x:c r="D1395" s="12" t="str">
        <x:v>自动000</x:v>
      </x:c>
      <x:c r="E1395" s="12" t="n">
        <x:v>0</x:v>
      </x:c>
      <x:c r="F1395" s="12" t="n">
        <x:v>0</x:v>
      </x:c>
      <x:c r="G1395" s="12" t="n">
        <x:v>0</x:v>
      </x:c>
      <x:c r="H1395" s="12" t="n">
        <x:f>IF(SUM(I1395:K1395)&gt;0,1,0)</x:f>
        <x:v>0</x:v>
      </x:c>
      <x:c r="I1395" s="12" t="n">
        <x:f>IF('患者配对'!M1550="positive",1,0)</x:f>
        <x:v>0</x:v>
      </x:c>
      <x:c r="J1395" s="12" t="n">
        <x:f>IF('患者配对'!R1550="positive",1,0)</x:f>
        <x:v>0</x:v>
      </x:c>
      <x:c r="K1395" s="12" t="n">
        <x:f>IF('患者配对'!W1550="positive",1,0)</x:f>
        <x:v>0</x:v>
      </x:c>
      <x:c r="L1395" s="12" t="str">
        <x:v>由原件与原状态取得；仅主队列索引</x:v>
      </x:c>
      <x:c r="M1395" s="12"/>
      <x:c r="N1395" s="12"/>
      <x:c r="O1395" s="12"/>
    </x:row>
    <x:row r="1396" ht="39" customHeight="1">
      <x:c r="A1396" s="12" t="str">
        <x:v>14356</x:v>
      </x:c>
      <x:c r="B1396" s="12" t="str">
        <x:v>8024</x:v>
      </x:c>
      <x:c r="C1396" s="12" t="str">
        <x:v>参考000</x:v>
      </x:c>
      <x:c r="D1396" s="12" t="str">
        <x:v>自动000</x:v>
      </x:c>
      <x:c r="E1396" s="12" t="n">
        <x:v>0</x:v>
      </x:c>
      <x:c r="F1396" s="12" t="n">
        <x:v>0</x:v>
      </x:c>
      <x:c r="G1396" s="12" t="n">
        <x:v>0</x:v>
      </x:c>
      <x:c r="H1396" s="12" t="n">
        <x:f>IF(SUM(I1396:K1396)&gt;0,1,0)</x:f>
        <x:v>0</x:v>
      </x:c>
      <x:c r="I1396" s="12" t="n">
        <x:f>IF('患者配对'!M1551="positive",1,0)</x:f>
        <x:v>0</x:v>
      </x:c>
      <x:c r="J1396" s="12" t="n">
        <x:f>IF('患者配对'!R1551="positive",1,0)</x:f>
        <x:v>0</x:v>
      </x:c>
      <x:c r="K1396" s="12" t="n">
        <x:f>IF('患者配对'!W1551="positive",1,0)</x:f>
        <x:v>0</x:v>
      </x:c>
      <x:c r="L1396" s="12" t="str">
        <x:v>由原件与原状态取得；仅主队列索引</x:v>
      </x:c>
      <x:c r="M1396" s="12"/>
      <x:c r="N1396" s="12"/>
      <x:c r="O1396" s="12"/>
    </x:row>
    <x:row r="1397" ht="39" customHeight="1">
      <x:c r="A1397" s="12" t="str">
        <x:v>14375</x:v>
      </x:c>
      <x:c r="B1397" s="12" t="str">
        <x:v>3481</x:v>
      </x:c>
      <x:c r="C1397" s="12" t="str">
        <x:v>参考000</x:v>
      </x:c>
      <x:c r="D1397" s="12" t="str">
        <x:v>自动000</x:v>
      </x:c>
      <x:c r="E1397" s="12" t="n">
        <x:v>0</x:v>
      </x:c>
      <x:c r="F1397" s="12" t="n">
        <x:v>0</x:v>
      </x:c>
      <x:c r="G1397" s="12" t="n">
        <x:v>0</x:v>
      </x:c>
      <x:c r="H1397" s="12" t="n">
        <x:f>IF(SUM(I1397:K1397)&gt;0,1,0)</x:f>
        <x:v>0</x:v>
      </x:c>
      <x:c r="I1397" s="12" t="n">
        <x:f>IF('患者配对'!M1552="positive",1,0)</x:f>
        <x:v>0</x:v>
      </x:c>
      <x:c r="J1397" s="12" t="n">
        <x:f>IF('患者配对'!R1552="positive",1,0)</x:f>
        <x:v>0</x:v>
      </x:c>
      <x:c r="K1397" s="12" t="n">
        <x:f>IF('患者配对'!W1552="positive",1,0)</x:f>
        <x:v>0</x:v>
      </x:c>
      <x:c r="L1397" s="12" t="str">
        <x:v>由原件与原状态取得；仅主队列索引</x:v>
      </x:c>
      <x:c r="M1397" s="12"/>
      <x:c r="N1397" s="12"/>
      <x:c r="O1397" s="12"/>
    </x:row>
    <x:row r="1398" ht="39" customHeight="1">
      <x:c r="A1398" s="12" t="str">
        <x:v>14382</x:v>
      </x:c>
      <x:c r="B1398" s="12" t="str">
        <x:v>19439</x:v>
      </x:c>
      <x:c r="C1398" s="12" t="str">
        <x:v>参考100</x:v>
      </x:c>
      <x:c r="D1398" s="12" t="str">
        <x:v>自动100</x:v>
      </x:c>
      <x:c r="E1398" s="12" t="n">
        <x:v>1</x:v>
      </x:c>
      <x:c r="F1398" s="12" t="n">
        <x:v>1</x:v>
      </x:c>
      <x:c r="G1398" s="12" t="n">
        <x:v>0</x:v>
      </x:c>
      <x:c r="H1398" s="12" t="n">
        <x:f>IF(SUM(I1398:K1398)&gt;0,1,0)</x:f>
        <x:v>1</x:v>
      </x:c>
      <x:c r="I1398" s="12" t="n">
        <x:f>IF('患者配对'!M1553="positive",1,0)</x:f>
        <x:v>1</x:v>
      </x:c>
      <x:c r="J1398" s="12" t="n">
        <x:f>IF('患者配对'!R1553="positive",1,0)</x:f>
        <x:v>0</x:v>
      </x:c>
      <x:c r="K1398" s="12" t="n">
        <x:f>IF('患者配对'!W1553="positive",1,0)</x:f>
        <x:v>0</x:v>
      </x:c>
      <x:c r="L1398" s="12" t="str">
        <x:v>由原件与原状态取得；仅主队列索引</x:v>
      </x:c>
      <x:c r="M1398" s="12"/>
      <x:c r="N1398" s="12"/>
      <x:c r="O1398" s="12"/>
    </x:row>
    <x:row r="1399" ht="39" customHeight="1">
      <x:c r="A1399" s="12" t="str">
        <x:v>14384</x:v>
      </x:c>
      <x:c r="B1399" s="12" t="str">
        <x:v>5232</x:v>
      </x:c>
      <x:c r="C1399" s="12" t="str">
        <x:v>参考000</x:v>
      </x:c>
      <x:c r="D1399" s="12" t="str">
        <x:v>自动000</x:v>
      </x:c>
      <x:c r="E1399" s="12" t="n">
        <x:v>0</x:v>
      </x:c>
      <x:c r="F1399" s="12" t="n">
        <x:v>0</x:v>
      </x:c>
      <x:c r="G1399" s="12" t="n">
        <x:v>0</x:v>
      </x:c>
      <x:c r="H1399" s="12" t="n">
        <x:f>IF(SUM(I1399:K1399)&gt;0,1,0)</x:f>
        <x:v>0</x:v>
      </x:c>
      <x:c r="I1399" s="12" t="n">
        <x:f>IF('患者配对'!M1554="positive",1,0)</x:f>
        <x:v>0</x:v>
      </x:c>
      <x:c r="J1399" s="12" t="n">
        <x:f>IF('患者配对'!R1554="positive",1,0)</x:f>
        <x:v>0</x:v>
      </x:c>
      <x:c r="K1399" s="12" t="n">
        <x:f>IF('患者配对'!W1554="positive",1,0)</x:f>
        <x:v>0</x:v>
      </x:c>
      <x:c r="L1399" s="12" t="str">
        <x:v>由原件与原状态取得；仅主队列索引</x:v>
      </x:c>
      <x:c r="M1399" s="12"/>
      <x:c r="N1399" s="12"/>
      <x:c r="O1399" s="12"/>
    </x:row>
    <x:row r="1400" ht="39" customHeight="1">
      <x:c r="A1400" s="12" t="str">
        <x:v>14409</x:v>
      </x:c>
      <x:c r="B1400" s="12" t="str">
        <x:v>10835</x:v>
      </x:c>
      <x:c r="C1400" s="12" t="str">
        <x:v>参考000</x:v>
      </x:c>
      <x:c r="D1400" s="12" t="str">
        <x:v>自动000</x:v>
      </x:c>
      <x:c r="E1400" s="12" t="n">
        <x:v>0</x:v>
      </x:c>
      <x:c r="F1400" s="12" t="n">
        <x:v>1</x:v>
      </x:c>
      <x:c r="G1400" s="12" t="n">
        <x:v>0</x:v>
      </x:c>
      <x:c r="H1400" s="12" t="n">
        <x:f>IF(SUM(I1400:K1400)&gt;0,1,0)</x:f>
        <x:v>0</x:v>
      </x:c>
      <x:c r="I1400" s="12" t="n">
        <x:f>IF('患者配对'!M1557="positive",1,0)</x:f>
        <x:v>0</x:v>
      </x:c>
      <x:c r="J1400" s="12" t="n">
        <x:f>IF('患者配对'!R1557="positive",1,0)</x:f>
        <x:v>0</x:v>
      </x:c>
      <x:c r="K1400" s="12" t="n">
        <x:f>IF('患者配对'!W1557="positive",1,0)</x:f>
        <x:v>0</x:v>
      </x:c>
      <x:c r="L1400" s="12" t="str">
        <x:v>由原件与原状态取得；仅主队列索引</x:v>
      </x:c>
      <x:c r="M1400" s="12"/>
      <x:c r="N1400" s="12"/>
      <x:c r="O1400" s="12"/>
    </x:row>
    <x:row r="1401" ht="39" customHeight="1">
      <x:c r="A1401" s="12" t="str">
        <x:v>14427</x:v>
      </x:c>
      <x:c r="B1401" s="12" t="str">
        <x:v>15083</x:v>
      </x:c>
      <x:c r="C1401" s="12" t="str">
        <x:v>参考000</x:v>
      </x:c>
      <x:c r="D1401" s="12" t="str">
        <x:v>自动000</x:v>
      </x:c>
      <x:c r="E1401" s="12" t="n">
        <x:v>0</x:v>
      </x:c>
      <x:c r="F1401" s="12" t="n">
        <x:v>1</x:v>
      </x:c>
      <x:c r="G1401" s="12" t="n">
        <x:v>0</x:v>
      </x:c>
      <x:c r="H1401" s="12" t="n">
        <x:f>IF(SUM(I1401:K1401)&gt;0,1,0)</x:f>
        <x:v>0</x:v>
      </x:c>
      <x:c r="I1401" s="12" t="n">
        <x:f>IF('患者配对'!M1559="positive",1,0)</x:f>
        <x:v>0</x:v>
      </x:c>
      <x:c r="J1401" s="12" t="n">
        <x:f>IF('患者配对'!R1559="positive",1,0)</x:f>
        <x:v>0</x:v>
      </x:c>
      <x:c r="K1401" s="12" t="n">
        <x:f>IF('患者配对'!W1559="positive",1,0)</x:f>
        <x:v>0</x:v>
      </x:c>
      <x:c r="L1401" s="12" t="str">
        <x:v>由原件与原状态取得；仅主队列索引</x:v>
      </x:c>
      <x:c r="M1401" s="12"/>
      <x:c r="N1401" s="12"/>
      <x:c r="O1401" s="12"/>
    </x:row>
    <x:row r="1402" ht="39" customHeight="1">
      <x:c r="A1402" s="12" t="str">
        <x:v>14446</x:v>
      </x:c>
      <x:c r="B1402" s="12" t="str">
        <x:v>10914</x:v>
      </x:c>
      <x:c r="C1402" s="12" t="str">
        <x:v>参考100</x:v>
      </x:c>
      <x:c r="D1402" s="12" t="str">
        <x:v>自动100</x:v>
      </x:c>
      <x:c r="E1402" s="12" t="n">
        <x:v>1</x:v>
      </x:c>
      <x:c r="F1402" s="12" t="n">
        <x:v>1</x:v>
      </x:c>
      <x:c r="G1402" s="12" t="n">
        <x:v>0</x:v>
      </x:c>
      <x:c r="H1402" s="12" t="n">
        <x:f>IF(SUM(I1402:K1402)&gt;0,1,0)</x:f>
        <x:v>1</x:v>
      </x:c>
      <x:c r="I1402" s="12" t="n">
        <x:f>IF('患者配对'!M1560="positive",1,0)</x:f>
        <x:v>1</x:v>
      </x:c>
      <x:c r="J1402" s="12" t="n">
        <x:f>IF('患者配对'!R1560="positive",1,0)</x:f>
        <x:v>0</x:v>
      </x:c>
      <x:c r="K1402" s="12" t="n">
        <x:f>IF('患者配对'!W1560="positive",1,0)</x:f>
        <x:v>0</x:v>
      </x:c>
      <x:c r="L1402" s="12" t="str">
        <x:v>由原件与原状态取得；仅主队列索引</x:v>
      </x:c>
      <x:c r="M1402" s="12"/>
      <x:c r="N1402" s="12"/>
      <x:c r="O1402" s="12"/>
    </x:row>
    <x:row r="1403" ht="39" customHeight="1">
      <x:c r="A1403" s="12" t="str">
        <x:v>14448</x:v>
      </x:c>
      <x:c r="B1403" s="12" t="str">
        <x:v>671</x:v>
      </x:c>
      <x:c r="C1403" s="12" t="str">
        <x:v>参考000</x:v>
      </x:c>
      <x:c r="D1403" s="12" t="str">
        <x:v>自动000</x:v>
      </x:c>
      <x:c r="E1403" s="12" t="n">
        <x:v>0</x:v>
      </x:c>
      <x:c r="F1403" s="12" t="n">
        <x:v>0</x:v>
      </x:c>
      <x:c r="G1403" s="12" t="n">
        <x:v>0</x:v>
      </x:c>
      <x:c r="H1403" s="12" t="n">
        <x:f>IF(SUM(I1403:K1403)&gt;0,1,0)</x:f>
        <x:v>0</x:v>
      </x:c>
      <x:c r="I1403" s="12" t="n">
        <x:f>IF('患者配对'!M1561="positive",1,0)</x:f>
        <x:v>0</x:v>
      </x:c>
      <x:c r="J1403" s="12" t="n">
        <x:f>IF('患者配对'!R1561="positive",1,0)</x:f>
        <x:v>0</x:v>
      </x:c>
      <x:c r="K1403" s="12" t="n">
        <x:f>IF('患者配对'!W1561="positive",1,0)</x:f>
        <x:v>0</x:v>
      </x:c>
      <x:c r="L1403" s="12" t="str">
        <x:v>由原件与原状态取得；仅主队列索引</x:v>
      </x:c>
      <x:c r="M1403" s="12"/>
      <x:c r="N1403" s="12"/>
      <x:c r="O1403" s="12"/>
    </x:row>
    <x:row r="1404" ht="39" customHeight="1">
      <x:c r="A1404" s="12" t="str">
        <x:v>14457</x:v>
      </x:c>
      <x:c r="B1404" s="12" t="str">
        <x:v>1249</x:v>
      </x:c>
      <x:c r="C1404" s="12" t="str">
        <x:v>参考000</x:v>
      </x:c>
      <x:c r="D1404" s="12" t="str">
        <x:v>自动000</x:v>
      </x:c>
      <x:c r="E1404" s="12" t="n">
        <x:v>0</x:v>
      </x:c>
      <x:c r="F1404" s="12" t="n">
        <x:v>0</x:v>
      </x:c>
      <x:c r="G1404" s="12" t="n">
        <x:v>0</x:v>
      </x:c>
      <x:c r="H1404" s="12" t="n">
        <x:f>IF(SUM(I1404:K1404)&gt;0,1,0)</x:f>
        <x:v>0</x:v>
      </x:c>
      <x:c r="I1404" s="12" t="n">
        <x:f>IF('患者配对'!M1562="positive",1,0)</x:f>
        <x:v>0</x:v>
      </x:c>
      <x:c r="J1404" s="12" t="n">
        <x:f>IF('患者配对'!R1562="positive",1,0)</x:f>
        <x:v>0</x:v>
      </x:c>
      <x:c r="K1404" s="12" t="n">
        <x:f>IF('患者配对'!W1562="positive",1,0)</x:f>
        <x:v>0</x:v>
      </x:c>
      <x:c r="L1404" s="12" t="str">
        <x:v>由原件与原状态取得；仅主队列索引</x:v>
      </x:c>
      <x:c r="M1404" s="12"/>
      <x:c r="N1404" s="12"/>
      <x:c r="O1404" s="12"/>
    </x:row>
    <x:row r="1405" ht="39" customHeight="1">
      <x:c r="A1405" s="12" t="str">
        <x:v>14459</x:v>
      </x:c>
      <x:c r="B1405" s="12" t="str">
        <x:v>4594</x:v>
      </x:c>
      <x:c r="C1405" s="12" t="str">
        <x:v>参考000</x:v>
      </x:c>
      <x:c r="D1405" s="12" t="str">
        <x:v>自动000</x:v>
      </x:c>
      <x:c r="E1405" s="12" t="n">
        <x:v>0</x:v>
      </x:c>
      <x:c r="F1405" s="12" t="n">
        <x:v>0</x:v>
      </x:c>
      <x:c r="G1405" s="12" t="n">
        <x:v>0</x:v>
      </x:c>
      <x:c r="H1405" s="12" t="n">
        <x:f>IF(SUM(I1405:K1405)&gt;0,1,0)</x:f>
        <x:v>0</x:v>
      </x:c>
      <x:c r="I1405" s="12" t="n">
        <x:f>IF('患者配对'!M1563="positive",1,0)</x:f>
        <x:v>0</x:v>
      </x:c>
      <x:c r="J1405" s="12" t="n">
        <x:f>IF('患者配对'!R1563="positive",1,0)</x:f>
        <x:v>0</x:v>
      </x:c>
      <x:c r="K1405" s="12" t="n">
        <x:f>IF('患者配对'!W1563="positive",1,0)</x:f>
        <x:v>0</x:v>
      </x:c>
      <x:c r="L1405" s="12" t="str">
        <x:v>由原件与原状态取得；仅主队列索引</x:v>
      </x:c>
      <x:c r="M1405" s="12"/>
      <x:c r="N1405" s="12"/>
      <x:c r="O1405" s="12"/>
    </x:row>
    <x:row r="1406" ht="39" customHeight="1">
      <x:c r="A1406" s="12" t="str">
        <x:v>14501</x:v>
      </x:c>
      <x:c r="B1406" s="12" t="str">
        <x:v>1259</x:v>
      </x:c>
      <x:c r="C1406" s="12" t="str">
        <x:v>参考000</x:v>
      </x:c>
      <x:c r="D1406" s="12" t="str">
        <x:v>自动000</x:v>
      </x:c>
      <x:c r="E1406" s="12" t="n">
        <x:v>0</x:v>
      </x:c>
      <x:c r="F1406" s="12" t="n">
        <x:v>0</x:v>
      </x:c>
      <x:c r="G1406" s="12" t="n">
        <x:v>0</x:v>
      </x:c>
      <x:c r="H1406" s="12" t="n">
        <x:f>IF(SUM(I1406:K1406)&gt;0,1,0)</x:f>
        <x:v>0</x:v>
      </x:c>
      <x:c r="I1406" s="12" t="n">
        <x:f>IF('患者配对'!M1564="positive",1,0)</x:f>
        <x:v>0</x:v>
      </x:c>
      <x:c r="J1406" s="12" t="n">
        <x:f>IF('患者配对'!R1564="positive",1,0)</x:f>
        <x:v>0</x:v>
      </x:c>
      <x:c r="K1406" s="12" t="n">
        <x:f>IF('患者配对'!W1564="positive",1,0)</x:f>
        <x:v>0</x:v>
      </x:c>
      <x:c r="L1406" s="12" t="str">
        <x:v>由原件与原状态取得；仅主队列索引</x:v>
      </x:c>
      <x:c r="M1406" s="12"/>
      <x:c r="N1406" s="12"/>
      <x:c r="O1406" s="12"/>
    </x:row>
    <x:row r="1407" ht="39" customHeight="1">
      <x:c r="A1407" s="12" t="str">
        <x:v>14534</x:v>
      </x:c>
      <x:c r="B1407" s="12" t="str">
        <x:v>5360</x:v>
      </x:c>
      <x:c r="C1407" s="12" t="str">
        <x:v>参考001</x:v>
      </x:c>
      <x:c r="D1407" s="12" t="str">
        <x:v>自动001</x:v>
      </x:c>
      <x:c r="E1407" s="12" t="n">
        <x:v>1</x:v>
      </x:c>
      <x:c r="F1407" s="12" t="n">
        <x:v>1</x:v>
      </x:c>
      <x:c r="G1407" s="12" t="n">
        <x:v>0</x:v>
      </x:c>
      <x:c r="H1407" s="12" t="n">
        <x:f>IF(SUM(I1407:K1407)&gt;0,1,0)</x:f>
        <x:v>1</x:v>
      </x:c>
      <x:c r="I1407" s="12" t="n">
        <x:f>IF('患者配对'!M1565="positive",1,0)</x:f>
        <x:v>0</x:v>
      </x:c>
      <x:c r="J1407" s="12" t="n">
        <x:f>IF('患者配对'!R1565="positive",1,0)</x:f>
        <x:v>0</x:v>
      </x:c>
      <x:c r="K1407" s="12" t="n">
        <x:f>IF('患者配对'!W1565="positive",1,0)</x:f>
        <x:v>1</x:v>
      </x:c>
      <x:c r="L1407" s="12" t="str">
        <x:v>由原件与原状态取得；仅主队列索引</x:v>
      </x:c>
      <x:c r="M1407" s="12"/>
      <x:c r="N1407" s="12"/>
      <x:c r="O1407" s="12"/>
    </x:row>
    <x:row r="1408" ht="39" customHeight="1">
      <x:c r="A1408" s="12" t="str">
        <x:v>14565</x:v>
      </x:c>
      <x:c r="B1408" s="12" t="str">
        <x:v>5050</x:v>
      </x:c>
      <x:c r="C1408" s="12" t="str">
        <x:v>参考000</x:v>
      </x:c>
      <x:c r="D1408" s="12" t="str">
        <x:v>自动000</x:v>
      </x:c>
      <x:c r="E1408" s="12" t="n">
        <x:v>0</x:v>
      </x:c>
      <x:c r="F1408" s="12" t="n">
        <x:v>0</x:v>
      </x:c>
      <x:c r="G1408" s="12" t="n">
        <x:v>0</x:v>
      </x:c>
      <x:c r="H1408" s="12" t="n">
        <x:f>IF(SUM(I1408:K1408)&gt;0,1,0)</x:f>
        <x:v>0</x:v>
      </x:c>
      <x:c r="I1408" s="12" t="n">
        <x:f>IF('患者配对'!M1566="positive",1,0)</x:f>
        <x:v>0</x:v>
      </x:c>
      <x:c r="J1408" s="12" t="n">
        <x:f>IF('患者配对'!R1566="positive",1,0)</x:f>
        <x:v>0</x:v>
      </x:c>
      <x:c r="K1408" s="12" t="n">
        <x:f>IF('患者配对'!W1566="positive",1,0)</x:f>
        <x:v>0</x:v>
      </x:c>
      <x:c r="L1408" s="12" t="str">
        <x:v>由原件与原状态取得；仅主队列索引</x:v>
      </x:c>
      <x:c r="M1408" s="12"/>
      <x:c r="N1408" s="12"/>
      <x:c r="O1408" s="12"/>
    </x:row>
    <x:row r="1409" ht="39" customHeight="1">
      <x:c r="A1409" s="12" t="str">
        <x:v>14580</x:v>
      </x:c>
      <x:c r="B1409" s="12" t="str">
        <x:v>18701</x:v>
      </x:c>
      <x:c r="C1409" s="12" t="str">
        <x:v>参考000</x:v>
      </x:c>
      <x:c r="D1409" s="12" t="str">
        <x:v>自动000</x:v>
      </x:c>
      <x:c r="E1409" s="12" t="n">
        <x:v>0</x:v>
      </x:c>
      <x:c r="F1409" s="12" t="n">
        <x:v>0</x:v>
      </x:c>
      <x:c r="G1409" s="12" t="n">
        <x:v>0</x:v>
      </x:c>
      <x:c r="H1409" s="12" t="n">
        <x:f>IF(SUM(I1409:K1409)&gt;0,1,0)</x:f>
        <x:v>0</x:v>
      </x:c>
      <x:c r="I1409" s="12" t="n">
        <x:f>IF('患者配对'!M1567="positive",1,0)</x:f>
        <x:v>0</x:v>
      </x:c>
      <x:c r="J1409" s="12" t="n">
        <x:f>IF('患者配对'!R1567="positive",1,0)</x:f>
        <x:v>0</x:v>
      </x:c>
      <x:c r="K1409" s="12" t="n">
        <x:f>IF('患者配对'!W1567="positive",1,0)</x:f>
        <x:v>0</x:v>
      </x:c>
      <x:c r="L1409" s="12" t="str">
        <x:v>由原件与原状态取得；仅主队列索引</x:v>
      </x:c>
      <x:c r="M1409" s="12"/>
      <x:c r="N1409" s="12"/>
      <x:c r="O1409" s="12"/>
    </x:row>
    <x:row r="1410" ht="39" customHeight="1">
      <x:c r="A1410" s="12" t="str">
        <x:v>14585</x:v>
      </x:c>
      <x:c r="B1410" s="12" t="str">
        <x:v>10318</x:v>
      </x:c>
      <x:c r="C1410" s="12" t="str">
        <x:v>参考000</x:v>
      </x:c>
      <x:c r="D1410" s="12" t="str">
        <x:v>自动000</x:v>
      </x:c>
      <x:c r="E1410" s="12" t="n">
        <x:v>0</x:v>
      </x:c>
      <x:c r="F1410" s="12" t="n">
        <x:v>0</x:v>
      </x:c>
      <x:c r="G1410" s="12" t="n">
        <x:v>0</x:v>
      </x:c>
      <x:c r="H1410" s="12" t="n">
        <x:f>IF(SUM(I1410:K1410)&gt;0,1,0)</x:f>
        <x:v>0</x:v>
      </x:c>
      <x:c r="I1410" s="12" t="n">
        <x:f>IF('患者配对'!M1568="positive",1,0)</x:f>
        <x:v>0</x:v>
      </x:c>
      <x:c r="J1410" s="12" t="n">
        <x:f>IF('患者配对'!R1568="positive",1,0)</x:f>
        <x:v>0</x:v>
      </x:c>
      <x:c r="K1410" s="12" t="n">
        <x:f>IF('患者配对'!W1568="positive",1,0)</x:f>
        <x:v>0</x:v>
      </x:c>
      <x:c r="L1410" s="12" t="str">
        <x:v>由原件与原状态取得；仅主队列索引</x:v>
      </x:c>
      <x:c r="M1410" s="12"/>
      <x:c r="N1410" s="12"/>
      <x:c r="O1410" s="12"/>
    </x:row>
    <x:row r="1411" ht="39" customHeight="1">
      <x:c r="A1411" s="12" t="str">
        <x:v>14597</x:v>
      </x:c>
      <x:c r="B1411" s="12" t="str">
        <x:v>3367</x:v>
      </x:c>
      <x:c r="C1411" s="12" t="str">
        <x:v>参考000</x:v>
      </x:c>
      <x:c r="D1411" s="12" t="str">
        <x:v>自动000</x:v>
      </x:c>
      <x:c r="E1411" s="12" t="n">
        <x:v>0</x:v>
      </x:c>
      <x:c r="F1411" s="12" t="n">
        <x:v>0</x:v>
      </x:c>
      <x:c r="G1411" s="12" t="n">
        <x:v>0</x:v>
      </x:c>
      <x:c r="H1411" s="12" t="n">
        <x:f>IF(SUM(I1411:K1411)&gt;0,1,0)</x:f>
        <x:v>0</x:v>
      </x:c>
      <x:c r="I1411" s="12" t="n">
        <x:f>IF('患者配对'!M1569="positive",1,0)</x:f>
        <x:v>0</x:v>
      </x:c>
      <x:c r="J1411" s="12" t="n">
        <x:f>IF('患者配对'!R1569="positive",1,0)</x:f>
        <x:v>0</x:v>
      </x:c>
      <x:c r="K1411" s="12" t="n">
        <x:f>IF('患者配对'!W1569="positive",1,0)</x:f>
        <x:v>0</x:v>
      </x:c>
      <x:c r="L1411" s="12" t="str">
        <x:v>由原件与原状态取得；仅主队列索引</x:v>
      </x:c>
      <x:c r="M1411" s="12"/>
      <x:c r="N1411" s="12"/>
      <x:c r="O1411" s="12"/>
    </x:row>
    <x:row r="1412" ht="39" customHeight="1">
      <x:c r="A1412" s="12" t="str">
        <x:v>14613</x:v>
      </x:c>
      <x:c r="B1412" s="12" t="str">
        <x:v>5999</x:v>
      </x:c>
      <x:c r="C1412" s="12" t="str">
        <x:v>参考000</x:v>
      </x:c>
      <x:c r="D1412" s="12" t="str">
        <x:v>自动000</x:v>
      </x:c>
      <x:c r="E1412" s="12" t="n">
        <x:v>0</x:v>
      </x:c>
      <x:c r="F1412" s="12" t="n">
        <x:v>0</x:v>
      </x:c>
      <x:c r="G1412" s="12" t="n">
        <x:v>0</x:v>
      </x:c>
      <x:c r="H1412" s="12" t="n">
        <x:f>IF(SUM(I1412:K1412)&gt;0,1,0)</x:f>
        <x:v>0</x:v>
      </x:c>
      <x:c r="I1412" s="12" t="n">
        <x:f>IF('患者配对'!M1570="positive",1,0)</x:f>
        <x:v>0</x:v>
      </x:c>
      <x:c r="J1412" s="12" t="n">
        <x:f>IF('患者配对'!R1570="positive",1,0)</x:f>
        <x:v>0</x:v>
      </x:c>
      <x:c r="K1412" s="12" t="n">
        <x:f>IF('患者配对'!W1570="positive",1,0)</x:f>
        <x:v>0</x:v>
      </x:c>
      <x:c r="L1412" s="12" t="str">
        <x:v>由原件与原状态取得；仅主队列索引</x:v>
      </x:c>
      <x:c r="M1412" s="12"/>
      <x:c r="N1412" s="12"/>
      <x:c r="O1412" s="12"/>
    </x:row>
    <x:row r="1413" ht="39" customHeight="1">
      <x:c r="A1413" s="12" t="str">
        <x:v>14620</x:v>
      </x:c>
      <x:c r="B1413" s="12" t="str">
        <x:v>4953</x:v>
      </x:c>
      <x:c r="C1413" s="12" t="str">
        <x:v>参考000</x:v>
      </x:c>
      <x:c r="D1413" s="12" t="str">
        <x:v>自动000</x:v>
      </x:c>
      <x:c r="E1413" s="12" t="n">
        <x:v>0</x:v>
      </x:c>
      <x:c r="F1413" s="12" t="n">
        <x:v>0</x:v>
      </x:c>
      <x:c r="G1413" s="12" t="n">
        <x:v>0</x:v>
      </x:c>
      <x:c r="H1413" s="12" t="n">
        <x:f>IF(SUM(I1413:K1413)&gt;0,1,0)</x:f>
        <x:v>0</x:v>
      </x:c>
      <x:c r="I1413" s="12" t="n">
        <x:f>IF('患者配对'!M1571="positive",1,0)</x:f>
        <x:v>0</x:v>
      </x:c>
      <x:c r="J1413" s="12" t="n">
        <x:f>IF('患者配对'!R1571="positive",1,0)</x:f>
        <x:v>0</x:v>
      </x:c>
      <x:c r="K1413" s="12" t="n">
        <x:f>IF('患者配对'!W1571="positive",1,0)</x:f>
        <x:v>0</x:v>
      </x:c>
      <x:c r="L1413" s="12" t="str">
        <x:v>由原件与原状态取得；仅主队列索引</x:v>
      </x:c>
      <x:c r="M1413" s="12"/>
      <x:c r="N1413" s="12"/>
      <x:c r="O1413" s="12"/>
    </x:row>
    <x:row r="1414" ht="39" customHeight="1">
      <x:c r="A1414" s="12" t="str">
        <x:v>14627</x:v>
      </x:c>
      <x:c r="B1414" s="12" t="str">
        <x:v>18620</x:v>
      </x:c>
      <x:c r="C1414" s="12" t="str">
        <x:v>参考000</x:v>
      </x:c>
      <x:c r="D1414" s="12" t="str">
        <x:v>自动000</x:v>
      </x:c>
      <x:c r="E1414" s="12" t="n">
        <x:v>0</x:v>
      </x:c>
      <x:c r="F1414" s="12" t="n">
        <x:v>1</x:v>
      </x:c>
      <x:c r="G1414" s="12" t="n">
        <x:v>0</x:v>
      </x:c>
      <x:c r="H1414" s="12" t="n">
        <x:f>IF(SUM(I1414:K1414)&gt;0,1,0)</x:f>
        <x:v>0</x:v>
      </x:c>
      <x:c r="I1414" s="12" t="n">
        <x:f>IF('患者配对'!M1572="positive",1,0)</x:f>
        <x:v>0</x:v>
      </x:c>
      <x:c r="J1414" s="12" t="n">
        <x:f>IF('患者配对'!R1572="positive",1,0)</x:f>
        <x:v>0</x:v>
      </x:c>
      <x:c r="K1414" s="12" t="n">
        <x:f>IF('患者配对'!W1572="positive",1,0)</x:f>
        <x:v>0</x:v>
      </x:c>
      <x:c r="L1414" s="12" t="str">
        <x:v>由原件与原状态取得；仅主队列索引</x:v>
      </x:c>
      <x:c r="M1414" s="12"/>
      <x:c r="N1414" s="12"/>
      <x:c r="O1414" s="12"/>
    </x:row>
    <x:row r="1415" ht="39" customHeight="1">
      <x:c r="A1415" s="12" t="str">
        <x:v>14628</x:v>
      </x:c>
      <x:c r="B1415" s="12" t="str">
        <x:v>9761</x:v>
      </x:c>
      <x:c r="C1415" s="12" t="str">
        <x:v>参考100</x:v>
      </x:c>
      <x:c r="D1415" s="12" t="str">
        <x:v>自动000</x:v>
      </x:c>
      <x:c r="E1415" s="12" t="n">
        <x:v>0</x:v>
      </x:c>
      <x:c r="F1415" s="12" t="n">
        <x:v>0</x:v>
      </x:c>
      <x:c r="G1415" s="12" t="n">
        <x:v>1</x:v>
      </x:c>
      <x:c r="H1415" s="12" t="n">
        <x:f>IF(SUM(I1415:K1415)&gt;0,1,0)</x:f>
        <x:v>1</x:v>
      </x:c>
      <x:c r="I1415" s="12" t="n">
        <x:f>IF('患者配对'!M1573="positive",1,0)</x:f>
        <x:v>1</x:v>
      </x:c>
      <x:c r="J1415" s="12" t="n">
        <x:f>IF('患者配对'!R1573="positive",1,0)</x:f>
        <x:v>0</x:v>
      </x:c>
      <x:c r="K1415" s="12" t="n">
        <x:f>IF('患者配对'!W1573="positive",1,0)</x:f>
        <x:v>0</x:v>
      </x:c>
      <x:c r="L1415" s="12" t="str">
        <x:v>由原件与原状态取得；仅主队列索引</x:v>
      </x:c>
      <x:c r="M1415" s="12"/>
      <x:c r="N1415" s="12"/>
      <x:c r="O1415" s="12"/>
    </x:row>
    <x:row r="1416" ht="39" customHeight="1">
      <x:c r="A1416" s="12" t="str">
        <x:v>14634</x:v>
      </x:c>
      <x:c r="B1416" s="12" t="str">
        <x:v>1535</x:v>
      </x:c>
      <x:c r="C1416" s="12" t="str">
        <x:v>参考000</x:v>
      </x:c>
      <x:c r="D1416" s="12" t="str">
        <x:v>自动000</x:v>
      </x:c>
      <x:c r="E1416" s="12" t="n">
        <x:v>0</x:v>
      </x:c>
      <x:c r="F1416" s="12" t="n">
        <x:v>0</x:v>
      </x:c>
      <x:c r="G1416" s="12" t="n">
        <x:v>0</x:v>
      </x:c>
      <x:c r="H1416" s="12" t="n">
        <x:f>IF(SUM(I1416:K1416)&gt;0,1,0)</x:f>
        <x:v>0</x:v>
      </x:c>
      <x:c r="I1416" s="12" t="n">
        <x:f>IF('患者配对'!M1574="positive",1,0)</x:f>
        <x:v>0</x:v>
      </x:c>
      <x:c r="J1416" s="12" t="n">
        <x:f>IF('患者配对'!R1574="positive",1,0)</x:f>
        <x:v>0</x:v>
      </x:c>
      <x:c r="K1416" s="12" t="n">
        <x:f>IF('患者配对'!W1574="positive",1,0)</x:f>
        <x:v>0</x:v>
      </x:c>
      <x:c r="L1416" s="12" t="str">
        <x:v>由原件与原状态取得；仅主队列索引</x:v>
      </x:c>
      <x:c r="M1416" s="12"/>
      <x:c r="N1416" s="12"/>
      <x:c r="O1416" s="12"/>
    </x:row>
    <x:row r="1417" ht="39" customHeight="1">
      <x:c r="A1417" s="12" t="str">
        <x:v>14637</x:v>
      </x:c>
      <x:c r="B1417" s="12" t="str">
        <x:v>3841</x:v>
      </x:c>
      <x:c r="C1417" s="12" t="str">
        <x:v>参考000</x:v>
      </x:c>
      <x:c r="D1417" s="12" t="str">
        <x:v>自动000</x:v>
      </x:c>
      <x:c r="E1417" s="12" t="n">
        <x:v>0</x:v>
      </x:c>
      <x:c r="F1417" s="12" t="n">
        <x:v>0</x:v>
      </x:c>
      <x:c r="G1417" s="12" t="n">
        <x:v>0</x:v>
      </x:c>
      <x:c r="H1417" s="12" t="n">
        <x:f>IF(SUM(I1417:K1417)&gt;0,1,0)</x:f>
        <x:v>0</x:v>
      </x:c>
      <x:c r="I1417" s="12" t="n">
        <x:f>IF('患者配对'!M1575="positive",1,0)</x:f>
        <x:v>0</x:v>
      </x:c>
      <x:c r="J1417" s="12" t="n">
        <x:f>IF('患者配对'!R1575="positive",1,0)</x:f>
        <x:v>0</x:v>
      </x:c>
      <x:c r="K1417" s="12" t="n">
        <x:f>IF('患者配对'!W1575="positive",1,0)</x:f>
        <x:v>0</x:v>
      </x:c>
      <x:c r="L1417" s="12" t="str">
        <x:v>由原件与原状态取得；仅主队列索引</x:v>
      </x:c>
      <x:c r="M1417" s="12"/>
      <x:c r="N1417" s="12"/>
      <x:c r="O1417" s="12"/>
    </x:row>
    <x:row r="1418" ht="39" customHeight="1">
      <x:c r="A1418" s="12" t="str">
        <x:v>14647</x:v>
      </x:c>
      <x:c r="B1418" s="12" t="str">
        <x:v>7777</x:v>
      </x:c>
      <x:c r="C1418" s="12" t="str">
        <x:v>参考000</x:v>
      </x:c>
      <x:c r="D1418" s="12" t="str">
        <x:v>自动000</x:v>
      </x:c>
      <x:c r="E1418" s="12" t="n">
        <x:v>0</x:v>
      </x:c>
      <x:c r="F1418" s="12" t="n">
        <x:v>0</x:v>
      </x:c>
      <x:c r="G1418" s="12" t="n">
        <x:v>0</x:v>
      </x:c>
      <x:c r="H1418" s="12" t="n">
        <x:f>IF(SUM(I1418:K1418)&gt;0,1,0)</x:f>
        <x:v>0</x:v>
      </x:c>
      <x:c r="I1418" s="12" t="n">
        <x:f>IF('患者配对'!M1576="positive",1,0)</x:f>
        <x:v>0</x:v>
      </x:c>
      <x:c r="J1418" s="12" t="n">
        <x:f>IF('患者配对'!R1576="positive",1,0)</x:f>
        <x:v>0</x:v>
      </x:c>
      <x:c r="K1418" s="12" t="n">
        <x:f>IF('患者配对'!W1576="positive",1,0)</x:f>
        <x:v>0</x:v>
      </x:c>
      <x:c r="L1418" s="12" t="str">
        <x:v>由原件与原状态取得；仅主队列索引</x:v>
      </x:c>
      <x:c r="M1418" s="12"/>
      <x:c r="N1418" s="12"/>
      <x:c r="O1418" s="12"/>
    </x:row>
    <x:row r="1419" ht="39" customHeight="1">
      <x:c r="A1419" s="12" t="str">
        <x:v>14662</x:v>
      </x:c>
      <x:c r="B1419" s="12" t="str">
        <x:v>6658</x:v>
      </x:c>
      <x:c r="C1419" s="12" t="str">
        <x:v>参考000</x:v>
      </x:c>
      <x:c r="D1419" s="12" t="str">
        <x:v>自动000</x:v>
      </x:c>
      <x:c r="E1419" s="12" t="n">
        <x:v>0</x:v>
      </x:c>
      <x:c r="F1419" s="12" t="n">
        <x:v>0</x:v>
      </x:c>
      <x:c r="G1419" s="12" t="n">
        <x:v>0</x:v>
      </x:c>
      <x:c r="H1419" s="12" t="n">
        <x:f>IF(SUM(I1419:K1419)&gt;0,1,0)</x:f>
        <x:v>0</x:v>
      </x:c>
      <x:c r="I1419" s="12" t="n">
        <x:f>IF('患者配对'!M1577="positive",1,0)</x:f>
        <x:v>0</x:v>
      </x:c>
      <x:c r="J1419" s="12" t="n">
        <x:f>IF('患者配对'!R1577="positive",1,0)</x:f>
        <x:v>0</x:v>
      </x:c>
      <x:c r="K1419" s="12" t="n">
        <x:f>IF('患者配对'!W1577="positive",1,0)</x:f>
        <x:v>0</x:v>
      </x:c>
      <x:c r="L1419" s="12" t="str">
        <x:v>由原件与原状态取得；仅主队列索引</x:v>
      </x:c>
      <x:c r="M1419" s="12"/>
      <x:c r="N1419" s="12"/>
      <x:c r="O1419" s="12"/>
    </x:row>
    <x:row r="1420" ht="39" customHeight="1">
      <x:c r="A1420" s="12" t="str">
        <x:v>14667</x:v>
      </x:c>
      <x:c r="B1420" s="12" t="str">
        <x:v>6901</x:v>
      </x:c>
      <x:c r="C1420" s="12" t="str">
        <x:v>参考000</x:v>
      </x:c>
      <x:c r="D1420" s="12" t="str">
        <x:v>自动000</x:v>
      </x:c>
      <x:c r="E1420" s="12" t="n">
        <x:v>0</x:v>
      </x:c>
      <x:c r="F1420" s="12" t="n">
        <x:v>0</x:v>
      </x:c>
      <x:c r="G1420" s="12" t="n">
        <x:v>0</x:v>
      </x:c>
      <x:c r="H1420" s="12" t="n">
        <x:f>IF(SUM(I1420:K1420)&gt;0,1,0)</x:f>
        <x:v>0</x:v>
      </x:c>
      <x:c r="I1420" s="12" t="n">
        <x:f>IF('患者配对'!M1578="positive",1,0)</x:f>
        <x:v>0</x:v>
      </x:c>
      <x:c r="J1420" s="12" t="n">
        <x:f>IF('患者配对'!R1578="positive",1,0)</x:f>
        <x:v>0</x:v>
      </x:c>
      <x:c r="K1420" s="12" t="n">
        <x:f>IF('患者配对'!W1578="positive",1,0)</x:f>
        <x:v>0</x:v>
      </x:c>
      <x:c r="L1420" s="12" t="str">
        <x:v>由原件与原状态取得；仅主队列索引</x:v>
      </x:c>
      <x:c r="M1420" s="12"/>
      <x:c r="N1420" s="12"/>
      <x:c r="O1420" s="12"/>
    </x:row>
    <x:row r="1421" ht="39" customHeight="1">
      <x:c r="A1421" s="12" t="str">
        <x:v>14670</x:v>
      </x:c>
      <x:c r="B1421" s="12" t="str">
        <x:v>740</x:v>
      </x:c>
      <x:c r="C1421" s="12" t="str">
        <x:v>参考000</x:v>
      </x:c>
      <x:c r="D1421" s="12" t="str">
        <x:v>自动000</x:v>
      </x:c>
      <x:c r="E1421" s="12" t="n">
        <x:v>0</x:v>
      </x:c>
      <x:c r="F1421" s="12" t="n">
        <x:v>0</x:v>
      </x:c>
      <x:c r="G1421" s="12" t="n">
        <x:v>0</x:v>
      </x:c>
      <x:c r="H1421" s="12" t="n">
        <x:f>IF(SUM(I1421:K1421)&gt;0,1,0)</x:f>
        <x:v>0</x:v>
      </x:c>
      <x:c r="I1421" s="12" t="n">
        <x:f>IF('患者配对'!M1579="positive",1,0)</x:f>
        <x:v>0</x:v>
      </x:c>
      <x:c r="J1421" s="12" t="n">
        <x:f>IF('患者配对'!R1579="positive",1,0)</x:f>
        <x:v>0</x:v>
      </x:c>
      <x:c r="K1421" s="12" t="n">
        <x:f>IF('患者配对'!W1579="positive",1,0)</x:f>
        <x:v>0</x:v>
      </x:c>
      <x:c r="L1421" s="12" t="str">
        <x:v>由原件与原状态取得；仅主队列索引</x:v>
      </x:c>
      <x:c r="M1421" s="12"/>
      <x:c r="N1421" s="12"/>
      <x:c r="O1421" s="12"/>
    </x:row>
    <x:row r="1422" ht="39" customHeight="1">
      <x:c r="A1422" s="12" t="str">
        <x:v>14674</x:v>
      </x:c>
      <x:c r="B1422" s="12" t="str">
        <x:v>7737</x:v>
      </x:c>
      <x:c r="C1422" s="12" t="str">
        <x:v>参考000</x:v>
      </x:c>
      <x:c r="D1422" s="12" t="str">
        <x:v>自动000</x:v>
      </x:c>
      <x:c r="E1422" s="12" t="n">
        <x:v>0</x:v>
      </x:c>
      <x:c r="F1422" s="12" t="n">
        <x:v>1</x:v>
      </x:c>
      <x:c r="G1422" s="12" t="n">
        <x:v>0</x:v>
      </x:c>
      <x:c r="H1422" s="12" t="n">
        <x:f>IF(SUM(I1422:K1422)&gt;0,1,0)</x:f>
        <x:v>0</x:v>
      </x:c>
      <x:c r="I1422" s="12" t="n">
        <x:f>IF('患者配对'!M1580="positive",1,0)</x:f>
        <x:v>0</x:v>
      </x:c>
      <x:c r="J1422" s="12" t="n">
        <x:f>IF('患者配对'!R1580="positive",1,0)</x:f>
        <x:v>0</x:v>
      </x:c>
      <x:c r="K1422" s="12" t="n">
        <x:f>IF('患者配对'!W1580="positive",1,0)</x:f>
        <x:v>0</x:v>
      </x:c>
      <x:c r="L1422" s="12" t="str">
        <x:v>由原件与原状态取得；仅主队列索引</x:v>
      </x:c>
      <x:c r="M1422" s="12"/>
      <x:c r="N1422" s="12"/>
      <x:c r="O1422" s="12"/>
    </x:row>
    <x:row r="1423" ht="39" customHeight="1">
      <x:c r="A1423" s="12" t="str">
        <x:v>14678</x:v>
      </x:c>
      <x:c r="B1423" s="12" t="str">
        <x:v>5657</x:v>
      </x:c>
      <x:c r="C1423" s="12" t="str">
        <x:v>参考000</x:v>
      </x:c>
      <x:c r="D1423" s="12" t="str">
        <x:v>自动001</x:v>
      </x:c>
      <x:c r="E1423" s="12" t="n">
        <x:v>1</x:v>
      </x:c>
      <x:c r="F1423" s="12" t="n">
        <x:v>1</x:v>
      </x:c>
      <x:c r="G1423" s="12" t="n">
        <x:v>1</x:v>
      </x:c>
      <x:c r="H1423" s="12" t="n">
        <x:f>IF(SUM(I1423:K1423)&gt;0,1,0)</x:f>
        <x:v>0</x:v>
      </x:c>
      <x:c r="I1423" s="12" t="n">
        <x:f>IF('患者配对'!M1581="positive",1,0)</x:f>
        <x:v>0</x:v>
      </x:c>
      <x:c r="J1423" s="12" t="n">
        <x:f>IF('患者配对'!R1581="positive",1,0)</x:f>
        <x:v>0</x:v>
      </x:c>
      <x:c r="K1423" s="12" t="n">
        <x:f>IF('患者配对'!W1581="positive",1,0)</x:f>
        <x:v>0</x:v>
      </x:c>
      <x:c r="L1423" s="12" t="str">
        <x:v>由原件与原状态取得；仅主队列索引</x:v>
      </x:c>
      <x:c r="M1423" s="12"/>
      <x:c r="N1423" s="12"/>
      <x:c r="O1423" s="12"/>
    </x:row>
    <x:row r="1424" ht="39" customHeight="1">
      <x:c r="A1424" s="12" t="str">
        <x:v>14713</x:v>
      </x:c>
      <x:c r="B1424" s="12" t="str">
        <x:v>9124</x:v>
      </x:c>
      <x:c r="C1424" s="12" t="str">
        <x:v>参考000</x:v>
      </x:c>
      <x:c r="D1424" s="12" t="str">
        <x:v>自动000</x:v>
      </x:c>
      <x:c r="E1424" s="12" t="n">
        <x:v>0</x:v>
      </x:c>
      <x:c r="F1424" s="12" t="n">
        <x:v>0</x:v>
      </x:c>
      <x:c r="G1424" s="12" t="n">
        <x:v>0</x:v>
      </x:c>
      <x:c r="H1424" s="12" t="n">
        <x:f>IF(SUM(I1424:K1424)&gt;0,1,0)</x:f>
        <x:v>0</x:v>
      </x:c>
      <x:c r="I1424" s="12" t="n">
        <x:f>IF('患者配对'!M1582="positive",1,0)</x:f>
        <x:v>0</x:v>
      </x:c>
      <x:c r="J1424" s="12" t="n">
        <x:f>IF('患者配对'!R1582="positive",1,0)</x:f>
        <x:v>0</x:v>
      </x:c>
      <x:c r="K1424" s="12" t="n">
        <x:f>IF('患者配对'!W1582="positive",1,0)</x:f>
        <x:v>0</x:v>
      </x:c>
      <x:c r="L1424" s="12" t="str">
        <x:v>由原件与原状态取得；仅主队列索引</x:v>
      </x:c>
      <x:c r="M1424" s="12"/>
      <x:c r="N1424" s="12"/>
      <x:c r="O1424" s="12"/>
    </x:row>
    <x:row r="1425" ht="39" customHeight="1">
      <x:c r="A1425" s="12" t="str">
        <x:v>14729</x:v>
      </x:c>
      <x:c r="B1425" s="12" t="str">
        <x:v>2619</x:v>
      </x:c>
      <x:c r="C1425" s="12" t="str">
        <x:v>参考000</x:v>
      </x:c>
      <x:c r="D1425" s="12" t="str">
        <x:v>自动000</x:v>
      </x:c>
      <x:c r="E1425" s="12" t="n">
        <x:v>0</x:v>
      </x:c>
      <x:c r="F1425" s="12" t="n">
        <x:v>1</x:v>
      </x:c>
      <x:c r="G1425" s="12" t="n">
        <x:v>0</x:v>
      </x:c>
      <x:c r="H1425" s="12" t="n">
        <x:f>IF(SUM(I1425:K1425)&gt;0,1,0)</x:f>
        <x:v>0</x:v>
      </x:c>
      <x:c r="I1425" s="12" t="n">
        <x:f>IF('患者配对'!M1583="positive",1,0)</x:f>
        <x:v>0</x:v>
      </x:c>
      <x:c r="J1425" s="12" t="n">
        <x:f>IF('患者配对'!R1583="positive",1,0)</x:f>
        <x:v>0</x:v>
      </x:c>
      <x:c r="K1425" s="12" t="n">
        <x:f>IF('患者配对'!W1583="positive",1,0)</x:f>
        <x:v>0</x:v>
      </x:c>
      <x:c r="L1425" s="12" t="str">
        <x:v>由原件与原状态取得；仅主队列索引</x:v>
      </x:c>
      <x:c r="M1425" s="12"/>
      <x:c r="N1425" s="12"/>
      <x:c r="O1425" s="12"/>
    </x:row>
    <x:row r="1426" ht="39" customHeight="1">
      <x:c r="A1426" s="12" t="str">
        <x:v>14731</x:v>
      </x:c>
      <x:c r="B1426" s="12" t="str">
        <x:v>18540</x:v>
      </x:c>
      <x:c r="C1426" s="12" t="str">
        <x:v>参考100</x:v>
      </x:c>
      <x:c r="D1426" s="12" t="str">
        <x:v>自动100</x:v>
      </x:c>
      <x:c r="E1426" s="12" t="n">
        <x:v>1</x:v>
      </x:c>
      <x:c r="F1426" s="12" t="n">
        <x:v>1</x:v>
      </x:c>
      <x:c r="G1426" s="12" t="n">
        <x:v>0</x:v>
      </x:c>
      <x:c r="H1426" s="12" t="n">
        <x:f>IF(SUM(I1426:K1426)&gt;0,1,0)</x:f>
        <x:v>1</x:v>
      </x:c>
      <x:c r="I1426" s="12" t="n">
        <x:f>IF('患者配对'!M1584="positive",1,0)</x:f>
        <x:v>1</x:v>
      </x:c>
      <x:c r="J1426" s="12" t="n">
        <x:f>IF('患者配对'!R1584="positive",1,0)</x:f>
        <x:v>0</x:v>
      </x:c>
      <x:c r="K1426" s="12" t="n">
        <x:f>IF('患者配对'!W1584="positive",1,0)</x:f>
        <x:v>0</x:v>
      </x:c>
      <x:c r="L1426" s="12" t="str">
        <x:v>由原件与原状态取得；仅主队列索引</x:v>
      </x:c>
      <x:c r="M1426" s="12"/>
      <x:c r="N1426" s="12"/>
      <x:c r="O1426" s="12"/>
    </x:row>
    <x:row r="1427" ht="39" customHeight="1">
      <x:c r="A1427" s="12" t="str">
        <x:v>14745</x:v>
      </x:c>
      <x:c r="B1427" s="12" t="str">
        <x:v>5527</x:v>
      </x:c>
      <x:c r="C1427" s="12" t="str">
        <x:v>参考000</x:v>
      </x:c>
      <x:c r="D1427" s="12" t="str">
        <x:v>自动000</x:v>
      </x:c>
      <x:c r="E1427" s="12" t="n">
        <x:v>0</x:v>
      </x:c>
      <x:c r="F1427" s="12" t="n">
        <x:v>0</x:v>
      </x:c>
      <x:c r="G1427" s="12" t="n">
        <x:v>0</x:v>
      </x:c>
      <x:c r="H1427" s="12" t="n">
        <x:f>IF(SUM(I1427:K1427)&gt;0,1,0)</x:f>
        <x:v>0</x:v>
      </x:c>
      <x:c r="I1427" s="12" t="n">
        <x:f>IF('患者配对'!M1585="positive",1,0)</x:f>
        <x:v>0</x:v>
      </x:c>
      <x:c r="J1427" s="12" t="n">
        <x:f>IF('患者配对'!R1585="positive",1,0)</x:f>
        <x:v>0</x:v>
      </x:c>
      <x:c r="K1427" s="12" t="n">
        <x:f>IF('患者配对'!W1585="positive",1,0)</x:f>
        <x:v>0</x:v>
      </x:c>
      <x:c r="L1427" s="12" t="str">
        <x:v>由原件与原状态取得；仅主队列索引</x:v>
      </x:c>
      <x:c r="M1427" s="12"/>
      <x:c r="N1427" s="12"/>
      <x:c r="O1427" s="12"/>
    </x:row>
    <x:row r="1428" ht="39" customHeight="1">
      <x:c r="A1428" s="12" t="str">
        <x:v>14746</x:v>
      </x:c>
      <x:c r="B1428" s="12" t="str">
        <x:v>7097</x:v>
      </x:c>
      <x:c r="C1428" s="12" t="str">
        <x:v>参考000</x:v>
      </x:c>
      <x:c r="D1428" s="12" t="str">
        <x:v>自动000</x:v>
      </x:c>
      <x:c r="E1428" s="12" t="n">
        <x:v>0</x:v>
      </x:c>
      <x:c r="F1428" s="12" t="n">
        <x:v>0</x:v>
      </x:c>
      <x:c r="G1428" s="12" t="n">
        <x:v>0</x:v>
      </x:c>
      <x:c r="H1428" s="12" t="n">
        <x:f>IF(SUM(I1428:K1428)&gt;0,1,0)</x:f>
        <x:v>0</x:v>
      </x:c>
      <x:c r="I1428" s="12" t="n">
        <x:f>IF('患者配对'!M1586="positive",1,0)</x:f>
        <x:v>0</x:v>
      </x:c>
      <x:c r="J1428" s="12" t="n">
        <x:f>IF('患者配对'!R1586="positive",1,0)</x:f>
        <x:v>0</x:v>
      </x:c>
      <x:c r="K1428" s="12" t="n">
        <x:f>IF('患者配对'!W1586="positive",1,0)</x:f>
        <x:v>0</x:v>
      </x:c>
      <x:c r="L1428" s="12" t="str">
        <x:v>由原件与原状态取得；仅主队列索引</x:v>
      </x:c>
      <x:c r="M1428" s="12"/>
      <x:c r="N1428" s="12"/>
      <x:c r="O1428" s="12"/>
    </x:row>
    <x:row r="1429" ht="39" customHeight="1">
      <x:c r="A1429" s="12" t="str">
        <x:v>14762</x:v>
      </x:c>
      <x:c r="B1429" s="12" t="str">
        <x:v>19279</x:v>
      </x:c>
      <x:c r="C1429" s="12" t="str">
        <x:v>参考000</x:v>
      </x:c>
      <x:c r="D1429" s="12" t="str">
        <x:v>自动000</x:v>
      </x:c>
      <x:c r="E1429" s="12" t="n">
        <x:v>0</x:v>
      </x:c>
      <x:c r="F1429" s="12" t="n">
        <x:v>1</x:v>
      </x:c>
      <x:c r="G1429" s="12" t="n">
        <x:v>0</x:v>
      </x:c>
      <x:c r="H1429" s="12" t="n">
        <x:f>IF(SUM(I1429:K1429)&gt;0,1,0)</x:f>
        <x:v>0</x:v>
      </x:c>
      <x:c r="I1429" s="12" t="n">
        <x:f>IF('患者配对'!M1587="positive",1,0)</x:f>
        <x:v>0</x:v>
      </x:c>
      <x:c r="J1429" s="12" t="n">
        <x:f>IF('患者配对'!R1587="positive",1,0)</x:f>
        <x:v>0</x:v>
      </x:c>
      <x:c r="K1429" s="12" t="n">
        <x:f>IF('患者配对'!W1587="positive",1,0)</x:f>
        <x:v>0</x:v>
      </x:c>
      <x:c r="L1429" s="12" t="str">
        <x:v>由原件与原状态取得；仅主队列索引</x:v>
      </x:c>
      <x:c r="M1429" s="12"/>
      <x:c r="N1429" s="12"/>
      <x:c r="O1429" s="12"/>
    </x:row>
    <x:row r="1430" ht="39" customHeight="1">
      <x:c r="A1430" s="12" t="str">
        <x:v>14771</x:v>
      </x:c>
      <x:c r="B1430" s="12" t="str">
        <x:v>16358</x:v>
      </x:c>
      <x:c r="C1430" s="12" t="str">
        <x:v>参考000</x:v>
      </x:c>
      <x:c r="D1430" s="12" t="str">
        <x:v>自动000</x:v>
      </x:c>
      <x:c r="E1430" s="12" t="n">
        <x:v>0</x:v>
      </x:c>
      <x:c r="F1430" s="12" t="n">
        <x:v>0</x:v>
      </x:c>
      <x:c r="G1430" s="12" t="n">
        <x:v>0</x:v>
      </x:c>
      <x:c r="H1430" s="12" t="n">
        <x:f>IF(SUM(I1430:K1430)&gt;0,1,0)</x:f>
        <x:v>0</x:v>
      </x:c>
      <x:c r="I1430" s="12" t="n">
        <x:f>IF('患者配对'!M1588="positive",1,0)</x:f>
        <x:v>0</x:v>
      </x:c>
      <x:c r="J1430" s="12" t="n">
        <x:f>IF('患者配对'!R1588="positive",1,0)</x:f>
        <x:v>0</x:v>
      </x:c>
      <x:c r="K1430" s="12" t="n">
        <x:f>IF('患者配对'!W1588="positive",1,0)</x:f>
        <x:v>0</x:v>
      </x:c>
      <x:c r="L1430" s="12" t="str">
        <x:v>由原件与原状态取得；仅主队列索引</x:v>
      </x:c>
      <x:c r="M1430" s="12"/>
      <x:c r="N1430" s="12"/>
      <x:c r="O1430" s="12"/>
    </x:row>
    <x:row r="1431" ht="39" customHeight="1">
      <x:c r="A1431" s="12" t="str">
        <x:v>14775</x:v>
      </x:c>
      <x:c r="B1431" s="12" t="str">
        <x:v>11660</x:v>
      </x:c>
      <x:c r="C1431" s="12" t="str">
        <x:v>参考000</x:v>
      </x:c>
      <x:c r="D1431" s="12" t="str">
        <x:v>自动000</x:v>
      </x:c>
      <x:c r="E1431" s="12" t="n">
        <x:v>0</x:v>
      </x:c>
      <x:c r="F1431" s="12" t="n">
        <x:v>1</x:v>
      </x:c>
      <x:c r="G1431" s="12" t="n">
        <x:v>0</x:v>
      </x:c>
      <x:c r="H1431" s="12" t="n">
        <x:f>IF(SUM(I1431:K1431)&gt;0,1,0)</x:f>
        <x:v>0</x:v>
      </x:c>
      <x:c r="I1431" s="12" t="n">
        <x:f>IF('患者配对'!M1589="positive",1,0)</x:f>
        <x:v>0</x:v>
      </x:c>
      <x:c r="J1431" s="12" t="n">
        <x:f>IF('患者配对'!R1589="positive",1,0)</x:f>
        <x:v>0</x:v>
      </x:c>
      <x:c r="K1431" s="12" t="n">
        <x:f>IF('患者配对'!W1589="positive",1,0)</x:f>
        <x:v>0</x:v>
      </x:c>
      <x:c r="L1431" s="12" t="str">
        <x:v>由原件与原状态取得；仅主队列索引</x:v>
      </x:c>
      <x:c r="M1431" s="12"/>
      <x:c r="N1431" s="12"/>
      <x:c r="O1431" s="12"/>
    </x:row>
    <x:row r="1432" ht="39" customHeight="1">
      <x:c r="A1432" s="12" t="str">
        <x:v>14781</x:v>
      </x:c>
      <x:c r="B1432" s="12" t="str">
        <x:v>10286</x:v>
      </x:c>
      <x:c r="C1432" s="12" t="str">
        <x:v>参考000</x:v>
      </x:c>
      <x:c r="D1432" s="12" t="str">
        <x:v>自动000</x:v>
      </x:c>
      <x:c r="E1432" s="12" t="n">
        <x:v>0</x:v>
      </x:c>
      <x:c r="F1432" s="12" t="n">
        <x:v>0</x:v>
      </x:c>
      <x:c r="G1432" s="12" t="n">
        <x:v>0</x:v>
      </x:c>
      <x:c r="H1432" s="12" t="n">
        <x:f>IF(SUM(I1432:K1432)&gt;0,1,0)</x:f>
        <x:v>0</x:v>
      </x:c>
      <x:c r="I1432" s="12" t="n">
        <x:f>IF('患者配对'!M1590="positive",1,0)</x:f>
        <x:v>0</x:v>
      </x:c>
      <x:c r="J1432" s="12" t="n">
        <x:f>IF('患者配对'!R1590="positive",1,0)</x:f>
        <x:v>0</x:v>
      </x:c>
      <x:c r="K1432" s="12" t="n">
        <x:f>IF('患者配对'!W1590="positive",1,0)</x:f>
        <x:v>0</x:v>
      </x:c>
      <x:c r="L1432" s="12" t="str">
        <x:v>由原件与原状态取得；仅主队列索引</x:v>
      </x:c>
      <x:c r="M1432" s="12"/>
      <x:c r="N1432" s="12"/>
      <x:c r="O1432" s="12"/>
    </x:row>
    <x:row r="1433" ht="39" customHeight="1">
      <x:c r="A1433" s="12" t="str">
        <x:v>14805</x:v>
      </x:c>
      <x:c r="B1433" s="12" t="str">
        <x:v>9893</x:v>
      </x:c>
      <x:c r="C1433" s="12" t="str">
        <x:v>参考000</x:v>
      </x:c>
      <x:c r="D1433" s="12" t="str">
        <x:v>自动000</x:v>
      </x:c>
      <x:c r="E1433" s="12" t="n">
        <x:v>0</x:v>
      </x:c>
      <x:c r="F1433" s="12" t="n">
        <x:v>0</x:v>
      </x:c>
      <x:c r="G1433" s="12" t="n">
        <x:v>0</x:v>
      </x:c>
      <x:c r="H1433" s="12" t="n">
        <x:f>IF(SUM(I1433:K1433)&gt;0,1,0)</x:f>
        <x:v>0</x:v>
      </x:c>
      <x:c r="I1433" s="12" t="n">
        <x:f>IF('患者配对'!M1592="positive",1,0)</x:f>
        <x:v>0</x:v>
      </x:c>
      <x:c r="J1433" s="12" t="n">
        <x:f>IF('患者配对'!R1592="positive",1,0)</x:f>
        <x:v>0</x:v>
      </x:c>
      <x:c r="K1433" s="12" t="n">
        <x:f>IF('患者配对'!W1592="positive",1,0)</x:f>
        <x:v>0</x:v>
      </x:c>
      <x:c r="L1433" s="12" t="str">
        <x:v>由原件与原状态取得；仅主队列索引</x:v>
      </x:c>
      <x:c r="M1433" s="12"/>
      <x:c r="N1433" s="12"/>
      <x:c r="O1433" s="12"/>
    </x:row>
    <x:row r="1434" ht="39" customHeight="1">
      <x:c r="A1434" s="12" t="str">
        <x:v>14814</x:v>
      </x:c>
      <x:c r="B1434" s="12" t="str">
        <x:v>11723</x:v>
      </x:c>
      <x:c r="C1434" s="12" t="str">
        <x:v>参考000</x:v>
      </x:c>
      <x:c r="D1434" s="12" t="str">
        <x:v>自动000</x:v>
      </x:c>
      <x:c r="E1434" s="12" t="n">
        <x:v>0</x:v>
      </x:c>
      <x:c r="F1434" s="12" t="n">
        <x:v>0</x:v>
      </x:c>
      <x:c r="G1434" s="12" t="n">
        <x:v>0</x:v>
      </x:c>
      <x:c r="H1434" s="12" t="n">
        <x:f>IF(SUM(I1434:K1434)&gt;0,1,0)</x:f>
        <x:v>0</x:v>
      </x:c>
      <x:c r="I1434" s="12" t="n">
        <x:f>IF('患者配对'!M1593="positive",1,0)</x:f>
        <x:v>0</x:v>
      </x:c>
      <x:c r="J1434" s="12" t="n">
        <x:f>IF('患者配对'!R1593="positive",1,0)</x:f>
        <x:v>0</x:v>
      </x:c>
      <x:c r="K1434" s="12" t="n">
        <x:f>IF('患者配对'!W1593="positive",1,0)</x:f>
        <x:v>0</x:v>
      </x:c>
      <x:c r="L1434" s="12" t="str">
        <x:v>由原件与原状态取得；仅主队列索引</x:v>
      </x:c>
      <x:c r="M1434" s="12"/>
      <x:c r="N1434" s="12"/>
      <x:c r="O1434" s="12"/>
    </x:row>
    <x:row r="1435" ht="39" customHeight="1">
      <x:c r="A1435" s="12" t="str">
        <x:v>14836</x:v>
      </x:c>
      <x:c r="B1435" s="12" t="str">
        <x:v>16126</x:v>
      </x:c>
      <x:c r="C1435" s="12" t="str">
        <x:v>参考000</x:v>
      </x:c>
      <x:c r="D1435" s="12" t="str">
        <x:v>自动000</x:v>
      </x:c>
      <x:c r="E1435" s="12" t="n">
        <x:v>0</x:v>
      </x:c>
      <x:c r="F1435" s="12" t="n">
        <x:v>0</x:v>
      </x:c>
      <x:c r="G1435" s="12" t="n">
        <x:v>0</x:v>
      </x:c>
      <x:c r="H1435" s="12" t="n">
        <x:f>IF(SUM(I1435:K1435)&gt;0,1,0)</x:f>
        <x:v>0</x:v>
      </x:c>
      <x:c r="I1435" s="12" t="n">
        <x:f>IF('患者配对'!M1594="positive",1,0)</x:f>
        <x:v>0</x:v>
      </x:c>
      <x:c r="J1435" s="12" t="n">
        <x:f>IF('患者配对'!R1594="positive",1,0)</x:f>
        <x:v>0</x:v>
      </x:c>
      <x:c r="K1435" s="12" t="n">
        <x:f>IF('患者配对'!W1594="positive",1,0)</x:f>
        <x:v>0</x:v>
      </x:c>
      <x:c r="L1435" s="12" t="str">
        <x:v>由原件与原状态取得；仅主队列索引</x:v>
      </x:c>
      <x:c r="M1435" s="12"/>
      <x:c r="N1435" s="12"/>
      <x:c r="O1435" s="12"/>
    </x:row>
    <x:row r="1436" ht="39" customHeight="1">
      <x:c r="A1436" s="12" t="str">
        <x:v>14869</x:v>
      </x:c>
      <x:c r="B1436" s="12" t="str">
        <x:v>8962</x:v>
      </x:c>
      <x:c r="C1436" s="12" t="str">
        <x:v>参考000</x:v>
      </x:c>
      <x:c r="D1436" s="12" t="str">
        <x:v>自动000</x:v>
      </x:c>
      <x:c r="E1436" s="12" t="n">
        <x:v>0</x:v>
      </x:c>
      <x:c r="F1436" s="12" t="n">
        <x:v>0</x:v>
      </x:c>
      <x:c r="G1436" s="12" t="n">
        <x:v>0</x:v>
      </x:c>
      <x:c r="H1436" s="12" t="n">
        <x:f>IF(SUM(I1436:K1436)&gt;0,1,0)</x:f>
        <x:v>0</x:v>
      </x:c>
      <x:c r="I1436" s="12" t="n">
        <x:f>IF('患者配对'!M1596="positive",1,0)</x:f>
        <x:v>0</x:v>
      </x:c>
      <x:c r="J1436" s="12" t="n">
        <x:f>IF('患者配对'!R1596="positive",1,0)</x:f>
        <x:v>0</x:v>
      </x:c>
      <x:c r="K1436" s="12" t="n">
        <x:f>IF('患者配对'!W1596="positive",1,0)</x:f>
        <x:v>0</x:v>
      </x:c>
      <x:c r="L1436" s="12" t="str">
        <x:v>由原件与原状态取得；仅主队列索引</x:v>
      </x:c>
      <x:c r="M1436" s="12"/>
      <x:c r="N1436" s="12"/>
      <x:c r="O1436" s="12"/>
    </x:row>
    <x:row r="1437" ht="39" customHeight="1">
      <x:c r="A1437" s="12" t="str">
        <x:v>14912</x:v>
      </x:c>
      <x:c r="B1437" s="12" t="str">
        <x:v>12415</x:v>
      </x:c>
      <x:c r="C1437" s="12" t="str">
        <x:v>参考000</x:v>
      </x:c>
      <x:c r="D1437" s="12" t="str">
        <x:v>自动000</x:v>
      </x:c>
      <x:c r="E1437" s="12" t="n">
        <x:v>0</x:v>
      </x:c>
      <x:c r="F1437" s="12" t="n">
        <x:v>0</x:v>
      </x:c>
      <x:c r="G1437" s="12" t="n">
        <x:v>0</x:v>
      </x:c>
      <x:c r="H1437" s="12" t="n">
        <x:f>IF(SUM(I1437:K1437)&gt;0,1,0)</x:f>
        <x:v>0</x:v>
      </x:c>
      <x:c r="I1437" s="12" t="n">
        <x:f>IF('患者配对'!M1597="positive",1,0)</x:f>
        <x:v>0</x:v>
      </x:c>
      <x:c r="J1437" s="12" t="n">
        <x:f>IF('患者配对'!R1597="positive",1,0)</x:f>
        <x:v>0</x:v>
      </x:c>
      <x:c r="K1437" s="12" t="n">
        <x:f>IF('患者配对'!W1597="positive",1,0)</x:f>
        <x:v>0</x:v>
      </x:c>
      <x:c r="L1437" s="12" t="str">
        <x:v>由原件与原状态取得；仅主队列索引</x:v>
      </x:c>
      <x:c r="M1437" s="12"/>
      <x:c r="N1437" s="12"/>
      <x:c r="O1437" s="12"/>
    </x:row>
    <x:row r="1438" ht="39" customHeight="1">
      <x:c r="A1438" s="12" t="str">
        <x:v>14923</x:v>
      </x:c>
      <x:c r="B1438" s="12" t="str">
        <x:v>3921</x:v>
      </x:c>
      <x:c r="C1438" s="12" t="str">
        <x:v>参考000</x:v>
      </x:c>
      <x:c r="D1438" s="12" t="str">
        <x:v>自动000</x:v>
      </x:c>
      <x:c r="E1438" s="12" t="n">
        <x:v>0</x:v>
      </x:c>
      <x:c r="F1438" s="12" t="n">
        <x:v>1</x:v>
      </x:c>
      <x:c r="G1438" s="12" t="n">
        <x:v>0</x:v>
      </x:c>
      <x:c r="H1438" s="12" t="n">
        <x:f>IF(SUM(I1438:K1438)&gt;0,1,0)</x:f>
        <x:v>0</x:v>
      </x:c>
      <x:c r="I1438" s="12" t="n">
        <x:f>IF('患者配对'!M1598="positive",1,0)</x:f>
        <x:v>0</x:v>
      </x:c>
      <x:c r="J1438" s="12" t="n">
        <x:f>IF('患者配对'!R1598="positive",1,0)</x:f>
        <x:v>0</x:v>
      </x:c>
      <x:c r="K1438" s="12" t="n">
        <x:f>IF('患者配对'!W1598="positive",1,0)</x:f>
        <x:v>0</x:v>
      </x:c>
      <x:c r="L1438" s="12" t="str">
        <x:v>由原件与原状态取得；仅主队列索引</x:v>
      </x:c>
      <x:c r="M1438" s="12"/>
      <x:c r="N1438" s="12"/>
      <x:c r="O1438" s="12"/>
    </x:row>
    <x:row r="1439" ht="39" customHeight="1">
      <x:c r="A1439" s="12" t="str">
        <x:v>14937</x:v>
      </x:c>
      <x:c r="B1439" s="12" t="str">
        <x:v>7175</x:v>
      </x:c>
      <x:c r="C1439" s="12" t="str">
        <x:v>参考000</x:v>
      </x:c>
      <x:c r="D1439" s="12" t="str">
        <x:v>自动000</x:v>
      </x:c>
      <x:c r="E1439" s="12" t="n">
        <x:v>0</x:v>
      </x:c>
      <x:c r="F1439" s="12" t="n">
        <x:v>0</x:v>
      </x:c>
      <x:c r="G1439" s="12" t="n">
        <x:v>0</x:v>
      </x:c>
      <x:c r="H1439" s="12" t="n">
        <x:f>IF(SUM(I1439:K1439)&gt;0,1,0)</x:f>
        <x:v>0</x:v>
      </x:c>
      <x:c r="I1439" s="12" t="n">
        <x:f>IF('患者配对'!M1599="positive",1,0)</x:f>
        <x:v>0</x:v>
      </x:c>
      <x:c r="J1439" s="12" t="n">
        <x:f>IF('患者配对'!R1599="positive",1,0)</x:f>
        <x:v>0</x:v>
      </x:c>
      <x:c r="K1439" s="12" t="n">
        <x:f>IF('患者配对'!W1599="positive",1,0)</x:f>
        <x:v>0</x:v>
      </x:c>
      <x:c r="L1439" s="12" t="str">
        <x:v>由原件与原状态取得；仅主队列索引</x:v>
      </x:c>
      <x:c r="M1439" s="12"/>
      <x:c r="N1439" s="12"/>
      <x:c r="O1439" s="12"/>
    </x:row>
    <x:row r="1440" ht="39" customHeight="1">
      <x:c r="A1440" s="12" t="str">
        <x:v>14938</x:v>
      </x:c>
      <x:c r="B1440" s="12" t="str">
        <x:v>17162</x:v>
      </x:c>
      <x:c r="C1440" s="12" t="str">
        <x:v>参考000</x:v>
      </x:c>
      <x:c r="D1440" s="12" t="str">
        <x:v>自动000</x:v>
      </x:c>
      <x:c r="E1440" s="12" t="n">
        <x:v>0</x:v>
      </x:c>
      <x:c r="F1440" s="12" t="n">
        <x:v>0</x:v>
      </x:c>
      <x:c r="G1440" s="12" t="n">
        <x:v>0</x:v>
      </x:c>
      <x:c r="H1440" s="12" t="n">
        <x:f>IF(SUM(I1440:K1440)&gt;0,1,0)</x:f>
        <x:v>0</x:v>
      </x:c>
      <x:c r="I1440" s="12" t="n">
        <x:f>IF('患者配对'!M1600="positive",1,0)</x:f>
        <x:v>0</x:v>
      </x:c>
      <x:c r="J1440" s="12" t="n">
        <x:f>IF('患者配对'!R1600="positive",1,0)</x:f>
        <x:v>0</x:v>
      </x:c>
      <x:c r="K1440" s="12" t="n">
        <x:f>IF('患者配对'!W1600="positive",1,0)</x:f>
        <x:v>0</x:v>
      </x:c>
      <x:c r="L1440" s="12" t="str">
        <x:v>由原件与原状态取得；仅主队列索引</x:v>
      </x:c>
      <x:c r="M1440" s="12"/>
      <x:c r="N1440" s="12"/>
      <x:c r="O1440" s="12"/>
    </x:row>
    <x:row r="1441" ht="39" customHeight="1">
      <x:c r="A1441" s="12" t="str">
        <x:v>14944</x:v>
      </x:c>
      <x:c r="B1441" s="12" t="str">
        <x:v>6969</x:v>
      </x:c>
      <x:c r="C1441" s="12" t="str">
        <x:v>参考000</x:v>
      </x:c>
      <x:c r="D1441" s="12" t="str">
        <x:v>自动000</x:v>
      </x:c>
      <x:c r="E1441" s="12" t="n">
        <x:v>0</x:v>
      </x:c>
      <x:c r="F1441" s="12" t="n">
        <x:v>0</x:v>
      </x:c>
      <x:c r="G1441" s="12" t="n">
        <x:v>0</x:v>
      </x:c>
      <x:c r="H1441" s="12" t="n">
        <x:f>IF(SUM(I1441:K1441)&gt;0,1,0)</x:f>
        <x:v>0</x:v>
      </x:c>
      <x:c r="I1441" s="12" t="n">
        <x:f>IF('患者配对'!M1601="positive",1,0)</x:f>
        <x:v>0</x:v>
      </x:c>
      <x:c r="J1441" s="12" t="n">
        <x:f>IF('患者配对'!R1601="positive",1,0)</x:f>
        <x:v>0</x:v>
      </x:c>
      <x:c r="K1441" s="12" t="n">
        <x:f>IF('患者配对'!W1601="positive",1,0)</x:f>
        <x:v>0</x:v>
      </x:c>
      <x:c r="L1441" s="12" t="str">
        <x:v>由原件与原状态取得；仅主队列索引</x:v>
      </x:c>
      <x:c r="M1441" s="12"/>
      <x:c r="N1441" s="12"/>
      <x:c r="O1441" s="12"/>
    </x:row>
    <x:row r="1442" ht="39" customHeight="1">
      <x:c r="A1442" s="12" t="str">
        <x:v>14946</x:v>
      </x:c>
      <x:c r="B1442" s="12" t="str">
        <x:v>14116</x:v>
      </x:c>
      <x:c r="C1442" s="12" t="str">
        <x:v>参考000</x:v>
      </x:c>
      <x:c r="D1442" s="12" t="str">
        <x:v>自动000</x:v>
      </x:c>
      <x:c r="E1442" s="12" t="n">
        <x:v>0</x:v>
      </x:c>
      <x:c r="F1442" s="12" t="n">
        <x:v>0</x:v>
      </x:c>
      <x:c r="G1442" s="12" t="n">
        <x:v>0</x:v>
      </x:c>
      <x:c r="H1442" s="12" t="n">
        <x:f>IF(SUM(I1442:K1442)&gt;0,1,0)</x:f>
        <x:v>0</x:v>
      </x:c>
      <x:c r="I1442" s="12" t="n">
        <x:f>IF('患者配对'!M1602="positive",1,0)</x:f>
        <x:v>0</x:v>
      </x:c>
      <x:c r="J1442" s="12" t="n">
        <x:f>IF('患者配对'!R1602="positive",1,0)</x:f>
        <x:v>0</x:v>
      </x:c>
      <x:c r="K1442" s="12" t="n">
        <x:f>IF('患者配对'!W1602="positive",1,0)</x:f>
        <x:v>0</x:v>
      </x:c>
      <x:c r="L1442" s="12" t="str">
        <x:v>由原件与原状态取得；仅主队列索引</x:v>
      </x:c>
      <x:c r="M1442" s="12"/>
      <x:c r="N1442" s="12"/>
      <x:c r="O1442" s="12"/>
    </x:row>
    <x:row r="1443" ht="39" customHeight="1">
      <x:c r="A1443" s="12" t="str">
        <x:v>14965</x:v>
      </x:c>
      <x:c r="B1443" s="12" t="str">
        <x:v>7440</x:v>
      </x:c>
      <x:c r="C1443" s="12" t="str">
        <x:v>参考000</x:v>
      </x:c>
      <x:c r="D1443" s="12" t="str">
        <x:v>自动000</x:v>
      </x:c>
      <x:c r="E1443" s="12" t="n">
        <x:v>0</x:v>
      </x:c>
      <x:c r="F1443" s="12" t="n">
        <x:v>0</x:v>
      </x:c>
      <x:c r="G1443" s="12" t="n">
        <x:v>0</x:v>
      </x:c>
      <x:c r="H1443" s="12" t="n">
        <x:f>IF(SUM(I1443:K1443)&gt;0,1,0)</x:f>
        <x:v>0</x:v>
      </x:c>
      <x:c r="I1443" s="12" t="n">
        <x:f>IF('患者配对'!M1603="positive",1,0)</x:f>
        <x:v>0</x:v>
      </x:c>
      <x:c r="J1443" s="12" t="n">
        <x:f>IF('患者配对'!R1603="positive",1,0)</x:f>
        <x:v>0</x:v>
      </x:c>
      <x:c r="K1443" s="12" t="n">
        <x:f>IF('患者配对'!W1603="positive",1,0)</x:f>
        <x:v>0</x:v>
      </x:c>
      <x:c r="L1443" s="12" t="str">
        <x:v>由原件与原状态取得；仅主队列索引</x:v>
      </x:c>
      <x:c r="M1443" s="12"/>
      <x:c r="N1443" s="12"/>
      <x:c r="O1443" s="12"/>
    </x:row>
    <x:row r="1444" ht="39" customHeight="1">
      <x:c r="A1444" s="12" t="str">
        <x:v>14976</x:v>
      </x:c>
      <x:c r="B1444" s="12" t="str">
        <x:v>9325</x:v>
      </x:c>
      <x:c r="C1444" s="12" t="str">
        <x:v>参考000</x:v>
      </x:c>
      <x:c r="D1444" s="12" t="str">
        <x:v>自动000</x:v>
      </x:c>
      <x:c r="E1444" s="12" t="n">
        <x:v>0</x:v>
      </x:c>
      <x:c r="F1444" s="12" t="n">
        <x:v>0</x:v>
      </x:c>
      <x:c r="G1444" s="12" t="n">
        <x:v>0</x:v>
      </x:c>
      <x:c r="H1444" s="12" t="n">
        <x:f>IF(SUM(I1444:K1444)&gt;0,1,0)</x:f>
        <x:v>0</x:v>
      </x:c>
      <x:c r="I1444" s="12" t="n">
        <x:f>IF('患者配对'!M1604="positive",1,0)</x:f>
        <x:v>0</x:v>
      </x:c>
      <x:c r="J1444" s="12" t="n">
        <x:f>IF('患者配对'!R1604="positive",1,0)</x:f>
        <x:v>0</x:v>
      </x:c>
      <x:c r="K1444" s="12" t="n">
        <x:f>IF('患者配对'!W1604="positive",1,0)</x:f>
        <x:v>0</x:v>
      </x:c>
      <x:c r="L1444" s="12" t="str">
        <x:v>由原件与原状态取得；仅主队列索引</x:v>
      </x:c>
      <x:c r="M1444" s="12"/>
      <x:c r="N1444" s="12"/>
      <x:c r="O1444" s="12"/>
    </x:row>
    <x:row r="1445" ht="39" customHeight="1">
      <x:c r="A1445" s="12" t="str">
        <x:v>15015</x:v>
      </x:c>
      <x:c r="B1445" s="12" t="str">
        <x:v>4462</x:v>
      </x:c>
      <x:c r="C1445" s="12" t="str">
        <x:v>参考000</x:v>
      </x:c>
      <x:c r="D1445" s="12" t="str">
        <x:v>自动000</x:v>
      </x:c>
      <x:c r="E1445" s="12" t="n">
        <x:v>0</x:v>
      </x:c>
      <x:c r="F1445" s="12" t="n">
        <x:v>1</x:v>
      </x:c>
      <x:c r="G1445" s="12" t="n">
        <x:v>0</x:v>
      </x:c>
      <x:c r="H1445" s="12" t="n">
        <x:f>IF(SUM(I1445:K1445)&gt;0,1,0)</x:f>
        <x:v>0</x:v>
      </x:c>
      <x:c r="I1445" s="12" t="n">
        <x:f>IF('患者配对'!M1605="positive",1,0)</x:f>
        <x:v>0</x:v>
      </x:c>
      <x:c r="J1445" s="12" t="n">
        <x:f>IF('患者配对'!R1605="positive",1,0)</x:f>
        <x:v>0</x:v>
      </x:c>
      <x:c r="K1445" s="12" t="n">
        <x:f>IF('患者配对'!W1605="positive",1,0)</x:f>
        <x:v>0</x:v>
      </x:c>
      <x:c r="L1445" s="12" t="str">
        <x:v>由原件与原状态取得；仅主队列索引</x:v>
      </x:c>
      <x:c r="M1445" s="12"/>
      <x:c r="N1445" s="12"/>
      <x:c r="O1445" s="12"/>
    </x:row>
    <x:row r="1446" ht="39" customHeight="1">
      <x:c r="A1446" s="12" t="str">
        <x:v>15024</x:v>
      </x:c>
      <x:c r="B1446" s="12" t="str">
        <x:v>14829</x:v>
      </x:c>
      <x:c r="C1446" s="12" t="str">
        <x:v>参考000</x:v>
      </x:c>
      <x:c r="D1446" s="12" t="str">
        <x:v>自动000</x:v>
      </x:c>
      <x:c r="E1446" s="12" t="n">
        <x:v>0</x:v>
      </x:c>
      <x:c r="F1446" s="12" t="n">
        <x:v>1</x:v>
      </x:c>
      <x:c r="G1446" s="12" t="n">
        <x:v>0</x:v>
      </x:c>
      <x:c r="H1446" s="12" t="n">
        <x:f>IF(SUM(I1446:K1446)&gt;0,1,0)</x:f>
        <x:v>0</x:v>
      </x:c>
      <x:c r="I1446" s="12" t="n">
        <x:f>IF('患者配对'!M1606="positive",1,0)</x:f>
        <x:v>0</x:v>
      </x:c>
      <x:c r="J1446" s="12" t="n">
        <x:f>IF('患者配对'!R1606="positive",1,0)</x:f>
        <x:v>0</x:v>
      </x:c>
      <x:c r="K1446" s="12" t="n">
        <x:f>IF('患者配对'!W1606="positive",1,0)</x:f>
        <x:v>0</x:v>
      </x:c>
      <x:c r="L1446" s="12" t="str">
        <x:v>由原件与原状态取得；仅主队列索引</x:v>
      </x:c>
      <x:c r="M1446" s="12"/>
      <x:c r="N1446" s="12"/>
      <x:c r="O1446" s="12"/>
    </x:row>
    <x:row r="1447" ht="39" customHeight="1">
      <x:c r="A1447" s="12" t="str">
        <x:v>15034</x:v>
      </x:c>
      <x:c r="B1447" s="12" t="str">
        <x:v>8324</x:v>
      </x:c>
      <x:c r="C1447" s="12" t="str">
        <x:v>参考000</x:v>
      </x:c>
      <x:c r="D1447" s="12" t="str">
        <x:v>自动000</x:v>
      </x:c>
      <x:c r="E1447" s="12" t="n">
        <x:v>0</x:v>
      </x:c>
      <x:c r="F1447" s="12" t="n">
        <x:v>1</x:v>
      </x:c>
      <x:c r="G1447" s="12" t="n">
        <x:v>0</x:v>
      </x:c>
      <x:c r="H1447" s="12" t="n">
        <x:f>IF(SUM(I1447:K1447)&gt;0,1,0)</x:f>
        <x:v>0</x:v>
      </x:c>
      <x:c r="I1447" s="12" t="n">
        <x:f>IF('患者配对'!M1607="positive",1,0)</x:f>
        <x:v>0</x:v>
      </x:c>
      <x:c r="J1447" s="12" t="n">
        <x:f>IF('患者配对'!R1607="positive",1,0)</x:f>
        <x:v>0</x:v>
      </x:c>
      <x:c r="K1447" s="12" t="n">
        <x:f>IF('患者配对'!W1607="positive",1,0)</x:f>
        <x:v>0</x:v>
      </x:c>
      <x:c r="L1447" s="12" t="str">
        <x:v>由原件与原状态取得；仅主队列索引</x:v>
      </x:c>
      <x:c r="M1447" s="12"/>
      <x:c r="N1447" s="12"/>
      <x:c r="O1447" s="12"/>
    </x:row>
    <x:row r="1448" ht="39" customHeight="1">
      <x:c r="A1448" s="12" t="str">
        <x:v>15057</x:v>
      </x:c>
      <x:c r="B1448" s="12" t="str">
        <x:v>2019</x:v>
      </x:c>
      <x:c r="C1448" s="12" t="str">
        <x:v>参考000</x:v>
      </x:c>
      <x:c r="D1448" s="12" t="str">
        <x:v>自动000</x:v>
      </x:c>
      <x:c r="E1448" s="12" t="n">
        <x:v>0</x:v>
      </x:c>
      <x:c r="F1448" s="12" t="n">
        <x:v>0</x:v>
      </x:c>
      <x:c r="G1448" s="12" t="n">
        <x:v>0</x:v>
      </x:c>
      <x:c r="H1448" s="12" t="n">
        <x:f>IF(SUM(I1448:K1448)&gt;0,1,0)</x:f>
        <x:v>0</x:v>
      </x:c>
      <x:c r="I1448" s="12" t="n">
        <x:f>IF('患者配对'!M1608="positive",1,0)</x:f>
        <x:v>0</x:v>
      </x:c>
      <x:c r="J1448" s="12" t="n">
        <x:f>IF('患者配对'!R1608="positive",1,0)</x:f>
        <x:v>0</x:v>
      </x:c>
      <x:c r="K1448" s="12" t="n">
        <x:f>IF('患者配对'!W1608="positive",1,0)</x:f>
        <x:v>0</x:v>
      </x:c>
      <x:c r="L1448" s="12" t="str">
        <x:v>由原件与原状态取得；仅主队列索引</x:v>
      </x:c>
      <x:c r="M1448" s="12"/>
      <x:c r="N1448" s="12"/>
      <x:c r="O1448" s="12"/>
    </x:row>
    <x:row r="1449" ht="39" customHeight="1">
      <x:c r="A1449" s="12" t="str">
        <x:v>15059</x:v>
      </x:c>
      <x:c r="B1449" s="12" t="str">
        <x:v>15353</x:v>
      </x:c>
      <x:c r="C1449" s="12" t="str">
        <x:v>参考000</x:v>
      </x:c>
      <x:c r="D1449" s="12" t="str">
        <x:v>自动000</x:v>
      </x:c>
      <x:c r="E1449" s="12" t="n">
        <x:v>0</x:v>
      </x:c>
      <x:c r="F1449" s="12" t="n">
        <x:v>0</x:v>
      </x:c>
      <x:c r="G1449" s="12" t="n">
        <x:v>0</x:v>
      </x:c>
      <x:c r="H1449" s="12" t="n">
        <x:f>IF(SUM(I1449:K1449)&gt;0,1,0)</x:f>
        <x:v>0</x:v>
      </x:c>
      <x:c r="I1449" s="12" t="n">
        <x:f>IF('患者配对'!M1609="positive",1,0)</x:f>
        <x:v>0</x:v>
      </x:c>
      <x:c r="J1449" s="12" t="n">
        <x:f>IF('患者配对'!R1609="positive",1,0)</x:f>
        <x:v>0</x:v>
      </x:c>
      <x:c r="K1449" s="12" t="n">
        <x:f>IF('患者配对'!W1609="positive",1,0)</x:f>
        <x:v>0</x:v>
      </x:c>
      <x:c r="L1449" s="12" t="str">
        <x:v>由原件与原状态取得；仅主队列索引</x:v>
      </x:c>
      <x:c r="M1449" s="12"/>
      <x:c r="N1449" s="12"/>
      <x:c r="O1449" s="12"/>
    </x:row>
    <x:row r="1450" ht="39" customHeight="1">
      <x:c r="A1450" s="12" t="str">
        <x:v>15074</x:v>
      </x:c>
      <x:c r="B1450" s="12" t="str">
        <x:v>17722</x:v>
      </x:c>
      <x:c r="C1450" s="12" t="str">
        <x:v>参考000</x:v>
      </x:c>
      <x:c r="D1450" s="12" t="str">
        <x:v>自动000</x:v>
      </x:c>
      <x:c r="E1450" s="12" t="n">
        <x:v>0</x:v>
      </x:c>
      <x:c r="F1450" s="12" t="n">
        <x:v>0</x:v>
      </x:c>
      <x:c r="G1450" s="12" t="n">
        <x:v>0</x:v>
      </x:c>
      <x:c r="H1450" s="12" t="n">
        <x:f>IF(SUM(I1450:K1450)&gt;0,1,0)</x:f>
        <x:v>0</x:v>
      </x:c>
      <x:c r="I1450" s="12" t="n">
        <x:f>IF('患者配对'!M1611="positive",1,0)</x:f>
        <x:v>0</x:v>
      </x:c>
      <x:c r="J1450" s="12" t="n">
        <x:f>IF('患者配对'!R1611="positive",1,0)</x:f>
        <x:v>0</x:v>
      </x:c>
      <x:c r="K1450" s="12" t="n">
        <x:f>IF('患者配对'!W1611="positive",1,0)</x:f>
        <x:v>0</x:v>
      </x:c>
      <x:c r="L1450" s="12" t="str">
        <x:v>由原件与原状态取得；仅主队列索引</x:v>
      </x:c>
      <x:c r="M1450" s="12"/>
      <x:c r="N1450" s="12"/>
      <x:c r="O1450" s="12"/>
    </x:row>
    <x:row r="1451" ht="39" customHeight="1">
      <x:c r="A1451" s="12" t="str">
        <x:v>15090</x:v>
      </x:c>
      <x:c r="B1451" s="12" t="str">
        <x:v>6977</x:v>
      </x:c>
      <x:c r="C1451" s="12" t="str">
        <x:v>参考000</x:v>
      </x:c>
      <x:c r="D1451" s="12" t="str">
        <x:v>自动000</x:v>
      </x:c>
      <x:c r="E1451" s="12" t="n">
        <x:v>0</x:v>
      </x:c>
      <x:c r="F1451" s="12" t="n">
        <x:v>0</x:v>
      </x:c>
      <x:c r="G1451" s="12" t="n">
        <x:v>0</x:v>
      </x:c>
      <x:c r="H1451" s="12" t="n">
        <x:f>IF(SUM(I1451:K1451)&gt;0,1,0)</x:f>
        <x:v>0</x:v>
      </x:c>
      <x:c r="I1451" s="12" t="n">
        <x:f>IF('患者配对'!M1612="positive",1,0)</x:f>
        <x:v>0</x:v>
      </x:c>
      <x:c r="J1451" s="12" t="n">
        <x:f>IF('患者配对'!R1612="positive",1,0)</x:f>
        <x:v>0</x:v>
      </x:c>
      <x:c r="K1451" s="12" t="n">
        <x:f>IF('患者配对'!W1612="positive",1,0)</x:f>
        <x:v>0</x:v>
      </x:c>
      <x:c r="L1451" s="12" t="str">
        <x:v>由原件与原状态取得；仅主队列索引</x:v>
      </x:c>
      <x:c r="M1451" s="12"/>
      <x:c r="N1451" s="12"/>
      <x:c r="O1451" s="12"/>
    </x:row>
    <x:row r="1452" ht="39" customHeight="1">
      <x:c r="A1452" s="12" t="str">
        <x:v>15094</x:v>
      </x:c>
      <x:c r="B1452" s="12" t="str">
        <x:v>6812</x:v>
      </x:c>
      <x:c r="C1452" s="12" t="str">
        <x:v>参考000</x:v>
      </x:c>
      <x:c r="D1452" s="12" t="str">
        <x:v>自动000</x:v>
      </x:c>
      <x:c r="E1452" s="12" t="n">
        <x:v>0</x:v>
      </x:c>
      <x:c r="F1452" s="12" t="n">
        <x:v>0</x:v>
      </x:c>
      <x:c r="G1452" s="12" t="n">
        <x:v>0</x:v>
      </x:c>
      <x:c r="H1452" s="12" t="n">
        <x:f>IF(SUM(I1452:K1452)&gt;0,1,0)</x:f>
        <x:v>0</x:v>
      </x:c>
      <x:c r="I1452" s="12" t="n">
        <x:f>IF('患者配对'!M1613="positive",1,0)</x:f>
        <x:v>0</x:v>
      </x:c>
      <x:c r="J1452" s="12" t="n">
        <x:f>IF('患者配对'!R1613="positive",1,0)</x:f>
        <x:v>0</x:v>
      </x:c>
      <x:c r="K1452" s="12" t="n">
        <x:f>IF('患者配对'!W1613="positive",1,0)</x:f>
        <x:v>0</x:v>
      </x:c>
      <x:c r="L1452" s="12" t="str">
        <x:v>由原件与原状态取得；仅主队列索引</x:v>
      </x:c>
      <x:c r="M1452" s="12"/>
      <x:c r="N1452" s="12"/>
      <x:c r="O1452" s="12"/>
    </x:row>
    <x:row r="1453" ht="39" customHeight="1">
      <x:c r="A1453" s="12" t="str">
        <x:v>15101</x:v>
      </x:c>
      <x:c r="B1453" s="12" t="str">
        <x:v>1050</x:v>
      </x:c>
      <x:c r="C1453" s="12" t="str">
        <x:v>参考010</x:v>
      </x:c>
      <x:c r="D1453" s="12" t="str">
        <x:v>自动010</x:v>
      </x:c>
      <x:c r="E1453" s="12" t="n">
        <x:v>1</x:v>
      </x:c>
      <x:c r="F1453" s="12" t="n">
        <x:v>1</x:v>
      </x:c>
      <x:c r="G1453" s="12" t="n">
        <x:v>0</x:v>
      </x:c>
      <x:c r="H1453" s="12" t="n">
        <x:f>IF(SUM(I1453:K1453)&gt;0,1,0)</x:f>
        <x:v>1</x:v>
      </x:c>
      <x:c r="I1453" s="12" t="n">
        <x:f>IF('患者配对'!M1614="positive",1,0)</x:f>
        <x:v>0</x:v>
      </x:c>
      <x:c r="J1453" s="12" t="n">
        <x:f>IF('患者配对'!R1614="positive",1,0)</x:f>
        <x:v>1</x:v>
      </x:c>
      <x:c r="K1453" s="12" t="n">
        <x:f>IF('患者配对'!W1614="positive",1,0)</x:f>
        <x:v>0</x:v>
      </x:c>
      <x:c r="L1453" s="12" t="str">
        <x:v>由原件与原状态取得；仅主队列索引</x:v>
      </x:c>
      <x:c r="M1453" s="12"/>
      <x:c r="N1453" s="12"/>
      <x:c r="O1453" s="12"/>
    </x:row>
    <x:row r="1454" ht="39" customHeight="1">
      <x:c r="A1454" s="12" t="str">
        <x:v>15136</x:v>
      </x:c>
      <x:c r="B1454" s="12" t="str">
        <x:v>5529</x:v>
      </x:c>
      <x:c r="C1454" s="12" t="str">
        <x:v>参考000</x:v>
      </x:c>
      <x:c r="D1454" s="12" t="str">
        <x:v>自动000</x:v>
      </x:c>
      <x:c r="E1454" s="12" t="n">
        <x:v>0</x:v>
      </x:c>
      <x:c r="F1454" s="12" t="n">
        <x:v>0</x:v>
      </x:c>
      <x:c r="G1454" s="12" t="n">
        <x:v>0</x:v>
      </x:c>
      <x:c r="H1454" s="12" t="n">
        <x:f>IF(SUM(I1454:K1454)&gt;0,1,0)</x:f>
        <x:v>0</x:v>
      </x:c>
      <x:c r="I1454" s="12" t="n">
        <x:f>IF('患者配对'!M1615="positive",1,0)</x:f>
        <x:v>0</x:v>
      </x:c>
      <x:c r="J1454" s="12" t="n">
        <x:f>IF('患者配对'!R1615="positive",1,0)</x:f>
        <x:v>0</x:v>
      </x:c>
      <x:c r="K1454" s="12" t="n">
        <x:f>IF('患者配对'!W1615="positive",1,0)</x:f>
        <x:v>0</x:v>
      </x:c>
      <x:c r="L1454" s="12" t="str">
        <x:v>由原件与原状态取得；仅主队列索引</x:v>
      </x:c>
      <x:c r="M1454" s="12"/>
      <x:c r="N1454" s="12"/>
      <x:c r="O1454" s="12"/>
    </x:row>
    <x:row r="1455" ht="39" customHeight="1">
      <x:c r="A1455" s="12" t="str">
        <x:v>15141</x:v>
      </x:c>
      <x:c r="B1455" s="12" t="str">
        <x:v>20107</x:v>
      </x:c>
      <x:c r="C1455" s="12" t="str">
        <x:v>参考100</x:v>
      </x:c>
      <x:c r="D1455" s="12" t="str">
        <x:v>自动100</x:v>
      </x:c>
      <x:c r="E1455" s="12" t="n">
        <x:v>1</x:v>
      </x:c>
      <x:c r="F1455" s="12" t="n">
        <x:v>1</x:v>
      </x:c>
      <x:c r="G1455" s="12" t="n">
        <x:v>0</x:v>
      </x:c>
      <x:c r="H1455" s="12" t="n">
        <x:f>IF(SUM(I1455:K1455)&gt;0,1,0)</x:f>
        <x:v>1</x:v>
      </x:c>
      <x:c r="I1455" s="12" t="n">
        <x:f>IF('患者配对'!M1617="positive",1,0)</x:f>
        <x:v>1</x:v>
      </x:c>
      <x:c r="J1455" s="12" t="n">
        <x:f>IF('患者配对'!R1617="positive",1,0)</x:f>
        <x:v>0</x:v>
      </x:c>
      <x:c r="K1455" s="12" t="n">
        <x:f>IF('患者配对'!W1617="positive",1,0)</x:f>
        <x:v>0</x:v>
      </x:c>
      <x:c r="L1455" s="12" t="str">
        <x:v>由原件与原状态取得；仅主队列索引</x:v>
      </x:c>
      <x:c r="M1455" s="12"/>
      <x:c r="N1455" s="12"/>
      <x:c r="O1455" s="12"/>
    </x:row>
    <x:row r="1456" ht="39" customHeight="1">
      <x:c r="A1456" s="12" t="str">
        <x:v>15203</x:v>
      </x:c>
      <x:c r="B1456" s="12" t="str">
        <x:v>13008</x:v>
      </x:c>
      <x:c r="C1456" s="12" t="str">
        <x:v>参考001</x:v>
      </x:c>
      <x:c r="D1456" s="12" t="str">
        <x:v>自动001</x:v>
      </x:c>
      <x:c r="E1456" s="12" t="n">
        <x:v>1</x:v>
      </x:c>
      <x:c r="F1456" s="12" t="n">
        <x:v>1</x:v>
      </x:c>
      <x:c r="G1456" s="12" t="n">
        <x:v>0</x:v>
      </x:c>
      <x:c r="H1456" s="12" t="n">
        <x:f>IF(SUM(I1456:K1456)&gt;0,1,0)</x:f>
        <x:v>1</x:v>
      </x:c>
      <x:c r="I1456" s="12" t="n">
        <x:f>IF('患者配对'!M1619="positive",1,0)</x:f>
        <x:v>0</x:v>
      </x:c>
      <x:c r="J1456" s="12" t="n">
        <x:f>IF('患者配对'!R1619="positive",1,0)</x:f>
        <x:v>0</x:v>
      </x:c>
      <x:c r="K1456" s="12" t="n">
        <x:f>IF('患者配对'!W1619="positive",1,0)</x:f>
        <x:v>1</x:v>
      </x:c>
      <x:c r="L1456" s="12" t="str">
        <x:v>由原件与原状态取得；仅主队列索引</x:v>
      </x:c>
      <x:c r="M1456" s="12"/>
      <x:c r="N1456" s="12"/>
      <x:c r="O1456" s="12"/>
    </x:row>
    <x:row r="1457" ht="39" customHeight="1">
      <x:c r="A1457" s="12" t="str">
        <x:v>15207</x:v>
      </x:c>
      <x:c r="B1457" s="12" t="str">
        <x:v>9105</x:v>
      </x:c>
      <x:c r="C1457" s="12" t="str">
        <x:v>参考000</x:v>
      </x:c>
      <x:c r="D1457" s="12" t="str">
        <x:v>自动000</x:v>
      </x:c>
      <x:c r="E1457" s="12" t="n">
        <x:v>0</x:v>
      </x:c>
      <x:c r="F1457" s="12" t="n">
        <x:v>0</x:v>
      </x:c>
      <x:c r="G1457" s="12" t="n">
        <x:v>0</x:v>
      </x:c>
      <x:c r="H1457" s="12" t="n">
        <x:f>IF(SUM(I1457:K1457)&gt;0,1,0)</x:f>
        <x:v>0</x:v>
      </x:c>
      <x:c r="I1457" s="12" t="n">
        <x:f>IF('患者配对'!M1620="positive",1,0)</x:f>
        <x:v>0</x:v>
      </x:c>
      <x:c r="J1457" s="12" t="n">
        <x:f>IF('患者配对'!R1620="positive",1,0)</x:f>
        <x:v>0</x:v>
      </x:c>
      <x:c r="K1457" s="12" t="n">
        <x:f>IF('患者配对'!W1620="positive",1,0)</x:f>
        <x:v>0</x:v>
      </x:c>
      <x:c r="L1457" s="12" t="str">
        <x:v>由原件与原状态取得；仅主队列索引</x:v>
      </x:c>
      <x:c r="M1457" s="12"/>
      <x:c r="N1457" s="12"/>
      <x:c r="O1457" s="12"/>
    </x:row>
    <x:row r="1458" ht="39" customHeight="1">
      <x:c r="A1458" s="12" t="str">
        <x:v>15221</x:v>
      </x:c>
      <x:c r="B1458" s="12" t="str">
        <x:v>17578</x:v>
      </x:c>
      <x:c r="C1458" s="12" t="str">
        <x:v>参考000</x:v>
      </x:c>
      <x:c r="D1458" s="12" t="str">
        <x:v>自动000</x:v>
      </x:c>
      <x:c r="E1458" s="12" t="n">
        <x:v>0</x:v>
      </x:c>
      <x:c r="F1458" s="12" t="n">
        <x:v>1</x:v>
      </x:c>
      <x:c r="G1458" s="12" t="n">
        <x:v>0</x:v>
      </x:c>
      <x:c r="H1458" s="12" t="n">
        <x:f>IF(SUM(I1458:K1458)&gt;0,1,0)</x:f>
        <x:v>0</x:v>
      </x:c>
      <x:c r="I1458" s="12" t="n">
        <x:f>IF('患者配对'!M1621="positive",1,0)</x:f>
        <x:v>0</x:v>
      </x:c>
      <x:c r="J1458" s="12" t="n">
        <x:f>IF('患者配对'!R1621="positive",1,0)</x:f>
        <x:v>0</x:v>
      </x:c>
      <x:c r="K1458" s="12" t="n">
        <x:f>IF('患者配对'!W1621="positive",1,0)</x:f>
        <x:v>0</x:v>
      </x:c>
      <x:c r="L1458" s="12" t="str">
        <x:v>由原件与原状态取得；仅主队列索引</x:v>
      </x:c>
      <x:c r="M1458" s="12"/>
      <x:c r="N1458" s="12"/>
      <x:c r="O1458" s="12"/>
    </x:row>
    <x:row r="1459" ht="39" customHeight="1">
      <x:c r="A1459" s="12" t="str">
        <x:v>15227</x:v>
      </x:c>
      <x:c r="B1459" s="12" t="str">
        <x:v>13393</x:v>
      </x:c>
      <x:c r="C1459" s="12" t="str">
        <x:v>参考000</x:v>
      </x:c>
      <x:c r="D1459" s="12" t="str">
        <x:v>自动000</x:v>
      </x:c>
      <x:c r="E1459" s="12" t="n">
        <x:v>0</x:v>
      </x:c>
      <x:c r="F1459" s="12" t="n">
        <x:v>0</x:v>
      </x:c>
      <x:c r="G1459" s="12" t="n">
        <x:v>0</x:v>
      </x:c>
      <x:c r="H1459" s="12" t="n">
        <x:f>IF(SUM(I1459:K1459)&gt;0,1,0)</x:f>
        <x:v>0</x:v>
      </x:c>
      <x:c r="I1459" s="12" t="n">
        <x:f>IF('患者配对'!M1622="positive",1,0)</x:f>
        <x:v>0</x:v>
      </x:c>
      <x:c r="J1459" s="12" t="n">
        <x:f>IF('患者配对'!R1622="positive",1,0)</x:f>
        <x:v>0</x:v>
      </x:c>
      <x:c r="K1459" s="12" t="n">
        <x:f>IF('患者配对'!W1622="positive",1,0)</x:f>
        <x:v>0</x:v>
      </x:c>
      <x:c r="L1459" s="12" t="str">
        <x:v>由原件与原状态取得；仅主队列索引</x:v>
      </x:c>
      <x:c r="M1459" s="12"/>
      <x:c r="N1459" s="12"/>
      <x:c r="O1459" s="12"/>
    </x:row>
    <x:row r="1460" ht="39" customHeight="1">
      <x:c r="A1460" s="12" t="str">
        <x:v>15235</x:v>
      </x:c>
      <x:c r="B1460" s="12" t="str">
        <x:v>12422</x:v>
      </x:c>
      <x:c r="C1460" s="12" t="str">
        <x:v>参考000</x:v>
      </x:c>
      <x:c r="D1460" s="12" t="str">
        <x:v>自动000</x:v>
      </x:c>
      <x:c r="E1460" s="12" t="n">
        <x:v>0</x:v>
      </x:c>
      <x:c r="F1460" s="12" t="n">
        <x:v>0</x:v>
      </x:c>
      <x:c r="G1460" s="12" t="n">
        <x:v>0</x:v>
      </x:c>
      <x:c r="H1460" s="12" t="n">
        <x:f>IF(SUM(I1460:K1460)&gt;0,1,0)</x:f>
        <x:v>0</x:v>
      </x:c>
      <x:c r="I1460" s="12" t="n">
        <x:f>IF('患者配对'!M1623="positive",1,0)</x:f>
        <x:v>0</x:v>
      </x:c>
      <x:c r="J1460" s="12" t="n">
        <x:f>IF('患者配对'!R1623="positive",1,0)</x:f>
        <x:v>0</x:v>
      </x:c>
      <x:c r="K1460" s="12" t="n">
        <x:f>IF('患者配对'!W1623="positive",1,0)</x:f>
        <x:v>0</x:v>
      </x:c>
      <x:c r="L1460" s="12" t="str">
        <x:v>由原件与原状态取得；仅主队列索引</x:v>
      </x:c>
      <x:c r="M1460" s="12"/>
      <x:c r="N1460" s="12"/>
      <x:c r="O1460" s="12"/>
    </x:row>
    <x:row r="1461" ht="39" customHeight="1">
      <x:c r="A1461" s="12" t="str">
        <x:v>15297</x:v>
      </x:c>
      <x:c r="B1461" s="12" t="str">
        <x:v>17929</x:v>
      </x:c>
      <x:c r="C1461" s="12" t="str">
        <x:v>参考000</x:v>
      </x:c>
      <x:c r="D1461" s="12" t="str">
        <x:v>自动000</x:v>
      </x:c>
      <x:c r="E1461" s="12" t="n">
        <x:v>0</x:v>
      </x:c>
      <x:c r="F1461" s="12" t="n">
        <x:v>0</x:v>
      </x:c>
      <x:c r="G1461" s="12" t="n">
        <x:v>0</x:v>
      </x:c>
      <x:c r="H1461" s="12" t="n">
        <x:f>IF(SUM(I1461:K1461)&gt;0,1,0)</x:f>
        <x:v>0</x:v>
      </x:c>
      <x:c r="I1461" s="12" t="n">
        <x:f>IF('患者配对'!M1626="positive",1,0)</x:f>
        <x:v>0</x:v>
      </x:c>
      <x:c r="J1461" s="12" t="n">
        <x:f>IF('患者配对'!R1626="positive",1,0)</x:f>
        <x:v>0</x:v>
      </x:c>
      <x:c r="K1461" s="12" t="n">
        <x:f>IF('患者配对'!W1626="positive",1,0)</x:f>
        <x:v>0</x:v>
      </x:c>
      <x:c r="L1461" s="12" t="str">
        <x:v>由原件与原状态取得；仅主队列索引</x:v>
      </x:c>
      <x:c r="M1461" s="12"/>
      <x:c r="N1461" s="12"/>
      <x:c r="O1461" s="12"/>
    </x:row>
    <x:row r="1462" ht="39" customHeight="1">
      <x:c r="A1462" s="12" t="str">
        <x:v>15377</x:v>
      </x:c>
      <x:c r="B1462" s="12" t="str">
        <x:v>16237</x:v>
      </x:c>
      <x:c r="C1462" s="12" t="str">
        <x:v>参考000</x:v>
      </x:c>
      <x:c r="D1462" s="12" t="str">
        <x:v>自动000</x:v>
      </x:c>
      <x:c r="E1462" s="12" t="n">
        <x:v>0</x:v>
      </x:c>
      <x:c r="F1462" s="12" t="n">
        <x:v>1</x:v>
      </x:c>
      <x:c r="G1462" s="12" t="n">
        <x:v>0</x:v>
      </x:c>
      <x:c r="H1462" s="12" t="n">
        <x:f>IF(SUM(I1462:K1462)&gt;0,1,0)</x:f>
        <x:v>0</x:v>
      </x:c>
      <x:c r="I1462" s="12" t="n">
        <x:f>IF('患者配对'!M1627="positive",1,0)</x:f>
        <x:v>0</x:v>
      </x:c>
      <x:c r="J1462" s="12" t="n">
        <x:f>IF('患者配对'!R1627="positive",1,0)</x:f>
        <x:v>0</x:v>
      </x:c>
      <x:c r="K1462" s="12" t="n">
        <x:f>IF('患者配对'!W1627="positive",1,0)</x:f>
        <x:v>0</x:v>
      </x:c>
      <x:c r="L1462" s="12" t="str">
        <x:v>由原件与原状态取得；仅主队列索引</x:v>
      </x:c>
      <x:c r="M1462" s="12"/>
      <x:c r="N1462" s="12"/>
      <x:c r="O1462" s="12"/>
    </x:row>
    <x:row r="1463" ht="39" customHeight="1">
      <x:c r="A1463" s="12" t="str">
        <x:v>15384</x:v>
      </x:c>
      <x:c r="B1463" s="12" t="str">
        <x:v>11556</x:v>
      </x:c>
      <x:c r="C1463" s="12" t="str">
        <x:v>参考000</x:v>
      </x:c>
      <x:c r="D1463" s="12" t="str">
        <x:v>自动000</x:v>
      </x:c>
      <x:c r="E1463" s="12" t="n">
        <x:v>0</x:v>
      </x:c>
      <x:c r="F1463" s="12" t="n">
        <x:v>0</x:v>
      </x:c>
      <x:c r="G1463" s="12" t="n">
        <x:v>0</x:v>
      </x:c>
      <x:c r="H1463" s="12" t="n">
        <x:f>IF(SUM(I1463:K1463)&gt;0,1,0)</x:f>
        <x:v>0</x:v>
      </x:c>
      <x:c r="I1463" s="12" t="n">
        <x:f>IF('患者配对'!M1628="positive",1,0)</x:f>
        <x:v>0</x:v>
      </x:c>
      <x:c r="J1463" s="12" t="n">
        <x:f>IF('患者配对'!R1628="positive",1,0)</x:f>
        <x:v>0</x:v>
      </x:c>
      <x:c r="K1463" s="12" t="n">
        <x:f>IF('患者配对'!W1628="positive",1,0)</x:f>
        <x:v>0</x:v>
      </x:c>
      <x:c r="L1463" s="12" t="str">
        <x:v>由原件与原状态取得；仅主队列索引</x:v>
      </x:c>
      <x:c r="M1463" s="12"/>
      <x:c r="N1463" s="12"/>
      <x:c r="O1463" s="12"/>
    </x:row>
    <x:row r="1464" ht="39" customHeight="1">
      <x:c r="A1464" s="12" t="str">
        <x:v>15400</x:v>
      </x:c>
      <x:c r="B1464" s="12" t="str">
        <x:v>12097</x:v>
      </x:c>
      <x:c r="C1464" s="12" t="str">
        <x:v>参考000</x:v>
      </x:c>
      <x:c r="D1464" s="12" t="str">
        <x:v>自动000</x:v>
      </x:c>
      <x:c r="E1464" s="12" t="n">
        <x:v>0</x:v>
      </x:c>
      <x:c r="F1464" s="12" t="n">
        <x:v>0</x:v>
      </x:c>
      <x:c r="G1464" s="12" t="n">
        <x:v>0</x:v>
      </x:c>
      <x:c r="H1464" s="12" t="n">
        <x:f>IF(SUM(I1464:K1464)&gt;0,1,0)</x:f>
        <x:v>0</x:v>
      </x:c>
      <x:c r="I1464" s="12" t="n">
        <x:f>IF('患者配对'!M1630="positive",1,0)</x:f>
        <x:v>0</x:v>
      </x:c>
      <x:c r="J1464" s="12" t="n">
        <x:f>IF('患者配对'!R1630="positive",1,0)</x:f>
        <x:v>0</x:v>
      </x:c>
      <x:c r="K1464" s="12" t="n">
        <x:f>IF('患者配对'!W1630="positive",1,0)</x:f>
        <x:v>0</x:v>
      </x:c>
      <x:c r="L1464" s="12" t="str">
        <x:v>由原件与原状态取得；仅主队列索引</x:v>
      </x:c>
      <x:c r="M1464" s="12"/>
      <x:c r="N1464" s="12"/>
      <x:c r="O1464" s="12"/>
    </x:row>
    <x:row r="1465" ht="39" customHeight="1">
      <x:c r="A1465" s="12" t="str">
        <x:v>15421</x:v>
      </x:c>
      <x:c r="B1465" s="12" t="str">
        <x:v>16734</x:v>
      </x:c>
      <x:c r="C1465" s="12" t="str">
        <x:v>参考000</x:v>
      </x:c>
      <x:c r="D1465" s="12" t="str">
        <x:v>自动000</x:v>
      </x:c>
      <x:c r="E1465" s="12" t="n">
        <x:v>0</x:v>
      </x:c>
      <x:c r="F1465" s="12" t="n">
        <x:v>1</x:v>
      </x:c>
      <x:c r="G1465" s="12" t="n">
        <x:v>0</x:v>
      </x:c>
      <x:c r="H1465" s="12" t="n">
        <x:f>IF(SUM(I1465:K1465)&gt;0,1,0)</x:f>
        <x:v>0</x:v>
      </x:c>
      <x:c r="I1465" s="12" t="n">
        <x:f>IF('患者配对'!M1631="positive",1,0)</x:f>
        <x:v>0</x:v>
      </x:c>
      <x:c r="J1465" s="12" t="n">
        <x:f>IF('患者配对'!R1631="positive",1,0)</x:f>
        <x:v>0</x:v>
      </x:c>
      <x:c r="K1465" s="12" t="n">
        <x:f>IF('患者配对'!W1631="positive",1,0)</x:f>
        <x:v>0</x:v>
      </x:c>
      <x:c r="L1465" s="12" t="str">
        <x:v>由原件与原状态取得；仅主队列索引</x:v>
      </x:c>
      <x:c r="M1465" s="12"/>
      <x:c r="N1465" s="12"/>
      <x:c r="O1465" s="12"/>
    </x:row>
    <x:row r="1466" ht="39" customHeight="1">
      <x:c r="A1466" s="12" t="str">
        <x:v>15444</x:v>
      </x:c>
      <x:c r="B1466" s="12" t="str">
        <x:v>13898</x:v>
      </x:c>
      <x:c r="C1466" s="12" t="str">
        <x:v>参考000</x:v>
      </x:c>
      <x:c r="D1466" s="12" t="str">
        <x:v>自动000</x:v>
      </x:c>
      <x:c r="E1466" s="12" t="n">
        <x:v>0</x:v>
      </x:c>
      <x:c r="F1466" s="12" t="n">
        <x:v>0</x:v>
      </x:c>
      <x:c r="G1466" s="12" t="n">
        <x:v>0</x:v>
      </x:c>
      <x:c r="H1466" s="12" t="n">
        <x:f>IF(SUM(I1466:K1466)&gt;0,1,0)</x:f>
        <x:v>0</x:v>
      </x:c>
      <x:c r="I1466" s="12" t="n">
        <x:f>IF('患者配对'!M1633="positive",1,0)</x:f>
        <x:v>0</x:v>
      </x:c>
      <x:c r="J1466" s="12" t="n">
        <x:f>IF('患者配对'!R1633="positive",1,0)</x:f>
        <x:v>0</x:v>
      </x:c>
      <x:c r="K1466" s="12" t="n">
        <x:f>IF('患者配对'!W1633="positive",1,0)</x:f>
        <x:v>0</x:v>
      </x:c>
      <x:c r="L1466" s="12" t="str">
        <x:v>由原件与原状态取得；仅主队列索引</x:v>
      </x:c>
      <x:c r="M1466" s="12"/>
      <x:c r="N1466" s="12"/>
      <x:c r="O1466" s="12"/>
    </x:row>
    <x:row r="1467" ht="39" customHeight="1">
      <x:c r="A1467" s="12" t="str">
        <x:v>15447</x:v>
      </x:c>
      <x:c r="B1467" s="12" t="str">
        <x:v>8521</x:v>
      </x:c>
      <x:c r="C1467" s="12" t="str">
        <x:v>参考110</x:v>
      </x:c>
      <x:c r="D1467" s="12" t="str">
        <x:v>自动110</x:v>
      </x:c>
      <x:c r="E1467" s="12" t="n">
        <x:v>1</x:v>
      </x:c>
      <x:c r="F1467" s="12" t="n">
        <x:v>1</x:v>
      </x:c>
      <x:c r="G1467" s="12" t="n">
        <x:v>0</x:v>
      </x:c>
      <x:c r="H1467" s="12" t="n">
        <x:f>IF(SUM(I1467:K1467)&gt;0,1,0)</x:f>
        <x:v>1</x:v>
      </x:c>
      <x:c r="I1467" s="12" t="n">
        <x:f>IF('患者配对'!M1634="positive",1,0)</x:f>
        <x:v>1</x:v>
      </x:c>
      <x:c r="J1467" s="12" t="n">
        <x:f>IF('患者配对'!R1634="positive",1,0)</x:f>
        <x:v>1</x:v>
      </x:c>
      <x:c r="K1467" s="12" t="n">
        <x:f>IF('患者配对'!W1634="positive",1,0)</x:f>
        <x:v>0</x:v>
      </x:c>
      <x:c r="L1467" s="12" t="str">
        <x:v>由原件与原状态取得；仅主队列索引</x:v>
      </x:c>
      <x:c r="M1467" s="12"/>
      <x:c r="N1467" s="12"/>
      <x:c r="O1467" s="12"/>
    </x:row>
    <x:row r="1468" ht="39" customHeight="1">
      <x:c r="A1468" s="12" t="str">
        <x:v>15461</x:v>
      </x:c>
      <x:c r="B1468" s="12" t="str">
        <x:v>8007</x:v>
      </x:c>
      <x:c r="C1468" s="12" t="str">
        <x:v>参考000</x:v>
      </x:c>
      <x:c r="D1468" s="12" t="str">
        <x:v>自动000</x:v>
      </x:c>
      <x:c r="E1468" s="12" t="n">
        <x:v>0</x:v>
      </x:c>
      <x:c r="F1468" s="12" t="n">
        <x:v>0</x:v>
      </x:c>
      <x:c r="G1468" s="12" t="n">
        <x:v>0</x:v>
      </x:c>
      <x:c r="H1468" s="12" t="n">
        <x:f>IF(SUM(I1468:K1468)&gt;0,1,0)</x:f>
        <x:v>0</x:v>
      </x:c>
      <x:c r="I1468" s="12" t="n">
        <x:f>IF('患者配对'!M1635="positive",1,0)</x:f>
        <x:v>0</x:v>
      </x:c>
      <x:c r="J1468" s="12" t="n">
        <x:f>IF('患者配对'!R1635="positive",1,0)</x:f>
        <x:v>0</x:v>
      </x:c>
      <x:c r="K1468" s="12" t="n">
        <x:f>IF('患者配对'!W1635="positive",1,0)</x:f>
        <x:v>0</x:v>
      </x:c>
      <x:c r="L1468" s="12" t="str">
        <x:v>由原件与原状态取得；仅主队列索引</x:v>
      </x:c>
      <x:c r="M1468" s="12"/>
      <x:c r="N1468" s="12"/>
      <x:c r="O1468" s="12"/>
    </x:row>
    <x:row r="1469" ht="39" customHeight="1">
      <x:c r="A1469" s="12" t="str">
        <x:v>15484</x:v>
      </x:c>
      <x:c r="B1469" s="12" t="str">
        <x:v>17430</x:v>
      </x:c>
      <x:c r="C1469" s="12" t="str">
        <x:v>参考000</x:v>
      </x:c>
      <x:c r="D1469" s="12" t="str">
        <x:v>自动000</x:v>
      </x:c>
      <x:c r="E1469" s="12" t="n">
        <x:v>0</x:v>
      </x:c>
      <x:c r="F1469" s="12" t="n">
        <x:v>1</x:v>
      </x:c>
      <x:c r="G1469" s="12" t="n">
        <x:v>0</x:v>
      </x:c>
      <x:c r="H1469" s="12" t="n">
        <x:f>IF(SUM(I1469:K1469)&gt;0,1,0)</x:f>
        <x:v>0</x:v>
      </x:c>
      <x:c r="I1469" s="12" t="n">
        <x:f>IF('患者配对'!M1636="positive",1,0)</x:f>
        <x:v>0</x:v>
      </x:c>
      <x:c r="J1469" s="12" t="n">
        <x:f>IF('患者配对'!R1636="positive",1,0)</x:f>
        <x:v>0</x:v>
      </x:c>
      <x:c r="K1469" s="12" t="n">
        <x:f>IF('患者配对'!W1636="positive",1,0)</x:f>
        <x:v>0</x:v>
      </x:c>
      <x:c r="L1469" s="12" t="str">
        <x:v>由原件与原状态取得；仅主队列索引</x:v>
      </x:c>
      <x:c r="M1469" s="12"/>
      <x:c r="N1469" s="12"/>
      <x:c r="O1469" s="12"/>
    </x:row>
    <x:row r="1470" ht="39" customHeight="1">
      <x:c r="A1470" s="12" t="str">
        <x:v>15487</x:v>
      </x:c>
      <x:c r="B1470" s="12" t="str">
        <x:v>8226</x:v>
      </x:c>
      <x:c r="C1470" s="12" t="str">
        <x:v>参考000</x:v>
      </x:c>
      <x:c r="D1470" s="12" t="str">
        <x:v>自动000</x:v>
      </x:c>
      <x:c r="E1470" s="12" t="n">
        <x:v>0</x:v>
      </x:c>
      <x:c r="F1470" s="12" t="n">
        <x:v>1</x:v>
      </x:c>
      <x:c r="G1470" s="12" t="n">
        <x:v>0</x:v>
      </x:c>
      <x:c r="H1470" s="12" t="n">
        <x:f>IF(SUM(I1470:K1470)&gt;0,1,0)</x:f>
        <x:v>0</x:v>
      </x:c>
      <x:c r="I1470" s="12" t="n">
        <x:f>IF('患者配对'!M1637="positive",1,0)</x:f>
        <x:v>0</x:v>
      </x:c>
      <x:c r="J1470" s="12" t="n">
        <x:f>IF('患者配对'!R1637="positive",1,0)</x:f>
        <x:v>0</x:v>
      </x:c>
      <x:c r="K1470" s="12" t="n">
        <x:f>IF('患者配对'!W1637="positive",1,0)</x:f>
        <x:v>0</x:v>
      </x:c>
      <x:c r="L1470" s="12" t="str">
        <x:v>由原件与原状态取得；仅主队列索引</x:v>
      </x:c>
      <x:c r="M1470" s="12"/>
      <x:c r="N1470" s="12"/>
      <x:c r="O1470" s="12"/>
    </x:row>
    <x:row r="1471" ht="39" customHeight="1">
      <x:c r="A1471" s="12" t="str">
        <x:v>15500</x:v>
      </x:c>
      <x:c r="B1471" s="12" t="str">
        <x:v>10486</x:v>
      </x:c>
      <x:c r="C1471" s="12" t="str">
        <x:v>参考000</x:v>
      </x:c>
      <x:c r="D1471" s="12" t="str">
        <x:v>自动000</x:v>
      </x:c>
      <x:c r="E1471" s="12" t="n">
        <x:v>0</x:v>
      </x:c>
      <x:c r="F1471" s="12" t="n">
        <x:v>1</x:v>
      </x:c>
      <x:c r="G1471" s="12" t="n">
        <x:v>0</x:v>
      </x:c>
      <x:c r="H1471" s="12" t="n">
        <x:f>IF(SUM(I1471:K1471)&gt;0,1,0)</x:f>
        <x:v>0</x:v>
      </x:c>
      <x:c r="I1471" s="12" t="n">
        <x:f>IF('患者配对'!M1638="positive",1,0)</x:f>
        <x:v>0</x:v>
      </x:c>
      <x:c r="J1471" s="12" t="n">
        <x:f>IF('患者配对'!R1638="positive",1,0)</x:f>
        <x:v>0</x:v>
      </x:c>
      <x:c r="K1471" s="12" t="n">
        <x:f>IF('患者配对'!W1638="positive",1,0)</x:f>
        <x:v>0</x:v>
      </x:c>
      <x:c r="L1471" s="12" t="str">
        <x:v>由原件与原状态取得；仅主队列索引</x:v>
      </x:c>
      <x:c r="M1471" s="12"/>
      <x:c r="N1471" s="12"/>
      <x:c r="O1471" s="12"/>
    </x:row>
    <x:row r="1472" ht="39" customHeight="1">
      <x:c r="A1472" s="12" t="str">
        <x:v>15507</x:v>
      </x:c>
      <x:c r="B1472" s="12" t="str">
        <x:v>8772</x:v>
      </x:c>
      <x:c r="C1472" s="12" t="str">
        <x:v>参考000</x:v>
      </x:c>
      <x:c r="D1472" s="12" t="str">
        <x:v>自动000</x:v>
      </x:c>
      <x:c r="E1472" s="12" t="n">
        <x:v>0</x:v>
      </x:c>
      <x:c r="F1472" s="12" t="n">
        <x:v>1</x:v>
      </x:c>
      <x:c r="G1472" s="12" t="n">
        <x:v>0</x:v>
      </x:c>
      <x:c r="H1472" s="12" t="n">
        <x:f>IF(SUM(I1472:K1472)&gt;0,1,0)</x:f>
        <x:v>0</x:v>
      </x:c>
      <x:c r="I1472" s="12" t="n">
        <x:f>IF('患者配对'!M1639="positive",1,0)</x:f>
        <x:v>0</x:v>
      </x:c>
      <x:c r="J1472" s="12" t="n">
        <x:f>IF('患者配对'!R1639="positive",1,0)</x:f>
        <x:v>0</x:v>
      </x:c>
      <x:c r="K1472" s="12" t="n">
        <x:f>IF('患者配对'!W1639="positive",1,0)</x:f>
        <x:v>0</x:v>
      </x:c>
      <x:c r="L1472" s="12" t="str">
        <x:v>由原件与原状态取得；仅主队列索引</x:v>
      </x:c>
      <x:c r="M1472" s="12"/>
      <x:c r="N1472" s="12"/>
      <x:c r="O1472" s="12"/>
    </x:row>
    <x:row r="1473" ht="39" customHeight="1">
      <x:c r="A1473" s="12" t="str">
        <x:v>15526</x:v>
      </x:c>
      <x:c r="B1473" s="12" t="str">
        <x:v>9501</x:v>
      </x:c>
      <x:c r="C1473" s="12" t="str">
        <x:v>参考001</x:v>
      </x:c>
      <x:c r="D1473" s="12" t="str">
        <x:v>自动001</x:v>
      </x:c>
      <x:c r="E1473" s="12" t="n">
        <x:v>1</x:v>
      </x:c>
      <x:c r="F1473" s="12" t="n">
        <x:v>1</x:v>
      </x:c>
      <x:c r="G1473" s="12" t="n">
        <x:v>0</x:v>
      </x:c>
      <x:c r="H1473" s="12" t="n">
        <x:f>IF(SUM(I1473:K1473)&gt;0,1,0)</x:f>
        <x:v>1</x:v>
      </x:c>
      <x:c r="I1473" s="12" t="n">
        <x:f>IF('患者配对'!M1640="positive",1,0)</x:f>
        <x:v>0</x:v>
      </x:c>
      <x:c r="J1473" s="12" t="n">
        <x:f>IF('患者配对'!R1640="positive",1,0)</x:f>
        <x:v>0</x:v>
      </x:c>
      <x:c r="K1473" s="12" t="n">
        <x:f>IF('患者配对'!W1640="positive",1,0)</x:f>
        <x:v>1</x:v>
      </x:c>
      <x:c r="L1473" s="12" t="str">
        <x:v>由原件与原状态取得；仅主队列索引</x:v>
      </x:c>
      <x:c r="M1473" s="12"/>
      <x:c r="N1473" s="12"/>
      <x:c r="O1473" s="12"/>
    </x:row>
    <x:row r="1474" ht="39" customHeight="1">
      <x:c r="A1474" s="12" t="str">
        <x:v>15548</x:v>
      </x:c>
      <x:c r="B1474" s="12" t="str">
        <x:v>18897</x:v>
      </x:c>
      <x:c r="C1474" s="12" t="str">
        <x:v>参考000</x:v>
      </x:c>
      <x:c r="D1474" s="12" t="str">
        <x:v>自动000</x:v>
      </x:c>
      <x:c r="E1474" s="12" t="n">
        <x:v>0</x:v>
      </x:c>
      <x:c r="F1474" s="12" t="n">
        <x:v>0</x:v>
      </x:c>
      <x:c r="G1474" s="12" t="n">
        <x:v>0</x:v>
      </x:c>
      <x:c r="H1474" s="12" t="n">
        <x:f>IF(SUM(I1474:K1474)&gt;0,1,0)</x:f>
        <x:v>0</x:v>
      </x:c>
      <x:c r="I1474" s="12" t="n">
        <x:f>IF('患者配对'!M1642="positive",1,0)</x:f>
        <x:v>0</x:v>
      </x:c>
      <x:c r="J1474" s="12" t="n">
        <x:f>IF('患者配对'!R1642="positive",1,0)</x:f>
        <x:v>0</x:v>
      </x:c>
      <x:c r="K1474" s="12" t="n">
        <x:f>IF('患者配对'!W1642="positive",1,0)</x:f>
        <x:v>0</x:v>
      </x:c>
      <x:c r="L1474" s="12" t="str">
        <x:v>由原件与原状态取得；仅主队列索引</x:v>
      </x:c>
      <x:c r="M1474" s="12"/>
      <x:c r="N1474" s="12"/>
      <x:c r="O1474" s="12"/>
    </x:row>
    <x:row r="1475" ht="39" customHeight="1">
      <x:c r="A1475" s="12" t="str">
        <x:v>15575</x:v>
      </x:c>
      <x:c r="B1475" s="12" t="str">
        <x:v>16635</x:v>
      </x:c>
      <x:c r="C1475" s="12" t="str">
        <x:v>参考000</x:v>
      </x:c>
      <x:c r="D1475" s="12" t="str">
        <x:v>自动000</x:v>
      </x:c>
      <x:c r="E1475" s="12" t="n">
        <x:v>0</x:v>
      </x:c>
      <x:c r="F1475" s="12" t="n">
        <x:v>0</x:v>
      </x:c>
      <x:c r="G1475" s="12" t="n">
        <x:v>0</x:v>
      </x:c>
      <x:c r="H1475" s="12" t="n">
        <x:f>IF(SUM(I1475:K1475)&gt;0,1,0)</x:f>
        <x:v>0</x:v>
      </x:c>
      <x:c r="I1475" s="12" t="n">
        <x:f>IF('患者配对'!M1645="positive",1,0)</x:f>
        <x:v>0</x:v>
      </x:c>
      <x:c r="J1475" s="12" t="n">
        <x:f>IF('患者配对'!R1645="positive",1,0)</x:f>
        <x:v>0</x:v>
      </x:c>
      <x:c r="K1475" s="12" t="n">
        <x:f>IF('患者配对'!W1645="positive",1,0)</x:f>
        <x:v>0</x:v>
      </x:c>
      <x:c r="L1475" s="12" t="str">
        <x:v>由原件与原状态取得；仅主队列索引</x:v>
      </x:c>
      <x:c r="M1475" s="12"/>
      <x:c r="N1475" s="12"/>
      <x:c r="O1475" s="12"/>
    </x:row>
    <x:row r="1476" ht="39" customHeight="1">
      <x:c r="A1476" s="12" t="str">
        <x:v>15588</x:v>
      </x:c>
      <x:c r="B1476" s="12" t="str">
        <x:v>21474</x:v>
      </x:c>
      <x:c r="C1476" s="12" t="str">
        <x:v>参考000</x:v>
      </x:c>
      <x:c r="D1476" s="12" t="str">
        <x:v>自动000</x:v>
      </x:c>
      <x:c r="E1476" s="12" t="n">
        <x:v>0</x:v>
      </x:c>
      <x:c r="F1476" s="12" t="n">
        <x:v>0</x:v>
      </x:c>
      <x:c r="G1476" s="12" t="n">
        <x:v>0</x:v>
      </x:c>
      <x:c r="H1476" s="12" t="n">
        <x:f>IF(SUM(I1476:K1476)&gt;0,1,0)</x:f>
        <x:v>0</x:v>
      </x:c>
      <x:c r="I1476" s="12" t="n">
        <x:f>IF('患者配对'!M1646="positive",1,0)</x:f>
        <x:v>0</x:v>
      </x:c>
      <x:c r="J1476" s="12" t="n">
        <x:f>IF('患者配对'!R1646="positive",1,0)</x:f>
        <x:v>0</x:v>
      </x:c>
      <x:c r="K1476" s="12" t="n">
        <x:f>IF('患者配对'!W1646="positive",1,0)</x:f>
        <x:v>0</x:v>
      </x:c>
      <x:c r="L1476" s="12" t="str">
        <x:v>由原件与原状态取得；仅主队列索引</x:v>
      </x:c>
      <x:c r="M1476" s="12"/>
      <x:c r="N1476" s="12"/>
      <x:c r="O1476" s="12"/>
    </x:row>
    <x:row r="1477" ht="39" customHeight="1">
      <x:c r="A1477" s="12" t="str">
        <x:v>15631</x:v>
      </x:c>
      <x:c r="B1477" s="12" t="str">
        <x:v>14931</x:v>
      </x:c>
      <x:c r="C1477" s="12" t="str">
        <x:v>参考000</x:v>
      </x:c>
      <x:c r="D1477" s="12" t="str">
        <x:v>自动000</x:v>
      </x:c>
      <x:c r="E1477" s="12" t="n">
        <x:v>0</x:v>
      </x:c>
      <x:c r="F1477" s="12" t="n">
        <x:v>1</x:v>
      </x:c>
      <x:c r="G1477" s="12" t="n">
        <x:v>0</x:v>
      </x:c>
      <x:c r="H1477" s="12" t="n">
        <x:f>IF(SUM(I1477:K1477)&gt;0,1,0)</x:f>
        <x:v>0</x:v>
      </x:c>
      <x:c r="I1477" s="12" t="n">
        <x:f>IF('患者配对'!M1647="positive",1,0)</x:f>
        <x:v>0</x:v>
      </x:c>
      <x:c r="J1477" s="12" t="n">
        <x:f>IF('患者配对'!R1647="positive",1,0)</x:f>
        <x:v>0</x:v>
      </x:c>
      <x:c r="K1477" s="12" t="n">
        <x:f>IF('患者配对'!W1647="positive",1,0)</x:f>
        <x:v>0</x:v>
      </x:c>
      <x:c r="L1477" s="12" t="str">
        <x:v>由原件与原状态取得；仅主队列索引</x:v>
      </x:c>
      <x:c r="M1477" s="12"/>
      <x:c r="N1477" s="12"/>
      <x:c r="O1477" s="12"/>
    </x:row>
    <x:row r="1478" ht="39" customHeight="1">
      <x:c r="A1478" s="12" t="str">
        <x:v>15638</x:v>
      </x:c>
      <x:c r="B1478" s="12" t="str">
        <x:v>15126</x:v>
      </x:c>
      <x:c r="C1478" s="12" t="str">
        <x:v>参考000</x:v>
      </x:c>
      <x:c r="D1478" s="12" t="str">
        <x:v>自动000</x:v>
      </x:c>
      <x:c r="E1478" s="12" t="n">
        <x:v>0</x:v>
      </x:c>
      <x:c r="F1478" s="12" t="n">
        <x:v>0</x:v>
      </x:c>
      <x:c r="G1478" s="12" t="n">
        <x:v>0</x:v>
      </x:c>
      <x:c r="H1478" s="12" t="n">
        <x:f>IF(SUM(I1478:K1478)&gt;0,1,0)</x:f>
        <x:v>0</x:v>
      </x:c>
      <x:c r="I1478" s="12" t="n">
        <x:f>IF('患者配对'!M1648="positive",1,0)</x:f>
        <x:v>0</x:v>
      </x:c>
      <x:c r="J1478" s="12" t="n">
        <x:f>IF('患者配对'!R1648="positive",1,0)</x:f>
        <x:v>0</x:v>
      </x:c>
      <x:c r="K1478" s="12" t="n">
        <x:f>IF('患者配对'!W1648="positive",1,0)</x:f>
        <x:v>0</x:v>
      </x:c>
      <x:c r="L1478" s="12" t="str">
        <x:v>由原件与原状态取得；仅主队列索引</x:v>
      </x:c>
      <x:c r="M1478" s="12"/>
      <x:c r="N1478" s="12"/>
      <x:c r="O1478" s="12"/>
    </x:row>
    <x:row r="1479" ht="39" customHeight="1">
      <x:c r="A1479" s="12" t="str">
        <x:v>15652</x:v>
      </x:c>
      <x:c r="B1479" s="12" t="str">
        <x:v>4427</x:v>
      </x:c>
      <x:c r="C1479" s="12" t="str">
        <x:v>参考000</x:v>
      </x:c>
      <x:c r="D1479" s="12" t="str">
        <x:v>自动000</x:v>
      </x:c>
      <x:c r="E1479" s="12" t="n">
        <x:v>0</x:v>
      </x:c>
      <x:c r="F1479" s="12" t="n">
        <x:v>0</x:v>
      </x:c>
      <x:c r="G1479" s="12" t="n">
        <x:v>0</x:v>
      </x:c>
      <x:c r="H1479" s="12" t="n">
        <x:f>IF(SUM(I1479:K1479)&gt;0,1,0)</x:f>
        <x:v>0</x:v>
      </x:c>
      <x:c r="I1479" s="12" t="n">
        <x:f>IF('患者配对'!M1650="positive",1,0)</x:f>
        <x:v>0</x:v>
      </x:c>
      <x:c r="J1479" s="12" t="n">
        <x:f>IF('患者配对'!R1650="positive",1,0)</x:f>
        <x:v>0</x:v>
      </x:c>
      <x:c r="K1479" s="12" t="n">
        <x:f>IF('患者配对'!W1650="positive",1,0)</x:f>
        <x:v>0</x:v>
      </x:c>
      <x:c r="L1479" s="12" t="str">
        <x:v>由原件与原状态取得；仅主队列索引</x:v>
      </x:c>
      <x:c r="M1479" s="12"/>
      <x:c r="N1479" s="12"/>
      <x:c r="O1479" s="12"/>
    </x:row>
    <x:row r="1480" ht="39" customHeight="1">
      <x:c r="A1480" s="12" t="str">
        <x:v>15674</x:v>
      </x:c>
      <x:c r="B1480" s="12" t="str">
        <x:v>3316</x:v>
      </x:c>
      <x:c r="C1480" s="12" t="str">
        <x:v>参考000</x:v>
      </x:c>
      <x:c r="D1480" s="12" t="str">
        <x:v>自动000</x:v>
      </x:c>
      <x:c r="E1480" s="12" t="n">
        <x:v>0</x:v>
      </x:c>
      <x:c r="F1480" s="12" t="n">
        <x:v>0</x:v>
      </x:c>
      <x:c r="G1480" s="12" t="n">
        <x:v>0</x:v>
      </x:c>
      <x:c r="H1480" s="12" t="n">
        <x:f>IF(SUM(I1480:K1480)&gt;0,1,0)</x:f>
        <x:v>0</x:v>
      </x:c>
      <x:c r="I1480" s="12" t="n">
        <x:f>IF('患者配对'!M1651="positive",1,0)</x:f>
        <x:v>0</x:v>
      </x:c>
      <x:c r="J1480" s="12" t="n">
        <x:f>IF('患者配对'!R1651="positive",1,0)</x:f>
        <x:v>0</x:v>
      </x:c>
      <x:c r="K1480" s="12" t="n">
        <x:f>IF('患者配对'!W1651="positive",1,0)</x:f>
        <x:v>0</x:v>
      </x:c>
      <x:c r="L1480" s="12" t="str">
        <x:v>由原件与原状态取得；仅主队列索引</x:v>
      </x:c>
      <x:c r="M1480" s="12"/>
      <x:c r="N1480" s="12"/>
      <x:c r="O1480" s="12"/>
    </x:row>
    <x:row r="1481" ht="39" customHeight="1">
      <x:c r="A1481" s="12" t="str">
        <x:v>15677</x:v>
      </x:c>
      <x:c r="B1481" s="12" t="str">
        <x:v>13240</x:v>
      </x:c>
      <x:c r="C1481" s="12" t="str">
        <x:v>参考000</x:v>
      </x:c>
      <x:c r="D1481" s="12" t="str">
        <x:v>自动000</x:v>
      </x:c>
      <x:c r="E1481" s="12" t="n">
        <x:v>0</x:v>
      </x:c>
      <x:c r="F1481" s="12" t="n">
        <x:v>0</x:v>
      </x:c>
      <x:c r="G1481" s="12" t="n">
        <x:v>0</x:v>
      </x:c>
      <x:c r="H1481" s="12" t="n">
        <x:f>IF(SUM(I1481:K1481)&gt;0,1,0)</x:f>
        <x:v>0</x:v>
      </x:c>
      <x:c r="I1481" s="12" t="n">
        <x:f>IF('患者配对'!M1652="positive",1,0)</x:f>
        <x:v>0</x:v>
      </x:c>
      <x:c r="J1481" s="12" t="n">
        <x:f>IF('患者配对'!R1652="positive",1,0)</x:f>
        <x:v>0</x:v>
      </x:c>
      <x:c r="K1481" s="12" t="n">
        <x:f>IF('患者配对'!W1652="positive",1,0)</x:f>
        <x:v>0</x:v>
      </x:c>
      <x:c r="L1481" s="12" t="str">
        <x:v>由原件与原状态取得；仅主队列索引</x:v>
      </x:c>
      <x:c r="M1481" s="12"/>
      <x:c r="N1481" s="12"/>
      <x:c r="O1481" s="12"/>
    </x:row>
    <x:row r="1482" ht="39" customHeight="1">
      <x:c r="A1482" s="12" t="str">
        <x:v>15689</x:v>
      </x:c>
      <x:c r="B1482" s="12" t="str">
        <x:v>3779</x:v>
      </x:c>
      <x:c r="C1482" s="12" t="str">
        <x:v>参考000</x:v>
      </x:c>
      <x:c r="D1482" s="12" t="str">
        <x:v>自动000</x:v>
      </x:c>
      <x:c r="E1482" s="12" t="n">
        <x:v>0</x:v>
      </x:c>
      <x:c r="F1482" s="12" t="n">
        <x:v>0</x:v>
      </x:c>
      <x:c r="G1482" s="12" t="n">
        <x:v>0</x:v>
      </x:c>
      <x:c r="H1482" s="12" t="n">
        <x:f>IF(SUM(I1482:K1482)&gt;0,1,0)</x:f>
        <x:v>0</x:v>
      </x:c>
      <x:c r="I1482" s="12" t="n">
        <x:f>IF('患者配对'!M1653="positive",1,0)</x:f>
        <x:v>0</x:v>
      </x:c>
      <x:c r="J1482" s="12" t="n">
        <x:f>IF('患者配对'!R1653="positive",1,0)</x:f>
        <x:v>0</x:v>
      </x:c>
      <x:c r="K1482" s="12" t="n">
        <x:f>IF('患者配对'!W1653="positive",1,0)</x:f>
        <x:v>0</x:v>
      </x:c>
      <x:c r="L1482" s="12" t="str">
        <x:v>由原件与原状态取得；仅主队列索引</x:v>
      </x:c>
      <x:c r="M1482" s="12"/>
      <x:c r="N1482" s="12"/>
      <x:c r="O1482" s="12"/>
    </x:row>
    <x:row r="1483" ht="39" customHeight="1">
      <x:c r="A1483" s="12" t="str">
        <x:v>15715</x:v>
      </x:c>
      <x:c r="B1483" s="12" t="str">
        <x:v>21508</x:v>
      </x:c>
      <x:c r="C1483" s="12" t="str">
        <x:v>参考000</x:v>
      </x:c>
      <x:c r="D1483" s="12" t="str">
        <x:v>自动000</x:v>
      </x:c>
      <x:c r="E1483" s="12" t="n">
        <x:v>0</x:v>
      </x:c>
      <x:c r="F1483" s="12" t="n">
        <x:v>0</x:v>
      </x:c>
      <x:c r="G1483" s="12" t="n">
        <x:v>0</x:v>
      </x:c>
      <x:c r="H1483" s="12" t="n">
        <x:f>IF(SUM(I1483:K1483)&gt;0,1,0)</x:f>
        <x:v>0</x:v>
      </x:c>
      <x:c r="I1483" s="12" t="n">
        <x:f>IF('患者配对'!M1654="positive",1,0)</x:f>
        <x:v>0</x:v>
      </x:c>
      <x:c r="J1483" s="12" t="n">
        <x:f>IF('患者配对'!R1654="positive",1,0)</x:f>
        <x:v>0</x:v>
      </x:c>
      <x:c r="K1483" s="12" t="n">
        <x:f>IF('患者配对'!W1654="positive",1,0)</x:f>
        <x:v>0</x:v>
      </x:c>
      <x:c r="L1483" s="12" t="str">
        <x:v>由原件与原状态取得；仅主队列索引</x:v>
      </x:c>
      <x:c r="M1483" s="12"/>
      <x:c r="N1483" s="12"/>
      <x:c r="O1483" s="12"/>
    </x:row>
    <x:row r="1484" ht="39" customHeight="1">
      <x:c r="A1484" s="12" t="str">
        <x:v>15729</x:v>
      </x:c>
      <x:c r="B1484" s="12" t="str">
        <x:v>5955</x:v>
      </x:c>
      <x:c r="C1484" s="12" t="str">
        <x:v>参考000</x:v>
      </x:c>
      <x:c r="D1484" s="12" t="str">
        <x:v>自动000</x:v>
      </x:c>
      <x:c r="E1484" s="12" t="n">
        <x:v>0</x:v>
      </x:c>
      <x:c r="F1484" s="12" t="n">
        <x:v>0</x:v>
      </x:c>
      <x:c r="G1484" s="12" t="n">
        <x:v>0</x:v>
      </x:c>
      <x:c r="H1484" s="12" t="n">
        <x:f>IF(SUM(I1484:K1484)&gt;0,1,0)</x:f>
        <x:v>0</x:v>
      </x:c>
      <x:c r="I1484" s="12" t="n">
        <x:f>IF('患者配对'!M1656="positive",1,0)</x:f>
        <x:v>0</x:v>
      </x:c>
      <x:c r="J1484" s="12" t="n">
        <x:f>IF('患者配对'!R1656="positive",1,0)</x:f>
        <x:v>0</x:v>
      </x:c>
      <x:c r="K1484" s="12" t="n">
        <x:f>IF('患者配对'!W1656="positive",1,0)</x:f>
        <x:v>0</x:v>
      </x:c>
      <x:c r="L1484" s="12" t="str">
        <x:v>由原件与原状态取得；仅主队列索引</x:v>
      </x:c>
      <x:c r="M1484" s="12"/>
      <x:c r="N1484" s="12"/>
      <x:c r="O1484" s="12"/>
    </x:row>
    <x:row r="1485" ht="39" customHeight="1">
      <x:c r="A1485" s="12" t="str">
        <x:v>15732</x:v>
      </x:c>
      <x:c r="B1485" s="12" t="str">
        <x:v>14612</x:v>
      </x:c>
      <x:c r="C1485" s="12" t="str">
        <x:v>参考000</x:v>
      </x:c>
      <x:c r="D1485" s="12" t="str">
        <x:v>自动000</x:v>
      </x:c>
      <x:c r="E1485" s="12" t="n">
        <x:v>0</x:v>
      </x:c>
      <x:c r="F1485" s="12" t="n">
        <x:v>1</x:v>
      </x:c>
      <x:c r="G1485" s="12" t="n">
        <x:v>0</x:v>
      </x:c>
      <x:c r="H1485" s="12" t="n">
        <x:f>IF(SUM(I1485:K1485)&gt;0,1,0)</x:f>
        <x:v>0</x:v>
      </x:c>
      <x:c r="I1485" s="12" t="n">
        <x:f>IF('患者配对'!M1657="positive",1,0)</x:f>
        <x:v>0</x:v>
      </x:c>
      <x:c r="J1485" s="12" t="n">
        <x:f>IF('患者配对'!R1657="positive",1,0)</x:f>
        <x:v>0</x:v>
      </x:c>
      <x:c r="K1485" s="12" t="n">
        <x:f>IF('患者配对'!W1657="positive",1,0)</x:f>
        <x:v>0</x:v>
      </x:c>
      <x:c r="L1485" s="12" t="str">
        <x:v>由原件与原状态取得；仅主队列索引</x:v>
      </x:c>
      <x:c r="M1485" s="12"/>
      <x:c r="N1485" s="12"/>
      <x:c r="O1485" s="12"/>
    </x:row>
    <x:row r="1486" ht="39" customHeight="1">
      <x:c r="A1486" s="12" t="str">
        <x:v>15737</x:v>
      </x:c>
      <x:c r="B1486" s="12" t="str">
        <x:v>7963</x:v>
      </x:c>
      <x:c r="C1486" s="12" t="str">
        <x:v>参考000</x:v>
      </x:c>
      <x:c r="D1486" s="12" t="str">
        <x:v>自动000</x:v>
      </x:c>
      <x:c r="E1486" s="12" t="n">
        <x:v>0</x:v>
      </x:c>
      <x:c r="F1486" s="12" t="n">
        <x:v>0</x:v>
      </x:c>
      <x:c r="G1486" s="12" t="n">
        <x:v>0</x:v>
      </x:c>
      <x:c r="H1486" s="12" t="n">
        <x:f>IF(SUM(I1486:K1486)&gt;0,1,0)</x:f>
        <x:v>0</x:v>
      </x:c>
      <x:c r="I1486" s="12" t="n">
        <x:f>IF('患者配对'!M1658="positive",1,0)</x:f>
        <x:v>0</x:v>
      </x:c>
      <x:c r="J1486" s="12" t="n">
        <x:f>IF('患者配对'!R1658="positive",1,0)</x:f>
        <x:v>0</x:v>
      </x:c>
      <x:c r="K1486" s="12" t="n">
        <x:f>IF('患者配对'!W1658="positive",1,0)</x:f>
        <x:v>0</x:v>
      </x:c>
      <x:c r="L1486" s="12" t="str">
        <x:v>由原件与原状态取得；仅主队列索引</x:v>
      </x:c>
      <x:c r="M1486" s="12"/>
      <x:c r="N1486" s="12"/>
      <x:c r="O1486" s="12"/>
    </x:row>
    <x:row r="1487" ht="39" customHeight="1">
      <x:c r="A1487" s="12" t="str">
        <x:v>15744</x:v>
      </x:c>
      <x:c r="B1487" s="12" t="str">
        <x:v>936</x:v>
      </x:c>
      <x:c r="C1487" s="12" t="str">
        <x:v>参考000</x:v>
      </x:c>
      <x:c r="D1487" s="12" t="str">
        <x:v>自动000</x:v>
      </x:c>
      <x:c r="E1487" s="12" t="n">
        <x:v>0</x:v>
      </x:c>
      <x:c r="F1487" s="12" t="n">
        <x:v>0</x:v>
      </x:c>
      <x:c r="G1487" s="12" t="n">
        <x:v>0</x:v>
      </x:c>
      <x:c r="H1487" s="12" t="n">
        <x:f>IF(SUM(I1487:K1487)&gt;0,1,0)</x:f>
        <x:v>0</x:v>
      </x:c>
      <x:c r="I1487" s="12" t="n">
        <x:f>IF('患者配对'!M1659="positive",1,0)</x:f>
        <x:v>0</x:v>
      </x:c>
      <x:c r="J1487" s="12" t="n">
        <x:f>IF('患者配对'!R1659="positive",1,0)</x:f>
        <x:v>0</x:v>
      </x:c>
      <x:c r="K1487" s="12" t="n">
        <x:f>IF('患者配对'!W1659="positive",1,0)</x:f>
        <x:v>0</x:v>
      </x:c>
      <x:c r="L1487" s="12" t="str">
        <x:v>由原件与原状态取得；仅主队列索引</x:v>
      </x:c>
      <x:c r="M1487" s="12"/>
      <x:c r="N1487" s="12"/>
      <x:c r="O1487" s="12"/>
    </x:row>
    <x:row r="1488" ht="39" customHeight="1">
      <x:c r="A1488" s="12" t="str">
        <x:v>15757</x:v>
      </x:c>
      <x:c r="B1488" s="12" t="str">
        <x:v>4724</x:v>
      </x:c>
      <x:c r="C1488" s="12" t="str">
        <x:v>参考000</x:v>
      </x:c>
      <x:c r="D1488" s="12" t="str">
        <x:v>自动000</x:v>
      </x:c>
      <x:c r="E1488" s="12" t="n">
        <x:v>0</x:v>
      </x:c>
      <x:c r="F1488" s="12" t="n">
        <x:v>0</x:v>
      </x:c>
      <x:c r="G1488" s="12" t="n">
        <x:v>0</x:v>
      </x:c>
      <x:c r="H1488" s="12" t="n">
        <x:f>IF(SUM(I1488:K1488)&gt;0,1,0)</x:f>
        <x:v>0</x:v>
      </x:c>
      <x:c r="I1488" s="12" t="n">
        <x:f>IF('患者配对'!M1660="positive",1,0)</x:f>
        <x:v>0</x:v>
      </x:c>
      <x:c r="J1488" s="12" t="n">
        <x:f>IF('患者配对'!R1660="positive",1,0)</x:f>
        <x:v>0</x:v>
      </x:c>
      <x:c r="K1488" s="12" t="n">
        <x:f>IF('患者配对'!W1660="positive",1,0)</x:f>
        <x:v>0</x:v>
      </x:c>
      <x:c r="L1488" s="12" t="str">
        <x:v>由原件与原状态取得；仅主队列索引</x:v>
      </x:c>
      <x:c r="M1488" s="12"/>
      <x:c r="N1488" s="12"/>
      <x:c r="O1488" s="12"/>
    </x:row>
    <x:row r="1489" ht="39" customHeight="1">
      <x:c r="A1489" s="12" t="str">
        <x:v>15787</x:v>
      </x:c>
      <x:c r="B1489" s="12" t="str">
        <x:v>10684</x:v>
      </x:c>
      <x:c r="C1489" s="12" t="str">
        <x:v>参考000</x:v>
      </x:c>
      <x:c r="D1489" s="12" t="str">
        <x:v>自动000</x:v>
      </x:c>
      <x:c r="E1489" s="12" t="n">
        <x:v>0</x:v>
      </x:c>
      <x:c r="F1489" s="12" t="n">
        <x:v>0</x:v>
      </x:c>
      <x:c r="G1489" s="12" t="n">
        <x:v>0</x:v>
      </x:c>
      <x:c r="H1489" s="12" t="n">
        <x:f>IF(SUM(I1489:K1489)&gt;0,1,0)</x:f>
        <x:v>0</x:v>
      </x:c>
      <x:c r="I1489" s="12" t="n">
        <x:f>IF('患者配对'!M1661="positive",1,0)</x:f>
        <x:v>0</x:v>
      </x:c>
      <x:c r="J1489" s="12" t="n">
        <x:f>IF('患者配对'!R1661="positive",1,0)</x:f>
        <x:v>0</x:v>
      </x:c>
      <x:c r="K1489" s="12" t="n">
        <x:f>IF('患者配对'!W1661="positive",1,0)</x:f>
        <x:v>0</x:v>
      </x:c>
      <x:c r="L1489" s="12" t="str">
        <x:v>由原件与原状态取得；仅主队列索引</x:v>
      </x:c>
      <x:c r="M1489" s="12"/>
      <x:c r="N1489" s="12"/>
      <x:c r="O1489" s="12"/>
    </x:row>
    <x:row r="1490" ht="39" customHeight="1">
      <x:c r="A1490" s="12" t="str">
        <x:v>15795</x:v>
      </x:c>
      <x:c r="B1490" s="12" t="str">
        <x:v>20267</x:v>
      </x:c>
      <x:c r="C1490" s="12" t="str">
        <x:v>参考000</x:v>
      </x:c>
      <x:c r="D1490" s="12" t="str">
        <x:v>自动000</x:v>
      </x:c>
      <x:c r="E1490" s="12" t="n">
        <x:v>0</x:v>
      </x:c>
      <x:c r="F1490" s="12" t="n">
        <x:v>0</x:v>
      </x:c>
      <x:c r="G1490" s="12" t="n">
        <x:v>0</x:v>
      </x:c>
      <x:c r="H1490" s="12" t="n">
        <x:f>IF(SUM(I1490:K1490)&gt;0,1,0)</x:f>
        <x:v>0</x:v>
      </x:c>
      <x:c r="I1490" s="12" t="n">
        <x:f>IF('患者配对'!M1662="positive",1,0)</x:f>
        <x:v>0</x:v>
      </x:c>
      <x:c r="J1490" s="12" t="n">
        <x:f>IF('患者配对'!R1662="positive",1,0)</x:f>
        <x:v>0</x:v>
      </x:c>
      <x:c r="K1490" s="12" t="n">
        <x:f>IF('患者配对'!W1662="positive",1,0)</x:f>
        <x:v>0</x:v>
      </x:c>
      <x:c r="L1490" s="12" t="str">
        <x:v>由原件与原状态取得；仅主队列索引</x:v>
      </x:c>
      <x:c r="M1490" s="12"/>
      <x:c r="N1490" s="12"/>
      <x:c r="O1490" s="12"/>
    </x:row>
    <x:row r="1491" ht="39" customHeight="1">
      <x:c r="A1491" s="12" t="str">
        <x:v>15796</x:v>
      </x:c>
      <x:c r="B1491" s="12" t="str">
        <x:v>10943</x:v>
      </x:c>
      <x:c r="C1491" s="12" t="str">
        <x:v>参考100</x:v>
      </x:c>
      <x:c r="D1491" s="12" t="str">
        <x:v>自动000</x:v>
      </x:c>
      <x:c r="E1491" s="12" t="n">
        <x:v>0</x:v>
      </x:c>
      <x:c r="F1491" s="12" t="n">
        <x:v>1</x:v>
      </x:c>
      <x:c r="G1491" s="12" t="n">
        <x:v>1</x:v>
      </x:c>
      <x:c r="H1491" s="12" t="n">
        <x:f>IF(SUM(I1491:K1491)&gt;0,1,0)</x:f>
        <x:v>1</x:v>
      </x:c>
      <x:c r="I1491" s="12" t="n">
        <x:f>IF('患者配对'!M1663="positive",1,0)</x:f>
        <x:v>1</x:v>
      </x:c>
      <x:c r="J1491" s="12" t="n">
        <x:f>IF('患者配对'!R1663="positive",1,0)</x:f>
        <x:v>0</x:v>
      </x:c>
      <x:c r="K1491" s="12" t="n">
        <x:f>IF('患者配对'!W1663="positive",1,0)</x:f>
        <x:v>0</x:v>
      </x:c>
      <x:c r="L1491" s="12" t="str">
        <x:v>由原件与原状态取得；仅主队列索引</x:v>
      </x:c>
      <x:c r="M1491" s="12"/>
      <x:c r="N1491" s="12"/>
      <x:c r="O1491" s="12"/>
    </x:row>
    <x:row r="1492" ht="39" customHeight="1">
      <x:c r="A1492" s="12" t="str">
        <x:v>15797</x:v>
      </x:c>
      <x:c r="B1492" s="12" t="str">
        <x:v>8281</x:v>
      </x:c>
      <x:c r="C1492" s="12" t="str">
        <x:v>参考000</x:v>
      </x:c>
      <x:c r="D1492" s="12" t="str">
        <x:v>自动000</x:v>
      </x:c>
      <x:c r="E1492" s="12" t="n">
        <x:v>0</x:v>
      </x:c>
      <x:c r="F1492" s="12" t="n">
        <x:v>1</x:v>
      </x:c>
      <x:c r="G1492" s="12" t="n">
        <x:v>0</x:v>
      </x:c>
      <x:c r="H1492" s="12" t="n">
        <x:f>IF(SUM(I1492:K1492)&gt;0,1,0)</x:f>
        <x:v>0</x:v>
      </x:c>
      <x:c r="I1492" s="12" t="n">
        <x:f>IF('患者配对'!M1664="positive",1,0)</x:f>
        <x:v>0</x:v>
      </x:c>
      <x:c r="J1492" s="12" t="n">
        <x:f>IF('患者配对'!R1664="positive",1,0)</x:f>
        <x:v>0</x:v>
      </x:c>
      <x:c r="K1492" s="12" t="n">
        <x:f>IF('患者配对'!W1664="positive",1,0)</x:f>
        <x:v>0</x:v>
      </x:c>
      <x:c r="L1492" s="12" t="str">
        <x:v>由原件与原状态取得；仅主队列索引</x:v>
      </x:c>
      <x:c r="M1492" s="12"/>
      <x:c r="N1492" s="12"/>
      <x:c r="O1492" s="12"/>
    </x:row>
    <x:row r="1493" ht="39" customHeight="1">
      <x:c r="A1493" s="12" t="str">
        <x:v>15798</x:v>
      </x:c>
      <x:c r="B1493" s="12" t="str">
        <x:v>11257</x:v>
      </x:c>
      <x:c r="C1493" s="12" t="str">
        <x:v>参考010</x:v>
      </x:c>
      <x:c r="D1493" s="12" t="str">
        <x:v>自动010</x:v>
      </x:c>
      <x:c r="E1493" s="12" t="n">
        <x:v>1</x:v>
      </x:c>
      <x:c r="F1493" s="12" t="n">
        <x:v>1</x:v>
      </x:c>
      <x:c r="G1493" s="12" t="n">
        <x:v>0</x:v>
      </x:c>
      <x:c r="H1493" s="12" t="n">
        <x:f>IF(SUM(I1493:K1493)&gt;0,1,0)</x:f>
        <x:v>1</x:v>
      </x:c>
      <x:c r="I1493" s="12" t="n">
        <x:f>IF('患者配对'!M1665="positive",1,0)</x:f>
        <x:v>0</x:v>
      </x:c>
      <x:c r="J1493" s="12" t="n">
        <x:f>IF('患者配对'!R1665="positive",1,0)</x:f>
        <x:v>1</x:v>
      </x:c>
      <x:c r="K1493" s="12" t="n">
        <x:f>IF('患者配对'!W1665="positive",1,0)</x:f>
        <x:v>0</x:v>
      </x:c>
      <x:c r="L1493" s="12" t="str">
        <x:v>由原件与原状态取得；仅主队列索引</x:v>
      </x:c>
      <x:c r="M1493" s="12"/>
      <x:c r="N1493" s="12"/>
      <x:c r="O1493" s="12"/>
    </x:row>
    <x:row r="1494" ht="39" customHeight="1">
      <x:c r="A1494" s="12" t="str">
        <x:v>15800</x:v>
      </x:c>
      <x:c r="B1494" s="12" t="str">
        <x:v>8134</x:v>
      </x:c>
      <x:c r="C1494" s="12" t="str">
        <x:v>参考100</x:v>
      </x:c>
      <x:c r="D1494" s="12" t="str">
        <x:v>自动100</x:v>
      </x:c>
      <x:c r="E1494" s="12" t="n">
        <x:v>1</x:v>
      </x:c>
      <x:c r="F1494" s="12" t="n">
        <x:v>1</x:v>
      </x:c>
      <x:c r="G1494" s="12" t="n">
        <x:v>0</x:v>
      </x:c>
      <x:c r="H1494" s="12" t="n">
        <x:f>IF(SUM(I1494:K1494)&gt;0,1,0)</x:f>
        <x:v>1</x:v>
      </x:c>
      <x:c r="I1494" s="12" t="n">
        <x:f>IF('患者配对'!M1666="positive",1,0)</x:f>
        <x:v>1</x:v>
      </x:c>
      <x:c r="J1494" s="12" t="n">
        <x:f>IF('患者配对'!R1666="positive",1,0)</x:f>
        <x:v>0</x:v>
      </x:c>
      <x:c r="K1494" s="12" t="n">
        <x:f>IF('患者配对'!W1666="positive",1,0)</x:f>
        <x:v>0</x:v>
      </x:c>
      <x:c r="L1494" s="12" t="str">
        <x:v>由原件与原状态取得；仅主队列索引</x:v>
      </x:c>
      <x:c r="M1494" s="12"/>
      <x:c r="N1494" s="12"/>
      <x:c r="O1494" s="12"/>
    </x:row>
    <x:row r="1495" ht="39" customHeight="1">
      <x:c r="A1495" s="12" t="str">
        <x:v>15803</x:v>
      </x:c>
      <x:c r="B1495" s="12" t="str">
        <x:v>15587</x:v>
      </x:c>
      <x:c r="C1495" s="12" t="str">
        <x:v>参考000</x:v>
      </x:c>
      <x:c r="D1495" s="12" t="str">
        <x:v>自动000</x:v>
      </x:c>
      <x:c r="E1495" s="12" t="n">
        <x:v>0</x:v>
      </x:c>
      <x:c r="F1495" s="12" t="n">
        <x:v>0</x:v>
      </x:c>
      <x:c r="G1495" s="12" t="n">
        <x:v>0</x:v>
      </x:c>
      <x:c r="H1495" s="12" t="n">
        <x:f>IF(SUM(I1495:K1495)&gt;0,1,0)</x:f>
        <x:v>0</x:v>
      </x:c>
      <x:c r="I1495" s="12" t="n">
        <x:f>IF('患者配对'!M1667="positive",1,0)</x:f>
        <x:v>0</x:v>
      </x:c>
      <x:c r="J1495" s="12" t="n">
        <x:f>IF('患者配对'!R1667="positive",1,0)</x:f>
        <x:v>0</x:v>
      </x:c>
      <x:c r="K1495" s="12" t="n">
        <x:f>IF('患者配对'!W1667="positive",1,0)</x:f>
        <x:v>0</x:v>
      </x:c>
      <x:c r="L1495" s="12" t="str">
        <x:v>由原件与原状态取得；仅主队列索引</x:v>
      </x:c>
      <x:c r="M1495" s="12"/>
      <x:c r="N1495" s="12"/>
      <x:c r="O1495" s="12"/>
    </x:row>
    <x:row r="1496" ht="39" customHeight="1">
      <x:c r="A1496" s="12" t="str">
        <x:v>15809</x:v>
      </x:c>
      <x:c r="B1496" s="12" t="str">
        <x:v>20021</x:v>
      </x:c>
      <x:c r="C1496" s="12" t="str">
        <x:v>参考100</x:v>
      </x:c>
      <x:c r="D1496" s="12" t="str">
        <x:v>自动100</x:v>
      </x:c>
      <x:c r="E1496" s="12" t="n">
        <x:v>1</x:v>
      </x:c>
      <x:c r="F1496" s="12" t="n">
        <x:v>1</x:v>
      </x:c>
      <x:c r="G1496" s="12" t="n">
        <x:v>0</x:v>
      </x:c>
      <x:c r="H1496" s="12" t="n">
        <x:f>IF(SUM(I1496:K1496)&gt;0,1,0)</x:f>
        <x:v>1</x:v>
      </x:c>
      <x:c r="I1496" s="12" t="n">
        <x:f>IF('患者配对'!M1668="positive",1,0)</x:f>
        <x:v>1</x:v>
      </x:c>
      <x:c r="J1496" s="12" t="n">
        <x:f>IF('患者配对'!R1668="positive",1,0)</x:f>
        <x:v>0</x:v>
      </x:c>
      <x:c r="K1496" s="12" t="n">
        <x:f>IF('患者配对'!W1668="positive",1,0)</x:f>
        <x:v>0</x:v>
      </x:c>
      <x:c r="L1496" s="12" t="str">
        <x:v>由原件与原状态取得；仅主队列索引</x:v>
      </x:c>
      <x:c r="M1496" s="12"/>
      <x:c r="N1496" s="12"/>
      <x:c r="O1496" s="12"/>
    </x:row>
    <x:row r="1497" ht="39" customHeight="1">
      <x:c r="A1497" s="12" t="str">
        <x:v>15810</x:v>
      </x:c>
      <x:c r="B1497" s="12" t="str">
        <x:v>13471</x:v>
      </x:c>
      <x:c r="C1497" s="12" t="str">
        <x:v>参考000</x:v>
      </x:c>
      <x:c r="D1497" s="12" t="str">
        <x:v>自动000</x:v>
      </x:c>
      <x:c r="E1497" s="12" t="n">
        <x:v>0</x:v>
      </x:c>
      <x:c r="F1497" s="12" t="n">
        <x:v>1</x:v>
      </x:c>
      <x:c r="G1497" s="12" t="n">
        <x:v>0</x:v>
      </x:c>
      <x:c r="H1497" s="12" t="n">
        <x:f>IF(SUM(I1497:K1497)&gt;0,1,0)</x:f>
        <x:v>0</x:v>
      </x:c>
      <x:c r="I1497" s="12" t="n">
        <x:f>IF('患者配对'!M1669="positive",1,0)</x:f>
        <x:v>0</x:v>
      </x:c>
      <x:c r="J1497" s="12" t="n">
        <x:f>IF('患者配对'!R1669="positive",1,0)</x:f>
        <x:v>0</x:v>
      </x:c>
      <x:c r="K1497" s="12" t="n">
        <x:f>IF('患者配对'!W1669="positive",1,0)</x:f>
        <x:v>0</x:v>
      </x:c>
      <x:c r="L1497" s="12" t="str">
        <x:v>由原件与原状态取得；仅主队列索引</x:v>
      </x:c>
      <x:c r="M1497" s="12"/>
      <x:c r="N1497" s="12"/>
      <x:c r="O1497" s="12"/>
    </x:row>
    <x:row r="1498" ht="39" customHeight="1">
      <x:c r="A1498" s="12" t="str">
        <x:v>15821</x:v>
      </x:c>
      <x:c r="B1498" s="12" t="str">
        <x:v>11562</x:v>
      </x:c>
      <x:c r="C1498" s="12" t="str">
        <x:v>参考000</x:v>
      </x:c>
      <x:c r="D1498" s="12" t="str">
        <x:v>自动000</x:v>
      </x:c>
      <x:c r="E1498" s="12" t="n">
        <x:v>0</x:v>
      </x:c>
      <x:c r="F1498" s="12" t="n">
        <x:v>1</x:v>
      </x:c>
      <x:c r="G1498" s="12" t="n">
        <x:v>0</x:v>
      </x:c>
      <x:c r="H1498" s="12" t="n">
        <x:f>IF(SUM(I1498:K1498)&gt;0,1,0)</x:f>
        <x:v>0</x:v>
      </x:c>
      <x:c r="I1498" s="12" t="n">
        <x:f>IF('患者配对'!M1671="positive",1,0)</x:f>
        <x:v>0</x:v>
      </x:c>
      <x:c r="J1498" s="12" t="n">
        <x:f>IF('患者配对'!R1671="positive",1,0)</x:f>
        <x:v>0</x:v>
      </x:c>
      <x:c r="K1498" s="12" t="n">
        <x:f>IF('患者配对'!W1671="positive",1,0)</x:f>
        <x:v>0</x:v>
      </x:c>
      <x:c r="L1498" s="12" t="str">
        <x:v>由原件与原状态取得；仅主队列索引</x:v>
      </x:c>
      <x:c r="M1498" s="12"/>
      <x:c r="N1498" s="12"/>
      <x:c r="O1498" s="12"/>
    </x:row>
    <x:row r="1499" ht="39" customHeight="1">
      <x:c r="A1499" s="12" t="str">
        <x:v>15834</x:v>
      </x:c>
      <x:c r="B1499" s="12" t="str">
        <x:v>8905</x:v>
      </x:c>
      <x:c r="C1499" s="12" t="str">
        <x:v>参考100</x:v>
      </x:c>
      <x:c r="D1499" s="12" t="str">
        <x:v>自动000</x:v>
      </x:c>
      <x:c r="E1499" s="12" t="n">
        <x:v>0</x:v>
      </x:c>
      <x:c r="F1499" s="12" t="n">
        <x:v>0</x:v>
      </x:c>
      <x:c r="G1499" s="12" t="n">
        <x:v>1</x:v>
      </x:c>
      <x:c r="H1499" s="12" t="n">
        <x:f>IF(SUM(I1499:K1499)&gt;0,1,0)</x:f>
        <x:v>1</x:v>
      </x:c>
      <x:c r="I1499" s="12" t="n">
        <x:f>IF('患者配对'!M1672="positive",1,0)</x:f>
        <x:v>1</x:v>
      </x:c>
      <x:c r="J1499" s="12" t="n">
        <x:f>IF('患者配对'!R1672="positive",1,0)</x:f>
        <x:v>0</x:v>
      </x:c>
      <x:c r="K1499" s="12" t="n">
        <x:f>IF('患者配对'!W1672="positive",1,0)</x:f>
        <x:v>0</x:v>
      </x:c>
      <x:c r="L1499" s="12" t="str">
        <x:v>由原件与原状态取得；仅主队列索引</x:v>
      </x:c>
      <x:c r="M1499" s="12"/>
      <x:c r="N1499" s="12"/>
      <x:c r="O1499" s="12"/>
    </x:row>
    <x:row r="1500" ht="39" customHeight="1">
      <x:c r="A1500" s="12" t="str">
        <x:v>15841</x:v>
      </x:c>
      <x:c r="B1500" s="12" t="str">
        <x:v>15056</x:v>
      </x:c>
      <x:c r="C1500" s="12" t="str">
        <x:v>参考000</x:v>
      </x:c>
      <x:c r="D1500" s="12" t="str">
        <x:v>自动000</x:v>
      </x:c>
      <x:c r="E1500" s="12" t="n">
        <x:v>0</x:v>
      </x:c>
      <x:c r="F1500" s="12" t="n">
        <x:v>0</x:v>
      </x:c>
      <x:c r="G1500" s="12" t="n">
        <x:v>0</x:v>
      </x:c>
      <x:c r="H1500" s="12" t="n">
        <x:f>IF(SUM(I1500:K1500)&gt;0,1,0)</x:f>
        <x:v>0</x:v>
      </x:c>
      <x:c r="I1500" s="12" t="n">
        <x:f>IF('患者配对'!M1673="positive",1,0)</x:f>
        <x:v>0</x:v>
      </x:c>
      <x:c r="J1500" s="12" t="n">
        <x:f>IF('患者配对'!R1673="positive",1,0)</x:f>
        <x:v>0</x:v>
      </x:c>
      <x:c r="K1500" s="12" t="n">
        <x:f>IF('患者配对'!W1673="positive",1,0)</x:f>
        <x:v>0</x:v>
      </x:c>
      <x:c r="L1500" s="12" t="str">
        <x:v>由原件与原状态取得；仅主队列索引</x:v>
      </x:c>
      <x:c r="M1500" s="12"/>
      <x:c r="N1500" s="12"/>
      <x:c r="O1500" s="12"/>
    </x:row>
    <x:row r="1501" ht="39" customHeight="1">
      <x:c r="A1501" s="12" t="str">
        <x:v>15852</x:v>
      </x:c>
      <x:c r="B1501" s="12" t="str">
        <x:v>8151</x:v>
      </x:c>
      <x:c r="C1501" s="12" t="str">
        <x:v>参考100</x:v>
      </x:c>
      <x:c r="D1501" s="12" t="str">
        <x:v>自动100</x:v>
      </x:c>
      <x:c r="E1501" s="12" t="n">
        <x:v>1</x:v>
      </x:c>
      <x:c r="F1501" s="12" t="n">
        <x:v>1</x:v>
      </x:c>
      <x:c r="G1501" s="12" t="n">
        <x:v>0</x:v>
      </x:c>
      <x:c r="H1501" s="12" t="n">
        <x:f>IF(SUM(I1501:K1501)&gt;0,1,0)</x:f>
        <x:v>1</x:v>
      </x:c>
      <x:c r="I1501" s="12" t="n">
        <x:f>IF('患者配对'!M1674="positive",1,0)</x:f>
        <x:v>1</x:v>
      </x:c>
      <x:c r="J1501" s="12" t="n">
        <x:f>IF('患者配对'!R1674="positive",1,0)</x:f>
        <x:v>0</x:v>
      </x:c>
      <x:c r="K1501" s="12" t="n">
        <x:f>IF('患者配对'!W1674="positive",1,0)</x:f>
        <x:v>0</x:v>
      </x:c>
      <x:c r="L1501" s="12" t="str">
        <x:v>由原件与原状态取得；仅主队列索引</x:v>
      </x:c>
      <x:c r="M1501" s="12"/>
      <x:c r="N1501" s="12"/>
      <x:c r="O1501" s="12"/>
    </x:row>
    <x:row r="1502" ht="39" customHeight="1">
      <x:c r="A1502" s="12" t="str">
        <x:v>15857</x:v>
      </x:c>
      <x:c r="B1502" s="12" t="str">
        <x:v>19454</x:v>
      </x:c>
      <x:c r="C1502" s="12" t="str">
        <x:v>参考000</x:v>
      </x:c>
      <x:c r="D1502" s="12" t="str">
        <x:v>自动000</x:v>
      </x:c>
      <x:c r="E1502" s="12" t="n">
        <x:v>0</x:v>
      </x:c>
      <x:c r="F1502" s="12" t="n">
        <x:v>1</x:v>
      </x:c>
      <x:c r="G1502" s="12" t="n">
        <x:v>0</x:v>
      </x:c>
      <x:c r="H1502" s="12" t="n">
        <x:f>IF(SUM(I1502:K1502)&gt;0,1,0)</x:f>
        <x:v>0</x:v>
      </x:c>
      <x:c r="I1502" s="12" t="n">
        <x:f>IF('患者配对'!M1675="positive",1,0)</x:f>
        <x:v>0</x:v>
      </x:c>
      <x:c r="J1502" s="12" t="n">
        <x:f>IF('患者配对'!R1675="positive",1,0)</x:f>
        <x:v>0</x:v>
      </x:c>
      <x:c r="K1502" s="12" t="n">
        <x:f>IF('患者配对'!W1675="positive",1,0)</x:f>
        <x:v>0</x:v>
      </x:c>
      <x:c r="L1502" s="12" t="str">
        <x:v>由原件与原状态取得；仅主队列索引</x:v>
      </x:c>
      <x:c r="M1502" s="12"/>
      <x:c r="N1502" s="12"/>
      <x:c r="O1502" s="12"/>
    </x:row>
    <x:row r="1503" ht="39" customHeight="1">
      <x:c r="A1503" s="12" t="str">
        <x:v>15858</x:v>
      </x:c>
      <x:c r="B1503" s="12" t="str">
        <x:v>15057</x:v>
      </x:c>
      <x:c r="C1503" s="12" t="str">
        <x:v>参考000</x:v>
      </x:c>
      <x:c r="D1503" s="12" t="str">
        <x:v>自动000</x:v>
      </x:c>
      <x:c r="E1503" s="12" t="n">
        <x:v>0</x:v>
      </x:c>
      <x:c r="F1503" s="12" t="n">
        <x:v>0</x:v>
      </x:c>
      <x:c r="G1503" s="12" t="n">
        <x:v>0</x:v>
      </x:c>
      <x:c r="H1503" s="12" t="n">
        <x:f>IF(SUM(I1503:K1503)&gt;0,1,0)</x:f>
        <x:v>0</x:v>
      </x:c>
      <x:c r="I1503" s="12" t="n">
        <x:f>IF('患者配对'!M1676="positive",1,0)</x:f>
        <x:v>0</x:v>
      </x:c>
      <x:c r="J1503" s="12" t="n">
        <x:f>IF('患者配对'!R1676="positive",1,0)</x:f>
        <x:v>0</x:v>
      </x:c>
      <x:c r="K1503" s="12" t="n">
        <x:f>IF('患者配对'!W1676="positive",1,0)</x:f>
        <x:v>0</x:v>
      </x:c>
      <x:c r="L1503" s="12" t="str">
        <x:v>由原件与原状态取得；仅主队列索引</x:v>
      </x:c>
      <x:c r="M1503" s="12"/>
      <x:c r="N1503" s="12"/>
      <x:c r="O1503" s="12"/>
    </x:row>
    <x:row r="1504" ht="39" customHeight="1">
      <x:c r="A1504" s="12" t="str">
        <x:v>15863</x:v>
      </x:c>
      <x:c r="B1504" s="12" t="str">
        <x:v>17025</x:v>
      </x:c>
      <x:c r="C1504" s="12" t="str">
        <x:v>参考000</x:v>
      </x:c>
      <x:c r="D1504" s="12" t="str">
        <x:v>自动000</x:v>
      </x:c>
      <x:c r="E1504" s="12" t="n">
        <x:v>0</x:v>
      </x:c>
      <x:c r="F1504" s="12" t="n">
        <x:v>0</x:v>
      </x:c>
      <x:c r="G1504" s="12" t="n">
        <x:v>0</x:v>
      </x:c>
      <x:c r="H1504" s="12" t="n">
        <x:f>IF(SUM(I1504:K1504)&gt;0,1,0)</x:f>
        <x:v>0</x:v>
      </x:c>
      <x:c r="I1504" s="12" t="n">
        <x:f>IF('患者配对'!M1677="positive",1,0)</x:f>
        <x:v>0</x:v>
      </x:c>
      <x:c r="J1504" s="12" t="n">
        <x:f>IF('患者配对'!R1677="positive",1,0)</x:f>
        <x:v>0</x:v>
      </x:c>
      <x:c r="K1504" s="12" t="n">
        <x:f>IF('患者配对'!W1677="positive",1,0)</x:f>
        <x:v>0</x:v>
      </x:c>
      <x:c r="L1504" s="12" t="str">
        <x:v>由原件与原状态取得；仅主队列索引</x:v>
      </x:c>
      <x:c r="M1504" s="12"/>
      <x:c r="N1504" s="12"/>
      <x:c r="O1504" s="12"/>
    </x:row>
    <x:row r="1505" ht="39" customHeight="1">
      <x:c r="A1505" s="12" t="str">
        <x:v>15864</x:v>
      </x:c>
      <x:c r="B1505" s="12" t="str">
        <x:v>13372</x:v>
      </x:c>
      <x:c r="C1505" s="12" t="str">
        <x:v>参考000</x:v>
      </x:c>
      <x:c r="D1505" s="12" t="str">
        <x:v>自动000</x:v>
      </x:c>
      <x:c r="E1505" s="12" t="n">
        <x:v>0</x:v>
      </x:c>
      <x:c r="F1505" s="12" t="n">
        <x:v>0</x:v>
      </x:c>
      <x:c r="G1505" s="12" t="n">
        <x:v>0</x:v>
      </x:c>
      <x:c r="H1505" s="12" t="n">
        <x:f>IF(SUM(I1505:K1505)&gt;0,1,0)</x:f>
        <x:v>0</x:v>
      </x:c>
      <x:c r="I1505" s="12" t="n">
        <x:f>IF('患者配对'!M1678="positive",1,0)</x:f>
        <x:v>0</x:v>
      </x:c>
      <x:c r="J1505" s="12" t="n">
        <x:f>IF('患者配对'!R1678="positive",1,0)</x:f>
        <x:v>0</x:v>
      </x:c>
      <x:c r="K1505" s="12" t="n">
        <x:f>IF('患者配对'!W1678="positive",1,0)</x:f>
        <x:v>0</x:v>
      </x:c>
      <x:c r="L1505" s="12" t="str">
        <x:v>由原件与原状态取得；仅主队列索引</x:v>
      </x:c>
      <x:c r="M1505" s="12"/>
      <x:c r="N1505" s="12"/>
      <x:c r="O1505" s="12"/>
    </x:row>
    <x:row r="1506" ht="39" customHeight="1">
      <x:c r="A1506" s="12" t="str">
        <x:v>15865</x:v>
      </x:c>
      <x:c r="B1506" s="12" t="str">
        <x:v>16937</x:v>
      </x:c>
      <x:c r="C1506" s="12" t="str">
        <x:v>参考000</x:v>
      </x:c>
      <x:c r="D1506" s="12" t="str">
        <x:v>自动000</x:v>
      </x:c>
      <x:c r="E1506" s="12" t="n">
        <x:v>0</x:v>
      </x:c>
      <x:c r="F1506" s="12" t="n">
        <x:v>0</x:v>
      </x:c>
      <x:c r="G1506" s="12" t="n">
        <x:v>0</x:v>
      </x:c>
      <x:c r="H1506" s="12" t="n">
        <x:f>IF(SUM(I1506:K1506)&gt;0,1,0)</x:f>
        <x:v>0</x:v>
      </x:c>
      <x:c r="I1506" s="12" t="n">
        <x:f>IF('患者配对'!M1679="positive",1,0)</x:f>
        <x:v>0</x:v>
      </x:c>
      <x:c r="J1506" s="12" t="n">
        <x:f>IF('患者配对'!R1679="positive",1,0)</x:f>
        <x:v>0</x:v>
      </x:c>
      <x:c r="K1506" s="12" t="n">
        <x:f>IF('患者配对'!W1679="positive",1,0)</x:f>
        <x:v>0</x:v>
      </x:c>
      <x:c r="L1506" s="12" t="str">
        <x:v>由原件与原状态取得；仅主队列索引</x:v>
      </x:c>
      <x:c r="M1506" s="12"/>
      <x:c r="N1506" s="12"/>
      <x:c r="O1506" s="12"/>
    </x:row>
    <x:row r="1507" ht="39" customHeight="1">
      <x:c r="A1507" s="12" t="str">
        <x:v>15871</x:v>
      </x:c>
      <x:c r="B1507" s="12" t="str">
        <x:v>16938</x:v>
      </x:c>
      <x:c r="C1507" s="12" t="str">
        <x:v>参考000</x:v>
      </x:c>
      <x:c r="D1507" s="12" t="str">
        <x:v>自动000</x:v>
      </x:c>
      <x:c r="E1507" s="12" t="n">
        <x:v>0</x:v>
      </x:c>
      <x:c r="F1507" s="12" t="n">
        <x:v>0</x:v>
      </x:c>
      <x:c r="G1507" s="12" t="n">
        <x:v>0</x:v>
      </x:c>
      <x:c r="H1507" s="12" t="n">
        <x:f>IF(SUM(I1507:K1507)&gt;0,1,0)</x:f>
        <x:v>0</x:v>
      </x:c>
      <x:c r="I1507" s="12" t="n">
        <x:f>IF('患者配对'!M1680="positive",1,0)</x:f>
        <x:v>0</x:v>
      </x:c>
      <x:c r="J1507" s="12" t="n">
        <x:f>IF('患者配对'!R1680="positive",1,0)</x:f>
        <x:v>0</x:v>
      </x:c>
      <x:c r="K1507" s="12" t="n">
        <x:f>IF('患者配对'!W1680="positive",1,0)</x:f>
        <x:v>0</x:v>
      </x:c>
      <x:c r="L1507" s="12" t="str">
        <x:v>由原件与原状态取得；仅主队列索引</x:v>
      </x:c>
      <x:c r="M1507" s="12"/>
      <x:c r="N1507" s="12"/>
      <x:c r="O1507" s="12"/>
    </x:row>
    <x:row r="1508" ht="39" customHeight="1">
      <x:c r="A1508" s="12" t="str">
        <x:v>15874</x:v>
      </x:c>
      <x:c r="B1508" s="12" t="str">
        <x:v>2947</x:v>
      </x:c>
      <x:c r="C1508" s="12" t="str">
        <x:v>参考000</x:v>
      </x:c>
      <x:c r="D1508" s="12" t="str">
        <x:v>自动000</x:v>
      </x:c>
      <x:c r="E1508" s="12" t="n">
        <x:v>0</x:v>
      </x:c>
      <x:c r="F1508" s="12" t="n">
        <x:v>0</x:v>
      </x:c>
      <x:c r="G1508" s="12" t="n">
        <x:v>0</x:v>
      </x:c>
      <x:c r="H1508" s="12" t="n">
        <x:f>IF(SUM(I1508:K1508)&gt;0,1,0)</x:f>
        <x:v>0</x:v>
      </x:c>
      <x:c r="I1508" s="12" t="n">
        <x:f>IF('患者配对'!M1681="positive",1,0)</x:f>
        <x:v>0</x:v>
      </x:c>
      <x:c r="J1508" s="12" t="n">
        <x:f>IF('患者配对'!R1681="positive",1,0)</x:f>
        <x:v>0</x:v>
      </x:c>
      <x:c r="K1508" s="12" t="n">
        <x:f>IF('患者配对'!W1681="positive",1,0)</x:f>
        <x:v>0</x:v>
      </x:c>
      <x:c r="L1508" s="12" t="str">
        <x:v>由原件与原状态取得；仅主队列索引</x:v>
      </x:c>
      <x:c r="M1508" s="12"/>
      <x:c r="N1508" s="12"/>
      <x:c r="O1508" s="12"/>
    </x:row>
    <x:row r="1509" ht="39" customHeight="1">
      <x:c r="A1509" s="12" t="str">
        <x:v>15897</x:v>
      </x:c>
      <x:c r="B1509" s="12" t="str">
        <x:v>17622</x:v>
      </x:c>
      <x:c r="C1509" s="12" t="str">
        <x:v>参考000</x:v>
      </x:c>
      <x:c r="D1509" s="12" t="str">
        <x:v>自动000</x:v>
      </x:c>
      <x:c r="E1509" s="12" t="n">
        <x:v>0</x:v>
      </x:c>
      <x:c r="F1509" s="12" t="n">
        <x:v>0</x:v>
      </x:c>
      <x:c r="G1509" s="12" t="n">
        <x:v>0</x:v>
      </x:c>
      <x:c r="H1509" s="12" t="n">
        <x:f>IF(SUM(I1509:K1509)&gt;0,1,0)</x:f>
        <x:v>0</x:v>
      </x:c>
      <x:c r="I1509" s="12" t="n">
        <x:f>IF('患者配对'!M1682="positive",1,0)</x:f>
        <x:v>0</x:v>
      </x:c>
      <x:c r="J1509" s="12" t="n">
        <x:f>IF('患者配对'!R1682="positive",1,0)</x:f>
        <x:v>0</x:v>
      </x:c>
      <x:c r="K1509" s="12" t="n">
        <x:f>IF('患者配对'!W1682="positive",1,0)</x:f>
        <x:v>0</x:v>
      </x:c>
      <x:c r="L1509" s="12" t="str">
        <x:v>由原件与原状态取得；仅主队列索引</x:v>
      </x:c>
      <x:c r="M1509" s="12"/>
      <x:c r="N1509" s="12"/>
      <x:c r="O1509" s="12"/>
    </x:row>
    <x:row r="1510" ht="39" customHeight="1">
      <x:c r="A1510" s="12" t="str">
        <x:v>15898</x:v>
      </x:c>
      <x:c r="B1510" s="12" t="str">
        <x:v>20598</x:v>
      </x:c>
      <x:c r="C1510" s="12" t="str">
        <x:v>参考000</x:v>
      </x:c>
      <x:c r="D1510" s="12" t="str">
        <x:v>自动000</x:v>
      </x:c>
      <x:c r="E1510" s="12" t="n">
        <x:v>0</x:v>
      </x:c>
      <x:c r="F1510" s="12" t="n">
        <x:v>0</x:v>
      </x:c>
      <x:c r="G1510" s="12" t="n">
        <x:v>0</x:v>
      </x:c>
      <x:c r="H1510" s="12" t="n">
        <x:f>IF(SUM(I1510:K1510)&gt;0,1,0)</x:f>
        <x:v>0</x:v>
      </x:c>
      <x:c r="I1510" s="12" t="n">
        <x:f>IF('患者配对'!M1683="positive",1,0)</x:f>
        <x:v>0</x:v>
      </x:c>
      <x:c r="J1510" s="12" t="n">
        <x:f>IF('患者配对'!R1683="positive",1,0)</x:f>
        <x:v>0</x:v>
      </x:c>
      <x:c r="K1510" s="12" t="n">
        <x:f>IF('患者配对'!W1683="positive",1,0)</x:f>
        <x:v>0</x:v>
      </x:c>
      <x:c r="L1510" s="12" t="str">
        <x:v>由原件与原状态取得；仅主队列索引</x:v>
      </x:c>
      <x:c r="M1510" s="12"/>
      <x:c r="N1510" s="12"/>
      <x:c r="O1510" s="12"/>
    </x:row>
    <x:row r="1511" ht="39" customHeight="1">
      <x:c r="A1511" s="12" t="str">
        <x:v>15899</x:v>
      </x:c>
      <x:c r="B1511" s="12" t="str">
        <x:v>10512</x:v>
      </x:c>
      <x:c r="C1511" s="12" t="str">
        <x:v>参考000</x:v>
      </x:c>
      <x:c r="D1511" s="12" t="str">
        <x:v>自动000</x:v>
      </x:c>
      <x:c r="E1511" s="12" t="n">
        <x:v>0</x:v>
      </x:c>
      <x:c r="F1511" s="12" t="n">
        <x:v>1</x:v>
      </x:c>
      <x:c r="G1511" s="12" t="n">
        <x:v>0</x:v>
      </x:c>
      <x:c r="H1511" s="12" t="n">
        <x:f>IF(SUM(I1511:K1511)&gt;0,1,0)</x:f>
        <x:v>0</x:v>
      </x:c>
      <x:c r="I1511" s="12" t="n">
        <x:f>IF('患者配对'!M1684="positive",1,0)</x:f>
        <x:v>0</x:v>
      </x:c>
      <x:c r="J1511" s="12" t="n">
        <x:f>IF('患者配对'!R1684="positive",1,0)</x:f>
        <x:v>0</x:v>
      </x:c>
      <x:c r="K1511" s="12" t="n">
        <x:f>IF('患者配对'!W1684="positive",1,0)</x:f>
        <x:v>0</x:v>
      </x:c>
      <x:c r="L1511" s="12" t="str">
        <x:v>由原件与原状态取得；仅主队列索引</x:v>
      </x:c>
      <x:c r="M1511" s="12"/>
      <x:c r="N1511" s="12"/>
      <x:c r="O1511" s="12"/>
    </x:row>
    <x:row r="1512" ht="39" customHeight="1">
      <x:c r="A1512" s="12" t="str">
        <x:v>15901</x:v>
      </x:c>
      <x:c r="B1512" s="12" t="str">
        <x:v>5689</x:v>
      </x:c>
      <x:c r="C1512" s="12" t="str">
        <x:v>参考000</x:v>
      </x:c>
      <x:c r="D1512" s="12" t="str">
        <x:v>自动000</x:v>
      </x:c>
      <x:c r="E1512" s="12" t="n">
        <x:v>0</x:v>
      </x:c>
      <x:c r="F1512" s="12" t="n">
        <x:v>0</x:v>
      </x:c>
      <x:c r="G1512" s="12" t="n">
        <x:v>0</x:v>
      </x:c>
      <x:c r="H1512" s="12" t="n">
        <x:f>IF(SUM(I1512:K1512)&gt;0,1,0)</x:f>
        <x:v>0</x:v>
      </x:c>
      <x:c r="I1512" s="12" t="n">
        <x:f>IF('患者配对'!M1686="positive",1,0)</x:f>
        <x:v>0</x:v>
      </x:c>
      <x:c r="J1512" s="12" t="n">
        <x:f>IF('患者配对'!R1686="positive",1,0)</x:f>
        <x:v>0</x:v>
      </x:c>
      <x:c r="K1512" s="12" t="n">
        <x:f>IF('患者配对'!W1686="positive",1,0)</x:f>
        <x:v>0</x:v>
      </x:c>
      <x:c r="L1512" s="12" t="str">
        <x:v>由原件与原状态取得；仅主队列索引</x:v>
      </x:c>
      <x:c r="M1512" s="12"/>
      <x:c r="N1512" s="12"/>
      <x:c r="O1512" s="12"/>
    </x:row>
    <x:row r="1513" ht="39" customHeight="1">
      <x:c r="A1513" s="12" t="str">
        <x:v>15924</x:v>
      </x:c>
      <x:c r="B1513" s="12" t="str">
        <x:v>5596</x:v>
      </x:c>
      <x:c r="C1513" s="12" t="str">
        <x:v>参考000</x:v>
      </x:c>
      <x:c r="D1513" s="12" t="str">
        <x:v>自动000</x:v>
      </x:c>
      <x:c r="E1513" s="12" t="n">
        <x:v>0</x:v>
      </x:c>
      <x:c r="F1513" s="12" t="n">
        <x:v>0</x:v>
      </x:c>
      <x:c r="G1513" s="12" t="n">
        <x:v>0</x:v>
      </x:c>
      <x:c r="H1513" s="12" t="n">
        <x:f>IF(SUM(I1513:K1513)&gt;0,1,0)</x:f>
        <x:v>0</x:v>
      </x:c>
      <x:c r="I1513" s="12" t="n">
        <x:f>IF('患者配对'!M1687="positive",1,0)</x:f>
        <x:v>0</x:v>
      </x:c>
      <x:c r="J1513" s="12" t="n">
        <x:f>IF('患者配对'!R1687="positive",1,0)</x:f>
        <x:v>0</x:v>
      </x:c>
      <x:c r="K1513" s="12" t="n">
        <x:f>IF('患者配对'!W1687="positive",1,0)</x:f>
        <x:v>0</x:v>
      </x:c>
      <x:c r="L1513" s="12" t="str">
        <x:v>由原件与原状态取得；仅主队列索引</x:v>
      </x:c>
      <x:c r="M1513" s="12"/>
      <x:c r="N1513" s="12"/>
      <x:c r="O1513" s="12"/>
    </x:row>
    <x:row r="1514" ht="39" customHeight="1">
      <x:c r="A1514" s="12" t="str">
        <x:v>15926</x:v>
      </x:c>
      <x:c r="B1514" s="12" t="str">
        <x:v>4051</x:v>
      </x:c>
      <x:c r="C1514" s="12" t="str">
        <x:v>参考000</x:v>
      </x:c>
      <x:c r="D1514" s="12" t="str">
        <x:v>自动000</x:v>
      </x:c>
      <x:c r="E1514" s="12" t="n">
        <x:v>0</x:v>
      </x:c>
      <x:c r="F1514" s="12" t="n">
        <x:v>0</x:v>
      </x:c>
      <x:c r="G1514" s="12" t="n">
        <x:v>0</x:v>
      </x:c>
      <x:c r="H1514" s="12" t="n">
        <x:f>IF(SUM(I1514:K1514)&gt;0,1,0)</x:f>
        <x:v>0</x:v>
      </x:c>
      <x:c r="I1514" s="12" t="n">
        <x:f>IF('患者配对'!M1688="positive",1,0)</x:f>
        <x:v>0</x:v>
      </x:c>
      <x:c r="J1514" s="12" t="n">
        <x:f>IF('患者配对'!R1688="positive",1,0)</x:f>
        <x:v>0</x:v>
      </x:c>
      <x:c r="K1514" s="12" t="n">
        <x:f>IF('患者配对'!W1688="positive",1,0)</x:f>
        <x:v>0</x:v>
      </x:c>
      <x:c r="L1514" s="12" t="str">
        <x:v>由原件与原状态取得；仅主队列索引</x:v>
      </x:c>
      <x:c r="M1514" s="12"/>
      <x:c r="N1514" s="12"/>
      <x:c r="O1514" s="12"/>
    </x:row>
    <x:row r="1515" ht="39" customHeight="1">
      <x:c r="A1515" s="12" t="str">
        <x:v>15930</x:v>
      </x:c>
      <x:c r="B1515" s="12" t="str">
        <x:v>2147</x:v>
      </x:c>
      <x:c r="C1515" s="12" t="str">
        <x:v>参考000</x:v>
      </x:c>
      <x:c r="D1515" s="12" t="str">
        <x:v>自动000</x:v>
      </x:c>
      <x:c r="E1515" s="12" t="n">
        <x:v>0</x:v>
      </x:c>
      <x:c r="F1515" s="12" t="n">
        <x:v>0</x:v>
      </x:c>
      <x:c r="G1515" s="12" t="n">
        <x:v>0</x:v>
      </x:c>
      <x:c r="H1515" s="12" t="n">
        <x:f>IF(SUM(I1515:K1515)&gt;0,1,0)</x:f>
        <x:v>0</x:v>
      </x:c>
      <x:c r="I1515" s="12" t="n">
        <x:f>IF('患者配对'!M1689="positive",1,0)</x:f>
        <x:v>0</x:v>
      </x:c>
      <x:c r="J1515" s="12" t="n">
        <x:f>IF('患者配对'!R1689="positive",1,0)</x:f>
        <x:v>0</x:v>
      </x:c>
      <x:c r="K1515" s="12" t="n">
        <x:f>IF('患者配对'!W1689="positive",1,0)</x:f>
        <x:v>0</x:v>
      </x:c>
      <x:c r="L1515" s="12" t="str">
        <x:v>由原件与原状态取得；仅主队列索引</x:v>
      </x:c>
      <x:c r="M1515" s="12"/>
      <x:c r="N1515" s="12"/>
      <x:c r="O1515" s="12"/>
    </x:row>
    <x:row r="1516" ht="39" customHeight="1">
      <x:c r="A1516" s="12" t="str">
        <x:v>15948</x:v>
      </x:c>
      <x:c r="B1516" s="12" t="str">
        <x:v>20398</x:v>
      </x:c>
      <x:c r="C1516" s="12" t="str">
        <x:v>参考000</x:v>
      </x:c>
      <x:c r="D1516" s="12" t="str">
        <x:v>自动000</x:v>
      </x:c>
      <x:c r="E1516" s="12" t="n">
        <x:v>0</x:v>
      </x:c>
      <x:c r="F1516" s="12" t="n">
        <x:v>1</x:v>
      </x:c>
      <x:c r="G1516" s="12" t="n">
        <x:v>0</x:v>
      </x:c>
      <x:c r="H1516" s="12" t="n">
        <x:f>IF(SUM(I1516:K1516)&gt;0,1,0)</x:f>
        <x:v>0</x:v>
      </x:c>
      <x:c r="I1516" s="12" t="n">
        <x:f>IF('患者配对'!M1690="positive",1,0)</x:f>
        <x:v>0</x:v>
      </x:c>
      <x:c r="J1516" s="12" t="n">
        <x:f>IF('患者配对'!R1690="positive",1,0)</x:f>
        <x:v>0</x:v>
      </x:c>
      <x:c r="K1516" s="12" t="n">
        <x:f>IF('患者配对'!W1690="positive",1,0)</x:f>
        <x:v>0</x:v>
      </x:c>
      <x:c r="L1516" s="12" t="str">
        <x:v>由原件与原状态取得；仅主队列索引</x:v>
      </x:c>
      <x:c r="M1516" s="12"/>
      <x:c r="N1516" s="12"/>
      <x:c r="O1516" s="12"/>
    </x:row>
    <x:row r="1517" ht="39" customHeight="1">
      <x:c r="A1517" s="12" t="str">
        <x:v>15950</x:v>
      </x:c>
      <x:c r="B1517" s="12" t="str">
        <x:v>7728</x:v>
      </x:c>
      <x:c r="C1517" s="12" t="str">
        <x:v>参考000</x:v>
      </x:c>
      <x:c r="D1517" s="12" t="str">
        <x:v>自动000</x:v>
      </x:c>
      <x:c r="E1517" s="12" t="n">
        <x:v>0</x:v>
      </x:c>
      <x:c r="F1517" s="12" t="n">
        <x:v>0</x:v>
      </x:c>
      <x:c r="G1517" s="12" t="n">
        <x:v>0</x:v>
      </x:c>
      <x:c r="H1517" s="12" t="n">
        <x:f>IF(SUM(I1517:K1517)&gt;0,1,0)</x:f>
        <x:v>0</x:v>
      </x:c>
      <x:c r="I1517" s="12" t="n">
        <x:f>IF('患者配对'!M1691="positive",1,0)</x:f>
        <x:v>0</x:v>
      </x:c>
      <x:c r="J1517" s="12" t="n">
        <x:f>IF('患者配对'!R1691="positive",1,0)</x:f>
        <x:v>0</x:v>
      </x:c>
      <x:c r="K1517" s="12" t="n">
        <x:f>IF('患者配对'!W1691="positive",1,0)</x:f>
        <x:v>0</x:v>
      </x:c>
      <x:c r="L1517" s="12" t="str">
        <x:v>由原件与原状态取得；仅主队列索引</x:v>
      </x:c>
      <x:c r="M1517" s="12"/>
      <x:c r="N1517" s="12"/>
      <x:c r="O1517" s="12"/>
    </x:row>
    <x:row r="1518" ht="39" customHeight="1">
      <x:c r="A1518" s="12" t="str">
        <x:v>15954</x:v>
      </x:c>
      <x:c r="B1518" s="12" t="str">
        <x:v>3541</x:v>
      </x:c>
      <x:c r="C1518" s="12" t="str">
        <x:v>参考000</x:v>
      </x:c>
      <x:c r="D1518" s="12" t="str">
        <x:v>自动001</x:v>
      </x:c>
      <x:c r="E1518" s="12" t="n">
        <x:v>1</x:v>
      </x:c>
      <x:c r="F1518" s="12" t="n">
        <x:v>1</x:v>
      </x:c>
      <x:c r="G1518" s="12" t="n">
        <x:v>1</x:v>
      </x:c>
      <x:c r="H1518" s="12" t="n">
        <x:f>IF(SUM(I1518:K1518)&gt;0,1,0)</x:f>
        <x:v>0</x:v>
      </x:c>
      <x:c r="I1518" s="12" t="n">
        <x:f>IF('患者配对'!M1692="positive",1,0)</x:f>
        <x:v>0</x:v>
      </x:c>
      <x:c r="J1518" s="12" t="n">
        <x:f>IF('患者配对'!R1692="positive",1,0)</x:f>
        <x:v>0</x:v>
      </x:c>
      <x:c r="K1518" s="12" t="n">
        <x:f>IF('患者配对'!W1692="positive",1,0)</x:f>
        <x:v>0</x:v>
      </x:c>
      <x:c r="L1518" s="12" t="str">
        <x:v>由原件与原状态取得；仅主队列索引</x:v>
      </x:c>
      <x:c r="M1518" s="12"/>
      <x:c r="N1518" s="12"/>
      <x:c r="O1518" s="12"/>
    </x:row>
    <x:row r="1519" ht="39" customHeight="1">
      <x:c r="A1519" s="12" t="str">
        <x:v>15958</x:v>
      </x:c>
      <x:c r="B1519" s="12" t="str">
        <x:v>16462</x:v>
      </x:c>
      <x:c r="C1519" s="12" t="str">
        <x:v>参考110</x:v>
      </x:c>
      <x:c r="D1519" s="12" t="str">
        <x:v>自动110</x:v>
      </x:c>
      <x:c r="E1519" s="12" t="n">
        <x:v>1</x:v>
      </x:c>
      <x:c r="F1519" s="12" t="n">
        <x:v>1</x:v>
      </x:c>
      <x:c r="G1519" s="12" t="n">
        <x:v>0</x:v>
      </x:c>
      <x:c r="H1519" s="12" t="n">
        <x:f>IF(SUM(I1519:K1519)&gt;0,1,0)</x:f>
        <x:v>1</x:v>
      </x:c>
      <x:c r="I1519" s="12" t="n">
        <x:f>IF('患者配对'!M1693="positive",1,0)</x:f>
        <x:v>1</x:v>
      </x:c>
      <x:c r="J1519" s="12" t="n">
        <x:f>IF('患者配对'!R1693="positive",1,0)</x:f>
        <x:v>1</x:v>
      </x:c>
      <x:c r="K1519" s="12" t="n">
        <x:f>IF('患者配对'!W1693="positive",1,0)</x:f>
        <x:v>0</x:v>
      </x:c>
      <x:c r="L1519" s="12" t="str">
        <x:v>由原件与原状态取得；仅主队列索引</x:v>
      </x:c>
      <x:c r="M1519" s="12"/>
      <x:c r="N1519" s="12"/>
      <x:c r="O1519" s="12"/>
    </x:row>
    <x:row r="1520" ht="39" customHeight="1">
      <x:c r="A1520" s="12" t="str">
        <x:v>15988</x:v>
      </x:c>
      <x:c r="B1520" s="12" t="str">
        <x:v>1270</x:v>
      </x:c>
      <x:c r="C1520" s="12" t="str">
        <x:v>参考000</x:v>
      </x:c>
      <x:c r="D1520" s="12" t="str">
        <x:v>自动000</x:v>
      </x:c>
      <x:c r="E1520" s="12" t="n">
        <x:v>0</x:v>
      </x:c>
      <x:c r="F1520" s="12" t="n">
        <x:v>0</x:v>
      </x:c>
      <x:c r="G1520" s="12" t="n">
        <x:v>0</x:v>
      </x:c>
      <x:c r="H1520" s="12" t="n">
        <x:f>IF(SUM(I1520:K1520)&gt;0,1,0)</x:f>
        <x:v>0</x:v>
      </x:c>
      <x:c r="I1520" s="12" t="n">
        <x:f>IF('患者配对'!M1695="positive",1,0)</x:f>
        <x:v>0</x:v>
      </x:c>
      <x:c r="J1520" s="12" t="n">
        <x:f>IF('患者配对'!R1695="positive",1,0)</x:f>
        <x:v>0</x:v>
      </x:c>
      <x:c r="K1520" s="12" t="n">
        <x:f>IF('患者配对'!W1695="positive",1,0)</x:f>
        <x:v>0</x:v>
      </x:c>
      <x:c r="L1520" s="12" t="str">
        <x:v>由原件与原状态取得；仅主队列索引</x:v>
      </x:c>
      <x:c r="M1520" s="12"/>
      <x:c r="N1520" s="12"/>
      <x:c r="O1520" s="12"/>
    </x:row>
    <x:row r="1521" ht="39" customHeight="1">
      <x:c r="A1521" s="12" t="str">
        <x:v>16010</x:v>
      </x:c>
      <x:c r="B1521" s="12" t="str">
        <x:v>7591</x:v>
      </x:c>
      <x:c r="C1521" s="12" t="str">
        <x:v>参考000</x:v>
      </x:c>
      <x:c r="D1521" s="12" t="str">
        <x:v>自动000</x:v>
      </x:c>
      <x:c r="E1521" s="12" t="n">
        <x:v>0</x:v>
      </x:c>
      <x:c r="F1521" s="12" t="n">
        <x:v>0</x:v>
      </x:c>
      <x:c r="G1521" s="12" t="n">
        <x:v>0</x:v>
      </x:c>
      <x:c r="H1521" s="12" t="n">
        <x:f>IF(SUM(I1521:K1521)&gt;0,1,0)</x:f>
        <x:v>0</x:v>
      </x:c>
      <x:c r="I1521" s="12" t="n">
        <x:f>IF('患者配对'!M1697="positive",1,0)</x:f>
        <x:v>0</x:v>
      </x:c>
      <x:c r="J1521" s="12" t="n">
        <x:f>IF('患者配对'!R1697="positive",1,0)</x:f>
        <x:v>0</x:v>
      </x:c>
      <x:c r="K1521" s="12" t="n">
        <x:f>IF('患者配对'!W1697="positive",1,0)</x:f>
        <x:v>0</x:v>
      </x:c>
      <x:c r="L1521" s="12" t="str">
        <x:v>由原件与原状态取得；仅主队列索引</x:v>
      </x:c>
      <x:c r="M1521" s="12"/>
      <x:c r="N1521" s="12"/>
      <x:c r="O1521" s="12"/>
    </x:row>
    <x:row r="1522" ht="39" customHeight="1">
      <x:c r="A1522" s="12" t="str">
        <x:v>16024</x:v>
      </x:c>
      <x:c r="B1522" s="12" t="str">
        <x:v>2127</x:v>
      </x:c>
      <x:c r="C1522" s="12" t="str">
        <x:v>参考000</x:v>
      </x:c>
      <x:c r="D1522" s="12" t="str">
        <x:v>自动000</x:v>
      </x:c>
      <x:c r="E1522" s="12" t="n">
        <x:v>0</x:v>
      </x:c>
      <x:c r="F1522" s="12" t="n">
        <x:v>0</x:v>
      </x:c>
      <x:c r="G1522" s="12" t="n">
        <x:v>0</x:v>
      </x:c>
      <x:c r="H1522" s="12" t="n">
        <x:f>IF(SUM(I1522:K1522)&gt;0,1,0)</x:f>
        <x:v>0</x:v>
      </x:c>
      <x:c r="I1522" s="12" t="n">
        <x:f>IF('患者配对'!M1698="positive",1,0)</x:f>
        <x:v>0</x:v>
      </x:c>
      <x:c r="J1522" s="12" t="n">
        <x:f>IF('患者配对'!R1698="positive",1,0)</x:f>
        <x:v>0</x:v>
      </x:c>
      <x:c r="K1522" s="12" t="n">
        <x:f>IF('患者配对'!W1698="positive",1,0)</x:f>
        <x:v>0</x:v>
      </x:c>
      <x:c r="L1522" s="12" t="str">
        <x:v>由原件与原状态取得；仅主队列索引</x:v>
      </x:c>
      <x:c r="M1522" s="12"/>
      <x:c r="N1522" s="12"/>
      <x:c r="O1522" s="12"/>
    </x:row>
    <x:row r="1523" ht="39" customHeight="1">
      <x:c r="A1523" s="12" t="str">
        <x:v>16035</x:v>
      </x:c>
      <x:c r="B1523" s="12" t="str">
        <x:v>6419</x:v>
      </x:c>
      <x:c r="C1523" s="12" t="str">
        <x:v>参考000</x:v>
      </x:c>
      <x:c r="D1523" s="12" t="str">
        <x:v>自动000</x:v>
      </x:c>
      <x:c r="E1523" s="12" t="n">
        <x:v>0</x:v>
      </x:c>
      <x:c r="F1523" s="12" t="n">
        <x:v>1</x:v>
      </x:c>
      <x:c r="G1523" s="12" t="n">
        <x:v>0</x:v>
      </x:c>
      <x:c r="H1523" s="12" t="n">
        <x:f>IF(SUM(I1523:K1523)&gt;0,1,0)</x:f>
        <x:v>0</x:v>
      </x:c>
      <x:c r="I1523" s="12" t="n">
        <x:f>IF('患者配对'!M1699="positive",1,0)</x:f>
        <x:v>0</x:v>
      </x:c>
      <x:c r="J1523" s="12" t="n">
        <x:f>IF('患者配对'!R1699="positive",1,0)</x:f>
        <x:v>0</x:v>
      </x:c>
      <x:c r="K1523" s="12" t="n">
        <x:f>IF('患者配对'!W1699="positive",1,0)</x:f>
        <x:v>0</x:v>
      </x:c>
      <x:c r="L1523" s="12" t="str">
        <x:v>由原件与原状态取得；仅主队列索引</x:v>
      </x:c>
      <x:c r="M1523" s="12"/>
      <x:c r="N1523" s="12"/>
      <x:c r="O1523" s="12"/>
    </x:row>
    <x:row r="1524" ht="39" customHeight="1">
      <x:c r="A1524" s="12" t="str">
        <x:v>16038</x:v>
      </x:c>
      <x:c r="B1524" s="12" t="str">
        <x:v>14193</x:v>
      </x:c>
      <x:c r="C1524" s="12" t="str">
        <x:v>参考000</x:v>
      </x:c>
      <x:c r="D1524" s="12" t="str">
        <x:v>自动000</x:v>
      </x:c>
      <x:c r="E1524" s="12" t="n">
        <x:v>0</x:v>
      </x:c>
      <x:c r="F1524" s="12" t="n">
        <x:v>0</x:v>
      </x:c>
      <x:c r="G1524" s="12" t="n">
        <x:v>0</x:v>
      </x:c>
      <x:c r="H1524" s="12" t="n">
        <x:f>IF(SUM(I1524:K1524)&gt;0,1,0)</x:f>
        <x:v>0</x:v>
      </x:c>
      <x:c r="I1524" s="12" t="n">
        <x:f>IF('患者配对'!M1700="positive",1,0)</x:f>
        <x:v>0</x:v>
      </x:c>
      <x:c r="J1524" s="12" t="n">
        <x:f>IF('患者配对'!R1700="positive",1,0)</x:f>
        <x:v>0</x:v>
      </x:c>
      <x:c r="K1524" s="12" t="n">
        <x:f>IF('患者配对'!W1700="positive",1,0)</x:f>
        <x:v>0</x:v>
      </x:c>
      <x:c r="L1524" s="12" t="str">
        <x:v>由原件与原状态取得；仅主队列索引</x:v>
      </x:c>
      <x:c r="M1524" s="12"/>
      <x:c r="N1524" s="12"/>
      <x:c r="O1524" s="12"/>
    </x:row>
    <x:row r="1525" ht="39" customHeight="1">
      <x:c r="A1525" s="12" t="str">
        <x:v>16045</x:v>
      </x:c>
      <x:c r="B1525" s="12" t="str">
        <x:v>2059</x:v>
      </x:c>
      <x:c r="C1525" s="12" t="str">
        <x:v>参考000</x:v>
      </x:c>
      <x:c r="D1525" s="12" t="str">
        <x:v>自动000</x:v>
      </x:c>
      <x:c r="E1525" s="12" t="n">
        <x:v>0</x:v>
      </x:c>
      <x:c r="F1525" s="12" t="n">
        <x:v>0</x:v>
      </x:c>
      <x:c r="G1525" s="12" t="n">
        <x:v>0</x:v>
      </x:c>
      <x:c r="H1525" s="12" t="n">
        <x:f>IF(SUM(I1525:K1525)&gt;0,1,0)</x:f>
        <x:v>0</x:v>
      </x:c>
      <x:c r="I1525" s="12" t="n">
        <x:f>IF('患者配对'!M1701="positive",1,0)</x:f>
        <x:v>0</x:v>
      </x:c>
      <x:c r="J1525" s="12" t="n">
        <x:f>IF('患者配对'!R1701="positive",1,0)</x:f>
        <x:v>0</x:v>
      </x:c>
      <x:c r="K1525" s="12" t="n">
        <x:f>IF('患者配对'!W1701="positive",1,0)</x:f>
        <x:v>0</x:v>
      </x:c>
      <x:c r="L1525" s="12" t="str">
        <x:v>由原件与原状态取得；仅主队列索引</x:v>
      </x:c>
      <x:c r="M1525" s="12"/>
      <x:c r="N1525" s="12"/>
      <x:c r="O1525" s="12"/>
    </x:row>
    <x:row r="1526" ht="39" customHeight="1">
      <x:c r="A1526" s="12" t="str">
        <x:v>16061</x:v>
      </x:c>
      <x:c r="B1526" s="12" t="str">
        <x:v>4352</x:v>
      </x:c>
      <x:c r="C1526" s="12" t="str">
        <x:v>参考000</x:v>
      </x:c>
      <x:c r="D1526" s="12" t="str">
        <x:v>自动000</x:v>
      </x:c>
      <x:c r="E1526" s="12" t="n">
        <x:v>0</x:v>
      </x:c>
      <x:c r="F1526" s="12" t="n">
        <x:v>0</x:v>
      </x:c>
      <x:c r="G1526" s="12" t="n">
        <x:v>0</x:v>
      </x:c>
      <x:c r="H1526" s="12" t="n">
        <x:f>IF(SUM(I1526:K1526)&gt;0,1,0)</x:f>
        <x:v>0</x:v>
      </x:c>
      <x:c r="I1526" s="12" t="n">
        <x:f>IF('患者配对'!M1703="positive",1,0)</x:f>
        <x:v>0</x:v>
      </x:c>
      <x:c r="J1526" s="12" t="n">
        <x:f>IF('患者配对'!R1703="positive",1,0)</x:f>
        <x:v>0</x:v>
      </x:c>
      <x:c r="K1526" s="12" t="n">
        <x:f>IF('患者配对'!W1703="positive",1,0)</x:f>
        <x:v>0</x:v>
      </x:c>
      <x:c r="L1526" s="12" t="str">
        <x:v>由原件与原状态取得；仅主队列索引</x:v>
      </x:c>
      <x:c r="M1526" s="12"/>
      <x:c r="N1526" s="12"/>
      <x:c r="O1526" s="12"/>
    </x:row>
    <x:row r="1527" ht="39" customHeight="1">
      <x:c r="A1527" s="12" t="str">
        <x:v>16076</x:v>
      </x:c>
      <x:c r="B1527" s="12" t="str">
        <x:v>4808</x:v>
      </x:c>
      <x:c r="C1527" s="12" t="str">
        <x:v>参考000</x:v>
      </x:c>
      <x:c r="D1527" s="12" t="str">
        <x:v>自动000</x:v>
      </x:c>
      <x:c r="E1527" s="12" t="n">
        <x:v>0</x:v>
      </x:c>
      <x:c r="F1527" s="12" t="n">
        <x:v>0</x:v>
      </x:c>
      <x:c r="G1527" s="12" t="n">
        <x:v>0</x:v>
      </x:c>
      <x:c r="H1527" s="12" t="n">
        <x:f>IF(SUM(I1527:K1527)&gt;0,1,0)</x:f>
        <x:v>0</x:v>
      </x:c>
      <x:c r="I1527" s="12" t="n">
        <x:f>IF('患者配对'!M1704="positive",1,0)</x:f>
        <x:v>0</x:v>
      </x:c>
      <x:c r="J1527" s="12" t="n">
        <x:f>IF('患者配对'!R1704="positive",1,0)</x:f>
        <x:v>0</x:v>
      </x:c>
      <x:c r="K1527" s="12" t="n">
        <x:f>IF('患者配对'!W1704="positive",1,0)</x:f>
        <x:v>0</x:v>
      </x:c>
      <x:c r="L1527" s="12" t="str">
        <x:v>由原件与原状态取得；仅主队列索引</x:v>
      </x:c>
      <x:c r="M1527" s="12"/>
      <x:c r="N1527" s="12"/>
      <x:c r="O1527" s="12"/>
    </x:row>
    <x:row r="1528" ht="39" customHeight="1">
      <x:c r="A1528" s="12" t="str">
        <x:v>16077</x:v>
      </x:c>
      <x:c r="B1528" s="12" t="str">
        <x:v>3538</x:v>
      </x:c>
      <x:c r="C1528" s="12" t="str">
        <x:v>参考000</x:v>
      </x:c>
      <x:c r="D1528" s="12" t="str">
        <x:v>自动000</x:v>
      </x:c>
      <x:c r="E1528" s="12" t="n">
        <x:v>0</x:v>
      </x:c>
      <x:c r="F1528" s="12" t="n">
        <x:v>1</x:v>
      </x:c>
      <x:c r="G1528" s="12" t="n">
        <x:v>0</x:v>
      </x:c>
      <x:c r="H1528" s="12" t="n">
        <x:f>IF(SUM(I1528:K1528)&gt;0,1,0)</x:f>
        <x:v>0</x:v>
      </x:c>
      <x:c r="I1528" s="12" t="n">
        <x:f>IF('患者配对'!M1705="positive",1,0)</x:f>
        <x:v>0</x:v>
      </x:c>
      <x:c r="J1528" s="12" t="n">
        <x:f>IF('患者配对'!R1705="positive",1,0)</x:f>
        <x:v>0</x:v>
      </x:c>
      <x:c r="K1528" s="12" t="n">
        <x:f>IF('患者配对'!W1705="positive",1,0)</x:f>
        <x:v>0</x:v>
      </x:c>
      <x:c r="L1528" s="12" t="str">
        <x:v>由原件与原状态取得；仅主队列索引</x:v>
      </x:c>
      <x:c r="M1528" s="12"/>
      <x:c r="N1528" s="12"/>
      <x:c r="O1528" s="12"/>
    </x:row>
    <x:row r="1529" ht="39" customHeight="1">
      <x:c r="A1529" s="12" t="str">
        <x:v>16100</x:v>
      </x:c>
      <x:c r="B1529" s="12" t="str">
        <x:v>10455</x:v>
      </x:c>
      <x:c r="C1529" s="12" t="str">
        <x:v>参考010</x:v>
      </x:c>
      <x:c r="D1529" s="12" t="str">
        <x:v>自动010</x:v>
      </x:c>
      <x:c r="E1529" s="12" t="n">
        <x:v>1</x:v>
      </x:c>
      <x:c r="F1529" s="12" t="n">
        <x:v>1</x:v>
      </x:c>
      <x:c r="G1529" s="12" t="n">
        <x:v>0</x:v>
      </x:c>
      <x:c r="H1529" s="12" t="n">
        <x:f>IF(SUM(I1529:K1529)&gt;0,1,0)</x:f>
        <x:v>1</x:v>
      </x:c>
      <x:c r="I1529" s="12" t="n">
        <x:f>IF('患者配对'!M1706="positive",1,0)</x:f>
        <x:v>0</x:v>
      </x:c>
      <x:c r="J1529" s="12" t="n">
        <x:f>IF('患者配对'!R1706="positive",1,0)</x:f>
        <x:v>1</x:v>
      </x:c>
      <x:c r="K1529" s="12" t="n">
        <x:f>IF('患者配对'!W1706="positive",1,0)</x:f>
        <x:v>0</x:v>
      </x:c>
      <x:c r="L1529" s="12" t="str">
        <x:v>由原件与原状态取得；仅主队列索引</x:v>
      </x:c>
      <x:c r="M1529" s="12"/>
      <x:c r="N1529" s="12"/>
      <x:c r="O1529" s="12"/>
    </x:row>
    <x:row r="1530" ht="39" customHeight="1">
      <x:c r="A1530" s="12" t="str">
        <x:v>16101</x:v>
      </x:c>
      <x:c r="B1530" s="12" t="str">
        <x:v>9777</x:v>
      </x:c>
      <x:c r="C1530" s="12" t="str">
        <x:v>参考000</x:v>
      </x:c>
      <x:c r="D1530" s="12" t="str">
        <x:v>自动000</x:v>
      </x:c>
      <x:c r="E1530" s="12" t="n">
        <x:v>0</x:v>
      </x:c>
      <x:c r="F1530" s="12" t="n">
        <x:v>0</x:v>
      </x:c>
      <x:c r="G1530" s="12" t="n">
        <x:v>0</x:v>
      </x:c>
      <x:c r="H1530" s="12" t="n">
        <x:f>IF(SUM(I1530:K1530)&gt;0,1,0)</x:f>
        <x:v>0</x:v>
      </x:c>
      <x:c r="I1530" s="12" t="n">
        <x:f>IF('患者配对'!M1707="positive",1,0)</x:f>
        <x:v>0</x:v>
      </x:c>
      <x:c r="J1530" s="12" t="n">
        <x:f>IF('患者配对'!R1707="positive",1,0)</x:f>
        <x:v>0</x:v>
      </x:c>
      <x:c r="K1530" s="12" t="n">
        <x:f>IF('患者配对'!W1707="positive",1,0)</x:f>
        <x:v>0</x:v>
      </x:c>
      <x:c r="L1530" s="12" t="str">
        <x:v>由原件与原状态取得；仅主队列索引</x:v>
      </x:c>
      <x:c r="M1530" s="12"/>
      <x:c r="N1530" s="12"/>
      <x:c r="O1530" s="12"/>
    </x:row>
    <x:row r="1531" ht="39" customHeight="1">
      <x:c r="A1531" s="12" t="str">
        <x:v>16119</x:v>
      </x:c>
      <x:c r="B1531" s="12" t="str">
        <x:v>14053</x:v>
      </x:c>
      <x:c r="C1531" s="12" t="str">
        <x:v>参考000</x:v>
      </x:c>
      <x:c r="D1531" s="12" t="str">
        <x:v>自动000</x:v>
      </x:c>
      <x:c r="E1531" s="12" t="n">
        <x:v>0</x:v>
      </x:c>
      <x:c r="F1531" s="12" t="n">
        <x:v>0</x:v>
      </x:c>
      <x:c r="G1531" s="12" t="n">
        <x:v>0</x:v>
      </x:c>
      <x:c r="H1531" s="12" t="n">
        <x:f>IF(SUM(I1531:K1531)&gt;0,1,0)</x:f>
        <x:v>0</x:v>
      </x:c>
      <x:c r="I1531" s="12" t="n">
        <x:f>IF('患者配对'!M1708="positive",1,0)</x:f>
        <x:v>0</x:v>
      </x:c>
      <x:c r="J1531" s="12" t="n">
        <x:f>IF('患者配对'!R1708="positive",1,0)</x:f>
        <x:v>0</x:v>
      </x:c>
      <x:c r="K1531" s="12" t="n">
        <x:f>IF('患者配对'!W1708="positive",1,0)</x:f>
        <x:v>0</x:v>
      </x:c>
      <x:c r="L1531" s="12" t="str">
        <x:v>由原件与原状态取得；仅主队列索引</x:v>
      </x:c>
      <x:c r="M1531" s="12"/>
      <x:c r="N1531" s="12"/>
      <x:c r="O1531" s="12"/>
    </x:row>
    <x:row r="1532" ht="39" customHeight="1">
      <x:c r="A1532" s="12" t="str">
        <x:v>16127</x:v>
      </x:c>
      <x:c r="B1532" s="12" t="str">
        <x:v>20886</x:v>
      </x:c>
      <x:c r="C1532" s="12" t="str">
        <x:v>参考000</x:v>
      </x:c>
      <x:c r="D1532" s="12" t="str">
        <x:v>自动000</x:v>
      </x:c>
      <x:c r="E1532" s="12" t="n">
        <x:v>0</x:v>
      </x:c>
      <x:c r="F1532" s="12" t="n">
        <x:v>0</x:v>
      </x:c>
      <x:c r="G1532" s="12" t="n">
        <x:v>0</x:v>
      </x:c>
      <x:c r="H1532" s="12" t="n">
        <x:f>IF(SUM(I1532:K1532)&gt;0,1,0)</x:f>
        <x:v>0</x:v>
      </x:c>
      <x:c r="I1532" s="12" t="n">
        <x:f>IF('患者配对'!M1709="positive",1,0)</x:f>
        <x:v>0</x:v>
      </x:c>
      <x:c r="J1532" s="12" t="n">
        <x:f>IF('患者配对'!R1709="positive",1,0)</x:f>
        <x:v>0</x:v>
      </x:c>
      <x:c r="K1532" s="12" t="n">
        <x:f>IF('患者配对'!W1709="positive",1,0)</x:f>
        <x:v>0</x:v>
      </x:c>
      <x:c r="L1532" s="12" t="str">
        <x:v>由原件与原状态取得；仅主队列索引</x:v>
      </x:c>
      <x:c r="M1532" s="12"/>
      <x:c r="N1532" s="12"/>
      <x:c r="O1532" s="12"/>
    </x:row>
    <x:row r="1533" ht="39" customHeight="1">
      <x:c r="A1533" s="12" t="str">
        <x:v>16129</x:v>
      </x:c>
      <x:c r="B1533" s="12" t="str">
        <x:v>16745</x:v>
      </x:c>
      <x:c r="C1533" s="12" t="str">
        <x:v>参考000</x:v>
      </x:c>
      <x:c r="D1533" s="12" t="str">
        <x:v>自动000</x:v>
      </x:c>
      <x:c r="E1533" s="12" t="n">
        <x:v>0</x:v>
      </x:c>
      <x:c r="F1533" s="12" t="n">
        <x:v>1</x:v>
      </x:c>
      <x:c r="G1533" s="12" t="n">
        <x:v>0</x:v>
      </x:c>
      <x:c r="H1533" s="12" t="n">
        <x:f>IF(SUM(I1533:K1533)&gt;0,1,0)</x:f>
        <x:v>0</x:v>
      </x:c>
      <x:c r="I1533" s="12" t="n">
        <x:f>IF('患者配对'!M1710="positive",1,0)</x:f>
        <x:v>0</x:v>
      </x:c>
      <x:c r="J1533" s="12" t="n">
        <x:f>IF('患者配对'!R1710="positive",1,0)</x:f>
        <x:v>0</x:v>
      </x:c>
      <x:c r="K1533" s="12" t="n">
        <x:f>IF('患者配对'!W1710="positive",1,0)</x:f>
        <x:v>0</x:v>
      </x:c>
      <x:c r="L1533" s="12" t="str">
        <x:v>由原件与原状态取得；仅主队列索引</x:v>
      </x:c>
      <x:c r="M1533" s="12"/>
      <x:c r="N1533" s="12"/>
      <x:c r="O1533" s="12"/>
    </x:row>
    <x:row r="1534" ht="39" customHeight="1">
      <x:c r="A1534" s="12" t="str">
        <x:v>16132</x:v>
      </x:c>
      <x:c r="B1534" s="12" t="str">
        <x:v>11847</x:v>
      </x:c>
      <x:c r="C1534" s="12" t="str">
        <x:v>参考100</x:v>
      </x:c>
      <x:c r="D1534" s="12" t="str">
        <x:v>自动100</x:v>
      </x:c>
      <x:c r="E1534" s="12" t="n">
        <x:v>1</x:v>
      </x:c>
      <x:c r="F1534" s="12" t="n">
        <x:v>1</x:v>
      </x:c>
      <x:c r="G1534" s="12" t="n">
        <x:v>0</x:v>
      </x:c>
      <x:c r="H1534" s="12" t="n">
        <x:f>IF(SUM(I1534:K1534)&gt;0,1,0)</x:f>
        <x:v>1</x:v>
      </x:c>
      <x:c r="I1534" s="12" t="n">
        <x:f>IF('患者配对'!M1711="positive",1,0)</x:f>
        <x:v>1</x:v>
      </x:c>
      <x:c r="J1534" s="12" t="n">
        <x:f>IF('患者配对'!R1711="positive",1,0)</x:f>
        <x:v>0</x:v>
      </x:c>
      <x:c r="K1534" s="12" t="n">
        <x:f>IF('患者配对'!W1711="positive",1,0)</x:f>
        <x:v>0</x:v>
      </x:c>
      <x:c r="L1534" s="12" t="str">
        <x:v>由原件与原状态取得；仅主队列索引</x:v>
      </x:c>
      <x:c r="M1534" s="12"/>
      <x:c r="N1534" s="12"/>
      <x:c r="O1534" s="12"/>
    </x:row>
    <x:row r="1535" ht="39" customHeight="1">
      <x:c r="A1535" s="12" t="str">
        <x:v>16144</x:v>
      </x:c>
      <x:c r="B1535" s="12" t="str">
        <x:v>21339</x:v>
      </x:c>
      <x:c r="C1535" s="12" t="str">
        <x:v>参考000</x:v>
      </x:c>
      <x:c r="D1535" s="12" t="str">
        <x:v>自动000</x:v>
      </x:c>
      <x:c r="E1535" s="12" t="n">
        <x:v>0</x:v>
      </x:c>
      <x:c r="F1535" s="12" t="n">
        <x:v>1</x:v>
      </x:c>
      <x:c r="G1535" s="12" t="n">
        <x:v>0</x:v>
      </x:c>
      <x:c r="H1535" s="12" t="n">
        <x:f>IF(SUM(I1535:K1535)&gt;0,1,0)</x:f>
        <x:v>0</x:v>
      </x:c>
      <x:c r="I1535" s="12" t="n">
        <x:f>IF('患者配对'!M1713="positive",1,0)</x:f>
        <x:v>0</x:v>
      </x:c>
      <x:c r="J1535" s="12" t="n">
        <x:f>IF('患者配对'!R1713="positive",1,0)</x:f>
        <x:v>0</x:v>
      </x:c>
      <x:c r="K1535" s="12" t="n">
        <x:f>IF('患者配对'!W1713="positive",1,0)</x:f>
        <x:v>0</x:v>
      </x:c>
      <x:c r="L1535" s="12" t="str">
        <x:v>由原件与原状态取得；仅主队列索引</x:v>
      </x:c>
      <x:c r="M1535" s="12"/>
      <x:c r="N1535" s="12"/>
      <x:c r="O1535" s="12"/>
    </x:row>
    <x:row r="1536" ht="39" customHeight="1">
      <x:c r="A1536" s="12" t="str">
        <x:v>16147</x:v>
      </x:c>
      <x:c r="B1536" s="12" t="str">
        <x:v>11794</x:v>
      </x:c>
      <x:c r="C1536" s="12" t="str">
        <x:v>参考000</x:v>
      </x:c>
      <x:c r="D1536" s="12" t="str">
        <x:v>自动000</x:v>
      </x:c>
      <x:c r="E1536" s="12" t="n">
        <x:v>0</x:v>
      </x:c>
      <x:c r="F1536" s="12" t="n">
        <x:v>0</x:v>
      </x:c>
      <x:c r="G1536" s="12" t="n">
        <x:v>0</x:v>
      </x:c>
      <x:c r="H1536" s="12" t="n">
        <x:f>IF(SUM(I1536:K1536)&gt;0,1,0)</x:f>
        <x:v>0</x:v>
      </x:c>
      <x:c r="I1536" s="12" t="n">
        <x:f>IF('患者配对'!M1714="positive",1,0)</x:f>
        <x:v>0</x:v>
      </x:c>
      <x:c r="J1536" s="12" t="n">
        <x:f>IF('患者配对'!R1714="positive",1,0)</x:f>
        <x:v>0</x:v>
      </x:c>
      <x:c r="K1536" s="12" t="n">
        <x:f>IF('患者配对'!W1714="positive",1,0)</x:f>
        <x:v>0</x:v>
      </x:c>
      <x:c r="L1536" s="12" t="str">
        <x:v>由原件与原状态取得；仅主队列索引</x:v>
      </x:c>
      <x:c r="M1536" s="12"/>
      <x:c r="N1536" s="12"/>
      <x:c r="O1536" s="12"/>
    </x:row>
    <x:row r="1537" ht="39" customHeight="1">
      <x:c r="A1537" s="12" t="str">
        <x:v>16149</x:v>
      </x:c>
      <x:c r="B1537" s="12" t="str">
        <x:v>15487</x:v>
      </x:c>
      <x:c r="C1537" s="12" t="str">
        <x:v>参考000</x:v>
      </x:c>
      <x:c r="D1537" s="12" t="str">
        <x:v>自动000</x:v>
      </x:c>
      <x:c r="E1537" s="12" t="n">
        <x:v>0</x:v>
      </x:c>
      <x:c r="F1537" s="12" t="n">
        <x:v>1</x:v>
      </x:c>
      <x:c r="G1537" s="12" t="n">
        <x:v>0</x:v>
      </x:c>
      <x:c r="H1537" s="12" t="n">
        <x:f>IF(SUM(I1537:K1537)&gt;0,1,0)</x:f>
        <x:v>0</x:v>
      </x:c>
      <x:c r="I1537" s="12" t="n">
        <x:f>IF('患者配对'!M1715="positive",1,0)</x:f>
        <x:v>0</x:v>
      </x:c>
      <x:c r="J1537" s="12" t="n">
        <x:f>IF('患者配对'!R1715="positive",1,0)</x:f>
        <x:v>0</x:v>
      </x:c>
      <x:c r="K1537" s="12" t="n">
        <x:f>IF('患者配对'!W1715="positive",1,0)</x:f>
        <x:v>0</x:v>
      </x:c>
      <x:c r="L1537" s="12" t="str">
        <x:v>由原件与原状态取得；仅主队列索引</x:v>
      </x:c>
      <x:c r="M1537" s="12"/>
      <x:c r="N1537" s="12"/>
      <x:c r="O1537" s="12"/>
    </x:row>
    <x:row r="1538" ht="39" customHeight="1">
      <x:c r="A1538" s="12" t="str">
        <x:v>16150</x:v>
      </x:c>
      <x:c r="B1538" s="12" t="str">
        <x:v>19415</x:v>
      </x:c>
      <x:c r="C1538" s="12" t="str">
        <x:v>参考000</x:v>
      </x:c>
      <x:c r="D1538" s="12" t="str">
        <x:v>自动000</x:v>
      </x:c>
      <x:c r="E1538" s="12" t="n">
        <x:v>0</x:v>
      </x:c>
      <x:c r="F1538" s="12" t="n">
        <x:v>0</x:v>
      </x:c>
      <x:c r="G1538" s="12" t="n">
        <x:v>0</x:v>
      </x:c>
      <x:c r="H1538" s="12" t="n">
        <x:f>IF(SUM(I1538:K1538)&gt;0,1,0)</x:f>
        <x:v>0</x:v>
      </x:c>
      <x:c r="I1538" s="12" t="n">
        <x:f>IF('患者配对'!M1716="positive",1,0)</x:f>
        <x:v>0</x:v>
      </x:c>
      <x:c r="J1538" s="12" t="n">
        <x:f>IF('患者配对'!R1716="positive",1,0)</x:f>
        <x:v>0</x:v>
      </x:c>
      <x:c r="K1538" s="12" t="n">
        <x:f>IF('患者配对'!W1716="positive",1,0)</x:f>
        <x:v>0</x:v>
      </x:c>
      <x:c r="L1538" s="12" t="str">
        <x:v>由原件与原状态取得；仅主队列索引</x:v>
      </x:c>
      <x:c r="M1538" s="12"/>
      <x:c r="N1538" s="12"/>
      <x:c r="O1538" s="12"/>
    </x:row>
    <x:row r="1539" ht="39" customHeight="1">
      <x:c r="A1539" s="12" t="str">
        <x:v>16152</x:v>
      </x:c>
      <x:c r="B1539" s="12" t="str">
        <x:v>11815</x:v>
      </x:c>
      <x:c r="C1539" s="12" t="str">
        <x:v>参考000</x:v>
      </x:c>
      <x:c r="D1539" s="12" t="str">
        <x:v>自动001</x:v>
      </x:c>
      <x:c r="E1539" s="12" t="n">
        <x:v>1</x:v>
      </x:c>
      <x:c r="F1539" s="12" t="n">
        <x:v>1</x:v>
      </x:c>
      <x:c r="G1539" s="12" t="n">
        <x:v>1</x:v>
      </x:c>
      <x:c r="H1539" s="12" t="n">
        <x:f>IF(SUM(I1539:K1539)&gt;0,1,0)</x:f>
        <x:v>0</x:v>
      </x:c>
      <x:c r="I1539" s="12" t="n">
        <x:f>IF('患者配对'!M1717="positive",1,0)</x:f>
        <x:v>0</x:v>
      </x:c>
      <x:c r="J1539" s="12" t="n">
        <x:f>IF('患者配对'!R1717="positive",1,0)</x:f>
        <x:v>0</x:v>
      </x:c>
      <x:c r="K1539" s="12" t="n">
        <x:f>IF('患者配对'!W1717="positive",1,0)</x:f>
        <x:v>0</x:v>
      </x:c>
      <x:c r="L1539" s="12" t="str">
        <x:v>由原件与原状态取得；仅主队列索引</x:v>
      </x:c>
      <x:c r="M1539" s="12"/>
      <x:c r="N1539" s="12"/>
      <x:c r="O1539" s="12"/>
    </x:row>
    <x:row r="1540" ht="39" customHeight="1">
      <x:c r="A1540" s="12" t="str">
        <x:v>16182</x:v>
      </x:c>
      <x:c r="B1540" s="12" t="str">
        <x:v>13652</x:v>
      </x:c>
      <x:c r="C1540" s="12" t="str">
        <x:v>参考000</x:v>
      </x:c>
      <x:c r="D1540" s="12" t="str">
        <x:v>自动000</x:v>
      </x:c>
      <x:c r="E1540" s="12" t="n">
        <x:v>0</x:v>
      </x:c>
      <x:c r="F1540" s="12" t="n">
        <x:v>0</x:v>
      </x:c>
      <x:c r="G1540" s="12" t="n">
        <x:v>0</x:v>
      </x:c>
      <x:c r="H1540" s="12" t="n">
        <x:f>IF(SUM(I1540:K1540)&gt;0,1,0)</x:f>
        <x:v>0</x:v>
      </x:c>
      <x:c r="I1540" s="12" t="n">
        <x:f>IF('患者配对'!M1719="positive",1,0)</x:f>
        <x:v>0</x:v>
      </x:c>
      <x:c r="J1540" s="12" t="n">
        <x:f>IF('患者配对'!R1719="positive",1,0)</x:f>
        <x:v>0</x:v>
      </x:c>
      <x:c r="K1540" s="12" t="n">
        <x:f>IF('患者配对'!W1719="positive",1,0)</x:f>
        <x:v>0</x:v>
      </x:c>
      <x:c r="L1540" s="12" t="str">
        <x:v>由原件与原状态取得；仅主队列索引</x:v>
      </x:c>
      <x:c r="M1540" s="12"/>
      <x:c r="N1540" s="12"/>
      <x:c r="O1540" s="12"/>
    </x:row>
    <x:row r="1541" ht="39" customHeight="1">
      <x:c r="A1541" s="12" t="str">
        <x:v>16193</x:v>
      </x:c>
      <x:c r="B1541" s="12" t="str">
        <x:v>8479</x:v>
      </x:c>
      <x:c r="C1541" s="12" t="str">
        <x:v>参考000</x:v>
      </x:c>
      <x:c r="D1541" s="12" t="str">
        <x:v>自动000</x:v>
      </x:c>
      <x:c r="E1541" s="12" t="n">
        <x:v>0</x:v>
      </x:c>
      <x:c r="F1541" s="12" t="n">
        <x:v>1</x:v>
      </x:c>
      <x:c r="G1541" s="12" t="n">
        <x:v>0</x:v>
      </x:c>
      <x:c r="H1541" s="12" t="n">
        <x:f>IF(SUM(I1541:K1541)&gt;0,1,0)</x:f>
        <x:v>0</x:v>
      </x:c>
      <x:c r="I1541" s="12" t="n">
        <x:f>IF('患者配对'!M1721="positive",1,0)</x:f>
        <x:v>0</x:v>
      </x:c>
      <x:c r="J1541" s="12" t="n">
        <x:f>IF('患者配对'!R1721="positive",1,0)</x:f>
        <x:v>0</x:v>
      </x:c>
      <x:c r="K1541" s="12" t="n">
        <x:f>IF('患者配对'!W1721="positive",1,0)</x:f>
        <x:v>0</x:v>
      </x:c>
      <x:c r="L1541" s="12" t="str">
        <x:v>由原件与原状态取得；仅主队列索引</x:v>
      </x:c>
      <x:c r="M1541" s="12"/>
      <x:c r="N1541" s="12"/>
      <x:c r="O1541" s="12"/>
    </x:row>
    <x:row r="1542" ht="39" customHeight="1">
      <x:c r="A1542" s="12" t="str">
        <x:v>16205</x:v>
      </x:c>
      <x:c r="B1542" s="12" t="str">
        <x:v>5432</x:v>
      </x:c>
      <x:c r="C1542" s="12" t="str">
        <x:v>参考000</x:v>
      </x:c>
      <x:c r="D1542" s="12" t="str">
        <x:v>自动000</x:v>
      </x:c>
      <x:c r="E1542" s="12" t="n">
        <x:v>0</x:v>
      </x:c>
      <x:c r="F1542" s="12" t="n">
        <x:v>0</x:v>
      </x:c>
      <x:c r="G1542" s="12" t="n">
        <x:v>0</x:v>
      </x:c>
      <x:c r="H1542" s="12" t="n">
        <x:f>IF(SUM(I1542:K1542)&gt;0,1,0)</x:f>
        <x:v>0</x:v>
      </x:c>
      <x:c r="I1542" s="12" t="n">
        <x:f>IF('患者配对'!M1722="positive",1,0)</x:f>
        <x:v>0</x:v>
      </x:c>
      <x:c r="J1542" s="12" t="n">
        <x:f>IF('患者配对'!R1722="positive",1,0)</x:f>
        <x:v>0</x:v>
      </x:c>
      <x:c r="K1542" s="12" t="n">
        <x:f>IF('患者配对'!W1722="positive",1,0)</x:f>
        <x:v>0</x:v>
      </x:c>
      <x:c r="L1542" s="12" t="str">
        <x:v>由原件与原状态取得；仅主队列索引</x:v>
      </x:c>
      <x:c r="M1542" s="12"/>
      <x:c r="N1542" s="12"/>
      <x:c r="O1542" s="12"/>
    </x:row>
    <x:row r="1543" ht="39" customHeight="1">
      <x:c r="A1543" s="12" t="str">
        <x:v>16214</x:v>
      </x:c>
      <x:c r="B1543" s="12" t="str">
        <x:v>2958</x:v>
      </x:c>
      <x:c r="C1543" s="12" t="str">
        <x:v>参考000</x:v>
      </x:c>
      <x:c r="D1543" s="12" t="str">
        <x:v>自动000</x:v>
      </x:c>
      <x:c r="E1543" s="12" t="n">
        <x:v>0</x:v>
      </x:c>
      <x:c r="F1543" s="12" t="n">
        <x:v>0</x:v>
      </x:c>
      <x:c r="G1543" s="12" t="n">
        <x:v>0</x:v>
      </x:c>
      <x:c r="H1543" s="12" t="n">
        <x:f>IF(SUM(I1543:K1543)&gt;0,1,0)</x:f>
        <x:v>0</x:v>
      </x:c>
      <x:c r="I1543" s="12" t="n">
        <x:f>IF('患者配对'!M1723="positive",1,0)</x:f>
        <x:v>0</x:v>
      </x:c>
      <x:c r="J1543" s="12" t="n">
        <x:f>IF('患者配对'!R1723="positive",1,0)</x:f>
        <x:v>0</x:v>
      </x:c>
      <x:c r="K1543" s="12" t="n">
        <x:f>IF('患者配对'!W1723="positive",1,0)</x:f>
        <x:v>0</x:v>
      </x:c>
      <x:c r="L1543" s="12" t="str">
        <x:v>由原件与原状态取得；仅主队列索引</x:v>
      </x:c>
      <x:c r="M1543" s="12"/>
      <x:c r="N1543" s="12"/>
      <x:c r="O1543" s="12"/>
    </x:row>
    <x:row r="1544" ht="39" customHeight="1">
      <x:c r="A1544" s="12" t="str">
        <x:v>16224</x:v>
      </x:c>
      <x:c r="B1544" s="12" t="str">
        <x:v>10958</x:v>
      </x:c>
      <x:c r="C1544" s="12" t="str">
        <x:v>参考000</x:v>
      </x:c>
      <x:c r="D1544" s="12" t="str">
        <x:v>自动000</x:v>
      </x:c>
      <x:c r="E1544" s="12" t="n">
        <x:v>0</x:v>
      </x:c>
      <x:c r="F1544" s="12" t="n">
        <x:v>1</x:v>
      </x:c>
      <x:c r="G1544" s="12" t="n">
        <x:v>0</x:v>
      </x:c>
      <x:c r="H1544" s="12" t="n">
        <x:f>IF(SUM(I1544:K1544)&gt;0,1,0)</x:f>
        <x:v>0</x:v>
      </x:c>
      <x:c r="I1544" s="12" t="n">
        <x:f>IF('患者配对'!M1724="positive",1,0)</x:f>
        <x:v>0</x:v>
      </x:c>
      <x:c r="J1544" s="12" t="n">
        <x:f>IF('患者配对'!R1724="positive",1,0)</x:f>
        <x:v>0</x:v>
      </x:c>
      <x:c r="K1544" s="12" t="n">
        <x:f>IF('患者配对'!W1724="positive",1,0)</x:f>
        <x:v>0</x:v>
      </x:c>
      <x:c r="L1544" s="12" t="str">
        <x:v>由原件与原状态取得；仅主队列索引</x:v>
      </x:c>
      <x:c r="M1544" s="12"/>
      <x:c r="N1544" s="12"/>
      <x:c r="O1544" s="12"/>
    </x:row>
    <x:row r="1545" ht="39" customHeight="1">
      <x:c r="A1545" s="12" t="str">
        <x:v>16225</x:v>
      </x:c>
      <x:c r="B1545" s="12" t="str">
        <x:v>12511</x:v>
      </x:c>
      <x:c r="C1545" s="12" t="str">
        <x:v>参考000</x:v>
      </x:c>
      <x:c r="D1545" s="12" t="str">
        <x:v>自动000</x:v>
      </x:c>
      <x:c r="E1545" s="12" t="n">
        <x:v>0</x:v>
      </x:c>
      <x:c r="F1545" s="12" t="n">
        <x:v>0</x:v>
      </x:c>
      <x:c r="G1545" s="12" t="n">
        <x:v>0</x:v>
      </x:c>
      <x:c r="H1545" s="12" t="n">
        <x:f>IF(SUM(I1545:K1545)&gt;0,1,0)</x:f>
        <x:v>0</x:v>
      </x:c>
      <x:c r="I1545" s="12" t="n">
        <x:f>IF('患者配对'!M1725="positive",1,0)</x:f>
        <x:v>0</x:v>
      </x:c>
      <x:c r="J1545" s="12" t="n">
        <x:f>IF('患者配对'!R1725="positive",1,0)</x:f>
        <x:v>0</x:v>
      </x:c>
      <x:c r="K1545" s="12" t="n">
        <x:f>IF('患者配对'!W1725="positive",1,0)</x:f>
        <x:v>0</x:v>
      </x:c>
      <x:c r="L1545" s="12" t="str">
        <x:v>由原件与原状态取得；仅主队列索引</x:v>
      </x:c>
      <x:c r="M1545" s="12"/>
      <x:c r="N1545" s="12"/>
      <x:c r="O1545" s="12"/>
    </x:row>
    <x:row r="1546" ht="39" customHeight="1">
      <x:c r="A1546" s="12" t="str">
        <x:v>16233</x:v>
      </x:c>
      <x:c r="B1546" s="12" t="str">
        <x:v>5558</x:v>
      </x:c>
      <x:c r="C1546" s="12" t="str">
        <x:v>参考000</x:v>
      </x:c>
      <x:c r="D1546" s="12" t="str">
        <x:v>自动000</x:v>
      </x:c>
      <x:c r="E1546" s="12" t="n">
        <x:v>0</x:v>
      </x:c>
      <x:c r="F1546" s="12" t="n">
        <x:v>0</x:v>
      </x:c>
      <x:c r="G1546" s="12" t="n">
        <x:v>0</x:v>
      </x:c>
      <x:c r="H1546" s="12" t="n">
        <x:f>IF(SUM(I1546:K1546)&gt;0,1,0)</x:f>
        <x:v>0</x:v>
      </x:c>
      <x:c r="I1546" s="12" t="n">
        <x:f>IF('患者配对'!M1726="positive",1,0)</x:f>
        <x:v>0</x:v>
      </x:c>
      <x:c r="J1546" s="12" t="n">
        <x:f>IF('患者配对'!R1726="positive",1,0)</x:f>
        <x:v>0</x:v>
      </x:c>
      <x:c r="K1546" s="12" t="n">
        <x:f>IF('患者配对'!W1726="positive",1,0)</x:f>
        <x:v>0</x:v>
      </x:c>
      <x:c r="L1546" s="12" t="str">
        <x:v>由原件与原状态取得；仅主队列索引</x:v>
      </x:c>
      <x:c r="M1546" s="12"/>
      <x:c r="N1546" s="12"/>
      <x:c r="O1546" s="12"/>
    </x:row>
    <x:row r="1547" ht="39" customHeight="1">
      <x:c r="A1547" s="12" t="str">
        <x:v>16239</x:v>
      </x:c>
      <x:c r="B1547" s="12" t="str">
        <x:v>904</x:v>
      </x:c>
      <x:c r="C1547" s="12" t="str">
        <x:v>参考000</x:v>
      </x:c>
      <x:c r="D1547" s="12" t="str">
        <x:v>自动100</x:v>
      </x:c>
      <x:c r="E1547" s="12" t="n">
        <x:v>1</x:v>
      </x:c>
      <x:c r="F1547" s="12" t="n">
        <x:v>1</x:v>
      </x:c>
      <x:c r="G1547" s="12" t="n">
        <x:v>1</x:v>
      </x:c>
      <x:c r="H1547" s="12" t="n">
        <x:f>IF(SUM(I1547:K1547)&gt;0,1,0)</x:f>
        <x:v>0</x:v>
      </x:c>
      <x:c r="I1547" s="12" t="n">
        <x:f>IF('患者配对'!M1727="positive",1,0)</x:f>
        <x:v>0</x:v>
      </x:c>
      <x:c r="J1547" s="12" t="n">
        <x:f>IF('患者配对'!R1727="positive",1,0)</x:f>
        <x:v>0</x:v>
      </x:c>
      <x:c r="K1547" s="12" t="n">
        <x:f>IF('患者配对'!W1727="positive",1,0)</x:f>
        <x:v>0</x:v>
      </x:c>
      <x:c r="L1547" s="12" t="str">
        <x:v>由原件与原状态取得；仅主队列索引</x:v>
      </x:c>
      <x:c r="M1547" s="12"/>
      <x:c r="N1547" s="12"/>
      <x:c r="O1547" s="12"/>
    </x:row>
    <x:row r="1548" ht="39" customHeight="1">
      <x:c r="A1548" s="12" t="str">
        <x:v>16260</x:v>
      </x:c>
      <x:c r="B1548" s="12" t="str">
        <x:v>3908</x:v>
      </x:c>
      <x:c r="C1548" s="12" t="str">
        <x:v>参考000</x:v>
      </x:c>
      <x:c r="D1548" s="12" t="str">
        <x:v>自动000</x:v>
      </x:c>
      <x:c r="E1548" s="12" t="n">
        <x:v>0</x:v>
      </x:c>
      <x:c r="F1548" s="12" t="n">
        <x:v>1</x:v>
      </x:c>
      <x:c r="G1548" s="12" t="n">
        <x:v>0</x:v>
      </x:c>
      <x:c r="H1548" s="12" t="n">
        <x:f>IF(SUM(I1548:K1548)&gt;0,1,0)</x:f>
        <x:v>0</x:v>
      </x:c>
      <x:c r="I1548" s="12" t="n">
        <x:f>IF('患者配对'!M1728="positive",1,0)</x:f>
        <x:v>0</x:v>
      </x:c>
      <x:c r="J1548" s="12" t="n">
        <x:f>IF('患者配对'!R1728="positive",1,0)</x:f>
        <x:v>0</x:v>
      </x:c>
      <x:c r="K1548" s="12" t="n">
        <x:f>IF('患者配对'!W1728="positive",1,0)</x:f>
        <x:v>0</x:v>
      </x:c>
      <x:c r="L1548" s="12" t="str">
        <x:v>由原件与原状态取得；仅主队列索引</x:v>
      </x:c>
      <x:c r="M1548" s="12"/>
      <x:c r="N1548" s="12"/>
      <x:c r="O1548" s="12"/>
    </x:row>
    <x:row r="1549" ht="39" customHeight="1">
      <x:c r="A1549" s="12" t="str">
        <x:v>16261</x:v>
      </x:c>
      <x:c r="B1549" s="12" t="str">
        <x:v>4442</x:v>
      </x:c>
      <x:c r="C1549" s="12" t="str">
        <x:v>参考000</x:v>
      </x:c>
      <x:c r="D1549" s="12" t="str">
        <x:v>自动000</x:v>
      </x:c>
      <x:c r="E1549" s="12" t="n">
        <x:v>0</x:v>
      </x:c>
      <x:c r="F1549" s="12" t="n">
        <x:v>0</x:v>
      </x:c>
      <x:c r="G1549" s="12" t="n">
        <x:v>0</x:v>
      </x:c>
      <x:c r="H1549" s="12" t="n">
        <x:f>IF(SUM(I1549:K1549)&gt;0,1,0)</x:f>
        <x:v>0</x:v>
      </x:c>
      <x:c r="I1549" s="12" t="n">
        <x:f>IF('患者配对'!M1729="positive",1,0)</x:f>
        <x:v>0</x:v>
      </x:c>
      <x:c r="J1549" s="12" t="n">
        <x:f>IF('患者配对'!R1729="positive",1,0)</x:f>
        <x:v>0</x:v>
      </x:c>
      <x:c r="K1549" s="12" t="n">
        <x:f>IF('患者配对'!W1729="positive",1,0)</x:f>
        <x:v>0</x:v>
      </x:c>
      <x:c r="L1549" s="12" t="str">
        <x:v>由原件与原状态取得；仅主队列索引</x:v>
      </x:c>
      <x:c r="M1549" s="12"/>
      <x:c r="N1549" s="12"/>
      <x:c r="O1549" s="12"/>
    </x:row>
    <x:row r="1550" ht="39" customHeight="1">
      <x:c r="A1550" s="12" t="str">
        <x:v>16272</x:v>
      </x:c>
      <x:c r="B1550" s="12" t="str">
        <x:v>7833</x:v>
      </x:c>
      <x:c r="C1550" s="12" t="str">
        <x:v>参考000</x:v>
      </x:c>
      <x:c r="D1550" s="12" t="str">
        <x:v>自动000</x:v>
      </x:c>
      <x:c r="E1550" s="12" t="n">
        <x:v>0</x:v>
      </x:c>
      <x:c r="F1550" s="12" t="n">
        <x:v>0</x:v>
      </x:c>
      <x:c r="G1550" s="12" t="n">
        <x:v>0</x:v>
      </x:c>
      <x:c r="H1550" s="12" t="n">
        <x:f>IF(SUM(I1550:K1550)&gt;0,1,0)</x:f>
        <x:v>0</x:v>
      </x:c>
      <x:c r="I1550" s="12" t="n">
        <x:f>IF('患者配对'!M1731="positive",1,0)</x:f>
        <x:v>0</x:v>
      </x:c>
      <x:c r="J1550" s="12" t="n">
        <x:f>IF('患者配对'!R1731="positive",1,0)</x:f>
        <x:v>0</x:v>
      </x:c>
      <x:c r="K1550" s="12" t="n">
        <x:f>IF('患者配对'!W1731="positive",1,0)</x:f>
        <x:v>0</x:v>
      </x:c>
      <x:c r="L1550" s="12" t="str">
        <x:v>由原件与原状态取得；仅主队列索引</x:v>
      </x:c>
      <x:c r="M1550" s="12"/>
      <x:c r="N1550" s="12"/>
      <x:c r="O1550" s="12"/>
    </x:row>
    <x:row r="1551" ht="39" customHeight="1">
      <x:c r="A1551" s="12" t="str">
        <x:v>16288</x:v>
      </x:c>
      <x:c r="B1551" s="12" t="str">
        <x:v>17220</x:v>
      </x:c>
      <x:c r="C1551" s="12" t="str">
        <x:v>参考000</x:v>
      </x:c>
      <x:c r="D1551" s="12" t="str">
        <x:v>自动000</x:v>
      </x:c>
      <x:c r="E1551" s="12" t="n">
        <x:v>0</x:v>
      </x:c>
      <x:c r="F1551" s="12" t="n">
        <x:v>1</x:v>
      </x:c>
      <x:c r="G1551" s="12" t="n">
        <x:v>0</x:v>
      </x:c>
      <x:c r="H1551" s="12" t="n">
        <x:f>IF(SUM(I1551:K1551)&gt;0,1,0)</x:f>
        <x:v>0</x:v>
      </x:c>
      <x:c r="I1551" s="12" t="n">
        <x:f>IF('患者配对'!M1732="positive",1,0)</x:f>
        <x:v>0</x:v>
      </x:c>
      <x:c r="J1551" s="12" t="n">
        <x:f>IF('患者配对'!R1732="positive",1,0)</x:f>
        <x:v>0</x:v>
      </x:c>
      <x:c r="K1551" s="12" t="n">
        <x:f>IF('患者配对'!W1732="positive",1,0)</x:f>
        <x:v>0</x:v>
      </x:c>
      <x:c r="L1551" s="12" t="str">
        <x:v>由原件与原状态取得；仅主队列索引</x:v>
      </x:c>
      <x:c r="M1551" s="12"/>
      <x:c r="N1551" s="12"/>
      <x:c r="O1551" s="12"/>
    </x:row>
    <x:row r="1552" ht="39" customHeight="1">
      <x:c r="A1552" s="12" t="str">
        <x:v>16340</x:v>
      </x:c>
      <x:c r="B1552" s="12" t="str">
        <x:v>18494</x:v>
      </x:c>
      <x:c r="C1552" s="12" t="str">
        <x:v>参考000</x:v>
      </x:c>
      <x:c r="D1552" s="12" t="str">
        <x:v>自动000</x:v>
      </x:c>
      <x:c r="E1552" s="12" t="n">
        <x:v>0</x:v>
      </x:c>
      <x:c r="F1552" s="12" t="n">
        <x:v>0</x:v>
      </x:c>
      <x:c r="G1552" s="12" t="n">
        <x:v>0</x:v>
      </x:c>
      <x:c r="H1552" s="12" t="n">
        <x:f>IF(SUM(I1552:K1552)&gt;0,1,0)</x:f>
        <x:v>0</x:v>
      </x:c>
      <x:c r="I1552" s="12" t="n">
        <x:f>IF('患者配对'!M1733="positive",1,0)</x:f>
        <x:v>0</x:v>
      </x:c>
      <x:c r="J1552" s="12" t="n">
        <x:f>IF('患者配对'!R1733="positive",1,0)</x:f>
        <x:v>0</x:v>
      </x:c>
      <x:c r="K1552" s="12" t="n">
        <x:f>IF('患者配对'!W1733="positive",1,0)</x:f>
        <x:v>0</x:v>
      </x:c>
      <x:c r="L1552" s="12" t="str">
        <x:v>由原件与原状态取得；仅主队列索引</x:v>
      </x:c>
      <x:c r="M1552" s="12"/>
      <x:c r="N1552" s="12"/>
      <x:c r="O1552" s="12"/>
    </x:row>
    <x:row r="1553" ht="39" customHeight="1">
      <x:c r="A1553" s="12" t="str">
        <x:v>16355</x:v>
      </x:c>
      <x:c r="B1553" s="12" t="str">
        <x:v>9239</x:v>
      </x:c>
      <x:c r="C1553" s="12" t="str">
        <x:v>参考000</x:v>
      </x:c>
      <x:c r="D1553" s="12" t="str">
        <x:v>自动000</x:v>
      </x:c>
      <x:c r="E1553" s="12" t="n">
        <x:v>0</x:v>
      </x:c>
      <x:c r="F1553" s="12" t="n">
        <x:v>0</x:v>
      </x:c>
      <x:c r="G1553" s="12" t="n">
        <x:v>0</x:v>
      </x:c>
      <x:c r="H1553" s="12" t="n">
        <x:f>IF(SUM(I1553:K1553)&gt;0,1,0)</x:f>
        <x:v>0</x:v>
      </x:c>
      <x:c r="I1553" s="12" t="n">
        <x:f>IF('患者配对'!M1734="positive",1,0)</x:f>
        <x:v>0</x:v>
      </x:c>
      <x:c r="J1553" s="12" t="n">
        <x:f>IF('患者配对'!R1734="positive",1,0)</x:f>
        <x:v>0</x:v>
      </x:c>
      <x:c r="K1553" s="12" t="n">
        <x:f>IF('患者配对'!W1734="positive",1,0)</x:f>
        <x:v>0</x:v>
      </x:c>
      <x:c r="L1553" s="12" t="str">
        <x:v>由原件与原状态取得；仅主队列索引</x:v>
      </x:c>
      <x:c r="M1553" s="12"/>
      <x:c r="N1553" s="12"/>
      <x:c r="O1553" s="12"/>
    </x:row>
    <x:row r="1554" ht="39" customHeight="1">
      <x:c r="A1554" s="12" t="str">
        <x:v>16357</x:v>
      </x:c>
      <x:c r="B1554" s="12" t="str">
        <x:v>6802</x:v>
      </x:c>
      <x:c r="C1554" s="12" t="str">
        <x:v>参考100</x:v>
      </x:c>
      <x:c r="D1554" s="12" t="str">
        <x:v>自动100</x:v>
      </x:c>
      <x:c r="E1554" s="12" t="n">
        <x:v>1</x:v>
      </x:c>
      <x:c r="F1554" s="12" t="n">
        <x:v>1</x:v>
      </x:c>
      <x:c r="G1554" s="12" t="n">
        <x:v>0</x:v>
      </x:c>
      <x:c r="H1554" s="12" t="n">
        <x:f>IF(SUM(I1554:K1554)&gt;0,1,0)</x:f>
        <x:v>1</x:v>
      </x:c>
      <x:c r="I1554" s="12" t="n">
        <x:f>IF('患者配对'!M1735="positive",1,0)</x:f>
        <x:v>1</x:v>
      </x:c>
      <x:c r="J1554" s="12" t="n">
        <x:f>IF('患者配对'!R1735="positive",1,0)</x:f>
        <x:v>0</x:v>
      </x:c>
      <x:c r="K1554" s="12" t="n">
        <x:f>IF('患者配对'!W1735="positive",1,0)</x:f>
        <x:v>0</x:v>
      </x:c>
      <x:c r="L1554" s="12" t="str">
        <x:v>由原件与原状态取得；仅主队列索引</x:v>
      </x:c>
      <x:c r="M1554" s="12"/>
      <x:c r="N1554" s="12"/>
      <x:c r="O1554" s="12"/>
    </x:row>
    <x:row r="1555" ht="39" customHeight="1">
      <x:c r="A1555" s="12" t="str">
        <x:v>16407</x:v>
      </x:c>
      <x:c r="B1555" s="12" t="str">
        <x:v>3049</x:v>
      </x:c>
      <x:c r="C1555" s="12" t="str">
        <x:v>参考000</x:v>
      </x:c>
      <x:c r="D1555" s="12" t="str">
        <x:v>自动000</x:v>
      </x:c>
      <x:c r="E1555" s="12" t="n">
        <x:v>0</x:v>
      </x:c>
      <x:c r="F1555" s="12" t="n">
        <x:v>0</x:v>
      </x:c>
      <x:c r="G1555" s="12" t="n">
        <x:v>0</x:v>
      </x:c>
      <x:c r="H1555" s="12" t="n">
        <x:f>IF(SUM(I1555:K1555)&gt;0,1,0)</x:f>
        <x:v>0</x:v>
      </x:c>
      <x:c r="I1555" s="12" t="n">
        <x:f>IF('患者配对'!M1736="positive",1,0)</x:f>
        <x:v>0</x:v>
      </x:c>
      <x:c r="J1555" s="12" t="n">
        <x:f>IF('患者配对'!R1736="positive",1,0)</x:f>
        <x:v>0</x:v>
      </x:c>
      <x:c r="K1555" s="12" t="n">
        <x:f>IF('患者配对'!W1736="positive",1,0)</x:f>
        <x:v>0</x:v>
      </x:c>
      <x:c r="L1555" s="12" t="str">
        <x:v>由原件与原状态取得；仅主队列索引</x:v>
      </x:c>
      <x:c r="M1555" s="12"/>
      <x:c r="N1555" s="12"/>
      <x:c r="O1555" s="12"/>
    </x:row>
    <x:row r="1556" ht="39" customHeight="1">
      <x:c r="A1556" s="12" t="str">
        <x:v>16425</x:v>
      </x:c>
      <x:c r="B1556" s="12" t="str">
        <x:v>14449</x:v>
      </x:c>
      <x:c r="C1556" s="12" t="str">
        <x:v>参考000</x:v>
      </x:c>
      <x:c r="D1556" s="12" t="str">
        <x:v>自动000</x:v>
      </x:c>
      <x:c r="E1556" s="12" t="n">
        <x:v>0</x:v>
      </x:c>
      <x:c r="F1556" s="12" t="n">
        <x:v>0</x:v>
      </x:c>
      <x:c r="G1556" s="12" t="n">
        <x:v>0</x:v>
      </x:c>
      <x:c r="H1556" s="12" t="n">
        <x:f>IF(SUM(I1556:K1556)&gt;0,1,0)</x:f>
        <x:v>0</x:v>
      </x:c>
      <x:c r="I1556" s="12" t="n">
        <x:f>IF('患者配对'!M1737="positive",1,0)</x:f>
        <x:v>0</x:v>
      </x:c>
      <x:c r="J1556" s="12" t="n">
        <x:f>IF('患者配对'!R1737="positive",1,0)</x:f>
        <x:v>0</x:v>
      </x:c>
      <x:c r="K1556" s="12" t="n">
        <x:f>IF('患者配对'!W1737="positive",1,0)</x:f>
        <x:v>0</x:v>
      </x:c>
      <x:c r="L1556" s="12" t="str">
        <x:v>由原件与原状态取得；仅主队列索引</x:v>
      </x:c>
      <x:c r="M1556" s="12"/>
      <x:c r="N1556" s="12"/>
      <x:c r="O1556" s="12"/>
    </x:row>
    <x:row r="1557" ht="39" customHeight="1">
      <x:c r="A1557" s="12" t="str">
        <x:v>16427</x:v>
      </x:c>
      <x:c r="B1557" s="12" t="str">
        <x:v>3973</x:v>
      </x:c>
      <x:c r="C1557" s="12" t="str">
        <x:v>参考000</x:v>
      </x:c>
      <x:c r="D1557" s="12" t="str">
        <x:v>自动000</x:v>
      </x:c>
      <x:c r="E1557" s="12" t="n">
        <x:v>0</x:v>
      </x:c>
      <x:c r="F1557" s="12" t="n">
        <x:v>0</x:v>
      </x:c>
      <x:c r="G1557" s="12" t="n">
        <x:v>0</x:v>
      </x:c>
      <x:c r="H1557" s="12" t="n">
        <x:f>IF(SUM(I1557:K1557)&gt;0,1,0)</x:f>
        <x:v>0</x:v>
      </x:c>
      <x:c r="I1557" s="12" t="n">
        <x:f>IF('患者配对'!M1738="positive",1,0)</x:f>
        <x:v>0</x:v>
      </x:c>
      <x:c r="J1557" s="12" t="n">
        <x:f>IF('患者配对'!R1738="positive",1,0)</x:f>
        <x:v>0</x:v>
      </x:c>
      <x:c r="K1557" s="12" t="n">
        <x:f>IF('患者配对'!W1738="positive",1,0)</x:f>
        <x:v>0</x:v>
      </x:c>
      <x:c r="L1557" s="12" t="str">
        <x:v>由原件与原状态取得；仅主队列索引</x:v>
      </x:c>
      <x:c r="M1557" s="12"/>
      <x:c r="N1557" s="12"/>
      <x:c r="O1557" s="12"/>
    </x:row>
    <x:row r="1558" ht="39" customHeight="1">
      <x:c r="A1558" s="12" t="str">
        <x:v>16463</x:v>
      </x:c>
      <x:c r="B1558" s="12" t="str">
        <x:v>6727</x:v>
      </x:c>
      <x:c r="C1558" s="12" t="str">
        <x:v>参考000</x:v>
      </x:c>
      <x:c r="D1558" s="12" t="str">
        <x:v>自动000</x:v>
      </x:c>
      <x:c r="E1558" s="12" t="n">
        <x:v>0</x:v>
      </x:c>
      <x:c r="F1558" s="12" t="n">
        <x:v>0</x:v>
      </x:c>
      <x:c r="G1558" s="12" t="n">
        <x:v>0</x:v>
      </x:c>
      <x:c r="H1558" s="12" t="n">
        <x:f>IF(SUM(I1558:K1558)&gt;0,1,0)</x:f>
        <x:v>0</x:v>
      </x:c>
      <x:c r="I1558" s="12" t="n">
        <x:f>IF('患者配对'!M1739="positive",1,0)</x:f>
        <x:v>0</x:v>
      </x:c>
      <x:c r="J1558" s="12" t="n">
        <x:f>IF('患者配对'!R1739="positive",1,0)</x:f>
        <x:v>0</x:v>
      </x:c>
      <x:c r="K1558" s="12" t="n">
        <x:f>IF('患者配对'!W1739="positive",1,0)</x:f>
        <x:v>0</x:v>
      </x:c>
      <x:c r="L1558" s="12" t="str">
        <x:v>由原件与原状态取得；仅主队列索引</x:v>
      </x:c>
      <x:c r="M1558" s="12"/>
      <x:c r="N1558" s="12"/>
      <x:c r="O1558" s="12"/>
    </x:row>
    <x:row r="1559" ht="39" customHeight="1">
      <x:c r="A1559" s="12" t="str">
        <x:v>16465</x:v>
      </x:c>
      <x:c r="B1559" s="12" t="str">
        <x:v>5703</x:v>
      </x:c>
      <x:c r="C1559" s="12" t="str">
        <x:v>参考000</x:v>
      </x:c>
      <x:c r="D1559" s="12" t="str">
        <x:v>自动000</x:v>
      </x:c>
      <x:c r="E1559" s="12" t="n">
        <x:v>0</x:v>
      </x:c>
      <x:c r="F1559" s="12" t="n">
        <x:v>0</x:v>
      </x:c>
      <x:c r="G1559" s="12" t="n">
        <x:v>0</x:v>
      </x:c>
      <x:c r="H1559" s="12" t="n">
        <x:f>IF(SUM(I1559:K1559)&gt;0,1,0)</x:f>
        <x:v>0</x:v>
      </x:c>
      <x:c r="I1559" s="12" t="n">
        <x:f>IF('患者配对'!M1740="positive",1,0)</x:f>
        <x:v>0</x:v>
      </x:c>
      <x:c r="J1559" s="12" t="n">
        <x:f>IF('患者配对'!R1740="positive",1,0)</x:f>
        <x:v>0</x:v>
      </x:c>
      <x:c r="K1559" s="12" t="n">
        <x:f>IF('患者配对'!W1740="positive",1,0)</x:f>
        <x:v>0</x:v>
      </x:c>
      <x:c r="L1559" s="12" t="str">
        <x:v>由原件与原状态取得；仅主队列索引</x:v>
      </x:c>
      <x:c r="M1559" s="12"/>
      <x:c r="N1559" s="12"/>
      <x:c r="O1559" s="12"/>
    </x:row>
    <x:row r="1560" ht="39" customHeight="1">
      <x:c r="A1560" s="12" t="str">
        <x:v>16469</x:v>
      </x:c>
      <x:c r="B1560" s="12" t="str">
        <x:v>14183</x:v>
      </x:c>
      <x:c r="C1560" s="12" t="str">
        <x:v>参考000</x:v>
      </x:c>
      <x:c r="D1560" s="12" t="str">
        <x:v>自动000</x:v>
      </x:c>
      <x:c r="E1560" s="12" t="n">
        <x:v>0</x:v>
      </x:c>
      <x:c r="F1560" s="12" t="n">
        <x:v>0</x:v>
      </x:c>
      <x:c r="G1560" s="12" t="n">
        <x:v>0</x:v>
      </x:c>
      <x:c r="H1560" s="12" t="n">
        <x:f>IF(SUM(I1560:K1560)&gt;0,1,0)</x:f>
        <x:v>0</x:v>
      </x:c>
      <x:c r="I1560" s="12" t="n">
        <x:f>IF('患者配对'!M1742="positive",1,0)</x:f>
        <x:v>0</x:v>
      </x:c>
      <x:c r="J1560" s="12" t="n">
        <x:f>IF('患者配对'!R1742="positive",1,0)</x:f>
        <x:v>0</x:v>
      </x:c>
      <x:c r="K1560" s="12" t="n">
        <x:f>IF('患者配对'!W1742="positive",1,0)</x:f>
        <x:v>0</x:v>
      </x:c>
      <x:c r="L1560" s="12" t="str">
        <x:v>由原件与原状态取得；仅主队列索引</x:v>
      </x:c>
      <x:c r="M1560" s="12"/>
      <x:c r="N1560" s="12"/>
      <x:c r="O1560" s="12"/>
    </x:row>
    <x:row r="1561" ht="39" customHeight="1">
      <x:c r="A1561" s="12" t="str">
        <x:v>16499</x:v>
      </x:c>
      <x:c r="B1561" s="12" t="str">
        <x:v>11291</x:v>
      </x:c>
      <x:c r="C1561" s="12" t="str">
        <x:v>参考000</x:v>
      </x:c>
      <x:c r="D1561" s="12" t="str">
        <x:v>自动000</x:v>
      </x:c>
      <x:c r="E1561" s="12" t="n">
        <x:v>0</x:v>
      </x:c>
      <x:c r="F1561" s="12" t="n">
        <x:v>0</x:v>
      </x:c>
      <x:c r="G1561" s="12" t="n">
        <x:v>0</x:v>
      </x:c>
      <x:c r="H1561" s="12" t="n">
        <x:f>IF(SUM(I1561:K1561)&gt;0,1,0)</x:f>
        <x:v>0</x:v>
      </x:c>
      <x:c r="I1561" s="12" t="n">
        <x:f>IF('患者配对'!M1743="positive",1,0)</x:f>
        <x:v>0</x:v>
      </x:c>
      <x:c r="J1561" s="12" t="n">
        <x:f>IF('患者配对'!R1743="positive",1,0)</x:f>
        <x:v>0</x:v>
      </x:c>
      <x:c r="K1561" s="12" t="n">
        <x:f>IF('患者配对'!W1743="positive",1,0)</x:f>
        <x:v>0</x:v>
      </x:c>
      <x:c r="L1561" s="12" t="str">
        <x:v>由原件与原状态取得；仅主队列索引</x:v>
      </x:c>
      <x:c r="M1561" s="12"/>
      <x:c r="N1561" s="12"/>
      <x:c r="O1561" s="12"/>
    </x:row>
    <x:row r="1562" ht="39" customHeight="1">
      <x:c r="A1562" s="12" t="str">
        <x:v>16511</x:v>
      </x:c>
      <x:c r="B1562" s="12" t="str">
        <x:v>2047</x:v>
      </x:c>
      <x:c r="C1562" s="12" t="str">
        <x:v>参考000</x:v>
      </x:c>
      <x:c r="D1562" s="12" t="str">
        <x:v>自动000</x:v>
      </x:c>
      <x:c r="E1562" s="12" t="n">
        <x:v>0</x:v>
      </x:c>
      <x:c r="F1562" s="12" t="n">
        <x:v>0</x:v>
      </x:c>
      <x:c r="G1562" s="12" t="n">
        <x:v>0</x:v>
      </x:c>
      <x:c r="H1562" s="12" t="n">
        <x:f>IF(SUM(I1562:K1562)&gt;0,1,0)</x:f>
        <x:v>0</x:v>
      </x:c>
      <x:c r="I1562" s="12" t="n">
        <x:f>IF('患者配对'!M1744="positive",1,0)</x:f>
        <x:v>0</x:v>
      </x:c>
      <x:c r="J1562" s="12" t="n">
        <x:f>IF('患者配对'!R1744="positive",1,0)</x:f>
        <x:v>0</x:v>
      </x:c>
      <x:c r="K1562" s="12" t="n">
        <x:f>IF('患者配对'!W1744="positive",1,0)</x:f>
        <x:v>0</x:v>
      </x:c>
      <x:c r="L1562" s="12" t="str">
        <x:v>由原件与原状态取得；仅主队列索引</x:v>
      </x:c>
      <x:c r="M1562" s="12"/>
      <x:c r="N1562" s="12"/>
      <x:c r="O1562" s="12"/>
    </x:row>
    <x:row r="1563" ht="39" customHeight="1">
      <x:c r="A1563" s="12" t="str">
        <x:v>16526</x:v>
      </x:c>
      <x:c r="B1563" s="12" t="str">
        <x:v>4621</x:v>
      </x:c>
      <x:c r="C1563" s="12" t="str">
        <x:v>参考000</x:v>
      </x:c>
      <x:c r="D1563" s="12" t="str">
        <x:v>自动000</x:v>
      </x:c>
      <x:c r="E1563" s="12" t="n">
        <x:v>0</x:v>
      </x:c>
      <x:c r="F1563" s="12" t="n">
        <x:v>0</x:v>
      </x:c>
      <x:c r="G1563" s="12" t="n">
        <x:v>0</x:v>
      </x:c>
      <x:c r="H1563" s="12" t="n">
        <x:f>IF(SUM(I1563:K1563)&gt;0,1,0)</x:f>
        <x:v>0</x:v>
      </x:c>
      <x:c r="I1563" s="12" t="n">
        <x:f>IF('患者配对'!M1745="positive",1,0)</x:f>
        <x:v>0</x:v>
      </x:c>
      <x:c r="J1563" s="12" t="n">
        <x:f>IF('患者配对'!R1745="positive",1,0)</x:f>
        <x:v>0</x:v>
      </x:c>
      <x:c r="K1563" s="12" t="n">
        <x:f>IF('患者配对'!W1745="positive",1,0)</x:f>
        <x:v>0</x:v>
      </x:c>
      <x:c r="L1563" s="12" t="str">
        <x:v>由原件与原状态取得；仅主队列索引</x:v>
      </x:c>
      <x:c r="M1563" s="12"/>
      <x:c r="N1563" s="12"/>
      <x:c r="O1563" s="12"/>
    </x:row>
    <x:row r="1564" ht="39" customHeight="1">
      <x:c r="A1564" s="12" t="str">
        <x:v>16529</x:v>
      </x:c>
      <x:c r="B1564" s="12" t="str">
        <x:v>4699</x:v>
      </x:c>
      <x:c r="C1564" s="12" t="str">
        <x:v>参考000</x:v>
      </x:c>
      <x:c r="D1564" s="12" t="str">
        <x:v>自动000</x:v>
      </x:c>
      <x:c r="E1564" s="12" t="n">
        <x:v>0</x:v>
      </x:c>
      <x:c r="F1564" s="12" t="n">
        <x:v>0</x:v>
      </x:c>
      <x:c r="G1564" s="12" t="n">
        <x:v>0</x:v>
      </x:c>
      <x:c r="H1564" s="12" t="n">
        <x:f>IF(SUM(I1564:K1564)&gt;0,1,0)</x:f>
        <x:v>0</x:v>
      </x:c>
      <x:c r="I1564" s="12" t="n">
        <x:f>IF('患者配对'!M1746="positive",1,0)</x:f>
        <x:v>0</x:v>
      </x:c>
      <x:c r="J1564" s="12" t="n">
        <x:f>IF('患者配对'!R1746="positive",1,0)</x:f>
        <x:v>0</x:v>
      </x:c>
      <x:c r="K1564" s="12" t="n">
        <x:f>IF('患者配对'!W1746="positive",1,0)</x:f>
        <x:v>0</x:v>
      </x:c>
      <x:c r="L1564" s="12" t="str">
        <x:v>由原件与原状态取得；仅主队列索引</x:v>
      </x:c>
      <x:c r="M1564" s="12"/>
      <x:c r="N1564" s="12"/>
      <x:c r="O1564" s="12"/>
    </x:row>
    <x:row r="1565" ht="39" customHeight="1">
      <x:c r="A1565" s="12" t="str">
        <x:v>16532</x:v>
      </x:c>
      <x:c r="B1565" s="12" t="str">
        <x:v>19983</x:v>
      </x:c>
      <x:c r="C1565" s="12" t="str">
        <x:v>参考000</x:v>
      </x:c>
      <x:c r="D1565" s="12" t="str">
        <x:v>自动000</x:v>
      </x:c>
      <x:c r="E1565" s="12" t="n">
        <x:v>0</x:v>
      </x:c>
      <x:c r="F1565" s="12" t="n">
        <x:v>1</x:v>
      </x:c>
      <x:c r="G1565" s="12" t="n">
        <x:v>0</x:v>
      </x:c>
      <x:c r="H1565" s="12" t="n">
        <x:f>IF(SUM(I1565:K1565)&gt;0,1,0)</x:f>
        <x:v>0</x:v>
      </x:c>
      <x:c r="I1565" s="12" t="n">
        <x:f>IF('患者配对'!M1747="positive",1,0)</x:f>
        <x:v>0</x:v>
      </x:c>
      <x:c r="J1565" s="12" t="n">
        <x:f>IF('患者配对'!R1747="positive",1,0)</x:f>
        <x:v>0</x:v>
      </x:c>
      <x:c r="K1565" s="12" t="n">
        <x:f>IF('患者配对'!W1747="positive",1,0)</x:f>
        <x:v>0</x:v>
      </x:c>
      <x:c r="L1565" s="12" t="str">
        <x:v>由原件与原状态取得；仅主队列索引</x:v>
      </x:c>
      <x:c r="M1565" s="12"/>
      <x:c r="N1565" s="12"/>
      <x:c r="O1565" s="12"/>
    </x:row>
    <x:row r="1566" ht="39" customHeight="1">
      <x:c r="A1566" s="12" t="str">
        <x:v>16534</x:v>
      </x:c>
      <x:c r="B1566" s="12" t="str">
        <x:v>7742</x:v>
      </x:c>
      <x:c r="C1566" s="12" t="str">
        <x:v>参考000</x:v>
      </x:c>
      <x:c r="D1566" s="12" t="str">
        <x:v>自动000</x:v>
      </x:c>
      <x:c r="E1566" s="12" t="n">
        <x:v>0</x:v>
      </x:c>
      <x:c r="F1566" s="12" t="n">
        <x:v>0</x:v>
      </x:c>
      <x:c r="G1566" s="12" t="n">
        <x:v>0</x:v>
      </x:c>
      <x:c r="H1566" s="12" t="n">
        <x:f>IF(SUM(I1566:K1566)&gt;0,1,0)</x:f>
        <x:v>0</x:v>
      </x:c>
      <x:c r="I1566" s="12" t="n">
        <x:f>IF('患者配对'!M1748="positive",1,0)</x:f>
        <x:v>0</x:v>
      </x:c>
      <x:c r="J1566" s="12" t="n">
        <x:f>IF('患者配对'!R1748="positive",1,0)</x:f>
        <x:v>0</x:v>
      </x:c>
      <x:c r="K1566" s="12" t="n">
        <x:f>IF('患者配对'!W1748="positive",1,0)</x:f>
        <x:v>0</x:v>
      </x:c>
      <x:c r="L1566" s="12" t="str">
        <x:v>由原件与原状态取得；仅主队列索引</x:v>
      </x:c>
      <x:c r="M1566" s="12"/>
      <x:c r="N1566" s="12"/>
      <x:c r="O1566" s="12"/>
    </x:row>
    <x:row r="1567" ht="39" customHeight="1">
      <x:c r="A1567" s="12" t="str">
        <x:v>16535</x:v>
      </x:c>
      <x:c r="B1567" s="12" t="str">
        <x:v>11584</x:v>
      </x:c>
      <x:c r="C1567" s="12" t="str">
        <x:v>参考100</x:v>
      </x:c>
      <x:c r="D1567" s="12" t="str">
        <x:v>自动100</x:v>
      </x:c>
      <x:c r="E1567" s="12" t="n">
        <x:v>1</x:v>
      </x:c>
      <x:c r="F1567" s="12" t="n">
        <x:v>1</x:v>
      </x:c>
      <x:c r="G1567" s="12" t="n">
        <x:v>0</x:v>
      </x:c>
      <x:c r="H1567" s="12" t="n">
        <x:f>IF(SUM(I1567:K1567)&gt;0,1,0)</x:f>
        <x:v>1</x:v>
      </x:c>
      <x:c r="I1567" s="12" t="n">
        <x:f>IF('患者配对'!M1749="positive",1,0)</x:f>
        <x:v>1</x:v>
      </x:c>
      <x:c r="J1567" s="12" t="n">
        <x:f>IF('患者配对'!R1749="positive",1,0)</x:f>
        <x:v>0</x:v>
      </x:c>
      <x:c r="K1567" s="12" t="n">
        <x:f>IF('患者配对'!W1749="positive",1,0)</x:f>
        <x:v>0</x:v>
      </x:c>
      <x:c r="L1567" s="12" t="str">
        <x:v>由原件与原状态取得；仅主队列索引</x:v>
      </x:c>
      <x:c r="M1567" s="12"/>
      <x:c r="N1567" s="12"/>
      <x:c r="O1567" s="12"/>
    </x:row>
    <x:row r="1568" ht="39" customHeight="1">
      <x:c r="A1568" s="12" t="str">
        <x:v>16537</x:v>
      </x:c>
      <x:c r="B1568" s="12" t="str">
        <x:v>1509</x:v>
      </x:c>
      <x:c r="C1568" s="12" t="str">
        <x:v>参考000</x:v>
      </x:c>
      <x:c r="D1568" s="12" t="str">
        <x:v>自动000</x:v>
      </x:c>
      <x:c r="E1568" s="12" t="n">
        <x:v>0</x:v>
      </x:c>
      <x:c r="F1568" s="12" t="n">
        <x:v>1</x:v>
      </x:c>
      <x:c r="G1568" s="12" t="n">
        <x:v>0</x:v>
      </x:c>
      <x:c r="H1568" s="12" t="n">
        <x:f>IF(SUM(I1568:K1568)&gt;0,1,0)</x:f>
        <x:v>0</x:v>
      </x:c>
      <x:c r="I1568" s="12" t="n">
        <x:f>IF('患者配对'!M1750="positive",1,0)</x:f>
        <x:v>0</x:v>
      </x:c>
      <x:c r="J1568" s="12" t="n">
        <x:f>IF('患者配对'!R1750="positive",1,0)</x:f>
        <x:v>0</x:v>
      </x:c>
      <x:c r="K1568" s="12" t="n">
        <x:f>IF('患者配对'!W1750="positive",1,0)</x:f>
        <x:v>0</x:v>
      </x:c>
      <x:c r="L1568" s="12" t="str">
        <x:v>由原件与原状态取得；仅主队列索引</x:v>
      </x:c>
      <x:c r="M1568" s="12"/>
      <x:c r="N1568" s="12"/>
      <x:c r="O1568" s="12"/>
    </x:row>
    <x:row r="1569" ht="39" customHeight="1">
      <x:c r="A1569" s="12" t="str">
        <x:v>16542</x:v>
      </x:c>
      <x:c r="B1569" s="12" t="str">
        <x:v>20890</x:v>
      </x:c>
      <x:c r="C1569" s="12" t="str">
        <x:v>参考000</x:v>
      </x:c>
      <x:c r="D1569" s="12" t="str">
        <x:v>自动000</x:v>
      </x:c>
      <x:c r="E1569" s="12" t="n">
        <x:v>0</x:v>
      </x:c>
      <x:c r="F1569" s="12" t="n">
        <x:v>0</x:v>
      </x:c>
      <x:c r="G1569" s="12" t="n">
        <x:v>0</x:v>
      </x:c>
      <x:c r="H1569" s="12" t="n">
        <x:f>IF(SUM(I1569:K1569)&gt;0,1,0)</x:f>
        <x:v>0</x:v>
      </x:c>
      <x:c r="I1569" s="12" t="n">
        <x:f>IF('患者配对'!M1751="positive",1,0)</x:f>
        <x:v>0</x:v>
      </x:c>
      <x:c r="J1569" s="12" t="n">
        <x:f>IF('患者配对'!R1751="positive",1,0)</x:f>
        <x:v>0</x:v>
      </x:c>
      <x:c r="K1569" s="12" t="n">
        <x:f>IF('患者配对'!W1751="positive",1,0)</x:f>
        <x:v>0</x:v>
      </x:c>
      <x:c r="L1569" s="12" t="str">
        <x:v>由原件与原状态取得；仅主队列索引</x:v>
      </x:c>
      <x:c r="M1569" s="12"/>
      <x:c r="N1569" s="12"/>
      <x:c r="O1569" s="12"/>
    </x:row>
    <x:row r="1570" ht="39" customHeight="1">
      <x:c r="A1570" s="12" t="str">
        <x:v>16543</x:v>
      </x:c>
      <x:c r="B1570" s="12" t="str">
        <x:v>10790</x:v>
      </x:c>
      <x:c r="C1570" s="12" t="str">
        <x:v>参考000</x:v>
      </x:c>
      <x:c r="D1570" s="12" t="str">
        <x:v>自动000</x:v>
      </x:c>
      <x:c r="E1570" s="12" t="n">
        <x:v>0</x:v>
      </x:c>
      <x:c r="F1570" s="12" t="n">
        <x:v>1</x:v>
      </x:c>
      <x:c r="G1570" s="12" t="n">
        <x:v>0</x:v>
      </x:c>
      <x:c r="H1570" s="12" t="n">
        <x:f>IF(SUM(I1570:K1570)&gt;0,1,0)</x:f>
        <x:v>0</x:v>
      </x:c>
      <x:c r="I1570" s="12" t="n">
        <x:f>IF('患者配对'!M1752="positive",1,0)</x:f>
        <x:v>0</x:v>
      </x:c>
      <x:c r="J1570" s="12" t="n">
        <x:f>IF('患者配对'!R1752="positive",1,0)</x:f>
        <x:v>0</x:v>
      </x:c>
      <x:c r="K1570" s="12" t="n">
        <x:f>IF('患者配对'!W1752="positive",1,0)</x:f>
        <x:v>0</x:v>
      </x:c>
      <x:c r="L1570" s="12" t="str">
        <x:v>由原件与原状态取得；仅主队列索引</x:v>
      </x:c>
      <x:c r="M1570" s="12"/>
      <x:c r="N1570" s="12"/>
      <x:c r="O1570" s="12"/>
    </x:row>
    <x:row r="1571" ht="39" customHeight="1">
      <x:c r="A1571" s="12" t="str">
        <x:v>16563</x:v>
      </x:c>
      <x:c r="B1571" s="12" t="str">
        <x:v>6092</x:v>
      </x:c>
      <x:c r="C1571" s="12" t="str">
        <x:v>参考000</x:v>
      </x:c>
      <x:c r="D1571" s="12" t="str">
        <x:v>自动000</x:v>
      </x:c>
      <x:c r="E1571" s="12" t="n">
        <x:v>0</x:v>
      </x:c>
      <x:c r="F1571" s="12" t="n">
        <x:v>1</x:v>
      </x:c>
      <x:c r="G1571" s="12" t="n">
        <x:v>0</x:v>
      </x:c>
      <x:c r="H1571" s="12" t="n">
        <x:f>IF(SUM(I1571:K1571)&gt;0,1,0)</x:f>
        <x:v>0</x:v>
      </x:c>
      <x:c r="I1571" s="12" t="n">
        <x:f>IF('患者配对'!M1753="positive",1,0)</x:f>
        <x:v>0</x:v>
      </x:c>
      <x:c r="J1571" s="12" t="n">
        <x:f>IF('患者配对'!R1753="positive",1,0)</x:f>
        <x:v>0</x:v>
      </x:c>
      <x:c r="K1571" s="12" t="n">
        <x:f>IF('患者配对'!W1753="positive",1,0)</x:f>
        <x:v>0</x:v>
      </x:c>
      <x:c r="L1571" s="12" t="str">
        <x:v>由原件与原状态取得；仅主队列索引</x:v>
      </x:c>
      <x:c r="M1571" s="12"/>
      <x:c r="N1571" s="12"/>
      <x:c r="O1571" s="12"/>
    </x:row>
    <x:row r="1572" ht="39" customHeight="1">
      <x:c r="A1572" s="12" t="str">
        <x:v>16564</x:v>
      </x:c>
      <x:c r="B1572" s="12" t="str">
        <x:v>4297</x:v>
      </x:c>
      <x:c r="C1572" s="12" t="str">
        <x:v>参考000</x:v>
      </x:c>
      <x:c r="D1572" s="12" t="str">
        <x:v>自动000</x:v>
      </x:c>
      <x:c r="E1572" s="12" t="n">
        <x:v>0</x:v>
      </x:c>
      <x:c r="F1572" s="12" t="n">
        <x:v>1</x:v>
      </x:c>
      <x:c r="G1572" s="12" t="n">
        <x:v>0</x:v>
      </x:c>
      <x:c r="H1572" s="12" t="n">
        <x:f>IF(SUM(I1572:K1572)&gt;0,1,0)</x:f>
        <x:v>0</x:v>
      </x:c>
      <x:c r="I1572" s="12" t="n">
        <x:f>IF('患者配对'!M1754="positive",1,0)</x:f>
        <x:v>0</x:v>
      </x:c>
      <x:c r="J1572" s="12" t="n">
        <x:f>IF('患者配对'!R1754="positive",1,0)</x:f>
        <x:v>0</x:v>
      </x:c>
      <x:c r="K1572" s="12" t="n">
        <x:f>IF('患者配对'!W1754="positive",1,0)</x:f>
        <x:v>0</x:v>
      </x:c>
      <x:c r="L1572" s="12" t="str">
        <x:v>由原件与原状态取得；仅主队列索引</x:v>
      </x:c>
      <x:c r="M1572" s="12"/>
      <x:c r="N1572" s="12"/>
      <x:c r="O1572" s="12"/>
    </x:row>
    <x:row r="1573" ht="39" customHeight="1">
      <x:c r="A1573" s="12" t="str">
        <x:v>16566</x:v>
      </x:c>
      <x:c r="B1573" s="12" t="str">
        <x:v>11424</x:v>
      </x:c>
      <x:c r="C1573" s="12" t="str">
        <x:v>参考100</x:v>
      </x:c>
      <x:c r="D1573" s="12" t="str">
        <x:v>自动100</x:v>
      </x:c>
      <x:c r="E1573" s="12" t="n">
        <x:v>1</x:v>
      </x:c>
      <x:c r="F1573" s="12" t="n">
        <x:v>1</x:v>
      </x:c>
      <x:c r="G1573" s="12" t="n">
        <x:v>0</x:v>
      </x:c>
      <x:c r="H1573" s="12" t="n">
        <x:f>IF(SUM(I1573:K1573)&gt;0,1,0)</x:f>
        <x:v>1</x:v>
      </x:c>
      <x:c r="I1573" s="12" t="n">
        <x:f>IF('患者配对'!M1755="positive",1,0)</x:f>
        <x:v>1</x:v>
      </x:c>
      <x:c r="J1573" s="12" t="n">
        <x:f>IF('患者配对'!R1755="positive",1,0)</x:f>
        <x:v>0</x:v>
      </x:c>
      <x:c r="K1573" s="12" t="n">
        <x:f>IF('患者配对'!W1755="positive",1,0)</x:f>
        <x:v>0</x:v>
      </x:c>
      <x:c r="L1573" s="12" t="str">
        <x:v>由原件与原状态取得；仅主队列索引</x:v>
      </x:c>
      <x:c r="M1573" s="12"/>
      <x:c r="N1573" s="12"/>
      <x:c r="O1573" s="12"/>
    </x:row>
    <x:row r="1574" ht="39" customHeight="1">
      <x:c r="A1574" s="12" t="str">
        <x:v>16572</x:v>
      </x:c>
      <x:c r="B1574" s="12" t="str">
        <x:v>3787</x:v>
      </x:c>
      <x:c r="C1574" s="12" t="str">
        <x:v>参考000</x:v>
      </x:c>
      <x:c r="D1574" s="12" t="str">
        <x:v>自动000</x:v>
      </x:c>
      <x:c r="E1574" s="12" t="n">
        <x:v>0</x:v>
      </x:c>
      <x:c r="F1574" s="12" t="n">
        <x:v>0</x:v>
      </x:c>
      <x:c r="G1574" s="12" t="n">
        <x:v>0</x:v>
      </x:c>
      <x:c r="H1574" s="12" t="n">
        <x:f>IF(SUM(I1574:K1574)&gt;0,1,0)</x:f>
        <x:v>0</x:v>
      </x:c>
      <x:c r="I1574" s="12" t="n">
        <x:f>IF('患者配对'!M1756="positive",1,0)</x:f>
        <x:v>0</x:v>
      </x:c>
      <x:c r="J1574" s="12" t="n">
        <x:f>IF('患者配对'!R1756="positive",1,0)</x:f>
        <x:v>0</x:v>
      </x:c>
      <x:c r="K1574" s="12" t="n">
        <x:f>IF('患者配对'!W1756="positive",1,0)</x:f>
        <x:v>0</x:v>
      </x:c>
      <x:c r="L1574" s="12" t="str">
        <x:v>由原件与原状态取得；仅主队列索引</x:v>
      </x:c>
      <x:c r="M1574" s="12"/>
      <x:c r="N1574" s="12"/>
      <x:c r="O1574" s="12"/>
    </x:row>
    <x:row r="1575" ht="39" customHeight="1">
      <x:c r="A1575" s="12" t="str">
        <x:v>16591</x:v>
      </x:c>
      <x:c r="B1575" s="12" t="str">
        <x:v>1404</x:v>
      </x:c>
      <x:c r="C1575" s="12" t="str">
        <x:v>参考100</x:v>
      </x:c>
      <x:c r="D1575" s="12" t="str">
        <x:v>自动000</x:v>
      </x:c>
      <x:c r="E1575" s="12" t="n">
        <x:v>0</x:v>
      </x:c>
      <x:c r="F1575" s="12" t="n">
        <x:v>1</x:v>
      </x:c>
      <x:c r="G1575" s="12" t="n">
        <x:v>1</x:v>
      </x:c>
      <x:c r="H1575" s="12" t="n">
        <x:f>IF(SUM(I1575:K1575)&gt;0,1,0)</x:f>
        <x:v>1</x:v>
      </x:c>
      <x:c r="I1575" s="12" t="n">
        <x:f>IF('患者配对'!M1757="positive",1,0)</x:f>
        <x:v>1</x:v>
      </x:c>
      <x:c r="J1575" s="12" t="n">
        <x:f>IF('患者配对'!R1757="positive",1,0)</x:f>
        <x:v>0</x:v>
      </x:c>
      <x:c r="K1575" s="12" t="n">
        <x:f>IF('患者配对'!W1757="positive",1,0)</x:f>
        <x:v>0</x:v>
      </x:c>
      <x:c r="L1575" s="12" t="str">
        <x:v>由原件与原状态取得；仅主队列索引</x:v>
      </x:c>
      <x:c r="M1575" s="12"/>
      <x:c r="N1575" s="12"/>
      <x:c r="O1575" s="12"/>
    </x:row>
    <x:row r="1576" ht="39" customHeight="1">
      <x:c r="A1576" s="12" t="str">
        <x:v>16596</x:v>
      </x:c>
      <x:c r="B1576" s="12" t="str">
        <x:v>21315</x:v>
      </x:c>
      <x:c r="C1576" s="12" t="str">
        <x:v>参考000</x:v>
      </x:c>
      <x:c r="D1576" s="12" t="str">
        <x:v>自动000</x:v>
      </x:c>
      <x:c r="E1576" s="12" t="n">
        <x:v>0</x:v>
      </x:c>
      <x:c r="F1576" s="12" t="n">
        <x:v>1</x:v>
      </x:c>
      <x:c r="G1576" s="12" t="n">
        <x:v>0</x:v>
      </x:c>
      <x:c r="H1576" s="12" t="n">
        <x:f>IF(SUM(I1576:K1576)&gt;0,1,0)</x:f>
        <x:v>0</x:v>
      </x:c>
      <x:c r="I1576" s="12" t="n">
        <x:f>IF('患者配对'!M1758="positive",1,0)</x:f>
        <x:v>0</x:v>
      </x:c>
      <x:c r="J1576" s="12" t="n">
        <x:f>IF('患者配对'!R1758="positive",1,0)</x:f>
        <x:v>0</x:v>
      </x:c>
      <x:c r="K1576" s="12" t="n">
        <x:f>IF('患者配对'!W1758="positive",1,0)</x:f>
        <x:v>0</x:v>
      </x:c>
      <x:c r="L1576" s="12" t="str">
        <x:v>由原件与原状态取得；仅主队列索引</x:v>
      </x:c>
      <x:c r="M1576" s="12"/>
      <x:c r="N1576" s="12"/>
      <x:c r="O1576" s="12"/>
    </x:row>
    <x:row r="1577" ht="39" customHeight="1">
      <x:c r="A1577" s="12" t="str">
        <x:v>16602</x:v>
      </x:c>
      <x:c r="B1577" s="12" t="str">
        <x:v>7037</x:v>
      </x:c>
      <x:c r="C1577" s="12" t="str">
        <x:v>参考000</x:v>
      </x:c>
      <x:c r="D1577" s="12" t="str">
        <x:v>自动000</x:v>
      </x:c>
      <x:c r="E1577" s="12" t="n">
        <x:v>0</x:v>
      </x:c>
      <x:c r="F1577" s="12" t="n">
        <x:v>0</x:v>
      </x:c>
      <x:c r="G1577" s="12" t="n">
        <x:v>0</x:v>
      </x:c>
      <x:c r="H1577" s="12" t="n">
        <x:f>IF(SUM(I1577:K1577)&gt;0,1,0)</x:f>
        <x:v>0</x:v>
      </x:c>
      <x:c r="I1577" s="12" t="n">
        <x:f>IF('患者配对'!M1759="positive",1,0)</x:f>
        <x:v>0</x:v>
      </x:c>
      <x:c r="J1577" s="12" t="n">
        <x:f>IF('患者配对'!R1759="positive",1,0)</x:f>
        <x:v>0</x:v>
      </x:c>
      <x:c r="K1577" s="12" t="n">
        <x:f>IF('患者配对'!W1759="positive",1,0)</x:f>
        <x:v>0</x:v>
      </x:c>
      <x:c r="L1577" s="12" t="str">
        <x:v>由原件与原状态取得；仅主队列索引</x:v>
      </x:c>
      <x:c r="M1577" s="12"/>
      <x:c r="N1577" s="12"/>
      <x:c r="O1577" s="12"/>
    </x:row>
    <x:row r="1578" ht="39" customHeight="1">
      <x:c r="A1578" s="12" t="str">
        <x:v>16603</x:v>
      </x:c>
      <x:c r="B1578" s="12" t="str">
        <x:v>4964</x:v>
      </x:c>
      <x:c r="C1578" s="12" t="str">
        <x:v>参考000</x:v>
      </x:c>
      <x:c r="D1578" s="12" t="str">
        <x:v>自动000</x:v>
      </x:c>
      <x:c r="E1578" s="12" t="n">
        <x:v>0</x:v>
      </x:c>
      <x:c r="F1578" s="12" t="n">
        <x:v>0</x:v>
      </x:c>
      <x:c r="G1578" s="12" t="n">
        <x:v>0</x:v>
      </x:c>
      <x:c r="H1578" s="12" t="n">
        <x:f>IF(SUM(I1578:K1578)&gt;0,1,0)</x:f>
        <x:v>0</x:v>
      </x:c>
      <x:c r="I1578" s="12" t="n">
        <x:f>IF('患者配对'!M1760="positive",1,0)</x:f>
        <x:v>0</x:v>
      </x:c>
      <x:c r="J1578" s="12" t="n">
        <x:f>IF('患者配对'!R1760="positive",1,0)</x:f>
        <x:v>0</x:v>
      </x:c>
      <x:c r="K1578" s="12" t="n">
        <x:f>IF('患者配对'!W1760="positive",1,0)</x:f>
        <x:v>0</x:v>
      </x:c>
      <x:c r="L1578" s="12" t="str">
        <x:v>由原件与原状态取得；仅主队列索引</x:v>
      </x:c>
      <x:c r="M1578" s="12"/>
      <x:c r="N1578" s="12"/>
      <x:c r="O1578" s="12"/>
    </x:row>
    <x:row r="1579" ht="39" customHeight="1">
      <x:c r="A1579" s="12" t="str">
        <x:v>16605</x:v>
      </x:c>
      <x:c r="B1579" s="12" t="str">
        <x:v>2751</x:v>
      </x:c>
      <x:c r="C1579" s="12" t="str">
        <x:v>参考000</x:v>
      </x:c>
      <x:c r="D1579" s="12" t="str">
        <x:v>自动000</x:v>
      </x:c>
      <x:c r="E1579" s="12" t="n">
        <x:v>0</x:v>
      </x:c>
      <x:c r="F1579" s="12" t="n">
        <x:v>0</x:v>
      </x:c>
      <x:c r="G1579" s="12" t="n">
        <x:v>0</x:v>
      </x:c>
      <x:c r="H1579" s="12" t="n">
        <x:f>IF(SUM(I1579:K1579)&gt;0,1,0)</x:f>
        <x:v>0</x:v>
      </x:c>
      <x:c r="I1579" s="12" t="n">
        <x:f>IF('患者配对'!M1761="positive",1,0)</x:f>
        <x:v>0</x:v>
      </x:c>
      <x:c r="J1579" s="12" t="n">
        <x:f>IF('患者配对'!R1761="positive",1,0)</x:f>
        <x:v>0</x:v>
      </x:c>
      <x:c r="K1579" s="12" t="n">
        <x:f>IF('患者配对'!W1761="positive",1,0)</x:f>
        <x:v>0</x:v>
      </x:c>
      <x:c r="L1579" s="12" t="str">
        <x:v>由原件与原状态取得；仅主队列索引</x:v>
      </x:c>
      <x:c r="M1579" s="12"/>
      <x:c r="N1579" s="12"/>
      <x:c r="O1579" s="12"/>
    </x:row>
    <x:row r="1580" ht="39" customHeight="1">
      <x:c r="A1580" s="12" t="str">
        <x:v>16609</x:v>
      </x:c>
      <x:c r="B1580" s="12" t="str">
        <x:v>2737</x:v>
      </x:c>
      <x:c r="C1580" s="12" t="str">
        <x:v>参考000</x:v>
      </x:c>
      <x:c r="D1580" s="12" t="str">
        <x:v>自动000</x:v>
      </x:c>
      <x:c r="E1580" s="12" t="n">
        <x:v>0</x:v>
      </x:c>
      <x:c r="F1580" s="12" t="n">
        <x:v>0</x:v>
      </x:c>
      <x:c r="G1580" s="12" t="n">
        <x:v>0</x:v>
      </x:c>
      <x:c r="H1580" s="12" t="n">
        <x:f>IF(SUM(I1580:K1580)&gt;0,1,0)</x:f>
        <x:v>0</x:v>
      </x:c>
      <x:c r="I1580" s="12" t="n">
        <x:f>IF('患者配对'!M1762="positive",1,0)</x:f>
        <x:v>0</x:v>
      </x:c>
      <x:c r="J1580" s="12" t="n">
        <x:f>IF('患者配对'!R1762="positive",1,0)</x:f>
        <x:v>0</x:v>
      </x:c>
      <x:c r="K1580" s="12" t="n">
        <x:f>IF('患者配对'!W1762="positive",1,0)</x:f>
        <x:v>0</x:v>
      </x:c>
      <x:c r="L1580" s="12" t="str">
        <x:v>由原件与原状态取得；仅主队列索引</x:v>
      </x:c>
      <x:c r="M1580" s="12"/>
      <x:c r="N1580" s="12"/>
      <x:c r="O1580" s="12"/>
    </x:row>
    <x:row r="1581" ht="39" customHeight="1">
      <x:c r="A1581" s="12" t="str">
        <x:v>16637</x:v>
      </x:c>
      <x:c r="B1581" s="12" t="str">
        <x:v>1579</x:v>
      </x:c>
      <x:c r="C1581" s="12" t="str">
        <x:v>参考000</x:v>
      </x:c>
      <x:c r="D1581" s="12" t="str">
        <x:v>自动000</x:v>
      </x:c>
      <x:c r="E1581" s="12" t="n">
        <x:v>0</x:v>
      </x:c>
      <x:c r="F1581" s="12" t="n">
        <x:v>1</x:v>
      </x:c>
      <x:c r="G1581" s="12" t="n">
        <x:v>0</x:v>
      </x:c>
      <x:c r="H1581" s="12" t="n">
        <x:f>IF(SUM(I1581:K1581)&gt;0,1,0)</x:f>
        <x:v>0</x:v>
      </x:c>
      <x:c r="I1581" s="12" t="n">
        <x:f>IF('患者配对'!M1763="positive",1,0)</x:f>
        <x:v>0</x:v>
      </x:c>
      <x:c r="J1581" s="12" t="n">
        <x:f>IF('患者配对'!R1763="positive",1,0)</x:f>
        <x:v>0</x:v>
      </x:c>
      <x:c r="K1581" s="12" t="n">
        <x:f>IF('患者配对'!W1763="positive",1,0)</x:f>
        <x:v>0</x:v>
      </x:c>
      <x:c r="L1581" s="12" t="str">
        <x:v>由原件与原状态取得；仅主队列索引</x:v>
      </x:c>
      <x:c r="M1581" s="12"/>
      <x:c r="N1581" s="12"/>
      <x:c r="O1581" s="12"/>
    </x:row>
    <x:row r="1582" ht="39" customHeight="1">
      <x:c r="A1582" s="12" t="str">
        <x:v>16647</x:v>
      </x:c>
      <x:c r="B1582" s="12" t="str">
        <x:v>9381</x:v>
      </x:c>
      <x:c r="C1582" s="12" t="str">
        <x:v>参考000</x:v>
      </x:c>
      <x:c r="D1582" s="12" t="str">
        <x:v>自动000</x:v>
      </x:c>
      <x:c r="E1582" s="12" t="n">
        <x:v>0</x:v>
      </x:c>
      <x:c r="F1582" s="12" t="n">
        <x:v>1</x:v>
      </x:c>
      <x:c r="G1582" s="12" t="n">
        <x:v>0</x:v>
      </x:c>
      <x:c r="H1582" s="12" t="n">
        <x:f>IF(SUM(I1582:K1582)&gt;0,1,0)</x:f>
        <x:v>0</x:v>
      </x:c>
      <x:c r="I1582" s="12" t="n">
        <x:f>IF('患者配对'!M1764="positive",1,0)</x:f>
        <x:v>0</x:v>
      </x:c>
      <x:c r="J1582" s="12" t="n">
        <x:f>IF('患者配对'!R1764="positive",1,0)</x:f>
        <x:v>0</x:v>
      </x:c>
      <x:c r="K1582" s="12" t="n">
        <x:f>IF('患者配对'!W1764="positive",1,0)</x:f>
        <x:v>0</x:v>
      </x:c>
      <x:c r="L1582" s="12" t="str">
        <x:v>由原件与原状态取得；仅主队列索引</x:v>
      </x:c>
      <x:c r="M1582" s="12"/>
      <x:c r="N1582" s="12"/>
      <x:c r="O1582" s="12"/>
    </x:row>
    <x:row r="1583" ht="39" customHeight="1">
      <x:c r="A1583" s="12" t="str">
        <x:v>16651</x:v>
      </x:c>
      <x:c r="B1583" s="12" t="str">
        <x:v>1358</x:v>
      </x:c>
      <x:c r="C1583" s="12" t="str">
        <x:v>参考000</x:v>
      </x:c>
      <x:c r="D1583" s="12" t="str">
        <x:v>自动000</x:v>
      </x:c>
      <x:c r="E1583" s="12" t="n">
        <x:v>0</x:v>
      </x:c>
      <x:c r="F1583" s="12" t="n">
        <x:v>0</x:v>
      </x:c>
      <x:c r="G1583" s="12" t="n">
        <x:v>0</x:v>
      </x:c>
      <x:c r="H1583" s="12" t="n">
        <x:f>IF(SUM(I1583:K1583)&gt;0,1,0)</x:f>
        <x:v>0</x:v>
      </x:c>
      <x:c r="I1583" s="12" t="n">
        <x:f>IF('患者配对'!M1765="positive",1,0)</x:f>
        <x:v>0</x:v>
      </x:c>
      <x:c r="J1583" s="12" t="n">
        <x:f>IF('患者配对'!R1765="positive",1,0)</x:f>
        <x:v>0</x:v>
      </x:c>
      <x:c r="K1583" s="12" t="n">
        <x:f>IF('患者配对'!W1765="positive",1,0)</x:f>
        <x:v>0</x:v>
      </x:c>
      <x:c r="L1583" s="12" t="str">
        <x:v>由原件与原状态取得；仅主队列索引</x:v>
      </x:c>
      <x:c r="M1583" s="12"/>
      <x:c r="N1583" s="12"/>
      <x:c r="O1583" s="12"/>
    </x:row>
    <x:row r="1584" ht="39" customHeight="1">
      <x:c r="A1584" s="12" t="str">
        <x:v>16674</x:v>
      </x:c>
      <x:c r="B1584" s="12" t="str">
        <x:v>13554</x:v>
      </x:c>
      <x:c r="C1584" s="12" t="str">
        <x:v>参考000</x:v>
      </x:c>
      <x:c r="D1584" s="12" t="str">
        <x:v>自动000</x:v>
      </x:c>
      <x:c r="E1584" s="12" t="n">
        <x:v>0</x:v>
      </x:c>
      <x:c r="F1584" s="12" t="n">
        <x:v>0</x:v>
      </x:c>
      <x:c r="G1584" s="12" t="n">
        <x:v>0</x:v>
      </x:c>
      <x:c r="H1584" s="12" t="n">
        <x:f>IF(SUM(I1584:K1584)&gt;0,1,0)</x:f>
        <x:v>0</x:v>
      </x:c>
      <x:c r="I1584" s="12" t="n">
        <x:f>IF('患者配对'!M1767="positive",1,0)</x:f>
        <x:v>0</x:v>
      </x:c>
      <x:c r="J1584" s="12" t="n">
        <x:f>IF('患者配对'!R1767="positive",1,0)</x:f>
        <x:v>0</x:v>
      </x:c>
      <x:c r="K1584" s="12" t="n">
        <x:f>IF('患者配对'!W1767="positive",1,0)</x:f>
        <x:v>0</x:v>
      </x:c>
      <x:c r="L1584" s="12" t="str">
        <x:v>由原件与原状态取得；仅主队列索引</x:v>
      </x:c>
      <x:c r="M1584" s="12"/>
      <x:c r="N1584" s="12"/>
      <x:c r="O1584" s="12"/>
    </x:row>
    <x:row r="1585" ht="39" customHeight="1">
      <x:c r="A1585" s="12" t="str">
        <x:v>16692</x:v>
      </x:c>
      <x:c r="B1585" s="12" t="str">
        <x:v>19028</x:v>
      </x:c>
      <x:c r="C1585" s="12" t="str">
        <x:v>参考000</x:v>
      </x:c>
      <x:c r="D1585" s="12" t="str">
        <x:v>自动000</x:v>
      </x:c>
      <x:c r="E1585" s="12" t="n">
        <x:v>0</x:v>
      </x:c>
      <x:c r="F1585" s="12" t="n">
        <x:v>0</x:v>
      </x:c>
      <x:c r="G1585" s="12" t="n">
        <x:v>0</x:v>
      </x:c>
      <x:c r="H1585" s="12" t="n">
        <x:f>IF(SUM(I1585:K1585)&gt;0,1,0)</x:f>
        <x:v>0</x:v>
      </x:c>
      <x:c r="I1585" s="12" t="n">
        <x:f>IF('患者配对'!M1768="positive",1,0)</x:f>
        <x:v>0</x:v>
      </x:c>
      <x:c r="J1585" s="12" t="n">
        <x:f>IF('患者配对'!R1768="positive",1,0)</x:f>
        <x:v>0</x:v>
      </x:c>
      <x:c r="K1585" s="12" t="n">
        <x:f>IF('患者配对'!W1768="positive",1,0)</x:f>
        <x:v>0</x:v>
      </x:c>
      <x:c r="L1585" s="12" t="str">
        <x:v>由原件与原状态取得；仅主队列索引</x:v>
      </x:c>
      <x:c r="M1585" s="12"/>
      <x:c r="N1585" s="12"/>
      <x:c r="O1585" s="12"/>
    </x:row>
    <x:row r="1586" ht="39" customHeight="1">
      <x:c r="A1586" s="12" t="str">
        <x:v>16700</x:v>
      </x:c>
      <x:c r="B1586" s="12" t="str">
        <x:v>8313</x:v>
      </x:c>
      <x:c r="C1586" s="12" t="str">
        <x:v>参考001</x:v>
      </x:c>
      <x:c r="D1586" s="12" t="str">
        <x:v>自动001</x:v>
      </x:c>
      <x:c r="E1586" s="12" t="n">
        <x:v>1</x:v>
      </x:c>
      <x:c r="F1586" s="12" t="n">
        <x:v>1</x:v>
      </x:c>
      <x:c r="G1586" s="12" t="n">
        <x:v>0</x:v>
      </x:c>
      <x:c r="H1586" s="12" t="n">
        <x:f>IF(SUM(I1586:K1586)&gt;0,1,0)</x:f>
        <x:v>1</x:v>
      </x:c>
      <x:c r="I1586" s="12" t="n">
        <x:f>IF('患者配对'!M1769="positive",1,0)</x:f>
        <x:v>0</x:v>
      </x:c>
      <x:c r="J1586" s="12" t="n">
        <x:f>IF('患者配对'!R1769="positive",1,0)</x:f>
        <x:v>0</x:v>
      </x:c>
      <x:c r="K1586" s="12" t="n">
        <x:f>IF('患者配对'!W1769="positive",1,0)</x:f>
        <x:v>1</x:v>
      </x:c>
      <x:c r="L1586" s="12" t="str">
        <x:v>由原件与原状态取得；仅主队列索引</x:v>
      </x:c>
      <x:c r="M1586" s="12"/>
      <x:c r="N1586" s="12"/>
      <x:c r="O1586" s="12"/>
    </x:row>
    <x:row r="1587" ht="39" customHeight="1">
      <x:c r="A1587" s="12" t="str">
        <x:v>16707</x:v>
      </x:c>
      <x:c r="B1587" s="12" t="str">
        <x:v>14010</x:v>
      </x:c>
      <x:c r="C1587" s="12" t="str">
        <x:v>参考000</x:v>
      </x:c>
      <x:c r="D1587" s="12" t="str">
        <x:v>自动000</x:v>
      </x:c>
      <x:c r="E1587" s="12" t="n">
        <x:v>0</x:v>
      </x:c>
      <x:c r="F1587" s="12" t="n">
        <x:v>1</x:v>
      </x:c>
      <x:c r="G1587" s="12" t="n">
        <x:v>0</x:v>
      </x:c>
      <x:c r="H1587" s="12" t="n">
        <x:f>IF(SUM(I1587:K1587)&gt;0,1,0)</x:f>
        <x:v>0</x:v>
      </x:c>
      <x:c r="I1587" s="12" t="n">
        <x:f>IF('患者配对'!M1770="positive",1,0)</x:f>
        <x:v>0</x:v>
      </x:c>
      <x:c r="J1587" s="12" t="n">
        <x:f>IF('患者配对'!R1770="positive",1,0)</x:f>
        <x:v>0</x:v>
      </x:c>
      <x:c r="K1587" s="12" t="n">
        <x:f>IF('患者配对'!W1770="positive",1,0)</x:f>
        <x:v>0</x:v>
      </x:c>
      <x:c r="L1587" s="12" t="str">
        <x:v>由原件与原状态取得；仅主队列索引</x:v>
      </x:c>
      <x:c r="M1587" s="12"/>
      <x:c r="N1587" s="12"/>
      <x:c r="O1587" s="12"/>
    </x:row>
    <x:row r="1588" ht="39" customHeight="1">
      <x:c r="A1588" s="12" t="str">
        <x:v>16712</x:v>
      </x:c>
      <x:c r="B1588" s="12" t="str">
        <x:v>18256</x:v>
      </x:c>
      <x:c r="C1588" s="12" t="str">
        <x:v>参考000</x:v>
      </x:c>
      <x:c r="D1588" s="12" t="str">
        <x:v>自动000</x:v>
      </x:c>
      <x:c r="E1588" s="12" t="n">
        <x:v>0</x:v>
      </x:c>
      <x:c r="F1588" s="12" t="n">
        <x:v>0</x:v>
      </x:c>
      <x:c r="G1588" s="12" t="n">
        <x:v>0</x:v>
      </x:c>
      <x:c r="H1588" s="12" t="n">
        <x:f>IF(SUM(I1588:K1588)&gt;0,1,0)</x:f>
        <x:v>0</x:v>
      </x:c>
      <x:c r="I1588" s="12" t="n">
        <x:f>IF('患者配对'!M1771="positive",1,0)</x:f>
        <x:v>0</x:v>
      </x:c>
      <x:c r="J1588" s="12" t="n">
        <x:f>IF('患者配对'!R1771="positive",1,0)</x:f>
        <x:v>0</x:v>
      </x:c>
      <x:c r="K1588" s="12" t="n">
        <x:f>IF('患者配对'!W1771="positive",1,0)</x:f>
        <x:v>0</x:v>
      </x:c>
      <x:c r="L1588" s="12" t="str">
        <x:v>由原件与原状态取得；仅主队列索引</x:v>
      </x:c>
      <x:c r="M1588" s="12"/>
      <x:c r="N1588" s="12"/>
      <x:c r="O1588" s="12"/>
    </x:row>
    <x:row r="1589" ht="39" customHeight="1">
      <x:c r="A1589" s="12" t="str">
        <x:v>16735</x:v>
      </x:c>
      <x:c r="B1589" s="12" t="str">
        <x:v>15951</x:v>
      </x:c>
      <x:c r="C1589" s="12" t="str">
        <x:v>参考000</x:v>
      </x:c>
      <x:c r="D1589" s="12" t="str">
        <x:v>自动000</x:v>
      </x:c>
      <x:c r="E1589" s="12" t="n">
        <x:v>0</x:v>
      </x:c>
      <x:c r="F1589" s="12" t="n">
        <x:v>1</x:v>
      </x:c>
      <x:c r="G1589" s="12" t="n">
        <x:v>0</x:v>
      </x:c>
      <x:c r="H1589" s="12" t="n">
        <x:f>IF(SUM(I1589:K1589)&gt;0,1,0)</x:f>
        <x:v>0</x:v>
      </x:c>
      <x:c r="I1589" s="12" t="n">
        <x:f>IF('患者配对'!M1772="positive",1,0)</x:f>
        <x:v>0</x:v>
      </x:c>
      <x:c r="J1589" s="12" t="n">
        <x:f>IF('患者配对'!R1772="positive",1,0)</x:f>
        <x:v>0</x:v>
      </x:c>
      <x:c r="K1589" s="12" t="n">
        <x:f>IF('患者配对'!W1772="positive",1,0)</x:f>
        <x:v>0</x:v>
      </x:c>
      <x:c r="L1589" s="12" t="str">
        <x:v>由原件与原状态取得；仅主队列索引</x:v>
      </x:c>
      <x:c r="M1589" s="12"/>
      <x:c r="N1589" s="12"/>
      <x:c r="O1589" s="12"/>
    </x:row>
    <x:row r="1590" ht="39" customHeight="1">
      <x:c r="A1590" s="12" t="str">
        <x:v>16750</x:v>
      </x:c>
      <x:c r="B1590" s="12" t="str">
        <x:v>18192</x:v>
      </x:c>
      <x:c r="C1590" s="12" t="str">
        <x:v>参考100</x:v>
      </x:c>
      <x:c r="D1590" s="12" t="str">
        <x:v>自动100</x:v>
      </x:c>
      <x:c r="E1590" s="12" t="n">
        <x:v>1</x:v>
      </x:c>
      <x:c r="F1590" s="12" t="n">
        <x:v>1</x:v>
      </x:c>
      <x:c r="G1590" s="12" t="n">
        <x:v>0</x:v>
      </x:c>
      <x:c r="H1590" s="12" t="n">
        <x:f>IF(SUM(I1590:K1590)&gt;0,1,0)</x:f>
        <x:v>1</x:v>
      </x:c>
      <x:c r="I1590" s="12" t="n">
        <x:f>IF('患者配对'!M1774="positive",1,0)</x:f>
        <x:v>1</x:v>
      </x:c>
      <x:c r="J1590" s="12" t="n">
        <x:f>IF('患者配对'!R1774="positive",1,0)</x:f>
        <x:v>0</x:v>
      </x:c>
      <x:c r="K1590" s="12" t="n">
        <x:f>IF('患者配对'!W1774="positive",1,0)</x:f>
        <x:v>0</x:v>
      </x:c>
      <x:c r="L1590" s="12" t="str">
        <x:v>由原件与原状态取得；仅主队列索引</x:v>
      </x:c>
      <x:c r="M1590" s="12"/>
      <x:c r="N1590" s="12"/>
      <x:c r="O1590" s="12"/>
    </x:row>
    <x:row r="1591" ht="39" customHeight="1">
      <x:c r="A1591" s="12" t="str">
        <x:v>16780</x:v>
      </x:c>
      <x:c r="B1591" s="12" t="str">
        <x:v>1726</x:v>
      </x:c>
      <x:c r="C1591" s="12" t="str">
        <x:v>参考000</x:v>
      </x:c>
      <x:c r="D1591" s="12" t="str">
        <x:v>自动000</x:v>
      </x:c>
      <x:c r="E1591" s="12" t="n">
        <x:v>0</x:v>
      </x:c>
      <x:c r="F1591" s="12" t="n">
        <x:v>0</x:v>
      </x:c>
      <x:c r="G1591" s="12" t="n">
        <x:v>0</x:v>
      </x:c>
      <x:c r="H1591" s="12" t="n">
        <x:f>IF(SUM(I1591:K1591)&gt;0,1,0)</x:f>
        <x:v>0</x:v>
      </x:c>
      <x:c r="I1591" s="12" t="n">
        <x:f>IF('患者配对'!M1775="positive",1,0)</x:f>
        <x:v>0</x:v>
      </x:c>
      <x:c r="J1591" s="12" t="n">
        <x:f>IF('患者配对'!R1775="positive",1,0)</x:f>
        <x:v>0</x:v>
      </x:c>
      <x:c r="K1591" s="12" t="n">
        <x:f>IF('患者配对'!W1775="positive",1,0)</x:f>
        <x:v>0</x:v>
      </x:c>
      <x:c r="L1591" s="12" t="str">
        <x:v>由原件与原状态取得；仅主队列索引</x:v>
      </x:c>
      <x:c r="M1591" s="12"/>
      <x:c r="N1591" s="12"/>
      <x:c r="O1591" s="12"/>
    </x:row>
    <x:row r="1592" ht="39" customHeight="1">
      <x:c r="A1592" s="12" t="str">
        <x:v>16782</x:v>
      </x:c>
      <x:c r="B1592" s="12" t="str">
        <x:v>445</x:v>
      </x:c>
      <x:c r="C1592" s="12" t="str">
        <x:v>参考100</x:v>
      </x:c>
      <x:c r="D1592" s="12" t="str">
        <x:v>自动100</x:v>
      </x:c>
      <x:c r="E1592" s="12" t="n">
        <x:v>1</x:v>
      </x:c>
      <x:c r="F1592" s="12" t="n">
        <x:v>1</x:v>
      </x:c>
      <x:c r="G1592" s="12" t="n">
        <x:v>0</x:v>
      </x:c>
      <x:c r="H1592" s="12" t="n">
        <x:f>IF(SUM(I1592:K1592)&gt;0,1,0)</x:f>
        <x:v>1</x:v>
      </x:c>
      <x:c r="I1592" s="12" t="n">
        <x:f>IF('患者配对'!M1776="positive",1,0)</x:f>
        <x:v>1</x:v>
      </x:c>
      <x:c r="J1592" s="12" t="n">
        <x:f>IF('患者配对'!R1776="positive",1,0)</x:f>
        <x:v>0</x:v>
      </x:c>
      <x:c r="K1592" s="12" t="n">
        <x:f>IF('患者配对'!W1776="positive",1,0)</x:f>
        <x:v>0</x:v>
      </x:c>
      <x:c r="L1592" s="12" t="str">
        <x:v>由原件与原状态取得；仅主队列索引</x:v>
      </x:c>
      <x:c r="M1592" s="12"/>
      <x:c r="N1592" s="12"/>
      <x:c r="O1592" s="12"/>
    </x:row>
    <x:row r="1593" ht="39" customHeight="1">
      <x:c r="A1593" s="12" t="str">
        <x:v>16783</x:v>
      </x:c>
      <x:c r="B1593" s="12" t="str">
        <x:v>1865</x:v>
      </x:c>
      <x:c r="C1593" s="12" t="str">
        <x:v>参考000</x:v>
      </x:c>
      <x:c r="D1593" s="12" t="str">
        <x:v>自动000</x:v>
      </x:c>
      <x:c r="E1593" s="12" t="n">
        <x:v>0</x:v>
      </x:c>
      <x:c r="F1593" s="12" t="n">
        <x:v>0</x:v>
      </x:c>
      <x:c r="G1593" s="12" t="n">
        <x:v>0</x:v>
      </x:c>
      <x:c r="H1593" s="12" t="n">
        <x:f>IF(SUM(I1593:K1593)&gt;0,1,0)</x:f>
        <x:v>0</x:v>
      </x:c>
      <x:c r="I1593" s="12" t="n">
        <x:f>IF('患者配对'!M1777="positive",1,0)</x:f>
        <x:v>0</x:v>
      </x:c>
      <x:c r="J1593" s="12" t="n">
        <x:f>IF('患者配对'!R1777="positive",1,0)</x:f>
        <x:v>0</x:v>
      </x:c>
      <x:c r="K1593" s="12" t="n">
        <x:f>IF('患者配对'!W1777="positive",1,0)</x:f>
        <x:v>0</x:v>
      </x:c>
      <x:c r="L1593" s="12" t="str">
        <x:v>由原件与原状态取得；仅主队列索引</x:v>
      </x:c>
      <x:c r="M1593" s="12"/>
      <x:c r="N1593" s="12"/>
      <x:c r="O1593" s="12"/>
    </x:row>
    <x:row r="1594" ht="39" customHeight="1">
      <x:c r="A1594" s="12" t="str">
        <x:v>16792</x:v>
      </x:c>
      <x:c r="B1594" s="12" t="str">
        <x:v>4871</x:v>
      </x:c>
      <x:c r="C1594" s="12" t="str">
        <x:v>参考000</x:v>
      </x:c>
      <x:c r="D1594" s="12" t="str">
        <x:v>自动000</x:v>
      </x:c>
      <x:c r="E1594" s="12" t="n">
        <x:v>0</x:v>
      </x:c>
      <x:c r="F1594" s="12" t="n">
        <x:v>0</x:v>
      </x:c>
      <x:c r="G1594" s="12" t="n">
        <x:v>0</x:v>
      </x:c>
      <x:c r="H1594" s="12" t="n">
        <x:f>IF(SUM(I1594:K1594)&gt;0,1,0)</x:f>
        <x:v>0</x:v>
      </x:c>
      <x:c r="I1594" s="12" t="n">
        <x:f>IF('患者配对'!M1778="positive",1,0)</x:f>
        <x:v>0</x:v>
      </x:c>
      <x:c r="J1594" s="12" t="n">
        <x:f>IF('患者配对'!R1778="positive",1,0)</x:f>
        <x:v>0</x:v>
      </x:c>
      <x:c r="K1594" s="12" t="n">
        <x:f>IF('患者配对'!W1778="positive",1,0)</x:f>
        <x:v>0</x:v>
      </x:c>
      <x:c r="L1594" s="12" t="str">
        <x:v>由原件与原状态取得；仅主队列索引</x:v>
      </x:c>
      <x:c r="M1594" s="12"/>
      <x:c r="N1594" s="12"/>
      <x:c r="O1594" s="12"/>
    </x:row>
    <x:row r="1595" ht="39" customHeight="1">
      <x:c r="A1595" s="12" t="str">
        <x:v>16803</x:v>
      </x:c>
      <x:c r="B1595" s="12" t="str">
        <x:v>4615</x:v>
      </x:c>
      <x:c r="C1595" s="12" t="str">
        <x:v>参考000</x:v>
      </x:c>
      <x:c r="D1595" s="12" t="str">
        <x:v>自动000</x:v>
      </x:c>
      <x:c r="E1595" s="12" t="n">
        <x:v>0</x:v>
      </x:c>
      <x:c r="F1595" s="12" t="n">
        <x:v>1</x:v>
      </x:c>
      <x:c r="G1595" s="12" t="n">
        <x:v>0</x:v>
      </x:c>
      <x:c r="H1595" s="12" t="n">
        <x:f>IF(SUM(I1595:K1595)&gt;0,1,0)</x:f>
        <x:v>0</x:v>
      </x:c>
      <x:c r="I1595" s="12" t="n">
        <x:f>IF('患者配对'!M1779="positive",1,0)</x:f>
        <x:v>0</x:v>
      </x:c>
      <x:c r="J1595" s="12" t="n">
        <x:f>IF('患者配对'!R1779="positive",1,0)</x:f>
        <x:v>0</x:v>
      </x:c>
      <x:c r="K1595" s="12" t="n">
        <x:f>IF('患者配对'!W1779="positive",1,0)</x:f>
        <x:v>0</x:v>
      </x:c>
      <x:c r="L1595" s="12" t="str">
        <x:v>由原件与原状态取得；仅主队列索引</x:v>
      </x:c>
      <x:c r="M1595" s="12"/>
      <x:c r="N1595" s="12"/>
      <x:c r="O1595" s="12"/>
    </x:row>
    <x:row r="1596" ht="39" customHeight="1">
      <x:c r="A1596" s="12" t="str">
        <x:v>16807</x:v>
      </x:c>
      <x:c r="B1596" s="12" t="str">
        <x:v>5674</x:v>
      </x:c>
      <x:c r="C1596" s="12" t="str">
        <x:v>参考000</x:v>
      </x:c>
      <x:c r="D1596" s="12" t="str">
        <x:v>自动000</x:v>
      </x:c>
      <x:c r="E1596" s="12" t="n">
        <x:v>0</x:v>
      </x:c>
      <x:c r="F1596" s="12" t="n">
        <x:v>0</x:v>
      </x:c>
      <x:c r="G1596" s="12" t="n">
        <x:v>0</x:v>
      </x:c>
      <x:c r="H1596" s="12" t="n">
        <x:f>IF(SUM(I1596:K1596)&gt;0,1,0)</x:f>
        <x:v>0</x:v>
      </x:c>
      <x:c r="I1596" s="12" t="n">
        <x:f>IF('患者配对'!M1780="positive",1,0)</x:f>
        <x:v>0</x:v>
      </x:c>
      <x:c r="J1596" s="12" t="n">
        <x:f>IF('患者配对'!R1780="positive",1,0)</x:f>
        <x:v>0</x:v>
      </x:c>
      <x:c r="K1596" s="12" t="n">
        <x:f>IF('患者配对'!W1780="positive",1,0)</x:f>
        <x:v>0</x:v>
      </x:c>
      <x:c r="L1596" s="12" t="str">
        <x:v>由原件与原状态取得；仅主队列索引</x:v>
      </x:c>
      <x:c r="M1596" s="12"/>
      <x:c r="N1596" s="12"/>
      <x:c r="O1596" s="12"/>
    </x:row>
    <x:row r="1597" ht="39" customHeight="1">
      <x:c r="A1597" s="12" t="str">
        <x:v>16815</x:v>
      </x:c>
      <x:c r="B1597" s="12" t="str">
        <x:v>848</x:v>
      </x:c>
      <x:c r="C1597" s="12" t="str">
        <x:v>参考000</x:v>
      </x:c>
      <x:c r="D1597" s="12" t="str">
        <x:v>自动000</x:v>
      </x:c>
      <x:c r="E1597" s="12" t="n">
        <x:v>0</x:v>
      </x:c>
      <x:c r="F1597" s="12" t="n">
        <x:v>0</x:v>
      </x:c>
      <x:c r="G1597" s="12" t="n">
        <x:v>0</x:v>
      </x:c>
      <x:c r="H1597" s="12" t="n">
        <x:f>IF(SUM(I1597:K1597)&gt;0,1,0)</x:f>
        <x:v>0</x:v>
      </x:c>
      <x:c r="I1597" s="12" t="n">
        <x:f>IF('患者配对'!M1781="positive",1,0)</x:f>
        <x:v>0</x:v>
      </x:c>
      <x:c r="J1597" s="12" t="n">
        <x:f>IF('患者配对'!R1781="positive",1,0)</x:f>
        <x:v>0</x:v>
      </x:c>
      <x:c r="K1597" s="12" t="n">
        <x:f>IF('患者配对'!W1781="positive",1,0)</x:f>
        <x:v>0</x:v>
      </x:c>
      <x:c r="L1597" s="12" t="str">
        <x:v>由原件与原状态取得；仅主队列索引</x:v>
      </x:c>
      <x:c r="M1597" s="12"/>
      <x:c r="N1597" s="12"/>
      <x:c r="O1597" s="12"/>
    </x:row>
    <x:row r="1598" ht="39" customHeight="1">
      <x:c r="A1598" s="12" t="str">
        <x:v>16817</x:v>
      </x:c>
      <x:c r="B1598" s="12" t="str">
        <x:v>3850</x:v>
      </x:c>
      <x:c r="C1598" s="12" t="str">
        <x:v>参考000</x:v>
      </x:c>
      <x:c r="D1598" s="12" t="str">
        <x:v>自动000</x:v>
      </x:c>
      <x:c r="E1598" s="12" t="n">
        <x:v>0</x:v>
      </x:c>
      <x:c r="F1598" s="12" t="n">
        <x:v>0</x:v>
      </x:c>
      <x:c r="G1598" s="12" t="n">
        <x:v>0</x:v>
      </x:c>
      <x:c r="H1598" s="12" t="n">
        <x:f>IF(SUM(I1598:K1598)&gt;0,1,0)</x:f>
        <x:v>0</x:v>
      </x:c>
      <x:c r="I1598" s="12" t="n">
        <x:f>IF('患者配对'!M1782="positive",1,0)</x:f>
        <x:v>0</x:v>
      </x:c>
      <x:c r="J1598" s="12" t="n">
        <x:f>IF('患者配对'!R1782="positive",1,0)</x:f>
        <x:v>0</x:v>
      </x:c>
      <x:c r="K1598" s="12" t="n">
        <x:f>IF('患者配对'!W1782="positive",1,0)</x:f>
        <x:v>0</x:v>
      </x:c>
      <x:c r="L1598" s="12" t="str">
        <x:v>由原件与原状态取得；仅主队列索引</x:v>
      </x:c>
      <x:c r="M1598" s="12"/>
      <x:c r="N1598" s="12"/>
      <x:c r="O1598" s="12"/>
    </x:row>
    <x:row r="1599" ht="39" customHeight="1">
      <x:c r="A1599" s="12" t="str">
        <x:v>16861</x:v>
      </x:c>
      <x:c r="B1599" s="12" t="str">
        <x:v>5308</x:v>
      </x:c>
      <x:c r="C1599" s="12" t="str">
        <x:v>参考000</x:v>
      </x:c>
      <x:c r="D1599" s="12" t="str">
        <x:v>自动001</x:v>
      </x:c>
      <x:c r="E1599" s="12" t="n">
        <x:v>1</x:v>
      </x:c>
      <x:c r="F1599" s="12" t="n">
        <x:v>1</x:v>
      </x:c>
      <x:c r="G1599" s="12" t="n">
        <x:v>1</x:v>
      </x:c>
      <x:c r="H1599" s="12" t="n">
        <x:f>IF(SUM(I1599:K1599)&gt;0,1,0)</x:f>
        <x:v>0</x:v>
      </x:c>
      <x:c r="I1599" s="12" t="n">
        <x:f>IF('患者配对'!M1784="positive",1,0)</x:f>
        <x:v>0</x:v>
      </x:c>
      <x:c r="J1599" s="12" t="n">
        <x:f>IF('患者配对'!R1784="positive",1,0)</x:f>
        <x:v>0</x:v>
      </x:c>
      <x:c r="K1599" s="12" t="n">
        <x:f>IF('患者配对'!W1784="positive",1,0)</x:f>
        <x:v>0</x:v>
      </x:c>
      <x:c r="L1599" s="12" t="str">
        <x:v>由原件与原状态取得；仅主队列索引</x:v>
      </x:c>
      <x:c r="M1599" s="12"/>
      <x:c r="N1599" s="12"/>
      <x:c r="O1599" s="12"/>
    </x:row>
    <x:row r="1600" ht="39" customHeight="1">
      <x:c r="A1600" s="12" t="str">
        <x:v>16865</x:v>
      </x:c>
      <x:c r="B1600" s="12" t="str">
        <x:v>4129</x:v>
      </x:c>
      <x:c r="C1600" s="12" t="str">
        <x:v>参考000</x:v>
      </x:c>
      <x:c r="D1600" s="12" t="str">
        <x:v>自动000</x:v>
      </x:c>
      <x:c r="E1600" s="12" t="n">
        <x:v>0</x:v>
      </x:c>
      <x:c r="F1600" s="12" t="n">
        <x:v>1</x:v>
      </x:c>
      <x:c r="G1600" s="12" t="n">
        <x:v>0</x:v>
      </x:c>
      <x:c r="H1600" s="12" t="n">
        <x:f>IF(SUM(I1600:K1600)&gt;0,1,0)</x:f>
        <x:v>0</x:v>
      </x:c>
      <x:c r="I1600" s="12" t="n">
        <x:f>IF('患者配对'!M1785="positive",1,0)</x:f>
        <x:v>0</x:v>
      </x:c>
      <x:c r="J1600" s="12" t="n">
        <x:f>IF('患者配对'!R1785="positive",1,0)</x:f>
        <x:v>0</x:v>
      </x:c>
      <x:c r="K1600" s="12" t="n">
        <x:f>IF('患者配对'!W1785="positive",1,0)</x:f>
        <x:v>0</x:v>
      </x:c>
      <x:c r="L1600" s="12" t="str">
        <x:v>由原件与原状态取得；仅主队列索引</x:v>
      </x:c>
      <x:c r="M1600" s="12"/>
      <x:c r="N1600" s="12"/>
      <x:c r="O1600" s="12"/>
    </x:row>
    <x:row r="1601" ht="39" customHeight="1">
      <x:c r="A1601" s="12" t="str">
        <x:v>16871</x:v>
      </x:c>
      <x:c r="B1601" s="12" t="str">
        <x:v>9056</x:v>
      </x:c>
      <x:c r="C1601" s="12" t="str">
        <x:v>参考000</x:v>
      </x:c>
      <x:c r="D1601" s="12" t="str">
        <x:v>自动000</x:v>
      </x:c>
      <x:c r="E1601" s="12" t="n">
        <x:v>0</x:v>
      </x:c>
      <x:c r="F1601" s="12" t="n">
        <x:v>0</x:v>
      </x:c>
      <x:c r="G1601" s="12" t="n">
        <x:v>0</x:v>
      </x:c>
      <x:c r="H1601" s="12" t="n">
        <x:f>IF(SUM(I1601:K1601)&gt;0,1,0)</x:f>
        <x:v>0</x:v>
      </x:c>
      <x:c r="I1601" s="12" t="n">
        <x:f>IF('患者配对'!M1786="positive",1,0)</x:f>
        <x:v>0</x:v>
      </x:c>
      <x:c r="J1601" s="12" t="n">
        <x:f>IF('患者配对'!R1786="positive",1,0)</x:f>
        <x:v>0</x:v>
      </x:c>
      <x:c r="K1601" s="12" t="n">
        <x:f>IF('患者配对'!W1786="positive",1,0)</x:f>
        <x:v>0</x:v>
      </x:c>
      <x:c r="L1601" s="12" t="str">
        <x:v>由原件与原状态取得；仅主队列索引</x:v>
      </x:c>
      <x:c r="M1601" s="12"/>
      <x:c r="N1601" s="12"/>
      <x:c r="O1601" s="12"/>
    </x:row>
    <x:row r="1602" ht="39" customHeight="1">
      <x:c r="A1602" s="12" t="str">
        <x:v>16876</x:v>
      </x:c>
      <x:c r="B1602" s="12" t="str">
        <x:v>10046</x:v>
      </x:c>
      <x:c r="C1602" s="12" t="str">
        <x:v>参考100</x:v>
      </x:c>
      <x:c r="D1602" s="12" t="str">
        <x:v>自动100</x:v>
      </x:c>
      <x:c r="E1602" s="12" t="n">
        <x:v>1</x:v>
      </x:c>
      <x:c r="F1602" s="12" t="n">
        <x:v>1</x:v>
      </x:c>
      <x:c r="G1602" s="12" t="n">
        <x:v>0</x:v>
      </x:c>
      <x:c r="H1602" s="12" t="n">
        <x:f>IF(SUM(I1602:K1602)&gt;0,1,0)</x:f>
        <x:v>1</x:v>
      </x:c>
      <x:c r="I1602" s="12" t="n">
        <x:f>IF('患者配对'!M1787="positive",1,0)</x:f>
        <x:v>1</x:v>
      </x:c>
      <x:c r="J1602" s="12" t="n">
        <x:f>IF('患者配对'!R1787="positive",1,0)</x:f>
        <x:v>0</x:v>
      </x:c>
      <x:c r="K1602" s="12" t="n">
        <x:f>IF('患者配对'!W1787="positive",1,0)</x:f>
        <x:v>0</x:v>
      </x:c>
      <x:c r="L1602" s="12" t="str">
        <x:v>由原件与原状态取得；仅主队列索引</x:v>
      </x:c>
      <x:c r="M1602" s="12"/>
      <x:c r="N1602" s="12"/>
      <x:c r="O1602" s="12"/>
    </x:row>
    <x:row r="1603" ht="39" customHeight="1">
      <x:c r="A1603" s="12" t="str">
        <x:v>16883</x:v>
      </x:c>
      <x:c r="B1603" s="12" t="str">
        <x:v>17664</x:v>
      </x:c>
      <x:c r="C1603" s="12" t="str">
        <x:v>参考010</x:v>
      </x:c>
      <x:c r="D1603" s="12" t="str">
        <x:v>自动010</x:v>
      </x:c>
      <x:c r="E1603" s="12" t="n">
        <x:v>1</x:v>
      </x:c>
      <x:c r="F1603" s="12" t="n">
        <x:v>1</x:v>
      </x:c>
      <x:c r="G1603" s="12" t="n">
        <x:v>0</x:v>
      </x:c>
      <x:c r="H1603" s="12" t="n">
        <x:f>IF(SUM(I1603:K1603)&gt;0,1,0)</x:f>
        <x:v>1</x:v>
      </x:c>
      <x:c r="I1603" s="12" t="n">
        <x:f>IF('患者配对'!M1788="positive",1,0)</x:f>
        <x:v>0</x:v>
      </x:c>
      <x:c r="J1603" s="12" t="n">
        <x:f>IF('患者配对'!R1788="positive",1,0)</x:f>
        <x:v>1</x:v>
      </x:c>
      <x:c r="K1603" s="12" t="n">
        <x:f>IF('患者配对'!W1788="positive",1,0)</x:f>
        <x:v>0</x:v>
      </x:c>
      <x:c r="L1603" s="12" t="str">
        <x:v>由原件与原状态取得；仅主队列索引</x:v>
      </x:c>
      <x:c r="M1603" s="12"/>
      <x:c r="N1603" s="12"/>
      <x:c r="O1603" s="12"/>
    </x:row>
    <x:row r="1604" ht="39" customHeight="1">
      <x:c r="A1604" s="12" t="str">
        <x:v>16898</x:v>
      </x:c>
      <x:c r="B1604" s="12" t="str">
        <x:v>12973</x:v>
      </x:c>
      <x:c r="C1604" s="12" t="str">
        <x:v>参考000</x:v>
      </x:c>
      <x:c r="D1604" s="12" t="str">
        <x:v>自动000</x:v>
      </x:c>
      <x:c r="E1604" s="12" t="n">
        <x:v>0</x:v>
      </x:c>
      <x:c r="F1604" s="12" t="n">
        <x:v>0</x:v>
      </x:c>
      <x:c r="G1604" s="12" t="n">
        <x:v>0</x:v>
      </x:c>
      <x:c r="H1604" s="12" t="n">
        <x:f>IF(SUM(I1604:K1604)&gt;0,1,0)</x:f>
        <x:v>0</x:v>
      </x:c>
      <x:c r="I1604" s="12" t="n">
        <x:f>IF('患者配对'!M1789="positive",1,0)</x:f>
        <x:v>0</x:v>
      </x:c>
      <x:c r="J1604" s="12" t="n">
        <x:f>IF('患者配对'!R1789="positive",1,0)</x:f>
        <x:v>0</x:v>
      </x:c>
      <x:c r="K1604" s="12" t="n">
        <x:f>IF('患者配对'!W1789="positive",1,0)</x:f>
        <x:v>0</x:v>
      </x:c>
      <x:c r="L1604" s="12" t="str">
        <x:v>由原件与原状态取得；仅主队列索引</x:v>
      </x:c>
      <x:c r="M1604" s="12"/>
      <x:c r="N1604" s="12"/>
      <x:c r="O1604" s="12"/>
    </x:row>
    <x:row r="1605" ht="39" customHeight="1">
      <x:c r="A1605" s="12" t="str">
        <x:v>16908</x:v>
      </x:c>
      <x:c r="B1605" s="12" t="str">
        <x:v>1332</x:v>
      </x:c>
      <x:c r="C1605" s="12" t="str">
        <x:v>参考000</x:v>
      </x:c>
      <x:c r="D1605" s="12" t="str">
        <x:v>自动000</x:v>
      </x:c>
      <x:c r="E1605" s="12" t="n">
        <x:v>0</x:v>
      </x:c>
      <x:c r="F1605" s="12" t="n">
        <x:v>0</x:v>
      </x:c>
      <x:c r="G1605" s="12" t="n">
        <x:v>0</x:v>
      </x:c>
      <x:c r="H1605" s="12" t="n">
        <x:f>IF(SUM(I1605:K1605)&gt;0,1,0)</x:f>
        <x:v>0</x:v>
      </x:c>
      <x:c r="I1605" s="12" t="n">
        <x:f>IF('患者配对'!M1791="positive",1,0)</x:f>
        <x:v>0</x:v>
      </x:c>
      <x:c r="J1605" s="12" t="n">
        <x:f>IF('患者配对'!R1791="positive",1,0)</x:f>
        <x:v>0</x:v>
      </x:c>
      <x:c r="K1605" s="12" t="n">
        <x:f>IF('患者配对'!W1791="positive",1,0)</x:f>
        <x:v>0</x:v>
      </x:c>
      <x:c r="L1605" s="12" t="str">
        <x:v>由原件与原状态取得；仅主队列索引</x:v>
      </x:c>
      <x:c r="M1605" s="12"/>
      <x:c r="N1605" s="12"/>
      <x:c r="O1605" s="12"/>
    </x:row>
    <x:row r="1606" ht="39" customHeight="1">
      <x:c r="A1606" s="12" t="str">
        <x:v>16915</x:v>
      </x:c>
      <x:c r="B1606" s="12" t="str">
        <x:v>21354</x:v>
      </x:c>
      <x:c r="C1606" s="12" t="str">
        <x:v>参考000</x:v>
      </x:c>
      <x:c r="D1606" s="12" t="str">
        <x:v>自动000</x:v>
      </x:c>
      <x:c r="E1606" s="12" t="n">
        <x:v>0</x:v>
      </x:c>
      <x:c r="F1606" s="12" t="n">
        <x:v>0</x:v>
      </x:c>
      <x:c r="G1606" s="12" t="n">
        <x:v>0</x:v>
      </x:c>
      <x:c r="H1606" s="12" t="n">
        <x:f>IF(SUM(I1606:K1606)&gt;0,1,0)</x:f>
        <x:v>0</x:v>
      </x:c>
      <x:c r="I1606" s="12" t="n">
        <x:f>IF('患者配对'!M1792="positive",1,0)</x:f>
        <x:v>0</x:v>
      </x:c>
      <x:c r="J1606" s="12" t="n">
        <x:f>IF('患者配对'!R1792="positive",1,0)</x:f>
        <x:v>0</x:v>
      </x:c>
      <x:c r="K1606" s="12" t="n">
        <x:f>IF('患者配对'!W1792="positive",1,0)</x:f>
        <x:v>0</x:v>
      </x:c>
      <x:c r="L1606" s="12" t="str">
        <x:v>由原件与原状态取得；仅主队列索引</x:v>
      </x:c>
      <x:c r="M1606" s="12"/>
      <x:c r="N1606" s="12"/>
      <x:c r="O1606" s="12"/>
    </x:row>
    <x:row r="1607" ht="39" customHeight="1">
      <x:c r="A1607" s="12" t="str">
        <x:v>16920</x:v>
      </x:c>
      <x:c r="B1607" s="12" t="str">
        <x:v>8013</x:v>
      </x:c>
      <x:c r="C1607" s="12" t="str">
        <x:v>参考010</x:v>
      </x:c>
      <x:c r="D1607" s="12" t="str">
        <x:v>自动010</x:v>
      </x:c>
      <x:c r="E1607" s="12" t="n">
        <x:v>1</x:v>
      </x:c>
      <x:c r="F1607" s="12" t="n">
        <x:v>1</x:v>
      </x:c>
      <x:c r="G1607" s="12" t="n">
        <x:v>0</x:v>
      </x:c>
      <x:c r="H1607" s="12" t="n">
        <x:f>IF(SUM(I1607:K1607)&gt;0,1,0)</x:f>
        <x:v>1</x:v>
      </x:c>
      <x:c r="I1607" s="12" t="n">
        <x:f>IF('患者配对'!M1793="positive",1,0)</x:f>
        <x:v>0</x:v>
      </x:c>
      <x:c r="J1607" s="12" t="n">
        <x:f>IF('患者配对'!R1793="positive",1,0)</x:f>
        <x:v>1</x:v>
      </x:c>
      <x:c r="K1607" s="12" t="n">
        <x:f>IF('患者配对'!W1793="positive",1,0)</x:f>
        <x:v>0</x:v>
      </x:c>
      <x:c r="L1607" s="12" t="str">
        <x:v>由原件与原状态取得；仅主队列索引</x:v>
      </x:c>
      <x:c r="M1607" s="12"/>
      <x:c r="N1607" s="12"/>
      <x:c r="O1607" s="12"/>
    </x:row>
    <x:row r="1608" ht="39" customHeight="1">
      <x:c r="A1608" s="12" t="str">
        <x:v>16944</x:v>
      </x:c>
      <x:c r="B1608" s="12" t="str">
        <x:v>3504</x:v>
      </x:c>
      <x:c r="C1608" s="12" t="str">
        <x:v>参考000</x:v>
      </x:c>
      <x:c r="D1608" s="12" t="str">
        <x:v>自动000</x:v>
      </x:c>
      <x:c r="E1608" s="12" t="n">
        <x:v>0</x:v>
      </x:c>
      <x:c r="F1608" s="12" t="n">
        <x:v>0</x:v>
      </x:c>
      <x:c r="G1608" s="12" t="n">
        <x:v>0</x:v>
      </x:c>
      <x:c r="H1608" s="12" t="n">
        <x:f>IF(SUM(I1608:K1608)&gt;0,1,0)</x:f>
        <x:v>0</x:v>
      </x:c>
      <x:c r="I1608" s="12" t="n">
        <x:f>IF('患者配对'!M1794="positive",1,0)</x:f>
        <x:v>0</x:v>
      </x:c>
      <x:c r="J1608" s="12" t="n">
        <x:f>IF('患者配对'!R1794="positive",1,0)</x:f>
        <x:v>0</x:v>
      </x:c>
      <x:c r="K1608" s="12" t="n">
        <x:f>IF('患者配对'!W1794="positive",1,0)</x:f>
        <x:v>0</x:v>
      </x:c>
      <x:c r="L1608" s="12" t="str">
        <x:v>由原件与原状态取得；仅主队列索引</x:v>
      </x:c>
      <x:c r="M1608" s="12"/>
      <x:c r="N1608" s="12"/>
      <x:c r="O1608" s="12"/>
    </x:row>
    <x:row r="1609" ht="39" customHeight="1">
      <x:c r="A1609" s="12" t="str">
        <x:v>16952</x:v>
      </x:c>
      <x:c r="B1609" s="12" t="str">
        <x:v>1862</x:v>
      </x:c>
      <x:c r="C1609" s="12" t="str">
        <x:v>参考000</x:v>
      </x:c>
      <x:c r="D1609" s="12" t="str">
        <x:v>自动000</x:v>
      </x:c>
      <x:c r="E1609" s="12" t="n">
        <x:v>0</x:v>
      </x:c>
      <x:c r="F1609" s="12" t="n">
        <x:v>0</x:v>
      </x:c>
      <x:c r="G1609" s="12" t="n">
        <x:v>0</x:v>
      </x:c>
      <x:c r="H1609" s="12" t="n">
        <x:f>IF(SUM(I1609:K1609)&gt;0,1,0)</x:f>
        <x:v>0</x:v>
      </x:c>
      <x:c r="I1609" s="12" t="n">
        <x:f>IF('患者配对'!M1795="positive",1,0)</x:f>
        <x:v>0</x:v>
      </x:c>
      <x:c r="J1609" s="12" t="n">
        <x:f>IF('患者配对'!R1795="positive",1,0)</x:f>
        <x:v>0</x:v>
      </x:c>
      <x:c r="K1609" s="12" t="n">
        <x:f>IF('患者配对'!W1795="positive",1,0)</x:f>
        <x:v>0</x:v>
      </x:c>
      <x:c r="L1609" s="12" t="str">
        <x:v>由原件与原状态取得；仅主队列索引</x:v>
      </x:c>
      <x:c r="M1609" s="12"/>
      <x:c r="N1609" s="12"/>
      <x:c r="O1609" s="12"/>
    </x:row>
    <x:row r="1610" ht="39" customHeight="1">
      <x:c r="A1610" s="12" t="str">
        <x:v>16955</x:v>
      </x:c>
      <x:c r="B1610" s="12" t="str">
        <x:v>20368</x:v>
      </x:c>
      <x:c r="C1610" s="12" t="str">
        <x:v>参考000</x:v>
      </x:c>
      <x:c r="D1610" s="12" t="str">
        <x:v>自动000</x:v>
      </x:c>
      <x:c r="E1610" s="12" t="n">
        <x:v>0</x:v>
      </x:c>
      <x:c r="F1610" s="12" t="n">
        <x:v>0</x:v>
      </x:c>
      <x:c r="G1610" s="12" t="n">
        <x:v>0</x:v>
      </x:c>
      <x:c r="H1610" s="12" t="n">
        <x:f>IF(SUM(I1610:K1610)&gt;0,1,0)</x:f>
        <x:v>0</x:v>
      </x:c>
      <x:c r="I1610" s="12" t="n">
        <x:f>IF('患者配对'!M1796="positive",1,0)</x:f>
        <x:v>0</x:v>
      </x:c>
      <x:c r="J1610" s="12" t="n">
        <x:f>IF('患者配对'!R1796="positive",1,0)</x:f>
        <x:v>0</x:v>
      </x:c>
      <x:c r="K1610" s="12" t="n">
        <x:f>IF('患者配对'!W1796="positive",1,0)</x:f>
        <x:v>0</x:v>
      </x:c>
      <x:c r="L1610" s="12" t="str">
        <x:v>由原件与原状态取得；仅主队列索引</x:v>
      </x:c>
      <x:c r="M1610" s="12"/>
      <x:c r="N1610" s="12"/>
      <x:c r="O1610" s="12"/>
    </x:row>
    <x:row r="1611" ht="39" customHeight="1">
      <x:c r="A1611" s="12" t="str">
        <x:v>16993</x:v>
      </x:c>
      <x:c r="B1611" s="12" t="str">
        <x:v>1083</x:v>
      </x:c>
      <x:c r="C1611" s="12" t="str">
        <x:v>参考000</x:v>
      </x:c>
      <x:c r="D1611" s="12" t="str">
        <x:v>自动000</x:v>
      </x:c>
      <x:c r="E1611" s="12" t="n">
        <x:v>0</x:v>
      </x:c>
      <x:c r="F1611" s="12" t="n">
        <x:v>0</x:v>
      </x:c>
      <x:c r="G1611" s="12" t="n">
        <x:v>0</x:v>
      </x:c>
      <x:c r="H1611" s="12" t="n">
        <x:f>IF(SUM(I1611:K1611)&gt;0,1,0)</x:f>
        <x:v>0</x:v>
      </x:c>
      <x:c r="I1611" s="12" t="n">
        <x:f>IF('患者配对'!M1797="positive",1,0)</x:f>
        <x:v>0</x:v>
      </x:c>
      <x:c r="J1611" s="12" t="n">
        <x:f>IF('患者配对'!R1797="positive",1,0)</x:f>
        <x:v>0</x:v>
      </x:c>
      <x:c r="K1611" s="12" t="n">
        <x:f>IF('患者配对'!W1797="positive",1,0)</x:f>
        <x:v>0</x:v>
      </x:c>
      <x:c r="L1611" s="12" t="str">
        <x:v>由原件与原状态取得；仅主队列索引</x:v>
      </x:c>
      <x:c r="M1611" s="12"/>
      <x:c r="N1611" s="12"/>
      <x:c r="O1611" s="12"/>
    </x:row>
    <x:row r="1612" ht="39" customHeight="1">
      <x:c r="A1612" s="12" t="str">
        <x:v>16994</x:v>
      </x:c>
      <x:c r="B1612" s="12" t="str">
        <x:v>1825</x:v>
      </x:c>
      <x:c r="C1612" s="12" t="str">
        <x:v>参考000</x:v>
      </x:c>
      <x:c r="D1612" s="12" t="str">
        <x:v>自动000</x:v>
      </x:c>
      <x:c r="E1612" s="12" t="n">
        <x:v>0</x:v>
      </x:c>
      <x:c r="F1612" s="12" t="n">
        <x:v>1</x:v>
      </x:c>
      <x:c r="G1612" s="12" t="n">
        <x:v>0</x:v>
      </x:c>
      <x:c r="H1612" s="12" t="n">
        <x:f>IF(SUM(I1612:K1612)&gt;0,1,0)</x:f>
        <x:v>0</x:v>
      </x:c>
      <x:c r="I1612" s="12" t="n">
        <x:f>IF('患者配对'!M1798="positive",1,0)</x:f>
        <x:v>0</x:v>
      </x:c>
      <x:c r="J1612" s="12" t="n">
        <x:f>IF('患者配对'!R1798="positive",1,0)</x:f>
        <x:v>0</x:v>
      </x:c>
      <x:c r="K1612" s="12" t="n">
        <x:f>IF('患者配对'!W1798="positive",1,0)</x:f>
        <x:v>0</x:v>
      </x:c>
      <x:c r="L1612" s="12" t="str">
        <x:v>由原件与原状态取得；仅主队列索引</x:v>
      </x:c>
      <x:c r="M1612" s="12"/>
      <x:c r="N1612" s="12"/>
      <x:c r="O1612" s="12"/>
    </x:row>
    <x:row r="1613" ht="39" customHeight="1">
      <x:c r="A1613" s="12" t="str">
        <x:v>17000</x:v>
      </x:c>
      <x:c r="B1613" s="12" t="str">
        <x:v>13997</x:v>
      </x:c>
      <x:c r="C1613" s="12" t="str">
        <x:v>参考100</x:v>
      </x:c>
      <x:c r="D1613" s="12" t="str">
        <x:v>自动100</x:v>
      </x:c>
      <x:c r="E1613" s="12" t="n">
        <x:v>1</x:v>
      </x:c>
      <x:c r="F1613" s="12" t="n">
        <x:v>1</x:v>
      </x:c>
      <x:c r="G1613" s="12" t="n">
        <x:v>0</x:v>
      </x:c>
      <x:c r="H1613" s="12" t="n">
        <x:f>IF(SUM(I1613:K1613)&gt;0,1,0)</x:f>
        <x:v>1</x:v>
      </x:c>
      <x:c r="I1613" s="12" t="n">
        <x:f>IF('患者配对'!M1799="positive",1,0)</x:f>
        <x:v>1</x:v>
      </x:c>
      <x:c r="J1613" s="12" t="n">
        <x:f>IF('患者配对'!R1799="positive",1,0)</x:f>
        <x:v>0</x:v>
      </x:c>
      <x:c r="K1613" s="12" t="n">
        <x:f>IF('患者配对'!W1799="positive",1,0)</x:f>
        <x:v>0</x:v>
      </x:c>
      <x:c r="L1613" s="12" t="str">
        <x:v>由原件与原状态取得；仅主队列索引</x:v>
      </x:c>
      <x:c r="M1613" s="12"/>
      <x:c r="N1613" s="12"/>
      <x:c r="O1613" s="12"/>
    </x:row>
    <x:row r="1614" ht="39" customHeight="1">
      <x:c r="A1614" s="12" t="str">
        <x:v>17021</x:v>
      </x:c>
      <x:c r="B1614" s="12" t="str">
        <x:v>21723</x:v>
      </x:c>
      <x:c r="C1614" s="12" t="str">
        <x:v>参考000</x:v>
      </x:c>
      <x:c r="D1614" s="12" t="str">
        <x:v>自动000</x:v>
      </x:c>
      <x:c r="E1614" s="12" t="n">
        <x:v>0</x:v>
      </x:c>
      <x:c r="F1614" s="12" t="n">
        <x:v>0</x:v>
      </x:c>
      <x:c r="G1614" s="12" t="n">
        <x:v>0</x:v>
      </x:c>
      <x:c r="H1614" s="12" t="n">
        <x:f>IF(SUM(I1614:K1614)&gt;0,1,0)</x:f>
        <x:v>0</x:v>
      </x:c>
      <x:c r="I1614" s="12" t="n">
        <x:f>IF('患者配对'!M1801="positive",1,0)</x:f>
        <x:v>0</x:v>
      </x:c>
      <x:c r="J1614" s="12" t="n">
        <x:f>IF('患者配对'!R1801="positive",1,0)</x:f>
        <x:v>0</x:v>
      </x:c>
      <x:c r="K1614" s="12" t="n">
        <x:f>IF('患者配对'!W1801="positive",1,0)</x:f>
        <x:v>0</x:v>
      </x:c>
      <x:c r="L1614" s="12" t="str">
        <x:v>由原件与原状态取得；仅主队列索引</x:v>
      </x:c>
      <x:c r="M1614" s="12"/>
      <x:c r="N1614" s="12"/>
      <x:c r="O1614" s="12"/>
    </x:row>
    <x:row r="1615" ht="39" customHeight="1">
      <x:c r="A1615" s="12" t="str">
        <x:v>17083</x:v>
      </x:c>
      <x:c r="B1615" s="12" t="str">
        <x:v>11842</x:v>
      </x:c>
      <x:c r="C1615" s="12" t="str">
        <x:v>参考000</x:v>
      </x:c>
      <x:c r="D1615" s="12" t="str">
        <x:v>自动000</x:v>
      </x:c>
      <x:c r="E1615" s="12" t="n">
        <x:v>0</x:v>
      </x:c>
      <x:c r="F1615" s="12" t="n">
        <x:v>0</x:v>
      </x:c>
      <x:c r="G1615" s="12" t="n">
        <x:v>0</x:v>
      </x:c>
      <x:c r="H1615" s="12" t="n">
        <x:f>IF(SUM(I1615:K1615)&gt;0,1,0)</x:f>
        <x:v>0</x:v>
      </x:c>
      <x:c r="I1615" s="12" t="n">
        <x:f>IF('患者配对'!M1802="positive",1,0)</x:f>
        <x:v>0</x:v>
      </x:c>
      <x:c r="J1615" s="12" t="n">
        <x:f>IF('患者配对'!R1802="positive",1,0)</x:f>
        <x:v>0</x:v>
      </x:c>
      <x:c r="K1615" s="12" t="n">
        <x:f>IF('患者配对'!W1802="positive",1,0)</x:f>
        <x:v>0</x:v>
      </x:c>
      <x:c r="L1615" s="12" t="str">
        <x:v>由原件与原状态取得；仅主队列索引</x:v>
      </x:c>
      <x:c r="M1615" s="12"/>
      <x:c r="N1615" s="12"/>
      <x:c r="O1615" s="12"/>
    </x:row>
    <x:row r="1616" ht="39" customHeight="1">
      <x:c r="A1616" s="12" t="str">
        <x:v>17140</x:v>
      </x:c>
      <x:c r="B1616" s="12" t="str">
        <x:v>15392</x:v>
      </x:c>
      <x:c r="C1616" s="12" t="str">
        <x:v>参考000</x:v>
      </x:c>
      <x:c r="D1616" s="12" t="str">
        <x:v>自动000</x:v>
      </x:c>
      <x:c r="E1616" s="12" t="n">
        <x:v>0</x:v>
      </x:c>
      <x:c r="F1616" s="12" t="n">
        <x:v>0</x:v>
      </x:c>
      <x:c r="G1616" s="12" t="n">
        <x:v>0</x:v>
      </x:c>
      <x:c r="H1616" s="12" t="n">
        <x:f>IF(SUM(I1616:K1616)&gt;0,1,0)</x:f>
        <x:v>0</x:v>
      </x:c>
      <x:c r="I1616" s="12" t="n">
        <x:f>IF('患者配对'!M1805="positive",1,0)</x:f>
        <x:v>0</x:v>
      </x:c>
      <x:c r="J1616" s="12" t="n">
        <x:f>IF('患者配对'!R1805="positive",1,0)</x:f>
        <x:v>0</x:v>
      </x:c>
      <x:c r="K1616" s="12" t="n">
        <x:f>IF('患者配对'!W1805="positive",1,0)</x:f>
        <x:v>0</x:v>
      </x:c>
      <x:c r="L1616" s="12" t="str">
        <x:v>由原件与原状态取得；仅主队列索引</x:v>
      </x:c>
      <x:c r="M1616" s="12"/>
      <x:c r="N1616" s="12"/>
      <x:c r="O1616" s="12"/>
    </x:row>
    <x:row r="1617" ht="39" customHeight="1">
      <x:c r="A1617" s="12" t="str">
        <x:v>17169</x:v>
      </x:c>
      <x:c r="B1617" s="12" t="str">
        <x:v>14432</x:v>
      </x:c>
      <x:c r="C1617" s="12" t="str">
        <x:v>参考000</x:v>
      </x:c>
      <x:c r="D1617" s="12" t="str">
        <x:v>自动000</x:v>
      </x:c>
      <x:c r="E1617" s="12" t="n">
        <x:v>0</x:v>
      </x:c>
      <x:c r="F1617" s="12" t="n">
        <x:v>0</x:v>
      </x:c>
      <x:c r="G1617" s="12" t="n">
        <x:v>0</x:v>
      </x:c>
      <x:c r="H1617" s="12" t="n">
        <x:f>IF(SUM(I1617:K1617)&gt;0,1,0)</x:f>
        <x:v>0</x:v>
      </x:c>
      <x:c r="I1617" s="12" t="n">
        <x:f>IF('患者配对'!M1806="positive",1,0)</x:f>
        <x:v>0</x:v>
      </x:c>
      <x:c r="J1617" s="12" t="n">
        <x:f>IF('患者配对'!R1806="positive",1,0)</x:f>
        <x:v>0</x:v>
      </x:c>
      <x:c r="K1617" s="12" t="n">
        <x:f>IF('患者配对'!W1806="positive",1,0)</x:f>
        <x:v>0</x:v>
      </x:c>
      <x:c r="L1617" s="12" t="str">
        <x:v>由原件与原状态取得；仅主队列索引</x:v>
      </x:c>
      <x:c r="M1617" s="12"/>
      <x:c r="N1617" s="12"/>
      <x:c r="O1617" s="12"/>
    </x:row>
    <x:row r="1618" ht="39" customHeight="1">
      <x:c r="A1618" s="12" t="str">
        <x:v>17176</x:v>
      </x:c>
      <x:c r="B1618" s="12" t="str">
        <x:v>17697</x:v>
      </x:c>
      <x:c r="C1618" s="12" t="str">
        <x:v>参考000</x:v>
      </x:c>
      <x:c r="D1618" s="12" t="str">
        <x:v>自动000</x:v>
      </x:c>
      <x:c r="E1618" s="12" t="n">
        <x:v>0</x:v>
      </x:c>
      <x:c r="F1618" s="12" t="n">
        <x:v>0</x:v>
      </x:c>
      <x:c r="G1618" s="12" t="n">
        <x:v>0</x:v>
      </x:c>
      <x:c r="H1618" s="12" t="n">
        <x:f>IF(SUM(I1618:K1618)&gt;0,1,0)</x:f>
        <x:v>0</x:v>
      </x:c>
      <x:c r="I1618" s="12" t="n">
        <x:f>IF('患者配对'!M1807="positive",1,0)</x:f>
        <x:v>0</x:v>
      </x:c>
      <x:c r="J1618" s="12" t="n">
        <x:f>IF('患者配对'!R1807="positive",1,0)</x:f>
        <x:v>0</x:v>
      </x:c>
      <x:c r="K1618" s="12" t="n">
        <x:f>IF('患者配对'!W1807="positive",1,0)</x:f>
        <x:v>0</x:v>
      </x:c>
      <x:c r="L1618" s="12" t="str">
        <x:v>由原件与原状态取得；仅主队列索引</x:v>
      </x:c>
      <x:c r="M1618" s="12"/>
      <x:c r="N1618" s="12"/>
      <x:c r="O1618" s="12"/>
    </x:row>
    <x:row r="1619" ht="39" customHeight="1">
      <x:c r="A1619" s="12" t="str">
        <x:v>17193</x:v>
      </x:c>
      <x:c r="B1619" s="12" t="str">
        <x:v>16365</x:v>
      </x:c>
      <x:c r="C1619" s="12" t="str">
        <x:v>参考000</x:v>
      </x:c>
      <x:c r="D1619" s="12" t="str">
        <x:v>自动000</x:v>
      </x:c>
      <x:c r="E1619" s="12" t="n">
        <x:v>0</x:v>
      </x:c>
      <x:c r="F1619" s="12" t="n">
        <x:v>1</x:v>
      </x:c>
      <x:c r="G1619" s="12" t="n">
        <x:v>0</x:v>
      </x:c>
      <x:c r="H1619" s="12" t="n">
        <x:f>IF(SUM(I1619:K1619)&gt;0,1,0)</x:f>
        <x:v>0</x:v>
      </x:c>
      <x:c r="I1619" s="12" t="n">
        <x:f>IF('患者配对'!M1809="positive",1,0)</x:f>
        <x:v>0</x:v>
      </x:c>
      <x:c r="J1619" s="12" t="n">
        <x:f>IF('患者配对'!R1809="positive",1,0)</x:f>
        <x:v>0</x:v>
      </x:c>
      <x:c r="K1619" s="12" t="n">
        <x:f>IF('患者配对'!W1809="positive",1,0)</x:f>
        <x:v>0</x:v>
      </x:c>
      <x:c r="L1619" s="12" t="str">
        <x:v>由原件与原状态取得；仅主队列索引</x:v>
      </x:c>
      <x:c r="M1619" s="12"/>
      <x:c r="N1619" s="12"/>
      <x:c r="O1619" s="12"/>
    </x:row>
    <x:row r="1620" ht="39" customHeight="1">
      <x:c r="A1620" s="12" t="str">
        <x:v>17202</x:v>
      </x:c>
      <x:c r="B1620" s="12" t="str">
        <x:v>17083</x:v>
      </x:c>
      <x:c r="C1620" s="12" t="str">
        <x:v>参考000</x:v>
      </x:c>
      <x:c r="D1620" s="12" t="str">
        <x:v>自动000</x:v>
      </x:c>
      <x:c r="E1620" s="12" t="n">
        <x:v>0</x:v>
      </x:c>
      <x:c r="F1620" s="12" t="n">
        <x:v>0</x:v>
      </x:c>
      <x:c r="G1620" s="12" t="n">
        <x:v>0</x:v>
      </x:c>
      <x:c r="H1620" s="12" t="n">
        <x:f>IF(SUM(I1620:K1620)&gt;0,1,0)</x:f>
        <x:v>0</x:v>
      </x:c>
      <x:c r="I1620" s="12" t="n">
        <x:f>IF('患者配对'!M1810="positive",1,0)</x:f>
        <x:v>0</x:v>
      </x:c>
      <x:c r="J1620" s="12" t="n">
        <x:f>IF('患者配对'!R1810="positive",1,0)</x:f>
        <x:v>0</x:v>
      </x:c>
      <x:c r="K1620" s="12" t="n">
        <x:f>IF('患者配对'!W1810="positive",1,0)</x:f>
        <x:v>0</x:v>
      </x:c>
      <x:c r="L1620" s="12" t="str">
        <x:v>由原件与原状态取得；仅主队列索引</x:v>
      </x:c>
      <x:c r="M1620" s="12"/>
      <x:c r="N1620" s="12"/>
      <x:c r="O1620" s="12"/>
    </x:row>
    <x:row r="1621" ht="39" customHeight="1">
      <x:c r="A1621" s="12" t="str">
        <x:v>17214</x:v>
      </x:c>
      <x:c r="B1621" s="12" t="str">
        <x:v>11570</x:v>
      </x:c>
      <x:c r="C1621" s="12" t="str">
        <x:v>参考000</x:v>
      </x:c>
      <x:c r="D1621" s="12" t="str">
        <x:v>自动000</x:v>
      </x:c>
      <x:c r="E1621" s="12" t="n">
        <x:v>0</x:v>
      </x:c>
      <x:c r="F1621" s="12" t="n">
        <x:v>0</x:v>
      </x:c>
      <x:c r="G1621" s="12" t="n">
        <x:v>0</x:v>
      </x:c>
      <x:c r="H1621" s="12" t="n">
        <x:f>IF(SUM(I1621:K1621)&gt;0,1,0)</x:f>
        <x:v>0</x:v>
      </x:c>
      <x:c r="I1621" s="12" t="n">
        <x:f>IF('患者配对'!M1811="positive",1,0)</x:f>
        <x:v>0</x:v>
      </x:c>
      <x:c r="J1621" s="12" t="n">
        <x:f>IF('患者配对'!R1811="positive",1,0)</x:f>
        <x:v>0</x:v>
      </x:c>
      <x:c r="K1621" s="12" t="n">
        <x:f>IF('患者配对'!W1811="positive",1,0)</x:f>
        <x:v>0</x:v>
      </x:c>
      <x:c r="L1621" s="12" t="str">
        <x:v>由原件与原状态取得；仅主队列索引</x:v>
      </x:c>
      <x:c r="M1621" s="12"/>
      <x:c r="N1621" s="12"/>
      <x:c r="O1621" s="12"/>
    </x:row>
    <x:row r="1622" ht="39" customHeight="1">
      <x:c r="A1622" s="12" t="str">
        <x:v>17226</x:v>
      </x:c>
      <x:c r="B1622" s="12" t="str">
        <x:v>11709</x:v>
      </x:c>
      <x:c r="C1622" s="12" t="str">
        <x:v>参考000</x:v>
      </x:c>
      <x:c r="D1622" s="12" t="str">
        <x:v>自动000</x:v>
      </x:c>
      <x:c r="E1622" s="12" t="n">
        <x:v>0</x:v>
      </x:c>
      <x:c r="F1622" s="12" t="n">
        <x:v>0</x:v>
      </x:c>
      <x:c r="G1622" s="12" t="n">
        <x:v>0</x:v>
      </x:c>
      <x:c r="H1622" s="12" t="n">
        <x:f>IF(SUM(I1622:K1622)&gt;0,1,0)</x:f>
        <x:v>0</x:v>
      </x:c>
      <x:c r="I1622" s="12" t="n">
        <x:f>IF('患者配对'!M1812="positive",1,0)</x:f>
        <x:v>0</x:v>
      </x:c>
      <x:c r="J1622" s="12" t="n">
        <x:f>IF('患者配对'!R1812="positive",1,0)</x:f>
        <x:v>0</x:v>
      </x:c>
      <x:c r="K1622" s="12" t="n">
        <x:f>IF('患者配对'!W1812="positive",1,0)</x:f>
        <x:v>0</x:v>
      </x:c>
      <x:c r="L1622" s="12" t="str">
        <x:v>由原件与原状态取得；仅主队列索引</x:v>
      </x:c>
      <x:c r="M1622" s="12"/>
      <x:c r="N1622" s="12"/>
      <x:c r="O1622" s="12"/>
    </x:row>
    <x:row r="1623" ht="39" customHeight="1">
      <x:c r="A1623" s="12" t="str">
        <x:v>17244</x:v>
      </x:c>
      <x:c r="B1623" s="12" t="str">
        <x:v>11634</x:v>
      </x:c>
      <x:c r="C1623" s="12" t="str">
        <x:v>参考000</x:v>
      </x:c>
      <x:c r="D1623" s="12" t="str">
        <x:v>自动000</x:v>
      </x:c>
      <x:c r="E1623" s="12" t="n">
        <x:v>0</x:v>
      </x:c>
      <x:c r="F1623" s="12" t="n">
        <x:v>1</x:v>
      </x:c>
      <x:c r="G1623" s="12" t="n">
        <x:v>0</x:v>
      </x:c>
      <x:c r="H1623" s="12" t="n">
        <x:f>IF(SUM(I1623:K1623)&gt;0,1,0)</x:f>
        <x:v>0</x:v>
      </x:c>
      <x:c r="I1623" s="12" t="n">
        <x:f>IF('患者配对'!M1813="positive",1,0)</x:f>
        <x:v>0</x:v>
      </x:c>
      <x:c r="J1623" s="12" t="n">
        <x:f>IF('患者配对'!R1813="positive",1,0)</x:f>
        <x:v>0</x:v>
      </x:c>
      <x:c r="K1623" s="12" t="n">
        <x:f>IF('患者配对'!W1813="positive",1,0)</x:f>
        <x:v>0</x:v>
      </x:c>
      <x:c r="L1623" s="12" t="str">
        <x:v>由原件与原状态取得；仅主队列索引</x:v>
      </x:c>
      <x:c r="M1623" s="12"/>
      <x:c r="N1623" s="12"/>
      <x:c r="O1623" s="12"/>
    </x:row>
    <x:row r="1624" ht="39" customHeight="1">
      <x:c r="A1624" s="12" t="str">
        <x:v>17247</x:v>
      </x:c>
      <x:c r="B1624" s="12" t="str">
        <x:v>13219</x:v>
      </x:c>
      <x:c r="C1624" s="12" t="str">
        <x:v>参考000</x:v>
      </x:c>
      <x:c r="D1624" s="12" t="str">
        <x:v>自动000</x:v>
      </x:c>
      <x:c r="E1624" s="12" t="n">
        <x:v>0</x:v>
      </x:c>
      <x:c r="F1624" s="12" t="n">
        <x:v>1</x:v>
      </x:c>
      <x:c r="G1624" s="12" t="n">
        <x:v>0</x:v>
      </x:c>
      <x:c r="H1624" s="12" t="n">
        <x:f>IF(SUM(I1624:K1624)&gt;0,1,0)</x:f>
        <x:v>0</x:v>
      </x:c>
      <x:c r="I1624" s="12" t="n">
        <x:f>IF('患者配对'!M1814="positive",1,0)</x:f>
        <x:v>0</x:v>
      </x:c>
      <x:c r="J1624" s="12" t="n">
        <x:f>IF('患者配对'!R1814="positive",1,0)</x:f>
        <x:v>0</x:v>
      </x:c>
      <x:c r="K1624" s="12" t="n">
        <x:f>IF('患者配对'!W1814="positive",1,0)</x:f>
        <x:v>0</x:v>
      </x:c>
      <x:c r="L1624" s="12" t="str">
        <x:v>由原件与原状态取得；仅主队列索引</x:v>
      </x:c>
      <x:c r="M1624" s="12"/>
      <x:c r="N1624" s="12"/>
      <x:c r="O1624" s="12"/>
    </x:row>
    <x:row r="1625" ht="39" customHeight="1">
      <x:c r="A1625" s="12" t="str">
        <x:v>17252</x:v>
      </x:c>
      <x:c r="B1625" s="12" t="str">
        <x:v>18008</x:v>
      </x:c>
      <x:c r="C1625" s="12" t="str">
        <x:v>参考000</x:v>
      </x:c>
      <x:c r="D1625" s="12" t="str">
        <x:v>自动000</x:v>
      </x:c>
      <x:c r="E1625" s="12" t="n">
        <x:v>0</x:v>
      </x:c>
      <x:c r="F1625" s="12" t="n">
        <x:v>0</x:v>
      </x:c>
      <x:c r="G1625" s="12" t="n">
        <x:v>0</x:v>
      </x:c>
      <x:c r="H1625" s="12" t="n">
        <x:f>IF(SUM(I1625:K1625)&gt;0,1,0)</x:f>
        <x:v>0</x:v>
      </x:c>
      <x:c r="I1625" s="12" t="n">
        <x:f>IF('患者配对'!M1815="positive",1,0)</x:f>
        <x:v>0</x:v>
      </x:c>
      <x:c r="J1625" s="12" t="n">
        <x:f>IF('患者配对'!R1815="positive",1,0)</x:f>
        <x:v>0</x:v>
      </x:c>
      <x:c r="K1625" s="12" t="n">
        <x:f>IF('患者配对'!W1815="positive",1,0)</x:f>
        <x:v>0</x:v>
      </x:c>
      <x:c r="L1625" s="12" t="str">
        <x:v>由原件与原状态取得；仅主队列索引</x:v>
      </x:c>
      <x:c r="M1625" s="12"/>
      <x:c r="N1625" s="12"/>
      <x:c r="O1625" s="12"/>
    </x:row>
    <x:row r="1626" ht="39" customHeight="1">
      <x:c r="A1626" s="12" t="str">
        <x:v>17259</x:v>
      </x:c>
      <x:c r="B1626" s="12" t="str">
        <x:v>11539</x:v>
      </x:c>
      <x:c r="C1626" s="12" t="str">
        <x:v>参考000</x:v>
      </x:c>
      <x:c r="D1626" s="12" t="str">
        <x:v>自动000</x:v>
      </x:c>
      <x:c r="E1626" s="12" t="n">
        <x:v>0</x:v>
      </x:c>
      <x:c r="F1626" s="12" t="n">
        <x:v>0</x:v>
      </x:c>
      <x:c r="G1626" s="12" t="n">
        <x:v>0</x:v>
      </x:c>
      <x:c r="H1626" s="12" t="n">
        <x:f>IF(SUM(I1626:K1626)&gt;0,1,0)</x:f>
        <x:v>0</x:v>
      </x:c>
      <x:c r="I1626" s="12" t="n">
        <x:f>IF('患者配对'!M1816="positive",1,0)</x:f>
        <x:v>0</x:v>
      </x:c>
      <x:c r="J1626" s="12" t="n">
        <x:f>IF('患者配对'!R1816="positive",1,0)</x:f>
        <x:v>0</x:v>
      </x:c>
      <x:c r="K1626" s="12" t="n">
        <x:f>IF('患者配对'!W1816="positive",1,0)</x:f>
        <x:v>0</x:v>
      </x:c>
      <x:c r="L1626" s="12" t="str">
        <x:v>由原件与原状态取得；仅主队列索引</x:v>
      </x:c>
      <x:c r="M1626" s="12"/>
      <x:c r="N1626" s="12"/>
      <x:c r="O1626" s="12"/>
    </x:row>
    <x:row r="1627" ht="39" customHeight="1">
      <x:c r="A1627" s="12" t="str">
        <x:v>17286</x:v>
      </x:c>
      <x:c r="B1627" s="12" t="str">
        <x:v>21088</x:v>
      </x:c>
      <x:c r="C1627" s="12" t="str">
        <x:v>参考000</x:v>
      </x:c>
      <x:c r="D1627" s="12" t="str">
        <x:v>自动000</x:v>
      </x:c>
      <x:c r="E1627" s="12" t="n">
        <x:v>0</x:v>
      </x:c>
      <x:c r="F1627" s="12" t="n">
        <x:v>0</x:v>
      </x:c>
      <x:c r="G1627" s="12" t="n">
        <x:v>0</x:v>
      </x:c>
      <x:c r="H1627" s="12" t="n">
        <x:f>IF(SUM(I1627:K1627)&gt;0,1,0)</x:f>
        <x:v>0</x:v>
      </x:c>
      <x:c r="I1627" s="12" t="n">
        <x:f>IF('患者配对'!M1817="positive",1,0)</x:f>
        <x:v>0</x:v>
      </x:c>
      <x:c r="J1627" s="12" t="n">
        <x:f>IF('患者配对'!R1817="positive",1,0)</x:f>
        <x:v>0</x:v>
      </x:c>
      <x:c r="K1627" s="12" t="n">
        <x:f>IF('患者配对'!W1817="positive",1,0)</x:f>
        <x:v>0</x:v>
      </x:c>
      <x:c r="L1627" s="12" t="str">
        <x:v>由原件与原状态取得；仅主队列索引</x:v>
      </x:c>
      <x:c r="M1627" s="12"/>
      <x:c r="N1627" s="12"/>
      <x:c r="O1627" s="12"/>
    </x:row>
    <x:row r="1628" ht="39" customHeight="1">
      <x:c r="A1628" s="12" t="str">
        <x:v>17290</x:v>
      </x:c>
      <x:c r="B1628" s="12" t="str">
        <x:v>16522</x:v>
      </x:c>
      <x:c r="C1628" s="12" t="str">
        <x:v>参考000</x:v>
      </x:c>
      <x:c r="D1628" s="12" t="str">
        <x:v>自动000</x:v>
      </x:c>
      <x:c r="E1628" s="12" t="n">
        <x:v>0</x:v>
      </x:c>
      <x:c r="F1628" s="12" t="n">
        <x:v>1</x:v>
      </x:c>
      <x:c r="G1628" s="12" t="n">
        <x:v>0</x:v>
      </x:c>
      <x:c r="H1628" s="12" t="n">
        <x:f>IF(SUM(I1628:K1628)&gt;0,1,0)</x:f>
        <x:v>0</x:v>
      </x:c>
      <x:c r="I1628" s="12" t="n">
        <x:f>IF('患者配对'!M1818="positive",1,0)</x:f>
        <x:v>0</x:v>
      </x:c>
      <x:c r="J1628" s="12" t="n">
        <x:f>IF('患者配对'!R1818="positive",1,0)</x:f>
        <x:v>0</x:v>
      </x:c>
      <x:c r="K1628" s="12" t="n">
        <x:f>IF('患者配对'!W1818="positive",1,0)</x:f>
        <x:v>0</x:v>
      </x:c>
      <x:c r="L1628" s="12" t="str">
        <x:v>由原件与原状态取得；仅主队列索引</x:v>
      </x:c>
      <x:c r="M1628" s="12"/>
      <x:c r="N1628" s="12"/>
      <x:c r="O1628" s="12"/>
    </x:row>
    <x:row r="1629" ht="39" customHeight="1">
      <x:c r="A1629" s="12" t="str">
        <x:v>17297</x:v>
      </x:c>
      <x:c r="B1629" s="12" t="str">
        <x:v>13134</x:v>
      </x:c>
      <x:c r="C1629" s="12" t="str">
        <x:v>参考000</x:v>
      </x:c>
      <x:c r="D1629" s="12" t="str">
        <x:v>自动000</x:v>
      </x:c>
      <x:c r="E1629" s="12" t="n">
        <x:v>0</x:v>
      </x:c>
      <x:c r="F1629" s="12" t="n">
        <x:v>1</x:v>
      </x:c>
      <x:c r="G1629" s="12" t="n">
        <x:v>0</x:v>
      </x:c>
      <x:c r="H1629" s="12" t="n">
        <x:f>IF(SUM(I1629:K1629)&gt;0,1,0)</x:f>
        <x:v>0</x:v>
      </x:c>
      <x:c r="I1629" s="12" t="n">
        <x:f>IF('患者配对'!M1819="positive",1,0)</x:f>
        <x:v>0</x:v>
      </x:c>
      <x:c r="J1629" s="12" t="n">
        <x:f>IF('患者配对'!R1819="positive",1,0)</x:f>
        <x:v>0</x:v>
      </x:c>
      <x:c r="K1629" s="12" t="n">
        <x:f>IF('患者配对'!W1819="positive",1,0)</x:f>
        <x:v>0</x:v>
      </x:c>
      <x:c r="L1629" s="12" t="str">
        <x:v>由原件与原状态取得；仅主队列索引</x:v>
      </x:c>
      <x:c r="M1629" s="12"/>
      <x:c r="N1629" s="12"/>
      <x:c r="O1629" s="12"/>
    </x:row>
    <x:row r="1630" ht="39" customHeight="1">
      <x:c r="A1630" s="12" t="str">
        <x:v>17309</x:v>
      </x:c>
      <x:c r="B1630" s="12" t="str">
        <x:v>14640</x:v>
      </x:c>
      <x:c r="C1630" s="12" t="str">
        <x:v>参考100</x:v>
      </x:c>
      <x:c r="D1630" s="12" t="str">
        <x:v>自动100</x:v>
      </x:c>
      <x:c r="E1630" s="12" t="n">
        <x:v>1</x:v>
      </x:c>
      <x:c r="F1630" s="12" t="n">
        <x:v>1</x:v>
      </x:c>
      <x:c r="G1630" s="12" t="n">
        <x:v>0</x:v>
      </x:c>
      <x:c r="H1630" s="12" t="n">
        <x:f>IF(SUM(I1630:K1630)&gt;0,1,0)</x:f>
        <x:v>1</x:v>
      </x:c>
      <x:c r="I1630" s="12" t="n">
        <x:f>IF('患者配对'!M1821="positive",1,0)</x:f>
        <x:v>1</x:v>
      </x:c>
      <x:c r="J1630" s="12" t="n">
        <x:f>IF('患者配对'!R1821="positive",1,0)</x:f>
        <x:v>0</x:v>
      </x:c>
      <x:c r="K1630" s="12" t="n">
        <x:f>IF('患者配对'!W1821="positive",1,0)</x:f>
        <x:v>0</x:v>
      </x:c>
      <x:c r="L1630" s="12" t="str">
        <x:v>由原件与原状态取得；仅主队列索引</x:v>
      </x:c>
      <x:c r="M1630" s="12"/>
      <x:c r="N1630" s="12"/>
      <x:c r="O1630" s="12"/>
    </x:row>
    <x:row r="1631" ht="39" customHeight="1">
      <x:c r="A1631" s="12" t="str">
        <x:v>17316</x:v>
      </x:c>
      <x:c r="B1631" s="12" t="str">
        <x:v>11937</x:v>
      </x:c>
      <x:c r="C1631" s="12" t="str">
        <x:v>参考000</x:v>
      </x:c>
      <x:c r="D1631" s="12" t="str">
        <x:v>自动000</x:v>
      </x:c>
      <x:c r="E1631" s="12" t="n">
        <x:v>0</x:v>
      </x:c>
      <x:c r="F1631" s="12" t="n">
        <x:v>0</x:v>
      </x:c>
      <x:c r="G1631" s="12" t="n">
        <x:v>0</x:v>
      </x:c>
      <x:c r="H1631" s="12" t="n">
        <x:f>IF(SUM(I1631:K1631)&gt;0,1,0)</x:f>
        <x:v>0</x:v>
      </x:c>
      <x:c r="I1631" s="12" t="n">
        <x:f>IF('患者配对'!M1822="positive",1,0)</x:f>
        <x:v>0</x:v>
      </x:c>
      <x:c r="J1631" s="12" t="n">
        <x:f>IF('患者配对'!R1822="positive",1,0)</x:f>
        <x:v>0</x:v>
      </x:c>
      <x:c r="K1631" s="12" t="n">
        <x:f>IF('患者配对'!W1822="positive",1,0)</x:f>
        <x:v>0</x:v>
      </x:c>
      <x:c r="L1631" s="12" t="str">
        <x:v>由原件与原状态取得；仅主队列索引</x:v>
      </x:c>
      <x:c r="M1631" s="12"/>
      <x:c r="N1631" s="12"/>
      <x:c r="O1631" s="12"/>
    </x:row>
    <x:row r="1632" ht="39" customHeight="1">
      <x:c r="A1632" s="12" t="str">
        <x:v>17323</x:v>
      </x:c>
      <x:c r="B1632" s="12" t="str">
        <x:v>9935</x:v>
      </x:c>
      <x:c r="C1632" s="12" t="str">
        <x:v>参考000</x:v>
      </x:c>
      <x:c r="D1632" s="12" t="str">
        <x:v>自动000</x:v>
      </x:c>
      <x:c r="E1632" s="12" t="n">
        <x:v>0</x:v>
      </x:c>
      <x:c r="F1632" s="12" t="n">
        <x:v>0</x:v>
      </x:c>
      <x:c r="G1632" s="12" t="n">
        <x:v>0</x:v>
      </x:c>
      <x:c r="H1632" s="12" t="n">
        <x:f>IF(SUM(I1632:K1632)&gt;0,1,0)</x:f>
        <x:v>0</x:v>
      </x:c>
      <x:c r="I1632" s="12" t="n">
        <x:f>IF('患者配对'!M1823="positive",1,0)</x:f>
        <x:v>0</x:v>
      </x:c>
      <x:c r="J1632" s="12" t="n">
        <x:f>IF('患者配对'!R1823="positive",1,0)</x:f>
        <x:v>0</x:v>
      </x:c>
      <x:c r="K1632" s="12" t="n">
        <x:f>IF('患者配对'!W1823="positive",1,0)</x:f>
        <x:v>0</x:v>
      </x:c>
      <x:c r="L1632" s="12" t="str">
        <x:v>由原件与原状态取得；仅主队列索引</x:v>
      </x:c>
      <x:c r="M1632" s="12"/>
      <x:c r="N1632" s="12"/>
      <x:c r="O1632" s="12"/>
    </x:row>
    <x:row r="1633" ht="39" customHeight="1">
      <x:c r="A1633" s="12" t="str">
        <x:v>17325</x:v>
      </x:c>
      <x:c r="B1633" s="12" t="str">
        <x:v>16295</x:v>
      </x:c>
      <x:c r="C1633" s="12" t="str">
        <x:v>参考000</x:v>
      </x:c>
      <x:c r="D1633" s="12" t="str">
        <x:v>自动000</x:v>
      </x:c>
      <x:c r="E1633" s="12" t="n">
        <x:v>0</x:v>
      </x:c>
      <x:c r="F1633" s="12" t="n">
        <x:v>1</x:v>
      </x:c>
      <x:c r="G1633" s="12" t="n">
        <x:v>0</x:v>
      </x:c>
      <x:c r="H1633" s="12" t="n">
        <x:f>IF(SUM(I1633:K1633)&gt;0,1,0)</x:f>
        <x:v>0</x:v>
      </x:c>
      <x:c r="I1633" s="12" t="n">
        <x:f>IF('患者配对'!M1824="positive",1,0)</x:f>
        <x:v>0</x:v>
      </x:c>
      <x:c r="J1633" s="12" t="n">
        <x:f>IF('患者配对'!R1824="positive",1,0)</x:f>
        <x:v>0</x:v>
      </x:c>
      <x:c r="K1633" s="12" t="n">
        <x:f>IF('患者配对'!W1824="positive",1,0)</x:f>
        <x:v>0</x:v>
      </x:c>
      <x:c r="L1633" s="12" t="str">
        <x:v>由原件与原状态取得；仅主队列索引</x:v>
      </x:c>
      <x:c r="M1633" s="12"/>
      <x:c r="N1633" s="12"/>
      <x:c r="O1633" s="12"/>
    </x:row>
    <x:row r="1634" ht="39" customHeight="1">
      <x:c r="A1634" s="12" t="str">
        <x:v>17370</x:v>
      </x:c>
      <x:c r="B1634" s="12" t="str">
        <x:v>12914</x:v>
      </x:c>
      <x:c r="C1634" s="12" t="str">
        <x:v>参考000</x:v>
      </x:c>
      <x:c r="D1634" s="12" t="str">
        <x:v>自动000</x:v>
      </x:c>
      <x:c r="E1634" s="12" t="n">
        <x:v>0</x:v>
      </x:c>
      <x:c r="F1634" s="12" t="n">
        <x:v>1</x:v>
      </x:c>
      <x:c r="G1634" s="12" t="n">
        <x:v>0</x:v>
      </x:c>
      <x:c r="H1634" s="12" t="n">
        <x:f>IF(SUM(I1634:K1634)&gt;0,1,0)</x:f>
        <x:v>0</x:v>
      </x:c>
      <x:c r="I1634" s="12" t="n">
        <x:f>IF('患者配对'!M1826="positive",1,0)</x:f>
        <x:v>0</x:v>
      </x:c>
      <x:c r="J1634" s="12" t="n">
        <x:f>IF('患者配对'!R1826="positive",1,0)</x:f>
        <x:v>0</x:v>
      </x:c>
      <x:c r="K1634" s="12" t="n">
        <x:f>IF('患者配对'!W1826="positive",1,0)</x:f>
        <x:v>0</x:v>
      </x:c>
      <x:c r="L1634" s="12" t="str">
        <x:v>由原件与原状态取得；仅主队列索引</x:v>
      </x:c>
      <x:c r="M1634" s="12"/>
      <x:c r="N1634" s="12"/>
      <x:c r="O1634" s="12"/>
    </x:row>
    <x:row r="1635" ht="39" customHeight="1">
      <x:c r="A1635" s="12" t="str">
        <x:v>17371</x:v>
      </x:c>
      <x:c r="B1635" s="12" t="str">
        <x:v>21241</x:v>
      </x:c>
      <x:c r="C1635" s="12" t="str">
        <x:v>参考000</x:v>
      </x:c>
      <x:c r="D1635" s="12" t="str">
        <x:v>自动000</x:v>
      </x:c>
      <x:c r="E1635" s="12" t="n">
        <x:v>0</x:v>
      </x:c>
      <x:c r="F1635" s="12" t="n">
        <x:v>1</x:v>
      </x:c>
      <x:c r="G1635" s="12" t="n">
        <x:v>0</x:v>
      </x:c>
      <x:c r="H1635" s="12" t="n">
        <x:f>IF(SUM(I1635:K1635)&gt;0,1,0)</x:f>
        <x:v>0</x:v>
      </x:c>
      <x:c r="I1635" s="12" t="n">
        <x:f>IF('患者配对'!M1827="positive",1,0)</x:f>
        <x:v>0</x:v>
      </x:c>
      <x:c r="J1635" s="12" t="n">
        <x:f>IF('患者配对'!R1827="positive",1,0)</x:f>
        <x:v>0</x:v>
      </x:c>
      <x:c r="K1635" s="12" t="n">
        <x:f>IF('患者配对'!W1827="positive",1,0)</x:f>
        <x:v>0</x:v>
      </x:c>
      <x:c r="L1635" s="12" t="str">
        <x:v>由原件与原状态取得；仅主队列索引</x:v>
      </x:c>
      <x:c r="M1635" s="12"/>
      <x:c r="N1635" s="12"/>
      <x:c r="O1635" s="12"/>
    </x:row>
    <x:row r="1636" ht="39" customHeight="1">
      <x:c r="A1636" s="12" t="str">
        <x:v>17401</x:v>
      </x:c>
      <x:c r="B1636" s="12" t="str">
        <x:v>18530</x:v>
      </x:c>
      <x:c r="C1636" s="12" t="str">
        <x:v>参考000</x:v>
      </x:c>
      <x:c r="D1636" s="12" t="str">
        <x:v>自动000</x:v>
      </x:c>
      <x:c r="E1636" s="12" t="n">
        <x:v>0</x:v>
      </x:c>
      <x:c r="F1636" s="12" t="n">
        <x:v>0</x:v>
      </x:c>
      <x:c r="G1636" s="12" t="n">
        <x:v>0</x:v>
      </x:c>
      <x:c r="H1636" s="12" t="n">
        <x:f>IF(SUM(I1636:K1636)&gt;0,1,0)</x:f>
        <x:v>0</x:v>
      </x:c>
      <x:c r="I1636" s="12" t="n">
        <x:f>IF('患者配对'!M1829="positive",1,0)</x:f>
        <x:v>0</x:v>
      </x:c>
      <x:c r="J1636" s="12" t="n">
        <x:f>IF('患者配对'!R1829="positive",1,0)</x:f>
        <x:v>0</x:v>
      </x:c>
      <x:c r="K1636" s="12" t="n">
        <x:f>IF('患者配对'!W1829="positive",1,0)</x:f>
        <x:v>0</x:v>
      </x:c>
      <x:c r="L1636" s="12" t="str">
        <x:v>由原件与原状态取得；仅主队列索引</x:v>
      </x:c>
      <x:c r="M1636" s="12"/>
      <x:c r="N1636" s="12"/>
      <x:c r="O1636" s="12"/>
    </x:row>
    <x:row r="1637" ht="39" customHeight="1">
      <x:c r="A1637" s="12" t="str">
        <x:v>17404</x:v>
      </x:c>
      <x:c r="B1637" s="12" t="str">
        <x:v>20116</x:v>
      </x:c>
      <x:c r="C1637" s="12" t="str">
        <x:v>参考000</x:v>
      </x:c>
      <x:c r="D1637" s="12" t="str">
        <x:v>自动000</x:v>
      </x:c>
      <x:c r="E1637" s="12" t="n">
        <x:v>0</x:v>
      </x:c>
      <x:c r="F1637" s="12" t="n">
        <x:v>0</x:v>
      </x:c>
      <x:c r="G1637" s="12" t="n">
        <x:v>0</x:v>
      </x:c>
      <x:c r="H1637" s="12" t="n">
        <x:f>IF(SUM(I1637:K1637)&gt;0,1,0)</x:f>
        <x:v>0</x:v>
      </x:c>
      <x:c r="I1637" s="12" t="n">
        <x:f>IF('患者配对'!M1831="positive",1,0)</x:f>
        <x:v>0</x:v>
      </x:c>
      <x:c r="J1637" s="12" t="n">
        <x:f>IF('患者配对'!R1831="positive",1,0)</x:f>
        <x:v>0</x:v>
      </x:c>
      <x:c r="K1637" s="12" t="n">
        <x:f>IF('患者配对'!W1831="positive",1,0)</x:f>
        <x:v>0</x:v>
      </x:c>
      <x:c r="L1637" s="12" t="str">
        <x:v>由原件与原状态取得；仅主队列索引</x:v>
      </x:c>
      <x:c r="M1637" s="12"/>
      <x:c r="N1637" s="12"/>
      <x:c r="O1637" s="12"/>
    </x:row>
    <x:row r="1638" ht="39" customHeight="1">
      <x:c r="A1638" s="12" t="str">
        <x:v>17419</x:v>
      </x:c>
      <x:c r="B1638" s="12" t="str">
        <x:v>15374</x:v>
      </x:c>
      <x:c r="C1638" s="12" t="str">
        <x:v>参考000</x:v>
      </x:c>
      <x:c r="D1638" s="12" t="str">
        <x:v>自动000</x:v>
      </x:c>
      <x:c r="E1638" s="12" t="n">
        <x:v>0</x:v>
      </x:c>
      <x:c r="F1638" s="12" t="n">
        <x:v>0</x:v>
      </x:c>
      <x:c r="G1638" s="12" t="n">
        <x:v>0</x:v>
      </x:c>
      <x:c r="H1638" s="12" t="n">
        <x:f>IF(SUM(I1638:K1638)&gt;0,1,0)</x:f>
        <x:v>0</x:v>
      </x:c>
      <x:c r="I1638" s="12" t="n">
        <x:f>IF('患者配对'!M1832="positive",1,0)</x:f>
        <x:v>0</x:v>
      </x:c>
      <x:c r="J1638" s="12" t="n">
        <x:f>IF('患者配对'!R1832="positive",1,0)</x:f>
        <x:v>0</x:v>
      </x:c>
      <x:c r="K1638" s="12" t="n">
        <x:f>IF('患者配对'!W1832="positive",1,0)</x:f>
        <x:v>0</x:v>
      </x:c>
      <x:c r="L1638" s="12" t="str">
        <x:v>由原件与原状态取得；仅主队列索引</x:v>
      </x:c>
      <x:c r="M1638" s="12"/>
      <x:c r="N1638" s="12"/>
      <x:c r="O1638" s="12"/>
    </x:row>
    <x:row r="1639" ht="39" customHeight="1">
      <x:c r="A1639" s="12" t="str">
        <x:v>17420</x:v>
      </x:c>
      <x:c r="B1639" s="12" t="str">
        <x:v>16325</x:v>
      </x:c>
      <x:c r="C1639" s="12" t="str">
        <x:v>参考000</x:v>
      </x:c>
      <x:c r="D1639" s="12" t="str">
        <x:v>自动000</x:v>
      </x:c>
      <x:c r="E1639" s="12" t="n">
        <x:v>0</x:v>
      </x:c>
      <x:c r="F1639" s="12" t="n">
        <x:v>1</x:v>
      </x:c>
      <x:c r="G1639" s="12" t="n">
        <x:v>0</x:v>
      </x:c>
      <x:c r="H1639" s="12" t="n">
        <x:f>IF(SUM(I1639:K1639)&gt;0,1,0)</x:f>
        <x:v>0</x:v>
      </x:c>
      <x:c r="I1639" s="12" t="n">
        <x:f>IF('患者配对'!M1833="positive",1,0)</x:f>
        <x:v>0</x:v>
      </x:c>
      <x:c r="J1639" s="12" t="n">
        <x:f>IF('患者配对'!R1833="positive",1,0)</x:f>
        <x:v>0</x:v>
      </x:c>
      <x:c r="K1639" s="12" t="n">
        <x:f>IF('患者配对'!W1833="positive",1,0)</x:f>
        <x:v>0</x:v>
      </x:c>
      <x:c r="L1639" s="12" t="str">
        <x:v>由原件与原状态取得；仅主队列索引</x:v>
      </x:c>
      <x:c r="M1639" s="12"/>
      <x:c r="N1639" s="12"/>
      <x:c r="O1639" s="12"/>
    </x:row>
    <x:row r="1640" ht="39" customHeight="1">
      <x:c r="A1640" s="12" t="str">
        <x:v>17455</x:v>
      </x:c>
      <x:c r="B1640" s="12" t="str">
        <x:v>13050</x:v>
      </x:c>
      <x:c r="C1640" s="12" t="str">
        <x:v>参考000</x:v>
      </x:c>
      <x:c r="D1640" s="12" t="str">
        <x:v>自动000</x:v>
      </x:c>
      <x:c r="E1640" s="12" t="n">
        <x:v>0</x:v>
      </x:c>
      <x:c r="F1640" s="12" t="n">
        <x:v>1</x:v>
      </x:c>
      <x:c r="G1640" s="12" t="n">
        <x:v>0</x:v>
      </x:c>
      <x:c r="H1640" s="12" t="n">
        <x:f>IF(SUM(I1640:K1640)&gt;0,1,0)</x:f>
        <x:v>0</x:v>
      </x:c>
      <x:c r="I1640" s="12" t="n">
        <x:f>IF('患者配对'!M1836="positive",1,0)</x:f>
        <x:v>0</x:v>
      </x:c>
      <x:c r="J1640" s="12" t="n">
        <x:f>IF('患者配对'!R1836="positive",1,0)</x:f>
        <x:v>0</x:v>
      </x:c>
      <x:c r="K1640" s="12" t="n">
        <x:f>IF('患者配对'!W1836="positive",1,0)</x:f>
        <x:v>0</x:v>
      </x:c>
      <x:c r="L1640" s="12" t="str">
        <x:v>由原件与原状态取得；仅主队列索引</x:v>
      </x:c>
      <x:c r="M1640" s="12"/>
      <x:c r="N1640" s="12"/>
      <x:c r="O1640" s="12"/>
    </x:row>
    <x:row r="1641" ht="39" customHeight="1">
      <x:c r="A1641" s="12" t="str">
        <x:v>17511</x:v>
      </x:c>
      <x:c r="B1641" s="12" t="str">
        <x:v>5591</x:v>
      </x:c>
      <x:c r="C1641" s="12" t="str">
        <x:v>参考000</x:v>
      </x:c>
      <x:c r="D1641" s="12" t="str">
        <x:v>自动000</x:v>
      </x:c>
      <x:c r="E1641" s="12" t="n">
        <x:v>0</x:v>
      </x:c>
      <x:c r="F1641" s="12" t="n">
        <x:v>0</x:v>
      </x:c>
      <x:c r="G1641" s="12" t="n">
        <x:v>0</x:v>
      </x:c>
      <x:c r="H1641" s="12" t="n">
        <x:f>IF(SUM(I1641:K1641)&gt;0,1,0)</x:f>
        <x:v>0</x:v>
      </x:c>
      <x:c r="I1641" s="12" t="n">
        <x:f>IF('患者配对'!M1838="positive",1,0)</x:f>
        <x:v>0</x:v>
      </x:c>
      <x:c r="J1641" s="12" t="n">
        <x:f>IF('患者配对'!R1838="positive",1,0)</x:f>
        <x:v>0</x:v>
      </x:c>
      <x:c r="K1641" s="12" t="n">
        <x:f>IF('患者配对'!W1838="positive",1,0)</x:f>
        <x:v>0</x:v>
      </x:c>
      <x:c r="L1641" s="12" t="str">
        <x:v>由原件与原状态取得；仅主队列索引</x:v>
      </x:c>
      <x:c r="M1641" s="12"/>
      <x:c r="N1641" s="12"/>
      <x:c r="O1641" s="12"/>
    </x:row>
    <x:row r="1642" ht="39" customHeight="1">
      <x:c r="A1642" s="12" t="str">
        <x:v>17525</x:v>
      </x:c>
      <x:c r="B1642" s="12" t="str">
        <x:v>1459</x:v>
      </x:c>
      <x:c r="C1642" s="12" t="str">
        <x:v>参考000</x:v>
      </x:c>
      <x:c r="D1642" s="12" t="str">
        <x:v>自动000</x:v>
      </x:c>
      <x:c r="E1642" s="12" t="n">
        <x:v>0</x:v>
      </x:c>
      <x:c r="F1642" s="12" t="n">
        <x:v>0</x:v>
      </x:c>
      <x:c r="G1642" s="12" t="n">
        <x:v>0</x:v>
      </x:c>
      <x:c r="H1642" s="12" t="n">
        <x:f>IF(SUM(I1642:K1642)&gt;0,1,0)</x:f>
        <x:v>0</x:v>
      </x:c>
      <x:c r="I1642" s="12" t="n">
        <x:f>IF('患者配对'!M1839="positive",1,0)</x:f>
        <x:v>0</x:v>
      </x:c>
      <x:c r="J1642" s="12" t="n">
        <x:f>IF('患者配对'!R1839="positive",1,0)</x:f>
        <x:v>0</x:v>
      </x:c>
      <x:c r="K1642" s="12" t="n">
        <x:f>IF('患者配对'!W1839="positive",1,0)</x:f>
        <x:v>0</x:v>
      </x:c>
      <x:c r="L1642" s="12" t="str">
        <x:v>由原件与原状态取得；仅主队列索引</x:v>
      </x:c>
      <x:c r="M1642" s="12"/>
      <x:c r="N1642" s="12"/>
      <x:c r="O1642" s="12"/>
    </x:row>
    <x:row r="1643" ht="39" customHeight="1">
      <x:c r="A1643" s="12" t="str">
        <x:v>17536</x:v>
      </x:c>
      <x:c r="B1643" s="12" t="str">
        <x:v>7430</x:v>
      </x:c>
      <x:c r="C1643" s="12" t="str">
        <x:v>参考000</x:v>
      </x:c>
      <x:c r="D1643" s="12" t="str">
        <x:v>自动000</x:v>
      </x:c>
      <x:c r="E1643" s="12" t="n">
        <x:v>0</x:v>
      </x:c>
      <x:c r="F1643" s="12" t="n">
        <x:v>0</x:v>
      </x:c>
      <x:c r="G1643" s="12" t="n">
        <x:v>0</x:v>
      </x:c>
      <x:c r="H1643" s="12" t="n">
        <x:f>IF(SUM(I1643:K1643)&gt;0,1,0)</x:f>
        <x:v>0</x:v>
      </x:c>
      <x:c r="I1643" s="12" t="n">
        <x:f>IF('患者配对'!M1840="positive",1,0)</x:f>
        <x:v>0</x:v>
      </x:c>
      <x:c r="J1643" s="12" t="n">
        <x:f>IF('患者配对'!R1840="positive",1,0)</x:f>
        <x:v>0</x:v>
      </x:c>
      <x:c r="K1643" s="12" t="n">
        <x:f>IF('患者配对'!W1840="positive",1,0)</x:f>
        <x:v>0</x:v>
      </x:c>
      <x:c r="L1643" s="12" t="str">
        <x:v>由原件与原状态取得；仅主队列索引</x:v>
      </x:c>
      <x:c r="M1643" s="12"/>
      <x:c r="N1643" s="12"/>
      <x:c r="O1643" s="12"/>
    </x:row>
    <x:row r="1644" ht="39" customHeight="1">
      <x:c r="A1644" s="12" t="str">
        <x:v>17547</x:v>
      </x:c>
      <x:c r="B1644" s="12" t="str">
        <x:v>6228</x:v>
      </x:c>
      <x:c r="C1644" s="12" t="str">
        <x:v>参考000</x:v>
      </x:c>
      <x:c r="D1644" s="12" t="str">
        <x:v>自动000</x:v>
      </x:c>
      <x:c r="E1644" s="12" t="n">
        <x:v>0</x:v>
      </x:c>
      <x:c r="F1644" s="12" t="n">
        <x:v>0</x:v>
      </x:c>
      <x:c r="G1644" s="12" t="n">
        <x:v>0</x:v>
      </x:c>
      <x:c r="H1644" s="12" t="n">
        <x:f>IF(SUM(I1644:K1644)&gt;0,1,0)</x:f>
        <x:v>0</x:v>
      </x:c>
      <x:c r="I1644" s="12" t="n">
        <x:f>IF('患者配对'!M1842="positive",1,0)</x:f>
        <x:v>0</x:v>
      </x:c>
      <x:c r="J1644" s="12" t="n">
        <x:f>IF('患者配对'!R1842="positive",1,0)</x:f>
        <x:v>0</x:v>
      </x:c>
      <x:c r="K1644" s="12" t="n">
        <x:f>IF('患者配对'!W1842="positive",1,0)</x:f>
        <x:v>0</x:v>
      </x:c>
      <x:c r="L1644" s="12" t="str">
        <x:v>由原件与原状态取得；仅主队列索引</x:v>
      </x:c>
      <x:c r="M1644" s="12"/>
      <x:c r="N1644" s="12"/>
      <x:c r="O1644" s="12"/>
    </x:row>
    <x:row r="1645" ht="39" customHeight="1">
      <x:c r="A1645" s="12" t="str">
        <x:v>17575</x:v>
      </x:c>
      <x:c r="B1645" s="12" t="str">
        <x:v>10617</x:v>
      </x:c>
      <x:c r="C1645" s="12" t="str">
        <x:v>参考000</x:v>
      </x:c>
      <x:c r="D1645" s="12" t="str">
        <x:v>自动000</x:v>
      </x:c>
      <x:c r="E1645" s="12" t="n">
        <x:v>0</x:v>
      </x:c>
      <x:c r="F1645" s="12" t="n">
        <x:v>1</x:v>
      </x:c>
      <x:c r="G1645" s="12" t="n">
        <x:v>0</x:v>
      </x:c>
      <x:c r="H1645" s="12" t="n">
        <x:f>IF(SUM(I1645:K1645)&gt;0,1,0)</x:f>
        <x:v>0</x:v>
      </x:c>
      <x:c r="I1645" s="12" t="n">
        <x:f>IF('患者配对'!M1843="positive",1,0)</x:f>
        <x:v>0</x:v>
      </x:c>
      <x:c r="J1645" s="12" t="n">
        <x:f>IF('患者配对'!R1843="positive",1,0)</x:f>
        <x:v>0</x:v>
      </x:c>
      <x:c r="K1645" s="12" t="n">
        <x:f>IF('患者配对'!W1843="positive",1,0)</x:f>
        <x:v>0</x:v>
      </x:c>
      <x:c r="L1645" s="12" t="str">
        <x:v>由原件与原状态取得；仅主队列索引</x:v>
      </x:c>
      <x:c r="M1645" s="12"/>
      <x:c r="N1645" s="12"/>
      <x:c r="O1645" s="12"/>
    </x:row>
    <x:row r="1646" ht="39" customHeight="1">
      <x:c r="A1646" s="12" t="str">
        <x:v>17577</x:v>
      </x:c>
      <x:c r="B1646" s="12" t="str">
        <x:v>15871</x:v>
      </x:c>
      <x:c r="C1646" s="12" t="str">
        <x:v>参考000</x:v>
      </x:c>
      <x:c r="D1646" s="12" t="str">
        <x:v>自动000</x:v>
      </x:c>
      <x:c r="E1646" s="12" t="n">
        <x:v>0</x:v>
      </x:c>
      <x:c r="F1646" s="12" t="n">
        <x:v>0</x:v>
      </x:c>
      <x:c r="G1646" s="12" t="n">
        <x:v>0</x:v>
      </x:c>
      <x:c r="H1646" s="12" t="n">
        <x:f>IF(SUM(I1646:K1646)&gt;0,1,0)</x:f>
        <x:v>0</x:v>
      </x:c>
      <x:c r="I1646" s="12" t="n">
        <x:f>IF('患者配对'!M1844="positive",1,0)</x:f>
        <x:v>0</x:v>
      </x:c>
      <x:c r="J1646" s="12" t="n">
        <x:f>IF('患者配对'!R1844="positive",1,0)</x:f>
        <x:v>0</x:v>
      </x:c>
      <x:c r="K1646" s="12" t="n">
        <x:f>IF('患者配对'!W1844="positive",1,0)</x:f>
        <x:v>0</x:v>
      </x:c>
      <x:c r="L1646" s="12" t="str">
        <x:v>由原件与原状态取得；仅主队列索引</x:v>
      </x:c>
      <x:c r="M1646" s="12"/>
      <x:c r="N1646" s="12"/>
      <x:c r="O1646" s="12"/>
    </x:row>
    <x:row r="1647" ht="39" customHeight="1">
      <x:c r="A1647" s="12" t="str">
        <x:v>17590</x:v>
      </x:c>
      <x:c r="B1647" s="12" t="str">
        <x:v>10342</x:v>
      </x:c>
      <x:c r="C1647" s="12" t="str">
        <x:v>参考000</x:v>
      </x:c>
      <x:c r="D1647" s="12" t="str">
        <x:v>自动000</x:v>
      </x:c>
      <x:c r="E1647" s="12" t="n">
        <x:v>0</x:v>
      </x:c>
      <x:c r="F1647" s="12" t="n">
        <x:v>1</x:v>
      </x:c>
      <x:c r="G1647" s="12" t="n">
        <x:v>0</x:v>
      </x:c>
      <x:c r="H1647" s="12" t="n">
        <x:f>IF(SUM(I1647:K1647)&gt;0,1,0)</x:f>
        <x:v>0</x:v>
      </x:c>
      <x:c r="I1647" s="12" t="n">
        <x:f>IF('患者配对'!M1845="positive",1,0)</x:f>
        <x:v>0</x:v>
      </x:c>
      <x:c r="J1647" s="12" t="n">
        <x:f>IF('患者配对'!R1845="positive",1,0)</x:f>
        <x:v>0</x:v>
      </x:c>
      <x:c r="K1647" s="12" t="n">
        <x:f>IF('患者配对'!W1845="positive",1,0)</x:f>
        <x:v>0</x:v>
      </x:c>
      <x:c r="L1647" s="12" t="str">
        <x:v>由原件与原状态取得；仅主队列索引</x:v>
      </x:c>
      <x:c r="M1647" s="12"/>
      <x:c r="N1647" s="12"/>
      <x:c r="O1647" s="12"/>
    </x:row>
    <x:row r="1648" ht="39" customHeight="1">
      <x:c r="A1648" s="12" t="str">
        <x:v>17592</x:v>
      </x:c>
      <x:c r="B1648" s="12" t="str">
        <x:v>17895</x:v>
      </x:c>
      <x:c r="C1648" s="12" t="str">
        <x:v>参考000</x:v>
      </x:c>
      <x:c r="D1648" s="12" t="str">
        <x:v>自动000</x:v>
      </x:c>
      <x:c r="E1648" s="12" t="n">
        <x:v>0</x:v>
      </x:c>
      <x:c r="F1648" s="12" t="n">
        <x:v>0</x:v>
      </x:c>
      <x:c r="G1648" s="12" t="n">
        <x:v>0</x:v>
      </x:c>
      <x:c r="H1648" s="12" t="n">
        <x:f>IF(SUM(I1648:K1648)&gt;0,1,0)</x:f>
        <x:v>0</x:v>
      </x:c>
      <x:c r="I1648" s="12" t="n">
        <x:f>IF('患者配对'!M1846="positive",1,0)</x:f>
        <x:v>0</x:v>
      </x:c>
      <x:c r="J1648" s="12" t="n">
        <x:f>IF('患者配对'!R1846="positive",1,0)</x:f>
        <x:v>0</x:v>
      </x:c>
      <x:c r="K1648" s="12" t="n">
        <x:f>IF('患者配对'!W1846="positive",1,0)</x:f>
        <x:v>0</x:v>
      </x:c>
      <x:c r="L1648" s="12" t="str">
        <x:v>由原件与原状态取得；仅主队列索引</x:v>
      </x:c>
      <x:c r="M1648" s="12"/>
      <x:c r="N1648" s="12"/>
      <x:c r="O1648" s="12"/>
    </x:row>
    <x:row r="1649" ht="39" customHeight="1">
      <x:c r="A1649" s="12" t="str">
        <x:v>17593</x:v>
      </x:c>
      <x:c r="B1649" s="12" t="str">
        <x:v>16394</x:v>
      </x:c>
      <x:c r="C1649" s="12" t="str">
        <x:v>参考000</x:v>
      </x:c>
      <x:c r="D1649" s="12" t="str">
        <x:v>自动000</x:v>
      </x:c>
      <x:c r="E1649" s="12" t="n">
        <x:v>0</x:v>
      </x:c>
      <x:c r="F1649" s="12" t="n">
        <x:v>0</x:v>
      </x:c>
      <x:c r="G1649" s="12" t="n">
        <x:v>0</x:v>
      </x:c>
      <x:c r="H1649" s="12" t="n">
        <x:f>IF(SUM(I1649:K1649)&gt;0,1,0)</x:f>
        <x:v>0</x:v>
      </x:c>
      <x:c r="I1649" s="12" t="n">
        <x:f>IF('患者配对'!M1847="positive",1,0)</x:f>
        <x:v>0</x:v>
      </x:c>
      <x:c r="J1649" s="12" t="n">
        <x:f>IF('患者配对'!R1847="positive",1,0)</x:f>
        <x:v>0</x:v>
      </x:c>
      <x:c r="K1649" s="12" t="n">
        <x:f>IF('患者配对'!W1847="positive",1,0)</x:f>
        <x:v>0</x:v>
      </x:c>
      <x:c r="L1649" s="12" t="str">
        <x:v>由原件与原状态取得；仅主队列索引</x:v>
      </x:c>
      <x:c r="M1649" s="12"/>
      <x:c r="N1649" s="12"/>
      <x:c r="O1649" s="12"/>
    </x:row>
    <x:row r="1650" ht="39" customHeight="1">
      <x:c r="A1650" s="12" t="str">
        <x:v>17608</x:v>
      </x:c>
      <x:c r="B1650" s="12" t="str">
        <x:v>14651</x:v>
      </x:c>
      <x:c r="C1650" s="12" t="str">
        <x:v>参考000</x:v>
      </x:c>
      <x:c r="D1650" s="12" t="str">
        <x:v>自动000</x:v>
      </x:c>
      <x:c r="E1650" s="12" t="n">
        <x:v>0</x:v>
      </x:c>
      <x:c r="F1650" s="12" t="n">
        <x:v>1</x:v>
      </x:c>
      <x:c r="G1650" s="12" t="n">
        <x:v>0</x:v>
      </x:c>
      <x:c r="H1650" s="12" t="n">
        <x:f>IF(SUM(I1650:K1650)&gt;0,1,0)</x:f>
        <x:v>0</x:v>
      </x:c>
      <x:c r="I1650" s="12" t="n">
        <x:f>IF('患者配对'!M1848="positive",1,0)</x:f>
        <x:v>0</x:v>
      </x:c>
      <x:c r="J1650" s="12" t="n">
        <x:f>IF('患者配对'!R1848="positive",1,0)</x:f>
        <x:v>0</x:v>
      </x:c>
      <x:c r="K1650" s="12" t="n">
        <x:f>IF('患者配对'!W1848="positive",1,0)</x:f>
        <x:v>0</x:v>
      </x:c>
      <x:c r="L1650" s="12" t="str">
        <x:v>由原件与原状态取得；仅主队列索引</x:v>
      </x:c>
      <x:c r="M1650" s="12"/>
      <x:c r="N1650" s="12"/>
      <x:c r="O1650" s="12"/>
    </x:row>
    <x:row r="1651" ht="39" customHeight="1">
      <x:c r="A1651" s="12" t="str">
        <x:v>17617</x:v>
      </x:c>
      <x:c r="B1651" s="12" t="str">
        <x:v>3703</x:v>
      </x:c>
      <x:c r="C1651" s="12" t="str">
        <x:v>参考000</x:v>
      </x:c>
      <x:c r="D1651" s="12" t="str">
        <x:v>自动000</x:v>
      </x:c>
      <x:c r="E1651" s="12" t="n">
        <x:v>0</x:v>
      </x:c>
      <x:c r="F1651" s="12" t="n">
        <x:v>0</x:v>
      </x:c>
      <x:c r="G1651" s="12" t="n">
        <x:v>0</x:v>
      </x:c>
      <x:c r="H1651" s="12" t="n">
        <x:f>IF(SUM(I1651:K1651)&gt;0,1,0)</x:f>
        <x:v>0</x:v>
      </x:c>
      <x:c r="I1651" s="12" t="n">
        <x:f>IF('患者配对'!M1849="positive",1,0)</x:f>
        <x:v>0</x:v>
      </x:c>
      <x:c r="J1651" s="12" t="n">
        <x:f>IF('患者配对'!R1849="positive",1,0)</x:f>
        <x:v>0</x:v>
      </x:c>
      <x:c r="K1651" s="12" t="n">
        <x:f>IF('患者配对'!W1849="positive",1,0)</x:f>
        <x:v>0</x:v>
      </x:c>
      <x:c r="L1651" s="12" t="str">
        <x:v>由原件与原状态取得；仅主队列索引</x:v>
      </x:c>
      <x:c r="M1651" s="12"/>
      <x:c r="N1651" s="12"/>
      <x:c r="O1651" s="12"/>
    </x:row>
    <x:row r="1652" ht="39" customHeight="1">
      <x:c r="A1652" s="12" t="str">
        <x:v>17621</x:v>
      </x:c>
      <x:c r="B1652" s="12" t="str">
        <x:v>10058</x:v>
      </x:c>
      <x:c r="C1652" s="12" t="str">
        <x:v>参考000</x:v>
      </x:c>
      <x:c r="D1652" s="12" t="str">
        <x:v>自动000</x:v>
      </x:c>
      <x:c r="E1652" s="12" t="n">
        <x:v>0</x:v>
      </x:c>
      <x:c r="F1652" s="12" t="n">
        <x:v>0</x:v>
      </x:c>
      <x:c r="G1652" s="12" t="n">
        <x:v>0</x:v>
      </x:c>
      <x:c r="H1652" s="12" t="n">
        <x:f>IF(SUM(I1652:K1652)&gt;0,1,0)</x:f>
        <x:v>0</x:v>
      </x:c>
      <x:c r="I1652" s="12" t="n">
        <x:f>IF('患者配对'!M1850="positive",1,0)</x:f>
        <x:v>0</x:v>
      </x:c>
      <x:c r="J1652" s="12" t="n">
        <x:f>IF('患者配对'!R1850="positive",1,0)</x:f>
        <x:v>0</x:v>
      </x:c>
      <x:c r="K1652" s="12" t="n">
        <x:f>IF('患者配对'!W1850="positive",1,0)</x:f>
        <x:v>0</x:v>
      </x:c>
      <x:c r="L1652" s="12" t="str">
        <x:v>由原件与原状态取得；仅主队列索引</x:v>
      </x:c>
      <x:c r="M1652" s="12"/>
      <x:c r="N1652" s="12"/>
      <x:c r="O1652" s="12"/>
    </x:row>
    <x:row r="1653" ht="39" customHeight="1">
      <x:c r="A1653" s="12" t="str">
        <x:v>17638</x:v>
      </x:c>
      <x:c r="B1653" s="12" t="str">
        <x:v>1164</x:v>
      </x:c>
      <x:c r="C1653" s="12" t="str">
        <x:v>参考000</x:v>
      </x:c>
      <x:c r="D1653" s="12" t="str">
        <x:v>自动000</x:v>
      </x:c>
      <x:c r="E1653" s="12" t="n">
        <x:v>0</x:v>
      </x:c>
      <x:c r="F1653" s="12" t="n">
        <x:v>1</x:v>
      </x:c>
      <x:c r="G1653" s="12" t="n">
        <x:v>0</x:v>
      </x:c>
      <x:c r="H1653" s="12" t="n">
        <x:f>IF(SUM(I1653:K1653)&gt;0,1,0)</x:f>
        <x:v>0</x:v>
      </x:c>
      <x:c r="I1653" s="12" t="n">
        <x:f>IF('患者配对'!M1852="positive",1,0)</x:f>
        <x:v>0</x:v>
      </x:c>
      <x:c r="J1653" s="12" t="n">
        <x:f>IF('患者配对'!R1852="positive",1,0)</x:f>
        <x:v>0</x:v>
      </x:c>
      <x:c r="K1653" s="12" t="n">
        <x:f>IF('患者配对'!W1852="positive",1,0)</x:f>
        <x:v>0</x:v>
      </x:c>
      <x:c r="L1653" s="12" t="str">
        <x:v>由原件与原状态取得；仅主队列索引</x:v>
      </x:c>
      <x:c r="M1653" s="12"/>
      <x:c r="N1653" s="12"/>
      <x:c r="O1653" s="12"/>
    </x:row>
    <x:row r="1654" ht="39" customHeight="1">
      <x:c r="A1654" s="12" t="str">
        <x:v>17641</x:v>
      </x:c>
      <x:c r="B1654" s="12" t="str">
        <x:v>17431</x:v>
      </x:c>
      <x:c r="C1654" s="12" t="str">
        <x:v>参考000</x:v>
      </x:c>
      <x:c r="D1654" s="12" t="str">
        <x:v>自动000</x:v>
      </x:c>
      <x:c r="E1654" s="12" t="n">
        <x:v>0</x:v>
      </x:c>
      <x:c r="F1654" s="12" t="n">
        <x:v>0</x:v>
      </x:c>
      <x:c r="G1654" s="12" t="n">
        <x:v>0</x:v>
      </x:c>
      <x:c r="H1654" s="12" t="n">
        <x:f>IF(SUM(I1654:K1654)&gt;0,1,0)</x:f>
        <x:v>0</x:v>
      </x:c>
      <x:c r="I1654" s="12" t="n">
        <x:f>IF('患者配对'!M1853="positive",1,0)</x:f>
        <x:v>0</x:v>
      </x:c>
      <x:c r="J1654" s="12" t="n">
        <x:f>IF('患者配对'!R1853="positive",1,0)</x:f>
        <x:v>0</x:v>
      </x:c>
      <x:c r="K1654" s="12" t="n">
        <x:f>IF('患者配对'!W1853="positive",1,0)</x:f>
        <x:v>0</x:v>
      </x:c>
      <x:c r="L1654" s="12" t="str">
        <x:v>由原件与原状态取得；仅主队列索引</x:v>
      </x:c>
      <x:c r="M1654" s="12"/>
      <x:c r="N1654" s="12"/>
      <x:c r="O1654" s="12"/>
    </x:row>
    <x:row r="1655" ht="39" customHeight="1">
      <x:c r="A1655" s="12" t="str">
        <x:v>17648</x:v>
      </x:c>
      <x:c r="B1655" s="12" t="str">
        <x:v>7507</x:v>
      </x:c>
      <x:c r="C1655" s="12" t="str">
        <x:v>参考000</x:v>
      </x:c>
      <x:c r="D1655" s="12" t="str">
        <x:v>自动000</x:v>
      </x:c>
      <x:c r="E1655" s="12" t="n">
        <x:v>0</x:v>
      </x:c>
      <x:c r="F1655" s="12" t="n">
        <x:v>0</x:v>
      </x:c>
      <x:c r="G1655" s="12" t="n">
        <x:v>0</x:v>
      </x:c>
      <x:c r="H1655" s="12" t="n">
        <x:f>IF(SUM(I1655:K1655)&gt;0,1,0)</x:f>
        <x:v>0</x:v>
      </x:c>
      <x:c r="I1655" s="12" t="n">
        <x:f>IF('患者配对'!M1854="positive",1,0)</x:f>
        <x:v>0</x:v>
      </x:c>
      <x:c r="J1655" s="12" t="n">
        <x:f>IF('患者配对'!R1854="positive",1,0)</x:f>
        <x:v>0</x:v>
      </x:c>
      <x:c r="K1655" s="12" t="n">
        <x:f>IF('患者配对'!W1854="positive",1,0)</x:f>
        <x:v>0</x:v>
      </x:c>
      <x:c r="L1655" s="12" t="str">
        <x:v>由原件与原状态取得；仅主队列索引</x:v>
      </x:c>
      <x:c r="M1655" s="12"/>
      <x:c r="N1655" s="12"/>
      <x:c r="O1655" s="12"/>
    </x:row>
    <x:row r="1656" ht="39" customHeight="1">
      <x:c r="A1656" s="12" t="str">
        <x:v>17655</x:v>
      </x:c>
      <x:c r="B1656" s="12" t="str">
        <x:v>4503</x:v>
      </x:c>
      <x:c r="C1656" s="12" t="str">
        <x:v>参考000</x:v>
      </x:c>
      <x:c r="D1656" s="12" t="str">
        <x:v>自动000</x:v>
      </x:c>
      <x:c r="E1656" s="12" t="n">
        <x:v>0</x:v>
      </x:c>
      <x:c r="F1656" s="12" t="n">
        <x:v>0</x:v>
      </x:c>
      <x:c r="G1656" s="12" t="n">
        <x:v>0</x:v>
      </x:c>
      <x:c r="H1656" s="12" t="n">
        <x:f>IF(SUM(I1656:K1656)&gt;0,1,0)</x:f>
        <x:v>0</x:v>
      </x:c>
      <x:c r="I1656" s="12" t="n">
        <x:f>IF('患者配对'!M1855="positive",1,0)</x:f>
        <x:v>0</x:v>
      </x:c>
      <x:c r="J1656" s="12" t="n">
        <x:f>IF('患者配对'!R1855="positive",1,0)</x:f>
        <x:v>0</x:v>
      </x:c>
      <x:c r="K1656" s="12" t="n">
        <x:f>IF('患者配对'!W1855="positive",1,0)</x:f>
        <x:v>0</x:v>
      </x:c>
      <x:c r="L1656" s="12" t="str">
        <x:v>由原件与原状态取得；仅主队列索引</x:v>
      </x:c>
      <x:c r="M1656" s="12"/>
      <x:c r="N1656" s="12"/>
      <x:c r="O1656" s="12"/>
    </x:row>
    <x:row r="1657" ht="39" customHeight="1">
      <x:c r="A1657" s="12" t="str">
        <x:v>17658</x:v>
      </x:c>
      <x:c r="B1657" s="12" t="str">
        <x:v>6065</x:v>
      </x:c>
      <x:c r="C1657" s="12" t="str">
        <x:v>参考100</x:v>
      </x:c>
      <x:c r="D1657" s="12" t="str">
        <x:v>自动100</x:v>
      </x:c>
      <x:c r="E1657" s="12" t="n">
        <x:v>1</x:v>
      </x:c>
      <x:c r="F1657" s="12" t="n">
        <x:v>1</x:v>
      </x:c>
      <x:c r="G1657" s="12" t="n">
        <x:v>0</x:v>
      </x:c>
      <x:c r="H1657" s="12" t="n">
        <x:f>IF(SUM(I1657:K1657)&gt;0,1,0)</x:f>
        <x:v>1</x:v>
      </x:c>
      <x:c r="I1657" s="12" t="n">
        <x:f>IF('患者配对'!M1856="positive",1,0)</x:f>
        <x:v>1</x:v>
      </x:c>
      <x:c r="J1657" s="12" t="n">
        <x:f>IF('患者配对'!R1856="positive",1,0)</x:f>
        <x:v>0</x:v>
      </x:c>
      <x:c r="K1657" s="12" t="n">
        <x:f>IF('患者配对'!W1856="positive",1,0)</x:f>
        <x:v>0</x:v>
      </x:c>
      <x:c r="L1657" s="12" t="str">
        <x:v>由原件与原状态取得；仅主队列索引</x:v>
      </x:c>
      <x:c r="M1657" s="12"/>
      <x:c r="N1657" s="12"/>
      <x:c r="O1657" s="12"/>
    </x:row>
    <x:row r="1658" ht="39" customHeight="1">
      <x:c r="A1658" s="12" t="str">
        <x:v>17661</x:v>
      </x:c>
      <x:c r="B1658" s="12" t="str">
        <x:v>3730</x:v>
      </x:c>
      <x:c r="C1658" s="12" t="str">
        <x:v>参考000</x:v>
      </x:c>
      <x:c r="D1658" s="12" t="str">
        <x:v>自动000</x:v>
      </x:c>
      <x:c r="E1658" s="12" t="n">
        <x:v>0</x:v>
      </x:c>
      <x:c r="F1658" s="12" t="n">
        <x:v>0</x:v>
      </x:c>
      <x:c r="G1658" s="12" t="n">
        <x:v>0</x:v>
      </x:c>
      <x:c r="H1658" s="12" t="n">
        <x:f>IF(SUM(I1658:K1658)&gt;0,1,0)</x:f>
        <x:v>0</x:v>
      </x:c>
      <x:c r="I1658" s="12" t="n">
        <x:f>IF('患者配对'!M1857="positive",1,0)</x:f>
        <x:v>0</x:v>
      </x:c>
      <x:c r="J1658" s="12" t="n">
        <x:f>IF('患者配对'!R1857="positive",1,0)</x:f>
        <x:v>0</x:v>
      </x:c>
      <x:c r="K1658" s="12" t="n">
        <x:f>IF('患者配对'!W1857="positive",1,0)</x:f>
        <x:v>0</x:v>
      </x:c>
      <x:c r="L1658" s="12" t="str">
        <x:v>由原件与原状态取得；仅主队列索引</x:v>
      </x:c>
      <x:c r="M1658" s="12"/>
      <x:c r="N1658" s="12"/>
      <x:c r="O1658" s="12"/>
    </x:row>
    <x:row r="1659" ht="39" customHeight="1">
      <x:c r="A1659" s="12" t="str">
        <x:v>17676</x:v>
      </x:c>
      <x:c r="B1659" s="12" t="str">
        <x:v>11784</x:v>
      </x:c>
      <x:c r="C1659" s="12" t="str">
        <x:v>参考000</x:v>
      </x:c>
      <x:c r="D1659" s="12" t="str">
        <x:v>自动000</x:v>
      </x:c>
      <x:c r="E1659" s="12" t="n">
        <x:v>0</x:v>
      </x:c>
      <x:c r="F1659" s="12" t="n">
        <x:v>1</x:v>
      </x:c>
      <x:c r="G1659" s="12" t="n">
        <x:v>0</x:v>
      </x:c>
      <x:c r="H1659" s="12" t="n">
        <x:f>IF(SUM(I1659:K1659)&gt;0,1,0)</x:f>
        <x:v>0</x:v>
      </x:c>
      <x:c r="I1659" s="12" t="n">
        <x:f>IF('患者配对'!M1858="positive",1,0)</x:f>
        <x:v>0</x:v>
      </x:c>
      <x:c r="J1659" s="12" t="n">
        <x:f>IF('患者配对'!R1858="positive",1,0)</x:f>
        <x:v>0</x:v>
      </x:c>
      <x:c r="K1659" s="12" t="n">
        <x:f>IF('患者配对'!W1858="positive",1,0)</x:f>
        <x:v>0</x:v>
      </x:c>
      <x:c r="L1659" s="12" t="str">
        <x:v>由原件与原状态取得；仅主队列索引</x:v>
      </x:c>
      <x:c r="M1659" s="12"/>
      <x:c r="N1659" s="12"/>
      <x:c r="O1659" s="12"/>
    </x:row>
    <x:row r="1660" ht="39" customHeight="1">
      <x:c r="A1660" s="12" t="str">
        <x:v>17689</x:v>
      </x:c>
      <x:c r="B1660" s="12" t="str">
        <x:v>19523</x:v>
      </x:c>
      <x:c r="C1660" s="12" t="str">
        <x:v>参考000</x:v>
      </x:c>
      <x:c r="D1660" s="12" t="str">
        <x:v>自动000</x:v>
      </x:c>
      <x:c r="E1660" s="12" t="n">
        <x:v>0</x:v>
      </x:c>
      <x:c r="F1660" s="12" t="n">
        <x:v>1</x:v>
      </x:c>
      <x:c r="G1660" s="12" t="n">
        <x:v>0</x:v>
      </x:c>
      <x:c r="H1660" s="12" t="n">
        <x:f>IF(SUM(I1660:K1660)&gt;0,1,0)</x:f>
        <x:v>0</x:v>
      </x:c>
      <x:c r="I1660" s="12" t="n">
        <x:f>IF('患者配对'!M1859="positive",1,0)</x:f>
        <x:v>0</x:v>
      </x:c>
      <x:c r="J1660" s="12" t="n">
        <x:f>IF('患者配对'!R1859="positive",1,0)</x:f>
        <x:v>0</x:v>
      </x:c>
      <x:c r="K1660" s="12" t="n">
        <x:f>IF('患者配对'!W1859="positive",1,0)</x:f>
        <x:v>0</x:v>
      </x:c>
      <x:c r="L1660" s="12" t="str">
        <x:v>由原件与原状态取得；仅主队列索引</x:v>
      </x:c>
      <x:c r="M1660" s="12"/>
      <x:c r="N1660" s="12"/>
      <x:c r="O1660" s="12"/>
    </x:row>
    <x:row r="1661" ht="39" customHeight="1">
      <x:c r="A1661" s="12" t="str">
        <x:v>17690</x:v>
      </x:c>
      <x:c r="B1661" s="12" t="str">
        <x:v>12182</x:v>
      </x:c>
      <x:c r="C1661" s="12" t="str">
        <x:v>参考010</x:v>
      </x:c>
      <x:c r="D1661" s="12" t="str">
        <x:v>自动010</x:v>
      </x:c>
      <x:c r="E1661" s="12" t="n">
        <x:v>1</x:v>
      </x:c>
      <x:c r="F1661" s="12" t="n">
        <x:v>1</x:v>
      </x:c>
      <x:c r="G1661" s="12" t="n">
        <x:v>0</x:v>
      </x:c>
      <x:c r="H1661" s="12" t="n">
        <x:f>IF(SUM(I1661:K1661)&gt;0,1,0)</x:f>
        <x:v>1</x:v>
      </x:c>
      <x:c r="I1661" s="12" t="n">
        <x:f>IF('患者配对'!M1860="positive",1,0)</x:f>
        <x:v>0</x:v>
      </x:c>
      <x:c r="J1661" s="12" t="n">
        <x:f>IF('患者配对'!R1860="positive",1,0)</x:f>
        <x:v>1</x:v>
      </x:c>
      <x:c r="K1661" s="12" t="n">
        <x:f>IF('患者配对'!W1860="positive",1,0)</x:f>
        <x:v>0</x:v>
      </x:c>
      <x:c r="L1661" s="12" t="str">
        <x:v>由原件与原状态取得；仅主队列索引</x:v>
      </x:c>
      <x:c r="M1661" s="12"/>
      <x:c r="N1661" s="12"/>
      <x:c r="O1661" s="12"/>
    </x:row>
    <x:row r="1662" ht="39" customHeight="1">
      <x:c r="A1662" s="12" t="str">
        <x:v>17700</x:v>
      </x:c>
      <x:c r="B1662" s="12" t="str">
        <x:v>19059</x:v>
      </x:c>
      <x:c r="C1662" s="12" t="str">
        <x:v>参考000</x:v>
      </x:c>
      <x:c r="D1662" s="12" t="str">
        <x:v>自动000</x:v>
      </x:c>
      <x:c r="E1662" s="12" t="n">
        <x:v>0</x:v>
      </x:c>
      <x:c r="F1662" s="12" t="n">
        <x:v>0</x:v>
      </x:c>
      <x:c r="G1662" s="12" t="n">
        <x:v>0</x:v>
      </x:c>
      <x:c r="H1662" s="12" t="n">
        <x:f>IF(SUM(I1662:K1662)&gt;0,1,0)</x:f>
        <x:v>0</x:v>
      </x:c>
      <x:c r="I1662" s="12" t="n">
        <x:f>IF('患者配对'!M1861="positive",1,0)</x:f>
        <x:v>0</x:v>
      </x:c>
      <x:c r="J1662" s="12" t="n">
        <x:f>IF('患者配对'!R1861="positive",1,0)</x:f>
        <x:v>0</x:v>
      </x:c>
      <x:c r="K1662" s="12" t="n">
        <x:f>IF('患者配对'!W1861="positive",1,0)</x:f>
        <x:v>0</x:v>
      </x:c>
      <x:c r="L1662" s="12" t="str">
        <x:v>由原件与原状态取得；仅主队列索引</x:v>
      </x:c>
      <x:c r="M1662" s="12"/>
      <x:c r="N1662" s="12"/>
      <x:c r="O1662" s="12"/>
    </x:row>
    <x:row r="1663" ht="39" customHeight="1">
      <x:c r="A1663" s="12" t="str">
        <x:v>17701</x:v>
      </x:c>
      <x:c r="B1663" s="12" t="str">
        <x:v>10947</x:v>
      </x:c>
      <x:c r="C1663" s="12" t="str">
        <x:v>参考000</x:v>
      </x:c>
      <x:c r="D1663" s="12" t="str">
        <x:v>自动000</x:v>
      </x:c>
      <x:c r="E1663" s="12" t="n">
        <x:v>0</x:v>
      </x:c>
      <x:c r="F1663" s="12" t="n">
        <x:v>0</x:v>
      </x:c>
      <x:c r="G1663" s="12" t="n">
        <x:v>0</x:v>
      </x:c>
      <x:c r="H1663" s="12" t="n">
        <x:f>IF(SUM(I1663:K1663)&gt;0,1,0)</x:f>
        <x:v>0</x:v>
      </x:c>
      <x:c r="I1663" s="12" t="n">
        <x:f>IF('患者配对'!M1862="positive",1,0)</x:f>
        <x:v>0</x:v>
      </x:c>
      <x:c r="J1663" s="12" t="n">
        <x:f>IF('患者配对'!R1862="positive",1,0)</x:f>
        <x:v>0</x:v>
      </x:c>
      <x:c r="K1663" s="12" t="n">
        <x:f>IF('患者配对'!W1862="positive",1,0)</x:f>
        <x:v>0</x:v>
      </x:c>
      <x:c r="L1663" s="12" t="str">
        <x:v>由原件与原状态取得；仅主队列索引</x:v>
      </x:c>
      <x:c r="M1663" s="12"/>
      <x:c r="N1663" s="12"/>
      <x:c r="O1663" s="12"/>
    </x:row>
    <x:row r="1664" ht="39" customHeight="1">
      <x:c r="A1664" s="12" t="str">
        <x:v>17711</x:v>
      </x:c>
      <x:c r="B1664" s="12" t="str">
        <x:v>14072</x:v>
      </x:c>
      <x:c r="C1664" s="12" t="str">
        <x:v>参考000</x:v>
      </x:c>
      <x:c r="D1664" s="12" t="str">
        <x:v>自动000</x:v>
      </x:c>
      <x:c r="E1664" s="12" t="n">
        <x:v>0</x:v>
      </x:c>
      <x:c r="F1664" s="12" t="n">
        <x:v>0</x:v>
      </x:c>
      <x:c r="G1664" s="12" t="n">
        <x:v>0</x:v>
      </x:c>
      <x:c r="H1664" s="12" t="n">
        <x:f>IF(SUM(I1664:K1664)&gt;0,1,0)</x:f>
        <x:v>0</x:v>
      </x:c>
      <x:c r="I1664" s="12" t="n">
        <x:f>IF('患者配对'!M1863="positive",1,0)</x:f>
        <x:v>0</x:v>
      </x:c>
      <x:c r="J1664" s="12" t="n">
        <x:f>IF('患者配对'!R1863="positive",1,0)</x:f>
        <x:v>0</x:v>
      </x:c>
      <x:c r="K1664" s="12" t="n">
        <x:f>IF('患者配对'!W1863="positive",1,0)</x:f>
        <x:v>0</x:v>
      </x:c>
      <x:c r="L1664" s="12" t="str">
        <x:v>由原件与原状态取得；仅主队列索引</x:v>
      </x:c>
      <x:c r="M1664" s="12"/>
      <x:c r="N1664" s="12"/>
      <x:c r="O1664" s="12"/>
    </x:row>
    <x:row r="1665" ht="39" customHeight="1">
      <x:c r="A1665" s="12" t="str">
        <x:v>17719</x:v>
      </x:c>
      <x:c r="B1665" s="12" t="str">
        <x:v>2349</x:v>
      </x:c>
      <x:c r="C1665" s="12" t="str">
        <x:v>参考010</x:v>
      </x:c>
      <x:c r="D1665" s="12" t="str">
        <x:v>自动010</x:v>
      </x:c>
      <x:c r="E1665" s="12" t="n">
        <x:v>1</x:v>
      </x:c>
      <x:c r="F1665" s="12" t="n">
        <x:v>1</x:v>
      </x:c>
      <x:c r="G1665" s="12" t="n">
        <x:v>0</x:v>
      </x:c>
      <x:c r="H1665" s="12" t="n">
        <x:f>IF(SUM(I1665:K1665)&gt;0,1,0)</x:f>
        <x:v>1</x:v>
      </x:c>
      <x:c r="I1665" s="12" t="n">
        <x:f>IF('患者配对'!M1864="positive",1,0)</x:f>
        <x:v>0</x:v>
      </x:c>
      <x:c r="J1665" s="12" t="n">
        <x:f>IF('患者配对'!R1864="positive",1,0)</x:f>
        <x:v>1</x:v>
      </x:c>
      <x:c r="K1665" s="12" t="n">
        <x:f>IF('患者配对'!W1864="positive",1,0)</x:f>
        <x:v>0</x:v>
      </x:c>
      <x:c r="L1665" s="12" t="str">
        <x:v>由原件与原状态取得；仅主队列索引</x:v>
      </x:c>
      <x:c r="M1665" s="12"/>
      <x:c r="N1665" s="12"/>
      <x:c r="O1665" s="12"/>
    </x:row>
    <x:row r="1666" ht="39" customHeight="1">
      <x:c r="A1666" s="12" t="str">
        <x:v>17731</x:v>
      </x:c>
      <x:c r="B1666" s="12" t="str">
        <x:v>1892</x:v>
      </x:c>
      <x:c r="C1666" s="12" t="str">
        <x:v>参考000</x:v>
      </x:c>
      <x:c r="D1666" s="12" t="str">
        <x:v>自动000</x:v>
      </x:c>
      <x:c r="E1666" s="12" t="n">
        <x:v>0</x:v>
      </x:c>
      <x:c r="F1666" s="12" t="n">
        <x:v>0</x:v>
      </x:c>
      <x:c r="G1666" s="12" t="n">
        <x:v>0</x:v>
      </x:c>
      <x:c r="H1666" s="12" t="n">
        <x:f>IF(SUM(I1666:K1666)&gt;0,1,0)</x:f>
        <x:v>0</x:v>
      </x:c>
      <x:c r="I1666" s="12" t="n">
        <x:f>IF('患者配对'!M1865="positive",1,0)</x:f>
        <x:v>0</x:v>
      </x:c>
      <x:c r="J1666" s="12" t="n">
        <x:f>IF('患者配对'!R1865="positive",1,0)</x:f>
        <x:v>0</x:v>
      </x:c>
      <x:c r="K1666" s="12" t="n">
        <x:f>IF('患者配对'!W1865="positive",1,0)</x:f>
        <x:v>0</x:v>
      </x:c>
      <x:c r="L1666" s="12" t="str">
        <x:v>由原件与原状态取得；仅主队列索引</x:v>
      </x:c>
      <x:c r="M1666" s="12"/>
      <x:c r="N1666" s="12"/>
      <x:c r="O1666" s="12"/>
    </x:row>
    <x:row r="1667" ht="39" customHeight="1">
      <x:c r="A1667" s="12" t="str">
        <x:v>17737</x:v>
      </x:c>
      <x:c r="B1667" s="12" t="str">
        <x:v>14405</x:v>
      </x:c>
      <x:c r="C1667" s="12" t="str">
        <x:v>参考000</x:v>
      </x:c>
      <x:c r="D1667" s="12" t="str">
        <x:v>自动000</x:v>
      </x:c>
      <x:c r="E1667" s="12" t="n">
        <x:v>0</x:v>
      </x:c>
      <x:c r="F1667" s="12" t="n">
        <x:v>1</x:v>
      </x:c>
      <x:c r="G1667" s="12" t="n">
        <x:v>0</x:v>
      </x:c>
      <x:c r="H1667" s="12" t="n">
        <x:f>IF(SUM(I1667:K1667)&gt;0,1,0)</x:f>
        <x:v>0</x:v>
      </x:c>
      <x:c r="I1667" s="12" t="n">
        <x:f>IF('患者配对'!M1866="positive",1,0)</x:f>
        <x:v>0</x:v>
      </x:c>
      <x:c r="J1667" s="12" t="n">
        <x:f>IF('患者配对'!R1866="positive",1,0)</x:f>
        <x:v>0</x:v>
      </x:c>
      <x:c r="K1667" s="12" t="n">
        <x:f>IF('患者配对'!W1866="positive",1,0)</x:f>
        <x:v>0</x:v>
      </x:c>
      <x:c r="L1667" s="12" t="str">
        <x:v>由原件与原状态取得；仅主队列索引</x:v>
      </x:c>
      <x:c r="M1667" s="12"/>
      <x:c r="N1667" s="12"/>
      <x:c r="O1667" s="12"/>
    </x:row>
    <x:row r="1668" ht="39" customHeight="1">
      <x:c r="A1668" s="12" t="str">
        <x:v>17739</x:v>
      </x:c>
      <x:c r="B1668" s="12" t="str">
        <x:v>6670</x:v>
      </x:c>
      <x:c r="C1668" s="12" t="str">
        <x:v>参考000</x:v>
      </x:c>
      <x:c r="D1668" s="12" t="str">
        <x:v>自动000</x:v>
      </x:c>
      <x:c r="E1668" s="12" t="n">
        <x:v>0</x:v>
      </x:c>
      <x:c r="F1668" s="12" t="n">
        <x:v>0</x:v>
      </x:c>
      <x:c r="G1668" s="12" t="n">
        <x:v>0</x:v>
      </x:c>
      <x:c r="H1668" s="12" t="n">
        <x:f>IF(SUM(I1668:K1668)&gt;0,1,0)</x:f>
        <x:v>0</x:v>
      </x:c>
      <x:c r="I1668" s="12" t="n">
        <x:f>IF('患者配对'!M1867="positive",1,0)</x:f>
        <x:v>0</x:v>
      </x:c>
      <x:c r="J1668" s="12" t="n">
        <x:f>IF('患者配对'!R1867="positive",1,0)</x:f>
        <x:v>0</x:v>
      </x:c>
      <x:c r="K1668" s="12" t="n">
        <x:f>IF('患者配对'!W1867="positive",1,0)</x:f>
        <x:v>0</x:v>
      </x:c>
      <x:c r="L1668" s="12" t="str">
        <x:v>由原件与原状态取得；仅主队列索引</x:v>
      </x:c>
      <x:c r="M1668" s="12"/>
      <x:c r="N1668" s="12"/>
      <x:c r="O1668" s="12"/>
    </x:row>
    <x:row r="1669" ht="39" customHeight="1">
      <x:c r="A1669" s="12" t="str">
        <x:v>17744</x:v>
      </x:c>
      <x:c r="B1669" s="12" t="str">
        <x:v>1471</x:v>
      </x:c>
      <x:c r="C1669" s="12" t="str">
        <x:v>参考000</x:v>
      </x:c>
      <x:c r="D1669" s="12" t="str">
        <x:v>自动000</x:v>
      </x:c>
      <x:c r="E1669" s="12" t="n">
        <x:v>0</x:v>
      </x:c>
      <x:c r="F1669" s="12" t="n">
        <x:v>0</x:v>
      </x:c>
      <x:c r="G1669" s="12" t="n">
        <x:v>0</x:v>
      </x:c>
      <x:c r="H1669" s="12" t="n">
        <x:f>IF(SUM(I1669:K1669)&gt;0,1,0)</x:f>
        <x:v>0</x:v>
      </x:c>
      <x:c r="I1669" s="12" t="n">
        <x:f>IF('患者配对'!M1868="positive",1,0)</x:f>
        <x:v>0</x:v>
      </x:c>
      <x:c r="J1669" s="12" t="n">
        <x:f>IF('患者配对'!R1868="positive",1,0)</x:f>
        <x:v>0</x:v>
      </x:c>
      <x:c r="K1669" s="12" t="n">
        <x:f>IF('患者配对'!W1868="positive",1,0)</x:f>
        <x:v>0</x:v>
      </x:c>
      <x:c r="L1669" s="12" t="str">
        <x:v>由原件与原状态取得；仅主队列索引</x:v>
      </x:c>
      <x:c r="M1669" s="12"/>
      <x:c r="N1669" s="12"/>
      <x:c r="O1669" s="12"/>
    </x:row>
    <x:row r="1670" ht="39" customHeight="1">
      <x:c r="A1670" s="12" t="str">
        <x:v>17748</x:v>
      </x:c>
      <x:c r="B1670" s="12" t="str">
        <x:v>712</x:v>
      </x:c>
      <x:c r="C1670" s="12" t="str">
        <x:v>参考000</x:v>
      </x:c>
      <x:c r="D1670" s="12" t="str">
        <x:v>自动000</x:v>
      </x:c>
      <x:c r="E1670" s="12" t="n">
        <x:v>0</x:v>
      </x:c>
      <x:c r="F1670" s="12" t="n">
        <x:v>0</x:v>
      </x:c>
      <x:c r="G1670" s="12" t="n">
        <x:v>0</x:v>
      </x:c>
      <x:c r="H1670" s="12" t="n">
        <x:f>IF(SUM(I1670:K1670)&gt;0,1,0)</x:f>
        <x:v>0</x:v>
      </x:c>
      <x:c r="I1670" s="12" t="n">
        <x:f>IF('患者配对'!M1869="positive",1,0)</x:f>
        <x:v>0</x:v>
      </x:c>
      <x:c r="J1670" s="12" t="n">
        <x:f>IF('患者配对'!R1869="positive",1,0)</x:f>
        <x:v>0</x:v>
      </x:c>
      <x:c r="K1670" s="12" t="n">
        <x:f>IF('患者配对'!W1869="positive",1,0)</x:f>
        <x:v>0</x:v>
      </x:c>
      <x:c r="L1670" s="12" t="str">
        <x:v>由原件与原状态取得；仅主队列索引</x:v>
      </x:c>
      <x:c r="M1670" s="12"/>
      <x:c r="N1670" s="12"/>
      <x:c r="O1670" s="12"/>
    </x:row>
    <x:row r="1671" ht="39" customHeight="1">
      <x:c r="A1671" s="12" t="str">
        <x:v>17780</x:v>
      </x:c>
      <x:c r="B1671" s="12" t="str">
        <x:v>923</x:v>
      </x:c>
      <x:c r="C1671" s="12" t="str">
        <x:v>参考000</x:v>
      </x:c>
      <x:c r="D1671" s="12" t="str">
        <x:v>自动000</x:v>
      </x:c>
      <x:c r="E1671" s="12" t="n">
        <x:v>0</x:v>
      </x:c>
      <x:c r="F1671" s="12" t="n">
        <x:v>0</x:v>
      </x:c>
      <x:c r="G1671" s="12" t="n">
        <x:v>0</x:v>
      </x:c>
      <x:c r="H1671" s="12" t="n">
        <x:f>IF(SUM(I1671:K1671)&gt;0,1,0)</x:f>
        <x:v>0</x:v>
      </x:c>
      <x:c r="I1671" s="12" t="n">
        <x:f>IF('患者配对'!M1871="positive",1,0)</x:f>
        <x:v>0</x:v>
      </x:c>
      <x:c r="J1671" s="12" t="n">
        <x:f>IF('患者配对'!R1871="positive",1,0)</x:f>
        <x:v>0</x:v>
      </x:c>
      <x:c r="K1671" s="12" t="n">
        <x:f>IF('患者配对'!W1871="positive",1,0)</x:f>
        <x:v>0</x:v>
      </x:c>
      <x:c r="L1671" s="12" t="str">
        <x:v>由原件与原状态取得；仅主队列索引</x:v>
      </x:c>
      <x:c r="M1671" s="12"/>
      <x:c r="N1671" s="12"/>
      <x:c r="O1671" s="12"/>
    </x:row>
    <x:row r="1672" ht="39" customHeight="1">
      <x:c r="A1672" s="12" t="str">
        <x:v>17805</x:v>
      </x:c>
      <x:c r="B1672" s="12" t="str">
        <x:v>4183</x:v>
      </x:c>
      <x:c r="C1672" s="12" t="str">
        <x:v>参考000</x:v>
      </x:c>
      <x:c r="D1672" s="12" t="str">
        <x:v>自动000</x:v>
      </x:c>
      <x:c r="E1672" s="12" t="n">
        <x:v>0</x:v>
      </x:c>
      <x:c r="F1672" s="12" t="n">
        <x:v>1</x:v>
      </x:c>
      <x:c r="G1672" s="12" t="n">
        <x:v>0</x:v>
      </x:c>
      <x:c r="H1672" s="12" t="n">
        <x:f>IF(SUM(I1672:K1672)&gt;0,1,0)</x:f>
        <x:v>0</x:v>
      </x:c>
      <x:c r="I1672" s="12" t="n">
        <x:f>IF('患者配对'!M1872="positive",1,0)</x:f>
        <x:v>0</x:v>
      </x:c>
      <x:c r="J1672" s="12" t="n">
        <x:f>IF('患者配对'!R1872="positive",1,0)</x:f>
        <x:v>0</x:v>
      </x:c>
      <x:c r="K1672" s="12" t="n">
        <x:f>IF('患者配对'!W1872="positive",1,0)</x:f>
        <x:v>0</x:v>
      </x:c>
      <x:c r="L1672" s="12" t="str">
        <x:v>由原件与原状态取得；仅主队列索引</x:v>
      </x:c>
      <x:c r="M1672" s="12"/>
      <x:c r="N1672" s="12"/>
      <x:c r="O1672" s="12"/>
    </x:row>
    <x:row r="1673" ht="39" customHeight="1">
      <x:c r="A1673" s="12" t="str">
        <x:v>17808</x:v>
      </x:c>
      <x:c r="B1673" s="12" t="str">
        <x:v>3690</x:v>
      </x:c>
      <x:c r="C1673" s="12" t="str">
        <x:v>参考000</x:v>
      </x:c>
      <x:c r="D1673" s="12" t="str">
        <x:v>自动000</x:v>
      </x:c>
      <x:c r="E1673" s="12" t="n">
        <x:v>0</x:v>
      </x:c>
      <x:c r="F1673" s="12" t="n">
        <x:v>0</x:v>
      </x:c>
      <x:c r="G1673" s="12" t="n">
        <x:v>0</x:v>
      </x:c>
      <x:c r="H1673" s="12" t="n">
        <x:f>IF(SUM(I1673:K1673)&gt;0,1,0)</x:f>
        <x:v>0</x:v>
      </x:c>
      <x:c r="I1673" s="12" t="n">
        <x:f>IF('患者配对'!M1873="positive",1,0)</x:f>
        <x:v>0</x:v>
      </x:c>
      <x:c r="J1673" s="12" t="n">
        <x:f>IF('患者配对'!R1873="positive",1,0)</x:f>
        <x:v>0</x:v>
      </x:c>
      <x:c r="K1673" s="12" t="n">
        <x:f>IF('患者配对'!W1873="positive",1,0)</x:f>
        <x:v>0</x:v>
      </x:c>
      <x:c r="L1673" s="12" t="str">
        <x:v>由原件与原状态取得；仅主队列索引</x:v>
      </x:c>
      <x:c r="M1673" s="12"/>
      <x:c r="N1673" s="12"/>
      <x:c r="O1673" s="12"/>
    </x:row>
    <x:row r="1674" ht="39" customHeight="1">
      <x:c r="A1674" s="12" t="str">
        <x:v>17818</x:v>
      </x:c>
      <x:c r="B1674" s="12" t="str">
        <x:v>7839</x:v>
      </x:c>
      <x:c r="C1674" s="12" t="str">
        <x:v>参考000</x:v>
      </x:c>
      <x:c r="D1674" s="12" t="str">
        <x:v>自动000</x:v>
      </x:c>
      <x:c r="E1674" s="12" t="n">
        <x:v>0</x:v>
      </x:c>
      <x:c r="F1674" s="12" t="n">
        <x:v>0</x:v>
      </x:c>
      <x:c r="G1674" s="12" t="n">
        <x:v>0</x:v>
      </x:c>
      <x:c r="H1674" s="12" t="n">
        <x:f>IF(SUM(I1674:K1674)&gt;0,1,0)</x:f>
        <x:v>0</x:v>
      </x:c>
      <x:c r="I1674" s="12" t="n">
        <x:f>IF('患者配对'!M1874="positive",1,0)</x:f>
        <x:v>0</x:v>
      </x:c>
      <x:c r="J1674" s="12" t="n">
        <x:f>IF('患者配对'!R1874="positive",1,0)</x:f>
        <x:v>0</x:v>
      </x:c>
      <x:c r="K1674" s="12" t="n">
        <x:f>IF('患者配对'!W1874="positive",1,0)</x:f>
        <x:v>0</x:v>
      </x:c>
      <x:c r="L1674" s="12" t="str">
        <x:v>由原件与原状态取得；仅主队列索引</x:v>
      </x:c>
      <x:c r="M1674" s="12"/>
      <x:c r="N1674" s="12"/>
      <x:c r="O1674" s="12"/>
    </x:row>
    <x:row r="1675" ht="39" customHeight="1">
      <x:c r="A1675" s="12" t="str">
        <x:v>17827</x:v>
      </x:c>
      <x:c r="B1675" s="12" t="str">
        <x:v>7136</x:v>
      </x:c>
      <x:c r="C1675" s="12" t="str">
        <x:v>参考000</x:v>
      </x:c>
      <x:c r="D1675" s="12" t="str">
        <x:v>自动000</x:v>
      </x:c>
      <x:c r="E1675" s="12" t="n">
        <x:v>0</x:v>
      </x:c>
      <x:c r="F1675" s="12" t="n">
        <x:v>0</x:v>
      </x:c>
      <x:c r="G1675" s="12" t="n">
        <x:v>0</x:v>
      </x:c>
      <x:c r="H1675" s="12" t="n">
        <x:f>IF(SUM(I1675:K1675)&gt;0,1,0)</x:f>
        <x:v>0</x:v>
      </x:c>
      <x:c r="I1675" s="12" t="n">
        <x:f>IF('患者配对'!M1875="positive",1,0)</x:f>
        <x:v>0</x:v>
      </x:c>
      <x:c r="J1675" s="12" t="n">
        <x:f>IF('患者配对'!R1875="positive",1,0)</x:f>
        <x:v>0</x:v>
      </x:c>
      <x:c r="K1675" s="12" t="n">
        <x:f>IF('患者配对'!W1875="positive",1,0)</x:f>
        <x:v>0</x:v>
      </x:c>
      <x:c r="L1675" s="12" t="str">
        <x:v>由原件与原状态取得；仅主队列索引</x:v>
      </x:c>
      <x:c r="M1675" s="12"/>
      <x:c r="N1675" s="12"/>
      <x:c r="O1675" s="12"/>
    </x:row>
    <x:row r="1676" ht="39" customHeight="1">
      <x:c r="A1676" s="12" t="str">
        <x:v>17839</x:v>
      </x:c>
      <x:c r="B1676" s="12" t="str">
        <x:v>7047</x:v>
      </x:c>
      <x:c r="C1676" s="12" t="str">
        <x:v>参考000</x:v>
      </x:c>
      <x:c r="D1676" s="12" t="str">
        <x:v>自动000</x:v>
      </x:c>
      <x:c r="E1676" s="12" t="n">
        <x:v>0</x:v>
      </x:c>
      <x:c r="F1676" s="12" t="n">
        <x:v>0</x:v>
      </x:c>
      <x:c r="G1676" s="12" t="n">
        <x:v>0</x:v>
      </x:c>
      <x:c r="H1676" s="12" t="n">
        <x:f>IF(SUM(I1676:K1676)&gt;0,1,0)</x:f>
        <x:v>0</x:v>
      </x:c>
      <x:c r="I1676" s="12" t="n">
        <x:f>IF('患者配对'!M1876="positive",1,0)</x:f>
        <x:v>0</x:v>
      </x:c>
      <x:c r="J1676" s="12" t="n">
        <x:f>IF('患者配对'!R1876="positive",1,0)</x:f>
        <x:v>0</x:v>
      </x:c>
      <x:c r="K1676" s="12" t="n">
        <x:f>IF('患者配对'!W1876="positive",1,0)</x:f>
        <x:v>0</x:v>
      </x:c>
      <x:c r="L1676" s="12" t="str">
        <x:v>由原件与原状态取得；仅主队列索引</x:v>
      </x:c>
      <x:c r="M1676" s="12"/>
      <x:c r="N1676" s="12"/>
      <x:c r="O1676" s="12"/>
    </x:row>
    <x:row r="1677" ht="39" customHeight="1">
      <x:c r="A1677" s="12" t="str">
        <x:v>17860</x:v>
      </x:c>
      <x:c r="B1677" s="12" t="str">
        <x:v>2596</x:v>
      </x:c>
      <x:c r="C1677" s="12" t="str">
        <x:v>参考000</x:v>
      </x:c>
      <x:c r="D1677" s="12" t="str">
        <x:v>自动000</x:v>
      </x:c>
      <x:c r="E1677" s="12" t="n">
        <x:v>0</x:v>
      </x:c>
      <x:c r="F1677" s="12" t="n">
        <x:v>0</x:v>
      </x:c>
      <x:c r="G1677" s="12" t="n">
        <x:v>0</x:v>
      </x:c>
      <x:c r="H1677" s="12" t="n">
        <x:f>IF(SUM(I1677:K1677)&gt;0,1,0)</x:f>
        <x:v>0</x:v>
      </x:c>
      <x:c r="I1677" s="12" t="n">
        <x:f>IF('患者配对'!M1877="positive",1,0)</x:f>
        <x:v>0</x:v>
      </x:c>
      <x:c r="J1677" s="12" t="n">
        <x:f>IF('患者配对'!R1877="positive",1,0)</x:f>
        <x:v>0</x:v>
      </x:c>
      <x:c r="K1677" s="12" t="n">
        <x:f>IF('患者配对'!W1877="positive",1,0)</x:f>
        <x:v>0</x:v>
      </x:c>
      <x:c r="L1677" s="12" t="str">
        <x:v>由原件与原状态取得；仅主队列索引</x:v>
      </x:c>
      <x:c r="M1677" s="12"/>
      <x:c r="N1677" s="12"/>
      <x:c r="O1677" s="12"/>
    </x:row>
    <x:row r="1678" ht="39" customHeight="1">
      <x:c r="A1678" s="12" t="str">
        <x:v>17865</x:v>
      </x:c>
      <x:c r="B1678" s="12" t="str">
        <x:v>1048</x:v>
      </x:c>
      <x:c r="C1678" s="12" t="str">
        <x:v>参考000</x:v>
      </x:c>
      <x:c r="D1678" s="12" t="str">
        <x:v>自动000</x:v>
      </x:c>
      <x:c r="E1678" s="12" t="n">
        <x:v>0</x:v>
      </x:c>
      <x:c r="F1678" s="12" t="n">
        <x:v>0</x:v>
      </x:c>
      <x:c r="G1678" s="12" t="n">
        <x:v>0</x:v>
      </x:c>
      <x:c r="H1678" s="12" t="n">
        <x:f>IF(SUM(I1678:K1678)&gt;0,1,0)</x:f>
        <x:v>0</x:v>
      </x:c>
      <x:c r="I1678" s="12" t="n">
        <x:f>IF('患者配对'!M1878="positive",1,0)</x:f>
        <x:v>0</x:v>
      </x:c>
      <x:c r="J1678" s="12" t="n">
        <x:f>IF('患者配对'!R1878="positive",1,0)</x:f>
        <x:v>0</x:v>
      </x:c>
      <x:c r="K1678" s="12" t="n">
        <x:f>IF('患者配对'!W1878="positive",1,0)</x:f>
        <x:v>0</x:v>
      </x:c>
      <x:c r="L1678" s="12" t="str">
        <x:v>由原件与原状态取得；仅主队列索引</x:v>
      </x:c>
      <x:c r="M1678" s="12"/>
      <x:c r="N1678" s="12"/>
      <x:c r="O1678" s="12"/>
    </x:row>
    <x:row r="1679" ht="39" customHeight="1">
      <x:c r="A1679" s="12" t="str">
        <x:v>17866</x:v>
      </x:c>
      <x:c r="B1679" s="12" t="str">
        <x:v>584</x:v>
      </x:c>
      <x:c r="C1679" s="12" t="str">
        <x:v>参考000</x:v>
      </x:c>
      <x:c r="D1679" s="12" t="str">
        <x:v>自动000</x:v>
      </x:c>
      <x:c r="E1679" s="12" t="n">
        <x:v>0</x:v>
      </x:c>
      <x:c r="F1679" s="12" t="n">
        <x:v>0</x:v>
      </x:c>
      <x:c r="G1679" s="12" t="n">
        <x:v>0</x:v>
      </x:c>
      <x:c r="H1679" s="12" t="n">
        <x:f>IF(SUM(I1679:K1679)&gt;0,1,0)</x:f>
        <x:v>0</x:v>
      </x:c>
      <x:c r="I1679" s="12" t="n">
        <x:f>IF('患者配对'!M1879="positive",1,0)</x:f>
        <x:v>0</x:v>
      </x:c>
      <x:c r="J1679" s="12" t="n">
        <x:f>IF('患者配对'!R1879="positive",1,0)</x:f>
        <x:v>0</x:v>
      </x:c>
      <x:c r="K1679" s="12" t="n">
        <x:f>IF('患者配对'!W1879="positive",1,0)</x:f>
        <x:v>0</x:v>
      </x:c>
      <x:c r="L1679" s="12" t="str">
        <x:v>由原件与原状态取得；仅主队列索引</x:v>
      </x:c>
      <x:c r="M1679" s="12"/>
      <x:c r="N1679" s="12"/>
      <x:c r="O1679" s="12"/>
    </x:row>
    <x:row r="1680" ht="39" customHeight="1">
      <x:c r="A1680" s="12" t="str">
        <x:v>17870</x:v>
      </x:c>
      <x:c r="B1680" s="12" t="str">
        <x:v>1907</x:v>
      </x:c>
      <x:c r="C1680" s="12" t="str">
        <x:v>参考000</x:v>
      </x:c>
      <x:c r="D1680" s="12" t="str">
        <x:v>自动000</x:v>
      </x:c>
      <x:c r="E1680" s="12" t="n">
        <x:v>0</x:v>
      </x:c>
      <x:c r="F1680" s="12" t="n">
        <x:v>0</x:v>
      </x:c>
      <x:c r="G1680" s="12" t="n">
        <x:v>0</x:v>
      </x:c>
      <x:c r="H1680" s="12" t="n">
        <x:f>IF(SUM(I1680:K1680)&gt;0,1,0)</x:f>
        <x:v>0</x:v>
      </x:c>
      <x:c r="I1680" s="12" t="n">
        <x:f>IF('患者配对'!M1881="positive",1,0)</x:f>
        <x:v>0</x:v>
      </x:c>
      <x:c r="J1680" s="12" t="n">
        <x:f>IF('患者配对'!R1881="positive",1,0)</x:f>
        <x:v>0</x:v>
      </x:c>
      <x:c r="K1680" s="12" t="n">
        <x:f>IF('患者配对'!W1881="positive",1,0)</x:f>
        <x:v>0</x:v>
      </x:c>
      <x:c r="L1680" s="12" t="str">
        <x:v>由原件与原状态取得；仅主队列索引</x:v>
      </x:c>
      <x:c r="M1680" s="12"/>
      <x:c r="N1680" s="12"/>
      <x:c r="O1680" s="12"/>
    </x:row>
    <x:row r="1681" ht="39" customHeight="1">
      <x:c r="A1681" s="12" t="str">
        <x:v>17885</x:v>
      </x:c>
      <x:c r="B1681" s="12" t="str">
        <x:v>14460</x:v>
      </x:c>
      <x:c r="C1681" s="12" t="str">
        <x:v>参考000</x:v>
      </x:c>
      <x:c r="D1681" s="12" t="str">
        <x:v>自动000</x:v>
      </x:c>
      <x:c r="E1681" s="12" t="n">
        <x:v>0</x:v>
      </x:c>
      <x:c r="F1681" s="12" t="n">
        <x:v>0</x:v>
      </x:c>
      <x:c r="G1681" s="12" t="n">
        <x:v>0</x:v>
      </x:c>
      <x:c r="H1681" s="12" t="n">
        <x:f>IF(SUM(I1681:K1681)&gt;0,1,0)</x:f>
        <x:v>0</x:v>
      </x:c>
      <x:c r="I1681" s="12" t="n">
        <x:f>IF('患者配对'!M1882="positive",1,0)</x:f>
        <x:v>0</x:v>
      </x:c>
      <x:c r="J1681" s="12" t="n">
        <x:f>IF('患者配对'!R1882="positive",1,0)</x:f>
        <x:v>0</x:v>
      </x:c>
      <x:c r="K1681" s="12" t="n">
        <x:f>IF('患者配对'!W1882="positive",1,0)</x:f>
        <x:v>0</x:v>
      </x:c>
      <x:c r="L1681" s="12" t="str">
        <x:v>由原件与原状态取得；仅主队列索引</x:v>
      </x:c>
      <x:c r="M1681" s="12"/>
      <x:c r="N1681" s="12"/>
      <x:c r="O1681" s="12"/>
    </x:row>
    <x:row r="1682" ht="39" customHeight="1">
      <x:c r="A1682" s="12" t="str">
        <x:v>17888</x:v>
      </x:c>
      <x:c r="B1682" s="12" t="str">
        <x:v>9937</x:v>
      </x:c>
      <x:c r="C1682" s="12" t="str">
        <x:v>参考000</x:v>
      </x:c>
      <x:c r="D1682" s="12" t="str">
        <x:v>自动000</x:v>
      </x:c>
      <x:c r="E1682" s="12" t="n">
        <x:v>0</x:v>
      </x:c>
      <x:c r="F1682" s="12" t="n">
        <x:v>0</x:v>
      </x:c>
      <x:c r="G1682" s="12" t="n">
        <x:v>0</x:v>
      </x:c>
      <x:c r="H1682" s="12" t="n">
        <x:f>IF(SUM(I1682:K1682)&gt;0,1,0)</x:f>
        <x:v>0</x:v>
      </x:c>
      <x:c r="I1682" s="12" t="n">
        <x:f>IF('患者配对'!M1883="positive",1,0)</x:f>
        <x:v>0</x:v>
      </x:c>
      <x:c r="J1682" s="12" t="n">
        <x:f>IF('患者配对'!R1883="positive",1,0)</x:f>
        <x:v>0</x:v>
      </x:c>
      <x:c r="K1682" s="12" t="n">
        <x:f>IF('患者配对'!W1883="positive",1,0)</x:f>
        <x:v>0</x:v>
      </x:c>
      <x:c r="L1682" s="12" t="str">
        <x:v>由原件与原状态取得；仅主队列索引</x:v>
      </x:c>
      <x:c r="M1682" s="12"/>
      <x:c r="N1682" s="12"/>
      <x:c r="O1682" s="12"/>
    </x:row>
    <x:row r="1683" ht="39" customHeight="1">
      <x:c r="A1683" s="12" t="str">
        <x:v>17891</x:v>
      </x:c>
      <x:c r="B1683" s="12" t="str">
        <x:v>12507</x:v>
      </x:c>
      <x:c r="C1683" s="12" t="str">
        <x:v>参考000</x:v>
      </x:c>
      <x:c r="D1683" s="12" t="str">
        <x:v>自动000</x:v>
      </x:c>
      <x:c r="E1683" s="12" t="n">
        <x:v>0</x:v>
      </x:c>
      <x:c r="F1683" s="12" t="n">
        <x:v>0</x:v>
      </x:c>
      <x:c r="G1683" s="12" t="n">
        <x:v>0</x:v>
      </x:c>
      <x:c r="H1683" s="12" t="n">
        <x:f>IF(SUM(I1683:K1683)&gt;0,1,0)</x:f>
        <x:v>0</x:v>
      </x:c>
      <x:c r="I1683" s="12" t="n">
        <x:f>IF('患者配对'!M1884="positive",1,0)</x:f>
        <x:v>0</x:v>
      </x:c>
      <x:c r="J1683" s="12" t="n">
        <x:f>IF('患者配对'!R1884="positive",1,0)</x:f>
        <x:v>0</x:v>
      </x:c>
      <x:c r="K1683" s="12" t="n">
        <x:f>IF('患者配对'!W1884="positive",1,0)</x:f>
        <x:v>0</x:v>
      </x:c>
      <x:c r="L1683" s="12" t="str">
        <x:v>由原件与原状态取得；仅主队列索引</x:v>
      </x:c>
      <x:c r="M1683" s="12"/>
      <x:c r="N1683" s="12"/>
      <x:c r="O1683" s="12"/>
    </x:row>
    <x:row r="1684" ht="39" customHeight="1">
      <x:c r="A1684" s="12" t="str">
        <x:v>17904</x:v>
      </x:c>
      <x:c r="B1684" s="12" t="str">
        <x:v>12192</x:v>
      </x:c>
      <x:c r="C1684" s="12" t="str">
        <x:v>参考000</x:v>
      </x:c>
      <x:c r="D1684" s="12" t="str">
        <x:v>自动000</x:v>
      </x:c>
      <x:c r="E1684" s="12" t="n">
        <x:v>0</x:v>
      </x:c>
      <x:c r="F1684" s="12" t="n">
        <x:v>0</x:v>
      </x:c>
      <x:c r="G1684" s="12" t="n">
        <x:v>0</x:v>
      </x:c>
      <x:c r="H1684" s="12" t="n">
        <x:f>IF(SUM(I1684:K1684)&gt;0,1,0)</x:f>
        <x:v>0</x:v>
      </x:c>
      <x:c r="I1684" s="12" t="n">
        <x:f>IF('患者配对'!M1885="positive",1,0)</x:f>
        <x:v>0</x:v>
      </x:c>
      <x:c r="J1684" s="12" t="n">
        <x:f>IF('患者配对'!R1885="positive",1,0)</x:f>
        <x:v>0</x:v>
      </x:c>
      <x:c r="K1684" s="12" t="n">
        <x:f>IF('患者配对'!W1885="positive",1,0)</x:f>
        <x:v>0</x:v>
      </x:c>
      <x:c r="L1684" s="12" t="str">
        <x:v>由原件与原状态取得；仅主队列索引</x:v>
      </x:c>
      <x:c r="M1684" s="12"/>
      <x:c r="N1684" s="12"/>
      <x:c r="O1684" s="12"/>
    </x:row>
    <x:row r="1685" ht="39" customHeight="1">
      <x:c r="A1685" s="12" t="str">
        <x:v>17906</x:v>
      </x:c>
      <x:c r="B1685" s="12" t="str">
        <x:v>16492</x:v>
      </x:c>
      <x:c r="C1685" s="12" t="str">
        <x:v>参考010</x:v>
      </x:c>
      <x:c r="D1685" s="12" t="str">
        <x:v>自动010</x:v>
      </x:c>
      <x:c r="E1685" s="12" t="n">
        <x:v>1</x:v>
      </x:c>
      <x:c r="F1685" s="12" t="n">
        <x:v>1</x:v>
      </x:c>
      <x:c r="G1685" s="12" t="n">
        <x:v>0</x:v>
      </x:c>
      <x:c r="H1685" s="12" t="n">
        <x:f>IF(SUM(I1685:K1685)&gt;0,1,0)</x:f>
        <x:v>1</x:v>
      </x:c>
      <x:c r="I1685" s="12" t="n">
        <x:f>IF('患者配对'!M1886="positive",1,0)</x:f>
        <x:v>0</x:v>
      </x:c>
      <x:c r="J1685" s="12" t="n">
        <x:f>IF('患者配对'!R1886="positive",1,0)</x:f>
        <x:v>1</x:v>
      </x:c>
      <x:c r="K1685" s="12" t="n">
        <x:f>IF('患者配对'!W1886="positive",1,0)</x:f>
        <x:v>0</x:v>
      </x:c>
      <x:c r="L1685" s="12" t="str">
        <x:v>由原件与原状态取得；仅主队列索引</x:v>
      </x:c>
      <x:c r="M1685" s="12"/>
      <x:c r="N1685" s="12"/>
      <x:c r="O1685" s="12"/>
    </x:row>
    <x:row r="1686" ht="39" customHeight="1">
      <x:c r="A1686" s="12" t="str">
        <x:v>17909</x:v>
      </x:c>
      <x:c r="B1686" s="12" t="str">
        <x:v>14957</x:v>
      </x:c>
      <x:c r="C1686" s="12" t="str">
        <x:v>参考000</x:v>
      </x:c>
      <x:c r="D1686" s="12" t="str">
        <x:v>自动000</x:v>
      </x:c>
      <x:c r="E1686" s="12" t="n">
        <x:v>0</x:v>
      </x:c>
      <x:c r="F1686" s="12" t="n">
        <x:v>1</x:v>
      </x:c>
      <x:c r="G1686" s="12" t="n">
        <x:v>0</x:v>
      </x:c>
      <x:c r="H1686" s="12" t="n">
        <x:f>IF(SUM(I1686:K1686)&gt;0,1,0)</x:f>
        <x:v>0</x:v>
      </x:c>
      <x:c r="I1686" s="12" t="n">
        <x:f>IF('患者配对'!M1887="positive",1,0)</x:f>
        <x:v>0</x:v>
      </x:c>
      <x:c r="J1686" s="12" t="n">
        <x:f>IF('患者配对'!R1887="positive",1,0)</x:f>
        <x:v>0</x:v>
      </x:c>
      <x:c r="K1686" s="12" t="n">
        <x:f>IF('患者配对'!W1887="positive",1,0)</x:f>
        <x:v>0</x:v>
      </x:c>
      <x:c r="L1686" s="12" t="str">
        <x:v>由原件与原状态取得；仅主队列索引</x:v>
      </x:c>
      <x:c r="M1686" s="12"/>
      <x:c r="N1686" s="12"/>
      <x:c r="O1686" s="12"/>
    </x:row>
    <x:row r="1687" ht="39" customHeight="1">
      <x:c r="A1687" s="12" t="str">
        <x:v>17910</x:v>
      </x:c>
      <x:c r="B1687" s="12" t="str">
        <x:v>9579</x:v>
      </x:c>
      <x:c r="C1687" s="12" t="str">
        <x:v>参考000</x:v>
      </x:c>
      <x:c r="D1687" s="12" t="str">
        <x:v>自动000</x:v>
      </x:c>
      <x:c r="E1687" s="12" t="n">
        <x:v>0</x:v>
      </x:c>
      <x:c r="F1687" s="12" t="n">
        <x:v>0</x:v>
      </x:c>
      <x:c r="G1687" s="12" t="n">
        <x:v>0</x:v>
      </x:c>
      <x:c r="H1687" s="12" t="n">
        <x:f>IF(SUM(I1687:K1687)&gt;0,1,0)</x:f>
        <x:v>0</x:v>
      </x:c>
      <x:c r="I1687" s="12" t="n">
        <x:f>IF('患者配对'!M1888="positive",1,0)</x:f>
        <x:v>0</x:v>
      </x:c>
      <x:c r="J1687" s="12" t="n">
        <x:f>IF('患者配对'!R1888="positive",1,0)</x:f>
        <x:v>0</x:v>
      </x:c>
      <x:c r="K1687" s="12" t="n">
        <x:f>IF('患者配对'!W1888="positive",1,0)</x:f>
        <x:v>0</x:v>
      </x:c>
      <x:c r="L1687" s="12" t="str">
        <x:v>由原件与原状态取得；仅主队列索引</x:v>
      </x:c>
      <x:c r="M1687" s="12"/>
      <x:c r="N1687" s="12"/>
      <x:c r="O1687" s="12"/>
    </x:row>
    <x:row r="1688" ht="39" customHeight="1">
      <x:c r="A1688" s="12" t="str">
        <x:v>17918</x:v>
      </x:c>
      <x:c r="B1688" s="12" t="str">
        <x:v>15619</x:v>
      </x:c>
      <x:c r="C1688" s="12" t="str">
        <x:v>参考000</x:v>
      </x:c>
      <x:c r="D1688" s="12" t="str">
        <x:v>自动000</x:v>
      </x:c>
      <x:c r="E1688" s="12" t="n">
        <x:v>0</x:v>
      </x:c>
      <x:c r="F1688" s="12" t="n">
        <x:v>0</x:v>
      </x:c>
      <x:c r="G1688" s="12" t="n">
        <x:v>0</x:v>
      </x:c>
      <x:c r="H1688" s="12" t="n">
        <x:f>IF(SUM(I1688:K1688)&gt;0,1,0)</x:f>
        <x:v>0</x:v>
      </x:c>
      <x:c r="I1688" s="12" t="n">
        <x:f>IF('患者配对'!M1889="positive",1,0)</x:f>
        <x:v>0</x:v>
      </x:c>
      <x:c r="J1688" s="12" t="n">
        <x:f>IF('患者配对'!R1889="positive",1,0)</x:f>
        <x:v>0</x:v>
      </x:c>
      <x:c r="K1688" s="12" t="n">
        <x:f>IF('患者配对'!W1889="positive",1,0)</x:f>
        <x:v>0</x:v>
      </x:c>
      <x:c r="L1688" s="12" t="str">
        <x:v>由原件与原状态取得；仅主队列索引</x:v>
      </x:c>
      <x:c r="M1688" s="12"/>
      <x:c r="N1688" s="12"/>
      <x:c r="O1688" s="12"/>
    </x:row>
    <x:row r="1689" ht="39" customHeight="1">
      <x:c r="A1689" s="12" t="str">
        <x:v>17919</x:v>
      </x:c>
      <x:c r="B1689" s="12" t="str">
        <x:v>11785</x:v>
      </x:c>
      <x:c r="C1689" s="12" t="str">
        <x:v>参考000</x:v>
      </x:c>
      <x:c r="D1689" s="12" t="str">
        <x:v>自动000</x:v>
      </x:c>
      <x:c r="E1689" s="12" t="n">
        <x:v>0</x:v>
      </x:c>
      <x:c r="F1689" s="12" t="n">
        <x:v>0</x:v>
      </x:c>
      <x:c r="G1689" s="12" t="n">
        <x:v>0</x:v>
      </x:c>
      <x:c r="H1689" s="12" t="n">
        <x:f>IF(SUM(I1689:K1689)&gt;0,1,0)</x:f>
        <x:v>0</x:v>
      </x:c>
      <x:c r="I1689" s="12" t="n">
        <x:f>IF('患者配对'!M1890="positive",1,0)</x:f>
        <x:v>0</x:v>
      </x:c>
      <x:c r="J1689" s="12" t="n">
        <x:f>IF('患者配对'!R1890="positive",1,0)</x:f>
        <x:v>0</x:v>
      </x:c>
      <x:c r="K1689" s="12" t="n">
        <x:f>IF('患者配对'!W1890="positive",1,0)</x:f>
        <x:v>0</x:v>
      </x:c>
      <x:c r="L1689" s="12" t="str">
        <x:v>由原件与原状态取得；仅主队列索引</x:v>
      </x:c>
      <x:c r="M1689" s="12"/>
      <x:c r="N1689" s="12"/>
      <x:c r="O1689" s="12"/>
    </x:row>
    <x:row r="1690" ht="39" customHeight="1">
      <x:c r="A1690" s="12" t="str">
        <x:v>17921</x:v>
      </x:c>
      <x:c r="B1690" s="12" t="str">
        <x:v>18112</x:v>
      </x:c>
      <x:c r="C1690" s="12" t="str">
        <x:v>参考000</x:v>
      </x:c>
      <x:c r="D1690" s="12" t="str">
        <x:v>自动000</x:v>
      </x:c>
      <x:c r="E1690" s="12" t="n">
        <x:v>0</x:v>
      </x:c>
      <x:c r="F1690" s="12" t="n">
        <x:v>0</x:v>
      </x:c>
      <x:c r="G1690" s="12" t="n">
        <x:v>0</x:v>
      </x:c>
      <x:c r="H1690" s="12" t="n">
        <x:f>IF(SUM(I1690:K1690)&gt;0,1,0)</x:f>
        <x:v>0</x:v>
      </x:c>
      <x:c r="I1690" s="12" t="n">
        <x:f>IF('患者配对'!M1892="positive",1,0)</x:f>
        <x:v>0</x:v>
      </x:c>
      <x:c r="J1690" s="12" t="n">
        <x:f>IF('患者配对'!R1892="positive",1,0)</x:f>
        <x:v>0</x:v>
      </x:c>
      <x:c r="K1690" s="12" t="n">
        <x:f>IF('患者配对'!W1892="positive",1,0)</x:f>
        <x:v>0</x:v>
      </x:c>
      <x:c r="L1690" s="12" t="str">
        <x:v>由原件与原状态取得；仅主队列索引</x:v>
      </x:c>
      <x:c r="M1690" s="12"/>
      <x:c r="N1690" s="12"/>
      <x:c r="O1690" s="12"/>
    </x:row>
    <x:row r="1691" ht="39" customHeight="1">
      <x:c r="A1691" s="12" t="str">
        <x:v>17935</x:v>
      </x:c>
      <x:c r="B1691" s="12" t="str">
        <x:v>14195</x:v>
      </x:c>
      <x:c r="C1691" s="12" t="str">
        <x:v>参考000</x:v>
      </x:c>
      <x:c r="D1691" s="12" t="str">
        <x:v>自动000</x:v>
      </x:c>
      <x:c r="E1691" s="12" t="n">
        <x:v>0</x:v>
      </x:c>
      <x:c r="F1691" s="12" t="n">
        <x:v>0</x:v>
      </x:c>
      <x:c r="G1691" s="12" t="n">
        <x:v>0</x:v>
      </x:c>
      <x:c r="H1691" s="12" t="n">
        <x:f>IF(SUM(I1691:K1691)&gt;0,1,0)</x:f>
        <x:v>0</x:v>
      </x:c>
      <x:c r="I1691" s="12" t="n">
        <x:f>IF('患者配对'!M1893="positive",1,0)</x:f>
        <x:v>0</x:v>
      </x:c>
      <x:c r="J1691" s="12" t="n">
        <x:f>IF('患者配对'!R1893="positive",1,0)</x:f>
        <x:v>0</x:v>
      </x:c>
      <x:c r="K1691" s="12" t="n">
        <x:f>IF('患者配对'!W1893="positive",1,0)</x:f>
        <x:v>0</x:v>
      </x:c>
      <x:c r="L1691" s="12" t="str">
        <x:v>由原件与原状态取得；仅主队列索引</x:v>
      </x:c>
      <x:c r="M1691" s="12"/>
      <x:c r="N1691" s="12"/>
      <x:c r="O1691" s="12"/>
    </x:row>
    <x:row r="1692" ht="39" customHeight="1">
      <x:c r="A1692" s="12" t="str">
        <x:v>17936</x:v>
      </x:c>
      <x:c r="B1692" s="12" t="str">
        <x:v>18652</x:v>
      </x:c>
      <x:c r="C1692" s="12" t="str">
        <x:v>参考000</x:v>
      </x:c>
      <x:c r="D1692" s="12" t="str">
        <x:v>自动000</x:v>
      </x:c>
      <x:c r="E1692" s="12" t="n">
        <x:v>0</x:v>
      </x:c>
      <x:c r="F1692" s="12" t="n">
        <x:v>1</x:v>
      </x:c>
      <x:c r="G1692" s="12" t="n">
        <x:v>0</x:v>
      </x:c>
      <x:c r="H1692" s="12" t="n">
        <x:f>IF(SUM(I1692:K1692)&gt;0,1,0)</x:f>
        <x:v>0</x:v>
      </x:c>
      <x:c r="I1692" s="12" t="n">
        <x:f>IF('患者配对'!M1894="positive",1,0)</x:f>
        <x:v>0</x:v>
      </x:c>
      <x:c r="J1692" s="12" t="n">
        <x:f>IF('患者配对'!R1894="positive",1,0)</x:f>
        <x:v>0</x:v>
      </x:c>
      <x:c r="K1692" s="12" t="n">
        <x:f>IF('患者配对'!W1894="positive",1,0)</x:f>
        <x:v>0</x:v>
      </x:c>
      <x:c r="L1692" s="12" t="str">
        <x:v>由原件与原状态取得；仅主队列索引</x:v>
      </x:c>
      <x:c r="M1692" s="12"/>
      <x:c r="N1692" s="12"/>
      <x:c r="O1692" s="12"/>
    </x:row>
    <x:row r="1693" ht="39" customHeight="1">
      <x:c r="A1693" s="12" t="str">
        <x:v>17951</x:v>
      </x:c>
      <x:c r="B1693" s="12" t="str">
        <x:v>16102</x:v>
      </x:c>
      <x:c r="C1693" s="12" t="str">
        <x:v>参考000</x:v>
      </x:c>
      <x:c r="D1693" s="12" t="str">
        <x:v>自动000</x:v>
      </x:c>
      <x:c r="E1693" s="12" t="n">
        <x:v>0</x:v>
      </x:c>
      <x:c r="F1693" s="12" t="n">
        <x:v>1</x:v>
      </x:c>
      <x:c r="G1693" s="12" t="n">
        <x:v>0</x:v>
      </x:c>
      <x:c r="H1693" s="12" t="n">
        <x:f>IF(SUM(I1693:K1693)&gt;0,1,0)</x:f>
        <x:v>0</x:v>
      </x:c>
      <x:c r="I1693" s="12" t="n">
        <x:f>IF('患者配对'!M1896="positive",1,0)</x:f>
        <x:v>0</x:v>
      </x:c>
      <x:c r="J1693" s="12" t="n">
        <x:f>IF('患者配对'!R1896="positive",1,0)</x:f>
        <x:v>0</x:v>
      </x:c>
      <x:c r="K1693" s="12" t="n">
        <x:f>IF('患者配对'!W1896="positive",1,0)</x:f>
        <x:v>0</x:v>
      </x:c>
      <x:c r="L1693" s="12" t="str">
        <x:v>由原件与原状态取得；仅主队列索引</x:v>
      </x:c>
      <x:c r="M1693" s="12"/>
      <x:c r="N1693" s="12"/>
      <x:c r="O1693" s="12"/>
    </x:row>
    <x:row r="1694" ht="39" customHeight="1">
      <x:c r="A1694" s="12" t="str">
        <x:v>17959</x:v>
      </x:c>
      <x:c r="B1694" s="12" t="str">
        <x:v>1494</x:v>
      </x:c>
      <x:c r="C1694" s="12" t="str">
        <x:v>参考000</x:v>
      </x:c>
      <x:c r="D1694" s="12" t="str">
        <x:v>自动000</x:v>
      </x:c>
      <x:c r="E1694" s="12" t="n">
        <x:v>0</x:v>
      </x:c>
      <x:c r="F1694" s="12" t="n">
        <x:v>0</x:v>
      </x:c>
      <x:c r="G1694" s="12" t="n">
        <x:v>0</x:v>
      </x:c>
      <x:c r="H1694" s="12" t="n">
        <x:f>IF(SUM(I1694:K1694)&gt;0,1,0)</x:f>
        <x:v>0</x:v>
      </x:c>
      <x:c r="I1694" s="12" t="n">
        <x:f>IF('患者配对'!M1897="positive",1,0)</x:f>
        <x:v>0</x:v>
      </x:c>
      <x:c r="J1694" s="12" t="n">
        <x:f>IF('患者配对'!R1897="positive",1,0)</x:f>
        <x:v>0</x:v>
      </x:c>
      <x:c r="K1694" s="12" t="n">
        <x:f>IF('患者配对'!W1897="positive",1,0)</x:f>
        <x:v>0</x:v>
      </x:c>
      <x:c r="L1694" s="12" t="str">
        <x:v>由原件与原状态取得；仅主队列索引</x:v>
      </x:c>
      <x:c r="M1694" s="12"/>
      <x:c r="N1694" s="12"/>
      <x:c r="O1694" s="12"/>
    </x:row>
    <x:row r="1695" ht="39" customHeight="1">
      <x:c r="A1695" s="12" t="str">
        <x:v>17970</x:v>
      </x:c>
      <x:c r="B1695" s="12" t="str">
        <x:v>5237</x:v>
      </x:c>
      <x:c r="C1695" s="12" t="str">
        <x:v>参考000</x:v>
      </x:c>
      <x:c r="D1695" s="12" t="str">
        <x:v>自动000</x:v>
      </x:c>
      <x:c r="E1695" s="12" t="n">
        <x:v>0</x:v>
      </x:c>
      <x:c r="F1695" s="12" t="n">
        <x:v>0</x:v>
      </x:c>
      <x:c r="G1695" s="12" t="n">
        <x:v>0</x:v>
      </x:c>
      <x:c r="H1695" s="12" t="n">
        <x:f>IF(SUM(I1695:K1695)&gt;0,1,0)</x:f>
        <x:v>0</x:v>
      </x:c>
      <x:c r="I1695" s="12" t="n">
        <x:f>IF('患者配对'!M1898="positive",1,0)</x:f>
        <x:v>0</x:v>
      </x:c>
      <x:c r="J1695" s="12" t="n">
        <x:f>IF('患者配对'!R1898="positive",1,0)</x:f>
        <x:v>0</x:v>
      </x:c>
      <x:c r="K1695" s="12" t="n">
        <x:f>IF('患者配对'!W1898="positive",1,0)</x:f>
        <x:v>0</x:v>
      </x:c>
      <x:c r="L1695" s="12" t="str">
        <x:v>由原件与原状态取得；仅主队列索引</x:v>
      </x:c>
      <x:c r="M1695" s="12"/>
      <x:c r="N1695" s="12"/>
      <x:c r="O1695" s="12"/>
    </x:row>
    <x:row r="1696" ht="39" customHeight="1">
      <x:c r="A1696" s="12" t="str">
        <x:v>17983</x:v>
      </x:c>
      <x:c r="B1696" s="12" t="str">
        <x:v>7533</x:v>
      </x:c>
      <x:c r="C1696" s="12" t="str">
        <x:v>参考000</x:v>
      </x:c>
      <x:c r="D1696" s="12" t="str">
        <x:v>自动000</x:v>
      </x:c>
      <x:c r="E1696" s="12" t="n">
        <x:v>0</x:v>
      </x:c>
      <x:c r="F1696" s="12" t="n">
        <x:v>0</x:v>
      </x:c>
      <x:c r="G1696" s="12" t="n">
        <x:v>0</x:v>
      </x:c>
      <x:c r="H1696" s="12" t="n">
        <x:f>IF(SUM(I1696:K1696)&gt;0,1,0)</x:f>
        <x:v>0</x:v>
      </x:c>
      <x:c r="I1696" s="12" t="n">
        <x:f>IF('患者配对'!M1899="positive",1,0)</x:f>
        <x:v>0</x:v>
      </x:c>
      <x:c r="J1696" s="12" t="n">
        <x:f>IF('患者配对'!R1899="positive",1,0)</x:f>
        <x:v>0</x:v>
      </x:c>
      <x:c r="K1696" s="12" t="n">
        <x:f>IF('患者配对'!W1899="positive",1,0)</x:f>
        <x:v>0</x:v>
      </x:c>
      <x:c r="L1696" s="12" t="str">
        <x:v>由原件与原状态取得；仅主队列索引</x:v>
      </x:c>
      <x:c r="M1696" s="12"/>
      <x:c r="N1696" s="12"/>
      <x:c r="O1696" s="12"/>
    </x:row>
    <x:row r="1697" ht="39" customHeight="1">
      <x:c r="A1697" s="12" t="str">
        <x:v>17995</x:v>
      </x:c>
      <x:c r="B1697" s="12" t="str">
        <x:v>2987</x:v>
      </x:c>
      <x:c r="C1697" s="12" t="str">
        <x:v>参考000</x:v>
      </x:c>
      <x:c r="D1697" s="12" t="str">
        <x:v>自动000</x:v>
      </x:c>
      <x:c r="E1697" s="12" t="n">
        <x:v>0</x:v>
      </x:c>
      <x:c r="F1697" s="12" t="n">
        <x:v>0</x:v>
      </x:c>
      <x:c r="G1697" s="12" t="n">
        <x:v>0</x:v>
      </x:c>
      <x:c r="H1697" s="12" t="n">
        <x:f>IF(SUM(I1697:K1697)&gt;0,1,0)</x:f>
        <x:v>0</x:v>
      </x:c>
      <x:c r="I1697" s="12" t="n">
        <x:f>IF('患者配对'!M1900="positive",1,0)</x:f>
        <x:v>0</x:v>
      </x:c>
      <x:c r="J1697" s="12" t="n">
        <x:f>IF('患者配对'!R1900="positive",1,0)</x:f>
        <x:v>0</x:v>
      </x:c>
      <x:c r="K1697" s="12" t="n">
        <x:f>IF('患者配对'!W1900="positive",1,0)</x:f>
        <x:v>0</x:v>
      </x:c>
      <x:c r="L1697" s="12" t="str">
        <x:v>由原件与原状态取得；仅主队列索引</x:v>
      </x:c>
      <x:c r="M1697" s="12"/>
      <x:c r="N1697" s="12"/>
      <x:c r="O1697" s="12"/>
    </x:row>
    <x:row r="1698" ht="39" customHeight="1">
      <x:c r="A1698" s="12" t="str">
        <x:v>17996</x:v>
      </x:c>
      <x:c r="B1698" s="12" t="str">
        <x:v>5007</x:v>
      </x:c>
      <x:c r="C1698" s="12" t="str">
        <x:v>参考000</x:v>
      </x:c>
      <x:c r="D1698" s="12" t="str">
        <x:v>自动000</x:v>
      </x:c>
      <x:c r="E1698" s="12" t="n">
        <x:v>0</x:v>
      </x:c>
      <x:c r="F1698" s="12" t="n">
        <x:v>0</x:v>
      </x:c>
      <x:c r="G1698" s="12" t="n">
        <x:v>0</x:v>
      </x:c>
      <x:c r="H1698" s="12" t="n">
        <x:f>IF(SUM(I1698:K1698)&gt;0,1,0)</x:f>
        <x:v>0</x:v>
      </x:c>
      <x:c r="I1698" s="12" t="n">
        <x:f>IF('患者配对'!M1901="positive",1,0)</x:f>
        <x:v>0</x:v>
      </x:c>
      <x:c r="J1698" s="12" t="n">
        <x:f>IF('患者配对'!R1901="positive",1,0)</x:f>
        <x:v>0</x:v>
      </x:c>
      <x:c r="K1698" s="12" t="n">
        <x:f>IF('患者配对'!W1901="positive",1,0)</x:f>
        <x:v>0</x:v>
      </x:c>
      <x:c r="L1698" s="12" t="str">
        <x:v>由原件与原状态取得；仅主队列索引</x:v>
      </x:c>
      <x:c r="M1698" s="12"/>
      <x:c r="N1698" s="12"/>
      <x:c r="O1698" s="12"/>
    </x:row>
    <x:row r="1699" ht="39" customHeight="1">
      <x:c r="A1699" s="12" t="str">
        <x:v>18019</x:v>
      </x:c>
      <x:c r="B1699" s="12" t="str">
        <x:v>18110</x:v>
      </x:c>
      <x:c r="C1699" s="12" t="str">
        <x:v>参考000</x:v>
      </x:c>
      <x:c r="D1699" s="12" t="str">
        <x:v>自动000</x:v>
      </x:c>
      <x:c r="E1699" s="12" t="n">
        <x:v>0</x:v>
      </x:c>
      <x:c r="F1699" s="12" t="n">
        <x:v>0</x:v>
      </x:c>
      <x:c r="G1699" s="12" t="n">
        <x:v>0</x:v>
      </x:c>
      <x:c r="H1699" s="12" t="n">
        <x:f>IF(SUM(I1699:K1699)&gt;0,1,0)</x:f>
        <x:v>0</x:v>
      </x:c>
      <x:c r="I1699" s="12" t="n">
        <x:f>IF('患者配对'!M1903="positive",1,0)</x:f>
        <x:v>0</x:v>
      </x:c>
      <x:c r="J1699" s="12" t="n">
        <x:f>IF('患者配对'!R1903="positive",1,0)</x:f>
        <x:v>0</x:v>
      </x:c>
      <x:c r="K1699" s="12" t="n">
        <x:f>IF('患者配对'!W1903="positive",1,0)</x:f>
        <x:v>0</x:v>
      </x:c>
      <x:c r="L1699" s="12" t="str">
        <x:v>由原件与原状态取得；仅主队列索引</x:v>
      </x:c>
      <x:c r="M1699" s="12"/>
      <x:c r="N1699" s="12"/>
      <x:c r="O1699" s="12"/>
    </x:row>
    <x:row r="1700" ht="39" customHeight="1">
      <x:c r="A1700" s="12" t="str">
        <x:v>18055</x:v>
      </x:c>
      <x:c r="B1700" s="12" t="str">
        <x:v>10146</x:v>
      </x:c>
      <x:c r="C1700" s="12" t="str">
        <x:v>参考000</x:v>
      </x:c>
      <x:c r="D1700" s="12" t="str">
        <x:v>自动000</x:v>
      </x:c>
      <x:c r="E1700" s="12" t="n">
        <x:v>0</x:v>
      </x:c>
      <x:c r="F1700" s="12" t="n">
        <x:v>0</x:v>
      </x:c>
      <x:c r="G1700" s="12" t="n">
        <x:v>0</x:v>
      </x:c>
      <x:c r="H1700" s="12" t="n">
        <x:f>IF(SUM(I1700:K1700)&gt;0,1,0)</x:f>
        <x:v>0</x:v>
      </x:c>
      <x:c r="I1700" s="12" t="n">
        <x:f>IF('患者配对'!M1904="positive",1,0)</x:f>
        <x:v>0</x:v>
      </x:c>
      <x:c r="J1700" s="12" t="n">
        <x:f>IF('患者配对'!R1904="positive",1,0)</x:f>
        <x:v>0</x:v>
      </x:c>
      <x:c r="K1700" s="12" t="n">
        <x:f>IF('患者配对'!W1904="positive",1,0)</x:f>
        <x:v>0</x:v>
      </x:c>
      <x:c r="L1700" s="12" t="str">
        <x:v>由原件与原状态取得；仅主队列索引</x:v>
      </x:c>
      <x:c r="M1700" s="12"/>
      <x:c r="N1700" s="12"/>
      <x:c r="O1700" s="12"/>
    </x:row>
    <x:row r="1701" ht="39" customHeight="1">
      <x:c r="A1701" s="12" t="str">
        <x:v>18056</x:v>
      </x:c>
      <x:c r="B1701" s="12" t="str">
        <x:v>16813</x:v>
      </x:c>
      <x:c r="C1701" s="12" t="str">
        <x:v>参考000</x:v>
      </x:c>
      <x:c r="D1701" s="12" t="str">
        <x:v>自动000</x:v>
      </x:c>
      <x:c r="E1701" s="12" t="n">
        <x:v>0</x:v>
      </x:c>
      <x:c r="F1701" s="12" t="n">
        <x:v>0</x:v>
      </x:c>
      <x:c r="G1701" s="12" t="n">
        <x:v>0</x:v>
      </x:c>
      <x:c r="H1701" s="12" t="n">
        <x:f>IF(SUM(I1701:K1701)&gt;0,1,0)</x:f>
        <x:v>0</x:v>
      </x:c>
      <x:c r="I1701" s="12" t="n">
        <x:f>IF('患者配对'!M1905="positive",1,0)</x:f>
        <x:v>0</x:v>
      </x:c>
      <x:c r="J1701" s="12" t="n">
        <x:f>IF('患者配对'!R1905="positive",1,0)</x:f>
        <x:v>0</x:v>
      </x:c>
      <x:c r="K1701" s="12" t="n">
        <x:f>IF('患者配对'!W1905="positive",1,0)</x:f>
        <x:v>0</x:v>
      </x:c>
      <x:c r="L1701" s="12" t="str">
        <x:v>由原件与原状态取得；仅主队列索引</x:v>
      </x:c>
      <x:c r="M1701" s="12"/>
      <x:c r="N1701" s="12"/>
      <x:c r="O1701" s="12"/>
    </x:row>
    <x:row r="1702" ht="39" customHeight="1">
      <x:c r="A1702" s="12" t="str">
        <x:v>18068</x:v>
      </x:c>
      <x:c r="B1702" s="12" t="str">
        <x:v>3971</x:v>
      </x:c>
      <x:c r="C1702" s="12" t="str">
        <x:v>参考000</x:v>
      </x:c>
      <x:c r="D1702" s="12" t="str">
        <x:v>自动000</x:v>
      </x:c>
      <x:c r="E1702" s="12" t="n">
        <x:v>0</x:v>
      </x:c>
      <x:c r="F1702" s="12" t="n">
        <x:v>0</x:v>
      </x:c>
      <x:c r="G1702" s="12" t="n">
        <x:v>0</x:v>
      </x:c>
      <x:c r="H1702" s="12" t="n">
        <x:f>IF(SUM(I1702:K1702)&gt;0,1,0)</x:f>
        <x:v>0</x:v>
      </x:c>
      <x:c r="I1702" s="12" t="n">
        <x:f>IF('患者配对'!M1907="positive",1,0)</x:f>
        <x:v>0</x:v>
      </x:c>
      <x:c r="J1702" s="12" t="n">
        <x:f>IF('患者配对'!R1907="positive",1,0)</x:f>
        <x:v>0</x:v>
      </x:c>
      <x:c r="K1702" s="12" t="n">
        <x:f>IF('患者配对'!W1907="positive",1,0)</x:f>
        <x:v>0</x:v>
      </x:c>
      <x:c r="L1702" s="12" t="str">
        <x:v>由原件与原状态取得；仅主队列索引</x:v>
      </x:c>
      <x:c r="M1702" s="12"/>
      <x:c r="N1702" s="12"/>
      <x:c r="O1702" s="12"/>
    </x:row>
    <x:row r="1703" ht="39" customHeight="1">
      <x:c r="A1703" s="12" t="str">
        <x:v>18111</x:v>
      </x:c>
      <x:c r="B1703" s="12" t="str">
        <x:v>727</x:v>
      </x:c>
      <x:c r="C1703" s="12" t="str">
        <x:v>参考000</x:v>
      </x:c>
      <x:c r="D1703" s="12" t="str">
        <x:v>自动000</x:v>
      </x:c>
      <x:c r="E1703" s="12" t="n">
        <x:v>0</x:v>
      </x:c>
      <x:c r="F1703" s="12" t="n">
        <x:v>0</x:v>
      </x:c>
      <x:c r="G1703" s="12" t="n">
        <x:v>0</x:v>
      </x:c>
      <x:c r="H1703" s="12" t="n">
        <x:f>IF(SUM(I1703:K1703)&gt;0,1,0)</x:f>
        <x:v>0</x:v>
      </x:c>
      <x:c r="I1703" s="12" t="n">
        <x:f>IF('患者配对'!M1908="positive",1,0)</x:f>
        <x:v>0</x:v>
      </x:c>
      <x:c r="J1703" s="12" t="n">
        <x:f>IF('患者配对'!R1908="positive",1,0)</x:f>
        <x:v>0</x:v>
      </x:c>
      <x:c r="K1703" s="12" t="n">
        <x:f>IF('患者配对'!W1908="positive",1,0)</x:f>
        <x:v>0</x:v>
      </x:c>
      <x:c r="L1703" s="12" t="str">
        <x:v>由原件与原状态取得；仅主队列索引</x:v>
      </x:c>
      <x:c r="M1703" s="12"/>
      <x:c r="N1703" s="12"/>
      <x:c r="O1703" s="12"/>
    </x:row>
    <x:row r="1704" ht="39" customHeight="1">
      <x:c r="A1704" s="12" t="str">
        <x:v>18121</x:v>
      </x:c>
      <x:c r="B1704" s="12" t="str">
        <x:v>326</x:v>
      </x:c>
      <x:c r="C1704" s="12" t="str">
        <x:v>参考000</x:v>
      </x:c>
      <x:c r="D1704" s="12" t="str">
        <x:v>自动000</x:v>
      </x:c>
      <x:c r="E1704" s="12" t="n">
        <x:v>0</x:v>
      </x:c>
      <x:c r="F1704" s="12" t="n">
        <x:v>1</x:v>
      </x:c>
      <x:c r="G1704" s="12" t="n">
        <x:v>0</x:v>
      </x:c>
      <x:c r="H1704" s="12" t="n">
        <x:f>IF(SUM(I1704:K1704)&gt;0,1,0)</x:f>
        <x:v>0</x:v>
      </x:c>
      <x:c r="I1704" s="12" t="n">
        <x:f>IF('患者配对'!M1909="positive",1,0)</x:f>
        <x:v>0</x:v>
      </x:c>
      <x:c r="J1704" s="12" t="n">
        <x:f>IF('患者配对'!R1909="positive",1,0)</x:f>
        <x:v>0</x:v>
      </x:c>
      <x:c r="K1704" s="12" t="n">
        <x:f>IF('患者配对'!W1909="positive",1,0)</x:f>
        <x:v>0</x:v>
      </x:c>
      <x:c r="L1704" s="12" t="str">
        <x:v>由原件与原状态取得；仅主队列索引</x:v>
      </x:c>
      <x:c r="M1704" s="12"/>
      <x:c r="N1704" s="12"/>
      <x:c r="O1704" s="12"/>
    </x:row>
    <x:row r="1705" ht="39" customHeight="1">
      <x:c r="A1705" s="12" t="str">
        <x:v>18131</x:v>
      </x:c>
      <x:c r="B1705" s="12" t="str">
        <x:v>10158</x:v>
      </x:c>
      <x:c r="C1705" s="12" t="str">
        <x:v>参考001</x:v>
      </x:c>
      <x:c r="D1705" s="12" t="str">
        <x:v>自动001</x:v>
      </x:c>
      <x:c r="E1705" s="12" t="n">
        <x:v>1</x:v>
      </x:c>
      <x:c r="F1705" s="12" t="n">
        <x:v>1</x:v>
      </x:c>
      <x:c r="G1705" s="12" t="n">
        <x:v>0</x:v>
      </x:c>
      <x:c r="H1705" s="12" t="n">
        <x:f>IF(SUM(I1705:K1705)&gt;0,1,0)</x:f>
        <x:v>1</x:v>
      </x:c>
      <x:c r="I1705" s="12" t="n">
        <x:f>IF('患者配对'!M1910="positive",1,0)</x:f>
        <x:v>0</x:v>
      </x:c>
      <x:c r="J1705" s="12" t="n">
        <x:f>IF('患者配对'!R1910="positive",1,0)</x:f>
        <x:v>0</x:v>
      </x:c>
      <x:c r="K1705" s="12" t="n">
        <x:f>IF('患者配对'!W1910="positive",1,0)</x:f>
        <x:v>1</x:v>
      </x:c>
      <x:c r="L1705" s="12" t="str">
        <x:v>由原件与原状态取得；仅主队列索引</x:v>
      </x:c>
      <x:c r="M1705" s="12"/>
      <x:c r="N1705" s="12"/>
      <x:c r="O1705" s="12"/>
    </x:row>
    <x:row r="1706" ht="39" customHeight="1">
      <x:c r="A1706" s="12" t="str">
        <x:v>18132</x:v>
      </x:c>
      <x:c r="B1706" s="12" t="str">
        <x:v>2940</x:v>
      </x:c>
      <x:c r="C1706" s="12" t="str">
        <x:v>参考000</x:v>
      </x:c>
      <x:c r="D1706" s="12" t="str">
        <x:v>自动000</x:v>
      </x:c>
      <x:c r="E1706" s="12" t="n">
        <x:v>0</x:v>
      </x:c>
      <x:c r="F1706" s="12" t="n">
        <x:v>0</x:v>
      </x:c>
      <x:c r="G1706" s="12" t="n">
        <x:v>0</x:v>
      </x:c>
      <x:c r="H1706" s="12" t="n">
        <x:f>IF(SUM(I1706:K1706)&gt;0,1,0)</x:f>
        <x:v>0</x:v>
      </x:c>
      <x:c r="I1706" s="12" t="n">
        <x:f>IF('患者配对'!M1911="positive",1,0)</x:f>
        <x:v>0</x:v>
      </x:c>
      <x:c r="J1706" s="12" t="n">
        <x:f>IF('患者配对'!R1911="positive",1,0)</x:f>
        <x:v>0</x:v>
      </x:c>
      <x:c r="K1706" s="12" t="n">
        <x:f>IF('患者配对'!W1911="positive",1,0)</x:f>
        <x:v>0</x:v>
      </x:c>
      <x:c r="L1706" s="12" t="str">
        <x:v>由原件与原状态取得；仅主队列索引</x:v>
      </x:c>
      <x:c r="M1706" s="12"/>
      <x:c r="N1706" s="12"/>
      <x:c r="O1706" s="12"/>
    </x:row>
    <x:row r="1707" ht="39" customHeight="1">
      <x:c r="A1707" s="12" t="str">
        <x:v>18134</x:v>
      </x:c>
      <x:c r="B1707" s="12" t="str">
        <x:v>3537</x:v>
      </x:c>
      <x:c r="C1707" s="12" t="str">
        <x:v>参考000</x:v>
      </x:c>
      <x:c r="D1707" s="12" t="str">
        <x:v>自动000</x:v>
      </x:c>
      <x:c r="E1707" s="12" t="n">
        <x:v>0</x:v>
      </x:c>
      <x:c r="F1707" s="12" t="n">
        <x:v>0</x:v>
      </x:c>
      <x:c r="G1707" s="12" t="n">
        <x:v>0</x:v>
      </x:c>
      <x:c r="H1707" s="12" t="n">
        <x:f>IF(SUM(I1707:K1707)&gt;0,1,0)</x:f>
        <x:v>0</x:v>
      </x:c>
      <x:c r="I1707" s="12" t="n">
        <x:f>IF('患者配对'!M1912="positive",1,0)</x:f>
        <x:v>0</x:v>
      </x:c>
      <x:c r="J1707" s="12" t="n">
        <x:f>IF('患者配对'!R1912="positive",1,0)</x:f>
        <x:v>0</x:v>
      </x:c>
      <x:c r="K1707" s="12" t="n">
        <x:f>IF('患者配对'!W1912="positive",1,0)</x:f>
        <x:v>0</x:v>
      </x:c>
      <x:c r="L1707" s="12" t="str">
        <x:v>由原件与原状态取得；仅主队列索引</x:v>
      </x:c>
      <x:c r="M1707" s="12"/>
      <x:c r="N1707" s="12"/>
      <x:c r="O1707" s="12"/>
    </x:row>
    <x:row r="1708" ht="39" customHeight="1">
      <x:c r="A1708" s="12" t="str">
        <x:v>18162</x:v>
      </x:c>
      <x:c r="B1708" s="12" t="str">
        <x:v>18477</x:v>
      </x:c>
      <x:c r="C1708" s="12" t="str">
        <x:v>参考000</x:v>
      </x:c>
      <x:c r="D1708" s="12" t="str">
        <x:v>自动000</x:v>
      </x:c>
      <x:c r="E1708" s="12" t="n">
        <x:v>0</x:v>
      </x:c>
      <x:c r="F1708" s="12" t="n">
        <x:v>0</x:v>
      </x:c>
      <x:c r="G1708" s="12" t="n">
        <x:v>0</x:v>
      </x:c>
      <x:c r="H1708" s="12" t="n">
        <x:f>IF(SUM(I1708:K1708)&gt;0,1,0)</x:f>
        <x:v>0</x:v>
      </x:c>
      <x:c r="I1708" s="12" t="n">
        <x:f>IF('患者配对'!M1914="positive",1,0)</x:f>
        <x:v>0</x:v>
      </x:c>
      <x:c r="J1708" s="12" t="n">
        <x:f>IF('患者配对'!R1914="positive",1,0)</x:f>
        <x:v>0</x:v>
      </x:c>
      <x:c r="K1708" s="12" t="n">
        <x:f>IF('患者配对'!W1914="positive",1,0)</x:f>
        <x:v>0</x:v>
      </x:c>
      <x:c r="L1708" s="12" t="str">
        <x:v>由原件与原状态取得；仅主队列索引</x:v>
      </x:c>
      <x:c r="M1708" s="12"/>
      <x:c r="N1708" s="12"/>
      <x:c r="O1708" s="12"/>
    </x:row>
    <x:row r="1709" ht="39" customHeight="1">
      <x:c r="A1709" s="12" t="str">
        <x:v>18172</x:v>
      </x:c>
      <x:c r="B1709" s="12" t="str">
        <x:v>7679</x:v>
      </x:c>
      <x:c r="C1709" s="12" t="str">
        <x:v>参考000</x:v>
      </x:c>
      <x:c r="D1709" s="12" t="str">
        <x:v>自动000</x:v>
      </x:c>
      <x:c r="E1709" s="12" t="n">
        <x:v>0</x:v>
      </x:c>
      <x:c r="F1709" s="12" t="n">
        <x:v>1</x:v>
      </x:c>
      <x:c r="G1709" s="12" t="n">
        <x:v>0</x:v>
      </x:c>
      <x:c r="H1709" s="12" t="n">
        <x:f>IF(SUM(I1709:K1709)&gt;0,1,0)</x:f>
        <x:v>0</x:v>
      </x:c>
      <x:c r="I1709" s="12" t="n">
        <x:f>IF('患者配对'!M1915="positive",1,0)</x:f>
        <x:v>0</x:v>
      </x:c>
      <x:c r="J1709" s="12" t="n">
        <x:f>IF('患者配对'!R1915="positive",1,0)</x:f>
        <x:v>0</x:v>
      </x:c>
      <x:c r="K1709" s="12" t="n">
        <x:f>IF('患者配对'!W1915="positive",1,0)</x:f>
        <x:v>0</x:v>
      </x:c>
      <x:c r="L1709" s="12" t="str">
        <x:v>由原件与原状态取得；仅主队列索引</x:v>
      </x:c>
      <x:c r="M1709" s="12"/>
      <x:c r="N1709" s="12"/>
      <x:c r="O1709" s="12"/>
    </x:row>
    <x:row r="1710" ht="39" customHeight="1">
      <x:c r="A1710" s="12" t="str">
        <x:v>18175</x:v>
      </x:c>
      <x:c r="B1710" s="12" t="str">
        <x:v>1750</x:v>
      </x:c>
      <x:c r="C1710" s="12" t="str">
        <x:v>参考000</x:v>
      </x:c>
      <x:c r="D1710" s="12" t="str">
        <x:v>自动000</x:v>
      </x:c>
      <x:c r="E1710" s="12" t="n">
        <x:v>0</x:v>
      </x:c>
      <x:c r="F1710" s="12" t="n">
        <x:v>0</x:v>
      </x:c>
      <x:c r="G1710" s="12" t="n">
        <x:v>0</x:v>
      </x:c>
      <x:c r="H1710" s="12" t="n">
        <x:f>IF(SUM(I1710:K1710)&gt;0,1,0)</x:f>
        <x:v>0</x:v>
      </x:c>
      <x:c r="I1710" s="12" t="n">
        <x:f>IF('患者配对'!M1916="positive",1,0)</x:f>
        <x:v>0</x:v>
      </x:c>
      <x:c r="J1710" s="12" t="n">
        <x:f>IF('患者配对'!R1916="positive",1,0)</x:f>
        <x:v>0</x:v>
      </x:c>
      <x:c r="K1710" s="12" t="n">
        <x:f>IF('患者配对'!W1916="positive",1,0)</x:f>
        <x:v>0</x:v>
      </x:c>
      <x:c r="L1710" s="12" t="str">
        <x:v>由原件与原状态取得；仅主队列索引</x:v>
      </x:c>
      <x:c r="M1710" s="12"/>
      <x:c r="N1710" s="12"/>
      <x:c r="O1710" s="12"/>
    </x:row>
    <x:row r="1711" ht="39" customHeight="1">
      <x:c r="A1711" s="12" t="str">
        <x:v>18200</x:v>
      </x:c>
      <x:c r="B1711" s="12" t="str">
        <x:v>6369</x:v>
      </x:c>
      <x:c r="C1711" s="12" t="str">
        <x:v>参考000</x:v>
      </x:c>
      <x:c r="D1711" s="12" t="str">
        <x:v>自动000</x:v>
      </x:c>
      <x:c r="E1711" s="12" t="n">
        <x:v>0</x:v>
      </x:c>
      <x:c r="F1711" s="12" t="n">
        <x:v>0</x:v>
      </x:c>
      <x:c r="G1711" s="12" t="n">
        <x:v>0</x:v>
      </x:c>
      <x:c r="H1711" s="12" t="n">
        <x:f>IF(SUM(I1711:K1711)&gt;0,1,0)</x:f>
        <x:v>0</x:v>
      </x:c>
      <x:c r="I1711" s="12" t="n">
        <x:f>IF('患者配对'!M1917="positive",1,0)</x:f>
        <x:v>0</x:v>
      </x:c>
      <x:c r="J1711" s="12" t="n">
        <x:f>IF('患者配对'!R1917="positive",1,0)</x:f>
        <x:v>0</x:v>
      </x:c>
      <x:c r="K1711" s="12" t="n">
        <x:f>IF('患者配对'!W1917="positive",1,0)</x:f>
        <x:v>0</x:v>
      </x:c>
      <x:c r="L1711" s="12" t="str">
        <x:v>由原件与原状态取得；仅主队列索引</x:v>
      </x:c>
      <x:c r="M1711" s="12"/>
      <x:c r="N1711" s="12"/>
      <x:c r="O1711" s="12"/>
    </x:row>
    <x:row r="1712" ht="39" customHeight="1">
      <x:c r="A1712" s="12" t="str">
        <x:v>18202</x:v>
      </x:c>
      <x:c r="B1712" s="12" t="str">
        <x:v>9497</x:v>
      </x:c>
      <x:c r="C1712" s="12" t="str">
        <x:v>参考000</x:v>
      </x:c>
      <x:c r="D1712" s="12" t="str">
        <x:v>自动000</x:v>
      </x:c>
      <x:c r="E1712" s="12" t="n">
        <x:v>0</x:v>
      </x:c>
      <x:c r="F1712" s="12" t="n">
        <x:v>0</x:v>
      </x:c>
      <x:c r="G1712" s="12" t="n">
        <x:v>0</x:v>
      </x:c>
      <x:c r="H1712" s="12" t="n">
        <x:f>IF(SUM(I1712:K1712)&gt;0,1,0)</x:f>
        <x:v>0</x:v>
      </x:c>
      <x:c r="I1712" s="12" t="n">
        <x:f>IF('患者配对'!M1918="positive",1,0)</x:f>
        <x:v>0</x:v>
      </x:c>
      <x:c r="J1712" s="12" t="n">
        <x:f>IF('患者配对'!R1918="positive",1,0)</x:f>
        <x:v>0</x:v>
      </x:c>
      <x:c r="K1712" s="12" t="n">
        <x:f>IF('患者配对'!W1918="positive",1,0)</x:f>
        <x:v>0</x:v>
      </x:c>
      <x:c r="L1712" s="12" t="str">
        <x:v>由原件与原状态取得；仅主队列索引</x:v>
      </x:c>
      <x:c r="M1712" s="12"/>
      <x:c r="N1712" s="12"/>
      <x:c r="O1712" s="12"/>
    </x:row>
    <x:row r="1713" ht="39" customHeight="1">
      <x:c r="A1713" s="12" t="str">
        <x:v>18232</x:v>
      </x:c>
      <x:c r="B1713" s="12" t="str">
        <x:v>2754</x:v>
      </x:c>
      <x:c r="C1713" s="12" t="str">
        <x:v>参考000</x:v>
      </x:c>
      <x:c r="D1713" s="12" t="str">
        <x:v>自动000</x:v>
      </x:c>
      <x:c r="E1713" s="12" t="n">
        <x:v>0</x:v>
      </x:c>
      <x:c r="F1713" s="12" t="n">
        <x:v>0</x:v>
      </x:c>
      <x:c r="G1713" s="12" t="n">
        <x:v>0</x:v>
      </x:c>
      <x:c r="H1713" s="12" t="n">
        <x:f>IF(SUM(I1713:K1713)&gt;0,1,0)</x:f>
        <x:v>0</x:v>
      </x:c>
      <x:c r="I1713" s="12" t="n">
        <x:f>IF('患者配对'!M1919="positive",1,0)</x:f>
        <x:v>0</x:v>
      </x:c>
      <x:c r="J1713" s="12" t="n">
        <x:f>IF('患者配对'!R1919="positive",1,0)</x:f>
        <x:v>0</x:v>
      </x:c>
      <x:c r="K1713" s="12" t="n">
        <x:f>IF('患者配对'!W1919="positive",1,0)</x:f>
        <x:v>0</x:v>
      </x:c>
      <x:c r="L1713" s="12" t="str">
        <x:v>由原件与原状态取得；仅主队列索引</x:v>
      </x:c>
      <x:c r="M1713" s="12"/>
      <x:c r="N1713" s="12"/>
      <x:c r="O1713" s="12"/>
    </x:row>
    <x:row r="1714" ht="39" customHeight="1">
      <x:c r="A1714" s="12" t="str">
        <x:v>18234</x:v>
      </x:c>
      <x:c r="B1714" s="12" t="str">
        <x:v>1142</x:v>
      </x:c>
      <x:c r="C1714" s="12" t="str">
        <x:v>参考000</x:v>
      </x:c>
      <x:c r="D1714" s="12" t="str">
        <x:v>自动000</x:v>
      </x:c>
      <x:c r="E1714" s="12" t="n">
        <x:v>0</x:v>
      </x:c>
      <x:c r="F1714" s="12" t="n">
        <x:v>0</x:v>
      </x:c>
      <x:c r="G1714" s="12" t="n">
        <x:v>0</x:v>
      </x:c>
      <x:c r="H1714" s="12" t="n">
        <x:f>IF(SUM(I1714:K1714)&gt;0,1,0)</x:f>
        <x:v>0</x:v>
      </x:c>
      <x:c r="I1714" s="12" t="n">
        <x:f>IF('患者配对'!M1920="positive",1,0)</x:f>
        <x:v>0</x:v>
      </x:c>
      <x:c r="J1714" s="12" t="n">
        <x:f>IF('患者配对'!R1920="positive",1,0)</x:f>
        <x:v>0</x:v>
      </x:c>
      <x:c r="K1714" s="12" t="n">
        <x:f>IF('患者配对'!W1920="positive",1,0)</x:f>
        <x:v>0</x:v>
      </x:c>
      <x:c r="L1714" s="12" t="str">
        <x:v>由原件与原状态取得；仅主队列索引</x:v>
      </x:c>
      <x:c r="M1714" s="12"/>
      <x:c r="N1714" s="12"/>
      <x:c r="O1714" s="12"/>
    </x:row>
    <x:row r="1715" ht="39" customHeight="1">
      <x:c r="A1715" s="12" t="str">
        <x:v>18240</x:v>
      </x:c>
      <x:c r="B1715" s="12" t="str">
        <x:v>5566</x:v>
      </x:c>
      <x:c r="C1715" s="12" t="str">
        <x:v>参考000</x:v>
      </x:c>
      <x:c r="D1715" s="12" t="str">
        <x:v>自动000</x:v>
      </x:c>
      <x:c r="E1715" s="12" t="n">
        <x:v>0</x:v>
      </x:c>
      <x:c r="F1715" s="12" t="n">
        <x:v>0</x:v>
      </x:c>
      <x:c r="G1715" s="12" t="n">
        <x:v>0</x:v>
      </x:c>
      <x:c r="H1715" s="12" t="n">
        <x:f>IF(SUM(I1715:K1715)&gt;0,1,0)</x:f>
        <x:v>0</x:v>
      </x:c>
      <x:c r="I1715" s="12" t="n">
        <x:f>IF('患者配对'!M1921="positive",1,0)</x:f>
        <x:v>0</x:v>
      </x:c>
      <x:c r="J1715" s="12" t="n">
        <x:f>IF('患者配对'!R1921="positive",1,0)</x:f>
        <x:v>0</x:v>
      </x:c>
      <x:c r="K1715" s="12" t="n">
        <x:f>IF('患者配对'!W1921="positive",1,0)</x:f>
        <x:v>0</x:v>
      </x:c>
      <x:c r="L1715" s="12" t="str">
        <x:v>由原件与原状态取得；仅主队列索引</x:v>
      </x:c>
      <x:c r="M1715" s="12"/>
      <x:c r="N1715" s="12"/>
      <x:c r="O1715" s="12"/>
    </x:row>
    <x:row r="1716" ht="39" customHeight="1">
      <x:c r="A1716" s="12" t="str">
        <x:v>18256</x:v>
      </x:c>
      <x:c r="B1716" s="12" t="str">
        <x:v>442</x:v>
      </x:c>
      <x:c r="C1716" s="12" t="str">
        <x:v>参考100</x:v>
      </x:c>
      <x:c r="D1716" s="12" t="str">
        <x:v>自动100</x:v>
      </x:c>
      <x:c r="E1716" s="12" t="n">
        <x:v>1</x:v>
      </x:c>
      <x:c r="F1716" s="12" t="n">
        <x:v>1</x:v>
      </x:c>
      <x:c r="G1716" s="12" t="n">
        <x:v>0</x:v>
      </x:c>
      <x:c r="H1716" s="12" t="n">
        <x:f>IF(SUM(I1716:K1716)&gt;0,1,0)</x:f>
        <x:v>1</x:v>
      </x:c>
      <x:c r="I1716" s="12" t="n">
        <x:f>IF('患者配对'!M1922="positive",1,0)</x:f>
        <x:v>1</x:v>
      </x:c>
      <x:c r="J1716" s="12" t="n">
        <x:f>IF('患者配对'!R1922="positive",1,0)</x:f>
        <x:v>0</x:v>
      </x:c>
      <x:c r="K1716" s="12" t="n">
        <x:f>IF('患者配对'!W1922="positive",1,0)</x:f>
        <x:v>0</x:v>
      </x:c>
      <x:c r="L1716" s="12" t="str">
        <x:v>由原件与原状态取得；仅主队列索引</x:v>
      </x:c>
      <x:c r="M1716" s="12"/>
      <x:c r="N1716" s="12"/>
      <x:c r="O1716" s="12"/>
    </x:row>
    <x:row r="1717" ht="39" customHeight="1">
      <x:c r="A1717" s="12" t="str">
        <x:v>18295</x:v>
      </x:c>
      <x:c r="B1717" s="12" t="str">
        <x:v>19830</x:v>
      </x:c>
      <x:c r="C1717" s="12" t="str">
        <x:v>参考000</x:v>
      </x:c>
      <x:c r="D1717" s="12" t="str">
        <x:v>自动000</x:v>
      </x:c>
      <x:c r="E1717" s="12" t="n">
        <x:v>0</x:v>
      </x:c>
      <x:c r="F1717" s="12" t="n">
        <x:v>0</x:v>
      </x:c>
      <x:c r="G1717" s="12" t="n">
        <x:v>0</x:v>
      </x:c>
      <x:c r="H1717" s="12" t="n">
        <x:f>IF(SUM(I1717:K1717)&gt;0,1,0)</x:f>
        <x:v>0</x:v>
      </x:c>
      <x:c r="I1717" s="12" t="n">
        <x:f>IF('患者配对'!M1924="positive",1,0)</x:f>
        <x:v>0</x:v>
      </x:c>
      <x:c r="J1717" s="12" t="n">
        <x:f>IF('患者配对'!R1924="positive",1,0)</x:f>
        <x:v>0</x:v>
      </x:c>
      <x:c r="K1717" s="12" t="n">
        <x:f>IF('患者配对'!W1924="positive",1,0)</x:f>
        <x:v>0</x:v>
      </x:c>
      <x:c r="L1717" s="12" t="str">
        <x:v>由原件与原状态取得；仅主队列索引</x:v>
      </x:c>
      <x:c r="M1717" s="12"/>
      <x:c r="N1717" s="12"/>
      <x:c r="O1717" s="12"/>
    </x:row>
    <x:row r="1718" ht="39" customHeight="1">
      <x:c r="A1718" s="12" t="str">
        <x:v>18296</x:v>
      </x:c>
      <x:c r="B1718" s="12" t="str">
        <x:v>5117</x:v>
      </x:c>
      <x:c r="C1718" s="12" t="str">
        <x:v>参考000</x:v>
      </x:c>
      <x:c r="D1718" s="12" t="str">
        <x:v>自动000</x:v>
      </x:c>
      <x:c r="E1718" s="12" t="n">
        <x:v>0</x:v>
      </x:c>
      <x:c r="F1718" s="12" t="n">
        <x:v>0</x:v>
      </x:c>
      <x:c r="G1718" s="12" t="n">
        <x:v>0</x:v>
      </x:c>
      <x:c r="H1718" s="12" t="n">
        <x:f>IF(SUM(I1718:K1718)&gt;0,1,0)</x:f>
        <x:v>0</x:v>
      </x:c>
      <x:c r="I1718" s="12" t="n">
        <x:f>IF('患者配对'!M1925="positive",1,0)</x:f>
        <x:v>0</x:v>
      </x:c>
      <x:c r="J1718" s="12" t="n">
        <x:f>IF('患者配对'!R1925="positive",1,0)</x:f>
        <x:v>0</x:v>
      </x:c>
      <x:c r="K1718" s="12" t="n">
        <x:f>IF('患者配对'!W1925="positive",1,0)</x:f>
        <x:v>0</x:v>
      </x:c>
      <x:c r="L1718" s="12" t="str">
        <x:v>由原件与原状态取得；仅主队列索引</x:v>
      </x:c>
      <x:c r="M1718" s="12"/>
      <x:c r="N1718" s="12"/>
      <x:c r="O1718" s="12"/>
    </x:row>
    <x:row r="1719" ht="39" customHeight="1">
      <x:c r="A1719" s="12" t="str">
        <x:v>18363</x:v>
      </x:c>
      <x:c r="B1719" s="12" t="str">
        <x:v>17537</x:v>
      </x:c>
      <x:c r="C1719" s="12" t="str">
        <x:v>参考000</x:v>
      </x:c>
      <x:c r="D1719" s="12" t="str">
        <x:v>自动000</x:v>
      </x:c>
      <x:c r="E1719" s="12" t="n">
        <x:v>0</x:v>
      </x:c>
      <x:c r="F1719" s="12" t="n">
        <x:v>0</x:v>
      </x:c>
      <x:c r="G1719" s="12" t="n">
        <x:v>0</x:v>
      </x:c>
      <x:c r="H1719" s="12" t="n">
        <x:f>IF(SUM(I1719:K1719)&gt;0,1,0)</x:f>
        <x:v>0</x:v>
      </x:c>
      <x:c r="I1719" s="12" t="n">
        <x:f>IF('患者配对'!M1926="positive",1,0)</x:f>
        <x:v>0</x:v>
      </x:c>
      <x:c r="J1719" s="12" t="n">
        <x:f>IF('患者配对'!R1926="positive",1,0)</x:f>
        <x:v>0</x:v>
      </x:c>
      <x:c r="K1719" s="12" t="n">
        <x:f>IF('患者配对'!W1926="positive",1,0)</x:f>
        <x:v>0</x:v>
      </x:c>
      <x:c r="L1719" s="12" t="str">
        <x:v>由原件与原状态取得；仅主队列索引</x:v>
      </x:c>
      <x:c r="M1719" s="12"/>
      <x:c r="N1719" s="12"/>
      <x:c r="O1719" s="12"/>
    </x:row>
    <x:row r="1720" ht="39" customHeight="1">
      <x:c r="A1720" s="12" t="str">
        <x:v>18364</x:v>
      </x:c>
      <x:c r="B1720" s="12" t="str">
        <x:v>18137</x:v>
      </x:c>
      <x:c r="C1720" s="12" t="str">
        <x:v>参考100</x:v>
      </x:c>
      <x:c r="D1720" s="12" t="str">
        <x:v>自动000</x:v>
      </x:c>
      <x:c r="E1720" s="12" t="n">
        <x:v>0</x:v>
      </x:c>
      <x:c r="F1720" s="12" t="n">
        <x:v>0</x:v>
      </x:c>
      <x:c r="G1720" s="12" t="n">
        <x:v>1</x:v>
      </x:c>
      <x:c r="H1720" s="12" t="n">
        <x:f>IF(SUM(I1720:K1720)&gt;0,1,0)</x:f>
        <x:v>1</x:v>
      </x:c>
      <x:c r="I1720" s="12" t="n">
        <x:f>IF('患者配对'!M1927="positive",1,0)</x:f>
        <x:v>1</x:v>
      </x:c>
      <x:c r="J1720" s="12" t="n">
        <x:f>IF('患者配对'!R1927="positive",1,0)</x:f>
        <x:v>0</x:v>
      </x:c>
      <x:c r="K1720" s="12" t="n">
        <x:f>IF('患者配对'!W1927="positive",1,0)</x:f>
        <x:v>0</x:v>
      </x:c>
      <x:c r="L1720" s="12" t="str">
        <x:v>由原件与原状态取得；仅主队列索引</x:v>
      </x:c>
      <x:c r="M1720" s="12"/>
      <x:c r="N1720" s="12"/>
      <x:c r="O1720" s="12"/>
    </x:row>
    <x:row r="1721" ht="39" customHeight="1">
      <x:c r="A1721" s="12" t="str">
        <x:v>18365</x:v>
      </x:c>
      <x:c r="B1721" s="12" t="str">
        <x:v>17156</x:v>
      </x:c>
      <x:c r="C1721" s="12" t="str">
        <x:v>参考000</x:v>
      </x:c>
      <x:c r="D1721" s="12" t="str">
        <x:v>自动000</x:v>
      </x:c>
      <x:c r="E1721" s="12" t="n">
        <x:v>0</x:v>
      </x:c>
      <x:c r="F1721" s="12" t="n">
        <x:v>1</x:v>
      </x:c>
      <x:c r="G1721" s="12" t="n">
        <x:v>0</x:v>
      </x:c>
      <x:c r="H1721" s="12" t="n">
        <x:f>IF(SUM(I1721:K1721)&gt;0,1,0)</x:f>
        <x:v>0</x:v>
      </x:c>
      <x:c r="I1721" s="12" t="n">
        <x:f>IF('患者配对'!M1928="positive",1,0)</x:f>
        <x:v>0</x:v>
      </x:c>
      <x:c r="J1721" s="12" t="n">
        <x:f>IF('患者配对'!R1928="positive",1,0)</x:f>
        <x:v>0</x:v>
      </x:c>
      <x:c r="K1721" s="12" t="n">
        <x:f>IF('患者配对'!W1928="positive",1,0)</x:f>
        <x:v>0</x:v>
      </x:c>
      <x:c r="L1721" s="12" t="str">
        <x:v>由原件与原状态取得；仅主队列索引</x:v>
      </x:c>
      <x:c r="M1721" s="12"/>
      <x:c r="N1721" s="12"/>
      <x:c r="O1721" s="12"/>
    </x:row>
    <x:row r="1722" ht="39" customHeight="1">
      <x:c r="A1722" s="12" t="str">
        <x:v>18367</x:v>
      </x:c>
      <x:c r="B1722" s="12" t="str">
        <x:v>5134</x:v>
      </x:c>
      <x:c r="C1722" s="12" t="str">
        <x:v>参考000</x:v>
      </x:c>
      <x:c r="D1722" s="12" t="str">
        <x:v>自动000</x:v>
      </x:c>
      <x:c r="E1722" s="12" t="n">
        <x:v>0</x:v>
      </x:c>
      <x:c r="F1722" s="12" t="n">
        <x:v>0</x:v>
      </x:c>
      <x:c r="G1722" s="12" t="n">
        <x:v>0</x:v>
      </x:c>
      <x:c r="H1722" s="12" t="n">
        <x:f>IF(SUM(I1722:K1722)&gt;0,1,0)</x:f>
        <x:v>0</x:v>
      </x:c>
      <x:c r="I1722" s="12" t="n">
        <x:f>IF('患者配对'!M1929="positive",1,0)</x:f>
        <x:v>0</x:v>
      </x:c>
      <x:c r="J1722" s="12" t="n">
        <x:f>IF('患者配对'!R1929="positive",1,0)</x:f>
        <x:v>0</x:v>
      </x:c>
      <x:c r="K1722" s="12" t="n">
        <x:f>IF('患者配对'!W1929="positive",1,0)</x:f>
        <x:v>0</x:v>
      </x:c>
      <x:c r="L1722" s="12" t="str">
        <x:v>由原件与原状态取得；仅主队列索引</x:v>
      </x:c>
      <x:c r="M1722" s="12"/>
      <x:c r="N1722" s="12"/>
      <x:c r="O1722" s="12"/>
    </x:row>
    <x:row r="1723" ht="39" customHeight="1">
      <x:c r="A1723" s="12" t="str">
        <x:v>18392</x:v>
      </x:c>
      <x:c r="B1723" s="12" t="str">
        <x:v>2244</x:v>
      </x:c>
      <x:c r="C1723" s="12" t="str">
        <x:v>参考000</x:v>
      </x:c>
      <x:c r="D1723" s="12" t="str">
        <x:v>自动000</x:v>
      </x:c>
      <x:c r="E1723" s="12" t="n">
        <x:v>0</x:v>
      </x:c>
      <x:c r="F1723" s="12" t="n">
        <x:v>1</x:v>
      </x:c>
      <x:c r="G1723" s="12" t="n">
        <x:v>0</x:v>
      </x:c>
      <x:c r="H1723" s="12" t="n">
        <x:f>IF(SUM(I1723:K1723)&gt;0,1,0)</x:f>
        <x:v>0</x:v>
      </x:c>
      <x:c r="I1723" s="12" t="n">
        <x:f>IF('患者配对'!M1930="positive",1,0)</x:f>
        <x:v>0</x:v>
      </x:c>
      <x:c r="J1723" s="12" t="n">
        <x:f>IF('患者配对'!R1930="positive",1,0)</x:f>
        <x:v>0</x:v>
      </x:c>
      <x:c r="K1723" s="12" t="n">
        <x:f>IF('患者配对'!W1930="positive",1,0)</x:f>
        <x:v>0</x:v>
      </x:c>
      <x:c r="L1723" s="12" t="str">
        <x:v>由原件与原状态取得；仅主队列索引</x:v>
      </x:c>
      <x:c r="M1723" s="12"/>
      <x:c r="N1723" s="12"/>
      <x:c r="O1723" s="12"/>
    </x:row>
    <x:row r="1724" ht="39" customHeight="1">
      <x:c r="A1724" s="12" t="str">
        <x:v>18416</x:v>
      </x:c>
      <x:c r="B1724" s="12" t="str">
        <x:v>8068</x:v>
      </x:c>
      <x:c r="C1724" s="12" t="str">
        <x:v>参考000</x:v>
      </x:c>
      <x:c r="D1724" s="12" t="str">
        <x:v>自动000</x:v>
      </x:c>
      <x:c r="E1724" s="12" t="n">
        <x:v>0</x:v>
      </x:c>
      <x:c r="F1724" s="12" t="n">
        <x:v>0</x:v>
      </x:c>
      <x:c r="G1724" s="12" t="n">
        <x:v>0</x:v>
      </x:c>
      <x:c r="H1724" s="12" t="n">
        <x:f>IF(SUM(I1724:K1724)&gt;0,1,0)</x:f>
        <x:v>0</x:v>
      </x:c>
      <x:c r="I1724" s="12" t="n">
        <x:f>IF('患者配对'!M1931="positive",1,0)</x:f>
        <x:v>0</x:v>
      </x:c>
      <x:c r="J1724" s="12" t="n">
        <x:f>IF('患者配对'!R1931="positive",1,0)</x:f>
        <x:v>0</x:v>
      </x:c>
      <x:c r="K1724" s="12" t="n">
        <x:f>IF('患者配对'!W1931="positive",1,0)</x:f>
        <x:v>0</x:v>
      </x:c>
      <x:c r="L1724" s="12" t="str">
        <x:v>由原件与原状态取得；仅主队列索引</x:v>
      </x:c>
      <x:c r="M1724" s="12"/>
      <x:c r="N1724" s="12"/>
      <x:c r="O1724" s="12"/>
    </x:row>
    <x:row r="1725" ht="39" customHeight="1">
      <x:c r="A1725" s="12" t="str">
        <x:v>18422</x:v>
      </x:c>
      <x:c r="B1725" s="12" t="str">
        <x:v>14163</x:v>
      </x:c>
      <x:c r="C1725" s="12" t="str">
        <x:v>参考000</x:v>
      </x:c>
      <x:c r="D1725" s="12" t="str">
        <x:v>自动000</x:v>
      </x:c>
      <x:c r="E1725" s="12" t="n">
        <x:v>0</x:v>
      </x:c>
      <x:c r="F1725" s="12" t="n">
        <x:v>1</x:v>
      </x:c>
      <x:c r="G1725" s="12" t="n">
        <x:v>0</x:v>
      </x:c>
      <x:c r="H1725" s="12" t="n">
        <x:f>IF(SUM(I1725:K1725)&gt;0,1,0)</x:f>
        <x:v>0</x:v>
      </x:c>
      <x:c r="I1725" s="12" t="n">
        <x:f>IF('患者配对'!M1933="positive",1,0)</x:f>
        <x:v>0</x:v>
      </x:c>
      <x:c r="J1725" s="12" t="n">
        <x:f>IF('患者配对'!R1933="positive",1,0)</x:f>
        <x:v>0</x:v>
      </x:c>
      <x:c r="K1725" s="12" t="n">
        <x:f>IF('患者配对'!W1933="positive",1,0)</x:f>
        <x:v>0</x:v>
      </x:c>
      <x:c r="L1725" s="12" t="str">
        <x:v>由原件与原状态取得；仅主队列索引</x:v>
      </x:c>
      <x:c r="M1725" s="12"/>
      <x:c r="N1725" s="12"/>
      <x:c r="O1725" s="12"/>
    </x:row>
    <x:row r="1726" ht="39" customHeight="1">
      <x:c r="A1726" s="12" t="str">
        <x:v>18425</x:v>
      </x:c>
      <x:c r="B1726" s="12" t="str">
        <x:v>17790</x:v>
      </x:c>
      <x:c r="C1726" s="12" t="str">
        <x:v>参考000</x:v>
      </x:c>
      <x:c r="D1726" s="12" t="str">
        <x:v>自动000</x:v>
      </x:c>
      <x:c r="E1726" s="12" t="n">
        <x:v>0</x:v>
      </x:c>
      <x:c r="F1726" s="12" t="n">
        <x:v>0</x:v>
      </x:c>
      <x:c r="G1726" s="12" t="n">
        <x:v>0</x:v>
      </x:c>
      <x:c r="H1726" s="12" t="n">
        <x:f>IF(SUM(I1726:K1726)&gt;0,1,0)</x:f>
        <x:v>0</x:v>
      </x:c>
      <x:c r="I1726" s="12" t="n">
        <x:f>IF('患者配对'!M1934="positive",1,0)</x:f>
        <x:v>0</x:v>
      </x:c>
      <x:c r="J1726" s="12" t="n">
        <x:f>IF('患者配对'!R1934="positive",1,0)</x:f>
        <x:v>0</x:v>
      </x:c>
      <x:c r="K1726" s="12" t="n">
        <x:f>IF('患者配对'!W1934="positive",1,0)</x:f>
        <x:v>0</x:v>
      </x:c>
      <x:c r="L1726" s="12" t="str">
        <x:v>由原件与原状态取得；仅主队列索引</x:v>
      </x:c>
      <x:c r="M1726" s="12"/>
      <x:c r="N1726" s="12"/>
      <x:c r="O1726" s="12"/>
    </x:row>
    <x:row r="1727" ht="39" customHeight="1">
      <x:c r="A1727" s="12" t="str">
        <x:v>18432</x:v>
      </x:c>
      <x:c r="B1727" s="12" t="str">
        <x:v>16372</x:v>
      </x:c>
      <x:c r="C1727" s="12" t="str">
        <x:v>参考000</x:v>
      </x:c>
      <x:c r="D1727" s="12" t="str">
        <x:v>自动000</x:v>
      </x:c>
      <x:c r="E1727" s="12" t="n">
        <x:v>0</x:v>
      </x:c>
      <x:c r="F1727" s="12" t="n">
        <x:v>1</x:v>
      </x:c>
      <x:c r="G1727" s="12" t="n">
        <x:v>0</x:v>
      </x:c>
      <x:c r="H1727" s="12" t="n">
        <x:f>IF(SUM(I1727:K1727)&gt;0,1,0)</x:f>
        <x:v>0</x:v>
      </x:c>
      <x:c r="I1727" s="12" t="n">
        <x:f>IF('患者配对'!M1935="positive",1,0)</x:f>
        <x:v>0</x:v>
      </x:c>
      <x:c r="J1727" s="12" t="n">
        <x:f>IF('患者配对'!R1935="positive",1,0)</x:f>
        <x:v>0</x:v>
      </x:c>
      <x:c r="K1727" s="12" t="n">
        <x:f>IF('患者配对'!W1935="positive",1,0)</x:f>
        <x:v>0</x:v>
      </x:c>
      <x:c r="L1727" s="12" t="str">
        <x:v>由原件与原状态取得；仅主队列索引</x:v>
      </x:c>
      <x:c r="M1727" s="12"/>
      <x:c r="N1727" s="12"/>
      <x:c r="O1727" s="12"/>
    </x:row>
    <x:row r="1728" ht="39" customHeight="1">
      <x:c r="A1728" s="12" t="str">
        <x:v>18473</x:v>
      </x:c>
      <x:c r="B1728" s="12" t="str">
        <x:v>11894</x:v>
      </x:c>
      <x:c r="C1728" s="12" t="str">
        <x:v>参考000</x:v>
      </x:c>
      <x:c r="D1728" s="12" t="str">
        <x:v>自动000</x:v>
      </x:c>
      <x:c r="E1728" s="12" t="n">
        <x:v>0</x:v>
      </x:c>
      <x:c r="F1728" s="12" t="n">
        <x:v>0</x:v>
      </x:c>
      <x:c r="G1728" s="12" t="n">
        <x:v>0</x:v>
      </x:c>
      <x:c r="H1728" s="12" t="n">
        <x:f>IF(SUM(I1728:K1728)&gt;0,1,0)</x:f>
        <x:v>0</x:v>
      </x:c>
      <x:c r="I1728" s="12" t="n">
        <x:f>IF('患者配对'!M1937="positive",1,0)</x:f>
        <x:v>0</x:v>
      </x:c>
      <x:c r="J1728" s="12" t="n">
        <x:f>IF('患者配对'!R1937="positive",1,0)</x:f>
        <x:v>0</x:v>
      </x:c>
      <x:c r="K1728" s="12" t="n">
        <x:f>IF('患者配对'!W1937="positive",1,0)</x:f>
        <x:v>0</x:v>
      </x:c>
      <x:c r="L1728" s="12" t="str">
        <x:v>由原件与原状态取得；仅主队列索引</x:v>
      </x:c>
      <x:c r="M1728" s="12"/>
      <x:c r="N1728" s="12"/>
      <x:c r="O1728" s="12"/>
    </x:row>
    <x:row r="1729" ht="39" customHeight="1">
      <x:c r="A1729" s="12" t="str">
        <x:v>18490</x:v>
      </x:c>
      <x:c r="B1729" s="12" t="str">
        <x:v>12580</x:v>
      </x:c>
      <x:c r="C1729" s="12" t="str">
        <x:v>参考000</x:v>
      </x:c>
      <x:c r="D1729" s="12" t="str">
        <x:v>自动000</x:v>
      </x:c>
      <x:c r="E1729" s="12" t="n">
        <x:v>0</x:v>
      </x:c>
      <x:c r="F1729" s="12" t="n">
        <x:v>0</x:v>
      </x:c>
      <x:c r="G1729" s="12" t="n">
        <x:v>0</x:v>
      </x:c>
      <x:c r="H1729" s="12" t="n">
        <x:f>IF(SUM(I1729:K1729)&gt;0,1,0)</x:f>
        <x:v>0</x:v>
      </x:c>
      <x:c r="I1729" s="12" t="n">
        <x:f>IF('患者配对'!M1938="positive",1,0)</x:f>
        <x:v>0</x:v>
      </x:c>
      <x:c r="J1729" s="12" t="n">
        <x:f>IF('患者配对'!R1938="positive",1,0)</x:f>
        <x:v>0</x:v>
      </x:c>
      <x:c r="K1729" s="12" t="n">
        <x:f>IF('患者配对'!W1938="positive",1,0)</x:f>
        <x:v>0</x:v>
      </x:c>
      <x:c r="L1729" s="12" t="str">
        <x:v>由原件与原状态取得；仅主队列索引</x:v>
      </x:c>
      <x:c r="M1729" s="12"/>
      <x:c r="N1729" s="12"/>
      <x:c r="O1729" s="12"/>
    </x:row>
    <x:row r="1730" ht="39" customHeight="1">
      <x:c r="A1730" s="12" t="str">
        <x:v>18499</x:v>
      </x:c>
      <x:c r="B1730" s="12" t="str">
        <x:v>9407</x:v>
      </x:c>
      <x:c r="C1730" s="12" t="str">
        <x:v>参考010</x:v>
      </x:c>
      <x:c r="D1730" s="12" t="str">
        <x:v>自动010</x:v>
      </x:c>
      <x:c r="E1730" s="12" t="n">
        <x:v>1</x:v>
      </x:c>
      <x:c r="F1730" s="12" t="n">
        <x:v>1</x:v>
      </x:c>
      <x:c r="G1730" s="12" t="n">
        <x:v>0</x:v>
      </x:c>
      <x:c r="H1730" s="12" t="n">
        <x:f>IF(SUM(I1730:K1730)&gt;0,1,0)</x:f>
        <x:v>1</x:v>
      </x:c>
      <x:c r="I1730" s="12" t="n">
        <x:f>IF('患者配对'!M1939="positive",1,0)</x:f>
        <x:v>0</x:v>
      </x:c>
      <x:c r="J1730" s="12" t="n">
        <x:f>IF('患者配对'!R1939="positive",1,0)</x:f>
        <x:v>1</x:v>
      </x:c>
      <x:c r="K1730" s="12" t="n">
        <x:f>IF('患者配对'!W1939="positive",1,0)</x:f>
        <x:v>0</x:v>
      </x:c>
      <x:c r="L1730" s="12" t="str">
        <x:v>由原件与原状态取得；仅主队列索引</x:v>
      </x:c>
      <x:c r="M1730" s="12"/>
      <x:c r="N1730" s="12"/>
      <x:c r="O1730" s="12"/>
    </x:row>
    <x:row r="1731" ht="39" customHeight="1">
      <x:c r="A1731" s="12" t="str">
        <x:v>18501</x:v>
      </x:c>
      <x:c r="B1731" s="12" t="str">
        <x:v>15991</x:v>
      </x:c>
      <x:c r="C1731" s="12" t="str">
        <x:v>参考000</x:v>
      </x:c>
      <x:c r="D1731" s="12" t="str">
        <x:v>自动000</x:v>
      </x:c>
      <x:c r="E1731" s="12" t="n">
        <x:v>0</x:v>
      </x:c>
      <x:c r="F1731" s="12" t="n">
        <x:v>1</x:v>
      </x:c>
      <x:c r="G1731" s="12" t="n">
        <x:v>0</x:v>
      </x:c>
      <x:c r="H1731" s="12" t="n">
        <x:f>IF(SUM(I1731:K1731)&gt;0,1,0)</x:f>
        <x:v>0</x:v>
      </x:c>
      <x:c r="I1731" s="12" t="n">
        <x:f>IF('患者配对'!M1940="positive",1,0)</x:f>
        <x:v>0</x:v>
      </x:c>
      <x:c r="J1731" s="12" t="n">
        <x:f>IF('患者配对'!R1940="positive",1,0)</x:f>
        <x:v>0</x:v>
      </x:c>
      <x:c r="K1731" s="12" t="n">
        <x:f>IF('患者配对'!W1940="positive",1,0)</x:f>
        <x:v>0</x:v>
      </x:c>
      <x:c r="L1731" s="12" t="str">
        <x:v>由原件与原状态取得；仅主队列索引</x:v>
      </x:c>
      <x:c r="M1731" s="12"/>
      <x:c r="N1731" s="12"/>
      <x:c r="O1731" s="12"/>
    </x:row>
    <x:row r="1732" ht="39" customHeight="1">
      <x:c r="A1732" s="12" t="str">
        <x:v>18506</x:v>
      </x:c>
      <x:c r="B1732" s="12" t="str">
        <x:v>20964</x:v>
      </x:c>
      <x:c r="C1732" s="12" t="str">
        <x:v>参考000</x:v>
      </x:c>
      <x:c r="D1732" s="12" t="str">
        <x:v>自动000</x:v>
      </x:c>
      <x:c r="E1732" s="12" t="n">
        <x:v>0</x:v>
      </x:c>
      <x:c r="F1732" s="12" t="n">
        <x:v>0</x:v>
      </x:c>
      <x:c r="G1732" s="12" t="n">
        <x:v>0</x:v>
      </x:c>
      <x:c r="H1732" s="12" t="n">
        <x:f>IF(SUM(I1732:K1732)&gt;0,1,0)</x:f>
        <x:v>0</x:v>
      </x:c>
      <x:c r="I1732" s="12" t="n">
        <x:f>IF('患者配对'!M1941="positive",1,0)</x:f>
        <x:v>0</x:v>
      </x:c>
      <x:c r="J1732" s="12" t="n">
        <x:f>IF('患者配对'!R1941="positive",1,0)</x:f>
        <x:v>0</x:v>
      </x:c>
      <x:c r="K1732" s="12" t="n">
        <x:f>IF('患者配对'!W1941="positive",1,0)</x:f>
        <x:v>0</x:v>
      </x:c>
      <x:c r="L1732" s="12" t="str">
        <x:v>由原件与原状态取得；仅主队列索引</x:v>
      </x:c>
      <x:c r="M1732" s="12"/>
      <x:c r="N1732" s="12"/>
      <x:c r="O1732" s="12"/>
    </x:row>
    <x:row r="1733" ht="39" customHeight="1">
      <x:c r="A1733" s="12" t="str">
        <x:v>18519</x:v>
      </x:c>
      <x:c r="B1733" s="12" t="str">
        <x:v>18505</x:v>
      </x:c>
      <x:c r="C1733" s="12" t="str">
        <x:v>参考000</x:v>
      </x:c>
      <x:c r="D1733" s="12" t="str">
        <x:v>自动000</x:v>
      </x:c>
      <x:c r="E1733" s="12" t="n">
        <x:v>0</x:v>
      </x:c>
      <x:c r="F1733" s="12" t="n">
        <x:v>0</x:v>
      </x:c>
      <x:c r="G1733" s="12" t="n">
        <x:v>0</x:v>
      </x:c>
      <x:c r="H1733" s="12" t="n">
        <x:f>IF(SUM(I1733:K1733)&gt;0,1,0)</x:f>
        <x:v>0</x:v>
      </x:c>
      <x:c r="I1733" s="12" t="n">
        <x:f>IF('患者配对'!M1942="positive",1,0)</x:f>
        <x:v>0</x:v>
      </x:c>
      <x:c r="J1733" s="12" t="n">
        <x:f>IF('患者配对'!R1942="positive",1,0)</x:f>
        <x:v>0</x:v>
      </x:c>
      <x:c r="K1733" s="12" t="n">
        <x:f>IF('患者配对'!W1942="positive",1,0)</x:f>
        <x:v>0</x:v>
      </x:c>
      <x:c r="L1733" s="12" t="str">
        <x:v>由原件与原状态取得；仅主队列索引</x:v>
      </x:c>
      <x:c r="M1733" s="12"/>
      <x:c r="N1733" s="12"/>
      <x:c r="O1733" s="12"/>
    </x:row>
    <x:row r="1734" ht="39" customHeight="1">
      <x:c r="A1734" s="12" t="str">
        <x:v>18520</x:v>
      </x:c>
      <x:c r="B1734" s="12" t="str">
        <x:v>13186</x:v>
      </x:c>
      <x:c r="C1734" s="12" t="str">
        <x:v>参考000</x:v>
      </x:c>
      <x:c r="D1734" s="12" t="str">
        <x:v>自动000</x:v>
      </x:c>
      <x:c r="E1734" s="12" t="n">
        <x:v>0</x:v>
      </x:c>
      <x:c r="F1734" s="12" t="n">
        <x:v>0</x:v>
      </x:c>
      <x:c r="G1734" s="12" t="n">
        <x:v>0</x:v>
      </x:c>
      <x:c r="H1734" s="12" t="n">
        <x:f>IF(SUM(I1734:K1734)&gt;0,1,0)</x:f>
        <x:v>0</x:v>
      </x:c>
      <x:c r="I1734" s="12" t="n">
        <x:f>IF('患者配对'!M1943="positive",1,0)</x:f>
        <x:v>0</x:v>
      </x:c>
      <x:c r="J1734" s="12" t="n">
        <x:f>IF('患者配对'!R1943="positive",1,0)</x:f>
        <x:v>0</x:v>
      </x:c>
      <x:c r="K1734" s="12" t="n">
        <x:f>IF('患者配对'!W1943="positive",1,0)</x:f>
        <x:v>0</x:v>
      </x:c>
      <x:c r="L1734" s="12" t="str">
        <x:v>由原件与原状态取得；仅主队列索引</x:v>
      </x:c>
      <x:c r="M1734" s="12"/>
      <x:c r="N1734" s="12"/>
      <x:c r="O1734" s="12"/>
    </x:row>
    <x:row r="1735" ht="39" customHeight="1">
      <x:c r="A1735" s="12" t="str">
        <x:v>18592</x:v>
      </x:c>
      <x:c r="B1735" s="12" t="str">
        <x:v>16374</x:v>
      </x:c>
      <x:c r="C1735" s="12" t="str">
        <x:v>参考100</x:v>
      </x:c>
      <x:c r="D1735" s="12" t="str">
        <x:v>自动000</x:v>
      </x:c>
      <x:c r="E1735" s="12" t="n">
        <x:v>0</x:v>
      </x:c>
      <x:c r="F1735" s="12" t="n">
        <x:v>1</x:v>
      </x:c>
      <x:c r="G1735" s="12" t="n">
        <x:v>1</x:v>
      </x:c>
      <x:c r="H1735" s="12" t="n">
        <x:f>IF(SUM(I1735:K1735)&gt;0,1,0)</x:f>
        <x:v>1</x:v>
      </x:c>
      <x:c r="I1735" s="12" t="n">
        <x:f>IF('患者配对'!M1945="positive",1,0)</x:f>
        <x:v>1</x:v>
      </x:c>
      <x:c r="J1735" s="12" t="n">
        <x:f>IF('患者配对'!R1945="positive",1,0)</x:f>
        <x:v>0</x:v>
      </x:c>
      <x:c r="K1735" s="12" t="n">
        <x:f>IF('患者配对'!W1945="positive",1,0)</x:f>
        <x:v>0</x:v>
      </x:c>
      <x:c r="L1735" s="12" t="str">
        <x:v>由原件与原状态取得；仅主队列索引</x:v>
      </x:c>
      <x:c r="M1735" s="12"/>
      <x:c r="N1735" s="12"/>
      <x:c r="O1735" s="12"/>
    </x:row>
    <x:row r="1736" ht="39" customHeight="1">
      <x:c r="A1736" s="12" t="str">
        <x:v>18612</x:v>
      </x:c>
      <x:c r="B1736" s="12" t="str">
        <x:v>20214</x:v>
      </x:c>
      <x:c r="C1736" s="12" t="str">
        <x:v>参考000</x:v>
      </x:c>
      <x:c r="D1736" s="12" t="str">
        <x:v>自动000</x:v>
      </x:c>
      <x:c r="E1736" s="12" t="n">
        <x:v>0</x:v>
      </x:c>
      <x:c r="F1736" s="12" t="n">
        <x:v>0</x:v>
      </x:c>
      <x:c r="G1736" s="12" t="n">
        <x:v>0</x:v>
      </x:c>
      <x:c r="H1736" s="12" t="n">
        <x:f>IF(SUM(I1736:K1736)&gt;0,1,0)</x:f>
        <x:v>0</x:v>
      </x:c>
      <x:c r="I1736" s="12" t="n">
        <x:f>IF('患者配对'!M1946="positive",1,0)</x:f>
        <x:v>0</x:v>
      </x:c>
      <x:c r="J1736" s="12" t="n">
        <x:f>IF('患者配对'!R1946="positive",1,0)</x:f>
        <x:v>0</x:v>
      </x:c>
      <x:c r="K1736" s="12" t="n">
        <x:f>IF('患者配对'!W1946="positive",1,0)</x:f>
        <x:v>0</x:v>
      </x:c>
      <x:c r="L1736" s="12" t="str">
        <x:v>由原件与原状态取得；仅主队列索引</x:v>
      </x:c>
      <x:c r="M1736" s="12"/>
      <x:c r="N1736" s="12"/>
      <x:c r="O1736" s="12"/>
    </x:row>
    <x:row r="1737" ht="39" customHeight="1">
      <x:c r="A1737" s="12" t="str">
        <x:v>18620</x:v>
      </x:c>
      <x:c r="B1737" s="12" t="str">
        <x:v>9353</x:v>
      </x:c>
      <x:c r="C1737" s="12" t="str">
        <x:v>参考000</x:v>
      </x:c>
      <x:c r="D1737" s="12" t="str">
        <x:v>自动000</x:v>
      </x:c>
      <x:c r="E1737" s="12" t="n">
        <x:v>0</x:v>
      </x:c>
      <x:c r="F1737" s="12" t="n">
        <x:v>0</x:v>
      </x:c>
      <x:c r="G1737" s="12" t="n">
        <x:v>0</x:v>
      </x:c>
      <x:c r="H1737" s="12" t="n">
        <x:f>IF(SUM(I1737:K1737)&gt;0,1,0)</x:f>
        <x:v>0</x:v>
      </x:c>
      <x:c r="I1737" s="12" t="n">
        <x:f>IF('患者配对'!M1947="positive",1,0)</x:f>
        <x:v>0</x:v>
      </x:c>
      <x:c r="J1737" s="12" t="n">
        <x:f>IF('患者配对'!R1947="positive",1,0)</x:f>
        <x:v>0</x:v>
      </x:c>
      <x:c r="K1737" s="12" t="n">
        <x:f>IF('患者配对'!W1947="positive",1,0)</x:f>
        <x:v>0</x:v>
      </x:c>
      <x:c r="L1737" s="12" t="str">
        <x:v>由原件与原状态取得；仅主队列索引</x:v>
      </x:c>
      <x:c r="M1737" s="12"/>
      <x:c r="N1737" s="12"/>
      <x:c r="O1737" s="12"/>
    </x:row>
    <x:row r="1738" ht="39" customHeight="1">
      <x:c r="A1738" s="12" t="str">
        <x:v>18638</x:v>
      </x:c>
      <x:c r="B1738" s="12" t="str">
        <x:v>1003</x:v>
      </x:c>
      <x:c r="C1738" s="12" t="str">
        <x:v>参考000</x:v>
      </x:c>
      <x:c r="D1738" s="12" t="str">
        <x:v>自动001</x:v>
      </x:c>
      <x:c r="E1738" s="12" t="n">
        <x:v>1</x:v>
      </x:c>
      <x:c r="F1738" s="12" t="n">
        <x:v>1</x:v>
      </x:c>
      <x:c r="G1738" s="12" t="n">
        <x:v>1</x:v>
      </x:c>
      <x:c r="H1738" s="12" t="n">
        <x:f>IF(SUM(I1738:K1738)&gt;0,1,0)</x:f>
        <x:v>0</x:v>
      </x:c>
      <x:c r="I1738" s="12" t="n">
        <x:f>IF('患者配对'!M1948="positive",1,0)</x:f>
        <x:v>0</x:v>
      </x:c>
      <x:c r="J1738" s="12" t="n">
        <x:f>IF('患者配对'!R1948="positive",1,0)</x:f>
        <x:v>0</x:v>
      </x:c>
      <x:c r="K1738" s="12" t="n">
        <x:f>IF('患者配对'!W1948="positive",1,0)</x:f>
        <x:v>0</x:v>
      </x:c>
      <x:c r="L1738" s="12" t="str">
        <x:v>由原件与原状态取得；仅主队列索引</x:v>
      </x:c>
      <x:c r="M1738" s="12"/>
      <x:c r="N1738" s="12"/>
      <x:c r="O1738" s="12"/>
    </x:row>
    <x:row r="1739" ht="39" customHeight="1">
      <x:c r="A1739" s="12" t="str">
        <x:v>18639</x:v>
      </x:c>
      <x:c r="B1739" s="12" t="str">
        <x:v>4502</x:v>
      </x:c>
      <x:c r="C1739" s="12" t="str">
        <x:v>参考000</x:v>
      </x:c>
      <x:c r="D1739" s="12" t="str">
        <x:v>自动000</x:v>
      </x:c>
      <x:c r="E1739" s="12" t="n">
        <x:v>0</x:v>
      </x:c>
      <x:c r="F1739" s="12" t="n">
        <x:v>0</x:v>
      </x:c>
      <x:c r="G1739" s="12" t="n">
        <x:v>0</x:v>
      </x:c>
      <x:c r="H1739" s="12" t="n">
        <x:f>IF(SUM(I1739:K1739)&gt;0,1,0)</x:f>
        <x:v>0</x:v>
      </x:c>
      <x:c r="I1739" s="12" t="n">
        <x:f>IF('患者配对'!M1949="positive",1,0)</x:f>
        <x:v>0</x:v>
      </x:c>
      <x:c r="J1739" s="12" t="n">
        <x:f>IF('患者配对'!R1949="positive",1,0)</x:f>
        <x:v>0</x:v>
      </x:c>
      <x:c r="K1739" s="12" t="n">
        <x:f>IF('患者配对'!W1949="positive",1,0)</x:f>
        <x:v>0</x:v>
      </x:c>
      <x:c r="L1739" s="12" t="str">
        <x:v>由原件与原状态取得；仅主队列索引</x:v>
      </x:c>
      <x:c r="M1739" s="12"/>
      <x:c r="N1739" s="12"/>
      <x:c r="O1739" s="12"/>
    </x:row>
    <x:row r="1740" ht="39" customHeight="1">
      <x:c r="A1740" s="12" t="str">
        <x:v>18644</x:v>
      </x:c>
      <x:c r="B1740" s="12" t="str">
        <x:v>3866</x:v>
      </x:c>
      <x:c r="C1740" s="12" t="str">
        <x:v>参考000</x:v>
      </x:c>
      <x:c r="D1740" s="12" t="str">
        <x:v>自动000</x:v>
      </x:c>
      <x:c r="E1740" s="12" t="n">
        <x:v>0</x:v>
      </x:c>
      <x:c r="F1740" s="12" t="n">
        <x:v>1</x:v>
      </x:c>
      <x:c r="G1740" s="12" t="n">
        <x:v>0</x:v>
      </x:c>
      <x:c r="H1740" s="12" t="n">
        <x:f>IF(SUM(I1740:K1740)&gt;0,1,0)</x:f>
        <x:v>0</x:v>
      </x:c>
      <x:c r="I1740" s="12" t="n">
        <x:f>IF('患者配对'!M1950="positive",1,0)</x:f>
        <x:v>0</x:v>
      </x:c>
      <x:c r="J1740" s="12" t="n">
        <x:f>IF('患者配对'!R1950="positive",1,0)</x:f>
        <x:v>0</x:v>
      </x:c>
      <x:c r="K1740" s="12" t="n">
        <x:f>IF('患者配对'!W1950="positive",1,0)</x:f>
        <x:v>0</x:v>
      </x:c>
      <x:c r="L1740" s="12" t="str">
        <x:v>由原件与原状态取得；仅主队列索引</x:v>
      </x:c>
      <x:c r="M1740" s="12"/>
      <x:c r="N1740" s="12"/>
      <x:c r="O1740" s="12"/>
    </x:row>
    <x:row r="1741" ht="39" customHeight="1">
      <x:c r="A1741" s="12" t="str">
        <x:v>18656</x:v>
      </x:c>
      <x:c r="B1741" s="12" t="str">
        <x:v>19685</x:v>
      </x:c>
      <x:c r="C1741" s="12" t="str">
        <x:v>参考000</x:v>
      </x:c>
      <x:c r="D1741" s="12" t="str">
        <x:v>自动000</x:v>
      </x:c>
      <x:c r="E1741" s="12" t="n">
        <x:v>0</x:v>
      </x:c>
      <x:c r="F1741" s="12" t="n">
        <x:v>0</x:v>
      </x:c>
      <x:c r="G1741" s="12" t="n">
        <x:v>0</x:v>
      </x:c>
      <x:c r="H1741" s="12" t="n">
        <x:f>IF(SUM(I1741:K1741)&gt;0,1,0)</x:f>
        <x:v>0</x:v>
      </x:c>
      <x:c r="I1741" s="12" t="n">
        <x:f>IF('患者配对'!M1951="positive",1,0)</x:f>
        <x:v>0</x:v>
      </x:c>
      <x:c r="J1741" s="12" t="n">
        <x:f>IF('患者配对'!R1951="positive",1,0)</x:f>
        <x:v>0</x:v>
      </x:c>
      <x:c r="K1741" s="12" t="n">
        <x:f>IF('患者配对'!W1951="positive",1,0)</x:f>
        <x:v>0</x:v>
      </x:c>
      <x:c r="L1741" s="12" t="str">
        <x:v>由原件与原状态取得；仅主队列索引</x:v>
      </x:c>
      <x:c r="M1741" s="12"/>
      <x:c r="N1741" s="12"/>
      <x:c r="O1741" s="12"/>
    </x:row>
    <x:row r="1742" ht="39" customHeight="1">
      <x:c r="A1742" s="12" t="str">
        <x:v>18661</x:v>
      </x:c>
      <x:c r="B1742" s="12" t="str">
        <x:v>10954</x:v>
      </x:c>
      <x:c r="C1742" s="12" t="str">
        <x:v>参考000</x:v>
      </x:c>
      <x:c r="D1742" s="12" t="str">
        <x:v>自动000</x:v>
      </x:c>
      <x:c r="E1742" s="12" t="n">
        <x:v>0</x:v>
      </x:c>
      <x:c r="F1742" s="12" t="n">
        <x:v>0</x:v>
      </x:c>
      <x:c r="G1742" s="12" t="n">
        <x:v>0</x:v>
      </x:c>
      <x:c r="H1742" s="12" t="n">
        <x:f>IF(SUM(I1742:K1742)&gt;0,1,0)</x:f>
        <x:v>0</x:v>
      </x:c>
      <x:c r="I1742" s="12" t="n">
        <x:f>IF('患者配对'!M1952="positive",1,0)</x:f>
        <x:v>0</x:v>
      </x:c>
      <x:c r="J1742" s="12" t="n">
        <x:f>IF('患者配对'!R1952="positive",1,0)</x:f>
        <x:v>0</x:v>
      </x:c>
      <x:c r="K1742" s="12" t="n">
        <x:f>IF('患者配对'!W1952="positive",1,0)</x:f>
        <x:v>0</x:v>
      </x:c>
      <x:c r="L1742" s="12" t="str">
        <x:v>由原件与原状态取得；仅主队列索引</x:v>
      </x:c>
      <x:c r="M1742" s="12"/>
      <x:c r="N1742" s="12"/>
      <x:c r="O1742" s="12"/>
    </x:row>
    <x:row r="1743" ht="39" customHeight="1">
      <x:c r="A1743" s="12" t="str">
        <x:v>18671</x:v>
      </x:c>
      <x:c r="B1743" s="12" t="str">
        <x:v>9441</x:v>
      </x:c>
      <x:c r="C1743" s="12" t="str">
        <x:v>参考101</x:v>
      </x:c>
      <x:c r="D1743" s="12" t="str">
        <x:v>自动101</x:v>
      </x:c>
      <x:c r="E1743" s="12" t="n">
        <x:v>1</x:v>
      </x:c>
      <x:c r="F1743" s="12" t="n">
        <x:v>1</x:v>
      </x:c>
      <x:c r="G1743" s="12" t="n">
        <x:v>0</x:v>
      </x:c>
      <x:c r="H1743" s="12" t="n">
        <x:f>IF(SUM(I1743:K1743)&gt;0,1,0)</x:f>
        <x:v>1</x:v>
      </x:c>
      <x:c r="I1743" s="12" t="n">
        <x:f>IF('患者配对'!M1953="positive",1,0)</x:f>
        <x:v>1</x:v>
      </x:c>
      <x:c r="J1743" s="12" t="n">
        <x:f>IF('患者配对'!R1953="positive",1,0)</x:f>
        <x:v>0</x:v>
      </x:c>
      <x:c r="K1743" s="12" t="n">
        <x:f>IF('患者配对'!W1953="positive",1,0)</x:f>
        <x:v>1</x:v>
      </x:c>
      <x:c r="L1743" s="12" t="str">
        <x:v>由原件与原状态取得；仅主队列索引</x:v>
      </x:c>
      <x:c r="M1743" s="12"/>
      <x:c r="N1743" s="12"/>
      <x:c r="O1743" s="12"/>
    </x:row>
    <x:row r="1744" ht="39" customHeight="1">
      <x:c r="A1744" s="12" t="str">
        <x:v>18673</x:v>
      </x:c>
      <x:c r="B1744" s="12" t="str">
        <x:v>4066</x:v>
      </x:c>
      <x:c r="C1744" s="12" t="str">
        <x:v>参考000</x:v>
      </x:c>
      <x:c r="D1744" s="12" t="str">
        <x:v>自动000</x:v>
      </x:c>
      <x:c r="E1744" s="12" t="n">
        <x:v>0</x:v>
      </x:c>
      <x:c r="F1744" s="12" t="n">
        <x:v>0</x:v>
      </x:c>
      <x:c r="G1744" s="12" t="n">
        <x:v>0</x:v>
      </x:c>
      <x:c r="H1744" s="12" t="n">
        <x:f>IF(SUM(I1744:K1744)&gt;0,1,0)</x:f>
        <x:v>0</x:v>
      </x:c>
      <x:c r="I1744" s="12" t="n">
        <x:f>IF('患者配对'!M1954="positive",1,0)</x:f>
        <x:v>0</x:v>
      </x:c>
      <x:c r="J1744" s="12" t="n">
        <x:f>IF('患者配对'!R1954="positive",1,0)</x:f>
        <x:v>0</x:v>
      </x:c>
      <x:c r="K1744" s="12" t="n">
        <x:f>IF('患者配对'!W1954="positive",1,0)</x:f>
        <x:v>0</x:v>
      </x:c>
      <x:c r="L1744" s="12" t="str">
        <x:v>由原件与原状态取得；仅主队列索引</x:v>
      </x:c>
      <x:c r="M1744" s="12"/>
      <x:c r="N1744" s="12"/>
      <x:c r="O1744" s="12"/>
    </x:row>
    <x:row r="1745" ht="39" customHeight="1">
      <x:c r="A1745" s="12" t="str">
        <x:v>18676</x:v>
      </x:c>
      <x:c r="B1745" s="12" t="str">
        <x:v>14696</x:v>
      </x:c>
      <x:c r="C1745" s="12" t="str">
        <x:v>参考000</x:v>
      </x:c>
      <x:c r="D1745" s="12" t="str">
        <x:v>自动000</x:v>
      </x:c>
      <x:c r="E1745" s="12" t="n">
        <x:v>0</x:v>
      </x:c>
      <x:c r="F1745" s="12" t="n">
        <x:v>0</x:v>
      </x:c>
      <x:c r="G1745" s="12" t="n">
        <x:v>0</x:v>
      </x:c>
      <x:c r="H1745" s="12" t="n">
        <x:f>IF(SUM(I1745:K1745)&gt;0,1,0)</x:f>
        <x:v>0</x:v>
      </x:c>
      <x:c r="I1745" s="12" t="n">
        <x:f>IF('患者配对'!M1955="positive",1,0)</x:f>
        <x:v>0</x:v>
      </x:c>
      <x:c r="J1745" s="12" t="n">
        <x:f>IF('患者配对'!R1955="positive",1,0)</x:f>
        <x:v>0</x:v>
      </x:c>
      <x:c r="K1745" s="12" t="n">
        <x:f>IF('患者配对'!W1955="positive",1,0)</x:f>
        <x:v>0</x:v>
      </x:c>
      <x:c r="L1745" s="12" t="str">
        <x:v>由原件与原状态取得；仅主队列索引</x:v>
      </x:c>
      <x:c r="M1745" s="12"/>
      <x:c r="N1745" s="12"/>
      <x:c r="O1745" s="12"/>
    </x:row>
    <x:row r="1746" ht="39" customHeight="1">
      <x:c r="A1746" s="12" t="str">
        <x:v>18708</x:v>
      </x:c>
      <x:c r="B1746" s="12" t="str">
        <x:v>10458</x:v>
      </x:c>
      <x:c r="C1746" s="12" t="str">
        <x:v>参考000</x:v>
      </x:c>
      <x:c r="D1746" s="12" t="str">
        <x:v>自动000</x:v>
      </x:c>
      <x:c r="E1746" s="12" t="n">
        <x:v>0</x:v>
      </x:c>
      <x:c r="F1746" s="12" t="n">
        <x:v>1</x:v>
      </x:c>
      <x:c r="G1746" s="12" t="n">
        <x:v>0</x:v>
      </x:c>
      <x:c r="H1746" s="12" t="n">
        <x:f>IF(SUM(I1746:K1746)&gt;0,1,0)</x:f>
        <x:v>0</x:v>
      </x:c>
      <x:c r="I1746" s="12" t="n">
        <x:f>IF('患者配对'!M1956="positive",1,0)</x:f>
        <x:v>0</x:v>
      </x:c>
      <x:c r="J1746" s="12" t="n">
        <x:f>IF('患者配对'!R1956="positive",1,0)</x:f>
        <x:v>0</x:v>
      </x:c>
      <x:c r="K1746" s="12" t="n">
        <x:f>IF('患者配对'!W1956="positive",1,0)</x:f>
        <x:v>0</x:v>
      </x:c>
      <x:c r="L1746" s="12" t="str">
        <x:v>由原件与原状态取得；仅主队列索引</x:v>
      </x:c>
      <x:c r="M1746" s="12"/>
      <x:c r="N1746" s="12"/>
      <x:c r="O1746" s="12"/>
    </x:row>
    <x:row r="1747" ht="39" customHeight="1">
      <x:c r="A1747" s="12" t="str">
        <x:v>18710</x:v>
      </x:c>
      <x:c r="B1747" s="12" t="str">
        <x:v>9871</x:v>
      </x:c>
      <x:c r="C1747" s="12" t="str">
        <x:v>参考100</x:v>
      </x:c>
      <x:c r="D1747" s="12" t="str">
        <x:v>自动100</x:v>
      </x:c>
      <x:c r="E1747" s="12" t="n">
        <x:v>1</x:v>
      </x:c>
      <x:c r="F1747" s="12" t="n">
        <x:v>1</x:v>
      </x:c>
      <x:c r="G1747" s="12" t="n">
        <x:v>0</x:v>
      </x:c>
      <x:c r="H1747" s="12" t="n">
        <x:f>IF(SUM(I1747:K1747)&gt;0,1,0)</x:f>
        <x:v>1</x:v>
      </x:c>
      <x:c r="I1747" s="12" t="n">
        <x:f>IF('患者配对'!M1957="positive",1,0)</x:f>
        <x:v>1</x:v>
      </x:c>
      <x:c r="J1747" s="12" t="n">
        <x:f>IF('患者配对'!R1957="positive",1,0)</x:f>
        <x:v>0</x:v>
      </x:c>
      <x:c r="K1747" s="12" t="n">
        <x:f>IF('患者配对'!W1957="positive",1,0)</x:f>
        <x:v>0</x:v>
      </x:c>
      <x:c r="L1747" s="12" t="str">
        <x:v>由原件与原状态取得；仅主队列索引</x:v>
      </x:c>
      <x:c r="M1747" s="12"/>
      <x:c r="N1747" s="12"/>
      <x:c r="O1747" s="12"/>
    </x:row>
    <x:row r="1748" ht="39" customHeight="1">
      <x:c r="A1748" s="12" t="str">
        <x:v>18712</x:v>
      </x:c>
      <x:c r="B1748" s="12" t="str">
        <x:v>9636</x:v>
      </x:c>
      <x:c r="C1748" s="12" t="str">
        <x:v>参考000</x:v>
      </x:c>
      <x:c r="D1748" s="12" t="str">
        <x:v>自动000</x:v>
      </x:c>
      <x:c r="E1748" s="12" t="n">
        <x:v>0</x:v>
      </x:c>
      <x:c r="F1748" s="12" t="n">
        <x:v>1</x:v>
      </x:c>
      <x:c r="G1748" s="12" t="n">
        <x:v>0</x:v>
      </x:c>
      <x:c r="H1748" s="12" t="n">
        <x:f>IF(SUM(I1748:K1748)&gt;0,1,0)</x:f>
        <x:v>0</x:v>
      </x:c>
      <x:c r="I1748" s="12" t="n">
        <x:f>IF('患者配对'!M1958="positive",1,0)</x:f>
        <x:v>0</x:v>
      </x:c>
      <x:c r="J1748" s="12" t="n">
        <x:f>IF('患者配对'!R1958="positive",1,0)</x:f>
        <x:v>0</x:v>
      </x:c>
      <x:c r="K1748" s="12" t="n">
        <x:f>IF('患者配对'!W1958="positive",1,0)</x:f>
        <x:v>0</x:v>
      </x:c>
      <x:c r="L1748" s="12" t="str">
        <x:v>由原件与原状态取得；仅主队列索引</x:v>
      </x:c>
      <x:c r="M1748" s="12"/>
      <x:c r="N1748" s="12"/>
      <x:c r="O1748" s="12"/>
    </x:row>
    <x:row r="1749" ht="39" customHeight="1">
      <x:c r="A1749" s="12" t="str">
        <x:v>18737</x:v>
      </x:c>
      <x:c r="B1749" s="12" t="str">
        <x:v>9425</x:v>
      </x:c>
      <x:c r="C1749" s="12" t="str">
        <x:v>参考000</x:v>
      </x:c>
      <x:c r="D1749" s="12" t="str">
        <x:v>自动000</x:v>
      </x:c>
      <x:c r="E1749" s="12" t="n">
        <x:v>0</x:v>
      </x:c>
      <x:c r="F1749" s="12" t="n">
        <x:v>0</x:v>
      </x:c>
      <x:c r="G1749" s="12" t="n">
        <x:v>0</x:v>
      </x:c>
      <x:c r="H1749" s="12" t="n">
        <x:f>IF(SUM(I1749:K1749)&gt;0,1,0)</x:f>
        <x:v>0</x:v>
      </x:c>
      <x:c r="I1749" s="12" t="n">
        <x:f>IF('患者配对'!M1959="positive",1,0)</x:f>
        <x:v>0</x:v>
      </x:c>
      <x:c r="J1749" s="12" t="n">
        <x:f>IF('患者配对'!R1959="positive",1,0)</x:f>
        <x:v>0</x:v>
      </x:c>
      <x:c r="K1749" s="12" t="n">
        <x:f>IF('患者配对'!W1959="positive",1,0)</x:f>
        <x:v>0</x:v>
      </x:c>
      <x:c r="L1749" s="12" t="str">
        <x:v>由原件与原状态取得；仅主队列索引</x:v>
      </x:c>
      <x:c r="M1749" s="12"/>
      <x:c r="N1749" s="12"/>
      <x:c r="O1749" s="12"/>
    </x:row>
    <x:row r="1750" ht="39" customHeight="1">
      <x:c r="A1750" s="12" t="str">
        <x:v>18739</x:v>
      </x:c>
      <x:c r="B1750" s="12" t="str">
        <x:v>20835</x:v>
      </x:c>
      <x:c r="C1750" s="12" t="str">
        <x:v>参考100</x:v>
      </x:c>
      <x:c r="D1750" s="12" t="str">
        <x:v>自动000</x:v>
      </x:c>
      <x:c r="E1750" s="12" t="n">
        <x:v>0</x:v>
      </x:c>
      <x:c r="F1750" s="12" t="n">
        <x:v>1</x:v>
      </x:c>
      <x:c r="G1750" s="12" t="n">
        <x:v>1</x:v>
      </x:c>
      <x:c r="H1750" s="12" t="n">
        <x:f>IF(SUM(I1750:K1750)&gt;0,1,0)</x:f>
        <x:v>1</x:v>
      </x:c>
      <x:c r="I1750" s="12" t="n">
        <x:f>IF('患者配对'!M1960="positive",1,0)</x:f>
        <x:v>1</x:v>
      </x:c>
      <x:c r="J1750" s="12" t="n">
        <x:f>IF('患者配对'!R1960="positive",1,0)</x:f>
        <x:v>0</x:v>
      </x:c>
      <x:c r="K1750" s="12" t="n">
        <x:f>IF('患者配对'!W1960="positive",1,0)</x:f>
        <x:v>0</x:v>
      </x:c>
      <x:c r="L1750" s="12" t="str">
        <x:v>由原件与原状态取得；仅主队列索引</x:v>
      </x:c>
      <x:c r="M1750" s="12"/>
      <x:c r="N1750" s="12"/>
      <x:c r="O1750" s="12"/>
    </x:row>
    <x:row r="1751" ht="39" customHeight="1">
      <x:c r="A1751" s="12" t="str">
        <x:v>18740</x:v>
      </x:c>
      <x:c r="B1751" s="12" t="str">
        <x:v>18520</x:v>
      </x:c>
      <x:c r="C1751" s="12" t="str">
        <x:v>参考000</x:v>
      </x:c>
      <x:c r="D1751" s="12" t="str">
        <x:v>自动000</x:v>
      </x:c>
      <x:c r="E1751" s="12" t="n">
        <x:v>0</x:v>
      </x:c>
      <x:c r="F1751" s="12" t="n">
        <x:v>1</x:v>
      </x:c>
      <x:c r="G1751" s="12" t="n">
        <x:v>0</x:v>
      </x:c>
      <x:c r="H1751" s="12" t="n">
        <x:f>IF(SUM(I1751:K1751)&gt;0,1,0)</x:f>
        <x:v>0</x:v>
      </x:c>
      <x:c r="I1751" s="12" t="n">
        <x:f>IF('患者配对'!M1961="positive",1,0)</x:f>
        <x:v>0</x:v>
      </x:c>
      <x:c r="J1751" s="12" t="n">
        <x:f>IF('患者配对'!R1961="positive",1,0)</x:f>
        <x:v>0</x:v>
      </x:c>
      <x:c r="K1751" s="12" t="n">
        <x:f>IF('患者配对'!W1961="positive",1,0)</x:f>
        <x:v>0</x:v>
      </x:c>
      <x:c r="L1751" s="12" t="str">
        <x:v>由原件与原状态取得；仅主队列索引</x:v>
      </x:c>
      <x:c r="M1751" s="12"/>
      <x:c r="N1751" s="12"/>
      <x:c r="O1751" s="12"/>
    </x:row>
    <x:row r="1752" ht="39" customHeight="1">
      <x:c r="A1752" s="12" t="str">
        <x:v>18761</x:v>
      </x:c>
      <x:c r="B1752" s="12" t="str">
        <x:v>18837</x:v>
      </x:c>
      <x:c r="C1752" s="12" t="str">
        <x:v>参考000</x:v>
      </x:c>
      <x:c r="D1752" s="12" t="str">
        <x:v>自动000</x:v>
      </x:c>
      <x:c r="E1752" s="12" t="n">
        <x:v>0</x:v>
      </x:c>
      <x:c r="F1752" s="12" t="n">
        <x:v>1</x:v>
      </x:c>
      <x:c r="G1752" s="12" t="n">
        <x:v>0</x:v>
      </x:c>
      <x:c r="H1752" s="12" t="n">
        <x:f>IF(SUM(I1752:K1752)&gt;0,1,0)</x:f>
        <x:v>0</x:v>
      </x:c>
      <x:c r="I1752" s="12" t="n">
        <x:f>IF('患者配对'!M1966="positive",1,0)</x:f>
        <x:v>0</x:v>
      </x:c>
      <x:c r="J1752" s="12" t="n">
        <x:f>IF('患者配对'!R1966="positive",1,0)</x:f>
        <x:v>0</x:v>
      </x:c>
      <x:c r="K1752" s="12" t="n">
        <x:f>IF('患者配对'!W1966="positive",1,0)</x:f>
        <x:v>0</x:v>
      </x:c>
      <x:c r="L1752" s="12" t="str">
        <x:v>由原件与原状态取得；仅主队列索引</x:v>
      </x:c>
      <x:c r="M1752" s="12"/>
      <x:c r="N1752" s="12"/>
      <x:c r="O1752" s="12"/>
    </x:row>
    <x:row r="1753" ht="39" customHeight="1">
      <x:c r="A1753" s="12" t="str">
        <x:v>18762</x:v>
      </x:c>
      <x:c r="B1753" s="12" t="str">
        <x:v>16354</x:v>
      </x:c>
      <x:c r="C1753" s="12" t="str">
        <x:v>参考100</x:v>
      </x:c>
      <x:c r="D1753" s="12" t="str">
        <x:v>自动100</x:v>
      </x:c>
      <x:c r="E1753" s="12" t="n">
        <x:v>1</x:v>
      </x:c>
      <x:c r="F1753" s="12" t="n">
        <x:v>1</x:v>
      </x:c>
      <x:c r="G1753" s="12" t="n">
        <x:v>0</x:v>
      </x:c>
      <x:c r="H1753" s="12" t="n">
        <x:f>IF(SUM(I1753:K1753)&gt;0,1,0)</x:f>
        <x:v>1</x:v>
      </x:c>
      <x:c r="I1753" s="12" t="n">
        <x:f>IF('患者配对'!M1967="positive",1,0)</x:f>
        <x:v>1</x:v>
      </x:c>
      <x:c r="J1753" s="12" t="n">
        <x:f>IF('患者配对'!R1967="positive",1,0)</x:f>
        <x:v>0</x:v>
      </x:c>
      <x:c r="K1753" s="12" t="n">
        <x:f>IF('患者配对'!W1967="positive",1,0)</x:f>
        <x:v>0</x:v>
      </x:c>
      <x:c r="L1753" s="12" t="str">
        <x:v>由原件与原状态取得；仅主队列索引</x:v>
      </x:c>
      <x:c r="M1753" s="12"/>
      <x:c r="N1753" s="12"/>
      <x:c r="O1753" s="12"/>
    </x:row>
    <x:row r="1754" ht="39" customHeight="1">
      <x:c r="A1754" s="12" t="str">
        <x:v>18797</x:v>
      </x:c>
      <x:c r="B1754" s="12" t="str">
        <x:v>8559</x:v>
      </x:c>
      <x:c r="C1754" s="12" t="str">
        <x:v>参考000</x:v>
      </x:c>
      <x:c r="D1754" s="12" t="str">
        <x:v>自动000</x:v>
      </x:c>
      <x:c r="E1754" s="12" t="n">
        <x:v>0</x:v>
      </x:c>
      <x:c r="F1754" s="12" t="n">
        <x:v>0</x:v>
      </x:c>
      <x:c r="G1754" s="12" t="n">
        <x:v>0</x:v>
      </x:c>
      <x:c r="H1754" s="12" t="n">
        <x:f>IF(SUM(I1754:K1754)&gt;0,1,0)</x:f>
        <x:v>0</x:v>
      </x:c>
      <x:c r="I1754" s="12" t="n">
        <x:f>IF('患者配对'!M1970="positive",1,0)</x:f>
        <x:v>0</x:v>
      </x:c>
      <x:c r="J1754" s="12" t="n">
        <x:f>IF('患者配对'!R1970="positive",1,0)</x:f>
        <x:v>0</x:v>
      </x:c>
      <x:c r="K1754" s="12" t="n">
        <x:f>IF('患者配对'!W1970="positive",1,0)</x:f>
        <x:v>0</x:v>
      </x:c>
      <x:c r="L1754" s="12" t="str">
        <x:v>由原件与原状态取得；仅主队列索引</x:v>
      </x:c>
      <x:c r="M1754" s="12"/>
      <x:c r="N1754" s="12"/>
      <x:c r="O1754" s="12"/>
    </x:row>
    <x:row r="1755" ht="39" customHeight="1">
      <x:c r="A1755" s="12" t="str">
        <x:v>18802</x:v>
      </x:c>
      <x:c r="B1755" s="12" t="str">
        <x:v>19829</x:v>
      </x:c>
      <x:c r="C1755" s="12" t="str">
        <x:v>参考000</x:v>
      </x:c>
      <x:c r="D1755" s="12" t="str">
        <x:v>自动000</x:v>
      </x:c>
      <x:c r="E1755" s="12" t="n">
        <x:v>0</x:v>
      </x:c>
      <x:c r="F1755" s="12" t="n">
        <x:v>0</x:v>
      </x:c>
      <x:c r="G1755" s="12" t="n">
        <x:v>0</x:v>
      </x:c>
      <x:c r="H1755" s="12" t="n">
        <x:f>IF(SUM(I1755:K1755)&gt;0,1,0)</x:f>
        <x:v>0</x:v>
      </x:c>
      <x:c r="I1755" s="12" t="n">
        <x:f>IF('患者配对'!M1971="positive",1,0)</x:f>
        <x:v>0</x:v>
      </x:c>
      <x:c r="J1755" s="12" t="n">
        <x:f>IF('患者配对'!R1971="positive",1,0)</x:f>
        <x:v>0</x:v>
      </x:c>
      <x:c r="K1755" s="12" t="n">
        <x:f>IF('患者配对'!W1971="positive",1,0)</x:f>
        <x:v>0</x:v>
      </x:c>
      <x:c r="L1755" s="12" t="str">
        <x:v>由原件与原状态取得；仅主队列索引</x:v>
      </x:c>
      <x:c r="M1755" s="12"/>
      <x:c r="N1755" s="12"/>
      <x:c r="O1755" s="12"/>
    </x:row>
    <x:row r="1756" ht="39" customHeight="1">
      <x:c r="A1756" s="12" t="str">
        <x:v>18808</x:v>
      </x:c>
      <x:c r="B1756" s="12" t="str">
        <x:v>9376</x:v>
      </x:c>
      <x:c r="C1756" s="12" t="str">
        <x:v>参考000</x:v>
      </x:c>
      <x:c r="D1756" s="12" t="str">
        <x:v>自动000</x:v>
      </x:c>
      <x:c r="E1756" s="12" t="n">
        <x:v>0</x:v>
      </x:c>
      <x:c r="F1756" s="12" t="n">
        <x:v>0</x:v>
      </x:c>
      <x:c r="G1756" s="12" t="n">
        <x:v>0</x:v>
      </x:c>
      <x:c r="H1756" s="12" t="n">
        <x:f>IF(SUM(I1756:K1756)&gt;0,1,0)</x:f>
        <x:v>0</x:v>
      </x:c>
      <x:c r="I1756" s="12" t="n">
        <x:f>IF('患者配对'!M1972="positive",1,0)</x:f>
        <x:v>0</x:v>
      </x:c>
      <x:c r="J1756" s="12" t="n">
        <x:f>IF('患者配对'!R1972="positive",1,0)</x:f>
        <x:v>0</x:v>
      </x:c>
      <x:c r="K1756" s="12" t="n">
        <x:f>IF('患者配对'!W1972="positive",1,0)</x:f>
        <x:v>0</x:v>
      </x:c>
      <x:c r="L1756" s="12" t="str">
        <x:v>由原件与原状态取得；仅主队列索引</x:v>
      </x:c>
      <x:c r="M1756" s="12"/>
      <x:c r="N1756" s="12"/>
      <x:c r="O1756" s="12"/>
    </x:row>
    <x:row r="1757" ht="39" customHeight="1">
      <x:c r="A1757" s="12" t="str">
        <x:v>18831</x:v>
      </x:c>
      <x:c r="B1757" s="12" t="str">
        <x:v>15274</x:v>
      </x:c>
      <x:c r="C1757" s="12" t="str">
        <x:v>参考000</x:v>
      </x:c>
      <x:c r="D1757" s="12" t="str">
        <x:v>自动000</x:v>
      </x:c>
      <x:c r="E1757" s="12" t="n">
        <x:v>0</x:v>
      </x:c>
      <x:c r="F1757" s="12" t="n">
        <x:v>1</x:v>
      </x:c>
      <x:c r="G1757" s="12" t="n">
        <x:v>0</x:v>
      </x:c>
      <x:c r="H1757" s="12" t="n">
        <x:f>IF(SUM(I1757:K1757)&gt;0,1,0)</x:f>
        <x:v>0</x:v>
      </x:c>
      <x:c r="I1757" s="12" t="n">
        <x:f>IF('患者配对'!M1973="positive",1,0)</x:f>
        <x:v>0</x:v>
      </x:c>
      <x:c r="J1757" s="12" t="n">
        <x:f>IF('患者配对'!R1973="positive",1,0)</x:f>
        <x:v>0</x:v>
      </x:c>
      <x:c r="K1757" s="12" t="n">
        <x:f>IF('患者配对'!W1973="positive",1,0)</x:f>
        <x:v>0</x:v>
      </x:c>
      <x:c r="L1757" s="12" t="str">
        <x:v>由原件与原状态取得；仅主队列索引</x:v>
      </x:c>
      <x:c r="M1757" s="12"/>
      <x:c r="N1757" s="12"/>
      <x:c r="O1757" s="12"/>
    </x:row>
    <x:row r="1758" ht="39" customHeight="1">
      <x:c r="A1758" s="12" t="str">
        <x:v>18847</x:v>
      </x:c>
      <x:c r="B1758" s="12" t="str">
        <x:v>9604</x:v>
      </x:c>
      <x:c r="C1758" s="12" t="str">
        <x:v>参考000</x:v>
      </x:c>
      <x:c r="D1758" s="12" t="str">
        <x:v>自动000</x:v>
      </x:c>
      <x:c r="E1758" s="12" t="n">
        <x:v>0</x:v>
      </x:c>
      <x:c r="F1758" s="12" t="n">
        <x:v>0</x:v>
      </x:c>
      <x:c r="G1758" s="12" t="n">
        <x:v>0</x:v>
      </x:c>
      <x:c r="H1758" s="12" t="n">
        <x:f>IF(SUM(I1758:K1758)&gt;0,1,0)</x:f>
        <x:v>0</x:v>
      </x:c>
      <x:c r="I1758" s="12" t="n">
        <x:f>IF('患者配对'!M1974="positive",1,0)</x:f>
        <x:v>0</x:v>
      </x:c>
      <x:c r="J1758" s="12" t="n">
        <x:f>IF('患者配对'!R1974="positive",1,0)</x:f>
        <x:v>0</x:v>
      </x:c>
      <x:c r="K1758" s="12" t="n">
        <x:f>IF('患者配对'!W1974="positive",1,0)</x:f>
        <x:v>0</x:v>
      </x:c>
      <x:c r="L1758" s="12" t="str">
        <x:v>由原件与原状态取得；仅主队列索引</x:v>
      </x:c>
      <x:c r="M1758" s="12"/>
      <x:c r="N1758" s="12"/>
      <x:c r="O1758" s="12"/>
    </x:row>
    <x:row r="1759" ht="39" customHeight="1">
      <x:c r="A1759" s="12" t="str">
        <x:v>18859</x:v>
      </x:c>
      <x:c r="B1759" s="12" t="str">
        <x:v>20974</x:v>
      </x:c>
      <x:c r="C1759" s="12" t="str">
        <x:v>参考000</x:v>
      </x:c>
      <x:c r="D1759" s="12" t="str">
        <x:v>自动000</x:v>
      </x:c>
      <x:c r="E1759" s="12" t="n">
        <x:v>0</x:v>
      </x:c>
      <x:c r="F1759" s="12" t="n">
        <x:v>0</x:v>
      </x:c>
      <x:c r="G1759" s="12" t="n">
        <x:v>0</x:v>
      </x:c>
      <x:c r="H1759" s="12" t="n">
        <x:f>IF(SUM(I1759:K1759)&gt;0,1,0)</x:f>
        <x:v>0</x:v>
      </x:c>
      <x:c r="I1759" s="12" t="n">
        <x:f>IF('患者配对'!M1975="positive",1,0)</x:f>
        <x:v>0</x:v>
      </x:c>
      <x:c r="J1759" s="12" t="n">
        <x:f>IF('患者配对'!R1975="positive",1,0)</x:f>
        <x:v>0</x:v>
      </x:c>
      <x:c r="K1759" s="12" t="n">
        <x:f>IF('患者配对'!W1975="positive",1,0)</x:f>
        <x:v>0</x:v>
      </x:c>
      <x:c r="L1759" s="12" t="str">
        <x:v>由原件与原状态取得；仅主队列索引</x:v>
      </x:c>
      <x:c r="M1759" s="12"/>
      <x:c r="N1759" s="12"/>
      <x:c r="O1759" s="12"/>
    </x:row>
    <x:row r="1760" ht="39" customHeight="1">
      <x:c r="A1760" s="12" t="str">
        <x:v>18882</x:v>
      </x:c>
      <x:c r="B1760" s="12" t="str">
        <x:v>17292</x:v>
      </x:c>
      <x:c r="C1760" s="12" t="str">
        <x:v>参考000</x:v>
      </x:c>
      <x:c r="D1760" s="12" t="str">
        <x:v>自动000</x:v>
      </x:c>
      <x:c r="E1760" s="12" t="n">
        <x:v>0</x:v>
      </x:c>
      <x:c r="F1760" s="12" t="n">
        <x:v>0</x:v>
      </x:c>
      <x:c r="G1760" s="12" t="n">
        <x:v>0</x:v>
      </x:c>
      <x:c r="H1760" s="12" t="n">
        <x:f>IF(SUM(I1760:K1760)&gt;0,1,0)</x:f>
        <x:v>0</x:v>
      </x:c>
      <x:c r="I1760" s="12" t="n">
        <x:f>IF('患者配对'!M1976="positive",1,0)</x:f>
        <x:v>0</x:v>
      </x:c>
      <x:c r="J1760" s="12" t="n">
        <x:f>IF('患者配对'!R1976="positive",1,0)</x:f>
        <x:v>0</x:v>
      </x:c>
      <x:c r="K1760" s="12" t="n">
        <x:f>IF('患者配对'!W1976="positive",1,0)</x:f>
        <x:v>0</x:v>
      </x:c>
      <x:c r="L1760" s="12" t="str">
        <x:v>由原件与原状态取得；仅主队列索引</x:v>
      </x:c>
      <x:c r="M1760" s="12"/>
      <x:c r="N1760" s="12"/>
      <x:c r="O1760" s="12"/>
    </x:row>
    <x:row r="1761" ht="39" customHeight="1">
      <x:c r="A1761" s="12" t="str">
        <x:v>18888</x:v>
      </x:c>
      <x:c r="B1761" s="12" t="str">
        <x:v>17639</x:v>
      </x:c>
      <x:c r="C1761" s="12" t="str">
        <x:v>参考000</x:v>
      </x:c>
      <x:c r="D1761" s="12" t="str">
        <x:v>自动000</x:v>
      </x:c>
      <x:c r="E1761" s="12" t="n">
        <x:v>0</x:v>
      </x:c>
      <x:c r="F1761" s="12" t="n">
        <x:v>0</x:v>
      </x:c>
      <x:c r="G1761" s="12" t="n">
        <x:v>0</x:v>
      </x:c>
      <x:c r="H1761" s="12" t="n">
        <x:f>IF(SUM(I1761:K1761)&gt;0,1,0)</x:f>
        <x:v>0</x:v>
      </x:c>
      <x:c r="I1761" s="12" t="n">
        <x:f>IF('患者配对'!M1977="positive",1,0)</x:f>
        <x:v>0</x:v>
      </x:c>
      <x:c r="J1761" s="12" t="n">
        <x:f>IF('患者配对'!R1977="positive",1,0)</x:f>
        <x:v>0</x:v>
      </x:c>
      <x:c r="K1761" s="12" t="n">
        <x:f>IF('患者配对'!W1977="positive",1,0)</x:f>
        <x:v>0</x:v>
      </x:c>
      <x:c r="L1761" s="12" t="str">
        <x:v>由原件与原状态取得；仅主队列索引</x:v>
      </x:c>
      <x:c r="M1761" s="12"/>
      <x:c r="N1761" s="12"/>
      <x:c r="O1761" s="12"/>
    </x:row>
    <x:row r="1762" ht="39" customHeight="1">
      <x:c r="A1762" s="12" t="str">
        <x:v>18891</x:v>
      </x:c>
      <x:c r="B1762" s="12" t="str">
        <x:v>13884</x:v>
      </x:c>
      <x:c r="C1762" s="12" t="str">
        <x:v>参考000</x:v>
      </x:c>
      <x:c r="D1762" s="12" t="str">
        <x:v>自动000</x:v>
      </x:c>
      <x:c r="E1762" s="12" t="n">
        <x:v>0</x:v>
      </x:c>
      <x:c r="F1762" s="12" t="n">
        <x:v>0</x:v>
      </x:c>
      <x:c r="G1762" s="12" t="n">
        <x:v>0</x:v>
      </x:c>
      <x:c r="H1762" s="12" t="n">
        <x:f>IF(SUM(I1762:K1762)&gt;0,1,0)</x:f>
        <x:v>0</x:v>
      </x:c>
      <x:c r="I1762" s="12" t="n">
        <x:f>IF('患者配对'!M1978="positive",1,0)</x:f>
        <x:v>0</x:v>
      </x:c>
      <x:c r="J1762" s="12" t="n">
        <x:f>IF('患者配对'!R1978="positive",1,0)</x:f>
        <x:v>0</x:v>
      </x:c>
      <x:c r="K1762" s="12" t="n">
        <x:f>IF('患者配对'!W1978="positive",1,0)</x:f>
        <x:v>0</x:v>
      </x:c>
      <x:c r="L1762" s="12" t="str">
        <x:v>由原件与原状态取得；仅主队列索引</x:v>
      </x:c>
      <x:c r="M1762" s="12"/>
      <x:c r="N1762" s="12"/>
      <x:c r="O1762" s="12"/>
    </x:row>
    <x:row r="1763" ht="39" customHeight="1">
      <x:c r="A1763" s="12" t="str">
        <x:v>18937</x:v>
      </x:c>
      <x:c r="B1763" s="12" t="str">
        <x:v>20755</x:v>
      </x:c>
      <x:c r="C1763" s="12" t="str">
        <x:v>参考000</x:v>
      </x:c>
      <x:c r="D1763" s="12" t="str">
        <x:v>自动000</x:v>
      </x:c>
      <x:c r="E1763" s="12" t="n">
        <x:v>0</x:v>
      </x:c>
      <x:c r="F1763" s="12" t="n">
        <x:v>1</x:v>
      </x:c>
      <x:c r="G1763" s="12" t="n">
        <x:v>0</x:v>
      </x:c>
      <x:c r="H1763" s="12" t="n">
        <x:f>IF(SUM(I1763:K1763)&gt;0,1,0)</x:f>
        <x:v>0</x:v>
      </x:c>
      <x:c r="I1763" s="12" t="n">
        <x:f>IF('患者配对'!M1981="positive",1,0)</x:f>
        <x:v>0</x:v>
      </x:c>
      <x:c r="J1763" s="12" t="n">
        <x:f>IF('患者配对'!R1981="positive",1,0)</x:f>
        <x:v>0</x:v>
      </x:c>
      <x:c r="K1763" s="12" t="n">
        <x:f>IF('患者配对'!W1981="positive",1,0)</x:f>
        <x:v>0</x:v>
      </x:c>
      <x:c r="L1763" s="12" t="str">
        <x:v>由原件与原状态取得；仅主队列索引</x:v>
      </x:c>
      <x:c r="M1763" s="12"/>
      <x:c r="N1763" s="12"/>
      <x:c r="O1763" s="12"/>
    </x:row>
    <x:row r="1764" ht="39" customHeight="1">
      <x:c r="A1764" s="12" t="str">
        <x:v>18974</x:v>
      </x:c>
      <x:c r="B1764" s="12" t="str">
        <x:v>20916</x:v>
      </x:c>
      <x:c r="C1764" s="12" t="str">
        <x:v>参考000</x:v>
      </x:c>
      <x:c r="D1764" s="12" t="str">
        <x:v>自动000</x:v>
      </x:c>
      <x:c r="E1764" s="12" t="n">
        <x:v>0</x:v>
      </x:c>
      <x:c r="F1764" s="12" t="n">
        <x:v>0</x:v>
      </x:c>
      <x:c r="G1764" s="12" t="n">
        <x:v>0</x:v>
      </x:c>
      <x:c r="H1764" s="12" t="n">
        <x:f>IF(SUM(I1764:K1764)&gt;0,1,0)</x:f>
        <x:v>0</x:v>
      </x:c>
      <x:c r="I1764" s="12" t="n">
        <x:f>IF('患者配对'!M1982="positive",1,0)</x:f>
        <x:v>0</x:v>
      </x:c>
      <x:c r="J1764" s="12" t="n">
        <x:f>IF('患者配对'!R1982="positive",1,0)</x:f>
        <x:v>0</x:v>
      </x:c>
      <x:c r="K1764" s="12" t="n">
        <x:f>IF('患者配对'!W1982="positive",1,0)</x:f>
        <x:v>0</x:v>
      </x:c>
      <x:c r="L1764" s="12" t="str">
        <x:v>由原件与原状态取得；仅主队列索引</x:v>
      </x:c>
      <x:c r="M1764" s="12"/>
      <x:c r="N1764" s="12"/>
      <x:c r="O1764" s="12"/>
    </x:row>
    <x:row r="1765" ht="39" customHeight="1">
      <x:c r="A1765" s="12" t="str">
        <x:v>19017</x:v>
      </x:c>
      <x:c r="B1765" s="12" t="str">
        <x:v>17941</x:v>
      </x:c>
      <x:c r="C1765" s="12" t="str">
        <x:v>参考000</x:v>
      </x:c>
      <x:c r="D1765" s="12" t="str">
        <x:v>自动000</x:v>
      </x:c>
      <x:c r="E1765" s="12" t="n">
        <x:v>0</x:v>
      </x:c>
      <x:c r="F1765" s="12" t="n">
        <x:v>0</x:v>
      </x:c>
      <x:c r="G1765" s="12" t="n">
        <x:v>0</x:v>
      </x:c>
      <x:c r="H1765" s="12" t="n">
        <x:f>IF(SUM(I1765:K1765)&gt;0,1,0)</x:f>
        <x:v>0</x:v>
      </x:c>
      <x:c r="I1765" s="12" t="n">
        <x:f>IF('患者配对'!M1984="positive",1,0)</x:f>
        <x:v>0</x:v>
      </x:c>
      <x:c r="J1765" s="12" t="n">
        <x:f>IF('患者配对'!R1984="positive",1,0)</x:f>
        <x:v>0</x:v>
      </x:c>
      <x:c r="K1765" s="12" t="n">
        <x:f>IF('患者配对'!W1984="positive",1,0)</x:f>
        <x:v>0</x:v>
      </x:c>
      <x:c r="L1765" s="12" t="str">
        <x:v>由原件与原状态取得；仅主队列索引</x:v>
      </x:c>
      <x:c r="M1765" s="12"/>
      <x:c r="N1765" s="12"/>
      <x:c r="O1765" s="12"/>
    </x:row>
    <x:row r="1766" ht="39" customHeight="1">
      <x:c r="A1766" s="12" t="str">
        <x:v>19042</x:v>
      </x:c>
      <x:c r="B1766" s="12" t="str">
        <x:v>11107</x:v>
      </x:c>
      <x:c r="C1766" s="12" t="str">
        <x:v>参考000</x:v>
      </x:c>
      <x:c r="D1766" s="12" t="str">
        <x:v>自动000</x:v>
      </x:c>
      <x:c r="E1766" s="12" t="n">
        <x:v>0</x:v>
      </x:c>
      <x:c r="F1766" s="12" t="n">
        <x:v>0</x:v>
      </x:c>
      <x:c r="G1766" s="12" t="n">
        <x:v>0</x:v>
      </x:c>
      <x:c r="H1766" s="12" t="n">
        <x:f>IF(SUM(I1766:K1766)&gt;0,1,0)</x:f>
        <x:v>0</x:v>
      </x:c>
      <x:c r="I1766" s="12" t="n">
        <x:f>IF('患者配对'!M1985="positive",1,0)</x:f>
        <x:v>0</x:v>
      </x:c>
      <x:c r="J1766" s="12" t="n">
        <x:f>IF('患者配对'!R1985="positive",1,0)</x:f>
        <x:v>0</x:v>
      </x:c>
      <x:c r="K1766" s="12" t="n">
        <x:f>IF('患者配对'!W1985="positive",1,0)</x:f>
        <x:v>0</x:v>
      </x:c>
      <x:c r="L1766" s="12" t="str">
        <x:v>由原件与原状态取得；仅主队列索引</x:v>
      </x:c>
      <x:c r="M1766" s="12"/>
      <x:c r="N1766" s="12"/>
      <x:c r="O1766" s="12"/>
    </x:row>
    <x:row r="1767" ht="39" customHeight="1">
      <x:c r="A1767" s="12" t="str">
        <x:v>19054</x:v>
      </x:c>
      <x:c r="B1767" s="12" t="str">
        <x:v>16647</x:v>
      </x:c>
      <x:c r="C1767" s="12" t="str">
        <x:v>参考000</x:v>
      </x:c>
      <x:c r="D1767" s="12" t="str">
        <x:v>自动000</x:v>
      </x:c>
      <x:c r="E1767" s="12" t="n">
        <x:v>0</x:v>
      </x:c>
      <x:c r="F1767" s="12" t="n">
        <x:v>1</x:v>
      </x:c>
      <x:c r="G1767" s="12" t="n">
        <x:v>0</x:v>
      </x:c>
      <x:c r="H1767" s="12" t="n">
        <x:f>IF(SUM(I1767:K1767)&gt;0,1,0)</x:f>
        <x:v>0</x:v>
      </x:c>
      <x:c r="I1767" s="12" t="n">
        <x:f>IF('患者配对'!M1987="positive",1,0)</x:f>
        <x:v>0</x:v>
      </x:c>
      <x:c r="J1767" s="12" t="n">
        <x:f>IF('患者配对'!R1987="positive",1,0)</x:f>
        <x:v>0</x:v>
      </x:c>
      <x:c r="K1767" s="12" t="n">
        <x:f>IF('患者配对'!W1987="positive",1,0)</x:f>
        <x:v>0</x:v>
      </x:c>
      <x:c r="L1767" s="12" t="str">
        <x:v>由原件与原状态取得；仅主队列索引</x:v>
      </x:c>
      <x:c r="M1767" s="12"/>
      <x:c r="N1767" s="12"/>
      <x:c r="O1767" s="12"/>
    </x:row>
    <x:row r="1768" ht="39" customHeight="1">
      <x:c r="A1768" s="12" t="str">
        <x:v>19067</x:v>
      </x:c>
      <x:c r="B1768" s="12" t="str">
        <x:v>9451</x:v>
      </x:c>
      <x:c r="C1768" s="12" t="str">
        <x:v>参考000</x:v>
      </x:c>
      <x:c r="D1768" s="12" t="str">
        <x:v>自动000</x:v>
      </x:c>
      <x:c r="E1768" s="12" t="n">
        <x:v>0</x:v>
      </x:c>
      <x:c r="F1768" s="12" t="n">
        <x:v>0</x:v>
      </x:c>
      <x:c r="G1768" s="12" t="n">
        <x:v>0</x:v>
      </x:c>
      <x:c r="H1768" s="12" t="n">
        <x:f>IF(SUM(I1768:K1768)&gt;0,1,0)</x:f>
        <x:v>0</x:v>
      </x:c>
      <x:c r="I1768" s="12" t="n">
        <x:f>IF('患者配对'!M1988="positive",1,0)</x:f>
        <x:v>0</x:v>
      </x:c>
      <x:c r="J1768" s="12" t="n">
        <x:f>IF('患者配对'!R1988="positive",1,0)</x:f>
        <x:v>0</x:v>
      </x:c>
      <x:c r="K1768" s="12" t="n">
        <x:f>IF('患者配对'!W1988="positive",1,0)</x:f>
        <x:v>0</x:v>
      </x:c>
      <x:c r="L1768" s="12" t="str">
        <x:v>由原件与原状态取得；仅主队列索引</x:v>
      </x:c>
      <x:c r="M1768" s="12"/>
      <x:c r="N1768" s="12"/>
      <x:c r="O1768" s="12"/>
    </x:row>
    <x:row r="1769" ht="39" customHeight="1">
      <x:c r="A1769" s="12" t="str">
        <x:v>19074</x:v>
      </x:c>
      <x:c r="B1769" s="12" t="str">
        <x:v>11323</x:v>
      </x:c>
      <x:c r="C1769" s="12" t="str">
        <x:v>参考000</x:v>
      </x:c>
      <x:c r="D1769" s="12" t="str">
        <x:v>自动000</x:v>
      </x:c>
      <x:c r="E1769" s="12" t="n">
        <x:v>0</x:v>
      </x:c>
      <x:c r="F1769" s="12" t="n">
        <x:v>0</x:v>
      </x:c>
      <x:c r="G1769" s="12" t="n">
        <x:v>0</x:v>
      </x:c>
      <x:c r="H1769" s="12" t="n">
        <x:f>IF(SUM(I1769:K1769)&gt;0,1,0)</x:f>
        <x:v>0</x:v>
      </x:c>
      <x:c r="I1769" s="12" t="n">
        <x:f>IF('患者配对'!M1989="positive",1,0)</x:f>
        <x:v>0</x:v>
      </x:c>
      <x:c r="J1769" s="12" t="n">
        <x:f>IF('患者配对'!R1989="positive",1,0)</x:f>
        <x:v>0</x:v>
      </x:c>
      <x:c r="K1769" s="12" t="n">
        <x:f>IF('患者配对'!W1989="positive",1,0)</x:f>
        <x:v>0</x:v>
      </x:c>
      <x:c r="L1769" s="12" t="str">
        <x:v>由原件与原状态取得；仅主队列索引</x:v>
      </x:c>
      <x:c r="M1769" s="12"/>
      <x:c r="N1769" s="12"/>
      <x:c r="O1769" s="12"/>
    </x:row>
    <x:row r="1770" ht="39" customHeight="1">
      <x:c r="A1770" s="12" t="str">
        <x:v>19077</x:v>
      </x:c>
      <x:c r="B1770" s="12" t="str">
        <x:v>13689</x:v>
      </x:c>
      <x:c r="C1770" s="12" t="str">
        <x:v>参考000</x:v>
      </x:c>
      <x:c r="D1770" s="12" t="str">
        <x:v>自动000</x:v>
      </x:c>
      <x:c r="E1770" s="12" t="n">
        <x:v>0</x:v>
      </x:c>
      <x:c r="F1770" s="12" t="n">
        <x:v>0</x:v>
      </x:c>
      <x:c r="G1770" s="12" t="n">
        <x:v>0</x:v>
      </x:c>
      <x:c r="H1770" s="12" t="n">
        <x:f>IF(SUM(I1770:K1770)&gt;0,1,0)</x:f>
        <x:v>0</x:v>
      </x:c>
      <x:c r="I1770" s="12" t="n">
        <x:f>IF('患者配对'!M1990="positive",1,0)</x:f>
        <x:v>0</x:v>
      </x:c>
      <x:c r="J1770" s="12" t="n">
        <x:f>IF('患者配对'!R1990="positive",1,0)</x:f>
        <x:v>0</x:v>
      </x:c>
      <x:c r="K1770" s="12" t="n">
        <x:f>IF('患者配对'!W1990="positive",1,0)</x:f>
        <x:v>0</x:v>
      </x:c>
      <x:c r="L1770" s="12" t="str">
        <x:v>由原件与原状态取得；仅主队列索引</x:v>
      </x:c>
      <x:c r="M1770" s="12"/>
      <x:c r="N1770" s="12"/>
      <x:c r="O1770" s="12"/>
    </x:row>
    <x:row r="1771" ht="39" customHeight="1">
      <x:c r="A1771" s="12" t="str">
        <x:v>19104</x:v>
      </x:c>
      <x:c r="B1771" s="12" t="str">
        <x:v>9042</x:v>
      </x:c>
      <x:c r="C1771" s="12" t="str">
        <x:v>参考100</x:v>
      </x:c>
      <x:c r="D1771" s="12" t="str">
        <x:v>自动100</x:v>
      </x:c>
      <x:c r="E1771" s="12" t="n">
        <x:v>1</x:v>
      </x:c>
      <x:c r="F1771" s="12" t="n">
        <x:v>1</x:v>
      </x:c>
      <x:c r="G1771" s="12" t="n">
        <x:v>0</x:v>
      </x:c>
      <x:c r="H1771" s="12" t="n">
        <x:f>IF(SUM(I1771:K1771)&gt;0,1,0)</x:f>
        <x:v>1</x:v>
      </x:c>
      <x:c r="I1771" s="12" t="n">
        <x:f>IF('患者配对'!M1992="positive",1,0)</x:f>
        <x:v>1</x:v>
      </x:c>
      <x:c r="J1771" s="12" t="n">
        <x:f>IF('患者配对'!R1992="positive",1,0)</x:f>
        <x:v>0</x:v>
      </x:c>
      <x:c r="K1771" s="12" t="n">
        <x:f>IF('患者配对'!W1992="positive",1,0)</x:f>
        <x:v>0</x:v>
      </x:c>
      <x:c r="L1771" s="12" t="str">
        <x:v>由原件与原状态取得；仅主队列索引</x:v>
      </x:c>
      <x:c r="M1771" s="12"/>
      <x:c r="N1771" s="12"/>
      <x:c r="O1771" s="12"/>
    </x:row>
    <x:row r="1772" ht="39" customHeight="1">
      <x:c r="A1772" s="12" t="str">
        <x:v>19134</x:v>
      </x:c>
      <x:c r="B1772" s="12" t="str">
        <x:v>17641</x:v>
      </x:c>
      <x:c r="C1772" s="12" t="str">
        <x:v>参考001</x:v>
      </x:c>
      <x:c r="D1772" s="12" t="str">
        <x:v>自动001</x:v>
      </x:c>
      <x:c r="E1772" s="12" t="n">
        <x:v>1</x:v>
      </x:c>
      <x:c r="F1772" s="12" t="n">
        <x:v>1</x:v>
      </x:c>
      <x:c r="G1772" s="12" t="n">
        <x:v>0</x:v>
      </x:c>
      <x:c r="H1772" s="12" t="n">
        <x:f>IF(SUM(I1772:K1772)&gt;0,1,0)</x:f>
        <x:v>1</x:v>
      </x:c>
      <x:c r="I1772" s="12" t="n">
        <x:f>IF('患者配对'!M1993="positive",1,0)</x:f>
        <x:v>0</x:v>
      </x:c>
      <x:c r="J1772" s="12" t="n">
        <x:f>IF('患者配对'!R1993="positive",1,0)</x:f>
        <x:v>0</x:v>
      </x:c>
      <x:c r="K1772" s="12" t="n">
        <x:f>IF('患者配对'!W1993="positive",1,0)</x:f>
        <x:v>1</x:v>
      </x:c>
      <x:c r="L1772" s="12" t="str">
        <x:v>由原件与原状态取得；仅主队列索引</x:v>
      </x:c>
      <x:c r="M1772" s="12"/>
      <x:c r="N1772" s="12"/>
      <x:c r="O1772" s="12"/>
    </x:row>
    <x:row r="1773" ht="39" customHeight="1">
      <x:c r="A1773" s="12" t="str">
        <x:v>19147</x:v>
      </x:c>
      <x:c r="B1773" s="12" t="str">
        <x:v>21451</x:v>
      </x:c>
      <x:c r="C1773" s="12" t="str">
        <x:v>参考000</x:v>
      </x:c>
      <x:c r="D1773" s="12" t="str">
        <x:v>自动000</x:v>
      </x:c>
      <x:c r="E1773" s="12" t="n">
        <x:v>0</x:v>
      </x:c>
      <x:c r="F1773" s="12" t="n">
        <x:v>0</x:v>
      </x:c>
      <x:c r="G1773" s="12" t="n">
        <x:v>0</x:v>
      </x:c>
      <x:c r="H1773" s="12" t="n">
        <x:f>IF(SUM(I1773:K1773)&gt;0,1,0)</x:f>
        <x:v>0</x:v>
      </x:c>
      <x:c r="I1773" s="12" t="n">
        <x:f>IF('患者配对'!M1994="positive",1,0)</x:f>
        <x:v>0</x:v>
      </x:c>
      <x:c r="J1773" s="12" t="n">
        <x:f>IF('患者配对'!R1994="positive",1,0)</x:f>
        <x:v>0</x:v>
      </x:c>
      <x:c r="K1773" s="12" t="n">
        <x:f>IF('患者配对'!W1994="positive",1,0)</x:f>
        <x:v>0</x:v>
      </x:c>
      <x:c r="L1773" s="12" t="str">
        <x:v>由原件与原状态取得；仅主队列索引</x:v>
      </x:c>
      <x:c r="M1773" s="12"/>
      <x:c r="N1773" s="12"/>
      <x:c r="O1773" s="12"/>
    </x:row>
    <x:row r="1774" ht="39" customHeight="1">
      <x:c r="A1774" s="12" t="str">
        <x:v>19164</x:v>
      </x:c>
      <x:c r="B1774" s="12" t="str">
        <x:v>19343</x:v>
      </x:c>
      <x:c r="C1774" s="12" t="str">
        <x:v>参考100</x:v>
      </x:c>
      <x:c r="D1774" s="12" t="str">
        <x:v>自动000</x:v>
      </x:c>
      <x:c r="E1774" s="12" t="n">
        <x:v>0</x:v>
      </x:c>
      <x:c r="F1774" s="12" t="n">
        <x:v>0</x:v>
      </x:c>
      <x:c r="G1774" s="12" t="n">
        <x:v>1</x:v>
      </x:c>
      <x:c r="H1774" s="12" t="n">
        <x:f>IF(SUM(I1774:K1774)&gt;0,1,0)</x:f>
        <x:v>1</x:v>
      </x:c>
      <x:c r="I1774" s="12" t="n">
        <x:f>IF('患者配对'!M1995="positive",1,0)</x:f>
        <x:v>1</x:v>
      </x:c>
      <x:c r="J1774" s="12" t="n">
        <x:f>IF('患者配对'!R1995="positive",1,0)</x:f>
        <x:v>0</x:v>
      </x:c>
      <x:c r="K1774" s="12" t="n">
        <x:f>IF('患者配对'!W1995="positive",1,0)</x:f>
        <x:v>0</x:v>
      </x:c>
      <x:c r="L1774" s="12" t="str">
        <x:v>由原件与原状态取得；仅主队列索引</x:v>
      </x:c>
      <x:c r="M1774" s="12"/>
      <x:c r="N1774" s="12"/>
      <x:c r="O1774" s="12"/>
    </x:row>
    <x:row r="1775" ht="39" customHeight="1">
      <x:c r="A1775" s="12" t="str">
        <x:v>19187</x:v>
      </x:c>
      <x:c r="B1775" s="12" t="str">
        <x:v>14213</x:v>
      </x:c>
      <x:c r="C1775" s="12" t="str">
        <x:v>参考000</x:v>
      </x:c>
      <x:c r="D1775" s="12" t="str">
        <x:v>自动000</x:v>
      </x:c>
      <x:c r="E1775" s="12" t="n">
        <x:v>0</x:v>
      </x:c>
      <x:c r="F1775" s="12" t="n">
        <x:v>0</x:v>
      </x:c>
      <x:c r="G1775" s="12" t="n">
        <x:v>0</x:v>
      </x:c>
      <x:c r="H1775" s="12" t="n">
        <x:f>IF(SUM(I1775:K1775)&gt;0,1,0)</x:f>
        <x:v>0</x:v>
      </x:c>
      <x:c r="I1775" s="12" t="n">
        <x:f>IF('患者配对'!M1996="positive",1,0)</x:f>
        <x:v>0</x:v>
      </x:c>
      <x:c r="J1775" s="12" t="n">
        <x:f>IF('患者配对'!R1996="positive",1,0)</x:f>
        <x:v>0</x:v>
      </x:c>
      <x:c r="K1775" s="12" t="n">
        <x:f>IF('患者配对'!W1996="positive",1,0)</x:f>
        <x:v>0</x:v>
      </x:c>
      <x:c r="L1775" s="12" t="str">
        <x:v>由原件与原状态取得；仅主队列索引</x:v>
      </x:c>
      <x:c r="M1775" s="12"/>
      <x:c r="N1775" s="12"/>
      <x:c r="O1775" s="12"/>
    </x:row>
    <x:row r="1776" ht="39" customHeight="1">
      <x:c r="A1776" s="12" t="str">
        <x:v>19208</x:v>
      </x:c>
      <x:c r="B1776" s="12" t="str">
        <x:v>13306</x:v>
      </x:c>
      <x:c r="C1776" s="12" t="str">
        <x:v>参考000</x:v>
      </x:c>
      <x:c r="D1776" s="12" t="str">
        <x:v>自动000</x:v>
      </x:c>
      <x:c r="E1776" s="12" t="n">
        <x:v>0</x:v>
      </x:c>
      <x:c r="F1776" s="12" t="n">
        <x:v>1</x:v>
      </x:c>
      <x:c r="G1776" s="12" t="n">
        <x:v>0</x:v>
      </x:c>
      <x:c r="H1776" s="12" t="n">
        <x:f>IF(SUM(I1776:K1776)&gt;0,1,0)</x:f>
        <x:v>0</x:v>
      </x:c>
      <x:c r="I1776" s="12" t="n">
        <x:f>IF('患者配对'!M1997="positive",1,0)</x:f>
        <x:v>0</x:v>
      </x:c>
      <x:c r="J1776" s="12" t="n">
        <x:f>IF('患者配对'!R1997="positive",1,0)</x:f>
        <x:v>0</x:v>
      </x:c>
      <x:c r="K1776" s="12" t="n">
        <x:f>IF('患者配对'!W1997="positive",1,0)</x:f>
        <x:v>0</x:v>
      </x:c>
      <x:c r="L1776" s="12" t="str">
        <x:v>由原件与原状态取得；仅主队列索引</x:v>
      </x:c>
      <x:c r="M1776" s="12"/>
      <x:c r="N1776" s="12"/>
      <x:c r="O1776" s="12"/>
    </x:row>
    <x:row r="1777" ht="39" customHeight="1">
      <x:c r="A1777" s="12" t="str">
        <x:v>19209</x:v>
      </x:c>
      <x:c r="B1777" s="12" t="str">
        <x:v>16280</x:v>
      </x:c>
      <x:c r="C1777" s="12" t="str">
        <x:v>参考000</x:v>
      </x:c>
      <x:c r="D1777" s="12" t="str">
        <x:v>自动000</x:v>
      </x:c>
      <x:c r="E1777" s="12" t="n">
        <x:v>0</x:v>
      </x:c>
      <x:c r="F1777" s="12" t="n">
        <x:v>0</x:v>
      </x:c>
      <x:c r="G1777" s="12" t="n">
        <x:v>0</x:v>
      </x:c>
      <x:c r="H1777" s="12" t="n">
        <x:f>IF(SUM(I1777:K1777)&gt;0,1,0)</x:f>
        <x:v>0</x:v>
      </x:c>
      <x:c r="I1777" s="12" t="n">
        <x:f>IF('患者配对'!M1998="positive",1,0)</x:f>
        <x:v>0</x:v>
      </x:c>
      <x:c r="J1777" s="12" t="n">
        <x:f>IF('患者配对'!R1998="positive",1,0)</x:f>
        <x:v>0</x:v>
      </x:c>
      <x:c r="K1777" s="12" t="n">
        <x:f>IF('患者配对'!W1998="positive",1,0)</x:f>
        <x:v>0</x:v>
      </x:c>
      <x:c r="L1777" s="12" t="str">
        <x:v>由原件与原状态取得；仅主队列索引</x:v>
      </x:c>
      <x:c r="M1777" s="12"/>
      <x:c r="N1777" s="12"/>
      <x:c r="O1777" s="12"/>
    </x:row>
    <x:row r="1778" ht="39" customHeight="1">
      <x:c r="A1778" s="12" t="str">
        <x:v>19217</x:v>
      </x:c>
      <x:c r="B1778" s="12" t="str">
        <x:v>18359</x:v>
      </x:c>
      <x:c r="C1778" s="12" t="str">
        <x:v>参考000</x:v>
      </x:c>
      <x:c r="D1778" s="12" t="str">
        <x:v>自动000</x:v>
      </x:c>
      <x:c r="E1778" s="12" t="n">
        <x:v>0</x:v>
      </x:c>
      <x:c r="F1778" s="12" t="n">
        <x:v>0</x:v>
      </x:c>
      <x:c r="G1778" s="12" t="n">
        <x:v>0</x:v>
      </x:c>
      <x:c r="H1778" s="12" t="n">
        <x:f>IF(SUM(I1778:K1778)&gt;0,1,0)</x:f>
        <x:v>0</x:v>
      </x:c>
      <x:c r="I1778" s="12" t="n">
        <x:f>IF('患者配对'!M2000="positive",1,0)</x:f>
        <x:v>0</x:v>
      </x:c>
      <x:c r="J1778" s="12" t="n">
        <x:f>IF('患者配对'!R2000="positive",1,0)</x:f>
        <x:v>0</x:v>
      </x:c>
      <x:c r="K1778" s="12" t="n">
        <x:f>IF('患者配对'!W2000="positive",1,0)</x:f>
        <x:v>0</x:v>
      </x:c>
      <x:c r="L1778" s="12" t="str">
        <x:v>由原件与原状态取得；仅主队列索引</x:v>
      </x:c>
      <x:c r="M1778" s="12"/>
      <x:c r="N1778" s="12"/>
      <x:c r="O1778" s="12"/>
    </x:row>
    <x:row r="1779" ht="39" customHeight="1">
      <x:c r="A1779" s="12" t="str">
        <x:v>19226</x:v>
      </x:c>
      <x:c r="B1779" s="12" t="str">
        <x:v>16006</x:v>
      </x:c>
      <x:c r="C1779" s="12" t="str">
        <x:v>参考000</x:v>
      </x:c>
      <x:c r="D1779" s="12" t="str">
        <x:v>自动000</x:v>
      </x:c>
      <x:c r="E1779" s="12" t="n">
        <x:v>0</x:v>
      </x:c>
      <x:c r="F1779" s="12" t="n">
        <x:v>1</x:v>
      </x:c>
      <x:c r="G1779" s="12" t="n">
        <x:v>0</x:v>
      </x:c>
      <x:c r="H1779" s="12" t="n">
        <x:f>IF(SUM(I1779:K1779)&gt;0,1,0)</x:f>
        <x:v>0</x:v>
      </x:c>
      <x:c r="I1779" s="12" t="n">
        <x:f>IF('患者配对'!M2001="positive",1,0)</x:f>
        <x:v>0</x:v>
      </x:c>
      <x:c r="J1779" s="12" t="n">
        <x:f>IF('患者配对'!R2001="positive",1,0)</x:f>
        <x:v>0</x:v>
      </x:c>
      <x:c r="K1779" s="12" t="n">
        <x:f>IF('患者配对'!W2001="positive",1,0)</x:f>
        <x:v>0</x:v>
      </x:c>
      <x:c r="L1779" s="12" t="str">
        <x:v>由原件与原状态取得；仅主队列索引</x:v>
      </x:c>
      <x:c r="M1779" s="12"/>
      <x:c r="N1779" s="12"/>
      <x:c r="O1779" s="12"/>
    </x:row>
    <x:row r="1780" ht="39" customHeight="1">
      <x:c r="A1780" s="12" t="str">
        <x:v>19250</x:v>
      </x:c>
      <x:c r="B1780" s="12" t="str">
        <x:v>18503</x:v>
      </x:c>
      <x:c r="C1780" s="12" t="str">
        <x:v>参考000</x:v>
      </x:c>
      <x:c r="D1780" s="12" t="str">
        <x:v>自动000</x:v>
      </x:c>
      <x:c r="E1780" s="12" t="n">
        <x:v>0</x:v>
      </x:c>
      <x:c r="F1780" s="12" t="n">
        <x:v>0</x:v>
      </x:c>
      <x:c r="G1780" s="12" t="n">
        <x:v>0</x:v>
      </x:c>
      <x:c r="H1780" s="12" t="n">
        <x:f>IF(SUM(I1780:K1780)&gt;0,1,0)</x:f>
        <x:v>0</x:v>
      </x:c>
      <x:c r="I1780" s="12" t="n">
        <x:f>IF('患者配对'!M2003="positive",1,0)</x:f>
        <x:v>0</x:v>
      </x:c>
      <x:c r="J1780" s="12" t="n">
        <x:f>IF('患者配对'!R2003="positive",1,0)</x:f>
        <x:v>0</x:v>
      </x:c>
      <x:c r="K1780" s="12" t="n">
        <x:f>IF('患者配对'!W2003="positive",1,0)</x:f>
        <x:v>0</x:v>
      </x:c>
      <x:c r="L1780" s="12" t="str">
        <x:v>由原件与原状态取得；仅主队列索引</x:v>
      </x:c>
      <x:c r="M1780" s="12"/>
      <x:c r="N1780" s="12"/>
      <x:c r="O1780" s="12"/>
    </x:row>
    <x:row r="1781" ht="39" customHeight="1">
      <x:c r="A1781" s="12" t="str">
        <x:v>19251</x:v>
      </x:c>
      <x:c r="B1781" s="12" t="str">
        <x:v>21738</x:v>
      </x:c>
      <x:c r="C1781" s="12" t="str">
        <x:v>参考000</x:v>
      </x:c>
      <x:c r="D1781" s="12" t="str">
        <x:v>自动000</x:v>
      </x:c>
      <x:c r="E1781" s="12" t="n">
        <x:v>0</x:v>
      </x:c>
      <x:c r="F1781" s="12" t="n">
        <x:v>0</x:v>
      </x:c>
      <x:c r="G1781" s="12" t="n">
        <x:v>0</x:v>
      </x:c>
      <x:c r="H1781" s="12" t="n">
        <x:f>IF(SUM(I1781:K1781)&gt;0,1,0)</x:f>
        <x:v>0</x:v>
      </x:c>
      <x:c r="I1781" s="12" t="n">
        <x:f>IF('患者配对'!M2004="positive",1,0)</x:f>
        <x:v>0</x:v>
      </x:c>
      <x:c r="J1781" s="12" t="n">
        <x:f>IF('患者配对'!R2004="positive",1,0)</x:f>
        <x:v>0</x:v>
      </x:c>
      <x:c r="K1781" s="12" t="n">
        <x:f>IF('患者配对'!W2004="positive",1,0)</x:f>
        <x:v>0</x:v>
      </x:c>
      <x:c r="L1781" s="12" t="str">
        <x:v>由原件与原状态取得；仅主队列索引</x:v>
      </x:c>
      <x:c r="M1781" s="12"/>
      <x:c r="N1781" s="12"/>
      <x:c r="O1781" s="12"/>
    </x:row>
    <x:row r="1782" ht="39" customHeight="1">
      <x:c r="A1782" s="12" t="str">
        <x:v>19256</x:v>
      </x:c>
      <x:c r="B1782" s="12" t="str">
        <x:v>14328</x:v>
      </x:c>
      <x:c r="C1782" s="12" t="str">
        <x:v>参考000</x:v>
      </x:c>
      <x:c r="D1782" s="12" t="str">
        <x:v>自动000</x:v>
      </x:c>
      <x:c r="E1782" s="12" t="n">
        <x:v>0</x:v>
      </x:c>
      <x:c r="F1782" s="12" t="n">
        <x:v>0</x:v>
      </x:c>
      <x:c r="G1782" s="12" t="n">
        <x:v>0</x:v>
      </x:c>
      <x:c r="H1782" s="12" t="n">
        <x:f>IF(SUM(I1782:K1782)&gt;0,1,0)</x:f>
        <x:v>0</x:v>
      </x:c>
      <x:c r="I1782" s="12" t="n">
        <x:f>IF('患者配对'!M2006="positive",1,0)</x:f>
        <x:v>0</x:v>
      </x:c>
      <x:c r="J1782" s="12" t="n">
        <x:f>IF('患者配对'!R2006="positive",1,0)</x:f>
        <x:v>0</x:v>
      </x:c>
      <x:c r="K1782" s="12" t="n">
        <x:f>IF('患者配对'!W2006="positive",1,0)</x:f>
        <x:v>0</x:v>
      </x:c>
      <x:c r="L1782" s="12" t="str">
        <x:v>由原件与原状态取得；仅主队列索引</x:v>
      </x:c>
      <x:c r="M1782" s="12"/>
      <x:c r="N1782" s="12"/>
      <x:c r="O1782" s="12"/>
    </x:row>
    <x:row r="1783" ht="39" customHeight="1">
      <x:c r="A1783" s="12" t="str">
        <x:v>19267</x:v>
      </x:c>
      <x:c r="B1783" s="12" t="str">
        <x:v>10837</x:v>
      </x:c>
      <x:c r="C1783" s="12" t="str">
        <x:v>参考000</x:v>
      </x:c>
      <x:c r="D1783" s="12" t="str">
        <x:v>自动000</x:v>
      </x:c>
      <x:c r="E1783" s="12" t="n">
        <x:v>0</x:v>
      </x:c>
      <x:c r="F1783" s="12" t="n">
        <x:v>1</x:v>
      </x:c>
      <x:c r="G1783" s="12" t="n">
        <x:v>0</x:v>
      </x:c>
      <x:c r="H1783" s="12" t="n">
        <x:f>IF(SUM(I1783:K1783)&gt;0,1,0)</x:f>
        <x:v>0</x:v>
      </x:c>
      <x:c r="I1783" s="12" t="n">
        <x:f>IF('患者配对'!M2007="positive",1,0)</x:f>
        <x:v>0</x:v>
      </x:c>
      <x:c r="J1783" s="12" t="n">
        <x:f>IF('患者配对'!R2007="positive",1,0)</x:f>
        <x:v>0</x:v>
      </x:c>
      <x:c r="K1783" s="12" t="n">
        <x:f>IF('患者配对'!W2007="positive",1,0)</x:f>
        <x:v>0</x:v>
      </x:c>
      <x:c r="L1783" s="12" t="str">
        <x:v>由原件与原状态取得；仅主队列索引</x:v>
      </x:c>
      <x:c r="M1783" s="12"/>
      <x:c r="N1783" s="12"/>
      <x:c r="O1783" s="12"/>
    </x:row>
    <x:row r="1784" ht="39" customHeight="1">
      <x:c r="A1784" s="12" t="str">
        <x:v>19268</x:v>
      </x:c>
      <x:c r="B1784" s="12" t="str">
        <x:v>15666</x:v>
      </x:c>
      <x:c r="C1784" s="12" t="str">
        <x:v>参考000</x:v>
      </x:c>
      <x:c r="D1784" s="12" t="str">
        <x:v>自动000</x:v>
      </x:c>
      <x:c r="E1784" s="12" t="n">
        <x:v>0</x:v>
      </x:c>
      <x:c r="F1784" s="12" t="n">
        <x:v>0</x:v>
      </x:c>
      <x:c r="G1784" s="12" t="n">
        <x:v>0</x:v>
      </x:c>
      <x:c r="H1784" s="12" t="n">
        <x:f>IF(SUM(I1784:K1784)&gt;0,1,0)</x:f>
        <x:v>0</x:v>
      </x:c>
      <x:c r="I1784" s="12" t="n">
        <x:f>IF('患者配对'!M2008="positive",1,0)</x:f>
        <x:v>0</x:v>
      </x:c>
      <x:c r="J1784" s="12" t="n">
        <x:f>IF('患者配对'!R2008="positive",1,0)</x:f>
        <x:v>0</x:v>
      </x:c>
      <x:c r="K1784" s="12" t="n">
        <x:f>IF('患者配对'!W2008="positive",1,0)</x:f>
        <x:v>0</x:v>
      </x:c>
      <x:c r="L1784" s="12" t="str">
        <x:v>由原件与原状态取得；仅主队列索引</x:v>
      </x:c>
      <x:c r="M1784" s="12"/>
      <x:c r="N1784" s="12"/>
      <x:c r="O1784" s="12"/>
    </x:row>
    <x:row r="1785" ht="39" customHeight="1">
      <x:c r="A1785" s="12" t="str">
        <x:v>19286</x:v>
      </x:c>
      <x:c r="B1785" s="12" t="str">
        <x:v>16861</x:v>
      </x:c>
      <x:c r="C1785" s="12" t="str">
        <x:v>参考000</x:v>
      </x:c>
      <x:c r="D1785" s="12" t="str">
        <x:v>自动000</x:v>
      </x:c>
      <x:c r="E1785" s="12" t="n">
        <x:v>0</x:v>
      </x:c>
      <x:c r="F1785" s="12" t="n">
        <x:v>0</x:v>
      </x:c>
      <x:c r="G1785" s="12" t="n">
        <x:v>0</x:v>
      </x:c>
      <x:c r="H1785" s="12" t="n">
        <x:f>IF(SUM(I1785:K1785)&gt;0,1,0)</x:f>
        <x:v>0</x:v>
      </x:c>
      <x:c r="I1785" s="12" t="n">
        <x:f>IF('患者配对'!M2010="positive",1,0)</x:f>
        <x:v>0</x:v>
      </x:c>
      <x:c r="J1785" s="12" t="n">
        <x:f>IF('患者配对'!R2010="positive",1,0)</x:f>
        <x:v>0</x:v>
      </x:c>
      <x:c r="K1785" s="12" t="n">
        <x:f>IF('患者配对'!W2010="positive",1,0)</x:f>
        <x:v>0</x:v>
      </x:c>
      <x:c r="L1785" s="12" t="str">
        <x:v>由原件与原状态取得；仅主队列索引</x:v>
      </x:c>
      <x:c r="M1785" s="12"/>
      <x:c r="N1785" s="12"/>
      <x:c r="O1785" s="12"/>
    </x:row>
    <x:row r="1786" ht="39" customHeight="1">
      <x:c r="A1786" s="12" t="str">
        <x:v>19293</x:v>
      </x:c>
      <x:c r="B1786" s="12" t="str">
        <x:v>18850</x:v>
      </x:c>
      <x:c r="C1786" s="12" t="str">
        <x:v>参考000</x:v>
      </x:c>
      <x:c r="D1786" s="12" t="str">
        <x:v>自动000</x:v>
      </x:c>
      <x:c r="E1786" s="12" t="n">
        <x:v>0</x:v>
      </x:c>
      <x:c r="F1786" s="12" t="n">
        <x:v>0</x:v>
      </x:c>
      <x:c r="G1786" s="12" t="n">
        <x:v>0</x:v>
      </x:c>
      <x:c r="H1786" s="12" t="n">
        <x:f>IF(SUM(I1786:K1786)&gt;0,1,0)</x:f>
        <x:v>0</x:v>
      </x:c>
      <x:c r="I1786" s="12" t="n">
        <x:f>IF('患者配对'!M2013="positive",1,0)</x:f>
        <x:v>0</x:v>
      </x:c>
      <x:c r="J1786" s="12" t="n">
        <x:f>IF('患者配对'!R2013="positive",1,0)</x:f>
        <x:v>0</x:v>
      </x:c>
      <x:c r="K1786" s="12" t="n">
        <x:f>IF('患者配对'!W2013="positive",1,0)</x:f>
        <x:v>0</x:v>
      </x:c>
      <x:c r="L1786" s="12" t="str">
        <x:v>由原件与原状态取得；仅主队列索引</x:v>
      </x:c>
      <x:c r="M1786" s="12"/>
      <x:c r="N1786" s="12"/>
      <x:c r="O1786" s="12"/>
    </x:row>
    <x:row r="1787" ht="39" customHeight="1">
      <x:c r="A1787" s="12" t="str">
        <x:v>19305</x:v>
      </x:c>
      <x:c r="B1787" s="12" t="str">
        <x:v>15115</x:v>
      </x:c>
      <x:c r="C1787" s="12" t="str">
        <x:v>参考100</x:v>
      </x:c>
      <x:c r="D1787" s="12" t="str">
        <x:v>自动110</x:v>
      </x:c>
      <x:c r="E1787" s="12" t="n">
        <x:v>1</x:v>
      </x:c>
      <x:c r="F1787" s="12" t="n">
        <x:v>1</x:v>
      </x:c>
      <x:c r="G1787" s="12" t="n">
        <x:v>1</x:v>
      </x:c>
      <x:c r="H1787" s="12" t="n">
        <x:f>IF(SUM(I1787:K1787)&gt;0,1,0)</x:f>
        <x:v>1</x:v>
      </x:c>
      <x:c r="I1787" s="12" t="n">
        <x:f>IF('患者配对'!M2014="positive",1,0)</x:f>
        <x:v>1</x:v>
      </x:c>
      <x:c r="J1787" s="12" t="n">
        <x:f>IF('患者配对'!R2014="positive",1,0)</x:f>
        <x:v>0</x:v>
      </x:c>
      <x:c r="K1787" s="12" t="n">
        <x:f>IF('患者配对'!W2014="positive",1,0)</x:f>
        <x:v>0</x:v>
      </x:c>
      <x:c r="L1787" s="12" t="str">
        <x:v>由原件与原状态取得；仅主队列索引</x:v>
      </x:c>
      <x:c r="M1787" s="12"/>
      <x:c r="N1787" s="12"/>
      <x:c r="O1787" s="12"/>
    </x:row>
    <x:row r="1788" ht="39" customHeight="1">
      <x:c r="A1788" s="12" t="str">
        <x:v>19316</x:v>
      </x:c>
      <x:c r="B1788" s="12" t="str">
        <x:v>16839</x:v>
      </x:c>
      <x:c r="C1788" s="12" t="str">
        <x:v>参考000</x:v>
      </x:c>
      <x:c r="D1788" s="12" t="str">
        <x:v>自动000</x:v>
      </x:c>
      <x:c r="E1788" s="12" t="n">
        <x:v>0</x:v>
      </x:c>
      <x:c r="F1788" s="12" t="n">
        <x:v>0</x:v>
      </x:c>
      <x:c r="G1788" s="12" t="n">
        <x:v>0</x:v>
      </x:c>
      <x:c r="H1788" s="12" t="n">
        <x:f>IF(SUM(I1788:K1788)&gt;0,1,0)</x:f>
        <x:v>0</x:v>
      </x:c>
      <x:c r="I1788" s="12" t="n">
        <x:f>IF('患者配对'!M2016="positive",1,0)</x:f>
        <x:v>0</x:v>
      </x:c>
      <x:c r="J1788" s="12" t="n">
        <x:f>IF('患者配对'!R2016="positive",1,0)</x:f>
        <x:v>0</x:v>
      </x:c>
      <x:c r="K1788" s="12" t="n">
        <x:f>IF('患者配对'!W2016="positive",1,0)</x:f>
        <x:v>0</x:v>
      </x:c>
      <x:c r="L1788" s="12" t="str">
        <x:v>由原件与原状态取得；仅主队列索引</x:v>
      </x:c>
      <x:c r="M1788" s="12"/>
      <x:c r="N1788" s="12"/>
      <x:c r="O1788" s="12"/>
    </x:row>
    <x:row r="1789" ht="39" customHeight="1">
      <x:c r="A1789" s="12" t="str">
        <x:v>19324</x:v>
      </x:c>
      <x:c r="B1789" s="12" t="str">
        <x:v>9789</x:v>
      </x:c>
      <x:c r="C1789" s="12" t="str">
        <x:v>参考000</x:v>
      </x:c>
      <x:c r="D1789" s="12" t="str">
        <x:v>自动000</x:v>
      </x:c>
      <x:c r="E1789" s="12" t="n">
        <x:v>0</x:v>
      </x:c>
      <x:c r="F1789" s="12" t="n">
        <x:v>0</x:v>
      </x:c>
      <x:c r="G1789" s="12" t="n">
        <x:v>0</x:v>
      </x:c>
      <x:c r="H1789" s="12" t="n">
        <x:f>IF(SUM(I1789:K1789)&gt;0,1,0)</x:f>
        <x:v>0</x:v>
      </x:c>
      <x:c r="I1789" s="12" t="n">
        <x:f>IF('患者配对'!M2017="positive",1,0)</x:f>
        <x:v>0</x:v>
      </x:c>
      <x:c r="J1789" s="12" t="n">
        <x:f>IF('患者配对'!R2017="positive",1,0)</x:f>
        <x:v>0</x:v>
      </x:c>
      <x:c r="K1789" s="12" t="n">
        <x:f>IF('患者配对'!W2017="positive",1,0)</x:f>
        <x:v>0</x:v>
      </x:c>
      <x:c r="L1789" s="12" t="str">
        <x:v>由原件与原状态取得；仅主队列索引</x:v>
      </x:c>
      <x:c r="M1789" s="12"/>
      <x:c r="N1789" s="12"/>
      <x:c r="O1789" s="12"/>
    </x:row>
    <x:row r="1790" ht="39" customHeight="1">
      <x:c r="A1790" s="12" t="str">
        <x:v>19328</x:v>
      </x:c>
      <x:c r="B1790" s="12" t="str">
        <x:v>9875</x:v>
      </x:c>
      <x:c r="C1790" s="12" t="str">
        <x:v>参考100</x:v>
      </x:c>
      <x:c r="D1790" s="12" t="str">
        <x:v>自动100</x:v>
      </x:c>
      <x:c r="E1790" s="12" t="n">
        <x:v>1</x:v>
      </x:c>
      <x:c r="F1790" s="12" t="n">
        <x:v>1</x:v>
      </x:c>
      <x:c r="G1790" s="12" t="n">
        <x:v>0</x:v>
      </x:c>
      <x:c r="H1790" s="12" t="n">
        <x:f>IF(SUM(I1790:K1790)&gt;0,1,0)</x:f>
        <x:v>1</x:v>
      </x:c>
      <x:c r="I1790" s="12" t="n">
        <x:f>IF('患者配对'!M2018="positive",1,0)</x:f>
        <x:v>1</x:v>
      </x:c>
      <x:c r="J1790" s="12" t="n">
        <x:f>IF('患者配对'!R2018="positive",1,0)</x:f>
        <x:v>0</x:v>
      </x:c>
      <x:c r="K1790" s="12" t="n">
        <x:f>IF('患者配对'!W2018="positive",1,0)</x:f>
        <x:v>0</x:v>
      </x:c>
      <x:c r="L1790" s="12" t="str">
        <x:v>由原件与原状态取得；仅主队列索引</x:v>
      </x:c>
      <x:c r="M1790" s="12"/>
      <x:c r="N1790" s="12"/>
      <x:c r="O1790" s="12"/>
    </x:row>
    <x:row r="1791" ht="39" customHeight="1">
      <x:c r="A1791" s="12" t="str">
        <x:v>19333</x:v>
      </x:c>
      <x:c r="B1791" s="12" t="str">
        <x:v>12442</x:v>
      </x:c>
      <x:c r="C1791" s="12" t="str">
        <x:v>参考000</x:v>
      </x:c>
      <x:c r="D1791" s="12" t="str">
        <x:v>自动000</x:v>
      </x:c>
      <x:c r="E1791" s="12" t="n">
        <x:v>0</x:v>
      </x:c>
      <x:c r="F1791" s="12" t="n">
        <x:v>1</x:v>
      </x:c>
      <x:c r="G1791" s="12" t="n">
        <x:v>0</x:v>
      </x:c>
      <x:c r="H1791" s="12" t="n">
        <x:f>IF(SUM(I1791:K1791)&gt;0,1,0)</x:f>
        <x:v>0</x:v>
      </x:c>
      <x:c r="I1791" s="12" t="n">
        <x:f>IF('患者配对'!M2020="positive",1,0)</x:f>
        <x:v>0</x:v>
      </x:c>
      <x:c r="J1791" s="12" t="n">
        <x:f>IF('患者配对'!R2020="positive",1,0)</x:f>
        <x:v>0</x:v>
      </x:c>
      <x:c r="K1791" s="12" t="n">
        <x:f>IF('患者配对'!W2020="positive",1,0)</x:f>
        <x:v>0</x:v>
      </x:c>
      <x:c r="L1791" s="12" t="str">
        <x:v>由原件与原状态取得；仅主队列索引</x:v>
      </x:c>
      <x:c r="M1791" s="12"/>
      <x:c r="N1791" s="12"/>
      <x:c r="O1791" s="12"/>
    </x:row>
    <x:row r="1792" ht="39" customHeight="1">
      <x:c r="A1792" s="12" t="str">
        <x:v>19334</x:v>
      </x:c>
      <x:c r="B1792" s="12" t="str">
        <x:v>12971</x:v>
      </x:c>
      <x:c r="C1792" s="12" t="str">
        <x:v>参考000</x:v>
      </x:c>
      <x:c r="D1792" s="12" t="str">
        <x:v>自动000</x:v>
      </x:c>
      <x:c r="E1792" s="12" t="n">
        <x:v>0</x:v>
      </x:c>
      <x:c r="F1792" s="12" t="n">
        <x:v>0</x:v>
      </x:c>
      <x:c r="G1792" s="12" t="n">
        <x:v>0</x:v>
      </x:c>
      <x:c r="H1792" s="12" t="n">
        <x:f>IF(SUM(I1792:K1792)&gt;0,1,0)</x:f>
        <x:v>0</x:v>
      </x:c>
      <x:c r="I1792" s="12" t="n">
        <x:f>IF('患者配对'!M2021="positive",1,0)</x:f>
        <x:v>0</x:v>
      </x:c>
      <x:c r="J1792" s="12" t="n">
        <x:f>IF('患者配对'!R2021="positive",1,0)</x:f>
        <x:v>0</x:v>
      </x:c>
      <x:c r="K1792" s="12" t="n">
        <x:f>IF('患者配对'!W2021="positive",1,0)</x:f>
        <x:v>0</x:v>
      </x:c>
      <x:c r="L1792" s="12" t="str">
        <x:v>由原件与原状态取得；仅主队列索引</x:v>
      </x:c>
      <x:c r="M1792" s="12"/>
      <x:c r="N1792" s="12"/>
      <x:c r="O1792" s="12"/>
    </x:row>
    <x:row r="1793" ht="39" customHeight="1">
      <x:c r="A1793" s="12" t="str">
        <x:v>19350</x:v>
      </x:c>
      <x:c r="B1793" s="12" t="str">
        <x:v>16369</x:v>
      </x:c>
      <x:c r="C1793" s="12" t="str">
        <x:v>参考000</x:v>
      </x:c>
      <x:c r="D1793" s="12" t="str">
        <x:v>自动000</x:v>
      </x:c>
      <x:c r="E1793" s="12" t="n">
        <x:v>0</x:v>
      </x:c>
      <x:c r="F1793" s="12" t="n">
        <x:v>0</x:v>
      </x:c>
      <x:c r="G1793" s="12" t="n">
        <x:v>0</x:v>
      </x:c>
      <x:c r="H1793" s="12" t="n">
        <x:f>IF(SUM(I1793:K1793)&gt;0,1,0)</x:f>
        <x:v>0</x:v>
      </x:c>
      <x:c r="I1793" s="12" t="n">
        <x:f>IF('患者配对'!M2023="positive",1,0)</x:f>
        <x:v>0</x:v>
      </x:c>
      <x:c r="J1793" s="12" t="n">
        <x:f>IF('患者配对'!R2023="positive",1,0)</x:f>
        <x:v>0</x:v>
      </x:c>
      <x:c r="K1793" s="12" t="n">
        <x:f>IF('患者配对'!W2023="positive",1,0)</x:f>
        <x:v>0</x:v>
      </x:c>
      <x:c r="L1793" s="12" t="str">
        <x:v>由原件与原状态取得；仅主队列索引</x:v>
      </x:c>
      <x:c r="M1793" s="12"/>
      <x:c r="N1793" s="12"/>
      <x:c r="O1793" s="12"/>
    </x:row>
    <x:row r="1794" ht="39" customHeight="1">
      <x:c r="A1794" s="12" t="str">
        <x:v>19353</x:v>
      </x:c>
      <x:c r="B1794" s="12" t="str">
        <x:v>19389</x:v>
      </x:c>
      <x:c r="C1794" s="12" t="str">
        <x:v>参考000</x:v>
      </x:c>
      <x:c r="D1794" s="12" t="str">
        <x:v>自动000</x:v>
      </x:c>
      <x:c r="E1794" s="12" t="n">
        <x:v>0</x:v>
      </x:c>
      <x:c r="F1794" s="12" t="n">
        <x:v>0</x:v>
      </x:c>
      <x:c r="G1794" s="12" t="n">
        <x:v>0</x:v>
      </x:c>
      <x:c r="H1794" s="12" t="n">
        <x:f>IF(SUM(I1794:K1794)&gt;0,1,0)</x:f>
        <x:v>0</x:v>
      </x:c>
      <x:c r="I1794" s="12" t="n">
        <x:f>IF('患者配对'!M2024="positive",1,0)</x:f>
        <x:v>0</x:v>
      </x:c>
      <x:c r="J1794" s="12" t="n">
        <x:f>IF('患者配对'!R2024="positive",1,0)</x:f>
        <x:v>0</x:v>
      </x:c>
      <x:c r="K1794" s="12" t="n">
        <x:f>IF('患者配对'!W2024="positive",1,0)</x:f>
        <x:v>0</x:v>
      </x:c>
      <x:c r="L1794" s="12" t="str">
        <x:v>由原件与原状态取得；仅主队列索引</x:v>
      </x:c>
      <x:c r="M1794" s="12"/>
      <x:c r="N1794" s="12"/>
      <x:c r="O1794" s="12"/>
    </x:row>
    <x:row r="1795" ht="39" customHeight="1">
      <x:c r="A1795" s="12" t="str">
        <x:v>19408</x:v>
      </x:c>
      <x:c r="B1795" s="12" t="str">
        <x:v>18542</x:v>
      </x:c>
      <x:c r="C1795" s="12" t="str">
        <x:v>参考000</x:v>
      </x:c>
      <x:c r="D1795" s="12" t="str">
        <x:v>自动000</x:v>
      </x:c>
      <x:c r="E1795" s="12" t="n">
        <x:v>0</x:v>
      </x:c>
      <x:c r="F1795" s="12" t="n">
        <x:v>0</x:v>
      </x:c>
      <x:c r="G1795" s="12" t="n">
        <x:v>0</x:v>
      </x:c>
      <x:c r="H1795" s="12" t="n">
        <x:f>IF(SUM(I1795:K1795)&gt;0,1,0)</x:f>
        <x:v>0</x:v>
      </x:c>
      <x:c r="I1795" s="12" t="n">
        <x:f>IF('患者配对'!M2030="positive",1,0)</x:f>
        <x:v>0</x:v>
      </x:c>
      <x:c r="J1795" s="12" t="n">
        <x:f>IF('患者配对'!R2030="positive",1,0)</x:f>
        <x:v>0</x:v>
      </x:c>
      <x:c r="K1795" s="12" t="n">
        <x:f>IF('患者配对'!W2030="positive",1,0)</x:f>
        <x:v>0</x:v>
      </x:c>
      <x:c r="L1795" s="12" t="str">
        <x:v>由原件与原状态取得；仅主队列索引</x:v>
      </x:c>
      <x:c r="M1795" s="12"/>
      <x:c r="N1795" s="12"/>
      <x:c r="O1795" s="12"/>
    </x:row>
    <x:row r="1796" ht="39" customHeight="1">
      <x:c r="A1796" s="12" t="str">
        <x:v>19409</x:v>
      </x:c>
      <x:c r="B1796" s="12" t="str">
        <x:v>12045</x:v>
      </x:c>
      <x:c r="C1796" s="12" t="str">
        <x:v>参考000</x:v>
      </x:c>
      <x:c r="D1796" s="12" t="str">
        <x:v>自动000</x:v>
      </x:c>
      <x:c r="E1796" s="12" t="n">
        <x:v>0</x:v>
      </x:c>
      <x:c r="F1796" s="12" t="n">
        <x:v>0</x:v>
      </x:c>
      <x:c r="G1796" s="12" t="n">
        <x:v>0</x:v>
      </x:c>
      <x:c r="H1796" s="12" t="n">
        <x:f>IF(SUM(I1796:K1796)&gt;0,1,0)</x:f>
        <x:v>0</x:v>
      </x:c>
      <x:c r="I1796" s="12" t="n">
        <x:f>IF('患者配对'!M2031="positive",1,0)</x:f>
        <x:v>0</x:v>
      </x:c>
      <x:c r="J1796" s="12" t="n">
        <x:f>IF('患者配对'!R2031="positive",1,0)</x:f>
        <x:v>0</x:v>
      </x:c>
      <x:c r="K1796" s="12" t="n">
        <x:f>IF('患者配对'!W2031="positive",1,0)</x:f>
        <x:v>0</x:v>
      </x:c>
      <x:c r="L1796" s="12" t="str">
        <x:v>由原件与原状态取得；仅主队列索引</x:v>
      </x:c>
      <x:c r="M1796" s="12"/>
      <x:c r="N1796" s="12"/>
      <x:c r="O1796" s="12"/>
    </x:row>
    <x:row r="1797" ht="39" customHeight="1">
      <x:c r="A1797" s="12" t="str">
        <x:v>19412</x:v>
      </x:c>
      <x:c r="B1797" s="12" t="str">
        <x:v>17414</x:v>
      </x:c>
      <x:c r="C1797" s="12" t="str">
        <x:v>参考100</x:v>
      </x:c>
      <x:c r="D1797" s="12" t="str">
        <x:v>自动000</x:v>
      </x:c>
      <x:c r="E1797" s="12" t="n">
        <x:v>0</x:v>
      </x:c>
      <x:c r="F1797" s="12" t="n">
        <x:v>0</x:v>
      </x:c>
      <x:c r="G1797" s="12" t="n">
        <x:v>1</x:v>
      </x:c>
      <x:c r="H1797" s="12" t="n">
        <x:f>IF(SUM(I1797:K1797)&gt;0,1,0)</x:f>
        <x:v>1</x:v>
      </x:c>
      <x:c r="I1797" s="12" t="n">
        <x:f>IF('患者配对'!M2032="positive",1,0)</x:f>
        <x:v>1</x:v>
      </x:c>
      <x:c r="J1797" s="12" t="n">
        <x:f>IF('患者配对'!R2032="positive",1,0)</x:f>
        <x:v>0</x:v>
      </x:c>
      <x:c r="K1797" s="12" t="n">
        <x:f>IF('患者配对'!W2032="positive",1,0)</x:f>
        <x:v>0</x:v>
      </x:c>
      <x:c r="L1797" s="12" t="str">
        <x:v>由原件与原状态取得；仅主队列索引</x:v>
      </x:c>
      <x:c r="M1797" s="12"/>
      <x:c r="N1797" s="12"/>
      <x:c r="O1797" s="12"/>
    </x:row>
    <x:row r="1798" ht="39" customHeight="1">
      <x:c r="A1798" s="12" t="str">
        <x:v>19424</x:v>
      </x:c>
      <x:c r="B1798" s="12" t="str">
        <x:v>13052</x:v>
      </x:c>
      <x:c r="C1798" s="12" t="str">
        <x:v>参考000</x:v>
      </x:c>
      <x:c r="D1798" s="12" t="str">
        <x:v>自动000</x:v>
      </x:c>
      <x:c r="E1798" s="12" t="n">
        <x:v>0</x:v>
      </x:c>
      <x:c r="F1798" s="12" t="n">
        <x:v>0</x:v>
      </x:c>
      <x:c r="G1798" s="12" t="n">
        <x:v>0</x:v>
      </x:c>
      <x:c r="H1798" s="12" t="n">
        <x:f>IF(SUM(I1798:K1798)&gt;0,1,0)</x:f>
        <x:v>0</x:v>
      </x:c>
      <x:c r="I1798" s="12" t="n">
        <x:f>IF('患者配对'!M2033="positive",1,0)</x:f>
        <x:v>0</x:v>
      </x:c>
      <x:c r="J1798" s="12" t="n">
        <x:f>IF('患者配对'!R2033="positive",1,0)</x:f>
        <x:v>0</x:v>
      </x:c>
      <x:c r="K1798" s="12" t="n">
        <x:f>IF('患者配对'!W2033="positive",1,0)</x:f>
        <x:v>0</x:v>
      </x:c>
      <x:c r="L1798" s="12" t="str">
        <x:v>由原件与原状态取得；仅主队列索引</x:v>
      </x:c>
      <x:c r="M1798" s="12"/>
      <x:c r="N1798" s="12"/>
      <x:c r="O1798" s="12"/>
    </x:row>
    <x:row r="1799" ht="39" customHeight="1">
      <x:c r="A1799" s="12" t="str">
        <x:v>19427</x:v>
      </x:c>
      <x:c r="B1799" s="12" t="str">
        <x:v>21485</x:v>
      </x:c>
      <x:c r="C1799" s="12" t="str">
        <x:v>参考000</x:v>
      </x:c>
      <x:c r="D1799" s="12" t="str">
        <x:v>自动000</x:v>
      </x:c>
      <x:c r="E1799" s="12" t="n">
        <x:v>0</x:v>
      </x:c>
      <x:c r="F1799" s="12" t="n">
        <x:v>0</x:v>
      </x:c>
      <x:c r="G1799" s="12" t="n">
        <x:v>0</x:v>
      </x:c>
      <x:c r="H1799" s="12" t="n">
        <x:f>IF(SUM(I1799:K1799)&gt;0,1,0)</x:f>
        <x:v>0</x:v>
      </x:c>
      <x:c r="I1799" s="12" t="n">
        <x:f>IF('患者配对'!M2034="positive",1,0)</x:f>
        <x:v>0</x:v>
      </x:c>
      <x:c r="J1799" s="12" t="n">
        <x:f>IF('患者配对'!R2034="positive",1,0)</x:f>
        <x:v>0</x:v>
      </x:c>
      <x:c r="K1799" s="12" t="n">
        <x:f>IF('患者配对'!W2034="positive",1,0)</x:f>
        <x:v>0</x:v>
      </x:c>
      <x:c r="L1799" s="12" t="str">
        <x:v>由原件与原状态取得；仅主队列索引</x:v>
      </x:c>
      <x:c r="M1799" s="12"/>
      <x:c r="N1799" s="12"/>
      <x:c r="O1799" s="12"/>
    </x:row>
    <x:row r="1800" ht="39" customHeight="1">
      <x:c r="A1800" s="12" t="str">
        <x:v>19432</x:v>
      </x:c>
      <x:c r="B1800" s="12" t="str">
        <x:v>12298</x:v>
      </x:c>
      <x:c r="C1800" s="12" t="str">
        <x:v>参考000</x:v>
      </x:c>
      <x:c r="D1800" s="12" t="str">
        <x:v>自动000</x:v>
      </x:c>
      <x:c r="E1800" s="12" t="n">
        <x:v>0</x:v>
      </x:c>
      <x:c r="F1800" s="12" t="n">
        <x:v>0</x:v>
      </x:c>
      <x:c r="G1800" s="12" t="n">
        <x:v>0</x:v>
      </x:c>
      <x:c r="H1800" s="12" t="n">
        <x:f>IF(SUM(I1800:K1800)&gt;0,1,0)</x:f>
        <x:v>0</x:v>
      </x:c>
      <x:c r="I1800" s="12" t="n">
        <x:f>IF('患者配对'!M2035="positive",1,0)</x:f>
        <x:v>0</x:v>
      </x:c>
      <x:c r="J1800" s="12" t="n">
        <x:f>IF('患者配对'!R2035="positive",1,0)</x:f>
        <x:v>0</x:v>
      </x:c>
      <x:c r="K1800" s="12" t="n">
        <x:f>IF('患者配对'!W2035="positive",1,0)</x:f>
        <x:v>0</x:v>
      </x:c>
      <x:c r="L1800" s="12" t="str">
        <x:v>由原件与原状态取得；仅主队列索引</x:v>
      </x:c>
      <x:c r="M1800" s="12"/>
      <x:c r="N1800" s="12"/>
      <x:c r="O1800" s="12"/>
    </x:row>
    <x:row r="1801" ht="39" customHeight="1">
      <x:c r="A1801" s="12" t="str">
        <x:v>19461</x:v>
      </x:c>
      <x:c r="B1801" s="12" t="str">
        <x:v>13032</x:v>
      </x:c>
      <x:c r="C1801" s="12" t="str">
        <x:v>参考000</x:v>
      </x:c>
      <x:c r="D1801" s="12" t="str">
        <x:v>自动000</x:v>
      </x:c>
      <x:c r="E1801" s="12" t="n">
        <x:v>0</x:v>
      </x:c>
      <x:c r="F1801" s="12" t="n">
        <x:v>0</x:v>
      </x:c>
      <x:c r="G1801" s="12" t="n">
        <x:v>0</x:v>
      </x:c>
      <x:c r="H1801" s="12" t="n">
        <x:f>IF(SUM(I1801:K1801)&gt;0,1,0)</x:f>
        <x:v>0</x:v>
      </x:c>
      <x:c r="I1801" s="12" t="n">
        <x:f>IF('患者配对'!M2036="positive",1,0)</x:f>
        <x:v>0</x:v>
      </x:c>
      <x:c r="J1801" s="12" t="n">
        <x:f>IF('患者配对'!R2036="positive",1,0)</x:f>
        <x:v>0</x:v>
      </x:c>
      <x:c r="K1801" s="12" t="n">
        <x:f>IF('患者配对'!W2036="positive",1,0)</x:f>
        <x:v>0</x:v>
      </x:c>
      <x:c r="L1801" s="12" t="str">
        <x:v>由原件与原状态取得；仅主队列索引</x:v>
      </x:c>
      <x:c r="M1801" s="12"/>
      <x:c r="N1801" s="12"/>
      <x:c r="O1801" s="12"/>
    </x:row>
    <x:row r="1802" ht="39" customHeight="1">
      <x:c r="A1802" s="12" t="str">
        <x:v>19466</x:v>
      </x:c>
      <x:c r="B1802" s="12" t="str">
        <x:v>20266</x:v>
      </x:c>
      <x:c r="C1802" s="12" t="str">
        <x:v>参考000</x:v>
      </x:c>
      <x:c r="D1802" s="12" t="str">
        <x:v>自动000</x:v>
      </x:c>
      <x:c r="E1802" s="12" t="n">
        <x:v>0</x:v>
      </x:c>
      <x:c r="F1802" s="12" t="n">
        <x:v>0</x:v>
      </x:c>
      <x:c r="G1802" s="12" t="n">
        <x:v>0</x:v>
      </x:c>
      <x:c r="H1802" s="12" t="n">
        <x:f>IF(SUM(I1802:K1802)&gt;0,1,0)</x:f>
        <x:v>0</x:v>
      </x:c>
      <x:c r="I1802" s="12" t="n">
        <x:f>IF('患者配对'!M2037="positive",1,0)</x:f>
        <x:v>0</x:v>
      </x:c>
      <x:c r="J1802" s="12" t="n">
        <x:f>IF('患者配对'!R2037="positive",1,0)</x:f>
        <x:v>0</x:v>
      </x:c>
      <x:c r="K1802" s="12" t="n">
        <x:f>IF('患者配对'!W2037="positive",1,0)</x:f>
        <x:v>0</x:v>
      </x:c>
      <x:c r="L1802" s="12" t="str">
        <x:v>由原件与原状态取得；仅主队列索引</x:v>
      </x:c>
      <x:c r="M1802" s="12"/>
      <x:c r="N1802" s="12"/>
      <x:c r="O1802" s="12"/>
    </x:row>
    <x:row r="1803" ht="39" customHeight="1">
      <x:c r="A1803" s="12" t="str">
        <x:v>19507</x:v>
      </x:c>
      <x:c r="B1803" s="12" t="str">
        <x:v>16049</x:v>
      </x:c>
      <x:c r="C1803" s="12" t="str">
        <x:v>参考000</x:v>
      </x:c>
      <x:c r="D1803" s="12" t="str">
        <x:v>自动000</x:v>
      </x:c>
      <x:c r="E1803" s="12" t="n">
        <x:v>0</x:v>
      </x:c>
      <x:c r="F1803" s="12" t="n">
        <x:v>1</x:v>
      </x:c>
      <x:c r="G1803" s="12" t="n">
        <x:v>0</x:v>
      </x:c>
      <x:c r="H1803" s="12" t="n">
        <x:f>IF(SUM(I1803:K1803)&gt;0,1,0)</x:f>
        <x:v>0</x:v>
      </x:c>
      <x:c r="I1803" s="12" t="n">
        <x:f>IF('患者配对'!M2038="positive",1,0)</x:f>
        <x:v>0</x:v>
      </x:c>
      <x:c r="J1803" s="12" t="n">
        <x:f>IF('患者配对'!R2038="positive",1,0)</x:f>
        <x:v>0</x:v>
      </x:c>
      <x:c r="K1803" s="12" t="n">
        <x:f>IF('患者配对'!W2038="positive",1,0)</x:f>
        <x:v>0</x:v>
      </x:c>
      <x:c r="L1803" s="12" t="str">
        <x:v>由原件与原状态取得；仅主队列索引</x:v>
      </x:c>
      <x:c r="M1803" s="12"/>
      <x:c r="N1803" s="12"/>
      <x:c r="O1803" s="12"/>
    </x:row>
    <x:row r="1804" ht="39" customHeight="1">
      <x:c r="A1804" s="12" t="str">
        <x:v>19517</x:v>
      </x:c>
      <x:c r="B1804" s="12" t="str">
        <x:v>20736</x:v>
      </x:c>
      <x:c r="C1804" s="12" t="str">
        <x:v>参考000</x:v>
      </x:c>
      <x:c r="D1804" s="12" t="str">
        <x:v>自动000</x:v>
      </x:c>
      <x:c r="E1804" s="12" t="n">
        <x:v>0</x:v>
      </x:c>
      <x:c r="F1804" s="12" t="n">
        <x:v>0</x:v>
      </x:c>
      <x:c r="G1804" s="12" t="n">
        <x:v>0</x:v>
      </x:c>
      <x:c r="H1804" s="12" t="n">
        <x:f>IF(SUM(I1804:K1804)&gt;0,1,0)</x:f>
        <x:v>0</x:v>
      </x:c>
      <x:c r="I1804" s="12" t="n">
        <x:f>IF('患者配对'!M2039="positive",1,0)</x:f>
        <x:v>0</x:v>
      </x:c>
      <x:c r="J1804" s="12" t="n">
        <x:f>IF('患者配对'!R2039="positive",1,0)</x:f>
        <x:v>0</x:v>
      </x:c>
      <x:c r="K1804" s="12" t="n">
        <x:f>IF('患者配对'!W2039="positive",1,0)</x:f>
        <x:v>0</x:v>
      </x:c>
      <x:c r="L1804" s="12" t="str">
        <x:v>由原件与原状态取得；仅主队列索引</x:v>
      </x:c>
      <x:c r="M1804" s="12"/>
      <x:c r="N1804" s="12"/>
      <x:c r="O1804" s="12"/>
    </x:row>
    <x:row r="1805" ht="39" customHeight="1">
      <x:c r="A1805" s="12" t="str">
        <x:v>19526</x:v>
      </x:c>
      <x:c r="B1805" s="12" t="str">
        <x:v>16510</x:v>
      </x:c>
      <x:c r="C1805" s="12" t="str">
        <x:v>参考000</x:v>
      </x:c>
      <x:c r="D1805" s="12" t="str">
        <x:v>自动000</x:v>
      </x:c>
      <x:c r="E1805" s="12" t="n">
        <x:v>0</x:v>
      </x:c>
      <x:c r="F1805" s="12" t="n">
        <x:v>0</x:v>
      </x:c>
      <x:c r="G1805" s="12" t="n">
        <x:v>0</x:v>
      </x:c>
      <x:c r="H1805" s="12" t="n">
        <x:f>IF(SUM(I1805:K1805)&gt;0,1,0)</x:f>
        <x:v>0</x:v>
      </x:c>
      <x:c r="I1805" s="12" t="n">
        <x:f>IF('患者配对'!M2040="positive",1,0)</x:f>
        <x:v>0</x:v>
      </x:c>
      <x:c r="J1805" s="12" t="n">
        <x:f>IF('患者配对'!R2040="positive",1,0)</x:f>
        <x:v>0</x:v>
      </x:c>
      <x:c r="K1805" s="12" t="n">
        <x:f>IF('患者配对'!W2040="positive",1,0)</x:f>
        <x:v>0</x:v>
      </x:c>
      <x:c r="L1805" s="12" t="str">
        <x:v>由原件与原状态取得；仅主队列索引</x:v>
      </x:c>
      <x:c r="M1805" s="12"/>
      <x:c r="N1805" s="12"/>
      <x:c r="O1805" s="12"/>
    </x:row>
    <x:row r="1806" ht="39" customHeight="1">
      <x:c r="A1806" s="12" t="str">
        <x:v>19571</x:v>
      </x:c>
      <x:c r="B1806" s="12" t="str">
        <x:v>15609</x:v>
      </x:c>
      <x:c r="C1806" s="12" t="str">
        <x:v>参考100</x:v>
      </x:c>
      <x:c r="D1806" s="12" t="str">
        <x:v>自动100</x:v>
      </x:c>
      <x:c r="E1806" s="12" t="n">
        <x:v>1</x:v>
      </x:c>
      <x:c r="F1806" s="12" t="n">
        <x:v>1</x:v>
      </x:c>
      <x:c r="G1806" s="12" t="n">
        <x:v>0</x:v>
      </x:c>
      <x:c r="H1806" s="12" t="n">
        <x:f>IF(SUM(I1806:K1806)&gt;0,1,0)</x:f>
        <x:v>1</x:v>
      </x:c>
      <x:c r="I1806" s="12" t="n">
        <x:f>IF('患者配对'!M2042="positive",1,0)</x:f>
        <x:v>1</x:v>
      </x:c>
      <x:c r="J1806" s="12" t="n">
        <x:f>IF('患者配对'!R2042="positive",1,0)</x:f>
        <x:v>0</x:v>
      </x:c>
      <x:c r="K1806" s="12" t="n">
        <x:f>IF('患者配对'!W2042="positive",1,0)</x:f>
        <x:v>0</x:v>
      </x:c>
      <x:c r="L1806" s="12" t="str">
        <x:v>由原件与原状态取得；仅主队列索引</x:v>
      </x:c>
      <x:c r="M1806" s="12"/>
      <x:c r="N1806" s="12"/>
      <x:c r="O1806" s="12"/>
    </x:row>
    <x:row r="1807" ht="39" customHeight="1">
      <x:c r="A1807" s="12" t="str">
        <x:v>19572</x:v>
      </x:c>
      <x:c r="B1807" s="12" t="str">
        <x:v>20035</x:v>
      </x:c>
      <x:c r="C1807" s="12" t="str">
        <x:v>参考000</x:v>
      </x:c>
      <x:c r="D1807" s="12" t="str">
        <x:v>自动000</x:v>
      </x:c>
      <x:c r="E1807" s="12" t="n">
        <x:v>0</x:v>
      </x:c>
      <x:c r="F1807" s="12" t="n">
        <x:v>0</x:v>
      </x:c>
      <x:c r="G1807" s="12" t="n">
        <x:v>0</x:v>
      </x:c>
      <x:c r="H1807" s="12" t="n">
        <x:f>IF(SUM(I1807:K1807)&gt;0,1,0)</x:f>
        <x:v>0</x:v>
      </x:c>
      <x:c r="I1807" s="12" t="n">
        <x:f>IF('患者配对'!M2043="positive",1,0)</x:f>
        <x:v>0</x:v>
      </x:c>
      <x:c r="J1807" s="12" t="n">
        <x:f>IF('患者配对'!R2043="positive",1,0)</x:f>
        <x:v>0</x:v>
      </x:c>
      <x:c r="K1807" s="12" t="n">
        <x:f>IF('患者配对'!W2043="positive",1,0)</x:f>
        <x:v>0</x:v>
      </x:c>
      <x:c r="L1807" s="12" t="str">
        <x:v>由原件与原状态取得；仅主队列索引</x:v>
      </x:c>
      <x:c r="M1807" s="12"/>
      <x:c r="N1807" s="12"/>
      <x:c r="O1807" s="12"/>
    </x:row>
    <x:row r="1808" ht="39" customHeight="1">
      <x:c r="A1808" s="12" t="str">
        <x:v>19605</x:v>
      </x:c>
      <x:c r="B1808" s="12" t="str">
        <x:v>14515</x:v>
      </x:c>
      <x:c r="C1808" s="12" t="str">
        <x:v>参考000</x:v>
      </x:c>
      <x:c r="D1808" s="12" t="str">
        <x:v>自动000</x:v>
      </x:c>
      <x:c r="E1808" s="12" t="n">
        <x:v>0</x:v>
      </x:c>
      <x:c r="F1808" s="12" t="n">
        <x:v>1</x:v>
      </x:c>
      <x:c r="G1808" s="12" t="n">
        <x:v>0</x:v>
      </x:c>
      <x:c r="H1808" s="12" t="n">
        <x:f>IF(SUM(I1808:K1808)&gt;0,1,0)</x:f>
        <x:v>0</x:v>
      </x:c>
      <x:c r="I1808" s="12" t="n">
        <x:f>IF('患者配对'!M2044="positive",1,0)</x:f>
        <x:v>0</x:v>
      </x:c>
      <x:c r="J1808" s="12" t="n">
        <x:f>IF('患者配对'!R2044="positive",1,0)</x:f>
        <x:v>0</x:v>
      </x:c>
      <x:c r="K1808" s="12" t="n">
        <x:f>IF('患者配对'!W2044="positive",1,0)</x:f>
        <x:v>0</x:v>
      </x:c>
      <x:c r="L1808" s="12" t="str">
        <x:v>由原件与原状态取得；仅主队列索引</x:v>
      </x:c>
      <x:c r="M1808" s="12"/>
      <x:c r="N1808" s="12"/>
      <x:c r="O1808" s="12"/>
    </x:row>
    <x:row r="1809" ht="39" customHeight="1">
      <x:c r="A1809" s="12" t="str">
        <x:v>19661</x:v>
      </x:c>
      <x:c r="B1809" s="12" t="str">
        <x:v>21236</x:v>
      </x:c>
      <x:c r="C1809" s="12" t="str">
        <x:v>参考000</x:v>
      </x:c>
      <x:c r="D1809" s="12" t="str">
        <x:v>自动000</x:v>
      </x:c>
      <x:c r="E1809" s="12" t="n">
        <x:v>0</x:v>
      </x:c>
      <x:c r="F1809" s="12" t="n">
        <x:v>0</x:v>
      </x:c>
      <x:c r="G1809" s="12" t="n">
        <x:v>0</x:v>
      </x:c>
      <x:c r="H1809" s="12" t="n">
        <x:f>IF(SUM(I1809:K1809)&gt;0,1,0)</x:f>
        <x:v>0</x:v>
      </x:c>
      <x:c r="I1809" s="12" t="n">
        <x:f>IF('患者配对'!M2045="positive",1,0)</x:f>
        <x:v>0</x:v>
      </x:c>
      <x:c r="J1809" s="12" t="n">
        <x:f>IF('患者配对'!R2045="positive",1,0)</x:f>
        <x:v>0</x:v>
      </x:c>
      <x:c r="K1809" s="12" t="n">
        <x:f>IF('患者配对'!W2045="positive",1,0)</x:f>
        <x:v>0</x:v>
      </x:c>
      <x:c r="L1809" s="12" t="str">
        <x:v>由原件与原状态取得；仅主队列索引</x:v>
      </x:c>
      <x:c r="M1809" s="12"/>
      <x:c r="N1809" s="12"/>
      <x:c r="O1809" s="12"/>
    </x:row>
    <x:row r="1810" ht="39" customHeight="1">
      <x:c r="A1810" s="12" t="str">
        <x:v>19669</x:v>
      </x:c>
      <x:c r="B1810" s="12" t="str">
        <x:v>17218</x:v>
      </x:c>
      <x:c r="C1810" s="12" t="str">
        <x:v>参考000</x:v>
      </x:c>
      <x:c r="D1810" s="12" t="str">
        <x:v>自动000</x:v>
      </x:c>
      <x:c r="E1810" s="12" t="n">
        <x:v>0</x:v>
      </x:c>
      <x:c r="F1810" s="12" t="n">
        <x:v>0</x:v>
      </x:c>
      <x:c r="G1810" s="12" t="n">
        <x:v>0</x:v>
      </x:c>
      <x:c r="H1810" s="12" t="n">
        <x:f>IF(SUM(I1810:K1810)&gt;0,1,0)</x:f>
        <x:v>0</x:v>
      </x:c>
      <x:c r="I1810" s="12" t="n">
        <x:f>IF('患者配对'!M2047="positive",1,0)</x:f>
        <x:v>0</x:v>
      </x:c>
      <x:c r="J1810" s="12" t="n">
        <x:f>IF('患者配对'!R2047="positive",1,0)</x:f>
        <x:v>0</x:v>
      </x:c>
      <x:c r="K1810" s="12" t="n">
        <x:f>IF('患者配对'!W2047="positive",1,0)</x:f>
        <x:v>0</x:v>
      </x:c>
      <x:c r="L1810" s="12" t="str">
        <x:v>由原件与原状态取得；仅主队列索引</x:v>
      </x:c>
      <x:c r="M1810" s="12"/>
      <x:c r="N1810" s="12"/>
      <x:c r="O1810" s="12"/>
    </x:row>
    <x:row r="1811" ht="39" customHeight="1">
      <x:c r="A1811" s="12" t="str">
        <x:v>19670</x:v>
      </x:c>
      <x:c r="B1811" s="12" t="str">
        <x:v>17427</x:v>
      </x:c>
      <x:c r="C1811" s="12" t="str">
        <x:v>参考000</x:v>
      </x:c>
      <x:c r="D1811" s="12" t="str">
        <x:v>自动000</x:v>
      </x:c>
      <x:c r="E1811" s="12" t="n">
        <x:v>0</x:v>
      </x:c>
      <x:c r="F1811" s="12" t="n">
        <x:v>0</x:v>
      </x:c>
      <x:c r="G1811" s="12" t="n">
        <x:v>0</x:v>
      </x:c>
      <x:c r="H1811" s="12" t="n">
        <x:f>IF(SUM(I1811:K1811)&gt;0,1,0)</x:f>
        <x:v>0</x:v>
      </x:c>
      <x:c r="I1811" s="12" t="n">
        <x:f>IF('患者配对'!M2048="positive",1,0)</x:f>
        <x:v>0</x:v>
      </x:c>
      <x:c r="J1811" s="12" t="n">
        <x:f>IF('患者配对'!R2048="positive",1,0)</x:f>
        <x:v>0</x:v>
      </x:c>
      <x:c r="K1811" s="12" t="n">
        <x:f>IF('患者配对'!W2048="positive",1,0)</x:f>
        <x:v>0</x:v>
      </x:c>
      <x:c r="L1811" s="12" t="str">
        <x:v>由原件与原状态取得；仅主队列索引</x:v>
      </x:c>
      <x:c r="M1811" s="12"/>
      <x:c r="N1811" s="12"/>
      <x:c r="O1811" s="12"/>
    </x:row>
    <x:row r="1812" ht="39" customHeight="1">
      <x:c r="A1812" s="12" t="str">
        <x:v>19686</x:v>
      </x:c>
      <x:c r="B1812" s="12" t="str">
        <x:v>14081</x:v>
      </x:c>
      <x:c r="C1812" s="12" t="str">
        <x:v>参考000</x:v>
      </x:c>
      <x:c r="D1812" s="12" t="str">
        <x:v>自动000</x:v>
      </x:c>
      <x:c r="E1812" s="12" t="n">
        <x:v>0</x:v>
      </x:c>
      <x:c r="F1812" s="12" t="n">
        <x:v>0</x:v>
      </x:c>
      <x:c r="G1812" s="12" t="n">
        <x:v>0</x:v>
      </x:c>
      <x:c r="H1812" s="12" t="n">
        <x:f>IF(SUM(I1812:K1812)&gt;0,1,0)</x:f>
        <x:v>0</x:v>
      </x:c>
      <x:c r="I1812" s="12" t="n">
        <x:f>IF('患者配对'!M2049="positive",1,0)</x:f>
        <x:v>0</x:v>
      </x:c>
      <x:c r="J1812" s="12" t="n">
        <x:f>IF('患者配对'!R2049="positive",1,0)</x:f>
        <x:v>0</x:v>
      </x:c>
      <x:c r="K1812" s="12" t="n">
        <x:f>IF('患者配对'!W2049="positive",1,0)</x:f>
        <x:v>0</x:v>
      </x:c>
      <x:c r="L1812" s="12" t="str">
        <x:v>由原件与原状态取得；仅主队列索引</x:v>
      </x:c>
      <x:c r="M1812" s="12"/>
      <x:c r="N1812" s="12"/>
      <x:c r="O1812" s="12"/>
    </x:row>
    <x:row r="1813" ht="39" customHeight="1">
      <x:c r="A1813" s="12" t="str">
        <x:v>19695</x:v>
      </x:c>
      <x:c r="B1813" s="12" t="str">
        <x:v>14363</x:v>
      </x:c>
      <x:c r="C1813" s="12" t="str">
        <x:v>参考000</x:v>
      </x:c>
      <x:c r="D1813" s="12" t="str">
        <x:v>自动000</x:v>
      </x:c>
      <x:c r="E1813" s="12" t="n">
        <x:v>0</x:v>
      </x:c>
      <x:c r="F1813" s="12" t="n">
        <x:v>0</x:v>
      </x:c>
      <x:c r="G1813" s="12" t="n">
        <x:v>0</x:v>
      </x:c>
      <x:c r="H1813" s="12" t="n">
        <x:f>IF(SUM(I1813:K1813)&gt;0,1,0)</x:f>
        <x:v>0</x:v>
      </x:c>
      <x:c r="I1813" s="12" t="n">
        <x:f>IF('患者配对'!M2050="positive",1,0)</x:f>
        <x:v>0</x:v>
      </x:c>
      <x:c r="J1813" s="12" t="n">
        <x:f>IF('患者配对'!R2050="positive",1,0)</x:f>
        <x:v>0</x:v>
      </x:c>
      <x:c r="K1813" s="12" t="n">
        <x:f>IF('患者配对'!W2050="positive",1,0)</x:f>
        <x:v>0</x:v>
      </x:c>
      <x:c r="L1813" s="12" t="str">
        <x:v>由原件与原状态取得；仅主队列索引</x:v>
      </x:c>
      <x:c r="M1813" s="12"/>
      <x:c r="N1813" s="12"/>
      <x:c r="O1813" s="12"/>
    </x:row>
    <x:row r="1814" ht="39" customHeight="1">
      <x:c r="A1814" s="12" t="str">
        <x:v>19701</x:v>
      </x:c>
      <x:c r="B1814" s="12" t="str">
        <x:v>19760</x:v>
      </x:c>
      <x:c r="C1814" s="12" t="str">
        <x:v>参考000</x:v>
      </x:c>
      <x:c r="D1814" s="12" t="str">
        <x:v>自动000</x:v>
      </x:c>
      <x:c r="E1814" s="12" t="n">
        <x:v>0</x:v>
      </x:c>
      <x:c r="F1814" s="12" t="n">
        <x:v>0</x:v>
      </x:c>
      <x:c r="G1814" s="12" t="n">
        <x:v>0</x:v>
      </x:c>
      <x:c r="H1814" s="12" t="n">
        <x:f>IF(SUM(I1814:K1814)&gt;0,1,0)</x:f>
        <x:v>0</x:v>
      </x:c>
      <x:c r="I1814" s="12" t="n">
        <x:f>IF('患者配对'!M2051="positive",1,0)</x:f>
        <x:v>0</x:v>
      </x:c>
      <x:c r="J1814" s="12" t="n">
        <x:f>IF('患者配对'!R2051="positive",1,0)</x:f>
        <x:v>0</x:v>
      </x:c>
      <x:c r="K1814" s="12" t="n">
        <x:f>IF('患者配对'!W2051="positive",1,0)</x:f>
        <x:v>0</x:v>
      </x:c>
      <x:c r="L1814" s="12" t="str">
        <x:v>由原件与原状态取得；仅主队列索引</x:v>
      </x:c>
      <x:c r="M1814" s="12"/>
      <x:c r="N1814" s="12"/>
      <x:c r="O1814" s="12"/>
    </x:row>
    <x:row r="1815" ht="39" customHeight="1">
      <x:c r="A1815" s="12" t="str">
        <x:v>19703</x:v>
      </x:c>
      <x:c r="B1815" s="12" t="str">
        <x:v>17922</x:v>
      </x:c>
      <x:c r="C1815" s="12" t="str">
        <x:v>参考000</x:v>
      </x:c>
      <x:c r="D1815" s="12" t="str">
        <x:v>自动000</x:v>
      </x:c>
      <x:c r="E1815" s="12" t="n">
        <x:v>0</x:v>
      </x:c>
      <x:c r="F1815" s="12" t="n">
        <x:v>1</x:v>
      </x:c>
      <x:c r="G1815" s="12" t="n">
        <x:v>0</x:v>
      </x:c>
      <x:c r="H1815" s="12" t="n">
        <x:f>IF(SUM(I1815:K1815)&gt;0,1,0)</x:f>
        <x:v>0</x:v>
      </x:c>
      <x:c r="I1815" s="12" t="n">
        <x:f>IF('患者配对'!M2052="positive",1,0)</x:f>
        <x:v>0</x:v>
      </x:c>
      <x:c r="J1815" s="12" t="n">
        <x:f>IF('患者配对'!R2052="positive",1,0)</x:f>
        <x:v>0</x:v>
      </x:c>
      <x:c r="K1815" s="12" t="n">
        <x:f>IF('患者配对'!W2052="positive",1,0)</x:f>
        <x:v>0</x:v>
      </x:c>
      <x:c r="L1815" s="12" t="str">
        <x:v>由原件与原状态取得；仅主队列索引</x:v>
      </x:c>
      <x:c r="M1815" s="12"/>
      <x:c r="N1815" s="12"/>
      <x:c r="O1815" s="12"/>
    </x:row>
    <x:row r="1816" ht="39" customHeight="1">
      <x:c r="A1816" s="12" t="str">
        <x:v>19723</x:v>
      </x:c>
      <x:c r="B1816" s="12" t="str">
        <x:v>17374</x:v>
      </x:c>
      <x:c r="C1816" s="12" t="str">
        <x:v>参考000</x:v>
      </x:c>
      <x:c r="D1816" s="12" t="str">
        <x:v>自动000</x:v>
      </x:c>
      <x:c r="E1816" s="12" t="n">
        <x:v>0</x:v>
      </x:c>
      <x:c r="F1816" s="12" t="n">
        <x:v>0</x:v>
      </x:c>
      <x:c r="G1816" s="12" t="n">
        <x:v>0</x:v>
      </x:c>
      <x:c r="H1816" s="12" t="n">
        <x:f>IF(SUM(I1816:K1816)&gt;0,1,0)</x:f>
        <x:v>0</x:v>
      </x:c>
      <x:c r="I1816" s="12" t="n">
        <x:f>IF('患者配对'!M2053="positive",1,0)</x:f>
        <x:v>0</x:v>
      </x:c>
      <x:c r="J1816" s="12" t="n">
        <x:f>IF('患者配对'!R2053="positive",1,0)</x:f>
        <x:v>0</x:v>
      </x:c>
      <x:c r="K1816" s="12" t="n">
        <x:f>IF('患者配对'!W2053="positive",1,0)</x:f>
        <x:v>0</x:v>
      </x:c>
      <x:c r="L1816" s="12" t="str">
        <x:v>由原件与原状态取得；仅主队列索引</x:v>
      </x:c>
      <x:c r="M1816" s="12"/>
      <x:c r="N1816" s="12"/>
      <x:c r="O1816" s="12"/>
    </x:row>
    <x:row r="1817" ht="39" customHeight="1">
      <x:c r="A1817" s="12" t="str">
        <x:v>19726</x:v>
      </x:c>
      <x:c r="B1817" s="12" t="str">
        <x:v>8761</x:v>
      </x:c>
      <x:c r="C1817" s="12" t="str">
        <x:v>参考000</x:v>
      </x:c>
      <x:c r="D1817" s="12" t="str">
        <x:v>自动000</x:v>
      </x:c>
      <x:c r="E1817" s="12" t="n">
        <x:v>0</x:v>
      </x:c>
      <x:c r="F1817" s="12" t="n">
        <x:v>1</x:v>
      </x:c>
      <x:c r="G1817" s="12" t="n">
        <x:v>0</x:v>
      </x:c>
      <x:c r="H1817" s="12" t="n">
        <x:f>IF(SUM(I1817:K1817)&gt;0,1,0)</x:f>
        <x:v>0</x:v>
      </x:c>
      <x:c r="I1817" s="12" t="n">
        <x:f>IF('患者配对'!M2054="positive",1,0)</x:f>
        <x:v>0</x:v>
      </x:c>
      <x:c r="J1817" s="12" t="n">
        <x:f>IF('患者配对'!R2054="positive",1,0)</x:f>
        <x:v>0</x:v>
      </x:c>
      <x:c r="K1817" s="12" t="n">
        <x:f>IF('患者配对'!W2054="positive",1,0)</x:f>
        <x:v>0</x:v>
      </x:c>
      <x:c r="L1817" s="12" t="str">
        <x:v>由原件与原状态取得；仅主队列索引</x:v>
      </x:c>
      <x:c r="M1817" s="12"/>
      <x:c r="N1817" s="12"/>
      <x:c r="O1817" s="12"/>
    </x:row>
    <x:row r="1818" ht="39" customHeight="1">
      <x:c r="A1818" s="12" t="str">
        <x:v>19780</x:v>
      </x:c>
      <x:c r="B1818" s="12" t="str">
        <x:v>21793</x:v>
      </x:c>
      <x:c r="C1818" s="12" t="str">
        <x:v>参考000</x:v>
      </x:c>
      <x:c r="D1818" s="12" t="str">
        <x:v>自动000</x:v>
      </x:c>
      <x:c r="E1818" s="12" t="n">
        <x:v>0</x:v>
      </x:c>
      <x:c r="F1818" s="12" t="n">
        <x:v>0</x:v>
      </x:c>
      <x:c r="G1818" s="12" t="n">
        <x:v>0</x:v>
      </x:c>
      <x:c r="H1818" s="12" t="n">
        <x:f>IF(SUM(I1818:K1818)&gt;0,1,0)</x:f>
        <x:v>0</x:v>
      </x:c>
      <x:c r="I1818" s="12" t="n">
        <x:f>IF('患者配对'!M2055="positive",1,0)</x:f>
        <x:v>0</x:v>
      </x:c>
      <x:c r="J1818" s="12" t="n">
        <x:f>IF('患者配对'!R2055="positive",1,0)</x:f>
        <x:v>0</x:v>
      </x:c>
      <x:c r="K1818" s="12" t="n">
        <x:f>IF('患者配对'!W2055="positive",1,0)</x:f>
        <x:v>0</x:v>
      </x:c>
      <x:c r="L1818" s="12" t="str">
        <x:v>由原件与原状态取得；仅主队列索引</x:v>
      </x:c>
      <x:c r="M1818" s="12"/>
      <x:c r="N1818" s="12"/>
      <x:c r="O1818" s="12"/>
    </x:row>
    <x:row r="1819" ht="39" customHeight="1">
      <x:c r="A1819" s="12" t="str">
        <x:v>19848</x:v>
      </x:c>
      <x:c r="B1819" s="12" t="str">
        <x:v>20824</x:v>
      </x:c>
      <x:c r="C1819" s="12" t="str">
        <x:v>参考000</x:v>
      </x:c>
      <x:c r="D1819" s="12" t="str">
        <x:v>自动000</x:v>
      </x:c>
      <x:c r="E1819" s="12" t="n">
        <x:v>0</x:v>
      </x:c>
      <x:c r="F1819" s="12" t="n">
        <x:v>1</x:v>
      </x:c>
      <x:c r="G1819" s="12" t="n">
        <x:v>0</x:v>
      </x:c>
      <x:c r="H1819" s="12" t="n">
        <x:f>IF(SUM(I1819:K1819)&gt;0,1,0)</x:f>
        <x:v>0</x:v>
      </x:c>
      <x:c r="I1819" s="12" t="n">
        <x:f>IF('患者配对'!M2056="positive",1,0)</x:f>
        <x:v>0</x:v>
      </x:c>
      <x:c r="J1819" s="12" t="n">
        <x:f>IF('患者配对'!R2056="positive",1,0)</x:f>
        <x:v>0</x:v>
      </x:c>
      <x:c r="K1819" s="12" t="n">
        <x:f>IF('患者配对'!W2056="positive",1,0)</x:f>
        <x:v>0</x:v>
      </x:c>
      <x:c r="L1819" s="12" t="str">
        <x:v>由原件与原状态取得；仅主队列索引</x:v>
      </x:c>
      <x:c r="M1819" s="12"/>
      <x:c r="N1819" s="12"/>
      <x:c r="O1819" s="12"/>
    </x:row>
    <x:row r="1820" ht="39" customHeight="1">
      <x:c r="A1820" s="12" t="str">
        <x:v>19853</x:v>
      </x:c>
      <x:c r="B1820" s="12" t="str">
        <x:v>17338</x:v>
      </x:c>
      <x:c r="C1820" s="12" t="str">
        <x:v>参考000</x:v>
      </x:c>
      <x:c r="D1820" s="12" t="str">
        <x:v>自动000</x:v>
      </x:c>
      <x:c r="E1820" s="12" t="n">
        <x:v>0</x:v>
      </x:c>
      <x:c r="F1820" s="12" t="n">
        <x:v>0</x:v>
      </x:c>
      <x:c r="G1820" s="12" t="n">
        <x:v>0</x:v>
      </x:c>
      <x:c r="H1820" s="12" t="n">
        <x:f>IF(SUM(I1820:K1820)&gt;0,1,0)</x:f>
        <x:v>0</x:v>
      </x:c>
      <x:c r="I1820" s="12" t="n">
        <x:f>IF('患者配对'!M2057="positive",1,0)</x:f>
        <x:v>0</x:v>
      </x:c>
      <x:c r="J1820" s="12" t="n">
        <x:f>IF('患者配对'!R2057="positive",1,0)</x:f>
        <x:v>0</x:v>
      </x:c>
      <x:c r="K1820" s="12" t="n">
        <x:f>IF('患者配对'!W2057="positive",1,0)</x:f>
        <x:v>0</x:v>
      </x:c>
      <x:c r="L1820" s="12" t="str">
        <x:v>由原件与原状态取得；仅主队列索引</x:v>
      </x:c>
      <x:c r="M1820" s="12"/>
      <x:c r="N1820" s="12"/>
      <x:c r="O1820" s="12"/>
    </x:row>
    <x:row r="1821" ht="39" customHeight="1">
      <x:c r="A1821" s="12" t="str">
        <x:v>19858</x:v>
      </x:c>
      <x:c r="B1821" s="12" t="str">
        <x:v>8166</x:v>
      </x:c>
      <x:c r="C1821" s="12" t="str">
        <x:v>参考010</x:v>
      </x:c>
      <x:c r="D1821" s="12" t="str">
        <x:v>自动010</x:v>
      </x:c>
      <x:c r="E1821" s="12" t="n">
        <x:v>1</x:v>
      </x:c>
      <x:c r="F1821" s="12" t="n">
        <x:v>1</x:v>
      </x:c>
      <x:c r="G1821" s="12" t="n">
        <x:v>0</x:v>
      </x:c>
      <x:c r="H1821" s="12" t="n">
        <x:f>IF(SUM(I1821:K1821)&gt;0,1,0)</x:f>
        <x:v>1</x:v>
      </x:c>
      <x:c r="I1821" s="12" t="n">
        <x:f>IF('患者配对'!M2058="positive",1,0)</x:f>
        <x:v>0</x:v>
      </x:c>
      <x:c r="J1821" s="12" t="n">
        <x:f>IF('患者配对'!R2058="positive",1,0)</x:f>
        <x:v>1</x:v>
      </x:c>
      <x:c r="K1821" s="12" t="n">
        <x:f>IF('患者配对'!W2058="positive",1,0)</x:f>
        <x:v>0</x:v>
      </x:c>
      <x:c r="L1821" s="12" t="str">
        <x:v>由原件与原状态取得；仅主队列索引</x:v>
      </x:c>
      <x:c r="M1821" s="12"/>
      <x:c r="N1821" s="12"/>
      <x:c r="O1821" s="12"/>
    </x:row>
    <x:row r="1822" ht="39" customHeight="1">
      <x:c r="A1822" s="12" t="str">
        <x:v>19867</x:v>
      </x:c>
      <x:c r="B1822" s="12" t="str">
        <x:v>20558</x:v>
      </x:c>
      <x:c r="C1822" s="12" t="str">
        <x:v>参考000</x:v>
      </x:c>
      <x:c r="D1822" s="12" t="str">
        <x:v>自动000</x:v>
      </x:c>
      <x:c r="E1822" s="12" t="n">
        <x:v>0</x:v>
      </x:c>
      <x:c r="F1822" s="12" t="n">
        <x:v>0</x:v>
      </x:c>
      <x:c r="G1822" s="12" t="n">
        <x:v>0</x:v>
      </x:c>
      <x:c r="H1822" s="12" t="n">
        <x:f>IF(SUM(I1822:K1822)&gt;0,1,0)</x:f>
        <x:v>0</x:v>
      </x:c>
      <x:c r="I1822" s="12" t="n">
        <x:f>IF('患者配对'!M2059="positive",1,0)</x:f>
        <x:v>0</x:v>
      </x:c>
      <x:c r="J1822" s="12" t="n">
        <x:f>IF('患者配对'!R2059="positive",1,0)</x:f>
        <x:v>0</x:v>
      </x:c>
      <x:c r="K1822" s="12" t="n">
        <x:f>IF('患者配对'!W2059="positive",1,0)</x:f>
        <x:v>0</x:v>
      </x:c>
      <x:c r="L1822" s="12" t="str">
        <x:v>由原件与原状态取得；仅主队列索引</x:v>
      </x:c>
      <x:c r="M1822" s="12"/>
      <x:c r="N1822" s="12"/>
      <x:c r="O1822" s="12"/>
    </x:row>
    <x:row r="1823" ht="39" customHeight="1">
      <x:c r="A1823" s="12" t="str">
        <x:v>19882</x:v>
      </x:c>
      <x:c r="B1823" s="12" t="str">
        <x:v>12815</x:v>
      </x:c>
      <x:c r="C1823" s="12" t="str">
        <x:v>参考000</x:v>
      </x:c>
      <x:c r="D1823" s="12" t="str">
        <x:v>自动000</x:v>
      </x:c>
      <x:c r="E1823" s="12" t="n">
        <x:v>0</x:v>
      </x:c>
      <x:c r="F1823" s="12" t="n">
        <x:v>0</x:v>
      </x:c>
      <x:c r="G1823" s="12" t="n">
        <x:v>0</x:v>
      </x:c>
      <x:c r="H1823" s="12" t="n">
        <x:f>IF(SUM(I1823:K1823)&gt;0,1,0)</x:f>
        <x:v>0</x:v>
      </x:c>
      <x:c r="I1823" s="12" t="n">
        <x:f>IF('患者配对'!M2061="positive",1,0)</x:f>
        <x:v>0</x:v>
      </x:c>
      <x:c r="J1823" s="12" t="n">
        <x:f>IF('患者配对'!R2061="positive",1,0)</x:f>
        <x:v>0</x:v>
      </x:c>
      <x:c r="K1823" s="12" t="n">
        <x:f>IF('患者配对'!W2061="positive",1,0)</x:f>
        <x:v>0</x:v>
      </x:c>
      <x:c r="L1823" s="12" t="str">
        <x:v>由原件与原状态取得；仅主队列索引</x:v>
      </x:c>
      <x:c r="M1823" s="12"/>
      <x:c r="N1823" s="12"/>
      <x:c r="O1823" s="12"/>
    </x:row>
    <x:row r="1824" ht="39" customHeight="1">
      <x:c r="A1824" s="12" t="str">
        <x:v>19884</x:v>
      </x:c>
      <x:c r="B1824" s="12" t="str">
        <x:v>20999</x:v>
      </x:c>
      <x:c r="C1824" s="12" t="str">
        <x:v>参考000</x:v>
      </x:c>
      <x:c r="D1824" s="12" t="str">
        <x:v>自动000</x:v>
      </x:c>
      <x:c r="E1824" s="12" t="n">
        <x:v>0</x:v>
      </x:c>
      <x:c r="F1824" s="12" t="n">
        <x:v>0</x:v>
      </x:c>
      <x:c r="G1824" s="12" t="n">
        <x:v>0</x:v>
      </x:c>
      <x:c r="H1824" s="12" t="n">
        <x:f>IF(SUM(I1824:K1824)&gt;0,1,0)</x:f>
        <x:v>0</x:v>
      </x:c>
      <x:c r="I1824" s="12" t="n">
        <x:f>IF('患者配对'!M2062="positive",1,0)</x:f>
        <x:v>0</x:v>
      </x:c>
      <x:c r="J1824" s="12" t="n">
        <x:f>IF('患者配对'!R2062="positive",1,0)</x:f>
        <x:v>0</x:v>
      </x:c>
      <x:c r="K1824" s="12" t="n">
        <x:f>IF('患者配对'!W2062="positive",1,0)</x:f>
        <x:v>0</x:v>
      </x:c>
      <x:c r="L1824" s="12" t="str">
        <x:v>由原件与原状态取得；仅主队列索引</x:v>
      </x:c>
      <x:c r="M1824" s="12"/>
      <x:c r="N1824" s="12"/>
      <x:c r="O1824" s="12"/>
    </x:row>
    <x:row r="1825" ht="39" customHeight="1">
      <x:c r="A1825" s="12" t="str">
        <x:v>19893</x:v>
      </x:c>
      <x:c r="B1825" s="12" t="str">
        <x:v>11891</x:v>
      </x:c>
      <x:c r="C1825" s="12" t="str">
        <x:v>参考000</x:v>
      </x:c>
      <x:c r="D1825" s="12" t="str">
        <x:v>自动000</x:v>
      </x:c>
      <x:c r="E1825" s="12" t="n">
        <x:v>0</x:v>
      </x:c>
      <x:c r="F1825" s="12" t="n">
        <x:v>1</x:v>
      </x:c>
      <x:c r="G1825" s="12" t="n">
        <x:v>0</x:v>
      </x:c>
      <x:c r="H1825" s="12" t="n">
        <x:f>IF(SUM(I1825:K1825)&gt;0,1,0)</x:f>
        <x:v>0</x:v>
      </x:c>
      <x:c r="I1825" s="12" t="n">
        <x:f>IF('患者配对'!M2063="positive",1,0)</x:f>
        <x:v>0</x:v>
      </x:c>
      <x:c r="J1825" s="12" t="n">
        <x:f>IF('患者配对'!R2063="positive",1,0)</x:f>
        <x:v>0</x:v>
      </x:c>
      <x:c r="K1825" s="12" t="n">
        <x:f>IF('患者配对'!W2063="positive",1,0)</x:f>
        <x:v>0</x:v>
      </x:c>
      <x:c r="L1825" s="12" t="str">
        <x:v>由原件与原状态取得；仅主队列索引</x:v>
      </x:c>
      <x:c r="M1825" s="12"/>
      <x:c r="N1825" s="12"/>
      <x:c r="O1825" s="12"/>
    </x:row>
    <x:row r="1826" ht="39" customHeight="1">
      <x:c r="A1826" s="12" t="str">
        <x:v>19906</x:v>
      </x:c>
      <x:c r="B1826" s="12" t="str">
        <x:v>14689</x:v>
      </x:c>
      <x:c r="C1826" s="12" t="str">
        <x:v>参考101</x:v>
      </x:c>
      <x:c r="D1826" s="12" t="str">
        <x:v>自动001</x:v>
      </x:c>
      <x:c r="E1826" s="12" t="n">
        <x:v>1</x:v>
      </x:c>
      <x:c r="F1826" s="12" t="n">
        <x:v>1</x:v>
      </x:c>
      <x:c r="G1826" s="12" t="n">
        <x:v>1</x:v>
      </x:c>
      <x:c r="H1826" s="12" t="n">
        <x:f>IF(SUM(I1826:K1826)&gt;0,1,0)</x:f>
        <x:v>1</x:v>
      </x:c>
      <x:c r="I1826" s="12" t="n">
        <x:f>IF('患者配对'!M2064="positive",1,0)</x:f>
        <x:v>1</x:v>
      </x:c>
      <x:c r="J1826" s="12" t="n">
        <x:f>IF('患者配对'!R2064="positive",1,0)</x:f>
        <x:v>0</x:v>
      </x:c>
      <x:c r="K1826" s="12" t="n">
        <x:f>IF('患者配对'!W2064="positive",1,0)</x:f>
        <x:v>1</x:v>
      </x:c>
      <x:c r="L1826" s="12" t="str">
        <x:v>由原件与原状态取得；仅主队列索引</x:v>
      </x:c>
      <x:c r="M1826" s="12"/>
      <x:c r="N1826" s="12"/>
      <x:c r="O1826" s="12"/>
    </x:row>
    <x:row r="1827" ht="39" customHeight="1">
      <x:c r="A1827" s="12" t="str">
        <x:v>19914</x:v>
      </x:c>
      <x:c r="B1827" s="12" t="str">
        <x:v>9938</x:v>
      </x:c>
      <x:c r="C1827" s="12" t="str">
        <x:v>参考000</x:v>
      </x:c>
      <x:c r="D1827" s="12" t="str">
        <x:v>自动000</x:v>
      </x:c>
      <x:c r="E1827" s="12" t="n">
        <x:v>0</x:v>
      </x:c>
      <x:c r="F1827" s="12" t="n">
        <x:v>1</x:v>
      </x:c>
      <x:c r="G1827" s="12" t="n">
        <x:v>0</x:v>
      </x:c>
      <x:c r="H1827" s="12" t="n">
        <x:f>IF(SUM(I1827:K1827)&gt;0,1,0)</x:f>
        <x:v>0</x:v>
      </x:c>
      <x:c r="I1827" s="12" t="n">
        <x:f>IF('患者配对'!M2065="positive",1,0)</x:f>
        <x:v>0</x:v>
      </x:c>
      <x:c r="J1827" s="12" t="n">
        <x:f>IF('患者配对'!R2065="positive",1,0)</x:f>
        <x:v>0</x:v>
      </x:c>
      <x:c r="K1827" s="12" t="n">
        <x:f>IF('患者配对'!W2065="positive",1,0)</x:f>
        <x:v>0</x:v>
      </x:c>
      <x:c r="L1827" s="12" t="str">
        <x:v>由原件与原状态取得；仅主队列索引</x:v>
      </x:c>
      <x:c r="M1827" s="12"/>
      <x:c r="N1827" s="12"/>
      <x:c r="O1827" s="12"/>
    </x:row>
    <x:row r="1828" ht="39" customHeight="1">
      <x:c r="A1828" s="12" t="str">
        <x:v>19920</x:v>
      </x:c>
      <x:c r="B1828" s="12" t="str">
        <x:v>12346</x:v>
      </x:c>
      <x:c r="C1828" s="12" t="str">
        <x:v>参考000</x:v>
      </x:c>
      <x:c r="D1828" s="12" t="str">
        <x:v>自动000</x:v>
      </x:c>
      <x:c r="E1828" s="12" t="n">
        <x:v>0</x:v>
      </x:c>
      <x:c r="F1828" s="12" t="n">
        <x:v>0</x:v>
      </x:c>
      <x:c r="G1828" s="12" t="n">
        <x:v>0</x:v>
      </x:c>
      <x:c r="H1828" s="12" t="n">
        <x:f>IF(SUM(I1828:K1828)&gt;0,1,0)</x:f>
        <x:v>0</x:v>
      </x:c>
      <x:c r="I1828" s="12" t="n">
        <x:f>IF('患者配对'!M2066="positive",1,0)</x:f>
        <x:v>0</x:v>
      </x:c>
      <x:c r="J1828" s="12" t="n">
        <x:f>IF('患者配对'!R2066="positive",1,0)</x:f>
        <x:v>0</x:v>
      </x:c>
      <x:c r="K1828" s="12" t="n">
        <x:f>IF('患者配对'!W2066="positive",1,0)</x:f>
        <x:v>0</x:v>
      </x:c>
      <x:c r="L1828" s="12" t="str">
        <x:v>由原件与原状态取得；仅主队列索引</x:v>
      </x:c>
      <x:c r="M1828" s="12"/>
      <x:c r="N1828" s="12"/>
      <x:c r="O1828" s="12"/>
    </x:row>
    <x:row r="1829" ht="39" customHeight="1">
      <x:c r="A1829" s="12" t="str">
        <x:v>19929</x:v>
      </x:c>
      <x:c r="B1829" s="12" t="str">
        <x:v>13751</x:v>
      </x:c>
      <x:c r="C1829" s="12" t="str">
        <x:v>参考000</x:v>
      </x:c>
      <x:c r="D1829" s="12" t="str">
        <x:v>自动000</x:v>
      </x:c>
      <x:c r="E1829" s="12" t="n">
        <x:v>0</x:v>
      </x:c>
      <x:c r="F1829" s="12" t="n">
        <x:v>0</x:v>
      </x:c>
      <x:c r="G1829" s="12" t="n">
        <x:v>0</x:v>
      </x:c>
      <x:c r="H1829" s="12" t="n">
        <x:f>IF(SUM(I1829:K1829)&gt;0,1,0)</x:f>
        <x:v>0</x:v>
      </x:c>
      <x:c r="I1829" s="12" t="n">
        <x:f>IF('患者配对'!M2068="positive",1,0)</x:f>
        <x:v>0</x:v>
      </x:c>
      <x:c r="J1829" s="12" t="n">
        <x:f>IF('患者配对'!R2068="positive",1,0)</x:f>
        <x:v>0</x:v>
      </x:c>
      <x:c r="K1829" s="12" t="n">
        <x:f>IF('患者配对'!W2068="positive",1,0)</x:f>
        <x:v>0</x:v>
      </x:c>
      <x:c r="L1829" s="12" t="str">
        <x:v>由原件与原状态取得；仅主队列索引</x:v>
      </x:c>
      <x:c r="M1829" s="12"/>
      <x:c r="N1829" s="12"/>
      <x:c r="O1829" s="12"/>
    </x:row>
    <x:row r="1830" ht="39" customHeight="1">
      <x:c r="A1830" s="12" t="str">
        <x:v>19951</x:v>
      </x:c>
      <x:c r="B1830" s="12" t="str">
        <x:v>18335</x:v>
      </x:c>
      <x:c r="C1830" s="12" t="str">
        <x:v>参考000</x:v>
      </x:c>
      <x:c r="D1830" s="12" t="str">
        <x:v>自动000</x:v>
      </x:c>
      <x:c r="E1830" s="12" t="n">
        <x:v>0</x:v>
      </x:c>
      <x:c r="F1830" s="12" t="n">
        <x:v>1</x:v>
      </x:c>
      <x:c r="G1830" s="12" t="n">
        <x:v>0</x:v>
      </x:c>
      <x:c r="H1830" s="12" t="n">
        <x:f>IF(SUM(I1830:K1830)&gt;0,1,0)</x:f>
        <x:v>0</x:v>
      </x:c>
      <x:c r="I1830" s="12" t="n">
        <x:f>IF('患者配对'!M2071="positive",1,0)</x:f>
        <x:v>0</x:v>
      </x:c>
      <x:c r="J1830" s="12" t="n">
        <x:f>IF('患者配对'!R2071="positive",1,0)</x:f>
        <x:v>0</x:v>
      </x:c>
      <x:c r="K1830" s="12" t="n">
        <x:f>IF('患者配对'!W2071="positive",1,0)</x:f>
        <x:v>0</x:v>
      </x:c>
      <x:c r="L1830" s="12" t="str">
        <x:v>由原件与原状态取得；仅主队列索引</x:v>
      </x:c>
      <x:c r="M1830" s="12"/>
      <x:c r="N1830" s="12"/>
      <x:c r="O1830" s="12"/>
    </x:row>
    <x:row r="1831" ht="39" customHeight="1">
      <x:c r="A1831" s="12" t="str">
        <x:v>19955</x:v>
      </x:c>
      <x:c r="B1831" s="12" t="str">
        <x:v>16874</x:v>
      </x:c>
      <x:c r="C1831" s="12" t="str">
        <x:v>参考000</x:v>
      </x:c>
      <x:c r="D1831" s="12" t="str">
        <x:v>自动000</x:v>
      </x:c>
      <x:c r="E1831" s="12" t="n">
        <x:v>0</x:v>
      </x:c>
      <x:c r="F1831" s="12" t="n">
        <x:v>0</x:v>
      </x:c>
      <x:c r="G1831" s="12" t="n">
        <x:v>0</x:v>
      </x:c>
      <x:c r="H1831" s="12" t="n">
        <x:f>IF(SUM(I1831:K1831)&gt;0,1,0)</x:f>
        <x:v>0</x:v>
      </x:c>
      <x:c r="I1831" s="12" t="n">
        <x:f>IF('患者配对'!M2072="positive",1,0)</x:f>
        <x:v>0</x:v>
      </x:c>
      <x:c r="J1831" s="12" t="n">
        <x:f>IF('患者配对'!R2072="positive",1,0)</x:f>
        <x:v>0</x:v>
      </x:c>
      <x:c r="K1831" s="12" t="n">
        <x:f>IF('患者配对'!W2072="positive",1,0)</x:f>
        <x:v>0</x:v>
      </x:c>
      <x:c r="L1831" s="12" t="str">
        <x:v>由原件与原状态取得；仅主队列索引</x:v>
      </x:c>
      <x:c r="M1831" s="12"/>
      <x:c r="N1831" s="12"/>
      <x:c r="O1831" s="12"/>
    </x:row>
    <x:row r="1832" ht="39" customHeight="1">
      <x:c r="A1832" s="12" t="str">
        <x:v>19959</x:v>
      </x:c>
      <x:c r="B1832" s="12" t="str">
        <x:v>20695</x:v>
      </x:c>
      <x:c r="C1832" s="12" t="str">
        <x:v>参考000</x:v>
      </x:c>
      <x:c r="D1832" s="12" t="str">
        <x:v>自动000</x:v>
      </x:c>
      <x:c r="E1832" s="12" t="n">
        <x:v>0</x:v>
      </x:c>
      <x:c r="F1832" s="12" t="n">
        <x:v>1</x:v>
      </x:c>
      <x:c r="G1832" s="12" t="n">
        <x:v>0</x:v>
      </x:c>
      <x:c r="H1832" s="12" t="n">
        <x:f>IF(SUM(I1832:K1832)&gt;0,1,0)</x:f>
        <x:v>0</x:v>
      </x:c>
      <x:c r="I1832" s="12" t="n">
        <x:f>IF('患者配对'!M2074="positive",1,0)</x:f>
        <x:v>0</x:v>
      </x:c>
      <x:c r="J1832" s="12" t="n">
        <x:f>IF('患者配对'!R2074="positive",1,0)</x:f>
        <x:v>0</x:v>
      </x:c>
      <x:c r="K1832" s="12" t="n">
        <x:f>IF('患者配对'!W2074="positive",1,0)</x:f>
        <x:v>0</x:v>
      </x:c>
      <x:c r="L1832" s="12" t="str">
        <x:v>由原件与原状态取得；仅主队列索引</x:v>
      </x:c>
      <x:c r="M1832" s="12"/>
      <x:c r="N1832" s="12"/>
      <x:c r="O1832" s="12"/>
    </x:row>
    <x:row r="1833" ht="39" customHeight="1">
      <x:c r="A1833" s="12" t="str">
        <x:v>19960</x:v>
      </x:c>
      <x:c r="B1833" s="12" t="str">
        <x:v>14170</x:v>
      </x:c>
      <x:c r="C1833" s="12" t="str">
        <x:v>参考000</x:v>
      </x:c>
      <x:c r="D1833" s="12" t="str">
        <x:v>自动000</x:v>
      </x:c>
      <x:c r="E1833" s="12" t="n">
        <x:v>0</x:v>
      </x:c>
      <x:c r="F1833" s="12" t="n">
        <x:v>0</x:v>
      </x:c>
      <x:c r="G1833" s="12" t="n">
        <x:v>0</x:v>
      </x:c>
      <x:c r="H1833" s="12" t="n">
        <x:f>IF(SUM(I1833:K1833)&gt;0,1,0)</x:f>
        <x:v>0</x:v>
      </x:c>
      <x:c r="I1833" s="12" t="n">
        <x:f>IF('患者配对'!M2075="positive",1,0)</x:f>
        <x:v>0</x:v>
      </x:c>
      <x:c r="J1833" s="12" t="n">
        <x:f>IF('患者配对'!R2075="positive",1,0)</x:f>
        <x:v>0</x:v>
      </x:c>
      <x:c r="K1833" s="12" t="n">
        <x:f>IF('患者配对'!W2075="positive",1,0)</x:f>
        <x:v>0</x:v>
      </x:c>
      <x:c r="L1833" s="12" t="str">
        <x:v>由原件与原状态取得；仅主队列索引</x:v>
      </x:c>
      <x:c r="M1833" s="12"/>
      <x:c r="N1833" s="12"/>
      <x:c r="O1833" s="12"/>
    </x:row>
    <x:row r="1834" ht="39" customHeight="1">
      <x:c r="A1834" s="12" t="str">
        <x:v>19987</x:v>
      </x:c>
      <x:c r="B1834" s="12" t="str">
        <x:v>10531</x:v>
      </x:c>
      <x:c r="C1834" s="12" t="str">
        <x:v>参考000</x:v>
      </x:c>
      <x:c r="D1834" s="12" t="str">
        <x:v>自动000</x:v>
      </x:c>
      <x:c r="E1834" s="12" t="n">
        <x:v>0</x:v>
      </x:c>
      <x:c r="F1834" s="12" t="n">
        <x:v>0</x:v>
      </x:c>
      <x:c r="G1834" s="12" t="n">
        <x:v>0</x:v>
      </x:c>
      <x:c r="H1834" s="12" t="n">
        <x:f>IF(SUM(I1834:K1834)&gt;0,1,0)</x:f>
        <x:v>0</x:v>
      </x:c>
      <x:c r="I1834" s="12" t="n">
        <x:f>IF('患者配对'!M2077="positive",1,0)</x:f>
        <x:v>0</x:v>
      </x:c>
      <x:c r="J1834" s="12" t="n">
        <x:f>IF('患者配对'!R2077="positive",1,0)</x:f>
        <x:v>0</x:v>
      </x:c>
      <x:c r="K1834" s="12" t="n">
        <x:f>IF('患者配对'!W2077="positive",1,0)</x:f>
        <x:v>0</x:v>
      </x:c>
      <x:c r="L1834" s="12" t="str">
        <x:v>由原件与原状态取得；仅主队列索引</x:v>
      </x:c>
      <x:c r="M1834" s="12"/>
      <x:c r="N1834" s="12"/>
      <x:c r="O1834" s="12"/>
    </x:row>
    <x:row r="1835" ht="39" customHeight="1">
      <x:c r="A1835" s="12" t="str">
        <x:v>19990</x:v>
      </x:c>
      <x:c r="B1835" s="12" t="str">
        <x:v>16366</x:v>
      </x:c>
      <x:c r="C1835" s="12" t="str">
        <x:v>参考100</x:v>
      </x:c>
      <x:c r="D1835" s="12" t="str">
        <x:v>自动100</x:v>
      </x:c>
      <x:c r="E1835" s="12" t="n">
        <x:v>1</x:v>
      </x:c>
      <x:c r="F1835" s="12" t="n">
        <x:v>1</x:v>
      </x:c>
      <x:c r="G1835" s="12" t="n">
        <x:v>0</x:v>
      </x:c>
      <x:c r="H1835" s="12" t="n">
        <x:f>IF(SUM(I1835:K1835)&gt;0,1,0)</x:f>
        <x:v>1</x:v>
      </x:c>
      <x:c r="I1835" s="12" t="n">
        <x:f>IF('患者配对'!M2078="positive",1,0)</x:f>
        <x:v>1</x:v>
      </x:c>
      <x:c r="J1835" s="12" t="n">
        <x:f>IF('患者配对'!R2078="positive",1,0)</x:f>
        <x:v>0</x:v>
      </x:c>
      <x:c r="K1835" s="12" t="n">
        <x:f>IF('患者配对'!W2078="positive",1,0)</x:f>
        <x:v>0</x:v>
      </x:c>
      <x:c r="L1835" s="12" t="str">
        <x:v>由原件与原状态取得；仅主队列索引</x:v>
      </x:c>
      <x:c r="M1835" s="12"/>
      <x:c r="N1835" s="12"/>
      <x:c r="O1835" s="12"/>
    </x:row>
    <x:row r="1836" ht="39" customHeight="1">
      <x:c r="A1836" s="12" t="str">
        <x:v>20023</x:v>
      </x:c>
      <x:c r="B1836" s="12" t="str">
        <x:v>13886</x:v>
      </x:c>
      <x:c r="C1836" s="12" t="str">
        <x:v>参考000</x:v>
      </x:c>
      <x:c r="D1836" s="12" t="str">
        <x:v>自动000</x:v>
      </x:c>
      <x:c r="E1836" s="12" t="n">
        <x:v>0</x:v>
      </x:c>
      <x:c r="F1836" s="12" t="n">
        <x:v>0</x:v>
      </x:c>
      <x:c r="G1836" s="12" t="n">
        <x:v>0</x:v>
      </x:c>
      <x:c r="H1836" s="12" t="n">
        <x:f>IF(SUM(I1836:K1836)&gt;0,1,0)</x:f>
        <x:v>0</x:v>
      </x:c>
      <x:c r="I1836" s="12" t="n">
        <x:f>IF('患者配对'!M2079="positive",1,0)</x:f>
        <x:v>0</x:v>
      </x:c>
      <x:c r="J1836" s="12" t="n">
        <x:f>IF('患者配对'!R2079="positive",1,0)</x:f>
        <x:v>0</x:v>
      </x:c>
      <x:c r="K1836" s="12" t="n">
        <x:f>IF('患者配对'!W2079="positive",1,0)</x:f>
        <x:v>0</x:v>
      </x:c>
      <x:c r="L1836" s="12" t="str">
        <x:v>由原件与原状态取得；仅主队列索引</x:v>
      </x:c>
      <x:c r="M1836" s="12"/>
      <x:c r="N1836" s="12"/>
      <x:c r="O1836" s="12"/>
    </x:row>
    <x:row r="1837" ht="39" customHeight="1">
      <x:c r="A1837" s="12" t="str">
        <x:v>20049</x:v>
      </x:c>
      <x:c r="B1837" s="12" t="str">
        <x:v>21063</x:v>
      </x:c>
      <x:c r="C1837" s="12" t="str">
        <x:v>参考000</x:v>
      </x:c>
      <x:c r="D1837" s="12" t="str">
        <x:v>自动000</x:v>
      </x:c>
      <x:c r="E1837" s="12" t="n">
        <x:v>0</x:v>
      </x:c>
      <x:c r="F1837" s="12" t="n">
        <x:v>0</x:v>
      </x:c>
      <x:c r="G1837" s="12" t="n">
        <x:v>0</x:v>
      </x:c>
      <x:c r="H1837" s="12" t="n">
        <x:f>IF(SUM(I1837:K1837)&gt;0,1,0)</x:f>
        <x:v>0</x:v>
      </x:c>
      <x:c r="I1837" s="12" t="n">
        <x:f>IF('患者配对'!M2082="positive",1,0)</x:f>
        <x:v>0</x:v>
      </x:c>
      <x:c r="J1837" s="12" t="n">
        <x:f>IF('患者配对'!R2082="positive",1,0)</x:f>
        <x:v>0</x:v>
      </x:c>
      <x:c r="K1837" s="12" t="n">
        <x:f>IF('患者配对'!W2082="positive",1,0)</x:f>
        <x:v>0</x:v>
      </x:c>
      <x:c r="L1837" s="12" t="str">
        <x:v>由原件与原状态取得；仅主队列索引</x:v>
      </x:c>
      <x:c r="M1837" s="12"/>
      <x:c r="N1837" s="12"/>
      <x:c r="O1837" s="12"/>
    </x:row>
    <x:row r="1838" ht="39" customHeight="1">
      <x:c r="A1838" s="12" t="str">
        <x:v>20068</x:v>
      </x:c>
      <x:c r="B1838" s="12" t="str">
        <x:v>18081</x:v>
      </x:c>
      <x:c r="C1838" s="12" t="str">
        <x:v>参考000</x:v>
      </x:c>
      <x:c r="D1838" s="12" t="str">
        <x:v>自动000</x:v>
      </x:c>
      <x:c r="E1838" s="12" t="n">
        <x:v>0</x:v>
      </x:c>
      <x:c r="F1838" s="12" t="n">
        <x:v>0</x:v>
      </x:c>
      <x:c r="G1838" s="12" t="n">
        <x:v>0</x:v>
      </x:c>
      <x:c r="H1838" s="12" t="n">
        <x:f>IF(SUM(I1838:K1838)&gt;0,1,0)</x:f>
        <x:v>0</x:v>
      </x:c>
      <x:c r="I1838" s="12" t="n">
        <x:f>IF('患者配对'!M2083="positive",1,0)</x:f>
        <x:v>0</x:v>
      </x:c>
      <x:c r="J1838" s="12" t="n">
        <x:f>IF('患者配对'!R2083="positive",1,0)</x:f>
        <x:v>0</x:v>
      </x:c>
      <x:c r="K1838" s="12" t="n">
        <x:f>IF('患者配对'!W2083="positive",1,0)</x:f>
        <x:v>0</x:v>
      </x:c>
      <x:c r="L1838" s="12" t="str">
        <x:v>由原件与原状态取得；仅主队列索引</x:v>
      </x:c>
      <x:c r="M1838" s="12"/>
      <x:c r="N1838" s="12"/>
      <x:c r="O1838" s="12"/>
    </x:row>
    <x:row r="1839" ht="39" customHeight="1">
      <x:c r="A1839" s="12" t="str">
        <x:v>20079</x:v>
      </x:c>
      <x:c r="B1839" s="12" t="str">
        <x:v>19732</x:v>
      </x:c>
      <x:c r="C1839" s="12" t="str">
        <x:v>参考000</x:v>
      </x:c>
      <x:c r="D1839" s="12" t="str">
        <x:v>自动000</x:v>
      </x:c>
      <x:c r="E1839" s="12" t="n">
        <x:v>0</x:v>
      </x:c>
      <x:c r="F1839" s="12" t="n">
        <x:v>0</x:v>
      </x:c>
      <x:c r="G1839" s="12" t="n">
        <x:v>0</x:v>
      </x:c>
      <x:c r="H1839" s="12" t="n">
        <x:f>IF(SUM(I1839:K1839)&gt;0,1,0)</x:f>
        <x:v>0</x:v>
      </x:c>
      <x:c r="I1839" s="12" t="n">
        <x:f>IF('患者配对'!M2084="positive",1,0)</x:f>
        <x:v>0</x:v>
      </x:c>
      <x:c r="J1839" s="12" t="n">
        <x:f>IF('患者配对'!R2084="positive",1,0)</x:f>
        <x:v>0</x:v>
      </x:c>
      <x:c r="K1839" s="12" t="n">
        <x:f>IF('患者配对'!W2084="positive",1,0)</x:f>
        <x:v>0</x:v>
      </x:c>
      <x:c r="L1839" s="12" t="str">
        <x:v>由原件与原状态取得；仅主队列索引</x:v>
      </x:c>
      <x:c r="M1839" s="12"/>
      <x:c r="N1839" s="12"/>
      <x:c r="O1839" s="12"/>
    </x:row>
    <x:row r="1840" ht="39" customHeight="1">
      <x:c r="A1840" s="12" t="str">
        <x:v>20084</x:v>
      </x:c>
      <x:c r="B1840" s="12" t="str">
        <x:v>21624</x:v>
      </x:c>
      <x:c r="C1840" s="12" t="str">
        <x:v>参考100</x:v>
      </x:c>
      <x:c r="D1840" s="12" t="str">
        <x:v>自动100</x:v>
      </x:c>
      <x:c r="E1840" s="12" t="n">
        <x:v>1</x:v>
      </x:c>
      <x:c r="F1840" s="12" t="n">
        <x:v>1</x:v>
      </x:c>
      <x:c r="G1840" s="12" t="n">
        <x:v>0</x:v>
      </x:c>
      <x:c r="H1840" s="12" t="n">
        <x:f>IF(SUM(I1840:K1840)&gt;0,1,0)</x:f>
        <x:v>1</x:v>
      </x:c>
      <x:c r="I1840" s="12" t="n">
        <x:f>IF('患者配对'!M2085="positive",1,0)</x:f>
        <x:v>1</x:v>
      </x:c>
      <x:c r="J1840" s="12" t="n">
        <x:f>IF('患者配对'!R2085="positive",1,0)</x:f>
        <x:v>0</x:v>
      </x:c>
      <x:c r="K1840" s="12" t="n">
        <x:f>IF('患者配对'!W2085="positive",1,0)</x:f>
        <x:v>0</x:v>
      </x:c>
      <x:c r="L1840" s="12" t="str">
        <x:v>由原件与原状态取得；仅主队列索引</x:v>
      </x:c>
      <x:c r="M1840" s="12"/>
      <x:c r="N1840" s="12"/>
      <x:c r="O1840" s="12"/>
    </x:row>
    <x:row r="1841" ht="39" customHeight="1">
      <x:c r="A1841" s="12" t="str">
        <x:v>20085</x:v>
      </x:c>
      <x:c r="B1841" s="12" t="str">
        <x:v>14180</x:v>
      </x:c>
      <x:c r="C1841" s="12" t="str">
        <x:v>参考100</x:v>
      </x:c>
      <x:c r="D1841" s="12" t="str">
        <x:v>自动000</x:v>
      </x:c>
      <x:c r="E1841" s="12" t="n">
        <x:v>0</x:v>
      </x:c>
      <x:c r="F1841" s="12" t="n">
        <x:v>1</x:v>
      </x:c>
      <x:c r="G1841" s="12" t="n">
        <x:v>1</x:v>
      </x:c>
      <x:c r="H1841" s="12" t="n">
        <x:f>IF(SUM(I1841:K1841)&gt;0,1,0)</x:f>
        <x:v>1</x:v>
      </x:c>
      <x:c r="I1841" s="12" t="n">
        <x:f>IF('患者配对'!M2086="positive",1,0)</x:f>
        <x:v>1</x:v>
      </x:c>
      <x:c r="J1841" s="12" t="n">
        <x:f>IF('患者配对'!R2086="positive",1,0)</x:f>
        <x:v>0</x:v>
      </x:c>
      <x:c r="K1841" s="12" t="n">
        <x:f>IF('患者配对'!W2086="positive",1,0)</x:f>
        <x:v>0</x:v>
      </x:c>
      <x:c r="L1841" s="12" t="str">
        <x:v>由原件与原状态取得；仅主队列索引</x:v>
      </x:c>
      <x:c r="M1841" s="12"/>
      <x:c r="N1841" s="12"/>
      <x:c r="O1841" s="12"/>
    </x:row>
    <x:row r="1842" ht="39" customHeight="1">
      <x:c r="A1842" s="12" t="str">
        <x:v>20100</x:v>
      </x:c>
      <x:c r="B1842" s="12" t="str">
        <x:v>20027</x:v>
      </x:c>
      <x:c r="C1842" s="12" t="str">
        <x:v>参考110</x:v>
      </x:c>
      <x:c r="D1842" s="12" t="str">
        <x:v>自动110</x:v>
      </x:c>
      <x:c r="E1842" s="12" t="n">
        <x:v>1</x:v>
      </x:c>
      <x:c r="F1842" s="12" t="n">
        <x:v>1</x:v>
      </x:c>
      <x:c r="G1842" s="12" t="n">
        <x:v>0</x:v>
      </x:c>
      <x:c r="H1842" s="12" t="n">
        <x:f>IF(SUM(I1842:K1842)&gt;0,1,0)</x:f>
        <x:v>1</x:v>
      </x:c>
      <x:c r="I1842" s="12" t="n">
        <x:f>IF('患者配对'!M2087="positive",1,0)</x:f>
        <x:v>1</x:v>
      </x:c>
      <x:c r="J1842" s="12" t="n">
        <x:f>IF('患者配对'!R2087="positive",1,0)</x:f>
        <x:v>1</x:v>
      </x:c>
      <x:c r="K1842" s="12" t="n">
        <x:f>IF('患者配对'!W2087="positive",1,0)</x:f>
        <x:v>0</x:v>
      </x:c>
      <x:c r="L1842" s="12" t="str">
        <x:v>由原件与原状态取得；仅主队列索引</x:v>
      </x:c>
      <x:c r="M1842" s="12"/>
      <x:c r="N1842" s="12"/>
      <x:c r="O1842" s="12"/>
    </x:row>
    <x:row r="1843" ht="39" customHeight="1">
      <x:c r="A1843" s="12" t="str">
        <x:v>20117</x:v>
      </x:c>
      <x:c r="B1843" s="12" t="str">
        <x:v>10217</x:v>
      </x:c>
      <x:c r="C1843" s="12" t="str">
        <x:v>参考000</x:v>
      </x:c>
      <x:c r="D1843" s="12" t="str">
        <x:v>自动000</x:v>
      </x:c>
      <x:c r="E1843" s="12" t="n">
        <x:v>0</x:v>
      </x:c>
      <x:c r="F1843" s="12" t="n">
        <x:v>0</x:v>
      </x:c>
      <x:c r="G1843" s="12" t="n">
        <x:v>0</x:v>
      </x:c>
      <x:c r="H1843" s="12" t="n">
        <x:f>IF(SUM(I1843:K1843)&gt;0,1,0)</x:f>
        <x:v>0</x:v>
      </x:c>
      <x:c r="I1843" s="12" t="n">
        <x:f>IF('患者配对'!M2088="positive",1,0)</x:f>
        <x:v>0</x:v>
      </x:c>
      <x:c r="J1843" s="12" t="n">
        <x:f>IF('患者配对'!R2088="positive",1,0)</x:f>
        <x:v>0</x:v>
      </x:c>
      <x:c r="K1843" s="12" t="n">
        <x:f>IF('患者配对'!W2088="positive",1,0)</x:f>
        <x:v>0</x:v>
      </x:c>
      <x:c r="L1843" s="12" t="str">
        <x:v>由原件与原状态取得；仅主队列索引</x:v>
      </x:c>
      <x:c r="M1843" s="12"/>
      <x:c r="N1843" s="12"/>
      <x:c r="O1843" s="12"/>
    </x:row>
    <x:row r="1844" ht="39" customHeight="1">
      <x:c r="A1844" s="12" t="str">
        <x:v>20127</x:v>
      </x:c>
      <x:c r="B1844" s="12" t="str">
        <x:v>18637</x:v>
      </x:c>
      <x:c r="C1844" s="12" t="str">
        <x:v>参考000</x:v>
      </x:c>
      <x:c r="D1844" s="12" t="str">
        <x:v>自动000</x:v>
      </x:c>
      <x:c r="E1844" s="12" t="n">
        <x:v>0</x:v>
      </x:c>
      <x:c r="F1844" s="12" t="n">
        <x:v>0</x:v>
      </x:c>
      <x:c r="G1844" s="12" t="n">
        <x:v>0</x:v>
      </x:c>
      <x:c r="H1844" s="12" t="n">
        <x:f>IF(SUM(I1844:K1844)&gt;0,1,0)</x:f>
        <x:v>0</x:v>
      </x:c>
      <x:c r="I1844" s="12" t="n">
        <x:f>IF('患者配对'!M2090="positive",1,0)</x:f>
        <x:v>0</x:v>
      </x:c>
      <x:c r="J1844" s="12" t="n">
        <x:f>IF('患者配对'!R2090="positive",1,0)</x:f>
        <x:v>0</x:v>
      </x:c>
      <x:c r="K1844" s="12" t="n">
        <x:f>IF('患者配对'!W2090="positive",1,0)</x:f>
        <x:v>0</x:v>
      </x:c>
      <x:c r="L1844" s="12" t="str">
        <x:v>由原件与原状态取得；仅主队列索引</x:v>
      </x:c>
      <x:c r="M1844" s="12"/>
      <x:c r="N1844" s="12"/>
      <x:c r="O1844" s="12"/>
    </x:row>
    <x:row r="1845" ht="39" customHeight="1">
      <x:c r="A1845" s="12" t="str">
        <x:v>20141</x:v>
      </x:c>
      <x:c r="B1845" s="12" t="str">
        <x:v>19955</x:v>
      </x:c>
      <x:c r="C1845" s="12" t="str">
        <x:v>参考000</x:v>
      </x:c>
      <x:c r="D1845" s="12" t="str">
        <x:v>自动000</x:v>
      </x:c>
      <x:c r="E1845" s="12" t="n">
        <x:v>0</x:v>
      </x:c>
      <x:c r="F1845" s="12" t="n">
        <x:v>0</x:v>
      </x:c>
      <x:c r="G1845" s="12" t="n">
        <x:v>0</x:v>
      </x:c>
      <x:c r="H1845" s="12" t="n">
        <x:f>IF(SUM(I1845:K1845)&gt;0,1,0)</x:f>
        <x:v>0</x:v>
      </x:c>
      <x:c r="I1845" s="12" t="n">
        <x:f>IF('患者配对'!M2091="positive",1,0)</x:f>
        <x:v>0</x:v>
      </x:c>
      <x:c r="J1845" s="12" t="n">
        <x:f>IF('患者配对'!R2091="positive",1,0)</x:f>
        <x:v>0</x:v>
      </x:c>
      <x:c r="K1845" s="12" t="n">
        <x:f>IF('患者配对'!W2091="positive",1,0)</x:f>
        <x:v>0</x:v>
      </x:c>
      <x:c r="L1845" s="12" t="str">
        <x:v>由原件与原状态取得；仅主队列索引</x:v>
      </x:c>
      <x:c r="M1845" s="12"/>
      <x:c r="N1845" s="12"/>
      <x:c r="O1845" s="12"/>
    </x:row>
    <x:row r="1846" ht="39" customHeight="1">
      <x:c r="A1846" s="12" t="str">
        <x:v>20149</x:v>
      </x:c>
      <x:c r="B1846" s="12" t="str">
        <x:v>18033</x:v>
      </x:c>
      <x:c r="C1846" s="12" t="str">
        <x:v>参考000</x:v>
      </x:c>
      <x:c r="D1846" s="12" t="str">
        <x:v>自动000</x:v>
      </x:c>
      <x:c r="E1846" s="12" t="n">
        <x:v>0</x:v>
      </x:c>
      <x:c r="F1846" s="12" t="n">
        <x:v>0</x:v>
      </x:c>
      <x:c r="G1846" s="12" t="n">
        <x:v>0</x:v>
      </x:c>
      <x:c r="H1846" s="12" t="n">
        <x:f>IF(SUM(I1846:K1846)&gt;0,1,0)</x:f>
        <x:v>0</x:v>
      </x:c>
      <x:c r="I1846" s="12" t="n">
        <x:f>IF('患者配对'!M2092="positive",1,0)</x:f>
        <x:v>0</x:v>
      </x:c>
      <x:c r="J1846" s="12" t="n">
        <x:f>IF('患者配对'!R2092="positive",1,0)</x:f>
        <x:v>0</x:v>
      </x:c>
      <x:c r="K1846" s="12" t="n">
        <x:f>IF('患者配对'!W2092="positive",1,0)</x:f>
        <x:v>0</x:v>
      </x:c>
      <x:c r="L1846" s="12" t="str">
        <x:v>由原件与原状态取得；仅主队列索引</x:v>
      </x:c>
      <x:c r="M1846" s="12"/>
      <x:c r="N1846" s="12"/>
      <x:c r="O1846" s="12"/>
    </x:row>
    <x:row r="1847" ht="39" customHeight="1">
      <x:c r="A1847" s="12" t="str">
        <x:v>20152</x:v>
      </x:c>
      <x:c r="B1847" s="12" t="str">
        <x:v>18313</x:v>
      </x:c>
      <x:c r="C1847" s="12" t="str">
        <x:v>参考000</x:v>
      </x:c>
      <x:c r="D1847" s="12" t="str">
        <x:v>自动000</x:v>
      </x:c>
      <x:c r="E1847" s="12" t="n">
        <x:v>0</x:v>
      </x:c>
      <x:c r="F1847" s="12" t="n">
        <x:v>1</x:v>
      </x:c>
      <x:c r="G1847" s="12" t="n">
        <x:v>0</x:v>
      </x:c>
      <x:c r="H1847" s="12" t="n">
        <x:f>IF(SUM(I1847:K1847)&gt;0,1,0)</x:f>
        <x:v>0</x:v>
      </x:c>
      <x:c r="I1847" s="12" t="n">
        <x:f>IF('患者配对'!M2093="positive",1,0)</x:f>
        <x:v>0</x:v>
      </x:c>
      <x:c r="J1847" s="12" t="n">
        <x:f>IF('患者配对'!R2093="positive",1,0)</x:f>
        <x:v>0</x:v>
      </x:c>
      <x:c r="K1847" s="12" t="n">
        <x:f>IF('患者配对'!W2093="positive",1,0)</x:f>
        <x:v>0</x:v>
      </x:c>
      <x:c r="L1847" s="12" t="str">
        <x:v>由原件与原状态取得；仅主队列索引</x:v>
      </x:c>
      <x:c r="M1847" s="12"/>
      <x:c r="N1847" s="12"/>
      <x:c r="O1847" s="12"/>
    </x:row>
    <x:row r="1848" ht="39" customHeight="1">
      <x:c r="A1848" s="12" t="str">
        <x:v>20198</x:v>
      </x:c>
      <x:c r="B1848" s="12" t="str">
        <x:v>20512</x:v>
      </x:c>
      <x:c r="C1848" s="12" t="str">
        <x:v>参考000</x:v>
      </x:c>
      <x:c r="D1848" s="12" t="str">
        <x:v>自动000</x:v>
      </x:c>
      <x:c r="E1848" s="12" t="n">
        <x:v>0</x:v>
      </x:c>
      <x:c r="F1848" s="12" t="n">
        <x:v>0</x:v>
      </x:c>
      <x:c r="G1848" s="12" t="n">
        <x:v>0</x:v>
      </x:c>
      <x:c r="H1848" s="12" t="n">
        <x:f>IF(SUM(I1848:K1848)&gt;0,1,0)</x:f>
        <x:v>0</x:v>
      </x:c>
      <x:c r="I1848" s="12" t="n">
        <x:f>IF('患者配对'!M2094="positive",1,0)</x:f>
        <x:v>0</x:v>
      </x:c>
      <x:c r="J1848" s="12" t="n">
        <x:f>IF('患者配对'!R2094="positive",1,0)</x:f>
        <x:v>0</x:v>
      </x:c>
      <x:c r="K1848" s="12" t="n">
        <x:f>IF('患者配对'!W2094="positive",1,0)</x:f>
        <x:v>0</x:v>
      </x:c>
      <x:c r="L1848" s="12" t="str">
        <x:v>由原件与原状态取得；仅主队列索引</x:v>
      </x:c>
      <x:c r="M1848" s="12"/>
      <x:c r="N1848" s="12"/>
      <x:c r="O1848" s="12"/>
    </x:row>
    <x:row r="1849" ht="39" customHeight="1">
      <x:c r="A1849" s="12" t="str">
        <x:v>20211</x:v>
      </x:c>
      <x:c r="B1849" s="12" t="str">
        <x:v>13870</x:v>
      </x:c>
      <x:c r="C1849" s="12" t="str">
        <x:v>参考000</x:v>
      </x:c>
      <x:c r="D1849" s="12" t="str">
        <x:v>自动000</x:v>
      </x:c>
      <x:c r="E1849" s="12" t="n">
        <x:v>0</x:v>
      </x:c>
      <x:c r="F1849" s="12" t="n">
        <x:v>0</x:v>
      </x:c>
      <x:c r="G1849" s="12" t="n">
        <x:v>0</x:v>
      </x:c>
      <x:c r="H1849" s="12" t="n">
        <x:f>IF(SUM(I1849:K1849)&gt;0,1,0)</x:f>
        <x:v>0</x:v>
      </x:c>
      <x:c r="I1849" s="12" t="n">
        <x:f>IF('患者配对'!M2095="positive",1,0)</x:f>
        <x:v>0</x:v>
      </x:c>
      <x:c r="J1849" s="12" t="n">
        <x:f>IF('患者配对'!R2095="positive",1,0)</x:f>
        <x:v>0</x:v>
      </x:c>
      <x:c r="K1849" s="12" t="n">
        <x:f>IF('患者配对'!W2095="positive",1,0)</x:f>
        <x:v>0</x:v>
      </x:c>
      <x:c r="L1849" s="12" t="str">
        <x:v>由原件与原状态取得；仅主队列索引</x:v>
      </x:c>
      <x:c r="M1849" s="12"/>
      <x:c r="N1849" s="12"/>
      <x:c r="O1849" s="12"/>
    </x:row>
    <x:row r="1850" ht="39" customHeight="1">
      <x:c r="A1850" s="12" t="str">
        <x:v>20214</x:v>
      </x:c>
      <x:c r="B1850" s="12" t="str">
        <x:v>19973</x:v>
      </x:c>
      <x:c r="C1850" s="12" t="str">
        <x:v>参考000</x:v>
      </x:c>
      <x:c r="D1850" s="12" t="str">
        <x:v>自动000</x:v>
      </x:c>
      <x:c r="E1850" s="12" t="n">
        <x:v>0</x:v>
      </x:c>
      <x:c r="F1850" s="12" t="n">
        <x:v>0</x:v>
      </x:c>
      <x:c r="G1850" s="12" t="n">
        <x:v>0</x:v>
      </x:c>
      <x:c r="H1850" s="12" t="n">
        <x:f>IF(SUM(I1850:K1850)&gt;0,1,0)</x:f>
        <x:v>0</x:v>
      </x:c>
      <x:c r="I1850" s="12" t="n">
        <x:f>IF('患者配对'!M2096="positive",1,0)</x:f>
        <x:v>0</x:v>
      </x:c>
      <x:c r="J1850" s="12" t="n">
        <x:f>IF('患者配对'!R2096="positive",1,0)</x:f>
        <x:v>0</x:v>
      </x:c>
      <x:c r="K1850" s="12" t="n">
        <x:f>IF('患者配对'!W2096="positive",1,0)</x:f>
        <x:v>0</x:v>
      </x:c>
      <x:c r="L1850" s="12" t="str">
        <x:v>由原件与原状态取得；仅主队列索引</x:v>
      </x:c>
      <x:c r="M1850" s="12"/>
      <x:c r="N1850" s="12"/>
      <x:c r="O1850" s="12"/>
    </x:row>
    <x:row r="1851" ht="39" customHeight="1">
      <x:c r="A1851" s="12" t="str">
        <x:v>20220</x:v>
      </x:c>
      <x:c r="B1851" s="12" t="str">
        <x:v>19905</x:v>
      </x:c>
      <x:c r="C1851" s="12" t="str">
        <x:v>参考000</x:v>
      </x:c>
      <x:c r="D1851" s="12" t="str">
        <x:v>自动000</x:v>
      </x:c>
      <x:c r="E1851" s="12" t="n">
        <x:v>0</x:v>
      </x:c>
      <x:c r="F1851" s="12" t="n">
        <x:v>0</x:v>
      </x:c>
      <x:c r="G1851" s="12" t="n">
        <x:v>0</x:v>
      </x:c>
      <x:c r="H1851" s="12" t="n">
        <x:f>IF(SUM(I1851:K1851)&gt;0,1,0)</x:f>
        <x:v>0</x:v>
      </x:c>
      <x:c r="I1851" s="12" t="n">
        <x:f>IF('患者配对'!M2097="positive",1,0)</x:f>
        <x:v>0</x:v>
      </x:c>
      <x:c r="J1851" s="12" t="n">
        <x:f>IF('患者配对'!R2097="positive",1,0)</x:f>
        <x:v>0</x:v>
      </x:c>
      <x:c r="K1851" s="12" t="n">
        <x:f>IF('患者配对'!W2097="positive",1,0)</x:f>
        <x:v>0</x:v>
      </x:c>
      <x:c r="L1851" s="12" t="str">
        <x:v>由原件与原状态取得；仅主队列索引</x:v>
      </x:c>
      <x:c r="M1851" s="12"/>
      <x:c r="N1851" s="12"/>
      <x:c r="O1851" s="12"/>
    </x:row>
    <x:row r="1852" ht="39" customHeight="1">
      <x:c r="A1852" s="12" t="str">
        <x:v>20236</x:v>
      </x:c>
      <x:c r="B1852" s="12" t="str">
        <x:v>13308</x:v>
      </x:c>
      <x:c r="C1852" s="12" t="str">
        <x:v>参考000</x:v>
      </x:c>
      <x:c r="D1852" s="12" t="str">
        <x:v>自动000</x:v>
      </x:c>
      <x:c r="E1852" s="12" t="n">
        <x:v>0</x:v>
      </x:c>
      <x:c r="F1852" s="12" t="n">
        <x:v>0</x:v>
      </x:c>
      <x:c r="G1852" s="12" t="n">
        <x:v>0</x:v>
      </x:c>
      <x:c r="H1852" s="12" t="n">
        <x:f>IF(SUM(I1852:K1852)&gt;0,1,0)</x:f>
        <x:v>0</x:v>
      </x:c>
      <x:c r="I1852" s="12" t="n">
        <x:f>IF('患者配对'!M2099="positive",1,0)</x:f>
        <x:v>0</x:v>
      </x:c>
      <x:c r="J1852" s="12" t="n">
        <x:f>IF('患者配对'!R2099="positive",1,0)</x:f>
        <x:v>0</x:v>
      </x:c>
      <x:c r="K1852" s="12" t="n">
        <x:f>IF('患者配对'!W2099="positive",1,0)</x:f>
        <x:v>0</x:v>
      </x:c>
      <x:c r="L1852" s="12" t="str">
        <x:v>由原件与原状态取得；仅主队列索引</x:v>
      </x:c>
      <x:c r="M1852" s="12"/>
      <x:c r="N1852" s="12"/>
      <x:c r="O1852" s="12"/>
    </x:row>
    <x:row r="1853" ht="39" customHeight="1">
      <x:c r="A1853" s="12" t="str">
        <x:v>20240</x:v>
      </x:c>
      <x:c r="B1853" s="12" t="str">
        <x:v>17394</x:v>
      </x:c>
      <x:c r="C1853" s="12" t="str">
        <x:v>参考000</x:v>
      </x:c>
      <x:c r="D1853" s="12" t="str">
        <x:v>自动000</x:v>
      </x:c>
      <x:c r="E1853" s="12" t="n">
        <x:v>0</x:v>
      </x:c>
      <x:c r="F1853" s="12" t="n">
        <x:v>0</x:v>
      </x:c>
      <x:c r="G1853" s="12" t="n">
        <x:v>0</x:v>
      </x:c>
      <x:c r="H1853" s="12" t="n">
        <x:f>IF(SUM(I1853:K1853)&gt;0,1,0)</x:f>
        <x:v>0</x:v>
      </x:c>
      <x:c r="I1853" s="12" t="n">
        <x:f>IF('患者配对'!M2100="positive",1,0)</x:f>
        <x:v>0</x:v>
      </x:c>
      <x:c r="J1853" s="12" t="n">
        <x:f>IF('患者配对'!R2100="positive",1,0)</x:f>
        <x:v>0</x:v>
      </x:c>
      <x:c r="K1853" s="12" t="n">
        <x:f>IF('患者配对'!W2100="positive",1,0)</x:f>
        <x:v>0</x:v>
      </x:c>
      <x:c r="L1853" s="12" t="str">
        <x:v>由原件与原状态取得；仅主队列索引</x:v>
      </x:c>
      <x:c r="M1853" s="12"/>
      <x:c r="N1853" s="12"/>
      <x:c r="O1853" s="12"/>
    </x:row>
    <x:row r="1854" ht="39" customHeight="1">
      <x:c r="A1854" s="12" t="str">
        <x:v>20241</x:v>
      </x:c>
      <x:c r="B1854" s="12" t="str">
        <x:v>19636</x:v>
      </x:c>
      <x:c r="C1854" s="12" t="str">
        <x:v>参考000</x:v>
      </x:c>
      <x:c r="D1854" s="12" t="str">
        <x:v>自动000</x:v>
      </x:c>
      <x:c r="E1854" s="12" t="n">
        <x:v>0</x:v>
      </x:c>
      <x:c r="F1854" s="12" t="n">
        <x:v>0</x:v>
      </x:c>
      <x:c r="G1854" s="12" t="n">
        <x:v>0</x:v>
      </x:c>
      <x:c r="H1854" s="12" t="n">
        <x:f>IF(SUM(I1854:K1854)&gt;0,1,0)</x:f>
        <x:v>0</x:v>
      </x:c>
      <x:c r="I1854" s="12" t="n">
        <x:f>IF('患者配对'!M2101="positive",1,0)</x:f>
        <x:v>0</x:v>
      </x:c>
      <x:c r="J1854" s="12" t="n">
        <x:f>IF('患者配对'!R2101="positive",1,0)</x:f>
        <x:v>0</x:v>
      </x:c>
      <x:c r="K1854" s="12" t="n">
        <x:f>IF('患者配对'!W2101="positive",1,0)</x:f>
        <x:v>0</x:v>
      </x:c>
      <x:c r="L1854" s="12" t="str">
        <x:v>由原件与原状态取得；仅主队列索引</x:v>
      </x:c>
      <x:c r="M1854" s="12"/>
      <x:c r="N1854" s="12"/>
      <x:c r="O1854" s="12"/>
    </x:row>
    <x:row r="1855" ht="39" customHeight="1">
      <x:c r="A1855" s="12" t="str">
        <x:v>20242</x:v>
      </x:c>
      <x:c r="B1855" s="12" t="str">
        <x:v>10497</x:v>
      </x:c>
      <x:c r="C1855" s="12" t="str">
        <x:v>参考000</x:v>
      </x:c>
      <x:c r="D1855" s="12" t="str">
        <x:v>自动000</x:v>
      </x:c>
      <x:c r="E1855" s="12" t="n">
        <x:v>0</x:v>
      </x:c>
      <x:c r="F1855" s="12" t="n">
        <x:v>0</x:v>
      </x:c>
      <x:c r="G1855" s="12" t="n">
        <x:v>0</x:v>
      </x:c>
      <x:c r="H1855" s="12" t="n">
        <x:f>IF(SUM(I1855:K1855)&gt;0,1,0)</x:f>
        <x:v>0</x:v>
      </x:c>
      <x:c r="I1855" s="12" t="n">
        <x:f>IF('患者配对'!M2102="positive",1,0)</x:f>
        <x:v>0</x:v>
      </x:c>
      <x:c r="J1855" s="12" t="n">
        <x:f>IF('患者配对'!R2102="positive",1,0)</x:f>
        <x:v>0</x:v>
      </x:c>
      <x:c r="K1855" s="12" t="n">
        <x:f>IF('患者配对'!W2102="positive",1,0)</x:f>
        <x:v>0</x:v>
      </x:c>
      <x:c r="L1855" s="12" t="str">
        <x:v>由原件与原状态取得；仅主队列索引</x:v>
      </x:c>
      <x:c r="M1855" s="12"/>
      <x:c r="N1855" s="12"/>
      <x:c r="O1855" s="12"/>
    </x:row>
    <x:row r="1856" ht="39" customHeight="1">
      <x:c r="A1856" s="12" t="str">
        <x:v>20252</x:v>
      </x:c>
      <x:c r="B1856" s="12" t="str">
        <x:v>12203</x:v>
      </x:c>
      <x:c r="C1856" s="12" t="str">
        <x:v>参考001</x:v>
      </x:c>
      <x:c r="D1856" s="12" t="str">
        <x:v>自动001</x:v>
      </x:c>
      <x:c r="E1856" s="12" t="n">
        <x:v>1</x:v>
      </x:c>
      <x:c r="F1856" s="12" t="n">
        <x:v>1</x:v>
      </x:c>
      <x:c r="G1856" s="12" t="n">
        <x:v>0</x:v>
      </x:c>
      <x:c r="H1856" s="12" t="n">
        <x:f>IF(SUM(I1856:K1856)&gt;0,1,0)</x:f>
        <x:v>1</x:v>
      </x:c>
      <x:c r="I1856" s="12" t="n">
        <x:f>IF('患者配对'!M2103="positive",1,0)</x:f>
        <x:v>0</x:v>
      </x:c>
      <x:c r="J1856" s="12" t="n">
        <x:f>IF('患者配对'!R2103="positive",1,0)</x:f>
        <x:v>0</x:v>
      </x:c>
      <x:c r="K1856" s="12" t="n">
        <x:f>IF('患者配对'!W2103="positive",1,0)</x:f>
        <x:v>1</x:v>
      </x:c>
      <x:c r="L1856" s="12" t="str">
        <x:v>由原件与原状态取得；仅主队列索引</x:v>
      </x:c>
      <x:c r="M1856" s="12"/>
      <x:c r="N1856" s="12"/>
      <x:c r="O1856" s="12"/>
    </x:row>
    <x:row r="1857" ht="39" customHeight="1">
      <x:c r="A1857" s="12" t="str">
        <x:v>20280</x:v>
      </x:c>
      <x:c r="B1857" s="12" t="str">
        <x:v>10937</x:v>
      </x:c>
      <x:c r="C1857" s="12" t="str">
        <x:v>参考000</x:v>
      </x:c>
      <x:c r="D1857" s="12" t="str">
        <x:v>自动000</x:v>
      </x:c>
      <x:c r="E1857" s="12" t="n">
        <x:v>0</x:v>
      </x:c>
      <x:c r="F1857" s="12" t="n">
        <x:v>0</x:v>
      </x:c>
      <x:c r="G1857" s="12" t="n">
        <x:v>0</x:v>
      </x:c>
      <x:c r="H1857" s="12" t="n">
        <x:f>IF(SUM(I1857:K1857)&gt;0,1,0)</x:f>
        <x:v>0</x:v>
      </x:c>
      <x:c r="I1857" s="12" t="n">
        <x:f>IF('患者配对'!M2104="positive",1,0)</x:f>
        <x:v>0</x:v>
      </x:c>
      <x:c r="J1857" s="12" t="n">
        <x:f>IF('患者配对'!R2104="positive",1,0)</x:f>
        <x:v>0</x:v>
      </x:c>
      <x:c r="K1857" s="12" t="n">
        <x:f>IF('患者配对'!W2104="positive",1,0)</x:f>
        <x:v>0</x:v>
      </x:c>
      <x:c r="L1857" s="12" t="str">
        <x:v>由原件与原状态取得；仅主队列索引</x:v>
      </x:c>
      <x:c r="M1857" s="12"/>
      <x:c r="N1857" s="12"/>
      <x:c r="O1857" s="12"/>
    </x:row>
    <x:row r="1858" ht="39" customHeight="1">
      <x:c r="A1858" s="12" t="str">
        <x:v>20288</x:v>
      </x:c>
      <x:c r="B1858" s="12" t="str">
        <x:v>10264</x:v>
      </x:c>
      <x:c r="C1858" s="12" t="str">
        <x:v>参考000</x:v>
      </x:c>
      <x:c r="D1858" s="12" t="str">
        <x:v>自动000</x:v>
      </x:c>
      <x:c r="E1858" s="12" t="n">
        <x:v>0</x:v>
      </x:c>
      <x:c r="F1858" s="12" t="n">
        <x:v>0</x:v>
      </x:c>
      <x:c r="G1858" s="12" t="n">
        <x:v>0</x:v>
      </x:c>
      <x:c r="H1858" s="12" t="n">
        <x:f>IF(SUM(I1858:K1858)&gt;0,1,0)</x:f>
        <x:v>0</x:v>
      </x:c>
      <x:c r="I1858" s="12" t="n">
        <x:f>IF('患者配对'!M2105="positive",1,0)</x:f>
        <x:v>0</x:v>
      </x:c>
      <x:c r="J1858" s="12" t="n">
        <x:f>IF('患者配对'!R2105="positive",1,0)</x:f>
        <x:v>0</x:v>
      </x:c>
      <x:c r="K1858" s="12" t="n">
        <x:f>IF('患者配对'!W2105="positive",1,0)</x:f>
        <x:v>0</x:v>
      </x:c>
      <x:c r="L1858" s="12" t="str">
        <x:v>由原件与原状态取得；仅主队列索引</x:v>
      </x:c>
      <x:c r="M1858" s="12"/>
      <x:c r="N1858" s="12"/>
      <x:c r="O1858" s="12"/>
    </x:row>
    <x:row r="1859" ht="39" customHeight="1">
      <x:c r="A1859" s="12" t="str">
        <x:v>20301</x:v>
      </x:c>
      <x:c r="B1859" s="12" t="str">
        <x:v>18629</x:v>
      </x:c>
      <x:c r="C1859" s="12" t="str">
        <x:v>参考001</x:v>
      </x:c>
      <x:c r="D1859" s="12" t="str">
        <x:v>自动001</x:v>
      </x:c>
      <x:c r="E1859" s="12" t="n">
        <x:v>1</x:v>
      </x:c>
      <x:c r="F1859" s="12" t="n">
        <x:v>1</x:v>
      </x:c>
      <x:c r="G1859" s="12" t="n">
        <x:v>0</x:v>
      </x:c>
      <x:c r="H1859" s="12" t="n">
        <x:f>IF(SUM(I1859:K1859)&gt;0,1,0)</x:f>
        <x:v>1</x:v>
      </x:c>
      <x:c r="I1859" s="12" t="n">
        <x:f>IF('患者配对'!M2106="positive",1,0)</x:f>
        <x:v>0</x:v>
      </x:c>
      <x:c r="J1859" s="12" t="n">
        <x:f>IF('患者配对'!R2106="positive",1,0)</x:f>
        <x:v>0</x:v>
      </x:c>
      <x:c r="K1859" s="12" t="n">
        <x:f>IF('患者配对'!W2106="positive",1,0)</x:f>
        <x:v>1</x:v>
      </x:c>
      <x:c r="L1859" s="12" t="str">
        <x:v>由原件与原状态取得；仅主队列索引</x:v>
      </x:c>
      <x:c r="M1859" s="12"/>
      <x:c r="N1859" s="12"/>
      <x:c r="O1859" s="12"/>
    </x:row>
    <x:row r="1860" ht="39" customHeight="1">
      <x:c r="A1860" s="12" t="str">
        <x:v>20313</x:v>
      </x:c>
      <x:c r="B1860" s="12" t="str">
        <x:v>13920</x:v>
      </x:c>
      <x:c r="C1860" s="12" t="str">
        <x:v>参考000</x:v>
      </x:c>
      <x:c r="D1860" s="12" t="str">
        <x:v>自动000</x:v>
      </x:c>
      <x:c r="E1860" s="12" t="n">
        <x:v>0</x:v>
      </x:c>
      <x:c r="F1860" s="12" t="n">
        <x:v>1</x:v>
      </x:c>
      <x:c r="G1860" s="12" t="n">
        <x:v>0</x:v>
      </x:c>
      <x:c r="H1860" s="12" t="n">
        <x:f>IF(SUM(I1860:K1860)&gt;0,1,0)</x:f>
        <x:v>0</x:v>
      </x:c>
      <x:c r="I1860" s="12" t="n">
        <x:f>IF('患者配对'!M2107="positive",1,0)</x:f>
        <x:v>0</x:v>
      </x:c>
      <x:c r="J1860" s="12" t="n">
        <x:f>IF('患者配对'!R2107="positive",1,0)</x:f>
        <x:v>0</x:v>
      </x:c>
      <x:c r="K1860" s="12" t="n">
        <x:f>IF('患者配对'!W2107="positive",1,0)</x:f>
        <x:v>0</x:v>
      </x:c>
      <x:c r="L1860" s="12" t="str">
        <x:v>由原件与原状态取得；仅主队列索引</x:v>
      </x:c>
      <x:c r="M1860" s="12"/>
      <x:c r="N1860" s="12"/>
      <x:c r="O1860" s="12"/>
    </x:row>
    <x:row r="1861" ht="39" customHeight="1">
      <x:c r="A1861" s="12" t="str">
        <x:v>20317</x:v>
      </x:c>
      <x:c r="B1861" s="12" t="str">
        <x:v>13744</x:v>
      </x:c>
      <x:c r="C1861" s="12" t="str">
        <x:v>参考000</x:v>
      </x:c>
      <x:c r="D1861" s="12" t="str">
        <x:v>自动000</x:v>
      </x:c>
      <x:c r="E1861" s="12" t="n">
        <x:v>0</x:v>
      </x:c>
      <x:c r="F1861" s="12" t="n">
        <x:v>0</x:v>
      </x:c>
      <x:c r="G1861" s="12" t="n">
        <x:v>0</x:v>
      </x:c>
      <x:c r="H1861" s="12" t="n">
        <x:f>IF(SUM(I1861:K1861)&gt;0,1,0)</x:f>
        <x:v>0</x:v>
      </x:c>
      <x:c r="I1861" s="12" t="n">
        <x:f>IF('患者配对'!M2108="positive",1,0)</x:f>
        <x:v>0</x:v>
      </x:c>
      <x:c r="J1861" s="12" t="n">
        <x:f>IF('患者配对'!R2108="positive",1,0)</x:f>
        <x:v>0</x:v>
      </x:c>
      <x:c r="K1861" s="12" t="n">
        <x:f>IF('患者配对'!W2108="positive",1,0)</x:f>
        <x:v>0</x:v>
      </x:c>
      <x:c r="L1861" s="12" t="str">
        <x:v>由原件与原状态取得；仅主队列索引</x:v>
      </x:c>
      <x:c r="M1861" s="12"/>
      <x:c r="N1861" s="12"/>
      <x:c r="O1861" s="12"/>
    </x:row>
    <x:row r="1862" ht="39" customHeight="1">
      <x:c r="A1862" s="12" t="str">
        <x:v>20356</x:v>
      </x:c>
      <x:c r="B1862" s="12" t="str">
        <x:v>21092</x:v>
      </x:c>
      <x:c r="C1862" s="12" t="str">
        <x:v>参考000</x:v>
      </x:c>
      <x:c r="D1862" s="12" t="str">
        <x:v>自动000</x:v>
      </x:c>
      <x:c r="E1862" s="12" t="n">
        <x:v>0</x:v>
      </x:c>
      <x:c r="F1862" s="12" t="n">
        <x:v>0</x:v>
      </x:c>
      <x:c r="G1862" s="12" t="n">
        <x:v>0</x:v>
      </x:c>
      <x:c r="H1862" s="12" t="n">
        <x:f>IF(SUM(I1862:K1862)&gt;0,1,0)</x:f>
        <x:v>0</x:v>
      </x:c>
      <x:c r="I1862" s="12" t="n">
        <x:f>IF('患者配对'!M2110="positive",1,0)</x:f>
        <x:v>0</x:v>
      </x:c>
      <x:c r="J1862" s="12" t="n">
        <x:f>IF('患者配对'!R2110="positive",1,0)</x:f>
        <x:v>0</x:v>
      </x:c>
      <x:c r="K1862" s="12" t="n">
        <x:f>IF('患者配对'!W2110="positive",1,0)</x:f>
        <x:v>0</x:v>
      </x:c>
      <x:c r="L1862" s="12" t="str">
        <x:v>由原件与原状态取得；仅主队列索引</x:v>
      </x:c>
      <x:c r="M1862" s="12"/>
      <x:c r="N1862" s="12"/>
      <x:c r="O1862" s="12"/>
    </x:row>
    <x:row r="1863" ht="39" customHeight="1">
      <x:c r="A1863" s="12" t="str">
        <x:v>20369</x:v>
      </x:c>
      <x:c r="B1863" s="12" t="str">
        <x:v>15739</x:v>
      </x:c>
      <x:c r="C1863" s="12" t="str">
        <x:v>参考000</x:v>
      </x:c>
      <x:c r="D1863" s="12" t="str">
        <x:v>自动000</x:v>
      </x:c>
      <x:c r="E1863" s="12" t="n">
        <x:v>0</x:v>
      </x:c>
      <x:c r="F1863" s="12" t="n">
        <x:v>0</x:v>
      </x:c>
      <x:c r="G1863" s="12" t="n">
        <x:v>0</x:v>
      </x:c>
      <x:c r="H1863" s="12" t="n">
        <x:f>IF(SUM(I1863:K1863)&gt;0,1,0)</x:f>
        <x:v>0</x:v>
      </x:c>
      <x:c r="I1863" s="12" t="n">
        <x:f>IF('患者配对'!M2111="positive",1,0)</x:f>
        <x:v>0</x:v>
      </x:c>
      <x:c r="J1863" s="12" t="n">
        <x:f>IF('患者配对'!R2111="positive",1,0)</x:f>
        <x:v>0</x:v>
      </x:c>
      <x:c r="K1863" s="12" t="n">
        <x:f>IF('患者配对'!W2111="positive",1,0)</x:f>
        <x:v>0</x:v>
      </x:c>
      <x:c r="L1863" s="12" t="str">
        <x:v>由原件与原状态取得；仅主队列索引</x:v>
      </x:c>
      <x:c r="M1863" s="12"/>
      <x:c r="N1863" s="12"/>
      <x:c r="O1863" s="12"/>
    </x:row>
    <x:row r="1864" ht="39" customHeight="1">
      <x:c r="A1864" s="12" t="str">
        <x:v>20401</x:v>
      </x:c>
      <x:c r="B1864" s="12" t="str">
        <x:v>17065</x:v>
      </x:c>
      <x:c r="C1864" s="12" t="str">
        <x:v>参考000</x:v>
      </x:c>
      <x:c r="D1864" s="12" t="str">
        <x:v>自动000</x:v>
      </x:c>
      <x:c r="E1864" s="12" t="n">
        <x:v>0</x:v>
      </x:c>
      <x:c r="F1864" s="12" t="n">
        <x:v>0</x:v>
      </x:c>
      <x:c r="G1864" s="12" t="n">
        <x:v>0</x:v>
      </x:c>
      <x:c r="H1864" s="12" t="n">
        <x:f>IF(SUM(I1864:K1864)&gt;0,1,0)</x:f>
        <x:v>0</x:v>
      </x:c>
      <x:c r="I1864" s="12" t="n">
        <x:f>IF('患者配对'!M2113="positive",1,0)</x:f>
        <x:v>0</x:v>
      </x:c>
      <x:c r="J1864" s="12" t="n">
        <x:f>IF('患者配对'!R2113="positive",1,0)</x:f>
        <x:v>0</x:v>
      </x:c>
      <x:c r="K1864" s="12" t="n">
        <x:f>IF('患者配对'!W2113="positive",1,0)</x:f>
        <x:v>0</x:v>
      </x:c>
      <x:c r="L1864" s="12" t="str">
        <x:v>由原件与原状态取得；仅主队列索引</x:v>
      </x:c>
      <x:c r="M1864" s="12"/>
      <x:c r="N1864" s="12"/>
      <x:c r="O1864" s="12"/>
    </x:row>
    <x:row r="1865" ht="39" customHeight="1">
      <x:c r="A1865" s="12" t="str">
        <x:v>20515</x:v>
      </x:c>
      <x:c r="B1865" s="12" t="str">
        <x:v>20774</x:v>
      </x:c>
      <x:c r="C1865" s="12" t="str">
        <x:v>参考000</x:v>
      </x:c>
      <x:c r="D1865" s="12" t="str">
        <x:v>自动000</x:v>
      </x:c>
      <x:c r="E1865" s="12" t="n">
        <x:v>0</x:v>
      </x:c>
      <x:c r="F1865" s="12" t="n">
        <x:v>0</x:v>
      </x:c>
      <x:c r="G1865" s="12" t="n">
        <x:v>0</x:v>
      </x:c>
      <x:c r="H1865" s="12" t="n">
        <x:f>IF(SUM(I1865:K1865)&gt;0,1,0)</x:f>
        <x:v>0</x:v>
      </x:c>
      <x:c r="I1865" s="12" t="n">
        <x:f>IF('患者配对'!M2116="positive",1,0)</x:f>
        <x:v>0</x:v>
      </x:c>
      <x:c r="J1865" s="12" t="n">
        <x:f>IF('患者配对'!R2116="positive",1,0)</x:f>
        <x:v>0</x:v>
      </x:c>
      <x:c r="K1865" s="12" t="n">
        <x:f>IF('患者配对'!W2116="positive",1,0)</x:f>
        <x:v>0</x:v>
      </x:c>
      <x:c r="L1865" s="12" t="str">
        <x:v>由原件与原状态取得；仅主队列索引</x:v>
      </x:c>
      <x:c r="M1865" s="12"/>
      <x:c r="N1865" s="12"/>
      <x:c r="O1865" s="12"/>
    </x:row>
    <x:row r="1866" ht="39" customHeight="1">
      <x:c r="A1866" s="12" t="str">
        <x:v>20523</x:v>
      </x:c>
      <x:c r="B1866" s="12" t="str">
        <x:v>15483</x:v>
      </x:c>
      <x:c r="C1866" s="12" t="str">
        <x:v>参考000</x:v>
      </x:c>
      <x:c r="D1866" s="12" t="str">
        <x:v>自动000</x:v>
      </x:c>
      <x:c r="E1866" s="12" t="n">
        <x:v>0</x:v>
      </x:c>
      <x:c r="F1866" s="12" t="n">
        <x:v>0</x:v>
      </x:c>
      <x:c r="G1866" s="12" t="n">
        <x:v>0</x:v>
      </x:c>
      <x:c r="H1866" s="12" t="n">
        <x:f>IF(SUM(I1866:K1866)&gt;0,1,0)</x:f>
        <x:v>0</x:v>
      </x:c>
      <x:c r="I1866" s="12" t="n">
        <x:f>IF('患者配对'!M2117="positive",1,0)</x:f>
        <x:v>0</x:v>
      </x:c>
      <x:c r="J1866" s="12" t="n">
        <x:f>IF('患者配对'!R2117="positive",1,0)</x:f>
        <x:v>0</x:v>
      </x:c>
      <x:c r="K1866" s="12" t="n">
        <x:f>IF('患者配对'!W2117="positive",1,0)</x:f>
        <x:v>0</x:v>
      </x:c>
      <x:c r="L1866" s="12" t="str">
        <x:v>由原件与原状态取得；仅主队列索引</x:v>
      </x:c>
      <x:c r="M1866" s="12"/>
      <x:c r="N1866" s="12"/>
      <x:c r="O1866" s="12"/>
    </x:row>
    <x:row r="1867" ht="39" customHeight="1">
      <x:c r="A1867" s="12" t="str">
        <x:v>20536</x:v>
      </x:c>
      <x:c r="B1867" s="12" t="str">
        <x:v>12512</x:v>
      </x:c>
      <x:c r="C1867" s="12" t="str">
        <x:v>参考000</x:v>
      </x:c>
      <x:c r="D1867" s="12" t="str">
        <x:v>自动000</x:v>
      </x:c>
      <x:c r="E1867" s="12" t="n">
        <x:v>0</x:v>
      </x:c>
      <x:c r="F1867" s="12" t="n">
        <x:v>0</x:v>
      </x:c>
      <x:c r="G1867" s="12" t="n">
        <x:v>0</x:v>
      </x:c>
      <x:c r="H1867" s="12" t="n">
        <x:f>IF(SUM(I1867:K1867)&gt;0,1,0)</x:f>
        <x:v>0</x:v>
      </x:c>
      <x:c r="I1867" s="12" t="n">
        <x:f>IF('患者配对'!M2118="positive",1,0)</x:f>
        <x:v>0</x:v>
      </x:c>
      <x:c r="J1867" s="12" t="n">
        <x:f>IF('患者配对'!R2118="positive",1,0)</x:f>
        <x:v>0</x:v>
      </x:c>
      <x:c r="K1867" s="12" t="n">
        <x:f>IF('患者配对'!W2118="positive",1,0)</x:f>
        <x:v>0</x:v>
      </x:c>
      <x:c r="L1867" s="12" t="str">
        <x:v>由原件与原状态取得；仅主队列索引</x:v>
      </x:c>
      <x:c r="M1867" s="12"/>
      <x:c r="N1867" s="12"/>
      <x:c r="O1867" s="12"/>
    </x:row>
    <x:row r="1868" ht="39" customHeight="1">
      <x:c r="A1868" s="12" t="str">
        <x:v>20549</x:v>
      </x:c>
      <x:c r="B1868" s="12" t="str">
        <x:v>15816</x:v>
      </x:c>
      <x:c r="C1868" s="12" t="str">
        <x:v>参考000</x:v>
      </x:c>
      <x:c r="D1868" s="12" t="str">
        <x:v>自动000</x:v>
      </x:c>
      <x:c r="E1868" s="12" t="n">
        <x:v>0</x:v>
      </x:c>
      <x:c r="F1868" s="12" t="n">
        <x:v>0</x:v>
      </x:c>
      <x:c r="G1868" s="12" t="n">
        <x:v>0</x:v>
      </x:c>
      <x:c r="H1868" s="12" t="n">
        <x:f>IF(SUM(I1868:K1868)&gt;0,1,0)</x:f>
        <x:v>0</x:v>
      </x:c>
      <x:c r="I1868" s="12" t="n">
        <x:f>IF('患者配对'!M2119="positive",1,0)</x:f>
        <x:v>0</x:v>
      </x:c>
      <x:c r="J1868" s="12" t="n">
        <x:f>IF('患者配对'!R2119="positive",1,0)</x:f>
        <x:v>0</x:v>
      </x:c>
      <x:c r="K1868" s="12" t="n">
        <x:f>IF('患者配对'!W2119="positive",1,0)</x:f>
        <x:v>0</x:v>
      </x:c>
      <x:c r="L1868" s="12" t="str">
        <x:v>由原件与原状态取得；仅主队列索引</x:v>
      </x:c>
      <x:c r="M1868" s="12"/>
      <x:c r="N1868" s="12"/>
      <x:c r="O1868" s="12"/>
    </x:row>
    <x:row r="1869" ht="39" customHeight="1">
      <x:c r="A1869" s="12" t="str">
        <x:v>20563</x:v>
      </x:c>
      <x:c r="B1869" s="12" t="str">
        <x:v>21513</x:v>
      </x:c>
      <x:c r="C1869" s="12" t="str">
        <x:v>参考000</x:v>
      </x:c>
      <x:c r="D1869" s="12" t="str">
        <x:v>自动000</x:v>
      </x:c>
      <x:c r="E1869" s="12" t="n">
        <x:v>0</x:v>
      </x:c>
      <x:c r="F1869" s="12" t="n">
        <x:v>0</x:v>
      </x:c>
      <x:c r="G1869" s="12" t="n">
        <x:v>0</x:v>
      </x:c>
      <x:c r="H1869" s="12" t="n">
        <x:f>IF(SUM(I1869:K1869)&gt;0,1,0)</x:f>
        <x:v>0</x:v>
      </x:c>
      <x:c r="I1869" s="12" t="n">
        <x:f>IF('患者配对'!M2120="positive",1,0)</x:f>
        <x:v>0</x:v>
      </x:c>
      <x:c r="J1869" s="12" t="n">
        <x:f>IF('患者配对'!R2120="positive",1,0)</x:f>
        <x:v>0</x:v>
      </x:c>
      <x:c r="K1869" s="12" t="n">
        <x:f>IF('患者配对'!W2120="positive",1,0)</x:f>
        <x:v>0</x:v>
      </x:c>
      <x:c r="L1869" s="12" t="str">
        <x:v>由原件与原状态取得；仅主队列索引</x:v>
      </x:c>
      <x:c r="M1869" s="12"/>
      <x:c r="N1869" s="12"/>
      <x:c r="O1869" s="12"/>
    </x:row>
    <x:row r="1870" ht="39" customHeight="1">
      <x:c r="A1870" s="12" t="str">
        <x:v>20566</x:v>
      </x:c>
      <x:c r="B1870" s="12" t="str">
        <x:v>21218</x:v>
      </x:c>
      <x:c r="C1870" s="12" t="str">
        <x:v>参考000</x:v>
      </x:c>
      <x:c r="D1870" s="12" t="str">
        <x:v>自动000</x:v>
      </x:c>
      <x:c r="E1870" s="12" t="n">
        <x:v>0</x:v>
      </x:c>
      <x:c r="F1870" s="12" t="n">
        <x:v>0</x:v>
      </x:c>
      <x:c r="G1870" s="12" t="n">
        <x:v>0</x:v>
      </x:c>
      <x:c r="H1870" s="12" t="n">
        <x:f>IF(SUM(I1870:K1870)&gt;0,1,0)</x:f>
        <x:v>0</x:v>
      </x:c>
      <x:c r="I1870" s="12" t="n">
        <x:f>IF('患者配对'!M2121="positive",1,0)</x:f>
        <x:v>0</x:v>
      </x:c>
      <x:c r="J1870" s="12" t="n">
        <x:f>IF('患者配对'!R2121="positive",1,0)</x:f>
        <x:v>0</x:v>
      </x:c>
      <x:c r="K1870" s="12" t="n">
        <x:f>IF('患者配对'!W2121="positive",1,0)</x:f>
        <x:v>0</x:v>
      </x:c>
      <x:c r="L1870" s="12" t="str">
        <x:v>由原件与原状态取得；仅主队列索引</x:v>
      </x:c>
      <x:c r="M1870" s="12"/>
      <x:c r="N1870" s="12"/>
      <x:c r="O1870" s="12"/>
    </x:row>
    <x:row r="1871" ht="39" customHeight="1">
      <x:c r="A1871" s="12" t="str">
        <x:v>20624</x:v>
      </x:c>
      <x:c r="B1871" s="12" t="str">
        <x:v>17969</x:v>
      </x:c>
      <x:c r="C1871" s="12" t="str">
        <x:v>参考000</x:v>
      </x:c>
      <x:c r="D1871" s="12" t="str">
        <x:v>自动000</x:v>
      </x:c>
      <x:c r="E1871" s="12" t="n">
        <x:v>0</x:v>
      </x:c>
      <x:c r="F1871" s="12" t="n">
        <x:v>0</x:v>
      </x:c>
      <x:c r="G1871" s="12" t="n">
        <x:v>0</x:v>
      </x:c>
      <x:c r="H1871" s="12" t="n">
        <x:f>IF(SUM(I1871:K1871)&gt;0,1,0)</x:f>
        <x:v>0</x:v>
      </x:c>
      <x:c r="I1871" s="12" t="n">
        <x:f>IF('患者配对'!M2125="positive",1,0)</x:f>
        <x:v>0</x:v>
      </x:c>
      <x:c r="J1871" s="12" t="n">
        <x:f>IF('患者配对'!R2125="positive",1,0)</x:f>
        <x:v>0</x:v>
      </x:c>
      <x:c r="K1871" s="12" t="n">
        <x:f>IF('患者配对'!W2125="positive",1,0)</x:f>
        <x:v>0</x:v>
      </x:c>
      <x:c r="L1871" s="12" t="str">
        <x:v>由原件与原状态取得；仅主队列索引</x:v>
      </x:c>
      <x:c r="M1871" s="12"/>
      <x:c r="N1871" s="12"/>
      <x:c r="O1871" s="12"/>
    </x:row>
    <x:row r="1872" ht="39" customHeight="1">
      <x:c r="A1872" s="12" t="str">
        <x:v>20646</x:v>
      </x:c>
      <x:c r="B1872" s="12" t="str">
        <x:v>17939</x:v>
      </x:c>
      <x:c r="C1872" s="12" t="str">
        <x:v>参考000</x:v>
      </x:c>
      <x:c r="D1872" s="12" t="str">
        <x:v>自动000</x:v>
      </x:c>
      <x:c r="E1872" s="12" t="n">
        <x:v>0</x:v>
      </x:c>
      <x:c r="F1872" s="12" t="n">
        <x:v>1</x:v>
      </x:c>
      <x:c r="G1872" s="12" t="n">
        <x:v>0</x:v>
      </x:c>
      <x:c r="H1872" s="12" t="n">
        <x:f>IF(SUM(I1872:K1872)&gt;0,1,0)</x:f>
        <x:v>0</x:v>
      </x:c>
      <x:c r="I1872" s="12" t="n">
        <x:f>IF('患者配对'!M2126="positive",1,0)</x:f>
        <x:v>0</x:v>
      </x:c>
      <x:c r="J1872" s="12" t="n">
        <x:f>IF('患者配对'!R2126="positive",1,0)</x:f>
        <x:v>0</x:v>
      </x:c>
      <x:c r="K1872" s="12" t="n">
        <x:f>IF('患者配对'!W2126="positive",1,0)</x:f>
        <x:v>0</x:v>
      </x:c>
      <x:c r="L1872" s="12" t="str">
        <x:v>由原件与原状态取得；仅主队列索引</x:v>
      </x:c>
      <x:c r="M1872" s="12"/>
      <x:c r="N1872" s="12"/>
      <x:c r="O1872" s="12"/>
    </x:row>
    <x:row r="1873" ht="39" customHeight="1">
      <x:c r="A1873" s="12" t="str">
        <x:v>20671</x:v>
      </x:c>
      <x:c r="B1873" s="12" t="str">
        <x:v>17523</x:v>
      </x:c>
      <x:c r="C1873" s="12" t="str">
        <x:v>参考000</x:v>
      </x:c>
      <x:c r="D1873" s="12" t="str">
        <x:v>自动000</x:v>
      </x:c>
      <x:c r="E1873" s="12" t="n">
        <x:v>0</x:v>
      </x:c>
      <x:c r="F1873" s="12" t="n">
        <x:v>0</x:v>
      </x:c>
      <x:c r="G1873" s="12" t="n">
        <x:v>0</x:v>
      </x:c>
      <x:c r="H1873" s="12" t="n">
        <x:f>IF(SUM(I1873:K1873)&gt;0,1,0)</x:f>
        <x:v>0</x:v>
      </x:c>
      <x:c r="I1873" s="12" t="n">
        <x:f>IF('患者配对'!M2127="positive",1,0)</x:f>
        <x:v>0</x:v>
      </x:c>
      <x:c r="J1873" s="12" t="n">
        <x:f>IF('患者配对'!R2127="positive",1,0)</x:f>
        <x:v>0</x:v>
      </x:c>
      <x:c r="K1873" s="12" t="n">
        <x:f>IF('患者配对'!W2127="positive",1,0)</x:f>
        <x:v>0</x:v>
      </x:c>
      <x:c r="L1873" s="12" t="str">
        <x:v>由原件与原状态取得；仅主队列索引</x:v>
      </x:c>
      <x:c r="M1873" s="12"/>
      <x:c r="N1873" s="12"/>
      <x:c r="O1873" s="12"/>
    </x:row>
    <x:row r="1874" ht="39" customHeight="1">
      <x:c r="A1874" s="12" t="str">
        <x:v>20674</x:v>
      </x:c>
      <x:c r="B1874" s="12" t="str">
        <x:v>18246</x:v>
      </x:c>
      <x:c r="C1874" s="12" t="str">
        <x:v>参考101</x:v>
      </x:c>
      <x:c r="D1874" s="12" t="str">
        <x:v>自动001</x:v>
      </x:c>
      <x:c r="E1874" s="12" t="n">
        <x:v>1</x:v>
      </x:c>
      <x:c r="F1874" s="12" t="n">
        <x:v>1</x:v>
      </x:c>
      <x:c r="G1874" s="12" t="n">
        <x:v>1</x:v>
      </x:c>
      <x:c r="H1874" s="12" t="n">
        <x:f>IF(SUM(I1874:K1874)&gt;0,1,0)</x:f>
        <x:v>1</x:v>
      </x:c>
      <x:c r="I1874" s="12" t="n">
        <x:f>IF('患者配对'!M2128="positive",1,0)</x:f>
        <x:v>1</x:v>
      </x:c>
      <x:c r="J1874" s="12" t="n">
        <x:f>IF('患者配对'!R2128="positive",1,0)</x:f>
        <x:v>0</x:v>
      </x:c>
      <x:c r="K1874" s="12" t="n">
        <x:f>IF('患者配对'!W2128="positive",1,0)</x:f>
        <x:v>1</x:v>
      </x:c>
      <x:c r="L1874" s="12" t="str">
        <x:v>由原件与原状态取得；仅主队列索引</x:v>
      </x:c>
      <x:c r="M1874" s="12"/>
      <x:c r="N1874" s="12"/>
      <x:c r="O1874" s="12"/>
    </x:row>
    <x:row r="1875" ht="39" customHeight="1">
      <x:c r="A1875" s="12" t="str">
        <x:v>20684</x:v>
      </x:c>
      <x:c r="B1875" s="12" t="str">
        <x:v>13573</x:v>
      </x:c>
      <x:c r="C1875" s="12" t="str">
        <x:v>参考000</x:v>
      </x:c>
      <x:c r="D1875" s="12" t="str">
        <x:v>自动000</x:v>
      </x:c>
      <x:c r="E1875" s="12" t="n">
        <x:v>0</x:v>
      </x:c>
      <x:c r="F1875" s="12" t="n">
        <x:v>1</x:v>
      </x:c>
      <x:c r="G1875" s="12" t="n">
        <x:v>0</x:v>
      </x:c>
      <x:c r="H1875" s="12" t="n">
        <x:f>IF(SUM(I1875:K1875)&gt;0,1,0)</x:f>
        <x:v>0</x:v>
      </x:c>
      <x:c r="I1875" s="12" t="n">
        <x:f>IF('患者配对'!M2129="positive",1,0)</x:f>
        <x:v>0</x:v>
      </x:c>
      <x:c r="J1875" s="12" t="n">
        <x:f>IF('患者配对'!R2129="positive",1,0)</x:f>
        <x:v>0</x:v>
      </x:c>
      <x:c r="K1875" s="12" t="n">
        <x:f>IF('患者配对'!W2129="positive",1,0)</x:f>
        <x:v>0</x:v>
      </x:c>
      <x:c r="L1875" s="12" t="str">
        <x:v>由原件与原状态取得；仅主队列索引</x:v>
      </x:c>
      <x:c r="M1875" s="12"/>
      <x:c r="N1875" s="12"/>
      <x:c r="O1875" s="12"/>
    </x:row>
    <x:row r="1876" ht="39" customHeight="1">
      <x:c r="A1876" s="12" t="str">
        <x:v>20724</x:v>
      </x:c>
      <x:c r="B1876" s="12" t="str">
        <x:v>14747</x:v>
      </x:c>
      <x:c r="C1876" s="12" t="str">
        <x:v>参考000</x:v>
      </x:c>
      <x:c r="D1876" s="12" t="str">
        <x:v>自动000</x:v>
      </x:c>
      <x:c r="E1876" s="12" t="n">
        <x:v>0</x:v>
      </x:c>
      <x:c r="F1876" s="12" t="n">
        <x:v>0</x:v>
      </x:c>
      <x:c r="G1876" s="12" t="n">
        <x:v>0</x:v>
      </x:c>
      <x:c r="H1876" s="12" t="n">
        <x:f>IF(SUM(I1876:K1876)&gt;0,1,0)</x:f>
        <x:v>0</x:v>
      </x:c>
      <x:c r="I1876" s="12" t="n">
        <x:f>IF('患者配对'!M2130="positive",1,0)</x:f>
        <x:v>0</x:v>
      </x:c>
      <x:c r="J1876" s="12" t="n">
        <x:f>IF('患者配对'!R2130="positive",1,0)</x:f>
        <x:v>0</x:v>
      </x:c>
      <x:c r="K1876" s="12" t="n">
        <x:f>IF('患者配对'!W2130="positive",1,0)</x:f>
        <x:v>0</x:v>
      </x:c>
      <x:c r="L1876" s="12" t="str">
        <x:v>由原件与原状态取得；仅主队列索引</x:v>
      </x:c>
      <x:c r="M1876" s="12"/>
      <x:c r="N1876" s="12"/>
      <x:c r="O1876" s="12"/>
    </x:row>
    <x:row r="1877" ht="39" customHeight="1">
      <x:c r="A1877" s="12" t="str">
        <x:v>20753</x:v>
      </x:c>
      <x:c r="B1877" s="12" t="str">
        <x:v>19849</x:v>
      </x:c>
      <x:c r="C1877" s="12" t="str">
        <x:v>参考000</x:v>
      </x:c>
      <x:c r="D1877" s="12" t="str">
        <x:v>自动000</x:v>
      </x:c>
      <x:c r="E1877" s="12" t="n">
        <x:v>0</x:v>
      </x:c>
      <x:c r="F1877" s="12" t="n">
        <x:v>0</x:v>
      </x:c>
      <x:c r="G1877" s="12" t="n">
        <x:v>0</x:v>
      </x:c>
      <x:c r="H1877" s="12" t="n">
        <x:f>IF(SUM(I1877:K1877)&gt;0,1,0)</x:f>
        <x:v>0</x:v>
      </x:c>
      <x:c r="I1877" s="12" t="n">
        <x:f>IF('患者配对'!M2132="positive",1,0)</x:f>
        <x:v>0</x:v>
      </x:c>
      <x:c r="J1877" s="12" t="n">
        <x:f>IF('患者配对'!R2132="positive",1,0)</x:f>
        <x:v>0</x:v>
      </x:c>
      <x:c r="K1877" s="12" t="n">
        <x:f>IF('患者配对'!W2132="positive",1,0)</x:f>
        <x:v>0</x:v>
      </x:c>
      <x:c r="L1877" s="12" t="str">
        <x:v>由原件与原状态取得；仅主队列索引</x:v>
      </x:c>
      <x:c r="M1877" s="12"/>
      <x:c r="N1877" s="12"/>
      <x:c r="O1877" s="12"/>
    </x:row>
    <x:row r="1878" ht="39" customHeight="1">
      <x:c r="A1878" s="12" t="str">
        <x:v>20775</x:v>
      </x:c>
      <x:c r="B1878" s="12" t="str">
        <x:v>18450</x:v>
      </x:c>
      <x:c r="C1878" s="12" t="str">
        <x:v>参考000</x:v>
      </x:c>
      <x:c r="D1878" s="12" t="str">
        <x:v>自动000</x:v>
      </x:c>
      <x:c r="E1878" s="12" t="n">
        <x:v>0</x:v>
      </x:c>
      <x:c r="F1878" s="12" t="n">
        <x:v>1</x:v>
      </x:c>
      <x:c r="G1878" s="12" t="n">
        <x:v>0</x:v>
      </x:c>
      <x:c r="H1878" s="12" t="n">
        <x:f>IF(SUM(I1878:K1878)&gt;0,1,0)</x:f>
        <x:v>0</x:v>
      </x:c>
      <x:c r="I1878" s="12" t="n">
        <x:f>IF('患者配对'!M2133="positive",1,0)</x:f>
        <x:v>0</x:v>
      </x:c>
      <x:c r="J1878" s="12" t="n">
        <x:f>IF('患者配对'!R2133="positive",1,0)</x:f>
        <x:v>0</x:v>
      </x:c>
      <x:c r="K1878" s="12" t="n">
        <x:f>IF('患者配对'!W2133="positive",1,0)</x:f>
        <x:v>0</x:v>
      </x:c>
      <x:c r="L1878" s="12" t="str">
        <x:v>由原件与原状态取得；仅主队列索引</x:v>
      </x:c>
      <x:c r="M1878" s="12"/>
      <x:c r="N1878" s="12"/>
      <x:c r="O1878" s="12"/>
    </x:row>
    <x:row r="1879" ht="39" customHeight="1">
      <x:c r="A1879" s="12" t="str">
        <x:v>20776</x:v>
      </x:c>
      <x:c r="B1879" s="12" t="str">
        <x:v>21784</x:v>
      </x:c>
      <x:c r="C1879" s="12" t="str">
        <x:v>参考000</x:v>
      </x:c>
      <x:c r="D1879" s="12" t="str">
        <x:v>自动000</x:v>
      </x:c>
      <x:c r="E1879" s="12" t="n">
        <x:v>0</x:v>
      </x:c>
      <x:c r="F1879" s="12" t="n">
        <x:v>1</x:v>
      </x:c>
      <x:c r="G1879" s="12" t="n">
        <x:v>0</x:v>
      </x:c>
      <x:c r="H1879" s="12" t="n">
        <x:f>IF(SUM(I1879:K1879)&gt;0,1,0)</x:f>
        <x:v>0</x:v>
      </x:c>
      <x:c r="I1879" s="12" t="n">
        <x:f>IF('患者配对'!M2134="positive",1,0)</x:f>
        <x:v>0</x:v>
      </x:c>
      <x:c r="J1879" s="12" t="n">
        <x:f>IF('患者配对'!R2134="positive",1,0)</x:f>
        <x:v>0</x:v>
      </x:c>
      <x:c r="K1879" s="12" t="n">
        <x:f>IF('患者配对'!W2134="positive",1,0)</x:f>
        <x:v>0</x:v>
      </x:c>
      <x:c r="L1879" s="12" t="str">
        <x:v>由原件与原状态取得；仅主队列索引</x:v>
      </x:c>
      <x:c r="M1879" s="12"/>
      <x:c r="N1879" s="12"/>
      <x:c r="O1879" s="12"/>
    </x:row>
    <x:row r="1880" ht="39" customHeight="1">
      <x:c r="A1880" s="12" t="str">
        <x:v>20801</x:v>
      </x:c>
      <x:c r="B1880" s="12" t="str">
        <x:v>19026</x:v>
      </x:c>
      <x:c r="C1880" s="12" t="str">
        <x:v>参考000</x:v>
      </x:c>
      <x:c r="D1880" s="12" t="str">
        <x:v>自动000</x:v>
      </x:c>
      <x:c r="E1880" s="12" t="n">
        <x:v>0</x:v>
      </x:c>
      <x:c r="F1880" s="12" t="n">
        <x:v>0</x:v>
      </x:c>
      <x:c r="G1880" s="12" t="n">
        <x:v>0</x:v>
      </x:c>
      <x:c r="H1880" s="12" t="n">
        <x:f>IF(SUM(I1880:K1880)&gt;0,1,0)</x:f>
        <x:v>0</x:v>
      </x:c>
      <x:c r="I1880" s="12" t="n">
        <x:f>IF('患者配对'!M2135="positive",1,0)</x:f>
        <x:v>0</x:v>
      </x:c>
      <x:c r="J1880" s="12" t="n">
        <x:f>IF('患者配对'!R2135="positive",1,0)</x:f>
        <x:v>0</x:v>
      </x:c>
      <x:c r="K1880" s="12" t="n">
        <x:f>IF('患者配对'!W2135="positive",1,0)</x:f>
        <x:v>0</x:v>
      </x:c>
      <x:c r="L1880" s="12" t="str">
        <x:v>由原件与原状态取得；仅主队列索引</x:v>
      </x:c>
      <x:c r="M1880" s="12"/>
      <x:c r="N1880" s="12"/>
      <x:c r="O1880" s="12"/>
    </x:row>
    <x:row r="1881" ht="39" customHeight="1">
      <x:c r="A1881" s="12" t="str">
        <x:v>20831</x:v>
      </x:c>
      <x:c r="B1881" s="12" t="str">
        <x:v>10694</x:v>
      </x:c>
      <x:c r="C1881" s="12" t="str">
        <x:v>参考000</x:v>
      </x:c>
      <x:c r="D1881" s="12" t="str">
        <x:v>自动000</x:v>
      </x:c>
      <x:c r="E1881" s="12" t="n">
        <x:v>0</x:v>
      </x:c>
      <x:c r="F1881" s="12" t="n">
        <x:v>0</x:v>
      </x:c>
      <x:c r="G1881" s="12" t="n">
        <x:v>0</x:v>
      </x:c>
      <x:c r="H1881" s="12" t="n">
        <x:f>IF(SUM(I1881:K1881)&gt;0,1,0)</x:f>
        <x:v>0</x:v>
      </x:c>
      <x:c r="I1881" s="12" t="n">
        <x:f>IF('患者配对'!M2136="positive",1,0)</x:f>
        <x:v>0</x:v>
      </x:c>
      <x:c r="J1881" s="12" t="n">
        <x:f>IF('患者配对'!R2136="positive",1,0)</x:f>
        <x:v>0</x:v>
      </x:c>
      <x:c r="K1881" s="12" t="n">
        <x:f>IF('患者配对'!W2136="positive",1,0)</x:f>
        <x:v>0</x:v>
      </x:c>
      <x:c r="L1881" s="12" t="str">
        <x:v>由原件与原状态取得；仅主队列索引</x:v>
      </x:c>
      <x:c r="M1881" s="12"/>
      <x:c r="N1881" s="12"/>
      <x:c r="O1881" s="12"/>
    </x:row>
    <x:row r="1882" ht="39" customHeight="1">
      <x:c r="A1882" s="12" t="str">
        <x:v>20865</x:v>
      </x:c>
      <x:c r="B1882" s="12" t="str">
        <x:v>14863</x:v>
      </x:c>
      <x:c r="C1882" s="12" t="str">
        <x:v>参考000</x:v>
      </x:c>
      <x:c r="D1882" s="12" t="str">
        <x:v>自动000</x:v>
      </x:c>
      <x:c r="E1882" s="12" t="n">
        <x:v>0</x:v>
      </x:c>
      <x:c r="F1882" s="12" t="n">
        <x:v>0</x:v>
      </x:c>
      <x:c r="G1882" s="12" t="n">
        <x:v>0</x:v>
      </x:c>
      <x:c r="H1882" s="12" t="n">
        <x:f>IF(SUM(I1882:K1882)&gt;0,1,0)</x:f>
        <x:v>0</x:v>
      </x:c>
      <x:c r="I1882" s="12" t="n">
        <x:f>IF('患者配对'!M2137="positive",1,0)</x:f>
        <x:v>0</x:v>
      </x:c>
      <x:c r="J1882" s="12" t="n">
        <x:f>IF('患者配对'!R2137="positive",1,0)</x:f>
        <x:v>0</x:v>
      </x:c>
      <x:c r="K1882" s="12" t="n">
        <x:f>IF('患者配对'!W2137="positive",1,0)</x:f>
        <x:v>0</x:v>
      </x:c>
      <x:c r="L1882" s="12" t="str">
        <x:v>由原件与原状态取得；仅主队列索引</x:v>
      </x:c>
      <x:c r="M1882" s="12"/>
      <x:c r="N1882" s="12"/>
      <x:c r="O1882" s="12"/>
    </x:row>
    <x:row r="1883" ht="39" customHeight="1">
      <x:c r="A1883" s="12" t="str">
        <x:v>20873</x:v>
      </x:c>
      <x:c r="B1883" s="12" t="str">
        <x:v>14657</x:v>
      </x:c>
      <x:c r="C1883" s="12" t="str">
        <x:v>参考000</x:v>
      </x:c>
      <x:c r="D1883" s="12" t="str">
        <x:v>自动000</x:v>
      </x:c>
      <x:c r="E1883" s="12" t="n">
        <x:v>0</x:v>
      </x:c>
      <x:c r="F1883" s="12" t="n">
        <x:v>0</x:v>
      </x:c>
      <x:c r="G1883" s="12" t="n">
        <x:v>0</x:v>
      </x:c>
      <x:c r="H1883" s="12" t="n">
        <x:f>IF(SUM(I1883:K1883)&gt;0,1,0)</x:f>
        <x:v>0</x:v>
      </x:c>
      <x:c r="I1883" s="12" t="n">
        <x:f>IF('患者配对'!M2138="positive",1,0)</x:f>
        <x:v>0</x:v>
      </x:c>
      <x:c r="J1883" s="12" t="n">
        <x:f>IF('患者配对'!R2138="positive",1,0)</x:f>
        <x:v>0</x:v>
      </x:c>
      <x:c r="K1883" s="12" t="n">
        <x:f>IF('患者配对'!W2138="positive",1,0)</x:f>
        <x:v>0</x:v>
      </x:c>
      <x:c r="L1883" s="12" t="str">
        <x:v>由原件与原状态取得；仅主队列索引</x:v>
      </x:c>
      <x:c r="M1883" s="12"/>
      <x:c r="N1883" s="12"/>
      <x:c r="O1883" s="12"/>
    </x:row>
    <x:row r="1884" ht="39" customHeight="1">
      <x:c r="A1884" s="12" t="str">
        <x:v>20887</x:v>
      </x:c>
      <x:c r="B1884" s="12" t="str">
        <x:v>21758</x:v>
      </x:c>
      <x:c r="C1884" s="12" t="str">
        <x:v>参考000</x:v>
      </x:c>
      <x:c r="D1884" s="12" t="str">
        <x:v>自动000</x:v>
      </x:c>
      <x:c r="E1884" s="12" t="n">
        <x:v>0</x:v>
      </x:c>
      <x:c r="F1884" s="12" t="n">
        <x:v>0</x:v>
      </x:c>
      <x:c r="G1884" s="12" t="n">
        <x:v>0</x:v>
      </x:c>
      <x:c r="H1884" s="12" t="n">
        <x:f>IF(SUM(I1884:K1884)&gt;0,1,0)</x:f>
        <x:v>0</x:v>
      </x:c>
      <x:c r="I1884" s="12" t="n">
        <x:f>IF('患者配对'!M2139="positive",1,0)</x:f>
        <x:v>0</x:v>
      </x:c>
      <x:c r="J1884" s="12" t="n">
        <x:f>IF('患者配对'!R2139="positive",1,0)</x:f>
        <x:v>0</x:v>
      </x:c>
      <x:c r="K1884" s="12" t="n">
        <x:f>IF('患者配对'!W2139="positive",1,0)</x:f>
        <x:v>0</x:v>
      </x:c>
      <x:c r="L1884" s="12" t="str">
        <x:v>由原件与原状态取得；仅主队列索引</x:v>
      </x:c>
      <x:c r="M1884" s="12"/>
      <x:c r="N1884" s="12"/>
      <x:c r="O1884" s="12"/>
    </x:row>
    <x:row r="1885" ht="39" customHeight="1">
      <x:c r="A1885" s="12" t="str">
        <x:v>20891</x:v>
      </x:c>
      <x:c r="B1885" s="12" t="str">
        <x:v>15371</x:v>
      </x:c>
      <x:c r="C1885" s="12" t="str">
        <x:v>参考000</x:v>
      </x:c>
      <x:c r="D1885" s="12" t="str">
        <x:v>自动000</x:v>
      </x:c>
      <x:c r="E1885" s="12" t="n">
        <x:v>0</x:v>
      </x:c>
      <x:c r="F1885" s="12" t="n">
        <x:v>0</x:v>
      </x:c>
      <x:c r="G1885" s="12" t="n">
        <x:v>0</x:v>
      </x:c>
      <x:c r="H1885" s="12" t="n">
        <x:f>IF(SUM(I1885:K1885)&gt;0,1,0)</x:f>
        <x:v>0</x:v>
      </x:c>
      <x:c r="I1885" s="12" t="n">
        <x:f>IF('患者配对'!M2140="positive",1,0)</x:f>
        <x:v>0</x:v>
      </x:c>
      <x:c r="J1885" s="12" t="n">
        <x:f>IF('患者配对'!R2140="positive",1,0)</x:f>
        <x:v>0</x:v>
      </x:c>
      <x:c r="K1885" s="12" t="n">
        <x:f>IF('患者配对'!W2140="positive",1,0)</x:f>
        <x:v>0</x:v>
      </x:c>
      <x:c r="L1885" s="12" t="str">
        <x:v>由原件与原状态取得；仅主队列索引</x:v>
      </x:c>
      <x:c r="M1885" s="12"/>
      <x:c r="N1885" s="12"/>
      <x:c r="O1885" s="12"/>
    </x:row>
    <x:row r="1886" ht="39" customHeight="1">
      <x:c r="A1886" s="12" t="str">
        <x:v>20893</x:v>
      </x:c>
      <x:c r="B1886" s="12" t="str">
        <x:v>17409</x:v>
      </x:c>
      <x:c r="C1886" s="12" t="str">
        <x:v>参考010</x:v>
      </x:c>
      <x:c r="D1886" s="12" t="str">
        <x:v>自动010</x:v>
      </x:c>
      <x:c r="E1886" s="12" t="n">
        <x:v>1</x:v>
      </x:c>
      <x:c r="F1886" s="12" t="n">
        <x:v>1</x:v>
      </x:c>
      <x:c r="G1886" s="12" t="n">
        <x:v>0</x:v>
      </x:c>
      <x:c r="H1886" s="12" t="n">
        <x:f>IF(SUM(I1886:K1886)&gt;0,1,0)</x:f>
        <x:v>1</x:v>
      </x:c>
      <x:c r="I1886" s="12" t="n">
        <x:f>IF('患者配对'!M2141="positive",1,0)</x:f>
        <x:v>0</x:v>
      </x:c>
      <x:c r="J1886" s="12" t="n">
        <x:f>IF('患者配对'!R2141="positive",1,0)</x:f>
        <x:v>1</x:v>
      </x:c>
      <x:c r="K1886" s="12" t="n">
        <x:f>IF('患者配对'!W2141="positive",1,0)</x:f>
        <x:v>0</x:v>
      </x:c>
      <x:c r="L1886" s="12" t="str">
        <x:v>由原件与原状态取得；仅主队列索引</x:v>
      </x:c>
      <x:c r="M1886" s="12"/>
      <x:c r="N1886" s="12"/>
      <x:c r="O1886" s="12"/>
    </x:row>
    <x:row r="1887" ht="39" customHeight="1">
      <x:c r="A1887" s="12" t="str">
        <x:v>20902</x:v>
      </x:c>
      <x:c r="B1887" s="12" t="str">
        <x:v>7991</x:v>
      </x:c>
      <x:c r="C1887" s="12" t="str">
        <x:v>参考001</x:v>
      </x:c>
      <x:c r="D1887" s="12" t="str">
        <x:v>自动001</x:v>
      </x:c>
      <x:c r="E1887" s="12" t="n">
        <x:v>1</x:v>
      </x:c>
      <x:c r="F1887" s="12" t="n">
        <x:v>1</x:v>
      </x:c>
      <x:c r="G1887" s="12" t="n">
        <x:v>0</x:v>
      </x:c>
      <x:c r="H1887" s="12" t="n">
        <x:f>IF(SUM(I1887:K1887)&gt;0,1,0)</x:f>
        <x:v>1</x:v>
      </x:c>
      <x:c r="I1887" s="12" t="n">
        <x:f>IF('患者配对'!M2142="positive",1,0)</x:f>
        <x:v>0</x:v>
      </x:c>
      <x:c r="J1887" s="12" t="n">
        <x:f>IF('患者配对'!R2142="positive",1,0)</x:f>
        <x:v>0</x:v>
      </x:c>
      <x:c r="K1887" s="12" t="n">
        <x:f>IF('患者配对'!W2142="positive",1,0)</x:f>
        <x:v>1</x:v>
      </x:c>
      <x:c r="L1887" s="12" t="str">
        <x:v>由原件与原状态取得；仅主队列索引</x:v>
      </x:c>
      <x:c r="M1887" s="12"/>
      <x:c r="N1887" s="12"/>
      <x:c r="O1887" s="12"/>
    </x:row>
    <x:row r="1888" ht="39" customHeight="1">
      <x:c r="A1888" s="12" t="str">
        <x:v>20905</x:v>
      </x:c>
      <x:c r="B1888" s="12" t="str">
        <x:v>9731</x:v>
      </x:c>
      <x:c r="C1888" s="12" t="str">
        <x:v>参考000</x:v>
      </x:c>
      <x:c r="D1888" s="12" t="str">
        <x:v>自动000</x:v>
      </x:c>
      <x:c r="E1888" s="12" t="n">
        <x:v>0</x:v>
      </x:c>
      <x:c r="F1888" s="12" t="n">
        <x:v>0</x:v>
      </x:c>
      <x:c r="G1888" s="12" t="n">
        <x:v>0</x:v>
      </x:c>
      <x:c r="H1888" s="12" t="n">
        <x:f>IF(SUM(I1888:K1888)&gt;0,1,0)</x:f>
        <x:v>0</x:v>
      </x:c>
      <x:c r="I1888" s="12" t="n">
        <x:f>IF('患者配对'!M2143="positive",1,0)</x:f>
        <x:v>0</x:v>
      </x:c>
      <x:c r="J1888" s="12" t="n">
        <x:f>IF('患者配对'!R2143="positive",1,0)</x:f>
        <x:v>0</x:v>
      </x:c>
      <x:c r="K1888" s="12" t="n">
        <x:f>IF('患者配对'!W2143="positive",1,0)</x:f>
        <x:v>0</x:v>
      </x:c>
      <x:c r="L1888" s="12" t="str">
        <x:v>由原件与原状态取得；仅主队列索引</x:v>
      </x:c>
      <x:c r="M1888" s="12"/>
      <x:c r="N1888" s="12"/>
      <x:c r="O1888" s="12"/>
    </x:row>
    <x:row r="1889" ht="39" customHeight="1">
      <x:c r="A1889" s="12" t="str">
        <x:v>20939</x:v>
      </x:c>
      <x:c r="B1889" s="12" t="str">
        <x:v>13241</x:v>
      </x:c>
      <x:c r="C1889" s="12" t="str">
        <x:v>参考000</x:v>
      </x:c>
      <x:c r="D1889" s="12" t="str">
        <x:v>自动000</x:v>
      </x:c>
      <x:c r="E1889" s="12" t="n">
        <x:v>0</x:v>
      </x:c>
      <x:c r="F1889" s="12" t="n">
        <x:v>0</x:v>
      </x:c>
      <x:c r="G1889" s="12" t="n">
        <x:v>0</x:v>
      </x:c>
      <x:c r="H1889" s="12" t="n">
        <x:f>IF(SUM(I1889:K1889)&gt;0,1,0)</x:f>
        <x:v>0</x:v>
      </x:c>
      <x:c r="I1889" s="12" t="n">
        <x:f>IF('患者配对'!M2144="positive",1,0)</x:f>
        <x:v>0</x:v>
      </x:c>
      <x:c r="J1889" s="12" t="n">
        <x:f>IF('患者配对'!R2144="positive",1,0)</x:f>
        <x:v>0</x:v>
      </x:c>
      <x:c r="K1889" s="12" t="n">
        <x:f>IF('患者配对'!W2144="positive",1,0)</x:f>
        <x:v>0</x:v>
      </x:c>
      <x:c r="L1889" s="12" t="str">
        <x:v>由原件与原状态取得；仅主队列索引</x:v>
      </x:c>
      <x:c r="M1889" s="12"/>
      <x:c r="N1889" s="12"/>
      <x:c r="O1889" s="12"/>
    </x:row>
    <x:row r="1890" ht="39" customHeight="1">
      <x:c r="A1890" s="12" t="str">
        <x:v>20943</x:v>
      </x:c>
      <x:c r="B1890" s="12" t="str">
        <x:v>8542</x:v>
      </x:c>
      <x:c r="C1890" s="12" t="str">
        <x:v>参考000</x:v>
      </x:c>
      <x:c r="D1890" s="12" t="str">
        <x:v>自动000</x:v>
      </x:c>
      <x:c r="E1890" s="12" t="n">
        <x:v>0</x:v>
      </x:c>
      <x:c r="F1890" s="12" t="n">
        <x:v>0</x:v>
      </x:c>
      <x:c r="G1890" s="12" t="n">
        <x:v>0</x:v>
      </x:c>
      <x:c r="H1890" s="12" t="n">
        <x:f>IF(SUM(I1890:K1890)&gt;0,1,0)</x:f>
        <x:v>0</x:v>
      </x:c>
      <x:c r="I1890" s="12" t="n">
        <x:f>IF('患者配对'!M2145="positive",1,0)</x:f>
        <x:v>0</x:v>
      </x:c>
      <x:c r="J1890" s="12" t="n">
        <x:f>IF('患者配对'!R2145="positive",1,0)</x:f>
        <x:v>0</x:v>
      </x:c>
      <x:c r="K1890" s="12" t="n">
        <x:f>IF('患者配对'!W2145="positive",1,0)</x:f>
        <x:v>0</x:v>
      </x:c>
      <x:c r="L1890" s="12" t="str">
        <x:v>由原件与原状态取得；仅主队列索引</x:v>
      </x:c>
      <x:c r="M1890" s="12"/>
      <x:c r="N1890" s="12"/>
      <x:c r="O1890" s="12"/>
    </x:row>
    <x:row r="1891" ht="39" customHeight="1">
      <x:c r="A1891" s="12" t="str">
        <x:v>20950</x:v>
      </x:c>
      <x:c r="B1891" s="12" t="str">
        <x:v>9934</x:v>
      </x:c>
      <x:c r="C1891" s="12" t="str">
        <x:v>参考010</x:v>
      </x:c>
      <x:c r="D1891" s="12" t="str">
        <x:v>自动010</x:v>
      </x:c>
      <x:c r="E1891" s="12" t="n">
        <x:v>1</x:v>
      </x:c>
      <x:c r="F1891" s="12" t="n">
        <x:v>1</x:v>
      </x:c>
      <x:c r="G1891" s="12" t="n">
        <x:v>0</x:v>
      </x:c>
      <x:c r="H1891" s="12" t="n">
        <x:f>IF(SUM(I1891:K1891)&gt;0,1,0)</x:f>
        <x:v>1</x:v>
      </x:c>
      <x:c r="I1891" s="12" t="n">
        <x:f>IF('患者配对'!M2146="positive",1,0)</x:f>
        <x:v>0</x:v>
      </x:c>
      <x:c r="J1891" s="12" t="n">
        <x:f>IF('患者配对'!R2146="positive",1,0)</x:f>
        <x:v>1</x:v>
      </x:c>
      <x:c r="K1891" s="12" t="n">
        <x:f>IF('患者配对'!W2146="positive",1,0)</x:f>
        <x:v>0</x:v>
      </x:c>
      <x:c r="L1891" s="12" t="str">
        <x:v>由原件与原状态取得；仅主队列索引</x:v>
      </x:c>
      <x:c r="M1891" s="12"/>
      <x:c r="N1891" s="12"/>
      <x:c r="O1891" s="12"/>
    </x:row>
    <x:row r="1892" ht="39" customHeight="1">
      <x:c r="A1892" s="12" t="str">
        <x:v>20966</x:v>
      </x:c>
      <x:c r="B1892" s="12" t="str">
        <x:v>19420</x:v>
      </x:c>
      <x:c r="C1892" s="12" t="str">
        <x:v>参考110</x:v>
      </x:c>
      <x:c r="D1892" s="12" t="str">
        <x:v>自动110</x:v>
      </x:c>
      <x:c r="E1892" s="12" t="n">
        <x:v>1</x:v>
      </x:c>
      <x:c r="F1892" s="12" t="n">
        <x:v>1</x:v>
      </x:c>
      <x:c r="G1892" s="12" t="n">
        <x:v>0</x:v>
      </x:c>
      <x:c r="H1892" s="12" t="n">
        <x:f>IF(SUM(I1892:K1892)&gt;0,1,0)</x:f>
        <x:v>1</x:v>
      </x:c>
      <x:c r="I1892" s="12" t="n">
        <x:f>IF('患者配对'!M2148="positive",1,0)</x:f>
        <x:v>1</x:v>
      </x:c>
      <x:c r="J1892" s="12" t="n">
        <x:f>IF('患者配对'!R2148="positive",1,0)</x:f>
        <x:v>1</x:v>
      </x:c>
      <x:c r="K1892" s="12" t="n">
        <x:f>IF('患者配对'!W2148="positive",1,0)</x:f>
        <x:v>0</x:v>
      </x:c>
      <x:c r="L1892" s="12" t="str">
        <x:v>由原件与原状态取得；仅主队列索引</x:v>
      </x:c>
      <x:c r="M1892" s="12"/>
      <x:c r="N1892" s="12"/>
      <x:c r="O1892" s="12"/>
    </x:row>
    <x:row r="1893" ht="39" customHeight="1">
      <x:c r="A1893" s="12" t="str">
        <x:v>20974</x:v>
      </x:c>
      <x:c r="B1893" s="12" t="str">
        <x:v>15030</x:v>
      </x:c>
      <x:c r="C1893" s="12" t="str">
        <x:v>参考000</x:v>
      </x:c>
      <x:c r="D1893" s="12" t="str">
        <x:v>自动000</x:v>
      </x:c>
      <x:c r="E1893" s="12" t="n">
        <x:v>0</x:v>
      </x:c>
      <x:c r="F1893" s="12" t="n">
        <x:v>0</x:v>
      </x:c>
      <x:c r="G1893" s="12" t="n">
        <x:v>0</x:v>
      </x:c>
      <x:c r="H1893" s="12" t="n">
        <x:f>IF(SUM(I1893:K1893)&gt;0,1,0)</x:f>
        <x:v>0</x:v>
      </x:c>
      <x:c r="I1893" s="12" t="n">
        <x:f>IF('患者配对'!M2149="positive",1,0)</x:f>
        <x:v>0</x:v>
      </x:c>
      <x:c r="J1893" s="12" t="n">
        <x:f>IF('患者配对'!R2149="positive",1,0)</x:f>
        <x:v>0</x:v>
      </x:c>
      <x:c r="K1893" s="12" t="n">
        <x:f>IF('患者配对'!W2149="positive",1,0)</x:f>
        <x:v>0</x:v>
      </x:c>
      <x:c r="L1893" s="12" t="str">
        <x:v>由原件与原状态取得；仅主队列索引</x:v>
      </x:c>
      <x:c r="M1893" s="12"/>
      <x:c r="N1893" s="12"/>
      <x:c r="O1893" s="12"/>
    </x:row>
    <x:row r="1894" ht="39" customHeight="1">
      <x:c r="A1894" s="12" t="str">
        <x:v>21004</x:v>
      </x:c>
      <x:c r="B1894" s="12" t="str">
        <x:v>20912</x:v>
      </x:c>
      <x:c r="C1894" s="12" t="str">
        <x:v>参考000</x:v>
      </x:c>
      <x:c r="D1894" s="12" t="str">
        <x:v>自动000</x:v>
      </x:c>
      <x:c r="E1894" s="12" t="n">
        <x:v>0</x:v>
      </x:c>
      <x:c r="F1894" s="12" t="n">
        <x:v>1</x:v>
      </x:c>
      <x:c r="G1894" s="12" t="n">
        <x:v>0</x:v>
      </x:c>
      <x:c r="H1894" s="12" t="n">
        <x:f>IF(SUM(I1894:K1894)&gt;0,1,0)</x:f>
        <x:v>0</x:v>
      </x:c>
      <x:c r="I1894" s="12" t="n">
        <x:f>IF('患者配对'!M2150="positive",1,0)</x:f>
        <x:v>0</x:v>
      </x:c>
      <x:c r="J1894" s="12" t="n">
        <x:f>IF('患者配对'!R2150="positive",1,0)</x:f>
        <x:v>0</x:v>
      </x:c>
      <x:c r="K1894" s="12" t="n">
        <x:f>IF('患者配对'!W2150="positive",1,0)</x:f>
        <x:v>0</x:v>
      </x:c>
      <x:c r="L1894" s="12" t="str">
        <x:v>由原件与原状态取得；仅主队列索引</x:v>
      </x:c>
      <x:c r="M1894" s="12"/>
      <x:c r="N1894" s="12"/>
      <x:c r="O1894" s="12"/>
    </x:row>
    <x:row r="1895" ht="39" customHeight="1">
      <x:c r="A1895" s="12" t="str">
        <x:v>21021</x:v>
      </x:c>
      <x:c r="B1895" s="12" t="str">
        <x:v>14309</x:v>
      </x:c>
      <x:c r="C1895" s="12" t="str">
        <x:v>参考000</x:v>
      </x:c>
      <x:c r="D1895" s="12" t="str">
        <x:v>自动000</x:v>
      </x:c>
      <x:c r="E1895" s="12" t="n">
        <x:v>0</x:v>
      </x:c>
      <x:c r="F1895" s="12" t="n">
        <x:v>0</x:v>
      </x:c>
      <x:c r="G1895" s="12" t="n">
        <x:v>0</x:v>
      </x:c>
      <x:c r="H1895" s="12" t="n">
        <x:f>IF(SUM(I1895:K1895)&gt;0,1,0)</x:f>
        <x:v>0</x:v>
      </x:c>
      <x:c r="I1895" s="12" t="n">
        <x:f>IF('患者配对'!M2153="positive",1,0)</x:f>
        <x:v>0</x:v>
      </x:c>
      <x:c r="J1895" s="12" t="n">
        <x:f>IF('患者配对'!R2153="positive",1,0)</x:f>
        <x:v>0</x:v>
      </x:c>
      <x:c r="K1895" s="12" t="n">
        <x:f>IF('患者配对'!W2153="positive",1,0)</x:f>
        <x:v>0</x:v>
      </x:c>
      <x:c r="L1895" s="12" t="str">
        <x:v>由原件与原状态取得；仅主队列索引</x:v>
      </x:c>
      <x:c r="M1895" s="12"/>
      <x:c r="N1895" s="12"/>
      <x:c r="O1895" s="12"/>
    </x:row>
    <x:row r="1896" ht="39" customHeight="1">
      <x:c r="A1896" s="12" t="str">
        <x:v>21028</x:v>
      </x:c>
      <x:c r="B1896" s="12" t="str">
        <x:v>17351</x:v>
      </x:c>
      <x:c r="C1896" s="12" t="str">
        <x:v>参考000</x:v>
      </x:c>
      <x:c r="D1896" s="12" t="str">
        <x:v>自动000</x:v>
      </x:c>
      <x:c r="E1896" s="12" t="n">
        <x:v>0</x:v>
      </x:c>
      <x:c r="F1896" s="12" t="n">
        <x:v>0</x:v>
      </x:c>
      <x:c r="G1896" s="12" t="n">
        <x:v>0</x:v>
      </x:c>
      <x:c r="H1896" s="12" t="n">
        <x:f>IF(SUM(I1896:K1896)&gt;0,1,0)</x:f>
        <x:v>0</x:v>
      </x:c>
      <x:c r="I1896" s="12" t="n">
        <x:f>IF('患者配对'!M2154="positive",1,0)</x:f>
        <x:v>0</x:v>
      </x:c>
      <x:c r="J1896" s="12" t="n">
        <x:f>IF('患者配对'!R2154="positive",1,0)</x:f>
        <x:v>0</x:v>
      </x:c>
      <x:c r="K1896" s="12" t="n">
        <x:f>IF('患者配对'!W2154="positive",1,0)</x:f>
        <x:v>0</x:v>
      </x:c>
      <x:c r="L1896" s="12" t="str">
        <x:v>由原件与原状态取得；仅主队列索引</x:v>
      </x:c>
      <x:c r="M1896" s="12"/>
      <x:c r="N1896" s="12"/>
      <x:c r="O1896" s="12"/>
    </x:row>
    <x:row r="1897" ht="39" customHeight="1">
      <x:c r="A1897" s="12" t="str">
        <x:v>21036</x:v>
      </x:c>
      <x:c r="B1897" s="12" t="str">
        <x:v>19600</x:v>
      </x:c>
      <x:c r="C1897" s="12" t="str">
        <x:v>参考000</x:v>
      </x:c>
      <x:c r="D1897" s="12" t="str">
        <x:v>自动000</x:v>
      </x:c>
      <x:c r="E1897" s="12" t="n">
        <x:v>0</x:v>
      </x:c>
      <x:c r="F1897" s="12" t="n">
        <x:v>0</x:v>
      </x:c>
      <x:c r="G1897" s="12" t="n">
        <x:v>0</x:v>
      </x:c>
      <x:c r="H1897" s="12" t="n">
        <x:f>IF(SUM(I1897:K1897)&gt;0,1,0)</x:f>
        <x:v>0</x:v>
      </x:c>
      <x:c r="I1897" s="12" t="n">
        <x:f>IF('患者配对'!M2155="positive",1,0)</x:f>
        <x:v>0</x:v>
      </x:c>
      <x:c r="J1897" s="12" t="n">
        <x:f>IF('患者配对'!R2155="positive",1,0)</x:f>
        <x:v>0</x:v>
      </x:c>
      <x:c r="K1897" s="12" t="n">
        <x:f>IF('患者配对'!W2155="positive",1,0)</x:f>
        <x:v>0</x:v>
      </x:c>
      <x:c r="L1897" s="12" t="str">
        <x:v>由原件与原状态取得；仅主队列索引</x:v>
      </x:c>
      <x:c r="M1897" s="12"/>
      <x:c r="N1897" s="12"/>
      <x:c r="O1897" s="12"/>
    </x:row>
    <x:row r="1898" ht="39" customHeight="1">
      <x:c r="A1898" s="12" t="str">
        <x:v>21099</x:v>
      </x:c>
      <x:c r="B1898" s="12" t="str">
        <x:v>9076</x:v>
      </x:c>
      <x:c r="C1898" s="12" t="str">
        <x:v>参考000</x:v>
      </x:c>
      <x:c r="D1898" s="12" t="str">
        <x:v>自动000</x:v>
      </x:c>
      <x:c r="E1898" s="12" t="n">
        <x:v>0</x:v>
      </x:c>
      <x:c r="F1898" s="12" t="n">
        <x:v>0</x:v>
      </x:c>
      <x:c r="G1898" s="12" t="n">
        <x:v>0</x:v>
      </x:c>
      <x:c r="H1898" s="12" t="n">
        <x:f>IF(SUM(I1898:K1898)&gt;0,1,0)</x:f>
        <x:v>0</x:v>
      </x:c>
      <x:c r="I1898" s="12" t="n">
        <x:f>IF('患者配对'!M2159="positive",1,0)</x:f>
        <x:v>0</x:v>
      </x:c>
      <x:c r="J1898" s="12" t="n">
        <x:f>IF('患者配对'!R2159="positive",1,0)</x:f>
        <x:v>0</x:v>
      </x:c>
      <x:c r="K1898" s="12" t="n">
        <x:f>IF('患者配对'!W2159="positive",1,0)</x:f>
        <x:v>0</x:v>
      </x:c>
      <x:c r="L1898" s="12" t="str">
        <x:v>由原件与原状态取得；仅主队列索引</x:v>
      </x:c>
      <x:c r="M1898" s="12"/>
      <x:c r="N1898" s="12"/>
      <x:c r="O1898" s="12"/>
    </x:row>
    <x:row r="1899" ht="39" customHeight="1">
      <x:c r="A1899" s="12" t="str">
        <x:v>21104</x:v>
      </x:c>
      <x:c r="B1899" s="12" t="str">
        <x:v>21200</x:v>
      </x:c>
      <x:c r="C1899" s="12" t="str">
        <x:v>参考000</x:v>
      </x:c>
      <x:c r="D1899" s="12" t="str">
        <x:v>自动000</x:v>
      </x:c>
      <x:c r="E1899" s="12" t="n">
        <x:v>0</x:v>
      </x:c>
      <x:c r="F1899" s="12" t="n">
        <x:v>0</x:v>
      </x:c>
      <x:c r="G1899" s="12" t="n">
        <x:v>0</x:v>
      </x:c>
      <x:c r="H1899" s="12" t="n">
        <x:f>IF(SUM(I1899:K1899)&gt;0,1,0)</x:f>
        <x:v>0</x:v>
      </x:c>
      <x:c r="I1899" s="12" t="n">
        <x:f>IF('患者配对'!M2160="positive",1,0)</x:f>
        <x:v>0</x:v>
      </x:c>
      <x:c r="J1899" s="12" t="n">
        <x:f>IF('患者配对'!R2160="positive",1,0)</x:f>
        <x:v>0</x:v>
      </x:c>
      <x:c r="K1899" s="12" t="n">
        <x:f>IF('患者配对'!W2160="positive",1,0)</x:f>
        <x:v>0</x:v>
      </x:c>
      <x:c r="L1899" s="12" t="str">
        <x:v>由原件与原状态取得；仅主队列索引</x:v>
      </x:c>
      <x:c r="M1899" s="12"/>
      <x:c r="N1899" s="12"/>
      <x:c r="O1899" s="12"/>
    </x:row>
    <x:row r="1900" ht="39" customHeight="1">
      <x:c r="A1900" s="12" t="str">
        <x:v>21111</x:v>
      </x:c>
      <x:c r="B1900" s="12" t="str">
        <x:v>15897</x:v>
      </x:c>
      <x:c r="C1900" s="12" t="str">
        <x:v>参考001</x:v>
      </x:c>
      <x:c r="D1900" s="12" t="str">
        <x:v>自动001</x:v>
      </x:c>
      <x:c r="E1900" s="12" t="n">
        <x:v>1</x:v>
      </x:c>
      <x:c r="F1900" s="12" t="n">
        <x:v>1</x:v>
      </x:c>
      <x:c r="G1900" s="12" t="n">
        <x:v>0</x:v>
      </x:c>
      <x:c r="H1900" s="12" t="n">
        <x:f>IF(SUM(I1900:K1900)&gt;0,1,0)</x:f>
        <x:v>1</x:v>
      </x:c>
      <x:c r="I1900" s="12" t="n">
        <x:f>IF('患者配对'!M2161="positive",1,0)</x:f>
        <x:v>0</x:v>
      </x:c>
      <x:c r="J1900" s="12" t="n">
        <x:f>IF('患者配对'!R2161="positive",1,0)</x:f>
        <x:v>0</x:v>
      </x:c>
      <x:c r="K1900" s="12" t="n">
        <x:f>IF('患者配对'!W2161="positive",1,0)</x:f>
        <x:v>1</x:v>
      </x:c>
      <x:c r="L1900" s="12" t="str">
        <x:v>由原件与原状态取得；仅主队列索引</x:v>
      </x:c>
      <x:c r="M1900" s="12"/>
      <x:c r="N1900" s="12"/>
      <x:c r="O1900" s="12"/>
    </x:row>
    <x:row r="1901" ht="39" customHeight="1">
      <x:c r="A1901" s="12" t="str">
        <x:v>21148</x:v>
      </x:c>
      <x:c r="B1901" s="12" t="str">
        <x:v>17570</x:v>
      </x:c>
      <x:c r="C1901" s="12" t="str">
        <x:v>参考010</x:v>
      </x:c>
      <x:c r="D1901" s="12" t="str">
        <x:v>自动010</x:v>
      </x:c>
      <x:c r="E1901" s="12" t="n">
        <x:v>1</x:v>
      </x:c>
      <x:c r="F1901" s="12" t="n">
        <x:v>1</x:v>
      </x:c>
      <x:c r="G1901" s="12" t="n">
        <x:v>0</x:v>
      </x:c>
      <x:c r="H1901" s="12" t="n">
        <x:f>IF(SUM(I1901:K1901)&gt;0,1,0)</x:f>
        <x:v>1</x:v>
      </x:c>
      <x:c r="I1901" s="12" t="n">
        <x:f>IF('患者配对'!M2162="positive",1,0)</x:f>
        <x:v>0</x:v>
      </x:c>
      <x:c r="J1901" s="12" t="n">
        <x:f>IF('患者配对'!R2162="positive",1,0)</x:f>
        <x:v>1</x:v>
      </x:c>
      <x:c r="K1901" s="12" t="n">
        <x:f>IF('患者配对'!W2162="positive",1,0)</x:f>
        <x:v>0</x:v>
      </x:c>
      <x:c r="L1901" s="12" t="str">
        <x:v>由原件与原状态取得；仅主队列索引</x:v>
      </x:c>
      <x:c r="M1901" s="12"/>
      <x:c r="N1901" s="12"/>
      <x:c r="O1901" s="12"/>
    </x:row>
    <x:row r="1902" ht="39" customHeight="1">
      <x:c r="A1902" s="12" t="str">
        <x:v>21173</x:v>
      </x:c>
      <x:c r="B1902" s="12" t="str">
        <x:v>9309</x:v>
      </x:c>
      <x:c r="C1902" s="12" t="str">
        <x:v>参考000</x:v>
      </x:c>
      <x:c r="D1902" s="12" t="str">
        <x:v>自动000</x:v>
      </x:c>
      <x:c r="E1902" s="12" t="n">
        <x:v>0</x:v>
      </x:c>
      <x:c r="F1902" s="12" t="n">
        <x:v>0</x:v>
      </x:c>
      <x:c r="G1902" s="12" t="n">
        <x:v>0</x:v>
      </x:c>
      <x:c r="H1902" s="12" t="n">
        <x:f>IF(SUM(I1902:K1902)&gt;0,1,0)</x:f>
        <x:v>0</x:v>
      </x:c>
      <x:c r="I1902" s="12" t="n">
        <x:f>IF('患者配对'!M2164="positive",1,0)</x:f>
        <x:v>0</x:v>
      </x:c>
      <x:c r="J1902" s="12" t="n">
        <x:f>IF('患者配对'!R2164="positive",1,0)</x:f>
        <x:v>0</x:v>
      </x:c>
      <x:c r="K1902" s="12" t="n">
        <x:f>IF('患者配对'!W2164="positive",1,0)</x:f>
        <x:v>0</x:v>
      </x:c>
      <x:c r="L1902" s="12" t="str">
        <x:v>由原件与原状态取得；仅主队列索引</x:v>
      </x:c>
      <x:c r="M1902" s="12"/>
      <x:c r="N1902" s="12"/>
      <x:c r="O1902" s="12"/>
    </x:row>
    <x:row r="1903" ht="39" customHeight="1">
      <x:c r="A1903" s="12" t="str">
        <x:v>21205</x:v>
      </x:c>
      <x:c r="B1903" s="12" t="str">
        <x:v>16858</x:v>
      </x:c>
      <x:c r="C1903" s="12" t="str">
        <x:v>参考100</x:v>
      </x:c>
      <x:c r="D1903" s="12" t="str">
        <x:v>自动100</x:v>
      </x:c>
      <x:c r="E1903" s="12" t="n">
        <x:v>1</x:v>
      </x:c>
      <x:c r="F1903" s="12" t="n">
        <x:v>1</x:v>
      </x:c>
      <x:c r="G1903" s="12" t="n">
        <x:v>0</x:v>
      </x:c>
      <x:c r="H1903" s="12" t="n">
        <x:f>IF(SUM(I1903:K1903)&gt;0,1,0)</x:f>
        <x:v>1</x:v>
      </x:c>
      <x:c r="I1903" s="12" t="n">
        <x:f>IF('患者配对'!M2167="positive",1,0)</x:f>
        <x:v>1</x:v>
      </x:c>
      <x:c r="J1903" s="12" t="n">
        <x:f>IF('患者配对'!R2167="positive",1,0)</x:f>
        <x:v>0</x:v>
      </x:c>
      <x:c r="K1903" s="12" t="n">
        <x:f>IF('患者配对'!W2167="positive",1,0)</x:f>
        <x:v>0</x:v>
      </x:c>
      <x:c r="L1903" s="12" t="str">
        <x:v>由原件与原状态取得；仅主队列索引</x:v>
      </x:c>
      <x:c r="M1903" s="12"/>
      <x:c r="N1903" s="12"/>
      <x:c r="O1903" s="12"/>
    </x:row>
    <x:row r="1904" ht="39" customHeight="1">
      <x:c r="A1904" s="12" t="str">
        <x:v>21306</x:v>
      </x:c>
      <x:c r="B1904" s="12" t="str">
        <x:v>20430</x:v>
      </x:c>
      <x:c r="C1904" s="12" t="str">
        <x:v>参考000</x:v>
      </x:c>
      <x:c r="D1904" s="12" t="str">
        <x:v>自动000</x:v>
      </x:c>
      <x:c r="E1904" s="12" t="n">
        <x:v>0</x:v>
      </x:c>
      <x:c r="F1904" s="12" t="n">
        <x:v>1</x:v>
      </x:c>
      <x:c r="G1904" s="12" t="n">
        <x:v>0</x:v>
      </x:c>
      <x:c r="H1904" s="12" t="n">
        <x:f>IF(SUM(I1904:K1904)&gt;0,1,0)</x:f>
        <x:v>0</x:v>
      </x:c>
      <x:c r="I1904" s="12" t="n">
        <x:f>IF('患者配对'!M2168="positive",1,0)</x:f>
        <x:v>0</x:v>
      </x:c>
      <x:c r="J1904" s="12" t="n">
        <x:f>IF('患者配对'!R2168="positive",1,0)</x:f>
        <x:v>0</x:v>
      </x:c>
      <x:c r="K1904" s="12" t="n">
        <x:f>IF('患者配对'!W2168="positive",1,0)</x:f>
        <x:v>0</x:v>
      </x:c>
      <x:c r="L1904" s="12" t="str">
        <x:v>由原件与原状态取得；仅主队列索引</x:v>
      </x:c>
      <x:c r="M1904" s="12"/>
      <x:c r="N1904" s="12"/>
      <x:c r="O1904" s="12"/>
    </x:row>
    <x:row r="1905" ht="39" customHeight="1">
      <x:c r="A1905" s="12" t="str">
        <x:v>21325</x:v>
      </x:c>
      <x:c r="B1905" s="12" t="str">
        <x:v>17347</x:v>
      </x:c>
      <x:c r="C1905" s="12" t="str">
        <x:v>参考000</x:v>
      </x:c>
      <x:c r="D1905" s="12" t="str">
        <x:v>自动000</x:v>
      </x:c>
      <x:c r="E1905" s="12" t="n">
        <x:v>0</x:v>
      </x:c>
      <x:c r="F1905" s="12" t="n">
        <x:v>1</x:v>
      </x:c>
      <x:c r="G1905" s="12" t="n">
        <x:v>0</x:v>
      </x:c>
      <x:c r="H1905" s="12" t="n">
        <x:f>IF(SUM(I1905:K1905)&gt;0,1,0)</x:f>
        <x:v>0</x:v>
      </x:c>
      <x:c r="I1905" s="12" t="n">
        <x:f>IF('患者配对'!M2169="positive",1,0)</x:f>
        <x:v>0</x:v>
      </x:c>
      <x:c r="J1905" s="12" t="n">
        <x:f>IF('患者配对'!R2169="positive",1,0)</x:f>
        <x:v>0</x:v>
      </x:c>
      <x:c r="K1905" s="12" t="n">
        <x:f>IF('患者配对'!W2169="positive",1,0)</x:f>
        <x:v>0</x:v>
      </x:c>
      <x:c r="L1905" s="12" t="str">
        <x:v>由原件与原状态取得；仅主队列索引</x:v>
      </x:c>
      <x:c r="M1905" s="12"/>
      <x:c r="N1905" s="12"/>
      <x:c r="O1905" s="12"/>
    </x:row>
    <x:row r="1906" ht="39" customHeight="1">
      <x:c r="A1906" s="12" t="str">
        <x:v>21363</x:v>
      </x:c>
      <x:c r="B1906" s="12" t="str">
        <x:v>13640</x:v>
      </x:c>
      <x:c r="C1906" s="12" t="str">
        <x:v>参考100</x:v>
      </x:c>
      <x:c r="D1906" s="12" t="str">
        <x:v>自动100</x:v>
      </x:c>
      <x:c r="E1906" s="12" t="n">
        <x:v>1</x:v>
      </x:c>
      <x:c r="F1906" s="12" t="n">
        <x:v>1</x:v>
      </x:c>
      <x:c r="G1906" s="12" t="n">
        <x:v>0</x:v>
      </x:c>
      <x:c r="H1906" s="12" t="n">
        <x:f>IF(SUM(I1906:K1906)&gt;0,1,0)</x:f>
        <x:v>1</x:v>
      </x:c>
      <x:c r="I1906" s="12" t="n">
        <x:f>IF('患者配对'!M2170="positive",1,0)</x:f>
        <x:v>1</x:v>
      </x:c>
      <x:c r="J1906" s="12" t="n">
        <x:f>IF('患者配对'!R2170="positive",1,0)</x:f>
        <x:v>0</x:v>
      </x:c>
      <x:c r="K1906" s="12" t="n">
        <x:f>IF('患者配对'!W2170="positive",1,0)</x:f>
        <x:v>0</x:v>
      </x:c>
      <x:c r="L1906" s="12" t="str">
        <x:v>由原件与原状态取得；仅主队列索引</x:v>
      </x:c>
      <x:c r="M1906" s="12"/>
      <x:c r="N1906" s="12"/>
      <x:c r="O1906" s="12"/>
    </x:row>
    <x:row r="1907" ht="39" customHeight="1">
      <x:c r="A1907" s="12" t="str">
        <x:v>21385</x:v>
      </x:c>
      <x:c r="B1907" s="12" t="str">
        <x:v>11287</x:v>
      </x:c>
      <x:c r="C1907" s="12" t="str">
        <x:v>参考000</x:v>
      </x:c>
      <x:c r="D1907" s="12" t="str">
        <x:v>自动000</x:v>
      </x:c>
      <x:c r="E1907" s="12" t="n">
        <x:v>0</x:v>
      </x:c>
      <x:c r="F1907" s="12" t="n">
        <x:v>0</x:v>
      </x:c>
      <x:c r="G1907" s="12" t="n">
        <x:v>0</x:v>
      </x:c>
      <x:c r="H1907" s="12" t="n">
        <x:f>IF(SUM(I1907:K1907)&gt;0,1,0)</x:f>
        <x:v>0</x:v>
      </x:c>
      <x:c r="I1907" s="12" t="n">
        <x:f>IF('患者配对'!M2171="positive",1,0)</x:f>
        <x:v>0</x:v>
      </x:c>
      <x:c r="J1907" s="12" t="n">
        <x:f>IF('患者配对'!R2171="positive",1,0)</x:f>
        <x:v>0</x:v>
      </x:c>
      <x:c r="K1907" s="12" t="n">
        <x:f>IF('患者配对'!W2171="positive",1,0)</x:f>
        <x:v>0</x:v>
      </x:c>
      <x:c r="L1907" s="12" t="str">
        <x:v>由原件与原状态取得；仅主队列索引</x:v>
      </x:c>
      <x:c r="M1907" s="12"/>
      <x:c r="N1907" s="12"/>
      <x:c r="O1907" s="12"/>
    </x:row>
    <x:row r="1908" ht="39" customHeight="1">
      <x:c r="A1908" s="12" t="str">
        <x:v>21391</x:v>
      </x:c>
      <x:c r="B1908" s="12" t="str">
        <x:v>8700</x:v>
      </x:c>
      <x:c r="C1908" s="12" t="str">
        <x:v>参考000</x:v>
      </x:c>
      <x:c r="D1908" s="12" t="str">
        <x:v>自动000</x:v>
      </x:c>
      <x:c r="E1908" s="12" t="n">
        <x:v>0</x:v>
      </x:c>
      <x:c r="F1908" s="12" t="n">
        <x:v>0</x:v>
      </x:c>
      <x:c r="G1908" s="12" t="n">
        <x:v>0</x:v>
      </x:c>
      <x:c r="H1908" s="12" t="n">
        <x:f>IF(SUM(I1908:K1908)&gt;0,1,0)</x:f>
        <x:v>0</x:v>
      </x:c>
      <x:c r="I1908" s="12" t="n">
        <x:f>IF('患者配对'!M2172="positive",1,0)</x:f>
        <x:v>0</x:v>
      </x:c>
      <x:c r="J1908" s="12" t="n">
        <x:f>IF('患者配对'!R2172="positive",1,0)</x:f>
        <x:v>0</x:v>
      </x:c>
      <x:c r="K1908" s="12" t="n">
        <x:f>IF('患者配对'!W2172="positive",1,0)</x:f>
        <x:v>0</x:v>
      </x:c>
      <x:c r="L1908" s="12" t="str">
        <x:v>由原件与原状态取得；仅主队列索引</x:v>
      </x:c>
      <x:c r="M1908" s="12"/>
      <x:c r="N1908" s="12"/>
      <x:c r="O1908" s="12"/>
    </x:row>
    <x:row r="1909" ht="39" customHeight="1">
      <x:c r="A1909" s="12" t="str">
        <x:v>21431</x:v>
      </x:c>
      <x:c r="B1909" s="12" t="str">
        <x:v>19115</x:v>
      </x:c>
      <x:c r="C1909" s="12" t="str">
        <x:v>参考100</x:v>
      </x:c>
      <x:c r="D1909" s="12" t="str">
        <x:v>自动100</x:v>
      </x:c>
      <x:c r="E1909" s="12" t="n">
        <x:v>1</x:v>
      </x:c>
      <x:c r="F1909" s="12" t="n">
        <x:v>1</x:v>
      </x:c>
      <x:c r="G1909" s="12" t="n">
        <x:v>0</x:v>
      </x:c>
      <x:c r="H1909" s="12" t="n">
        <x:f>IF(SUM(I1909:K1909)&gt;0,1,0)</x:f>
        <x:v>1</x:v>
      </x:c>
      <x:c r="I1909" s="12" t="n">
        <x:f>IF('患者配对'!M2173="positive",1,0)</x:f>
        <x:v>1</x:v>
      </x:c>
      <x:c r="J1909" s="12" t="n">
        <x:f>IF('患者配对'!R2173="positive",1,0)</x:f>
        <x:v>0</x:v>
      </x:c>
      <x:c r="K1909" s="12" t="n">
        <x:f>IF('患者配对'!W2173="positive",1,0)</x:f>
        <x:v>0</x:v>
      </x:c>
      <x:c r="L1909" s="12" t="str">
        <x:v>由原件与原状态取得；仅主队列索引</x:v>
      </x:c>
      <x:c r="M1909" s="12"/>
      <x:c r="N1909" s="12"/>
      <x:c r="O1909" s="12"/>
    </x:row>
    <x:row r="1910" ht="39" customHeight="1">
      <x:c r="A1910" s="12" t="str">
        <x:v>21444</x:v>
      </x:c>
      <x:c r="B1910" s="12" t="str">
        <x:v>20461</x:v>
      </x:c>
      <x:c r="C1910" s="12" t="str">
        <x:v>参考000</x:v>
      </x:c>
      <x:c r="D1910" s="12" t="str">
        <x:v>自动000</x:v>
      </x:c>
      <x:c r="E1910" s="12" t="n">
        <x:v>0</x:v>
      </x:c>
      <x:c r="F1910" s="12" t="n">
        <x:v>0</x:v>
      </x:c>
      <x:c r="G1910" s="12" t="n">
        <x:v>0</x:v>
      </x:c>
      <x:c r="H1910" s="12" t="n">
        <x:f>IF(SUM(I1910:K1910)&gt;0,1,0)</x:f>
        <x:v>0</x:v>
      </x:c>
      <x:c r="I1910" s="12" t="n">
        <x:f>IF('患者配对'!M2174="positive",1,0)</x:f>
        <x:v>0</x:v>
      </x:c>
      <x:c r="J1910" s="12" t="n">
        <x:f>IF('患者配对'!R2174="positive",1,0)</x:f>
        <x:v>0</x:v>
      </x:c>
      <x:c r="K1910" s="12" t="n">
        <x:f>IF('患者配对'!W2174="positive",1,0)</x:f>
        <x:v>0</x:v>
      </x:c>
      <x:c r="L1910" s="12" t="str">
        <x:v>由原件与原状态取得；仅主队列索引</x:v>
      </x:c>
      <x:c r="M1910" s="12"/>
      <x:c r="N1910" s="12"/>
      <x:c r="O1910" s="12"/>
    </x:row>
    <x:row r="1911" ht="39" customHeight="1">
      <x:c r="A1911" s="12" t="str">
        <x:v>21555</x:v>
      </x:c>
      <x:c r="B1911" s="12" t="str">
        <x:v>15028</x:v>
      </x:c>
      <x:c r="C1911" s="12" t="str">
        <x:v>参考000</x:v>
      </x:c>
      <x:c r="D1911" s="12" t="str">
        <x:v>自动000</x:v>
      </x:c>
      <x:c r="E1911" s="12" t="n">
        <x:v>0</x:v>
      </x:c>
      <x:c r="F1911" s="12" t="n">
        <x:v>0</x:v>
      </x:c>
      <x:c r="G1911" s="12" t="n">
        <x:v>0</x:v>
      </x:c>
      <x:c r="H1911" s="12" t="n">
        <x:f>IF(SUM(I1911:K1911)&gt;0,1,0)</x:f>
        <x:v>0</x:v>
      </x:c>
      <x:c r="I1911" s="12" t="n">
        <x:f>IF('患者配对'!M2175="positive",1,0)</x:f>
        <x:v>0</x:v>
      </x:c>
      <x:c r="J1911" s="12" t="n">
        <x:f>IF('患者配对'!R2175="positive",1,0)</x:f>
        <x:v>0</x:v>
      </x:c>
      <x:c r="K1911" s="12" t="n">
        <x:f>IF('患者配对'!W2175="positive",1,0)</x:f>
        <x:v>0</x:v>
      </x:c>
      <x:c r="L1911" s="12" t="str">
        <x:v>由原件与原状态取得；仅主队列索引</x:v>
      </x:c>
      <x:c r="M1911" s="12"/>
      <x:c r="N1911" s="12"/>
      <x:c r="O1911" s="12"/>
    </x:row>
    <x:row r="1912" ht="39" customHeight="1">
      <x:c r="A1912" s="12" t="str">
        <x:v>21584</x:v>
      </x:c>
      <x:c r="B1912" s="12" t="str">
        <x:v>14848</x:v>
      </x:c>
      <x:c r="C1912" s="12" t="str">
        <x:v>参考000</x:v>
      </x:c>
      <x:c r="D1912" s="12" t="str">
        <x:v>自动000</x:v>
      </x:c>
      <x:c r="E1912" s="12" t="n">
        <x:v>0</x:v>
      </x:c>
      <x:c r="F1912" s="12" t="n">
        <x:v>1</x:v>
      </x:c>
      <x:c r="G1912" s="12" t="n">
        <x:v>0</x:v>
      </x:c>
      <x:c r="H1912" s="12" t="n">
        <x:f>IF(SUM(I1912:K1912)&gt;0,1,0)</x:f>
        <x:v>0</x:v>
      </x:c>
      <x:c r="I1912" s="12" t="n">
        <x:f>IF('患者配对'!M2176="positive",1,0)</x:f>
        <x:v>0</x:v>
      </x:c>
      <x:c r="J1912" s="12" t="n">
        <x:f>IF('患者配对'!R2176="positive",1,0)</x:f>
        <x:v>0</x:v>
      </x:c>
      <x:c r="K1912" s="12" t="n">
        <x:f>IF('患者配对'!W2176="positive",1,0)</x:f>
        <x:v>0</x:v>
      </x:c>
      <x:c r="L1912" s="12" t="str">
        <x:v>由原件与原状态取得；仅主队列索引</x:v>
      </x:c>
      <x:c r="M1912" s="12"/>
      <x:c r="N1912" s="12"/>
      <x:c r="O1912" s="12"/>
    </x:row>
    <x:row r="1913" ht="39" customHeight="1">
      <x:c r="A1913" s="12" t="str">
        <x:v>21622</x:v>
      </x:c>
      <x:c r="B1913" s="12" t="str">
        <x:v>10552</x:v>
      </x:c>
      <x:c r="C1913" s="12" t="str">
        <x:v>参考000</x:v>
      </x:c>
      <x:c r="D1913" s="12" t="str">
        <x:v>自动000</x:v>
      </x:c>
      <x:c r="E1913" s="12" t="n">
        <x:v>0</x:v>
      </x:c>
      <x:c r="F1913" s="12" t="n">
        <x:v>0</x:v>
      </x:c>
      <x:c r="G1913" s="12" t="n">
        <x:v>0</x:v>
      </x:c>
      <x:c r="H1913" s="12" t="n">
        <x:f>IF(SUM(I1913:K1913)&gt;0,1,0)</x:f>
        <x:v>0</x:v>
      </x:c>
      <x:c r="I1913" s="12" t="n">
        <x:f>IF('患者配对'!M2177="positive",1,0)</x:f>
        <x:v>0</x:v>
      </x:c>
      <x:c r="J1913" s="12" t="n">
        <x:f>IF('患者配对'!R2177="positive",1,0)</x:f>
        <x:v>0</x:v>
      </x:c>
      <x:c r="K1913" s="12" t="n">
        <x:f>IF('患者配对'!W2177="positive",1,0)</x:f>
        <x:v>0</x:v>
      </x:c>
      <x:c r="L1913" s="12" t="str">
        <x:v>由原件与原状态取得；仅主队列索引</x:v>
      </x:c>
      <x:c r="M1913" s="12"/>
      <x:c r="N1913" s="12"/>
      <x:c r="O1913" s="12"/>
    </x:row>
    <x:row r="1914" ht="39" customHeight="1">
      <x:c r="A1914" s="12" t="str">
        <x:v>21673</x:v>
      </x:c>
      <x:c r="B1914" s="12" t="str">
        <x:v>12998</x:v>
      </x:c>
      <x:c r="C1914" s="12" t="str">
        <x:v>参考100</x:v>
      </x:c>
      <x:c r="D1914" s="12" t="str">
        <x:v>自动100</x:v>
      </x:c>
      <x:c r="E1914" s="12" t="n">
        <x:v>1</x:v>
      </x:c>
      <x:c r="F1914" s="12" t="n">
        <x:v>1</x:v>
      </x:c>
      <x:c r="G1914" s="12" t="n">
        <x:v>0</x:v>
      </x:c>
      <x:c r="H1914" s="12" t="n">
        <x:f>IF(SUM(I1914:K1914)&gt;0,1,0)</x:f>
        <x:v>1</x:v>
      </x:c>
      <x:c r="I1914" s="12" t="n">
        <x:f>IF('患者配对'!M2178="positive",1,0)</x:f>
        <x:v>1</x:v>
      </x:c>
      <x:c r="J1914" s="12" t="n">
        <x:f>IF('患者配对'!R2178="positive",1,0)</x:f>
        <x:v>0</x:v>
      </x:c>
      <x:c r="K1914" s="12" t="n">
        <x:f>IF('患者配对'!W2178="positive",1,0)</x:f>
        <x:v>0</x:v>
      </x:c>
      <x:c r="L1914" s="12" t="str">
        <x:v>由原件与原状态取得；仅主队列索引</x:v>
      </x:c>
      <x:c r="M1914" s="12"/>
      <x:c r="N1914" s="12"/>
      <x:c r="O1914" s="12"/>
    </x:row>
    <x:row r="1915" ht="39" customHeight="1">
      <x:c r="A1915" s="12" t="str">
        <x:v>21764</x:v>
      </x:c>
      <x:c r="B1915" s="12" t="str">
        <x:v>12154</x:v>
      </x:c>
      <x:c r="C1915" s="12" t="str">
        <x:v>参考000</x:v>
      </x:c>
      <x:c r="D1915" s="12" t="str">
        <x:v>自动000</x:v>
      </x:c>
      <x:c r="E1915" s="12" t="n">
        <x:v>0</x:v>
      </x:c>
      <x:c r="F1915" s="12" t="n">
        <x:v>0</x:v>
      </x:c>
      <x:c r="G1915" s="12" t="n">
        <x:v>0</x:v>
      </x:c>
      <x:c r="H1915" s="12" t="n">
        <x:f>IF(SUM(I1915:K1915)&gt;0,1,0)</x:f>
        <x:v>0</x:v>
      </x:c>
      <x:c r="I1915" s="12" t="n">
        <x:f>IF('患者配对'!M2180="positive",1,0)</x:f>
        <x:v>0</x:v>
      </x:c>
      <x:c r="J1915" s="12" t="n">
        <x:f>IF('患者配对'!R2180="positive",1,0)</x:f>
        <x:v>0</x:v>
      </x:c>
      <x:c r="K1915" s="12" t="n">
        <x:f>IF('患者配对'!W2180="positive",1,0)</x:f>
        <x:v>0</x:v>
      </x:c>
      <x:c r="L1915" s="12" t="str">
        <x:v>由原件与原状态取得；仅主队列索引</x:v>
      </x:c>
      <x:c r="M1915" s="12"/>
      <x:c r="N1915" s="12"/>
      <x:c r="O1915" s="12"/>
    </x:row>
    <x:row r="1916" ht="39" customHeight="1">
      <x:c r="A1916" s="12" t="str">
        <x:v>21796</x:v>
      </x:c>
      <x:c r="B1916" s="12" t="str">
        <x:v>17746</x:v>
      </x:c>
      <x:c r="C1916" s="12" t="str">
        <x:v>参考100</x:v>
      </x:c>
      <x:c r="D1916" s="12" t="str">
        <x:v>自动100</x:v>
      </x:c>
      <x:c r="E1916" s="12" t="n">
        <x:v>1</x:v>
      </x:c>
      <x:c r="F1916" s="12" t="n">
        <x:v>1</x:v>
      </x:c>
      <x:c r="G1916" s="12" t="n">
        <x:v>0</x:v>
      </x:c>
      <x:c r="H1916" s="12" t="n">
        <x:f>IF(SUM(I1916:K1916)&gt;0,1,0)</x:f>
        <x:v>1</x:v>
      </x:c>
      <x:c r="I1916" s="12" t="n">
        <x:f>IF('患者配对'!M2181="positive",1,0)</x:f>
        <x:v>1</x:v>
      </x:c>
      <x:c r="J1916" s="12" t="n">
        <x:f>IF('患者配对'!R2181="positive",1,0)</x:f>
        <x:v>0</x:v>
      </x:c>
      <x:c r="K1916" s="12" t="n">
        <x:f>IF('患者配对'!W2181="positive",1,0)</x:f>
        <x:v>0</x:v>
      </x:c>
      <x:c r="L1916" s="12" t="str">
        <x:v>由原件与原状态取得；仅主队列索引</x:v>
      </x:c>
      <x:c r="M1916" s="12"/>
      <x:c r="N1916" s="12"/>
      <x:c r="O1916" s="12"/>
    </x:row>
    <x:row r="1917" ht="39" customHeight="1">
      <x:c r="A1917" s="12" t="str">
        <x:v>21809</x:v>
      </x:c>
      <x:c r="B1917" s="12" t="str">
        <x:v>12931</x:v>
      </x:c>
      <x:c r="C1917" s="12" t="str">
        <x:v>参考000</x:v>
      </x:c>
      <x:c r="D1917" s="12" t="str">
        <x:v>自动000</x:v>
      </x:c>
      <x:c r="E1917" s="12" t="n">
        <x:v>0</x:v>
      </x:c>
      <x:c r="F1917" s="12" t="n">
        <x:v>0</x:v>
      </x:c>
      <x:c r="G1917" s="12" t="n">
        <x:v>0</x:v>
      </x:c>
      <x:c r="H1917" s="12" t="n">
        <x:f>IF(SUM(I1917:K1917)&gt;0,1,0)</x:f>
        <x:v>0</x:v>
      </x:c>
      <x:c r="I1917" s="12" t="n">
        <x:f>IF('患者配对'!M2182="positive",1,0)</x:f>
        <x:v>0</x:v>
      </x:c>
      <x:c r="J1917" s="12" t="n">
        <x:f>IF('患者配对'!R2182="positive",1,0)</x:f>
        <x:v>0</x:v>
      </x:c>
      <x:c r="K1917" s="12" t="n">
        <x:f>IF('患者配对'!W2182="positive",1,0)</x:f>
        <x:v>0</x:v>
      </x:c>
      <x:c r="L1917" s="12" t="str">
        <x:v>由原件与原状态取得；仅主队列索引</x:v>
      </x:c>
      <x:c r="M1917" s="12"/>
      <x:c r="N1917" s="12"/>
      <x:c r="O1917" s="12"/>
    </x:row>
    <x:row r="1918" ht="39" customHeight="1">
      <x:c r="A1918" s="12" t="str">
        <x:v>21812</x:v>
      </x:c>
      <x:c r="B1918" s="12" t="str">
        <x:v>20789</x:v>
      </x:c>
      <x:c r="C1918" s="12" t="str">
        <x:v>参考001</x:v>
      </x:c>
      <x:c r="D1918" s="12" t="str">
        <x:v>自动001</x:v>
      </x:c>
      <x:c r="E1918" s="12" t="n">
        <x:v>1</x:v>
      </x:c>
      <x:c r="F1918" s="12" t="n">
        <x:v>1</x:v>
      </x:c>
      <x:c r="G1918" s="12" t="n">
        <x:v>0</x:v>
      </x:c>
      <x:c r="H1918" s="12" t="n">
        <x:f>IF(SUM(I1918:K1918)&gt;0,1,0)</x:f>
        <x:v>1</x:v>
      </x:c>
      <x:c r="I1918" s="12" t="n">
        <x:f>IF('患者配对'!M2183="positive",1,0)</x:f>
        <x:v>0</x:v>
      </x:c>
      <x:c r="J1918" s="12" t="n">
        <x:f>IF('患者配对'!R2183="positive",1,0)</x:f>
        <x:v>0</x:v>
      </x:c>
      <x:c r="K1918" s="12" t="n">
        <x:f>IF('患者配对'!W2183="positive",1,0)</x:f>
        <x:v>1</x:v>
      </x:c>
      <x:c r="L1918" s="12" t="str">
        <x:v>由原件与原状态取得；仅主队列索引</x:v>
      </x:c>
      <x:c r="M1918" s="12"/>
      <x:c r="N1918" s="12"/>
      <x:c r="O1918" s="12"/>
    </x:row>
    <x:row r="1919" ht="39" customHeight="1">
      <x:c r="A1919" s="12" t="str">
        <x:v>21818</x:v>
      </x:c>
      <x:c r="B1919" s="12" t="str">
        <x:v>19204</x:v>
      </x:c>
      <x:c r="C1919" s="12" t="str">
        <x:v>参考000</x:v>
      </x:c>
      <x:c r="D1919" s="12" t="str">
        <x:v>自动000</x:v>
      </x:c>
      <x:c r="E1919" s="12" t="n">
        <x:v>0</x:v>
      </x:c>
      <x:c r="F1919" s="12" t="n">
        <x:v>0</x:v>
      </x:c>
      <x:c r="G1919" s="12" t="n">
        <x:v>0</x:v>
      </x:c>
      <x:c r="H1919" s="12" t="n">
        <x:f>IF(SUM(I1919:K1919)&gt;0,1,0)</x:f>
        <x:v>0</x:v>
      </x:c>
      <x:c r="I1919" s="12" t="n">
        <x:f>IF('患者配对'!M2184="positive",1,0)</x:f>
        <x:v>0</x:v>
      </x:c>
      <x:c r="J1919" s="12" t="n">
        <x:f>IF('患者配对'!R2184="positive",1,0)</x:f>
        <x:v>0</x:v>
      </x:c>
      <x:c r="K1919" s="12" t="n">
        <x:f>IF('患者配对'!W2184="positive",1,0)</x:f>
        <x:v>0</x:v>
      </x:c>
      <x:c r="L1919" s="12" t="str">
        <x:v>由原件与原状态取得；仅主队列索引</x:v>
      </x:c>
      <x:c r="M1919" s="12"/>
      <x:c r="N1919" s="12"/>
      <x:c r="O1919" s="12"/>
    </x:row>
    <x:row r="1920" ht="39" customHeight="1">
      <x:c r="A1920" s="12" t="str">
        <x:v>21819</x:v>
      </x:c>
      <x:c r="B1920" s="12" t="str">
        <x:v>9843</x:v>
      </x:c>
      <x:c r="C1920" s="12" t="str">
        <x:v>参考000</x:v>
      </x:c>
      <x:c r="D1920" s="12" t="str">
        <x:v>自动000</x:v>
      </x:c>
      <x:c r="E1920" s="12" t="n">
        <x:v>0</x:v>
      </x:c>
      <x:c r="F1920" s="12" t="n">
        <x:v>0</x:v>
      </x:c>
      <x:c r="G1920" s="12" t="n">
        <x:v>0</x:v>
      </x:c>
      <x:c r="H1920" s="12" t="n">
        <x:f>IF(SUM(I1920:K1920)&gt;0,1,0)</x:f>
        <x:v>0</x:v>
      </x:c>
      <x:c r="I1920" s="12" t="n">
        <x:f>IF('患者配对'!M2185="positive",1,0)</x:f>
        <x:v>0</x:v>
      </x:c>
      <x:c r="J1920" s="12" t="n">
        <x:f>IF('患者配对'!R2185="positive",1,0)</x:f>
        <x:v>0</x:v>
      </x:c>
      <x:c r="K1920" s="12" t="n">
        <x:f>IF('患者配对'!W2185="positive",1,0)</x:f>
        <x:v>0</x:v>
      </x:c>
      <x:c r="L1920" s="12" t="str">
        <x:v>由原件与原状态取得；仅主队列索引</x:v>
      </x:c>
      <x:c r="M1920" s="12"/>
      <x:c r="N1920" s="12"/>
      <x:c r="O1920" s="12"/>
    </x:row>
    <x:row r="1921" ht="39" customHeight="1">
      <x:c r="A1921" s="12" t="str">
        <x:v>21826</x:v>
      </x:c>
      <x:c r="B1921" s="12" t="str">
        <x:v>9178</x:v>
      </x:c>
      <x:c r="C1921" s="12" t="str">
        <x:v>参考000</x:v>
      </x:c>
      <x:c r="D1921" s="12" t="str">
        <x:v>自动000</x:v>
      </x:c>
      <x:c r="E1921" s="12" t="n">
        <x:v>0</x:v>
      </x:c>
      <x:c r="F1921" s="12" t="n">
        <x:v>1</x:v>
      </x:c>
      <x:c r="G1921" s="12" t="n">
        <x:v>0</x:v>
      </x:c>
      <x:c r="H1921" s="12" t="n">
        <x:f>IF(SUM(I1921:K1921)&gt;0,1,0)</x:f>
        <x:v>0</x:v>
      </x:c>
      <x:c r="I1921" s="12" t="n">
        <x:f>IF('患者配对'!M2186="positive",1,0)</x:f>
        <x:v>0</x:v>
      </x:c>
      <x:c r="J1921" s="12" t="n">
        <x:f>IF('患者配对'!R2186="positive",1,0)</x:f>
        <x:v>0</x:v>
      </x:c>
      <x:c r="K1921" s="12" t="n">
        <x:f>IF('患者配对'!W2186="positive",1,0)</x:f>
        <x:v>0</x:v>
      </x:c>
      <x:c r="L1921" s="12" t="str">
        <x:v>由原件与原状态取得；仅主队列索引</x:v>
      </x:c>
      <x:c r="M1921" s="12"/>
      <x:c r="N1921" s="12"/>
      <x:c r="O1921" s="12"/>
    </x:row>
    <x:row r="1922" ht="24" customHeight="1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2"/>
      <x:c r="L1922" s="12"/>
      <x:c r="M1922" s="12"/>
      <x:c r="N1922" s="12"/>
      <x:c r="O1922" s="12"/>
    </x:row>
    <x:row r="1923" ht="24" customHeight="1">
      <x:c r="A1923" s="12" t="str">
        <x:v>联合压力精确端点与最优性依据</x:v>
      </x:c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2"/>
      <x:c r="L1923" s="12"/>
      <x:c r="M1923" s="12"/>
      <x:c r="N1923" s="12"/>
      <x:c r="O1923" s="12"/>
    </x:row>
    <x:row r="1924" ht="24" customHeight="1">
      <x:c r="A1924" s="16" t="str">
        <x:v>分析</x:v>
      </x:c>
      <x:c r="B1924" s="16" t="str">
        <x:v>目标</x:v>
      </x:c>
      <x:c r="C1924" s="16" t="str">
        <x:v>量</x:v>
      </x:c>
      <x:c r="D1924" s="16" t="str">
        <x:v>端点</x:v>
      </x:c>
      <x:c r="E1924" s="16" t="str">
        <x:v>分子</x:v>
      </x:c>
      <x:c r="F1924" s="16" t="str">
        <x:v>分母</x:v>
      </x:c>
      <x:c r="G1924" s="16" t="str">
        <x:v>比例/差值</x:v>
      </x:c>
      <x:c r="H1924" s="16" t="str">
        <x:v>精确有理数</x:v>
      </x:c>
      <x:c r="I1924" s="16" t="str">
        <x:v>改变人数</x:v>
      </x:c>
      <x:c r="J1924" s="16" t="str">
        <x:v>同情景C0分子</x:v>
      </x:c>
      <x:c r="K1924" s="16" t="str">
        <x:v>同情景C1分子</x:v>
      </x:c>
      <x:c r="L1924" s="16" t="str">
        <x:v>最优性依据</x:v>
      </x:c>
      <x:c r="M1924" s="16"/>
      <x:c r="N1924" s="16"/>
      <x:c r="O1924" s="16"/>
    </x:row>
    <x:row r="1925" ht="24" customHeight="1">
      <x:c r="A1925" s="12" t="str">
        <x:v>原比例压力</x:v>
      </x:c>
      <x:c r="B1925" s="12" t="str">
        <x:v>AFIB</x:v>
      </x:c>
      <x:c r="C1925" s="12" t="str">
        <x:v>PPA</x:v>
      </x:c>
      <x:c r="D1925" s="12" t="str">
        <x:v>最小</x:v>
      </x:c>
      <x:c r="E1925" s="12" t="n">
        <x:v>93</x:v>
      </x:c>
      <x:c r="F1925" s="12" t="n">
        <x:v>119</x:v>
      </x:c>
      <x:c r="G1925" s="14" t="n">
        <x:f>E1925/F1925</x:f>
        <x:v>0.7815126050420168</x:v>
      </x:c>
      <x:c r="H1925" s="12" t="str">
        <x:v>93/119</x:v>
      </x:c>
      <x:c r="I1925" s="12" t="n">
        <x:v>5</x:v>
      </x:c>
      <x:c r="J1925" s="12"/>
      <x:c r="K1925" s="12"/>
      <x:c r="L1925" s="12" t="str">
        <x:v>穷举四来源格的翻转人数；每格不超过原人数，总人数不超过K。任一多位改变对本坐标等价于该位翻转或不变；构造见证证明所有枚举点可实现。</x:v>
      </x:c>
      <x:c r="M1925" s="12"/>
      <x:c r="N1925" s="12"/>
      <x:c r="O1925" s="12"/>
    </x:row>
    <x:row r="1926" ht="24" customHeight="1">
      <x:c r="A1926" s="12" t="str">
        <x:v>原比例压力</x:v>
      </x:c>
      <x:c r="B1926" s="12" t="str">
        <x:v>AFIB</x:v>
      </x:c>
      <x:c r="C1926" s="12" t="str">
        <x:v>PPA</x:v>
      </x:c>
      <x:c r="D1926" s="12" t="str">
        <x:v>最大</x:v>
      </x:c>
      <x:c r="E1926" s="12" t="n">
        <x:v>93</x:v>
      </x:c>
      <x:c r="F1926" s="12" t="n">
        <x:v>109</x:v>
      </x:c>
      <x:c r="G1926" s="14" t="n">
        <x:f>E1926/F1926</x:f>
        <x:v>0.8532110091743119</x:v>
      </x:c>
      <x:c r="H1926" s="12" t="str">
        <x:v>93/109</x:v>
      </x:c>
      <x:c r="I1926" s="12" t="n">
        <x:v>5</x:v>
      </x:c>
      <x:c r="J1926" s="12"/>
      <x:c r="K1926" s="12"/>
      <x:c r="L1926" s="12" t="str">
        <x:v>穷举四来源格的翻转人数；每格不超过原人数，总人数不超过K。任一多位改变对本坐标等价于该位翻转或不变；构造见证证明所有枚举点可实现。</x:v>
      </x:c>
      <x:c r="M1926" s="12"/>
      <x:c r="N1926" s="12"/>
      <x:c r="O1926" s="12"/>
    </x:row>
    <x:row r="1927" ht="24" customHeight="1">
      <x:c r="A1927" s="12" t="str">
        <x:v>原比例压力</x:v>
      </x:c>
      <x:c r="B1927" s="12" t="str">
        <x:v>AFIB</x:v>
      </x:c>
      <x:c r="C1927" s="12" t="str">
        <x:v>NPA</x:v>
      </x:c>
      <x:c r="D1927" s="12" t="str">
        <x:v>最小</x:v>
      </x:c>
      <x:c r="E1927" s="12" t="n">
        <x:v>1771</x:v>
      </x:c>
      <x:c r="F1927" s="12" t="n">
        <x:v>1784</x:v>
      </x:c>
      <x:c r="G1927" s="14" t="n">
        <x:f>E1927/F1927</x:f>
        <x:v>0.9927130044843049</x:v>
      </x:c>
      <x:c r="H1927" s="12" t="str">
        <x:v>1771/1784</x:v>
      </x:c>
      <x:c r="I1927" s="12" t="n">
        <x:v>5</x:v>
      </x:c>
      <x:c r="J1927" s="12"/>
      <x:c r="K1927" s="12"/>
      <x:c r="L1927" s="12" t="str">
        <x:v>穷举四来源格的翻转人数；每格不超过原人数，总人数不超过K。任一多位改变对本坐标等价于该位翻转或不变；构造见证证明所有枚举点可实现。</x:v>
      </x:c>
      <x:c r="M1927" s="12"/>
      <x:c r="N1927" s="12"/>
      <x:c r="O1927" s="12"/>
    </x:row>
    <x:row r="1928" ht="24" customHeight="1">
      <x:c r="A1928" s="12" t="str">
        <x:v>原比例压力</x:v>
      </x:c>
      <x:c r="B1928" s="12" t="str">
        <x:v>AFIB</x:v>
      </x:c>
      <x:c r="C1928" s="12" t="str">
        <x:v>NPA</x:v>
      </x:c>
      <x:c r="D1928" s="12" t="str">
        <x:v>最大</x:v>
      </x:c>
      <x:c r="E1928" s="12" t="n">
        <x:v>1771</x:v>
      </x:c>
      <x:c r="F1928" s="12" t="n">
        <x:v>1774</x:v>
      </x:c>
      <x:c r="G1928" s="14" t="n">
        <x:f>E1928/F1928</x:f>
        <x:v>0.9983089064261556</x:v>
      </x:c>
      <x:c r="H1928" s="12" t="str">
        <x:v>1771/1774</x:v>
      </x:c>
      <x:c r="I1928" s="12" t="n">
        <x:v>5</x:v>
      </x:c>
      <x:c r="J1928" s="12"/>
      <x:c r="K1928" s="12"/>
      <x:c r="L1928" s="12" t="str">
        <x:v>穷举四来源格的翻转人数；每格不超过原人数，总人数不超过K。任一多位改变对本坐标等价于该位翻转或不变；构造见证证明所有枚举点可实现。</x:v>
      </x:c>
      <x:c r="M1928" s="12"/>
      <x:c r="N1928" s="12"/>
      <x:c r="O1928" s="12"/>
    </x:row>
    <x:row r="1929" ht="24" customHeight="1">
      <x:c r="A1929" s="12" t="str">
        <x:v>原比例压力</x:v>
      </x:c>
      <x:c r="B1929" s="12" t="str">
        <x:v>CLBBB</x:v>
      </x:c>
      <x:c r="C1929" s="12" t="str">
        <x:v>PPA</x:v>
      </x:c>
      <x:c r="D1929" s="12" t="str">
        <x:v>最小</x:v>
      </x:c>
      <x:c r="E1929" s="12" t="n">
        <x:v>36</x:v>
      </x:c>
      <x:c r="F1929" s="12" t="n">
        <x:v>44</x:v>
      </x:c>
      <x:c r="G1929" s="14" t="n">
        <x:f>E1929/F1929</x:f>
        <x:v>0.8181818181818182</x:v>
      </x:c>
      <x:c r="H1929" s="12" t="str">
        <x:v>9/11</x:v>
      </x:c>
      <x:c r="I1929" s="12" t="n">
        <x:v>5</x:v>
      </x:c>
      <x:c r="J1929" s="12"/>
      <x:c r="K1929" s="12"/>
      <x:c r="L1929" s="12" t="str">
        <x:v>穷举四来源格的翻转人数；每格不超过原人数，总人数不超过K。任一多位改变对本坐标等价于该位翻转或不变；构造见证证明所有枚举点可实现。</x:v>
      </x:c>
      <x:c r="M1929" s="12"/>
      <x:c r="N1929" s="12"/>
      <x:c r="O1929" s="12"/>
    </x:row>
    <x:row r="1930" ht="24" customHeight="1">
      <x:c r="A1930" s="12" t="str">
        <x:v>原比例压力</x:v>
      </x:c>
      <x:c r="B1930" s="12" t="str">
        <x:v>CLBBB</x:v>
      </x:c>
      <x:c r="C1930" s="12" t="str">
        <x:v>PPA</x:v>
      </x:c>
      <x:c r="D1930" s="12" t="str">
        <x:v>最大</x:v>
      </x:c>
      <x:c r="E1930" s="12" t="n">
        <x:v>36</x:v>
      </x:c>
      <x:c r="F1930" s="12" t="n">
        <x:v>36</x:v>
      </x:c>
      <x:c r="G1930" s="14" t="n">
        <x:f>E1930/F1930</x:f>
        <x:v>1</x:v>
      </x:c>
      <x:c r="H1930" s="12" t="str">
        <x:v>1</x:v>
      </x:c>
      <x:c r="I1930" s="12" t="n">
        <x:v>3</x:v>
      </x:c>
      <x:c r="J1930" s="12"/>
      <x:c r="K1930" s="12"/>
      <x:c r="L1930" s="12" t="str">
        <x:v>穷举四来源格的翻转人数；每格不超过原人数，总人数不超过K。任一多位改变对本坐标等价于该位翻转或不变；构造见证证明所有枚举点可实现。</x:v>
      </x:c>
      <x:c r="M1930" s="12"/>
      <x:c r="N1930" s="12"/>
      <x:c r="O1930" s="12"/>
    </x:row>
    <x:row r="1931" ht="24" customHeight="1">
      <x:c r="A1931" s="12" t="str">
        <x:v>原比例压力</x:v>
      </x:c>
      <x:c r="B1931" s="12" t="str">
        <x:v>CLBBB</x:v>
      </x:c>
      <x:c r="C1931" s="12" t="str">
        <x:v>NPA</x:v>
      </x:c>
      <x:c r="D1931" s="12" t="str">
        <x:v>最小</x:v>
      </x:c>
      <x:c r="E1931" s="12" t="n">
        <x:v>1849</x:v>
      </x:c>
      <x:c r="F1931" s="12" t="n">
        <x:v>1859</x:v>
      </x:c>
      <x:c r="G1931" s="14" t="n">
        <x:f>E1931/F1931</x:f>
        <x:v>0.9946207638515331</x:v>
      </x:c>
      <x:c r="H1931" s="12" t="str">
        <x:v>1849/1859</x:v>
      </x:c>
      <x:c r="I1931" s="12" t="n">
        <x:v>5</x:v>
      </x:c>
      <x:c r="J1931" s="12"/>
      <x:c r="K1931" s="12"/>
      <x:c r="L1931" s="12" t="str">
        <x:v>穷举四来源格的翻转人数；每格不超过原人数，总人数不超过K。任一多位改变对本坐标等价于该位翻转或不变；构造见证证明所有枚举点可实现。</x:v>
      </x:c>
      <x:c r="M1931" s="12"/>
      <x:c r="N1931" s="12"/>
      <x:c r="O1931" s="12"/>
    </x:row>
    <x:row r="1932" ht="24" customHeight="1">
      <x:c r="A1932" s="12" t="str">
        <x:v>原比例压力</x:v>
      </x:c>
      <x:c r="B1932" s="12" t="str">
        <x:v>CLBBB</x:v>
      </x:c>
      <x:c r="C1932" s="12" t="str">
        <x:v>NPA</x:v>
      </x:c>
      <x:c r="D1932" s="12" t="str">
        <x:v>最大</x:v>
      </x:c>
      <x:c r="E1932" s="12" t="n">
        <x:v>1849</x:v>
      </x:c>
      <x:c r="F1932" s="12" t="n">
        <x:v>1849</x:v>
      </x:c>
      <x:c r="G1932" s="14" t="n">
        <x:f>E1932/F1932</x:f>
        <x:v>1</x:v>
      </x:c>
      <x:c r="H1932" s="12" t="str">
        <x:v>1</x:v>
      </x:c>
      <x:c r="I1932" s="12" t="n">
        <x:v>5</x:v>
      </x:c>
      <x:c r="J1932" s="12"/>
      <x:c r="K1932" s="12"/>
      <x:c r="L1932" s="12" t="str">
        <x:v>穷举四来源格的翻转人数；每格不超过原人数，总人数不超过K。任一多位改变对本坐标等价于该位翻转或不变；构造见证证明所有枚举点可实现。</x:v>
      </x:c>
      <x:c r="M1932" s="12"/>
      <x:c r="N1932" s="12"/>
      <x:c r="O1932" s="12"/>
    </x:row>
    <x:row r="1933" ht="24" customHeight="1">
      <x:c r="A1933" s="12" t="str">
        <x:v>原比例压力</x:v>
      </x:c>
      <x:c r="B1933" s="12" t="str">
        <x:v>CRBBB</x:v>
      </x:c>
      <x:c r="C1933" s="12" t="str">
        <x:v>PPA</x:v>
      </x:c>
      <x:c r="D1933" s="12" t="str">
        <x:v>最小</x:v>
      </x:c>
      <x:c r="E1933" s="12" t="n">
        <x:v>44</x:v>
      </x:c>
      <x:c r="F1933" s="12" t="n">
        <x:v>50</x:v>
      </x:c>
      <x:c r="G1933" s="14" t="n">
        <x:f>E1933/F1933</x:f>
        <x:v>0.88</x:v>
      </x:c>
      <x:c r="H1933" s="12" t="str">
        <x:v>22/25</x:v>
      </x:c>
      <x:c r="I1933" s="12" t="n">
        <x:v>5</x:v>
      </x:c>
      <x:c r="J1933" s="12"/>
      <x:c r="K1933" s="12"/>
      <x:c r="L1933" s="12" t="str">
        <x:v>穷举四来源格的翻转人数；每格不超过原人数，总人数不超过K。任一多位改变对本坐标等价于该位翻转或不变；构造见证证明所有枚举点可实现。</x:v>
      </x:c>
      <x:c r="M1933" s="12"/>
      <x:c r="N1933" s="12"/>
      <x:c r="O1933" s="12"/>
    </x:row>
    <x:row r="1934" ht="24" customHeight="1">
      <x:c r="A1934" s="12" t="str">
        <x:v>原比例压力</x:v>
      </x:c>
      <x:c r="B1934" s="12" t="str">
        <x:v>CRBBB</x:v>
      </x:c>
      <x:c r="C1934" s="12" t="str">
        <x:v>PPA</x:v>
      </x:c>
      <x:c r="D1934" s="12" t="str">
        <x:v>最大</x:v>
      </x:c>
      <x:c r="E1934" s="12" t="n">
        <x:v>44</x:v>
      </x:c>
      <x:c r="F1934" s="12" t="n">
        <x:v>44</x:v>
      </x:c>
      <x:c r="G1934" s="14" t="n">
        <x:f>E1934/F1934</x:f>
        <x:v>1</x:v>
      </x:c>
      <x:c r="H1934" s="12" t="str">
        <x:v>1</x:v>
      </x:c>
      <x:c r="I1934" s="12" t="n">
        <x:v>1</x:v>
      </x:c>
      <x:c r="J1934" s="12"/>
      <x:c r="K1934" s="12"/>
      <x:c r="L1934" s="12" t="str">
        <x:v>穷举四来源格的翻转人数；每格不超过原人数，总人数不超过K。任一多位改变对本坐标等价于该位翻转或不变；构造见证证明所有枚举点可实现。</x:v>
      </x:c>
      <x:c r="M1934" s="12"/>
      <x:c r="N1934" s="12"/>
      <x:c r="O1934" s="12"/>
    </x:row>
    <x:row r="1935" ht="24" customHeight="1">
      <x:c r="A1935" s="12" t="str">
        <x:v>原比例压力</x:v>
      </x:c>
      <x:c r="B1935" s="12" t="str">
        <x:v>CRBBB</x:v>
      </x:c>
      <x:c r="C1935" s="12" t="str">
        <x:v>NPA</x:v>
      </x:c>
      <x:c r="D1935" s="12" t="str">
        <x:v>最小</x:v>
      </x:c>
      <x:c r="E1935" s="12" t="n">
        <x:v>1829</x:v>
      </x:c>
      <x:c r="F1935" s="12" t="n">
        <x:v>1853</x:v>
      </x:c>
      <x:c r="G1935" s="14" t="n">
        <x:f>E1935/F1935</x:f>
        <x:v>0.9870480302212629</x:v>
      </x:c>
      <x:c r="H1935" s="12" t="str">
        <x:v>1829/1853</x:v>
      </x:c>
      <x:c r="I1935" s="12" t="n">
        <x:v>5</x:v>
      </x:c>
      <x:c r="J1935" s="12"/>
      <x:c r="K1935" s="12"/>
      <x:c r="L1935" s="12" t="str">
        <x:v>穷举四来源格的翻转人数；每格不超过原人数，总人数不超过K。任一多位改变对本坐标等价于该位翻转或不变；构造见证证明所有枚举点可实现。</x:v>
      </x:c>
      <x:c r="M1935" s="12"/>
      <x:c r="N1935" s="12"/>
      <x:c r="O1935" s="12"/>
    </x:row>
    <x:row r="1936" ht="24" customHeight="1">
      <x:c r="A1936" s="12" t="str">
        <x:v>原比例压力</x:v>
      </x:c>
      <x:c r="B1936" s="12" t="str">
        <x:v>CRBBB</x:v>
      </x:c>
      <x:c r="C1936" s="12" t="str">
        <x:v>NPA</x:v>
      </x:c>
      <x:c r="D1936" s="12" t="str">
        <x:v>最大</x:v>
      </x:c>
      <x:c r="E1936" s="12" t="n">
        <x:v>1829</x:v>
      </x:c>
      <x:c r="F1936" s="12" t="n">
        <x:v>1843</x:v>
      </x:c>
      <x:c r="G1936" s="14" t="n">
        <x:f>E1936/F1936</x:f>
        <x:v>0.9924036896364623</x:v>
      </x:c>
      <x:c r="H1936" s="12" t="str">
        <x:v>1829/1843</x:v>
      </x:c>
      <x:c r="I1936" s="12" t="n">
        <x:v>5</x:v>
      </x:c>
      <x:c r="J1936" s="12"/>
      <x:c r="K1936" s="12"/>
      <x:c r="L1936" s="12" t="str">
        <x:v>穷举四来源格的翻转人数；每格不超过原人数，总人数不超过K。任一多位改变对本坐标等价于该位翻转或不变；构造见证证明所有枚举点可实现。</x:v>
      </x:c>
      <x:c r="M1936" s="12"/>
      <x:c r="N1936" s="12"/>
      <x:c r="O1936" s="12"/>
    </x:row>
    <x:row r="1937" ht="24" customHeight="1">
      <x:c r="A1937" s="12" t="str">
        <x:v>原比例压力</x:v>
      </x:c>
      <x:c r="B1937" s="12" t="str">
        <x:v>任一目标</x:v>
      </x:c>
      <x:c r="C1937" s="12" t="str">
        <x:v>PPA</x:v>
      </x:c>
      <x:c r="D1937" s="12" t="str">
        <x:v>最小</x:v>
      </x:c>
      <x:c r="E1937" s="12" t="n">
        <x:v>164</x:v>
      </x:c>
      <x:c r="F1937" s="12" t="n">
        <x:v>191</x:v>
      </x:c>
      <x:c r="G1937" s="14" t="n">
        <x:f>E1937/F1937</x:f>
        <x:v>0.8586387434554974</x:v>
      </x:c>
      <x:c r="H1937" s="12" t="str">
        <x:v>164/191</x:v>
      </x:c>
      <x:c r="I1937" s="12" t="n">
        <x:v>5</x:v>
      </x:c>
      <x:c r="J1937" s="12"/>
      <x:c r="K1937" s="12"/>
      <x:c r="L1937" s="12" t="str">
        <x:v>穷举四来源格的翻转人数；每格不超过原人数，总人数不超过K。任一多位改变对本坐标等价于该位翻转或不变；构造见证证明所有枚举点可实现。</x:v>
      </x:c>
      <x:c r="M1937" s="12"/>
      <x:c r="N1937" s="12"/>
      <x:c r="O1937" s="12"/>
    </x:row>
    <x:row r="1938" ht="24" customHeight="1">
      <x:c r="A1938" s="12" t="str">
        <x:v>原比例压力</x:v>
      </x:c>
      <x:c r="B1938" s="12" t="str">
        <x:v>任一目标</x:v>
      </x:c>
      <x:c r="C1938" s="12" t="str">
        <x:v>PPA</x:v>
      </x:c>
      <x:c r="D1938" s="12" t="str">
        <x:v>最大</x:v>
      </x:c>
      <x:c r="E1938" s="12" t="n">
        <x:v>164</x:v>
      </x:c>
      <x:c r="F1938" s="12" t="n">
        <x:v>181</x:v>
      </x:c>
      <x:c r="G1938" s="14" t="n">
        <x:f>E1938/F1938</x:f>
        <x:v>0.9060773480662984</x:v>
      </x:c>
      <x:c r="H1938" s="12" t="str">
        <x:v>164/181</x:v>
      </x:c>
      <x:c r="I1938" s="12" t="n">
        <x:v>5</x:v>
      </x:c>
      <x:c r="J1938" s="12"/>
      <x:c r="K1938" s="12"/>
      <x:c r="L1938" s="12" t="str">
        <x:v>穷举四来源格的翻转人数；每格不超过原人数，总人数不超过K。任一多位改变对本坐标等价于该位翻转或不变；构造见证证明所有枚举点可实现。</x:v>
      </x:c>
      <x:c r="M1938" s="12"/>
      <x:c r="N1938" s="12"/>
      <x:c r="O1938" s="12"/>
    </x:row>
    <x:row r="1939" ht="24" customHeight="1">
      <x:c r="A1939" s="12" t="str">
        <x:v>原比例压力</x:v>
      </x:c>
      <x:c r="B1939" s="12" t="str">
        <x:v>任一目标</x:v>
      </x:c>
      <x:c r="C1939" s="12" t="str">
        <x:v>NPA</x:v>
      </x:c>
      <x:c r="D1939" s="12" t="str">
        <x:v>最小</x:v>
      </x:c>
      <x:c r="E1939" s="12" t="n">
        <x:v>1679</x:v>
      </x:c>
      <x:c r="F1939" s="12" t="n">
        <x:v>1712</x:v>
      </x:c>
      <x:c r="G1939" s="14" t="n">
        <x:f>E1939/F1939</x:f>
        <x:v>0.9807242990654206</x:v>
      </x:c>
      <x:c r="H1939" s="12" t="str">
        <x:v>1679/1712</x:v>
      </x:c>
      <x:c r="I1939" s="12" t="n">
        <x:v>5</x:v>
      </x:c>
      <x:c r="J1939" s="12"/>
      <x:c r="K1939" s="12"/>
      <x:c r="L1939" s="12" t="str">
        <x:v>穷举四来源格的翻转人数；每格不超过原人数，总人数不超过K。任一多位改变对本坐标等价于该位翻转或不变；构造见证证明所有枚举点可实现。</x:v>
      </x:c>
      <x:c r="M1939" s="12"/>
      <x:c r="N1939" s="12"/>
      <x:c r="O1939" s="12"/>
    </x:row>
    <x:row r="1940" ht="24" customHeight="1">
      <x:c r="A1940" s="12" t="str">
        <x:v>原比例压力</x:v>
      </x:c>
      <x:c r="B1940" s="12" t="str">
        <x:v>任一目标</x:v>
      </x:c>
      <x:c r="C1940" s="12" t="str">
        <x:v>NPA</x:v>
      </x:c>
      <x:c r="D1940" s="12" t="str">
        <x:v>最大</x:v>
      </x:c>
      <x:c r="E1940" s="12" t="n">
        <x:v>1679</x:v>
      </x:c>
      <x:c r="F1940" s="12" t="n">
        <x:v>1702</x:v>
      </x:c>
      <x:c r="G1940" s="14" t="n">
        <x:f>E1940/F1940</x:f>
        <x:v>0.9864864864864865</x:v>
      </x:c>
      <x:c r="H1940" s="12" t="str">
        <x:v>73/74</x:v>
      </x:c>
      <x:c r="I1940" s="12" t="n">
        <x:v>5</x:v>
      </x:c>
      <x:c r="J1940" s="12"/>
      <x:c r="K1940" s="12"/>
      <x:c r="L1940" s="12" t="str">
        <x:v>穷举四来源格的翻转人数；每格不超过原人数，总人数不超过K。任一多位改变对本坐标等价于该位翻转或不变；构造见证证明所有枚举点可实现。</x:v>
      </x:c>
      <x:c r="M1940" s="12"/>
      <x:c r="N1940" s="12"/>
      <x:c r="O1940" s="12"/>
    </x:row>
    <x:row r="1941" ht="24" customHeight="1">
      <x:c r="A1941" s="12" t="str">
        <x:v>固定A</x:v>
      </x:c>
      <x:c r="B1941" s="12" t="str">
        <x:v>AFIB</x:v>
      </x:c>
      <x:c r="C1941" s="12" t="str">
        <x:v>纳入比例</x:v>
      </x:c>
      <x:c r="D1941" s="12" t="str">
        <x:v>最小</x:v>
      </x:c>
      <x:c r="E1941" s="12" t="n">
        <x:v>96</x:v>
      </x:c>
      <x:c r="F1941" s="12" t="n">
        <x:v>119</x:v>
      </x:c>
      <x:c r="G1941" s="14" t="n">
        <x:f>E1941/F1941</x:f>
        <x:v>0.8067226890756303</x:v>
      </x:c>
      <x:c r="H1941" s="12" t="str">
        <x:v>96/119</x:v>
      </x:c>
      <x:c r="I1941" s="12" t="n">
        <x:v>5</x:v>
      </x:c>
      <x:c r="J1941" s="12"/>
      <x:c r="K1941" s="12"/>
      <x:c r="L1941" s="12" t="str">
        <x:v>穷举四来源格的翻转人数；每格不超过原人数，总人数不超过K。任一多位改变对本坐标等价于该位翻转或不变；构造见证证明所有枚举点可实现。</x:v>
      </x:c>
      <x:c r="M1941" s="12"/>
      <x:c r="N1941" s="12"/>
      <x:c r="O1941" s="12"/>
    </x:row>
    <x:row r="1942" ht="24" customHeight="1">
      <x:c r="A1942" s="12" t="str">
        <x:v>固定A</x:v>
      </x:c>
      <x:c r="B1942" s="12" t="str">
        <x:v>AFIB</x:v>
      </x:c>
      <x:c r="C1942" s="12" t="str">
        <x:v>纳入比例</x:v>
      </x:c>
      <x:c r="D1942" s="12" t="str">
        <x:v>最大</x:v>
      </x:c>
      <x:c r="E1942" s="12" t="n">
        <x:v>96</x:v>
      </x:c>
      <x:c r="F1942" s="12" t="n">
        <x:v>109</x:v>
      </x:c>
      <x:c r="G1942" s="14" t="n">
        <x:f>E1942/F1942</x:f>
        <x:v>0.8807339449541285</x:v>
      </x:c>
      <x:c r="H1942" s="12" t="str">
        <x:v>96/109</x:v>
      </x:c>
      <x:c r="I1942" s="12" t="n">
        <x:v>5</x:v>
      </x:c>
      <x:c r="J1942" s="12"/>
      <x:c r="K1942" s="12"/>
      <x:c r="L1942" s="12" t="str">
        <x:v>穷举四来源格的翻转人数；每格不超过原人数，总人数不超过K。任一多位改变对本坐标等价于该位翻转或不变；构造见证证明所有枚举点可实现。</x:v>
      </x:c>
      <x:c r="M1942" s="12"/>
      <x:c r="N1942" s="12"/>
      <x:c r="O1942" s="12"/>
    </x:row>
    <x:row r="1943" ht="24" customHeight="1">
      <x:c r="A1943" s="12" t="str">
        <x:v>固定A</x:v>
      </x:c>
      <x:c r="B1943" s="12" t="str">
        <x:v>CLBBB</x:v>
      </x:c>
      <x:c r="C1943" s="12" t="str">
        <x:v>纳入比例</x:v>
      </x:c>
      <x:c r="D1943" s="12" t="str">
        <x:v>最小</x:v>
      </x:c>
      <x:c r="E1943" s="12" t="n">
        <x:v>36</x:v>
      </x:c>
      <x:c r="F1943" s="12" t="n">
        <x:v>44</x:v>
      </x:c>
      <x:c r="G1943" s="14" t="n">
        <x:f>E1943/F1943</x:f>
        <x:v>0.8181818181818182</x:v>
      </x:c>
      <x:c r="H1943" s="12" t="str">
        <x:v>9/11</x:v>
      </x:c>
      <x:c r="I1943" s="12" t="n">
        <x:v>5</x:v>
      </x:c>
      <x:c r="J1943" s="12"/>
      <x:c r="K1943" s="12"/>
      <x:c r="L1943" s="12" t="str">
        <x:v>穷举四来源格的翻转人数；每格不超过原人数，总人数不超过K。任一多位改变对本坐标等价于该位翻转或不变；构造见证证明所有枚举点可实现。</x:v>
      </x:c>
      <x:c r="M1943" s="12"/>
      <x:c r="N1943" s="12"/>
      <x:c r="O1943" s="12"/>
    </x:row>
    <x:row r="1944" ht="24" customHeight="1">
      <x:c r="A1944" s="12" t="str">
        <x:v>固定A</x:v>
      </x:c>
      <x:c r="B1944" s="12" t="str">
        <x:v>CLBBB</x:v>
      </x:c>
      <x:c r="C1944" s="12" t="str">
        <x:v>纳入比例</x:v>
      </x:c>
      <x:c r="D1944" s="12" t="str">
        <x:v>最大</x:v>
      </x:c>
      <x:c r="E1944" s="12" t="n">
        <x:v>36</x:v>
      </x:c>
      <x:c r="F1944" s="12" t="n">
        <x:v>36</x:v>
      </x:c>
      <x:c r="G1944" s="14" t="n">
        <x:f>E1944/F1944</x:f>
        <x:v>1</x:v>
      </x:c>
      <x:c r="H1944" s="12" t="str">
        <x:v>1</x:v>
      </x:c>
      <x:c r="I1944" s="12" t="n">
        <x:v>3</x:v>
      </x:c>
      <x:c r="J1944" s="12"/>
      <x:c r="K1944" s="12"/>
      <x:c r="L1944" s="12" t="str">
        <x:v>穷举四来源格的翻转人数；每格不超过原人数，总人数不超过K。任一多位改变对本坐标等价于该位翻转或不变；构造见证证明所有枚举点可实现。</x:v>
      </x:c>
      <x:c r="M1944" s="12"/>
      <x:c r="N1944" s="12"/>
      <x:c r="O1944" s="12"/>
    </x:row>
    <x:row r="1945" ht="24" customHeight="1">
      <x:c r="A1945" s="12" t="str">
        <x:v>固定A</x:v>
      </x:c>
      <x:c r="B1945" s="12" t="str">
        <x:v>CRBBB</x:v>
      </x:c>
      <x:c r="C1945" s="12" t="str">
        <x:v>纳入比例</x:v>
      </x:c>
      <x:c r="D1945" s="12" t="str">
        <x:v>最小</x:v>
      </x:c>
      <x:c r="E1945" s="12" t="n">
        <x:v>44</x:v>
      </x:c>
      <x:c r="F1945" s="12" t="n">
        <x:v>50</x:v>
      </x:c>
      <x:c r="G1945" s="14" t="n">
        <x:f>E1945/F1945</x:f>
        <x:v>0.88</x:v>
      </x:c>
      <x:c r="H1945" s="12" t="str">
        <x:v>22/25</x:v>
      </x:c>
      <x:c r="I1945" s="12" t="n">
        <x:v>5</x:v>
      </x:c>
      <x:c r="J1945" s="12"/>
      <x:c r="K1945" s="12"/>
      <x:c r="L1945" s="12" t="str">
        <x:v>穷举四来源格的翻转人数；每格不超过原人数，总人数不超过K。任一多位改变对本坐标等价于该位翻转或不变；构造见证证明所有枚举点可实现。</x:v>
      </x:c>
      <x:c r="M1945" s="12"/>
      <x:c r="N1945" s="12"/>
      <x:c r="O1945" s="12"/>
    </x:row>
    <x:row r="1946" ht="24" customHeight="1">
      <x:c r="A1946" s="12" t="str">
        <x:v>固定A</x:v>
      </x:c>
      <x:c r="B1946" s="12" t="str">
        <x:v>CRBBB</x:v>
      </x:c>
      <x:c r="C1946" s="12" t="str">
        <x:v>纳入比例</x:v>
      </x:c>
      <x:c r="D1946" s="12" t="str">
        <x:v>最大</x:v>
      </x:c>
      <x:c r="E1946" s="12" t="n">
        <x:v>44</x:v>
      </x:c>
      <x:c r="F1946" s="12" t="n">
        <x:v>44</x:v>
      </x:c>
      <x:c r="G1946" s="14" t="n">
        <x:f>E1946/F1946</x:f>
        <x:v>1</x:v>
      </x:c>
      <x:c r="H1946" s="12" t="str">
        <x:v>1</x:v>
      </x:c>
      <x:c r="I1946" s="12" t="n">
        <x:v>1</x:v>
      </x:c>
      <x:c r="J1946" s="12"/>
      <x:c r="K1946" s="12"/>
      <x:c r="L1946" s="12" t="str">
        <x:v>穷举四来源格的翻转人数；每格不超过原人数，总人数不超过K。任一多位改变对本坐标等价于该位翻转或不变；构造见证证明所有枚举点可实现。</x:v>
      </x:c>
      <x:c r="M1946" s="12"/>
      <x:c r="N1946" s="12"/>
      <x:c r="O1946" s="12"/>
    </x:row>
    <x:row r="1947" ht="24" customHeight="1">
      <x:c r="A1947" s="12" t="str">
        <x:v>固定A</x:v>
      </x:c>
      <x:c r="B1947" s="12" t="str">
        <x:v>任一目标</x:v>
      </x:c>
      <x:c r="C1947" s="12" t="str">
        <x:v>纳入比例</x:v>
      </x:c>
      <x:c r="D1947" s="12" t="str">
        <x:v>最小</x:v>
      </x:c>
      <x:c r="E1947" s="12" t="n">
        <x:v>164</x:v>
      </x:c>
      <x:c r="F1947" s="12" t="n">
        <x:v>191</x:v>
      </x:c>
      <x:c r="G1947" s="14" t="n">
        <x:f>E1947/F1947</x:f>
        <x:v>0.8586387434554974</x:v>
      </x:c>
      <x:c r="H1947" s="12" t="str">
        <x:v>164/191</x:v>
      </x:c>
      <x:c r="I1947" s="12" t="n">
        <x:v>5</x:v>
      </x:c>
      <x:c r="J1947" s="12"/>
      <x:c r="K1947" s="12"/>
      <x:c r="L1947" s="12" t="str">
        <x:v>穷举四来源格的翻转人数；每格不超过原人数，总人数不超过K。任一多位改变对本坐标等价于该位翻转或不变；构造见证证明所有枚举点可实现。</x:v>
      </x:c>
      <x:c r="M1947" s="12"/>
      <x:c r="N1947" s="12"/>
      <x:c r="O1947" s="12"/>
    </x:row>
    <x:row r="1948" ht="24" customHeight="1">
      <x:c r="A1948" s="12" t="str">
        <x:v>固定A</x:v>
      </x:c>
      <x:c r="B1948" s="12" t="str">
        <x:v>任一目标</x:v>
      </x:c>
      <x:c r="C1948" s="12" t="str">
        <x:v>纳入比例</x:v>
      </x:c>
      <x:c r="D1948" s="12" t="str">
        <x:v>最大</x:v>
      </x:c>
      <x:c r="E1948" s="12" t="n">
        <x:v>164</x:v>
      </x:c>
      <x:c r="F1948" s="12" t="n">
        <x:v>181</x:v>
      </x:c>
      <x:c r="G1948" s="14" t="n">
        <x:f>E1948/F1948</x:f>
        <x:v>0.9060773480662984</x:v>
      </x:c>
      <x:c r="H1948" s="12" t="str">
        <x:v>164/181</x:v>
      </x:c>
      <x:c r="I1948" s="12" t="n">
        <x:v>5</x:v>
      </x:c>
      <x:c r="J1948" s="12"/>
      <x:c r="K1948" s="12"/>
      <x:c r="L1948" s="12" t="str">
        <x:v>穷举四来源格的翻转人数；每格不超过原人数，总人数不超过K。任一多位改变对本坐标等价于该位翻转或不变；构造见证证明所有枚举点可实现。</x:v>
      </x:c>
      <x:c r="M1948" s="12"/>
      <x:c r="N1948" s="12"/>
      <x:c r="O1948" s="12"/>
    </x:row>
    <x:row r="1949" ht="24" customHeight="1">
      <x:c r="A1949" s="12" t="str">
        <x:v>固定B</x:v>
      </x:c>
      <x:c r="B1949" s="12" t="str">
        <x:v>AFIB</x:v>
      </x:c>
      <x:c r="C1949" s="12" t="str">
        <x:v>纳入比例</x:v>
      </x:c>
      <x:c r="D1949" s="12" t="str">
        <x:v>最小</x:v>
      </x:c>
      <x:c r="E1949" s="12" t="n">
        <x:v>104</x:v>
      </x:c>
      <x:c r="F1949" s="12" t="n">
        <x:v>119</x:v>
      </x:c>
      <x:c r="G1949" s="14" t="n">
        <x:f>E1949/F1949</x:f>
        <x:v>0.8739495798319328</x:v>
      </x:c>
      <x:c r="H1949" s="12" t="str">
        <x:v>104/119</x:v>
      </x:c>
      <x:c r="I1949" s="12" t="n">
        <x:v>5</x:v>
      </x:c>
      <x:c r="J1949" s="12"/>
      <x:c r="K1949" s="12"/>
      <x:c r="L1949" s="12" t="str">
        <x:v>穷举四来源格的翻转人数；每格不超过原人数，总人数不超过K。任一多位改变对本坐标等价于该位翻转或不变；构造见证证明所有枚举点可实现。</x:v>
      </x:c>
      <x:c r="M1949" s="12"/>
      <x:c r="N1949" s="12"/>
      <x:c r="O1949" s="12"/>
    </x:row>
    <x:row r="1950" ht="24" customHeight="1">
      <x:c r="A1950" s="12" t="str">
        <x:v>固定B</x:v>
      </x:c>
      <x:c r="B1950" s="12" t="str">
        <x:v>AFIB</x:v>
      </x:c>
      <x:c r="C1950" s="12" t="str">
        <x:v>纳入比例</x:v>
      </x:c>
      <x:c r="D1950" s="12" t="str">
        <x:v>最大</x:v>
      </x:c>
      <x:c r="E1950" s="12" t="n">
        <x:v>104</x:v>
      </x:c>
      <x:c r="F1950" s="12" t="n">
        <x:v>109</x:v>
      </x:c>
      <x:c r="G1950" s="14" t="n">
        <x:f>E1950/F1950</x:f>
        <x:v>0.9541284403669725</x:v>
      </x:c>
      <x:c r="H1950" s="12" t="str">
        <x:v>104/109</x:v>
      </x:c>
      <x:c r="I1950" s="12" t="n">
        <x:v>5</x:v>
      </x:c>
      <x:c r="J1950" s="12"/>
      <x:c r="K1950" s="12"/>
      <x:c r="L1950" s="12" t="str">
        <x:v>穷举四来源格的翻转人数；每格不超过原人数，总人数不超过K。任一多位改变对本坐标等价于该位翻转或不变；构造见证证明所有枚举点可实现。</x:v>
      </x:c>
      <x:c r="M1950" s="12"/>
      <x:c r="N1950" s="12"/>
      <x:c r="O1950" s="12"/>
    </x:row>
    <x:row r="1951" ht="24" customHeight="1">
      <x:c r="A1951" s="12" t="str">
        <x:v>固定B</x:v>
      </x:c>
      <x:c r="B1951" s="12" t="str">
        <x:v>CLBBB</x:v>
      </x:c>
      <x:c r="C1951" s="12" t="str">
        <x:v>纳入比例</x:v>
      </x:c>
      <x:c r="D1951" s="12" t="str">
        <x:v>最小</x:v>
      </x:c>
      <x:c r="E1951" s="12" t="n">
        <x:v>39</x:v>
      </x:c>
      <x:c r="F1951" s="12" t="n">
        <x:v>44</x:v>
      </x:c>
      <x:c r="G1951" s="14" t="n">
        <x:f>E1951/F1951</x:f>
        <x:v>0.8863636363636364</x:v>
      </x:c>
      <x:c r="H1951" s="12" t="str">
        <x:v>39/44</x:v>
      </x:c>
      <x:c r="I1951" s="12" t="n">
        <x:v>5</x:v>
      </x:c>
      <x:c r="J1951" s="12"/>
      <x:c r="K1951" s="12"/>
      <x:c r="L1951" s="12" t="str">
        <x:v>穷举四来源格的翻转人数；每格不超过原人数，总人数不超过K。任一多位改变对本坐标等价于该位翻转或不变；构造见证证明所有枚举点可实现。</x:v>
      </x:c>
      <x:c r="M1951" s="12"/>
      <x:c r="N1951" s="12"/>
      <x:c r="O1951" s="12"/>
    </x:row>
    <x:row r="1952" ht="24" customHeight="1">
      <x:c r="A1952" s="12" t="str">
        <x:v>固定B</x:v>
      </x:c>
      <x:c r="B1952" s="12" t="str">
        <x:v>CLBBB</x:v>
      </x:c>
      <x:c r="C1952" s="12" t="str">
        <x:v>纳入比例</x:v>
      </x:c>
      <x:c r="D1952" s="12" t="str">
        <x:v>最大</x:v>
      </x:c>
      <x:c r="E1952" s="12" t="n">
        <x:v>39</x:v>
      </x:c>
      <x:c r="F1952" s="12" t="n">
        <x:v>39</x:v>
      </x:c>
      <x:c r="G1952" s="14" t="n">
        <x:f>E1952/F1952</x:f>
        <x:v>1</x:v>
      </x:c>
      <x:c r="H1952" s="12" t="str">
        <x:v>1</x:v>
      </x:c>
      <x:c r="I1952" s="12" t="n">
        <x:v>0</x:v>
      </x:c>
      <x:c r="J1952" s="12"/>
      <x:c r="K1952" s="12"/>
      <x:c r="L1952" s="12" t="str">
        <x:v>穷举四来源格的翻转人数；每格不超过原人数，总人数不超过K。任一多位改变对本坐标等价于该位翻转或不变；构造见证证明所有枚举点可实现。</x:v>
      </x:c>
      <x:c r="M1952" s="12"/>
      <x:c r="N1952" s="12"/>
      <x:c r="O1952" s="12"/>
    </x:row>
    <x:row r="1953" ht="24" customHeight="1">
      <x:c r="A1953" s="12" t="str">
        <x:v>固定B</x:v>
      </x:c>
      <x:c r="B1953" s="12" t="str">
        <x:v>CRBBB</x:v>
      </x:c>
      <x:c r="C1953" s="12" t="str">
        <x:v>纳入比例</x:v>
      </x:c>
      <x:c r="D1953" s="12" t="str">
        <x:v>最小</x:v>
      </x:c>
      <x:c r="E1953" s="12" t="n">
        <x:v>45</x:v>
      </x:c>
      <x:c r="F1953" s="12" t="n">
        <x:v>50</x:v>
      </x:c>
      <x:c r="G1953" s="14" t="n">
        <x:f>E1953/F1953</x:f>
        <x:v>0.9</x:v>
      </x:c>
      <x:c r="H1953" s="12" t="str">
        <x:v>9/10</x:v>
      </x:c>
      <x:c r="I1953" s="12" t="n">
        <x:v>5</x:v>
      </x:c>
      <x:c r="J1953" s="12"/>
      <x:c r="K1953" s="12"/>
      <x:c r="L1953" s="12" t="str">
        <x:v>穷举四来源格的翻转人数；每格不超过原人数，总人数不超过K。任一多位改变对本坐标等价于该位翻转或不变；构造见证证明所有枚举点可实现。</x:v>
      </x:c>
      <x:c r="M1953" s="12"/>
      <x:c r="N1953" s="12"/>
      <x:c r="O1953" s="12"/>
    </x:row>
    <x:row r="1954" ht="24" customHeight="1">
      <x:c r="A1954" s="12" t="str">
        <x:v>固定B</x:v>
      </x:c>
      <x:c r="B1954" s="12" t="str">
        <x:v>CRBBB</x:v>
      </x:c>
      <x:c r="C1954" s="12" t="str">
        <x:v>纳入比例</x:v>
      </x:c>
      <x:c r="D1954" s="12" t="str">
        <x:v>最大</x:v>
      </x:c>
      <x:c r="E1954" s="12" t="n">
        <x:v>45</x:v>
      </x:c>
      <x:c r="F1954" s="12" t="n">
        <x:v>45</x:v>
      </x:c>
      <x:c r="G1954" s="14" t="n">
        <x:f>E1954/F1954</x:f>
        <x:v>1</x:v>
      </x:c>
      <x:c r="H1954" s="12" t="str">
        <x:v>1</x:v>
      </x:c>
      <x:c r="I1954" s="12" t="n">
        <x:v>0</x:v>
      </x:c>
      <x:c r="J1954" s="12"/>
      <x:c r="K1954" s="12"/>
      <x:c r="L1954" s="12" t="str">
        <x:v>穷举四来源格的翻转人数；每格不超过原人数，总人数不超过K。任一多位改变对本坐标等价于该位翻转或不变；构造见证证明所有枚举点可实现。</x:v>
      </x:c>
      <x:c r="M1954" s="12"/>
      <x:c r="N1954" s="12"/>
      <x:c r="O1954" s="12"/>
    </x:row>
    <x:row r="1955" ht="24" customHeight="1">
      <x:c r="A1955" s="12" t="str">
        <x:v>固定B</x:v>
      </x:c>
      <x:c r="B1955" s="12" t="str">
        <x:v>任一目标</x:v>
      </x:c>
      <x:c r="C1955" s="12" t="str">
        <x:v>纳入比例</x:v>
      </x:c>
      <x:c r="D1955" s="12" t="str">
        <x:v>最小</x:v>
      </x:c>
      <x:c r="E1955" s="12" t="n">
        <x:v>176</x:v>
      </x:c>
      <x:c r="F1955" s="12" t="n">
        <x:v>191</x:v>
      </x:c>
      <x:c r="G1955" s="14" t="n">
        <x:f>E1955/F1955</x:f>
        <x:v>0.9214659685863874</x:v>
      </x:c>
      <x:c r="H1955" s="12" t="str">
        <x:v>176/191</x:v>
      </x:c>
      <x:c r="I1955" s="12" t="n">
        <x:v>5</x:v>
      </x:c>
      <x:c r="J1955" s="12"/>
      <x:c r="K1955" s="12"/>
      <x:c r="L1955" s="12" t="str">
        <x:v>穷举四来源格的翻转人数；每格不超过原人数，总人数不超过K。任一多位改变对本坐标等价于该位翻转或不变；构造见证证明所有枚举点可实现。</x:v>
      </x:c>
      <x:c r="M1955" s="12"/>
      <x:c r="N1955" s="12"/>
      <x:c r="O1955" s="12"/>
    </x:row>
    <x:row r="1956" ht="24" customHeight="1">
      <x:c r="A1956" s="12" t="str">
        <x:v>固定B</x:v>
      </x:c>
      <x:c r="B1956" s="12" t="str">
        <x:v>任一目标</x:v>
      </x:c>
      <x:c r="C1956" s="12" t="str">
        <x:v>纳入比例</x:v>
      </x:c>
      <x:c r="D1956" s="12" t="str">
        <x:v>最大</x:v>
      </x:c>
      <x:c r="E1956" s="12" t="n">
        <x:v>176</x:v>
      </x:c>
      <x:c r="F1956" s="12" t="n">
        <x:v>181</x:v>
      </x:c>
      <x:c r="G1956" s="14" t="n">
        <x:f>E1956/F1956</x:f>
        <x:v>0.9723756906077348</x:v>
      </x:c>
      <x:c r="H1956" s="12" t="str">
        <x:v>176/181</x:v>
      </x:c>
      <x:c r="I1956" s="12" t="n">
        <x:v>5</x:v>
      </x:c>
      <x:c r="J1956" s="12"/>
      <x:c r="K1956" s="12"/>
      <x:c r="L1956" s="12" t="str">
        <x:v>穷举四来源格的翻转人数；每格不超过原人数，总人数不超过K。任一多位改变对本坐标等价于该位翻转或不变；构造见证证明所有枚举点可实现。</x:v>
      </x:c>
      <x:c r="M1956" s="12"/>
      <x:c r="N1956" s="12"/>
      <x:c r="O1956" s="12"/>
    </x:row>
    <x:row r="1957" ht="24" customHeight="1">
      <x:c r="A1957" s="12" t="str">
        <x:v>固定C0</x:v>
      </x:c>
      <x:c r="B1957" s="12" t="str">
        <x:v>AFIB</x:v>
      </x:c>
      <x:c r="C1957" s="12" t="str">
        <x:v>纳入比例</x:v>
      </x:c>
      <x:c r="D1957" s="12" t="str">
        <x:v>最小</x:v>
      </x:c>
      <x:c r="E1957" s="12" t="n">
        <x:v>18</x:v>
      </x:c>
      <x:c r="F1957" s="12" t="n">
        <x:v>109</x:v>
      </x:c>
      <x:c r="G1957" s="14" t="n">
        <x:f>E1957/F1957</x:f>
        <x:v>0.1651376146788991</x:v>
      </x:c>
      <x:c r="H1957" s="12" t="str">
        <x:v>18/109</x:v>
      </x:c>
      <x:c r="I1957" s="12" t="n">
        <x:v>5</x:v>
      </x:c>
      <x:c r="J1957" s="12"/>
      <x:c r="K1957" s="12"/>
      <x:c r="L1957" s="12" t="str">
        <x:v>穷举四来源格的翻转人数；每格不超过原人数，总人数不超过K。任一多位改变对本坐标等价于该位翻转或不变；构造见证证明所有枚举点可实现。</x:v>
      </x:c>
      <x:c r="M1957" s="12"/>
      <x:c r="N1957" s="12"/>
      <x:c r="O1957" s="12"/>
    </x:row>
    <x:row r="1958" ht="24" customHeight="1">
      <x:c r="A1958" s="12" t="str">
        <x:v>固定C0</x:v>
      </x:c>
      <x:c r="B1958" s="12" t="str">
        <x:v>AFIB</x:v>
      </x:c>
      <x:c r="C1958" s="12" t="str">
        <x:v>纳入比例</x:v>
      </x:c>
      <x:c r="D1958" s="12" t="str">
        <x:v>最大</x:v>
      </x:c>
      <x:c r="E1958" s="12" t="n">
        <x:v>28</x:v>
      </x:c>
      <x:c r="F1958" s="12" t="n">
        <x:v>119</x:v>
      </x:c>
      <x:c r="G1958" s="14" t="n">
        <x:f>E1958/F1958</x:f>
        <x:v>0.23529411764705882</x:v>
      </x:c>
      <x:c r="H1958" s="12" t="str">
        <x:v>4/17</x:v>
      </x:c>
      <x:c r="I1958" s="12" t="n">
        <x:v>5</x:v>
      </x:c>
      <x:c r="J1958" s="12"/>
      <x:c r="K1958" s="12"/>
      <x:c r="L1958" s="12" t="str">
        <x:v>穷举四来源格的翻转人数；每格不超过原人数，总人数不超过K。任一多位改变对本坐标等价于该位翻转或不变；构造见证证明所有枚举点可实现。</x:v>
      </x:c>
      <x:c r="M1958" s="12"/>
      <x:c r="N1958" s="12"/>
      <x:c r="O1958" s="12"/>
    </x:row>
    <x:row r="1959" ht="24" customHeight="1">
      <x:c r="A1959" s="12" t="str">
        <x:v>固定C0</x:v>
      </x:c>
      <x:c r="B1959" s="12" t="str">
        <x:v>CLBBB</x:v>
      </x:c>
      <x:c r="C1959" s="12" t="str">
        <x:v>纳入比例</x:v>
      </x:c>
      <x:c r="D1959" s="12" t="str">
        <x:v>最小</x:v>
      </x:c>
      <x:c r="E1959" s="12" t="n">
        <x:v>0</x:v>
      </x:c>
      <x:c r="F1959" s="12" t="n">
        <x:v>35</x:v>
      </x:c>
      <x:c r="G1959" s="14" t="n">
        <x:f>E1959/F1959</x:f>
        <x:v>0</x:v>
      </x:c>
      <x:c r="H1959" s="12" t="str">
        <x:v>0</x:v>
      </x:c>
      <x:c r="I1959" s="12" t="n">
        <x:v>4</x:v>
      </x:c>
      <x:c r="J1959" s="12"/>
      <x:c r="K1959" s="12"/>
      <x:c r="L1959" s="12" t="str">
        <x:v>穷举四来源格的翻转人数；每格不超过原人数，总人数不超过K。任一多位改变对本坐标等价于该位翻转或不变；构造见证证明所有枚举点可实现。</x:v>
      </x:c>
      <x:c r="M1959" s="12"/>
      <x:c r="N1959" s="12"/>
      <x:c r="O1959" s="12"/>
    </x:row>
    <x:row r="1960" ht="24" customHeight="1">
      <x:c r="A1960" s="12" t="str">
        <x:v>固定C0</x:v>
      </x:c>
      <x:c r="B1960" s="12" t="str">
        <x:v>CLBBB</x:v>
      </x:c>
      <x:c r="C1960" s="12" t="str">
        <x:v>纳入比例</x:v>
      </x:c>
      <x:c r="D1960" s="12" t="str">
        <x:v>最大</x:v>
      </x:c>
      <x:c r="E1960" s="12" t="n">
        <x:v>9</x:v>
      </x:c>
      <x:c r="F1960" s="12" t="n">
        <x:v>44</x:v>
      </x:c>
      <x:c r="G1960" s="14" t="n">
        <x:f>E1960/F1960</x:f>
        <x:v>0.20454545454545456</x:v>
      </x:c>
      <x:c r="H1960" s="12" t="str">
        <x:v>9/44</x:v>
      </x:c>
      <x:c r="I1960" s="12" t="n">
        <x:v>5</x:v>
      </x:c>
      <x:c r="J1960" s="12"/>
      <x:c r="K1960" s="12"/>
      <x:c r="L1960" s="12" t="str">
        <x:v>穷举四来源格的翻转人数；每格不超过原人数，总人数不超过K。任一多位改变对本坐标等价于该位翻转或不变；构造见证证明所有枚举点可实现。</x:v>
      </x:c>
      <x:c r="M1960" s="12"/>
      <x:c r="N1960" s="12"/>
      <x:c r="O1960" s="12"/>
    </x:row>
    <x:row r="1961" ht="24" customHeight="1">
      <x:c r="A1961" s="12" t="str">
        <x:v>固定C0</x:v>
      </x:c>
      <x:c r="B1961" s="12" t="str">
        <x:v>CRBBB</x:v>
      </x:c>
      <x:c r="C1961" s="12" t="str">
        <x:v>纳入比例</x:v>
      </x:c>
      <x:c r="D1961" s="12" t="str">
        <x:v>最小</x:v>
      </x:c>
      <x:c r="E1961" s="12" t="n">
        <x:v>0</x:v>
      </x:c>
      <x:c r="F1961" s="12" t="n">
        <x:v>40</x:v>
      </x:c>
      <x:c r="G1961" s="14" t="n">
        <x:f>E1961/F1961</x:f>
        <x:v>0</x:v>
      </x:c>
      <x:c r="H1961" s="12" t="str">
        <x:v>0</x:v>
      </x:c>
      <x:c r="I1961" s="12" t="n">
        <x:v>5</x:v>
      </x:c>
      <x:c r="J1961" s="12"/>
      <x:c r="K1961" s="12"/>
      <x:c r="L1961" s="12" t="str">
        <x:v>穷举四来源格的翻转人数；每格不超过原人数，总人数不超过K。任一多位改变对本坐标等价于该位翻转或不变；构造见证证明所有枚举点可实现。</x:v>
      </x:c>
      <x:c r="M1961" s="12"/>
      <x:c r="N1961" s="12"/>
      <x:c r="O1961" s="12"/>
    </x:row>
    <x:row r="1962" ht="24" customHeight="1">
      <x:c r="A1962" s="12" t="str">
        <x:v>固定C0</x:v>
      </x:c>
      <x:c r="B1962" s="12" t="str">
        <x:v>CRBBB</x:v>
      </x:c>
      <x:c r="C1962" s="12" t="str">
        <x:v>纳入比例</x:v>
      </x:c>
      <x:c r="D1962" s="12" t="str">
        <x:v>最大</x:v>
      </x:c>
      <x:c r="E1962" s="12" t="n">
        <x:v>10</x:v>
      </x:c>
      <x:c r="F1962" s="12" t="n">
        <x:v>50</x:v>
      </x:c>
      <x:c r="G1962" s="14" t="n">
        <x:f>E1962/F1962</x:f>
        <x:v>0.2</x:v>
      </x:c>
      <x:c r="H1962" s="12" t="str">
        <x:v>1/5</x:v>
      </x:c>
      <x:c r="I1962" s="12" t="n">
        <x:v>5</x:v>
      </x:c>
      <x:c r="J1962" s="12"/>
      <x:c r="K1962" s="12"/>
      <x:c r="L1962" s="12" t="str">
        <x:v>穷举四来源格的翻转人数；每格不超过原人数，总人数不超过K。任一多位改变对本坐标等价于该位翻转或不变；构造见证证明所有枚举点可实现。</x:v>
      </x:c>
      <x:c r="M1962" s="12"/>
      <x:c r="N1962" s="12"/>
      <x:c r="O1962" s="12"/>
    </x:row>
    <x:row r="1963" ht="24" customHeight="1">
      <x:c r="A1963" s="12" t="str">
        <x:v>固定C0</x:v>
      </x:c>
      <x:c r="B1963" s="12" t="str">
        <x:v>任一目标</x:v>
      </x:c>
      <x:c r="C1963" s="12" t="str">
        <x:v>纳入比例</x:v>
      </x:c>
      <x:c r="D1963" s="12" t="str">
        <x:v>最小</x:v>
      </x:c>
      <x:c r="E1963" s="12" t="n">
        <x:v>24</x:v>
      </x:c>
      <x:c r="F1963" s="12" t="n">
        <x:v>181</x:v>
      </x:c>
      <x:c r="G1963" s="14" t="n">
        <x:f>E1963/F1963</x:f>
        <x:v>0.13259668508287292</x:v>
      </x:c>
      <x:c r="H1963" s="12" t="str">
        <x:v>24/181</x:v>
      </x:c>
      <x:c r="I1963" s="12" t="n">
        <x:v>5</x:v>
      </x:c>
      <x:c r="J1963" s="12"/>
      <x:c r="K1963" s="12"/>
      <x:c r="L1963" s="12" t="str">
        <x:v>穷举四来源格的翻转人数；每格不超过原人数，总人数不超过K。任一多位改变对本坐标等价于该位翻转或不变；构造见证证明所有枚举点可实现。</x:v>
      </x:c>
      <x:c r="M1963" s="12"/>
      <x:c r="N1963" s="12"/>
      <x:c r="O1963" s="12"/>
    </x:row>
    <x:row r="1964" ht="24" customHeight="1">
      <x:c r="A1964" s="12" t="str">
        <x:v>固定C0</x:v>
      </x:c>
      <x:c r="B1964" s="12" t="str">
        <x:v>任一目标</x:v>
      </x:c>
      <x:c r="C1964" s="12" t="str">
        <x:v>纳入比例</x:v>
      </x:c>
      <x:c r="D1964" s="12" t="str">
        <x:v>最大</x:v>
      </x:c>
      <x:c r="E1964" s="12" t="n">
        <x:v>34</x:v>
      </x:c>
      <x:c r="F1964" s="12" t="n">
        <x:v>191</x:v>
      </x:c>
      <x:c r="G1964" s="14" t="n">
        <x:f>E1964/F1964</x:f>
        <x:v>0.17801047120418848</x:v>
      </x:c>
      <x:c r="H1964" s="12" t="str">
        <x:v>34/191</x:v>
      </x:c>
      <x:c r="I1964" s="12" t="n">
        <x:v>5</x:v>
      </x:c>
      <x:c r="J1964" s="12"/>
      <x:c r="K1964" s="12"/>
      <x:c r="L1964" s="12" t="str">
        <x:v>穷举四来源格的翻转人数；每格不超过原人数，总人数不超过K。任一多位改变对本坐标等价于该位翻转或不变；构造见证证明所有枚举点可实现。</x:v>
      </x:c>
      <x:c r="M1964" s="12"/>
      <x:c r="N1964" s="12"/>
      <x:c r="O1964" s="12"/>
    </x:row>
    <x:row r="1965" ht="39" customHeight="1">
      <x:c r="A1965" s="12" t="str">
        <x:v>重算C1</x:v>
      </x:c>
      <x:c r="B1965" s="12" t="str">
        <x:v>AFIB</x:v>
      </x:c>
      <x:c r="C1965" s="12" t="str">
        <x:v>纳入比例</x:v>
      </x:c>
      <x:c r="D1965" s="12" t="str">
        <x:v>最小</x:v>
      </x:c>
      <x:c r="E1965" s="12" t="n">
        <x:v>18</x:v>
      </x:c>
      <x:c r="F1965" s="12" t="n">
        <x:v>111</x:v>
      </x:c>
      <x:c r="G1965" s="14" t="n">
        <x:f>E1965/F1965</x:f>
        <x:v>0.16216216216216217</x:v>
      </x:c>
      <x:c r="H1965" s="12" t="str">
        <x:v>6/37</x:v>
      </x:c>
      <x:c r="I1965" s="12" t="n">
        <x:v>5</x:v>
      </x:c>
      <x:c r="J1965" s="12"/>
      <x:c r="K1965" s="12"/>
      <x:c r="L1965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65" s="12"/>
      <x:c r="N1965" s="12"/>
      <x:c r="O1965" s="12"/>
    </x:row>
    <x:row r="1966" ht="39" customHeight="1">
      <x:c r="A1966" s="12" t="str">
        <x:v>重算C1</x:v>
      </x:c>
      <x:c r="B1966" s="12" t="str">
        <x:v>AFIB</x:v>
      </x:c>
      <x:c r="C1966" s="12" t="str">
        <x:v>纳入比例</x:v>
      </x:c>
      <x:c r="D1966" s="12" t="str">
        <x:v>最大</x:v>
      </x:c>
      <x:c r="E1966" s="12" t="n">
        <x:v>28</x:v>
      </x:c>
      <x:c r="F1966" s="12" t="n">
        <x:v>114</x:v>
      </x:c>
      <x:c r="G1966" s="14" t="n">
        <x:f>E1966/F1966</x:f>
        <x:v>0.24561403508771928</x:v>
      </x:c>
      <x:c r="H1966" s="12" t="str">
        <x:v>14/57</x:v>
      </x:c>
      <x:c r="I1966" s="12" t="n">
        <x:v>5</x:v>
      </x:c>
      <x:c r="J1966" s="12"/>
      <x:c r="K1966" s="12"/>
      <x:c r="L1966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66" s="12"/>
      <x:c r="N1966" s="12"/>
      <x:c r="O1966" s="12"/>
    </x:row>
    <x:row r="1967" ht="39" customHeight="1">
      <x:c r="A1967" s="12" t="str">
        <x:v>重算C1</x:v>
      </x:c>
      <x:c r="B1967" s="12" t="str">
        <x:v>CLBBB</x:v>
      </x:c>
      <x:c r="C1967" s="12" t="str">
        <x:v>纳入比例</x:v>
      </x:c>
      <x:c r="D1967" s="12" t="str">
        <x:v>最小</x:v>
      </x:c>
      <x:c r="E1967" s="12" t="n">
        <x:v>0</x:v>
      </x:c>
      <x:c r="F1967" s="12" t="n">
        <x:v>35</x:v>
      </x:c>
      <x:c r="G1967" s="14" t="n">
        <x:f>E1967/F1967</x:f>
        <x:v>0</x:v>
      </x:c>
      <x:c r="H1967" s="12" t="str">
        <x:v>0</x:v>
      </x:c>
      <x:c r="I1967" s="12" t="n">
        <x:v>4</x:v>
      </x:c>
      <x:c r="J1967" s="12"/>
      <x:c r="K1967" s="12"/>
      <x:c r="L1967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67" s="12"/>
      <x:c r="N1967" s="12"/>
      <x:c r="O1967" s="12"/>
    </x:row>
    <x:row r="1968" ht="39" customHeight="1">
      <x:c r="A1968" s="12" t="str">
        <x:v>重算C1</x:v>
      </x:c>
      <x:c r="B1968" s="12" t="str">
        <x:v>CLBBB</x:v>
      </x:c>
      <x:c r="C1968" s="12" t="str">
        <x:v>纳入比例</x:v>
      </x:c>
      <x:c r="D1968" s="12" t="str">
        <x:v>最大</x:v>
      </x:c>
      <x:c r="E1968" s="12" t="n">
        <x:v>9</x:v>
      </x:c>
      <x:c r="F1968" s="12" t="n">
        <x:v>39</x:v>
      </x:c>
      <x:c r="G1968" s="14" t="n">
        <x:f>E1968/F1968</x:f>
        <x:v>0.23076923076923078</x:v>
      </x:c>
      <x:c r="H1968" s="12" t="str">
        <x:v>3/13</x:v>
      </x:c>
      <x:c r="I1968" s="12" t="n">
        <x:v>5</x:v>
      </x:c>
      <x:c r="J1968" s="12"/>
      <x:c r="K1968" s="12"/>
      <x:c r="L1968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68" s="12"/>
      <x:c r="N1968" s="12"/>
      <x:c r="O1968" s="12"/>
    </x:row>
    <x:row r="1969" ht="39" customHeight="1">
      <x:c r="A1969" s="12" t="str">
        <x:v>重算C1</x:v>
      </x:c>
      <x:c r="B1969" s="12" t="str">
        <x:v>CRBBB</x:v>
      </x:c>
      <x:c r="C1969" s="12" t="str">
        <x:v>纳入比例</x:v>
      </x:c>
      <x:c r="D1969" s="12" t="str">
        <x:v>最小</x:v>
      </x:c>
      <x:c r="E1969" s="12" t="n">
        <x:v>0</x:v>
      </x:c>
      <x:c r="F1969" s="12" t="n">
        <x:v>40</x:v>
      </x:c>
      <x:c r="G1969" s="14" t="n">
        <x:f>E1969/F1969</x:f>
        <x:v>0</x:v>
      </x:c>
      <x:c r="H1969" s="12" t="str">
        <x:v>0</x:v>
      </x:c>
      <x:c r="I1969" s="12" t="n">
        <x:v>5</x:v>
      </x:c>
      <x:c r="J1969" s="12"/>
      <x:c r="K1969" s="12"/>
      <x:c r="L1969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69" s="12"/>
      <x:c r="N1969" s="12"/>
      <x:c r="O1969" s="12"/>
    </x:row>
    <x:row r="1970" ht="39" customHeight="1">
      <x:c r="A1970" s="12" t="str">
        <x:v>重算C1</x:v>
      </x:c>
      <x:c r="B1970" s="12" t="str">
        <x:v>CRBBB</x:v>
      </x:c>
      <x:c r="C1970" s="12" t="str">
        <x:v>纳入比例</x:v>
      </x:c>
      <x:c r="D1970" s="12" t="str">
        <x:v>最大</x:v>
      </x:c>
      <x:c r="E1970" s="12" t="n">
        <x:v>10</x:v>
      </x:c>
      <x:c r="F1970" s="12" t="n">
        <x:v>45</x:v>
      </x:c>
      <x:c r="G1970" s="14" t="n">
        <x:f>E1970/F1970</x:f>
        <x:v>0.2222222222222222</x:v>
      </x:c>
      <x:c r="H1970" s="12" t="str">
        <x:v>2/9</x:v>
      </x:c>
      <x:c r="I1970" s="12" t="n">
        <x:v>5</x:v>
      </x:c>
      <x:c r="J1970" s="12"/>
      <x:c r="K1970" s="12"/>
      <x:c r="L1970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70" s="12"/>
      <x:c r="N1970" s="12"/>
      <x:c r="O1970" s="12"/>
    </x:row>
    <x:row r="1971" ht="39" customHeight="1">
      <x:c r="A1971" s="12" t="str">
        <x:v>重算C1</x:v>
      </x:c>
      <x:c r="B1971" s="12" t="str">
        <x:v>任一目标</x:v>
      </x:c>
      <x:c r="C1971" s="12" t="str">
        <x:v>纳入比例</x:v>
      </x:c>
      <x:c r="D1971" s="12" t="str">
        <x:v>最小</x:v>
      </x:c>
      <x:c r="E1971" s="12" t="n">
        <x:v>24</x:v>
      </x:c>
      <x:c r="F1971" s="12" t="n">
        <x:v>186</x:v>
      </x:c>
      <x:c r="G1971" s="14" t="n">
        <x:f>E1971/F1971</x:f>
        <x:v>0.12903225806451613</x:v>
      </x:c>
      <x:c r="H1971" s="12" t="str">
        <x:v>4/31</x:v>
      </x:c>
      <x:c r="I1971" s="12" t="n">
        <x:v>5</x:v>
      </x:c>
      <x:c r="J1971" s="12"/>
      <x:c r="K1971" s="12"/>
      <x:c r="L1971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71" s="12"/>
      <x:c r="N1971" s="12"/>
      <x:c r="O1971" s="12"/>
    </x:row>
    <x:row r="1972" ht="39" customHeight="1">
      <x:c r="A1972" s="12" t="str">
        <x:v>重算C1</x:v>
      </x:c>
      <x:c r="B1972" s="12" t="str">
        <x:v>任一目标</x:v>
      </x:c>
      <x:c r="C1972" s="12" t="str">
        <x:v>纳入比例</x:v>
      </x:c>
      <x:c r="D1972" s="12" t="str">
        <x:v>最大</x:v>
      </x:c>
      <x:c r="E1972" s="12" t="n">
        <x:v>34</x:v>
      </x:c>
      <x:c r="F1972" s="12" t="n">
        <x:v>186</x:v>
      </x:c>
      <x:c r="G1972" s="14" t="n">
        <x:f>E1972/F1972</x:f>
        <x:v>0.1827956989247312</x:v>
      </x:c>
      <x:c r="H1972" s="12" t="str">
        <x:v>17/93</x:v>
      </x:c>
      <x:c r="I1972" s="12" t="n">
        <x:v>5</x:v>
      </x:c>
      <x:c r="J1972" s="12"/>
      <x:c r="K1972" s="12"/>
      <x:c r="L1972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72" s="12"/>
      <x:c r="N1972" s="12"/>
      <x:c r="O1972" s="12"/>
    </x:row>
    <x:row r="1973" ht="39" customHeight="1">
      <x:c r="A1973" s="12" t="str">
        <x:v>配对C1减C0</x:v>
      </x:c>
      <x:c r="B1973" s="12" t="str">
        <x:v>AFIB</x:v>
      </x:c>
      <x:c r="C1973" s="12" t="str">
        <x:v>配对差值</x:v>
      </x:c>
      <x:c r="D1973" s="12" t="str">
        <x:v>最小</x:v>
      </x:c>
      <x:c r="E1973" s="12" t="n">
        <x:v>-5</x:v>
      </x:c>
      <x:c r="F1973" s="12" t="n">
        <x:v>117</x:v>
      </x:c>
      <x:c r="G1973" s="26" t="n">
        <x:f>100*E1973/F1973</x:f>
        <x:v>-4.273504273504273</x:v>
      </x:c>
      <x:c r="H1973" s="12" t="str">
        <x:v>-5/117</x:v>
      </x:c>
      <x:c r="I1973" s="12" t="n">
        <x:v>5</x:v>
      </x:c>
      <x:c r="J1973" s="12" t="n">
        <x:v>26</x:v>
      </x:c>
      <x:c r="K1973" s="12" t="n">
        <x:v>21</x:v>
      </x:c>
      <x:c r="L1973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73" s="12"/>
      <x:c r="N1973" s="12"/>
      <x:c r="O1973" s="12"/>
    </x:row>
    <x:row r="1974" ht="39" customHeight="1">
      <x:c r="A1974" s="12" t="str">
        <x:v>配对C1减C0</x:v>
      </x:c>
      <x:c r="B1974" s="12" t="str">
        <x:v>AFIB</x:v>
      </x:c>
      <x:c r="C1974" s="12" t="str">
        <x:v>配对差值</x:v>
      </x:c>
      <x:c r="D1974" s="12" t="str">
        <x:v>最大</x:v>
      </x:c>
      <x:c r="E1974" s="12" t="n">
        <x:v>5</x:v>
      </x:c>
      <x:c r="F1974" s="12" t="n">
        <x:v>114</x:v>
      </x:c>
      <x:c r="G1974" s="26" t="n">
        <x:f>100*E1974/F1974</x:f>
        <x:v>4.385964912280702</x:v>
      </x:c>
      <x:c r="H1974" s="12" t="str">
        <x:v>5/114</x:v>
      </x:c>
      <x:c r="I1974" s="12" t="n">
        <x:v>5</x:v>
      </x:c>
      <x:c r="J1974" s="12" t="n">
        <x:v>23</x:v>
      </x:c>
      <x:c r="K1974" s="12" t="n">
        <x:v>28</x:v>
      </x:c>
      <x:c r="L1974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74" s="12"/>
      <x:c r="N1974" s="12"/>
      <x:c r="O1974" s="12"/>
    </x:row>
    <x:row r="1975" ht="39" customHeight="1">
      <x:c r="A1975" s="12" t="str">
        <x:v>配对C1减C0</x:v>
      </x:c>
      <x:c r="B1975" s="12" t="str">
        <x:v>CLBBB</x:v>
      </x:c>
      <x:c r="C1975" s="12" t="str">
        <x:v>配对差值</x:v>
      </x:c>
      <x:c r="D1975" s="12" t="str">
        <x:v>最小</x:v>
      </x:c>
      <x:c r="E1975" s="12" t="n">
        <x:v>-5</x:v>
      </x:c>
      <x:c r="F1975" s="12" t="n">
        <x:v>43</x:v>
      </x:c>
      <x:c r="G1975" s="26" t="n">
        <x:f>100*E1975/F1975</x:f>
        <x:v>-11.627906976744185</x:v>
      </x:c>
      <x:c r="H1975" s="12" t="str">
        <x:v>-5/43</x:v>
      </x:c>
      <x:c r="I1975" s="12" t="n">
        <x:v>5</x:v>
      </x:c>
      <x:c r="J1975" s="12" t="n">
        <x:v>8</x:v>
      </x:c>
      <x:c r="K1975" s="12" t="n">
        <x:v>3</x:v>
      </x:c>
      <x:c r="L1975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75" s="12"/>
      <x:c r="N1975" s="12"/>
      <x:c r="O1975" s="12"/>
    </x:row>
    <x:row r="1976" ht="39" customHeight="1">
      <x:c r="A1976" s="12" t="str">
        <x:v>配对C1减C0</x:v>
      </x:c>
      <x:c r="B1976" s="12" t="str">
        <x:v>CLBBB</x:v>
      </x:c>
      <x:c r="C1976" s="12" t="str">
        <x:v>配对差值</x:v>
      </x:c>
      <x:c r="D1976" s="12" t="str">
        <x:v>最大</x:v>
      </x:c>
      <x:c r="E1976" s="12" t="n">
        <x:v>5</x:v>
      </x:c>
      <x:c r="F1976" s="12" t="n">
        <x:v>39</x:v>
      </x:c>
      <x:c r="G1976" s="26" t="n">
        <x:f>100*E1976/F1976</x:f>
        <x:v>12.820512820512821</x:v>
      </x:c>
      <x:c r="H1976" s="12" t="str">
        <x:v>5/39</x:v>
      </x:c>
      <x:c r="I1976" s="12" t="n">
        <x:v>5</x:v>
      </x:c>
      <x:c r="J1976" s="12" t="n">
        <x:v>4</x:v>
      </x:c>
      <x:c r="K1976" s="12" t="n">
        <x:v>9</x:v>
      </x:c>
      <x:c r="L1976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76" s="12"/>
      <x:c r="N1976" s="12"/>
      <x:c r="O1976" s="12"/>
    </x:row>
    <x:row r="1977" ht="39" customHeight="1">
      <x:c r="A1977" s="12" t="str">
        <x:v>配对C1减C0</x:v>
      </x:c>
      <x:c r="B1977" s="12" t="str">
        <x:v>CRBBB</x:v>
      </x:c>
      <x:c r="C1977" s="12" t="str">
        <x:v>配对差值</x:v>
      </x:c>
      <x:c r="D1977" s="12" t="str">
        <x:v>最小</x:v>
      </x:c>
      <x:c r="E1977" s="12" t="n">
        <x:v>-5</x:v>
      </x:c>
      <x:c r="F1977" s="12" t="n">
        <x:v>46</x:v>
      </x:c>
      <x:c r="G1977" s="26" t="n">
        <x:f>100*E1977/F1977</x:f>
        <x:v>-10.869565217391305</x:v>
      </x:c>
      <x:c r="H1977" s="12" t="str">
        <x:v>-5/46</x:v>
      </x:c>
      <x:c r="I1977" s="12" t="n">
        <x:v>5</x:v>
      </x:c>
      <x:c r="J1977" s="12" t="n">
        <x:v>6</x:v>
      </x:c>
      <x:c r="K1977" s="12" t="n">
        <x:v>1</x:v>
      </x:c>
      <x:c r="L1977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77" s="12"/>
      <x:c r="N1977" s="12"/>
      <x:c r="O1977" s="12"/>
    </x:row>
    <x:row r="1978" ht="39" customHeight="1">
      <x:c r="A1978" s="12" t="str">
        <x:v>配对C1减C0</x:v>
      </x:c>
      <x:c r="B1978" s="12" t="str">
        <x:v>CRBBB</x:v>
      </x:c>
      <x:c r="C1978" s="12" t="str">
        <x:v>配对差值</x:v>
      </x:c>
      <x:c r="D1978" s="12" t="str">
        <x:v>最大</x:v>
      </x:c>
      <x:c r="E1978" s="12" t="n">
        <x:v>5</x:v>
      </x:c>
      <x:c r="F1978" s="12" t="n">
        <x:v>45</x:v>
      </x:c>
      <x:c r="G1978" s="26" t="n">
        <x:f>100*E1978/F1978</x:f>
        <x:v>11.11111111111111</x:v>
      </x:c>
      <x:c r="H1978" s="12" t="str">
        <x:v>1/9</x:v>
      </x:c>
      <x:c r="I1978" s="12" t="n">
        <x:v>5</x:v>
      </x:c>
      <x:c r="J1978" s="12" t="n">
        <x:v>5</x:v>
      </x:c>
      <x:c r="K1978" s="12" t="n">
        <x:v>10</x:v>
      </x:c>
      <x:c r="L1978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78" s="12"/>
      <x:c r="N1978" s="12"/>
      <x:c r="O1978" s="12"/>
    </x:row>
    <x:row r="1979" ht="39" customHeight="1">
      <x:c r="A1979" s="12" t="str">
        <x:v>配对C1减C0</x:v>
      </x:c>
      <x:c r="B1979" s="12" t="str">
        <x:v>任一目标</x:v>
      </x:c>
      <x:c r="C1979" s="12" t="str">
        <x:v>配对差值</x:v>
      </x:c>
      <x:c r="D1979" s="12" t="str">
        <x:v>最小</x:v>
      </x:c>
      <x:c r="E1979" s="12" t="n">
        <x:v>-5</x:v>
      </x:c>
      <x:c r="F1979" s="12" t="n">
        <x:v>186</x:v>
      </x:c>
      <x:c r="G1979" s="26" t="n">
        <x:f>100*E1979/F1979</x:f>
        <x:v>-2.6881720430107525</x:v>
      </x:c>
      <x:c r="H1979" s="12" t="str">
        <x:v>-5/186</x:v>
      </x:c>
      <x:c r="I1979" s="12" t="n">
        <x:v>5</x:v>
      </x:c>
      <x:c r="J1979" s="12" t="n">
        <x:v>29</x:v>
      </x:c>
      <x:c r="K1979" s="12" t="n">
        <x:v>24</x:v>
      </x:c>
      <x:c r="L1979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79" s="12"/>
      <x:c r="N1979" s="12"/>
      <x:c r="O1979" s="12"/>
    </x:row>
    <x:row r="1980" ht="39" customHeight="1">
      <x:c r="A1980" s="12" t="str">
        <x:v>配对C1减C0</x:v>
      </x:c>
      <x:c r="B1980" s="12" t="str">
        <x:v>任一目标</x:v>
      </x:c>
      <x:c r="C1980" s="12" t="str">
        <x:v>配对差值</x:v>
      </x:c>
      <x:c r="D1980" s="12" t="str">
        <x:v>最大</x:v>
      </x:c>
      <x:c r="E1980" s="12" t="n">
        <x:v>5</x:v>
      </x:c>
      <x:c r="F1980" s="12" t="n">
        <x:v>186</x:v>
      </x:c>
      <x:c r="G1980" s="26" t="n">
        <x:f>100*E1980/F1980</x:f>
        <x:v>2.6881720430107525</x:v>
      </x:c>
      <x:c r="H1980" s="12" t="str">
        <x:v>5/186</x:v>
      </x:c>
      <x:c r="I1980" s="12" t="n">
        <x:v>5</x:v>
      </x:c>
      <x:c r="J1980" s="12" t="n">
        <x:v>29</x:v>
      </x:c>
      <x:c r="K1980" s="12" t="n">
        <x:v>34</x:v>
      </x:c>
      <x:c r="L1980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80" s="12"/>
      <x:c r="N1980" s="12"/>
      <x:c r="O1980" s="12"/>
    </x:row>
    <x:row r="1981" ht="39" customHeight="1">
      <x:c r="A1981" s="12" t="str">
        <x:v>重算C1</x:v>
      </x:c>
      <x:c r="B1981" s="12" t="str">
        <x:v>全部患者</x:v>
      </x:c>
      <x:c r="C1981" s="12" t="str">
        <x:v>优先人数</x:v>
      </x:c>
      <x:c r="D1981" s="12" t="str">
        <x:v>最小</x:v>
      </x:c>
      <x:c r="E1981" s="12" t="n">
        <x:v>52</x:v>
      </x:c>
      <x:c r="F1981" s="12" t="n">
        <x:v>1893</x:v>
      </x:c>
      <x:c r="G1981" s="14" t="n">
        <x:f>E1981/F1981</x:f>
        <x:v>0.02746962493396725</x:v>
      </x:c>
      <x:c r="H1981" s="12" t="str">
        <x:v>52/1893</x:v>
      </x:c>
      <x:c r="I1981" s="12" t="n">
        <x:v>5</x:v>
      </x:c>
      <x:c r="J1981" s="12"/>
      <x:c r="K1981" s="12"/>
      <x:c r="L1981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81" s="12"/>
      <x:c r="N1981" s="12"/>
      <x:c r="O1981" s="12"/>
    </x:row>
    <x:row r="1982" ht="39" customHeight="1">
      <x:c r="A1982" s="12" t="str">
        <x:v>重算C1</x:v>
      </x:c>
      <x:c r="B1982" s="12" t="str">
        <x:v>全部患者</x:v>
      </x:c>
      <x:c r="C1982" s="12" t="str">
        <x:v>优先人数</x:v>
      </x:c>
      <x:c r="D1982" s="12" t="str">
        <x:v>最大</x:v>
      </x:c>
      <x:c r="E1982" s="12" t="n">
        <x:v>62</x:v>
      </x:c>
      <x:c r="F1982" s="12" t="n">
        <x:v>1893</x:v>
      </x:c>
      <x:c r="G1982" s="14" t="n">
        <x:f>E1982/F1982</x:f>
        <x:v>0.032752245113576335</x:v>
      </x:c>
      <x:c r="H1982" s="12" t="str">
        <x:v>62/1893</x:v>
      </x:c>
      <x:c r="I1982" s="12" t="n">
        <x:v>5</x:v>
      </x:c>
      <x:c r="J1982" s="12"/>
      <x:c r="K1982" s="12"/>
      <x:c r="L1982" s="12" t="str">
        <x:v>按两侧三位向量的实际配对组合计数作有界动态规划；枚举每组至多K人的七种不同参考向量替换。状态保留名额、分子改变量和分母改变量，各组容量受原人数约束。保留所有可达状态后取精确有理数极值。</x:v>
      </x:c>
      <x:c r="M1982" s="12"/>
      <x:c r="N1982" s="12"/>
      <x:c r="O1982" s="12"/>
    </x:row>
    <x:row r="1983" ht="24" customHeight="1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2"/>
      <x:c r="L1983" s="12"/>
      <x:c r="M1983" s="12"/>
      <x:c r="N1983" s="12"/>
      <x:c r="O1983" s="12"/>
    </x:row>
    <x:row r="1984" ht="24" customHeight="1">
      <x:c r="A1984" s="12" t="str">
        <x:v>各端点的匿名实现清单</x:v>
      </x:c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2"/>
      <x:c r="L1984" s="12"/>
      <x:c r="M1984" s="12"/>
      <x:c r="N1984" s="12"/>
      <x:c r="O1984" s="12"/>
    </x:row>
    <x:row r="1985" ht="24" customHeight="1">
      <x:c r="A1985" s="16" t="str">
        <x:v>分析</x:v>
      </x:c>
      <x:c r="B1985" s="16" t="str">
        <x:v>目标</x:v>
      </x:c>
      <x:c r="C1985" s="16" t="str">
        <x:v>量</x:v>
      </x:c>
      <x:c r="D1985" s="16" t="str">
        <x:v>端点</x:v>
      </x:c>
      <x:c r="E1985" s="16" t="str">
        <x:v>ecg_id</x:v>
      </x:c>
      <x:c r="F1985" s="16" t="str">
        <x:v>patient_id</x:v>
      </x:c>
      <x:c r="G1985" s="16" t="str">
        <x:v>原参考向量</x:v>
      </x:c>
      <x:c r="H1985" s="16" t="str">
        <x:v>新参考向量</x:v>
      </x:c>
      <x:c r="I1985" s="16" t="str">
        <x:v>固定自动向量</x:v>
      </x:c>
      <x:c r="J1985" s="16" t="str">
        <x:v>说明</x:v>
      </x:c>
      <x:c r="K1985" s="16"/>
      <x:c r="L1985" s="16"/>
      <x:c r="M1985" s="16"/>
      <x:c r="N1985" s="16"/>
      <x:c r="O1985" s="16"/>
    </x:row>
    <x:row r="1986" ht="24" customHeight="1">
      <x:c r="A1986" s="12" t="str">
        <x:v>原比例压力</x:v>
      </x:c>
      <x:c r="B1986" s="12" t="str">
        <x:v>AFIB</x:v>
      </x:c>
      <x:c r="C1986" s="12" t="str">
        <x:v>PPA</x:v>
      </x:c>
      <x:c r="D1986" s="12" t="str">
        <x:v>min</x:v>
      </x:c>
      <x:c r="E1986" s="12" t="str">
        <x:v>9</x:v>
      </x:c>
      <x:c r="F1986" s="12" t="str">
        <x:v>18792</x:v>
      </x:c>
      <x:c r="G1986" s="12" t="str">
        <x:v>原000</x:v>
      </x:c>
      <x:c r="H1986" s="12" t="str">
        <x:v>新100</x:v>
      </x:c>
      <x:c r="I1986" s="12" t="str">
        <x:v>自动000</x:v>
      </x:c>
      <x:c r="J1986" s="12" t="str">
        <x:v>每行一名不同患者；此端点清单内共享名额</x:v>
      </x:c>
      <x:c r="K1986" s="12"/>
      <x:c r="L1986" s="12"/>
      <x:c r="M1986" s="12"/>
      <x:c r="N1986" s="12"/>
      <x:c r="O1986" s="12"/>
    </x:row>
    <x:row r="1987" ht="24" customHeight="1">
      <x:c r="A1987" s="12" t="str">
        <x:v>原比例压力</x:v>
      </x:c>
      <x:c r="B1987" s="12" t="str">
        <x:v>AFIB</x:v>
      </x:c>
      <x:c r="C1987" s="12" t="str">
        <x:v>PPA</x:v>
      </x:c>
      <x:c r="D1987" s="12" t="str">
        <x:v>min</x:v>
      </x:c>
      <x:c r="E1987" s="12" t="str">
        <x:v>38</x:v>
      </x:c>
      <x:c r="F1987" s="12" t="str">
        <x:v>17076</x:v>
      </x:c>
      <x:c r="G1987" s="12" t="str">
        <x:v>原000</x:v>
      </x:c>
      <x:c r="H1987" s="12" t="str">
        <x:v>新100</x:v>
      </x:c>
      <x:c r="I1987" s="12" t="str">
        <x:v>自动000</x:v>
      </x:c>
      <x:c r="J1987" s="12" t="str">
        <x:v>每行一名不同患者；此端点清单内共享名额</x:v>
      </x:c>
      <x:c r="K1987" s="12"/>
      <x:c r="L1987" s="12"/>
      <x:c r="M1987" s="12"/>
      <x:c r="N1987" s="12"/>
      <x:c r="O1987" s="12"/>
    </x:row>
    <x:row r="1988" ht="24" customHeight="1">
      <x:c r="A1988" s="12" t="str">
        <x:v>原比例压力</x:v>
      </x:c>
      <x:c r="B1988" s="12" t="str">
        <x:v>AFIB</x:v>
      </x:c>
      <x:c r="C1988" s="12" t="str">
        <x:v>PPA</x:v>
      </x:c>
      <x:c r="D1988" s="12" t="str">
        <x:v>min</x:v>
      </x:c>
      <x:c r="E1988" s="12" t="str">
        <x:v>40</x:v>
      </x:c>
      <x:c r="F1988" s="12" t="str">
        <x:v>19501</x:v>
      </x:c>
      <x:c r="G1988" s="12" t="str">
        <x:v>原000</x:v>
      </x:c>
      <x:c r="H1988" s="12" t="str">
        <x:v>新100</x:v>
      </x:c>
      <x:c r="I1988" s="12" t="str">
        <x:v>自动000</x:v>
      </x:c>
      <x:c r="J1988" s="12" t="str">
        <x:v>每行一名不同患者；此端点清单内共享名额</x:v>
      </x:c>
      <x:c r="K1988" s="12"/>
      <x:c r="L1988" s="12"/>
      <x:c r="M1988" s="12"/>
      <x:c r="N1988" s="12"/>
      <x:c r="O1988" s="12"/>
    </x:row>
    <x:row r="1989" ht="24" customHeight="1">
      <x:c r="A1989" s="12" t="str">
        <x:v>原比例压力</x:v>
      </x:c>
      <x:c r="B1989" s="12" t="str">
        <x:v>AFIB</x:v>
      </x:c>
      <x:c r="C1989" s="12" t="str">
        <x:v>PPA</x:v>
      </x:c>
      <x:c r="D1989" s="12" t="str">
        <x:v>min</x:v>
      </x:c>
      <x:c r="E1989" s="12" t="str">
        <x:v>57</x:v>
      </x:c>
      <x:c r="F1989" s="12" t="str">
        <x:v>16063</x:v>
      </x:c>
      <x:c r="G1989" s="12" t="str">
        <x:v>原000</x:v>
      </x:c>
      <x:c r="H1989" s="12" t="str">
        <x:v>新100</x:v>
      </x:c>
      <x:c r="I1989" s="12" t="str">
        <x:v>自动000</x:v>
      </x:c>
      <x:c r="J1989" s="12" t="str">
        <x:v>每行一名不同患者；此端点清单内共享名额</x:v>
      </x:c>
      <x:c r="K1989" s="12"/>
      <x:c r="L1989" s="12"/>
      <x:c r="M1989" s="12"/>
      <x:c r="N1989" s="12"/>
      <x:c r="O1989" s="12"/>
    </x:row>
    <x:row r="1990" ht="24" customHeight="1">
      <x:c r="A1990" s="12" t="str">
        <x:v>原比例压力</x:v>
      </x:c>
      <x:c r="B1990" s="12" t="str">
        <x:v>AFIB</x:v>
      </x:c>
      <x:c r="C1990" s="12" t="str">
        <x:v>PPA</x:v>
      </x:c>
      <x:c r="D1990" s="12" t="str">
        <x:v>min</x:v>
      </x:c>
      <x:c r="E1990" s="12" t="str">
        <x:v>59</x:v>
      </x:c>
      <x:c r="F1990" s="12" t="str">
        <x:v>19475</x:v>
      </x:c>
      <x:c r="G1990" s="12" t="str">
        <x:v>原000</x:v>
      </x:c>
      <x:c r="H1990" s="12" t="str">
        <x:v>新100</x:v>
      </x:c>
      <x:c r="I1990" s="12" t="str">
        <x:v>自动000</x:v>
      </x:c>
      <x:c r="J1990" s="12" t="str">
        <x:v>每行一名不同患者；此端点清单内共享名额</x:v>
      </x:c>
      <x:c r="K1990" s="12"/>
      <x:c r="L1990" s="12"/>
      <x:c r="M1990" s="12"/>
      <x:c r="N1990" s="12"/>
      <x:c r="O1990" s="12"/>
    </x:row>
    <x:row r="1991" ht="24" customHeight="1">
      <x:c r="A1991" s="12" t="str">
        <x:v>原比例压力</x:v>
      </x:c>
      <x:c r="B1991" s="12" t="str">
        <x:v>AFIB</x:v>
      </x:c>
      <x:c r="C1991" s="12" t="str">
        <x:v>PPA</x:v>
      </x:c>
      <x:c r="D1991" s="12" t="str">
        <x:v>max</x:v>
      </x:c>
      <x:c r="E1991" s="12" t="str">
        <x:v>2549</x:v>
      </x:c>
      <x:c r="F1991" s="12" t="str">
        <x:v>21158</x:v>
      </x:c>
      <x:c r="G1991" s="12" t="str">
        <x:v>原100</x:v>
      </x:c>
      <x:c r="H1991" s="12" t="str">
        <x:v>新000</x:v>
      </x:c>
      <x:c r="I1991" s="12" t="str">
        <x:v>自动000</x:v>
      </x:c>
      <x:c r="J1991" s="12" t="str">
        <x:v>每行一名不同患者；此端点清单内共享名额</x:v>
      </x:c>
      <x:c r="K1991" s="12"/>
      <x:c r="L1991" s="12"/>
      <x:c r="M1991" s="12"/>
      <x:c r="N1991" s="12"/>
      <x:c r="O1991" s="12"/>
    </x:row>
    <x:row r="1992" ht="24" customHeight="1">
      <x:c r="A1992" s="12" t="str">
        <x:v>原比例压力</x:v>
      </x:c>
      <x:c r="B1992" s="12" t="str">
        <x:v>AFIB</x:v>
      </x:c>
      <x:c r="C1992" s="12" t="str">
        <x:v>PPA</x:v>
      </x:c>
      <x:c r="D1992" s="12" t="str">
        <x:v>max</x:v>
      </x:c>
      <x:c r="E1992" s="12" t="str">
        <x:v>3692</x:v>
      </x:c>
      <x:c r="F1992" s="12" t="str">
        <x:v>18861</x:v>
      </x:c>
      <x:c r="G1992" s="12" t="str">
        <x:v>原100</x:v>
      </x:c>
      <x:c r="H1992" s="12" t="str">
        <x:v>新000</x:v>
      </x:c>
      <x:c r="I1992" s="12" t="str">
        <x:v>自动000</x:v>
      </x:c>
      <x:c r="J1992" s="12" t="str">
        <x:v>每行一名不同患者；此端点清单内共享名额</x:v>
      </x:c>
      <x:c r="K1992" s="12"/>
      <x:c r="L1992" s="12"/>
      <x:c r="M1992" s="12"/>
      <x:c r="N1992" s="12"/>
      <x:c r="O1992" s="12"/>
    </x:row>
    <x:row r="1993" ht="24" customHeight="1">
      <x:c r="A1993" s="12" t="str">
        <x:v>原比例压力</x:v>
      </x:c>
      <x:c r="B1993" s="12" t="str">
        <x:v>AFIB</x:v>
      </x:c>
      <x:c r="C1993" s="12" t="str">
        <x:v>PPA</x:v>
      </x:c>
      <x:c r="D1993" s="12" t="str">
        <x:v>max</x:v>
      </x:c>
      <x:c r="E1993" s="12" t="str">
        <x:v>4785</x:v>
      </x:c>
      <x:c r="F1993" s="12" t="str">
        <x:v>9903</x:v>
      </x:c>
      <x:c r="G1993" s="12" t="str">
        <x:v>原100</x:v>
      </x:c>
      <x:c r="H1993" s="12" t="str">
        <x:v>新000</x:v>
      </x:c>
      <x:c r="I1993" s="12" t="str">
        <x:v>自动000</x:v>
      </x:c>
      <x:c r="J1993" s="12" t="str">
        <x:v>每行一名不同患者；此端点清单内共享名额</x:v>
      </x:c>
      <x:c r="K1993" s="12"/>
      <x:c r="L1993" s="12"/>
      <x:c r="M1993" s="12"/>
      <x:c r="N1993" s="12"/>
      <x:c r="O1993" s="12"/>
    </x:row>
    <x:row r="1994" ht="24" customHeight="1">
      <x:c r="A1994" s="12" t="str">
        <x:v>原比例压力</x:v>
      </x:c>
      <x:c r="B1994" s="12" t="str">
        <x:v>AFIB</x:v>
      </x:c>
      <x:c r="C1994" s="12" t="str">
        <x:v>PPA</x:v>
      </x:c>
      <x:c r="D1994" s="12" t="str">
        <x:v>max</x:v>
      </x:c>
      <x:c r="E1994" s="12" t="str">
        <x:v>5777</x:v>
      </x:c>
      <x:c r="F1994" s="12" t="str">
        <x:v>16862</x:v>
      </x:c>
      <x:c r="G1994" s="12" t="str">
        <x:v>原100</x:v>
      </x:c>
      <x:c r="H1994" s="12" t="str">
        <x:v>新000</x:v>
      </x:c>
      <x:c r="I1994" s="12" t="str">
        <x:v>自动000</x:v>
      </x:c>
      <x:c r="J1994" s="12" t="str">
        <x:v>每行一名不同患者；此端点清单内共享名额</x:v>
      </x:c>
      <x:c r="K1994" s="12"/>
      <x:c r="L1994" s="12"/>
      <x:c r="M1994" s="12"/>
      <x:c r="N1994" s="12"/>
      <x:c r="O1994" s="12"/>
    </x:row>
    <x:row r="1995" ht="24" customHeight="1">
      <x:c r="A1995" s="12" t="str">
        <x:v>原比例压力</x:v>
      </x:c>
      <x:c r="B1995" s="12" t="str">
        <x:v>AFIB</x:v>
      </x:c>
      <x:c r="C1995" s="12" t="str">
        <x:v>PPA</x:v>
      </x:c>
      <x:c r="D1995" s="12" t="str">
        <x:v>max</x:v>
      </x:c>
      <x:c r="E1995" s="12" t="str">
        <x:v>6229</x:v>
      </x:c>
      <x:c r="F1995" s="12" t="str">
        <x:v>17805</x:v>
      </x:c>
      <x:c r="G1995" s="12" t="str">
        <x:v>原100</x:v>
      </x:c>
      <x:c r="H1995" s="12" t="str">
        <x:v>新000</x:v>
      </x:c>
      <x:c r="I1995" s="12" t="str">
        <x:v>自动000</x:v>
      </x:c>
      <x:c r="J1995" s="12" t="str">
        <x:v>每行一名不同患者；此端点清单内共享名额</x:v>
      </x:c>
      <x:c r="K1995" s="12"/>
      <x:c r="L1995" s="12"/>
      <x:c r="M1995" s="12"/>
      <x:c r="N1995" s="12"/>
      <x:c r="O1995" s="12"/>
    </x:row>
    <x:row r="1996" ht="24" customHeight="1">
      <x:c r="A1996" s="12" t="str">
        <x:v>原比例压力</x:v>
      </x:c>
      <x:c r="B1996" s="12" t="str">
        <x:v>AFIB</x:v>
      </x:c>
      <x:c r="C1996" s="12" t="str">
        <x:v>NPA</x:v>
      </x:c>
      <x:c r="D1996" s="12" t="str">
        <x:v>min</x:v>
      </x:c>
      <x:c r="E1996" s="12" t="str">
        <x:v>318</x:v>
      </x:c>
      <x:c r="F1996" s="12" t="str">
        <x:v>2034</x:v>
      </x:c>
      <x:c r="G1996" s="12" t="str">
        <x:v>原100</x:v>
      </x:c>
      <x:c r="H1996" s="12" t="str">
        <x:v>新000</x:v>
      </x:c>
      <x:c r="I1996" s="12" t="str">
        <x:v>自动100</x:v>
      </x:c>
      <x:c r="J1996" s="12" t="str">
        <x:v>每行一名不同患者；此端点清单内共享名额</x:v>
      </x:c>
      <x:c r="K1996" s="12"/>
      <x:c r="L1996" s="12"/>
      <x:c r="M1996" s="12"/>
      <x:c r="N1996" s="12"/>
      <x:c r="O1996" s="12"/>
    </x:row>
    <x:row r="1997" ht="24" customHeight="1">
      <x:c r="A1997" s="12" t="str">
        <x:v>原比例压力</x:v>
      </x:c>
      <x:c r="B1997" s="12" t="str">
        <x:v>AFIB</x:v>
      </x:c>
      <x:c r="C1997" s="12" t="str">
        <x:v>NPA</x:v>
      </x:c>
      <x:c r="D1997" s="12" t="str">
        <x:v>min</x:v>
      </x:c>
      <x:c r="E1997" s="12" t="str">
        <x:v>452</x:v>
      </x:c>
      <x:c r="F1997" s="12" t="str">
        <x:v>13110</x:v>
      </x:c>
      <x:c r="G1997" s="12" t="str">
        <x:v>原100</x:v>
      </x:c>
      <x:c r="H1997" s="12" t="str">
        <x:v>新000</x:v>
      </x:c>
      <x:c r="I1997" s="12" t="str">
        <x:v>自动100</x:v>
      </x:c>
      <x:c r="J1997" s="12" t="str">
        <x:v>每行一名不同患者；此端点清单内共享名额</x:v>
      </x:c>
      <x:c r="K1997" s="12"/>
      <x:c r="L1997" s="12"/>
      <x:c r="M1997" s="12"/>
      <x:c r="N1997" s="12"/>
      <x:c r="O1997" s="12"/>
    </x:row>
    <x:row r="1998" ht="24" customHeight="1">
      <x:c r="A1998" s="12" t="str">
        <x:v>原比例压力</x:v>
      </x:c>
      <x:c r="B1998" s="12" t="str">
        <x:v>AFIB</x:v>
      </x:c>
      <x:c r="C1998" s="12" t="str">
        <x:v>NPA</x:v>
      </x:c>
      <x:c r="D1998" s="12" t="str">
        <x:v>min</x:v>
      </x:c>
      <x:c r="E1998" s="12" t="str">
        <x:v>569</x:v>
      </x:c>
      <x:c r="F1998" s="12" t="str">
        <x:v>2936</x:v>
      </x:c>
      <x:c r="G1998" s="12" t="str">
        <x:v>原100</x:v>
      </x:c>
      <x:c r="H1998" s="12" t="str">
        <x:v>新000</x:v>
      </x:c>
      <x:c r="I1998" s="12" t="str">
        <x:v>自动101</x:v>
      </x:c>
      <x:c r="J1998" s="12" t="str">
        <x:v>每行一名不同患者；此端点清单内共享名额</x:v>
      </x:c>
      <x:c r="K1998" s="12"/>
      <x:c r="L1998" s="12"/>
      <x:c r="M1998" s="12"/>
      <x:c r="N1998" s="12"/>
      <x:c r="O1998" s="12"/>
    </x:row>
    <x:row r="1999" ht="24" customHeight="1">
      <x:c r="A1999" s="12" t="str">
        <x:v>原比例压力</x:v>
      </x:c>
      <x:c r="B1999" s="12" t="str">
        <x:v>AFIB</x:v>
      </x:c>
      <x:c r="C1999" s="12" t="str">
        <x:v>NPA</x:v>
      </x:c>
      <x:c r="D1999" s="12" t="str">
        <x:v>min</x:v>
      </x:c>
      <x:c r="E1999" s="12" t="str">
        <x:v>581</x:v>
      </x:c>
      <x:c r="F1999" s="12" t="str">
        <x:v>583</x:v>
      </x:c>
      <x:c r="G1999" s="12" t="str">
        <x:v>原100</x:v>
      </x:c>
      <x:c r="H1999" s="12" t="str">
        <x:v>新000</x:v>
      </x:c>
      <x:c r="I1999" s="12" t="str">
        <x:v>自动100</x:v>
      </x:c>
      <x:c r="J1999" s="12" t="str">
        <x:v>每行一名不同患者；此端点清单内共享名额</x:v>
      </x:c>
      <x:c r="K1999" s="12"/>
      <x:c r="L1999" s="12"/>
      <x:c r="M1999" s="12"/>
      <x:c r="N1999" s="12"/>
      <x:c r="O1999" s="12"/>
    </x:row>
    <x:row r="2000" ht="24" customHeight="1">
      <x:c r="A2000" s="12" t="str">
        <x:v>原比例压力</x:v>
      </x:c>
      <x:c r="B2000" s="12" t="str">
        <x:v>AFIB</x:v>
      </x:c>
      <x:c r="C2000" s="12" t="str">
        <x:v>NPA</x:v>
      </x:c>
      <x:c r="D2000" s="12" t="str">
        <x:v>min</x:v>
      </x:c>
      <x:c r="E2000" s="12" t="str">
        <x:v>963</x:v>
      </x:c>
      <x:c r="F2000" s="12" t="str">
        <x:v>6546</x:v>
      </x:c>
      <x:c r="G2000" s="12" t="str">
        <x:v>原100</x:v>
      </x:c>
      <x:c r="H2000" s="12" t="str">
        <x:v>新000</x:v>
      </x:c>
      <x:c r="I2000" s="12" t="str">
        <x:v>自动100</x:v>
      </x:c>
      <x:c r="J2000" s="12" t="str">
        <x:v>每行一名不同患者；此端点清单内共享名额</x:v>
      </x:c>
      <x:c r="K2000" s="12"/>
      <x:c r="L2000" s="12"/>
      <x:c r="M2000" s="12"/>
      <x:c r="N2000" s="12"/>
      <x:c r="O2000" s="12"/>
    </x:row>
    <x:row r="2001" ht="24" customHeight="1">
      <x:c r="A2001" s="12" t="str">
        <x:v>原比例压力</x:v>
      </x:c>
      <x:c r="B2001" s="12" t="str">
        <x:v>AFIB</x:v>
      </x:c>
      <x:c r="C2001" s="12" t="str">
        <x:v>NPA</x:v>
      </x:c>
      <x:c r="D2001" s="12" t="str">
        <x:v>max</x:v>
      </x:c>
      <x:c r="E2001" s="12" t="str">
        <x:v>382</x:v>
      </x:c>
      <x:c r="F2001" s="12" t="str">
        <x:v>10186</x:v>
      </x:c>
      <x:c r="G2001" s="12" t="str">
        <x:v>原000</x:v>
      </x:c>
      <x:c r="H2001" s="12" t="str">
        <x:v>新100</x:v>
      </x:c>
      <x:c r="I2001" s="12" t="str">
        <x:v>自动100</x:v>
      </x:c>
      <x:c r="J2001" s="12" t="str">
        <x:v>每行一名不同患者；此端点清单内共享名额</x:v>
      </x:c>
      <x:c r="K2001" s="12"/>
      <x:c r="L2001" s="12"/>
      <x:c r="M2001" s="12"/>
      <x:c r="N2001" s="12"/>
      <x:c r="O2001" s="12"/>
    </x:row>
    <x:row r="2002" ht="24" customHeight="1">
      <x:c r="A2002" s="12" t="str">
        <x:v>原比例压力</x:v>
      </x:c>
      <x:c r="B2002" s="12" t="str">
        <x:v>AFIB</x:v>
      </x:c>
      <x:c r="C2002" s="12" t="str">
        <x:v>NPA</x:v>
      </x:c>
      <x:c r="D2002" s="12" t="str">
        <x:v>max</x:v>
      </x:c>
      <x:c r="E2002" s="12" t="str">
        <x:v>1456</x:v>
      </x:c>
      <x:c r="F2002" s="12" t="str">
        <x:v>13776</x:v>
      </x:c>
      <x:c r="G2002" s="12" t="str">
        <x:v>原000</x:v>
      </x:c>
      <x:c r="H2002" s="12" t="str">
        <x:v>新100</x:v>
      </x:c>
      <x:c r="I2002" s="12" t="str">
        <x:v>自动100</x:v>
      </x:c>
      <x:c r="J2002" s="12" t="str">
        <x:v>每行一名不同患者；此端点清单内共享名额</x:v>
      </x:c>
      <x:c r="K2002" s="12"/>
      <x:c r="L2002" s="12"/>
      <x:c r="M2002" s="12"/>
      <x:c r="N2002" s="12"/>
      <x:c r="O2002" s="12"/>
    </x:row>
    <x:row r="2003" ht="24" customHeight="1">
      <x:c r="A2003" s="12" t="str">
        <x:v>原比例压力</x:v>
      </x:c>
      <x:c r="B2003" s="12" t="str">
        <x:v>AFIB</x:v>
      </x:c>
      <x:c r="C2003" s="12" t="str">
        <x:v>NPA</x:v>
      </x:c>
      <x:c r="D2003" s="12" t="str">
        <x:v>max</x:v>
      </x:c>
      <x:c r="E2003" s="12" t="str">
        <x:v>3508</x:v>
      </x:c>
      <x:c r="F2003" s="12" t="str">
        <x:v>5670</x:v>
      </x:c>
      <x:c r="G2003" s="12" t="str">
        <x:v>原000</x:v>
      </x:c>
      <x:c r="H2003" s="12" t="str">
        <x:v>新100</x:v>
      </x:c>
      <x:c r="I2003" s="12" t="str">
        <x:v>自动100</x:v>
      </x:c>
      <x:c r="J2003" s="12" t="str">
        <x:v>每行一名不同患者；此端点清单内共享名额</x:v>
      </x:c>
      <x:c r="K2003" s="12"/>
      <x:c r="L2003" s="12"/>
      <x:c r="M2003" s="12"/>
      <x:c r="N2003" s="12"/>
      <x:c r="O2003" s="12"/>
    </x:row>
    <x:row r="2004" ht="24" customHeight="1">
      <x:c r="A2004" s="12" t="str">
        <x:v>原比例压力</x:v>
      </x:c>
      <x:c r="B2004" s="12" t="str">
        <x:v>AFIB</x:v>
      </x:c>
      <x:c r="C2004" s="12" t="str">
        <x:v>NPA</x:v>
      </x:c>
      <x:c r="D2004" s="12" t="str">
        <x:v>max</x:v>
      </x:c>
      <x:c r="E2004" s="12" t="str">
        <x:v>8139</x:v>
      </x:c>
      <x:c r="F2004" s="12" t="str">
        <x:v>8935</x:v>
      </x:c>
      <x:c r="G2004" s="12" t="str">
        <x:v>原000</x:v>
      </x:c>
      <x:c r="H2004" s="12" t="str">
        <x:v>新100</x:v>
      </x:c>
      <x:c r="I2004" s="12" t="str">
        <x:v>自动100</x:v>
      </x:c>
      <x:c r="J2004" s="12" t="str">
        <x:v>每行一名不同患者；此端点清单内共享名额</x:v>
      </x:c>
      <x:c r="K2004" s="12"/>
      <x:c r="L2004" s="12"/>
      <x:c r="M2004" s="12"/>
      <x:c r="N2004" s="12"/>
      <x:c r="O2004" s="12"/>
    </x:row>
    <x:row r="2005" ht="24" customHeight="1">
      <x:c r="A2005" s="12" t="str">
        <x:v>原比例压力</x:v>
      </x:c>
      <x:c r="B2005" s="12" t="str">
        <x:v>AFIB</x:v>
      </x:c>
      <x:c r="C2005" s="12" t="str">
        <x:v>NPA</x:v>
      </x:c>
      <x:c r="D2005" s="12" t="str">
        <x:v>max</x:v>
      </x:c>
      <x:c r="E2005" s="12" t="str">
        <x:v>10846</x:v>
      </x:c>
      <x:c r="F2005" s="12" t="str">
        <x:v>10796</x:v>
      </x:c>
      <x:c r="G2005" s="12" t="str">
        <x:v>原000</x:v>
      </x:c>
      <x:c r="H2005" s="12" t="str">
        <x:v>新100</x:v>
      </x:c>
      <x:c r="I2005" s="12" t="str">
        <x:v>自动100</x:v>
      </x:c>
      <x:c r="J2005" s="12" t="str">
        <x:v>每行一名不同患者；此端点清单内共享名额</x:v>
      </x:c>
      <x:c r="K2005" s="12"/>
      <x:c r="L2005" s="12"/>
      <x:c r="M2005" s="12"/>
      <x:c r="N2005" s="12"/>
      <x:c r="O2005" s="12"/>
    </x:row>
    <x:row r="2006" ht="24" customHeight="1">
      <x:c r="A2006" s="12" t="str">
        <x:v>原比例压力</x:v>
      </x:c>
      <x:c r="B2006" s="12" t="str">
        <x:v>CLBBB</x:v>
      </x:c>
      <x:c r="C2006" s="12" t="str">
        <x:v>PPA</x:v>
      </x:c>
      <x:c r="D2006" s="12" t="str">
        <x:v>min</x:v>
      </x:c>
      <x:c r="E2006" s="12" t="str">
        <x:v>9</x:v>
      </x:c>
      <x:c r="F2006" s="12" t="str">
        <x:v>18792</x:v>
      </x:c>
      <x:c r="G2006" s="12" t="str">
        <x:v>原000</x:v>
      </x:c>
      <x:c r="H2006" s="12" t="str">
        <x:v>新010</x:v>
      </x:c>
      <x:c r="I2006" s="12" t="str">
        <x:v>自动000</x:v>
      </x:c>
      <x:c r="J2006" s="12" t="str">
        <x:v>每行一名不同患者；此端点清单内共享名额</x:v>
      </x:c>
      <x:c r="K2006" s="12"/>
      <x:c r="L2006" s="12"/>
      <x:c r="M2006" s="12"/>
      <x:c r="N2006" s="12"/>
      <x:c r="O2006" s="12"/>
    </x:row>
    <x:row r="2007" ht="24" customHeight="1">
      <x:c r="A2007" s="12" t="str">
        <x:v>原比例压力</x:v>
      </x:c>
      <x:c r="B2007" s="12" t="str">
        <x:v>CLBBB</x:v>
      </x:c>
      <x:c r="C2007" s="12" t="str">
        <x:v>PPA</x:v>
      </x:c>
      <x:c r="D2007" s="12" t="str">
        <x:v>min</x:v>
      </x:c>
      <x:c r="E2007" s="12" t="str">
        <x:v>38</x:v>
      </x:c>
      <x:c r="F2007" s="12" t="str">
        <x:v>17076</x:v>
      </x:c>
      <x:c r="G2007" s="12" t="str">
        <x:v>原000</x:v>
      </x:c>
      <x:c r="H2007" s="12" t="str">
        <x:v>新010</x:v>
      </x:c>
      <x:c r="I2007" s="12" t="str">
        <x:v>自动000</x:v>
      </x:c>
      <x:c r="J2007" s="12" t="str">
        <x:v>每行一名不同患者；此端点清单内共享名额</x:v>
      </x:c>
      <x:c r="K2007" s="12"/>
      <x:c r="L2007" s="12"/>
      <x:c r="M2007" s="12"/>
      <x:c r="N2007" s="12"/>
      <x:c r="O2007" s="12"/>
    </x:row>
    <x:row r="2008" ht="24" customHeight="1">
      <x:c r="A2008" s="12" t="str">
        <x:v>原比例压力</x:v>
      </x:c>
      <x:c r="B2008" s="12" t="str">
        <x:v>CLBBB</x:v>
      </x:c>
      <x:c r="C2008" s="12" t="str">
        <x:v>PPA</x:v>
      </x:c>
      <x:c r="D2008" s="12" t="str">
        <x:v>min</x:v>
      </x:c>
      <x:c r="E2008" s="12" t="str">
        <x:v>40</x:v>
      </x:c>
      <x:c r="F2008" s="12" t="str">
        <x:v>19501</x:v>
      </x:c>
      <x:c r="G2008" s="12" t="str">
        <x:v>原000</x:v>
      </x:c>
      <x:c r="H2008" s="12" t="str">
        <x:v>新010</x:v>
      </x:c>
      <x:c r="I2008" s="12" t="str">
        <x:v>自动000</x:v>
      </x:c>
      <x:c r="J2008" s="12" t="str">
        <x:v>每行一名不同患者；此端点清单内共享名额</x:v>
      </x:c>
      <x:c r="K2008" s="12"/>
      <x:c r="L2008" s="12"/>
      <x:c r="M2008" s="12"/>
      <x:c r="N2008" s="12"/>
      <x:c r="O2008" s="12"/>
    </x:row>
    <x:row r="2009" ht="24" customHeight="1">
      <x:c r="A2009" s="12" t="str">
        <x:v>原比例压力</x:v>
      </x:c>
      <x:c r="B2009" s="12" t="str">
        <x:v>CLBBB</x:v>
      </x:c>
      <x:c r="C2009" s="12" t="str">
        <x:v>PPA</x:v>
      </x:c>
      <x:c r="D2009" s="12" t="str">
        <x:v>min</x:v>
      </x:c>
      <x:c r="E2009" s="12" t="str">
        <x:v>57</x:v>
      </x:c>
      <x:c r="F2009" s="12" t="str">
        <x:v>16063</x:v>
      </x:c>
      <x:c r="G2009" s="12" t="str">
        <x:v>原000</x:v>
      </x:c>
      <x:c r="H2009" s="12" t="str">
        <x:v>新010</x:v>
      </x:c>
      <x:c r="I2009" s="12" t="str">
        <x:v>自动000</x:v>
      </x:c>
      <x:c r="J2009" s="12" t="str">
        <x:v>每行一名不同患者；此端点清单内共享名额</x:v>
      </x:c>
      <x:c r="K2009" s="12"/>
      <x:c r="L2009" s="12"/>
      <x:c r="M2009" s="12"/>
      <x:c r="N2009" s="12"/>
      <x:c r="O2009" s="12"/>
    </x:row>
    <x:row r="2010" ht="24" customHeight="1">
      <x:c r="A2010" s="12" t="str">
        <x:v>原比例压力</x:v>
      </x:c>
      <x:c r="B2010" s="12" t="str">
        <x:v>CLBBB</x:v>
      </x:c>
      <x:c r="C2010" s="12" t="str">
        <x:v>PPA</x:v>
      </x:c>
      <x:c r="D2010" s="12" t="str">
        <x:v>min</x:v>
      </x:c>
      <x:c r="E2010" s="12" t="str">
        <x:v>59</x:v>
      </x:c>
      <x:c r="F2010" s="12" t="str">
        <x:v>19475</x:v>
      </x:c>
      <x:c r="G2010" s="12" t="str">
        <x:v>原000</x:v>
      </x:c>
      <x:c r="H2010" s="12" t="str">
        <x:v>新010</x:v>
      </x:c>
      <x:c r="I2010" s="12" t="str">
        <x:v>自动000</x:v>
      </x:c>
      <x:c r="J2010" s="12" t="str">
        <x:v>每行一名不同患者；此端点清单内共享名额</x:v>
      </x:c>
      <x:c r="K2010" s="12"/>
      <x:c r="L2010" s="12"/>
      <x:c r="M2010" s="12"/>
      <x:c r="N2010" s="12"/>
      <x:c r="O2010" s="12"/>
    </x:row>
    <x:row r="2011" ht="24" customHeight="1">
      <x:c r="A2011" s="12" t="str">
        <x:v>原比例压力</x:v>
      </x:c>
      <x:c r="B2011" s="12" t="str">
        <x:v>CLBBB</x:v>
      </x:c>
      <x:c r="C2011" s="12" t="str">
        <x:v>PPA</x:v>
      </x:c>
      <x:c r="D2011" s="12" t="str">
        <x:v>max</x:v>
      </x:c>
      <x:c r="E2011" s="12" t="str">
        <x:v>5606</x:v>
      </x:c>
      <x:c r="F2011" s="12" t="str">
        <x:v>11736</x:v>
      </x:c>
      <x:c r="G2011" s="12" t="str">
        <x:v>原010</x:v>
      </x:c>
      <x:c r="H2011" s="12" t="str">
        <x:v>新000</x:v>
      </x:c>
      <x:c r="I2011" s="12" t="str">
        <x:v>自动000</x:v>
      </x:c>
      <x:c r="J2011" s="12" t="str">
        <x:v>每行一名不同患者；此端点清单内共享名额</x:v>
      </x:c>
      <x:c r="K2011" s="12"/>
      <x:c r="L2011" s="12"/>
      <x:c r="M2011" s="12"/>
      <x:c r="N2011" s="12"/>
      <x:c r="O2011" s="12"/>
    </x:row>
    <x:row r="2012" ht="24" customHeight="1">
      <x:c r="A2012" s="12" t="str">
        <x:v>原比例压力</x:v>
      </x:c>
      <x:c r="B2012" s="12" t="str">
        <x:v>CLBBB</x:v>
      </x:c>
      <x:c r="C2012" s="12" t="str">
        <x:v>PPA</x:v>
      </x:c>
      <x:c r="D2012" s="12" t="str">
        <x:v>max</x:v>
      </x:c>
      <x:c r="E2012" s="12" t="str">
        <x:v>6154</x:v>
      </x:c>
      <x:c r="F2012" s="12" t="str">
        <x:v>7228</x:v>
      </x:c>
      <x:c r="G2012" s="12" t="str">
        <x:v>原010</x:v>
      </x:c>
      <x:c r="H2012" s="12" t="str">
        <x:v>新000</x:v>
      </x:c>
      <x:c r="I2012" s="12" t="str">
        <x:v>自动000</x:v>
      </x:c>
      <x:c r="J2012" s="12" t="str">
        <x:v>每行一名不同患者；此端点清单内共享名额</x:v>
      </x:c>
      <x:c r="K2012" s="12"/>
      <x:c r="L2012" s="12"/>
      <x:c r="M2012" s="12"/>
      <x:c r="N2012" s="12"/>
      <x:c r="O2012" s="12"/>
    </x:row>
    <x:row r="2013" ht="24" customHeight="1">
      <x:c r="A2013" s="12" t="str">
        <x:v>原比例压力</x:v>
      </x:c>
      <x:c r="B2013" s="12" t="str">
        <x:v>CLBBB</x:v>
      </x:c>
      <x:c r="C2013" s="12" t="str">
        <x:v>PPA</x:v>
      </x:c>
      <x:c r="D2013" s="12" t="str">
        <x:v>max</x:v>
      </x:c>
      <x:c r="E2013" s="12" t="str">
        <x:v>11441</x:v>
      </x:c>
      <x:c r="F2013" s="12" t="str">
        <x:v>12916</x:v>
      </x:c>
      <x:c r="G2013" s="12" t="str">
        <x:v>原010</x:v>
      </x:c>
      <x:c r="H2013" s="12" t="str">
        <x:v>新000</x:v>
      </x:c>
      <x:c r="I2013" s="12" t="str">
        <x:v>自动000</x:v>
      </x:c>
      <x:c r="J2013" s="12" t="str">
        <x:v>每行一名不同患者；此端点清单内共享名额</x:v>
      </x:c>
      <x:c r="K2013" s="12"/>
      <x:c r="L2013" s="12"/>
      <x:c r="M2013" s="12"/>
      <x:c r="N2013" s="12"/>
      <x:c r="O2013" s="12"/>
    </x:row>
    <x:row r="2014" ht="24" customHeight="1">
      <x:c r="A2014" s="12" t="str">
        <x:v>原比例压力</x:v>
      </x:c>
      <x:c r="B2014" s="12" t="str">
        <x:v>CLBBB</x:v>
      </x:c>
      <x:c r="C2014" s="12" t="str">
        <x:v>NPA</x:v>
      </x:c>
      <x:c r="D2014" s="12" t="str">
        <x:v>min</x:v>
      </x:c>
      <x:c r="E2014" s="12" t="str">
        <x:v>180</x:v>
      </x:c>
      <x:c r="F2014" s="12" t="str">
        <x:v>15592</x:v>
      </x:c>
      <x:c r="G2014" s="12" t="str">
        <x:v>原010</x:v>
      </x:c>
      <x:c r="H2014" s="12" t="str">
        <x:v>新000</x:v>
      </x:c>
      <x:c r="I2014" s="12" t="str">
        <x:v>自动010</x:v>
      </x:c>
      <x:c r="J2014" s="12" t="str">
        <x:v>每行一名不同患者；此端点清单内共享名额</x:v>
      </x:c>
      <x:c r="K2014" s="12"/>
      <x:c r="L2014" s="12"/>
      <x:c r="M2014" s="12"/>
      <x:c r="N2014" s="12"/>
      <x:c r="O2014" s="12"/>
    </x:row>
    <x:row r="2015" ht="24" customHeight="1">
      <x:c r="A2015" s="12" t="str">
        <x:v>原比例压力</x:v>
      </x:c>
      <x:c r="B2015" s="12" t="str">
        <x:v>CLBBB</x:v>
      </x:c>
      <x:c r="C2015" s="12" t="str">
        <x:v>NPA</x:v>
      </x:c>
      <x:c r="D2015" s="12" t="str">
        <x:v>min</x:v>
      </x:c>
      <x:c r="E2015" s="12" t="str">
        <x:v>618</x:v>
      </x:c>
      <x:c r="F2015" s="12" t="str">
        <x:v>6417</x:v>
      </x:c>
      <x:c r="G2015" s="12" t="str">
        <x:v>原010</x:v>
      </x:c>
      <x:c r="H2015" s="12" t="str">
        <x:v>新000</x:v>
      </x:c>
      <x:c r="I2015" s="12" t="str">
        <x:v>自动010</x:v>
      </x:c>
      <x:c r="J2015" s="12" t="str">
        <x:v>每行一名不同患者；此端点清单内共享名额</x:v>
      </x:c>
      <x:c r="K2015" s="12"/>
      <x:c r="L2015" s="12"/>
      <x:c r="M2015" s="12"/>
      <x:c r="N2015" s="12"/>
      <x:c r="O2015" s="12"/>
    </x:row>
    <x:row r="2016" ht="24" customHeight="1">
      <x:c r="A2016" s="12" t="str">
        <x:v>原比例压力</x:v>
      </x:c>
      <x:c r="B2016" s="12" t="str">
        <x:v>CLBBB</x:v>
      </x:c>
      <x:c r="C2016" s="12" t="str">
        <x:v>NPA</x:v>
      </x:c>
      <x:c r="D2016" s="12" t="str">
        <x:v>min</x:v>
      </x:c>
      <x:c r="E2016" s="12" t="str">
        <x:v>1056</x:v>
      </x:c>
      <x:c r="F2016" s="12" t="str">
        <x:v>7772</x:v>
      </x:c>
      <x:c r="G2016" s="12" t="str">
        <x:v>原010</x:v>
      </x:c>
      <x:c r="H2016" s="12" t="str">
        <x:v>新000</x:v>
      </x:c>
      <x:c r="I2016" s="12" t="str">
        <x:v>自动010</x:v>
      </x:c>
      <x:c r="J2016" s="12" t="str">
        <x:v>每行一名不同患者；此端点清单内共享名额</x:v>
      </x:c>
      <x:c r="K2016" s="12"/>
      <x:c r="L2016" s="12"/>
      <x:c r="M2016" s="12"/>
      <x:c r="N2016" s="12"/>
      <x:c r="O2016" s="12"/>
    </x:row>
    <x:row r="2017" ht="24" customHeight="1">
      <x:c r="A2017" s="12" t="str">
        <x:v>原比例压力</x:v>
      </x:c>
      <x:c r="B2017" s="12" t="str">
        <x:v>CLBBB</x:v>
      </x:c>
      <x:c r="C2017" s="12" t="str">
        <x:v>NPA</x:v>
      </x:c>
      <x:c r="D2017" s="12" t="str">
        <x:v>min</x:v>
      </x:c>
      <x:c r="E2017" s="12" t="str">
        <x:v>1564</x:v>
      </x:c>
      <x:c r="F2017" s="12" t="str">
        <x:v>2281</x:v>
      </x:c>
      <x:c r="G2017" s="12" t="str">
        <x:v>原010</x:v>
      </x:c>
      <x:c r="H2017" s="12" t="str">
        <x:v>新000</x:v>
      </x:c>
      <x:c r="I2017" s="12" t="str">
        <x:v>自动010</x:v>
      </x:c>
      <x:c r="J2017" s="12" t="str">
        <x:v>每行一名不同患者；此端点清单内共享名额</x:v>
      </x:c>
      <x:c r="K2017" s="12"/>
      <x:c r="L2017" s="12"/>
      <x:c r="M2017" s="12"/>
      <x:c r="N2017" s="12"/>
      <x:c r="O2017" s="12"/>
    </x:row>
    <x:row r="2018" ht="24" customHeight="1">
      <x:c r="A2018" s="12" t="str">
        <x:v>原比例压力</x:v>
      </x:c>
      <x:c r="B2018" s="12" t="str">
        <x:v>CLBBB</x:v>
      </x:c>
      <x:c r="C2018" s="12" t="str">
        <x:v>NPA</x:v>
      </x:c>
      <x:c r="D2018" s="12" t="str">
        <x:v>min</x:v>
      </x:c>
      <x:c r="E2018" s="12" t="str">
        <x:v>3479</x:v>
      </x:c>
      <x:c r="F2018" s="12" t="str">
        <x:v>16121</x:v>
      </x:c>
      <x:c r="G2018" s="12" t="str">
        <x:v>原010</x:v>
      </x:c>
      <x:c r="H2018" s="12" t="str">
        <x:v>新000</x:v>
      </x:c>
      <x:c r="I2018" s="12" t="str">
        <x:v>自动010</x:v>
      </x:c>
      <x:c r="J2018" s="12" t="str">
        <x:v>每行一名不同患者；此端点清单内共享名额</x:v>
      </x:c>
      <x:c r="K2018" s="12"/>
      <x:c r="L2018" s="12"/>
      <x:c r="M2018" s="12"/>
      <x:c r="N2018" s="12"/>
      <x:c r="O2018" s="12"/>
    </x:row>
    <x:row r="2019" ht="24" customHeight="1">
      <x:c r="A2019" s="12" t="str">
        <x:v>原比例压力</x:v>
      </x:c>
      <x:c r="B2019" s="12" t="str">
        <x:v>CLBBB</x:v>
      </x:c>
      <x:c r="C2019" s="12" t="str">
        <x:v>NPA</x:v>
      </x:c>
      <x:c r="D2019" s="12" t="str">
        <x:v>max</x:v>
      </x:c>
      <x:c r="E2019" s="12" t="str">
        <x:v>1717</x:v>
      </x:c>
      <x:c r="F2019" s="12" t="str">
        <x:v>20306</x:v>
      </x:c>
      <x:c r="G2019" s="12" t="str">
        <x:v>原000</x:v>
      </x:c>
      <x:c r="H2019" s="12" t="str">
        <x:v>新010</x:v>
      </x:c>
      <x:c r="I2019" s="12" t="str">
        <x:v>自动010</x:v>
      </x:c>
      <x:c r="J2019" s="12" t="str">
        <x:v>每行一名不同患者；此端点清单内共享名额</x:v>
      </x:c>
      <x:c r="K2019" s="12"/>
      <x:c r="L2019" s="12"/>
      <x:c r="M2019" s="12"/>
      <x:c r="N2019" s="12"/>
      <x:c r="O2019" s="12"/>
    </x:row>
    <x:row r="2020" ht="24" customHeight="1">
      <x:c r="A2020" s="12" t="str">
        <x:v>原比例压力</x:v>
      </x:c>
      <x:c r="B2020" s="12" t="str">
        <x:v>CLBBB</x:v>
      </x:c>
      <x:c r="C2020" s="12" t="str">
        <x:v>NPA</x:v>
      </x:c>
      <x:c r="D2020" s="12" t="str">
        <x:v>max</x:v>
      </x:c>
      <x:c r="E2020" s="12" t="str">
        <x:v>4618</x:v>
      </x:c>
      <x:c r="F2020" s="12" t="str">
        <x:v>1890</x:v>
      </x:c>
      <x:c r="G2020" s="12" t="str">
        <x:v>原000</x:v>
      </x:c>
      <x:c r="H2020" s="12" t="str">
        <x:v>新010</x:v>
      </x:c>
      <x:c r="I2020" s="12" t="str">
        <x:v>自动010</x:v>
      </x:c>
      <x:c r="J2020" s="12" t="str">
        <x:v>每行一名不同患者；此端点清单内共享名额</x:v>
      </x:c>
      <x:c r="K2020" s="12"/>
      <x:c r="L2020" s="12"/>
      <x:c r="M2020" s="12"/>
      <x:c r="N2020" s="12"/>
      <x:c r="O2020" s="12"/>
    </x:row>
    <x:row r="2021" ht="24" customHeight="1">
      <x:c r="A2021" s="12" t="str">
        <x:v>原比例压力</x:v>
      </x:c>
      <x:c r="B2021" s="12" t="str">
        <x:v>CLBBB</x:v>
      </x:c>
      <x:c r="C2021" s="12" t="str">
        <x:v>NPA</x:v>
      </x:c>
      <x:c r="D2021" s="12" t="str">
        <x:v>max</x:v>
      </x:c>
      <x:c r="E2021" s="12" t="str">
        <x:v>8860</x:v>
      </x:c>
      <x:c r="F2021" s="12" t="str">
        <x:v>13085</x:v>
      </x:c>
      <x:c r="G2021" s="12" t="str">
        <x:v>原000</x:v>
      </x:c>
      <x:c r="H2021" s="12" t="str">
        <x:v>新010</x:v>
      </x:c>
      <x:c r="I2021" s="12" t="str">
        <x:v>自动010</x:v>
      </x:c>
      <x:c r="J2021" s="12" t="str">
        <x:v>每行一名不同患者；此端点清单内共享名额</x:v>
      </x:c>
      <x:c r="K2021" s="12"/>
      <x:c r="L2021" s="12"/>
      <x:c r="M2021" s="12"/>
      <x:c r="N2021" s="12"/>
      <x:c r="O2021" s="12"/>
    </x:row>
    <x:row r="2022" ht="24" customHeight="1">
      <x:c r="A2022" s="12" t="str">
        <x:v>原比例压力</x:v>
      </x:c>
      <x:c r="B2022" s="12" t="str">
        <x:v>CLBBB</x:v>
      </x:c>
      <x:c r="C2022" s="12" t="str">
        <x:v>NPA</x:v>
      </x:c>
      <x:c r="D2022" s="12" t="str">
        <x:v>max</x:v>
      </x:c>
      <x:c r="E2022" s="12" t="str">
        <x:v>11371</x:v>
      </x:c>
      <x:c r="F2022" s="12" t="str">
        <x:v>17181</x:v>
      </x:c>
      <x:c r="G2022" s="12" t="str">
        <x:v>原000</x:v>
      </x:c>
      <x:c r="H2022" s="12" t="str">
        <x:v>新010</x:v>
      </x:c>
      <x:c r="I2022" s="12" t="str">
        <x:v>自动010</x:v>
      </x:c>
      <x:c r="J2022" s="12" t="str">
        <x:v>每行一名不同患者；此端点清单内共享名额</x:v>
      </x:c>
      <x:c r="K2022" s="12"/>
      <x:c r="L2022" s="12"/>
      <x:c r="M2022" s="12"/>
      <x:c r="N2022" s="12"/>
      <x:c r="O2022" s="12"/>
    </x:row>
    <x:row r="2023" ht="24" customHeight="1">
      <x:c r="A2023" s="12" t="str">
        <x:v>原比例压力</x:v>
      </x:c>
      <x:c r="B2023" s="12" t="str">
        <x:v>CLBBB</x:v>
      </x:c>
      <x:c r="C2023" s="12" t="str">
        <x:v>NPA</x:v>
      </x:c>
      <x:c r="D2023" s="12" t="str">
        <x:v>max</x:v>
      </x:c>
      <x:c r="E2023" s="12" t="str">
        <x:v>19305</x:v>
      </x:c>
      <x:c r="F2023" s="12" t="str">
        <x:v>15115</x:v>
      </x:c>
      <x:c r="G2023" s="12" t="str">
        <x:v>原100</x:v>
      </x:c>
      <x:c r="H2023" s="12" t="str">
        <x:v>新110</x:v>
      </x:c>
      <x:c r="I2023" s="12" t="str">
        <x:v>自动110</x:v>
      </x:c>
      <x:c r="J2023" s="12" t="str">
        <x:v>每行一名不同患者；此端点清单内共享名额</x:v>
      </x:c>
      <x:c r="K2023" s="12"/>
      <x:c r="L2023" s="12"/>
      <x:c r="M2023" s="12"/>
      <x:c r="N2023" s="12"/>
      <x:c r="O2023" s="12"/>
    </x:row>
    <x:row r="2024" ht="24" customHeight="1">
      <x:c r="A2024" s="12" t="str">
        <x:v>原比例压力</x:v>
      </x:c>
      <x:c r="B2024" s="12" t="str">
        <x:v>CRBBB</x:v>
      </x:c>
      <x:c r="C2024" s="12" t="str">
        <x:v>PPA</x:v>
      </x:c>
      <x:c r="D2024" s="12" t="str">
        <x:v>min</x:v>
      </x:c>
      <x:c r="E2024" s="12" t="str">
        <x:v>9</x:v>
      </x:c>
      <x:c r="F2024" s="12" t="str">
        <x:v>18792</x:v>
      </x:c>
      <x:c r="G2024" s="12" t="str">
        <x:v>原000</x:v>
      </x:c>
      <x:c r="H2024" s="12" t="str">
        <x:v>新001</x:v>
      </x:c>
      <x:c r="I2024" s="12" t="str">
        <x:v>自动000</x:v>
      </x:c>
      <x:c r="J2024" s="12" t="str">
        <x:v>每行一名不同患者；此端点清单内共享名额</x:v>
      </x:c>
      <x:c r="K2024" s="12"/>
      <x:c r="L2024" s="12"/>
      <x:c r="M2024" s="12"/>
      <x:c r="N2024" s="12"/>
      <x:c r="O2024" s="12"/>
    </x:row>
    <x:row r="2025" ht="24" customHeight="1">
      <x:c r="A2025" s="12" t="str">
        <x:v>原比例压力</x:v>
      </x:c>
      <x:c r="B2025" s="12" t="str">
        <x:v>CRBBB</x:v>
      </x:c>
      <x:c r="C2025" s="12" t="str">
        <x:v>PPA</x:v>
      </x:c>
      <x:c r="D2025" s="12" t="str">
        <x:v>min</x:v>
      </x:c>
      <x:c r="E2025" s="12" t="str">
        <x:v>38</x:v>
      </x:c>
      <x:c r="F2025" s="12" t="str">
        <x:v>17076</x:v>
      </x:c>
      <x:c r="G2025" s="12" t="str">
        <x:v>原000</x:v>
      </x:c>
      <x:c r="H2025" s="12" t="str">
        <x:v>新001</x:v>
      </x:c>
      <x:c r="I2025" s="12" t="str">
        <x:v>自动000</x:v>
      </x:c>
      <x:c r="J2025" s="12" t="str">
        <x:v>每行一名不同患者；此端点清单内共享名额</x:v>
      </x:c>
      <x:c r="K2025" s="12"/>
      <x:c r="L2025" s="12"/>
      <x:c r="M2025" s="12"/>
      <x:c r="N2025" s="12"/>
      <x:c r="O2025" s="12"/>
    </x:row>
    <x:row r="2026" ht="24" customHeight="1">
      <x:c r="A2026" s="12" t="str">
        <x:v>原比例压力</x:v>
      </x:c>
      <x:c r="B2026" s="12" t="str">
        <x:v>CRBBB</x:v>
      </x:c>
      <x:c r="C2026" s="12" t="str">
        <x:v>PPA</x:v>
      </x:c>
      <x:c r="D2026" s="12" t="str">
        <x:v>min</x:v>
      </x:c>
      <x:c r="E2026" s="12" t="str">
        <x:v>40</x:v>
      </x:c>
      <x:c r="F2026" s="12" t="str">
        <x:v>19501</x:v>
      </x:c>
      <x:c r="G2026" s="12" t="str">
        <x:v>原000</x:v>
      </x:c>
      <x:c r="H2026" s="12" t="str">
        <x:v>新001</x:v>
      </x:c>
      <x:c r="I2026" s="12" t="str">
        <x:v>自动000</x:v>
      </x:c>
      <x:c r="J2026" s="12" t="str">
        <x:v>每行一名不同患者；此端点清单内共享名额</x:v>
      </x:c>
      <x:c r="K2026" s="12"/>
      <x:c r="L2026" s="12"/>
      <x:c r="M2026" s="12"/>
      <x:c r="N2026" s="12"/>
      <x:c r="O2026" s="12"/>
    </x:row>
    <x:row r="2027" ht="24" customHeight="1">
      <x:c r="A2027" s="12" t="str">
        <x:v>原比例压力</x:v>
      </x:c>
      <x:c r="B2027" s="12" t="str">
        <x:v>CRBBB</x:v>
      </x:c>
      <x:c r="C2027" s="12" t="str">
        <x:v>PPA</x:v>
      </x:c>
      <x:c r="D2027" s="12" t="str">
        <x:v>min</x:v>
      </x:c>
      <x:c r="E2027" s="12" t="str">
        <x:v>57</x:v>
      </x:c>
      <x:c r="F2027" s="12" t="str">
        <x:v>16063</x:v>
      </x:c>
      <x:c r="G2027" s="12" t="str">
        <x:v>原000</x:v>
      </x:c>
      <x:c r="H2027" s="12" t="str">
        <x:v>新001</x:v>
      </x:c>
      <x:c r="I2027" s="12" t="str">
        <x:v>自动000</x:v>
      </x:c>
      <x:c r="J2027" s="12" t="str">
        <x:v>每行一名不同患者；此端点清单内共享名额</x:v>
      </x:c>
      <x:c r="K2027" s="12"/>
      <x:c r="L2027" s="12"/>
      <x:c r="M2027" s="12"/>
      <x:c r="N2027" s="12"/>
      <x:c r="O2027" s="12"/>
    </x:row>
    <x:row r="2028" ht="24" customHeight="1">
      <x:c r="A2028" s="12" t="str">
        <x:v>原比例压力</x:v>
      </x:c>
      <x:c r="B2028" s="12" t="str">
        <x:v>CRBBB</x:v>
      </x:c>
      <x:c r="C2028" s="12" t="str">
        <x:v>PPA</x:v>
      </x:c>
      <x:c r="D2028" s="12" t="str">
        <x:v>min</x:v>
      </x:c>
      <x:c r="E2028" s="12" t="str">
        <x:v>59</x:v>
      </x:c>
      <x:c r="F2028" s="12" t="str">
        <x:v>19475</x:v>
      </x:c>
      <x:c r="G2028" s="12" t="str">
        <x:v>原000</x:v>
      </x:c>
      <x:c r="H2028" s="12" t="str">
        <x:v>新001</x:v>
      </x:c>
      <x:c r="I2028" s="12" t="str">
        <x:v>自动000</x:v>
      </x:c>
      <x:c r="J2028" s="12" t="str">
        <x:v>每行一名不同患者；此端点清单内共享名额</x:v>
      </x:c>
      <x:c r="K2028" s="12"/>
      <x:c r="L2028" s="12"/>
      <x:c r="M2028" s="12"/>
      <x:c r="N2028" s="12"/>
      <x:c r="O2028" s="12"/>
    </x:row>
    <x:row r="2029" ht="24" customHeight="1">
      <x:c r="A2029" s="12" t="str">
        <x:v>原比例压力</x:v>
      </x:c>
      <x:c r="B2029" s="12" t="str">
        <x:v>CRBBB</x:v>
      </x:c>
      <x:c r="C2029" s="12" t="str">
        <x:v>PPA</x:v>
      </x:c>
      <x:c r="D2029" s="12" t="str">
        <x:v>max</x:v>
      </x:c>
      <x:c r="E2029" s="12" t="str">
        <x:v>8712</x:v>
      </x:c>
      <x:c r="F2029" s="12" t="str">
        <x:v>4815</x:v>
      </x:c>
      <x:c r="G2029" s="12" t="str">
        <x:v>原001</x:v>
      </x:c>
      <x:c r="H2029" s="12" t="str">
        <x:v>新000</x:v>
      </x:c>
      <x:c r="I2029" s="12" t="str">
        <x:v>自动000</x:v>
      </x:c>
      <x:c r="J2029" s="12" t="str">
        <x:v>每行一名不同患者；此端点清单内共享名额</x:v>
      </x:c>
      <x:c r="K2029" s="12"/>
      <x:c r="L2029" s="12"/>
      <x:c r="M2029" s="12"/>
      <x:c r="N2029" s="12"/>
      <x:c r="O2029" s="12"/>
    </x:row>
    <x:row r="2030" ht="24" customHeight="1">
      <x:c r="A2030" s="12" t="str">
        <x:v>原比例压力</x:v>
      </x:c>
      <x:c r="B2030" s="12" t="str">
        <x:v>CRBBB</x:v>
      </x:c>
      <x:c r="C2030" s="12" t="str">
        <x:v>NPA</x:v>
      </x:c>
      <x:c r="D2030" s="12" t="str">
        <x:v>min</x:v>
      </x:c>
      <x:c r="E2030" s="12" t="str">
        <x:v>172</x:v>
      </x:c>
      <x:c r="F2030" s="12" t="str">
        <x:v>20766</x:v>
      </x:c>
      <x:c r="G2030" s="12" t="str">
        <x:v>原001</x:v>
      </x:c>
      <x:c r="H2030" s="12" t="str">
        <x:v>新000</x:v>
      </x:c>
      <x:c r="I2030" s="12" t="str">
        <x:v>自动001</x:v>
      </x:c>
      <x:c r="J2030" s="12" t="str">
        <x:v>每行一名不同患者；此端点清单内共享名额</x:v>
      </x:c>
      <x:c r="K2030" s="12"/>
      <x:c r="L2030" s="12"/>
      <x:c r="M2030" s="12"/>
      <x:c r="N2030" s="12"/>
      <x:c r="O2030" s="12"/>
    </x:row>
    <x:row r="2031" ht="24" customHeight="1">
      <x:c r="A2031" s="12" t="str">
        <x:v>原比例压力</x:v>
      </x:c>
      <x:c r="B2031" s="12" t="str">
        <x:v>CRBBB</x:v>
      </x:c>
      <x:c r="C2031" s="12" t="str">
        <x:v>NPA</x:v>
      </x:c>
      <x:c r="D2031" s="12" t="str">
        <x:v>min</x:v>
      </x:c>
      <x:c r="E2031" s="12" t="str">
        <x:v>512</x:v>
      </x:c>
      <x:c r="F2031" s="12" t="str">
        <x:v>16695</x:v>
      </x:c>
      <x:c r="G2031" s="12" t="str">
        <x:v>原001</x:v>
      </x:c>
      <x:c r="H2031" s="12" t="str">
        <x:v>新000</x:v>
      </x:c>
      <x:c r="I2031" s="12" t="str">
        <x:v>自动001</x:v>
      </x:c>
      <x:c r="J2031" s="12" t="str">
        <x:v>每行一名不同患者；此端点清单内共享名额</x:v>
      </x:c>
      <x:c r="K2031" s="12"/>
      <x:c r="L2031" s="12"/>
      <x:c r="M2031" s="12"/>
      <x:c r="N2031" s="12"/>
      <x:c r="O2031" s="12"/>
    </x:row>
    <x:row r="2032" ht="24" customHeight="1">
      <x:c r="A2032" s="12" t="str">
        <x:v>原比例压力</x:v>
      </x:c>
      <x:c r="B2032" s="12" t="str">
        <x:v>CRBBB</x:v>
      </x:c>
      <x:c r="C2032" s="12" t="str">
        <x:v>NPA</x:v>
      </x:c>
      <x:c r="D2032" s="12" t="str">
        <x:v>min</x:v>
      </x:c>
      <x:c r="E2032" s="12" t="str">
        <x:v>1093</x:v>
      </x:c>
      <x:c r="F2032" s="12" t="str">
        <x:v>1623</x:v>
      </x:c>
      <x:c r="G2032" s="12" t="str">
        <x:v>原001</x:v>
      </x:c>
      <x:c r="H2032" s="12" t="str">
        <x:v>新000</x:v>
      </x:c>
      <x:c r="I2032" s="12" t="str">
        <x:v>自动001</x:v>
      </x:c>
      <x:c r="J2032" s="12" t="str">
        <x:v>每行一名不同患者；此端点清单内共享名额</x:v>
      </x:c>
      <x:c r="K2032" s="12"/>
      <x:c r="L2032" s="12"/>
      <x:c r="M2032" s="12"/>
      <x:c r="N2032" s="12"/>
      <x:c r="O2032" s="12"/>
    </x:row>
    <x:row r="2033" ht="24" customHeight="1">
      <x:c r="A2033" s="12" t="str">
        <x:v>原比例压力</x:v>
      </x:c>
      <x:c r="B2033" s="12" t="str">
        <x:v>CRBBB</x:v>
      </x:c>
      <x:c r="C2033" s="12" t="str">
        <x:v>NPA</x:v>
      </x:c>
      <x:c r="D2033" s="12" t="str">
        <x:v>min</x:v>
      </x:c>
      <x:c r="E2033" s="12" t="str">
        <x:v>1157</x:v>
      </x:c>
      <x:c r="F2033" s="12" t="str">
        <x:v>7718</x:v>
      </x:c>
      <x:c r="G2033" s="12" t="str">
        <x:v>原001</x:v>
      </x:c>
      <x:c r="H2033" s="12" t="str">
        <x:v>新000</x:v>
      </x:c>
      <x:c r="I2033" s="12" t="str">
        <x:v>自动001</x:v>
      </x:c>
      <x:c r="J2033" s="12" t="str">
        <x:v>每行一名不同患者；此端点清单内共享名额</x:v>
      </x:c>
      <x:c r="K2033" s="12"/>
      <x:c r="L2033" s="12"/>
      <x:c r="M2033" s="12"/>
      <x:c r="N2033" s="12"/>
      <x:c r="O2033" s="12"/>
    </x:row>
    <x:row r="2034" ht="24" customHeight="1">
      <x:c r="A2034" s="12" t="str">
        <x:v>原比例压力</x:v>
      </x:c>
      <x:c r="B2034" s="12" t="str">
        <x:v>CRBBB</x:v>
      </x:c>
      <x:c r="C2034" s="12" t="str">
        <x:v>NPA</x:v>
      </x:c>
      <x:c r="D2034" s="12" t="str">
        <x:v>min</x:v>
      </x:c>
      <x:c r="E2034" s="12" t="str">
        <x:v>1424</x:v>
      </x:c>
      <x:c r="F2034" s="12" t="str">
        <x:v>8130</x:v>
      </x:c>
      <x:c r="G2034" s="12" t="str">
        <x:v>原001</x:v>
      </x:c>
      <x:c r="H2034" s="12" t="str">
        <x:v>新000</x:v>
      </x:c>
      <x:c r="I2034" s="12" t="str">
        <x:v>自动001</x:v>
      </x:c>
      <x:c r="J2034" s="12" t="str">
        <x:v>每行一名不同患者；此端点清单内共享名额</x:v>
      </x:c>
      <x:c r="K2034" s="12"/>
      <x:c r="L2034" s="12"/>
      <x:c r="M2034" s="12"/>
      <x:c r="N2034" s="12"/>
      <x:c r="O2034" s="12"/>
    </x:row>
    <x:row r="2035" ht="24" customHeight="1">
      <x:c r="A2035" s="12" t="str">
        <x:v>原比例压力</x:v>
      </x:c>
      <x:c r="B2035" s="12" t="str">
        <x:v>CRBBB</x:v>
      </x:c>
      <x:c r="C2035" s="12" t="str">
        <x:v>NPA</x:v>
      </x:c>
      <x:c r="D2035" s="12" t="str">
        <x:v>max</x:v>
      </x:c>
      <x:c r="E2035" s="12" t="str">
        <x:v>569</x:v>
      </x:c>
      <x:c r="F2035" s="12" t="str">
        <x:v>2936</x:v>
      </x:c>
      <x:c r="G2035" s="12" t="str">
        <x:v>原100</x:v>
      </x:c>
      <x:c r="H2035" s="12" t="str">
        <x:v>新101</x:v>
      </x:c>
      <x:c r="I2035" s="12" t="str">
        <x:v>自动101</x:v>
      </x:c>
      <x:c r="J2035" s="12" t="str">
        <x:v>每行一名不同患者；此端点清单内共享名额</x:v>
      </x:c>
      <x:c r="K2035" s="12"/>
      <x:c r="L2035" s="12"/>
      <x:c r="M2035" s="12"/>
      <x:c r="N2035" s="12"/>
      <x:c r="O2035" s="12"/>
    </x:row>
    <x:row r="2036" ht="24" customHeight="1">
      <x:c r="A2036" s="12" t="str">
        <x:v>原比例压力</x:v>
      </x:c>
      <x:c r="B2036" s="12" t="str">
        <x:v>CRBBB</x:v>
      </x:c>
      <x:c r="C2036" s="12" t="str">
        <x:v>NPA</x:v>
      </x:c>
      <x:c r="D2036" s="12" t="str">
        <x:v>max</x:v>
      </x:c>
      <x:c r="E2036" s="12" t="str">
        <x:v>950</x:v>
      </x:c>
      <x:c r="F2036" s="12" t="str">
        <x:v>4533</x:v>
      </x:c>
      <x:c r="G2036" s="12" t="str">
        <x:v>原000</x:v>
      </x:c>
      <x:c r="H2036" s="12" t="str">
        <x:v>新001</x:v>
      </x:c>
      <x:c r="I2036" s="12" t="str">
        <x:v>自动001</x:v>
      </x:c>
      <x:c r="J2036" s="12" t="str">
        <x:v>每行一名不同患者；此端点清单内共享名额</x:v>
      </x:c>
      <x:c r="K2036" s="12"/>
      <x:c r="L2036" s="12"/>
      <x:c r="M2036" s="12"/>
      <x:c r="N2036" s="12"/>
      <x:c r="O2036" s="12"/>
    </x:row>
    <x:row r="2037" ht="24" customHeight="1">
      <x:c r="A2037" s="12" t="str">
        <x:v>原比例压力</x:v>
      </x:c>
      <x:c r="B2037" s="12" t="str">
        <x:v>CRBBB</x:v>
      </x:c>
      <x:c r="C2037" s="12" t="str">
        <x:v>NPA</x:v>
      </x:c>
      <x:c r="D2037" s="12" t="str">
        <x:v>max</x:v>
      </x:c>
      <x:c r="E2037" s="12" t="str">
        <x:v>959</x:v>
      </x:c>
      <x:c r="F2037" s="12" t="str">
        <x:v>1981</x:v>
      </x:c>
      <x:c r="G2037" s="12" t="str">
        <x:v>原000</x:v>
      </x:c>
      <x:c r="H2037" s="12" t="str">
        <x:v>新001</x:v>
      </x:c>
      <x:c r="I2037" s="12" t="str">
        <x:v>自动001</x:v>
      </x:c>
      <x:c r="J2037" s="12" t="str">
        <x:v>每行一名不同患者；此端点清单内共享名额</x:v>
      </x:c>
      <x:c r="K2037" s="12"/>
      <x:c r="L2037" s="12"/>
      <x:c r="M2037" s="12"/>
      <x:c r="N2037" s="12"/>
      <x:c r="O2037" s="12"/>
    </x:row>
    <x:row r="2038" ht="24" customHeight="1">
      <x:c r="A2038" s="12" t="str">
        <x:v>原比例压力</x:v>
      </x:c>
      <x:c r="B2038" s="12" t="str">
        <x:v>CRBBB</x:v>
      </x:c>
      <x:c r="C2038" s="12" t="str">
        <x:v>NPA</x:v>
      </x:c>
      <x:c r="D2038" s="12" t="str">
        <x:v>max</x:v>
      </x:c>
      <x:c r="E2038" s="12" t="str">
        <x:v>975</x:v>
      </x:c>
      <x:c r="F2038" s="12" t="str">
        <x:v>672</x:v>
      </x:c>
      <x:c r="G2038" s="12" t="str">
        <x:v>原000</x:v>
      </x:c>
      <x:c r="H2038" s="12" t="str">
        <x:v>新001</x:v>
      </x:c>
      <x:c r="I2038" s="12" t="str">
        <x:v>自动001</x:v>
      </x:c>
      <x:c r="J2038" s="12" t="str">
        <x:v>每行一名不同患者；此端点清单内共享名额</x:v>
      </x:c>
      <x:c r="K2038" s="12"/>
      <x:c r="L2038" s="12"/>
      <x:c r="M2038" s="12"/>
      <x:c r="N2038" s="12"/>
      <x:c r="O2038" s="12"/>
    </x:row>
    <x:row r="2039" ht="24" customHeight="1">
      <x:c r="A2039" s="12" t="str">
        <x:v>原比例压力</x:v>
      </x:c>
      <x:c r="B2039" s="12" t="str">
        <x:v>CRBBB</x:v>
      </x:c>
      <x:c r="C2039" s="12" t="str">
        <x:v>NPA</x:v>
      </x:c>
      <x:c r="D2039" s="12" t="str">
        <x:v>max</x:v>
      </x:c>
      <x:c r="E2039" s="12" t="str">
        <x:v>2019</x:v>
      </x:c>
      <x:c r="F2039" s="12" t="str">
        <x:v>4098</x:v>
      </x:c>
      <x:c r="G2039" s="12" t="str">
        <x:v>原000</x:v>
      </x:c>
      <x:c r="H2039" s="12" t="str">
        <x:v>新001</x:v>
      </x:c>
      <x:c r="I2039" s="12" t="str">
        <x:v>自动001</x:v>
      </x:c>
      <x:c r="J2039" s="12" t="str">
        <x:v>每行一名不同患者；此端点清单内共享名额</x:v>
      </x:c>
      <x:c r="K2039" s="12"/>
      <x:c r="L2039" s="12"/>
      <x:c r="M2039" s="12"/>
      <x:c r="N2039" s="12"/>
      <x:c r="O2039" s="12"/>
    </x:row>
    <x:row r="2040" ht="24" customHeight="1">
      <x:c r="A2040" s="12" t="str">
        <x:v>原比例压力</x:v>
      </x:c>
      <x:c r="B2040" s="12" t="str">
        <x:v>任一目标</x:v>
      </x:c>
      <x:c r="C2040" s="12" t="str">
        <x:v>PPA</x:v>
      </x:c>
      <x:c r="D2040" s="12" t="str">
        <x:v>min</x:v>
      </x:c>
      <x:c r="E2040" s="12" t="str">
        <x:v>9</x:v>
      </x:c>
      <x:c r="F2040" s="12" t="str">
        <x:v>18792</x:v>
      </x:c>
      <x:c r="G2040" s="12" t="str">
        <x:v>原000</x:v>
      </x:c>
      <x:c r="H2040" s="12" t="str">
        <x:v>新100</x:v>
      </x:c>
      <x:c r="I2040" s="12" t="str">
        <x:v>自动000</x:v>
      </x:c>
      <x:c r="J2040" s="12" t="str">
        <x:v>每行一名不同患者；此端点清单内共享名额</x:v>
      </x:c>
      <x:c r="K2040" s="12"/>
      <x:c r="L2040" s="12"/>
      <x:c r="M2040" s="12"/>
      <x:c r="N2040" s="12"/>
      <x:c r="O2040" s="12"/>
    </x:row>
    <x:row r="2041" ht="24" customHeight="1">
      <x:c r="A2041" s="12" t="str">
        <x:v>原比例压力</x:v>
      </x:c>
      <x:c r="B2041" s="12" t="str">
        <x:v>任一目标</x:v>
      </x:c>
      <x:c r="C2041" s="12" t="str">
        <x:v>PPA</x:v>
      </x:c>
      <x:c r="D2041" s="12" t="str">
        <x:v>min</x:v>
      </x:c>
      <x:c r="E2041" s="12" t="str">
        <x:v>38</x:v>
      </x:c>
      <x:c r="F2041" s="12" t="str">
        <x:v>17076</x:v>
      </x:c>
      <x:c r="G2041" s="12" t="str">
        <x:v>原000</x:v>
      </x:c>
      <x:c r="H2041" s="12" t="str">
        <x:v>新100</x:v>
      </x:c>
      <x:c r="I2041" s="12" t="str">
        <x:v>自动000</x:v>
      </x:c>
      <x:c r="J2041" s="12" t="str">
        <x:v>每行一名不同患者；此端点清单内共享名额</x:v>
      </x:c>
      <x:c r="K2041" s="12"/>
      <x:c r="L2041" s="12"/>
      <x:c r="M2041" s="12"/>
      <x:c r="N2041" s="12"/>
      <x:c r="O2041" s="12"/>
    </x:row>
    <x:row r="2042" ht="24" customHeight="1">
      <x:c r="A2042" s="12" t="str">
        <x:v>原比例压力</x:v>
      </x:c>
      <x:c r="B2042" s="12" t="str">
        <x:v>任一目标</x:v>
      </x:c>
      <x:c r="C2042" s="12" t="str">
        <x:v>PPA</x:v>
      </x:c>
      <x:c r="D2042" s="12" t="str">
        <x:v>min</x:v>
      </x:c>
      <x:c r="E2042" s="12" t="str">
        <x:v>40</x:v>
      </x:c>
      <x:c r="F2042" s="12" t="str">
        <x:v>19501</x:v>
      </x:c>
      <x:c r="G2042" s="12" t="str">
        <x:v>原000</x:v>
      </x:c>
      <x:c r="H2042" s="12" t="str">
        <x:v>新100</x:v>
      </x:c>
      <x:c r="I2042" s="12" t="str">
        <x:v>自动000</x:v>
      </x:c>
      <x:c r="J2042" s="12" t="str">
        <x:v>每行一名不同患者；此端点清单内共享名额</x:v>
      </x:c>
      <x:c r="K2042" s="12"/>
      <x:c r="L2042" s="12"/>
      <x:c r="M2042" s="12"/>
      <x:c r="N2042" s="12"/>
      <x:c r="O2042" s="12"/>
    </x:row>
    <x:row r="2043" ht="24" customHeight="1">
      <x:c r="A2043" s="12" t="str">
        <x:v>原比例压力</x:v>
      </x:c>
      <x:c r="B2043" s="12" t="str">
        <x:v>任一目标</x:v>
      </x:c>
      <x:c r="C2043" s="12" t="str">
        <x:v>PPA</x:v>
      </x:c>
      <x:c r="D2043" s="12" t="str">
        <x:v>min</x:v>
      </x:c>
      <x:c r="E2043" s="12" t="str">
        <x:v>57</x:v>
      </x:c>
      <x:c r="F2043" s="12" t="str">
        <x:v>16063</x:v>
      </x:c>
      <x:c r="G2043" s="12" t="str">
        <x:v>原000</x:v>
      </x:c>
      <x:c r="H2043" s="12" t="str">
        <x:v>新100</x:v>
      </x:c>
      <x:c r="I2043" s="12" t="str">
        <x:v>自动000</x:v>
      </x:c>
      <x:c r="J2043" s="12" t="str">
        <x:v>每行一名不同患者；此端点清单内共享名额</x:v>
      </x:c>
      <x:c r="K2043" s="12"/>
      <x:c r="L2043" s="12"/>
      <x:c r="M2043" s="12"/>
      <x:c r="N2043" s="12"/>
      <x:c r="O2043" s="12"/>
    </x:row>
    <x:row r="2044" ht="24" customHeight="1">
      <x:c r="A2044" s="12" t="str">
        <x:v>原比例压力</x:v>
      </x:c>
      <x:c r="B2044" s="12" t="str">
        <x:v>任一目标</x:v>
      </x:c>
      <x:c r="C2044" s="12" t="str">
        <x:v>PPA</x:v>
      </x:c>
      <x:c r="D2044" s="12" t="str">
        <x:v>min</x:v>
      </x:c>
      <x:c r="E2044" s="12" t="str">
        <x:v>59</x:v>
      </x:c>
      <x:c r="F2044" s="12" t="str">
        <x:v>19475</x:v>
      </x:c>
      <x:c r="G2044" s="12" t="str">
        <x:v>原000</x:v>
      </x:c>
      <x:c r="H2044" s="12" t="str">
        <x:v>新100</x:v>
      </x:c>
      <x:c r="I2044" s="12" t="str">
        <x:v>自动000</x:v>
      </x:c>
      <x:c r="J2044" s="12" t="str">
        <x:v>每行一名不同患者；此端点清单内共享名额</x:v>
      </x:c>
      <x:c r="K2044" s="12"/>
      <x:c r="L2044" s="12"/>
      <x:c r="M2044" s="12"/>
      <x:c r="N2044" s="12"/>
      <x:c r="O2044" s="12"/>
    </x:row>
    <x:row r="2045" ht="24" customHeight="1">
      <x:c r="A2045" s="12" t="str">
        <x:v>原比例压力</x:v>
      </x:c>
      <x:c r="B2045" s="12" t="str">
        <x:v>任一目标</x:v>
      </x:c>
      <x:c r="C2045" s="12" t="str">
        <x:v>PPA</x:v>
      </x:c>
      <x:c r="D2045" s="12" t="str">
        <x:v>max</x:v>
      </x:c>
      <x:c r="E2045" s="12" t="str">
        <x:v>2549</x:v>
      </x:c>
      <x:c r="F2045" s="12" t="str">
        <x:v>21158</x:v>
      </x:c>
      <x:c r="G2045" s="12" t="str">
        <x:v>原100</x:v>
      </x:c>
      <x:c r="H2045" s="12" t="str">
        <x:v>新000</x:v>
      </x:c>
      <x:c r="I2045" s="12" t="str">
        <x:v>自动000</x:v>
      </x:c>
      <x:c r="J2045" s="12" t="str">
        <x:v>每行一名不同患者；此端点清单内共享名额</x:v>
      </x:c>
      <x:c r="K2045" s="12"/>
      <x:c r="L2045" s="12"/>
      <x:c r="M2045" s="12"/>
      <x:c r="N2045" s="12"/>
      <x:c r="O2045" s="12"/>
    </x:row>
    <x:row r="2046" ht="24" customHeight="1">
      <x:c r="A2046" s="12" t="str">
        <x:v>原比例压力</x:v>
      </x:c>
      <x:c r="B2046" s="12" t="str">
        <x:v>任一目标</x:v>
      </x:c>
      <x:c r="C2046" s="12" t="str">
        <x:v>PPA</x:v>
      </x:c>
      <x:c r="D2046" s="12" t="str">
        <x:v>max</x:v>
      </x:c>
      <x:c r="E2046" s="12" t="str">
        <x:v>3692</x:v>
      </x:c>
      <x:c r="F2046" s="12" t="str">
        <x:v>18861</x:v>
      </x:c>
      <x:c r="G2046" s="12" t="str">
        <x:v>原100</x:v>
      </x:c>
      <x:c r="H2046" s="12" t="str">
        <x:v>新000</x:v>
      </x:c>
      <x:c r="I2046" s="12" t="str">
        <x:v>自动000</x:v>
      </x:c>
      <x:c r="J2046" s="12" t="str">
        <x:v>每行一名不同患者；此端点清单内共享名额</x:v>
      </x:c>
      <x:c r="K2046" s="12"/>
      <x:c r="L2046" s="12"/>
      <x:c r="M2046" s="12"/>
      <x:c r="N2046" s="12"/>
      <x:c r="O2046" s="12"/>
    </x:row>
    <x:row r="2047" ht="24" customHeight="1">
      <x:c r="A2047" s="12" t="str">
        <x:v>原比例压力</x:v>
      </x:c>
      <x:c r="B2047" s="12" t="str">
        <x:v>任一目标</x:v>
      </x:c>
      <x:c r="C2047" s="12" t="str">
        <x:v>PPA</x:v>
      </x:c>
      <x:c r="D2047" s="12" t="str">
        <x:v>max</x:v>
      </x:c>
      <x:c r="E2047" s="12" t="str">
        <x:v>4785</x:v>
      </x:c>
      <x:c r="F2047" s="12" t="str">
        <x:v>9903</x:v>
      </x:c>
      <x:c r="G2047" s="12" t="str">
        <x:v>原100</x:v>
      </x:c>
      <x:c r="H2047" s="12" t="str">
        <x:v>新000</x:v>
      </x:c>
      <x:c r="I2047" s="12" t="str">
        <x:v>自动000</x:v>
      </x:c>
      <x:c r="J2047" s="12" t="str">
        <x:v>每行一名不同患者；此端点清单内共享名额</x:v>
      </x:c>
      <x:c r="K2047" s="12"/>
      <x:c r="L2047" s="12"/>
      <x:c r="M2047" s="12"/>
      <x:c r="N2047" s="12"/>
      <x:c r="O2047" s="12"/>
    </x:row>
    <x:row r="2048" ht="24" customHeight="1">
      <x:c r="A2048" s="12" t="str">
        <x:v>原比例压力</x:v>
      </x:c>
      <x:c r="B2048" s="12" t="str">
        <x:v>任一目标</x:v>
      </x:c>
      <x:c r="C2048" s="12" t="str">
        <x:v>PPA</x:v>
      </x:c>
      <x:c r="D2048" s="12" t="str">
        <x:v>max</x:v>
      </x:c>
      <x:c r="E2048" s="12" t="str">
        <x:v>5606</x:v>
      </x:c>
      <x:c r="F2048" s="12" t="str">
        <x:v>11736</x:v>
      </x:c>
      <x:c r="G2048" s="12" t="str">
        <x:v>原010</x:v>
      </x:c>
      <x:c r="H2048" s="12" t="str">
        <x:v>新000</x:v>
      </x:c>
      <x:c r="I2048" s="12" t="str">
        <x:v>自动000</x:v>
      </x:c>
      <x:c r="J2048" s="12" t="str">
        <x:v>每行一名不同患者；此端点清单内共享名额</x:v>
      </x:c>
      <x:c r="K2048" s="12"/>
      <x:c r="L2048" s="12"/>
      <x:c r="M2048" s="12"/>
      <x:c r="N2048" s="12"/>
      <x:c r="O2048" s="12"/>
    </x:row>
    <x:row r="2049" ht="24" customHeight="1">
      <x:c r="A2049" s="12" t="str">
        <x:v>原比例压力</x:v>
      </x:c>
      <x:c r="B2049" s="12" t="str">
        <x:v>任一目标</x:v>
      </x:c>
      <x:c r="C2049" s="12" t="str">
        <x:v>PPA</x:v>
      </x:c>
      <x:c r="D2049" s="12" t="str">
        <x:v>max</x:v>
      </x:c>
      <x:c r="E2049" s="12" t="str">
        <x:v>5777</x:v>
      </x:c>
      <x:c r="F2049" s="12" t="str">
        <x:v>16862</x:v>
      </x:c>
      <x:c r="G2049" s="12" t="str">
        <x:v>原100</x:v>
      </x:c>
      <x:c r="H2049" s="12" t="str">
        <x:v>新000</x:v>
      </x:c>
      <x:c r="I2049" s="12" t="str">
        <x:v>自动000</x:v>
      </x:c>
      <x:c r="J2049" s="12" t="str">
        <x:v>每行一名不同患者；此端点清单内共享名额</x:v>
      </x:c>
      <x:c r="K2049" s="12"/>
      <x:c r="L2049" s="12"/>
      <x:c r="M2049" s="12"/>
      <x:c r="N2049" s="12"/>
      <x:c r="O2049" s="12"/>
    </x:row>
    <x:row r="2050" ht="24" customHeight="1">
      <x:c r="A2050" s="12" t="str">
        <x:v>原比例压力</x:v>
      </x:c>
      <x:c r="B2050" s="12" t="str">
        <x:v>任一目标</x:v>
      </x:c>
      <x:c r="C2050" s="12" t="str">
        <x:v>NPA</x:v>
      </x:c>
      <x:c r="D2050" s="12" t="str">
        <x:v>min</x:v>
      </x:c>
      <x:c r="E2050" s="12" t="str">
        <x:v>172</x:v>
      </x:c>
      <x:c r="F2050" s="12" t="str">
        <x:v>20766</x:v>
      </x:c>
      <x:c r="G2050" s="12" t="str">
        <x:v>原001</x:v>
      </x:c>
      <x:c r="H2050" s="12" t="str">
        <x:v>新000</x:v>
      </x:c>
      <x:c r="I2050" s="12" t="str">
        <x:v>自动001</x:v>
      </x:c>
      <x:c r="J2050" s="12" t="str">
        <x:v>每行一名不同患者；此端点清单内共享名额</x:v>
      </x:c>
      <x:c r="K2050" s="12"/>
      <x:c r="L2050" s="12"/>
      <x:c r="M2050" s="12"/>
      <x:c r="N2050" s="12"/>
      <x:c r="O2050" s="12"/>
    </x:row>
    <x:row r="2051" ht="24" customHeight="1">
      <x:c r="A2051" s="12" t="str">
        <x:v>原比例压力</x:v>
      </x:c>
      <x:c r="B2051" s="12" t="str">
        <x:v>任一目标</x:v>
      </x:c>
      <x:c r="C2051" s="12" t="str">
        <x:v>NPA</x:v>
      </x:c>
      <x:c r="D2051" s="12" t="str">
        <x:v>min</x:v>
      </x:c>
      <x:c r="E2051" s="12" t="str">
        <x:v>180</x:v>
      </x:c>
      <x:c r="F2051" s="12" t="str">
        <x:v>15592</x:v>
      </x:c>
      <x:c r="G2051" s="12" t="str">
        <x:v>原010</x:v>
      </x:c>
      <x:c r="H2051" s="12" t="str">
        <x:v>新000</x:v>
      </x:c>
      <x:c r="I2051" s="12" t="str">
        <x:v>自动010</x:v>
      </x:c>
      <x:c r="J2051" s="12" t="str">
        <x:v>每行一名不同患者；此端点清单内共享名额</x:v>
      </x:c>
      <x:c r="K2051" s="12"/>
      <x:c r="L2051" s="12"/>
      <x:c r="M2051" s="12"/>
      <x:c r="N2051" s="12"/>
      <x:c r="O2051" s="12"/>
    </x:row>
    <x:row r="2052" ht="24" customHeight="1">
      <x:c r="A2052" s="12" t="str">
        <x:v>原比例压力</x:v>
      </x:c>
      <x:c r="B2052" s="12" t="str">
        <x:v>任一目标</x:v>
      </x:c>
      <x:c r="C2052" s="12" t="str">
        <x:v>NPA</x:v>
      </x:c>
      <x:c r="D2052" s="12" t="str">
        <x:v>min</x:v>
      </x:c>
      <x:c r="E2052" s="12" t="str">
        <x:v>318</x:v>
      </x:c>
      <x:c r="F2052" s="12" t="str">
        <x:v>2034</x:v>
      </x:c>
      <x:c r="G2052" s="12" t="str">
        <x:v>原100</x:v>
      </x:c>
      <x:c r="H2052" s="12" t="str">
        <x:v>新000</x:v>
      </x:c>
      <x:c r="I2052" s="12" t="str">
        <x:v>自动100</x:v>
      </x:c>
      <x:c r="J2052" s="12" t="str">
        <x:v>每行一名不同患者；此端点清单内共享名额</x:v>
      </x:c>
      <x:c r="K2052" s="12"/>
      <x:c r="L2052" s="12"/>
      <x:c r="M2052" s="12"/>
      <x:c r="N2052" s="12"/>
      <x:c r="O2052" s="12"/>
    </x:row>
    <x:row r="2053" ht="24" customHeight="1">
      <x:c r="A2053" s="12" t="str">
        <x:v>原比例压力</x:v>
      </x:c>
      <x:c r="B2053" s="12" t="str">
        <x:v>任一目标</x:v>
      </x:c>
      <x:c r="C2053" s="12" t="str">
        <x:v>NPA</x:v>
      </x:c>
      <x:c r="D2053" s="12" t="str">
        <x:v>min</x:v>
      </x:c>
      <x:c r="E2053" s="12" t="str">
        <x:v>452</x:v>
      </x:c>
      <x:c r="F2053" s="12" t="str">
        <x:v>13110</x:v>
      </x:c>
      <x:c r="G2053" s="12" t="str">
        <x:v>原100</x:v>
      </x:c>
      <x:c r="H2053" s="12" t="str">
        <x:v>新000</x:v>
      </x:c>
      <x:c r="I2053" s="12" t="str">
        <x:v>自动100</x:v>
      </x:c>
      <x:c r="J2053" s="12" t="str">
        <x:v>每行一名不同患者；此端点清单内共享名额</x:v>
      </x:c>
      <x:c r="K2053" s="12"/>
      <x:c r="L2053" s="12"/>
      <x:c r="M2053" s="12"/>
      <x:c r="N2053" s="12"/>
      <x:c r="O2053" s="12"/>
    </x:row>
    <x:row r="2054" ht="24" customHeight="1">
      <x:c r="A2054" s="12" t="str">
        <x:v>原比例压力</x:v>
      </x:c>
      <x:c r="B2054" s="12" t="str">
        <x:v>任一目标</x:v>
      </x:c>
      <x:c r="C2054" s="12" t="str">
        <x:v>NPA</x:v>
      </x:c>
      <x:c r="D2054" s="12" t="str">
        <x:v>min</x:v>
      </x:c>
      <x:c r="E2054" s="12" t="str">
        <x:v>512</x:v>
      </x:c>
      <x:c r="F2054" s="12" t="str">
        <x:v>16695</x:v>
      </x:c>
      <x:c r="G2054" s="12" t="str">
        <x:v>原001</x:v>
      </x:c>
      <x:c r="H2054" s="12" t="str">
        <x:v>新000</x:v>
      </x:c>
      <x:c r="I2054" s="12" t="str">
        <x:v>自动001</x:v>
      </x:c>
      <x:c r="J2054" s="12" t="str">
        <x:v>每行一名不同患者；此端点清单内共享名额</x:v>
      </x:c>
      <x:c r="K2054" s="12"/>
      <x:c r="L2054" s="12"/>
      <x:c r="M2054" s="12"/>
      <x:c r="N2054" s="12"/>
      <x:c r="O2054" s="12"/>
    </x:row>
    <x:row r="2055" ht="24" customHeight="1">
      <x:c r="A2055" s="12" t="str">
        <x:v>原比例压力</x:v>
      </x:c>
      <x:c r="B2055" s="12" t="str">
        <x:v>任一目标</x:v>
      </x:c>
      <x:c r="C2055" s="12" t="str">
        <x:v>NPA</x:v>
      </x:c>
      <x:c r="D2055" s="12" t="str">
        <x:v>max</x:v>
      </x:c>
      <x:c r="E2055" s="12" t="str">
        <x:v>382</x:v>
      </x:c>
      <x:c r="F2055" s="12" t="str">
        <x:v>10186</x:v>
      </x:c>
      <x:c r="G2055" s="12" t="str">
        <x:v>原000</x:v>
      </x:c>
      <x:c r="H2055" s="12" t="str">
        <x:v>新100</x:v>
      </x:c>
      <x:c r="I2055" s="12" t="str">
        <x:v>自动100</x:v>
      </x:c>
      <x:c r="J2055" s="12" t="str">
        <x:v>每行一名不同患者；此端点清单内共享名额</x:v>
      </x:c>
      <x:c r="K2055" s="12"/>
      <x:c r="L2055" s="12"/>
      <x:c r="M2055" s="12"/>
      <x:c r="N2055" s="12"/>
      <x:c r="O2055" s="12"/>
    </x:row>
    <x:row r="2056" ht="24" customHeight="1">
      <x:c r="A2056" s="12" t="str">
        <x:v>原比例压力</x:v>
      </x:c>
      <x:c r="B2056" s="12" t="str">
        <x:v>任一目标</x:v>
      </x:c>
      <x:c r="C2056" s="12" t="str">
        <x:v>NPA</x:v>
      </x:c>
      <x:c r="D2056" s="12" t="str">
        <x:v>max</x:v>
      </x:c>
      <x:c r="E2056" s="12" t="str">
        <x:v>950</x:v>
      </x:c>
      <x:c r="F2056" s="12" t="str">
        <x:v>4533</x:v>
      </x:c>
      <x:c r="G2056" s="12" t="str">
        <x:v>原000</x:v>
      </x:c>
      <x:c r="H2056" s="12" t="str">
        <x:v>新100</x:v>
      </x:c>
      <x:c r="I2056" s="12" t="str">
        <x:v>自动001</x:v>
      </x:c>
      <x:c r="J2056" s="12" t="str">
        <x:v>每行一名不同患者；此端点清单内共享名额</x:v>
      </x:c>
      <x:c r="K2056" s="12"/>
      <x:c r="L2056" s="12"/>
      <x:c r="M2056" s="12"/>
      <x:c r="N2056" s="12"/>
      <x:c r="O2056" s="12"/>
    </x:row>
    <x:row r="2057" ht="24" customHeight="1">
      <x:c r="A2057" s="12" t="str">
        <x:v>原比例压力</x:v>
      </x:c>
      <x:c r="B2057" s="12" t="str">
        <x:v>任一目标</x:v>
      </x:c>
      <x:c r="C2057" s="12" t="str">
        <x:v>NPA</x:v>
      </x:c>
      <x:c r="D2057" s="12" t="str">
        <x:v>max</x:v>
      </x:c>
      <x:c r="E2057" s="12" t="str">
        <x:v>959</x:v>
      </x:c>
      <x:c r="F2057" s="12" t="str">
        <x:v>1981</x:v>
      </x:c>
      <x:c r="G2057" s="12" t="str">
        <x:v>原000</x:v>
      </x:c>
      <x:c r="H2057" s="12" t="str">
        <x:v>新100</x:v>
      </x:c>
      <x:c r="I2057" s="12" t="str">
        <x:v>自动001</x:v>
      </x:c>
      <x:c r="J2057" s="12" t="str">
        <x:v>每行一名不同患者；此端点清单内共享名额</x:v>
      </x:c>
      <x:c r="K2057" s="12"/>
      <x:c r="L2057" s="12"/>
      <x:c r="M2057" s="12"/>
      <x:c r="N2057" s="12"/>
      <x:c r="O2057" s="12"/>
    </x:row>
    <x:row r="2058" ht="24" customHeight="1">
      <x:c r="A2058" s="12" t="str">
        <x:v>原比例压力</x:v>
      </x:c>
      <x:c r="B2058" s="12" t="str">
        <x:v>任一目标</x:v>
      </x:c>
      <x:c r="C2058" s="12" t="str">
        <x:v>NPA</x:v>
      </x:c>
      <x:c r="D2058" s="12" t="str">
        <x:v>max</x:v>
      </x:c>
      <x:c r="E2058" s="12" t="str">
        <x:v>975</x:v>
      </x:c>
      <x:c r="F2058" s="12" t="str">
        <x:v>672</x:v>
      </x:c>
      <x:c r="G2058" s="12" t="str">
        <x:v>原000</x:v>
      </x:c>
      <x:c r="H2058" s="12" t="str">
        <x:v>新100</x:v>
      </x:c>
      <x:c r="I2058" s="12" t="str">
        <x:v>自动001</x:v>
      </x:c>
      <x:c r="J2058" s="12" t="str">
        <x:v>每行一名不同患者；此端点清单内共享名额</x:v>
      </x:c>
      <x:c r="K2058" s="12"/>
      <x:c r="L2058" s="12"/>
      <x:c r="M2058" s="12"/>
      <x:c r="N2058" s="12"/>
      <x:c r="O2058" s="12"/>
    </x:row>
    <x:row r="2059" ht="24" customHeight="1">
      <x:c r="A2059" s="12" t="str">
        <x:v>原比例压力</x:v>
      </x:c>
      <x:c r="B2059" s="12" t="str">
        <x:v>任一目标</x:v>
      </x:c>
      <x:c r="C2059" s="12" t="str">
        <x:v>NPA</x:v>
      </x:c>
      <x:c r="D2059" s="12" t="str">
        <x:v>max</x:v>
      </x:c>
      <x:c r="E2059" s="12" t="str">
        <x:v>1456</x:v>
      </x:c>
      <x:c r="F2059" s="12" t="str">
        <x:v>13776</x:v>
      </x:c>
      <x:c r="G2059" s="12" t="str">
        <x:v>原000</x:v>
      </x:c>
      <x:c r="H2059" s="12" t="str">
        <x:v>新100</x:v>
      </x:c>
      <x:c r="I2059" s="12" t="str">
        <x:v>自动100</x:v>
      </x:c>
      <x:c r="J2059" s="12" t="str">
        <x:v>每行一名不同患者；此端点清单内共享名额</x:v>
      </x:c>
      <x:c r="K2059" s="12"/>
      <x:c r="L2059" s="12"/>
      <x:c r="M2059" s="12"/>
      <x:c r="N2059" s="12"/>
      <x:c r="O2059" s="12"/>
    </x:row>
    <x:row r="2060" ht="24" customHeight="1">
      <x:c r="A2060" s="12" t="str">
        <x:v>固定A</x:v>
      </x:c>
      <x:c r="B2060" s="12" t="str">
        <x:v>AFIB</x:v>
      </x:c>
      <x:c r="C2060" s="12" t="str">
        <x:v>纳入比例</x:v>
      </x:c>
      <x:c r="D2060" s="12" t="str">
        <x:v>min</x:v>
      </x:c>
      <x:c r="E2060" s="12" t="str">
        <x:v>9</x:v>
      </x:c>
      <x:c r="F2060" s="12" t="str">
        <x:v>18792</x:v>
      </x:c>
      <x:c r="G2060" s="12" t="str">
        <x:v>原000</x:v>
      </x:c>
      <x:c r="H2060" s="12" t="str">
        <x:v>新100</x:v>
      </x:c>
      <x:c r="I2060" s="12" t="str">
        <x:v>自动000</x:v>
      </x:c>
      <x:c r="J2060" s="12" t="str">
        <x:v>每行一名不同患者；此端点清单内共享名额</x:v>
      </x:c>
      <x:c r="K2060" s="12"/>
      <x:c r="L2060" s="12"/>
      <x:c r="M2060" s="12"/>
      <x:c r="N2060" s="12"/>
      <x:c r="O2060" s="12"/>
    </x:row>
    <x:row r="2061" ht="24" customHeight="1">
      <x:c r="A2061" s="12" t="str">
        <x:v>固定A</x:v>
      </x:c>
      <x:c r="B2061" s="12" t="str">
        <x:v>AFIB</x:v>
      </x:c>
      <x:c r="C2061" s="12" t="str">
        <x:v>纳入比例</x:v>
      </x:c>
      <x:c r="D2061" s="12" t="str">
        <x:v>min</x:v>
      </x:c>
      <x:c r="E2061" s="12" t="str">
        <x:v>38</x:v>
      </x:c>
      <x:c r="F2061" s="12" t="str">
        <x:v>17076</x:v>
      </x:c>
      <x:c r="G2061" s="12" t="str">
        <x:v>原000</x:v>
      </x:c>
      <x:c r="H2061" s="12" t="str">
        <x:v>新100</x:v>
      </x:c>
      <x:c r="I2061" s="12" t="str">
        <x:v>自动000</x:v>
      </x:c>
      <x:c r="J2061" s="12" t="str">
        <x:v>每行一名不同患者；此端点清单内共享名额</x:v>
      </x:c>
      <x:c r="K2061" s="12"/>
      <x:c r="L2061" s="12"/>
      <x:c r="M2061" s="12"/>
      <x:c r="N2061" s="12"/>
      <x:c r="O2061" s="12"/>
    </x:row>
    <x:row r="2062" ht="24" customHeight="1">
      <x:c r="A2062" s="12" t="str">
        <x:v>固定A</x:v>
      </x:c>
      <x:c r="B2062" s="12" t="str">
        <x:v>AFIB</x:v>
      </x:c>
      <x:c r="C2062" s="12" t="str">
        <x:v>纳入比例</x:v>
      </x:c>
      <x:c r="D2062" s="12" t="str">
        <x:v>min</x:v>
      </x:c>
      <x:c r="E2062" s="12" t="str">
        <x:v>40</x:v>
      </x:c>
      <x:c r="F2062" s="12" t="str">
        <x:v>19501</x:v>
      </x:c>
      <x:c r="G2062" s="12" t="str">
        <x:v>原000</x:v>
      </x:c>
      <x:c r="H2062" s="12" t="str">
        <x:v>新100</x:v>
      </x:c>
      <x:c r="I2062" s="12" t="str">
        <x:v>自动000</x:v>
      </x:c>
      <x:c r="J2062" s="12" t="str">
        <x:v>每行一名不同患者；此端点清单内共享名额</x:v>
      </x:c>
      <x:c r="K2062" s="12"/>
      <x:c r="L2062" s="12"/>
      <x:c r="M2062" s="12"/>
      <x:c r="N2062" s="12"/>
      <x:c r="O2062" s="12"/>
    </x:row>
    <x:row r="2063" ht="24" customHeight="1">
      <x:c r="A2063" s="12" t="str">
        <x:v>固定A</x:v>
      </x:c>
      <x:c r="B2063" s="12" t="str">
        <x:v>AFIB</x:v>
      </x:c>
      <x:c r="C2063" s="12" t="str">
        <x:v>纳入比例</x:v>
      </x:c>
      <x:c r="D2063" s="12" t="str">
        <x:v>min</x:v>
      </x:c>
      <x:c r="E2063" s="12" t="str">
        <x:v>57</x:v>
      </x:c>
      <x:c r="F2063" s="12" t="str">
        <x:v>16063</x:v>
      </x:c>
      <x:c r="G2063" s="12" t="str">
        <x:v>原000</x:v>
      </x:c>
      <x:c r="H2063" s="12" t="str">
        <x:v>新100</x:v>
      </x:c>
      <x:c r="I2063" s="12" t="str">
        <x:v>自动000</x:v>
      </x:c>
      <x:c r="J2063" s="12" t="str">
        <x:v>每行一名不同患者；此端点清单内共享名额</x:v>
      </x:c>
      <x:c r="K2063" s="12"/>
      <x:c r="L2063" s="12"/>
      <x:c r="M2063" s="12"/>
      <x:c r="N2063" s="12"/>
      <x:c r="O2063" s="12"/>
    </x:row>
    <x:row r="2064" ht="24" customHeight="1">
      <x:c r="A2064" s="12" t="str">
        <x:v>固定A</x:v>
      </x:c>
      <x:c r="B2064" s="12" t="str">
        <x:v>AFIB</x:v>
      </x:c>
      <x:c r="C2064" s="12" t="str">
        <x:v>纳入比例</x:v>
      </x:c>
      <x:c r="D2064" s="12" t="str">
        <x:v>min</x:v>
      </x:c>
      <x:c r="E2064" s="12" t="str">
        <x:v>59</x:v>
      </x:c>
      <x:c r="F2064" s="12" t="str">
        <x:v>19475</x:v>
      </x:c>
      <x:c r="G2064" s="12" t="str">
        <x:v>原000</x:v>
      </x:c>
      <x:c r="H2064" s="12" t="str">
        <x:v>新100</x:v>
      </x:c>
      <x:c r="I2064" s="12" t="str">
        <x:v>自动000</x:v>
      </x:c>
      <x:c r="J2064" s="12" t="str">
        <x:v>每行一名不同患者；此端点清单内共享名额</x:v>
      </x:c>
      <x:c r="K2064" s="12"/>
      <x:c r="L2064" s="12"/>
      <x:c r="M2064" s="12"/>
      <x:c r="N2064" s="12"/>
      <x:c r="O2064" s="12"/>
    </x:row>
    <x:row r="2065" ht="24" customHeight="1">
      <x:c r="A2065" s="12" t="str">
        <x:v>固定A</x:v>
      </x:c>
      <x:c r="B2065" s="12" t="str">
        <x:v>AFIB</x:v>
      </x:c>
      <x:c r="C2065" s="12" t="str">
        <x:v>纳入比例</x:v>
      </x:c>
      <x:c r="D2065" s="12" t="str">
        <x:v>max</x:v>
      </x:c>
      <x:c r="E2065" s="12" t="str">
        <x:v>2549</x:v>
      </x:c>
      <x:c r="F2065" s="12" t="str">
        <x:v>21158</x:v>
      </x:c>
      <x:c r="G2065" s="12" t="str">
        <x:v>原100</x:v>
      </x:c>
      <x:c r="H2065" s="12" t="str">
        <x:v>新000</x:v>
      </x:c>
      <x:c r="I2065" s="12" t="str">
        <x:v>自动000</x:v>
      </x:c>
      <x:c r="J2065" s="12" t="str">
        <x:v>每行一名不同患者；此端点清单内共享名额</x:v>
      </x:c>
      <x:c r="K2065" s="12"/>
      <x:c r="L2065" s="12"/>
      <x:c r="M2065" s="12"/>
      <x:c r="N2065" s="12"/>
      <x:c r="O2065" s="12"/>
    </x:row>
    <x:row r="2066" ht="24" customHeight="1">
      <x:c r="A2066" s="12" t="str">
        <x:v>固定A</x:v>
      </x:c>
      <x:c r="B2066" s="12" t="str">
        <x:v>AFIB</x:v>
      </x:c>
      <x:c r="C2066" s="12" t="str">
        <x:v>纳入比例</x:v>
      </x:c>
      <x:c r="D2066" s="12" t="str">
        <x:v>max</x:v>
      </x:c>
      <x:c r="E2066" s="12" t="str">
        <x:v>3692</x:v>
      </x:c>
      <x:c r="F2066" s="12" t="str">
        <x:v>18861</x:v>
      </x:c>
      <x:c r="G2066" s="12" t="str">
        <x:v>原100</x:v>
      </x:c>
      <x:c r="H2066" s="12" t="str">
        <x:v>新000</x:v>
      </x:c>
      <x:c r="I2066" s="12" t="str">
        <x:v>自动000</x:v>
      </x:c>
      <x:c r="J2066" s="12" t="str">
        <x:v>每行一名不同患者；此端点清单内共享名额</x:v>
      </x:c>
      <x:c r="K2066" s="12"/>
      <x:c r="L2066" s="12"/>
      <x:c r="M2066" s="12"/>
      <x:c r="N2066" s="12"/>
      <x:c r="O2066" s="12"/>
    </x:row>
    <x:row r="2067" ht="24" customHeight="1">
      <x:c r="A2067" s="12" t="str">
        <x:v>固定A</x:v>
      </x:c>
      <x:c r="B2067" s="12" t="str">
        <x:v>AFIB</x:v>
      </x:c>
      <x:c r="C2067" s="12" t="str">
        <x:v>纳入比例</x:v>
      </x:c>
      <x:c r="D2067" s="12" t="str">
        <x:v>max</x:v>
      </x:c>
      <x:c r="E2067" s="12" t="str">
        <x:v>4785</x:v>
      </x:c>
      <x:c r="F2067" s="12" t="str">
        <x:v>9903</x:v>
      </x:c>
      <x:c r="G2067" s="12" t="str">
        <x:v>原100</x:v>
      </x:c>
      <x:c r="H2067" s="12" t="str">
        <x:v>新000</x:v>
      </x:c>
      <x:c r="I2067" s="12" t="str">
        <x:v>自动000</x:v>
      </x:c>
      <x:c r="J2067" s="12" t="str">
        <x:v>每行一名不同患者；此端点清单内共享名额</x:v>
      </x:c>
      <x:c r="K2067" s="12"/>
      <x:c r="L2067" s="12"/>
      <x:c r="M2067" s="12"/>
      <x:c r="N2067" s="12"/>
      <x:c r="O2067" s="12"/>
    </x:row>
    <x:row r="2068" ht="24" customHeight="1">
      <x:c r="A2068" s="12" t="str">
        <x:v>固定A</x:v>
      </x:c>
      <x:c r="B2068" s="12" t="str">
        <x:v>AFIB</x:v>
      </x:c>
      <x:c r="C2068" s="12" t="str">
        <x:v>纳入比例</x:v>
      </x:c>
      <x:c r="D2068" s="12" t="str">
        <x:v>max</x:v>
      </x:c>
      <x:c r="E2068" s="12" t="str">
        <x:v>5777</x:v>
      </x:c>
      <x:c r="F2068" s="12" t="str">
        <x:v>16862</x:v>
      </x:c>
      <x:c r="G2068" s="12" t="str">
        <x:v>原100</x:v>
      </x:c>
      <x:c r="H2068" s="12" t="str">
        <x:v>新000</x:v>
      </x:c>
      <x:c r="I2068" s="12" t="str">
        <x:v>自动000</x:v>
      </x:c>
      <x:c r="J2068" s="12" t="str">
        <x:v>每行一名不同患者；此端点清单内共享名额</x:v>
      </x:c>
      <x:c r="K2068" s="12"/>
      <x:c r="L2068" s="12"/>
      <x:c r="M2068" s="12"/>
      <x:c r="N2068" s="12"/>
      <x:c r="O2068" s="12"/>
    </x:row>
    <x:row r="2069" ht="24" customHeight="1">
      <x:c r="A2069" s="12" t="str">
        <x:v>固定A</x:v>
      </x:c>
      <x:c r="B2069" s="12" t="str">
        <x:v>AFIB</x:v>
      </x:c>
      <x:c r="C2069" s="12" t="str">
        <x:v>纳入比例</x:v>
      </x:c>
      <x:c r="D2069" s="12" t="str">
        <x:v>max</x:v>
      </x:c>
      <x:c r="E2069" s="12" t="str">
        <x:v>6229</x:v>
      </x:c>
      <x:c r="F2069" s="12" t="str">
        <x:v>17805</x:v>
      </x:c>
      <x:c r="G2069" s="12" t="str">
        <x:v>原100</x:v>
      </x:c>
      <x:c r="H2069" s="12" t="str">
        <x:v>新000</x:v>
      </x:c>
      <x:c r="I2069" s="12" t="str">
        <x:v>自动000</x:v>
      </x:c>
      <x:c r="J2069" s="12" t="str">
        <x:v>每行一名不同患者；此端点清单内共享名额</x:v>
      </x:c>
      <x:c r="K2069" s="12"/>
      <x:c r="L2069" s="12"/>
      <x:c r="M2069" s="12"/>
      <x:c r="N2069" s="12"/>
      <x:c r="O2069" s="12"/>
    </x:row>
    <x:row r="2070" ht="24" customHeight="1">
      <x:c r="A2070" s="12" t="str">
        <x:v>固定A</x:v>
      </x:c>
      <x:c r="B2070" s="12" t="str">
        <x:v>CLBBB</x:v>
      </x:c>
      <x:c r="C2070" s="12" t="str">
        <x:v>纳入比例</x:v>
      </x:c>
      <x:c r="D2070" s="12" t="str">
        <x:v>min</x:v>
      </x:c>
      <x:c r="E2070" s="12" t="str">
        <x:v>9</x:v>
      </x:c>
      <x:c r="F2070" s="12" t="str">
        <x:v>18792</x:v>
      </x:c>
      <x:c r="G2070" s="12" t="str">
        <x:v>原000</x:v>
      </x:c>
      <x:c r="H2070" s="12" t="str">
        <x:v>新010</x:v>
      </x:c>
      <x:c r="I2070" s="12" t="str">
        <x:v>自动000</x:v>
      </x:c>
      <x:c r="J2070" s="12" t="str">
        <x:v>每行一名不同患者；此端点清单内共享名额</x:v>
      </x:c>
      <x:c r="K2070" s="12"/>
      <x:c r="L2070" s="12"/>
      <x:c r="M2070" s="12"/>
      <x:c r="N2070" s="12"/>
      <x:c r="O2070" s="12"/>
    </x:row>
    <x:row r="2071" ht="24" customHeight="1">
      <x:c r="A2071" s="12" t="str">
        <x:v>固定A</x:v>
      </x:c>
      <x:c r="B2071" s="12" t="str">
        <x:v>CLBBB</x:v>
      </x:c>
      <x:c r="C2071" s="12" t="str">
        <x:v>纳入比例</x:v>
      </x:c>
      <x:c r="D2071" s="12" t="str">
        <x:v>min</x:v>
      </x:c>
      <x:c r="E2071" s="12" t="str">
        <x:v>38</x:v>
      </x:c>
      <x:c r="F2071" s="12" t="str">
        <x:v>17076</x:v>
      </x:c>
      <x:c r="G2071" s="12" t="str">
        <x:v>原000</x:v>
      </x:c>
      <x:c r="H2071" s="12" t="str">
        <x:v>新010</x:v>
      </x:c>
      <x:c r="I2071" s="12" t="str">
        <x:v>自动000</x:v>
      </x:c>
      <x:c r="J2071" s="12" t="str">
        <x:v>每行一名不同患者；此端点清单内共享名额</x:v>
      </x:c>
      <x:c r="K2071" s="12"/>
      <x:c r="L2071" s="12"/>
      <x:c r="M2071" s="12"/>
      <x:c r="N2071" s="12"/>
      <x:c r="O2071" s="12"/>
    </x:row>
    <x:row r="2072" ht="24" customHeight="1">
      <x:c r="A2072" s="12" t="str">
        <x:v>固定A</x:v>
      </x:c>
      <x:c r="B2072" s="12" t="str">
        <x:v>CLBBB</x:v>
      </x:c>
      <x:c r="C2072" s="12" t="str">
        <x:v>纳入比例</x:v>
      </x:c>
      <x:c r="D2072" s="12" t="str">
        <x:v>min</x:v>
      </x:c>
      <x:c r="E2072" s="12" t="str">
        <x:v>40</x:v>
      </x:c>
      <x:c r="F2072" s="12" t="str">
        <x:v>19501</x:v>
      </x:c>
      <x:c r="G2072" s="12" t="str">
        <x:v>原000</x:v>
      </x:c>
      <x:c r="H2072" s="12" t="str">
        <x:v>新010</x:v>
      </x:c>
      <x:c r="I2072" s="12" t="str">
        <x:v>自动000</x:v>
      </x:c>
      <x:c r="J2072" s="12" t="str">
        <x:v>每行一名不同患者；此端点清单内共享名额</x:v>
      </x:c>
      <x:c r="K2072" s="12"/>
      <x:c r="L2072" s="12"/>
      <x:c r="M2072" s="12"/>
      <x:c r="N2072" s="12"/>
      <x:c r="O2072" s="12"/>
    </x:row>
    <x:row r="2073" ht="24" customHeight="1">
      <x:c r="A2073" s="12" t="str">
        <x:v>固定A</x:v>
      </x:c>
      <x:c r="B2073" s="12" t="str">
        <x:v>CLBBB</x:v>
      </x:c>
      <x:c r="C2073" s="12" t="str">
        <x:v>纳入比例</x:v>
      </x:c>
      <x:c r="D2073" s="12" t="str">
        <x:v>min</x:v>
      </x:c>
      <x:c r="E2073" s="12" t="str">
        <x:v>57</x:v>
      </x:c>
      <x:c r="F2073" s="12" t="str">
        <x:v>16063</x:v>
      </x:c>
      <x:c r="G2073" s="12" t="str">
        <x:v>原000</x:v>
      </x:c>
      <x:c r="H2073" s="12" t="str">
        <x:v>新010</x:v>
      </x:c>
      <x:c r="I2073" s="12" t="str">
        <x:v>自动000</x:v>
      </x:c>
      <x:c r="J2073" s="12" t="str">
        <x:v>每行一名不同患者；此端点清单内共享名额</x:v>
      </x:c>
      <x:c r="K2073" s="12"/>
      <x:c r="L2073" s="12"/>
      <x:c r="M2073" s="12"/>
      <x:c r="N2073" s="12"/>
      <x:c r="O2073" s="12"/>
    </x:row>
    <x:row r="2074" ht="24" customHeight="1">
      <x:c r="A2074" s="12" t="str">
        <x:v>固定A</x:v>
      </x:c>
      <x:c r="B2074" s="12" t="str">
        <x:v>CLBBB</x:v>
      </x:c>
      <x:c r="C2074" s="12" t="str">
        <x:v>纳入比例</x:v>
      </x:c>
      <x:c r="D2074" s="12" t="str">
        <x:v>min</x:v>
      </x:c>
      <x:c r="E2074" s="12" t="str">
        <x:v>59</x:v>
      </x:c>
      <x:c r="F2074" s="12" t="str">
        <x:v>19475</x:v>
      </x:c>
      <x:c r="G2074" s="12" t="str">
        <x:v>原000</x:v>
      </x:c>
      <x:c r="H2074" s="12" t="str">
        <x:v>新010</x:v>
      </x:c>
      <x:c r="I2074" s="12" t="str">
        <x:v>自动000</x:v>
      </x:c>
      <x:c r="J2074" s="12" t="str">
        <x:v>每行一名不同患者；此端点清单内共享名额</x:v>
      </x:c>
      <x:c r="K2074" s="12"/>
      <x:c r="L2074" s="12"/>
      <x:c r="M2074" s="12"/>
      <x:c r="N2074" s="12"/>
      <x:c r="O2074" s="12"/>
    </x:row>
    <x:row r="2075" ht="24" customHeight="1">
      <x:c r="A2075" s="12" t="str">
        <x:v>固定A</x:v>
      </x:c>
      <x:c r="B2075" s="12" t="str">
        <x:v>CLBBB</x:v>
      </x:c>
      <x:c r="C2075" s="12" t="str">
        <x:v>纳入比例</x:v>
      </x:c>
      <x:c r="D2075" s="12" t="str">
        <x:v>max</x:v>
      </x:c>
      <x:c r="E2075" s="12" t="str">
        <x:v>5606</x:v>
      </x:c>
      <x:c r="F2075" s="12" t="str">
        <x:v>11736</x:v>
      </x:c>
      <x:c r="G2075" s="12" t="str">
        <x:v>原010</x:v>
      </x:c>
      <x:c r="H2075" s="12" t="str">
        <x:v>新000</x:v>
      </x:c>
      <x:c r="I2075" s="12" t="str">
        <x:v>自动000</x:v>
      </x:c>
      <x:c r="J2075" s="12" t="str">
        <x:v>每行一名不同患者；此端点清单内共享名额</x:v>
      </x:c>
      <x:c r="K2075" s="12"/>
      <x:c r="L2075" s="12"/>
      <x:c r="M2075" s="12"/>
      <x:c r="N2075" s="12"/>
      <x:c r="O2075" s="12"/>
    </x:row>
    <x:row r="2076" ht="24" customHeight="1">
      <x:c r="A2076" s="12" t="str">
        <x:v>固定A</x:v>
      </x:c>
      <x:c r="B2076" s="12" t="str">
        <x:v>CLBBB</x:v>
      </x:c>
      <x:c r="C2076" s="12" t="str">
        <x:v>纳入比例</x:v>
      </x:c>
      <x:c r="D2076" s="12" t="str">
        <x:v>max</x:v>
      </x:c>
      <x:c r="E2076" s="12" t="str">
        <x:v>6154</x:v>
      </x:c>
      <x:c r="F2076" s="12" t="str">
        <x:v>7228</x:v>
      </x:c>
      <x:c r="G2076" s="12" t="str">
        <x:v>原010</x:v>
      </x:c>
      <x:c r="H2076" s="12" t="str">
        <x:v>新000</x:v>
      </x:c>
      <x:c r="I2076" s="12" t="str">
        <x:v>自动000</x:v>
      </x:c>
      <x:c r="J2076" s="12" t="str">
        <x:v>每行一名不同患者；此端点清单内共享名额</x:v>
      </x:c>
      <x:c r="K2076" s="12"/>
      <x:c r="L2076" s="12"/>
      <x:c r="M2076" s="12"/>
      <x:c r="N2076" s="12"/>
      <x:c r="O2076" s="12"/>
    </x:row>
    <x:row r="2077" ht="24" customHeight="1">
      <x:c r="A2077" s="12" t="str">
        <x:v>固定A</x:v>
      </x:c>
      <x:c r="B2077" s="12" t="str">
        <x:v>CLBBB</x:v>
      </x:c>
      <x:c r="C2077" s="12" t="str">
        <x:v>纳入比例</x:v>
      </x:c>
      <x:c r="D2077" s="12" t="str">
        <x:v>max</x:v>
      </x:c>
      <x:c r="E2077" s="12" t="str">
        <x:v>11441</x:v>
      </x:c>
      <x:c r="F2077" s="12" t="str">
        <x:v>12916</x:v>
      </x:c>
      <x:c r="G2077" s="12" t="str">
        <x:v>原010</x:v>
      </x:c>
      <x:c r="H2077" s="12" t="str">
        <x:v>新000</x:v>
      </x:c>
      <x:c r="I2077" s="12" t="str">
        <x:v>自动000</x:v>
      </x:c>
      <x:c r="J2077" s="12" t="str">
        <x:v>每行一名不同患者；此端点清单内共享名额</x:v>
      </x:c>
      <x:c r="K2077" s="12"/>
      <x:c r="L2077" s="12"/>
      <x:c r="M2077" s="12"/>
      <x:c r="N2077" s="12"/>
      <x:c r="O2077" s="12"/>
    </x:row>
    <x:row r="2078" ht="24" customHeight="1">
      <x:c r="A2078" s="12" t="str">
        <x:v>固定A</x:v>
      </x:c>
      <x:c r="B2078" s="12" t="str">
        <x:v>CRBBB</x:v>
      </x:c>
      <x:c r="C2078" s="12" t="str">
        <x:v>纳入比例</x:v>
      </x:c>
      <x:c r="D2078" s="12" t="str">
        <x:v>min</x:v>
      </x:c>
      <x:c r="E2078" s="12" t="str">
        <x:v>9</x:v>
      </x:c>
      <x:c r="F2078" s="12" t="str">
        <x:v>18792</x:v>
      </x:c>
      <x:c r="G2078" s="12" t="str">
        <x:v>原000</x:v>
      </x:c>
      <x:c r="H2078" s="12" t="str">
        <x:v>新001</x:v>
      </x:c>
      <x:c r="I2078" s="12" t="str">
        <x:v>自动000</x:v>
      </x:c>
      <x:c r="J2078" s="12" t="str">
        <x:v>每行一名不同患者；此端点清单内共享名额</x:v>
      </x:c>
      <x:c r="K2078" s="12"/>
      <x:c r="L2078" s="12"/>
      <x:c r="M2078" s="12"/>
      <x:c r="N2078" s="12"/>
      <x:c r="O2078" s="12"/>
    </x:row>
    <x:row r="2079" ht="24" customHeight="1">
      <x:c r="A2079" s="12" t="str">
        <x:v>固定A</x:v>
      </x:c>
      <x:c r="B2079" s="12" t="str">
        <x:v>CRBBB</x:v>
      </x:c>
      <x:c r="C2079" s="12" t="str">
        <x:v>纳入比例</x:v>
      </x:c>
      <x:c r="D2079" s="12" t="str">
        <x:v>min</x:v>
      </x:c>
      <x:c r="E2079" s="12" t="str">
        <x:v>38</x:v>
      </x:c>
      <x:c r="F2079" s="12" t="str">
        <x:v>17076</x:v>
      </x:c>
      <x:c r="G2079" s="12" t="str">
        <x:v>原000</x:v>
      </x:c>
      <x:c r="H2079" s="12" t="str">
        <x:v>新001</x:v>
      </x:c>
      <x:c r="I2079" s="12" t="str">
        <x:v>自动000</x:v>
      </x:c>
      <x:c r="J2079" s="12" t="str">
        <x:v>每行一名不同患者；此端点清单内共享名额</x:v>
      </x:c>
      <x:c r="K2079" s="12"/>
      <x:c r="L2079" s="12"/>
      <x:c r="M2079" s="12"/>
      <x:c r="N2079" s="12"/>
      <x:c r="O2079" s="12"/>
    </x:row>
    <x:row r="2080" ht="24" customHeight="1">
      <x:c r="A2080" s="12" t="str">
        <x:v>固定A</x:v>
      </x:c>
      <x:c r="B2080" s="12" t="str">
        <x:v>CRBBB</x:v>
      </x:c>
      <x:c r="C2080" s="12" t="str">
        <x:v>纳入比例</x:v>
      </x:c>
      <x:c r="D2080" s="12" t="str">
        <x:v>min</x:v>
      </x:c>
      <x:c r="E2080" s="12" t="str">
        <x:v>40</x:v>
      </x:c>
      <x:c r="F2080" s="12" t="str">
        <x:v>19501</x:v>
      </x:c>
      <x:c r="G2080" s="12" t="str">
        <x:v>原000</x:v>
      </x:c>
      <x:c r="H2080" s="12" t="str">
        <x:v>新001</x:v>
      </x:c>
      <x:c r="I2080" s="12" t="str">
        <x:v>自动000</x:v>
      </x:c>
      <x:c r="J2080" s="12" t="str">
        <x:v>每行一名不同患者；此端点清单内共享名额</x:v>
      </x:c>
      <x:c r="K2080" s="12"/>
      <x:c r="L2080" s="12"/>
      <x:c r="M2080" s="12"/>
      <x:c r="N2080" s="12"/>
      <x:c r="O2080" s="12"/>
    </x:row>
    <x:row r="2081" ht="24" customHeight="1">
      <x:c r="A2081" s="12" t="str">
        <x:v>固定A</x:v>
      </x:c>
      <x:c r="B2081" s="12" t="str">
        <x:v>CRBBB</x:v>
      </x:c>
      <x:c r="C2081" s="12" t="str">
        <x:v>纳入比例</x:v>
      </x:c>
      <x:c r="D2081" s="12" t="str">
        <x:v>min</x:v>
      </x:c>
      <x:c r="E2081" s="12" t="str">
        <x:v>57</x:v>
      </x:c>
      <x:c r="F2081" s="12" t="str">
        <x:v>16063</x:v>
      </x:c>
      <x:c r="G2081" s="12" t="str">
        <x:v>原000</x:v>
      </x:c>
      <x:c r="H2081" s="12" t="str">
        <x:v>新001</x:v>
      </x:c>
      <x:c r="I2081" s="12" t="str">
        <x:v>自动000</x:v>
      </x:c>
      <x:c r="J2081" s="12" t="str">
        <x:v>每行一名不同患者；此端点清单内共享名额</x:v>
      </x:c>
      <x:c r="K2081" s="12"/>
      <x:c r="L2081" s="12"/>
      <x:c r="M2081" s="12"/>
      <x:c r="N2081" s="12"/>
      <x:c r="O2081" s="12"/>
    </x:row>
    <x:row r="2082" ht="24" customHeight="1">
      <x:c r="A2082" s="12" t="str">
        <x:v>固定A</x:v>
      </x:c>
      <x:c r="B2082" s="12" t="str">
        <x:v>CRBBB</x:v>
      </x:c>
      <x:c r="C2082" s="12" t="str">
        <x:v>纳入比例</x:v>
      </x:c>
      <x:c r="D2082" s="12" t="str">
        <x:v>min</x:v>
      </x:c>
      <x:c r="E2082" s="12" t="str">
        <x:v>59</x:v>
      </x:c>
      <x:c r="F2082" s="12" t="str">
        <x:v>19475</x:v>
      </x:c>
      <x:c r="G2082" s="12" t="str">
        <x:v>原000</x:v>
      </x:c>
      <x:c r="H2082" s="12" t="str">
        <x:v>新001</x:v>
      </x:c>
      <x:c r="I2082" s="12" t="str">
        <x:v>自动000</x:v>
      </x:c>
      <x:c r="J2082" s="12" t="str">
        <x:v>每行一名不同患者；此端点清单内共享名额</x:v>
      </x:c>
      <x:c r="K2082" s="12"/>
      <x:c r="L2082" s="12"/>
      <x:c r="M2082" s="12"/>
      <x:c r="N2082" s="12"/>
      <x:c r="O2082" s="12"/>
    </x:row>
    <x:row r="2083" ht="24" customHeight="1">
      <x:c r="A2083" s="12" t="str">
        <x:v>固定A</x:v>
      </x:c>
      <x:c r="B2083" s="12" t="str">
        <x:v>CRBBB</x:v>
      </x:c>
      <x:c r="C2083" s="12" t="str">
        <x:v>纳入比例</x:v>
      </x:c>
      <x:c r="D2083" s="12" t="str">
        <x:v>max</x:v>
      </x:c>
      <x:c r="E2083" s="12" t="str">
        <x:v>8712</x:v>
      </x:c>
      <x:c r="F2083" s="12" t="str">
        <x:v>4815</x:v>
      </x:c>
      <x:c r="G2083" s="12" t="str">
        <x:v>原001</x:v>
      </x:c>
      <x:c r="H2083" s="12" t="str">
        <x:v>新000</x:v>
      </x:c>
      <x:c r="I2083" s="12" t="str">
        <x:v>自动000</x:v>
      </x:c>
      <x:c r="J2083" s="12" t="str">
        <x:v>每行一名不同患者；此端点清单内共享名额</x:v>
      </x:c>
      <x:c r="K2083" s="12"/>
      <x:c r="L2083" s="12"/>
      <x:c r="M2083" s="12"/>
      <x:c r="N2083" s="12"/>
      <x:c r="O2083" s="12"/>
    </x:row>
    <x:row r="2084" ht="24" customHeight="1">
      <x:c r="A2084" s="12" t="str">
        <x:v>固定A</x:v>
      </x:c>
      <x:c r="B2084" s="12" t="str">
        <x:v>任一目标</x:v>
      </x:c>
      <x:c r="C2084" s="12" t="str">
        <x:v>纳入比例</x:v>
      </x:c>
      <x:c r="D2084" s="12" t="str">
        <x:v>min</x:v>
      </x:c>
      <x:c r="E2084" s="12" t="str">
        <x:v>9</x:v>
      </x:c>
      <x:c r="F2084" s="12" t="str">
        <x:v>18792</x:v>
      </x:c>
      <x:c r="G2084" s="12" t="str">
        <x:v>原000</x:v>
      </x:c>
      <x:c r="H2084" s="12" t="str">
        <x:v>新100</x:v>
      </x:c>
      <x:c r="I2084" s="12" t="str">
        <x:v>自动000</x:v>
      </x:c>
      <x:c r="J2084" s="12" t="str">
        <x:v>每行一名不同患者；此端点清单内共享名额</x:v>
      </x:c>
      <x:c r="K2084" s="12"/>
      <x:c r="L2084" s="12"/>
      <x:c r="M2084" s="12"/>
      <x:c r="N2084" s="12"/>
      <x:c r="O2084" s="12"/>
    </x:row>
    <x:row r="2085" ht="24" customHeight="1">
      <x:c r="A2085" s="12" t="str">
        <x:v>固定A</x:v>
      </x:c>
      <x:c r="B2085" s="12" t="str">
        <x:v>任一目标</x:v>
      </x:c>
      <x:c r="C2085" s="12" t="str">
        <x:v>纳入比例</x:v>
      </x:c>
      <x:c r="D2085" s="12" t="str">
        <x:v>min</x:v>
      </x:c>
      <x:c r="E2085" s="12" t="str">
        <x:v>38</x:v>
      </x:c>
      <x:c r="F2085" s="12" t="str">
        <x:v>17076</x:v>
      </x:c>
      <x:c r="G2085" s="12" t="str">
        <x:v>原000</x:v>
      </x:c>
      <x:c r="H2085" s="12" t="str">
        <x:v>新100</x:v>
      </x:c>
      <x:c r="I2085" s="12" t="str">
        <x:v>自动000</x:v>
      </x:c>
      <x:c r="J2085" s="12" t="str">
        <x:v>每行一名不同患者；此端点清单内共享名额</x:v>
      </x:c>
      <x:c r="K2085" s="12"/>
      <x:c r="L2085" s="12"/>
      <x:c r="M2085" s="12"/>
      <x:c r="N2085" s="12"/>
      <x:c r="O2085" s="12"/>
    </x:row>
    <x:row r="2086" ht="24" customHeight="1">
      <x:c r="A2086" s="12" t="str">
        <x:v>固定A</x:v>
      </x:c>
      <x:c r="B2086" s="12" t="str">
        <x:v>任一目标</x:v>
      </x:c>
      <x:c r="C2086" s="12" t="str">
        <x:v>纳入比例</x:v>
      </x:c>
      <x:c r="D2086" s="12" t="str">
        <x:v>min</x:v>
      </x:c>
      <x:c r="E2086" s="12" t="str">
        <x:v>40</x:v>
      </x:c>
      <x:c r="F2086" s="12" t="str">
        <x:v>19501</x:v>
      </x:c>
      <x:c r="G2086" s="12" t="str">
        <x:v>原000</x:v>
      </x:c>
      <x:c r="H2086" s="12" t="str">
        <x:v>新100</x:v>
      </x:c>
      <x:c r="I2086" s="12" t="str">
        <x:v>自动000</x:v>
      </x:c>
      <x:c r="J2086" s="12" t="str">
        <x:v>每行一名不同患者；此端点清单内共享名额</x:v>
      </x:c>
      <x:c r="K2086" s="12"/>
      <x:c r="L2086" s="12"/>
      <x:c r="M2086" s="12"/>
      <x:c r="N2086" s="12"/>
      <x:c r="O2086" s="12"/>
    </x:row>
    <x:row r="2087" ht="24" customHeight="1">
      <x:c r="A2087" s="12" t="str">
        <x:v>固定A</x:v>
      </x:c>
      <x:c r="B2087" s="12" t="str">
        <x:v>任一目标</x:v>
      </x:c>
      <x:c r="C2087" s="12" t="str">
        <x:v>纳入比例</x:v>
      </x:c>
      <x:c r="D2087" s="12" t="str">
        <x:v>min</x:v>
      </x:c>
      <x:c r="E2087" s="12" t="str">
        <x:v>57</x:v>
      </x:c>
      <x:c r="F2087" s="12" t="str">
        <x:v>16063</x:v>
      </x:c>
      <x:c r="G2087" s="12" t="str">
        <x:v>原000</x:v>
      </x:c>
      <x:c r="H2087" s="12" t="str">
        <x:v>新100</x:v>
      </x:c>
      <x:c r="I2087" s="12" t="str">
        <x:v>自动000</x:v>
      </x:c>
      <x:c r="J2087" s="12" t="str">
        <x:v>每行一名不同患者；此端点清单内共享名额</x:v>
      </x:c>
      <x:c r="K2087" s="12"/>
      <x:c r="L2087" s="12"/>
      <x:c r="M2087" s="12"/>
      <x:c r="N2087" s="12"/>
      <x:c r="O2087" s="12"/>
    </x:row>
    <x:row r="2088" ht="24" customHeight="1">
      <x:c r="A2088" s="12" t="str">
        <x:v>固定A</x:v>
      </x:c>
      <x:c r="B2088" s="12" t="str">
        <x:v>任一目标</x:v>
      </x:c>
      <x:c r="C2088" s="12" t="str">
        <x:v>纳入比例</x:v>
      </x:c>
      <x:c r="D2088" s="12" t="str">
        <x:v>min</x:v>
      </x:c>
      <x:c r="E2088" s="12" t="str">
        <x:v>59</x:v>
      </x:c>
      <x:c r="F2088" s="12" t="str">
        <x:v>19475</x:v>
      </x:c>
      <x:c r="G2088" s="12" t="str">
        <x:v>原000</x:v>
      </x:c>
      <x:c r="H2088" s="12" t="str">
        <x:v>新100</x:v>
      </x:c>
      <x:c r="I2088" s="12" t="str">
        <x:v>自动000</x:v>
      </x:c>
      <x:c r="J2088" s="12" t="str">
        <x:v>每行一名不同患者；此端点清单内共享名额</x:v>
      </x:c>
      <x:c r="K2088" s="12"/>
      <x:c r="L2088" s="12"/>
      <x:c r="M2088" s="12"/>
      <x:c r="N2088" s="12"/>
      <x:c r="O2088" s="12"/>
    </x:row>
    <x:row r="2089" ht="24" customHeight="1">
      <x:c r="A2089" s="12" t="str">
        <x:v>固定A</x:v>
      </x:c>
      <x:c r="B2089" s="12" t="str">
        <x:v>任一目标</x:v>
      </x:c>
      <x:c r="C2089" s="12" t="str">
        <x:v>纳入比例</x:v>
      </x:c>
      <x:c r="D2089" s="12" t="str">
        <x:v>max</x:v>
      </x:c>
      <x:c r="E2089" s="12" t="str">
        <x:v>2549</x:v>
      </x:c>
      <x:c r="F2089" s="12" t="str">
        <x:v>21158</x:v>
      </x:c>
      <x:c r="G2089" s="12" t="str">
        <x:v>原100</x:v>
      </x:c>
      <x:c r="H2089" s="12" t="str">
        <x:v>新000</x:v>
      </x:c>
      <x:c r="I2089" s="12" t="str">
        <x:v>自动000</x:v>
      </x:c>
      <x:c r="J2089" s="12" t="str">
        <x:v>每行一名不同患者；此端点清单内共享名额</x:v>
      </x:c>
      <x:c r="K2089" s="12"/>
      <x:c r="L2089" s="12"/>
      <x:c r="M2089" s="12"/>
      <x:c r="N2089" s="12"/>
      <x:c r="O2089" s="12"/>
    </x:row>
    <x:row r="2090" ht="24" customHeight="1">
      <x:c r="A2090" s="12" t="str">
        <x:v>固定A</x:v>
      </x:c>
      <x:c r="B2090" s="12" t="str">
        <x:v>任一目标</x:v>
      </x:c>
      <x:c r="C2090" s="12" t="str">
        <x:v>纳入比例</x:v>
      </x:c>
      <x:c r="D2090" s="12" t="str">
        <x:v>max</x:v>
      </x:c>
      <x:c r="E2090" s="12" t="str">
        <x:v>3692</x:v>
      </x:c>
      <x:c r="F2090" s="12" t="str">
        <x:v>18861</x:v>
      </x:c>
      <x:c r="G2090" s="12" t="str">
        <x:v>原100</x:v>
      </x:c>
      <x:c r="H2090" s="12" t="str">
        <x:v>新000</x:v>
      </x:c>
      <x:c r="I2090" s="12" t="str">
        <x:v>自动000</x:v>
      </x:c>
      <x:c r="J2090" s="12" t="str">
        <x:v>每行一名不同患者；此端点清单内共享名额</x:v>
      </x:c>
      <x:c r="K2090" s="12"/>
      <x:c r="L2090" s="12"/>
      <x:c r="M2090" s="12"/>
      <x:c r="N2090" s="12"/>
      <x:c r="O2090" s="12"/>
    </x:row>
    <x:row r="2091" ht="24" customHeight="1">
      <x:c r="A2091" s="12" t="str">
        <x:v>固定A</x:v>
      </x:c>
      <x:c r="B2091" s="12" t="str">
        <x:v>任一目标</x:v>
      </x:c>
      <x:c r="C2091" s="12" t="str">
        <x:v>纳入比例</x:v>
      </x:c>
      <x:c r="D2091" s="12" t="str">
        <x:v>max</x:v>
      </x:c>
      <x:c r="E2091" s="12" t="str">
        <x:v>4785</x:v>
      </x:c>
      <x:c r="F2091" s="12" t="str">
        <x:v>9903</x:v>
      </x:c>
      <x:c r="G2091" s="12" t="str">
        <x:v>原100</x:v>
      </x:c>
      <x:c r="H2091" s="12" t="str">
        <x:v>新000</x:v>
      </x:c>
      <x:c r="I2091" s="12" t="str">
        <x:v>自动000</x:v>
      </x:c>
      <x:c r="J2091" s="12" t="str">
        <x:v>每行一名不同患者；此端点清单内共享名额</x:v>
      </x:c>
      <x:c r="K2091" s="12"/>
      <x:c r="L2091" s="12"/>
      <x:c r="M2091" s="12"/>
      <x:c r="N2091" s="12"/>
      <x:c r="O2091" s="12"/>
    </x:row>
    <x:row r="2092" ht="24" customHeight="1">
      <x:c r="A2092" s="12" t="str">
        <x:v>固定A</x:v>
      </x:c>
      <x:c r="B2092" s="12" t="str">
        <x:v>任一目标</x:v>
      </x:c>
      <x:c r="C2092" s="12" t="str">
        <x:v>纳入比例</x:v>
      </x:c>
      <x:c r="D2092" s="12" t="str">
        <x:v>max</x:v>
      </x:c>
      <x:c r="E2092" s="12" t="str">
        <x:v>5606</x:v>
      </x:c>
      <x:c r="F2092" s="12" t="str">
        <x:v>11736</x:v>
      </x:c>
      <x:c r="G2092" s="12" t="str">
        <x:v>原010</x:v>
      </x:c>
      <x:c r="H2092" s="12" t="str">
        <x:v>新000</x:v>
      </x:c>
      <x:c r="I2092" s="12" t="str">
        <x:v>自动000</x:v>
      </x:c>
      <x:c r="J2092" s="12" t="str">
        <x:v>每行一名不同患者；此端点清单内共享名额</x:v>
      </x:c>
      <x:c r="K2092" s="12"/>
      <x:c r="L2092" s="12"/>
      <x:c r="M2092" s="12"/>
      <x:c r="N2092" s="12"/>
      <x:c r="O2092" s="12"/>
    </x:row>
    <x:row r="2093" ht="24" customHeight="1">
      <x:c r="A2093" s="12" t="str">
        <x:v>固定A</x:v>
      </x:c>
      <x:c r="B2093" s="12" t="str">
        <x:v>任一目标</x:v>
      </x:c>
      <x:c r="C2093" s="12" t="str">
        <x:v>纳入比例</x:v>
      </x:c>
      <x:c r="D2093" s="12" t="str">
        <x:v>max</x:v>
      </x:c>
      <x:c r="E2093" s="12" t="str">
        <x:v>5777</x:v>
      </x:c>
      <x:c r="F2093" s="12" t="str">
        <x:v>16862</x:v>
      </x:c>
      <x:c r="G2093" s="12" t="str">
        <x:v>原100</x:v>
      </x:c>
      <x:c r="H2093" s="12" t="str">
        <x:v>新000</x:v>
      </x:c>
      <x:c r="I2093" s="12" t="str">
        <x:v>自动000</x:v>
      </x:c>
      <x:c r="J2093" s="12" t="str">
        <x:v>每行一名不同患者；此端点清单内共享名额</x:v>
      </x:c>
      <x:c r="K2093" s="12"/>
      <x:c r="L2093" s="12"/>
      <x:c r="M2093" s="12"/>
      <x:c r="N2093" s="12"/>
      <x:c r="O2093" s="12"/>
    </x:row>
    <x:row r="2094" ht="24" customHeight="1">
      <x:c r="A2094" s="12" t="str">
        <x:v>固定B</x:v>
      </x:c>
      <x:c r="B2094" s="12" t="str">
        <x:v>AFIB</x:v>
      </x:c>
      <x:c r="C2094" s="12" t="str">
        <x:v>纳入比例</x:v>
      </x:c>
      <x:c r="D2094" s="12" t="str">
        <x:v>min</x:v>
      </x:c>
      <x:c r="E2094" s="12" t="str">
        <x:v>40</x:v>
      </x:c>
      <x:c r="F2094" s="12" t="str">
        <x:v>19501</x:v>
      </x:c>
      <x:c r="G2094" s="12" t="str">
        <x:v>原000</x:v>
      </x:c>
      <x:c r="H2094" s="12" t="str">
        <x:v>新100</x:v>
      </x:c>
      <x:c r="I2094" s="12" t="str">
        <x:v>自动000</x:v>
      </x:c>
      <x:c r="J2094" s="12" t="str">
        <x:v>每行一名不同患者；此端点清单内共享名额</x:v>
      </x:c>
      <x:c r="K2094" s="12"/>
      <x:c r="L2094" s="12"/>
      <x:c r="M2094" s="12"/>
      <x:c r="N2094" s="12"/>
      <x:c r="O2094" s="12"/>
    </x:row>
    <x:row r="2095" ht="24" customHeight="1">
      <x:c r="A2095" s="12" t="str">
        <x:v>固定B</x:v>
      </x:c>
      <x:c r="B2095" s="12" t="str">
        <x:v>AFIB</x:v>
      </x:c>
      <x:c r="C2095" s="12" t="str">
        <x:v>纳入比例</x:v>
      </x:c>
      <x:c r="D2095" s="12" t="str">
        <x:v>min</x:v>
      </x:c>
      <x:c r="E2095" s="12" t="str">
        <x:v>57</x:v>
      </x:c>
      <x:c r="F2095" s="12" t="str">
        <x:v>16063</x:v>
      </x:c>
      <x:c r="G2095" s="12" t="str">
        <x:v>原000</x:v>
      </x:c>
      <x:c r="H2095" s="12" t="str">
        <x:v>新100</x:v>
      </x:c>
      <x:c r="I2095" s="12" t="str">
        <x:v>自动000</x:v>
      </x:c>
      <x:c r="J2095" s="12" t="str">
        <x:v>每行一名不同患者；此端点清单内共享名额</x:v>
      </x:c>
      <x:c r="K2095" s="12"/>
      <x:c r="L2095" s="12"/>
      <x:c r="M2095" s="12"/>
      <x:c r="N2095" s="12"/>
      <x:c r="O2095" s="12"/>
    </x:row>
    <x:row r="2096" ht="24" customHeight="1">
      <x:c r="A2096" s="12" t="str">
        <x:v>固定B</x:v>
      </x:c>
      <x:c r="B2096" s="12" t="str">
        <x:v>AFIB</x:v>
      </x:c>
      <x:c r="C2096" s="12" t="str">
        <x:v>纳入比例</x:v>
      </x:c>
      <x:c r="D2096" s="12" t="str">
        <x:v>min</x:v>
      </x:c>
      <x:c r="E2096" s="12" t="str">
        <x:v>65</x:v>
      </x:c>
      <x:c r="F2096" s="12" t="str">
        <x:v>19170</x:v>
      </x:c>
      <x:c r="G2096" s="12" t="str">
        <x:v>原000</x:v>
      </x:c>
      <x:c r="H2096" s="12" t="str">
        <x:v>新100</x:v>
      </x:c>
      <x:c r="I2096" s="12" t="str">
        <x:v>自动000</x:v>
      </x:c>
      <x:c r="J2096" s="12" t="str">
        <x:v>每行一名不同患者；此端点清单内共享名额</x:v>
      </x:c>
      <x:c r="K2096" s="12"/>
      <x:c r="L2096" s="12"/>
      <x:c r="M2096" s="12"/>
      <x:c r="N2096" s="12"/>
      <x:c r="O2096" s="12"/>
    </x:row>
    <x:row r="2097" ht="24" customHeight="1">
      <x:c r="A2097" s="12" t="str">
        <x:v>固定B</x:v>
      </x:c>
      <x:c r="B2097" s="12" t="str">
        <x:v>AFIB</x:v>
      </x:c>
      <x:c r="C2097" s="12" t="str">
        <x:v>纳入比例</x:v>
      </x:c>
      <x:c r="D2097" s="12" t="str">
        <x:v>min</x:v>
      </x:c>
      <x:c r="E2097" s="12" t="str">
        <x:v>79</x:v>
      </x:c>
      <x:c r="F2097" s="12" t="str">
        <x:v>17529</x:v>
      </x:c>
      <x:c r="G2097" s="12" t="str">
        <x:v>原000</x:v>
      </x:c>
      <x:c r="H2097" s="12" t="str">
        <x:v>新100</x:v>
      </x:c>
      <x:c r="I2097" s="12" t="str">
        <x:v>自动000</x:v>
      </x:c>
      <x:c r="J2097" s="12" t="str">
        <x:v>每行一名不同患者；此端点清单内共享名额</x:v>
      </x:c>
      <x:c r="K2097" s="12"/>
      <x:c r="L2097" s="12"/>
      <x:c r="M2097" s="12"/>
      <x:c r="N2097" s="12"/>
      <x:c r="O2097" s="12"/>
    </x:row>
    <x:row r="2098" ht="24" customHeight="1">
      <x:c r="A2098" s="12" t="str">
        <x:v>固定B</x:v>
      </x:c>
      <x:c r="B2098" s="12" t="str">
        <x:v>AFIB</x:v>
      </x:c>
      <x:c r="C2098" s="12" t="str">
        <x:v>纳入比例</x:v>
      </x:c>
      <x:c r="D2098" s="12" t="str">
        <x:v>min</x:v>
      </x:c>
      <x:c r="E2098" s="12" t="str">
        <x:v>112</x:v>
      </x:c>
      <x:c r="F2098" s="12" t="str">
        <x:v>19832</x:v>
      </x:c>
      <x:c r="G2098" s="12" t="str">
        <x:v>原000</x:v>
      </x:c>
      <x:c r="H2098" s="12" t="str">
        <x:v>新100</x:v>
      </x:c>
      <x:c r="I2098" s="12" t="str">
        <x:v>自动000</x:v>
      </x:c>
      <x:c r="J2098" s="12" t="str">
        <x:v>每行一名不同患者；此端点清单内共享名额</x:v>
      </x:c>
      <x:c r="K2098" s="12"/>
      <x:c r="L2098" s="12"/>
      <x:c r="M2098" s="12"/>
      <x:c r="N2098" s="12"/>
      <x:c r="O2098" s="12"/>
    </x:row>
    <x:row r="2099" ht="24" customHeight="1">
      <x:c r="A2099" s="12" t="str">
        <x:v>固定B</x:v>
      </x:c>
      <x:c r="B2099" s="12" t="str">
        <x:v>AFIB</x:v>
      </x:c>
      <x:c r="C2099" s="12" t="str">
        <x:v>纳入比例</x:v>
      </x:c>
      <x:c r="D2099" s="12" t="str">
        <x:v>max</x:v>
      </x:c>
      <x:c r="E2099" s="12" t="str">
        <x:v>2549</x:v>
      </x:c>
      <x:c r="F2099" s="12" t="str">
        <x:v>21158</x:v>
      </x:c>
      <x:c r="G2099" s="12" t="str">
        <x:v>原100</x:v>
      </x:c>
      <x:c r="H2099" s="12" t="str">
        <x:v>新000</x:v>
      </x:c>
      <x:c r="I2099" s="12" t="str">
        <x:v>自动000</x:v>
      </x:c>
      <x:c r="J2099" s="12" t="str">
        <x:v>每行一名不同患者；此端点清单内共享名额</x:v>
      </x:c>
      <x:c r="K2099" s="12"/>
      <x:c r="L2099" s="12"/>
      <x:c r="M2099" s="12"/>
      <x:c r="N2099" s="12"/>
      <x:c r="O2099" s="12"/>
    </x:row>
    <x:row r="2100" ht="24" customHeight="1">
      <x:c r="A2100" s="12" t="str">
        <x:v>固定B</x:v>
      </x:c>
      <x:c r="B2100" s="12" t="str">
        <x:v>AFIB</x:v>
      </x:c>
      <x:c r="C2100" s="12" t="str">
        <x:v>纳入比例</x:v>
      </x:c>
      <x:c r="D2100" s="12" t="str">
        <x:v>max</x:v>
      </x:c>
      <x:c r="E2100" s="12" t="str">
        <x:v>5777</x:v>
      </x:c>
      <x:c r="F2100" s="12" t="str">
        <x:v>16862</x:v>
      </x:c>
      <x:c r="G2100" s="12" t="str">
        <x:v>原100</x:v>
      </x:c>
      <x:c r="H2100" s="12" t="str">
        <x:v>新000</x:v>
      </x:c>
      <x:c r="I2100" s="12" t="str">
        <x:v>自动000</x:v>
      </x:c>
      <x:c r="J2100" s="12" t="str">
        <x:v>每行一名不同患者；此端点清单内共享名额</x:v>
      </x:c>
      <x:c r="K2100" s="12"/>
      <x:c r="L2100" s="12"/>
      <x:c r="M2100" s="12"/>
      <x:c r="N2100" s="12"/>
      <x:c r="O2100" s="12"/>
    </x:row>
    <x:row r="2101" ht="24" customHeight="1">
      <x:c r="A2101" s="12" t="str">
        <x:v>固定B</x:v>
      </x:c>
      <x:c r="B2101" s="12" t="str">
        <x:v>AFIB</x:v>
      </x:c>
      <x:c r="C2101" s="12" t="str">
        <x:v>纳入比例</x:v>
      </x:c>
      <x:c r="D2101" s="12" t="str">
        <x:v>max</x:v>
      </x:c>
      <x:c r="E2101" s="12" t="str">
        <x:v>6229</x:v>
      </x:c>
      <x:c r="F2101" s="12" t="str">
        <x:v>17805</x:v>
      </x:c>
      <x:c r="G2101" s="12" t="str">
        <x:v>原100</x:v>
      </x:c>
      <x:c r="H2101" s="12" t="str">
        <x:v>新000</x:v>
      </x:c>
      <x:c r="I2101" s="12" t="str">
        <x:v>自动000</x:v>
      </x:c>
      <x:c r="J2101" s="12" t="str">
        <x:v>每行一名不同患者；此端点清单内共享名额</x:v>
      </x:c>
      <x:c r="K2101" s="12"/>
      <x:c r="L2101" s="12"/>
      <x:c r="M2101" s="12"/>
      <x:c r="N2101" s="12"/>
      <x:c r="O2101" s="12"/>
    </x:row>
    <x:row r="2102" ht="24" customHeight="1">
      <x:c r="A2102" s="12" t="str">
        <x:v>固定B</x:v>
      </x:c>
      <x:c r="B2102" s="12" t="str">
        <x:v>AFIB</x:v>
      </x:c>
      <x:c r="C2102" s="12" t="str">
        <x:v>纳入比例</x:v>
      </x:c>
      <x:c r="D2102" s="12" t="str">
        <x:v>max</x:v>
      </x:c>
      <x:c r="E2102" s="12" t="str">
        <x:v>9732</x:v>
      </x:c>
      <x:c r="F2102" s="12" t="str">
        <x:v>6910</x:v>
      </x:c>
      <x:c r="G2102" s="12" t="str">
        <x:v>原100</x:v>
      </x:c>
      <x:c r="H2102" s="12" t="str">
        <x:v>新000</x:v>
      </x:c>
      <x:c r="I2102" s="12" t="str">
        <x:v>自动000</x:v>
      </x:c>
      <x:c r="J2102" s="12" t="str">
        <x:v>每行一名不同患者；此端点清单内共享名额</x:v>
      </x:c>
      <x:c r="K2102" s="12"/>
      <x:c r="L2102" s="12"/>
      <x:c r="M2102" s="12"/>
      <x:c r="N2102" s="12"/>
      <x:c r="O2102" s="12"/>
    </x:row>
    <x:row r="2103" ht="24" customHeight="1">
      <x:c r="A2103" s="12" t="str">
        <x:v>固定B</x:v>
      </x:c>
      <x:c r="B2103" s="12" t="str">
        <x:v>AFIB</x:v>
      </x:c>
      <x:c r="C2103" s="12" t="str">
        <x:v>纳入比例</x:v>
      </x:c>
      <x:c r="D2103" s="12" t="str">
        <x:v>max</x:v>
      </x:c>
      <x:c r="E2103" s="12" t="str">
        <x:v>11286</x:v>
      </x:c>
      <x:c r="F2103" s="12" t="str">
        <x:v>11582</x:v>
      </x:c>
      <x:c r="G2103" s="12" t="str">
        <x:v>原100</x:v>
      </x:c>
      <x:c r="H2103" s="12" t="str">
        <x:v>新000</x:v>
      </x:c>
      <x:c r="I2103" s="12" t="str">
        <x:v>自动000</x:v>
      </x:c>
      <x:c r="J2103" s="12" t="str">
        <x:v>每行一名不同患者；此端点清单内共享名额</x:v>
      </x:c>
      <x:c r="K2103" s="12"/>
      <x:c r="L2103" s="12"/>
      <x:c r="M2103" s="12"/>
      <x:c r="N2103" s="12"/>
      <x:c r="O2103" s="12"/>
    </x:row>
    <x:row r="2104" ht="24" customHeight="1">
      <x:c r="A2104" s="12" t="str">
        <x:v>固定B</x:v>
      </x:c>
      <x:c r="B2104" s="12" t="str">
        <x:v>CLBBB</x:v>
      </x:c>
      <x:c r="C2104" s="12" t="str">
        <x:v>纳入比例</x:v>
      </x:c>
      <x:c r="D2104" s="12" t="str">
        <x:v>min</x:v>
      </x:c>
      <x:c r="E2104" s="12" t="str">
        <x:v>40</x:v>
      </x:c>
      <x:c r="F2104" s="12" t="str">
        <x:v>19501</x:v>
      </x:c>
      <x:c r="G2104" s="12" t="str">
        <x:v>原000</x:v>
      </x:c>
      <x:c r="H2104" s="12" t="str">
        <x:v>新010</x:v>
      </x:c>
      <x:c r="I2104" s="12" t="str">
        <x:v>自动000</x:v>
      </x:c>
      <x:c r="J2104" s="12" t="str">
        <x:v>每行一名不同患者；此端点清单内共享名额</x:v>
      </x:c>
      <x:c r="K2104" s="12"/>
      <x:c r="L2104" s="12"/>
      <x:c r="M2104" s="12"/>
      <x:c r="N2104" s="12"/>
      <x:c r="O2104" s="12"/>
    </x:row>
    <x:row r="2105" ht="24" customHeight="1">
      <x:c r="A2105" s="12" t="str">
        <x:v>固定B</x:v>
      </x:c>
      <x:c r="B2105" s="12" t="str">
        <x:v>CLBBB</x:v>
      </x:c>
      <x:c r="C2105" s="12" t="str">
        <x:v>纳入比例</x:v>
      </x:c>
      <x:c r="D2105" s="12" t="str">
        <x:v>min</x:v>
      </x:c>
      <x:c r="E2105" s="12" t="str">
        <x:v>57</x:v>
      </x:c>
      <x:c r="F2105" s="12" t="str">
        <x:v>16063</x:v>
      </x:c>
      <x:c r="G2105" s="12" t="str">
        <x:v>原000</x:v>
      </x:c>
      <x:c r="H2105" s="12" t="str">
        <x:v>新010</x:v>
      </x:c>
      <x:c r="I2105" s="12" t="str">
        <x:v>自动000</x:v>
      </x:c>
      <x:c r="J2105" s="12" t="str">
        <x:v>每行一名不同患者；此端点清单内共享名额</x:v>
      </x:c>
      <x:c r="K2105" s="12"/>
      <x:c r="L2105" s="12"/>
      <x:c r="M2105" s="12"/>
      <x:c r="N2105" s="12"/>
      <x:c r="O2105" s="12"/>
    </x:row>
    <x:row r="2106" ht="24" customHeight="1">
      <x:c r="A2106" s="12" t="str">
        <x:v>固定B</x:v>
      </x:c>
      <x:c r="B2106" s="12" t="str">
        <x:v>CLBBB</x:v>
      </x:c>
      <x:c r="C2106" s="12" t="str">
        <x:v>纳入比例</x:v>
      </x:c>
      <x:c r="D2106" s="12" t="str">
        <x:v>min</x:v>
      </x:c>
      <x:c r="E2106" s="12" t="str">
        <x:v>65</x:v>
      </x:c>
      <x:c r="F2106" s="12" t="str">
        <x:v>19170</x:v>
      </x:c>
      <x:c r="G2106" s="12" t="str">
        <x:v>原000</x:v>
      </x:c>
      <x:c r="H2106" s="12" t="str">
        <x:v>新010</x:v>
      </x:c>
      <x:c r="I2106" s="12" t="str">
        <x:v>自动000</x:v>
      </x:c>
      <x:c r="J2106" s="12" t="str">
        <x:v>每行一名不同患者；此端点清单内共享名额</x:v>
      </x:c>
      <x:c r="K2106" s="12"/>
      <x:c r="L2106" s="12"/>
      <x:c r="M2106" s="12"/>
      <x:c r="N2106" s="12"/>
      <x:c r="O2106" s="12"/>
    </x:row>
    <x:row r="2107" ht="24" customHeight="1">
      <x:c r="A2107" s="12" t="str">
        <x:v>固定B</x:v>
      </x:c>
      <x:c r="B2107" s="12" t="str">
        <x:v>CLBBB</x:v>
      </x:c>
      <x:c r="C2107" s="12" t="str">
        <x:v>纳入比例</x:v>
      </x:c>
      <x:c r="D2107" s="12" t="str">
        <x:v>min</x:v>
      </x:c>
      <x:c r="E2107" s="12" t="str">
        <x:v>79</x:v>
      </x:c>
      <x:c r="F2107" s="12" t="str">
        <x:v>17529</x:v>
      </x:c>
      <x:c r="G2107" s="12" t="str">
        <x:v>原000</x:v>
      </x:c>
      <x:c r="H2107" s="12" t="str">
        <x:v>新010</x:v>
      </x:c>
      <x:c r="I2107" s="12" t="str">
        <x:v>自动000</x:v>
      </x:c>
      <x:c r="J2107" s="12" t="str">
        <x:v>每行一名不同患者；此端点清单内共享名额</x:v>
      </x:c>
      <x:c r="K2107" s="12"/>
      <x:c r="L2107" s="12"/>
      <x:c r="M2107" s="12"/>
      <x:c r="N2107" s="12"/>
      <x:c r="O2107" s="12"/>
    </x:row>
    <x:row r="2108" ht="24" customHeight="1">
      <x:c r="A2108" s="12" t="str">
        <x:v>固定B</x:v>
      </x:c>
      <x:c r="B2108" s="12" t="str">
        <x:v>CLBBB</x:v>
      </x:c>
      <x:c r="C2108" s="12" t="str">
        <x:v>纳入比例</x:v>
      </x:c>
      <x:c r="D2108" s="12" t="str">
        <x:v>min</x:v>
      </x:c>
      <x:c r="E2108" s="12" t="str">
        <x:v>112</x:v>
      </x:c>
      <x:c r="F2108" s="12" t="str">
        <x:v>19832</x:v>
      </x:c>
      <x:c r="G2108" s="12" t="str">
        <x:v>原000</x:v>
      </x:c>
      <x:c r="H2108" s="12" t="str">
        <x:v>新010</x:v>
      </x:c>
      <x:c r="I2108" s="12" t="str">
        <x:v>自动000</x:v>
      </x:c>
      <x:c r="J2108" s="12" t="str">
        <x:v>每行一名不同患者；此端点清单内共享名额</x:v>
      </x:c>
      <x:c r="K2108" s="12"/>
      <x:c r="L2108" s="12"/>
      <x:c r="M2108" s="12"/>
      <x:c r="N2108" s="12"/>
      <x:c r="O2108" s="12"/>
    </x:row>
    <x:row r="2109" ht="24" customHeight="1">
      <x:c r="A2109" s="12" t="str">
        <x:v>固定B</x:v>
      </x:c>
      <x:c r="B2109" s="12" t="str">
        <x:v>CRBBB</x:v>
      </x:c>
      <x:c r="C2109" s="12" t="str">
        <x:v>纳入比例</x:v>
      </x:c>
      <x:c r="D2109" s="12" t="str">
        <x:v>min</x:v>
      </x:c>
      <x:c r="E2109" s="12" t="str">
        <x:v>40</x:v>
      </x:c>
      <x:c r="F2109" s="12" t="str">
        <x:v>19501</x:v>
      </x:c>
      <x:c r="G2109" s="12" t="str">
        <x:v>原000</x:v>
      </x:c>
      <x:c r="H2109" s="12" t="str">
        <x:v>新001</x:v>
      </x:c>
      <x:c r="I2109" s="12" t="str">
        <x:v>自动000</x:v>
      </x:c>
      <x:c r="J2109" s="12" t="str">
        <x:v>每行一名不同患者；此端点清单内共享名额</x:v>
      </x:c>
      <x:c r="K2109" s="12"/>
      <x:c r="L2109" s="12"/>
      <x:c r="M2109" s="12"/>
      <x:c r="N2109" s="12"/>
      <x:c r="O2109" s="12"/>
    </x:row>
    <x:row r="2110" ht="24" customHeight="1">
      <x:c r="A2110" s="12" t="str">
        <x:v>固定B</x:v>
      </x:c>
      <x:c r="B2110" s="12" t="str">
        <x:v>CRBBB</x:v>
      </x:c>
      <x:c r="C2110" s="12" t="str">
        <x:v>纳入比例</x:v>
      </x:c>
      <x:c r="D2110" s="12" t="str">
        <x:v>min</x:v>
      </x:c>
      <x:c r="E2110" s="12" t="str">
        <x:v>57</x:v>
      </x:c>
      <x:c r="F2110" s="12" t="str">
        <x:v>16063</x:v>
      </x:c>
      <x:c r="G2110" s="12" t="str">
        <x:v>原000</x:v>
      </x:c>
      <x:c r="H2110" s="12" t="str">
        <x:v>新001</x:v>
      </x:c>
      <x:c r="I2110" s="12" t="str">
        <x:v>自动000</x:v>
      </x:c>
      <x:c r="J2110" s="12" t="str">
        <x:v>每行一名不同患者；此端点清单内共享名额</x:v>
      </x:c>
      <x:c r="K2110" s="12"/>
      <x:c r="L2110" s="12"/>
      <x:c r="M2110" s="12"/>
      <x:c r="N2110" s="12"/>
      <x:c r="O2110" s="12"/>
    </x:row>
    <x:row r="2111" ht="24" customHeight="1">
      <x:c r="A2111" s="12" t="str">
        <x:v>固定B</x:v>
      </x:c>
      <x:c r="B2111" s="12" t="str">
        <x:v>CRBBB</x:v>
      </x:c>
      <x:c r="C2111" s="12" t="str">
        <x:v>纳入比例</x:v>
      </x:c>
      <x:c r="D2111" s="12" t="str">
        <x:v>min</x:v>
      </x:c>
      <x:c r="E2111" s="12" t="str">
        <x:v>65</x:v>
      </x:c>
      <x:c r="F2111" s="12" t="str">
        <x:v>19170</x:v>
      </x:c>
      <x:c r="G2111" s="12" t="str">
        <x:v>原000</x:v>
      </x:c>
      <x:c r="H2111" s="12" t="str">
        <x:v>新001</x:v>
      </x:c>
      <x:c r="I2111" s="12" t="str">
        <x:v>自动000</x:v>
      </x:c>
      <x:c r="J2111" s="12" t="str">
        <x:v>每行一名不同患者；此端点清单内共享名额</x:v>
      </x:c>
      <x:c r="K2111" s="12"/>
      <x:c r="L2111" s="12"/>
      <x:c r="M2111" s="12"/>
      <x:c r="N2111" s="12"/>
      <x:c r="O2111" s="12"/>
    </x:row>
    <x:row r="2112" ht="24" customHeight="1">
      <x:c r="A2112" s="12" t="str">
        <x:v>固定B</x:v>
      </x:c>
      <x:c r="B2112" s="12" t="str">
        <x:v>CRBBB</x:v>
      </x:c>
      <x:c r="C2112" s="12" t="str">
        <x:v>纳入比例</x:v>
      </x:c>
      <x:c r="D2112" s="12" t="str">
        <x:v>min</x:v>
      </x:c>
      <x:c r="E2112" s="12" t="str">
        <x:v>79</x:v>
      </x:c>
      <x:c r="F2112" s="12" t="str">
        <x:v>17529</x:v>
      </x:c>
      <x:c r="G2112" s="12" t="str">
        <x:v>原000</x:v>
      </x:c>
      <x:c r="H2112" s="12" t="str">
        <x:v>新001</x:v>
      </x:c>
      <x:c r="I2112" s="12" t="str">
        <x:v>自动000</x:v>
      </x:c>
      <x:c r="J2112" s="12" t="str">
        <x:v>每行一名不同患者；此端点清单内共享名额</x:v>
      </x:c>
      <x:c r="K2112" s="12"/>
      <x:c r="L2112" s="12"/>
      <x:c r="M2112" s="12"/>
      <x:c r="N2112" s="12"/>
      <x:c r="O2112" s="12"/>
    </x:row>
    <x:row r="2113" ht="24" customHeight="1">
      <x:c r="A2113" s="12" t="str">
        <x:v>固定B</x:v>
      </x:c>
      <x:c r="B2113" s="12" t="str">
        <x:v>CRBBB</x:v>
      </x:c>
      <x:c r="C2113" s="12" t="str">
        <x:v>纳入比例</x:v>
      </x:c>
      <x:c r="D2113" s="12" t="str">
        <x:v>min</x:v>
      </x:c>
      <x:c r="E2113" s="12" t="str">
        <x:v>112</x:v>
      </x:c>
      <x:c r="F2113" s="12" t="str">
        <x:v>19832</x:v>
      </x:c>
      <x:c r="G2113" s="12" t="str">
        <x:v>原000</x:v>
      </x:c>
      <x:c r="H2113" s="12" t="str">
        <x:v>新001</x:v>
      </x:c>
      <x:c r="I2113" s="12" t="str">
        <x:v>自动000</x:v>
      </x:c>
      <x:c r="J2113" s="12" t="str">
        <x:v>每行一名不同患者；此端点清单内共享名额</x:v>
      </x:c>
      <x:c r="K2113" s="12"/>
      <x:c r="L2113" s="12"/>
      <x:c r="M2113" s="12"/>
      <x:c r="N2113" s="12"/>
      <x:c r="O2113" s="12"/>
    </x:row>
    <x:row r="2114" ht="24" customHeight="1">
      <x:c r="A2114" s="12" t="str">
        <x:v>固定B</x:v>
      </x:c>
      <x:c r="B2114" s="12" t="str">
        <x:v>任一目标</x:v>
      </x:c>
      <x:c r="C2114" s="12" t="str">
        <x:v>纳入比例</x:v>
      </x:c>
      <x:c r="D2114" s="12" t="str">
        <x:v>min</x:v>
      </x:c>
      <x:c r="E2114" s="12" t="str">
        <x:v>40</x:v>
      </x:c>
      <x:c r="F2114" s="12" t="str">
        <x:v>19501</x:v>
      </x:c>
      <x:c r="G2114" s="12" t="str">
        <x:v>原000</x:v>
      </x:c>
      <x:c r="H2114" s="12" t="str">
        <x:v>新100</x:v>
      </x:c>
      <x:c r="I2114" s="12" t="str">
        <x:v>自动000</x:v>
      </x:c>
      <x:c r="J2114" s="12" t="str">
        <x:v>每行一名不同患者；此端点清单内共享名额</x:v>
      </x:c>
      <x:c r="K2114" s="12"/>
      <x:c r="L2114" s="12"/>
      <x:c r="M2114" s="12"/>
      <x:c r="N2114" s="12"/>
      <x:c r="O2114" s="12"/>
    </x:row>
    <x:row r="2115" ht="24" customHeight="1">
      <x:c r="A2115" s="12" t="str">
        <x:v>固定B</x:v>
      </x:c>
      <x:c r="B2115" s="12" t="str">
        <x:v>任一目标</x:v>
      </x:c>
      <x:c r="C2115" s="12" t="str">
        <x:v>纳入比例</x:v>
      </x:c>
      <x:c r="D2115" s="12" t="str">
        <x:v>min</x:v>
      </x:c>
      <x:c r="E2115" s="12" t="str">
        <x:v>57</x:v>
      </x:c>
      <x:c r="F2115" s="12" t="str">
        <x:v>16063</x:v>
      </x:c>
      <x:c r="G2115" s="12" t="str">
        <x:v>原000</x:v>
      </x:c>
      <x:c r="H2115" s="12" t="str">
        <x:v>新100</x:v>
      </x:c>
      <x:c r="I2115" s="12" t="str">
        <x:v>自动000</x:v>
      </x:c>
      <x:c r="J2115" s="12" t="str">
        <x:v>每行一名不同患者；此端点清单内共享名额</x:v>
      </x:c>
      <x:c r="K2115" s="12"/>
      <x:c r="L2115" s="12"/>
      <x:c r="M2115" s="12"/>
      <x:c r="N2115" s="12"/>
      <x:c r="O2115" s="12"/>
    </x:row>
    <x:row r="2116" ht="24" customHeight="1">
      <x:c r="A2116" s="12" t="str">
        <x:v>固定B</x:v>
      </x:c>
      <x:c r="B2116" s="12" t="str">
        <x:v>任一目标</x:v>
      </x:c>
      <x:c r="C2116" s="12" t="str">
        <x:v>纳入比例</x:v>
      </x:c>
      <x:c r="D2116" s="12" t="str">
        <x:v>min</x:v>
      </x:c>
      <x:c r="E2116" s="12" t="str">
        <x:v>65</x:v>
      </x:c>
      <x:c r="F2116" s="12" t="str">
        <x:v>19170</x:v>
      </x:c>
      <x:c r="G2116" s="12" t="str">
        <x:v>原000</x:v>
      </x:c>
      <x:c r="H2116" s="12" t="str">
        <x:v>新100</x:v>
      </x:c>
      <x:c r="I2116" s="12" t="str">
        <x:v>自动000</x:v>
      </x:c>
      <x:c r="J2116" s="12" t="str">
        <x:v>每行一名不同患者；此端点清单内共享名额</x:v>
      </x:c>
      <x:c r="K2116" s="12"/>
      <x:c r="L2116" s="12"/>
      <x:c r="M2116" s="12"/>
      <x:c r="N2116" s="12"/>
      <x:c r="O2116" s="12"/>
    </x:row>
    <x:row r="2117" ht="24" customHeight="1">
      <x:c r="A2117" s="12" t="str">
        <x:v>固定B</x:v>
      </x:c>
      <x:c r="B2117" s="12" t="str">
        <x:v>任一目标</x:v>
      </x:c>
      <x:c r="C2117" s="12" t="str">
        <x:v>纳入比例</x:v>
      </x:c>
      <x:c r="D2117" s="12" t="str">
        <x:v>min</x:v>
      </x:c>
      <x:c r="E2117" s="12" t="str">
        <x:v>79</x:v>
      </x:c>
      <x:c r="F2117" s="12" t="str">
        <x:v>17529</x:v>
      </x:c>
      <x:c r="G2117" s="12" t="str">
        <x:v>原000</x:v>
      </x:c>
      <x:c r="H2117" s="12" t="str">
        <x:v>新100</x:v>
      </x:c>
      <x:c r="I2117" s="12" t="str">
        <x:v>自动000</x:v>
      </x:c>
      <x:c r="J2117" s="12" t="str">
        <x:v>每行一名不同患者；此端点清单内共享名额</x:v>
      </x:c>
      <x:c r="K2117" s="12"/>
      <x:c r="L2117" s="12"/>
      <x:c r="M2117" s="12"/>
      <x:c r="N2117" s="12"/>
      <x:c r="O2117" s="12"/>
    </x:row>
    <x:row r="2118" ht="24" customHeight="1">
      <x:c r="A2118" s="12" t="str">
        <x:v>固定B</x:v>
      </x:c>
      <x:c r="B2118" s="12" t="str">
        <x:v>任一目标</x:v>
      </x:c>
      <x:c r="C2118" s="12" t="str">
        <x:v>纳入比例</x:v>
      </x:c>
      <x:c r="D2118" s="12" t="str">
        <x:v>min</x:v>
      </x:c>
      <x:c r="E2118" s="12" t="str">
        <x:v>112</x:v>
      </x:c>
      <x:c r="F2118" s="12" t="str">
        <x:v>19832</x:v>
      </x:c>
      <x:c r="G2118" s="12" t="str">
        <x:v>原000</x:v>
      </x:c>
      <x:c r="H2118" s="12" t="str">
        <x:v>新100</x:v>
      </x:c>
      <x:c r="I2118" s="12" t="str">
        <x:v>自动000</x:v>
      </x:c>
      <x:c r="J2118" s="12" t="str">
        <x:v>每行一名不同患者；此端点清单内共享名额</x:v>
      </x:c>
      <x:c r="K2118" s="12"/>
      <x:c r="L2118" s="12"/>
      <x:c r="M2118" s="12"/>
      <x:c r="N2118" s="12"/>
      <x:c r="O2118" s="12"/>
    </x:row>
    <x:row r="2119" ht="24" customHeight="1">
      <x:c r="A2119" s="12" t="str">
        <x:v>固定B</x:v>
      </x:c>
      <x:c r="B2119" s="12" t="str">
        <x:v>任一目标</x:v>
      </x:c>
      <x:c r="C2119" s="12" t="str">
        <x:v>纳入比例</x:v>
      </x:c>
      <x:c r="D2119" s="12" t="str">
        <x:v>max</x:v>
      </x:c>
      <x:c r="E2119" s="12" t="str">
        <x:v>2549</x:v>
      </x:c>
      <x:c r="F2119" s="12" t="str">
        <x:v>21158</x:v>
      </x:c>
      <x:c r="G2119" s="12" t="str">
        <x:v>原100</x:v>
      </x:c>
      <x:c r="H2119" s="12" t="str">
        <x:v>新000</x:v>
      </x:c>
      <x:c r="I2119" s="12" t="str">
        <x:v>自动000</x:v>
      </x:c>
      <x:c r="J2119" s="12" t="str">
        <x:v>每行一名不同患者；此端点清单内共享名额</x:v>
      </x:c>
      <x:c r="K2119" s="12"/>
      <x:c r="L2119" s="12"/>
      <x:c r="M2119" s="12"/>
      <x:c r="N2119" s="12"/>
      <x:c r="O2119" s="12"/>
    </x:row>
    <x:row r="2120" ht="24" customHeight="1">
      <x:c r="A2120" s="12" t="str">
        <x:v>固定B</x:v>
      </x:c>
      <x:c r="B2120" s="12" t="str">
        <x:v>任一目标</x:v>
      </x:c>
      <x:c r="C2120" s="12" t="str">
        <x:v>纳入比例</x:v>
      </x:c>
      <x:c r="D2120" s="12" t="str">
        <x:v>max</x:v>
      </x:c>
      <x:c r="E2120" s="12" t="str">
        <x:v>5777</x:v>
      </x:c>
      <x:c r="F2120" s="12" t="str">
        <x:v>16862</x:v>
      </x:c>
      <x:c r="G2120" s="12" t="str">
        <x:v>原100</x:v>
      </x:c>
      <x:c r="H2120" s="12" t="str">
        <x:v>新000</x:v>
      </x:c>
      <x:c r="I2120" s="12" t="str">
        <x:v>自动000</x:v>
      </x:c>
      <x:c r="J2120" s="12" t="str">
        <x:v>每行一名不同患者；此端点清单内共享名额</x:v>
      </x:c>
      <x:c r="K2120" s="12"/>
      <x:c r="L2120" s="12"/>
      <x:c r="M2120" s="12"/>
      <x:c r="N2120" s="12"/>
      <x:c r="O2120" s="12"/>
    </x:row>
    <x:row r="2121" ht="24" customHeight="1">
      <x:c r="A2121" s="12" t="str">
        <x:v>固定B</x:v>
      </x:c>
      <x:c r="B2121" s="12" t="str">
        <x:v>任一目标</x:v>
      </x:c>
      <x:c r="C2121" s="12" t="str">
        <x:v>纳入比例</x:v>
      </x:c>
      <x:c r="D2121" s="12" t="str">
        <x:v>max</x:v>
      </x:c>
      <x:c r="E2121" s="12" t="str">
        <x:v>6229</x:v>
      </x:c>
      <x:c r="F2121" s="12" t="str">
        <x:v>17805</x:v>
      </x:c>
      <x:c r="G2121" s="12" t="str">
        <x:v>原100</x:v>
      </x:c>
      <x:c r="H2121" s="12" t="str">
        <x:v>新000</x:v>
      </x:c>
      <x:c r="I2121" s="12" t="str">
        <x:v>自动000</x:v>
      </x:c>
      <x:c r="J2121" s="12" t="str">
        <x:v>每行一名不同患者；此端点清单内共享名额</x:v>
      </x:c>
      <x:c r="K2121" s="12"/>
      <x:c r="L2121" s="12"/>
      <x:c r="M2121" s="12"/>
      <x:c r="N2121" s="12"/>
      <x:c r="O2121" s="12"/>
    </x:row>
    <x:row r="2122" ht="24" customHeight="1">
      <x:c r="A2122" s="12" t="str">
        <x:v>固定B</x:v>
      </x:c>
      <x:c r="B2122" s="12" t="str">
        <x:v>任一目标</x:v>
      </x:c>
      <x:c r="C2122" s="12" t="str">
        <x:v>纳入比例</x:v>
      </x:c>
      <x:c r="D2122" s="12" t="str">
        <x:v>max</x:v>
      </x:c>
      <x:c r="E2122" s="12" t="str">
        <x:v>9732</x:v>
      </x:c>
      <x:c r="F2122" s="12" t="str">
        <x:v>6910</x:v>
      </x:c>
      <x:c r="G2122" s="12" t="str">
        <x:v>原100</x:v>
      </x:c>
      <x:c r="H2122" s="12" t="str">
        <x:v>新000</x:v>
      </x:c>
      <x:c r="I2122" s="12" t="str">
        <x:v>自动000</x:v>
      </x:c>
      <x:c r="J2122" s="12" t="str">
        <x:v>每行一名不同患者；此端点清单内共享名额</x:v>
      </x:c>
      <x:c r="K2122" s="12"/>
      <x:c r="L2122" s="12"/>
      <x:c r="M2122" s="12"/>
      <x:c r="N2122" s="12"/>
      <x:c r="O2122" s="12"/>
    </x:row>
    <x:row r="2123" ht="24" customHeight="1">
      <x:c r="A2123" s="12" t="str">
        <x:v>固定B</x:v>
      </x:c>
      <x:c r="B2123" s="12" t="str">
        <x:v>任一目标</x:v>
      </x:c>
      <x:c r="C2123" s="12" t="str">
        <x:v>纳入比例</x:v>
      </x:c>
      <x:c r="D2123" s="12" t="str">
        <x:v>max</x:v>
      </x:c>
      <x:c r="E2123" s="12" t="str">
        <x:v>11286</x:v>
      </x:c>
      <x:c r="F2123" s="12" t="str">
        <x:v>11582</x:v>
      </x:c>
      <x:c r="G2123" s="12" t="str">
        <x:v>原100</x:v>
      </x:c>
      <x:c r="H2123" s="12" t="str">
        <x:v>新000</x:v>
      </x:c>
      <x:c r="I2123" s="12" t="str">
        <x:v>自动000</x:v>
      </x:c>
      <x:c r="J2123" s="12" t="str">
        <x:v>每行一名不同患者；此端点清单内共享名额</x:v>
      </x:c>
      <x:c r="K2123" s="12"/>
      <x:c r="L2123" s="12"/>
      <x:c r="M2123" s="12"/>
      <x:c r="N2123" s="12"/>
      <x:c r="O2123" s="12"/>
    </x:row>
    <x:row r="2124" ht="24" customHeight="1">
      <x:c r="A2124" s="12" t="str">
        <x:v>固定C0</x:v>
      </x:c>
      <x:c r="B2124" s="12" t="str">
        <x:v>AFIB</x:v>
      </x:c>
      <x:c r="C2124" s="12" t="str">
        <x:v>纳入比例</x:v>
      </x:c>
      <x:c r="D2124" s="12" t="str">
        <x:v>min</x:v>
      </x:c>
      <x:c r="E2124" s="12" t="str">
        <x:v>569</x:v>
      </x:c>
      <x:c r="F2124" s="12" t="str">
        <x:v>2936</x:v>
      </x:c>
      <x:c r="G2124" s="12" t="str">
        <x:v>原100</x:v>
      </x:c>
      <x:c r="H2124" s="12" t="str">
        <x:v>新000</x:v>
      </x:c>
      <x:c r="I2124" s="12" t="str">
        <x:v>自动101</x:v>
      </x:c>
      <x:c r="J2124" s="12" t="str">
        <x:v>每行一名不同患者；此端点清单内共享名额</x:v>
      </x:c>
      <x:c r="K2124" s="12"/>
      <x:c r="L2124" s="12"/>
      <x:c r="M2124" s="12"/>
      <x:c r="N2124" s="12"/>
      <x:c r="O2124" s="12"/>
    </x:row>
    <x:row r="2125" ht="24" customHeight="1">
      <x:c r="A2125" s="12" t="str">
        <x:v>固定C0</x:v>
      </x:c>
      <x:c r="B2125" s="12" t="str">
        <x:v>AFIB</x:v>
      </x:c>
      <x:c r="C2125" s="12" t="str">
        <x:v>纳入比例</x:v>
      </x:c>
      <x:c r="D2125" s="12" t="str">
        <x:v>min</x:v>
      </x:c>
      <x:c r="E2125" s="12" t="str">
        <x:v>2549</x:v>
      </x:c>
      <x:c r="F2125" s="12" t="str">
        <x:v>21158</x:v>
      </x:c>
      <x:c r="G2125" s="12" t="str">
        <x:v>原100</x:v>
      </x:c>
      <x:c r="H2125" s="12" t="str">
        <x:v>新000</x:v>
      </x:c>
      <x:c r="I2125" s="12" t="str">
        <x:v>自动000</x:v>
      </x:c>
      <x:c r="J2125" s="12" t="str">
        <x:v>每行一名不同患者；此端点清单内共享名额</x:v>
      </x:c>
      <x:c r="K2125" s="12"/>
      <x:c r="L2125" s="12"/>
      <x:c r="M2125" s="12"/>
      <x:c r="N2125" s="12"/>
      <x:c r="O2125" s="12"/>
    </x:row>
    <x:row r="2126" ht="24" customHeight="1">
      <x:c r="A2126" s="12" t="str">
        <x:v>固定C0</x:v>
      </x:c>
      <x:c r="B2126" s="12" t="str">
        <x:v>AFIB</x:v>
      </x:c>
      <x:c r="C2126" s="12" t="str">
        <x:v>纳入比例</x:v>
      </x:c>
      <x:c r="D2126" s="12" t="str">
        <x:v>min</x:v>
      </x:c>
      <x:c r="E2126" s="12" t="str">
        <x:v>3692</x:v>
      </x:c>
      <x:c r="F2126" s="12" t="str">
        <x:v>18861</x:v>
      </x:c>
      <x:c r="G2126" s="12" t="str">
        <x:v>原100</x:v>
      </x:c>
      <x:c r="H2126" s="12" t="str">
        <x:v>新000</x:v>
      </x:c>
      <x:c r="I2126" s="12" t="str">
        <x:v>自动000</x:v>
      </x:c>
      <x:c r="J2126" s="12" t="str">
        <x:v>每行一名不同患者；此端点清单内共享名额</x:v>
      </x:c>
      <x:c r="K2126" s="12"/>
      <x:c r="L2126" s="12"/>
      <x:c r="M2126" s="12"/>
      <x:c r="N2126" s="12"/>
      <x:c r="O2126" s="12"/>
    </x:row>
    <x:row r="2127" ht="24" customHeight="1">
      <x:c r="A2127" s="12" t="str">
        <x:v>固定C0</x:v>
      </x:c>
      <x:c r="B2127" s="12" t="str">
        <x:v>AFIB</x:v>
      </x:c>
      <x:c r="C2127" s="12" t="str">
        <x:v>纳入比例</x:v>
      </x:c>
      <x:c r="D2127" s="12" t="str">
        <x:v>min</x:v>
      </x:c>
      <x:c r="E2127" s="12" t="str">
        <x:v>4785</x:v>
      </x:c>
      <x:c r="F2127" s="12" t="str">
        <x:v>9903</x:v>
      </x:c>
      <x:c r="G2127" s="12" t="str">
        <x:v>原100</x:v>
      </x:c>
      <x:c r="H2127" s="12" t="str">
        <x:v>新000</x:v>
      </x:c>
      <x:c r="I2127" s="12" t="str">
        <x:v>自动000</x:v>
      </x:c>
      <x:c r="J2127" s="12" t="str">
        <x:v>每行一名不同患者；此端点清单内共享名额</x:v>
      </x:c>
      <x:c r="K2127" s="12"/>
      <x:c r="L2127" s="12"/>
      <x:c r="M2127" s="12"/>
      <x:c r="N2127" s="12"/>
      <x:c r="O2127" s="12"/>
    </x:row>
    <x:row r="2128" ht="24" customHeight="1">
      <x:c r="A2128" s="12" t="str">
        <x:v>固定C0</x:v>
      </x:c>
      <x:c r="B2128" s="12" t="str">
        <x:v>AFIB</x:v>
      </x:c>
      <x:c r="C2128" s="12" t="str">
        <x:v>纳入比例</x:v>
      </x:c>
      <x:c r="D2128" s="12" t="str">
        <x:v>min</x:v>
      </x:c>
      <x:c r="E2128" s="12" t="str">
        <x:v>5777</x:v>
      </x:c>
      <x:c r="F2128" s="12" t="str">
        <x:v>16862</x:v>
      </x:c>
      <x:c r="G2128" s="12" t="str">
        <x:v>原100</x:v>
      </x:c>
      <x:c r="H2128" s="12" t="str">
        <x:v>新000</x:v>
      </x:c>
      <x:c r="I2128" s="12" t="str">
        <x:v>自动000</x:v>
      </x:c>
      <x:c r="J2128" s="12" t="str">
        <x:v>每行一名不同患者；此端点清单内共享名额</x:v>
      </x:c>
      <x:c r="K2128" s="12"/>
      <x:c r="L2128" s="12"/>
      <x:c r="M2128" s="12"/>
      <x:c r="N2128" s="12"/>
      <x:c r="O2128" s="12"/>
    </x:row>
    <x:row r="2129" ht="24" customHeight="1">
      <x:c r="A2129" s="12" t="str">
        <x:v>固定C0</x:v>
      </x:c>
      <x:c r="B2129" s="12" t="str">
        <x:v>AFIB</x:v>
      </x:c>
      <x:c r="C2129" s="12" t="str">
        <x:v>纳入比例</x:v>
      </x:c>
      <x:c r="D2129" s="12" t="str">
        <x:v>max</x:v>
      </x:c>
      <x:c r="E2129" s="12" t="str">
        <x:v>382</x:v>
      </x:c>
      <x:c r="F2129" s="12" t="str">
        <x:v>10186</x:v>
      </x:c>
      <x:c r="G2129" s="12" t="str">
        <x:v>原000</x:v>
      </x:c>
      <x:c r="H2129" s="12" t="str">
        <x:v>新100</x:v>
      </x:c>
      <x:c r="I2129" s="12" t="str">
        <x:v>自动100</x:v>
      </x:c>
      <x:c r="J2129" s="12" t="str">
        <x:v>每行一名不同患者；此端点清单内共享名额</x:v>
      </x:c>
      <x:c r="K2129" s="12"/>
      <x:c r="L2129" s="12"/>
      <x:c r="M2129" s="12"/>
      <x:c r="N2129" s="12"/>
      <x:c r="O2129" s="12"/>
    </x:row>
    <x:row r="2130" ht="24" customHeight="1">
      <x:c r="A2130" s="12" t="str">
        <x:v>固定C0</x:v>
      </x:c>
      <x:c r="B2130" s="12" t="str">
        <x:v>AFIB</x:v>
      </x:c>
      <x:c r="C2130" s="12" t="str">
        <x:v>纳入比例</x:v>
      </x:c>
      <x:c r="D2130" s="12" t="str">
        <x:v>max</x:v>
      </x:c>
      <x:c r="E2130" s="12" t="str">
        <x:v>950</x:v>
      </x:c>
      <x:c r="F2130" s="12" t="str">
        <x:v>4533</x:v>
      </x:c>
      <x:c r="G2130" s="12" t="str">
        <x:v>原000</x:v>
      </x:c>
      <x:c r="H2130" s="12" t="str">
        <x:v>新100</x:v>
      </x:c>
      <x:c r="I2130" s="12" t="str">
        <x:v>自动001</x:v>
      </x:c>
      <x:c r="J2130" s="12" t="str">
        <x:v>每行一名不同患者；此端点清单内共享名额</x:v>
      </x:c>
      <x:c r="K2130" s="12"/>
      <x:c r="L2130" s="12"/>
      <x:c r="M2130" s="12"/>
      <x:c r="N2130" s="12"/>
      <x:c r="O2130" s="12"/>
    </x:row>
    <x:row r="2131" ht="24" customHeight="1">
      <x:c r="A2131" s="12" t="str">
        <x:v>固定C0</x:v>
      </x:c>
      <x:c r="B2131" s="12" t="str">
        <x:v>AFIB</x:v>
      </x:c>
      <x:c r="C2131" s="12" t="str">
        <x:v>纳入比例</x:v>
      </x:c>
      <x:c r="D2131" s="12" t="str">
        <x:v>max</x:v>
      </x:c>
      <x:c r="E2131" s="12" t="str">
        <x:v>959</x:v>
      </x:c>
      <x:c r="F2131" s="12" t="str">
        <x:v>1981</x:v>
      </x:c>
      <x:c r="G2131" s="12" t="str">
        <x:v>原000</x:v>
      </x:c>
      <x:c r="H2131" s="12" t="str">
        <x:v>新100</x:v>
      </x:c>
      <x:c r="I2131" s="12" t="str">
        <x:v>自动001</x:v>
      </x:c>
      <x:c r="J2131" s="12" t="str">
        <x:v>每行一名不同患者；此端点清单内共享名额</x:v>
      </x:c>
      <x:c r="K2131" s="12"/>
      <x:c r="L2131" s="12"/>
      <x:c r="M2131" s="12"/>
      <x:c r="N2131" s="12"/>
      <x:c r="O2131" s="12"/>
    </x:row>
    <x:row r="2132" ht="24" customHeight="1">
      <x:c r="A2132" s="12" t="str">
        <x:v>固定C0</x:v>
      </x:c>
      <x:c r="B2132" s="12" t="str">
        <x:v>AFIB</x:v>
      </x:c>
      <x:c r="C2132" s="12" t="str">
        <x:v>纳入比例</x:v>
      </x:c>
      <x:c r="D2132" s="12" t="str">
        <x:v>max</x:v>
      </x:c>
      <x:c r="E2132" s="12" t="str">
        <x:v>975</x:v>
      </x:c>
      <x:c r="F2132" s="12" t="str">
        <x:v>672</x:v>
      </x:c>
      <x:c r="G2132" s="12" t="str">
        <x:v>原000</x:v>
      </x:c>
      <x:c r="H2132" s="12" t="str">
        <x:v>新100</x:v>
      </x:c>
      <x:c r="I2132" s="12" t="str">
        <x:v>自动001</x:v>
      </x:c>
      <x:c r="J2132" s="12" t="str">
        <x:v>每行一名不同患者；此端点清单内共享名额</x:v>
      </x:c>
      <x:c r="K2132" s="12"/>
      <x:c r="L2132" s="12"/>
      <x:c r="M2132" s="12"/>
      <x:c r="N2132" s="12"/>
      <x:c r="O2132" s="12"/>
    </x:row>
    <x:row r="2133" ht="24" customHeight="1">
      <x:c r="A2133" s="12" t="str">
        <x:v>固定C0</x:v>
      </x:c>
      <x:c r="B2133" s="12" t="str">
        <x:v>AFIB</x:v>
      </x:c>
      <x:c r="C2133" s="12" t="str">
        <x:v>纳入比例</x:v>
      </x:c>
      <x:c r="D2133" s="12" t="str">
        <x:v>max</x:v>
      </x:c>
      <x:c r="E2133" s="12" t="str">
        <x:v>1456</x:v>
      </x:c>
      <x:c r="F2133" s="12" t="str">
        <x:v>13776</x:v>
      </x:c>
      <x:c r="G2133" s="12" t="str">
        <x:v>原000</x:v>
      </x:c>
      <x:c r="H2133" s="12" t="str">
        <x:v>新100</x:v>
      </x:c>
      <x:c r="I2133" s="12" t="str">
        <x:v>自动100</x:v>
      </x:c>
      <x:c r="J2133" s="12" t="str">
        <x:v>每行一名不同患者；此端点清单内共享名额</x:v>
      </x:c>
      <x:c r="K2133" s="12"/>
      <x:c r="L2133" s="12"/>
      <x:c r="M2133" s="12"/>
      <x:c r="N2133" s="12"/>
      <x:c r="O2133" s="12"/>
    </x:row>
    <x:row r="2134" ht="24" customHeight="1">
      <x:c r="A2134" s="12" t="str">
        <x:v>固定C0</x:v>
      </x:c>
      <x:c r="B2134" s="12" t="str">
        <x:v>CLBBB</x:v>
      </x:c>
      <x:c r="C2134" s="12" t="str">
        <x:v>纳入比例</x:v>
      </x:c>
      <x:c r="D2134" s="12" t="str">
        <x:v>min</x:v>
      </x:c>
      <x:c r="E2134" s="12" t="str">
        <x:v>5606</x:v>
      </x:c>
      <x:c r="F2134" s="12" t="str">
        <x:v>11736</x:v>
      </x:c>
      <x:c r="G2134" s="12" t="str">
        <x:v>原010</x:v>
      </x:c>
      <x:c r="H2134" s="12" t="str">
        <x:v>新000</x:v>
      </x:c>
      <x:c r="I2134" s="12" t="str">
        <x:v>自动000</x:v>
      </x:c>
      <x:c r="J2134" s="12" t="str">
        <x:v>每行一名不同患者；此端点清单内共享名额</x:v>
      </x:c>
      <x:c r="K2134" s="12"/>
      <x:c r="L2134" s="12"/>
      <x:c r="M2134" s="12"/>
      <x:c r="N2134" s="12"/>
      <x:c r="O2134" s="12"/>
    </x:row>
    <x:row r="2135" ht="24" customHeight="1">
      <x:c r="A2135" s="12" t="str">
        <x:v>固定C0</x:v>
      </x:c>
      <x:c r="B2135" s="12" t="str">
        <x:v>CLBBB</x:v>
      </x:c>
      <x:c r="C2135" s="12" t="str">
        <x:v>纳入比例</x:v>
      </x:c>
      <x:c r="D2135" s="12" t="str">
        <x:v>min</x:v>
      </x:c>
      <x:c r="E2135" s="12" t="str">
        <x:v>6154</x:v>
      </x:c>
      <x:c r="F2135" s="12" t="str">
        <x:v>7228</x:v>
      </x:c>
      <x:c r="G2135" s="12" t="str">
        <x:v>原010</x:v>
      </x:c>
      <x:c r="H2135" s="12" t="str">
        <x:v>新000</x:v>
      </x:c>
      <x:c r="I2135" s="12" t="str">
        <x:v>自动000</x:v>
      </x:c>
      <x:c r="J2135" s="12" t="str">
        <x:v>每行一名不同患者；此端点清单内共享名额</x:v>
      </x:c>
      <x:c r="K2135" s="12"/>
      <x:c r="L2135" s="12"/>
      <x:c r="M2135" s="12"/>
      <x:c r="N2135" s="12"/>
      <x:c r="O2135" s="12"/>
    </x:row>
    <x:row r="2136" ht="24" customHeight="1">
      <x:c r="A2136" s="12" t="str">
        <x:v>固定C0</x:v>
      </x:c>
      <x:c r="B2136" s="12" t="str">
        <x:v>CLBBB</x:v>
      </x:c>
      <x:c r="C2136" s="12" t="str">
        <x:v>纳入比例</x:v>
      </x:c>
      <x:c r="D2136" s="12" t="str">
        <x:v>min</x:v>
      </x:c>
      <x:c r="E2136" s="12" t="str">
        <x:v>11418</x:v>
      </x:c>
      <x:c r="F2136" s="12" t="str">
        <x:v>13679</x:v>
      </x:c>
      <x:c r="G2136" s="12" t="str">
        <x:v>原010</x:v>
      </x:c>
      <x:c r="H2136" s="12" t="str">
        <x:v>新000</x:v>
      </x:c>
      <x:c r="I2136" s="12" t="str">
        <x:v>自动110</x:v>
      </x:c>
      <x:c r="J2136" s="12" t="str">
        <x:v>每行一名不同患者；此端点清单内共享名额</x:v>
      </x:c>
      <x:c r="K2136" s="12"/>
      <x:c r="L2136" s="12"/>
      <x:c r="M2136" s="12"/>
      <x:c r="N2136" s="12"/>
      <x:c r="O2136" s="12"/>
    </x:row>
    <x:row r="2137" ht="24" customHeight="1">
      <x:c r="A2137" s="12" t="str">
        <x:v>固定C0</x:v>
      </x:c>
      <x:c r="B2137" s="12" t="str">
        <x:v>CLBBB</x:v>
      </x:c>
      <x:c r="C2137" s="12" t="str">
        <x:v>纳入比例</x:v>
      </x:c>
      <x:c r="D2137" s="12" t="str">
        <x:v>min</x:v>
      </x:c>
      <x:c r="E2137" s="12" t="str">
        <x:v>11441</x:v>
      </x:c>
      <x:c r="F2137" s="12" t="str">
        <x:v>12916</x:v>
      </x:c>
      <x:c r="G2137" s="12" t="str">
        <x:v>原010</x:v>
      </x:c>
      <x:c r="H2137" s="12" t="str">
        <x:v>新000</x:v>
      </x:c>
      <x:c r="I2137" s="12" t="str">
        <x:v>自动000</x:v>
      </x:c>
      <x:c r="J2137" s="12" t="str">
        <x:v>每行一名不同患者；此端点清单内共享名额</x:v>
      </x:c>
      <x:c r="K2137" s="12"/>
      <x:c r="L2137" s="12"/>
      <x:c r="M2137" s="12"/>
      <x:c r="N2137" s="12"/>
      <x:c r="O2137" s="12"/>
    </x:row>
    <x:row r="2138" ht="24" customHeight="1">
      <x:c r="A2138" s="12" t="str">
        <x:v>固定C0</x:v>
      </x:c>
      <x:c r="B2138" s="12" t="str">
        <x:v>CLBBB</x:v>
      </x:c>
      <x:c r="C2138" s="12" t="str">
        <x:v>纳入比例</x:v>
      </x:c>
      <x:c r="D2138" s="12" t="str">
        <x:v>max</x:v>
      </x:c>
      <x:c r="E2138" s="12" t="str">
        <x:v>382</x:v>
      </x:c>
      <x:c r="F2138" s="12" t="str">
        <x:v>10186</x:v>
      </x:c>
      <x:c r="G2138" s="12" t="str">
        <x:v>原000</x:v>
      </x:c>
      <x:c r="H2138" s="12" t="str">
        <x:v>新010</x:v>
      </x:c>
      <x:c r="I2138" s="12" t="str">
        <x:v>自动100</x:v>
      </x:c>
      <x:c r="J2138" s="12" t="str">
        <x:v>每行一名不同患者；此端点清单内共享名额</x:v>
      </x:c>
      <x:c r="K2138" s="12"/>
      <x:c r="L2138" s="12"/>
      <x:c r="M2138" s="12"/>
      <x:c r="N2138" s="12"/>
      <x:c r="O2138" s="12"/>
    </x:row>
    <x:row r="2139" ht="24" customHeight="1">
      <x:c r="A2139" s="12" t="str">
        <x:v>固定C0</x:v>
      </x:c>
      <x:c r="B2139" s="12" t="str">
        <x:v>CLBBB</x:v>
      </x:c>
      <x:c r="C2139" s="12" t="str">
        <x:v>纳入比例</x:v>
      </x:c>
      <x:c r="D2139" s="12" t="str">
        <x:v>max</x:v>
      </x:c>
      <x:c r="E2139" s="12" t="str">
        <x:v>569</x:v>
      </x:c>
      <x:c r="F2139" s="12" t="str">
        <x:v>2936</x:v>
      </x:c>
      <x:c r="G2139" s="12" t="str">
        <x:v>原100</x:v>
      </x:c>
      <x:c r="H2139" s="12" t="str">
        <x:v>新110</x:v>
      </x:c>
      <x:c r="I2139" s="12" t="str">
        <x:v>自动101</x:v>
      </x:c>
      <x:c r="J2139" s="12" t="str">
        <x:v>每行一名不同患者；此端点清单内共享名额</x:v>
      </x:c>
      <x:c r="K2139" s="12"/>
      <x:c r="L2139" s="12"/>
      <x:c r="M2139" s="12"/>
      <x:c r="N2139" s="12"/>
      <x:c r="O2139" s="12"/>
    </x:row>
    <x:row r="2140" ht="24" customHeight="1">
      <x:c r="A2140" s="12" t="str">
        <x:v>固定C0</x:v>
      </x:c>
      <x:c r="B2140" s="12" t="str">
        <x:v>CLBBB</x:v>
      </x:c>
      <x:c r="C2140" s="12" t="str">
        <x:v>纳入比例</x:v>
      </x:c>
      <x:c r="D2140" s="12" t="str">
        <x:v>max</x:v>
      </x:c>
      <x:c r="E2140" s="12" t="str">
        <x:v>950</x:v>
      </x:c>
      <x:c r="F2140" s="12" t="str">
        <x:v>4533</x:v>
      </x:c>
      <x:c r="G2140" s="12" t="str">
        <x:v>原000</x:v>
      </x:c>
      <x:c r="H2140" s="12" t="str">
        <x:v>新010</x:v>
      </x:c>
      <x:c r="I2140" s="12" t="str">
        <x:v>自动001</x:v>
      </x:c>
      <x:c r="J2140" s="12" t="str">
        <x:v>每行一名不同患者；此端点清单内共享名额</x:v>
      </x:c>
      <x:c r="K2140" s="12"/>
      <x:c r="L2140" s="12"/>
      <x:c r="M2140" s="12"/>
      <x:c r="N2140" s="12"/>
      <x:c r="O2140" s="12"/>
    </x:row>
    <x:row r="2141" ht="24" customHeight="1">
      <x:c r="A2141" s="12" t="str">
        <x:v>固定C0</x:v>
      </x:c>
      <x:c r="B2141" s="12" t="str">
        <x:v>CLBBB</x:v>
      </x:c>
      <x:c r="C2141" s="12" t="str">
        <x:v>纳入比例</x:v>
      </x:c>
      <x:c r="D2141" s="12" t="str">
        <x:v>max</x:v>
      </x:c>
      <x:c r="E2141" s="12" t="str">
        <x:v>959</x:v>
      </x:c>
      <x:c r="F2141" s="12" t="str">
        <x:v>1981</x:v>
      </x:c>
      <x:c r="G2141" s="12" t="str">
        <x:v>原000</x:v>
      </x:c>
      <x:c r="H2141" s="12" t="str">
        <x:v>新010</x:v>
      </x:c>
      <x:c r="I2141" s="12" t="str">
        <x:v>自动001</x:v>
      </x:c>
      <x:c r="J2141" s="12" t="str">
        <x:v>每行一名不同患者；此端点清单内共享名额</x:v>
      </x:c>
      <x:c r="K2141" s="12"/>
      <x:c r="L2141" s="12"/>
      <x:c r="M2141" s="12"/>
      <x:c r="N2141" s="12"/>
      <x:c r="O2141" s="12"/>
    </x:row>
    <x:row r="2142" ht="24" customHeight="1">
      <x:c r="A2142" s="12" t="str">
        <x:v>固定C0</x:v>
      </x:c>
      <x:c r="B2142" s="12" t="str">
        <x:v>CLBBB</x:v>
      </x:c>
      <x:c r="C2142" s="12" t="str">
        <x:v>纳入比例</x:v>
      </x:c>
      <x:c r="D2142" s="12" t="str">
        <x:v>max</x:v>
      </x:c>
      <x:c r="E2142" s="12" t="str">
        <x:v>975</x:v>
      </x:c>
      <x:c r="F2142" s="12" t="str">
        <x:v>672</x:v>
      </x:c>
      <x:c r="G2142" s="12" t="str">
        <x:v>原000</x:v>
      </x:c>
      <x:c r="H2142" s="12" t="str">
        <x:v>新010</x:v>
      </x:c>
      <x:c r="I2142" s="12" t="str">
        <x:v>自动001</x:v>
      </x:c>
      <x:c r="J2142" s="12" t="str">
        <x:v>每行一名不同患者；此端点清单内共享名额</x:v>
      </x:c>
      <x:c r="K2142" s="12"/>
      <x:c r="L2142" s="12"/>
      <x:c r="M2142" s="12"/>
      <x:c r="N2142" s="12"/>
      <x:c r="O2142" s="12"/>
    </x:row>
    <x:row r="2143" ht="24" customHeight="1">
      <x:c r="A2143" s="12" t="str">
        <x:v>固定C0</x:v>
      </x:c>
      <x:c r="B2143" s="12" t="str">
        <x:v>CRBBB</x:v>
      </x:c>
      <x:c r="C2143" s="12" t="str">
        <x:v>纳入比例</x:v>
      </x:c>
      <x:c r="D2143" s="12" t="str">
        <x:v>min</x:v>
      </x:c>
      <x:c r="E2143" s="12" t="str">
        <x:v>8041</x:v>
      </x:c>
      <x:c r="F2143" s="12" t="str">
        <x:v>3434</x:v>
      </x:c>
      <x:c r="G2143" s="12" t="str">
        <x:v>原101</x:v>
      </x:c>
      <x:c r="H2143" s="12" t="str">
        <x:v>新100</x:v>
      </x:c>
      <x:c r="I2143" s="12" t="str">
        <x:v>自动001</x:v>
      </x:c>
      <x:c r="J2143" s="12" t="str">
        <x:v>每行一名不同患者；此端点清单内共享名额</x:v>
      </x:c>
      <x:c r="K2143" s="12"/>
      <x:c r="L2143" s="12"/>
      <x:c r="M2143" s="12"/>
      <x:c r="N2143" s="12"/>
      <x:c r="O2143" s="12"/>
    </x:row>
    <x:row r="2144" ht="24" customHeight="1">
      <x:c r="A2144" s="12" t="str">
        <x:v>固定C0</x:v>
      </x:c>
      <x:c r="B2144" s="12" t="str">
        <x:v>CRBBB</x:v>
      </x:c>
      <x:c r="C2144" s="12" t="str">
        <x:v>纳入比例</x:v>
      </x:c>
      <x:c r="D2144" s="12" t="str">
        <x:v>min</x:v>
      </x:c>
      <x:c r="E2144" s="12" t="str">
        <x:v>8712</x:v>
      </x:c>
      <x:c r="F2144" s="12" t="str">
        <x:v>4815</x:v>
      </x:c>
      <x:c r="G2144" s="12" t="str">
        <x:v>原001</x:v>
      </x:c>
      <x:c r="H2144" s="12" t="str">
        <x:v>新000</x:v>
      </x:c>
      <x:c r="I2144" s="12" t="str">
        <x:v>自动000</x:v>
      </x:c>
      <x:c r="J2144" s="12" t="str">
        <x:v>每行一名不同患者；此端点清单内共享名额</x:v>
      </x:c>
      <x:c r="K2144" s="12"/>
      <x:c r="L2144" s="12"/>
      <x:c r="M2144" s="12"/>
      <x:c r="N2144" s="12"/>
      <x:c r="O2144" s="12"/>
    </x:row>
    <x:row r="2145" ht="24" customHeight="1">
      <x:c r="A2145" s="12" t="str">
        <x:v>固定C0</x:v>
      </x:c>
      <x:c r="B2145" s="12" t="str">
        <x:v>CRBBB</x:v>
      </x:c>
      <x:c r="C2145" s="12" t="str">
        <x:v>纳入比例</x:v>
      </x:c>
      <x:c r="D2145" s="12" t="str">
        <x:v>min</x:v>
      </x:c>
      <x:c r="E2145" s="12" t="str">
        <x:v>11500</x:v>
      </x:c>
      <x:c r="F2145" s="12" t="str">
        <x:v>13887</x:v>
      </x:c>
      <x:c r="G2145" s="12" t="str">
        <x:v>原001</x:v>
      </x:c>
      <x:c r="H2145" s="12" t="str">
        <x:v>新000</x:v>
      </x:c>
      <x:c r="I2145" s="12" t="str">
        <x:v>自动101</x:v>
      </x:c>
      <x:c r="J2145" s="12" t="str">
        <x:v>每行一名不同患者；此端点清单内共享名额</x:v>
      </x:c>
      <x:c r="K2145" s="12"/>
      <x:c r="L2145" s="12"/>
      <x:c r="M2145" s="12"/>
      <x:c r="N2145" s="12"/>
      <x:c r="O2145" s="12"/>
    </x:row>
    <x:row r="2146" ht="24" customHeight="1">
      <x:c r="A2146" s="12" t="str">
        <x:v>固定C0</x:v>
      </x:c>
      <x:c r="B2146" s="12" t="str">
        <x:v>CRBBB</x:v>
      </x:c>
      <x:c r="C2146" s="12" t="str">
        <x:v>纳入比例</x:v>
      </x:c>
      <x:c r="D2146" s="12" t="str">
        <x:v>min</x:v>
      </x:c>
      <x:c r="E2146" s="12" t="str">
        <x:v>19906</x:v>
      </x:c>
      <x:c r="F2146" s="12" t="str">
        <x:v>14689</x:v>
      </x:c>
      <x:c r="G2146" s="12" t="str">
        <x:v>原101</x:v>
      </x:c>
      <x:c r="H2146" s="12" t="str">
        <x:v>新100</x:v>
      </x:c>
      <x:c r="I2146" s="12" t="str">
        <x:v>自动001</x:v>
      </x:c>
      <x:c r="J2146" s="12" t="str">
        <x:v>每行一名不同患者；此端点清单内共享名额</x:v>
      </x:c>
      <x:c r="K2146" s="12"/>
      <x:c r="L2146" s="12"/>
      <x:c r="M2146" s="12"/>
      <x:c r="N2146" s="12"/>
      <x:c r="O2146" s="12"/>
    </x:row>
    <x:row r="2147" ht="24" customHeight="1">
      <x:c r="A2147" s="12" t="str">
        <x:v>固定C0</x:v>
      </x:c>
      <x:c r="B2147" s="12" t="str">
        <x:v>CRBBB</x:v>
      </x:c>
      <x:c r="C2147" s="12" t="str">
        <x:v>纳入比例</x:v>
      </x:c>
      <x:c r="D2147" s="12" t="str">
        <x:v>min</x:v>
      </x:c>
      <x:c r="E2147" s="12" t="str">
        <x:v>20674</x:v>
      </x:c>
      <x:c r="F2147" s="12" t="str">
        <x:v>18246</x:v>
      </x:c>
      <x:c r="G2147" s="12" t="str">
        <x:v>原101</x:v>
      </x:c>
      <x:c r="H2147" s="12" t="str">
        <x:v>新100</x:v>
      </x:c>
      <x:c r="I2147" s="12" t="str">
        <x:v>自动001</x:v>
      </x:c>
      <x:c r="J2147" s="12" t="str">
        <x:v>每行一名不同患者；此端点清单内共享名额</x:v>
      </x:c>
      <x:c r="K2147" s="12"/>
      <x:c r="L2147" s="12"/>
      <x:c r="M2147" s="12"/>
      <x:c r="N2147" s="12"/>
      <x:c r="O2147" s="12"/>
    </x:row>
    <x:row r="2148" ht="24" customHeight="1">
      <x:c r="A2148" s="12" t="str">
        <x:v>固定C0</x:v>
      </x:c>
      <x:c r="B2148" s="12" t="str">
        <x:v>CRBBB</x:v>
      </x:c>
      <x:c r="C2148" s="12" t="str">
        <x:v>纳入比例</x:v>
      </x:c>
      <x:c r="D2148" s="12" t="str">
        <x:v>max</x:v>
      </x:c>
      <x:c r="E2148" s="12" t="str">
        <x:v>382</x:v>
      </x:c>
      <x:c r="F2148" s="12" t="str">
        <x:v>10186</x:v>
      </x:c>
      <x:c r="G2148" s="12" t="str">
        <x:v>原000</x:v>
      </x:c>
      <x:c r="H2148" s="12" t="str">
        <x:v>新001</x:v>
      </x:c>
      <x:c r="I2148" s="12" t="str">
        <x:v>自动100</x:v>
      </x:c>
      <x:c r="J2148" s="12" t="str">
        <x:v>每行一名不同患者；此端点清单内共享名额</x:v>
      </x:c>
      <x:c r="K2148" s="12"/>
      <x:c r="L2148" s="12"/>
      <x:c r="M2148" s="12"/>
      <x:c r="N2148" s="12"/>
      <x:c r="O2148" s="12"/>
    </x:row>
    <x:row r="2149" ht="24" customHeight="1">
      <x:c r="A2149" s="12" t="str">
        <x:v>固定C0</x:v>
      </x:c>
      <x:c r="B2149" s="12" t="str">
        <x:v>CRBBB</x:v>
      </x:c>
      <x:c r="C2149" s="12" t="str">
        <x:v>纳入比例</x:v>
      </x:c>
      <x:c r="D2149" s="12" t="str">
        <x:v>max</x:v>
      </x:c>
      <x:c r="E2149" s="12" t="str">
        <x:v>569</x:v>
      </x:c>
      <x:c r="F2149" s="12" t="str">
        <x:v>2936</x:v>
      </x:c>
      <x:c r="G2149" s="12" t="str">
        <x:v>原100</x:v>
      </x:c>
      <x:c r="H2149" s="12" t="str">
        <x:v>新101</x:v>
      </x:c>
      <x:c r="I2149" s="12" t="str">
        <x:v>自动101</x:v>
      </x:c>
      <x:c r="J2149" s="12" t="str">
        <x:v>每行一名不同患者；此端点清单内共享名额</x:v>
      </x:c>
      <x:c r="K2149" s="12"/>
      <x:c r="L2149" s="12"/>
      <x:c r="M2149" s="12"/>
      <x:c r="N2149" s="12"/>
      <x:c r="O2149" s="12"/>
    </x:row>
    <x:row r="2150" ht="24" customHeight="1">
      <x:c r="A2150" s="12" t="str">
        <x:v>固定C0</x:v>
      </x:c>
      <x:c r="B2150" s="12" t="str">
        <x:v>CRBBB</x:v>
      </x:c>
      <x:c r="C2150" s="12" t="str">
        <x:v>纳入比例</x:v>
      </x:c>
      <x:c r="D2150" s="12" t="str">
        <x:v>max</x:v>
      </x:c>
      <x:c r="E2150" s="12" t="str">
        <x:v>950</x:v>
      </x:c>
      <x:c r="F2150" s="12" t="str">
        <x:v>4533</x:v>
      </x:c>
      <x:c r="G2150" s="12" t="str">
        <x:v>原000</x:v>
      </x:c>
      <x:c r="H2150" s="12" t="str">
        <x:v>新001</x:v>
      </x:c>
      <x:c r="I2150" s="12" t="str">
        <x:v>自动001</x:v>
      </x:c>
      <x:c r="J2150" s="12" t="str">
        <x:v>每行一名不同患者；此端点清单内共享名额</x:v>
      </x:c>
      <x:c r="K2150" s="12"/>
      <x:c r="L2150" s="12"/>
      <x:c r="M2150" s="12"/>
      <x:c r="N2150" s="12"/>
      <x:c r="O2150" s="12"/>
    </x:row>
    <x:row r="2151" ht="24" customHeight="1">
      <x:c r="A2151" s="12" t="str">
        <x:v>固定C0</x:v>
      </x:c>
      <x:c r="B2151" s="12" t="str">
        <x:v>CRBBB</x:v>
      </x:c>
      <x:c r="C2151" s="12" t="str">
        <x:v>纳入比例</x:v>
      </x:c>
      <x:c r="D2151" s="12" t="str">
        <x:v>max</x:v>
      </x:c>
      <x:c r="E2151" s="12" t="str">
        <x:v>959</x:v>
      </x:c>
      <x:c r="F2151" s="12" t="str">
        <x:v>1981</x:v>
      </x:c>
      <x:c r="G2151" s="12" t="str">
        <x:v>原000</x:v>
      </x:c>
      <x:c r="H2151" s="12" t="str">
        <x:v>新001</x:v>
      </x:c>
      <x:c r="I2151" s="12" t="str">
        <x:v>自动001</x:v>
      </x:c>
      <x:c r="J2151" s="12" t="str">
        <x:v>每行一名不同患者；此端点清单内共享名额</x:v>
      </x:c>
      <x:c r="K2151" s="12"/>
      <x:c r="L2151" s="12"/>
      <x:c r="M2151" s="12"/>
      <x:c r="N2151" s="12"/>
      <x:c r="O2151" s="12"/>
    </x:row>
    <x:row r="2152" ht="24" customHeight="1">
      <x:c r="A2152" s="12" t="str">
        <x:v>固定C0</x:v>
      </x:c>
      <x:c r="B2152" s="12" t="str">
        <x:v>CRBBB</x:v>
      </x:c>
      <x:c r="C2152" s="12" t="str">
        <x:v>纳入比例</x:v>
      </x:c>
      <x:c r="D2152" s="12" t="str">
        <x:v>max</x:v>
      </x:c>
      <x:c r="E2152" s="12" t="str">
        <x:v>975</x:v>
      </x:c>
      <x:c r="F2152" s="12" t="str">
        <x:v>672</x:v>
      </x:c>
      <x:c r="G2152" s="12" t="str">
        <x:v>原000</x:v>
      </x:c>
      <x:c r="H2152" s="12" t="str">
        <x:v>新001</x:v>
      </x:c>
      <x:c r="I2152" s="12" t="str">
        <x:v>自动001</x:v>
      </x:c>
      <x:c r="J2152" s="12" t="str">
        <x:v>每行一名不同患者；此端点清单内共享名额</x:v>
      </x:c>
      <x:c r="K2152" s="12"/>
      <x:c r="L2152" s="12"/>
      <x:c r="M2152" s="12"/>
      <x:c r="N2152" s="12"/>
      <x:c r="O2152" s="12"/>
    </x:row>
    <x:row r="2153" ht="24" customHeight="1">
      <x:c r="A2153" s="12" t="str">
        <x:v>固定C0</x:v>
      </x:c>
      <x:c r="B2153" s="12" t="str">
        <x:v>任一目标</x:v>
      </x:c>
      <x:c r="C2153" s="12" t="str">
        <x:v>纳入比例</x:v>
      </x:c>
      <x:c r="D2153" s="12" t="str">
        <x:v>min</x:v>
      </x:c>
      <x:c r="E2153" s="12" t="str">
        <x:v>569</x:v>
      </x:c>
      <x:c r="F2153" s="12" t="str">
        <x:v>2936</x:v>
      </x:c>
      <x:c r="G2153" s="12" t="str">
        <x:v>原100</x:v>
      </x:c>
      <x:c r="H2153" s="12" t="str">
        <x:v>新000</x:v>
      </x:c>
      <x:c r="I2153" s="12" t="str">
        <x:v>自动101</x:v>
      </x:c>
      <x:c r="J2153" s="12" t="str">
        <x:v>每行一名不同患者；此端点清单内共享名额</x:v>
      </x:c>
      <x:c r="K2153" s="12"/>
      <x:c r="L2153" s="12"/>
      <x:c r="M2153" s="12"/>
      <x:c r="N2153" s="12"/>
      <x:c r="O2153" s="12"/>
    </x:row>
    <x:row r="2154" ht="24" customHeight="1">
      <x:c r="A2154" s="12" t="str">
        <x:v>固定C0</x:v>
      </x:c>
      <x:c r="B2154" s="12" t="str">
        <x:v>任一目标</x:v>
      </x:c>
      <x:c r="C2154" s="12" t="str">
        <x:v>纳入比例</x:v>
      </x:c>
      <x:c r="D2154" s="12" t="str">
        <x:v>min</x:v>
      </x:c>
      <x:c r="E2154" s="12" t="str">
        <x:v>2549</x:v>
      </x:c>
      <x:c r="F2154" s="12" t="str">
        <x:v>21158</x:v>
      </x:c>
      <x:c r="G2154" s="12" t="str">
        <x:v>原100</x:v>
      </x:c>
      <x:c r="H2154" s="12" t="str">
        <x:v>新000</x:v>
      </x:c>
      <x:c r="I2154" s="12" t="str">
        <x:v>自动000</x:v>
      </x:c>
      <x:c r="J2154" s="12" t="str">
        <x:v>每行一名不同患者；此端点清单内共享名额</x:v>
      </x:c>
      <x:c r="K2154" s="12"/>
      <x:c r="L2154" s="12"/>
      <x:c r="M2154" s="12"/>
      <x:c r="N2154" s="12"/>
      <x:c r="O2154" s="12"/>
    </x:row>
    <x:row r="2155" ht="24" customHeight="1">
      <x:c r="A2155" s="12" t="str">
        <x:v>固定C0</x:v>
      </x:c>
      <x:c r="B2155" s="12" t="str">
        <x:v>任一目标</x:v>
      </x:c>
      <x:c r="C2155" s="12" t="str">
        <x:v>纳入比例</x:v>
      </x:c>
      <x:c r="D2155" s="12" t="str">
        <x:v>min</x:v>
      </x:c>
      <x:c r="E2155" s="12" t="str">
        <x:v>3692</x:v>
      </x:c>
      <x:c r="F2155" s="12" t="str">
        <x:v>18861</x:v>
      </x:c>
      <x:c r="G2155" s="12" t="str">
        <x:v>原100</x:v>
      </x:c>
      <x:c r="H2155" s="12" t="str">
        <x:v>新000</x:v>
      </x:c>
      <x:c r="I2155" s="12" t="str">
        <x:v>自动000</x:v>
      </x:c>
      <x:c r="J2155" s="12" t="str">
        <x:v>每行一名不同患者；此端点清单内共享名额</x:v>
      </x:c>
      <x:c r="K2155" s="12"/>
      <x:c r="L2155" s="12"/>
      <x:c r="M2155" s="12"/>
      <x:c r="N2155" s="12"/>
      <x:c r="O2155" s="12"/>
    </x:row>
    <x:row r="2156" ht="24" customHeight="1">
      <x:c r="A2156" s="12" t="str">
        <x:v>固定C0</x:v>
      </x:c>
      <x:c r="B2156" s="12" t="str">
        <x:v>任一目标</x:v>
      </x:c>
      <x:c r="C2156" s="12" t="str">
        <x:v>纳入比例</x:v>
      </x:c>
      <x:c r="D2156" s="12" t="str">
        <x:v>min</x:v>
      </x:c>
      <x:c r="E2156" s="12" t="str">
        <x:v>4785</x:v>
      </x:c>
      <x:c r="F2156" s="12" t="str">
        <x:v>9903</x:v>
      </x:c>
      <x:c r="G2156" s="12" t="str">
        <x:v>原100</x:v>
      </x:c>
      <x:c r="H2156" s="12" t="str">
        <x:v>新000</x:v>
      </x:c>
      <x:c r="I2156" s="12" t="str">
        <x:v>自动000</x:v>
      </x:c>
      <x:c r="J2156" s="12" t="str">
        <x:v>每行一名不同患者；此端点清单内共享名额</x:v>
      </x:c>
      <x:c r="K2156" s="12"/>
      <x:c r="L2156" s="12"/>
      <x:c r="M2156" s="12"/>
      <x:c r="N2156" s="12"/>
      <x:c r="O2156" s="12"/>
    </x:row>
    <x:row r="2157" ht="24" customHeight="1">
      <x:c r="A2157" s="12" t="str">
        <x:v>固定C0</x:v>
      </x:c>
      <x:c r="B2157" s="12" t="str">
        <x:v>任一目标</x:v>
      </x:c>
      <x:c r="C2157" s="12" t="str">
        <x:v>纳入比例</x:v>
      </x:c>
      <x:c r="D2157" s="12" t="str">
        <x:v>min</x:v>
      </x:c>
      <x:c r="E2157" s="12" t="str">
        <x:v>5606</x:v>
      </x:c>
      <x:c r="F2157" s="12" t="str">
        <x:v>11736</x:v>
      </x:c>
      <x:c r="G2157" s="12" t="str">
        <x:v>原010</x:v>
      </x:c>
      <x:c r="H2157" s="12" t="str">
        <x:v>新000</x:v>
      </x:c>
      <x:c r="I2157" s="12" t="str">
        <x:v>自动000</x:v>
      </x:c>
      <x:c r="J2157" s="12" t="str">
        <x:v>每行一名不同患者；此端点清单内共享名额</x:v>
      </x:c>
      <x:c r="K2157" s="12"/>
      <x:c r="L2157" s="12"/>
      <x:c r="M2157" s="12"/>
      <x:c r="N2157" s="12"/>
      <x:c r="O2157" s="12"/>
    </x:row>
    <x:row r="2158" ht="24" customHeight="1">
      <x:c r="A2158" s="12" t="str">
        <x:v>固定C0</x:v>
      </x:c>
      <x:c r="B2158" s="12" t="str">
        <x:v>任一目标</x:v>
      </x:c>
      <x:c r="C2158" s="12" t="str">
        <x:v>纳入比例</x:v>
      </x:c>
      <x:c r="D2158" s="12" t="str">
        <x:v>max</x:v>
      </x:c>
      <x:c r="E2158" s="12" t="str">
        <x:v>382</x:v>
      </x:c>
      <x:c r="F2158" s="12" t="str">
        <x:v>10186</x:v>
      </x:c>
      <x:c r="G2158" s="12" t="str">
        <x:v>原000</x:v>
      </x:c>
      <x:c r="H2158" s="12" t="str">
        <x:v>新100</x:v>
      </x:c>
      <x:c r="I2158" s="12" t="str">
        <x:v>自动100</x:v>
      </x:c>
      <x:c r="J2158" s="12" t="str">
        <x:v>每行一名不同患者；此端点清单内共享名额</x:v>
      </x:c>
      <x:c r="K2158" s="12"/>
      <x:c r="L2158" s="12"/>
      <x:c r="M2158" s="12"/>
      <x:c r="N2158" s="12"/>
      <x:c r="O2158" s="12"/>
    </x:row>
    <x:row r="2159" ht="24" customHeight="1">
      <x:c r="A2159" s="12" t="str">
        <x:v>固定C0</x:v>
      </x:c>
      <x:c r="B2159" s="12" t="str">
        <x:v>任一目标</x:v>
      </x:c>
      <x:c r="C2159" s="12" t="str">
        <x:v>纳入比例</x:v>
      </x:c>
      <x:c r="D2159" s="12" t="str">
        <x:v>max</x:v>
      </x:c>
      <x:c r="E2159" s="12" t="str">
        <x:v>950</x:v>
      </x:c>
      <x:c r="F2159" s="12" t="str">
        <x:v>4533</x:v>
      </x:c>
      <x:c r="G2159" s="12" t="str">
        <x:v>原000</x:v>
      </x:c>
      <x:c r="H2159" s="12" t="str">
        <x:v>新100</x:v>
      </x:c>
      <x:c r="I2159" s="12" t="str">
        <x:v>自动001</x:v>
      </x:c>
      <x:c r="J2159" s="12" t="str">
        <x:v>每行一名不同患者；此端点清单内共享名额</x:v>
      </x:c>
      <x:c r="K2159" s="12"/>
      <x:c r="L2159" s="12"/>
      <x:c r="M2159" s="12"/>
      <x:c r="N2159" s="12"/>
      <x:c r="O2159" s="12"/>
    </x:row>
    <x:row r="2160" ht="24" customHeight="1">
      <x:c r="A2160" s="12" t="str">
        <x:v>固定C0</x:v>
      </x:c>
      <x:c r="B2160" s="12" t="str">
        <x:v>任一目标</x:v>
      </x:c>
      <x:c r="C2160" s="12" t="str">
        <x:v>纳入比例</x:v>
      </x:c>
      <x:c r="D2160" s="12" t="str">
        <x:v>max</x:v>
      </x:c>
      <x:c r="E2160" s="12" t="str">
        <x:v>959</x:v>
      </x:c>
      <x:c r="F2160" s="12" t="str">
        <x:v>1981</x:v>
      </x:c>
      <x:c r="G2160" s="12" t="str">
        <x:v>原000</x:v>
      </x:c>
      <x:c r="H2160" s="12" t="str">
        <x:v>新100</x:v>
      </x:c>
      <x:c r="I2160" s="12" t="str">
        <x:v>自动001</x:v>
      </x:c>
      <x:c r="J2160" s="12" t="str">
        <x:v>每行一名不同患者；此端点清单内共享名额</x:v>
      </x:c>
      <x:c r="K2160" s="12"/>
      <x:c r="L2160" s="12"/>
      <x:c r="M2160" s="12"/>
      <x:c r="N2160" s="12"/>
      <x:c r="O2160" s="12"/>
    </x:row>
    <x:row r="2161" ht="24" customHeight="1">
      <x:c r="A2161" s="12" t="str">
        <x:v>固定C0</x:v>
      </x:c>
      <x:c r="B2161" s="12" t="str">
        <x:v>任一目标</x:v>
      </x:c>
      <x:c r="C2161" s="12" t="str">
        <x:v>纳入比例</x:v>
      </x:c>
      <x:c r="D2161" s="12" t="str">
        <x:v>max</x:v>
      </x:c>
      <x:c r="E2161" s="12" t="str">
        <x:v>975</x:v>
      </x:c>
      <x:c r="F2161" s="12" t="str">
        <x:v>672</x:v>
      </x:c>
      <x:c r="G2161" s="12" t="str">
        <x:v>原000</x:v>
      </x:c>
      <x:c r="H2161" s="12" t="str">
        <x:v>新100</x:v>
      </x:c>
      <x:c r="I2161" s="12" t="str">
        <x:v>自动001</x:v>
      </x:c>
      <x:c r="J2161" s="12" t="str">
        <x:v>每行一名不同患者；此端点清单内共享名额</x:v>
      </x:c>
      <x:c r="K2161" s="12"/>
      <x:c r="L2161" s="12"/>
      <x:c r="M2161" s="12"/>
      <x:c r="N2161" s="12"/>
      <x:c r="O2161" s="12"/>
    </x:row>
    <x:row r="2162" ht="24" customHeight="1">
      <x:c r="A2162" s="12" t="str">
        <x:v>固定C0</x:v>
      </x:c>
      <x:c r="B2162" s="12" t="str">
        <x:v>任一目标</x:v>
      </x:c>
      <x:c r="C2162" s="12" t="str">
        <x:v>纳入比例</x:v>
      </x:c>
      <x:c r="D2162" s="12" t="str">
        <x:v>max</x:v>
      </x:c>
      <x:c r="E2162" s="12" t="str">
        <x:v>1456</x:v>
      </x:c>
      <x:c r="F2162" s="12" t="str">
        <x:v>13776</x:v>
      </x:c>
      <x:c r="G2162" s="12" t="str">
        <x:v>原000</x:v>
      </x:c>
      <x:c r="H2162" s="12" t="str">
        <x:v>新100</x:v>
      </x:c>
      <x:c r="I2162" s="12" t="str">
        <x:v>自动100</x:v>
      </x:c>
      <x:c r="J2162" s="12" t="str">
        <x:v>每行一名不同患者；此端点清单内共享名额</x:v>
      </x:c>
      <x:c r="K2162" s="12"/>
      <x:c r="L2162" s="12"/>
      <x:c r="M2162" s="12"/>
      <x:c r="N2162" s="12"/>
      <x:c r="O2162" s="12"/>
    </x:row>
    <x:row r="2163" ht="24" customHeight="1">
      <x:c r="A2163" s="12" t="str">
        <x:v>重算C1</x:v>
      </x:c>
      <x:c r="B2163" s="12" t="str">
        <x:v>AFIB</x:v>
      </x:c>
      <x:c r="C2163" s="12" t="str">
        <x:v>纳入比例</x:v>
      </x:c>
      <x:c r="D2163" s="12" t="str">
        <x:v>min</x:v>
      </x:c>
      <x:c r="E2163" s="12" t="str">
        <x:v>569</x:v>
      </x:c>
      <x:c r="F2163" s="12" t="str">
        <x:v>2936</x:v>
      </x:c>
      <x:c r="G2163" s="12" t="str">
        <x:v>原100</x:v>
      </x:c>
      <x:c r="H2163" s="12" t="str">
        <x:v>新101</x:v>
      </x:c>
      <x:c r="I2163" s="12" t="str">
        <x:v>自动101</x:v>
      </x:c>
      <x:c r="J2163" s="12" t="str">
        <x:v>每行一名不同患者；此端点清单内共享名额</x:v>
      </x:c>
      <x:c r="K2163" s="12"/>
      <x:c r="L2163" s="12"/>
      <x:c r="M2163" s="12"/>
      <x:c r="N2163" s="12"/>
      <x:c r="O2163" s="12"/>
    </x:row>
    <x:row r="2164" ht="24" customHeight="1">
      <x:c r="A2164" s="12" t="str">
        <x:v>重算C1</x:v>
      </x:c>
      <x:c r="B2164" s="12" t="str">
        <x:v>AFIB</x:v>
      </x:c>
      <x:c r="C2164" s="12" t="str">
        <x:v>纳入比例</x:v>
      </x:c>
      <x:c r="D2164" s="12" t="str">
        <x:v>min</x:v>
      </x:c>
      <x:c r="E2164" s="12" t="str">
        <x:v>19305</x:v>
      </x:c>
      <x:c r="F2164" s="12" t="str">
        <x:v>15115</x:v>
      </x:c>
      <x:c r="G2164" s="12" t="str">
        <x:v>原100</x:v>
      </x:c>
      <x:c r="H2164" s="12" t="str">
        <x:v>新110</x:v>
      </x:c>
      <x:c r="I2164" s="12" t="str">
        <x:v>自动110</x:v>
      </x:c>
      <x:c r="J2164" s="12" t="str">
        <x:v>每行一名不同患者；此端点清单内共享名额</x:v>
      </x:c>
      <x:c r="K2164" s="12"/>
      <x:c r="L2164" s="12"/>
      <x:c r="M2164" s="12"/>
      <x:c r="N2164" s="12"/>
      <x:c r="O2164" s="12"/>
    </x:row>
    <x:row r="2165" ht="24" customHeight="1">
      <x:c r="A2165" s="12" t="str">
        <x:v>重算C1</x:v>
      </x:c>
      <x:c r="B2165" s="12" t="str">
        <x:v>AFIB</x:v>
      </x:c>
      <x:c r="C2165" s="12" t="str">
        <x:v>纳入比例</x:v>
      </x:c>
      <x:c r="D2165" s="12" t="str">
        <x:v>min</x:v>
      </x:c>
      <x:c r="E2165" s="12" t="str">
        <x:v>8041</x:v>
      </x:c>
      <x:c r="F2165" s="12" t="str">
        <x:v>3434</x:v>
      </x:c>
      <x:c r="G2165" s="12" t="str">
        <x:v>原101</x:v>
      </x:c>
      <x:c r="H2165" s="12" t="str">
        <x:v>新000</x:v>
      </x:c>
      <x:c r="I2165" s="12" t="str">
        <x:v>自动001</x:v>
      </x:c>
      <x:c r="J2165" s="12" t="str">
        <x:v>每行一名不同患者；此端点清单内共享名额</x:v>
      </x:c>
      <x:c r="K2165" s="12"/>
      <x:c r="L2165" s="12"/>
      <x:c r="M2165" s="12"/>
      <x:c r="N2165" s="12"/>
      <x:c r="O2165" s="12"/>
    </x:row>
    <x:row r="2166" ht="24" customHeight="1">
      <x:c r="A2166" s="12" t="str">
        <x:v>重算C1</x:v>
      </x:c>
      <x:c r="B2166" s="12" t="str">
        <x:v>AFIB</x:v>
      </x:c>
      <x:c r="C2166" s="12" t="str">
        <x:v>纳入比例</x:v>
      </x:c>
      <x:c r="D2166" s="12" t="str">
        <x:v>min</x:v>
      </x:c>
      <x:c r="E2166" s="12" t="str">
        <x:v>19906</x:v>
      </x:c>
      <x:c r="F2166" s="12" t="str">
        <x:v>14689</x:v>
      </x:c>
      <x:c r="G2166" s="12" t="str">
        <x:v>原101</x:v>
      </x:c>
      <x:c r="H2166" s="12" t="str">
        <x:v>新000</x:v>
      </x:c>
      <x:c r="I2166" s="12" t="str">
        <x:v>自动001</x:v>
      </x:c>
      <x:c r="J2166" s="12" t="str">
        <x:v>每行一名不同患者；此端点清单内共享名额</x:v>
      </x:c>
      <x:c r="K2166" s="12"/>
      <x:c r="L2166" s="12"/>
      <x:c r="M2166" s="12"/>
      <x:c r="N2166" s="12"/>
      <x:c r="O2166" s="12"/>
    </x:row>
    <x:row r="2167" ht="24" customHeight="1">
      <x:c r="A2167" s="12" t="str">
        <x:v>重算C1</x:v>
      </x:c>
      <x:c r="B2167" s="12" t="str">
        <x:v>AFIB</x:v>
      </x:c>
      <x:c r="C2167" s="12" t="str">
        <x:v>纳入比例</x:v>
      </x:c>
      <x:c r="D2167" s="12" t="str">
        <x:v>min</x:v>
      </x:c>
      <x:c r="E2167" s="12" t="str">
        <x:v>20674</x:v>
      </x:c>
      <x:c r="F2167" s="12" t="str">
        <x:v>18246</x:v>
      </x:c>
      <x:c r="G2167" s="12" t="str">
        <x:v>原101</x:v>
      </x:c>
      <x:c r="H2167" s="12" t="str">
        <x:v>新000</x:v>
      </x:c>
      <x:c r="I2167" s="12" t="str">
        <x:v>自动001</x:v>
      </x:c>
      <x:c r="J2167" s="12" t="str">
        <x:v>每行一名不同患者；此端点清单内共享名额</x:v>
      </x:c>
      <x:c r="K2167" s="12"/>
      <x:c r="L2167" s="12"/>
      <x:c r="M2167" s="12"/>
      <x:c r="N2167" s="12"/>
      <x:c r="O2167" s="12"/>
    </x:row>
    <x:row r="2168" ht="24" customHeight="1">
      <x:c r="A2168" s="12" t="str">
        <x:v>重算C1</x:v>
      </x:c>
      <x:c r="B2168" s="12" t="str">
        <x:v>AFIB</x:v>
      </x:c>
      <x:c r="C2168" s="12" t="str">
        <x:v>纳入比例</x:v>
      </x:c>
      <x:c r="D2168" s="12" t="str">
        <x:v>max</x:v>
      </x:c>
      <x:c r="E2168" s="12" t="str">
        <x:v>3947</x:v>
      </x:c>
      <x:c r="F2168" s="12" t="str">
        <x:v>17456</x:v>
      </x:c>
      <x:c r="G2168" s="12" t="str">
        <x:v>原101</x:v>
      </x:c>
      <x:c r="H2168" s="12" t="str">
        <x:v>新100</x:v>
      </x:c>
      <x:c r="I2168" s="12" t="str">
        <x:v>自动101</x:v>
      </x:c>
      <x:c r="J2168" s="12" t="str">
        <x:v>每行一名不同患者；此端点清单内共享名额</x:v>
      </x:c>
      <x:c r="K2168" s="12"/>
      <x:c r="L2168" s="12"/>
      <x:c r="M2168" s="12"/>
      <x:c r="N2168" s="12"/>
      <x:c r="O2168" s="12"/>
    </x:row>
    <x:row r="2169" ht="24" customHeight="1">
      <x:c r="A2169" s="12" t="str">
        <x:v>重算C1</x:v>
      </x:c>
      <x:c r="B2169" s="12" t="str">
        <x:v>AFIB</x:v>
      </x:c>
      <x:c r="C2169" s="12" t="str">
        <x:v>纳入比例</x:v>
      </x:c>
      <x:c r="D2169" s="12" t="str">
        <x:v>max</x:v>
      </x:c>
      <x:c r="E2169" s="12" t="str">
        <x:v>15447</x:v>
      </x:c>
      <x:c r="F2169" s="12" t="str">
        <x:v>8521</x:v>
      </x:c>
      <x:c r="G2169" s="12" t="str">
        <x:v>原110</x:v>
      </x:c>
      <x:c r="H2169" s="12" t="str">
        <x:v>新100</x:v>
      </x:c>
      <x:c r="I2169" s="12" t="str">
        <x:v>自动110</x:v>
      </x:c>
      <x:c r="J2169" s="12" t="str">
        <x:v>每行一名不同患者；此端点清单内共享名额</x:v>
      </x:c>
      <x:c r="K2169" s="12"/>
      <x:c r="L2169" s="12"/>
      <x:c r="M2169" s="12"/>
      <x:c r="N2169" s="12"/>
      <x:c r="O2169" s="12"/>
    </x:row>
    <x:row r="2170" ht="24" customHeight="1">
      <x:c r="A2170" s="12" t="str">
        <x:v>重算C1</x:v>
      </x:c>
      <x:c r="B2170" s="12" t="str">
        <x:v>AFIB</x:v>
      </x:c>
      <x:c r="C2170" s="12" t="str">
        <x:v>纳入比例</x:v>
      </x:c>
      <x:c r="D2170" s="12" t="str">
        <x:v>max</x:v>
      </x:c>
      <x:c r="E2170" s="12" t="str">
        <x:v>15958</x:v>
      </x:c>
      <x:c r="F2170" s="12" t="str">
        <x:v>16462</x:v>
      </x:c>
      <x:c r="G2170" s="12" t="str">
        <x:v>原110</x:v>
      </x:c>
      <x:c r="H2170" s="12" t="str">
        <x:v>新100</x:v>
      </x:c>
      <x:c r="I2170" s="12" t="str">
        <x:v>自动110</x:v>
      </x:c>
      <x:c r="J2170" s="12" t="str">
        <x:v>每行一名不同患者；此端点清单内共享名额</x:v>
      </x:c>
      <x:c r="K2170" s="12"/>
      <x:c r="L2170" s="12"/>
      <x:c r="M2170" s="12"/>
      <x:c r="N2170" s="12"/>
      <x:c r="O2170" s="12"/>
    </x:row>
    <x:row r="2171" ht="24" customHeight="1">
      <x:c r="A2171" s="12" t="str">
        <x:v>重算C1</x:v>
      </x:c>
      <x:c r="B2171" s="12" t="str">
        <x:v>AFIB</x:v>
      </x:c>
      <x:c r="C2171" s="12" t="str">
        <x:v>纳入比例</x:v>
      </x:c>
      <x:c r="D2171" s="12" t="str">
        <x:v>max</x:v>
      </x:c>
      <x:c r="E2171" s="12" t="str">
        <x:v>20100</x:v>
      </x:c>
      <x:c r="F2171" s="12" t="str">
        <x:v>20027</x:v>
      </x:c>
      <x:c r="G2171" s="12" t="str">
        <x:v>原110</x:v>
      </x:c>
      <x:c r="H2171" s="12" t="str">
        <x:v>新100</x:v>
      </x:c>
      <x:c r="I2171" s="12" t="str">
        <x:v>自动110</x:v>
      </x:c>
      <x:c r="J2171" s="12" t="str">
        <x:v>每行一名不同患者；此端点清单内共享名额</x:v>
      </x:c>
      <x:c r="K2171" s="12"/>
      <x:c r="L2171" s="12"/>
      <x:c r="M2171" s="12"/>
      <x:c r="N2171" s="12"/>
      <x:c r="O2171" s="12"/>
    </x:row>
    <x:row r="2172" ht="24" customHeight="1">
      <x:c r="A2172" s="12" t="str">
        <x:v>重算C1</x:v>
      </x:c>
      <x:c r="B2172" s="12" t="str">
        <x:v>AFIB</x:v>
      </x:c>
      <x:c r="C2172" s="12" t="str">
        <x:v>纳入比例</x:v>
      </x:c>
      <x:c r="D2172" s="12" t="str">
        <x:v>max</x:v>
      </x:c>
      <x:c r="E2172" s="12" t="str">
        <x:v>20966</x:v>
      </x:c>
      <x:c r="F2172" s="12" t="str">
        <x:v>19420</x:v>
      </x:c>
      <x:c r="G2172" s="12" t="str">
        <x:v>原110</x:v>
      </x:c>
      <x:c r="H2172" s="12" t="str">
        <x:v>新100</x:v>
      </x:c>
      <x:c r="I2172" s="12" t="str">
        <x:v>自动110</x:v>
      </x:c>
      <x:c r="J2172" s="12" t="str">
        <x:v>每行一名不同患者；此端点清单内共享名额</x:v>
      </x:c>
      <x:c r="K2172" s="12"/>
      <x:c r="L2172" s="12"/>
      <x:c r="M2172" s="12"/>
      <x:c r="N2172" s="12"/>
      <x:c r="O2172" s="12"/>
    </x:row>
    <x:row r="2173" ht="24" customHeight="1">
      <x:c r="A2173" s="12" t="str">
        <x:v>重算C1</x:v>
      </x:c>
      <x:c r="B2173" s="12" t="str">
        <x:v>CLBBB</x:v>
      </x:c>
      <x:c r="C2173" s="12" t="str">
        <x:v>纳入比例</x:v>
      </x:c>
      <x:c r="D2173" s="12" t="str">
        <x:v>min</x:v>
      </x:c>
      <x:c r="E2173" s="12" t="str">
        <x:v>5606</x:v>
      </x:c>
      <x:c r="F2173" s="12" t="str">
        <x:v>11736</x:v>
      </x:c>
      <x:c r="G2173" s="12" t="str">
        <x:v>原010</x:v>
      </x:c>
      <x:c r="H2173" s="12" t="str">
        <x:v>新000</x:v>
      </x:c>
      <x:c r="I2173" s="12" t="str">
        <x:v>自动000</x:v>
      </x:c>
      <x:c r="J2173" s="12" t="str">
        <x:v>每行一名不同患者；此端点清单内共享名额</x:v>
      </x:c>
      <x:c r="K2173" s="12"/>
      <x:c r="L2173" s="12"/>
      <x:c r="M2173" s="12"/>
      <x:c r="N2173" s="12"/>
      <x:c r="O2173" s="12"/>
    </x:row>
    <x:row r="2174" ht="24" customHeight="1">
      <x:c r="A2174" s="12" t="str">
        <x:v>重算C1</x:v>
      </x:c>
      <x:c r="B2174" s="12" t="str">
        <x:v>CLBBB</x:v>
      </x:c>
      <x:c r="C2174" s="12" t="str">
        <x:v>纳入比例</x:v>
      </x:c>
      <x:c r="D2174" s="12" t="str">
        <x:v>min</x:v>
      </x:c>
      <x:c r="E2174" s="12" t="str">
        <x:v>6154</x:v>
      </x:c>
      <x:c r="F2174" s="12" t="str">
        <x:v>7228</x:v>
      </x:c>
      <x:c r="G2174" s="12" t="str">
        <x:v>原010</x:v>
      </x:c>
      <x:c r="H2174" s="12" t="str">
        <x:v>新000</x:v>
      </x:c>
      <x:c r="I2174" s="12" t="str">
        <x:v>自动000</x:v>
      </x:c>
      <x:c r="J2174" s="12" t="str">
        <x:v>每行一名不同患者；此端点清单内共享名额</x:v>
      </x:c>
      <x:c r="K2174" s="12"/>
      <x:c r="L2174" s="12"/>
      <x:c r="M2174" s="12"/>
      <x:c r="N2174" s="12"/>
      <x:c r="O2174" s="12"/>
    </x:row>
    <x:row r="2175" ht="24" customHeight="1">
      <x:c r="A2175" s="12" t="str">
        <x:v>重算C1</x:v>
      </x:c>
      <x:c r="B2175" s="12" t="str">
        <x:v>CLBBB</x:v>
      </x:c>
      <x:c r="C2175" s="12" t="str">
        <x:v>纳入比例</x:v>
      </x:c>
      <x:c r="D2175" s="12" t="str">
        <x:v>min</x:v>
      </x:c>
      <x:c r="E2175" s="12" t="str">
        <x:v>11441</x:v>
      </x:c>
      <x:c r="F2175" s="12" t="str">
        <x:v>12916</x:v>
      </x:c>
      <x:c r="G2175" s="12" t="str">
        <x:v>原010</x:v>
      </x:c>
      <x:c r="H2175" s="12" t="str">
        <x:v>新000</x:v>
      </x:c>
      <x:c r="I2175" s="12" t="str">
        <x:v>自动000</x:v>
      </x:c>
      <x:c r="J2175" s="12" t="str">
        <x:v>每行一名不同患者；此端点清单内共享名额</x:v>
      </x:c>
      <x:c r="K2175" s="12"/>
      <x:c r="L2175" s="12"/>
      <x:c r="M2175" s="12"/>
      <x:c r="N2175" s="12"/>
      <x:c r="O2175" s="12"/>
    </x:row>
    <x:row r="2176" ht="24" customHeight="1">
      <x:c r="A2176" s="12" t="str">
        <x:v>重算C1</x:v>
      </x:c>
      <x:c r="B2176" s="12" t="str">
        <x:v>CLBBB</x:v>
      </x:c>
      <x:c r="C2176" s="12" t="str">
        <x:v>纳入比例</x:v>
      </x:c>
      <x:c r="D2176" s="12" t="str">
        <x:v>min</x:v>
      </x:c>
      <x:c r="E2176" s="12" t="str">
        <x:v>11418</x:v>
      </x:c>
      <x:c r="F2176" s="12" t="str">
        <x:v>13679</x:v>
      </x:c>
      <x:c r="G2176" s="12" t="str">
        <x:v>原010</x:v>
      </x:c>
      <x:c r="H2176" s="12" t="str">
        <x:v>新000</x:v>
      </x:c>
      <x:c r="I2176" s="12" t="str">
        <x:v>自动110</x:v>
      </x:c>
      <x:c r="J2176" s="12" t="str">
        <x:v>每行一名不同患者；此端点清单内共享名额</x:v>
      </x:c>
      <x:c r="K2176" s="12"/>
      <x:c r="L2176" s="12"/>
      <x:c r="M2176" s="12"/>
      <x:c r="N2176" s="12"/>
      <x:c r="O2176" s="12"/>
    </x:row>
    <x:row r="2177" ht="24" customHeight="1">
      <x:c r="A2177" s="12" t="str">
        <x:v>重算C1</x:v>
      </x:c>
      <x:c r="B2177" s="12" t="str">
        <x:v>CLBBB</x:v>
      </x:c>
      <x:c r="C2177" s="12" t="str">
        <x:v>纳入比例</x:v>
      </x:c>
      <x:c r="D2177" s="12" t="str">
        <x:v>max</x:v>
      </x:c>
      <x:c r="E2177" s="12" t="str">
        <x:v>180</x:v>
      </x:c>
      <x:c r="F2177" s="12" t="str">
        <x:v>15592</x:v>
      </x:c>
      <x:c r="G2177" s="12" t="str">
        <x:v>原010</x:v>
      </x:c>
      <x:c r="H2177" s="12" t="str">
        <x:v>新011</x:v>
      </x:c>
      <x:c r="I2177" s="12" t="str">
        <x:v>自动010</x:v>
      </x:c>
      <x:c r="J2177" s="12" t="str">
        <x:v>每行一名不同患者；此端点清单内共享名额</x:v>
      </x:c>
      <x:c r="K2177" s="12"/>
      <x:c r="L2177" s="12"/>
      <x:c r="M2177" s="12"/>
      <x:c r="N2177" s="12"/>
      <x:c r="O2177" s="12"/>
    </x:row>
    <x:row r="2178" ht="24" customHeight="1">
      <x:c r="A2178" s="12" t="str">
        <x:v>重算C1</x:v>
      </x:c>
      <x:c r="B2178" s="12" t="str">
        <x:v>CLBBB</x:v>
      </x:c>
      <x:c r="C2178" s="12" t="str">
        <x:v>纳入比例</x:v>
      </x:c>
      <x:c r="D2178" s="12" t="str">
        <x:v>max</x:v>
      </x:c>
      <x:c r="E2178" s="12" t="str">
        <x:v>15447</x:v>
      </x:c>
      <x:c r="F2178" s="12" t="str">
        <x:v>8521</x:v>
      </x:c>
      <x:c r="G2178" s="12" t="str">
        <x:v>原110</x:v>
      </x:c>
      <x:c r="H2178" s="12" t="str">
        <x:v>新010</x:v>
      </x:c>
      <x:c r="I2178" s="12" t="str">
        <x:v>自动110</x:v>
      </x:c>
      <x:c r="J2178" s="12" t="str">
        <x:v>每行一名不同患者；此端点清单内共享名额</x:v>
      </x:c>
      <x:c r="K2178" s="12"/>
      <x:c r="L2178" s="12"/>
      <x:c r="M2178" s="12"/>
      <x:c r="N2178" s="12"/>
      <x:c r="O2178" s="12"/>
    </x:row>
    <x:row r="2179" ht="24" customHeight="1">
      <x:c r="A2179" s="12" t="str">
        <x:v>重算C1</x:v>
      </x:c>
      <x:c r="B2179" s="12" t="str">
        <x:v>CLBBB</x:v>
      </x:c>
      <x:c r="C2179" s="12" t="str">
        <x:v>纳入比例</x:v>
      </x:c>
      <x:c r="D2179" s="12" t="str">
        <x:v>max</x:v>
      </x:c>
      <x:c r="E2179" s="12" t="str">
        <x:v>15958</x:v>
      </x:c>
      <x:c r="F2179" s="12" t="str">
        <x:v>16462</x:v>
      </x:c>
      <x:c r="G2179" s="12" t="str">
        <x:v>原110</x:v>
      </x:c>
      <x:c r="H2179" s="12" t="str">
        <x:v>新010</x:v>
      </x:c>
      <x:c r="I2179" s="12" t="str">
        <x:v>自动110</x:v>
      </x:c>
      <x:c r="J2179" s="12" t="str">
        <x:v>每行一名不同患者；此端点清单内共享名额</x:v>
      </x:c>
      <x:c r="K2179" s="12"/>
      <x:c r="L2179" s="12"/>
      <x:c r="M2179" s="12"/>
      <x:c r="N2179" s="12"/>
      <x:c r="O2179" s="12"/>
    </x:row>
    <x:row r="2180" ht="24" customHeight="1">
      <x:c r="A2180" s="12" t="str">
        <x:v>重算C1</x:v>
      </x:c>
      <x:c r="B2180" s="12" t="str">
        <x:v>CLBBB</x:v>
      </x:c>
      <x:c r="C2180" s="12" t="str">
        <x:v>纳入比例</x:v>
      </x:c>
      <x:c r="D2180" s="12" t="str">
        <x:v>max</x:v>
      </x:c>
      <x:c r="E2180" s="12" t="str">
        <x:v>20100</x:v>
      </x:c>
      <x:c r="F2180" s="12" t="str">
        <x:v>20027</x:v>
      </x:c>
      <x:c r="G2180" s="12" t="str">
        <x:v>原110</x:v>
      </x:c>
      <x:c r="H2180" s="12" t="str">
        <x:v>新010</x:v>
      </x:c>
      <x:c r="I2180" s="12" t="str">
        <x:v>自动110</x:v>
      </x:c>
      <x:c r="J2180" s="12" t="str">
        <x:v>每行一名不同患者；此端点清单内共享名额</x:v>
      </x:c>
      <x:c r="K2180" s="12"/>
      <x:c r="L2180" s="12"/>
      <x:c r="M2180" s="12"/>
      <x:c r="N2180" s="12"/>
      <x:c r="O2180" s="12"/>
    </x:row>
    <x:row r="2181" ht="24" customHeight="1">
      <x:c r="A2181" s="12" t="str">
        <x:v>重算C1</x:v>
      </x:c>
      <x:c r="B2181" s="12" t="str">
        <x:v>CLBBB</x:v>
      </x:c>
      <x:c r="C2181" s="12" t="str">
        <x:v>纳入比例</x:v>
      </x:c>
      <x:c r="D2181" s="12" t="str">
        <x:v>max</x:v>
      </x:c>
      <x:c r="E2181" s="12" t="str">
        <x:v>20966</x:v>
      </x:c>
      <x:c r="F2181" s="12" t="str">
        <x:v>19420</x:v>
      </x:c>
      <x:c r="G2181" s="12" t="str">
        <x:v>原110</x:v>
      </x:c>
      <x:c r="H2181" s="12" t="str">
        <x:v>新010</x:v>
      </x:c>
      <x:c r="I2181" s="12" t="str">
        <x:v>自动110</x:v>
      </x:c>
      <x:c r="J2181" s="12" t="str">
        <x:v>每行一名不同患者；此端点清单内共享名额</x:v>
      </x:c>
      <x:c r="K2181" s="12"/>
      <x:c r="L2181" s="12"/>
      <x:c r="M2181" s="12"/>
      <x:c r="N2181" s="12"/>
      <x:c r="O2181" s="12"/>
    </x:row>
    <x:row r="2182" ht="24" customHeight="1">
      <x:c r="A2182" s="12" t="str">
        <x:v>重算C1</x:v>
      </x:c>
      <x:c r="B2182" s="12" t="str">
        <x:v>CRBBB</x:v>
      </x:c>
      <x:c r="C2182" s="12" t="str">
        <x:v>纳入比例</x:v>
      </x:c>
      <x:c r="D2182" s="12" t="str">
        <x:v>min</x:v>
      </x:c>
      <x:c r="E2182" s="12" t="str">
        <x:v>8712</x:v>
      </x:c>
      <x:c r="F2182" s="12" t="str">
        <x:v>4815</x:v>
      </x:c>
      <x:c r="G2182" s="12" t="str">
        <x:v>原001</x:v>
      </x:c>
      <x:c r="H2182" s="12" t="str">
        <x:v>新000</x:v>
      </x:c>
      <x:c r="I2182" s="12" t="str">
        <x:v>自动000</x:v>
      </x:c>
      <x:c r="J2182" s="12" t="str">
        <x:v>每行一名不同患者；此端点清单内共享名额</x:v>
      </x:c>
      <x:c r="K2182" s="12"/>
      <x:c r="L2182" s="12"/>
      <x:c r="M2182" s="12"/>
      <x:c r="N2182" s="12"/>
      <x:c r="O2182" s="12"/>
    </x:row>
    <x:row r="2183" ht="24" customHeight="1">
      <x:c r="A2183" s="12" t="str">
        <x:v>重算C1</x:v>
      </x:c>
      <x:c r="B2183" s="12" t="str">
        <x:v>CRBBB</x:v>
      </x:c>
      <x:c r="C2183" s="12" t="str">
        <x:v>纳入比例</x:v>
      </x:c>
      <x:c r="D2183" s="12" t="str">
        <x:v>min</x:v>
      </x:c>
      <x:c r="E2183" s="12" t="str">
        <x:v>11500</x:v>
      </x:c>
      <x:c r="F2183" s="12" t="str">
        <x:v>13887</x:v>
      </x:c>
      <x:c r="G2183" s="12" t="str">
        <x:v>原001</x:v>
      </x:c>
      <x:c r="H2183" s="12" t="str">
        <x:v>新000</x:v>
      </x:c>
      <x:c r="I2183" s="12" t="str">
        <x:v>自动101</x:v>
      </x:c>
      <x:c r="J2183" s="12" t="str">
        <x:v>每行一名不同患者；此端点清单内共享名额</x:v>
      </x:c>
      <x:c r="K2183" s="12"/>
      <x:c r="L2183" s="12"/>
      <x:c r="M2183" s="12"/>
      <x:c r="N2183" s="12"/>
      <x:c r="O2183" s="12"/>
    </x:row>
    <x:row r="2184" ht="24" customHeight="1">
      <x:c r="A2184" s="12" t="str">
        <x:v>重算C1</x:v>
      </x:c>
      <x:c r="B2184" s="12" t="str">
        <x:v>CRBBB</x:v>
      </x:c>
      <x:c r="C2184" s="12" t="str">
        <x:v>纳入比例</x:v>
      </x:c>
      <x:c r="D2184" s="12" t="str">
        <x:v>min</x:v>
      </x:c>
      <x:c r="E2184" s="12" t="str">
        <x:v>8041</x:v>
      </x:c>
      <x:c r="F2184" s="12" t="str">
        <x:v>3434</x:v>
      </x:c>
      <x:c r="G2184" s="12" t="str">
        <x:v>原101</x:v>
      </x:c>
      <x:c r="H2184" s="12" t="str">
        <x:v>新000</x:v>
      </x:c>
      <x:c r="I2184" s="12" t="str">
        <x:v>自动001</x:v>
      </x:c>
      <x:c r="J2184" s="12" t="str">
        <x:v>每行一名不同患者；此端点清单内共享名额</x:v>
      </x:c>
      <x:c r="K2184" s="12"/>
      <x:c r="L2184" s="12"/>
      <x:c r="M2184" s="12"/>
      <x:c r="N2184" s="12"/>
      <x:c r="O2184" s="12"/>
    </x:row>
    <x:row r="2185" ht="24" customHeight="1">
      <x:c r="A2185" s="12" t="str">
        <x:v>重算C1</x:v>
      </x:c>
      <x:c r="B2185" s="12" t="str">
        <x:v>CRBBB</x:v>
      </x:c>
      <x:c r="C2185" s="12" t="str">
        <x:v>纳入比例</x:v>
      </x:c>
      <x:c r="D2185" s="12" t="str">
        <x:v>min</x:v>
      </x:c>
      <x:c r="E2185" s="12" t="str">
        <x:v>19906</x:v>
      </x:c>
      <x:c r="F2185" s="12" t="str">
        <x:v>14689</x:v>
      </x:c>
      <x:c r="G2185" s="12" t="str">
        <x:v>原101</x:v>
      </x:c>
      <x:c r="H2185" s="12" t="str">
        <x:v>新000</x:v>
      </x:c>
      <x:c r="I2185" s="12" t="str">
        <x:v>自动001</x:v>
      </x:c>
      <x:c r="J2185" s="12" t="str">
        <x:v>每行一名不同患者；此端点清单内共享名额</x:v>
      </x:c>
      <x:c r="K2185" s="12"/>
      <x:c r="L2185" s="12"/>
      <x:c r="M2185" s="12"/>
      <x:c r="N2185" s="12"/>
      <x:c r="O2185" s="12"/>
    </x:row>
    <x:row r="2186" ht="24" customHeight="1">
      <x:c r="A2186" s="12" t="str">
        <x:v>重算C1</x:v>
      </x:c>
      <x:c r="B2186" s="12" t="str">
        <x:v>CRBBB</x:v>
      </x:c>
      <x:c r="C2186" s="12" t="str">
        <x:v>纳入比例</x:v>
      </x:c>
      <x:c r="D2186" s="12" t="str">
        <x:v>min</x:v>
      </x:c>
      <x:c r="E2186" s="12" t="str">
        <x:v>20674</x:v>
      </x:c>
      <x:c r="F2186" s="12" t="str">
        <x:v>18246</x:v>
      </x:c>
      <x:c r="G2186" s="12" t="str">
        <x:v>原101</x:v>
      </x:c>
      <x:c r="H2186" s="12" t="str">
        <x:v>新000</x:v>
      </x:c>
      <x:c r="I2186" s="12" t="str">
        <x:v>自动001</x:v>
      </x:c>
      <x:c r="J2186" s="12" t="str">
        <x:v>每行一名不同患者；此端点清单内共享名额</x:v>
      </x:c>
      <x:c r="K2186" s="12"/>
      <x:c r="L2186" s="12"/>
      <x:c r="M2186" s="12"/>
      <x:c r="N2186" s="12"/>
      <x:c r="O2186" s="12"/>
    </x:row>
    <x:row r="2187" ht="24" customHeight="1">
      <x:c r="A2187" s="12" t="str">
        <x:v>重算C1</x:v>
      </x:c>
      <x:c r="B2187" s="12" t="str">
        <x:v>CRBBB</x:v>
      </x:c>
      <x:c r="C2187" s="12" t="str">
        <x:v>纳入比例</x:v>
      </x:c>
      <x:c r="D2187" s="12" t="str">
        <x:v>max</x:v>
      </x:c>
      <x:c r="E2187" s="12" t="str">
        <x:v>3947</x:v>
      </x:c>
      <x:c r="F2187" s="12" t="str">
        <x:v>17456</x:v>
      </x:c>
      <x:c r="G2187" s="12" t="str">
        <x:v>原101</x:v>
      </x:c>
      <x:c r="H2187" s="12" t="str">
        <x:v>新001</x:v>
      </x:c>
      <x:c r="I2187" s="12" t="str">
        <x:v>自动101</x:v>
      </x:c>
      <x:c r="J2187" s="12" t="str">
        <x:v>每行一名不同患者；此端点清单内共享名额</x:v>
      </x:c>
      <x:c r="K2187" s="12"/>
      <x:c r="L2187" s="12"/>
      <x:c r="M2187" s="12"/>
      <x:c r="N2187" s="12"/>
      <x:c r="O2187" s="12"/>
    </x:row>
    <x:row r="2188" ht="24" customHeight="1">
      <x:c r="A2188" s="12" t="str">
        <x:v>重算C1</x:v>
      </x:c>
      <x:c r="B2188" s="12" t="str">
        <x:v>CRBBB</x:v>
      </x:c>
      <x:c r="C2188" s="12" t="str">
        <x:v>纳入比例</x:v>
      </x:c>
      <x:c r="D2188" s="12" t="str">
        <x:v>max</x:v>
      </x:c>
      <x:c r="E2188" s="12" t="str">
        <x:v>8680</x:v>
      </x:c>
      <x:c r="F2188" s="12" t="str">
        <x:v>7343</x:v>
      </x:c>
      <x:c r="G2188" s="12" t="str">
        <x:v>原101</x:v>
      </x:c>
      <x:c r="H2188" s="12" t="str">
        <x:v>新001</x:v>
      </x:c>
      <x:c r="I2188" s="12" t="str">
        <x:v>自动101</x:v>
      </x:c>
      <x:c r="J2188" s="12" t="str">
        <x:v>每行一名不同患者；此端点清单内共享名额</x:v>
      </x:c>
      <x:c r="K2188" s="12"/>
      <x:c r="L2188" s="12"/>
      <x:c r="M2188" s="12"/>
      <x:c r="N2188" s="12"/>
      <x:c r="O2188" s="12"/>
    </x:row>
    <x:row r="2189" ht="24" customHeight="1">
      <x:c r="A2189" s="12" t="str">
        <x:v>重算C1</x:v>
      </x:c>
      <x:c r="B2189" s="12" t="str">
        <x:v>CRBBB</x:v>
      </x:c>
      <x:c r="C2189" s="12" t="str">
        <x:v>纳入比例</x:v>
      </x:c>
      <x:c r="D2189" s="12" t="str">
        <x:v>max</x:v>
      </x:c>
      <x:c r="E2189" s="12" t="str">
        <x:v>9929</x:v>
      </x:c>
      <x:c r="F2189" s="12" t="str">
        <x:v>11217</x:v>
      </x:c>
      <x:c r="G2189" s="12" t="str">
        <x:v>原101</x:v>
      </x:c>
      <x:c r="H2189" s="12" t="str">
        <x:v>新001</x:v>
      </x:c>
      <x:c r="I2189" s="12" t="str">
        <x:v>自动101</x:v>
      </x:c>
      <x:c r="J2189" s="12" t="str">
        <x:v>每行一名不同患者；此端点清单内共享名额</x:v>
      </x:c>
      <x:c r="K2189" s="12"/>
      <x:c r="L2189" s="12"/>
      <x:c r="M2189" s="12"/>
      <x:c r="N2189" s="12"/>
      <x:c r="O2189" s="12"/>
    </x:row>
    <x:row r="2190" ht="24" customHeight="1">
      <x:c r="A2190" s="12" t="str">
        <x:v>重算C1</x:v>
      </x:c>
      <x:c r="B2190" s="12" t="str">
        <x:v>CRBBB</x:v>
      </x:c>
      <x:c r="C2190" s="12" t="str">
        <x:v>纳入比例</x:v>
      </x:c>
      <x:c r="D2190" s="12" t="str">
        <x:v>max</x:v>
      </x:c>
      <x:c r="E2190" s="12" t="str">
        <x:v>13849</x:v>
      </x:c>
      <x:c r="F2190" s="12" t="str">
        <x:v>13343</x:v>
      </x:c>
      <x:c r="G2190" s="12" t="str">
        <x:v>原101</x:v>
      </x:c>
      <x:c r="H2190" s="12" t="str">
        <x:v>新001</x:v>
      </x:c>
      <x:c r="I2190" s="12" t="str">
        <x:v>自动101</x:v>
      </x:c>
      <x:c r="J2190" s="12" t="str">
        <x:v>每行一名不同患者；此端点清单内共享名额</x:v>
      </x:c>
      <x:c r="K2190" s="12"/>
      <x:c r="L2190" s="12"/>
      <x:c r="M2190" s="12"/>
      <x:c r="N2190" s="12"/>
      <x:c r="O2190" s="12"/>
    </x:row>
    <x:row r="2191" ht="24" customHeight="1">
      <x:c r="A2191" s="12" t="str">
        <x:v>重算C1</x:v>
      </x:c>
      <x:c r="B2191" s="12" t="str">
        <x:v>CRBBB</x:v>
      </x:c>
      <x:c r="C2191" s="12" t="str">
        <x:v>纳入比例</x:v>
      </x:c>
      <x:c r="D2191" s="12" t="str">
        <x:v>max</x:v>
      </x:c>
      <x:c r="E2191" s="12" t="str">
        <x:v>18671</x:v>
      </x:c>
      <x:c r="F2191" s="12" t="str">
        <x:v>9441</x:v>
      </x:c>
      <x:c r="G2191" s="12" t="str">
        <x:v>原101</x:v>
      </x:c>
      <x:c r="H2191" s="12" t="str">
        <x:v>新001</x:v>
      </x:c>
      <x:c r="I2191" s="12" t="str">
        <x:v>自动101</x:v>
      </x:c>
      <x:c r="J2191" s="12" t="str">
        <x:v>每行一名不同患者；此端点清单内共享名额</x:v>
      </x:c>
      <x:c r="K2191" s="12"/>
      <x:c r="L2191" s="12"/>
      <x:c r="M2191" s="12"/>
      <x:c r="N2191" s="12"/>
      <x:c r="O2191" s="12"/>
    </x:row>
    <x:row r="2192" ht="24" customHeight="1">
      <x:c r="A2192" s="12" t="str">
        <x:v>重算C1</x:v>
      </x:c>
      <x:c r="B2192" s="12" t="str">
        <x:v>任一目标</x:v>
      </x:c>
      <x:c r="C2192" s="12" t="str">
        <x:v>纳入比例</x:v>
      </x:c>
      <x:c r="D2192" s="12" t="str">
        <x:v>min</x:v>
      </x:c>
      <x:c r="E2192" s="12" t="str">
        <x:v>569</x:v>
      </x:c>
      <x:c r="F2192" s="12" t="str">
        <x:v>2936</x:v>
      </x:c>
      <x:c r="G2192" s="12" t="str">
        <x:v>原100</x:v>
      </x:c>
      <x:c r="H2192" s="12" t="str">
        <x:v>新101</x:v>
      </x:c>
      <x:c r="I2192" s="12" t="str">
        <x:v>自动101</x:v>
      </x:c>
      <x:c r="J2192" s="12" t="str">
        <x:v>每行一名不同患者；此端点清单内共享名额</x:v>
      </x:c>
      <x:c r="K2192" s="12"/>
      <x:c r="L2192" s="12"/>
      <x:c r="M2192" s="12"/>
      <x:c r="N2192" s="12"/>
      <x:c r="O2192" s="12"/>
    </x:row>
    <x:row r="2193" ht="24" customHeight="1">
      <x:c r="A2193" s="12" t="str">
        <x:v>重算C1</x:v>
      </x:c>
      <x:c r="B2193" s="12" t="str">
        <x:v>任一目标</x:v>
      </x:c>
      <x:c r="C2193" s="12" t="str">
        <x:v>纳入比例</x:v>
      </x:c>
      <x:c r="D2193" s="12" t="str">
        <x:v>min</x:v>
      </x:c>
      <x:c r="E2193" s="12" t="str">
        <x:v>19305</x:v>
      </x:c>
      <x:c r="F2193" s="12" t="str">
        <x:v>15115</x:v>
      </x:c>
      <x:c r="G2193" s="12" t="str">
        <x:v>原100</x:v>
      </x:c>
      <x:c r="H2193" s="12" t="str">
        <x:v>新110</x:v>
      </x:c>
      <x:c r="I2193" s="12" t="str">
        <x:v>自动110</x:v>
      </x:c>
      <x:c r="J2193" s="12" t="str">
        <x:v>每行一名不同患者；此端点清单内共享名额</x:v>
      </x:c>
      <x:c r="K2193" s="12"/>
      <x:c r="L2193" s="12"/>
      <x:c r="M2193" s="12"/>
      <x:c r="N2193" s="12"/>
      <x:c r="O2193" s="12"/>
    </x:row>
    <x:row r="2194" ht="24" customHeight="1">
      <x:c r="A2194" s="12" t="str">
        <x:v>重算C1</x:v>
      </x:c>
      <x:c r="B2194" s="12" t="str">
        <x:v>任一目标</x:v>
      </x:c>
      <x:c r="C2194" s="12" t="str">
        <x:v>纳入比例</x:v>
      </x:c>
      <x:c r="D2194" s="12" t="str">
        <x:v>min</x:v>
      </x:c>
      <x:c r="E2194" s="12" t="str">
        <x:v>8041</x:v>
      </x:c>
      <x:c r="F2194" s="12" t="str">
        <x:v>3434</x:v>
      </x:c>
      <x:c r="G2194" s="12" t="str">
        <x:v>原101</x:v>
      </x:c>
      <x:c r="H2194" s="12" t="str">
        <x:v>新001</x:v>
      </x:c>
      <x:c r="I2194" s="12" t="str">
        <x:v>自动001</x:v>
      </x:c>
      <x:c r="J2194" s="12" t="str">
        <x:v>每行一名不同患者；此端点清单内共享名额</x:v>
      </x:c>
      <x:c r="K2194" s="12"/>
      <x:c r="L2194" s="12"/>
      <x:c r="M2194" s="12"/>
      <x:c r="N2194" s="12"/>
      <x:c r="O2194" s="12"/>
    </x:row>
    <x:row r="2195" ht="24" customHeight="1">
      <x:c r="A2195" s="12" t="str">
        <x:v>重算C1</x:v>
      </x:c>
      <x:c r="B2195" s="12" t="str">
        <x:v>任一目标</x:v>
      </x:c>
      <x:c r="C2195" s="12" t="str">
        <x:v>纳入比例</x:v>
      </x:c>
      <x:c r="D2195" s="12" t="str">
        <x:v>min</x:v>
      </x:c>
      <x:c r="E2195" s="12" t="str">
        <x:v>19906</x:v>
      </x:c>
      <x:c r="F2195" s="12" t="str">
        <x:v>14689</x:v>
      </x:c>
      <x:c r="G2195" s="12" t="str">
        <x:v>原101</x:v>
      </x:c>
      <x:c r="H2195" s="12" t="str">
        <x:v>新001</x:v>
      </x:c>
      <x:c r="I2195" s="12" t="str">
        <x:v>自动001</x:v>
      </x:c>
      <x:c r="J2195" s="12" t="str">
        <x:v>每行一名不同患者；此端点清单内共享名额</x:v>
      </x:c>
      <x:c r="K2195" s="12"/>
      <x:c r="L2195" s="12"/>
      <x:c r="M2195" s="12"/>
      <x:c r="N2195" s="12"/>
      <x:c r="O2195" s="12"/>
    </x:row>
    <x:row r="2196" ht="24" customHeight="1">
      <x:c r="A2196" s="12" t="str">
        <x:v>重算C1</x:v>
      </x:c>
      <x:c r="B2196" s="12" t="str">
        <x:v>任一目标</x:v>
      </x:c>
      <x:c r="C2196" s="12" t="str">
        <x:v>纳入比例</x:v>
      </x:c>
      <x:c r="D2196" s="12" t="str">
        <x:v>min</x:v>
      </x:c>
      <x:c r="E2196" s="12" t="str">
        <x:v>20674</x:v>
      </x:c>
      <x:c r="F2196" s="12" t="str">
        <x:v>18246</x:v>
      </x:c>
      <x:c r="G2196" s="12" t="str">
        <x:v>原101</x:v>
      </x:c>
      <x:c r="H2196" s="12" t="str">
        <x:v>新001</x:v>
      </x:c>
      <x:c r="I2196" s="12" t="str">
        <x:v>自动001</x:v>
      </x:c>
      <x:c r="J2196" s="12" t="str">
        <x:v>每行一名不同患者；此端点清单内共享名额</x:v>
      </x:c>
      <x:c r="K2196" s="12"/>
      <x:c r="L2196" s="12"/>
      <x:c r="M2196" s="12"/>
      <x:c r="N2196" s="12"/>
      <x:c r="O2196" s="12"/>
    </x:row>
    <x:row r="2197" ht="24" customHeight="1">
      <x:c r="A2197" s="12" t="str">
        <x:v>重算C1</x:v>
      </x:c>
      <x:c r="B2197" s="12" t="str">
        <x:v>任一目标</x:v>
      </x:c>
      <x:c r="C2197" s="12" t="str">
        <x:v>纳入比例</x:v>
      </x:c>
      <x:c r="D2197" s="12" t="str">
        <x:v>max</x:v>
      </x:c>
      <x:c r="E2197" s="12" t="str">
        <x:v>3947</x:v>
      </x:c>
      <x:c r="F2197" s="12" t="str">
        <x:v>17456</x:v>
      </x:c>
      <x:c r="G2197" s="12" t="str">
        <x:v>原101</x:v>
      </x:c>
      <x:c r="H2197" s="12" t="str">
        <x:v>新001</x:v>
      </x:c>
      <x:c r="I2197" s="12" t="str">
        <x:v>自动101</x:v>
      </x:c>
      <x:c r="J2197" s="12" t="str">
        <x:v>每行一名不同患者；此端点清单内共享名额</x:v>
      </x:c>
      <x:c r="K2197" s="12"/>
      <x:c r="L2197" s="12"/>
      <x:c r="M2197" s="12"/>
      <x:c r="N2197" s="12"/>
      <x:c r="O2197" s="12"/>
    </x:row>
    <x:row r="2198" ht="24" customHeight="1">
      <x:c r="A2198" s="12" t="str">
        <x:v>重算C1</x:v>
      </x:c>
      <x:c r="B2198" s="12" t="str">
        <x:v>任一目标</x:v>
      </x:c>
      <x:c r="C2198" s="12" t="str">
        <x:v>纳入比例</x:v>
      </x:c>
      <x:c r="D2198" s="12" t="str">
        <x:v>max</x:v>
      </x:c>
      <x:c r="E2198" s="12" t="str">
        <x:v>15447</x:v>
      </x:c>
      <x:c r="F2198" s="12" t="str">
        <x:v>8521</x:v>
      </x:c>
      <x:c r="G2198" s="12" t="str">
        <x:v>原110</x:v>
      </x:c>
      <x:c r="H2198" s="12" t="str">
        <x:v>新001</x:v>
      </x:c>
      <x:c r="I2198" s="12" t="str">
        <x:v>自动110</x:v>
      </x:c>
      <x:c r="J2198" s="12" t="str">
        <x:v>每行一名不同患者；此端点清单内共享名额</x:v>
      </x:c>
      <x:c r="K2198" s="12"/>
      <x:c r="L2198" s="12"/>
      <x:c r="M2198" s="12"/>
      <x:c r="N2198" s="12"/>
      <x:c r="O2198" s="12"/>
    </x:row>
    <x:row r="2199" ht="24" customHeight="1">
      <x:c r="A2199" s="12" t="str">
        <x:v>重算C1</x:v>
      </x:c>
      <x:c r="B2199" s="12" t="str">
        <x:v>任一目标</x:v>
      </x:c>
      <x:c r="C2199" s="12" t="str">
        <x:v>纳入比例</x:v>
      </x:c>
      <x:c r="D2199" s="12" t="str">
        <x:v>max</x:v>
      </x:c>
      <x:c r="E2199" s="12" t="str">
        <x:v>15958</x:v>
      </x:c>
      <x:c r="F2199" s="12" t="str">
        <x:v>16462</x:v>
      </x:c>
      <x:c r="G2199" s="12" t="str">
        <x:v>原110</x:v>
      </x:c>
      <x:c r="H2199" s="12" t="str">
        <x:v>新001</x:v>
      </x:c>
      <x:c r="I2199" s="12" t="str">
        <x:v>自动110</x:v>
      </x:c>
      <x:c r="J2199" s="12" t="str">
        <x:v>每行一名不同患者；此端点清单内共享名额</x:v>
      </x:c>
      <x:c r="K2199" s="12"/>
      <x:c r="L2199" s="12"/>
      <x:c r="M2199" s="12"/>
      <x:c r="N2199" s="12"/>
      <x:c r="O2199" s="12"/>
    </x:row>
    <x:row r="2200" ht="24" customHeight="1">
      <x:c r="A2200" s="12" t="str">
        <x:v>重算C1</x:v>
      </x:c>
      <x:c r="B2200" s="12" t="str">
        <x:v>任一目标</x:v>
      </x:c>
      <x:c r="C2200" s="12" t="str">
        <x:v>纳入比例</x:v>
      </x:c>
      <x:c r="D2200" s="12" t="str">
        <x:v>max</x:v>
      </x:c>
      <x:c r="E2200" s="12" t="str">
        <x:v>20100</x:v>
      </x:c>
      <x:c r="F2200" s="12" t="str">
        <x:v>20027</x:v>
      </x:c>
      <x:c r="G2200" s="12" t="str">
        <x:v>原110</x:v>
      </x:c>
      <x:c r="H2200" s="12" t="str">
        <x:v>新001</x:v>
      </x:c>
      <x:c r="I2200" s="12" t="str">
        <x:v>自动110</x:v>
      </x:c>
      <x:c r="J2200" s="12" t="str">
        <x:v>每行一名不同患者；此端点清单内共享名额</x:v>
      </x:c>
      <x:c r="K2200" s="12"/>
      <x:c r="L2200" s="12"/>
      <x:c r="M2200" s="12"/>
      <x:c r="N2200" s="12"/>
      <x:c r="O2200" s="12"/>
    </x:row>
    <x:row r="2201" ht="24" customHeight="1">
      <x:c r="A2201" s="12" t="str">
        <x:v>重算C1</x:v>
      </x:c>
      <x:c r="B2201" s="12" t="str">
        <x:v>任一目标</x:v>
      </x:c>
      <x:c r="C2201" s="12" t="str">
        <x:v>纳入比例</x:v>
      </x:c>
      <x:c r="D2201" s="12" t="str">
        <x:v>max</x:v>
      </x:c>
      <x:c r="E2201" s="12" t="str">
        <x:v>20966</x:v>
      </x:c>
      <x:c r="F2201" s="12" t="str">
        <x:v>19420</x:v>
      </x:c>
      <x:c r="G2201" s="12" t="str">
        <x:v>原110</x:v>
      </x:c>
      <x:c r="H2201" s="12" t="str">
        <x:v>新001</x:v>
      </x:c>
      <x:c r="I2201" s="12" t="str">
        <x:v>自动110</x:v>
      </x:c>
      <x:c r="J2201" s="12" t="str">
        <x:v>每行一名不同患者；此端点清单内共享名额</x:v>
      </x:c>
      <x:c r="K2201" s="12"/>
      <x:c r="L2201" s="12"/>
      <x:c r="M2201" s="12"/>
      <x:c r="N2201" s="12"/>
      <x:c r="O2201" s="12"/>
    </x:row>
    <x:row r="2202" ht="24" customHeight="1">
      <x:c r="A2202" s="12" t="str">
        <x:v>配对C1减C0</x:v>
      </x:c>
      <x:c r="B2202" s="12" t="str">
        <x:v>AFIB</x:v>
      </x:c>
      <x:c r="C2202" s="12" t="str">
        <x:v>配对差值</x:v>
      </x:c>
      <x:c r="D2202" s="12" t="str">
        <x:v>min</x:v>
      </x:c>
      <x:c r="E2202" s="12" t="str">
        <x:v>382</x:v>
      </x:c>
      <x:c r="F2202" s="12" t="str">
        <x:v>10186</x:v>
      </x:c>
      <x:c r="G2202" s="12" t="str">
        <x:v>原000</x:v>
      </x:c>
      <x:c r="H2202" s="12" t="str">
        <x:v>新100</x:v>
      </x:c>
      <x:c r="I2202" s="12" t="str">
        <x:v>自动100</x:v>
      </x:c>
      <x:c r="J2202" s="12" t="str">
        <x:v>每行一名不同患者；此端点清单内共享名额</x:v>
      </x:c>
      <x:c r="K2202" s="12"/>
      <x:c r="L2202" s="12"/>
      <x:c r="M2202" s="12"/>
      <x:c r="N2202" s="12"/>
      <x:c r="O2202" s="12"/>
    </x:row>
    <x:row r="2203" ht="24" customHeight="1">
      <x:c r="A2203" s="12" t="str">
        <x:v>配对C1减C0</x:v>
      </x:c>
      <x:c r="B2203" s="12" t="str">
        <x:v>AFIB</x:v>
      </x:c>
      <x:c r="C2203" s="12" t="str">
        <x:v>配对差值</x:v>
      </x:c>
      <x:c r="D2203" s="12" t="str">
        <x:v>min</x:v>
      </x:c>
      <x:c r="E2203" s="12" t="str">
        <x:v>11500</x:v>
      </x:c>
      <x:c r="F2203" s="12" t="str">
        <x:v>13887</x:v>
      </x:c>
      <x:c r="G2203" s="12" t="str">
        <x:v>原001</x:v>
      </x:c>
      <x:c r="H2203" s="12" t="str">
        <x:v>新101</x:v>
      </x:c>
      <x:c r="I2203" s="12" t="str">
        <x:v>自动101</x:v>
      </x:c>
      <x:c r="J2203" s="12" t="str">
        <x:v>每行一名不同患者；此端点清单内共享名额</x:v>
      </x:c>
      <x:c r="K2203" s="12"/>
      <x:c r="L2203" s="12"/>
      <x:c r="M2203" s="12"/>
      <x:c r="N2203" s="12"/>
      <x:c r="O2203" s="12"/>
    </x:row>
    <x:row r="2204" ht="24" customHeight="1">
      <x:c r="A2204" s="12" t="str">
        <x:v>配对C1减C0</x:v>
      </x:c>
      <x:c r="B2204" s="12" t="str">
        <x:v>AFIB</x:v>
      </x:c>
      <x:c r="C2204" s="12" t="str">
        <x:v>配对差值</x:v>
      </x:c>
      <x:c r="D2204" s="12" t="str">
        <x:v>min</x:v>
      </x:c>
      <x:c r="E2204" s="12" t="str">
        <x:v>11418</x:v>
      </x:c>
      <x:c r="F2204" s="12" t="str">
        <x:v>13679</x:v>
      </x:c>
      <x:c r="G2204" s="12" t="str">
        <x:v>原010</x:v>
      </x:c>
      <x:c r="H2204" s="12" t="str">
        <x:v>新110</x:v>
      </x:c>
      <x:c r="I2204" s="12" t="str">
        <x:v>自动110</x:v>
      </x:c>
      <x:c r="J2204" s="12" t="str">
        <x:v>每行一名不同患者；此端点清单内共享名额</x:v>
      </x:c>
      <x:c r="K2204" s="12"/>
      <x:c r="L2204" s="12"/>
      <x:c r="M2204" s="12"/>
      <x:c r="N2204" s="12"/>
      <x:c r="O2204" s="12"/>
    </x:row>
    <x:row r="2205" ht="24" customHeight="1">
      <x:c r="A2205" s="12" t="str">
        <x:v>配对C1减C0</x:v>
      </x:c>
      <x:c r="B2205" s="12" t="str">
        <x:v>AFIB</x:v>
      </x:c>
      <x:c r="C2205" s="12" t="str">
        <x:v>配对差值</x:v>
      </x:c>
      <x:c r="D2205" s="12" t="str">
        <x:v>min</x:v>
      </x:c>
      <x:c r="E2205" s="12" t="str">
        <x:v>569</x:v>
      </x:c>
      <x:c r="F2205" s="12" t="str">
        <x:v>2936</x:v>
      </x:c>
      <x:c r="G2205" s="12" t="str">
        <x:v>原100</x:v>
      </x:c>
      <x:c r="H2205" s="12" t="str">
        <x:v>新101</x:v>
      </x:c>
      <x:c r="I2205" s="12" t="str">
        <x:v>自动101</x:v>
      </x:c>
      <x:c r="J2205" s="12" t="str">
        <x:v>每行一名不同患者；此端点清单内共享名额</x:v>
      </x:c>
      <x:c r="K2205" s="12"/>
      <x:c r="L2205" s="12"/>
      <x:c r="M2205" s="12"/>
      <x:c r="N2205" s="12"/>
      <x:c r="O2205" s="12"/>
    </x:row>
    <x:row r="2206" ht="24" customHeight="1">
      <x:c r="A2206" s="12" t="str">
        <x:v>配对C1减C0</x:v>
      </x:c>
      <x:c r="B2206" s="12" t="str">
        <x:v>AFIB</x:v>
      </x:c>
      <x:c r="C2206" s="12" t="str">
        <x:v>配对差值</x:v>
      </x:c>
      <x:c r="D2206" s="12" t="str">
        <x:v>min</x:v>
      </x:c>
      <x:c r="E2206" s="12" t="str">
        <x:v>19305</x:v>
      </x:c>
      <x:c r="F2206" s="12" t="str">
        <x:v>15115</x:v>
      </x:c>
      <x:c r="G2206" s="12" t="str">
        <x:v>原100</x:v>
      </x:c>
      <x:c r="H2206" s="12" t="str">
        <x:v>新110</x:v>
      </x:c>
      <x:c r="I2206" s="12" t="str">
        <x:v>自动110</x:v>
      </x:c>
      <x:c r="J2206" s="12" t="str">
        <x:v>每行一名不同患者；此端点清单内共享名额</x:v>
      </x:c>
      <x:c r="K2206" s="12"/>
      <x:c r="L2206" s="12"/>
      <x:c r="M2206" s="12"/>
      <x:c r="N2206" s="12"/>
      <x:c r="O2206" s="12"/>
    </x:row>
    <x:row r="2207" ht="24" customHeight="1">
      <x:c r="A2207" s="12" t="str">
        <x:v>配对C1减C0</x:v>
      </x:c>
      <x:c r="B2207" s="12" t="str">
        <x:v>AFIB</x:v>
      </x:c>
      <x:c r="C2207" s="12" t="str">
        <x:v>配对差值</x:v>
      </x:c>
      <x:c r="D2207" s="12" t="str">
        <x:v>max</x:v>
      </x:c>
      <x:c r="E2207" s="12" t="str">
        <x:v>3947</x:v>
      </x:c>
      <x:c r="F2207" s="12" t="str">
        <x:v>17456</x:v>
      </x:c>
      <x:c r="G2207" s="12" t="str">
        <x:v>原101</x:v>
      </x:c>
      <x:c r="H2207" s="12" t="str">
        <x:v>新100</x:v>
      </x:c>
      <x:c r="I2207" s="12" t="str">
        <x:v>自动101</x:v>
      </x:c>
      <x:c r="J2207" s="12" t="str">
        <x:v>每行一名不同患者；此端点清单内共享名额</x:v>
      </x:c>
      <x:c r="K2207" s="12"/>
      <x:c r="L2207" s="12"/>
      <x:c r="M2207" s="12"/>
      <x:c r="N2207" s="12"/>
      <x:c r="O2207" s="12"/>
    </x:row>
    <x:row r="2208" ht="24" customHeight="1">
      <x:c r="A2208" s="12" t="str">
        <x:v>配对C1减C0</x:v>
      </x:c>
      <x:c r="B2208" s="12" t="str">
        <x:v>AFIB</x:v>
      </x:c>
      <x:c r="C2208" s="12" t="str">
        <x:v>配对差值</x:v>
      </x:c>
      <x:c r="D2208" s="12" t="str">
        <x:v>max</x:v>
      </x:c>
      <x:c r="E2208" s="12" t="str">
        <x:v>15447</x:v>
      </x:c>
      <x:c r="F2208" s="12" t="str">
        <x:v>8521</x:v>
      </x:c>
      <x:c r="G2208" s="12" t="str">
        <x:v>原110</x:v>
      </x:c>
      <x:c r="H2208" s="12" t="str">
        <x:v>新100</x:v>
      </x:c>
      <x:c r="I2208" s="12" t="str">
        <x:v>自动110</x:v>
      </x:c>
      <x:c r="J2208" s="12" t="str">
        <x:v>每行一名不同患者；此端点清单内共享名额</x:v>
      </x:c>
      <x:c r="K2208" s="12"/>
      <x:c r="L2208" s="12"/>
      <x:c r="M2208" s="12"/>
      <x:c r="N2208" s="12"/>
      <x:c r="O2208" s="12"/>
    </x:row>
    <x:row r="2209" ht="24" customHeight="1">
      <x:c r="A2209" s="12" t="str">
        <x:v>配对C1减C0</x:v>
      </x:c>
      <x:c r="B2209" s="12" t="str">
        <x:v>AFIB</x:v>
      </x:c>
      <x:c r="C2209" s="12" t="str">
        <x:v>配对差值</x:v>
      </x:c>
      <x:c r="D2209" s="12" t="str">
        <x:v>max</x:v>
      </x:c>
      <x:c r="E2209" s="12" t="str">
        <x:v>15958</x:v>
      </x:c>
      <x:c r="F2209" s="12" t="str">
        <x:v>16462</x:v>
      </x:c>
      <x:c r="G2209" s="12" t="str">
        <x:v>原110</x:v>
      </x:c>
      <x:c r="H2209" s="12" t="str">
        <x:v>新100</x:v>
      </x:c>
      <x:c r="I2209" s="12" t="str">
        <x:v>自动110</x:v>
      </x:c>
      <x:c r="J2209" s="12" t="str">
        <x:v>每行一名不同患者；此端点清单内共享名额</x:v>
      </x:c>
      <x:c r="K2209" s="12"/>
      <x:c r="L2209" s="12"/>
      <x:c r="M2209" s="12"/>
      <x:c r="N2209" s="12"/>
      <x:c r="O2209" s="12"/>
    </x:row>
    <x:row r="2210" ht="24" customHeight="1">
      <x:c r="A2210" s="12" t="str">
        <x:v>配对C1减C0</x:v>
      </x:c>
      <x:c r="B2210" s="12" t="str">
        <x:v>AFIB</x:v>
      </x:c>
      <x:c r="C2210" s="12" t="str">
        <x:v>配对差值</x:v>
      </x:c>
      <x:c r="D2210" s="12" t="str">
        <x:v>max</x:v>
      </x:c>
      <x:c r="E2210" s="12" t="str">
        <x:v>20100</x:v>
      </x:c>
      <x:c r="F2210" s="12" t="str">
        <x:v>20027</x:v>
      </x:c>
      <x:c r="G2210" s="12" t="str">
        <x:v>原110</x:v>
      </x:c>
      <x:c r="H2210" s="12" t="str">
        <x:v>新100</x:v>
      </x:c>
      <x:c r="I2210" s="12" t="str">
        <x:v>自动110</x:v>
      </x:c>
      <x:c r="J2210" s="12" t="str">
        <x:v>每行一名不同患者；此端点清单内共享名额</x:v>
      </x:c>
      <x:c r="K2210" s="12"/>
      <x:c r="L2210" s="12"/>
      <x:c r="M2210" s="12"/>
      <x:c r="N2210" s="12"/>
      <x:c r="O2210" s="12"/>
    </x:row>
    <x:row r="2211" ht="24" customHeight="1">
      <x:c r="A2211" s="12" t="str">
        <x:v>配对C1减C0</x:v>
      </x:c>
      <x:c r="B2211" s="12" t="str">
        <x:v>AFIB</x:v>
      </x:c>
      <x:c r="C2211" s="12" t="str">
        <x:v>配对差值</x:v>
      </x:c>
      <x:c r="D2211" s="12" t="str">
        <x:v>max</x:v>
      </x:c>
      <x:c r="E2211" s="12" t="str">
        <x:v>20966</x:v>
      </x:c>
      <x:c r="F2211" s="12" t="str">
        <x:v>19420</x:v>
      </x:c>
      <x:c r="G2211" s="12" t="str">
        <x:v>原110</x:v>
      </x:c>
      <x:c r="H2211" s="12" t="str">
        <x:v>新100</x:v>
      </x:c>
      <x:c r="I2211" s="12" t="str">
        <x:v>自动110</x:v>
      </x:c>
      <x:c r="J2211" s="12" t="str">
        <x:v>每行一名不同患者；此端点清单内共享名额</x:v>
      </x:c>
      <x:c r="K2211" s="12"/>
      <x:c r="L2211" s="12"/>
      <x:c r="M2211" s="12"/>
      <x:c r="N2211" s="12"/>
      <x:c r="O2211" s="12"/>
    </x:row>
    <x:row r="2212" ht="24" customHeight="1">
      <x:c r="A2212" s="12" t="str">
        <x:v>配对C1减C0</x:v>
      </x:c>
      <x:c r="B2212" s="12" t="str">
        <x:v>CLBBB</x:v>
      </x:c>
      <x:c r="C2212" s="12" t="str">
        <x:v>配对差值</x:v>
      </x:c>
      <x:c r="D2212" s="12" t="str">
        <x:v>min</x:v>
      </x:c>
      <x:c r="E2212" s="12" t="str">
        <x:v>1717</x:v>
      </x:c>
      <x:c r="F2212" s="12" t="str">
        <x:v>20306</x:v>
      </x:c>
      <x:c r="G2212" s="12" t="str">
        <x:v>原000</x:v>
      </x:c>
      <x:c r="H2212" s="12" t="str">
        <x:v>新010</x:v>
      </x:c>
      <x:c r="I2212" s="12" t="str">
        <x:v>自动010</x:v>
      </x:c>
      <x:c r="J2212" s="12" t="str">
        <x:v>每行一名不同患者；此端点清单内共享名额</x:v>
      </x:c>
      <x:c r="K2212" s="12"/>
      <x:c r="L2212" s="12"/>
      <x:c r="M2212" s="12"/>
      <x:c r="N2212" s="12"/>
      <x:c r="O2212" s="12"/>
    </x:row>
    <x:row r="2213" ht="24" customHeight="1">
      <x:c r="A2213" s="12" t="str">
        <x:v>配对C1减C0</x:v>
      </x:c>
      <x:c r="B2213" s="12" t="str">
        <x:v>CLBBB</x:v>
      </x:c>
      <x:c r="C2213" s="12" t="str">
        <x:v>配对差值</x:v>
      </x:c>
      <x:c r="D2213" s="12" t="str">
        <x:v>min</x:v>
      </x:c>
      <x:c r="E2213" s="12" t="str">
        <x:v>4618</x:v>
      </x:c>
      <x:c r="F2213" s="12" t="str">
        <x:v>1890</x:v>
      </x:c>
      <x:c r="G2213" s="12" t="str">
        <x:v>原000</x:v>
      </x:c>
      <x:c r="H2213" s="12" t="str">
        <x:v>新010</x:v>
      </x:c>
      <x:c r="I2213" s="12" t="str">
        <x:v>自动010</x:v>
      </x:c>
      <x:c r="J2213" s="12" t="str">
        <x:v>每行一名不同患者；此端点清单内共享名额</x:v>
      </x:c>
      <x:c r="K2213" s="12"/>
      <x:c r="L2213" s="12"/>
      <x:c r="M2213" s="12"/>
      <x:c r="N2213" s="12"/>
      <x:c r="O2213" s="12"/>
    </x:row>
    <x:row r="2214" ht="24" customHeight="1">
      <x:c r="A2214" s="12" t="str">
        <x:v>配对C1减C0</x:v>
      </x:c>
      <x:c r="B2214" s="12" t="str">
        <x:v>CLBBB</x:v>
      </x:c>
      <x:c r="C2214" s="12" t="str">
        <x:v>配对差值</x:v>
      </x:c>
      <x:c r="D2214" s="12" t="str">
        <x:v>min</x:v>
      </x:c>
      <x:c r="E2214" s="12" t="str">
        <x:v>8860</x:v>
      </x:c>
      <x:c r="F2214" s="12" t="str">
        <x:v>13085</x:v>
      </x:c>
      <x:c r="G2214" s="12" t="str">
        <x:v>原000</x:v>
      </x:c>
      <x:c r="H2214" s="12" t="str">
        <x:v>新010</x:v>
      </x:c>
      <x:c r="I2214" s="12" t="str">
        <x:v>自动010</x:v>
      </x:c>
      <x:c r="J2214" s="12" t="str">
        <x:v>每行一名不同患者；此端点清单内共享名额</x:v>
      </x:c>
      <x:c r="K2214" s="12"/>
      <x:c r="L2214" s="12"/>
      <x:c r="M2214" s="12"/>
      <x:c r="N2214" s="12"/>
      <x:c r="O2214" s="12"/>
    </x:row>
    <x:row r="2215" ht="24" customHeight="1">
      <x:c r="A2215" s="12" t="str">
        <x:v>配对C1减C0</x:v>
      </x:c>
      <x:c r="B2215" s="12" t="str">
        <x:v>CLBBB</x:v>
      </x:c>
      <x:c r="C2215" s="12" t="str">
        <x:v>配对差值</x:v>
      </x:c>
      <x:c r="D2215" s="12" t="str">
        <x:v>min</x:v>
      </x:c>
      <x:c r="E2215" s="12" t="str">
        <x:v>11418</x:v>
      </x:c>
      <x:c r="F2215" s="12" t="str">
        <x:v>13679</x:v>
      </x:c>
      <x:c r="G2215" s="12" t="str">
        <x:v>原010</x:v>
      </x:c>
      <x:c r="H2215" s="12" t="str">
        <x:v>新110</x:v>
      </x:c>
      <x:c r="I2215" s="12" t="str">
        <x:v>自动110</x:v>
      </x:c>
      <x:c r="J2215" s="12" t="str">
        <x:v>每行一名不同患者；此端点清单内共享名额</x:v>
      </x:c>
      <x:c r="K2215" s="12"/>
      <x:c r="L2215" s="12"/>
      <x:c r="M2215" s="12"/>
      <x:c r="N2215" s="12"/>
      <x:c r="O2215" s="12"/>
    </x:row>
    <x:row r="2216" ht="24" customHeight="1">
      <x:c r="A2216" s="12" t="str">
        <x:v>配对C1减C0</x:v>
      </x:c>
      <x:c r="B2216" s="12" t="str">
        <x:v>CLBBB</x:v>
      </x:c>
      <x:c r="C2216" s="12" t="str">
        <x:v>配对差值</x:v>
      </x:c>
      <x:c r="D2216" s="12" t="str">
        <x:v>min</x:v>
      </x:c>
      <x:c r="E2216" s="12" t="str">
        <x:v>19305</x:v>
      </x:c>
      <x:c r="F2216" s="12" t="str">
        <x:v>15115</x:v>
      </x:c>
      <x:c r="G2216" s="12" t="str">
        <x:v>原100</x:v>
      </x:c>
      <x:c r="H2216" s="12" t="str">
        <x:v>新110</x:v>
      </x:c>
      <x:c r="I2216" s="12" t="str">
        <x:v>自动110</x:v>
      </x:c>
      <x:c r="J2216" s="12" t="str">
        <x:v>每行一名不同患者；此端点清单内共享名额</x:v>
      </x:c>
      <x:c r="K2216" s="12"/>
      <x:c r="L2216" s="12"/>
      <x:c r="M2216" s="12"/>
      <x:c r="N2216" s="12"/>
      <x:c r="O2216" s="12"/>
    </x:row>
    <x:row r="2217" ht="24" customHeight="1">
      <x:c r="A2217" s="12" t="str">
        <x:v>配对C1减C0</x:v>
      </x:c>
      <x:c r="B2217" s="12" t="str">
        <x:v>CLBBB</x:v>
      </x:c>
      <x:c r="C2217" s="12" t="str">
        <x:v>配对差值</x:v>
      </x:c>
      <x:c r="D2217" s="12" t="str">
        <x:v>max</x:v>
      </x:c>
      <x:c r="E2217" s="12" t="str">
        <x:v>180</x:v>
      </x:c>
      <x:c r="F2217" s="12" t="str">
        <x:v>15592</x:v>
      </x:c>
      <x:c r="G2217" s="12" t="str">
        <x:v>原010</x:v>
      </x:c>
      <x:c r="H2217" s="12" t="str">
        <x:v>新011</x:v>
      </x:c>
      <x:c r="I2217" s="12" t="str">
        <x:v>自动010</x:v>
      </x:c>
      <x:c r="J2217" s="12" t="str">
        <x:v>每行一名不同患者；此端点清单内共享名额</x:v>
      </x:c>
      <x:c r="K2217" s="12"/>
      <x:c r="L2217" s="12"/>
      <x:c r="M2217" s="12"/>
      <x:c r="N2217" s="12"/>
      <x:c r="O2217" s="12"/>
    </x:row>
    <x:row r="2218" ht="24" customHeight="1">
      <x:c r="A2218" s="12" t="str">
        <x:v>配对C1减C0</x:v>
      </x:c>
      <x:c r="B2218" s="12" t="str">
        <x:v>CLBBB</x:v>
      </x:c>
      <x:c r="C2218" s="12" t="str">
        <x:v>配对差值</x:v>
      </x:c>
      <x:c r="D2218" s="12" t="str">
        <x:v>max</x:v>
      </x:c>
      <x:c r="E2218" s="12" t="str">
        <x:v>15447</x:v>
      </x:c>
      <x:c r="F2218" s="12" t="str">
        <x:v>8521</x:v>
      </x:c>
      <x:c r="G2218" s="12" t="str">
        <x:v>原110</x:v>
      </x:c>
      <x:c r="H2218" s="12" t="str">
        <x:v>新010</x:v>
      </x:c>
      <x:c r="I2218" s="12" t="str">
        <x:v>自动110</x:v>
      </x:c>
      <x:c r="J2218" s="12" t="str">
        <x:v>每行一名不同患者；此端点清单内共享名额</x:v>
      </x:c>
      <x:c r="K2218" s="12"/>
      <x:c r="L2218" s="12"/>
      <x:c r="M2218" s="12"/>
      <x:c r="N2218" s="12"/>
      <x:c r="O2218" s="12"/>
    </x:row>
    <x:row r="2219" ht="24" customHeight="1">
      <x:c r="A2219" s="12" t="str">
        <x:v>配对C1减C0</x:v>
      </x:c>
      <x:c r="B2219" s="12" t="str">
        <x:v>CLBBB</x:v>
      </x:c>
      <x:c r="C2219" s="12" t="str">
        <x:v>配对差值</x:v>
      </x:c>
      <x:c r="D2219" s="12" t="str">
        <x:v>max</x:v>
      </x:c>
      <x:c r="E2219" s="12" t="str">
        <x:v>15958</x:v>
      </x:c>
      <x:c r="F2219" s="12" t="str">
        <x:v>16462</x:v>
      </x:c>
      <x:c r="G2219" s="12" t="str">
        <x:v>原110</x:v>
      </x:c>
      <x:c r="H2219" s="12" t="str">
        <x:v>新010</x:v>
      </x:c>
      <x:c r="I2219" s="12" t="str">
        <x:v>自动110</x:v>
      </x:c>
      <x:c r="J2219" s="12" t="str">
        <x:v>每行一名不同患者；此端点清单内共享名额</x:v>
      </x:c>
      <x:c r="K2219" s="12"/>
      <x:c r="L2219" s="12"/>
      <x:c r="M2219" s="12"/>
      <x:c r="N2219" s="12"/>
      <x:c r="O2219" s="12"/>
    </x:row>
    <x:row r="2220" ht="24" customHeight="1">
      <x:c r="A2220" s="12" t="str">
        <x:v>配对C1减C0</x:v>
      </x:c>
      <x:c r="B2220" s="12" t="str">
        <x:v>CLBBB</x:v>
      </x:c>
      <x:c r="C2220" s="12" t="str">
        <x:v>配对差值</x:v>
      </x:c>
      <x:c r="D2220" s="12" t="str">
        <x:v>max</x:v>
      </x:c>
      <x:c r="E2220" s="12" t="str">
        <x:v>20100</x:v>
      </x:c>
      <x:c r="F2220" s="12" t="str">
        <x:v>20027</x:v>
      </x:c>
      <x:c r="G2220" s="12" t="str">
        <x:v>原110</x:v>
      </x:c>
      <x:c r="H2220" s="12" t="str">
        <x:v>新010</x:v>
      </x:c>
      <x:c r="I2220" s="12" t="str">
        <x:v>自动110</x:v>
      </x:c>
      <x:c r="J2220" s="12" t="str">
        <x:v>每行一名不同患者；此端点清单内共享名额</x:v>
      </x:c>
      <x:c r="K2220" s="12"/>
      <x:c r="L2220" s="12"/>
      <x:c r="M2220" s="12"/>
      <x:c r="N2220" s="12"/>
      <x:c r="O2220" s="12"/>
    </x:row>
    <x:row r="2221" ht="24" customHeight="1">
      <x:c r="A2221" s="12" t="str">
        <x:v>配对C1减C0</x:v>
      </x:c>
      <x:c r="B2221" s="12" t="str">
        <x:v>CLBBB</x:v>
      </x:c>
      <x:c r="C2221" s="12" t="str">
        <x:v>配对差值</x:v>
      </x:c>
      <x:c r="D2221" s="12" t="str">
        <x:v>max</x:v>
      </x:c>
      <x:c r="E2221" s="12" t="str">
        <x:v>20966</x:v>
      </x:c>
      <x:c r="F2221" s="12" t="str">
        <x:v>19420</x:v>
      </x:c>
      <x:c r="G2221" s="12" t="str">
        <x:v>原110</x:v>
      </x:c>
      <x:c r="H2221" s="12" t="str">
        <x:v>新010</x:v>
      </x:c>
      <x:c r="I2221" s="12" t="str">
        <x:v>自动110</x:v>
      </x:c>
      <x:c r="J2221" s="12" t="str">
        <x:v>每行一名不同患者；此端点清单内共享名额</x:v>
      </x:c>
      <x:c r="K2221" s="12"/>
      <x:c r="L2221" s="12"/>
      <x:c r="M2221" s="12"/>
      <x:c r="N2221" s="12"/>
      <x:c r="O2221" s="12"/>
    </x:row>
    <x:row r="2222" ht="24" customHeight="1">
      <x:c r="A2222" s="12" t="str">
        <x:v>配对C1减C0</x:v>
      </x:c>
      <x:c r="B2222" s="12" t="str">
        <x:v>CRBBB</x:v>
      </x:c>
      <x:c r="C2222" s="12" t="str">
        <x:v>配对差值</x:v>
      </x:c>
      <x:c r="D2222" s="12" t="str">
        <x:v>min</x:v>
      </x:c>
      <x:c r="E2222" s="12" t="str">
        <x:v>11500</x:v>
      </x:c>
      <x:c r="F2222" s="12" t="str">
        <x:v>13887</x:v>
      </x:c>
      <x:c r="G2222" s="12" t="str">
        <x:v>原001</x:v>
      </x:c>
      <x:c r="H2222" s="12" t="str">
        <x:v>新101</x:v>
      </x:c>
      <x:c r="I2222" s="12" t="str">
        <x:v>自动101</x:v>
      </x:c>
      <x:c r="J2222" s="12" t="str">
        <x:v>每行一名不同患者；此端点清单内共享名额</x:v>
      </x:c>
      <x:c r="K2222" s="12"/>
      <x:c r="L2222" s="12"/>
      <x:c r="M2222" s="12"/>
      <x:c r="N2222" s="12"/>
      <x:c r="O2222" s="12"/>
    </x:row>
    <x:row r="2223" ht="24" customHeight="1">
      <x:c r="A2223" s="12" t="str">
        <x:v>配对C1减C0</x:v>
      </x:c>
      <x:c r="B2223" s="12" t="str">
        <x:v>CRBBB</x:v>
      </x:c>
      <x:c r="C2223" s="12" t="str">
        <x:v>配对差值</x:v>
      </x:c>
      <x:c r="D2223" s="12" t="str">
        <x:v>min</x:v>
      </x:c>
      <x:c r="E2223" s="12" t="str">
        <x:v>569</x:v>
      </x:c>
      <x:c r="F2223" s="12" t="str">
        <x:v>2936</x:v>
      </x:c>
      <x:c r="G2223" s="12" t="str">
        <x:v>原100</x:v>
      </x:c>
      <x:c r="H2223" s="12" t="str">
        <x:v>新101</x:v>
      </x:c>
      <x:c r="I2223" s="12" t="str">
        <x:v>自动101</x:v>
      </x:c>
      <x:c r="J2223" s="12" t="str">
        <x:v>每行一名不同患者；此端点清单内共享名额</x:v>
      </x:c>
      <x:c r="K2223" s="12"/>
      <x:c r="L2223" s="12"/>
      <x:c r="M2223" s="12"/>
      <x:c r="N2223" s="12"/>
      <x:c r="O2223" s="12"/>
    </x:row>
    <x:row r="2224" ht="24" customHeight="1">
      <x:c r="A2224" s="12" t="str">
        <x:v>配对C1减C0</x:v>
      </x:c>
      <x:c r="B2224" s="12" t="str">
        <x:v>CRBBB</x:v>
      </x:c>
      <x:c r="C2224" s="12" t="str">
        <x:v>配对差值</x:v>
      </x:c>
      <x:c r="D2224" s="12" t="str">
        <x:v>min</x:v>
      </x:c>
      <x:c r="E2224" s="12" t="str">
        <x:v>8041</x:v>
      </x:c>
      <x:c r="F2224" s="12" t="str">
        <x:v>3434</x:v>
      </x:c>
      <x:c r="G2224" s="12" t="str">
        <x:v>原101</x:v>
      </x:c>
      <x:c r="H2224" s="12" t="str">
        <x:v>新001</x:v>
      </x:c>
      <x:c r="I2224" s="12" t="str">
        <x:v>自动001</x:v>
      </x:c>
      <x:c r="J2224" s="12" t="str">
        <x:v>每行一名不同患者；此端点清单内共享名额</x:v>
      </x:c>
      <x:c r="K2224" s="12"/>
      <x:c r="L2224" s="12"/>
      <x:c r="M2224" s="12"/>
      <x:c r="N2224" s="12"/>
      <x:c r="O2224" s="12"/>
    </x:row>
    <x:row r="2225" ht="24" customHeight="1">
      <x:c r="A2225" s="12" t="str">
        <x:v>配对C1减C0</x:v>
      </x:c>
      <x:c r="B2225" s="12" t="str">
        <x:v>CRBBB</x:v>
      </x:c>
      <x:c r="C2225" s="12" t="str">
        <x:v>配对差值</x:v>
      </x:c>
      <x:c r="D2225" s="12" t="str">
        <x:v>min</x:v>
      </x:c>
      <x:c r="E2225" s="12" t="str">
        <x:v>19906</x:v>
      </x:c>
      <x:c r="F2225" s="12" t="str">
        <x:v>14689</x:v>
      </x:c>
      <x:c r="G2225" s="12" t="str">
        <x:v>原101</x:v>
      </x:c>
      <x:c r="H2225" s="12" t="str">
        <x:v>新001</x:v>
      </x:c>
      <x:c r="I2225" s="12" t="str">
        <x:v>自动001</x:v>
      </x:c>
      <x:c r="J2225" s="12" t="str">
        <x:v>每行一名不同患者；此端点清单内共享名额</x:v>
      </x:c>
      <x:c r="K2225" s="12"/>
      <x:c r="L2225" s="12"/>
      <x:c r="M2225" s="12"/>
      <x:c r="N2225" s="12"/>
      <x:c r="O2225" s="12"/>
    </x:row>
    <x:row r="2226" ht="24" customHeight="1">
      <x:c r="A2226" s="12" t="str">
        <x:v>配对C1减C0</x:v>
      </x:c>
      <x:c r="B2226" s="12" t="str">
        <x:v>CRBBB</x:v>
      </x:c>
      <x:c r="C2226" s="12" t="str">
        <x:v>配对差值</x:v>
      </x:c>
      <x:c r="D2226" s="12" t="str">
        <x:v>min</x:v>
      </x:c>
      <x:c r="E2226" s="12" t="str">
        <x:v>20674</x:v>
      </x:c>
      <x:c r="F2226" s="12" t="str">
        <x:v>18246</x:v>
      </x:c>
      <x:c r="G2226" s="12" t="str">
        <x:v>原101</x:v>
      </x:c>
      <x:c r="H2226" s="12" t="str">
        <x:v>新001</x:v>
      </x:c>
      <x:c r="I2226" s="12" t="str">
        <x:v>自动001</x:v>
      </x:c>
      <x:c r="J2226" s="12" t="str">
        <x:v>每行一名不同患者；此端点清单内共享名额</x:v>
      </x:c>
      <x:c r="K2226" s="12"/>
      <x:c r="L2226" s="12"/>
      <x:c r="M2226" s="12"/>
      <x:c r="N2226" s="12"/>
      <x:c r="O2226" s="12"/>
    </x:row>
    <x:row r="2227" ht="24" customHeight="1">
      <x:c r="A2227" s="12" t="str">
        <x:v>配对C1减C0</x:v>
      </x:c>
      <x:c r="B2227" s="12" t="str">
        <x:v>CRBBB</x:v>
      </x:c>
      <x:c r="C2227" s="12" t="str">
        <x:v>配对差值</x:v>
      </x:c>
      <x:c r="D2227" s="12" t="str">
        <x:v>max</x:v>
      </x:c>
      <x:c r="E2227" s="12" t="str">
        <x:v>3947</x:v>
      </x:c>
      <x:c r="F2227" s="12" t="str">
        <x:v>17456</x:v>
      </x:c>
      <x:c r="G2227" s="12" t="str">
        <x:v>原101</x:v>
      </x:c>
      <x:c r="H2227" s="12" t="str">
        <x:v>新001</x:v>
      </x:c>
      <x:c r="I2227" s="12" t="str">
        <x:v>自动101</x:v>
      </x:c>
      <x:c r="J2227" s="12" t="str">
        <x:v>每行一名不同患者；此端点清单内共享名额</x:v>
      </x:c>
      <x:c r="K2227" s="12"/>
      <x:c r="L2227" s="12"/>
      <x:c r="M2227" s="12"/>
      <x:c r="N2227" s="12"/>
      <x:c r="O2227" s="12"/>
    </x:row>
    <x:row r="2228" ht="24" customHeight="1">
      <x:c r="A2228" s="12" t="str">
        <x:v>配对C1减C0</x:v>
      </x:c>
      <x:c r="B2228" s="12" t="str">
        <x:v>CRBBB</x:v>
      </x:c>
      <x:c r="C2228" s="12" t="str">
        <x:v>配对差值</x:v>
      </x:c>
      <x:c r="D2228" s="12" t="str">
        <x:v>max</x:v>
      </x:c>
      <x:c r="E2228" s="12" t="str">
        <x:v>8680</x:v>
      </x:c>
      <x:c r="F2228" s="12" t="str">
        <x:v>7343</x:v>
      </x:c>
      <x:c r="G2228" s="12" t="str">
        <x:v>原101</x:v>
      </x:c>
      <x:c r="H2228" s="12" t="str">
        <x:v>新001</x:v>
      </x:c>
      <x:c r="I2228" s="12" t="str">
        <x:v>自动101</x:v>
      </x:c>
      <x:c r="J2228" s="12" t="str">
        <x:v>每行一名不同患者；此端点清单内共享名额</x:v>
      </x:c>
      <x:c r="K2228" s="12"/>
      <x:c r="L2228" s="12"/>
      <x:c r="M2228" s="12"/>
      <x:c r="N2228" s="12"/>
      <x:c r="O2228" s="12"/>
    </x:row>
    <x:row r="2229" ht="24" customHeight="1">
      <x:c r="A2229" s="12" t="str">
        <x:v>配对C1减C0</x:v>
      </x:c>
      <x:c r="B2229" s="12" t="str">
        <x:v>CRBBB</x:v>
      </x:c>
      <x:c r="C2229" s="12" t="str">
        <x:v>配对差值</x:v>
      </x:c>
      <x:c r="D2229" s="12" t="str">
        <x:v>max</x:v>
      </x:c>
      <x:c r="E2229" s="12" t="str">
        <x:v>9929</x:v>
      </x:c>
      <x:c r="F2229" s="12" t="str">
        <x:v>11217</x:v>
      </x:c>
      <x:c r="G2229" s="12" t="str">
        <x:v>原101</x:v>
      </x:c>
      <x:c r="H2229" s="12" t="str">
        <x:v>新001</x:v>
      </x:c>
      <x:c r="I2229" s="12" t="str">
        <x:v>自动101</x:v>
      </x:c>
      <x:c r="J2229" s="12" t="str">
        <x:v>每行一名不同患者；此端点清单内共享名额</x:v>
      </x:c>
      <x:c r="K2229" s="12"/>
      <x:c r="L2229" s="12"/>
      <x:c r="M2229" s="12"/>
      <x:c r="N2229" s="12"/>
      <x:c r="O2229" s="12"/>
    </x:row>
    <x:row r="2230" ht="24" customHeight="1">
      <x:c r="A2230" s="12" t="str">
        <x:v>配对C1减C0</x:v>
      </x:c>
      <x:c r="B2230" s="12" t="str">
        <x:v>CRBBB</x:v>
      </x:c>
      <x:c r="C2230" s="12" t="str">
        <x:v>配对差值</x:v>
      </x:c>
      <x:c r="D2230" s="12" t="str">
        <x:v>max</x:v>
      </x:c>
      <x:c r="E2230" s="12" t="str">
        <x:v>13849</x:v>
      </x:c>
      <x:c r="F2230" s="12" t="str">
        <x:v>13343</x:v>
      </x:c>
      <x:c r="G2230" s="12" t="str">
        <x:v>原101</x:v>
      </x:c>
      <x:c r="H2230" s="12" t="str">
        <x:v>新001</x:v>
      </x:c>
      <x:c r="I2230" s="12" t="str">
        <x:v>自动101</x:v>
      </x:c>
      <x:c r="J2230" s="12" t="str">
        <x:v>每行一名不同患者；此端点清单内共享名额</x:v>
      </x:c>
      <x:c r="K2230" s="12"/>
      <x:c r="L2230" s="12"/>
      <x:c r="M2230" s="12"/>
      <x:c r="N2230" s="12"/>
      <x:c r="O2230" s="12"/>
    </x:row>
    <x:row r="2231" ht="24" customHeight="1">
      <x:c r="A2231" s="12" t="str">
        <x:v>配对C1减C0</x:v>
      </x:c>
      <x:c r="B2231" s="12" t="str">
        <x:v>CRBBB</x:v>
      </x:c>
      <x:c r="C2231" s="12" t="str">
        <x:v>配对差值</x:v>
      </x:c>
      <x:c r="D2231" s="12" t="str">
        <x:v>max</x:v>
      </x:c>
      <x:c r="E2231" s="12" t="str">
        <x:v>18671</x:v>
      </x:c>
      <x:c r="F2231" s="12" t="str">
        <x:v>9441</x:v>
      </x:c>
      <x:c r="G2231" s="12" t="str">
        <x:v>原101</x:v>
      </x:c>
      <x:c r="H2231" s="12" t="str">
        <x:v>新001</x:v>
      </x:c>
      <x:c r="I2231" s="12" t="str">
        <x:v>自动101</x:v>
      </x:c>
      <x:c r="J2231" s="12" t="str">
        <x:v>每行一名不同患者；此端点清单内共享名额</x:v>
      </x:c>
      <x:c r="K2231" s="12"/>
      <x:c r="L2231" s="12"/>
      <x:c r="M2231" s="12"/>
      <x:c r="N2231" s="12"/>
      <x:c r="O2231" s="12"/>
    </x:row>
    <x:row r="2232" ht="24" customHeight="1">
      <x:c r="A2232" s="12" t="str">
        <x:v>配对C1减C0</x:v>
      </x:c>
      <x:c r="B2232" s="12" t="str">
        <x:v>任一目标</x:v>
      </x:c>
      <x:c r="C2232" s="12" t="str">
        <x:v>配对差值</x:v>
      </x:c>
      <x:c r="D2232" s="12" t="str">
        <x:v>min</x:v>
      </x:c>
      <x:c r="E2232" s="12" t="str">
        <x:v>569</x:v>
      </x:c>
      <x:c r="F2232" s="12" t="str">
        <x:v>2936</x:v>
      </x:c>
      <x:c r="G2232" s="12" t="str">
        <x:v>原100</x:v>
      </x:c>
      <x:c r="H2232" s="12" t="str">
        <x:v>新101</x:v>
      </x:c>
      <x:c r="I2232" s="12" t="str">
        <x:v>自动101</x:v>
      </x:c>
      <x:c r="J2232" s="12" t="str">
        <x:v>每行一名不同患者；此端点清单内共享名额</x:v>
      </x:c>
      <x:c r="K2232" s="12"/>
      <x:c r="L2232" s="12"/>
      <x:c r="M2232" s="12"/>
      <x:c r="N2232" s="12"/>
      <x:c r="O2232" s="12"/>
    </x:row>
    <x:row r="2233" ht="24" customHeight="1">
      <x:c r="A2233" s="12" t="str">
        <x:v>配对C1减C0</x:v>
      </x:c>
      <x:c r="B2233" s="12" t="str">
        <x:v>任一目标</x:v>
      </x:c>
      <x:c r="C2233" s="12" t="str">
        <x:v>配对差值</x:v>
      </x:c>
      <x:c r="D2233" s="12" t="str">
        <x:v>min</x:v>
      </x:c>
      <x:c r="E2233" s="12" t="str">
        <x:v>19305</x:v>
      </x:c>
      <x:c r="F2233" s="12" t="str">
        <x:v>15115</x:v>
      </x:c>
      <x:c r="G2233" s="12" t="str">
        <x:v>原100</x:v>
      </x:c>
      <x:c r="H2233" s="12" t="str">
        <x:v>新110</x:v>
      </x:c>
      <x:c r="I2233" s="12" t="str">
        <x:v>自动110</x:v>
      </x:c>
      <x:c r="J2233" s="12" t="str">
        <x:v>每行一名不同患者；此端点清单内共享名额</x:v>
      </x:c>
      <x:c r="K2233" s="12"/>
      <x:c r="L2233" s="12"/>
      <x:c r="M2233" s="12"/>
      <x:c r="N2233" s="12"/>
      <x:c r="O2233" s="12"/>
    </x:row>
    <x:row r="2234" ht="24" customHeight="1">
      <x:c r="A2234" s="12" t="str">
        <x:v>配对C1减C0</x:v>
      </x:c>
      <x:c r="B2234" s="12" t="str">
        <x:v>任一目标</x:v>
      </x:c>
      <x:c r="C2234" s="12" t="str">
        <x:v>配对差值</x:v>
      </x:c>
      <x:c r="D2234" s="12" t="str">
        <x:v>min</x:v>
      </x:c>
      <x:c r="E2234" s="12" t="str">
        <x:v>8041</x:v>
      </x:c>
      <x:c r="F2234" s="12" t="str">
        <x:v>3434</x:v>
      </x:c>
      <x:c r="G2234" s="12" t="str">
        <x:v>原101</x:v>
      </x:c>
      <x:c r="H2234" s="12" t="str">
        <x:v>新001</x:v>
      </x:c>
      <x:c r="I2234" s="12" t="str">
        <x:v>自动001</x:v>
      </x:c>
      <x:c r="J2234" s="12" t="str">
        <x:v>每行一名不同患者；此端点清单内共享名额</x:v>
      </x:c>
      <x:c r="K2234" s="12"/>
      <x:c r="L2234" s="12"/>
      <x:c r="M2234" s="12"/>
      <x:c r="N2234" s="12"/>
      <x:c r="O2234" s="12"/>
    </x:row>
    <x:row r="2235" ht="24" customHeight="1">
      <x:c r="A2235" s="12" t="str">
        <x:v>配对C1减C0</x:v>
      </x:c>
      <x:c r="B2235" s="12" t="str">
        <x:v>任一目标</x:v>
      </x:c>
      <x:c r="C2235" s="12" t="str">
        <x:v>配对差值</x:v>
      </x:c>
      <x:c r="D2235" s="12" t="str">
        <x:v>min</x:v>
      </x:c>
      <x:c r="E2235" s="12" t="str">
        <x:v>19906</x:v>
      </x:c>
      <x:c r="F2235" s="12" t="str">
        <x:v>14689</x:v>
      </x:c>
      <x:c r="G2235" s="12" t="str">
        <x:v>原101</x:v>
      </x:c>
      <x:c r="H2235" s="12" t="str">
        <x:v>新001</x:v>
      </x:c>
      <x:c r="I2235" s="12" t="str">
        <x:v>自动001</x:v>
      </x:c>
      <x:c r="J2235" s="12" t="str">
        <x:v>每行一名不同患者；此端点清单内共享名额</x:v>
      </x:c>
      <x:c r="K2235" s="12"/>
      <x:c r="L2235" s="12"/>
      <x:c r="M2235" s="12"/>
      <x:c r="N2235" s="12"/>
      <x:c r="O2235" s="12"/>
    </x:row>
    <x:row r="2236" ht="24" customHeight="1">
      <x:c r="A2236" s="12" t="str">
        <x:v>配对C1减C0</x:v>
      </x:c>
      <x:c r="B2236" s="12" t="str">
        <x:v>任一目标</x:v>
      </x:c>
      <x:c r="C2236" s="12" t="str">
        <x:v>配对差值</x:v>
      </x:c>
      <x:c r="D2236" s="12" t="str">
        <x:v>min</x:v>
      </x:c>
      <x:c r="E2236" s="12" t="str">
        <x:v>20674</x:v>
      </x:c>
      <x:c r="F2236" s="12" t="str">
        <x:v>18246</x:v>
      </x:c>
      <x:c r="G2236" s="12" t="str">
        <x:v>原101</x:v>
      </x:c>
      <x:c r="H2236" s="12" t="str">
        <x:v>新001</x:v>
      </x:c>
      <x:c r="I2236" s="12" t="str">
        <x:v>自动001</x:v>
      </x:c>
      <x:c r="J2236" s="12" t="str">
        <x:v>每行一名不同患者；此端点清单内共享名额</x:v>
      </x:c>
      <x:c r="K2236" s="12"/>
      <x:c r="L2236" s="12"/>
      <x:c r="M2236" s="12"/>
      <x:c r="N2236" s="12"/>
      <x:c r="O2236" s="12"/>
    </x:row>
    <x:row r="2237" ht="24" customHeight="1">
      <x:c r="A2237" s="12" t="str">
        <x:v>配对C1减C0</x:v>
      </x:c>
      <x:c r="B2237" s="12" t="str">
        <x:v>任一目标</x:v>
      </x:c>
      <x:c r="C2237" s="12" t="str">
        <x:v>配对差值</x:v>
      </x:c>
      <x:c r="D2237" s="12" t="str">
        <x:v>max</x:v>
      </x:c>
      <x:c r="E2237" s="12" t="str">
        <x:v>3947</x:v>
      </x:c>
      <x:c r="F2237" s="12" t="str">
        <x:v>17456</x:v>
      </x:c>
      <x:c r="G2237" s="12" t="str">
        <x:v>原101</x:v>
      </x:c>
      <x:c r="H2237" s="12" t="str">
        <x:v>新001</x:v>
      </x:c>
      <x:c r="I2237" s="12" t="str">
        <x:v>自动101</x:v>
      </x:c>
      <x:c r="J2237" s="12" t="str">
        <x:v>每行一名不同患者；此端点清单内共享名额</x:v>
      </x:c>
      <x:c r="K2237" s="12"/>
      <x:c r="L2237" s="12"/>
      <x:c r="M2237" s="12"/>
      <x:c r="N2237" s="12"/>
      <x:c r="O2237" s="12"/>
    </x:row>
    <x:row r="2238" ht="24" customHeight="1">
      <x:c r="A2238" s="12" t="str">
        <x:v>配对C1减C0</x:v>
      </x:c>
      <x:c r="B2238" s="12" t="str">
        <x:v>任一目标</x:v>
      </x:c>
      <x:c r="C2238" s="12" t="str">
        <x:v>配对差值</x:v>
      </x:c>
      <x:c r="D2238" s="12" t="str">
        <x:v>max</x:v>
      </x:c>
      <x:c r="E2238" s="12" t="str">
        <x:v>15447</x:v>
      </x:c>
      <x:c r="F2238" s="12" t="str">
        <x:v>8521</x:v>
      </x:c>
      <x:c r="G2238" s="12" t="str">
        <x:v>原110</x:v>
      </x:c>
      <x:c r="H2238" s="12" t="str">
        <x:v>新001</x:v>
      </x:c>
      <x:c r="I2238" s="12" t="str">
        <x:v>自动110</x:v>
      </x:c>
      <x:c r="J2238" s="12" t="str">
        <x:v>每行一名不同患者；此端点清单内共享名额</x:v>
      </x:c>
      <x:c r="K2238" s="12"/>
      <x:c r="L2238" s="12"/>
      <x:c r="M2238" s="12"/>
      <x:c r="N2238" s="12"/>
      <x:c r="O2238" s="12"/>
    </x:row>
    <x:row r="2239" ht="24" customHeight="1">
      <x:c r="A2239" s="12" t="str">
        <x:v>配对C1减C0</x:v>
      </x:c>
      <x:c r="B2239" s="12" t="str">
        <x:v>任一目标</x:v>
      </x:c>
      <x:c r="C2239" s="12" t="str">
        <x:v>配对差值</x:v>
      </x:c>
      <x:c r="D2239" s="12" t="str">
        <x:v>max</x:v>
      </x:c>
      <x:c r="E2239" s="12" t="str">
        <x:v>15958</x:v>
      </x:c>
      <x:c r="F2239" s="12" t="str">
        <x:v>16462</x:v>
      </x:c>
      <x:c r="G2239" s="12" t="str">
        <x:v>原110</x:v>
      </x:c>
      <x:c r="H2239" s="12" t="str">
        <x:v>新001</x:v>
      </x:c>
      <x:c r="I2239" s="12" t="str">
        <x:v>自动110</x:v>
      </x:c>
      <x:c r="J2239" s="12" t="str">
        <x:v>每行一名不同患者；此端点清单内共享名额</x:v>
      </x:c>
      <x:c r="K2239" s="12"/>
      <x:c r="L2239" s="12"/>
      <x:c r="M2239" s="12"/>
      <x:c r="N2239" s="12"/>
      <x:c r="O2239" s="12"/>
    </x:row>
    <x:row r="2240" ht="24" customHeight="1">
      <x:c r="A2240" s="12" t="str">
        <x:v>配对C1减C0</x:v>
      </x:c>
      <x:c r="B2240" s="12" t="str">
        <x:v>任一目标</x:v>
      </x:c>
      <x:c r="C2240" s="12" t="str">
        <x:v>配对差值</x:v>
      </x:c>
      <x:c r="D2240" s="12" t="str">
        <x:v>max</x:v>
      </x:c>
      <x:c r="E2240" s="12" t="str">
        <x:v>20100</x:v>
      </x:c>
      <x:c r="F2240" s="12" t="str">
        <x:v>20027</x:v>
      </x:c>
      <x:c r="G2240" s="12" t="str">
        <x:v>原110</x:v>
      </x:c>
      <x:c r="H2240" s="12" t="str">
        <x:v>新001</x:v>
      </x:c>
      <x:c r="I2240" s="12" t="str">
        <x:v>自动110</x:v>
      </x:c>
      <x:c r="J2240" s="12" t="str">
        <x:v>每行一名不同患者；此端点清单内共享名额</x:v>
      </x:c>
      <x:c r="K2240" s="12"/>
      <x:c r="L2240" s="12"/>
      <x:c r="M2240" s="12"/>
      <x:c r="N2240" s="12"/>
      <x:c r="O2240" s="12"/>
    </x:row>
    <x:row r="2241" ht="24" customHeight="1">
      <x:c r="A2241" s="12" t="str">
        <x:v>配对C1减C0</x:v>
      </x:c>
      <x:c r="B2241" s="12" t="str">
        <x:v>任一目标</x:v>
      </x:c>
      <x:c r="C2241" s="12" t="str">
        <x:v>配对差值</x:v>
      </x:c>
      <x:c r="D2241" s="12" t="str">
        <x:v>max</x:v>
      </x:c>
      <x:c r="E2241" s="12" t="str">
        <x:v>20966</x:v>
      </x:c>
      <x:c r="F2241" s="12" t="str">
        <x:v>19420</x:v>
      </x:c>
      <x:c r="G2241" s="12" t="str">
        <x:v>原110</x:v>
      </x:c>
      <x:c r="H2241" s="12" t="str">
        <x:v>新001</x:v>
      </x:c>
      <x:c r="I2241" s="12" t="str">
        <x:v>自动110</x:v>
      </x:c>
      <x:c r="J2241" s="12" t="str">
        <x:v>每行一名不同患者；此端点清单内共享名额</x:v>
      </x:c>
      <x:c r="K2241" s="12"/>
      <x:c r="L2241" s="12"/>
      <x:c r="M2241" s="12"/>
      <x:c r="N2241" s="12"/>
      <x:c r="O2241" s="12"/>
    </x:row>
    <x:row r="2242" ht="24" customHeight="1">
      <x:c r="A2242" s="12" t="str">
        <x:v>重算C1</x:v>
      </x:c>
      <x:c r="B2242" s="12" t="str">
        <x:v>全部患者</x:v>
      </x:c>
      <x:c r="C2242" s="12" t="str">
        <x:v>优先人数</x:v>
      </x:c>
      <x:c r="D2242" s="12" t="str">
        <x:v>min</x:v>
      </x:c>
      <x:c r="E2242" s="12" t="str">
        <x:v>569</x:v>
      </x:c>
      <x:c r="F2242" s="12" t="str">
        <x:v>2936</x:v>
      </x:c>
      <x:c r="G2242" s="12" t="str">
        <x:v>原100</x:v>
      </x:c>
      <x:c r="H2242" s="12" t="str">
        <x:v>新101</x:v>
      </x:c>
      <x:c r="I2242" s="12" t="str">
        <x:v>自动101</x:v>
      </x:c>
      <x:c r="J2242" s="12" t="str">
        <x:v>每行一名不同患者；此端点清单内共享名额</x:v>
      </x:c>
      <x:c r="K2242" s="12"/>
      <x:c r="L2242" s="12"/>
      <x:c r="M2242" s="12"/>
      <x:c r="N2242" s="12"/>
      <x:c r="O2242" s="12"/>
    </x:row>
    <x:row r="2243" ht="24" customHeight="1">
      <x:c r="A2243" s="12" t="str">
        <x:v>重算C1</x:v>
      </x:c>
      <x:c r="B2243" s="12" t="str">
        <x:v>全部患者</x:v>
      </x:c>
      <x:c r="C2243" s="12" t="str">
        <x:v>优先人数</x:v>
      </x:c>
      <x:c r="D2243" s="12" t="str">
        <x:v>min</x:v>
      </x:c>
      <x:c r="E2243" s="12" t="str">
        <x:v>19305</x:v>
      </x:c>
      <x:c r="F2243" s="12" t="str">
        <x:v>15115</x:v>
      </x:c>
      <x:c r="G2243" s="12" t="str">
        <x:v>原100</x:v>
      </x:c>
      <x:c r="H2243" s="12" t="str">
        <x:v>新110</x:v>
      </x:c>
      <x:c r="I2243" s="12" t="str">
        <x:v>自动110</x:v>
      </x:c>
      <x:c r="J2243" s="12" t="str">
        <x:v>每行一名不同患者；此端点清单内共享名额</x:v>
      </x:c>
      <x:c r="K2243" s="12"/>
      <x:c r="L2243" s="12"/>
      <x:c r="M2243" s="12"/>
      <x:c r="N2243" s="12"/>
      <x:c r="O2243" s="12"/>
    </x:row>
    <x:row r="2244" ht="24" customHeight="1">
      <x:c r="A2244" s="12" t="str">
        <x:v>重算C1</x:v>
      </x:c>
      <x:c r="B2244" s="12" t="str">
        <x:v>全部患者</x:v>
      </x:c>
      <x:c r="C2244" s="12" t="str">
        <x:v>优先人数</x:v>
      </x:c>
      <x:c r="D2244" s="12" t="str">
        <x:v>min</x:v>
      </x:c>
      <x:c r="E2244" s="12" t="str">
        <x:v>8041</x:v>
      </x:c>
      <x:c r="F2244" s="12" t="str">
        <x:v>3434</x:v>
      </x:c>
      <x:c r="G2244" s="12" t="str">
        <x:v>原101</x:v>
      </x:c>
      <x:c r="H2244" s="12" t="str">
        <x:v>新001</x:v>
      </x:c>
      <x:c r="I2244" s="12" t="str">
        <x:v>自动001</x:v>
      </x:c>
      <x:c r="J2244" s="12" t="str">
        <x:v>每行一名不同患者；此端点清单内共享名额</x:v>
      </x:c>
      <x:c r="K2244" s="12"/>
      <x:c r="L2244" s="12"/>
      <x:c r="M2244" s="12"/>
      <x:c r="N2244" s="12"/>
      <x:c r="O2244" s="12"/>
    </x:row>
    <x:row r="2245" ht="24" customHeight="1">
      <x:c r="A2245" s="12" t="str">
        <x:v>重算C1</x:v>
      </x:c>
      <x:c r="B2245" s="12" t="str">
        <x:v>全部患者</x:v>
      </x:c>
      <x:c r="C2245" s="12" t="str">
        <x:v>优先人数</x:v>
      </x:c>
      <x:c r="D2245" s="12" t="str">
        <x:v>min</x:v>
      </x:c>
      <x:c r="E2245" s="12" t="str">
        <x:v>19906</x:v>
      </x:c>
      <x:c r="F2245" s="12" t="str">
        <x:v>14689</x:v>
      </x:c>
      <x:c r="G2245" s="12" t="str">
        <x:v>原101</x:v>
      </x:c>
      <x:c r="H2245" s="12" t="str">
        <x:v>新001</x:v>
      </x:c>
      <x:c r="I2245" s="12" t="str">
        <x:v>自动001</x:v>
      </x:c>
      <x:c r="J2245" s="12" t="str">
        <x:v>每行一名不同患者；此端点清单内共享名额</x:v>
      </x:c>
      <x:c r="K2245" s="12"/>
      <x:c r="L2245" s="12"/>
      <x:c r="M2245" s="12"/>
      <x:c r="N2245" s="12"/>
      <x:c r="O2245" s="12"/>
    </x:row>
    <x:row r="2246" ht="24" customHeight="1">
      <x:c r="A2246" s="12" t="str">
        <x:v>重算C1</x:v>
      </x:c>
      <x:c r="B2246" s="12" t="str">
        <x:v>全部患者</x:v>
      </x:c>
      <x:c r="C2246" s="12" t="str">
        <x:v>优先人数</x:v>
      </x:c>
      <x:c r="D2246" s="12" t="str">
        <x:v>min</x:v>
      </x:c>
      <x:c r="E2246" s="12" t="str">
        <x:v>20674</x:v>
      </x:c>
      <x:c r="F2246" s="12" t="str">
        <x:v>18246</x:v>
      </x:c>
      <x:c r="G2246" s="12" t="str">
        <x:v>原101</x:v>
      </x:c>
      <x:c r="H2246" s="12" t="str">
        <x:v>新001</x:v>
      </x:c>
      <x:c r="I2246" s="12" t="str">
        <x:v>自动001</x:v>
      </x:c>
      <x:c r="J2246" s="12" t="str">
        <x:v>每行一名不同患者；此端点清单内共享名额</x:v>
      </x:c>
      <x:c r="K2246" s="12"/>
      <x:c r="L2246" s="12"/>
      <x:c r="M2246" s="12"/>
      <x:c r="N2246" s="12"/>
      <x:c r="O2246" s="12"/>
    </x:row>
    <x:row r="2247" ht="24" customHeight="1">
      <x:c r="A2247" s="12" t="str">
        <x:v>重算C1</x:v>
      </x:c>
      <x:c r="B2247" s="12" t="str">
        <x:v>全部患者</x:v>
      </x:c>
      <x:c r="C2247" s="12" t="str">
        <x:v>优先人数</x:v>
      </x:c>
      <x:c r="D2247" s="12" t="str">
        <x:v>max</x:v>
      </x:c>
      <x:c r="E2247" s="12" t="str">
        <x:v>3947</x:v>
      </x:c>
      <x:c r="F2247" s="12" t="str">
        <x:v>17456</x:v>
      </x:c>
      <x:c r="G2247" s="12" t="str">
        <x:v>原101</x:v>
      </x:c>
      <x:c r="H2247" s="12" t="str">
        <x:v>新000</x:v>
      </x:c>
      <x:c r="I2247" s="12" t="str">
        <x:v>自动101</x:v>
      </x:c>
      <x:c r="J2247" s="12" t="str">
        <x:v>每行一名不同患者；此端点清单内共享名额</x:v>
      </x:c>
      <x:c r="K2247" s="12"/>
      <x:c r="L2247" s="12"/>
      <x:c r="M2247" s="12"/>
      <x:c r="N2247" s="12"/>
      <x:c r="O2247" s="12"/>
    </x:row>
    <x:row r="2248" ht="24" customHeight="1">
      <x:c r="A2248" s="12" t="str">
        <x:v>重算C1</x:v>
      </x:c>
      <x:c r="B2248" s="12" t="str">
        <x:v>全部患者</x:v>
      </x:c>
      <x:c r="C2248" s="12" t="str">
        <x:v>优先人数</x:v>
      </x:c>
      <x:c r="D2248" s="12" t="str">
        <x:v>max</x:v>
      </x:c>
      <x:c r="E2248" s="12" t="str">
        <x:v>15447</x:v>
      </x:c>
      <x:c r="F2248" s="12" t="str">
        <x:v>8521</x:v>
      </x:c>
      <x:c r="G2248" s="12" t="str">
        <x:v>原110</x:v>
      </x:c>
      <x:c r="H2248" s="12" t="str">
        <x:v>新000</x:v>
      </x:c>
      <x:c r="I2248" s="12" t="str">
        <x:v>自动110</x:v>
      </x:c>
      <x:c r="J2248" s="12" t="str">
        <x:v>每行一名不同患者；此端点清单内共享名额</x:v>
      </x:c>
      <x:c r="K2248" s="12"/>
      <x:c r="L2248" s="12"/>
      <x:c r="M2248" s="12"/>
      <x:c r="N2248" s="12"/>
      <x:c r="O2248" s="12"/>
    </x:row>
    <x:row r="2249" ht="24" customHeight="1">
      <x:c r="A2249" s="12" t="str">
        <x:v>重算C1</x:v>
      </x:c>
      <x:c r="B2249" s="12" t="str">
        <x:v>全部患者</x:v>
      </x:c>
      <x:c r="C2249" s="12" t="str">
        <x:v>优先人数</x:v>
      </x:c>
      <x:c r="D2249" s="12" t="str">
        <x:v>max</x:v>
      </x:c>
      <x:c r="E2249" s="12" t="str">
        <x:v>15958</x:v>
      </x:c>
      <x:c r="F2249" s="12" t="str">
        <x:v>16462</x:v>
      </x:c>
      <x:c r="G2249" s="12" t="str">
        <x:v>原110</x:v>
      </x:c>
      <x:c r="H2249" s="12" t="str">
        <x:v>新000</x:v>
      </x:c>
      <x:c r="I2249" s="12" t="str">
        <x:v>自动110</x:v>
      </x:c>
      <x:c r="J2249" s="12" t="str">
        <x:v>每行一名不同患者；此端点清单内共享名额</x:v>
      </x:c>
      <x:c r="K2249" s="12"/>
      <x:c r="L2249" s="12"/>
      <x:c r="M2249" s="12"/>
      <x:c r="N2249" s="12"/>
      <x:c r="O2249" s="12"/>
    </x:row>
    <x:row r="2250" ht="24" customHeight="1">
      <x:c r="A2250" s="12" t="str">
        <x:v>重算C1</x:v>
      </x:c>
      <x:c r="B2250" s="12" t="str">
        <x:v>全部患者</x:v>
      </x:c>
      <x:c r="C2250" s="12" t="str">
        <x:v>优先人数</x:v>
      </x:c>
      <x:c r="D2250" s="12" t="str">
        <x:v>max</x:v>
      </x:c>
      <x:c r="E2250" s="12" t="str">
        <x:v>20100</x:v>
      </x:c>
      <x:c r="F2250" s="12" t="str">
        <x:v>20027</x:v>
      </x:c>
      <x:c r="G2250" s="12" t="str">
        <x:v>原110</x:v>
      </x:c>
      <x:c r="H2250" s="12" t="str">
        <x:v>新000</x:v>
      </x:c>
      <x:c r="I2250" s="12" t="str">
        <x:v>自动110</x:v>
      </x:c>
      <x:c r="J2250" s="12" t="str">
        <x:v>每行一名不同患者；此端点清单内共享名额</x:v>
      </x:c>
      <x:c r="K2250" s="12"/>
      <x:c r="L2250" s="12"/>
      <x:c r="M2250" s="12"/>
      <x:c r="N2250" s="12"/>
      <x:c r="O2250" s="12"/>
    </x:row>
    <x:row r="2251" ht="24" customHeight="1">
      <x:c r="A2251" s="12" t="str">
        <x:v>重算C1</x:v>
      </x:c>
      <x:c r="B2251" s="12" t="str">
        <x:v>全部患者</x:v>
      </x:c>
      <x:c r="C2251" s="12" t="str">
        <x:v>优先人数</x:v>
      </x:c>
      <x:c r="D2251" s="12" t="str">
        <x:v>max</x:v>
      </x:c>
      <x:c r="E2251" s="12" t="str">
        <x:v>20966</x:v>
      </x:c>
      <x:c r="F2251" s="12" t="str">
        <x:v>19420</x:v>
      </x:c>
      <x:c r="G2251" s="12" t="str">
        <x:v>原110</x:v>
      </x:c>
      <x:c r="H2251" s="12" t="str">
        <x:v>新000</x:v>
      </x:c>
      <x:c r="I2251" s="12" t="str">
        <x:v>自动110</x:v>
      </x:c>
      <x:c r="J2251" s="12" t="str">
        <x:v>每行一名不同患者；此端点清单内共享名额</x:v>
      </x:c>
      <x:c r="K2251" s="12"/>
      <x:c r="L2251" s="12"/>
      <x:c r="M2251" s="12"/>
      <x:c r="N2251" s="12"/>
      <x:c r="O2251" s="12"/>
    </x:row>
    <x:row r="2252" ht="24" customHeight="1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2"/>
      <x:c r="L2252" s="12"/>
      <x:c r="M2252" s="12"/>
      <x:c r="N2252" s="12"/>
      <x:c r="O2252" s="12"/>
    </x:row>
    <x:row r="2253" ht="24" customHeight="1">
      <x:c r="A2253" s="12" t="str">
        <x:v>六项同时达到单项最坏阈值的最少人数</x:v>
      </x:c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2"/>
      <x:c r="L2253" s="12"/>
      <x:c r="M2253" s="12"/>
      <x:c r="N2253" s="12"/>
      <x:c r="O2253" s="12"/>
    </x:row>
    <x:row r="2254" ht="24" customHeight="1">
      <x:c r="A2254" s="16" t="str">
        <x:v>结论</x:v>
      </x:c>
      <x:c r="B2254" s="16" t="str">
        <x:v>最少改变人数</x:v>
      </x:c>
      <x:c r="C2254" s="16" t="str">
        <x:v>依据</x:v>
      </x:c>
      <x:c r="D2254" s="16"/>
      <x:c r="E2254" s="16"/>
      <x:c r="F2254" s="16"/>
      <x:c r="G2254" s="16"/>
      <x:c r="H2254" s="16"/>
      <x:c r="I2254" s="16"/>
      <x:c r="J2254" s="16"/>
      <x:c r="K2254" s="16"/>
      <x:c r="L2254" s="16"/>
      <x:c r="M2254" s="16"/>
      <x:c r="N2254" s="16"/>
      <x:c r="O2254" s="16"/>
    </x:row>
    <x:row r="2255" ht="24" customHeight="1">
      <x:c r="A2255" s="12" t="str">
        <x:v>联合可行名额</x:v>
      </x:c>
      <x:c r="B2255" s="12" t="n">
        <x:v>10</x:v>
      </x:c>
      <x:c r="C2255" s="12" t="str">
        <x:v>给更少名额M最有利的假设：每目标先最多增加x个自动阳性/新参考阴性，再把余下M−x名额全部用于去掉自动阴性/原参考阴性。该放宽仍达不到NPA阈值时，实际情景也不能达到。自动阳性集合不相交的两个目标，所需新增假阳性患者不能共享；逐M排除后以同一清单验证六指标，达到上下界相等。</x:v>
      </x:c>
      <x:c r="D2255" s="12"/>
      <x:c r="E2255" s="12"/>
      <x:c r="F2255" s="12"/>
      <x:c r="G2255" s="12"/>
      <x:c r="H2255" s="12"/>
      <x:c r="I2255" s="12"/>
      <x:c r="J2255" s="12"/>
      <x:c r="K2255" s="12"/>
      <x:c r="L2255" s="12"/>
      <x:c r="M2255" s="12"/>
      <x:c r="N2255" s="12"/>
      <x:c r="O2255" s="12"/>
    </x:row>
    <x:row r="2256" ht="24" customHeight="1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2"/>
      <x:c r="L2256" s="12"/>
      <x:c r="M2256" s="12"/>
      <x:c r="N2256" s="12"/>
      <x:c r="O2256" s="12"/>
    </x:row>
    <x:row r="2257" ht="24" customHeight="1">
      <x:c r="A2257" s="12" t="str">
        <x:v>同一份联合实现清单</x:v>
      </x:c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2"/>
      <x:c r="L2257" s="12"/>
      <x:c r="M2257" s="12"/>
      <x:c r="N2257" s="12"/>
      <x:c r="O2257" s="12"/>
    </x:row>
    <x:row r="2258" ht="24" customHeight="1">
      <x:c r="A2258" s="16" t="str">
        <x:v>ecg_id</x:v>
      </x:c>
      <x:c r="B2258" s="16" t="str">
        <x:v>patient_id</x:v>
      </x:c>
      <x:c r="C2258" s="16" t="str">
        <x:v>原参考向量</x:v>
      </x:c>
      <x:c r="D2258" s="16" t="str">
        <x:v>新参考向量</x:v>
      </x:c>
      <x:c r="E2258" s="16" t="str">
        <x:v>固定自动向量</x:v>
      </x:c>
      <x:c r="F2258" s="16"/>
      <x:c r="G2258" s="16"/>
      <x:c r="H2258" s="16"/>
      <x:c r="I2258" s="16"/>
      <x:c r="J2258" s="16"/>
      <x:c r="K2258" s="16"/>
      <x:c r="L2258" s="16"/>
      <x:c r="M2258" s="16"/>
      <x:c r="N2258" s="16"/>
      <x:c r="O2258" s="16"/>
    </x:row>
    <x:row r="2259" ht="24" customHeight="1">
      <x:c r="A2259" s="12" t="str">
        <x:v>180</x:v>
      </x:c>
      <x:c r="B2259" s="12" t="str">
        <x:v>15592</x:v>
      </x:c>
      <x:c r="C2259" s="12" t="str">
        <x:v>原010</x:v>
      </x:c>
      <x:c r="D2259" s="12" t="str">
        <x:v>新101</x:v>
      </x:c>
      <x:c r="E2259" s="12" t="str">
        <x:v>自动010</x:v>
      </x:c>
      <x:c r="F2259" s="12"/>
      <x:c r="G2259" s="12"/>
      <x:c r="H2259" s="12"/>
      <x:c r="I2259" s="12"/>
      <x:c r="J2259" s="12"/>
      <x:c r="K2259" s="12"/>
      <x:c r="L2259" s="12"/>
      <x:c r="M2259" s="12"/>
      <x:c r="N2259" s="12"/>
      <x:c r="O2259" s="12"/>
    </x:row>
    <x:row r="2260" ht="24" customHeight="1">
      <x:c r="A2260" s="12" t="str">
        <x:v>618</x:v>
      </x:c>
      <x:c r="B2260" s="12" t="str">
        <x:v>6417</x:v>
      </x:c>
      <x:c r="C2260" s="12" t="str">
        <x:v>原010</x:v>
      </x:c>
      <x:c r="D2260" s="12" t="str">
        <x:v>新101</x:v>
      </x:c>
      <x:c r="E2260" s="12" t="str">
        <x:v>自动010</x:v>
      </x:c>
      <x:c r="F2260" s="12"/>
      <x:c r="G2260" s="12"/>
      <x:c r="H2260" s="12"/>
      <x:c r="I2260" s="12"/>
      <x:c r="J2260" s="12"/>
      <x:c r="K2260" s="12"/>
      <x:c r="L2260" s="12"/>
      <x:c r="M2260" s="12"/>
      <x:c r="N2260" s="12"/>
      <x:c r="O2260" s="12"/>
    </x:row>
    <x:row r="2261" ht="24" customHeight="1">
      <x:c r="A2261" s="12" t="str">
        <x:v>1056</x:v>
      </x:c>
      <x:c r="B2261" s="12" t="str">
        <x:v>7772</x:v>
      </x:c>
      <x:c r="C2261" s="12" t="str">
        <x:v>原010</x:v>
      </x:c>
      <x:c r="D2261" s="12" t="str">
        <x:v>新101</x:v>
      </x:c>
      <x:c r="E2261" s="12" t="str">
        <x:v>自动010</x:v>
      </x:c>
      <x:c r="F2261" s="12"/>
      <x:c r="G2261" s="12"/>
      <x:c r="H2261" s="12"/>
      <x:c r="I2261" s="12"/>
      <x:c r="J2261" s="12"/>
      <x:c r="K2261" s="12"/>
      <x:c r="L2261" s="12"/>
      <x:c r="M2261" s="12"/>
      <x:c r="N2261" s="12"/>
      <x:c r="O2261" s="12"/>
    </x:row>
    <x:row r="2262" ht="24" customHeight="1">
      <x:c r="A2262" s="12" t="str">
        <x:v>1564</x:v>
      </x:c>
      <x:c r="B2262" s="12" t="str">
        <x:v>2281</x:v>
      </x:c>
      <x:c r="C2262" s="12" t="str">
        <x:v>原010</x:v>
      </x:c>
      <x:c r="D2262" s="12" t="str">
        <x:v>新101</x:v>
      </x:c>
      <x:c r="E2262" s="12" t="str">
        <x:v>自动010</x:v>
      </x:c>
      <x:c r="F2262" s="12"/>
      <x:c r="G2262" s="12"/>
      <x:c r="H2262" s="12"/>
      <x:c r="I2262" s="12"/>
      <x:c r="J2262" s="12"/>
      <x:c r="K2262" s="12"/>
      <x:c r="L2262" s="12"/>
      <x:c r="M2262" s="12"/>
      <x:c r="N2262" s="12"/>
      <x:c r="O2262" s="12"/>
    </x:row>
    <x:row r="2263" ht="24" customHeight="1">
      <x:c r="A2263" s="12" t="str">
        <x:v>3479</x:v>
      </x:c>
      <x:c r="B2263" s="12" t="str">
        <x:v>16121</x:v>
      </x:c>
      <x:c r="C2263" s="12" t="str">
        <x:v>原010</x:v>
      </x:c>
      <x:c r="D2263" s="12" t="str">
        <x:v>新101</x:v>
      </x:c>
      <x:c r="E2263" s="12" t="str">
        <x:v>自动010</x:v>
      </x:c>
      <x:c r="F2263" s="12"/>
      <x:c r="G2263" s="12"/>
      <x:c r="H2263" s="12"/>
      <x:c r="I2263" s="12"/>
      <x:c r="J2263" s="12"/>
      <x:c r="K2263" s="12"/>
      <x:c r="L2263" s="12"/>
      <x:c r="M2263" s="12"/>
      <x:c r="N2263" s="12"/>
      <x:c r="O2263" s="12"/>
    </x:row>
    <x:row r="2264" ht="24" customHeight="1">
      <x:c r="A2264" s="12" t="str">
        <x:v>3947</x:v>
      </x:c>
      <x:c r="B2264" s="12" t="str">
        <x:v>17456</x:v>
      </x:c>
      <x:c r="C2264" s="12" t="str">
        <x:v>原101</x:v>
      </x:c>
      <x:c r="D2264" s="12" t="str">
        <x:v>新010</x:v>
      </x:c>
      <x:c r="E2264" s="12" t="str">
        <x:v>自动101</x:v>
      </x:c>
      <x:c r="F2264" s="12"/>
      <x:c r="G2264" s="12"/>
      <x:c r="H2264" s="12"/>
      <x:c r="I2264" s="12"/>
      <x:c r="J2264" s="12"/>
      <x:c r="K2264" s="12"/>
      <x:c r="L2264" s="12"/>
      <x:c r="M2264" s="12"/>
      <x:c r="N2264" s="12"/>
      <x:c r="O2264" s="12"/>
    </x:row>
    <x:row r="2265" ht="24" customHeight="1">
      <x:c r="A2265" s="12" t="str">
        <x:v>8680</x:v>
      </x:c>
      <x:c r="B2265" s="12" t="str">
        <x:v>7343</x:v>
      </x:c>
      <x:c r="C2265" s="12" t="str">
        <x:v>原101</x:v>
      </x:c>
      <x:c r="D2265" s="12" t="str">
        <x:v>新010</x:v>
      </x:c>
      <x:c r="E2265" s="12" t="str">
        <x:v>自动101</x:v>
      </x:c>
      <x:c r="F2265" s="12"/>
      <x:c r="G2265" s="12"/>
      <x:c r="H2265" s="12"/>
      <x:c r="I2265" s="12"/>
      <x:c r="J2265" s="12"/>
      <x:c r="K2265" s="12"/>
      <x:c r="L2265" s="12"/>
      <x:c r="M2265" s="12"/>
      <x:c r="N2265" s="12"/>
      <x:c r="O2265" s="12"/>
    </x:row>
    <x:row r="2266" ht="24" customHeight="1">
      <x:c r="A2266" s="12" t="str">
        <x:v>9929</x:v>
      </x:c>
      <x:c r="B2266" s="12" t="str">
        <x:v>11217</x:v>
      </x:c>
      <x:c r="C2266" s="12" t="str">
        <x:v>原101</x:v>
      </x:c>
      <x:c r="D2266" s="12" t="str">
        <x:v>新010</x:v>
      </x:c>
      <x:c r="E2266" s="12" t="str">
        <x:v>自动101</x:v>
      </x:c>
      <x:c r="F2266" s="12"/>
      <x:c r="G2266" s="12"/>
      <x:c r="H2266" s="12"/>
      <x:c r="I2266" s="12"/>
      <x:c r="J2266" s="12"/>
      <x:c r="K2266" s="12"/>
      <x:c r="L2266" s="12"/>
      <x:c r="M2266" s="12"/>
      <x:c r="N2266" s="12"/>
      <x:c r="O2266" s="12"/>
    </x:row>
    <x:row r="2267" ht="24" customHeight="1">
      <x:c r="A2267" s="12" t="str">
        <x:v>13849</x:v>
      </x:c>
      <x:c r="B2267" s="12" t="str">
        <x:v>13343</x:v>
      </x:c>
      <x:c r="C2267" s="12" t="str">
        <x:v>原101</x:v>
      </x:c>
      <x:c r="D2267" s="12" t="str">
        <x:v>新010</x:v>
      </x:c>
      <x:c r="E2267" s="12" t="str">
        <x:v>自动101</x:v>
      </x:c>
      <x:c r="F2267" s="12"/>
      <x:c r="G2267" s="12"/>
      <x:c r="H2267" s="12"/>
      <x:c r="I2267" s="12"/>
      <x:c r="J2267" s="12"/>
      <x:c r="K2267" s="12"/>
      <x:c r="L2267" s="12"/>
      <x:c r="M2267" s="12"/>
      <x:c r="N2267" s="12"/>
      <x:c r="O2267" s="12"/>
    </x:row>
    <x:row r="2268" ht="24" customHeight="1">
      <x:c r="A2268" s="12" t="str">
        <x:v>18671</x:v>
      </x:c>
      <x:c r="B2268" s="12" t="str">
        <x:v>9441</x:v>
      </x:c>
      <x:c r="C2268" s="12" t="str">
        <x:v>原101</x:v>
      </x:c>
      <x:c r="D2268" s="12" t="str">
        <x:v>新010</x:v>
      </x:c>
      <x:c r="E2268" s="12" t="str">
        <x:v>自动101</x:v>
      </x:c>
      <x:c r="F2268" s="12"/>
      <x:c r="G2268" s="12"/>
      <x:c r="H2268" s="12"/>
      <x:c r="I2268" s="12"/>
      <x:c r="J2268" s="12"/>
      <x:c r="K2268" s="12"/>
      <x:c r="L2268" s="12"/>
      <x:c r="M2268" s="12"/>
      <x:c r="N2268" s="12"/>
      <x:c r="O2268" s="12"/>
    </x:row>
    <x:row r="2269" ht="24" customHeight="1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2"/>
      <x:c r="L2269" s="12"/>
      <x:c r="M2269" s="12"/>
      <x:c r="N2269" s="12"/>
      <x:c r="O2269" s="12"/>
    </x:row>
    <x:row r="2270" ht="24" customHeight="1">
      <x:c r="A2270" s="12" t="str">
        <x:v>联合实现清单的六个比例</x:v>
      </x:c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2"/>
      <x:c r="L2270" s="12"/>
      <x:c r="M2270" s="12"/>
      <x:c r="N2270" s="12"/>
      <x:c r="O2270" s="12"/>
    </x:row>
    <x:row r="2271" ht="39" customHeight="1">
      <x:c r="A2271" s="16" t="str">
        <x:v>目标</x:v>
      </x:c>
      <x:c r="B2271" s="16" t="str">
        <x:v>量</x:v>
      </x:c>
      <x:c r="C2271" s="16" t="str">
        <x:v>分子</x:v>
      </x:c>
      <x:c r="D2271" s="16" t="str">
        <x:v>分母</x:v>
      </x:c>
      <x:c r="E2271" s="16" t="str">
        <x:v>联合比例</x:v>
      </x:c>
      <x:c r="F2271" s="16" t="str">
        <x:v>各自K=5阈值（精确）</x:v>
      </x:c>
      <x:c r="G2271" s="16"/>
      <x:c r="H2271" s="16"/>
      <x:c r="I2271" s="16"/>
      <x:c r="J2271" s="16"/>
      <x:c r="K2271" s="16"/>
      <x:c r="L2271" s="16"/>
      <x:c r="M2271" s="16"/>
      <x:c r="N2271" s="16"/>
      <x:c r="O2271" s="16"/>
    </x:row>
    <x:row r="2272" ht="24" customHeight="1">
      <x:c r="A2272" s="12" t="str">
        <x:v>AFIB</x:v>
      </x:c>
      <x:c r="B2272" s="12" t="str">
        <x:v>PPA</x:v>
      </x:c>
      <x:c r="C2272" s="12" t="n">
        <x:v>88</x:v>
      </x:c>
      <x:c r="D2272" s="12" t="n">
        <x:v>114</x:v>
      </x:c>
      <x:c r="E2272" s="14" t="n">
        <x:f>C2272/D2272</x:f>
        <x:v>0.7719298245614035</x:v>
      </x:c>
      <x:c r="F2272" s="12" t="str">
        <x:v>93/119</x:v>
      </x:c>
      <x:c r="G2272" s="12"/>
      <x:c r="H2272" s="12"/>
      <x:c r="I2272" s="12"/>
      <x:c r="J2272" s="12"/>
      <x:c r="K2272" s="12"/>
      <x:c r="L2272" s="12"/>
      <x:c r="M2272" s="12"/>
      <x:c r="N2272" s="12"/>
      <x:c r="O2272" s="12"/>
    </x:row>
    <x:row r="2273" ht="24" customHeight="1">
      <x:c r="A2273" s="12" t="str">
        <x:v>AFIB</x:v>
      </x:c>
      <x:c r="B2273" s="12" t="str">
        <x:v>NPA</x:v>
      </x:c>
      <x:c r="C2273" s="12" t="n">
        <x:v>1766</x:v>
      </x:c>
      <x:c r="D2273" s="12" t="n">
        <x:v>1779</x:v>
      </x:c>
      <x:c r="E2273" s="14" t="n">
        <x:f>C2273/D2273</x:f>
        <x:v>0.9926925238898258</x:v>
      </x:c>
      <x:c r="F2273" s="12" t="str">
        <x:v>1771/1784</x:v>
      </x:c>
      <x:c r="G2273" s="12"/>
      <x:c r="H2273" s="12"/>
      <x:c r="I2273" s="12"/>
      <x:c r="J2273" s="12"/>
      <x:c r="K2273" s="12"/>
      <x:c r="L2273" s="12"/>
      <x:c r="M2273" s="12"/>
      <x:c r="N2273" s="12"/>
      <x:c r="O2273" s="12"/>
    </x:row>
    <x:row r="2274" ht="24" customHeight="1">
      <x:c r="A2274" s="12" t="str">
        <x:v>CLBBB</x:v>
      </x:c>
      <x:c r="B2274" s="12" t="str">
        <x:v>PPA</x:v>
      </x:c>
      <x:c r="C2274" s="12" t="n">
        <x:v>31</x:v>
      </x:c>
      <x:c r="D2274" s="12" t="n">
        <x:v>39</x:v>
      </x:c>
      <x:c r="E2274" s="14" t="n">
        <x:f>C2274/D2274</x:f>
        <x:v>0.7948717948717948</x:v>
      </x:c>
      <x:c r="F2274" s="12" t="str">
        <x:v>9/11</x:v>
      </x:c>
      <x:c r="G2274" s="12"/>
      <x:c r="H2274" s="12"/>
      <x:c r="I2274" s="12"/>
      <x:c r="J2274" s="12"/>
      <x:c r="K2274" s="12"/>
      <x:c r="L2274" s="12"/>
      <x:c r="M2274" s="12"/>
      <x:c r="N2274" s="12"/>
      <x:c r="O2274" s="12"/>
    </x:row>
    <x:row r="2275" ht="24" customHeight="1">
      <x:c r="A2275" s="12" t="str">
        <x:v>CLBBB</x:v>
      </x:c>
      <x:c r="B2275" s="12" t="str">
        <x:v>NPA</x:v>
      </x:c>
      <x:c r="C2275" s="12" t="n">
        <x:v>1844</x:v>
      </x:c>
      <x:c r="D2275" s="12" t="n">
        <x:v>1854</x:v>
      </x:c>
      <x:c r="E2275" s="14" t="n">
        <x:f>C2275/D2275</x:f>
        <x:v>0.9946062567421791</x:v>
      </x:c>
      <x:c r="F2275" s="12" t="str">
        <x:v>1849/1859</x:v>
      </x:c>
      <x:c r="G2275" s="12"/>
      <x:c r="H2275" s="12"/>
      <x:c r="I2275" s="12"/>
      <x:c r="J2275" s="12"/>
      <x:c r="K2275" s="12"/>
      <x:c r="L2275" s="12"/>
      <x:c r="M2275" s="12"/>
      <x:c r="N2275" s="12"/>
      <x:c r="O2275" s="12"/>
    </x:row>
    <x:row r="2276" ht="24" customHeight="1">
      <x:c r="A2276" s="12" t="str">
        <x:v>CRBBB</x:v>
      </x:c>
      <x:c r="B2276" s="12" t="str">
        <x:v>PPA</x:v>
      </x:c>
      <x:c r="C2276" s="12" t="n">
        <x:v>39</x:v>
      </x:c>
      <x:c r="D2276" s="12" t="n">
        <x:v>45</x:v>
      </x:c>
      <x:c r="E2276" s="14" t="n">
        <x:f>C2276/D2276</x:f>
        <x:v>0.8666666666666667</x:v>
      </x:c>
      <x:c r="F2276" s="12" t="str">
        <x:v>22/25</x:v>
      </x:c>
      <x:c r="G2276" s="12"/>
      <x:c r="H2276" s="12"/>
      <x:c r="I2276" s="12"/>
      <x:c r="J2276" s="12"/>
      <x:c r="K2276" s="12"/>
      <x:c r="L2276" s="12"/>
      <x:c r="M2276" s="12"/>
      <x:c r="N2276" s="12"/>
      <x:c r="O2276" s="12"/>
    </x:row>
    <x:row r="2277" ht="24" customHeight="1">
      <x:c r="A2277" s="12" t="str">
        <x:v>CRBBB</x:v>
      </x:c>
      <x:c r="B2277" s="12" t="str">
        <x:v>NPA</x:v>
      </x:c>
      <x:c r="C2277" s="12" t="n">
        <x:v>1824</x:v>
      </x:c>
      <x:c r="D2277" s="12" t="n">
        <x:v>1848</x:v>
      </x:c>
      <x:c r="E2277" s="14" t="n">
        <x:f>C2277/D2277</x:f>
        <x:v>0.987012987012987</x:v>
      </x:c>
      <x:c r="F2277" s="12" t="str">
        <x:v>1829/1853</x:v>
      </x:c>
      <x:c r="G2277" s="12"/>
      <x:c r="H2277" s="12"/>
      <x:c r="I2277" s="12"/>
      <x:c r="J2277" s="12"/>
      <x:c r="K2277" s="12"/>
      <x:c r="L2277" s="12"/>
      <x:c r="M2277" s="12"/>
      <x:c r="N2277" s="12"/>
      <x:c r="O2277" s="12"/>
    </x:row>
    <x:row r="2278" ht="24" customHeight="1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2"/>
      <x:c r="L2278" s="12"/>
      <x:c r="M2278" s="12"/>
      <x:c r="N2278" s="12"/>
      <x:c r="O2278" s="12"/>
    </x:row>
    <x:row r="2279" ht="24" customHeight="1">
      <x:c r="A2279" s="12" t="str">
        <x:v>排除更少患者的名额下界</x:v>
      </x:c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2"/>
      <x:c r="L2279" s="12"/>
      <x:c r="M2279" s="12"/>
      <x:c r="N2279" s="12"/>
      <x:c r="O2279" s="12"/>
    </x:row>
    <x:row r="2280" ht="39" customHeight="1">
      <x:c r="A2280" s="16" t="str">
        <x:v>总名额M</x:v>
      </x:c>
      <x:c r="B2280" s="16" t="str">
        <x:v>AFIB必要新增假阳性</x:v>
      </x:c>
      <x:c r="C2280" s="16" t="str">
        <x:v>CLBBB必要新增假阳性</x:v>
      </x:c>
      <x:c r="D2280" s="16" t="str">
        <x:v>CRBBB必要新增假阳性</x:v>
      </x:c>
      <x:c r="E2280" s="16" t="str">
        <x:v>不交叠目标名额排除</x:v>
      </x:c>
      <x:c r="F2280" s="16"/>
      <x:c r="G2280" s="16"/>
      <x:c r="H2280" s="16"/>
      <x:c r="I2280" s="16"/>
      <x:c r="J2280" s="16"/>
      <x:c r="K2280" s="16"/>
      <x:c r="L2280" s="16"/>
      <x:c r="M2280" s="16"/>
      <x:c r="N2280" s="16"/>
      <x:c r="O2280" s="16"/>
    </x:row>
    <x:row r="2281" ht="24" customHeight="1">
      <x:c r="A2281" s="12" t="n">
        <x:v>0</x:v>
      </x:c>
      <x:c r="B2281" s="12" t="n">
        <x:v>1</x:v>
      </x:c>
      <x:c r="C2281" s="12" t="n">
        <x:v>1</x:v>
      </x:c>
      <x:c r="D2281" s="12" t="n">
        <x:v>1</x:v>
      </x:c>
      <x:c r="E2281" s="12" t="str">
        <x:v>True</x:v>
      </x:c>
      <x:c r="F2281" s="12"/>
      <x:c r="G2281" s="12"/>
      <x:c r="H2281" s="12"/>
      <x:c r="I2281" s="12"/>
      <x:c r="J2281" s="12"/>
      <x:c r="K2281" s="12"/>
      <x:c r="L2281" s="12"/>
      <x:c r="M2281" s="12"/>
      <x:c r="N2281" s="12"/>
      <x:c r="O2281" s="12"/>
    </x:row>
    <x:row r="2282" ht="24" customHeight="1">
      <x:c r="A2282" s="12" t="n">
        <x:v>1</x:v>
      </x:c>
      <x:c r="B2282" s="12" t="n">
        <x:v>2</x:v>
      </x:c>
      <x:c r="C2282" s="12" t="n">
        <x:v>2</x:v>
      </x:c>
      <x:c r="D2282" s="12" t="n">
        <x:v>2</x:v>
      </x:c>
      <x:c r="E2282" s="12" t="str">
        <x:v>True</x:v>
      </x:c>
      <x:c r="F2282" s="12"/>
      <x:c r="G2282" s="12"/>
      <x:c r="H2282" s="12"/>
      <x:c r="I2282" s="12"/>
      <x:c r="J2282" s="12"/>
      <x:c r="K2282" s="12"/>
      <x:c r="L2282" s="12"/>
      <x:c r="M2282" s="12"/>
      <x:c r="N2282" s="12"/>
      <x:c r="O2282" s="12"/>
    </x:row>
    <x:row r="2283" ht="24" customHeight="1">
      <x:c r="A2283" s="12" t="n">
        <x:v>2</x:v>
      </x:c>
      <x:c r="B2283" s="12" t="n">
        <x:v>3</x:v>
      </x:c>
      <x:c r="C2283" s="12" t="n">
        <x:v>3</x:v>
      </x:c>
      <x:c r="D2283" s="12" t="n">
        <x:v>3</x:v>
      </x:c>
      <x:c r="E2283" s="12" t="str">
        <x:v>True</x:v>
      </x:c>
      <x:c r="F2283" s="12"/>
      <x:c r="G2283" s="12"/>
      <x:c r="H2283" s="12"/>
      <x:c r="I2283" s="12"/>
      <x:c r="J2283" s="12"/>
      <x:c r="K2283" s="12"/>
      <x:c r="L2283" s="12"/>
      <x:c r="M2283" s="12"/>
      <x:c r="N2283" s="12"/>
      <x:c r="O2283" s="12"/>
    </x:row>
    <x:row r="2284" ht="24" customHeight="1">
      <x:c r="A2284" s="12" t="n">
        <x:v>3</x:v>
      </x:c>
      <x:c r="B2284" s="12" t="n">
        <x:v>4</x:v>
      </x:c>
      <x:c r="C2284" s="12" t="n">
        <x:v>4</x:v>
      </x:c>
      <x:c r="D2284" s="12" t="n">
        <x:v>4</x:v>
      </x:c>
      <x:c r="E2284" s="12" t="str">
        <x:v>True</x:v>
      </x:c>
      <x:c r="F2284" s="12"/>
      <x:c r="G2284" s="12"/>
      <x:c r="H2284" s="12"/>
      <x:c r="I2284" s="12"/>
      <x:c r="J2284" s="12"/>
      <x:c r="K2284" s="12"/>
      <x:c r="L2284" s="12"/>
      <x:c r="M2284" s="12"/>
      <x:c r="N2284" s="12"/>
      <x:c r="O2284" s="12"/>
    </x:row>
    <x:row r="2285" ht="24" customHeight="1">
      <x:c r="A2285" s="12" t="n">
        <x:v>4</x:v>
      </x:c>
      <x:c r="B2285" s="12" t="n">
        <x:v>5</x:v>
      </x:c>
      <x:c r="C2285" s="12" t="n">
        <x:v>5</x:v>
      </x:c>
      <x:c r="D2285" s="12" t="n">
        <x:v>5</x:v>
      </x:c>
      <x:c r="E2285" s="12" t="str">
        <x:v>True</x:v>
      </x:c>
      <x:c r="F2285" s="12"/>
      <x:c r="G2285" s="12"/>
      <x:c r="H2285" s="12"/>
      <x:c r="I2285" s="12"/>
      <x:c r="J2285" s="12"/>
      <x:c r="K2285" s="12"/>
      <x:c r="L2285" s="12"/>
      <x:c r="M2285" s="12"/>
      <x:c r="N2285" s="12"/>
      <x:c r="O2285" s="12"/>
    </x:row>
    <x:row r="2286" ht="24" customHeight="1">
      <x:c r="A2286" s="12" t="n">
        <x:v>5</x:v>
      </x:c>
      <x:c r="B2286" s="12" t="n">
        <x:v>5</x:v>
      </x:c>
      <x:c r="C2286" s="12" t="n">
        <x:v>5</x:v>
      </x:c>
      <x:c r="D2286" s="12" t="n">
        <x:v>5</x:v>
      </x:c>
      <x:c r="E2286" s="12" t="str">
        <x:v>True</x:v>
      </x:c>
      <x:c r="F2286" s="12"/>
      <x:c r="G2286" s="12"/>
      <x:c r="H2286" s="12"/>
      <x:c r="I2286" s="12"/>
      <x:c r="J2286" s="12"/>
      <x:c r="K2286" s="12"/>
      <x:c r="L2286" s="12"/>
      <x:c r="M2286" s="12"/>
      <x:c r="N2286" s="12"/>
      <x:c r="O2286" s="12"/>
    </x:row>
    <x:row r="2287" ht="24" customHeight="1">
      <x:c r="A2287" s="12" t="n">
        <x:v>6</x:v>
      </x:c>
      <x:c r="B2287" s="12" t="n">
        <x:v>5</x:v>
      </x:c>
      <x:c r="C2287" s="12" t="n">
        <x:v>5</x:v>
      </x:c>
      <x:c r="D2287" s="12" t="n">
        <x:v>5</x:v>
      </x:c>
      <x:c r="E2287" s="12" t="str">
        <x:v>True</x:v>
      </x:c>
      <x:c r="F2287" s="12"/>
      <x:c r="G2287" s="12"/>
      <x:c r="H2287" s="12"/>
      <x:c r="I2287" s="12"/>
      <x:c r="J2287" s="12"/>
      <x:c r="K2287" s="12"/>
      <x:c r="L2287" s="12"/>
      <x:c r="M2287" s="12"/>
      <x:c r="N2287" s="12"/>
      <x:c r="O2287" s="12"/>
    </x:row>
    <x:row r="2288" ht="24" customHeight="1">
      <x:c r="A2288" s="12" t="n">
        <x:v>7</x:v>
      </x:c>
      <x:c r="B2288" s="12" t="n">
        <x:v>5</x:v>
      </x:c>
      <x:c r="C2288" s="12" t="n">
        <x:v>5</x:v>
      </x:c>
      <x:c r="D2288" s="12" t="n">
        <x:v>5</x:v>
      </x:c>
      <x:c r="E2288" s="12" t="str">
        <x:v>True</x:v>
      </x:c>
      <x:c r="F2288" s="12"/>
      <x:c r="G2288" s="12"/>
      <x:c r="H2288" s="12"/>
      <x:c r="I2288" s="12"/>
      <x:c r="J2288" s="12"/>
      <x:c r="K2288" s="12"/>
      <x:c r="L2288" s="12"/>
      <x:c r="M2288" s="12"/>
      <x:c r="N2288" s="12"/>
      <x:c r="O2288" s="12"/>
    </x:row>
    <x:row r="2289" ht="24" customHeight="1">
      <x:c r="A2289" s="12" t="n">
        <x:v>8</x:v>
      </x:c>
      <x:c r="B2289" s="12" t="n">
        <x:v>5</x:v>
      </x:c>
      <x:c r="C2289" s="12" t="n">
        <x:v>5</x:v>
      </x:c>
      <x:c r="D2289" s="12" t="n">
        <x:v>5</x:v>
      </x:c>
      <x:c r="E2289" s="12" t="str">
        <x:v>True</x:v>
      </x:c>
      <x:c r="F2289" s="12"/>
      <x:c r="G2289" s="12"/>
      <x:c r="H2289" s="12"/>
      <x:c r="I2289" s="12"/>
      <x:c r="J2289" s="12"/>
      <x:c r="K2289" s="12"/>
      <x:c r="L2289" s="12"/>
      <x:c r="M2289" s="12"/>
      <x:c r="N2289" s="12"/>
      <x:c r="O2289" s="12"/>
    </x:row>
    <x:row r="2290" ht="24" customHeight="1">
      <x:c r="A2290" s="12" t="n">
        <x:v>9</x:v>
      </x:c>
      <x:c r="B2290" s="12" t="n">
        <x:v>5</x:v>
      </x:c>
      <x:c r="C2290" s="12" t="n">
        <x:v>5</x:v>
      </x:c>
      <x:c r="D2290" s="12" t="n">
        <x:v>5</x:v>
      </x:c>
      <x:c r="E2290" s="12" t="str">
        <x:v>True</x:v>
      </x:c>
      <x:c r="F2290" s="12"/>
      <x:c r="G2290" s="12"/>
      <x:c r="H2290" s="12"/>
      <x:c r="I2290" s="12"/>
      <x:c r="J2290" s="12"/>
      <x:c r="K2290" s="12"/>
      <x:c r="L2290" s="12"/>
      <x:c r="M2290" s="12"/>
      <x:c r="N2290" s="12"/>
      <x:c r="O2290" s="12"/>
    </x:row>
  </x:sheetData>
  <x:mergeCells>
    <x:mergeCell ref="A27:O27"/>
    <x:mergeCell ref="A1923:O1923"/>
    <x:mergeCell ref="L1925:O1925"/>
    <x:mergeCell ref="L1926:O1926"/>
    <x:mergeCell ref="L1927:O1927"/>
    <x:mergeCell ref="L1928:O1928"/>
    <x:mergeCell ref="L1929:O1929"/>
    <x:mergeCell ref="L1930:O1930"/>
    <x:mergeCell ref="L1931:O1931"/>
    <x:mergeCell ref="L1932:O1932"/>
    <x:mergeCell ref="L1933:O1933"/>
    <x:mergeCell ref="L1934:O1934"/>
    <x:mergeCell ref="L1935:O1935"/>
    <x:mergeCell ref="L1936:O1936"/>
    <x:mergeCell ref="L1937:O1937"/>
    <x:mergeCell ref="L1938:O1938"/>
    <x:mergeCell ref="L1939:O1939"/>
    <x:mergeCell ref="L1940:O1940"/>
    <x:mergeCell ref="L1941:O1941"/>
    <x:mergeCell ref="L1942:O1942"/>
    <x:mergeCell ref="L1943:O1943"/>
    <x:mergeCell ref="L1944:O1944"/>
    <x:mergeCell ref="L1945:O1945"/>
    <x:mergeCell ref="L1946:O1946"/>
    <x:mergeCell ref="L1947:O1947"/>
    <x:mergeCell ref="L1948:O1948"/>
    <x:mergeCell ref="L1949:O1949"/>
    <x:mergeCell ref="L1950:O1950"/>
    <x:mergeCell ref="L1951:O1951"/>
    <x:mergeCell ref="L1952:O1952"/>
    <x:mergeCell ref="L1953:O1953"/>
    <x:mergeCell ref="L1954:O1954"/>
    <x:mergeCell ref="L1955:O1955"/>
    <x:mergeCell ref="L1956:O1956"/>
    <x:mergeCell ref="L1957:O1957"/>
    <x:mergeCell ref="L1958:O1958"/>
    <x:mergeCell ref="L1959:O1959"/>
    <x:mergeCell ref="L1960:O1960"/>
    <x:mergeCell ref="L1961:O1961"/>
    <x:mergeCell ref="L1962:O1962"/>
    <x:mergeCell ref="L1963:O1963"/>
    <x:mergeCell ref="L1964:O1964"/>
    <x:mergeCell ref="L1965:O1965"/>
    <x:mergeCell ref="L1966:O1966"/>
    <x:mergeCell ref="L1967:O1967"/>
    <x:mergeCell ref="L1968:O1968"/>
    <x:mergeCell ref="L1969:O1969"/>
    <x:mergeCell ref="L1970:O1970"/>
    <x:mergeCell ref="L1971:O1971"/>
    <x:mergeCell ref="L1972:O1972"/>
    <x:mergeCell ref="L1973:O1973"/>
    <x:mergeCell ref="L1974:O1974"/>
    <x:mergeCell ref="L1975:O1975"/>
    <x:mergeCell ref="L1976:O1976"/>
    <x:mergeCell ref="L1977:O1977"/>
    <x:mergeCell ref="L1978:O1978"/>
    <x:mergeCell ref="L1979:O1979"/>
    <x:mergeCell ref="L1980:O1980"/>
    <x:mergeCell ref="L1981:O1981"/>
    <x:mergeCell ref="L1982:O1982"/>
    <x:mergeCell ref="A1984:O1984"/>
    <x:mergeCell ref="J1986:O1986"/>
    <x:mergeCell ref="J1987:O1987"/>
    <x:mergeCell ref="J1988:O1988"/>
    <x:mergeCell ref="J1989:O1989"/>
    <x:mergeCell ref="J1990:O1990"/>
    <x:mergeCell ref="J1991:O1991"/>
    <x:mergeCell ref="J1992:O1992"/>
    <x:mergeCell ref="J1993:O1993"/>
    <x:mergeCell ref="J1994:O1994"/>
    <x:mergeCell ref="J1995:O1995"/>
    <x:mergeCell ref="J1996:O1996"/>
    <x:mergeCell ref="J1997:O1997"/>
    <x:mergeCell ref="J1998:O1998"/>
    <x:mergeCell ref="J1999:O1999"/>
    <x:mergeCell ref="J2000:O2000"/>
    <x:mergeCell ref="J2001:O2001"/>
    <x:mergeCell ref="J2002:O2002"/>
    <x:mergeCell ref="J2003:O2003"/>
    <x:mergeCell ref="J2004:O2004"/>
    <x:mergeCell ref="J2005:O2005"/>
    <x:mergeCell ref="J2006:O2006"/>
    <x:mergeCell ref="J2007:O2007"/>
    <x:mergeCell ref="J2008:O2008"/>
    <x:mergeCell ref="J2009:O2009"/>
    <x:mergeCell ref="J2010:O2010"/>
    <x:mergeCell ref="J2011:O2011"/>
    <x:mergeCell ref="J2012:O2012"/>
    <x:mergeCell ref="J2013:O2013"/>
    <x:mergeCell ref="J2014:O2014"/>
    <x:mergeCell ref="J2015:O2015"/>
    <x:mergeCell ref="J2016:O2016"/>
    <x:mergeCell ref="J2017:O2017"/>
    <x:mergeCell ref="J2018:O2018"/>
    <x:mergeCell ref="J2019:O2019"/>
    <x:mergeCell ref="J2020:O2020"/>
    <x:mergeCell ref="J2021:O2021"/>
    <x:mergeCell ref="J2022:O2022"/>
    <x:mergeCell ref="J2023:O2023"/>
    <x:mergeCell ref="J2024:O2024"/>
    <x:mergeCell ref="J2025:O2025"/>
    <x:mergeCell ref="J2026:O2026"/>
    <x:mergeCell ref="J2027:O2027"/>
    <x:mergeCell ref="J2028:O2028"/>
    <x:mergeCell ref="J2029:O2029"/>
    <x:mergeCell ref="J2030:O2030"/>
    <x:mergeCell ref="J2031:O2031"/>
    <x:mergeCell ref="J2032:O2032"/>
    <x:mergeCell ref="J2033:O2033"/>
    <x:mergeCell ref="J2034:O2034"/>
    <x:mergeCell ref="J2035:O2035"/>
    <x:mergeCell ref="J2036:O2036"/>
    <x:mergeCell ref="J2037:O2037"/>
    <x:mergeCell ref="J2038:O2038"/>
    <x:mergeCell ref="J2039:O2039"/>
    <x:mergeCell ref="J2040:O2040"/>
    <x:mergeCell ref="J2041:O2041"/>
    <x:mergeCell ref="J2042:O2042"/>
    <x:mergeCell ref="J2043:O2043"/>
    <x:mergeCell ref="J2044:O2044"/>
    <x:mergeCell ref="J2045:O2045"/>
    <x:mergeCell ref="J2046:O2046"/>
    <x:mergeCell ref="J2047:O2047"/>
    <x:mergeCell ref="J2048:O2048"/>
    <x:mergeCell ref="J2049:O2049"/>
    <x:mergeCell ref="J2050:O2050"/>
    <x:mergeCell ref="J2051:O2051"/>
    <x:mergeCell ref="J2052:O2052"/>
    <x:mergeCell ref="J2053:O2053"/>
    <x:mergeCell ref="J2054:O2054"/>
    <x:mergeCell ref="J2055:O2055"/>
    <x:mergeCell ref="J2056:O2056"/>
    <x:mergeCell ref="J2057:O2057"/>
    <x:mergeCell ref="J2058:O2058"/>
    <x:mergeCell ref="J2059:O2059"/>
    <x:mergeCell ref="J2060:O2060"/>
    <x:mergeCell ref="J2061:O2061"/>
    <x:mergeCell ref="J2062:O2062"/>
    <x:mergeCell ref="J2063:O2063"/>
    <x:mergeCell ref="J2064:O2064"/>
    <x:mergeCell ref="J2065:O2065"/>
    <x:mergeCell ref="J2066:O2066"/>
    <x:mergeCell ref="J2067:O2067"/>
    <x:mergeCell ref="J2068:O2068"/>
    <x:mergeCell ref="J2069:O2069"/>
    <x:mergeCell ref="J2070:O2070"/>
    <x:mergeCell ref="J2071:O2071"/>
    <x:mergeCell ref="J2072:O2072"/>
    <x:mergeCell ref="J2073:O2073"/>
    <x:mergeCell ref="J2074:O2074"/>
    <x:mergeCell ref="J2075:O2075"/>
    <x:mergeCell ref="J2076:O2076"/>
    <x:mergeCell ref="J2077:O2077"/>
    <x:mergeCell ref="J2078:O2078"/>
    <x:mergeCell ref="J2079:O2079"/>
    <x:mergeCell ref="J2080:O2080"/>
    <x:mergeCell ref="J2081:O2081"/>
    <x:mergeCell ref="J2082:O2082"/>
    <x:mergeCell ref="J2083:O2083"/>
    <x:mergeCell ref="J2084:O2084"/>
    <x:mergeCell ref="J2085:O2085"/>
    <x:mergeCell ref="J2086:O2086"/>
    <x:mergeCell ref="J2087:O2087"/>
    <x:mergeCell ref="J2088:O2088"/>
    <x:mergeCell ref="J2089:O2089"/>
    <x:mergeCell ref="J2090:O2090"/>
    <x:mergeCell ref="J2091:O2091"/>
    <x:mergeCell ref="J2092:O2092"/>
    <x:mergeCell ref="J2093:O2093"/>
    <x:mergeCell ref="J2094:O2094"/>
    <x:mergeCell ref="J2095:O2095"/>
    <x:mergeCell ref="J2096:O2096"/>
    <x:mergeCell ref="J2097:O2097"/>
    <x:mergeCell ref="J2098:O2098"/>
    <x:mergeCell ref="J2099:O2099"/>
    <x:mergeCell ref="J2100:O2100"/>
    <x:mergeCell ref="J2101:O2101"/>
    <x:mergeCell ref="J2102:O2102"/>
    <x:mergeCell ref="J2103:O2103"/>
    <x:mergeCell ref="J2104:O2104"/>
    <x:mergeCell ref="J2105:O2105"/>
    <x:mergeCell ref="J2106:O2106"/>
    <x:mergeCell ref="J2107:O2107"/>
    <x:mergeCell ref="J2108:O2108"/>
    <x:mergeCell ref="J2109:O2109"/>
    <x:mergeCell ref="J2110:O2110"/>
    <x:mergeCell ref="J2111:O2111"/>
    <x:mergeCell ref="J2112:O2112"/>
    <x:mergeCell ref="J2113:O2113"/>
    <x:mergeCell ref="J2114:O2114"/>
    <x:mergeCell ref="J2115:O2115"/>
    <x:mergeCell ref="J2116:O2116"/>
    <x:mergeCell ref="J2117:O2117"/>
    <x:mergeCell ref="J2118:O2118"/>
    <x:mergeCell ref="J2119:O2119"/>
    <x:mergeCell ref="J2120:O2120"/>
    <x:mergeCell ref="J2121:O2121"/>
    <x:mergeCell ref="J2122:O2122"/>
    <x:mergeCell ref="J2123:O2123"/>
    <x:mergeCell ref="J2124:O2124"/>
    <x:mergeCell ref="J2125:O2125"/>
    <x:mergeCell ref="J2126:O2126"/>
    <x:mergeCell ref="J2127:O2127"/>
    <x:mergeCell ref="J2128:O2128"/>
    <x:mergeCell ref="J2129:O2129"/>
    <x:mergeCell ref="J2130:O2130"/>
    <x:mergeCell ref="J2131:O2131"/>
    <x:mergeCell ref="J2132:O2132"/>
    <x:mergeCell ref="J2133:O2133"/>
    <x:mergeCell ref="J2134:O2134"/>
    <x:mergeCell ref="J2135:O2135"/>
    <x:mergeCell ref="J2136:O2136"/>
    <x:mergeCell ref="J2137:O2137"/>
    <x:mergeCell ref="J2138:O2138"/>
    <x:mergeCell ref="J2139:O2139"/>
    <x:mergeCell ref="J2140:O2140"/>
    <x:mergeCell ref="J2141:O2141"/>
    <x:mergeCell ref="J2142:O2142"/>
    <x:mergeCell ref="J2143:O2143"/>
    <x:mergeCell ref="J2144:O2144"/>
    <x:mergeCell ref="J2145:O2145"/>
    <x:mergeCell ref="J2146:O2146"/>
    <x:mergeCell ref="J2147:O2147"/>
    <x:mergeCell ref="J2148:O2148"/>
    <x:mergeCell ref="J2149:O2149"/>
    <x:mergeCell ref="J2150:O2150"/>
    <x:mergeCell ref="J2151:O2151"/>
    <x:mergeCell ref="J2152:O2152"/>
    <x:mergeCell ref="J2153:O2153"/>
    <x:mergeCell ref="J2154:O2154"/>
    <x:mergeCell ref="J2155:O2155"/>
    <x:mergeCell ref="J2156:O2156"/>
    <x:mergeCell ref="J2157:O2157"/>
    <x:mergeCell ref="J2158:O2158"/>
    <x:mergeCell ref="J2159:O2159"/>
    <x:mergeCell ref="J2160:O2160"/>
    <x:mergeCell ref="J2161:O2161"/>
    <x:mergeCell ref="J2162:O2162"/>
    <x:mergeCell ref="J2163:O2163"/>
    <x:mergeCell ref="J2164:O2164"/>
    <x:mergeCell ref="J2165:O2165"/>
    <x:mergeCell ref="J2166:O2166"/>
    <x:mergeCell ref="J2167:O2167"/>
    <x:mergeCell ref="J2168:O2168"/>
    <x:mergeCell ref="J2169:O2169"/>
    <x:mergeCell ref="J2170:O2170"/>
    <x:mergeCell ref="J2171:O2171"/>
    <x:mergeCell ref="J2172:O2172"/>
    <x:mergeCell ref="J2173:O2173"/>
    <x:mergeCell ref="J2174:O2174"/>
    <x:mergeCell ref="J2175:O2175"/>
    <x:mergeCell ref="J2176:O2176"/>
    <x:mergeCell ref="J2177:O2177"/>
    <x:mergeCell ref="J2178:O2178"/>
    <x:mergeCell ref="J2179:O2179"/>
    <x:mergeCell ref="J2180:O2180"/>
    <x:mergeCell ref="J2181:O2181"/>
    <x:mergeCell ref="J2182:O2182"/>
    <x:mergeCell ref="J2183:O2183"/>
    <x:mergeCell ref="J2184:O2184"/>
    <x:mergeCell ref="J2185:O2185"/>
    <x:mergeCell ref="J2186:O2186"/>
    <x:mergeCell ref="J2187:O2187"/>
    <x:mergeCell ref="J2188:O2188"/>
    <x:mergeCell ref="J2189:O2189"/>
    <x:mergeCell ref="J2190:O2190"/>
    <x:mergeCell ref="J2191:O2191"/>
    <x:mergeCell ref="J2192:O2192"/>
    <x:mergeCell ref="J2193:O2193"/>
    <x:mergeCell ref="J2194:O2194"/>
    <x:mergeCell ref="J2195:O2195"/>
    <x:mergeCell ref="J2196:O2196"/>
    <x:mergeCell ref="J2197:O2197"/>
    <x:mergeCell ref="J2198:O2198"/>
    <x:mergeCell ref="J2199:O2199"/>
    <x:mergeCell ref="J2200:O2200"/>
    <x:mergeCell ref="J2201:O2201"/>
    <x:mergeCell ref="J2202:O2202"/>
    <x:mergeCell ref="J2203:O2203"/>
    <x:mergeCell ref="J2204:O2204"/>
    <x:mergeCell ref="J2205:O2205"/>
    <x:mergeCell ref="J2206:O2206"/>
    <x:mergeCell ref="J2207:O2207"/>
    <x:mergeCell ref="J2208:O2208"/>
    <x:mergeCell ref="J2209:O2209"/>
    <x:mergeCell ref="J2210:O2210"/>
    <x:mergeCell ref="J2211:O2211"/>
    <x:mergeCell ref="J2212:O2212"/>
    <x:mergeCell ref="J2213:O2213"/>
    <x:mergeCell ref="J2214:O2214"/>
    <x:mergeCell ref="J2215:O2215"/>
    <x:mergeCell ref="J2216:O2216"/>
    <x:mergeCell ref="J2217:O2217"/>
    <x:mergeCell ref="J2218:O2218"/>
    <x:mergeCell ref="J2219:O2219"/>
    <x:mergeCell ref="J2220:O2220"/>
    <x:mergeCell ref="J2221:O2221"/>
    <x:mergeCell ref="J2222:O2222"/>
    <x:mergeCell ref="J2223:O2223"/>
    <x:mergeCell ref="J2224:O2224"/>
    <x:mergeCell ref="J2225:O2225"/>
    <x:mergeCell ref="J2226:O2226"/>
    <x:mergeCell ref="J2227:O2227"/>
    <x:mergeCell ref="J2228:O2228"/>
    <x:mergeCell ref="J2229:O2229"/>
    <x:mergeCell ref="J2230:O2230"/>
    <x:mergeCell ref="J2231:O2231"/>
    <x:mergeCell ref="J2232:O2232"/>
    <x:mergeCell ref="J2233:O2233"/>
    <x:mergeCell ref="J2234:O2234"/>
    <x:mergeCell ref="J2235:O2235"/>
    <x:mergeCell ref="J2236:O2236"/>
    <x:mergeCell ref="J2237:O2237"/>
    <x:mergeCell ref="J2238:O2238"/>
    <x:mergeCell ref="J2239:O2239"/>
    <x:mergeCell ref="J2240:O2240"/>
    <x:mergeCell ref="J2241:O2241"/>
    <x:mergeCell ref="J2242:O2242"/>
    <x:mergeCell ref="J2243:O2243"/>
    <x:mergeCell ref="J2244:O2244"/>
    <x:mergeCell ref="J2245:O2245"/>
    <x:mergeCell ref="J2246:O2246"/>
    <x:mergeCell ref="J2247:O2247"/>
    <x:mergeCell ref="J2248:O2248"/>
    <x:mergeCell ref="J2249:O2249"/>
    <x:mergeCell ref="J2250:O2250"/>
    <x:mergeCell ref="J2251:O2251"/>
    <x:mergeCell ref="A2253:O2253"/>
    <x:mergeCell ref="C2255:O2255"/>
    <x:mergeCell ref="A2257:O2257"/>
    <x:mergeCell ref="A2270:O2270"/>
    <x:mergeCell ref="A2279:O227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55" hidden="0" customWidth="1"/>
    <x:col min="3" max="3" width="95" hidden="0" customWidth="1"/>
    <x:col min="4" max="4" width="76" hidden="0" customWidth="1"/>
    <x:col min="5" max="5" width="100" hidden="0" customWidth="1"/>
  </x:cols>
  <x:sheetData>
    <x:row r="1" ht="40" customHeight="1">
      <x:c r="A1" s="16" t="str">
        <x:v>材料或来源</x:v>
      </x:c>
      <x:c r="B1" s="16" t="str">
        <x:v>支持内容</x:v>
      </x:c>
      <x:c r="C1" s="16" t="str">
        <x:v>定位与对象</x:v>
      </x:c>
      <x:c r="D1" s="16" t="str">
        <x:v>版本及适用范围</x:v>
      </x:c>
      <x:c r="E1" s="16" t="str">
        <x:v>源链接</x:v>
      </x:c>
    </x:row>
    <x:row r="2" ht="39" customHeight="1">
      <x:c r="A2" s="12" t="str">
        <x:v>ptbxl_database.csv</x:v>
      </x:c>
      <x:c r="B2" s="12" t="str">
        <x:v>队列、匿名标识、移位日期、年龄、质量、原SCP及原报告</x:v>
      </x:c>
      <x:c r="C2" s="12" t="str">
        <x:v>ecg_id / patient_id / recording_date / age / sex / strat_fold / validated_by_human / 四质量字段 / report / scp_codes</x:v>
      </x:c>
      <x:c r="D2" s="12" t="str">
        <x:v>PTB-XL v1.0.3</x:v>
      </x:c>
      <x:c r="E2" s="12" t="str">
        <x:v>https://physionet.org/content/ptb-xl/1.0.3/</x:v>
      </x:c>
    </x:row>
    <x:row r="3" ht="24" customHeight="1">
      <x:c r="A3" s="12" t="str">
        <x:v>12sl_statements.csv</x:v>
      </x:c>
      <x:c r="B3" s="12" t="str">
        <x:v>归档自动输出及表示层级</x:v>
      </x:c>
      <x:c r="C3" s="12" t="str">
        <x:v>ecg_id；statements、statements_cat、statements_ext、statements_ext_snomed</x:v>
      </x:c>
      <x:c r="D3" s="12" t="str">
        <x:v>PTB-XL+ v1.0.1</x:v>
      </x:c>
      <x:c r="E3" s="12" t="str">
        <x:v>https://physionet.org/content/ptb-xl-plus/1.0.1/</x:v>
      </x:c>
    </x:row>
    <x:row r="4" ht="39" customHeight="1">
      <x:c r="A4" s="12" t="str">
        <x:v>statement_mappings.zip</x:v>
      </x:c>
      <x:c r="B4" s="12" t="str">
        <x:v>类别、目标概念及完全/不完全边界</x:v>
      </x:c>
      <x:c r="C4" s="12" t="str">
        <x:v>scp_statements.csv AFIB/CLBBB/CRBBB；ptbxlToSNOMED.csv与12slv23ToSNOMED.csv的Acronym及id/name；snomed_description.csv同键in_both、informative、ancestors</x:v>
      </x:c>
      <x:c r="D4" s="12" t="str">
        <x:v>发布原词典；文件名v23不是重分析版本证明</x:v>
      </x:c>
      <x:c r="E4" s="12" t="str">
        <x:v>https://physionet.org/content/ptb-xl-plus/1.0.1/</x:v>
      </x:c>
    </x:row>
    <x:row r="5" ht="24" customHeight="1">
      <x:c r="A5" s="12" t="str">
        <x:v>PTBXL_2020.pdf</x:v>
      </x:c>
      <x:c r="B5" s="12" t="str">
        <x:v>字段、标签certainty、验证标志、折与质量</x:v>
      </x:c>
      <x:c r="C5" s="12" t="str">
        <x:v>物理第7至13页Data Records / Technical Validation / Usage Notes；原0、Edit及验证标志主要在第11至12页</x:v>
      </x:c>
      <x:c r="D5" s="12" t="str">
        <x:v>Wagner等，Scientific Data 7:154，2020，CC BY 4.0</x:v>
      </x:c>
      <x:c r="E5" s="12" t="str">
        <x:v>https://www.nature.com/articles/s41597-020-0495-6</x:v>
      </x:c>
    </x:row>
    <x:row r="6" ht="24" customHeight="1">
      <x:c r="A6" s="12" t="str">
        <x:v>PTB-XL v1.0.3项目页</x:v>
      </x:c>
      <x:c r="B6" s="12" t="str">
        <x:v>高龄匿名化、患者内日期移位、当前发布版本</x:v>
      </x:c>
      <x:c r="C6" s="12" t="str">
        <x:v>Methods；Release Notes；以实际v1.0.3记录规模为准</x:v>
      </x:c>
      <x:c r="D6" s="12" t="str">
        <x:v>2022-11-09发布；CC BY 4.0</x:v>
      </x:c>
      <x:c r="E6" s="12" t="str">
        <x:v>https://physionet.org/content/ptb-xl/1.0.3/</x:v>
      </x:c>
    </x:row>
    <x:row r="7" ht="24" customHeight="1">
      <x:c r="A7" s="12" t="str">
        <x:v>PTBXLplus_2023.pdf</x:v>
      </x:c>
      <x:c r="B7" s="12" t="str">
        <x:v>自动重分析过程、限定语、certainty及祖先传播</x:v>
      </x:c>
      <x:c r="C7" s="12" t="str">
        <x:v>物理第2至4页Methods / Data processing / Data Records / Table 1；第3页将重分析版本记为v.243</x:v>
      </x:c>
      <x:c r="D7" s="12" t="str">
        <x:v>Strodthoff等，Scientific Data 10:279，2023，CC BY 4.0</x:v>
      </x:c>
      <x:c r="E7" s="12" t="str">
        <x:v>https://www.nature.com/articles/s41597-023-02153-8</x:v>
      </x:c>
    </x:row>
    <x:row r="8" ht="39" customHeight="1">
      <x:c r="A8" s="12" t="str">
        <x:v>GE 2056246-002C原厂手册</x:v>
      </x:c>
      <x:c r="B8" s="12" t="str">
        <x:v>医生审阅边界及相关节律/传导规则</x:v>
      </x:c>
      <x:c r="C8" s="12" t="str">
        <x:v>物理第6页Hazard Information；第32至37页成人/儿科节律结构、房扑/房颤；第71至74页成人传导；第14至16页起搏检测；附录D版本标记</x:v>
      </x:c>
      <x:c r="D8" s="12" t="str">
        <x:v>Marquette 12SL Physician’s Guide，Rev C；只用于其适用条件，不能重建本次归档商业实现</x:v>
      </x:c>
      <x:c r="E8" s="12" t="str">
        <x:v>https://landing1.gehealthcare.com/rs/005-SHS-767/images/45351-MUSE-17Nov2022-6-1-Quick-Reference-Guide-LP-Diagnostic-Cardiology.pdf</x:v>
      </x:c>
    </x:row>
    <x:row r="9" ht="24" customHeight="1">
      <x:c r="A9" s="12" t="str">
        <x:v>FDA_71147_2007.pdf</x:v>
      </x:c>
      <x:c r="B9" s="12" t="str">
        <x:v>比较指标、区间含义、非参照比较及分歧复核</x:v>
      </x:c>
      <x:c r="C9" s="12" t="str">
        <x:v>§4至6；§7.2物理第24至29页，score区间及解释在第26页；§7.3第30至33页</x:v>
      </x:c>
      <x:c r="D9" s="12" t="str">
        <x:v>FDA 2007非约束性统计指导；本次用其统计方法，不据此认定本设备注册合规</x:v>
      </x:c>
      <x:c r="E9" s="12" t="str">
        <x:v>https://www.fda.gov/media/71147/download</x:v>
      </x:c>
    </x:row>
    <x:row r="10" ht="24" customHeight="1">
      <x:c r="A10" s="12" t="str">
        <x:v>NIST/SEMATECH e-Handbook</x:v>
      </x:c>
      <x:c r="B10" s="12" t="str">
        <x:v>双侧Wilson score计算公式</x:v>
      </x:c>
      <x:c r="C10" s="12" t="str">
        <x:v>§7.2.4.1 Confidence intervals；Formulas for the confidence intervals与Terminology Note</x:v>
      </x:c>
      <x:c r="D10" s="12" t="str">
        <x:v>二项比例的Wilson方法；与FDA中score区间的报告要求分别引用</x:v>
      </x:c>
      <x:c r="E10" s="12" t="str">
        <x:v>https://www.itl.nist.gov/div898/handbook/prc/section2/prc241.htm</x:v>
      </x:c>
    </x:row>
    <x:row r="11" ht="24" customHeight="1">
      <x:c r="A11" s="12" t="str">
        <x:v>NIST/SEMATECH e-Handbook</x:v>
      </x:c>
      <x:c r="B11" s="12" t="str">
        <x:v>六项区间族的错误率分配依据</x:v>
      </x:c>
      <x:c r="C11" s="12" t="str">
        <x:v>§7.4.7.3 Bonferroni's method；Bonferroni不等式的概率界，不套用原章ANOVA的t区间公式</x:v>
      </x:c>
      <x:c r="D11" s="12" t="str">
        <x:v>分析预先指定六项；Wilson单项近似，因此报告名义族区间</x:v>
      </x:c>
      <x:c r="E11" s="12" t="str">
        <x:v>https://www.itl.nist.gov/div898/handbook/prc/section4/prc473.htm</x:v>
      </x:c>
    </x:row>
    <x:row r="12" ht="24" customHeight="1">
      <x:c r="A12" s="12" t="str">
        <x:v>00318_hr.zip</x:v>
      </x:c>
      <x:c r="B12" s="12" t="str">
        <x:v>匿名记录318原始波形</x:v>
      </x:c>
      <x:c r="C12" s="12" t="str">
        <x:v>00318_hr.hea的格式/频率/长度/增益/基线/导联；.dat同记录；八例图形复核中的具体导联及秒数</x:v>
      </x:c>
      <x:c r="D12" s="12" t="str">
        <x:v>PTB-XL v1.0.3；原始500Hz文件，CC BY 4.0</x:v>
      </x:c>
      <x:c r="E12" s="12" t="str">
        <x:v>https://physionet.org/content/ptb-xl/1.0.3/files/records500/00000/</x:v>
      </x:c>
    </x:row>
    <x:row r="13" ht="24" customHeight="1">
      <x:c r="A13" s="12" t="str">
        <x:v>00382_hr.zip</x:v>
      </x:c>
      <x:c r="B13" s="12" t="str">
        <x:v>匿名记录382原始波形</x:v>
      </x:c>
      <x:c r="C13" s="12" t="str">
        <x:v>00382_hr.hea的格式/频率/长度/增益/基线/导联；.dat同记录；八例图形复核中的具体导联及秒数</x:v>
      </x:c>
      <x:c r="D13" s="12" t="str">
        <x:v>PTB-XL v1.0.3；原始500Hz文件，CC BY 4.0</x:v>
      </x:c>
      <x:c r="E13" s="12" t="str">
        <x:v>https://physionet.org/content/ptb-xl/1.0.3/files/records500/00000/</x:v>
      </x:c>
    </x:row>
    <x:row r="14" ht="24" customHeight="1">
      <x:c r="A14" s="12" t="str">
        <x:v>00618_hr.zip</x:v>
      </x:c>
      <x:c r="B14" s="12" t="str">
        <x:v>匿名记录618原始波形</x:v>
      </x:c>
      <x:c r="C14" s="12" t="str">
        <x:v>00618_hr.hea的格式/频率/长度/增益/基线/导联；.dat同记录；八例图形复核中的具体导联及秒数</x:v>
      </x:c>
      <x:c r="D14" s="12" t="str">
        <x:v>PTB-XL v1.0.3；原始500Hz文件，CC BY 4.0</x:v>
      </x:c>
      <x:c r="E14" s="12" t="str">
        <x:v>https://physionet.org/content/ptb-xl/1.0.3/files/records500/00000/</x:v>
      </x:c>
    </x:row>
    <x:row r="15" ht="24" customHeight="1">
      <x:c r="A15" s="12" t="str">
        <x:v>00726_hr.zip</x:v>
      </x:c>
      <x:c r="B15" s="12" t="str">
        <x:v>匿名记录726原始波形</x:v>
      </x:c>
      <x:c r="C15" s="12" t="str">
        <x:v>00726_hr.hea的格式/频率/长度/增益/基线/导联；.dat同记录；八例图形复核中的具体导联及秒数</x:v>
      </x:c>
      <x:c r="D15" s="12" t="str">
        <x:v>PTB-XL v1.0.3；原始500Hz文件，CC BY 4.0</x:v>
      </x:c>
      <x:c r="E15" s="12" t="str">
        <x:v>https://physionet.org/content/ptb-xl/1.0.3/files/records500/00000/</x:v>
      </x:c>
    </x:row>
    <x:row r="16" ht="24" customHeight="1">
      <x:c r="A16" s="12" t="str">
        <x:v>00950_hr.zip</x:v>
      </x:c>
      <x:c r="B16" s="12" t="str">
        <x:v>匿名记录950原始波形</x:v>
      </x:c>
      <x:c r="C16" s="12" t="str">
        <x:v>00950_hr.hea的格式/频率/长度/增益/基线/导联；.dat同记录；八例图形复核中的具体导联及秒数</x:v>
      </x:c>
      <x:c r="D16" s="12" t="str">
        <x:v>PTB-XL v1.0.3；原始500Hz文件，CC BY 4.0</x:v>
      </x:c>
      <x:c r="E16" s="12" t="str">
        <x:v>https://physionet.org/content/ptb-xl/1.0.3/files/records500/00000/</x:v>
      </x:c>
    </x:row>
    <x:row r="17" ht="24" customHeight="1">
      <x:c r="A17" s="12" t="str">
        <x:v>01456_hr.zip</x:v>
      </x:c>
      <x:c r="B17" s="12" t="str">
        <x:v>匿名记录1456原始波形</x:v>
      </x:c>
      <x:c r="C17" s="12" t="str">
        <x:v>01456_hr.hea的格式/频率/长度/增益/基线/导联；.dat同记录；八例图形复核中的具体导联及秒数</x:v>
      </x:c>
      <x:c r="D17" s="12" t="str">
        <x:v>PTB-XL v1.0.3；原始500Hz文件，CC BY 4.0</x:v>
      </x:c>
      <x:c r="E17" s="12" t="str">
        <x:v>https://physionet.org/content/ptb-xl/1.0.3/files/records500/01000/</x:v>
      </x:c>
    </x:row>
    <x:row r="18" ht="24" customHeight="1">
      <x:c r="A18" s="12" t="str">
        <x:v>03692_hr.zip</x:v>
      </x:c>
      <x:c r="B18" s="12" t="str">
        <x:v>匿名记录3692原始波形</x:v>
      </x:c>
      <x:c r="C18" s="12" t="str">
        <x:v>03692_hr.hea的格式/频率/长度/增益/基线/导联；.dat同记录；八例图形复核中的具体导联及秒数</x:v>
      </x:c>
      <x:c r="D18" s="12" t="str">
        <x:v>PTB-XL v1.0.3；原始500Hz文件，CC BY 4.0</x:v>
      </x:c>
      <x:c r="E18" s="12" t="str">
        <x:v>https://physionet.org/content/ptb-xl/1.0.3/files/records500/03000/</x:v>
      </x:c>
    </x:row>
    <x:row r="19" ht="24" customHeight="1">
      <x:c r="A19" s="12" t="str">
        <x:v>05606_hr.zip</x:v>
      </x:c>
      <x:c r="B19" s="12" t="str">
        <x:v>匿名记录5606原始波形</x:v>
      </x:c>
      <x:c r="C19" s="12" t="str">
        <x:v>05606_hr.hea的格式/频率/长度/增益/基线/导联；.dat同记录；八例图形复核中的具体导联及秒数</x:v>
      </x:c>
      <x:c r="D19" s="12" t="str">
        <x:v>PTB-XL v1.0.3；原始500Hz文件，CC BY 4.0</x:v>
      </x:c>
      <x:c r="E19" s="12" t="str">
        <x:v>https://physionet.org/content/ptb-xl/1.0.3/files/records500/05000/</x:v>
      </x:c>
    </x:row>
    <x:row r="20" ht="24" customHeight="1">
      <x:c r="A20" s="12" t="str">
        <x:v>联合标签压力情景</x:v>
      </x:c>
      <x:c r="B20" s="12" t="str">
        <x:v>共享患者名额与固定/重算名单的数学边界</x:v>
      </x:c>
      <x:c r="C20" s="12" t="str">
        <x:v>K=5；敏感性与分层全部端点见证、逐名额下界、同情景配对差值</x:v>
      </x:c>
      <x:c r="D20" s="12" t="str">
        <x:v>业务假设；不估计实际错误率</x:v>
      </x:c>
      <x:c r="E20" s="12" t="str">
        <x:v>业务场景及分析约束</x:v>
      </x:c>
    </x:row>
    <x:row r="21" ht="24" customHeight="1">
      <x:c r="A21" s="12" t="str">
        <x:v>NIST Bonferroni不等式</x:v>
      </x:c>
      <x:c r="B21" s="12" t="str">
        <x:v>名义六项族区间及相关性边界</x:v>
      </x:c>
      <x:c r="C21" s="12" t="str">
        <x:v>e-Handbook 7.4.7.3</x:v>
      </x:c>
      <x:c r="D21" s="12" t="str">
        <x:v>不要求独立；Wilson为近似</x:v>
      </x:c>
      <x:c r="E21" s="12" t="str">
        <x:v>https://www.itl.nist.gov/div898/handbook/prc/section4/prc473.htm</x:v>
      </x:c>
    </x:row>
  </x:sheetData>
  <x:pageMargins left="0.7" right="0.7" top="0.75" bottom="0.75" header="0.3" footer="0.3"/>
</x:worksheet>
</file>